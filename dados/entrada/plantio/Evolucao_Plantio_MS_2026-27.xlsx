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arâmetros" sheetId="2" state="visible" r:id="rId4"/>
    <sheet name="Soja" sheetId="3" state="visible" r:id="rId5"/>
    <sheet name="Soja - proj" sheetId="4" state="visible" r:id="rId6"/>
    <sheet name="Milho 1ª safra" sheetId="5" state="visible" r:id="rId7"/>
    <sheet name="Milho 1ª safra - proj" sheetId="6" state="visible" r:id="rId8"/>
    <sheet name="Milho 2ª safra" sheetId="7" state="visible" r:id="rId9"/>
    <sheet name="Milho 2ª safra - proj" sheetId="8" state="visible" r:id="rId10"/>
    <sheet name="Sorgo" sheetId="9" state="visible" r:id="rId11"/>
    <sheet name="Sorgo - proj" sheetId="10" state="visible" r:id="rId12"/>
    <sheet name="Amendoim" sheetId="11" state="visible" r:id="rId13"/>
    <sheet name="Amendoim - proj" sheetId="12" state="visible" r:id="rId14"/>
    <sheet name="Arroz irrigado" sheetId="13" state="visible" r:id="rId15"/>
    <sheet name="Arroz irrigado - proj" sheetId="14" state="visible" r:id="rId16"/>
    <sheet name="Feijão 1ª safra" sheetId="15" state="visible" r:id="rId17"/>
    <sheet name="Feijão 1ª safra - proj" sheetId="16" state="visible" r:id="rId18"/>
    <sheet name="Feijão 2ª safra" sheetId="17" state="visible" r:id="rId19"/>
    <sheet name="Feijão 2ª safra - proj" sheetId="18" state="visible" r:id="rId20"/>
    <sheet name="Algodão" sheetId="19" state="visible" r:id="rId21"/>
    <sheet name="Algodão - proj" sheetId="20" state="visible" r:id="rId22"/>
    <sheet name="Trigo" sheetId="21" state="visible" r:id="rId23"/>
    <sheet name="Trigo - proj" sheetId="22" state="visible" r:id="rId24"/>
    <sheet name="Aveia" sheetId="23" state="visible" r:id="rId25"/>
    <sheet name="Aveia - proj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Os dias marcam o INÍCIO de cada estádio. O estádio termina quando começa o seguinte.</t>
        </r>
      </text>
    </comment>
  </commentList>
</comments>
</file>

<file path=xl/sharedStrings.xml><?xml version="1.0" encoding="utf-8"?>
<sst xmlns="http://schemas.openxmlformats.org/spreadsheetml/2006/main" count="5955" uniqueCount="320">
  <si>
    <t xml:space="preserve">Evolução do plantio e projeção fenológica · MS · safra 2026/27</t>
  </si>
  <si>
    <t xml:space="preserve">CONAB · SUREG-MS · SEGeo</t>
  </si>
  <si>
    <t xml:space="preserve">O que preencher</t>
  </si>
  <si>
    <t xml:space="preserve">1. Abra a aba da cultura (ex.: 'Soja'). Cada linha é um município; cada coluna é uma semana (data de referência no cabeçalho).</t>
  </si>
  <si>
    <t xml:space="preserve">2. Nas células AMARELAS, digite o % ACUMULADO da área plantada até aquela semana, de 0 a 100 (ex.: 35 = 35%).</t>
  </si>
  <si>
    <t xml:space="preserve">3. Município que não produz a cultura: deixe a linha toda em branco.</t>
  </si>
  <si>
    <t xml:space="preserve">4. Opcional: coluna 'Área estimada (ha)' — usada só para calcular a média ponderada do estado.</t>
  </si>
  <si>
    <t xml:space="preserve">5. Semana sem atualização: deixe em branco. A projeção repete o último valor informado.</t>
  </si>
  <si>
    <t xml:space="preserve">Exemplo de preenchimento (uma linha da aba 'Soja')</t>
  </si>
  <si>
    <t xml:space="preserve">Maracaju | área 380000 | 19/09: 2 | 26/09: 8 | 03/10: 21 | 10/10: 40 | 17/10: 62 | 24/10: 80 | 31/10: 92 | 07/11: 98 | 14/11: 100</t>
  </si>
  <si>
    <t xml:space="preserve">O que a planilha calcula sozinha</t>
  </si>
  <si>
    <t xml:space="preserve">Abas '... - proj': % da área do município que está no estádio escolhido em cada semana (escolha o estádio na célula amarela B3).</t>
  </si>
  <si>
    <t xml:space="preserve">Regra: a área que foi semeada na semana X entra em cada estádio após o nº de dias da aba 'Parâmetros'.</t>
  </si>
  <si>
    <t xml:space="preserve">% no estádio = % que já atingiu o estádio − % que já atingiu o estádio seguinte. Para 'Colheita' mostra o % colhido acumulado.</t>
  </si>
  <si>
    <t xml:space="preserve">Linha 'MS': média ponderada pela área estimada (só considera municípios com área e dados preenchidos).</t>
  </si>
  <si>
    <t xml:space="preserve">Aba 'Parâmetros' (editável)</t>
  </si>
  <si>
    <t xml:space="preserve">Data da 1ª semana de cada cultura e dias após a semeadura (DAS) para o início de cada estádio. Valores INICIAIS, de referência</t>
  </si>
  <si>
    <t xml:space="preserve">para cultivares de ciclo médio em MS, compilados da literatura técnica (Embrapa, escalas de Fehr &amp; Caviness, Ritchie &amp; Hanway,</t>
  </si>
  <si>
    <t xml:space="preserve">Counce et al., Zadoks). AJUSTE com a experiência regional da equipe, cooperativas e ZARC: o ciclo varia com cultivar, época e região.</t>
  </si>
  <si>
    <t xml:space="preserve">Limitações</t>
  </si>
  <si>
    <t xml:space="preserve">• A projeção usa dias fixos (calendário). Plantios com temperaturas diferentes mudam de estádio em tempos diferentes; no painel</t>
  </si>
  <si>
    <t xml:space="preserve">  a projeção será refinada com graus-dia a partir da temperatura interpolada de cada município.</t>
  </si>
  <si>
    <t xml:space="preserve">• O deslocamento é arredondado para semanas inteiras (erro de até ±3 dias).</t>
  </si>
  <si>
    <t xml:space="preserve">• Projeção não substitui a observação de campo: use para indicar janelas e regiões a verificar.</t>
  </si>
  <si>
    <t xml:space="preserve">Uso no painel</t>
  </si>
  <si>
    <t xml:space="preserve">Salve o arquivo em dados/entrada/plantio/ do repositório, com o mesmo nome. O painel lerá os dados a partir da próxima etapa.</t>
  </si>
  <si>
    <t xml:space="preserve">Parâmetros fenológicos (editáveis — valores em azul)</t>
  </si>
  <si>
    <t xml:space="preserve">Cultura</t>
  </si>
  <si>
    <t xml:space="preserve">Ordem</t>
  </si>
  <si>
    <t xml:space="preserve">Estádio</t>
  </si>
  <si>
    <t xml:space="preserve">Início (dias após semeadura)</t>
  </si>
  <si>
    <t xml:space="preserve">Crítico?</t>
  </si>
  <si>
    <t xml:space="preserve">Observação</t>
  </si>
  <si>
    <t xml:space="preserve">Chave</t>
  </si>
  <si>
    <t xml:space="preserve">Data da 1ª semana</t>
  </si>
  <si>
    <t xml:space="preserve">Soja</t>
  </si>
  <si>
    <t xml:space="preserve">Semeadura/Emergência</t>
  </si>
  <si>
    <t xml:space="preserve">Semanas seguintes = +7 dias</t>
  </si>
  <si>
    <t xml:space="preserve">Vegetativo (V1–Vn)</t>
  </si>
  <si>
    <t xml:space="preserve">Milho 1ª safra</t>
  </si>
  <si>
    <t xml:space="preserve">Florescimento (R1–R2)</t>
  </si>
  <si>
    <t xml:space="preserve">Sim</t>
  </si>
  <si>
    <t xml:space="preserve">Déficit hídrico reduz pegamento de flores</t>
  </si>
  <si>
    <t xml:space="preserve">Milho 2ª safra</t>
  </si>
  <si>
    <t xml:space="preserve">Formação de vagens (R3–R4)</t>
  </si>
  <si>
    <t xml:space="preserve">Período mais sensível à seca</t>
  </si>
  <si>
    <t xml:space="preserve">Sorgo</t>
  </si>
  <si>
    <t xml:space="preserve">Enchimento de grãos (R5)</t>
  </si>
  <si>
    <t xml:space="preserve">Seca reduz peso de grãos</t>
  </si>
  <si>
    <t xml:space="preserve">Amendoim</t>
  </si>
  <si>
    <t xml:space="preserve">Maturação (R7–R8)</t>
  </si>
  <si>
    <t xml:space="preserve">Chuva excessiva atrasa colheita</t>
  </si>
  <si>
    <t xml:space="preserve">Arroz irrigado</t>
  </si>
  <si>
    <t xml:space="preserve">Colheita</t>
  </si>
  <si>
    <t xml:space="preserve">Feijão 1ª safra</t>
  </si>
  <si>
    <t xml:space="preserve">Feijão 2ª safra</t>
  </si>
  <si>
    <t xml:space="preserve">Vegetativo (V2–V8)</t>
  </si>
  <si>
    <t xml:space="preserve">Algodão</t>
  </si>
  <si>
    <t xml:space="preserve">Pré-pendoamento (V9–VT)</t>
  </si>
  <si>
    <t xml:space="preserve">Define nº de grãos por fileira</t>
  </si>
  <si>
    <t xml:space="preserve">Trigo</t>
  </si>
  <si>
    <t xml:space="preserve">Florescimento (VT–R1)</t>
  </si>
  <si>
    <t xml:space="preserve">Período mais sensível à seca e calor</t>
  </si>
  <si>
    <t xml:space="preserve">Aveia</t>
  </si>
  <si>
    <t xml:space="preserve">Enchimento de grãos (R2–R5)</t>
  </si>
  <si>
    <t xml:space="preserve">Maturação fisiológica (R6)</t>
  </si>
  <si>
    <t xml:space="preserve">Seca e calor; fim das chuvas</t>
  </si>
  <si>
    <t xml:space="preserve">Risco de geada no sul do MS</t>
  </si>
  <si>
    <t xml:space="preserve">Vegetativo</t>
  </si>
  <si>
    <t xml:space="preserve">Emborrachamento</t>
  </si>
  <si>
    <t xml:space="preserve">Florescimento</t>
  </si>
  <si>
    <t xml:space="preserve">Enchimento de grãos</t>
  </si>
  <si>
    <t xml:space="preserve">Maturação</t>
  </si>
  <si>
    <t xml:space="preserve">Formação de vagens (ginóforos)</t>
  </si>
  <si>
    <t xml:space="preserve">Solo seco dificulta penetração dos ginóforos</t>
  </si>
  <si>
    <t xml:space="preserve">Enchimento de vagens</t>
  </si>
  <si>
    <t xml:space="preserve">Arranquio/Colheita</t>
  </si>
  <si>
    <t xml:space="preserve">Perfilhamento</t>
  </si>
  <si>
    <t xml:space="preserve">Diferenciação do primórdio floral</t>
  </si>
  <si>
    <t xml:space="preserve">Frio afeta formação de espiguetas</t>
  </si>
  <si>
    <t xml:space="preserve">Floração</t>
  </si>
  <si>
    <t xml:space="preserve">Frio/calor causam esterilidade</t>
  </si>
  <si>
    <t xml:space="preserve">Vegetativo (V1–V4)</t>
  </si>
  <si>
    <t xml:space="preserve">Pré-floração (R5)</t>
  </si>
  <si>
    <t xml:space="preserve">Floração (R6)</t>
  </si>
  <si>
    <t xml:space="preserve">Seca e calor causam abortamento</t>
  </si>
  <si>
    <t xml:space="preserve">Formação de vagens (R7)</t>
  </si>
  <si>
    <t xml:space="preserve">Enchimento (R8)</t>
  </si>
  <si>
    <t xml:space="preserve">Maturação (R9)</t>
  </si>
  <si>
    <t xml:space="preserve">Chuva na colheita afeta qualidade</t>
  </si>
  <si>
    <t xml:space="preserve">Botão floral</t>
  </si>
  <si>
    <t xml:space="preserve">Maior demanda hídrica</t>
  </si>
  <si>
    <t xml:space="preserve">Abertura de capulhos</t>
  </si>
  <si>
    <t xml:space="preserve">Chuva prejudica qualidade da fibra</t>
  </si>
  <si>
    <t xml:space="preserve">Alongamento</t>
  </si>
  <si>
    <t xml:space="preserve">Espigamento</t>
  </si>
  <si>
    <t xml:space="preserve">Geada</t>
  </si>
  <si>
    <t xml:space="preserve">Geada e seca; brusone com calor úmido</t>
  </si>
  <si>
    <t xml:space="preserve">Chuva causa germinação na espiga</t>
  </si>
  <si>
    <t xml:space="preserve">Emborrachamento/Espigamento</t>
  </si>
  <si>
    <t xml:space="preserve">Geada e seca</t>
  </si>
  <si>
    <t xml:space="preserve">Soja · % acumulado da área plantada (0 a 100)</t>
  </si>
  <si>
    <t xml:space="preserve">Preencha somente as células amarelas. Município sem produção: deixe em branco.</t>
  </si>
  <si>
    <t xml:space="preserve">1ª semana:</t>
  </si>
  <si>
    <t xml:space="preserve">Sem 1</t>
  </si>
  <si>
    <t xml:space="preserve">Sem 2</t>
  </si>
  <si>
    <t xml:space="preserve">Sem 3</t>
  </si>
  <si>
    <t xml:space="preserve">Sem 4</t>
  </si>
  <si>
    <t xml:space="preserve">Sem 5</t>
  </si>
  <si>
    <t xml:space="preserve">Sem 6</t>
  </si>
  <si>
    <t xml:space="preserve">Sem 7</t>
  </si>
  <si>
    <t xml:space="preserve">Sem 8</t>
  </si>
  <si>
    <t xml:space="preserve">Sem 9</t>
  </si>
  <si>
    <t xml:space="preserve">Sem 10</t>
  </si>
  <si>
    <t xml:space="preserve">Sem 11</t>
  </si>
  <si>
    <t xml:space="preserve">Sem 12</t>
  </si>
  <si>
    <t xml:space="preserve">Sem 13</t>
  </si>
  <si>
    <t xml:space="preserve">Sem 14</t>
  </si>
  <si>
    <t xml:space="preserve">Sem 15</t>
  </si>
  <si>
    <t xml:space="preserve">Sem 16</t>
  </si>
  <si>
    <t xml:space="preserve">Sem 17</t>
  </si>
  <si>
    <t xml:space="preserve">Sem 18</t>
  </si>
  <si>
    <t xml:space="preserve">Sem 19</t>
  </si>
  <si>
    <t xml:space="preserve">Sem 20</t>
  </si>
  <si>
    <t xml:space="preserve">Sem 21</t>
  </si>
  <si>
    <t xml:space="preserve">Sem 22</t>
  </si>
  <si>
    <t xml:space="preserve">Cód. IBGE</t>
  </si>
  <si>
    <t xml:space="preserve">Município</t>
  </si>
  <si>
    <t xml:space="preserve">Região imediata</t>
  </si>
  <si>
    <t xml:space="preserve">Área estimada (ha)</t>
  </si>
  <si>
    <t xml:space="preserve">5000252</t>
  </si>
  <si>
    <t xml:space="preserve">Alcinópolis</t>
  </si>
  <si>
    <t xml:space="preserve">Coxim</t>
  </si>
  <si>
    <t xml:space="preserve">5000609</t>
  </si>
  <si>
    <t xml:space="preserve">Amambai</t>
  </si>
  <si>
    <t xml:space="preserve">5000708</t>
  </si>
  <si>
    <t xml:space="preserve">Anastácio</t>
  </si>
  <si>
    <t xml:space="preserve">Aquidauana - Anastácio</t>
  </si>
  <si>
    <t xml:space="preserve">5000807</t>
  </si>
  <si>
    <t xml:space="preserve">Anaurilândia</t>
  </si>
  <si>
    <t xml:space="preserve">Nova Andradina</t>
  </si>
  <si>
    <t xml:space="preserve">5000856</t>
  </si>
  <si>
    <t xml:space="preserve">Angélica</t>
  </si>
  <si>
    <t xml:space="preserve">5000906</t>
  </si>
  <si>
    <t xml:space="preserve">Antônio João</t>
  </si>
  <si>
    <t xml:space="preserve">Ponta Porã</t>
  </si>
  <si>
    <t xml:space="preserve">5001003</t>
  </si>
  <si>
    <t xml:space="preserve">Aparecida do Taboado</t>
  </si>
  <si>
    <t xml:space="preserve">Paranaíba - Chapadão do Sul - Cassilândia</t>
  </si>
  <si>
    <t xml:space="preserve">5001102</t>
  </si>
  <si>
    <t xml:space="preserve">Aquidauana</t>
  </si>
  <si>
    <t xml:space="preserve">5001243</t>
  </si>
  <si>
    <t xml:space="preserve">Aral Moreira</t>
  </si>
  <si>
    <t xml:space="preserve">5001508</t>
  </si>
  <si>
    <t xml:space="preserve">Bandeirantes</t>
  </si>
  <si>
    <t xml:space="preserve">Campo Grande</t>
  </si>
  <si>
    <t xml:space="preserve">5001904</t>
  </si>
  <si>
    <t xml:space="preserve">Bataguassu</t>
  </si>
  <si>
    <t xml:space="preserve">Três Lagoas</t>
  </si>
  <si>
    <t xml:space="preserve">5002001</t>
  </si>
  <si>
    <t xml:space="preserve">Batayporã</t>
  </si>
  <si>
    <t xml:space="preserve">5002100</t>
  </si>
  <si>
    <t xml:space="preserve">Bela Vista</t>
  </si>
  <si>
    <t xml:space="preserve">Jardim</t>
  </si>
  <si>
    <t xml:space="preserve">5002159</t>
  </si>
  <si>
    <t xml:space="preserve">Bodoquena</t>
  </si>
  <si>
    <t xml:space="preserve">5002209</t>
  </si>
  <si>
    <t xml:space="preserve">Bonito</t>
  </si>
  <si>
    <t xml:space="preserve">5002308</t>
  </si>
  <si>
    <t xml:space="preserve">Brasilândia</t>
  </si>
  <si>
    <t xml:space="preserve">5002407</t>
  </si>
  <si>
    <t xml:space="preserve">Caarapó</t>
  </si>
  <si>
    <t xml:space="preserve">Dourados</t>
  </si>
  <si>
    <t xml:space="preserve">5002605</t>
  </si>
  <si>
    <t xml:space="preserve">Camapuã</t>
  </si>
  <si>
    <t xml:space="preserve">5002704</t>
  </si>
  <si>
    <t xml:space="preserve">5002803</t>
  </si>
  <si>
    <t xml:space="preserve">Caracol</t>
  </si>
  <si>
    <t xml:space="preserve">5002902</t>
  </si>
  <si>
    <t xml:space="preserve">Cassilândia</t>
  </si>
  <si>
    <t xml:space="preserve">5002951</t>
  </si>
  <si>
    <t xml:space="preserve">Chapadão do Sul</t>
  </si>
  <si>
    <t xml:space="preserve">5003108</t>
  </si>
  <si>
    <t xml:space="preserve">Corguinho</t>
  </si>
  <si>
    <t xml:space="preserve">5003157</t>
  </si>
  <si>
    <t xml:space="preserve">Coronel Sapucaia</t>
  </si>
  <si>
    <t xml:space="preserve">5003207</t>
  </si>
  <si>
    <t xml:space="preserve">Corumbá</t>
  </si>
  <si>
    <t xml:space="preserve">5003256</t>
  </si>
  <si>
    <t xml:space="preserve">Costa Rica</t>
  </si>
  <si>
    <t xml:space="preserve">5003306</t>
  </si>
  <si>
    <t xml:space="preserve">5003454</t>
  </si>
  <si>
    <t xml:space="preserve">Deodápolis</t>
  </si>
  <si>
    <t xml:space="preserve">5003488</t>
  </si>
  <si>
    <t xml:space="preserve">Dois Irmãos do Buriti</t>
  </si>
  <si>
    <t xml:space="preserve">5003504</t>
  </si>
  <si>
    <t xml:space="preserve">Douradina</t>
  </si>
  <si>
    <t xml:space="preserve">5003702</t>
  </si>
  <si>
    <t xml:space="preserve">5003751</t>
  </si>
  <si>
    <t xml:space="preserve">Eldorado</t>
  </si>
  <si>
    <t xml:space="preserve">Naviraí - Mundo Novo</t>
  </si>
  <si>
    <t xml:space="preserve">5003900</t>
  </si>
  <si>
    <t xml:space="preserve">Figueirão</t>
  </si>
  <si>
    <t xml:space="preserve">5003801</t>
  </si>
  <si>
    <t xml:space="preserve">Fátima do Sul</t>
  </si>
  <si>
    <t xml:space="preserve">5004007</t>
  </si>
  <si>
    <t xml:space="preserve">Glória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</si>
  <si>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</si>
  <si>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</si>
  <si>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</si>
  <si>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</si>
  <si>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</si>
  <si>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Inocência</t>
  </si>
  <si>
    <t xml:space="preserve">5004502</t>
  </si>
  <si>
    <t xml:space="preserve">Itaporã</t>
  </si>
  <si>
    <t xml:space="preserve">5004601</t>
  </si>
  <si>
    <t xml:space="preserve">Itaquiraí</t>
  </si>
  <si>
    <t xml:space="preserve">5004700</t>
  </si>
  <si>
    <t xml:space="preserve">Ivinhema</t>
  </si>
  <si>
    <t xml:space="preserve">5004809</t>
  </si>
  <si>
    <t xml:space="preserve">Japorã</t>
  </si>
  <si>
    <t xml:space="preserve">5004908</t>
  </si>
  <si>
    <t xml:space="preserve">Jaraguari</t>
  </si>
  <si>
    <t xml:space="preserve">5005004</t>
  </si>
  <si>
    <t xml:space="preserve">5005103</t>
  </si>
  <si>
    <t xml:space="preserve">Jateí</t>
  </si>
  <si>
    <t xml:space="preserve">5005152</t>
  </si>
  <si>
    <t xml:space="preserve">Juti</t>
  </si>
  <si>
    <t xml:space="preserve">5005202</t>
  </si>
  <si>
    <t xml:space="preserve">Ladário</t>
  </si>
  <si>
    <t xml:space="preserve">5005251</t>
  </si>
  <si>
    <t xml:space="preserve">Laguna Carapã</t>
  </si>
  <si>
    <t xml:space="preserve">5005400</t>
  </si>
  <si>
    <t xml:space="preserve">Maracaju</t>
  </si>
  <si>
    <t xml:space="preserve">5005608</t>
  </si>
  <si>
    <t xml:space="preserve">Miranda</t>
  </si>
  <si>
    <t xml:space="preserve">5005681</t>
  </si>
  <si>
    <t xml:space="preserve">Mundo Novo</t>
  </si>
  <si>
    <t xml:space="preserve">5005707</t>
  </si>
  <si>
    <t xml:space="preserve">Naviraí</t>
  </si>
  <si>
    <t xml:space="preserve">5005806</t>
  </si>
  <si>
    <t xml:space="preserve">Nioaque</t>
  </si>
  <si>
    <t xml:space="preserve">5006002</t>
  </si>
  <si>
    <t xml:space="preserve">Nova Alvorada do Sul</t>
  </si>
  <si>
    <t xml:space="preserve">5006200</t>
  </si>
  <si>
    <t xml:space="preserve">5006259</t>
  </si>
  <si>
    <t xml:space="preserve">Novo Horizonte do Sul</t>
  </si>
  <si>
    <t xml:space="preserve">5006309</t>
  </si>
  <si>
    <t xml:space="preserve">Paranaíba</t>
  </si>
  <si>
    <t xml:space="preserve">5006358</t>
  </si>
  <si>
    <t xml:space="preserve">Paranhos</t>
  </si>
  <si>
    <t xml:space="preserve">5006275</t>
  </si>
  <si>
    <t xml:space="preserve">Paraíso das Águas</t>
  </si>
  <si>
    <t xml:space="preserve">5006408</t>
  </si>
  <si>
    <t xml:space="preserve">Pedro Gomes</t>
  </si>
  <si>
    <t xml:space="preserve">5006606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</si>
  <si>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</si>
  <si>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</si>
  <si>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</si>
  <si>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</si>
  <si>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</si>
  <si>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</si>
  <si>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</si>
  <si>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Rio Negro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</si>
  <si>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</si>
  <si>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</si>
  <si>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</si>
  <si>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</si>
  <si>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5007554</t>
  </si>
  <si>
    <t xml:space="preserve">Santa Rita do Pardo</t>
  </si>
  <si>
    <t xml:space="preserve">5007802</t>
  </si>
  <si>
    <t xml:space="preserve">Selvíria</t>
  </si>
  <si>
    <t xml:space="preserve">5007703</t>
  </si>
  <si>
    <t xml:space="preserve">Sete Quedas</t>
  </si>
  <si>
    <t xml:space="preserve">5007901</t>
  </si>
  <si>
    <t xml:space="preserve">Sidrolândia</t>
  </si>
  <si>
    <t xml:space="preserve">5007935</t>
  </si>
  <si>
    <t xml:space="preserve">Sonora</t>
  </si>
  <si>
    <t xml:space="preserve">5007695</t>
  </si>
  <si>
    <t xml:space="preserve">São Gabriel do Oeste</t>
  </si>
  <si>
    <t xml:space="preserve">5007950</t>
  </si>
  <si>
    <t xml:space="preserve">Tacuru</t>
  </si>
  <si>
    <t xml:space="preserve">5007976</t>
  </si>
  <si>
    <t xml:space="preserve">Taquarussu</t>
  </si>
  <si>
    <t xml:space="preserve">5008008</t>
  </si>
  <si>
    <t xml:space="preserve">Terenos</t>
  </si>
  <si>
    <t xml:space="preserve">5008305</t>
  </si>
  <si>
    <t xml:space="preserve">5008404</t>
  </si>
  <si>
    <t xml:space="preserve">Vicentina</t>
  </si>
  <si>
    <t xml:space="preserve">5000203</t>
  </si>
  <si>
    <t xml:space="preserve">Água Clara</t>
  </si>
  <si>
    <t xml:space="preserve">MS (média ponderada)</t>
  </si>
  <si>
    <t xml:space="preserve">Soja · projeção: % da área do município no estádio escolhido</t>
  </si>
  <si>
    <t xml:space="preserve">Linha Parâm.</t>
  </si>
  <si>
    <t xml:space="preserve">Último?</t>
  </si>
  <si>
    <t xml:space="preserve">Estádio:</t>
  </si>
  <si>
    <t xml:space="preserve">Desloc. (sem)</t>
  </si>
  <si>
    <t xml:space="preserve">Próx. (sem)</t>
  </si>
  <si>
    <t xml:space="preserve">Valores = % da área do município (0–100). Para 'Colheita' = % colhido acumulado.</t>
  </si>
  <si>
    <t xml:space="preserve">Peso (ha)</t>
  </si>
  <si>
    <t xml:space="preserve">Milho 1ª safra · % acumulado da área plantada (0 a 100)</t>
  </si>
  <si>
    <t xml:space="preserve">Milho 1ª safra · projeção: % da área do município no estádio escolhido</t>
  </si>
  <si>
    <t xml:space="preserve">Milho 2ª safra · % acumulado da área plantada (0 a 100)</t>
  </si>
  <si>
    <t xml:space="preserve">Milho 2ª safra · projeção: % da área do município no estádio escolhido</t>
  </si>
  <si>
    <t xml:space="preserve">Sorgo · % acumulado da área plantada (0 a 100)</t>
  </si>
  <si>
    <t xml:space="preserve">Sorgo · projeção: % da área do município no estádio escolhido</t>
  </si>
  <si>
    <t xml:space="preserve">Amendoim · % acumulado da área plantada (0 a 100)</t>
  </si>
  <si>
    <t xml:space="preserve">Amendoim · projeção: % da área do município no estádio escolhido</t>
  </si>
  <si>
    <t xml:space="preserve">Arroz irrigado · % acumulado da área plantada (0 a 100)</t>
  </si>
  <si>
    <t xml:space="preserve">Arroz irrigado · projeção: % da área do município no estádio escolhido</t>
  </si>
  <si>
    <t xml:space="preserve">Feijão 1ª safra · % acumulado da área plantada (0 a 100)</t>
  </si>
  <si>
    <t xml:space="preserve">Feijão 1ª safra · projeção: % da área do município no estádio escolhido</t>
  </si>
  <si>
    <t xml:space="preserve">Feijão 2ª safra · % acumulado da área plantada (0 a 100)</t>
  </si>
  <si>
    <t xml:space="preserve">Feijão 2ª safra · projeção: % da área do município no estádio escolhido</t>
  </si>
  <si>
    <t xml:space="preserve">Algodão · % acumulado da área plantada (0 a 100)</t>
  </si>
  <si>
    <t xml:space="preserve">Algodão · projeção: % da área do município no estádio escolhido</t>
  </si>
  <si>
    <t xml:space="preserve">Trigo · % acumulado da área plantada (0 a 100)</t>
  </si>
  <si>
    <t xml:space="preserve">Trigo · projeção: % da área do município no estádio escolhido</t>
  </si>
  <si>
    <t xml:space="preserve">Aveia · % acumulado da área plantada (0 a 100)</t>
  </si>
  <si>
    <t xml:space="preserve">Aveia · projeção: % da área do município no estádio escolhido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</si>
</sst>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dd/mm"/>
    <numFmt numFmtId="167" formatCode="#,##0"/>
    <numFmt numFmtId="168" formatCode="0"/>
    <numFmt numFmtId="169" formatCode="General"/>
    <numFmt numFmtId="170" formatCode="0;\-0;&quot;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555555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8"/>
      <color rgb="FF777777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1"/>
      <color rgb="FFB5452F"/>
      <name val="Arial"/>
      <family val="0"/>
      <charset val="1"/>
    </font>
    <font>
      <sz val="9"/>
      <color rgb="FF555555"/>
      <name val="Arial"/>
      <family val="0"/>
      <charset val="1"/>
    </font>
    <font>
      <sz val="7"/>
      <color rgb="FFBBBBBB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2F6B3A"/>
        <bgColor rgb="FF555555"/>
      </patternFill>
    </fill>
    <fill>
      <patternFill patternType="solid">
        <fgColor rgb="FFEDED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3A"/>
      <rgbColor rgb="FFBBBBBB"/>
      <rgbColor rgb="FF777777"/>
      <rgbColor rgb="FF9999FF"/>
      <rgbColor rgb="FF993366"/>
      <rgbColor rgb="FFFFF2B3"/>
      <rgbColor rgb="FFEDEDE6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B5452F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4" t="s">
        <v>24</v>
      </c>
    </row>
    <row r="32" customFormat="false" ht="15" hidden="false" customHeight="false" outlineLevel="0" collapsed="false">
      <c r="A32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46"/>
    <col collapsed="false" customWidth="true" hidden="true" outlineLevel="0" max="7" min="7" style="0" width="30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8"/>
  </cols>
  <sheetData>
    <row r="1" customFormat="false" ht="16.15" hidden="false" customHeight="false" outlineLevel="0" collapsed="false">
      <c r="A1" s="7" t="s">
        <v>26</v>
      </c>
    </row>
    <row r="3" customFormat="false" ht="15" hidden="false" customHeight="false" outlineLevel="0" collapsed="false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I3" s="8" t="s">
        <v>27</v>
      </c>
      <c r="J3" s="8" t="s">
        <v>34</v>
      </c>
      <c r="K3" s="8" t="s">
        <v>32</v>
      </c>
    </row>
    <row r="4" customFormat="false" ht="15" hidden="false" customHeight="false" outlineLevel="0" collapsed="false">
      <c r="A4" s="3" t="s">
        <v>35</v>
      </c>
      <c r="B4" s="3" t="n">
        <v>1</v>
      </c>
      <c r="C4" s="3" t="s">
        <v>36</v>
      </c>
      <c r="D4" s="9" t="n">
        <v>0</v>
      </c>
      <c r="E4" s="6"/>
      <c r="F4" s="10"/>
      <c r="G4" s="11" t="str">
        <f aca="false">A4&amp;"|"&amp;C4</f>
        <v>Soja|Semeadura/Emergência</v>
      </c>
      <c r="I4" s="3" t="s">
        <v>35</v>
      </c>
      <c r="J4" s="12" t="n">
        <v>46284</v>
      </c>
      <c r="K4" s="10" t="s">
        <v>37</v>
      </c>
    </row>
    <row r="5" customFormat="false" ht="15" hidden="false" customHeight="false" outlineLevel="0" collapsed="false">
      <c r="A5" s="3" t="s">
        <v>35</v>
      </c>
      <c r="B5" s="3" t="n">
        <v>2</v>
      </c>
      <c r="C5" s="3" t="s">
        <v>38</v>
      </c>
      <c r="D5" s="9" t="n">
        <v>10</v>
      </c>
      <c r="E5" s="6"/>
      <c r="F5" s="10"/>
      <c r="G5" s="11" t="str">
        <f aca="false">A5&amp;"|"&amp;C5</f>
        <v>Soja|Vegetativo (V1–Vn)</v>
      </c>
      <c r="I5" s="3" t="s">
        <v>39</v>
      </c>
      <c r="J5" s="12" t="n">
        <v>46270</v>
      </c>
      <c r="K5" s="10" t="s">
        <v>37</v>
      </c>
    </row>
    <row r="6" customFormat="false" ht="15" hidden="false" customHeight="false" outlineLevel="0" collapsed="false">
      <c r="A6" s="3" t="s">
        <v>35</v>
      </c>
      <c r="B6" s="3" t="n">
        <v>3</v>
      </c>
      <c r="C6" s="3" t="s">
        <v>40</v>
      </c>
      <c r="D6" s="9" t="n">
        <v>50</v>
      </c>
      <c r="E6" s="6" t="s">
        <v>41</v>
      </c>
      <c r="F6" s="10" t="s">
        <v>42</v>
      </c>
      <c r="G6" s="11" t="str">
        <f aca="false">A6&amp;"|"&amp;C6</f>
        <v>Soja|Florescimento (R1–R2)</v>
      </c>
      <c r="I6" s="3" t="s">
        <v>43</v>
      </c>
      <c r="J6" s="12" t="n">
        <v>46396</v>
      </c>
      <c r="K6" s="10" t="s">
        <v>37</v>
      </c>
    </row>
    <row r="7" customFormat="false" ht="15" hidden="false" customHeight="false" outlineLevel="0" collapsed="false">
      <c r="A7" s="3" t="s">
        <v>35</v>
      </c>
      <c r="B7" s="3" t="n">
        <v>4</v>
      </c>
      <c r="C7" s="3" t="s">
        <v>44</v>
      </c>
      <c r="D7" s="9" t="n">
        <v>62</v>
      </c>
      <c r="E7" s="6" t="s">
        <v>41</v>
      </c>
      <c r="F7" s="10" t="s">
        <v>45</v>
      </c>
      <c r="G7" s="11" t="str">
        <f aca="false">A7&amp;"|"&amp;C7</f>
        <v>Soja|Formação de vagens (R3–R4)</v>
      </c>
      <c r="I7" s="3" t="s">
        <v>46</v>
      </c>
      <c r="J7" s="12" t="n">
        <v>46410</v>
      </c>
      <c r="K7" s="10" t="s">
        <v>37</v>
      </c>
    </row>
    <row r="8" customFormat="false" ht="15" hidden="false" customHeight="false" outlineLevel="0" collapsed="false">
      <c r="A8" s="3" t="s">
        <v>35</v>
      </c>
      <c r="B8" s="3" t="n">
        <v>5</v>
      </c>
      <c r="C8" s="3" t="s">
        <v>47</v>
      </c>
      <c r="D8" s="9" t="n">
        <v>75</v>
      </c>
      <c r="E8" s="6" t="s">
        <v>41</v>
      </c>
      <c r="F8" s="10" t="s">
        <v>48</v>
      </c>
      <c r="G8" s="11" t="str">
        <f aca="false">A8&amp;"|"&amp;C8</f>
        <v>Soja|Enchimento de grãos (R5)</v>
      </c>
      <c r="I8" s="3" t="s">
        <v>49</v>
      </c>
      <c r="J8" s="12" t="n">
        <v>46284</v>
      </c>
      <c r="K8" s="10" t="s">
        <v>37</v>
      </c>
    </row>
    <row r="9" customFormat="false" ht="15" hidden="false" customHeight="false" outlineLevel="0" collapsed="false">
      <c r="A9" s="3" t="s">
        <v>35</v>
      </c>
      <c r="B9" s="3" t="n">
        <v>6</v>
      </c>
      <c r="C9" s="3" t="s">
        <v>50</v>
      </c>
      <c r="D9" s="9" t="n">
        <v>100</v>
      </c>
      <c r="E9" s="6"/>
      <c r="F9" s="10" t="s">
        <v>51</v>
      </c>
      <c r="G9" s="11" t="str">
        <f aca="false">A9&amp;"|"&amp;C9</f>
        <v>Soja|Maturação (R7–R8)</v>
      </c>
      <c r="I9" s="3" t="s">
        <v>52</v>
      </c>
      <c r="J9" s="12" t="n">
        <v>46270</v>
      </c>
      <c r="K9" s="10" t="s">
        <v>37</v>
      </c>
    </row>
    <row r="10" customFormat="false" ht="15" hidden="false" customHeight="false" outlineLevel="0" collapsed="false">
      <c r="A10" s="3" t="s">
        <v>35</v>
      </c>
      <c r="B10" s="3" t="n">
        <v>7</v>
      </c>
      <c r="C10" s="3" t="s">
        <v>53</v>
      </c>
      <c r="D10" s="9" t="n">
        <v>118</v>
      </c>
      <c r="E10" s="6"/>
      <c r="F10" s="10"/>
      <c r="G10" s="11" t="str">
        <f aca="false">A10&amp;"|"&amp;C10</f>
        <v>Soja|Colheita</v>
      </c>
      <c r="I10" s="3" t="s">
        <v>54</v>
      </c>
      <c r="J10" s="12" t="n">
        <v>46270</v>
      </c>
      <c r="K10" s="10" t="s">
        <v>37</v>
      </c>
    </row>
    <row r="11" customFormat="false" ht="15" hidden="false" customHeight="false" outlineLevel="0" collapsed="false">
      <c r="A11" s="3" t="s">
        <v>39</v>
      </c>
      <c r="B11" s="3" t="n">
        <v>1</v>
      </c>
      <c r="C11" s="3" t="s">
        <v>36</v>
      </c>
      <c r="D11" s="9" t="n">
        <v>0</v>
      </c>
      <c r="E11" s="6"/>
      <c r="F11" s="10"/>
      <c r="G11" s="11" t="str">
        <f aca="false">A11&amp;"|"&amp;C11</f>
        <v>Milho 1ª safra|Semeadura/Emergência</v>
      </c>
      <c r="I11" s="3" t="s">
        <v>55</v>
      </c>
      <c r="J11" s="12" t="n">
        <v>46403</v>
      </c>
      <c r="K11" s="10" t="s">
        <v>37</v>
      </c>
    </row>
    <row r="12" customFormat="false" ht="15" hidden="false" customHeight="false" outlineLevel="0" collapsed="false">
      <c r="A12" s="3" t="s">
        <v>39</v>
      </c>
      <c r="B12" s="3" t="n">
        <v>2</v>
      </c>
      <c r="C12" s="3" t="s">
        <v>56</v>
      </c>
      <c r="D12" s="9" t="n">
        <v>10</v>
      </c>
      <c r="E12" s="6"/>
      <c r="F12" s="10"/>
      <c r="G12" s="11" t="str">
        <f aca="false">A12&amp;"|"&amp;C12</f>
        <v>Milho 1ª safra|Vegetativo (V2–V8)</v>
      </c>
      <c r="I12" s="3" t="s">
        <v>57</v>
      </c>
      <c r="J12" s="12" t="n">
        <v>46333</v>
      </c>
      <c r="K12" s="10" t="s">
        <v>37</v>
      </c>
    </row>
    <row r="13" customFormat="false" ht="15" hidden="false" customHeight="false" outlineLevel="0" collapsed="false">
      <c r="A13" s="3" t="s">
        <v>39</v>
      </c>
      <c r="B13" s="3" t="n">
        <v>3</v>
      </c>
      <c r="C13" s="3" t="s">
        <v>58</v>
      </c>
      <c r="D13" s="9" t="n">
        <v>40</v>
      </c>
      <c r="E13" s="6"/>
      <c r="F13" s="10" t="s">
        <v>59</v>
      </c>
      <c r="G13" s="11" t="str">
        <f aca="false">A13&amp;"|"&amp;C13</f>
        <v>Milho 1ª safra|Pré-pendoamento (V9–VT)</v>
      </c>
      <c r="I13" s="3" t="s">
        <v>60</v>
      </c>
      <c r="J13" s="12" t="n">
        <v>46473</v>
      </c>
      <c r="K13" s="10" t="s">
        <v>37</v>
      </c>
    </row>
    <row r="14" customFormat="false" ht="15" hidden="false" customHeight="false" outlineLevel="0" collapsed="false">
      <c r="A14" s="3" t="s">
        <v>39</v>
      </c>
      <c r="B14" s="3" t="n">
        <v>4</v>
      </c>
      <c r="C14" s="3" t="s">
        <v>61</v>
      </c>
      <c r="D14" s="9" t="n">
        <v>62</v>
      </c>
      <c r="E14" s="6" t="s">
        <v>41</v>
      </c>
      <c r="F14" s="10" t="s">
        <v>62</v>
      </c>
      <c r="G14" s="11" t="str">
        <f aca="false">A14&amp;"|"&amp;C14</f>
        <v>Milho 1ª safra|Florescimento (VT–R1)</v>
      </c>
      <c r="I14" s="3" t="s">
        <v>63</v>
      </c>
      <c r="J14" s="12" t="n">
        <v>46473</v>
      </c>
      <c r="K14" s="10" t="s">
        <v>37</v>
      </c>
    </row>
    <row r="15" customFormat="false" ht="15" hidden="false" customHeight="false" outlineLevel="0" collapsed="false">
      <c r="A15" s="3" t="s">
        <v>39</v>
      </c>
      <c r="B15" s="3" t="n">
        <v>5</v>
      </c>
      <c r="C15" s="3" t="s">
        <v>64</v>
      </c>
      <c r="D15" s="9" t="n">
        <v>72</v>
      </c>
      <c r="E15" s="6" t="s">
        <v>41</v>
      </c>
      <c r="F15" s="10"/>
      <c r="G15" s="11" t="str">
        <f aca="false">A15&amp;"|"&amp;C15</f>
        <v>Milho 1ª safra|Enchimento de grãos (R2–R5)</v>
      </c>
    </row>
    <row r="16" customFormat="false" ht="15" hidden="false" customHeight="false" outlineLevel="0" collapsed="false">
      <c r="A16" s="3" t="s">
        <v>39</v>
      </c>
      <c r="B16" s="3" t="n">
        <v>6</v>
      </c>
      <c r="C16" s="3" t="s">
        <v>65</v>
      </c>
      <c r="D16" s="9" t="n">
        <v>120</v>
      </c>
      <c r="E16" s="6"/>
      <c r="F16" s="10"/>
      <c r="G16" s="11" t="str">
        <f aca="false">A16&amp;"|"&amp;C16</f>
        <v>Milho 1ª safra|Maturação fisiológica (R6)</v>
      </c>
    </row>
    <row r="17" customFormat="false" ht="15" hidden="false" customHeight="false" outlineLevel="0" collapsed="false">
      <c r="A17" s="3" t="s">
        <v>39</v>
      </c>
      <c r="B17" s="3" t="n">
        <v>7</v>
      </c>
      <c r="C17" s="3" t="s">
        <v>53</v>
      </c>
      <c r="D17" s="9" t="n">
        <v>140</v>
      </c>
      <c r="E17" s="6"/>
      <c r="F17" s="10"/>
      <c r="G17" s="11" t="str">
        <f aca="false">A17&amp;"|"&amp;C17</f>
        <v>Milho 1ª safra|Colheita</v>
      </c>
    </row>
    <row r="18" customFormat="false" ht="15" hidden="false" customHeight="false" outlineLevel="0" collapsed="false">
      <c r="A18" s="3" t="s">
        <v>43</v>
      </c>
      <c r="B18" s="3" t="n">
        <v>1</v>
      </c>
      <c r="C18" s="3" t="s">
        <v>36</v>
      </c>
      <c r="D18" s="9" t="n">
        <v>0</v>
      </c>
      <c r="E18" s="6"/>
      <c r="F18" s="10"/>
      <c r="G18" s="11" t="str">
        <f aca="false">A18&amp;"|"&amp;C18</f>
        <v>Milho 2ª safra|Semeadura/Emergência</v>
      </c>
    </row>
    <row r="19" customFormat="false" ht="15" hidden="false" customHeight="false" outlineLevel="0" collapsed="false">
      <c r="A19" s="3" t="s">
        <v>43</v>
      </c>
      <c r="B19" s="3" t="n">
        <v>2</v>
      </c>
      <c r="C19" s="3" t="s">
        <v>56</v>
      </c>
      <c r="D19" s="9" t="n">
        <v>10</v>
      </c>
      <c r="E19" s="6"/>
      <c r="F19" s="10"/>
      <c r="G19" s="11" t="str">
        <f aca="false">A19&amp;"|"&amp;C19</f>
        <v>Milho 2ª safra|Vegetativo (V2–V8)</v>
      </c>
    </row>
    <row r="20" customFormat="false" ht="15" hidden="false" customHeight="false" outlineLevel="0" collapsed="false">
      <c r="A20" s="3" t="s">
        <v>43</v>
      </c>
      <c r="B20" s="3" t="n">
        <v>3</v>
      </c>
      <c r="C20" s="3" t="s">
        <v>58</v>
      </c>
      <c r="D20" s="9" t="n">
        <v>38</v>
      </c>
      <c r="E20" s="6"/>
      <c r="F20" s="10"/>
      <c r="G20" s="11" t="str">
        <f aca="false">A20&amp;"|"&amp;C20</f>
        <v>Milho 2ª safra|Pré-pendoamento (V9–VT)</v>
      </c>
    </row>
    <row r="21" customFormat="false" ht="15" hidden="false" customHeight="false" outlineLevel="0" collapsed="false">
      <c r="A21" s="3" t="s">
        <v>43</v>
      </c>
      <c r="B21" s="3" t="n">
        <v>4</v>
      </c>
      <c r="C21" s="3" t="s">
        <v>61</v>
      </c>
      <c r="D21" s="9" t="n">
        <v>60</v>
      </c>
      <c r="E21" s="6" t="s">
        <v>41</v>
      </c>
      <c r="F21" s="10" t="s">
        <v>66</v>
      </c>
      <c r="G21" s="11" t="str">
        <f aca="false">A21&amp;"|"&amp;C21</f>
        <v>Milho 2ª safra|Florescimento (VT–R1)</v>
      </c>
    </row>
    <row r="22" customFormat="false" ht="15" hidden="false" customHeight="false" outlineLevel="0" collapsed="false">
      <c r="A22" s="3" t="s">
        <v>43</v>
      </c>
      <c r="B22" s="3" t="n">
        <v>5</v>
      </c>
      <c r="C22" s="3" t="s">
        <v>64</v>
      </c>
      <c r="D22" s="9" t="n">
        <v>70</v>
      </c>
      <c r="E22" s="6" t="s">
        <v>41</v>
      </c>
      <c r="F22" s="10" t="s">
        <v>67</v>
      </c>
      <c r="G22" s="11" t="str">
        <f aca="false">A22&amp;"|"&amp;C22</f>
        <v>Milho 2ª safra|Enchimento de grãos (R2–R5)</v>
      </c>
    </row>
    <row r="23" customFormat="false" ht="15" hidden="false" customHeight="false" outlineLevel="0" collapsed="false">
      <c r="A23" s="3" t="s">
        <v>43</v>
      </c>
      <c r="B23" s="3" t="n">
        <v>6</v>
      </c>
      <c r="C23" s="3" t="s">
        <v>65</v>
      </c>
      <c r="D23" s="9" t="n">
        <v>118</v>
      </c>
      <c r="E23" s="6"/>
      <c r="F23" s="10"/>
      <c r="G23" s="11" t="str">
        <f aca="false">A23&amp;"|"&amp;C23</f>
        <v>Milho 2ª safra|Maturação fisiológica (R6)</v>
      </c>
    </row>
    <row r="24" customFormat="false" ht="15" hidden="false" customHeight="false" outlineLevel="0" collapsed="false">
      <c r="A24" s="3" t="s">
        <v>43</v>
      </c>
      <c r="B24" s="3" t="n">
        <v>7</v>
      </c>
      <c r="C24" s="3" t="s">
        <v>53</v>
      </c>
      <c r="D24" s="9" t="n">
        <v>138</v>
      </c>
      <c r="E24" s="6"/>
      <c r="F24" s="10"/>
      <c r="G24" s="11" t="str">
        <f aca="false">A24&amp;"|"&amp;C24</f>
        <v>Milho 2ª safra|Colheita</v>
      </c>
    </row>
    <row r="25" customFormat="false" ht="15" hidden="false" customHeight="false" outlineLevel="0" collapsed="false">
      <c r="A25" s="3" t="s">
        <v>46</v>
      </c>
      <c r="B25" s="3" t="n">
        <v>1</v>
      </c>
      <c r="C25" s="3" t="s">
        <v>36</v>
      </c>
      <c r="D25" s="9" t="n">
        <v>0</v>
      </c>
      <c r="E25" s="6"/>
      <c r="F25" s="10"/>
      <c r="G25" s="11" t="str">
        <f aca="false">A25&amp;"|"&amp;C25</f>
        <v>Sorgo|Semeadura/Emergência</v>
      </c>
    </row>
    <row r="26" customFormat="false" ht="15" hidden="false" customHeight="false" outlineLevel="0" collapsed="false">
      <c r="A26" s="3" t="s">
        <v>46</v>
      </c>
      <c r="B26" s="3" t="n">
        <v>2</v>
      </c>
      <c r="C26" s="3" t="s">
        <v>68</v>
      </c>
      <c r="D26" s="9" t="n">
        <v>10</v>
      </c>
      <c r="E26" s="6"/>
      <c r="F26" s="10"/>
      <c r="G26" s="11" t="str">
        <f aca="false">A26&amp;"|"&amp;C26</f>
        <v>Sorgo|Vegetativo</v>
      </c>
    </row>
    <row r="27" customFormat="false" ht="15" hidden="false" customHeight="false" outlineLevel="0" collapsed="false">
      <c r="A27" s="3" t="s">
        <v>46</v>
      </c>
      <c r="B27" s="3" t="n">
        <v>3</v>
      </c>
      <c r="C27" s="3" t="s">
        <v>69</v>
      </c>
      <c r="D27" s="9" t="n">
        <v>45</v>
      </c>
      <c r="E27" s="6" t="s">
        <v>41</v>
      </c>
      <c r="F27" s="10"/>
      <c r="G27" s="11" t="str">
        <f aca="false">A27&amp;"|"&amp;C27</f>
        <v>Sorgo|Emborrachamento</v>
      </c>
    </row>
    <row r="28" customFormat="false" ht="15" hidden="false" customHeight="false" outlineLevel="0" collapsed="false">
      <c r="A28" s="3" t="s">
        <v>46</v>
      </c>
      <c r="B28" s="3" t="n">
        <v>4</v>
      </c>
      <c r="C28" s="3" t="s">
        <v>70</v>
      </c>
      <c r="D28" s="9" t="n">
        <v>60</v>
      </c>
      <c r="E28" s="6" t="s">
        <v>41</v>
      </c>
      <c r="F28" s="10"/>
      <c r="G28" s="11" t="str">
        <f aca="false">A28&amp;"|"&amp;C28</f>
        <v>Sorgo|Florescimento</v>
      </c>
    </row>
    <row r="29" customFormat="false" ht="15" hidden="false" customHeight="false" outlineLevel="0" collapsed="false">
      <c r="A29" s="3" t="s">
        <v>46</v>
      </c>
      <c r="B29" s="3" t="n">
        <v>5</v>
      </c>
      <c r="C29" s="3" t="s">
        <v>71</v>
      </c>
      <c r="D29" s="9" t="n">
        <v>70</v>
      </c>
      <c r="E29" s="6" t="s">
        <v>41</v>
      </c>
      <c r="F29" s="10"/>
      <c r="G29" s="11" t="str">
        <f aca="false">A29&amp;"|"&amp;C29</f>
        <v>Sorgo|Enchimento de grãos</v>
      </c>
    </row>
    <row r="30" customFormat="false" ht="15" hidden="false" customHeight="false" outlineLevel="0" collapsed="false">
      <c r="A30" s="3" t="s">
        <v>46</v>
      </c>
      <c r="B30" s="3" t="n">
        <v>6</v>
      </c>
      <c r="C30" s="3" t="s">
        <v>72</v>
      </c>
      <c r="D30" s="9" t="n">
        <v>100</v>
      </c>
      <c r="E30" s="6"/>
      <c r="F30" s="10"/>
      <c r="G30" s="11" t="str">
        <f aca="false">A30&amp;"|"&amp;C30</f>
        <v>Sorgo|Maturação</v>
      </c>
    </row>
    <row r="31" customFormat="false" ht="15" hidden="false" customHeight="false" outlineLevel="0" collapsed="false">
      <c r="A31" s="3" t="s">
        <v>46</v>
      </c>
      <c r="B31" s="3" t="n">
        <v>7</v>
      </c>
      <c r="C31" s="3" t="s">
        <v>53</v>
      </c>
      <c r="D31" s="9" t="n">
        <v>115</v>
      </c>
      <c r="E31" s="6"/>
      <c r="F31" s="10"/>
      <c r="G31" s="11" t="str">
        <f aca="false">A31&amp;"|"&amp;C31</f>
        <v>Sorgo|Colheita</v>
      </c>
    </row>
    <row r="32" customFormat="false" ht="15" hidden="false" customHeight="false" outlineLevel="0" collapsed="false">
      <c r="A32" s="3" t="s">
        <v>49</v>
      </c>
      <c r="B32" s="3" t="n">
        <v>1</v>
      </c>
      <c r="C32" s="3" t="s">
        <v>36</v>
      </c>
      <c r="D32" s="9" t="n">
        <v>0</v>
      </c>
      <c r="E32" s="6"/>
      <c r="F32" s="10"/>
      <c r="G32" s="11" t="str">
        <f aca="false">A32&amp;"|"&amp;C32</f>
        <v>Amendoim|Semeadura/Emergência</v>
      </c>
    </row>
    <row r="33" customFormat="false" ht="15" hidden="false" customHeight="false" outlineLevel="0" collapsed="false">
      <c r="A33" s="3" t="s">
        <v>49</v>
      </c>
      <c r="B33" s="3" t="n">
        <v>2</v>
      </c>
      <c r="C33" s="3" t="s">
        <v>68</v>
      </c>
      <c r="D33" s="9" t="n">
        <v>12</v>
      </c>
      <c r="E33" s="6"/>
      <c r="F33" s="10"/>
      <c r="G33" s="11" t="str">
        <f aca="false">A33&amp;"|"&amp;C33</f>
        <v>Amendoim|Vegetativo</v>
      </c>
    </row>
    <row r="34" customFormat="false" ht="15" hidden="false" customHeight="false" outlineLevel="0" collapsed="false">
      <c r="A34" s="3" t="s">
        <v>49</v>
      </c>
      <c r="B34" s="3" t="n">
        <v>3</v>
      </c>
      <c r="C34" s="3" t="s">
        <v>70</v>
      </c>
      <c r="D34" s="9" t="n">
        <v>30</v>
      </c>
      <c r="E34" s="6" t="s">
        <v>41</v>
      </c>
      <c r="F34" s="10"/>
      <c r="G34" s="11" t="str">
        <f aca="false">A34&amp;"|"&amp;C34</f>
        <v>Amendoim|Florescimento</v>
      </c>
    </row>
    <row r="35" customFormat="false" ht="15" hidden="false" customHeight="false" outlineLevel="0" collapsed="false">
      <c r="A35" s="3" t="s">
        <v>49</v>
      </c>
      <c r="B35" s="3" t="n">
        <v>4</v>
      </c>
      <c r="C35" s="3" t="s">
        <v>73</v>
      </c>
      <c r="D35" s="9" t="n">
        <v>45</v>
      </c>
      <c r="E35" s="6" t="s">
        <v>41</v>
      </c>
      <c r="F35" s="10" t="s">
        <v>74</v>
      </c>
      <c r="G35" s="11" t="str">
        <f aca="false">A35&amp;"|"&amp;C35</f>
        <v>Amendoim|Formação de vagens (ginóforos)</v>
      </c>
    </row>
    <row r="36" customFormat="false" ht="15" hidden="false" customHeight="false" outlineLevel="0" collapsed="false">
      <c r="A36" s="3" t="s">
        <v>49</v>
      </c>
      <c r="B36" s="3" t="n">
        <v>5</v>
      </c>
      <c r="C36" s="3" t="s">
        <v>75</v>
      </c>
      <c r="D36" s="9" t="n">
        <v>65</v>
      </c>
      <c r="E36" s="6" t="s">
        <v>41</v>
      </c>
      <c r="F36" s="10"/>
      <c r="G36" s="11" t="str">
        <f aca="false">A36&amp;"|"&amp;C36</f>
        <v>Amendoim|Enchimento de vagens</v>
      </c>
    </row>
    <row r="37" customFormat="false" ht="15" hidden="false" customHeight="false" outlineLevel="0" collapsed="false">
      <c r="A37" s="3" t="s">
        <v>49</v>
      </c>
      <c r="B37" s="3" t="n">
        <v>6</v>
      </c>
      <c r="C37" s="3" t="s">
        <v>72</v>
      </c>
      <c r="D37" s="9" t="n">
        <v>100</v>
      </c>
      <c r="E37" s="6"/>
      <c r="F37" s="10"/>
      <c r="G37" s="11" t="str">
        <f aca="false">A37&amp;"|"&amp;C37</f>
        <v>Amendoim|Maturação</v>
      </c>
    </row>
    <row r="38" customFormat="false" ht="15" hidden="false" customHeight="false" outlineLevel="0" collapsed="false">
      <c r="A38" s="3" t="s">
        <v>49</v>
      </c>
      <c r="B38" s="3" t="n">
        <v>7</v>
      </c>
      <c r="C38" s="3" t="s">
        <v>76</v>
      </c>
      <c r="D38" s="9" t="n">
        <v>120</v>
      </c>
      <c r="E38" s="6"/>
      <c r="F38" s="10"/>
      <c r="G38" s="11" t="str">
        <f aca="false">A38&amp;"|"&amp;C38</f>
        <v>Amendoim|Arranquio/Colheita</v>
      </c>
    </row>
    <row r="39" customFormat="false" ht="15" hidden="false" customHeight="false" outlineLevel="0" collapsed="false">
      <c r="A39" s="3" t="s">
        <v>52</v>
      </c>
      <c r="B39" s="3" t="n">
        <v>1</v>
      </c>
      <c r="C39" s="3" t="s">
        <v>36</v>
      </c>
      <c r="D39" s="9" t="n">
        <v>0</v>
      </c>
      <c r="E39" s="6"/>
      <c r="F39" s="10"/>
      <c r="G39" s="11" t="str">
        <f aca="false">A39&amp;"|"&amp;C39</f>
        <v>Arroz irrigado|Semeadura/Emergência</v>
      </c>
    </row>
    <row r="40" customFormat="false" ht="15" hidden="false" customHeight="false" outlineLevel="0" collapsed="false">
      <c r="A40" s="3" t="s">
        <v>52</v>
      </c>
      <c r="B40" s="3" t="n">
        <v>2</v>
      </c>
      <c r="C40" s="3" t="s">
        <v>77</v>
      </c>
      <c r="D40" s="9" t="n">
        <v>20</v>
      </c>
      <c r="E40" s="6"/>
      <c r="F40" s="10"/>
      <c r="G40" s="11" t="str">
        <f aca="false">A40&amp;"|"&amp;C40</f>
        <v>Arroz irrigado|Perfilhamento</v>
      </c>
    </row>
    <row r="41" customFormat="false" ht="15" hidden="false" customHeight="false" outlineLevel="0" collapsed="false">
      <c r="A41" s="3" t="s">
        <v>52</v>
      </c>
      <c r="B41" s="3" t="n">
        <v>3</v>
      </c>
      <c r="C41" s="3" t="s">
        <v>78</v>
      </c>
      <c r="D41" s="9" t="n">
        <v>55</v>
      </c>
      <c r="E41" s="6" t="s">
        <v>41</v>
      </c>
      <c r="F41" s="10" t="s">
        <v>79</v>
      </c>
      <c r="G41" s="11" t="str">
        <f aca="false">A41&amp;"|"&amp;C41</f>
        <v>Arroz irrigado|Diferenciação do primórdio floral</v>
      </c>
    </row>
    <row r="42" customFormat="false" ht="15" hidden="false" customHeight="false" outlineLevel="0" collapsed="false">
      <c r="A42" s="3" t="s">
        <v>52</v>
      </c>
      <c r="B42" s="3" t="n">
        <v>4</v>
      </c>
      <c r="C42" s="3" t="s">
        <v>80</v>
      </c>
      <c r="D42" s="9" t="n">
        <v>85</v>
      </c>
      <c r="E42" s="6" t="s">
        <v>41</v>
      </c>
      <c r="F42" s="10" t="s">
        <v>81</v>
      </c>
      <c r="G42" s="11" t="str">
        <f aca="false">A42&amp;"|"&amp;C42</f>
        <v>Arroz irrigado|Floração</v>
      </c>
    </row>
    <row r="43" customFormat="false" ht="15" hidden="false" customHeight="false" outlineLevel="0" collapsed="false">
      <c r="A43" s="3" t="s">
        <v>52</v>
      </c>
      <c r="B43" s="3" t="n">
        <v>5</v>
      </c>
      <c r="C43" s="3" t="s">
        <v>71</v>
      </c>
      <c r="D43" s="9" t="n">
        <v>92</v>
      </c>
      <c r="E43" s="6"/>
      <c r="F43" s="10"/>
      <c r="G43" s="11" t="str">
        <f aca="false">A43&amp;"|"&amp;C43</f>
        <v>Arroz irrigado|Enchimento de grãos</v>
      </c>
    </row>
    <row r="44" customFormat="false" ht="15" hidden="false" customHeight="false" outlineLevel="0" collapsed="false">
      <c r="A44" s="3" t="s">
        <v>52</v>
      </c>
      <c r="B44" s="3" t="n">
        <v>6</v>
      </c>
      <c r="C44" s="3" t="s">
        <v>72</v>
      </c>
      <c r="D44" s="9" t="n">
        <v>115</v>
      </c>
      <c r="E44" s="6"/>
      <c r="F44" s="10"/>
      <c r="G44" s="11" t="str">
        <f aca="false">A44&amp;"|"&amp;C44</f>
        <v>Arroz irrigado|Maturação</v>
      </c>
    </row>
    <row r="45" customFormat="false" ht="15" hidden="false" customHeight="false" outlineLevel="0" collapsed="false">
      <c r="A45" s="3" t="s">
        <v>52</v>
      </c>
      <c r="B45" s="3" t="n">
        <v>7</v>
      </c>
      <c r="C45" s="3" t="s">
        <v>53</v>
      </c>
      <c r="D45" s="9" t="n">
        <v>125</v>
      </c>
      <c r="E45" s="6"/>
      <c r="F45" s="10"/>
      <c r="G45" s="11" t="str">
        <f aca="false">A45&amp;"|"&amp;C45</f>
        <v>Arroz irrigado|Colheita</v>
      </c>
    </row>
    <row r="46" customFormat="false" ht="15" hidden="false" customHeight="false" outlineLevel="0" collapsed="false">
      <c r="A46" s="3" t="s">
        <v>54</v>
      </c>
      <c r="B46" s="3" t="n">
        <v>1</v>
      </c>
      <c r="C46" s="3" t="s">
        <v>36</v>
      </c>
      <c r="D46" s="9" t="n">
        <v>0</v>
      </c>
      <c r="E46" s="6"/>
      <c r="F46" s="10"/>
      <c r="G46" s="11" t="str">
        <f aca="false">A46&amp;"|"&amp;C46</f>
        <v>Feijão 1ª safra|Semeadura/Emergência</v>
      </c>
    </row>
    <row r="47" customFormat="false" ht="15" hidden="false" customHeight="false" outlineLevel="0" collapsed="false">
      <c r="A47" s="3" t="s">
        <v>54</v>
      </c>
      <c r="B47" s="3" t="n">
        <v>2</v>
      </c>
      <c r="C47" s="3" t="s">
        <v>82</v>
      </c>
      <c r="D47" s="9" t="n">
        <v>8</v>
      </c>
      <c r="E47" s="6"/>
      <c r="F47" s="10"/>
      <c r="G47" s="11" t="str">
        <f aca="false">A47&amp;"|"&amp;C47</f>
        <v>Feijão 1ª safra|Vegetativo (V1–V4)</v>
      </c>
    </row>
    <row r="48" customFormat="false" ht="15" hidden="false" customHeight="false" outlineLevel="0" collapsed="false">
      <c r="A48" s="3" t="s">
        <v>54</v>
      </c>
      <c r="B48" s="3" t="n">
        <v>3</v>
      </c>
      <c r="C48" s="3" t="s">
        <v>83</v>
      </c>
      <c r="D48" s="9" t="n">
        <v>30</v>
      </c>
      <c r="E48" s="6"/>
      <c r="F48" s="10"/>
      <c r="G48" s="11" t="str">
        <f aca="false">A48&amp;"|"&amp;C48</f>
        <v>Feijão 1ª safra|Pré-floração (R5)</v>
      </c>
    </row>
    <row r="49" customFormat="false" ht="15" hidden="false" customHeight="false" outlineLevel="0" collapsed="false">
      <c r="A49" s="3" t="s">
        <v>54</v>
      </c>
      <c r="B49" s="3" t="n">
        <v>4</v>
      </c>
      <c r="C49" s="3" t="s">
        <v>84</v>
      </c>
      <c r="D49" s="9" t="n">
        <v>35</v>
      </c>
      <c r="E49" s="6" t="s">
        <v>41</v>
      </c>
      <c r="F49" s="10" t="s">
        <v>85</v>
      </c>
      <c r="G49" s="11" t="str">
        <f aca="false">A49&amp;"|"&amp;C49</f>
        <v>Feijão 1ª safra|Floração (R6)</v>
      </c>
    </row>
    <row r="50" customFormat="false" ht="15" hidden="false" customHeight="false" outlineLevel="0" collapsed="false">
      <c r="A50" s="3" t="s">
        <v>54</v>
      </c>
      <c r="B50" s="3" t="n">
        <v>5</v>
      </c>
      <c r="C50" s="3" t="s">
        <v>86</v>
      </c>
      <c r="D50" s="9" t="n">
        <v>45</v>
      </c>
      <c r="E50" s="6" t="s">
        <v>41</v>
      </c>
      <c r="F50" s="10"/>
      <c r="G50" s="11" t="str">
        <f aca="false">A50&amp;"|"&amp;C50</f>
        <v>Feijão 1ª safra|Formação de vagens (R7)</v>
      </c>
    </row>
    <row r="51" customFormat="false" ht="15" hidden="false" customHeight="false" outlineLevel="0" collapsed="false">
      <c r="A51" s="3" t="s">
        <v>54</v>
      </c>
      <c r="B51" s="3" t="n">
        <v>6</v>
      </c>
      <c r="C51" s="3" t="s">
        <v>87</v>
      </c>
      <c r="D51" s="9" t="n">
        <v>55</v>
      </c>
      <c r="E51" s="6" t="s">
        <v>41</v>
      </c>
      <c r="F51" s="10"/>
      <c r="G51" s="11" t="str">
        <f aca="false">A51&amp;"|"&amp;C51</f>
        <v>Feijão 1ª safra|Enchimento (R8)</v>
      </c>
    </row>
    <row r="52" customFormat="false" ht="15" hidden="false" customHeight="false" outlineLevel="0" collapsed="false">
      <c r="A52" s="3" t="s">
        <v>54</v>
      </c>
      <c r="B52" s="3" t="n">
        <v>7</v>
      </c>
      <c r="C52" s="3" t="s">
        <v>88</v>
      </c>
      <c r="D52" s="9" t="n">
        <v>75</v>
      </c>
      <c r="E52" s="6"/>
      <c r="F52" s="10" t="s">
        <v>89</v>
      </c>
      <c r="G52" s="11" t="str">
        <f aca="false">A52&amp;"|"&amp;C52</f>
        <v>Feijão 1ª safra|Maturação (R9)</v>
      </c>
    </row>
    <row r="53" customFormat="false" ht="15" hidden="false" customHeight="false" outlineLevel="0" collapsed="false">
      <c r="A53" s="3" t="s">
        <v>54</v>
      </c>
      <c r="B53" s="3" t="n">
        <v>8</v>
      </c>
      <c r="C53" s="3" t="s">
        <v>53</v>
      </c>
      <c r="D53" s="9" t="n">
        <v>90</v>
      </c>
      <c r="E53" s="6"/>
      <c r="F53" s="10"/>
      <c r="G53" s="11" t="str">
        <f aca="false">A53&amp;"|"&amp;C53</f>
        <v>Feijão 1ª safra|Colheita</v>
      </c>
    </row>
    <row r="54" customFormat="false" ht="15" hidden="false" customHeight="false" outlineLevel="0" collapsed="false">
      <c r="A54" s="3" t="s">
        <v>55</v>
      </c>
      <c r="B54" s="3" t="n">
        <v>1</v>
      </c>
      <c r="C54" s="3" t="s">
        <v>36</v>
      </c>
      <c r="D54" s="9" t="n">
        <v>0</v>
      </c>
      <c r="E54" s="6"/>
      <c r="F54" s="10"/>
      <c r="G54" s="11" t="str">
        <f aca="false">A54&amp;"|"&amp;C54</f>
        <v>Feijão 2ª safra|Semeadura/Emergência</v>
      </c>
    </row>
    <row r="55" customFormat="false" ht="15" hidden="false" customHeight="false" outlineLevel="0" collapsed="false">
      <c r="A55" s="3" t="s">
        <v>55</v>
      </c>
      <c r="B55" s="3" t="n">
        <v>2</v>
      </c>
      <c r="C55" s="3" t="s">
        <v>82</v>
      </c>
      <c r="D55" s="9" t="n">
        <v>8</v>
      </c>
      <c r="E55" s="6"/>
      <c r="F55" s="10"/>
      <c r="G55" s="11" t="str">
        <f aca="false">A55&amp;"|"&amp;C55</f>
        <v>Feijão 2ª safra|Vegetativo (V1–V4)</v>
      </c>
    </row>
    <row r="56" customFormat="false" ht="15" hidden="false" customHeight="false" outlineLevel="0" collapsed="false">
      <c r="A56" s="3" t="s">
        <v>55</v>
      </c>
      <c r="B56" s="3" t="n">
        <v>3</v>
      </c>
      <c r="C56" s="3" t="s">
        <v>83</v>
      </c>
      <c r="D56" s="9" t="n">
        <v>30</v>
      </c>
      <c r="E56" s="6"/>
      <c r="F56" s="10"/>
      <c r="G56" s="11" t="str">
        <f aca="false">A56&amp;"|"&amp;C56</f>
        <v>Feijão 2ª safra|Pré-floração (R5)</v>
      </c>
    </row>
    <row r="57" customFormat="false" ht="15" hidden="false" customHeight="false" outlineLevel="0" collapsed="false">
      <c r="A57" s="3" t="s">
        <v>55</v>
      </c>
      <c r="B57" s="3" t="n">
        <v>4</v>
      </c>
      <c r="C57" s="3" t="s">
        <v>84</v>
      </c>
      <c r="D57" s="9" t="n">
        <v>35</v>
      </c>
      <c r="E57" s="6" t="s">
        <v>41</v>
      </c>
      <c r="F57" s="10"/>
      <c r="G57" s="11" t="str">
        <f aca="false">A57&amp;"|"&amp;C57</f>
        <v>Feijão 2ª safra|Floração (R6)</v>
      </c>
    </row>
    <row r="58" customFormat="false" ht="15" hidden="false" customHeight="false" outlineLevel="0" collapsed="false">
      <c r="A58" s="3" t="s">
        <v>55</v>
      </c>
      <c r="B58" s="3" t="n">
        <v>5</v>
      </c>
      <c r="C58" s="3" t="s">
        <v>86</v>
      </c>
      <c r="D58" s="9" t="n">
        <v>45</v>
      </c>
      <c r="E58" s="6" t="s">
        <v>41</v>
      </c>
      <c r="F58" s="10"/>
      <c r="G58" s="11" t="str">
        <f aca="false">A58&amp;"|"&amp;C58</f>
        <v>Feijão 2ª safra|Formação de vagens (R7)</v>
      </c>
    </row>
    <row r="59" customFormat="false" ht="15" hidden="false" customHeight="false" outlineLevel="0" collapsed="false">
      <c r="A59" s="3" t="s">
        <v>55</v>
      </c>
      <c r="B59" s="3" t="n">
        <v>6</v>
      </c>
      <c r="C59" s="3" t="s">
        <v>87</v>
      </c>
      <c r="D59" s="9" t="n">
        <v>55</v>
      </c>
      <c r="E59" s="6" t="s">
        <v>41</v>
      </c>
      <c r="F59" s="10"/>
      <c r="G59" s="11" t="str">
        <f aca="false">A59&amp;"|"&amp;C59</f>
        <v>Feijão 2ª safra|Enchimento (R8)</v>
      </c>
    </row>
    <row r="60" customFormat="false" ht="15" hidden="false" customHeight="false" outlineLevel="0" collapsed="false">
      <c r="A60" s="3" t="s">
        <v>55</v>
      </c>
      <c r="B60" s="3" t="n">
        <v>7</v>
      </c>
      <c r="C60" s="3" t="s">
        <v>88</v>
      </c>
      <c r="D60" s="9" t="n">
        <v>75</v>
      </c>
      <c r="E60" s="6"/>
      <c r="F60" s="10"/>
      <c r="G60" s="11" t="str">
        <f aca="false">A60&amp;"|"&amp;C60</f>
        <v>Feijão 2ª safra|Maturação (R9)</v>
      </c>
    </row>
    <row r="61" customFormat="false" ht="15" hidden="false" customHeight="false" outlineLevel="0" collapsed="false">
      <c r="A61" s="3" t="s">
        <v>55</v>
      </c>
      <c r="B61" s="3" t="n">
        <v>8</v>
      </c>
      <c r="C61" s="3" t="s">
        <v>53</v>
      </c>
      <c r="D61" s="9" t="n">
        <v>90</v>
      </c>
      <c r="E61" s="6"/>
      <c r="F61" s="10"/>
      <c r="G61" s="11" t="str">
        <f aca="false">A61&amp;"|"&amp;C61</f>
        <v>Feijão 2ª safra|Colheita</v>
      </c>
    </row>
    <row r="62" customFormat="false" ht="15" hidden="false" customHeight="false" outlineLevel="0" collapsed="false">
      <c r="A62" s="3" t="s">
        <v>57</v>
      </c>
      <c r="B62" s="3" t="n">
        <v>1</v>
      </c>
      <c r="C62" s="3" t="s">
        <v>36</v>
      </c>
      <c r="D62" s="9" t="n">
        <v>0</v>
      </c>
      <c r="E62" s="6"/>
      <c r="F62" s="10"/>
      <c r="G62" s="11" t="str">
        <f aca="false">A62&amp;"|"&amp;C62</f>
        <v>Algodão|Semeadura/Emergência</v>
      </c>
    </row>
    <row r="63" customFormat="false" ht="15" hidden="false" customHeight="false" outlineLevel="0" collapsed="false">
      <c r="A63" s="3" t="s">
        <v>57</v>
      </c>
      <c r="B63" s="3" t="n">
        <v>2</v>
      </c>
      <c r="C63" s="3" t="s">
        <v>68</v>
      </c>
      <c r="D63" s="9" t="n">
        <v>10</v>
      </c>
      <c r="E63" s="6"/>
      <c r="F63" s="10"/>
      <c r="G63" s="11" t="str">
        <f aca="false">A63&amp;"|"&amp;C63</f>
        <v>Algodão|Vegetativo</v>
      </c>
    </row>
    <row r="64" customFormat="false" ht="15" hidden="false" customHeight="false" outlineLevel="0" collapsed="false">
      <c r="A64" s="3" t="s">
        <v>57</v>
      </c>
      <c r="B64" s="3" t="n">
        <v>3</v>
      </c>
      <c r="C64" s="3" t="s">
        <v>90</v>
      </c>
      <c r="D64" s="9" t="n">
        <v>35</v>
      </c>
      <c r="E64" s="6"/>
      <c r="F64" s="10"/>
      <c r="G64" s="11" t="str">
        <f aca="false">A64&amp;"|"&amp;C64</f>
        <v>Algodão|Botão floral</v>
      </c>
    </row>
    <row r="65" customFormat="false" ht="15" hidden="false" customHeight="false" outlineLevel="0" collapsed="false">
      <c r="A65" s="3" t="s">
        <v>57</v>
      </c>
      <c r="B65" s="3" t="n">
        <v>4</v>
      </c>
      <c r="C65" s="3" t="s">
        <v>70</v>
      </c>
      <c r="D65" s="9" t="n">
        <v>60</v>
      </c>
      <c r="E65" s="6" t="s">
        <v>41</v>
      </c>
      <c r="F65" s="10" t="s">
        <v>91</v>
      </c>
      <c r="G65" s="11" t="str">
        <f aca="false">A65&amp;"|"&amp;C65</f>
        <v>Algodão|Florescimento</v>
      </c>
    </row>
    <row r="66" customFormat="false" ht="15" hidden="false" customHeight="false" outlineLevel="0" collapsed="false">
      <c r="A66" s="3" t="s">
        <v>57</v>
      </c>
      <c r="B66" s="3" t="n">
        <v>5</v>
      </c>
      <c r="C66" s="3" t="s">
        <v>92</v>
      </c>
      <c r="D66" s="9" t="n">
        <v>120</v>
      </c>
      <c r="E66" s="6"/>
      <c r="F66" s="10" t="s">
        <v>93</v>
      </c>
      <c r="G66" s="11" t="str">
        <f aca="false">A66&amp;"|"&amp;C66</f>
        <v>Algodão|Abertura de capulhos</v>
      </c>
    </row>
    <row r="67" customFormat="false" ht="15" hidden="false" customHeight="false" outlineLevel="0" collapsed="false">
      <c r="A67" s="3" t="s">
        <v>57</v>
      </c>
      <c r="B67" s="3" t="n">
        <v>6</v>
      </c>
      <c r="C67" s="3" t="s">
        <v>53</v>
      </c>
      <c r="D67" s="9" t="n">
        <v>170</v>
      </c>
      <c r="E67" s="6"/>
      <c r="F67" s="10"/>
      <c r="G67" s="11" t="str">
        <f aca="false">A67&amp;"|"&amp;C67</f>
        <v>Algodão|Colheita</v>
      </c>
    </row>
    <row r="68" customFormat="false" ht="15" hidden="false" customHeight="false" outlineLevel="0" collapsed="false">
      <c r="A68" s="3" t="s">
        <v>60</v>
      </c>
      <c r="B68" s="3" t="n">
        <v>1</v>
      </c>
      <c r="C68" s="3" t="s">
        <v>36</v>
      </c>
      <c r="D68" s="9" t="n">
        <v>0</v>
      </c>
      <c r="E68" s="6"/>
      <c r="F68" s="10"/>
      <c r="G68" s="11" t="str">
        <f aca="false">A68&amp;"|"&amp;C68</f>
        <v>Trigo|Semeadura/Emergência</v>
      </c>
    </row>
    <row r="69" customFormat="false" ht="15" hidden="false" customHeight="false" outlineLevel="0" collapsed="false">
      <c r="A69" s="3" t="s">
        <v>60</v>
      </c>
      <c r="B69" s="3" t="n">
        <v>2</v>
      </c>
      <c r="C69" s="3" t="s">
        <v>77</v>
      </c>
      <c r="D69" s="9" t="n">
        <v>20</v>
      </c>
      <c r="E69" s="6"/>
      <c r="F69" s="10"/>
      <c r="G69" s="11" t="str">
        <f aca="false">A69&amp;"|"&amp;C69</f>
        <v>Trigo|Perfilhamento</v>
      </c>
    </row>
    <row r="70" customFormat="false" ht="15" hidden="false" customHeight="false" outlineLevel="0" collapsed="false">
      <c r="A70" s="3" t="s">
        <v>60</v>
      </c>
      <c r="B70" s="3" t="n">
        <v>3</v>
      </c>
      <c r="C70" s="3" t="s">
        <v>94</v>
      </c>
      <c r="D70" s="9" t="n">
        <v>40</v>
      </c>
      <c r="E70" s="6"/>
      <c r="F70" s="10"/>
      <c r="G70" s="11" t="str">
        <f aca="false">A70&amp;"|"&amp;C70</f>
        <v>Trigo|Alongamento</v>
      </c>
    </row>
    <row r="71" customFormat="false" ht="15" hidden="false" customHeight="false" outlineLevel="0" collapsed="false">
      <c r="A71" s="3" t="s">
        <v>60</v>
      </c>
      <c r="B71" s="3" t="n">
        <v>4</v>
      </c>
      <c r="C71" s="3" t="s">
        <v>95</v>
      </c>
      <c r="D71" s="9" t="n">
        <v>60</v>
      </c>
      <c r="E71" s="6" t="s">
        <v>41</v>
      </c>
      <c r="F71" s="10" t="s">
        <v>96</v>
      </c>
      <c r="G71" s="11" t="str">
        <f aca="false">A71&amp;"|"&amp;C71</f>
        <v>Trigo|Espigamento</v>
      </c>
    </row>
    <row r="72" customFormat="false" ht="15" hidden="false" customHeight="false" outlineLevel="0" collapsed="false">
      <c r="A72" s="3" t="s">
        <v>60</v>
      </c>
      <c r="B72" s="3" t="n">
        <v>5</v>
      </c>
      <c r="C72" s="3" t="s">
        <v>80</v>
      </c>
      <c r="D72" s="9" t="n">
        <v>65</v>
      </c>
      <c r="E72" s="6" t="s">
        <v>41</v>
      </c>
      <c r="F72" s="10" t="s">
        <v>97</v>
      </c>
      <c r="G72" s="11" t="str">
        <f aca="false">A72&amp;"|"&amp;C72</f>
        <v>Trigo|Floração</v>
      </c>
    </row>
    <row r="73" customFormat="false" ht="15" hidden="false" customHeight="false" outlineLevel="0" collapsed="false">
      <c r="A73" s="3" t="s">
        <v>60</v>
      </c>
      <c r="B73" s="3" t="n">
        <v>6</v>
      </c>
      <c r="C73" s="3" t="s">
        <v>71</v>
      </c>
      <c r="D73" s="9" t="n">
        <v>75</v>
      </c>
      <c r="E73" s="6" t="s">
        <v>41</v>
      </c>
      <c r="F73" s="10" t="s">
        <v>96</v>
      </c>
      <c r="G73" s="11" t="str">
        <f aca="false">A73&amp;"|"&amp;C73</f>
        <v>Trigo|Enchimento de grãos</v>
      </c>
    </row>
    <row r="74" customFormat="false" ht="15" hidden="false" customHeight="false" outlineLevel="0" collapsed="false">
      <c r="A74" s="3" t="s">
        <v>60</v>
      </c>
      <c r="B74" s="3" t="n">
        <v>7</v>
      </c>
      <c r="C74" s="3" t="s">
        <v>72</v>
      </c>
      <c r="D74" s="9" t="n">
        <v>105</v>
      </c>
      <c r="E74" s="6"/>
      <c r="F74" s="10" t="s">
        <v>98</v>
      </c>
      <c r="G74" s="11" t="str">
        <f aca="false">A74&amp;"|"&amp;C74</f>
        <v>Trigo|Maturação</v>
      </c>
    </row>
    <row r="75" customFormat="false" ht="15" hidden="false" customHeight="false" outlineLevel="0" collapsed="false">
      <c r="A75" s="3" t="s">
        <v>60</v>
      </c>
      <c r="B75" s="3" t="n">
        <v>8</v>
      </c>
      <c r="C75" s="3" t="s">
        <v>53</v>
      </c>
      <c r="D75" s="9" t="n">
        <v>120</v>
      </c>
      <c r="E75" s="6"/>
      <c r="F75" s="10"/>
      <c r="G75" s="11" t="str">
        <f aca="false">A75&amp;"|"&amp;C75</f>
        <v>Trigo|Colheita</v>
      </c>
    </row>
    <row r="76" customFormat="false" ht="15" hidden="false" customHeight="false" outlineLevel="0" collapsed="false">
      <c r="A76" s="3" t="s">
        <v>63</v>
      </c>
      <c r="B76" s="3" t="n">
        <v>1</v>
      </c>
      <c r="C76" s="3" t="s">
        <v>36</v>
      </c>
      <c r="D76" s="9" t="n">
        <v>0</v>
      </c>
      <c r="E76" s="6"/>
      <c r="F76" s="10"/>
      <c r="G76" s="11" t="str">
        <f aca="false">A76&amp;"|"&amp;C76</f>
        <v>Aveia|Semeadura/Emergência</v>
      </c>
    </row>
    <row r="77" customFormat="false" ht="15" hidden="false" customHeight="false" outlineLevel="0" collapsed="false">
      <c r="A77" s="3" t="s">
        <v>63</v>
      </c>
      <c r="B77" s="3" t="n">
        <v>2</v>
      </c>
      <c r="C77" s="3" t="s">
        <v>77</v>
      </c>
      <c r="D77" s="9" t="n">
        <v>20</v>
      </c>
      <c r="E77" s="6"/>
      <c r="F77" s="10"/>
      <c r="G77" s="11" t="str">
        <f aca="false">A77&amp;"|"&amp;C77</f>
        <v>Aveia|Perfilhamento</v>
      </c>
    </row>
    <row r="78" customFormat="false" ht="15" hidden="false" customHeight="false" outlineLevel="0" collapsed="false">
      <c r="A78" s="3" t="s">
        <v>63</v>
      </c>
      <c r="B78" s="3" t="n">
        <v>3</v>
      </c>
      <c r="C78" s="3" t="s">
        <v>94</v>
      </c>
      <c r="D78" s="9" t="n">
        <v>45</v>
      </c>
      <c r="E78" s="6"/>
      <c r="F78" s="10"/>
      <c r="G78" s="11" t="str">
        <f aca="false">A78&amp;"|"&amp;C78</f>
        <v>Aveia|Alongamento</v>
      </c>
    </row>
    <row r="79" customFormat="false" ht="15" hidden="false" customHeight="false" outlineLevel="0" collapsed="false">
      <c r="A79" s="3" t="s">
        <v>63</v>
      </c>
      <c r="B79" s="3" t="n">
        <v>4</v>
      </c>
      <c r="C79" s="3" t="s">
        <v>99</v>
      </c>
      <c r="D79" s="9" t="n">
        <v>65</v>
      </c>
      <c r="E79" s="6" t="s">
        <v>41</v>
      </c>
      <c r="F79" s="10" t="s">
        <v>96</v>
      </c>
      <c r="G79" s="11" t="str">
        <f aca="false">A79&amp;"|"&amp;C79</f>
        <v>Aveia|Emborrachamento/Espigamento</v>
      </c>
    </row>
    <row r="80" customFormat="false" ht="15" hidden="false" customHeight="false" outlineLevel="0" collapsed="false">
      <c r="A80" s="3" t="s">
        <v>63</v>
      </c>
      <c r="B80" s="3" t="n">
        <v>5</v>
      </c>
      <c r="C80" s="3" t="s">
        <v>80</v>
      </c>
      <c r="D80" s="9" t="n">
        <v>70</v>
      </c>
      <c r="E80" s="6" t="s">
        <v>41</v>
      </c>
      <c r="F80" s="10" t="s">
        <v>100</v>
      </c>
      <c r="G80" s="11" t="str">
        <f aca="false">A80&amp;"|"&amp;C80</f>
        <v>Aveia|Floração</v>
      </c>
    </row>
    <row r="81" customFormat="false" ht="15" hidden="false" customHeight="false" outlineLevel="0" collapsed="false">
      <c r="A81" s="3" t="s">
        <v>63</v>
      </c>
      <c r="B81" s="3" t="n">
        <v>6</v>
      </c>
      <c r="C81" s="3" t="s">
        <v>71</v>
      </c>
      <c r="D81" s="9" t="n">
        <v>80</v>
      </c>
      <c r="E81" s="6" t="s">
        <v>41</v>
      </c>
      <c r="F81" s="10"/>
      <c r="G81" s="11" t="str">
        <f aca="false">A81&amp;"|"&amp;C81</f>
        <v>Aveia|Enchimento de grãos</v>
      </c>
    </row>
    <row r="82" customFormat="false" ht="15" hidden="false" customHeight="false" outlineLevel="0" collapsed="false">
      <c r="A82" s="3" t="s">
        <v>63</v>
      </c>
      <c r="B82" s="3" t="n">
        <v>7</v>
      </c>
      <c r="C82" s="3" t="s">
        <v>72</v>
      </c>
      <c r="D82" s="9" t="n">
        <v>110</v>
      </c>
      <c r="E82" s="6"/>
      <c r="F82" s="10"/>
      <c r="G82" s="11" t="str">
        <f aca="false">A82&amp;"|"&amp;C82</f>
        <v>Aveia|Maturação</v>
      </c>
    </row>
    <row r="83" customFormat="false" ht="15" hidden="false" customHeight="false" outlineLevel="0" collapsed="false">
      <c r="A83" s="3" t="s">
        <v>63</v>
      </c>
      <c r="B83" s="3" t="n">
        <v>8</v>
      </c>
      <c r="C83" s="3" t="s">
        <v>53</v>
      </c>
      <c r="D83" s="9" t="n">
        <v>125</v>
      </c>
      <c r="E83" s="6"/>
      <c r="F83" s="10"/>
      <c r="G83" s="11" t="str">
        <f aca="false">A83&amp;"|"&amp;C83</f>
        <v>Aveia|Colheita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101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Parâmetros!$J$4</f>
        <v>46284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46284</v>
      </c>
      <c r="F5" s="17" t="n">
        <f aca="false">$B$3+7</f>
        <v>46291</v>
      </c>
      <c r="G5" s="17" t="n">
        <f aca="false">$B$3+14</f>
        <v>46298</v>
      </c>
      <c r="H5" s="17" t="n">
        <f aca="false">$B$3+21</f>
        <v>46305</v>
      </c>
      <c r="I5" s="17" t="n">
        <f aca="false">$B$3+28</f>
        <v>46312</v>
      </c>
      <c r="J5" s="17" t="n">
        <f aca="false">$B$3+35</f>
        <v>46319</v>
      </c>
      <c r="K5" s="17" t="n">
        <f aca="false">$B$3+42</f>
        <v>46326</v>
      </c>
      <c r="L5" s="17" t="n">
        <f aca="false">$B$3+49</f>
        <v>46333</v>
      </c>
      <c r="M5" s="17" t="n">
        <f aca="false">$B$3+56</f>
        <v>46340</v>
      </c>
      <c r="N5" s="17" t="n">
        <f aca="false">$B$3+63</f>
        <v>46347</v>
      </c>
      <c r="O5" s="17" t="n">
        <f aca="false">$B$3+70</f>
        <v>46354</v>
      </c>
      <c r="P5" s="17" t="n">
        <f aca="false">$B$3+77</f>
        <v>46361</v>
      </c>
      <c r="Q5" s="17" t="n">
        <f aca="false">$B$3+84</f>
        <v>46368</v>
      </c>
      <c r="R5" s="17" t="n">
        <f aca="false">$B$3+91</f>
        <v>46375</v>
      </c>
      <c r="S5" s="17" t="n">
        <f aca="false">$B$3+98</f>
        <v>46382</v>
      </c>
      <c r="T5" s="17" t="n">
        <f aca="false">$B$3+105</f>
        <v>46389</v>
      </c>
      <c r="U5" s="17" t="n">
        <f aca="false">$B$3+112</f>
        <v>46396</v>
      </c>
      <c r="V5" s="17" t="n">
        <f aca="false">$B$3+119</f>
        <v>46403</v>
      </c>
      <c r="W5" s="17" t="n">
        <f aca="false">$B$3+126</f>
        <v>46410</v>
      </c>
      <c r="X5" s="17" t="n">
        <f aca="false">$B$3+133</f>
        <v>46417</v>
      </c>
      <c r="Y5" s="17" t="n">
        <f aca="false">$B$3+140</f>
        <v>46424</v>
      </c>
      <c r="Z5" s="17" t="n">
        <f aca="false">$B$3+147</f>
        <v>46431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292</v>
      </c>
    </row>
    <row r="2" customFormat="false" ht="15" hidden="false" customHeight="false" outlineLevel="0" collapsed="false">
      <c r="D2" s="21" t="s">
        <v>293</v>
      </c>
      <c r="E2" s="21" t="n">
        <f aca="false">MATCH("Soja|"&amp;$B$3,Parâmetros!$G$4:$G$83,0)+3</f>
        <v>6</v>
      </c>
      <c r="F2" s="21" t="s">
        <v>294</v>
      </c>
      <c r="G2" s="22" t="b">
        <f aca="false">INDEX(Parâmetros!$A$1:$A$84,$E$2+1)&lt;&gt;"Soja"</f>
        <v>0</v>
      </c>
    </row>
    <row r="3" customFormat="false" ht="15" hidden="false" customHeight="false" outlineLevel="0" collapsed="false">
      <c r="A3" s="13" t="s">
        <v>295</v>
      </c>
      <c r="B3" s="9" t="s">
        <v>40</v>
      </c>
      <c r="D3" s="21" t="s">
        <v>296</v>
      </c>
      <c r="E3" s="21" t="n">
        <f aca="false">ROUND(INDEX(Parâmetros!$D$1:$D$83,$E$2)/7,0)</f>
        <v>7</v>
      </c>
      <c r="F3" s="21" t="s">
        <v>297</v>
      </c>
      <c r="G3" s="21" t="n">
        <f aca="false">IF($G$2,999,ROUND(INDEX(Parâmetros!$D$1:$D$84,$E$2+1)/7,0))</f>
        <v>9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Déficit hídrico reduz pegamento de flores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Soja!$B$3+0</f>
        <v>46284</v>
      </c>
      <c r="F7" s="17" t="n">
        <f aca="false">Soja!$B$3+7</f>
        <v>46291</v>
      </c>
      <c r="G7" s="17" t="n">
        <f aca="false">Soja!$B$3+14</f>
        <v>46298</v>
      </c>
      <c r="H7" s="17" t="n">
        <f aca="false">Soja!$B$3+21</f>
        <v>46305</v>
      </c>
      <c r="I7" s="17" t="n">
        <f aca="false">Soja!$B$3+28</f>
        <v>46312</v>
      </c>
      <c r="J7" s="17" t="n">
        <f aca="false">Soja!$B$3+35</f>
        <v>46319</v>
      </c>
      <c r="K7" s="17" t="n">
        <f aca="false">Soja!$B$3+42</f>
        <v>46326</v>
      </c>
      <c r="L7" s="17" t="n">
        <f aca="false">Soja!$B$3+49</f>
        <v>46333</v>
      </c>
      <c r="M7" s="17" t="n">
        <f aca="false">Soja!$B$3+56</f>
        <v>46340</v>
      </c>
      <c r="N7" s="17" t="n">
        <f aca="false">Soja!$B$3+63</f>
        <v>46347</v>
      </c>
      <c r="O7" s="17" t="n">
        <f aca="false">Soja!$B$3+70</f>
        <v>46354</v>
      </c>
      <c r="P7" s="17" t="n">
        <f aca="false">Soja!$B$3+77</f>
        <v>46361</v>
      </c>
      <c r="Q7" s="17" t="n">
        <f aca="false">Soja!$B$3+84</f>
        <v>46368</v>
      </c>
      <c r="R7" s="17" t="n">
        <f aca="false">Soja!$B$3+91</f>
        <v>46375</v>
      </c>
      <c r="S7" s="17" t="n">
        <f aca="false">Soja!$B$3+98</f>
        <v>46382</v>
      </c>
      <c r="T7" s="17" t="n">
        <f aca="false">Soja!$B$3+105</f>
        <v>46389</v>
      </c>
      <c r="U7" s="17" t="n">
        <f aca="false">Soja!$B$3+112</f>
        <v>46396</v>
      </c>
      <c r="V7" s="17" t="n">
        <f aca="false">Soja!$B$3+119</f>
        <v>46403</v>
      </c>
      <c r="W7" s="17" t="n">
        <f aca="false">Soja!$B$3+126</f>
        <v>46410</v>
      </c>
      <c r="X7" s="17" t="n">
        <f aca="false">Soja!$B$3+133</f>
        <v>46417</v>
      </c>
      <c r="Y7" s="17" t="n">
        <f aca="false">Soja!$B$3+140</f>
        <v>46424</v>
      </c>
      <c r="Z7" s="17" t="n">
        <f aca="false">Soja!$B$3+147</f>
        <v>46431</v>
      </c>
      <c r="AA7" s="17" t="n">
        <f aca="false">Soja!$B$3+154</f>
        <v>46438</v>
      </c>
      <c r="AB7" s="17" t="n">
        <f aca="false">Soja!$B$3+161</f>
        <v>46445</v>
      </c>
      <c r="AC7" s="17" t="n">
        <f aca="false">Soja!$B$3+168</f>
        <v>46452</v>
      </c>
      <c r="AD7" s="17" t="n">
        <f aca="false">Soja!$B$3+175</f>
        <v>46459</v>
      </c>
      <c r="AE7" s="17" t="n">
        <f aca="false">Soja!$B$3+182</f>
        <v>46466</v>
      </c>
      <c r="AF7" s="17" t="n">
        <f aca="false">Soja!$B$3+189</f>
        <v>46473</v>
      </c>
      <c r="AG7" s="17" t="n">
        <f aca="false">Soja!$B$3+196</f>
        <v>46480</v>
      </c>
      <c r="AH7" s="17" t="n">
        <f aca="false">Soja!$B$3+203</f>
        <v>46487</v>
      </c>
      <c r="AI7" s="17" t="n">
        <f aca="false">Soja!$B$3+210</f>
        <v>46494</v>
      </c>
      <c r="AJ7" s="17" t="n">
        <f aca="false">Soja!$B$3+217</f>
        <v>46501</v>
      </c>
      <c r="AK7" s="17" t="n">
        <f aca="false">Soja!$B$3+224</f>
        <v>46508</v>
      </c>
      <c r="AL7" s="17" t="n">
        <f aca="false">Soja!$B$3+231</f>
        <v>46515</v>
      </c>
      <c r="AM7" s="17" t="n">
        <f aca="false">Soja!$B$3+238</f>
        <v>46522</v>
      </c>
      <c r="AN7" s="17" t="n">
        <f aca="false">Soja!$B$3+245</f>
        <v>46529</v>
      </c>
      <c r="AO7" s="17" t="n">
        <f aca="false">Soja!$B$3+252</f>
        <v>46536</v>
      </c>
      <c r="AP7" s="17" t="n">
        <f aca="false">Soja!$B$3+259</f>
        <v>46543</v>
      </c>
      <c r="AQ7" s="17" t="n">
        <f aca="false">Soja!$B$3+266</f>
        <v>46550</v>
      </c>
      <c r="AR7" s="17" t="n">
        <f aca="false">Soja!$B$3+273</f>
        <v>46557</v>
      </c>
      <c r="AS7" s="17" t="n">
        <f aca="false">Soja!$B$3+280</f>
        <v>46564</v>
      </c>
      <c r="AT7" s="17" t="n">
        <f aca="false">Soja!$B$3+287</f>
        <v>46571</v>
      </c>
      <c r="AU7" s="17" t="n">
        <f aca="false">Soja!$B$3+294</f>
        <v>46578</v>
      </c>
      <c r="AV7" s="17" t="n">
        <f aca="false">Soja!$B$3+301</f>
        <v>46585</v>
      </c>
      <c r="AW7" s="17" t="n">
        <f aca="false">Soja!$B$3+308</f>
        <v>46592</v>
      </c>
      <c r="AX7" s="17" t="n">
        <f aca="false">Soja!$B$3+315</f>
        <v>46599</v>
      </c>
      <c r="AY7" s="17" t="n">
        <f aca="false">Soja!$B$3+322</f>
        <v>46606</v>
      </c>
      <c r="AZ7" s="17" t="n">
        <f aca="false">Soja!$B$3+329</f>
        <v>46613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IF(COUNT(Soja!$E6:$Z6)&gt;0,N(Soja!$D6),0)</f>
        <v>0</v>
      </c>
      <c r="E8" s="27" t="n">
        <f aca="false">IF(COUNT(Soja!$E6:$Z6)=0,0,MAX(0,IF((E$6-$E$3)&lt;1,0,IFERROR(LOOKUP(2,1/(Soja!$E6:INDEX(Soja!$E6:$Z6,MIN(E$6-$E$3,22))&lt;&gt;""),Soja!$E6:INDEX(Soja!$E6:$Z6,MIN(E$6-$E$3,22))),0))-IF($G$2,0,IF((E$6-$G$3)&lt;1,0,IFERROR(LOOKUP(2,1/(Soja!$E6:INDEX(Soja!$E6:$Z6,MIN(E$6-$G$3,22))&lt;&gt;""),Soja!$E6:INDEX(Soja!$E6:$Z6,MIN(E$6-$G$3,22))),0)))))</f>
        <v>0</v>
      </c>
      <c r="F8" s="27" t="n">
        <f aca="false">IF(COUNT(Soja!$E6:$Z6)=0,0,MAX(0,IF((F$6-$E$3)&lt;1,0,IFERROR(LOOKUP(2,1/(Soja!$E6:INDEX(Soja!$E6:$Z6,MIN(F$6-$E$3,22))&lt;&gt;""),Soja!$E6:INDEX(Soja!$E6:$Z6,MIN(F$6-$E$3,22))),0))-IF($G$2,0,IF((F$6-$G$3)&lt;1,0,IFERROR(LOOKUP(2,1/(Soja!$E6:INDEX(Soja!$E6:$Z6,MIN(F$6-$G$3,22))&lt;&gt;""),Soja!$E6:INDEX(Soja!$E6:$Z6,MIN(F$6-$G$3,22))),0)))))</f>
        <v>0</v>
      </c>
      <c r="G8" s="27" t="n">
        <f aca="false">IF(COUNT(Soja!$E6:$Z6)=0,0,MAX(0,IF((G$6-$E$3)&lt;1,0,IFERROR(LOOKUP(2,1/(Soja!$E6:INDEX(Soja!$E6:$Z6,MIN(G$6-$E$3,22))&lt;&gt;""),Soja!$E6:INDEX(Soja!$E6:$Z6,MIN(G$6-$E$3,22))),0))-IF($G$2,0,IF((G$6-$G$3)&lt;1,0,IFERROR(LOOKUP(2,1/(Soja!$E6:INDEX(Soja!$E6:$Z6,MIN(G$6-$G$3,22))&lt;&gt;""),Soja!$E6:INDEX(Soja!$E6:$Z6,MIN(G$6-$G$3,22))),0)))))</f>
        <v>0</v>
      </c>
      <c r="H8" s="27" t="n">
        <f aca="false">IF(COUNT(Soja!$E6:$Z6)=0,0,MAX(0,IF((H$6-$E$3)&lt;1,0,IFERROR(LOOKUP(2,1/(Soja!$E6:INDEX(Soja!$E6:$Z6,MIN(H$6-$E$3,22))&lt;&gt;""),Soja!$E6:INDEX(Soja!$E6:$Z6,MIN(H$6-$E$3,22))),0))-IF($G$2,0,IF((H$6-$G$3)&lt;1,0,IFERROR(LOOKUP(2,1/(Soja!$E6:INDEX(Soja!$E6:$Z6,MIN(H$6-$G$3,22))&lt;&gt;""),Soja!$E6:INDEX(Soja!$E6:$Z6,MIN(H$6-$G$3,22))),0)))))</f>
        <v>0</v>
      </c>
      <c r="I8" s="27" t="n">
        <f aca="false">IF(COUNT(Soja!$E6:$Z6)=0,0,MAX(0,IF((I$6-$E$3)&lt;1,0,IFERROR(LOOKUP(2,1/(Soja!$E6:INDEX(Soja!$E6:$Z6,MIN(I$6-$E$3,22))&lt;&gt;""),Soja!$E6:INDEX(Soja!$E6:$Z6,MIN(I$6-$E$3,22))),0))-IF($G$2,0,IF((I$6-$G$3)&lt;1,0,IFERROR(LOOKUP(2,1/(Soja!$E6:INDEX(Soja!$E6:$Z6,MIN(I$6-$G$3,22))&lt;&gt;""),Soja!$E6:INDEX(Soja!$E6:$Z6,MIN(I$6-$G$3,22))),0)))))</f>
        <v>0</v>
      </c>
      <c r="J8" s="27" t="n">
        <f aca="false">IF(COUNT(Soja!$E6:$Z6)=0,0,MAX(0,IF((J$6-$E$3)&lt;1,0,IFERROR(LOOKUP(2,1/(Soja!$E6:INDEX(Soja!$E6:$Z6,MIN(J$6-$E$3,22))&lt;&gt;""),Soja!$E6:INDEX(Soja!$E6:$Z6,MIN(J$6-$E$3,22))),0))-IF($G$2,0,IF((J$6-$G$3)&lt;1,0,IFERROR(LOOKUP(2,1/(Soja!$E6:INDEX(Soja!$E6:$Z6,MIN(J$6-$G$3,22))&lt;&gt;""),Soja!$E6:INDEX(Soja!$E6:$Z6,MIN(J$6-$G$3,22))),0)))))</f>
        <v>0</v>
      </c>
      <c r="K8" s="27" t="n">
        <f aca="false">IF(COUNT(Soja!$E6:$Z6)=0,0,MAX(0,IF((K$6-$E$3)&lt;1,0,IFERROR(LOOKUP(2,1/(Soja!$E6:INDEX(Soja!$E6:$Z6,MIN(K$6-$E$3,22))&lt;&gt;""),Soja!$E6:INDEX(Soja!$E6:$Z6,MIN(K$6-$E$3,22))),0))-IF($G$2,0,IF((K$6-$G$3)&lt;1,0,IFERROR(LOOKUP(2,1/(Soja!$E6:INDEX(Soja!$E6:$Z6,MIN(K$6-$G$3,22))&lt;&gt;""),Soja!$E6:INDEX(Soja!$E6:$Z6,MIN(K$6-$G$3,22))),0)))))</f>
        <v>0</v>
      </c>
      <c r="L8" s="27" t="n">
        <f aca="false">IF(COUNT(Soja!$E6:$Z6)=0,0,MAX(0,IF((L$6-$E$3)&lt;1,0,IFERROR(LOOKUP(2,1/(Soja!$E6:INDEX(Soja!$E6:$Z6,MIN(L$6-$E$3,22))&lt;&gt;""),Soja!$E6:INDEX(Soja!$E6:$Z6,MIN(L$6-$E$3,22))),0))-IF($G$2,0,IF((L$6-$G$3)&lt;1,0,IFERROR(LOOKUP(2,1/(Soja!$E6:INDEX(Soja!$E6:$Z6,MIN(L$6-$G$3,22))&lt;&gt;""),Soja!$E6:INDEX(Soja!$E6:$Z6,MIN(L$6-$G$3,22))),0)))))</f>
        <v>0</v>
      </c>
      <c r="M8" s="27" t="n">
        <f aca="false">IF(COUNT(Soja!$E6:$Z6)=0,0,MAX(0,IF((M$6-$E$3)&lt;1,0,IFERROR(LOOKUP(2,1/(Soja!$E6:INDEX(Soja!$E6:$Z6,MIN(M$6-$E$3,22))&lt;&gt;""),Soja!$E6:INDEX(Soja!$E6:$Z6,MIN(M$6-$E$3,22))),0))-IF($G$2,0,IF((M$6-$G$3)&lt;1,0,IFERROR(LOOKUP(2,1/(Soja!$E6:INDEX(Soja!$E6:$Z6,MIN(M$6-$G$3,22))&lt;&gt;""),Soja!$E6:INDEX(Soja!$E6:$Z6,MIN(M$6-$G$3,22))),0)))))</f>
        <v>0</v>
      </c>
      <c r="N8" s="27" t="n">
        <f aca="false">IF(COUNT(Soja!$E6:$Z6)=0,0,MAX(0,IF((N$6-$E$3)&lt;1,0,IFERROR(LOOKUP(2,1/(Soja!$E6:INDEX(Soja!$E6:$Z6,MIN(N$6-$E$3,22))&lt;&gt;""),Soja!$E6:INDEX(Soja!$E6:$Z6,MIN(N$6-$E$3,22))),0))-IF($G$2,0,IF((N$6-$G$3)&lt;1,0,IFERROR(LOOKUP(2,1/(Soja!$E6:INDEX(Soja!$E6:$Z6,MIN(N$6-$G$3,22))&lt;&gt;""),Soja!$E6:INDEX(Soja!$E6:$Z6,MIN(N$6-$G$3,22))),0)))))</f>
        <v>0</v>
      </c>
      <c r="O8" s="27" t="n">
        <f aca="false">IF(COUNT(Soja!$E6:$Z6)=0,0,MAX(0,IF((O$6-$E$3)&lt;1,0,IFERROR(LOOKUP(2,1/(Soja!$E6:INDEX(Soja!$E6:$Z6,MIN(O$6-$E$3,22))&lt;&gt;""),Soja!$E6:INDEX(Soja!$E6:$Z6,MIN(O$6-$E$3,22))),0))-IF($G$2,0,IF((O$6-$G$3)&lt;1,0,IFERROR(LOOKUP(2,1/(Soja!$E6:INDEX(Soja!$E6:$Z6,MIN(O$6-$G$3,22))&lt;&gt;""),Soja!$E6:INDEX(Soja!$E6:$Z6,MIN(O$6-$G$3,22))),0)))))</f>
        <v>0</v>
      </c>
      <c r="P8" s="27" t="n">
        <f aca="false">IF(COUNT(Soja!$E6:$Z6)=0,0,MAX(0,IF((P$6-$E$3)&lt;1,0,IFERROR(LOOKUP(2,1/(Soja!$E6:INDEX(Soja!$E6:$Z6,MIN(P$6-$E$3,22))&lt;&gt;""),Soja!$E6:INDEX(Soja!$E6:$Z6,MIN(P$6-$E$3,22))),0))-IF($G$2,0,IF((P$6-$G$3)&lt;1,0,IFERROR(LOOKUP(2,1/(Soja!$E6:INDEX(Soja!$E6:$Z6,MIN(P$6-$G$3,22))&lt;&gt;""),Soja!$E6:INDEX(Soja!$E6:$Z6,MIN(P$6-$G$3,22))),0)))))</f>
        <v>0</v>
      </c>
      <c r="Q8" s="27" t="n">
        <f aca="false">IF(COUNT(Soja!$E6:$Z6)=0,0,MAX(0,IF((Q$6-$E$3)&lt;1,0,IFERROR(LOOKUP(2,1/(Soja!$E6:INDEX(Soja!$E6:$Z6,MIN(Q$6-$E$3,22))&lt;&gt;""),Soja!$E6:INDEX(Soja!$E6:$Z6,MIN(Q$6-$E$3,22))),0))-IF($G$2,0,IF((Q$6-$G$3)&lt;1,0,IFERROR(LOOKUP(2,1/(Soja!$E6:INDEX(Soja!$E6:$Z6,MIN(Q$6-$G$3,22))&lt;&gt;""),Soja!$E6:INDEX(Soja!$E6:$Z6,MIN(Q$6-$G$3,22))),0)))))</f>
        <v>0</v>
      </c>
      <c r="R8" s="27" t="n">
        <f aca="false">IF(COUNT(Soja!$E6:$Z6)=0,0,MAX(0,IF((R$6-$E$3)&lt;1,0,IFERROR(LOOKUP(2,1/(Soja!$E6:INDEX(Soja!$E6:$Z6,MIN(R$6-$E$3,22))&lt;&gt;""),Soja!$E6:INDEX(Soja!$E6:$Z6,MIN(R$6-$E$3,22))),0))-IF($G$2,0,IF((R$6-$G$3)&lt;1,0,IFERROR(LOOKUP(2,1/(Soja!$E6:INDEX(Soja!$E6:$Z6,MIN(R$6-$G$3,22))&lt;&gt;""),Soja!$E6:INDEX(Soja!$E6:$Z6,MIN(R$6-$G$3,22))),0)))))</f>
        <v>0</v>
      </c>
      <c r="S8" s="27" t="n">
        <f aca="false">IF(COUNT(Soja!$E6:$Z6)=0,0,MAX(0,IF((S$6-$E$3)&lt;1,0,IFERROR(LOOKUP(2,1/(Soja!$E6:INDEX(Soja!$E6:$Z6,MIN(S$6-$E$3,22))&lt;&gt;""),Soja!$E6:INDEX(Soja!$E6:$Z6,MIN(S$6-$E$3,22))),0))-IF($G$2,0,IF((S$6-$G$3)&lt;1,0,IFERROR(LOOKUP(2,1/(Soja!$E6:INDEX(Soja!$E6:$Z6,MIN(S$6-$G$3,22))&lt;&gt;""),Soja!$E6:INDEX(Soja!$E6:$Z6,MIN(S$6-$G$3,22))),0)))))</f>
        <v>0</v>
      </c>
      <c r="T8" s="27" t="n">
        <f aca="false">IF(COUNT(Soja!$E6:$Z6)=0,0,MAX(0,IF((T$6-$E$3)&lt;1,0,IFERROR(LOOKUP(2,1/(Soja!$E6:INDEX(Soja!$E6:$Z6,MIN(T$6-$E$3,22))&lt;&gt;""),Soja!$E6:INDEX(Soja!$E6:$Z6,MIN(T$6-$E$3,22))),0))-IF($G$2,0,IF((T$6-$G$3)&lt;1,0,IFERROR(LOOKUP(2,1/(Soja!$E6:INDEX(Soja!$E6:$Z6,MIN(T$6-$G$3,22))&lt;&gt;""),Soja!$E6:INDEX(Soja!$E6:$Z6,MIN(T$6-$G$3,22))),0)))))</f>
        <v>0</v>
      </c>
      <c r="U8" s="27" t="n">
        <f aca="false">IF(COUNT(Soja!$E6:$Z6)=0,0,MAX(0,IF((U$6-$E$3)&lt;1,0,IFERROR(LOOKUP(2,1/(Soja!$E6:INDEX(Soja!$E6:$Z6,MIN(U$6-$E$3,22))&lt;&gt;""),Soja!$E6:INDEX(Soja!$E6:$Z6,MIN(U$6-$E$3,22))),0))-IF($G$2,0,IF((U$6-$G$3)&lt;1,0,IFERROR(LOOKUP(2,1/(Soja!$E6:INDEX(Soja!$E6:$Z6,MIN(U$6-$G$3,22))&lt;&gt;""),Soja!$E6:INDEX(Soja!$E6:$Z6,MIN(U$6-$G$3,22))),0)))))</f>
        <v>0</v>
      </c>
      <c r="V8" s="27" t="n">
        <f aca="false">IF(COUNT(Soja!$E6:$Z6)=0,0,MAX(0,IF((V$6-$E$3)&lt;1,0,IFERROR(LOOKUP(2,1/(Soja!$E6:INDEX(Soja!$E6:$Z6,MIN(V$6-$E$3,22))&lt;&gt;""),Soja!$E6:INDEX(Soja!$E6:$Z6,MIN(V$6-$E$3,22))),0))-IF($G$2,0,IF((V$6-$G$3)&lt;1,0,IFERROR(LOOKUP(2,1/(Soja!$E6:INDEX(Soja!$E6:$Z6,MIN(V$6-$G$3,22))&lt;&gt;""),Soja!$E6:INDEX(Soja!$E6:$Z6,MIN(V$6-$G$3,22))),0)))))</f>
        <v>0</v>
      </c>
      <c r="W8" s="27" t="n">
        <f aca="false">IF(COUNT(Soja!$E6:$Z6)=0,0,MAX(0,IF((W$6-$E$3)&lt;1,0,IFERROR(LOOKUP(2,1/(Soja!$E6:INDEX(Soja!$E6:$Z6,MIN(W$6-$E$3,22))&lt;&gt;""),Soja!$E6:INDEX(Soja!$E6:$Z6,MIN(W$6-$E$3,22))),0))-IF($G$2,0,IF((W$6-$G$3)&lt;1,0,IFERROR(LOOKUP(2,1/(Soja!$E6:INDEX(Soja!$E6:$Z6,MIN(W$6-$G$3,22))&lt;&gt;""),Soja!$E6:INDEX(Soja!$E6:$Z6,MIN(W$6-$G$3,22))),0)))))</f>
        <v>0</v>
      </c>
      <c r="X8" s="27" t="n">
        <f aca="false">IF(COUNT(Soja!$E6:$Z6)=0,0,MAX(0,IF((X$6-$E$3)&lt;1,0,IFERROR(LOOKUP(2,1/(Soja!$E6:INDEX(Soja!$E6:$Z6,MIN(X$6-$E$3,22))&lt;&gt;""),Soja!$E6:INDEX(Soja!$E6:$Z6,MIN(X$6-$E$3,22))),0))-IF($G$2,0,IF((X$6-$G$3)&lt;1,0,IFERROR(LOOKUP(2,1/(Soja!$E6:INDEX(Soja!$E6:$Z6,MIN(X$6-$G$3,22))&lt;&gt;""),Soja!$E6:INDEX(Soja!$E6:$Z6,MIN(X$6-$G$3,22))),0)))))</f>
        <v>0</v>
      </c>
      <c r="Y8" s="27" t="n">
        <f aca="false">IF(COUNT(Soja!$E6:$Z6)=0,0,MAX(0,IF((Y$6-$E$3)&lt;1,0,IFERROR(LOOKUP(2,1/(Soja!$E6:INDEX(Soja!$E6:$Z6,MIN(Y$6-$E$3,22))&lt;&gt;""),Soja!$E6:INDEX(Soja!$E6:$Z6,MIN(Y$6-$E$3,22))),0))-IF($G$2,0,IF((Y$6-$G$3)&lt;1,0,IFERROR(LOOKUP(2,1/(Soja!$E6:INDEX(Soja!$E6:$Z6,MIN(Y$6-$G$3,22))&lt;&gt;""),Soja!$E6:INDEX(Soja!$E6:$Z6,MIN(Y$6-$G$3,22))),0)))))</f>
        <v>0</v>
      </c>
      <c r="Z8" s="27" t="n">
        <f aca="false">IF(COUNT(Soja!$E6:$Z6)=0,0,MAX(0,IF((Z$6-$E$3)&lt;1,0,IFERROR(LOOKUP(2,1/(Soja!$E6:INDEX(Soja!$E6:$Z6,MIN(Z$6-$E$3,22))&lt;&gt;""),Soja!$E6:INDEX(Soja!$E6:$Z6,MIN(Z$6-$E$3,22))),0))-IF($G$2,0,IF((Z$6-$G$3)&lt;1,0,IFERROR(LOOKUP(2,1/(Soja!$E6:INDEX(Soja!$E6:$Z6,MIN(Z$6-$G$3,22))&lt;&gt;""),Soja!$E6:INDEX(Soja!$E6:$Z6,MIN(Z$6-$G$3,22))),0)))))</f>
        <v>0</v>
      </c>
      <c r="AA8" s="27" t="n">
        <f aca="false">IF(COUNT(Soja!$E6:$Z6)=0,0,MAX(0,IF((AA$6-$E$3)&lt;1,0,IFERROR(LOOKUP(2,1/(Soja!$E6:INDEX(Soja!$E6:$Z6,MIN(AA$6-$E$3,22))&lt;&gt;""),Soja!$E6:INDEX(Soja!$E6:$Z6,MIN(AA$6-$E$3,22))),0))-IF($G$2,0,IF((AA$6-$G$3)&lt;1,0,IFERROR(LOOKUP(2,1/(Soja!$E6:INDEX(Soja!$E6:$Z6,MIN(AA$6-$G$3,22))&lt;&gt;""),Soja!$E6:INDEX(Soja!$E6:$Z6,MIN(AA$6-$G$3,22))),0)))))</f>
        <v>0</v>
      </c>
      <c r="AB8" s="27" t="n">
        <f aca="false">IF(COUNT(Soja!$E6:$Z6)=0,0,MAX(0,IF((AB$6-$E$3)&lt;1,0,IFERROR(LOOKUP(2,1/(Soja!$E6:INDEX(Soja!$E6:$Z6,MIN(AB$6-$E$3,22))&lt;&gt;""),Soja!$E6:INDEX(Soja!$E6:$Z6,MIN(AB$6-$E$3,22))),0))-IF($G$2,0,IF((AB$6-$G$3)&lt;1,0,IFERROR(LOOKUP(2,1/(Soja!$E6:INDEX(Soja!$E6:$Z6,MIN(AB$6-$G$3,22))&lt;&gt;""),Soja!$E6:INDEX(Soja!$E6:$Z6,MIN(AB$6-$G$3,22))),0)))))</f>
        <v>0</v>
      </c>
      <c r="AC8" s="27" t="n">
        <f aca="false">IF(COUNT(Soja!$E6:$Z6)=0,0,MAX(0,IF((AC$6-$E$3)&lt;1,0,IFERROR(LOOKUP(2,1/(Soja!$E6:INDEX(Soja!$E6:$Z6,MIN(AC$6-$E$3,22))&lt;&gt;""),Soja!$E6:INDEX(Soja!$E6:$Z6,MIN(AC$6-$E$3,22))),0))-IF($G$2,0,IF((AC$6-$G$3)&lt;1,0,IFERROR(LOOKUP(2,1/(Soja!$E6:INDEX(Soja!$E6:$Z6,MIN(AC$6-$G$3,22))&lt;&gt;""),Soja!$E6:INDEX(Soja!$E6:$Z6,MIN(AC$6-$G$3,22))),0)))))</f>
        <v>0</v>
      </c>
      <c r="AD8" s="27" t="n">
        <f aca="false">IF(COUNT(Soja!$E6:$Z6)=0,0,MAX(0,IF((AD$6-$E$3)&lt;1,0,IFERROR(LOOKUP(2,1/(Soja!$E6:INDEX(Soja!$E6:$Z6,MIN(AD$6-$E$3,22))&lt;&gt;""),Soja!$E6:INDEX(Soja!$E6:$Z6,MIN(AD$6-$E$3,22))),0))-IF($G$2,0,IF((AD$6-$G$3)&lt;1,0,IFERROR(LOOKUP(2,1/(Soja!$E6:INDEX(Soja!$E6:$Z6,MIN(AD$6-$G$3,22))&lt;&gt;""),Soja!$E6:INDEX(Soja!$E6:$Z6,MIN(AD$6-$G$3,22))),0)))))</f>
        <v>0</v>
      </c>
      <c r="AE8" s="27" t="n">
        <f aca="false">IF(COUNT(Soja!$E6:$Z6)=0,0,MAX(0,IF((AE$6-$E$3)&lt;1,0,IFERROR(LOOKUP(2,1/(Soja!$E6:INDEX(Soja!$E6:$Z6,MIN(AE$6-$E$3,22))&lt;&gt;""),Soja!$E6:INDEX(Soja!$E6:$Z6,MIN(AE$6-$E$3,22))),0))-IF($G$2,0,IF((AE$6-$G$3)&lt;1,0,IFERROR(LOOKUP(2,1/(Soja!$E6:INDEX(Soja!$E6:$Z6,MIN(AE$6-$G$3,22))&lt;&gt;""),Soja!$E6:INDEX(Soja!$E6:$Z6,MIN(AE$6-$G$3,22))),0)))))</f>
        <v>0</v>
      </c>
      <c r="AF8" s="27" t="n">
        <f aca="false">IF(COUNT(Soja!$E6:$Z6)=0,0,MAX(0,IF((AF$6-$E$3)&lt;1,0,IFERROR(LOOKUP(2,1/(Soja!$E6:INDEX(Soja!$E6:$Z6,MIN(AF$6-$E$3,22))&lt;&gt;""),Soja!$E6:INDEX(Soja!$E6:$Z6,MIN(AF$6-$E$3,22))),0))-IF($G$2,0,IF((AF$6-$G$3)&lt;1,0,IFERROR(LOOKUP(2,1/(Soja!$E6:INDEX(Soja!$E6:$Z6,MIN(AF$6-$G$3,22))&lt;&gt;""),Soja!$E6:INDEX(Soja!$E6:$Z6,MIN(AF$6-$G$3,22))),0)))))</f>
        <v>0</v>
      </c>
      <c r="AG8" s="27" t="n">
        <f aca="false">IF(COUNT(Soja!$E6:$Z6)=0,0,MAX(0,IF((AG$6-$E$3)&lt;1,0,IFERROR(LOOKUP(2,1/(Soja!$E6:INDEX(Soja!$E6:$Z6,MIN(AG$6-$E$3,22))&lt;&gt;""),Soja!$E6:INDEX(Soja!$E6:$Z6,MIN(AG$6-$E$3,22))),0))-IF($G$2,0,IF((AG$6-$G$3)&lt;1,0,IFERROR(LOOKUP(2,1/(Soja!$E6:INDEX(Soja!$E6:$Z6,MIN(AG$6-$G$3,22))&lt;&gt;""),Soja!$E6:INDEX(Soja!$E6:$Z6,MIN(AG$6-$G$3,22))),0)))))</f>
        <v>0</v>
      </c>
      <c r="AH8" s="27" t="n">
        <f aca="false">IF(COUNT(Soja!$E6:$Z6)=0,0,MAX(0,IF((AH$6-$E$3)&lt;1,0,IFERROR(LOOKUP(2,1/(Soja!$E6:INDEX(Soja!$E6:$Z6,MIN(AH$6-$E$3,22))&lt;&gt;""),Soja!$E6:INDEX(Soja!$E6:$Z6,MIN(AH$6-$E$3,22))),0))-IF($G$2,0,IF((AH$6-$G$3)&lt;1,0,IFERROR(LOOKUP(2,1/(Soja!$E6:INDEX(Soja!$E6:$Z6,MIN(AH$6-$G$3,22))&lt;&gt;""),Soja!$E6:INDEX(Soja!$E6:$Z6,MIN(AH$6-$G$3,22))),0)))))</f>
        <v>0</v>
      </c>
      <c r="AI8" s="27" t="n">
        <f aca="false">IF(COUNT(Soja!$E6:$Z6)=0,0,MAX(0,IF((AI$6-$E$3)&lt;1,0,IFERROR(LOOKUP(2,1/(Soja!$E6:INDEX(Soja!$E6:$Z6,MIN(AI$6-$E$3,22))&lt;&gt;""),Soja!$E6:INDEX(Soja!$E6:$Z6,MIN(AI$6-$E$3,22))),0))-IF($G$2,0,IF((AI$6-$G$3)&lt;1,0,IFERROR(LOOKUP(2,1/(Soja!$E6:INDEX(Soja!$E6:$Z6,MIN(AI$6-$G$3,22))&lt;&gt;""),Soja!$E6:INDEX(Soja!$E6:$Z6,MIN(AI$6-$G$3,22))),0)))))</f>
        <v>0</v>
      </c>
      <c r="AJ8" s="27" t="n">
        <f aca="false">IF(COUNT(Soja!$E6:$Z6)=0,0,MAX(0,IF((AJ$6-$E$3)&lt;1,0,IFERROR(LOOKUP(2,1/(Soja!$E6:INDEX(Soja!$E6:$Z6,MIN(AJ$6-$E$3,22))&lt;&gt;""),Soja!$E6:INDEX(Soja!$E6:$Z6,MIN(AJ$6-$E$3,22))),0))-IF($G$2,0,IF((AJ$6-$G$3)&lt;1,0,IFERROR(LOOKUP(2,1/(Soja!$E6:INDEX(Soja!$E6:$Z6,MIN(AJ$6-$G$3,22))&lt;&gt;""),Soja!$E6:INDEX(Soja!$E6:$Z6,MIN(AJ$6-$G$3,22))),0)))))</f>
        <v>0</v>
      </c>
      <c r="AK8" s="27" t="n">
        <f aca="false">IF(COUNT(Soja!$E6:$Z6)=0,0,MAX(0,IF((AK$6-$E$3)&lt;1,0,IFERROR(LOOKUP(2,1/(Soja!$E6:INDEX(Soja!$E6:$Z6,MIN(AK$6-$E$3,22))&lt;&gt;""),Soja!$E6:INDEX(Soja!$E6:$Z6,MIN(AK$6-$E$3,22))),0))-IF($G$2,0,IF((AK$6-$G$3)&lt;1,0,IFERROR(LOOKUP(2,1/(Soja!$E6:INDEX(Soja!$E6:$Z6,MIN(AK$6-$G$3,22))&lt;&gt;""),Soja!$E6:INDEX(Soja!$E6:$Z6,MIN(AK$6-$G$3,22))),0)))))</f>
        <v>0</v>
      </c>
      <c r="AL8" s="27" t="n">
        <f aca="false">IF(COUNT(Soja!$E6:$Z6)=0,0,MAX(0,IF((AL$6-$E$3)&lt;1,0,IFERROR(LOOKUP(2,1/(Soja!$E6:INDEX(Soja!$E6:$Z6,MIN(AL$6-$E$3,22))&lt;&gt;""),Soja!$E6:INDEX(Soja!$E6:$Z6,MIN(AL$6-$E$3,22))),0))-IF($G$2,0,IF((AL$6-$G$3)&lt;1,0,IFERROR(LOOKUP(2,1/(Soja!$E6:INDEX(Soja!$E6:$Z6,MIN(AL$6-$G$3,22))&lt;&gt;""),Soja!$E6:INDEX(Soja!$E6:$Z6,MIN(AL$6-$G$3,22))),0)))))</f>
        <v>0</v>
      </c>
      <c r="AM8" s="27" t="n">
        <f aca="false">IF(COUNT(Soja!$E6:$Z6)=0,0,MAX(0,IF((AM$6-$E$3)&lt;1,0,IFERROR(LOOKUP(2,1/(Soja!$E6:INDEX(Soja!$E6:$Z6,MIN(AM$6-$E$3,22))&lt;&gt;""),Soja!$E6:INDEX(Soja!$E6:$Z6,MIN(AM$6-$E$3,22))),0))-IF($G$2,0,IF((AM$6-$G$3)&lt;1,0,IFERROR(LOOKUP(2,1/(Soja!$E6:INDEX(Soja!$E6:$Z6,MIN(AM$6-$G$3,22))&lt;&gt;""),Soja!$E6:INDEX(Soja!$E6:$Z6,MIN(AM$6-$G$3,22))),0)))))</f>
        <v>0</v>
      </c>
      <c r="AN8" s="27" t="n">
        <f aca="false">IF(COUNT(Soja!$E6:$Z6)=0,0,MAX(0,IF((AN$6-$E$3)&lt;1,0,IFERROR(LOOKUP(2,1/(Soja!$E6:INDEX(Soja!$E6:$Z6,MIN(AN$6-$E$3,22))&lt;&gt;""),Soja!$E6:INDEX(Soja!$E6:$Z6,MIN(AN$6-$E$3,22))),0))-IF($G$2,0,IF((AN$6-$G$3)&lt;1,0,IFERROR(LOOKUP(2,1/(Soja!$E6:INDEX(Soja!$E6:$Z6,MIN(AN$6-$G$3,22))&lt;&gt;""),Soja!$E6:INDEX(Soja!$E6:$Z6,MIN(AN$6-$G$3,22))),0)))))</f>
        <v>0</v>
      </c>
      <c r="AO8" s="27" t="n">
        <f aca="false">IF(COUNT(Soja!$E6:$Z6)=0,0,MAX(0,IF((AO$6-$E$3)&lt;1,0,IFERROR(LOOKUP(2,1/(Soja!$E6:INDEX(Soja!$E6:$Z6,MIN(AO$6-$E$3,22))&lt;&gt;""),Soja!$E6:INDEX(Soja!$E6:$Z6,MIN(AO$6-$E$3,22))),0))-IF($G$2,0,IF((AO$6-$G$3)&lt;1,0,IFERROR(LOOKUP(2,1/(Soja!$E6:INDEX(Soja!$E6:$Z6,MIN(AO$6-$G$3,22))&lt;&gt;""),Soja!$E6:INDEX(Soja!$E6:$Z6,MIN(AO$6-$G$3,22))),0)))))</f>
        <v>0</v>
      </c>
      <c r="AP8" s="27" t="n">
        <f aca="false">IF(COUNT(Soja!$E6:$Z6)=0,0,MAX(0,IF((AP$6-$E$3)&lt;1,0,IFERROR(LOOKUP(2,1/(Soja!$E6:INDEX(Soja!$E6:$Z6,MIN(AP$6-$E$3,22))&lt;&gt;""),Soja!$E6:INDEX(Soja!$E6:$Z6,MIN(AP$6-$E$3,22))),0))-IF($G$2,0,IF((AP$6-$G$3)&lt;1,0,IFERROR(LOOKUP(2,1/(Soja!$E6:INDEX(Soja!$E6:$Z6,MIN(AP$6-$G$3,22))&lt;&gt;""),Soja!$E6:INDEX(Soja!$E6:$Z6,MIN(AP$6-$G$3,22))),0)))))</f>
        <v>0</v>
      </c>
      <c r="AQ8" s="27" t="n">
        <f aca="false">IF(COUNT(Soja!$E6:$Z6)=0,0,MAX(0,IF((AQ$6-$E$3)&lt;1,0,IFERROR(LOOKUP(2,1/(Soja!$E6:INDEX(Soja!$E6:$Z6,MIN(AQ$6-$E$3,22))&lt;&gt;""),Soja!$E6:INDEX(Soja!$E6:$Z6,MIN(AQ$6-$E$3,22))),0))-IF($G$2,0,IF((AQ$6-$G$3)&lt;1,0,IFERROR(LOOKUP(2,1/(Soja!$E6:INDEX(Soja!$E6:$Z6,MIN(AQ$6-$G$3,22))&lt;&gt;""),Soja!$E6:INDEX(Soja!$E6:$Z6,MIN(AQ$6-$G$3,22))),0)))))</f>
        <v>0</v>
      </c>
      <c r="AR8" s="27" t="n">
        <f aca="false">IF(COUNT(Soja!$E6:$Z6)=0,0,MAX(0,IF((AR$6-$E$3)&lt;1,0,IFERROR(LOOKUP(2,1/(Soja!$E6:INDEX(Soja!$E6:$Z6,MIN(AR$6-$E$3,22))&lt;&gt;""),Soja!$E6:INDEX(Soja!$E6:$Z6,MIN(AR$6-$E$3,22))),0))-IF($G$2,0,IF((AR$6-$G$3)&lt;1,0,IFERROR(LOOKUP(2,1/(Soja!$E6:INDEX(Soja!$E6:$Z6,MIN(AR$6-$G$3,22))&lt;&gt;""),Soja!$E6:INDEX(Soja!$E6:$Z6,MIN(AR$6-$G$3,22))),0)))))</f>
        <v>0</v>
      </c>
      <c r="AS8" s="27" t="n">
        <f aca="false">IF(COUNT(Soja!$E6:$Z6)=0,0,MAX(0,IF((AS$6-$E$3)&lt;1,0,IFERROR(LOOKUP(2,1/(Soja!$E6:INDEX(Soja!$E6:$Z6,MIN(AS$6-$E$3,22))&lt;&gt;""),Soja!$E6:INDEX(Soja!$E6:$Z6,MIN(AS$6-$E$3,22))),0))-IF($G$2,0,IF((AS$6-$G$3)&lt;1,0,IFERROR(LOOKUP(2,1/(Soja!$E6:INDEX(Soja!$E6:$Z6,MIN(AS$6-$G$3,22))&lt;&gt;""),Soja!$E6:INDEX(Soja!$E6:$Z6,MIN(AS$6-$G$3,22))),0)))))</f>
        <v>0</v>
      </c>
      <c r="AT8" s="27" t="n">
        <f aca="false">IF(COUNT(Soja!$E6:$Z6)=0,0,MAX(0,IF((AT$6-$E$3)&lt;1,0,IFERROR(LOOKUP(2,1/(Soja!$E6:INDEX(Soja!$E6:$Z6,MIN(AT$6-$E$3,22))&lt;&gt;""),Soja!$E6:INDEX(Soja!$E6:$Z6,MIN(AT$6-$E$3,22))),0))-IF($G$2,0,IF((AT$6-$G$3)&lt;1,0,IFERROR(LOOKUP(2,1/(Soja!$E6:INDEX(Soja!$E6:$Z6,MIN(AT$6-$G$3,22))&lt;&gt;""),Soja!$E6:INDEX(Soja!$E6:$Z6,MIN(AT$6-$G$3,22))),0)))))</f>
        <v>0</v>
      </c>
      <c r="AU8" s="27" t="n">
        <f aca="false">IF(COUNT(Soja!$E6:$Z6)=0,0,MAX(0,IF((AU$6-$E$3)&lt;1,0,IFERROR(LOOKUP(2,1/(Soja!$E6:INDEX(Soja!$E6:$Z6,MIN(AU$6-$E$3,22))&lt;&gt;""),Soja!$E6:INDEX(Soja!$E6:$Z6,MIN(AU$6-$E$3,22))),0))-IF($G$2,0,IF((AU$6-$G$3)&lt;1,0,IFERROR(LOOKUP(2,1/(Soja!$E6:INDEX(Soja!$E6:$Z6,MIN(AU$6-$G$3,22))&lt;&gt;""),Soja!$E6:INDEX(Soja!$E6:$Z6,MIN(AU$6-$G$3,22))),0)))))</f>
        <v>0</v>
      </c>
      <c r="AV8" s="27" t="n">
        <f aca="false">IF(COUNT(Soja!$E6:$Z6)=0,0,MAX(0,IF((AV$6-$E$3)&lt;1,0,IFERROR(LOOKUP(2,1/(Soja!$E6:INDEX(Soja!$E6:$Z6,MIN(AV$6-$E$3,22))&lt;&gt;""),Soja!$E6:INDEX(Soja!$E6:$Z6,MIN(AV$6-$E$3,22))),0))-IF($G$2,0,IF((AV$6-$G$3)&lt;1,0,IFERROR(LOOKUP(2,1/(Soja!$E6:INDEX(Soja!$E6:$Z6,MIN(AV$6-$G$3,22))&lt;&gt;""),Soja!$E6:INDEX(Soja!$E6:$Z6,MIN(AV$6-$G$3,22))),0)))))</f>
        <v>0</v>
      </c>
      <c r="AW8" s="27" t="n">
        <f aca="false">IF(COUNT(Soja!$E6:$Z6)=0,0,MAX(0,IF((AW$6-$E$3)&lt;1,0,IFERROR(LOOKUP(2,1/(Soja!$E6:INDEX(Soja!$E6:$Z6,MIN(AW$6-$E$3,22))&lt;&gt;""),Soja!$E6:INDEX(Soja!$E6:$Z6,MIN(AW$6-$E$3,22))),0))-IF($G$2,0,IF((AW$6-$G$3)&lt;1,0,IFERROR(LOOKUP(2,1/(Soja!$E6:INDEX(Soja!$E6:$Z6,MIN(AW$6-$G$3,22))&lt;&gt;""),Soja!$E6:INDEX(Soja!$E6:$Z6,MIN(AW$6-$G$3,22))),0)))))</f>
        <v>0</v>
      </c>
      <c r="AX8" s="27" t="n">
        <f aca="false">IF(COUNT(Soja!$E6:$Z6)=0,0,MAX(0,IF((AX$6-$E$3)&lt;1,0,IFERROR(LOOKUP(2,1/(Soja!$E6:INDEX(Soja!$E6:$Z6,MIN(AX$6-$E$3,22))&lt;&gt;""),Soja!$E6:INDEX(Soja!$E6:$Z6,MIN(AX$6-$E$3,22))),0))-IF($G$2,0,IF((AX$6-$G$3)&lt;1,0,IFERROR(LOOKUP(2,1/(Soja!$E6:INDEX(Soja!$E6:$Z6,MIN(AX$6-$G$3,22))&lt;&gt;""),Soja!$E6:INDEX(Soja!$E6:$Z6,MIN(AX$6-$G$3,22))),0)))))</f>
        <v>0</v>
      </c>
      <c r="AY8" s="27" t="n">
        <f aca="false">IF(COUNT(Soja!$E6:$Z6)=0,0,MAX(0,IF((AY$6-$E$3)&lt;1,0,IFERROR(LOOKUP(2,1/(Soja!$E6:INDEX(Soja!$E6:$Z6,MIN(AY$6-$E$3,22))&lt;&gt;""),Soja!$E6:INDEX(Soja!$E6:$Z6,MIN(AY$6-$E$3,22))),0))-IF($G$2,0,IF((AY$6-$G$3)&lt;1,0,IFERROR(LOOKUP(2,1/(Soja!$E6:INDEX(Soja!$E6:$Z6,MIN(AY$6-$G$3,22))&lt;&gt;""),Soja!$E6:INDEX(Soja!$E6:$Z6,MIN(AY$6-$G$3,22))),0)))))</f>
        <v>0</v>
      </c>
      <c r="AZ8" s="27" t="n">
        <f aca="false">IF(COUNT(Soja!$E6:$Z6)=0,0,MAX(0,IF((AZ$6-$E$3)&lt;1,0,IFERROR(LOOKUP(2,1/(Soja!$E6:INDEX(Soja!$E6:$Z6,MIN(AZ$6-$E$3,22))&lt;&gt;""),Soja!$E6:INDEX(Soja!$E6:$Z6,MIN(AZ$6-$E$3,22))),0))-IF($G$2,0,IF((AZ$6-$G$3)&lt;1,0,IFERROR(LOOKUP(2,1/(Soja!$E6:INDEX(Soja!$E6:$Z6,MIN(AZ$6-$G$3,22))&lt;&gt;""),Soja!$E6:INDEX(Soja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IF(COUNT(Soja!$E7:$Z7)&gt;0,N(Soja!$D7),0)</f>
        <v>0</v>
      </c>
      <c r="E9" s="27" t="n">
        <f aca="false">IF(COUNT(Soja!$E7:$Z7)=0,0,MAX(0,IF((E$6-$E$3)&lt;1,0,IFERROR(LOOKUP(2,1/(Soja!$E7:INDEX(Soja!$E7:$Z7,MIN(E$6-$E$3,22))&lt;&gt;""),Soja!$E7:INDEX(Soja!$E7:$Z7,MIN(E$6-$E$3,22))),0))-IF($G$2,0,IF((E$6-$G$3)&lt;1,0,IFERROR(LOOKUP(2,1/(Soja!$E7:INDEX(Soja!$E7:$Z7,MIN(E$6-$G$3,22))&lt;&gt;""),Soja!$E7:INDEX(Soja!$E7:$Z7,MIN(E$6-$G$3,22))),0)))))</f>
        <v>0</v>
      </c>
      <c r="F9" s="27" t="n">
        <f aca="false">IF(COUNT(Soja!$E7:$Z7)=0,0,MAX(0,IF((F$6-$E$3)&lt;1,0,IFERROR(LOOKUP(2,1/(Soja!$E7:INDEX(Soja!$E7:$Z7,MIN(F$6-$E$3,22))&lt;&gt;""),Soja!$E7:INDEX(Soja!$E7:$Z7,MIN(F$6-$E$3,22))),0))-IF($G$2,0,IF((F$6-$G$3)&lt;1,0,IFERROR(LOOKUP(2,1/(Soja!$E7:INDEX(Soja!$E7:$Z7,MIN(F$6-$G$3,22))&lt;&gt;""),Soja!$E7:INDEX(Soja!$E7:$Z7,MIN(F$6-$G$3,22))),0)))))</f>
        <v>0</v>
      </c>
      <c r="G9" s="27" t="n">
        <f aca="false">IF(COUNT(Soja!$E7:$Z7)=0,0,MAX(0,IF((G$6-$E$3)&lt;1,0,IFERROR(LOOKUP(2,1/(Soja!$E7:INDEX(Soja!$E7:$Z7,MIN(G$6-$E$3,22))&lt;&gt;""),Soja!$E7:INDEX(Soja!$E7:$Z7,MIN(G$6-$E$3,22))),0))-IF($G$2,0,IF((G$6-$G$3)&lt;1,0,IFERROR(LOOKUP(2,1/(Soja!$E7:INDEX(Soja!$E7:$Z7,MIN(G$6-$G$3,22))&lt;&gt;""),Soja!$E7:INDEX(Soja!$E7:$Z7,MIN(G$6-$G$3,22))),0)))))</f>
        <v>0</v>
      </c>
      <c r="H9" s="27" t="n">
        <f aca="false">IF(COUNT(Soja!$E7:$Z7)=0,0,MAX(0,IF((H$6-$E$3)&lt;1,0,IFERROR(LOOKUP(2,1/(Soja!$E7:INDEX(Soja!$E7:$Z7,MIN(H$6-$E$3,22))&lt;&gt;""),Soja!$E7:INDEX(Soja!$E7:$Z7,MIN(H$6-$E$3,22))),0))-IF($G$2,0,IF((H$6-$G$3)&lt;1,0,IFERROR(LOOKUP(2,1/(Soja!$E7:INDEX(Soja!$E7:$Z7,MIN(H$6-$G$3,22))&lt;&gt;""),Soja!$E7:INDEX(Soja!$E7:$Z7,MIN(H$6-$G$3,22))),0)))))</f>
        <v>0</v>
      </c>
      <c r="I9" s="27" t="n">
        <f aca="false">IF(COUNT(Soja!$E7:$Z7)=0,0,MAX(0,IF((I$6-$E$3)&lt;1,0,IFERROR(LOOKUP(2,1/(Soja!$E7:INDEX(Soja!$E7:$Z7,MIN(I$6-$E$3,22))&lt;&gt;""),Soja!$E7:INDEX(Soja!$E7:$Z7,MIN(I$6-$E$3,22))),0))-IF($G$2,0,IF((I$6-$G$3)&lt;1,0,IFERROR(LOOKUP(2,1/(Soja!$E7:INDEX(Soja!$E7:$Z7,MIN(I$6-$G$3,22))&lt;&gt;""),Soja!$E7:INDEX(Soja!$E7:$Z7,MIN(I$6-$G$3,22))),0)))))</f>
        <v>0</v>
      </c>
      <c r="J9" s="27" t="n">
        <f aca="false">IF(COUNT(Soja!$E7:$Z7)=0,0,MAX(0,IF((J$6-$E$3)&lt;1,0,IFERROR(LOOKUP(2,1/(Soja!$E7:INDEX(Soja!$E7:$Z7,MIN(J$6-$E$3,22))&lt;&gt;""),Soja!$E7:INDEX(Soja!$E7:$Z7,MIN(J$6-$E$3,22))),0))-IF($G$2,0,IF((J$6-$G$3)&lt;1,0,IFERROR(LOOKUP(2,1/(Soja!$E7:INDEX(Soja!$E7:$Z7,MIN(J$6-$G$3,22))&lt;&gt;""),Soja!$E7:INDEX(Soja!$E7:$Z7,MIN(J$6-$G$3,22))),0)))))</f>
        <v>0</v>
      </c>
      <c r="K9" s="27" t="n">
        <f aca="false">IF(COUNT(Soja!$E7:$Z7)=0,0,MAX(0,IF((K$6-$E$3)&lt;1,0,IFERROR(LOOKUP(2,1/(Soja!$E7:INDEX(Soja!$E7:$Z7,MIN(K$6-$E$3,22))&lt;&gt;""),Soja!$E7:INDEX(Soja!$E7:$Z7,MIN(K$6-$E$3,22))),0))-IF($G$2,0,IF((K$6-$G$3)&lt;1,0,IFERROR(LOOKUP(2,1/(Soja!$E7:INDEX(Soja!$E7:$Z7,MIN(K$6-$G$3,22))&lt;&gt;""),Soja!$E7:INDEX(Soja!$E7:$Z7,MIN(K$6-$G$3,22))),0)))))</f>
        <v>0</v>
      </c>
      <c r="L9" s="27" t="n">
        <f aca="false">IF(COUNT(Soja!$E7:$Z7)=0,0,MAX(0,IF((L$6-$E$3)&lt;1,0,IFERROR(LOOKUP(2,1/(Soja!$E7:INDEX(Soja!$E7:$Z7,MIN(L$6-$E$3,22))&lt;&gt;""),Soja!$E7:INDEX(Soja!$E7:$Z7,MIN(L$6-$E$3,22))),0))-IF($G$2,0,IF((L$6-$G$3)&lt;1,0,IFERROR(LOOKUP(2,1/(Soja!$E7:INDEX(Soja!$E7:$Z7,MIN(L$6-$G$3,22))&lt;&gt;""),Soja!$E7:INDEX(Soja!$E7:$Z7,MIN(L$6-$G$3,22))),0)))))</f>
        <v>0</v>
      </c>
      <c r="M9" s="27" t="n">
        <f aca="false">IF(COUNT(Soja!$E7:$Z7)=0,0,MAX(0,IF((M$6-$E$3)&lt;1,0,IFERROR(LOOKUP(2,1/(Soja!$E7:INDEX(Soja!$E7:$Z7,MIN(M$6-$E$3,22))&lt;&gt;""),Soja!$E7:INDEX(Soja!$E7:$Z7,MIN(M$6-$E$3,22))),0))-IF($G$2,0,IF((M$6-$G$3)&lt;1,0,IFERROR(LOOKUP(2,1/(Soja!$E7:INDEX(Soja!$E7:$Z7,MIN(M$6-$G$3,22))&lt;&gt;""),Soja!$E7:INDEX(Soja!$E7:$Z7,MIN(M$6-$G$3,22))),0)))))</f>
        <v>0</v>
      </c>
      <c r="N9" s="27" t="n">
        <f aca="false">IF(COUNT(Soja!$E7:$Z7)=0,0,MAX(0,IF((N$6-$E$3)&lt;1,0,IFERROR(LOOKUP(2,1/(Soja!$E7:INDEX(Soja!$E7:$Z7,MIN(N$6-$E$3,22))&lt;&gt;""),Soja!$E7:INDEX(Soja!$E7:$Z7,MIN(N$6-$E$3,22))),0))-IF($G$2,0,IF((N$6-$G$3)&lt;1,0,IFERROR(LOOKUP(2,1/(Soja!$E7:INDEX(Soja!$E7:$Z7,MIN(N$6-$G$3,22))&lt;&gt;""),Soja!$E7:INDEX(Soja!$E7:$Z7,MIN(N$6-$G$3,22))),0)))))</f>
        <v>0</v>
      </c>
      <c r="O9" s="27" t="n">
        <f aca="false">IF(COUNT(Soja!$E7:$Z7)=0,0,MAX(0,IF((O$6-$E$3)&lt;1,0,IFERROR(LOOKUP(2,1/(Soja!$E7:INDEX(Soja!$E7:$Z7,MIN(O$6-$E$3,22))&lt;&gt;""),Soja!$E7:INDEX(Soja!$E7:$Z7,MIN(O$6-$E$3,22))),0))-IF($G$2,0,IF((O$6-$G$3)&lt;1,0,IFERROR(LOOKUP(2,1/(Soja!$E7:INDEX(Soja!$E7:$Z7,MIN(O$6-$G$3,22))&lt;&gt;""),Soja!$E7:INDEX(Soja!$E7:$Z7,MIN(O$6-$G$3,22))),0)))))</f>
        <v>0</v>
      </c>
      <c r="P9" s="27" t="n">
        <f aca="false">IF(COUNT(Soja!$E7:$Z7)=0,0,MAX(0,IF((P$6-$E$3)&lt;1,0,IFERROR(LOOKUP(2,1/(Soja!$E7:INDEX(Soja!$E7:$Z7,MIN(P$6-$E$3,22))&lt;&gt;""),Soja!$E7:INDEX(Soja!$E7:$Z7,MIN(P$6-$E$3,22))),0))-IF($G$2,0,IF((P$6-$G$3)&lt;1,0,IFERROR(LOOKUP(2,1/(Soja!$E7:INDEX(Soja!$E7:$Z7,MIN(P$6-$G$3,22))&lt;&gt;""),Soja!$E7:INDEX(Soja!$E7:$Z7,MIN(P$6-$G$3,22))),0)))))</f>
        <v>0</v>
      </c>
      <c r="Q9" s="27" t="n">
        <f aca="false">IF(COUNT(Soja!$E7:$Z7)=0,0,MAX(0,IF((Q$6-$E$3)&lt;1,0,IFERROR(LOOKUP(2,1/(Soja!$E7:INDEX(Soja!$E7:$Z7,MIN(Q$6-$E$3,22))&lt;&gt;""),Soja!$E7:INDEX(Soja!$E7:$Z7,MIN(Q$6-$E$3,22))),0))-IF($G$2,0,IF((Q$6-$G$3)&lt;1,0,IFERROR(LOOKUP(2,1/(Soja!$E7:INDEX(Soja!$E7:$Z7,MIN(Q$6-$G$3,22))&lt;&gt;""),Soja!$E7:INDEX(Soja!$E7:$Z7,MIN(Q$6-$G$3,22))),0)))))</f>
        <v>0</v>
      </c>
      <c r="R9" s="27" t="n">
        <f aca="false">IF(COUNT(Soja!$E7:$Z7)=0,0,MAX(0,IF((R$6-$E$3)&lt;1,0,IFERROR(LOOKUP(2,1/(Soja!$E7:INDEX(Soja!$E7:$Z7,MIN(R$6-$E$3,22))&lt;&gt;""),Soja!$E7:INDEX(Soja!$E7:$Z7,MIN(R$6-$E$3,22))),0))-IF($G$2,0,IF((R$6-$G$3)&lt;1,0,IFERROR(LOOKUP(2,1/(Soja!$E7:INDEX(Soja!$E7:$Z7,MIN(R$6-$G$3,22))&lt;&gt;""),Soja!$E7:INDEX(Soja!$E7:$Z7,MIN(R$6-$G$3,22))),0)))))</f>
        <v>0</v>
      </c>
      <c r="S9" s="27" t="n">
        <f aca="false">IF(COUNT(Soja!$E7:$Z7)=0,0,MAX(0,IF((S$6-$E$3)&lt;1,0,IFERROR(LOOKUP(2,1/(Soja!$E7:INDEX(Soja!$E7:$Z7,MIN(S$6-$E$3,22))&lt;&gt;""),Soja!$E7:INDEX(Soja!$E7:$Z7,MIN(S$6-$E$3,22))),0))-IF($G$2,0,IF((S$6-$G$3)&lt;1,0,IFERROR(LOOKUP(2,1/(Soja!$E7:INDEX(Soja!$E7:$Z7,MIN(S$6-$G$3,22))&lt;&gt;""),Soja!$E7:INDEX(Soja!$E7:$Z7,MIN(S$6-$G$3,22))),0)))))</f>
        <v>0</v>
      </c>
      <c r="T9" s="27" t="n">
        <f aca="false">IF(COUNT(Soja!$E7:$Z7)=0,0,MAX(0,IF((T$6-$E$3)&lt;1,0,IFERROR(LOOKUP(2,1/(Soja!$E7:INDEX(Soja!$E7:$Z7,MIN(T$6-$E$3,22))&lt;&gt;""),Soja!$E7:INDEX(Soja!$E7:$Z7,MIN(T$6-$E$3,22))),0))-IF($G$2,0,IF((T$6-$G$3)&lt;1,0,IFERROR(LOOKUP(2,1/(Soja!$E7:INDEX(Soja!$E7:$Z7,MIN(T$6-$G$3,22))&lt;&gt;""),Soja!$E7:INDEX(Soja!$E7:$Z7,MIN(T$6-$G$3,22))),0)))))</f>
        <v>0</v>
      </c>
      <c r="U9" s="27" t="n">
        <f aca="false">IF(COUNT(Soja!$E7:$Z7)=0,0,MAX(0,IF((U$6-$E$3)&lt;1,0,IFERROR(LOOKUP(2,1/(Soja!$E7:INDEX(Soja!$E7:$Z7,MIN(U$6-$E$3,22))&lt;&gt;""),Soja!$E7:INDEX(Soja!$E7:$Z7,MIN(U$6-$E$3,22))),0))-IF($G$2,0,IF((U$6-$G$3)&lt;1,0,IFERROR(LOOKUP(2,1/(Soja!$E7:INDEX(Soja!$E7:$Z7,MIN(U$6-$G$3,22))&lt;&gt;""),Soja!$E7:INDEX(Soja!$E7:$Z7,MIN(U$6-$G$3,22))),0)))))</f>
        <v>0</v>
      </c>
      <c r="V9" s="27" t="n">
        <f aca="false">IF(COUNT(Soja!$E7:$Z7)=0,0,MAX(0,IF((V$6-$E$3)&lt;1,0,IFERROR(LOOKUP(2,1/(Soja!$E7:INDEX(Soja!$E7:$Z7,MIN(V$6-$E$3,22))&lt;&gt;""),Soja!$E7:INDEX(Soja!$E7:$Z7,MIN(V$6-$E$3,22))),0))-IF($G$2,0,IF((V$6-$G$3)&lt;1,0,IFERROR(LOOKUP(2,1/(Soja!$E7:INDEX(Soja!$E7:$Z7,MIN(V$6-$G$3,22))&lt;&gt;""),Soja!$E7:INDEX(Soja!$E7:$Z7,MIN(V$6-$G$3,22))),0)))))</f>
        <v>0</v>
      </c>
      <c r="W9" s="27" t="n">
        <f aca="false">IF(COUNT(Soja!$E7:$Z7)=0,0,MAX(0,IF((W$6-$E$3)&lt;1,0,IFERROR(LOOKUP(2,1/(Soja!$E7:INDEX(Soja!$E7:$Z7,MIN(W$6-$E$3,22))&lt;&gt;""),Soja!$E7:INDEX(Soja!$E7:$Z7,MIN(W$6-$E$3,22))),0))-IF($G$2,0,IF((W$6-$G$3)&lt;1,0,IFERROR(LOOKUP(2,1/(Soja!$E7:INDEX(Soja!$E7:$Z7,MIN(W$6-$G$3,22))&lt;&gt;""),Soja!$E7:INDEX(Soja!$E7:$Z7,MIN(W$6-$G$3,22))),0)))))</f>
        <v>0</v>
      </c>
      <c r="X9" s="27" t="n">
        <f aca="false">IF(COUNT(Soja!$E7:$Z7)=0,0,MAX(0,IF((X$6-$E$3)&lt;1,0,IFERROR(LOOKUP(2,1/(Soja!$E7:INDEX(Soja!$E7:$Z7,MIN(X$6-$E$3,22))&lt;&gt;""),Soja!$E7:INDEX(Soja!$E7:$Z7,MIN(X$6-$E$3,22))),0))-IF($G$2,0,IF((X$6-$G$3)&lt;1,0,IFERROR(LOOKUP(2,1/(Soja!$E7:INDEX(Soja!$E7:$Z7,MIN(X$6-$G$3,22))&lt;&gt;""),Soja!$E7:INDEX(Soja!$E7:$Z7,MIN(X$6-$G$3,22))),0)))))</f>
        <v>0</v>
      </c>
      <c r="Y9" s="27" t="n">
        <f aca="false">IF(COUNT(Soja!$E7:$Z7)=0,0,MAX(0,IF((Y$6-$E$3)&lt;1,0,IFERROR(LOOKUP(2,1/(Soja!$E7:INDEX(Soja!$E7:$Z7,MIN(Y$6-$E$3,22))&lt;&gt;""),Soja!$E7:INDEX(Soja!$E7:$Z7,MIN(Y$6-$E$3,22))),0))-IF($G$2,0,IF((Y$6-$G$3)&lt;1,0,IFERROR(LOOKUP(2,1/(Soja!$E7:INDEX(Soja!$E7:$Z7,MIN(Y$6-$G$3,22))&lt;&gt;""),Soja!$E7:INDEX(Soja!$E7:$Z7,MIN(Y$6-$G$3,22))),0)))))</f>
        <v>0</v>
      </c>
      <c r="Z9" s="27" t="n">
        <f aca="false">IF(COUNT(Soja!$E7:$Z7)=0,0,MAX(0,IF((Z$6-$E$3)&lt;1,0,IFERROR(LOOKUP(2,1/(Soja!$E7:INDEX(Soja!$E7:$Z7,MIN(Z$6-$E$3,22))&lt;&gt;""),Soja!$E7:INDEX(Soja!$E7:$Z7,MIN(Z$6-$E$3,22))),0))-IF($G$2,0,IF((Z$6-$G$3)&lt;1,0,IFERROR(LOOKUP(2,1/(Soja!$E7:INDEX(Soja!$E7:$Z7,MIN(Z$6-$G$3,22))&lt;&gt;""),Soja!$E7:INDEX(Soja!$E7:$Z7,MIN(Z$6-$G$3,22))),0)))))</f>
        <v>0</v>
      </c>
      <c r="AA9" s="27" t="n">
        <f aca="false">IF(COUNT(Soja!$E7:$Z7)=0,0,MAX(0,IF((AA$6-$E$3)&lt;1,0,IFERROR(LOOKUP(2,1/(Soja!$E7:INDEX(Soja!$E7:$Z7,MIN(AA$6-$E$3,22))&lt;&gt;""),Soja!$E7:INDEX(Soja!$E7:$Z7,MIN(AA$6-$E$3,22))),0))-IF($G$2,0,IF((AA$6-$G$3)&lt;1,0,IFERROR(LOOKUP(2,1/(Soja!$E7:INDEX(Soja!$E7:$Z7,MIN(AA$6-$G$3,22))&lt;&gt;""),Soja!$E7:INDEX(Soja!$E7:$Z7,MIN(AA$6-$G$3,22))),0)))))</f>
        <v>0</v>
      </c>
      <c r="AB9" s="27" t="n">
        <f aca="false">IF(COUNT(Soja!$E7:$Z7)=0,0,MAX(0,IF((AB$6-$E$3)&lt;1,0,IFERROR(LOOKUP(2,1/(Soja!$E7:INDEX(Soja!$E7:$Z7,MIN(AB$6-$E$3,22))&lt;&gt;""),Soja!$E7:INDEX(Soja!$E7:$Z7,MIN(AB$6-$E$3,22))),0))-IF($G$2,0,IF((AB$6-$G$3)&lt;1,0,IFERROR(LOOKUP(2,1/(Soja!$E7:INDEX(Soja!$E7:$Z7,MIN(AB$6-$G$3,22))&lt;&gt;""),Soja!$E7:INDEX(Soja!$E7:$Z7,MIN(AB$6-$G$3,22))),0)))))</f>
        <v>0</v>
      </c>
      <c r="AC9" s="27" t="n">
        <f aca="false">IF(COUNT(Soja!$E7:$Z7)=0,0,MAX(0,IF((AC$6-$E$3)&lt;1,0,IFERROR(LOOKUP(2,1/(Soja!$E7:INDEX(Soja!$E7:$Z7,MIN(AC$6-$E$3,22))&lt;&gt;""),Soja!$E7:INDEX(Soja!$E7:$Z7,MIN(AC$6-$E$3,22))),0))-IF($G$2,0,IF((AC$6-$G$3)&lt;1,0,IFERROR(LOOKUP(2,1/(Soja!$E7:INDEX(Soja!$E7:$Z7,MIN(AC$6-$G$3,22))&lt;&gt;""),Soja!$E7:INDEX(Soja!$E7:$Z7,MIN(AC$6-$G$3,22))),0)))))</f>
        <v>0</v>
      </c>
      <c r="AD9" s="27" t="n">
        <f aca="false">IF(COUNT(Soja!$E7:$Z7)=0,0,MAX(0,IF((AD$6-$E$3)&lt;1,0,IFERROR(LOOKUP(2,1/(Soja!$E7:INDEX(Soja!$E7:$Z7,MIN(AD$6-$E$3,22))&lt;&gt;""),Soja!$E7:INDEX(Soja!$E7:$Z7,MIN(AD$6-$E$3,22))),0))-IF($G$2,0,IF((AD$6-$G$3)&lt;1,0,IFERROR(LOOKUP(2,1/(Soja!$E7:INDEX(Soja!$E7:$Z7,MIN(AD$6-$G$3,22))&lt;&gt;""),Soja!$E7:INDEX(Soja!$E7:$Z7,MIN(AD$6-$G$3,22))),0)))))</f>
        <v>0</v>
      </c>
      <c r="AE9" s="27" t="n">
        <f aca="false">IF(COUNT(Soja!$E7:$Z7)=0,0,MAX(0,IF((AE$6-$E$3)&lt;1,0,IFERROR(LOOKUP(2,1/(Soja!$E7:INDEX(Soja!$E7:$Z7,MIN(AE$6-$E$3,22))&lt;&gt;""),Soja!$E7:INDEX(Soja!$E7:$Z7,MIN(AE$6-$E$3,22))),0))-IF($G$2,0,IF((AE$6-$G$3)&lt;1,0,IFERROR(LOOKUP(2,1/(Soja!$E7:INDEX(Soja!$E7:$Z7,MIN(AE$6-$G$3,22))&lt;&gt;""),Soja!$E7:INDEX(Soja!$E7:$Z7,MIN(AE$6-$G$3,22))),0)))))</f>
        <v>0</v>
      </c>
      <c r="AF9" s="27" t="n">
        <f aca="false">IF(COUNT(Soja!$E7:$Z7)=0,0,MAX(0,IF((AF$6-$E$3)&lt;1,0,IFERROR(LOOKUP(2,1/(Soja!$E7:INDEX(Soja!$E7:$Z7,MIN(AF$6-$E$3,22))&lt;&gt;""),Soja!$E7:INDEX(Soja!$E7:$Z7,MIN(AF$6-$E$3,22))),0))-IF($G$2,0,IF((AF$6-$G$3)&lt;1,0,IFERROR(LOOKUP(2,1/(Soja!$E7:INDEX(Soja!$E7:$Z7,MIN(AF$6-$G$3,22))&lt;&gt;""),Soja!$E7:INDEX(Soja!$E7:$Z7,MIN(AF$6-$G$3,22))),0)))))</f>
        <v>0</v>
      </c>
      <c r="AG9" s="27" t="n">
        <f aca="false">IF(COUNT(Soja!$E7:$Z7)=0,0,MAX(0,IF((AG$6-$E$3)&lt;1,0,IFERROR(LOOKUP(2,1/(Soja!$E7:INDEX(Soja!$E7:$Z7,MIN(AG$6-$E$3,22))&lt;&gt;""),Soja!$E7:INDEX(Soja!$E7:$Z7,MIN(AG$6-$E$3,22))),0))-IF($G$2,0,IF((AG$6-$G$3)&lt;1,0,IFERROR(LOOKUP(2,1/(Soja!$E7:INDEX(Soja!$E7:$Z7,MIN(AG$6-$G$3,22))&lt;&gt;""),Soja!$E7:INDEX(Soja!$E7:$Z7,MIN(AG$6-$G$3,22))),0)))))</f>
        <v>0</v>
      </c>
      <c r="AH9" s="27" t="n">
        <f aca="false">IF(COUNT(Soja!$E7:$Z7)=0,0,MAX(0,IF((AH$6-$E$3)&lt;1,0,IFERROR(LOOKUP(2,1/(Soja!$E7:INDEX(Soja!$E7:$Z7,MIN(AH$6-$E$3,22))&lt;&gt;""),Soja!$E7:INDEX(Soja!$E7:$Z7,MIN(AH$6-$E$3,22))),0))-IF($G$2,0,IF((AH$6-$G$3)&lt;1,0,IFERROR(LOOKUP(2,1/(Soja!$E7:INDEX(Soja!$E7:$Z7,MIN(AH$6-$G$3,22))&lt;&gt;""),Soja!$E7:INDEX(Soja!$E7:$Z7,MIN(AH$6-$G$3,22))),0)))))</f>
        <v>0</v>
      </c>
      <c r="AI9" s="27" t="n">
        <f aca="false">IF(COUNT(Soja!$E7:$Z7)=0,0,MAX(0,IF((AI$6-$E$3)&lt;1,0,IFERROR(LOOKUP(2,1/(Soja!$E7:INDEX(Soja!$E7:$Z7,MIN(AI$6-$E$3,22))&lt;&gt;""),Soja!$E7:INDEX(Soja!$E7:$Z7,MIN(AI$6-$E$3,22))),0))-IF($G$2,0,IF((AI$6-$G$3)&lt;1,0,IFERROR(LOOKUP(2,1/(Soja!$E7:INDEX(Soja!$E7:$Z7,MIN(AI$6-$G$3,22))&lt;&gt;""),Soja!$E7:INDEX(Soja!$E7:$Z7,MIN(AI$6-$G$3,22))),0)))))</f>
        <v>0</v>
      </c>
      <c r="AJ9" s="27" t="n">
        <f aca="false">IF(COUNT(Soja!$E7:$Z7)=0,0,MAX(0,IF((AJ$6-$E$3)&lt;1,0,IFERROR(LOOKUP(2,1/(Soja!$E7:INDEX(Soja!$E7:$Z7,MIN(AJ$6-$E$3,22))&lt;&gt;""),Soja!$E7:INDEX(Soja!$E7:$Z7,MIN(AJ$6-$E$3,22))),0))-IF($G$2,0,IF((AJ$6-$G$3)&lt;1,0,IFERROR(LOOKUP(2,1/(Soja!$E7:INDEX(Soja!$E7:$Z7,MIN(AJ$6-$G$3,22))&lt;&gt;""),Soja!$E7:INDEX(Soja!$E7:$Z7,MIN(AJ$6-$G$3,22))),0)))))</f>
        <v>0</v>
      </c>
      <c r="AK9" s="27" t="n">
        <f aca="false">IF(COUNT(Soja!$E7:$Z7)=0,0,MAX(0,IF((AK$6-$E$3)&lt;1,0,IFERROR(LOOKUP(2,1/(Soja!$E7:INDEX(Soja!$E7:$Z7,MIN(AK$6-$E$3,22))&lt;&gt;""),Soja!$E7:INDEX(Soja!$E7:$Z7,MIN(AK$6-$E$3,22))),0))-IF($G$2,0,IF((AK$6-$G$3)&lt;1,0,IFERROR(LOOKUP(2,1/(Soja!$E7:INDEX(Soja!$E7:$Z7,MIN(AK$6-$G$3,22))&lt;&gt;""),Soja!$E7:INDEX(Soja!$E7:$Z7,MIN(AK$6-$G$3,22))),0)))))</f>
        <v>0</v>
      </c>
      <c r="AL9" s="27" t="n">
        <f aca="false">IF(COUNT(Soja!$E7:$Z7)=0,0,MAX(0,IF((AL$6-$E$3)&lt;1,0,IFERROR(LOOKUP(2,1/(Soja!$E7:INDEX(Soja!$E7:$Z7,MIN(AL$6-$E$3,22))&lt;&gt;""),Soja!$E7:INDEX(Soja!$E7:$Z7,MIN(AL$6-$E$3,22))),0))-IF($G$2,0,IF((AL$6-$G$3)&lt;1,0,IFERROR(LOOKUP(2,1/(Soja!$E7:INDEX(Soja!$E7:$Z7,MIN(AL$6-$G$3,22))&lt;&gt;""),Soja!$E7:INDEX(Soja!$E7:$Z7,MIN(AL$6-$G$3,22))),0)))))</f>
        <v>0</v>
      </c>
      <c r="AM9" s="27" t="n">
        <f aca="false">IF(COUNT(Soja!$E7:$Z7)=0,0,MAX(0,IF((AM$6-$E$3)&lt;1,0,IFERROR(LOOKUP(2,1/(Soja!$E7:INDEX(Soja!$E7:$Z7,MIN(AM$6-$E$3,22))&lt;&gt;""),Soja!$E7:INDEX(Soja!$E7:$Z7,MIN(AM$6-$E$3,22))),0))-IF($G$2,0,IF((AM$6-$G$3)&lt;1,0,IFERROR(LOOKUP(2,1/(Soja!$E7:INDEX(Soja!$E7:$Z7,MIN(AM$6-$G$3,22))&lt;&gt;""),Soja!$E7:INDEX(Soja!$E7:$Z7,MIN(AM$6-$G$3,22))),0)))))</f>
        <v>0</v>
      </c>
      <c r="AN9" s="27" t="n">
        <f aca="false">IF(COUNT(Soja!$E7:$Z7)=0,0,MAX(0,IF((AN$6-$E$3)&lt;1,0,IFERROR(LOOKUP(2,1/(Soja!$E7:INDEX(Soja!$E7:$Z7,MIN(AN$6-$E$3,22))&lt;&gt;""),Soja!$E7:INDEX(Soja!$E7:$Z7,MIN(AN$6-$E$3,22))),0))-IF($G$2,0,IF((AN$6-$G$3)&lt;1,0,IFERROR(LOOKUP(2,1/(Soja!$E7:INDEX(Soja!$E7:$Z7,MIN(AN$6-$G$3,22))&lt;&gt;""),Soja!$E7:INDEX(Soja!$E7:$Z7,MIN(AN$6-$G$3,22))),0)))))</f>
        <v>0</v>
      </c>
      <c r="AO9" s="27" t="n">
        <f aca="false">IF(COUNT(Soja!$E7:$Z7)=0,0,MAX(0,IF((AO$6-$E$3)&lt;1,0,IFERROR(LOOKUP(2,1/(Soja!$E7:INDEX(Soja!$E7:$Z7,MIN(AO$6-$E$3,22))&lt;&gt;""),Soja!$E7:INDEX(Soja!$E7:$Z7,MIN(AO$6-$E$3,22))),0))-IF($G$2,0,IF((AO$6-$G$3)&lt;1,0,IFERROR(LOOKUP(2,1/(Soja!$E7:INDEX(Soja!$E7:$Z7,MIN(AO$6-$G$3,22))&lt;&gt;""),Soja!$E7:INDEX(Soja!$E7:$Z7,MIN(AO$6-$G$3,22))),0)))))</f>
        <v>0</v>
      </c>
      <c r="AP9" s="27" t="n">
        <f aca="false">IF(COUNT(Soja!$E7:$Z7)=0,0,MAX(0,IF((AP$6-$E$3)&lt;1,0,IFERROR(LOOKUP(2,1/(Soja!$E7:INDEX(Soja!$E7:$Z7,MIN(AP$6-$E$3,22))&lt;&gt;""),Soja!$E7:INDEX(Soja!$E7:$Z7,MIN(AP$6-$E$3,22))),0))-IF($G$2,0,IF((AP$6-$G$3)&lt;1,0,IFERROR(LOOKUP(2,1/(Soja!$E7:INDEX(Soja!$E7:$Z7,MIN(AP$6-$G$3,22))&lt;&gt;""),Soja!$E7:INDEX(Soja!$E7:$Z7,MIN(AP$6-$G$3,22))),0)))))</f>
        <v>0</v>
      </c>
      <c r="AQ9" s="27" t="n">
        <f aca="false">IF(COUNT(Soja!$E7:$Z7)=0,0,MAX(0,IF((AQ$6-$E$3)&lt;1,0,IFERROR(LOOKUP(2,1/(Soja!$E7:INDEX(Soja!$E7:$Z7,MIN(AQ$6-$E$3,22))&lt;&gt;""),Soja!$E7:INDEX(Soja!$E7:$Z7,MIN(AQ$6-$E$3,22))),0))-IF($G$2,0,IF((AQ$6-$G$3)&lt;1,0,IFERROR(LOOKUP(2,1/(Soja!$E7:INDEX(Soja!$E7:$Z7,MIN(AQ$6-$G$3,22))&lt;&gt;""),Soja!$E7:INDEX(Soja!$E7:$Z7,MIN(AQ$6-$G$3,22))),0)))))</f>
        <v>0</v>
      </c>
      <c r="AR9" s="27" t="n">
        <f aca="false">IF(COUNT(Soja!$E7:$Z7)=0,0,MAX(0,IF((AR$6-$E$3)&lt;1,0,IFERROR(LOOKUP(2,1/(Soja!$E7:INDEX(Soja!$E7:$Z7,MIN(AR$6-$E$3,22))&lt;&gt;""),Soja!$E7:INDEX(Soja!$E7:$Z7,MIN(AR$6-$E$3,22))),0))-IF($G$2,0,IF((AR$6-$G$3)&lt;1,0,IFERROR(LOOKUP(2,1/(Soja!$E7:INDEX(Soja!$E7:$Z7,MIN(AR$6-$G$3,22))&lt;&gt;""),Soja!$E7:INDEX(Soja!$E7:$Z7,MIN(AR$6-$G$3,22))),0)))))</f>
        <v>0</v>
      </c>
      <c r="AS9" s="27" t="n">
        <f aca="false">IF(COUNT(Soja!$E7:$Z7)=0,0,MAX(0,IF((AS$6-$E$3)&lt;1,0,IFERROR(LOOKUP(2,1/(Soja!$E7:INDEX(Soja!$E7:$Z7,MIN(AS$6-$E$3,22))&lt;&gt;""),Soja!$E7:INDEX(Soja!$E7:$Z7,MIN(AS$6-$E$3,22))),0))-IF($G$2,0,IF((AS$6-$G$3)&lt;1,0,IFERROR(LOOKUP(2,1/(Soja!$E7:INDEX(Soja!$E7:$Z7,MIN(AS$6-$G$3,22))&lt;&gt;""),Soja!$E7:INDEX(Soja!$E7:$Z7,MIN(AS$6-$G$3,22))),0)))))</f>
        <v>0</v>
      </c>
      <c r="AT9" s="27" t="n">
        <f aca="false">IF(COUNT(Soja!$E7:$Z7)=0,0,MAX(0,IF((AT$6-$E$3)&lt;1,0,IFERROR(LOOKUP(2,1/(Soja!$E7:INDEX(Soja!$E7:$Z7,MIN(AT$6-$E$3,22))&lt;&gt;""),Soja!$E7:INDEX(Soja!$E7:$Z7,MIN(AT$6-$E$3,22))),0))-IF($G$2,0,IF((AT$6-$G$3)&lt;1,0,IFERROR(LOOKUP(2,1/(Soja!$E7:INDEX(Soja!$E7:$Z7,MIN(AT$6-$G$3,22))&lt;&gt;""),Soja!$E7:INDEX(Soja!$E7:$Z7,MIN(AT$6-$G$3,22))),0)))))</f>
        <v>0</v>
      </c>
      <c r="AU9" s="27" t="n">
        <f aca="false">IF(COUNT(Soja!$E7:$Z7)=0,0,MAX(0,IF((AU$6-$E$3)&lt;1,0,IFERROR(LOOKUP(2,1/(Soja!$E7:INDEX(Soja!$E7:$Z7,MIN(AU$6-$E$3,22))&lt;&gt;""),Soja!$E7:INDEX(Soja!$E7:$Z7,MIN(AU$6-$E$3,22))),0))-IF($G$2,0,IF((AU$6-$G$3)&lt;1,0,IFERROR(LOOKUP(2,1/(Soja!$E7:INDEX(Soja!$E7:$Z7,MIN(AU$6-$G$3,22))&lt;&gt;""),Soja!$E7:INDEX(Soja!$E7:$Z7,MIN(AU$6-$G$3,22))),0)))))</f>
        <v>0</v>
      </c>
      <c r="AV9" s="27" t="n">
        <f aca="false">IF(COUNT(Soja!$E7:$Z7)=0,0,MAX(0,IF((AV$6-$E$3)&lt;1,0,IFERROR(LOOKUP(2,1/(Soja!$E7:INDEX(Soja!$E7:$Z7,MIN(AV$6-$E$3,22))&lt;&gt;""),Soja!$E7:INDEX(Soja!$E7:$Z7,MIN(AV$6-$E$3,22))),0))-IF($G$2,0,IF((AV$6-$G$3)&lt;1,0,IFERROR(LOOKUP(2,1/(Soja!$E7:INDEX(Soja!$E7:$Z7,MIN(AV$6-$G$3,22))&lt;&gt;""),Soja!$E7:INDEX(Soja!$E7:$Z7,MIN(AV$6-$G$3,22))),0)))))</f>
        <v>0</v>
      </c>
      <c r="AW9" s="27" t="n">
        <f aca="false">IF(COUNT(Soja!$E7:$Z7)=0,0,MAX(0,IF((AW$6-$E$3)&lt;1,0,IFERROR(LOOKUP(2,1/(Soja!$E7:INDEX(Soja!$E7:$Z7,MIN(AW$6-$E$3,22))&lt;&gt;""),Soja!$E7:INDEX(Soja!$E7:$Z7,MIN(AW$6-$E$3,22))),0))-IF($G$2,0,IF((AW$6-$G$3)&lt;1,0,IFERROR(LOOKUP(2,1/(Soja!$E7:INDEX(Soja!$E7:$Z7,MIN(AW$6-$G$3,22))&lt;&gt;""),Soja!$E7:INDEX(Soja!$E7:$Z7,MIN(AW$6-$G$3,22))),0)))))</f>
        <v>0</v>
      </c>
      <c r="AX9" s="27" t="n">
        <f aca="false">IF(COUNT(Soja!$E7:$Z7)=0,0,MAX(0,IF((AX$6-$E$3)&lt;1,0,IFERROR(LOOKUP(2,1/(Soja!$E7:INDEX(Soja!$E7:$Z7,MIN(AX$6-$E$3,22))&lt;&gt;""),Soja!$E7:INDEX(Soja!$E7:$Z7,MIN(AX$6-$E$3,22))),0))-IF($G$2,0,IF((AX$6-$G$3)&lt;1,0,IFERROR(LOOKUP(2,1/(Soja!$E7:INDEX(Soja!$E7:$Z7,MIN(AX$6-$G$3,22))&lt;&gt;""),Soja!$E7:INDEX(Soja!$E7:$Z7,MIN(AX$6-$G$3,22))),0)))))</f>
        <v>0</v>
      </c>
      <c r="AY9" s="27" t="n">
        <f aca="false">IF(COUNT(Soja!$E7:$Z7)=0,0,MAX(0,IF((AY$6-$E$3)&lt;1,0,IFERROR(LOOKUP(2,1/(Soja!$E7:INDEX(Soja!$E7:$Z7,MIN(AY$6-$E$3,22))&lt;&gt;""),Soja!$E7:INDEX(Soja!$E7:$Z7,MIN(AY$6-$E$3,22))),0))-IF($G$2,0,IF((AY$6-$G$3)&lt;1,0,IFERROR(LOOKUP(2,1/(Soja!$E7:INDEX(Soja!$E7:$Z7,MIN(AY$6-$G$3,22))&lt;&gt;""),Soja!$E7:INDEX(Soja!$E7:$Z7,MIN(AY$6-$G$3,22))),0)))))</f>
        <v>0</v>
      </c>
      <c r="AZ9" s="27" t="n">
        <f aca="false">IF(COUNT(Soja!$E7:$Z7)=0,0,MAX(0,IF((AZ$6-$E$3)&lt;1,0,IFERROR(LOOKUP(2,1/(Soja!$E7:INDEX(Soja!$E7:$Z7,MIN(AZ$6-$E$3,22))&lt;&gt;""),Soja!$E7:INDEX(Soja!$E7:$Z7,MIN(AZ$6-$E$3,22))),0))-IF($G$2,0,IF((AZ$6-$G$3)&lt;1,0,IFERROR(LOOKUP(2,1/(Soja!$E7:INDEX(Soja!$E7:$Z7,MIN(AZ$6-$G$3,22))&lt;&gt;""),Soja!$E7:INDEX(Soja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IF(COUNT(Soja!$E8:$Z8)&gt;0,N(Soja!$D8),0)</f>
        <v>0</v>
      </c>
      <c r="E10" s="27" t="n">
        <f aca="false">IF(COUNT(Soja!$E8:$Z8)=0,0,MAX(0,IF((E$6-$E$3)&lt;1,0,IFERROR(LOOKUP(2,1/(Soja!$E8:INDEX(Soja!$E8:$Z8,MIN(E$6-$E$3,22))&lt;&gt;""),Soja!$E8:INDEX(Soja!$E8:$Z8,MIN(E$6-$E$3,22))),0))-IF($G$2,0,IF((E$6-$G$3)&lt;1,0,IFERROR(LOOKUP(2,1/(Soja!$E8:INDEX(Soja!$E8:$Z8,MIN(E$6-$G$3,22))&lt;&gt;""),Soja!$E8:INDEX(Soja!$E8:$Z8,MIN(E$6-$G$3,22))),0)))))</f>
        <v>0</v>
      </c>
      <c r="F10" s="27" t="n">
        <f aca="false">IF(COUNT(Soja!$E8:$Z8)=0,0,MAX(0,IF((F$6-$E$3)&lt;1,0,IFERROR(LOOKUP(2,1/(Soja!$E8:INDEX(Soja!$E8:$Z8,MIN(F$6-$E$3,22))&lt;&gt;""),Soja!$E8:INDEX(Soja!$E8:$Z8,MIN(F$6-$E$3,22))),0))-IF($G$2,0,IF((F$6-$G$3)&lt;1,0,IFERROR(LOOKUP(2,1/(Soja!$E8:INDEX(Soja!$E8:$Z8,MIN(F$6-$G$3,22))&lt;&gt;""),Soja!$E8:INDEX(Soja!$E8:$Z8,MIN(F$6-$G$3,22))),0)))))</f>
        <v>0</v>
      </c>
      <c r="G10" s="27" t="n">
        <f aca="false">IF(COUNT(Soja!$E8:$Z8)=0,0,MAX(0,IF((G$6-$E$3)&lt;1,0,IFERROR(LOOKUP(2,1/(Soja!$E8:INDEX(Soja!$E8:$Z8,MIN(G$6-$E$3,22))&lt;&gt;""),Soja!$E8:INDEX(Soja!$E8:$Z8,MIN(G$6-$E$3,22))),0))-IF($G$2,0,IF((G$6-$G$3)&lt;1,0,IFERROR(LOOKUP(2,1/(Soja!$E8:INDEX(Soja!$E8:$Z8,MIN(G$6-$G$3,22))&lt;&gt;""),Soja!$E8:INDEX(Soja!$E8:$Z8,MIN(G$6-$G$3,22))),0)))))</f>
        <v>0</v>
      </c>
      <c r="H10" s="27" t="n">
        <f aca="false">IF(COUNT(Soja!$E8:$Z8)=0,0,MAX(0,IF((H$6-$E$3)&lt;1,0,IFERROR(LOOKUP(2,1/(Soja!$E8:INDEX(Soja!$E8:$Z8,MIN(H$6-$E$3,22))&lt;&gt;""),Soja!$E8:INDEX(Soja!$E8:$Z8,MIN(H$6-$E$3,22))),0))-IF($G$2,0,IF((H$6-$G$3)&lt;1,0,IFERROR(LOOKUP(2,1/(Soja!$E8:INDEX(Soja!$E8:$Z8,MIN(H$6-$G$3,22))&lt;&gt;""),Soja!$E8:INDEX(Soja!$E8:$Z8,MIN(H$6-$G$3,22))),0)))))</f>
        <v>0</v>
      </c>
      <c r="I10" s="27" t="n">
        <f aca="false">IF(COUNT(Soja!$E8:$Z8)=0,0,MAX(0,IF((I$6-$E$3)&lt;1,0,IFERROR(LOOKUP(2,1/(Soja!$E8:INDEX(Soja!$E8:$Z8,MIN(I$6-$E$3,22))&lt;&gt;""),Soja!$E8:INDEX(Soja!$E8:$Z8,MIN(I$6-$E$3,22))),0))-IF($G$2,0,IF((I$6-$G$3)&lt;1,0,IFERROR(LOOKUP(2,1/(Soja!$E8:INDEX(Soja!$E8:$Z8,MIN(I$6-$G$3,22))&lt;&gt;""),Soja!$E8:INDEX(Soja!$E8:$Z8,MIN(I$6-$G$3,22))),0)))))</f>
        <v>0</v>
      </c>
      <c r="J10" s="27" t="n">
        <f aca="false">IF(COUNT(Soja!$E8:$Z8)=0,0,MAX(0,IF((J$6-$E$3)&lt;1,0,IFERROR(LOOKUP(2,1/(Soja!$E8:INDEX(Soja!$E8:$Z8,MIN(J$6-$E$3,22))&lt;&gt;""),Soja!$E8:INDEX(Soja!$E8:$Z8,MIN(J$6-$E$3,22))),0))-IF($G$2,0,IF((J$6-$G$3)&lt;1,0,IFERROR(LOOKUP(2,1/(Soja!$E8:INDEX(Soja!$E8:$Z8,MIN(J$6-$G$3,22))&lt;&gt;""),Soja!$E8:INDEX(Soja!$E8:$Z8,MIN(J$6-$G$3,22))),0)))))</f>
        <v>0</v>
      </c>
      <c r="K10" s="27" t="n">
        <f aca="false">IF(COUNT(Soja!$E8:$Z8)=0,0,MAX(0,IF((K$6-$E$3)&lt;1,0,IFERROR(LOOKUP(2,1/(Soja!$E8:INDEX(Soja!$E8:$Z8,MIN(K$6-$E$3,22))&lt;&gt;""),Soja!$E8:INDEX(Soja!$E8:$Z8,MIN(K$6-$E$3,22))),0))-IF($G$2,0,IF((K$6-$G$3)&lt;1,0,IFERROR(LOOKUP(2,1/(Soja!$E8:INDEX(Soja!$E8:$Z8,MIN(K$6-$G$3,22))&lt;&gt;""),Soja!$E8:INDEX(Soja!$E8:$Z8,MIN(K$6-$G$3,22))),0)))))</f>
        <v>0</v>
      </c>
      <c r="L10" s="27" t="n">
        <f aca="false">IF(COUNT(Soja!$E8:$Z8)=0,0,MAX(0,IF((L$6-$E$3)&lt;1,0,IFERROR(LOOKUP(2,1/(Soja!$E8:INDEX(Soja!$E8:$Z8,MIN(L$6-$E$3,22))&lt;&gt;""),Soja!$E8:INDEX(Soja!$E8:$Z8,MIN(L$6-$E$3,22))),0))-IF($G$2,0,IF((L$6-$G$3)&lt;1,0,IFERROR(LOOKUP(2,1/(Soja!$E8:INDEX(Soja!$E8:$Z8,MIN(L$6-$G$3,22))&lt;&gt;""),Soja!$E8:INDEX(Soja!$E8:$Z8,MIN(L$6-$G$3,22))),0)))))</f>
        <v>0</v>
      </c>
      <c r="M10" s="27" t="n">
        <f aca="false">IF(COUNT(Soja!$E8:$Z8)=0,0,MAX(0,IF((M$6-$E$3)&lt;1,0,IFERROR(LOOKUP(2,1/(Soja!$E8:INDEX(Soja!$E8:$Z8,MIN(M$6-$E$3,22))&lt;&gt;""),Soja!$E8:INDEX(Soja!$E8:$Z8,MIN(M$6-$E$3,22))),0))-IF($G$2,0,IF((M$6-$G$3)&lt;1,0,IFERROR(LOOKUP(2,1/(Soja!$E8:INDEX(Soja!$E8:$Z8,MIN(M$6-$G$3,22))&lt;&gt;""),Soja!$E8:INDEX(Soja!$E8:$Z8,MIN(M$6-$G$3,22))),0)))))</f>
        <v>0</v>
      </c>
      <c r="N10" s="27" t="n">
        <f aca="false">IF(COUNT(Soja!$E8:$Z8)=0,0,MAX(0,IF((N$6-$E$3)&lt;1,0,IFERROR(LOOKUP(2,1/(Soja!$E8:INDEX(Soja!$E8:$Z8,MIN(N$6-$E$3,22))&lt;&gt;""),Soja!$E8:INDEX(Soja!$E8:$Z8,MIN(N$6-$E$3,22))),0))-IF($G$2,0,IF((N$6-$G$3)&lt;1,0,IFERROR(LOOKUP(2,1/(Soja!$E8:INDEX(Soja!$E8:$Z8,MIN(N$6-$G$3,22))&lt;&gt;""),Soja!$E8:INDEX(Soja!$E8:$Z8,MIN(N$6-$G$3,22))),0)))))</f>
        <v>0</v>
      </c>
      <c r="O10" s="27" t="n">
        <f aca="false">IF(COUNT(Soja!$E8:$Z8)=0,0,MAX(0,IF((O$6-$E$3)&lt;1,0,IFERROR(LOOKUP(2,1/(Soja!$E8:INDEX(Soja!$E8:$Z8,MIN(O$6-$E$3,22))&lt;&gt;""),Soja!$E8:INDEX(Soja!$E8:$Z8,MIN(O$6-$E$3,22))),0))-IF($G$2,0,IF((O$6-$G$3)&lt;1,0,IFERROR(LOOKUP(2,1/(Soja!$E8:INDEX(Soja!$E8:$Z8,MIN(O$6-$G$3,22))&lt;&gt;""),Soja!$E8:INDEX(Soja!$E8:$Z8,MIN(O$6-$G$3,22))),0)))))</f>
        <v>0</v>
      </c>
      <c r="P10" s="27" t="n">
        <f aca="false">IF(COUNT(Soja!$E8:$Z8)=0,0,MAX(0,IF((P$6-$E$3)&lt;1,0,IFERROR(LOOKUP(2,1/(Soja!$E8:INDEX(Soja!$E8:$Z8,MIN(P$6-$E$3,22))&lt;&gt;""),Soja!$E8:INDEX(Soja!$E8:$Z8,MIN(P$6-$E$3,22))),0))-IF($G$2,0,IF((P$6-$G$3)&lt;1,0,IFERROR(LOOKUP(2,1/(Soja!$E8:INDEX(Soja!$E8:$Z8,MIN(P$6-$G$3,22))&lt;&gt;""),Soja!$E8:INDEX(Soja!$E8:$Z8,MIN(P$6-$G$3,22))),0)))))</f>
        <v>0</v>
      </c>
      <c r="Q10" s="27" t="n">
        <f aca="false">IF(COUNT(Soja!$E8:$Z8)=0,0,MAX(0,IF((Q$6-$E$3)&lt;1,0,IFERROR(LOOKUP(2,1/(Soja!$E8:INDEX(Soja!$E8:$Z8,MIN(Q$6-$E$3,22))&lt;&gt;""),Soja!$E8:INDEX(Soja!$E8:$Z8,MIN(Q$6-$E$3,22))),0))-IF($G$2,0,IF((Q$6-$G$3)&lt;1,0,IFERROR(LOOKUP(2,1/(Soja!$E8:INDEX(Soja!$E8:$Z8,MIN(Q$6-$G$3,22))&lt;&gt;""),Soja!$E8:INDEX(Soja!$E8:$Z8,MIN(Q$6-$G$3,22))),0)))))</f>
        <v>0</v>
      </c>
      <c r="R10" s="27" t="n">
        <f aca="false">IF(COUNT(Soja!$E8:$Z8)=0,0,MAX(0,IF((R$6-$E$3)&lt;1,0,IFERROR(LOOKUP(2,1/(Soja!$E8:INDEX(Soja!$E8:$Z8,MIN(R$6-$E$3,22))&lt;&gt;""),Soja!$E8:INDEX(Soja!$E8:$Z8,MIN(R$6-$E$3,22))),0))-IF($G$2,0,IF((R$6-$G$3)&lt;1,0,IFERROR(LOOKUP(2,1/(Soja!$E8:INDEX(Soja!$E8:$Z8,MIN(R$6-$G$3,22))&lt;&gt;""),Soja!$E8:INDEX(Soja!$E8:$Z8,MIN(R$6-$G$3,22))),0)))))</f>
        <v>0</v>
      </c>
      <c r="S10" s="27" t="n">
        <f aca="false">IF(COUNT(Soja!$E8:$Z8)=0,0,MAX(0,IF((S$6-$E$3)&lt;1,0,IFERROR(LOOKUP(2,1/(Soja!$E8:INDEX(Soja!$E8:$Z8,MIN(S$6-$E$3,22))&lt;&gt;""),Soja!$E8:INDEX(Soja!$E8:$Z8,MIN(S$6-$E$3,22))),0))-IF($G$2,0,IF((S$6-$G$3)&lt;1,0,IFERROR(LOOKUP(2,1/(Soja!$E8:INDEX(Soja!$E8:$Z8,MIN(S$6-$G$3,22))&lt;&gt;""),Soja!$E8:INDEX(Soja!$E8:$Z8,MIN(S$6-$G$3,22))),0)))))</f>
        <v>0</v>
      </c>
      <c r="T10" s="27" t="n">
        <f aca="false">IF(COUNT(Soja!$E8:$Z8)=0,0,MAX(0,IF((T$6-$E$3)&lt;1,0,IFERROR(LOOKUP(2,1/(Soja!$E8:INDEX(Soja!$E8:$Z8,MIN(T$6-$E$3,22))&lt;&gt;""),Soja!$E8:INDEX(Soja!$E8:$Z8,MIN(T$6-$E$3,22))),0))-IF($G$2,0,IF((T$6-$G$3)&lt;1,0,IFERROR(LOOKUP(2,1/(Soja!$E8:INDEX(Soja!$E8:$Z8,MIN(T$6-$G$3,22))&lt;&gt;""),Soja!$E8:INDEX(Soja!$E8:$Z8,MIN(T$6-$G$3,22))),0)))))</f>
        <v>0</v>
      </c>
      <c r="U10" s="27" t="n">
        <f aca="false">IF(COUNT(Soja!$E8:$Z8)=0,0,MAX(0,IF((U$6-$E$3)&lt;1,0,IFERROR(LOOKUP(2,1/(Soja!$E8:INDEX(Soja!$E8:$Z8,MIN(U$6-$E$3,22))&lt;&gt;""),Soja!$E8:INDEX(Soja!$E8:$Z8,MIN(U$6-$E$3,22))),0))-IF($G$2,0,IF((U$6-$G$3)&lt;1,0,IFERROR(LOOKUP(2,1/(Soja!$E8:INDEX(Soja!$E8:$Z8,MIN(U$6-$G$3,22))&lt;&gt;""),Soja!$E8:INDEX(Soja!$E8:$Z8,MIN(U$6-$G$3,22))),0)))))</f>
        <v>0</v>
      </c>
      <c r="V10" s="27" t="n">
        <f aca="false">IF(COUNT(Soja!$E8:$Z8)=0,0,MAX(0,IF((V$6-$E$3)&lt;1,0,IFERROR(LOOKUP(2,1/(Soja!$E8:INDEX(Soja!$E8:$Z8,MIN(V$6-$E$3,22))&lt;&gt;""),Soja!$E8:INDEX(Soja!$E8:$Z8,MIN(V$6-$E$3,22))),0))-IF($G$2,0,IF((V$6-$G$3)&lt;1,0,IFERROR(LOOKUP(2,1/(Soja!$E8:INDEX(Soja!$E8:$Z8,MIN(V$6-$G$3,22))&lt;&gt;""),Soja!$E8:INDEX(Soja!$E8:$Z8,MIN(V$6-$G$3,22))),0)))))</f>
        <v>0</v>
      </c>
      <c r="W10" s="27" t="n">
        <f aca="false">IF(COUNT(Soja!$E8:$Z8)=0,0,MAX(0,IF((W$6-$E$3)&lt;1,0,IFERROR(LOOKUP(2,1/(Soja!$E8:INDEX(Soja!$E8:$Z8,MIN(W$6-$E$3,22))&lt;&gt;""),Soja!$E8:INDEX(Soja!$E8:$Z8,MIN(W$6-$E$3,22))),0))-IF($G$2,0,IF((W$6-$G$3)&lt;1,0,IFERROR(LOOKUP(2,1/(Soja!$E8:INDEX(Soja!$E8:$Z8,MIN(W$6-$G$3,22))&lt;&gt;""),Soja!$E8:INDEX(Soja!$E8:$Z8,MIN(W$6-$G$3,22))),0)))))</f>
        <v>0</v>
      </c>
      <c r="X10" s="27" t="n">
        <f aca="false">IF(COUNT(Soja!$E8:$Z8)=0,0,MAX(0,IF((X$6-$E$3)&lt;1,0,IFERROR(LOOKUP(2,1/(Soja!$E8:INDEX(Soja!$E8:$Z8,MIN(X$6-$E$3,22))&lt;&gt;""),Soja!$E8:INDEX(Soja!$E8:$Z8,MIN(X$6-$E$3,22))),0))-IF($G$2,0,IF((X$6-$G$3)&lt;1,0,IFERROR(LOOKUP(2,1/(Soja!$E8:INDEX(Soja!$E8:$Z8,MIN(X$6-$G$3,22))&lt;&gt;""),Soja!$E8:INDEX(Soja!$E8:$Z8,MIN(X$6-$G$3,22))),0)))))</f>
        <v>0</v>
      </c>
      <c r="Y10" s="27" t="n">
        <f aca="false">IF(COUNT(Soja!$E8:$Z8)=0,0,MAX(0,IF((Y$6-$E$3)&lt;1,0,IFERROR(LOOKUP(2,1/(Soja!$E8:INDEX(Soja!$E8:$Z8,MIN(Y$6-$E$3,22))&lt;&gt;""),Soja!$E8:INDEX(Soja!$E8:$Z8,MIN(Y$6-$E$3,22))),0))-IF($G$2,0,IF((Y$6-$G$3)&lt;1,0,IFERROR(LOOKUP(2,1/(Soja!$E8:INDEX(Soja!$E8:$Z8,MIN(Y$6-$G$3,22))&lt;&gt;""),Soja!$E8:INDEX(Soja!$E8:$Z8,MIN(Y$6-$G$3,22))),0)))))</f>
        <v>0</v>
      </c>
      <c r="Z10" s="27" t="n">
        <f aca="false">IF(COUNT(Soja!$E8:$Z8)=0,0,MAX(0,IF((Z$6-$E$3)&lt;1,0,IFERROR(LOOKUP(2,1/(Soja!$E8:INDEX(Soja!$E8:$Z8,MIN(Z$6-$E$3,22))&lt;&gt;""),Soja!$E8:INDEX(Soja!$E8:$Z8,MIN(Z$6-$E$3,22))),0))-IF($G$2,0,IF((Z$6-$G$3)&lt;1,0,IFERROR(LOOKUP(2,1/(Soja!$E8:INDEX(Soja!$E8:$Z8,MIN(Z$6-$G$3,22))&lt;&gt;""),Soja!$E8:INDEX(Soja!$E8:$Z8,MIN(Z$6-$G$3,22))),0)))))</f>
        <v>0</v>
      </c>
      <c r="AA10" s="27" t="n">
        <f aca="false">IF(COUNT(Soja!$E8:$Z8)=0,0,MAX(0,IF((AA$6-$E$3)&lt;1,0,IFERROR(LOOKUP(2,1/(Soja!$E8:INDEX(Soja!$E8:$Z8,MIN(AA$6-$E$3,22))&lt;&gt;""),Soja!$E8:INDEX(Soja!$E8:$Z8,MIN(AA$6-$E$3,22))),0))-IF($G$2,0,IF((AA$6-$G$3)&lt;1,0,IFERROR(LOOKUP(2,1/(Soja!$E8:INDEX(Soja!$E8:$Z8,MIN(AA$6-$G$3,22))&lt;&gt;""),Soja!$E8:INDEX(Soja!$E8:$Z8,MIN(AA$6-$G$3,22))),0)))))</f>
        <v>0</v>
      </c>
      <c r="AB10" s="27" t="n">
        <f aca="false">IF(COUNT(Soja!$E8:$Z8)=0,0,MAX(0,IF((AB$6-$E$3)&lt;1,0,IFERROR(LOOKUP(2,1/(Soja!$E8:INDEX(Soja!$E8:$Z8,MIN(AB$6-$E$3,22))&lt;&gt;""),Soja!$E8:INDEX(Soja!$E8:$Z8,MIN(AB$6-$E$3,22))),0))-IF($G$2,0,IF((AB$6-$G$3)&lt;1,0,IFERROR(LOOKUP(2,1/(Soja!$E8:INDEX(Soja!$E8:$Z8,MIN(AB$6-$G$3,22))&lt;&gt;""),Soja!$E8:INDEX(Soja!$E8:$Z8,MIN(AB$6-$G$3,22))),0)))))</f>
        <v>0</v>
      </c>
      <c r="AC10" s="27" t="n">
        <f aca="false">IF(COUNT(Soja!$E8:$Z8)=0,0,MAX(0,IF((AC$6-$E$3)&lt;1,0,IFERROR(LOOKUP(2,1/(Soja!$E8:INDEX(Soja!$E8:$Z8,MIN(AC$6-$E$3,22))&lt;&gt;""),Soja!$E8:INDEX(Soja!$E8:$Z8,MIN(AC$6-$E$3,22))),0))-IF($G$2,0,IF((AC$6-$G$3)&lt;1,0,IFERROR(LOOKUP(2,1/(Soja!$E8:INDEX(Soja!$E8:$Z8,MIN(AC$6-$G$3,22))&lt;&gt;""),Soja!$E8:INDEX(Soja!$E8:$Z8,MIN(AC$6-$G$3,22))),0)))))</f>
        <v>0</v>
      </c>
      <c r="AD10" s="27" t="n">
        <f aca="false">IF(COUNT(Soja!$E8:$Z8)=0,0,MAX(0,IF((AD$6-$E$3)&lt;1,0,IFERROR(LOOKUP(2,1/(Soja!$E8:INDEX(Soja!$E8:$Z8,MIN(AD$6-$E$3,22))&lt;&gt;""),Soja!$E8:INDEX(Soja!$E8:$Z8,MIN(AD$6-$E$3,22))),0))-IF($G$2,0,IF((AD$6-$G$3)&lt;1,0,IFERROR(LOOKUP(2,1/(Soja!$E8:INDEX(Soja!$E8:$Z8,MIN(AD$6-$G$3,22))&lt;&gt;""),Soja!$E8:INDEX(Soja!$E8:$Z8,MIN(AD$6-$G$3,22))),0)))))</f>
        <v>0</v>
      </c>
      <c r="AE10" s="27" t="n">
        <f aca="false">IF(COUNT(Soja!$E8:$Z8)=0,0,MAX(0,IF((AE$6-$E$3)&lt;1,0,IFERROR(LOOKUP(2,1/(Soja!$E8:INDEX(Soja!$E8:$Z8,MIN(AE$6-$E$3,22))&lt;&gt;""),Soja!$E8:INDEX(Soja!$E8:$Z8,MIN(AE$6-$E$3,22))),0))-IF($G$2,0,IF((AE$6-$G$3)&lt;1,0,IFERROR(LOOKUP(2,1/(Soja!$E8:INDEX(Soja!$E8:$Z8,MIN(AE$6-$G$3,22))&lt;&gt;""),Soja!$E8:INDEX(Soja!$E8:$Z8,MIN(AE$6-$G$3,22))),0)))))</f>
        <v>0</v>
      </c>
      <c r="AF10" s="27" t="n">
        <f aca="false">IF(COUNT(Soja!$E8:$Z8)=0,0,MAX(0,IF((AF$6-$E$3)&lt;1,0,IFERROR(LOOKUP(2,1/(Soja!$E8:INDEX(Soja!$E8:$Z8,MIN(AF$6-$E$3,22))&lt;&gt;""),Soja!$E8:INDEX(Soja!$E8:$Z8,MIN(AF$6-$E$3,22))),0))-IF($G$2,0,IF((AF$6-$G$3)&lt;1,0,IFERROR(LOOKUP(2,1/(Soja!$E8:INDEX(Soja!$E8:$Z8,MIN(AF$6-$G$3,22))&lt;&gt;""),Soja!$E8:INDEX(Soja!$E8:$Z8,MIN(AF$6-$G$3,22))),0)))))</f>
        <v>0</v>
      </c>
      <c r="AG10" s="27" t="n">
        <f aca="false">IF(COUNT(Soja!$E8:$Z8)=0,0,MAX(0,IF((AG$6-$E$3)&lt;1,0,IFERROR(LOOKUP(2,1/(Soja!$E8:INDEX(Soja!$E8:$Z8,MIN(AG$6-$E$3,22))&lt;&gt;""),Soja!$E8:INDEX(Soja!$E8:$Z8,MIN(AG$6-$E$3,22))),0))-IF($G$2,0,IF((AG$6-$G$3)&lt;1,0,IFERROR(LOOKUP(2,1/(Soja!$E8:INDEX(Soja!$E8:$Z8,MIN(AG$6-$G$3,22))&lt;&gt;""),Soja!$E8:INDEX(Soja!$E8:$Z8,MIN(AG$6-$G$3,22))),0)))))</f>
        <v>0</v>
      </c>
      <c r="AH10" s="27" t="n">
        <f aca="false">IF(COUNT(Soja!$E8:$Z8)=0,0,MAX(0,IF((AH$6-$E$3)&lt;1,0,IFERROR(LOOKUP(2,1/(Soja!$E8:INDEX(Soja!$E8:$Z8,MIN(AH$6-$E$3,22))&lt;&gt;""),Soja!$E8:INDEX(Soja!$E8:$Z8,MIN(AH$6-$E$3,22))),0))-IF($G$2,0,IF((AH$6-$G$3)&lt;1,0,IFERROR(LOOKUP(2,1/(Soja!$E8:INDEX(Soja!$E8:$Z8,MIN(AH$6-$G$3,22))&lt;&gt;""),Soja!$E8:INDEX(Soja!$E8:$Z8,MIN(AH$6-$G$3,22))),0)))))</f>
        <v>0</v>
      </c>
      <c r="AI10" s="27" t="n">
        <f aca="false">IF(COUNT(Soja!$E8:$Z8)=0,0,MAX(0,IF((AI$6-$E$3)&lt;1,0,IFERROR(LOOKUP(2,1/(Soja!$E8:INDEX(Soja!$E8:$Z8,MIN(AI$6-$E$3,22))&lt;&gt;""),Soja!$E8:INDEX(Soja!$E8:$Z8,MIN(AI$6-$E$3,22))),0))-IF($G$2,0,IF((AI$6-$G$3)&lt;1,0,IFERROR(LOOKUP(2,1/(Soja!$E8:INDEX(Soja!$E8:$Z8,MIN(AI$6-$G$3,22))&lt;&gt;""),Soja!$E8:INDEX(Soja!$E8:$Z8,MIN(AI$6-$G$3,22))),0)))))</f>
        <v>0</v>
      </c>
      <c r="AJ10" s="27" t="n">
        <f aca="false">IF(COUNT(Soja!$E8:$Z8)=0,0,MAX(0,IF((AJ$6-$E$3)&lt;1,0,IFERROR(LOOKUP(2,1/(Soja!$E8:INDEX(Soja!$E8:$Z8,MIN(AJ$6-$E$3,22))&lt;&gt;""),Soja!$E8:INDEX(Soja!$E8:$Z8,MIN(AJ$6-$E$3,22))),0))-IF($G$2,0,IF((AJ$6-$G$3)&lt;1,0,IFERROR(LOOKUP(2,1/(Soja!$E8:INDEX(Soja!$E8:$Z8,MIN(AJ$6-$G$3,22))&lt;&gt;""),Soja!$E8:INDEX(Soja!$E8:$Z8,MIN(AJ$6-$G$3,22))),0)))))</f>
        <v>0</v>
      </c>
      <c r="AK10" s="27" t="n">
        <f aca="false">IF(COUNT(Soja!$E8:$Z8)=0,0,MAX(0,IF((AK$6-$E$3)&lt;1,0,IFERROR(LOOKUP(2,1/(Soja!$E8:INDEX(Soja!$E8:$Z8,MIN(AK$6-$E$3,22))&lt;&gt;""),Soja!$E8:INDEX(Soja!$E8:$Z8,MIN(AK$6-$E$3,22))),0))-IF($G$2,0,IF((AK$6-$G$3)&lt;1,0,IFERROR(LOOKUP(2,1/(Soja!$E8:INDEX(Soja!$E8:$Z8,MIN(AK$6-$G$3,22))&lt;&gt;""),Soja!$E8:INDEX(Soja!$E8:$Z8,MIN(AK$6-$G$3,22))),0)))))</f>
        <v>0</v>
      </c>
      <c r="AL10" s="27" t="n">
        <f aca="false">IF(COUNT(Soja!$E8:$Z8)=0,0,MAX(0,IF((AL$6-$E$3)&lt;1,0,IFERROR(LOOKUP(2,1/(Soja!$E8:INDEX(Soja!$E8:$Z8,MIN(AL$6-$E$3,22))&lt;&gt;""),Soja!$E8:INDEX(Soja!$E8:$Z8,MIN(AL$6-$E$3,22))),0))-IF($G$2,0,IF((AL$6-$G$3)&lt;1,0,IFERROR(LOOKUP(2,1/(Soja!$E8:INDEX(Soja!$E8:$Z8,MIN(AL$6-$G$3,22))&lt;&gt;""),Soja!$E8:INDEX(Soja!$E8:$Z8,MIN(AL$6-$G$3,22))),0)))))</f>
        <v>0</v>
      </c>
      <c r="AM10" s="27" t="n">
        <f aca="false">IF(COUNT(Soja!$E8:$Z8)=0,0,MAX(0,IF((AM$6-$E$3)&lt;1,0,IFERROR(LOOKUP(2,1/(Soja!$E8:INDEX(Soja!$E8:$Z8,MIN(AM$6-$E$3,22))&lt;&gt;""),Soja!$E8:INDEX(Soja!$E8:$Z8,MIN(AM$6-$E$3,22))),0))-IF($G$2,0,IF((AM$6-$G$3)&lt;1,0,IFERROR(LOOKUP(2,1/(Soja!$E8:INDEX(Soja!$E8:$Z8,MIN(AM$6-$G$3,22))&lt;&gt;""),Soja!$E8:INDEX(Soja!$E8:$Z8,MIN(AM$6-$G$3,22))),0)))))</f>
        <v>0</v>
      </c>
      <c r="AN10" s="27" t="n">
        <f aca="false">IF(COUNT(Soja!$E8:$Z8)=0,0,MAX(0,IF((AN$6-$E$3)&lt;1,0,IFERROR(LOOKUP(2,1/(Soja!$E8:INDEX(Soja!$E8:$Z8,MIN(AN$6-$E$3,22))&lt;&gt;""),Soja!$E8:INDEX(Soja!$E8:$Z8,MIN(AN$6-$E$3,22))),0))-IF($G$2,0,IF((AN$6-$G$3)&lt;1,0,IFERROR(LOOKUP(2,1/(Soja!$E8:INDEX(Soja!$E8:$Z8,MIN(AN$6-$G$3,22))&lt;&gt;""),Soja!$E8:INDEX(Soja!$E8:$Z8,MIN(AN$6-$G$3,22))),0)))))</f>
        <v>0</v>
      </c>
      <c r="AO10" s="27" t="n">
        <f aca="false">IF(COUNT(Soja!$E8:$Z8)=0,0,MAX(0,IF((AO$6-$E$3)&lt;1,0,IFERROR(LOOKUP(2,1/(Soja!$E8:INDEX(Soja!$E8:$Z8,MIN(AO$6-$E$3,22))&lt;&gt;""),Soja!$E8:INDEX(Soja!$E8:$Z8,MIN(AO$6-$E$3,22))),0))-IF($G$2,0,IF((AO$6-$G$3)&lt;1,0,IFERROR(LOOKUP(2,1/(Soja!$E8:INDEX(Soja!$E8:$Z8,MIN(AO$6-$G$3,22))&lt;&gt;""),Soja!$E8:INDEX(Soja!$E8:$Z8,MIN(AO$6-$G$3,22))),0)))))</f>
        <v>0</v>
      </c>
      <c r="AP10" s="27" t="n">
        <f aca="false">IF(COUNT(Soja!$E8:$Z8)=0,0,MAX(0,IF((AP$6-$E$3)&lt;1,0,IFERROR(LOOKUP(2,1/(Soja!$E8:INDEX(Soja!$E8:$Z8,MIN(AP$6-$E$3,22))&lt;&gt;""),Soja!$E8:INDEX(Soja!$E8:$Z8,MIN(AP$6-$E$3,22))),0))-IF($G$2,0,IF((AP$6-$G$3)&lt;1,0,IFERROR(LOOKUP(2,1/(Soja!$E8:INDEX(Soja!$E8:$Z8,MIN(AP$6-$G$3,22))&lt;&gt;""),Soja!$E8:INDEX(Soja!$E8:$Z8,MIN(AP$6-$G$3,22))),0)))))</f>
        <v>0</v>
      </c>
      <c r="AQ10" s="27" t="n">
        <f aca="false">IF(COUNT(Soja!$E8:$Z8)=0,0,MAX(0,IF((AQ$6-$E$3)&lt;1,0,IFERROR(LOOKUP(2,1/(Soja!$E8:INDEX(Soja!$E8:$Z8,MIN(AQ$6-$E$3,22))&lt;&gt;""),Soja!$E8:INDEX(Soja!$E8:$Z8,MIN(AQ$6-$E$3,22))),0))-IF($G$2,0,IF((AQ$6-$G$3)&lt;1,0,IFERROR(LOOKUP(2,1/(Soja!$E8:INDEX(Soja!$E8:$Z8,MIN(AQ$6-$G$3,22))&lt;&gt;""),Soja!$E8:INDEX(Soja!$E8:$Z8,MIN(AQ$6-$G$3,22))),0)))))</f>
        <v>0</v>
      </c>
      <c r="AR10" s="27" t="n">
        <f aca="false">IF(COUNT(Soja!$E8:$Z8)=0,0,MAX(0,IF((AR$6-$E$3)&lt;1,0,IFERROR(LOOKUP(2,1/(Soja!$E8:INDEX(Soja!$E8:$Z8,MIN(AR$6-$E$3,22))&lt;&gt;""),Soja!$E8:INDEX(Soja!$E8:$Z8,MIN(AR$6-$E$3,22))),0))-IF($G$2,0,IF((AR$6-$G$3)&lt;1,0,IFERROR(LOOKUP(2,1/(Soja!$E8:INDEX(Soja!$E8:$Z8,MIN(AR$6-$G$3,22))&lt;&gt;""),Soja!$E8:INDEX(Soja!$E8:$Z8,MIN(AR$6-$G$3,22))),0)))))</f>
        <v>0</v>
      </c>
      <c r="AS10" s="27" t="n">
        <f aca="false">IF(COUNT(Soja!$E8:$Z8)=0,0,MAX(0,IF((AS$6-$E$3)&lt;1,0,IFERROR(LOOKUP(2,1/(Soja!$E8:INDEX(Soja!$E8:$Z8,MIN(AS$6-$E$3,22))&lt;&gt;""),Soja!$E8:INDEX(Soja!$E8:$Z8,MIN(AS$6-$E$3,22))),0))-IF($G$2,0,IF((AS$6-$G$3)&lt;1,0,IFERROR(LOOKUP(2,1/(Soja!$E8:INDEX(Soja!$E8:$Z8,MIN(AS$6-$G$3,22))&lt;&gt;""),Soja!$E8:INDEX(Soja!$E8:$Z8,MIN(AS$6-$G$3,22))),0)))))</f>
        <v>0</v>
      </c>
      <c r="AT10" s="27" t="n">
        <f aca="false">IF(COUNT(Soja!$E8:$Z8)=0,0,MAX(0,IF((AT$6-$E$3)&lt;1,0,IFERROR(LOOKUP(2,1/(Soja!$E8:INDEX(Soja!$E8:$Z8,MIN(AT$6-$E$3,22))&lt;&gt;""),Soja!$E8:INDEX(Soja!$E8:$Z8,MIN(AT$6-$E$3,22))),0))-IF($G$2,0,IF((AT$6-$G$3)&lt;1,0,IFERROR(LOOKUP(2,1/(Soja!$E8:INDEX(Soja!$E8:$Z8,MIN(AT$6-$G$3,22))&lt;&gt;""),Soja!$E8:INDEX(Soja!$E8:$Z8,MIN(AT$6-$G$3,22))),0)))))</f>
        <v>0</v>
      </c>
      <c r="AU10" s="27" t="n">
        <f aca="false">IF(COUNT(Soja!$E8:$Z8)=0,0,MAX(0,IF((AU$6-$E$3)&lt;1,0,IFERROR(LOOKUP(2,1/(Soja!$E8:INDEX(Soja!$E8:$Z8,MIN(AU$6-$E$3,22))&lt;&gt;""),Soja!$E8:INDEX(Soja!$E8:$Z8,MIN(AU$6-$E$3,22))),0))-IF($G$2,0,IF((AU$6-$G$3)&lt;1,0,IFERROR(LOOKUP(2,1/(Soja!$E8:INDEX(Soja!$E8:$Z8,MIN(AU$6-$G$3,22))&lt;&gt;""),Soja!$E8:INDEX(Soja!$E8:$Z8,MIN(AU$6-$G$3,22))),0)))))</f>
        <v>0</v>
      </c>
      <c r="AV10" s="27" t="n">
        <f aca="false">IF(COUNT(Soja!$E8:$Z8)=0,0,MAX(0,IF((AV$6-$E$3)&lt;1,0,IFERROR(LOOKUP(2,1/(Soja!$E8:INDEX(Soja!$E8:$Z8,MIN(AV$6-$E$3,22))&lt;&gt;""),Soja!$E8:INDEX(Soja!$E8:$Z8,MIN(AV$6-$E$3,22))),0))-IF($G$2,0,IF((AV$6-$G$3)&lt;1,0,IFERROR(LOOKUP(2,1/(Soja!$E8:INDEX(Soja!$E8:$Z8,MIN(AV$6-$G$3,22))&lt;&gt;""),Soja!$E8:INDEX(Soja!$E8:$Z8,MIN(AV$6-$G$3,22))),0)))))</f>
        <v>0</v>
      </c>
      <c r="AW10" s="27" t="n">
        <f aca="false">IF(COUNT(Soja!$E8:$Z8)=0,0,MAX(0,IF((AW$6-$E$3)&lt;1,0,IFERROR(LOOKUP(2,1/(Soja!$E8:INDEX(Soja!$E8:$Z8,MIN(AW$6-$E$3,22))&lt;&gt;""),Soja!$E8:INDEX(Soja!$E8:$Z8,MIN(AW$6-$E$3,22))),0))-IF($G$2,0,IF((AW$6-$G$3)&lt;1,0,IFERROR(LOOKUP(2,1/(Soja!$E8:INDEX(Soja!$E8:$Z8,MIN(AW$6-$G$3,22))&lt;&gt;""),Soja!$E8:INDEX(Soja!$E8:$Z8,MIN(AW$6-$G$3,22))),0)))))</f>
        <v>0</v>
      </c>
      <c r="AX10" s="27" t="n">
        <f aca="false">IF(COUNT(Soja!$E8:$Z8)=0,0,MAX(0,IF((AX$6-$E$3)&lt;1,0,IFERROR(LOOKUP(2,1/(Soja!$E8:INDEX(Soja!$E8:$Z8,MIN(AX$6-$E$3,22))&lt;&gt;""),Soja!$E8:INDEX(Soja!$E8:$Z8,MIN(AX$6-$E$3,22))),0))-IF($G$2,0,IF((AX$6-$G$3)&lt;1,0,IFERROR(LOOKUP(2,1/(Soja!$E8:INDEX(Soja!$E8:$Z8,MIN(AX$6-$G$3,22))&lt;&gt;""),Soja!$E8:INDEX(Soja!$E8:$Z8,MIN(AX$6-$G$3,22))),0)))))</f>
        <v>0</v>
      </c>
      <c r="AY10" s="27" t="n">
        <f aca="false">IF(COUNT(Soja!$E8:$Z8)=0,0,MAX(0,IF((AY$6-$E$3)&lt;1,0,IFERROR(LOOKUP(2,1/(Soja!$E8:INDEX(Soja!$E8:$Z8,MIN(AY$6-$E$3,22))&lt;&gt;""),Soja!$E8:INDEX(Soja!$E8:$Z8,MIN(AY$6-$E$3,22))),0))-IF($G$2,0,IF((AY$6-$G$3)&lt;1,0,IFERROR(LOOKUP(2,1/(Soja!$E8:INDEX(Soja!$E8:$Z8,MIN(AY$6-$G$3,22))&lt;&gt;""),Soja!$E8:INDEX(Soja!$E8:$Z8,MIN(AY$6-$G$3,22))),0)))))</f>
        <v>0</v>
      </c>
      <c r="AZ10" s="27" t="n">
        <f aca="false">IF(COUNT(Soja!$E8:$Z8)=0,0,MAX(0,IF((AZ$6-$E$3)&lt;1,0,IFERROR(LOOKUP(2,1/(Soja!$E8:INDEX(Soja!$E8:$Z8,MIN(AZ$6-$E$3,22))&lt;&gt;""),Soja!$E8:INDEX(Soja!$E8:$Z8,MIN(AZ$6-$E$3,22))),0))-IF($G$2,0,IF((AZ$6-$G$3)&lt;1,0,IFERROR(LOOKUP(2,1/(Soja!$E8:INDEX(Soja!$E8:$Z8,MIN(AZ$6-$G$3,22))&lt;&gt;""),Soja!$E8:INDEX(Soja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IF(COUNT(Soja!$E9:$Z9)&gt;0,N(Soja!$D9),0)</f>
        <v>0</v>
      </c>
      <c r="E11" s="27" t="n">
        <f aca="false">IF(COUNT(Soja!$E9:$Z9)=0,0,MAX(0,IF((E$6-$E$3)&lt;1,0,IFERROR(LOOKUP(2,1/(Soja!$E9:INDEX(Soja!$E9:$Z9,MIN(E$6-$E$3,22))&lt;&gt;""),Soja!$E9:INDEX(Soja!$E9:$Z9,MIN(E$6-$E$3,22))),0))-IF($G$2,0,IF((E$6-$G$3)&lt;1,0,IFERROR(LOOKUP(2,1/(Soja!$E9:INDEX(Soja!$E9:$Z9,MIN(E$6-$G$3,22))&lt;&gt;""),Soja!$E9:INDEX(Soja!$E9:$Z9,MIN(E$6-$G$3,22))),0)))))</f>
        <v>0</v>
      </c>
      <c r="F11" s="27" t="n">
        <f aca="false">IF(COUNT(Soja!$E9:$Z9)=0,0,MAX(0,IF((F$6-$E$3)&lt;1,0,IFERROR(LOOKUP(2,1/(Soja!$E9:INDEX(Soja!$E9:$Z9,MIN(F$6-$E$3,22))&lt;&gt;""),Soja!$E9:INDEX(Soja!$E9:$Z9,MIN(F$6-$E$3,22))),0))-IF($G$2,0,IF((F$6-$G$3)&lt;1,0,IFERROR(LOOKUP(2,1/(Soja!$E9:INDEX(Soja!$E9:$Z9,MIN(F$6-$G$3,22))&lt;&gt;""),Soja!$E9:INDEX(Soja!$E9:$Z9,MIN(F$6-$G$3,22))),0)))))</f>
        <v>0</v>
      </c>
      <c r="G11" s="27" t="n">
        <f aca="false">IF(COUNT(Soja!$E9:$Z9)=0,0,MAX(0,IF((G$6-$E$3)&lt;1,0,IFERROR(LOOKUP(2,1/(Soja!$E9:INDEX(Soja!$E9:$Z9,MIN(G$6-$E$3,22))&lt;&gt;""),Soja!$E9:INDEX(Soja!$E9:$Z9,MIN(G$6-$E$3,22))),0))-IF($G$2,0,IF((G$6-$G$3)&lt;1,0,IFERROR(LOOKUP(2,1/(Soja!$E9:INDEX(Soja!$E9:$Z9,MIN(G$6-$G$3,22))&lt;&gt;""),Soja!$E9:INDEX(Soja!$E9:$Z9,MIN(G$6-$G$3,22))),0)))))</f>
        <v>0</v>
      </c>
      <c r="H11" s="27" t="n">
        <f aca="false">IF(COUNT(Soja!$E9:$Z9)=0,0,MAX(0,IF((H$6-$E$3)&lt;1,0,IFERROR(LOOKUP(2,1/(Soja!$E9:INDEX(Soja!$E9:$Z9,MIN(H$6-$E$3,22))&lt;&gt;""),Soja!$E9:INDEX(Soja!$E9:$Z9,MIN(H$6-$E$3,22))),0))-IF($G$2,0,IF((H$6-$G$3)&lt;1,0,IFERROR(LOOKUP(2,1/(Soja!$E9:INDEX(Soja!$E9:$Z9,MIN(H$6-$G$3,22))&lt;&gt;""),Soja!$E9:INDEX(Soja!$E9:$Z9,MIN(H$6-$G$3,22))),0)))))</f>
        <v>0</v>
      </c>
      <c r="I11" s="27" t="n">
        <f aca="false">IF(COUNT(Soja!$E9:$Z9)=0,0,MAX(0,IF((I$6-$E$3)&lt;1,0,IFERROR(LOOKUP(2,1/(Soja!$E9:INDEX(Soja!$E9:$Z9,MIN(I$6-$E$3,22))&lt;&gt;""),Soja!$E9:INDEX(Soja!$E9:$Z9,MIN(I$6-$E$3,22))),0))-IF($G$2,0,IF((I$6-$G$3)&lt;1,0,IFERROR(LOOKUP(2,1/(Soja!$E9:INDEX(Soja!$E9:$Z9,MIN(I$6-$G$3,22))&lt;&gt;""),Soja!$E9:INDEX(Soja!$E9:$Z9,MIN(I$6-$G$3,22))),0)))))</f>
        <v>0</v>
      </c>
      <c r="J11" s="27" t="n">
        <f aca="false">IF(COUNT(Soja!$E9:$Z9)=0,0,MAX(0,IF((J$6-$E$3)&lt;1,0,IFERROR(LOOKUP(2,1/(Soja!$E9:INDEX(Soja!$E9:$Z9,MIN(J$6-$E$3,22))&lt;&gt;""),Soja!$E9:INDEX(Soja!$E9:$Z9,MIN(J$6-$E$3,22))),0))-IF($G$2,0,IF((J$6-$G$3)&lt;1,0,IFERROR(LOOKUP(2,1/(Soja!$E9:INDEX(Soja!$E9:$Z9,MIN(J$6-$G$3,22))&lt;&gt;""),Soja!$E9:INDEX(Soja!$E9:$Z9,MIN(J$6-$G$3,22))),0)))))</f>
        <v>0</v>
      </c>
      <c r="K11" s="27" t="n">
        <f aca="false">IF(COUNT(Soja!$E9:$Z9)=0,0,MAX(0,IF((K$6-$E$3)&lt;1,0,IFERROR(LOOKUP(2,1/(Soja!$E9:INDEX(Soja!$E9:$Z9,MIN(K$6-$E$3,22))&lt;&gt;""),Soja!$E9:INDEX(Soja!$E9:$Z9,MIN(K$6-$E$3,22))),0))-IF($G$2,0,IF((K$6-$G$3)&lt;1,0,IFERROR(LOOKUP(2,1/(Soja!$E9:INDEX(Soja!$E9:$Z9,MIN(K$6-$G$3,22))&lt;&gt;""),Soja!$E9:INDEX(Soja!$E9:$Z9,MIN(K$6-$G$3,22))),0)))))</f>
        <v>0</v>
      </c>
      <c r="L11" s="27" t="n">
        <f aca="false">IF(COUNT(Soja!$E9:$Z9)=0,0,MAX(0,IF((L$6-$E$3)&lt;1,0,IFERROR(LOOKUP(2,1/(Soja!$E9:INDEX(Soja!$E9:$Z9,MIN(L$6-$E$3,22))&lt;&gt;""),Soja!$E9:INDEX(Soja!$E9:$Z9,MIN(L$6-$E$3,22))),0))-IF($G$2,0,IF((L$6-$G$3)&lt;1,0,IFERROR(LOOKUP(2,1/(Soja!$E9:INDEX(Soja!$E9:$Z9,MIN(L$6-$G$3,22))&lt;&gt;""),Soja!$E9:INDEX(Soja!$E9:$Z9,MIN(L$6-$G$3,22))),0)))))</f>
        <v>0</v>
      </c>
      <c r="M11" s="27" t="n">
        <f aca="false">IF(COUNT(Soja!$E9:$Z9)=0,0,MAX(0,IF((M$6-$E$3)&lt;1,0,IFERROR(LOOKUP(2,1/(Soja!$E9:INDEX(Soja!$E9:$Z9,MIN(M$6-$E$3,22))&lt;&gt;""),Soja!$E9:INDEX(Soja!$E9:$Z9,MIN(M$6-$E$3,22))),0))-IF($G$2,0,IF((M$6-$G$3)&lt;1,0,IFERROR(LOOKUP(2,1/(Soja!$E9:INDEX(Soja!$E9:$Z9,MIN(M$6-$G$3,22))&lt;&gt;""),Soja!$E9:INDEX(Soja!$E9:$Z9,MIN(M$6-$G$3,22))),0)))))</f>
        <v>0</v>
      </c>
      <c r="N11" s="27" t="n">
        <f aca="false">IF(COUNT(Soja!$E9:$Z9)=0,0,MAX(0,IF((N$6-$E$3)&lt;1,0,IFERROR(LOOKUP(2,1/(Soja!$E9:INDEX(Soja!$E9:$Z9,MIN(N$6-$E$3,22))&lt;&gt;""),Soja!$E9:INDEX(Soja!$E9:$Z9,MIN(N$6-$E$3,22))),0))-IF($G$2,0,IF((N$6-$G$3)&lt;1,0,IFERROR(LOOKUP(2,1/(Soja!$E9:INDEX(Soja!$E9:$Z9,MIN(N$6-$G$3,22))&lt;&gt;""),Soja!$E9:INDEX(Soja!$E9:$Z9,MIN(N$6-$G$3,22))),0)))))</f>
        <v>0</v>
      </c>
      <c r="O11" s="27" t="n">
        <f aca="false">IF(COUNT(Soja!$E9:$Z9)=0,0,MAX(0,IF((O$6-$E$3)&lt;1,0,IFERROR(LOOKUP(2,1/(Soja!$E9:INDEX(Soja!$E9:$Z9,MIN(O$6-$E$3,22))&lt;&gt;""),Soja!$E9:INDEX(Soja!$E9:$Z9,MIN(O$6-$E$3,22))),0))-IF($G$2,0,IF((O$6-$G$3)&lt;1,0,IFERROR(LOOKUP(2,1/(Soja!$E9:INDEX(Soja!$E9:$Z9,MIN(O$6-$G$3,22))&lt;&gt;""),Soja!$E9:INDEX(Soja!$E9:$Z9,MIN(O$6-$G$3,22))),0)))))</f>
        <v>0</v>
      </c>
      <c r="P11" s="27" t="n">
        <f aca="false">IF(COUNT(Soja!$E9:$Z9)=0,0,MAX(0,IF((P$6-$E$3)&lt;1,0,IFERROR(LOOKUP(2,1/(Soja!$E9:INDEX(Soja!$E9:$Z9,MIN(P$6-$E$3,22))&lt;&gt;""),Soja!$E9:INDEX(Soja!$E9:$Z9,MIN(P$6-$E$3,22))),0))-IF($G$2,0,IF((P$6-$G$3)&lt;1,0,IFERROR(LOOKUP(2,1/(Soja!$E9:INDEX(Soja!$E9:$Z9,MIN(P$6-$G$3,22))&lt;&gt;""),Soja!$E9:INDEX(Soja!$E9:$Z9,MIN(P$6-$G$3,22))),0)))))</f>
        <v>0</v>
      </c>
      <c r="Q11" s="27" t="n">
        <f aca="false">IF(COUNT(Soja!$E9:$Z9)=0,0,MAX(0,IF((Q$6-$E$3)&lt;1,0,IFERROR(LOOKUP(2,1/(Soja!$E9:INDEX(Soja!$E9:$Z9,MIN(Q$6-$E$3,22))&lt;&gt;""),Soja!$E9:INDEX(Soja!$E9:$Z9,MIN(Q$6-$E$3,22))),0))-IF($G$2,0,IF((Q$6-$G$3)&lt;1,0,IFERROR(LOOKUP(2,1/(Soja!$E9:INDEX(Soja!$E9:$Z9,MIN(Q$6-$G$3,22))&lt;&gt;""),Soja!$E9:INDEX(Soja!$E9:$Z9,MIN(Q$6-$G$3,22))),0)))))</f>
        <v>0</v>
      </c>
      <c r="R11" s="27" t="n">
        <f aca="false">IF(COUNT(Soja!$E9:$Z9)=0,0,MAX(0,IF((R$6-$E$3)&lt;1,0,IFERROR(LOOKUP(2,1/(Soja!$E9:INDEX(Soja!$E9:$Z9,MIN(R$6-$E$3,22))&lt;&gt;""),Soja!$E9:INDEX(Soja!$E9:$Z9,MIN(R$6-$E$3,22))),0))-IF($G$2,0,IF((R$6-$G$3)&lt;1,0,IFERROR(LOOKUP(2,1/(Soja!$E9:INDEX(Soja!$E9:$Z9,MIN(R$6-$G$3,22))&lt;&gt;""),Soja!$E9:INDEX(Soja!$E9:$Z9,MIN(R$6-$G$3,22))),0)))))</f>
        <v>0</v>
      </c>
      <c r="S11" s="27" t="n">
        <f aca="false">IF(COUNT(Soja!$E9:$Z9)=0,0,MAX(0,IF((S$6-$E$3)&lt;1,0,IFERROR(LOOKUP(2,1/(Soja!$E9:INDEX(Soja!$E9:$Z9,MIN(S$6-$E$3,22))&lt;&gt;""),Soja!$E9:INDEX(Soja!$E9:$Z9,MIN(S$6-$E$3,22))),0))-IF($G$2,0,IF((S$6-$G$3)&lt;1,0,IFERROR(LOOKUP(2,1/(Soja!$E9:INDEX(Soja!$E9:$Z9,MIN(S$6-$G$3,22))&lt;&gt;""),Soja!$E9:INDEX(Soja!$E9:$Z9,MIN(S$6-$G$3,22))),0)))))</f>
        <v>0</v>
      </c>
      <c r="T11" s="27" t="n">
        <f aca="false">IF(COUNT(Soja!$E9:$Z9)=0,0,MAX(0,IF((T$6-$E$3)&lt;1,0,IFERROR(LOOKUP(2,1/(Soja!$E9:INDEX(Soja!$E9:$Z9,MIN(T$6-$E$3,22))&lt;&gt;""),Soja!$E9:INDEX(Soja!$E9:$Z9,MIN(T$6-$E$3,22))),0))-IF($G$2,0,IF((T$6-$G$3)&lt;1,0,IFERROR(LOOKUP(2,1/(Soja!$E9:INDEX(Soja!$E9:$Z9,MIN(T$6-$G$3,22))&lt;&gt;""),Soja!$E9:INDEX(Soja!$E9:$Z9,MIN(T$6-$G$3,22))),0)))))</f>
        <v>0</v>
      </c>
      <c r="U11" s="27" t="n">
        <f aca="false">IF(COUNT(Soja!$E9:$Z9)=0,0,MAX(0,IF((U$6-$E$3)&lt;1,0,IFERROR(LOOKUP(2,1/(Soja!$E9:INDEX(Soja!$E9:$Z9,MIN(U$6-$E$3,22))&lt;&gt;""),Soja!$E9:INDEX(Soja!$E9:$Z9,MIN(U$6-$E$3,22))),0))-IF($G$2,0,IF((U$6-$G$3)&lt;1,0,IFERROR(LOOKUP(2,1/(Soja!$E9:INDEX(Soja!$E9:$Z9,MIN(U$6-$G$3,22))&lt;&gt;""),Soja!$E9:INDEX(Soja!$E9:$Z9,MIN(U$6-$G$3,22))),0)))))</f>
        <v>0</v>
      </c>
      <c r="V11" s="27" t="n">
        <f aca="false">IF(COUNT(Soja!$E9:$Z9)=0,0,MAX(0,IF((V$6-$E$3)&lt;1,0,IFERROR(LOOKUP(2,1/(Soja!$E9:INDEX(Soja!$E9:$Z9,MIN(V$6-$E$3,22))&lt;&gt;""),Soja!$E9:INDEX(Soja!$E9:$Z9,MIN(V$6-$E$3,22))),0))-IF($G$2,0,IF((V$6-$G$3)&lt;1,0,IFERROR(LOOKUP(2,1/(Soja!$E9:INDEX(Soja!$E9:$Z9,MIN(V$6-$G$3,22))&lt;&gt;""),Soja!$E9:INDEX(Soja!$E9:$Z9,MIN(V$6-$G$3,22))),0)))))</f>
        <v>0</v>
      </c>
      <c r="W11" s="27" t="n">
        <f aca="false">IF(COUNT(Soja!$E9:$Z9)=0,0,MAX(0,IF((W$6-$E$3)&lt;1,0,IFERROR(LOOKUP(2,1/(Soja!$E9:INDEX(Soja!$E9:$Z9,MIN(W$6-$E$3,22))&lt;&gt;""),Soja!$E9:INDEX(Soja!$E9:$Z9,MIN(W$6-$E$3,22))),0))-IF($G$2,0,IF((W$6-$G$3)&lt;1,0,IFERROR(LOOKUP(2,1/(Soja!$E9:INDEX(Soja!$E9:$Z9,MIN(W$6-$G$3,22))&lt;&gt;""),Soja!$E9:INDEX(Soja!$E9:$Z9,MIN(W$6-$G$3,22))),0)))))</f>
        <v>0</v>
      </c>
      <c r="X11" s="27" t="n">
        <f aca="false">IF(COUNT(Soja!$E9:$Z9)=0,0,MAX(0,IF((X$6-$E$3)&lt;1,0,IFERROR(LOOKUP(2,1/(Soja!$E9:INDEX(Soja!$E9:$Z9,MIN(X$6-$E$3,22))&lt;&gt;""),Soja!$E9:INDEX(Soja!$E9:$Z9,MIN(X$6-$E$3,22))),0))-IF($G$2,0,IF((X$6-$G$3)&lt;1,0,IFERROR(LOOKUP(2,1/(Soja!$E9:INDEX(Soja!$E9:$Z9,MIN(X$6-$G$3,22))&lt;&gt;""),Soja!$E9:INDEX(Soja!$E9:$Z9,MIN(X$6-$G$3,22))),0)))))</f>
        <v>0</v>
      </c>
      <c r="Y11" s="27" t="n">
        <f aca="false">IF(COUNT(Soja!$E9:$Z9)=0,0,MAX(0,IF((Y$6-$E$3)&lt;1,0,IFERROR(LOOKUP(2,1/(Soja!$E9:INDEX(Soja!$E9:$Z9,MIN(Y$6-$E$3,22))&lt;&gt;""),Soja!$E9:INDEX(Soja!$E9:$Z9,MIN(Y$6-$E$3,22))),0))-IF($G$2,0,IF((Y$6-$G$3)&lt;1,0,IFERROR(LOOKUP(2,1/(Soja!$E9:INDEX(Soja!$E9:$Z9,MIN(Y$6-$G$3,22))&lt;&gt;""),Soja!$E9:INDEX(Soja!$E9:$Z9,MIN(Y$6-$G$3,22))),0)))))</f>
        <v>0</v>
      </c>
      <c r="Z11" s="27" t="n">
        <f aca="false">IF(COUNT(Soja!$E9:$Z9)=0,0,MAX(0,IF((Z$6-$E$3)&lt;1,0,IFERROR(LOOKUP(2,1/(Soja!$E9:INDEX(Soja!$E9:$Z9,MIN(Z$6-$E$3,22))&lt;&gt;""),Soja!$E9:INDEX(Soja!$E9:$Z9,MIN(Z$6-$E$3,22))),0))-IF($G$2,0,IF((Z$6-$G$3)&lt;1,0,IFERROR(LOOKUP(2,1/(Soja!$E9:INDEX(Soja!$E9:$Z9,MIN(Z$6-$G$3,22))&lt;&gt;""),Soja!$E9:INDEX(Soja!$E9:$Z9,MIN(Z$6-$G$3,22))),0)))))</f>
        <v>0</v>
      </c>
      <c r="AA11" s="27" t="n">
        <f aca="false">IF(COUNT(Soja!$E9:$Z9)=0,0,MAX(0,IF((AA$6-$E$3)&lt;1,0,IFERROR(LOOKUP(2,1/(Soja!$E9:INDEX(Soja!$E9:$Z9,MIN(AA$6-$E$3,22))&lt;&gt;""),Soja!$E9:INDEX(Soja!$E9:$Z9,MIN(AA$6-$E$3,22))),0))-IF($G$2,0,IF((AA$6-$G$3)&lt;1,0,IFERROR(LOOKUP(2,1/(Soja!$E9:INDEX(Soja!$E9:$Z9,MIN(AA$6-$G$3,22))&lt;&gt;""),Soja!$E9:INDEX(Soja!$E9:$Z9,MIN(AA$6-$G$3,22))),0)))))</f>
        <v>0</v>
      </c>
      <c r="AB11" s="27" t="n">
        <f aca="false">IF(COUNT(Soja!$E9:$Z9)=0,0,MAX(0,IF((AB$6-$E$3)&lt;1,0,IFERROR(LOOKUP(2,1/(Soja!$E9:INDEX(Soja!$E9:$Z9,MIN(AB$6-$E$3,22))&lt;&gt;""),Soja!$E9:INDEX(Soja!$E9:$Z9,MIN(AB$6-$E$3,22))),0))-IF($G$2,0,IF((AB$6-$G$3)&lt;1,0,IFERROR(LOOKUP(2,1/(Soja!$E9:INDEX(Soja!$E9:$Z9,MIN(AB$6-$G$3,22))&lt;&gt;""),Soja!$E9:INDEX(Soja!$E9:$Z9,MIN(AB$6-$G$3,22))),0)))))</f>
        <v>0</v>
      </c>
      <c r="AC11" s="27" t="n">
        <f aca="false">IF(COUNT(Soja!$E9:$Z9)=0,0,MAX(0,IF((AC$6-$E$3)&lt;1,0,IFERROR(LOOKUP(2,1/(Soja!$E9:INDEX(Soja!$E9:$Z9,MIN(AC$6-$E$3,22))&lt;&gt;""),Soja!$E9:INDEX(Soja!$E9:$Z9,MIN(AC$6-$E$3,22))),0))-IF($G$2,0,IF((AC$6-$G$3)&lt;1,0,IFERROR(LOOKUP(2,1/(Soja!$E9:INDEX(Soja!$E9:$Z9,MIN(AC$6-$G$3,22))&lt;&gt;""),Soja!$E9:INDEX(Soja!$E9:$Z9,MIN(AC$6-$G$3,22))),0)))))</f>
        <v>0</v>
      </c>
      <c r="AD11" s="27" t="n">
        <f aca="false">IF(COUNT(Soja!$E9:$Z9)=0,0,MAX(0,IF((AD$6-$E$3)&lt;1,0,IFERROR(LOOKUP(2,1/(Soja!$E9:INDEX(Soja!$E9:$Z9,MIN(AD$6-$E$3,22))&lt;&gt;""),Soja!$E9:INDEX(Soja!$E9:$Z9,MIN(AD$6-$E$3,22))),0))-IF($G$2,0,IF((AD$6-$G$3)&lt;1,0,IFERROR(LOOKUP(2,1/(Soja!$E9:INDEX(Soja!$E9:$Z9,MIN(AD$6-$G$3,22))&lt;&gt;""),Soja!$E9:INDEX(Soja!$E9:$Z9,MIN(AD$6-$G$3,22))),0)))))</f>
        <v>0</v>
      </c>
      <c r="AE11" s="27" t="n">
        <f aca="false">IF(COUNT(Soja!$E9:$Z9)=0,0,MAX(0,IF((AE$6-$E$3)&lt;1,0,IFERROR(LOOKUP(2,1/(Soja!$E9:INDEX(Soja!$E9:$Z9,MIN(AE$6-$E$3,22))&lt;&gt;""),Soja!$E9:INDEX(Soja!$E9:$Z9,MIN(AE$6-$E$3,22))),0))-IF($G$2,0,IF((AE$6-$G$3)&lt;1,0,IFERROR(LOOKUP(2,1/(Soja!$E9:INDEX(Soja!$E9:$Z9,MIN(AE$6-$G$3,22))&lt;&gt;""),Soja!$E9:INDEX(Soja!$E9:$Z9,MIN(AE$6-$G$3,22))),0)))))</f>
        <v>0</v>
      </c>
      <c r="AF11" s="27" t="n">
        <f aca="false">IF(COUNT(Soja!$E9:$Z9)=0,0,MAX(0,IF((AF$6-$E$3)&lt;1,0,IFERROR(LOOKUP(2,1/(Soja!$E9:INDEX(Soja!$E9:$Z9,MIN(AF$6-$E$3,22))&lt;&gt;""),Soja!$E9:INDEX(Soja!$E9:$Z9,MIN(AF$6-$E$3,22))),0))-IF($G$2,0,IF((AF$6-$G$3)&lt;1,0,IFERROR(LOOKUP(2,1/(Soja!$E9:INDEX(Soja!$E9:$Z9,MIN(AF$6-$G$3,22))&lt;&gt;""),Soja!$E9:INDEX(Soja!$E9:$Z9,MIN(AF$6-$G$3,22))),0)))))</f>
        <v>0</v>
      </c>
      <c r="AG11" s="27" t="n">
        <f aca="false">IF(COUNT(Soja!$E9:$Z9)=0,0,MAX(0,IF((AG$6-$E$3)&lt;1,0,IFERROR(LOOKUP(2,1/(Soja!$E9:INDEX(Soja!$E9:$Z9,MIN(AG$6-$E$3,22))&lt;&gt;""),Soja!$E9:INDEX(Soja!$E9:$Z9,MIN(AG$6-$E$3,22))),0))-IF($G$2,0,IF((AG$6-$G$3)&lt;1,0,IFERROR(LOOKUP(2,1/(Soja!$E9:INDEX(Soja!$E9:$Z9,MIN(AG$6-$G$3,22))&lt;&gt;""),Soja!$E9:INDEX(Soja!$E9:$Z9,MIN(AG$6-$G$3,22))),0)))))</f>
        <v>0</v>
      </c>
      <c r="AH11" s="27" t="n">
        <f aca="false">IF(COUNT(Soja!$E9:$Z9)=0,0,MAX(0,IF((AH$6-$E$3)&lt;1,0,IFERROR(LOOKUP(2,1/(Soja!$E9:INDEX(Soja!$E9:$Z9,MIN(AH$6-$E$3,22))&lt;&gt;""),Soja!$E9:INDEX(Soja!$E9:$Z9,MIN(AH$6-$E$3,22))),0))-IF($G$2,0,IF((AH$6-$G$3)&lt;1,0,IFERROR(LOOKUP(2,1/(Soja!$E9:INDEX(Soja!$E9:$Z9,MIN(AH$6-$G$3,22))&lt;&gt;""),Soja!$E9:INDEX(Soja!$E9:$Z9,MIN(AH$6-$G$3,22))),0)))))</f>
        <v>0</v>
      </c>
      <c r="AI11" s="27" t="n">
        <f aca="false">IF(COUNT(Soja!$E9:$Z9)=0,0,MAX(0,IF((AI$6-$E$3)&lt;1,0,IFERROR(LOOKUP(2,1/(Soja!$E9:INDEX(Soja!$E9:$Z9,MIN(AI$6-$E$3,22))&lt;&gt;""),Soja!$E9:INDEX(Soja!$E9:$Z9,MIN(AI$6-$E$3,22))),0))-IF($G$2,0,IF((AI$6-$G$3)&lt;1,0,IFERROR(LOOKUP(2,1/(Soja!$E9:INDEX(Soja!$E9:$Z9,MIN(AI$6-$G$3,22))&lt;&gt;""),Soja!$E9:INDEX(Soja!$E9:$Z9,MIN(AI$6-$G$3,22))),0)))))</f>
        <v>0</v>
      </c>
      <c r="AJ11" s="27" t="n">
        <f aca="false">IF(COUNT(Soja!$E9:$Z9)=0,0,MAX(0,IF((AJ$6-$E$3)&lt;1,0,IFERROR(LOOKUP(2,1/(Soja!$E9:INDEX(Soja!$E9:$Z9,MIN(AJ$6-$E$3,22))&lt;&gt;""),Soja!$E9:INDEX(Soja!$E9:$Z9,MIN(AJ$6-$E$3,22))),0))-IF($G$2,0,IF((AJ$6-$G$3)&lt;1,0,IFERROR(LOOKUP(2,1/(Soja!$E9:INDEX(Soja!$E9:$Z9,MIN(AJ$6-$G$3,22))&lt;&gt;""),Soja!$E9:INDEX(Soja!$E9:$Z9,MIN(AJ$6-$G$3,22))),0)))))</f>
        <v>0</v>
      </c>
      <c r="AK11" s="27" t="n">
        <f aca="false">IF(COUNT(Soja!$E9:$Z9)=0,0,MAX(0,IF((AK$6-$E$3)&lt;1,0,IFERROR(LOOKUP(2,1/(Soja!$E9:INDEX(Soja!$E9:$Z9,MIN(AK$6-$E$3,22))&lt;&gt;""),Soja!$E9:INDEX(Soja!$E9:$Z9,MIN(AK$6-$E$3,22))),0))-IF($G$2,0,IF((AK$6-$G$3)&lt;1,0,IFERROR(LOOKUP(2,1/(Soja!$E9:INDEX(Soja!$E9:$Z9,MIN(AK$6-$G$3,22))&lt;&gt;""),Soja!$E9:INDEX(Soja!$E9:$Z9,MIN(AK$6-$G$3,22))),0)))))</f>
        <v>0</v>
      </c>
      <c r="AL11" s="27" t="n">
        <f aca="false">IF(COUNT(Soja!$E9:$Z9)=0,0,MAX(0,IF((AL$6-$E$3)&lt;1,0,IFERROR(LOOKUP(2,1/(Soja!$E9:INDEX(Soja!$E9:$Z9,MIN(AL$6-$E$3,22))&lt;&gt;""),Soja!$E9:INDEX(Soja!$E9:$Z9,MIN(AL$6-$E$3,22))),0))-IF($G$2,0,IF((AL$6-$G$3)&lt;1,0,IFERROR(LOOKUP(2,1/(Soja!$E9:INDEX(Soja!$E9:$Z9,MIN(AL$6-$G$3,22))&lt;&gt;""),Soja!$E9:INDEX(Soja!$E9:$Z9,MIN(AL$6-$G$3,22))),0)))))</f>
        <v>0</v>
      </c>
      <c r="AM11" s="27" t="n">
        <f aca="false">IF(COUNT(Soja!$E9:$Z9)=0,0,MAX(0,IF((AM$6-$E$3)&lt;1,0,IFERROR(LOOKUP(2,1/(Soja!$E9:INDEX(Soja!$E9:$Z9,MIN(AM$6-$E$3,22))&lt;&gt;""),Soja!$E9:INDEX(Soja!$E9:$Z9,MIN(AM$6-$E$3,22))),0))-IF($G$2,0,IF((AM$6-$G$3)&lt;1,0,IFERROR(LOOKUP(2,1/(Soja!$E9:INDEX(Soja!$E9:$Z9,MIN(AM$6-$G$3,22))&lt;&gt;""),Soja!$E9:INDEX(Soja!$E9:$Z9,MIN(AM$6-$G$3,22))),0)))))</f>
        <v>0</v>
      </c>
      <c r="AN11" s="27" t="n">
        <f aca="false">IF(COUNT(Soja!$E9:$Z9)=0,0,MAX(0,IF((AN$6-$E$3)&lt;1,0,IFERROR(LOOKUP(2,1/(Soja!$E9:INDEX(Soja!$E9:$Z9,MIN(AN$6-$E$3,22))&lt;&gt;""),Soja!$E9:INDEX(Soja!$E9:$Z9,MIN(AN$6-$E$3,22))),0))-IF($G$2,0,IF((AN$6-$G$3)&lt;1,0,IFERROR(LOOKUP(2,1/(Soja!$E9:INDEX(Soja!$E9:$Z9,MIN(AN$6-$G$3,22))&lt;&gt;""),Soja!$E9:INDEX(Soja!$E9:$Z9,MIN(AN$6-$G$3,22))),0)))))</f>
        <v>0</v>
      </c>
      <c r="AO11" s="27" t="n">
        <f aca="false">IF(COUNT(Soja!$E9:$Z9)=0,0,MAX(0,IF((AO$6-$E$3)&lt;1,0,IFERROR(LOOKUP(2,1/(Soja!$E9:INDEX(Soja!$E9:$Z9,MIN(AO$6-$E$3,22))&lt;&gt;""),Soja!$E9:INDEX(Soja!$E9:$Z9,MIN(AO$6-$E$3,22))),0))-IF($G$2,0,IF((AO$6-$G$3)&lt;1,0,IFERROR(LOOKUP(2,1/(Soja!$E9:INDEX(Soja!$E9:$Z9,MIN(AO$6-$G$3,22))&lt;&gt;""),Soja!$E9:INDEX(Soja!$E9:$Z9,MIN(AO$6-$G$3,22))),0)))))</f>
        <v>0</v>
      </c>
      <c r="AP11" s="27" t="n">
        <f aca="false">IF(COUNT(Soja!$E9:$Z9)=0,0,MAX(0,IF((AP$6-$E$3)&lt;1,0,IFERROR(LOOKUP(2,1/(Soja!$E9:INDEX(Soja!$E9:$Z9,MIN(AP$6-$E$3,22))&lt;&gt;""),Soja!$E9:INDEX(Soja!$E9:$Z9,MIN(AP$6-$E$3,22))),0))-IF($G$2,0,IF((AP$6-$G$3)&lt;1,0,IFERROR(LOOKUP(2,1/(Soja!$E9:INDEX(Soja!$E9:$Z9,MIN(AP$6-$G$3,22))&lt;&gt;""),Soja!$E9:INDEX(Soja!$E9:$Z9,MIN(AP$6-$G$3,22))),0)))))</f>
        <v>0</v>
      </c>
      <c r="AQ11" s="27" t="n">
        <f aca="false">IF(COUNT(Soja!$E9:$Z9)=0,0,MAX(0,IF((AQ$6-$E$3)&lt;1,0,IFERROR(LOOKUP(2,1/(Soja!$E9:INDEX(Soja!$E9:$Z9,MIN(AQ$6-$E$3,22))&lt;&gt;""),Soja!$E9:INDEX(Soja!$E9:$Z9,MIN(AQ$6-$E$3,22))),0))-IF($G$2,0,IF((AQ$6-$G$3)&lt;1,0,IFERROR(LOOKUP(2,1/(Soja!$E9:INDEX(Soja!$E9:$Z9,MIN(AQ$6-$G$3,22))&lt;&gt;""),Soja!$E9:INDEX(Soja!$E9:$Z9,MIN(AQ$6-$G$3,22))),0)))))</f>
        <v>0</v>
      </c>
      <c r="AR11" s="27" t="n">
        <f aca="false">IF(COUNT(Soja!$E9:$Z9)=0,0,MAX(0,IF((AR$6-$E$3)&lt;1,0,IFERROR(LOOKUP(2,1/(Soja!$E9:INDEX(Soja!$E9:$Z9,MIN(AR$6-$E$3,22))&lt;&gt;""),Soja!$E9:INDEX(Soja!$E9:$Z9,MIN(AR$6-$E$3,22))),0))-IF($G$2,0,IF((AR$6-$G$3)&lt;1,0,IFERROR(LOOKUP(2,1/(Soja!$E9:INDEX(Soja!$E9:$Z9,MIN(AR$6-$G$3,22))&lt;&gt;""),Soja!$E9:INDEX(Soja!$E9:$Z9,MIN(AR$6-$G$3,22))),0)))))</f>
        <v>0</v>
      </c>
      <c r="AS11" s="27" t="n">
        <f aca="false">IF(COUNT(Soja!$E9:$Z9)=0,0,MAX(0,IF((AS$6-$E$3)&lt;1,0,IFERROR(LOOKUP(2,1/(Soja!$E9:INDEX(Soja!$E9:$Z9,MIN(AS$6-$E$3,22))&lt;&gt;""),Soja!$E9:INDEX(Soja!$E9:$Z9,MIN(AS$6-$E$3,22))),0))-IF($G$2,0,IF((AS$6-$G$3)&lt;1,0,IFERROR(LOOKUP(2,1/(Soja!$E9:INDEX(Soja!$E9:$Z9,MIN(AS$6-$G$3,22))&lt;&gt;""),Soja!$E9:INDEX(Soja!$E9:$Z9,MIN(AS$6-$G$3,22))),0)))))</f>
        <v>0</v>
      </c>
      <c r="AT11" s="27" t="n">
        <f aca="false">IF(COUNT(Soja!$E9:$Z9)=0,0,MAX(0,IF((AT$6-$E$3)&lt;1,0,IFERROR(LOOKUP(2,1/(Soja!$E9:INDEX(Soja!$E9:$Z9,MIN(AT$6-$E$3,22))&lt;&gt;""),Soja!$E9:INDEX(Soja!$E9:$Z9,MIN(AT$6-$E$3,22))),0))-IF($G$2,0,IF((AT$6-$G$3)&lt;1,0,IFERROR(LOOKUP(2,1/(Soja!$E9:INDEX(Soja!$E9:$Z9,MIN(AT$6-$G$3,22))&lt;&gt;""),Soja!$E9:INDEX(Soja!$E9:$Z9,MIN(AT$6-$G$3,22))),0)))))</f>
        <v>0</v>
      </c>
      <c r="AU11" s="27" t="n">
        <f aca="false">IF(COUNT(Soja!$E9:$Z9)=0,0,MAX(0,IF((AU$6-$E$3)&lt;1,0,IFERROR(LOOKUP(2,1/(Soja!$E9:INDEX(Soja!$E9:$Z9,MIN(AU$6-$E$3,22))&lt;&gt;""),Soja!$E9:INDEX(Soja!$E9:$Z9,MIN(AU$6-$E$3,22))),0))-IF($G$2,0,IF((AU$6-$G$3)&lt;1,0,IFERROR(LOOKUP(2,1/(Soja!$E9:INDEX(Soja!$E9:$Z9,MIN(AU$6-$G$3,22))&lt;&gt;""),Soja!$E9:INDEX(Soja!$E9:$Z9,MIN(AU$6-$G$3,22))),0)))))</f>
        <v>0</v>
      </c>
      <c r="AV11" s="27" t="n">
        <f aca="false">IF(COUNT(Soja!$E9:$Z9)=0,0,MAX(0,IF((AV$6-$E$3)&lt;1,0,IFERROR(LOOKUP(2,1/(Soja!$E9:INDEX(Soja!$E9:$Z9,MIN(AV$6-$E$3,22))&lt;&gt;""),Soja!$E9:INDEX(Soja!$E9:$Z9,MIN(AV$6-$E$3,22))),0))-IF($G$2,0,IF((AV$6-$G$3)&lt;1,0,IFERROR(LOOKUP(2,1/(Soja!$E9:INDEX(Soja!$E9:$Z9,MIN(AV$6-$G$3,22))&lt;&gt;""),Soja!$E9:INDEX(Soja!$E9:$Z9,MIN(AV$6-$G$3,22))),0)))))</f>
        <v>0</v>
      </c>
      <c r="AW11" s="27" t="n">
        <f aca="false">IF(COUNT(Soja!$E9:$Z9)=0,0,MAX(0,IF((AW$6-$E$3)&lt;1,0,IFERROR(LOOKUP(2,1/(Soja!$E9:INDEX(Soja!$E9:$Z9,MIN(AW$6-$E$3,22))&lt;&gt;""),Soja!$E9:INDEX(Soja!$E9:$Z9,MIN(AW$6-$E$3,22))),0))-IF($G$2,0,IF((AW$6-$G$3)&lt;1,0,IFERROR(LOOKUP(2,1/(Soja!$E9:INDEX(Soja!$E9:$Z9,MIN(AW$6-$G$3,22))&lt;&gt;""),Soja!$E9:INDEX(Soja!$E9:$Z9,MIN(AW$6-$G$3,22))),0)))))</f>
        <v>0</v>
      </c>
      <c r="AX11" s="27" t="n">
        <f aca="false">IF(COUNT(Soja!$E9:$Z9)=0,0,MAX(0,IF((AX$6-$E$3)&lt;1,0,IFERROR(LOOKUP(2,1/(Soja!$E9:INDEX(Soja!$E9:$Z9,MIN(AX$6-$E$3,22))&lt;&gt;""),Soja!$E9:INDEX(Soja!$E9:$Z9,MIN(AX$6-$E$3,22))),0))-IF($G$2,0,IF((AX$6-$G$3)&lt;1,0,IFERROR(LOOKUP(2,1/(Soja!$E9:INDEX(Soja!$E9:$Z9,MIN(AX$6-$G$3,22))&lt;&gt;""),Soja!$E9:INDEX(Soja!$E9:$Z9,MIN(AX$6-$G$3,22))),0)))))</f>
        <v>0</v>
      </c>
      <c r="AY11" s="27" t="n">
        <f aca="false">IF(COUNT(Soja!$E9:$Z9)=0,0,MAX(0,IF((AY$6-$E$3)&lt;1,0,IFERROR(LOOKUP(2,1/(Soja!$E9:INDEX(Soja!$E9:$Z9,MIN(AY$6-$E$3,22))&lt;&gt;""),Soja!$E9:INDEX(Soja!$E9:$Z9,MIN(AY$6-$E$3,22))),0))-IF($G$2,0,IF((AY$6-$G$3)&lt;1,0,IFERROR(LOOKUP(2,1/(Soja!$E9:INDEX(Soja!$E9:$Z9,MIN(AY$6-$G$3,22))&lt;&gt;""),Soja!$E9:INDEX(Soja!$E9:$Z9,MIN(AY$6-$G$3,22))),0)))))</f>
        <v>0</v>
      </c>
      <c r="AZ11" s="27" t="n">
        <f aca="false">IF(COUNT(Soja!$E9:$Z9)=0,0,MAX(0,IF((AZ$6-$E$3)&lt;1,0,IFERROR(LOOKUP(2,1/(Soja!$E9:INDEX(Soja!$E9:$Z9,MIN(AZ$6-$E$3,22))&lt;&gt;""),Soja!$E9:INDEX(Soja!$E9:$Z9,MIN(AZ$6-$E$3,22))),0))-IF($G$2,0,IF((AZ$6-$G$3)&lt;1,0,IFERROR(LOOKUP(2,1/(Soja!$E9:INDEX(Soja!$E9:$Z9,MIN(AZ$6-$G$3,22))&lt;&gt;""),Soja!$E9:INDEX(Soja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IF(COUNT(Soja!$E10:$Z10)&gt;0,N(Soja!$D10),0)</f>
        <v>0</v>
      </c>
      <c r="E12" s="27" t="n">
        <f aca="false">IF(COUNT(Soja!$E10:$Z10)=0,0,MAX(0,IF((E$6-$E$3)&lt;1,0,IFERROR(LOOKUP(2,1/(Soja!$E10:INDEX(Soja!$E10:$Z10,MIN(E$6-$E$3,22))&lt;&gt;""),Soja!$E10:INDEX(Soja!$E10:$Z10,MIN(E$6-$E$3,22))),0))-IF($G$2,0,IF((E$6-$G$3)&lt;1,0,IFERROR(LOOKUP(2,1/(Soja!$E10:INDEX(Soja!$E10:$Z10,MIN(E$6-$G$3,22))&lt;&gt;""),Soja!$E10:INDEX(Soja!$E10:$Z10,MIN(E$6-$G$3,22))),0)))))</f>
        <v>0</v>
      </c>
      <c r="F12" s="27" t="n">
        <f aca="false">IF(COUNT(Soja!$E10:$Z10)=0,0,MAX(0,IF((F$6-$E$3)&lt;1,0,IFERROR(LOOKUP(2,1/(Soja!$E10:INDEX(Soja!$E10:$Z10,MIN(F$6-$E$3,22))&lt;&gt;""),Soja!$E10:INDEX(Soja!$E10:$Z10,MIN(F$6-$E$3,22))),0))-IF($G$2,0,IF((F$6-$G$3)&lt;1,0,IFERROR(LOOKUP(2,1/(Soja!$E10:INDEX(Soja!$E10:$Z10,MIN(F$6-$G$3,22))&lt;&gt;""),Soja!$E10:INDEX(Soja!$E10:$Z10,MIN(F$6-$G$3,22))),0)))))</f>
        <v>0</v>
      </c>
      <c r="G12" s="27" t="n">
        <f aca="false">IF(COUNT(Soja!$E10:$Z10)=0,0,MAX(0,IF((G$6-$E$3)&lt;1,0,IFERROR(LOOKUP(2,1/(Soja!$E10:INDEX(Soja!$E10:$Z10,MIN(G$6-$E$3,22))&lt;&gt;""),Soja!$E10:INDEX(Soja!$E10:$Z10,MIN(G$6-$E$3,22))),0))-IF($G$2,0,IF((G$6-$G$3)&lt;1,0,IFERROR(LOOKUP(2,1/(Soja!$E10:INDEX(Soja!$E10:$Z10,MIN(G$6-$G$3,22))&lt;&gt;""),Soja!$E10:INDEX(Soja!$E10:$Z10,MIN(G$6-$G$3,22))),0)))))</f>
        <v>0</v>
      </c>
      <c r="H12" s="27" t="n">
        <f aca="false">IF(COUNT(Soja!$E10:$Z10)=0,0,MAX(0,IF((H$6-$E$3)&lt;1,0,IFERROR(LOOKUP(2,1/(Soja!$E10:INDEX(Soja!$E10:$Z10,MIN(H$6-$E$3,22))&lt;&gt;""),Soja!$E10:INDEX(Soja!$E10:$Z10,MIN(H$6-$E$3,22))),0))-IF($G$2,0,IF((H$6-$G$3)&lt;1,0,IFERROR(LOOKUP(2,1/(Soja!$E10:INDEX(Soja!$E10:$Z10,MIN(H$6-$G$3,22))&lt;&gt;""),Soja!$E10:INDEX(Soja!$E10:$Z10,MIN(H$6-$G$3,22))),0)))))</f>
        <v>0</v>
      </c>
      <c r="I12" s="27" t="n">
        <f aca="false">IF(COUNT(Soja!$E10:$Z10)=0,0,MAX(0,IF((I$6-$E$3)&lt;1,0,IFERROR(LOOKUP(2,1/(Soja!$E10:INDEX(Soja!$E10:$Z10,MIN(I$6-$E$3,22))&lt;&gt;""),Soja!$E10:INDEX(Soja!$E10:$Z10,MIN(I$6-$E$3,22))),0))-IF($G$2,0,IF((I$6-$G$3)&lt;1,0,IFERROR(LOOKUP(2,1/(Soja!$E10:INDEX(Soja!$E10:$Z10,MIN(I$6-$G$3,22))&lt;&gt;""),Soja!$E10:INDEX(Soja!$E10:$Z10,MIN(I$6-$G$3,22))),0)))))</f>
        <v>0</v>
      </c>
      <c r="J12" s="27" t="n">
        <f aca="false">IF(COUNT(Soja!$E10:$Z10)=0,0,MAX(0,IF((J$6-$E$3)&lt;1,0,IFERROR(LOOKUP(2,1/(Soja!$E10:INDEX(Soja!$E10:$Z10,MIN(J$6-$E$3,22))&lt;&gt;""),Soja!$E10:INDEX(Soja!$E10:$Z10,MIN(J$6-$E$3,22))),0))-IF($G$2,0,IF((J$6-$G$3)&lt;1,0,IFERROR(LOOKUP(2,1/(Soja!$E10:INDEX(Soja!$E10:$Z10,MIN(J$6-$G$3,22))&lt;&gt;""),Soja!$E10:INDEX(Soja!$E10:$Z10,MIN(J$6-$G$3,22))),0)))))</f>
        <v>0</v>
      </c>
      <c r="K12" s="27" t="n">
        <f aca="false">IF(COUNT(Soja!$E10:$Z10)=0,0,MAX(0,IF((K$6-$E$3)&lt;1,0,IFERROR(LOOKUP(2,1/(Soja!$E10:INDEX(Soja!$E10:$Z10,MIN(K$6-$E$3,22))&lt;&gt;""),Soja!$E10:INDEX(Soja!$E10:$Z10,MIN(K$6-$E$3,22))),0))-IF($G$2,0,IF((K$6-$G$3)&lt;1,0,IFERROR(LOOKUP(2,1/(Soja!$E10:INDEX(Soja!$E10:$Z10,MIN(K$6-$G$3,22))&lt;&gt;""),Soja!$E10:INDEX(Soja!$E10:$Z10,MIN(K$6-$G$3,22))),0)))))</f>
        <v>0</v>
      </c>
      <c r="L12" s="27" t="n">
        <f aca="false">IF(COUNT(Soja!$E10:$Z10)=0,0,MAX(0,IF((L$6-$E$3)&lt;1,0,IFERROR(LOOKUP(2,1/(Soja!$E10:INDEX(Soja!$E10:$Z10,MIN(L$6-$E$3,22))&lt;&gt;""),Soja!$E10:INDEX(Soja!$E10:$Z10,MIN(L$6-$E$3,22))),0))-IF($G$2,0,IF((L$6-$G$3)&lt;1,0,IFERROR(LOOKUP(2,1/(Soja!$E10:INDEX(Soja!$E10:$Z10,MIN(L$6-$G$3,22))&lt;&gt;""),Soja!$E10:INDEX(Soja!$E10:$Z10,MIN(L$6-$G$3,22))),0)))))</f>
        <v>0</v>
      </c>
      <c r="M12" s="27" t="n">
        <f aca="false">IF(COUNT(Soja!$E10:$Z10)=0,0,MAX(0,IF((M$6-$E$3)&lt;1,0,IFERROR(LOOKUP(2,1/(Soja!$E10:INDEX(Soja!$E10:$Z10,MIN(M$6-$E$3,22))&lt;&gt;""),Soja!$E10:INDEX(Soja!$E10:$Z10,MIN(M$6-$E$3,22))),0))-IF($G$2,0,IF((M$6-$G$3)&lt;1,0,IFERROR(LOOKUP(2,1/(Soja!$E10:INDEX(Soja!$E10:$Z10,MIN(M$6-$G$3,22))&lt;&gt;""),Soja!$E10:INDEX(Soja!$E10:$Z10,MIN(M$6-$G$3,22))),0)))))</f>
        <v>0</v>
      </c>
      <c r="N12" s="27" t="n">
        <f aca="false">IF(COUNT(Soja!$E10:$Z10)=0,0,MAX(0,IF((N$6-$E$3)&lt;1,0,IFERROR(LOOKUP(2,1/(Soja!$E10:INDEX(Soja!$E10:$Z10,MIN(N$6-$E$3,22))&lt;&gt;""),Soja!$E10:INDEX(Soja!$E10:$Z10,MIN(N$6-$E$3,22))),0))-IF($G$2,0,IF((N$6-$G$3)&lt;1,0,IFERROR(LOOKUP(2,1/(Soja!$E10:INDEX(Soja!$E10:$Z10,MIN(N$6-$G$3,22))&lt;&gt;""),Soja!$E10:INDEX(Soja!$E10:$Z10,MIN(N$6-$G$3,22))),0)))))</f>
        <v>0</v>
      </c>
      <c r="O12" s="27" t="n">
        <f aca="false">IF(COUNT(Soja!$E10:$Z10)=0,0,MAX(0,IF((O$6-$E$3)&lt;1,0,IFERROR(LOOKUP(2,1/(Soja!$E10:INDEX(Soja!$E10:$Z10,MIN(O$6-$E$3,22))&lt;&gt;""),Soja!$E10:INDEX(Soja!$E10:$Z10,MIN(O$6-$E$3,22))),0))-IF($G$2,0,IF((O$6-$G$3)&lt;1,0,IFERROR(LOOKUP(2,1/(Soja!$E10:INDEX(Soja!$E10:$Z10,MIN(O$6-$G$3,22))&lt;&gt;""),Soja!$E10:INDEX(Soja!$E10:$Z10,MIN(O$6-$G$3,22))),0)))))</f>
        <v>0</v>
      </c>
      <c r="P12" s="27" t="n">
        <f aca="false">IF(COUNT(Soja!$E10:$Z10)=0,0,MAX(0,IF((P$6-$E$3)&lt;1,0,IFERROR(LOOKUP(2,1/(Soja!$E10:INDEX(Soja!$E10:$Z10,MIN(P$6-$E$3,22))&lt;&gt;""),Soja!$E10:INDEX(Soja!$E10:$Z10,MIN(P$6-$E$3,22))),0))-IF($G$2,0,IF((P$6-$G$3)&lt;1,0,IFERROR(LOOKUP(2,1/(Soja!$E10:INDEX(Soja!$E10:$Z10,MIN(P$6-$G$3,22))&lt;&gt;""),Soja!$E10:INDEX(Soja!$E10:$Z10,MIN(P$6-$G$3,22))),0)))))</f>
        <v>0</v>
      </c>
      <c r="Q12" s="27" t="n">
        <f aca="false">IF(COUNT(Soja!$E10:$Z10)=0,0,MAX(0,IF((Q$6-$E$3)&lt;1,0,IFERROR(LOOKUP(2,1/(Soja!$E10:INDEX(Soja!$E10:$Z10,MIN(Q$6-$E$3,22))&lt;&gt;""),Soja!$E10:INDEX(Soja!$E10:$Z10,MIN(Q$6-$E$3,22))),0))-IF($G$2,0,IF((Q$6-$G$3)&lt;1,0,IFERROR(LOOKUP(2,1/(Soja!$E10:INDEX(Soja!$E10:$Z10,MIN(Q$6-$G$3,22))&lt;&gt;""),Soja!$E10:INDEX(Soja!$E10:$Z10,MIN(Q$6-$G$3,22))),0)))))</f>
        <v>0</v>
      </c>
      <c r="R12" s="27" t="n">
        <f aca="false">IF(COUNT(Soja!$E10:$Z10)=0,0,MAX(0,IF((R$6-$E$3)&lt;1,0,IFERROR(LOOKUP(2,1/(Soja!$E10:INDEX(Soja!$E10:$Z10,MIN(R$6-$E$3,22))&lt;&gt;""),Soja!$E10:INDEX(Soja!$E10:$Z10,MIN(R$6-$E$3,22))),0))-IF($G$2,0,IF((R$6-$G$3)&lt;1,0,IFERROR(LOOKUP(2,1/(Soja!$E10:INDEX(Soja!$E10:$Z10,MIN(R$6-$G$3,22))&lt;&gt;""),Soja!$E10:INDEX(Soja!$E10:$Z10,MIN(R$6-$G$3,22))),0)))))</f>
        <v>0</v>
      </c>
      <c r="S12" s="27" t="n">
        <f aca="false">IF(COUNT(Soja!$E10:$Z10)=0,0,MAX(0,IF((S$6-$E$3)&lt;1,0,IFERROR(LOOKUP(2,1/(Soja!$E10:INDEX(Soja!$E10:$Z10,MIN(S$6-$E$3,22))&lt;&gt;""),Soja!$E10:INDEX(Soja!$E10:$Z10,MIN(S$6-$E$3,22))),0))-IF($G$2,0,IF((S$6-$G$3)&lt;1,0,IFERROR(LOOKUP(2,1/(Soja!$E10:INDEX(Soja!$E10:$Z10,MIN(S$6-$G$3,22))&lt;&gt;""),Soja!$E10:INDEX(Soja!$E10:$Z10,MIN(S$6-$G$3,22))),0)))))</f>
        <v>0</v>
      </c>
      <c r="T12" s="27" t="n">
        <f aca="false">IF(COUNT(Soja!$E10:$Z10)=0,0,MAX(0,IF((T$6-$E$3)&lt;1,0,IFERROR(LOOKUP(2,1/(Soja!$E10:INDEX(Soja!$E10:$Z10,MIN(T$6-$E$3,22))&lt;&gt;""),Soja!$E10:INDEX(Soja!$E10:$Z10,MIN(T$6-$E$3,22))),0))-IF($G$2,0,IF((T$6-$G$3)&lt;1,0,IFERROR(LOOKUP(2,1/(Soja!$E10:INDEX(Soja!$E10:$Z10,MIN(T$6-$G$3,22))&lt;&gt;""),Soja!$E10:INDEX(Soja!$E10:$Z10,MIN(T$6-$G$3,22))),0)))))</f>
        <v>0</v>
      </c>
      <c r="U12" s="27" t="n">
        <f aca="false">IF(COUNT(Soja!$E10:$Z10)=0,0,MAX(0,IF((U$6-$E$3)&lt;1,0,IFERROR(LOOKUP(2,1/(Soja!$E10:INDEX(Soja!$E10:$Z10,MIN(U$6-$E$3,22))&lt;&gt;""),Soja!$E10:INDEX(Soja!$E10:$Z10,MIN(U$6-$E$3,22))),0))-IF($G$2,0,IF((U$6-$G$3)&lt;1,0,IFERROR(LOOKUP(2,1/(Soja!$E10:INDEX(Soja!$E10:$Z10,MIN(U$6-$G$3,22))&lt;&gt;""),Soja!$E10:INDEX(Soja!$E10:$Z10,MIN(U$6-$G$3,22))),0)))))</f>
        <v>0</v>
      </c>
      <c r="V12" s="27" t="n">
        <f aca="false">IF(COUNT(Soja!$E10:$Z10)=0,0,MAX(0,IF((V$6-$E$3)&lt;1,0,IFERROR(LOOKUP(2,1/(Soja!$E10:INDEX(Soja!$E10:$Z10,MIN(V$6-$E$3,22))&lt;&gt;""),Soja!$E10:INDEX(Soja!$E10:$Z10,MIN(V$6-$E$3,22))),0))-IF($G$2,0,IF((V$6-$G$3)&lt;1,0,IFERROR(LOOKUP(2,1/(Soja!$E10:INDEX(Soja!$E10:$Z10,MIN(V$6-$G$3,22))&lt;&gt;""),Soja!$E10:INDEX(Soja!$E10:$Z10,MIN(V$6-$G$3,22))),0)))))</f>
        <v>0</v>
      </c>
      <c r="W12" s="27" t="n">
        <f aca="false">IF(COUNT(Soja!$E10:$Z10)=0,0,MAX(0,IF((W$6-$E$3)&lt;1,0,IFERROR(LOOKUP(2,1/(Soja!$E10:INDEX(Soja!$E10:$Z10,MIN(W$6-$E$3,22))&lt;&gt;""),Soja!$E10:INDEX(Soja!$E10:$Z10,MIN(W$6-$E$3,22))),0))-IF($G$2,0,IF((W$6-$G$3)&lt;1,0,IFERROR(LOOKUP(2,1/(Soja!$E10:INDEX(Soja!$E10:$Z10,MIN(W$6-$G$3,22))&lt;&gt;""),Soja!$E10:INDEX(Soja!$E10:$Z10,MIN(W$6-$G$3,22))),0)))))</f>
        <v>0</v>
      </c>
      <c r="X12" s="27" t="n">
        <f aca="false">IF(COUNT(Soja!$E10:$Z10)=0,0,MAX(0,IF((X$6-$E$3)&lt;1,0,IFERROR(LOOKUP(2,1/(Soja!$E10:INDEX(Soja!$E10:$Z10,MIN(X$6-$E$3,22))&lt;&gt;""),Soja!$E10:INDEX(Soja!$E10:$Z10,MIN(X$6-$E$3,22))),0))-IF($G$2,0,IF((X$6-$G$3)&lt;1,0,IFERROR(LOOKUP(2,1/(Soja!$E10:INDEX(Soja!$E10:$Z10,MIN(X$6-$G$3,22))&lt;&gt;""),Soja!$E10:INDEX(Soja!$E10:$Z10,MIN(X$6-$G$3,22))),0)))))</f>
        <v>0</v>
      </c>
      <c r="Y12" s="27" t="n">
        <f aca="false">IF(COUNT(Soja!$E10:$Z10)=0,0,MAX(0,IF((Y$6-$E$3)&lt;1,0,IFERROR(LOOKUP(2,1/(Soja!$E10:INDEX(Soja!$E10:$Z10,MIN(Y$6-$E$3,22))&lt;&gt;""),Soja!$E10:INDEX(Soja!$E10:$Z10,MIN(Y$6-$E$3,22))),0))-IF($G$2,0,IF((Y$6-$G$3)&lt;1,0,IFERROR(LOOKUP(2,1/(Soja!$E10:INDEX(Soja!$E10:$Z10,MIN(Y$6-$G$3,22))&lt;&gt;""),Soja!$E10:INDEX(Soja!$E10:$Z10,MIN(Y$6-$G$3,22))),0)))))</f>
        <v>0</v>
      </c>
      <c r="Z12" s="27" t="n">
        <f aca="false">IF(COUNT(Soja!$E10:$Z10)=0,0,MAX(0,IF((Z$6-$E$3)&lt;1,0,IFERROR(LOOKUP(2,1/(Soja!$E10:INDEX(Soja!$E10:$Z10,MIN(Z$6-$E$3,22))&lt;&gt;""),Soja!$E10:INDEX(Soja!$E10:$Z10,MIN(Z$6-$E$3,22))),0))-IF($G$2,0,IF((Z$6-$G$3)&lt;1,0,IFERROR(LOOKUP(2,1/(Soja!$E10:INDEX(Soja!$E10:$Z10,MIN(Z$6-$G$3,22))&lt;&gt;""),Soja!$E10:INDEX(Soja!$E10:$Z10,MIN(Z$6-$G$3,22))),0)))))</f>
        <v>0</v>
      </c>
      <c r="AA12" s="27" t="n">
        <f aca="false">IF(COUNT(Soja!$E10:$Z10)=0,0,MAX(0,IF((AA$6-$E$3)&lt;1,0,IFERROR(LOOKUP(2,1/(Soja!$E10:INDEX(Soja!$E10:$Z10,MIN(AA$6-$E$3,22))&lt;&gt;""),Soja!$E10:INDEX(Soja!$E10:$Z10,MIN(AA$6-$E$3,22))),0))-IF($G$2,0,IF((AA$6-$G$3)&lt;1,0,IFERROR(LOOKUP(2,1/(Soja!$E10:INDEX(Soja!$E10:$Z10,MIN(AA$6-$G$3,22))&lt;&gt;""),Soja!$E10:INDEX(Soja!$E10:$Z10,MIN(AA$6-$G$3,22))),0)))))</f>
        <v>0</v>
      </c>
      <c r="AB12" s="27" t="n">
        <f aca="false">IF(COUNT(Soja!$E10:$Z10)=0,0,MAX(0,IF((AB$6-$E$3)&lt;1,0,IFERROR(LOOKUP(2,1/(Soja!$E10:INDEX(Soja!$E10:$Z10,MIN(AB$6-$E$3,22))&lt;&gt;""),Soja!$E10:INDEX(Soja!$E10:$Z10,MIN(AB$6-$E$3,22))),0))-IF($G$2,0,IF((AB$6-$G$3)&lt;1,0,IFERROR(LOOKUP(2,1/(Soja!$E10:INDEX(Soja!$E10:$Z10,MIN(AB$6-$G$3,22))&lt;&gt;""),Soja!$E10:INDEX(Soja!$E10:$Z10,MIN(AB$6-$G$3,22))),0)))))</f>
        <v>0</v>
      </c>
      <c r="AC12" s="27" t="n">
        <f aca="false">IF(COUNT(Soja!$E10:$Z10)=0,0,MAX(0,IF((AC$6-$E$3)&lt;1,0,IFERROR(LOOKUP(2,1/(Soja!$E10:INDEX(Soja!$E10:$Z10,MIN(AC$6-$E$3,22))&lt;&gt;""),Soja!$E10:INDEX(Soja!$E10:$Z10,MIN(AC$6-$E$3,22))),0))-IF($G$2,0,IF((AC$6-$G$3)&lt;1,0,IFERROR(LOOKUP(2,1/(Soja!$E10:INDEX(Soja!$E10:$Z10,MIN(AC$6-$G$3,22))&lt;&gt;""),Soja!$E10:INDEX(Soja!$E10:$Z10,MIN(AC$6-$G$3,22))),0)))))</f>
        <v>0</v>
      </c>
      <c r="AD12" s="27" t="n">
        <f aca="false">IF(COUNT(Soja!$E10:$Z10)=0,0,MAX(0,IF((AD$6-$E$3)&lt;1,0,IFERROR(LOOKUP(2,1/(Soja!$E10:INDEX(Soja!$E10:$Z10,MIN(AD$6-$E$3,22))&lt;&gt;""),Soja!$E10:INDEX(Soja!$E10:$Z10,MIN(AD$6-$E$3,22))),0))-IF($G$2,0,IF((AD$6-$G$3)&lt;1,0,IFERROR(LOOKUP(2,1/(Soja!$E10:INDEX(Soja!$E10:$Z10,MIN(AD$6-$G$3,22))&lt;&gt;""),Soja!$E10:INDEX(Soja!$E10:$Z10,MIN(AD$6-$G$3,22))),0)))))</f>
        <v>0</v>
      </c>
      <c r="AE12" s="27" t="n">
        <f aca="false">IF(COUNT(Soja!$E10:$Z10)=0,0,MAX(0,IF((AE$6-$E$3)&lt;1,0,IFERROR(LOOKUP(2,1/(Soja!$E10:INDEX(Soja!$E10:$Z10,MIN(AE$6-$E$3,22))&lt;&gt;""),Soja!$E10:INDEX(Soja!$E10:$Z10,MIN(AE$6-$E$3,22))),0))-IF($G$2,0,IF((AE$6-$G$3)&lt;1,0,IFERROR(LOOKUP(2,1/(Soja!$E10:INDEX(Soja!$E10:$Z10,MIN(AE$6-$G$3,22))&lt;&gt;""),Soja!$E10:INDEX(Soja!$E10:$Z10,MIN(AE$6-$G$3,22))),0)))))</f>
        <v>0</v>
      </c>
      <c r="AF12" s="27" t="n">
        <f aca="false">IF(COUNT(Soja!$E10:$Z10)=0,0,MAX(0,IF((AF$6-$E$3)&lt;1,0,IFERROR(LOOKUP(2,1/(Soja!$E10:INDEX(Soja!$E10:$Z10,MIN(AF$6-$E$3,22))&lt;&gt;""),Soja!$E10:INDEX(Soja!$E10:$Z10,MIN(AF$6-$E$3,22))),0))-IF($G$2,0,IF((AF$6-$G$3)&lt;1,0,IFERROR(LOOKUP(2,1/(Soja!$E10:INDEX(Soja!$E10:$Z10,MIN(AF$6-$G$3,22))&lt;&gt;""),Soja!$E10:INDEX(Soja!$E10:$Z10,MIN(AF$6-$G$3,22))),0)))))</f>
        <v>0</v>
      </c>
      <c r="AG12" s="27" t="n">
        <f aca="false">IF(COUNT(Soja!$E10:$Z10)=0,0,MAX(0,IF((AG$6-$E$3)&lt;1,0,IFERROR(LOOKUP(2,1/(Soja!$E10:INDEX(Soja!$E10:$Z10,MIN(AG$6-$E$3,22))&lt;&gt;""),Soja!$E10:INDEX(Soja!$E10:$Z10,MIN(AG$6-$E$3,22))),0))-IF($G$2,0,IF((AG$6-$G$3)&lt;1,0,IFERROR(LOOKUP(2,1/(Soja!$E10:INDEX(Soja!$E10:$Z10,MIN(AG$6-$G$3,22))&lt;&gt;""),Soja!$E10:INDEX(Soja!$E10:$Z10,MIN(AG$6-$G$3,22))),0)))))</f>
        <v>0</v>
      </c>
      <c r="AH12" s="27" t="n">
        <f aca="false">IF(COUNT(Soja!$E10:$Z10)=0,0,MAX(0,IF((AH$6-$E$3)&lt;1,0,IFERROR(LOOKUP(2,1/(Soja!$E10:INDEX(Soja!$E10:$Z10,MIN(AH$6-$E$3,22))&lt;&gt;""),Soja!$E10:INDEX(Soja!$E10:$Z10,MIN(AH$6-$E$3,22))),0))-IF($G$2,0,IF((AH$6-$G$3)&lt;1,0,IFERROR(LOOKUP(2,1/(Soja!$E10:INDEX(Soja!$E10:$Z10,MIN(AH$6-$G$3,22))&lt;&gt;""),Soja!$E10:INDEX(Soja!$E10:$Z10,MIN(AH$6-$G$3,22))),0)))))</f>
        <v>0</v>
      </c>
      <c r="AI12" s="27" t="n">
        <f aca="false">IF(COUNT(Soja!$E10:$Z10)=0,0,MAX(0,IF((AI$6-$E$3)&lt;1,0,IFERROR(LOOKUP(2,1/(Soja!$E10:INDEX(Soja!$E10:$Z10,MIN(AI$6-$E$3,22))&lt;&gt;""),Soja!$E10:INDEX(Soja!$E10:$Z10,MIN(AI$6-$E$3,22))),0))-IF($G$2,0,IF((AI$6-$G$3)&lt;1,0,IFERROR(LOOKUP(2,1/(Soja!$E10:INDEX(Soja!$E10:$Z10,MIN(AI$6-$G$3,22))&lt;&gt;""),Soja!$E10:INDEX(Soja!$E10:$Z10,MIN(AI$6-$G$3,22))),0)))))</f>
        <v>0</v>
      </c>
      <c r="AJ12" s="27" t="n">
        <f aca="false">IF(COUNT(Soja!$E10:$Z10)=0,0,MAX(0,IF((AJ$6-$E$3)&lt;1,0,IFERROR(LOOKUP(2,1/(Soja!$E10:INDEX(Soja!$E10:$Z10,MIN(AJ$6-$E$3,22))&lt;&gt;""),Soja!$E10:INDEX(Soja!$E10:$Z10,MIN(AJ$6-$E$3,22))),0))-IF($G$2,0,IF((AJ$6-$G$3)&lt;1,0,IFERROR(LOOKUP(2,1/(Soja!$E10:INDEX(Soja!$E10:$Z10,MIN(AJ$6-$G$3,22))&lt;&gt;""),Soja!$E10:INDEX(Soja!$E10:$Z10,MIN(AJ$6-$G$3,22))),0)))))</f>
        <v>0</v>
      </c>
      <c r="AK12" s="27" t="n">
        <f aca="false">IF(COUNT(Soja!$E10:$Z10)=0,0,MAX(0,IF((AK$6-$E$3)&lt;1,0,IFERROR(LOOKUP(2,1/(Soja!$E10:INDEX(Soja!$E10:$Z10,MIN(AK$6-$E$3,22))&lt;&gt;""),Soja!$E10:INDEX(Soja!$E10:$Z10,MIN(AK$6-$E$3,22))),0))-IF($G$2,0,IF((AK$6-$G$3)&lt;1,0,IFERROR(LOOKUP(2,1/(Soja!$E10:INDEX(Soja!$E10:$Z10,MIN(AK$6-$G$3,22))&lt;&gt;""),Soja!$E10:INDEX(Soja!$E10:$Z10,MIN(AK$6-$G$3,22))),0)))))</f>
        <v>0</v>
      </c>
      <c r="AL12" s="27" t="n">
        <f aca="false">IF(COUNT(Soja!$E10:$Z10)=0,0,MAX(0,IF((AL$6-$E$3)&lt;1,0,IFERROR(LOOKUP(2,1/(Soja!$E10:INDEX(Soja!$E10:$Z10,MIN(AL$6-$E$3,22))&lt;&gt;""),Soja!$E10:INDEX(Soja!$E10:$Z10,MIN(AL$6-$E$3,22))),0))-IF($G$2,0,IF((AL$6-$G$3)&lt;1,0,IFERROR(LOOKUP(2,1/(Soja!$E10:INDEX(Soja!$E10:$Z10,MIN(AL$6-$G$3,22))&lt;&gt;""),Soja!$E10:INDEX(Soja!$E10:$Z10,MIN(AL$6-$G$3,22))),0)))))</f>
        <v>0</v>
      </c>
      <c r="AM12" s="27" t="n">
        <f aca="false">IF(COUNT(Soja!$E10:$Z10)=0,0,MAX(0,IF((AM$6-$E$3)&lt;1,0,IFERROR(LOOKUP(2,1/(Soja!$E10:INDEX(Soja!$E10:$Z10,MIN(AM$6-$E$3,22))&lt;&gt;""),Soja!$E10:INDEX(Soja!$E10:$Z10,MIN(AM$6-$E$3,22))),0))-IF($G$2,0,IF((AM$6-$G$3)&lt;1,0,IFERROR(LOOKUP(2,1/(Soja!$E10:INDEX(Soja!$E10:$Z10,MIN(AM$6-$G$3,22))&lt;&gt;""),Soja!$E10:INDEX(Soja!$E10:$Z10,MIN(AM$6-$G$3,22))),0)))))</f>
        <v>0</v>
      </c>
      <c r="AN12" s="27" t="n">
        <f aca="false">IF(COUNT(Soja!$E10:$Z10)=0,0,MAX(0,IF((AN$6-$E$3)&lt;1,0,IFERROR(LOOKUP(2,1/(Soja!$E10:INDEX(Soja!$E10:$Z10,MIN(AN$6-$E$3,22))&lt;&gt;""),Soja!$E10:INDEX(Soja!$E10:$Z10,MIN(AN$6-$E$3,22))),0))-IF($G$2,0,IF((AN$6-$G$3)&lt;1,0,IFERROR(LOOKUP(2,1/(Soja!$E10:INDEX(Soja!$E10:$Z10,MIN(AN$6-$G$3,22))&lt;&gt;""),Soja!$E10:INDEX(Soja!$E10:$Z10,MIN(AN$6-$G$3,22))),0)))))</f>
        <v>0</v>
      </c>
      <c r="AO12" s="27" t="n">
        <f aca="false">IF(COUNT(Soja!$E10:$Z10)=0,0,MAX(0,IF((AO$6-$E$3)&lt;1,0,IFERROR(LOOKUP(2,1/(Soja!$E10:INDEX(Soja!$E10:$Z10,MIN(AO$6-$E$3,22))&lt;&gt;""),Soja!$E10:INDEX(Soja!$E10:$Z10,MIN(AO$6-$E$3,22))),0))-IF($G$2,0,IF((AO$6-$G$3)&lt;1,0,IFERROR(LOOKUP(2,1/(Soja!$E10:INDEX(Soja!$E10:$Z10,MIN(AO$6-$G$3,22))&lt;&gt;""),Soja!$E10:INDEX(Soja!$E10:$Z10,MIN(AO$6-$G$3,22))),0)))))</f>
        <v>0</v>
      </c>
      <c r="AP12" s="27" t="n">
        <f aca="false">IF(COUNT(Soja!$E10:$Z10)=0,0,MAX(0,IF((AP$6-$E$3)&lt;1,0,IFERROR(LOOKUP(2,1/(Soja!$E10:INDEX(Soja!$E10:$Z10,MIN(AP$6-$E$3,22))&lt;&gt;""),Soja!$E10:INDEX(Soja!$E10:$Z10,MIN(AP$6-$E$3,22))),0))-IF($G$2,0,IF((AP$6-$G$3)&lt;1,0,IFERROR(LOOKUP(2,1/(Soja!$E10:INDEX(Soja!$E10:$Z10,MIN(AP$6-$G$3,22))&lt;&gt;""),Soja!$E10:INDEX(Soja!$E10:$Z10,MIN(AP$6-$G$3,22))),0)))))</f>
        <v>0</v>
      </c>
      <c r="AQ12" s="27" t="n">
        <f aca="false">IF(COUNT(Soja!$E10:$Z10)=0,0,MAX(0,IF((AQ$6-$E$3)&lt;1,0,IFERROR(LOOKUP(2,1/(Soja!$E10:INDEX(Soja!$E10:$Z10,MIN(AQ$6-$E$3,22))&lt;&gt;""),Soja!$E10:INDEX(Soja!$E10:$Z10,MIN(AQ$6-$E$3,22))),0))-IF($G$2,0,IF((AQ$6-$G$3)&lt;1,0,IFERROR(LOOKUP(2,1/(Soja!$E10:INDEX(Soja!$E10:$Z10,MIN(AQ$6-$G$3,22))&lt;&gt;""),Soja!$E10:INDEX(Soja!$E10:$Z10,MIN(AQ$6-$G$3,22))),0)))))</f>
        <v>0</v>
      </c>
      <c r="AR12" s="27" t="n">
        <f aca="false">IF(COUNT(Soja!$E10:$Z10)=0,0,MAX(0,IF((AR$6-$E$3)&lt;1,0,IFERROR(LOOKUP(2,1/(Soja!$E10:INDEX(Soja!$E10:$Z10,MIN(AR$6-$E$3,22))&lt;&gt;""),Soja!$E10:INDEX(Soja!$E10:$Z10,MIN(AR$6-$E$3,22))),0))-IF($G$2,0,IF((AR$6-$G$3)&lt;1,0,IFERROR(LOOKUP(2,1/(Soja!$E10:INDEX(Soja!$E10:$Z10,MIN(AR$6-$G$3,22))&lt;&gt;""),Soja!$E10:INDEX(Soja!$E10:$Z10,MIN(AR$6-$G$3,22))),0)))))</f>
        <v>0</v>
      </c>
      <c r="AS12" s="27" t="n">
        <f aca="false">IF(COUNT(Soja!$E10:$Z10)=0,0,MAX(0,IF((AS$6-$E$3)&lt;1,0,IFERROR(LOOKUP(2,1/(Soja!$E10:INDEX(Soja!$E10:$Z10,MIN(AS$6-$E$3,22))&lt;&gt;""),Soja!$E10:INDEX(Soja!$E10:$Z10,MIN(AS$6-$E$3,22))),0))-IF($G$2,0,IF((AS$6-$G$3)&lt;1,0,IFERROR(LOOKUP(2,1/(Soja!$E10:INDEX(Soja!$E10:$Z10,MIN(AS$6-$G$3,22))&lt;&gt;""),Soja!$E10:INDEX(Soja!$E10:$Z10,MIN(AS$6-$G$3,22))),0)))))</f>
        <v>0</v>
      </c>
      <c r="AT12" s="27" t="n">
        <f aca="false">IF(COUNT(Soja!$E10:$Z10)=0,0,MAX(0,IF((AT$6-$E$3)&lt;1,0,IFERROR(LOOKUP(2,1/(Soja!$E10:INDEX(Soja!$E10:$Z10,MIN(AT$6-$E$3,22))&lt;&gt;""),Soja!$E10:INDEX(Soja!$E10:$Z10,MIN(AT$6-$E$3,22))),0))-IF($G$2,0,IF((AT$6-$G$3)&lt;1,0,IFERROR(LOOKUP(2,1/(Soja!$E10:INDEX(Soja!$E10:$Z10,MIN(AT$6-$G$3,22))&lt;&gt;""),Soja!$E10:INDEX(Soja!$E10:$Z10,MIN(AT$6-$G$3,22))),0)))))</f>
        <v>0</v>
      </c>
      <c r="AU12" s="27" t="n">
        <f aca="false">IF(COUNT(Soja!$E10:$Z10)=0,0,MAX(0,IF((AU$6-$E$3)&lt;1,0,IFERROR(LOOKUP(2,1/(Soja!$E10:INDEX(Soja!$E10:$Z10,MIN(AU$6-$E$3,22))&lt;&gt;""),Soja!$E10:INDEX(Soja!$E10:$Z10,MIN(AU$6-$E$3,22))),0))-IF($G$2,0,IF((AU$6-$G$3)&lt;1,0,IFERROR(LOOKUP(2,1/(Soja!$E10:INDEX(Soja!$E10:$Z10,MIN(AU$6-$G$3,22))&lt;&gt;""),Soja!$E10:INDEX(Soja!$E10:$Z10,MIN(AU$6-$G$3,22))),0)))))</f>
        <v>0</v>
      </c>
      <c r="AV12" s="27" t="n">
        <f aca="false">IF(COUNT(Soja!$E10:$Z10)=0,0,MAX(0,IF((AV$6-$E$3)&lt;1,0,IFERROR(LOOKUP(2,1/(Soja!$E10:INDEX(Soja!$E10:$Z10,MIN(AV$6-$E$3,22))&lt;&gt;""),Soja!$E10:INDEX(Soja!$E10:$Z10,MIN(AV$6-$E$3,22))),0))-IF($G$2,0,IF((AV$6-$G$3)&lt;1,0,IFERROR(LOOKUP(2,1/(Soja!$E10:INDEX(Soja!$E10:$Z10,MIN(AV$6-$G$3,22))&lt;&gt;""),Soja!$E10:INDEX(Soja!$E10:$Z10,MIN(AV$6-$G$3,22))),0)))))</f>
        <v>0</v>
      </c>
      <c r="AW12" s="27" t="n">
        <f aca="false">IF(COUNT(Soja!$E10:$Z10)=0,0,MAX(0,IF((AW$6-$E$3)&lt;1,0,IFERROR(LOOKUP(2,1/(Soja!$E10:INDEX(Soja!$E10:$Z10,MIN(AW$6-$E$3,22))&lt;&gt;""),Soja!$E10:INDEX(Soja!$E10:$Z10,MIN(AW$6-$E$3,22))),0))-IF($G$2,0,IF((AW$6-$G$3)&lt;1,0,IFERROR(LOOKUP(2,1/(Soja!$E10:INDEX(Soja!$E10:$Z10,MIN(AW$6-$G$3,22))&lt;&gt;""),Soja!$E10:INDEX(Soja!$E10:$Z10,MIN(AW$6-$G$3,22))),0)))))</f>
        <v>0</v>
      </c>
      <c r="AX12" s="27" t="n">
        <f aca="false">IF(COUNT(Soja!$E10:$Z10)=0,0,MAX(0,IF((AX$6-$E$3)&lt;1,0,IFERROR(LOOKUP(2,1/(Soja!$E10:INDEX(Soja!$E10:$Z10,MIN(AX$6-$E$3,22))&lt;&gt;""),Soja!$E10:INDEX(Soja!$E10:$Z10,MIN(AX$6-$E$3,22))),0))-IF($G$2,0,IF((AX$6-$G$3)&lt;1,0,IFERROR(LOOKUP(2,1/(Soja!$E10:INDEX(Soja!$E10:$Z10,MIN(AX$6-$G$3,22))&lt;&gt;""),Soja!$E10:INDEX(Soja!$E10:$Z10,MIN(AX$6-$G$3,22))),0)))))</f>
        <v>0</v>
      </c>
      <c r="AY12" s="27" t="n">
        <f aca="false">IF(COUNT(Soja!$E10:$Z10)=0,0,MAX(0,IF((AY$6-$E$3)&lt;1,0,IFERROR(LOOKUP(2,1/(Soja!$E10:INDEX(Soja!$E10:$Z10,MIN(AY$6-$E$3,22))&lt;&gt;""),Soja!$E10:INDEX(Soja!$E10:$Z10,MIN(AY$6-$E$3,22))),0))-IF($G$2,0,IF((AY$6-$G$3)&lt;1,0,IFERROR(LOOKUP(2,1/(Soja!$E10:INDEX(Soja!$E10:$Z10,MIN(AY$6-$G$3,22))&lt;&gt;""),Soja!$E10:INDEX(Soja!$E10:$Z10,MIN(AY$6-$G$3,22))),0)))))</f>
        <v>0</v>
      </c>
      <c r="AZ12" s="27" t="n">
        <f aca="false">IF(COUNT(Soja!$E10:$Z10)=0,0,MAX(0,IF((AZ$6-$E$3)&lt;1,0,IFERROR(LOOKUP(2,1/(Soja!$E10:INDEX(Soja!$E10:$Z10,MIN(AZ$6-$E$3,22))&lt;&gt;""),Soja!$E10:INDEX(Soja!$E10:$Z10,MIN(AZ$6-$E$3,22))),0))-IF($G$2,0,IF((AZ$6-$G$3)&lt;1,0,IFERROR(LOOKUP(2,1/(Soja!$E10:INDEX(Soja!$E10:$Z10,MIN(AZ$6-$G$3,22))&lt;&gt;""),Soja!$E10:INDEX(Soja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IF(COUNT(Soja!$E11:$Z11)&gt;0,N(Soja!$D11),0)</f>
        <v>0</v>
      </c>
      <c r="E13" s="27" t="n">
        <f aca="false">IF(COUNT(Soja!$E11:$Z11)=0,0,MAX(0,IF((E$6-$E$3)&lt;1,0,IFERROR(LOOKUP(2,1/(Soja!$E11:INDEX(Soja!$E11:$Z11,MIN(E$6-$E$3,22))&lt;&gt;""),Soja!$E11:INDEX(Soja!$E11:$Z11,MIN(E$6-$E$3,22))),0))-IF($G$2,0,IF((E$6-$G$3)&lt;1,0,IFERROR(LOOKUP(2,1/(Soja!$E11:INDEX(Soja!$E11:$Z11,MIN(E$6-$G$3,22))&lt;&gt;""),Soja!$E11:INDEX(Soja!$E11:$Z11,MIN(E$6-$G$3,22))),0)))))</f>
        <v>0</v>
      </c>
      <c r="F13" s="27" t="n">
        <f aca="false">IF(COUNT(Soja!$E11:$Z11)=0,0,MAX(0,IF((F$6-$E$3)&lt;1,0,IFERROR(LOOKUP(2,1/(Soja!$E11:INDEX(Soja!$E11:$Z11,MIN(F$6-$E$3,22))&lt;&gt;""),Soja!$E11:INDEX(Soja!$E11:$Z11,MIN(F$6-$E$3,22))),0))-IF($G$2,0,IF((F$6-$G$3)&lt;1,0,IFERROR(LOOKUP(2,1/(Soja!$E11:INDEX(Soja!$E11:$Z11,MIN(F$6-$G$3,22))&lt;&gt;""),Soja!$E11:INDEX(Soja!$E11:$Z11,MIN(F$6-$G$3,22))),0)))))</f>
        <v>0</v>
      </c>
      <c r="G13" s="27" t="n">
        <f aca="false">IF(COUNT(Soja!$E11:$Z11)=0,0,MAX(0,IF((G$6-$E$3)&lt;1,0,IFERROR(LOOKUP(2,1/(Soja!$E11:INDEX(Soja!$E11:$Z11,MIN(G$6-$E$3,22))&lt;&gt;""),Soja!$E11:INDEX(Soja!$E11:$Z11,MIN(G$6-$E$3,22))),0))-IF($G$2,0,IF((G$6-$G$3)&lt;1,0,IFERROR(LOOKUP(2,1/(Soja!$E11:INDEX(Soja!$E11:$Z11,MIN(G$6-$G$3,22))&lt;&gt;""),Soja!$E11:INDEX(Soja!$E11:$Z11,MIN(G$6-$G$3,22))),0)))))</f>
        <v>0</v>
      </c>
      <c r="H13" s="27" t="n">
        <f aca="false">IF(COUNT(Soja!$E11:$Z11)=0,0,MAX(0,IF((H$6-$E$3)&lt;1,0,IFERROR(LOOKUP(2,1/(Soja!$E11:INDEX(Soja!$E11:$Z11,MIN(H$6-$E$3,22))&lt;&gt;""),Soja!$E11:INDEX(Soja!$E11:$Z11,MIN(H$6-$E$3,22))),0))-IF($G$2,0,IF((H$6-$G$3)&lt;1,0,IFERROR(LOOKUP(2,1/(Soja!$E11:INDEX(Soja!$E11:$Z11,MIN(H$6-$G$3,22))&lt;&gt;""),Soja!$E11:INDEX(Soja!$E11:$Z11,MIN(H$6-$G$3,22))),0)))))</f>
        <v>0</v>
      </c>
      <c r="I13" s="27" t="n">
        <f aca="false">IF(COUNT(Soja!$E11:$Z11)=0,0,MAX(0,IF((I$6-$E$3)&lt;1,0,IFERROR(LOOKUP(2,1/(Soja!$E11:INDEX(Soja!$E11:$Z11,MIN(I$6-$E$3,22))&lt;&gt;""),Soja!$E11:INDEX(Soja!$E11:$Z11,MIN(I$6-$E$3,22))),0))-IF($G$2,0,IF((I$6-$G$3)&lt;1,0,IFERROR(LOOKUP(2,1/(Soja!$E11:INDEX(Soja!$E11:$Z11,MIN(I$6-$G$3,22))&lt;&gt;""),Soja!$E11:INDEX(Soja!$E11:$Z11,MIN(I$6-$G$3,22))),0)))))</f>
        <v>0</v>
      </c>
      <c r="J13" s="27" t="n">
        <f aca="false">IF(COUNT(Soja!$E11:$Z11)=0,0,MAX(0,IF((J$6-$E$3)&lt;1,0,IFERROR(LOOKUP(2,1/(Soja!$E11:INDEX(Soja!$E11:$Z11,MIN(J$6-$E$3,22))&lt;&gt;""),Soja!$E11:INDEX(Soja!$E11:$Z11,MIN(J$6-$E$3,22))),0))-IF($G$2,0,IF((J$6-$G$3)&lt;1,0,IFERROR(LOOKUP(2,1/(Soja!$E11:INDEX(Soja!$E11:$Z11,MIN(J$6-$G$3,22))&lt;&gt;""),Soja!$E11:INDEX(Soja!$E11:$Z11,MIN(J$6-$G$3,22))),0)))))</f>
        <v>0</v>
      </c>
      <c r="K13" s="27" t="n">
        <f aca="false">IF(COUNT(Soja!$E11:$Z11)=0,0,MAX(0,IF((K$6-$E$3)&lt;1,0,IFERROR(LOOKUP(2,1/(Soja!$E11:INDEX(Soja!$E11:$Z11,MIN(K$6-$E$3,22))&lt;&gt;""),Soja!$E11:INDEX(Soja!$E11:$Z11,MIN(K$6-$E$3,22))),0))-IF($G$2,0,IF((K$6-$G$3)&lt;1,0,IFERROR(LOOKUP(2,1/(Soja!$E11:INDEX(Soja!$E11:$Z11,MIN(K$6-$G$3,22))&lt;&gt;""),Soja!$E11:INDEX(Soja!$E11:$Z11,MIN(K$6-$G$3,22))),0)))))</f>
        <v>0</v>
      </c>
      <c r="L13" s="27" t="n">
        <f aca="false">IF(COUNT(Soja!$E11:$Z11)=0,0,MAX(0,IF((L$6-$E$3)&lt;1,0,IFERROR(LOOKUP(2,1/(Soja!$E11:INDEX(Soja!$E11:$Z11,MIN(L$6-$E$3,22))&lt;&gt;""),Soja!$E11:INDEX(Soja!$E11:$Z11,MIN(L$6-$E$3,22))),0))-IF($G$2,0,IF((L$6-$G$3)&lt;1,0,IFERROR(LOOKUP(2,1/(Soja!$E11:INDEX(Soja!$E11:$Z11,MIN(L$6-$G$3,22))&lt;&gt;""),Soja!$E11:INDEX(Soja!$E11:$Z11,MIN(L$6-$G$3,22))),0)))))</f>
        <v>0</v>
      </c>
      <c r="M13" s="27" t="n">
        <f aca="false">IF(COUNT(Soja!$E11:$Z11)=0,0,MAX(0,IF((M$6-$E$3)&lt;1,0,IFERROR(LOOKUP(2,1/(Soja!$E11:INDEX(Soja!$E11:$Z11,MIN(M$6-$E$3,22))&lt;&gt;""),Soja!$E11:INDEX(Soja!$E11:$Z11,MIN(M$6-$E$3,22))),0))-IF($G$2,0,IF((M$6-$G$3)&lt;1,0,IFERROR(LOOKUP(2,1/(Soja!$E11:INDEX(Soja!$E11:$Z11,MIN(M$6-$G$3,22))&lt;&gt;""),Soja!$E11:INDEX(Soja!$E11:$Z11,MIN(M$6-$G$3,22))),0)))))</f>
        <v>0</v>
      </c>
      <c r="N13" s="27" t="n">
        <f aca="false">IF(COUNT(Soja!$E11:$Z11)=0,0,MAX(0,IF((N$6-$E$3)&lt;1,0,IFERROR(LOOKUP(2,1/(Soja!$E11:INDEX(Soja!$E11:$Z11,MIN(N$6-$E$3,22))&lt;&gt;""),Soja!$E11:INDEX(Soja!$E11:$Z11,MIN(N$6-$E$3,22))),0))-IF($G$2,0,IF((N$6-$G$3)&lt;1,0,IFERROR(LOOKUP(2,1/(Soja!$E11:INDEX(Soja!$E11:$Z11,MIN(N$6-$G$3,22))&lt;&gt;""),Soja!$E11:INDEX(Soja!$E11:$Z11,MIN(N$6-$G$3,22))),0)))))</f>
        <v>0</v>
      </c>
      <c r="O13" s="27" t="n">
        <f aca="false">IF(COUNT(Soja!$E11:$Z11)=0,0,MAX(0,IF((O$6-$E$3)&lt;1,0,IFERROR(LOOKUP(2,1/(Soja!$E11:INDEX(Soja!$E11:$Z11,MIN(O$6-$E$3,22))&lt;&gt;""),Soja!$E11:INDEX(Soja!$E11:$Z11,MIN(O$6-$E$3,22))),0))-IF($G$2,0,IF((O$6-$G$3)&lt;1,0,IFERROR(LOOKUP(2,1/(Soja!$E11:INDEX(Soja!$E11:$Z11,MIN(O$6-$G$3,22))&lt;&gt;""),Soja!$E11:INDEX(Soja!$E11:$Z11,MIN(O$6-$G$3,22))),0)))))</f>
        <v>0</v>
      </c>
      <c r="P13" s="27" t="n">
        <f aca="false">IF(COUNT(Soja!$E11:$Z11)=0,0,MAX(0,IF((P$6-$E$3)&lt;1,0,IFERROR(LOOKUP(2,1/(Soja!$E11:INDEX(Soja!$E11:$Z11,MIN(P$6-$E$3,22))&lt;&gt;""),Soja!$E11:INDEX(Soja!$E11:$Z11,MIN(P$6-$E$3,22))),0))-IF($G$2,0,IF((P$6-$G$3)&lt;1,0,IFERROR(LOOKUP(2,1/(Soja!$E11:INDEX(Soja!$E11:$Z11,MIN(P$6-$G$3,22))&lt;&gt;""),Soja!$E11:INDEX(Soja!$E11:$Z11,MIN(P$6-$G$3,22))),0)))))</f>
        <v>0</v>
      </c>
      <c r="Q13" s="27" t="n">
        <f aca="false">IF(COUNT(Soja!$E11:$Z11)=0,0,MAX(0,IF((Q$6-$E$3)&lt;1,0,IFERROR(LOOKUP(2,1/(Soja!$E11:INDEX(Soja!$E11:$Z11,MIN(Q$6-$E$3,22))&lt;&gt;""),Soja!$E11:INDEX(Soja!$E11:$Z11,MIN(Q$6-$E$3,22))),0))-IF($G$2,0,IF((Q$6-$G$3)&lt;1,0,IFERROR(LOOKUP(2,1/(Soja!$E11:INDEX(Soja!$E11:$Z11,MIN(Q$6-$G$3,22))&lt;&gt;""),Soja!$E11:INDEX(Soja!$E11:$Z11,MIN(Q$6-$G$3,22))),0)))))</f>
        <v>0</v>
      </c>
      <c r="R13" s="27" t="n">
        <f aca="false">IF(COUNT(Soja!$E11:$Z11)=0,0,MAX(0,IF((R$6-$E$3)&lt;1,0,IFERROR(LOOKUP(2,1/(Soja!$E11:INDEX(Soja!$E11:$Z11,MIN(R$6-$E$3,22))&lt;&gt;""),Soja!$E11:INDEX(Soja!$E11:$Z11,MIN(R$6-$E$3,22))),0))-IF($G$2,0,IF((R$6-$G$3)&lt;1,0,IFERROR(LOOKUP(2,1/(Soja!$E11:INDEX(Soja!$E11:$Z11,MIN(R$6-$G$3,22))&lt;&gt;""),Soja!$E11:INDEX(Soja!$E11:$Z11,MIN(R$6-$G$3,22))),0)))))</f>
        <v>0</v>
      </c>
      <c r="S13" s="27" t="n">
        <f aca="false">IF(COUNT(Soja!$E11:$Z11)=0,0,MAX(0,IF((S$6-$E$3)&lt;1,0,IFERROR(LOOKUP(2,1/(Soja!$E11:INDEX(Soja!$E11:$Z11,MIN(S$6-$E$3,22))&lt;&gt;""),Soja!$E11:INDEX(Soja!$E11:$Z11,MIN(S$6-$E$3,22))),0))-IF($G$2,0,IF((S$6-$G$3)&lt;1,0,IFERROR(LOOKUP(2,1/(Soja!$E11:INDEX(Soja!$E11:$Z11,MIN(S$6-$G$3,22))&lt;&gt;""),Soja!$E11:INDEX(Soja!$E11:$Z11,MIN(S$6-$G$3,22))),0)))))</f>
        <v>0</v>
      </c>
      <c r="T13" s="27" t="n">
        <f aca="false">IF(COUNT(Soja!$E11:$Z11)=0,0,MAX(0,IF((T$6-$E$3)&lt;1,0,IFERROR(LOOKUP(2,1/(Soja!$E11:INDEX(Soja!$E11:$Z11,MIN(T$6-$E$3,22))&lt;&gt;""),Soja!$E11:INDEX(Soja!$E11:$Z11,MIN(T$6-$E$3,22))),0))-IF($G$2,0,IF((T$6-$G$3)&lt;1,0,IFERROR(LOOKUP(2,1/(Soja!$E11:INDEX(Soja!$E11:$Z11,MIN(T$6-$G$3,22))&lt;&gt;""),Soja!$E11:INDEX(Soja!$E11:$Z11,MIN(T$6-$G$3,22))),0)))))</f>
        <v>0</v>
      </c>
      <c r="U13" s="27" t="n">
        <f aca="false">IF(COUNT(Soja!$E11:$Z11)=0,0,MAX(0,IF((U$6-$E$3)&lt;1,0,IFERROR(LOOKUP(2,1/(Soja!$E11:INDEX(Soja!$E11:$Z11,MIN(U$6-$E$3,22))&lt;&gt;""),Soja!$E11:INDEX(Soja!$E11:$Z11,MIN(U$6-$E$3,22))),0))-IF($G$2,0,IF((U$6-$G$3)&lt;1,0,IFERROR(LOOKUP(2,1/(Soja!$E11:INDEX(Soja!$E11:$Z11,MIN(U$6-$G$3,22))&lt;&gt;""),Soja!$E11:INDEX(Soja!$E11:$Z11,MIN(U$6-$G$3,22))),0)))))</f>
        <v>0</v>
      </c>
      <c r="V13" s="27" t="n">
        <f aca="false">IF(COUNT(Soja!$E11:$Z11)=0,0,MAX(0,IF((V$6-$E$3)&lt;1,0,IFERROR(LOOKUP(2,1/(Soja!$E11:INDEX(Soja!$E11:$Z11,MIN(V$6-$E$3,22))&lt;&gt;""),Soja!$E11:INDEX(Soja!$E11:$Z11,MIN(V$6-$E$3,22))),0))-IF($G$2,0,IF((V$6-$G$3)&lt;1,0,IFERROR(LOOKUP(2,1/(Soja!$E11:INDEX(Soja!$E11:$Z11,MIN(V$6-$G$3,22))&lt;&gt;""),Soja!$E11:INDEX(Soja!$E11:$Z11,MIN(V$6-$G$3,22))),0)))))</f>
        <v>0</v>
      </c>
      <c r="W13" s="27" t="n">
        <f aca="false">IF(COUNT(Soja!$E11:$Z11)=0,0,MAX(0,IF((W$6-$E$3)&lt;1,0,IFERROR(LOOKUP(2,1/(Soja!$E11:INDEX(Soja!$E11:$Z11,MIN(W$6-$E$3,22))&lt;&gt;""),Soja!$E11:INDEX(Soja!$E11:$Z11,MIN(W$6-$E$3,22))),0))-IF($G$2,0,IF((W$6-$G$3)&lt;1,0,IFERROR(LOOKUP(2,1/(Soja!$E11:INDEX(Soja!$E11:$Z11,MIN(W$6-$G$3,22))&lt;&gt;""),Soja!$E11:INDEX(Soja!$E11:$Z11,MIN(W$6-$G$3,22))),0)))))</f>
        <v>0</v>
      </c>
      <c r="X13" s="27" t="n">
        <f aca="false">IF(COUNT(Soja!$E11:$Z11)=0,0,MAX(0,IF((X$6-$E$3)&lt;1,0,IFERROR(LOOKUP(2,1/(Soja!$E11:INDEX(Soja!$E11:$Z11,MIN(X$6-$E$3,22))&lt;&gt;""),Soja!$E11:INDEX(Soja!$E11:$Z11,MIN(X$6-$E$3,22))),0))-IF($G$2,0,IF((X$6-$G$3)&lt;1,0,IFERROR(LOOKUP(2,1/(Soja!$E11:INDEX(Soja!$E11:$Z11,MIN(X$6-$G$3,22))&lt;&gt;""),Soja!$E11:INDEX(Soja!$E11:$Z11,MIN(X$6-$G$3,22))),0)))))</f>
        <v>0</v>
      </c>
      <c r="Y13" s="27" t="n">
        <f aca="false">IF(COUNT(Soja!$E11:$Z11)=0,0,MAX(0,IF((Y$6-$E$3)&lt;1,0,IFERROR(LOOKUP(2,1/(Soja!$E11:INDEX(Soja!$E11:$Z11,MIN(Y$6-$E$3,22))&lt;&gt;""),Soja!$E11:INDEX(Soja!$E11:$Z11,MIN(Y$6-$E$3,22))),0))-IF($G$2,0,IF((Y$6-$G$3)&lt;1,0,IFERROR(LOOKUP(2,1/(Soja!$E11:INDEX(Soja!$E11:$Z11,MIN(Y$6-$G$3,22))&lt;&gt;""),Soja!$E11:INDEX(Soja!$E11:$Z11,MIN(Y$6-$G$3,22))),0)))))</f>
        <v>0</v>
      </c>
      <c r="Z13" s="27" t="n">
        <f aca="false">IF(COUNT(Soja!$E11:$Z11)=0,0,MAX(0,IF((Z$6-$E$3)&lt;1,0,IFERROR(LOOKUP(2,1/(Soja!$E11:INDEX(Soja!$E11:$Z11,MIN(Z$6-$E$3,22))&lt;&gt;""),Soja!$E11:INDEX(Soja!$E11:$Z11,MIN(Z$6-$E$3,22))),0))-IF($G$2,0,IF((Z$6-$G$3)&lt;1,0,IFERROR(LOOKUP(2,1/(Soja!$E11:INDEX(Soja!$E11:$Z11,MIN(Z$6-$G$3,22))&lt;&gt;""),Soja!$E11:INDEX(Soja!$E11:$Z11,MIN(Z$6-$G$3,22))),0)))))</f>
        <v>0</v>
      </c>
      <c r="AA13" s="27" t="n">
        <f aca="false">IF(COUNT(Soja!$E11:$Z11)=0,0,MAX(0,IF((AA$6-$E$3)&lt;1,0,IFERROR(LOOKUP(2,1/(Soja!$E11:INDEX(Soja!$E11:$Z11,MIN(AA$6-$E$3,22))&lt;&gt;""),Soja!$E11:INDEX(Soja!$E11:$Z11,MIN(AA$6-$E$3,22))),0))-IF($G$2,0,IF((AA$6-$G$3)&lt;1,0,IFERROR(LOOKUP(2,1/(Soja!$E11:INDEX(Soja!$E11:$Z11,MIN(AA$6-$G$3,22))&lt;&gt;""),Soja!$E11:INDEX(Soja!$E11:$Z11,MIN(AA$6-$G$3,22))),0)))))</f>
        <v>0</v>
      </c>
      <c r="AB13" s="27" t="n">
        <f aca="false">IF(COUNT(Soja!$E11:$Z11)=0,0,MAX(0,IF((AB$6-$E$3)&lt;1,0,IFERROR(LOOKUP(2,1/(Soja!$E11:INDEX(Soja!$E11:$Z11,MIN(AB$6-$E$3,22))&lt;&gt;""),Soja!$E11:INDEX(Soja!$E11:$Z11,MIN(AB$6-$E$3,22))),0))-IF($G$2,0,IF((AB$6-$G$3)&lt;1,0,IFERROR(LOOKUP(2,1/(Soja!$E11:INDEX(Soja!$E11:$Z11,MIN(AB$6-$G$3,22))&lt;&gt;""),Soja!$E11:INDEX(Soja!$E11:$Z11,MIN(AB$6-$G$3,22))),0)))))</f>
        <v>0</v>
      </c>
      <c r="AC13" s="27" t="n">
        <f aca="false">IF(COUNT(Soja!$E11:$Z11)=0,0,MAX(0,IF((AC$6-$E$3)&lt;1,0,IFERROR(LOOKUP(2,1/(Soja!$E11:INDEX(Soja!$E11:$Z11,MIN(AC$6-$E$3,22))&lt;&gt;""),Soja!$E11:INDEX(Soja!$E11:$Z11,MIN(AC$6-$E$3,22))),0))-IF($G$2,0,IF((AC$6-$G$3)&lt;1,0,IFERROR(LOOKUP(2,1/(Soja!$E11:INDEX(Soja!$E11:$Z11,MIN(AC$6-$G$3,22))&lt;&gt;""),Soja!$E11:INDEX(Soja!$E11:$Z11,MIN(AC$6-$G$3,22))),0)))))</f>
        <v>0</v>
      </c>
      <c r="AD13" s="27" t="n">
        <f aca="false">IF(COUNT(Soja!$E11:$Z11)=0,0,MAX(0,IF((AD$6-$E$3)&lt;1,0,IFERROR(LOOKUP(2,1/(Soja!$E11:INDEX(Soja!$E11:$Z11,MIN(AD$6-$E$3,22))&lt;&gt;""),Soja!$E11:INDEX(Soja!$E11:$Z11,MIN(AD$6-$E$3,22))),0))-IF($G$2,0,IF((AD$6-$G$3)&lt;1,0,IFERROR(LOOKUP(2,1/(Soja!$E11:INDEX(Soja!$E11:$Z11,MIN(AD$6-$G$3,22))&lt;&gt;""),Soja!$E11:INDEX(Soja!$E11:$Z11,MIN(AD$6-$G$3,22))),0)))))</f>
        <v>0</v>
      </c>
      <c r="AE13" s="27" t="n">
        <f aca="false">IF(COUNT(Soja!$E11:$Z11)=0,0,MAX(0,IF((AE$6-$E$3)&lt;1,0,IFERROR(LOOKUP(2,1/(Soja!$E11:INDEX(Soja!$E11:$Z11,MIN(AE$6-$E$3,22))&lt;&gt;""),Soja!$E11:INDEX(Soja!$E11:$Z11,MIN(AE$6-$E$3,22))),0))-IF($G$2,0,IF((AE$6-$G$3)&lt;1,0,IFERROR(LOOKUP(2,1/(Soja!$E11:INDEX(Soja!$E11:$Z11,MIN(AE$6-$G$3,22))&lt;&gt;""),Soja!$E11:INDEX(Soja!$E11:$Z11,MIN(AE$6-$G$3,22))),0)))))</f>
        <v>0</v>
      </c>
      <c r="AF13" s="27" t="n">
        <f aca="false">IF(COUNT(Soja!$E11:$Z11)=0,0,MAX(0,IF((AF$6-$E$3)&lt;1,0,IFERROR(LOOKUP(2,1/(Soja!$E11:INDEX(Soja!$E11:$Z11,MIN(AF$6-$E$3,22))&lt;&gt;""),Soja!$E11:INDEX(Soja!$E11:$Z11,MIN(AF$6-$E$3,22))),0))-IF($G$2,0,IF((AF$6-$G$3)&lt;1,0,IFERROR(LOOKUP(2,1/(Soja!$E11:INDEX(Soja!$E11:$Z11,MIN(AF$6-$G$3,22))&lt;&gt;""),Soja!$E11:INDEX(Soja!$E11:$Z11,MIN(AF$6-$G$3,22))),0)))))</f>
        <v>0</v>
      </c>
      <c r="AG13" s="27" t="n">
        <f aca="false">IF(COUNT(Soja!$E11:$Z11)=0,0,MAX(0,IF((AG$6-$E$3)&lt;1,0,IFERROR(LOOKUP(2,1/(Soja!$E11:INDEX(Soja!$E11:$Z11,MIN(AG$6-$E$3,22))&lt;&gt;""),Soja!$E11:INDEX(Soja!$E11:$Z11,MIN(AG$6-$E$3,22))),0))-IF($G$2,0,IF((AG$6-$G$3)&lt;1,0,IFERROR(LOOKUP(2,1/(Soja!$E11:INDEX(Soja!$E11:$Z11,MIN(AG$6-$G$3,22))&lt;&gt;""),Soja!$E11:INDEX(Soja!$E11:$Z11,MIN(AG$6-$G$3,22))),0)))))</f>
        <v>0</v>
      </c>
      <c r="AH13" s="27" t="n">
        <f aca="false">IF(COUNT(Soja!$E11:$Z11)=0,0,MAX(0,IF((AH$6-$E$3)&lt;1,0,IFERROR(LOOKUP(2,1/(Soja!$E11:INDEX(Soja!$E11:$Z11,MIN(AH$6-$E$3,22))&lt;&gt;""),Soja!$E11:INDEX(Soja!$E11:$Z11,MIN(AH$6-$E$3,22))),0))-IF($G$2,0,IF((AH$6-$G$3)&lt;1,0,IFERROR(LOOKUP(2,1/(Soja!$E11:INDEX(Soja!$E11:$Z11,MIN(AH$6-$G$3,22))&lt;&gt;""),Soja!$E11:INDEX(Soja!$E11:$Z11,MIN(AH$6-$G$3,22))),0)))))</f>
        <v>0</v>
      </c>
      <c r="AI13" s="27" t="n">
        <f aca="false">IF(COUNT(Soja!$E11:$Z11)=0,0,MAX(0,IF((AI$6-$E$3)&lt;1,0,IFERROR(LOOKUP(2,1/(Soja!$E11:INDEX(Soja!$E11:$Z11,MIN(AI$6-$E$3,22))&lt;&gt;""),Soja!$E11:INDEX(Soja!$E11:$Z11,MIN(AI$6-$E$3,22))),0))-IF($G$2,0,IF((AI$6-$G$3)&lt;1,0,IFERROR(LOOKUP(2,1/(Soja!$E11:INDEX(Soja!$E11:$Z11,MIN(AI$6-$G$3,22))&lt;&gt;""),Soja!$E11:INDEX(Soja!$E11:$Z11,MIN(AI$6-$G$3,22))),0)))))</f>
        <v>0</v>
      </c>
      <c r="AJ13" s="27" t="n">
        <f aca="false">IF(COUNT(Soja!$E11:$Z11)=0,0,MAX(0,IF((AJ$6-$E$3)&lt;1,0,IFERROR(LOOKUP(2,1/(Soja!$E11:INDEX(Soja!$E11:$Z11,MIN(AJ$6-$E$3,22))&lt;&gt;""),Soja!$E11:INDEX(Soja!$E11:$Z11,MIN(AJ$6-$E$3,22))),0))-IF($G$2,0,IF((AJ$6-$G$3)&lt;1,0,IFERROR(LOOKUP(2,1/(Soja!$E11:INDEX(Soja!$E11:$Z11,MIN(AJ$6-$G$3,22))&lt;&gt;""),Soja!$E11:INDEX(Soja!$E11:$Z11,MIN(AJ$6-$G$3,22))),0)))))</f>
        <v>0</v>
      </c>
      <c r="AK13" s="27" t="n">
        <f aca="false">IF(COUNT(Soja!$E11:$Z11)=0,0,MAX(0,IF((AK$6-$E$3)&lt;1,0,IFERROR(LOOKUP(2,1/(Soja!$E11:INDEX(Soja!$E11:$Z11,MIN(AK$6-$E$3,22))&lt;&gt;""),Soja!$E11:INDEX(Soja!$E11:$Z11,MIN(AK$6-$E$3,22))),0))-IF($G$2,0,IF((AK$6-$G$3)&lt;1,0,IFERROR(LOOKUP(2,1/(Soja!$E11:INDEX(Soja!$E11:$Z11,MIN(AK$6-$G$3,22))&lt;&gt;""),Soja!$E11:INDEX(Soja!$E11:$Z11,MIN(AK$6-$G$3,22))),0)))))</f>
        <v>0</v>
      </c>
      <c r="AL13" s="27" t="n">
        <f aca="false">IF(COUNT(Soja!$E11:$Z11)=0,0,MAX(0,IF((AL$6-$E$3)&lt;1,0,IFERROR(LOOKUP(2,1/(Soja!$E11:INDEX(Soja!$E11:$Z11,MIN(AL$6-$E$3,22))&lt;&gt;""),Soja!$E11:INDEX(Soja!$E11:$Z11,MIN(AL$6-$E$3,22))),0))-IF($G$2,0,IF((AL$6-$G$3)&lt;1,0,IFERROR(LOOKUP(2,1/(Soja!$E11:INDEX(Soja!$E11:$Z11,MIN(AL$6-$G$3,22))&lt;&gt;""),Soja!$E11:INDEX(Soja!$E11:$Z11,MIN(AL$6-$G$3,22))),0)))))</f>
        <v>0</v>
      </c>
      <c r="AM13" s="27" t="n">
        <f aca="false">IF(COUNT(Soja!$E11:$Z11)=0,0,MAX(0,IF((AM$6-$E$3)&lt;1,0,IFERROR(LOOKUP(2,1/(Soja!$E11:INDEX(Soja!$E11:$Z11,MIN(AM$6-$E$3,22))&lt;&gt;""),Soja!$E11:INDEX(Soja!$E11:$Z11,MIN(AM$6-$E$3,22))),0))-IF($G$2,0,IF((AM$6-$G$3)&lt;1,0,IFERROR(LOOKUP(2,1/(Soja!$E11:INDEX(Soja!$E11:$Z11,MIN(AM$6-$G$3,22))&lt;&gt;""),Soja!$E11:INDEX(Soja!$E11:$Z11,MIN(AM$6-$G$3,22))),0)))))</f>
        <v>0</v>
      </c>
      <c r="AN13" s="27" t="n">
        <f aca="false">IF(COUNT(Soja!$E11:$Z11)=0,0,MAX(0,IF((AN$6-$E$3)&lt;1,0,IFERROR(LOOKUP(2,1/(Soja!$E11:INDEX(Soja!$E11:$Z11,MIN(AN$6-$E$3,22))&lt;&gt;""),Soja!$E11:INDEX(Soja!$E11:$Z11,MIN(AN$6-$E$3,22))),0))-IF($G$2,0,IF((AN$6-$G$3)&lt;1,0,IFERROR(LOOKUP(2,1/(Soja!$E11:INDEX(Soja!$E11:$Z11,MIN(AN$6-$G$3,22))&lt;&gt;""),Soja!$E11:INDEX(Soja!$E11:$Z11,MIN(AN$6-$G$3,22))),0)))))</f>
        <v>0</v>
      </c>
      <c r="AO13" s="27" t="n">
        <f aca="false">IF(COUNT(Soja!$E11:$Z11)=0,0,MAX(0,IF((AO$6-$E$3)&lt;1,0,IFERROR(LOOKUP(2,1/(Soja!$E11:INDEX(Soja!$E11:$Z11,MIN(AO$6-$E$3,22))&lt;&gt;""),Soja!$E11:INDEX(Soja!$E11:$Z11,MIN(AO$6-$E$3,22))),0))-IF($G$2,0,IF((AO$6-$G$3)&lt;1,0,IFERROR(LOOKUP(2,1/(Soja!$E11:INDEX(Soja!$E11:$Z11,MIN(AO$6-$G$3,22))&lt;&gt;""),Soja!$E11:INDEX(Soja!$E11:$Z11,MIN(AO$6-$G$3,22))),0)))))</f>
        <v>0</v>
      </c>
      <c r="AP13" s="27" t="n">
        <f aca="false">IF(COUNT(Soja!$E11:$Z11)=0,0,MAX(0,IF((AP$6-$E$3)&lt;1,0,IFERROR(LOOKUP(2,1/(Soja!$E11:INDEX(Soja!$E11:$Z11,MIN(AP$6-$E$3,22))&lt;&gt;""),Soja!$E11:INDEX(Soja!$E11:$Z11,MIN(AP$6-$E$3,22))),0))-IF($G$2,0,IF((AP$6-$G$3)&lt;1,0,IFERROR(LOOKUP(2,1/(Soja!$E11:INDEX(Soja!$E11:$Z11,MIN(AP$6-$G$3,22))&lt;&gt;""),Soja!$E11:INDEX(Soja!$E11:$Z11,MIN(AP$6-$G$3,22))),0)))))</f>
        <v>0</v>
      </c>
      <c r="AQ13" s="27" t="n">
        <f aca="false">IF(COUNT(Soja!$E11:$Z11)=0,0,MAX(0,IF((AQ$6-$E$3)&lt;1,0,IFERROR(LOOKUP(2,1/(Soja!$E11:INDEX(Soja!$E11:$Z11,MIN(AQ$6-$E$3,22))&lt;&gt;""),Soja!$E11:INDEX(Soja!$E11:$Z11,MIN(AQ$6-$E$3,22))),0))-IF($G$2,0,IF((AQ$6-$G$3)&lt;1,0,IFERROR(LOOKUP(2,1/(Soja!$E11:INDEX(Soja!$E11:$Z11,MIN(AQ$6-$G$3,22))&lt;&gt;""),Soja!$E11:INDEX(Soja!$E11:$Z11,MIN(AQ$6-$G$3,22))),0)))))</f>
        <v>0</v>
      </c>
      <c r="AR13" s="27" t="n">
        <f aca="false">IF(COUNT(Soja!$E11:$Z11)=0,0,MAX(0,IF((AR$6-$E$3)&lt;1,0,IFERROR(LOOKUP(2,1/(Soja!$E11:INDEX(Soja!$E11:$Z11,MIN(AR$6-$E$3,22))&lt;&gt;""),Soja!$E11:INDEX(Soja!$E11:$Z11,MIN(AR$6-$E$3,22))),0))-IF($G$2,0,IF((AR$6-$G$3)&lt;1,0,IFERROR(LOOKUP(2,1/(Soja!$E11:INDEX(Soja!$E11:$Z11,MIN(AR$6-$G$3,22))&lt;&gt;""),Soja!$E11:INDEX(Soja!$E11:$Z11,MIN(AR$6-$G$3,22))),0)))))</f>
        <v>0</v>
      </c>
      <c r="AS13" s="27" t="n">
        <f aca="false">IF(COUNT(Soja!$E11:$Z11)=0,0,MAX(0,IF((AS$6-$E$3)&lt;1,0,IFERROR(LOOKUP(2,1/(Soja!$E11:INDEX(Soja!$E11:$Z11,MIN(AS$6-$E$3,22))&lt;&gt;""),Soja!$E11:INDEX(Soja!$E11:$Z11,MIN(AS$6-$E$3,22))),0))-IF($G$2,0,IF((AS$6-$G$3)&lt;1,0,IFERROR(LOOKUP(2,1/(Soja!$E11:INDEX(Soja!$E11:$Z11,MIN(AS$6-$G$3,22))&lt;&gt;""),Soja!$E11:INDEX(Soja!$E11:$Z11,MIN(AS$6-$G$3,22))),0)))))</f>
        <v>0</v>
      </c>
      <c r="AT13" s="27" t="n">
        <f aca="false">IF(COUNT(Soja!$E11:$Z11)=0,0,MAX(0,IF((AT$6-$E$3)&lt;1,0,IFERROR(LOOKUP(2,1/(Soja!$E11:INDEX(Soja!$E11:$Z11,MIN(AT$6-$E$3,22))&lt;&gt;""),Soja!$E11:INDEX(Soja!$E11:$Z11,MIN(AT$6-$E$3,22))),0))-IF($G$2,0,IF((AT$6-$G$3)&lt;1,0,IFERROR(LOOKUP(2,1/(Soja!$E11:INDEX(Soja!$E11:$Z11,MIN(AT$6-$G$3,22))&lt;&gt;""),Soja!$E11:INDEX(Soja!$E11:$Z11,MIN(AT$6-$G$3,22))),0)))))</f>
        <v>0</v>
      </c>
      <c r="AU13" s="27" t="n">
        <f aca="false">IF(COUNT(Soja!$E11:$Z11)=0,0,MAX(0,IF((AU$6-$E$3)&lt;1,0,IFERROR(LOOKUP(2,1/(Soja!$E11:INDEX(Soja!$E11:$Z11,MIN(AU$6-$E$3,22))&lt;&gt;""),Soja!$E11:INDEX(Soja!$E11:$Z11,MIN(AU$6-$E$3,22))),0))-IF($G$2,0,IF((AU$6-$G$3)&lt;1,0,IFERROR(LOOKUP(2,1/(Soja!$E11:INDEX(Soja!$E11:$Z11,MIN(AU$6-$G$3,22))&lt;&gt;""),Soja!$E11:INDEX(Soja!$E11:$Z11,MIN(AU$6-$G$3,22))),0)))))</f>
        <v>0</v>
      </c>
      <c r="AV13" s="27" t="n">
        <f aca="false">IF(COUNT(Soja!$E11:$Z11)=0,0,MAX(0,IF((AV$6-$E$3)&lt;1,0,IFERROR(LOOKUP(2,1/(Soja!$E11:INDEX(Soja!$E11:$Z11,MIN(AV$6-$E$3,22))&lt;&gt;""),Soja!$E11:INDEX(Soja!$E11:$Z11,MIN(AV$6-$E$3,22))),0))-IF($G$2,0,IF((AV$6-$G$3)&lt;1,0,IFERROR(LOOKUP(2,1/(Soja!$E11:INDEX(Soja!$E11:$Z11,MIN(AV$6-$G$3,22))&lt;&gt;""),Soja!$E11:INDEX(Soja!$E11:$Z11,MIN(AV$6-$G$3,22))),0)))))</f>
        <v>0</v>
      </c>
      <c r="AW13" s="27" t="n">
        <f aca="false">IF(COUNT(Soja!$E11:$Z11)=0,0,MAX(0,IF((AW$6-$E$3)&lt;1,0,IFERROR(LOOKUP(2,1/(Soja!$E11:INDEX(Soja!$E11:$Z11,MIN(AW$6-$E$3,22))&lt;&gt;""),Soja!$E11:INDEX(Soja!$E11:$Z11,MIN(AW$6-$E$3,22))),0))-IF($G$2,0,IF((AW$6-$G$3)&lt;1,0,IFERROR(LOOKUP(2,1/(Soja!$E11:INDEX(Soja!$E11:$Z11,MIN(AW$6-$G$3,22))&lt;&gt;""),Soja!$E11:INDEX(Soja!$E11:$Z11,MIN(AW$6-$G$3,22))),0)))))</f>
        <v>0</v>
      </c>
      <c r="AX13" s="27" t="n">
        <f aca="false">IF(COUNT(Soja!$E11:$Z11)=0,0,MAX(0,IF((AX$6-$E$3)&lt;1,0,IFERROR(LOOKUP(2,1/(Soja!$E11:INDEX(Soja!$E11:$Z11,MIN(AX$6-$E$3,22))&lt;&gt;""),Soja!$E11:INDEX(Soja!$E11:$Z11,MIN(AX$6-$E$3,22))),0))-IF($G$2,0,IF((AX$6-$G$3)&lt;1,0,IFERROR(LOOKUP(2,1/(Soja!$E11:INDEX(Soja!$E11:$Z11,MIN(AX$6-$G$3,22))&lt;&gt;""),Soja!$E11:INDEX(Soja!$E11:$Z11,MIN(AX$6-$G$3,22))),0)))))</f>
        <v>0</v>
      </c>
      <c r="AY13" s="27" t="n">
        <f aca="false">IF(COUNT(Soja!$E11:$Z11)=0,0,MAX(0,IF((AY$6-$E$3)&lt;1,0,IFERROR(LOOKUP(2,1/(Soja!$E11:INDEX(Soja!$E11:$Z11,MIN(AY$6-$E$3,22))&lt;&gt;""),Soja!$E11:INDEX(Soja!$E11:$Z11,MIN(AY$6-$E$3,22))),0))-IF($G$2,0,IF((AY$6-$G$3)&lt;1,0,IFERROR(LOOKUP(2,1/(Soja!$E11:INDEX(Soja!$E11:$Z11,MIN(AY$6-$G$3,22))&lt;&gt;""),Soja!$E11:INDEX(Soja!$E11:$Z11,MIN(AY$6-$G$3,22))),0)))))</f>
        <v>0</v>
      </c>
      <c r="AZ13" s="27" t="n">
        <f aca="false">IF(COUNT(Soja!$E11:$Z11)=0,0,MAX(0,IF((AZ$6-$E$3)&lt;1,0,IFERROR(LOOKUP(2,1/(Soja!$E11:INDEX(Soja!$E11:$Z11,MIN(AZ$6-$E$3,22))&lt;&gt;""),Soja!$E11:INDEX(Soja!$E11:$Z11,MIN(AZ$6-$E$3,22))),0))-IF($G$2,0,IF((AZ$6-$G$3)&lt;1,0,IFERROR(LOOKUP(2,1/(Soja!$E11:INDEX(Soja!$E11:$Z11,MIN(AZ$6-$G$3,22))&lt;&gt;""),Soja!$E11:INDEX(Soja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IF(COUNT(Soja!$E12:$Z12)&gt;0,N(Soja!$D12),0)</f>
        <v>0</v>
      </c>
      <c r="E14" s="27" t="n">
        <f aca="false">IF(COUNT(Soja!$E12:$Z12)=0,0,MAX(0,IF((E$6-$E$3)&lt;1,0,IFERROR(LOOKUP(2,1/(Soja!$E12:INDEX(Soja!$E12:$Z12,MIN(E$6-$E$3,22))&lt;&gt;""),Soja!$E12:INDEX(Soja!$E12:$Z12,MIN(E$6-$E$3,22))),0))-IF($G$2,0,IF((E$6-$G$3)&lt;1,0,IFERROR(LOOKUP(2,1/(Soja!$E12:INDEX(Soja!$E12:$Z12,MIN(E$6-$G$3,22))&lt;&gt;""),Soja!$E12:INDEX(Soja!$E12:$Z12,MIN(E$6-$G$3,22))),0)))))</f>
        <v>0</v>
      </c>
      <c r="F14" s="27" t="n">
        <f aca="false">IF(COUNT(Soja!$E12:$Z12)=0,0,MAX(0,IF((F$6-$E$3)&lt;1,0,IFERROR(LOOKUP(2,1/(Soja!$E12:INDEX(Soja!$E12:$Z12,MIN(F$6-$E$3,22))&lt;&gt;""),Soja!$E12:INDEX(Soja!$E12:$Z12,MIN(F$6-$E$3,22))),0))-IF($G$2,0,IF((F$6-$G$3)&lt;1,0,IFERROR(LOOKUP(2,1/(Soja!$E12:INDEX(Soja!$E12:$Z12,MIN(F$6-$G$3,22))&lt;&gt;""),Soja!$E12:INDEX(Soja!$E12:$Z12,MIN(F$6-$G$3,22))),0)))))</f>
        <v>0</v>
      </c>
      <c r="G14" s="27" t="n">
        <f aca="false">IF(COUNT(Soja!$E12:$Z12)=0,0,MAX(0,IF((G$6-$E$3)&lt;1,0,IFERROR(LOOKUP(2,1/(Soja!$E12:INDEX(Soja!$E12:$Z12,MIN(G$6-$E$3,22))&lt;&gt;""),Soja!$E12:INDEX(Soja!$E12:$Z12,MIN(G$6-$E$3,22))),0))-IF($G$2,0,IF((G$6-$G$3)&lt;1,0,IFERROR(LOOKUP(2,1/(Soja!$E12:INDEX(Soja!$E12:$Z12,MIN(G$6-$G$3,22))&lt;&gt;""),Soja!$E12:INDEX(Soja!$E12:$Z12,MIN(G$6-$G$3,22))),0)))))</f>
        <v>0</v>
      </c>
      <c r="H14" s="27" t="n">
        <f aca="false">IF(COUNT(Soja!$E12:$Z12)=0,0,MAX(0,IF((H$6-$E$3)&lt;1,0,IFERROR(LOOKUP(2,1/(Soja!$E12:INDEX(Soja!$E12:$Z12,MIN(H$6-$E$3,22))&lt;&gt;""),Soja!$E12:INDEX(Soja!$E12:$Z12,MIN(H$6-$E$3,22))),0))-IF($G$2,0,IF((H$6-$G$3)&lt;1,0,IFERROR(LOOKUP(2,1/(Soja!$E12:INDEX(Soja!$E12:$Z12,MIN(H$6-$G$3,22))&lt;&gt;""),Soja!$E12:INDEX(Soja!$E12:$Z12,MIN(H$6-$G$3,22))),0)))))</f>
        <v>0</v>
      </c>
      <c r="I14" s="27" t="n">
        <f aca="false">IF(COUNT(Soja!$E12:$Z12)=0,0,MAX(0,IF((I$6-$E$3)&lt;1,0,IFERROR(LOOKUP(2,1/(Soja!$E12:INDEX(Soja!$E12:$Z12,MIN(I$6-$E$3,22))&lt;&gt;""),Soja!$E12:INDEX(Soja!$E12:$Z12,MIN(I$6-$E$3,22))),0))-IF($G$2,0,IF((I$6-$G$3)&lt;1,0,IFERROR(LOOKUP(2,1/(Soja!$E12:INDEX(Soja!$E12:$Z12,MIN(I$6-$G$3,22))&lt;&gt;""),Soja!$E12:INDEX(Soja!$E12:$Z12,MIN(I$6-$G$3,22))),0)))))</f>
        <v>0</v>
      </c>
      <c r="J14" s="27" t="n">
        <f aca="false">IF(COUNT(Soja!$E12:$Z12)=0,0,MAX(0,IF((J$6-$E$3)&lt;1,0,IFERROR(LOOKUP(2,1/(Soja!$E12:INDEX(Soja!$E12:$Z12,MIN(J$6-$E$3,22))&lt;&gt;""),Soja!$E12:INDEX(Soja!$E12:$Z12,MIN(J$6-$E$3,22))),0))-IF($G$2,0,IF((J$6-$G$3)&lt;1,0,IFERROR(LOOKUP(2,1/(Soja!$E12:INDEX(Soja!$E12:$Z12,MIN(J$6-$G$3,22))&lt;&gt;""),Soja!$E12:INDEX(Soja!$E12:$Z12,MIN(J$6-$G$3,22))),0)))))</f>
        <v>0</v>
      </c>
      <c r="K14" s="27" t="n">
        <f aca="false">IF(COUNT(Soja!$E12:$Z12)=0,0,MAX(0,IF((K$6-$E$3)&lt;1,0,IFERROR(LOOKUP(2,1/(Soja!$E12:INDEX(Soja!$E12:$Z12,MIN(K$6-$E$3,22))&lt;&gt;""),Soja!$E12:INDEX(Soja!$E12:$Z12,MIN(K$6-$E$3,22))),0))-IF($G$2,0,IF((K$6-$G$3)&lt;1,0,IFERROR(LOOKUP(2,1/(Soja!$E12:INDEX(Soja!$E12:$Z12,MIN(K$6-$G$3,22))&lt;&gt;""),Soja!$E12:INDEX(Soja!$E12:$Z12,MIN(K$6-$G$3,22))),0)))))</f>
        <v>0</v>
      </c>
      <c r="L14" s="27" t="n">
        <f aca="false">IF(COUNT(Soja!$E12:$Z12)=0,0,MAX(0,IF((L$6-$E$3)&lt;1,0,IFERROR(LOOKUP(2,1/(Soja!$E12:INDEX(Soja!$E12:$Z12,MIN(L$6-$E$3,22))&lt;&gt;""),Soja!$E12:INDEX(Soja!$E12:$Z12,MIN(L$6-$E$3,22))),0))-IF($G$2,0,IF((L$6-$G$3)&lt;1,0,IFERROR(LOOKUP(2,1/(Soja!$E12:INDEX(Soja!$E12:$Z12,MIN(L$6-$G$3,22))&lt;&gt;""),Soja!$E12:INDEX(Soja!$E12:$Z12,MIN(L$6-$G$3,22))),0)))))</f>
        <v>0</v>
      </c>
      <c r="M14" s="27" t="n">
        <f aca="false">IF(COUNT(Soja!$E12:$Z12)=0,0,MAX(0,IF((M$6-$E$3)&lt;1,0,IFERROR(LOOKUP(2,1/(Soja!$E12:INDEX(Soja!$E12:$Z12,MIN(M$6-$E$3,22))&lt;&gt;""),Soja!$E12:INDEX(Soja!$E12:$Z12,MIN(M$6-$E$3,22))),0))-IF($G$2,0,IF((M$6-$G$3)&lt;1,0,IFERROR(LOOKUP(2,1/(Soja!$E12:INDEX(Soja!$E12:$Z12,MIN(M$6-$G$3,22))&lt;&gt;""),Soja!$E12:INDEX(Soja!$E12:$Z12,MIN(M$6-$G$3,22))),0)))))</f>
        <v>0</v>
      </c>
      <c r="N14" s="27" t="n">
        <f aca="false">IF(COUNT(Soja!$E12:$Z12)=0,0,MAX(0,IF((N$6-$E$3)&lt;1,0,IFERROR(LOOKUP(2,1/(Soja!$E12:INDEX(Soja!$E12:$Z12,MIN(N$6-$E$3,22))&lt;&gt;""),Soja!$E12:INDEX(Soja!$E12:$Z12,MIN(N$6-$E$3,22))),0))-IF($G$2,0,IF((N$6-$G$3)&lt;1,0,IFERROR(LOOKUP(2,1/(Soja!$E12:INDEX(Soja!$E12:$Z12,MIN(N$6-$G$3,22))&lt;&gt;""),Soja!$E12:INDEX(Soja!$E12:$Z12,MIN(N$6-$G$3,22))),0)))))</f>
        <v>0</v>
      </c>
      <c r="O14" s="27" t="n">
        <f aca="false">IF(COUNT(Soja!$E12:$Z12)=0,0,MAX(0,IF((O$6-$E$3)&lt;1,0,IFERROR(LOOKUP(2,1/(Soja!$E12:INDEX(Soja!$E12:$Z12,MIN(O$6-$E$3,22))&lt;&gt;""),Soja!$E12:INDEX(Soja!$E12:$Z12,MIN(O$6-$E$3,22))),0))-IF($G$2,0,IF((O$6-$G$3)&lt;1,0,IFERROR(LOOKUP(2,1/(Soja!$E12:INDEX(Soja!$E12:$Z12,MIN(O$6-$G$3,22))&lt;&gt;""),Soja!$E12:INDEX(Soja!$E12:$Z12,MIN(O$6-$G$3,22))),0)))))</f>
        <v>0</v>
      </c>
      <c r="P14" s="27" t="n">
        <f aca="false">IF(COUNT(Soja!$E12:$Z12)=0,0,MAX(0,IF((P$6-$E$3)&lt;1,0,IFERROR(LOOKUP(2,1/(Soja!$E12:INDEX(Soja!$E12:$Z12,MIN(P$6-$E$3,22))&lt;&gt;""),Soja!$E12:INDEX(Soja!$E12:$Z12,MIN(P$6-$E$3,22))),0))-IF($G$2,0,IF((P$6-$G$3)&lt;1,0,IFERROR(LOOKUP(2,1/(Soja!$E12:INDEX(Soja!$E12:$Z12,MIN(P$6-$G$3,22))&lt;&gt;""),Soja!$E12:INDEX(Soja!$E12:$Z12,MIN(P$6-$G$3,22))),0)))))</f>
        <v>0</v>
      </c>
      <c r="Q14" s="27" t="n">
        <f aca="false">IF(COUNT(Soja!$E12:$Z12)=0,0,MAX(0,IF((Q$6-$E$3)&lt;1,0,IFERROR(LOOKUP(2,1/(Soja!$E12:INDEX(Soja!$E12:$Z12,MIN(Q$6-$E$3,22))&lt;&gt;""),Soja!$E12:INDEX(Soja!$E12:$Z12,MIN(Q$6-$E$3,22))),0))-IF($G$2,0,IF((Q$6-$G$3)&lt;1,0,IFERROR(LOOKUP(2,1/(Soja!$E12:INDEX(Soja!$E12:$Z12,MIN(Q$6-$G$3,22))&lt;&gt;""),Soja!$E12:INDEX(Soja!$E12:$Z12,MIN(Q$6-$G$3,22))),0)))))</f>
        <v>0</v>
      </c>
      <c r="R14" s="27" t="n">
        <f aca="false">IF(COUNT(Soja!$E12:$Z12)=0,0,MAX(0,IF((R$6-$E$3)&lt;1,0,IFERROR(LOOKUP(2,1/(Soja!$E12:INDEX(Soja!$E12:$Z12,MIN(R$6-$E$3,22))&lt;&gt;""),Soja!$E12:INDEX(Soja!$E12:$Z12,MIN(R$6-$E$3,22))),0))-IF($G$2,0,IF((R$6-$G$3)&lt;1,0,IFERROR(LOOKUP(2,1/(Soja!$E12:INDEX(Soja!$E12:$Z12,MIN(R$6-$G$3,22))&lt;&gt;""),Soja!$E12:INDEX(Soja!$E12:$Z12,MIN(R$6-$G$3,22))),0)))))</f>
        <v>0</v>
      </c>
      <c r="S14" s="27" t="n">
        <f aca="false">IF(COUNT(Soja!$E12:$Z12)=0,0,MAX(0,IF((S$6-$E$3)&lt;1,0,IFERROR(LOOKUP(2,1/(Soja!$E12:INDEX(Soja!$E12:$Z12,MIN(S$6-$E$3,22))&lt;&gt;""),Soja!$E12:INDEX(Soja!$E12:$Z12,MIN(S$6-$E$3,22))),0))-IF($G$2,0,IF((S$6-$G$3)&lt;1,0,IFERROR(LOOKUP(2,1/(Soja!$E12:INDEX(Soja!$E12:$Z12,MIN(S$6-$G$3,22))&lt;&gt;""),Soja!$E12:INDEX(Soja!$E12:$Z12,MIN(S$6-$G$3,22))),0)))))</f>
        <v>0</v>
      </c>
      <c r="T14" s="27" t="n">
        <f aca="false">IF(COUNT(Soja!$E12:$Z12)=0,0,MAX(0,IF((T$6-$E$3)&lt;1,0,IFERROR(LOOKUP(2,1/(Soja!$E12:INDEX(Soja!$E12:$Z12,MIN(T$6-$E$3,22))&lt;&gt;""),Soja!$E12:INDEX(Soja!$E12:$Z12,MIN(T$6-$E$3,22))),0))-IF($G$2,0,IF((T$6-$G$3)&lt;1,0,IFERROR(LOOKUP(2,1/(Soja!$E12:INDEX(Soja!$E12:$Z12,MIN(T$6-$G$3,22))&lt;&gt;""),Soja!$E12:INDEX(Soja!$E12:$Z12,MIN(T$6-$G$3,22))),0)))))</f>
        <v>0</v>
      </c>
      <c r="U14" s="27" t="n">
        <f aca="false">IF(COUNT(Soja!$E12:$Z12)=0,0,MAX(0,IF((U$6-$E$3)&lt;1,0,IFERROR(LOOKUP(2,1/(Soja!$E12:INDEX(Soja!$E12:$Z12,MIN(U$6-$E$3,22))&lt;&gt;""),Soja!$E12:INDEX(Soja!$E12:$Z12,MIN(U$6-$E$3,22))),0))-IF($G$2,0,IF((U$6-$G$3)&lt;1,0,IFERROR(LOOKUP(2,1/(Soja!$E12:INDEX(Soja!$E12:$Z12,MIN(U$6-$G$3,22))&lt;&gt;""),Soja!$E12:INDEX(Soja!$E12:$Z12,MIN(U$6-$G$3,22))),0)))))</f>
        <v>0</v>
      </c>
      <c r="V14" s="27" t="n">
        <f aca="false">IF(COUNT(Soja!$E12:$Z12)=0,0,MAX(0,IF((V$6-$E$3)&lt;1,0,IFERROR(LOOKUP(2,1/(Soja!$E12:INDEX(Soja!$E12:$Z12,MIN(V$6-$E$3,22))&lt;&gt;""),Soja!$E12:INDEX(Soja!$E12:$Z12,MIN(V$6-$E$3,22))),0))-IF($G$2,0,IF((V$6-$G$3)&lt;1,0,IFERROR(LOOKUP(2,1/(Soja!$E12:INDEX(Soja!$E12:$Z12,MIN(V$6-$G$3,22))&lt;&gt;""),Soja!$E12:INDEX(Soja!$E12:$Z12,MIN(V$6-$G$3,22))),0)))))</f>
        <v>0</v>
      </c>
      <c r="W14" s="27" t="n">
        <f aca="false">IF(COUNT(Soja!$E12:$Z12)=0,0,MAX(0,IF((W$6-$E$3)&lt;1,0,IFERROR(LOOKUP(2,1/(Soja!$E12:INDEX(Soja!$E12:$Z12,MIN(W$6-$E$3,22))&lt;&gt;""),Soja!$E12:INDEX(Soja!$E12:$Z12,MIN(W$6-$E$3,22))),0))-IF($G$2,0,IF((W$6-$G$3)&lt;1,0,IFERROR(LOOKUP(2,1/(Soja!$E12:INDEX(Soja!$E12:$Z12,MIN(W$6-$G$3,22))&lt;&gt;""),Soja!$E12:INDEX(Soja!$E12:$Z12,MIN(W$6-$G$3,22))),0)))))</f>
        <v>0</v>
      </c>
      <c r="X14" s="27" t="n">
        <f aca="false">IF(COUNT(Soja!$E12:$Z12)=0,0,MAX(0,IF((X$6-$E$3)&lt;1,0,IFERROR(LOOKUP(2,1/(Soja!$E12:INDEX(Soja!$E12:$Z12,MIN(X$6-$E$3,22))&lt;&gt;""),Soja!$E12:INDEX(Soja!$E12:$Z12,MIN(X$6-$E$3,22))),0))-IF($G$2,0,IF((X$6-$G$3)&lt;1,0,IFERROR(LOOKUP(2,1/(Soja!$E12:INDEX(Soja!$E12:$Z12,MIN(X$6-$G$3,22))&lt;&gt;""),Soja!$E12:INDEX(Soja!$E12:$Z12,MIN(X$6-$G$3,22))),0)))))</f>
        <v>0</v>
      </c>
      <c r="Y14" s="27" t="n">
        <f aca="false">IF(COUNT(Soja!$E12:$Z12)=0,0,MAX(0,IF((Y$6-$E$3)&lt;1,0,IFERROR(LOOKUP(2,1/(Soja!$E12:INDEX(Soja!$E12:$Z12,MIN(Y$6-$E$3,22))&lt;&gt;""),Soja!$E12:INDEX(Soja!$E12:$Z12,MIN(Y$6-$E$3,22))),0))-IF($G$2,0,IF((Y$6-$G$3)&lt;1,0,IFERROR(LOOKUP(2,1/(Soja!$E12:INDEX(Soja!$E12:$Z12,MIN(Y$6-$G$3,22))&lt;&gt;""),Soja!$E12:INDEX(Soja!$E12:$Z12,MIN(Y$6-$G$3,22))),0)))))</f>
        <v>0</v>
      </c>
      <c r="Z14" s="27" t="n">
        <f aca="false">IF(COUNT(Soja!$E12:$Z12)=0,0,MAX(0,IF((Z$6-$E$3)&lt;1,0,IFERROR(LOOKUP(2,1/(Soja!$E12:INDEX(Soja!$E12:$Z12,MIN(Z$6-$E$3,22))&lt;&gt;""),Soja!$E12:INDEX(Soja!$E12:$Z12,MIN(Z$6-$E$3,22))),0))-IF($G$2,0,IF((Z$6-$G$3)&lt;1,0,IFERROR(LOOKUP(2,1/(Soja!$E12:INDEX(Soja!$E12:$Z12,MIN(Z$6-$G$3,22))&lt;&gt;""),Soja!$E12:INDEX(Soja!$E12:$Z12,MIN(Z$6-$G$3,22))),0)))))</f>
        <v>0</v>
      </c>
      <c r="AA14" s="27" t="n">
        <f aca="false">IF(COUNT(Soja!$E12:$Z12)=0,0,MAX(0,IF((AA$6-$E$3)&lt;1,0,IFERROR(LOOKUP(2,1/(Soja!$E12:INDEX(Soja!$E12:$Z12,MIN(AA$6-$E$3,22))&lt;&gt;""),Soja!$E12:INDEX(Soja!$E12:$Z12,MIN(AA$6-$E$3,22))),0))-IF($G$2,0,IF((AA$6-$G$3)&lt;1,0,IFERROR(LOOKUP(2,1/(Soja!$E12:INDEX(Soja!$E12:$Z12,MIN(AA$6-$G$3,22))&lt;&gt;""),Soja!$E12:INDEX(Soja!$E12:$Z12,MIN(AA$6-$G$3,22))),0)))))</f>
        <v>0</v>
      </c>
      <c r="AB14" s="27" t="n">
        <f aca="false">IF(COUNT(Soja!$E12:$Z12)=0,0,MAX(0,IF((AB$6-$E$3)&lt;1,0,IFERROR(LOOKUP(2,1/(Soja!$E12:INDEX(Soja!$E12:$Z12,MIN(AB$6-$E$3,22))&lt;&gt;""),Soja!$E12:INDEX(Soja!$E12:$Z12,MIN(AB$6-$E$3,22))),0))-IF($G$2,0,IF((AB$6-$G$3)&lt;1,0,IFERROR(LOOKUP(2,1/(Soja!$E12:INDEX(Soja!$E12:$Z12,MIN(AB$6-$G$3,22))&lt;&gt;""),Soja!$E12:INDEX(Soja!$E12:$Z12,MIN(AB$6-$G$3,22))),0)))))</f>
        <v>0</v>
      </c>
      <c r="AC14" s="27" t="n">
        <f aca="false">IF(COUNT(Soja!$E12:$Z12)=0,0,MAX(0,IF((AC$6-$E$3)&lt;1,0,IFERROR(LOOKUP(2,1/(Soja!$E12:INDEX(Soja!$E12:$Z12,MIN(AC$6-$E$3,22))&lt;&gt;""),Soja!$E12:INDEX(Soja!$E12:$Z12,MIN(AC$6-$E$3,22))),0))-IF($G$2,0,IF((AC$6-$G$3)&lt;1,0,IFERROR(LOOKUP(2,1/(Soja!$E12:INDEX(Soja!$E12:$Z12,MIN(AC$6-$G$3,22))&lt;&gt;""),Soja!$E12:INDEX(Soja!$E12:$Z12,MIN(AC$6-$G$3,22))),0)))))</f>
        <v>0</v>
      </c>
      <c r="AD14" s="27" t="n">
        <f aca="false">IF(COUNT(Soja!$E12:$Z12)=0,0,MAX(0,IF((AD$6-$E$3)&lt;1,0,IFERROR(LOOKUP(2,1/(Soja!$E12:INDEX(Soja!$E12:$Z12,MIN(AD$6-$E$3,22))&lt;&gt;""),Soja!$E12:INDEX(Soja!$E12:$Z12,MIN(AD$6-$E$3,22))),0))-IF($G$2,0,IF((AD$6-$G$3)&lt;1,0,IFERROR(LOOKUP(2,1/(Soja!$E12:INDEX(Soja!$E12:$Z12,MIN(AD$6-$G$3,22))&lt;&gt;""),Soja!$E12:INDEX(Soja!$E12:$Z12,MIN(AD$6-$G$3,22))),0)))))</f>
        <v>0</v>
      </c>
      <c r="AE14" s="27" t="n">
        <f aca="false">IF(COUNT(Soja!$E12:$Z12)=0,0,MAX(0,IF((AE$6-$E$3)&lt;1,0,IFERROR(LOOKUP(2,1/(Soja!$E12:INDEX(Soja!$E12:$Z12,MIN(AE$6-$E$3,22))&lt;&gt;""),Soja!$E12:INDEX(Soja!$E12:$Z12,MIN(AE$6-$E$3,22))),0))-IF($G$2,0,IF((AE$6-$G$3)&lt;1,0,IFERROR(LOOKUP(2,1/(Soja!$E12:INDEX(Soja!$E12:$Z12,MIN(AE$6-$G$3,22))&lt;&gt;""),Soja!$E12:INDEX(Soja!$E12:$Z12,MIN(AE$6-$G$3,22))),0)))))</f>
        <v>0</v>
      </c>
      <c r="AF14" s="27" t="n">
        <f aca="false">IF(COUNT(Soja!$E12:$Z12)=0,0,MAX(0,IF((AF$6-$E$3)&lt;1,0,IFERROR(LOOKUP(2,1/(Soja!$E12:INDEX(Soja!$E12:$Z12,MIN(AF$6-$E$3,22))&lt;&gt;""),Soja!$E12:INDEX(Soja!$E12:$Z12,MIN(AF$6-$E$3,22))),0))-IF($G$2,0,IF((AF$6-$G$3)&lt;1,0,IFERROR(LOOKUP(2,1/(Soja!$E12:INDEX(Soja!$E12:$Z12,MIN(AF$6-$G$3,22))&lt;&gt;""),Soja!$E12:INDEX(Soja!$E12:$Z12,MIN(AF$6-$G$3,22))),0)))))</f>
        <v>0</v>
      </c>
      <c r="AG14" s="27" t="n">
        <f aca="false">IF(COUNT(Soja!$E12:$Z12)=0,0,MAX(0,IF((AG$6-$E$3)&lt;1,0,IFERROR(LOOKUP(2,1/(Soja!$E12:INDEX(Soja!$E12:$Z12,MIN(AG$6-$E$3,22))&lt;&gt;""),Soja!$E12:INDEX(Soja!$E12:$Z12,MIN(AG$6-$E$3,22))),0))-IF($G$2,0,IF((AG$6-$G$3)&lt;1,0,IFERROR(LOOKUP(2,1/(Soja!$E12:INDEX(Soja!$E12:$Z12,MIN(AG$6-$G$3,22))&lt;&gt;""),Soja!$E12:INDEX(Soja!$E12:$Z12,MIN(AG$6-$G$3,22))),0)))))</f>
        <v>0</v>
      </c>
      <c r="AH14" s="27" t="n">
        <f aca="false">IF(COUNT(Soja!$E12:$Z12)=0,0,MAX(0,IF((AH$6-$E$3)&lt;1,0,IFERROR(LOOKUP(2,1/(Soja!$E12:INDEX(Soja!$E12:$Z12,MIN(AH$6-$E$3,22))&lt;&gt;""),Soja!$E12:INDEX(Soja!$E12:$Z12,MIN(AH$6-$E$3,22))),0))-IF($G$2,0,IF((AH$6-$G$3)&lt;1,0,IFERROR(LOOKUP(2,1/(Soja!$E12:INDEX(Soja!$E12:$Z12,MIN(AH$6-$G$3,22))&lt;&gt;""),Soja!$E12:INDEX(Soja!$E12:$Z12,MIN(AH$6-$G$3,22))),0)))))</f>
        <v>0</v>
      </c>
      <c r="AI14" s="27" t="n">
        <f aca="false">IF(COUNT(Soja!$E12:$Z12)=0,0,MAX(0,IF((AI$6-$E$3)&lt;1,0,IFERROR(LOOKUP(2,1/(Soja!$E12:INDEX(Soja!$E12:$Z12,MIN(AI$6-$E$3,22))&lt;&gt;""),Soja!$E12:INDEX(Soja!$E12:$Z12,MIN(AI$6-$E$3,22))),0))-IF($G$2,0,IF((AI$6-$G$3)&lt;1,0,IFERROR(LOOKUP(2,1/(Soja!$E12:INDEX(Soja!$E12:$Z12,MIN(AI$6-$G$3,22))&lt;&gt;""),Soja!$E12:INDEX(Soja!$E12:$Z12,MIN(AI$6-$G$3,22))),0)))))</f>
        <v>0</v>
      </c>
      <c r="AJ14" s="27" t="n">
        <f aca="false">IF(COUNT(Soja!$E12:$Z12)=0,0,MAX(0,IF((AJ$6-$E$3)&lt;1,0,IFERROR(LOOKUP(2,1/(Soja!$E12:INDEX(Soja!$E12:$Z12,MIN(AJ$6-$E$3,22))&lt;&gt;""),Soja!$E12:INDEX(Soja!$E12:$Z12,MIN(AJ$6-$E$3,22))),0))-IF($G$2,0,IF((AJ$6-$G$3)&lt;1,0,IFERROR(LOOKUP(2,1/(Soja!$E12:INDEX(Soja!$E12:$Z12,MIN(AJ$6-$G$3,22))&lt;&gt;""),Soja!$E12:INDEX(Soja!$E12:$Z12,MIN(AJ$6-$G$3,22))),0)))))</f>
        <v>0</v>
      </c>
      <c r="AK14" s="27" t="n">
        <f aca="false">IF(COUNT(Soja!$E12:$Z12)=0,0,MAX(0,IF((AK$6-$E$3)&lt;1,0,IFERROR(LOOKUP(2,1/(Soja!$E12:INDEX(Soja!$E12:$Z12,MIN(AK$6-$E$3,22))&lt;&gt;""),Soja!$E12:INDEX(Soja!$E12:$Z12,MIN(AK$6-$E$3,22))),0))-IF($G$2,0,IF((AK$6-$G$3)&lt;1,0,IFERROR(LOOKUP(2,1/(Soja!$E12:INDEX(Soja!$E12:$Z12,MIN(AK$6-$G$3,22))&lt;&gt;""),Soja!$E12:INDEX(Soja!$E12:$Z12,MIN(AK$6-$G$3,22))),0)))))</f>
        <v>0</v>
      </c>
      <c r="AL14" s="27" t="n">
        <f aca="false">IF(COUNT(Soja!$E12:$Z12)=0,0,MAX(0,IF((AL$6-$E$3)&lt;1,0,IFERROR(LOOKUP(2,1/(Soja!$E12:INDEX(Soja!$E12:$Z12,MIN(AL$6-$E$3,22))&lt;&gt;""),Soja!$E12:INDEX(Soja!$E12:$Z12,MIN(AL$6-$E$3,22))),0))-IF($G$2,0,IF((AL$6-$G$3)&lt;1,0,IFERROR(LOOKUP(2,1/(Soja!$E12:INDEX(Soja!$E12:$Z12,MIN(AL$6-$G$3,22))&lt;&gt;""),Soja!$E12:INDEX(Soja!$E12:$Z12,MIN(AL$6-$G$3,22))),0)))))</f>
        <v>0</v>
      </c>
      <c r="AM14" s="27" t="n">
        <f aca="false">IF(COUNT(Soja!$E12:$Z12)=0,0,MAX(0,IF((AM$6-$E$3)&lt;1,0,IFERROR(LOOKUP(2,1/(Soja!$E12:INDEX(Soja!$E12:$Z12,MIN(AM$6-$E$3,22))&lt;&gt;""),Soja!$E12:INDEX(Soja!$E12:$Z12,MIN(AM$6-$E$3,22))),0))-IF($G$2,0,IF((AM$6-$G$3)&lt;1,0,IFERROR(LOOKUP(2,1/(Soja!$E12:INDEX(Soja!$E12:$Z12,MIN(AM$6-$G$3,22))&lt;&gt;""),Soja!$E12:INDEX(Soja!$E12:$Z12,MIN(AM$6-$G$3,22))),0)))))</f>
        <v>0</v>
      </c>
      <c r="AN14" s="27" t="n">
        <f aca="false">IF(COUNT(Soja!$E12:$Z12)=0,0,MAX(0,IF((AN$6-$E$3)&lt;1,0,IFERROR(LOOKUP(2,1/(Soja!$E12:INDEX(Soja!$E12:$Z12,MIN(AN$6-$E$3,22))&lt;&gt;""),Soja!$E12:INDEX(Soja!$E12:$Z12,MIN(AN$6-$E$3,22))),0))-IF($G$2,0,IF((AN$6-$G$3)&lt;1,0,IFERROR(LOOKUP(2,1/(Soja!$E12:INDEX(Soja!$E12:$Z12,MIN(AN$6-$G$3,22))&lt;&gt;""),Soja!$E12:INDEX(Soja!$E12:$Z12,MIN(AN$6-$G$3,22))),0)))))</f>
        <v>0</v>
      </c>
      <c r="AO14" s="27" t="n">
        <f aca="false">IF(COUNT(Soja!$E12:$Z12)=0,0,MAX(0,IF((AO$6-$E$3)&lt;1,0,IFERROR(LOOKUP(2,1/(Soja!$E12:INDEX(Soja!$E12:$Z12,MIN(AO$6-$E$3,22))&lt;&gt;""),Soja!$E12:INDEX(Soja!$E12:$Z12,MIN(AO$6-$E$3,22))),0))-IF($G$2,0,IF((AO$6-$G$3)&lt;1,0,IFERROR(LOOKUP(2,1/(Soja!$E12:INDEX(Soja!$E12:$Z12,MIN(AO$6-$G$3,22))&lt;&gt;""),Soja!$E12:INDEX(Soja!$E12:$Z12,MIN(AO$6-$G$3,22))),0)))))</f>
        <v>0</v>
      </c>
      <c r="AP14" s="27" t="n">
        <f aca="false">IF(COUNT(Soja!$E12:$Z12)=0,0,MAX(0,IF((AP$6-$E$3)&lt;1,0,IFERROR(LOOKUP(2,1/(Soja!$E12:INDEX(Soja!$E12:$Z12,MIN(AP$6-$E$3,22))&lt;&gt;""),Soja!$E12:INDEX(Soja!$E12:$Z12,MIN(AP$6-$E$3,22))),0))-IF($G$2,0,IF((AP$6-$G$3)&lt;1,0,IFERROR(LOOKUP(2,1/(Soja!$E12:INDEX(Soja!$E12:$Z12,MIN(AP$6-$G$3,22))&lt;&gt;""),Soja!$E12:INDEX(Soja!$E12:$Z12,MIN(AP$6-$G$3,22))),0)))))</f>
        <v>0</v>
      </c>
      <c r="AQ14" s="27" t="n">
        <f aca="false">IF(COUNT(Soja!$E12:$Z12)=0,0,MAX(0,IF((AQ$6-$E$3)&lt;1,0,IFERROR(LOOKUP(2,1/(Soja!$E12:INDEX(Soja!$E12:$Z12,MIN(AQ$6-$E$3,22))&lt;&gt;""),Soja!$E12:INDEX(Soja!$E12:$Z12,MIN(AQ$6-$E$3,22))),0))-IF($G$2,0,IF((AQ$6-$G$3)&lt;1,0,IFERROR(LOOKUP(2,1/(Soja!$E12:INDEX(Soja!$E12:$Z12,MIN(AQ$6-$G$3,22))&lt;&gt;""),Soja!$E12:INDEX(Soja!$E12:$Z12,MIN(AQ$6-$G$3,22))),0)))))</f>
        <v>0</v>
      </c>
      <c r="AR14" s="27" t="n">
        <f aca="false">IF(COUNT(Soja!$E12:$Z12)=0,0,MAX(0,IF((AR$6-$E$3)&lt;1,0,IFERROR(LOOKUP(2,1/(Soja!$E12:INDEX(Soja!$E12:$Z12,MIN(AR$6-$E$3,22))&lt;&gt;""),Soja!$E12:INDEX(Soja!$E12:$Z12,MIN(AR$6-$E$3,22))),0))-IF($G$2,0,IF((AR$6-$G$3)&lt;1,0,IFERROR(LOOKUP(2,1/(Soja!$E12:INDEX(Soja!$E12:$Z12,MIN(AR$6-$G$3,22))&lt;&gt;""),Soja!$E12:INDEX(Soja!$E12:$Z12,MIN(AR$6-$G$3,22))),0)))))</f>
        <v>0</v>
      </c>
      <c r="AS14" s="27" t="n">
        <f aca="false">IF(COUNT(Soja!$E12:$Z12)=0,0,MAX(0,IF((AS$6-$E$3)&lt;1,0,IFERROR(LOOKUP(2,1/(Soja!$E12:INDEX(Soja!$E12:$Z12,MIN(AS$6-$E$3,22))&lt;&gt;""),Soja!$E12:INDEX(Soja!$E12:$Z12,MIN(AS$6-$E$3,22))),0))-IF($G$2,0,IF((AS$6-$G$3)&lt;1,0,IFERROR(LOOKUP(2,1/(Soja!$E12:INDEX(Soja!$E12:$Z12,MIN(AS$6-$G$3,22))&lt;&gt;""),Soja!$E12:INDEX(Soja!$E12:$Z12,MIN(AS$6-$G$3,22))),0)))))</f>
        <v>0</v>
      </c>
      <c r="AT14" s="27" t="n">
        <f aca="false">IF(COUNT(Soja!$E12:$Z12)=0,0,MAX(0,IF((AT$6-$E$3)&lt;1,0,IFERROR(LOOKUP(2,1/(Soja!$E12:INDEX(Soja!$E12:$Z12,MIN(AT$6-$E$3,22))&lt;&gt;""),Soja!$E12:INDEX(Soja!$E12:$Z12,MIN(AT$6-$E$3,22))),0))-IF($G$2,0,IF((AT$6-$G$3)&lt;1,0,IFERROR(LOOKUP(2,1/(Soja!$E12:INDEX(Soja!$E12:$Z12,MIN(AT$6-$G$3,22))&lt;&gt;""),Soja!$E12:INDEX(Soja!$E12:$Z12,MIN(AT$6-$G$3,22))),0)))))</f>
        <v>0</v>
      </c>
      <c r="AU14" s="27" t="n">
        <f aca="false">IF(COUNT(Soja!$E12:$Z12)=0,0,MAX(0,IF((AU$6-$E$3)&lt;1,0,IFERROR(LOOKUP(2,1/(Soja!$E12:INDEX(Soja!$E12:$Z12,MIN(AU$6-$E$3,22))&lt;&gt;""),Soja!$E12:INDEX(Soja!$E12:$Z12,MIN(AU$6-$E$3,22))),0))-IF($G$2,0,IF((AU$6-$G$3)&lt;1,0,IFERROR(LOOKUP(2,1/(Soja!$E12:INDEX(Soja!$E12:$Z12,MIN(AU$6-$G$3,22))&lt;&gt;""),Soja!$E12:INDEX(Soja!$E12:$Z12,MIN(AU$6-$G$3,22))),0)))))</f>
        <v>0</v>
      </c>
      <c r="AV14" s="27" t="n">
        <f aca="false">IF(COUNT(Soja!$E12:$Z12)=0,0,MAX(0,IF((AV$6-$E$3)&lt;1,0,IFERROR(LOOKUP(2,1/(Soja!$E12:INDEX(Soja!$E12:$Z12,MIN(AV$6-$E$3,22))&lt;&gt;""),Soja!$E12:INDEX(Soja!$E12:$Z12,MIN(AV$6-$E$3,22))),0))-IF($G$2,0,IF((AV$6-$G$3)&lt;1,0,IFERROR(LOOKUP(2,1/(Soja!$E12:INDEX(Soja!$E12:$Z12,MIN(AV$6-$G$3,22))&lt;&gt;""),Soja!$E12:INDEX(Soja!$E12:$Z12,MIN(AV$6-$G$3,22))),0)))))</f>
        <v>0</v>
      </c>
      <c r="AW14" s="27" t="n">
        <f aca="false">IF(COUNT(Soja!$E12:$Z12)=0,0,MAX(0,IF((AW$6-$E$3)&lt;1,0,IFERROR(LOOKUP(2,1/(Soja!$E12:INDEX(Soja!$E12:$Z12,MIN(AW$6-$E$3,22))&lt;&gt;""),Soja!$E12:INDEX(Soja!$E12:$Z12,MIN(AW$6-$E$3,22))),0))-IF($G$2,0,IF((AW$6-$G$3)&lt;1,0,IFERROR(LOOKUP(2,1/(Soja!$E12:INDEX(Soja!$E12:$Z12,MIN(AW$6-$G$3,22))&lt;&gt;""),Soja!$E12:INDEX(Soja!$E12:$Z12,MIN(AW$6-$G$3,22))),0)))))</f>
        <v>0</v>
      </c>
      <c r="AX14" s="27" t="n">
        <f aca="false">IF(COUNT(Soja!$E12:$Z12)=0,0,MAX(0,IF((AX$6-$E$3)&lt;1,0,IFERROR(LOOKUP(2,1/(Soja!$E12:INDEX(Soja!$E12:$Z12,MIN(AX$6-$E$3,22))&lt;&gt;""),Soja!$E12:INDEX(Soja!$E12:$Z12,MIN(AX$6-$E$3,22))),0))-IF($G$2,0,IF((AX$6-$G$3)&lt;1,0,IFERROR(LOOKUP(2,1/(Soja!$E12:INDEX(Soja!$E12:$Z12,MIN(AX$6-$G$3,22))&lt;&gt;""),Soja!$E12:INDEX(Soja!$E12:$Z12,MIN(AX$6-$G$3,22))),0)))))</f>
        <v>0</v>
      </c>
      <c r="AY14" s="27" t="n">
        <f aca="false">IF(COUNT(Soja!$E12:$Z12)=0,0,MAX(0,IF((AY$6-$E$3)&lt;1,0,IFERROR(LOOKUP(2,1/(Soja!$E12:INDEX(Soja!$E12:$Z12,MIN(AY$6-$E$3,22))&lt;&gt;""),Soja!$E12:INDEX(Soja!$E12:$Z12,MIN(AY$6-$E$3,22))),0))-IF($G$2,0,IF((AY$6-$G$3)&lt;1,0,IFERROR(LOOKUP(2,1/(Soja!$E12:INDEX(Soja!$E12:$Z12,MIN(AY$6-$G$3,22))&lt;&gt;""),Soja!$E12:INDEX(Soja!$E12:$Z12,MIN(AY$6-$G$3,22))),0)))))</f>
        <v>0</v>
      </c>
      <c r="AZ14" s="27" t="n">
        <f aca="false">IF(COUNT(Soja!$E12:$Z12)=0,0,MAX(0,IF((AZ$6-$E$3)&lt;1,0,IFERROR(LOOKUP(2,1/(Soja!$E12:INDEX(Soja!$E12:$Z12,MIN(AZ$6-$E$3,22))&lt;&gt;""),Soja!$E12:INDEX(Soja!$E12:$Z12,MIN(AZ$6-$E$3,22))),0))-IF($G$2,0,IF((AZ$6-$G$3)&lt;1,0,IFERROR(LOOKUP(2,1/(Soja!$E12:INDEX(Soja!$E12:$Z12,MIN(AZ$6-$G$3,22))&lt;&gt;""),Soja!$E12:INDEX(Soja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IF(COUNT(Soja!$E13:$Z13)&gt;0,N(Soja!$D13),0)</f>
        <v>0</v>
      </c>
      <c r="E15" s="27" t="n">
        <f aca="false">IF(COUNT(Soja!$E13:$Z13)=0,0,MAX(0,IF((E$6-$E$3)&lt;1,0,IFERROR(LOOKUP(2,1/(Soja!$E13:INDEX(Soja!$E13:$Z13,MIN(E$6-$E$3,22))&lt;&gt;""),Soja!$E13:INDEX(Soja!$E13:$Z13,MIN(E$6-$E$3,22))),0))-IF($G$2,0,IF((E$6-$G$3)&lt;1,0,IFERROR(LOOKUP(2,1/(Soja!$E13:INDEX(Soja!$E13:$Z13,MIN(E$6-$G$3,22))&lt;&gt;""),Soja!$E13:INDEX(Soja!$E13:$Z13,MIN(E$6-$G$3,22))),0)))))</f>
        <v>0</v>
      </c>
      <c r="F15" s="27" t="n">
        <f aca="false">IF(COUNT(Soja!$E13:$Z13)=0,0,MAX(0,IF((F$6-$E$3)&lt;1,0,IFERROR(LOOKUP(2,1/(Soja!$E13:INDEX(Soja!$E13:$Z13,MIN(F$6-$E$3,22))&lt;&gt;""),Soja!$E13:INDEX(Soja!$E13:$Z13,MIN(F$6-$E$3,22))),0))-IF($G$2,0,IF((F$6-$G$3)&lt;1,0,IFERROR(LOOKUP(2,1/(Soja!$E13:INDEX(Soja!$E13:$Z13,MIN(F$6-$G$3,22))&lt;&gt;""),Soja!$E13:INDEX(Soja!$E13:$Z13,MIN(F$6-$G$3,22))),0)))))</f>
        <v>0</v>
      </c>
      <c r="G15" s="27" t="n">
        <f aca="false">IF(COUNT(Soja!$E13:$Z13)=0,0,MAX(0,IF((G$6-$E$3)&lt;1,0,IFERROR(LOOKUP(2,1/(Soja!$E13:INDEX(Soja!$E13:$Z13,MIN(G$6-$E$3,22))&lt;&gt;""),Soja!$E13:INDEX(Soja!$E13:$Z13,MIN(G$6-$E$3,22))),0))-IF($G$2,0,IF((G$6-$G$3)&lt;1,0,IFERROR(LOOKUP(2,1/(Soja!$E13:INDEX(Soja!$E13:$Z13,MIN(G$6-$G$3,22))&lt;&gt;""),Soja!$E13:INDEX(Soja!$E13:$Z13,MIN(G$6-$G$3,22))),0)))))</f>
        <v>0</v>
      </c>
      <c r="H15" s="27" t="n">
        <f aca="false">IF(COUNT(Soja!$E13:$Z13)=0,0,MAX(0,IF((H$6-$E$3)&lt;1,0,IFERROR(LOOKUP(2,1/(Soja!$E13:INDEX(Soja!$E13:$Z13,MIN(H$6-$E$3,22))&lt;&gt;""),Soja!$E13:INDEX(Soja!$E13:$Z13,MIN(H$6-$E$3,22))),0))-IF($G$2,0,IF((H$6-$G$3)&lt;1,0,IFERROR(LOOKUP(2,1/(Soja!$E13:INDEX(Soja!$E13:$Z13,MIN(H$6-$G$3,22))&lt;&gt;""),Soja!$E13:INDEX(Soja!$E13:$Z13,MIN(H$6-$G$3,22))),0)))))</f>
        <v>0</v>
      </c>
      <c r="I15" s="27" t="n">
        <f aca="false">IF(COUNT(Soja!$E13:$Z13)=0,0,MAX(0,IF((I$6-$E$3)&lt;1,0,IFERROR(LOOKUP(2,1/(Soja!$E13:INDEX(Soja!$E13:$Z13,MIN(I$6-$E$3,22))&lt;&gt;""),Soja!$E13:INDEX(Soja!$E13:$Z13,MIN(I$6-$E$3,22))),0))-IF($G$2,0,IF((I$6-$G$3)&lt;1,0,IFERROR(LOOKUP(2,1/(Soja!$E13:INDEX(Soja!$E13:$Z13,MIN(I$6-$G$3,22))&lt;&gt;""),Soja!$E13:INDEX(Soja!$E13:$Z13,MIN(I$6-$G$3,22))),0)))))</f>
        <v>0</v>
      </c>
      <c r="J15" s="27" t="n">
        <f aca="false">IF(COUNT(Soja!$E13:$Z13)=0,0,MAX(0,IF((J$6-$E$3)&lt;1,0,IFERROR(LOOKUP(2,1/(Soja!$E13:INDEX(Soja!$E13:$Z13,MIN(J$6-$E$3,22))&lt;&gt;""),Soja!$E13:INDEX(Soja!$E13:$Z13,MIN(J$6-$E$3,22))),0))-IF($G$2,0,IF((J$6-$G$3)&lt;1,0,IFERROR(LOOKUP(2,1/(Soja!$E13:INDEX(Soja!$E13:$Z13,MIN(J$6-$G$3,22))&lt;&gt;""),Soja!$E13:INDEX(Soja!$E13:$Z13,MIN(J$6-$G$3,22))),0)))))</f>
        <v>0</v>
      </c>
      <c r="K15" s="27" t="n">
        <f aca="false">IF(COUNT(Soja!$E13:$Z13)=0,0,MAX(0,IF((K$6-$E$3)&lt;1,0,IFERROR(LOOKUP(2,1/(Soja!$E13:INDEX(Soja!$E13:$Z13,MIN(K$6-$E$3,22))&lt;&gt;""),Soja!$E13:INDEX(Soja!$E13:$Z13,MIN(K$6-$E$3,22))),0))-IF($G$2,0,IF((K$6-$G$3)&lt;1,0,IFERROR(LOOKUP(2,1/(Soja!$E13:INDEX(Soja!$E13:$Z13,MIN(K$6-$G$3,22))&lt;&gt;""),Soja!$E13:INDEX(Soja!$E13:$Z13,MIN(K$6-$G$3,22))),0)))))</f>
        <v>0</v>
      </c>
      <c r="L15" s="27" t="n">
        <f aca="false">IF(COUNT(Soja!$E13:$Z13)=0,0,MAX(0,IF((L$6-$E$3)&lt;1,0,IFERROR(LOOKUP(2,1/(Soja!$E13:INDEX(Soja!$E13:$Z13,MIN(L$6-$E$3,22))&lt;&gt;""),Soja!$E13:INDEX(Soja!$E13:$Z13,MIN(L$6-$E$3,22))),0))-IF($G$2,0,IF((L$6-$G$3)&lt;1,0,IFERROR(LOOKUP(2,1/(Soja!$E13:INDEX(Soja!$E13:$Z13,MIN(L$6-$G$3,22))&lt;&gt;""),Soja!$E13:INDEX(Soja!$E13:$Z13,MIN(L$6-$G$3,22))),0)))))</f>
        <v>0</v>
      </c>
      <c r="M15" s="27" t="n">
        <f aca="false">IF(COUNT(Soja!$E13:$Z13)=0,0,MAX(0,IF((M$6-$E$3)&lt;1,0,IFERROR(LOOKUP(2,1/(Soja!$E13:INDEX(Soja!$E13:$Z13,MIN(M$6-$E$3,22))&lt;&gt;""),Soja!$E13:INDEX(Soja!$E13:$Z13,MIN(M$6-$E$3,22))),0))-IF($G$2,0,IF((M$6-$G$3)&lt;1,0,IFERROR(LOOKUP(2,1/(Soja!$E13:INDEX(Soja!$E13:$Z13,MIN(M$6-$G$3,22))&lt;&gt;""),Soja!$E13:INDEX(Soja!$E13:$Z13,MIN(M$6-$G$3,22))),0)))))</f>
        <v>0</v>
      </c>
      <c r="N15" s="27" t="n">
        <f aca="false">IF(COUNT(Soja!$E13:$Z13)=0,0,MAX(0,IF((N$6-$E$3)&lt;1,0,IFERROR(LOOKUP(2,1/(Soja!$E13:INDEX(Soja!$E13:$Z13,MIN(N$6-$E$3,22))&lt;&gt;""),Soja!$E13:INDEX(Soja!$E13:$Z13,MIN(N$6-$E$3,22))),0))-IF($G$2,0,IF((N$6-$G$3)&lt;1,0,IFERROR(LOOKUP(2,1/(Soja!$E13:INDEX(Soja!$E13:$Z13,MIN(N$6-$G$3,22))&lt;&gt;""),Soja!$E13:INDEX(Soja!$E13:$Z13,MIN(N$6-$G$3,22))),0)))))</f>
        <v>0</v>
      </c>
      <c r="O15" s="27" t="n">
        <f aca="false">IF(COUNT(Soja!$E13:$Z13)=0,0,MAX(0,IF((O$6-$E$3)&lt;1,0,IFERROR(LOOKUP(2,1/(Soja!$E13:INDEX(Soja!$E13:$Z13,MIN(O$6-$E$3,22))&lt;&gt;""),Soja!$E13:INDEX(Soja!$E13:$Z13,MIN(O$6-$E$3,22))),0))-IF($G$2,0,IF((O$6-$G$3)&lt;1,0,IFERROR(LOOKUP(2,1/(Soja!$E13:INDEX(Soja!$E13:$Z13,MIN(O$6-$G$3,22))&lt;&gt;""),Soja!$E13:INDEX(Soja!$E13:$Z13,MIN(O$6-$G$3,22))),0)))))</f>
        <v>0</v>
      </c>
      <c r="P15" s="27" t="n">
        <f aca="false">IF(COUNT(Soja!$E13:$Z13)=0,0,MAX(0,IF((P$6-$E$3)&lt;1,0,IFERROR(LOOKUP(2,1/(Soja!$E13:INDEX(Soja!$E13:$Z13,MIN(P$6-$E$3,22))&lt;&gt;""),Soja!$E13:INDEX(Soja!$E13:$Z13,MIN(P$6-$E$3,22))),0))-IF($G$2,0,IF((P$6-$G$3)&lt;1,0,IFERROR(LOOKUP(2,1/(Soja!$E13:INDEX(Soja!$E13:$Z13,MIN(P$6-$G$3,22))&lt;&gt;""),Soja!$E13:INDEX(Soja!$E13:$Z13,MIN(P$6-$G$3,22))),0)))))</f>
        <v>0</v>
      </c>
      <c r="Q15" s="27" t="n">
        <f aca="false">IF(COUNT(Soja!$E13:$Z13)=0,0,MAX(0,IF((Q$6-$E$3)&lt;1,0,IFERROR(LOOKUP(2,1/(Soja!$E13:INDEX(Soja!$E13:$Z13,MIN(Q$6-$E$3,22))&lt;&gt;""),Soja!$E13:INDEX(Soja!$E13:$Z13,MIN(Q$6-$E$3,22))),0))-IF($G$2,0,IF((Q$6-$G$3)&lt;1,0,IFERROR(LOOKUP(2,1/(Soja!$E13:INDEX(Soja!$E13:$Z13,MIN(Q$6-$G$3,22))&lt;&gt;""),Soja!$E13:INDEX(Soja!$E13:$Z13,MIN(Q$6-$G$3,22))),0)))))</f>
        <v>0</v>
      </c>
      <c r="R15" s="27" t="n">
        <f aca="false">IF(COUNT(Soja!$E13:$Z13)=0,0,MAX(0,IF((R$6-$E$3)&lt;1,0,IFERROR(LOOKUP(2,1/(Soja!$E13:INDEX(Soja!$E13:$Z13,MIN(R$6-$E$3,22))&lt;&gt;""),Soja!$E13:INDEX(Soja!$E13:$Z13,MIN(R$6-$E$3,22))),0))-IF($G$2,0,IF((R$6-$G$3)&lt;1,0,IFERROR(LOOKUP(2,1/(Soja!$E13:INDEX(Soja!$E13:$Z13,MIN(R$6-$G$3,22))&lt;&gt;""),Soja!$E13:INDEX(Soja!$E13:$Z13,MIN(R$6-$G$3,22))),0)))))</f>
        <v>0</v>
      </c>
      <c r="S15" s="27" t="n">
        <f aca="false">IF(COUNT(Soja!$E13:$Z13)=0,0,MAX(0,IF((S$6-$E$3)&lt;1,0,IFERROR(LOOKUP(2,1/(Soja!$E13:INDEX(Soja!$E13:$Z13,MIN(S$6-$E$3,22))&lt;&gt;""),Soja!$E13:INDEX(Soja!$E13:$Z13,MIN(S$6-$E$3,22))),0))-IF($G$2,0,IF((S$6-$G$3)&lt;1,0,IFERROR(LOOKUP(2,1/(Soja!$E13:INDEX(Soja!$E13:$Z13,MIN(S$6-$G$3,22))&lt;&gt;""),Soja!$E13:INDEX(Soja!$E13:$Z13,MIN(S$6-$G$3,22))),0)))))</f>
        <v>0</v>
      </c>
      <c r="T15" s="27" t="n">
        <f aca="false">IF(COUNT(Soja!$E13:$Z13)=0,0,MAX(0,IF((T$6-$E$3)&lt;1,0,IFERROR(LOOKUP(2,1/(Soja!$E13:INDEX(Soja!$E13:$Z13,MIN(T$6-$E$3,22))&lt;&gt;""),Soja!$E13:INDEX(Soja!$E13:$Z13,MIN(T$6-$E$3,22))),0))-IF($G$2,0,IF((T$6-$G$3)&lt;1,0,IFERROR(LOOKUP(2,1/(Soja!$E13:INDEX(Soja!$E13:$Z13,MIN(T$6-$G$3,22))&lt;&gt;""),Soja!$E13:INDEX(Soja!$E13:$Z13,MIN(T$6-$G$3,22))),0)))))</f>
        <v>0</v>
      </c>
      <c r="U15" s="27" t="n">
        <f aca="false">IF(COUNT(Soja!$E13:$Z13)=0,0,MAX(0,IF((U$6-$E$3)&lt;1,0,IFERROR(LOOKUP(2,1/(Soja!$E13:INDEX(Soja!$E13:$Z13,MIN(U$6-$E$3,22))&lt;&gt;""),Soja!$E13:INDEX(Soja!$E13:$Z13,MIN(U$6-$E$3,22))),0))-IF($G$2,0,IF((U$6-$G$3)&lt;1,0,IFERROR(LOOKUP(2,1/(Soja!$E13:INDEX(Soja!$E13:$Z13,MIN(U$6-$G$3,22))&lt;&gt;""),Soja!$E13:INDEX(Soja!$E13:$Z13,MIN(U$6-$G$3,22))),0)))))</f>
        <v>0</v>
      </c>
      <c r="V15" s="27" t="n">
        <f aca="false">IF(COUNT(Soja!$E13:$Z13)=0,0,MAX(0,IF((V$6-$E$3)&lt;1,0,IFERROR(LOOKUP(2,1/(Soja!$E13:INDEX(Soja!$E13:$Z13,MIN(V$6-$E$3,22))&lt;&gt;""),Soja!$E13:INDEX(Soja!$E13:$Z13,MIN(V$6-$E$3,22))),0))-IF($G$2,0,IF((V$6-$G$3)&lt;1,0,IFERROR(LOOKUP(2,1/(Soja!$E13:INDEX(Soja!$E13:$Z13,MIN(V$6-$G$3,22))&lt;&gt;""),Soja!$E13:INDEX(Soja!$E13:$Z13,MIN(V$6-$G$3,22))),0)))))</f>
        <v>0</v>
      </c>
      <c r="W15" s="27" t="n">
        <f aca="false">IF(COUNT(Soja!$E13:$Z13)=0,0,MAX(0,IF((W$6-$E$3)&lt;1,0,IFERROR(LOOKUP(2,1/(Soja!$E13:INDEX(Soja!$E13:$Z13,MIN(W$6-$E$3,22))&lt;&gt;""),Soja!$E13:INDEX(Soja!$E13:$Z13,MIN(W$6-$E$3,22))),0))-IF($G$2,0,IF((W$6-$G$3)&lt;1,0,IFERROR(LOOKUP(2,1/(Soja!$E13:INDEX(Soja!$E13:$Z13,MIN(W$6-$G$3,22))&lt;&gt;""),Soja!$E13:INDEX(Soja!$E13:$Z13,MIN(W$6-$G$3,22))),0)))))</f>
        <v>0</v>
      </c>
      <c r="X15" s="27" t="n">
        <f aca="false">IF(COUNT(Soja!$E13:$Z13)=0,0,MAX(0,IF((X$6-$E$3)&lt;1,0,IFERROR(LOOKUP(2,1/(Soja!$E13:INDEX(Soja!$E13:$Z13,MIN(X$6-$E$3,22))&lt;&gt;""),Soja!$E13:INDEX(Soja!$E13:$Z13,MIN(X$6-$E$3,22))),0))-IF($G$2,0,IF((X$6-$G$3)&lt;1,0,IFERROR(LOOKUP(2,1/(Soja!$E13:INDEX(Soja!$E13:$Z13,MIN(X$6-$G$3,22))&lt;&gt;""),Soja!$E13:INDEX(Soja!$E13:$Z13,MIN(X$6-$G$3,22))),0)))))</f>
        <v>0</v>
      </c>
      <c r="Y15" s="27" t="n">
        <f aca="false">IF(COUNT(Soja!$E13:$Z13)=0,0,MAX(0,IF((Y$6-$E$3)&lt;1,0,IFERROR(LOOKUP(2,1/(Soja!$E13:INDEX(Soja!$E13:$Z13,MIN(Y$6-$E$3,22))&lt;&gt;""),Soja!$E13:INDEX(Soja!$E13:$Z13,MIN(Y$6-$E$3,22))),0))-IF($G$2,0,IF((Y$6-$G$3)&lt;1,0,IFERROR(LOOKUP(2,1/(Soja!$E13:INDEX(Soja!$E13:$Z13,MIN(Y$6-$G$3,22))&lt;&gt;""),Soja!$E13:INDEX(Soja!$E13:$Z13,MIN(Y$6-$G$3,22))),0)))))</f>
        <v>0</v>
      </c>
      <c r="Z15" s="27" t="n">
        <f aca="false">IF(COUNT(Soja!$E13:$Z13)=0,0,MAX(0,IF((Z$6-$E$3)&lt;1,0,IFERROR(LOOKUP(2,1/(Soja!$E13:INDEX(Soja!$E13:$Z13,MIN(Z$6-$E$3,22))&lt;&gt;""),Soja!$E13:INDEX(Soja!$E13:$Z13,MIN(Z$6-$E$3,22))),0))-IF($G$2,0,IF((Z$6-$G$3)&lt;1,0,IFERROR(LOOKUP(2,1/(Soja!$E13:INDEX(Soja!$E13:$Z13,MIN(Z$6-$G$3,22))&lt;&gt;""),Soja!$E13:INDEX(Soja!$E13:$Z13,MIN(Z$6-$G$3,22))),0)))))</f>
        <v>0</v>
      </c>
      <c r="AA15" s="27" t="n">
        <f aca="false">IF(COUNT(Soja!$E13:$Z13)=0,0,MAX(0,IF((AA$6-$E$3)&lt;1,0,IFERROR(LOOKUP(2,1/(Soja!$E13:INDEX(Soja!$E13:$Z13,MIN(AA$6-$E$3,22))&lt;&gt;""),Soja!$E13:INDEX(Soja!$E13:$Z13,MIN(AA$6-$E$3,22))),0))-IF($G$2,0,IF((AA$6-$G$3)&lt;1,0,IFERROR(LOOKUP(2,1/(Soja!$E13:INDEX(Soja!$E13:$Z13,MIN(AA$6-$G$3,22))&lt;&gt;""),Soja!$E13:INDEX(Soja!$E13:$Z13,MIN(AA$6-$G$3,22))),0)))))</f>
        <v>0</v>
      </c>
      <c r="AB15" s="27" t="n">
        <f aca="false">IF(COUNT(Soja!$E13:$Z13)=0,0,MAX(0,IF((AB$6-$E$3)&lt;1,0,IFERROR(LOOKUP(2,1/(Soja!$E13:INDEX(Soja!$E13:$Z13,MIN(AB$6-$E$3,22))&lt;&gt;""),Soja!$E13:INDEX(Soja!$E13:$Z13,MIN(AB$6-$E$3,22))),0))-IF($G$2,0,IF((AB$6-$G$3)&lt;1,0,IFERROR(LOOKUP(2,1/(Soja!$E13:INDEX(Soja!$E13:$Z13,MIN(AB$6-$G$3,22))&lt;&gt;""),Soja!$E13:INDEX(Soja!$E13:$Z13,MIN(AB$6-$G$3,22))),0)))))</f>
        <v>0</v>
      </c>
      <c r="AC15" s="27" t="n">
        <f aca="false">IF(COUNT(Soja!$E13:$Z13)=0,0,MAX(0,IF((AC$6-$E$3)&lt;1,0,IFERROR(LOOKUP(2,1/(Soja!$E13:INDEX(Soja!$E13:$Z13,MIN(AC$6-$E$3,22))&lt;&gt;""),Soja!$E13:INDEX(Soja!$E13:$Z13,MIN(AC$6-$E$3,22))),0))-IF($G$2,0,IF((AC$6-$G$3)&lt;1,0,IFERROR(LOOKUP(2,1/(Soja!$E13:INDEX(Soja!$E13:$Z13,MIN(AC$6-$G$3,22))&lt;&gt;""),Soja!$E13:INDEX(Soja!$E13:$Z13,MIN(AC$6-$G$3,22))),0)))))</f>
        <v>0</v>
      </c>
      <c r="AD15" s="27" t="n">
        <f aca="false">IF(COUNT(Soja!$E13:$Z13)=0,0,MAX(0,IF((AD$6-$E$3)&lt;1,0,IFERROR(LOOKUP(2,1/(Soja!$E13:INDEX(Soja!$E13:$Z13,MIN(AD$6-$E$3,22))&lt;&gt;""),Soja!$E13:INDEX(Soja!$E13:$Z13,MIN(AD$6-$E$3,22))),0))-IF($G$2,0,IF((AD$6-$G$3)&lt;1,0,IFERROR(LOOKUP(2,1/(Soja!$E13:INDEX(Soja!$E13:$Z13,MIN(AD$6-$G$3,22))&lt;&gt;""),Soja!$E13:INDEX(Soja!$E13:$Z13,MIN(AD$6-$G$3,22))),0)))))</f>
        <v>0</v>
      </c>
      <c r="AE15" s="27" t="n">
        <f aca="false">IF(COUNT(Soja!$E13:$Z13)=0,0,MAX(0,IF((AE$6-$E$3)&lt;1,0,IFERROR(LOOKUP(2,1/(Soja!$E13:INDEX(Soja!$E13:$Z13,MIN(AE$6-$E$3,22))&lt;&gt;""),Soja!$E13:INDEX(Soja!$E13:$Z13,MIN(AE$6-$E$3,22))),0))-IF($G$2,0,IF((AE$6-$G$3)&lt;1,0,IFERROR(LOOKUP(2,1/(Soja!$E13:INDEX(Soja!$E13:$Z13,MIN(AE$6-$G$3,22))&lt;&gt;""),Soja!$E13:INDEX(Soja!$E13:$Z13,MIN(AE$6-$G$3,22))),0)))))</f>
        <v>0</v>
      </c>
      <c r="AF15" s="27" t="n">
        <f aca="false">IF(COUNT(Soja!$E13:$Z13)=0,0,MAX(0,IF((AF$6-$E$3)&lt;1,0,IFERROR(LOOKUP(2,1/(Soja!$E13:INDEX(Soja!$E13:$Z13,MIN(AF$6-$E$3,22))&lt;&gt;""),Soja!$E13:INDEX(Soja!$E13:$Z13,MIN(AF$6-$E$3,22))),0))-IF($G$2,0,IF((AF$6-$G$3)&lt;1,0,IFERROR(LOOKUP(2,1/(Soja!$E13:INDEX(Soja!$E13:$Z13,MIN(AF$6-$G$3,22))&lt;&gt;""),Soja!$E13:INDEX(Soja!$E13:$Z13,MIN(AF$6-$G$3,22))),0)))))</f>
        <v>0</v>
      </c>
      <c r="AG15" s="27" t="n">
        <f aca="false">IF(COUNT(Soja!$E13:$Z13)=0,0,MAX(0,IF((AG$6-$E$3)&lt;1,0,IFERROR(LOOKUP(2,1/(Soja!$E13:INDEX(Soja!$E13:$Z13,MIN(AG$6-$E$3,22))&lt;&gt;""),Soja!$E13:INDEX(Soja!$E13:$Z13,MIN(AG$6-$E$3,22))),0))-IF($G$2,0,IF((AG$6-$G$3)&lt;1,0,IFERROR(LOOKUP(2,1/(Soja!$E13:INDEX(Soja!$E13:$Z13,MIN(AG$6-$G$3,22))&lt;&gt;""),Soja!$E13:INDEX(Soja!$E13:$Z13,MIN(AG$6-$G$3,22))),0)))))</f>
        <v>0</v>
      </c>
      <c r="AH15" s="27" t="n">
        <f aca="false">IF(COUNT(Soja!$E13:$Z13)=0,0,MAX(0,IF((AH$6-$E$3)&lt;1,0,IFERROR(LOOKUP(2,1/(Soja!$E13:INDEX(Soja!$E13:$Z13,MIN(AH$6-$E$3,22))&lt;&gt;""),Soja!$E13:INDEX(Soja!$E13:$Z13,MIN(AH$6-$E$3,22))),0))-IF($G$2,0,IF((AH$6-$G$3)&lt;1,0,IFERROR(LOOKUP(2,1/(Soja!$E13:INDEX(Soja!$E13:$Z13,MIN(AH$6-$G$3,22))&lt;&gt;""),Soja!$E13:INDEX(Soja!$E13:$Z13,MIN(AH$6-$G$3,22))),0)))))</f>
        <v>0</v>
      </c>
      <c r="AI15" s="27" t="n">
        <f aca="false">IF(COUNT(Soja!$E13:$Z13)=0,0,MAX(0,IF((AI$6-$E$3)&lt;1,0,IFERROR(LOOKUP(2,1/(Soja!$E13:INDEX(Soja!$E13:$Z13,MIN(AI$6-$E$3,22))&lt;&gt;""),Soja!$E13:INDEX(Soja!$E13:$Z13,MIN(AI$6-$E$3,22))),0))-IF($G$2,0,IF((AI$6-$G$3)&lt;1,0,IFERROR(LOOKUP(2,1/(Soja!$E13:INDEX(Soja!$E13:$Z13,MIN(AI$6-$G$3,22))&lt;&gt;""),Soja!$E13:INDEX(Soja!$E13:$Z13,MIN(AI$6-$G$3,22))),0)))))</f>
        <v>0</v>
      </c>
      <c r="AJ15" s="27" t="n">
        <f aca="false">IF(COUNT(Soja!$E13:$Z13)=0,0,MAX(0,IF((AJ$6-$E$3)&lt;1,0,IFERROR(LOOKUP(2,1/(Soja!$E13:INDEX(Soja!$E13:$Z13,MIN(AJ$6-$E$3,22))&lt;&gt;""),Soja!$E13:INDEX(Soja!$E13:$Z13,MIN(AJ$6-$E$3,22))),0))-IF($G$2,0,IF((AJ$6-$G$3)&lt;1,0,IFERROR(LOOKUP(2,1/(Soja!$E13:INDEX(Soja!$E13:$Z13,MIN(AJ$6-$G$3,22))&lt;&gt;""),Soja!$E13:INDEX(Soja!$E13:$Z13,MIN(AJ$6-$G$3,22))),0)))))</f>
        <v>0</v>
      </c>
      <c r="AK15" s="27" t="n">
        <f aca="false">IF(COUNT(Soja!$E13:$Z13)=0,0,MAX(0,IF((AK$6-$E$3)&lt;1,0,IFERROR(LOOKUP(2,1/(Soja!$E13:INDEX(Soja!$E13:$Z13,MIN(AK$6-$E$3,22))&lt;&gt;""),Soja!$E13:INDEX(Soja!$E13:$Z13,MIN(AK$6-$E$3,22))),0))-IF($G$2,0,IF((AK$6-$G$3)&lt;1,0,IFERROR(LOOKUP(2,1/(Soja!$E13:INDEX(Soja!$E13:$Z13,MIN(AK$6-$G$3,22))&lt;&gt;""),Soja!$E13:INDEX(Soja!$E13:$Z13,MIN(AK$6-$G$3,22))),0)))))</f>
        <v>0</v>
      </c>
      <c r="AL15" s="27" t="n">
        <f aca="false">IF(COUNT(Soja!$E13:$Z13)=0,0,MAX(0,IF((AL$6-$E$3)&lt;1,0,IFERROR(LOOKUP(2,1/(Soja!$E13:INDEX(Soja!$E13:$Z13,MIN(AL$6-$E$3,22))&lt;&gt;""),Soja!$E13:INDEX(Soja!$E13:$Z13,MIN(AL$6-$E$3,22))),0))-IF($G$2,0,IF((AL$6-$G$3)&lt;1,0,IFERROR(LOOKUP(2,1/(Soja!$E13:INDEX(Soja!$E13:$Z13,MIN(AL$6-$G$3,22))&lt;&gt;""),Soja!$E13:INDEX(Soja!$E13:$Z13,MIN(AL$6-$G$3,22))),0)))))</f>
        <v>0</v>
      </c>
      <c r="AM15" s="27" t="n">
        <f aca="false">IF(COUNT(Soja!$E13:$Z13)=0,0,MAX(0,IF((AM$6-$E$3)&lt;1,0,IFERROR(LOOKUP(2,1/(Soja!$E13:INDEX(Soja!$E13:$Z13,MIN(AM$6-$E$3,22))&lt;&gt;""),Soja!$E13:INDEX(Soja!$E13:$Z13,MIN(AM$6-$E$3,22))),0))-IF($G$2,0,IF((AM$6-$G$3)&lt;1,0,IFERROR(LOOKUP(2,1/(Soja!$E13:INDEX(Soja!$E13:$Z13,MIN(AM$6-$G$3,22))&lt;&gt;""),Soja!$E13:INDEX(Soja!$E13:$Z13,MIN(AM$6-$G$3,22))),0)))))</f>
        <v>0</v>
      </c>
      <c r="AN15" s="27" t="n">
        <f aca="false">IF(COUNT(Soja!$E13:$Z13)=0,0,MAX(0,IF((AN$6-$E$3)&lt;1,0,IFERROR(LOOKUP(2,1/(Soja!$E13:INDEX(Soja!$E13:$Z13,MIN(AN$6-$E$3,22))&lt;&gt;""),Soja!$E13:INDEX(Soja!$E13:$Z13,MIN(AN$6-$E$3,22))),0))-IF($G$2,0,IF((AN$6-$G$3)&lt;1,0,IFERROR(LOOKUP(2,1/(Soja!$E13:INDEX(Soja!$E13:$Z13,MIN(AN$6-$G$3,22))&lt;&gt;""),Soja!$E13:INDEX(Soja!$E13:$Z13,MIN(AN$6-$G$3,22))),0)))))</f>
        <v>0</v>
      </c>
      <c r="AO15" s="27" t="n">
        <f aca="false">IF(COUNT(Soja!$E13:$Z13)=0,0,MAX(0,IF((AO$6-$E$3)&lt;1,0,IFERROR(LOOKUP(2,1/(Soja!$E13:INDEX(Soja!$E13:$Z13,MIN(AO$6-$E$3,22))&lt;&gt;""),Soja!$E13:INDEX(Soja!$E13:$Z13,MIN(AO$6-$E$3,22))),0))-IF($G$2,0,IF((AO$6-$G$3)&lt;1,0,IFERROR(LOOKUP(2,1/(Soja!$E13:INDEX(Soja!$E13:$Z13,MIN(AO$6-$G$3,22))&lt;&gt;""),Soja!$E13:INDEX(Soja!$E13:$Z13,MIN(AO$6-$G$3,22))),0)))))</f>
        <v>0</v>
      </c>
      <c r="AP15" s="27" t="n">
        <f aca="false">IF(COUNT(Soja!$E13:$Z13)=0,0,MAX(0,IF((AP$6-$E$3)&lt;1,0,IFERROR(LOOKUP(2,1/(Soja!$E13:INDEX(Soja!$E13:$Z13,MIN(AP$6-$E$3,22))&lt;&gt;""),Soja!$E13:INDEX(Soja!$E13:$Z13,MIN(AP$6-$E$3,22))),0))-IF($G$2,0,IF((AP$6-$G$3)&lt;1,0,IFERROR(LOOKUP(2,1/(Soja!$E13:INDEX(Soja!$E13:$Z13,MIN(AP$6-$G$3,22))&lt;&gt;""),Soja!$E13:INDEX(Soja!$E13:$Z13,MIN(AP$6-$G$3,22))),0)))))</f>
        <v>0</v>
      </c>
      <c r="AQ15" s="27" t="n">
        <f aca="false">IF(COUNT(Soja!$E13:$Z13)=0,0,MAX(0,IF((AQ$6-$E$3)&lt;1,0,IFERROR(LOOKUP(2,1/(Soja!$E13:INDEX(Soja!$E13:$Z13,MIN(AQ$6-$E$3,22))&lt;&gt;""),Soja!$E13:INDEX(Soja!$E13:$Z13,MIN(AQ$6-$E$3,22))),0))-IF($G$2,0,IF((AQ$6-$G$3)&lt;1,0,IFERROR(LOOKUP(2,1/(Soja!$E13:INDEX(Soja!$E13:$Z13,MIN(AQ$6-$G$3,22))&lt;&gt;""),Soja!$E13:INDEX(Soja!$E13:$Z13,MIN(AQ$6-$G$3,22))),0)))))</f>
        <v>0</v>
      </c>
      <c r="AR15" s="27" t="n">
        <f aca="false">IF(COUNT(Soja!$E13:$Z13)=0,0,MAX(0,IF((AR$6-$E$3)&lt;1,0,IFERROR(LOOKUP(2,1/(Soja!$E13:INDEX(Soja!$E13:$Z13,MIN(AR$6-$E$3,22))&lt;&gt;""),Soja!$E13:INDEX(Soja!$E13:$Z13,MIN(AR$6-$E$3,22))),0))-IF($G$2,0,IF((AR$6-$G$3)&lt;1,0,IFERROR(LOOKUP(2,1/(Soja!$E13:INDEX(Soja!$E13:$Z13,MIN(AR$6-$G$3,22))&lt;&gt;""),Soja!$E13:INDEX(Soja!$E13:$Z13,MIN(AR$6-$G$3,22))),0)))))</f>
        <v>0</v>
      </c>
      <c r="AS15" s="27" t="n">
        <f aca="false">IF(COUNT(Soja!$E13:$Z13)=0,0,MAX(0,IF((AS$6-$E$3)&lt;1,0,IFERROR(LOOKUP(2,1/(Soja!$E13:INDEX(Soja!$E13:$Z13,MIN(AS$6-$E$3,22))&lt;&gt;""),Soja!$E13:INDEX(Soja!$E13:$Z13,MIN(AS$6-$E$3,22))),0))-IF($G$2,0,IF((AS$6-$G$3)&lt;1,0,IFERROR(LOOKUP(2,1/(Soja!$E13:INDEX(Soja!$E13:$Z13,MIN(AS$6-$G$3,22))&lt;&gt;""),Soja!$E13:INDEX(Soja!$E13:$Z13,MIN(AS$6-$G$3,22))),0)))))</f>
        <v>0</v>
      </c>
      <c r="AT15" s="27" t="n">
        <f aca="false">IF(COUNT(Soja!$E13:$Z13)=0,0,MAX(0,IF((AT$6-$E$3)&lt;1,0,IFERROR(LOOKUP(2,1/(Soja!$E13:INDEX(Soja!$E13:$Z13,MIN(AT$6-$E$3,22))&lt;&gt;""),Soja!$E13:INDEX(Soja!$E13:$Z13,MIN(AT$6-$E$3,22))),0))-IF($G$2,0,IF((AT$6-$G$3)&lt;1,0,IFERROR(LOOKUP(2,1/(Soja!$E13:INDEX(Soja!$E13:$Z13,MIN(AT$6-$G$3,22))&lt;&gt;""),Soja!$E13:INDEX(Soja!$E13:$Z13,MIN(AT$6-$G$3,22))),0)))))</f>
        <v>0</v>
      </c>
      <c r="AU15" s="27" t="n">
        <f aca="false">IF(COUNT(Soja!$E13:$Z13)=0,0,MAX(0,IF((AU$6-$E$3)&lt;1,0,IFERROR(LOOKUP(2,1/(Soja!$E13:INDEX(Soja!$E13:$Z13,MIN(AU$6-$E$3,22))&lt;&gt;""),Soja!$E13:INDEX(Soja!$E13:$Z13,MIN(AU$6-$E$3,22))),0))-IF($G$2,0,IF((AU$6-$G$3)&lt;1,0,IFERROR(LOOKUP(2,1/(Soja!$E13:INDEX(Soja!$E13:$Z13,MIN(AU$6-$G$3,22))&lt;&gt;""),Soja!$E13:INDEX(Soja!$E13:$Z13,MIN(AU$6-$G$3,22))),0)))))</f>
        <v>0</v>
      </c>
      <c r="AV15" s="27" t="n">
        <f aca="false">IF(COUNT(Soja!$E13:$Z13)=0,0,MAX(0,IF((AV$6-$E$3)&lt;1,0,IFERROR(LOOKUP(2,1/(Soja!$E13:INDEX(Soja!$E13:$Z13,MIN(AV$6-$E$3,22))&lt;&gt;""),Soja!$E13:INDEX(Soja!$E13:$Z13,MIN(AV$6-$E$3,22))),0))-IF($G$2,0,IF((AV$6-$G$3)&lt;1,0,IFERROR(LOOKUP(2,1/(Soja!$E13:INDEX(Soja!$E13:$Z13,MIN(AV$6-$G$3,22))&lt;&gt;""),Soja!$E13:INDEX(Soja!$E13:$Z13,MIN(AV$6-$G$3,22))),0)))))</f>
        <v>0</v>
      </c>
      <c r="AW15" s="27" t="n">
        <f aca="false">IF(COUNT(Soja!$E13:$Z13)=0,0,MAX(0,IF((AW$6-$E$3)&lt;1,0,IFERROR(LOOKUP(2,1/(Soja!$E13:INDEX(Soja!$E13:$Z13,MIN(AW$6-$E$3,22))&lt;&gt;""),Soja!$E13:INDEX(Soja!$E13:$Z13,MIN(AW$6-$E$3,22))),0))-IF($G$2,0,IF((AW$6-$G$3)&lt;1,0,IFERROR(LOOKUP(2,1/(Soja!$E13:INDEX(Soja!$E13:$Z13,MIN(AW$6-$G$3,22))&lt;&gt;""),Soja!$E13:INDEX(Soja!$E13:$Z13,MIN(AW$6-$G$3,22))),0)))))</f>
        <v>0</v>
      </c>
      <c r="AX15" s="27" t="n">
        <f aca="false">IF(COUNT(Soja!$E13:$Z13)=0,0,MAX(0,IF((AX$6-$E$3)&lt;1,0,IFERROR(LOOKUP(2,1/(Soja!$E13:INDEX(Soja!$E13:$Z13,MIN(AX$6-$E$3,22))&lt;&gt;""),Soja!$E13:INDEX(Soja!$E13:$Z13,MIN(AX$6-$E$3,22))),0))-IF($G$2,0,IF((AX$6-$G$3)&lt;1,0,IFERROR(LOOKUP(2,1/(Soja!$E13:INDEX(Soja!$E13:$Z13,MIN(AX$6-$G$3,22))&lt;&gt;""),Soja!$E13:INDEX(Soja!$E13:$Z13,MIN(AX$6-$G$3,22))),0)))))</f>
        <v>0</v>
      </c>
      <c r="AY15" s="27" t="n">
        <f aca="false">IF(COUNT(Soja!$E13:$Z13)=0,0,MAX(0,IF((AY$6-$E$3)&lt;1,0,IFERROR(LOOKUP(2,1/(Soja!$E13:INDEX(Soja!$E13:$Z13,MIN(AY$6-$E$3,22))&lt;&gt;""),Soja!$E13:INDEX(Soja!$E13:$Z13,MIN(AY$6-$E$3,22))),0))-IF($G$2,0,IF((AY$6-$G$3)&lt;1,0,IFERROR(LOOKUP(2,1/(Soja!$E13:INDEX(Soja!$E13:$Z13,MIN(AY$6-$G$3,22))&lt;&gt;""),Soja!$E13:INDEX(Soja!$E13:$Z13,MIN(AY$6-$G$3,22))),0)))))</f>
        <v>0</v>
      </c>
      <c r="AZ15" s="27" t="n">
        <f aca="false">IF(COUNT(Soja!$E13:$Z13)=0,0,MAX(0,IF((AZ$6-$E$3)&lt;1,0,IFERROR(LOOKUP(2,1/(Soja!$E13:INDEX(Soja!$E13:$Z13,MIN(AZ$6-$E$3,22))&lt;&gt;""),Soja!$E13:INDEX(Soja!$E13:$Z13,MIN(AZ$6-$E$3,22))),0))-IF($G$2,0,IF((AZ$6-$G$3)&lt;1,0,IFERROR(LOOKUP(2,1/(Soja!$E13:INDEX(Soja!$E13:$Z13,MIN(AZ$6-$G$3,22))&lt;&gt;""),Soja!$E13:INDEX(Soja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IF(COUNT(Soja!$E14:$Z14)&gt;0,N(Soja!$D14),0)</f>
        <v>0</v>
      </c>
      <c r="E16" s="27" t="n">
        <f aca="false">IF(COUNT(Soja!$E14:$Z14)=0,0,MAX(0,IF((E$6-$E$3)&lt;1,0,IFERROR(LOOKUP(2,1/(Soja!$E14:INDEX(Soja!$E14:$Z14,MIN(E$6-$E$3,22))&lt;&gt;""),Soja!$E14:INDEX(Soja!$E14:$Z14,MIN(E$6-$E$3,22))),0))-IF($G$2,0,IF((E$6-$G$3)&lt;1,0,IFERROR(LOOKUP(2,1/(Soja!$E14:INDEX(Soja!$E14:$Z14,MIN(E$6-$G$3,22))&lt;&gt;""),Soja!$E14:INDEX(Soja!$E14:$Z14,MIN(E$6-$G$3,22))),0)))))</f>
        <v>0</v>
      </c>
      <c r="F16" s="27" t="n">
        <f aca="false">IF(COUNT(Soja!$E14:$Z14)=0,0,MAX(0,IF((F$6-$E$3)&lt;1,0,IFERROR(LOOKUP(2,1/(Soja!$E14:INDEX(Soja!$E14:$Z14,MIN(F$6-$E$3,22))&lt;&gt;""),Soja!$E14:INDEX(Soja!$E14:$Z14,MIN(F$6-$E$3,22))),0))-IF($G$2,0,IF((F$6-$G$3)&lt;1,0,IFERROR(LOOKUP(2,1/(Soja!$E14:INDEX(Soja!$E14:$Z14,MIN(F$6-$G$3,22))&lt;&gt;""),Soja!$E14:INDEX(Soja!$E14:$Z14,MIN(F$6-$G$3,22))),0)))))</f>
        <v>0</v>
      </c>
      <c r="G16" s="27" t="n">
        <f aca="false">IF(COUNT(Soja!$E14:$Z14)=0,0,MAX(0,IF((G$6-$E$3)&lt;1,0,IFERROR(LOOKUP(2,1/(Soja!$E14:INDEX(Soja!$E14:$Z14,MIN(G$6-$E$3,22))&lt;&gt;""),Soja!$E14:INDEX(Soja!$E14:$Z14,MIN(G$6-$E$3,22))),0))-IF($G$2,0,IF((G$6-$G$3)&lt;1,0,IFERROR(LOOKUP(2,1/(Soja!$E14:INDEX(Soja!$E14:$Z14,MIN(G$6-$G$3,22))&lt;&gt;""),Soja!$E14:INDEX(Soja!$E14:$Z14,MIN(G$6-$G$3,22))),0)))))</f>
        <v>0</v>
      </c>
      <c r="H16" s="27" t="n">
        <f aca="false">IF(COUNT(Soja!$E14:$Z14)=0,0,MAX(0,IF((H$6-$E$3)&lt;1,0,IFERROR(LOOKUP(2,1/(Soja!$E14:INDEX(Soja!$E14:$Z14,MIN(H$6-$E$3,22))&lt;&gt;""),Soja!$E14:INDEX(Soja!$E14:$Z14,MIN(H$6-$E$3,22))),0))-IF($G$2,0,IF((H$6-$G$3)&lt;1,0,IFERROR(LOOKUP(2,1/(Soja!$E14:INDEX(Soja!$E14:$Z14,MIN(H$6-$G$3,22))&lt;&gt;""),Soja!$E14:INDEX(Soja!$E14:$Z14,MIN(H$6-$G$3,22))),0)))))</f>
        <v>0</v>
      </c>
      <c r="I16" s="27" t="n">
        <f aca="false">IF(COUNT(Soja!$E14:$Z14)=0,0,MAX(0,IF((I$6-$E$3)&lt;1,0,IFERROR(LOOKUP(2,1/(Soja!$E14:INDEX(Soja!$E14:$Z14,MIN(I$6-$E$3,22))&lt;&gt;""),Soja!$E14:INDEX(Soja!$E14:$Z14,MIN(I$6-$E$3,22))),0))-IF($G$2,0,IF((I$6-$G$3)&lt;1,0,IFERROR(LOOKUP(2,1/(Soja!$E14:INDEX(Soja!$E14:$Z14,MIN(I$6-$G$3,22))&lt;&gt;""),Soja!$E14:INDEX(Soja!$E14:$Z14,MIN(I$6-$G$3,22))),0)))))</f>
        <v>0</v>
      </c>
      <c r="J16" s="27" t="n">
        <f aca="false">IF(COUNT(Soja!$E14:$Z14)=0,0,MAX(0,IF((J$6-$E$3)&lt;1,0,IFERROR(LOOKUP(2,1/(Soja!$E14:INDEX(Soja!$E14:$Z14,MIN(J$6-$E$3,22))&lt;&gt;""),Soja!$E14:INDEX(Soja!$E14:$Z14,MIN(J$6-$E$3,22))),0))-IF($G$2,0,IF((J$6-$G$3)&lt;1,0,IFERROR(LOOKUP(2,1/(Soja!$E14:INDEX(Soja!$E14:$Z14,MIN(J$6-$G$3,22))&lt;&gt;""),Soja!$E14:INDEX(Soja!$E14:$Z14,MIN(J$6-$G$3,22))),0)))))</f>
        <v>0</v>
      </c>
      <c r="K16" s="27" t="n">
        <f aca="false">IF(COUNT(Soja!$E14:$Z14)=0,0,MAX(0,IF((K$6-$E$3)&lt;1,0,IFERROR(LOOKUP(2,1/(Soja!$E14:INDEX(Soja!$E14:$Z14,MIN(K$6-$E$3,22))&lt;&gt;""),Soja!$E14:INDEX(Soja!$E14:$Z14,MIN(K$6-$E$3,22))),0))-IF($G$2,0,IF((K$6-$G$3)&lt;1,0,IFERROR(LOOKUP(2,1/(Soja!$E14:INDEX(Soja!$E14:$Z14,MIN(K$6-$G$3,22))&lt;&gt;""),Soja!$E14:INDEX(Soja!$E14:$Z14,MIN(K$6-$G$3,22))),0)))))</f>
        <v>0</v>
      </c>
      <c r="L16" s="27" t="n">
        <f aca="false">IF(COUNT(Soja!$E14:$Z14)=0,0,MAX(0,IF((L$6-$E$3)&lt;1,0,IFERROR(LOOKUP(2,1/(Soja!$E14:INDEX(Soja!$E14:$Z14,MIN(L$6-$E$3,22))&lt;&gt;""),Soja!$E14:INDEX(Soja!$E14:$Z14,MIN(L$6-$E$3,22))),0))-IF($G$2,0,IF((L$6-$G$3)&lt;1,0,IFERROR(LOOKUP(2,1/(Soja!$E14:INDEX(Soja!$E14:$Z14,MIN(L$6-$G$3,22))&lt;&gt;""),Soja!$E14:INDEX(Soja!$E14:$Z14,MIN(L$6-$G$3,22))),0)))))</f>
        <v>0</v>
      </c>
      <c r="M16" s="27" t="n">
        <f aca="false">IF(COUNT(Soja!$E14:$Z14)=0,0,MAX(0,IF((M$6-$E$3)&lt;1,0,IFERROR(LOOKUP(2,1/(Soja!$E14:INDEX(Soja!$E14:$Z14,MIN(M$6-$E$3,22))&lt;&gt;""),Soja!$E14:INDEX(Soja!$E14:$Z14,MIN(M$6-$E$3,22))),0))-IF($G$2,0,IF((M$6-$G$3)&lt;1,0,IFERROR(LOOKUP(2,1/(Soja!$E14:INDEX(Soja!$E14:$Z14,MIN(M$6-$G$3,22))&lt;&gt;""),Soja!$E14:INDEX(Soja!$E14:$Z14,MIN(M$6-$G$3,22))),0)))))</f>
        <v>0</v>
      </c>
      <c r="N16" s="27" t="n">
        <f aca="false">IF(COUNT(Soja!$E14:$Z14)=0,0,MAX(0,IF((N$6-$E$3)&lt;1,0,IFERROR(LOOKUP(2,1/(Soja!$E14:INDEX(Soja!$E14:$Z14,MIN(N$6-$E$3,22))&lt;&gt;""),Soja!$E14:INDEX(Soja!$E14:$Z14,MIN(N$6-$E$3,22))),0))-IF($G$2,0,IF((N$6-$G$3)&lt;1,0,IFERROR(LOOKUP(2,1/(Soja!$E14:INDEX(Soja!$E14:$Z14,MIN(N$6-$G$3,22))&lt;&gt;""),Soja!$E14:INDEX(Soja!$E14:$Z14,MIN(N$6-$G$3,22))),0)))))</f>
        <v>0</v>
      </c>
      <c r="O16" s="27" t="n">
        <f aca="false">IF(COUNT(Soja!$E14:$Z14)=0,0,MAX(0,IF((O$6-$E$3)&lt;1,0,IFERROR(LOOKUP(2,1/(Soja!$E14:INDEX(Soja!$E14:$Z14,MIN(O$6-$E$3,22))&lt;&gt;""),Soja!$E14:INDEX(Soja!$E14:$Z14,MIN(O$6-$E$3,22))),0))-IF($G$2,0,IF((O$6-$G$3)&lt;1,0,IFERROR(LOOKUP(2,1/(Soja!$E14:INDEX(Soja!$E14:$Z14,MIN(O$6-$G$3,22))&lt;&gt;""),Soja!$E14:INDEX(Soja!$E14:$Z14,MIN(O$6-$G$3,22))),0)))))</f>
        <v>0</v>
      </c>
      <c r="P16" s="27" t="n">
        <f aca="false">IF(COUNT(Soja!$E14:$Z14)=0,0,MAX(0,IF((P$6-$E$3)&lt;1,0,IFERROR(LOOKUP(2,1/(Soja!$E14:INDEX(Soja!$E14:$Z14,MIN(P$6-$E$3,22))&lt;&gt;""),Soja!$E14:INDEX(Soja!$E14:$Z14,MIN(P$6-$E$3,22))),0))-IF($G$2,0,IF((P$6-$G$3)&lt;1,0,IFERROR(LOOKUP(2,1/(Soja!$E14:INDEX(Soja!$E14:$Z14,MIN(P$6-$G$3,22))&lt;&gt;""),Soja!$E14:INDEX(Soja!$E14:$Z14,MIN(P$6-$G$3,22))),0)))))</f>
        <v>0</v>
      </c>
      <c r="Q16" s="27" t="n">
        <f aca="false">IF(COUNT(Soja!$E14:$Z14)=0,0,MAX(0,IF((Q$6-$E$3)&lt;1,0,IFERROR(LOOKUP(2,1/(Soja!$E14:INDEX(Soja!$E14:$Z14,MIN(Q$6-$E$3,22))&lt;&gt;""),Soja!$E14:INDEX(Soja!$E14:$Z14,MIN(Q$6-$E$3,22))),0))-IF($G$2,0,IF((Q$6-$G$3)&lt;1,0,IFERROR(LOOKUP(2,1/(Soja!$E14:INDEX(Soja!$E14:$Z14,MIN(Q$6-$G$3,22))&lt;&gt;""),Soja!$E14:INDEX(Soja!$E14:$Z14,MIN(Q$6-$G$3,22))),0)))))</f>
        <v>0</v>
      </c>
      <c r="R16" s="27" t="n">
        <f aca="false">IF(COUNT(Soja!$E14:$Z14)=0,0,MAX(0,IF((R$6-$E$3)&lt;1,0,IFERROR(LOOKUP(2,1/(Soja!$E14:INDEX(Soja!$E14:$Z14,MIN(R$6-$E$3,22))&lt;&gt;""),Soja!$E14:INDEX(Soja!$E14:$Z14,MIN(R$6-$E$3,22))),0))-IF($G$2,0,IF((R$6-$G$3)&lt;1,0,IFERROR(LOOKUP(2,1/(Soja!$E14:INDEX(Soja!$E14:$Z14,MIN(R$6-$G$3,22))&lt;&gt;""),Soja!$E14:INDEX(Soja!$E14:$Z14,MIN(R$6-$G$3,22))),0)))))</f>
        <v>0</v>
      </c>
      <c r="S16" s="27" t="n">
        <f aca="false">IF(COUNT(Soja!$E14:$Z14)=0,0,MAX(0,IF((S$6-$E$3)&lt;1,0,IFERROR(LOOKUP(2,1/(Soja!$E14:INDEX(Soja!$E14:$Z14,MIN(S$6-$E$3,22))&lt;&gt;""),Soja!$E14:INDEX(Soja!$E14:$Z14,MIN(S$6-$E$3,22))),0))-IF($G$2,0,IF((S$6-$G$3)&lt;1,0,IFERROR(LOOKUP(2,1/(Soja!$E14:INDEX(Soja!$E14:$Z14,MIN(S$6-$G$3,22))&lt;&gt;""),Soja!$E14:INDEX(Soja!$E14:$Z14,MIN(S$6-$G$3,22))),0)))))</f>
        <v>0</v>
      </c>
      <c r="T16" s="27" t="n">
        <f aca="false">IF(COUNT(Soja!$E14:$Z14)=0,0,MAX(0,IF((T$6-$E$3)&lt;1,0,IFERROR(LOOKUP(2,1/(Soja!$E14:INDEX(Soja!$E14:$Z14,MIN(T$6-$E$3,22))&lt;&gt;""),Soja!$E14:INDEX(Soja!$E14:$Z14,MIN(T$6-$E$3,22))),0))-IF($G$2,0,IF((T$6-$G$3)&lt;1,0,IFERROR(LOOKUP(2,1/(Soja!$E14:INDEX(Soja!$E14:$Z14,MIN(T$6-$G$3,22))&lt;&gt;""),Soja!$E14:INDEX(Soja!$E14:$Z14,MIN(T$6-$G$3,22))),0)))))</f>
        <v>0</v>
      </c>
      <c r="U16" s="27" t="n">
        <f aca="false">IF(COUNT(Soja!$E14:$Z14)=0,0,MAX(0,IF((U$6-$E$3)&lt;1,0,IFERROR(LOOKUP(2,1/(Soja!$E14:INDEX(Soja!$E14:$Z14,MIN(U$6-$E$3,22))&lt;&gt;""),Soja!$E14:INDEX(Soja!$E14:$Z14,MIN(U$6-$E$3,22))),0))-IF($G$2,0,IF((U$6-$G$3)&lt;1,0,IFERROR(LOOKUP(2,1/(Soja!$E14:INDEX(Soja!$E14:$Z14,MIN(U$6-$G$3,22))&lt;&gt;""),Soja!$E14:INDEX(Soja!$E14:$Z14,MIN(U$6-$G$3,22))),0)))))</f>
        <v>0</v>
      </c>
      <c r="V16" s="27" t="n">
        <f aca="false">IF(COUNT(Soja!$E14:$Z14)=0,0,MAX(0,IF((V$6-$E$3)&lt;1,0,IFERROR(LOOKUP(2,1/(Soja!$E14:INDEX(Soja!$E14:$Z14,MIN(V$6-$E$3,22))&lt;&gt;""),Soja!$E14:INDEX(Soja!$E14:$Z14,MIN(V$6-$E$3,22))),0))-IF($G$2,0,IF((V$6-$G$3)&lt;1,0,IFERROR(LOOKUP(2,1/(Soja!$E14:INDEX(Soja!$E14:$Z14,MIN(V$6-$G$3,22))&lt;&gt;""),Soja!$E14:INDEX(Soja!$E14:$Z14,MIN(V$6-$G$3,22))),0)))))</f>
        <v>0</v>
      </c>
      <c r="W16" s="27" t="n">
        <f aca="false">IF(COUNT(Soja!$E14:$Z14)=0,0,MAX(0,IF((W$6-$E$3)&lt;1,0,IFERROR(LOOKUP(2,1/(Soja!$E14:INDEX(Soja!$E14:$Z14,MIN(W$6-$E$3,22))&lt;&gt;""),Soja!$E14:INDEX(Soja!$E14:$Z14,MIN(W$6-$E$3,22))),0))-IF($G$2,0,IF((W$6-$G$3)&lt;1,0,IFERROR(LOOKUP(2,1/(Soja!$E14:INDEX(Soja!$E14:$Z14,MIN(W$6-$G$3,22))&lt;&gt;""),Soja!$E14:INDEX(Soja!$E14:$Z14,MIN(W$6-$G$3,22))),0)))))</f>
        <v>0</v>
      </c>
      <c r="X16" s="27" t="n">
        <f aca="false">IF(COUNT(Soja!$E14:$Z14)=0,0,MAX(0,IF((X$6-$E$3)&lt;1,0,IFERROR(LOOKUP(2,1/(Soja!$E14:INDEX(Soja!$E14:$Z14,MIN(X$6-$E$3,22))&lt;&gt;""),Soja!$E14:INDEX(Soja!$E14:$Z14,MIN(X$6-$E$3,22))),0))-IF($G$2,0,IF((X$6-$G$3)&lt;1,0,IFERROR(LOOKUP(2,1/(Soja!$E14:INDEX(Soja!$E14:$Z14,MIN(X$6-$G$3,22))&lt;&gt;""),Soja!$E14:INDEX(Soja!$E14:$Z14,MIN(X$6-$G$3,22))),0)))))</f>
        <v>0</v>
      </c>
      <c r="Y16" s="27" t="n">
        <f aca="false">IF(COUNT(Soja!$E14:$Z14)=0,0,MAX(0,IF((Y$6-$E$3)&lt;1,0,IFERROR(LOOKUP(2,1/(Soja!$E14:INDEX(Soja!$E14:$Z14,MIN(Y$6-$E$3,22))&lt;&gt;""),Soja!$E14:INDEX(Soja!$E14:$Z14,MIN(Y$6-$E$3,22))),0))-IF($G$2,0,IF((Y$6-$G$3)&lt;1,0,IFERROR(LOOKUP(2,1/(Soja!$E14:INDEX(Soja!$E14:$Z14,MIN(Y$6-$G$3,22))&lt;&gt;""),Soja!$E14:INDEX(Soja!$E14:$Z14,MIN(Y$6-$G$3,22))),0)))))</f>
        <v>0</v>
      </c>
      <c r="Z16" s="27" t="n">
        <f aca="false">IF(COUNT(Soja!$E14:$Z14)=0,0,MAX(0,IF((Z$6-$E$3)&lt;1,0,IFERROR(LOOKUP(2,1/(Soja!$E14:INDEX(Soja!$E14:$Z14,MIN(Z$6-$E$3,22))&lt;&gt;""),Soja!$E14:INDEX(Soja!$E14:$Z14,MIN(Z$6-$E$3,22))),0))-IF($G$2,0,IF((Z$6-$G$3)&lt;1,0,IFERROR(LOOKUP(2,1/(Soja!$E14:INDEX(Soja!$E14:$Z14,MIN(Z$6-$G$3,22))&lt;&gt;""),Soja!$E14:INDEX(Soja!$E14:$Z14,MIN(Z$6-$G$3,22))),0)))))</f>
        <v>0</v>
      </c>
      <c r="AA16" s="27" t="n">
        <f aca="false">IF(COUNT(Soja!$E14:$Z14)=0,0,MAX(0,IF((AA$6-$E$3)&lt;1,0,IFERROR(LOOKUP(2,1/(Soja!$E14:INDEX(Soja!$E14:$Z14,MIN(AA$6-$E$3,22))&lt;&gt;""),Soja!$E14:INDEX(Soja!$E14:$Z14,MIN(AA$6-$E$3,22))),0))-IF($G$2,0,IF((AA$6-$G$3)&lt;1,0,IFERROR(LOOKUP(2,1/(Soja!$E14:INDEX(Soja!$E14:$Z14,MIN(AA$6-$G$3,22))&lt;&gt;""),Soja!$E14:INDEX(Soja!$E14:$Z14,MIN(AA$6-$G$3,22))),0)))))</f>
        <v>0</v>
      </c>
      <c r="AB16" s="27" t="n">
        <f aca="false">IF(COUNT(Soja!$E14:$Z14)=0,0,MAX(0,IF((AB$6-$E$3)&lt;1,0,IFERROR(LOOKUP(2,1/(Soja!$E14:INDEX(Soja!$E14:$Z14,MIN(AB$6-$E$3,22))&lt;&gt;""),Soja!$E14:INDEX(Soja!$E14:$Z14,MIN(AB$6-$E$3,22))),0))-IF($G$2,0,IF((AB$6-$G$3)&lt;1,0,IFERROR(LOOKUP(2,1/(Soja!$E14:INDEX(Soja!$E14:$Z14,MIN(AB$6-$G$3,22))&lt;&gt;""),Soja!$E14:INDEX(Soja!$E14:$Z14,MIN(AB$6-$G$3,22))),0)))))</f>
        <v>0</v>
      </c>
      <c r="AC16" s="27" t="n">
        <f aca="false">IF(COUNT(Soja!$E14:$Z14)=0,0,MAX(0,IF((AC$6-$E$3)&lt;1,0,IFERROR(LOOKUP(2,1/(Soja!$E14:INDEX(Soja!$E14:$Z14,MIN(AC$6-$E$3,22))&lt;&gt;""),Soja!$E14:INDEX(Soja!$E14:$Z14,MIN(AC$6-$E$3,22))),0))-IF($G$2,0,IF((AC$6-$G$3)&lt;1,0,IFERROR(LOOKUP(2,1/(Soja!$E14:INDEX(Soja!$E14:$Z14,MIN(AC$6-$G$3,22))&lt;&gt;""),Soja!$E14:INDEX(Soja!$E14:$Z14,MIN(AC$6-$G$3,22))),0)))))</f>
        <v>0</v>
      </c>
      <c r="AD16" s="27" t="n">
        <f aca="false">IF(COUNT(Soja!$E14:$Z14)=0,0,MAX(0,IF((AD$6-$E$3)&lt;1,0,IFERROR(LOOKUP(2,1/(Soja!$E14:INDEX(Soja!$E14:$Z14,MIN(AD$6-$E$3,22))&lt;&gt;""),Soja!$E14:INDEX(Soja!$E14:$Z14,MIN(AD$6-$E$3,22))),0))-IF($G$2,0,IF((AD$6-$G$3)&lt;1,0,IFERROR(LOOKUP(2,1/(Soja!$E14:INDEX(Soja!$E14:$Z14,MIN(AD$6-$G$3,22))&lt;&gt;""),Soja!$E14:INDEX(Soja!$E14:$Z14,MIN(AD$6-$G$3,22))),0)))))</f>
        <v>0</v>
      </c>
      <c r="AE16" s="27" t="n">
        <f aca="false">IF(COUNT(Soja!$E14:$Z14)=0,0,MAX(0,IF((AE$6-$E$3)&lt;1,0,IFERROR(LOOKUP(2,1/(Soja!$E14:INDEX(Soja!$E14:$Z14,MIN(AE$6-$E$3,22))&lt;&gt;""),Soja!$E14:INDEX(Soja!$E14:$Z14,MIN(AE$6-$E$3,22))),0))-IF($G$2,0,IF((AE$6-$G$3)&lt;1,0,IFERROR(LOOKUP(2,1/(Soja!$E14:INDEX(Soja!$E14:$Z14,MIN(AE$6-$G$3,22))&lt;&gt;""),Soja!$E14:INDEX(Soja!$E14:$Z14,MIN(AE$6-$G$3,22))),0)))))</f>
        <v>0</v>
      </c>
      <c r="AF16" s="27" t="n">
        <f aca="false">IF(COUNT(Soja!$E14:$Z14)=0,0,MAX(0,IF((AF$6-$E$3)&lt;1,0,IFERROR(LOOKUP(2,1/(Soja!$E14:INDEX(Soja!$E14:$Z14,MIN(AF$6-$E$3,22))&lt;&gt;""),Soja!$E14:INDEX(Soja!$E14:$Z14,MIN(AF$6-$E$3,22))),0))-IF($G$2,0,IF((AF$6-$G$3)&lt;1,0,IFERROR(LOOKUP(2,1/(Soja!$E14:INDEX(Soja!$E14:$Z14,MIN(AF$6-$G$3,22))&lt;&gt;""),Soja!$E14:INDEX(Soja!$E14:$Z14,MIN(AF$6-$G$3,22))),0)))))</f>
        <v>0</v>
      </c>
      <c r="AG16" s="27" t="n">
        <f aca="false">IF(COUNT(Soja!$E14:$Z14)=0,0,MAX(0,IF((AG$6-$E$3)&lt;1,0,IFERROR(LOOKUP(2,1/(Soja!$E14:INDEX(Soja!$E14:$Z14,MIN(AG$6-$E$3,22))&lt;&gt;""),Soja!$E14:INDEX(Soja!$E14:$Z14,MIN(AG$6-$E$3,22))),0))-IF($G$2,0,IF((AG$6-$G$3)&lt;1,0,IFERROR(LOOKUP(2,1/(Soja!$E14:INDEX(Soja!$E14:$Z14,MIN(AG$6-$G$3,22))&lt;&gt;""),Soja!$E14:INDEX(Soja!$E14:$Z14,MIN(AG$6-$G$3,22))),0)))))</f>
        <v>0</v>
      </c>
      <c r="AH16" s="27" t="n">
        <f aca="false">IF(COUNT(Soja!$E14:$Z14)=0,0,MAX(0,IF((AH$6-$E$3)&lt;1,0,IFERROR(LOOKUP(2,1/(Soja!$E14:INDEX(Soja!$E14:$Z14,MIN(AH$6-$E$3,22))&lt;&gt;""),Soja!$E14:INDEX(Soja!$E14:$Z14,MIN(AH$6-$E$3,22))),0))-IF($G$2,0,IF((AH$6-$G$3)&lt;1,0,IFERROR(LOOKUP(2,1/(Soja!$E14:INDEX(Soja!$E14:$Z14,MIN(AH$6-$G$3,22))&lt;&gt;""),Soja!$E14:INDEX(Soja!$E14:$Z14,MIN(AH$6-$G$3,22))),0)))))</f>
        <v>0</v>
      </c>
      <c r="AI16" s="27" t="n">
        <f aca="false">IF(COUNT(Soja!$E14:$Z14)=0,0,MAX(0,IF((AI$6-$E$3)&lt;1,0,IFERROR(LOOKUP(2,1/(Soja!$E14:INDEX(Soja!$E14:$Z14,MIN(AI$6-$E$3,22))&lt;&gt;""),Soja!$E14:INDEX(Soja!$E14:$Z14,MIN(AI$6-$E$3,22))),0))-IF($G$2,0,IF((AI$6-$G$3)&lt;1,0,IFERROR(LOOKUP(2,1/(Soja!$E14:INDEX(Soja!$E14:$Z14,MIN(AI$6-$G$3,22))&lt;&gt;""),Soja!$E14:INDEX(Soja!$E14:$Z14,MIN(AI$6-$G$3,22))),0)))))</f>
        <v>0</v>
      </c>
      <c r="AJ16" s="27" t="n">
        <f aca="false">IF(COUNT(Soja!$E14:$Z14)=0,0,MAX(0,IF((AJ$6-$E$3)&lt;1,0,IFERROR(LOOKUP(2,1/(Soja!$E14:INDEX(Soja!$E14:$Z14,MIN(AJ$6-$E$3,22))&lt;&gt;""),Soja!$E14:INDEX(Soja!$E14:$Z14,MIN(AJ$6-$E$3,22))),0))-IF($G$2,0,IF((AJ$6-$G$3)&lt;1,0,IFERROR(LOOKUP(2,1/(Soja!$E14:INDEX(Soja!$E14:$Z14,MIN(AJ$6-$G$3,22))&lt;&gt;""),Soja!$E14:INDEX(Soja!$E14:$Z14,MIN(AJ$6-$G$3,22))),0)))))</f>
        <v>0</v>
      </c>
      <c r="AK16" s="27" t="n">
        <f aca="false">IF(COUNT(Soja!$E14:$Z14)=0,0,MAX(0,IF((AK$6-$E$3)&lt;1,0,IFERROR(LOOKUP(2,1/(Soja!$E14:INDEX(Soja!$E14:$Z14,MIN(AK$6-$E$3,22))&lt;&gt;""),Soja!$E14:INDEX(Soja!$E14:$Z14,MIN(AK$6-$E$3,22))),0))-IF($G$2,0,IF((AK$6-$G$3)&lt;1,0,IFERROR(LOOKUP(2,1/(Soja!$E14:INDEX(Soja!$E14:$Z14,MIN(AK$6-$G$3,22))&lt;&gt;""),Soja!$E14:INDEX(Soja!$E14:$Z14,MIN(AK$6-$G$3,22))),0)))))</f>
        <v>0</v>
      </c>
      <c r="AL16" s="27" t="n">
        <f aca="false">IF(COUNT(Soja!$E14:$Z14)=0,0,MAX(0,IF((AL$6-$E$3)&lt;1,0,IFERROR(LOOKUP(2,1/(Soja!$E14:INDEX(Soja!$E14:$Z14,MIN(AL$6-$E$3,22))&lt;&gt;""),Soja!$E14:INDEX(Soja!$E14:$Z14,MIN(AL$6-$E$3,22))),0))-IF($G$2,0,IF((AL$6-$G$3)&lt;1,0,IFERROR(LOOKUP(2,1/(Soja!$E14:INDEX(Soja!$E14:$Z14,MIN(AL$6-$G$3,22))&lt;&gt;""),Soja!$E14:INDEX(Soja!$E14:$Z14,MIN(AL$6-$G$3,22))),0)))))</f>
        <v>0</v>
      </c>
      <c r="AM16" s="27" t="n">
        <f aca="false">IF(COUNT(Soja!$E14:$Z14)=0,0,MAX(0,IF((AM$6-$E$3)&lt;1,0,IFERROR(LOOKUP(2,1/(Soja!$E14:INDEX(Soja!$E14:$Z14,MIN(AM$6-$E$3,22))&lt;&gt;""),Soja!$E14:INDEX(Soja!$E14:$Z14,MIN(AM$6-$E$3,22))),0))-IF($G$2,0,IF((AM$6-$G$3)&lt;1,0,IFERROR(LOOKUP(2,1/(Soja!$E14:INDEX(Soja!$E14:$Z14,MIN(AM$6-$G$3,22))&lt;&gt;""),Soja!$E14:INDEX(Soja!$E14:$Z14,MIN(AM$6-$G$3,22))),0)))))</f>
        <v>0</v>
      </c>
      <c r="AN16" s="27" t="n">
        <f aca="false">IF(COUNT(Soja!$E14:$Z14)=0,0,MAX(0,IF((AN$6-$E$3)&lt;1,0,IFERROR(LOOKUP(2,1/(Soja!$E14:INDEX(Soja!$E14:$Z14,MIN(AN$6-$E$3,22))&lt;&gt;""),Soja!$E14:INDEX(Soja!$E14:$Z14,MIN(AN$6-$E$3,22))),0))-IF($G$2,0,IF((AN$6-$G$3)&lt;1,0,IFERROR(LOOKUP(2,1/(Soja!$E14:INDEX(Soja!$E14:$Z14,MIN(AN$6-$G$3,22))&lt;&gt;""),Soja!$E14:INDEX(Soja!$E14:$Z14,MIN(AN$6-$G$3,22))),0)))))</f>
        <v>0</v>
      </c>
      <c r="AO16" s="27" t="n">
        <f aca="false">IF(COUNT(Soja!$E14:$Z14)=0,0,MAX(0,IF((AO$6-$E$3)&lt;1,0,IFERROR(LOOKUP(2,1/(Soja!$E14:INDEX(Soja!$E14:$Z14,MIN(AO$6-$E$3,22))&lt;&gt;""),Soja!$E14:INDEX(Soja!$E14:$Z14,MIN(AO$6-$E$3,22))),0))-IF($G$2,0,IF((AO$6-$G$3)&lt;1,0,IFERROR(LOOKUP(2,1/(Soja!$E14:INDEX(Soja!$E14:$Z14,MIN(AO$6-$G$3,22))&lt;&gt;""),Soja!$E14:INDEX(Soja!$E14:$Z14,MIN(AO$6-$G$3,22))),0)))))</f>
        <v>0</v>
      </c>
      <c r="AP16" s="27" t="n">
        <f aca="false">IF(COUNT(Soja!$E14:$Z14)=0,0,MAX(0,IF((AP$6-$E$3)&lt;1,0,IFERROR(LOOKUP(2,1/(Soja!$E14:INDEX(Soja!$E14:$Z14,MIN(AP$6-$E$3,22))&lt;&gt;""),Soja!$E14:INDEX(Soja!$E14:$Z14,MIN(AP$6-$E$3,22))),0))-IF($G$2,0,IF((AP$6-$G$3)&lt;1,0,IFERROR(LOOKUP(2,1/(Soja!$E14:INDEX(Soja!$E14:$Z14,MIN(AP$6-$G$3,22))&lt;&gt;""),Soja!$E14:INDEX(Soja!$E14:$Z14,MIN(AP$6-$G$3,22))),0)))))</f>
        <v>0</v>
      </c>
      <c r="AQ16" s="27" t="n">
        <f aca="false">IF(COUNT(Soja!$E14:$Z14)=0,0,MAX(0,IF((AQ$6-$E$3)&lt;1,0,IFERROR(LOOKUP(2,1/(Soja!$E14:INDEX(Soja!$E14:$Z14,MIN(AQ$6-$E$3,22))&lt;&gt;""),Soja!$E14:INDEX(Soja!$E14:$Z14,MIN(AQ$6-$E$3,22))),0))-IF($G$2,0,IF((AQ$6-$G$3)&lt;1,0,IFERROR(LOOKUP(2,1/(Soja!$E14:INDEX(Soja!$E14:$Z14,MIN(AQ$6-$G$3,22))&lt;&gt;""),Soja!$E14:INDEX(Soja!$E14:$Z14,MIN(AQ$6-$G$3,22))),0)))))</f>
        <v>0</v>
      </c>
      <c r="AR16" s="27" t="n">
        <f aca="false">IF(COUNT(Soja!$E14:$Z14)=0,0,MAX(0,IF((AR$6-$E$3)&lt;1,0,IFERROR(LOOKUP(2,1/(Soja!$E14:INDEX(Soja!$E14:$Z14,MIN(AR$6-$E$3,22))&lt;&gt;""),Soja!$E14:INDEX(Soja!$E14:$Z14,MIN(AR$6-$E$3,22))),0))-IF($G$2,0,IF((AR$6-$G$3)&lt;1,0,IFERROR(LOOKUP(2,1/(Soja!$E14:INDEX(Soja!$E14:$Z14,MIN(AR$6-$G$3,22))&lt;&gt;""),Soja!$E14:INDEX(Soja!$E14:$Z14,MIN(AR$6-$G$3,22))),0)))))</f>
        <v>0</v>
      </c>
      <c r="AS16" s="27" t="n">
        <f aca="false">IF(COUNT(Soja!$E14:$Z14)=0,0,MAX(0,IF((AS$6-$E$3)&lt;1,0,IFERROR(LOOKUP(2,1/(Soja!$E14:INDEX(Soja!$E14:$Z14,MIN(AS$6-$E$3,22))&lt;&gt;""),Soja!$E14:INDEX(Soja!$E14:$Z14,MIN(AS$6-$E$3,22))),0))-IF($G$2,0,IF((AS$6-$G$3)&lt;1,0,IFERROR(LOOKUP(2,1/(Soja!$E14:INDEX(Soja!$E14:$Z14,MIN(AS$6-$G$3,22))&lt;&gt;""),Soja!$E14:INDEX(Soja!$E14:$Z14,MIN(AS$6-$G$3,22))),0)))))</f>
        <v>0</v>
      </c>
      <c r="AT16" s="27" t="n">
        <f aca="false">IF(COUNT(Soja!$E14:$Z14)=0,0,MAX(0,IF((AT$6-$E$3)&lt;1,0,IFERROR(LOOKUP(2,1/(Soja!$E14:INDEX(Soja!$E14:$Z14,MIN(AT$6-$E$3,22))&lt;&gt;""),Soja!$E14:INDEX(Soja!$E14:$Z14,MIN(AT$6-$E$3,22))),0))-IF($G$2,0,IF((AT$6-$G$3)&lt;1,0,IFERROR(LOOKUP(2,1/(Soja!$E14:INDEX(Soja!$E14:$Z14,MIN(AT$6-$G$3,22))&lt;&gt;""),Soja!$E14:INDEX(Soja!$E14:$Z14,MIN(AT$6-$G$3,22))),0)))))</f>
        <v>0</v>
      </c>
      <c r="AU16" s="27" t="n">
        <f aca="false">IF(COUNT(Soja!$E14:$Z14)=0,0,MAX(0,IF((AU$6-$E$3)&lt;1,0,IFERROR(LOOKUP(2,1/(Soja!$E14:INDEX(Soja!$E14:$Z14,MIN(AU$6-$E$3,22))&lt;&gt;""),Soja!$E14:INDEX(Soja!$E14:$Z14,MIN(AU$6-$E$3,22))),0))-IF($G$2,0,IF((AU$6-$G$3)&lt;1,0,IFERROR(LOOKUP(2,1/(Soja!$E14:INDEX(Soja!$E14:$Z14,MIN(AU$6-$G$3,22))&lt;&gt;""),Soja!$E14:INDEX(Soja!$E14:$Z14,MIN(AU$6-$G$3,22))),0)))))</f>
        <v>0</v>
      </c>
      <c r="AV16" s="27" t="n">
        <f aca="false">IF(COUNT(Soja!$E14:$Z14)=0,0,MAX(0,IF((AV$6-$E$3)&lt;1,0,IFERROR(LOOKUP(2,1/(Soja!$E14:INDEX(Soja!$E14:$Z14,MIN(AV$6-$E$3,22))&lt;&gt;""),Soja!$E14:INDEX(Soja!$E14:$Z14,MIN(AV$6-$E$3,22))),0))-IF($G$2,0,IF((AV$6-$G$3)&lt;1,0,IFERROR(LOOKUP(2,1/(Soja!$E14:INDEX(Soja!$E14:$Z14,MIN(AV$6-$G$3,22))&lt;&gt;""),Soja!$E14:INDEX(Soja!$E14:$Z14,MIN(AV$6-$G$3,22))),0)))))</f>
        <v>0</v>
      </c>
      <c r="AW16" s="27" t="n">
        <f aca="false">IF(COUNT(Soja!$E14:$Z14)=0,0,MAX(0,IF((AW$6-$E$3)&lt;1,0,IFERROR(LOOKUP(2,1/(Soja!$E14:INDEX(Soja!$E14:$Z14,MIN(AW$6-$E$3,22))&lt;&gt;""),Soja!$E14:INDEX(Soja!$E14:$Z14,MIN(AW$6-$E$3,22))),0))-IF($G$2,0,IF((AW$6-$G$3)&lt;1,0,IFERROR(LOOKUP(2,1/(Soja!$E14:INDEX(Soja!$E14:$Z14,MIN(AW$6-$G$3,22))&lt;&gt;""),Soja!$E14:INDEX(Soja!$E14:$Z14,MIN(AW$6-$G$3,22))),0)))))</f>
        <v>0</v>
      </c>
      <c r="AX16" s="27" t="n">
        <f aca="false">IF(COUNT(Soja!$E14:$Z14)=0,0,MAX(0,IF((AX$6-$E$3)&lt;1,0,IFERROR(LOOKUP(2,1/(Soja!$E14:INDEX(Soja!$E14:$Z14,MIN(AX$6-$E$3,22))&lt;&gt;""),Soja!$E14:INDEX(Soja!$E14:$Z14,MIN(AX$6-$E$3,22))),0))-IF($G$2,0,IF((AX$6-$G$3)&lt;1,0,IFERROR(LOOKUP(2,1/(Soja!$E14:INDEX(Soja!$E14:$Z14,MIN(AX$6-$G$3,22))&lt;&gt;""),Soja!$E14:INDEX(Soja!$E14:$Z14,MIN(AX$6-$G$3,22))),0)))))</f>
        <v>0</v>
      </c>
      <c r="AY16" s="27" t="n">
        <f aca="false">IF(COUNT(Soja!$E14:$Z14)=0,0,MAX(0,IF((AY$6-$E$3)&lt;1,0,IFERROR(LOOKUP(2,1/(Soja!$E14:INDEX(Soja!$E14:$Z14,MIN(AY$6-$E$3,22))&lt;&gt;""),Soja!$E14:INDEX(Soja!$E14:$Z14,MIN(AY$6-$E$3,22))),0))-IF($G$2,0,IF((AY$6-$G$3)&lt;1,0,IFERROR(LOOKUP(2,1/(Soja!$E14:INDEX(Soja!$E14:$Z14,MIN(AY$6-$G$3,22))&lt;&gt;""),Soja!$E14:INDEX(Soja!$E14:$Z14,MIN(AY$6-$G$3,22))),0)))))</f>
        <v>0</v>
      </c>
      <c r="AZ16" s="27" t="n">
        <f aca="false">IF(COUNT(Soja!$E14:$Z14)=0,0,MAX(0,IF((AZ$6-$E$3)&lt;1,0,IFERROR(LOOKUP(2,1/(Soja!$E14:INDEX(Soja!$E14:$Z14,MIN(AZ$6-$E$3,22))&lt;&gt;""),Soja!$E14:INDEX(Soja!$E14:$Z14,MIN(AZ$6-$E$3,22))),0))-IF($G$2,0,IF((AZ$6-$G$3)&lt;1,0,IFERROR(LOOKUP(2,1/(Soja!$E14:INDEX(Soja!$E14:$Z14,MIN(AZ$6-$G$3,22))&lt;&gt;""),Soja!$E14:INDEX(Soja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IF(COUNT(Soja!$E15:$Z15)&gt;0,N(Soja!$D15),0)</f>
        <v>0</v>
      </c>
      <c r="E17" s="27" t="n">
        <f aca="false">IF(COUNT(Soja!$E15:$Z15)=0,0,MAX(0,IF((E$6-$E$3)&lt;1,0,IFERROR(LOOKUP(2,1/(Soja!$E15:INDEX(Soja!$E15:$Z15,MIN(E$6-$E$3,22))&lt;&gt;""),Soja!$E15:INDEX(Soja!$E15:$Z15,MIN(E$6-$E$3,22))),0))-IF($G$2,0,IF((E$6-$G$3)&lt;1,0,IFERROR(LOOKUP(2,1/(Soja!$E15:INDEX(Soja!$E15:$Z15,MIN(E$6-$G$3,22))&lt;&gt;""),Soja!$E15:INDEX(Soja!$E15:$Z15,MIN(E$6-$G$3,22))),0)))))</f>
        <v>0</v>
      </c>
      <c r="F17" s="27" t="n">
        <f aca="false">IF(COUNT(Soja!$E15:$Z15)=0,0,MAX(0,IF((F$6-$E$3)&lt;1,0,IFERROR(LOOKUP(2,1/(Soja!$E15:INDEX(Soja!$E15:$Z15,MIN(F$6-$E$3,22))&lt;&gt;""),Soja!$E15:INDEX(Soja!$E15:$Z15,MIN(F$6-$E$3,22))),0))-IF($G$2,0,IF((F$6-$G$3)&lt;1,0,IFERROR(LOOKUP(2,1/(Soja!$E15:INDEX(Soja!$E15:$Z15,MIN(F$6-$G$3,22))&lt;&gt;""),Soja!$E15:INDEX(Soja!$E15:$Z15,MIN(F$6-$G$3,22))),0)))))</f>
        <v>0</v>
      </c>
      <c r="G17" s="27" t="n">
        <f aca="false">IF(COUNT(Soja!$E15:$Z15)=0,0,MAX(0,IF((G$6-$E$3)&lt;1,0,IFERROR(LOOKUP(2,1/(Soja!$E15:INDEX(Soja!$E15:$Z15,MIN(G$6-$E$3,22))&lt;&gt;""),Soja!$E15:INDEX(Soja!$E15:$Z15,MIN(G$6-$E$3,22))),0))-IF($G$2,0,IF((G$6-$G$3)&lt;1,0,IFERROR(LOOKUP(2,1/(Soja!$E15:INDEX(Soja!$E15:$Z15,MIN(G$6-$G$3,22))&lt;&gt;""),Soja!$E15:INDEX(Soja!$E15:$Z15,MIN(G$6-$G$3,22))),0)))))</f>
        <v>0</v>
      </c>
      <c r="H17" s="27" t="n">
        <f aca="false">IF(COUNT(Soja!$E15:$Z15)=0,0,MAX(0,IF((H$6-$E$3)&lt;1,0,IFERROR(LOOKUP(2,1/(Soja!$E15:INDEX(Soja!$E15:$Z15,MIN(H$6-$E$3,22))&lt;&gt;""),Soja!$E15:INDEX(Soja!$E15:$Z15,MIN(H$6-$E$3,22))),0))-IF($G$2,0,IF((H$6-$G$3)&lt;1,0,IFERROR(LOOKUP(2,1/(Soja!$E15:INDEX(Soja!$E15:$Z15,MIN(H$6-$G$3,22))&lt;&gt;""),Soja!$E15:INDEX(Soja!$E15:$Z15,MIN(H$6-$G$3,22))),0)))))</f>
        <v>0</v>
      </c>
      <c r="I17" s="27" t="n">
        <f aca="false">IF(COUNT(Soja!$E15:$Z15)=0,0,MAX(0,IF((I$6-$E$3)&lt;1,0,IFERROR(LOOKUP(2,1/(Soja!$E15:INDEX(Soja!$E15:$Z15,MIN(I$6-$E$3,22))&lt;&gt;""),Soja!$E15:INDEX(Soja!$E15:$Z15,MIN(I$6-$E$3,22))),0))-IF($G$2,0,IF((I$6-$G$3)&lt;1,0,IFERROR(LOOKUP(2,1/(Soja!$E15:INDEX(Soja!$E15:$Z15,MIN(I$6-$G$3,22))&lt;&gt;""),Soja!$E15:INDEX(Soja!$E15:$Z15,MIN(I$6-$G$3,22))),0)))))</f>
        <v>0</v>
      </c>
      <c r="J17" s="27" t="n">
        <f aca="false">IF(COUNT(Soja!$E15:$Z15)=0,0,MAX(0,IF((J$6-$E$3)&lt;1,0,IFERROR(LOOKUP(2,1/(Soja!$E15:INDEX(Soja!$E15:$Z15,MIN(J$6-$E$3,22))&lt;&gt;""),Soja!$E15:INDEX(Soja!$E15:$Z15,MIN(J$6-$E$3,22))),0))-IF($G$2,0,IF((J$6-$G$3)&lt;1,0,IFERROR(LOOKUP(2,1/(Soja!$E15:INDEX(Soja!$E15:$Z15,MIN(J$6-$G$3,22))&lt;&gt;""),Soja!$E15:INDEX(Soja!$E15:$Z15,MIN(J$6-$G$3,22))),0)))))</f>
        <v>0</v>
      </c>
      <c r="K17" s="27" t="n">
        <f aca="false">IF(COUNT(Soja!$E15:$Z15)=0,0,MAX(0,IF((K$6-$E$3)&lt;1,0,IFERROR(LOOKUP(2,1/(Soja!$E15:INDEX(Soja!$E15:$Z15,MIN(K$6-$E$3,22))&lt;&gt;""),Soja!$E15:INDEX(Soja!$E15:$Z15,MIN(K$6-$E$3,22))),0))-IF($G$2,0,IF((K$6-$G$3)&lt;1,0,IFERROR(LOOKUP(2,1/(Soja!$E15:INDEX(Soja!$E15:$Z15,MIN(K$6-$G$3,22))&lt;&gt;""),Soja!$E15:INDEX(Soja!$E15:$Z15,MIN(K$6-$G$3,22))),0)))))</f>
        <v>0</v>
      </c>
      <c r="L17" s="27" t="n">
        <f aca="false">IF(COUNT(Soja!$E15:$Z15)=0,0,MAX(0,IF((L$6-$E$3)&lt;1,0,IFERROR(LOOKUP(2,1/(Soja!$E15:INDEX(Soja!$E15:$Z15,MIN(L$6-$E$3,22))&lt;&gt;""),Soja!$E15:INDEX(Soja!$E15:$Z15,MIN(L$6-$E$3,22))),0))-IF($G$2,0,IF((L$6-$G$3)&lt;1,0,IFERROR(LOOKUP(2,1/(Soja!$E15:INDEX(Soja!$E15:$Z15,MIN(L$6-$G$3,22))&lt;&gt;""),Soja!$E15:INDEX(Soja!$E15:$Z15,MIN(L$6-$G$3,22))),0)))))</f>
        <v>0</v>
      </c>
      <c r="M17" s="27" t="n">
        <f aca="false">IF(COUNT(Soja!$E15:$Z15)=0,0,MAX(0,IF((M$6-$E$3)&lt;1,0,IFERROR(LOOKUP(2,1/(Soja!$E15:INDEX(Soja!$E15:$Z15,MIN(M$6-$E$3,22))&lt;&gt;""),Soja!$E15:INDEX(Soja!$E15:$Z15,MIN(M$6-$E$3,22))),0))-IF($G$2,0,IF((M$6-$G$3)&lt;1,0,IFERROR(LOOKUP(2,1/(Soja!$E15:INDEX(Soja!$E15:$Z15,MIN(M$6-$G$3,22))&lt;&gt;""),Soja!$E15:INDEX(Soja!$E15:$Z15,MIN(M$6-$G$3,22))),0)))))</f>
        <v>0</v>
      </c>
      <c r="N17" s="27" t="n">
        <f aca="false">IF(COUNT(Soja!$E15:$Z15)=0,0,MAX(0,IF((N$6-$E$3)&lt;1,0,IFERROR(LOOKUP(2,1/(Soja!$E15:INDEX(Soja!$E15:$Z15,MIN(N$6-$E$3,22))&lt;&gt;""),Soja!$E15:INDEX(Soja!$E15:$Z15,MIN(N$6-$E$3,22))),0))-IF($G$2,0,IF((N$6-$G$3)&lt;1,0,IFERROR(LOOKUP(2,1/(Soja!$E15:INDEX(Soja!$E15:$Z15,MIN(N$6-$G$3,22))&lt;&gt;""),Soja!$E15:INDEX(Soja!$E15:$Z15,MIN(N$6-$G$3,22))),0)))))</f>
        <v>0</v>
      </c>
      <c r="O17" s="27" t="n">
        <f aca="false">IF(COUNT(Soja!$E15:$Z15)=0,0,MAX(0,IF((O$6-$E$3)&lt;1,0,IFERROR(LOOKUP(2,1/(Soja!$E15:INDEX(Soja!$E15:$Z15,MIN(O$6-$E$3,22))&lt;&gt;""),Soja!$E15:INDEX(Soja!$E15:$Z15,MIN(O$6-$E$3,22))),0))-IF($G$2,0,IF((O$6-$G$3)&lt;1,0,IFERROR(LOOKUP(2,1/(Soja!$E15:INDEX(Soja!$E15:$Z15,MIN(O$6-$G$3,22))&lt;&gt;""),Soja!$E15:INDEX(Soja!$E15:$Z15,MIN(O$6-$G$3,22))),0)))))</f>
        <v>0</v>
      </c>
      <c r="P17" s="27" t="n">
        <f aca="false">IF(COUNT(Soja!$E15:$Z15)=0,0,MAX(0,IF((P$6-$E$3)&lt;1,0,IFERROR(LOOKUP(2,1/(Soja!$E15:INDEX(Soja!$E15:$Z15,MIN(P$6-$E$3,22))&lt;&gt;""),Soja!$E15:INDEX(Soja!$E15:$Z15,MIN(P$6-$E$3,22))),0))-IF($G$2,0,IF((P$6-$G$3)&lt;1,0,IFERROR(LOOKUP(2,1/(Soja!$E15:INDEX(Soja!$E15:$Z15,MIN(P$6-$G$3,22))&lt;&gt;""),Soja!$E15:INDEX(Soja!$E15:$Z15,MIN(P$6-$G$3,22))),0)))))</f>
        <v>0</v>
      </c>
      <c r="Q17" s="27" t="n">
        <f aca="false">IF(COUNT(Soja!$E15:$Z15)=0,0,MAX(0,IF((Q$6-$E$3)&lt;1,0,IFERROR(LOOKUP(2,1/(Soja!$E15:INDEX(Soja!$E15:$Z15,MIN(Q$6-$E$3,22))&lt;&gt;""),Soja!$E15:INDEX(Soja!$E15:$Z15,MIN(Q$6-$E$3,22))),0))-IF($G$2,0,IF((Q$6-$G$3)&lt;1,0,IFERROR(LOOKUP(2,1/(Soja!$E15:INDEX(Soja!$E15:$Z15,MIN(Q$6-$G$3,22))&lt;&gt;""),Soja!$E15:INDEX(Soja!$E15:$Z15,MIN(Q$6-$G$3,22))),0)))))</f>
        <v>0</v>
      </c>
      <c r="R17" s="27" t="n">
        <f aca="false">IF(COUNT(Soja!$E15:$Z15)=0,0,MAX(0,IF((R$6-$E$3)&lt;1,0,IFERROR(LOOKUP(2,1/(Soja!$E15:INDEX(Soja!$E15:$Z15,MIN(R$6-$E$3,22))&lt;&gt;""),Soja!$E15:INDEX(Soja!$E15:$Z15,MIN(R$6-$E$3,22))),0))-IF($G$2,0,IF((R$6-$G$3)&lt;1,0,IFERROR(LOOKUP(2,1/(Soja!$E15:INDEX(Soja!$E15:$Z15,MIN(R$6-$G$3,22))&lt;&gt;""),Soja!$E15:INDEX(Soja!$E15:$Z15,MIN(R$6-$G$3,22))),0)))))</f>
        <v>0</v>
      </c>
      <c r="S17" s="27" t="n">
        <f aca="false">IF(COUNT(Soja!$E15:$Z15)=0,0,MAX(0,IF((S$6-$E$3)&lt;1,0,IFERROR(LOOKUP(2,1/(Soja!$E15:INDEX(Soja!$E15:$Z15,MIN(S$6-$E$3,22))&lt;&gt;""),Soja!$E15:INDEX(Soja!$E15:$Z15,MIN(S$6-$E$3,22))),0))-IF($G$2,0,IF((S$6-$G$3)&lt;1,0,IFERROR(LOOKUP(2,1/(Soja!$E15:INDEX(Soja!$E15:$Z15,MIN(S$6-$G$3,22))&lt;&gt;""),Soja!$E15:INDEX(Soja!$E15:$Z15,MIN(S$6-$G$3,22))),0)))))</f>
        <v>0</v>
      </c>
      <c r="T17" s="27" t="n">
        <f aca="false">IF(COUNT(Soja!$E15:$Z15)=0,0,MAX(0,IF((T$6-$E$3)&lt;1,0,IFERROR(LOOKUP(2,1/(Soja!$E15:INDEX(Soja!$E15:$Z15,MIN(T$6-$E$3,22))&lt;&gt;""),Soja!$E15:INDEX(Soja!$E15:$Z15,MIN(T$6-$E$3,22))),0))-IF($G$2,0,IF((T$6-$G$3)&lt;1,0,IFERROR(LOOKUP(2,1/(Soja!$E15:INDEX(Soja!$E15:$Z15,MIN(T$6-$G$3,22))&lt;&gt;""),Soja!$E15:INDEX(Soja!$E15:$Z15,MIN(T$6-$G$3,22))),0)))))</f>
        <v>0</v>
      </c>
      <c r="U17" s="27" t="n">
        <f aca="false">IF(COUNT(Soja!$E15:$Z15)=0,0,MAX(0,IF((U$6-$E$3)&lt;1,0,IFERROR(LOOKUP(2,1/(Soja!$E15:INDEX(Soja!$E15:$Z15,MIN(U$6-$E$3,22))&lt;&gt;""),Soja!$E15:INDEX(Soja!$E15:$Z15,MIN(U$6-$E$3,22))),0))-IF($G$2,0,IF((U$6-$G$3)&lt;1,0,IFERROR(LOOKUP(2,1/(Soja!$E15:INDEX(Soja!$E15:$Z15,MIN(U$6-$G$3,22))&lt;&gt;""),Soja!$E15:INDEX(Soja!$E15:$Z15,MIN(U$6-$G$3,22))),0)))))</f>
        <v>0</v>
      </c>
      <c r="V17" s="27" t="n">
        <f aca="false">IF(COUNT(Soja!$E15:$Z15)=0,0,MAX(0,IF((V$6-$E$3)&lt;1,0,IFERROR(LOOKUP(2,1/(Soja!$E15:INDEX(Soja!$E15:$Z15,MIN(V$6-$E$3,22))&lt;&gt;""),Soja!$E15:INDEX(Soja!$E15:$Z15,MIN(V$6-$E$3,22))),0))-IF($G$2,0,IF((V$6-$G$3)&lt;1,0,IFERROR(LOOKUP(2,1/(Soja!$E15:INDEX(Soja!$E15:$Z15,MIN(V$6-$G$3,22))&lt;&gt;""),Soja!$E15:INDEX(Soja!$E15:$Z15,MIN(V$6-$G$3,22))),0)))))</f>
        <v>0</v>
      </c>
      <c r="W17" s="27" t="n">
        <f aca="false">IF(COUNT(Soja!$E15:$Z15)=0,0,MAX(0,IF((W$6-$E$3)&lt;1,0,IFERROR(LOOKUP(2,1/(Soja!$E15:INDEX(Soja!$E15:$Z15,MIN(W$6-$E$3,22))&lt;&gt;""),Soja!$E15:INDEX(Soja!$E15:$Z15,MIN(W$6-$E$3,22))),0))-IF($G$2,0,IF((W$6-$G$3)&lt;1,0,IFERROR(LOOKUP(2,1/(Soja!$E15:INDEX(Soja!$E15:$Z15,MIN(W$6-$G$3,22))&lt;&gt;""),Soja!$E15:INDEX(Soja!$E15:$Z15,MIN(W$6-$G$3,22))),0)))))</f>
        <v>0</v>
      </c>
      <c r="X17" s="27" t="n">
        <f aca="false">IF(COUNT(Soja!$E15:$Z15)=0,0,MAX(0,IF((X$6-$E$3)&lt;1,0,IFERROR(LOOKUP(2,1/(Soja!$E15:INDEX(Soja!$E15:$Z15,MIN(X$6-$E$3,22))&lt;&gt;""),Soja!$E15:INDEX(Soja!$E15:$Z15,MIN(X$6-$E$3,22))),0))-IF($G$2,0,IF((X$6-$G$3)&lt;1,0,IFERROR(LOOKUP(2,1/(Soja!$E15:INDEX(Soja!$E15:$Z15,MIN(X$6-$G$3,22))&lt;&gt;""),Soja!$E15:INDEX(Soja!$E15:$Z15,MIN(X$6-$G$3,22))),0)))))</f>
        <v>0</v>
      </c>
      <c r="Y17" s="27" t="n">
        <f aca="false">IF(COUNT(Soja!$E15:$Z15)=0,0,MAX(0,IF((Y$6-$E$3)&lt;1,0,IFERROR(LOOKUP(2,1/(Soja!$E15:INDEX(Soja!$E15:$Z15,MIN(Y$6-$E$3,22))&lt;&gt;""),Soja!$E15:INDEX(Soja!$E15:$Z15,MIN(Y$6-$E$3,22))),0))-IF($G$2,0,IF((Y$6-$G$3)&lt;1,0,IFERROR(LOOKUP(2,1/(Soja!$E15:INDEX(Soja!$E15:$Z15,MIN(Y$6-$G$3,22))&lt;&gt;""),Soja!$E15:INDEX(Soja!$E15:$Z15,MIN(Y$6-$G$3,22))),0)))))</f>
        <v>0</v>
      </c>
      <c r="Z17" s="27" t="n">
        <f aca="false">IF(COUNT(Soja!$E15:$Z15)=0,0,MAX(0,IF((Z$6-$E$3)&lt;1,0,IFERROR(LOOKUP(2,1/(Soja!$E15:INDEX(Soja!$E15:$Z15,MIN(Z$6-$E$3,22))&lt;&gt;""),Soja!$E15:INDEX(Soja!$E15:$Z15,MIN(Z$6-$E$3,22))),0))-IF($G$2,0,IF((Z$6-$G$3)&lt;1,0,IFERROR(LOOKUP(2,1/(Soja!$E15:INDEX(Soja!$E15:$Z15,MIN(Z$6-$G$3,22))&lt;&gt;""),Soja!$E15:INDEX(Soja!$E15:$Z15,MIN(Z$6-$G$3,22))),0)))))</f>
        <v>0</v>
      </c>
      <c r="AA17" s="27" t="n">
        <f aca="false">IF(COUNT(Soja!$E15:$Z15)=0,0,MAX(0,IF((AA$6-$E$3)&lt;1,0,IFERROR(LOOKUP(2,1/(Soja!$E15:INDEX(Soja!$E15:$Z15,MIN(AA$6-$E$3,22))&lt;&gt;""),Soja!$E15:INDEX(Soja!$E15:$Z15,MIN(AA$6-$E$3,22))),0))-IF($G$2,0,IF((AA$6-$G$3)&lt;1,0,IFERROR(LOOKUP(2,1/(Soja!$E15:INDEX(Soja!$E15:$Z15,MIN(AA$6-$G$3,22))&lt;&gt;""),Soja!$E15:INDEX(Soja!$E15:$Z15,MIN(AA$6-$G$3,22))),0)))))</f>
        <v>0</v>
      </c>
      <c r="AB17" s="27" t="n">
        <f aca="false">IF(COUNT(Soja!$E15:$Z15)=0,0,MAX(0,IF((AB$6-$E$3)&lt;1,0,IFERROR(LOOKUP(2,1/(Soja!$E15:INDEX(Soja!$E15:$Z15,MIN(AB$6-$E$3,22))&lt;&gt;""),Soja!$E15:INDEX(Soja!$E15:$Z15,MIN(AB$6-$E$3,22))),0))-IF($G$2,0,IF((AB$6-$G$3)&lt;1,0,IFERROR(LOOKUP(2,1/(Soja!$E15:INDEX(Soja!$E15:$Z15,MIN(AB$6-$G$3,22))&lt;&gt;""),Soja!$E15:INDEX(Soja!$E15:$Z15,MIN(AB$6-$G$3,22))),0)))))</f>
        <v>0</v>
      </c>
      <c r="AC17" s="27" t="n">
        <f aca="false">IF(COUNT(Soja!$E15:$Z15)=0,0,MAX(0,IF((AC$6-$E$3)&lt;1,0,IFERROR(LOOKUP(2,1/(Soja!$E15:INDEX(Soja!$E15:$Z15,MIN(AC$6-$E$3,22))&lt;&gt;""),Soja!$E15:INDEX(Soja!$E15:$Z15,MIN(AC$6-$E$3,22))),0))-IF($G$2,0,IF((AC$6-$G$3)&lt;1,0,IFERROR(LOOKUP(2,1/(Soja!$E15:INDEX(Soja!$E15:$Z15,MIN(AC$6-$G$3,22))&lt;&gt;""),Soja!$E15:INDEX(Soja!$E15:$Z15,MIN(AC$6-$G$3,22))),0)))))</f>
        <v>0</v>
      </c>
      <c r="AD17" s="27" t="n">
        <f aca="false">IF(COUNT(Soja!$E15:$Z15)=0,0,MAX(0,IF((AD$6-$E$3)&lt;1,0,IFERROR(LOOKUP(2,1/(Soja!$E15:INDEX(Soja!$E15:$Z15,MIN(AD$6-$E$3,22))&lt;&gt;""),Soja!$E15:INDEX(Soja!$E15:$Z15,MIN(AD$6-$E$3,22))),0))-IF($G$2,0,IF((AD$6-$G$3)&lt;1,0,IFERROR(LOOKUP(2,1/(Soja!$E15:INDEX(Soja!$E15:$Z15,MIN(AD$6-$G$3,22))&lt;&gt;""),Soja!$E15:INDEX(Soja!$E15:$Z15,MIN(AD$6-$G$3,22))),0)))))</f>
        <v>0</v>
      </c>
      <c r="AE17" s="27" t="n">
        <f aca="false">IF(COUNT(Soja!$E15:$Z15)=0,0,MAX(0,IF((AE$6-$E$3)&lt;1,0,IFERROR(LOOKUP(2,1/(Soja!$E15:INDEX(Soja!$E15:$Z15,MIN(AE$6-$E$3,22))&lt;&gt;""),Soja!$E15:INDEX(Soja!$E15:$Z15,MIN(AE$6-$E$3,22))),0))-IF($G$2,0,IF((AE$6-$G$3)&lt;1,0,IFERROR(LOOKUP(2,1/(Soja!$E15:INDEX(Soja!$E15:$Z15,MIN(AE$6-$G$3,22))&lt;&gt;""),Soja!$E15:INDEX(Soja!$E15:$Z15,MIN(AE$6-$G$3,22))),0)))))</f>
        <v>0</v>
      </c>
      <c r="AF17" s="27" t="n">
        <f aca="false">IF(COUNT(Soja!$E15:$Z15)=0,0,MAX(0,IF((AF$6-$E$3)&lt;1,0,IFERROR(LOOKUP(2,1/(Soja!$E15:INDEX(Soja!$E15:$Z15,MIN(AF$6-$E$3,22))&lt;&gt;""),Soja!$E15:INDEX(Soja!$E15:$Z15,MIN(AF$6-$E$3,22))),0))-IF($G$2,0,IF((AF$6-$G$3)&lt;1,0,IFERROR(LOOKUP(2,1/(Soja!$E15:INDEX(Soja!$E15:$Z15,MIN(AF$6-$G$3,22))&lt;&gt;""),Soja!$E15:INDEX(Soja!$E15:$Z15,MIN(AF$6-$G$3,22))),0)))))</f>
        <v>0</v>
      </c>
      <c r="AG17" s="27" t="n">
        <f aca="false">IF(COUNT(Soja!$E15:$Z15)=0,0,MAX(0,IF((AG$6-$E$3)&lt;1,0,IFERROR(LOOKUP(2,1/(Soja!$E15:INDEX(Soja!$E15:$Z15,MIN(AG$6-$E$3,22))&lt;&gt;""),Soja!$E15:INDEX(Soja!$E15:$Z15,MIN(AG$6-$E$3,22))),0))-IF($G$2,0,IF((AG$6-$G$3)&lt;1,0,IFERROR(LOOKUP(2,1/(Soja!$E15:INDEX(Soja!$E15:$Z15,MIN(AG$6-$G$3,22))&lt;&gt;""),Soja!$E15:INDEX(Soja!$E15:$Z15,MIN(AG$6-$G$3,22))),0)))))</f>
        <v>0</v>
      </c>
      <c r="AH17" s="27" t="n">
        <f aca="false">IF(COUNT(Soja!$E15:$Z15)=0,0,MAX(0,IF((AH$6-$E$3)&lt;1,0,IFERROR(LOOKUP(2,1/(Soja!$E15:INDEX(Soja!$E15:$Z15,MIN(AH$6-$E$3,22))&lt;&gt;""),Soja!$E15:INDEX(Soja!$E15:$Z15,MIN(AH$6-$E$3,22))),0))-IF($G$2,0,IF((AH$6-$G$3)&lt;1,0,IFERROR(LOOKUP(2,1/(Soja!$E15:INDEX(Soja!$E15:$Z15,MIN(AH$6-$G$3,22))&lt;&gt;""),Soja!$E15:INDEX(Soja!$E15:$Z15,MIN(AH$6-$G$3,22))),0)))))</f>
        <v>0</v>
      </c>
      <c r="AI17" s="27" t="n">
        <f aca="false">IF(COUNT(Soja!$E15:$Z15)=0,0,MAX(0,IF((AI$6-$E$3)&lt;1,0,IFERROR(LOOKUP(2,1/(Soja!$E15:INDEX(Soja!$E15:$Z15,MIN(AI$6-$E$3,22))&lt;&gt;""),Soja!$E15:INDEX(Soja!$E15:$Z15,MIN(AI$6-$E$3,22))),0))-IF($G$2,0,IF((AI$6-$G$3)&lt;1,0,IFERROR(LOOKUP(2,1/(Soja!$E15:INDEX(Soja!$E15:$Z15,MIN(AI$6-$G$3,22))&lt;&gt;""),Soja!$E15:INDEX(Soja!$E15:$Z15,MIN(AI$6-$G$3,22))),0)))))</f>
        <v>0</v>
      </c>
      <c r="AJ17" s="27" t="n">
        <f aca="false">IF(COUNT(Soja!$E15:$Z15)=0,0,MAX(0,IF((AJ$6-$E$3)&lt;1,0,IFERROR(LOOKUP(2,1/(Soja!$E15:INDEX(Soja!$E15:$Z15,MIN(AJ$6-$E$3,22))&lt;&gt;""),Soja!$E15:INDEX(Soja!$E15:$Z15,MIN(AJ$6-$E$3,22))),0))-IF($G$2,0,IF((AJ$6-$G$3)&lt;1,0,IFERROR(LOOKUP(2,1/(Soja!$E15:INDEX(Soja!$E15:$Z15,MIN(AJ$6-$G$3,22))&lt;&gt;""),Soja!$E15:INDEX(Soja!$E15:$Z15,MIN(AJ$6-$G$3,22))),0)))))</f>
        <v>0</v>
      </c>
      <c r="AK17" s="27" t="n">
        <f aca="false">IF(COUNT(Soja!$E15:$Z15)=0,0,MAX(0,IF((AK$6-$E$3)&lt;1,0,IFERROR(LOOKUP(2,1/(Soja!$E15:INDEX(Soja!$E15:$Z15,MIN(AK$6-$E$3,22))&lt;&gt;""),Soja!$E15:INDEX(Soja!$E15:$Z15,MIN(AK$6-$E$3,22))),0))-IF($G$2,0,IF((AK$6-$G$3)&lt;1,0,IFERROR(LOOKUP(2,1/(Soja!$E15:INDEX(Soja!$E15:$Z15,MIN(AK$6-$G$3,22))&lt;&gt;""),Soja!$E15:INDEX(Soja!$E15:$Z15,MIN(AK$6-$G$3,22))),0)))))</f>
        <v>0</v>
      </c>
      <c r="AL17" s="27" t="n">
        <f aca="false">IF(COUNT(Soja!$E15:$Z15)=0,0,MAX(0,IF((AL$6-$E$3)&lt;1,0,IFERROR(LOOKUP(2,1/(Soja!$E15:INDEX(Soja!$E15:$Z15,MIN(AL$6-$E$3,22))&lt;&gt;""),Soja!$E15:INDEX(Soja!$E15:$Z15,MIN(AL$6-$E$3,22))),0))-IF($G$2,0,IF((AL$6-$G$3)&lt;1,0,IFERROR(LOOKUP(2,1/(Soja!$E15:INDEX(Soja!$E15:$Z15,MIN(AL$6-$G$3,22))&lt;&gt;""),Soja!$E15:INDEX(Soja!$E15:$Z15,MIN(AL$6-$G$3,22))),0)))))</f>
        <v>0</v>
      </c>
      <c r="AM17" s="27" t="n">
        <f aca="false">IF(COUNT(Soja!$E15:$Z15)=0,0,MAX(0,IF((AM$6-$E$3)&lt;1,0,IFERROR(LOOKUP(2,1/(Soja!$E15:INDEX(Soja!$E15:$Z15,MIN(AM$6-$E$3,22))&lt;&gt;""),Soja!$E15:INDEX(Soja!$E15:$Z15,MIN(AM$6-$E$3,22))),0))-IF($G$2,0,IF((AM$6-$G$3)&lt;1,0,IFERROR(LOOKUP(2,1/(Soja!$E15:INDEX(Soja!$E15:$Z15,MIN(AM$6-$G$3,22))&lt;&gt;""),Soja!$E15:INDEX(Soja!$E15:$Z15,MIN(AM$6-$G$3,22))),0)))))</f>
        <v>0</v>
      </c>
      <c r="AN17" s="27" t="n">
        <f aca="false">IF(COUNT(Soja!$E15:$Z15)=0,0,MAX(0,IF((AN$6-$E$3)&lt;1,0,IFERROR(LOOKUP(2,1/(Soja!$E15:INDEX(Soja!$E15:$Z15,MIN(AN$6-$E$3,22))&lt;&gt;""),Soja!$E15:INDEX(Soja!$E15:$Z15,MIN(AN$6-$E$3,22))),0))-IF($G$2,0,IF((AN$6-$G$3)&lt;1,0,IFERROR(LOOKUP(2,1/(Soja!$E15:INDEX(Soja!$E15:$Z15,MIN(AN$6-$G$3,22))&lt;&gt;""),Soja!$E15:INDEX(Soja!$E15:$Z15,MIN(AN$6-$G$3,22))),0)))))</f>
        <v>0</v>
      </c>
      <c r="AO17" s="27" t="n">
        <f aca="false">IF(COUNT(Soja!$E15:$Z15)=0,0,MAX(0,IF((AO$6-$E$3)&lt;1,0,IFERROR(LOOKUP(2,1/(Soja!$E15:INDEX(Soja!$E15:$Z15,MIN(AO$6-$E$3,22))&lt;&gt;""),Soja!$E15:INDEX(Soja!$E15:$Z15,MIN(AO$6-$E$3,22))),0))-IF($G$2,0,IF((AO$6-$G$3)&lt;1,0,IFERROR(LOOKUP(2,1/(Soja!$E15:INDEX(Soja!$E15:$Z15,MIN(AO$6-$G$3,22))&lt;&gt;""),Soja!$E15:INDEX(Soja!$E15:$Z15,MIN(AO$6-$G$3,22))),0)))))</f>
        <v>0</v>
      </c>
      <c r="AP17" s="27" t="n">
        <f aca="false">IF(COUNT(Soja!$E15:$Z15)=0,0,MAX(0,IF((AP$6-$E$3)&lt;1,0,IFERROR(LOOKUP(2,1/(Soja!$E15:INDEX(Soja!$E15:$Z15,MIN(AP$6-$E$3,22))&lt;&gt;""),Soja!$E15:INDEX(Soja!$E15:$Z15,MIN(AP$6-$E$3,22))),0))-IF($G$2,0,IF((AP$6-$G$3)&lt;1,0,IFERROR(LOOKUP(2,1/(Soja!$E15:INDEX(Soja!$E15:$Z15,MIN(AP$6-$G$3,22))&lt;&gt;""),Soja!$E15:INDEX(Soja!$E15:$Z15,MIN(AP$6-$G$3,22))),0)))))</f>
        <v>0</v>
      </c>
      <c r="AQ17" s="27" t="n">
        <f aca="false">IF(COUNT(Soja!$E15:$Z15)=0,0,MAX(0,IF((AQ$6-$E$3)&lt;1,0,IFERROR(LOOKUP(2,1/(Soja!$E15:INDEX(Soja!$E15:$Z15,MIN(AQ$6-$E$3,22))&lt;&gt;""),Soja!$E15:INDEX(Soja!$E15:$Z15,MIN(AQ$6-$E$3,22))),0))-IF($G$2,0,IF((AQ$6-$G$3)&lt;1,0,IFERROR(LOOKUP(2,1/(Soja!$E15:INDEX(Soja!$E15:$Z15,MIN(AQ$6-$G$3,22))&lt;&gt;""),Soja!$E15:INDEX(Soja!$E15:$Z15,MIN(AQ$6-$G$3,22))),0)))))</f>
        <v>0</v>
      </c>
      <c r="AR17" s="27" t="n">
        <f aca="false">IF(COUNT(Soja!$E15:$Z15)=0,0,MAX(0,IF((AR$6-$E$3)&lt;1,0,IFERROR(LOOKUP(2,1/(Soja!$E15:INDEX(Soja!$E15:$Z15,MIN(AR$6-$E$3,22))&lt;&gt;""),Soja!$E15:INDEX(Soja!$E15:$Z15,MIN(AR$6-$E$3,22))),0))-IF($G$2,0,IF((AR$6-$G$3)&lt;1,0,IFERROR(LOOKUP(2,1/(Soja!$E15:INDEX(Soja!$E15:$Z15,MIN(AR$6-$G$3,22))&lt;&gt;""),Soja!$E15:INDEX(Soja!$E15:$Z15,MIN(AR$6-$G$3,22))),0)))))</f>
        <v>0</v>
      </c>
      <c r="AS17" s="27" t="n">
        <f aca="false">IF(COUNT(Soja!$E15:$Z15)=0,0,MAX(0,IF((AS$6-$E$3)&lt;1,0,IFERROR(LOOKUP(2,1/(Soja!$E15:INDEX(Soja!$E15:$Z15,MIN(AS$6-$E$3,22))&lt;&gt;""),Soja!$E15:INDEX(Soja!$E15:$Z15,MIN(AS$6-$E$3,22))),0))-IF($G$2,0,IF((AS$6-$G$3)&lt;1,0,IFERROR(LOOKUP(2,1/(Soja!$E15:INDEX(Soja!$E15:$Z15,MIN(AS$6-$G$3,22))&lt;&gt;""),Soja!$E15:INDEX(Soja!$E15:$Z15,MIN(AS$6-$G$3,22))),0)))))</f>
        <v>0</v>
      </c>
      <c r="AT17" s="27" t="n">
        <f aca="false">IF(COUNT(Soja!$E15:$Z15)=0,0,MAX(0,IF((AT$6-$E$3)&lt;1,0,IFERROR(LOOKUP(2,1/(Soja!$E15:INDEX(Soja!$E15:$Z15,MIN(AT$6-$E$3,22))&lt;&gt;""),Soja!$E15:INDEX(Soja!$E15:$Z15,MIN(AT$6-$E$3,22))),0))-IF($G$2,0,IF((AT$6-$G$3)&lt;1,0,IFERROR(LOOKUP(2,1/(Soja!$E15:INDEX(Soja!$E15:$Z15,MIN(AT$6-$G$3,22))&lt;&gt;""),Soja!$E15:INDEX(Soja!$E15:$Z15,MIN(AT$6-$G$3,22))),0)))))</f>
        <v>0</v>
      </c>
      <c r="AU17" s="27" t="n">
        <f aca="false">IF(COUNT(Soja!$E15:$Z15)=0,0,MAX(0,IF((AU$6-$E$3)&lt;1,0,IFERROR(LOOKUP(2,1/(Soja!$E15:INDEX(Soja!$E15:$Z15,MIN(AU$6-$E$3,22))&lt;&gt;""),Soja!$E15:INDEX(Soja!$E15:$Z15,MIN(AU$6-$E$3,22))),0))-IF($G$2,0,IF((AU$6-$G$3)&lt;1,0,IFERROR(LOOKUP(2,1/(Soja!$E15:INDEX(Soja!$E15:$Z15,MIN(AU$6-$G$3,22))&lt;&gt;""),Soja!$E15:INDEX(Soja!$E15:$Z15,MIN(AU$6-$G$3,22))),0)))))</f>
        <v>0</v>
      </c>
      <c r="AV17" s="27" t="n">
        <f aca="false">IF(COUNT(Soja!$E15:$Z15)=0,0,MAX(0,IF((AV$6-$E$3)&lt;1,0,IFERROR(LOOKUP(2,1/(Soja!$E15:INDEX(Soja!$E15:$Z15,MIN(AV$6-$E$3,22))&lt;&gt;""),Soja!$E15:INDEX(Soja!$E15:$Z15,MIN(AV$6-$E$3,22))),0))-IF($G$2,0,IF((AV$6-$G$3)&lt;1,0,IFERROR(LOOKUP(2,1/(Soja!$E15:INDEX(Soja!$E15:$Z15,MIN(AV$6-$G$3,22))&lt;&gt;""),Soja!$E15:INDEX(Soja!$E15:$Z15,MIN(AV$6-$G$3,22))),0)))))</f>
        <v>0</v>
      </c>
      <c r="AW17" s="27" t="n">
        <f aca="false">IF(COUNT(Soja!$E15:$Z15)=0,0,MAX(0,IF((AW$6-$E$3)&lt;1,0,IFERROR(LOOKUP(2,1/(Soja!$E15:INDEX(Soja!$E15:$Z15,MIN(AW$6-$E$3,22))&lt;&gt;""),Soja!$E15:INDEX(Soja!$E15:$Z15,MIN(AW$6-$E$3,22))),0))-IF($G$2,0,IF((AW$6-$G$3)&lt;1,0,IFERROR(LOOKUP(2,1/(Soja!$E15:INDEX(Soja!$E15:$Z15,MIN(AW$6-$G$3,22))&lt;&gt;""),Soja!$E15:INDEX(Soja!$E15:$Z15,MIN(AW$6-$G$3,22))),0)))))</f>
        <v>0</v>
      </c>
      <c r="AX17" s="27" t="n">
        <f aca="false">IF(COUNT(Soja!$E15:$Z15)=0,0,MAX(0,IF((AX$6-$E$3)&lt;1,0,IFERROR(LOOKUP(2,1/(Soja!$E15:INDEX(Soja!$E15:$Z15,MIN(AX$6-$E$3,22))&lt;&gt;""),Soja!$E15:INDEX(Soja!$E15:$Z15,MIN(AX$6-$E$3,22))),0))-IF($G$2,0,IF((AX$6-$G$3)&lt;1,0,IFERROR(LOOKUP(2,1/(Soja!$E15:INDEX(Soja!$E15:$Z15,MIN(AX$6-$G$3,22))&lt;&gt;""),Soja!$E15:INDEX(Soja!$E15:$Z15,MIN(AX$6-$G$3,22))),0)))))</f>
        <v>0</v>
      </c>
      <c r="AY17" s="27" t="n">
        <f aca="false">IF(COUNT(Soja!$E15:$Z15)=0,0,MAX(0,IF((AY$6-$E$3)&lt;1,0,IFERROR(LOOKUP(2,1/(Soja!$E15:INDEX(Soja!$E15:$Z15,MIN(AY$6-$E$3,22))&lt;&gt;""),Soja!$E15:INDEX(Soja!$E15:$Z15,MIN(AY$6-$E$3,22))),0))-IF($G$2,0,IF((AY$6-$G$3)&lt;1,0,IFERROR(LOOKUP(2,1/(Soja!$E15:INDEX(Soja!$E15:$Z15,MIN(AY$6-$G$3,22))&lt;&gt;""),Soja!$E15:INDEX(Soja!$E15:$Z15,MIN(AY$6-$G$3,22))),0)))))</f>
        <v>0</v>
      </c>
      <c r="AZ17" s="27" t="n">
        <f aca="false">IF(COUNT(Soja!$E15:$Z15)=0,0,MAX(0,IF((AZ$6-$E$3)&lt;1,0,IFERROR(LOOKUP(2,1/(Soja!$E15:INDEX(Soja!$E15:$Z15,MIN(AZ$6-$E$3,22))&lt;&gt;""),Soja!$E15:INDEX(Soja!$E15:$Z15,MIN(AZ$6-$E$3,22))),0))-IF($G$2,0,IF((AZ$6-$G$3)&lt;1,0,IFERROR(LOOKUP(2,1/(Soja!$E15:INDEX(Soja!$E15:$Z15,MIN(AZ$6-$G$3,22))&lt;&gt;""),Soja!$E15:INDEX(Soja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IF(COUNT(Soja!$E16:$Z16)&gt;0,N(Soja!$D16),0)</f>
        <v>0</v>
      </c>
      <c r="E18" s="27" t="n">
        <f aca="false">IF(COUNT(Soja!$E16:$Z16)=0,0,MAX(0,IF((E$6-$E$3)&lt;1,0,IFERROR(LOOKUP(2,1/(Soja!$E16:INDEX(Soja!$E16:$Z16,MIN(E$6-$E$3,22))&lt;&gt;""),Soja!$E16:INDEX(Soja!$E16:$Z16,MIN(E$6-$E$3,22))),0))-IF($G$2,0,IF((E$6-$G$3)&lt;1,0,IFERROR(LOOKUP(2,1/(Soja!$E16:INDEX(Soja!$E16:$Z16,MIN(E$6-$G$3,22))&lt;&gt;""),Soja!$E16:INDEX(Soja!$E16:$Z16,MIN(E$6-$G$3,22))),0)))))</f>
        <v>0</v>
      </c>
      <c r="F18" s="27" t="n">
        <f aca="false">IF(COUNT(Soja!$E16:$Z16)=0,0,MAX(0,IF((F$6-$E$3)&lt;1,0,IFERROR(LOOKUP(2,1/(Soja!$E16:INDEX(Soja!$E16:$Z16,MIN(F$6-$E$3,22))&lt;&gt;""),Soja!$E16:INDEX(Soja!$E16:$Z16,MIN(F$6-$E$3,22))),0))-IF($G$2,0,IF((F$6-$G$3)&lt;1,0,IFERROR(LOOKUP(2,1/(Soja!$E16:INDEX(Soja!$E16:$Z16,MIN(F$6-$G$3,22))&lt;&gt;""),Soja!$E16:INDEX(Soja!$E16:$Z16,MIN(F$6-$G$3,22))),0)))))</f>
        <v>0</v>
      </c>
      <c r="G18" s="27" t="n">
        <f aca="false">IF(COUNT(Soja!$E16:$Z16)=0,0,MAX(0,IF((G$6-$E$3)&lt;1,0,IFERROR(LOOKUP(2,1/(Soja!$E16:INDEX(Soja!$E16:$Z16,MIN(G$6-$E$3,22))&lt;&gt;""),Soja!$E16:INDEX(Soja!$E16:$Z16,MIN(G$6-$E$3,22))),0))-IF($G$2,0,IF((G$6-$G$3)&lt;1,0,IFERROR(LOOKUP(2,1/(Soja!$E16:INDEX(Soja!$E16:$Z16,MIN(G$6-$G$3,22))&lt;&gt;""),Soja!$E16:INDEX(Soja!$E16:$Z16,MIN(G$6-$G$3,22))),0)))))</f>
        <v>0</v>
      </c>
      <c r="H18" s="27" t="n">
        <f aca="false">IF(COUNT(Soja!$E16:$Z16)=0,0,MAX(0,IF((H$6-$E$3)&lt;1,0,IFERROR(LOOKUP(2,1/(Soja!$E16:INDEX(Soja!$E16:$Z16,MIN(H$6-$E$3,22))&lt;&gt;""),Soja!$E16:INDEX(Soja!$E16:$Z16,MIN(H$6-$E$3,22))),0))-IF($G$2,0,IF((H$6-$G$3)&lt;1,0,IFERROR(LOOKUP(2,1/(Soja!$E16:INDEX(Soja!$E16:$Z16,MIN(H$6-$G$3,22))&lt;&gt;""),Soja!$E16:INDEX(Soja!$E16:$Z16,MIN(H$6-$G$3,22))),0)))))</f>
        <v>0</v>
      </c>
      <c r="I18" s="27" t="n">
        <f aca="false">IF(COUNT(Soja!$E16:$Z16)=0,0,MAX(0,IF((I$6-$E$3)&lt;1,0,IFERROR(LOOKUP(2,1/(Soja!$E16:INDEX(Soja!$E16:$Z16,MIN(I$6-$E$3,22))&lt;&gt;""),Soja!$E16:INDEX(Soja!$E16:$Z16,MIN(I$6-$E$3,22))),0))-IF($G$2,0,IF((I$6-$G$3)&lt;1,0,IFERROR(LOOKUP(2,1/(Soja!$E16:INDEX(Soja!$E16:$Z16,MIN(I$6-$G$3,22))&lt;&gt;""),Soja!$E16:INDEX(Soja!$E16:$Z16,MIN(I$6-$G$3,22))),0)))))</f>
        <v>0</v>
      </c>
      <c r="J18" s="27" t="n">
        <f aca="false">IF(COUNT(Soja!$E16:$Z16)=0,0,MAX(0,IF((J$6-$E$3)&lt;1,0,IFERROR(LOOKUP(2,1/(Soja!$E16:INDEX(Soja!$E16:$Z16,MIN(J$6-$E$3,22))&lt;&gt;""),Soja!$E16:INDEX(Soja!$E16:$Z16,MIN(J$6-$E$3,22))),0))-IF($G$2,0,IF((J$6-$G$3)&lt;1,0,IFERROR(LOOKUP(2,1/(Soja!$E16:INDEX(Soja!$E16:$Z16,MIN(J$6-$G$3,22))&lt;&gt;""),Soja!$E16:INDEX(Soja!$E16:$Z16,MIN(J$6-$G$3,22))),0)))))</f>
        <v>0</v>
      </c>
      <c r="K18" s="27" t="n">
        <f aca="false">IF(COUNT(Soja!$E16:$Z16)=0,0,MAX(0,IF((K$6-$E$3)&lt;1,0,IFERROR(LOOKUP(2,1/(Soja!$E16:INDEX(Soja!$E16:$Z16,MIN(K$6-$E$3,22))&lt;&gt;""),Soja!$E16:INDEX(Soja!$E16:$Z16,MIN(K$6-$E$3,22))),0))-IF($G$2,0,IF((K$6-$G$3)&lt;1,0,IFERROR(LOOKUP(2,1/(Soja!$E16:INDEX(Soja!$E16:$Z16,MIN(K$6-$G$3,22))&lt;&gt;""),Soja!$E16:INDEX(Soja!$E16:$Z16,MIN(K$6-$G$3,22))),0)))))</f>
        <v>0</v>
      </c>
      <c r="L18" s="27" t="n">
        <f aca="false">IF(COUNT(Soja!$E16:$Z16)=0,0,MAX(0,IF((L$6-$E$3)&lt;1,0,IFERROR(LOOKUP(2,1/(Soja!$E16:INDEX(Soja!$E16:$Z16,MIN(L$6-$E$3,22))&lt;&gt;""),Soja!$E16:INDEX(Soja!$E16:$Z16,MIN(L$6-$E$3,22))),0))-IF($G$2,0,IF((L$6-$G$3)&lt;1,0,IFERROR(LOOKUP(2,1/(Soja!$E16:INDEX(Soja!$E16:$Z16,MIN(L$6-$G$3,22))&lt;&gt;""),Soja!$E16:INDEX(Soja!$E16:$Z16,MIN(L$6-$G$3,22))),0)))))</f>
        <v>0</v>
      </c>
      <c r="M18" s="27" t="n">
        <f aca="false">IF(COUNT(Soja!$E16:$Z16)=0,0,MAX(0,IF((M$6-$E$3)&lt;1,0,IFERROR(LOOKUP(2,1/(Soja!$E16:INDEX(Soja!$E16:$Z16,MIN(M$6-$E$3,22))&lt;&gt;""),Soja!$E16:INDEX(Soja!$E16:$Z16,MIN(M$6-$E$3,22))),0))-IF($G$2,0,IF((M$6-$G$3)&lt;1,0,IFERROR(LOOKUP(2,1/(Soja!$E16:INDEX(Soja!$E16:$Z16,MIN(M$6-$G$3,22))&lt;&gt;""),Soja!$E16:INDEX(Soja!$E16:$Z16,MIN(M$6-$G$3,22))),0)))))</f>
        <v>0</v>
      </c>
      <c r="N18" s="27" t="n">
        <f aca="false">IF(COUNT(Soja!$E16:$Z16)=0,0,MAX(0,IF((N$6-$E$3)&lt;1,0,IFERROR(LOOKUP(2,1/(Soja!$E16:INDEX(Soja!$E16:$Z16,MIN(N$6-$E$3,22))&lt;&gt;""),Soja!$E16:INDEX(Soja!$E16:$Z16,MIN(N$6-$E$3,22))),0))-IF($G$2,0,IF((N$6-$G$3)&lt;1,0,IFERROR(LOOKUP(2,1/(Soja!$E16:INDEX(Soja!$E16:$Z16,MIN(N$6-$G$3,22))&lt;&gt;""),Soja!$E16:INDEX(Soja!$E16:$Z16,MIN(N$6-$G$3,22))),0)))))</f>
        <v>0</v>
      </c>
      <c r="O18" s="27" t="n">
        <f aca="false">IF(COUNT(Soja!$E16:$Z16)=0,0,MAX(0,IF((O$6-$E$3)&lt;1,0,IFERROR(LOOKUP(2,1/(Soja!$E16:INDEX(Soja!$E16:$Z16,MIN(O$6-$E$3,22))&lt;&gt;""),Soja!$E16:INDEX(Soja!$E16:$Z16,MIN(O$6-$E$3,22))),0))-IF($G$2,0,IF((O$6-$G$3)&lt;1,0,IFERROR(LOOKUP(2,1/(Soja!$E16:INDEX(Soja!$E16:$Z16,MIN(O$6-$G$3,22))&lt;&gt;""),Soja!$E16:INDEX(Soja!$E16:$Z16,MIN(O$6-$G$3,22))),0)))))</f>
        <v>0</v>
      </c>
      <c r="P18" s="27" t="n">
        <f aca="false">IF(COUNT(Soja!$E16:$Z16)=0,0,MAX(0,IF((P$6-$E$3)&lt;1,0,IFERROR(LOOKUP(2,1/(Soja!$E16:INDEX(Soja!$E16:$Z16,MIN(P$6-$E$3,22))&lt;&gt;""),Soja!$E16:INDEX(Soja!$E16:$Z16,MIN(P$6-$E$3,22))),0))-IF($G$2,0,IF((P$6-$G$3)&lt;1,0,IFERROR(LOOKUP(2,1/(Soja!$E16:INDEX(Soja!$E16:$Z16,MIN(P$6-$G$3,22))&lt;&gt;""),Soja!$E16:INDEX(Soja!$E16:$Z16,MIN(P$6-$G$3,22))),0)))))</f>
        <v>0</v>
      </c>
      <c r="Q18" s="27" t="n">
        <f aca="false">IF(COUNT(Soja!$E16:$Z16)=0,0,MAX(0,IF((Q$6-$E$3)&lt;1,0,IFERROR(LOOKUP(2,1/(Soja!$E16:INDEX(Soja!$E16:$Z16,MIN(Q$6-$E$3,22))&lt;&gt;""),Soja!$E16:INDEX(Soja!$E16:$Z16,MIN(Q$6-$E$3,22))),0))-IF($G$2,0,IF((Q$6-$G$3)&lt;1,0,IFERROR(LOOKUP(2,1/(Soja!$E16:INDEX(Soja!$E16:$Z16,MIN(Q$6-$G$3,22))&lt;&gt;""),Soja!$E16:INDEX(Soja!$E16:$Z16,MIN(Q$6-$G$3,22))),0)))))</f>
        <v>0</v>
      </c>
      <c r="R18" s="27" t="n">
        <f aca="false">IF(COUNT(Soja!$E16:$Z16)=0,0,MAX(0,IF((R$6-$E$3)&lt;1,0,IFERROR(LOOKUP(2,1/(Soja!$E16:INDEX(Soja!$E16:$Z16,MIN(R$6-$E$3,22))&lt;&gt;""),Soja!$E16:INDEX(Soja!$E16:$Z16,MIN(R$6-$E$3,22))),0))-IF($G$2,0,IF((R$6-$G$3)&lt;1,0,IFERROR(LOOKUP(2,1/(Soja!$E16:INDEX(Soja!$E16:$Z16,MIN(R$6-$G$3,22))&lt;&gt;""),Soja!$E16:INDEX(Soja!$E16:$Z16,MIN(R$6-$G$3,22))),0)))))</f>
        <v>0</v>
      </c>
      <c r="S18" s="27" t="n">
        <f aca="false">IF(COUNT(Soja!$E16:$Z16)=0,0,MAX(0,IF((S$6-$E$3)&lt;1,0,IFERROR(LOOKUP(2,1/(Soja!$E16:INDEX(Soja!$E16:$Z16,MIN(S$6-$E$3,22))&lt;&gt;""),Soja!$E16:INDEX(Soja!$E16:$Z16,MIN(S$6-$E$3,22))),0))-IF($G$2,0,IF((S$6-$G$3)&lt;1,0,IFERROR(LOOKUP(2,1/(Soja!$E16:INDEX(Soja!$E16:$Z16,MIN(S$6-$G$3,22))&lt;&gt;""),Soja!$E16:INDEX(Soja!$E16:$Z16,MIN(S$6-$G$3,22))),0)))))</f>
        <v>0</v>
      </c>
      <c r="T18" s="27" t="n">
        <f aca="false">IF(COUNT(Soja!$E16:$Z16)=0,0,MAX(0,IF((T$6-$E$3)&lt;1,0,IFERROR(LOOKUP(2,1/(Soja!$E16:INDEX(Soja!$E16:$Z16,MIN(T$6-$E$3,22))&lt;&gt;""),Soja!$E16:INDEX(Soja!$E16:$Z16,MIN(T$6-$E$3,22))),0))-IF($G$2,0,IF((T$6-$G$3)&lt;1,0,IFERROR(LOOKUP(2,1/(Soja!$E16:INDEX(Soja!$E16:$Z16,MIN(T$6-$G$3,22))&lt;&gt;""),Soja!$E16:INDEX(Soja!$E16:$Z16,MIN(T$6-$G$3,22))),0)))))</f>
        <v>0</v>
      </c>
      <c r="U18" s="27" t="n">
        <f aca="false">IF(COUNT(Soja!$E16:$Z16)=0,0,MAX(0,IF((U$6-$E$3)&lt;1,0,IFERROR(LOOKUP(2,1/(Soja!$E16:INDEX(Soja!$E16:$Z16,MIN(U$6-$E$3,22))&lt;&gt;""),Soja!$E16:INDEX(Soja!$E16:$Z16,MIN(U$6-$E$3,22))),0))-IF($G$2,0,IF((U$6-$G$3)&lt;1,0,IFERROR(LOOKUP(2,1/(Soja!$E16:INDEX(Soja!$E16:$Z16,MIN(U$6-$G$3,22))&lt;&gt;""),Soja!$E16:INDEX(Soja!$E16:$Z16,MIN(U$6-$G$3,22))),0)))))</f>
        <v>0</v>
      </c>
      <c r="V18" s="27" t="n">
        <f aca="false">IF(COUNT(Soja!$E16:$Z16)=0,0,MAX(0,IF((V$6-$E$3)&lt;1,0,IFERROR(LOOKUP(2,1/(Soja!$E16:INDEX(Soja!$E16:$Z16,MIN(V$6-$E$3,22))&lt;&gt;""),Soja!$E16:INDEX(Soja!$E16:$Z16,MIN(V$6-$E$3,22))),0))-IF($G$2,0,IF((V$6-$G$3)&lt;1,0,IFERROR(LOOKUP(2,1/(Soja!$E16:INDEX(Soja!$E16:$Z16,MIN(V$6-$G$3,22))&lt;&gt;""),Soja!$E16:INDEX(Soja!$E16:$Z16,MIN(V$6-$G$3,22))),0)))))</f>
        <v>0</v>
      </c>
      <c r="W18" s="27" t="n">
        <f aca="false">IF(COUNT(Soja!$E16:$Z16)=0,0,MAX(0,IF((W$6-$E$3)&lt;1,0,IFERROR(LOOKUP(2,1/(Soja!$E16:INDEX(Soja!$E16:$Z16,MIN(W$6-$E$3,22))&lt;&gt;""),Soja!$E16:INDEX(Soja!$E16:$Z16,MIN(W$6-$E$3,22))),0))-IF($G$2,0,IF((W$6-$G$3)&lt;1,0,IFERROR(LOOKUP(2,1/(Soja!$E16:INDEX(Soja!$E16:$Z16,MIN(W$6-$G$3,22))&lt;&gt;""),Soja!$E16:INDEX(Soja!$E16:$Z16,MIN(W$6-$G$3,22))),0)))))</f>
        <v>0</v>
      </c>
      <c r="X18" s="27" t="n">
        <f aca="false">IF(COUNT(Soja!$E16:$Z16)=0,0,MAX(0,IF((X$6-$E$3)&lt;1,0,IFERROR(LOOKUP(2,1/(Soja!$E16:INDEX(Soja!$E16:$Z16,MIN(X$6-$E$3,22))&lt;&gt;""),Soja!$E16:INDEX(Soja!$E16:$Z16,MIN(X$6-$E$3,22))),0))-IF($G$2,0,IF((X$6-$G$3)&lt;1,0,IFERROR(LOOKUP(2,1/(Soja!$E16:INDEX(Soja!$E16:$Z16,MIN(X$6-$G$3,22))&lt;&gt;""),Soja!$E16:INDEX(Soja!$E16:$Z16,MIN(X$6-$G$3,22))),0)))))</f>
        <v>0</v>
      </c>
      <c r="Y18" s="27" t="n">
        <f aca="false">IF(COUNT(Soja!$E16:$Z16)=0,0,MAX(0,IF((Y$6-$E$3)&lt;1,0,IFERROR(LOOKUP(2,1/(Soja!$E16:INDEX(Soja!$E16:$Z16,MIN(Y$6-$E$3,22))&lt;&gt;""),Soja!$E16:INDEX(Soja!$E16:$Z16,MIN(Y$6-$E$3,22))),0))-IF($G$2,0,IF((Y$6-$G$3)&lt;1,0,IFERROR(LOOKUP(2,1/(Soja!$E16:INDEX(Soja!$E16:$Z16,MIN(Y$6-$G$3,22))&lt;&gt;""),Soja!$E16:INDEX(Soja!$E16:$Z16,MIN(Y$6-$G$3,22))),0)))))</f>
        <v>0</v>
      </c>
      <c r="Z18" s="27" t="n">
        <f aca="false">IF(COUNT(Soja!$E16:$Z16)=0,0,MAX(0,IF((Z$6-$E$3)&lt;1,0,IFERROR(LOOKUP(2,1/(Soja!$E16:INDEX(Soja!$E16:$Z16,MIN(Z$6-$E$3,22))&lt;&gt;""),Soja!$E16:INDEX(Soja!$E16:$Z16,MIN(Z$6-$E$3,22))),0))-IF($G$2,0,IF((Z$6-$G$3)&lt;1,0,IFERROR(LOOKUP(2,1/(Soja!$E16:INDEX(Soja!$E16:$Z16,MIN(Z$6-$G$3,22))&lt;&gt;""),Soja!$E16:INDEX(Soja!$E16:$Z16,MIN(Z$6-$G$3,22))),0)))))</f>
        <v>0</v>
      </c>
      <c r="AA18" s="27" t="n">
        <f aca="false">IF(COUNT(Soja!$E16:$Z16)=0,0,MAX(0,IF((AA$6-$E$3)&lt;1,0,IFERROR(LOOKUP(2,1/(Soja!$E16:INDEX(Soja!$E16:$Z16,MIN(AA$6-$E$3,22))&lt;&gt;""),Soja!$E16:INDEX(Soja!$E16:$Z16,MIN(AA$6-$E$3,22))),0))-IF($G$2,0,IF((AA$6-$G$3)&lt;1,0,IFERROR(LOOKUP(2,1/(Soja!$E16:INDEX(Soja!$E16:$Z16,MIN(AA$6-$G$3,22))&lt;&gt;""),Soja!$E16:INDEX(Soja!$E16:$Z16,MIN(AA$6-$G$3,22))),0)))))</f>
        <v>0</v>
      </c>
      <c r="AB18" s="27" t="n">
        <f aca="false">IF(COUNT(Soja!$E16:$Z16)=0,0,MAX(0,IF((AB$6-$E$3)&lt;1,0,IFERROR(LOOKUP(2,1/(Soja!$E16:INDEX(Soja!$E16:$Z16,MIN(AB$6-$E$3,22))&lt;&gt;""),Soja!$E16:INDEX(Soja!$E16:$Z16,MIN(AB$6-$E$3,22))),0))-IF($G$2,0,IF((AB$6-$G$3)&lt;1,0,IFERROR(LOOKUP(2,1/(Soja!$E16:INDEX(Soja!$E16:$Z16,MIN(AB$6-$G$3,22))&lt;&gt;""),Soja!$E16:INDEX(Soja!$E16:$Z16,MIN(AB$6-$G$3,22))),0)))))</f>
        <v>0</v>
      </c>
      <c r="AC18" s="27" t="n">
        <f aca="false">IF(COUNT(Soja!$E16:$Z16)=0,0,MAX(0,IF((AC$6-$E$3)&lt;1,0,IFERROR(LOOKUP(2,1/(Soja!$E16:INDEX(Soja!$E16:$Z16,MIN(AC$6-$E$3,22))&lt;&gt;""),Soja!$E16:INDEX(Soja!$E16:$Z16,MIN(AC$6-$E$3,22))),0))-IF($G$2,0,IF((AC$6-$G$3)&lt;1,0,IFERROR(LOOKUP(2,1/(Soja!$E16:INDEX(Soja!$E16:$Z16,MIN(AC$6-$G$3,22))&lt;&gt;""),Soja!$E16:INDEX(Soja!$E16:$Z16,MIN(AC$6-$G$3,22))),0)))))</f>
        <v>0</v>
      </c>
      <c r="AD18" s="27" t="n">
        <f aca="false">IF(COUNT(Soja!$E16:$Z16)=0,0,MAX(0,IF((AD$6-$E$3)&lt;1,0,IFERROR(LOOKUP(2,1/(Soja!$E16:INDEX(Soja!$E16:$Z16,MIN(AD$6-$E$3,22))&lt;&gt;""),Soja!$E16:INDEX(Soja!$E16:$Z16,MIN(AD$6-$E$3,22))),0))-IF($G$2,0,IF((AD$6-$G$3)&lt;1,0,IFERROR(LOOKUP(2,1/(Soja!$E16:INDEX(Soja!$E16:$Z16,MIN(AD$6-$G$3,22))&lt;&gt;""),Soja!$E16:INDEX(Soja!$E16:$Z16,MIN(AD$6-$G$3,22))),0)))))</f>
        <v>0</v>
      </c>
      <c r="AE18" s="27" t="n">
        <f aca="false">IF(COUNT(Soja!$E16:$Z16)=0,0,MAX(0,IF((AE$6-$E$3)&lt;1,0,IFERROR(LOOKUP(2,1/(Soja!$E16:INDEX(Soja!$E16:$Z16,MIN(AE$6-$E$3,22))&lt;&gt;""),Soja!$E16:INDEX(Soja!$E16:$Z16,MIN(AE$6-$E$3,22))),0))-IF($G$2,0,IF((AE$6-$G$3)&lt;1,0,IFERROR(LOOKUP(2,1/(Soja!$E16:INDEX(Soja!$E16:$Z16,MIN(AE$6-$G$3,22))&lt;&gt;""),Soja!$E16:INDEX(Soja!$E16:$Z16,MIN(AE$6-$G$3,22))),0)))))</f>
        <v>0</v>
      </c>
      <c r="AF18" s="27" t="n">
        <f aca="false">IF(COUNT(Soja!$E16:$Z16)=0,0,MAX(0,IF((AF$6-$E$3)&lt;1,0,IFERROR(LOOKUP(2,1/(Soja!$E16:INDEX(Soja!$E16:$Z16,MIN(AF$6-$E$3,22))&lt;&gt;""),Soja!$E16:INDEX(Soja!$E16:$Z16,MIN(AF$6-$E$3,22))),0))-IF($G$2,0,IF((AF$6-$G$3)&lt;1,0,IFERROR(LOOKUP(2,1/(Soja!$E16:INDEX(Soja!$E16:$Z16,MIN(AF$6-$G$3,22))&lt;&gt;""),Soja!$E16:INDEX(Soja!$E16:$Z16,MIN(AF$6-$G$3,22))),0)))))</f>
        <v>0</v>
      </c>
      <c r="AG18" s="27" t="n">
        <f aca="false">IF(COUNT(Soja!$E16:$Z16)=0,0,MAX(0,IF((AG$6-$E$3)&lt;1,0,IFERROR(LOOKUP(2,1/(Soja!$E16:INDEX(Soja!$E16:$Z16,MIN(AG$6-$E$3,22))&lt;&gt;""),Soja!$E16:INDEX(Soja!$E16:$Z16,MIN(AG$6-$E$3,22))),0))-IF($G$2,0,IF((AG$6-$G$3)&lt;1,0,IFERROR(LOOKUP(2,1/(Soja!$E16:INDEX(Soja!$E16:$Z16,MIN(AG$6-$G$3,22))&lt;&gt;""),Soja!$E16:INDEX(Soja!$E16:$Z16,MIN(AG$6-$G$3,22))),0)))))</f>
        <v>0</v>
      </c>
      <c r="AH18" s="27" t="n">
        <f aca="false">IF(COUNT(Soja!$E16:$Z16)=0,0,MAX(0,IF((AH$6-$E$3)&lt;1,0,IFERROR(LOOKUP(2,1/(Soja!$E16:INDEX(Soja!$E16:$Z16,MIN(AH$6-$E$3,22))&lt;&gt;""),Soja!$E16:INDEX(Soja!$E16:$Z16,MIN(AH$6-$E$3,22))),0))-IF($G$2,0,IF((AH$6-$G$3)&lt;1,0,IFERROR(LOOKUP(2,1/(Soja!$E16:INDEX(Soja!$E16:$Z16,MIN(AH$6-$G$3,22))&lt;&gt;""),Soja!$E16:INDEX(Soja!$E16:$Z16,MIN(AH$6-$G$3,22))),0)))))</f>
        <v>0</v>
      </c>
      <c r="AI18" s="27" t="n">
        <f aca="false">IF(COUNT(Soja!$E16:$Z16)=0,0,MAX(0,IF((AI$6-$E$3)&lt;1,0,IFERROR(LOOKUP(2,1/(Soja!$E16:INDEX(Soja!$E16:$Z16,MIN(AI$6-$E$3,22))&lt;&gt;""),Soja!$E16:INDEX(Soja!$E16:$Z16,MIN(AI$6-$E$3,22))),0))-IF($G$2,0,IF((AI$6-$G$3)&lt;1,0,IFERROR(LOOKUP(2,1/(Soja!$E16:INDEX(Soja!$E16:$Z16,MIN(AI$6-$G$3,22))&lt;&gt;""),Soja!$E16:INDEX(Soja!$E16:$Z16,MIN(AI$6-$G$3,22))),0)))))</f>
        <v>0</v>
      </c>
      <c r="AJ18" s="27" t="n">
        <f aca="false">IF(COUNT(Soja!$E16:$Z16)=0,0,MAX(0,IF((AJ$6-$E$3)&lt;1,0,IFERROR(LOOKUP(2,1/(Soja!$E16:INDEX(Soja!$E16:$Z16,MIN(AJ$6-$E$3,22))&lt;&gt;""),Soja!$E16:INDEX(Soja!$E16:$Z16,MIN(AJ$6-$E$3,22))),0))-IF($G$2,0,IF((AJ$6-$G$3)&lt;1,0,IFERROR(LOOKUP(2,1/(Soja!$E16:INDEX(Soja!$E16:$Z16,MIN(AJ$6-$G$3,22))&lt;&gt;""),Soja!$E16:INDEX(Soja!$E16:$Z16,MIN(AJ$6-$G$3,22))),0)))))</f>
        <v>0</v>
      </c>
      <c r="AK18" s="27" t="n">
        <f aca="false">IF(COUNT(Soja!$E16:$Z16)=0,0,MAX(0,IF((AK$6-$E$3)&lt;1,0,IFERROR(LOOKUP(2,1/(Soja!$E16:INDEX(Soja!$E16:$Z16,MIN(AK$6-$E$3,22))&lt;&gt;""),Soja!$E16:INDEX(Soja!$E16:$Z16,MIN(AK$6-$E$3,22))),0))-IF($G$2,0,IF((AK$6-$G$3)&lt;1,0,IFERROR(LOOKUP(2,1/(Soja!$E16:INDEX(Soja!$E16:$Z16,MIN(AK$6-$G$3,22))&lt;&gt;""),Soja!$E16:INDEX(Soja!$E16:$Z16,MIN(AK$6-$G$3,22))),0)))))</f>
        <v>0</v>
      </c>
      <c r="AL18" s="27" t="n">
        <f aca="false">IF(COUNT(Soja!$E16:$Z16)=0,0,MAX(0,IF((AL$6-$E$3)&lt;1,0,IFERROR(LOOKUP(2,1/(Soja!$E16:INDEX(Soja!$E16:$Z16,MIN(AL$6-$E$3,22))&lt;&gt;""),Soja!$E16:INDEX(Soja!$E16:$Z16,MIN(AL$6-$E$3,22))),0))-IF($G$2,0,IF((AL$6-$G$3)&lt;1,0,IFERROR(LOOKUP(2,1/(Soja!$E16:INDEX(Soja!$E16:$Z16,MIN(AL$6-$G$3,22))&lt;&gt;""),Soja!$E16:INDEX(Soja!$E16:$Z16,MIN(AL$6-$G$3,22))),0)))))</f>
        <v>0</v>
      </c>
      <c r="AM18" s="27" t="n">
        <f aca="false">IF(COUNT(Soja!$E16:$Z16)=0,0,MAX(0,IF((AM$6-$E$3)&lt;1,0,IFERROR(LOOKUP(2,1/(Soja!$E16:INDEX(Soja!$E16:$Z16,MIN(AM$6-$E$3,22))&lt;&gt;""),Soja!$E16:INDEX(Soja!$E16:$Z16,MIN(AM$6-$E$3,22))),0))-IF($G$2,0,IF((AM$6-$G$3)&lt;1,0,IFERROR(LOOKUP(2,1/(Soja!$E16:INDEX(Soja!$E16:$Z16,MIN(AM$6-$G$3,22))&lt;&gt;""),Soja!$E16:INDEX(Soja!$E16:$Z16,MIN(AM$6-$G$3,22))),0)))))</f>
        <v>0</v>
      </c>
      <c r="AN18" s="27" t="n">
        <f aca="false">IF(COUNT(Soja!$E16:$Z16)=0,0,MAX(0,IF((AN$6-$E$3)&lt;1,0,IFERROR(LOOKUP(2,1/(Soja!$E16:INDEX(Soja!$E16:$Z16,MIN(AN$6-$E$3,22))&lt;&gt;""),Soja!$E16:INDEX(Soja!$E16:$Z16,MIN(AN$6-$E$3,22))),0))-IF($G$2,0,IF((AN$6-$G$3)&lt;1,0,IFERROR(LOOKUP(2,1/(Soja!$E16:INDEX(Soja!$E16:$Z16,MIN(AN$6-$G$3,22))&lt;&gt;""),Soja!$E16:INDEX(Soja!$E16:$Z16,MIN(AN$6-$G$3,22))),0)))))</f>
        <v>0</v>
      </c>
      <c r="AO18" s="27" t="n">
        <f aca="false">IF(COUNT(Soja!$E16:$Z16)=0,0,MAX(0,IF((AO$6-$E$3)&lt;1,0,IFERROR(LOOKUP(2,1/(Soja!$E16:INDEX(Soja!$E16:$Z16,MIN(AO$6-$E$3,22))&lt;&gt;""),Soja!$E16:INDEX(Soja!$E16:$Z16,MIN(AO$6-$E$3,22))),0))-IF($G$2,0,IF((AO$6-$G$3)&lt;1,0,IFERROR(LOOKUP(2,1/(Soja!$E16:INDEX(Soja!$E16:$Z16,MIN(AO$6-$G$3,22))&lt;&gt;""),Soja!$E16:INDEX(Soja!$E16:$Z16,MIN(AO$6-$G$3,22))),0)))))</f>
        <v>0</v>
      </c>
      <c r="AP18" s="27" t="n">
        <f aca="false">IF(COUNT(Soja!$E16:$Z16)=0,0,MAX(0,IF((AP$6-$E$3)&lt;1,0,IFERROR(LOOKUP(2,1/(Soja!$E16:INDEX(Soja!$E16:$Z16,MIN(AP$6-$E$3,22))&lt;&gt;""),Soja!$E16:INDEX(Soja!$E16:$Z16,MIN(AP$6-$E$3,22))),0))-IF($G$2,0,IF((AP$6-$G$3)&lt;1,0,IFERROR(LOOKUP(2,1/(Soja!$E16:INDEX(Soja!$E16:$Z16,MIN(AP$6-$G$3,22))&lt;&gt;""),Soja!$E16:INDEX(Soja!$E16:$Z16,MIN(AP$6-$G$3,22))),0)))))</f>
        <v>0</v>
      </c>
      <c r="AQ18" s="27" t="n">
        <f aca="false">IF(COUNT(Soja!$E16:$Z16)=0,0,MAX(0,IF((AQ$6-$E$3)&lt;1,0,IFERROR(LOOKUP(2,1/(Soja!$E16:INDEX(Soja!$E16:$Z16,MIN(AQ$6-$E$3,22))&lt;&gt;""),Soja!$E16:INDEX(Soja!$E16:$Z16,MIN(AQ$6-$E$3,22))),0))-IF($G$2,0,IF((AQ$6-$G$3)&lt;1,0,IFERROR(LOOKUP(2,1/(Soja!$E16:INDEX(Soja!$E16:$Z16,MIN(AQ$6-$G$3,22))&lt;&gt;""),Soja!$E16:INDEX(Soja!$E16:$Z16,MIN(AQ$6-$G$3,22))),0)))))</f>
        <v>0</v>
      </c>
      <c r="AR18" s="27" t="n">
        <f aca="false">IF(COUNT(Soja!$E16:$Z16)=0,0,MAX(0,IF((AR$6-$E$3)&lt;1,0,IFERROR(LOOKUP(2,1/(Soja!$E16:INDEX(Soja!$E16:$Z16,MIN(AR$6-$E$3,22))&lt;&gt;""),Soja!$E16:INDEX(Soja!$E16:$Z16,MIN(AR$6-$E$3,22))),0))-IF($G$2,0,IF((AR$6-$G$3)&lt;1,0,IFERROR(LOOKUP(2,1/(Soja!$E16:INDEX(Soja!$E16:$Z16,MIN(AR$6-$G$3,22))&lt;&gt;""),Soja!$E16:INDEX(Soja!$E16:$Z16,MIN(AR$6-$G$3,22))),0)))))</f>
        <v>0</v>
      </c>
      <c r="AS18" s="27" t="n">
        <f aca="false">IF(COUNT(Soja!$E16:$Z16)=0,0,MAX(0,IF((AS$6-$E$3)&lt;1,0,IFERROR(LOOKUP(2,1/(Soja!$E16:INDEX(Soja!$E16:$Z16,MIN(AS$6-$E$3,22))&lt;&gt;""),Soja!$E16:INDEX(Soja!$E16:$Z16,MIN(AS$6-$E$3,22))),0))-IF($G$2,0,IF((AS$6-$G$3)&lt;1,0,IFERROR(LOOKUP(2,1/(Soja!$E16:INDEX(Soja!$E16:$Z16,MIN(AS$6-$G$3,22))&lt;&gt;""),Soja!$E16:INDEX(Soja!$E16:$Z16,MIN(AS$6-$G$3,22))),0)))))</f>
        <v>0</v>
      </c>
      <c r="AT18" s="27" t="n">
        <f aca="false">IF(COUNT(Soja!$E16:$Z16)=0,0,MAX(0,IF((AT$6-$E$3)&lt;1,0,IFERROR(LOOKUP(2,1/(Soja!$E16:INDEX(Soja!$E16:$Z16,MIN(AT$6-$E$3,22))&lt;&gt;""),Soja!$E16:INDEX(Soja!$E16:$Z16,MIN(AT$6-$E$3,22))),0))-IF($G$2,0,IF((AT$6-$G$3)&lt;1,0,IFERROR(LOOKUP(2,1/(Soja!$E16:INDEX(Soja!$E16:$Z16,MIN(AT$6-$G$3,22))&lt;&gt;""),Soja!$E16:INDEX(Soja!$E16:$Z16,MIN(AT$6-$G$3,22))),0)))))</f>
        <v>0</v>
      </c>
      <c r="AU18" s="27" t="n">
        <f aca="false">IF(COUNT(Soja!$E16:$Z16)=0,0,MAX(0,IF((AU$6-$E$3)&lt;1,0,IFERROR(LOOKUP(2,1/(Soja!$E16:INDEX(Soja!$E16:$Z16,MIN(AU$6-$E$3,22))&lt;&gt;""),Soja!$E16:INDEX(Soja!$E16:$Z16,MIN(AU$6-$E$3,22))),0))-IF($G$2,0,IF((AU$6-$G$3)&lt;1,0,IFERROR(LOOKUP(2,1/(Soja!$E16:INDEX(Soja!$E16:$Z16,MIN(AU$6-$G$3,22))&lt;&gt;""),Soja!$E16:INDEX(Soja!$E16:$Z16,MIN(AU$6-$G$3,22))),0)))))</f>
        <v>0</v>
      </c>
      <c r="AV18" s="27" t="n">
        <f aca="false">IF(COUNT(Soja!$E16:$Z16)=0,0,MAX(0,IF((AV$6-$E$3)&lt;1,0,IFERROR(LOOKUP(2,1/(Soja!$E16:INDEX(Soja!$E16:$Z16,MIN(AV$6-$E$3,22))&lt;&gt;""),Soja!$E16:INDEX(Soja!$E16:$Z16,MIN(AV$6-$E$3,22))),0))-IF($G$2,0,IF((AV$6-$G$3)&lt;1,0,IFERROR(LOOKUP(2,1/(Soja!$E16:INDEX(Soja!$E16:$Z16,MIN(AV$6-$G$3,22))&lt;&gt;""),Soja!$E16:INDEX(Soja!$E16:$Z16,MIN(AV$6-$G$3,22))),0)))))</f>
        <v>0</v>
      </c>
      <c r="AW18" s="27" t="n">
        <f aca="false">IF(COUNT(Soja!$E16:$Z16)=0,0,MAX(0,IF((AW$6-$E$3)&lt;1,0,IFERROR(LOOKUP(2,1/(Soja!$E16:INDEX(Soja!$E16:$Z16,MIN(AW$6-$E$3,22))&lt;&gt;""),Soja!$E16:INDEX(Soja!$E16:$Z16,MIN(AW$6-$E$3,22))),0))-IF($G$2,0,IF((AW$6-$G$3)&lt;1,0,IFERROR(LOOKUP(2,1/(Soja!$E16:INDEX(Soja!$E16:$Z16,MIN(AW$6-$G$3,22))&lt;&gt;""),Soja!$E16:INDEX(Soja!$E16:$Z16,MIN(AW$6-$G$3,22))),0)))))</f>
        <v>0</v>
      </c>
      <c r="AX18" s="27" t="n">
        <f aca="false">IF(COUNT(Soja!$E16:$Z16)=0,0,MAX(0,IF((AX$6-$E$3)&lt;1,0,IFERROR(LOOKUP(2,1/(Soja!$E16:INDEX(Soja!$E16:$Z16,MIN(AX$6-$E$3,22))&lt;&gt;""),Soja!$E16:INDEX(Soja!$E16:$Z16,MIN(AX$6-$E$3,22))),0))-IF($G$2,0,IF((AX$6-$G$3)&lt;1,0,IFERROR(LOOKUP(2,1/(Soja!$E16:INDEX(Soja!$E16:$Z16,MIN(AX$6-$G$3,22))&lt;&gt;""),Soja!$E16:INDEX(Soja!$E16:$Z16,MIN(AX$6-$G$3,22))),0)))))</f>
        <v>0</v>
      </c>
      <c r="AY18" s="27" t="n">
        <f aca="false">IF(COUNT(Soja!$E16:$Z16)=0,0,MAX(0,IF((AY$6-$E$3)&lt;1,0,IFERROR(LOOKUP(2,1/(Soja!$E16:INDEX(Soja!$E16:$Z16,MIN(AY$6-$E$3,22))&lt;&gt;""),Soja!$E16:INDEX(Soja!$E16:$Z16,MIN(AY$6-$E$3,22))),0))-IF($G$2,0,IF((AY$6-$G$3)&lt;1,0,IFERROR(LOOKUP(2,1/(Soja!$E16:INDEX(Soja!$E16:$Z16,MIN(AY$6-$G$3,22))&lt;&gt;""),Soja!$E16:INDEX(Soja!$E16:$Z16,MIN(AY$6-$G$3,22))),0)))))</f>
        <v>0</v>
      </c>
      <c r="AZ18" s="27" t="n">
        <f aca="false">IF(COUNT(Soja!$E16:$Z16)=0,0,MAX(0,IF((AZ$6-$E$3)&lt;1,0,IFERROR(LOOKUP(2,1/(Soja!$E16:INDEX(Soja!$E16:$Z16,MIN(AZ$6-$E$3,22))&lt;&gt;""),Soja!$E16:INDEX(Soja!$E16:$Z16,MIN(AZ$6-$E$3,22))),0))-IF($G$2,0,IF((AZ$6-$G$3)&lt;1,0,IFERROR(LOOKUP(2,1/(Soja!$E16:INDEX(Soja!$E16:$Z16,MIN(AZ$6-$G$3,22))&lt;&gt;""),Soja!$E16:INDEX(Soja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IF(COUNT(Soja!$E17:$Z17)&gt;0,N(Soja!$D17),0)</f>
        <v>0</v>
      </c>
      <c r="E19" s="27" t="n">
        <f aca="false">IF(COUNT(Soja!$E17:$Z17)=0,0,MAX(0,IF((E$6-$E$3)&lt;1,0,IFERROR(LOOKUP(2,1/(Soja!$E17:INDEX(Soja!$E17:$Z17,MIN(E$6-$E$3,22))&lt;&gt;""),Soja!$E17:INDEX(Soja!$E17:$Z17,MIN(E$6-$E$3,22))),0))-IF($G$2,0,IF((E$6-$G$3)&lt;1,0,IFERROR(LOOKUP(2,1/(Soja!$E17:INDEX(Soja!$E17:$Z17,MIN(E$6-$G$3,22))&lt;&gt;""),Soja!$E17:INDEX(Soja!$E17:$Z17,MIN(E$6-$G$3,22))),0)))))</f>
        <v>0</v>
      </c>
      <c r="F19" s="27" t="n">
        <f aca="false">IF(COUNT(Soja!$E17:$Z17)=0,0,MAX(0,IF((F$6-$E$3)&lt;1,0,IFERROR(LOOKUP(2,1/(Soja!$E17:INDEX(Soja!$E17:$Z17,MIN(F$6-$E$3,22))&lt;&gt;""),Soja!$E17:INDEX(Soja!$E17:$Z17,MIN(F$6-$E$3,22))),0))-IF($G$2,0,IF((F$6-$G$3)&lt;1,0,IFERROR(LOOKUP(2,1/(Soja!$E17:INDEX(Soja!$E17:$Z17,MIN(F$6-$G$3,22))&lt;&gt;""),Soja!$E17:INDEX(Soja!$E17:$Z17,MIN(F$6-$G$3,22))),0)))))</f>
        <v>0</v>
      </c>
      <c r="G19" s="27" t="n">
        <f aca="false">IF(COUNT(Soja!$E17:$Z17)=0,0,MAX(0,IF((G$6-$E$3)&lt;1,0,IFERROR(LOOKUP(2,1/(Soja!$E17:INDEX(Soja!$E17:$Z17,MIN(G$6-$E$3,22))&lt;&gt;""),Soja!$E17:INDEX(Soja!$E17:$Z17,MIN(G$6-$E$3,22))),0))-IF($G$2,0,IF((G$6-$G$3)&lt;1,0,IFERROR(LOOKUP(2,1/(Soja!$E17:INDEX(Soja!$E17:$Z17,MIN(G$6-$G$3,22))&lt;&gt;""),Soja!$E17:INDEX(Soja!$E17:$Z17,MIN(G$6-$G$3,22))),0)))))</f>
        <v>0</v>
      </c>
      <c r="H19" s="27" t="n">
        <f aca="false">IF(COUNT(Soja!$E17:$Z17)=0,0,MAX(0,IF((H$6-$E$3)&lt;1,0,IFERROR(LOOKUP(2,1/(Soja!$E17:INDEX(Soja!$E17:$Z17,MIN(H$6-$E$3,22))&lt;&gt;""),Soja!$E17:INDEX(Soja!$E17:$Z17,MIN(H$6-$E$3,22))),0))-IF($G$2,0,IF((H$6-$G$3)&lt;1,0,IFERROR(LOOKUP(2,1/(Soja!$E17:INDEX(Soja!$E17:$Z17,MIN(H$6-$G$3,22))&lt;&gt;""),Soja!$E17:INDEX(Soja!$E17:$Z17,MIN(H$6-$G$3,22))),0)))))</f>
        <v>0</v>
      </c>
      <c r="I19" s="27" t="n">
        <f aca="false">IF(COUNT(Soja!$E17:$Z17)=0,0,MAX(0,IF((I$6-$E$3)&lt;1,0,IFERROR(LOOKUP(2,1/(Soja!$E17:INDEX(Soja!$E17:$Z17,MIN(I$6-$E$3,22))&lt;&gt;""),Soja!$E17:INDEX(Soja!$E17:$Z17,MIN(I$6-$E$3,22))),0))-IF($G$2,0,IF((I$6-$G$3)&lt;1,0,IFERROR(LOOKUP(2,1/(Soja!$E17:INDEX(Soja!$E17:$Z17,MIN(I$6-$G$3,22))&lt;&gt;""),Soja!$E17:INDEX(Soja!$E17:$Z17,MIN(I$6-$G$3,22))),0)))))</f>
        <v>0</v>
      </c>
      <c r="J19" s="27" t="n">
        <f aca="false">IF(COUNT(Soja!$E17:$Z17)=0,0,MAX(0,IF((J$6-$E$3)&lt;1,0,IFERROR(LOOKUP(2,1/(Soja!$E17:INDEX(Soja!$E17:$Z17,MIN(J$6-$E$3,22))&lt;&gt;""),Soja!$E17:INDEX(Soja!$E17:$Z17,MIN(J$6-$E$3,22))),0))-IF($G$2,0,IF((J$6-$G$3)&lt;1,0,IFERROR(LOOKUP(2,1/(Soja!$E17:INDEX(Soja!$E17:$Z17,MIN(J$6-$G$3,22))&lt;&gt;""),Soja!$E17:INDEX(Soja!$E17:$Z17,MIN(J$6-$G$3,22))),0)))))</f>
        <v>0</v>
      </c>
      <c r="K19" s="27" t="n">
        <f aca="false">IF(COUNT(Soja!$E17:$Z17)=0,0,MAX(0,IF((K$6-$E$3)&lt;1,0,IFERROR(LOOKUP(2,1/(Soja!$E17:INDEX(Soja!$E17:$Z17,MIN(K$6-$E$3,22))&lt;&gt;""),Soja!$E17:INDEX(Soja!$E17:$Z17,MIN(K$6-$E$3,22))),0))-IF($G$2,0,IF((K$6-$G$3)&lt;1,0,IFERROR(LOOKUP(2,1/(Soja!$E17:INDEX(Soja!$E17:$Z17,MIN(K$6-$G$3,22))&lt;&gt;""),Soja!$E17:INDEX(Soja!$E17:$Z17,MIN(K$6-$G$3,22))),0)))))</f>
        <v>0</v>
      </c>
      <c r="L19" s="27" t="n">
        <f aca="false">IF(COUNT(Soja!$E17:$Z17)=0,0,MAX(0,IF((L$6-$E$3)&lt;1,0,IFERROR(LOOKUP(2,1/(Soja!$E17:INDEX(Soja!$E17:$Z17,MIN(L$6-$E$3,22))&lt;&gt;""),Soja!$E17:INDEX(Soja!$E17:$Z17,MIN(L$6-$E$3,22))),0))-IF($G$2,0,IF((L$6-$G$3)&lt;1,0,IFERROR(LOOKUP(2,1/(Soja!$E17:INDEX(Soja!$E17:$Z17,MIN(L$6-$G$3,22))&lt;&gt;""),Soja!$E17:INDEX(Soja!$E17:$Z17,MIN(L$6-$G$3,22))),0)))))</f>
        <v>0</v>
      </c>
      <c r="M19" s="27" t="n">
        <f aca="false">IF(COUNT(Soja!$E17:$Z17)=0,0,MAX(0,IF((M$6-$E$3)&lt;1,0,IFERROR(LOOKUP(2,1/(Soja!$E17:INDEX(Soja!$E17:$Z17,MIN(M$6-$E$3,22))&lt;&gt;""),Soja!$E17:INDEX(Soja!$E17:$Z17,MIN(M$6-$E$3,22))),0))-IF($G$2,0,IF((M$6-$G$3)&lt;1,0,IFERROR(LOOKUP(2,1/(Soja!$E17:INDEX(Soja!$E17:$Z17,MIN(M$6-$G$3,22))&lt;&gt;""),Soja!$E17:INDEX(Soja!$E17:$Z17,MIN(M$6-$G$3,22))),0)))))</f>
        <v>0</v>
      </c>
      <c r="N19" s="27" t="n">
        <f aca="false">IF(COUNT(Soja!$E17:$Z17)=0,0,MAX(0,IF((N$6-$E$3)&lt;1,0,IFERROR(LOOKUP(2,1/(Soja!$E17:INDEX(Soja!$E17:$Z17,MIN(N$6-$E$3,22))&lt;&gt;""),Soja!$E17:INDEX(Soja!$E17:$Z17,MIN(N$6-$E$3,22))),0))-IF($G$2,0,IF((N$6-$G$3)&lt;1,0,IFERROR(LOOKUP(2,1/(Soja!$E17:INDEX(Soja!$E17:$Z17,MIN(N$6-$G$3,22))&lt;&gt;""),Soja!$E17:INDEX(Soja!$E17:$Z17,MIN(N$6-$G$3,22))),0)))))</f>
        <v>0</v>
      </c>
      <c r="O19" s="27" t="n">
        <f aca="false">IF(COUNT(Soja!$E17:$Z17)=0,0,MAX(0,IF((O$6-$E$3)&lt;1,0,IFERROR(LOOKUP(2,1/(Soja!$E17:INDEX(Soja!$E17:$Z17,MIN(O$6-$E$3,22))&lt;&gt;""),Soja!$E17:INDEX(Soja!$E17:$Z17,MIN(O$6-$E$3,22))),0))-IF($G$2,0,IF((O$6-$G$3)&lt;1,0,IFERROR(LOOKUP(2,1/(Soja!$E17:INDEX(Soja!$E17:$Z17,MIN(O$6-$G$3,22))&lt;&gt;""),Soja!$E17:INDEX(Soja!$E17:$Z17,MIN(O$6-$G$3,22))),0)))))</f>
        <v>0</v>
      </c>
      <c r="P19" s="27" t="n">
        <f aca="false">IF(COUNT(Soja!$E17:$Z17)=0,0,MAX(0,IF((P$6-$E$3)&lt;1,0,IFERROR(LOOKUP(2,1/(Soja!$E17:INDEX(Soja!$E17:$Z17,MIN(P$6-$E$3,22))&lt;&gt;""),Soja!$E17:INDEX(Soja!$E17:$Z17,MIN(P$6-$E$3,22))),0))-IF($G$2,0,IF((P$6-$G$3)&lt;1,0,IFERROR(LOOKUP(2,1/(Soja!$E17:INDEX(Soja!$E17:$Z17,MIN(P$6-$G$3,22))&lt;&gt;""),Soja!$E17:INDEX(Soja!$E17:$Z17,MIN(P$6-$G$3,22))),0)))))</f>
        <v>0</v>
      </c>
      <c r="Q19" s="27" t="n">
        <f aca="false">IF(COUNT(Soja!$E17:$Z17)=0,0,MAX(0,IF((Q$6-$E$3)&lt;1,0,IFERROR(LOOKUP(2,1/(Soja!$E17:INDEX(Soja!$E17:$Z17,MIN(Q$6-$E$3,22))&lt;&gt;""),Soja!$E17:INDEX(Soja!$E17:$Z17,MIN(Q$6-$E$3,22))),0))-IF($G$2,0,IF((Q$6-$G$3)&lt;1,0,IFERROR(LOOKUP(2,1/(Soja!$E17:INDEX(Soja!$E17:$Z17,MIN(Q$6-$G$3,22))&lt;&gt;""),Soja!$E17:INDEX(Soja!$E17:$Z17,MIN(Q$6-$G$3,22))),0)))))</f>
        <v>0</v>
      </c>
      <c r="R19" s="27" t="n">
        <f aca="false">IF(COUNT(Soja!$E17:$Z17)=0,0,MAX(0,IF((R$6-$E$3)&lt;1,0,IFERROR(LOOKUP(2,1/(Soja!$E17:INDEX(Soja!$E17:$Z17,MIN(R$6-$E$3,22))&lt;&gt;""),Soja!$E17:INDEX(Soja!$E17:$Z17,MIN(R$6-$E$3,22))),0))-IF($G$2,0,IF((R$6-$G$3)&lt;1,0,IFERROR(LOOKUP(2,1/(Soja!$E17:INDEX(Soja!$E17:$Z17,MIN(R$6-$G$3,22))&lt;&gt;""),Soja!$E17:INDEX(Soja!$E17:$Z17,MIN(R$6-$G$3,22))),0)))))</f>
        <v>0</v>
      </c>
      <c r="S19" s="27" t="n">
        <f aca="false">IF(COUNT(Soja!$E17:$Z17)=0,0,MAX(0,IF((S$6-$E$3)&lt;1,0,IFERROR(LOOKUP(2,1/(Soja!$E17:INDEX(Soja!$E17:$Z17,MIN(S$6-$E$3,22))&lt;&gt;""),Soja!$E17:INDEX(Soja!$E17:$Z17,MIN(S$6-$E$3,22))),0))-IF($G$2,0,IF((S$6-$G$3)&lt;1,0,IFERROR(LOOKUP(2,1/(Soja!$E17:INDEX(Soja!$E17:$Z17,MIN(S$6-$G$3,22))&lt;&gt;""),Soja!$E17:INDEX(Soja!$E17:$Z17,MIN(S$6-$G$3,22))),0)))))</f>
        <v>0</v>
      </c>
      <c r="T19" s="27" t="n">
        <f aca="false">IF(COUNT(Soja!$E17:$Z17)=0,0,MAX(0,IF((T$6-$E$3)&lt;1,0,IFERROR(LOOKUP(2,1/(Soja!$E17:INDEX(Soja!$E17:$Z17,MIN(T$6-$E$3,22))&lt;&gt;""),Soja!$E17:INDEX(Soja!$E17:$Z17,MIN(T$6-$E$3,22))),0))-IF($G$2,0,IF((T$6-$G$3)&lt;1,0,IFERROR(LOOKUP(2,1/(Soja!$E17:INDEX(Soja!$E17:$Z17,MIN(T$6-$G$3,22))&lt;&gt;""),Soja!$E17:INDEX(Soja!$E17:$Z17,MIN(T$6-$G$3,22))),0)))))</f>
        <v>0</v>
      </c>
      <c r="U19" s="27" t="n">
        <f aca="false">IF(COUNT(Soja!$E17:$Z17)=0,0,MAX(0,IF((U$6-$E$3)&lt;1,0,IFERROR(LOOKUP(2,1/(Soja!$E17:INDEX(Soja!$E17:$Z17,MIN(U$6-$E$3,22))&lt;&gt;""),Soja!$E17:INDEX(Soja!$E17:$Z17,MIN(U$6-$E$3,22))),0))-IF($G$2,0,IF((U$6-$G$3)&lt;1,0,IFERROR(LOOKUP(2,1/(Soja!$E17:INDEX(Soja!$E17:$Z17,MIN(U$6-$G$3,22))&lt;&gt;""),Soja!$E17:INDEX(Soja!$E17:$Z17,MIN(U$6-$G$3,22))),0)))))</f>
        <v>0</v>
      </c>
      <c r="V19" s="27" t="n">
        <f aca="false">IF(COUNT(Soja!$E17:$Z17)=0,0,MAX(0,IF((V$6-$E$3)&lt;1,0,IFERROR(LOOKUP(2,1/(Soja!$E17:INDEX(Soja!$E17:$Z17,MIN(V$6-$E$3,22))&lt;&gt;""),Soja!$E17:INDEX(Soja!$E17:$Z17,MIN(V$6-$E$3,22))),0))-IF($G$2,0,IF((V$6-$G$3)&lt;1,0,IFERROR(LOOKUP(2,1/(Soja!$E17:INDEX(Soja!$E17:$Z17,MIN(V$6-$G$3,22))&lt;&gt;""),Soja!$E17:INDEX(Soja!$E17:$Z17,MIN(V$6-$G$3,22))),0)))))</f>
        <v>0</v>
      </c>
      <c r="W19" s="27" t="n">
        <f aca="false">IF(COUNT(Soja!$E17:$Z17)=0,0,MAX(0,IF((W$6-$E$3)&lt;1,0,IFERROR(LOOKUP(2,1/(Soja!$E17:INDEX(Soja!$E17:$Z17,MIN(W$6-$E$3,22))&lt;&gt;""),Soja!$E17:INDEX(Soja!$E17:$Z17,MIN(W$6-$E$3,22))),0))-IF($G$2,0,IF((W$6-$G$3)&lt;1,0,IFERROR(LOOKUP(2,1/(Soja!$E17:INDEX(Soja!$E17:$Z17,MIN(W$6-$G$3,22))&lt;&gt;""),Soja!$E17:INDEX(Soja!$E17:$Z17,MIN(W$6-$G$3,22))),0)))))</f>
        <v>0</v>
      </c>
      <c r="X19" s="27" t="n">
        <f aca="false">IF(COUNT(Soja!$E17:$Z17)=0,0,MAX(0,IF((X$6-$E$3)&lt;1,0,IFERROR(LOOKUP(2,1/(Soja!$E17:INDEX(Soja!$E17:$Z17,MIN(X$6-$E$3,22))&lt;&gt;""),Soja!$E17:INDEX(Soja!$E17:$Z17,MIN(X$6-$E$3,22))),0))-IF($G$2,0,IF((X$6-$G$3)&lt;1,0,IFERROR(LOOKUP(2,1/(Soja!$E17:INDEX(Soja!$E17:$Z17,MIN(X$6-$G$3,22))&lt;&gt;""),Soja!$E17:INDEX(Soja!$E17:$Z17,MIN(X$6-$G$3,22))),0)))))</f>
        <v>0</v>
      </c>
      <c r="Y19" s="27" t="n">
        <f aca="false">IF(COUNT(Soja!$E17:$Z17)=0,0,MAX(0,IF((Y$6-$E$3)&lt;1,0,IFERROR(LOOKUP(2,1/(Soja!$E17:INDEX(Soja!$E17:$Z17,MIN(Y$6-$E$3,22))&lt;&gt;""),Soja!$E17:INDEX(Soja!$E17:$Z17,MIN(Y$6-$E$3,22))),0))-IF($G$2,0,IF((Y$6-$G$3)&lt;1,0,IFERROR(LOOKUP(2,1/(Soja!$E17:INDEX(Soja!$E17:$Z17,MIN(Y$6-$G$3,22))&lt;&gt;""),Soja!$E17:INDEX(Soja!$E17:$Z17,MIN(Y$6-$G$3,22))),0)))))</f>
        <v>0</v>
      </c>
      <c r="Z19" s="27" t="n">
        <f aca="false">IF(COUNT(Soja!$E17:$Z17)=0,0,MAX(0,IF((Z$6-$E$3)&lt;1,0,IFERROR(LOOKUP(2,1/(Soja!$E17:INDEX(Soja!$E17:$Z17,MIN(Z$6-$E$3,22))&lt;&gt;""),Soja!$E17:INDEX(Soja!$E17:$Z17,MIN(Z$6-$E$3,22))),0))-IF($G$2,0,IF((Z$6-$G$3)&lt;1,0,IFERROR(LOOKUP(2,1/(Soja!$E17:INDEX(Soja!$E17:$Z17,MIN(Z$6-$G$3,22))&lt;&gt;""),Soja!$E17:INDEX(Soja!$E17:$Z17,MIN(Z$6-$G$3,22))),0)))))</f>
        <v>0</v>
      </c>
      <c r="AA19" s="27" t="n">
        <f aca="false">IF(COUNT(Soja!$E17:$Z17)=0,0,MAX(0,IF((AA$6-$E$3)&lt;1,0,IFERROR(LOOKUP(2,1/(Soja!$E17:INDEX(Soja!$E17:$Z17,MIN(AA$6-$E$3,22))&lt;&gt;""),Soja!$E17:INDEX(Soja!$E17:$Z17,MIN(AA$6-$E$3,22))),0))-IF($G$2,0,IF((AA$6-$G$3)&lt;1,0,IFERROR(LOOKUP(2,1/(Soja!$E17:INDEX(Soja!$E17:$Z17,MIN(AA$6-$G$3,22))&lt;&gt;""),Soja!$E17:INDEX(Soja!$E17:$Z17,MIN(AA$6-$G$3,22))),0)))))</f>
        <v>0</v>
      </c>
      <c r="AB19" s="27" t="n">
        <f aca="false">IF(COUNT(Soja!$E17:$Z17)=0,0,MAX(0,IF((AB$6-$E$3)&lt;1,0,IFERROR(LOOKUP(2,1/(Soja!$E17:INDEX(Soja!$E17:$Z17,MIN(AB$6-$E$3,22))&lt;&gt;""),Soja!$E17:INDEX(Soja!$E17:$Z17,MIN(AB$6-$E$3,22))),0))-IF($G$2,0,IF((AB$6-$G$3)&lt;1,0,IFERROR(LOOKUP(2,1/(Soja!$E17:INDEX(Soja!$E17:$Z17,MIN(AB$6-$G$3,22))&lt;&gt;""),Soja!$E17:INDEX(Soja!$E17:$Z17,MIN(AB$6-$G$3,22))),0)))))</f>
        <v>0</v>
      </c>
      <c r="AC19" s="27" t="n">
        <f aca="false">IF(COUNT(Soja!$E17:$Z17)=0,0,MAX(0,IF((AC$6-$E$3)&lt;1,0,IFERROR(LOOKUP(2,1/(Soja!$E17:INDEX(Soja!$E17:$Z17,MIN(AC$6-$E$3,22))&lt;&gt;""),Soja!$E17:INDEX(Soja!$E17:$Z17,MIN(AC$6-$E$3,22))),0))-IF($G$2,0,IF((AC$6-$G$3)&lt;1,0,IFERROR(LOOKUP(2,1/(Soja!$E17:INDEX(Soja!$E17:$Z17,MIN(AC$6-$G$3,22))&lt;&gt;""),Soja!$E17:INDEX(Soja!$E17:$Z17,MIN(AC$6-$G$3,22))),0)))))</f>
        <v>0</v>
      </c>
      <c r="AD19" s="27" t="n">
        <f aca="false">IF(COUNT(Soja!$E17:$Z17)=0,0,MAX(0,IF((AD$6-$E$3)&lt;1,0,IFERROR(LOOKUP(2,1/(Soja!$E17:INDEX(Soja!$E17:$Z17,MIN(AD$6-$E$3,22))&lt;&gt;""),Soja!$E17:INDEX(Soja!$E17:$Z17,MIN(AD$6-$E$3,22))),0))-IF($G$2,0,IF((AD$6-$G$3)&lt;1,0,IFERROR(LOOKUP(2,1/(Soja!$E17:INDEX(Soja!$E17:$Z17,MIN(AD$6-$G$3,22))&lt;&gt;""),Soja!$E17:INDEX(Soja!$E17:$Z17,MIN(AD$6-$G$3,22))),0)))))</f>
        <v>0</v>
      </c>
      <c r="AE19" s="27" t="n">
        <f aca="false">IF(COUNT(Soja!$E17:$Z17)=0,0,MAX(0,IF((AE$6-$E$3)&lt;1,0,IFERROR(LOOKUP(2,1/(Soja!$E17:INDEX(Soja!$E17:$Z17,MIN(AE$6-$E$3,22))&lt;&gt;""),Soja!$E17:INDEX(Soja!$E17:$Z17,MIN(AE$6-$E$3,22))),0))-IF($G$2,0,IF((AE$6-$G$3)&lt;1,0,IFERROR(LOOKUP(2,1/(Soja!$E17:INDEX(Soja!$E17:$Z17,MIN(AE$6-$G$3,22))&lt;&gt;""),Soja!$E17:INDEX(Soja!$E17:$Z17,MIN(AE$6-$G$3,22))),0)))))</f>
        <v>0</v>
      </c>
      <c r="AF19" s="27" t="n">
        <f aca="false">IF(COUNT(Soja!$E17:$Z17)=0,0,MAX(0,IF((AF$6-$E$3)&lt;1,0,IFERROR(LOOKUP(2,1/(Soja!$E17:INDEX(Soja!$E17:$Z17,MIN(AF$6-$E$3,22))&lt;&gt;""),Soja!$E17:INDEX(Soja!$E17:$Z17,MIN(AF$6-$E$3,22))),0))-IF($G$2,0,IF((AF$6-$G$3)&lt;1,0,IFERROR(LOOKUP(2,1/(Soja!$E17:INDEX(Soja!$E17:$Z17,MIN(AF$6-$G$3,22))&lt;&gt;""),Soja!$E17:INDEX(Soja!$E17:$Z17,MIN(AF$6-$G$3,22))),0)))))</f>
        <v>0</v>
      </c>
      <c r="AG19" s="27" t="n">
        <f aca="false">IF(COUNT(Soja!$E17:$Z17)=0,0,MAX(0,IF((AG$6-$E$3)&lt;1,0,IFERROR(LOOKUP(2,1/(Soja!$E17:INDEX(Soja!$E17:$Z17,MIN(AG$6-$E$3,22))&lt;&gt;""),Soja!$E17:INDEX(Soja!$E17:$Z17,MIN(AG$6-$E$3,22))),0))-IF($G$2,0,IF((AG$6-$G$3)&lt;1,0,IFERROR(LOOKUP(2,1/(Soja!$E17:INDEX(Soja!$E17:$Z17,MIN(AG$6-$G$3,22))&lt;&gt;""),Soja!$E17:INDEX(Soja!$E17:$Z17,MIN(AG$6-$G$3,22))),0)))))</f>
        <v>0</v>
      </c>
      <c r="AH19" s="27" t="n">
        <f aca="false">IF(COUNT(Soja!$E17:$Z17)=0,0,MAX(0,IF((AH$6-$E$3)&lt;1,0,IFERROR(LOOKUP(2,1/(Soja!$E17:INDEX(Soja!$E17:$Z17,MIN(AH$6-$E$3,22))&lt;&gt;""),Soja!$E17:INDEX(Soja!$E17:$Z17,MIN(AH$6-$E$3,22))),0))-IF($G$2,0,IF((AH$6-$G$3)&lt;1,0,IFERROR(LOOKUP(2,1/(Soja!$E17:INDEX(Soja!$E17:$Z17,MIN(AH$6-$G$3,22))&lt;&gt;""),Soja!$E17:INDEX(Soja!$E17:$Z17,MIN(AH$6-$G$3,22))),0)))))</f>
        <v>0</v>
      </c>
      <c r="AI19" s="27" t="n">
        <f aca="false">IF(COUNT(Soja!$E17:$Z17)=0,0,MAX(0,IF((AI$6-$E$3)&lt;1,0,IFERROR(LOOKUP(2,1/(Soja!$E17:INDEX(Soja!$E17:$Z17,MIN(AI$6-$E$3,22))&lt;&gt;""),Soja!$E17:INDEX(Soja!$E17:$Z17,MIN(AI$6-$E$3,22))),0))-IF($G$2,0,IF((AI$6-$G$3)&lt;1,0,IFERROR(LOOKUP(2,1/(Soja!$E17:INDEX(Soja!$E17:$Z17,MIN(AI$6-$G$3,22))&lt;&gt;""),Soja!$E17:INDEX(Soja!$E17:$Z17,MIN(AI$6-$G$3,22))),0)))))</f>
        <v>0</v>
      </c>
      <c r="AJ19" s="27" t="n">
        <f aca="false">IF(COUNT(Soja!$E17:$Z17)=0,0,MAX(0,IF((AJ$6-$E$3)&lt;1,0,IFERROR(LOOKUP(2,1/(Soja!$E17:INDEX(Soja!$E17:$Z17,MIN(AJ$6-$E$3,22))&lt;&gt;""),Soja!$E17:INDEX(Soja!$E17:$Z17,MIN(AJ$6-$E$3,22))),0))-IF($G$2,0,IF((AJ$6-$G$3)&lt;1,0,IFERROR(LOOKUP(2,1/(Soja!$E17:INDEX(Soja!$E17:$Z17,MIN(AJ$6-$G$3,22))&lt;&gt;""),Soja!$E17:INDEX(Soja!$E17:$Z17,MIN(AJ$6-$G$3,22))),0)))))</f>
        <v>0</v>
      </c>
      <c r="AK19" s="27" t="n">
        <f aca="false">IF(COUNT(Soja!$E17:$Z17)=0,0,MAX(0,IF((AK$6-$E$3)&lt;1,0,IFERROR(LOOKUP(2,1/(Soja!$E17:INDEX(Soja!$E17:$Z17,MIN(AK$6-$E$3,22))&lt;&gt;""),Soja!$E17:INDEX(Soja!$E17:$Z17,MIN(AK$6-$E$3,22))),0))-IF($G$2,0,IF((AK$6-$G$3)&lt;1,0,IFERROR(LOOKUP(2,1/(Soja!$E17:INDEX(Soja!$E17:$Z17,MIN(AK$6-$G$3,22))&lt;&gt;""),Soja!$E17:INDEX(Soja!$E17:$Z17,MIN(AK$6-$G$3,22))),0)))))</f>
        <v>0</v>
      </c>
      <c r="AL19" s="27" t="n">
        <f aca="false">IF(COUNT(Soja!$E17:$Z17)=0,0,MAX(0,IF((AL$6-$E$3)&lt;1,0,IFERROR(LOOKUP(2,1/(Soja!$E17:INDEX(Soja!$E17:$Z17,MIN(AL$6-$E$3,22))&lt;&gt;""),Soja!$E17:INDEX(Soja!$E17:$Z17,MIN(AL$6-$E$3,22))),0))-IF($G$2,0,IF((AL$6-$G$3)&lt;1,0,IFERROR(LOOKUP(2,1/(Soja!$E17:INDEX(Soja!$E17:$Z17,MIN(AL$6-$G$3,22))&lt;&gt;""),Soja!$E17:INDEX(Soja!$E17:$Z17,MIN(AL$6-$G$3,22))),0)))))</f>
        <v>0</v>
      </c>
      <c r="AM19" s="27" t="n">
        <f aca="false">IF(COUNT(Soja!$E17:$Z17)=0,0,MAX(0,IF((AM$6-$E$3)&lt;1,0,IFERROR(LOOKUP(2,1/(Soja!$E17:INDEX(Soja!$E17:$Z17,MIN(AM$6-$E$3,22))&lt;&gt;""),Soja!$E17:INDEX(Soja!$E17:$Z17,MIN(AM$6-$E$3,22))),0))-IF($G$2,0,IF((AM$6-$G$3)&lt;1,0,IFERROR(LOOKUP(2,1/(Soja!$E17:INDEX(Soja!$E17:$Z17,MIN(AM$6-$G$3,22))&lt;&gt;""),Soja!$E17:INDEX(Soja!$E17:$Z17,MIN(AM$6-$G$3,22))),0)))))</f>
        <v>0</v>
      </c>
      <c r="AN19" s="27" t="n">
        <f aca="false">IF(COUNT(Soja!$E17:$Z17)=0,0,MAX(0,IF((AN$6-$E$3)&lt;1,0,IFERROR(LOOKUP(2,1/(Soja!$E17:INDEX(Soja!$E17:$Z17,MIN(AN$6-$E$3,22))&lt;&gt;""),Soja!$E17:INDEX(Soja!$E17:$Z17,MIN(AN$6-$E$3,22))),0))-IF($G$2,0,IF((AN$6-$G$3)&lt;1,0,IFERROR(LOOKUP(2,1/(Soja!$E17:INDEX(Soja!$E17:$Z17,MIN(AN$6-$G$3,22))&lt;&gt;""),Soja!$E17:INDEX(Soja!$E17:$Z17,MIN(AN$6-$G$3,22))),0)))))</f>
        <v>0</v>
      </c>
      <c r="AO19" s="27" t="n">
        <f aca="false">IF(COUNT(Soja!$E17:$Z17)=0,0,MAX(0,IF((AO$6-$E$3)&lt;1,0,IFERROR(LOOKUP(2,1/(Soja!$E17:INDEX(Soja!$E17:$Z17,MIN(AO$6-$E$3,22))&lt;&gt;""),Soja!$E17:INDEX(Soja!$E17:$Z17,MIN(AO$6-$E$3,22))),0))-IF($G$2,0,IF((AO$6-$G$3)&lt;1,0,IFERROR(LOOKUP(2,1/(Soja!$E17:INDEX(Soja!$E17:$Z17,MIN(AO$6-$G$3,22))&lt;&gt;""),Soja!$E17:INDEX(Soja!$E17:$Z17,MIN(AO$6-$G$3,22))),0)))))</f>
        <v>0</v>
      </c>
      <c r="AP19" s="27" t="n">
        <f aca="false">IF(COUNT(Soja!$E17:$Z17)=0,0,MAX(0,IF((AP$6-$E$3)&lt;1,0,IFERROR(LOOKUP(2,1/(Soja!$E17:INDEX(Soja!$E17:$Z17,MIN(AP$6-$E$3,22))&lt;&gt;""),Soja!$E17:INDEX(Soja!$E17:$Z17,MIN(AP$6-$E$3,22))),0))-IF($G$2,0,IF((AP$6-$G$3)&lt;1,0,IFERROR(LOOKUP(2,1/(Soja!$E17:INDEX(Soja!$E17:$Z17,MIN(AP$6-$G$3,22))&lt;&gt;""),Soja!$E17:INDEX(Soja!$E17:$Z17,MIN(AP$6-$G$3,22))),0)))))</f>
        <v>0</v>
      </c>
      <c r="AQ19" s="27" t="n">
        <f aca="false">IF(COUNT(Soja!$E17:$Z17)=0,0,MAX(0,IF((AQ$6-$E$3)&lt;1,0,IFERROR(LOOKUP(2,1/(Soja!$E17:INDEX(Soja!$E17:$Z17,MIN(AQ$6-$E$3,22))&lt;&gt;""),Soja!$E17:INDEX(Soja!$E17:$Z17,MIN(AQ$6-$E$3,22))),0))-IF($G$2,0,IF((AQ$6-$G$3)&lt;1,0,IFERROR(LOOKUP(2,1/(Soja!$E17:INDEX(Soja!$E17:$Z17,MIN(AQ$6-$G$3,22))&lt;&gt;""),Soja!$E17:INDEX(Soja!$E17:$Z17,MIN(AQ$6-$G$3,22))),0)))))</f>
        <v>0</v>
      </c>
      <c r="AR19" s="27" t="n">
        <f aca="false">IF(COUNT(Soja!$E17:$Z17)=0,0,MAX(0,IF((AR$6-$E$3)&lt;1,0,IFERROR(LOOKUP(2,1/(Soja!$E17:INDEX(Soja!$E17:$Z17,MIN(AR$6-$E$3,22))&lt;&gt;""),Soja!$E17:INDEX(Soja!$E17:$Z17,MIN(AR$6-$E$3,22))),0))-IF($G$2,0,IF((AR$6-$G$3)&lt;1,0,IFERROR(LOOKUP(2,1/(Soja!$E17:INDEX(Soja!$E17:$Z17,MIN(AR$6-$G$3,22))&lt;&gt;""),Soja!$E17:INDEX(Soja!$E17:$Z17,MIN(AR$6-$G$3,22))),0)))))</f>
        <v>0</v>
      </c>
      <c r="AS19" s="27" t="n">
        <f aca="false">IF(COUNT(Soja!$E17:$Z17)=0,0,MAX(0,IF((AS$6-$E$3)&lt;1,0,IFERROR(LOOKUP(2,1/(Soja!$E17:INDEX(Soja!$E17:$Z17,MIN(AS$6-$E$3,22))&lt;&gt;""),Soja!$E17:INDEX(Soja!$E17:$Z17,MIN(AS$6-$E$3,22))),0))-IF($G$2,0,IF((AS$6-$G$3)&lt;1,0,IFERROR(LOOKUP(2,1/(Soja!$E17:INDEX(Soja!$E17:$Z17,MIN(AS$6-$G$3,22))&lt;&gt;""),Soja!$E17:INDEX(Soja!$E17:$Z17,MIN(AS$6-$G$3,22))),0)))))</f>
        <v>0</v>
      </c>
      <c r="AT19" s="27" t="n">
        <f aca="false">IF(COUNT(Soja!$E17:$Z17)=0,0,MAX(0,IF((AT$6-$E$3)&lt;1,0,IFERROR(LOOKUP(2,1/(Soja!$E17:INDEX(Soja!$E17:$Z17,MIN(AT$6-$E$3,22))&lt;&gt;""),Soja!$E17:INDEX(Soja!$E17:$Z17,MIN(AT$6-$E$3,22))),0))-IF($G$2,0,IF((AT$6-$G$3)&lt;1,0,IFERROR(LOOKUP(2,1/(Soja!$E17:INDEX(Soja!$E17:$Z17,MIN(AT$6-$G$3,22))&lt;&gt;""),Soja!$E17:INDEX(Soja!$E17:$Z17,MIN(AT$6-$G$3,22))),0)))))</f>
        <v>0</v>
      </c>
      <c r="AU19" s="27" t="n">
        <f aca="false">IF(COUNT(Soja!$E17:$Z17)=0,0,MAX(0,IF((AU$6-$E$3)&lt;1,0,IFERROR(LOOKUP(2,1/(Soja!$E17:INDEX(Soja!$E17:$Z17,MIN(AU$6-$E$3,22))&lt;&gt;""),Soja!$E17:INDEX(Soja!$E17:$Z17,MIN(AU$6-$E$3,22))),0))-IF($G$2,0,IF((AU$6-$G$3)&lt;1,0,IFERROR(LOOKUP(2,1/(Soja!$E17:INDEX(Soja!$E17:$Z17,MIN(AU$6-$G$3,22))&lt;&gt;""),Soja!$E17:INDEX(Soja!$E17:$Z17,MIN(AU$6-$G$3,22))),0)))))</f>
        <v>0</v>
      </c>
      <c r="AV19" s="27" t="n">
        <f aca="false">IF(COUNT(Soja!$E17:$Z17)=0,0,MAX(0,IF((AV$6-$E$3)&lt;1,0,IFERROR(LOOKUP(2,1/(Soja!$E17:INDEX(Soja!$E17:$Z17,MIN(AV$6-$E$3,22))&lt;&gt;""),Soja!$E17:INDEX(Soja!$E17:$Z17,MIN(AV$6-$E$3,22))),0))-IF($G$2,0,IF((AV$6-$G$3)&lt;1,0,IFERROR(LOOKUP(2,1/(Soja!$E17:INDEX(Soja!$E17:$Z17,MIN(AV$6-$G$3,22))&lt;&gt;""),Soja!$E17:INDEX(Soja!$E17:$Z17,MIN(AV$6-$G$3,22))),0)))))</f>
        <v>0</v>
      </c>
      <c r="AW19" s="27" t="n">
        <f aca="false">IF(COUNT(Soja!$E17:$Z17)=0,0,MAX(0,IF((AW$6-$E$3)&lt;1,0,IFERROR(LOOKUP(2,1/(Soja!$E17:INDEX(Soja!$E17:$Z17,MIN(AW$6-$E$3,22))&lt;&gt;""),Soja!$E17:INDEX(Soja!$E17:$Z17,MIN(AW$6-$E$3,22))),0))-IF($G$2,0,IF((AW$6-$G$3)&lt;1,0,IFERROR(LOOKUP(2,1/(Soja!$E17:INDEX(Soja!$E17:$Z17,MIN(AW$6-$G$3,22))&lt;&gt;""),Soja!$E17:INDEX(Soja!$E17:$Z17,MIN(AW$6-$G$3,22))),0)))))</f>
        <v>0</v>
      </c>
      <c r="AX19" s="27" t="n">
        <f aca="false">IF(COUNT(Soja!$E17:$Z17)=0,0,MAX(0,IF((AX$6-$E$3)&lt;1,0,IFERROR(LOOKUP(2,1/(Soja!$E17:INDEX(Soja!$E17:$Z17,MIN(AX$6-$E$3,22))&lt;&gt;""),Soja!$E17:INDEX(Soja!$E17:$Z17,MIN(AX$6-$E$3,22))),0))-IF($G$2,0,IF((AX$6-$G$3)&lt;1,0,IFERROR(LOOKUP(2,1/(Soja!$E17:INDEX(Soja!$E17:$Z17,MIN(AX$6-$G$3,22))&lt;&gt;""),Soja!$E17:INDEX(Soja!$E17:$Z17,MIN(AX$6-$G$3,22))),0)))))</f>
        <v>0</v>
      </c>
      <c r="AY19" s="27" t="n">
        <f aca="false">IF(COUNT(Soja!$E17:$Z17)=0,0,MAX(0,IF((AY$6-$E$3)&lt;1,0,IFERROR(LOOKUP(2,1/(Soja!$E17:INDEX(Soja!$E17:$Z17,MIN(AY$6-$E$3,22))&lt;&gt;""),Soja!$E17:INDEX(Soja!$E17:$Z17,MIN(AY$6-$E$3,22))),0))-IF($G$2,0,IF((AY$6-$G$3)&lt;1,0,IFERROR(LOOKUP(2,1/(Soja!$E17:INDEX(Soja!$E17:$Z17,MIN(AY$6-$G$3,22))&lt;&gt;""),Soja!$E17:INDEX(Soja!$E17:$Z17,MIN(AY$6-$G$3,22))),0)))))</f>
        <v>0</v>
      </c>
      <c r="AZ19" s="27" t="n">
        <f aca="false">IF(COUNT(Soja!$E17:$Z17)=0,0,MAX(0,IF((AZ$6-$E$3)&lt;1,0,IFERROR(LOOKUP(2,1/(Soja!$E17:INDEX(Soja!$E17:$Z17,MIN(AZ$6-$E$3,22))&lt;&gt;""),Soja!$E17:INDEX(Soja!$E17:$Z17,MIN(AZ$6-$E$3,22))),0))-IF($G$2,0,IF((AZ$6-$G$3)&lt;1,0,IFERROR(LOOKUP(2,1/(Soja!$E17:INDEX(Soja!$E17:$Z17,MIN(AZ$6-$G$3,22))&lt;&gt;""),Soja!$E17:INDEX(Soja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IF(COUNT(Soja!$E18:$Z18)&gt;0,N(Soja!$D18),0)</f>
        <v>0</v>
      </c>
      <c r="E20" s="27" t="n">
        <f aca="false">IF(COUNT(Soja!$E18:$Z18)=0,0,MAX(0,IF((E$6-$E$3)&lt;1,0,IFERROR(LOOKUP(2,1/(Soja!$E18:INDEX(Soja!$E18:$Z18,MIN(E$6-$E$3,22))&lt;&gt;""),Soja!$E18:INDEX(Soja!$E18:$Z18,MIN(E$6-$E$3,22))),0))-IF($G$2,0,IF((E$6-$G$3)&lt;1,0,IFERROR(LOOKUP(2,1/(Soja!$E18:INDEX(Soja!$E18:$Z18,MIN(E$6-$G$3,22))&lt;&gt;""),Soja!$E18:INDEX(Soja!$E18:$Z18,MIN(E$6-$G$3,22))),0)))))</f>
        <v>0</v>
      </c>
      <c r="F20" s="27" t="n">
        <f aca="false">IF(COUNT(Soja!$E18:$Z18)=0,0,MAX(0,IF((F$6-$E$3)&lt;1,0,IFERROR(LOOKUP(2,1/(Soja!$E18:INDEX(Soja!$E18:$Z18,MIN(F$6-$E$3,22))&lt;&gt;""),Soja!$E18:INDEX(Soja!$E18:$Z18,MIN(F$6-$E$3,22))),0))-IF($G$2,0,IF((F$6-$G$3)&lt;1,0,IFERROR(LOOKUP(2,1/(Soja!$E18:INDEX(Soja!$E18:$Z18,MIN(F$6-$G$3,22))&lt;&gt;""),Soja!$E18:INDEX(Soja!$E18:$Z18,MIN(F$6-$G$3,22))),0)))))</f>
        <v>0</v>
      </c>
      <c r="G20" s="27" t="n">
        <f aca="false">IF(COUNT(Soja!$E18:$Z18)=0,0,MAX(0,IF((G$6-$E$3)&lt;1,0,IFERROR(LOOKUP(2,1/(Soja!$E18:INDEX(Soja!$E18:$Z18,MIN(G$6-$E$3,22))&lt;&gt;""),Soja!$E18:INDEX(Soja!$E18:$Z18,MIN(G$6-$E$3,22))),0))-IF($G$2,0,IF((G$6-$G$3)&lt;1,0,IFERROR(LOOKUP(2,1/(Soja!$E18:INDEX(Soja!$E18:$Z18,MIN(G$6-$G$3,22))&lt;&gt;""),Soja!$E18:INDEX(Soja!$E18:$Z18,MIN(G$6-$G$3,22))),0)))))</f>
        <v>0</v>
      </c>
      <c r="H20" s="27" t="n">
        <f aca="false">IF(COUNT(Soja!$E18:$Z18)=0,0,MAX(0,IF((H$6-$E$3)&lt;1,0,IFERROR(LOOKUP(2,1/(Soja!$E18:INDEX(Soja!$E18:$Z18,MIN(H$6-$E$3,22))&lt;&gt;""),Soja!$E18:INDEX(Soja!$E18:$Z18,MIN(H$6-$E$3,22))),0))-IF($G$2,0,IF((H$6-$G$3)&lt;1,0,IFERROR(LOOKUP(2,1/(Soja!$E18:INDEX(Soja!$E18:$Z18,MIN(H$6-$G$3,22))&lt;&gt;""),Soja!$E18:INDEX(Soja!$E18:$Z18,MIN(H$6-$G$3,22))),0)))))</f>
        <v>0</v>
      </c>
      <c r="I20" s="27" t="n">
        <f aca="false">IF(COUNT(Soja!$E18:$Z18)=0,0,MAX(0,IF((I$6-$E$3)&lt;1,0,IFERROR(LOOKUP(2,1/(Soja!$E18:INDEX(Soja!$E18:$Z18,MIN(I$6-$E$3,22))&lt;&gt;""),Soja!$E18:INDEX(Soja!$E18:$Z18,MIN(I$6-$E$3,22))),0))-IF($G$2,0,IF((I$6-$G$3)&lt;1,0,IFERROR(LOOKUP(2,1/(Soja!$E18:INDEX(Soja!$E18:$Z18,MIN(I$6-$G$3,22))&lt;&gt;""),Soja!$E18:INDEX(Soja!$E18:$Z18,MIN(I$6-$G$3,22))),0)))))</f>
        <v>0</v>
      </c>
      <c r="J20" s="27" t="n">
        <f aca="false">IF(COUNT(Soja!$E18:$Z18)=0,0,MAX(0,IF((J$6-$E$3)&lt;1,0,IFERROR(LOOKUP(2,1/(Soja!$E18:INDEX(Soja!$E18:$Z18,MIN(J$6-$E$3,22))&lt;&gt;""),Soja!$E18:INDEX(Soja!$E18:$Z18,MIN(J$6-$E$3,22))),0))-IF($G$2,0,IF((J$6-$G$3)&lt;1,0,IFERROR(LOOKUP(2,1/(Soja!$E18:INDEX(Soja!$E18:$Z18,MIN(J$6-$G$3,22))&lt;&gt;""),Soja!$E18:INDEX(Soja!$E18:$Z18,MIN(J$6-$G$3,22))),0)))))</f>
        <v>0</v>
      </c>
      <c r="K20" s="27" t="n">
        <f aca="false">IF(COUNT(Soja!$E18:$Z18)=0,0,MAX(0,IF((K$6-$E$3)&lt;1,0,IFERROR(LOOKUP(2,1/(Soja!$E18:INDEX(Soja!$E18:$Z18,MIN(K$6-$E$3,22))&lt;&gt;""),Soja!$E18:INDEX(Soja!$E18:$Z18,MIN(K$6-$E$3,22))),0))-IF($G$2,0,IF((K$6-$G$3)&lt;1,0,IFERROR(LOOKUP(2,1/(Soja!$E18:INDEX(Soja!$E18:$Z18,MIN(K$6-$G$3,22))&lt;&gt;""),Soja!$E18:INDEX(Soja!$E18:$Z18,MIN(K$6-$G$3,22))),0)))))</f>
        <v>0</v>
      </c>
      <c r="L20" s="27" t="n">
        <f aca="false">IF(COUNT(Soja!$E18:$Z18)=0,0,MAX(0,IF((L$6-$E$3)&lt;1,0,IFERROR(LOOKUP(2,1/(Soja!$E18:INDEX(Soja!$E18:$Z18,MIN(L$6-$E$3,22))&lt;&gt;""),Soja!$E18:INDEX(Soja!$E18:$Z18,MIN(L$6-$E$3,22))),0))-IF($G$2,0,IF((L$6-$G$3)&lt;1,0,IFERROR(LOOKUP(2,1/(Soja!$E18:INDEX(Soja!$E18:$Z18,MIN(L$6-$G$3,22))&lt;&gt;""),Soja!$E18:INDEX(Soja!$E18:$Z18,MIN(L$6-$G$3,22))),0)))))</f>
        <v>0</v>
      </c>
      <c r="M20" s="27" t="n">
        <f aca="false">IF(COUNT(Soja!$E18:$Z18)=0,0,MAX(0,IF((M$6-$E$3)&lt;1,0,IFERROR(LOOKUP(2,1/(Soja!$E18:INDEX(Soja!$E18:$Z18,MIN(M$6-$E$3,22))&lt;&gt;""),Soja!$E18:INDEX(Soja!$E18:$Z18,MIN(M$6-$E$3,22))),0))-IF($G$2,0,IF((M$6-$G$3)&lt;1,0,IFERROR(LOOKUP(2,1/(Soja!$E18:INDEX(Soja!$E18:$Z18,MIN(M$6-$G$3,22))&lt;&gt;""),Soja!$E18:INDEX(Soja!$E18:$Z18,MIN(M$6-$G$3,22))),0)))))</f>
        <v>0</v>
      </c>
      <c r="N20" s="27" t="n">
        <f aca="false">IF(COUNT(Soja!$E18:$Z18)=0,0,MAX(0,IF((N$6-$E$3)&lt;1,0,IFERROR(LOOKUP(2,1/(Soja!$E18:INDEX(Soja!$E18:$Z18,MIN(N$6-$E$3,22))&lt;&gt;""),Soja!$E18:INDEX(Soja!$E18:$Z18,MIN(N$6-$E$3,22))),0))-IF($G$2,0,IF((N$6-$G$3)&lt;1,0,IFERROR(LOOKUP(2,1/(Soja!$E18:INDEX(Soja!$E18:$Z18,MIN(N$6-$G$3,22))&lt;&gt;""),Soja!$E18:INDEX(Soja!$E18:$Z18,MIN(N$6-$G$3,22))),0)))))</f>
        <v>0</v>
      </c>
      <c r="O20" s="27" t="n">
        <f aca="false">IF(COUNT(Soja!$E18:$Z18)=0,0,MAX(0,IF((O$6-$E$3)&lt;1,0,IFERROR(LOOKUP(2,1/(Soja!$E18:INDEX(Soja!$E18:$Z18,MIN(O$6-$E$3,22))&lt;&gt;""),Soja!$E18:INDEX(Soja!$E18:$Z18,MIN(O$6-$E$3,22))),0))-IF($G$2,0,IF((O$6-$G$3)&lt;1,0,IFERROR(LOOKUP(2,1/(Soja!$E18:INDEX(Soja!$E18:$Z18,MIN(O$6-$G$3,22))&lt;&gt;""),Soja!$E18:INDEX(Soja!$E18:$Z18,MIN(O$6-$G$3,22))),0)))))</f>
        <v>0</v>
      </c>
      <c r="P20" s="27" t="n">
        <f aca="false">IF(COUNT(Soja!$E18:$Z18)=0,0,MAX(0,IF((P$6-$E$3)&lt;1,0,IFERROR(LOOKUP(2,1/(Soja!$E18:INDEX(Soja!$E18:$Z18,MIN(P$6-$E$3,22))&lt;&gt;""),Soja!$E18:INDEX(Soja!$E18:$Z18,MIN(P$6-$E$3,22))),0))-IF($G$2,0,IF((P$6-$G$3)&lt;1,0,IFERROR(LOOKUP(2,1/(Soja!$E18:INDEX(Soja!$E18:$Z18,MIN(P$6-$G$3,22))&lt;&gt;""),Soja!$E18:INDEX(Soja!$E18:$Z18,MIN(P$6-$G$3,22))),0)))))</f>
        <v>0</v>
      </c>
      <c r="Q20" s="27" t="n">
        <f aca="false">IF(COUNT(Soja!$E18:$Z18)=0,0,MAX(0,IF((Q$6-$E$3)&lt;1,0,IFERROR(LOOKUP(2,1/(Soja!$E18:INDEX(Soja!$E18:$Z18,MIN(Q$6-$E$3,22))&lt;&gt;""),Soja!$E18:INDEX(Soja!$E18:$Z18,MIN(Q$6-$E$3,22))),0))-IF($G$2,0,IF((Q$6-$G$3)&lt;1,0,IFERROR(LOOKUP(2,1/(Soja!$E18:INDEX(Soja!$E18:$Z18,MIN(Q$6-$G$3,22))&lt;&gt;""),Soja!$E18:INDEX(Soja!$E18:$Z18,MIN(Q$6-$G$3,22))),0)))))</f>
        <v>0</v>
      </c>
      <c r="R20" s="27" t="n">
        <f aca="false">IF(COUNT(Soja!$E18:$Z18)=0,0,MAX(0,IF((R$6-$E$3)&lt;1,0,IFERROR(LOOKUP(2,1/(Soja!$E18:INDEX(Soja!$E18:$Z18,MIN(R$6-$E$3,22))&lt;&gt;""),Soja!$E18:INDEX(Soja!$E18:$Z18,MIN(R$6-$E$3,22))),0))-IF($G$2,0,IF((R$6-$G$3)&lt;1,0,IFERROR(LOOKUP(2,1/(Soja!$E18:INDEX(Soja!$E18:$Z18,MIN(R$6-$G$3,22))&lt;&gt;""),Soja!$E18:INDEX(Soja!$E18:$Z18,MIN(R$6-$G$3,22))),0)))))</f>
        <v>0</v>
      </c>
      <c r="S20" s="27" t="n">
        <f aca="false">IF(COUNT(Soja!$E18:$Z18)=0,0,MAX(0,IF((S$6-$E$3)&lt;1,0,IFERROR(LOOKUP(2,1/(Soja!$E18:INDEX(Soja!$E18:$Z18,MIN(S$6-$E$3,22))&lt;&gt;""),Soja!$E18:INDEX(Soja!$E18:$Z18,MIN(S$6-$E$3,22))),0))-IF($G$2,0,IF((S$6-$G$3)&lt;1,0,IFERROR(LOOKUP(2,1/(Soja!$E18:INDEX(Soja!$E18:$Z18,MIN(S$6-$G$3,22))&lt;&gt;""),Soja!$E18:INDEX(Soja!$E18:$Z18,MIN(S$6-$G$3,22))),0)))))</f>
        <v>0</v>
      </c>
      <c r="T20" s="27" t="n">
        <f aca="false">IF(COUNT(Soja!$E18:$Z18)=0,0,MAX(0,IF((T$6-$E$3)&lt;1,0,IFERROR(LOOKUP(2,1/(Soja!$E18:INDEX(Soja!$E18:$Z18,MIN(T$6-$E$3,22))&lt;&gt;""),Soja!$E18:INDEX(Soja!$E18:$Z18,MIN(T$6-$E$3,22))),0))-IF($G$2,0,IF((T$6-$G$3)&lt;1,0,IFERROR(LOOKUP(2,1/(Soja!$E18:INDEX(Soja!$E18:$Z18,MIN(T$6-$G$3,22))&lt;&gt;""),Soja!$E18:INDEX(Soja!$E18:$Z18,MIN(T$6-$G$3,22))),0)))))</f>
        <v>0</v>
      </c>
      <c r="U20" s="27" t="n">
        <f aca="false">IF(COUNT(Soja!$E18:$Z18)=0,0,MAX(0,IF((U$6-$E$3)&lt;1,0,IFERROR(LOOKUP(2,1/(Soja!$E18:INDEX(Soja!$E18:$Z18,MIN(U$6-$E$3,22))&lt;&gt;""),Soja!$E18:INDEX(Soja!$E18:$Z18,MIN(U$6-$E$3,22))),0))-IF($G$2,0,IF((U$6-$G$3)&lt;1,0,IFERROR(LOOKUP(2,1/(Soja!$E18:INDEX(Soja!$E18:$Z18,MIN(U$6-$G$3,22))&lt;&gt;""),Soja!$E18:INDEX(Soja!$E18:$Z18,MIN(U$6-$G$3,22))),0)))))</f>
        <v>0</v>
      </c>
      <c r="V20" s="27" t="n">
        <f aca="false">IF(COUNT(Soja!$E18:$Z18)=0,0,MAX(0,IF((V$6-$E$3)&lt;1,0,IFERROR(LOOKUP(2,1/(Soja!$E18:INDEX(Soja!$E18:$Z18,MIN(V$6-$E$3,22))&lt;&gt;""),Soja!$E18:INDEX(Soja!$E18:$Z18,MIN(V$6-$E$3,22))),0))-IF($G$2,0,IF((V$6-$G$3)&lt;1,0,IFERROR(LOOKUP(2,1/(Soja!$E18:INDEX(Soja!$E18:$Z18,MIN(V$6-$G$3,22))&lt;&gt;""),Soja!$E18:INDEX(Soja!$E18:$Z18,MIN(V$6-$G$3,22))),0)))))</f>
        <v>0</v>
      </c>
      <c r="W20" s="27" t="n">
        <f aca="false">IF(COUNT(Soja!$E18:$Z18)=0,0,MAX(0,IF((W$6-$E$3)&lt;1,0,IFERROR(LOOKUP(2,1/(Soja!$E18:INDEX(Soja!$E18:$Z18,MIN(W$6-$E$3,22))&lt;&gt;""),Soja!$E18:INDEX(Soja!$E18:$Z18,MIN(W$6-$E$3,22))),0))-IF($G$2,0,IF((W$6-$G$3)&lt;1,0,IFERROR(LOOKUP(2,1/(Soja!$E18:INDEX(Soja!$E18:$Z18,MIN(W$6-$G$3,22))&lt;&gt;""),Soja!$E18:INDEX(Soja!$E18:$Z18,MIN(W$6-$G$3,22))),0)))))</f>
        <v>0</v>
      </c>
      <c r="X20" s="27" t="n">
        <f aca="false">IF(COUNT(Soja!$E18:$Z18)=0,0,MAX(0,IF((X$6-$E$3)&lt;1,0,IFERROR(LOOKUP(2,1/(Soja!$E18:INDEX(Soja!$E18:$Z18,MIN(X$6-$E$3,22))&lt;&gt;""),Soja!$E18:INDEX(Soja!$E18:$Z18,MIN(X$6-$E$3,22))),0))-IF($G$2,0,IF((X$6-$G$3)&lt;1,0,IFERROR(LOOKUP(2,1/(Soja!$E18:INDEX(Soja!$E18:$Z18,MIN(X$6-$G$3,22))&lt;&gt;""),Soja!$E18:INDEX(Soja!$E18:$Z18,MIN(X$6-$G$3,22))),0)))))</f>
        <v>0</v>
      </c>
      <c r="Y20" s="27" t="n">
        <f aca="false">IF(COUNT(Soja!$E18:$Z18)=0,0,MAX(0,IF((Y$6-$E$3)&lt;1,0,IFERROR(LOOKUP(2,1/(Soja!$E18:INDEX(Soja!$E18:$Z18,MIN(Y$6-$E$3,22))&lt;&gt;""),Soja!$E18:INDEX(Soja!$E18:$Z18,MIN(Y$6-$E$3,22))),0))-IF($G$2,0,IF((Y$6-$G$3)&lt;1,0,IFERROR(LOOKUP(2,1/(Soja!$E18:INDEX(Soja!$E18:$Z18,MIN(Y$6-$G$3,22))&lt;&gt;""),Soja!$E18:INDEX(Soja!$E18:$Z18,MIN(Y$6-$G$3,22))),0)))))</f>
        <v>0</v>
      </c>
      <c r="Z20" s="27" t="n">
        <f aca="false">IF(COUNT(Soja!$E18:$Z18)=0,0,MAX(0,IF((Z$6-$E$3)&lt;1,0,IFERROR(LOOKUP(2,1/(Soja!$E18:INDEX(Soja!$E18:$Z18,MIN(Z$6-$E$3,22))&lt;&gt;""),Soja!$E18:INDEX(Soja!$E18:$Z18,MIN(Z$6-$E$3,22))),0))-IF($G$2,0,IF((Z$6-$G$3)&lt;1,0,IFERROR(LOOKUP(2,1/(Soja!$E18:INDEX(Soja!$E18:$Z18,MIN(Z$6-$G$3,22))&lt;&gt;""),Soja!$E18:INDEX(Soja!$E18:$Z18,MIN(Z$6-$G$3,22))),0)))))</f>
        <v>0</v>
      </c>
      <c r="AA20" s="27" t="n">
        <f aca="false">IF(COUNT(Soja!$E18:$Z18)=0,0,MAX(0,IF((AA$6-$E$3)&lt;1,0,IFERROR(LOOKUP(2,1/(Soja!$E18:INDEX(Soja!$E18:$Z18,MIN(AA$6-$E$3,22))&lt;&gt;""),Soja!$E18:INDEX(Soja!$E18:$Z18,MIN(AA$6-$E$3,22))),0))-IF($G$2,0,IF((AA$6-$G$3)&lt;1,0,IFERROR(LOOKUP(2,1/(Soja!$E18:INDEX(Soja!$E18:$Z18,MIN(AA$6-$G$3,22))&lt;&gt;""),Soja!$E18:INDEX(Soja!$E18:$Z18,MIN(AA$6-$G$3,22))),0)))))</f>
        <v>0</v>
      </c>
      <c r="AB20" s="27" t="n">
        <f aca="false">IF(COUNT(Soja!$E18:$Z18)=0,0,MAX(0,IF((AB$6-$E$3)&lt;1,0,IFERROR(LOOKUP(2,1/(Soja!$E18:INDEX(Soja!$E18:$Z18,MIN(AB$6-$E$3,22))&lt;&gt;""),Soja!$E18:INDEX(Soja!$E18:$Z18,MIN(AB$6-$E$3,22))),0))-IF($G$2,0,IF((AB$6-$G$3)&lt;1,0,IFERROR(LOOKUP(2,1/(Soja!$E18:INDEX(Soja!$E18:$Z18,MIN(AB$6-$G$3,22))&lt;&gt;""),Soja!$E18:INDEX(Soja!$E18:$Z18,MIN(AB$6-$G$3,22))),0)))))</f>
        <v>0</v>
      </c>
      <c r="AC20" s="27" t="n">
        <f aca="false">IF(COUNT(Soja!$E18:$Z18)=0,0,MAX(0,IF((AC$6-$E$3)&lt;1,0,IFERROR(LOOKUP(2,1/(Soja!$E18:INDEX(Soja!$E18:$Z18,MIN(AC$6-$E$3,22))&lt;&gt;""),Soja!$E18:INDEX(Soja!$E18:$Z18,MIN(AC$6-$E$3,22))),0))-IF($G$2,0,IF((AC$6-$G$3)&lt;1,0,IFERROR(LOOKUP(2,1/(Soja!$E18:INDEX(Soja!$E18:$Z18,MIN(AC$6-$G$3,22))&lt;&gt;""),Soja!$E18:INDEX(Soja!$E18:$Z18,MIN(AC$6-$G$3,22))),0)))))</f>
        <v>0</v>
      </c>
      <c r="AD20" s="27" t="n">
        <f aca="false">IF(COUNT(Soja!$E18:$Z18)=0,0,MAX(0,IF((AD$6-$E$3)&lt;1,0,IFERROR(LOOKUP(2,1/(Soja!$E18:INDEX(Soja!$E18:$Z18,MIN(AD$6-$E$3,22))&lt;&gt;""),Soja!$E18:INDEX(Soja!$E18:$Z18,MIN(AD$6-$E$3,22))),0))-IF($G$2,0,IF((AD$6-$G$3)&lt;1,0,IFERROR(LOOKUP(2,1/(Soja!$E18:INDEX(Soja!$E18:$Z18,MIN(AD$6-$G$3,22))&lt;&gt;""),Soja!$E18:INDEX(Soja!$E18:$Z18,MIN(AD$6-$G$3,22))),0)))))</f>
        <v>0</v>
      </c>
      <c r="AE20" s="27" t="n">
        <f aca="false">IF(COUNT(Soja!$E18:$Z18)=0,0,MAX(0,IF((AE$6-$E$3)&lt;1,0,IFERROR(LOOKUP(2,1/(Soja!$E18:INDEX(Soja!$E18:$Z18,MIN(AE$6-$E$3,22))&lt;&gt;""),Soja!$E18:INDEX(Soja!$E18:$Z18,MIN(AE$6-$E$3,22))),0))-IF($G$2,0,IF((AE$6-$G$3)&lt;1,0,IFERROR(LOOKUP(2,1/(Soja!$E18:INDEX(Soja!$E18:$Z18,MIN(AE$6-$G$3,22))&lt;&gt;""),Soja!$E18:INDEX(Soja!$E18:$Z18,MIN(AE$6-$G$3,22))),0)))))</f>
        <v>0</v>
      </c>
      <c r="AF20" s="27" t="n">
        <f aca="false">IF(COUNT(Soja!$E18:$Z18)=0,0,MAX(0,IF((AF$6-$E$3)&lt;1,0,IFERROR(LOOKUP(2,1/(Soja!$E18:INDEX(Soja!$E18:$Z18,MIN(AF$6-$E$3,22))&lt;&gt;""),Soja!$E18:INDEX(Soja!$E18:$Z18,MIN(AF$6-$E$3,22))),0))-IF($G$2,0,IF((AF$6-$G$3)&lt;1,0,IFERROR(LOOKUP(2,1/(Soja!$E18:INDEX(Soja!$E18:$Z18,MIN(AF$6-$G$3,22))&lt;&gt;""),Soja!$E18:INDEX(Soja!$E18:$Z18,MIN(AF$6-$G$3,22))),0)))))</f>
        <v>0</v>
      </c>
      <c r="AG20" s="27" t="n">
        <f aca="false">IF(COUNT(Soja!$E18:$Z18)=0,0,MAX(0,IF((AG$6-$E$3)&lt;1,0,IFERROR(LOOKUP(2,1/(Soja!$E18:INDEX(Soja!$E18:$Z18,MIN(AG$6-$E$3,22))&lt;&gt;""),Soja!$E18:INDEX(Soja!$E18:$Z18,MIN(AG$6-$E$3,22))),0))-IF($G$2,0,IF((AG$6-$G$3)&lt;1,0,IFERROR(LOOKUP(2,1/(Soja!$E18:INDEX(Soja!$E18:$Z18,MIN(AG$6-$G$3,22))&lt;&gt;""),Soja!$E18:INDEX(Soja!$E18:$Z18,MIN(AG$6-$G$3,22))),0)))))</f>
        <v>0</v>
      </c>
      <c r="AH20" s="27" t="n">
        <f aca="false">IF(COUNT(Soja!$E18:$Z18)=0,0,MAX(0,IF((AH$6-$E$3)&lt;1,0,IFERROR(LOOKUP(2,1/(Soja!$E18:INDEX(Soja!$E18:$Z18,MIN(AH$6-$E$3,22))&lt;&gt;""),Soja!$E18:INDEX(Soja!$E18:$Z18,MIN(AH$6-$E$3,22))),0))-IF($G$2,0,IF((AH$6-$G$3)&lt;1,0,IFERROR(LOOKUP(2,1/(Soja!$E18:INDEX(Soja!$E18:$Z18,MIN(AH$6-$G$3,22))&lt;&gt;""),Soja!$E18:INDEX(Soja!$E18:$Z18,MIN(AH$6-$G$3,22))),0)))))</f>
        <v>0</v>
      </c>
      <c r="AI20" s="27" t="n">
        <f aca="false">IF(COUNT(Soja!$E18:$Z18)=0,0,MAX(0,IF((AI$6-$E$3)&lt;1,0,IFERROR(LOOKUP(2,1/(Soja!$E18:INDEX(Soja!$E18:$Z18,MIN(AI$6-$E$3,22))&lt;&gt;""),Soja!$E18:INDEX(Soja!$E18:$Z18,MIN(AI$6-$E$3,22))),0))-IF($G$2,0,IF((AI$6-$G$3)&lt;1,0,IFERROR(LOOKUP(2,1/(Soja!$E18:INDEX(Soja!$E18:$Z18,MIN(AI$6-$G$3,22))&lt;&gt;""),Soja!$E18:INDEX(Soja!$E18:$Z18,MIN(AI$6-$G$3,22))),0)))))</f>
        <v>0</v>
      </c>
      <c r="AJ20" s="27" t="n">
        <f aca="false">IF(COUNT(Soja!$E18:$Z18)=0,0,MAX(0,IF((AJ$6-$E$3)&lt;1,0,IFERROR(LOOKUP(2,1/(Soja!$E18:INDEX(Soja!$E18:$Z18,MIN(AJ$6-$E$3,22))&lt;&gt;""),Soja!$E18:INDEX(Soja!$E18:$Z18,MIN(AJ$6-$E$3,22))),0))-IF($G$2,0,IF((AJ$6-$G$3)&lt;1,0,IFERROR(LOOKUP(2,1/(Soja!$E18:INDEX(Soja!$E18:$Z18,MIN(AJ$6-$G$3,22))&lt;&gt;""),Soja!$E18:INDEX(Soja!$E18:$Z18,MIN(AJ$6-$G$3,22))),0)))))</f>
        <v>0</v>
      </c>
      <c r="AK20" s="27" t="n">
        <f aca="false">IF(COUNT(Soja!$E18:$Z18)=0,0,MAX(0,IF((AK$6-$E$3)&lt;1,0,IFERROR(LOOKUP(2,1/(Soja!$E18:INDEX(Soja!$E18:$Z18,MIN(AK$6-$E$3,22))&lt;&gt;""),Soja!$E18:INDEX(Soja!$E18:$Z18,MIN(AK$6-$E$3,22))),0))-IF($G$2,0,IF((AK$6-$G$3)&lt;1,0,IFERROR(LOOKUP(2,1/(Soja!$E18:INDEX(Soja!$E18:$Z18,MIN(AK$6-$G$3,22))&lt;&gt;""),Soja!$E18:INDEX(Soja!$E18:$Z18,MIN(AK$6-$G$3,22))),0)))))</f>
        <v>0</v>
      </c>
      <c r="AL20" s="27" t="n">
        <f aca="false">IF(COUNT(Soja!$E18:$Z18)=0,0,MAX(0,IF((AL$6-$E$3)&lt;1,0,IFERROR(LOOKUP(2,1/(Soja!$E18:INDEX(Soja!$E18:$Z18,MIN(AL$6-$E$3,22))&lt;&gt;""),Soja!$E18:INDEX(Soja!$E18:$Z18,MIN(AL$6-$E$3,22))),0))-IF($G$2,0,IF((AL$6-$G$3)&lt;1,0,IFERROR(LOOKUP(2,1/(Soja!$E18:INDEX(Soja!$E18:$Z18,MIN(AL$6-$G$3,22))&lt;&gt;""),Soja!$E18:INDEX(Soja!$E18:$Z18,MIN(AL$6-$G$3,22))),0)))))</f>
        <v>0</v>
      </c>
      <c r="AM20" s="27" t="n">
        <f aca="false">IF(COUNT(Soja!$E18:$Z18)=0,0,MAX(0,IF((AM$6-$E$3)&lt;1,0,IFERROR(LOOKUP(2,1/(Soja!$E18:INDEX(Soja!$E18:$Z18,MIN(AM$6-$E$3,22))&lt;&gt;""),Soja!$E18:INDEX(Soja!$E18:$Z18,MIN(AM$6-$E$3,22))),0))-IF($G$2,0,IF((AM$6-$G$3)&lt;1,0,IFERROR(LOOKUP(2,1/(Soja!$E18:INDEX(Soja!$E18:$Z18,MIN(AM$6-$G$3,22))&lt;&gt;""),Soja!$E18:INDEX(Soja!$E18:$Z18,MIN(AM$6-$G$3,22))),0)))))</f>
        <v>0</v>
      </c>
      <c r="AN20" s="27" t="n">
        <f aca="false">IF(COUNT(Soja!$E18:$Z18)=0,0,MAX(0,IF((AN$6-$E$3)&lt;1,0,IFERROR(LOOKUP(2,1/(Soja!$E18:INDEX(Soja!$E18:$Z18,MIN(AN$6-$E$3,22))&lt;&gt;""),Soja!$E18:INDEX(Soja!$E18:$Z18,MIN(AN$6-$E$3,22))),0))-IF($G$2,0,IF((AN$6-$G$3)&lt;1,0,IFERROR(LOOKUP(2,1/(Soja!$E18:INDEX(Soja!$E18:$Z18,MIN(AN$6-$G$3,22))&lt;&gt;""),Soja!$E18:INDEX(Soja!$E18:$Z18,MIN(AN$6-$G$3,22))),0)))))</f>
        <v>0</v>
      </c>
      <c r="AO20" s="27" t="n">
        <f aca="false">IF(COUNT(Soja!$E18:$Z18)=0,0,MAX(0,IF((AO$6-$E$3)&lt;1,0,IFERROR(LOOKUP(2,1/(Soja!$E18:INDEX(Soja!$E18:$Z18,MIN(AO$6-$E$3,22))&lt;&gt;""),Soja!$E18:INDEX(Soja!$E18:$Z18,MIN(AO$6-$E$3,22))),0))-IF($G$2,0,IF((AO$6-$G$3)&lt;1,0,IFERROR(LOOKUP(2,1/(Soja!$E18:INDEX(Soja!$E18:$Z18,MIN(AO$6-$G$3,22))&lt;&gt;""),Soja!$E18:INDEX(Soja!$E18:$Z18,MIN(AO$6-$G$3,22))),0)))))</f>
        <v>0</v>
      </c>
      <c r="AP20" s="27" t="n">
        <f aca="false">IF(COUNT(Soja!$E18:$Z18)=0,0,MAX(0,IF((AP$6-$E$3)&lt;1,0,IFERROR(LOOKUP(2,1/(Soja!$E18:INDEX(Soja!$E18:$Z18,MIN(AP$6-$E$3,22))&lt;&gt;""),Soja!$E18:INDEX(Soja!$E18:$Z18,MIN(AP$6-$E$3,22))),0))-IF($G$2,0,IF((AP$6-$G$3)&lt;1,0,IFERROR(LOOKUP(2,1/(Soja!$E18:INDEX(Soja!$E18:$Z18,MIN(AP$6-$G$3,22))&lt;&gt;""),Soja!$E18:INDEX(Soja!$E18:$Z18,MIN(AP$6-$G$3,22))),0)))))</f>
        <v>0</v>
      </c>
      <c r="AQ20" s="27" t="n">
        <f aca="false">IF(COUNT(Soja!$E18:$Z18)=0,0,MAX(0,IF((AQ$6-$E$3)&lt;1,0,IFERROR(LOOKUP(2,1/(Soja!$E18:INDEX(Soja!$E18:$Z18,MIN(AQ$6-$E$3,22))&lt;&gt;""),Soja!$E18:INDEX(Soja!$E18:$Z18,MIN(AQ$6-$E$3,22))),0))-IF($G$2,0,IF((AQ$6-$G$3)&lt;1,0,IFERROR(LOOKUP(2,1/(Soja!$E18:INDEX(Soja!$E18:$Z18,MIN(AQ$6-$G$3,22))&lt;&gt;""),Soja!$E18:INDEX(Soja!$E18:$Z18,MIN(AQ$6-$G$3,22))),0)))))</f>
        <v>0</v>
      </c>
      <c r="AR20" s="27" t="n">
        <f aca="false">IF(COUNT(Soja!$E18:$Z18)=0,0,MAX(0,IF((AR$6-$E$3)&lt;1,0,IFERROR(LOOKUP(2,1/(Soja!$E18:INDEX(Soja!$E18:$Z18,MIN(AR$6-$E$3,22))&lt;&gt;""),Soja!$E18:INDEX(Soja!$E18:$Z18,MIN(AR$6-$E$3,22))),0))-IF($G$2,0,IF((AR$6-$G$3)&lt;1,0,IFERROR(LOOKUP(2,1/(Soja!$E18:INDEX(Soja!$E18:$Z18,MIN(AR$6-$G$3,22))&lt;&gt;""),Soja!$E18:INDEX(Soja!$E18:$Z18,MIN(AR$6-$G$3,22))),0)))))</f>
        <v>0</v>
      </c>
      <c r="AS20" s="27" t="n">
        <f aca="false">IF(COUNT(Soja!$E18:$Z18)=0,0,MAX(0,IF((AS$6-$E$3)&lt;1,0,IFERROR(LOOKUP(2,1/(Soja!$E18:INDEX(Soja!$E18:$Z18,MIN(AS$6-$E$3,22))&lt;&gt;""),Soja!$E18:INDEX(Soja!$E18:$Z18,MIN(AS$6-$E$3,22))),0))-IF($G$2,0,IF((AS$6-$G$3)&lt;1,0,IFERROR(LOOKUP(2,1/(Soja!$E18:INDEX(Soja!$E18:$Z18,MIN(AS$6-$G$3,22))&lt;&gt;""),Soja!$E18:INDEX(Soja!$E18:$Z18,MIN(AS$6-$G$3,22))),0)))))</f>
        <v>0</v>
      </c>
      <c r="AT20" s="27" t="n">
        <f aca="false">IF(COUNT(Soja!$E18:$Z18)=0,0,MAX(0,IF((AT$6-$E$3)&lt;1,0,IFERROR(LOOKUP(2,1/(Soja!$E18:INDEX(Soja!$E18:$Z18,MIN(AT$6-$E$3,22))&lt;&gt;""),Soja!$E18:INDEX(Soja!$E18:$Z18,MIN(AT$6-$E$3,22))),0))-IF($G$2,0,IF((AT$6-$G$3)&lt;1,0,IFERROR(LOOKUP(2,1/(Soja!$E18:INDEX(Soja!$E18:$Z18,MIN(AT$6-$G$3,22))&lt;&gt;""),Soja!$E18:INDEX(Soja!$E18:$Z18,MIN(AT$6-$G$3,22))),0)))))</f>
        <v>0</v>
      </c>
      <c r="AU20" s="27" t="n">
        <f aca="false">IF(COUNT(Soja!$E18:$Z18)=0,0,MAX(0,IF((AU$6-$E$3)&lt;1,0,IFERROR(LOOKUP(2,1/(Soja!$E18:INDEX(Soja!$E18:$Z18,MIN(AU$6-$E$3,22))&lt;&gt;""),Soja!$E18:INDEX(Soja!$E18:$Z18,MIN(AU$6-$E$3,22))),0))-IF($G$2,0,IF((AU$6-$G$3)&lt;1,0,IFERROR(LOOKUP(2,1/(Soja!$E18:INDEX(Soja!$E18:$Z18,MIN(AU$6-$G$3,22))&lt;&gt;""),Soja!$E18:INDEX(Soja!$E18:$Z18,MIN(AU$6-$G$3,22))),0)))))</f>
        <v>0</v>
      </c>
      <c r="AV20" s="27" t="n">
        <f aca="false">IF(COUNT(Soja!$E18:$Z18)=0,0,MAX(0,IF((AV$6-$E$3)&lt;1,0,IFERROR(LOOKUP(2,1/(Soja!$E18:INDEX(Soja!$E18:$Z18,MIN(AV$6-$E$3,22))&lt;&gt;""),Soja!$E18:INDEX(Soja!$E18:$Z18,MIN(AV$6-$E$3,22))),0))-IF($G$2,0,IF((AV$6-$G$3)&lt;1,0,IFERROR(LOOKUP(2,1/(Soja!$E18:INDEX(Soja!$E18:$Z18,MIN(AV$6-$G$3,22))&lt;&gt;""),Soja!$E18:INDEX(Soja!$E18:$Z18,MIN(AV$6-$G$3,22))),0)))))</f>
        <v>0</v>
      </c>
      <c r="AW20" s="27" t="n">
        <f aca="false">IF(COUNT(Soja!$E18:$Z18)=0,0,MAX(0,IF((AW$6-$E$3)&lt;1,0,IFERROR(LOOKUP(2,1/(Soja!$E18:INDEX(Soja!$E18:$Z18,MIN(AW$6-$E$3,22))&lt;&gt;""),Soja!$E18:INDEX(Soja!$E18:$Z18,MIN(AW$6-$E$3,22))),0))-IF($G$2,0,IF((AW$6-$G$3)&lt;1,0,IFERROR(LOOKUP(2,1/(Soja!$E18:INDEX(Soja!$E18:$Z18,MIN(AW$6-$G$3,22))&lt;&gt;""),Soja!$E18:INDEX(Soja!$E18:$Z18,MIN(AW$6-$G$3,22))),0)))))</f>
        <v>0</v>
      </c>
      <c r="AX20" s="27" t="n">
        <f aca="false">IF(COUNT(Soja!$E18:$Z18)=0,0,MAX(0,IF((AX$6-$E$3)&lt;1,0,IFERROR(LOOKUP(2,1/(Soja!$E18:INDEX(Soja!$E18:$Z18,MIN(AX$6-$E$3,22))&lt;&gt;""),Soja!$E18:INDEX(Soja!$E18:$Z18,MIN(AX$6-$E$3,22))),0))-IF($G$2,0,IF((AX$6-$G$3)&lt;1,0,IFERROR(LOOKUP(2,1/(Soja!$E18:INDEX(Soja!$E18:$Z18,MIN(AX$6-$G$3,22))&lt;&gt;""),Soja!$E18:INDEX(Soja!$E18:$Z18,MIN(AX$6-$G$3,22))),0)))))</f>
        <v>0</v>
      </c>
      <c r="AY20" s="27" t="n">
        <f aca="false">IF(COUNT(Soja!$E18:$Z18)=0,0,MAX(0,IF((AY$6-$E$3)&lt;1,0,IFERROR(LOOKUP(2,1/(Soja!$E18:INDEX(Soja!$E18:$Z18,MIN(AY$6-$E$3,22))&lt;&gt;""),Soja!$E18:INDEX(Soja!$E18:$Z18,MIN(AY$6-$E$3,22))),0))-IF($G$2,0,IF((AY$6-$G$3)&lt;1,0,IFERROR(LOOKUP(2,1/(Soja!$E18:INDEX(Soja!$E18:$Z18,MIN(AY$6-$G$3,22))&lt;&gt;""),Soja!$E18:INDEX(Soja!$E18:$Z18,MIN(AY$6-$G$3,22))),0)))))</f>
        <v>0</v>
      </c>
      <c r="AZ20" s="27" t="n">
        <f aca="false">IF(COUNT(Soja!$E18:$Z18)=0,0,MAX(0,IF((AZ$6-$E$3)&lt;1,0,IFERROR(LOOKUP(2,1/(Soja!$E18:INDEX(Soja!$E18:$Z18,MIN(AZ$6-$E$3,22))&lt;&gt;""),Soja!$E18:INDEX(Soja!$E18:$Z18,MIN(AZ$6-$E$3,22))),0))-IF($G$2,0,IF((AZ$6-$G$3)&lt;1,0,IFERROR(LOOKUP(2,1/(Soja!$E18:INDEX(Soja!$E18:$Z18,MIN(AZ$6-$G$3,22))&lt;&gt;""),Soja!$E18:INDEX(Soja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IF(COUNT(Soja!$E19:$Z19)&gt;0,N(Soja!$D19),0)</f>
        <v>0</v>
      </c>
      <c r="E21" s="27" t="n">
        <f aca="false">IF(COUNT(Soja!$E19:$Z19)=0,0,MAX(0,IF((E$6-$E$3)&lt;1,0,IFERROR(LOOKUP(2,1/(Soja!$E19:INDEX(Soja!$E19:$Z19,MIN(E$6-$E$3,22))&lt;&gt;""),Soja!$E19:INDEX(Soja!$E19:$Z19,MIN(E$6-$E$3,22))),0))-IF($G$2,0,IF((E$6-$G$3)&lt;1,0,IFERROR(LOOKUP(2,1/(Soja!$E19:INDEX(Soja!$E19:$Z19,MIN(E$6-$G$3,22))&lt;&gt;""),Soja!$E19:INDEX(Soja!$E19:$Z19,MIN(E$6-$G$3,22))),0)))))</f>
        <v>0</v>
      </c>
      <c r="F21" s="27" t="n">
        <f aca="false">IF(COUNT(Soja!$E19:$Z19)=0,0,MAX(0,IF((F$6-$E$3)&lt;1,0,IFERROR(LOOKUP(2,1/(Soja!$E19:INDEX(Soja!$E19:$Z19,MIN(F$6-$E$3,22))&lt;&gt;""),Soja!$E19:INDEX(Soja!$E19:$Z19,MIN(F$6-$E$3,22))),0))-IF($G$2,0,IF((F$6-$G$3)&lt;1,0,IFERROR(LOOKUP(2,1/(Soja!$E19:INDEX(Soja!$E19:$Z19,MIN(F$6-$G$3,22))&lt;&gt;""),Soja!$E19:INDEX(Soja!$E19:$Z19,MIN(F$6-$G$3,22))),0)))))</f>
        <v>0</v>
      </c>
      <c r="G21" s="27" t="n">
        <f aca="false">IF(COUNT(Soja!$E19:$Z19)=0,0,MAX(0,IF((G$6-$E$3)&lt;1,0,IFERROR(LOOKUP(2,1/(Soja!$E19:INDEX(Soja!$E19:$Z19,MIN(G$6-$E$3,22))&lt;&gt;""),Soja!$E19:INDEX(Soja!$E19:$Z19,MIN(G$6-$E$3,22))),0))-IF($G$2,0,IF((G$6-$G$3)&lt;1,0,IFERROR(LOOKUP(2,1/(Soja!$E19:INDEX(Soja!$E19:$Z19,MIN(G$6-$G$3,22))&lt;&gt;""),Soja!$E19:INDEX(Soja!$E19:$Z19,MIN(G$6-$G$3,22))),0)))))</f>
        <v>0</v>
      </c>
      <c r="H21" s="27" t="n">
        <f aca="false">IF(COUNT(Soja!$E19:$Z19)=0,0,MAX(0,IF((H$6-$E$3)&lt;1,0,IFERROR(LOOKUP(2,1/(Soja!$E19:INDEX(Soja!$E19:$Z19,MIN(H$6-$E$3,22))&lt;&gt;""),Soja!$E19:INDEX(Soja!$E19:$Z19,MIN(H$6-$E$3,22))),0))-IF($G$2,0,IF((H$6-$G$3)&lt;1,0,IFERROR(LOOKUP(2,1/(Soja!$E19:INDEX(Soja!$E19:$Z19,MIN(H$6-$G$3,22))&lt;&gt;""),Soja!$E19:INDEX(Soja!$E19:$Z19,MIN(H$6-$G$3,22))),0)))))</f>
        <v>0</v>
      </c>
      <c r="I21" s="27" t="n">
        <f aca="false">IF(COUNT(Soja!$E19:$Z19)=0,0,MAX(0,IF((I$6-$E$3)&lt;1,0,IFERROR(LOOKUP(2,1/(Soja!$E19:INDEX(Soja!$E19:$Z19,MIN(I$6-$E$3,22))&lt;&gt;""),Soja!$E19:INDEX(Soja!$E19:$Z19,MIN(I$6-$E$3,22))),0))-IF($G$2,0,IF((I$6-$G$3)&lt;1,0,IFERROR(LOOKUP(2,1/(Soja!$E19:INDEX(Soja!$E19:$Z19,MIN(I$6-$G$3,22))&lt;&gt;""),Soja!$E19:INDEX(Soja!$E19:$Z19,MIN(I$6-$G$3,22))),0)))))</f>
        <v>0</v>
      </c>
      <c r="J21" s="27" t="n">
        <f aca="false">IF(COUNT(Soja!$E19:$Z19)=0,0,MAX(0,IF((J$6-$E$3)&lt;1,0,IFERROR(LOOKUP(2,1/(Soja!$E19:INDEX(Soja!$E19:$Z19,MIN(J$6-$E$3,22))&lt;&gt;""),Soja!$E19:INDEX(Soja!$E19:$Z19,MIN(J$6-$E$3,22))),0))-IF($G$2,0,IF((J$6-$G$3)&lt;1,0,IFERROR(LOOKUP(2,1/(Soja!$E19:INDEX(Soja!$E19:$Z19,MIN(J$6-$G$3,22))&lt;&gt;""),Soja!$E19:INDEX(Soja!$E19:$Z19,MIN(J$6-$G$3,22))),0)))))</f>
        <v>0</v>
      </c>
      <c r="K21" s="27" t="n">
        <f aca="false">IF(COUNT(Soja!$E19:$Z19)=0,0,MAX(0,IF((K$6-$E$3)&lt;1,0,IFERROR(LOOKUP(2,1/(Soja!$E19:INDEX(Soja!$E19:$Z19,MIN(K$6-$E$3,22))&lt;&gt;""),Soja!$E19:INDEX(Soja!$E19:$Z19,MIN(K$6-$E$3,22))),0))-IF($G$2,0,IF((K$6-$G$3)&lt;1,0,IFERROR(LOOKUP(2,1/(Soja!$E19:INDEX(Soja!$E19:$Z19,MIN(K$6-$G$3,22))&lt;&gt;""),Soja!$E19:INDEX(Soja!$E19:$Z19,MIN(K$6-$G$3,22))),0)))))</f>
        <v>0</v>
      </c>
      <c r="L21" s="27" t="n">
        <f aca="false">IF(COUNT(Soja!$E19:$Z19)=0,0,MAX(0,IF((L$6-$E$3)&lt;1,0,IFERROR(LOOKUP(2,1/(Soja!$E19:INDEX(Soja!$E19:$Z19,MIN(L$6-$E$3,22))&lt;&gt;""),Soja!$E19:INDEX(Soja!$E19:$Z19,MIN(L$6-$E$3,22))),0))-IF($G$2,0,IF((L$6-$G$3)&lt;1,0,IFERROR(LOOKUP(2,1/(Soja!$E19:INDEX(Soja!$E19:$Z19,MIN(L$6-$G$3,22))&lt;&gt;""),Soja!$E19:INDEX(Soja!$E19:$Z19,MIN(L$6-$G$3,22))),0)))))</f>
        <v>0</v>
      </c>
      <c r="M21" s="27" t="n">
        <f aca="false">IF(COUNT(Soja!$E19:$Z19)=0,0,MAX(0,IF((M$6-$E$3)&lt;1,0,IFERROR(LOOKUP(2,1/(Soja!$E19:INDEX(Soja!$E19:$Z19,MIN(M$6-$E$3,22))&lt;&gt;""),Soja!$E19:INDEX(Soja!$E19:$Z19,MIN(M$6-$E$3,22))),0))-IF($G$2,0,IF((M$6-$G$3)&lt;1,0,IFERROR(LOOKUP(2,1/(Soja!$E19:INDEX(Soja!$E19:$Z19,MIN(M$6-$G$3,22))&lt;&gt;""),Soja!$E19:INDEX(Soja!$E19:$Z19,MIN(M$6-$G$3,22))),0)))))</f>
        <v>0</v>
      </c>
      <c r="N21" s="27" t="n">
        <f aca="false">IF(COUNT(Soja!$E19:$Z19)=0,0,MAX(0,IF((N$6-$E$3)&lt;1,0,IFERROR(LOOKUP(2,1/(Soja!$E19:INDEX(Soja!$E19:$Z19,MIN(N$6-$E$3,22))&lt;&gt;""),Soja!$E19:INDEX(Soja!$E19:$Z19,MIN(N$6-$E$3,22))),0))-IF($G$2,0,IF((N$6-$G$3)&lt;1,0,IFERROR(LOOKUP(2,1/(Soja!$E19:INDEX(Soja!$E19:$Z19,MIN(N$6-$G$3,22))&lt;&gt;""),Soja!$E19:INDEX(Soja!$E19:$Z19,MIN(N$6-$G$3,22))),0)))))</f>
        <v>0</v>
      </c>
      <c r="O21" s="27" t="n">
        <f aca="false">IF(COUNT(Soja!$E19:$Z19)=0,0,MAX(0,IF((O$6-$E$3)&lt;1,0,IFERROR(LOOKUP(2,1/(Soja!$E19:INDEX(Soja!$E19:$Z19,MIN(O$6-$E$3,22))&lt;&gt;""),Soja!$E19:INDEX(Soja!$E19:$Z19,MIN(O$6-$E$3,22))),0))-IF($G$2,0,IF((O$6-$G$3)&lt;1,0,IFERROR(LOOKUP(2,1/(Soja!$E19:INDEX(Soja!$E19:$Z19,MIN(O$6-$G$3,22))&lt;&gt;""),Soja!$E19:INDEX(Soja!$E19:$Z19,MIN(O$6-$G$3,22))),0)))))</f>
        <v>0</v>
      </c>
      <c r="P21" s="27" t="n">
        <f aca="false">IF(COUNT(Soja!$E19:$Z19)=0,0,MAX(0,IF((P$6-$E$3)&lt;1,0,IFERROR(LOOKUP(2,1/(Soja!$E19:INDEX(Soja!$E19:$Z19,MIN(P$6-$E$3,22))&lt;&gt;""),Soja!$E19:INDEX(Soja!$E19:$Z19,MIN(P$6-$E$3,22))),0))-IF($G$2,0,IF((P$6-$G$3)&lt;1,0,IFERROR(LOOKUP(2,1/(Soja!$E19:INDEX(Soja!$E19:$Z19,MIN(P$6-$G$3,22))&lt;&gt;""),Soja!$E19:INDEX(Soja!$E19:$Z19,MIN(P$6-$G$3,22))),0)))))</f>
        <v>0</v>
      </c>
      <c r="Q21" s="27" t="n">
        <f aca="false">IF(COUNT(Soja!$E19:$Z19)=0,0,MAX(0,IF((Q$6-$E$3)&lt;1,0,IFERROR(LOOKUP(2,1/(Soja!$E19:INDEX(Soja!$E19:$Z19,MIN(Q$6-$E$3,22))&lt;&gt;""),Soja!$E19:INDEX(Soja!$E19:$Z19,MIN(Q$6-$E$3,22))),0))-IF($G$2,0,IF((Q$6-$G$3)&lt;1,0,IFERROR(LOOKUP(2,1/(Soja!$E19:INDEX(Soja!$E19:$Z19,MIN(Q$6-$G$3,22))&lt;&gt;""),Soja!$E19:INDEX(Soja!$E19:$Z19,MIN(Q$6-$G$3,22))),0)))))</f>
        <v>0</v>
      </c>
      <c r="R21" s="27" t="n">
        <f aca="false">IF(COUNT(Soja!$E19:$Z19)=0,0,MAX(0,IF((R$6-$E$3)&lt;1,0,IFERROR(LOOKUP(2,1/(Soja!$E19:INDEX(Soja!$E19:$Z19,MIN(R$6-$E$3,22))&lt;&gt;""),Soja!$E19:INDEX(Soja!$E19:$Z19,MIN(R$6-$E$3,22))),0))-IF($G$2,0,IF((R$6-$G$3)&lt;1,0,IFERROR(LOOKUP(2,1/(Soja!$E19:INDEX(Soja!$E19:$Z19,MIN(R$6-$G$3,22))&lt;&gt;""),Soja!$E19:INDEX(Soja!$E19:$Z19,MIN(R$6-$G$3,22))),0)))))</f>
        <v>0</v>
      </c>
      <c r="S21" s="27" t="n">
        <f aca="false">IF(COUNT(Soja!$E19:$Z19)=0,0,MAX(0,IF((S$6-$E$3)&lt;1,0,IFERROR(LOOKUP(2,1/(Soja!$E19:INDEX(Soja!$E19:$Z19,MIN(S$6-$E$3,22))&lt;&gt;""),Soja!$E19:INDEX(Soja!$E19:$Z19,MIN(S$6-$E$3,22))),0))-IF($G$2,0,IF((S$6-$G$3)&lt;1,0,IFERROR(LOOKUP(2,1/(Soja!$E19:INDEX(Soja!$E19:$Z19,MIN(S$6-$G$3,22))&lt;&gt;""),Soja!$E19:INDEX(Soja!$E19:$Z19,MIN(S$6-$G$3,22))),0)))))</f>
        <v>0</v>
      </c>
      <c r="T21" s="27" t="n">
        <f aca="false">IF(COUNT(Soja!$E19:$Z19)=0,0,MAX(0,IF((T$6-$E$3)&lt;1,0,IFERROR(LOOKUP(2,1/(Soja!$E19:INDEX(Soja!$E19:$Z19,MIN(T$6-$E$3,22))&lt;&gt;""),Soja!$E19:INDEX(Soja!$E19:$Z19,MIN(T$6-$E$3,22))),0))-IF($G$2,0,IF((T$6-$G$3)&lt;1,0,IFERROR(LOOKUP(2,1/(Soja!$E19:INDEX(Soja!$E19:$Z19,MIN(T$6-$G$3,22))&lt;&gt;""),Soja!$E19:INDEX(Soja!$E19:$Z19,MIN(T$6-$G$3,22))),0)))))</f>
        <v>0</v>
      </c>
      <c r="U21" s="27" t="n">
        <f aca="false">IF(COUNT(Soja!$E19:$Z19)=0,0,MAX(0,IF((U$6-$E$3)&lt;1,0,IFERROR(LOOKUP(2,1/(Soja!$E19:INDEX(Soja!$E19:$Z19,MIN(U$6-$E$3,22))&lt;&gt;""),Soja!$E19:INDEX(Soja!$E19:$Z19,MIN(U$6-$E$3,22))),0))-IF($G$2,0,IF((U$6-$G$3)&lt;1,0,IFERROR(LOOKUP(2,1/(Soja!$E19:INDEX(Soja!$E19:$Z19,MIN(U$6-$G$3,22))&lt;&gt;""),Soja!$E19:INDEX(Soja!$E19:$Z19,MIN(U$6-$G$3,22))),0)))))</f>
        <v>0</v>
      </c>
      <c r="V21" s="27" t="n">
        <f aca="false">IF(COUNT(Soja!$E19:$Z19)=0,0,MAX(0,IF((V$6-$E$3)&lt;1,0,IFERROR(LOOKUP(2,1/(Soja!$E19:INDEX(Soja!$E19:$Z19,MIN(V$6-$E$3,22))&lt;&gt;""),Soja!$E19:INDEX(Soja!$E19:$Z19,MIN(V$6-$E$3,22))),0))-IF($G$2,0,IF((V$6-$G$3)&lt;1,0,IFERROR(LOOKUP(2,1/(Soja!$E19:INDEX(Soja!$E19:$Z19,MIN(V$6-$G$3,22))&lt;&gt;""),Soja!$E19:INDEX(Soja!$E19:$Z19,MIN(V$6-$G$3,22))),0)))))</f>
        <v>0</v>
      </c>
      <c r="W21" s="27" t="n">
        <f aca="false">IF(COUNT(Soja!$E19:$Z19)=0,0,MAX(0,IF((W$6-$E$3)&lt;1,0,IFERROR(LOOKUP(2,1/(Soja!$E19:INDEX(Soja!$E19:$Z19,MIN(W$6-$E$3,22))&lt;&gt;""),Soja!$E19:INDEX(Soja!$E19:$Z19,MIN(W$6-$E$3,22))),0))-IF($G$2,0,IF((W$6-$G$3)&lt;1,0,IFERROR(LOOKUP(2,1/(Soja!$E19:INDEX(Soja!$E19:$Z19,MIN(W$6-$G$3,22))&lt;&gt;""),Soja!$E19:INDEX(Soja!$E19:$Z19,MIN(W$6-$G$3,22))),0)))))</f>
        <v>0</v>
      </c>
      <c r="X21" s="27" t="n">
        <f aca="false">IF(COUNT(Soja!$E19:$Z19)=0,0,MAX(0,IF((X$6-$E$3)&lt;1,0,IFERROR(LOOKUP(2,1/(Soja!$E19:INDEX(Soja!$E19:$Z19,MIN(X$6-$E$3,22))&lt;&gt;""),Soja!$E19:INDEX(Soja!$E19:$Z19,MIN(X$6-$E$3,22))),0))-IF($G$2,0,IF((X$6-$G$3)&lt;1,0,IFERROR(LOOKUP(2,1/(Soja!$E19:INDEX(Soja!$E19:$Z19,MIN(X$6-$G$3,22))&lt;&gt;""),Soja!$E19:INDEX(Soja!$E19:$Z19,MIN(X$6-$G$3,22))),0)))))</f>
        <v>0</v>
      </c>
      <c r="Y21" s="27" t="n">
        <f aca="false">IF(COUNT(Soja!$E19:$Z19)=0,0,MAX(0,IF((Y$6-$E$3)&lt;1,0,IFERROR(LOOKUP(2,1/(Soja!$E19:INDEX(Soja!$E19:$Z19,MIN(Y$6-$E$3,22))&lt;&gt;""),Soja!$E19:INDEX(Soja!$E19:$Z19,MIN(Y$6-$E$3,22))),0))-IF($G$2,0,IF((Y$6-$G$3)&lt;1,0,IFERROR(LOOKUP(2,1/(Soja!$E19:INDEX(Soja!$E19:$Z19,MIN(Y$6-$G$3,22))&lt;&gt;""),Soja!$E19:INDEX(Soja!$E19:$Z19,MIN(Y$6-$G$3,22))),0)))))</f>
        <v>0</v>
      </c>
      <c r="Z21" s="27" t="n">
        <f aca="false">IF(COUNT(Soja!$E19:$Z19)=0,0,MAX(0,IF((Z$6-$E$3)&lt;1,0,IFERROR(LOOKUP(2,1/(Soja!$E19:INDEX(Soja!$E19:$Z19,MIN(Z$6-$E$3,22))&lt;&gt;""),Soja!$E19:INDEX(Soja!$E19:$Z19,MIN(Z$6-$E$3,22))),0))-IF($G$2,0,IF((Z$6-$G$3)&lt;1,0,IFERROR(LOOKUP(2,1/(Soja!$E19:INDEX(Soja!$E19:$Z19,MIN(Z$6-$G$3,22))&lt;&gt;""),Soja!$E19:INDEX(Soja!$E19:$Z19,MIN(Z$6-$G$3,22))),0)))))</f>
        <v>0</v>
      </c>
      <c r="AA21" s="27" t="n">
        <f aca="false">IF(COUNT(Soja!$E19:$Z19)=0,0,MAX(0,IF((AA$6-$E$3)&lt;1,0,IFERROR(LOOKUP(2,1/(Soja!$E19:INDEX(Soja!$E19:$Z19,MIN(AA$6-$E$3,22))&lt;&gt;""),Soja!$E19:INDEX(Soja!$E19:$Z19,MIN(AA$6-$E$3,22))),0))-IF($G$2,0,IF((AA$6-$G$3)&lt;1,0,IFERROR(LOOKUP(2,1/(Soja!$E19:INDEX(Soja!$E19:$Z19,MIN(AA$6-$G$3,22))&lt;&gt;""),Soja!$E19:INDEX(Soja!$E19:$Z19,MIN(AA$6-$G$3,22))),0)))))</f>
        <v>0</v>
      </c>
      <c r="AB21" s="27" t="n">
        <f aca="false">IF(COUNT(Soja!$E19:$Z19)=0,0,MAX(0,IF((AB$6-$E$3)&lt;1,0,IFERROR(LOOKUP(2,1/(Soja!$E19:INDEX(Soja!$E19:$Z19,MIN(AB$6-$E$3,22))&lt;&gt;""),Soja!$E19:INDEX(Soja!$E19:$Z19,MIN(AB$6-$E$3,22))),0))-IF($G$2,0,IF((AB$6-$G$3)&lt;1,0,IFERROR(LOOKUP(2,1/(Soja!$E19:INDEX(Soja!$E19:$Z19,MIN(AB$6-$G$3,22))&lt;&gt;""),Soja!$E19:INDEX(Soja!$E19:$Z19,MIN(AB$6-$G$3,22))),0)))))</f>
        <v>0</v>
      </c>
      <c r="AC21" s="27" t="n">
        <f aca="false">IF(COUNT(Soja!$E19:$Z19)=0,0,MAX(0,IF((AC$6-$E$3)&lt;1,0,IFERROR(LOOKUP(2,1/(Soja!$E19:INDEX(Soja!$E19:$Z19,MIN(AC$6-$E$3,22))&lt;&gt;""),Soja!$E19:INDEX(Soja!$E19:$Z19,MIN(AC$6-$E$3,22))),0))-IF($G$2,0,IF((AC$6-$G$3)&lt;1,0,IFERROR(LOOKUP(2,1/(Soja!$E19:INDEX(Soja!$E19:$Z19,MIN(AC$6-$G$3,22))&lt;&gt;""),Soja!$E19:INDEX(Soja!$E19:$Z19,MIN(AC$6-$G$3,22))),0)))))</f>
        <v>0</v>
      </c>
      <c r="AD21" s="27" t="n">
        <f aca="false">IF(COUNT(Soja!$E19:$Z19)=0,0,MAX(0,IF((AD$6-$E$3)&lt;1,0,IFERROR(LOOKUP(2,1/(Soja!$E19:INDEX(Soja!$E19:$Z19,MIN(AD$6-$E$3,22))&lt;&gt;""),Soja!$E19:INDEX(Soja!$E19:$Z19,MIN(AD$6-$E$3,22))),0))-IF($G$2,0,IF((AD$6-$G$3)&lt;1,0,IFERROR(LOOKUP(2,1/(Soja!$E19:INDEX(Soja!$E19:$Z19,MIN(AD$6-$G$3,22))&lt;&gt;""),Soja!$E19:INDEX(Soja!$E19:$Z19,MIN(AD$6-$G$3,22))),0)))))</f>
        <v>0</v>
      </c>
      <c r="AE21" s="27" t="n">
        <f aca="false">IF(COUNT(Soja!$E19:$Z19)=0,0,MAX(0,IF((AE$6-$E$3)&lt;1,0,IFERROR(LOOKUP(2,1/(Soja!$E19:INDEX(Soja!$E19:$Z19,MIN(AE$6-$E$3,22))&lt;&gt;""),Soja!$E19:INDEX(Soja!$E19:$Z19,MIN(AE$6-$E$3,22))),0))-IF($G$2,0,IF((AE$6-$G$3)&lt;1,0,IFERROR(LOOKUP(2,1/(Soja!$E19:INDEX(Soja!$E19:$Z19,MIN(AE$6-$G$3,22))&lt;&gt;""),Soja!$E19:INDEX(Soja!$E19:$Z19,MIN(AE$6-$G$3,22))),0)))))</f>
        <v>0</v>
      </c>
      <c r="AF21" s="27" t="n">
        <f aca="false">IF(COUNT(Soja!$E19:$Z19)=0,0,MAX(0,IF((AF$6-$E$3)&lt;1,0,IFERROR(LOOKUP(2,1/(Soja!$E19:INDEX(Soja!$E19:$Z19,MIN(AF$6-$E$3,22))&lt;&gt;""),Soja!$E19:INDEX(Soja!$E19:$Z19,MIN(AF$6-$E$3,22))),0))-IF($G$2,0,IF((AF$6-$G$3)&lt;1,0,IFERROR(LOOKUP(2,1/(Soja!$E19:INDEX(Soja!$E19:$Z19,MIN(AF$6-$G$3,22))&lt;&gt;""),Soja!$E19:INDEX(Soja!$E19:$Z19,MIN(AF$6-$G$3,22))),0)))))</f>
        <v>0</v>
      </c>
      <c r="AG21" s="27" t="n">
        <f aca="false">IF(COUNT(Soja!$E19:$Z19)=0,0,MAX(0,IF((AG$6-$E$3)&lt;1,0,IFERROR(LOOKUP(2,1/(Soja!$E19:INDEX(Soja!$E19:$Z19,MIN(AG$6-$E$3,22))&lt;&gt;""),Soja!$E19:INDEX(Soja!$E19:$Z19,MIN(AG$6-$E$3,22))),0))-IF($G$2,0,IF((AG$6-$G$3)&lt;1,0,IFERROR(LOOKUP(2,1/(Soja!$E19:INDEX(Soja!$E19:$Z19,MIN(AG$6-$G$3,22))&lt;&gt;""),Soja!$E19:INDEX(Soja!$E19:$Z19,MIN(AG$6-$G$3,22))),0)))))</f>
        <v>0</v>
      </c>
      <c r="AH21" s="27" t="n">
        <f aca="false">IF(COUNT(Soja!$E19:$Z19)=0,0,MAX(0,IF((AH$6-$E$3)&lt;1,0,IFERROR(LOOKUP(2,1/(Soja!$E19:INDEX(Soja!$E19:$Z19,MIN(AH$6-$E$3,22))&lt;&gt;""),Soja!$E19:INDEX(Soja!$E19:$Z19,MIN(AH$6-$E$3,22))),0))-IF($G$2,0,IF((AH$6-$G$3)&lt;1,0,IFERROR(LOOKUP(2,1/(Soja!$E19:INDEX(Soja!$E19:$Z19,MIN(AH$6-$G$3,22))&lt;&gt;""),Soja!$E19:INDEX(Soja!$E19:$Z19,MIN(AH$6-$G$3,22))),0)))))</f>
        <v>0</v>
      </c>
      <c r="AI21" s="27" t="n">
        <f aca="false">IF(COUNT(Soja!$E19:$Z19)=0,0,MAX(0,IF((AI$6-$E$3)&lt;1,0,IFERROR(LOOKUP(2,1/(Soja!$E19:INDEX(Soja!$E19:$Z19,MIN(AI$6-$E$3,22))&lt;&gt;""),Soja!$E19:INDEX(Soja!$E19:$Z19,MIN(AI$6-$E$3,22))),0))-IF($G$2,0,IF((AI$6-$G$3)&lt;1,0,IFERROR(LOOKUP(2,1/(Soja!$E19:INDEX(Soja!$E19:$Z19,MIN(AI$6-$G$3,22))&lt;&gt;""),Soja!$E19:INDEX(Soja!$E19:$Z19,MIN(AI$6-$G$3,22))),0)))))</f>
        <v>0</v>
      </c>
      <c r="AJ21" s="27" t="n">
        <f aca="false">IF(COUNT(Soja!$E19:$Z19)=0,0,MAX(0,IF((AJ$6-$E$3)&lt;1,0,IFERROR(LOOKUP(2,1/(Soja!$E19:INDEX(Soja!$E19:$Z19,MIN(AJ$6-$E$3,22))&lt;&gt;""),Soja!$E19:INDEX(Soja!$E19:$Z19,MIN(AJ$6-$E$3,22))),0))-IF($G$2,0,IF((AJ$6-$G$3)&lt;1,0,IFERROR(LOOKUP(2,1/(Soja!$E19:INDEX(Soja!$E19:$Z19,MIN(AJ$6-$G$3,22))&lt;&gt;""),Soja!$E19:INDEX(Soja!$E19:$Z19,MIN(AJ$6-$G$3,22))),0)))))</f>
        <v>0</v>
      </c>
      <c r="AK21" s="27" t="n">
        <f aca="false">IF(COUNT(Soja!$E19:$Z19)=0,0,MAX(0,IF((AK$6-$E$3)&lt;1,0,IFERROR(LOOKUP(2,1/(Soja!$E19:INDEX(Soja!$E19:$Z19,MIN(AK$6-$E$3,22))&lt;&gt;""),Soja!$E19:INDEX(Soja!$E19:$Z19,MIN(AK$6-$E$3,22))),0))-IF($G$2,0,IF((AK$6-$G$3)&lt;1,0,IFERROR(LOOKUP(2,1/(Soja!$E19:INDEX(Soja!$E19:$Z19,MIN(AK$6-$G$3,22))&lt;&gt;""),Soja!$E19:INDEX(Soja!$E19:$Z19,MIN(AK$6-$G$3,22))),0)))))</f>
        <v>0</v>
      </c>
      <c r="AL21" s="27" t="n">
        <f aca="false">IF(COUNT(Soja!$E19:$Z19)=0,0,MAX(0,IF((AL$6-$E$3)&lt;1,0,IFERROR(LOOKUP(2,1/(Soja!$E19:INDEX(Soja!$E19:$Z19,MIN(AL$6-$E$3,22))&lt;&gt;""),Soja!$E19:INDEX(Soja!$E19:$Z19,MIN(AL$6-$E$3,22))),0))-IF($G$2,0,IF((AL$6-$G$3)&lt;1,0,IFERROR(LOOKUP(2,1/(Soja!$E19:INDEX(Soja!$E19:$Z19,MIN(AL$6-$G$3,22))&lt;&gt;""),Soja!$E19:INDEX(Soja!$E19:$Z19,MIN(AL$6-$G$3,22))),0)))))</f>
        <v>0</v>
      </c>
      <c r="AM21" s="27" t="n">
        <f aca="false">IF(COUNT(Soja!$E19:$Z19)=0,0,MAX(0,IF((AM$6-$E$3)&lt;1,0,IFERROR(LOOKUP(2,1/(Soja!$E19:INDEX(Soja!$E19:$Z19,MIN(AM$6-$E$3,22))&lt;&gt;""),Soja!$E19:INDEX(Soja!$E19:$Z19,MIN(AM$6-$E$3,22))),0))-IF($G$2,0,IF((AM$6-$G$3)&lt;1,0,IFERROR(LOOKUP(2,1/(Soja!$E19:INDEX(Soja!$E19:$Z19,MIN(AM$6-$G$3,22))&lt;&gt;""),Soja!$E19:INDEX(Soja!$E19:$Z19,MIN(AM$6-$G$3,22))),0)))))</f>
        <v>0</v>
      </c>
      <c r="AN21" s="27" t="n">
        <f aca="false">IF(COUNT(Soja!$E19:$Z19)=0,0,MAX(0,IF((AN$6-$E$3)&lt;1,0,IFERROR(LOOKUP(2,1/(Soja!$E19:INDEX(Soja!$E19:$Z19,MIN(AN$6-$E$3,22))&lt;&gt;""),Soja!$E19:INDEX(Soja!$E19:$Z19,MIN(AN$6-$E$3,22))),0))-IF($G$2,0,IF((AN$6-$G$3)&lt;1,0,IFERROR(LOOKUP(2,1/(Soja!$E19:INDEX(Soja!$E19:$Z19,MIN(AN$6-$G$3,22))&lt;&gt;""),Soja!$E19:INDEX(Soja!$E19:$Z19,MIN(AN$6-$G$3,22))),0)))))</f>
        <v>0</v>
      </c>
      <c r="AO21" s="27" t="n">
        <f aca="false">IF(COUNT(Soja!$E19:$Z19)=0,0,MAX(0,IF((AO$6-$E$3)&lt;1,0,IFERROR(LOOKUP(2,1/(Soja!$E19:INDEX(Soja!$E19:$Z19,MIN(AO$6-$E$3,22))&lt;&gt;""),Soja!$E19:INDEX(Soja!$E19:$Z19,MIN(AO$6-$E$3,22))),0))-IF($G$2,0,IF((AO$6-$G$3)&lt;1,0,IFERROR(LOOKUP(2,1/(Soja!$E19:INDEX(Soja!$E19:$Z19,MIN(AO$6-$G$3,22))&lt;&gt;""),Soja!$E19:INDEX(Soja!$E19:$Z19,MIN(AO$6-$G$3,22))),0)))))</f>
        <v>0</v>
      </c>
      <c r="AP21" s="27" t="n">
        <f aca="false">IF(COUNT(Soja!$E19:$Z19)=0,0,MAX(0,IF((AP$6-$E$3)&lt;1,0,IFERROR(LOOKUP(2,1/(Soja!$E19:INDEX(Soja!$E19:$Z19,MIN(AP$6-$E$3,22))&lt;&gt;""),Soja!$E19:INDEX(Soja!$E19:$Z19,MIN(AP$6-$E$3,22))),0))-IF($G$2,0,IF((AP$6-$G$3)&lt;1,0,IFERROR(LOOKUP(2,1/(Soja!$E19:INDEX(Soja!$E19:$Z19,MIN(AP$6-$G$3,22))&lt;&gt;""),Soja!$E19:INDEX(Soja!$E19:$Z19,MIN(AP$6-$G$3,22))),0)))))</f>
        <v>0</v>
      </c>
      <c r="AQ21" s="27" t="n">
        <f aca="false">IF(COUNT(Soja!$E19:$Z19)=0,0,MAX(0,IF((AQ$6-$E$3)&lt;1,0,IFERROR(LOOKUP(2,1/(Soja!$E19:INDEX(Soja!$E19:$Z19,MIN(AQ$6-$E$3,22))&lt;&gt;""),Soja!$E19:INDEX(Soja!$E19:$Z19,MIN(AQ$6-$E$3,22))),0))-IF($G$2,0,IF((AQ$6-$G$3)&lt;1,0,IFERROR(LOOKUP(2,1/(Soja!$E19:INDEX(Soja!$E19:$Z19,MIN(AQ$6-$G$3,22))&lt;&gt;""),Soja!$E19:INDEX(Soja!$E19:$Z19,MIN(AQ$6-$G$3,22))),0)))))</f>
        <v>0</v>
      </c>
      <c r="AR21" s="27" t="n">
        <f aca="false">IF(COUNT(Soja!$E19:$Z19)=0,0,MAX(0,IF((AR$6-$E$3)&lt;1,0,IFERROR(LOOKUP(2,1/(Soja!$E19:INDEX(Soja!$E19:$Z19,MIN(AR$6-$E$3,22))&lt;&gt;""),Soja!$E19:INDEX(Soja!$E19:$Z19,MIN(AR$6-$E$3,22))),0))-IF($G$2,0,IF((AR$6-$G$3)&lt;1,0,IFERROR(LOOKUP(2,1/(Soja!$E19:INDEX(Soja!$E19:$Z19,MIN(AR$6-$G$3,22))&lt;&gt;""),Soja!$E19:INDEX(Soja!$E19:$Z19,MIN(AR$6-$G$3,22))),0)))))</f>
        <v>0</v>
      </c>
      <c r="AS21" s="27" t="n">
        <f aca="false">IF(COUNT(Soja!$E19:$Z19)=0,0,MAX(0,IF((AS$6-$E$3)&lt;1,0,IFERROR(LOOKUP(2,1/(Soja!$E19:INDEX(Soja!$E19:$Z19,MIN(AS$6-$E$3,22))&lt;&gt;""),Soja!$E19:INDEX(Soja!$E19:$Z19,MIN(AS$6-$E$3,22))),0))-IF($G$2,0,IF((AS$6-$G$3)&lt;1,0,IFERROR(LOOKUP(2,1/(Soja!$E19:INDEX(Soja!$E19:$Z19,MIN(AS$6-$G$3,22))&lt;&gt;""),Soja!$E19:INDEX(Soja!$E19:$Z19,MIN(AS$6-$G$3,22))),0)))))</f>
        <v>0</v>
      </c>
      <c r="AT21" s="27" t="n">
        <f aca="false">IF(COUNT(Soja!$E19:$Z19)=0,0,MAX(0,IF((AT$6-$E$3)&lt;1,0,IFERROR(LOOKUP(2,1/(Soja!$E19:INDEX(Soja!$E19:$Z19,MIN(AT$6-$E$3,22))&lt;&gt;""),Soja!$E19:INDEX(Soja!$E19:$Z19,MIN(AT$6-$E$3,22))),0))-IF($G$2,0,IF((AT$6-$G$3)&lt;1,0,IFERROR(LOOKUP(2,1/(Soja!$E19:INDEX(Soja!$E19:$Z19,MIN(AT$6-$G$3,22))&lt;&gt;""),Soja!$E19:INDEX(Soja!$E19:$Z19,MIN(AT$6-$G$3,22))),0)))))</f>
        <v>0</v>
      </c>
      <c r="AU21" s="27" t="n">
        <f aca="false">IF(COUNT(Soja!$E19:$Z19)=0,0,MAX(0,IF((AU$6-$E$3)&lt;1,0,IFERROR(LOOKUP(2,1/(Soja!$E19:INDEX(Soja!$E19:$Z19,MIN(AU$6-$E$3,22))&lt;&gt;""),Soja!$E19:INDEX(Soja!$E19:$Z19,MIN(AU$6-$E$3,22))),0))-IF($G$2,0,IF((AU$6-$G$3)&lt;1,0,IFERROR(LOOKUP(2,1/(Soja!$E19:INDEX(Soja!$E19:$Z19,MIN(AU$6-$G$3,22))&lt;&gt;""),Soja!$E19:INDEX(Soja!$E19:$Z19,MIN(AU$6-$G$3,22))),0)))))</f>
        <v>0</v>
      </c>
      <c r="AV21" s="27" t="n">
        <f aca="false">IF(COUNT(Soja!$E19:$Z19)=0,0,MAX(0,IF((AV$6-$E$3)&lt;1,0,IFERROR(LOOKUP(2,1/(Soja!$E19:INDEX(Soja!$E19:$Z19,MIN(AV$6-$E$3,22))&lt;&gt;""),Soja!$E19:INDEX(Soja!$E19:$Z19,MIN(AV$6-$E$3,22))),0))-IF($G$2,0,IF((AV$6-$G$3)&lt;1,0,IFERROR(LOOKUP(2,1/(Soja!$E19:INDEX(Soja!$E19:$Z19,MIN(AV$6-$G$3,22))&lt;&gt;""),Soja!$E19:INDEX(Soja!$E19:$Z19,MIN(AV$6-$G$3,22))),0)))))</f>
        <v>0</v>
      </c>
      <c r="AW21" s="27" t="n">
        <f aca="false">IF(COUNT(Soja!$E19:$Z19)=0,0,MAX(0,IF((AW$6-$E$3)&lt;1,0,IFERROR(LOOKUP(2,1/(Soja!$E19:INDEX(Soja!$E19:$Z19,MIN(AW$6-$E$3,22))&lt;&gt;""),Soja!$E19:INDEX(Soja!$E19:$Z19,MIN(AW$6-$E$3,22))),0))-IF($G$2,0,IF((AW$6-$G$3)&lt;1,0,IFERROR(LOOKUP(2,1/(Soja!$E19:INDEX(Soja!$E19:$Z19,MIN(AW$6-$G$3,22))&lt;&gt;""),Soja!$E19:INDEX(Soja!$E19:$Z19,MIN(AW$6-$G$3,22))),0)))))</f>
        <v>0</v>
      </c>
      <c r="AX21" s="27" t="n">
        <f aca="false">IF(COUNT(Soja!$E19:$Z19)=0,0,MAX(0,IF((AX$6-$E$3)&lt;1,0,IFERROR(LOOKUP(2,1/(Soja!$E19:INDEX(Soja!$E19:$Z19,MIN(AX$6-$E$3,22))&lt;&gt;""),Soja!$E19:INDEX(Soja!$E19:$Z19,MIN(AX$6-$E$3,22))),0))-IF($G$2,0,IF((AX$6-$G$3)&lt;1,0,IFERROR(LOOKUP(2,1/(Soja!$E19:INDEX(Soja!$E19:$Z19,MIN(AX$6-$G$3,22))&lt;&gt;""),Soja!$E19:INDEX(Soja!$E19:$Z19,MIN(AX$6-$G$3,22))),0)))))</f>
        <v>0</v>
      </c>
      <c r="AY21" s="27" t="n">
        <f aca="false">IF(COUNT(Soja!$E19:$Z19)=0,0,MAX(0,IF((AY$6-$E$3)&lt;1,0,IFERROR(LOOKUP(2,1/(Soja!$E19:INDEX(Soja!$E19:$Z19,MIN(AY$6-$E$3,22))&lt;&gt;""),Soja!$E19:INDEX(Soja!$E19:$Z19,MIN(AY$6-$E$3,22))),0))-IF($G$2,0,IF((AY$6-$G$3)&lt;1,0,IFERROR(LOOKUP(2,1/(Soja!$E19:INDEX(Soja!$E19:$Z19,MIN(AY$6-$G$3,22))&lt;&gt;""),Soja!$E19:INDEX(Soja!$E19:$Z19,MIN(AY$6-$G$3,22))),0)))))</f>
        <v>0</v>
      </c>
      <c r="AZ21" s="27" t="n">
        <f aca="false">IF(COUNT(Soja!$E19:$Z19)=0,0,MAX(0,IF((AZ$6-$E$3)&lt;1,0,IFERROR(LOOKUP(2,1/(Soja!$E19:INDEX(Soja!$E19:$Z19,MIN(AZ$6-$E$3,22))&lt;&gt;""),Soja!$E19:INDEX(Soja!$E19:$Z19,MIN(AZ$6-$E$3,22))),0))-IF($G$2,0,IF((AZ$6-$G$3)&lt;1,0,IFERROR(LOOKUP(2,1/(Soja!$E19:INDEX(Soja!$E19:$Z19,MIN(AZ$6-$G$3,22))&lt;&gt;""),Soja!$E19:INDEX(Soja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IF(COUNT(Soja!$E20:$Z20)&gt;0,N(Soja!$D20),0)</f>
        <v>0</v>
      </c>
      <c r="E22" s="27" t="n">
        <f aca="false">IF(COUNT(Soja!$E20:$Z20)=0,0,MAX(0,IF((E$6-$E$3)&lt;1,0,IFERROR(LOOKUP(2,1/(Soja!$E20:INDEX(Soja!$E20:$Z20,MIN(E$6-$E$3,22))&lt;&gt;""),Soja!$E20:INDEX(Soja!$E20:$Z20,MIN(E$6-$E$3,22))),0))-IF($G$2,0,IF((E$6-$G$3)&lt;1,0,IFERROR(LOOKUP(2,1/(Soja!$E20:INDEX(Soja!$E20:$Z20,MIN(E$6-$G$3,22))&lt;&gt;""),Soja!$E20:INDEX(Soja!$E20:$Z20,MIN(E$6-$G$3,22))),0)))))</f>
        <v>0</v>
      </c>
      <c r="F22" s="27" t="n">
        <f aca="false">IF(COUNT(Soja!$E20:$Z20)=0,0,MAX(0,IF((F$6-$E$3)&lt;1,0,IFERROR(LOOKUP(2,1/(Soja!$E20:INDEX(Soja!$E20:$Z20,MIN(F$6-$E$3,22))&lt;&gt;""),Soja!$E20:INDEX(Soja!$E20:$Z20,MIN(F$6-$E$3,22))),0))-IF($G$2,0,IF((F$6-$G$3)&lt;1,0,IFERROR(LOOKUP(2,1/(Soja!$E20:INDEX(Soja!$E20:$Z20,MIN(F$6-$G$3,22))&lt;&gt;""),Soja!$E20:INDEX(Soja!$E20:$Z20,MIN(F$6-$G$3,22))),0)))))</f>
        <v>0</v>
      </c>
      <c r="G22" s="27" t="n">
        <f aca="false">IF(COUNT(Soja!$E20:$Z20)=0,0,MAX(0,IF((G$6-$E$3)&lt;1,0,IFERROR(LOOKUP(2,1/(Soja!$E20:INDEX(Soja!$E20:$Z20,MIN(G$6-$E$3,22))&lt;&gt;""),Soja!$E20:INDEX(Soja!$E20:$Z20,MIN(G$6-$E$3,22))),0))-IF($G$2,0,IF((G$6-$G$3)&lt;1,0,IFERROR(LOOKUP(2,1/(Soja!$E20:INDEX(Soja!$E20:$Z20,MIN(G$6-$G$3,22))&lt;&gt;""),Soja!$E20:INDEX(Soja!$E20:$Z20,MIN(G$6-$G$3,22))),0)))))</f>
        <v>0</v>
      </c>
      <c r="H22" s="27" t="n">
        <f aca="false">IF(COUNT(Soja!$E20:$Z20)=0,0,MAX(0,IF((H$6-$E$3)&lt;1,0,IFERROR(LOOKUP(2,1/(Soja!$E20:INDEX(Soja!$E20:$Z20,MIN(H$6-$E$3,22))&lt;&gt;""),Soja!$E20:INDEX(Soja!$E20:$Z20,MIN(H$6-$E$3,22))),0))-IF($G$2,0,IF((H$6-$G$3)&lt;1,0,IFERROR(LOOKUP(2,1/(Soja!$E20:INDEX(Soja!$E20:$Z20,MIN(H$6-$G$3,22))&lt;&gt;""),Soja!$E20:INDEX(Soja!$E20:$Z20,MIN(H$6-$G$3,22))),0)))))</f>
        <v>0</v>
      </c>
      <c r="I22" s="27" t="n">
        <f aca="false">IF(COUNT(Soja!$E20:$Z20)=0,0,MAX(0,IF((I$6-$E$3)&lt;1,0,IFERROR(LOOKUP(2,1/(Soja!$E20:INDEX(Soja!$E20:$Z20,MIN(I$6-$E$3,22))&lt;&gt;""),Soja!$E20:INDEX(Soja!$E20:$Z20,MIN(I$6-$E$3,22))),0))-IF($G$2,0,IF((I$6-$G$3)&lt;1,0,IFERROR(LOOKUP(2,1/(Soja!$E20:INDEX(Soja!$E20:$Z20,MIN(I$6-$G$3,22))&lt;&gt;""),Soja!$E20:INDEX(Soja!$E20:$Z20,MIN(I$6-$G$3,22))),0)))))</f>
        <v>0</v>
      </c>
      <c r="J22" s="27" t="n">
        <f aca="false">IF(COUNT(Soja!$E20:$Z20)=0,0,MAX(0,IF((J$6-$E$3)&lt;1,0,IFERROR(LOOKUP(2,1/(Soja!$E20:INDEX(Soja!$E20:$Z20,MIN(J$6-$E$3,22))&lt;&gt;""),Soja!$E20:INDEX(Soja!$E20:$Z20,MIN(J$6-$E$3,22))),0))-IF($G$2,0,IF((J$6-$G$3)&lt;1,0,IFERROR(LOOKUP(2,1/(Soja!$E20:INDEX(Soja!$E20:$Z20,MIN(J$6-$G$3,22))&lt;&gt;""),Soja!$E20:INDEX(Soja!$E20:$Z20,MIN(J$6-$G$3,22))),0)))))</f>
        <v>0</v>
      </c>
      <c r="K22" s="27" t="n">
        <f aca="false">IF(COUNT(Soja!$E20:$Z20)=0,0,MAX(0,IF((K$6-$E$3)&lt;1,0,IFERROR(LOOKUP(2,1/(Soja!$E20:INDEX(Soja!$E20:$Z20,MIN(K$6-$E$3,22))&lt;&gt;""),Soja!$E20:INDEX(Soja!$E20:$Z20,MIN(K$6-$E$3,22))),0))-IF($G$2,0,IF((K$6-$G$3)&lt;1,0,IFERROR(LOOKUP(2,1/(Soja!$E20:INDEX(Soja!$E20:$Z20,MIN(K$6-$G$3,22))&lt;&gt;""),Soja!$E20:INDEX(Soja!$E20:$Z20,MIN(K$6-$G$3,22))),0)))))</f>
        <v>0</v>
      </c>
      <c r="L22" s="27" t="n">
        <f aca="false">IF(COUNT(Soja!$E20:$Z20)=0,0,MAX(0,IF((L$6-$E$3)&lt;1,0,IFERROR(LOOKUP(2,1/(Soja!$E20:INDEX(Soja!$E20:$Z20,MIN(L$6-$E$3,22))&lt;&gt;""),Soja!$E20:INDEX(Soja!$E20:$Z20,MIN(L$6-$E$3,22))),0))-IF($G$2,0,IF((L$6-$G$3)&lt;1,0,IFERROR(LOOKUP(2,1/(Soja!$E20:INDEX(Soja!$E20:$Z20,MIN(L$6-$G$3,22))&lt;&gt;""),Soja!$E20:INDEX(Soja!$E20:$Z20,MIN(L$6-$G$3,22))),0)))))</f>
        <v>0</v>
      </c>
      <c r="M22" s="27" t="n">
        <f aca="false">IF(COUNT(Soja!$E20:$Z20)=0,0,MAX(0,IF((M$6-$E$3)&lt;1,0,IFERROR(LOOKUP(2,1/(Soja!$E20:INDEX(Soja!$E20:$Z20,MIN(M$6-$E$3,22))&lt;&gt;""),Soja!$E20:INDEX(Soja!$E20:$Z20,MIN(M$6-$E$3,22))),0))-IF($G$2,0,IF((M$6-$G$3)&lt;1,0,IFERROR(LOOKUP(2,1/(Soja!$E20:INDEX(Soja!$E20:$Z20,MIN(M$6-$G$3,22))&lt;&gt;""),Soja!$E20:INDEX(Soja!$E20:$Z20,MIN(M$6-$G$3,22))),0)))))</f>
        <v>0</v>
      </c>
      <c r="N22" s="27" t="n">
        <f aca="false">IF(COUNT(Soja!$E20:$Z20)=0,0,MAX(0,IF((N$6-$E$3)&lt;1,0,IFERROR(LOOKUP(2,1/(Soja!$E20:INDEX(Soja!$E20:$Z20,MIN(N$6-$E$3,22))&lt;&gt;""),Soja!$E20:INDEX(Soja!$E20:$Z20,MIN(N$6-$E$3,22))),0))-IF($G$2,0,IF((N$6-$G$3)&lt;1,0,IFERROR(LOOKUP(2,1/(Soja!$E20:INDEX(Soja!$E20:$Z20,MIN(N$6-$G$3,22))&lt;&gt;""),Soja!$E20:INDEX(Soja!$E20:$Z20,MIN(N$6-$G$3,22))),0)))))</f>
        <v>0</v>
      </c>
      <c r="O22" s="27" t="n">
        <f aca="false">IF(COUNT(Soja!$E20:$Z20)=0,0,MAX(0,IF((O$6-$E$3)&lt;1,0,IFERROR(LOOKUP(2,1/(Soja!$E20:INDEX(Soja!$E20:$Z20,MIN(O$6-$E$3,22))&lt;&gt;""),Soja!$E20:INDEX(Soja!$E20:$Z20,MIN(O$6-$E$3,22))),0))-IF($G$2,0,IF((O$6-$G$3)&lt;1,0,IFERROR(LOOKUP(2,1/(Soja!$E20:INDEX(Soja!$E20:$Z20,MIN(O$6-$G$3,22))&lt;&gt;""),Soja!$E20:INDEX(Soja!$E20:$Z20,MIN(O$6-$G$3,22))),0)))))</f>
        <v>0</v>
      </c>
      <c r="P22" s="27" t="n">
        <f aca="false">IF(COUNT(Soja!$E20:$Z20)=0,0,MAX(0,IF((P$6-$E$3)&lt;1,0,IFERROR(LOOKUP(2,1/(Soja!$E20:INDEX(Soja!$E20:$Z20,MIN(P$6-$E$3,22))&lt;&gt;""),Soja!$E20:INDEX(Soja!$E20:$Z20,MIN(P$6-$E$3,22))),0))-IF($G$2,0,IF((P$6-$G$3)&lt;1,0,IFERROR(LOOKUP(2,1/(Soja!$E20:INDEX(Soja!$E20:$Z20,MIN(P$6-$G$3,22))&lt;&gt;""),Soja!$E20:INDEX(Soja!$E20:$Z20,MIN(P$6-$G$3,22))),0)))))</f>
        <v>0</v>
      </c>
      <c r="Q22" s="27" t="n">
        <f aca="false">IF(COUNT(Soja!$E20:$Z20)=0,0,MAX(0,IF((Q$6-$E$3)&lt;1,0,IFERROR(LOOKUP(2,1/(Soja!$E20:INDEX(Soja!$E20:$Z20,MIN(Q$6-$E$3,22))&lt;&gt;""),Soja!$E20:INDEX(Soja!$E20:$Z20,MIN(Q$6-$E$3,22))),0))-IF($G$2,0,IF((Q$6-$G$3)&lt;1,0,IFERROR(LOOKUP(2,1/(Soja!$E20:INDEX(Soja!$E20:$Z20,MIN(Q$6-$G$3,22))&lt;&gt;""),Soja!$E20:INDEX(Soja!$E20:$Z20,MIN(Q$6-$G$3,22))),0)))))</f>
        <v>0</v>
      </c>
      <c r="R22" s="27" t="n">
        <f aca="false">IF(COUNT(Soja!$E20:$Z20)=0,0,MAX(0,IF((R$6-$E$3)&lt;1,0,IFERROR(LOOKUP(2,1/(Soja!$E20:INDEX(Soja!$E20:$Z20,MIN(R$6-$E$3,22))&lt;&gt;""),Soja!$E20:INDEX(Soja!$E20:$Z20,MIN(R$6-$E$3,22))),0))-IF($G$2,0,IF((R$6-$G$3)&lt;1,0,IFERROR(LOOKUP(2,1/(Soja!$E20:INDEX(Soja!$E20:$Z20,MIN(R$6-$G$3,22))&lt;&gt;""),Soja!$E20:INDEX(Soja!$E20:$Z20,MIN(R$6-$G$3,22))),0)))))</f>
        <v>0</v>
      </c>
      <c r="S22" s="27" t="n">
        <f aca="false">IF(COUNT(Soja!$E20:$Z20)=0,0,MAX(0,IF((S$6-$E$3)&lt;1,0,IFERROR(LOOKUP(2,1/(Soja!$E20:INDEX(Soja!$E20:$Z20,MIN(S$6-$E$3,22))&lt;&gt;""),Soja!$E20:INDEX(Soja!$E20:$Z20,MIN(S$6-$E$3,22))),0))-IF($G$2,0,IF((S$6-$G$3)&lt;1,0,IFERROR(LOOKUP(2,1/(Soja!$E20:INDEX(Soja!$E20:$Z20,MIN(S$6-$G$3,22))&lt;&gt;""),Soja!$E20:INDEX(Soja!$E20:$Z20,MIN(S$6-$G$3,22))),0)))))</f>
        <v>0</v>
      </c>
      <c r="T22" s="27" t="n">
        <f aca="false">IF(COUNT(Soja!$E20:$Z20)=0,0,MAX(0,IF((T$6-$E$3)&lt;1,0,IFERROR(LOOKUP(2,1/(Soja!$E20:INDEX(Soja!$E20:$Z20,MIN(T$6-$E$3,22))&lt;&gt;""),Soja!$E20:INDEX(Soja!$E20:$Z20,MIN(T$6-$E$3,22))),0))-IF($G$2,0,IF((T$6-$G$3)&lt;1,0,IFERROR(LOOKUP(2,1/(Soja!$E20:INDEX(Soja!$E20:$Z20,MIN(T$6-$G$3,22))&lt;&gt;""),Soja!$E20:INDEX(Soja!$E20:$Z20,MIN(T$6-$G$3,22))),0)))))</f>
        <v>0</v>
      </c>
      <c r="U22" s="27" t="n">
        <f aca="false">IF(COUNT(Soja!$E20:$Z20)=0,0,MAX(0,IF((U$6-$E$3)&lt;1,0,IFERROR(LOOKUP(2,1/(Soja!$E20:INDEX(Soja!$E20:$Z20,MIN(U$6-$E$3,22))&lt;&gt;""),Soja!$E20:INDEX(Soja!$E20:$Z20,MIN(U$6-$E$3,22))),0))-IF($G$2,0,IF((U$6-$G$3)&lt;1,0,IFERROR(LOOKUP(2,1/(Soja!$E20:INDEX(Soja!$E20:$Z20,MIN(U$6-$G$3,22))&lt;&gt;""),Soja!$E20:INDEX(Soja!$E20:$Z20,MIN(U$6-$G$3,22))),0)))))</f>
        <v>0</v>
      </c>
      <c r="V22" s="27" t="n">
        <f aca="false">IF(COUNT(Soja!$E20:$Z20)=0,0,MAX(0,IF((V$6-$E$3)&lt;1,0,IFERROR(LOOKUP(2,1/(Soja!$E20:INDEX(Soja!$E20:$Z20,MIN(V$6-$E$3,22))&lt;&gt;""),Soja!$E20:INDEX(Soja!$E20:$Z20,MIN(V$6-$E$3,22))),0))-IF($G$2,0,IF((V$6-$G$3)&lt;1,0,IFERROR(LOOKUP(2,1/(Soja!$E20:INDEX(Soja!$E20:$Z20,MIN(V$6-$G$3,22))&lt;&gt;""),Soja!$E20:INDEX(Soja!$E20:$Z20,MIN(V$6-$G$3,22))),0)))))</f>
        <v>0</v>
      </c>
      <c r="W22" s="27" t="n">
        <f aca="false">IF(COUNT(Soja!$E20:$Z20)=0,0,MAX(0,IF((W$6-$E$3)&lt;1,0,IFERROR(LOOKUP(2,1/(Soja!$E20:INDEX(Soja!$E20:$Z20,MIN(W$6-$E$3,22))&lt;&gt;""),Soja!$E20:INDEX(Soja!$E20:$Z20,MIN(W$6-$E$3,22))),0))-IF($G$2,0,IF((W$6-$G$3)&lt;1,0,IFERROR(LOOKUP(2,1/(Soja!$E20:INDEX(Soja!$E20:$Z20,MIN(W$6-$G$3,22))&lt;&gt;""),Soja!$E20:INDEX(Soja!$E20:$Z20,MIN(W$6-$G$3,22))),0)))))</f>
        <v>0</v>
      </c>
      <c r="X22" s="27" t="n">
        <f aca="false">IF(COUNT(Soja!$E20:$Z20)=0,0,MAX(0,IF((X$6-$E$3)&lt;1,0,IFERROR(LOOKUP(2,1/(Soja!$E20:INDEX(Soja!$E20:$Z20,MIN(X$6-$E$3,22))&lt;&gt;""),Soja!$E20:INDEX(Soja!$E20:$Z20,MIN(X$6-$E$3,22))),0))-IF($G$2,0,IF((X$6-$G$3)&lt;1,0,IFERROR(LOOKUP(2,1/(Soja!$E20:INDEX(Soja!$E20:$Z20,MIN(X$6-$G$3,22))&lt;&gt;""),Soja!$E20:INDEX(Soja!$E20:$Z20,MIN(X$6-$G$3,22))),0)))))</f>
        <v>0</v>
      </c>
      <c r="Y22" s="27" t="n">
        <f aca="false">IF(COUNT(Soja!$E20:$Z20)=0,0,MAX(0,IF((Y$6-$E$3)&lt;1,0,IFERROR(LOOKUP(2,1/(Soja!$E20:INDEX(Soja!$E20:$Z20,MIN(Y$6-$E$3,22))&lt;&gt;""),Soja!$E20:INDEX(Soja!$E20:$Z20,MIN(Y$6-$E$3,22))),0))-IF($G$2,0,IF((Y$6-$G$3)&lt;1,0,IFERROR(LOOKUP(2,1/(Soja!$E20:INDEX(Soja!$E20:$Z20,MIN(Y$6-$G$3,22))&lt;&gt;""),Soja!$E20:INDEX(Soja!$E20:$Z20,MIN(Y$6-$G$3,22))),0)))))</f>
        <v>0</v>
      </c>
      <c r="Z22" s="27" t="n">
        <f aca="false">IF(COUNT(Soja!$E20:$Z20)=0,0,MAX(0,IF((Z$6-$E$3)&lt;1,0,IFERROR(LOOKUP(2,1/(Soja!$E20:INDEX(Soja!$E20:$Z20,MIN(Z$6-$E$3,22))&lt;&gt;""),Soja!$E20:INDEX(Soja!$E20:$Z20,MIN(Z$6-$E$3,22))),0))-IF($G$2,0,IF((Z$6-$G$3)&lt;1,0,IFERROR(LOOKUP(2,1/(Soja!$E20:INDEX(Soja!$E20:$Z20,MIN(Z$6-$G$3,22))&lt;&gt;""),Soja!$E20:INDEX(Soja!$E20:$Z20,MIN(Z$6-$G$3,22))),0)))))</f>
        <v>0</v>
      </c>
      <c r="AA22" s="27" t="n">
        <f aca="false">IF(COUNT(Soja!$E20:$Z20)=0,0,MAX(0,IF((AA$6-$E$3)&lt;1,0,IFERROR(LOOKUP(2,1/(Soja!$E20:INDEX(Soja!$E20:$Z20,MIN(AA$6-$E$3,22))&lt;&gt;""),Soja!$E20:INDEX(Soja!$E20:$Z20,MIN(AA$6-$E$3,22))),0))-IF($G$2,0,IF((AA$6-$G$3)&lt;1,0,IFERROR(LOOKUP(2,1/(Soja!$E20:INDEX(Soja!$E20:$Z20,MIN(AA$6-$G$3,22))&lt;&gt;""),Soja!$E20:INDEX(Soja!$E20:$Z20,MIN(AA$6-$G$3,22))),0)))))</f>
        <v>0</v>
      </c>
      <c r="AB22" s="27" t="n">
        <f aca="false">IF(COUNT(Soja!$E20:$Z20)=0,0,MAX(0,IF((AB$6-$E$3)&lt;1,0,IFERROR(LOOKUP(2,1/(Soja!$E20:INDEX(Soja!$E20:$Z20,MIN(AB$6-$E$3,22))&lt;&gt;""),Soja!$E20:INDEX(Soja!$E20:$Z20,MIN(AB$6-$E$3,22))),0))-IF($G$2,0,IF((AB$6-$G$3)&lt;1,0,IFERROR(LOOKUP(2,1/(Soja!$E20:INDEX(Soja!$E20:$Z20,MIN(AB$6-$G$3,22))&lt;&gt;""),Soja!$E20:INDEX(Soja!$E20:$Z20,MIN(AB$6-$G$3,22))),0)))))</f>
        <v>0</v>
      </c>
      <c r="AC22" s="27" t="n">
        <f aca="false">IF(COUNT(Soja!$E20:$Z20)=0,0,MAX(0,IF((AC$6-$E$3)&lt;1,0,IFERROR(LOOKUP(2,1/(Soja!$E20:INDEX(Soja!$E20:$Z20,MIN(AC$6-$E$3,22))&lt;&gt;""),Soja!$E20:INDEX(Soja!$E20:$Z20,MIN(AC$6-$E$3,22))),0))-IF($G$2,0,IF((AC$6-$G$3)&lt;1,0,IFERROR(LOOKUP(2,1/(Soja!$E20:INDEX(Soja!$E20:$Z20,MIN(AC$6-$G$3,22))&lt;&gt;""),Soja!$E20:INDEX(Soja!$E20:$Z20,MIN(AC$6-$G$3,22))),0)))))</f>
        <v>0</v>
      </c>
      <c r="AD22" s="27" t="n">
        <f aca="false">IF(COUNT(Soja!$E20:$Z20)=0,0,MAX(0,IF((AD$6-$E$3)&lt;1,0,IFERROR(LOOKUP(2,1/(Soja!$E20:INDEX(Soja!$E20:$Z20,MIN(AD$6-$E$3,22))&lt;&gt;""),Soja!$E20:INDEX(Soja!$E20:$Z20,MIN(AD$6-$E$3,22))),0))-IF($G$2,0,IF((AD$6-$G$3)&lt;1,0,IFERROR(LOOKUP(2,1/(Soja!$E20:INDEX(Soja!$E20:$Z20,MIN(AD$6-$G$3,22))&lt;&gt;""),Soja!$E20:INDEX(Soja!$E20:$Z20,MIN(AD$6-$G$3,22))),0)))))</f>
        <v>0</v>
      </c>
      <c r="AE22" s="27" t="n">
        <f aca="false">IF(COUNT(Soja!$E20:$Z20)=0,0,MAX(0,IF((AE$6-$E$3)&lt;1,0,IFERROR(LOOKUP(2,1/(Soja!$E20:INDEX(Soja!$E20:$Z20,MIN(AE$6-$E$3,22))&lt;&gt;""),Soja!$E20:INDEX(Soja!$E20:$Z20,MIN(AE$6-$E$3,22))),0))-IF($G$2,0,IF((AE$6-$G$3)&lt;1,0,IFERROR(LOOKUP(2,1/(Soja!$E20:INDEX(Soja!$E20:$Z20,MIN(AE$6-$G$3,22))&lt;&gt;""),Soja!$E20:INDEX(Soja!$E20:$Z20,MIN(AE$6-$G$3,22))),0)))))</f>
        <v>0</v>
      </c>
      <c r="AF22" s="27" t="n">
        <f aca="false">IF(COUNT(Soja!$E20:$Z20)=0,0,MAX(0,IF((AF$6-$E$3)&lt;1,0,IFERROR(LOOKUP(2,1/(Soja!$E20:INDEX(Soja!$E20:$Z20,MIN(AF$6-$E$3,22))&lt;&gt;""),Soja!$E20:INDEX(Soja!$E20:$Z20,MIN(AF$6-$E$3,22))),0))-IF($G$2,0,IF((AF$6-$G$3)&lt;1,0,IFERROR(LOOKUP(2,1/(Soja!$E20:INDEX(Soja!$E20:$Z20,MIN(AF$6-$G$3,22))&lt;&gt;""),Soja!$E20:INDEX(Soja!$E20:$Z20,MIN(AF$6-$G$3,22))),0)))))</f>
        <v>0</v>
      </c>
      <c r="AG22" s="27" t="n">
        <f aca="false">IF(COUNT(Soja!$E20:$Z20)=0,0,MAX(0,IF((AG$6-$E$3)&lt;1,0,IFERROR(LOOKUP(2,1/(Soja!$E20:INDEX(Soja!$E20:$Z20,MIN(AG$6-$E$3,22))&lt;&gt;""),Soja!$E20:INDEX(Soja!$E20:$Z20,MIN(AG$6-$E$3,22))),0))-IF($G$2,0,IF((AG$6-$G$3)&lt;1,0,IFERROR(LOOKUP(2,1/(Soja!$E20:INDEX(Soja!$E20:$Z20,MIN(AG$6-$G$3,22))&lt;&gt;""),Soja!$E20:INDEX(Soja!$E20:$Z20,MIN(AG$6-$G$3,22))),0)))))</f>
        <v>0</v>
      </c>
      <c r="AH22" s="27" t="n">
        <f aca="false">IF(COUNT(Soja!$E20:$Z20)=0,0,MAX(0,IF((AH$6-$E$3)&lt;1,0,IFERROR(LOOKUP(2,1/(Soja!$E20:INDEX(Soja!$E20:$Z20,MIN(AH$6-$E$3,22))&lt;&gt;""),Soja!$E20:INDEX(Soja!$E20:$Z20,MIN(AH$6-$E$3,22))),0))-IF($G$2,0,IF((AH$6-$G$3)&lt;1,0,IFERROR(LOOKUP(2,1/(Soja!$E20:INDEX(Soja!$E20:$Z20,MIN(AH$6-$G$3,22))&lt;&gt;""),Soja!$E20:INDEX(Soja!$E20:$Z20,MIN(AH$6-$G$3,22))),0)))))</f>
        <v>0</v>
      </c>
      <c r="AI22" s="27" t="n">
        <f aca="false">IF(COUNT(Soja!$E20:$Z20)=0,0,MAX(0,IF((AI$6-$E$3)&lt;1,0,IFERROR(LOOKUP(2,1/(Soja!$E20:INDEX(Soja!$E20:$Z20,MIN(AI$6-$E$3,22))&lt;&gt;""),Soja!$E20:INDEX(Soja!$E20:$Z20,MIN(AI$6-$E$3,22))),0))-IF($G$2,0,IF((AI$6-$G$3)&lt;1,0,IFERROR(LOOKUP(2,1/(Soja!$E20:INDEX(Soja!$E20:$Z20,MIN(AI$6-$G$3,22))&lt;&gt;""),Soja!$E20:INDEX(Soja!$E20:$Z20,MIN(AI$6-$G$3,22))),0)))))</f>
        <v>0</v>
      </c>
      <c r="AJ22" s="27" t="n">
        <f aca="false">IF(COUNT(Soja!$E20:$Z20)=0,0,MAX(0,IF((AJ$6-$E$3)&lt;1,0,IFERROR(LOOKUP(2,1/(Soja!$E20:INDEX(Soja!$E20:$Z20,MIN(AJ$6-$E$3,22))&lt;&gt;""),Soja!$E20:INDEX(Soja!$E20:$Z20,MIN(AJ$6-$E$3,22))),0))-IF($G$2,0,IF((AJ$6-$G$3)&lt;1,0,IFERROR(LOOKUP(2,1/(Soja!$E20:INDEX(Soja!$E20:$Z20,MIN(AJ$6-$G$3,22))&lt;&gt;""),Soja!$E20:INDEX(Soja!$E20:$Z20,MIN(AJ$6-$G$3,22))),0)))))</f>
        <v>0</v>
      </c>
      <c r="AK22" s="27" t="n">
        <f aca="false">IF(COUNT(Soja!$E20:$Z20)=0,0,MAX(0,IF((AK$6-$E$3)&lt;1,0,IFERROR(LOOKUP(2,1/(Soja!$E20:INDEX(Soja!$E20:$Z20,MIN(AK$6-$E$3,22))&lt;&gt;""),Soja!$E20:INDEX(Soja!$E20:$Z20,MIN(AK$6-$E$3,22))),0))-IF($G$2,0,IF((AK$6-$G$3)&lt;1,0,IFERROR(LOOKUP(2,1/(Soja!$E20:INDEX(Soja!$E20:$Z20,MIN(AK$6-$G$3,22))&lt;&gt;""),Soja!$E20:INDEX(Soja!$E20:$Z20,MIN(AK$6-$G$3,22))),0)))))</f>
        <v>0</v>
      </c>
      <c r="AL22" s="27" t="n">
        <f aca="false">IF(COUNT(Soja!$E20:$Z20)=0,0,MAX(0,IF((AL$6-$E$3)&lt;1,0,IFERROR(LOOKUP(2,1/(Soja!$E20:INDEX(Soja!$E20:$Z20,MIN(AL$6-$E$3,22))&lt;&gt;""),Soja!$E20:INDEX(Soja!$E20:$Z20,MIN(AL$6-$E$3,22))),0))-IF($G$2,0,IF((AL$6-$G$3)&lt;1,0,IFERROR(LOOKUP(2,1/(Soja!$E20:INDEX(Soja!$E20:$Z20,MIN(AL$6-$G$3,22))&lt;&gt;""),Soja!$E20:INDEX(Soja!$E20:$Z20,MIN(AL$6-$G$3,22))),0)))))</f>
        <v>0</v>
      </c>
      <c r="AM22" s="27" t="n">
        <f aca="false">IF(COUNT(Soja!$E20:$Z20)=0,0,MAX(0,IF((AM$6-$E$3)&lt;1,0,IFERROR(LOOKUP(2,1/(Soja!$E20:INDEX(Soja!$E20:$Z20,MIN(AM$6-$E$3,22))&lt;&gt;""),Soja!$E20:INDEX(Soja!$E20:$Z20,MIN(AM$6-$E$3,22))),0))-IF($G$2,0,IF((AM$6-$G$3)&lt;1,0,IFERROR(LOOKUP(2,1/(Soja!$E20:INDEX(Soja!$E20:$Z20,MIN(AM$6-$G$3,22))&lt;&gt;""),Soja!$E20:INDEX(Soja!$E20:$Z20,MIN(AM$6-$G$3,22))),0)))))</f>
        <v>0</v>
      </c>
      <c r="AN22" s="27" t="n">
        <f aca="false">IF(COUNT(Soja!$E20:$Z20)=0,0,MAX(0,IF((AN$6-$E$3)&lt;1,0,IFERROR(LOOKUP(2,1/(Soja!$E20:INDEX(Soja!$E20:$Z20,MIN(AN$6-$E$3,22))&lt;&gt;""),Soja!$E20:INDEX(Soja!$E20:$Z20,MIN(AN$6-$E$3,22))),0))-IF($G$2,0,IF((AN$6-$G$3)&lt;1,0,IFERROR(LOOKUP(2,1/(Soja!$E20:INDEX(Soja!$E20:$Z20,MIN(AN$6-$G$3,22))&lt;&gt;""),Soja!$E20:INDEX(Soja!$E20:$Z20,MIN(AN$6-$G$3,22))),0)))))</f>
        <v>0</v>
      </c>
      <c r="AO22" s="27" t="n">
        <f aca="false">IF(COUNT(Soja!$E20:$Z20)=0,0,MAX(0,IF((AO$6-$E$3)&lt;1,0,IFERROR(LOOKUP(2,1/(Soja!$E20:INDEX(Soja!$E20:$Z20,MIN(AO$6-$E$3,22))&lt;&gt;""),Soja!$E20:INDEX(Soja!$E20:$Z20,MIN(AO$6-$E$3,22))),0))-IF($G$2,0,IF((AO$6-$G$3)&lt;1,0,IFERROR(LOOKUP(2,1/(Soja!$E20:INDEX(Soja!$E20:$Z20,MIN(AO$6-$G$3,22))&lt;&gt;""),Soja!$E20:INDEX(Soja!$E20:$Z20,MIN(AO$6-$G$3,22))),0)))))</f>
        <v>0</v>
      </c>
      <c r="AP22" s="27" t="n">
        <f aca="false">IF(COUNT(Soja!$E20:$Z20)=0,0,MAX(0,IF((AP$6-$E$3)&lt;1,0,IFERROR(LOOKUP(2,1/(Soja!$E20:INDEX(Soja!$E20:$Z20,MIN(AP$6-$E$3,22))&lt;&gt;""),Soja!$E20:INDEX(Soja!$E20:$Z20,MIN(AP$6-$E$3,22))),0))-IF($G$2,0,IF((AP$6-$G$3)&lt;1,0,IFERROR(LOOKUP(2,1/(Soja!$E20:INDEX(Soja!$E20:$Z20,MIN(AP$6-$G$3,22))&lt;&gt;""),Soja!$E20:INDEX(Soja!$E20:$Z20,MIN(AP$6-$G$3,22))),0)))))</f>
        <v>0</v>
      </c>
      <c r="AQ22" s="27" t="n">
        <f aca="false">IF(COUNT(Soja!$E20:$Z20)=0,0,MAX(0,IF((AQ$6-$E$3)&lt;1,0,IFERROR(LOOKUP(2,1/(Soja!$E20:INDEX(Soja!$E20:$Z20,MIN(AQ$6-$E$3,22))&lt;&gt;""),Soja!$E20:INDEX(Soja!$E20:$Z20,MIN(AQ$6-$E$3,22))),0))-IF($G$2,0,IF((AQ$6-$G$3)&lt;1,0,IFERROR(LOOKUP(2,1/(Soja!$E20:INDEX(Soja!$E20:$Z20,MIN(AQ$6-$G$3,22))&lt;&gt;""),Soja!$E20:INDEX(Soja!$E20:$Z20,MIN(AQ$6-$G$3,22))),0)))))</f>
        <v>0</v>
      </c>
      <c r="AR22" s="27" t="n">
        <f aca="false">IF(COUNT(Soja!$E20:$Z20)=0,0,MAX(0,IF((AR$6-$E$3)&lt;1,0,IFERROR(LOOKUP(2,1/(Soja!$E20:INDEX(Soja!$E20:$Z20,MIN(AR$6-$E$3,22))&lt;&gt;""),Soja!$E20:INDEX(Soja!$E20:$Z20,MIN(AR$6-$E$3,22))),0))-IF($G$2,0,IF((AR$6-$G$3)&lt;1,0,IFERROR(LOOKUP(2,1/(Soja!$E20:INDEX(Soja!$E20:$Z20,MIN(AR$6-$G$3,22))&lt;&gt;""),Soja!$E20:INDEX(Soja!$E20:$Z20,MIN(AR$6-$G$3,22))),0)))))</f>
        <v>0</v>
      </c>
      <c r="AS22" s="27" t="n">
        <f aca="false">IF(COUNT(Soja!$E20:$Z20)=0,0,MAX(0,IF((AS$6-$E$3)&lt;1,0,IFERROR(LOOKUP(2,1/(Soja!$E20:INDEX(Soja!$E20:$Z20,MIN(AS$6-$E$3,22))&lt;&gt;""),Soja!$E20:INDEX(Soja!$E20:$Z20,MIN(AS$6-$E$3,22))),0))-IF($G$2,0,IF((AS$6-$G$3)&lt;1,0,IFERROR(LOOKUP(2,1/(Soja!$E20:INDEX(Soja!$E20:$Z20,MIN(AS$6-$G$3,22))&lt;&gt;""),Soja!$E20:INDEX(Soja!$E20:$Z20,MIN(AS$6-$G$3,22))),0)))))</f>
        <v>0</v>
      </c>
      <c r="AT22" s="27" t="n">
        <f aca="false">IF(COUNT(Soja!$E20:$Z20)=0,0,MAX(0,IF((AT$6-$E$3)&lt;1,0,IFERROR(LOOKUP(2,1/(Soja!$E20:INDEX(Soja!$E20:$Z20,MIN(AT$6-$E$3,22))&lt;&gt;""),Soja!$E20:INDEX(Soja!$E20:$Z20,MIN(AT$6-$E$3,22))),0))-IF($G$2,0,IF((AT$6-$G$3)&lt;1,0,IFERROR(LOOKUP(2,1/(Soja!$E20:INDEX(Soja!$E20:$Z20,MIN(AT$6-$G$3,22))&lt;&gt;""),Soja!$E20:INDEX(Soja!$E20:$Z20,MIN(AT$6-$G$3,22))),0)))))</f>
        <v>0</v>
      </c>
      <c r="AU22" s="27" t="n">
        <f aca="false">IF(COUNT(Soja!$E20:$Z20)=0,0,MAX(0,IF((AU$6-$E$3)&lt;1,0,IFERROR(LOOKUP(2,1/(Soja!$E20:INDEX(Soja!$E20:$Z20,MIN(AU$6-$E$3,22))&lt;&gt;""),Soja!$E20:INDEX(Soja!$E20:$Z20,MIN(AU$6-$E$3,22))),0))-IF($G$2,0,IF((AU$6-$G$3)&lt;1,0,IFERROR(LOOKUP(2,1/(Soja!$E20:INDEX(Soja!$E20:$Z20,MIN(AU$6-$G$3,22))&lt;&gt;""),Soja!$E20:INDEX(Soja!$E20:$Z20,MIN(AU$6-$G$3,22))),0)))))</f>
        <v>0</v>
      </c>
      <c r="AV22" s="27" t="n">
        <f aca="false">IF(COUNT(Soja!$E20:$Z20)=0,0,MAX(0,IF((AV$6-$E$3)&lt;1,0,IFERROR(LOOKUP(2,1/(Soja!$E20:INDEX(Soja!$E20:$Z20,MIN(AV$6-$E$3,22))&lt;&gt;""),Soja!$E20:INDEX(Soja!$E20:$Z20,MIN(AV$6-$E$3,22))),0))-IF($G$2,0,IF((AV$6-$G$3)&lt;1,0,IFERROR(LOOKUP(2,1/(Soja!$E20:INDEX(Soja!$E20:$Z20,MIN(AV$6-$G$3,22))&lt;&gt;""),Soja!$E20:INDEX(Soja!$E20:$Z20,MIN(AV$6-$G$3,22))),0)))))</f>
        <v>0</v>
      </c>
      <c r="AW22" s="27" t="n">
        <f aca="false">IF(COUNT(Soja!$E20:$Z20)=0,0,MAX(0,IF((AW$6-$E$3)&lt;1,0,IFERROR(LOOKUP(2,1/(Soja!$E20:INDEX(Soja!$E20:$Z20,MIN(AW$6-$E$3,22))&lt;&gt;""),Soja!$E20:INDEX(Soja!$E20:$Z20,MIN(AW$6-$E$3,22))),0))-IF($G$2,0,IF((AW$6-$G$3)&lt;1,0,IFERROR(LOOKUP(2,1/(Soja!$E20:INDEX(Soja!$E20:$Z20,MIN(AW$6-$G$3,22))&lt;&gt;""),Soja!$E20:INDEX(Soja!$E20:$Z20,MIN(AW$6-$G$3,22))),0)))))</f>
        <v>0</v>
      </c>
      <c r="AX22" s="27" t="n">
        <f aca="false">IF(COUNT(Soja!$E20:$Z20)=0,0,MAX(0,IF((AX$6-$E$3)&lt;1,0,IFERROR(LOOKUP(2,1/(Soja!$E20:INDEX(Soja!$E20:$Z20,MIN(AX$6-$E$3,22))&lt;&gt;""),Soja!$E20:INDEX(Soja!$E20:$Z20,MIN(AX$6-$E$3,22))),0))-IF($G$2,0,IF((AX$6-$G$3)&lt;1,0,IFERROR(LOOKUP(2,1/(Soja!$E20:INDEX(Soja!$E20:$Z20,MIN(AX$6-$G$3,22))&lt;&gt;""),Soja!$E20:INDEX(Soja!$E20:$Z20,MIN(AX$6-$G$3,22))),0)))))</f>
        <v>0</v>
      </c>
      <c r="AY22" s="27" t="n">
        <f aca="false">IF(COUNT(Soja!$E20:$Z20)=0,0,MAX(0,IF((AY$6-$E$3)&lt;1,0,IFERROR(LOOKUP(2,1/(Soja!$E20:INDEX(Soja!$E20:$Z20,MIN(AY$6-$E$3,22))&lt;&gt;""),Soja!$E20:INDEX(Soja!$E20:$Z20,MIN(AY$6-$E$3,22))),0))-IF($G$2,0,IF((AY$6-$G$3)&lt;1,0,IFERROR(LOOKUP(2,1/(Soja!$E20:INDEX(Soja!$E20:$Z20,MIN(AY$6-$G$3,22))&lt;&gt;""),Soja!$E20:INDEX(Soja!$E20:$Z20,MIN(AY$6-$G$3,22))),0)))))</f>
        <v>0</v>
      </c>
      <c r="AZ22" s="27" t="n">
        <f aca="false">IF(COUNT(Soja!$E20:$Z20)=0,0,MAX(0,IF((AZ$6-$E$3)&lt;1,0,IFERROR(LOOKUP(2,1/(Soja!$E20:INDEX(Soja!$E20:$Z20,MIN(AZ$6-$E$3,22))&lt;&gt;""),Soja!$E20:INDEX(Soja!$E20:$Z20,MIN(AZ$6-$E$3,22))),0))-IF($G$2,0,IF((AZ$6-$G$3)&lt;1,0,IFERROR(LOOKUP(2,1/(Soja!$E20:INDEX(Soja!$E20:$Z20,MIN(AZ$6-$G$3,22))&lt;&gt;""),Soja!$E20:INDEX(Soja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IF(COUNT(Soja!$E21:$Z21)&gt;0,N(Soja!$D21),0)</f>
        <v>0</v>
      </c>
      <c r="E23" s="27" t="n">
        <f aca="false">IF(COUNT(Soja!$E21:$Z21)=0,0,MAX(0,IF((E$6-$E$3)&lt;1,0,IFERROR(LOOKUP(2,1/(Soja!$E21:INDEX(Soja!$E21:$Z21,MIN(E$6-$E$3,22))&lt;&gt;""),Soja!$E21:INDEX(Soja!$E21:$Z21,MIN(E$6-$E$3,22))),0))-IF($G$2,0,IF((E$6-$G$3)&lt;1,0,IFERROR(LOOKUP(2,1/(Soja!$E21:INDEX(Soja!$E21:$Z21,MIN(E$6-$G$3,22))&lt;&gt;""),Soja!$E21:INDEX(Soja!$E21:$Z21,MIN(E$6-$G$3,22))),0)))))</f>
        <v>0</v>
      </c>
      <c r="F23" s="27" t="n">
        <f aca="false">IF(COUNT(Soja!$E21:$Z21)=0,0,MAX(0,IF((F$6-$E$3)&lt;1,0,IFERROR(LOOKUP(2,1/(Soja!$E21:INDEX(Soja!$E21:$Z21,MIN(F$6-$E$3,22))&lt;&gt;""),Soja!$E21:INDEX(Soja!$E21:$Z21,MIN(F$6-$E$3,22))),0))-IF($G$2,0,IF((F$6-$G$3)&lt;1,0,IFERROR(LOOKUP(2,1/(Soja!$E21:INDEX(Soja!$E21:$Z21,MIN(F$6-$G$3,22))&lt;&gt;""),Soja!$E21:INDEX(Soja!$E21:$Z21,MIN(F$6-$G$3,22))),0)))))</f>
        <v>0</v>
      </c>
      <c r="G23" s="27" t="n">
        <f aca="false">IF(COUNT(Soja!$E21:$Z21)=0,0,MAX(0,IF((G$6-$E$3)&lt;1,0,IFERROR(LOOKUP(2,1/(Soja!$E21:INDEX(Soja!$E21:$Z21,MIN(G$6-$E$3,22))&lt;&gt;""),Soja!$E21:INDEX(Soja!$E21:$Z21,MIN(G$6-$E$3,22))),0))-IF($G$2,0,IF((G$6-$G$3)&lt;1,0,IFERROR(LOOKUP(2,1/(Soja!$E21:INDEX(Soja!$E21:$Z21,MIN(G$6-$G$3,22))&lt;&gt;""),Soja!$E21:INDEX(Soja!$E21:$Z21,MIN(G$6-$G$3,22))),0)))))</f>
        <v>0</v>
      </c>
      <c r="H23" s="27" t="n">
        <f aca="false">IF(COUNT(Soja!$E21:$Z21)=0,0,MAX(0,IF((H$6-$E$3)&lt;1,0,IFERROR(LOOKUP(2,1/(Soja!$E21:INDEX(Soja!$E21:$Z21,MIN(H$6-$E$3,22))&lt;&gt;""),Soja!$E21:INDEX(Soja!$E21:$Z21,MIN(H$6-$E$3,22))),0))-IF($G$2,0,IF((H$6-$G$3)&lt;1,0,IFERROR(LOOKUP(2,1/(Soja!$E21:INDEX(Soja!$E21:$Z21,MIN(H$6-$G$3,22))&lt;&gt;""),Soja!$E21:INDEX(Soja!$E21:$Z21,MIN(H$6-$G$3,22))),0)))))</f>
        <v>0</v>
      </c>
      <c r="I23" s="27" t="n">
        <f aca="false">IF(COUNT(Soja!$E21:$Z21)=0,0,MAX(0,IF((I$6-$E$3)&lt;1,0,IFERROR(LOOKUP(2,1/(Soja!$E21:INDEX(Soja!$E21:$Z21,MIN(I$6-$E$3,22))&lt;&gt;""),Soja!$E21:INDEX(Soja!$E21:$Z21,MIN(I$6-$E$3,22))),0))-IF($G$2,0,IF((I$6-$G$3)&lt;1,0,IFERROR(LOOKUP(2,1/(Soja!$E21:INDEX(Soja!$E21:$Z21,MIN(I$6-$G$3,22))&lt;&gt;""),Soja!$E21:INDEX(Soja!$E21:$Z21,MIN(I$6-$G$3,22))),0)))))</f>
        <v>0</v>
      </c>
      <c r="J23" s="27" t="n">
        <f aca="false">IF(COUNT(Soja!$E21:$Z21)=0,0,MAX(0,IF((J$6-$E$3)&lt;1,0,IFERROR(LOOKUP(2,1/(Soja!$E21:INDEX(Soja!$E21:$Z21,MIN(J$6-$E$3,22))&lt;&gt;""),Soja!$E21:INDEX(Soja!$E21:$Z21,MIN(J$6-$E$3,22))),0))-IF($G$2,0,IF((J$6-$G$3)&lt;1,0,IFERROR(LOOKUP(2,1/(Soja!$E21:INDEX(Soja!$E21:$Z21,MIN(J$6-$G$3,22))&lt;&gt;""),Soja!$E21:INDEX(Soja!$E21:$Z21,MIN(J$6-$G$3,22))),0)))))</f>
        <v>0</v>
      </c>
      <c r="K23" s="27" t="n">
        <f aca="false">IF(COUNT(Soja!$E21:$Z21)=0,0,MAX(0,IF((K$6-$E$3)&lt;1,0,IFERROR(LOOKUP(2,1/(Soja!$E21:INDEX(Soja!$E21:$Z21,MIN(K$6-$E$3,22))&lt;&gt;""),Soja!$E21:INDEX(Soja!$E21:$Z21,MIN(K$6-$E$3,22))),0))-IF($G$2,0,IF((K$6-$G$3)&lt;1,0,IFERROR(LOOKUP(2,1/(Soja!$E21:INDEX(Soja!$E21:$Z21,MIN(K$6-$G$3,22))&lt;&gt;""),Soja!$E21:INDEX(Soja!$E21:$Z21,MIN(K$6-$G$3,22))),0)))))</f>
        <v>0</v>
      </c>
      <c r="L23" s="27" t="n">
        <f aca="false">IF(COUNT(Soja!$E21:$Z21)=0,0,MAX(0,IF((L$6-$E$3)&lt;1,0,IFERROR(LOOKUP(2,1/(Soja!$E21:INDEX(Soja!$E21:$Z21,MIN(L$6-$E$3,22))&lt;&gt;""),Soja!$E21:INDEX(Soja!$E21:$Z21,MIN(L$6-$E$3,22))),0))-IF($G$2,0,IF((L$6-$G$3)&lt;1,0,IFERROR(LOOKUP(2,1/(Soja!$E21:INDEX(Soja!$E21:$Z21,MIN(L$6-$G$3,22))&lt;&gt;""),Soja!$E21:INDEX(Soja!$E21:$Z21,MIN(L$6-$G$3,22))),0)))))</f>
        <v>0</v>
      </c>
      <c r="M23" s="27" t="n">
        <f aca="false">IF(COUNT(Soja!$E21:$Z21)=0,0,MAX(0,IF((M$6-$E$3)&lt;1,0,IFERROR(LOOKUP(2,1/(Soja!$E21:INDEX(Soja!$E21:$Z21,MIN(M$6-$E$3,22))&lt;&gt;""),Soja!$E21:INDEX(Soja!$E21:$Z21,MIN(M$6-$E$3,22))),0))-IF($G$2,0,IF((M$6-$G$3)&lt;1,0,IFERROR(LOOKUP(2,1/(Soja!$E21:INDEX(Soja!$E21:$Z21,MIN(M$6-$G$3,22))&lt;&gt;""),Soja!$E21:INDEX(Soja!$E21:$Z21,MIN(M$6-$G$3,22))),0)))))</f>
        <v>0</v>
      </c>
      <c r="N23" s="27" t="n">
        <f aca="false">IF(COUNT(Soja!$E21:$Z21)=0,0,MAX(0,IF((N$6-$E$3)&lt;1,0,IFERROR(LOOKUP(2,1/(Soja!$E21:INDEX(Soja!$E21:$Z21,MIN(N$6-$E$3,22))&lt;&gt;""),Soja!$E21:INDEX(Soja!$E21:$Z21,MIN(N$6-$E$3,22))),0))-IF($G$2,0,IF((N$6-$G$3)&lt;1,0,IFERROR(LOOKUP(2,1/(Soja!$E21:INDEX(Soja!$E21:$Z21,MIN(N$6-$G$3,22))&lt;&gt;""),Soja!$E21:INDEX(Soja!$E21:$Z21,MIN(N$6-$G$3,22))),0)))))</f>
        <v>0</v>
      </c>
      <c r="O23" s="27" t="n">
        <f aca="false">IF(COUNT(Soja!$E21:$Z21)=0,0,MAX(0,IF((O$6-$E$3)&lt;1,0,IFERROR(LOOKUP(2,1/(Soja!$E21:INDEX(Soja!$E21:$Z21,MIN(O$6-$E$3,22))&lt;&gt;""),Soja!$E21:INDEX(Soja!$E21:$Z21,MIN(O$6-$E$3,22))),0))-IF($G$2,0,IF((O$6-$G$3)&lt;1,0,IFERROR(LOOKUP(2,1/(Soja!$E21:INDEX(Soja!$E21:$Z21,MIN(O$6-$G$3,22))&lt;&gt;""),Soja!$E21:INDEX(Soja!$E21:$Z21,MIN(O$6-$G$3,22))),0)))))</f>
        <v>0</v>
      </c>
      <c r="P23" s="27" t="n">
        <f aca="false">IF(COUNT(Soja!$E21:$Z21)=0,0,MAX(0,IF((P$6-$E$3)&lt;1,0,IFERROR(LOOKUP(2,1/(Soja!$E21:INDEX(Soja!$E21:$Z21,MIN(P$6-$E$3,22))&lt;&gt;""),Soja!$E21:INDEX(Soja!$E21:$Z21,MIN(P$6-$E$3,22))),0))-IF($G$2,0,IF((P$6-$G$3)&lt;1,0,IFERROR(LOOKUP(2,1/(Soja!$E21:INDEX(Soja!$E21:$Z21,MIN(P$6-$G$3,22))&lt;&gt;""),Soja!$E21:INDEX(Soja!$E21:$Z21,MIN(P$6-$G$3,22))),0)))))</f>
        <v>0</v>
      </c>
      <c r="Q23" s="27" t="n">
        <f aca="false">IF(COUNT(Soja!$E21:$Z21)=0,0,MAX(0,IF((Q$6-$E$3)&lt;1,0,IFERROR(LOOKUP(2,1/(Soja!$E21:INDEX(Soja!$E21:$Z21,MIN(Q$6-$E$3,22))&lt;&gt;""),Soja!$E21:INDEX(Soja!$E21:$Z21,MIN(Q$6-$E$3,22))),0))-IF($G$2,0,IF((Q$6-$G$3)&lt;1,0,IFERROR(LOOKUP(2,1/(Soja!$E21:INDEX(Soja!$E21:$Z21,MIN(Q$6-$G$3,22))&lt;&gt;""),Soja!$E21:INDEX(Soja!$E21:$Z21,MIN(Q$6-$G$3,22))),0)))))</f>
        <v>0</v>
      </c>
      <c r="R23" s="27" t="n">
        <f aca="false">IF(COUNT(Soja!$E21:$Z21)=0,0,MAX(0,IF((R$6-$E$3)&lt;1,0,IFERROR(LOOKUP(2,1/(Soja!$E21:INDEX(Soja!$E21:$Z21,MIN(R$6-$E$3,22))&lt;&gt;""),Soja!$E21:INDEX(Soja!$E21:$Z21,MIN(R$6-$E$3,22))),0))-IF($G$2,0,IF((R$6-$G$3)&lt;1,0,IFERROR(LOOKUP(2,1/(Soja!$E21:INDEX(Soja!$E21:$Z21,MIN(R$6-$G$3,22))&lt;&gt;""),Soja!$E21:INDEX(Soja!$E21:$Z21,MIN(R$6-$G$3,22))),0)))))</f>
        <v>0</v>
      </c>
      <c r="S23" s="27" t="n">
        <f aca="false">IF(COUNT(Soja!$E21:$Z21)=0,0,MAX(0,IF((S$6-$E$3)&lt;1,0,IFERROR(LOOKUP(2,1/(Soja!$E21:INDEX(Soja!$E21:$Z21,MIN(S$6-$E$3,22))&lt;&gt;""),Soja!$E21:INDEX(Soja!$E21:$Z21,MIN(S$6-$E$3,22))),0))-IF($G$2,0,IF((S$6-$G$3)&lt;1,0,IFERROR(LOOKUP(2,1/(Soja!$E21:INDEX(Soja!$E21:$Z21,MIN(S$6-$G$3,22))&lt;&gt;""),Soja!$E21:INDEX(Soja!$E21:$Z21,MIN(S$6-$G$3,22))),0)))))</f>
        <v>0</v>
      </c>
      <c r="T23" s="27" t="n">
        <f aca="false">IF(COUNT(Soja!$E21:$Z21)=0,0,MAX(0,IF((T$6-$E$3)&lt;1,0,IFERROR(LOOKUP(2,1/(Soja!$E21:INDEX(Soja!$E21:$Z21,MIN(T$6-$E$3,22))&lt;&gt;""),Soja!$E21:INDEX(Soja!$E21:$Z21,MIN(T$6-$E$3,22))),0))-IF($G$2,0,IF((T$6-$G$3)&lt;1,0,IFERROR(LOOKUP(2,1/(Soja!$E21:INDEX(Soja!$E21:$Z21,MIN(T$6-$G$3,22))&lt;&gt;""),Soja!$E21:INDEX(Soja!$E21:$Z21,MIN(T$6-$G$3,22))),0)))))</f>
        <v>0</v>
      </c>
      <c r="U23" s="27" t="n">
        <f aca="false">IF(COUNT(Soja!$E21:$Z21)=0,0,MAX(0,IF((U$6-$E$3)&lt;1,0,IFERROR(LOOKUP(2,1/(Soja!$E21:INDEX(Soja!$E21:$Z21,MIN(U$6-$E$3,22))&lt;&gt;""),Soja!$E21:INDEX(Soja!$E21:$Z21,MIN(U$6-$E$3,22))),0))-IF($G$2,0,IF((U$6-$G$3)&lt;1,0,IFERROR(LOOKUP(2,1/(Soja!$E21:INDEX(Soja!$E21:$Z21,MIN(U$6-$G$3,22))&lt;&gt;""),Soja!$E21:INDEX(Soja!$E21:$Z21,MIN(U$6-$G$3,22))),0)))))</f>
        <v>0</v>
      </c>
      <c r="V23" s="27" t="n">
        <f aca="false">IF(COUNT(Soja!$E21:$Z21)=0,0,MAX(0,IF((V$6-$E$3)&lt;1,0,IFERROR(LOOKUP(2,1/(Soja!$E21:INDEX(Soja!$E21:$Z21,MIN(V$6-$E$3,22))&lt;&gt;""),Soja!$E21:INDEX(Soja!$E21:$Z21,MIN(V$6-$E$3,22))),0))-IF($G$2,0,IF((V$6-$G$3)&lt;1,0,IFERROR(LOOKUP(2,1/(Soja!$E21:INDEX(Soja!$E21:$Z21,MIN(V$6-$G$3,22))&lt;&gt;""),Soja!$E21:INDEX(Soja!$E21:$Z21,MIN(V$6-$G$3,22))),0)))))</f>
        <v>0</v>
      </c>
      <c r="W23" s="27" t="n">
        <f aca="false">IF(COUNT(Soja!$E21:$Z21)=0,0,MAX(0,IF((W$6-$E$3)&lt;1,0,IFERROR(LOOKUP(2,1/(Soja!$E21:INDEX(Soja!$E21:$Z21,MIN(W$6-$E$3,22))&lt;&gt;""),Soja!$E21:INDEX(Soja!$E21:$Z21,MIN(W$6-$E$3,22))),0))-IF($G$2,0,IF((W$6-$G$3)&lt;1,0,IFERROR(LOOKUP(2,1/(Soja!$E21:INDEX(Soja!$E21:$Z21,MIN(W$6-$G$3,22))&lt;&gt;""),Soja!$E21:INDEX(Soja!$E21:$Z21,MIN(W$6-$G$3,22))),0)))))</f>
        <v>0</v>
      </c>
      <c r="X23" s="27" t="n">
        <f aca="false">IF(COUNT(Soja!$E21:$Z21)=0,0,MAX(0,IF((X$6-$E$3)&lt;1,0,IFERROR(LOOKUP(2,1/(Soja!$E21:INDEX(Soja!$E21:$Z21,MIN(X$6-$E$3,22))&lt;&gt;""),Soja!$E21:INDEX(Soja!$E21:$Z21,MIN(X$6-$E$3,22))),0))-IF($G$2,0,IF((X$6-$G$3)&lt;1,0,IFERROR(LOOKUP(2,1/(Soja!$E21:INDEX(Soja!$E21:$Z21,MIN(X$6-$G$3,22))&lt;&gt;""),Soja!$E21:INDEX(Soja!$E21:$Z21,MIN(X$6-$G$3,22))),0)))))</f>
        <v>0</v>
      </c>
      <c r="Y23" s="27" t="n">
        <f aca="false">IF(COUNT(Soja!$E21:$Z21)=0,0,MAX(0,IF((Y$6-$E$3)&lt;1,0,IFERROR(LOOKUP(2,1/(Soja!$E21:INDEX(Soja!$E21:$Z21,MIN(Y$6-$E$3,22))&lt;&gt;""),Soja!$E21:INDEX(Soja!$E21:$Z21,MIN(Y$6-$E$3,22))),0))-IF($G$2,0,IF((Y$6-$G$3)&lt;1,0,IFERROR(LOOKUP(2,1/(Soja!$E21:INDEX(Soja!$E21:$Z21,MIN(Y$6-$G$3,22))&lt;&gt;""),Soja!$E21:INDEX(Soja!$E21:$Z21,MIN(Y$6-$G$3,22))),0)))))</f>
        <v>0</v>
      </c>
      <c r="Z23" s="27" t="n">
        <f aca="false">IF(COUNT(Soja!$E21:$Z21)=0,0,MAX(0,IF((Z$6-$E$3)&lt;1,0,IFERROR(LOOKUP(2,1/(Soja!$E21:INDEX(Soja!$E21:$Z21,MIN(Z$6-$E$3,22))&lt;&gt;""),Soja!$E21:INDEX(Soja!$E21:$Z21,MIN(Z$6-$E$3,22))),0))-IF($G$2,0,IF((Z$6-$G$3)&lt;1,0,IFERROR(LOOKUP(2,1/(Soja!$E21:INDEX(Soja!$E21:$Z21,MIN(Z$6-$G$3,22))&lt;&gt;""),Soja!$E21:INDEX(Soja!$E21:$Z21,MIN(Z$6-$G$3,22))),0)))))</f>
        <v>0</v>
      </c>
      <c r="AA23" s="27" t="n">
        <f aca="false">IF(COUNT(Soja!$E21:$Z21)=0,0,MAX(0,IF((AA$6-$E$3)&lt;1,0,IFERROR(LOOKUP(2,1/(Soja!$E21:INDEX(Soja!$E21:$Z21,MIN(AA$6-$E$3,22))&lt;&gt;""),Soja!$E21:INDEX(Soja!$E21:$Z21,MIN(AA$6-$E$3,22))),0))-IF($G$2,0,IF((AA$6-$G$3)&lt;1,0,IFERROR(LOOKUP(2,1/(Soja!$E21:INDEX(Soja!$E21:$Z21,MIN(AA$6-$G$3,22))&lt;&gt;""),Soja!$E21:INDEX(Soja!$E21:$Z21,MIN(AA$6-$G$3,22))),0)))))</f>
        <v>0</v>
      </c>
      <c r="AB23" s="27" t="n">
        <f aca="false">IF(COUNT(Soja!$E21:$Z21)=0,0,MAX(0,IF((AB$6-$E$3)&lt;1,0,IFERROR(LOOKUP(2,1/(Soja!$E21:INDEX(Soja!$E21:$Z21,MIN(AB$6-$E$3,22))&lt;&gt;""),Soja!$E21:INDEX(Soja!$E21:$Z21,MIN(AB$6-$E$3,22))),0))-IF($G$2,0,IF((AB$6-$G$3)&lt;1,0,IFERROR(LOOKUP(2,1/(Soja!$E21:INDEX(Soja!$E21:$Z21,MIN(AB$6-$G$3,22))&lt;&gt;""),Soja!$E21:INDEX(Soja!$E21:$Z21,MIN(AB$6-$G$3,22))),0)))))</f>
        <v>0</v>
      </c>
      <c r="AC23" s="27" t="n">
        <f aca="false">IF(COUNT(Soja!$E21:$Z21)=0,0,MAX(0,IF((AC$6-$E$3)&lt;1,0,IFERROR(LOOKUP(2,1/(Soja!$E21:INDEX(Soja!$E21:$Z21,MIN(AC$6-$E$3,22))&lt;&gt;""),Soja!$E21:INDEX(Soja!$E21:$Z21,MIN(AC$6-$E$3,22))),0))-IF($G$2,0,IF((AC$6-$G$3)&lt;1,0,IFERROR(LOOKUP(2,1/(Soja!$E21:INDEX(Soja!$E21:$Z21,MIN(AC$6-$G$3,22))&lt;&gt;""),Soja!$E21:INDEX(Soja!$E21:$Z21,MIN(AC$6-$G$3,22))),0)))))</f>
        <v>0</v>
      </c>
      <c r="AD23" s="27" t="n">
        <f aca="false">IF(COUNT(Soja!$E21:$Z21)=0,0,MAX(0,IF((AD$6-$E$3)&lt;1,0,IFERROR(LOOKUP(2,1/(Soja!$E21:INDEX(Soja!$E21:$Z21,MIN(AD$6-$E$3,22))&lt;&gt;""),Soja!$E21:INDEX(Soja!$E21:$Z21,MIN(AD$6-$E$3,22))),0))-IF($G$2,0,IF((AD$6-$G$3)&lt;1,0,IFERROR(LOOKUP(2,1/(Soja!$E21:INDEX(Soja!$E21:$Z21,MIN(AD$6-$G$3,22))&lt;&gt;""),Soja!$E21:INDEX(Soja!$E21:$Z21,MIN(AD$6-$G$3,22))),0)))))</f>
        <v>0</v>
      </c>
      <c r="AE23" s="27" t="n">
        <f aca="false">IF(COUNT(Soja!$E21:$Z21)=0,0,MAX(0,IF((AE$6-$E$3)&lt;1,0,IFERROR(LOOKUP(2,1/(Soja!$E21:INDEX(Soja!$E21:$Z21,MIN(AE$6-$E$3,22))&lt;&gt;""),Soja!$E21:INDEX(Soja!$E21:$Z21,MIN(AE$6-$E$3,22))),0))-IF($G$2,0,IF((AE$6-$G$3)&lt;1,0,IFERROR(LOOKUP(2,1/(Soja!$E21:INDEX(Soja!$E21:$Z21,MIN(AE$6-$G$3,22))&lt;&gt;""),Soja!$E21:INDEX(Soja!$E21:$Z21,MIN(AE$6-$G$3,22))),0)))))</f>
        <v>0</v>
      </c>
      <c r="AF23" s="27" t="n">
        <f aca="false">IF(COUNT(Soja!$E21:$Z21)=0,0,MAX(0,IF((AF$6-$E$3)&lt;1,0,IFERROR(LOOKUP(2,1/(Soja!$E21:INDEX(Soja!$E21:$Z21,MIN(AF$6-$E$3,22))&lt;&gt;""),Soja!$E21:INDEX(Soja!$E21:$Z21,MIN(AF$6-$E$3,22))),0))-IF($G$2,0,IF((AF$6-$G$3)&lt;1,0,IFERROR(LOOKUP(2,1/(Soja!$E21:INDEX(Soja!$E21:$Z21,MIN(AF$6-$G$3,22))&lt;&gt;""),Soja!$E21:INDEX(Soja!$E21:$Z21,MIN(AF$6-$G$3,22))),0)))))</f>
        <v>0</v>
      </c>
      <c r="AG23" s="27" t="n">
        <f aca="false">IF(COUNT(Soja!$E21:$Z21)=0,0,MAX(0,IF((AG$6-$E$3)&lt;1,0,IFERROR(LOOKUP(2,1/(Soja!$E21:INDEX(Soja!$E21:$Z21,MIN(AG$6-$E$3,22))&lt;&gt;""),Soja!$E21:INDEX(Soja!$E21:$Z21,MIN(AG$6-$E$3,22))),0))-IF($G$2,0,IF((AG$6-$G$3)&lt;1,0,IFERROR(LOOKUP(2,1/(Soja!$E21:INDEX(Soja!$E21:$Z21,MIN(AG$6-$G$3,22))&lt;&gt;""),Soja!$E21:INDEX(Soja!$E21:$Z21,MIN(AG$6-$G$3,22))),0)))))</f>
        <v>0</v>
      </c>
      <c r="AH23" s="27" t="n">
        <f aca="false">IF(COUNT(Soja!$E21:$Z21)=0,0,MAX(0,IF((AH$6-$E$3)&lt;1,0,IFERROR(LOOKUP(2,1/(Soja!$E21:INDEX(Soja!$E21:$Z21,MIN(AH$6-$E$3,22))&lt;&gt;""),Soja!$E21:INDEX(Soja!$E21:$Z21,MIN(AH$6-$E$3,22))),0))-IF($G$2,0,IF((AH$6-$G$3)&lt;1,0,IFERROR(LOOKUP(2,1/(Soja!$E21:INDEX(Soja!$E21:$Z21,MIN(AH$6-$G$3,22))&lt;&gt;""),Soja!$E21:INDEX(Soja!$E21:$Z21,MIN(AH$6-$G$3,22))),0)))))</f>
        <v>0</v>
      </c>
      <c r="AI23" s="27" t="n">
        <f aca="false">IF(COUNT(Soja!$E21:$Z21)=0,0,MAX(0,IF((AI$6-$E$3)&lt;1,0,IFERROR(LOOKUP(2,1/(Soja!$E21:INDEX(Soja!$E21:$Z21,MIN(AI$6-$E$3,22))&lt;&gt;""),Soja!$E21:INDEX(Soja!$E21:$Z21,MIN(AI$6-$E$3,22))),0))-IF($G$2,0,IF((AI$6-$G$3)&lt;1,0,IFERROR(LOOKUP(2,1/(Soja!$E21:INDEX(Soja!$E21:$Z21,MIN(AI$6-$G$3,22))&lt;&gt;""),Soja!$E21:INDEX(Soja!$E21:$Z21,MIN(AI$6-$G$3,22))),0)))))</f>
        <v>0</v>
      </c>
      <c r="AJ23" s="27" t="n">
        <f aca="false">IF(COUNT(Soja!$E21:$Z21)=0,0,MAX(0,IF((AJ$6-$E$3)&lt;1,0,IFERROR(LOOKUP(2,1/(Soja!$E21:INDEX(Soja!$E21:$Z21,MIN(AJ$6-$E$3,22))&lt;&gt;""),Soja!$E21:INDEX(Soja!$E21:$Z21,MIN(AJ$6-$E$3,22))),0))-IF($G$2,0,IF((AJ$6-$G$3)&lt;1,0,IFERROR(LOOKUP(2,1/(Soja!$E21:INDEX(Soja!$E21:$Z21,MIN(AJ$6-$G$3,22))&lt;&gt;""),Soja!$E21:INDEX(Soja!$E21:$Z21,MIN(AJ$6-$G$3,22))),0)))))</f>
        <v>0</v>
      </c>
      <c r="AK23" s="27" t="n">
        <f aca="false">IF(COUNT(Soja!$E21:$Z21)=0,0,MAX(0,IF((AK$6-$E$3)&lt;1,0,IFERROR(LOOKUP(2,1/(Soja!$E21:INDEX(Soja!$E21:$Z21,MIN(AK$6-$E$3,22))&lt;&gt;""),Soja!$E21:INDEX(Soja!$E21:$Z21,MIN(AK$6-$E$3,22))),0))-IF($G$2,0,IF((AK$6-$G$3)&lt;1,0,IFERROR(LOOKUP(2,1/(Soja!$E21:INDEX(Soja!$E21:$Z21,MIN(AK$6-$G$3,22))&lt;&gt;""),Soja!$E21:INDEX(Soja!$E21:$Z21,MIN(AK$6-$G$3,22))),0)))))</f>
        <v>0</v>
      </c>
      <c r="AL23" s="27" t="n">
        <f aca="false">IF(COUNT(Soja!$E21:$Z21)=0,0,MAX(0,IF((AL$6-$E$3)&lt;1,0,IFERROR(LOOKUP(2,1/(Soja!$E21:INDEX(Soja!$E21:$Z21,MIN(AL$6-$E$3,22))&lt;&gt;""),Soja!$E21:INDEX(Soja!$E21:$Z21,MIN(AL$6-$E$3,22))),0))-IF($G$2,0,IF((AL$6-$G$3)&lt;1,0,IFERROR(LOOKUP(2,1/(Soja!$E21:INDEX(Soja!$E21:$Z21,MIN(AL$6-$G$3,22))&lt;&gt;""),Soja!$E21:INDEX(Soja!$E21:$Z21,MIN(AL$6-$G$3,22))),0)))))</f>
        <v>0</v>
      </c>
      <c r="AM23" s="27" t="n">
        <f aca="false">IF(COUNT(Soja!$E21:$Z21)=0,0,MAX(0,IF((AM$6-$E$3)&lt;1,0,IFERROR(LOOKUP(2,1/(Soja!$E21:INDEX(Soja!$E21:$Z21,MIN(AM$6-$E$3,22))&lt;&gt;""),Soja!$E21:INDEX(Soja!$E21:$Z21,MIN(AM$6-$E$3,22))),0))-IF($G$2,0,IF((AM$6-$G$3)&lt;1,0,IFERROR(LOOKUP(2,1/(Soja!$E21:INDEX(Soja!$E21:$Z21,MIN(AM$6-$G$3,22))&lt;&gt;""),Soja!$E21:INDEX(Soja!$E21:$Z21,MIN(AM$6-$G$3,22))),0)))))</f>
        <v>0</v>
      </c>
      <c r="AN23" s="27" t="n">
        <f aca="false">IF(COUNT(Soja!$E21:$Z21)=0,0,MAX(0,IF((AN$6-$E$3)&lt;1,0,IFERROR(LOOKUP(2,1/(Soja!$E21:INDEX(Soja!$E21:$Z21,MIN(AN$6-$E$3,22))&lt;&gt;""),Soja!$E21:INDEX(Soja!$E21:$Z21,MIN(AN$6-$E$3,22))),0))-IF($G$2,0,IF((AN$6-$G$3)&lt;1,0,IFERROR(LOOKUP(2,1/(Soja!$E21:INDEX(Soja!$E21:$Z21,MIN(AN$6-$G$3,22))&lt;&gt;""),Soja!$E21:INDEX(Soja!$E21:$Z21,MIN(AN$6-$G$3,22))),0)))))</f>
        <v>0</v>
      </c>
      <c r="AO23" s="27" t="n">
        <f aca="false">IF(COUNT(Soja!$E21:$Z21)=0,0,MAX(0,IF((AO$6-$E$3)&lt;1,0,IFERROR(LOOKUP(2,1/(Soja!$E21:INDEX(Soja!$E21:$Z21,MIN(AO$6-$E$3,22))&lt;&gt;""),Soja!$E21:INDEX(Soja!$E21:$Z21,MIN(AO$6-$E$3,22))),0))-IF($G$2,0,IF((AO$6-$G$3)&lt;1,0,IFERROR(LOOKUP(2,1/(Soja!$E21:INDEX(Soja!$E21:$Z21,MIN(AO$6-$G$3,22))&lt;&gt;""),Soja!$E21:INDEX(Soja!$E21:$Z21,MIN(AO$6-$G$3,22))),0)))))</f>
        <v>0</v>
      </c>
      <c r="AP23" s="27" t="n">
        <f aca="false">IF(COUNT(Soja!$E21:$Z21)=0,0,MAX(0,IF((AP$6-$E$3)&lt;1,0,IFERROR(LOOKUP(2,1/(Soja!$E21:INDEX(Soja!$E21:$Z21,MIN(AP$6-$E$3,22))&lt;&gt;""),Soja!$E21:INDEX(Soja!$E21:$Z21,MIN(AP$6-$E$3,22))),0))-IF($G$2,0,IF((AP$6-$G$3)&lt;1,0,IFERROR(LOOKUP(2,1/(Soja!$E21:INDEX(Soja!$E21:$Z21,MIN(AP$6-$G$3,22))&lt;&gt;""),Soja!$E21:INDEX(Soja!$E21:$Z21,MIN(AP$6-$G$3,22))),0)))))</f>
        <v>0</v>
      </c>
      <c r="AQ23" s="27" t="n">
        <f aca="false">IF(COUNT(Soja!$E21:$Z21)=0,0,MAX(0,IF((AQ$6-$E$3)&lt;1,0,IFERROR(LOOKUP(2,1/(Soja!$E21:INDEX(Soja!$E21:$Z21,MIN(AQ$6-$E$3,22))&lt;&gt;""),Soja!$E21:INDEX(Soja!$E21:$Z21,MIN(AQ$6-$E$3,22))),0))-IF($G$2,0,IF((AQ$6-$G$3)&lt;1,0,IFERROR(LOOKUP(2,1/(Soja!$E21:INDEX(Soja!$E21:$Z21,MIN(AQ$6-$G$3,22))&lt;&gt;""),Soja!$E21:INDEX(Soja!$E21:$Z21,MIN(AQ$6-$G$3,22))),0)))))</f>
        <v>0</v>
      </c>
      <c r="AR23" s="27" t="n">
        <f aca="false">IF(COUNT(Soja!$E21:$Z21)=0,0,MAX(0,IF((AR$6-$E$3)&lt;1,0,IFERROR(LOOKUP(2,1/(Soja!$E21:INDEX(Soja!$E21:$Z21,MIN(AR$6-$E$3,22))&lt;&gt;""),Soja!$E21:INDEX(Soja!$E21:$Z21,MIN(AR$6-$E$3,22))),0))-IF($G$2,0,IF((AR$6-$G$3)&lt;1,0,IFERROR(LOOKUP(2,1/(Soja!$E21:INDEX(Soja!$E21:$Z21,MIN(AR$6-$G$3,22))&lt;&gt;""),Soja!$E21:INDEX(Soja!$E21:$Z21,MIN(AR$6-$G$3,22))),0)))))</f>
        <v>0</v>
      </c>
      <c r="AS23" s="27" t="n">
        <f aca="false">IF(COUNT(Soja!$E21:$Z21)=0,0,MAX(0,IF((AS$6-$E$3)&lt;1,0,IFERROR(LOOKUP(2,1/(Soja!$E21:INDEX(Soja!$E21:$Z21,MIN(AS$6-$E$3,22))&lt;&gt;""),Soja!$E21:INDEX(Soja!$E21:$Z21,MIN(AS$6-$E$3,22))),0))-IF($G$2,0,IF((AS$6-$G$3)&lt;1,0,IFERROR(LOOKUP(2,1/(Soja!$E21:INDEX(Soja!$E21:$Z21,MIN(AS$6-$G$3,22))&lt;&gt;""),Soja!$E21:INDEX(Soja!$E21:$Z21,MIN(AS$6-$G$3,22))),0)))))</f>
        <v>0</v>
      </c>
      <c r="AT23" s="27" t="n">
        <f aca="false">IF(COUNT(Soja!$E21:$Z21)=0,0,MAX(0,IF((AT$6-$E$3)&lt;1,0,IFERROR(LOOKUP(2,1/(Soja!$E21:INDEX(Soja!$E21:$Z21,MIN(AT$6-$E$3,22))&lt;&gt;""),Soja!$E21:INDEX(Soja!$E21:$Z21,MIN(AT$6-$E$3,22))),0))-IF($G$2,0,IF((AT$6-$G$3)&lt;1,0,IFERROR(LOOKUP(2,1/(Soja!$E21:INDEX(Soja!$E21:$Z21,MIN(AT$6-$G$3,22))&lt;&gt;""),Soja!$E21:INDEX(Soja!$E21:$Z21,MIN(AT$6-$G$3,22))),0)))))</f>
        <v>0</v>
      </c>
      <c r="AU23" s="27" t="n">
        <f aca="false">IF(COUNT(Soja!$E21:$Z21)=0,0,MAX(0,IF((AU$6-$E$3)&lt;1,0,IFERROR(LOOKUP(2,1/(Soja!$E21:INDEX(Soja!$E21:$Z21,MIN(AU$6-$E$3,22))&lt;&gt;""),Soja!$E21:INDEX(Soja!$E21:$Z21,MIN(AU$6-$E$3,22))),0))-IF($G$2,0,IF((AU$6-$G$3)&lt;1,0,IFERROR(LOOKUP(2,1/(Soja!$E21:INDEX(Soja!$E21:$Z21,MIN(AU$6-$G$3,22))&lt;&gt;""),Soja!$E21:INDEX(Soja!$E21:$Z21,MIN(AU$6-$G$3,22))),0)))))</f>
        <v>0</v>
      </c>
      <c r="AV23" s="27" t="n">
        <f aca="false">IF(COUNT(Soja!$E21:$Z21)=0,0,MAX(0,IF((AV$6-$E$3)&lt;1,0,IFERROR(LOOKUP(2,1/(Soja!$E21:INDEX(Soja!$E21:$Z21,MIN(AV$6-$E$3,22))&lt;&gt;""),Soja!$E21:INDEX(Soja!$E21:$Z21,MIN(AV$6-$E$3,22))),0))-IF($G$2,0,IF((AV$6-$G$3)&lt;1,0,IFERROR(LOOKUP(2,1/(Soja!$E21:INDEX(Soja!$E21:$Z21,MIN(AV$6-$G$3,22))&lt;&gt;""),Soja!$E21:INDEX(Soja!$E21:$Z21,MIN(AV$6-$G$3,22))),0)))))</f>
        <v>0</v>
      </c>
      <c r="AW23" s="27" t="n">
        <f aca="false">IF(COUNT(Soja!$E21:$Z21)=0,0,MAX(0,IF((AW$6-$E$3)&lt;1,0,IFERROR(LOOKUP(2,1/(Soja!$E21:INDEX(Soja!$E21:$Z21,MIN(AW$6-$E$3,22))&lt;&gt;""),Soja!$E21:INDEX(Soja!$E21:$Z21,MIN(AW$6-$E$3,22))),0))-IF($G$2,0,IF((AW$6-$G$3)&lt;1,0,IFERROR(LOOKUP(2,1/(Soja!$E21:INDEX(Soja!$E21:$Z21,MIN(AW$6-$G$3,22))&lt;&gt;""),Soja!$E21:INDEX(Soja!$E21:$Z21,MIN(AW$6-$G$3,22))),0)))))</f>
        <v>0</v>
      </c>
      <c r="AX23" s="27" t="n">
        <f aca="false">IF(COUNT(Soja!$E21:$Z21)=0,0,MAX(0,IF((AX$6-$E$3)&lt;1,0,IFERROR(LOOKUP(2,1/(Soja!$E21:INDEX(Soja!$E21:$Z21,MIN(AX$6-$E$3,22))&lt;&gt;""),Soja!$E21:INDEX(Soja!$E21:$Z21,MIN(AX$6-$E$3,22))),0))-IF($G$2,0,IF((AX$6-$G$3)&lt;1,0,IFERROR(LOOKUP(2,1/(Soja!$E21:INDEX(Soja!$E21:$Z21,MIN(AX$6-$G$3,22))&lt;&gt;""),Soja!$E21:INDEX(Soja!$E21:$Z21,MIN(AX$6-$G$3,22))),0)))))</f>
        <v>0</v>
      </c>
      <c r="AY23" s="27" t="n">
        <f aca="false">IF(COUNT(Soja!$E21:$Z21)=0,0,MAX(0,IF((AY$6-$E$3)&lt;1,0,IFERROR(LOOKUP(2,1/(Soja!$E21:INDEX(Soja!$E21:$Z21,MIN(AY$6-$E$3,22))&lt;&gt;""),Soja!$E21:INDEX(Soja!$E21:$Z21,MIN(AY$6-$E$3,22))),0))-IF($G$2,0,IF((AY$6-$G$3)&lt;1,0,IFERROR(LOOKUP(2,1/(Soja!$E21:INDEX(Soja!$E21:$Z21,MIN(AY$6-$G$3,22))&lt;&gt;""),Soja!$E21:INDEX(Soja!$E21:$Z21,MIN(AY$6-$G$3,22))),0)))))</f>
        <v>0</v>
      </c>
      <c r="AZ23" s="27" t="n">
        <f aca="false">IF(COUNT(Soja!$E21:$Z21)=0,0,MAX(0,IF((AZ$6-$E$3)&lt;1,0,IFERROR(LOOKUP(2,1/(Soja!$E21:INDEX(Soja!$E21:$Z21,MIN(AZ$6-$E$3,22))&lt;&gt;""),Soja!$E21:INDEX(Soja!$E21:$Z21,MIN(AZ$6-$E$3,22))),0))-IF($G$2,0,IF((AZ$6-$G$3)&lt;1,0,IFERROR(LOOKUP(2,1/(Soja!$E21:INDEX(Soja!$E21:$Z21,MIN(AZ$6-$G$3,22))&lt;&gt;""),Soja!$E21:INDEX(Soja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IF(COUNT(Soja!$E22:$Z22)&gt;0,N(Soja!$D22),0)</f>
        <v>0</v>
      </c>
      <c r="E24" s="27" t="n">
        <f aca="false">IF(COUNT(Soja!$E22:$Z22)=0,0,MAX(0,IF((E$6-$E$3)&lt;1,0,IFERROR(LOOKUP(2,1/(Soja!$E22:INDEX(Soja!$E22:$Z22,MIN(E$6-$E$3,22))&lt;&gt;""),Soja!$E22:INDEX(Soja!$E22:$Z22,MIN(E$6-$E$3,22))),0))-IF($G$2,0,IF((E$6-$G$3)&lt;1,0,IFERROR(LOOKUP(2,1/(Soja!$E22:INDEX(Soja!$E22:$Z22,MIN(E$6-$G$3,22))&lt;&gt;""),Soja!$E22:INDEX(Soja!$E22:$Z22,MIN(E$6-$G$3,22))),0)))))</f>
        <v>0</v>
      </c>
      <c r="F24" s="27" t="n">
        <f aca="false">IF(COUNT(Soja!$E22:$Z22)=0,0,MAX(0,IF((F$6-$E$3)&lt;1,0,IFERROR(LOOKUP(2,1/(Soja!$E22:INDEX(Soja!$E22:$Z22,MIN(F$6-$E$3,22))&lt;&gt;""),Soja!$E22:INDEX(Soja!$E22:$Z22,MIN(F$6-$E$3,22))),0))-IF($G$2,0,IF((F$6-$G$3)&lt;1,0,IFERROR(LOOKUP(2,1/(Soja!$E22:INDEX(Soja!$E22:$Z22,MIN(F$6-$G$3,22))&lt;&gt;""),Soja!$E22:INDEX(Soja!$E22:$Z22,MIN(F$6-$G$3,22))),0)))))</f>
        <v>0</v>
      </c>
      <c r="G24" s="27" t="n">
        <f aca="false">IF(COUNT(Soja!$E22:$Z22)=0,0,MAX(0,IF((G$6-$E$3)&lt;1,0,IFERROR(LOOKUP(2,1/(Soja!$E22:INDEX(Soja!$E22:$Z22,MIN(G$6-$E$3,22))&lt;&gt;""),Soja!$E22:INDEX(Soja!$E22:$Z22,MIN(G$6-$E$3,22))),0))-IF($G$2,0,IF((G$6-$G$3)&lt;1,0,IFERROR(LOOKUP(2,1/(Soja!$E22:INDEX(Soja!$E22:$Z22,MIN(G$6-$G$3,22))&lt;&gt;""),Soja!$E22:INDEX(Soja!$E22:$Z22,MIN(G$6-$G$3,22))),0)))))</f>
        <v>0</v>
      </c>
      <c r="H24" s="27" t="n">
        <f aca="false">IF(COUNT(Soja!$E22:$Z22)=0,0,MAX(0,IF((H$6-$E$3)&lt;1,0,IFERROR(LOOKUP(2,1/(Soja!$E22:INDEX(Soja!$E22:$Z22,MIN(H$6-$E$3,22))&lt;&gt;""),Soja!$E22:INDEX(Soja!$E22:$Z22,MIN(H$6-$E$3,22))),0))-IF($G$2,0,IF((H$6-$G$3)&lt;1,0,IFERROR(LOOKUP(2,1/(Soja!$E22:INDEX(Soja!$E22:$Z22,MIN(H$6-$G$3,22))&lt;&gt;""),Soja!$E22:INDEX(Soja!$E22:$Z22,MIN(H$6-$G$3,22))),0)))))</f>
        <v>0</v>
      </c>
      <c r="I24" s="27" t="n">
        <f aca="false">IF(COUNT(Soja!$E22:$Z22)=0,0,MAX(0,IF((I$6-$E$3)&lt;1,0,IFERROR(LOOKUP(2,1/(Soja!$E22:INDEX(Soja!$E22:$Z22,MIN(I$6-$E$3,22))&lt;&gt;""),Soja!$E22:INDEX(Soja!$E22:$Z22,MIN(I$6-$E$3,22))),0))-IF($G$2,0,IF((I$6-$G$3)&lt;1,0,IFERROR(LOOKUP(2,1/(Soja!$E22:INDEX(Soja!$E22:$Z22,MIN(I$6-$G$3,22))&lt;&gt;""),Soja!$E22:INDEX(Soja!$E22:$Z22,MIN(I$6-$G$3,22))),0)))))</f>
        <v>0</v>
      </c>
      <c r="J24" s="27" t="n">
        <f aca="false">IF(COUNT(Soja!$E22:$Z22)=0,0,MAX(0,IF((J$6-$E$3)&lt;1,0,IFERROR(LOOKUP(2,1/(Soja!$E22:INDEX(Soja!$E22:$Z22,MIN(J$6-$E$3,22))&lt;&gt;""),Soja!$E22:INDEX(Soja!$E22:$Z22,MIN(J$6-$E$3,22))),0))-IF($G$2,0,IF((J$6-$G$3)&lt;1,0,IFERROR(LOOKUP(2,1/(Soja!$E22:INDEX(Soja!$E22:$Z22,MIN(J$6-$G$3,22))&lt;&gt;""),Soja!$E22:INDEX(Soja!$E22:$Z22,MIN(J$6-$G$3,22))),0)))))</f>
        <v>0</v>
      </c>
      <c r="K24" s="27" t="n">
        <f aca="false">IF(COUNT(Soja!$E22:$Z22)=0,0,MAX(0,IF((K$6-$E$3)&lt;1,0,IFERROR(LOOKUP(2,1/(Soja!$E22:INDEX(Soja!$E22:$Z22,MIN(K$6-$E$3,22))&lt;&gt;""),Soja!$E22:INDEX(Soja!$E22:$Z22,MIN(K$6-$E$3,22))),0))-IF($G$2,0,IF((K$6-$G$3)&lt;1,0,IFERROR(LOOKUP(2,1/(Soja!$E22:INDEX(Soja!$E22:$Z22,MIN(K$6-$G$3,22))&lt;&gt;""),Soja!$E22:INDEX(Soja!$E22:$Z22,MIN(K$6-$G$3,22))),0)))))</f>
        <v>0</v>
      </c>
      <c r="L24" s="27" t="n">
        <f aca="false">IF(COUNT(Soja!$E22:$Z22)=0,0,MAX(0,IF((L$6-$E$3)&lt;1,0,IFERROR(LOOKUP(2,1/(Soja!$E22:INDEX(Soja!$E22:$Z22,MIN(L$6-$E$3,22))&lt;&gt;""),Soja!$E22:INDEX(Soja!$E22:$Z22,MIN(L$6-$E$3,22))),0))-IF($G$2,0,IF((L$6-$G$3)&lt;1,0,IFERROR(LOOKUP(2,1/(Soja!$E22:INDEX(Soja!$E22:$Z22,MIN(L$6-$G$3,22))&lt;&gt;""),Soja!$E22:INDEX(Soja!$E22:$Z22,MIN(L$6-$G$3,22))),0)))))</f>
        <v>0</v>
      </c>
      <c r="M24" s="27" t="n">
        <f aca="false">IF(COUNT(Soja!$E22:$Z22)=0,0,MAX(0,IF((M$6-$E$3)&lt;1,0,IFERROR(LOOKUP(2,1/(Soja!$E22:INDEX(Soja!$E22:$Z22,MIN(M$6-$E$3,22))&lt;&gt;""),Soja!$E22:INDEX(Soja!$E22:$Z22,MIN(M$6-$E$3,22))),0))-IF($G$2,0,IF((M$6-$G$3)&lt;1,0,IFERROR(LOOKUP(2,1/(Soja!$E22:INDEX(Soja!$E22:$Z22,MIN(M$6-$G$3,22))&lt;&gt;""),Soja!$E22:INDEX(Soja!$E22:$Z22,MIN(M$6-$G$3,22))),0)))))</f>
        <v>0</v>
      </c>
      <c r="N24" s="27" t="n">
        <f aca="false">IF(COUNT(Soja!$E22:$Z22)=0,0,MAX(0,IF((N$6-$E$3)&lt;1,0,IFERROR(LOOKUP(2,1/(Soja!$E22:INDEX(Soja!$E22:$Z22,MIN(N$6-$E$3,22))&lt;&gt;""),Soja!$E22:INDEX(Soja!$E22:$Z22,MIN(N$6-$E$3,22))),0))-IF($G$2,0,IF((N$6-$G$3)&lt;1,0,IFERROR(LOOKUP(2,1/(Soja!$E22:INDEX(Soja!$E22:$Z22,MIN(N$6-$G$3,22))&lt;&gt;""),Soja!$E22:INDEX(Soja!$E22:$Z22,MIN(N$6-$G$3,22))),0)))))</f>
        <v>0</v>
      </c>
      <c r="O24" s="27" t="n">
        <f aca="false">IF(COUNT(Soja!$E22:$Z22)=0,0,MAX(0,IF((O$6-$E$3)&lt;1,0,IFERROR(LOOKUP(2,1/(Soja!$E22:INDEX(Soja!$E22:$Z22,MIN(O$6-$E$3,22))&lt;&gt;""),Soja!$E22:INDEX(Soja!$E22:$Z22,MIN(O$6-$E$3,22))),0))-IF($G$2,0,IF((O$6-$G$3)&lt;1,0,IFERROR(LOOKUP(2,1/(Soja!$E22:INDEX(Soja!$E22:$Z22,MIN(O$6-$G$3,22))&lt;&gt;""),Soja!$E22:INDEX(Soja!$E22:$Z22,MIN(O$6-$G$3,22))),0)))))</f>
        <v>0</v>
      </c>
      <c r="P24" s="27" t="n">
        <f aca="false">IF(COUNT(Soja!$E22:$Z22)=0,0,MAX(0,IF((P$6-$E$3)&lt;1,0,IFERROR(LOOKUP(2,1/(Soja!$E22:INDEX(Soja!$E22:$Z22,MIN(P$6-$E$3,22))&lt;&gt;""),Soja!$E22:INDEX(Soja!$E22:$Z22,MIN(P$6-$E$3,22))),0))-IF($G$2,0,IF((P$6-$G$3)&lt;1,0,IFERROR(LOOKUP(2,1/(Soja!$E22:INDEX(Soja!$E22:$Z22,MIN(P$6-$G$3,22))&lt;&gt;""),Soja!$E22:INDEX(Soja!$E22:$Z22,MIN(P$6-$G$3,22))),0)))))</f>
        <v>0</v>
      </c>
      <c r="Q24" s="27" t="n">
        <f aca="false">IF(COUNT(Soja!$E22:$Z22)=0,0,MAX(0,IF((Q$6-$E$3)&lt;1,0,IFERROR(LOOKUP(2,1/(Soja!$E22:INDEX(Soja!$E22:$Z22,MIN(Q$6-$E$3,22))&lt;&gt;""),Soja!$E22:INDEX(Soja!$E22:$Z22,MIN(Q$6-$E$3,22))),0))-IF($G$2,0,IF((Q$6-$G$3)&lt;1,0,IFERROR(LOOKUP(2,1/(Soja!$E22:INDEX(Soja!$E22:$Z22,MIN(Q$6-$G$3,22))&lt;&gt;""),Soja!$E22:INDEX(Soja!$E22:$Z22,MIN(Q$6-$G$3,22))),0)))))</f>
        <v>0</v>
      </c>
      <c r="R24" s="27" t="n">
        <f aca="false">IF(COUNT(Soja!$E22:$Z22)=0,0,MAX(0,IF((R$6-$E$3)&lt;1,0,IFERROR(LOOKUP(2,1/(Soja!$E22:INDEX(Soja!$E22:$Z22,MIN(R$6-$E$3,22))&lt;&gt;""),Soja!$E22:INDEX(Soja!$E22:$Z22,MIN(R$6-$E$3,22))),0))-IF($G$2,0,IF((R$6-$G$3)&lt;1,0,IFERROR(LOOKUP(2,1/(Soja!$E22:INDEX(Soja!$E22:$Z22,MIN(R$6-$G$3,22))&lt;&gt;""),Soja!$E22:INDEX(Soja!$E22:$Z22,MIN(R$6-$G$3,22))),0)))))</f>
        <v>0</v>
      </c>
      <c r="S24" s="27" t="n">
        <f aca="false">IF(COUNT(Soja!$E22:$Z22)=0,0,MAX(0,IF((S$6-$E$3)&lt;1,0,IFERROR(LOOKUP(2,1/(Soja!$E22:INDEX(Soja!$E22:$Z22,MIN(S$6-$E$3,22))&lt;&gt;""),Soja!$E22:INDEX(Soja!$E22:$Z22,MIN(S$6-$E$3,22))),0))-IF($G$2,0,IF((S$6-$G$3)&lt;1,0,IFERROR(LOOKUP(2,1/(Soja!$E22:INDEX(Soja!$E22:$Z22,MIN(S$6-$G$3,22))&lt;&gt;""),Soja!$E22:INDEX(Soja!$E22:$Z22,MIN(S$6-$G$3,22))),0)))))</f>
        <v>0</v>
      </c>
      <c r="T24" s="27" t="n">
        <f aca="false">IF(COUNT(Soja!$E22:$Z22)=0,0,MAX(0,IF((T$6-$E$3)&lt;1,0,IFERROR(LOOKUP(2,1/(Soja!$E22:INDEX(Soja!$E22:$Z22,MIN(T$6-$E$3,22))&lt;&gt;""),Soja!$E22:INDEX(Soja!$E22:$Z22,MIN(T$6-$E$3,22))),0))-IF($G$2,0,IF((T$6-$G$3)&lt;1,0,IFERROR(LOOKUP(2,1/(Soja!$E22:INDEX(Soja!$E22:$Z22,MIN(T$6-$G$3,22))&lt;&gt;""),Soja!$E22:INDEX(Soja!$E22:$Z22,MIN(T$6-$G$3,22))),0)))))</f>
        <v>0</v>
      </c>
      <c r="U24" s="27" t="n">
        <f aca="false">IF(COUNT(Soja!$E22:$Z22)=0,0,MAX(0,IF((U$6-$E$3)&lt;1,0,IFERROR(LOOKUP(2,1/(Soja!$E22:INDEX(Soja!$E22:$Z22,MIN(U$6-$E$3,22))&lt;&gt;""),Soja!$E22:INDEX(Soja!$E22:$Z22,MIN(U$6-$E$3,22))),0))-IF($G$2,0,IF((U$6-$G$3)&lt;1,0,IFERROR(LOOKUP(2,1/(Soja!$E22:INDEX(Soja!$E22:$Z22,MIN(U$6-$G$3,22))&lt;&gt;""),Soja!$E22:INDEX(Soja!$E22:$Z22,MIN(U$6-$G$3,22))),0)))))</f>
        <v>0</v>
      </c>
      <c r="V24" s="27" t="n">
        <f aca="false">IF(COUNT(Soja!$E22:$Z22)=0,0,MAX(0,IF((V$6-$E$3)&lt;1,0,IFERROR(LOOKUP(2,1/(Soja!$E22:INDEX(Soja!$E22:$Z22,MIN(V$6-$E$3,22))&lt;&gt;""),Soja!$E22:INDEX(Soja!$E22:$Z22,MIN(V$6-$E$3,22))),0))-IF($G$2,0,IF((V$6-$G$3)&lt;1,0,IFERROR(LOOKUP(2,1/(Soja!$E22:INDEX(Soja!$E22:$Z22,MIN(V$6-$G$3,22))&lt;&gt;""),Soja!$E22:INDEX(Soja!$E22:$Z22,MIN(V$6-$G$3,22))),0)))))</f>
        <v>0</v>
      </c>
      <c r="W24" s="27" t="n">
        <f aca="false">IF(COUNT(Soja!$E22:$Z22)=0,0,MAX(0,IF((W$6-$E$3)&lt;1,0,IFERROR(LOOKUP(2,1/(Soja!$E22:INDEX(Soja!$E22:$Z22,MIN(W$6-$E$3,22))&lt;&gt;""),Soja!$E22:INDEX(Soja!$E22:$Z22,MIN(W$6-$E$3,22))),0))-IF($G$2,0,IF((W$6-$G$3)&lt;1,0,IFERROR(LOOKUP(2,1/(Soja!$E22:INDEX(Soja!$E22:$Z22,MIN(W$6-$G$3,22))&lt;&gt;""),Soja!$E22:INDEX(Soja!$E22:$Z22,MIN(W$6-$G$3,22))),0)))))</f>
        <v>0</v>
      </c>
      <c r="X24" s="27" t="n">
        <f aca="false">IF(COUNT(Soja!$E22:$Z22)=0,0,MAX(0,IF((X$6-$E$3)&lt;1,0,IFERROR(LOOKUP(2,1/(Soja!$E22:INDEX(Soja!$E22:$Z22,MIN(X$6-$E$3,22))&lt;&gt;""),Soja!$E22:INDEX(Soja!$E22:$Z22,MIN(X$6-$E$3,22))),0))-IF($G$2,0,IF((X$6-$G$3)&lt;1,0,IFERROR(LOOKUP(2,1/(Soja!$E22:INDEX(Soja!$E22:$Z22,MIN(X$6-$G$3,22))&lt;&gt;""),Soja!$E22:INDEX(Soja!$E22:$Z22,MIN(X$6-$G$3,22))),0)))))</f>
        <v>0</v>
      </c>
      <c r="Y24" s="27" t="n">
        <f aca="false">IF(COUNT(Soja!$E22:$Z22)=0,0,MAX(0,IF((Y$6-$E$3)&lt;1,0,IFERROR(LOOKUP(2,1/(Soja!$E22:INDEX(Soja!$E22:$Z22,MIN(Y$6-$E$3,22))&lt;&gt;""),Soja!$E22:INDEX(Soja!$E22:$Z22,MIN(Y$6-$E$3,22))),0))-IF($G$2,0,IF((Y$6-$G$3)&lt;1,0,IFERROR(LOOKUP(2,1/(Soja!$E22:INDEX(Soja!$E22:$Z22,MIN(Y$6-$G$3,22))&lt;&gt;""),Soja!$E22:INDEX(Soja!$E22:$Z22,MIN(Y$6-$G$3,22))),0)))))</f>
        <v>0</v>
      </c>
      <c r="Z24" s="27" t="n">
        <f aca="false">IF(COUNT(Soja!$E22:$Z22)=0,0,MAX(0,IF((Z$6-$E$3)&lt;1,0,IFERROR(LOOKUP(2,1/(Soja!$E22:INDEX(Soja!$E22:$Z22,MIN(Z$6-$E$3,22))&lt;&gt;""),Soja!$E22:INDEX(Soja!$E22:$Z22,MIN(Z$6-$E$3,22))),0))-IF($G$2,0,IF((Z$6-$G$3)&lt;1,0,IFERROR(LOOKUP(2,1/(Soja!$E22:INDEX(Soja!$E22:$Z22,MIN(Z$6-$G$3,22))&lt;&gt;""),Soja!$E22:INDEX(Soja!$E22:$Z22,MIN(Z$6-$G$3,22))),0)))))</f>
        <v>0</v>
      </c>
      <c r="AA24" s="27" t="n">
        <f aca="false">IF(COUNT(Soja!$E22:$Z22)=0,0,MAX(0,IF((AA$6-$E$3)&lt;1,0,IFERROR(LOOKUP(2,1/(Soja!$E22:INDEX(Soja!$E22:$Z22,MIN(AA$6-$E$3,22))&lt;&gt;""),Soja!$E22:INDEX(Soja!$E22:$Z22,MIN(AA$6-$E$3,22))),0))-IF($G$2,0,IF((AA$6-$G$3)&lt;1,0,IFERROR(LOOKUP(2,1/(Soja!$E22:INDEX(Soja!$E22:$Z22,MIN(AA$6-$G$3,22))&lt;&gt;""),Soja!$E22:INDEX(Soja!$E22:$Z22,MIN(AA$6-$G$3,22))),0)))))</f>
        <v>0</v>
      </c>
      <c r="AB24" s="27" t="n">
        <f aca="false">IF(COUNT(Soja!$E22:$Z22)=0,0,MAX(0,IF((AB$6-$E$3)&lt;1,0,IFERROR(LOOKUP(2,1/(Soja!$E22:INDEX(Soja!$E22:$Z22,MIN(AB$6-$E$3,22))&lt;&gt;""),Soja!$E22:INDEX(Soja!$E22:$Z22,MIN(AB$6-$E$3,22))),0))-IF($G$2,0,IF((AB$6-$G$3)&lt;1,0,IFERROR(LOOKUP(2,1/(Soja!$E22:INDEX(Soja!$E22:$Z22,MIN(AB$6-$G$3,22))&lt;&gt;""),Soja!$E22:INDEX(Soja!$E22:$Z22,MIN(AB$6-$G$3,22))),0)))))</f>
        <v>0</v>
      </c>
      <c r="AC24" s="27" t="n">
        <f aca="false">IF(COUNT(Soja!$E22:$Z22)=0,0,MAX(0,IF((AC$6-$E$3)&lt;1,0,IFERROR(LOOKUP(2,1/(Soja!$E22:INDEX(Soja!$E22:$Z22,MIN(AC$6-$E$3,22))&lt;&gt;""),Soja!$E22:INDEX(Soja!$E22:$Z22,MIN(AC$6-$E$3,22))),0))-IF($G$2,0,IF((AC$6-$G$3)&lt;1,0,IFERROR(LOOKUP(2,1/(Soja!$E22:INDEX(Soja!$E22:$Z22,MIN(AC$6-$G$3,22))&lt;&gt;""),Soja!$E22:INDEX(Soja!$E22:$Z22,MIN(AC$6-$G$3,22))),0)))))</f>
        <v>0</v>
      </c>
      <c r="AD24" s="27" t="n">
        <f aca="false">IF(COUNT(Soja!$E22:$Z22)=0,0,MAX(0,IF((AD$6-$E$3)&lt;1,0,IFERROR(LOOKUP(2,1/(Soja!$E22:INDEX(Soja!$E22:$Z22,MIN(AD$6-$E$3,22))&lt;&gt;""),Soja!$E22:INDEX(Soja!$E22:$Z22,MIN(AD$6-$E$3,22))),0))-IF($G$2,0,IF((AD$6-$G$3)&lt;1,0,IFERROR(LOOKUP(2,1/(Soja!$E22:INDEX(Soja!$E22:$Z22,MIN(AD$6-$G$3,22))&lt;&gt;""),Soja!$E22:INDEX(Soja!$E22:$Z22,MIN(AD$6-$G$3,22))),0)))))</f>
        <v>0</v>
      </c>
      <c r="AE24" s="27" t="n">
        <f aca="false">IF(COUNT(Soja!$E22:$Z22)=0,0,MAX(0,IF((AE$6-$E$3)&lt;1,0,IFERROR(LOOKUP(2,1/(Soja!$E22:INDEX(Soja!$E22:$Z22,MIN(AE$6-$E$3,22))&lt;&gt;""),Soja!$E22:INDEX(Soja!$E22:$Z22,MIN(AE$6-$E$3,22))),0))-IF($G$2,0,IF((AE$6-$G$3)&lt;1,0,IFERROR(LOOKUP(2,1/(Soja!$E22:INDEX(Soja!$E22:$Z22,MIN(AE$6-$G$3,22))&lt;&gt;""),Soja!$E22:INDEX(Soja!$E22:$Z22,MIN(AE$6-$G$3,22))),0)))))</f>
        <v>0</v>
      </c>
      <c r="AF24" s="27" t="n">
        <f aca="false">IF(COUNT(Soja!$E22:$Z22)=0,0,MAX(0,IF((AF$6-$E$3)&lt;1,0,IFERROR(LOOKUP(2,1/(Soja!$E22:INDEX(Soja!$E22:$Z22,MIN(AF$6-$E$3,22))&lt;&gt;""),Soja!$E22:INDEX(Soja!$E22:$Z22,MIN(AF$6-$E$3,22))),0))-IF($G$2,0,IF((AF$6-$G$3)&lt;1,0,IFERROR(LOOKUP(2,1/(Soja!$E22:INDEX(Soja!$E22:$Z22,MIN(AF$6-$G$3,22))&lt;&gt;""),Soja!$E22:INDEX(Soja!$E22:$Z22,MIN(AF$6-$G$3,22))),0)))))</f>
        <v>0</v>
      </c>
      <c r="AG24" s="27" t="n">
        <f aca="false">IF(COUNT(Soja!$E22:$Z22)=0,0,MAX(0,IF((AG$6-$E$3)&lt;1,0,IFERROR(LOOKUP(2,1/(Soja!$E22:INDEX(Soja!$E22:$Z22,MIN(AG$6-$E$3,22))&lt;&gt;""),Soja!$E22:INDEX(Soja!$E22:$Z22,MIN(AG$6-$E$3,22))),0))-IF($G$2,0,IF((AG$6-$G$3)&lt;1,0,IFERROR(LOOKUP(2,1/(Soja!$E22:INDEX(Soja!$E22:$Z22,MIN(AG$6-$G$3,22))&lt;&gt;""),Soja!$E22:INDEX(Soja!$E22:$Z22,MIN(AG$6-$G$3,22))),0)))))</f>
        <v>0</v>
      </c>
      <c r="AH24" s="27" t="n">
        <f aca="false">IF(COUNT(Soja!$E22:$Z22)=0,0,MAX(0,IF((AH$6-$E$3)&lt;1,0,IFERROR(LOOKUP(2,1/(Soja!$E22:INDEX(Soja!$E22:$Z22,MIN(AH$6-$E$3,22))&lt;&gt;""),Soja!$E22:INDEX(Soja!$E22:$Z22,MIN(AH$6-$E$3,22))),0))-IF($G$2,0,IF((AH$6-$G$3)&lt;1,0,IFERROR(LOOKUP(2,1/(Soja!$E22:INDEX(Soja!$E22:$Z22,MIN(AH$6-$G$3,22))&lt;&gt;""),Soja!$E22:INDEX(Soja!$E22:$Z22,MIN(AH$6-$G$3,22))),0)))))</f>
        <v>0</v>
      </c>
      <c r="AI24" s="27" t="n">
        <f aca="false">IF(COUNT(Soja!$E22:$Z22)=0,0,MAX(0,IF((AI$6-$E$3)&lt;1,0,IFERROR(LOOKUP(2,1/(Soja!$E22:INDEX(Soja!$E22:$Z22,MIN(AI$6-$E$3,22))&lt;&gt;""),Soja!$E22:INDEX(Soja!$E22:$Z22,MIN(AI$6-$E$3,22))),0))-IF($G$2,0,IF((AI$6-$G$3)&lt;1,0,IFERROR(LOOKUP(2,1/(Soja!$E22:INDEX(Soja!$E22:$Z22,MIN(AI$6-$G$3,22))&lt;&gt;""),Soja!$E22:INDEX(Soja!$E22:$Z22,MIN(AI$6-$G$3,22))),0)))))</f>
        <v>0</v>
      </c>
      <c r="AJ24" s="27" t="n">
        <f aca="false">IF(COUNT(Soja!$E22:$Z22)=0,0,MAX(0,IF((AJ$6-$E$3)&lt;1,0,IFERROR(LOOKUP(2,1/(Soja!$E22:INDEX(Soja!$E22:$Z22,MIN(AJ$6-$E$3,22))&lt;&gt;""),Soja!$E22:INDEX(Soja!$E22:$Z22,MIN(AJ$6-$E$3,22))),0))-IF($G$2,0,IF((AJ$6-$G$3)&lt;1,0,IFERROR(LOOKUP(2,1/(Soja!$E22:INDEX(Soja!$E22:$Z22,MIN(AJ$6-$G$3,22))&lt;&gt;""),Soja!$E22:INDEX(Soja!$E22:$Z22,MIN(AJ$6-$G$3,22))),0)))))</f>
        <v>0</v>
      </c>
      <c r="AK24" s="27" t="n">
        <f aca="false">IF(COUNT(Soja!$E22:$Z22)=0,0,MAX(0,IF((AK$6-$E$3)&lt;1,0,IFERROR(LOOKUP(2,1/(Soja!$E22:INDEX(Soja!$E22:$Z22,MIN(AK$6-$E$3,22))&lt;&gt;""),Soja!$E22:INDEX(Soja!$E22:$Z22,MIN(AK$6-$E$3,22))),0))-IF($G$2,0,IF((AK$6-$G$3)&lt;1,0,IFERROR(LOOKUP(2,1/(Soja!$E22:INDEX(Soja!$E22:$Z22,MIN(AK$6-$G$3,22))&lt;&gt;""),Soja!$E22:INDEX(Soja!$E22:$Z22,MIN(AK$6-$G$3,22))),0)))))</f>
        <v>0</v>
      </c>
      <c r="AL24" s="27" t="n">
        <f aca="false">IF(COUNT(Soja!$E22:$Z22)=0,0,MAX(0,IF((AL$6-$E$3)&lt;1,0,IFERROR(LOOKUP(2,1/(Soja!$E22:INDEX(Soja!$E22:$Z22,MIN(AL$6-$E$3,22))&lt;&gt;""),Soja!$E22:INDEX(Soja!$E22:$Z22,MIN(AL$6-$E$3,22))),0))-IF($G$2,0,IF((AL$6-$G$3)&lt;1,0,IFERROR(LOOKUP(2,1/(Soja!$E22:INDEX(Soja!$E22:$Z22,MIN(AL$6-$G$3,22))&lt;&gt;""),Soja!$E22:INDEX(Soja!$E22:$Z22,MIN(AL$6-$G$3,22))),0)))))</f>
        <v>0</v>
      </c>
      <c r="AM24" s="27" t="n">
        <f aca="false">IF(COUNT(Soja!$E22:$Z22)=0,0,MAX(0,IF((AM$6-$E$3)&lt;1,0,IFERROR(LOOKUP(2,1/(Soja!$E22:INDEX(Soja!$E22:$Z22,MIN(AM$6-$E$3,22))&lt;&gt;""),Soja!$E22:INDEX(Soja!$E22:$Z22,MIN(AM$6-$E$3,22))),0))-IF($G$2,0,IF((AM$6-$G$3)&lt;1,0,IFERROR(LOOKUP(2,1/(Soja!$E22:INDEX(Soja!$E22:$Z22,MIN(AM$6-$G$3,22))&lt;&gt;""),Soja!$E22:INDEX(Soja!$E22:$Z22,MIN(AM$6-$G$3,22))),0)))))</f>
        <v>0</v>
      </c>
      <c r="AN24" s="27" t="n">
        <f aca="false">IF(COUNT(Soja!$E22:$Z22)=0,0,MAX(0,IF((AN$6-$E$3)&lt;1,0,IFERROR(LOOKUP(2,1/(Soja!$E22:INDEX(Soja!$E22:$Z22,MIN(AN$6-$E$3,22))&lt;&gt;""),Soja!$E22:INDEX(Soja!$E22:$Z22,MIN(AN$6-$E$3,22))),0))-IF($G$2,0,IF((AN$6-$G$3)&lt;1,0,IFERROR(LOOKUP(2,1/(Soja!$E22:INDEX(Soja!$E22:$Z22,MIN(AN$6-$G$3,22))&lt;&gt;""),Soja!$E22:INDEX(Soja!$E22:$Z22,MIN(AN$6-$G$3,22))),0)))))</f>
        <v>0</v>
      </c>
      <c r="AO24" s="27" t="n">
        <f aca="false">IF(COUNT(Soja!$E22:$Z22)=0,0,MAX(0,IF((AO$6-$E$3)&lt;1,0,IFERROR(LOOKUP(2,1/(Soja!$E22:INDEX(Soja!$E22:$Z22,MIN(AO$6-$E$3,22))&lt;&gt;""),Soja!$E22:INDEX(Soja!$E22:$Z22,MIN(AO$6-$E$3,22))),0))-IF($G$2,0,IF((AO$6-$G$3)&lt;1,0,IFERROR(LOOKUP(2,1/(Soja!$E22:INDEX(Soja!$E22:$Z22,MIN(AO$6-$G$3,22))&lt;&gt;""),Soja!$E22:INDEX(Soja!$E22:$Z22,MIN(AO$6-$G$3,22))),0)))))</f>
        <v>0</v>
      </c>
      <c r="AP24" s="27" t="n">
        <f aca="false">IF(COUNT(Soja!$E22:$Z22)=0,0,MAX(0,IF((AP$6-$E$3)&lt;1,0,IFERROR(LOOKUP(2,1/(Soja!$E22:INDEX(Soja!$E22:$Z22,MIN(AP$6-$E$3,22))&lt;&gt;""),Soja!$E22:INDEX(Soja!$E22:$Z22,MIN(AP$6-$E$3,22))),0))-IF($G$2,0,IF((AP$6-$G$3)&lt;1,0,IFERROR(LOOKUP(2,1/(Soja!$E22:INDEX(Soja!$E22:$Z22,MIN(AP$6-$G$3,22))&lt;&gt;""),Soja!$E22:INDEX(Soja!$E22:$Z22,MIN(AP$6-$G$3,22))),0)))))</f>
        <v>0</v>
      </c>
      <c r="AQ24" s="27" t="n">
        <f aca="false">IF(COUNT(Soja!$E22:$Z22)=0,0,MAX(0,IF((AQ$6-$E$3)&lt;1,0,IFERROR(LOOKUP(2,1/(Soja!$E22:INDEX(Soja!$E22:$Z22,MIN(AQ$6-$E$3,22))&lt;&gt;""),Soja!$E22:INDEX(Soja!$E22:$Z22,MIN(AQ$6-$E$3,22))),0))-IF($G$2,0,IF((AQ$6-$G$3)&lt;1,0,IFERROR(LOOKUP(2,1/(Soja!$E22:INDEX(Soja!$E22:$Z22,MIN(AQ$6-$G$3,22))&lt;&gt;""),Soja!$E22:INDEX(Soja!$E22:$Z22,MIN(AQ$6-$G$3,22))),0)))))</f>
        <v>0</v>
      </c>
      <c r="AR24" s="27" t="n">
        <f aca="false">IF(COUNT(Soja!$E22:$Z22)=0,0,MAX(0,IF((AR$6-$E$3)&lt;1,0,IFERROR(LOOKUP(2,1/(Soja!$E22:INDEX(Soja!$E22:$Z22,MIN(AR$6-$E$3,22))&lt;&gt;""),Soja!$E22:INDEX(Soja!$E22:$Z22,MIN(AR$6-$E$3,22))),0))-IF($G$2,0,IF((AR$6-$G$3)&lt;1,0,IFERROR(LOOKUP(2,1/(Soja!$E22:INDEX(Soja!$E22:$Z22,MIN(AR$6-$G$3,22))&lt;&gt;""),Soja!$E22:INDEX(Soja!$E22:$Z22,MIN(AR$6-$G$3,22))),0)))))</f>
        <v>0</v>
      </c>
      <c r="AS24" s="27" t="n">
        <f aca="false">IF(COUNT(Soja!$E22:$Z22)=0,0,MAX(0,IF((AS$6-$E$3)&lt;1,0,IFERROR(LOOKUP(2,1/(Soja!$E22:INDEX(Soja!$E22:$Z22,MIN(AS$6-$E$3,22))&lt;&gt;""),Soja!$E22:INDEX(Soja!$E22:$Z22,MIN(AS$6-$E$3,22))),0))-IF($G$2,0,IF((AS$6-$G$3)&lt;1,0,IFERROR(LOOKUP(2,1/(Soja!$E22:INDEX(Soja!$E22:$Z22,MIN(AS$6-$G$3,22))&lt;&gt;""),Soja!$E22:INDEX(Soja!$E22:$Z22,MIN(AS$6-$G$3,22))),0)))))</f>
        <v>0</v>
      </c>
      <c r="AT24" s="27" t="n">
        <f aca="false">IF(COUNT(Soja!$E22:$Z22)=0,0,MAX(0,IF((AT$6-$E$3)&lt;1,0,IFERROR(LOOKUP(2,1/(Soja!$E22:INDEX(Soja!$E22:$Z22,MIN(AT$6-$E$3,22))&lt;&gt;""),Soja!$E22:INDEX(Soja!$E22:$Z22,MIN(AT$6-$E$3,22))),0))-IF($G$2,0,IF((AT$6-$G$3)&lt;1,0,IFERROR(LOOKUP(2,1/(Soja!$E22:INDEX(Soja!$E22:$Z22,MIN(AT$6-$G$3,22))&lt;&gt;""),Soja!$E22:INDEX(Soja!$E22:$Z22,MIN(AT$6-$G$3,22))),0)))))</f>
        <v>0</v>
      </c>
      <c r="AU24" s="27" t="n">
        <f aca="false">IF(COUNT(Soja!$E22:$Z22)=0,0,MAX(0,IF((AU$6-$E$3)&lt;1,0,IFERROR(LOOKUP(2,1/(Soja!$E22:INDEX(Soja!$E22:$Z22,MIN(AU$6-$E$3,22))&lt;&gt;""),Soja!$E22:INDEX(Soja!$E22:$Z22,MIN(AU$6-$E$3,22))),0))-IF($G$2,0,IF((AU$6-$G$3)&lt;1,0,IFERROR(LOOKUP(2,1/(Soja!$E22:INDEX(Soja!$E22:$Z22,MIN(AU$6-$G$3,22))&lt;&gt;""),Soja!$E22:INDEX(Soja!$E22:$Z22,MIN(AU$6-$G$3,22))),0)))))</f>
        <v>0</v>
      </c>
      <c r="AV24" s="27" t="n">
        <f aca="false">IF(COUNT(Soja!$E22:$Z22)=0,0,MAX(0,IF((AV$6-$E$3)&lt;1,0,IFERROR(LOOKUP(2,1/(Soja!$E22:INDEX(Soja!$E22:$Z22,MIN(AV$6-$E$3,22))&lt;&gt;""),Soja!$E22:INDEX(Soja!$E22:$Z22,MIN(AV$6-$E$3,22))),0))-IF($G$2,0,IF((AV$6-$G$3)&lt;1,0,IFERROR(LOOKUP(2,1/(Soja!$E22:INDEX(Soja!$E22:$Z22,MIN(AV$6-$G$3,22))&lt;&gt;""),Soja!$E22:INDEX(Soja!$E22:$Z22,MIN(AV$6-$G$3,22))),0)))))</f>
        <v>0</v>
      </c>
      <c r="AW24" s="27" t="n">
        <f aca="false">IF(COUNT(Soja!$E22:$Z22)=0,0,MAX(0,IF((AW$6-$E$3)&lt;1,0,IFERROR(LOOKUP(2,1/(Soja!$E22:INDEX(Soja!$E22:$Z22,MIN(AW$6-$E$3,22))&lt;&gt;""),Soja!$E22:INDEX(Soja!$E22:$Z22,MIN(AW$6-$E$3,22))),0))-IF($G$2,0,IF((AW$6-$G$3)&lt;1,0,IFERROR(LOOKUP(2,1/(Soja!$E22:INDEX(Soja!$E22:$Z22,MIN(AW$6-$G$3,22))&lt;&gt;""),Soja!$E22:INDEX(Soja!$E22:$Z22,MIN(AW$6-$G$3,22))),0)))))</f>
        <v>0</v>
      </c>
      <c r="AX24" s="27" t="n">
        <f aca="false">IF(COUNT(Soja!$E22:$Z22)=0,0,MAX(0,IF((AX$6-$E$3)&lt;1,0,IFERROR(LOOKUP(2,1/(Soja!$E22:INDEX(Soja!$E22:$Z22,MIN(AX$6-$E$3,22))&lt;&gt;""),Soja!$E22:INDEX(Soja!$E22:$Z22,MIN(AX$6-$E$3,22))),0))-IF($G$2,0,IF((AX$6-$G$3)&lt;1,0,IFERROR(LOOKUP(2,1/(Soja!$E22:INDEX(Soja!$E22:$Z22,MIN(AX$6-$G$3,22))&lt;&gt;""),Soja!$E22:INDEX(Soja!$E22:$Z22,MIN(AX$6-$G$3,22))),0)))))</f>
        <v>0</v>
      </c>
      <c r="AY24" s="27" t="n">
        <f aca="false">IF(COUNT(Soja!$E22:$Z22)=0,0,MAX(0,IF((AY$6-$E$3)&lt;1,0,IFERROR(LOOKUP(2,1/(Soja!$E22:INDEX(Soja!$E22:$Z22,MIN(AY$6-$E$3,22))&lt;&gt;""),Soja!$E22:INDEX(Soja!$E22:$Z22,MIN(AY$6-$E$3,22))),0))-IF($G$2,0,IF((AY$6-$G$3)&lt;1,0,IFERROR(LOOKUP(2,1/(Soja!$E22:INDEX(Soja!$E22:$Z22,MIN(AY$6-$G$3,22))&lt;&gt;""),Soja!$E22:INDEX(Soja!$E22:$Z22,MIN(AY$6-$G$3,22))),0)))))</f>
        <v>0</v>
      </c>
      <c r="AZ24" s="27" t="n">
        <f aca="false">IF(COUNT(Soja!$E22:$Z22)=0,0,MAX(0,IF((AZ$6-$E$3)&lt;1,0,IFERROR(LOOKUP(2,1/(Soja!$E22:INDEX(Soja!$E22:$Z22,MIN(AZ$6-$E$3,22))&lt;&gt;""),Soja!$E22:INDEX(Soja!$E22:$Z22,MIN(AZ$6-$E$3,22))),0))-IF($G$2,0,IF((AZ$6-$G$3)&lt;1,0,IFERROR(LOOKUP(2,1/(Soja!$E22:INDEX(Soja!$E22:$Z22,MIN(AZ$6-$G$3,22))&lt;&gt;""),Soja!$E22:INDEX(Soja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IF(COUNT(Soja!$E23:$Z23)&gt;0,N(Soja!$D23),0)</f>
        <v>0</v>
      </c>
      <c r="E25" s="27" t="n">
        <f aca="false">IF(COUNT(Soja!$E23:$Z23)=0,0,MAX(0,IF((E$6-$E$3)&lt;1,0,IFERROR(LOOKUP(2,1/(Soja!$E23:INDEX(Soja!$E23:$Z23,MIN(E$6-$E$3,22))&lt;&gt;""),Soja!$E23:INDEX(Soja!$E23:$Z23,MIN(E$6-$E$3,22))),0))-IF($G$2,0,IF((E$6-$G$3)&lt;1,0,IFERROR(LOOKUP(2,1/(Soja!$E23:INDEX(Soja!$E23:$Z23,MIN(E$6-$G$3,22))&lt;&gt;""),Soja!$E23:INDEX(Soja!$E23:$Z23,MIN(E$6-$G$3,22))),0)))))</f>
        <v>0</v>
      </c>
      <c r="F25" s="27" t="n">
        <f aca="false">IF(COUNT(Soja!$E23:$Z23)=0,0,MAX(0,IF((F$6-$E$3)&lt;1,0,IFERROR(LOOKUP(2,1/(Soja!$E23:INDEX(Soja!$E23:$Z23,MIN(F$6-$E$3,22))&lt;&gt;""),Soja!$E23:INDEX(Soja!$E23:$Z23,MIN(F$6-$E$3,22))),0))-IF($G$2,0,IF((F$6-$G$3)&lt;1,0,IFERROR(LOOKUP(2,1/(Soja!$E23:INDEX(Soja!$E23:$Z23,MIN(F$6-$G$3,22))&lt;&gt;""),Soja!$E23:INDEX(Soja!$E23:$Z23,MIN(F$6-$G$3,22))),0)))))</f>
        <v>0</v>
      </c>
      <c r="G25" s="27" t="n">
        <f aca="false">IF(COUNT(Soja!$E23:$Z23)=0,0,MAX(0,IF((G$6-$E$3)&lt;1,0,IFERROR(LOOKUP(2,1/(Soja!$E23:INDEX(Soja!$E23:$Z23,MIN(G$6-$E$3,22))&lt;&gt;""),Soja!$E23:INDEX(Soja!$E23:$Z23,MIN(G$6-$E$3,22))),0))-IF($G$2,0,IF((G$6-$G$3)&lt;1,0,IFERROR(LOOKUP(2,1/(Soja!$E23:INDEX(Soja!$E23:$Z23,MIN(G$6-$G$3,22))&lt;&gt;""),Soja!$E23:INDEX(Soja!$E23:$Z23,MIN(G$6-$G$3,22))),0)))))</f>
        <v>0</v>
      </c>
      <c r="H25" s="27" t="n">
        <f aca="false">IF(COUNT(Soja!$E23:$Z23)=0,0,MAX(0,IF((H$6-$E$3)&lt;1,0,IFERROR(LOOKUP(2,1/(Soja!$E23:INDEX(Soja!$E23:$Z23,MIN(H$6-$E$3,22))&lt;&gt;""),Soja!$E23:INDEX(Soja!$E23:$Z23,MIN(H$6-$E$3,22))),0))-IF($G$2,0,IF((H$6-$G$3)&lt;1,0,IFERROR(LOOKUP(2,1/(Soja!$E23:INDEX(Soja!$E23:$Z23,MIN(H$6-$G$3,22))&lt;&gt;""),Soja!$E23:INDEX(Soja!$E23:$Z23,MIN(H$6-$G$3,22))),0)))))</f>
        <v>0</v>
      </c>
      <c r="I25" s="27" t="n">
        <f aca="false">IF(COUNT(Soja!$E23:$Z23)=0,0,MAX(0,IF((I$6-$E$3)&lt;1,0,IFERROR(LOOKUP(2,1/(Soja!$E23:INDEX(Soja!$E23:$Z23,MIN(I$6-$E$3,22))&lt;&gt;""),Soja!$E23:INDEX(Soja!$E23:$Z23,MIN(I$6-$E$3,22))),0))-IF($G$2,0,IF((I$6-$G$3)&lt;1,0,IFERROR(LOOKUP(2,1/(Soja!$E23:INDEX(Soja!$E23:$Z23,MIN(I$6-$G$3,22))&lt;&gt;""),Soja!$E23:INDEX(Soja!$E23:$Z23,MIN(I$6-$G$3,22))),0)))))</f>
        <v>0</v>
      </c>
      <c r="J25" s="27" t="n">
        <f aca="false">IF(COUNT(Soja!$E23:$Z23)=0,0,MAX(0,IF((J$6-$E$3)&lt;1,0,IFERROR(LOOKUP(2,1/(Soja!$E23:INDEX(Soja!$E23:$Z23,MIN(J$6-$E$3,22))&lt;&gt;""),Soja!$E23:INDEX(Soja!$E23:$Z23,MIN(J$6-$E$3,22))),0))-IF($G$2,0,IF((J$6-$G$3)&lt;1,0,IFERROR(LOOKUP(2,1/(Soja!$E23:INDEX(Soja!$E23:$Z23,MIN(J$6-$G$3,22))&lt;&gt;""),Soja!$E23:INDEX(Soja!$E23:$Z23,MIN(J$6-$G$3,22))),0)))))</f>
        <v>0</v>
      </c>
      <c r="K25" s="27" t="n">
        <f aca="false">IF(COUNT(Soja!$E23:$Z23)=0,0,MAX(0,IF((K$6-$E$3)&lt;1,0,IFERROR(LOOKUP(2,1/(Soja!$E23:INDEX(Soja!$E23:$Z23,MIN(K$6-$E$3,22))&lt;&gt;""),Soja!$E23:INDEX(Soja!$E23:$Z23,MIN(K$6-$E$3,22))),0))-IF($G$2,0,IF((K$6-$G$3)&lt;1,0,IFERROR(LOOKUP(2,1/(Soja!$E23:INDEX(Soja!$E23:$Z23,MIN(K$6-$G$3,22))&lt;&gt;""),Soja!$E23:INDEX(Soja!$E23:$Z23,MIN(K$6-$G$3,22))),0)))))</f>
        <v>0</v>
      </c>
      <c r="L25" s="27" t="n">
        <f aca="false">IF(COUNT(Soja!$E23:$Z23)=0,0,MAX(0,IF((L$6-$E$3)&lt;1,0,IFERROR(LOOKUP(2,1/(Soja!$E23:INDEX(Soja!$E23:$Z23,MIN(L$6-$E$3,22))&lt;&gt;""),Soja!$E23:INDEX(Soja!$E23:$Z23,MIN(L$6-$E$3,22))),0))-IF($G$2,0,IF((L$6-$G$3)&lt;1,0,IFERROR(LOOKUP(2,1/(Soja!$E23:INDEX(Soja!$E23:$Z23,MIN(L$6-$G$3,22))&lt;&gt;""),Soja!$E23:INDEX(Soja!$E23:$Z23,MIN(L$6-$G$3,22))),0)))))</f>
        <v>0</v>
      </c>
      <c r="M25" s="27" t="n">
        <f aca="false">IF(COUNT(Soja!$E23:$Z23)=0,0,MAX(0,IF((M$6-$E$3)&lt;1,0,IFERROR(LOOKUP(2,1/(Soja!$E23:INDEX(Soja!$E23:$Z23,MIN(M$6-$E$3,22))&lt;&gt;""),Soja!$E23:INDEX(Soja!$E23:$Z23,MIN(M$6-$E$3,22))),0))-IF($G$2,0,IF((M$6-$G$3)&lt;1,0,IFERROR(LOOKUP(2,1/(Soja!$E23:INDEX(Soja!$E23:$Z23,MIN(M$6-$G$3,22))&lt;&gt;""),Soja!$E23:INDEX(Soja!$E23:$Z23,MIN(M$6-$G$3,22))),0)))))</f>
        <v>0</v>
      </c>
      <c r="N25" s="27" t="n">
        <f aca="false">IF(COUNT(Soja!$E23:$Z23)=0,0,MAX(0,IF((N$6-$E$3)&lt;1,0,IFERROR(LOOKUP(2,1/(Soja!$E23:INDEX(Soja!$E23:$Z23,MIN(N$6-$E$3,22))&lt;&gt;""),Soja!$E23:INDEX(Soja!$E23:$Z23,MIN(N$6-$E$3,22))),0))-IF($G$2,0,IF((N$6-$G$3)&lt;1,0,IFERROR(LOOKUP(2,1/(Soja!$E23:INDEX(Soja!$E23:$Z23,MIN(N$6-$G$3,22))&lt;&gt;""),Soja!$E23:INDEX(Soja!$E23:$Z23,MIN(N$6-$G$3,22))),0)))))</f>
        <v>0</v>
      </c>
      <c r="O25" s="27" t="n">
        <f aca="false">IF(COUNT(Soja!$E23:$Z23)=0,0,MAX(0,IF((O$6-$E$3)&lt;1,0,IFERROR(LOOKUP(2,1/(Soja!$E23:INDEX(Soja!$E23:$Z23,MIN(O$6-$E$3,22))&lt;&gt;""),Soja!$E23:INDEX(Soja!$E23:$Z23,MIN(O$6-$E$3,22))),0))-IF($G$2,0,IF((O$6-$G$3)&lt;1,0,IFERROR(LOOKUP(2,1/(Soja!$E23:INDEX(Soja!$E23:$Z23,MIN(O$6-$G$3,22))&lt;&gt;""),Soja!$E23:INDEX(Soja!$E23:$Z23,MIN(O$6-$G$3,22))),0)))))</f>
        <v>0</v>
      </c>
      <c r="P25" s="27" t="n">
        <f aca="false">IF(COUNT(Soja!$E23:$Z23)=0,0,MAX(0,IF((P$6-$E$3)&lt;1,0,IFERROR(LOOKUP(2,1/(Soja!$E23:INDEX(Soja!$E23:$Z23,MIN(P$6-$E$3,22))&lt;&gt;""),Soja!$E23:INDEX(Soja!$E23:$Z23,MIN(P$6-$E$3,22))),0))-IF($G$2,0,IF((P$6-$G$3)&lt;1,0,IFERROR(LOOKUP(2,1/(Soja!$E23:INDEX(Soja!$E23:$Z23,MIN(P$6-$G$3,22))&lt;&gt;""),Soja!$E23:INDEX(Soja!$E23:$Z23,MIN(P$6-$G$3,22))),0)))))</f>
        <v>0</v>
      </c>
      <c r="Q25" s="27" t="n">
        <f aca="false">IF(COUNT(Soja!$E23:$Z23)=0,0,MAX(0,IF((Q$6-$E$3)&lt;1,0,IFERROR(LOOKUP(2,1/(Soja!$E23:INDEX(Soja!$E23:$Z23,MIN(Q$6-$E$3,22))&lt;&gt;""),Soja!$E23:INDEX(Soja!$E23:$Z23,MIN(Q$6-$E$3,22))),0))-IF($G$2,0,IF((Q$6-$G$3)&lt;1,0,IFERROR(LOOKUP(2,1/(Soja!$E23:INDEX(Soja!$E23:$Z23,MIN(Q$6-$G$3,22))&lt;&gt;""),Soja!$E23:INDEX(Soja!$E23:$Z23,MIN(Q$6-$G$3,22))),0)))))</f>
        <v>0</v>
      </c>
      <c r="R25" s="27" t="n">
        <f aca="false">IF(COUNT(Soja!$E23:$Z23)=0,0,MAX(0,IF((R$6-$E$3)&lt;1,0,IFERROR(LOOKUP(2,1/(Soja!$E23:INDEX(Soja!$E23:$Z23,MIN(R$6-$E$3,22))&lt;&gt;""),Soja!$E23:INDEX(Soja!$E23:$Z23,MIN(R$6-$E$3,22))),0))-IF($G$2,0,IF((R$6-$G$3)&lt;1,0,IFERROR(LOOKUP(2,1/(Soja!$E23:INDEX(Soja!$E23:$Z23,MIN(R$6-$G$3,22))&lt;&gt;""),Soja!$E23:INDEX(Soja!$E23:$Z23,MIN(R$6-$G$3,22))),0)))))</f>
        <v>0</v>
      </c>
      <c r="S25" s="27" t="n">
        <f aca="false">IF(COUNT(Soja!$E23:$Z23)=0,0,MAX(0,IF((S$6-$E$3)&lt;1,0,IFERROR(LOOKUP(2,1/(Soja!$E23:INDEX(Soja!$E23:$Z23,MIN(S$6-$E$3,22))&lt;&gt;""),Soja!$E23:INDEX(Soja!$E23:$Z23,MIN(S$6-$E$3,22))),0))-IF($G$2,0,IF((S$6-$G$3)&lt;1,0,IFERROR(LOOKUP(2,1/(Soja!$E23:INDEX(Soja!$E23:$Z23,MIN(S$6-$G$3,22))&lt;&gt;""),Soja!$E23:INDEX(Soja!$E23:$Z23,MIN(S$6-$G$3,22))),0)))))</f>
        <v>0</v>
      </c>
      <c r="T25" s="27" t="n">
        <f aca="false">IF(COUNT(Soja!$E23:$Z23)=0,0,MAX(0,IF((T$6-$E$3)&lt;1,0,IFERROR(LOOKUP(2,1/(Soja!$E23:INDEX(Soja!$E23:$Z23,MIN(T$6-$E$3,22))&lt;&gt;""),Soja!$E23:INDEX(Soja!$E23:$Z23,MIN(T$6-$E$3,22))),0))-IF($G$2,0,IF((T$6-$G$3)&lt;1,0,IFERROR(LOOKUP(2,1/(Soja!$E23:INDEX(Soja!$E23:$Z23,MIN(T$6-$G$3,22))&lt;&gt;""),Soja!$E23:INDEX(Soja!$E23:$Z23,MIN(T$6-$G$3,22))),0)))))</f>
        <v>0</v>
      </c>
      <c r="U25" s="27" t="n">
        <f aca="false">IF(COUNT(Soja!$E23:$Z23)=0,0,MAX(0,IF((U$6-$E$3)&lt;1,0,IFERROR(LOOKUP(2,1/(Soja!$E23:INDEX(Soja!$E23:$Z23,MIN(U$6-$E$3,22))&lt;&gt;""),Soja!$E23:INDEX(Soja!$E23:$Z23,MIN(U$6-$E$3,22))),0))-IF($G$2,0,IF((U$6-$G$3)&lt;1,0,IFERROR(LOOKUP(2,1/(Soja!$E23:INDEX(Soja!$E23:$Z23,MIN(U$6-$G$3,22))&lt;&gt;""),Soja!$E23:INDEX(Soja!$E23:$Z23,MIN(U$6-$G$3,22))),0)))))</f>
        <v>0</v>
      </c>
      <c r="V25" s="27" t="n">
        <f aca="false">IF(COUNT(Soja!$E23:$Z23)=0,0,MAX(0,IF((V$6-$E$3)&lt;1,0,IFERROR(LOOKUP(2,1/(Soja!$E23:INDEX(Soja!$E23:$Z23,MIN(V$6-$E$3,22))&lt;&gt;""),Soja!$E23:INDEX(Soja!$E23:$Z23,MIN(V$6-$E$3,22))),0))-IF($G$2,0,IF((V$6-$G$3)&lt;1,0,IFERROR(LOOKUP(2,1/(Soja!$E23:INDEX(Soja!$E23:$Z23,MIN(V$6-$G$3,22))&lt;&gt;""),Soja!$E23:INDEX(Soja!$E23:$Z23,MIN(V$6-$G$3,22))),0)))))</f>
        <v>0</v>
      </c>
      <c r="W25" s="27" t="n">
        <f aca="false">IF(COUNT(Soja!$E23:$Z23)=0,0,MAX(0,IF((W$6-$E$3)&lt;1,0,IFERROR(LOOKUP(2,1/(Soja!$E23:INDEX(Soja!$E23:$Z23,MIN(W$6-$E$3,22))&lt;&gt;""),Soja!$E23:INDEX(Soja!$E23:$Z23,MIN(W$6-$E$3,22))),0))-IF($G$2,0,IF((W$6-$G$3)&lt;1,0,IFERROR(LOOKUP(2,1/(Soja!$E23:INDEX(Soja!$E23:$Z23,MIN(W$6-$G$3,22))&lt;&gt;""),Soja!$E23:INDEX(Soja!$E23:$Z23,MIN(W$6-$G$3,22))),0)))))</f>
        <v>0</v>
      </c>
      <c r="X25" s="27" t="n">
        <f aca="false">IF(COUNT(Soja!$E23:$Z23)=0,0,MAX(0,IF((X$6-$E$3)&lt;1,0,IFERROR(LOOKUP(2,1/(Soja!$E23:INDEX(Soja!$E23:$Z23,MIN(X$6-$E$3,22))&lt;&gt;""),Soja!$E23:INDEX(Soja!$E23:$Z23,MIN(X$6-$E$3,22))),0))-IF($G$2,0,IF((X$6-$G$3)&lt;1,0,IFERROR(LOOKUP(2,1/(Soja!$E23:INDEX(Soja!$E23:$Z23,MIN(X$6-$G$3,22))&lt;&gt;""),Soja!$E23:INDEX(Soja!$E23:$Z23,MIN(X$6-$G$3,22))),0)))))</f>
        <v>0</v>
      </c>
      <c r="Y25" s="27" t="n">
        <f aca="false">IF(COUNT(Soja!$E23:$Z23)=0,0,MAX(0,IF((Y$6-$E$3)&lt;1,0,IFERROR(LOOKUP(2,1/(Soja!$E23:INDEX(Soja!$E23:$Z23,MIN(Y$6-$E$3,22))&lt;&gt;""),Soja!$E23:INDEX(Soja!$E23:$Z23,MIN(Y$6-$E$3,22))),0))-IF($G$2,0,IF((Y$6-$G$3)&lt;1,0,IFERROR(LOOKUP(2,1/(Soja!$E23:INDEX(Soja!$E23:$Z23,MIN(Y$6-$G$3,22))&lt;&gt;""),Soja!$E23:INDEX(Soja!$E23:$Z23,MIN(Y$6-$G$3,22))),0)))))</f>
        <v>0</v>
      </c>
      <c r="Z25" s="27" t="n">
        <f aca="false">IF(COUNT(Soja!$E23:$Z23)=0,0,MAX(0,IF((Z$6-$E$3)&lt;1,0,IFERROR(LOOKUP(2,1/(Soja!$E23:INDEX(Soja!$E23:$Z23,MIN(Z$6-$E$3,22))&lt;&gt;""),Soja!$E23:INDEX(Soja!$E23:$Z23,MIN(Z$6-$E$3,22))),0))-IF($G$2,0,IF((Z$6-$G$3)&lt;1,0,IFERROR(LOOKUP(2,1/(Soja!$E23:INDEX(Soja!$E23:$Z23,MIN(Z$6-$G$3,22))&lt;&gt;""),Soja!$E23:INDEX(Soja!$E23:$Z23,MIN(Z$6-$G$3,22))),0)))))</f>
        <v>0</v>
      </c>
      <c r="AA25" s="27" t="n">
        <f aca="false">IF(COUNT(Soja!$E23:$Z23)=0,0,MAX(0,IF((AA$6-$E$3)&lt;1,0,IFERROR(LOOKUP(2,1/(Soja!$E23:INDEX(Soja!$E23:$Z23,MIN(AA$6-$E$3,22))&lt;&gt;""),Soja!$E23:INDEX(Soja!$E23:$Z23,MIN(AA$6-$E$3,22))),0))-IF($G$2,0,IF((AA$6-$G$3)&lt;1,0,IFERROR(LOOKUP(2,1/(Soja!$E23:INDEX(Soja!$E23:$Z23,MIN(AA$6-$G$3,22))&lt;&gt;""),Soja!$E23:INDEX(Soja!$E23:$Z23,MIN(AA$6-$G$3,22))),0)))))</f>
        <v>0</v>
      </c>
      <c r="AB25" s="27" t="n">
        <f aca="false">IF(COUNT(Soja!$E23:$Z23)=0,0,MAX(0,IF((AB$6-$E$3)&lt;1,0,IFERROR(LOOKUP(2,1/(Soja!$E23:INDEX(Soja!$E23:$Z23,MIN(AB$6-$E$3,22))&lt;&gt;""),Soja!$E23:INDEX(Soja!$E23:$Z23,MIN(AB$6-$E$3,22))),0))-IF($G$2,0,IF((AB$6-$G$3)&lt;1,0,IFERROR(LOOKUP(2,1/(Soja!$E23:INDEX(Soja!$E23:$Z23,MIN(AB$6-$G$3,22))&lt;&gt;""),Soja!$E23:INDEX(Soja!$E23:$Z23,MIN(AB$6-$G$3,22))),0)))))</f>
        <v>0</v>
      </c>
      <c r="AC25" s="27" t="n">
        <f aca="false">IF(COUNT(Soja!$E23:$Z23)=0,0,MAX(0,IF((AC$6-$E$3)&lt;1,0,IFERROR(LOOKUP(2,1/(Soja!$E23:INDEX(Soja!$E23:$Z23,MIN(AC$6-$E$3,22))&lt;&gt;""),Soja!$E23:INDEX(Soja!$E23:$Z23,MIN(AC$6-$E$3,22))),0))-IF($G$2,0,IF((AC$6-$G$3)&lt;1,0,IFERROR(LOOKUP(2,1/(Soja!$E23:INDEX(Soja!$E23:$Z23,MIN(AC$6-$G$3,22))&lt;&gt;""),Soja!$E23:INDEX(Soja!$E23:$Z23,MIN(AC$6-$G$3,22))),0)))))</f>
        <v>0</v>
      </c>
      <c r="AD25" s="27" t="n">
        <f aca="false">IF(COUNT(Soja!$E23:$Z23)=0,0,MAX(0,IF((AD$6-$E$3)&lt;1,0,IFERROR(LOOKUP(2,1/(Soja!$E23:INDEX(Soja!$E23:$Z23,MIN(AD$6-$E$3,22))&lt;&gt;""),Soja!$E23:INDEX(Soja!$E23:$Z23,MIN(AD$6-$E$3,22))),0))-IF($G$2,0,IF((AD$6-$G$3)&lt;1,0,IFERROR(LOOKUP(2,1/(Soja!$E23:INDEX(Soja!$E23:$Z23,MIN(AD$6-$G$3,22))&lt;&gt;""),Soja!$E23:INDEX(Soja!$E23:$Z23,MIN(AD$6-$G$3,22))),0)))))</f>
        <v>0</v>
      </c>
      <c r="AE25" s="27" t="n">
        <f aca="false">IF(COUNT(Soja!$E23:$Z23)=0,0,MAX(0,IF((AE$6-$E$3)&lt;1,0,IFERROR(LOOKUP(2,1/(Soja!$E23:INDEX(Soja!$E23:$Z23,MIN(AE$6-$E$3,22))&lt;&gt;""),Soja!$E23:INDEX(Soja!$E23:$Z23,MIN(AE$6-$E$3,22))),0))-IF($G$2,0,IF((AE$6-$G$3)&lt;1,0,IFERROR(LOOKUP(2,1/(Soja!$E23:INDEX(Soja!$E23:$Z23,MIN(AE$6-$G$3,22))&lt;&gt;""),Soja!$E23:INDEX(Soja!$E23:$Z23,MIN(AE$6-$G$3,22))),0)))))</f>
        <v>0</v>
      </c>
      <c r="AF25" s="27" t="n">
        <f aca="false">IF(COUNT(Soja!$E23:$Z23)=0,0,MAX(0,IF((AF$6-$E$3)&lt;1,0,IFERROR(LOOKUP(2,1/(Soja!$E23:INDEX(Soja!$E23:$Z23,MIN(AF$6-$E$3,22))&lt;&gt;""),Soja!$E23:INDEX(Soja!$E23:$Z23,MIN(AF$6-$E$3,22))),0))-IF($G$2,0,IF((AF$6-$G$3)&lt;1,0,IFERROR(LOOKUP(2,1/(Soja!$E23:INDEX(Soja!$E23:$Z23,MIN(AF$6-$G$3,22))&lt;&gt;""),Soja!$E23:INDEX(Soja!$E23:$Z23,MIN(AF$6-$G$3,22))),0)))))</f>
        <v>0</v>
      </c>
      <c r="AG25" s="27" t="n">
        <f aca="false">IF(COUNT(Soja!$E23:$Z23)=0,0,MAX(0,IF((AG$6-$E$3)&lt;1,0,IFERROR(LOOKUP(2,1/(Soja!$E23:INDEX(Soja!$E23:$Z23,MIN(AG$6-$E$3,22))&lt;&gt;""),Soja!$E23:INDEX(Soja!$E23:$Z23,MIN(AG$6-$E$3,22))),0))-IF($G$2,0,IF((AG$6-$G$3)&lt;1,0,IFERROR(LOOKUP(2,1/(Soja!$E23:INDEX(Soja!$E23:$Z23,MIN(AG$6-$G$3,22))&lt;&gt;""),Soja!$E23:INDEX(Soja!$E23:$Z23,MIN(AG$6-$G$3,22))),0)))))</f>
        <v>0</v>
      </c>
      <c r="AH25" s="27" t="n">
        <f aca="false">IF(COUNT(Soja!$E23:$Z23)=0,0,MAX(0,IF((AH$6-$E$3)&lt;1,0,IFERROR(LOOKUP(2,1/(Soja!$E23:INDEX(Soja!$E23:$Z23,MIN(AH$6-$E$3,22))&lt;&gt;""),Soja!$E23:INDEX(Soja!$E23:$Z23,MIN(AH$6-$E$3,22))),0))-IF($G$2,0,IF((AH$6-$G$3)&lt;1,0,IFERROR(LOOKUP(2,1/(Soja!$E23:INDEX(Soja!$E23:$Z23,MIN(AH$6-$G$3,22))&lt;&gt;""),Soja!$E23:INDEX(Soja!$E23:$Z23,MIN(AH$6-$G$3,22))),0)))))</f>
        <v>0</v>
      </c>
      <c r="AI25" s="27" t="n">
        <f aca="false">IF(COUNT(Soja!$E23:$Z23)=0,0,MAX(0,IF((AI$6-$E$3)&lt;1,0,IFERROR(LOOKUP(2,1/(Soja!$E23:INDEX(Soja!$E23:$Z23,MIN(AI$6-$E$3,22))&lt;&gt;""),Soja!$E23:INDEX(Soja!$E23:$Z23,MIN(AI$6-$E$3,22))),0))-IF($G$2,0,IF((AI$6-$G$3)&lt;1,0,IFERROR(LOOKUP(2,1/(Soja!$E23:INDEX(Soja!$E23:$Z23,MIN(AI$6-$G$3,22))&lt;&gt;""),Soja!$E23:INDEX(Soja!$E23:$Z23,MIN(AI$6-$G$3,22))),0)))))</f>
        <v>0</v>
      </c>
      <c r="AJ25" s="27" t="n">
        <f aca="false">IF(COUNT(Soja!$E23:$Z23)=0,0,MAX(0,IF((AJ$6-$E$3)&lt;1,0,IFERROR(LOOKUP(2,1/(Soja!$E23:INDEX(Soja!$E23:$Z23,MIN(AJ$6-$E$3,22))&lt;&gt;""),Soja!$E23:INDEX(Soja!$E23:$Z23,MIN(AJ$6-$E$3,22))),0))-IF($G$2,0,IF((AJ$6-$G$3)&lt;1,0,IFERROR(LOOKUP(2,1/(Soja!$E23:INDEX(Soja!$E23:$Z23,MIN(AJ$6-$G$3,22))&lt;&gt;""),Soja!$E23:INDEX(Soja!$E23:$Z23,MIN(AJ$6-$G$3,22))),0)))))</f>
        <v>0</v>
      </c>
      <c r="AK25" s="27" t="n">
        <f aca="false">IF(COUNT(Soja!$E23:$Z23)=0,0,MAX(0,IF((AK$6-$E$3)&lt;1,0,IFERROR(LOOKUP(2,1/(Soja!$E23:INDEX(Soja!$E23:$Z23,MIN(AK$6-$E$3,22))&lt;&gt;""),Soja!$E23:INDEX(Soja!$E23:$Z23,MIN(AK$6-$E$3,22))),0))-IF($G$2,0,IF((AK$6-$G$3)&lt;1,0,IFERROR(LOOKUP(2,1/(Soja!$E23:INDEX(Soja!$E23:$Z23,MIN(AK$6-$G$3,22))&lt;&gt;""),Soja!$E23:INDEX(Soja!$E23:$Z23,MIN(AK$6-$G$3,22))),0)))))</f>
        <v>0</v>
      </c>
      <c r="AL25" s="27" t="n">
        <f aca="false">IF(COUNT(Soja!$E23:$Z23)=0,0,MAX(0,IF((AL$6-$E$3)&lt;1,0,IFERROR(LOOKUP(2,1/(Soja!$E23:INDEX(Soja!$E23:$Z23,MIN(AL$6-$E$3,22))&lt;&gt;""),Soja!$E23:INDEX(Soja!$E23:$Z23,MIN(AL$6-$E$3,22))),0))-IF($G$2,0,IF((AL$6-$G$3)&lt;1,0,IFERROR(LOOKUP(2,1/(Soja!$E23:INDEX(Soja!$E23:$Z23,MIN(AL$6-$G$3,22))&lt;&gt;""),Soja!$E23:INDEX(Soja!$E23:$Z23,MIN(AL$6-$G$3,22))),0)))))</f>
        <v>0</v>
      </c>
      <c r="AM25" s="27" t="n">
        <f aca="false">IF(COUNT(Soja!$E23:$Z23)=0,0,MAX(0,IF((AM$6-$E$3)&lt;1,0,IFERROR(LOOKUP(2,1/(Soja!$E23:INDEX(Soja!$E23:$Z23,MIN(AM$6-$E$3,22))&lt;&gt;""),Soja!$E23:INDEX(Soja!$E23:$Z23,MIN(AM$6-$E$3,22))),0))-IF($G$2,0,IF((AM$6-$G$3)&lt;1,0,IFERROR(LOOKUP(2,1/(Soja!$E23:INDEX(Soja!$E23:$Z23,MIN(AM$6-$G$3,22))&lt;&gt;""),Soja!$E23:INDEX(Soja!$E23:$Z23,MIN(AM$6-$G$3,22))),0)))))</f>
        <v>0</v>
      </c>
      <c r="AN25" s="27" t="n">
        <f aca="false">IF(COUNT(Soja!$E23:$Z23)=0,0,MAX(0,IF((AN$6-$E$3)&lt;1,0,IFERROR(LOOKUP(2,1/(Soja!$E23:INDEX(Soja!$E23:$Z23,MIN(AN$6-$E$3,22))&lt;&gt;""),Soja!$E23:INDEX(Soja!$E23:$Z23,MIN(AN$6-$E$3,22))),0))-IF($G$2,0,IF((AN$6-$G$3)&lt;1,0,IFERROR(LOOKUP(2,1/(Soja!$E23:INDEX(Soja!$E23:$Z23,MIN(AN$6-$G$3,22))&lt;&gt;""),Soja!$E23:INDEX(Soja!$E23:$Z23,MIN(AN$6-$G$3,22))),0)))))</f>
        <v>0</v>
      </c>
      <c r="AO25" s="27" t="n">
        <f aca="false">IF(COUNT(Soja!$E23:$Z23)=0,0,MAX(0,IF((AO$6-$E$3)&lt;1,0,IFERROR(LOOKUP(2,1/(Soja!$E23:INDEX(Soja!$E23:$Z23,MIN(AO$6-$E$3,22))&lt;&gt;""),Soja!$E23:INDEX(Soja!$E23:$Z23,MIN(AO$6-$E$3,22))),0))-IF($G$2,0,IF((AO$6-$G$3)&lt;1,0,IFERROR(LOOKUP(2,1/(Soja!$E23:INDEX(Soja!$E23:$Z23,MIN(AO$6-$G$3,22))&lt;&gt;""),Soja!$E23:INDEX(Soja!$E23:$Z23,MIN(AO$6-$G$3,22))),0)))))</f>
        <v>0</v>
      </c>
      <c r="AP25" s="27" t="n">
        <f aca="false">IF(COUNT(Soja!$E23:$Z23)=0,0,MAX(0,IF((AP$6-$E$3)&lt;1,0,IFERROR(LOOKUP(2,1/(Soja!$E23:INDEX(Soja!$E23:$Z23,MIN(AP$6-$E$3,22))&lt;&gt;""),Soja!$E23:INDEX(Soja!$E23:$Z23,MIN(AP$6-$E$3,22))),0))-IF($G$2,0,IF((AP$6-$G$3)&lt;1,0,IFERROR(LOOKUP(2,1/(Soja!$E23:INDEX(Soja!$E23:$Z23,MIN(AP$6-$G$3,22))&lt;&gt;""),Soja!$E23:INDEX(Soja!$E23:$Z23,MIN(AP$6-$G$3,22))),0)))))</f>
        <v>0</v>
      </c>
      <c r="AQ25" s="27" t="n">
        <f aca="false">IF(COUNT(Soja!$E23:$Z23)=0,0,MAX(0,IF((AQ$6-$E$3)&lt;1,0,IFERROR(LOOKUP(2,1/(Soja!$E23:INDEX(Soja!$E23:$Z23,MIN(AQ$6-$E$3,22))&lt;&gt;""),Soja!$E23:INDEX(Soja!$E23:$Z23,MIN(AQ$6-$E$3,22))),0))-IF($G$2,0,IF((AQ$6-$G$3)&lt;1,0,IFERROR(LOOKUP(2,1/(Soja!$E23:INDEX(Soja!$E23:$Z23,MIN(AQ$6-$G$3,22))&lt;&gt;""),Soja!$E23:INDEX(Soja!$E23:$Z23,MIN(AQ$6-$G$3,22))),0)))))</f>
        <v>0</v>
      </c>
      <c r="AR25" s="27" t="n">
        <f aca="false">IF(COUNT(Soja!$E23:$Z23)=0,0,MAX(0,IF((AR$6-$E$3)&lt;1,0,IFERROR(LOOKUP(2,1/(Soja!$E23:INDEX(Soja!$E23:$Z23,MIN(AR$6-$E$3,22))&lt;&gt;""),Soja!$E23:INDEX(Soja!$E23:$Z23,MIN(AR$6-$E$3,22))),0))-IF($G$2,0,IF((AR$6-$G$3)&lt;1,0,IFERROR(LOOKUP(2,1/(Soja!$E23:INDEX(Soja!$E23:$Z23,MIN(AR$6-$G$3,22))&lt;&gt;""),Soja!$E23:INDEX(Soja!$E23:$Z23,MIN(AR$6-$G$3,22))),0)))))</f>
        <v>0</v>
      </c>
      <c r="AS25" s="27" t="n">
        <f aca="false">IF(COUNT(Soja!$E23:$Z23)=0,0,MAX(0,IF((AS$6-$E$3)&lt;1,0,IFERROR(LOOKUP(2,1/(Soja!$E23:INDEX(Soja!$E23:$Z23,MIN(AS$6-$E$3,22))&lt;&gt;""),Soja!$E23:INDEX(Soja!$E23:$Z23,MIN(AS$6-$E$3,22))),0))-IF($G$2,0,IF((AS$6-$G$3)&lt;1,0,IFERROR(LOOKUP(2,1/(Soja!$E23:INDEX(Soja!$E23:$Z23,MIN(AS$6-$G$3,22))&lt;&gt;""),Soja!$E23:INDEX(Soja!$E23:$Z23,MIN(AS$6-$G$3,22))),0)))))</f>
        <v>0</v>
      </c>
      <c r="AT25" s="27" t="n">
        <f aca="false">IF(COUNT(Soja!$E23:$Z23)=0,0,MAX(0,IF((AT$6-$E$3)&lt;1,0,IFERROR(LOOKUP(2,1/(Soja!$E23:INDEX(Soja!$E23:$Z23,MIN(AT$6-$E$3,22))&lt;&gt;""),Soja!$E23:INDEX(Soja!$E23:$Z23,MIN(AT$6-$E$3,22))),0))-IF($G$2,0,IF((AT$6-$G$3)&lt;1,0,IFERROR(LOOKUP(2,1/(Soja!$E23:INDEX(Soja!$E23:$Z23,MIN(AT$6-$G$3,22))&lt;&gt;""),Soja!$E23:INDEX(Soja!$E23:$Z23,MIN(AT$6-$G$3,22))),0)))))</f>
        <v>0</v>
      </c>
      <c r="AU25" s="27" t="n">
        <f aca="false">IF(COUNT(Soja!$E23:$Z23)=0,0,MAX(0,IF((AU$6-$E$3)&lt;1,0,IFERROR(LOOKUP(2,1/(Soja!$E23:INDEX(Soja!$E23:$Z23,MIN(AU$6-$E$3,22))&lt;&gt;""),Soja!$E23:INDEX(Soja!$E23:$Z23,MIN(AU$6-$E$3,22))),0))-IF($G$2,0,IF((AU$6-$G$3)&lt;1,0,IFERROR(LOOKUP(2,1/(Soja!$E23:INDEX(Soja!$E23:$Z23,MIN(AU$6-$G$3,22))&lt;&gt;""),Soja!$E23:INDEX(Soja!$E23:$Z23,MIN(AU$6-$G$3,22))),0)))))</f>
        <v>0</v>
      </c>
      <c r="AV25" s="27" t="n">
        <f aca="false">IF(COUNT(Soja!$E23:$Z23)=0,0,MAX(0,IF((AV$6-$E$3)&lt;1,0,IFERROR(LOOKUP(2,1/(Soja!$E23:INDEX(Soja!$E23:$Z23,MIN(AV$6-$E$3,22))&lt;&gt;""),Soja!$E23:INDEX(Soja!$E23:$Z23,MIN(AV$6-$E$3,22))),0))-IF($G$2,0,IF((AV$6-$G$3)&lt;1,0,IFERROR(LOOKUP(2,1/(Soja!$E23:INDEX(Soja!$E23:$Z23,MIN(AV$6-$G$3,22))&lt;&gt;""),Soja!$E23:INDEX(Soja!$E23:$Z23,MIN(AV$6-$G$3,22))),0)))))</f>
        <v>0</v>
      </c>
      <c r="AW25" s="27" t="n">
        <f aca="false">IF(COUNT(Soja!$E23:$Z23)=0,0,MAX(0,IF((AW$6-$E$3)&lt;1,0,IFERROR(LOOKUP(2,1/(Soja!$E23:INDEX(Soja!$E23:$Z23,MIN(AW$6-$E$3,22))&lt;&gt;""),Soja!$E23:INDEX(Soja!$E23:$Z23,MIN(AW$6-$E$3,22))),0))-IF($G$2,0,IF((AW$6-$G$3)&lt;1,0,IFERROR(LOOKUP(2,1/(Soja!$E23:INDEX(Soja!$E23:$Z23,MIN(AW$6-$G$3,22))&lt;&gt;""),Soja!$E23:INDEX(Soja!$E23:$Z23,MIN(AW$6-$G$3,22))),0)))))</f>
        <v>0</v>
      </c>
      <c r="AX25" s="27" t="n">
        <f aca="false">IF(COUNT(Soja!$E23:$Z23)=0,0,MAX(0,IF((AX$6-$E$3)&lt;1,0,IFERROR(LOOKUP(2,1/(Soja!$E23:INDEX(Soja!$E23:$Z23,MIN(AX$6-$E$3,22))&lt;&gt;""),Soja!$E23:INDEX(Soja!$E23:$Z23,MIN(AX$6-$E$3,22))),0))-IF($G$2,0,IF((AX$6-$G$3)&lt;1,0,IFERROR(LOOKUP(2,1/(Soja!$E23:INDEX(Soja!$E23:$Z23,MIN(AX$6-$G$3,22))&lt;&gt;""),Soja!$E23:INDEX(Soja!$E23:$Z23,MIN(AX$6-$G$3,22))),0)))))</f>
        <v>0</v>
      </c>
      <c r="AY25" s="27" t="n">
        <f aca="false">IF(COUNT(Soja!$E23:$Z23)=0,0,MAX(0,IF((AY$6-$E$3)&lt;1,0,IFERROR(LOOKUP(2,1/(Soja!$E23:INDEX(Soja!$E23:$Z23,MIN(AY$6-$E$3,22))&lt;&gt;""),Soja!$E23:INDEX(Soja!$E23:$Z23,MIN(AY$6-$E$3,22))),0))-IF($G$2,0,IF((AY$6-$G$3)&lt;1,0,IFERROR(LOOKUP(2,1/(Soja!$E23:INDEX(Soja!$E23:$Z23,MIN(AY$6-$G$3,22))&lt;&gt;""),Soja!$E23:INDEX(Soja!$E23:$Z23,MIN(AY$6-$G$3,22))),0)))))</f>
        <v>0</v>
      </c>
      <c r="AZ25" s="27" t="n">
        <f aca="false">IF(COUNT(Soja!$E23:$Z23)=0,0,MAX(0,IF((AZ$6-$E$3)&lt;1,0,IFERROR(LOOKUP(2,1/(Soja!$E23:INDEX(Soja!$E23:$Z23,MIN(AZ$6-$E$3,22))&lt;&gt;""),Soja!$E23:INDEX(Soja!$E23:$Z23,MIN(AZ$6-$E$3,22))),0))-IF($G$2,0,IF((AZ$6-$G$3)&lt;1,0,IFERROR(LOOKUP(2,1/(Soja!$E23:INDEX(Soja!$E23:$Z23,MIN(AZ$6-$G$3,22))&lt;&gt;""),Soja!$E23:INDEX(Soja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IF(COUNT(Soja!$E24:$Z24)&gt;0,N(Soja!$D24),0)</f>
        <v>0</v>
      </c>
      <c r="E26" s="27" t="n">
        <f aca="false">IF(COUNT(Soja!$E24:$Z24)=0,0,MAX(0,IF((E$6-$E$3)&lt;1,0,IFERROR(LOOKUP(2,1/(Soja!$E24:INDEX(Soja!$E24:$Z24,MIN(E$6-$E$3,22))&lt;&gt;""),Soja!$E24:INDEX(Soja!$E24:$Z24,MIN(E$6-$E$3,22))),0))-IF($G$2,0,IF((E$6-$G$3)&lt;1,0,IFERROR(LOOKUP(2,1/(Soja!$E24:INDEX(Soja!$E24:$Z24,MIN(E$6-$G$3,22))&lt;&gt;""),Soja!$E24:INDEX(Soja!$E24:$Z24,MIN(E$6-$G$3,22))),0)))))</f>
        <v>0</v>
      </c>
      <c r="F26" s="27" t="n">
        <f aca="false">IF(COUNT(Soja!$E24:$Z24)=0,0,MAX(0,IF((F$6-$E$3)&lt;1,0,IFERROR(LOOKUP(2,1/(Soja!$E24:INDEX(Soja!$E24:$Z24,MIN(F$6-$E$3,22))&lt;&gt;""),Soja!$E24:INDEX(Soja!$E24:$Z24,MIN(F$6-$E$3,22))),0))-IF($G$2,0,IF((F$6-$G$3)&lt;1,0,IFERROR(LOOKUP(2,1/(Soja!$E24:INDEX(Soja!$E24:$Z24,MIN(F$6-$G$3,22))&lt;&gt;""),Soja!$E24:INDEX(Soja!$E24:$Z24,MIN(F$6-$G$3,22))),0)))))</f>
        <v>0</v>
      </c>
      <c r="G26" s="27" t="n">
        <f aca="false">IF(COUNT(Soja!$E24:$Z24)=0,0,MAX(0,IF((G$6-$E$3)&lt;1,0,IFERROR(LOOKUP(2,1/(Soja!$E24:INDEX(Soja!$E24:$Z24,MIN(G$6-$E$3,22))&lt;&gt;""),Soja!$E24:INDEX(Soja!$E24:$Z24,MIN(G$6-$E$3,22))),0))-IF($G$2,0,IF((G$6-$G$3)&lt;1,0,IFERROR(LOOKUP(2,1/(Soja!$E24:INDEX(Soja!$E24:$Z24,MIN(G$6-$G$3,22))&lt;&gt;""),Soja!$E24:INDEX(Soja!$E24:$Z24,MIN(G$6-$G$3,22))),0)))))</f>
        <v>0</v>
      </c>
      <c r="H26" s="27" t="n">
        <f aca="false">IF(COUNT(Soja!$E24:$Z24)=0,0,MAX(0,IF((H$6-$E$3)&lt;1,0,IFERROR(LOOKUP(2,1/(Soja!$E24:INDEX(Soja!$E24:$Z24,MIN(H$6-$E$3,22))&lt;&gt;""),Soja!$E24:INDEX(Soja!$E24:$Z24,MIN(H$6-$E$3,22))),0))-IF($G$2,0,IF((H$6-$G$3)&lt;1,0,IFERROR(LOOKUP(2,1/(Soja!$E24:INDEX(Soja!$E24:$Z24,MIN(H$6-$G$3,22))&lt;&gt;""),Soja!$E24:INDEX(Soja!$E24:$Z24,MIN(H$6-$G$3,22))),0)))))</f>
        <v>0</v>
      </c>
      <c r="I26" s="27" t="n">
        <f aca="false">IF(COUNT(Soja!$E24:$Z24)=0,0,MAX(0,IF((I$6-$E$3)&lt;1,0,IFERROR(LOOKUP(2,1/(Soja!$E24:INDEX(Soja!$E24:$Z24,MIN(I$6-$E$3,22))&lt;&gt;""),Soja!$E24:INDEX(Soja!$E24:$Z24,MIN(I$6-$E$3,22))),0))-IF($G$2,0,IF((I$6-$G$3)&lt;1,0,IFERROR(LOOKUP(2,1/(Soja!$E24:INDEX(Soja!$E24:$Z24,MIN(I$6-$G$3,22))&lt;&gt;""),Soja!$E24:INDEX(Soja!$E24:$Z24,MIN(I$6-$G$3,22))),0)))))</f>
        <v>0</v>
      </c>
      <c r="J26" s="27" t="n">
        <f aca="false">IF(COUNT(Soja!$E24:$Z24)=0,0,MAX(0,IF((J$6-$E$3)&lt;1,0,IFERROR(LOOKUP(2,1/(Soja!$E24:INDEX(Soja!$E24:$Z24,MIN(J$6-$E$3,22))&lt;&gt;""),Soja!$E24:INDEX(Soja!$E24:$Z24,MIN(J$6-$E$3,22))),0))-IF($G$2,0,IF((J$6-$G$3)&lt;1,0,IFERROR(LOOKUP(2,1/(Soja!$E24:INDEX(Soja!$E24:$Z24,MIN(J$6-$G$3,22))&lt;&gt;""),Soja!$E24:INDEX(Soja!$E24:$Z24,MIN(J$6-$G$3,22))),0)))))</f>
        <v>0</v>
      </c>
      <c r="K26" s="27" t="n">
        <f aca="false">IF(COUNT(Soja!$E24:$Z24)=0,0,MAX(0,IF((K$6-$E$3)&lt;1,0,IFERROR(LOOKUP(2,1/(Soja!$E24:INDEX(Soja!$E24:$Z24,MIN(K$6-$E$3,22))&lt;&gt;""),Soja!$E24:INDEX(Soja!$E24:$Z24,MIN(K$6-$E$3,22))),0))-IF($G$2,0,IF((K$6-$G$3)&lt;1,0,IFERROR(LOOKUP(2,1/(Soja!$E24:INDEX(Soja!$E24:$Z24,MIN(K$6-$G$3,22))&lt;&gt;""),Soja!$E24:INDEX(Soja!$E24:$Z24,MIN(K$6-$G$3,22))),0)))))</f>
        <v>0</v>
      </c>
      <c r="L26" s="27" t="n">
        <f aca="false">IF(COUNT(Soja!$E24:$Z24)=0,0,MAX(0,IF((L$6-$E$3)&lt;1,0,IFERROR(LOOKUP(2,1/(Soja!$E24:INDEX(Soja!$E24:$Z24,MIN(L$6-$E$3,22))&lt;&gt;""),Soja!$E24:INDEX(Soja!$E24:$Z24,MIN(L$6-$E$3,22))),0))-IF($G$2,0,IF((L$6-$G$3)&lt;1,0,IFERROR(LOOKUP(2,1/(Soja!$E24:INDEX(Soja!$E24:$Z24,MIN(L$6-$G$3,22))&lt;&gt;""),Soja!$E24:INDEX(Soja!$E24:$Z24,MIN(L$6-$G$3,22))),0)))))</f>
        <v>0</v>
      </c>
      <c r="M26" s="27" t="n">
        <f aca="false">IF(COUNT(Soja!$E24:$Z24)=0,0,MAX(0,IF((M$6-$E$3)&lt;1,0,IFERROR(LOOKUP(2,1/(Soja!$E24:INDEX(Soja!$E24:$Z24,MIN(M$6-$E$3,22))&lt;&gt;""),Soja!$E24:INDEX(Soja!$E24:$Z24,MIN(M$6-$E$3,22))),0))-IF($G$2,0,IF((M$6-$G$3)&lt;1,0,IFERROR(LOOKUP(2,1/(Soja!$E24:INDEX(Soja!$E24:$Z24,MIN(M$6-$G$3,22))&lt;&gt;""),Soja!$E24:INDEX(Soja!$E24:$Z24,MIN(M$6-$G$3,22))),0)))))</f>
        <v>0</v>
      </c>
      <c r="N26" s="27" t="n">
        <f aca="false">IF(COUNT(Soja!$E24:$Z24)=0,0,MAX(0,IF((N$6-$E$3)&lt;1,0,IFERROR(LOOKUP(2,1/(Soja!$E24:INDEX(Soja!$E24:$Z24,MIN(N$6-$E$3,22))&lt;&gt;""),Soja!$E24:INDEX(Soja!$E24:$Z24,MIN(N$6-$E$3,22))),0))-IF($G$2,0,IF((N$6-$G$3)&lt;1,0,IFERROR(LOOKUP(2,1/(Soja!$E24:INDEX(Soja!$E24:$Z24,MIN(N$6-$G$3,22))&lt;&gt;""),Soja!$E24:INDEX(Soja!$E24:$Z24,MIN(N$6-$G$3,22))),0)))))</f>
        <v>0</v>
      </c>
      <c r="O26" s="27" t="n">
        <f aca="false">IF(COUNT(Soja!$E24:$Z24)=0,0,MAX(0,IF((O$6-$E$3)&lt;1,0,IFERROR(LOOKUP(2,1/(Soja!$E24:INDEX(Soja!$E24:$Z24,MIN(O$6-$E$3,22))&lt;&gt;""),Soja!$E24:INDEX(Soja!$E24:$Z24,MIN(O$6-$E$3,22))),0))-IF($G$2,0,IF((O$6-$G$3)&lt;1,0,IFERROR(LOOKUP(2,1/(Soja!$E24:INDEX(Soja!$E24:$Z24,MIN(O$6-$G$3,22))&lt;&gt;""),Soja!$E24:INDEX(Soja!$E24:$Z24,MIN(O$6-$G$3,22))),0)))))</f>
        <v>0</v>
      </c>
      <c r="P26" s="27" t="n">
        <f aca="false">IF(COUNT(Soja!$E24:$Z24)=0,0,MAX(0,IF((P$6-$E$3)&lt;1,0,IFERROR(LOOKUP(2,1/(Soja!$E24:INDEX(Soja!$E24:$Z24,MIN(P$6-$E$3,22))&lt;&gt;""),Soja!$E24:INDEX(Soja!$E24:$Z24,MIN(P$6-$E$3,22))),0))-IF($G$2,0,IF((P$6-$G$3)&lt;1,0,IFERROR(LOOKUP(2,1/(Soja!$E24:INDEX(Soja!$E24:$Z24,MIN(P$6-$G$3,22))&lt;&gt;""),Soja!$E24:INDEX(Soja!$E24:$Z24,MIN(P$6-$G$3,22))),0)))))</f>
        <v>0</v>
      </c>
      <c r="Q26" s="27" t="n">
        <f aca="false">IF(COUNT(Soja!$E24:$Z24)=0,0,MAX(0,IF((Q$6-$E$3)&lt;1,0,IFERROR(LOOKUP(2,1/(Soja!$E24:INDEX(Soja!$E24:$Z24,MIN(Q$6-$E$3,22))&lt;&gt;""),Soja!$E24:INDEX(Soja!$E24:$Z24,MIN(Q$6-$E$3,22))),0))-IF($G$2,0,IF((Q$6-$G$3)&lt;1,0,IFERROR(LOOKUP(2,1/(Soja!$E24:INDEX(Soja!$E24:$Z24,MIN(Q$6-$G$3,22))&lt;&gt;""),Soja!$E24:INDEX(Soja!$E24:$Z24,MIN(Q$6-$G$3,22))),0)))))</f>
        <v>0</v>
      </c>
      <c r="R26" s="27" t="n">
        <f aca="false">IF(COUNT(Soja!$E24:$Z24)=0,0,MAX(0,IF((R$6-$E$3)&lt;1,0,IFERROR(LOOKUP(2,1/(Soja!$E24:INDEX(Soja!$E24:$Z24,MIN(R$6-$E$3,22))&lt;&gt;""),Soja!$E24:INDEX(Soja!$E24:$Z24,MIN(R$6-$E$3,22))),0))-IF($G$2,0,IF((R$6-$G$3)&lt;1,0,IFERROR(LOOKUP(2,1/(Soja!$E24:INDEX(Soja!$E24:$Z24,MIN(R$6-$G$3,22))&lt;&gt;""),Soja!$E24:INDEX(Soja!$E24:$Z24,MIN(R$6-$G$3,22))),0)))))</f>
        <v>0</v>
      </c>
      <c r="S26" s="27" t="n">
        <f aca="false">IF(COUNT(Soja!$E24:$Z24)=0,0,MAX(0,IF((S$6-$E$3)&lt;1,0,IFERROR(LOOKUP(2,1/(Soja!$E24:INDEX(Soja!$E24:$Z24,MIN(S$6-$E$3,22))&lt;&gt;""),Soja!$E24:INDEX(Soja!$E24:$Z24,MIN(S$6-$E$3,22))),0))-IF($G$2,0,IF((S$6-$G$3)&lt;1,0,IFERROR(LOOKUP(2,1/(Soja!$E24:INDEX(Soja!$E24:$Z24,MIN(S$6-$G$3,22))&lt;&gt;""),Soja!$E24:INDEX(Soja!$E24:$Z24,MIN(S$6-$G$3,22))),0)))))</f>
        <v>0</v>
      </c>
      <c r="T26" s="27" t="n">
        <f aca="false">IF(COUNT(Soja!$E24:$Z24)=0,0,MAX(0,IF((T$6-$E$3)&lt;1,0,IFERROR(LOOKUP(2,1/(Soja!$E24:INDEX(Soja!$E24:$Z24,MIN(T$6-$E$3,22))&lt;&gt;""),Soja!$E24:INDEX(Soja!$E24:$Z24,MIN(T$6-$E$3,22))),0))-IF($G$2,0,IF((T$6-$G$3)&lt;1,0,IFERROR(LOOKUP(2,1/(Soja!$E24:INDEX(Soja!$E24:$Z24,MIN(T$6-$G$3,22))&lt;&gt;""),Soja!$E24:INDEX(Soja!$E24:$Z24,MIN(T$6-$G$3,22))),0)))))</f>
        <v>0</v>
      </c>
      <c r="U26" s="27" t="n">
        <f aca="false">IF(COUNT(Soja!$E24:$Z24)=0,0,MAX(0,IF((U$6-$E$3)&lt;1,0,IFERROR(LOOKUP(2,1/(Soja!$E24:INDEX(Soja!$E24:$Z24,MIN(U$6-$E$3,22))&lt;&gt;""),Soja!$E24:INDEX(Soja!$E24:$Z24,MIN(U$6-$E$3,22))),0))-IF($G$2,0,IF((U$6-$G$3)&lt;1,0,IFERROR(LOOKUP(2,1/(Soja!$E24:INDEX(Soja!$E24:$Z24,MIN(U$6-$G$3,22))&lt;&gt;""),Soja!$E24:INDEX(Soja!$E24:$Z24,MIN(U$6-$G$3,22))),0)))))</f>
        <v>0</v>
      </c>
      <c r="V26" s="27" t="n">
        <f aca="false">IF(COUNT(Soja!$E24:$Z24)=0,0,MAX(0,IF((V$6-$E$3)&lt;1,0,IFERROR(LOOKUP(2,1/(Soja!$E24:INDEX(Soja!$E24:$Z24,MIN(V$6-$E$3,22))&lt;&gt;""),Soja!$E24:INDEX(Soja!$E24:$Z24,MIN(V$6-$E$3,22))),0))-IF($G$2,0,IF((V$6-$G$3)&lt;1,0,IFERROR(LOOKUP(2,1/(Soja!$E24:INDEX(Soja!$E24:$Z24,MIN(V$6-$G$3,22))&lt;&gt;""),Soja!$E24:INDEX(Soja!$E24:$Z24,MIN(V$6-$G$3,22))),0)))))</f>
        <v>0</v>
      </c>
      <c r="W26" s="27" t="n">
        <f aca="false">IF(COUNT(Soja!$E24:$Z24)=0,0,MAX(0,IF((W$6-$E$3)&lt;1,0,IFERROR(LOOKUP(2,1/(Soja!$E24:INDEX(Soja!$E24:$Z24,MIN(W$6-$E$3,22))&lt;&gt;""),Soja!$E24:INDEX(Soja!$E24:$Z24,MIN(W$6-$E$3,22))),0))-IF($G$2,0,IF((W$6-$G$3)&lt;1,0,IFERROR(LOOKUP(2,1/(Soja!$E24:INDEX(Soja!$E24:$Z24,MIN(W$6-$G$3,22))&lt;&gt;""),Soja!$E24:INDEX(Soja!$E24:$Z24,MIN(W$6-$G$3,22))),0)))))</f>
        <v>0</v>
      </c>
      <c r="X26" s="27" t="n">
        <f aca="false">IF(COUNT(Soja!$E24:$Z24)=0,0,MAX(0,IF((X$6-$E$3)&lt;1,0,IFERROR(LOOKUP(2,1/(Soja!$E24:INDEX(Soja!$E24:$Z24,MIN(X$6-$E$3,22))&lt;&gt;""),Soja!$E24:INDEX(Soja!$E24:$Z24,MIN(X$6-$E$3,22))),0))-IF($G$2,0,IF((X$6-$G$3)&lt;1,0,IFERROR(LOOKUP(2,1/(Soja!$E24:INDEX(Soja!$E24:$Z24,MIN(X$6-$G$3,22))&lt;&gt;""),Soja!$E24:INDEX(Soja!$E24:$Z24,MIN(X$6-$G$3,22))),0)))))</f>
        <v>0</v>
      </c>
      <c r="Y26" s="27" t="n">
        <f aca="false">IF(COUNT(Soja!$E24:$Z24)=0,0,MAX(0,IF((Y$6-$E$3)&lt;1,0,IFERROR(LOOKUP(2,1/(Soja!$E24:INDEX(Soja!$E24:$Z24,MIN(Y$6-$E$3,22))&lt;&gt;""),Soja!$E24:INDEX(Soja!$E24:$Z24,MIN(Y$6-$E$3,22))),0))-IF($G$2,0,IF((Y$6-$G$3)&lt;1,0,IFERROR(LOOKUP(2,1/(Soja!$E24:INDEX(Soja!$E24:$Z24,MIN(Y$6-$G$3,22))&lt;&gt;""),Soja!$E24:INDEX(Soja!$E24:$Z24,MIN(Y$6-$G$3,22))),0)))))</f>
        <v>0</v>
      </c>
      <c r="Z26" s="27" t="n">
        <f aca="false">IF(COUNT(Soja!$E24:$Z24)=0,0,MAX(0,IF((Z$6-$E$3)&lt;1,0,IFERROR(LOOKUP(2,1/(Soja!$E24:INDEX(Soja!$E24:$Z24,MIN(Z$6-$E$3,22))&lt;&gt;""),Soja!$E24:INDEX(Soja!$E24:$Z24,MIN(Z$6-$E$3,22))),0))-IF($G$2,0,IF((Z$6-$G$3)&lt;1,0,IFERROR(LOOKUP(2,1/(Soja!$E24:INDEX(Soja!$E24:$Z24,MIN(Z$6-$G$3,22))&lt;&gt;""),Soja!$E24:INDEX(Soja!$E24:$Z24,MIN(Z$6-$G$3,22))),0)))))</f>
        <v>0</v>
      </c>
      <c r="AA26" s="27" t="n">
        <f aca="false">IF(COUNT(Soja!$E24:$Z24)=0,0,MAX(0,IF((AA$6-$E$3)&lt;1,0,IFERROR(LOOKUP(2,1/(Soja!$E24:INDEX(Soja!$E24:$Z24,MIN(AA$6-$E$3,22))&lt;&gt;""),Soja!$E24:INDEX(Soja!$E24:$Z24,MIN(AA$6-$E$3,22))),0))-IF($G$2,0,IF((AA$6-$G$3)&lt;1,0,IFERROR(LOOKUP(2,1/(Soja!$E24:INDEX(Soja!$E24:$Z24,MIN(AA$6-$G$3,22))&lt;&gt;""),Soja!$E24:INDEX(Soja!$E24:$Z24,MIN(AA$6-$G$3,22))),0)))))</f>
        <v>0</v>
      </c>
      <c r="AB26" s="27" t="n">
        <f aca="false">IF(COUNT(Soja!$E24:$Z24)=0,0,MAX(0,IF((AB$6-$E$3)&lt;1,0,IFERROR(LOOKUP(2,1/(Soja!$E24:INDEX(Soja!$E24:$Z24,MIN(AB$6-$E$3,22))&lt;&gt;""),Soja!$E24:INDEX(Soja!$E24:$Z24,MIN(AB$6-$E$3,22))),0))-IF($G$2,0,IF((AB$6-$G$3)&lt;1,0,IFERROR(LOOKUP(2,1/(Soja!$E24:INDEX(Soja!$E24:$Z24,MIN(AB$6-$G$3,22))&lt;&gt;""),Soja!$E24:INDEX(Soja!$E24:$Z24,MIN(AB$6-$G$3,22))),0)))))</f>
        <v>0</v>
      </c>
      <c r="AC26" s="27" t="n">
        <f aca="false">IF(COUNT(Soja!$E24:$Z24)=0,0,MAX(0,IF((AC$6-$E$3)&lt;1,0,IFERROR(LOOKUP(2,1/(Soja!$E24:INDEX(Soja!$E24:$Z24,MIN(AC$6-$E$3,22))&lt;&gt;""),Soja!$E24:INDEX(Soja!$E24:$Z24,MIN(AC$6-$E$3,22))),0))-IF($G$2,0,IF((AC$6-$G$3)&lt;1,0,IFERROR(LOOKUP(2,1/(Soja!$E24:INDEX(Soja!$E24:$Z24,MIN(AC$6-$G$3,22))&lt;&gt;""),Soja!$E24:INDEX(Soja!$E24:$Z24,MIN(AC$6-$G$3,22))),0)))))</f>
        <v>0</v>
      </c>
      <c r="AD26" s="27" t="n">
        <f aca="false">IF(COUNT(Soja!$E24:$Z24)=0,0,MAX(0,IF((AD$6-$E$3)&lt;1,0,IFERROR(LOOKUP(2,1/(Soja!$E24:INDEX(Soja!$E24:$Z24,MIN(AD$6-$E$3,22))&lt;&gt;""),Soja!$E24:INDEX(Soja!$E24:$Z24,MIN(AD$6-$E$3,22))),0))-IF($G$2,0,IF((AD$6-$G$3)&lt;1,0,IFERROR(LOOKUP(2,1/(Soja!$E24:INDEX(Soja!$E24:$Z24,MIN(AD$6-$G$3,22))&lt;&gt;""),Soja!$E24:INDEX(Soja!$E24:$Z24,MIN(AD$6-$G$3,22))),0)))))</f>
        <v>0</v>
      </c>
      <c r="AE26" s="27" t="n">
        <f aca="false">IF(COUNT(Soja!$E24:$Z24)=0,0,MAX(0,IF((AE$6-$E$3)&lt;1,0,IFERROR(LOOKUP(2,1/(Soja!$E24:INDEX(Soja!$E24:$Z24,MIN(AE$6-$E$3,22))&lt;&gt;""),Soja!$E24:INDEX(Soja!$E24:$Z24,MIN(AE$6-$E$3,22))),0))-IF($G$2,0,IF((AE$6-$G$3)&lt;1,0,IFERROR(LOOKUP(2,1/(Soja!$E24:INDEX(Soja!$E24:$Z24,MIN(AE$6-$G$3,22))&lt;&gt;""),Soja!$E24:INDEX(Soja!$E24:$Z24,MIN(AE$6-$G$3,22))),0)))))</f>
        <v>0</v>
      </c>
      <c r="AF26" s="27" t="n">
        <f aca="false">IF(COUNT(Soja!$E24:$Z24)=0,0,MAX(0,IF((AF$6-$E$3)&lt;1,0,IFERROR(LOOKUP(2,1/(Soja!$E24:INDEX(Soja!$E24:$Z24,MIN(AF$6-$E$3,22))&lt;&gt;""),Soja!$E24:INDEX(Soja!$E24:$Z24,MIN(AF$6-$E$3,22))),0))-IF($G$2,0,IF((AF$6-$G$3)&lt;1,0,IFERROR(LOOKUP(2,1/(Soja!$E24:INDEX(Soja!$E24:$Z24,MIN(AF$6-$G$3,22))&lt;&gt;""),Soja!$E24:INDEX(Soja!$E24:$Z24,MIN(AF$6-$G$3,22))),0)))))</f>
        <v>0</v>
      </c>
      <c r="AG26" s="27" t="n">
        <f aca="false">IF(COUNT(Soja!$E24:$Z24)=0,0,MAX(0,IF((AG$6-$E$3)&lt;1,0,IFERROR(LOOKUP(2,1/(Soja!$E24:INDEX(Soja!$E24:$Z24,MIN(AG$6-$E$3,22))&lt;&gt;""),Soja!$E24:INDEX(Soja!$E24:$Z24,MIN(AG$6-$E$3,22))),0))-IF($G$2,0,IF((AG$6-$G$3)&lt;1,0,IFERROR(LOOKUP(2,1/(Soja!$E24:INDEX(Soja!$E24:$Z24,MIN(AG$6-$G$3,22))&lt;&gt;""),Soja!$E24:INDEX(Soja!$E24:$Z24,MIN(AG$6-$G$3,22))),0)))))</f>
        <v>0</v>
      </c>
      <c r="AH26" s="27" t="n">
        <f aca="false">IF(COUNT(Soja!$E24:$Z24)=0,0,MAX(0,IF((AH$6-$E$3)&lt;1,0,IFERROR(LOOKUP(2,1/(Soja!$E24:INDEX(Soja!$E24:$Z24,MIN(AH$6-$E$3,22))&lt;&gt;""),Soja!$E24:INDEX(Soja!$E24:$Z24,MIN(AH$6-$E$3,22))),0))-IF($G$2,0,IF((AH$6-$G$3)&lt;1,0,IFERROR(LOOKUP(2,1/(Soja!$E24:INDEX(Soja!$E24:$Z24,MIN(AH$6-$G$3,22))&lt;&gt;""),Soja!$E24:INDEX(Soja!$E24:$Z24,MIN(AH$6-$G$3,22))),0)))))</f>
        <v>0</v>
      </c>
      <c r="AI26" s="27" t="n">
        <f aca="false">IF(COUNT(Soja!$E24:$Z24)=0,0,MAX(0,IF((AI$6-$E$3)&lt;1,0,IFERROR(LOOKUP(2,1/(Soja!$E24:INDEX(Soja!$E24:$Z24,MIN(AI$6-$E$3,22))&lt;&gt;""),Soja!$E24:INDEX(Soja!$E24:$Z24,MIN(AI$6-$E$3,22))),0))-IF($G$2,0,IF((AI$6-$G$3)&lt;1,0,IFERROR(LOOKUP(2,1/(Soja!$E24:INDEX(Soja!$E24:$Z24,MIN(AI$6-$G$3,22))&lt;&gt;""),Soja!$E24:INDEX(Soja!$E24:$Z24,MIN(AI$6-$G$3,22))),0)))))</f>
        <v>0</v>
      </c>
      <c r="AJ26" s="27" t="n">
        <f aca="false">IF(COUNT(Soja!$E24:$Z24)=0,0,MAX(0,IF((AJ$6-$E$3)&lt;1,0,IFERROR(LOOKUP(2,1/(Soja!$E24:INDEX(Soja!$E24:$Z24,MIN(AJ$6-$E$3,22))&lt;&gt;""),Soja!$E24:INDEX(Soja!$E24:$Z24,MIN(AJ$6-$E$3,22))),0))-IF($G$2,0,IF((AJ$6-$G$3)&lt;1,0,IFERROR(LOOKUP(2,1/(Soja!$E24:INDEX(Soja!$E24:$Z24,MIN(AJ$6-$G$3,22))&lt;&gt;""),Soja!$E24:INDEX(Soja!$E24:$Z24,MIN(AJ$6-$G$3,22))),0)))))</f>
        <v>0</v>
      </c>
      <c r="AK26" s="27" t="n">
        <f aca="false">IF(COUNT(Soja!$E24:$Z24)=0,0,MAX(0,IF((AK$6-$E$3)&lt;1,0,IFERROR(LOOKUP(2,1/(Soja!$E24:INDEX(Soja!$E24:$Z24,MIN(AK$6-$E$3,22))&lt;&gt;""),Soja!$E24:INDEX(Soja!$E24:$Z24,MIN(AK$6-$E$3,22))),0))-IF($G$2,0,IF((AK$6-$G$3)&lt;1,0,IFERROR(LOOKUP(2,1/(Soja!$E24:INDEX(Soja!$E24:$Z24,MIN(AK$6-$G$3,22))&lt;&gt;""),Soja!$E24:INDEX(Soja!$E24:$Z24,MIN(AK$6-$G$3,22))),0)))))</f>
        <v>0</v>
      </c>
      <c r="AL26" s="27" t="n">
        <f aca="false">IF(COUNT(Soja!$E24:$Z24)=0,0,MAX(0,IF((AL$6-$E$3)&lt;1,0,IFERROR(LOOKUP(2,1/(Soja!$E24:INDEX(Soja!$E24:$Z24,MIN(AL$6-$E$3,22))&lt;&gt;""),Soja!$E24:INDEX(Soja!$E24:$Z24,MIN(AL$6-$E$3,22))),0))-IF($G$2,0,IF((AL$6-$G$3)&lt;1,0,IFERROR(LOOKUP(2,1/(Soja!$E24:INDEX(Soja!$E24:$Z24,MIN(AL$6-$G$3,22))&lt;&gt;""),Soja!$E24:INDEX(Soja!$E24:$Z24,MIN(AL$6-$G$3,22))),0)))))</f>
        <v>0</v>
      </c>
      <c r="AM26" s="27" t="n">
        <f aca="false">IF(COUNT(Soja!$E24:$Z24)=0,0,MAX(0,IF((AM$6-$E$3)&lt;1,0,IFERROR(LOOKUP(2,1/(Soja!$E24:INDEX(Soja!$E24:$Z24,MIN(AM$6-$E$3,22))&lt;&gt;""),Soja!$E24:INDEX(Soja!$E24:$Z24,MIN(AM$6-$E$3,22))),0))-IF($G$2,0,IF((AM$6-$G$3)&lt;1,0,IFERROR(LOOKUP(2,1/(Soja!$E24:INDEX(Soja!$E24:$Z24,MIN(AM$6-$G$3,22))&lt;&gt;""),Soja!$E24:INDEX(Soja!$E24:$Z24,MIN(AM$6-$G$3,22))),0)))))</f>
        <v>0</v>
      </c>
      <c r="AN26" s="27" t="n">
        <f aca="false">IF(COUNT(Soja!$E24:$Z24)=0,0,MAX(0,IF((AN$6-$E$3)&lt;1,0,IFERROR(LOOKUP(2,1/(Soja!$E24:INDEX(Soja!$E24:$Z24,MIN(AN$6-$E$3,22))&lt;&gt;""),Soja!$E24:INDEX(Soja!$E24:$Z24,MIN(AN$6-$E$3,22))),0))-IF($G$2,0,IF((AN$6-$G$3)&lt;1,0,IFERROR(LOOKUP(2,1/(Soja!$E24:INDEX(Soja!$E24:$Z24,MIN(AN$6-$G$3,22))&lt;&gt;""),Soja!$E24:INDEX(Soja!$E24:$Z24,MIN(AN$6-$G$3,22))),0)))))</f>
        <v>0</v>
      </c>
      <c r="AO26" s="27" t="n">
        <f aca="false">IF(COUNT(Soja!$E24:$Z24)=0,0,MAX(0,IF((AO$6-$E$3)&lt;1,0,IFERROR(LOOKUP(2,1/(Soja!$E24:INDEX(Soja!$E24:$Z24,MIN(AO$6-$E$3,22))&lt;&gt;""),Soja!$E24:INDEX(Soja!$E24:$Z24,MIN(AO$6-$E$3,22))),0))-IF($G$2,0,IF((AO$6-$G$3)&lt;1,0,IFERROR(LOOKUP(2,1/(Soja!$E24:INDEX(Soja!$E24:$Z24,MIN(AO$6-$G$3,22))&lt;&gt;""),Soja!$E24:INDEX(Soja!$E24:$Z24,MIN(AO$6-$G$3,22))),0)))))</f>
        <v>0</v>
      </c>
      <c r="AP26" s="27" t="n">
        <f aca="false">IF(COUNT(Soja!$E24:$Z24)=0,0,MAX(0,IF((AP$6-$E$3)&lt;1,0,IFERROR(LOOKUP(2,1/(Soja!$E24:INDEX(Soja!$E24:$Z24,MIN(AP$6-$E$3,22))&lt;&gt;""),Soja!$E24:INDEX(Soja!$E24:$Z24,MIN(AP$6-$E$3,22))),0))-IF($G$2,0,IF((AP$6-$G$3)&lt;1,0,IFERROR(LOOKUP(2,1/(Soja!$E24:INDEX(Soja!$E24:$Z24,MIN(AP$6-$G$3,22))&lt;&gt;""),Soja!$E24:INDEX(Soja!$E24:$Z24,MIN(AP$6-$G$3,22))),0)))))</f>
        <v>0</v>
      </c>
      <c r="AQ26" s="27" t="n">
        <f aca="false">IF(COUNT(Soja!$E24:$Z24)=0,0,MAX(0,IF((AQ$6-$E$3)&lt;1,0,IFERROR(LOOKUP(2,1/(Soja!$E24:INDEX(Soja!$E24:$Z24,MIN(AQ$6-$E$3,22))&lt;&gt;""),Soja!$E24:INDEX(Soja!$E24:$Z24,MIN(AQ$6-$E$3,22))),0))-IF($G$2,0,IF((AQ$6-$G$3)&lt;1,0,IFERROR(LOOKUP(2,1/(Soja!$E24:INDEX(Soja!$E24:$Z24,MIN(AQ$6-$G$3,22))&lt;&gt;""),Soja!$E24:INDEX(Soja!$E24:$Z24,MIN(AQ$6-$G$3,22))),0)))))</f>
        <v>0</v>
      </c>
      <c r="AR26" s="27" t="n">
        <f aca="false">IF(COUNT(Soja!$E24:$Z24)=0,0,MAX(0,IF((AR$6-$E$3)&lt;1,0,IFERROR(LOOKUP(2,1/(Soja!$E24:INDEX(Soja!$E24:$Z24,MIN(AR$6-$E$3,22))&lt;&gt;""),Soja!$E24:INDEX(Soja!$E24:$Z24,MIN(AR$6-$E$3,22))),0))-IF($G$2,0,IF((AR$6-$G$3)&lt;1,0,IFERROR(LOOKUP(2,1/(Soja!$E24:INDEX(Soja!$E24:$Z24,MIN(AR$6-$G$3,22))&lt;&gt;""),Soja!$E24:INDEX(Soja!$E24:$Z24,MIN(AR$6-$G$3,22))),0)))))</f>
        <v>0</v>
      </c>
      <c r="AS26" s="27" t="n">
        <f aca="false">IF(COUNT(Soja!$E24:$Z24)=0,0,MAX(0,IF((AS$6-$E$3)&lt;1,0,IFERROR(LOOKUP(2,1/(Soja!$E24:INDEX(Soja!$E24:$Z24,MIN(AS$6-$E$3,22))&lt;&gt;""),Soja!$E24:INDEX(Soja!$E24:$Z24,MIN(AS$6-$E$3,22))),0))-IF($G$2,0,IF((AS$6-$G$3)&lt;1,0,IFERROR(LOOKUP(2,1/(Soja!$E24:INDEX(Soja!$E24:$Z24,MIN(AS$6-$G$3,22))&lt;&gt;""),Soja!$E24:INDEX(Soja!$E24:$Z24,MIN(AS$6-$G$3,22))),0)))))</f>
        <v>0</v>
      </c>
      <c r="AT26" s="27" t="n">
        <f aca="false">IF(COUNT(Soja!$E24:$Z24)=0,0,MAX(0,IF((AT$6-$E$3)&lt;1,0,IFERROR(LOOKUP(2,1/(Soja!$E24:INDEX(Soja!$E24:$Z24,MIN(AT$6-$E$3,22))&lt;&gt;""),Soja!$E24:INDEX(Soja!$E24:$Z24,MIN(AT$6-$E$3,22))),0))-IF($G$2,0,IF((AT$6-$G$3)&lt;1,0,IFERROR(LOOKUP(2,1/(Soja!$E24:INDEX(Soja!$E24:$Z24,MIN(AT$6-$G$3,22))&lt;&gt;""),Soja!$E24:INDEX(Soja!$E24:$Z24,MIN(AT$6-$G$3,22))),0)))))</f>
        <v>0</v>
      </c>
      <c r="AU26" s="27" t="n">
        <f aca="false">IF(COUNT(Soja!$E24:$Z24)=0,0,MAX(0,IF((AU$6-$E$3)&lt;1,0,IFERROR(LOOKUP(2,1/(Soja!$E24:INDEX(Soja!$E24:$Z24,MIN(AU$6-$E$3,22))&lt;&gt;""),Soja!$E24:INDEX(Soja!$E24:$Z24,MIN(AU$6-$E$3,22))),0))-IF($G$2,0,IF((AU$6-$G$3)&lt;1,0,IFERROR(LOOKUP(2,1/(Soja!$E24:INDEX(Soja!$E24:$Z24,MIN(AU$6-$G$3,22))&lt;&gt;""),Soja!$E24:INDEX(Soja!$E24:$Z24,MIN(AU$6-$G$3,22))),0)))))</f>
        <v>0</v>
      </c>
      <c r="AV26" s="27" t="n">
        <f aca="false">IF(COUNT(Soja!$E24:$Z24)=0,0,MAX(0,IF((AV$6-$E$3)&lt;1,0,IFERROR(LOOKUP(2,1/(Soja!$E24:INDEX(Soja!$E24:$Z24,MIN(AV$6-$E$3,22))&lt;&gt;""),Soja!$E24:INDEX(Soja!$E24:$Z24,MIN(AV$6-$E$3,22))),0))-IF($G$2,0,IF((AV$6-$G$3)&lt;1,0,IFERROR(LOOKUP(2,1/(Soja!$E24:INDEX(Soja!$E24:$Z24,MIN(AV$6-$G$3,22))&lt;&gt;""),Soja!$E24:INDEX(Soja!$E24:$Z24,MIN(AV$6-$G$3,22))),0)))))</f>
        <v>0</v>
      </c>
      <c r="AW26" s="27" t="n">
        <f aca="false">IF(COUNT(Soja!$E24:$Z24)=0,0,MAX(0,IF((AW$6-$E$3)&lt;1,0,IFERROR(LOOKUP(2,1/(Soja!$E24:INDEX(Soja!$E24:$Z24,MIN(AW$6-$E$3,22))&lt;&gt;""),Soja!$E24:INDEX(Soja!$E24:$Z24,MIN(AW$6-$E$3,22))),0))-IF($G$2,0,IF((AW$6-$G$3)&lt;1,0,IFERROR(LOOKUP(2,1/(Soja!$E24:INDEX(Soja!$E24:$Z24,MIN(AW$6-$G$3,22))&lt;&gt;""),Soja!$E24:INDEX(Soja!$E24:$Z24,MIN(AW$6-$G$3,22))),0)))))</f>
        <v>0</v>
      </c>
      <c r="AX26" s="27" t="n">
        <f aca="false">IF(COUNT(Soja!$E24:$Z24)=0,0,MAX(0,IF((AX$6-$E$3)&lt;1,0,IFERROR(LOOKUP(2,1/(Soja!$E24:INDEX(Soja!$E24:$Z24,MIN(AX$6-$E$3,22))&lt;&gt;""),Soja!$E24:INDEX(Soja!$E24:$Z24,MIN(AX$6-$E$3,22))),0))-IF($G$2,0,IF((AX$6-$G$3)&lt;1,0,IFERROR(LOOKUP(2,1/(Soja!$E24:INDEX(Soja!$E24:$Z24,MIN(AX$6-$G$3,22))&lt;&gt;""),Soja!$E24:INDEX(Soja!$E24:$Z24,MIN(AX$6-$G$3,22))),0)))))</f>
        <v>0</v>
      </c>
      <c r="AY26" s="27" t="n">
        <f aca="false">IF(COUNT(Soja!$E24:$Z24)=0,0,MAX(0,IF((AY$6-$E$3)&lt;1,0,IFERROR(LOOKUP(2,1/(Soja!$E24:INDEX(Soja!$E24:$Z24,MIN(AY$6-$E$3,22))&lt;&gt;""),Soja!$E24:INDEX(Soja!$E24:$Z24,MIN(AY$6-$E$3,22))),0))-IF($G$2,0,IF((AY$6-$G$3)&lt;1,0,IFERROR(LOOKUP(2,1/(Soja!$E24:INDEX(Soja!$E24:$Z24,MIN(AY$6-$G$3,22))&lt;&gt;""),Soja!$E24:INDEX(Soja!$E24:$Z24,MIN(AY$6-$G$3,22))),0)))))</f>
        <v>0</v>
      </c>
      <c r="AZ26" s="27" t="n">
        <f aca="false">IF(COUNT(Soja!$E24:$Z24)=0,0,MAX(0,IF((AZ$6-$E$3)&lt;1,0,IFERROR(LOOKUP(2,1/(Soja!$E24:INDEX(Soja!$E24:$Z24,MIN(AZ$6-$E$3,22))&lt;&gt;""),Soja!$E24:INDEX(Soja!$E24:$Z24,MIN(AZ$6-$E$3,22))),0))-IF($G$2,0,IF((AZ$6-$G$3)&lt;1,0,IFERROR(LOOKUP(2,1/(Soja!$E24:INDEX(Soja!$E24:$Z24,MIN(AZ$6-$G$3,22))&lt;&gt;""),Soja!$E24:INDEX(Soja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IF(COUNT(Soja!$E25:$Z25)&gt;0,N(Soja!$D25),0)</f>
        <v>0</v>
      </c>
      <c r="E27" s="27" t="n">
        <f aca="false">IF(COUNT(Soja!$E25:$Z25)=0,0,MAX(0,IF((E$6-$E$3)&lt;1,0,IFERROR(LOOKUP(2,1/(Soja!$E25:INDEX(Soja!$E25:$Z25,MIN(E$6-$E$3,22))&lt;&gt;""),Soja!$E25:INDEX(Soja!$E25:$Z25,MIN(E$6-$E$3,22))),0))-IF($G$2,0,IF((E$6-$G$3)&lt;1,0,IFERROR(LOOKUP(2,1/(Soja!$E25:INDEX(Soja!$E25:$Z25,MIN(E$6-$G$3,22))&lt;&gt;""),Soja!$E25:INDEX(Soja!$E25:$Z25,MIN(E$6-$G$3,22))),0)))))</f>
        <v>0</v>
      </c>
      <c r="F27" s="27" t="n">
        <f aca="false">IF(COUNT(Soja!$E25:$Z25)=0,0,MAX(0,IF((F$6-$E$3)&lt;1,0,IFERROR(LOOKUP(2,1/(Soja!$E25:INDEX(Soja!$E25:$Z25,MIN(F$6-$E$3,22))&lt;&gt;""),Soja!$E25:INDEX(Soja!$E25:$Z25,MIN(F$6-$E$3,22))),0))-IF($G$2,0,IF((F$6-$G$3)&lt;1,0,IFERROR(LOOKUP(2,1/(Soja!$E25:INDEX(Soja!$E25:$Z25,MIN(F$6-$G$3,22))&lt;&gt;""),Soja!$E25:INDEX(Soja!$E25:$Z25,MIN(F$6-$G$3,22))),0)))))</f>
        <v>0</v>
      </c>
      <c r="G27" s="27" t="n">
        <f aca="false">IF(COUNT(Soja!$E25:$Z25)=0,0,MAX(0,IF((G$6-$E$3)&lt;1,0,IFERROR(LOOKUP(2,1/(Soja!$E25:INDEX(Soja!$E25:$Z25,MIN(G$6-$E$3,22))&lt;&gt;""),Soja!$E25:INDEX(Soja!$E25:$Z25,MIN(G$6-$E$3,22))),0))-IF($G$2,0,IF((G$6-$G$3)&lt;1,0,IFERROR(LOOKUP(2,1/(Soja!$E25:INDEX(Soja!$E25:$Z25,MIN(G$6-$G$3,22))&lt;&gt;""),Soja!$E25:INDEX(Soja!$E25:$Z25,MIN(G$6-$G$3,22))),0)))))</f>
        <v>0</v>
      </c>
      <c r="H27" s="27" t="n">
        <f aca="false">IF(COUNT(Soja!$E25:$Z25)=0,0,MAX(0,IF((H$6-$E$3)&lt;1,0,IFERROR(LOOKUP(2,1/(Soja!$E25:INDEX(Soja!$E25:$Z25,MIN(H$6-$E$3,22))&lt;&gt;""),Soja!$E25:INDEX(Soja!$E25:$Z25,MIN(H$6-$E$3,22))),0))-IF($G$2,0,IF((H$6-$G$3)&lt;1,0,IFERROR(LOOKUP(2,1/(Soja!$E25:INDEX(Soja!$E25:$Z25,MIN(H$6-$G$3,22))&lt;&gt;""),Soja!$E25:INDEX(Soja!$E25:$Z25,MIN(H$6-$G$3,22))),0)))))</f>
        <v>0</v>
      </c>
      <c r="I27" s="27" t="n">
        <f aca="false">IF(COUNT(Soja!$E25:$Z25)=0,0,MAX(0,IF((I$6-$E$3)&lt;1,0,IFERROR(LOOKUP(2,1/(Soja!$E25:INDEX(Soja!$E25:$Z25,MIN(I$6-$E$3,22))&lt;&gt;""),Soja!$E25:INDEX(Soja!$E25:$Z25,MIN(I$6-$E$3,22))),0))-IF($G$2,0,IF((I$6-$G$3)&lt;1,0,IFERROR(LOOKUP(2,1/(Soja!$E25:INDEX(Soja!$E25:$Z25,MIN(I$6-$G$3,22))&lt;&gt;""),Soja!$E25:INDEX(Soja!$E25:$Z25,MIN(I$6-$G$3,22))),0)))))</f>
        <v>0</v>
      </c>
      <c r="J27" s="27" t="n">
        <f aca="false">IF(COUNT(Soja!$E25:$Z25)=0,0,MAX(0,IF((J$6-$E$3)&lt;1,0,IFERROR(LOOKUP(2,1/(Soja!$E25:INDEX(Soja!$E25:$Z25,MIN(J$6-$E$3,22))&lt;&gt;""),Soja!$E25:INDEX(Soja!$E25:$Z25,MIN(J$6-$E$3,22))),0))-IF($G$2,0,IF((J$6-$G$3)&lt;1,0,IFERROR(LOOKUP(2,1/(Soja!$E25:INDEX(Soja!$E25:$Z25,MIN(J$6-$G$3,22))&lt;&gt;""),Soja!$E25:INDEX(Soja!$E25:$Z25,MIN(J$6-$G$3,22))),0)))))</f>
        <v>0</v>
      </c>
      <c r="K27" s="27" t="n">
        <f aca="false">IF(COUNT(Soja!$E25:$Z25)=0,0,MAX(0,IF((K$6-$E$3)&lt;1,0,IFERROR(LOOKUP(2,1/(Soja!$E25:INDEX(Soja!$E25:$Z25,MIN(K$6-$E$3,22))&lt;&gt;""),Soja!$E25:INDEX(Soja!$E25:$Z25,MIN(K$6-$E$3,22))),0))-IF($G$2,0,IF((K$6-$G$3)&lt;1,0,IFERROR(LOOKUP(2,1/(Soja!$E25:INDEX(Soja!$E25:$Z25,MIN(K$6-$G$3,22))&lt;&gt;""),Soja!$E25:INDEX(Soja!$E25:$Z25,MIN(K$6-$G$3,22))),0)))))</f>
        <v>0</v>
      </c>
      <c r="L27" s="27" t="n">
        <f aca="false">IF(COUNT(Soja!$E25:$Z25)=0,0,MAX(0,IF((L$6-$E$3)&lt;1,0,IFERROR(LOOKUP(2,1/(Soja!$E25:INDEX(Soja!$E25:$Z25,MIN(L$6-$E$3,22))&lt;&gt;""),Soja!$E25:INDEX(Soja!$E25:$Z25,MIN(L$6-$E$3,22))),0))-IF($G$2,0,IF((L$6-$G$3)&lt;1,0,IFERROR(LOOKUP(2,1/(Soja!$E25:INDEX(Soja!$E25:$Z25,MIN(L$6-$G$3,22))&lt;&gt;""),Soja!$E25:INDEX(Soja!$E25:$Z25,MIN(L$6-$G$3,22))),0)))))</f>
        <v>0</v>
      </c>
      <c r="M27" s="27" t="n">
        <f aca="false">IF(COUNT(Soja!$E25:$Z25)=0,0,MAX(0,IF((M$6-$E$3)&lt;1,0,IFERROR(LOOKUP(2,1/(Soja!$E25:INDEX(Soja!$E25:$Z25,MIN(M$6-$E$3,22))&lt;&gt;""),Soja!$E25:INDEX(Soja!$E25:$Z25,MIN(M$6-$E$3,22))),0))-IF($G$2,0,IF((M$6-$G$3)&lt;1,0,IFERROR(LOOKUP(2,1/(Soja!$E25:INDEX(Soja!$E25:$Z25,MIN(M$6-$G$3,22))&lt;&gt;""),Soja!$E25:INDEX(Soja!$E25:$Z25,MIN(M$6-$G$3,22))),0)))))</f>
        <v>0</v>
      </c>
      <c r="N27" s="27" t="n">
        <f aca="false">IF(COUNT(Soja!$E25:$Z25)=0,0,MAX(0,IF((N$6-$E$3)&lt;1,0,IFERROR(LOOKUP(2,1/(Soja!$E25:INDEX(Soja!$E25:$Z25,MIN(N$6-$E$3,22))&lt;&gt;""),Soja!$E25:INDEX(Soja!$E25:$Z25,MIN(N$6-$E$3,22))),0))-IF($G$2,0,IF((N$6-$G$3)&lt;1,0,IFERROR(LOOKUP(2,1/(Soja!$E25:INDEX(Soja!$E25:$Z25,MIN(N$6-$G$3,22))&lt;&gt;""),Soja!$E25:INDEX(Soja!$E25:$Z25,MIN(N$6-$G$3,22))),0)))))</f>
        <v>0</v>
      </c>
      <c r="O27" s="27" t="n">
        <f aca="false">IF(COUNT(Soja!$E25:$Z25)=0,0,MAX(0,IF((O$6-$E$3)&lt;1,0,IFERROR(LOOKUP(2,1/(Soja!$E25:INDEX(Soja!$E25:$Z25,MIN(O$6-$E$3,22))&lt;&gt;""),Soja!$E25:INDEX(Soja!$E25:$Z25,MIN(O$6-$E$3,22))),0))-IF($G$2,0,IF((O$6-$G$3)&lt;1,0,IFERROR(LOOKUP(2,1/(Soja!$E25:INDEX(Soja!$E25:$Z25,MIN(O$6-$G$3,22))&lt;&gt;""),Soja!$E25:INDEX(Soja!$E25:$Z25,MIN(O$6-$G$3,22))),0)))))</f>
        <v>0</v>
      </c>
      <c r="P27" s="27" t="n">
        <f aca="false">IF(COUNT(Soja!$E25:$Z25)=0,0,MAX(0,IF((P$6-$E$3)&lt;1,0,IFERROR(LOOKUP(2,1/(Soja!$E25:INDEX(Soja!$E25:$Z25,MIN(P$6-$E$3,22))&lt;&gt;""),Soja!$E25:INDEX(Soja!$E25:$Z25,MIN(P$6-$E$3,22))),0))-IF($G$2,0,IF((P$6-$G$3)&lt;1,0,IFERROR(LOOKUP(2,1/(Soja!$E25:INDEX(Soja!$E25:$Z25,MIN(P$6-$G$3,22))&lt;&gt;""),Soja!$E25:INDEX(Soja!$E25:$Z25,MIN(P$6-$G$3,22))),0)))))</f>
        <v>0</v>
      </c>
      <c r="Q27" s="27" t="n">
        <f aca="false">IF(COUNT(Soja!$E25:$Z25)=0,0,MAX(0,IF((Q$6-$E$3)&lt;1,0,IFERROR(LOOKUP(2,1/(Soja!$E25:INDEX(Soja!$E25:$Z25,MIN(Q$6-$E$3,22))&lt;&gt;""),Soja!$E25:INDEX(Soja!$E25:$Z25,MIN(Q$6-$E$3,22))),0))-IF($G$2,0,IF((Q$6-$G$3)&lt;1,0,IFERROR(LOOKUP(2,1/(Soja!$E25:INDEX(Soja!$E25:$Z25,MIN(Q$6-$G$3,22))&lt;&gt;""),Soja!$E25:INDEX(Soja!$E25:$Z25,MIN(Q$6-$G$3,22))),0)))))</f>
        <v>0</v>
      </c>
      <c r="R27" s="27" t="n">
        <f aca="false">IF(COUNT(Soja!$E25:$Z25)=0,0,MAX(0,IF((R$6-$E$3)&lt;1,0,IFERROR(LOOKUP(2,1/(Soja!$E25:INDEX(Soja!$E25:$Z25,MIN(R$6-$E$3,22))&lt;&gt;""),Soja!$E25:INDEX(Soja!$E25:$Z25,MIN(R$6-$E$3,22))),0))-IF($G$2,0,IF((R$6-$G$3)&lt;1,0,IFERROR(LOOKUP(2,1/(Soja!$E25:INDEX(Soja!$E25:$Z25,MIN(R$6-$G$3,22))&lt;&gt;""),Soja!$E25:INDEX(Soja!$E25:$Z25,MIN(R$6-$G$3,22))),0)))))</f>
        <v>0</v>
      </c>
      <c r="S27" s="27" t="n">
        <f aca="false">IF(COUNT(Soja!$E25:$Z25)=0,0,MAX(0,IF((S$6-$E$3)&lt;1,0,IFERROR(LOOKUP(2,1/(Soja!$E25:INDEX(Soja!$E25:$Z25,MIN(S$6-$E$3,22))&lt;&gt;""),Soja!$E25:INDEX(Soja!$E25:$Z25,MIN(S$6-$E$3,22))),0))-IF($G$2,0,IF((S$6-$G$3)&lt;1,0,IFERROR(LOOKUP(2,1/(Soja!$E25:INDEX(Soja!$E25:$Z25,MIN(S$6-$G$3,22))&lt;&gt;""),Soja!$E25:INDEX(Soja!$E25:$Z25,MIN(S$6-$G$3,22))),0)))))</f>
        <v>0</v>
      </c>
      <c r="T27" s="27" t="n">
        <f aca="false">IF(COUNT(Soja!$E25:$Z25)=0,0,MAX(0,IF((T$6-$E$3)&lt;1,0,IFERROR(LOOKUP(2,1/(Soja!$E25:INDEX(Soja!$E25:$Z25,MIN(T$6-$E$3,22))&lt;&gt;""),Soja!$E25:INDEX(Soja!$E25:$Z25,MIN(T$6-$E$3,22))),0))-IF($G$2,0,IF((T$6-$G$3)&lt;1,0,IFERROR(LOOKUP(2,1/(Soja!$E25:INDEX(Soja!$E25:$Z25,MIN(T$6-$G$3,22))&lt;&gt;""),Soja!$E25:INDEX(Soja!$E25:$Z25,MIN(T$6-$G$3,22))),0)))))</f>
        <v>0</v>
      </c>
      <c r="U27" s="27" t="n">
        <f aca="false">IF(COUNT(Soja!$E25:$Z25)=0,0,MAX(0,IF((U$6-$E$3)&lt;1,0,IFERROR(LOOKUP(2,1/(Soja!$E25:INDEX(Soja!$E25:$Z25,MIN(U$6-$E$3,22))&lt;&gt;""),Soja!$E25:INDEX(Soja!$E25:$Z25,MIN(U$6-$E$3,22))),0))-IF($G$2,0,IF((U$6-$G$3)&lt;1,0,IFERROR(LOOKUP(2,1/(Soja!$E25:INDEX(Soja!$E25:$Z25,MIN(U$6-$G$3,22))&lt;&gt;""),Soja!$E25:INDEX(Soja!$E25:$Z25,MIN(U$6-$G$3,22))),0)))))</f>
        <v>0</v>
      </c>
      <c r="V27" s="27" t="n">
        <f aca="false">IF(COUNT(Soja!$E25:$Z25)=0,0,MAX(0,IF((V$6-$E$3)&lt;1,0,IFERROR(LOOKUP(2,1/(Soja!$E25:INDEX(Soja!$E25:$Z25,MIN(V$6-$E$3,22))&lt;&gt;""),Soja!$E25:INDEX(Soja!$E25:$Z25,MIN(V$6-$E$3,22))),0))-IF($G$2,0,IF((V$6-$G$3)&lt;1,0,IFERROR(LOOKUP(2,1/(Soja!$E25:INDEX(Soja!$E25:$Z25,MIN(V$6-$G$3,22))&lt;&gt;""),Soja!$E25:INDEX(Soja!$E25:$Z25,MIN(V$6-$G$3,22))),0)))))</f>
        <v>0</v>
      </c>
      <c r="W27" s="27" t="n">
        <f aca="false">IF(COUNT(Soja!$E25:$Z25)=0,0,MAX(0,IF((W$6-$E$3)&lt;1,0,IFERROR(LOOKUP(2,1/(Soja!$E25:INDEX(Soja!$E25:$Z25,MIN(W$6-$E$3,22))&lt;&gt;""),Soja!$E25:INDEX(Soja!$E25:$Z25,MIN(W$6-$E$3,22))),0))-IF($G$2,0,IF((W$6-$G$3)&lt;1,0,IFERROR(LOOKUP(2,1/(Soja!$E25:INDEX(Soja!$E25:$Z25,MIN(W$6-$G$3,22))&lt;&gt;""),Soja!$E25:INDEX(Soja!$E25:$Z25,MIN(W$6-$G$3,22))),0)))))</f>
        <v>0</v>
      </c>
      <c r="X27" s="27" t="n">
        <f aca="false">IF(COUNT(Soja!$E25:$Z25)=0,0,MAX(0,IF((X$6-$E$3)&lt;1,0,IFERROR(LOOKUP(2,1/(Soja!$E25:INDEX(Soja!$E25:$Z25,MIN(X$6-$E$3,22))&lt;&gt;""),Soja!$E25:INDEX(Soja!$E25:$Z25,MIN(X$6-$E$3,22))),0))-IF($G$2,0,IF((X$6-$G$3)&lt;1,0,IFERROR(LOOKUP(2,1/(Soja!$E25:INDEX(Soja!$E25:$Z25,MIN(X$6-$G$3,22))&lt;&gt;""),Soja!$E25:INDEX(Soja!$E25:$Z25,MIN(X$6-$G$3,22))),0)))))</f>
        <v>0</v>
      </c>
      <c r="Y27" s="27" t="n">
        <f aca="false">IF(COUNT(Soja!$E25:$Z25)=0,0,MAX(0,IF((Y$6-$E$3)&lt;1,0,IFERROR(LOOKUP(2,1/(Soja!$E25:INDEX(Soja!$E25:$Z25,MIN(Y$6-$E$3,22))&lt;&gt;""),Soja!$E25:INDEX(Soja!$E25:$Z25,MIN(Y$6-$E$3,22))),0))-IF($G$2,0,IF((Y$6-$G$3)&lt;1,0,IFERROR(LOOKUP(2,1/(Soja!$E25:INDEX(Soja!$E25:$Z25,MIN(Y$6-$G$3,22))&lt;&gt;""),Soja!$E25:INDEX(Soja!$E25:$Z25,MIN(Y$6-$G$3,22))),0)))))</f>
        <v>0</v>
      </c>
      <c r="Z27" s="27" t="n">
        <f aca="false">IF(COUNT(Soja!$E25:$Z25)=0,0,MAX(0,IF((Z$6-$E$3)&lt;1,0,IFERROR(LOOKUP(2,1/(Soja!$E25:INDEX(Soja!$E25:$Z25,MIN(Z$6-$E$3,22))&lt;&gt;""),Soja!$E25:INDEX(Soja!$E25:$Z25,MIN(Z$6-$E$3,22))),0))-IF($G$2,0,IF((Z$6-$G$3)&lt;1,0,IFERROR(LOOKUP(2,1/(Soja!$E25:INDEX(Soja!$E25:$Z25,MIN(Z$6-$G$3,22))&lt;&gt;""),Soja!$E25:INDEX(Soja!$E25:$Z25,MIN(Z$6-$G$3,22))),0)))))</f>
        <v>0</v>
      </c>
      <c r="AA27" s="27" t="n">
        <f aca="false">IF(COUNT(Soja!$E25:$Z25)=0,0,MAX(0,IF((AA$6-$E$3)&lt;1,0,IFERROR(LOOKUP(2,1/(Soja!$E25:INDEX(Soja!$E25:$Z25,MIN(AA$6-$E$3,22))&lt;&gt;""),Soja!$E25:INDEX(Soja!$E25:$Z25,MIN(AA$6-$E$3,22))),0))-IF($G$2,0,IF((AA$6-$G$3)&lt;1,0,IFERROR(LOOKUP(2,1/(Soja!$E25:INDEX(Soja!$E25:$Z25,MIN(AA$6-$G$3,22))&lt;&gt;""),Soja!$E25:INDEX(Soja!$E25:$Z25,MIN(AA$6-$G$3,22))),0)))))</f>
        <v>0</v>
      </c>
      <c r="AB27" s="27" t="n">
        <f aca="false">IF(COUNT(Soja!$E25:$Z25)=0,0,MAX(0,IF((AB$6-$E$3)&lt;1,0,IFERROR(LOOKUP(2,1/(Soja!$E25:INDEX(Soja!$E25:$Z25,MIN(AB$6-$E$3,22))&lt;&gt;""),Soja!$E25:INDEX(Soja!$E25:$Z25,MIN(AB$6-$E$3,22))),0))-IF($G$2,0,IF((AB$6-$G$3)&lt;1,0,IFERROR(LOOKUP(2,1/(Soja!$E25:INDEX(Soja!$E25:$Z25,MIN(AB$6-$G$3,22))&lt;&gt;""),Soja!$E25:INDEX(Soja!$E25:$Z25,MIN(AB$6-$G$3,22))),0)))))</f>
        <v>0</v>
      </c>
      <c r="AC27" s="27" t="n">
        <f aca="false">IF(COUNT(Soja!$E25:$Z25)=0,0,MAX(0,IF((AC$6-$E$3)&lt;1,0,IFERROR(LOOKUP(2,1/(Soja!$E25:INDEX(Soja!$E25:$Z25,MIN(AC$6-$E$3,22))&lt;&gt;""),Soja!$E25:INDEX(Soja!$E25:$Z25,MIN(AC$6-$E$3,22))),0))-IF($G$2,0,IF((AC$6-$G$3)&lt;1,0,IFERROR(LOOKUP(2,1/(Soja!$E25:INDEX(Soja!$E25:$Z25,MIN(AC$6-$G$3,22))&lt;&gt;""),Soja!$E25:INDEX(Soja!$E25:$Z25,MIN(AC$6-$G$3,22))),0)))))</f>
        <v>0</v>
      </c>
      <c r="AD27" s="27" t="n">
        <f aca="false">IF(COUNT(Soja!$E25:$Z25)=0,0,MAX(0,IF((AD$6-$E$3)&lt;1,0,IFERROR(LOOKUP(2,1/(Soja!$E25:INDEX(Soja!$E25:$Z25,MIN(AD$6-$E$3,22))&lt;&gt;""),Soja!$E25:INDEX(Soja!$E25:$Z25,MIN(AD$6-$E$3,22))),0))-IF($G$2,0,IF((AD$6-$G$3)&lt;1,0,IFERROR(LOOKUP(2,1/(Soja!$E25:INDEX(Soja!$E25:$Z25,MIN(AD$6-$G$3,22))&lt;&gt;""),Soja!$E25:INDEX(Soja!$E25:$Z25,MIN(AD$6-$G$3,22))),0)))))</f>
        <v>0</v>
      </c>
      <c r="AE27" s="27" t="n">
        <f aca="false">IF(COUNT(Soja!$E25:$Z25)=0,0,MAX(0,IF((AE$6-$E$3)&lt;1,0,IFERROR(LOOKUP(2,1/(Soja!$E25:INDEX(Soja!$E25:$Z25,MIN(AE$6-$E$3,22))&lt;&gt;""),Soja!$E25:INDEX(Soja!$E25:$Z25,MIN(AE$6-$E$3,22))),0))-IF($G$2,0,IF((AE$6-$G$3)&lt;1,0,IFERROR(LOOKUP(2,1/(Soja!$E25:INDEX(Soja!$E25:$Z25,MIN(AE$6-$G$3,22))&lt;&gt;""),Soja!$E25:INDEX(Soja!$E25:$Z25,MIN(AE$6-$G$3,22))),0)))))</f>
        <v>0</v>
      </c>
      <c r="AF27" s="27" t="n">
        <f aca="false">IF(COUNT(Soja!$E25:$Z25)=0,0,MAX(0,IF((AF$6-$E$3)&lt;1,0,IFERROR(LOOKUP(2,1/(Soja!$E25:INDEX(Soja!$E25:$Z25,MIN(AF$6-$E$3,22))&lt;&gt;""),Soja!$E25:INDEX(Soja!$E25:$Z25,MIN(AF$6-$E$3,22))),0))-IF($G$2,0,IF((AF$6-$G$3)&lt;1,0,IFERROR(LOOKUP(2,1/(Soja!$E25:INDEX(Soja!$E25:$Z25,MIN(AF$6-$G$3,22))&lt;&gt;""),Soja!$E25:INDEX(Soja!$E25:$Z25,MIN(AF$6-$G$3,22))),0)))))</f>
        <v>0</v>
      </c>
      <c r="AG27" s="27" t="n">
        <f aca="false">IF(COUNT(Soja!$E25:$Z25)=0,0,MAX(0,IF((AG$6-$E$3)&lt;1,0,IFERROR(LOOKUP(2,1/(Soja!$E25:INDEX(Soja!$E25:$Z25,MIN(AG$6-$E$3,22))&lt;&gt;""),Soja!$E25:INDEX(Soja!$E25:$Z25,MIN(AG$6-$E$3,22))),0))-IF($G$2,0,IF((AG$6-$G$3)&lt;1,0,IFERROR(LOOKUP(2,1/(Soja!$E25:INDEX(Soja!$E25:$Z25,MIN(AG$6-$G$3,22))&lt;&gt;""),Soja!$E25:INDEX(Soja!$E25:$Z25,MIN(AG$6-$G$3,22))),0)))))</f>
        <v>0</v>
      </c>
      <c r="AH27" s="27" t="n">
        <f aca="false">IF(COUNT(Soja!$E25:$Z25)=0,0,MAX(0,IF((AH$6-$E$3)&lt;1,0,IFERROR(LOOKUP(2,1/(Soja!$E25:INDEX(Soja!$E25:$Z25,MIN(AH$6-$E$3,22))&lt;&gt;""),Soja!$E25:INDEX(Soja!$E25:$Z25,MIN(AH$6-$E$3,22))),0))-IF($G$2,0,IF((AH$6-$G$3)&lt;1,0,IFERROR(LOOKUP(2,1/(Soja!$E25:INDEX(Soja!$E25:$Z25,MIN(AH$6-$G$3,22))&lt;&gt;""),Soja!$E25:INDEX(Soja!$E25:$Z25,MIN(AH$6-$G$3,22))),0)))))</f>
        <v>0</v>
      </c>
      <c r="AI27" s="27" t="n">
        <f aca="false">IF(COUNT(Soja!$E25:$Z25)=0,0,MAX(0,IF((AI$6-$E$3)&lt;1,0,IFERROR(LOOKUP(2,1/(Soja!$E25:INDEX(Soja!$E25:$Z25,MIN(AI$6-$E$3,22))&lt;&gt;""),Soja!$E25:INDEX(Soja!$E25:$Z25,MIN(AI$6-$E$3,22))),0))-IF($G$2,0,IF((AI$6-$G$3)&lt;1,0,IFERROR(LOOKUP(2,1/(Soja!$E25:INDEX(Soja!$E25:$Z25,MIN(AI$6-$G$3,22))&lt;&gt;""),Soja!$E25:INDEX(Soja!$E25:$Z25,MIN(AI$6-$G$3,22))),0)))))</f>
        <v>0</v>
      </c>
      <c r="AJ27" s="27" t="n">
        <f aca="false">IF(COUNT(Soja!$E25:$Z25)=0,0,MAX(0,IF((AJ$6-$E$3)&lt;1,0,IFERROR(LOOKUP(2,1/(Soja!$E25:INDEX(Soja!$E25:$Z25,MIN(AJ$6-$E$3,22))&lt;&gt;""),Soja!$E25:INDEX(Soja!$E25:$Z25,MIN(AJ$6-$E$3,22))),0))-IF($G$2,0,IF((AJ$6-$G$3)&lt;1,0,IFERROR(LOOKUP(2,1/(Soja!$E25:INDEX(Soja!$E25:$Z25,MIN(AJ$6-$G$3,22))&lt;&gt;""),Soja!$E25:INDEX(Soja!$E25:$Z25,MIN(AJ$6-$G$3,22))),0)))))</f>
        <v>0</v>
      </c>
      <c r="AK27" s="27" t="n">
        <f aca="false">IF(COUNT(Soja!$E25:$Z25)=0,0,MAX(0,IF((AK$6-$E$3)&lt;1,0,IFERROR(LOOKUP(2,1/(Soja!$E25:INDEX(Soja!$E25:$Z25,MIN(AK$6-$E$3,22))&lt;&gt;""),Soja!$E25:INDEX(Soja!$E25:$Z25,MIN(AK$6-$E$3,22))),0))-IF($G$2,0,IF((AK$6-$G$3)&lt;1,0,IFERROR(LOOKUP(2,1/(Soja!$E25:INDEX(Soja!$E25:$Z25,MIN(AK$6-$G$3,22))&lt;&gt;""),Soja!$E25:INDEX(Soja!$E25:$Z25,MIN(AK$6-$G$3,22))),0)))))</f>
        <v>0</v>
      </c>
      <c r="AL27" s="27" t="n">
        <f aca="false">IF(COUNT(Soja!$E25:$Z25)=0,0,MAX(0,IF((AL$6-$E$3)&lt;1,0,IFERROR(LOOKUP(2,1/(Soja!$E25:INDEX(Soja!$E25:$Z25,MIN(AL$6-$E$3,22))&lt;&gt;""),Soja!$E25:INDEX(Soja!$E25:$Z25,MIN(AL$6-$E$3,22))),0))-IF($G$2,0,IF((AL$6-$G$3)&lt;1,0,IFERROR(LOOKUP(2,1/(Soja!$E25:INDEX(Soja!$E25:$Z25,MIN(AL$6-$G$3,22))&lt;&gt;""),Soja!$E25:INDEX(Soja!$E25:$Z25,MIN(AL$6-$G$3,22))),0)))))</f>
        <v>0</v>
      </c>
      <c r="AM27" s="27" t="n">
        <f aca="false">IF(COUNT(Soja!$E25:$Z25)=0,0,MAX(0,IF((AM$6-$E$3)&lt;1,0,IFERROR(LOOKUP(2,1/(Soja!$E25:INDEX(Soja!$E25:$Z25,MIN(AM$6-$E$3,22))&lt;&gt;""),Soja!$E25:INDEX(Soja!$E25:$Z25,MIN(AM$6-$E$3,22))),0))-IF($G$2,0,IF((AM$6-$G$3)&lt;1,0,IFERROR(LOOKUP(2,1/(Soja!$E25:INDEX(Soja!$E25:$Z25,MIN(AM$6-$G$3,22))&lt;&gt;""),Soja!$E25:INDEX(Soja!$E25:$Z25,MIN(AM$6-$G$3,22))),0)))))</f>
        <v>0</v>
      </c>
      <c r="AN27" s="27" t="n">
        <f aca="false">IF(COUNT(Soja!$E25:$Z25)=0,0,MAX(0,IF((AN$6-$E$3)&lt;1,0,IFERROR(LOOKUP(2,1/(Soja!$E25:INDEX(Soja!$E25:$Z25,MIN(AN$6-$E$3,22))&lt;&gt;""),Soja!$E25:INDEX(Soja!$E25:$Z25,MIN(AN$6-$E$3,22))),0))-IF($G$2,0,IF((AN$6-$G$3)&lt;1,0,IFERROR(LOOKUP(2,1/(Soja!$E25:INDEX(Soja!$E25:$Z25,MIN(AN$6-$G$3,22))&lt;&gt;""),Soja!$E25:INDEX(Soja!$E25:$Z25,MIN(AN$6-$G$3,22))),0)))))</f>
        <v>0</v>
      </c>
      <c r="AO27" s="27" t="n">
        <f aca="false">IF(COUNT(Soja!$E25:$Z25)=0,0,MAX(0,IF((AO$6-$E$3)&lt;1,0,IFERROR(LOOKUP(2,1/(Soja!$E25:INDEX(Soja!$E25:$Z25,MIN(AO$6-$E$3,22))&lt;&gt;""),Soja!$E25:INDEX(Soja!$E25:$Z25,MIN(AO$6-$E$3,22))),0))-IF($G$2,0,IF((AO$6-$G$3)&lt;1,0,IFERROR(LOOKUP(2,1/(Soja!$E25:INDEX(Soja!$E25:$Z25,MIN(AO$6-$G$3,22))&lt;&gt;""),Soja!$E25:INDEX(Soja!$E25:$Z25,MIN(AO$6-$G$3,22))),0)))))</f>
        <v>0</v>
      </c>
      <c r="AP27" s="27" t="n">
        <f aca="false">IF(COUNT(Soja!$E25:$Z25)=0,0,MAX(0,IF((AP$6-$E$3)&lt;1,0,IFERROR(LOOKUP(2,1/(Soja!$E25:INDEX(Soja!$E25:$Z25,MIN(AP$6-$E$3,22))&lt;&gt;""),Soja!$E25:INDEX(Soja!$E25:$Z25,MIN(AP$6-$E$3,22))),0))-IF($G$2,0,IF((AP$6-$G$3)&lt;1,0,IFERROR(LOOKUP(2,1/(Soja!$E25:INDEX(Soja!$E25:$Z25,MIN(AP$6-$G$3,22))&lt;&gt;""),Soja!$E25:INDEX(Soja!$E25:$Z25,MIN(AP$6-$G$3,22))),0)))))</f>
        <v>0</v>
      </c>
      <c r="AQ27" s="27" t="n">
        <f aca="false">IF(COUNT(Soja!$E25:$Z25)=0,0,MAX(0,IF((AQ$6-$E$3)&lt;1,0,IFERROR(LOOKUP(2,1/(Soja!$E25:INDEX(Soja!$E25:$Z25,MIN(AQ$6-$E$3,22))&lt;&gt;""),Soja!$E25:INDEX(Soja!$E25:$Z25,MIN(AQ$6-$E$3,22))),0))-IF($G$2,0,IF((AQ$6-$G$3)&lt;1,0,IFERROR(LOOKUP(2,1/(Soja!$E25:INDEX(Soja!$E25:$Z25,MIN(AQ$6-$G$3,22))&lt;&gt;""),Soja!$E25:INDEX(Soja!$E25:$Z25,MIN(AQ$6-$G$3,22))),0)))))</f>
        <v>0</v>
      </c>
      <c r="AR27" s="27" t="n">
        <f aca="false">IF(COUNT(Soja!$E25:$Z25)=0,0,MAX(0,IF((AR$6-$E$3)&lt;1,0,IFERROR(LOOKUP(2,1/(Soja!$E25:INDEX(Soja!$E25:$Z25,MIN(AR$6-$E$3,22))&lt;&gt;""),Soja!$E25:INDEX(Soja!$E25:$Z25,MIN(AR$6-$E$3,22))),0))-IF($G$2,0,IF((AR$6-$G$3)&lt;1,0,IFERROR(LOOKUP(2,1/(Soja!$E25:INDEX(Soja!$E25:$Z25,MIN(AR$6-$G$3,22))&lt;&gt;""),Soja!$E25:INDEX(Soja!$E25:$Z25,MIN(AR$6-$G$3,22))),0)))))</f>
        <v>0</v>
      </c>
      <c r="AS27" s="27" t="n">
        <f aca="false">IF(COUNT(Soja!$E25:$Z25)=0,0,MAX(0,IF((AS$6-$E$3)&lt;1,0,IFERROR(LOOKUP(2,1/(Soja!$E25:INDEX(Soja!$E25:$Z25,MIN(AS$6-$E$3,22))&lt;&gt;""),Soja!$E25:INDEX(Soja!$E25:$Z25,MIN(AS$6-$E$3,22))),0))-IF($G$2,0,IF((AS$6-$G$3)&lt;1,0,IFERROR(LOOKUP(2,1/(Soja!$E25:INDEX(Soja!$E25:$Z25,MIN(AS$6-$G$3,22))&lt;&gt;""),Soja!$E25:INDEX(Soja!$E25:$Z25,MIN(AS$6-$G$3,22))),0)))))</f>
        <v>0</v>
      </c>
      <c r="AT27" s="27" t="n">
        <f aca="false">IF(COUNT(Soja!$E25:$Z25)=0,0,MAX(0,IF((AT$6-$E$3)&lt;1,0,IFERROR(LOOKUP(2,1/(Soja!$E25:INDEX(Soja!$E25:$Z25,MIN(AT$6-$E$3,22))&lt;&gt;""),Soja!$E25:INDEX(Soja!$E25:$Z25,MIN(AT$6-$E$3,22))),0))-IF($G$2,0,IF((AT$6-$G$3)&lt;1,0,IFERROR(LOOKUP(2,1/(Soja!$E25:INDEX(Soja!$E25:$Z25,MIN(AT$6-$G$3,22))&lt;&gt;""),Soja!$E25:INDEX(Soja!$E25:$Z25,MIN(AT$6-$G$3,22))),0)))))</f>
        <v>0</v>
      </c>
      <c r="AU27" s="27" t="n">
        <f aca="false">IF(COUNT(Soja!$E25:$Z25)=0,0,MAX(0,IF((AU$6-$E$3)&lt;1,0,IFERROR(LOOKUP(2,1/(Soja!$E25:INDEX(Soja!$E25:$Z25,MIN(AU$6-$E$3,22))&lt;&gt;""),Soja!$E25:INDEX(Soja!$E25:$Z25,MIN(AU$6-$E$3,22))),0))-IF($G$2,0,IF((AU$6-$G$3)&lt;1,0,IFERROR(LOOKUP(2,1/(Soja!$E25:INDEX(Soja!$E25:$Z25,MIN(AU$6-$G$3,22))&lt;&gt;""),Soja!$E25:INDEX(Soja!$E25:$Z25,MIN(AU$6-$G$3,22))),0)))))</f>
        <v>0</v>
      </c>
      <c r="AV27" s="27" t="n">
        <f aca="false">IF(COUNT(Soja!$E25:$Z25)=0,0,MAX(0,IF((AV$6-$E$3)&lt;1,0,IFERROR(LOOKUP(2,1/(Soja!$E25:INDEX(Soja!$E25:$Z25,MIN(AV$6-$E$3,22))&lt;&gt;""),Soja!$E25:INDEX(Soja!$E25:$Z25,MIN(AV$6-$E$3,22))),0))-IF($G$2,0,IF((AV$6-$G$3)&lt;1,0,IFERROR(LOOKUP(2,1/(Soja!$E25:INDEX(Soja!$E25:$Z25,MIN(AV$6-$G$3,22))&lt;&gt;""),Soja!$E25:INDEX(Soja!$E25:$Z25,MIN(AV$6-$G$3,22))),0)))))</f>
        <v>0</v>
      </c>
      <c r="AW27" s="27" t="n">
        <f aca="false">IF(COUNT(Soja!$E25:$Z25)=0,0,MAX(0,IF((AW$6-$E$3)&lt;1,0,IFERROR(LOOKUP(2,1/(Soja!$E25:INDEX(Soja!$E25:$Z25,MIN(AW$6-$E$3,22))&lt;&gt;""),Soja!$E25:INDEX(Soja!$E25:$Z25,MIN(AW$6-$E$3,22))),0))-IF($G$2,0,IF((AW$6-$G$3)&lt;1,0,IFERROR(LOOKUP(2,1/(Soja!$E25:INDEX(Soja!$E25:$Z25,MIN(AW$6-$G$3,22))&lt;&gt;""),Soja!$E25:INDEX(Soja!$E25:$Z25,MIN(AW$6-$G$3,22))),0)))))</f>
        <v>0</v>
      </c>
      <c r="AX27" s="27" t="n">
        <f aca="false">IF(COUNT(Soja!$E25:$Z25)=0,0,MAX(0,IF((AX$6-$E$3)&lt;1,0,IFERROR(LOOKUP(2,1/(Soja!$E25:INDEX(Soja!$E25:$Z25,MIN(AX$6-$E$3,22))&lt;&gt;""),Soja!$E25:INDEX(Soja!$E25:$Z25,MIN(AX$6-$E$3,22))),0))-IF($G$2,0,IF((AX$6-$G$3)&lt;1,0,IFERROR(LOOKUP(2,1/(Soja!$E25:INDEX(Soja!$E25:$Z25,MIN(AX$6-$G$3,22))&lt;&gt;""),Soja!$E25:INDEX(Soja!$E25:$Z25,MIN(AX$6-$G$3,22))),0)))))</f>
        <v>0</v>
      </c>
      <c r="AY27" s="27" t="n">
        <f aca="false">IF(COUNT(Soja!$E25:$Z25)=0,0,MAX(0,IF((AY$6-$E$3)&lt;1,0,IFERROR(LOOKUP(2,1/(Soja!$E25:INDEX(Soja!$E25:$Z25,MIN(AY$6-$E$3,22))&lt;&gt;""),Soja!$E25:INDEX(Soja!$E25:$Z25,MIN(AY$6-$E$3,22))),0))-IF($G$2,0,IF((AY$6-$G$3)&lt;1,0,IFERROR(LOOKUP(2,1/(Soja!$E25:INDEX(Soja!$E25:$Z25,MIN(AY$6-$G$3,22))&lt;&gt;""),Soja!$E25:INDEX(Soja!$E25:$Z25,MIN(AY$6-$G$3,22))),0)))))</f>
        <v>0</v>
      </c>
      <c r="AZ27" s="27" t="n">
        <f aca="false">IF(COUNT(Soja!$E25:$Z25)=0,0,MAX(0,IF((AZ$6-$E$3)&lt;1,0,IFERROR(LOOKUP(2,1/(Soja!$E25:INDEX(Soja!$E25:$Z25,MIN(AZ$6-$E$3,22))&lt;&gt;""),Soja!$E25:INDEX(Soja!$E25:$Z25,MIN(AZ$6-$E$3,22))),0))-IF($G$2,0,IF((AZ$6-$G$3)&lt;1,0,IFERROR(LOOKUP(2,1/(Soja!$E25:INDEX(Soja!$E25:$Z25,MIN(AZ$6-$G$3,22))&lt;&gt;""),Soja!$E25:INDEX(Soja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IF(COUNT(Soja!$E26:$Z26)&gt;0,N(Soja!$D26),0)</f>
        <v>0</v>
      </c>
      <c r="E28" s="27" t="n">
        <f aca="false">IF(COUNT(Soja!$E26:$Z26)=0,0,MAX(0,IF((E$6-$E$3)&lt;1,0,IFERROR(LOOKUP(2,1/(Soja!$E26:INDEX(Soja!$E26:$Z26,MIN(E$6-$E$3,22))&lt;&gt;""),Soja!$E26:INDEX(Soja!$E26:$Z26,MIN(E$6-$E$3,22))),0))-IF($G$2,0,IF((E$6-$G$3)&lt;1,0,IFERROR(LOOKUP(2,1/(Soja!$E26:INDEX(Soja!$E26:$Z26,MIN(E$6-$G$3,22))&lt;&gt;""),Soja!$E26:INDEX(Soja!$E26:$Z26,MIN(E$6-$G$3,22))),0)))))</f>
        <v>0</v>
      </c>
      <c r="F28" s="27" t="n">
        <f aca="false">IF(COUNT(Soja!$E26:$Z26)=0,0,MAX(0,IF((F$6-$E$3)&lt;1,0,IFERROR(LOOKUP(2,1/(Soja!$E26:INDEX(Soja!$E26:$Z26,MIN(F$6-$E$3,22))&lt;&gt;""),Soja!$E26:INDEX(Soja!$E26:$Z26,MIN(F$6-$E$3,22))),0))-IF($G$2,0,IF((F$6-$G$3)&lt;1,0,IFERROR(LOOKUP(2,1/(Soja!$E26:INDEX(Soja!$E26:$Z26,MIN(F$6-$G$3,22))&lt;&gt;""),Soja!$E26:INDEX(Soja!$E26:$Z26,MIN(F$6-$G$3,22))),0)))))</f>
        <v>0</v>
      </c>
      <c r="G28" s="27" t="n">
        <f aca="false">IF(COUNT(Soja!$E26:$Z26)=0,0,MAX(0,IF((G$6-$E$3)&lt;1,0,IFERROR(LOOKUP(2,1/(Soja!$E26:INDEX(Soja!$E26:$Z26,MIN(G$6-$E$3,22))&lt;&gt;""),Soja!$E26:INDEX(Soja!$E26:$Z26,MIN(G$6-$E$3,22))),0))-IF($G$2,0,IF((G$6-$G$3)&lt;1,0,IFERROR(LOOKUP(2,1/(Soja!$E26:INDEX(Soja!$E26:$Z26,MIN(G$6-$G$3,22))&lt;&gt;""),Soja!$E26:INDEX(Soja!$E26:$Z26,MIN(G$6-$G$3,22))),0)))))</f>
        <v>0</v>
      </c>
      <c r="H28" s="27" t="n">
        <f aca="false">IF(COUNT(Soja!$E26:$Z26)=0,0,MAX(0,IF((H$6-$E$3)&lt;1,0,IFERROR(LOOKUP(2,1/(Soja!$E26:INDEX(Soja!$E26:$Z26,MIN(H$6-$E$3,22))&lt;&gt;""),Soja!$E26:INDEX(Soja!$E26:$Z26,MIN(H$6-$E$3,22))),0))-IF($G$2,0,IF((H$6-$G$3)&lt;1,0,IFERROR(LOOKUP(2,1/(Soja!$E26:INDEX(Soja!$E26:$Z26,MIN(H$6-$G$3,22))&lt;&gt;""),Soja!$E26:INDEX(Soja!$E26:$Z26,MIN(H$6-$G$3,22))),0)))))</f>
        <v>0</v>
      </c>
      <c r="I28" s="27" t="n">
        <f aca="false">IF(COUNT(Soja!$E26:$Z26)=0,0,MAX(0,IF((I$6-$E$3)&lt;1,0,IFERROR(LOOKUP(2,1/(Soja!$E26:INDEX(Soja!$E26:$Z26,MIN(I$6-$E$3,22))&lt;&gt;""),Soja!$E26:INDEX(Soja!$E26:$Z26,MIN(I$6-$E$3,22))),0))-IF($G$2,0,IF((I$6-$G$3)&lt;1,0,IFERROR(LOOKUP(2,1/(Soja!$E26:INDEX(Soja!$E26:$Z26,MIN(I$6-$G$3,22))&lt;&gt;""),Soja!$E26:INDEX(Soja!$E26:$Z26,MIN(I$6-$G$3,22))),0)))))</f>
        <v>0</v>
      </c>
      <c r="J28" s="27" t="n">
        <f aca="false">IF(COUNT(Soja!$E26:$Z26)=0,0,MAX(0,IF((J$6-$E$3)&lt;1,0,IFERROR(LOOKUP(2,1/(Soja!$E26:INDEX(Soja!$E26:$Z26,MIN(J$6-$E$3,22))&lt;&gt;""),Soja!$E26:INDEX(Soja!$E26:$Z26,MIN(J$6-$E$3,22))),0))-IF($G$2,0,IF((J$6-$G$3)&lt;1,0,IFERROR(LOOKUP(2,1/(Soja!$E26:INDEX(Soja!$E26:$Z26,MIN(J$6-$G$3,22))&lt;&gt;""),Soja!$E26:INDEX(Soja!$E26:$Z26,MIN(J$6-$G$3,22))),0)))))</f>
        <v>0</v>
      </c>
      <c r="K28" s="27" t="n">
        <f aca="false">IF(COUNT(Soja!$E26:$Z26)=0,0,MAX(0,IF((K$6-$E$3)&lt;1,0,IFERROR(LOOKUP(2,1/(Soja!$E26:INDEX(Soja!$E26:$Z26,MIN(K$6-$E$3,22))&lt;&gt;""),Soja!$E26:INDEX(Soja!$E26:$Z26,MIN(K$6-$E$3,22))),0))-IF($G$2,0,IF((K$6-$G$3)&lt;1,0,IFERROR(LOOKUP(2,1/(Soja!$E26:INDEX(Soja!$E26:$Z26,MIN(K$6-$G$3,22))&lt;&gt;""),Soja!$E26:INDEX(Soja!$E26:$Z26,MIN(K$6-$G$3,22))),0)))))</f>
        <v>0</v>
      </c>
      <c r="L28" s="27" t="n">
        <f aca="false">IF(COUNT(Soja!$E26:$Z26)=0,0,MAX(0,IF((L$6-$E$3)&lt;1,0,IFERROR(LOOKUP(2,1/(Soja!$E26:INDEX(Soja!$E26:$Z26,MIN(L$6-$E$3,22))&lt;&gt;""),Soja!$E26:INDEX(Soja!$E26:$Z26,MIN(L$6-$E$3,22))),0))-IF($G$2,0,IF((L$6-$G$3)&lt;1,0,IFERROR(LOOKUP(2,1/(Soja!$E26:INDEX(Soja!$E26:$Z26,MIN(L$6-$G$3,22))&lt;&gt;""),Soja!$E26:INDEX(Soja!$E26:$Z26,MIN(L$6-$G$3,22))),0)))))</f>
        <v>0</v>
      </c>
      <c r="M28" s="27" t="n">
        <f aca="false">IF(COUNT(Soja!$E26:$Z26)=0,0,MAX(0,IF((M$6-$E$3)&lt;1,0,IFERROR(LOOKUP(2,1/(Soja!$E26:INDEX(Soja!$E26:$Z26,MIN(M$6-$E$3,22))&lt;&gt;""),Soja!$E26:INDEX(Soja!$E26:$Z26,MIN(M$6-$E$3,22))),0))-IF($G$2,0,IF((M$6-$G$3)&lt;1,0,IFERROR(LOOKUP(2,1/(Soja!$E26:INDEX(Soja!$E26:$Z26,MIN(M$6-$G$3,22))&lt;&gt;""),Soja!$E26:INDEX(Soja!$E26:$Z26,MIN(M$6-$G$3,22))),0)))))</f>
        <v>0</v>
      </c>
      <c r="N28" s="27" t="n">
        <f aca="false">IF(COUNT(Soja!$E26:$Z26)=0,0,MAX(0,IF((N$6-$E$3)&lt;1,0,IFERROR(LOOKUP(2,1/(Soja!$E26:INDEX(Soja!$E26:$Z26,MIN(N$6-$E$3,22))&lt;&gt;""),Soja!$E26:INDEX(Soja!$E26:$Z26,MIN(N$6-$E$3,22))),0))-IF($G$2,0,IF((N$6-$G$3)&lt;1,0,IFERROR(LOOKUP(2,1/(Soja!$E26:INDEX(Soja!$E26:$Z26,MIN(N$6-$G$3,22))&lt;&gt;""),Soja!$E26:INDEX(Soja!$E26:$Z26,MIN(N$6-$G$3,22))),0)))))</f>
        <v>0</v>
      </c>
      <c r="O28" s="27" t="n">
        <f aca="false">IF(COUNT(Soja!$E26:$Z26)=0,0,MAX(0,IF((O$6-$E$3)&lt;1,0,IFERROR(LOOKUP(2,1/(Soja!$E26:INDEX(Soja!$E26:$Z26,MIN(O$6-$E$3,22))&lt;&gt;""),Soja!$E26:INDEX(Soja!$E26:$Z26,MIN(O$6-$E$3,22))),0))-IF($G$2,0,IF((O$6-$G$3)&lt;1,0,IFERROR(LOOKUP(2,1/(Soja!$E26:INDEX(Soja!$E26:$Z26,MIN(O$6-$G$3,22))&lt;&gt;""),Soja!$E26:INDEX(Soja!$E26:$Z26,MIN(O$6-$G$3,22))),0)))))</f>
        <v>0</v>
      </c>
      <c r="P28" s="27" t="n">
        <f aca="false">IF(COUNT(Soja!$E26:$Z26)=0,0,MAX(0,IF((P$6-$E$3)&lt;1,0,IFERROR(LOOKUP(2,1/(Soja!$E26:INDEX(Soja!$E26:$Z26,MIN(P$6-$E$3,22))&lt;&gt;""),Soja!$E26:INDEX(Soja!$E26:$Z26,MIN(P$6-$E$3,22))),0))-IF($G$2,0,IF((P$6-$G$3)&lt;1,0,IFERROR(LOOKUP(2,1/(Soja!$E26:INDEX(Soja!$E26:$Z26,MIN(P$6-$G$3,22))&lt;&gt;""),Soja!$E26:INDEX(Soja!$E26:$Z26,MIN(P$6-$G$3,22))),0)))))</f>
        <v>0</v>
      </c>
      <c r="Q28" s="27" t="n">
        <f aca="false">IF(COUNT(Soja!$E26:$Z26)=0,0,MAX(0,IF((Q$6-$E$3)&lt;1,0,IFERROR(LOOKUP(2,1/(Soja!$E26:INDEX(Soja!$E26:$Z26,MIN(Q$6-$E$3,22))&lt;&gt;""),Soja!$E26:INDEX(Soja!$E26:$Z26,MIN(Q$6-$E$3,22))),0))-IF($G$2,0,IF((Q$6-$G$3)&lt;1,0,IFERROR(LOOKUP(2,1/(Soja!$E26:INDEX(Soja!$E26:$Z26,MIN(Q$6-$G$3,22))&lt;&gt;""),Soja!$E26:INDEX(Soja!$E26:$Z26,MIN(Q$6-$G$3,22))),0)))))</f>
        <v>0</v>
      </c>
      <c r="R28" s="27" t="n">
        <f aca="false">IF(COUNT(Soja!$E26:$Z26)=0,0,MAX(0,IF((R$6-$E$3)&lt;1,0,IFERROR(LOOKUP(2,1/(Soja!$E26:INDEX(Soja!$E26:$Z26,MIN(R$6-$E$3,22))&lt;&gt;""),Soja!$E26:INDEX(Soja!$E26:$Z26,MIN(R$6-$E$3,22))),0))-IF($G$2,0,IF((R$6-$G$3)&lt;1,0,IFERROR(LOOKUP(2,1/(Soja!$E26:INDEX(Soja!$E26:$Z26,MIN(R$6-$G$3,22))&lt;&gt;""),Soja!$E26:INDEX(Soja!$E26:$Z26,MIN(R$6-$G$3,22))),0)))))</f>
        <v>0</v>
      </c>
      <c r="S28" s="27" t="n">
        <f aca="false">IF(COUNT(Soja!$E26:$Z26)=0,0,MAX(0,IF((S$6-$E$3)&lt;1,0,IFERROR(LOOKUP(2,1/(Soja!$E26:INDEX(Soja!$E26:$Z26,MIN(S$6-$E$3,22))&lt;&gt;""),Soja!$E26:INDEX(Soja!$E26:$Z26,MIN(S$6-$E$3,22))),0))-IF($G$2,0,IF((S$6-$G$3)&lt;1,0,IFERROR(LOOKUP(2,1/(Soja!$E26:INDEX(Soja!$E26:$Z26,MIN(S$6-$G$3,22))&lt;&gt;""),Soja!$E26:INDEX(Soja!$E26:$Z26,MIN(S$6-$G$3,22))),0)))))</f>
        <v>0</v>
      </c>
      <c r="T28" s="27" t="n">
        <f aca="false">IF(COUNT(Soja!$E26:$Z26)=0,0,MAX(0,IF((T$6-$E$3)&lt;1,0,IFERROR(LOOKUP(2,1/(Soja!$E26:INDEX(Soja!$E26:$Z26,MIN(T$6-$E$3,22))&lt;&gt;""),Soja!$E26:INDEX(Soja!$E26:$Z26,MIN(T$6-$E$3,22))),0))-IF($G$2,0,IF((T$6-$G$3)&lt;1,0,IFERROR(LOOKUP(2,1/(Soja!$E26:INDEX(Soja!$E26:$Z26,MIN(T$6-$G$3,22))&lt;&gt;""),Soja!$E26:INDEX(Soja!$E26:$Z26,MIN(T$6-$G$3,22))),0)))))</f>
        <v>0</v>
      </c>
      <c r="U28" s="27" t="n">
        <f aca="false">IF(COUNT(Soja!$E26:$Z26)=0,0,MAX(0,IF((U$6-$E$3)&lt;1,0,IFERROR(LOOKUP(2,1/(Soja!$E26:INDEX(Soja!$E26:$Z26,MIN(U$6-$E$3,22))&lt;&gt;""),Soja!$E26:INDEX(Soja!$E26:$Z26,MIN(U$6-$E$3,22))),0))-IF($G$2,0,IF((U$6-$G$3)&lt;1,0,IFERROR(LOOKUP(2,1/(Soja!$E26:INDEX(Soja!$E26:$Z26,MIN(U$6-$G$3,22))&lt;&gt;""),Soja!$E26:INDEX(Soja!$E26:$Z26,MIN(U$6-$G$3,22))),0)))))</f>
        <v>0</v>
      </c>
      <c r="V28" s="27" t="n">
        <f aca="false">IF(COUNT(Soja!$E26:$Z26)=0,0,MAX(0,IF((V$6-$E$3)&lt;1,0,IFERROR(LOOKUP(2,1/(Soja!$E26:INDEX(Soja!$E26:$Z26,MIN(V$6-$E$3,22))&lt;&gt;""),Soja!$E26:INDEX(Soja!$E26:$Z26,MIN(V$6-$E$3,22))),0))-IF($G$2,0,IF((V$6-$G$3)&lt;1,0,IFERROR(LOOKUP(2,1/(Soja!$E26:INDEX(Soja!$E26:$Z26,MIN(V$6-$G$3,22))&lt;&gt;""),Soja!$E26:INDEX(Soja!$E26:$Z26,MIN(V$6-$G$3,22))),0)))))</f>
        <v>0</v>
      </c>
      <c r="W28" s="27" t="n">
        <f aca="false">IF(COUNT(Soja!$E26:$Z26)=0,0,MAX(0,IF((W$6-$E$3)&lt;1,0,IFERROR(LOOKUP(2,1/(Soja!$E26:INDEX(Soja!$E26:$Z26,MIN(W$6-$E$3,22))&lt;&gt;""),Soja!$E26:INDEX(Soja!$E26:$Z26,MIN(W$6-$E$3,22))),0))-IF($G$2,0,IF((W$6-$G$3)&lt;1,0,IFERROR(LOOKUP(2,1/(Soja!$E26:INDEX(Soja!$E26:$Z26,MIN(W$6-$G$3,22))&lt;&gt;""),Soja!$E26:INDEX(Soja!$E26:$Z26,MIN(W$6-$G$3,22))),0)))))</f>
        <v>0</v>
      </c>
      <c r="X28" s="27" t="n">
        <f aca="false">IF(COUNT(Soja!$E26:$Z26)=0,0,MAX(0,IF((X$6-$E$3)&lt;1,0,IFERROR(LOOKUP(2,1/(Soja!$E26:INDEX(Soja!$E26:$Z26,MIN(X$6-$E$3,22))&lt;&gt;""),Soja!$E26:INDEX(Soja!$E26:$Z26,MIN(X$6-$E$3,22))),0))-IF($G$2,0,IF((X$6-$G$3)&lt;1,0,IFERROR(LOOKUP(2,1/(Soja!$E26:INDEX(Soja!$E26:$Z26,MIN(X$6-$G$3,22))&lt;&gt;""),Soja!$E26:INDEX(Soja!$E26:$Z26,MIN(X$6-$G$3,22))),0)))))</f>
        <v>0</v>
      </c>
      <c r="Y28" s="27" t="n">
        <f aca="false">IF(COUNT(Soja!$E26:$Z26)=0,0,MAX(0,IF((Y$6-$E$3)&lt;1,0,IFERROR(LOOKUP(2,1/(Soja!$E26:INDEX(Soja!$E26:$Z26,MIN(Y$6-$E$3,22))&lt;&gt;""),Soja!$E26:INDEX(Soja!$E26:$Z26,MIN(Y$6-$E$3,22))),0))-IF($G$2,0,IF((Y$6-$G$3)&lt;1,0,IFERROR(LOOKUP(2,1/(Soja!$E26:INDEX(Soja!$E26:$Z26,MIN(Y$6-$G$3,22))&lt;&gt;""),Soja!$E26:INDEX(Soja!$E26:$Z26,MIN(Y$6-$G$3,22))),0)))))</f>
        <v>0</v>
      </c>
      <c r="Z28" s="27" t="n">
        <f aca="false">IF(COUNT(Soja!$E26:$Z26)=0,0,MAX(0,IF((Z$6-$E$3)&lt;1,0,IFERROR(LOOKUP(2,1/(Soja!$E26:INDEX(Soja!$E26:$Z26,MIN(Z$6-$E$3,22))&lt;&gt;""),Soja!$E26:INDEX(Soja!$E26:$Z26,MIN(Z$6-$E$3,22))),0))-IF($G$2,0,IF((Z$6-$G$3)&lt;1,0,IFERROR(LOOKUP(2,1/(Soja!$E26:INDEX(Soja!$E26:$Z26,MIN(Z$6-$G$3,22))&lt;&gt;""),Soja!$E26:INDEX(Soja!$E26:$Z26,MIN(Z$6-$G$3,22))),0)))))</f>
        <v>0</v>
      </c>
      <c r="AA28" s="27" t="n">
        <f aca="false">IF(COUNT(Soja!$E26:$Z26)=0,0,MAX(0,IF((AA$6-$E$3)&lt;1,0,IFERROR(LOOKUP(2,1/(Soja!$E26:INDEX(Soja!$E26:$Z26,MIN(AA$6-$E$3,22))&lt;&gt;""),Soja!$E26:INDEX(Soja!$E26:$Z26,MIN(AA$6-$E$3,22))),0))-IF($G$2,0,IF((AA$6-$G$3)&lt;1,0,IFERROR(LOOKUP(2,1/(Soja!$E26:INDEX(Soja!$E26:$Z26,MIN(AA$6-$G$3,22))&lt;&gt;""),Soja!$E26:INDEX(Soja!$E26:$Z26,MIN(AA$6-$G$3,22))),0)))))</f>
        <v>0</v>
      </c>
      <c r="AB28" s="27" t="n">
        <f aca="false">IF(COUNT(Soja!$E26:$Z26)=0,0,MAX(0,IF((AB$6-$E$3)&lt;1,0,IFERROR(LOOKUP(2,1/(Soja!$E26:INDEX(Soja!$E26:$Z26,MIN(AB$6-$E$3,22))&lt;&gt;""),Soja!$E26:INDEX(Soja!$E26:$Z26,MIN(AB$6-$E$3,22))),0))-IF($G$2,0,IF((AB$6-$G$3)&lt;1,0,IFERROR(LOOKUP(2,1/(Soja!$E26:INDEX(Soja!$E26:$Z26,MIN(AB$6-$G$3,22))&lt;&gt;""),Soja!$E26:INDEX(Soja!$E26:$Z26,MIN(AB$6-$G$3,22))),0)))))</f>
        <v>0</v>
      </c>
      <c r="AC28" s="27" t="n">
        <f aca="false">IF(COUNT(Soja!$E26:$Z26)=0,0,MAX(0,IF((AC$6-$E$3)&lt;1,0,IFERROR(LOOKUP(2,1/(Soja!$E26:INDEX(Soja!$E26:$Z26,MIN(AC$6-$E$3,22))&lt;&gt;""),Soja!$E26:INDEX(Soja!$E26:$Z26,MIN(AC$6-$E$3,22))),0))-IF($G$2,0,IF((AC$6-$G$3)&lt;1,0,IFERROR(LOOKUP(2,1/(Soja!$E26:INDEX(Soja!$E26:$Z26,MIN(AC$6-$G$3,22))&lt;&gt;""),Soja!$E26:INDEX(Soja!$E26:$Z26,MIN(AC$6-$G$3,22))),0)))))</f>
        <v>0</v>
      </c>
      <c r="AD28" s="27" t="n">
        <f aca="false">IF(COUNT(Soja!$E26:$Z26)=0,0,MAX(0,IF((AD$6-$E$3)&lt;1,0,IFERROR(LOOKUP(2,1/(Soja!$E26:INDEX(Soja!$E26:$Z26,MIN(AD$6-$E$3,22))&lt;&gt;""),Soja!$E26:INDEX(Soja!$E26:$Z26,MIN(AD$6-$E$3,22))),0))-IF($G$2,0,IF((AD$6-$G$3)&lt;1,0,IFERROR(LOOKUP(2,1/(Soja!$E26:INDEX(Soja!$E26:$Z26,MIN(AD$6-$G$3,22))&lt;&gt;""),Soja!$E26:INDEX(Soja!$E26:$Z26,MIN(AD$6-$G$3,22))),0)))))</f>
        <v>0</v>
      </c>
      <c r="AE28" s="27" t="n">
        <f aca="false">IF(COUNT(Soja!$E26:$Z26)=0,0,MAX(0,IF((AE$6-$E$3)&lt;1,0,IFERROR(LOOKUP(2,1/(Soja!$E26:INDEX(Soja!$E26:$Z26,MIN(AE$6-$E$3,22))&lt;&gt;""),Soja!$E26:INDEX(Soja!$E26:$Z26,MIN(AE$6-$E$3,22))),0))-IF($G$2,0,IF((AE$6-$G$3)&lt;1,0,IFERROR(LOOKUP(2,1/(Soja!$E26:INDEX(Soja!$E26:$Z26,MIN(AE$6-$G$3,22))&lt;&gt;""),Soja!$E26:INDEX(Soja!$E26:$Z26,MIN(AE$6-$G$3,22))),0)))))</f>
        <v>0</v>
      </c>
      <c r="AF28" s="27" t="n">
        <f aca="false">IF(COUNT(Soja!$E26:$Z26)=0,0,MAX(0,IF((AF$6-$E$3)&lt;1,0,IFERROR(LOOKUP(2,1/(Soja!$E26:INDEX(Soja!$E26:$Z26,MIN(AF$6-$E$3,22))&lt;&gt;""),Soja!$E26:INDEX(Soja!$E26:$Z26,MIN(AF$6-$E$3,22))),0))-IF($G$2,0,IF((AF$6-$G$3)&lt;1,0,IFERROR(LOOKUP(2,1/(Soja!$E26:INDEX(Soja!$E26:$Z26,MIN(AF$6-$G$3,22))&lt;&gt;""),Soja!$E26:INDEX(Soja!$E26:$Z26,MIN(AF$6-$G$3,22))),0)))))</f>
        <v>0</v>
      </c>
      <c r="AG28" s="27" t="n">
        <f aca="false">IF(COUNT(Soja!$E26:$Z26)=0,0,MAX(0,IF((AG$6-$E$3)&lt;1,0,IFERROR(LOOKUP(2,1/(Soja!$E26:INDEX(Soja!$E26:$Z26,MIN(AG$6-$E$3,22))&lt;&gt;""),Soja!$E26:INDEX(Soja!$E26:$Z26,MIN(AG$6-$E$3,22))),0))-IF($G$2,0,IF((AG$6-$G$3)&lt;1,0,IFERROR(LOOKUP(2,1/(Soja!$E26:INDEX(Soja!$E26:$Z26,MIN(AG$6-$G$3,22))&lt;&gt;""),Soja!$E26:INDEX(Soja!$E26:$Z26,MIN(AG$6-$G$3,22))),0)))))</f>
        <v>0</v>
      </c>
      <c r="AH28" s="27" t="n">
        <f aca="false">IF(COUNT(Soja!$E26:$Z26)=0,0,MAX(0,IF((AH$6-$E$3)&lt;1,0,IFERROR(LOOKUP(2,1/(Soja!$E26:INDEX(Soja!$E26:$Z26,MIN(AH$6-$E$3,22))&lt;&gt;""),Soja!$E26:INDEX(Soja!$E26:$Z26,MIN(AH$6-$E$3,22))),0))-IF($G$2,0,IF((AH$6-$G$3)&lt;1,0,IFERROR(LOOKUP(2,1/(Soja!$E26:INDEX(Soja!$E26:$Z26,MIN(AH$6-$G$3,22))&lt;&gt;""),Soja!$E26:INDEX(Soja!$E26:$Z26,MIN(AH$6-$G$3,22))),0)))))</f>
        <v>0</v>
      </c>
      <c r="AI28" s="27" t="n">
        <f aca="false">IF(COUNT(Soja!$E26:$Z26)=0,0,MAX(0,IF((AI$6-$E$3)&lt;1,0,IFERROR(LOOKUP(2,1/(Soja!$E26:INDEX(Soja!$E26:$Z26,MIN(AI$6-$E$3,22))&lt;&gt;""),Soja!$E26:INDEX(Soja!$E26:$Z26,MIN(AI$6-$E$3,22))),0))-IF($G$2,0,IF((AI$6-$G$3)&lt;1,0,IFERROR(LOOKUP(2,1/(Soja!$E26:INDEX(Soja!$E26:$Z26,MIN(AI$6-$G$3,22))&lt;&gt;""),Soja!$E26:INDEX(Soja!$E26:$Z26,MIN(AI$6-$G$3,22))),0)))))</f>
        <v>0</v>
      </c>
      <c r="AJ28" s="27" t="n">
        <f aca="false">IF(COUNT(Soja!$E26:$Z26)=0,0,MAX(0,IF((AJ$6-$E$3)&lt;1,0,IFERROR(LOOKUP(2,1/(Soja!$E26:INDEX(Soja!$E26:$Z26,MIN(AJ$6-$E$3,22))&lt;&gt;""),Soja!$E26:INDEX(Soja!$E26:$Z26,MIN(AJ$6-$E$3,22))),0))-IF($G$2,0,IF((AJ$6-$G$3)&lt;1,0,IFERROR(LOOKUP(2,1/(Soja!$E26:INDEX(Soja!$E26:$Z26,MIN(AJ$6-$G$3,22))&lt;&gt;""),Soja!$E26:INDEX(Soja!$E26:$Z26,MIN(AJ$6-$G$3,22))),0)))))</f>
        <v>0</v>
      </c>
      <c r="AK28" s="27" t="n">
        <f aca="false">IF(COUNT(Soja!$E26:$Z26)=0,0,MAX(0,IF((AK$6-$E$3)&lt;1,0,IFERROR(LOOKUP(2,1/(Soja!$E26:INDEX(Soja!$E26:$Z26,MIN(AK$6-$E$3,22))&lt;&gt;""),Soja!$E26:INDEX(Soja!$E26:$Z26,MIN(AK$6-$E$3,22))),0))-IF($G$2,0,IF((AK$6-$G$3)&lt;1,0,IFERROR(LOOKUP(2,1/(Soja!$E26:INDEX(Soja!$E26:$Z26,MIN(AK$6-$G$3,22))&lt;&gt;""),Soja!$E26:INDEX(Soja!$E26:$Z26,MIN(AK$6-$G$3,22))),0)))))</f>
        <v>0</v>
      </c>
      <c r="AL28" s="27" t="n">
        <f aca="false">IF(COUNT(Soja!$E26:$Z26)=0,0,MAX(0,IF((AL$6-$E$3)&lt;1,0,IFERROR(LOOKUP(2,1/(Soja!$E26:INDEX(Soja!$E26:$Z26,MIN(AL$6-$E$3,22))&lt;&gt;""),Soja!$E26:INDEX(Soja!$E26:$Z26,MIN(AL$6-$E$3,22))),0))-IF($G$2,0,IF((AL$6-$G$3)&lt;1,0,IFERROR(LOOKUP(2,1/(Soja!$E26:INDEX(Soja!$E26:$Z26,MIN(AL$6-$G$3,22))&lt;&gt;""),Soja!$E26:INDEX(Soja!$E26:$Z26,MIN(AL$6-$G$3,22))),0)))))</f>
        <v>0</v>
      </c>
      <c r="AM28" s="27" t="n">
        <f aca="false">IF(COUNT(Soja!$E26:$Z26)=0,0,MAX(0,IF((AM$6-$E$3)&lt;1,0,IFERROR(LOOKUP(2,1/(Soja!$E26:INDEX(Soja!$E26:$Z26,MIN(AM$6-$E$3,22))&lt;&gt;""),Soja!$E26:INDEX(Soja!$E26:$Z26,MIN(AM$6-$E$3,22))),0))-IF($G$2,0,IF((AM$6-$G$3)&lt;1,0,IFERROR(LOOKUP(2,1/(Soja!$E26:INDEX(Soja!$E26:$Z26,MIN(AM$6-$G$3,22))&lt;&gt;""),Soja!$E26:INDEX(Soja!$E26:$Z26,MIN(AM$6-$G$3,22))),0)))))</f>
        <v>0</v>
      </c>
      <c r="AN28" s="27" t="n">
        <f aca="false">IF(COUNT(Soja!$E26:$Z26)=0,0,MAX(0,IF((AN$6-$E$3)&lt;1,0,IFERROR(LOOKUP(2,1/(Soja!$E26:INDEX(Soja!$E26:$Z26,MIN(AN$6-$E$3,22))&lt;&gt;""),Soja!$E26:INDEX(Soja!$E26:$Z26,MIN(AN$6-$E$3,22))),0))-IF($G$2,0,IF((AN$6-$G$3)&lt;1,0,IFERROR(LOOKUP(2,1/(Soja!$E26:INDEX(Soja!$E26:$Z26,MIN(AN$6-$G$3,22))&lt;&gt;""),Soja!$E26:INDEX(Soja!$E26:$Z26,MIN(AN$6-$G$3,22))),0)))))</f>
        <v>0</v>
      </c>
      <c r="AO28" s="27" t="n">
        <f aca="false">IF(COUNT(Soja!$E26:$Z26)=0,0,MAX(0,IF((AO$6-$E$3)&lt;1,0,IFERROR(LOOKUP(2,1/(Soja!$E26:INDEX(Soja!$E26:$Z26,MIN(AO$6-$E$3,22))&lt;&gt;""),Soja!$E26:INDEX(Soja!$E26:$Z26,MIN(AO$6-$E$3,22))),0))-IF($G$2,0,IF((AO$6-$G$3)&lt;1,0,IFERROR(LOOKUP(2,1/(Soja!$E26:INDEX(Soja!$E26:$Z26,MIN(AO$6-$G$3,22))&lt;&gt;""),Soja!$E26:INDEX(Soja!$E26:$Z26,MIN(AO$6-$G$3,22))),0)))))</f>
        <v>0</v>
      </c>
      <c r="AP28" s="27" t="n">
        <f aca="false">IF(COUNT(Soja!$E26:$Z26)=0,0,MAX(0,IF((AP$6-$E$3)&lt;1,0,IFERROR(LOOKUP(2,1/(Soja!$E26:INDEX(Soja!$E26:$Z26,MIN(AP$6-$E$3,22))&lt;&gt;""),Soja!$E26:INDEX(Soja!$E26:$Z26,MIN(AP$6-$E$3,22))),0))-IF($G$2,0,IF((AP$6-$G$3)&lt;1,0,IFERROR(LOOKUP(2,1/(Soja!$E26:INDEX(Soja!$E26:$Z26,MIN(AP$6-$G$3,22))&lt;&gt;""),Soja!$E26:INDEX(Soja!$E26:$Z26,MIN(AP$6-$G$3,22))),0)))))</f>
        <v>0</v>
      </c>
      <c r="AQ28" s="27" t="n">
        <f aca="false">IF(COUNT(Soja!$E26:$Z26)=0,0,MAX(0,IF((AQ$6-$E$3)&lt;1,0,IFERROR(LOOKUP(2,1/(Soja!$E26:INDEX(Soja!$E26:$Z26,MIN(AQ$6-$E$3,22))&lt;&gt;""),Soja!$E26:INDEX(Soja!$E26:$Z26,MIN(AQ$6-$E$3,22))),0))-IF($G$2,0,IF((AQ$6-$G$3)&lt;1,0,IFERROR(LOOKUP(2,1/(Soja!$E26:INDEX(Soja!$E26:$Z26,MIN(AQ$6-$G$3,22))&lt;&gt;""),Soja!$E26:INDEX(Soja!$E26:$Z26,MIN(AQ$6-$G$3,22))),0)))))</f>
        <v>0</v>
      </c>
      <c r="AR28" s="27" t="n">
        <f aca="false">IF(COUNT(Soja!$E26:$Z26)=0,0,MAX(0,IF((AR$6-$E$3)&lt;1,0,IFERROR(LOOKUP(2,1/(Soja!$E26:INDEX(Soja!$E26:$Z26,MIN(AR$6-$E$3,22))&lt;&gt;""),Soja!$E26:INDEX(Soja!$E26:$Z26,MIN(AR$6-$E$3,22))),0))-IF($G$2,0,IF((AR$6-$G$3)&lt;1,0,IFERROR(LOOKUP(2,1/(Soja!$E26:INDEX(Soja!$E26:$Z26,MIN(AR$6-$G$3,22))&lt;&gt;""),Soja!$E26:INDEX(Soja!$E26:$Z26,MIN(AR$6-$G$3,22))),0)))))</f>
        <v>0</v>
      </c>
      <c r="AS28" s="27" t="n">
        <f aca="false">IF(COUNT(Soja!$E26:$Z26)=0,0,MAX(0,IF((AS$6-$E$3)&lt;1,0,IFERROR(LOOKUP(2,1/(Soja!$E26:INDEX(Soja!$E26:$Z26,MIN(AS$6-$E$3,22))&lt;&gt;""),Soja!$E26:INDEX(Soja!$E26:$Z26,MIN(AS$6-$E$3,22))),0))-IF($G$2,0,IF((AS$6-$G$3)&lt;1,0,IFERROR(LOOKUP(2,1/(Soja!$E26:INDEX(Soja!$E26:$Z26,MIN(AS$6-$G$3,22))&lt;&gt;""),Soja!$E26:INDEX(Soja!$E26:$Z26,MIN(AS$6-$G$3,22))),0)))))</f>
        <v>0</v>
      </c>
      <c r="AT28" s="27" t="n">
        <f aca="false">IF(COUNT(Soja!$E26:$Z26)=0,0,MAX(0,IF((AT$6-$E$3)&lt;1,0,IFERROR(LOOKUP(2,1/(Soja!$E26:INDEX(Soja!$E26:$Z26,MIN(AT$6-$E$3,22))&lt;&gt;""),Soja!$E26:INDEX(Soja!$E26:$Z26,MIN(AT$6-$E$3,22))),0))-IF($G$2,0,IF((AT$6-$G$3)&lt;1,0,IFERROR(LOOKUP(2,1/(Soja!$E26:INDEX(Soja!$E26:$Z26,MIN(AT$6-$G$3,22))&lt;&gt;""),Soja!$E26:INDEX(Soja!$E26:$Z26,MIN(AT$6-$G$3,22))),0)))))</f>
        <v>0</v>
      </c>
      <c r="AU28" s="27" t="n">
        <f aca="false">IF(COUNT(Soja!$E26:$Z26)=0,0,MAX(0,IF((AU$6-$E$3)&lt;1,0,IFERROR(LOOKUP(2,1/(Soja!$E26:INDEX(Soja!$E26:$Z26,MIN(AU$6-$E$3,22))&lt;&gt;""),Soja!$E26:INDEX(Soja!$E26:$Z26,MIN(AU$6-$E$3,22))),0))-IF($G$2,0,IF((AU$6-$G$3)&lt;1,0,IFERROR(LOOKUP(2,1/(Soja!$E26:INDEX(Soja!$E26:$Z26,MIN(AU$6-$G$3,22))&lt;&gt;""),Soja!$E26:INDEX(Soja!$E26:$Z26,MIN(AU$6-$G$3,22))),0)))))</f>
        <v>0</v>
      </c>
      <c r="AV28" s="27" t="n">
        <f aca="false">IF(COUNT(Soja!$E26:$Z26)=0,0,MAX(0,IF((AV$6-$E$3)&lt;1,0,IFERROR(LOOKUP(2,1/(Soja!$E26:INDEX(Soja!$E26:$Z26,MIN(AV$6-$E$3,22))&lt;&gt;""),Soja!$E26:INDEX(Soja!$E26:$Z26,MIN(AV$6-$E$3,22))),0))-IF($G$2,0,IF((AV$6-$G$3)&lt;1,0,IFERROR(LOOKUP(2,1/(Soja!$E26:INDEX(Soja!$E26:$Z26,MIN(AV$6-$G$3,22))&lt;&gt;""),Soja!$E26:INDEX(Soja!$E26:$Z26,MIN(AV$6-$G$3,22))),0)))))</f>
        <v>0</v>
      </c>
      <c r="AW28" s="27" t="n">
        <f aca="false">IF(COUNT(Soja!$E26:$Z26)=0,0,MAX(0,IF((AW$6-$E$3)&lt;1,0,IFERROR(LOOKUP(2,1/(Soja!$E26:INDEX(Soja!$E26:$Z26,MIN(AW$6-$E$3,22))&lt;&gt;""),Soja!$E26:INDEX(Soja!$E26:$Z26,MIN(AW$6-$E$3,22))),0))-IF($G$2,0,IF((AW$6-$G$3)&lt;1,0,IFERROR(LOOKUP(2,1/(Soja!$E26:INDEX(Soja!$E26:$Z26,MIN(AW$6-$G$3,22))&lt;&gt;""),Soja!$E26:INDEX(Soja!$E26:$Z26,MIN(AW$6-$G$3,22))),0)))))</f>
        <v>0</v>
      </c>
      <c r="AX28" s="27" t="n">
        <f aca="false">IF(COUNT(Soja!$E26:$Z26)=0,0,MAX(0,IF((AX$6-$E$3)&lt;1,0,IFERROR(LOOKUP(2,1/(Soja!$E26:INDEX(Soja!$E26:$Z26,MIN(AX$6-$E$3,22))&lt;&gt;""),Soja!$E26:INDEX(Soja!$E26:$Z26,MIN(AX$6-$E$3,22))),0))-IF($G$2,0,IF((AX$6-$G$3)&lt;1,0,IFERROR(LOOKUP(2,1/(Soja!$E26:INDEX(Soja!$E26:$Z26,MIN(AX$6-$G$3,22))&lt;&gt;""),Soja!$E26:INDEX(Soja!$E26:$Z26,MIN(AX$6-$G$3,22))),0)))))</f>
        <v>0</v>
      </c>
      <c r="AY28" s="27" t="n">
        <f aca="false">IF(COUNT(Soja!$E26:$Z26)=0,0,MAX(0,IF((AY$6-$E$3)&lt;1,0,IFERROR(LOOKUP(2,1/(Soja!$E26:INDEX(Soja!$E26:$Z26,MIN(AY$6-$E$3,22))&lt;&gt;""),Soja!$E26:INDEX(Soja!$E26:$Z26,MIN(AY$6-$E$3,22))),0))-IF($G$2,0,IF((AY$6-$G$3)&lt;1,0,IFERROR(LOOKUP(2,1/(Soja!$E26:INDEX(Soja!$E26:$Z26,MIN(AY$6-$G$3,22))&lt;&gt;""),Soja!$E26:INDEX(Soja!$E26:$Z26,MIN(AY$6-$G$3,22))),0)))))</f>
        <v>0</v>
      </c>
      <c r="AZ28" s="27" t="n">
        <f aca="false">IF(COUNT(Soja!$E26:$Z26)=0,0,MAX(0,IF((AZ$6-$E$3)&lt;1,0,IFERROR(LOOKUP(2,1/(Soja!$E26:INDEX(Soja!$E26:$Z26,MIN(AZ$6-$E$3,22))&lt;&gt;""),Soja!$E26:INDEX(Soja!$E26:$Z26,MIN(AZ$6-$E$3,22))),0))-IF($G$2,0,IF((AZ$6-$G$3)&lt;1,0,IFERROR(LOOKUP(2,1/(Soja!$E26:INDEX(Soja!$E26:$Z26,MIN(AZ$6-$G$3,22))&lt;&gt;""),Soja!$E26:INDEX(Soja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IF(COUNT(Soja!$E27:$Z27)&gt;0,N(Soja!$D27),0)</f>
        <v>0</v>
      </c>
      <c r="E29" s="27" t="n">
        <f aca="false">IF(COUNT(Soja!$E27:$Z27)=0,0,MAX(0,IF((E$6-$E$3)&lt;1,0,IFERROR(LOOKUP(2,1/(Soja!$E27:INDEX(Soja!$E27:$Z27,MIN(E$6-$E$3,22))&lt;&gt;""),Soja!$E27:INDEX(Soja!$E27:$Z27,MIN(E$6-$E$3,22))),0))-IF($G$2,0,IF((E$6-$G$3)&lt;1,0,IFERROR(LOOKUP(2,1/(Soja!$E27:INDEX(Soja!$E27:$Z27,MIN(E$6-$G$3,22))&lt;&gt;""),Soja!$E27:INDEX(Soja!$E27:$Z27,MIN(E$6-$G$3,22))),0)))))</f>
        <v>0</v>
      </c>
      <c r="F29" s="27" t="n">
        <f aca="false">IF(COUNT(Soja!$E27:$Z27)=0,0,MAX(0,IF((F$6-$E$3)&lt;1,0,IFERROR(LOOKUP(2,1/(Soja!$E27:INDEX(Soja!$E27:$Z27,MIN(F$6-$E$3,22))&lt;&gt;""),Soja!$E27:INDEX(Soja!$E27:$Z27,MIN(F$6-$E$3,22))),0))-IF($G$2,0,IF((F$6-$G$3)&lt;1,0,IFERROR(LOOKUP(2,1/(Soja!$E27:INDEX(Soja!$E27:$Z27,MIN(F$6-$G$3,22))&lt;&gt;""),Soja!$E27:INDEX(Soja!$E27:$Z27,MIN(F$6-$G$3,22))),0)))))</f>
        <v>0</v>
      </c>
      <c r="G29" s="27" t="n">
        <f aca="false">IF(COUNT(Soja!$E27:$Z27)=0,0,MAX(0,IF((G$6-$E$3)&lt;1,0,IFERROR(LOOKUP(2,1/(Soja!$E27:INDEX(Soja!$E27:$Z27,MIN(G$6-$E$3,22))&lt;&gt;""),Soja!$E27:INDEX(Soja!$E27:$Z27,MIN(G$6-$E$3,22))),0))-IF($G$2,0,IF((G$6-$G$3)&lt;1,0,IFERROR(LOOKUP(2,1/(Soja!$E27:INDEX(Soja!$E27:$Z27,MIN(G$6-$G$3,22))&lt;&gt;""),Soja!$E27:INDEX(Soja!$E27:$Z27,MIN(G$6-$G$3,22))),0)))))</f>
        <v>0</v>
      </c>
      <c r="H29" s="27" t="n">
        <f aca="false">IF(COUNT(Soja!$E27:$Z27)=0,0,MAX(0,IF((H$6-$E$3)&lt;1,0,IFERROR(LOOKUP(2,1/(Soja!$E27:INDEX(Soja!$E27:$Z27,MIN(H$6-$E$3,22))&lt;&gt;""),Soja!$E27:INDEX(Soja!$E27:$Z27,MIN(H$6-$E$3,22))),0))-IF($G$2,0,IF((H$6-$G$3)&lt;1,0,IFERROR(LOOKUP(2,1/(Soja!$E27:INDEX(Soja!$E27:$Z27,MIN(H$6-$G$3,22))&lt;&gt;""),Soja!$E27:INDEX(Soja!$E27:$Z27,MIN(H$6-$G$3,22))),0)))))</f>
        <v>0</v>
      </c>
      <c r="I29" s="27" t="n">
        <f aca="false">IF(COUNT(Soja!$E27:$Z27)=0,0,MAX(0,IF((I$6-$E$3)&lt;1,0,IFERROR(LOOKUP(2,1/(Soja!$E27:INDEX(Soja!$E27:$Z27,MIN(I$6-$E$3,22))&lt;&gt;""),Soja!$E27:INDEX(Soja!$E27:$Z27,MIN(I$6-$E$3,22))),0))-IF($G$2,0,IF((I$6-$G$3)&lt;1,0,IFERROR(LOOKUP(2,1/(Soja!$E27:INDEX(Soja!$E27:$Z27,MIN(I$6-$G$3,22))&lt;&gt;""),Soja!$E27:INDEX(Soja!$E27:$Z27,MIN(I$6-$G$3,22))),0)))))</f>
        <v>0</v>
      </c>
      <c r="J29" s="27" t="n">
        <f aca="false">IF(COUNT(Soja!$E27:$Z27)=0,0,MAX(0,IF((J$6-$E$3)&lt;1,0,IFERROR(LOOKUP(2,1/(Soja!$E27:INDEX(Soja!$E27:$Z27,MIN(J$6-$E$3,22))&lt;&gt;""),Soja!$E27:INDEX(Soja!$E27:$Z27,MIN(J$6-$E$3,22))),0))-IF($G$2,0,IF((J$6-$G$3)&lt;1,0,IFERROR(LOOKUP(2,1/(Soja!$E27:INDEX(Soja!$E27:$Z27,MIN(J$6-$G$3,22))&lt;&gt;""),Soja!$E27:INDEX(Soja!$E27:$Z27,MIN(J$6-$G$3,22))),0)))))</f>
        <v>0</v>
      </c>
      <c r="K29" s="27" t="n">
        <f aca="false">IF(COUNT(Soja!$E27:$Z27)=0,0,MAX(0,IF((K$6-$E$3)&lt;1,0,IFERROR(LOOKUP(2,1/(Soja!$E27:INDEX(Soja!$E27:$Z27,MIN(K$6-$E$3,22))&lt;&gt;""),Soja!$E27:INDEX(Soja!$E27:$Z27,MIN(K$6-$E$3,22))),0))-IF($G$2,0,IF((K$6-$G$3)&lt;1,0,IFERROR(LOOKUP(2,1/(Soja!$E27:INDEX(Soja!$E27:$Z27,MIN(K$6-$G$3,22))&lt;&gt;""),Soja!$E27:INDEX(Soja!$E27:$Z27,MIN(K$6-$G$3,22))),0)))))</f>
        <v>0</v>
      </c>
      <c r="L29" s="27" t="n">
        <f aca="false">IF(COUNT(Soja!$E27:$Z27)=0,0,MAX(0,IF((L$6-$E$3)&lt;1,0,IFERROR(LOOKUP(2,1/(Soja!$E27:INDEX(Soja!$E27:$Z27,MIN(L$6-$E$3,22))&lt;&gt;""),Soja!$E27:INDEX(Soja!$E27:$Z27,MIN(L$6-$E$3,22))),0))-IF($G$2,0,IF((L$6-$G$3)&lt;1,0,IFERROR(LOOKUP(2,1/(Soja!$E27:INDEX(Soja!$E27:$Z27,MIN(L$6-$G$3,22))&lt;&gt;""),Soja!$E27:INDEX(Soja!$E27:$Z27,MIN(L$6-$G$3,22))),0)))))</f>
        <v>0</v>
      </c>
      <c r="M29" s="27" t="n">
        <f aca="false">IF(COUNT(Soja!$E27:$Z27)=0,0,MAX(0,IF((M$6-$E$3)&lt;1,0,IFERROR(LOOKUP(2,1/(Soja!$E27:INDEX(Soja!$E27:$Z27,MIN(M$6-$E$3,22))&lt;&gt;""),Soja!$E27:INDEX(Soja!$E27:$Z27,MIN(M$6-$E$3,22))),0))-IF($G$2,0,IF((M$6-$G$3)&lt;1,0,IFERROR(LOOKUP(2,1/(Soja!$E27:INDEX(Soja!$E27:$Z27,MIN(M$6-$G$3,22))&lt;&gt;""),Soja!$E27:INDEX(Soja!$E27:$Z27,MIN(M$6-$G$3,22))),0)))))</f>
        <v>0</v>
      </c>
      <c r="N29" s="27" t="n">
        <f aca="false">IF(COUNT(Soja!$E27:$Z27)=0,0,MAX(0,IF((N$6-$E$3)&lt;1,0,IFERROR(LOOKUP(2,1/(Soja!$E27:INDEX(Soja!$E27:$Z27,MIN(N$6-$E$3,22))&lt;&gt;""),Soja!$E27:INDEX(Soja!$E27:$Z27,MIN(N$6-$E$3,22))),0))-IF($G$2,0,IF((N$6-$G$3)&lt;1,0,IFERROR(LOOKUP(2,1/(Soja!$E27:INDEX(Soja!$E27:$Z27,MIN(N$6-$G$3,22))&lt;&gt;""),Soja!$E27:INDEX(Soja!$E27:$Z27,MIN(N$6-$G$3,22))),0)))))</f>
        <v>0</v>
      </c>
      <c r="O29" s="27" t="n">
        <f aca="false">IF(COUNT(Soja!$E27:$Z27)=0,0,MAX(0,IF((O$6-$E$3)&lt;1,0,IFERROR(LOOKUP(2,1/(Soja!$E27:INDEX(Soja!$E27:$Z27,MIN(O$6-$E$3,22))&lt;&gt;""),Soja!$E27:INDEX(Soja!$E27:$Z27,MIN(O$6-$E$3,22))),0))-IF($G$2,0,IF((O$6-$G$3)&lt;1,0,IFERROR(LOOKUP(2,1/(Soja!$E27:INDEX(Soja!$E27:$Z27,MIN(O$6-$G$3,22))&lt;&gt;""),Soja!$E27:INDEX(Soja!$E27:$Z27,MIN(O$6-$G$3,22))),0)))))</f>
        <v>0</v>
      </c>
      <c r="P29" s="27" t="n">
        <f aca="false">IF(COUNT(Soja!$E27:$Z27)=0,0,MAX(0,IF((P$6-$E$3)&lt;1,0,IFERROR(LOOKUP(2,1/(Soja!$E27:INDEX(Soja!$E27:$Z27,MIN(P$6-$E$3,22))&lt;&gt;""),Soja!$E27:INDEX(Soja!$E27:$Z27,MIN(P$6-$E$3,22))),0))-IF($G$2,0,IF((P$6-$G$3)&lt;1,0,IFERROR(LOOKUP(2,1/(Soja!$E27:INDEX(Soja!$E27:$Z27,MIN(P$6-$G$3,22))&lt;&gt;""),Soja!$E27:INDEX(Soja!$E27:$Z27,MIN(P$6-$G$3,22))),0)))))</f>
        <v>0</v>
      </c>
      <c r="Q29" s="27" t="n">
        <f aca="false">IF(COUNT(Soja!$E27:$Z27)=0,0,MAX(0,IF((Q$6-$E$3)&lt;1,0,IFERROR(LOOKUP(2,1/(Soja!$E27:INDEX(Soja!$E27:$Z27,MIN(Q$6-$E$3,22))&lt;&gt;""),Soja!$E27:INDEX(Soja!$E27:$Z27,MIN(Q$6-$E$3,22))),0))-IF($G$2,0,IF((Q$6-$G$3)&lt;1,0,IFERROR(LOOKUP(2,1/(Soja!$E27:INDEX(Soja!$E27:$Z27,MIN(Q$6-$G$3,22))&lt;&gt;""),Soja!$E27:INDEX(Soja!$E27:$Z27,MIN(Q$6-$G$3,22))),0)))))</f>
        <v>0</v>
      </c>
      <c r="R29" s="27" t="n">
        <f aca="false">IF(COUNT(Soja!$E27:$Z27)=0,0,MAX(0,IF((R$6-$E$3)&lt;1,0,IFERROR(LOOKUP(2,1/(Soja!$E27:INDEX(Soja!$E27:$Z27,MIN(R$6-$E$3,22))&lt;&gt;""),Soja!$E27:INDEX(Soja!$E27:$Z27,MIN(R$6-$E$3,22))),0))-IF($G$2,0,IF((R$6-$G$3)&lt;1,0,IFERROR(LOOKUP(2,1/(Soja!$E27:INDEX(Soja!$E27:$Z27,MIN(R$6-$G$3,22))&lt;&gt;""),Soja!$E27:INDEX(Soja!$E27:$Z27,MIN(R$6-$G$3,22))),0)))))</f>
        <v>0</v>
      </c>
      <c r="S29" s="27" t="n">
        <f aca="false">IF(COUNT(Soja!$E27:$Z27)=0,0,MAX(0,IF((S$6-$E$3)&lt;1,0,IFERROR(LOOKUP(2,1/(Soja!$E27:INDEX(Soja!$E27:$Z27,MIN(S$6-$E$3,22))&lt;&gt;""),Soja!$E27:INDEX(Soja!$E27:$Z27,MIN(S$6-$E$3,22))),0))-IF($G$2,0,IF((S$6-$G$3)&lt;1,0,IFERROR(LOOKUP(2,1/(Soja!$E27:INDEX(Soja!$E27:$Z27,MIN(S$6-$G$3,22))&lt;&gt;""),Soja!$E27:INDEX(Soja!$E27:$Z27,MIN(S$6-$G$3,22))),0)))))</f>
        <v>0</v>
      </c>
      <c r="T29" s="27" t="n">
        <f aca="false">IF(COUNT(Soja!$E27:$Z27)=0,0,MAX(0,IF((T$6-$E$3)&lt;1,0,IFERROR(LOOKUP(2,1/(Soja!$E27:INDEX(Soja!$E27:$Z27,MIN(T$6-$E$3,22))&lt;&gt;""),Soja!$E27:INDEX(Soja!$E27:$Z27,MIN(T$6-$E$3,22))),0))-IF($G$2,0,IF((T$6-$G$3)&lt;1,0,IFERROR(LOOKUP(2,1/(Soja!$E27:INDEX(Soja!$E27:$Z27,MIN(T$6-$G$3,22))&lt;&gt;""),Soja!$E27:INDEX(Soja!$E27:$Z27,MIN(T$6-$G$3,22))),0)))))</f>
        <v>0</v>
      </c>
      <c r="U29" s="27" t="n">
        <f aca="false">IF(COUNT(Soja!$E27:$Z27)=0,0,MAX(0,IF((U$6-$E$3)&lt;1,0,IFERROR(LOOKUP(2,1/(Soja!$E27:INDEX(Soja!$E27:$Z27,MIN(U$6-$E$3,22))&lt;&gt;""),Soja!$E27:INDEX(Soja!$E27:$Z27,MIN(U$6-$E$3,22))),0))-IF($G$2,0,IF((U$6-$G$3)&lt;1,0,IFERROR(LOOKUP(2,1/(Soja!$E27:INDEX(Soja!$E27:$Z27,MIN(U$6-$G$3,22))&lt;&gt;""),Soja!$E27:INDEX(Soja!$E27:$Z27,MIN(U$6-$G$3,22))),0)))))</f>
        <v>0</v>
      </c>
      <c r="V29" s="27" t="n">
        <f aca="false">IF(COUNT(Soja!$E27:$Z27)=0,0,MAX(0,IF((V$6-$E$3)&lt;1,0,IFERROR(LOOKUP(2,1/(Soja!$E27:INDEX(Soja!$E27:$Z27,MIN(V$6-$E$3,22))&lt;&gt;""),Soja!$E27:INDEX(Soja!$E27:$Z27,MIN(V$6-$E$3,22))),0))-IF($G$2,0,IF((V$6-$G$3)&lt;1,0,IFERROR(LOOKUP(2,1/(Soja!$E27:INDEX(Soja!$E27:$Z27,MIN(V$6-$G$3,22))&lt;&gt;""),Soja!$E27:INDEX(Soja!$E27:$Z27,MIN(V$6-$G$3,22))),0)))))</f>
        <v>0</v>
      </c>
      <c r="W29" s="27" t="n">
        <f aca="false">IF(COUNT(Soja!$E27:$Z27)=0,0,MAX(0,IF((W$6-$E$3)&lt;1,0,IFERROR(LOOKUP(2,1/(Soja!$E27:INDEX(Soja!$E27:$Z27,MIN(W$6-$E$3,22))&lt;&gt;""),Soja!$E27:INDEX(Soja!$E27:$Z27,MIN(W$6-$E$3,22))),0))-IF($G$2,0,IF((W$6-$G$3)&lt;1,0,IFERROR(LOOKUP(2,1/(Soja!$E27:INDEX(Soja!$E27:$Z27,MIN(W$6-$G$3,22))&lt;&gt;""),Soja!$E27:INDEX(Soja!$E27:$Z27,MIN(W$6-$G$3,22))),0)))))</f>
        <v>0</v>
      </c>
      <c r="X29" s="27" t="n">
        <f aca="false">IF(COUNT(Soja!$E27:$Z27)=0,0,MAX(0,IF((X$6-$E$3)&lt;1,0,IFERROR(LOOKUP(2,1/(Soja!$E27:INDEX(Soja!$E27:$Z27,MIN(X$6-$E$3,22))&lt;&gt;""),Soja!$E27:INDEX(Soja!$E27:$Z27,MIN(X$6-$E$3,22))),0))-IF($G$2,0,IF((X$6-$G$3)&lt;1,0,IFERROR(LOOKUP(2,1/(Soja!$E27:INDEX(Soja!$E27:$Z27,MIN(X$6-$G$3,22))&lt;&gt;""),Soja!$E27:INDEX(Soja!$E27:$Z27,MIN(X$6-$G$3,22))),0)))))</f>
        <v>0</v>
      </c>
      <c r="Y29" s="27" t="n">
        <f aca="false">IF(COUNT(Soja!$E27:$Z27)=0,0,MAX(0,IF((Y$6-$E$3)&lt;1,0,IFERROR(LOOKUP(2,1/(Soja!$E27:INDEX(Soja!$E27:$Z27,MIN(Y$6-$E$3,22))&lt;&gt;""),Soja!$E27:INDEX(Soja!$E27:$Z27,MIN(Y$6-$E$3,22))),0))-IF($G$2,0,IF((Y$6-$G$3)&lt;1,0,IFERROR(LOOKUP(2,1/(Soja!$E27:INDEX(Soja!$E27:$Z27,MIN(Y$6-$G$3,22))&lt;&gt;""),Soja!$E27:INDEX(Soja!$E27:$Z27,MIN(Y$6-$G$3,22))),0)))))</f>
        <v>0</v>
      </c>
      <c r="Z29" s="27" t="n">
        <f aca="false">IF(COUNT(Soja!$E27:$Z27)=0,0,MAX(0,IF((Z$6-$E$3)&lt;1,0,IFERROR(LOOKUP(2,1/(Soja!$E27:INDEX(Soja!$E27:$Z27,MIN(Z$6-$E$3,22))&lt;&gt;""),Soja!$E27:INDEX(Soja!$E27:$Z27,MIN(Z$6-$E$3,22))),0))-IF($G$2,0,IF((Z$6-$G$3)&lt;1,0,IFERROR(LOOKUP(2,1/(Soja!$E27:INDEX(Soja!$E27:$Z27,MIN(Z$6-$G$3,22))&lt;&gt;""),Soja!$E27:INDEX(Soja!$E27:$Z27,MIN(Z$6-$G$3,22))),0)))))</f>
        <v>0</v>
      </c>
      <c r="AA29" s="27" t="n">
        <f aca="false">IF(COUNT(Soja!$E27:$Z27)=0,0,MAX(0,IF((AA$6-$E$3)&lt;1,0,IFERROR(LOOKUP(2,1/(Soja!$E27:INDEX(Soja!$E27:$Z27,MIN(AA$6-$E$3,22))&lt;&gt;""),Soja!$E27:INDEX(Soja!$E27:$Z27,MIN(AA$6-$E$3,22))),0))-IF($G$2,0,IF((AA$6-$G$3)&lt;1,0,IFERROR(LOOKUP(2,1/(Soja!$E27:INDEX(Soja!$E27:$Z27,MIN(AA$6-$G$3,22))&lt;&gt;""),Soja!$E27:INDEX(Soja!$E27:$Z27,MIN(AA$6-$G$3,22))),0)))))</f>
        <v>0</v>
      </c>
      <c r="AB29" s="27" t="n">
        <f aca="false">IF(COUNT(Soja!$E27:$Z27)=0,0,MAX(0,IF((AB$6-$E$3)&lt;1,0,IFERROR(LOOKUP(2,1/(Soja!$E27:INDEX(Soja!$E27:$Z27,MIN(AB$6-$E$3,22))&lt;&gt;""),Soja!$E27:INDEX(Soja!$E27:$Z27,MIN(AB$6-$E$3,22))),0))-IF($G$2,0,IF((AB$6-$G$3)&lt;1,0,IFERROR(LOOKUP(2,1/(Soja!$E27:INDEX(Soja!$E27:$Z27,MIN(AB$6-$G$3,22))&lt;&gt;""),Soja!$E27:INDEX(Soja!$E27:$Z27,MIN(AB$6-$G$3,22))),0)))))</f>
        <v>0</v>
      </c>
      <c r="AC29" s="27" t="n">
        <f aca="false">IF(COUNT(Soja!$E27:$Z27)=0,0,MAX(0,IF((AC$6-$E$3)&lt;1,0,IFERROR(LOOKUP(2,1/(Soja!$E27:INDEX(Soja!$E27:$Z27,MIN(AC$6-$E$3,22))&lt;&gt;""),Soja!$E27:INDEX(Soja!$E27:$Z27,MIN(AC$6-$E$3,22))),0))-IF($G$2,0,IF((AC$6-$G$3)&lt;1,0,IFERROR(LOOKUP(2,1/(Soja!$E27:INDEX(Soja!$E27:$Z27,MIN(AC$6-$G$3,22))&lt;&gt;""),Soja!$E27:INDEX(Soja!$E27:$Z27,MIN(AC$6-$G$3,22))),0)))))</f>
        <v>0</v>
      </c>
      <c r="AD29" s="27" t="n">
        <f aca="false">IF(COUNT(Soja!$E27:$Z27)=0,0,MAX(0,IF((AD$6-$E$3)&lt;1,0,IFERROR(LOOKUP(2,1/(Soja!$E27:INDEX(Soja!$E27:$Z27,MIN(AD$6-$E$3,22))&lt;&gt;""),Soja!$E27:INDEX(Soja!$E27:$Z27,MIN(AD$6-$E$3,22))),0))-IF($G$2,0,IF((AD$6-$G$3)&lt;1,0,IFERROR(LOOKUP(2,1/(Soja!$E27:INDEX(Soja!$E27:$Z27,MIN(AD$6-$G$3,22))&lt;&gt;""),Soja!$E27:INDEX(Soja!$E27:$Z27,MIN(AD$6-$G$3,22))),0)))))</f>
        <v>0</v>
      </c>
      <c r="AE29" s="27" t="n">
        <f aca="false">IF(COUNT(Soja!$E27:$Z27)=0,0,MAX(0,IF((AE$6-$E$3)&lt;1,0,IFERROR(LOOKUP(2,1/(Soja!$E27:INDEX(Soja!$E27:$Z27,MIN(AE$6-$E$3,22))&lt;&gt;""),Soja!$E27:INDEX(Soja!$E27:$Z27,MIN(AE$6-$E$3,22))),0))-IF($G$2,0,IF((AE$6-$G$3)&lt;1,0,IFERROR(LOOKUP(2,1/(Soja!$E27:INDEX(Soja!$E27:$Z27,MIN(AE$6-$G$3,22))&lt;&gt;""),Soja!$E27:INDEX(Soja!$E27:$Z27,MIN(AE$6-$G$3,22))),0)))))</f>
        <v>0</v>
      </c>
      <c r="AF29" s="27" t="n">
        <f aca="false">IF(COUNT(Soja!$E27:$Z27)=0,0,MAX(0,IF((AF$6-$E$3)&lt;1,0,IFERROR(LOOKUP(2,1/(Soja!$E27:INDEX(Soja!$E27:$Z27,MIN(AF$6-$E$3,22))&lt;&gt;""),Soja!$E27:INDEX(Soja!$E27:$Z27,MIN(AF$6-$E$3,22))),0))-IF($G$2,0,IF((AF$6-$G$3)&lt;1,0,IFERROR(LOOKUP(2,1/(Soja!$E27:INDEX(Soja!$E27:$Z27,MIN(AF$6-$G$3,22))&lt;&gt;""),Soja!$E27:INDEX(Soja!$E27:$Z27,MIN(AF$6-$G$3,22))),0)))))</f>
        <v>0</v>
      </c>
      <c r="AG29" s="27" t="n">
        <f aca="false">IF(COUNT(Soja!$E27:$Z27)=0,0,MAX(0,IF((AG$6-$E$3)&lt;1,0,IFERROR(LOOKUP(2,1/(Soja!$E27:INDEX(Soja!$E27:$Z27,MIN(AG$6-$E$3,22))&lt;&gt;""),Soja!$E27:INDEX(Soja!$E27:$Z27,MIN(AG$6-$E$3,22))),0))-IF($G$2,0,IF((AG$6-$G$3)&lt;1,0,IFERROR(LOOKUP(2,1/(Soja!$E27:INDEX(Soja!$E27:$Z27,MIN(AG$6-$G$3,22))&lt;&gt;""),Soja!$E27:INDEX(Soja!$E27:$Z27,MIN(AG$6-$G$3,22))),0)))))</f>
        <v>0</v>
      </c>
      <c r="AH29" s="27" t="n">
        <f aca="false">IF(COUNT(Soja!$E27:$Z27)=0,0,MAX(0,IF((AH$6-$E$3)&lt;1,0,IFERROR(LOOKUP(2,1/(Soja!$E27:INDEX(Soja!$E27:$Z27,MIN(AH$6-$E$3,22))&lt;&gt;""),Soja!$E27:INDEX(Soja!$E27:$Z27,MIN(AH$6-$E$3,22))),0))-IF($G$2,0,IF((AH$6-$G$3)&lt;1,0,IFERROR(LOOKUP(2,1/(Soja!$E27:INDEX(Soja!$E27:$Z27,MIN(AH$6-$G$3,22))&lt;&gt;""),Soja!$E27:INDEX(Soja!$E27:$Z27,MIN(AH$6-$G$3,22))),0)))))</f>
        <v>0</v>
      </c>
      <c r="AI29" s="27" t="n">
        <f aca="false">IF(COUNT(Soja!$E27:$Z27)=0,0,MAX(0,IF((AI$6-$E$3)&lt;1,0,IFERROR(LOOKUP(2,1/(Soja!$E27:INDEX(Soja!$E27:$Z27,MIN(AI$6-$E$3,22))&lt;&gt;""),Soja!$E27:INDEX(Soja!$E27:$Z27,MIN(AI$6-$E$3,22))),0))-IF($G$2,0,IF((AI$6-$G$3)&lt;1,0,IFERROR(LOOKUP(2,1/(Soja!$E27:INDEX(Soja!$E27:$Z27,MIN(AI$6-$G$3,22))&lt;&gt;""),Soja!$E27:INDEX(Soja!$E27:$Z27,MIN(AI$6-$G$3,22))),0)))))</f>
        <v>0</v>
      </c>
      <c r="AJ29" s="27" t="n">
        <f aca="false">IF(COUNT(Soja!$E27:$Z27)=0,0,MAX(0,IF((AJ$6-$E$3)&lt;1,0,IFERROR(LOOKUP(2,1/(Soja!$E27:INDEX(Soja!$E27:$Z27,MIN(AJ$6-$E$3,22))&lt;&gt;""),Soja!$E27:INDEX(Soja!$E27:$Z27,MIN(AJ$6-$E$3,22))),0))-IF($G$2,0,IF((AJ$6-$G$3)&lt;1,0,IFERROR(LOOKUP(2,1/(Soja!$E27:INDEX(Soja!$E27:$Z27,MIN(AJ$6-$G$3,22))&lt;&gt;""),Soja!$E27:INDEX(Soja!$E27:$Z27,MIN(AJ$6-$G$3,22))),0)))))</f>
        <v>0</v>
      </c>
      <c r="AK29" s="27" t="n">
        <f aca="false">IF(COUNT(Soja!$E27:$Z27)=0,0,MAX(0,IF((AK$6-$E$3)&lt;1,0,IFERROR(LOOKUP(2,1/(Soja!$E27:INDEX(Soja!$E27:$Z27,MIN(AK$6-$E$3,22))&lt;&gt;""),Soja!$E27:INDEX(Soja!$E27:$Z27,MIN(AK$6-$E$3,22))),0))-IF($G$2,0,IF((AK$6-$G$3)&lt;1,0,IFERROR(LOOKUP(2,1/(Soja!$E27:INDEX(Soja!$E27:$Z27,MIN(AK$6-$G$3,22))&lt;&gt;""),Soja!$E27:INDEX(Soja!$E27:$Z27,MIN(AK$6-$G$3,22))),0)))))</f>
        <v>0</v>
      </c>
      <c r="AL29" s="27" t="n">
        <f aca="false">IF(COUNT(Soja!$E27:$Z27)=0,0,MAX(0,IF((AL$6-$E$3)&lt;1,0,IFERROR(LOOKUP(2,1/(Soja!$E27:INDEX(Soja!$E27:$Z27,MIN(AL$6-$E$3,22))&lt;&gt;""),Soja!$E27:INDEX(Soja!$E27:$Z27,MIN(AL$6-$E$3,22))),0))-IF($G$2,0,IF((AL$6-$G$3)&lt;1,0,IFERROR(LOOKUP(2,1/(Soja!$E27:INDEX(Soja!$E27:$Z27,MIN(AL$6-$G$3,22))&lt;&gt;""),Soja!$E27:INDEX(Soja!$E27:$Z27,MIN(AL$6-$G$3,22))),0)))))</f>
        <v>0</v>
      </c>
      <c r="AM29" s="27" t="n">
        <f aca="false">IF(COUNT(Soja!$E27:$Z27)=0,0,MAX(0,IF((AM$6-$E$3)&lt;1,0,IFERROR(LOOKUP(2,1/(Soja!$E27:INDEX(Soja!$E27:$Z27,MIN(AM$6-$E$3,22))&lt;&gt;""),Soja!$E27:INDEX(Soja!$E27:$Z27,MIN(AM$6-$E$3,22))),0))-IF($G$2,0,IF((AM$6-$G$3)&lt;1,0,IFERROR(LOOKUP(2,1/(Soja!$E27:INDEX(Soja!$E27:$Z27,MIN(AM$6-$G$3,22))&lt;&gt;""),Soja!$E27:INDEX(Soja!$E27:$Z27,MIN(AM$6-$G$3,22))),0)))))</f>
        <v>0</v>
      </c>
      <c r="AN29" s="27" t="n">
        <f aca="false">IF(COUNT(Soja!$E27:$Z27)=0,0,MAX(0,IF((AN$6-$E$3)&lt;1,0,IFERROR(LOOKUP(2,1/(Soja!$E27:INDEX(Soja!$E27:$Z27,MIN(AN$6-$E$3,22))&lt;&gt;""),Soja!$E27:INDEX(Soja!$E27:$Z27,MIN(AN$6-$E$3,22))),0))-IF($G$2,0,IF((AN$6-$G$3)&lt;1,0,IFERROR(LOOKUP(2,1/(Soja!$E27:INDEX(Soja!$E27:$Z27,MIN(AN$6-$G$3,22))&lt;&gt;""),Soja!$E27:INDEX(Soja!$E27:$Z27,MIN(AN$6-$G$3,22))),0)))))</f>
        <v>0</v>
      </c>
      <c r="AO29" s="27" t="n">
        <f aca="false">IF(COUNT(Soja!$E27:$Z27)=0,0,MAX(0,IF((AO$6-$E$3)&lt;1,0,IFERROR(LOOKUP(2,1/(Soja!$E27:INDEX(Soja!$E27:$Z27,MIN(AO$6-$E$3,22))&lt;&gt;""),Soja!$E27:INDEX(Soja!$E27:$Z27,MIN(AO$6-$E$3,22))),0))-IF($G$2,0,IF((AO$6-$G$3)&lt;1,0,IFERROR(LOOKUP(2,1/(Soja!$E27:INDEX(Soja!$E27:$Z27,MIN(AO$6-$G$3,22))&lt;&gt;""),Soja!$E27:INDEX(Soja!$E27:$Z27,MIN(AO$6-$G$3,22))),0)))))</f>
        <v>0</v>
      </c>
      <c r="AP29" s="27" t="n">
        <f aca="false">IF(COUNT(Soja!$E27:$Z27)=0,0,MAX(0,IF((AP$6-$E$3)&lt;1,0,IFERROR(LOOKUP(2,1/(Soja!$E27:INDEX(Soja!$E27:$Z27,MIN(AP$6-$E$3,22))&lt;&gt;""),Soja!$E27:INDEX(Soja!$E27:$Z27,MIN(AP$6-$E$3,22))),0))-IF($G$2,0,IF((AP$6-$G$3)&lt;1,0,IFERROR(LOOKUP(2,1/(Soja!$E27:INDEX(Soja!$E27:$Z27,MIN(AP$6-$G$3,22))&lt;&gt;""),Soja!$E27:INDEX(Soja!$E27:$Z27,MIN(AP$6-$G$3,22))),0)))))</f>
        <v>0</v>
      </c>
      <c r="AQ29" s="27" t="n">
        <f aca="false">IF(COUNT(Soja!$E27:$Z27)=0,0,MAX(0,IF((AQ$6-$E$3)&lt;1,0,IFERROR(LOOKUP(2,1/(Soja!$E27:INDEX(Soja!$E27:$Z27,MIN(AQ$6-$E$3,22))&lt;&gt;""),Soja!$E27:INDEX(Soja!$E27:$Z27,MIN(AQ$6-$E$3,22))),0))-IF($G$2,0,IF((AQ$6-$G$3)&lt;1,0,IFERROR(LOOKUP(2,1/(Soja!$E27:INDEX(Soja!$E27:$Z27,MIN(AQ$6-$G$3,22))&lt;&gt;""),Soja!$E27:INDEX(Soja!$E27:$Z27,MIN(AQ$6-$G$3,22))),0)))))</f>
        <v>0</v>
      </c>
      <c r="AR29" s="27" t="n">
        <f aca="false">IF(COUNT(Soja!$E27:$Z27)=0,0,MAX(0,IF((AR$6-$E$3)&lt;1,0,IFERROR(LOOKUP(2,1/(Soja!$E27:INDEX(Soja!$E27:$Z27,MIN(AR$6-$E$3,22))&lt;&gt;""),Soja!$E27:INDEX(Soja!$E27:$Z27,MIN(AR$6-$E$3,22))),0))-IF($G$2,0,IF((AR$6-$G$3)&lt;1,0,IFERROR(LOOKUP(2,1/(Soja!$E27:INDEX(Soja!$E27:$Z27,MIN(AR$6-$G$3,22))&lt;&gt;""),Soja!$E27:INDEX(Soja!$E27:$Z27,MIN(AR$6-$G$3,22))),0)))))</f>
        <v>0</v>
      </c>
      <c r="AS29" s="27" t="n">
        <f aca="false">IF(COUNT(Soja!$E27:$Z27)=0,0,MAX(0,IF((AS$6-$E$3)&lt;1,0,IFERROR(LOOKUP(2,1/(Soja!$E27:INDEX(Soja!$E27:$Z27,MIN(AS$6-$E$3,22))&lt;&gt;""),Soja!$E27:INDEX(Soja!$E27:$Z27,MIN(AS$6-$E$3,22))),0))-IF($G$2,0,IF((AS$6-$G$3)&lt;1,0,IFERROR(LOOKUP(2,1/(Soja!$E27:INDEX(Soja!$E27:$Z27,MIN(AS$6-$G$3,22))&lt;&gt;""),Soja!$E27:INDEX(Soja!$E27:$Z27,MIN(AS$6-$G$3,22))),0)))))</f>
        <v>0</v>
      </c>
      <c r="AT29" s="27" t="n">
        <f aca="false">IF(COUNT(Soja!$E27:$Z27)=0,0,MAX(0,IF((AT$6-$E$3)&lt;1,0,IFERROR(LOOKUP(2,1/(Soja!$E27:INDEX(Soja!$E27:$Z27,MIN(AT$6-$E$3,22))&lt;&gt;""),Soja!$E27:INDEX(Soja!$E27:$Z27,MIN(AT$6-$E$3,22))),0))-IF($G$2,0,IF((AT$6-$G$3)&lt;1,0,IFERROR(LOOKUP(2,1/(Soja!$E27:INDEX(Soja!$E27:$Z27,MIN(AT$6-$G$3,22))&lt;&gt;""),Soja!$E27:INDEX(Soja!$E27:$Z27,MIN(AT$6-$G$3,22))),0)))))</f>
        <v>0</v>
      </c>
      <c r="AU29" s="27" t="n">
        <f aca="false">IF(COUNT(Soja!$E27:$Z27)=0,0,MAX(0,IF((AU$6-$E$3)&lt;1,0,IFERROR(LOOKUP(2,1/(Soja!$E27:INDEX(Soja!$E27:$Z27,MIN(AU$6-$E$3,22))&lt;&gt;""),Soja!$E27:INDEX(Soja!$E27:$Z27,MIN(AU$6-$E$3,22))),0))-IF($G$2,0,IF((AU$6-$G$3)&lt;1,0,IFERROR(LOOKUP(2,1/(Soja!$E27:INDEX(Soja!$E27:$Z27,MIN(AU$6-$G$3,22))&lt;&gt;""),Soja!$E27:INDEX(Soja!$E27:$Z27,MIN(AU$6-$G$3,22))),0)))))</f>
        <v>0</v>
      </c>
      <c r="AV29" s="27" t="n">
        <f aca="false">IF(COUNT(Soja!$E27:$Z27)=0,0,MAX(0,IF((AV$6-$E$3)&lt;1,0,IFERROR(LOOKUP(2,1/(Soja!$E27:INDEX(Soja!$E27:$Z27,MIN(AV$6-$E$3,22))&lt;&gt;""),Soja!$E27:INDEX(Soja!$E27:$Z27,MIN(AV$6-$E$3,22))),0))-IF($G$2,0,IF((AV$6-$G$3)&lt;1,0,IFERROR(LOOKUP(2,1/(Soja!$E27:INDEX(Soja!$E27:$Z27,MIN(AV$6-$G$3,22))&lt;&gt;""),Soja!$E27:INDEX(Soja!$E27:$Z27,MIN(AV$6-$G$3,22))),0)))))</f>
        <v>0</v>
      </c>
      <c r="AW29" s="27" t="n">
        <f aca="false">IF(COUNT(Soja!$E27:$Z27)=0,0,MAX(0,IF((AW$6-$E$3)&lt;1,0,IFERROR(LOOKUP(2,1/(Soja!$E27:INDEX(Soja!$E27:$Z27,MIN(AW$6-$E$3,22))&lt;&gt;""),Soja!$E27:INDEX(Soja!$E27:$Z27,MIN(AW$6-$E$3,22))),0))-IF($G$2,0,IF((AW$6-$G$3)&lt;1,0,IFERROR(LOOKUP(2,1/(Soja!$E27:INDEX(Soja!$E27:$Z27,MIN(AW$6-$G$3,22))&lt;&gt;""),Soja!$E27:INDEX(Soja!$E27:$Z27,MIN(AW$6-$G$3,22))),0)))))</f>
        <v>0</v>
      </c>
      <c r="AX29" s="27" t="n">
        <f aca="false">IF(COUNT(Soja!$E27:$Z27)=0,0,MAX(0,IF((AX$6-$E$3)&lt;1,0,IFERROR(LOOKUP(2,1/(Soja!$E27:INDEX(Soja!$E27:$Z27,MIN(AX$6-$E$3,22))&lt;&gt;""),Soja!$E27:INDEX(Soja!$E27:$Z27,MIN(AX$6-$E$3,22))),0))-IF($G$2,0,IF((AX$6-$G$3)&lt;1,0,IFERROR(LOOKUP(2,1/(Soja!$E27:INDEX(Soja!$E27:$Z27,MIN(AX$6-$G$3,22))&lt;&gt;""),Soja!$E27:INDEX(Soja!$E27:$Z27,MIN(AX$6-$G$3,22))),0)))))</f>
        <v>0</v>
      </c>
      <c r="AY29" s="27" t="n">
        <f aca="false">IF(COUNT(Soja!$E27:$Z27)=0,0,MAX(0,IF((AY$6-$E$3)&lt;1,0,IFERROR(LOOKUP(2,1/(Soja!$E27:INDEX(Soja!$E27:$Z27,MIN(AY$6-$E$3,22))&lt;&gt;""),Soja!$E27:INDEX(Soja!$E27:$Z27,MIN(AY$6-$E$3,22))),0))-IF($G$2,0,IF((AY$6-$G$3)&lt;1,0,IFERROR(LOOKUP(2,1/(Soja!$E27:INDEX(Soja!$E27:$Z27,MIN(AY$6-$G$3,22))&lt;&gt;""),Soja!$E27:INDEX(Soja!$E27:$Z27,MIN(AY$6-$G$3,22))),0)))))</f>
        <v>0</v>
      </c>
      <c r="AZ29" s="27" t="n">
        <f aca="false">IF(COUNT(Soja!$E27:$Z27)=0,0,MAX(0,IF((AZ$6-$E$3)&lt;1,0,IFERROR(LOOKUP(2,1/(Soja!$E27:INDEX(Soja!$E27:$Z27,MIN(AZ$6-$E$3,22))&lt;&gt;""),Soja!$E27:INDEX(Soja!$E27:$Z27,MIN(AZ$6-$E$3,22))),0))-IF($G$2,0,IF((AZ$6-$G$3)&lt;1,0,IFERROR(LOOKUP(2,1/(Soja!$E27:INDEX(Soja!$E27:$Z27,MIN(AZ$6-$G$3,22))&lt;&gt;""),Soja!$E27:INDEX(Soja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IF(COUNT(Soja!$E28:$Z28)&gt;0,N(Soja!$D28),0)</f>
        <v>0</v>
      </c>
      <c r="E30" s="27" t="n">
        <f aca="false">IF(COUNT(Soja!$E28:$Z28)=0,0,MAX(0,IF((E$6-$E$3)&lt;1,0,IFERROR(LOOKUP(2,1/(Soja!$E28:INDEX(Soja!$E28:$Z28,MIN(E$6-$E$3,22))&lt;&gt;""),Soja!$E28:INDEX(Soja!$E28:$Z28,MIN(E$6-$E$3,22))),0))-IF($G$2,0,IF((E$6-$G$3)&lt;1,0,IFERROR(LOOKUP(2,1/(Soja!$E28:INDEX(Soja!$E28:$Z28,MIN(E$6-$G$3,22))&lt;&gt;""),Soja!$E28:INDEX(Soja!$E28:$Z28,MIN(E$6-$G$3,22))),0)))))</f>
        <v>0</v>
      </c>
      <c r="F30" s="27" t="n">
        <f aca="false">IF(COUNT(Soja!$E28:$Z28)=0,0,MAX(0,IF((F$6-$E$3)&lt;1,0,IFERROR(LOOKUP(2,1/(Soja!$E28:INDEX(Soja!$E28:$Z28,MIN(F$6-$E$3,22))&lt;&gt;""),Soja!$E28:INDEX(Soja!$E28:$Z28,MIN(F$6-$E$3,22))),0))-IF($G$2,0,IF((F$6-$G$3)&lt;1,0,IFERROR(LOOKUP(2,1/(Soja!$E28:INDEX(Soja!$E28:$Z28,MIN(F$6-$G$3,22))&lt;&gt;""),Soja!$E28:INDEX(Soja!$E28:$Z28,MIN(F$6-$G$3,22))),0)))))</f>
        <v>0</v>
      </c>
      <c r="G30" s="27" t="n">
        <f aca="false">IF(COUNT(Soja!$E28:$Z28)=0,0,MAX(0,IF((G$6-$E$3)&lt;1,0,IFERROR(LOOKUP(2,1/(Soja!$E28:INDEX(Soja!$E28:$Z28,MIN(G$6-$E$3,22))&lt;&gt;""),Soja!$E28:INDEX(Soja!$E28:$Z28,MIN(G$6-$E$3,22))),0))-IF($G$2,0,IF((G$6-$G$3)&lt;1,0,IFERROR(LOOKUP(2,1/(Soja!$E28:INDEX(Soja!$E28:$Z28,MIN(G$6-$G$3,22))&lt;&gt;""),Soja!$E28:INDEX(Soja!$E28:$Z28,MIN(G$6-$G$3,22))),0)))))</f>
        <v>0</v>
      </c>
      <c r="H30" s="27" t="n">
        <f aca="false">IF(COUNT(Soja!$E28:$Z28)=0,0,MAX(0,IF((H$6-$E$3)&lt;1,0,IFERROR(LOOKUP(2,1/(Soja!$E28:INDEX(Soja!$E28:$Z28,MIN(H$6-$E$3,22))&lt;&gt;""),Soja!$E28:INDEX(Soja!$E28:$Z28,MIN(H$6-$E$3,22))),0))-IF($G$2,0,IF((H$6-$G$3)&lt;1,0,IFERROR(LOOKUP(2,1/(Soja!$E28:INDEX(Soja!$E28:$Z28,MIN(H$6-$G$3,22))&lt;&gt;""),Soja!$E28:INDEX(Soja!$E28:$Z28,MIN(H$6-$G$3,22))),0)))))</f>
        <v>0</v>
      </c>
      <c r="I30" s="27" t="n">
        <f aca="false">IF(COUNT(Soja!$E28:$Z28)=0,0,MAX(0,IF((I$6-$E$3)&lt;1,0,IFERROR(LOOKUP(2,1/(Soja!$E28:INDEX(Soja!$E28:$Z28,MIN(I$6-$E$3,22))&lt;&gt;""),Soja!$E28:INDEX(Soja!$E28:$Z28,MIN(I$6-$E$3,22))),0))-IF($G$2,0,IF((I$6-$G$3)&lt;1,0,IFERROR(LOOKUP(2,1/(Soja!$E28:INDEX(Soja!$E28:$Z28,MIN(I$6-$G$3,22))&lt;&gt;""),Soja!$E28:INDEX(Soja!$E28:$Z28,MIN(I$6-$G$3,22))),0)))))</f>
        <v>0</v>
      </c>
      <c r="J30" s="27" t="n">
        <f aca="false">IF(COUNT(Soja!$E28:$Z28)=0,0,MAX(0,IF((J$6-$E$3)&lt;1,0,IFERROR(LOOKUP(2,1/(Soja!$E28:INDEX(Soja!$E28:$Z28,MIN(J$6-$E$3,22))&lt;&gt;""),Soja!$E28:INDEX(Soja!$E28:$Z28,MIN(J$6-$E$3,22))),0))-IF($G$2,0,IF((J$6-$G$3)&lt;1,0,IFERROR(LOOKUP(2,1/(Soja!$E28:INDEX(Soja!$E28:$Z28,MIN(J$6-$G$3,22))&lt;&gt;""),Soja!$E28:INDEX(Soja!$E28:$Z28,MIN(J$6-$G$3,22))),0)))))</f>
        <v>0</v>
      </c>
      <c r="K30" s="27" t="n">
        <f aca="false">IF(COUNT(Soja!$E28:$Z28)=0,0,MAX(0,IF((K$6-$E$3)&lt;1,0,IFERROR(LOOKUP(2,1/(Soja!$E28:INDEX(Soja!$E28:$Z28,MIN(K$6-$E$3,22))&lt;&gt;""),Soja!$E28:INDEX(Soja!$E28:$Z28,MIN(K$6-$E$3,22))),0))-IF($G$2,0,IF((K$6-$G$3)&lt;1,0,IFERROR(LOOKUP(2,1/(Soja!$E28:INDEX(Soja!$E28:$Z28,MIN(K$6-$G$3,22))&lt;&gt;""),Soja!$E28:INDEX(Soja!$E28:$Z28,MIN(K$6-$G$3,22))),0)))))</f>
        <v>0</v>
      </c>
      <c r="L30" s="27" t="n">
        <f aca="false">IF(COUNT(Soja!$E28:$Z28)=0,0,MAX(0,IF((L$6-$E$3)&lt;1,0,IFERROR(LOOKUP(2,1/(Soja!$E28:INDEX(Soja!$E28:$Z28,MIN(L$6-$E$3,22))&lt;&gt;""),Soja!$E28:INDEX(Soja!$E28:$Z28,MIN(L$6-$E$3,22))),0))-IF($G$2,0,IF((L$6-$G$3)&lt;1,0,IFERROR(LOOKUP(2,1/(Soja!$E28:INDEX(Soja!$E28:$Z28,MIN(L$6-$G$3,22))&lt;&gt;""),Soja!$E28:INDEX(Soja!$E28:$Z28,MIN(L$6-$G$3,22))),0)))))</f>
        <v>0</v>
      </c>
      <c r="M30" s="27" t="n">
        <f aca="false">IF(COUNT(Soja!$E28:$Z28)=0,0,MAX(0,IF((M$6-$E$3)&lt;1,0,IFERROR(LOOKUP(2,1/(Soja!$E28:INDEX(Soja!$E28:$Z28,MIN(M$6-$E$3,22))&lt;&gt;""),Soja!$E28:INDEX(Soja!$E28:$Z28,MIN(M$6-$E$3,22))),0))-IF($G$2,0,IF((M$6-$G$3)&lt;1,0,IFERROR(LOOKUP(2,1/(Soja!$E28:INDEX(Soja!$E28:$Z28,MIN(M$6-$G$3,22))&lt;&gt;""),Soja!$E28:INDEX(Soja!$E28:$Z28,MIN(M$6-$G$3,22))),0)))))</f>
        <v>0</v>
      </c>
      <c r="N30" s="27" t="n">
        <f aca="false">IF(COUNT(Soja!$E28:$Z28)=0,0,MAX(0,IF((N$6-$E$3)&lt;1,0,IFERROR(LOOKUP(2,1/(Soja!$E28:INDEX(Soja!$E28:$Z28,MIN(N$6-$E$3,22))&lt;&gt;""),Soja!$E28:INDEX(Soja!$E28:$Z28,MIN(N$6-$E$3,22))),0))-IF($G$2,0,IF((N$6-$G$3)&lt;1,0,IFERROR(LOOKUP(2,1/(Soja!$E28:INDEX(Soja!$E28:$Z28,MIN(N$6-$G$3,22))&lt;&gt;""),Soja!$E28:INDEX(Soja!$E28:$Z28,MIN(N$6-$G$3,22))),0)))))</f>
        <v>0</v>
      </c>
      <c r="O30" s="27" t="n">
        <f aca="false">IF(COUNT(Soja!$E28:$Z28)=0,0,MAX(0,IF((O$6-$E$3)&lt;1,0,IFERROR(LOOKUP(2,1/(Soja!$E28:INDEX(Soja!$E28:$Z28,MIN(O$6-$E$3,22))&lt;&gt;""),Soja!$E28:INDEX(Soja!$E28:$Z28,MIN(O$6-$E$3,22))),0))-IF($G$2,0,IF((O$6-$G$3)&lt;1,0,IFERROR(LOOKUP(2,1/(Soja!$E28:INDEX(Soja!$E28:$Z28,MIN(O$6-$G$3,22))&lt;&gt;""),Soja!$E28:INDEX(Soja!$E28:$Z28,MIN(O$6-$G$3,22))),0)))))</f>
        <v>0</v>
      </c>
      <c r="P30" s="27" t="n">
        <f aca="false">IF(COUNT(Soja!$E28:$Z28)=0,0,MAX(0,IF((P$6-$E$3)&lt;1,0,IFERROR(LOOKUP(2,1/(Soja!$E28:INDEX(Soja!$E28:$Z28,MIN(P$6-$E$3,22))&lt;&gt;""),Soja!$E28:INDEX(Soja!$E28:$Z28,MIN(P$6-$E$3,22))),0))-IF($G$2,0,IF((P$6-$G$3)&lt;1,0,IFERROR(LOOKUP(2,1/(Soja!$E28:INDEX(Soja!$E28:$Z28,MIN(P$6-$G$3,22))&lt;&gt;""),Soja!$E28:INDEX(Soja!$E28:$Z28,MIN(P$6-$G$3,22))),0)))))</f>
        <v>0</v>
      </c>
      <c r="Q30" s="27" t="n">
        <f aca="false">IF(COUNT(Soja!$E28:$Z28)=0,0,MAX(0,IF((Q$6-$E$3)&lt;1,0,IFERROR(LOOKUP(2,1/(Soja!$E28:INDEX(Soja!$E28:$Z28,MIN(Q$6-$E$3,22))&lt;&gt;""),Soja!$E28:INDEX(Soja!$E28:$Z28,MIN(Q$6-$E$3,22))),0))-IF($G$2,0,IF((Q$6-$G$3)&lt;1,0,IFERROR(LOOKUP(2,1/(Soja!$E28:INDEX(Soja!$E28:$Z28,MIN(Q$6-$G$3,22))&lt;&gt;""),Soja!$E28:INDEX(Soja!$E28:$Z28,MIN(Q$6-$G$3,22))),0)))))</f>
        <v>0</v>
      </c>
      <c r="R30" s="27" t="n">
        <f aca="false">IF(COUNT(Soja!$E28:$Z28)=0,0,MAX(0,IF((R$6-$E$3)&lt;1,0,IFERROR(LOOKUP(2,1/(Soja!$E28:INDEX(Soja!$E28:$Z28,MIN(R$6-$E$3,22))&lt;&gt;""),Soja!$E28:INDEX(Soja!$E28:$Z28,MIN(R$6-$E$3,22))),0))-IF($G$2,0,IF((R$6-$G$3)&lt;1,0,IFERROR(LOOKUP(2,1/(Soja!$E28:INDEX(Soja!$E28:$Z28,MIN(R$6-$G$3,22))&lt;&gt;""),Soja!$E28:INDEX(Soja!$E28:$Z28,MIN(R$6-$G$3,22))),0)))))</f>
        <v>0</v>
      </c>
      <c r="S30" s="27" t="n">
        <f aca="false">IF(COUNT(Soja!$E28:$Z28)=0,0,MAX(0,IF((S$6-$E$3)&lt;1,0,IFERROR(LOOKUP(2,1/(Soja!$E28:INDEX(Soja!$E28:$Z28,MIN(S$6-$E$3,22))&lt;&gt;""),Soja!$E28:INDEX(Soja!$E28:$Z28,MIN(S$6-$E$3,22))),0))-IF($G$2,0,IF((S$6-$G$3)&lt;1,0,IFERROR(LOOKUP(2,1/(Soja!$E28:INDEX(Soja!$E28:$Z28,MIN(S$6-$G$3,22))&lt;&gt;""),Soja!$E28:INDEX(Soja!$E28:$Z28,MIN(S$6-$G$3,22))),0)))))</f>
        <v>0</v>
      </c>
      <c r="T30" s="27" t="n">
        <f aca="false">IF(COUNT(Soja!$E28:$Z28)=0,0,MAX(0,IF((T$6-$E$3)&lt;1,0,IFERROR(LOOKUP(2,1/(Soja!$E28:INDEX(Soja!$E28:$Z28,MIN(T$6-$E$3,22))&lt;&gt;""),Soja!$E28:INDEX(Soja!$E28:$Z28,MIN(T$6-$E$3,22))),0))-IF($G$2,0,IF((T$6-$G$3)&lt;1,0,IFERROR(LOOKUP(2,1/(Soja!$E28:INDEX(Soja!$E28:$Z28,MIN(T$6-$G$3,22))&lt;&gt;""),Soja!$E28:INDEX(Soja!$E28:$Z28,MIN(T$6-$G$3,22))),0)))))</f>
        <v>0</v>
      </c>
      <c r="U30" s="27" t="n">
        <f aca="false">IF(COUNT(Soja!$E28:$Z28)=0,0,MAX(0,IF((U$6-$E$3)&lt;1,0,IFERROR(LOOKUP(2,1/(Soja!$E28:INDEX(Soja!$E28:$Z28,MIN(U$6-$E$3,22))&lt;&gt;""),Soja!$E28:INDEX(Soja!$E28:$Z28,MIN(U$6-$E$3,22))),0))-IF($G$2,0,IF((U$6-$G$3)&lt;1,0,IFERROR(LOOKUP(2,1/(Soja!$E28:INDEX(Soja!$E28:$Z28,MIN(U$6-$G$3,22))&lt;&gt;""),Soja!$E28:INDEX(Soja!$E28:$Z28,MIN(U$6-$G$3,22))),0)))))</f>
        <v>0</v>
      </c>
      <c r="V30" s="27" t="n">
        <f aca="false">IF(COUNT(Soja!$E28:$Z28)=0,0,MAX(0,IF((V$6-$E$3)&lt;1,0,IFERROR(LOOKUP(2,1/(Soja!$E28:INDEX(Soja!$E28:$Z28,MIN(V$6-$E$3,22))&lt;&gt;""),Soja!$E28:INDEX(Soja!$E28:$Z28,MIN(V$6-$E$3,22))),0))-IF($G$2,0,IF((V$6-$G$3)&lt;1,0,IFERROR(LOOKUP(2,1/(Soja!$E28:INDEX(Soja!$E28:$Z28,MIN(V$6-$G$3,22))&lt;&gt;""),Soja!$E28:INDEX(Soja!$E28:$Z28,MIN(V$6-$G$3,22))),0)))))</f>
        <v>0</v>
      </c>
      <c r="W30" s="27" t="n">
        <f aca="false">IF(COUNT(Soja!$E28:$Z28)=0,0,MAX(0,IF((W$6-$E$3)&lt;1,0,IFERROR(LOOKUP(2,1/(Soja!$E28:INDEX(Soja!$E28:$Z28,MIN(W$6-$E$3,22))&lt;&gt;""),Soja!$E28:INDEX(Soja!$E28:$Z28,MIN(W$6-$E$3,22))),0))-IF($G$2,0,IF((W$6-$G$3)&lt;1,0,IFERROR(LOOKUP(2,1/(Soja!$E28:INDEX(Soja!$E28:$Z28,MIN(W$6-$G$3,22))&lt;&gt;""),Soja!$E28:INDEX(Soja!$E28:$Z28,MIN(W$6-$G$3,22))),0)))))</f>
        <v>0</v>
      </c>
      <c r="X30" s="27" t="n">
        <f aca="false">IF(COUNT(Soja!$E28:$Z28)=0,0,MAX(0,IF((X$6-$E$3)&lt;1,0,IFERROR(LOOKUP(2,1/(Soja!$E28:INDEX(Soja!$E28:$Z28,MIN(X$6-$E$3,22))&lt;&gt;""),Soja!$E28:INDEX(Soja!$E28:$Z28,MIN(X$6-$E$3,22))),0))-IF($G$2,0,IF((X$6-$G$3)&lt;1,0,IFERROR(LOOKUP(2,1/(Soja!$E28:INDEX(Soja!$E28:$Z28,MIN(X$6-$G$3,22))&lt;&gt;""),Soja!$E28:INDEX(Soja!$E28:$Z28,MIN(X$6-$G$3,22))),0)))))</f>
        <v>0</v>
      </c>
      <c r="Y30" s="27" t="n">
        <f aca="false">IF(COUNT(Soja!$E28:$Z28)=0,0,MAX(0,IF((Y$6-$E$3)&lt;1,0,IFERROR(LOOKUP(2,1/(Soja!$E28:INDEX(Soja!$E28:$Z28,MIN(Y$6-$E$3,22))&lt;&gt;""),Soja!$E28:INDEX(Soja!$E28:$Z28,MIN(Y$6-$E$3,22))),0))-IF($G$2,0,IF((Y$6-$G$3)&lt;1,0,IFERROR(LOOKUP(2,1/(Soja!$E28:INDEX(Soja!$E28:$Z28,MIN(Y$6-$G$3,22))&lt;&gt;""),Soja!$E28:INDEX(Soja!$E28:$Z28,MIN(Y$6-$G$3,22))),0)))))</f>
        <v>0</v>
      </c>
      <c r="Z30" s="27" t="n">
        <f aca="false">IF(COUNT(Soja!$E28:$Z28)=0,0,MAX(0,IF((Z$6-$E$3)&lt;1,0,IFERROR(LOOKUP(2,1/(Soja!$E28:INDEX(Soja!$E28:$Z28,MIN(Z$6-$E$3,22))&lt;&gt;""),Soja!$E28:INDEX(Soja!$E28:$Z28,MIN(Z$6-$E$3,22))),0))-IF($G$2,0,IF((Z$6-$G$3)&lt;1,0,IFERROR(LOOKUP(2,1/(Soja!$E28:INDEX(Soja!$E28:$Z28,MIN(Z$6-$G$3,22))&lt;&gt;""),Soja!$E28:INDEX(Soja!$E28:$Z28,MIN(Z$6-$G$3,22))),0)))))</f>
        <v>0</v>
      </c>
      <c r="AA30" s="27" t="n">
        <f aca="false">IF(COUNT(Soja!$E28:$Z28)=0,0,MAX(0,IF((AA$6-$E$3)&lt;1,0,IFERROR(LOOKUP(2,1/(Soja!$E28:INDEX(Soja!$E28:$Z28,MIN(AA$6-$E$3,22))&lt;&gt;""),Soja!$E28:INDEX(Soja!$E28:$Z28,MIN(AA$6-$E$3,22))),0))-IF($G$2,0,IF((AA$6-$G$3)&lt;1,0,IFERROR(LOOKUP(2,1/(Soja!$E28:INDEX(Soja!$E28:$Z28,MIN(AA$6-$G$3,22))&lt;&gt;""),Soja!$E28:INDEX(Soja!$E28:$Z28,MIN(AA$6-$G$3,22))),0)))))</f>
        <v>0</v>
      </c>
      <c r="AB30" s="27" t="n">
        <f aca="false">IF(COUNT(Soja!$E28:$Z28)=0,0,MAX(0,IF((AB$6-$E$3)&lt;1,0,IFERROR(LOOKUP(2,1/(Soja!$E28:INDEX(Soja!$E28:$Z28,MIN(AB$6-$E$3,22))&lt;&gt;""),Soja!$E28:INDEX(Soja!$E28:$Z28,MIN(AB$6-$E$3,22))),0))-IF($G$2,0,IF((AB$6-$G$3)&lt;1,0,IFERROR(LOOKUP(2,1/(Soja!$E28:INDEX(Soja!$E28:$Z28,MIN(AB$6-$G$3,22))&lt;&gt;""),Soja!$E28:INDEX(Soja!$E28:$Z28,MIN(AB$6-$G$3,22))),0)))))</f>
        <v>0</v>
      </c>
      <c r="AC30" s="27" t="n">
        <f aca="false">IF(COUNT(Soja!$E28:$Z28)=0,0,MAX(0,IF((AC$6-$E$3)&lt;1,0,IFERROR(LOOKUP(2,1/(Soja!$E28:INDEX(Soja!$E28:$Z28,MIN(AC$6-$E$3,22))&lt;&gt;""),Soja!$E28:INDEX(Soja!$E28:$Z28,MIN(AC$6-$E$3,22))),0))-IF($G$2,0,IF((AC$6-$G$3)&lt;1,0,IFERROR(LOOKUP(2,1/(Soja!$E28:INDEX(Soja!$E28:$Z28,MIN(AC$6-$G$3,22))&lt;&gt;""),Soja!$E28:INDEX(Soja!$E28:$Z28,MIN(AC$6-$G$3,22))),0)))))</f>
        <v>0</v>
      </c>
      <c r="AD30" s="27" t="n">
        <f aca="false">IF(COUNT(Soja!$E28:$Z28)=0,0,MAX(0,IF((AD$6-$E$3)&lt;1,0,IFERROR(LOOKUP(2,1/(Soja!$E28:INDEX(Soja!$E28:$Z28,MIN(AD$6-$E$3,22))&lt;&gt;""),Soja!$E28:INDEX(Soja!$E28:$Z28,MIN(AD$6-$E$3,22))),0))-IF($G$2,0,IF((AD$6-$G$3)&lt;1,0,IFERROR(LOOKUP(2,1/(Soja!$E28:INDEX(Soja!$E28:$Z28,MIN(AD$6-$G$3,22))&lt;&gt;""),Soja!$E28:INDEX(Soja!$E28:$Z28,MIN(AD$6-$G$3,22))),0)))))</f>
        <v>0</v>
      </c>
      <c r="AE30" s="27" t="n">
        <f aca="false">IF(COUNT(Soja!$E28:$Z28)=0,0,MAX(0,IF((AE$6-$E$3)&lt;1,0,IFERROR(LOOKUP(2,1/(Soja!$E28:INDEX(Soja!$E28:$Z28,MIN(AE$6-$E$3,22))&lt;&gt;""),Soja!$E28:INDEX(Soja!$E28:$Z28,MIN(AE$6-$E$3,22))),0))-IF($G$2,0,IF((AE$6-$G$3)&lt;1,0,IFERROR(LOOKUP(2,1/(Soja!$E28:INDEX(Soja!$E28:$Z28,MIN(AE$6-$G$3,22))&lt;&gt;""),Soja!$E28:INDEX(Soja!$E28:$Z28,MIN(AE$6-$G$3,22))),0)))))</f>
        <v>0</v>
      </c>
      <c r="AF30" s="27" t="n">
        <f aca="false">IF(COUNT(Soja!$E28:$Z28)=0,0,MAX(0,IF((AF$6-$E$3)&lt;1,0,IFERROR(LOOKUP(2,1/(Soja!$E28:INDEX(Soja!$E28:$Z28,MIN(AF$6-$E$3,22))&lt;&gt;""),Soja!$E28:INDEX(Soja!$E28:$Z28,MIN(AF$6-$E$3,22))),0))-IF($G$2,0,IF((AF$6-$G$3)&lt;1,0,IFERROR(LOOKUP(2,1/(Soja!$E28:INDEX(Soja!$E28:$Z28,MIN(AF$6-$G$3,22))&lt;&gt;""),Soja!$E28:INDEX(Soja!$E28:$Z28,MIN(AF$6-$G$3,22))),0)))))</f>
        <v>0</v>
      </c>
      <c r="AG30" s="27" t="n">
        <f aca="false">IF(COUNT(Soja!$E28:$Z28)=0,0,MAX(0,IF((AG$6-$E$3)&lt;1,0,IFERROR(LOOKUP(2,1/(Soja!$E28:INDEX(Soja!$E28:$Z28,MIN(AG$6-$E$3,22))&lt;&gt;""),Soja!$E28:INDEX(Soja!$E28:$Z28,MIN(AG$6-$E$3,22))),0))-IF($G$2,0,IF((AG$6-$G$3)&lt;1,0,IFERROR(LOOKUP(2,1/(Soja!$E28:INDEX(Soja!$E28:$Z28,MIN(AG$6-$G$3,22))&lt;&gt;""),Soja!$E28:INDEX(Soja!$E28:$Z28,MIN(AG$6-$G$3,22))),0)))))</f>
        <v>0</v>
      </c>
      <c r="AH30" s="27" t="n">
        <f aca="false">IF(COUNT(Soja!$E28:$Z28)=0,0,MAX(0,IF((AH$6-$E$3)&lt;1,0,IFERROR(LOOKUP(2,1/(Soja!$E28:INDEX(Soja!$E28:$Z28,MIN(AH$6-$E$3,22))&lt;&gt;""),Soja!$E28:INDEX(Soja!$E28:$Z28,MIN(AH$6-$E$3,22))),0))-IF($G$2,0,IF((AH$6-$G$3)&lt;1,0,IFERROR(LOOKUP(2,1/(Soja!$E28:INDEX(Soja!$E28:$Z28,MIN(AH$6-$G$3,22))&lt;&gt;""),Soja!$E28:INDEX(Soja!$E28:$Z28,MIN(AH$6-$G$3,22))),0)))))</f>
        <v>0</v>
      </c>
      <c r="AI30" s="27" t="n">
        <f aca="false">IF(COUNT(Soja!$E28:$Z28)=0,0,MAX(0,IF((AI$6-$E$3)&lt;1,0,IFERROR(LOOKUP(2,1/(Soja!$E28:INDEX(Soja!$E28:$Z28,MIN(AI$6-$E$3,22))&lt;&gt;""),Soja!$E28:INDEX(Soja!$E28:$Z28,MIN(AI$6-$E$3,22))),0))-IF($G$2,0,IF((AI$6-$G$3)&lt;1,0,IFERROR(LOOKUP(2,1/(Soja!$E28:INDEX(Soja!$E28:$Z28,MIN(AI$6-$G$3,22))&lt;&gt;""),Soja!$E28:INDEX(Soja!$E28:$Z28,MIN(AI$6-$G$3,22))),0)))))</f>
        <v>0</v>
      </c>
      <c r="AJ30" s="27" t="n">
        <f aca="false">IF(COUNT(Soja!$E28:$Z28)=0,0,MAX(0,IF((AJ$6-$E$3)&lt;1,0,IFERROR(LOOKUP(2,1/(Soja!$E28:INDEX(Soja!$E28:$Z28,MIN(AJ$6-$E$3,22))&lt;&gt;""),Soja!$E28:INDEX(Soja!$E28:$Z28,MIN(AJ$6-$E$3,22))),0))-IF($G$2,0,IF((AJ$6-$G$3)&lt;1,0,IFERROR(LOOKUP(2,1/(Soja!$E28:INDEX(Soja!$E28:$Z28,MIN(AJ$6-$G$3,22))&lt;&gt;""),Soja!$E28:INDEX(Soja!$E28:$Z28,MIN(AJ$6-$G$3,22))),0)))))</f>
        <v>0</v>
      </c>
      <c r="AK30" s="27" t="n">
        <f aca="false">IF(COUNT(Soja!$E28:$Z28)=0,0,MAX(0,IF((AK$6-$E$3)&lt;1,0,IFERROR(LOOKUP(2,1/(Soja!$E28:INDEX(Soja!$E28:$Z28,MIN(AK$6-$E$3,22))&lt;&gt;""),Soja!$E28:INDEX(Soja!$E28:$Z28,MIN(AK$6-$E$3,22))),0))-IF($G$2,0,IF((AK$6-$G$3)&lt;1,0,IFERROR(LOOKUP(2,1/(Soja!$E28:INDEX(Soja!$E28:$Z28,MIN(AK$6-$G$3,22))&lt;&gt;""),Soja!$E28:INDEX(Soja!$E28:$Z28,MIN(AK$6-$G$3,22))),0)))))</f>
        <v>0</v>
      </c>
      <c r="AL30" s="27" t="n">
        <f aca="false">IF(COUNT(Soja!$E28:$Z28)=0,0,MAX(0,IF((AL$6-$E$3)&lt;1,0,IFERROR(LOOKUP(2,1/(Soja!$E28:INDEX(Soja!$E28:$Z28,MIN(AL$6-$E$3,22))&lt;&gt;""),Soja!$E28:INDEX(Soja!$E28:$Z28,MIN(AL$6-$E$3,22))),0))-IF($G$2,0,IF((AL$6-$G$3)&lt;1,0,IFERROR(LOOKUP(2,1/(Soja!$E28:INDEX(Soja!$E28:$Z28,MIN(AL$6-$G$3,22))&lt;&gt;""),Soja!$E28:INDEX(Soja!$E28:$Z28,MIN(AL$6-$G$3,22))),0)))))</f>
        <v>0</v>
      </c>
      <c r="AM30" s="27" t="n">
        <f aca="false">IF(COUNT(Soja!$E28:$Z28)=0,0,MAX(0,IF((AM$6-$E$3)&lt;1,0,IFERROR(LOOKUP(2,1/(Soja!$E28:INDEX(Soja!$E28:$Z28,MIN(AM$6-$E$3,22))&lt;&gt;""),Soja!$E28:INDEX(Soja!$E28:$Z28,MIN(AM$6-$E$3,22))),0))-IF($G$2,0,IF((AM$6-$G$3)&lt;1,0,IFERROR(LOOKUP(2,1/(Soja!$E28:INDEX(Soja!$E28:$Z28,MIN(AM$6-$G$3,22))&lt;&gt;""),Soja!$E28:INDEX(Soja!$E28:$Z28,MIN(AM$6-$G$3,22))),0)))))</f>
        <v>0</v>
      </c>
      <c r="AN30" s="27" t="n">
        <f aca="false">IF(COUNT(Soja!$E28:$Z28)=0,0,MAX(0,IF((AN$6-$E$3)&lt;1,0,IFERROR(LOOKUP(2,1/(Soja!$E28:INDEX(Soja!$E28:$Z28,MIN(AN$6-$E$3,22))&lt;&gt;""),Soja!$E28:INDEX(Soja!$E28:$Z28,MIN(AN$6-$E$3,22))),0))-IF($G$2,0,IF((AN$6-$G$3)&lt;1,0,IFERROR(LOOKUP(2,1/(Soja!$E28:INDEX(Soja!$E28:$Z28,MIN(AN$6-$G$3,22))&lt;&gt;""),Soja!$E28:INDEX(Soja!$E28:$Z28,MIN(AN$6-$G$3,22))),0)))))</f>
        <v>0</v>
      </c>
      <c r="AO30" s="27" t="n">
        <f aca="false">IF(COUNT(Soja!$E28:$Z28)=0,0,MAX(0,IF((AO$6-$E$3)&lt;1,0,IFERROR(LOOKUP(2,1/(Soja!$E28:INDEX(Soja!$E28:$Z28,MIN(AO$6-$E$3,22))&lt;&gt;""),Soja!$E28:INDEX(Soja!$E28:$Z28,MIN(AO$6-$E$3,22))),0))-IF($G$2,0,IF((AO$6-$G$3)&lt;1,0,IFERROR(LOOKUP(2,1/(Soja!$E28:INDEX(Soja!$E28:$Z28,MIN(AO$6-$G$3,22))&lt;&gt;""),Soja!$E28:INDEX(Soja!$E28:$Z28,MIN(AO$6-$G$3,22))),0)))))</f>
        <v>0</v>
      </c>
      <c r="AP30" s="27" t="n">
        <f aca="false">IF(COUNT(Soja!$E28:$Z28)=0,0,MAX(0,IF((AP$6-$E$3)&lt;1,0,IFERROR(LOOKUP(2,1/(Soja!$E28:INDEX(Soja!$E28:$Z28,MIN(AP$6-$E$3,22))&lt;&gt;""),Soja!$E28:INDEX(Soja!$E28:$Z28,MIN(AP$6-$E$3,22))),0))-IF($G$2,0,IF((AP$6-$G$3)&lt;1,0,IFERROR(LOOKUP(2,1/(Soja!$E28:INDEX(Soja!$E28:$Z28,MIN(AP$6-$G$3,22))&lt;&gt;""),Soja!$E28:INDEX(Soja!$E28:$Z28,MIN(AP$6-$G$3,22))),0)))))</f>
        <v>0</v>
      </c>
      <c r="AQ30" s="27" t="n">
        <f aca="false">IF(COUNT(Soja!$E28:$Z28)=0,0,MAX(0,IF((AQ$6-$E$3)&lt;1,0,IFERROR(LOOKUP(2,1/(Soja!$E28:INDEX(Soja!$E28:$Z28,MIN(AQ$6-$E$3,22))&lt;&gt;""),Soja!$E28:INDEX(Soja!$E28:$Z28,MIN(AQ$6-$E$3,22))),0))-IF($G$2,0,IF((AQ$6-$G$3)&lt;1,0,IFERROR(LOOKUP(2,1/(Soja!$E28:INDEX(Soja!$E28:$Z28,MIN(AQ$6-$G$3,22))&lt;&gt;""),Soja!$E28:INDEX(Soja!$E28:$Z28,MIN(AQ$6-$G$3,22))),0)))))</f>
        <v>0</v>
      </c>
      <c r="AR30" s="27" t="n">
        <f aca="false">IF(COUNT(Soja!$E28:$Z28)=0,0,MAX(0,IF((AR$6-$E$3)&lt;1,0,IFERROR(LOOKUP(2,1/(Soja!$E28:INDEX(Soja!$E28:$Z28,MIN(AR$6-$E$3,22))&lt;&gt;""),Soja!$E28:INDEX(Soja!$E28:$Z28,MIN(AR$6-$E$3,22))),0))-IF($G$2,0,IF((AR$6-$G$3)&lt;1,0,IFERROR(LOOKUP(2,1/(Soja!$E28:INDEX(Soja!$E28:$Z28,MIN(AR$6-$G$3,22))&lt;&gt;""),Soja!$E28:INDEX(Soja!$E28:$Z28,MIN(AR$6-$G$3,22))),0)))))</f>
        <v>0</v>
      </c>
      <c r="AS30" s="27" t="n">
        <f aca="false">IF(COUNT(Soja!$E28:$Z28)=0,0,MAX(0,IF((AS$6-$E$3)&lt;1,0,IFERROR(LOOKUP(2,1/(Soja!$E28:INDEX(Soja!$E28:$Z28,MIN(AS$6-$E$3,22))&lt;&gt;""),Soja!$E28:INDEX(Soja!$E28:$Z28,MIN(AS$6-$E$3,22))),0))-IF($G$2,0,IF((AS$6-$G$3)&lt;1,0,IFERROR(LOOKUP(2,1/(Soja!$E28:INDEX(Soja!$E28:$Z28,MIN(AS$6-$G$3,22))&lt;&gt;""),Soja!$E28:INDEX(Soja!$E28:$Z28,MIN(AS$6-$G$3,22))),0)))))</f>
        <v>0</v>
      </c>
      <c r="AT30" s="27" t="n">
        <f aca="false">IF(COUNT(Soja!$E28:$Z28)=0,0,MAX(0,IF((AT$6-$E$3)&lt;1,0,IFERROR(LOOKUP(2,1/(Soja!$E28:INDEX(Soja!$E28:$Z28,MIN(AT$6-$E$3,22))&lt;&gt;""),Soja!$E28:INDEX(Soja!$E28:$Z28,MIN(AT$6-$E$3,22))),0))-IF($G$2,0,IF((AT$6-$G$3)&lt;1,0,IFERROR(LOOKUP(2,1/(Soja!$E28:INDEX(Soja!$E28:$Z28,MIN(AT$6-$G$3,22))&lt;&gt;""),Soja!$E28:INDEX(Soja!$E28:$Z28,MIN(AT$6-$G$3,22))),0)))))</f>
        <v>0</v>
      </c>
      <c r="AU30" s="27" t="n">
        <f aca="false">IF(COUNT(Soja!$E28:$Z28)=0,0,MAX(0,IF((AU$6-$E$3)&lt;1,0,IFERROR(LOOKUP(2,1/(Soja!$E28:INDEX(Soja!$E28:$Z28,MIN(AU$6-$E$3,22))&lt;&gt;""),Soja!$E28:INDEX(Soja!$E28:$Z28,MIN(AU$6-$E$3,22))),0))-IF($G$2,0,IF((AU$6-$G$3)&lt;1,0,IFERROR(LOOKUP(2,1/(Soja!$E28:INDEX(Soja!$E28:$Z28,MIN(AU$6-$G$3,22))&lt;&gt;""),Soja!$E28:INDEX(Soja!$E28:$Z28,MIN(AU$6-$G$3,22))),0)))))</f>
        <v>0</v>
      </c>
      <c r="AV30" s="27" t="n">
        <f aca="false">IF(COUNT(Soja!$E28:$Z28)=0,0,MAX(0,IF((AV$6-$E$3)&lt;1,0,IFERROR(LOOKUP(2,1/(Soja!$E28:INDEX(Soja!$E28:$Z28,MIN(AV$6-$E$3,22))&lt;&gt;""),Soja!$E28:INDEX(Soja!$E28:$Z28,MIN(AV$6-$E$3,22))),0))-IF($G$2,0,IF((AV$6-$G$3)&lt;1,0,IFERROR(LOOKUP(2,1/(Soja!$E28:INDEX(Soja!$E28:$Z28,MIN(AV$6-$G$3,22))&lt;&gt;""),Soja!$E28:INDEX(Soja!$E28:$Z28,MIN(AV$6-$G$3,22))),0)))))</f>
        <v>0</v>
      </c>
      <c r="AW30" s="27" t="n">
        <f aca="false">IF(COUNT(Soja!$E28:$Z28)=0,0,MAX(0,IF((AW$6-$E$3)&lt;1,0,IFERROR(LOOKUP(2,1/(Soja!$E28:INDEX(Soja!$E28:$Z28,MIN(AW$6-$E$3,22))&lt;&gt;""),Soja!$E28:INDEX(Soja!$E28:$Z28,MIN(AW$6-$E$3,22))),0))-IF($G$2,0,IF((AW$6-$G$3)&lt;1,0,IFERROR(LOOKUP(2,1/(Soja!$E28:INDEX(Soja!$E28:$Z28,MIN(AW$6-$G$3,22))&lt;&gt;""),Soja!$E28:INDEX(Soja!$E28:$Z28,MIN(AW$6-$G$3,22))),0)))))</f>
        <v>0</v>
      </c>
      <c r="AX30" s="27" t="n">
        <f aca="false">IF(COUNT(Soja!$E28:$Z28)=0,0,MAX(0,IF((AX$6-$E$3)&lt;1,0,IFERROR(LOOKUP(2,1/(Soja!$E28:INDEX(Soja!$E28:$Z28,MIN(AX$6-$E$3,22))&lt;&gt;""),Soja!$E28:INDEX(Soja!$E28:$Z28,MIN(AX$6-$E$3,22))),0))-IF($G$2,0,IF((AX$6-$G$3)&lt;1,0,IFERROR(LOOKUP(2,1/(Soja!$E28:INDEX(Soja!$E28:$Z28,MIN(AX$6-$G$3,22))&lt;&gt;""),Soja!$E28:INDEX(Soja!$E28:$Z28,MIN(AX$6-$G$3,22))),0)))))</f>
        <v>0</v>
      </c>
      <c r="AY30" s="27" t="n">
        <f aca="false">IF(COUNT(Soja!$E28:$Z28)=0,0,MAX(0,IF((AY$6-$E$3)&lt;1,0,IFERROR(LOOKUP(2,1/(Soja!$E28:INDEX(Soja!$E28:$Z28,MIN(AY$6-$E$3,22))&lt;&gt;""),Soja!$E28:INDEX(Soja!$E28:$Z28,MIN(AY$6-$E$3,22))),0))-IF($G$2,0,IF((AY$6-$G$3)&lt;1,0,IFERROR(LOOKUP(2,1/(Soja!$E28:INDEX(Soja!$E28:$Z28,MIN(AY$6-$G$3,22))&lt;&gt;""),Soja!$E28:INDEX(Soja!$E28:$Z28,MIN(AY$6-$G$3,22))),0)))))</f>
        <v>0</v>
      </c>
      <c r="AZ30" s="27" t="n">
        <f aca="false">IF(COUNT(Soja!$E28:$Z28)=0,0,MAX(0,IF((AZ$6-$E$3)&lt;1,0,IFERROR(LOOKUP(2,1/(Soja!$E28:INDEX(Soja!$E28:$Z28,MIN(AZ$6-$E$3,22))&lt;&gt;""),Soja!$E28:INDEX(Soja!$E28:$Z28,MIN(AZ$6-$E$3,22))),0))-IF($G$2,0,IF((AZ$6-$G$3)&lt;1,0,IFERROR(LOOKUP(2,1/(Soja!$E28:INDEX(Soja!$E28:$Z28,MIN(AZ$6-$G$3,22))&lt;&gt;""),Soja!$E28:INDEX(Soja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IF(COUNT(Soja!$E29:$Z29)&gt;0,N(Soja!$D29),0)</f>
        <v>0</v>
      </c>
      <c r="E31" s="27" t="n">
        <f aca="false">IF(COUNT(Soja!$E29:$Z29)=0,0,MAX(0,IF((E$6-$E$3)&lt;1,0,IFERROR(LOOKUP(2,1/(Soja!$E29:INDEX(Soja!$E29:$Z29,MIN(E$6-$E$3,22))&lt;&gt;""),Soja!$E29:INDEX(Soja!$E29:$Z29,MIN(E$6-$E$3,22))),0))-IF($G$2,0,IF((E$6-$G$3)&lt;1,0,IFERROR(LOOKUP(2,1/(Soja!$E29:INDEX(Soja!$E29:$Z29,MIN(E$6-$G$3,22))&lt;&gt;""),Soja!$E29:INDEX(Soja!$E29:$Z29,MIN(E$6-$G$3,22))),0)))))</f>
        <v>0</v>
      </c>
      <c r="F31" s="27" t="n">
        <f aca="false">IF(COUNT(Soja!$E29:$Z29)=0,0,MAX(0,IF((F$6-$E$3)&lt;1,0,IFERROR(LOOKUP(2,1/(Soja!$E29:INDEX(Soja!$E29:$Z29,MIN(F$6-$E$3,22))&lt;&gt;""),Soja!$E29:INDEX(Soja!$E29:$Z29,MIN(F$6-$E$3,22))),0))-IF($G$2,0,IF((F$6-$G$3)&lt;1,0,IFERROR(LOOKUP(2,1/(Soja!$E29:INDEX(Soja!$E29:$Z29,MIN(F$6-$G$3,22))&lt;&gt;""),Soja!$E29:INDEX(Soja!$E29:$Z29,MIN(F$6-$G$3,22))),0)))))</f>
        <v>0</v>
      </c>
      <c r="G31" s="27" t="n">
        <f aca="false">IF(COUNT(Soja!$E29:$Z29)=0,0,MAX(0,IF((G$6-$E$3)&lt;1,0,IFERROR(LOOKUP(2,1/(Soja!$E29:INDEX(Soja!$E29:$Z29,MIN(G$6-$E$3,22))&lt;&gt;""),Soja!$E29:INDEX(Soja!$E29:$Z29,MIN(G$6-$E$3,22))),0))-IF($G$2,0,IF((G$6-$G$3)&lt;1,0,IFERROR(LOOKUP(2,1/(Soja!$E29:INDEX(Soja!$E29:$Z29,MIN(G$6-$G$3,22))&lt;&gt;""),Soja!$E29:INDEX(Soja!$E29:$Z29,MIN(G$6-$G$3,22))),0)))))</f>
        <v>0</v>
      </c>
      <c r="H31" s="27" t="n">
        <f aca="false">IF(COUNT(Soja!$E29:$Z29)=0,0,MAX(0,IF((H$6-$E$3)&lt;1,0,IFERROR(LOOKUP(2,1/(Soja!$E29:INDEX(Soja!$E29:$Z29,MIN(H$6-$E$3,22))&lt;&gt;""),Soja!$E29:INDEX(Soja!$E29:$Z29,MIN(H$6-$E$3,22))),0))-IF($G$2,0,IF((H$6-$G$3)&lt;1,0,IFERROR(LOOKUP(2,1/(Soja!$E29:INDEX(Soja!$E29:$Z29,MIN(H$6-$G$3,22))&lt;&gt;""),Soja!$E29:INDEX(Soja!$E29:$Z29,MIN(H$6-$G$3,22))),0)))))</f>
        <v>0</v>
      </c>
      <c r="I31" s="27" t="n">
        <f aca="false">IF(COUNT(Soja!$E29:$Z29)=0,0,MAX(0,IF((I$6-$E$3)&lt;1,0,IFERROR(LOOKUP(2,1/(Soja!$E29:INDEX(Soja!$E29:$Z29,MIN(I$6-$E$3,22))&lt;&gt;""),Soja!$E29:INDEX(Soja!$E29:$Z29,MIN(I$6-$E$3,22))),0))-IF($G$2,0,IF((I$6-$G$3)&lt;1,0,IFERROR(LOOKUP(2,1/(Soja!$E29:INDEX(Soja!$E29:$Z29,MIN(I$6-$G$3,22))&lt;&gt;""),Soja!$E29:INDEX(Soja!$E29:$Z29,MIN(I$6-$G$3,22))),0)))))</f>
        <v>0</v>
      </c>
      <c r="J31" s="27" t="n">
        <f aca="false">IF(COUNT(Soja!$E29:$Z29)=0,0,MAX(0,IF((J$6-$E$3)&lt;1,0,IFERROR(LOOKUP(2,1/(Soja!$E29:INDEX(Soja!$E29:$Z29,MIN(J$6-$E$3,22))&lt;&gt;""),Soja!$E29:INDEX(Soja!$E29:$Z29,MIN(J$6-$E$3,22))),0))-IF($G$2,0,IF((J$6-$G$3)&lt;1,0,IFERROR(LOOKUP(2,1/(Soja!$E29:INDEX(Soja!$E29:$Z29,MIN(J$6-$G$3,22))&lt;&gt;""),Soja!$E29:INDEX(Soja!$E29:$Z29,MIN(J$6-$G$3,22))),0)))))</f>
        <v>0</v>
      </c>
      <c r="K31" s="27" t="n">
        <f aca="false">IF(COUNT(Soja!$E29:$Z29)=0,0,MAX(0,IF((K$6-$E$3)&lt;1,0,IFERROR(LOOKUP(2,1/(Soja!$E29:INDEX(Soja!$E29:$Z29,MIN(K$6-$E$3,22))&lt;&gt;""),Soja!$E29:INDEX(Soja!$E29:$Z29,MIN(K$6-$E$3,22))),0))-IF($G$2,0,IF((K$6-$G$3)&lt;1,0,IFERROR(LOOKUP(2,1/(Soja!$E29:INDEX(Soja!$E29:$Z29,MIN(K$6-$G$3,22))&lt;&gt;""),Soja!$E29:INDEX(Soja!$E29:$Z29,MIN(K$6-$G$3,22))),0)))))</f>
        <v>0</v>
      </c>
      <c r="L31" s="27" t="n">
        <f aca="false">IF(COUNT(Soja!$E29:$Z29)=0,0,MAX(0,IF((L$6-$E$3)&lt;1,0,IFERROR(LOOKUP(2,1/(Soja!$E29:INDEX(Soja!$E29:$Z29,MIN(L$6-$E$3,22))&lt;&gt;""),Soja!$E29:INDEX(Soja!$E29:$Z29,MIN(L$6-$E$3,22))),0))-IF($G$2,0,IF((L$6-$G$3)&lt;1,0,IFERROR(LOOKUP(2,1/(Soja!$E29:INDEX(Soja!$E29:$Z29,MIN(L$6-$G$3,22))&lt;&gt;""),Soja!$E29:INDEX(Soja!$E29:$Z29,MIN(L$6-$G$3,22))),0)))))</f>
        <v>0</v>
      </c>
      <c r="M31" s="27" t="n">
        <f aca="false">IF(COUNT(Soja!$E29:$Z29)=0,0,MAX(0,IF((M$6-$E$3)&lt;1,0,IFERROR(LOOKUP(2,1/(Soja!$E29:INDEX(Soja!$E29:$Z29,MIN(M$6-$E$3,22))&lt;&gt;""),Soja!$E29:INDEX(Soja!$E29:$Z29,MIN(M$6-$E$3,22))),0))-IF($G$2,0,IF((M$6-$G$3)&lt;1,0,IFERROR(LOOKUP(2,1/(Soja!$E29:INDEX(Soja!$E29:$Z29,MIN(M$6-$G$3,22))&lt;&gt;""),Soja!$E29:INDEX(Soja!$E29:$Z29,MIN(M$6-$G$3,22))),0)))))</f>
        <v>0</v>
      </c>
      <c r="N31" s="27" t="n">
        <f aca="false">IF(COUNT(Soja!$E29:$Z29)=0,0,MAX(0,IF((N$6-$E$3)&lt;1,0,IFERROR(LOOKUP(2,1/(Soja!$E29:INDEX(Soja!$E29:$Z29,MIN(N$6-$E$3,22))&lt;&gt;""),Soja!$E29:INDEX(Soja!$E29:$Z29,MIN(N$6-$E$3,22))),0))-IF($G$2,0,IF((N$6-$G$3)&lt;1,0,IFERROR(LOOKUP(2,1/(Soja!$E29:INDEX(Soja!$E29:$Z29,MIN(N$6-$G$3,22))&lt;&gt;""),Soja!$E29:INDEX(Soja!$E29:$Z29,MIN(N$6-$G$3,22))),0)))))</f>
        <v>0</v>
      </c>
      <c r="O31" s="27" t="n">
        <f aca="false">IF(COUNT(Soja!$E29:$Z29)=0,0,MAX(0,IF((O$6-$E$3)&lt;1,0,IFERROR(LOOKUP(2,1/(Soja!$E29:INDEX(Soja!$E29:$Z29,MIN(O$6-$E$3,22))&lt;&gt;""),Soja!$E29:INDEX(Soja!$E29:$Z29,MIN(O$6-$E$3,22))),0))-IF($G$2,0,IF((O$6-$G$3)&lt;1,0,IFERROR(LOOKUP(2,1/(Soja!$E29:INDEX(Soja!$E29:$Z29,MIN(O$6-$G$3,22))&lt;&gt;""),Soja!$E29:INDEX(Soja!$E29:$Z29,MIN(O$6-$G$3,22))),0)))))</f>
        <v>0</v>
      </c>
      <c r="P31" s="27" t="n">
        <f aca="false">IF(COUNT(Soja!$E29:$Z29)=0,0,MAX(0,IF((P$6-$E$3)&lt;1,0,IFERROR(LOOKUP(2,1/(Soja!$E29:INDEX(Soja!$E29:$Z29,MIN(P$6-$E$3,22))&lt;&gt;""),Soja!$E29:INDEX(Soja!$E29:$Z29,MIN(P$6-$E$3,22))),0))-IF($G$2,0,IF((P$6-$G$3)&lt;1,0,IFERROR(LOOKUP(2,1/(Soja!$E29:INDEX(Soja!$E29:$Z29,MIN(P$6-$G$3,22))&lt;&gt;""),Soja!$E29:INDEX(Soja!$E29:$Z29,MIN(P$6-$G$3,22))),0)))))</f>
        <v>0</v>
      </c>
      <c r="Q31" s="27" t="n">
        <f aca="false">IF(COUNT(Soja!$E29:$Z29)=0,0,MAX(0,IF((Q$6-$E$3)&lt;1,0,IFERROR(LOOKUP(2,1/(Soja!$E29:INDEX(Soja!$E29:$Z29,MIN(Q$6-$E$3,22))&lt;&gt;""),Soja!$E29:INDEX(Soja!$E29:$Z29,MIN(Q$6-$E$3,22))),0))-IF($G$2,0,IF((Q$6-$G$3)&lt;1,0,IFERROR(LOOKUP(2,1/(Soja!$E29:INDEX(Soja!$E29:$Z29,MIN(Q$6-$G$3,22))&lt;&gt;""),Soja!$E29:INDEX(Soja!$E29:$Z29,MIN(Q$6-$G$3,22))),0)))))</f>
        <v>0</v>
      </c>
      <c r="R31" s="27" t="n">
        <f aca="false">IF(COUNT(Soja!$E29:$Z29)=0,0,MAX(0,IF((R$6-$E$3)&lt;1,0,IFERROR(LOOKUP(2,1/(Soja!$E29:INDEX(Soja!$E29:$Z29,MIN(R$6-$E$3,22))&lt;&gt;""),Soja!$E29:INDEX(Soja!$E29:$Z29,MIN(R$6-$E$3,22))),0))-IF($G$2,0,IF((R$6-$G$3)&lt;1,0,IFERROR(LOOKUP(2,1/(Soja!$E29:INDEX(Soja!$E29:$Z29,MIN(R$6-$G$3,22))&lt;&gt;""),Soja!$E29:INDEX(Soja!$E29:$Z29,MIN(R$6-$G$3,22))),0)))))</f>
        <v>0</v>
      </c>
      <c r="S31" s="27" t="n">
        <f aca="false">IF(COUNT(Soja!$E29:$Z29)=0,0,MAX(0,IF((S$6-$E$3)&lt;1,0,IFERROR(LOOKUP(2,1/(Soja!$E29:INDEX(Soja!$E29:$Z29,MIN(S$6-$E$3,22))&lt;&gt;""),Soja!$E29:INDEX(Soja!$E29:$Z29,MIN(S$6-$E$3,22))),0))-IF($G$2,0,IF((S$6-$G$3)&lt;1,0,IFERROR(LOOKUP(2,1/(Soja!$E29:INDEX(Soja!$E29:$Z29,MIN(S$6-$G$3,22))&lt;&gt;""),Soja!$E29:INDEX(Soja!$E29:$Z29,MIN(S$6-$G$3,22))),0)))))</f>
        <v>0</v>
      </c>
      <c r="T31" s="27" t="n">
        <f aca="false">IF(COUNT(Soja!$E29:$Z29)=0,0,MAX(0,IF((T$6-$E$3)&lt;1,0,IFERROR(LOOKUP(2,1/(Soja!$E29:INDEX(Soja!$E29:$Z29,MIN(T$6-$E$3,22))&lt;&gt;""),Soja!$E29:INDEX(Soja!$E29:$Z29,MIN(T$6-$E$3,22))),0))-IF($G$2,0,IF((T$6-$G$3)&lt;1,0,IFERROR(LOOKUP(2,1/(Soja!$E29:INDEX(Soja!$E29:$Z29,MIN(T$6-$G$3,22))&lt;&gt;""),Soja!$E29:INDEX(Soja!$E29:$Z29,MIN(T$6-$G$3,22))),0)))))</f>
        <v>0</v>
      </c>
      <c r="U31" s="27" t="n">
        <f aca="false">IF(COUNT(Soja!$E29:$Z29)=0,0,MAX(0,IF((U$6-$E$3)&lt;1,0,IFERROR(LOOKUP(2,1/(Soja!$E29:INDEX(Soja!$E29:$Z29,MIN(U$6-$E$3,22))&lt;&gt;""),Soja!$E29:INDEX(Soja!$E29:$Z29,MIN(U$6-$E$3,22))),0))-IF($G$2,0,IF((U$6-$G$3)&lt;1,0,IFERROR(LOOKUP(2,1/(Soja!$E29:INDEX(Soja!$E29:$Z29,MIN(U$6-$G$3,22))&lt;&gt;""),Soja!$E29:INDEX(Soja!$E29:$Z29,MIN(U$6-$G$3,22))),0)))))</f>
        <v>0</v>
      </c>
      <c r="V31" s="27" t="n">
        <f aca="false">IF(COUNT(Soja!$E29:$Z29)=0,0,MAX(0,IF((V$6-$E$3)&lt;1,0,IFERROR(LOOKUP(2,1/(Soja!$E29:INDEX(Soja!$E29:$Z29,MIN(V$6-$E$3,22))&lt;&gt;""),Soja!$E29:INDEX(Soja!$E29:$Z29,MIN(V$6-$E$3,22))),0))-IF($G$2,0,IF((V$6-$G$3)&lt;1,0,IFERROR(LOOKUP(2,1/(Soja!$E29:INDEX(Soja!$E29:$Z29,MIN(V$6-$G$3,22))&lt;&gt;""),Soja!$E29:INDEX(Soja!$E29:$Z29,MIN(V$6-$G$3,22))),0)))))</f>
        <v>0</v>
      </c>
      <c r="W31" s="27" t="n">
        <f aca="false">IF(COUNT(Soja!$E29:$Z29)=0,0,MAX(0,IF((W$6-$E$3)&lt;1,0,IFERROR(LOOKUP(2,1/(Soja!$E29:INDEX(Soja!$E29:$Z29,MIN(W$6-$E$3,22))&lt;&gt;""),Soja!$E29:INDEX(Soja!$E29:$Z29,MIN(W$6-$E$3,22))),0))-IF($G$2,0,IF((W$6-$G$3)&lt;1,0,IFERROR(LOOKUP(2,1/(Soja!$E29:INDEX(Soja!$E29:$Z29,MIN(W$6-$G$3,22))&lt;&gt;""),Soja!$E29:INDEX(Soja!$E29:$Z29,MIN(W$6-$G$3,22))),0)))))</f>
        <v>0</v>
      </c>
      <c r="X31" s="27" t="n">
        <f aca="false">IF(COUNT(Soja!$E29:$Z29)=0,0,MAX(0,IF((X$6-$E$3)&lt;1,0,IFERROR(LOOKUP(2,1/(Soja!$E29:INDEX(Soja!$E29:$Z29,MIN(X$6-$E$3,22))&lt;&gt;""),Soja!$E29:INDEX(Soja!$E29:$Z29,MIN(X$6-$E$3,22))),0))-IF($G$2,0,IF((X$6-$G$3)&lt;1,0,IFERROR(LOOKUP(2,1/(Soja!$E29:INDEX(Soja!$E29:$Z29,MIN(X$6-$G$3,22))&lt;&gt;""),Soja!$E29:INDEX(Soja!$E29:$Z29,MIN(X$6-$G$3,22))),0)))))</f>
        <v>0</v>
      </c>
      <c r="Y31" s="27" t="n">
        <f aca="false">IF(COUNT(Soja!$E29:$Z29)=0,0,MAX(0,IF((Y$6-$E$3)&lt;1,0,IFERROR(LOOKUP(2,1/(Soja!$E29:INDEX(Soja!$E29:$Z29,MIN(Y$6-$E$3,22))&lt;&gt;""),Soja!$E29:INDEX(Soja!$E29:$Z29,MIN(Y$6-$E$3,22))),0))-IF($G$2,0,IF((Y$6-$G$3)&lt;1,0,IFERROR(LOOKUP(2,1/(Soja!$E29:INDEX(Soja!$E29:$Z29,MIN(Y$6-$G$3,22))&lt;&gt;""),Soja!$E29:INDEX(Soja!$E29:$Z29,MIN(Y$6-$G$3,22))),0)))))</f>
        <v>0</v>
      </c>
      <c r="Z31" s="27" t="n">
        <f aca="false">IF(COUNT(Soja!$E29:$Z29)=0,0,MAX(0,IF((Z$6-$E$3)&lt;1,0,IFERROR(LOOKUP(2,1/(Soja!$E29:INDEX(Soja!$E29:$Z29,MIN(Z$6-$E$3,22))&lt;&gt;""),Soja!$E29:INDEX(Soja!$E29:$Z29,MIN(Z$6-$E$3,22))),0))-IF($G$2,0,IF((Z$6-$G$3)&lt;1,0,IFERROR(LOOKUP(2,1/(Soja!$E29:INDEX(Soja!$E29:$Z29,MIN(Z$6-$G$3,22))&lt;&gt;""),Soja!$E29:INDEX(Soja!$E29:$Z29,MIN(Z$6-$G$3,22))),0)))))</f>
        <v>0</v>
      </c>
      <c r="AA31" s="27" t="n">
        <f aca="false">IF(COUNT(Soja!$E29:$Z29)=0,0,MAX(0,IF((AA$6-$E$3)&lt;1,0,IFERROR(LOOKUP(2,1/(Soja!$E29:INDEX(Soja!$E29:$Z29,MIN(AA$6-$E$3,22))&lt;&gt;""),Soja!$E29:INDEX(Soja!$E29:$Z29,MIN(AA$6-$E$3,22))),0))-IF($G$2,0,IF((AA$6-$G$3)&lt;1,0,IFERROR(LOOKUP(2,1/(Soja!$E29:INDEX(Soja!$E29:$Z29,MIN(AA$6-$G$3,22))&lt;&gt;""),Soja!$E29:INDEX(Soja!$E29:$Z29,MIN(AA$6-$G$3,22))),0)))))</f>
        <v>0</v>
      </c>
      <c r="AB31" s="27" t="n">
        <f aca="false">IF(COUNT(Soja!$E29:$Z29)=0,0,MAX(0,IF((AB$6-$E$3)&lt;1,0,IFERROR(LOOKUP(2,1/(Soja!$E29:INDEX(Soja!$E29:$Z29,MIN(AB$6-$E$3,22))&lt;&gt;""),Soja!$E29:INDEX(Soja!$E29:$Z29,MIN(AB$6-$E$3,22))),0))-IF($G$2,0,IF((AB$6-$G$3)&lt;1,0,IFERROR(LOOKUP(2,1/(Soja!$E29:INDEX(Soja!$E29:$Z29,MIN(AB$6-$G$3,22))&lt;&gt;""),Soja!$E29:INDEX(Soja!$E29:$Z29,MIN(AB$6-$G$3,22))),0)))))</f>
        <v>0</v>
      </c>
      <c r="AC31" s="27" t="n">
        <f aca="false">IF(COUNT(Soja!$E29:$Z29)=0,0,MAX(0,IF((AC$6-$E$3)&lt;1,0,IFERROR(LOOKUP(2,1/(Soja!$E29:INDEX(Soja!$E29:$Z29,MIN(AC$6-$E$3,22))&lt;&gt;""),Soja!$E29:INDEX(Soja!$E29:$Z29,MIN(AC$6-$E$3,22))),0))-IF($G$2,0,IF((AC$6-$G$3)&lt;1,0,IFERROR(LOOKUP(2,1/(Soja!$E29:INDEX(Soja!$E29:$Z29,MIN(AC$6-$G$3,22))&lt;&gt;""),Soja!$E29:INDEX(Soja!$E29:$Z29,MIN(AC$6-$G$3,22))),0)))))</f>
        <v>0</v>
      </c>
      <c r="AD31" s="27" t="n">
        <f aca="false">IF(COUNT(Soja!$E29:$Z29)=0,0,MAX(0,IF((AD$6-$E$3)&lt;1,0,IFERROR(LOOKUP(2,1/(Soja!$E29:INDEX(Soja!$E29:$Z29,MIN(AD$6-$E$3,22))&lt;&gt;""),Soja!$E29:INDEX(Soja!$E29:$Z29,MIN(AD$6-$E$3,22))),0))-IF($G$2,0,IF((AD$6-$G$3)&lt;1,0,IFERROR(LOOKUP(2,1/(Soja!$E29:INDEX(Soja!$E29:$Z29,MIN(AD$6-$G$3,22))&lt;&gt;""),Soja!$E29:INDEX(Soja!$E29:$Z29,MIN(AD$6-$G$3,22))),0)))))</f>
        <v>0</v>
      </c>
      <c r="AE31" s="27" t="n">
        <f aca="false">IF(COUNT(Soja!$E29:$Z29)=0,0,MAX(0,IF((AE$6-$E$3)&lt;1,0,IFERROR(LOOKUP(2,1/(Soja!$E29:INDEX(Soja!$E29:$Z29,MIN(AE$6-$E$3,22))&lt;&gt;""),Soja!$E29:INDEX(Soja!$E29:$Z29,MIN(AE$6-$E$3,22))),0))-IF($G$2,0,IF((AE$6-$G$3)&lt;1,0,IFERROR(LOOKUP(2,1/(Soja!$E29:INDEX(Soja!$E29:$Z29,MIN(AE$6-$G$3,22))&lt;&gt;""),Soja!$E29:INDEX(Soja!$E29:$Z29,MIN(AE$6-$G$3,22))),0)))))</f>
        <v>0</v>
      </c>
      <c r="AF31" s="27" t="n">
        <f aca="false">IF(COUNT(Soja!$E29:$Z29)=0,0,MAX(0,IF((AF$6-$E$3)&lt;1,0,IFERROR(LOOKUP(2,1/(Soja!$E29:INDEX(Soja!$E29:$Z29,MIN(AF$6-$E$3,22))&lt;&gt;""),Soja!$E29:INDEX(Soja!$E29:$Z29,MIN(AF$6-$E$3,22))),0))-IF($G$2,0,IF((AF$6-$G$3)&lt;1,0,IFERROR(LOOKUP(2,1/(Soja!$E29:INDEX(Soja!$E29:$Z29,MIN(AF$6-$G$3,22))&lt;&gt;""),Soja!$E29:INDEX(Soja!$E29:$Z29,MIN(AF$6-$G$3,22))),0)))))</f>
        <v>0</v>
      </c>
      <c r="AG31" s="27" t="n">
        <f aca="false">IF(COUNT(Soja!$E29:$Z29)=0,0,MAX(0,IF((AG$6-$E$3)&lt;1,0,IFERROR(LOOKUP(2,1/(Soja!$E29:INDEX(Soja!$E29:$Z29,MIN(AG$6-$E$3,22))&lt;&gt;""),Soja!$E29:INDEX(Soja!$E29:$Z29,MIN(AG$6-$E$3,22))),0))-IF($G$2,0,IF((AG$6-$G$3)&lt;1,0,IFERROR(LOOKUP(2,1/(Soja!$E29:INDEX(Soja!$E29:$Z29,MIN(AG$6-$G$3,22))&lt;&gt;""),Soja!$E29:INDEX(Soja!$E29:$Z29,MIN(AG$6-$G$3,22))),0)))))</f>
        <v>0</v>
      </c>
      <c r="AH31" s="27" t="n">
        <f aca="false">IF(COUNT(Soja!$E29:$Z29)=0,0,MAX(0,IF((AH$6-$E$3)&lt;1,0,IFERROR(LOOKUP(2,1/(Soja!$E29:INDEX(Soja!$E29:$Z29,MIN(AH$6-$E$3,22))&lt;&gt;""),Soja!$E29:INDEX(Soja!$E29:$Z29,MIN(AH$6-$E$3,22))),0))-IF($G$2,0,IF((AH$6-$G$3)&lt;1,0,IFERROR(LOOKUP(2,1/(Soja!$E29:INDEX(Soja!$E29:$Z29,MIN(AH$6-$G$3,22))&lt;&gt;""),Soja!$E29:INDEX(Soja!$E29:$Z29,MIN(AH$6-$G$3,22))),0)))))</f>
        <v>0</v>
      </c>
      <c r="AI31" s="27" t="n">
        <f aca="false">IF(COUNT(Soja!$E29:$Z29)=0,0,MAX(0,IF((AI$6-$E$3)&lt;1,0,IFERROR(LOOKUP(2,1/(Soja!$E29:INDEX(Soja!$E29:$Z29,MIN(AI$6-$E$3,22))&lt;&gt;""),Soja!$E29:INDEX(Soja!$E29:$Z29,MIN(AI$6-$E$3,22))),0))-IF($G$2,0,IF((AI$6-$G$3)&lt;1,0,IFERROR(LOOKUP(2,1/(Soja!$E29:INDEX(Soja!$E29:$Z29,MIN(AI$6-$G$3,22))&lt;&gt;""),Soja!$E29:INDEX(Soja!$E29:$Z29,MIN(AI$6-$G$3,22))),0)))))</f>
        <v>0</v>
      </c>
      <c r="AJ31" s="27" t="n">
        <f aca="false">IF(COUNT(Soja!$E29:$Z29)=0,0,MAX(0,IF((AJ$6-$E$3)&lt;1,0,IFERROR(LOOKUP(2,1/(Soja!$E29:INDEX(Soja!$E29:$Z29,MIN(AJ$6-$E$3,22))&lt;&gt;""),Soja!$E29:INDEX(Soja!$E29:$Z29,MIN(AJ$6-$E$3,22))),0))-IF($G$2,0,IF((AJ$6-$G$3)&lt;1,0,IFERROR(LOOKUP(2,1/(Soja!$E29:INDEX(Soja!$E29:$Z29,MIN(AJ$6-$G$3,22))&lt;&gt;""),Soja!$E29:INDEX(Soja!$E29:$Z29,MIN(AJ$6-$G$3,22))),0)))))</f>
        <v>0</v>
      </c>
      <c r="AK31" s="27" t="n">
        <f aca="false">IF(COUNT(Soja!$E29:$Z29)=0,0,MAX(0,IF((AK$6-$E$3)&lt;1,0,IFERROR(LOOKUP(2,1/(Soja!$E29:INDEX(Soja!$E29:$Z29,MIN(AK$6-$E$3,22))&lt;&gt;""),Soja!$E29:INDEX(Soja!$E29:$Z29,MIN(AK$6-$E$3,22))),0))-IF($G$2,0,IF((AK$6-$G$3)&lt;1,0,IFERROR(LOOKUP(2,1/(Soja!$E29:INDEX(Soja!$E29:$Z29,MIN(AK$6-$G$3,22))&lt;&gt;""),Soja!$E29:INDEX(Soja!$E29:$Z29,MIN(AK$6-$G$3,22))),0)))))</f>
        <v>0</v>
      </c>
      <c r="AL31" s="27" t="n">
        <f aca="false">IF(COUNT(Soja!$E29:$Z29)=0,0,MAX(0,IF((AL$6-$E$3)&lt;1,0,IFERROR(LOOKUP(2,1/(Soja!$E29:INDEX(Soja!$E29:$Z29,MIN(AL$6-$E$3,22))&lt;&gt;""),Soja!$E29:INDEX(Soja!$E29:$Z29,MIN(AL$6-$E$3,22))),0))-IF($G$2,0,IF((AL$6-$G$3)&lt;1,0,IFERROR(LOOKUP(2,1/(Soja!$E29:INDEX(Soja!$E29:$Z29,MIN(AL$6-$G$3,22))&lt;&gt;""),Soja!$E29:INDEX(Soja!$E29:$Z29,MIN(AL$6-$G$3,22))),0)))))</f>
        <v>0</v>
      </c>
      <c r="AM31" s="27" t="n">
        <f aca="false">IF(COUNT(Soja!$E29:$Z29)=0,0,MAX(0,IF((AM$6-$E$3)&lt;1,0,IFERROR(LOOKUP(2,1/(Soja!$E29:INDEX(Soja!$E29:$Z29,MIN(AM$6-$E$3,22))&lt;&gt;""),Soja!$E29:INDEX(Soja!$E29:$Z29,MIN(AM$6-$E$3,22))),0))-IF($G$2,0,IF((AM$6-$G$3)&lt;1,0,IFERROR(LOOKUP(2,1/(Soja!$E29:INDEX(Soja!$E29:$Z29,MIN(AM$6-$G$3,22))&lt;&gt;""),Soja!$E29:INDEX(Soja!$E29:$Z29,MIN(AM$6-$G$3,22))),0)))))</f>
        <v>0</v>
      </c>
      <c r="AN31" s="27" t="n">
        <f aca="false">IF(COUNT(Soja!$E29:$Z29)=0,0,MAX(0,IF((AN$6-$E$3)&lt;1,0,IFERROR(LOOKUP(2,1/(Soja!$E29:INDEX(Soja!$E29:$Z29,MIN(AN$6-$E$3,22))&lt;&gt;""),Soja!$E29:INDEX(Soja!$E29:$Z29,MIN(AN$6-$E$3,22))),0))-IF($G$2,0,IF((AN$6-$G$3)&lt;1,0,IFERROR(LOOKUP(2,1/(Soja!$E29:INDEX(Soja!$E29:$Z29,MIN(AN$6-$G$3,22))&lt;&gt;""),Soja!$E29:INDEX(Soja!$E29:$Z29,MIN(AN$6-$G$3,22))),0)))))</f>
        <v>0</v>
      </c>
      <c r="AO31" s="27" t="n">
        <f aca="false">IF(COUNT(Soja!$E29:$Z29)=0,0,MAX(0,IF((AO$6-$E$3)&lt;1,0,IFERROR(LOOKUP(2,1/(Soja!$E29:INDEX(Soja!$E29:$Z29,MIN(AO$6-$E$3,22))&lt;&gt;""),Soja!$E29:INDEX(Soja!$E29:$Z29,MIN(AO$6-$E$3,22))),0))-IF($G$2,0,IF((AO$6-$G$3)&lt;1,0,IFERROR(LOOKUP(2,1/(Soja!$E29:INDEX(Soja!$E29:$Z29,MIN(AO$6-$G$3,22))&lt;&gt;""),Soja!$E29:INDEX(Soja!$E29:$Z29,MIN(AO$6-$G$3,22))),0)))))</f>
        <v>0</v>
      </c>
      <c r="AP31" s="27" t="n">
        <f aca="false">IF(COUNT(Soja!$E29:$Z29)=0,0,MAX(0,IF((AP$6-$E$3)&lt;1,0,IFERROR(LOOKUP(2,1/(Soja!$E29:INDEX(Soja!$E29:$Z29,MIN(AP$6-$E$3,22))&lt;&gt;""),Soja!$E29:INDEX(Soja!$E29:$Z29,MIN(AP$6-$E$3,22))),0))-IF($G$2,0,IF((AP$6-$G$3)&lt;1,0,IFERROR(LOOKUP(2,1/(Soja!$E29:INDEX(Soja!$E29:$Z29,MIN(AP$6-$G$3,22))&lt;&gt;""),Soja!$E29:INDEX(Soja!$E29:$Z29,MIN(AP$6-$G$3,22))),0)))))</f>
        <v>0</v>
      </c>
      <c r="AQ31" s="27" t="n">
        <f aca="false">IF(COUNT(Soja!$E29:$Z29)=0,0,MAX(0,IF((AQ$6-$E$3)&lt;1,0,IFERROR(LOOKUP(2,1/(Soja!$E29:INDEX(Soja!$E29:$Z29,MIN(AQ$6-$E$3,22))&lt;&gt;""),Soja!$E29:INDEX(Soja!$E29:$Z29,MIN(AQ$6-$E$3,22))),0))-IF($G$2,0,IF((AQ$6-$G$3)&lt;1,0,IFERROR(LOOKUP(2,1/(Soja!$E29:INDEX(Soja!$E29:$Z29,MIN(AQ$6-$G$3,22))&lt;&gt;""),Soja!$E29:INDEX(Soja!$E29:$Z29,MIN(AQ$6-$G$3,22))),0)))))</f>
        <v>0</v>
      </c>
      <c r="AR31" s="27" t="n">
        <f aca="false">IF(COUNT(Soja!$E29:$Z29)=0,0,MAX(0,IF((AR$6-$E$3)&lt;1,0,IFERROR(LOOKUP(2,1/(Soja!$E29:INDEX(Soja!$E29:$Z29,MIN(AR$6-$E$3,22))&lt;&gt;""),Soja!$E29:INDEX(Soja!$E29:$Z29,MIN(AR$6-$E$3,22))),0))-IF($G$2,0,IF((AR$6-$G$3)&lt;1,0,IFERROR(LOOKUP(2,1/(Soja!$E29:INDEX(Soja!$E29:$Z29,MIN(AR$6-$G$3,22))&lt;&gt;""),Soja!$E29:INDEX(Soja!$E29:$Z29,MIN(AR$6-$G$3,22))),0)))))</f>
        <v>0</v>
      </c>
      <c r="AS31" s="27" t="n">
        <f aca="false">IF(COUNT(Soja!$E29:$Z29)=0,0,MAX(0,IF((AS$6-$E$3)&lt;1,0,IFERROR(LOOKUP(2,1/(Soja!$E29:INDEX(Soja!$E29:$Z29,MIN(AS$6-$E$3,22))&lt;&gt;""),Soja!$E29:INDEX(Soja!$E29:$Z29,MIN(AS$6-$E$3,22))),0))-IF($G$2,0,IF((AS$6-$G$3)&lt;1,0,IFERROR(LOOKUP(2,1/(Soja!$E29:INDEX(Soja!$E29:$Z29,MIN(AS$6-$G$3,22))&lt;&gt;""),Soja!$E29:INDEX(Soja!$E29:$Z29,MIN(AS$6-$G$3,22))),0)))))</f>
        <v>0</v>
      </c>
      <c r="AT31" s="27" t="n">
        <f aca="false">IF(COUNT(Soja!$E29:$Z29)=0,0,MAX(0,IF((AT$6-$E$3)&lt;1,0,IFERROR(LOOKUP(2,1/(Soja!$E29:INDEX(Soja!$E29:$Z29,MIN(AT$6-$E$3,22))&lt;&gt;""),Soja!$E29:INDEX(Soja!$E29:$Z29,MIN(AT$6-$E$3,22))),0))-IF($G$2,0,IF((AT$6-$G$3)&lt;1,0,IFERROR(LOOKUP(2,1/(Soja!$E29:INDEX(Soja!$E29:$Z29,MIN(AT$6-$G$3,22))&lt;&gt;""),Soja!$E29:INDEX(Soja!$E29:$Z29,MIN(AT$6-$G$3,22))),0)))))</f>
        <v>0</v>
      </c>
      <c r="AU31" s="27" t="n">
        <f aca="false">IF(COUNT(Soja!$E29:$Z29)=0,0,MAX(0,IF((AU$6-$E$3)&lt;1,0,IFERROR(LOOKUP(2,1/(Soja!$E29:INDEX(Soja!$E29:$Z29,MIN(AU$6-$E$3,22))&lt;&gt;""),Soja!$E29:INDEX(Soja!$E29:$Z29,MIN(AU$6-$E$3,22))),0))-IF($G$2,0,IF((AU$6-$G$3)&lt;1,0,IFERROR(LOOKUP(2,1/(Soja!$E29:INDEX(Soja!$E29:$Z29,MIN(AU$6-$G$3,22))&lt;&gt;""),Soja!$E29:INDEX(Soja!$E29:$Z29,MIN(AU$6-$G$3,22))),0)))))</f>
        <v>0</v>
      </c>
      <c r="AV31" s="27" t="n">
        <f aca="false">IF(COUNT(Soja!$E29:$Z29)=0,0,MAX(0,IF((AV$6-$E$3)&lt;1,0,IFERROR(LOOKUP(2,1/(Soja!$E29:INDEX(Soja!$E29:$Z29,MIN(AV$6-$E$3,22))&lt;&gt;""),Soja!$E29:INDEX(Soja!$E29:$Z29,MIN(AV$6-$E$3,22))),0))-IF($G$2,0,IF((AV$6-$G$3)&lt;1,0,IFERROR(LOOKUP(2,1/(Soja!$E29:INDEX(Soja!$E29:$Z29,MIN(AV$6-$G$3,22))&lt;&gt;""),Soja!$E29:INDEX(Soja!$E29:$Z29,MIN(AV$6-$G$3,22))),0)))))</f>
        <v>0</v>
      </c>
      <c r="AW31" s="27" t="n">
        <f aca="false">IF(COUNT(Soja!$E29:$Z29)=0,0,MAX(0,IF((AW$6-$E$3)&lt;1,0,IFERROR(LOOKUP(2,1/(Soja!$E29:INDEX(Soja!$E29:$Z29,MIN(AW$6-$E$3,22))&lt;&gt;""),Soja!$E29:INDEX(Soja!$E29:$Z29,MIN(AW$6-$E$3,22))),0))-IF($G$2,0,IF((AW$6-$G$3)&lt;1,0,IFERROR(LOOKUP(2,1/(Soja!$E29:INDEX(Soja!$E29:$Z29,MIN(AW$6-$G$3,22))&lt;&gt;""),Soja!$E29:INDEX(Soja!$E29:$Z29,MIN(AW$6-$G$3,22))),0)))))</f>
        <v>0</v>
      </c>
      <c r="AX31" s="27" t="n">
        <f aca="false">IF(COUNT(Soja!$E29:$Z29)=0,0,MAX(0,IF((AX$6-$E$3)&lt;1,0,IFERROR(LOOKUP(2,1/(Soja!$E29:INDEX(Soja!$E29:$Z29,MIN(AX$6-$E$3,22))&lt;&gt;""),Soja!$E29:INDEX(Soja!$E29:$Z29,MIN(AX$6-$E$3,22))),0))-IF($G$2,0,IF((AX$6-$G$3)&lt;1,0,IFERROR(LOOKUP(2,1/(Soja!$E29:INDEX(Soja!$E29:$Z29,MIN(AX$6-$G$3,22))&lt;&gt;""),Soja!$E29:INDEX(Soja!$E29:$Z29,MIN(AX$6-$G$3,22))),0)))))</f>
        <v>0</v>
      </c>
      <c r="AY31" s="27" t="n">
        <f aca="false">IF(COUNT(Soja!$E29:$Z29)=0,0,MAX(0,IF((AY$6-$E$3)&lt;1,0,IFERROR(LOOKUP(2,1/(Soja!$E29:INDEX(Soja!$E29:$Z29,MIN(AY$6-$E$3,22))&lt;&gt;""),Soja!$E29:INDEX(Soja!$E29:$Z29,MIN(AY$6-$E$3,22))),0))-IF($G$2,0,IF((AY$6-$G$3)&lt;1,0,IFERROR(LOOKUP(2,1/(Soja!$E29:INDEX(Soja!$E29:$Z29,MIN(AY$6-$G$3,22))&lt;&gt;""),Soja!$E29:INDEX(Soja!$E29:$Z29,MIN(AY$6-$G$3,22))),0)))))</f>
        <v>0</v>
      </c>
      <c r="AZ31" s="27" t="n">
        <f aca="false">IF(COUNT(Soja!$E29:$Z29)=0,0,MAX(0,IF((AZ$6-$E$3)&lt;1,0,IFERROR(LOOKUP(2,1/(Soja!$E29:INDEX(Soja!$E29:$Z29,MIN(AZ$6-$E$3,22))&lt;&gt;""),Soja!$E29:INDEX(Soja!$E29:$Z29,MIN(AZ$6-$E$3,22))),0))-IF($G$2,0,IF((AZ$6-$G$3)&lt;1,0,IFERROR(LOOKUP(2,1/(Soja!$E29:INDEX(Soja!$E29:$Z29,MIN(AZ$6-$G$3,22))&lt;&gt;""),Soja!$E29:INDEX(Soja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IF(COUNT(Soja!$E30:$Z30)&gt;0,N(Soja!$D30),0)</f>
        <v>0</v>
      </c>
      <c r="E32" s="27" t="n">
        <f aca="false">IF(COUNT(Soja!$E30:$Z30)=0,0,MAX(0,IF((E$6-$E$3)&lt;1,0,IFERROR(LOOKUP(2,1/(Soja!$E30:INDEX(Soja!$E30:$Z30,MIN(E$6-$E$3,22))&lt;&gt;""),Soja!$E30:INDEX(Soja!$E30:$Z30,MIN(E$6-$E$3,22))),0))-IF($G$2,0,IF((E$6-$G$3)&lt;1,0,IFERROR(LOOKUP(2,1/(Soja!$E30:INDEX(Soja!$E30:$Z30,MIN(E$6-$G$3,22))&lt;&gt;""),Soja!$E30:INDEX(Soja!$E30:$Z30,MIN(E$6-$G$3,22))),0)))))</f>
        <v>0</v>
      </c>
      <c r="F32" s="27" t="n">
        <f aca="false">IF(COUNT(Soja!$E30:$Z30)=0,0,MAX(0,IF((F$6-$E$3)&lt;1,0,IFERROR(LOOKUP(2,1/(Soja!$E30:INDEX(Soja!$E30:$Z30,MIN(F$6-$E$3,22))&lt;&gt;""),Soja!$E30:INDEX(Soja!$E30:$Z30,MIN(F$6-$E$3,22))),0))-IF($G$2,0,IF((F$6-$G$3)&lt;1,0,IFERROR(LOOKUP(2,1/(Soja!$E30:INDEX(Soja!$E30:$Z30,MIN(F$6-$G$3,22))&lt;&gt;""),Soja!$E30:INDEX(Soja!$E30:$Z30,MIN(F$6-$G$3,22))),0)))))</f>
        <v>0</v>
      </c>
      <c r="G32" s="27" t="n">
        <f aca="false">IF(COUNT(Soja!$E30:$Z30)=0,0,MAX(0,IF((G$6-$E$3)&lt;1,0,IFERROR(LOOKUP(2,1/(Soja!$E30:INDEX(Soja!$E30:$Z30,MIN(G$6-$E$3,22))&lt;&gt;""),Soja!$E30:INDEX(Soja!$E30:$Z30,MIN(G$6-$E$3,22))),0))-IF($G$2,0,IF((G$6-$G$3)&lt;1,0,IFERROR(LOOKUP(2,1/(Soja!$E30:INDEX(Soja!$E30:$Z30,MIN(G$6-$G$3,22))&lt;&gt;""),Soja!$E30:INDEX(Soja!$E30:$Z30,MIN(G$6-$G$3,22))),0)))))</f>
        <v>0</v>
      </c>
      <c r="H32" s="27" t="n">
        <f aca="false">IF(COUNT(Soja!$E30:$Z30)=0,0,MAX(0,IF((H$6-$E$3)&lt;1,0,IFERROR(LOOKUP(2,1/(Soja!$E30:INDEX(Soja!$E30:$Z30,MIN(H$6-$E$3,22))&lt;&gt;""),Soja!$E30:INDEX(Soja!$E30:$Z30,MIN(H$6-$E$3,22))),0))-IF($G$2,0,IF((H$6-$G$3)&lt;1,0,IFERROR(LOOKUP(2,1/(Soja!$E30:INDEX(Soja!$E30:$Z30,MIN(H$6-$G$3,22))&lt;&gt;""),Soja!$E30:INDEX(Soja!$E30:$Z30,MIN(H$6-$G$3,22))),0)))))</f>
        <v>0</v>
      </c>
      <c r="I32" s="27" t="n">
        <f aca="false">IF(COUNT(Soja!$E30:$Z30)=0,0,MAX(0,IF((I$6-$E$3)&lt;1,0,IFERROR(LOOKUP(2,1/(Soja!$E30:INDEX(Soja!$E30:$Z30,MIN(I$6-$E$3,22))&lt;&gt;""),Soja!$E30:INDEX(Soja!$E30:$Z30,MIN(I$6-$E$3,22))),0))-IF($G$2,0,IF((I$6-$G$3)&lt;1,0,IFERROR(LOOKUP(2,1/(Soja!$E30:INDEX(Soja!$E30:$Z30,MIN(I$6-$G$3,22))&lt;&gt;""),Soja!$E30:INDEX(Soja!$E30:$Z30,MIN(I$6-$G$3,22))),0)))))</f>
        <v>0</v>
      </c>
      <c r="J32" s="27" t="n">
        <f aca="false">IF(COUNT(Soja!$E30:$Z30)=0,0,MAX(0,IF((J$6-$E$3)&lt;1,0,IFERROR(LOOKUP(2,1/(Soja!$E30:INDEX(Soja!$E30:$Z30,MIN(J$6-$E$3,22))&lt;&gt;""),Soja!$E30:INDEX(Soja!$E30:$Z30,MIN(J$6-$E$3,22))),0))-IF($G$2,0,IF((J$6-$G$3)&lt;1,0,IFERROR(LOOKUP(2,1/(Soja!$E30:INDEX(Soja!$E30:$Z30,MIN(J$6-$G$3,22))&lt;&gt;""),Soja!$E30:INDEX(Soja!$E30:$Z30,MIN(J$6-$G$3,22))),0)))))</f>
        <v>0</v>
      </c>
      <c r="K32" s="27" t="n">
        <f aca="false">IF(COUNT(Soja!$E30:$Z30)=0,0,MAX(0,IF((K$6-$E$3)&lt;1,0,IFERROR(LOOKUP(2,1/(Soja!$E30:INDEX(Soja!$E30:$Z30,MIN(K$6-$E$3,22))&lt;&gt;""),Soja!$E30:INDEX(Soja!$E30:$Z30,MIN(K$6-$E$3,22))),0))-IF($G$2,0,IF((K$6-$G$3)&lt;1,0,IFERROR(LOOKUP(2,1/(Soja!$E30:INDEX(Soja!$E30:$Z30,MIN(K$6-$G$3,22))&lt;&gt;""),Soja!$E30:INDEX(Soja!$E30:$Z30,MIN(K$6-$G$3,22))),0)))))</f>
        <v>0</v>
      </c>
      <c r="L32" s="27" t="n">
        <f aca="false">IF(COUNT(Soja!$E30:$Z30)=0,0,MAX(0,IF((L$6-$E$3)&lt;1,0,IFERROR(LOOKUP(2,1/(Soja!$E30:INDEX(Soja!$E30:$Z30,MIN(L$6-$E$3,22))&lt;&gt;""),Soja!$E30:INDEX(Soja!$E30:$Z30,MIN(L$6-$E$3,22))),0))-IF($G$2,0,IF((L$6-$G$3)&lt;1,0,IFERROR(LOOKUP(2,1/(Soja!$E30:INDEX(Soja!$E30:$Z30,MIN(L$6-$G$3,22))&lt;&gt;""),Soja!$E30:INDEX(Soja!$E30:$Z30,MIN(L$6-$G$3,22))),0)))))</f>
        <v>0</v>
      </c>
      <c r="M32" s="27" t="n">
        <f aca="false">IF(COUNT(Soja!$E30:$Z30)=0,0,MAX(0,IF((M$6-$E$3)&lt;1,0,IFERROR(LOOKUP(2,1/(Soja!$E30:INDEX(Soja!$E30:$Z30,MIN(M$6-$E$3,22))&lt;&gt;""),Soja!$E30:INDEX(Soja!$E30:$Z30,MIN(M$6-$E$3,22))),0))-IF($G$2,0,IF((M$6-$G$3)&lt;1,0,IFERROR(LOOKUP(2,1/(Soja!$E30:INDEX(Soja!$E30:$Z30,MIN(M$6-$G$3,22))&lt;&gt;""),Soja!$E30:INDEX(Soja!$E30:$Z30,MIN(M$6-$G$3,22))),0)))))</f>
        <v>0</v>
      </c>
      <c r="N32" s="27" t="n">
        <f aca="false">IF(COUNT(Soja!$E30:$Z30)=0,0,MAX(0,IF((N$6-$E$3)&lt;1,0,IFERROR(LOOKUP(2,1/(Soja!$E30:INDEX(Soja!$E30:$Z30,MIN(N$6-$E$3,22))&lt;&gt;""),Soja!$E30:INDEX(Soja!$E30:$Z30,MIN(N$6-$E$3,22))),0))-IF($G$2,0,IF((N$6-$G$3)&lt;1,0,IFERROR(LOOKUP(2,1/(Soja!$E30:INDEX(Soja!$E30:$Z30,MIN(N$6-$G$3,22))&lt;&gt;""),Soja!$E30:INDEX(Soja!$E30:$Z30,MIN(N$6-$G$3,22))),0)))))</f>
        <v>0</v>
      </c>
      <c r="O32" s="27" t="n">
        <f aca="false">IF(COUNT(Soja!$E30:$Z30)=0,0,MAX(0,IF((O$6-$E$3)&lt;1,0,IFERROR(LOOKUP(2,1/(Soja!$E30:INDEX(Soja!$E30:$Z30,MIN(O$6-$E$3,22))&lt;&gt;""),Soja!$E30:INDEX(Soja!$E30:$Z30,MIN(O$6-$E$3,22))),0))-IF($G$2,0,IF((O$6-$G$3)&lt;1,0,IFERROR(LOOKUP(2,1/(Soja!$E30:INDEX(Soja!$E30:$Z30,MIN(O$6-$G$3,22))&lt;&gt;""),Soja!$E30:INDEX(Soja!$E30:$Z30,MIN(O$6-$G$3,22))),0)))))</f>
        <v>0</v>
      </c>
      <c r="P32" s="27" t="n">
        <f aca="false">IF(COUNT(Soja!$E30:$Z30)=0,0,MAX(0,IF((P$6-$E$3)&lt;1,0,IFERROR(LOOKUP(2,1/(Soja!$E30:INDEX(Soja!$E30:$Z30,MIN(P$6-$E$3,22))&lt;&gt;""),Soja!$E30:INDEX(Soja!$E30:$Z30,MIN(P$6-$E$3,22))),0))-IF($G$2,0,IF((P$6-$G$3)&lt;1,0,IFERROR(LOOKUP(2,1/(Soja!$E30:INDEX(Soja!$E30:$Z30,MIN(P$6-$G$3,22))&lt;&gt;""),Soja!$E30:INDEX(Soja!$E30:$Z30,MIN(P$6-$G$3,22))),0)))))</f>
        <v>0</v>
      </c>
      <c r="Q32" s="27" t="n">
        <f aca="false">IF(COUNT(Soja!$E30:$Z30)=0,0,MAX(0,IF((Q$6-$E$3)&lt;1,0,IFERROR(LOOKUP(2,1/(Soja!$E30:INDEX(Soja!$E30:$Z30,MIN(Q$6-$E$3,22))&lt;&gt;""),Soja!$E30:INDEX(Soja!$E30:$Z30,MIN(Q$6-$E$3,22))),0))-IF($G$2,0,IF((Q$6-$G$3)&lt;1,0,IFERROR(LOOKUP(2,1/(Soja!$E30:INDEX(Soja!$E30:$Z30,MIN(Q$6-$G$3,22))&lt;&gt;""),Soja!$E30:INDEX(Soja!$E30:$Z30,MIN(Q$6-$G$3,22))),0)))))</f>
        <v>0</v>
      </c>
      <c r="R32" s="27" t="n">
        <f aca="false">IF(COUNT(Soja!$E30:$Z30)=0,0,MAX(0,IF((R$6-$E$3)&lt;1,0,IFERROR(LOOKUP(2,1/(Soja!$E30:INDEX(Soja!$E30:$Z30,MIN(R$6-$E$3,22))&lt;&gt;""),Soja!$E30:INDEX(Soja!$E30:$Z30,MIN(R$6-$E$3,22))),0))-IF($G$2,0,IF((R$6-$G$3)&lt;1,0,IFERROR(LOOKUP(2,1/(Soja!$E30:INDEX(Soja!$E30:$Z30,MIN(R$6-$G$3,22))&lt;&gt;""),Soja!$E30:INDEX(Soja!$E30:$Z30,MIN(R$6-$G$3,22))),0)))))</f>
        <v>0</v>
      </c>
      <c r="S32" s="27" t="n">
        <f aca="false">IF(COUNT(Soja!$E30:$Z30)=0,0,MAX(0,IF((S$6-$E$3)&lt;1,0,IFERROR(LOOKUP(2,1/(Soja!$E30:INDEX(Soja!$E30:$Z30,MIN(S$6-$E$3,22))&lt;&gt;""),Soja!$E30:INDEX(Soja!$E30:$Z30,MIN(S$6-$E$3,22))),0))-IF($G$2,0,IF((S$6-$G$3)&lt;1,0,IFERROR(LOOKUP(2,1/(Soja!$E30:INDEX(Soja!$E30:$Z30,MIN(S$6-$G$3,22))&lt;&gt;""),Soja!$E30:INDEX(Soja!$E30:$Z30,MIN(S$6-$G$3,22))),0)))))</f>
        <v>0</v>
      </c>
      <c r="T32" s="27" t="n">
        <f aca="false">IF(COUNT(Soja!$E30:$Z30)=0,0,MAX(0,IF((T$6-$E$3)&lt;1,0,IFERROR(LOOKUP(2,1/(Soja!$E30:INDEX(Soja!$E30:$Z30,MIN(T$6-$E$3,22))&lt;&gt;""),Soja!$E30:INDEX(Soja!$E30:$Z30,MIN(T$6-$E$3,22))),0))-IF($G$2,0,IF((T$6-$G$3)&lt;1,0,IFERROR(LOOKUP(2,1/(Soja!$E30:INDEX(Soja!$E30:$Z30,MIN(T$6-$G$3,22))&lt;&gt;""),Soja!$E30:INDEX(Soja!$E30:$Z30,MIN(T$6-$G$3,22))),0)))))</f>
        <v>0</v>
      </c>
      <c r="U32" s="27" t="n">
        <f aca="false">IF(COUNT(Soja!$E30:$Z30)=0,0,MAX(0,IF((U$6-$E$3)&lt;1,0,IFERROR(LOOKUP(2,1/(Soja!$E30:INDEX(Soja!$E30:$Z30,MIN(U$6-$E$3,22))&lt;&gt;""),Soja!$E30:INDEX(Soja!$E30:$Z30,MIN(U$6-$E$3,22))),0))-IF($G$2,0,IF((U$6-$G$3)&lt;1,0,IFERROR(LOOKUP(2,1/(Soja!$E30:INDEX(Soja!$E30:$Z30,MIN(U$6-$G$3,22))&lt;&gt;""),Soja!$E30:INDEX(Soja!$E30:$Z30,MIN(U$6-$G$3,22))),0)))))</f>
        <v>0</v>
      </c>
      <c r="V32" s="27" t="n">
        <f aca="false">IF(COUNT(Soja!$E30:$Z30)=0,0,MAX(0,IF((V$6-$E$3)&lt;1,0,IFERROR(LOOKUP(2,1/(Soja!$E30:INDEX(Soja!$E30:$Z30,MIN(V$6-$E$3,22))&lt;&gt;""),Soja!$E30:INDEX(Soja!$E30:$Z30,MIN(V$6-$E$3,22))),0))-IF($G$2,0,IF((V$6-$G$3)&lt;1,0,IFERROR(LOOKUP(2,1/(Soja!$E30:INDEX(Soja!$E30:$Z30,MIN(V$6-$G$3,22))&lt;&gt;""),Soja!$E30:INDEX(Soja!$E30:$Z30,MIN(V$6-$G$3,22))),0)))))</f>
        <v>0</v>
      </c>
      <c r="W32" s="27" t="n">
        <f aca="false">IF(COUNT(Soja!$E30:$Z30)=0,0,MAX(0,IF((W$6-$E$3)&lt;1,0,IFERROR(LOOKUP(2,1/(Soja!$E30:INDEX(Soja!$E30:$Z30,MIN(W$6-$E$3,22))&lt;&gt;""),Soja!$E30:INDEX(Soja!$E30:$Z30,MIN(W$6-$E$3,22))),0))-IF($G$2,0,IF((W$6-$G$3)&lt;1,0,IFERROR(LOOKUP(2,1/(Soja!$E30:INDEX(Soja!$E30:$Z30,MIN(W$6-$G$3,22))&lt;&gt;""),Soja!$E30:INDEX(Soja!$E30:$Z30,MIN(W$6-$G$3,22))),0)))))</f>
        <v>0</v>
      </c>
      <c r="X32" s="27" t="n">
        <f aca="false">IF(COUNT(Soja!$E30:$Z30)=0,0,MAX(0,IF((X$6-$E$3)&lt;1,0,IFERROR(LOOKUP(2,1/(Soja!$E30:INDEX(Soja!$E30:$Z30,MIN(X$6-$E$3,22))&lt;&gt;""),Soja!$E30:INDEX(Soja!$E30:$Z30,MIN(X$6-$E$3,22))),0))-IF($G$2,0,IF((X$6-$G$3)&lt;1,0,IFERROR(LOOKUP(2,1/(Soja!$E30:INDEX(Soja!$E30:$Z30,MIN(X$6-$G$3,22))&lt;&gt;""),Soja!$E30:INDEX(Soja!$E30:$Z30,MIN(X$6-$G$3,22))),0)))))</f>
        <v>0</v>
      </c>
      <c r="Y32" s="27" t="n">
        <f aca="false">IF(COUNT(Soja!$E30:$Z30)=0,0,MAX(0,IF((Y$6-$E$3)&lt;1,0,IFERROR(LOOKUP(2,1/(Soja!$E30:INDEX(Soja!$E30:$Z30,MIN(Y$6-$E$3,22))&lt;&gt;""),Soja!$E30:INDEX(Soja!$E30:$Z30,MIN(Y$6-$E$3,22))),0))-IF($G$2,0,IF((Y$6-$G$3)&lt;1,0,IFERROR(LOOKUP(2,1/(Soja!$E30:INDEX(Soja!$E30:$Z30,MIN(Y$6-$G$3,22))&lt;&gt;""),Soja!$E30:INDEX(Soja!$E30:$Z30,MIN(Y$6-$G$3,22))),0)))))</f>
        <v>0</v>
      </c>
      <c r="Z32" s="27" t="n">
        <f aca="false">IF(COUNT(Soja!$E30:$Z30)=0,0,MAX(0,IF((Z$6-$E$3)&lt;1,0,IFERROR(LOOKUP(2,1/(Soja!$E30:INDEX(Soja!$E30:$Z30,MIN(Z$6-$E$3,22))&lt;&gt;""),Soja!$E30:INDEX(Soja!$E30:$Z30,MIN(Z$6-$E$3,22))),0))-IF($G$2,0,IF((Z$6-$G$3)&lt;1,0,IFERROR(LOOKUP(2,1/(Soja!$E30:INDEX(Soja!$E30:$Z30,MIN(Z$6-$G$3,22))&lt;&gt;""),Soja!$E30:INDEX(Soja!$E30:$Z30,MIN(Z$6-$G$3,22))),0)))))</f>
        <v>0</v>
      </c>
      <c r="AA32" s="27" t="n">
        <f aca="false">IF(COUNT(Soja!$E30:$Z30)=0,0,MAX(0,IF((AA$6-$E$3)&lt;1,0,IFERROR(LOOKUP(2,1/(Soja!$E30:INDEX(Soja!$E30:$Z30,MIN(AA$6-$E$3,22))&lt;&gt;""),Soja!$E30:INDEX(Soja!$E30:$Z30,MIN(AA$6-$E$3,22))),0))-IF($G$2,0,IF((AA$6-$G$3)&lt;1,0,IFERROR(LOOKUP(2,1/(Soja!$E30:INDEX(Soja!$E30:$Z30,MIN(AA$6-$G$3,22))&lt;&gt;""),Soja!$E30:INDEX(Soja!$E30:$Z30,MIN(AA$6-$G$3,22))),0)))))</f>
        <v>0</v>
      </c>
      <c r="AB32" s="27" t="n">
        <f aca="false">IF(COUNT(Soja!$E30:$Z30)=0,0,MAX(0,IF((AB$6-$E$3)&lt;1,0,IFERROR(LOOKUP(2,1/(Soja!$E30:INDEX(Soja!$E30:$Z30,MIN(AB$6-$E$3,22))&lt;&gt;""),Soja!$E30:INDEX(Soja!$E30:$Z30,MIN(AB$6-$E$3,22))),0))-IF($G$2,0,IF((AB$6-$G$3)&lt;1,0,IFERROR(LOOKUP(2,1/(Soja!$E30:INDEX(Soja!$E30:$Z30,MIN(AB$6-$G$3,22))&lt;&gt;""),Soja!$E30:INDEX(Soja!$E30:$Z30,MIN(AB$6-$G$3,22))),0)))))</f>
        <v>0</v>
      </c>
      <c r="AC32" s="27" t="n">
        <f aca="false">IF(COUNT(Soja!$E30:$Z30)=0,0,MAX(0,IF((AC$6-$E$3)&lt;1,0,IFERROR(LOOKUP(2,1/(Soja!$E30:INDEX(Soja!$E30:$Z30,MIN(AC$6-$E$3,22))&lt;&gt;""),Soja!$E30:INDEX(Soja!$E30:$Z30,MIN(AC$6-$E$3,22))),0))-IF($G$2,0,IF((AC$6-$G$3)&lt;1,0,IFERROR(LOOKUP(2,1/(Soja!$E30:INDEX(Soja!$E30:$Z30,MIN(AC$6-$G$3,22))&lt;&gt;""),Soja!$E30:INDEX(Soja!$E30:$Z30,MIN(AC$6-$G$3,22))),0)))))</f>
        <v>0</v>
      </c>
      <c r="AD32" s="27" t="n">
        <f aca="false">IF(COUNT(Soja!$E30:$Z30)=0,0,MAX(0,IF((AD$6-$E$3)&lt;1,0,IFERROR(LOOKUP(2,1/(Soja!$E30:INDEX(Soja!$E30:$Z30,MIN(AD$6-$E$3,22))&lt;&gt;""),Soja!$E30:INDEX(Soja!$E30:$Z30,MIN(AD$6-$E$3,22))),0))-IF($G$2,0,IF((AD$6-$G$3)&lt;1,0,IFERROR(LOOKUP(2,1/(Soja!$E30:INDEX(Soja!$E30:$Z30,MIN(AD$6-$G$3,22))&lt;&gt;""),Soja!$E30:INDEX(Soja!$E30:$Z30,MIN(AD$6-$G$3,22))),0)))))</f>
        <v>0</v>
      </c>
      <c r="AE32" s="27" t="n">
        <f aca="false">IF(COUNT(Soja!$E30:$Z30)=0,0,MAX(0,IF((AE$6-$E$3)&lt;1,0,IFERROR(LOOKUP(2,1/(Soja!$E30:INDEX(Soja!$E30:$Z30,MIN(AE$6-$E$3,22))&lt;&gt;""),Soja!$E30:INDEX(Soja!$E30:$Z30,MIN(AE$6-$E$3,22))),0))-IF($G$2,0,IF((AE$6-$G$3)&lt;1,0,IFERROR(LOOKUP(2,1/(Soja!$E30:INDEX(Soja!$E30:$Z30,MIN(AE$6-$G$3,22))&lt;&gt;""),Soja!$E30:INDEX(Soja!$E30:$Z30,MIN(AE$6-$G$3,22))),0)))))</f>
        <v>0</v>
      </c>
      <c r="AF32" s="27" t="n">
        <f aca="false">IF(COUNT(Soja!$E30:$Z30)=0,0,MAX(0,IF((AF$6-$E$3)&lt;1,0,IFERROR(LOOKUP(2,1/(Soja!$E30:INDEX(Soja!$E30:$Z30,MIN(AF$6-$E$3,22))&lt;&gt;""),Soja!$E30:INDEX(Soja!$E30:$Z30,MIN(AF$6-$E$3,22))),0))-IF($G$2,0,IF((AF$6-$G$3)&lt;1,0,IFERROR(LOOKUP(2,1/(Soja!$E30:INDEX(Soja!$E30:$Z30,MIN(AF$6-$G$3,22))&lt;&gt;""),Soja!$E30:INDEX(Soja!$E30:$Z30,MIN(AF$6-$G$3,22))),0)))))</f>
        <v>0</v>
      </c>
      <c r="AG32" s="27" t="n">
        <f aca="false">IF(COUNT(Soja!$E30:$Z30)=0,0,MAX(0,IF((AG$6-$E$3)&lt;1,0,IFERROR(LOOKUP(2,1/(Soja!$E30:INDEX(Soja!$E30:$Z30,MIN(AG$6-$E$3,22))&lt;&gt;""),Soja!$E30:INDEX(Soja!$E30:$Z30,MIN(AG$6-$E$3,22))),0))-IF($G$2,0,IF((AG$6-$G$3)&lt;1,0,IFERROR(LOOKUP(2,1/(Soja!$E30:INDEX(Soja!$E30:$Z30,MIN(AG$6-$G$3,22))&lt;&gt;""),Soja!$E30:INDEX(Soja!$E30:$Z30,MIN(AG$6-$G$3,22))),0)))))</f>
        <v>0</v>
      </c>
      <c r="AH32" s="27" t="n">
        <f aca="false">IF(COUNT(Soja!$E30:$Z30)=0,0,MAX(0,IF((AH$6-$E$3)&lt;1,0,IFERROR(LOOKUP(2,1/(Soja!$E30:INDEX(Soja!$E30:$Z30,MIN(AH$6-$E$3,22))&lt;&gt;""),Soja!$E30:INDEX(Soja!$E30:$Z30,MIN(AH$6-$E$3,22))),0))-IF($G$2,0,IF((AH$6-$G$3)&lt;1,0,IFERROR(LOOKUP(2,1/(Soja!$E30:INDEX(Soja!$E30:$Z30,MIN(AH$6-$G$3,22))&lt;&gt;""),Soja!$E30:INDEX(Soja!$E30:$Z30,MIN(AH$6-$G$3,22))),0)))))</f>
        <v>0</v>
      </c>
      <c r="AI32" s="27" t="n">
        <f aca="false">IF(COUNT(Soja!$E30:$Z30)=0,0,MAX(0,IF((AI$6-$E$3)&lt;1,0,IFERROR(LOOKUP(2,1/(Soja!$E30:INDEX(Soja!$E30:$Z30,MIN(AI$6-$E$3,22))&lt;&gt;""),Soja!$E30:INDEX(Soja!$E30:$Z30,MIN(AI$6-$E$3,22))),0))-IF($G$2,0,IF((AI$6-$G$3)&lt;1,0,IFERROR(LOOKUP(2,1/(Soja!$E30:INDEX(Soja!$E30:$Z30,MIN(AI$6-$G$3,22))&lt;&gt;""),Soja!$E30:INDEX(Soja!$E30:$Z30,MIN(AI$6-$G$3,22))),0)))))</f>
        <v>0</v>
      </c>
      <c r="AJ32" s="27" t="n">
        <f aca="false">IF(COUNT(Soja!$E30:$Z30)=0,0,MAX(0,IF((AJ$6-$E$3)&lt;1,0,IFERROR(LOOKUP(2,1/(Soja!$E30:INDEX(Soja!$E30:$Z30,MIN(AJ$6-$E$3,22))&lt;&gt;""),Soja!$E30:INDEX(Soja!$E30:$Z30,MIN(AJ$6-$E$3,22))),0))-IF($G$2,0,IF((AJ$6-$G$3)&lt;1,0,IFERROR(LOOKUP(2,1/(Soja!$E30:INDEX(Soja!$E30:$Z30,MIN(AJ$6-$G$3,22))&lt;&gt;""),Soja!$E30:INDEX(Soja!$E30:$Z30,MIN(AJ$6-$G$3,22))),0)))))</f>
        <v>0</v>
      </c>
      <c r="AK32" s="27" t="n">
        <f aca="false">IF(COUNT(Soja!$E30:$Z30)=0,0,MAX(0,IF((AK$6-$E$3)&lt;1,0,IFERROR(LOOKUP(2,1/(Soja!$E30:INDEX(Soja!$E30:$Z30,MIN(AK$6-$E$3,22))&lt;&gt;""),Soja!$E30:INDEX(Soja!$E30:$Z30,MIN(AK$6-$E$3,22))),0))-IF($G$2,0,IF((AK$6-$G$3)&lt;1,0,IFERROR(LOOKUP(2,1/(Soja!$E30:INDEX(Soja!$E30:$Z30,MIN(AK$6-$G$3,22))&lt;&gt;""),Soja!$E30:INDEX(Soja!$E30:$Z30,MIN(AK$6-$G$3,22))),0)))))</f>
        <v>0</v>
      </c>
      <c r="AL32" s="27" t="n">
        <f aca="false">IF(COUNT(Soja!$E30:$Z30)=0,0,MAX(0,IF((AL$6-$E$3)&lt;1,0,IFERROR(LOOKUP(2,1/(Soja!$E30:INDEX(Soja!$E30:$Z30,MIN(AL$6-$E$3,22))&lt;&gt;""),Soja!$E30:INDEX(Soja!$E30:$Z30,MIN(AL$6-$E$3,22))),0))-IF($G$2,0,IF((AL$6-$G$3)&lt;1,0,IFERROR(LOOKUP(2,1/(Soja!$E30:INDEX(Soja!$E30:$Z30,MIN(AL$6-$G$3,22))&lt;&gt;""),Soja!$E30:INDEX(Soja!$E30:$Z30,MIN(AL$6-$G$3,22))),0)))))</f>
        <v>0</v>
      </c>
      <c r="AM32" s="27" t="n">
        <f aca="false">IF(COUNT(Soja!$E30:$Z30)=0,0,MAX(0,IF((AM$6-$E$3)&lt;1,0,IFERROR(LOOKUP(2,1/(Soja!$E30:INDEX(Soja!$E30:$Z30,MIN(AM$6-$E$3,22))&lt;&gt;""),Soja!$E30:INDEX(Soja!$E30:$Z30,MIN(AM$6-$E$3,22))),0))-IF($G$2,0,IF((AM$6-$G$3)&lt;1,0,IFERROR(LOOKUP(2,1/(Soja!$E30:INDEX(Soja!$E30:$Z30,MIN(AM$6-$G$3,22))&lt;&gt;""),Soja!$E30:INDEX(Soja!$E30:$Z30,MIN(AM$6-$G$3,22))),0)))))</f>
        <v>0</v>
      </c>
      <c r="AN32" s="27" t="n">
        <f aca="false">IF(COUNT(Soja!$E30:$Z30)=0,0,MAX(0,IF((AN$6-$E$3)&lt;1,0,IFERROR(LOOKUP(2,1/(Soja!$E30:INDEX(Soja!$E30:$Z30,MIN(AN$6-$E$3,22))&lt;&gt;""),Soja!$E30:INDEX(Soja!$E30:$Z30,MIN(AN$6-$E$3,22))),0))-IF($G$2,0,IF((AN$6-$G$3)&lt;1,0,IFERROR(LOOKUP(2,1/(Soja!$E30:INDEX(Soja!$E30:$Z30,MIN(AN$6-$G$3,22))&lt;&gt;""),Soja!$E30:INDEX(Soja!$E30:$Z30,MIN(AN$6-$G$3,22))),0)))))</f>
        <v>0</v>
      </c>
      <c r="AO32" s="27" t="n">
        <f aca="false">IF(COUNT(Soja!$E30:$Z30)=0,0,MAX(0,IF((AO$6-$E$3)&lt;1,0,IFERROR(LOOKUP(2,1/(Soja!$E30:INDEX(Soja!$E30:$Z30,MIN(AO$6-$E$3,22))&lt;&gt;""),Soja!$E30:INDEX(Soja!$E30:$Z30,MIN(AO$6-$E$3,22))),0))-IF($G$2,0,IF((AO$6-$G$3)&lt;1,0,IFERROR(LOOKUP(2,1/(Soja!$E30:INDEX(Soja!$E30:$Z30,MIN(AO$6-$G$3,22))&lt;&gt;""),Soja!$E30:INDEX(Soja!$E30:$Z30,MIN(AO$6-$G$3,22))),0)))))</f>
        <v>0</v>
      </c>
      <c r="AP32" s="27" t="n">
        <f aca="false">IF(COUNT(Soja!$E30:$Z30)=0,0,MAX(0,IF((AP$6-$E$3)&lt;1,0,IFERROR(LOOKUP(2,1/(Soja!$E30:INDEX(Soja!$E30:$Z30,MIN(AP$6-$E$3,22))&lt;&gt;""),Soja!$E30:INDEX(Soja!$E30:$Z30,MIN(AP$6-$E$3,22))),0))-IF($G$2,0,IF((AP$6-$G$3)&lt;1,0,IFERROR(LOOKUP(2,1/(Soja!$E30:INDEX(Soja!$E30:$Z30,MIN(AP$6-$G$3,22))&lt;&gt;""),Soja!$E30:INDEX(Soja!$E30:$Z30,MIN(AP$6-$G$3,22))),0)))))</f>
        <v>0</v>
      </c>
      <c r="AQ32" s="27" t="n">
        <f aca="false">IF(COUNT(Soja!$E30:$Z30)=0,0,MAX(0,IF((AQ$6-$E$3)&lt;1,0,IFERROR(LOOKUP(2,1/(Soja!$E30:INDEX(Soja!$E30:$Z30,MIN(AQ$6-$E$3,22))&lt;&gt;""),Soja!$E30:INDEX(Soja!$E30:$Z30,MIN(AQ$6-$E$3,22))),0))-IF($G$2,0,IF((AQ$6-$G$3)&lt;1,0,IFERROR(LOOKUP(2,1/(Soja!$E30:INDEX(Soja!$E30:$Z30,MIN(AQ$6-$G$3,22))&lt;&gt;""),Soja!$E30:INDEX(Soja!$E30:$Z30,MIN(AQ$6-$G$3,22))),0)))))</f>
        <v>0</v>
      </c>
      <c r="AR32" s="27" t="n">
        <f aca="false">IF(COUNT(Soja!$E30:$Z30)=0,0,MAX(0,IF((AR$6-$E$3)&lt;1,0,IFERROR(LOOKUP(2,1/(Soja!$E30:INDEX(Soja!$E30:$Z30,MIN(AR$6-$E$3,22))&lt;&gt;""),Soja!$E30:INDEX(Soja!$E30:$Z30,MIN(AR$6-$E$3,22))),0))-IF($G$2,0,IF((AR$6-$G$3)&lt;1,0,IFERROR(LOOKUP(2,1/(Soja!$E30:INDEX(Soja!$E30:$Z30,MIN(AR$6-$G$3,22))&lt;&gt;""),Soja!$E30:INDEX(Soja!$E30:$Z30,MIN(AR$6-$G$3,22))),0)))))</f>
        <v>0</v>
      </c>
      <c r="AS32" s="27" t="n">
        <f aca="false">IF(COUNT(Soja!$E30:$Z30)=0,0,MAX(0,IF((AS$6-$E$3)&lt;1,0,IFERROR(LOOKUP(2,1/(Soja!$E30:INDEX(Soja!$E30:$Z30,MIN(AS$6-$E$3,22))&lt;&gt;""),Soja!$E30:INDEX(Soja!$E30:$Z30,MIN(AS$6-$E$3,22))),0))-IF($G$2,0,IF((AS$6-$G$3)&lt;1,0,IFERROR(LOOKUP(2,1/(Soja!$E30:INDEX(Soja!$E30:$Z30,MIN(AS$6-$G$3,22))&lt;&gt;""),Soja!$E30:INDEX(Soja!$E30:$Z30,MIN(AS$6-$G$3,22))),0)))))</f>
        <v>0</v>
      </c>
      <c r="AT32" s="27" t="n">
        <f aca="false">IF(COUNT(Soja!$E30:$Z30)=0,0,MAX(0,IF((AT$6-$E$3)&lt;1,0,IFERROR(LOOKUP(2,1/(Soja!$E30:INDEX(Soja!$E30:$Z30,MIN(AT$6-$E$3,22))&lt;&gt;""),Soja!$E30:INDEX(Soja!$E30:$Z30,MIN(AT$6-$E$3,22))),0))-IF($G$2,0,IF((AT$6-$G$3)&lt;1,0,IFERROR(LOOKUP(2,1/(Soja!$E30:INDEX(Soja!$E30:$Z30,MIN(AT$6-$G$3,22))&lt;&gt;""),Soja!$E30:INDEX(Soja!$E30:$Z30,MIN(AT$6-$G$3,22))),0)))))</f>
        <v>0</v>
      </c>
      <c r="AU32" s="27" t="n">
        <f aca="false">IF(COUNT(Soja!$E30:$Z30)=0,0,MAX(0,IF((AU$6-$E$3)&lt;1,0,IFERROR(LOOKUP(2,1/(Soja!$E30:INDEX(Soja!$E30:$Z30,MIN(AU$6-$E$3,22))&lt;&gt;""),Soja!$E30:INDEX(Soja!$E30:$Z30,MIN(AU$6-$E$3,22))),0))-IF($G$2,0,IF((AU$6-$G$3)&lt;1,0,IFERROR(LOOKUP(2,1/(Soja!$E30:INDEX(Soja!$E30:$Z30,MIN(AU$6-$G$3,22))&lt;&gt;""),Soja!$E30:INDEX(Soja!$E30:$Z30,MIN(AU$6-$G$3,22))),0)))))</f>
        <v>0</v>
      </c>
      <c r="AV32" s="27" t="n">
        <f aca="false">IF(COUNT(Soja!$E30:$Z30)=0,0,MAX(0,IF((AV$6-$E$3)&lt;1,0,IFERROR(LOOKUP(2,1/(Soja!$E30:INDEX(Soja!$E30:$Z30,MIN(AV$6-$E$3,22))&lt;&gt;""),Soja!$E30:INDEX(Soja!$E30:$Z30,MIN(AV$6-$E$3,22))),0))-IF($G$2,0,IF((AV$6-$G$3)&lt;1,0,IFERROR(LOOKUP(2,1/(Soja!$E30:INDEX(Soja!$E30:$Z30,MIN(AV$6-$G$3,22))&lt;&gt;""),Soja!$E30:INDEX(Soja!$E30:$Z30,MIN(AV$6-$G$3,22))),0)))))</f>
        <v>0</v>
      </c>
      <c r="AW32" s="27" t="n">
        <f aca="false">IF(COUNT(Soja!$E30:$Z30)=0,0,MAX(0,IF((AW$6-$E$3)&lt;1,0,IFERROR(LOOKUP(2,1/(Soja!$E30:INDEX(Soja!$E30:$Z30,MIN(AW$6-$E$3,22))&lt;&gt;""),Soja!$E30:INDEX(Soja!$E30:$Z30,MIN(AW$6-$E$3,22))),0))-IF($G$2,0,IF((AW$6-$G$3)&lt;1,0,IFERROR(LOOKUP(2,1/(Soja!$E30:INDEX(Soja!$E30:$Z30,MIN(AW$6-$G$3,22))&lt;&gt;""),Soja!$E30:INDEX(Soja!$E30:$Z30,MIN(AW$6-$G$3,22))),0)))))</f>
        <v>0</v>
      </c>
      <c r="AX32" s="27" t="n">
        <f aca="false">IF(COUNT(Soja!$E30:$Z30)=0,0,MAX(0,IF((AX$6-$E$3)&lt;1,0,IFERROR(LOOKUP(2,1/(Soja!$E30:INDEX(Soja!$E30:$Z30,MIN(AX$6-$E$3,22))&lt;&gt;""),Soja!$E30:INDEX(Soja!$E30:$Z30,MIN(AX$6-$E$3,22))),0))-IF($G$2,0,IF((AX$6-$G$3)&lt;1,0,IFERROR(LOOKUP(2,1/(Soja!$E30:INDEX(Soja!$E30:$Z30,MIN(AX$6-$G$3,22))&lt;&gt;""),Soja!$E30:INDEX(Soja!$E30:$Z30,MIN(AX$6-$G$3,22))),0)))))</f>
        <v>0</v>
      </c>
      <c r="AY32" s="27" t="n">
        <f aca="false">IF(COUNT(Soja!$E30:$Z30)=0,0,MAX(0,IF((AY$6-$E$3)&lt;1,0,IFERROR(LOOKUP(2,1/(Soja!$E30:INDEX(Soja!$E30:$Z30,MIN(AY$6-$E$3,22))&lt;&gt;""),Soja!$E30:INDEX(Soja!$E30:$Z30,MIN(AY$6-$E$3,22))),0))-IF($G$2,0,IF((AY$6-$G$3)&lt;1,0,IFERROR(LOOKUP(2,1/(Soja!$E30:INDEX(Soja!$E30:$Z30,MIN(AY$6-$G$3,22))&lt;&gt;""),Soja!$E30:INDEX(Soja!$E30:$Z30,MIN(AY$6-$G$3,22))),0)))))</f>
        <v>0</v>
      </c>
      <c r="AZ32" s="27" t="n">
        <f aca="false">IF(COUNT(Soja!$E30:$Z30)=0,0,MAX(0,IF((AZ$6-$E$3)&lt;1,0,IFERROR(LOOKUP(2,1/(Soja!$E30:INDEX(Soja!$E30:$Z30,MIN(AZ$6-$E$3,22))&lt;&gt;""),Soja!$E30:INDEX(Soja!$E30:$Z30,MIN(AZ$6-$E$3,22))),0))-IF($G$2,0,IF((AZ$6-$G$3)&lt;1,0,IFERROR(LOOKUP(2,1/(Soja!$E30:INDEX(Soja!$E30:$Z30,MIN(AZ$6-$G$3,22))&lt;&gt;""),Soja!$E30:INDEX(Soja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IF(COUNT(Soja!$E31:$Z31)&gt;0,N(Soja!$D31),0)</f>
        <v>0</v>
      </c>
      <c r="E33" s="27" t="n">
        <f aca="false">IF(COUNT(Soja!$E31:$Z31)=0,0,MAX(0,IF((E$6-$E$3)&lt;1,0,IFERROR(LOOKUP(2,1/(Soja!$E31:INDEX(Soja!$E31:$Z31,MIN(E$6-$E$3,22))&lt;&gt;""),Soja!$E31:INDEX(Soja!$E31:$Z31,MIN(E$6-$E$3,22))),0))-IF($G$2,0,IF((E$6-$G$3)&lt;1,0,IFERROR(LOOKUP(2,1/(Soja!$E31:INDEX(Soja!$E31:$Z31,MIN(E$6-$G$3,22))&lt;&gt;""),Soja!$E31:INDEX(Soja!$E31:$Z31,MIN(E$6-$G$3,22))),0)))))</f>
        <v>0</v>
      </c>
      <c r="F33" s="27" t="n">
        <f aca="false">IF(COUNT(Soja!$E31:$Z31)=0,0,MAX(0,IF((F$6-$E$3)&lt;1,0,IFERROR(LOOKUP(2,1/(Soja!$E31:INDEX(Soja!$E31:$Z31,MIN(F$6-$E$3,22))&lt;&gt;""),Soja!$E31:INDEX(Soja!$E31:$Z31,MIN(F$6-$E$3,22))),0))-IF($G$2,0,IF((F$6-$G$3)&lt;1,0,IFERROR(LOOKUP(2,1/(Soja!$E31:INDEX(Soja!$E31:$Z31,MIN(F$6-$G$3,22))&lt;&gt;""),Soja!$E31:INDEX(Soja!$E31:$Z31,MIN(F$6-$G$3,22))),0)))))</f>
        <v>0</v>
      </c>
      <c r="G33" s="27" t="n">
        <f aca="false">IF(COUNT(Soja!$E31:$Z31)=0,0,MAX(0,IF((G$6-$E$3)&lt;1,0,IFERROR(LOOKUP(2,1/(Soja!$E31:INDEX(Soja!$E31:$Z31,MIN(G$6-$E$3,22))&lt;&gt;""),Soja!$E31:INDEX(Soja!$E31:$Z31,MIN(G$6-$E$3,22))),0))-IF($G$2,0,IF((G$6-$G$3)&lt;1,0,IFERROR(LOOKUP(2,1/(Soja!$E31:INDEX(Soja!$E31:$Z31,MIN(G$6-$G$3,22))&lt;&gt;""),Soja!$E31:INDEX(Soja!$E31:$Z31,MIN(G$6-$G$3,22))),0)))))</f>
        <v>0</v>
      </c>
      <c r="H33" s="27" t="n">
        <f aca="false">IF(COUNT(Soja!$E31:$Z31)=0,0,MAX(0,IF((H$6-$E$3)&lt;1,0,IFERROR(LOOKUP(2,1/(Soja!$E31:INDEX(Soja!$E31:$Z31,MIN(H$6-$E$3,22))&lt;&gt;""),Soja!$E31:INDEX(Soja!$E31:$Z31,MIN(H$6-$E$3,22))),0))-IF($G$2,0,IF((H$6-$G$3)&lt;1,0,IFERROR(LOOKUP(2,1/(Soja!$E31:INDEX(Soja!$E31:$Z31,MIN(H$6-$G$3,22))&lt;&gt;""),Soja!$E31:INDEX(Soja!$E31:$Z31,MIN(H$6-$G$3,22))),0)))))</f>
        <v>0</v>
      </c>
      <c r="I33" s="27" t="n">
        <f aca="false">IF(COUNT(Soja!$E31:$Z31)=0,0,MAX(0,IF((I$6-$E$3)&lt;1,0,IFERROR(LOOKUP(2,1/(Soja!$E31:INDEX(Soja!$E31:$Z31,MIN(I$6-$E$3,22))&lt;&gt;""),Soja!$E31:INDEX(Soja!$E31:$Z31,MIN(I$6-$E$3,22))),0))-IF($G$2,0,IF((I$6-$G$3)&lt;1,0,IFERROR(LOOKUP(2,1/(Soja!$E31:INDEX(Soja!$E31:$Z31,MIN(I$6-$G$3,22))&lt;&gt;""),Soja!$E31:INDEX(Soja!$E31:$Z31,MIN(I$6-$G$3,22))),0)))))</f>
        <v>0</v>
      </c>
      <c r="J33" s="27" t="n">
        <f aca="false">IF(COUNT(Soja!$E31:$Z31)=0,0,MAX(0,IF((J$6-$E$3)&lt;1,0,IFERROR(LOOKUP(2,1/(Soja!$E31:INDEX(Soja!$E31:$Z31,MIN(J$6-$E$3,22))&lt;&gt;""),Soja!$E31:INDEX(Soja!$E31:$Z31,MIN(J$6-$E$3,22))),0))-IF($G$2,0,IF((J$6-$G$3)&lt;1,0,IFERROR(LOOKUP(2,1/(Soja!$E31:INDEX(Soja!$E31:$Z31,MIN(J$6-$G$3,22))&lt;&gt;""),Soja!$E31:INDEX(Soja!$E31:$Z31,MIN(J$6-$G$3,22))),0)))))</f>
        <v>0</v>
      </c>
      <c r="K33" s="27" t="n">
        <f aca="false">IF(COUNT(Soja!$E31:$Z31)=0,0,MAX(0,IF((K$6-$E$3)&lt;1,0,IFERROR(LOOKUP(2,1/(Soja!$E31:INDEX(Soja!$E31:$Z31,MIN(K$6-$E$3,22))&lt;&gt;""),Soja!$E31:INDEX(Soja!$E31:$Z31,MIN(K$6-$E$3,22))),0))-IF($G$2,0,IF((K$6-$G$3)&lt;1,0,IFERROR(LOOKUP(2,1/(Soja!$E31:INDEX(Soja!$E31:$Z31,MIN(K$6-$G$3,22))&lt;&gt;""),Soja!$E31:INDEX(Soja!$E31:$Z31,MIN(K$6-$G$3,22))),0)))))</f>
        <v>0</v>
      </c>
      <c r="L33" s="27" t="n">
        <f aca="false">IF(COUNT(Soja!$E31:$Z31)=0,0,MAX(0,IF((L$6-$E$3)&lt;1,0,IFERROR(LOOKUP(2,1/(Soja!$E31:INDEX(Soja!$E31:$Z31,MIN(L$6-$E$3,22))&lt;&gt;""),Soja!$E31:INDEX(Soja!$E31:$Z31,MIN(L$6-$E$3,22))),0))-IF($G$2,0,IF((L$6-$G$3)&lt;1,0,IFERROR(LOOKUP(2,1/(Soja!$E31:INDEX(Soja!$E31:$Z31,MIN(L$6-$G$3,22))&lt;&gt;""),Soja!$E31:INDEX(Soja!$E31:$Z31,MIN(L$6-$G$3,22))),0)))))</f>
        <v>0</v>
      </c>
      <c r="M33" s="27" t="n">
        <f aca="false">IF(COUNT(Soja!$E31:$Z31)=0,0,MAX(0,IF((M$6-$E$3)&lt;1,0,IFERROR(LOOKUP(2,1/(Soja!$E31:INDEX(Soja!$E31:$Z31,MIN(M$6-$E$3,22))&lt;&gt;""),Soja!$E31:INDEX(Soja!$E31:$Z31,MIN(M$6-$E$3,22))),0))-IF($G$2,0,IF((M$6-$G$3)&lt;1,0,IFERROR(LOOKUP(2,1/(Soja!$E31:INDEX(Soja!$E31:$Z31,MIN(M$6-$G$3,22))&lt;&gt;""),Soja!$E31:INDEX(Soja!$E31:$Z31,MIN(M$6-$G$3,22))),0)))))</f>
        <v>0</v>
      </c>
      <c r="N33" s="27" t="n">
        <f aca="false">IF(COUNT(Soja!$E31:$Z31)=0,0,MAX(0,IF((N$6-$E$3)&lt;1,0,IFERROR(LOOKUP(2,1/(Soja!$E31:INDEX(Soja!$E31:$Z31,MIN(N$6-$E$3,22))&lt;&gt;""),Soja!$E31:INDEX(Soja!$E31:$Z31,MIN(N$6-$E$3,22))),0))-IF($G$2,0,IF((N$6-$G$3)&lt;1,0,IFERROR(LOOKUP(2,1/(Soja!$E31:INDEX(Soja!$E31:$Z31,MIN(N$6-$G$3,22))&lt;&gt;""),Soja!$E31:INDEX(Soja!$E31:$Z31,MIN(N$6-$G$3,22))),0)))))</f>
        <v>0</v>
      </c>
      <c r="O33" s="27" t="n">
        <f aca="false">IF(COUNT(Soja!$E31:$Z31)=0,0,MAX(0,IF((O$6-$E$3)&lt;1,0,IFERROR(LOOKUP(2,1/(Soja!$E31:INDEX(Soja!$E31:$Z31,MIN(O$6-$E$3,22))&lt;&gt;""),Soja!$E31:INDEX(Soja!$E31:$Z31,MIN(O$6-$E$3,22))),0))-IF($G$2,0,IF((O$6-$G$3)&lt;1,0,IFERROR(LOOKUP(2,1/(Soja!$E31:INDEX(Soja!$E31:$Z31,MIN(O$6-$G$3,22))&lt;&gt;""),Soja!$E31:INDEX(Soja!$E31:$Z31,MIN(O$6-$G$3,22))),0)))))</f>
        <v>0</v>
      </c>
      <c r="P33" s="27" t="n">
        <f aca="false">IF(COUNT(Soja!$E31:$Z31)=0,0,MAX(0,IF((P$6-$E$3)&lt;1,0,IFERROR(LOOKUP(2,1/(Soja!$E31:INDEX(Soja!$E31:$Z31,MIN(P$6-$E$3,22))&lt;&gt;""),Soja!$E31:INDEX(Soja!$E31:$Z31,MIN(P$6-$E$3,22))),0))-IF($G$2,0,IF((P$6-$G$3)&lt;1,0,IFERROR(LOOKUP(2,1/(Soja!$E31:INDEX(Soja!$E31:$Z31,MIN(P$6-$G$3,22))&lt;&gt;""),Soja!$E31:INDEX(Soja!$E31:$Z31,MIN(P$6-$G$3,22))),0)))))</f>
        <v>0</v>
      </c>
      <c r="Q33" s="27" t="n">
        <f aca="false">IF(COUNT(Soja!$E31:$Z31)=0,0,MAX(0,IF((Q$6-$E$3)&lt;1,0,IFERROR(LOOKUP(2,1/(Soja!$E31:INDEX(Soja!$E31:$Z31,MIN(Q$6-$E$3,22))&lt;&gt;""),Soja!$E31:INDEX(Soja!$E31:$Z31,MIN(Q$6-$E$3,22))),0))-IF($G$2,0,IF((Q$6-$G$3)&lt;1,0,IFERROR(LOOKUP(2,1/(Soja!$E31:INDEX(Soja!$E31:$Z31,MIN(Q$6-$G$3,22))&lt;&gt;""),Soja!$E31:INDEX(Soja!$E31:$Z31,MIN(Q$6-$G$3,22))),0)))))</f>
        <v>0</v>
      </c>
      <c r="R33" s="27" t="n">
        <f aca="false">IF(COUNT(Soja!$E31:$Z31)=0,0,MAX(0,IF((R$6-$E$3)&lt;1,0,IFERROR(LOOKUP(2,1/(Soja!$E31:INDEX(Soja!$E31:$Z31,MIN(R$6-$E$3,22))&lt;&gt;""),Soja!$E31:INDEX(Soja!$E31:$Z31,MIN(R$6-$E$3,22))),0))-IF($G$2,0,IF((R$6-$G$3)&lt;1,0,IFERROR(LOOKUP(2,1/(Soja!$E31:INDEX(Soja!$E31:$Z31,MIN(R$6-$G$3,22))&lt;&gt;""),Soja!$E31:INDEX(Soja!$E31:$Z31,MIN(R$6-$G$3,22))),0)))))</f>
        <v>0</v>
      </c>
      <c r="S33" s="27" t="n">
        <f aca="false">IF(COUNT(Soja!$E31:$Z31)=0,0,MAX(0,IF((S$6-$E$3)&lt;1,0,IFERROR(LOOKUP(2,1/(Soja!$E31:INDEX(Soja!$E31:$Z31,MIN(S$6-$E$3,22))&lt;&gt;""),Soja!$E31:INDEX(Soja!$E31:$Z31,MIN(S$6-$E$3,22))),0))-IF($G$2,0,IF((S$6-$G$3)&lt;1,0,IFERROR(LOOKUP(2,1/(Soja!$E31:INDEX(Soja!$E31:$Z31,MIN(S$6-$G$3,22))&lt;&gt;""),Soja!$E31:INDEX(Soja!$E31:$Z31,MIN(S$6-$G$3,22))),0)))))</f>
        <v>0</v>
      </c>
      <c r="T33" s="27" t="n">
        <f aca="false">IF(COUNT(Soja!$E31:$Z31)=0,0,MAX(0,IF((T$6-$E$3)&lt;1,0,IFERROR(LOOKUP(2,1/(Soja!$E31:INDEX(Soja!$E31:$Z31,MIN(T$6-$E$3,22))&lt;&gt;""),Soja!$E31:INDEX(Soja!$E31:$Z31,MIN(T$6-$E$3,22))),0))-IF($G$2,0,IF((T$6-$G$3)&lt;1,0,IFERROR(LOOKUP(2,1/(Soja!$E31:INDEX(Soja!$E31:$Z31,MIN(T$6-$G$3,22))&lt;&gt;""),Soja!$E31:INDEX(Soja!$E31:$Z31,MIN(T$6-$G$3,22))),0)))))</f>
        <v>0</v>
      </c>
      <c r="U33" s="27" t="n">
        <f aca="false">IF(COUNT(Soja!$E31:$Z31)=0,0,MAX(0,IF((U$6-$E$3)&lt;1,0,IFERROR(LOOKUP(2,1/(Soja!$E31:INDEX(Soja!$E31:$Z31,MIN(U$6-$E$3,22))&lt;&gt;""),Soja!$E31:INDEX(Soja!$E31:$Z31,MIN(U$6-$E$3,22))),0))-IF($G$2,0,IF((U$6-$G$3)&lt;1,0,IFERROR(LOOKUP(2,1/(Soja!$E31:INDEX(Soja!$E31:$Z31,MIN(U$6-$G$3,22))&lt;&gt;""),Soja!$E31:INDEX(Soja!$E31:$Z31,MIN(U$6-$G$3,22))),0)))))</f>
        <v>0</v>
      </c>
      <c r="V33" s="27" t="n">
        <f aca="false">IF(COUNT(Soja!$E31:$Z31)=0,0,MAX(0,IF((V$6-$E$3)&lt;1,0,IFERROR(LOOKUP(2,1/(Soja!$E31:INDEX(Soja!$E31:$Z31,MIN(V$6-$E$3,22))&lt;&gt;""),Soja!$E31:INDEX(Soja!$E31:$Z31,MIN(V$6-$E$3,22))),0))-IF($G$2,0,IF((V$6-$G$3)&lt;1,0,IFERROR(LOOKUP(2,1/(Soja!$E31:INDEX(Soja!$E31:$Z31,MIN(V$6-$G$3,22))&lt;&gt;""),Soja!$E31:INDEX(Soja!$E31:$Z31,MIN(V$6-$G$3,22))),0)))))</f>
        <v>0</v>
      </c>
      <c r="W33" s="27" t="n">
        <f aca="false">IF(COUNT(Soja!$E31:$Z31)=0,0,MAX(0,IF((W$6-$E$3)&lt;1,0,IFERROR(LOOKUP(2,1/(Soja!$E31:INDEX(Soja!$E31:$Z31,MIN(W$6-$E$3,22))&lt;&gt;""),Soja!$E31:INDEX(Soja!$E31:$Z31,MIN(W$6-$E$3,22))),0))-IF($G$2,0,IF((W$6-$G$3)&lt;1,0,IFERROR(LOOKUP(2,1/(Soja!$E31:INDEX(Soja!$E31:$Z31,MIN(W$6-$G$3,22))&lt;&gt;""),Soja!$E31:INDEX(Soja!$E31:$Z31,MIN(W$6-$G$3,22))),0)))))</f>
        <v>0</v>
      </c>
      <c r="X33" s="27" t="n">
        <f aca="false">IF(COUNT(Soja!$E31:$Z31)=0,0,MAX(0,IF((X$6-$E$3)&lt;1,0,IFERROR(LOOKUP(2,1/(Soja!$E31:INDEX(Soja!$E31:$Z31,MIN(X$6-$E$3,22))&lt;&gt;""),Soja!$E31:INDEX(Soja!$E31:$Z31,MIN(X$6-$E$3,22))),0))-IF($G$2,0,IF((X$6-$G$3)&lt;1,0,IFERROR(LOOKUP(2,1/(Soja!$E31:INDEX(Soja!$E31:$Z31,MIN(X$6-$G$3,22))&lt;&gt;""),Soja!$E31:INDEX(Soja!$E31:$Z31,MIN(X$6-$G$3,22))),0)))))</f>
        <v>0</v>
      </c>
      <c r="Y33" s="27" t="n">
        <f aca="false">IF(COUNT(Soja!$E31:$Z31)=0,0,MAX(0,IF((Y$6-$E$3)&lt;1,0,IFERROR(LOOKUP(2,1/(Soja!$E31:INDEX(Soja!$E31:$Z31,MIN(Y$6-$E$3,22))&lt;&gt;""),Soja!$E31:INDEX(Soja!$E31:$Z31,MIN(Y$6-$E$3,22))),0))-IF($G$2,0,IF((Y$6-$G$3)&lt;1,0,IFERROR(LOOKUP(2,1/(Soja!$E31:INDEX(Soja!$E31:$Z31,MIN(Y$6-$G$3,22))&lt;&gt;""),Soja!$E31:INDEX(Soja!$E31:$Z31,MIN(Y$6-$G$3,22))),0)))))</f>
        <v>0</v>
      </c>
      <c r="Z33" s="27" t="n">
        <f aca="false">IF(COUNT(Soja!$E31:$Z31)=0,0,MAX(0,IF((Z$6-$E$3)&lt;1,0,IFERROR(LOOKUP(2,1/(Soja!$E31:INDEX(Soja!$E31:$Z31,MIN(Z$6-$E$3,22))&lt;&gt;""),Soja!$E31:INDEX(Soja!$E31:$Z31,MIN(Z$6-$E$3,22))),0))-IF($G$2,0,IF((Z$6-$G$3)&lt;1,0,IFERROR(LOOKUP(2,1/(Soja!$E31:INDEX(Soja!$E31:$Z31,MIN(Z$6-$G$3,22))&lt;&gt;""),Soja!$E31:INDEX(Soja!$E31:$Z31,MIN(Z$6-$G$3,22))),0)))))</f>
        <v>0</v>
      </c>
      <c r="AA33" s="27" t="n">
        <f aca="false">IF(COUNT(Soja!$E31:$Z31)=0,0,MAX(0,IF((AA$6-$E$3)&lt;1,0,IFERROR(LOOKUP(2,1/(Soja!$E31:INDEX(Soja!$E31:$Z31,MIN(AA$6-$E$3,22))&lt;&gt;""),Soja!$E31:INDEX(Soja!$E31:$Z31,MIN(AA$6-$E$3,22))),0))-IF($G$2,0,IF((AA$6-$G$3)&lt;1,0,IFERROR(LOOKUP(2,1/(Soja!$E31:INDEX(Soja!$E31:$Z31,MIN(AA$6-$G$3,22))&lt;&gt;""),Soja!$E31:INDEX(Soja!$E31:$Z31,MIN(AA$6-$G$3,22))),0)))))</f>
        <v>0</v>
      </c>
      <c r="AB33" s="27" t="n">
        <f aca="false">IF(COUNT(Soja!$E31:$Z31)=0,0,MAX(0,IF((AB$6-$E$3)&lt;1,0,IFERROR(LOOKUP(2,1/(Soja!$E31:INDEX(Soja!$E31:$Z31,MIN(AB$6-$E$3,22))&lt;&gt;""),Soja!$E31:INDEX(Soja!$E31:$Z31,MIN(AB$6-$E$3,22))),0))-IF($G$2,0,IF((AB$6-$G$3)&lt;1,0,IFERROR(LOOKUP(2,1/(Soja!$E31:INDEX(Soja!$E31:$Z31,MIN(AB$6-$G$3,22))&lt;&gt;""),Soja!$E31:INDEX(Soja!$E31:$Z31,MIN(AB$6-$G$3,22))),0)))))</f>
        <v>0</v>
      </c>
      <c r="AC33" s="27" t="n">
        <f aca="false">IF(COUNT(Soja!$E31:$Z31)=0,0,MAX(0,IF((AC$6-$E$3)&lt;1,0,IFERROR(LOOKUP(2,1/(Soja!$E31:INDEX(Soja!$E31:$Z31,MIN(AC$6-$E$3,22))&lt;&gt;""),Soja!$E31:INDEX(Soja!$E31:$Z31,MIN(AC$6-$E$3,22))),0))-IF($G$2,0,IF((AC$6-$G$3)&lt;1,0,IFERROR(LOOKUP(2,1/(Soja!$E31:INDEX(Soja!$E31:$Z31,MIN(AC$6-$G$3,22))&lt;&gt;""),Soja!$E31:INDEX(Soja!$E31:$Z31,MIN(AC$6-$G$3,22))),0)))))</f>
        <v>0</v>
      </c>
      <c r="AD33" s="27" t="n">
        <f aca="false">IF(COUNT(Soja!$E31:$Z31)=0,0,MAX(0,IF((AD$6-$E$3)&lt;1,0,IFERROR(LOOKUP(2,1/(Soja!$E31:INDEX(Soja!$E31:$Z31,MIN(AD$6-$E$3,22))&lt;&gt;""),Soja!$E31:INDEX(Soja!$E31:$Z31,MIN(AD$6-$E$3,22))),0))-IF($G$2,0,IF((AD$6-$G$3)&lt;1,0,IFERROR(LOOKUP(2,1/(Soja!$E31:INDEX(Soja!$E31:$Z31,MIN(AD$6-$G$3,22))&lt;&gt;""),Soja!$E31:INDEX(Soja!$E31:$Z31,MIN(AD$6-$G$3,22))),0)))))</f>
        <v>0</v>
      </c>
      <c r="AE33" s="27" t="n">
        <f aca="false">IF(COUNT(Soja!$E31:$Z31)=0,0,MAX(0,IF((AE$6-$E$3)&lt;1,0,IFERROR(LOOKUP(2,1/(Soja!$E31:INDEX(Soja!$E31:$Z31,MIN(AE$6-$E$3,22))&lt;&gt;""),Soja!$E31:INDEX(Soja!$E31:$Z31,MIN(AE$6-$E$3,22))),0))-IF($G$2,0,IF((AE$6-$G$3)&lt;1,0,IFERROR(LOOKUP(2,1/(Soja!$E31:INDEX(Soja!$E31:$Z31,MIN(AE$6-$G$3,22))&lt;&gt;""),Soja!$E31:INDEX(Soja!$E31:$Z31,MIN(AE$6-$G$3,22))),0)))))</f>
        <v>0</v>
      </c>
      <c r="AF33" s="27" t="n">
        <f aca="false">IF(COUNT(Soja!$E31:$Z31)=0,0,MAX(0,IF((AF$6-$E$3)&lt;1,0,IFERROR(LOOKUP(2,1/(Soja!$E31:INDEX(Soja!$E31:$Z31,MIN(AF$6-$E$3,22))&lt;&gt;""),Soja!$E31:INDEX(Soja!$E31:$Z31,MIN(AF$6-$E$3,22))),0))-IF($G$2,0,IF((AF$6-$G$3)&lt;1,0,IFERROR(LOOKUP(2,1/(Soja!$E31:INDEX(Soja!$E31:$Z31,MIN(AF$6-$G$3,22))&lt;&gt;""),Soja!$E31:INDEX(Soja!$E31:$Z31,MIN(AF$6-$G$3,22))),0)))))</f>
        <v>0</v>
      </c>
      <c r="AG33" s="27" t="n">
        <f aca="false">IF(COUNT(Soja!$E31:$Z31)=0,0,MAX(0,IF((AG$6-$E$3)&lt;1,0,IFERROR(LOOKUP(2,1/(Soja!$E31:INDEX(Soja!$E31:$Z31,MIN(AG$6-$E$3,22))&lt;&gt;""),Soja!$E31:INDEX(Soja!$E31:$Z31,MIN(AG$6-$E$3,22))),0))-IF($G$2,0,IF((AG$6-$G$3)&lt;1,0,IFERROR(LOOKUP(2,1/(Soja!$E31:INDEX(Soja!$E31:$Z31,MIN(AG$6-$G$3,22))&lt;&gt;""),Soja!$E31:INDEX(Soja!$E31:$Z31,MIN(AG$6-$G$3,22))),0)))))</f>
        <v>0</v>
      </c>
      <c r="AH33" s="27" t="n">
        <f aca="false">IF(COUNT(Soja!$E31:$Z31)=0,0,MAX(0,IF((AH$6-$E$3)&lt;1,0,IFERROR(LOOKUP(2,1/(Soja!$E31:INDEX(Soja!$E31:$Z31,MIN(AH$6-$E$3,22))&lt;&gt;""),Soja!$E31:INDEX(Soja!$E31:$Z31,MIN(AH$6-$E$3,22))),0))-IF($G$2,0,IF((AH$6-$G$3)&lt;1,0,IFERROR(LOOKUP(2,1/(Soja!$E31:INDEX(Soja!$E31:$Z31,MIN(AH$6-$G$3,22))&lt;&gt;""),Soja!$E31:INDEX(Soja!$E31:$Z31,MIN(AH$6-$G$3,22))),0)))))</f>
        <v>0</v>
      </c>
      <c r="AI33" s="27" t="n">
        <f aca="false">IF(COUNT(Soja!$E31:$Z31)=0,0,MAX(0,IF((AI$6-$E$3)&lt;1,0,IFERROR(LOOKUP(2,1/(Soja!$E31:INDEX(Soja!$E31:$Z31,MIN(AI$6-$E$3,22))&lt;&gt;""),Soja!$E31:INDEX(Soja!$E31:$Z31,MIN(AI$6-$E$3,22))),0))-IF($G$2,0,IF((AI$6-$G$3)&lt;1,0,IFERROR(LOOKUP(2,1/(Soja!$E31:INDEX(Soja!$E31:$Z31,MIN(AI$6-$G$3,22))&lt;&gt;""),Soja!$E31:INDEX(Soja!$E31:$Z31,MIN(AI$6-$G$3,22))),0)))))</f>
        <v>0</v>
      </c>
      <c r="AJ33" s="27" t="n">
        <f aca="false">IF(COUNT(Soja!$E31:$Z31)=0,0,MAX(0,IF((AJ$6-$E$3)&lt;1,0,IFERROR(LOOKUP(2,1/(Soja!$E31:INDEX(Soja!$E31:$Z31,MIN(AJ$6-$E$3,22))&lt;&gt;""),Soja!$E31:INDEX(Soja!$E31:$Z31,MIN(AJ$6-$E$3,22))),0))-IF($G$2,0,IF((AJ$6-$G$3)&lt;1,0,IFERROR(LOOKUP(2,1/(Soja!$E31:INDEX(Soja!$E31:$Z31,MIN(AJ$6-$G$3,22))&lt;&gt;""),Soja!$E31:INDEX(Soja!$E31:$Z31,MIN(AJ$6-$G$3,22))),0)))))</f>
        <v>0</v>
      </c>
      <c r="AK33" s="27" t="n">
        <f aca="false">IF(COUNT(Soja!$E31:$Z31)=0,0,MAX(0,IF((AK$6-$E$3)&lt;1,0,IFERROR(LOOKUP(2,1/(Soja!$E31:INDEX(Soja!$E31:$Z31,MIN(AK$6-$E$3,22))&lt;&gt;""),Soja!$E31:INDEX(Soja!$E31:$Z31,MIN(AK$6-$E$3,22))),0))-IF($G$2,0,IF((AK$6-$G$3)&lt;1,0,IFERROR(LOOKUP(2,1/(Soja!$E31:INDEX(Soja!$E31:$Z31,MIN(AK$6-$G$3,22))&lt;&gt;""),Soja!$E31:INDEX(Soja!$E31:$Z31,MIN(AK$6-$G$3,22))),0)))))</f>
        <v>0</v>
      </c>
      <c r="AL33" s="27" t="n">
        <f aca="false">IF(COUNT(Soja!$E31:$Z31)=0,0,MAX(0,IF((AL$6-$E$3)&lt;1,0,IFERROR(LOOKUP(2,1/(Soja!$E31:INDEX(Soja!$E31:$Z31,MIN(AL$6-$E$3,22))&lt;&gt;""),Soja!$E31:INDEX(Soja!$E31:$Z31,MIN(AL$6-$E$3,22))),0))-IF($G$2,0,IF((AL$6-$G$3)&lt;1,0,IFERROR(LOOKUP(2,1/(Soja!$E31:INDEX(Soja!$E31:$Z31,MIN(AL$6-$G$3,22))&lt;&gt;""),Soja!$E31:INDEX(Soja!$E31:$Z31,MIN(AL$6-$G$3,22))),0)))))</f>
        <v>0</v>
      </c>
      <c r="AM33" s="27" t="n">
        <f aca="false">IF(COUNT(Soja!$E31:$Z31)=0,0,MAX(0,IF((AM$6-$E$3)&lt;1,0,IFERROR(LOOKUP(2,1/(Soja!$E31:INDEX(Soja!$E31:$Z31,MIN(AM$6-$E$3,22))&lt;&gt;""),Soja!$E31:INDEX(Soja!$E31:$Z31,MIN(AM$6-$E$3,22))),0))-IF($G$2,0,IF((AM$6-$G$3)&lt;1,0,IFERROR(LOOKUP(2,1/(Soja!$E31:INDEX(Soja!$E31:$Z31,MIN(AM$6-$G$3,22))&lt;&gt;""),Soja!$E31:INDEX(Soja!$E31:$Z31,MIN(AM$6-$G$3,22))),0)))))</f>
        <v>0</v>
      </c>
      <c r="AN33" s="27" t="n">
        <f aca="false">IF(COUNT(Soja!$E31:$Z31)=0,0,MAX(0,IF((AN$6-$E$3)&lt;1,0,IFERROR(LOOKUP(2,1/(Soja!$E31:INDEX(Soja!$E31:$Z31,MIN(AN$6-$E$3,22))&lt;&gt;""),Soja!$E31:INDEX(Soja!$E31:$Z31,MIN(AN$6-$E$3,22))),0))-IF($G$2,0,IF((AN$6-$G$3)&lt;1,0,IFERROR(LOOKUP(2,1/(Soja!$E31:INDEX(Soja!$E31:$Z31,MIN(AN$6-$G$3,22))&lt;&gt;""),Soja!$E31:INDEX(Soja!$E31:$Z31,MIN(AN$6-$G$3,22))),0)))))</f>
        <v>0</v>
      </c>
      <c r="AO33" s="27" t="n">
        <f aca="false">IF(COUNT(Soja!$E31:$Z31)=0,0,MAX(0,IF((AO$6-$E$3)&lt;1,0,IFERROR(LOOKUP(2,1/(Soja!$E31:INDEX(Soja!$E31:$Z31,MIN(AO$6-$E$3,22))&lt;&gt;""),Soja!$E31:INDEX(Soja!$E31:$Z31,MIN(AO$6-$E$3,22))),0))-IF($G$2,0,IF((AO$6-$G$3)&lt;1,0,IFERROR(LOOKUP(2,1/(Soja!$E31:INDEX(Soja!$E31:$Z31,MIN(AO$6-$G$3,22))&lt;&gt;""),Soja!$E31:INDEX(Soja!$E31:$Z31,MIN(AO$6-$G$3,22))),0)))))</f>
        <v>0</v>
      </c>
      <c r="AP33" s="27" t="n">
        <f aca="false">IF(COUNT(Soja!$E31:$Z31)=0,0,MAX(0,IF((AP$6-$E$3)&lt;1,0,IFERROR(LOOKUP(2,1/(Soja!$E31:INDEX(Soja!$E31:$Z31,MIN(AP$6-$E$3,22))&lt;&gt;""),Soja!$E31:INDEX(Soja!$E31:$Z31,MIN(AP$6-$E$3,22))),0))-IF($G$2,0,IF((AP$6-$G$3)&lt;1,0,IFERROR(LOOKUP(2,1/(Soja!$E31:INDEX(Soja!$E31:$Z31,MIN(AP$6-$G$3,22))&lt;&gt;""),Soja!$E31:INDEX(Soja!$E31:$Z31,MIN(AP$6-$G$3,22))),0)))))</f>
        <v>0</v>
      </c>
      <c r="AQ33" s="27" t="n">
        <f aca="false">IF(COUNT(Soja!$E31:$Z31)=0,0,MAX(0,IF((AQ$6-$E$3)&lt;1,0,IFERROR(LOOKUP(2,1/(Soja!$E31:INDEX(Soja!$E31:$Z31,MIN(AQ$6-$E$3,22))&lt;&gt;""),Soja!$E31:INDEX(Soja!$E31:$Z31,MIN(AQ$6-$E$3,22))),0))-IF($G$2,0,IF((AQ$6-$G$3)&lt;1,0,IFERROR(LOOKUP(2,1/(Soja!$E31:INDEX(Soja!$E31:$Z31,MIN(AQ$6-$G$3,22))&lt;&gt;""),Soja!$E31:INDEX(Soja!$E31:$Z31,MIN(AQ$6-$G$3,22))),0)))))</f>
        <v>0</v>
      </c>
      <c r="AR33" s="27" t="n">
        <f aca="false">IF(COUNT(Soja!$E31:$Z31)=0,0,MAX(0,IF((AR$6-$E$3)&lt;1,0,IFERROR(LOOKUP(2,1/(Soja!$E31:INDEX(Soja!$E31:$Z31,MIN(AR$6-$E$3,22))&lt;&gt;""),Soja!$E31:INDEX(Soja!$E31:$Z31,MIN(AR$6-$E$3,22))),0))-IF($G$2,0,IF((AR$6-$G$3)&lt;1,0,IFERROR(LOOKUP(2,1/(Soja!$E31:INDEX(Soja!$E31:$Z31,MIN(AR$6-$G$3,22))&lt;&gt;""),Soja!$E31:INDEX(Soja!$E31:$Z31,MIN(AR$6-$G$3,22))),0)))))</f>
        <v>0</v>
      </c>
      <c r="AS33" s="27" t="n">
        <f aca="false">IF(COUNT(Soja!$E31:$Z31)=0,0,MAX(0,IF((AS$6-$E$3)&lt;1,0,IFERROR(LOOKUP(2,1/(Soja!$E31:INDEX(Soja!$E31:$Z31,MIN(AS$6-$E$3,22))&lt;&gt;""),Soja!$E31:INDEX(Soja!$E31:$Z31,MIN(AS$6-$E$3,22))),0))-IF($G$2,0,IF((AS$6-$G$3)&lt;1,0,IFERROR(LOOKUP(2,1/(Soja!$E31:INDEX(Soja!$E31:$Z31,MIN(AS$6-$G$3,22))&lt;&gt;""),Soja!$E31:INDEX(Soja!$E31:$Z31,MIN(AS$6-$G$3,22))),0)))))</f>
        <v>0</v>
      </c>
      <c r="AT33" s="27" t="n">
        <f aca="false">IF(COUNT(Soja!$E31:$Z31)=0,0,MAX(0,IF((AT$6-$E$3)&lt;1,0,IFERROR(LOOKUP(2,1/(Soja!$E31:INDEX(Soja!$E31:$Z31,MIN(AT$6-$E$3,22))&lt;&gt;""),Soja!$E31:INDEX(Soja!$E31:$Z31,MIN(AT$6-$E$3,22))),0))-IF($G$2,0,IF((AT$6-$G$3)&lt;1,0,IFERROR(LOOKUP(2,1/(Soja!$E31:INDEX(Soja!$E31:$Z31,MIN(AT$6-$G$3,22))&lt;&gt;""),Soja!$E31:INDEX(Soja!$E31:$Z31,MIN(AT$6-$G$3,22))),0)))))</f>
        <v>0</v>
      </c>
      <c r="AU33" s="27" t="n">
        <f aca="false">IF(COUNT(Soja!$E31:$Z31)=0,0,MAX(0,IF((AU$6-$E$3)&lt;1,0,IFERROR(LOOKUP(2,1/(Soja!$E31:INDEX(Soja!$E31:$Z31,MIN(AU$6-$E$3,22))&lt;&gt;""),Soja!$E31:INDEX(Soja!$E31:$Z31,MIN(AU$6-$E$3,22))),0))-IF($G$2,0,IF((AU$6-$G$3)&lt;1,0,IFERROR(LOOKUP(2,1/(Soja!$E31:INDEX(Soja!$E31:$Z31,MIN(AU$6-$G$3,22))&lt;&gt;""),Soja!$E31:INDEX(Soja!$E31:$Z31,MIN(AU$6-$G$3,22))),0)))))</f>
        <v>0</v>
      </c>
      <c r="AV33" s="27" t="n">
        <f aca="false">IF(COUNT(Soja!$E31:$Z31)=0,0,MAX(0,IF((AV$6-$E$3)&lt;1,0,IFERROR(LOOKUP(2,1/(Soja!$E31:INDEX(Soja!$E31:$Z31,MIN(AV$6-$E$3,22))&lt;&gt;""),Soja!$E31:INDEX(Soja!$E31:$Z31,MIN(AV$6-$E$3,22))),0))-IF($G$2,0,IF((AV$6-$G$3)&lt;1,0,IFERROR(LOOKUP(2,1/(Soja!$E31:INDEX(Soja!$E31:$Z31,MIN(AV$6-$G$3,22))&lt;&gt;""),Soja!$E31:INDEX(Soja!$E31:$Z31,MIN(AV$6-$G$3,22))),0)))))</f>
        <v>0</v>
      </c>
      <c r="AW33" s="27" t="n">
        <f aca="false">IF(COUNT(Soja!$E31:$Z31)=0,0,MAX(0,IF((AW$6-$E$3)&lt;1,0,IFERROR(LOOKUP(2,1/(Soja!$E31:INDEX(Soja!$E31:$Z31,MIN(AW$6-$E$3,22))&lt;&gt;""),Soja!$E31:INDEX(Soja!$E31:$Z31,MIN(AW$6-$E$3,22))),0))-IF($G$2,0,IF((AW$6-$G$3)&lt;1,0,IFERROR(LOOKUP(2,1/(Soja!$E31:INDEX(Soja!$E31:$Z31,MIN(AW$6-$G$3,22))&lt;&gt;""),Soja!$E31:INDEX(Soja!$E31:$Z31,MIN(AW$6-$G$3,22))),0)))))</f>
        <v>0</v>
      </c>
      <c r="AX33" s="27" t="n">
        <f aca="false">IF(COUNT(Soja!$E31:$Z31)=0,0,MAX(0,IF((AX$6-$E$3)&lt;1,0,IFERROR(LOOKUP(2,1/(Soja!$E31:INDEX(Soja!$E31:$Z31,MIN(AX$6-$E$3,22))&lt;&gt;""),Soja!$E31:INDEX(Soja!$E31:$Z31,MIN(AX$6-$E$3,22))),0))-IF($G$2,0,IF((AX$6-$G$3)&lt;1,0,IFERROR(LOOKUP(2,1/(Soja!$E31:INDEX(Soja!$E31:$Z31,MIN(AX$6-$G$3,22))&lt;&gt;""),Soja!$E31:INDEX(Soja!$E31:$Z31,MIN(AX$6-$G$3,22))),0)))))</f>
        <v>0</v>
      </c>
      <c r="AY33" s="27" t="n">
        <f aca="false">IF(COUNT(Soja!$E31:$Z31)=0,0,MAX(0,IF((AY$6-$E$3)&lt;1,0,IFERROR(LOOKUP(2,1/(Soja!$E31:INDEX(Soja!$E31:$Z31,MIN(AY$6-$E$3,22))&lt;&gt;""),Soja!$E31:INDEX(Soja!$E31:$Z31,MIN(AY$6-$E$3,22))),0))-IF($G$2,0,IF((AY$6-$G$3)&lt;1,0,IFERROR(LOOKUP(2,1/(Soja!$E31:INDEX(Soja!$E31:$Z31,MIN(AY$6-$G$3,22))&lt;&gt;""),Soja!$E31:INDEX(Soja!$E31:$Z31,MIN(AY$6-$G$3,22))),0)))))</f>
        <v>0</v>
      </c>
      <c r="AZ33" s="27" t="n">
        <f aca="false">IF(COUNT(Soja!$E31:$Z31)=0,0,MAX(0,IF((AZ$6-$E$3)&lt;1,0,IFERROR(LOOKUP(2,1/(Soja!$E31:INDEX(Soja!$E31:$Z31,MIN(AZ$6-$E$3,22))&lt;&gt;""),Soja!$E31:INDEX(Soja!$E31:$Z31,MIN(AZ$6-$E$3,22))),0))-IF($G$2,0,IF((AZ$6-$G$3)&lt;1,0,IFERROR(LOOKUP(2,1/(Soja!$E31:INDEX(Soja!$E31:$Z31,MIN(AZ$6-$G$3,22))&lt;&gt;""),Soja!$E31:INDEX(Soja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IF(COUNT(Soja!$E32:$Z32)&gt;0,N(Soja!$D32),0)</f>
        <v>0</v>
      </c>
      <c r="E34" s="27" t="n">
        <f aca="false">IF(COUNT(Soja!$E32:$Z32)=0,0,MAX(0,IF((E$6-$E$3)&lt;1,0,IFERROR(LOOKUP(2,1/(Soja!$E32:INDEX(Soja!$E32:$Z32,MIN(E$6-$E$3,22))&lt;&gt;""),Soja!$E32:INDEX(Soja!$E32:$Z32,MIN(E$6-$E$3,22))),0))-IF($G$2,0,IF((E$6-$G$3)&lt;1,0,IFERROR(LOOKUP(2,1/(Soja!$E32:INDEX(Soja!$E32:$Z32,MIN(E$6-$G$3,22))&lt;&gt;""),Soja!$E32:INDEX(Soja!$E32:$Z32,MIN(E$6-$G$3,22))),0)))))</f>
        <v>0</v>
      </c>
      <c r="F34" s="27" t="n">
        <f aca="false">IF(COUNT(Soja!$E32:$Z32)=0,0,MAX(0,IF((F$6-$E$3)&lt;1,0,IFERROR(LOOKUP(2,1/(Soja!$E32:INDEX(Soja!$E32:$Z32,MIN(F$6-$E$3,22))&lt;&gt;""),Soja!$E32:INDEX(Soja!$E32:$Z32,MIN(F$6-$E$3,22))),0))-IF($G$2,0,IF((F$6-$G$3)&lt;1,0,IFERROR(LOOKUP(2,1/(Soja!$E32:INDEX(Soja!$E32:$Z32,MIN(F$6-$G$3,22))&lt;&gt;""),Soja!$E32:INDEX(Soja!$E32:$Z32,MIN(F$6-$G$3,22))),0)))))</f>
        <v>0</v>
      </c>
      <c r="G34" s="27" t="n">
        <f aca="false">IF(COUNT(Soja!$E32:$Z32)=0,0,MAX(0,IF((G$6-$E$3)&lt;1,0,IFERROR(LOOKUP(2,1/(Soja!$E32:INDEX(Soja!$E32:$Z32,MIN(G$6-$E$3,22))&lt;&gt;""),Soja!$E32:INDEX(Soja!$E32:$Z32,MIN(G$6-$E$3,22))),0))-IF($G$2,0,IF((G$6-$G$3)&lt;1,0,IFERROR(LOOKUP(2,1/(Soja!$E32:INDEX(Soja!$E32:$Z32,MIN(G$6-$G$3,22))&lt;&gt;""),Soja!$E32:INDEX(Soja!$E32:$Z32,MIN(G$6-$G$3,22))),0)))))</f>
        <v>0</v>
      </c>
      <c r="H34" s="27" t="n">
        <f aca="false">IF(COUNT(Soja!$E32:$Z32)=0,0,MAX(0,IF((H$6-$E$3)&lt;1,0,IFERROR(LOOKUP(2,1/(Soja!$E32:INDEX(Soja!$E32:$Z32,MIN(H$6-$E$3,22))&lt;&gt;""),Soja!$E32:INDEX(Soja!$E32:$Z32,MIN(H$6-$E$3,22))),0))-IF($G$2,0,IF((H$6-$G$3)&lt;1,0,IFERROR(LOOKUP(2,1/(Soja!$E32:INDEX(Soja!$E32:$Z32,MIN(H$6-$G$3,22))&lt;&gt;""),Soja!$E32:INDEX(Soja!$E32:$Z32,MIN(H$6-$G$3,22))),0)))))</f>
        <v>0</v>
      </c>
      <c r="I34" s="27" t="n">
        <f aca="false">IF(COUNT(Soja!$E32:$Z32)=0,0,MAX(0,IF((I$6-$E$3)&lt;1,0,IFERROR(LOOKUP(2,1/(Soja!$E32:INDEX(Soja!$E32:$Z32,MIN(I$6-$E$3,22))&lt;&gt;""),Soja!$E32:INDEX(Soja!$E32:$Z32,MIN(I$6-$E$3,22))),0))-IF($G$2,0,IF((I$6-$G$3)&lt;1,0,IFERROR(LOOKUP(2,1/(Soja!$E32:INDEX(Soja!$E32:$Z32,MIN(I$6-$G$3,22))&lt;&gt;""),Soja!$E32:INDEX(Soja!$E32:$Z32,MIN(I$6-$G$3,22))),0)))))</f>
        <v>0</v>
      </c>
      <c r="J34" s="27" t="n">
        <f aca="false">IF(COUNT(Soja!$E32:$Z32)=0,0,MAX(0,IF((J$6-$E$3)&lt;1,0,IFERROR(LOOKUP(2,1/(Soja!$E32:INDEX(Soja!$E32:$Z32,MIN(J$6-$E$3,22))&lt;&gt;""),Soja!$E32:INDEX(Soja!$E32:$Z32,MIN(J$6-$E$3,22))),0))-IF($G$2,0,IF((J$6-$G$3)&lt;1,0,IFERROR(LOOKUP(2,1/(Soja!$E32:INDEX(Soja!$E32:$Z32,MIN(J$6-$G$3,22))&lt;&gt;""),Soja!$E32:INDEX(Soja!$E32:$Z32,MIN(J$6-$G$3,22))),0)))))</f>
        <v>0</v>
      </c>
      <c r="K34" s="27" t="n">
        <f aca="false">IF(COUNT(Soja!$E32:$Z32)=0,0,MAX(0,IF((K$6-$E$3)&lt;1,0,IFERROR(LOOKUP(2,1/(Soja!$E32:INDEX(Soja!$E32:$Z32,MIN(K$6-$E$3,22))&lt;&gt;""),Soja!$E32:INDEX(Soja!$E32:$Z32,MIN(K$6-$E$3,22))),0))-IF($G$2,0,IF((K$6-$G$3)&lt;1,0,IFERROR(LOOKUP(2,1/(Soja!$E32:INDEX(Soja!$E32:$Z32,MIN(K$6-$G$3,22))&lt;&gt;""),Soja!$E32:INDEX(Soja!$E32:$Z32,MIN(K$6-$G$3,22))),0)))))</f>
        <v>0</v>
      </c>
      <c r="L34" s="27" t="n">
        <f aca="false">IF(COUNT(Soja!$E32:$Z32)=0,0,MAX(0,IF((L$6-$E$3)&lt;1,0,IFERROR(LOOKUP(2,1/(Soja!$E32:INDEX(Soja!$E32:$Z32,MIN(L$6-$E$3,22))&lt;&gt;""),Soja!$E32:INDEX(Soja!$E32:$Z32,MIN(L$6-$E$3,22))),0))-IF($G$2,0,IF((L$6-$G$3)&lt;1,0,IFERROR(LOOKUP(2,1/(Soja!$E32:INDEX(Soja!$E32:$Z32,MIN(L$6-$G$3,22))&lt;&gt;""),Soja!$E32:INDEX(Soja!$E32:$Z32,MIN(L$6-$G$3,22))),0)))))</f>
        <v>0</v>
      </c>
      <c r="M34" s="27" t="n">
        <f aca="false">IF(COUNT(Soja!$E32:$Z32)=0,0,MAX(0,IF((M$6-$E$3)&lt;1,0,IFERROR(LOOKUP(2,1/(Soja!$E32:INDEX(Soja!$E32:$Z32,MIN(M$6-$E$3,22))&lt;&gt;""),Soja!$E32:INDEX(Soja!$E32:$Z32,MIN(M$6-$E$3,22))),0))-IF($G$2,0,IF((M$6-$G$3)&lt;1,0,IFERROR(LOOKUP(2,1/(Soja!$E32:INDEX(Soja!$E32:$Z32,MIN(M$6-$G$3,22))&lt;&gt;""),Soja!$E32:INDEX(Soja!$E32:$Z32,MIN(M$6-$G$3,22))),0)))))</f>
        <v>0</v>
      </c>
      <c r="N34" s="27" t="n">
        <f aca="false">IF(COUNT(Soja!$E32:$Z32)=0,0,MAX(0,IF((N$6-$E$3)&lt;1,0,IFERROR(LOOKUP(2,1/(Soja!$E32:INDEX(Soja!$E32:$Z32,MIN(N$6-$E$3,22))&lt;&gt;""),Soja!$E32:INDEX(Soja!$E32:$Z32,MIN(N$6-$E$3,22))),0))-IF($G$2,0,IF((N$6-$G$3)&lt;1,0,IFERROR(LOOKUP(2,1/(Soja!$E32:INDEX(Soja!$E32:$Z32,MIN(N$6-$G$3,22))&lt;&gt;""),Soja!$E32:INDEX(Soja!$E32:$Z32,MIN(N$6-$G$3,22))),0)))))</f>
        <v>0</v>
      </c>
      <c r="O34" s="27" t="n">
        <f aca="false">IF(COUNT(Soja!$E32:$Z32)=0,0,MAX(0,IF((O$6-$E$3)&lt;1,0,IFERROR(LOOKUP(2,1/(Soja!$E32:INDEX(Soja!$E32:$Z32,MIN(O$6-$E$3,22))&lt;&gt;""),Soja!$E32:INDEX(Soja!$E32:$Z32,MIN(O$6-$E$3,22))),0))-IF($G$2,0,IF((O$6-$G$3)&lt;1,0,IFERROR(LOOKUP(2,1/(Soja!$E32:INDEX(Soja!$E32:$Z32,MIN(O$6-$G$3,22))&lt;&gt;""),Soja!$E32:INDEX(Soja!$E32:$Z32,MIN(O$6-$G$3,22))),0)))))</f>
        <v>0</v>
      </c>
      <c r="P34" s="27" t="n">
        <f aca="false">IF(COUNT(Soja!$E32:$Z32)=0,0,MAX(0,IF((P$6-$E$3)&lt;1,0,IFERROR(LOOKUP(2,1/(Soja!$E32:INDEX(Soja!$E32:$Z32,MIN(P$6-$E$3,22))&lt;&gt;""),Soja!$E32:INDEX(Soja!$E32:$Z32,MIN(P$6-$E$3,22))),0))-IF($G$2,0,IF((P$6-$G$3)&lt;1,0,IFERROR(LOOKUP(2,1/(Soja!$E32:INDEX(Soja!$E32:$Z32,MIN(P$6-$G$3,22))&lt;&gt;""),Soja!$E32:INDEX(Soja!$E32:$Z32,MIN(P$6-$G$3,22))),0)))))</f>
        <v>0</v>
      </c>
      <c r="Q34" s="27" t="n">
        <f aca="false">IF(COUNT(Soja!$E32:$Z32)=0,0,MAX(0,IF((Q$6-$E$3)&lt;1,0,IFERROR(LOOKUP(2,1/(Soja!$E32:INDEX(Soja!$E32:$Z32,MIN(Q$6-$E$3,22))&lt;&gt;""),Soja!$E32:INDEX(Soja!$E32:$Z32,MIN(Q$6-$E$3,22))),0))-IF($G$2,0,IF((Q$6-$G$3)&lt;1,0,IFERROR(LOOKUP(2,1/(Soja!$E32:INDEX(Soja!$E32:$Z32,MIN(Q$6-$G$3,22))&lt;&gt;""),Soja!$E32:INDEX(Soja!$E32:$Z32,MIN(Q$6-$G$3,22))),0)))))</f>
        <v>0</v>
      </c>
      <c r="R34" s="27" t="n">
        <f aca="false">IF(COUNT(Soja!$E32:$Z32)=0,0,MAX(0,IF((R$6-$E$3)&lt;1,0,IFERROR(LOOKUP(2,1/(Soja!$E32:INDEX(Soja!$E32:$Z32,MIN(R$6-$E$3,22))&lt;&gt;""),Soja!$E32:INDEX(Soja!$E32:$Z32,MIN(R$6-$E$3,22))),0))-IF($G$2,0,IF((R$6-$G$3)&lt;1,0,IFERROR(LOOKUP(2,1/(Soja!$E32:INDEX(Soja!$E32:$Z32,MIN(R$6-$G$3,22))&lt;&gt;""),Soja!$E32:INDEX(Soja!$E32:$Z32,MIN(R$6-$G$3,22))),0)))))</f>
        <v>0</v>
      </c>
      <c r="S34" s="27" t="n">
        <f aca="false">IF(COUNT(Soja!$E32:$Z32)=0,0,MAX(0,IF((S$6-$E$3)&lt;1,0,IFERROR(LOOKUP(2,1/(Soja!$E32:INDEX(Soja!$E32:$Z32,MIN(S$6-$E$3,22))&lt;&gt;""),Soja!$E32:INDEX(Soja!$E32:$Z32,MIN(S$6-$E$3,22))),0))-IF($G$2,0,IF((S$6-$G$3)&lt;1,0,IFERROR(LOOKUP(2,1/(Soja!$E32:INDEX(Soja!$E32:$Z32,MIN(S$6-$G$3,22))&lt;&gt;""),Soja!$E32:INDEX(Soja!$E32:$Z32,MIN(S$6-$G$3,22))),0)))))</f>
        <v>0</v>
      </c>
      <c r="T34" s="27" t="n">
        <f aca="false">IF(COUNT(Soja!$E32:$Z32)=0,0,MAX(0,IF((T$6-$E$3)&lt;1,0,IFERROR(LOOKUP(2,1/(Soja!$E32:INDEX(Soja!$E32:$Z32,MIN(T$6-$E$3,22))&lt;&gt;""),Soja!$E32:INDEX(Soja!$E32:$Z32,MIN(T$6-$E$3,22))),0))-IF($G$2,0,IF((T$6-$G$3)&lt;1,0,IFERROR(LOOKUP(2,1/(Soja!$E32:INDEX(Soja!$E32:$Z32,MIN(T$6-$G$3,22))&lt;&gt;""),Soja!$E32:INDEX(Soja!$E32:$Z32,MIN(T$6-$G$3,22))),0)))))</f>
        <v>0</v>
      </c>
      <c r="U34" s="27" t="n">
        <f aca="false">IF(COUNT(Soja!$E32:$Z32)=0,0,MAX(0,IF((U$6-$E$3)&lt;1,0,IFERROR(LOOKUP(2,1/(Soja!$E32:INDEX(Soja!$E32:$Z32,MIN(U$6-$E$3,22))&lt;&gt;""),Soja!$E32:INDEX(Soja!$E32:$Z32,MIN(U$6-$E$3,22))),0))-IF($G$2,0,IF((U$6-$G$3)&lt;1,0,IFERROR(LOOKUP(2,1/(Soja!$E32:INDEX(Soja!$E32:$Z32,MIN(U$6-$G$3,22))&lt;&gt;""),Soja!$E32:INDEX(Soja!$E32:$Z32,MIN(U$6-$G$3,22))),0)))))</f>
        <v>0</v>
      </c>
      <c r="V34" s="27" t="n">
        <f aca="false">IF(COUNT(Soja!$E32:$Z32)=0,0,MAX(0,IF((V$6-$E$3)&lt;1,0,IFERROR(LOOKUP(2,1/(Soja!$E32:INDEX(Soja!$E32:$Z32,MIN(V$6-$E$3,22))&lt;&gt;""),Soja!$E32:INDEX(Soja!$E32:$Z32,MIN(V$6-$E$3,22))),0))-IF($G$2,0,IF((V$6-$G$3)&lt;1,0,IFERROR(LOOKUP(2,1/(Soja!$E32:INDEX(Soja!$E32:$Z32,MIN(V$6-$G$3,22))&lt;&gt;""),Soja!$E32:INDEX(Soja!$E32:$Z32,MIN(V$6-$G$3,22))),0)))))</f>
        <v>0</v>
      </c>
      <c r="W34" s="27" t="n">
        <f aca="false">IF(COUNT(Soja!$E32:$Z32)=0,0,MAX(0,IF((W$6-$E$3)&lt;1,0,IFERROR(LOOKUP(2,1/(Soja!$E32:INDEX(Soja!$E32:$Z32,MIN(W$6-$E$3,22))&lt;&gt;""),Soja!$E32:INDEX(Soja!$E32:$Z32,MIN(W$6-$E$3,22))),0))-IF($G$2,0,IF((W$6-$G$3)&lt;1,0,IFERROR(LOOKUP(2,1/(Soja!$E32:INDEX(Soja!$E32:$Z32,MIN(W$6-$G$3,22))&lt;&gt;""),Soja!$E32:INDEX(Soja!$E32:$Z32,MIN(W$6-$G$3,22))),0)))))</f>
        <v>0</v>
      </c>
      <c r="X34" s="27" t="n">
        <f aca="false">IF(COUNT(Soja!$E32:$Z32)=0,0,MAX(0,IF((X$6-$E$3)&lt;1,0,IFERROR(LOOKUP(2,1/(Soja!$E32:INDEX(Soja!$E32:$Z32,MIN(X$6-$E$3,22))&lt;&gt;""),Soja!$E32:INDEX(Soja!$E32:$Z32,MIN(X$6-$E$3,22))),0))-IF($G$2,0,IF((X$6-$G$3)&lt;1,0,IFERROR(LOOKUP(2,1/(Soja!$E32:INDEX(Soja!$E32:$Z32,MIN(X$6-$G$3,22))&lt;&gt;""),Soja!$E32:INDEX(Soja!$E32:$Z32,MIN(X$6-$G$3,22))),0)))))</f>
        <v>0</v>
      </c>
      <c r="Y34" s="27" t="n">
        <f aca="false">IF(COUNT(Soja!$E32:$Z32)=0,0,MAX(0,IF((Y$6-$E$3)&lt;1,0,IFERROR(LOOKUP(2,1/(Soja!$E32:INDEX(Soja!$E32:$Z32,MIN(Y$6-$E$3,22))&lt;&gt;""),Soja!$E32:INDEX(Soja!$E32:$Z32,MIN(Y$6-$E$3,22))),0))-IF($G$2,0,IF((Y$6-$G$3)&lt;1,0,IFERROR(LOOKUP(2,1/(Soja!$E32:INDEX(Soja!$E32:$Z32,MIN(Y$6-$G$3,22))&lt;&gt;""),Soja!$E32:INDEX(Soja!$E32:$Z32,MIN(Y$6-$G$3,22))),0)))))</f>
        <v>0</v>
      </c>
      <c r="Z34" s="27" t="n">
        <f aca="false">IF(COUNT(Soja!$E32:$Z32)=0,0,MAX(0,IF((Z$6-$E$3)&lt;1,0,IFERROR(LOOKUP(2,1/(Soja!$E32:INDEX(Soja!$E32:$Z32,MIN(Z$6-$E$3,22))&lt;&gt;""),Soja!$E32:INDEX(Soja!$E32:$Z32,MIN(Z$6-$E$3,22))),0))-IF($G$2,0,IF((Z$6-$G$3)&lt;1,0,IFERROR(LOOKUP(2,1/(Soja!$E32:INDEX(Soja!$E32:$Z32,MIN(Z$6-$G$3,22))&lt;&gt;""),Soja!$E32:INDEX(Soja!$E32:$Z32,MIN(Z$6-$G$3,22))),0)))))</f>
        <v>0</v>
      </c>
      <c r="AA34" s="27" t="n">
        <f aca="false">IF(COUNT(Soja!$E32:$Z32)=0,0,MAX(0,IF((AA$6-$E$3)&lt;1,0,IFERROR(LOOKUP(2,1/(Soja!$E32:INDEX(Soja!$E32:$Z32,MIN(AA$6-$E$3,22))&lt;&gt;""),Soja!$E32:INDEX(Soja!$E32:$Z32,MIN(AA$6-$E$3,22))),0))-IF($G$2,0,IF((AA$6-$G$3)&lt;1,0,IFERROR(LOOKUP(2,1/(Soja!$E32:INDEX(Soja!$E32:$Z32,MIN(AA$6-$G$3,22))&lt;&gt;""),Soja!$E32:INDEX(Soja!$E32:$Z32,MIN(AA$6-$G$3,22))),0)))))</f>
        <v>0</v>
      </c>
      <c r="AB34" s="27" t="n">
        <f aca="false">IF(COUNT(Soja!$E32:$Z32)=0,0,MAX(0,IF((AB$6-$E$3)&lt;1,0,IFERROR(LOOKUP(2,1/(Soja!$E32:INDEX(Soja!$E32:$Z32,MIN(AB$6-$E$3,22))&lt;&gt;""),Soja!$E32:INDEX(Soja!$E32:$Z32,MIN(AB$6-$E$3,22))),0))-IF($G$2,0,IF((AB$6-$G$3)&lt;1,0,IFERROR(LOOKUP(2,1/(Soja!$E32:INDEX(Soja!$E32:$Z32,MIN(AB$6-$G$3,22))&lt;&gt;""),Soja!$E32:INDEX(Soja!$E32:$Z32,MIN(AB$6-$G$3,22))),0)))))</f>
        <v>0</v>
      </c>
      <c r="AC34" s="27" t="n">
        <f aca="false">IF(COUNT(Soja!$E32:$Z32)=0,0,MAX(0,IF((AC$6-$E$3)&lt;1,0,IFERROR(LOOKUP(2,1/(Soja!$E32:INDEX(Soja!$E32:$Z32,MIN(AC$6-$E$3,22))&lt;&gt;""),Soja!$E32:INDEX(Soja!$E32:$Z32,MIN(AC$6-$E$3,22))),0))-IF($G$2,0,IF((AC$6-$G$3)&lt;1,0,IFERROR(LOOKUP(2,1/(Soja!$E32:INDEX(Soja!$E32:$Z32,MIN(AC$6-$G$3,22))&lt;&gt;""),Soja!$E32:INDEX(Soja!$E32:$Z32,MIN(AC$6-$G$3,22))),0)))))</f>
        <v>0</v>
      </c>
      <c r="AD34" s="27" t="n">
        <f aca="false">IF(COUNT(Soja!$E32:$Z32)=0,0,MAX(0,IF((AD$6-$E$3)&lt;1,0,IFERROR(LOOKUP(2,1/(Soja!$E32:INDEX(Soja!$E32:$Z32,MIN(AD$6-$E$3,22))&lt;&gt;""),Soja!$E32:INDEX(Soja!$E32:$Z32,MIN(AD$6-$E$3,22))),0))-IF($G$2,0,IF((AD$6-$G$3)&lt;1,0,IFERROR(LOOKUP(2,1/(Soja!$E32:INDEX(Soja!$E32:$Z32,MIN(AD$6-$G$3,22))&lt;&gt;""),Soja!$E32:INDEX(Soja!$E32:$Z32,MIN(AD$6-$G$3,22))),0)))))</f>
        <v>0</v>
      </c>
      <c r="AE34" s="27" t="n">
        <f aca="false">IF(COUNT(Soja!$E32:$Z32)=0,0,MAX(0,IF((AE$6-$E$3)&lt;1,0,IFERROR(LOOKUP(2,1/(Soja!$E32:INDEX(Soja!$E32:$Z32,MIN(AE$6-$E$3,22))&lt;&gt;""),Soja!$E32:INDEX(Soja!$E32:$Z32,MIN(AE$6-$E$3,22))),0))-IF($G$2,0,IF((AE$6-$G$3)&lt;1,0,IFERROR(LOOKUP(2,1/(Soja!$E32:INDEX(Soja!$E32:$Z32,MIN(AE$6-$G$3,22))&lt;&gt;""),Soja!$E32:INDEX(Soja!$E32:$Z32,MIN(AE$6-$G$3,22))),0)))))</f>
        <v>0</v>
      </c>
      <c r="AF34" s="27" t="n">
        <f aca="false">IF(COUNT(Soja!$E32:$Z32)=0,0,MAX(0,IF((AF$6-$E$3)&lt;1,0,IFERROR(LOOKUP(2,1/(Soja!$E32:INDEX(Soja!$E32:$Z32,MIN(AF$6-$E$3,22))&lt;&gt;""),Soja!$E32:INDEX(Soja!$E32:$Z32,MIN(AF$6-$E$3,22))),0))-IF($G$2,0,IF((AF$6-$G$3)&lt;1,0,IFERROR(LOOKUP(2,1/(Soja!$E32:INDEX(Soja!$E32:$Z32,MIN(AF$6-$G$3,22))&lt;&gt;""),Soja!$E32:INDEX(Soja!$E32:$Z32,MIN(AF$6-$G$3,22))),0)))))</f>
        <v>0</v>
      </c>
      <c r="AG34" s="27" t="n">
        <f aca="false">IF(COUNT(Soja!$E32:$Z32)=0,0,MAX(0,IF((AG$6-$E$3)&lt;1,0,IFERROR(LOOKUP(2,1/(Soja!$E32:INDEX(Soja!$E32:$Z32,MIN(AG$6-$E$3,22))&lt;&gt;""),Soja!$E32:INDEX(Soja!$E32:$Z32,MIN(AG$6-$E$3,22))),0))-IF($G$2,0,IF((AG$6-$G$3)&lt;1,0,IFERROR(LOOKUP(2,1/(Soja!$E32:INDEX(Soja!$E32:$Z32,MIN(AG$6-$G$3,22))&lt;&gt;""),Soja!$E32:INDEX(Soja!$E32:$Z32,MIN(AG$6-$G$3,22))),0)))))</f>
        <v>0</v>
      </c>
      <c r="AH34" s="27" t="n">
        <f aca="false">IF(COUNT(Soja!$E32:$Z32)=0,0,MAX(0,IF((AH$6-$E$3)&lt;1,0,IFERROR(LOOKUP(2,1/(Soja!$E32:INDEX(Soja!$E32:$Z32,MIN(AH$6-$E$3,22))&lt;&gt;""),Soja!$E32:INDEX(Soja!$E32:$Z32,MIN(AH$6-$E$3,22))),0))-IF($G$2,0,IF((AH$6-$G$3)&lt;1,0,IFERROR(LOOKUP(2,1/(Soja!$E32:INDEX(Soja!$E32:$Z32,MIN(AH$6-$G$3,22))&lt;&gt;""),Soja!$E32:INDEX(Soja!$E32:$Z32,MIN(AH$6-$G$3,22))),0)))))</f>
        <v>0</v>
      </c>
      <c r="AI34" s="27" t="n">
        <f aca="false">IF(COUNT(Soja!$E32:$Z32)=0,0,MAX(0,IF((AI$6-$E$3)&lt;1,0,IFERROR(LOOKUP(2,1/(Soja!$E32:INDEX(Soja!$E32:$Z32,MIN(AI$6-$E$3,22))&lt;&gt;""),Soja!$E32:INDEX(Soja!$E32:$Z32,MIN(AI$6-$E$3,22))),0))-IF($G$2,0,IF((AI$6-$G$3)&lt;1,0,IFERROR(LOOKUP(2,1/(Soja!$E32:INDEX(Soja!$E32:$Z32,MIN(AI$6-$G$3,22))&lt;&gt;""),Soja!$E32:INDEX(Soja!$E32:$Z32,MIN(AI$6-$G$3,22))),0)))))</f>
        <v>0</v>
      </c>
      <c r="AJ34" s="27" t="n">
        <f aca="false">IF(COUNT(Soja!$E32:$Z32)=0,0,MAX(0,IF((AJ$6-$E$3)&lt;1,0,IFERROR(LOOKUP(2,1/(Soja!$E32:INDEX(Soja!$E32:$Z32,MIN(AJ$6-$E$3,22))&lt;&gt;""),Soja!$E32:INDEX(Soja!$E32:$Z32,MIN(AJ$6-$E$3,22))),0))-IF($G$2,0,IF((AJ$6-$G$3)&lt;1,0,IFERROR(LOOKUP(2,1/(Soja!$E32:INDEX(Soja!$E32:$Z32,MIN(AJ$6-$G$3,22))&lt;&gt;""),Soja!$E32:INDEX(Soja!$E32:$Z32,MIN(AJ$6-$G$3,22))),0)))))</f>
        <v>0</v>
      </c>
      <c r="AK34" s="27" t="n">
        <f aca="false">IF(COUNT(Soja!$E32:$Z32)=0,0,MAX(0,IF((AK$6-$E$3)&lt;1,0,IFERROR(LOOKUP(2,1/(Soja!$E32:INDEX(Soja!$E32:$Z32,MIN(AK$6-$E$3,22))&lt;&gt;""),Soja!$E32:INDEX(Soja!$E32:$Z32,MIN(AK$6-$E$3,22))),0))-IF($G$2,0,IF((AK$6-$G$3)&lt;1,0,IFERROR(LOOKUP(2,1/(Soja!$E32:INDEX(Soja!$E32:$Z32,MIN(AK$6-$G$3,22))&lt;&gt;""),Soja!$E32:INDEX(Soja!$E32:$Z32,MIN(AK$6-$G$3,22))),0)))))</f>
        <v>0</v>
      </c>
      <c r="AL34" s="27" t="n">
        <f aca="false">IF(COUNT(Soja!$E32:$Z32)=0,0,MAX(0,IF((AL$6-$E$3)&lt;1,0,IFERROR(LOOKUP(2,1/(Soja!$E32:INDEX(Soja!$E32:$Z32,MIN(AL$6-$E$3,22))&lt;&gt;""),Soja!$E32:INDEX(Soja!$E32:$Z32,MIN(AL$6-$E$3,22))),0))-IF($G$2,0,IF((AL$6-$G$3)&lt;1,0,IFERROR(LOOKUP(2,1/(Soja!$E32:INDEX(Soja!$E32:$Z32,MIN(AL$6-$G$3,22))&lt;&gt;""),Soja!$E32:INDEX(Soja!$E32:$Z32,MIN(AL$6-$G$3,22))),0)))))</f>
        <v>0</v>
      </c>
      <c r="AM34" s="27" t="n">
        <f aca="false">IF(COUNT(Soja!$E32:$Z32)=0,0,MAX(0,IF((AM$6-$E$3)&lt;1,0,IFERROR(LOOKUP(2,1/(Soja!$E32:INDEX(Soja!$E32:$Z32,MIN(AM$6-$E$3,22))&lt;&gt;""),Soja!$E32:INDEX(Soja!$E32:$Z32,MIN(AM$6-$E$3,22))),0))-IF($G$2,0,IF((AM$6-$G$3)&lt;1,0,IFERROR(LOOKUP(2,1/(Soja!$E32:INDEX(Soja!$E32:$Z32,MIN(AM$6-$G$3,22))&lt;&gt;""),Soja!$E32:INDEX(Soja!$E32:$Z32,MIN(AM$6-$G$3,22))),0)))))</f>
        <v>0</v>
      </c>
      <c r="AN34" s="27" t="n">
        <f aca="false">IF(COUNT(Soja!$E32:$Z32)=0,0,MAX(0,IF((AN$6-$E$3)&lt;1,0,IFERROR(LOOKUP(2,1/(Soja!$E32:INDEX(Soja!$E32:$Z32,MIN(AN$6-$E$3,22))&lt;&gt;""),Soja!$E32:INDEX(Soja!$E32:$Z32,MIN(AN$6-$E$3,22))),0))-IF($G$2,0,IF((AN$6-$G$3)&lt;1,0,IFERROR(LOOKUP(2,1/(Soja!$E32:INDEX(Soja!$E32:$Z32,MIN(AN$6-$G$3,22))&lt;&gt;""),Soja!$E32:INDEX(Soja!$E32:$Z32,MIN(AN$6-$G$3,22))),0)))))</f>
        <v>0</v>
      </c>
      <c r="AO34" s="27" t="n">
        <f aca="false">IF(COUNT(Soja!$E32:$Z32)=0,0,MAX(0,IF((AO$6-$E$3)&lt;1,0,IFERROR(LOOKUP(2,1/(Soja!$E32:INDEX(Soja!$E32:$Z32,MIN(AO$6-$E$3,22))&lt;&gt;""),Soja!$E32:INDEX(Soja!$E32:$Z32,MIN(AO$6-$E$3,22))),0))-IF($G$2,0,IF((AO$6-$G$3)&lt;1,0,IFERROR(LOOKUP(2,1/(Soja!$E32:INDEX(Soja!$E32:$Z32,MIN(AO$6-$G$3,22))&lt;&gt;""),Soja!$E32:INDEX(Soja!$E32:$Z32,MIN(AO$6-$G$3,22))),0)))))</f>
        <v>0</v>
      </c>
      <c r="AP34" s="27" t="n">
        <f aca="false">IF(COUNT(Soja!$E32:$Z32)=0,0,MAX(0,IF((AP$6-$E$3)&lt;1,0,IFERROR(LOOKUP(2,1/(Soja!$E32:INDEX(Soja!$E32:$Z32,MIN(AP$6-$E$3,22))&lt;&gt;""),Soja!$E32:INDEX(Soja!$E32:$Z32,MIN(AP$6-$E$3,22))),0))-IF($G$2,0,IF((AP$6-$G$3)&lt;1,0,IFERROR(LOOKUP(2,1/(Soja!$E32:INDEX(Soja!$E32:$Z32,MIN(AP$6-$G$3,22))&lt;&gt;""),Soja!$E32:INDEX(Soja!$E32:$Z32,MIN(AP$6-$G$3,22))),0)))))</f>
        <v>0</v>
      </c>
      <c r="AQ34" s="27" t="n">
        <f aca="false">IF(COUNT(Soja!$E32:$Z32)=0,0,MAX(0,IF((AQ$6-$E$3)&lt;1,0,IFERROR(LOOKUP(2,1/(Soja!$E32:INDEX(Soja!$E32:$Z32,MIN(AQ$6-$E$3,22))&lt;&gt;""),Soja!$E32:INDEX(Soja!$E32:$Z32,MIN(AQ$6-$E$3,22))),0))-IF($G$2,0,IF((AQ$6-$G$3)&lt;1,0,IFERROR(LOOKUP(2,1/(Soja!$E32:INDEX(Soja!$E32:$Z32,MIN(AQ$6-$G$3,22))&lt;&gt;""),Soja!$E32:INDEX(Soja!$E32:$Z32,MIN(AQ$6-$G$3,22))),0)))))</f>
        <v>0</v>
      </c>
      <c r="AR34" s="27" t="n">
        <f aca="false">IF(COUNT(Soja!$E32:$Z32)=0,0,MAX(0,IF((AR$6-$E$3)&lt;1,0,IFERROR(LOOKUP(2,1/(Soja!$E32:INDEX(Soja!$E32:$Z32,MIN(AR$6-$E$3,22))&lt;&gt;""),Soja!$E32:INDEX(Soja!$E32:$Z32,MIN(AR$6-$E$3,22))),0))-IF($G$2,0,IF((AR$6-$G$3)&lt;1,0,IFERROR(LOOKUP(2,1/(Soja!$E32:INDEX(Soja!$E32:$Z32,MIN(AR$6-$G$3,22))&lt;&gt;""),Soja!$E32:INDEX(Soja!$E32:$Z32,MIN(AR$6-$G$3,22))),0)))))</f>
        <v>0</v>
      </c>
      <c r="AS34" s="27" t="n">
        <f aca="false">IF(COUNT(Soja!$E32:$Z32)=0,0,MAX(0,IF((AS$6-$E$3)&lt;1,0,IFERROR(LOOKUP(2,1/(Soja!$E32:INDEX(Soja!$E32:$Z32,MIN(AS$6-$E$3,22))&lt;&gt;""),Soja!$E32:INDEX(Soja!$E32:$Z32,MIN(AS$6-$E$3,22))),0))-IF($G$2,0,IF((AS$6-$G$3)&lt;1,0,IFERROR(LOOKUP(2,1/(Soja!$E32:INDEX(Soja!$E32:$Z32,MIN(AS$6-$G$3,22))&lt;&gt;""),Soja!$E32:INDEX(Soja!$E32:$Z32,MIN(AS$6-$G$3,22))),0)))))</f>
        <v>0</v>
      </c>
      <c r="AT34" s="27" t="n">
        <f aca="false">IF(COUNT(Soja!$E32:$Z32)=0,0,MAX(0,IF((AT$6-$E$3)&lt;1,0,IFERROR(LOOKUP(2,1/(Soja!$E32:INDEX(Soja!$E32:$Z32,MIN(AT$6-$E$3,22))&lt;&gt;""),Soja!$E32:INDEX(Soja!$E32:$Z32,MIN(AT$6-$E$3,22))),0))-IF($G$2,0,IF((AT$6-$G$3)&lt;1,0,IFERROR(LOOKUP(2,1/(Soja!$E32:INDEX(Soja!$E32:$Z32,MIN(AT$6-$G$3,22))&lt;&gt;""),Soja!$E32:INDEX(Soja!$E32:$Z32,MIN(AT$6-$G$3,22))),0)))))</f>
        <v>0</v>
      </c>
      <c r="AU34" s="27" t="n">
        <f aca="false">IF(COUNT(Soja!$E32:$Z32)=0,0,MAX(0,IF((AU$6-$E$3)&lt;1,0,IFERROR(LOOKUP(2,1/(Soja!$E32:INDEX(Soja!$E32:$Z32,MIN(AU$6-$E$3,22))&lt;&gt;""),Soja!$E32:INDEX(Soja!$E32:$Z32,MIN(AU$6-$E$3,22))),0))-IF($G$2,0,IF((AU$6-$G$3)&lt;1,0,IFERROR(LOOKUP(2,1/(Soja!$E32:INDEX(Soja!$E32:$Z32,MIN(AU$6-$G$3,22))&lt;&gt;""),Soja!$E32:INDEX(Soja!$E32:$Z32,MIN(AU$6-$G$3,22))),0)))))</f>
        <v>0</v>
      </c>
      <c r="AV34" s="27" t="n">
        <f aca="false">IF(COUNT(Soja!$E32:$Z32)=0,0,MAX(0,IF((AV$6-$E$3)&lt;1,0,IFERROR(LOOKUP(2,1/(Soja!$E32:INDEX(Soja!$E32:$Z32,MIN(AV$6-$E$3,22))&lt;&gt;""),Soja!$E32:INDEX(Soja!$E32:$Z32,MIN(AV$6-$E$3,22))),0))-IF($G$2,0,IF((AV$6-$G$3)&lt;1,0,IFERROR(LOOKUP(2,1/(Soja!$E32:INDEX(Soja!$E32:$Z32,MIN(AV$6-$G$3,22))&lt;&gt;""),Soja!$E32:INDEX(Soja!$E32:$Z32,MIN(AV$6-$G$3,22))),0)))))</f>
        <v>0</v>
      </c>
      <c r="AW34" s="27" t="n">
        <f aca="false">IF(COUNT(Soja!$E32:$Z32)=0,0,MAX(0,IF((AW$6-$E$3)&lt;1,0,IFERROR(LOOKUP(2,1/(Soja!$E32:INDEX(Soja!$E32:$Z32,MIN(AW$6-$E$3,22))&lt;&gt;""),Soja!$E32:INDEX(Soja!$E32:$Z32,MIN(AW$6-$E$3,22))),0))-IF($G$2,0,IF((AW$6-$G$3)&lt;1,0,IFERROR(LOOKUP(2,1/(Soja!$E32:INDEX(Soja!$E32:$Z32,MIN(AW$6-$G$3,22))&lt;&gt;""),Soja!$E32:INDEX(Soja!$E32:$Z32,MIN(AW$6-$G$3,22))),0)))))</f>
        <v>0</v>
      </c>
      <c r="AX34" s="27" t="n">
        <f aca="false">IF(COUNT(Soja!$E32:$Z32)=0,0,MAX(0,IF((AX$6-$E$3)&lt;1,0,IFERROR(LOOKUP(2,1/(Soja!$E32:INDEX(Soja!$E32:$Z32,MIN(AX$6-$E$3,22))&lt;&gt;""),Soja!$E32:INDEX(Soja!$E32:$Z32,MIN(AX$6-$E$3,22))),0))-IF($G$2,0,IF((AX$6-$G$3)&lt;1,0,IFERROR(LOOKUP(2,1/(Soja!$E32:INDEX(Soja!$E32:$Z32,MIN(AX$6-$G$3,22))&lt;&gt;""),Soja!$E32:INDEX(Soja!$E32:$Z32,MIN(AX$6-$G$3,22))),0)))))</f>
        <v>0</v>
      </c>
      <c r="AY34" s="27" t="n">
        <f aca="false">IF(COUNT(Soja!$E32:$Z32)=0,0,MAX(0,IF((AY$6-$E$3)&lt;1,0,IFERROR(LOOKUP(2,1/(Soja!$E32:INDEX(Soja!$E32:$Z32,MIN(AY$6-$E$3,22))&lt;&gt;""),Soja!$E32:INDEX(Soja!$E32:$Z32,MIN(AY$6-$E$3,22))),0))-IF($G$2,0,IF((AY$6-$G$3)&lt;1,0,IFERROR(LOOKUP(2,1/(Soja!$E32:INDEX(Soja!$E32:$Z32,MIN(AY$6-$G$3,22))&lt;&gt;""),Soja!$E32:INDEX(Soja!$E32:$Z32,MIN(AY$6-$G$3,22))),0)))))</f>
        <v>0</v>
      </c>
      <c r="AZ34" s="27" t="n">
        <f aca="false">IF(COUNT(Soja!$E32:$Z32)=0,0,MAX(0,IF((AZ$6-$E$3)&lt;1,0,IFERROR(LOOKUP(2,1/(Soja!$E32:INDEX(Soja!$E32:$Z32,MIN(AZ$6-$E$3,22))&lt;&gt;""),Soja!$E32:INDEX(Soja!$E32:$Z32,MIN(AZ$6-$E$3,22))),0))-IF($G$2,0,IF((AZ$6-$G$3)&lt;1,0,IFERROR(LOOKUP(2,1/(Soja!$E32:INDEX(Soja!$E32:$Z32,MIN(AZ$6-$G$3,22))&lt;&gt;""),Soja!$E32:INDEX(Soja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IF(COUNT(Soja!$E33:$Z33)&gt;0,N(Soja!$D33),0)</f>
        <v>0</v>
      </c>
      <c r="E35" s="27" t="n">
        <f aca="false">IF(COUNT(Soja!$E33:$Z33)=0,0,MAX(0,IF((E$6-$E$3)&lt;1,0,IFERROR(LOOKUP(2,1/(Soja!$E33:INDEX(Soja!$E33:$Z33,MIN(E$6-$E$3,22))&lt;&gt;""),Soja!$E33:INDEX(Soja!$E33:$Z33,MIN(E$6-$E$3,22))),0))-IF($G$2,0,IF((E$6-$G$3)&lt;1,0,IFERROR(LOOKUP(2,1/(Soja!$E33:INDEX(Soja!$E33:$Z33,MIN(E$6-$G$3,22))&lt;&gt;""),Soja!$E33:INDEX(Soja!$E33:$Z33,MIN(E$6-$G$3,22))),0)))))</f>
        <v>0</v>
      </c>
      <c r="F35" s="27" t="n">
        <f aca="false">IF(COUNT(Soja!$E33:$Z33)=0,0,MAX(0,IF((F$6-$E$3)&lt;1,0,IFERROR(LOOKUP(2,1/(Soja!$E33:INDEX(Soja!$E33:$Z33,MIN(F$6-$E$3,22))&lt;&gt;""),Soja!$E33:INDEX(Soja!$E33:$Z33,MIN(F$6-$E$3,22))),0))-IF($G$2,0,IF((F$6-$G$3)&lt;1,0,IFERROR(LOOKUP(2,1/(Soja!$E33:INDEX(Soja!$E33:$Z33,MIN(F$6-$G$3,22))&lt;&gt;""),Soja!$E33:INDEX(Soja!$E33:$Z33,MIN(F$6-$G$3,22))),0)))))</f>
        <v>0</v>
      </c>
      <c r="G35" s="27" t="n">
        <f aca="false">IF(COUNT(Soja!$E33:$Z33)=0,0,MAX(0,IF((G$6-$E$3)&lt;1,0,IFERROR(LOOKUP(2,1/(Soja!$E33:INDEX(Soja!$E33:$Z33,MIN(G$6-$E$3,22))&lt;&gt;""),Soja!$E33:INDEX(Soja!$E33:$Z33,MIN(G$6-$E$3,22))),0))-IF($G$2,0,IF((G$6-$G$3)&lt;1,0,IFERROR(LOOKUP(2,1/(Soja!$E33:INDEX(Soja!$E33:$Z33,MIN(G$6-$G$3,22))&lt;&gt;""),Soja!$E33:INDEX(Soja!$E33:$Z33,MIN(G$6-$G$3,22))),0)))))</f>
        <v>0</v>
      </c>
      <c r="H35" s="27" t="n">
        <f aca="false">IF(COUNT(Soja!$E33:$Z33)=0,0,MAX(0,IF((H$6-$E$3)&lt;1,0,IFERROR(LOOKUP(2,1/(Soja!$E33:INDEX(Soja!$E33:$Z33,MIN(H$6-$E$3,22))&lt;&gt;""),Soja!$E33:INDEX(Soja!$E33:$Z33,MIN(H$6-$E$3,22))),0))-IF($G$2,0,IF((H$6-$G$3)&lt;1,0,IFERROR(LOOKUP(2,1/(Soja!$E33:INDEX(Soja!$E33:$Z33,MIN(H$6-$G$3,22))&lt;&gt;""),Soja!$E33:INDEX(Soja!$E33:$Z33,MIN(H$6-$G$3,22))),0)))))</f>
        <v>0</v>
      </c>
      <c r="I35" s="27" t="n">
        <f aca="false">IF(COUNT(Soja!$E33:$Z33)=0,0,MAX(0,IF((I$6-$E$3)&lt;1,0,IFERROR(LOOKUP(2,1/(Soja!$E33:INDEX(Soja!$E33:$Z33,MIN(I$6-$E$3,22))&lt;&gt;""),Soja!$E33:INDEX(Soja!$E33:$Z33,MIN(I$6-$E$3,22))),0))-IF($G$2,0,IF((I$6-$G$3)&lt;1,0,IFERROR(LOOKUP(2,1/(Soja!$E33:INDEX(Soja!$E33:$Z33,MIN(I$6-$G$3,22))&lt;&gt;""),Soja!$E33:INDEX(Soja!$E33:$Z33,MIN(I$6-$G$3,22))),0)))))</f>
        <v>0</v>
      </c>
      <c r="J35" s="27" t="n">
        <f aca="false">IF(COUNT(Soja!$E33:$Z33)=0,0,MAX(0,IF((J$6-$E$3)&lt;1,0,IFERROR(LOOKUP(2,1/(Soja!$E33:INDEX(Soja!$E33:$Z33,MIN(J$6-$E$3,22))&lt;&gt;""),Soja!$E33:INDEX(Soja!$E33:$Z33,MIN(J$6-$E$3,22))),0))-IF($G$2,0,IF((J$6-$G$3)&lt;1,0,IFERROR(LOOKUP(2,1/(Soja!$E33:INDEX(Soja!$E33:$Z33,MIN(J$6-$G$3,22))&lt;&gt;""),Soja!$E33:INDEX(Soja!$E33:$Z33,MIN(J$6-$G$3,22))),0)))))</f>
        <v>0</v>
      </c>
      <c r="K35" s="27" t="n">
        <f aca="false">IF(COUNT(Soja!$E33:$Z33)=0,0,MAX(0,IF((K$6-$E$3)&lt;1,0,IFERROR(LOOKUP(2,1/(Soja!$E33:INDEX(Soja!$E33:$Z33,MIN(K$6-$E$3,22))&lt;&gt;""),Soja!$E33:INDEX(Soja!$E33:$Z33,MIN(K$6-$E$3,22))),0))-IF($G$2,0,IF((K$6-$G$3)&lt;1,0,IFERROR(LOOKUP(2,1/(Soja!$E33:INDEX(Soja!$E33:$Z33,MIN(K$6-$G$3,22))&lt;&gt;""),Soja!$E33:INDEX(Soja!$E33:$Z33,MIN(K$6-$G$3,22))),0)))))</f>
        <v>0</v>
      </c>
      <c r="L35" s="27" t="n">
        <f aca="false">IF(COUNT(Soja!$E33:$Z33)=0,0,MAX(0,IF((L$6-$E$3)&lt;1,0,IFERROR(LOOKUP(2,1/(Soja!$E33:INDEX(Soja!$E33:$Z33,MIN(L$6-$E$3,22))&lt;&gt;""),Soja!$E33:INDEX(Soja!$E33:$Z33,MIN(L$6-$E$3,22))),0))-IF($G$2,0,IF((L$6-$G$3)&lt;1,0,IFERROR(LOOKUP(2,1/(Soja!$E33:INDEX(Soja!$E33:$Z33,MIN(L$6-$G$3,22))&lt;&gt;""),Soja!$E33:INDEX(Soja!$E33:$Z33,MIN(L$6-$G$3,22))),0)))))</f>
        <v>0</v>
      </c>
      <c r="M35" s="27" t="n">
        <f aca="false">IF(COUNT(Soja!$E33:$Z33)=0,0,MAX(0,IF((M$6-$E$3)&lt;1,0,IFERROR(LOOKUP(2,1/(Soja!$E33:INDEX(Soja!$E33:$Z33,MIN(M$6-$E$3,22))&lt;&gt;""),Soja!$E33:INDEX(Soja!$E33:$Z33,MIN(M$6-$E$3,22))),0))-IF($G$2,0,IF((M$6-$G$3)&lt;1,0,IFERROR(LOOKUP(2,1/(Soja!$E33:INDEX(Soja!$E33:$Z33,MIN(M$6-$G$3,22))&lt;&gt;""),Soja!$E33:INDEX(Soja!$E33:$Z33,MIN(M$6-$G$3,22))),0)))))</f>
        <v>0</v>
      </c>
      <c r="N35" s="27" t="n">
        <f aca="false">IF(COUNT(Soja!$E33:$Z33)=0,0,MAX(0,IF((N$6-$E$3)&lt;1,0,IFERROR(LOOKUP(2,1/(Soja!$E33:INDEX(Soja!$E33:$Z33,MIN(N$6-$E$3,22))&lt;&gt;""),Soja!$E33:INDEX(Soja!$E33:$Z33,MIN(N$6-$E$3,22))),0))-IF($G$2,0,IF((N$6-$G$3)&lt;1,0,IFERROR(LOOKUP(2,1/(Soja!$E33:INDEX(Soja!$E33:$Z33,MIN(N$6-$G$3,22))&lt;&gt;""),Soja!$E33:INDEX(Soja!$E33:$Z33,MIN(N$6-$G$3,22))),0)))))</f>
        <v>0</v>
      </c>
      <c r="O35" s="27" t="n">
        <f aca="false">IF(COUNT(Soja!$E33:$Z33)=0,0,MAX(0,IF((O$6-$E$3)&lt;1,0,IFERROR(LOOKUP(2,1/(Soja!$E33:INDEX(Soja!$E33:$Z33,MIN(O$6-$E$3,22))&lt;&gt;""),Soja!$E33:INDEX(Soja!$E33:$Z33,MIN(O$6-$E$3,22))),0))-IF($G$2,0,IF((O$6-$G$3)&lt;1,0,IFERROR(LOOKUP(2,1/(Soja!$E33:INDEX(Soja!$E33:$Z33,MIN(O$6-$G$3,22))&lt;&gt;""),Soja!$E33:INDEX(Soja!$E33:$Z33,MIN(O$6-$G$3,22))),0)))))</f>
        <v>0</v>
      </c>
      <c r="P35" s="27" t="n">
        <f aca="false">IF(COUNT(Soja!$E33:$Z33)=0,0,MAX(0,IF((P$6-$E$3)&lt;1,0,IFERROR(LOOKUP(2,1/(Soja!$E33:INDEX(Soja!$E33:$Z33,MIN(P$6-$E$3,22))&lt;&gt;""),Soja!$E33:INDEX(Soja!$E33:$Z33,MIN(P$6-$E$3,22))),0))-IF($G$2,0,IF((P$6-$G$3)&lt;1,0,IFERROR(LOOKUP(2,1/(Soja!$E33:INDEX(Soja!$E33:$Z33,MIN(P$6-$G$3,22))&lt;&gt;""),Soja!$E33:INDEX(Soja!$E33:$Z33,MIN(P$6-$G$3,22))),0)))))</f>
        <v>0</v>
      </c>
      <c r="Q35" s="27" t="n">
        <f aca="false">IF(COUNT(Soja!$E33:$Z33)=0,0,MAX(0,IF((Q$6-$E$3)&lt;1,0,IFERROR(LOOKUP(2,1/(Soja!$E33:INDEX(Soja!$E33:$Z33,MIN(Q$6-$E$3,22))&lt;&gt;""),Soja!$E33:INDEX(Soja!$E33:$Z33,MIN(Q$6-$E$3,22))),0))-IF($G$2,0,IF((Q$6-$G$3)&lt;1,0,IFERROR(LOOKUP(2,1/(Soja!$E33:INDEX(Soja!$E33:$Z33,MIN(Q$6-$G$3,22))&lt;&gt;""),Soja!$E33:INDEX(Soja!$E33:$Z33,MIN(Q$6-$G$3,22))),0)))))</f>
        <v>0</v>
      </c>
      <c r="R35" s="27" t="n">
        <f aca="false">IF(COUNT(Soja!$E33:$Z33)=0,0,MAX(0,IF((R$6-$E$3)&lt;1,0,IFERROR(LOOKUP(2,1/(Soja!$E33:INDEX(Soja!$E33:$Z33,MIN(R$6-$E$3,22))&lt;&gt;""),Soja!$E33:INDEX(Soja!$E33:$Z33,MIN(R$6-$E$3,22))),0))-IF($G$2,0,IF((R$6-$G$3)&lt;1,0,IFERROR(LOOKUP(2,1/(Soja!$E33:INDEX(Soja!$E33:$Z33,MIN(R$6-$G$3,22))&lt;&gt;""),Soja!$E33:INDEX(Soja!$E33:$Z33,MIN(R$6-$G$3,22))),0)))))</f>
        <v>0</v>
      </c>
      <c r="S35" s="27" t="n">
        <f aca="false">IF(COUNT(Soja!$E33:$Z33)=0,0,MAX(0,IF((S$6-$E$3)&lt;1,0,IFERROR(LOOKUP(2,1/(Soja!$E33:INDEX(Soja!$E33:$Z33,MIN(S$6-$E$3,22))&lt;&gt;""),Soja!$E33:INDEX(Soja!$E33:$Z33,MIN(S$6-$E$3,22))),0))-IF($G$2,0,IF((S$6-$G$3)&lt;1,0,IFERROR(LOOKUP(2,1/(Soja!$E33:INDEX(Soja!$E33:$Z33,MIN(S$6-$G$3,22))&lt;&gt;""),Soja!$E33:INDEX(Soja!$E33:$Z33,MIN(S$6-$G$3,22))),0)))))</f>
        <v>0</v>
      </c>
      <c r="T35" s="27" t="n">
        <f aca="false">IF(COUNT(Soja!$E33:$Z33)=0,0,MAX(0,IF((T$6-$E$3)&lt;1,0,IFERROR(LOOKUP(2,1/(Soja!$E33:INDEX(Soja!$E33:$Z33,MIN(T$6-$E$3,22))&lt;&gt;""),Soja!$E33:INDEX(Soja!$E33:$Z33,MIN(T$6-$E$3,22))),0))-IF($G$2,0,IF((T$6-$G$3)&lt;1,0,IFERROR(LOOKUP(2,1/(Soja!$E33:INDEX(Soja!$E33:$Z33,MIN(T$6-$G$3,22))&lt;&gt;""),Soja!$E33:INDEX(Soja!$E33:$Z33,MIN(T$6-$G$3,22))),0)))))</f>
        <v>0</v>
      </c>
      <c r="U35" s="27" t="n">
        <f aca="false">IF(COUNT(Soja!$E33:$Z33)=0,0,MAX(0,IF((U$6-$E$3)&lt;1,0,IFERROR(LOOKUP(2,1/(Soja!$E33:INDEX(Soja!$E33:$Z33,MIN(U$6-$E$3,22))&lt;&gt;""),Soja!$E33:INDEX(Soja!$E33:$Z33,MIN(U$6-$E$3,22))),0))-IF($G$2,0,IF((U$6-$G$3)&lt;1,0,IFERROR(LOOKUP(2,1/(Soja!$E33:INDEX(Soja!$E33:$Z33,MIN(U$6-$G$3,22))&lt;&gt;""),Soja!$E33:INDEX(Soja!$E33:$Z33,MIN(U$6-$G$3,22))),0)))))</f>
        <v>0</v>
      </c>
      <c r="V35" s="27" t="n">
        <f aca="false">IF(COUNT(Soja!$E33:$Z33)=0,0,MAX(0,IF((V$6-$E$3)&lt;1,0,IFERROR(LOOKUP(2,1/(Soja!$E33:INDEX(Soja!$E33:$Z33,MIN(V$6-$E$3,22))&lt;&gt;""),Soja!$E33:INDEX(Soja!$E33:$Z33,MIN(V$6-$E$3,22))),0))-IF($G$2,0,IF((V$6-$G$3)&lt;1,0,IFERROR(LOOKUP(2,1/(Soja!$E33:INDEX(Soja!$E33:$Z33,MIN(V$6-$G$3,22))&lt;&gt;""),Soja!$E33:INDEX(Soja!$E33:$Z33,MIN(V$6-$G$3,22))),0)))))</f>
        <v>0</v>
      </c>
      <c r="W35" s="27" t="n">
        <f aca="false">IF(COUNT(Soja!$E33:$Z33)=0,0,MAX(0,IF((W$6-$E$3)&lt;1,0,IFERROR(LOOKUP(2,1/(Soja!$E33:INDEX(Soja!$E33:$Z33,MIN(W$6-$E$3,22))&lt;&gt;""),Soja!$E33:INDEX(Soja!$E33:$Z33,MIN(W$6-$E$3,22))),0))-IF($G$2,0,IF((W$6-$G$3)&lt;1,0,IFERROR(LOOKUP(2,1/(Soja!$E33:INDEX(Soja!$E33:$Z33,MIN(W$6-$G$3,22))&lt;&gt;""),Soja!$E33:INDEX(Soja!$E33:$Z33,MIN(W$6-$G$3,22))),0)))))</f>
        <v>0</v>
      </c>
      <c r="X35" s="27" t="n">
        <f aca="false">IF(COUNT(Soja!$E33:$Z33)=0,0,MAX(0,IF((X$6-$E$3)&lt;1,0,IFERROR(LOOKUP(2,1/(Soja!$E33:INDEX(Soja!$E33:$Z33,MIN(X$6-$E$3,22))&lt;&gt;""),Soja!$E33:INDEX(Soja!$E33:$Z33,MIN(X$6-$E$3,22))),0))-IF($G$2,0,IF((X$6-$G$3)&lt;1,0,IFERROR(LOOKUP(2,1/(Soja!$E33:INDEX(Soja!$E33:$Z33,MIN(X$6-$G$3,22))&lt;&gt;""),Soja!$E33:INDEX(Soja!$E33:$Z33,MIN(X$6-$G$3,22))),0)))))</f>
        <v>0</v>
      </c>
      <c r="Y35" s="27" t="n">
        <f aca="false">IF(COUNT(Soja!$E33:$Z33)=0,0,MAX(0,IF((Y$6-$E$3)&lt;1,0,IFERROR(LOOKUP(2,1/(Soja!$E33:INDEX(Soja!$E33:$Z33,MIN(Y$6-$E$3,22))&lt;&gt;""),Soja!$E33:INDEX(Soja!$E33:$Z33,MIN(Y$6-$E$3,22))),0))-IF($G$2,0,IF((Y$6-$G$3)&lt;1,0,IFERROR(LOOKUP(2,1/(Soja!$E33:INDEX(Soja!$E33:$Z33,MIN(Y$6-$G$3,22))&lt;&gt;""),Soja!$E33:INDEX(Soja!$E33:$Z33,MIN(Y$6-$G$3,22))),0)))))</f>
        <v>0</v>
      </c>
      <c r="Z35" s="27" t="n">
        <f aca="false">IF(COUNT(Soja!$E33:$Z33)=0,0,MAX(0,IF((Z$6-$E$3)&lt;1,0,IFERROR(LOOKUP(2,1/(Soja!$E33:INDEX(Soja!$E33:$Z33,MIN(Z$6-$E$3,22))&lt;&gt;""),Soja!$E33:INDEX(Soja!$E33:$Z33,MIN(Z$6-$E$3,22))),0))-IF($G$2,0,IF((Z$6-$G$3)&lt;1,0,IFERROR(LOOKUP(2,1/(Soja!$E33:INDEX(Soja!$E33:$Z33,MIN(Z$6-$G$3,22))&lt;&gt;""),Soja!$E33:INDEX(Soja!$E33:$Z33,MIN(Z$6-$G$3,22))),0)))))</f>
        <v>0</v>
      </c>
      <c r="AA35" s="27" t="n">
        <f aca="false">IF(COUNT(Soja!$E33:$Z33)=0,0,MAX(0,IF((AA$6-$E$3)&lt;1,0,IFERROR(LOOKUP(2,1/(Soja!$E33:INDEX(Soja!$E33:$Z33,MIN(AA$6-$E$3,22))&lt;&gt;""),Soja!$E33:INDEX(Soja!$E33:$Z33,MIN(AA$6-$E$3,22))),0))-IF($G$2,0,IF((AA$6-$G$3)&lt;1,0,IFERROR(LOOKUP(2,1/(Soja!$E33:INDEX(Soja!$E33:$Z33,MIN(AA$6-$G$3,22))&lt;&gt;""),Soja!$E33:INDEX(Soja!$E33:$Z33,MIN(AA$6-$G$3,22))),0)))))</f>
        <v>0</v>
      </c>
      <c r="AB35" s="27" t="n">
        <f aca="false">IF(COUNT(Soja!$E33:$Z33)=0,0,MAX(0,IF((AB$6-$E$3)&lt;1,0,IFERROR(LOOKUP(2,1/(Soja!$E33:INDEX(Soja!$E33:$Z33,MIN(AB$6-$E$3,22))&lt;&gt;""),Soja!$E33:INDEX(Soja!$E33:$Z33,MIN(AB$6-$E$3,22))),0))-IF($G$2,0,IF((AB$6-$G$3)&lt;1,0,IFERROR(LOOKUP(2,1/(Soja!$E33:INDEX(Soja!$E33:$Z33,MIN(AB$6-$G$3,22))&lt;&gt;""),Soja!$E33:INDEX(Soja!$E33:$Z33,MIN(AB$6-$G$3,22))),0)))))</f>
        <v>0</v>
      </c>
      <c r="AC35" s="27" t="n">
        <f aca="false">IF(COUNT(Soja!$E33:$Z33)=0,0,MAX(0,IF((AC$6-$E$3)&lt;1,0,IFERROR(LOOKUP(2,1/(Soja!$E33:INDEX(Soja!$E33:$Z33,MIN(AC$6-$E$3,22))&lt;&gt;""),Soja!$E33:INDEX(Soja!$E33:$Z33,MIN(AC$6-$E$3,22))),0))-IF($G$2,0,IF((AC$6-$G$3)&lt;1,0,IFERROR(LOOKUP(2,1/(Soja!$E33:INDEX(Soja!$E33:$Z33,MIN(AC$6-$G$3,22))&lt;&gt;""),Soja!$E33:INDEX(Soja!$E33:$Z33,MIN(AC$6-$G$3,22))),0)))))</f>
        <v>0</v>
      </c>
      <c r="AD35" s="27" t="n">
        <f aca="false">IF(COUNT(Soja!$E33:$Z33)=0,0,MAX(0,IF((AD$6-$E$3)&lt;1,0,IFERROR(LOOKUP(2,1/(Soja!$E33:INDEX(Soja!$E33:$Z33,MIN(AD$6-$E$3,22))&lt;&gt;""),Soja!$E33:INDEX(Soja!$E33:$Z33,MIN(AD$6-$E$3,22))),0))-IF($G$2,0,IF((AD$6-$G$3)&lt;1,0,IFERROR(LOOKUP(2,1/(Soja!$E33:INDEX(Soja!$E33:$Z33,MIN(AD$6-$G$3,22))&lt;&gt;""),Soja!$E33:INDEX(Soja!$E33:$Z33,MIN(AD$6-$G$3,22))),0)))))</f>
        <v>0</v>
      </c>
      <c r="AE35" s="27" t="n">
        <f aca="false">IF(COUNT(Soja!$E33:$Z33)=0,0,MAX(0,IF((AE$6-$E$3)&lt;1,0,IFERROR(LOOKUP(2,1/(Soja!$E33:INDEX(Soja!$E33:$Z33,MIN(AE$6-$E$3,22))&lt;&gt;""),Soja!$E33:INDEX(Soja!$E33:$Z33,MIN(AE$6-$E$3,22))),0))-IF($G$2,0,IF((AE$6-$G$3)&lt;1,0,IFERROR(LOOKUP(2,1/(Soja!$E33:INDEX(Soja!$E33:$Z33,MIN(AE$6-$G$3,22))&lt;&gt;""),Soja!$E33:INDEX(Soja!$E33:$Z33,MIN(AE$6-$G$3,22))),0)))))</f>
        <v>0</v>
      </c>
      <c r="AF35" s="27" t="n">
        <f aca="false">IF(COUNT(Soja!$E33:$Z33)=0,0,MAX(0,IF((AF$6-$E$3)&lt;1,0,IFERROR(LOOKUP(2,1/(Soja!$E33:INDEX(Soja!$E33:$Z33,MIN(AF$6-$E$3,22))&lt;&gt;""),Soja!$E33:INDEX(Soja!$E33:$Z33,MIN(AF$6-$E$3,22))),0))-IF($G$2,0,IF((AF$6-$G$3)&lt;1,0,IFERROR(LOOKUP(2,1/(Soja!$E33:INDEX(Soja!$E33:$Z33,MIN(AF$6-$G$3,22))&lt;&gt;""),Soja!$E33:INDEX(Soja!$E33:$Z33,MIN(AF$6-$G$3,22))),0)))))</f>
        <v>0</v>
      </c>
      <c r="AG35" s="27" t="n">
        <f aca="false">IF(COUNT(Soja!$E33:$Z33)=0,0,MAX(0,IF((AG$6-$E$3)&lt;1,0,IFERROR(LOOKUP(2,1/(Soja!$E33:INDEX(Soja!$E33:$Z33,MIN(AG$6-$E$3,22))&lt;&gt;""),Soja!$E33:INDEX(Soja!$E33:$Z33,MIN(AG$6-$E$3,22))),0))-IF($G$2,0,IF((AG$6-$G$3)&lt;1,0,IFERROR(LOOKUP(2,1/(Soja!$E33:INDEX(Soja!$E33:$Z33,MIN(AG$6-$G$3,22))&lt;&gt;""),Soja!$E33:INDEX(Soja!$E33:$Z33,MIN(AG$6-$G$3,22))),0)))))</f>
        <v>0</v>
      </c>
      <c r="AH35" s="27" t="n">
        <f aca="false">IF(COUNT(Soja!$E33:$Z33)=0,0,MAX(0,IF((AH$6-$E$3)&lt;1,0,IFERROR(LOOKUP(2,1/(Soja!$E33:INDEX(Soja!$E33:$Z33,MIN(AH$6-$E$3,22))&lt;&gt;""),Soja!$E33:INDEX(Soja!$E33:$Z33,MIN(AH$6-$E$3,22))),0))-IF($G$2,0,IF((AH$6-$G$3)&lt;1,0,IFERROR(LOOKUP(2,1/(Soja!$E33:INDEX(Soja!$E33:$Z33,MIN(AH$6-$G$3,22))&lt;&gt;""),Soja!$E33:INDEX(Soja!$E33:$Z33,MIN(AH$6-$G$3,22))),0)))))</f>
        <v>0</v>
      </c>
      <c r="AI35" s="27" t="n">
        <f aca="false">IF(COUNT(Soja!$E33:$Z33)=0,0,MAX(0,IF((AI$6-$E$3)&lt;1,0,IFERROR(LOOKUP(2,1/(Soja!$E33:INDEX(Soja!$E33:$Z33,MIN(AI$6-$E$3,22))&lt;&gt;""),Soja!$E33:INDEX(Soja!$E33:$Z33,MIN(AI$6-$E$3,22))),0))-IF($G$2,0,IF((AI$6-$G$3)&lt;1,0,IFERROR(LOOKUP(2,1/(Soja!$E33:INDEX(Soja!$E33:$Z33,MIN(AI$6-$G$3,22))&lt;&gt;""),Soja!$E33:INDEX(Soja!$E33:$Z33,MIN(AI$6-$G$3,22))),0)))))</f>
        <v>0</v>
      </c>
      <c r="AJ35" s="27" t="n">
        <f aca="false">IF(COUNT(Soja!$E33:$Z33)=0,0,MAX(0,IF((AJ$6-$E$3)&lt;1,0,IFERROR(LOOKUP(2,1/(Soja!$E33:INDEX(Soja!$E33:$Z33,MIN(AJ$6-$E$3,22))&lt;&gt;""),Soja!$E33:INDEX(Soja!$E33:$Z33,MIN(AJ$6-$E$3,22))),0))-IF($G$2,0,IF((AJ$6-$G$3)&lt;1,0,IFERROR(LOOKUP(2,1/(Soja!$E33:INDEX(Soja!$E33:$Z33,MIN(AJ$6-$G$3,22))&lt;&gt;""),Soja!$E33:INDEX(Soja!$E33:$Z33,MIN(AJ$6-$G$3,22))),0)))))</f>
        <v>0</v>
      </c>
      <c r="AK35" s="27" t="n">
        <f aca="false">IF(COUNT(Soja!$E33:$Z33)=0,0,MAX(0,IF((AK$6-$E$3)&lt;1,0,IFERROR(LOOKUP(2,1/(Soja!$E33:INDEX(Soja!$E33:$Z33,MIN(AK$6-$E$3,22))&lt;&gt;""),Soja!$E33:INDEX(Soja!$E33:$Z33,MIN(AK$6-$E$3,22))),0))-IF($G$2,0,IF((AK$6-$G$3)&lt;1,0,IFERROR(LOOKUP(2,1/(Soja!$E33:INDEX(Soja!$E33:$Z33,MIN(AK$6-$G$3,22))&lt;&gt;""),Soja!$E33:INDEX(Soja!$E33:$Z33,MIN(AK$6-$G$3,22))),0)))))</f>
        <v>0</v>
      </c>
      <c r="AL35" s="27" t="n">
        <f aca="false">IF(COUNT(Soja!$E33:$Z33)=0,0,MAX(0,IF((AL$6-$E$3)&lt;1,0,IFERROR(LOOKUP(2,1/(Soja!$E33:INDEX(Soja!$E33:$Z33,MIN(AL$6-$E$3,22))&lt;&gt;""),Soja!$E33:INDEX(Soja!$E33:$Z33,MIN(AL$6-$E$3,22))),0))-IF($G$2,0,IF((AL$6-$G$3)&lt;1,0,IFERROR(LOOKUP(2,1/(Soja!$E33:INDEX(Soja!$E33:$Z33,MIN(AL$6-$G$3,22))&lt;&gt;""),Soja!$E33:INDEX(Soja!$E33:$Z33,MIN(AL$6-$G$3,22))),0)))))</f>
        <v>0</v>
      </c>
      <c r="AM35" s="27" t="n">
        <f aca="false">IF(COUNT(Soja!$E33:$Z33)=0,0,MAX(0,IF((AM$6-$E$3)&lt;1,0,IFERROR(LOOKUP(2,1/(Soja!$E33:INDEX(Soja!$E33:$Z33,MIN(AM$6-$E$3,22))&lt;&gt;""),Soja!$E33:INDEX(Soja!$E33:$Z33,MIN(AM$6-$E$3,22))),0))-IF($G$2,0,IF((AM$6-$G$3)&lt;1,0,IFERROR(LOOKUP(2,1/(Soja!$E33:INDEX(Soja!$E33:$Z33,MIN(AM$6-$G$3,22))&lt;&gt;""),Soja!$E33:INDEX(Soja!$E33:$Z33,MIN(AM$6-$G$3,22))),0)))))</f>
        <v>0</v>
      </c>
      <c r="AN35" s="27" t="n">
        <f aca="false">IF(COUNT(Soja!$E33:$Z33)=0,0,MAX(0,IF((AN$6-$E$3)&lt;1,0,IFERROR(LOOKUP(2,1/(Soja!$E33:INDEX(Soja!$E33:$Z33,MIN(AN$6-$E$3,22))&lt;&gt;""),Soja!$E33:INDEX(Soja!$E33:$Z33,MIN(AN$6-$E$3,22))),0))-IF($G$2,0,IF((AN$6-$G$3)&lt;1,0,IFERROR(LOOKUP(2,1/(Soja!$E33:INDEX(Soja!$E33:$Z33,MIN(AN$6-$G$3,22))&lt;&gt;""),Soja!$E33:INDEX(Soja!$E33:$Z33,MIN(AN$6-$G$3,22))),0)))))</f>
        <v>0</v>
      </c>
      <c r="AO35" s="27" t="n">
        <f aca="false">IF(COUNT(Soja!$E33:$Z33)=0,0,MAX(0,IF((AO$6-$E$3)&lt;1,0,IFERROR(LOOKUP(2,1/(Soja!$E33:INDEX(Soja!$E33:$Z33,MIN(AO$6-$E$3,22))&lt;&gt;""),Soja!$E33:INDEX(Soja!$E33:$Z33,MIN(AO$6-$E$3,22))),0))-IF($G$2,0,IF((AO$6-$G$3)&lt;1,0,IFERROR(LOOKUP(2,1/(Soja!$E33:INDEX(Soja!$E33:$Z33,MIN(AO$6-$G$3,22))&lt;&gt;""),Soja!$E33:INDEX(Soja!$E33:$Z33,MIN(AO$6-$G$3,22))),0)))))</f>
        <v>0</v>
      </c>
      <c r="AP35" s="27" t="n">
        <f aca="false">IF(COUNT(Soja!$E33:$Z33)=0,0,MAX(0,IF((AP$6-$E$3)&lt;1,0,IFERROR(LOOKUP(2,1/(Soja!$E33:INDEX(Soja!$E33:$Z33,MIN(AP$6-$E$3,22))&lt;&gt;""),Soja!$E33:INDEX(Soja!$E33:$Z33,MIN(AP$6-$E$3,22))),0))-IF($G$2,0,IF((AP$6-$G$3)&lt;1,0,IFERROR(LOOKUP(2,1/(Soja!$E33:INDEX(Soja!$E33:$Z33,MIN(AP$6-$G$3,22))&lt;&gt;""),Soja!$E33:INDEX(Soja!$E33:$Z33,MIN(AP$6-$G$3,22))),0)))))</f>
        <v>0</v>
      </c>
      <c r="AQ35" s="27" t="n">
        <f aca="false">IF(COUNT(Soja!$E33:$Z33)=0,0,MAX(0,IF((AQ$6-$E$3)&lt;1,0,IFERROR(LOOKUP(2,1/(Soja!$E33:INDEX(Soja!$E33:$Z33,MIN(AQ$6-$E$3,22))&lt;&gt;""),Soja!$E33:INDEX(Soja!$E33:$Z33,MIN(AQ$6-$E$3,22))),0))-IF($G$2,0,IF((AQ$6-$G$3)&lt;1,0,IFERROR(LOOKUP(2,1/(Soja!$E33:INDEX(Soja!$E33:$Z33,MIN(AQ$6-$G$3,22))&lt;&gt;""),Soja!$E33:INDEX(Soja!$E33:$Z33,MIN(AQ$6-$G$3,22))),0)))))</f>
        <v>0</v>
      </c>
      <c r="AR35" s="27" t="n">
        <f aca="false">IF(COUNT(Soja!$E33:$Z33)=0,0,MAX(0,IF((AR$6-$E$3)&lt;1,0,IFERROR(LOOKUP(2,1/(Soja!$E33:INDEX(Soja!$E33:$Z33,MIN(AR$6-$E$3,22))&lt;&gt;""),Soja!$E33:INDEX(Soja!$E33:$Z33,MIN(AR$6-$E$3,22))),0))-IF($G$2,0,IF((AR$6-$G$3)&lt;1,0,IFERROR(LOOKUP(2,1/(Soja!$E33:INDEX(Soja!$E33:$Z33,MIN(AR$6-$G$3,22))&lt;&gt;""),Soja!$E33:INDEX(Soja!$E33:$Z33,MIN(AR$6-$G$3,22))),0)))))</f>
        <v>0</v>
      </c>
      <c r="AS35" s="27" t="n">
        <f aca="false">IF(COUNT(Soja!$E33:$Z33)=0,0,MAX(0,IF((AS$6-$E$3)&lt;1,0,IFERROR(LOOKUP(2,1/(Soja!$E33:INDEX(Soja!$E33:$Z33,MIN(AS$6-$E$3,22))&lt;&gt;""),Soja!$E33:INDEX(Soja!$E33:$Z33,MIN(AS$6-$E$3,22))),0))-IF($G$2,0,IF((AS$6-$G$3)&lt;1,0,IFERROR(LOOKUP(2,1/(Soja!$E33:INDEX(Soja!$E33:$Z33,MIN(AS$6-$G$3,22))&lt;&gt;""),Soja!$E33:INDEX(Soja!$E33:$Z33,MIN(AS$6-$G$3,22))),0)))))</f>
        <v>0</v>
      </c>
      <c r="AT35" s="27" t="n">
        <f aca="false">IF(COUNT(Soja!$E33:$Z33)=0,0,MAX(0,IF((AT$6-$E$3)&lt;1,0,IFERROR(LOOKUP(2,1/(Soja!$E33:INDEX(Soja!$E33:$Z33,MIN(AT$6-$E$3,22))&lt;&gt;""),Soja!$E33:INDEX(Soja!$E33:$Z33,MIN(AT$6-$E$3,22))),0))-IF($G$2,0,IF((AT$6-$G$3)&lt;1,0,IFERROR(LOOKUP(2,1/(Soja!$E33:INDEX(Soja!$E33:$Z33,MIN(AT$6-$G$3,22))&lt;&gt;""),Soja!$E33:INDEX(Soja!$E33:$Z33,MIN(AT$6-$G$3,22))),0)))))</f>
        <v>0</v>
      </c>
      <c r="AU35" s="27" t="n">
        <f aca="false">IF(COUNT(Soja!$E33:$Z33)=0,0,MAX(0,IF((AU$6-$E$3)&lt;1,0,IFERROR(LOOKUP(2,1/(Soja!$E33:INDEX(Soja!$E33:$Z33,MIN(AU$6-$E$3,22))&lt;&gt;""),Soja!$E33:INDEX(Soja!$E33:$Z33,MIN(AU$6-$E$3,22))),0))-IF($G$2,0,IF((AU$6-$G$3)&lt;1,0,IFERROR(LOOKUP(2,1/(Soja!$E33:INDEX(Soja!$E33:$Z33,MIN(AU$6-$G$3,22))&lt;&gt;""),Soja!$E33:INDEX(Soja!$E33:$Z33,MIN(AU$6-$G$3,22))),0)))))</f>
        <v>0</v>
      </c>
      <c r="AV35" s="27" t="n">
        <f aca="false">IF(COUNT(Soja!$E33:$Z33)=0,0,MAX(0,IF((AV$6-$E$3)&lt;1,0,IFERROR(LOOKUP(2,1/(Soja!$E33:INDEX(Soja!$E33:$Z33,MIN(AV$6-$E$3,22))&lt;&gt;""),Soja!$E33:INDEX(Soja!$E33:$Z33,MIN(AV$6-$E$3,22))),0))-IF($G$2,0,IF((AV$6-$G$3)&lt;1,0,IFERROR(LOOKUP(2,1/(Soja!$E33:INDEX(Soja!$E33:$Z33,MIN(AV$6-$G$3,22))&lt;&gt;""),Soja!$E33:INDEX(Soja!$E33:$Z33,MIN(AV$6-$G$3,22))),0)))))</f>
        <v>0</v>
      </c>
      <c r="AW35" s="27" t="n">
        <f aca="false">IF(COUNT(Soja!$E33:$Z33)=0,0,MAX(0,IF((AW$6-$E$3)&lt;1,0,IFERROR(LOOKUP(2,1/(Soja!$E33:INDEX(Soja!$E33:$Z33,MIN(AW$6-$E$3,22))&lt;&gt;""),Soja!$E33:INDEX(Soja!$E33:$Z33,MIN(AW$6-$E$3,22))),0))-IF($G$2,0,IF((AW$6-$G$3)&lt;1,0,IFERROR(LOOKUP(2,1/(Soja!$E33:INDEX(Soja!$E33:$Z33,MIN(AW$6-$G$3,22))&lt;&gt;""),Soja!$E33:INDEX(Soja!$E33:$Z33,MIN(AW$6-$G$3,22))),0)))))</f>
        <v>0</v>
      </c>
      <c r="AX35" s="27" t="n">
        <f aca="false">IF(COUNT(Soja!$E33:$Z33)=0,0,MAX(0,IF((AX$6-$E$3)&lt;1,0,IFERROR(LOOKUP(2,1/(Soja!$E33:INDEX(Soja!$E33:$Z33,MIN(AX$6-$E$3,22))&lt;&gt;""),Soja!$E33:INDEX(Soja!$E33:$Z33,MIN(AX$6-$E$3,22))),0))-IF($G$2,0,IF((AX$6-$G$3)&lt;1,0,IFERROR(LOOKUP(2,1/(Soja!$E33:INDEX(Soja!$E33:$Z33,MIN(AX$6-$G$3,22))&lt;&gt;""),Soja!$E33:INDEX(Soja!$E33:$Z33,MIN(AX$6-$G$3,22))),0)))))</f>
        <v>0</v>
      </c>
      <c r="AY35" s="27" t="n">
        <f aca="false">IF(COUNT(Soja!$E33:$Z33)=0,0,MAX(0,IF((AY$6-$E$3)&lt;1,0,IFERROR(LOOKUP(2,1/(Soja!$E33:INDEX(Soja!$E33:$Z33,MIN(AY$6-$E$3,22))&lt;&gt;""),Soja!$E33:INDEX(Soja!$E33:$Z33,MIN(AY$6-$E$3,22))),0))-IF($G$2,0,IF((AY$6-$G$3)&lt;1,0,IFERROR(LOOKUP(2,1/(Soja!$E33:INDEX(Soja!$E33:$Z33,MIN(AY$6-$G$3,22))&lt;&gt;""),Soja!$E33:INDEX(Soja!$E33:$Z33,MIN(AY$6-$G$3,22))),0)))))</f>
        <v>0</v>
      </c>
      <c r="AZ35" s="27" t="n">
        <f aca="false">IF(COUNT(Soja!$E33:$Z33)=0,0,MAX(0,IF((AZ$6-$E$3)&lt;1,0,IFERROR(LOOKUP(2,1/(Soja!$E33:INDEX(Soja!$E33:$Z33,MIN(AZ$6-$E$3,22))&lt;&gt;""),Soja!$E33:INDEX(Soja!$E33:$Z33,MIN(AZ$6-$E$3,22))),0))-IF($G$2,0,IF((AZ$6-$G$3)&lt;1,0,IFERROR(LOOKUP(2,1/(Soja!$E33:INDEX(Soja!$E33:$Z33,MIN(AZ$6-$G$3,22))&lt;&gt;""),Soja!$E33:INDEX(Soja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IF(COUNT(Soja!$E34:$Z34)&gt;0,N(Soja!$D34),0)</f>
        <v>0</v>
      </c>
      <c r="E36" s="27" t="n">
        <f aca="false">IF(COUNT(Soja!$E34:$Z34)=0,0,MAX(0,IF((E$6-$E$3)&lt;1,0,IFERROR(LOOKUP(2,1/(Soja!$E34:INDEX(Soja!$E34:$Z34,MIN(E$6-$E$3,22))&lt;&gt;""),Soja!$E34:INDEX(Soja!$E34:$Z34,MIN(E$6-$E$3,22))),0))-IF($G$2,0,IF((E$6-$G$3)&lt;1,0,IFERROR(LOOKUP(2,1/(Soja!$E34:INDEX(Soja!$E34:$Z34,MIN(E$6-$G$3,22))&lt;&gt;""),Soja!$E34:INDEX(Soja!$E34:$Z34,MIN(E$6-$G$3,22))),0)))))</f>
        <v>0</v>
      </c>
      <c r="F36" s="27" t="n">
        <f aca="false">IF(COUNT(Soja!$E34:$Z34)=0,0,MAX(0,IF((F$6-$E$3)&lt;1,0,IFERROR(LOOKUP(2,1/(Soja!$E34:INDEX(Soja!$E34:$Z34,MIN(F$6-$E$3,22))&lt;&gt;""),Soja!$E34:INDEX(Soja!$E34:$Z34,MIN(F$6-$E$3,22))),0))-IF($G$2,0,IF((F$6-$G$3)&lt;1,0,IFERROR(LOOKUP(2,1/(Soja!$E34:INDEX(Soja!$E34:$Z34,MIN(F$6-$G$3,22))&lt;&gt;""),Soja!$E34:INDEX(Soja!$E34:$Z34,MIN(F$6-$G$3,22))),0)))))</f>
        <v>0</v>
      </c>
      <c r="G36" s="27" t="n">
        <f aca="false">IF(COUNT(Soja!$E34:$Z34)=0,0,MAX(0,IF((G$6-$E$3)&lt;1,0,IFERROR(LOOKUP(2,1/(Soja!$E34:INDEX(Soja!$E34:$Z34,MIN(G$6-$E$3,22))&lt;&gt;""),Soja!$E34:INDEX(Soja!$E34:$Z34,MIN(G$6-$E$3,22))),0))-IF($G$2,0,IF((G$6-$G$3)&lt;1,0,IFERROR(LOOKUP(2,1/(Soja!$E34:INDEX(Soja!$E34:$Z34,MIN(G$6-$G$3,22))&lt;&gt;""),Soja!$E34:INDEX(Soja!$E34:$Z34,MIN(G$6-$G$3,22))),0)))))</f>
        <v>0</v>
      </c>
      <c r="H36" s="27" t="n">
        <f aca="false">IF(COUNT(Soja!$E34:$Z34)=0,0,MAX(0,IF((H$6-$E$3)&lt;1,0,IFERROR(LOOKUP(2,1/(Soja!$E34:INDEX(Soja!$E34:$Z34,MIN(H$6-$E$3,22))&lt;&gt;""),Soja!$E34:INDEX(Soja!$E34:$Z34,MIN(H$6-$E$3,22))),0))-IF($G$2,0,IF((H$6-$G$3)&lt;1,0,IFERROR(LOOKUP(2,1/(Soja!$E34:INDEX(Soja!$E34:$Z34,MIN(H$6-$G$3,22))&lt;&gt;""),Soja!$E34:INDEX(Soja!$E34:$Z34,MIN(H$6-$G$3,22))),0)))))</f>
        <v>0</v>
      </c>
      <c r="I36" s="27" t="n">
        <f aca="false">IF(COUNT(Soja!$E34:$Z34)=0,0,MAX(0,IF((I$6-$E$3)&lt;1,0,IFERROR(LOOKUP(2,1/(Soja!$E34:INDEX(Soja!$E34:$Z34,MIN(I$6-$E$3,22))&lt;&gt;""),Soja!$E34:INDEX(Soja!$E34:$Z34,MIN(I$6-$E$3,22))),0))-IF($G$2,0,IF((I$6-$G$3)&lt;1,0,IFERROR(LOOKUP(2,1/(Soja!$E34:INDEX(Soja!$E34:$Z34,MIN(I$6-$G$3,22))&lt;&gt;""),Soja!$E34:INDEX(Soja!$E34:$Z34,MIN(I$6-$G$3,22))),0)))))</f>
        <v>0</v>
      </c>
      <c r="J36" s="27" t="n">
        <f aca="false">IF(COUNT(Soja!$E34:$Z34)=0,0,MAX(0,IF((J$6-$E$3)&lt;1,0,IFERROR(LOOKUP(2,1/(Soja!$E34:INDEX(Soja!$E34:$Z34,MIN(J$6-$E$3,22))&lt;&gt;""),Soja!$E34:INDEX(Soja!$E34:$Z34,MIN(J$6-$E$3,22))),0))-IF($G$2,0,IF((J$6-$G$3)&lt;1,0,IFERROR(LOOKUP(2,1/(Soja!$E34:INDEX(Soja!$E34:$Z34,MIN(J$6-$G$3,22))&lt;&gt;""),Soja!$E34:INDEX(Soja!$E34:$Z34,MIN(J$6-$G$3,22))),0)))))</f>
        <v>0</v>
      </c>
      <c r="K36" s="27" t="n">
        <f aca="false">IF(COUNT(Soja!$E34:$Z34)=0,0,MAX(0,IF((K$6-$E$3)&lt;1,0,IFERROR(LOOKUP(2,1/(Soja!$E34:INDEX(Soja!$E34:$Z34,MIN(K$6-$E$3,22))&lt;&gt;""),Soja!$E34:INDEX(Soja!$E34:$Z34,MIN(K$6-$E$3,22))),0))-IF($G$2,0,IF((K$6-$G$3)&lt;1,0,IFERROR(LOOKUP(2,1/(Soja!$E34:INDEX(Soja!$E34:$Z34,MIN(K$6-$G$3,22))&lt;&gt;""),Soja!$E34:INDEX(Soja!$E34:$Z34,MIN(K$6-$G$3,22))),0)))))</f>
        <v>0</v>
      </c>
      <c r="L36" s="27" t="n">
        <f aca="false">IF(COUNT(Soja!$E34:$Z34)=0,0,MAX(0,IF((L$6-$E$3)&lt;1,0,IFERROR(LOOKUP(2,1/(Soja!$E34:INDEX(Soja!$E34:$Z34,MIN(L$6-$E$3,22))&lt;&gt;""),Soja!$E34:INDEX(Soja!$E34:$Z34,MIN(L$6-$E$3,22))),0))-IF($G$2,0,IF((L$6-$G$3)&lt;1,0,IFERROR(LOOKUP(2,1/(Soja!$E34:INDEX(Soja!$E34:$Z34,MIN(L$6-$G$3,22))&lt;&gt;""),Soja!$E34:INDEX(Soja!$E34:$Z34,MIN(L$6-$G$3,22))),0)))))</f>
        <v>0</v>
      </c>
      <c r="M36" s="27" t="n">
        <f aca="false">IF(COUNT(Soja!$E34:$Z34)=0,0,MAX(0,IF((M$6-$E$3)&lt;1,0,IFERROR(LOOKUP(2,1/(Soja!$E34:INDEX(Soja!$E34:$Z34,MIN(M$6-$E$3,22))&lt;&gt;""),Soja!$E34:INDEX(Soja!$E34:$Z34,MIN(M$6-$E$3,22))),0))-IF($G$2,0,IF((M$6-$G$3)&lt;1,0,IFERROR(LOOKUP(2,1/(Soja!$E34:INDEX(Soja!$E34:$Z34,MIN(M$6-$G$3,22))&lt;&gt;""),Soja!$E34:INDEX(Soja!$E34:$Z34,MIN(M$6-$G$3,22))),0)))))</f>
        <v>0</v>
      </c>
      <c r="N36" s="27" t="n">
        <f aca="false">IF(COUNT(Soja!$E34:$Z34)=0,0,MAX(0,IF((N$6-$E$3)&lt;1,0,IFERROR(LOOKUP(2,1/(Soja!$E34:INDEX(Soja!$E34:$Z34,MIN(N$6-$E$3,22))&lt;&gt;""),Soja!$E34:INDEX(Soja!$E34:$Z34,MIN(N$6-$E$3,22))),0))-IF($G$2,0,IF((N$6-$G$3)&lt;1,0,IFERROR(LOOKUP(2,1/(Soja!$E34:INDEX(Soja!$E34:$Z34,MIN(N$6-$G$3,22))&lt;&gt;""),Soja!$E34:INDEX(Soja!$E34:$Z34,MIN(N$6-$G$3,22))),0)))))</f>
        <v>0</v>
      </c>
      <c r="O36" s="27" t="n">
        <f aca="false">IF(COUNT(Soja!$E34:$Z34)=0,0,MAX(0,IF((O$6-$E$3)&lt;1,0,IFERROR(LOOKUP(2,1/(Soja!$E34:INDEX(Soja!$E34:$Z34,MIN(O$6-$E$3,22))&lt;&gt;""),Soja!$E34:INDEX(Soja!$E34:$Z34,MIN(O$6-$E$3,22))),0))-IF($G$2,0,IF((O$6-$G$3)&lt;1,0,IFERROR(LOOKUP(2,1/(Soja!$E34:INDEX(Soja!$E34:$Z34,MIN(O$6-$G$3,22))&lt;&gt;""),Soja!$E34:INDEX(Soja!$E34:$Z34,MIN(O$6-$G$3,22))),0)))))</f>
        <v>0</v>
      </c>
      <c r="P36" s="27" t="n">
        <f aca="false">IF(COUNT(Soja!$E34:$Z34)=0,0,MAX(0,IF((P$6-$E$3)&lt;1,0,IFERROR(LOOKUP(2,1/(Soja!$E34:INDEX(Soja!$E34:$Z34,MIN(P$6-$E$3,22))&lt;&gt;""),Soja!$E34:INDEX(Soja!$E34:$Z34,MIN(P$6-$E$3,22))),0))-IF($G$2,0,IF((P$6-$G$3)&lt;1,0,IFERROR(LOOKUP(2,1/(Soja!$E34:INDEX(Soja!$E34:$Z34,MIN(P$6-$G$3,22))&lt;&gt;""),Soja!$E34:INDEX(Soja!$E34:$Z34,MIN(P$6-$G$3,22))),0)))))</f>
        <v>0</v>
      </c>
      <c r="Q36" s="27" t="n">
        <f aca="false">IF(COUNT(Soja!$E34:$Z34)=0,0,MAX(0,IF((Q$6-$E$3)&lt;1,0,IFERROR(LOOKUP(2,1/(Soja!$E34:INDEX(Soja!$E34:$Z34,MIN(Q$6-$E$3,22))&lt;&gt;""),Soja!$E34:INDEX(Soja!$E34:$Z34,MIN(Q$6-$E$3,22))),0))-IF($G$2,0,IF((Q$6-$G$3)&lt;1,0,IFERROR(LOOKUP(2,1/(Soja!$E34:INDEX(Soja!$E34:$Z34,MIN(Q$6-$G$3,22))&lt;&gt;""),Soja!$E34:INDEX(Soja!$E34:$Z34,MIN(Q$6-$G$3,22))),0)))))</f>
        <v>0</v>
      </c>
      <c r="R36" s="27" t="n">
        <f aca="false">IF(COUNT(Soja!$E34:$Z34)=0,0,MAX(0,IF((R$6-$E$3)&lt;1,0,IFERROR(LOOKUP(2,1/(Soja!$E34:INDEX(Soja!$E34:$Z34,MIN(R$6-$E$3,22))&lt;&gt;""),Soja!$E34:INDEX(Soja!$E34:$Z34,MIN(R$6-$E$3,22))),0))-IF($G$2,0,IF((R$6-$G$3)&lt;1,0,IFERROR(LOOKUP(2,1/(Soja!$E34:INDEX(Soja!$E34:$Z34,MIN(R$6-$G$3,22))&lt;&gt;""),Soja!$E34:INDEX(Soja!$E34:$Z34,MIN(R$6-$G$3,22))),0)))))</f>
        <v>0</v>
      </c>
      <c r="S36" s="27" t="n">
        <f aca="false">IF(COUNT(Soja!$E34:$Z34)=0,0,MAX(0,IF((S$6-$E$3)&lt;1,0,IFERROR(LOOKUP(2,1/(Soja!$E34:INDEX(Soja!$E34:$Z34,MIN(S$6-$E$3,22))&lt;&gt;""),Soja!$E34:INDEX(Soja!$E34:$Z34,MIN(S$6-$E$3,22))),0))-IF($G$2,0,IF((S$6-$G$3)&lt;1,0,IFERROR(LOOKUP(2,1/(Soja!$E34:INDEX(Soja!$E34:$Z34,MIN(S$6-$G$3,22))&lt;&gt;""),Soja!$E34:INDEX(Soja!$E34:$Z34,MIN(S$6-$G$3,22))),0)))))</f>
        <v>0</v>
      </c>
      <c r="T36" s="27" t="n">
        <f aca="false">IF(COUNT(Soja!$E34:$Z34)=0,0,MAX(0,IF((T$6-$E$3)&lt;1,0,IFERROR(LOOKUP(2,1/(Soja!$E34:INDEX(Soja!$E34:$Z34,MIN(T$6-$E$3,22))&lt;&gt;""),Soja!$E34:INDEX(Soja!$E34:$Z34,MIN(T$6-$E$3,22))),0))-IF($G$2,0,IF((T$6-$G$3)&lt;1,0,IFERROR(LOOKUP(2,1/(Soja!$E34:INDEX(Soja!$E34:$Z34,MIN(T$6-$G$3,22))&lt;&gt;""),Soja!$E34:INDEX(Soja!$E34:$Z34,MIN(T$6-$G$3,22))),0)))))</f>
        <v>0</v>
      </c>
      <c r="U36" s="27" t="n">
        <f aca="false">IF(COUNT(Soja!$E34:$Z34)=0,0,MAX(0,IF((U$6-$E$3)&lt;1,0,IFERROR(LOOKUP(2,1/(Soja!$E34:INDEX(Soja!$E34:$Z34,MIN(U$6-$E$3,22))&lt;&gt;""),Soja!$E34:INDEX(Soja!$E34:$Z34,MIN(U$6-$E$3,22))),0))-IF($G$2,0,IF((U$6-$G$3)&lt;1,0,IFERROR(LOOKUP(2,1/(Soja!$E34:INDEX(Soja!$E34:$Z34,MIN(U$6-$G$3,22))&lt;&gt;""),Soja!$E34:INDEX(Soja!$E34:$Z34,MIN(U$6-$G$3,22))),0)))))</f>
        <v>0</v>
      </c>
      <c r="V36" s="27" t="n">
        <f aca="false">IF(COUNT(Soja!$E34:$Z34)=0,0,MAX(0,IF((V$6-$E$3)&lt;1,0,IFERROR(LOOKUP(2,1/(Soja!$E34:INDEX(Soja!$E34:$Z34,MIN(V$6-$E$3,22))&lt;&gt;""),Soja!$E34:INDEX(Soja!$E34:$Z34,MIN(V$6-$E$3,22))),0))-IF($G$2,0,IF((V$6-$G$3)&lt;1,0,IFERROR(LOOKUP(2,1/(Soja!$E34:INDEX(Soja!$E34:$Z34,MIN(V$6-$G$3,22))&lt;&gt;""),Soja!$E34:INDEX(Soja!$E34:$Z34,MIN(V$6-$G$3,22))),0)))))</f>
        <v>0</v>
      </c>
      <c r="W36" s="27" t="n">
        <f aca="false">IF(COUNT(Soja!$E34:$Z34)=0,0,MAX(0,IF((W$6-$E$3)&lt;1,0,IFERROR(LOOKUP(2,1/(Soja!$E34:INDEX(Soja!$E34:$Z34,MIN(W$6-$E$3,22))&lt;&gt;""),Soja!$E34:INDEX(Soja!$E34:$Z34,MIN(W$6-$E$3,22))),0))-IF($G$2,0,IF((W$6-$G$3)&lt;1,0,IFERROR(LOOKUP(2,1/(Soja!$E34:INDEX(Soja!$E34:$Z34,MIN(W$6-$G$3,22))&lt;&gt;""),Soja!$E34:INDEX(Soja!$E34:$Z34,MIN(W$6-$G$3,22))),0)))))</f>
        <v>0</v>
      </c>
      <c r="X36" s="27" t="n">
        <f aca="false">IF(COUNT(Soja!$E34:$Z34)=0,0,MAX(0,IF((X$6-$E$3)&lt;1,0,IFERROR(LOOKUP(2,1/(Soja!$E34:INDEX(Soja!$E34:$Z34,MIN(X$6-$E$3,22))&lt;&gt;""),Soja!$E34:INDEX(Soja!$E34:$Z34,MIN(X$6-$E$3,22))),0))-IF($G$2,0,IF((X$6-$G$3)&lt;1,0,IFERROR(LOOKUP(2,1/(Soja!$E34:INDEX(Soja!$E34:$Z34,MIN(X$6-$G$3,22))&lt;&gt;""),Soja!$E34:INDEX(Soja!$E34:$Z34,MIN(X$6-$G$3,22))),0)))))</f>
        <v>0</v>
      </c>
      <c r="Y36" s="27" t="n">
        <f aca="false">IF(COUNT(Soja!$E34:$Z34)=0,0,MAX(0,IF((Y$6-$E$3)&lt;1,0,IFERROR(LOOKUP(2,1/(Soja!$E34:INDEX(Soja!$E34:$Z34,MIN(Y$6-$E$3,22))&lt;&gt;""),Soja!$E34:INDEX(Soja!$E34:$Z34,MIN(Y$6-$E$3,22))),0))-IF($G$2,0,IF((Y$6-$G$3)&lt;1,0,IFERROR(LOOKUP(2,1/(Soja!$E34:INDEX(Soja!$E34:$Z34,MIN(Y$6-$G$3,22))&lt;&gt;""),Soja!$E34:INDEX(Soja!$E34:$Z34,MIN(Y$6-$G$3,22))),0)))))</f>
        <v>0</v>
      </c>
      <c r="Z36" s="27" t="n">
        <f aca="false">IF(COUNT(Soja!$E34:$Z34)=0,0,MAX(0,IF((Z$6-$E$3)&lt;1,0,IFERROR(LOOKUP(2,1/(Soja!$E34:INDEX(Soja!$E34:$Z34,MIN(Z$6-$E$3,22))&lt;&gt;""),Soja!$E34:INDEX(Soja!$E34:$Z34,MIN(Z$6-$E$3,22))),0))-IF($G$2,0,IF((Z$6-$G$3)&lt;1,0,IFERROR(LOOKUP(2,1/(Soja!$E34:INDEX(Soja!$E34:$Z34,MIN(Z$6-$G$3,22))&lt;&gt;""),Soja!$E34:INDEX(Soja!$E34:$Z34,MIN(Z$6-$G$3,22))),0)))))</f>
        <v>0</v>
      </c>
      <c r="AA36" s="27" t="n">
        <f aca="false">IF(COUNT(Soja!$E34:$Z34)=0,0,MAX(0,IF((AA$6-$E$3)&lt;1,0,IFERROR(LOOKUP(2,1/(Soja!$E34:INDEX(Soja!$E34:$Z34,MIN(AA$6-$E$3,22))&lt;&gt;""),Soja!$E34:INDEX(Soja!$E34:$Z34,MIN(AA$6-$E$3,22))),0))-IF($G$2,0,IF((AA$6-$G$3)&lt;1,0,IFERROR(LOOKUP(2,1/(Soja!$E34:INDEX(Soja!$E34:$Z34,MIN(AA$6-$G$3,22))&lt;&gt;""),Soja!$E34:INDEX(Soja!$E34:$Z34,MIN(AA$6-$G$3,22))),0)))))</f>
        <v>0</v>
      </c>
      <c r="AB36" s="27" t="n">
        <f aca="false">IF(COUNT(Soja!$E34:$Z34)=0,0,MAX(0,IF((AB$6-$E$3)&lt;1,0,IFERROR(LOOKUP(2,1/(Soja!$E34:INDEX(Soja!$E34:$Z34,MIN(AB$6-$E$3,22))&lt;&gt;""),Soja!$E34:INDEX(Soja!$E34:$Z34,MIN(AB$6-$E$3,22))),0))-IF($G$2,0,IF((AB$6-$G$3)&lt;1,0,IFERROR(LOOKUP(2,1/(Soja!$E34:INDEX(Soja!$E34:$Z34,MIN(AB$6-$G$3,22))&lt;&gt;""),Soja!$E34:INDEX(Soja!$E34:$Z34,MIN(AB$6-$G$3,22))),0)))))</f>
        <v>0</v>
      </c>
      <c r="AC36" s="27" t="n">
        <f aca="false">IF(COUNT(Soja!$E34:$Z34)=0,0,MAX(0,IF((AC$6-$E$3)&lt;1,0,IFERROR(LOOKUP(2,1/(Soja!$E34:INDEX(Soja!$E34:$Z34,MIN(AC$6-$E$3,22))&lt;&gt;""),Soja!$E34:INDEX(Soja!$E34:$Z34,MIN(AC$6-$E$3,22))),0))-IF($G$2,0,IF((AC$6-$G$3)&lt;1,0,IFERROR(LOOKUP(2,1/(Soja!$E34:INDEX(Soja!$E34:$Z34,MIN(AC$6-$G$3,22))&lt;&gt;""),Soja!$E34:INDEX(Soja!$E34:$Z34,MIN(AC$6-$G$3,22))),0)))))</f>
        <v>0</v>
      </c>
      <c r="AD36" s="27" t="n">
        <f aca="false">IF(COUNT(Soja!$E34:$Z34)=0,0,MAX(0,IF((AD$6-$E$3)&lt;1,0,IFERROR(LOOKUP(2,1/(Soja!$E34:INDEX(Soja!$E34:$Z34,MIN(AD$6-$E$3,22))&lt;&gt;""),Soja!$E34:INDEX(Soja!$E34:$Z34,MIN(AD$6-$E$3,22))),0))-IF($G$2,0,IF((AD$6-$G$3)&lt;1,0,IFERROR(LOOKUP(2,1/(Soja!$E34:INDEX(Soja!$E34:$Z34,MIN(AD$6-$G$3,22))&lt;&gt;""),Soja!$E34:INDEX(Soja!$E34:$Z34,MIN(AD$6-$G$3,22))),0)))))</f>
        <v>0</v>
      </c>
      <c r="AE36" s="27" t="n">
        <f aca="false">IF(COUNT(Soja!$E34:$Z34)=0,0,MAX(0,IF((AE$6-$E$3)&lt;1,0,IFERROR(LOOKUP(2,1/(Soja!$E34:INDEX(Soja!$E34:$Z34,MIN(AE$6-$E$3,22))&lt;&gt;""),Soja!$E34:INDEX(Soja!$E34:$Z34,MIN(AE$6-$E$3,22))),0))-IF($G$2,0,IF((AE$6-$G$3)&lt;1,0,IFERROR(LOOKUP(2,1/(Soja!$E34:INDEX(Soja!$E34:$Z34,MIN(AE$6-$G$3,22))&lt;&gt;""),Soja!$E34:INDEX(Soja!$E34:$Z34,MIN(AE$6-$G$3,22))),0)))))</f>
        <v>0</v>
      </c>
      <c r="AF36" s="27" t="n">
        <f aca="false">IF(COUNT(Soja!$E34:$Z34)=0,0,MAX(0,IF((AF$6-$E$3)&lt;1,0,IFERROR(LOOKUP(2,1/(Soja!$E34:INDEX(Soja!$E34:$Z34,MIN(AF$6-$E$3,22))&lt;&gt;""),Soja!$E34:INDEX(Soja!$E34:$Z34,MIN(AF$6-$E$3,22))),0))-IF($G$2,0,IF((AF$6-$G$3)&lt;1,0,IFERROR(LOOKUP(2,1/(Soja!$E34:INDEX(Soja!$E34:$Z34,MIN(AF$6-$G$3,22))&lt;&gt;""),Soja!$E34:INDEX(Soja!$E34:$Z34,MIN(AF$6-$G$3,22))),0)))))</f>
        <v>0</v>
      </c>
      <c r="AG36" s="27" t="n">
        <f aca="false">IF(COUNT(Soja!$E34:$Z34)=0,0,MAX(0,IF((AG$6-$E$3)&lt;1,0,IFERROR(LOOKUP(2,1/(Soja!$E34:INDEX(Soja!$E34:$Z34,MIN(AG$6-$E$3,22))&lt;&gt;""),Soja!$E34:INDEX(Soja!$E34:$Z34,MIN(AG$6-$E$3,22))),0))-IF($G$2,0,IF((AG$6-$G$3)&lt;1,0,IFERROR(LOOKUP(2,1/(Soja!$E34:INDEX(Soja!$E34:$Z34,MIN(AG$6-$G$3,22))&lt;&gt;""),Soja!$E34:INDEX(Soja!$E34:$Z34,MIN(AG$6-$G$3,22))),0)))))</f>
        <v>0</v>
      </c>
      <c r="AH36" s="27" t="n">
        <f aca="false">IF(COUNT(Soja!$E34:$Z34)=0,0,MAX(0,IF((AH$6-$E$3)&lt;1,0,IFERROR(LOOKUP(2,1/(Soja!$E34:INDEX(Soja!$E34:$Z34,MIN(AH$6-$E$3,22))&lt;&gt;""),Soja!$E34:INDEX(Soja!$E34:$Z34,MIN(AH$6-$E$3,22))),0))-IF($G$2,0,IF((AH$6-$G$3)&lt;1,0,IFERROR(LOOKUP(2,1/(Soja!$E34:INDEX(Soja!$E34:$Z34,MIN(AH$6-$G$3,22))&lt;&gt;""),Soja!$E34:INDEX(Soja!$E34:$Z34,MIN(AH$6-$G$3,22))),0)))))</f>
        <v>0</v>
      </c>
      <c r="AI36" s="27" t="n">
        <f aca="false">IF(COUNT(Soja!$E34:$Z34)=0,0,MAX(0,IF((AI$6-$E$3)&lt;1,0,IFERROR(LOOKUP(2,1/(Soja!$E34:INDEX(Soja!$E34:$Z34,MIN(AI$6-$E$3,22))&lt;&gt;""),Soja!$E34:INDEX(Soja!$E34:$Z34,MIN(AI$6-$E$3,22))),0))-IF($G$2,0,IF((AI$6-$G$3)&lt;1,0,IFERROR(LOOKUP(2,1/(Soja!$E34:INDEX(Soja!$E34:$Z34,MIN(AI$6-$G$3,22))&lt;&gt;""),Soja!$E34:INDEX(Soja!$E34:$Z34,MIN(AI$6-$G$3,22))),0)))))</f>
        <v>0</v>
      </c>
      <c r="AJ36" s="27" t="n">
        <f aca="false">IF(COUNT(Soja!$E34:$Z34)=0,0,MAX(0,IF((AJ$6-$E$3)&lt;1,0,IFERROR(LOOKUP(2,1/(Soja!$E34:INDEX(Soja!$E34:$Z34,MIN(AJ$6-$E$3,22))&lt;&gt;""),Soja!$E34:INDEX(Soja!$E34:$Z34,MIN(AJ$6-$E$3,22))),0))-IF($G$2,0,IF((AJ$6-$G$3)&lt;1,0,IFERROR(LOOKUP(2,1/(Soja!$E34:INDEX(Soja!$E34:$Z34,MIN(AJ$6-$G$3,22))&lt;&gt;""),Soja!$E34:INDEX(Soja!$E34:$Z34,MIN(AJ$6-$G$3,22))),0)))))</f>
        <v>0</v>
      </c>
      <c r="AK36" s="27" t="n">
        <f aca="false">IF(COUNT(Soja!$E34:$Z34)=0,0,MAX(0,IF((AK$6-$E$3)&lt;1,0,IFERROR(LOOKUP(2,1/(Soja!$E34:INDEX(Soja!$E34:$Z34,MIN(AK$6-$E$3,22))&lt;&gt;""),Soja!$E34:INDEX(Soja!$E34:$Z34,MIN(AK$6-$E$3,22))),0))-IF($G$2,0,IF((AK$6-$G$3)&lt;1,0,IFERROR(LOOKUP(2,1/(Soja!$E34:INDEX(Soja!$E34:$Z34,MIN(AK$6-$G$3,22))&lt;&gt;""),Soja!$E34:INDEX(Soja!$E34:$Z34,MIN(AK$6-$G$3,22))),0)))))</f>
        <v>0</v>
      </c>
      <c r="AL36" s="27" t="n">
        <f aca="false">IF(COUNT(Soja!$E34:$Z34)=0,0,MAX(0,IF((AL$6-$E$3)&lt;1,0,IFERROR(LOOKUP(2,1/(Soja!$E34:INDEX(Soja!$E34:$Z34,MIN(AL$6-$E$3,22))&lt;&gt;""),Soja!$E34:INDEX(Soja!$E34:$Z34,MIN(AL$6-$E$3,22))),0))-IF($G$2,0,IF((AL$6-$G$3)&lt;1,0,IFERROR(LOOKUP(2,1/(Soja!$E34:INDEX(Soja!$E34:$Z34,MIN(AL$6-$G$3,22))&lt;&gt;""),Soja!$E34:INDEX(Soja!$E34:$Z34,MIN(AL$6-$G$3,22))),0)))))</f>
        <v>0</v>
      </c>
      <c r="AM36" s="27" t="n">
        <f aca="false">IF(COUNT(Soja!$E34:$Z34)=0,0,MAX(0,IF((AM$6-$E$3)&lt;1,0,IFERROR(LOOKUP(2,1/(Soja!$E34:INDEX(Soja!$E34:$Z34,MIN(AM$6-$E$3,22))&lt;&gt;""),Soja!$E34:INDEX(Soja!$E34:$Z34,MIN(AM$6-$E$3,22))),0))-IF($G$2,0,IF((AM$6-$G$3)&lt;1,0,IFERROR(LOOKUP(2,1/(Soja!$E34:INDEX(Soja!$E34:$Z34,MIN(AM$6-$G$3,22))&lt;&gt;""),Soja!$E34:INDEX(Soja!$E34:$Z34,MIN(AM$6-$G$3,22))),0)))))</f>
        <v>0</v>
      </c>
      <c r="AN36" s="27" t="n">
        <f aca="false">IF(COUNT(Soja!$E34:$Z34)=0,0,MAX(0,IF((AN$6-$E$3)&lt;1,0,IFERROR(LOOKUP(2,1/(Soja!$E34:INDEX(Soja!$E34:$Z34,MIN(AN$6-$E$3,22))&lt;&gt;""),Soja!$E34:INDEX(Soja!$E34:$Z34,MIN(AN$6-$E$3,22))),0))-IF($G$2,0,IF((AN$6-$G$3)&lt;1,0,IFERROR(LOOKUP(2,1/(Soja!$E34:INDEX(Soja!$E34:$Z34,MIN(AN$6-$G$3,22))&lt;&gt;""),Soja!$E34:INDEX(Soja!$E34:$Z34,MIN(AN$6-$G$3,22))),0)))))</f>
        <v>0</v>
      </c>
      <c r="AO36" s="27" t="n">
        <f aca="false">IF(COUNT(Soja!$E34:$Z34)=0,0,MAX(0,IF((AO$6-$E$3)&lt;1,0,IFERROR(LOOKUP(2,1/(Soja!$E34:INDEX(Soja!$E34:$Z34,MIN(AO$6-$E$3,22))&lt;&gt;""),Soja!$E34:INDEX(Soja!$E34:$Z34,MIN(AO$6-$E$3,22))),0))-IF($G$2,0,IF((AO$6-$G$3)&lt;1,0,IFERROR(LOOKUP(2,1/(Soja!$E34:INDEX(Soja!$E34:$Z34,MIN(AO$6-$G$3,22))&lt;&gt;""),Soja!$E34:INDEX(Soja!$E34:$Z34,MIN(AO$6-$G$3,22))),0)))))</f>
        <v>0</v>
      </c>
      <c r="AP36" s="27" t="n">
        <f aca="false">IF(COUNT(Soja!$E34:$Z34)=0,0,MAX(0,IF((AP$6-$E$3)&lt;1,0,IFERROR(LOOKUP(2,1/(Soja!$E34:INDEX(Soja!$E34:$Z34,MIN(AP$6-$E$3,22))&lt;&gt;""),Soja!$E34:INDEX(Soja!$E34:$Z34,MIN(AP$6-$E$3,22))),0))-IF($G$2,0,IF((AP$6-$G$3)&lt;1,0,IFERROR(LOOKUP(2,1/(Soja!$E34:INDEX(Soja!$E34:$Z34,MIN(AP$6-$G$3,22))&lt;&gt;""),Soja!$E34:INDEX(Soja!$E34:$Z34,MIN(AP$6-$G$3,22))),0)))))</f>
        <v>0</v>
      </c>
      <c r="AQ36" s="27" t="n">
        <f aca="false">IF(COUNT(Soja!$E34:$Z34)=0,0,MAX(0,IF((AQ$6-$E$3)&lt;1,0,IFERROR(LOOKUP(2,1/(Soja!$E34:INDEX(Soja!$E34:$Z34,MIN(AQ$6-$E$3,22))&lt;&gt;""),Soja!$E34:INDEX(Soja!$E34:$Z34,MIN(AQ$6-$E$3,22))),0))-IF($G$2,0,IF((AQ$6-$G$3)&lt;1,0,IFERROR(LOOKUP(2,1/(Soja!$E34:INDEX(Soja!$E34:$Z34,MIN(AQ$6-$G$3,22))&lt;&gt;""),Soja!$E34:INDEX(Soja!$E34:$Z34,MIN(AQ$6-$G$3,22))),0)))))</f>
        <v>0</v>
      </c>
      <c r="AR36" s="27" t="n">
        <f aca="false">IF(COUNT(Soja!$E34:$Z34)=0,0,MAX(0,IF((AR$6-$E$3)&lt;1,0,IFERROR(LOOKUP(2,1/(Soja!$E34:INDEX(Soja!$E34:$Z34,MIN(AR$6-$E$3,22))&lt;&gt;""),Soja!$E34:INDEX(Soja!$E34:$Z34,MIN(AR$6-$E$3,22))),0))-IF($G$2,0,IF((AR$6-$G$3)&lt;1,0,IFERROR(LOOKUP(2,1/(Soja!$E34:INDEX(Soja!$E34:$Z34,MIN(AR$6-$G$3,22))&lt;&gt;""),Soja!$E34:INDEX(Soja!$E34:$Z34,MIN(AR$6-$G$3,22))),0)))))</f>
        <v>0</v>
      </c>
      <c r="AS36" s="27" t="n">
        <f aca="false">IF(COUNT(Soja!$E34:$Z34)=0,0,MAX(0,IF((AS$6-$E$3)&lt;1,0,IFERROR(LOOKUP(2,1/(Soja!$E34:INDEX(Soja!$E34:$Z34,MIN(AS$6-$E$3,22))&lt;&gt;""),Soja!$E34:INDEX(Soja!$E34:$Z34,MIN(AS$6-$E$3,22))),0))-IF($G$2,0,IF((AS$6-$G$3)&lt;1,0,IFERROR(LOOKUP(2,1/(Soja!$E34:INDEX(Soja!$E34:$Z34,MIN(AS$6-$G$3,22))&lt;&gt;""),Soja!$E34:INDEX(Soja!$E34:$Z34,MIN(AS$6-$G$3,22))),0)))))</f>
        <v>0</v>
      </c>
      <c r="AT36" s="27" t="n">
        <f aca="false">IF(COUNT(Soja!$E34:$Z34)=0,0,MAX(0,IF((AT$6-$E$3)&lt;1,0,IFERROR(LOOKUP(2,1/(Soja!$E34:INDEX(Soja!$E34:$Z34,MIN(AT$6-$E$3,22))&lt;&gt;""),Soja!$E34:INDEX(Soja!$E34:$Z34,MIN(AT$6-$E$3,22))),0))-IF($G$2,0,IF((AT$6-$G$3)&lt;1,0,IFERROR(LOOKUP(2,1/(Soja!$E34:INDEX(Soja!$E34:$Z34,MIN(AT$6-$G$3,22))&lt;&gt;""),Soja!$E34:INDEX(Soja!$E34:$Z34,MIN(AT$6-$G$3,22))),0)))))</f>
        <v>0</v>
      </c>
      <c r="AU36" s="27" t="n">
        <f aca="false">IF(COUNT(Soja!$E34:$Z34)=0,0,MAX(0,IF((AU$6-$E$3)&lt;1,0,IFERROR(LOOKUP(2,1/(Soja!$E34:INDEX(Soja!$E34:$Z34,MIN(AU$6-$E$3,22))&lt;&gt;""),Soja!$E34:INDEX(Soja!$E34:$Z34,MIN(AU$6-$E$3,22))),0))-IF($G$2,0,IF((AU$6-$G$3)&lt;1,0,IFERROR(LOOKUP(2,1/(Soja!$E34:INDEX(Soja!$E34:$Z34,MIN(AU$6-$G$3,22))&lt;&gt;""),Soja!$E34:INDEX(Soja!$E34:$Z34,MIN(AU$6-$G$3,22))),0)))))</f>
        <v>0</v>
      </c>
      <c r="AV36" s="27" t="n">
        <f aca="false">IF(COUNT(Soja!$E34:$Z34)=0,0,MAX(0,IF((AV$6-$E$3)&lt;1,0,IFERROR(LOOKUP(2,1/(Soja!$E34:INDEX(Soja!$E34:$Z34,MIN(AV$6-$E$3,22))&lt;&gt;""),Soja!$E34:INDEX(Soja!$E34:$Z34,MIN(AV$6-$E$3,22))),0))-IF($G$2,0,IF((AV$6-$G$3)&lt;1,0,IFERROR(LOOKUP(2,1/(Soja!$E34:INDEX(Soja!$E34:$Z34,MIN(AV$6-$G$3,22))&lt;&gt;""),Soja!$E34:INDEX(Soja!$E34:$Z34,MIN(AV$6-$G$3,22))),0)))))</f>
        <v>0</v>
      </c>
      <c r="AW36" s="27" t="n">
        <f aca="false">IF(COUNT(Soja!$E34:$Z34)=0,0,MAX(0,IF((AW$6-$E$3)&lt;1,0,IFERROR(LOOKUP(2,1/(Soja!$E34:INDEX(Soja!$E34:$Z34,MIN(AW$6-$E$3,22))&lt;&gt;""),Soja!$E34:INDEX(Soja!$E34:$Z34,MIN(AW$6-$E$3,22))),0))-IF($G$2,0,IF((AW$6-$G$3)&lt;1,0,IFERROR(LOOKUP(2,1/(Soja!$E34:INDEX(Soja!$E34:$Z34,MIN(AW$6-$G$3,22))&lt;&gt;""),Soja!$E34:INDEX(Soja!$E34:$Z34,MIN(AW$6-$G$3,22))),0)))))</f>
        <v>0</v>
      </c>
      <c r="AX36" s="27" t="n">
        <f aca="false">IF(COUNT(Soja!$E34:$Z34)=0,0,MAX(0,IF((AX$6-$E$3)&lt;1,0,IFERROR(LOOKUP(2,1/(Soja!$E34:INDEX(Soja!$E34:$Z34,MIN(AX$6-$E$3,22))&lt;&gt;""),Soja!$E34:INDEX(Soja!$E34:$Z34,MIN(AX$6-$E$3,22))),0))-IF($G$2,0,IF((AX$6-$G$3)&lt;1,0,IFERROR(LOOKUP(2,1/(Soja!$E34:INDEX(Soja!$E34:$Z34,MIN(AX$6-$G$3,22))&lt;&gt;""),Soja!$E34:INDEX(Soja!$E34:$Z34,MIN(AX$6-$G$3,22))),0)))))</f>
        <v>0</v>
      </c>
      <c r="AY36" s="27" t="n">
        <f aca="false">IF(COUNT(Soja!$E34:$Z34)=0,0,MAX(0,IF((AY$6-$E$3)&lt;1,0,IFERROR(LOOKUP(2,1/(Soja!$E34:INDEX(Soja!$E34:$Z34,MIN(AY$6-$E$3,22))&lt;&gt;""),Soja!$E34:INDEX(Soja!$E34:$Z34,MIN(AY$6-$E$3,22))),0))-IF($G$2,0,IF((AY$6-$G$3)&lt;1,0,IFERROR(LOOKUP(2,1/(Soja!$E34:INDEX(Soja!$E34:$Z34,MIN(AY$6-$G$3,22))&lt;&gt;""),Soja!$E34:INDEX(Soja!$E34:$Z34,MIN(AY$6-$G$3,22))),0)))))</f>
        <v>0</v>
      </c>
      <c r="AZ36" s="27" t="n">
        <f aca="false">IF(COUNT(Soja!$E34:$Z34)=0,0,MAX(0,IF((AZ$6-$E$3)&lt;1,0,IFERROR(LOOKUP(2,1/(Soja!$E34:INDEX(Soja!$E34:$Z34,MIN(AZ$6-$E$3,22))&lt;&gt;""),Soja!$E34:INDEX(Soja!$E34:$Z34,MIN(AZ$6-$E$3,22))),0))-IF($G$2,0,IF((AZ$6-$G$3)&lt;1,0,IFERROR(LOOKUP(2,1/(Soja!$E34:INDEX(Soja!$E34:$Z34,MIN(AZ$6-$G$3,22))&lt;&gt;""),Soja!$E34:INDEX(Soja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IF(COUNT(Soja!$E35:$Z35)&gt;0,N(Soja!$D35),0)</f>
        <v>0</v>
      </c>
      <c r="E37" s="27" t="n">
        <f aca="false">IF(COUNT(Soja!$E35:$Z35)=0,0,MAX(0,IF((E$6-$E$3)&lt;1,0,IFERROR(LOOKUP(2,1/(Soja!$E35:INDEX(Soja!$E35:$Z35,MIN(E$6-$E$3,22))&lt;&gt;""),Soja!$E35:INDEX(Soja!$E35:$Z35,MIN(E$6-$E$3,22))),0))-IF($G$2,0,IF((E$6-$G$3)&lt;1,0,IFERROR(LOOKUP(2,1/(Soja!$E35:INDEX(Soja!$E35:$Z35,MIN(E$6-$G$3,22))&lt;&gt;""),Soja!$E35:INDEX(Soja!$E35:$Z35,MIN(E$6-$G$3,22))),0)))))</f>
        <v>0</v>
      </c>
      <c r="F37" s="27" t="n">
        <f aca="false">IF(COUNT(Soja!$E35:$Z35)=0,0,MAX(0,IF((F$6-$E$3)&lt;1,0,IFERROR(LOOKUP(2,1/(Soja!$E35:INDEX(Soja!$E35:$Z35,MIN(F$6-$E$3,22))&lt;&gt;""),Soja!$E35:INDEX(Soja!$E35:$Z35,MIN(F$6-$E$3,22))),0))-IF($G$2,0,IF((F$6-$G$3)&lt;1,0,IFERROR(LOOKUP(2,1/(Soja!$E35:INDEX(Soja!$E35:$Z35,MIN(F$6-$G$3,22))&lt;&gt;""),Soja!$E35:INDEX(Soja!$E35:$Z35,MIN(F$6-$G$3,22))),0)))))</f>
        <v>0</v>
      </c>
      <c r="G37" s="27" t="n">
        <f aca="false">IF(COUNT(Soja!$E35:$Z35)=0,0,MAX(0,IF((G$6-$E$3)&lt;1,0,IFERROR(LOOKUP(2,1/(Soja!$E35:INDEX(Soja!$E35:$Z35,MIN(G$6-$E$3,22))&lt;&gt;""),Soja!$E35:INDEX(Soja!$E35:$Z35,MIN(G$6-$E$3,22))),0))-IF($G$2,0,IF((G$6-$G$3)&lt;1,0,IFERROR(LOOKUP(2,1/(Soja!$E35:INDEX(Soja!$E35:$Z35,MIN(G$6-$G$3,22))&lt;&gt;""),Soja!$E35:INDEX(Soja!$E35:$Z35,MIN(G$6-$G$3,22))),0)))))</f>
        <v>0</v>
      </c>
      <c r="H37" s="27" t="n">
        <f aca="false">IF(COUNT(Soja!$E35:$Z35)=0,0,MAX(0,IF((H$6-$E$3)&lt;1,0,IFERROR(LOOKUP(2,1/(Soja!$E35:INDEX(Soja!$E35:$Z35,MIN(H$6-$E$3,22))&lt;&gt;""),Soja!$E35:INDEX(Soja!$E35:$Z35,MIN(H$6-$E$3,22))),0))-IF($G$2,0,IF((H$6-$G$3)&lt;1,0,IFERROR(LOOKUP(2,1/(Soja!$E35:INDEX(Soja!$E35:$Z35,MIN(H$6-$G$3,22))&lt;&gt;""),Soja!$E35:INDEX(Soja!$E35:$Z35,MIN(H$6-$G$3,22))),0)))))</f>
        <v>0</v>
      </c>
      <c r="I37" s="27" t="n">
        <f aca="false">IF(COUNT(Soja!$E35:$Z35)=0,0,MAX(0,IF((I$6-$E$3)&lt;1,0,IFERROR(LOOKUP(2,1/(Soja!$E35:INDEX(Soja!$E35:$Z35,MIN(I$6-$E$3,22))&lt;&gt;""),Soja!$E35:INDEX(Soja!$E35:$Z35,MIN(I$6-$E$3,22))),0))-IF($G$2,0,IF((I$6-$G$3)&lt;1,0,IFERROR(LOOKUP(2,1/(Soja!$E35:INDEX(Soja!$E35:$Z35,MIN(I$6-$G$3,22))&lt;&gt;""),Soja!$E35:INDEX(Soja!$E35:$Z35,MIN(I$6-$G$3,22))),0)))))</f>
        <v>0</v>
      </c>
      <c r="J37" s="27" t="n">
        <f aca="false">IF(COUNT(Soja!$E35:$Z35)=0,0,MAX(0,IF((J$6-$E$3)&lt;1,0,IFERROR(LOOKUP(2,1/(Soja!$E35:INDEX(Soja!$E35:$Z35,MIN(J$6-$E$3,22))&lt;&gt;""),Soja!$E35:INDEX(Soja!$E35:$Z35,MIN(J$6-$E$3,22))),0))-IF($G$2,0,IF((J$6-$G$3)&lt;1,0,IFERROR(LOOKUP(2,1/(Soja!$E35:INDEX(Soja!$E35:$Z35,MIN(J$6-$G$3,22))&lt;&gt;""),Soja!$E35:INDEX(Soja!$E35:$Z35,MIN(J$6-$G$3,22))),0)))))</f>
        <v>0</v>
      </c>
      <c r="K37" s="27" t="n">
        <f aca="false">IF(COUNT(Soja!$E35:$Z35)=0,0,MAX(0,IF((K$6-$E$3)&lt;1,0,IFERROR(LOOKUP(2,1/(Soja!$E35:INDEX(Soja!$E35:$Z35,MIN(K$6-$E$3,22))&lt;&gt;""),Soja!$E35:INDEX(Soja!$E35:$Z35,MIN(K$6-$E$3,22))),0))-IF($G$2,0,IF((K$6-$G$3)&lt;1,0,IFERROR(LOOKUP(2,1/(Soja!$E35:INDEX(Soja!$E35:$Z35,MIN(K$6-$G$3,22))&lt;&gt;""),Soja!$E35:INDEX(Soja!$E35:$Z35,MIN(K$6-$G$3,22))),0)))))</f>
        <v>0</v>
      </c>
      <c r="L37" s="27" t="n">
        <f aca="false">IF(COUNT(Soja!$E35:$Z35)=0,0,MAX(0,IF((L$6-$E$3)&lt;1,0,IFERROR(LOOKUP(2,1/(Soja!$E35:INDEX(Soja!$E35:$Z35,MIN(L$6-$E$3,22))&lt;&gt;""),Soja!$E35:INDEX(Soja!$E35:$Z35,MIN(L$6-$E$3,22))),0))-IF($G$2,0,IF((L$6-$G$3)&lt;1,0,IFERROR(LOOKUP(2,1/(Soja!$E35:INDEX(Soja!$E35:$Z35,MIN(L$6-$G$3,22))&lt;&gt;""),Soja!$E35:INDEX(Soja!$E35:$Z35,MIN(L$6-$G$3,22))),0)))))</f>
        <v>0</v>
      </c>
      <c r="M37" s="27" t="n">
        <f aca="false">IF(COUNT(Soja!$E35:$Z35)=0,0,MAX(0,IF((M$6-$E$3)&lt;1,0,IFERROR(LOOKUP(2,1/(Soja!$E35:INDEX(Soja!$E35:$Z35,MIN(M$6-$E$3,22))&lt;&gt;""),Soja!$E35:INDEX(Soja!$E35:$Z35,MIN(M$6-$E$3,22))),0))-IF($G$2,0,IF((M$6-$G$3)&lt;1,0,IFERROR(LOOKUP(2,1/(Soja!$E35:INDEX(Soja!$E35:$Z35,MIN(M$6-$G$3,22))&lt;&gt;""),Soja!$E35:INDEX(Soja!$E35:$Z35,MIN(M$6-$G$3,22))),0)))))</f>
        <v>0</v>
      </c>
      <c r="N37" s="27" t="n">
        <f aca="false">IF(COUNT(Soja!$E35:$Z35)=0,0,MAX(0,IF((N$6-$E$3)&lt;1,0,IFERROR(LOOKUP(2,1/(Soja!$E35:INDEX(Soja!$E35:$Z35,MIN(N$6-$E$3,22))&lt;&gt;""),Soja!$E35:INDEX(Soja!$E35:$Z35,MIN(N$6-$E$3,22))),0))-IF($G$2,0,IF((N$6-$G$3)&lt;1,0,IFERROR(LOOKUP(2,1/(Soja!$E35:INDEX(Soja!$E35:$Z35,MIN(N$6-$G$3,22))&lt;&gt;""),Soja!$E35:INDEX(Soja!$E35:$Z35,MIN(N$6-$G$3,22))),0)))))</f>
        <v>0</v>
      </c>
      <c r="O37" s="27" t="n">
        <f aca="false">IF(COUNT(Soja!$E35:$Z35)=0,0,MAX(0,IF((O$6-$E$3)&lt;1,0,IFERROR(LOOKUP(2,1/(Soja!$E35:INDEX(Soja!$E35:$Z35,MIN(O$6-$E$3,22))&lt;&gt;""),Soja!$E35:INDEX(Soja!$E35:$Z35,MIN(O$6-$E$3,22))),0))-IF($G$2,0,IF((O$6-$G$3)&lt;1,0,IFERROR(LOOKUP(2,1/(Soja!$E35:INDEX(Soja!$E35:$Z35,MIN(O$6-$G$3,22))&lt;&gt;""),Soja!$E35:INDEX(Soja!$E35:$Z35,MIN(O$6-$G$3,22))),0)))))</f>
        <v>0</v>
      </c>
      <c r="P37" s="27" t="n">
        <f aca="false">IF(COUNT(Soja!$E35:$Z35)=0,0,MAX(0,IF((P$6-$E$3)&lt;1,0,IFERROR(LOOKUP(2,1/(Soja!$E35:INDEX(Soja!$E35:$Z35,MIN(P$6-$E$3,22))&lt;&gt;""),Soja!$E35:INDEX(Soja!$E35:$Z35,MIN(P$6-$E$3,22))),0))-IF($G$2,0,IF((P$6-$G$3)&lt;1,0,IFERROR(LOOKUP(2,1/(Soja!$E35:INDEX(Soja!$E35:$Z35,MIN(P$6-$G$3,22))&lt;&gt;""),Soja!$E35:INDEX(Soja!$E35:$Z35,MIN(P$6-$G$3,22))),0)))))</f>
        <v>0</v>
      </c>
      <c r="Q37" s="27" t="n">
        <f aca="false">IF(COUNT(Soja!$E35:$Z35)=0,0,MAX(0,IF((Q$6-$E$3)&lt;1,0,IFERROR(LOOKUP(2,1/(Soja!$E35:INDEX(Soja!$E35:$Z35,MIN(Q$6-$E$3,22))&lt;&gt;""),Soja!$E35:INDEX(Soja!$E35:$Z35,MIN(Q$6-$E$3,22))),0))-IF($G$2,0,IF((Q$6-$G$3)&lt;1,0,IFERROR(LOOKUP(2,1/(Soja!$E35:INDEX(Soja!$E35:$Z35,MIN(Q$6-$G$3,22))&lt;&gt;""),Soja!$E35:INDEX(Soja!$E35:$Z35,MIN(Q$6-$G$3,22))),0)))))</f>
        <v>0</v>
      </c>
      <c r="R37" s="27" t="n">
        <f aca="false">IF(COUNT(Soja!$E35:$Z35)=0,0,MAX(0,IF((R$6-$E$3)&lt;1,0,IFERROR(LOOKUP(2,1/(Soja!$E35:INDEX(Soja!$E35:$Z35,MIN(R$6-$E$3,22))&lt;&gt;""),Soja!$E35:INDEX(Soja!$E35:$Z35,MIN(R$6-$E$3,22))),0))-IF($G$2,0,IF((R$6-$G$3)&lt;1,0,IFERROR(LOOKUP(2,1/(Soja!$E35:INDEX(Soja!$E35:$Z35,MIN(R$6-$G$3,22))&lt;&gt;""),Soja!$E35:INDEX(Soja!$E35:$Z35,MIN(R$6-$G$3,22))),0)))))</f>
        <v>0</v>
      </c>
      <c r="S37" s="27" t="n">
        <f aca="false">IF(COUNT(Soja!$E35:$Z35)=0,0,MAX(0,IF((S$6-$E$3)&lt;1,0,IFERROR(LOOKUP(2,1/(Soja!$E35:INDEX(Soja!$E35:$Z35,MIN(S$6-$E$3,22))&lt;&gt;""),Soja!$E35:INDEX(Soja!$E35:$Z35,MIN(S$6-$E$3,22))),0))-IF($G$2,0,IF((S$6-$G$3)&lt;1,0,IFERROR(LOOKUP(2,1/(Soja!$E35:INDEX(Soja!$E35:$Z35,MIN(S$6-$G$3,22))&lt;&gt;""),Soja!$E35:INDEX(Soja!$E35:$Z35,MIN(S$6-$G$3,22))),0)))))</f>
        <v>0</v>
      </c>
      <c r="T37" s="27" t="n">
        <f aca="false">IF(COUNT(Soja!$E35:$Z35)=0,0,MAX(0,IF((T$6-$E$3)&lt;1,0,IFERROR(LOOKUP(2,1/(Soja!$E35:INDEX(Soja!$E35:$Z35,MIN(T$6-$E$3,22))&lt;&gt;""),Soja!$E35:INDEX(Soja!$E35:$Z35,MIN(T$6-$E$3,22))),0))-IF($G$2,0,IF((T$6-$G$3)&lt;1,0,IFERROR(LOOKUP(2,1/(Soja!$E35:INDEX(Soja!$E35:$Z35,MIN(T$6-$G$3,22))&lt;&gt;""),Soja!$E35:INDEX(Soja!$E35:$Z35,MIN(T$6-$G$3,22))),0)))))</f>
        <v>0</v>
      </c>
      <c r="U37" s="27" t="n">
        <f aca="false">IF(COUNT(Soja!$E35:$Z35)=0,0,MAX(0,IF((U$6-$E$3)&lt;1,0,IFERROR(LOOKUP(2,1/(Soja!$E35:INDEX(Soja!$E35:$Z35,MIN(U$6-$E$3,22))&lt;&gt;""),Soja!$E35:INDEX(Soja!$E35:$Z35,MIN(U$6-$E$3,22))),0))-IF($G$2,0,IF((U$6-$G$3)&lt;1,0,IFERROR(LOOKUP(2,1/(Soja!$E35:INDEX(Soja!$E35:$Z35,MIN(U$6-$G$3,22))&lt;&gt;""),Soja!$E35:INDEX(Soja!$E35:$Z35,MIN(U$6-$G$3,22))),0)))))</f>
        <v>0</v>
      </c>
      <c r="V37" s="27" t="n">
        <f aca="false">IF(COUNT(Soja!$E35:$Z35)=0,0,MAX(0,IF((V$6-$E$3)&lt;1,0,IFERROR(LOOKUP(2,1/(Soja!$E35:INDEX(Soja!$E35:$Z35,MIN(V$6-$E$3,22))&lt;&gt;""),Soja!$E35:INDEX(Soja!$E35:$Z35,MIN(V$6-$E$3,22))),0))-IF($G$2,0,IF((V$6-$G$3)&lt;1,0,IFERROR(LOOKUP(2,1/(Soja!$E35:INDEX(Soja!$E35:$Z35,MIN(V$6-$G$3,22))&lt;&gt;""),Soja!$E35:INDEX(Soja!$E35:$Z35,MIN(V$6-$G$3,22))),0)))))</f>
        <v>0</v>
      </c>
      <c r="W37" s="27" t="n">
        <f aca="false">IF(COUNT(Soja!$E35:$Z35)=0,0,MAX(0,IF((W$6-$E$3)&lt;1,0,IFERROR(LOOKUP(2,1/(Soja!$E35:INDEX(Soja!$E35:$Z35,MIN(W$6-$E$3,22))&lt;&gt;""),Soja!$E35:INDEX(Soja!$E35:$Z35,MIN(W$6-$E$3,22))),0))-IF($G$2,0,IF((W$6-$G$3)&lt;1,0,IFERROR(LOOKUP(2,1/(Soja!$E35:INDEX(Soja!$E35:$Z35,MIN(W$6-$G$3,22))&lt;&gt;""),Soja!$E35:INDEX(Soja!$E35:$Z35,MIN(W$6-$G$3,22))),0)))))</f>
        <v>0</v>
      </c>
      <c r="X37" s="27" t="n">
        <f aca="false">IF(COUNT(Soja!$E35:$Z35)=0,0,MAX(0,IF((X$6-$E$3)&lt;1,0,IFERROR(LOOKUP(2,1/(Soja!$E35:INDEX(Soja!$E35:$Z35,MIN(X$6-$E$3,22))&lt;&gt;""),Soja!$E35:INDEX(Soja!$E35:$Z35,MIN(X$6-$E$3,22))),0))-IF($G$2,0,IF((X$6-$G$3)&lt;1,0,IFERROR(LOOKUP(2,1/(Soja!$E35:INDEX(Soja!$E35:$Z35,MIN(X$6-$G$3,22))&lt;&gt;""),Soja!$E35:INDEX(Soja!$E35:$Z35,MIN(X$6-$G$3,22))),0)))))</f>
        <v>0</v>
      </c>
      <c r="Y37" s="27" t="n">
        <f aca="false">IF(COUNT(Soja!$E35:$Z35)=0,0,MAX(0,IF((Y$6-$E$3)&lt;1,0,IFERROR(LOOKUP(2,1/(Soja!$E35:INDEX(Soja!$E35:$Z35,MIN(Y$6-$E$3,22))&lt;&gt;""),Soja!$E35:INDEX(Soja!$E35:$Z35,MIN(Y$6-$E$3,22))),0))-IF($G$2,0,IF((Y$6-$G$3)&lt;1,0,IFERROR(LOOKUP(2,1/(Soja!$E35:INDEX(Soja!$E35:$Z35,MIN(Y$6-$G$3,22))&lt;&gt;""),Soja!$E35:INDEX(Soja!$E35:$Z35,MIN(Y$6-$G$3,22))),0)))))</f>
        <v>0</v>
      </c>
      <c r="Z37" s="27" t="n">
        <f aca="false">IF(COUNT(Soja!$E35:$Z35)=0,0,MAX(0,IF((Z$6-$E$3)&lt;1,0,IFERROR(LOOKUP(2,1/(Soja!$E35:INDEX(Soja!$E35:$Z35,MIN(Z$6-$E$3,22))&lt;&gt;""),Soja!$E35:INDEX(Soja!$E35:$Z35,MIN(Z$6-$E$3,22))),0))-IF($G$2,0,IF((Z$6-$G$3)&lt;1,0,IFERROR(LOOKUP(2,1/(Soja!$E35:INDEX(Soja!$E35:$Z35,MIN(Z$6-$G$3,22))&lt;&gt;""),Soja!$E35:INDEX(Soja!$E35:$Z35,MIN(Z$6-$G$3,22))),0)))))</f>
        <v>0</v>
      </c>
      <c r="AA37" s="27" t="n">
        <f aca="false">IF(COUNT(Soja!$E35:$Z35)=0,0,MAX(0,IF((AA$6-$E$3)&lt;1,0,IFERROR(LOOKUP(2,1/(Soja!$E35:INDEX(Soja!$E35:$Z35,MIN(AA$6-$E$3,22))&lt;&gt;""),Soja!$E35:INDEX(Soja!$E35:$Z35,MIN(AA$6-$E$3,22))),0))-IF($G$2,0,IF((AA$6-$G$3)&lt;1,0,IFERROR(LOOKUP(2,1/(Soja!$E35:INDEX(Soja!$E35:$Z35,MIN(AA$6-$G$3,22))&lt;&gt;""),Soja!$E35:INDEX(Soja!$E35:$Z35,MIN(AA$6-$G$3,22))),0)))))</f>
        <v>0</v>
      </c>
      <c r="AB37" s="27" t="n">
        <f aca="false">IF(COUNT(Soja!$E35:$Z35)=0,0,MAX(0,IF((AB$6-$E$3)&lt;1,0,IFERROR(LOOKUP(2,1/(Soja!$E35:INDEX(Soja!$E35:$Z35,MIN(AB$6-$E$3,22))&lt;&gt;""),Soja!$E35:INDEX(Soja!$E35:$Z35,MIN(AB$6-$E$3,22))),0))-IF($G$2,0,IF((AB$6-$G$3)&lt;1,0,IFERROR(LOOKUP(2,1/(Soja!$E35:INDEX(Soja!$E35:$Z35,MIN(AB$6-$G$3,22))&lt;&gt;""),Soja!$E35:INDEX(Soja!$E35:$Z35,MIN(AB$6-$G$3,22))),0)))))</f>
        <v>0</v>
      </c>
      <c r="AC37" s="27" t="n">
        <f aca="false">IF(COUNT(Soja!$E35:$Z35)=0,0,MAX(0,IF((AC$6-$E$3)&lt;1,0,IFERROR(LOOKUP(2,1/(Soja!$E35:INDEX(Soja!$E35:$Z35,MIN(AC$6-$E$3,22))&lt;&gt;""),Soja!$E35:INDEX(Soja!$E35:$Z35,MIN(AC$6-$E$3,22))),0))-IF($G$2,0,IF((AC$6-$G$3)&lt;1,0,IFERROR(LOOKUP(2,1/(Soja!$E35:INDEX(Soja!$E35:$Z35,MIN(AC$6-$G$3,22))&lt;&gt;""),Soja!$E35:INDEX(Soja!$E35:$Z35,MIN(AC$6-$G$3,22))),0)))))</f>
        <v>0</v>
      </c>
      <c r="AD37" s="27" t="n">
        <f aca="false">IF(COUNT(Soja!$E35:$Z35)=0,0,MAX(0,IF((AD$6-$E$3)&lt;1,0,IFERROR(LOOKUP(2,1/(Soja!$E35:INDEX(Soja!$E35:$Z35,MIN(AD$6-$E$3,22))&lt;&gt;""),Soja!$E35:INDEX(Soja!$E35:$Z35,MIN(AD$6-$E$3,22))),0))-IF($G$2,0,IF((AD$6-$G$3)&lt;1,0,IFERROR(LOOKUP(2,1/(Soja!$E35:INDEX(Soja!$E35:$Z35,MIN(AD$6-$G$3,22))&lt;&gt;""),Soja!$E35:INDEX(Soja!$E35:$Z35,MIN(AD$6-$G$3,22))),0)))))</f>
        <v>0</v>
      </c>
      <c r="AE37" s="27" t="n">
        <f aca="false">IF(COUNT(Soja!$E35:$Z35)=0,0,MAX(0,IF((AE$6-$E$3)&lt;1,0,IFERROR(LOOKUP(2,1/(Soja!$E35:INDEX(Soja!$E35:$Z35,MIN(AE$6-$E$3,22))&lt;&gt;""),Soja!$E35:INDEX(Soja!$E35:$Z35,MIN(AE$6-$E$3,22))),0))-IF($G$2,0,IF((AE$6-$G$3)&lt;1,0,IFERROR(LOOKUP(2,1/(Soja!$E35:INDEX(Soja!$E35:$Z35,MIN(AE$6-$G$3,22))&lt;&gt;""),Soja!$E35:INDEX(Soja!$E35:$Z35,MIN(AE$6-$G$3,22))),0)))))</f>
        <v>0</v>
      </c>
      <c r="AF37" s="27" t="n">
        <f aca="false">IF(COUNT(Soja!$E35:$Z35)=0,0,MAX(0,IF((AF$6-$E$3)&lt;1,0,IFERROR(LOOKUP(2,1/(Soja!$E35:INDEX(Soja!$E35:$Z35,MIN(AF$6-$E$3,22))&lt;&gt;""),Soja!$E35:INDEX(Soja!$E35:$Z35,MIN(AF$6-$E$3,22))),0))-IF($G$2,0,IF((AF$6-$G$3)&lt;1,0,IFERROR(LOOKUP(2,1/(Soja!$E35:INDEX(Soja!$E35:$Z35,MIN(AF$6-$G$3,22))&lt;&gt;""),Soja!$E35:INDEX(Soja!$E35:$Z35,MIN(AF$6-$G$3,22))),0)))))</f>
        <v>0</v>
      </c>
      <c r="AG37" s="27" t="n">
        <f aca="false">IF(COUNT(Soja!$E35:$Z35)=0,0,MAX(0,IF((AG$6-$E$3)&lt;1,0,IFERROR(LOOKUP(2,1/(Soja!$E35:INDEX(Soja!$E35:$Z35,MIN(AG$6-$E$3,22))&lt;&gt;""),Soja!$E35:INDEX(Soja!$E35:$Z35,MIN(AG$6-$E$3,22))),0))-IF($G$2,0,IF((AG$6-$G$3)&lt;1,0,IFERROR(LOOKUP(2,1/(Soja!$E35:INDEX(Soja!$E35:$Z35,MIN(AG$6-$G$3,22))&lt;&gt;""),Soja!$E35:INDEX(Soja!$E35:$Z35,MIN(AG$6-$G$3,22))),0)))))</f>
        <v>0</v>
      </c>
      <c r="AH37" s="27" t="n">
        <f aca="false">IF(COUNT(Soja!$E35:$Z35)=0,0,MAX(0,IF((AH$6-$E$3)&lt;1,0,IFERROR(LOOKUP(2,1/(Soja!$E35:INDEX(Soja!$E35:$Z35,MIN(AH$6-$E$3,22))&lt;&gt;""),Soja!$E35:INDEX(Soja!$E35:$Z35,MIN(AH$6-$E$3,22))),0))-IF($G$2,0,IF((AH$6-$G$3)&lt;1,0,IFERROR(LOOKUP(2,1/(Soja!$E35:INDEX(Soja!$E35:$Z35,MIN(AH$6-$G$3,22))&lt;&gt;""),Soja!$E35:INDEX(Soja!$E35:$Z35,MIN(AH$6-$G$3,22))),0)))))</f>
        <v>0</v>
      </c>
      <c r="AI37" s="27" t="n">
        <f aca="false">IF(COUNT(Soja!$E35:$Z35)=0,0,MAX(0,IF((AI$6-$E$3)&lt;1,0,IFERROR(LOOKUP(2,1/(Soja!$E35:INDEX(Soja!$E35:$Z35,MIN(AI$6-$E$3,22))&lt;&gt;""),Soja!$E35:INDEX(Soja!$E35:$Z35,MIN(AI$6-$E$3,22))),0))-IF($G$2,0,IF((AI$6-$G$3)&lt;1,0,IFERROR(LOOKUP(2,1/(Soja!$E35:INDEX(Soja!$E35:$Z35,MIN(AI$6-$G$3,22))&lt;&gt;""),Soja!$E35:INDEX(Soja!$E35:$Z35,MIN(AI$6-$G$3,22))),0)))))</f>
        <v>0</v>
      </c>
      <c r="AJ37" s="27" t="n">
        <f aca="false">IF(COUNT(Soja!$E35:$Z35)=0,0,MAX(0,IF((AJ$6-$E$3)&lt;1,0,IFERROR(LOOKUP(2,1/(Soja!$E35:INDEX(Soja!$E35:$Z35,MIN(AJ$6-$E$3,22))&lt;&gt;""),Soja!$E35:INDEX(Soja!$E35:$Z35,MIN(AJ$6-$E$3,22))),0))-IF($G$2,0,IF((AJ$6-$G$3)&lt;1,0,IFERROR(LOOKUP(2,1/(Soja!$E35:INDEX(Soja!$E35:$Z35,MIN(AJ$6-$G$3,22))&lt;&gt;""),Soja!$E35:INDEX(Soja!$E35:$Z35,MIN(AJ$6-$G$3,22))),0)))))</f>
        <v>0</v>
      </c>
      <c r="AK37" s="27" t="n">
        <f aca="false">IF(COUNT(Soja!$E35:$Z35)=0,0,MAX(0,IF((AK$6-$E$3)&lt;1,0,IFERROR(LOOKUP(2,1/(Soja!$E35:INDEX(Soja!$E35:$Z35,MIN(AK$6-$E$3,22))&lt;&gt;""),Soja!$E35:INDEX(Soja!$E35:$Z35,MIN(AK$6-$E$3,22))),0))-IF($G$2,0,IF((AK$6-$G$3)&lt;1,0,IFERROR(LOOKUP(2,1/(Soja!$E35:INDEX(Soja!$E35:$Z35,MIN(AK$6-$G$3,22))&lt;&gt;""),Soja!$E35:INDEX(Soja!$E35:$Z35,MIN(AK$6-$G$3,22))),0)))))</f>
        <v>0</v>
      </c>
      <c r="AL37" s="27" t="n">
        <f aca="false">IF(COUNT(Soja!$E35:$Z35)=0,0,MAX(0,IF((AL$6-$E$3)&lt;1,0,IFERROR(LOOKUP(2,1/(Soja!$E35:INDEX(Soja!$E35:$Z35,MIN(AL$6-$E$3,22))&lt;&gt;""),Soja!$E35:INDEX(Soja!$E35:$Z35,MIN(AL$6-$E$3,22))),0))-IF($G$2,0,IF((AL$6-$G$3)&lt;1,0,IFERROR(LOOKUP(2,1/(Soja!$E35:INDEX(Soja!$E35:$Z35,MIN(AL$6-$G$3,22))&lt;&gt;""),Soja!$E35:INDEX(Soja!$E35:$Z35,MIN(AL$6-$G$3,22))),0)))))</f>
        <v>0</v>
      </c>
      <c r="AM37" s="27" t="n">
        <f aca="false">IF(COUNT(Soja!$E35:$Z35)=0,0,MAX(0,IF((AM$6-$E$3)&lt;1,0,IFERROR(LOOKUP(2,1/(Soja!$E35:INDEX(Soja!$E35:$Z35,MIN(AM$6-$E$3,22))&lt;&gt;""),Soja!$E35:INDEX(Soja!$E35:$Z35,MIN(AM$6-$E$3,22))),0))-IF($G$2,0,IF((AM$6-$G$3)&lt;1,0,IFERROR(LOOKUP(2,1/(Soja!$E35:INDEX(Soja!$E35:$Z35,MIN(AM$6-$G$3,22))&lt;&gt;""),Soja!$E35:INDEX(Soja!$E35:$Z35,MIN(AM$6-$G$3,22))),0)))))</f>
        <v>0</v>
      </c>
      <c r="AN37" s="27" t="n">
        <f aca="false">IF(COUNT(Soja!$E35:$Z35)=0,0,MAX(0,IF((AN$6-$E$3)&lt;1,0,IFERROR(LOOKUP(2,1/(Soja!$E35:INDEX(Soja!$E35:$Z35,MIN(AN$6-$E$3,22))&lt;&gt;""),Soja!$E35:INDEX(Soja!$E35:$Z35,MIN(AN$6-$E$3,22))),0))-IF($G$2,0,IF((AN$6-$G$3)&lt;1,0,IFERROR(LOOKUP(2,1/(Soja!$E35:INDEX(Soja!$E35:$Z35,MIN(AN$6-$G$3,22))&lt;&gt;""),Soja!$E35:INDEX(Soja!$E35:$Z35,MIN(AN$6-$G$3,22))),0)))))</f>
        <v>0</v>
      </c>
      <c r="AO37" s="27" t="n">
        <f aca="false">IF(COUNT(Soja!$E35:$Z35)=0,0,MAX(0,IF((AO$6-$E$3)&lt;1,0,IFERROR(LOOKUP(2,1/(Soja!$E35:INDEX(Soja!$E35:$Z35,MIN(AO$6-$E$3,22))&lt;&gt;""),Soja!$E35:INDEX(Soja!$E35:$Z35,MIN(AO$6-$E$3,22))),0))-IF($G$2,0,IF((AO$6-$G$3)&lt;1,0,IFERROR(LOOKUP(2,1/(Soja!$E35:INDEX(Soja!$E35:$Z35,MIN(AO$6-$G$3,22))&lt;&gt;""),Soja!$E35:INDEX(Soja!$E35:$Z35,MIN(AO$6-$G$3,22))),0)))))</f>
        <v>0</v>
      </c>
      <c r="AP37" s="27" t="n">
        <f aca="false">IF(COUNT(Soja!$E35:$Z35)=0,0,MAX(0,IF((AP$6-$E$3)&lt;1,0,IFERROR(LOOKUP(2,1/(Soja!$E35:INDEX(Soja!$E35:$Z35,MIN(AP$6-$E$3,22))&lt;&gt;""),Soja!$E35:INDEX(Soja!$E35:$Z35,MIN(AP$6-$E$3,22))),0))-IF($G$2,0,IF((AP$6-$G$3)&lt;1,0,IFERROR(LOOKUP(2,1/(Soja!$E35:INDEX(Soja!$E35:$Z35,MIN(AP$6-$G$3,22))&lt;&gt;""),Soja!$E35:INDEX(Soja!$E35:$Z35,MIN(AP$6-$G$3,22))),0)))))</f>
        <v>0</v>
      </c>
      <c r="AQ37" s="27" t="n">
        <f aca="false">IF(COUNT(Soja!$E35:$Z35)=0,0,MAX(0,IF((AQ$6-$E$3)&lt;1,0,IFERROR(LOOKUP(2,1/(Soja!$E35:INDEX(Soja!$E35:$Z35,MIN(AQ$6-$E$3,22))&lt;&gt;""),Soja!$E35:INDEX(Soja!$E35:$Z35,MIN(AQ$6-$E$3,22))),0))-IF($G$2,0,IF((AQ$6-$G$3)&lt;1,0,IFERROR(LOOKUP(2,1/(Soja!$E35:INDEX(Soja!$E35:$Z35,MIN(AQ$6-$G$3,22))&lt;&gt;""),Soja!$E35:INDEX(Soja!$E35:$Z35,MIN(AQ$6-$G$3,22))),0)))))</f>
        <v>0</v>
      </c>
      <c r="AR37" s="27" t="n">
        <f aca="false">IF(COUNT(Soja!$E35:$Z35)=0,0,MAX(0,IF((AR$6-$E$3)&lt;1,0,IFERROR(LOOKUP(2,1/(Soja!$E35:INDEX(Soja!$E35:$Z35,MIN(AR$6-$E$3,22))&lt;&gt;""),Soja!$E35:INDEX(Soja!$E35:$Z35,MIN(AR$6-$E$3,22))),0))-IF($G$2,0,IF((AR$6-$G$3)&lt;1,0,IFERROR(LOOKUP(2,1/(Soja!$E35:INDEX(Soja!$E35:$Z35,MIN(AR$6-$G$3,22))&lt;&gt;""),Soja!$E35:INDEX(Soja!$E35:$Z35,MIN(AR$6-$G$3,22))),0)))))</f>
        <v>0</v>
      </c>
      <c r="AS37" s="27" t="n">
        <f aca="false">IF(COUNT(Soja!$E35:$Z35)=0,0,MAX(0,IF((AS$6-$E$3)&lt;1,0,IFERROR(LOOKUP(2,1/(Soja!$E35:INDEX(Soja!$E35:$Z35,MIN(AS$6-$E$3,22))&lt;&gt;""),Soja!$E35:INDEX(Soja!$E35:$Z35,MIN(AS$6-$E$3,22))),0))-IF($G$2,0,IF((AS$6-$G$3)&lt;1,0,IFERROR(LOOKUP(2,1/(Soja!$E35:INDEX(Soja!$E35:$Z35,MIN(AS$6-$G$3,22))&lt;&gt;""),Soja!$E35:INDEX(Soja!$E35:$Z35,MIN(AS$6-$G$3,22))),0)))))</f>
        <v>0</v>
      </c>
      <c r="AT37" s="27" t="n">
        <f aca="false">IF(COUNT(Soja!$E35:$Z35)=0,0,MAX(0,IF((AT$6-$E$3)&lt;1,0,IFERROR(LOOKUP(2,1/(Soja!$E35:INDEX(Soja!$E35:$Z35,MIN(AT$6-$E$3,22))&lt;&gt;""),Soja!$E35:INDEX(Soja!$E35:$Z35,MIN(AT$6-$E$3,22))),0))-IF($G$2,0,IF((AT$6-$G$3)&lt;1,0,IFERROR(LOOKUP(2,1/(Soja!$E35:INDEX(Soja!$E35:$Z35,MIN(AT$6-$G$3,22))&lt;&gt;""),Soja!$E35:INDEX(Soja!$E35:$Z35,MIN(AT$6-$G$3,22))),0)))))</f>
        <v>0</v>
      </c>
      <c r="AU37" s="27" t="n">
        <f aca="false">IF(COUNT(Soja!$E35:$Z35)=0,0,MAX(0,IF((AU$6-$E$3)&lt;1,0,IFERROR(LOOKUP(2,1/(Soja!$E35:INDEX(Soja!$E35:$Z35,MIN(AU$6-$E$3,22))&lt;&gt;""),Soja!$E35:INDEX(Soja!$E35:$Z35,MIN(AU$6-$E$3,22))),0))-IF($G$2,0,IF((AU$6-$G$3)&lt;1,0,IFERROR(LOOKUP(2,1/(Soja!$E35:INDEX(Soja!$E35:$Z35,MIN(AU$6-$G$3,22))&lt;&gt;""),Soja!$E35:INDEX(Soja!$E35:$Z35,MIN(AU$6-$G$3,22))),0)))))</f>
        <v>0</v>
      </c>
      <c r="AV37" s="27" t="n">
        <f aca="false">IF(COUNT(Soja!$E35:$Z35)=0,0,MAX(0,IF((AV$6-$E$3)&lt;1,0,IFERROR(LOOKUP(2,1/(Soja!$E35:INDEX(Soja!$E35:$Z35,MIN(AV$6-$E$3,22))&lt;&gt;""),Soja!$E35:INDEX(Soja!$E35:$Z35,MIN(AV$6-$E$3,22))),0))-IF($G$2,0,IF((AV$6-$G$3)&lt;1,0,IFERROR(LOOKUP(2,1/(Soja!$E35:INDEX(Soja!$E35:$Z35,MIN(AV$6-$G$3,22))&lt;&gt;""),Soja!$E35:INDEX(Soja!$E35:$Z35,MIN(AV$6-$G$3,22))),0)))))</f>
        <v>0</v>
      </c>
      <c r="AW37" s="27" t="n">
        <f aca="false">IF(COUNT(Soja!$E35:$Z35)=0,0,MAX(0,IF((AW$6-$E$3)&lt;1,0,IFERROR(LOOKUP(2,1/(Soja!$E35:INDEX(Soja!$E35:$Z35,MIN(AW$6-$E$3,22))&lt;&gt;""),Soja!$E35:INDEX(Soja!$E35:$Z35,MIN(AW$6-$E$3,22))),0))-IF($G$2,0,IF((AW$6-$G$3)&lt;1,0,IFERROR(LOOKUP(2,1/(Soja!$E35:INDEX(Soja!$E35:$Z35,MIN(AW$6-$G$3,22))&lt;&gt;""),Soja!$E35:INDEX(Soja!$E35:$Z35,MIN(AW$6-$G$3,22))),0)))))</f>
        <v>0</v>
      </c>
      <c r="AX37" s="27" t="n">
        <f aca="false">IF(COUNT(Soja!$E35:$Z35)=0,0,MAX(0,IF((AX$6-$E$3)&lt;1,0,IFERROR(LOOKUP(2,1/(Soja!$E35:INDEX(Soja!$E35:$Z35,MIN(AX$6-$E$3,22))&lt;&gt;""),Soja!$E35:INDEX(Soja!$E35:$Z35,MIN(AX$6-$E$3,22))),0))-IF($G$2,0,IF((AX$6-$G$3)&lt;1,0,IFERROR(LOOKUP(2,1/(Soja!$E35:INDEX(Soja!$E35:$Z35,MIN(AX$6-$G$3,22))&lt;&gt;""),Soja!$E35:INDEX(Soja!$E35:$Z35,MIN(AX$6-$G$3,22))),0)))))</f>
        <v>0</v>
      </c>
      <c r="AY37" s="27" t="n">
        <f aca="false">IF(COUNT(Soja!$E35:$Z35)=0,0,MAX(0,IF((AY$6-$E$3)&lt;1,0,IFERROR(LOOKUP(2,1/(Soja!$E35:INDEX(Soja!$E35:$Z35,MIN(AY$6-$E$3,22))&lt;&gt;""),Soja!$E35:INDEX(Soja!$E35:$Z35,MIN(AY$6-$E$3,22))),0))-IF($G$2,0,IF((AY$6-$G$3)&lt;1,0,IFERROR(LOOKUP(2,1/(Soja!$E35:INDEX(Soja!$E35:$Z35,MIN(AY$6-$G$3,22))&lt;&gt;""),Soja!$E35:INDEX(Soja!$E35:$Z35,MIN(AY$6-$G$3,22))),0)))))</f>
        <v>0</v>
      </c>
      <c r="AZ37" s="27" t="n">
        <f aca="false">IF(COUNT(Soja!$E35:$Z35)=0,0,MAX(0,IF((AZ$6-$E$3)&lt;1,0,IFERROR(LOOKUP(2,1/(Soja!$E35:INDEX(Soja!$E35:$Z35,MIN(AZ$6-$E$3,22))&lt;&gt;""),Soja!$E35:INDEX(Soja!$E35:$Z35,MIN(AZ$6-$E$3,22))),0))-IF($G$2,0,IF((AZ$6-$G$3)&lt;1,0,IFERROR(LOOKUP(2,1/(Soja!$E35:INDEX(Soja!$E35:$Z35,MIN(AZ$6-$G$3,22))&lt;&gt;""),Soja!$E35:INDEX(Soja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IF(COUNT(Soja!$E36:$Z36)&gt;0,N(Soja!$D36),0)</f>
        <v>0</v>
      </c>
      <c r="E38" s="27" t="n">
        <f aca="false">IF(COUNT(Soja!$E36:$Z36)=0,0,MAX(0,IF((E$6-$E$3)&lt;1,0,IFERROR(LOOKUP(2,1/(Soja!$E36:INDEX(Soja!$E36:$Z36,MIN(E$6-$E$3,22))&lt;&gt;""),Soja!$E36:INDEX(Soja!$E36:$Z36,MIN(E$6-$E$3,22))),0))-IF($G$2,0,IF((E$6-$G$3)&lt;1,0,IFERROR(LOOKUP(2,1/(Soja!$E36:INDEX(Soja!$E36:$Z36,MIN(E$6-$G$3,22))&lt;&gt;""),Soja!$E36:INDEX(Soja!$E36:$Z36,MIN(E$6-$G$3,22))),0)))))</f>
        <v>0</v>
      </c>
      <c r="F38" s="27" t="n">
        <f aca="false">IF(COUNT(Soja!$E36:$Z36)=0,0,MAX(0,IF((F$6-$E$3)&lt;1,0,IFERROR(LOOKUP(2,1/(Soja!$E36:INDEX(Soja!$E36:$Z36,MIN(F$6-$E$3,22))&lt;&gt;""),Soja!$E36:INDEX(Soja!$E36:$Z36,MIN(F$6-$E$3,22))),0))-IF($G$2,0,IF((F$6-$G$3)&lt;1,0,IFERROR(LOOKUP(2,1/(Soja!$E36:INDEX(Soja!$E36:$Z36,MIN(F$6-$G$3,22))&lt;&gt;""),Soja!$E36:INDEX(Soja!$E36:$Z36,MIN(F$6-$G$3,22))),0)))))</f>
        <v>0</v>
      </c>
      <c r="G38" s="27" t="n">
        <f aca="false">IF(COUNT(Soja!$E36:$Z36)=0,0,MAX(0,IF((G$6-$E$3)&lt;1,0,IFERROR(LOOKUP(2,1/(Soja!$E36:INDEX(Soja!$E36:$Z36,MIN(G$6-$E$3,22))&lt;&gt;""),Soja!$E36:INDEX(Soja!$E36:$Z36,MIN(G$6-$E$3,22))),0))-IF($G$2,0,IF((G$6-$G$3)&lt;1,0,IFERROR(LOOKUP(2,1/(Soja!$E36:INDEX(Soja!$E36:$Z36,MIN(G$6-$G$3,22))&lt;&gt;""),Soja!$E36:INDEX(Soja!$E36:$Z36,MIN(G$6-$G$3,22))),0)))))</f>
        <v>0</v>
      </c>
      <c r="H38" s="27" t="n">
        <f aca="false">IF(COUNT(Soja!$E36:$Z36)=0,0,MAX(0,IF((H$6-$E$3)&lt;1,0,IFERROR(LOOKUP(2,1/(Soja!$E36:INDEX(Soja!$E36:$Z36,MIN(H$6-$E$3,22))&lt;&gt;""),Soja!$E36:INDEX(Soja!$E36:$Z36,MIN(H$6-$E$3,22))),0))-IF($G$2,0,IF((H$6-$G$3)&lt;1,0,IFERROR(LOOKUP(2,1/(Soja!$E36:INDEX(Soja!$E36:$Z36,MIN(H$6-$G$3,22))&lt;&gt;""),Soja!$E36:INDEX(Soja!$E36:$Z36,MIN(H$6-$G$3,22))),0)))))</f>
        <v>0</v>
      </c>
      <c r="I38" s="27" t="n">
        <f aca="false">IF(COUNT(Soja!$E36:$Z36)=0,0,MAX(0,IF((I$6-$E$3)&lt;1,0,IFERROR(LOOKUP(2,1/(Soja!$E36:INDEX(Soja!$E36:$Z36,MIN(I$6-$E$3,22))&lt;&gt;""),Soja!$E36:INDEX(Soja!$E36:$Z36,MIN(I$6-$E$3,22))),0))-IF($G$2,0,IF((I$6-$G$3)&lt;1,0,IFERROR(LOOKUP(2,1/(Soja!$E36:INDEX(Soja!$E36:$Z36,MIN(I$6-$G$3,22))&lt;&gt;""),Soja!$E36:INDEX(Soja!$E36:$Z36,MIN(I$6-$G$3,22))),0)))))</f>
        <v>0</v>
      </c>
      <c r="J38" s="27" t="n">
        <f aca="false">IF(COUNT(Soja!$E36:$Z36)=0,0,MAX(0,IF((J$6-$E$3)&lt;1,0,IFERROR(LOOKUP(2,1/(Soja!$E36:INDEX(Soja!$E36:$Z36,MIN(J$6-$E$3,22))&lt;&gt;""),Soja!$E36:INDEX(Soja!$E36:$Z36,MIN(J$6-$E$3,22))),0))-IF($G$2,0,IF((J$6-$G$3)&lt;1,0,IFERROR(LOOKUP(2,1/(Soja!$E36:INDEX(Soja!$E36:$Z36,MIN(J$6-$G$3,22))&lt;&gt;""),Soja!$E36:INDEX(Soja!$E36:$Z36,MIN(J$6-$G$3,22))),0)))))</f>
        <v>0</v>
      </c>
      <c r="K38" s="27" t="n">
        <f aca="false">IF(COUNT(Soja!$E36:$Z36)=0,0,MAX(0,IF((K$6-$E$3)&lt;1,0,IFERROR(LOOKUP(2,1/(Soja!$E36:INDEX(Soja!$E36:$Z36,MIN(K$6-$E$3,22))&lt;&gt;""),Soja!$E36:INDEX(Soja!$E36:$Z36,MIN(K$6-$E$3,22))),0))-IF($G$2,0,IF((K$6-$G$3)&lt;1,0,IFERROR(LOOKUP(2,1/(Soja!$E36:INDEX(Soja!$E36:$Z36,MIN(K$6-$G$3,22))&lt;&gt;""),Soja!$E36:INDEX(Soja!$E36:$Z36,MIN(K$6-$G$3,22))),0)))))</f>
        <v>0</v>
      </c>
      <c r="L38" s="27" t="n">
        <f aca="false">IF(COUNT(Soja!$E36:$Z36)=0,0,MAX(0,IF((L$6-$E$3)&lt;1,0,IFERROR(LOOKUP(2,1/(Soja!$E36:INDEX(Soja!$E36:$Z36,MIN(L$6-$E$3,22))&lt;&gt;""),Soja!$E36:INDEX(Soja!$E36:$Z36,MIN(L$6-$E$3,22))),0))-IF($G$2,0,IF((L$6-$G$3)&lt;1,0,IFERROR(LOOKUP(2,1/(Soja!$E36:INDEX(Soja!$E36:$Z36,MIN(L$6-$G$3,22))&lt;&gt;""),Soja!$E36:INDEX(Soja!$E36:$Z36,MIN(L$6-$G$3,22))),0)))))</f>
        <v>0</v>
      </c>
      <c r="M38" s="27" t="n">
        <f aca="false">IF(COUNT(Soja!$E36:$Z36)=0,0,MAX(0,IF((M$6-$E$3)&lt;1,0,IFERROR(LOOKUP(2,1/(Soja!$E36:INDEX(Soja!$E36:$Z36,MIN(M$6-$E$3,22))&lt;&gt;""),Soja!$E36:INDEX(Soja!$E36:$Z36,MIN(M$6-$E$3,22))),0))-IF($G$2,0,IF((M$6-$G$3)&lt;1,0,IFERROR(LOOKUP(2,1/(Soja!$E36:INDEX(Soja!$E36:$Z36,MIN(M$6-$G$3,22))&lt;&gt;""),Soja!$E36:INDEX(Soja!$E36:$Z36,MIN(M$6-$G$3,22))),0)))))</f>
        <v>0</v>
      </c>
      <c r="N38" s="27" t="n">
        <f aca="false">IF(COUNT(Soja!$E36:$Z36)=0,0,MAX(0,IF((N$6-$E$3)&lt;1,0,IFERROR(LOOKUP(2,1/(Soja!$E36:INDEX(Soja!$E36:$Z36,MIN(N$6-$E$3,22))&lt;&gt;""),Soja!$E36:INDEX(Soja!$E36:$Z36,MIN(N$6-$E$3,22))),0))-IF($G$2,0,IF((N$6-$G$3)&lt;1,0,IFERROR(LOOKUP(2,1/(Soja!$E36:INDEX(Soja!$E36:$Z36,MIN(N$6-$G$3,22))&lt;&gt;""),Soja!$E36:INDEX(Soja!$E36:$Z36,MIN(N$6-$G$3,22))),0)))))</f>
        <v>0</v>
      </c>
      <c r="O38" s="27" t="n">
        <f aca="false">IF(COUNT(Soja!$E36:$Z36)=0,0,MAX(0,IF((O$6-$E$3)&lt;1,0,IFERROR(LOOKUP(2,1/(Soja!$E36:INDEX(Soja!$E36:$Z36,MIN(O$6-$E$3,22))&lt;&gt;""),Soja!$E36:INDEX(Soja!$E36:$Z36,MIN(O$6-$E$3,22))),0))-IF($G$2,0,IF((O$6-$G$3)&lt;1,0,IFERROR(LOOKUP(2,1/(Soja!$E36:INDEX(Soja!$E36:$Z36,MIN(O$6-$G$3,22))&lt;&gt;""),Soja!$E36:INDEX(Soja!$E36:$Z36,MIN(O$6-$G$3,22))),0)))))</f>
        <v>0</v>
      </c>
      <c r="P38" s="27" t="n">
        <f aca="false">IF(COUNT(Soja!$E36:$Z36)=0,0,MAX(0,IF((P$6-$E$3)&lt;1,0,IFERROR(LOOKUP(2,1/(Soja!$E36:INDEX(Soja!$E36:$Z36,MIN(P$6-$E$3,22))&lt;&gt;""),Soja!$E36:INDEX(Soja!$E36:$Z36,MIN(P$6-$E$3,22))),0))-IF($G$2,0,IF((P$6-$G$3)&lt;1,0,IFERROR(LOOKUP(2,1/(Soja!$E36:INDEX(Soja!$E36:$Z36,MIN(P$6-$G$3,22))&lt;&gt;""),Soja!$E36:INDEX(Soja!$E36:$Z36,MIN(P$6-$G$3,22))),0)))))</f>
        <v>0</v>
      </c>
      <c r="Q38" s="27" t="n">
        <f aca="false">IF(COUNT(Soja!$E36:$Z36)=0,0,MAX(0,IF((Q$6-$E$3)&lt;1,0,IFERROR(LOOKUP(2,1/(Soja!$E36:INDEX(Soja!$E36:$Z36,MIN(Q$6-$E$3,22))&lt;&gt;""),Soja!$E36:INDEX(Soja!$E36:$Z36,MIN(Q$6-$E$3,22))),0))-IF($G$2,0,IF((Q$6-$G$3)&lt;1,0,IFERROR(LOOKUP(2,1/(Soja!$E36:INDEX(Soja!$E36:$Z36,MIN(Q$6-$G$3,22))&lt;&gt;""),Soja!$E36:INDEX(Soja!$E36:$Z36,MIN(Q$6-$G$3,22))),0)))))</f>
        <v>0</v>
      </c>
      <c r="R38" s="27" t="n">
        <f aca="false">IF(COUNT(Soja!$E36:$Z36)=0,0,MAX(0,IF((R$6-$E$3)&lt;1,0,IFERROR(LOOKUP(2,1/(Soja!$E36:INDEX(Soja!$E36:$Z36,MIN(R$6-$E$3,22))&lt;&gt;""),Soja!$E36:INDEX(Soja!$E36:$Z36,MIN(R$6-$E$3,22))),0))-IF($G$2,0,IF((R$6-$G$3)&lt;1,0,IFERROR(LOOKUP(2,1/(Soja!$E36:INDEX(Soja!$E36:$Z36,MIN(R$6-$G$3,22))&lt;&gt;""),Soja!$E36:INDEX(Soja!$E36:$Z36,MIN(R$6-$G$3,22))),0)))))</f>
        <v>0</v>
      </c>
      <c r="S38" s="27" t="n">
        <f aca="false">IF(COUNT(Soja!$E36:$Z36)=0,0,MAX(0,IF((S$6-$E$3)&lt;1,0,IFERROR(LOOKUP(2,1/(Soja!$E36:INDEX(Soja!$E36:$Z36,MIN(S$6-$E$3,22))&lt;&gt;""),Soja!$E36:INDEX(Soja!$E36:$Z36,MIN(S$6-$E$3,22))),0))-IF($G$2,0,IF((S$6-$G$3)&lt;1,0,IFERROR(LOOKUP(2,1/(Soja!$E36:INDEX(Soja!$E36:$Z36,MIN(S$6-$G$3,22))&lt;&gt;""),Soja!$E36:INDEX(Soja!$E36:$Z36,MIN(S$6-$G$3,22))),0)))))</f>
        <v>0</v>
      </c>
      <c r="T38" s="27" t="n">
        <f aca="false">IF(COUNT(Soja!$E36:$Z36)=0,0,MAX(0,IF((T$6-$E$3)&lt;1,0,IFERROR(LOOKUP(2,1/(Soja!$E36:INDEX(Soja!$E36:$Z36,MIN(T$6-$E$3,22))&lt;&gt;""),Soja!$E36:INDEX(Soja!$E36:$Z36,MIN(T$6-$E$3,22))),0))-IF($G$2,0,IF((T$6-$G$3)&lt;1,0,IFERROR(LOOKUP(2,1/(Soja!$E36:INDEX(Soja!$E36:$Z36,MIN(T$6-$G$3,22))&lt;&gt;""),Soja!$E36:INDEX(Soja!$E36:$Z36,MIN(T$6-$G$3,22))),0)))))</f>
        <v>0</v>
      </c>
      <c r="U38" s="27" t="n">
        <f aca="false">IF(COUNT(Soja!$E36:$Z36)=0,0,MAX(0,IF((U$6-$E$3)&lt;1,0,IFERROR(LOOKUP(2,1/(Soja!$E36:INDEX(Soja!$E36:$Z36,MIN(U$6-$E$3,22))&lt;&gt;""),Soja!$E36:INDEX(Soja!$E36:$Z36,MIN(U$6-$E$3,22))),0))-IF($G$2,0,IF((U$6-$G$3)&lt;1,0,IFERROR(LOOKUP(2,1/(Soja!$E36:INDEX(Soja!$E36:$Z36,MIN(U$6-$G$3,22))&lt;&gt;""),Soja!$E36:INDEX(Soja!$E36:$Z36,MIN(U$6-$G$3,22))),0)))))</f>
        <v>0</v>
      </c>
      <c r="V38" s="27" t="n">
        <f aca="false">IF(COUNT(Soja!$E36:$Z36)=0,0,MAX(0,IF((V$6-$E$3)&lt;1,0,IFERROR(LOOKUP(2,1/(Soja!$E36:INDEX(Soja!$E36:$Z36,MIN(V$6-$E$3,22))&lt;&gt;""),Soja!$E36:INDEX(Soja!$E36:$Z36,MIN(V$6-$E$3,22))),0))-IF($G$2,0,IF((V$6-$G$3)&lt;1,0,IFERROR(LOOKUP(2,1/(Soja!$E36:INDEX(Soja!$E36:$Z36,MIN(V$6-$G$3,22))&lt;&gt;""),Soja!$E36:INDEX(Soja!$E36:$Z36,MIN(V$6-$G$3,22))),0)))))</f>
        <v>0</v>
      </c>
      <c r="W38" s="27" t="n">
        <f aca="false">IF(COUNT(Soja!$E36:$Z36)=0,0,MAX(0,IF((W$6-$E$3)&lt;1,0,IFERROR(LOOKUP(2,1/(Soja!$E36:INDEX(Soja!$E36:$Z36,MIN(W$6-$E$3,22))&lt;&gt;""),Soja!$E36:INDEX(Soja!$E36:$Z36,MIN(W$6-$E$3,22))),0))-IF($G$2,0,IF((W$6-$G$3)&lt;1,0,IFERROR(LOOKUP(2,1/(Soja!$E36:INDEX(Soja!$E36:$Z36,MIN(W$6-$G$3,22))&lt;&gt;""),Soja!$E36:INDEX(Soja!$E36:$Z36,MIN(W$6-$G$3,22))),0)))))</f>
        <v>0</v>
      </c>
      <c r="X38" s="27" t="n">
        <f aca="false">IF(COUNT(Soja!$E36:$Z36)=0,0,MAX(0,IF((X$6-$E$3)&lt;1,0,IFERROR(LOOKUP(2,1/(Soja!$E36:INDEX(Soja!$E36:$Z36,MIN(X$6-$E$3,22))&lt;&gt;""),Soja!$E36:INDEX(Soja!$E36:$Z36,MIN(X$6-$E$3,22))),0))-IF($G$2,0,IF((X$6-$G$3)&lt;1,0,IFERROR(LOOKUP(2,1/(Soja!$E36:INDEX(Soja!$E36:$Z36,MIN(X$6-$G$3,22))&lt;&gt;""),Soja!$E36:INDEX(Soja!$E36:$Z36,MIN(X$6-$G$3,22))),0)))))</f>
        <v>0</v>
      </c>
      <c r="Y38" s="27" t="n">
        <f aca="false">IF(COUNT(Soja!$E36:$Z36)=0,0,MAX(0,IF((Y$6-$E$3)&lt;1,0,IFERROR(LOOKUP(2,1/(Soja!$E36:INDEX(Soja!$E36:$Z36,MIN(Y$6-$E$3,22))&lt;&gt;""),Soja!$E36:INDEX(Soja!$E36:$Z36,MIN(Y$6-$E$3,22))),0))-IF($G$2,0,IF((Y$6-$G$3)&lt;1,0,IFERROR(LOOKUP(2,1/(Soja!$E36:INDEX(Soja!$E36:$Z36,MIN(Y$6-$G$3,22))&lt;&gt;""),Soja!$E36:INDEX(Soja!$E36:$Z36,MIN(Y$6-$G$3,22))),0)))))</f>
        <v>0</v>
      </c>
      <c r="Z38" s="27" t="n">
        <f aca="false">IF(COUNT(Soja!$E36:$Z36)=0,0,MAX(0,IF((Z$6-$E$3)&lt;1,0,IFERROR(LOOKUP(2,1/(Soja!$E36:INDEX(Soja!$E36:$Z36,MIN(Z$6-$E$3,22))&lt;&gt;""),Soja!$E36:INDEX(Soja!$E36:$Z36,MIN(Z$6-$E$3,22))),0))-IF($G$2,0,IF((Z$6-$G$3)&lt;1,0,IFERROR(LOOKUP(2,1/(Soja!$E36:INDEX(Soja!$E36:$Z36,MIN(Z$6-$G$3,22))&lt;&gt;""),Soja!$E36:INDEX(Soja!$E36:$Z36,MIN(Z$6-$G$3,22))),0)))))</f>
        <v>0</v>
      </c>
      <c r="AA38" s="27" t="n">
        <f aca="false">IF(COUNT(Soja!$E36:$Z36)=0,0,MAX(0,IF((AA$6-$E$3)&lt;1,0,IFERROR(LOOKUP(2,1/(Soja!$E36:INDEX(Soja!$E36:$Z36,MIN(AA$6-$E$3,22))&lt;&gt;""),Soja!$E36:INDEX(Soja!$E36:$Z36,MIN(AA$6-$E$3,22))),0))-IF($G$2,0,IF((AA$6-$G$3)&lt;1,0,IFERROR(LOOKUP(2,1/(Soja!$E36:INDEX(Soja!$E36:$Z36,MIN(AA$6-$G$3,22))&lt;&gt;""),Soja!$E36:INDEX(Soja!$E36:$Z36,MIN(AA$6-$G$3,22))),0)))))</f>
        <v>0</v>
      </c>
      <c r="AB38" s="27" t="n">
        <f aca="false">IF(COUNT(Soja!$E36:$Z36)=0,0,MAX(0,IF((AB$6-$E$3)&lt;1,0,IFERROR(LOOKUP(2,1/(Soja!$E36:INDEX(Soja!$E36:$Z36,MIN(AB$6-$E$3,22))&lt;&gt;""),Soja!$E36:INDEX(Soja!$E36:$Z36,MIN(AB$6-$E$3,22))),0))-IF($G$2,0,IF((AB$6-$G$3)&lt;1,0,IFERROR(LOOKUP(2,1/(Soja!$E36:INDEX(Soja!$E36:$Z36,MIN(AB$6-$G$3,22))&lt;&gt;""),Soja!$E36:INDEX(Soja!$E36:$Z36,MIN(AB$6-$G$3,22))),0)))))</f>
        <v>0</v>
      </c>
      <c r="AC38" s="27" t="n">
        <f aca="false">IF(COUNT(Soja!$E36:$Z36)=0,0,MAX(0,IF((AC$6-$E$3)&lt;1,0,IFERROR(LOOKUP(2,1/(Soja!$E36:INDEX(Soja!$E36:$Z36,MIN(AC$6-$E$3,22))&lt;&gt;""),Soja!$E36:INDEX(Soja!$E36:$Z36,MIN(AC$6-$E$3,22))),0))-IF($G$2,0,IF((AC$6-$G$3)&lt;1,0,IFERROR(LOOKUP(2,1/(Soja!$E36:INDEX(Soja!$E36:$Z36,MIN(AC$6-$G$3,22))&lt;&gt;""),Soja!$E36:INDEX(Soja!$E36:$Z36,MIN(AC$6-$G$3,22))),0)))))</f>
        <v>0</v>
      </c>
      <c r="AD38" s="27" t="n">
        <f aca="false">IF(COUNT(Soja!$E36:$Z36)=0,0,MAX(0,IF((AD$6-$E$3)&lt;1,0,IFERROR(LOOKUP(2,1/(Soja!$E36:INDEX(Soja!$E36:$Z36,MIN(AD$6-$E$3,22))&lt;&gt;""),Soja!$E36:INDEX(Soja!$E36:$Z36,MIN(AD$6-$E$3,22))),0))-IF($G$2,0,IF((AD$6-$G$3)&lt;1,0,IFERROR(LOOKUP(2,1/(Soja!$E36:INDEX(Soja!$E36:$Z36,MIN(AD$6-$G$3,22))&lt;&gt;""),Soja!$E36:INDEX(Soja!$E36:$Z36,MIN(AD$6-$G$3,22))),0)))))</f>
        <v>0</v>
      </c>
      <c r="AE38" s="27" t="n">
        <f aca="false">IF(COUNT(Soja!$E36:$Z36)=0,0,MAX(0,IF((AE$6-$E$3)&lt;1,0,IFERROR(LOOKUP(2,1/(Soja!$E36:INDEX(Soja!$E36:$Z36,MIN(AE$6-$E$3,22))&lt;&gt;""),Soja!$E36:INDEX(Soja!$E36:$Z36,MIN(AE$6-$E$3,22))),0))-IF($G$2,0,IF((AE$6-$G$3)&lt;1,0,IFERROR(LOOKUP(2,1/(Soja!$E36:INDEX(Soja!$E36:$Z36,MIN(AE$6-$G$3,22))&lt;&gt;""),Soja!$E36:INDEX(Soja!$E36:$Z36,MIN(AE$6-$G$3,22))),0)))))</f>
        <v>0</v>
      </c>
      <c r="AF38" s="27" t="n">
        <f aca="false">IF(COUNT(Soja!$E36:$Z36)=0,0,MAX(0,IF((AF$6-$E$3)&lt;1,0,IFERROR(LOOKUP(2,1/(Soja!$E36:INDEX(Soja!$E36:$Z36,MIN(AF$6-$E$3,22))&lt;&gt;""),Soja!$E36:INDEX(Soja!$E36:$Z36,MIN(AF$6-$E$3,22))),0))-IF($G$2,0,IF((AF$6-$G$3)&lt;1,0,IFERROR(LOOKUP(2,1/(Soja!$E36:INDEX(Soja!$E36:$Z36,MIN(AF$6-$G$3,22))&lt;&gt;""),Soja!$E36:INDEX(Soja!$E36:$Z36,MIN(AF$6-$G$3,22))),0)))))</f>
        <v>0</v>
      </c>
      <c r="AG38" s="27" t="n">
        <f aca="false">IF(COUNT(Soja!$E36:$Z36)=0,0,MAX(0,IF((AG$6-$E$3)&lt;1,0,IFERROR(LOOKUP(2,1/(Soja!$E36:INDEX(Soja!$E36:$Z36,MIN(AG$6-$E$3,22))&lt;&gt;""),Soja!$E36:INDEX(Soja!$E36:$Z36,MIN(AG$6-$E$3,22))),0))-IF($G$2,0,IF((AG$6-$G$3)&lt;1,0,IFERROR(LOOKUP(2,1/(Soja!$E36:INDEX(Soja!$E36:$Z36,MIN(AG$6-$G$3,22))&lt;&gt;""),Soja!$E36:INDEX(Soja!$E36:$Z36,MIN(AG$6-$G$3,22))),0)))))</f>
        <v>0</v>
      </c>
      <c r="AH38" s="27" t="n">
        <f aca="false">IF(COUNT(Soja!$E36:$Z36)=0,0,MAX(0,IF((AH$6-$E$3)&lt;1,0,IFERROR(LOOKUP(2,1/(Soja!$E36:INDEX(Soja!$E36:$Z36,MIN(AH$6-$E$3,22))&lt;&gt;""),Soja!$E36:INDEX(Soja!$E36:$Z36,MIN(AH$6-$E$3,22))),0))-IF($G$2,0,IF((AH$6-$G$3)&lt;1,0,IFERROR(LOOKUP(2,1/(Soja!$E36:INDEX(Soja!$E36:$Z36,MIN(AH$6-$G$3,22))&lt;&gt;""),Soja!$E36:INDEX(Soja!$E36:$Z36,MIN(AH$6-$G$3,22))),0)))))</f>
        <v>0</v>
      </c>
      <c r="AI38" s="27" t="n">
        <f aca="false">IF(COUNT(Soja!$E36:$Z36)=0,0,MAX(0,IF((AI$6-$E$3)&lt;1,0,IFERROR(LOOKUP(2,1/(Soja!$E36:INDEX(Soja!$E36:$Z36,MIN(AI$6-$E$3,22))&lt;&gt;""),Soja!$E36:INDEX(Soja!$E36:$Z36,MIN(AI$6-$E$3,22))),0))-IF($G$2,0,IF((AI$6-$G$3)&lt;1,0,IFERROR(LOOKUP(2,1/(Soja!$E36:INDEX(Soja!$E36:$Z36,MIN(AI$6-$G$3,22))&lt;&gt;""),Soja!$E36:INDEX(Soja!$E36:$Z36,MIN(AI$6-$G$3,22))),0)))))</f>
        <v>0</v>
      </c>
      <c r="AJ38" s="27" t="n">
        <f aca="false">IF(COUNT(Soja!$E36:$Z36)=0,0,MAX(0,IF((AJ$6-$E$3)&lt;1,0,IFERROR(LOOKUP(2,1/(Soja!$E36:INDEX(Soja!$E36:$Z36,MIN(AJ$6-$E$3,22))&lt;&gt;""),Soja!$E36:INDEX(Soja!$E36:$Z36,MIN(AJ$6-$E$3,22))),0))-IF($G$2,0,IF((AJ$6-$G$3)&lt;1,0,IFERROR(LOOKUP(2,1/(Soja!$E36:INDEX(Soja!$E36:$Z36,MIN(AJ$6-$G$3,22))&lt;&gt;""),Soja!$E36:INDEX(Soja!$E36:$Z36,MIN(AJ$6-$G$3,22))),0)))))</f>
        <v>0</v>
      </c>
      <c r="AK38" s="27" t="n">
        <f aca="false">IF(COUNT(Soja!$E36:$Z36)=0,0,MAX(0,IF((AK$6-$E$3)&lt;1,0,IFERROR(LOOKUP(2,1/(Soja!$E36:INDEX(Soja!$E36:$Z36,MIN(AK$6-$E$3,22))&lt;&gt;""),Soja!$E36:INDEX(Soja!$E36:$Z36,MIN(AK$6-$E$3,22))),0))-IF($G$2,0,IF((AK$6-$G$3)&lt;1,0,IFERROR(LOOKUP(2,1/(Soja!$E36:INDEX(Soja!$E36:$Z36,MIN(AK$6-$G$3,22))&lt;&gt;""),Soja!$E36:INDEX(Soja!$E36:$Z36,MIN(AK$6-$G$3,22))),0)))))</f>
        <v>0</v>
      </c>
      <c r="AL38" s="27" t="n">
        <f aca="false">IF(COUNT(Soja!$E36:$Z36)=0,0,MAX(0,IF((AL$6-$E$3)&lt;1,0,IFERROR(LOOKUP(2,1/(Soja!$E36:INDEX(Soja!$E36:$Z36,MIN(AL$6-$E$3,22))&lt;&gt;""),Soja!$E36:INDEX(Soja!$E36:$Z36,MIN(AL$6-$E$3,22))),0))-IF($G$2,0,IF((AL$6-$G$3)&lt;1,0,IFERROR(LOOKUP(2,1/(Soja!$E36:INDEX(Soja!$E36:$Z36,MIN(AL$6-$G$3,22))&lt;&gt;""),Soja!$E36:INDEX(Soja!$E36:$Z36,MIN(AL$6-$G$3,22))),0)))))</f>
        <v>0</v>
      </c>
      <c r="AM38" s="27" t="n">
        <f aca="false">IF(COUNT(Soja!$E36:$Z36)=0,0,MAX(0,IF((AM$6-$E$3)&lt;1,0,IFERROR(LOOKUP(2,1/(Soja!$E36:INDEX(Soja!$E36:$Z36,MIN(AM$6-$E$3,22))&lt;&gt;""),Soja!$E36:INDEX(Soja!$E36:$Z36,MIN(AM$6-$E$3,22))),0))-IF($G$2,0,IF((AM$6-$G$3)&lt;1,0,IFERROR(LOOKUP(2,1/(Soja!$E36:INDEX(Soja!$E36:$Z36,MIN(AM$6-$G$3,22))&lt;&gt;""),Soja!$E36:INDEX(Soja!$E36:$Z36,MIN(AM$6-$G$3,22))),0)))))</f>
        <v>0</v>
      </c>
      <c r="AN38" s="27" t="n">
        <f aca="false">IF(COUNT(Soja!$E36:$Z36)=0,0,MAX(0,IF((AN$6-$E$3)&lt;1,0,IFERROR(LOOKUP(2,1/(Soja!$E36:INDEX(Soja!$E36:$Z36,MIN(AN$6-$E$3,22))&lt;&gt;""),Soja!$E36:INDEX(Soja!$E36:$Z36,MIN(AN$6-$E$3,22))),0))-IF($G$2,0,IF((AN$6-$G$3)&lt;1,0,IFERROR(LOOKUP(2,1/(Soja!$E36:INDEX(Soja!$E36:$Z36,MIN(AN$6-$G$3,22))&lt;&gt;""),Soja!$E36:INDEX(Soja!$E36:$Z36,MIN(AN$6-$G$3,22))),0)))))</f>
        <v>0</v>
      </c>
      <c r="AO38" s="27" t="n">
        <f aca="false">IF(COUNT(Soja!$E36:$Z36)=0,0,MAX(0,IF((AO$6-$E$3)&lt;1,0,IFERROR(LOOKUP(2,1/(Soja!$E36:INDEX(Soja!$E36:$Z36,MIN(AO$6-$E$3,22))&lt;&gt;""),Soja!$E36:INDEX(Soja!$E36:$Z36,MIN(AO$6-$E$3,22))),0))-IF($G$2,0,IF((AO$6-$G$3)&lt;1,0,IFERROR(LOOKUP(2,1/(Soja!$E36:INDEX(Soja!$E36:$Z36,MIN(AO$6-$G$3,22))&lt;&gt;""),Soja!$E36:INDEX(Soja!$E36:$Z36,MIN(AO$6-$G$3,22))),0)))))</f>
        <v>0</v>
      </c>
      <c r="AP38" s="27" t="n">
        <f aca="false">IF(COUNT(Soja!$E36:$Z36)=0,0,MAX(0,IF((AP$6-$E$3)&lt;1,0,IFERROR(LOOKUP(2,1/(Soja!$E36:INDEX(Soja!$E36:$Z36,MIN(AP$6-$E$3,22))&lt;&gt;""),Soja!$E36:INDEX(Soja!$E36:$Z36,MIN(AP$6-$E$3,22))),0))-IF($G$2,0,IF((AP$6-$G$3)&lt;1,0,IFERROR(LOOKUP(2,1/(Soja!$E36:INDEX(Soja!$E36:$Z36,MIN(AP$6-$G$3,22))&lt;&gt;""),Soja!$E36:INDEX(Soja!$E36:$Z36,MIN(AP$6-$G$3,22))),0)))))</f>
        <v>0</v>
      </c>
      <c r="AQ38" s="27" t="n">
        <f aca="false">IF(COUNT(Soja!$E36:$Z36)=0,0,MAX(0,IF((AQ$6-$E$3)&lt;1,0,IFERROR(LOOKUP(2,1/(Soja!$E36:INDEX(Soja!$E36:$Z36,MIN(AQ$6-$E$3,22))&lt;&gt;""),Soja!$E36:INDEX(Soja!$E36:$Z36,MIN(AQ$6-$E$3,22))),0))-IF($G$2,0,IF((AQ$6-$G$3)&lt;1,0,IFERROR(LOOKUP(2,1/(Soja!$E36:INDEX(Soja!$E36:$Z36,MIN(AQ$6-$G$3,22))&lt;&gt;""),Soja!$E36:INDEX(Soja!$E36:$Z36,MIN(AQ$6-$G$3,22))),0)))))</f>
        <v>0</v>
      </c>
      <c r="AR38" s="27" t="n">
        <f aca="false">IF(COUNT(Soja!$E36:$Z36)=0,0,MAX(0,IF((AR$6-$E$3)&lt;1,0,IFERROR(LOOKUP(2,1/(Soja!$E36:INDEX(Soja!$E36:$Z36,MIN(AR$6-$E$3,22))&lt;&gt;""),Soja!$E36:INDEX(Soja!$E36:$Z36,MIN(AR$6-$E$3,22))),0))-IF($G$2,0,IF((AR$6-$G$3)&lt;1,0,IFERROR(LOOKUP(2,1/(Soja!$E36:INDEX(Soja!$E36:$Z36,MIN(AR$6-$G$3,22))&lt;&gt;""),Soja!$E36:INDEX(Soja!$E36:$Z36,MIN(AR$6-$G$3,22))),0)))))</f>
        <v>0</v>
      </c>
      <c r="AS38" s="27" t="n">
        <f aca="false">IF(COUNT(Soja!$E36:$Z36)=0,0,MAX(0,IF((AS$6-$E$3)&lt;1,0,IFERROR(LOOKUP(2,1/(Soja!$E36:INDEX(Soja!$E36:$Z36,MIN(AS$6-$E$3,22))&lt;&gt;""),Soja!$E36:INDEX(Soja!$E36:$Z36,MIN(AS$6-$E$3,22))),0))-IF($G$2,0,IF((AS$6-$G$3)&lt;1,0,IFERROR(LOOKUP(2,1/(Soja!$E36:INDEX(Soja!$E36:$Z36,MIN(AS$6-$G$3,22))&lt;&gt;""),Soja!$E36:INDEX(Soja!$E36:$Z36,MIN(AS$6-$G$3,22))),0)))))</f>
        <v>0</v>
      </c>
      <c r="AT38" s="27" t="n">
        <f aca="false">IF(COUNT(Soja!$E36:$Z36)=0,0,MAX(0,IF((AT$6-$E$3)&lt;1,0,IFERROR(LOOKUP(2,1/(Soja!$E36:INDEX(Soja!$E36:$Z36,MIN(AT$6-$E$3,22))&lt;&gt;""),Soja!$E36:INDEX(Soja!$E36:$Z36,MIN(AT$6-$E$3,22))),0))-IF($G$2,0,IF((AT$6-$G$3)&lt;1,0,IFERROR(LOOKUP(2,1/(Soja!$E36:INDEX(Soja!$E36:$Z36,MIN(AT$6-$G$3,22))&lt;&gt;""),Soja!$E36:INDEX(Soja!$E36:$Z36,MIN(AT$6-$G$3,22))),0)))))</f>
        <v>0</v>
      </c>
      <c r="AU38" s="27" t="n">
        <f aca="false">IF(COUNT(Soja!$E36:$Z36)=0,0,MAX(0,IF((AU$6-$E$3)&lt;1,0,IFERROR(LOOKUP(2,1/(Soja!$E36:INDEX(Soja!$E36:$Z36,MIN(AU$6-$E$3,22))&lt;&gt;""),Soja!$E36:INDEX(Soja!$E36:$Z36,MIN(AU$6-$E$3,22))),0))-IF($G$2,0,IF((AU$6-$G$3)&lt;1,0,IFERROR(LOOKUP(2,1/(Soja!$E36:INDEX(Soja!$E36:$Z36,MIN(AU$6-$G$3,22))&lt;&gt;""),Soja!$E36:INDEX(Soja!$E36:$Z36,MIN(AU$6-$G$3,22))),0)))))</f>
        <v>0</v>
      </c>
      <c r="AV38" s="27" t="n">
        <f aca="false">IF(COUNT(Soja!$E36:$Z36)=0,0,MAX(0,IF((AV$6-$E$3)&lt;1,0,IFERROR(LOOKUP(2,1/(Soja!$E36:INDEX(Soja!$E36:$Z36,MIN(AV$6-$E$3,22))&lt;&gt;""),Soja!$E36:INDEX(Soja!$E36:$Z36,MIN(AV$6-$E$3,22))),0))-IF($G$2,0,IF((AV$6-$G$3)&lt;1,0,IFERROR(LOOKUP(2,1/(Soja!$E36:INDEX(Soja!$E36:$Z36,MIN(AV$6-$G$3,22))&lt;&gt;""),Soja!$E36:INDEX(Soja!$E36:$Z36,MIN(AV$6-$G$3,22))),0)))))</f>
        <v>0</v>
      </c>
      <c r="AW38" s="27" t="n">
        <f aca="false">IF(COUNT(Soja!$E36:$Z36)=0,0,MAX(0,IF((AW$6-$E$3)&lt;1,0,IFERROR(LOOKUP(2,1/(Soja!$E36:INDEX(Soja!$E36:$Z36,MIN(AW$6-$E$3,22))&lt;&gt;""),Soja!$E36:INDEX(Soja!$E36:$Z36,MIN(AW$6-$E$3,22))),0))-IF($G$2,0,IF((AW$6-$G$3)&lt;1,0,IFERROR(LOOKUP(2,1/(Soja!$E36:INDEX(Soja!$E36:$Z36,MIN(AW$6-$G$3,22))&lt;&gt;""),Soja!$E36:INDEX(Soja!$E36:$Z36,MIN(AW$6-$G$3,22))),0)))))</f>
        <v>0</v>
      </c>
      <c r="AX38" s="27" t="n">
        <f aca="false">IF(COUNT(Soja!$E36:$Z36)=0,0,MAX(0,IF((AX$6-$E$3)&lt;1,0,IFERROR(LOOKUP(2,1/(Soja!$E36:INDEX(Soja!$E36:$Z36,MIN(AX$6-$E$3,22))&lt;&gt;""),Soja!$E36:INDEX(Soja!$E36:$Z36,MIN(AX$6-$E$3,22))),0))-IF($G$2,0,IF((AX$6-$G$3)&lt;1,0,IFERROR(LOOKUP(2,1/(Soja!$E36:INDEX(Soja!$E36:$Z36,MIN(AX$6-$G$3,22))&lt;&gt;""),Soja!$E36:INDEX(Soja!$E36:$Z36,MIN(AX$6-$G$3,22))),0)))))</f>
        <v>0</v>
      </c>
      <c r="AY38" s="27" t="n">
        <f aca="false">IF(COUNT(Soja!$E36:$Z36)=0,0,MAX(0,IF((AY$6-$E$3)&lt;1,0,IFERROR(LOOKUP(2,1/(Soja!$E36:INDEX(Soja!$E36:$Z36,MIN(AY$6-$E$3,22))&lt;&gt;""),Soja!$E36:INDEX(Soja!$E36:$Z36,MIN(AY$6-$E$3,22))),0))-IF($G$2,0,IF((AY$6-$G$3)&lt;1,0,IFERROR(LOOKUP(2,1/(Soja!$E36:INDEX(Soja!$E36:$Z36,MIN(AY$6-$G$3,22))&lt;&gt;""),Soja!$E36:INDEX(Soja!$E36:$Z36,MIN(AY$6-$G$3,22))),0)))))</f>
        <v>0</v>
      </c>
      <c r="AZ38" s="27" t="n">
        <f aca="false">IF(COUNT(Soja!$E36:$Z36)=0,0,MAX(0,IF((AZ$6-$E$3)&lt;1,0,IFERROR(LOOKUP(2,1/(Soja!$E36:INDEX(Soja!$E36:$Z36,MIN(AZ$6-$E$3,22))&lt;&gt;""),Soja!$E36:INDEX(Soja!$E36:$Z36,MIN(AZ$6-$E$3,22))),0))-IF($G$2,0,IF((AZ$6-$G$3)&lt;1,0,IFERROR(LOOKUP(2,1/(Soja!$E36:INDEX(Soja!$E36:$Z36,MIN(AZ$6-$G$3,22))&lt;&gt;""),Soja!$E36:INDEX(Soja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IF(COUNT(Soja!$E37:$Z37)&gt;0,N(Soja!$D37),0)</f>
        <v>0</v>
      </c>
      <c r="E39" s="27" t="n">
        <f aca="false">IF(COUNT(Soja!$E37:$Z37)=0,0,MAX(0,IF((E$6-$E$3)&lt;1,0,IFERROR(LOOKUP(2,1/(Soja!$E37:INDEX(Soja!$E37:$Z37,MIN(E$6-$E$3,22))&lt;&gt;""),Soja!$E37:INDEX(Soja!$E37:$Z37,MIN(E$6-$E$3,22))),0))-IF($G$2,0,IF((E$6-$G$3)&lt;1,0,IFERROR(LOOKUP(2,1/(Soja!$E37:INDEX(Soja!$E37:$Z37,MIN(E$6-$G$3,22))&lt;&gt;""),Soja!$E37:INDEX(Soja!$E37:$Z37,MIN(E$6-$G$3,22))),0)))))</f>
        <v>0</v>
      </c>
      <c r="F39" s="27" t="n">
        <f aca="false">IF(COUNT(Soja!$E37:$Z37)=0,0,MAX(0,IF((F$6-$E$3)&lt;1,0,IFERROR(LOOKUP(2,1/(Soja!$E37:INDEX(Soja!$E37:$Z37,MIN(F$6-$E$3,22))&lt;&gt;""),Soja!$E37:INDEX(Soja!$E37:$Z37,MIN(F$6-$E$3,22))),0))-IF($G$2,0,IF((F$6-$G$3)&lt;1,0,IFERROR(LOOKUP(2,1/(Soja!$E37:INDEX(Soja!$E37:$Z37,MIN(F$6-$G$3,22))&lt;&gt;""),Soja!$E37:INDEX(Soja!$E37:$Z37,MIN(F$6-$G$3,22))),0)))))</f>
        <v>0</v>
      </c>
      <c r="G39" s="27" t="n">
        <f aca="false">IF(COUNT(Soja!$E37:$Z37)=0,0,MAX(0,IF((G$6-$E$3)&lt;1,0,IFERROR(LOOKUP(2,1/(Soja!$E37:INDEX(Soja!$E37:$Z37,MIN(G$6-$E$3,22))&lt;&gt;""),Soja!$E37:INDEX(Soja!$E37:$Z37,MIN(G$6-$E$3,22))),0))-IF($G$2,0,IF((G$6-$G$3)&lt;1,0,IFERROR(LOOKUP(2,1/(Soja!$E37:INDEX(Soja!$E37:$Z37,MIN(G$6-$G$3,22))&lt;&gt;""),Soja!$E37:INDEX(Soja!$E37:$Z37,MIN(G$6-$G$3,22))),0)))))</f>
        <v>0</v>
      </c>
      <c r="H39" s="27" t="n">
        <f aca="false">IF(COUNT(Soja!$E37:$Z37)=0,0,MAX(0,IF((H$6-$E$3)&lt;1,0,IFERROR(LOOKUP(2,1/(Soja!$E37:INDEX(Soja!$E37:$Z37,MIN(H$6-$E$3,22))&lt;&gt;""),Soja!$E37:INDEX(Soja!$E37:$Z37,MIN(H$6-$E$3,22))),0))-IF($G$2,0,IF((H$6-$G$3)&lt;1,0,IFERROR(LOOKUP(2,1/(Soja!$E37:INDEX(Soja!$E37:$Z37,MIN(H$6-$G$3,22))&lt;&gt;""),Soja!$E37:INDEX(Soja!$E37:$Z37,MIN(H$6-$G$3,22))),0)))))</f>
        <v>0</v>
      </c>
      <c r="I39" s="27" t="n">
        <f aca="false">IF(COUNT(Soja!$E37:$Z37)=0,0,MAX(0,IF((I$6-$E$3)&lt;1,0,IFERROR(LOOKUP(2,1/(Soja!$E37:INDEX(Soja!$E37:$Z37,MIN(I$6-$E$3,22))&lt;&gt;""),Soja!$E37:INDEX(Soja!$E37:$Z37,MIN(I$6-$E$3,22))),0))-IF($G$2,0,IF((I$6-$G$3)&lt;1,0,IFERROR(LOOKUP(2,1/(Soja!$E37:INDEX(Soja!$E37:$Z37,MIN(I$6-$G$3,22))&lt;&gt;""),Soja!$E37:INDEX(Soja!$E37:$Z37,MIN(I$6-$G$3,22))),0)))))</f>
        <v>0</v>
      </c>
      <c r="J39" s="27" t="n">
        <f aca="false">IF(COUNT(Soja!$E37:$Z37)=0,0,MAX(0,IF((J$6-$E$3)&lt;1,0,IFERROR(LOOKUP(2,1/(Soja!$E37:INDEX(Soja!$E37:$Z37,MIN(J$6-$E$3,22))&lt;&gt;""),Soja!$E37:INDEX(Soja!$E37:$Z37,MIN(J$6-$E$3,22))),0))-IF($G$2,0,IF((J$6-$G$3)&lt;1,0,IFERROR(LOOKUP(2,1/(Soja!$E37:INDEX(Soja!$E37:$Z37,MIN(J$6-$G$3,22))&lt;&gt;""),Soja!$E37:INDEX(Soja!$E37:$Z37,MIN(J$6-$G$3,22))),0)))))</f>
        <v>0</v>
      </c>
      <c r="K39" s="27" t="n">
        <f aca="false">IF(COUNT(Soja!$E37:$Z37)=0,0,MAX(0,IF((K$6-$E$3)&lt;1,0,IFERROR(LOOKUP(2,1/(Soja!$E37:INDEX(Soja!$E37:$Z37,MIN(K$6-$E$3,22))&lt;&gt;""),Soja!$E37:INDEX(Soja!$E37:$Z37,MIN(K$6-$E$3,22))),0))-IF($G$2,0,IF((K$6-$G$3)&lt;1,0,IFERROR(LOOKUP(2,1/(Soja!$E37:INDEX(Soja!$E37:$Z37,MIN(K$6-$G$3,22))&lt;&gt;""),Soja!$E37:INDEX(Soja!$E37:$Z37,MIN(K$6-$G$3,22))),0)))))</f>
        <v>0</v>
      </c>
      <c r="L39" s="27" t="n">
        <f aca="false">IF(COUNT(Soja!$E37:$Z37)=0,0,MAX(0,IF((L$6-$E$3)&lt;1,0,IFERROR(LOOKUP(2,1/(Soja!$E37:INDEX(Soja!$E37:$Z37,MIN(L$6-$E$3,22))&lt;&gt;""),Soja!$E37:INDEX(Soja!$E37:$Z37,MIN(L$6-$E$3,22))),0))-IF($G$2,0,IF((L$6-$G$3)&lt;1,0,IFERROR(LOOKUP(2,1/(Soja!$E37:INDEX(Soja!$E37:$Z37,MIN(L$6-$G$3,22))&lt;&gt;""),Soja!$E37:INDEX(Soja!$E37:$Z37,MIN(L$6-$G$3,22))),0)))))</f>
        <v>0</v>
      </c>
      <c r="M39" s="27" t="n">
        <f aca="false">IF(COUNT(Soja!$E37:$Z37)=0,0,MAX(0,IF((M$6-$E$3)&lt;1,0,IFERROR(LOOKUP(2,1/(Soja!$E37:INDEX(Soja!$E37:$Z37,MIN(M$6-$E$3,22))&lt;&gt;""),Soja!$E37:INDEX(Soja!$E37:$Z37,MIN(M$6-$E$3,22))),0))-IF($G$2,0,IF((M$6-$G$3)&lt;1,0,IFERROR(LOOKUP(2,1/(Soja!$E37:INDEX(Soja!$E37:$Z37,MIN(M$6-$G$3,22))&lt;&gt;""),Soja!$E37:INDEX(Soja!$E37:$Z37,MIN(M$6-$G$3,22))),0)))))</f>
        <v>0</v>
      </c>
      <c r="N39" s="27" t="n">
        <f aca="false">IF(COUNT(Soja!$E37:$Z37)=0,0,MAX(0,IF((N$6-$E$3)&lt;1,0,IFERROR(LOOKUP(2,1/(Soja!$E37:INDEX(Soja!$E37:$Z37,MIN(N$6-$E$3,22))&lt;&gt;""),Soja!$E37:INDEX(Soja!$E37:$Z37,MIN(N$6-$E$3,22))),0))-IF($G$2,0,IF((N$6-$G$3)&lt;1,0,IFERROR(LOOKUP(2,1/(Soja!$E37:INDEX(Soja!$E37:$Z37,MIN(N$6-$G$3,22))&lt;&gt;""),Soja!$E37:INDEX(Soja!$E37:$Z37,MIN(N$6-$G$3,22))),0)))))</f>
        <v>0</v>
      </c>
      <c r="O39" s="27" t="n">
        <f aca="false">IF(COUNT(Soja!$E37:$Z37)=0,0,MAX(0,IF((O$6-$E$3)&lt;1,0,IFERROR(LOOKUP(2,1/(Soja!$E37:INDEX(Soja!$E37:$Z37,MIN(O$6-$E$3,22))&lt;&gt;""),Soja!$E37:INDEX(Soja!$E37:$Z37,MIN(O$6-$E$3,22))),0))-IF($G$2,0,IF((O$6-$G$3)&lt;1,0,IFERROR(LOOKUP(2,1/(Soja!$E37:INDEX(Soja!$E37:$Z37,MIN(O$6-$G$3,22))&lt;&gt;""),Soja!$E37:INDEX(Soja!$E37:$Z37,MIN(O$6-$G$3,22))),0)))))</f>
        <v>0</v>
      </c>
      <c r="P39" s="27" t="n">
        <f aca="false">IF(COUNT(Soja!$E37:$Z37)=0,0,MAX(0,IF((P$6-$E$3)&lt;1,0,IFERROR(LOOKUP(2,1/(Soja!$E37:INDEX(Soja!$E37:$Z37,MIN(P$6-$E$3,22))&lt;&gt;""),Soja!$E37:INDEX(Soja!$E37:$Z37,MIN(P$6-$E$3,22))),0))-IF($G$2,0,IF((P$6-$G$3)&lt;1,0,IFERROR(LOOKUP(2,1/(Soja!$E37:INDEX(Soja!$E37:$Z37,MIN(P$6-$G$3,22))&lt;&gt;""),Soja!$E37:INDEX(Soja!$E37:$Z37,MIN(P$6-$G$3,22))),0)))))</f>
        <v>0</v>
      </c>
      <c r="Q39" s="27" t="n">
        <f aca="false">IF(COUNT(Soja!$E37:$Z37)=0,0,MAX(0,IF((Q$6-$E$3)&lt;1,0,IFERROR(LOOKUP(2,1/(Soja!$E37:INDEX(Soja!$E37:$Z37,MIN(Q$6-$E$3,22))&lt;&gt;""),Soja!$E37:INDEX(Soja!$E37:$Z37,MIN(Q$6-$E$3,22))),0))-IF($G$2,0,IF((Q$6-$G$3)&lt;1,0,IFERROR(LOOKUP(2,1/(Soja!$E37:INDEX(Soja!$E37:$Z37,MIN(Q$6-$G$3,22))&lt;&gt;""),Soja!$E37:INDEX(Soja!$E37:$Z37,MIN(Q$6-$G$3,22))),0)))))</f>
        <v>0</v>
      </c>
      <c r="R39" s="27" t="n">
        <f aca="false">IF(COUNT(Soja!$E37:$Z37)=0,0,MAX(0,IF((R$6-$E$3)&lt;1,0,IFERROR(LOOKUP(2,1/(Soja!$E37:INDEX(Soja!$E37:$Z37,MIN(R$6-$E$3,22))&lt;&gt;""),Soja!$E37:INDEX(Soja!$E37:$Z37,MIN(R$6-$E$3,22))),0))-IF($G$2,0,IF((R$6-$G$3)&lt;1,0,IFERROR(LOOKUP(2,1/(Soja!$E37:INDEX(Soja!$E37:$Z37,MIN(R$6-$G$3,22))&lt;&gt;""),Soja!$E37:INDEX(Soja!$E37:$Z37,MIN(R$6-$G$3,22))),0)))))</f>
        <v>0</v>
      </c>
      <c r="S39" s="27" t="n">
        <f aca="false">IF(COUNT(Soja!$E37:$Z37)=0,0,MAX(0,IF((S$6-$E$3)&lt;1,0,IFERROR(LOOKUP(2,1/(Soja!$E37:INDEX(Soja!$E37:$Z37,MIN(S$6-$E$3,22))&lt;&gt;""),Soja!$E37:INDEX(Soja!$E37:$Z37,MIN(S$6-$E$3,22))),0))-IF($G$2,0,IF((S$6-$G$3)&lt;1,0,IFERROR(LOOKUP(2,1/(Soja!$E37:INDEX(Soja!$E37:$Z37,MIN(S$6-$G$3,22))&lt;&gt;""),Soja!$E37:INDEX(Soja!$E37:$Z37,MIN(S$6-$G$3,22))),0)))))</f>
        <v>0</v>
      </c>
      <c r="T39" s="27" t="n">
        <f aca="false">IF(COUNT(Soja!$E37:$Z37)=0,0,MAX(0,IF((T$6-$E$3)&lt;1,0,IFERROR(LOOKUP(2,1/(Soja!$E37:INDEX(Soja!$E37:$Z37,MIN(T$6-$E$3,22))&lt;&gt;""),Soja!$E37:INDEX(Soja!$E37:$Z37,MIN(T$6-$E$3,22))),0))-IF($G$2,0,IF((T$6-$G$3)&lt;1,0,IFERROR(LOOKUP(2,1/(Soja!$E37:INDEX(Soja!$E37:$Z37,MIN(T$6-$G$3,22))&lt;&gt;""),Soja!$E37:INDEX(Soja!$E37:$Z37,MIN(T$6-$G$3,22))),0)))))</f>
        <v>0</v>
      </c>
      <c r="U39" s="27" t="n">
        <f aca="false">IF(COUNT(Soja!$E37:$Z37)=0,0,MAX(0,IF((U$6-$E$3)&lt;1,0,IFERROR(LOOKUP(2,1/(Soja!$E37:INDEX(Soja!$E37:$Z37,MIN(U$6-$E$3,22))&lt;&gt;""),Soja!$E37:INDEX(Soja!$E37:$Z37,MIN(U$6-$E$3,22))),0))-IF($G$2,0,IF((U$6-$G$3)&lt;1,0,IFERROR(LOOKUP(2,1/(Soja!$E37:INDEX(Soja!$E37:$Z37,MIN(U$6-$G$3,22))&lt;&gt;""),Soja!$E37:INDEX(Soja!$E37:$Z37,MIN(U$6-$G$3,22))),0)))))</f>
        <v>0</v>
      </c>
      <c r="V39" s="27" t="n">
        <f aca="false">IF(COUNT(Soja!$E37:$Z37)=0,0,MAX(0,IF((V$6-$E$3)&lt;1,0,IFERROR(LOOKUP(2,1/(Soja!$E37:INDEX(Soja!$E37:$Z37,MIN(V$6-$E$3,22))&lt;&gt;""),Soja!$E37:INDEX(Soja!$E37:$Z37,MIN(V$6-$E$3,22))),0))-IF($G$2,0,IF((V$6-$G$3)&lt;1,0,IFERROR(LOOKUP(2,1/(Soja!$E37:INDEX(Soja!$E37:$Z37,MIN(V$6-$G$3,22))&lt;&gt;""),Soja!$E37:INDEX(Soja!$E37:$Z37,MIN(V$6-$G$3,22))),0)))))</f>
        <v>0</v>
      </c>
      <c r="W39" s="27" t="n">
        <f aca="false">IF(COUNT(Soja!$E37:$Z37)=0,0,MAX(0,IF((W$6-$E$3)&lt;1,0,IFERROR(LOOKUP(2,1/(Soja!$E37:INDEX(Soja!$E37:$Z37,MIN(W$6-$E$3,22))&lt;&gt;""),Soja!$E37:INDEX(Soja!$E37:$Z37,MIN(W$6-$E$3,22))),0))-IF($G$2,0,IF((W$6-$G$3)&lt;1,0,IFERROR(LOOKUP(2,1/(Soja!$E37:INDEX(Soja!$E37:$Z37,MIN(W$6-$G$3,22))&lt;&gt;""),Soja!$E37:INDEX(Soja!$E37:$Z37,MIN(W$6-$G$3,22))),0)))))</f>
        <v>0</v>
      </c>
      <c r="X39" s="27" t="n">
        <f aca="false">IF(COUNT(Soja!$E37:$Z37)=0,0,MAX(0,IF((X$6-$E$3)&lt;1,0,IFERROR(LOOKUP(2,1/(Soja!$E37:INDEX(Soja!$E37:$Z37,MIN(X$6-$E$3,22))&lt;&gt;""),Soja!$E37:INDEX(Soja!$E37:$Z37,MIN(X$6-$E$3,22))),0))-IF($G$2,0,IF((X$6-$G$3)&lt;1,0,IFERROR(LOOKUP(2,1/(Soja!$E37:INDEX(Soja!$E37:$Z37,MIN(X$6-$G$3,22))&lt;&gt;""),Soja!$E37:INDEX(Soja!$E37:$Z37,MIN(X$6-$G$3,22))),0)))))</f>
        <v>0</v>
      </c>
      <c r="Y39" s="27" t="n">
        <f aca="false">IF(COUNT(Soja!$E37:$Z37)=0,0,MAX(0,IF((Y$6-$E$3)&lt;1,0,IFERROR(LOOKUP(2,1/(Soja!$E37:INDEX(Soja!$E37:$Z37,MIN(Y$6-$E$3,22))&lt;&gt;""),Soja!$E37:INDEX(Soja!$E37:$Z37,MIN(Y$6-$E$3,22))),0))-IF($G$2,0,IF((Y$6-$G$3)&lt;1,0,IFERROR(LOOKUP(2,1/(Soja!$E37:INDEX(Soja!$E37:$Z37,MIN(Y$6-$G$3,22))&lt;&gt;""),Soja!$E37:INDEX(Soja!$E37:$Z37,MIN(Y$6-$G$3,22))),0)))))</f>
        <v>0</v>
      </c>
      <c r="Z39" s="27" t="n">
        <f aca="false">IF(COUNT(Soja!$E37:$Z37)=0,0,MAX(0,IF((Z$6-$E$3)&lt;1,0,IFERROR(LOOKUP(2,1/(Soja!$E37:INDEX(Soja!$E37:$Z37,MIN(Z$6-$E$3,22))&lt;&gt;""),Soja!$E37:INDEX(Soja!$E37:$Z37,MIN(Z$6-$E$3,22))),0))-IF($G$2,0,IF((Z$6-$G$3)&lt;1,0,IFERROR(LOOKUP(2,1/(Soja!$E37:INDEX(Soja!$E37:$Z37,MIN(Z$6-$G$3,22))&lt;&gt;""),Soja!$E37:INDEX(Soja!$E37:$Z37,MIN(Z$6-$G$3,22))),0)))))</f>
        <v>0</v>
      </c>
      <c r="AA39" s="27" t="n">
        <f aca="false">IF(COUNT(Soja!$E37:$Z37)=0,0,MAX(0,IF((AA$6-$E$3)&lt;1,0,IFERROR(LOOKUP(2,1/(Soja!$E37:INDEX(Soja!$E37:$Z37,MIN(AA$6-$E$3,22))&lt;&gt;""),Soja!$E37:INDEX(Soja!$E37:$Z37,MIN(AA$6-$E$3,22))),0))-IF($G$2,0,IF((AA$6-$G$3)&lt;1,0,IFERROR(LOOKUP(2,1/(Soja!$E37:INDEX(Soja!$E37:$Z37,MIN(AA$6-$G$3,22))&lt;&gt;""),Soja!$E37:INDEX(Soja!$E37:$Z37,MIN(AA$6-$G$3,22))),0)))))</f>
        <v>0</v>
      </c>
      <c r="AB39" s="27" t="n">
        <f aca="false">IF(COUNT(Soja!$E37:$Z37)=0,0,MAX(0,IF((AB$6-$E$3)&lt;1,0,IFERROR(LOOKUP(2,1/(Soja!$E37:INDEX(Soja!$E37:$Z37,MIN(AB$6-$E$3,22))&lt;&gt;""),Soja!$E37:INDEX(Soja!$E37:$Z37,MIN(AB$6-$E$3,22))),0))-IF($G$2,0,IF((AB$6-$G$3)&lt;1,0,IFERROR(LOOKUP(2,1/(Soja!$E37:INDEX(Soja!$E37:$Z37,MIN(AB$6-$G$3,22))&lt;&gt;""),Soja!$E37:INDEX(Soja!$E37:$Z37,MIN(AB$6-$G$3,22))),0)))))</f>
        <v>0</v>
      </c>
      <c r="AC39" s="27" t="n">
        <f aca="false">IF(COUNT(Soja!$E37:$Z37)=0,0,MAX(0,IF((AC$6-$E$3)&lt;1,0,IFERROR(LOOKUP(2,1/(Soja!$E37:INDEX(Soja!$E37:$Z37,MIN(AC$6-$E$3,22))&lt;&gt;""),Soja!$E37:INDEX(Soja!$E37:$Z37,MIN(AC$6-$E$3,22))),0))-IF($G$2,0,IF((AC$6-$G$3)&lt;1,0,IFERROR(LOOKUP(2,1/(Soja!$E37:INDEX(Soja!$E37:$Z37,MIN(AC$6-$G$3,22))&lt;&gt;""),Soja!$E37:INDEX(Soja!$E37:$Z37,MIN(AC$6-$G$3,22))),0)))))</f>
        <v>0</v>
      </c>
      <c r="AD39" s="27" t="n">
        <f aca="false">IF(COUNT(Soja!$E37:$Z37)=0,0,MAX(0,IF((AD$6-$E$3)&lt;1,0,IFERROR(LOOKUP(2,1/(Soja!$E37:INDEX(Soja!$E37:$Z37,MIN(AD$6-$E$3,22))&lt;&gt;""),Soja!$E37:INDEX(Soja!$E37:$Z37,MIN(AD$6-$E$3,22))),0))-IF($G$2,0,IF((AD$6-$G$3)&lt;1,0,IFERROR(LOOKUP(2,1/(Soja!$E37:INDEX(Soja!$E37:$Z37,MIN(AD$6-$G$3,22))&lt;&gt;""),Soja!$E37:INDEX(Soja!$E37:$Z37,MIN(AD$6-$G$3,22))),0)))))</f>
        <v>0</v>
      </c>
      <c r="AE39" s="27" t="n">
        <f aca="false">IF(COUNT(Soja!$E37:$Z37)=0,0,MAX(0,IF((AE$6-$E$3)&lt;1,0,IFERROR(LOOKUP(2,1/(Soja!$E37:INDEX(Soja!$E37:$Z37,MIN(AE$6-$E$3,22))&lt;&gt;""),Soja!$E37:INDEX(Soja!$E37:$Z37,MIN(AE$6-$E$3,22))),0))-IF($G$2,0,IF((AE$6-$G$3)&lt;1,0,IFERROR(LOOKUP(2,1/(Soja!$E37:INDEX(Soja!$E37:$Z37,MIN(AE$6-$G$3,22))&lt;&gt;""),Soja!$E37:INDEX(Soja!$E37:$Z37,MIN(AE$6-$G$3,22))),0)))))</f>
        <v>0</v>
      </c>
      <c r="AF39" s="27" t="n">
        <f aca="false">IF(COUNT(Soja!$E37:$Z37)=0,0,MAX(0,IF((AF$6-$E$3)&lt;1,0,IFERROR(LOOKUP(2,1/(Soja!$E37:INDEX(Soja!$E37:$Z37,MIN(AF$6-$E$3,22))&lt;&gt;""),Soja!$E37:INDEX(Soja!$E37:$Z37,MIN(AF$6-$E$3,22))),0))-IF($G$2,0,IF((AF$6-$G$3)&lt;1,0,IFERROR(LOOKUP(2,1/(Soja!$E37:INDEX(Soja!$E37:$Z37,MIN(AF$6-$G$3,22))&lt;&gt;""),Soja!$E37:INDEX(Soja!$E37:$Z37,MIN(AF$6-$G$3,22))),0)))))</f>
        <v>0</v>
      </c>
      <c r="AG39" s="27" t="n">
        <f aca="false">IF(COUNT(Soja!$E37:$Z37)=0,0,MAX(0,IF((AG$6-$E$3)&lt;1,0,IFERROR(LOOKUP(2,1/(Soja!$E37:INDEX(Soja!$E37:$Z37,MIN(AG$6-$E$3,22))&lt;&gt;""),Soja!$E37:INDEX(Soja!$E37:$Z37,MIN(AG$6-$E$3,22))),0))-IF($G$2,0,IF((AG$6-$G$3)&lt;1,0,IFERROR(LOOKUP(2,1/(Soja!$E37:INDEX(Soja!$E37:$Z37,MIN(AG$6-$G$3,22))&lt;&gt;""),Soja!$E37:INDEX(Soja!$E37:$Z37,MIN(AG$6-$G$3,22))),0)))))</f>
        <v>0</v>
      </c>
      <c r="AH39" s="27" t="n">
        <f aca="false">IF(COUNT(Soja!$E37:$Z37)=0,0,MAX(0,IF((AH$6-$E$3)&lt;1,0,IFERROR(LOOKUP(2,1/(Soja!$E37:INDEX(Soja!$E37:$Z37,MIN(AH$6-$E$3,22))&lt;&gt;""),Soja!$E37:INDEX(Soja!$E37:$Z37,MIN(AH$6-$E$3,22))),0))-IF($G$2,0,IF((AH$6-$G$3)&lt;1,0,IFERROR(LOOKUP(2,1/(Soja!$E37:INDEX(Soja!$E37:$Z37,MIN(AH$6-$G$3,22))&lt;&gt;""),Soja!$E37:INDEX(Soja!$E37:$Z37,MIN(AH$6-$G$3,22))),0)))))</f>
        <v>0</v>
      </c>
      <c r="AI39" s="27" t="n">
        <f aca="false">IF(COUNT(Soja!$E37:$Z37)=0,0,MAX(0,IF((AI$6-$E$3)&lt;1,0,IFERROR(LOOKUP(2,1/(Soja!$E37:INDEX(Soja!$E37:$Z37,MIN(AI$6-$E$3,22))&lt;&gt;""),Soja!$E37:INDEX(Soja!$E37:$Z37,MIN(AI$6-$E$3,22))),0))-IF($G$2,0,IF((AI$6-$G$3)&lt;1,0,IFERROR(LOOKUP(2,1/(Soja!$E37:INDEX(Soja!$E37:$Z37,MIN(AI$6-$G$3,22))&lt;&gt;""),Soja!$E37:INDEX(Soja!$E37:$Z37,MIN(AI$6-$G$3,22))),0)))))</f>
        <v>0</v>
      </c>
      <c r="AJ39" s="27" t="n">
        <f aca="false">IF(COUNT(Soja!$E37:$Z37)=0,0,MAX(0,IF((AJ$6-$E$3)&lt;1,0,IFERROR(LOOKUP(2,1/(Soja!$E37:INDEX(Soja!$E37:$Z37,MIN(AJ$6-$E$3,22))&lt;&gt;""),Soja!$E37:INDEX(Soja!$E37:$Z37,MIN(AJ$6-$E$3,22))),0))-IF($G$2,0,IF((AJ$6-$G$3)&lt;1,0,IFERROR(LOOKUP(2,1/(Soja!$E37:INDEX(Soja!$E37:$Z37,MIN(AJ$6-$G$3,22))&lt;&gt;""),Soja!$E37:INDEX(Soja!$E37:$Z37,MIN(AJ$6-$G$3,22))),0)))))</f>
        <v>0</v>
      </c>
      <c r="AK39" s="27" t="n">
        <f aca="false">IF(COUNT(Soja!$E37:$Z37)=0,0,MAX(0,IF((AK$6-$E$3)&lt;1,0,IFERROR(LOOKUP(2,1/(Soja!$E37:INDEX(Soja!$E37:$Z37,MIN(AK$6-$E$3,22))&lt;&gt;""),Soja!$E37:INDEX(Soja!$E37:$Z37,MIN(AK$6-$E$3,22))),0))-IF($G$2,0,IF((AK$6-$G$3)&lt;1,0,IFERROR(LOOKUP(2,1/(Soja!$E37:INDEX(Soja!$E37:$Z37,MIN(AK$6-$G$3,22))&lt;&gt;""),Soja!$E37:INDEX(Soja!$E37:$Z37,MIN(AK$6-$G$3,22))),0)))))</f>
        <v>0</v>
      </c>
      <c r="AL39" s="27" t="n">
        <f aca="false">IF(COUNT(Soja!$E37:$Z37)=0,0,MAX(0,IF((AL$6-$E$3)&lt;1,0,IFERROR(LOOKUP(2,1/(Soja!$E37:INDEX(Soja!$E37:$Z37,MIN(AL$6-$E$3,22))&lt;&gt;""),Soja!$E37:INDEX(Soja!$E37:$Z37,MIN(AL$6-$E$3,22))),0))-IF($G$2,0,IF((AL$6-$G$3)&lt;1,0,IFERROR(LOOKUP(2,1/(Soja!$E37:INDEX(Soja!$E37:$Z37,MIN(AL$6-$G$3,22))&lt;&gt;""),Soja!$E37:INDEX(Soja!$E37:$Z37,MIN(AL$6-$G$3,22))),0)))))</f>
        <v>0</v>
      </c>
      <c r="AM39" s="27" t="n">
        <f aca="false">IF(COUNT(Soja!$E37:$Z37)=0,0,MAX(0,IF((AM$6-$E$3)&lt;1,0,IFERROR(LOOKUP(2,1/(Soja!$E37:INDEX(Soja!$E37:$Z37,MIN(AM$6-$E$3,22))&lt;&gt;""),Soja!$E37:INDEX(Soja!$E37:$Z37,MIN(AM$6-$E$3,22))),0))-IF($G$2,0,IF((AM$6-$G$3)&lt;1,0,IFERROR(LOOKUP(2,1/(Soja!$E37:INDEX(Soja!$E37:$Z37,MIN(AM$6-$G$3,22))&lt;&gt;""),Soja!$E37:INDEX(Soja!$E37:$Z37,MIN(AM$6-$G$3,22))),0)))))</f>
        <v>0</v>
      </c>
      <c r="AN39" s="27" t="n">
        <f aca="false">IF(COUNT(Soja!$E37:$Z37)=0,0,MAX(0,IF((AN$6-$E$3)&lt;1,0,IFERROR(LOOKUP(2,1/(Soja!$E37:INDEX(Soja!$E37:$Z37,MIN(AN$6-$E$3,22))&lt;&gt;""),Soja!$E37:INDEX(Soja!$E37:$Z37,MIN(AN$6-$E$3,22))),0))-IF($G$2,0,IF((AN$6-$G$3)&lt;1,0,IFERROR(LOOKUP(2,1/(Soja!$E37:INDEX(Soja!$E37:$Z37,MIN(AN$6-$G$3,22))&lt;&gt;""),Soja!$E37:INDEX(Soja!$E37:$Z37,MIN(AN$6-$G$3,22))),0)))))</f>
        <v>0</v>
      </c>
      <c r="AO39" s="27" t="n">
        <f aca="false">IF(COUNT(Soja!$E37:$Z37)=0,0,MAX(0,IF((AO$6-$E$3)&lt;1,0,IFERROR(LOOKUP(2,1/(Soja!$E37:INDEX(Soja!$E37:$Z37,MIN(AO$6-$E$3,22))&lt;&gt;""),Soja!$E37:INDEX(Soja!$E37:$Z37,MIN(AO$6-$E$3,22))),0))-IF($G$2,0,IF((AO$6-$G$3)&lt;1,0,IFERROR(LOOKUP(2,1/(Soja!$E37:INDEX(Soja!$E37:$Z37,MIN(AO$6-$G$3,22))&lt;&gt;""),Soja!$E37:INDEX(Soja!$E37:$Z37,MIN(AO$6-$G$3,22))),0)))))</f>
        <v>0</v>
      </c>
      <c r="AP39" s="27" t="n">
        <f aca="false">IF(COUNT(Soja!$E37:$Z37)=0,0,MAX(0,IF((AP$6-$E$3)&lt;1,0,IFERROR(LOOKUP(2,1/(Soja!$E37:INDEX(Soja!$E37:$Z37,MIN(AP$6-$E$3,22))&lt;&gt;""),Soja!$E37:INDEX(Soja!$E37:$Z37,MIN(AP$6-$E$3,22))),0))-IF($G$2,0,IF((AP$6-$G$3)&lt;1,0,IFERROR(LOOKUP(2,1/(Soja!$E37:INDEX(Soja!$E37:$Z37,MIN(AP$6-$G$3,22))&lt;&gt;""),Soja!$E37:INDEX(Soja!$E37:$Z37,MIN(AP$6-$G$3,22))),0)))))</f>
        <v>0</v>
      </c>
      <c r="AQ39" s="27" t="n">
        <f aca="false">IF(COUNT(Soja!$E37:$Z37)=0,0,MAX(0,IF((AQ$6-$E$3)&lt;1,0,IFERROR(LOOKUP(2,1/(Soja!$E37:INDEX(Soja!$E37:$Z37,MIN(AQ$6-$E$3,22))&lt;&gt;""),Soja!$E37:INDEX(Soja!$E37:$Z37,MIN(AQ$6-$E$3,22))),0))-IF($G$2,0,IF((AQ$6-$G$3)&lt;1,0,IFERROR(LOOKUP(2,1/(Soja!$E37:INDEX(Soja!$E37:$Z37,MIN(AQ$6-$G$3,22))&lt;&gt;""),Soja!$E37:INDEX(Soja!$E37:$Z37,MIN(AQ$6-$G$3,22))),0)))))</f>
        <v>0</v>
      </c>
      <c r="AR39" s="27" t="n">
        <f aca="false">IF(COUNT(Soja!$E37:$Z37)=0,0,MAX(0,IF((AR$6-$E$3)&lt;1,0,IFERROR(LOOKUP(2,1/(Soja!$E37:INDEX(Soja!$E37:$Z37,MIN(AR$6-$E$3,22))&lt;&gt;""),Soja!$E37:INDEX(Soja!$E37:$Z37,MIN(AR$6-$E$3,22))),0))-IF($G$2,0,IF((AR$6-$G$3)&lt;1,0,IFERROR(LOOKUP(2,1/(Soja!$E37:INDEX(Soja!$E37:$Z37,MIN(AR$6-$G$3,22))&lt;&gt;""),Soja!$E37:INDEX(Soja!$E37:$Z37,MIN(AR$6-$G$3,22))),0)))))</f>
        <v>0</v>
      </c>
      <c r="AS39" s="27" t="n">
        <f aca="false">IF(COUNT(Soja!$E37:$Z37)=0,0,MAX(0,IF((AS$6-$E$3)&lt;1,0,IFERROR(LOOKUP(2,1/(Soja!$E37:INDEX(Soja!$E37:$Z37,MIN(AS$6-$E$3,22))&lt;&gt;""),Soja!$E37:INDEX(Soja!$E37:$Z37,MIN(AS$6-$E$3,22))),0))-IF($G$2,0,IF((AS$6-$G$3)&lt;1,0,IFERROR(LOOKUP(2,1/(Soja!$E37:INDEX(Soja!$E37:$Z37,MIN(AS$6-$G$3,22))&lt;&gt;""),Soja!$E37:INDEX(Soja!$E37:$Z37,MIN(AS$6-$G$3,22))),0)))))</f>
        <v>0</v>
      </c>
      <c r="AT39" s="27" t="n">
        <f aca="false">IF(COUNT(Soja!$E37:$Z37)=0,0,MAX(0,IF((AT$6-$E$3)&lt;1,0,IFERROR(LOOKUP(2,1/(Soja!$E37:INDEX(Soja!$E37:$Z37,MIN(AT$6-$E$3,22))&lt;&gt;""),Soja!$E37:INDEX(Soja!$E37:$Z37,MIN(AT$6-$E$3,22))),0))-IF($G$2,0,IF((AT$6-$G$3)&lt;1,0,IFERROR(LOOKUP(2,1/(Soja!$E37:INDEX(Soja!$E37:$Z37,MIN(AT$6-$G$3,22))&lt;&gt;""),Soja!$E37:INDEX(Soja!$E37:$Z37,MIN(AT$6-$G$3,22))),0)))))</f>
        <v>0</v>
      </c>
      <c r="AU39" s="27" t="n">
        <f aca="false">IF(COUNT(Soja!$E37:$Z37)=0,0,MAX(0,IF((AU$6-$E$3)&lt;1,0,IFERROR(LOOKUP(2,1/(Soja!$E37:INDEX(Soja!$E37:$Z37,MIN(AU$6-$E$3,22))&lt;&gt;""),Soja!$E37:INDEX(Soja!$E37:$Z37,MIN(AU$6-$E$3,22))),0))-IF($G$2,0,IF((AU$6-$G$3)&lt;1,0,IFERROR(LOOKUP(2,1/(Soja!$E37:INDEX(Soja!$E37:$Z37,MIN(AU$6-$G$3,22))&lt;&gt;""),Soja!$E37:INDEX(Soja!$E37:$Z37,MIN(AU$6-$G$3,22))),0)))))</f>
        <v>0</v>
      </c>
      <c r="AV39" s="27" t="n">
        <f aca="false">IF(COUNT(Soja!$E37:$Z37)=0,0,MAX(0,IF((AV$6-$E$3)&lt;1,0,IFERROR(LOOKUP(2,1/(Soja!$E37:INDEX(Soja!$E37:$Z37,MIN(AV$6-$E$3,22))&lt;&gt;""),Soja!$E37:INDEX(Soja!$E37:$Z37,MIN(AV$6-$E$3,22))),0))-IF($G$2,0,IF((AV$6-$G$3)&lt;1,0,IFERROR(LOOKUP(2,1/(Soja!$E37:INDEX(Soja!$E37:$Z37,MIN(AV$6-$G$3,22))&lt;&gt;""),Soja!$E37:INDEX(Soja!$E37:$Z37,MIN(AV$6-$G$3,22))),0)))))</f>
        <v>0</v>
      </c>
      <c r="AW39" s="27" t="n">
        <f aca="false">IF(COUNT(Soja!$E37:$Z37)=0,0,MAX(0,IF((AW$6-$E$3)&lt;1,0,IFERROR(LOOKUP(2,1/(Soja!$E37:INDEX(Soja!$E37:$Z37,MIN(AW$6-$E$3,22))&lt;&gt;""),Soja!$E37:INDEX(Soja!$E37:$Z37,MIN(AW$6-$E$3,22))),0))-IF($G$2,0,IF((AW$6-$G$3)&lt;1,0,IFERROR(LOOKUP(2,1/(Soja!$E37:INDEX(Soja!$E37:$Z37,MIN(AW$6-$G$3,22))&lt;&gt;""),Soja!$E37:INDEX(Soja!$E37:$Z37,MIN(AW$6-$G$3,22))),0)))))</f>
        <v>0</v>
      </c>
      <c r="AX39" s="27" t="n">
        <f aca="false">IF(COUNT(Soja!$E37:$Z37)=0,0,MAX(0,IF((AX$6-$E$3)&lt;1,0,IFERROR(LOOKUP(2,1/(Soja!$E37:INDEX(Soja!$E37:$Z37,MIN(AX$6-$E$3,22))&lt;&gt;""),Soja!$E37:INDEX(Soja!$E37:$Z37,MIN(AX$6-$E$3,22))),0))-IF($G$2,0,IF((AX$6-$G$3)&lt;1,0,IFERROR(LOOKUP(2,1/(Soja!$E37:INDEX(Soja!$E37:$Z37,MIN(AX$6-$G$3,22))&lt;&gt;""),Soja!$E37:INDEX(Soja!$E37:$Z37,MIN(AX$6-$G$3,22))),0)))))</f>
        <v>0</v>
      </c>
      <c r="AY39" s="27" t="n">
        <f aca="false">IF(COUNT(Soja!$E37:$Z37)=0,0,MAX(0,IF((AY$6-$E$3)&lt;1,0,IFERROR(LOOKUP(2,1/(Soja!$E37:INDEX(Soja!$E37:$Z37,MIN(AY$6-$E$3,22))&lt;&gt;""),Soja!$E37:INDEX(Soja!$E37:$Z37,MIN(AY$6-$E$3,22))),0))-IF($G$2,0,IF((AY$6-$G$3)&lt;1,0,IFERROR(LOOKUP(2,1/(Soja!$E37:INDEX(Soja!$E37:$Z37,MIN(AY$6-$G$3,22))&lt;&gt;""),Soja!$E37:INDEX(Soja!$E37:$Z37,MIN(AY$6-$G$3,22))),0)))))</f>
        <v>0</v>
      </c>
      <c r="AZ39" s="27" t="n">
        <f aca="false">IF(COUNT(Soja!$E37:$Z37)=0,0,MAX(0,IF((AZ$6-$E$3)&lt;1,0,IFERROR(LOOKUP(2,1/(Soja!$E37:INDEX(Soja!$E37:$Z37,MIN(AZ$6-$E$3,22))&lt;&gt;""),Soja!$E37:INDEX(Soja!$E37:$Z37,MIN(AZ$6-$E$3,22))),0))-IF($G$2,0,IF((AZ$6-$G$3)&lt;1,0,IFERROR(LOOKUP(2,1/(Soja!$E37:INDEX(Soja!$E37:$Z37,MIN(AZ$6-$G$3,22))&lt;&gt;""),Soja!$E37:INDEX(Soja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IF(COUNT(Soja!$E38:$Z38)&gt;0,N(Soja!$D38),0)</f>
        <v>0</v>
      </c>
      <c r="E40" s="27" t="n">
        <f aca="false">IF(COUNT(Soja!$E38:$Z38)=0,0,MAX(0,IF((E$6-$E$3)&lt;1,0,IFERROR(LOOKUP(2,1/(Soja!$E38:INDEX(Soja!$E38:$Z38,MIN(E$6-$E$3,22))&lt;&gt;""),Soja!$E38:INDEX(Soja!$E38:$Z38,MIN(E$6-$E$3,22))),0))-IF($G$2,0,IF((E$6-$G$3)&lt;1,0,IFERROR(LOOKUP(2,1/(Soja!$E38:INDEX(Soja!$E38:$Z38,MIN(E$6-$G$3,22))&lt;&gt;""),Soja!$E38:INDEX(Soja!$E38:$Z38,MIN(E$6-$G$3,22))),0)))))</f>
        <v>0</v>
      </c>
      <c r="F40" s="27" t="n">
        <f aca="false">IF(COUNT(Soja!$E38:$Z38)=0,0,MAX(0,IF((F$6-$E$3)&lt;1,0,IFERROR(LOOKUP(2,1/(Soja!$E38:INDEX(Soja!$E38:$Z38,MIN(F$6-$E$3,22))&lt;&gt;""),Soja!$E38:INDEX(Soja!$E38:$Z38,MIN(F$6-$E$3,22))),0))-IF($G$2,0,IF((F$6-$G$3)&lt;1,0,IFERROR(LOOKUP(2,1/(Soja!$E38:INDEX(Soja!$E38:$Z38,MIN(F$6-$G$3,22))&lt;&gt;""),Soja!$E38:INDEX(Soja!$E38:$Z38,MIN(F$6-$G$3,22))),0)))))</f>
        <v>0</v>
      </c>
      <c r="G40" s="27" t="n">
        <f aca="false">IF(COUNT(Soja!$E38:$Z38)=0,0,MAX(0,IF((G$6-$E$3)&lt;1,0,IFERROR(LOOKUP(2,1/(Soja!$E38:INDEX(Soja!$E38:$Z38,MIN(G$6-$E$3,22))&lt;&gt;""),Soja!$E38:INDEX(Soja!$E38:$Z38,MIN(G$6-$E$3,22))),0))-IF($G$2,0,IF((G$6-$G$3)&lt;1,0,IFERROR(LOOKUP(2,1/(Soja!$E38:INDEX(Soja!$E38:$Z38,MIN(G$6-$G$3,22))&lt;&gt;""),Soja!$E38:INDEX(Soja!$E38:$Z38,MIN(G$6-$G$3,22))),0)))))</f>
        <v>0</v>
      </c>
      <c r="H40" s="27" t="n">
        <f aca="false">IF(COUNT(Soja!$E38:$Z38)=0,0,MAX(0,IF((H$6-$E$3)&lt;1,0,IFERROR(LOOKUP(2,1/(Soja!$E38:INDEX(Soja!$E38:$Z38,MIN(H$6-$E$3,22))&lt;&gt;""),Soja!$E38:INDEX(Soja!$E38:$Z38,MIN(H$6-$E$3,22))),0))-IF($G$2,0,IF((H$6-$G$3)&lt;1,0,IFERROR(LOOKUP(2,1/(Soja!$E38:INDEX(Soja!$E38:$Z38,MIN(H$6-$G$3,22))&lt;&gt;""),Soja!$E38:INDEX(Soja!$E38:$Z38,MIN(H$6-$G$3,22))),0)))))</f>
        <v>0</v>
      </c>
      <c r="I40" s="27" t="n">
        <f aca="false">IF(COUNT(Soja!$E38:$Z38)=0,0,MAX(0,IF((I$6-$E$3)&lt;1,0,IFERROR(LOOKUP(2,1/(Soja!$E38:INDEX(Soja!$E38:$Z38,MIN(I$6-$E$3,22))&lt;&gt;""),Soja!$E38:INDEX(Soja!$E38:$Z38,MIN(I$6-$E$3,22))),0))-IF($G$2,0,IF((I$6-$G$3)&lt;1,0,IFERROR(LOOKUP(2,1/(Soja!$E38:INDEX(Soja!$E38:$Z38,MIN(I$6-$G$3,22))&lt;&gt;""),Soja!$E38:INDEX(Soja!$E38:$Z38,MIN(I$6-$G$3,22))),0)))))</f>
        <v>0</v>
      </c>
      <c r="J40" s="27" t="n">
        <f aca="false">IF(COUNT(Soja!$E38:$Z38)=0,0,MAX(0,IF((J$6-$E$3)&lt;1,0,IFERROR(LOOKUP(2,1/(Soja!$E38:INDEX(Soja!$E38:$Z38,MIN(J$6-$E$3,22))&lt;&gt;""),Soja!$E38:INDEX(Soja!$E38:$Z38,MIN(J$6-$E$3,22))),0))-IF($G$2,0,IF((J$6-$G$3)&lt;1,0,IFERROR(LOOKUP(2,1/(Soja!$E38:INDEX(Soja!$E38:$Z38,MIN(J$6-$G$3,22))&lt;&gt;""),Soja!$E38:INDEX(Soja!$E38:$Z38,MIN(J$6-$G$3,22))),0)))))</f>
        <v>0</v>
      </c>
      <c r="K40" s="27" t="n">
        <f aca="false">IF(COUNT(Soja!$E38:$Z38)=0,0,MAX(0,IF((K$6-$E$3)&lt;1,0,IFERROR(LOOKUP(2,1/(Soja!$E38:INDEX(Soja!$E38:$Z38,MIN(K$6-$E$3,22))&lt;&gt;""),Soja!$E38:INDEX(Soja!$E38:$Z38,MIN(K$6-$E$3,22))),0))-IF($G$2,0,IF((K$6-$G$3)&lt;1,0,IFERROR(LOOKUP(2,1/(Soja!$E38:INDEX(Soja!$E38:$Z38,MIN(K$6-$G$3,22))&lt;&gt;""),Soja!$E38:INDEX(Soja!$E38:$Z38,MIN(K$6-$G$3,22))),0)))))</f>
        <v>0</v>
      </c>
      <c r="L40" s="27" t="n">
        <f aca="false">IF(COUNT(Soja!$E38:$Z38)=0,0,MAX(0,IF((L$6-$E$3)&lt;1,0,IFERROR(LOOKUP(2,1/(Soja!$E38:INDEX(Soja!$E38:$Z38,MIN(L$6-$E$3,22))&lt;&gt;""),Soja!$E38:INDEX(Soja!$E38:$Z38,MIN(L$6-$E$3,22))),0))-IF($G$2,0,IF((L$6-$G$3)&lt;1,0,IFERROR(LOOKUP(2,1/(Soja!$E38:INDEX(Soja!$E38:$Z38,MIN(L$6-$G$3,22))&lt;&gt;""),Soja!$E38:INDEX(Soja!$E38:$Z38,MIN(L$6-$G$3,22))),0)))))</f>
        <v>0</v>
      </c>
      <c r="M40" s="27" t="n">
        <f aca="false">IF(COUNT(Soja!$E38:$Z38)=0,0,MAX(0,IF((M$6-$E$3)&lt;1,0,IFERROR(LOOKUP(2,1/(Soja!$E38:INDEX(Soja!$E38:$Z38,MIN(M$6-$E$3,22))&lt;&gt;""),Soja!$E38:INDEX(Soja!$E38:$Z38,MIN(M$6-$E$3,22))),0))-IF($G$2,0,IF((M$6-$G$3)&lt;1,0,IFERROR(LOOKUP(2,1/(Soja!$E38:INDEX(Soja!$E38:$Z38,MIN(M$6-$G$3,22))&lt;&gt;""),Soja!$E38:INDEX(Soja!$E38:$Z38,MIN(M$6-$G$3,22))),0)))))</f>
        <v>0</v>
      </c>
      <c r="N40" s="27" t="n">
        <f aca="false">IF(COUNT(Soja!$E38:$Z38)=0,0,MAX(0,IF((N$6-$E$3)&lt;1,0,IFERROR(LOOKUP(2,1/(Soja!$E38:INDEX(Soja!$E38:$Z38,MIN(N$6-$E$3,22))&lt;&gt;""),Soja!$E38:INDEX(Soja!$E38:$Z38,MIN(N$6-$E$3,22))),0))-IF($G$2,0,IF((N$6-$G$3)&lt;1,0,IFERROR(LOOKUP(2,1/(Soja!$E38:INDEX(Soja!$E38:$Z38,MIN(N$6-$G$3,22))&lt;&gt;""),Soja!$E38:INDEX(Soja!$E38:$Z38,MIN(N$6-$G$3,22))),0)))))</f>
        <v>0</v>
      </c>
      <c r="O40" s="27" t="n">
        <f aca="false">IF(COUNT(Soja!$E38:$Z38)=0,0,MAX(0,IF((O$6-$E$3)&lt;1,0,IFERROR(LOOKUP(2,1/(Soja!$E38:INDEX(Soja!$E38:$Z38,MIN(O$6-$E$3,22))&lt;&gt;""),Soja!$E38:INDEX(Soja!$E38:$Z38,MIN(O$6-$E$3,22))),0))-IF($G$2,0,IF((O$6-$G$3)&lt;1,0,IFERROR(LOOKUP(2,1/(Soja!$E38:INDEX(Soja!$E38:$Z38,MIN(O$6-$G$3,22))&lt;&gt;""),Soja!$E38:INDEX(Soja!$E38:$Z38,MIN(O$6-$G$3,22))),0)))))</f>
        <v>0</v>
      </c>
      <c r="P40" s="27" t="n">
        <f aca="false">IF(COUNT(Soja!$E38:$Z38)=0,0,MAX(0,IF((P$6-$E$3)&lt;1,0,IFERROR(LOOKUP(2,1/(Soja!$E38:INDEX(Soja!$E38:$Z38,MIN(P$6-$E$3,22))&lt;&gt;""),Soja!$E38:INDEX(Soja!$E38:$Z38,MIN(P$6-$E$3,22))),0))-IF($G$2,0,IF((P$6-$G$3)&lt;1,0,IFERROR(LOOKUP(2,1/(Soja!$E38:INDEX(Soja!$E38:$Z38,MIN(P$6-$G$3,22))&lt;&gt;""),Soja!$E38:INDEX(Soja!$E38:$Z38,MIN(P$6-$G$3,22))),0)))))</f>
        <v>0</v>
      </c>
      <c r="Q40" s="27" t="n">
        <f aca="false">IF(COUNT(Soja!$E38:$Z38)=0,0,MAX(0,IF((Q$6-$E$3)&lt;1,0,IFERROR(LOOKUP(2,1/(Soja!$E38:INDEX(Soja!$E38:$Z38,MIN(Q$6-$E$3,22))&lt;&gt;""),Soja!$E38:INDEX(Soja!$E38:$Z38,MIN(Q$6-$E$3,22))),0))-IF($G$2,0,IF((Q$6-$G$3)&lt;1,0,IFERROR(LOOKUP(2,1/(Soja!$E38:INDEX(Soja!$E38:$Z38,MIN(Q$6-$G$3,22))&lt;&gt;""),Soja!$E38:INDEX(Soja!$E38:$Z38,MIN(Q$6-$G$3,22))),0)))))</f>
        <v>0</v>
      </c>
      <c r="R40" s="27" t="n">
        <f aca="false">IF(COUNT(Soja!$E38:$Z38)=0,0,MAX(0,IF((R$6-$E$3)&lt;1,0,IFERROR(LOOKUP(2,1/(Soja!$E38:INDEX(Soja!$E38:$Z38,MIN(R$6-$E$3,22))&lt;&gt;""),Soja!$E38:INDEX(Soja!$E38:$Z38,MIN(R$6-$E$3,22))),0))-IF($G$2,0,IF((R$6-$G$3)&lt;1,0,IFERROR(LOOKUP(2,1/(Soja!$E38:INDEX(Soja!$E38:$Z38,MIN(R$6-$G$3,22))&lt;&gt;""),Soja!$E38:INDEX(Soja!$E38:$Z38,MIN(R$6-$G$3,22))),0)))))</f>
        <v>0</v>
      </c>
      <c r="S40" s="27" t="n">
        <f aca="false">IF(COUNT(Soja!$E38:$Z38)=0,0,MAX(0,IF((S$6-$E$3)&lt;1,0,IFERROR(LOOKUP(2,1/(Soja!$E38:INDEX(Soja!$E38:$Z38,MIN(S$6-$E$3,22))&lt;&gt;""),Soja!$E38:INDEX(Soja!$E38:$Z38,MIN(S$6-$E$3,22))),0))-IF($G$2,0,IF((S$6-$G$3)&lt;1,0,IFERROR(LOOKUP(2,1/(Soja!$E38:INDEX(Soja!$E38:$Z38,MIN(S$6-$G$3,22))&lt;&gt;""),Soja!$E38:INDEX(Soja!$E38:$Z38,MIN(S$6-$G$3,22))),0)))))</f>
        <v>0</v>
      </c>
      <c r="T40" s="27" t="n">
        <f aca="false">IF(COUNT(Soja!$E38:$Z38)=0,0,MAX(0,IF((T$6-$E$3)&lt;1,0,IFERROR(LOOKUP(2,1/(Soja!$E38:INDEX(Soja!$E38:$Z38,MIN(T$6-$E$3,22))&lt;&gt;""),Soja!$E38:INDEX(Soja!$E38:$Z38,MIN(T$6-$E$3,22))),0))-IF($G$2,0,IF((T$6-$G$3)&lt;1,0,IFERROR(LOOKUP(2,1/(Soja!$E38:INDEX(Soja!$E38:$Z38,MIN(T$6-$G$3,22))&lt;&gt;""),Soja!$E38:INDEX(Soja!$E38:$Z38,MIN(T$6-$G$3,22))),0)))))</f>
        <v>0</v>
      </c>
      <c r="U40" s="27" t="n">
        <f aca="false">IF(COUNT(Soja!$E38:$Z38)=0,0,MAX(0,IF((U$6-$E$3)&lt;1,0,IFERROR(LOOKUP(2,1/(Soja!$E38:INDEX(Soja!$E38:$Z38,MIN(U$6-$E$3,22))&lt;&gt;""),Soja!$E38:INDEX(Soja!$E38:$Z38,MIN(U$6-$E$3,22))),0))-IF($G$2,0,IF((U$6-$G$3)&lt;1,0,IFERROR(LOOKUP(2,1/(Soja!$E38:INDEX(Soja!$E38:$Z38,MIN(U$6-$G$3,22))&lt;&gt;""),Soja!$E38:INDEX(Soja!$E38:$Z38,MIN(U$6-$G$3,22))),0)))))</f>
        <v>0</v>
      </c>
      <c r="V40" s="27" t="n">
        <f aca="false">IF(COUNT(Soja!$E38:$Z38)=0,0,MAX(0,IF((V$6-$E$3)&lt;1,0,IFERROR(LOOKUP(2,1/(Soja!$E38:INDEX(Soja!$E38:$Z38,MIN(V$6-$E$3,22))&lt;&gt;""),Soja!$E38:INDEX(Soja!$E38:$Z38,MIN(V$6-$E$3,22))),0))-IF($G$2,0,IF((V$6-$G$3)&lt;1,0,IFERROR(LOOKUP(2,1/(Soja!$E38:INDEX(Soja!$E38:$Z38,MIN(V$6-$G$3,22))&lt;&gt;""),Soja!$E38:INDEX(Soja!$E38:$Z38,MIN(V$6-$G$3,22))),0)))))</f>
        <v>0</v>
      </c>
      <c r="W40" s="27" t="n">
        <f aca="false">IF(COUNT(Soja!$E38:$Z38)=0,0,MAX(0,IF((W$6-$E$3)&lt;1,0,IFERROR(LOOKUP(2,1/(Soja!$E38:INDEX(Soja!$E38:$Z38,MIN(W$6-$E$3,22))&lt;&gt;""),Soja!$E38:INDEX(Soja!$E38:$Z38,MIN(W$6-$E$3,22))),0))-IF($G$2,0,IF((W$6-$G$3)&lt;1,0,IFERROR(LOOKUP(2,1/(Soja!$E38:INDEX(Soja!$E38:$Z38,MIN(W$6-$G$3,22))&lt;&gt;""),Soja!$E38:INDEX(Soja!$E38:$Z38,MIN(W$6-$G$3,22))),0)))))</f>
        <v>0</v>
      </c>
      <c r="X40" s="27" t="n">
        <f aca="false">IF(COUNT(Soja!$E38:$Z38)=0,0,MAX(0,IF((X$6-$E$3)&lt;1,0,IFERROR(LOOKUP(2,1/(Soja!$E38:INDEX(Soja!$E38:$Z38,MIN(X$6-$E$3,22))&lt;&gt;""),Soja!$E38:INDEX(Soja!$E38:$Z38,MIN(X$6-$E$3,22))),0))-IF($G$2,0,IF((X$6-$G$3)&lt;1,0,IFERROR(LOOKUP(2,1/(Soja!$E38:INDEX(Soja!$E38:$Z38,MIN(X$6-$G$3,22))&lt;&gt;""),Soja!$E38:INDEX(Soja!$E38:$Z38,MIN(X$6-$G$3,22))),0)))))</f>
        <v>0</v>
      </c>
      <c r="Y40" s="27" t="n">
        <f aca="false">IF(COUNT(Soja!$E38:$Z38)=0,0,MAX(0,IF((Y$6-$E$3)&lt;1,0,IFERROR(LOOKUP(2,1/(Soja!$E38:INDEX(Soja!$E38:$Z38,MIN(Y$6-$E$3,22))&lt;&gt;""),Soja!$E38:INDEX(Soja!$E38:$Z38,MIN(Y$6-$E$3,22))),0))-IF($G$2,0,IF((Y$6-$G$3)&lt;1,0,IFERROR(LOOKUP(2,1/(Soja!$E38:INDEX(Soja!$E38:$Z38,MIN(Y$6-$G$3,22))&lt;&gt;""),Soja!$E38:INDEX(Soja!$E38:$Z38,MIN(Y$6-$G$3,22))),0)))))</f>
        <v>0</v>
      </c>
      <c r="Z40" s="27" t="n">
        <f aca="false">IF(COUNT(Soja!$E38:$Z38)=0,0,MAX(0,IF((Z$6-$E$3)&lt;1,0,IFERROR(LOOKUP(2,1/(Soja!$E38:INDEX(Soja!$E38:$Z38,MIN(Z$6-$E$3,22))&lt;&gt;""),Soja!$E38:INDEX(Soja!$E38:$Z38,MIN(Z$6-$E$3,22))),0))-IF($G$2,0,IF((Z$6-$G$3)&lt;1,0,IFERROR(LOOKUP(2,1/(Soja!$E38:INDEX(Soja!$E38:$Z38,MIN(Z$6-$G$3,22))&lt;&gt;""),Soja!$E38:INDEX(Soja!$E38:$Z38,MIN(Z$6-$G$3,22))),0)))))</f>
        <v>0</v>
      </c>
      <c r="AA40" s="27" t="n">
        <f aca="false">IF(COUNT(Soja!$E38:$Z38)=0,0,MAX(0,IF((AA$6-$E$3)&lt;1,0,IFERROR(LOOKUP(2,1/(Soja!$E38:INDEX(Soja!$E38:$Z38,MIN(AA$6-$E$3,22))&lt;&gt;""),Soja!$E38:INDEX(Soja!$E38:$Z38,MIN(AA$6-$E$3,22))),0))-IF($G$2,0,IF((AA$6-$G$3)&lt;1,0,IFERROR(LOOKUP(2,1/(Soja!$E38:INDEX(Soja!$E38:$Z38,MIN(AA$6-$G$3,22))&lt;&gt;""),Soja!$E38:INDEX(Soja!$E38:$Z38,MIN(AA$6-$G$3,22))),0)))))</f>
        <v>0</v>
      </c>
      <c r="AB40" s="27" t="n">
        <f aca="false">IF(COUNT(Soja!$E38:$Z38)=0,0,MAX(0,IF((AB$6-$E$3)&lt;1,0,IFERROR(LOOKUP(2,1/(Soja!$E38:INDEX(Soja!$E38:$Z38,MIN(AB$6-$E$3,22))&lt;&gt;""),Soja!$E38:INDEX(Soja!$E38:$Z38,MIN(AB$6-$E$3,22))),0))-IF($G$2,0,IF((AB$6-$G$3)&lt;1,0,IFERROR(LOOKUP(2,1/(Soja!$E38:INDEX(Soja!$E38:$Z38,MIN(AB$6-$G$3,22))&lt;&gt;""),Soja!$E38:INDEX(Soja!$E38:$Z38,MIN(AB$6-$G$3,22))),0)))))</f>
        <v>0</v>
      </c>
      <c r="AC40" s="27" t="n">
        <f aca="false">IF(COUNT(Soja!$E38:$Z38)=0,0,MAX(0,IF((AC$6-$E$3)&lt;1,0,IFERROR(LOOKUP(2,1/(Soja!$E38:INDEX(Soja!$E38:$Z38,MIN(AC$6-$E$3,22))&lt;&gt;""),Soja!$E38:INDEX(Soja!$E38:$Z38,MIN(AC$6-$E$3,22))),0))-IF($G$2,0,IF((AC$6-$G$3)&lt;1,0,IFERROR(LOOKUP(2,1/(Soja!$E38:INDEX(Soja!$E38:$Z38,MIN(AC$6-$G$3,22))&lt;&gt;""),Soja!$E38:INDEX(Soja!$E38:$Z38,MIN(AC$6-$G$3,22))),0)))))</f>
        <v>0</v>
      </c>
      <c r="AD40" s="27" t="n">
        <f aca="false">IF(COUNT(Soja!$E38:$Z38)=0,0,MAX(0,IF((AD$6-$E$3)&lt;1,0,IFERROR(LOOKUP(2,1/(Soja!$E38:INDEX(Soja!$E38:$Z38,MIN(AD$6-$E$3,22))&lt;&gt;""),Soja!$E38:INDEX(Soja!$E38:$Z38,MIN(AD$6-$E$3,22))),0))-IF($G$2,0,IF((AD$6-$G$3)&lt;1,0,IFERROR(LOOKUP(2,1/(Soja!$E38:INDEX(Soja!$E38:$Z38,MIN(AD$6-$G$3,22))&lt;&gt;""),Soja!$E38:INDEX(Soja!$E38:$Z38,MIN(AD$6-$G$3,22))),0)))))</f>
        <v>0</v>
      </c>
      <c r="AE40" s="27" t="n">
        <f aca="false">IF(COUNT(Soja!$E38:$Z38)=0,0,MAX(0,IF((AE$6-$E$3)&lt;1,0,IFERROR(LOOKUP(2,1/(Soja!$E38:INDEX(Soja!$E38:$Z38,MIN(AE$6-$E$3,22))&lt;&gt;""),Soja!$E38:INDEX(Soja!$E38:$Z38,MIN(AE$6-$E$3,22))),0))-IF($G$2,0,IF((AE$6-$G$3)&lt;1,0,IFERROR(LOOKUP(2,1/(Soja!$E38:INDEX(Soja!$E38:$Z38,MIN(AE$6-$G$3,22))&lt;&gt;""),Soja!$E38:INDEX(Soja!$E38:$Z38,MIN(AE$6-$G$3,22))),0)))))</f>
        <v>0</v>
      </c>
      <c r="AF40" s="27" t="n">
        <f aca="false">IF(COUNT(Soja!$E38:$Z38)=0,0,MAX(0,IF((AF$6-$E$3)&lt;1,0,IFERROR(LOOKUP(2,1/(Soja!$E38:INDEX(Soja!$E38:$Z38,MIN(AF$6-$E$3,22))&lt;&gt;""),Soja!$E38:INDEX(Soja!$E38:$Z38,MIN(AF$6-$E$3,22))),0))-IF($G$2,0,IF((AF$6-$G$3)&lt;1,0,IFERROR(LOOKUP(2,1/(Soja!$E38:INDEX(Soja!$E38:$Z38,MIN(AF$6-$G$3,22))&lt;&gt;""),Soja!$E38:INDEX(Soja!$E38:$Z38,MIN(AF$6-$G$3,22))),0)))))</f>
        <v>0</v>
      </c>
      <c r="AG40" s="27" t="n">
        <f aca="false">IF(COUNT(Soja!$E38:$Z38)=0,0,MAX(0,IF((AG$6-$E$3)&lt;1,0,IFERROR(LOOKUP(2,1/(Soja!$E38:INDEX(Soja!$E38:$Z38,MIN(AG$6-$E$3,22))&lt;&gt;""),Soja!$E38:INDEX(Soja!$E38:$Z38,MIN(AG$6-$E$3,22))),0))-IF($G$2,0,IF((AG$6-$G$3)&lt;1,0,IFERROR(LOOKUP(2,1/(Soja!$E38:INDEX(Soja!$E38:$Z38,MIN(AG$6-$G$3,22))&lt;&gt;""),Soja!$E38:INDEX(Soja!$E38:$Z38,MIN(AG$6-$G$3,22))),0)))))</f>
        <v>0</v>
      </c>
      <c r="AH40" s="27" t="n">
        <f aca="false">IF(COUNT(Soja!$E38:$Z38)=0,0,MAX(0,IF((AH$6-$E$3)&lt;1,0,IFERROR(LOOKUP(2,1/(Soja!$E38:INDEX(Soja!$E38:$Z38,MIN(AH$6-$E$3,22))&lt;&gt;""),Soja!$E38:INDEX(Soja!$E38:$Z38,MIN(AH$6-$E$3,22))),0))-IF($G$2,0,IF((AH$6-$G$3)&lt;1,0,IFERROR(LOOKUP(2,1/(Soja!$E38:INDEX(Soja!$E38:$Z38,MIN(AH$6-$G$3,22))&lt;&gt;""),Soja!$E38:INDEX(Soja!$E38:$Z38,MIN(AH$6-$G$3,22))),0)))))</f>
        <v>0</v>
      </c>
      <c r="AI40" s="27" t="n">
        <f aca="false">IF(COUNT(Soja!$E38:$Z38)=0,0,MAX(0,IF((AI$6-$E$3)&lt;1,0,IFERROR(LOOKUP(2,1/(Soja!$E38:INDEX(Soja!$E38:$Z38,MIN(AI$6-$E$3,22))&lt;&gt;""),Soja!$E38:INDEX(Soja!$E38:$Z38,MIN(AI$6-$E$3,22))),0))-IF($G$2,0,IF((AI$6-$G$3)&lt;1,0,IFERROR(LOOKUP(2,1/(Soja!$E38:INDEX(Soja!$E38:$Z38,MIN(AI$6-$G$3,22))&lt;&gt;""),Soja!$E38:INDEX(Soja!$E38:$Z38,MIN(AI$6-$G$3,22))),0)))))</f>
        <v>0</v>
      </c>
      <c r="AJ40" s="27" t="n">
        <f aca="false">IF(COUNT(Soja!$E38:$Z38)=0,0,MAX(0,IF((AJ$6-$E$3)&lt;1,0,IFERROR(LOOKUP(2,1/(Soja!$E38:INDEX(Soja!$E38:$Z38,MIN(AJ$6-$E$3,22))&lt;&gt;""),Soja!$E38:INDEX(Soja!$E38:$Z38,MIN(AJ$6-$E$3,22))),0))-IF($G$2,0,IF((AJ$6-$G$3)&lt;1,0,IFERROR(LOOKUP(2,1/(Soja!$E38:INDEX(Soja!$E38:$Z38,MIN(AJ$6-$G$3,22))&lt;&gt;""),Soja!$E38:INDEX(Soja!$E38:$Z38,MIN(AJ$6-$G$3,22))),0)))))</f>
        <v>0</v>
      </c>
      <c r="AK40" s="27" t="n">
        <f aca="false">IF(COUNT(Soja!$E38:$Z38)=0,0,MAX(0,IF((AK$6-$E$3)&lt;1,0,IFERROR(LOOKUP(2,1/(Soja!$E38:INDEX(Soja!$E38:$Z38,MIN(AK$6-$E$3,22))&lt;&gt;""),Soja!$E38:INDEX(Soja!$E38:$Z38,MIN(AK$6-$E$3,22))),0))-IF($G$2,0,IF((AK$6-$G$3)&lt;1,0,IFERROR(LOOKUP(2,1/(Soja!$E38:INDEX(Soja!$E38:$Z38,MIN(AK$6-$G$3,22))&lt;&gt;""),Soja!$E38:INDEX(Soja!$E38:$Z38,MIN(AK$6-$G$3,22))),0)))))</f>
        <v>0</v>
      </c>
      <c r="AL40" s="27" t="n">
        <f aca="false">IF(COUNT(Soja!$E38:$Z38)=0,0,MAX(0,IF((AL$6-$E$3)&lt;1,0,IFERROR(LOOKUP(2,1/(Soja!$E38:INDEX(Soja!$E38:$Z38,MIN(AL$6-$E$3,22))&lt;&gt;""),Soja!$E38:INDEX(Soja!$E38:$Z38,MIN(AL$6-$E$3,22))),0))-IF($G$2,0,IF((AL$6-$G$3)&lt;1,0,IFERROR(LOOKUP(2,1/(Soja!$E38:INDEX(Soja!$E38:$Z38,MIN(AL$6-$G$3,22))&lt;&gt;""),Soja!$E38:INDEX(Soja!$E38:$Z38,MIN(AL$6-$G$3,22))),0)))))</f>
        <v>0</v>
      </c>
      <c r="AM40" s="27" t="n">
        <f aca="false">IF(COUNT(Soja!$E38:$Z38)=0,0,MAX(0,IF((AM$6-$E$3)&lt;1,0,IFERROR(LOOKUP(2,1/(Soja!$E38:INDEX(Soja!$E38:$Z38,MIN(AM$6-$E$3,22))&lt;&gt;""),Soja!$E38:INDEX(Soja!$E38:$Z38,MIN(AM$6-$E$3,22))),0))-IF($G$2,0,IF((AM$6-$G$3)&lt;1,0,IFERROR(LOOKUP(2,1/(Soja!$E38:INDEX(Soja!$E38:$Z38,MIN(AM$6-$G$3,22))&lt;&gt;""),Soja!$E38:INDEX(Soja!$E38:$Z38,MIN(AM$6-$G$3,22))),0)))))</f>
        <v>0</v>
      </c>
      <c r="AN40" s="27" t="n">
        <f aca="false">IF(COUNT(Soja!$E38:$Z38)=0,0,MAX(0,IF((AN$6-$E$3)&lt;1,0,IFERROR(LOOKUP(2,1/(Soja!$E38:INDEX(Soja!$E38:$Z38,MIN(AN$6-$E$3,22))&lt;&gt;""),Soja!$E38:INDEX(Soja!$E38:$Z38,MIN(AN$6-$E$3,22))),0))-IF($G$2,0,IF((AN$6-$G$3)&lt;1,0,IFERROR(LOOKUP(2,1/(Soja!$E38:INDEX(Soja!$E38:$Z38,MIN(AN$6-$G$3,22))&lt;&gt;""),Soja!$E38:INDEX(Soja!$E38:$Z38,MIN(AN$6-$G$3,22))),0)))))</f>
        <v>0</v>
      </c>
      <c r="AO40" s="27" t="n">
        <f aca="false">IF(COUNT(Soja!$E38:$Z38)=0,0,MAX(0,IF((AO$6-$E$3)&lt;1,0,IFERROR(LOOKUP(2,1/(Soja!$E38:INDEX(Soja!$E38:$Z38,MIN(AO$6-$E$3,22))&lt;&gt;""),Soja!$E38:INDEX(Soja!$E38:$Z38,MIN(AO$6-$E$3,22))),0))-IF($G$2,0,IF((AO$6-$G$3)&lt;1,0,IFERROR(LOOKUP(2,1/(Soja!$E38:INDEX(Soja!$E38:$Z38,MIN(AO$6-$G$3,22))&lt;&gt;""),Soja!$E38:INDEX(Soja!$E38:$Z38,MIN(AO$6-$G$3,22))),0)))))</f>
        <v>0</v>
      </c>
      <c r="AP40" s="27" t="n">
        <f aca="false">IF(COUNT(Soja!$E38:$Z38)=0,0,MAX(0,IF((AP$6-$E$3)&lt;1,0,IFERROR(LOOKUP(2,1/(Soja!$E38:INDEX(Soja!$E38:$Z38,MIN(AP$6-$E$3,22))&lt;&gt;""),Soja!$E38:INDEX(Soja!$E38:$Z38,MIN(AP$6-$E$3,22))),0))-IF($G$2,0,IF((AP$6-$G$3)&lt;1,0,IFERROR(LOOKUP(2,1/(Soja!$E38:INDEX(Soja!$E38:$Z38,MIN(AP$6-$G$3,22))&lt;&gt;""),Soja!$E38:INDEX(Soja!$E38:$Z38,MIN(AP$6-$G$3,22))),0)))))</f>
        <v>0</v>
      </c>
      <c r="AQ40" s="27" t="n">
        <f aca="false">IF(COUNT(Soja!$E38:$Z38)=0,0,MAX(0,IF((AQ$6-$E$3)&lt;1,0,IFERROR(LOOKUP(2,1/(Soja!$E38:INDEX(Soja!$E38:$Z38,MIN(AQ$6-$E$3,22))&lt;&gt;""),Soja!$E38:INDEX(Soja!$E38:$Z38,MIN(AQ$6-$E$3,22))),0))-IF($G$2,0,IF((AQ$6-$G$3)&lt;1,0,IFERROR(LOOKUP(2,1/(Soja!$E38:INDEX(Soja!$E38:$Z38,MIN(AQ$6-$G$3,22))&lt;&gt;""),Soja!$E38:INDEX(Soja!$E38:$Z38,MIN(AQ$6-$G$3,22))),0)))))</f>
        <v>0</v>
      </c>
      <c r="AR40" s="27" t="n">
        <f aca="false">IF(COUNT(Soja!$E38:$Z38)=0,0,MAX(0,IF((AR$6-$E$3)&lt;1,0,IFERROR(LOOKUP(2,1/(Soja!$E38:INDEX(Soja!$E38:$Z38,MIN(AR$6-$E$3,22))&lt;&gt;""),Soja!$E38:INDEX(Soja!$E38:$Z38,MIN(AR$6-$E$3,22))),0))-IF($G$2,0,IF((AR$6-$G$3)&lt;1,0,IFERROR(LOOKUP(2,1/(Soja!$E38:INDEX(Soja!$E38:$Z38,MIN(AR$6-$G$3,22))&lt;&gt;""),Soja!$E38:INDEX(Soja!$E38:$Z38,MIN(AR$6-$G$3,22))),0)))))</f>
        <v>0</v>
      </c>
      <c r="AS40" s="27" t="n">
        <f aca="false">IF(COUNT(Soja!$E38:$Z38)=0,0,MAX(0,IF((AS$6-$E$3)&lt;1,0,IFERROR(LOOKUP(2,1/(Soja!$E38:INDEX(Soja!$E38:$Z38,MIN(AS$6-$E$3,22))&lt;&gt;""),Soja!$E38:INDEX(Soja!$E38:$Z38,MIN(AS$6-$E$3,22))),0))-IF($G$2,0,IF((AS$6-$G$3)&lt;1,0,IFERROR(LOOKUP(2,1/(Soja!$E38:INDEX(Soja!$E38:$Z38,MIN(AS$6-$G$3,22))&lt;&gt;""),Soja!$E38:INDEX(Soja!$E38:$Z38,MIN(AS$6-$G$3,22))),0)))))</f>
        <v>0</v>
      </c>
      <c r="AT40" s="27" t="n">
        <f aca="false">IF(COUNT(Soja!$E38:$Z38)=0,0,MAX(0,IF((AT$6-$E$3)&lt;1,0,IFERROR(LOOKUP(2,1/(Soja!$E38:INDEX(Soja!$E38:$Z38,MIN(AT$6-$E$3,22))&lt;&gt;""),Soja!$E38:INDEX(Soja!$E38:$Z38,MIN(AT$6-$E$3,22))),0))-IF($G$2,0,IF((AT$6-$G$3)&lt;1,0,IFERROR(LOOKUP(2,1/(Soja!$E38:INDEX(Soja!$E38:$Z38,MIN(AT$6-$G$3,22))&lt;&gt;""),Soja!$E38:INDEX(Soja!$E38:$Z38,MIN(AT$6-$G$3,22))),0)))))</f>
        <v>0</v>
      </c>
      <c r="AU40" s="27" t="n">
        <f aca="false">IF(COUNT(Soja!$E38:$Z38)=0,0,MAX(0,IF((AU$6-$E$3)&lt;1,0,IFERROR(LOOKUP(2,1/(Soja!$E38:INDEX(Soja!$E38:$Z38,MIN(AU$6-$E$3,22))&lt;&gt;""),Soja!$E38:INDEX(Soja!$E38:$Z38,MIN(AU$6-$E$3,22))),0))-IF($G$2,0,IF((AU$6-$G$3)&lt;1,0,IFERROR(LOOKUP(2,1/(Soja!$E38:INDEX(Soja!$E38:$Z38,MIN(AU$6-$G$3,22))&lt;&gt;""),Soja!$E38:INDEX(Soja!$E38:$Z38,MIN(AU$6-$G$3,22))),0)))))</f>
        <v>0</v>
      </c>
      <c r="AV40" s="27" t="n">
        <f aca="false">IF(COUNT(Soja!$E38:$Z38)=0,0,MAX(0,IF((AV$6-$E$3)&lt;1,0,IFERROR(LOOKUP(2,1/(Soja!$E38:INDEX(Soja!$E38:$Z38,MIN(AV$6-$E$3,22))&lt;&gt;""),Soja!$E38:INDEX(Soja!$E38:$Z38,MIN(AV$6-$E$3,22))),0))-IF($G$2,0,IF((AV$6-$G$3)&lt;1,0,IFERROR(LOOKUP(2,1/(Soja!$E38:INDEX(Soja!$E38:$Z38,MIN(AV$6-$G$3,22))&lt;&gt;""),Soja!$E38:INDEX(Soja!$E38:$Z38,MIN(AV$6-$G$3,22))),0)))))</f>
        <v>0</v>
      </c>
      <c r="AW40" s="27" t="n">
        <f aca="false">IF(COUNT(Soja!$E38:$Z38)=0,0,MAX(0,IF((AW$6-$E$3)&lt;1,0,IFERROR(LOOKUP(2,1/(Soja!$E38:INDEX(Soja!$E38:$Z38,MIN(AW$6-$E$3,22))&lt;&gt;""),Soja!$E38:INDEX(Soja!$E38:$Z38,MIN(AW$6-$E$3,22))),0))-IF($G$2,0,IF((AW$6-$G$3)&lt;1,0,IFERROR(LOOKUP(2,1/(Soja!$E38:INDEX(Soja!$E38:$Z38,MIN(AW$6-$G$3,22))&lt;&gt;""),Soja!$E38:INDEX(Soja!$E38:$Z38,MIN(AW$6-$G$3,22))),0)))))</f>
        <v>0</v>
      </c>
      <c r="AX40" s="27" t="n">
        <f aca="false">IF(COUNT(Soja!$E38:$Z38)=0,0,MAX(0,IF((AX$6-$E$3)&lt;1,0,IFERROR(LOOKUP(2,1/(Soja!$E38:INDEX(Soja!$E38:$Z38,MIN(AX$6-$E$3,22))&lt;&gt;""),Soja!$E38:INDEX(Soja!$E38:$Z38,MIN(AX$6-$E$3,22))),0))-IF($G$2,0,IF((AX$6-$G$3)&lt;1,0,IFERROR(LOOKUP(2,1/(Soja!$E38:INDEX(Soja!$E38:$Z38,MIN(AX$6-$G$3,22))&lt;&gt;""),Soja!$E38:INDEX(Soja!$E38:$Z38,MIN(AX$6-$G$3,22))),0)))))</f>
        <v>0</v>
      </c>
      <c r="AY40" s="27" t="n">
        <f aca="false">IF(COUNT(Soja!$E38:$Z38)=0,0,MAX(0,IF((AY$6-$E$3)&lt;1,0,IFERROR(LOOKUP(2,1/(Soja!$E38:INDEX(Soja!$E38:$Z38,MIN(AY$6-$E$3,22))&lt;&gt;""),Soja!$E38:INDEX(Soja!$E38:$Z38,MIN(AY$6-$E$3,22))),0))-IF($G$2,0,IF((AY$6-$G$3)&lt;1,0,IFERROR(LOOKUP(2,1/(Soja!$E38:INDEX(Soja!$E38:$Z38,MIN(AY$6-$G$3,22))&lt;&gt;""),Soja!$E38:INDEX(Soja!$E38:$Z38,MIN(AY$6-$G$3,22))),0)))))</f>
        <v>0</v>
      </c>
      <c r="AZ40" s="27" t="n">
        <f aca="false">IF(COUNT(Soja!$E38:$Z38)=0,0,MAX(0,IF((AZ$6-$E$3)&lt;1,0,IFERROR(LOOKUP(2,1/(Soja!$E38:INDEX(Soja!$E38:$Z38,MIN(AZ$6-$E$3,22))&lt;&gt;""),Soja!$E38:INDEX(Soja!$E38:$Z38,MIN(AZ$6-$E$3,22))),0))-IF($G$2,0,IF((AZ$6-$G$3)&lt;1,0,IFERROR(LOOKUP(2,1/(Soja!$E38:INDEX(Soja!$E38:$Z38,MIN(AZ$6-$G$3,22))&lt;&gt;""),Soja!$E38:INDEX(Soja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IF(COUNT(Soja!$E39:$Z39)&gt;0,N(Soja!$D39),0)</f>
        <v>0</v>
      </c>
      <c r="E41" s="27" t="n">
        <f aca="false">IF(COUNT(Soja!$E39:$Z39)=0,0,MAX(0,IF((E$6-$E$3)&lt;1,0,IFERROR(LOOKUP(2,1/(Soja!$E39:INDEX(Soja!$E39:$Z39,MIN(E$6-$E$3,22))&lt;&gt;""),Soja!$E39:INDEX(Soja!$E39:$Z39,MIN(E$6-$E$3,22))),0))-IF($G$2,0,IF((E$6-$G$3)&lt;1,0,IFERROR(LOOKUP(2,1/(Soja!$E39:INDEX(Soja!$E39:$Z39,MIN(E$6-$G$3,22))&lt;&gt;""),Soja!$E39:INDEX(Soja!$E39:$Z39,MIN(E$6-$G$3,22))),0)))))</f>
        <v>0</v>
      </c>
      <c r="F41" s="27" t="n">
        <f aca="false">IF(COUNT(Soja!$E39:$Z39)=0,0,MAX(0,IF((F$6-$E$3)&lt;1,0,IFERROR(LOOKUP(2,1/(Soja!$E39:INDEX(Soja!$E39:$Z39,MIN(F$6-$E$3,22))&lt;&gt;""),Soja!$E39:INDEX(Soja!$E39:$Z39,MIN(F$6-$E$3,22))),0))-IF($G$2,0,IF((F$6-$G$3)&lt;1,0,IFERROR(LOOKUP(2,1/(Soja!$E39:INDEX(Soja!$E39:$Z39,MIN(F$6-$G$3,22))&lt;&gt;""),Soja!$E39:INDEX(Soja!$E39:$Z39,MIN(F$6-$G$3,22))),0)))))</f>
        <v>0</v>
      </c>
      <c r="G41" s="27" t="n">
        <f aca="false">IF(COUNT(Soja!$E39:$Z39)=0,0,MAX(0,IF((G$6-$E$3)&lt;1,0,IFERROR(LOOKUP(2,1/(Soja!$E39:INDEX(Soja!$E39:$Z39,MIN(G$6-$E$3,22))&lt;&gt;""),Soja!$E39:INDEX(Soja!$E39:$Z39,MIN(G$6-$E$3,22))),0))-IF($G$2,0,IF((G$6-$G$3)&lt;1,0,IFERROR(LOOKUP(2,1/(Soja!$E39:INDEX(Soja!$E39:$Z39,MIN(G$6-$G$3,22))&lt;&gt;""),Soja!$E39:INDEX(Soja!$E39:$Z39,MIN(G$6-$G$3,22))),0)))))</f>
        <v>0</v>
      </c>
      <c r="H41" s="27" t="n">
        <f aca="false">IF(COUNT(Soja!$E39:$Z39)=0,0,MAX(0,IF((H$6-$E$3)&lt;1,0,IFERROR(LOOKUP(2,1/(Soja!$E39:INDEX(Soja!$E39:$Z39,MIN(H$6-$E$3,22))&lt;&gt;""),Soja!$E39:INDEX(Soja!$E39:$Z39,MIN(H$6-$E$3,22))),0))-IF($G$2,0,IF((H$6-$G$3)&lt;1,0,IFERROR(LOOKUP(2,1/(Soja!$E39:INDEX(Soja!$E39:$Z39,MIN(H$6-$G$3,22))&lt;&gt;""),Soja!$E39:INDEX(Soja!$E39:$Z39,MIN(H$6-$G$3,22))),0)))))</f>
        <v>0</v>
      </c>
      <c r="I41" s="27" t="n">
        <f aca="false">IF(COUNT(Soja!$E39:$Z39)=0,0,MAX(0,IF((I$6-$E$3)&lt;1,0,IFERROR(LOOKUP(2,1/(Soja!$E39:INDEX(Soja!$E39:$Z39,MIN(I$6-$E$3,22))&lt;&gt;""),Soja!$E39:INDEX(Soja!$E39:$Z39,MIN(I$6-$E$3,22))),0))-IF($G$2,0,IF((I$6-$G$3)&lt;1,0,IFERROR(LOOKUP(2,1/(Soja!$E39:INDEX(Soja!$E39:$Z39,MIN(I$6-$G$3,22))&lt;&gt;""),Soja!$E39:INDEX(Soja!$E39:$Z39,MIN(I$6-$G$3,22))),0)))))</f>
        <v>0</v>
      </c>
      <c r="J41" s="27" t="n">
        <f aca="false">IF(COUNT(Soja!$E39:$Z39)=0,0,MAX(0,IF((J$6-$E$3)&lt;1,0,IFERROR(LOOKUP(2,1/(Soja!$E39:INDEX(Soja!$E39:$Z39,MIN(J$6-$E$3,22))&lt;&gt;""),Soja!$E39:INDEX(Soja!$E39:$Z39,MIN(J$6-$E$3,22))),0))-IF($G$2,0,IF((J$6-$G$3)&lt;1,0,IFERROR(LOOKUP(2,1/(Soja!$E39:INDEX(Soja!$E39:$Z39,MIN(J$6-$G$3,22))&lt;&gt;""),Soja!$E39:INDEX(Soja!$E39:$Z39,MIN(J$6-$G$3,22))),0)))))</f>
        <v>0</v>
      </c>
      <c r="K41" s="27" t="n">
        <f aca="false">IF(COUNT(Soja!$E39:$Z39)=0,0,MAX(0,IF((K$6-$E$3)&lt;1,0,IFERROR(LOOKUP(2,1/(Soja!$E39:INDEX(Soja!$E39:$Z39,MIN(K$6-$E$3,22))&lt;&gt;""),Soja!$E39:INDEX(Soja!$E39:$Z39,MIN(K$6-$E$3,22))),0))-IF($G$2,0,IF((K$6-$G$3)&lt;1,0,IFERROR(LOOKUP(2,1/(Soja!$E39:INDEX(Soja!$E39:$Z39,MIN(K$6-$G$3,22))&lt;&gt;""),Soja!$E39:INDEX(Soja!$E39:$Z39,MIN(K$6-$G$3,22))),0)))))</f>
        <v>0</v>
      </c>
      <c r="L41" s="27" t="n">
        <f aca="false">IF(COUNT(Soja!$E39:$Z39)=0,0,MAX(0,IF((L$6-$E$3)&lt;1,0,IFERROR(LOOKUP(2,1/(Soja!$E39:INDEX(Soja!$E39:$Z39,MIN(L$6-$E$3,22))&lt;&gt;""),Soja!$E39:INDEX(Soja!$E39:$Z39,MIN(L$6-$E$3,22))),0))-IF($G$2,0,IF((L$6-$G$3)&lt;1,0,IFERROR(LOOKUP(2,1/(Soja!$E39:INDEX(Soja!$E39:$Z39,MIN(L$6-$G$3,22))&lt;&gt;""),Soja!$E39:INDEX(Soja!$E39:$Z39,MIN(L$6-$G$3,22))),0)))))</f>
        <v>0</v>
      </c>
      <c r="M41" s="27" t="n">
        <f aca="false">IF(COUNT(Soja!$E39:$Z39)=0,0,MAX(0,IF((M$6-$E$3)&lt;1,0,IFERROR(LOOKUP(2,1/(Soja!$E39:INDEX(Soja!$E39:$Z39,MIN(M$6-$E$3,22))&lt;&gt;""),Soja!$E39:INDEX(Soja!$E39:$Z39,MIN(M$6-$E$3,22))),0))-IF($G$2,0,IF((M$6-$G$3)&lt;1,0,IFERROR(LOOKUP(2,1/(Soja!$E39:INDEX(Soja!$E39:$Z39,MIN(M$6-$G$3,22))&lt;&gt;""),Soja!$E39:INDEX(Soja!$E39:$Z39,MIN(M$6-$G$3,22))),0)))))</f>
        <v>0</v>
      </c>
      <c r="N41" s="27" t="n">
        <f aca="false">IF(COUNT(Soja!$E39:$Z39)=0,0,MAX(0,IF((N$6-$E$3)&lt;1,0,IFERROR(LOOKUP(2,1/(Soja!$E39:INDEX(Soja!$E39:$Z39,MIN(N$6-$E$3,22))&lt;&gt;""),Soja!$E39:INDEX(Soja!$E39:$Z39,MIN(N$6-$E$3,22))),0))-IF($G$2,0,IF((N$6-$G$3)&lt;1,0,IFERROR(LOOKUP(2,1/(Soja!$E39:INDEX(Soja!$E39:$Z39,MIN(N$6-$G$3,22))&lt;&gt;""),Soja!$E39:INDEX(Soja!$E39:$Z39,MIN(N$6-$G$3,22))),0)))))</f>
        <v>0</v>
      </c>
      <c r="O41" s="27" t="n">
        <f aca="false">IF(COUNT(Soja!$E39:$Z39)=0,0,MAX(0,IF((O$6-$E$3)&lt;1,0,IFERROR(LOOKUP(2,1/(Soja!$E39:INDEX(Soja!$E39:$Z39,MIN(O$6-$E$3,22))&lt;&gt;""),Soja!$E39:INDEX(Soja!$E39:$Z39,MIN(O$6-$E$3,22))),0))-IF($G$2,0,IF((O$6-$G$3)&lt;1,0,IFERROR(LOOKUP(2,1/(Soja!$E39:INDEX(Soja!$E39:$Z39,MIN(O$6-$G$3,22))&lt;&gt;""),Soja!$E39:INDEX(Soja!$E39:$Z39,MIN(O$6-$G$3,22))),0)))))</f>
        <v>0</v>
      </c>
      <c r="P41" s="27" t="n">
        <f aca="false">IF(COUNT(Soja!$E39:$Z39)=0,0,MAX(0,IF((P$6-$E$3)&lt;1,0,IFERROR(LOOKUP(2,1/(Soja!$E39:INDEX(Soja!$E39:$Z39,MIN(P$6-$E$3,22))&lt;&gt;""),Soja!$E39:INDEX(Soja!$E39:$Z39,MIN(P$6-$E$3,22))),0))-IF($G$2,0,IF((P$6-$G$3)&lt;1,0,IFERROR(LOOKUP(2,1/(Soja!$E39:INDEX(Soja!$E39:$Z39,MIN(P$6-$G$3,22))&lt;&gt;""),Soja!$E39:INDEX(Soja!$E39:$Z39,MIN(P$6-$G$3,22))),0)))))</f>
        <v>0</v>
      </c>
      <c r="Q41" s="27" t="n">
        <f aca="false">IF(COUNT(Soja!$E39:$Z39)=0,0,MAX(0,IF((Q$6-$E$3)&lt;1,0,IFERROR(LOOKUP(2,1/(Soja!$E39:INDEX(Soja!$E39:$Z39,MIN(Q$6-$E$3,22))&lt;&gt;""),Soja!$E39:INDEX(Soja!$E39:$Z39,MIN(Q$6-$E$3,22))),0))-IF($G$2,0,IF((Q$6-$G$3)&lt;1,0,IFERROR(LOOKUP(2,1/(Soja!$E39:INDEX(Soja!$E39:$Z39,MIN(Q$6-$G$3,22))&lt;&gt;""),Soja!$E39:INDEX(Soja!$E39:$Z39,MIN(Q$6-$G$3,22))),0)))))</f>
        <v>0</v>
      </c>
      <c r="R41" s="27" t="n">
        <f aca="false">IF(COUNT(Soja!$E39:$Z39)=0,0,MAX(0,IF((R$6-$E$3)&lt;1,0,IFERROR(LOOKUP(2,1/(Soja!$E39:INDEX(Soja!$E39:$Z39,MIN(R$6-$E$3,22))&lt;&gt;""),Soja!$E39:INDEX(Soja!$E39:$Z39,MIN(R$6-$E$3,22))),0))-IF($G$2,0,IF((R$6-$G$3)&lt;1,0,IFERROR(LOOKUP(2,1/(Soja!$E39:INDEX(Soja!$E39:$Z39,MIN(R$6-$G$3,22))&lt;&gt;""),Soja!$E39:INDEX(Soja!$E39:$Z39,MIN(R$6-$G$3,22))),0)))))</f>
        <v>0</v>
      </c>
      <c r="S41" s="27" t="n">
        <f aca="false">IF(COUNT(Soja!$E39:$Z39)=0,0,MAX(0,IF((S$6-$E$3)&lt;1,0,IFERROR(LOOKUP(2,1/(Soja!$E39:INDEX(Soja!$E39:$Z39,MIN(S$6-$E$3,22))&lt;&gt;""),Soja!$E39:INDEX(Soja!$E39:$Z39,MIN(S$6-$E$3,22))),0))-IF($G$2,0,IF((S$6-$G$3)&lt;1,0,IFERROR(LOOKUP(2,1/(Soja!$E39:INDEX(Soja!$E39:$Z39,MIN(S$6-$G$3,22))&lt;&gt;""),Soja!$E39:INDEX(Soja!$E39:$Z39,MIN(S$6-$G$3,22))),0)))))</f>
        <v>0</v>
      </c>
      <c r="T41" s="27" t="n">
        <f aca="false">IF(COUNT(Soja!$E39:$Z39)=0,0,MAX(0,IF((T$6-$E$3)&lt;1,0,IFERROR(LOOKUP(2,1/(Soja!$E39:INDEX(Soja!$E39:$Z39,MIN(T$6-$E$3,22))&lt;&gt;""),Soja!$E39:INDEX(Soja!$E39:$Z39,MIN(T$6-$E$3,22))),0))-IF($G$2,0,IF((T$6-$G$3)&lt;1,0,IFERROR(LOOKUP(2,1/(Soja!$E39:INDEX(Soja!$E39:$Z39,MIN(T$6-$G$3,22))&lt;&gt;""),Soja!$E39:INDEX(Soja!$E39:$Z39,MIN(T$6-$G$3,22))),0)))))</f>
        <v>0</v>
      </c>
      <c r="U41" s="27" t="n">
        <f aca="false">IF(COUNT(Soja!$E39:$Z39)=0,0,MAX(0,IF((U$6-$E$3)&lt;1,0,IFERROR(LOOKUP(2,1/(Soja!$E39:INDEX(Soja!$E39:$Z39,MIN(U$6-$E$3,22))&lt;&gt;""),Soja!$E39:INDEX(Soja!$E39:$Z39,MIN(U$6-$E$3,22))),0))-IF($G$2,0,IF((U$6-$G$3)&lt;1,0,IFERROR(LOOKUP(2,1/(Soja!$E39:INDEX(Soja!$E39:$Z39,MIN(U$6-$G$3,22))&lt;&gt;""),Soja!$E39:INDEX(Soja!$E39:$Z39,MIN(U$6-$G$3,22))),0)))))</f>
        <v>0</v>
      </c>
      <c r="V41" s="27" t="n">
        <f aca="false">IF(COUNT(Soja!$E39:$Z39)=0,0,MAX(0,IF((V$6-$E$3)&lt;1,0,IFERROR(LOOKUP(2,1/(Soja!$E39:INDEX(Soja!$E39:$Z39,MIN(V$6-$E$3,22))&lt;&gt;""),Soja!$E39:INDEX(Soja!$E39:$Z39,MIN(V$6-$E$3,22))),0))-IF($G$2,0,IF((V$6-$G$3)&lt;1,0,IFERROR(LOOKUP(2,1/(Soja!$E39:INDEX(Soja!$E39:$Z39,MIN(V$6-$G$3,22))&lt;&gt;""),Soja!$E39:INDEX(Soja!$E39:$Z39,MIN(V$6-$G$3,22))),0)))))</f>
        <v>0</v>
      </c>
      <c r="W41" s="27" t="n">
        <f aca="false">IF(COUNT(Soja!$E39:$Z39)=0,0,MAX(0,IF((W$6-$E$3)&lt;1,0,IFERROR(LOOKUP(2,1/(Soja!$E39:INDEX(Soja!$E39:$Z39,MIN(W$6-$E$3,22))&lt;&gt;""),Soja!$E39:INDEX(Soja!$E39:$Z39,MIN(W$6-$E$3,22))),0))-IF($G$2,0,IF((W$6-$G$3)&lt;1,0,IFERROR(LOOKUP(2,1/(Soja!$E39:INDEX(Soja!$E39:$Z39,MIN(W$6-$G$3,22))&lt;&gt;""),Soja!$E39:INDEX(Soja!$E39:$Z39,MIN(W$6-$G$3,22))),0)))))</f>
        <v>0</v>
      </c>
      <c r="X41" s="27" t="n">
        <f aca="false">IF(COUNT(Soja!$E39:$Z39)=0,0,MAX(0,IF((X$6-$E$3)&lt;1,0,IFERROR(LOOKUP(2,1/(Soja!$E39:INDEX(Soja!$E39:$Z39,MIN(X$6-$E$3,22))&lt;&gt;""),Soja!$E39:INDEX(Soja!$E39:$Z39,MIN(X$6-$E$3,22))),0))-IF($G$2,0,IF((X$6-$G$3)&lt;1,0,IFERROR(LOOKUP(2,1/(Soja!$E39:INDEX(Soja!$E39:$Z39,MIN(X$6-$G$3,22))&lt;&gt;""),Soja!$E39:INDEX(Soja!$E39:$Z39,MIN(X$6-$G$3,22))),0)))))</f>
        <v>0</v>
      </c>
      <c r="Y41" s="27" t="n">
        <f aca="false">IF(COUNT(Soja!$E39:$Z39)=0,0,MAX(0,IF((Y$6-$E$3)&lt;1,0,IFERROR(LOOKUP(2,1/(Soja!$E39:INDEX(Soja!$E39:$Z39,MIN(Y$6-$E$3,22))&lt;&gt;""),Soja!$E39:INDEX(Soja!$E39:$Z39,MIN(Y$6-$E$3,22))),0))-IF($G$2,0,IF((Y$6-$G$3)&lt;1,0,IFERROR(LOOKUP(2,1/(Soja!$E39:INDEX(Soja!$E39:$Z39,MIN(Y$6-$G$3,22))&lt;&gt;""),Soja!$E39:INDEX(Soja!$E39:$Z39,MIN(Y$6-$G$3,22))),0)))))</f>
        <v>0</v>
      </c>
      <c r="Z41" s="27" t="n">
        <f aca="false">IF(COUNT(Soja!$E39:$Z39)=0,0,MAX(0,IF((Z$6-$E$3)&lt;1,0,IFERROR(LOOKUP(2,1/(Soja!$E39:INDEX(Soja!$E39:$Z39,MIN(Z$6-$E$3,22))&lt;&gt;""),Soja!$E39:INDEX(Soja!$E39:$Z39,MIN(Z$6-$E$3,22))),0))-IF($G$2,0,IF((Z$6-$G$3)&lt;1,0,IFERROR(LOOKUP(2,1/(Soja!$E39:INDEX(Soja!$E39:$Z39,MIN(Z$6-$G$3,22))&lt;&gt;""),Soja!$E39:INDEX(Soja!$E39:$Z39,MIN(Z$6-$G$3,22))),0)))))</f>
        <v>0</v>
      </c>
      <c r="AA41" s="27" t="n">
        <f aca="false">IF(COUNT(Soja!$E39:$Z39)=0,0,MAX(0,IF((AA$6-$E$3)&lt;1,0,IFERROR(LOOKUP(2,1/(Soja!$E39:INDEX(Soja!$E39:$Z39,MIN(AA$6-$E$3,22))&lt;&gt;""),Soja!$E39:INDEX(Soja!$E39:$Z39,MIN(AA$6-$E$3,22))),0))-IF($G$2,0,IF((AA$6-$G$3)&lt;1,0,IFERROR(LOOKUP(2,1/(Soja!$E39:INDEX(Soja!$E39:$Z39,MIN(AA$6-$G$3,22))&lt;&gt;""),Soja!$E39:INDEX(Soja!$E39:$Z39,MIN(AA$6-$G$3,22))),0)))))</f>
        <v>0</v>
      </c>
      <c r="AB41" s="27" t="n">
        <f aca="false">IF(COUNT(Soja!$E39:$Z39)=0,0,MAX(0,IF((AB$6-$E$3)&lt;1,0,IFERROR(LOOKUP(2,1/(Soja!$E39:INDEX(Soja!$E39:$Z39,MIN(AB$6-$E$3,22))&lt;&gt;""),Soja!$E39:INDEX(Soja!$E39:$Z39,MIN(AB$6-$E$3,22))),0))-IF($G$2,0,IF((AB$6-$G$3)&lt;1,0,IFERROR(LOOKUP(2,1/(Soja!$E39:INDEX(Soja!$E39:$Z39,MIN(AB$6-$G$3,22))&lt;&gt;""),Soja!$E39:INDEX(Soja!$E39:$Z39,MIN(AB$6-$G$3,22))),0)))))</f>
        <v>0</v>
      </c>
      <c r="AC41" s="27" t="n">
        <f aca="false">IF(COUNT(Soja!$E39:$Z39)=0,0,MAX(0,IF((AC$6-$E$3)&lt;1,0,IFERROR(LOOKUP(2,1/(Soja!$E39:INDEX(Soja!$E39:$Z39,MIN(AC$6-$E$3,22))&lt;&gt;""),Soja!$E39:INDEX(Soja!$E39:$Z39,MIN(AC$6-$E$3,22))),0))-IF($G$2,0,IF((AC$6-$G$3)&lt;1,0,IFERROR(LOOKUP(2,1/(Soja!$E39:INDEX(Soja!$E39:$Z39,MIN(AC$6-$G$3,22))&lt;&gt;""),Soja!$E39:INDEX(Soja!$E39:$Z39,MIN(AC$6-$G$3,22))),0)))))</f>
        <v>0</v>
      </c>
      <c r="AD41" s="27" t="n">
        <f aca="false">IF(COUNT(Soja!$E39:$Z39)=0,0,MAX(0,IF((AD$6-$E$3)&lt;1,0,IFERROR(LOOKUP(2,1/(Soja!$E39:INDEX(Soja!$E39:$Z39,MIN(AD$6-$E$3,22))&lt;&gt;""),Soja!$E39:INDEX(Soja!$E39:$Z39,MIN(AD$6-$E$3,22))),0))-IF($G$2,0,IF((AD$6-$G$3)&lt;1,0,IFERROR(LOOKUP(2,1/(Soja!$E39:INDEX(Soja!$E39:$Z39,MIN(AD$6-$G$3,22))&lt;&gt;""),Soja!$E39:INDEX(Soja!$E39:$Z39,MIN(AD$6-$G$3,22))),0)))))</f>
        <v>0</v>
      </c>
      <c r="AE41" s="27" t="n">
        <f aca="false">IF(COUNT(Soja!$E39:$Z39)=0,0,MAX(0,IF((AE$6-$E$3)&lt;1,0,IFERROR(LOOKUP(2,1/(Soja!$E39:INDEX(Soja!$E39:$Z39,MIN(AE$6-$E$3,22))&lt;&gt;""),Soja!$E39:INDEX(Soja!$E39:$Z39,MIN(AE$6-$E$3,22))),0))-IF($G$2,0,IF((AE$6-$G$3)&lt;1,0,IFERROR(LOOKUP(2,1/(Soja!$E39:INDEX(Soja!$E39:$Z39,MIN(AE$6-$G$3,22))&lt;&gt;""),Soja!$E39:INDEX(Soja!$E39:$Z39,MIN(AE$6-$G$3,22))),0)))))</f>
        <v>0</v>
      </c>
      <c r="AF41" s="27" t="n">
        <f aca="false">IF(COUNT(Soja!$E39:$Z39)=0,0,MAX(0,IF((AF$6-$E$3)&lt;1,0,IFERROR(LOOKUP(2,1/(Soja!$E39:INDEX(Soja!$E39:$Z39,MIN(AF$6-$E$3,22))&lt;&gt;""),Soja!$E39:INDEX(Soja!$E39:$Z39,MIN(AF$6-$E$3,22))),0))-IF($G$2,0,IF((AF$6-$G$3)&lt;1,0,IFERROR(LOOKUP(2,1/(Soja!$E39:INDEX(Soja!$E39:$Z39,MIN(AF$6-$G$3,22))&lt;&gt;""),Soja!$E39:INDEX(Soja!$E39:$Z39,MIN(AF$6-$G$3,22))),0)))))</f>
        <v>0</v>
      </c>
      <c r="AG41" s="27" t="n">
        <f aca="false">IF(COUNT(Soja!$E39:$Z39)=0,0,MAX(0,IF((AG$6-$E$3)&lt;1,0,IFERROR(LOOKUP(2,1/(Soja!$E39:INDEX(Soja!$E39:$Z39,MIN(AG$6-$E$3,22))&lt;&gt;""),Soja!$E39:INDEX(Soja!$E39:$Z39,MIN(AG$6-$E$3,22))),0))-IF($G$2,0,IF((AG$6-$G$3)&lt;1,0,IFERROR(LOOKUP(2,1/(Soja!$E39:INDEX(Soja!$E39:$Z39,MIN(AG$6-$G$3,22))&lt;&gt;""),Soja!$E39:INDEX(Soja!$E39:$Z39,MIN(AG$6-$G$3,22))),0)))))</f>
        <v>0</v>
      </c>
      <c r="AH41" s="27" t="n">
        <f aca="false">IF(COUNT(Soja!$E39:$Z39)=0,0,MAX(0,IF((AH$6-$E$3)&lt;1,0,IFERROR(LOOKUP(2,1/(Soja!$E39:INDEX(Soja!$E39:$Z39,MIN(AH$6-$E$3,22))&lt;&gt;""),Soja!$E39:INDEX(Soja!$E39:$Z39,MIN(AH$6-$E$3,22))),0))-IF($G$2,0,IF((AH$6-$G$3)&lt;1,0,IFERROR(LOOKUP(2,1/(Soja!$E39:INDEX(Soja!$E39:$Z39,MIN(AH$6-$G$3,22))&lt;&gt;""),Soja!$E39:INDEX(Soja!$E39:$Z39,MIN(AH$6-$G$3,22))),0)))))</f>
        <v>0</v>
      </c>
      <c r="AI41" s="27" t="n">
        <f aca="false">IF(COUNT(Soja!$E39:$Z39)=0,0,MAX(0,IF((AI$6-$E$3)&lt;1,0,IFERROR(LOOKUP(2,1/(Soja!$E39:INDEX(Soja!$E39:$Z39,MIN(AI$6-$E$3,22))&lt;&gt;""),Soja!$E39:INDEX(Soja!$E39:$Z39,MIN(AI$6-$E$3,22))),0))-IF($G$2,0,IF((AI$6-$G$3)&lt;1,0,IFERROR(LOOKUP(2,1/(Soja!$E39:INDEX(Soja!$E39:$Z39,MIN(AI$6-$G$3,22))&lt;&gt;""),Soja!$E39:INDEX(Soja!$E39:$Z39,MIN(AI$6-$G$3,22))),0)))))</f>
        <v>0</v>
      </c>
      <c r="AJ41" s="27" t="n">
        <f aca="false">IF(COUNT(Soja!$E39:$Z39)=0,0,MAX(0,IF((AJ$6-$E$3)&lt;1,0,IFERROR(LOOKUP(2,1/(Soja!$E39:INDEX(Soja!$E39:$Z39,MIN(AJ$6-$E$3,22))&lt;&gt;""),Soja!$E39:INDEX(Soja!$E39:$Z39,MIN(AJ$6-$E$3,22))),0))-IF($G$2,0,IF((AJ$6-$G$3)&lt;1,0,IFERROR(LOOKUP(2,1/(Soja!$E39:INDEX(Soja!$E39:$Z39,MIN(AJ$6-$G$3,22))&lt;&gt;""),Soja!$E39:INDEX(Soja!$E39:$Z39,MIN(AJ$6-$G$3,22))),0)))))</f>
        <v>0</v>
      </c>
      <c r="AK41" s="27" t="n">
        <f aca="false">IF(COUNT(Soja!$E39:$Z39)=0,0,MAX(0,IF((AK$6-$E$3)&lt;1,0,IFERROR(LOOKUP(2,1/(Soja!$E39:INDEX(Soja!$E39:$Z39,MIN(AK$6-$E$3,22))&lt;&gt;""),Soja!$E39:INDEX(Soja!$E39:$Z39,MIN(AK$6-$E$3,22))),0))-IF($G$2,0,IF((AK$6-$G$3)&lt;1,0,IFERROR(LOOKUP(2,1/(Soja!$E39:INDEX(Soja!$E39:$Z39,MIN(AK$6-$G$3,22))&lt;&gt;""),Soja!$E39:INDEX(Soja!$E39:$Z39,MIN(AK$6-$G$3,22))),0)))))</f>
        <v>0</v>
      </c>
      <c r="AL41" s="27" t="n">
        <f aca="false">IF(COUNT(Soja!$E39:$Z39)=0,0,MAX(0,IF((AL$6-$E$3)&lt;1,0,IFERROR(LOOKUP(2,1/(Soja!$E39:INDEX(Soja!$E39:$Z39,MIN(AL$6-$E$3,22))&lt;&gt;""),Soja!$E39:INDEX(Soja!$E39:$Z39,MIN(AL$6-$E$3,22))),0))-IF($G$2,0,IF((AL$6-$G$3)&lt;1,0,IFERROR(LOOKUP(2,1/(Soja!$E39:INDEX(Soja!$E39:$Z39,MIN(AL$6-$G$3,22))&lt;&gt;""),Soja!$E39:INDEX(Soja!$E39:$Z39,MIN(AL$6-$G$3,22))),0)))))</f>
        <v>0</v>
      </c>
      <c r="AM41" s="27" t="n">
        <f aca="false">IF(COUNT(Soja!$E39:$Z39)=0,0,MAX(0,IF((AM$6-$E$3)&lt;1,0,IFERROR(LOOKUP(2,1/(Soja!$E39:INDEX(Soja!$E39:$Z39,MIN(AM$6-$E$3,22))&lt;&gt;""),Soja!$E39:INDEX(Soja!$E39:$Z39,MIN(AM$6-$E$3,22))),0))-IF($G$2,0,IF((AM$6-$G$3)&lt;1,0,IFERROR(LOOKUP(2,1/(Soja!$E39:INDEX(Soja!$E39:$Z39,MIN(AM$6-$G$3,22))&lt;&gt;""),Soja!$E39:INDEX(Soja!$E39:$Z39,MIN(AM$6-$G$3,22))),0)))))</f>
        <v>0</v>
      </c>
      <c r="AN41" s="27" t="n">
        <f aca="false">IF(COUNT(Soja!$E39:$Z39)=0,0,MAX(0,IF((AN$6-$E$3)&lt;1,0,IFERROR(LOOKUP(2,1/(Soja!$E39:INDEX(Soja!$E39:$Z39,MIN(AN$6-$E$3,22))&lt;&gt;""),Soja!$E39:INDEX(Soja!$E39:$Z39,MIN(AN$6-$E$3,22))),0))-IF($G$2,0,IF((AN$6-$G$3)&lt;1,0,IFERROR(LOOKUP(2,1/(Soja!$E39:INDEX(Soja!$E39:$Z39,MIN(AN$6-$G$3,22))&lt;&gt;""),Soja!$E39:INDEX(Soja!$E39:$Z39,MIN(AN$6-$G$3,22))),0)))))</f>
        <v>0</v>
      </c>
      <c r="AO41" s="27" t="n">
        <f aca="false">IF(COUNT(Soja!$E39:$Z39)=0,0,MAX(0,IF((AO$6-$E$3)&lt;1,0,IFERROR(LOOKUP(2,1/(Soja!$E39:INDEX(Soja!$E39:$Z39,MIN(AO$6-$E$3,22))&lt;&gt;""),Soja!$E39:INDEX(Soja!$E39:$Z39,MIN(AO$6-$E$3,22))),0))-IF($G$2,0,IF((AO$6-$G$3)&lt;1,0,IFERROR(LOOKUP(2,1/(Soja!$E39:INDEX(Soja!$E39:$Z39,MIN(AO$6-$G$3,22))&lt;&gt;""),Soja!$E39:INDEX(Soja!$E39:$Z39,MIN(AO$6-$G$3,22))),0)))))</f>
        <v>0</v>
      </c>
      <c r="AP41" s="27" t="n">
        <f aca="false">IF(COUNT(Soja!$E39:$Z39)=0,0,MAX(0,IF((AP$6-$E$3)&lt;1,0,IFERROR(LOOKUP(2,1/(Soja!$E39:INDEX(Soja!$E39:$Z39,MIN(AP$6-$E$3,22))&lt;&gt;""),Soja!$E39:INDEX(Soja!$E39:$Z39,MIN(AP$6-$E$3,22))),0))-IF($G$2,0,IF((AP$6-$G$3)&lt;1,0,IFERROR(LOOKUP(2,1/(Soja!$E39:INDEX(Soja!$E39:$Z39,MIN(AP$6-$G$3,22))&lt;&gt;""),Soja!$E39:INDEX(Soja!$E39:$Z39,MIN(AP$6-$G$3,22))),0)))))</f>
        <v>0</v>
      </c>
      <c r="AQ41" s="27" t="n">
        <f aca="false">IF(COUNT(Soja!$E39:$Z39)=0,0,MAX(0,IF((AQ$6-$E$3)&lt;1,0,IFERROR(LOOKUP(2,1/(Soja!$E39:INDEX(Soja!$E39:$Z39,MIN(AQ$6-$E$3,22))&lt;&gt;""),Soja!$E39:INDEX(Soja!$E39:$Z39,MIN(AQ$6-$E$3,22))),0))-IF($G$2,0,IF((AQ$6-$G$3)&lt;1,0,IFERROR(LOOKUP(2,1/(Soja!$E39:INDEX(Soja!$E39:$Z39,MIN(AQ$6-$G$3,22))&lt;&gt;""),Soja!$E39:INDEX(Soja!$E39:$Z39,MIN(AQ$6-$G$3,22))),0)))))</f>
        <v>0</v>
      </c>
      <c r="AR41" s="27" t="n">
        <f aca="false">IF(COUNT(Soja!$E39:$Z39)=0,0,MAX(0,IF((AR$6-$E$3)&lt;1,0,IFERROR(LOOKUP(2,1/(Soja!$E39:INDEX(Soja!$E39:$Z39,MIN(AR$6-$E$3,22))&lt;&gt;""),Soja!$E39:INDEX(Soja!$E39:$Z39,MIN(AR$6-$E$3,22))),0))-IF($G$2,0,IF((AR$6-$G$3)&lt;1,0,IFERROR(LOOKUP(2,1/(Soja!$E39:INDEX(Soja!$E39:$Z39,MIN(AR$6-$G$3,22))&lt;&gt;""),Soja!$E39:INDEX(Soja!$E39:$Z39,MIN(AR$6-$G$3,22))),0)))))</f>
        <v>0</v>
      </c>
      <c r="AS41" s="27" t="n">
        <f aca="false">IF(COUNT(Soja!$E39:$Z39)=0,0,MAX(0,IF((AS$6-$E$3)&lt;1,0,IFERROR(LOOKUP(2,1/(Soja!$E39:INDEX(Soja!$E39:$Z39,MIN(AS$6-$E$3,22))&lt;&gt;""),Soja!$E39:INDEX(Soja!$E39:$Z39,MIN(AS$6-$E$3,22))),0))-IF($G$2,0,IF((AS$6-$G$3)&lt;1,0,IFERROR(LOOKUP(2,1/(Soja!$E39:INDEX(Soja!$E39:$Z39,MIN(AS$6-$G$3,22))&lt;&gt;""),Soja!$E39:INDEX(Soja!$E39:$Z39,MIN(AS$6-$G$3,22))),0)))))</f>
        <v>0</v>
      </c>
      <c r="AT41" s="27" t="n">
        <f aca="false">IF(COUNT(Soja!$E39:$Z39)=0,0,MAX(0,IF((AT$6-$E$3)&lt;1,0,IFERROR(LOOKUP(2,1/(Soja!$E39:INDEX(Soja!$E39:$Z39,MIN(AT$6-$E$3,22))&lt;&gt;""),Soja!$E39:INDEX(Soja!$E39:$Z39,MIN(AT$6-$E$3,22))),0))-IF($G$2,0,IF((AT$6-$G$3)&lt;1,0,IFERROR(LOOKUP(2,1/(Soja!$E39:INDEX(Soja!$E39:$Z39,MIN(AT$6-$G$3,22))&lt;&gt;""),Soja!$E39:INDEX(Soja!$E39:$Z39,MIN(AT$6-$G$3,22))),0)))))</f>
        <v>0</v>
      </c>
      <c r="AU41" s="27" t="n">
        <f aca="false">IF(COUNT(Soja!$E39:$Z39)=0,0,MAX(0,IF((AU$6-$E$3)&lt;1,0,IFERROR(LOOKUP(2,1/(Soja!$E39:INDEX(Soja!$E39:$Z39,MIN(AU$6-$E$3,22))&lt;&gt;""),Soja!$E39:INDEX(Soja!$E39:$Z39,MIN(AU$6-$E$3,22))),0))-IF($G$2,0,IF((AU$6-$G$3)&lt;1,0,IFERROR(LOOKUP(2,1/(Soja!$E39:INDEX(Soja!$E39:$Z39,MIN(AU$6-$G$3,22))&lt;&gt;""),Soja!$E39:INDEX(Soja!$E39:$Z39,MIN(AU$6-$G$3,22))),0)))))</f>
        <v>0</v>
      </c>
      <c r="AV41" s="27" t="n">
        <f aca="false">IF(COUNT(Soja!$E39:$Z39)=0,0,MAX(0,IF((AV$6-$E$3)&lt;1,0,IFERROR(LOOKUP(2,1/(Soja!$E39:INDEX(Soja!$E39:$Z39,MIN(AV$6-$E$3,22))&lt;&gt;""),Soja!$E39:INDEX(Soja!$E39:$Z39,MIN(AV$6-$E$3,22))),0))-IF($G$2,0,IF((AV$6-$G$3)&lt;1,0,IFERROR(LOOKUP(2,1/(Soja!$E39:INDEX(Soja!$E39:$Z39,MIN(AV$6-$G$3,22))&lt;&gt;""),Soja!$E39:INDEX(Soja!$E39:$Z39,MIN(AV$6-$G$3,22))),0)))))</f>
        <v>0</v>
      </c>
      <c r="AW41" s="27" t="n">
        <f aca="false">IF(COUNT(Soja!$E39:$Z39)=0,0,MAX(0,IF((AW$6-$E$3)&lt;1,0,IFERROR(LOOKUP(2,1/(Soja!$E39:INDEX(Soja!$E39:$Z39,MIN(AW$6-$E$3,22))&lt;&gt;""),Soja!$E39:INDEX(Soja!$E39:$Z39,MIN(AW$6-$E$3,22))),0))-IF($G$2,0,IF((AW$6-$G$3)&lt;1,0,IFERROR(LOOKUP(2,1/(Soja!$E39:INDEX(Soja!$E39:$Z39,MIN(AW$6-$G$3,22))&lt;&gt;""),Soja!$E39:INDEX(Soja!$E39:$Z39,MIN(AW$6-$G$3,22))),0)))))</f>
        <v>0</v>
      </c>
      <c r="AX41" s="27" t="n">
        <f aca="false">IF(COUNT(Soja!$E39:$Z39)=0,0,MAX(0,IF((AX$6-$E$3)&lt;1,0,IFERROR(LOOKUP(2,1/(Soja!$E39:INDEX(Soja!$E39:$Z39,MIN(AX$6-$E$3,22))&lt;&gt;""),Soja!$E39:INDEX(Soja!$E39:$Z39,MIN(AX$6-$E$3,22))),0))-IF($G$2,0,IF((AX$6-$G$3)&lt;1,0,IFERROR(LOOKUP(2,1/(Soja!$E39:INDEX(Soja!$E39:$Z39,MIN(AX$6-$G$3,22))&lt;&gt;""),Soja!$E39:INDEX(Soja!$E39:$Z39,MIN(AX$6-$G$3,22))),0)))))</f>
        <v>0</v>
      </c>
      <c r="AY41" s="27" t="n">
        <f aca="false">IF(COUNT(Soja!$E39:$Z39)=0,0,MAX(0,IF((AY$6-$E$3)&lt;1,0,IFERROR(LOOKUP(2,1/(Soja!$E39:INDEX(Soja!$E39:$Z39,MIN(AY$6-$E$3,22))&lt;&gt;""),Soja!$E39:INDEX(Soja!$E39:$Z39,MIN(AY$6-$E$3,22))),0))-IF($G$2,0,IF((AY$6-$G$3)&lt;1,0,IFERROR(LOOKUP(2,1/(Soja!$E39:INDEX(Soja!$E39:$Z39,MIN(AY$6-$G$3,22))&lt;&gt;""),Soja!$E39:INDEX(Soja!$E39:$Z39,MIN(AY$6-$G$3,22))),0)))))</f>
        <v>0</v>
      </c>
      <c r="AZ41" s="27" t="n">
        <f aca="false">IF(COUNT(Soja!$E39:$Z39)=0,0,MAX(0,IF((AZ$6-$E$3)&lt;1,0,IFERROR(LOOKUP(2,1/(Soja!$E39:INDEX(Soja!$E39:$Z39,MIN(AZ$6-$E$3,22))&lt;&gt;""),Soja!$E39:INDEX(Soja!$E39:$Z39,MIN(AZ$6-$E$3,22))),0))-IF($G$2,0,IF((AZ$6-$G$3)&lt;1,0,IFERROR(LOOKUP(2,1/(Soja!$E39:INDEX(Soja!$E39:$Z39,MIN(AZ$6-$G$3,22))&lt;&gt;""),Soja!$E39:INDEX(Soja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IF(COUNT(Soja!$E40:$Z40)&gt;0,N(Soja!$D40),0)</f>
        <v>0</v>
      </c>
      <c r="E42" s="27" t="n">
        <f aca="false">IF(COUNT(Soja!$E40:$Z40)=0,0,MAX(0,IF((E$6-$E$3)&lt;1,0,IFERROR(LOOKUP(2,1/(Soja!$E40:INDEX(Soja!$E40:$Z40,MIN(E$6-$E$3,22))&lt;&gt;""),Soja!$E40:INDEX(Soja!$E40:$Z40,MIN(E$6-$E$3,22))),0))-IF($G$2,0,IF((E$6-$G$3)&lt;1,0,IFERROR(LOOKUP(2,1/(Soja!$E40:INDEX(Soja!$E40:$Z40,MIN(E$6-$G$3,22))&lt;&gt;""),Soja!$E40:INDEX(Soja!$E40:$Z40,MIN(E$6-$G$3,22))),0)))))</f>
        <v>0</v>
      </c>
      <c r="F42" s="27" t="n">
        <f aca="false">IF(COUNT(Soja!$E40:$Z40)=0,0,MAX(0,IF((F$6-$E$3)&lt;1,0,IFERROR(LOOKUP(2,1/(Soja!$E40:INDEX(Soja!$E40:$Z40,MIN(F$6-$E$3,22))&lt;&gt;""),Soja!$E40:INDEX(Soja!$E40:$Z40,MIN(F$6-$E$3,22))),0))-IF($G$2,0,IF((F$6-$G$3)&lt;1,0,IFERROR(LOOKUP(2,1/(Soja!$E40:INDEX(Soja!$E40:$Z40,MIN(F$6-$G$3,22))&lt;&gt;""),Soja!$E40:INDEX(Soja!$E40:$Z40,MIN(F$6-$G$3,22))),0)))))</f>
        <v>0</v>
      </c>
      <c r="G42" s="27" t="n">
        <f aca="false">IF(COUNT(Soja!$E40:$Z40)=0,0,MAX(0,IF((G$6-$E$3)&lt;1,0,IFERROR(LOOKUP(2,1/(Soja!$E40:INDEX(Soja!$E40:$Z40,MIN(G$6-$E$3,22))&lt;&gt;""),Soja!$E40:INDEX(Soja!$E40:$Z40,MIN(G$6-$E$3,22))),0))-IF($G$2,0,IF((G$6-$G$3)&lt;1,0,IFERROR(LOOKUP(2,1/(Soja!$E40:INDEX(Soja!$E40:$Z40,MIN(G$6-$G$3,22))&lt;&gt;""),Soja!$E40:INDEX(Soja!$E40:$Z40,MIN(G$6-$G$3,22))),0)))))</f>
        <v>0</v>
      </c>
      <c r="H42" s="27" t="n">
        <f aca="false">IF(COUNT(Soja!$E40:$Z40)=0,0,MAX(0,IF((H$6-$E$3)&lt;1,0,IFERROR(LOOKUP(2,1/(Soja!$E40:INDEX(Soja!$E40:$Z40,MIN(H$6-$E$3,22))&lt;&gt;""),Soja!$E40:INDEX(Soja!$E40:$Z40,MIN(H$6-$E$3,22))),0))-IF($G$2,0,IF((H$6-$G$3)&lt;1,0,IFERROR(LOOKUP(2,1/(Soja!$E40:INDEX(Soja!$E40:$Z40,MIN(H$6-$G$3,22))&lt;&gt;""),Soja!$E40:INDEX(Soja!$E40:$Z40,MIN(H$6-$G$3,22))),0)))))</f>
        <v>0</v>
      </c>
      <c r="I42" s="27" t="n">
        <f aca="false">IF(COUNT(Soja!$E40:$Z40)=0,0,MAX(0,IF((I$6-$E$3)&lt;1,0,IFERROR(LOOKUP(2,1/(Soja!$E40:INDEX(Soja!$E40:$Z40,MIN(I$6-$E$3,22))&lt;&gt;""),Soja!$E40:INDEX(Soja!$E40:$Z40,MIN(I$6-$E$3,22))),0))-IF($G$2,0,IF((I$6-$G$3)&lt;1,0,IFERROR(LOOKUP(2,1/(Soja!$E40:INDEX(Soja!$E40:$Z40,MIN(I$6-$G$3,22))&lt;&gt;""),Soja!$E40:INDEX(Soja!$E40:$Z40,MIN(I$6-$G$3,22))),0)))))</f>
        <v>0</v>
      </c>
      <c r="J42" s="27" t="n">
        <f aca="false">IF(COUNT(Soja!$E40:$Z40)=0,0,MAX(0,IF((J$6-$E$3)&lt;1,0,IFERROR(LOOKUP(2,1/(Soja!$E40:INDEX(Soja!$E40:$Z40,MIN(J$6-$E$3,22))&lt;&gt;""),Soja!$E40:INDEX(Soja!$E40:$Z40,MIN(J$6-$E$3,22))),0))-IF($G$2,0,IF((J$6-$G$3)&lt;1,0,IFERROR(LOOKUP(2,1/(Soja!$E40:INDEX(Soja!$E40:$Z40,MIN(J$6-$G$3,22))&lt;&gt;""),Soja!$E40:INDEX(Soja!$E40:$Z40,MIN(J$6-$G$3,22))),0)))))</f>
        <v>0</v>
      </c>
      <c r="K42" s="27" t="n">
        <f aca="false">IF(COUNT(Soja!$E40:$Z40)=0,0,MAX(0,IF((K$6-$E$3)&lt;1,0,IFERROR(LOOKUP(2,1/(Soja!$E40:INDEX(Soja!$E40:$Z40,MIN(K$6-$E$3,22))&lt;&gt;""),Soja!$E40:INDEX(Soja!$E40:$Z40,MIN(K$6-$E$3,22))),0))-IF($G$2,0,IF((K$6-$G$3)&lt;1,0,IFERROR(LOOKUP(2,1/(Soja!$E40:INDEX(Soja!$E40:$Z40,MIN(K$6-$G$3,22))&lt;&gt;""),Soja!$E40:INDEX(Soja!$E40:$Z40,MIN(K$6-$G$3,22))),0)))))</f>
        <v>0</v>
      </c>
      <c r="L42" s="27" t="n">
        <f aca="false">IF(COUNT(Soja!$E40:$Z40)=0,0,MAX(0,IF((L$6-$E$3)&lt;1,0,IFERROR(LOOKUP(2,1/(Soja!$E40:INDEX(Soja!$E40:$Z40,MIN(L$6-$E$3,22))&lt;&gt;""),Soja!$E40:INDEX(Soja!$E40:$Z40,MIN(L$6-$E$3,22))),0))-IF($G$2,0,IF((L$6-$G$3)&lt;1,0,IFERROR(LOOKUP(2,1/(Soja!$E40:INDEX(Soja!$E40:$Z40,MIN(L$6-$G$3,22))&lt;&gt;""),Soja!$E40:INDEX(Soja!$E40:$Z40,MIN(L$6-$G$3,22))),0)))))</f>
        <v>0</v>
      </c>
      <c r="M42" s="27" t="n">
        <f aca="false">IF(COUNT(Soja!$E40:$Z40)=0,0,MAX(0,IF((M$6-$E$3)&lt;1,0,IFERROR(LOOKUP(2,1/(Soja!$E40:INDEX(Soja!$E40:$Z40,MIN(M$6-$E$3,22))&lt;&gt;""),Soja!$E40:INDEX(Soja!$E40:$Z40,MIN(M$6-$E$3,22))),0))-IF($G$2,0,IF((M$6-$G$3)&lt;1,0,IFERROR(LOOKUP(2,1/(Soja!$E40:INDEX(Soja!$E40:$Z40,MIN(M$6-$G$3,22))&lt;&gt;""),Soja!$E40:INDEX(Soja!$E40:$Z40,MIN(M$6-$G$3,22))),0)))))</f>
        <v>0</v>
      </c>
      <c r="N42" s="27" t="n">
        <f aca="false">IF(COUNT(Soja!$E40:$Z40)=0,0,MAX(0,IF((N$6-$E$3)&lt;1,0,IFERROR(LOOKUP(2,1/(Soja!$E40:INDEX(Soja!$E40:$Z40,MIN(N$6-$E$3,22))&lt;&gt;""),Soja!$E40:INDEX(Soja!$E40:$Z40,MIN(N$6-$E$3,22))),0))-IF($G$2,0,IF((N$6-$G$3)&lt;1,0,IFERROR(LOOKUP(2,1/(Soja!$E40:INDEX(Soja!$E40:$Z40,MIN(N$6-$G$3,22))&lt;&gt;""),Soja!$E40:INDEX(Soja!$E40:$Z40,MIN(N$6-$G$3,22))),0)))))</f>
        <v>0</v>
      </c>
      <c r="O42" s="27" t="n">
        <f aca="false">IF(COUNT(Soja!$E40:$Z40)=0,0,MAX(0,IF((O$6-$E$3)&lt;1,0,IFERROR(LOOKUP(2,1/(Soja!$E40:INDEX(Soja!$E40:$Z40,MIN(O$6-$E$3,22))&lt;&gt;""),Soja!$E40:INDEX(Soja!$E40:$Z40,MIN(O$6-$E$3,22))),0))-IF($G$2,0,IF((O$6-$G$3)&lt;1,0,IFERROR(LOOKUP(2,1/(Soja!$E40:INDEX(Soja!$E40:$Z40,MIN(O$6-$G$3,22))&lt;&gt;""),Soja!$E40:INDEX(Soja!$E40:$Z40,MIN(O$6-$G$3,22))),0)))))</f>
        <v>0</v>
      </c>
      <c r="P42" s="27" t="n">
        <f aca="false">IF(COUNT(Soja!$E40:$Z40)=0,0,MAX(0,IF((P$6-$E$3)&lt;1,0,IFERROR(LOOKUP(2,1/(Soja!$E40:INDEX(Soja!$E40:$Z40,MIN(P$6-$E$3,22))&lt;&gt;""),Soja!$E40:INDEX(Soja!$E40:$Z40,MIN(P$6-$E$3,22))),0))-IF($G$2,0,IF((P$6-$G$3)&lt;1,0,IFERROR(LOOKUP(2,1/(Soja!$E40:INDEX(Soja!$E40:$Z40,MIN(P$6-$G$3,22))&lt;&gt;""),Soja!$E40:INDEX(Soja!$E40:$Z40,MIN(P$6-$G$3,22))),0)))))</f>
        <v>0</v>
      </c>
      <c r="Q42" s="27" t="n">
        <f aca="false">IF(COUNT(Soja!$E40:$Z40)=0,0,MAX(0,IF((Q$6-$E$3)&lt;1,0,IFERROR(LOOKUP(2,1/(Soja!$E40:INDEX(Soja!$E40:$Z40,MIN(Q$6-$E$3,22))&lt;&gt;""),Soja!$E40:INDEX(Soja!$E40:$Z40,MIN(Q$6-$E$3,22))),0))-IF($G$2,0,IF((Q$6-$G$3)&lt;1,0,IFERROR(LOOKUP(2,1/(Soja!$E40:INDEX(Soja!$E40:$Z40,MIN(Q$6-$G$3,22))&lt;&gt;""),Soja!$E40:INDEX(Soja!$E40:$Z40,MIN(Q$6-$G$3,22))),0)))))</f>
        <v>0</v>
      </c>
      <c r="R42" s="27" t="n">
        <f aca="false">IF(COUNT(Soja!$E40:$Z40)=0,0,MAX(0,IF((R$6-$E$3)&lt;1,0,IFERROR(LOOKUP(2,1/(Soja!$E40:INDEX(Soja!$E40:$Z40,MIN(R$6-$E$3,22))&lt;&gt;""),Soja!$E40:INDEX(Soja!$E40:$Z40,MIN(R$6-$E$3,22))),0))-IF($G$2,0,IF((R$6-$G$3)&lt;1,0,IFERROR(LOOKUP(2,1/(Soja!$E40:INDEX(Soja!$E40:$Z40,MIN(R$6-$G$3,22))&lt;&gt;""),Soja!$E40:INDEX(Soja!$E40:$Z40,MIN(R$6-$G$3,22))),0)))))</f>
        <v>0</v>
      </c>
      <c r="S42" s="27" t="n">
        <f aca="false">IF(COUNT(Soja!$E40:$Z40)=0,0,MAX(0,IF((S$6-$E$3)&lt;1,0,IFERROR(LOOKUP(2,1/(Soja!$E40:INDEX(Soja!$E40:$Z40,MIN(S$6-$E$3,22))&lt;&gt;""),Soja!$E40:INDEX(Soja!$E40:$Z40,MIN(S$6-$E$3,22))),0))-IF($G$2,0,IF((S$6-$G$3)&lt;1,0,IFERROR(LOOKUP(2,1/(Soja!$E40:INDEX(Soja!$E40:$Z40,MIN(S$6-$G$3,22))&lt;&gt;""),Soja!$E40:INDEX(Soja!$E40:$Z40,MIN(S$6-$G$3,22))),0)))))</f>
        <v>0</v>
      </c>
      <c r="T42" s="27" t="n">
        <f aca="false">IF(COUNT(Soja!$E40:$Z40)=0,0,MAX(0,IF((T$6-$E$3)&lt;1,0,IFERROR(LOOKUP(2,1/(Soja!$E40:INDEX(Soja!$E40:$Z40,MIN(T$6-$E$3,22))&lt;&gt;""),Soja!$E40:INDEX(Soja!$E40:$Z40,MIN(T$6-$E$3,22))),0))-IF($G$2,0,IF((T$6-$G$3)&lt;1,0,IFERROR(LOOKUP(2,1/(Soja!$E40:INDEX(Soja!$E40:$Z40,MIN(T$6-$G$3,22))&lt;&gt;""),Soja!$E40:INDEX(Soja!$E40:$Z40,MIN(T$6-$G$3,22))),0)))))</f>
        <v>0</v>
      </c>
      <c r="U42" s="27" t="n">
        <f aca="false">IF(COUNT(Soja!$E40:$Z40)=0,0,MAX(0,IF((U$6-$E$3)&lt;1,0,IFERROR(LOOKUP(2,1/(Soja!$E40:INDEX(Soja!$E40:$Z40,MIN(U$6-$E$3,22))&lt;&gt;""),Soja!$E40:INDEX(Soja!$E40:$Z40,MIN(U$6-$E$3,22))),0))-IF($G$2,0,IF((U$6-$G$3)&lt;1,0,IFERROR(LOOKUP(2,1/(Soja!$E40:INDEX(Soja!$E40:$Z40,MIN(U$6-$G$3,22))&lt;&gt;""),Soja!$E40:INDEX(Soja!$E40:$Z40,MIN(U$6-$G$3,22))),0)))))</f>
        <v>0</v>
      </c>
      <c r="V42" s="27" t="n">
        <f aca="false">IF(COUNT(Soja!$E40:$Z40)=0,0,MAX(0,IF((V$6-$E$3)&lt;1,0,IFERROR(LOOKUP(2,1/(Soja!$E40:INDEX(Soja!$E40:$Z40,MIN(V$6-$E$3,22))&lt;&gt;""),Soja!$E40:INDEX(Soja!$E40:$Z40,MIN(V$6-$E$3,22))),0))-IF($G$2,0,IF((V$6-$G$3)&lt;1,0,IFERROR(LOOKUP(2,1/(Soja!$E40:INDEX(Soja!$E40:$Z40,MIN(V$6-$G$3,22))&lt;&gt;""),Soja!$E40:INDEX(Soja!$E40:$Z40,MIN(V$6-$G$3,22))),0)))))</f>
        <v>0</v>
      </c>
      <c r="W42" s="27" t="n">
        <f aca="false">IF(COUNT(Soja!$E40:$Z40)=0,0,MAX(0,IF((W$6-$E$3)&lt;1,0,IFERROR(LOOKUP(2,1/(Soja!$E40:INDEX(Soja!$E40:$Z40,MIN(W$6-$E$3,22))&lt;&gt;""),Soja!$E40:INDEX(Soja!$E40:$Z40,MIN(W$6-$E$3,22))),0))-IF($G$2,0,IF((W$6-$G$3)&lt;1,0,IFERROR(LOOKUP(2,1/(Soja!$E40:INDEX(Soja!$E40:$Z40,MIN(W$6-$G$3,22))&lt;&gt;""),Soja!$E40:INDEX(Soja!$E40:$Z40,MIN(W$6-$G$3,22))),0)))))</f>
        <v>0</v>
      </c>
      <c r="X42" s="27" t="n">
        <f aca="false">IF(COUNT(Soja!$E40:$Z40)=0,0,MAX(0,IF((X$6-$E$3)&lt;1,0,IFERROR(LOOKUP(2,1/(Soja!$E40:INDEX(Soja!$E40:$Z40,MIN(X$6-$E$3,22))&lt;&gt;""),Soja!$E40:INDEX(Soja!$E40:$Z40,MIN(X$6-$E$3,22))),0))-IF($G$2,0,IF((X$6-$G$3)&lt;1,0,IFERROR(LOOKUP(2,1/(Soja!$E40:INDEX(Soja!$E40:$Z40,MIN(X$6-$G$3,22))&lt;&gt;""),Soja!$E40:INDEX(Soja!$E40:$Z40,MIN(X$6-$G$3,22))),0)))))</f>
        <v>0</v>
      </c>
      <c r="Y42" s="27" t="n">
        <f aca="false">IF(COUNT(Soja!$E40:$Z40)=0,0,MAX(0,IF((Y$6-$E$3)&lt;1,0,IFERROR(LOOKUP(2,1/(Soja!$E40:INDEX(Soja!$E40:$Z40,MIN(Y$6-$E$3,22))&lt;&gt;""),Soja!$E40:INDEX(Soja!$E40:$Z40,MIN(Y$6-$E$3,22))),0))-IF($G$2,0,IF((Y$6-$G$3)&lt;1,0,IFERROR(LOOKUP(2,1/(Soja!$E40:INDEX(Soja!$E40:$Z40,MIN(Y$6-$G$3,22))&lt;&gt;""),Soja!$E40:INDEX(Soja!$E40:$Z40,MIN(Y$6-$G$3,22))),0)))))</f>
        <v>0</v>
      </c>
      <c r="Z42" s="27" t="n">
        <f aca="false">IF(COUNT(Soja!$E40:$Z40)=0,0,MAX(0,IF((Z$6-$E$3)&lt;1,0,IFERROR(LOOKUP(2,1/(Soja!$E40:INDEX(Soja!$E40:$Z40,MIN(Z$6-$E$3,22))&lt;&gt;""),Soja!$E40:INDEX(Soja!$E40:$Z40,MIN(Z$6-$E$3,22))),0))-IF($G$2,0,IF((Z$6-$G$3)&lt;1,0,IFERROR(LOOKUP(2,1/(Soja!$E40:INDEX(Soja!$E40:$Z40,MIN(Z$6-$G$3,22))&lt;&gt;""),Soja!$E40:INDEX(Soja!$E40:$Z40,MIN(Z$6-$G$3,22))),0)))))</f>
        <v>0</v>
      </c>
      <c r="AA42" s="27" t="n">
        <f aca="false">IF(COUNT(Soja!$E40:$Z40)=0,0,MAX(0,IF((AA$6-$E$3)&lt;1,0,IFERROR(LOOKUP(2,1/(Soja!$E40:INDEX(Soja!$E40:$Z40,MIN(AA$6-$E$3,22))&lt;&gt;""),Soja!$E40:INDEX(Soja!$E40:$Z40,MIN(AA$6-$E$3,22))),0))-IF($G$2,0,IF((AA$6-$G$3)&lt;1,0,IFERROR(LOOKUP(2,1/(Soja!$E40:INDEX(Soja!$E40:$Z40,MIN(AA$6-$G$3,22))&lt;&gt;""),Soja!$E40:INDEX(Soja!$E40:$Z40,MIN(AA$6-$G$3,22))),0)))))</f>
        <v>0</v>
      </c>
      <c r="AB42" s="27" t="n">
        <f aca="false">IF(COUNT(Soja!$E40:$Z40)=0,0,MAX(0,IF((AB$6-$E$3)&lt;1,0,IFERROR(LOOKUP(2,1/(Soja!$E40:INDEX(Soja!$E40:$Z40,MIN(AB$6-$E$3,22))&lt;&gt;""),Soja!$E40:INDEX(Soja!$E40:$Z40,MIN(AB$6-$E$3,22))),0))-IF($G$2,0,IF((AB$6-$G$3)&lt;1,0,IFERROR(LOOKUP(2,1/(Soja!$E40:INDEX(Soja!$E40:$Z40,MIN(AB$6-$G$3,22))&lt;&gt;""),Soja!$E40:INDEX(Soja!$E40:$Z40,MIN(AB$6-$G$3,22))),0)))))</f>
        <v>0</v>
      </c>
      <c r="AC42" s="27" t="n">
        <f aca="false">IF(COUNT(Soja!$E40:$Z40)=0,0,MAX(0,IF((AC$6-$E$3)&lt;1,0,IFERROR(LOOKUP(2,1/(Soja!$E40:INDEX(Soja!$E40:$Z40,MIN(AC$6-$E$3,22))&lt;&gt;""),Soja!$E40:INDEX(Soja!$E40:$Z40,MIN(AC$6-$E$3,22))),0))-IF($G$2,0,IF((AC$6-$G$3)&lt;1,0,IFERROR(LOOKUP(2,1/(Soja!$E40:INDEX(Soja!$E40:$Z40,MIN(AC$6-$G$3,22))&lt;&gt;""),Soja!$E40:INDEX(Soja!$E40:$Z40,MIN(AC$6-$G$3,22))),0)))))</f>
        <v>0</v>
      </c>
      <c r="AD42" s="27" t="n">
        <f aca="false">IF(COUNT(Soja!$E40:$Z40)=0,0,MAX(0,IF((AD$6-$E$3)&lt;1,0,IFERROR(LOOKUP(2,1/(Soja!$E40:INDEX(Soja!$E40:$Z40,MIN(AD$6-$E$3,22))&lt;&gt;""),Soja!$E40:INDEX(Soja!$E40:$Z40,MIN(AD$6-$E$3,22))),0))-IF($G$2,0,IF((AD$6-$G$3)&lt;1,0,IFERROR(LOOKUP(2,1/(Soja!$E40:INDEX(Soja!$E40:$Z40,MIN(AD$6-$G$3,22))&lt;&gt;""),Soja!$E40:INDEX(Soja!$E40:$Z40,MIN(AD$6-$G$3,22))),0)))))</f>
        <v>0</v>
      </c>
      <c r="AE42" s="27" t="n">
        <f aca="false">IF(COUNT(Soja!$E40:$Z40)=0,0,MAX(0,IF((AE$6-$E$3)&lt;1,0,IFERROR(LOOKUP(2,1/(Soja!$E40:INDEX(Soja!$E40:$Z40,MIN(AE$6-$E$3,22))&lt;&gt;""),Soja!$E40:INDEX(Soja!$E40:$Z40,MIN(AE$6-$E$3,22))),0))-IF($G$2,0,IF((AE$6-$G$3)&lt;1,0,IFERROR(LOOKUP(2,1/(Soja!$E40:INDEX(Soja!$E40:$Z40,MIN(AE$6-$G$3,22))&lt;&gt;""),Soja!$E40:INDEX(Soja!$E40:$Z40,MIN(AE$6-$G$3,22))),0)))))</f>
        <v>0</v>
      </c>
      <c r="AF42" s="27" t="n">
        <f aca="false">IF(COUNT(Soja!$E40:$Z40)=0,0,MAX(0,IF((AF$6-$E$3)&lt;1,0,IFERROR(LOOKUP(2,1/(Soja!$E40:INDEX(Soja!$E40:$Z40,MIN(AF$6-$E$3,22))&lt;&gt;""),Soja!$E40:INDEX(Soja!$E40:$Z40,MIN(AF$6-$E$3,22))),0))-IF($G$2,0,IF((AF$6-$G$3)&lt;1,0,IFERROR(LOOKUP(2,1/(Soja!$E40:INDEX(Soja!$E40:$Z40,MIN(AF$6-$G$3,22))&lt;&gt;""),Soja!$E40:INDEX(Soja!$E40:$Z40,MIN(AF$6-$G$3,22))),0)))))</f>
        <v>0</v>
      </c>
      <c r="AG42" s="27" t="n">
        <f aca="false">IF(COUNT(Soja!$E40:$Z40)=0,0,MAX(0,IF((AG$6-$E$3)&lt;1,0,IFERROR(LOOKUP(2,1/(Soja!$E40:INDEX(Soja!$E40:$Z40,MIN(AG$6-$E$3,22))&lt;&gt;""),Soja!$E40:INDEX(Soja!$E40:$Z40,MIN(AG$6-$E$3,22))),0))-IF($G$2,0,IF((AG$6-$G$3)&lt;1,0,IFERROR(LOOKUP(2,1/(Soja!$E40:INDEX(Soja!$E40:$Z40,MIN(AG$6-$G$3,22))&lt;&gt;""),Soja!$E40:INDEX(Soja!$E40:$Z40,MIN(AG$6-$G$3,22))),0)))))</f>
        <v>0</v>
      </c>
      <c r="AH42" s="27" t="n">
        <f aca="false">IF(COUNT(Soja!$E40:$Z40)=0,0,MAX(0,IF((AH$6-$E$3)&lt;1,0,IFERROR(LOOKUP(2,1/(Soja!$E40:INDEX(Soja!$E40:$Z40,MIN(AH$6-$E$3,22))&lt;&gt;""),Soja!$E40:INDEX(Soja!$E40:$Z40,MIN(AH$6-$E$3,22))),0))-IF($G$2,0,IF((AH$6-$G$3)&lt;1,0,IFERROR(LOOKUP(2,1/(Soja!$E40:INDEX(Soja!$E40:$Z40,MIN(AH$6-$G$3,22))&lt;&gt;""),Soja!$E40:INDEX(Soja!$E40:$Z40,MIN(AH$6-$G$3,22))),0)))))</f>
        <v>0</v>
      </c>
      <c r="AI42" s="27" t="n">
        <f aca="false">IF(COUNT(Soja!$E40:$Z40)=0,0,MAX(0,IF((AI$6-$E$3)&lt;1,0,IFERROR(LOOKUP(2,1/(Soja!$E40:INDEX(Soja!$E40:$Z40,MIN(AI$6-$E$3,22))&lt;&gt;""),Soja!$E40:INDEX(Soja!$E40:$Z40,MIN(AI$6-$E$3,22))),0))-IF($G$2,0,IF((AI$6-$G$3)&lt;1,0,IFERROR(LOOKUP(2,1/(Soja!$E40:INDEX(Soja!$E40:$Z40,MIN(AI$6-$G$3,22))&lt;&gt;""),Soja!$E40:INDEX(Soja!$E40:$Z40,MIN(AI$6-$G$3,22))),0)))))</f>
        <v>0</v>
      </c>
      <c r="AJ42" s="27" t="n">
        <f aca="false">IF(COUNT(Soja!$E40:$Z40)=0,0,MAX(0,IF((AJ$6-$E$3)&lt;1,0,IFERROR(LOOKUP(2,1/(Soja!$E40:INDEX(Soja!$E40:$Z40,MIN(AJ$6-$E$3,22))&lt;&gt;""),Soja!$E40:INDEX(Soja!$E40:$Z40,MIN(AJ$6-$E$3,22))),0))-IF($G$2,0,IF((AJ$6-$G$3)&lt;1,0,IFERROR(LOOKUP(2,1/(Soja!$E40:INDEX(Soja!$E40:$Z40,MIN(AJ$6-$G$3,22))&lt;&gt;""),Soja!$E40:INDEX(Soja!$E40:$Z40,MIN(AJ$6-$G$3,22))),0)))))</f>
        <v>0</v>
      </c>
      <c r="AK42" s="27" t="n">
        <f aca="false">IF(COUNT(Soja!$E40:$Z40)=0,0,MAX(0,IF((AK$6-$E$3)&lt;1,0,IFERROR(LOOKUP(2,1/(Soja!$E40:INDEX(Soja!$E40:$Z40,MIN(AK$6-$E$3,22))&lt;&gt;""),Soja!$E40:INDEX(Soja!$E40:$Z40,MIN(AK$6-$E$3,22))),0))-IF($G$2,0,IF((AK$6-$G$3)&lt;1,0,IFERROR(LOOKUP(2,1/(Soja!$E40:INDEX(Soja!$E40:$Z40,MIN(AK$6-$G$3,22))&lt;&gt;""),Soja!$E40:INDEX(Soja!$E40:$Z40,MIN(AK$6-$G$3,22))),0)))))</f>
        <v>0</v>
      </c>
      <c r="AL42" s="27" t="n">
        <f aca="false">IF(COUNT(Soja!$E40:$Z40)=0,0,MAX(0,IF((AL$6-$E$3)&lt;1,0,IFERROR(LOOKUP(2,1/(Soja!$E40:INDEX(Soja!$E40:$Z40,MIN(AL$6-$E$3,22))&lt;&gt;""),Soja!$E40:INDEX(Soja!$E40:$Z40,MIN(AL$6-$E$3,22))),0))-IF($G$2,0,IF((AL$6-$G$3)&lt;1,0,IFERROR(LOOKUP(2,1/(Soja!$E40:INDEX(Soja!$E40:$Z40,MIN(AL$6-$G$3,22))&lt;&gt;""),Soja!$E40:INDEX(Soja!$E40:$Z40,MIN(AL$6-$G$3,22))),0)))))</f>
        <v>0</v>
      </c>
      <c r="AM42" s="27" t="n">
        <f aca="false">IF(COUNT(Soja!$E40:$Z40)=0,0,MAX(0,IF((AM$6-$E$3)&lt;1,0,IFERROR(LOOKUP(2,1/(Soja!$E40:INDEX(Soja!$E40:$Z40,MIN(AM$6-$E$3,22))&lt;&gt;""),Soja!$E40:INDEX(Soja!$E40:$Z40,MIN(AM$6-$E$3,22))),0))-IF($G$2,0,IF((AM$6-$G$3)&lt;1,0,IFERROR(LOOKUP(2,1/(Soja!$E40:INDEX(Soja!$E40:$Z40,MIN(AM$6-$G$3,22))&lt;&gt;""),Soja!$E40:INDEX(Soja!$E40:$Z40,MIN(AM$6-$G$3,22))),0)))))</f>
        <v>0</v>
      </c>
      <c r="AN42" s="27" t="n">
        <f aca="false">IF(COUNT(Soja!$E40:$Z40)=0,0,MAX(0,IF((AN$6-$E$3)&lt;1,0,IFERROR(LOOKUP(2,1/(Soja!$E40:INDEX(Soja!$E40:$Z40,MIN(AN$6-$E$3,22))&lt;&gt;""),Soja!$E40:INDEX(Soja!$E40:$Z40,MIN(AN$6-$E$3,22))),0))-IF($G$2,0,IF((AN$6-$G$3)&lt;1,0,IFERROR(LOOKUP(2,1/(Soja!$E40:INDEX(Soja!$E40:$Z40,MIN(AN$6-$G$3,22))&lt;&gt;""),Soja!$E40:INDEX(Soja!$E40:$Z40,MIN(AN$6-$G$3,22))),0)))))</f>
        <v>0</v>
      </c>
      <c r="AO42" s="27" t="n">
        <f aca="false">IF(COUNT(Soja!$E40:$Z40)=0,0,MAX(0,IF((AO$6-$E$3)&lt;1,0,IFERROR(LOOKUP(2,1/(Soja!$E40:INDEX(Soja!$E40:$Z40,MIN(AO$6-$E$3,22))&lt;&gt;""),Soja!$E40:INDEX(Soja!$E40:$Z40,MIN(AO$6-$E$3,22))),0))-IF($G$2,0,IF((AO$6-$G$3)&lt;1,0,IFERROR(LOOKUP(2,1/(Soja!$E40:INDEX(Soja!$E40:$Z40,MIN(AO$6-$G$3,22))&lt;&gt;""),Soja!$E40:INDEX(Soja!$E40:$Z40,MIN(AO$6-$G$3,22))),0)))))</f>
        <v>0</v>
      </c>
      <c r="AP42" s="27" t="n">
        <f aca="false">IF(COUNT(Soja!$E40:$Z40)=0,0,MAX(0,IF((AP$6-$E$3)&lt;1,0,IFERROR(LOOKUP(2,1/(Soja!$E40:INDEX(Soja!$E40:$Z40,MIN(AP$6-$E$3,22))&lt;&gt;""),Soja!$E40:INDEX(Soja!$E40:$Z40,MIN(AP$6-$E$3,22))),0))-IF($G$2,0,IF((AP$6-$G$3)&lt;1,0,IFERROR(LOOKUP(2,1/(Soja!$E40:INDEX(Soja!$E40:$Z40,MIN(AP$6-$G$3,22))&lt;&gt;""),Soja!$E40:INDEX(Soja!$E40:$Z40,MIN(AP$6-$G$3,22))),0)))))</f>
        <v>0</v>
      </c>
      <c r="AQ42" s="27" t="n">
        <f aca="false">IF(COUNT(Soja!$E40:$Z40)=0,0,MAX(0,IF((AQ$6-$E$3)&lt;1,0,IFERROR(LOOKUP(2,1/(Soja!$E40:INDEX(Soja!$E40:$Z40,MIN(AQ$6-$E$3,22))&lt;&gt;""),Soja!$E40:INDEX(Soja!$E40:$Z40,MIN(AQ$6-$E$3,22))),0))-IF($G$2,0,IF((AQ$6-$G$3)&lt;1,0,IFERROR(LOOKUP(2,1/(Soja!$E40:INDEX(Soja!$E40:$Z40,MIN(AQ$6-$G$3,22))&lt;&gt;""),Soja!$E40:INDEX(Soja!$E40:$Z40,MIN(AQ$6-$G$3,22))),0)))))</f>
        <v>0</v>
      </c>
      <c r="AR42" s="27" t="n">
        <f aca="false">IF(COUNT(Soja!$E40:$Z40)=0,0,MAX(0,IF((AR$6-$E$3)&lt;1,0,IFERROR(LOOKUP(2,1/(Soja!$E40:INDEX(Soja!$E40:$Z40,MIN(AR$6-$E$3,22))&lt;&gt;""),Soja!$E40:INDEX(Soja!$E40:$Z40,MIN(AR$6-$E$3,22))),0))-IF($G$2,0,IF((AR$6-$G$3)&lt;1,0,IFERROR(LOOKUP(2,1/(Soja!$E40:INDEX(Soja!$E40:$Z40,MIN(AR$6-$G$3,22))&lt;&gt;""),Soja!$E40:INDEX(Soja!$E40:$Z40,MIN(AR$6-$G$3,22))),0)))))</f>
        <v>0</v>
      </c>
      <c r="AS42" s="27" t="n">
        <f aca="false">IF(COUNT(Soja!$E40:$Z40)=0,0,MAX(0,IF((AS$6-$E$3)&lt;1,0,IFERROR(LOOKUP(2,1/(Soja!$E40:INDEX(Soja!$E40:$Z40,MIN(AS$6-$E$3,22))&lt;&gt;""),Soja!$E40:INDEX(Soja!$E40:$Z40,MIN(AS$6-$E$3,22))),0))-IF($G$2,0,IF((AS$6-$G$3)&lt;1,0,IFERROR(LOOKUP(2,1/(Soja!$E40:INDEX(Soja!$E40:$Z40,MIN(AS$6-$G$3,22))&lt;&gt;""),Soja!$E40:INDEX(Soja!$E40:$Z40,MIN(AS$6-$G$3,22))),0)))))</f>
        <v>0</v>
      </c>
      <c r="AT42" s="27" t="n">
        <f aca="false">IF(COUNT(Soja!$E40:$Z40)=0,0,MAX(0,IF((AT$6-$E$3)&lt;1,0,IFERROR(LOOKUP(2,1/(Soja!$E40:INDEX(Soja!$E40:$Z40,MIN(AT$6-$E$3,22))&lt;&gt;""),Soja!$E40:INDEX(Soja!$E40:$Z40,MIN(AT$6-$E$3,22))),0))-IF($G$2,0,IF((AT$6-$G$3)&lt;1,0,IFERROR(LOOKUP(2,1/(Soja!$E40:INDEX(Soja!$E40:$Z40,MIN(AT$6-$G$3,22))&lt;&gt;""),Soja!$E40:INDEX(Soja!$E40:$Z40,MIN(AT$6-$G$3,22))),0)))))</f>
        <v>0</v>
      </c>
      <c r="AU42" s="27" t="n">
        <f aca="false">IF(COUNT(Soja!$E40:$Z40)=0,0,MAX(0,IF((AU$6-$E$3)&lt;1,0,IFERROR(LOOKUP(2,1/(Soja!$E40:INDEX(Soja!$E40:$Z40,MIN(AU$6-$E$3,22))&lt;&gt;""),Soja!$E40:INDEX(Soja!$E40:$Z40,MIN(AU$6-$E$3,22))),0))-IF($G$2,0,IF((AU$6-$G$3)&lt;1,0,IFERROR(LOOKUP(2,1/(Soja!$E40:INDEX(Soja!$E40:$Z40,MIN(AU$6-$G$3,22))&lt;&gt;""),Soja!$E40:INDEX(Soja!$E40:$Z40,MIN(AU$6-$G$3,22))),0)))))</f>
        <v>0</v>
      </c>
      <c r="AV42" s="27" t="n">
        <f aca="false">IF(COUNT(Soja!$E40:$Z40)=0,0,MAX(0,IF((AV$6-$E$3)&lt;1,0,IFERROR(LOOKUP(2,1/(Soja!$E40:INDEX(Soja!$E40:$Z40,MIN(AV$6-$E$3,22))&lt;&gt;""),Soja!$E40:INDEX(Soja!$E40:$Z40,MIN(AV$6-$E$3,22))),0))-IF($G$2,0,IF((AV$6-$G$3)&lt;1,0,IFERROR(LOOKUP(2,1/(Soja!$E40:INDEX(Soja!$E40:$Z40,MIN(AV$6-$G$3,22))&lt;&gt;""),Soja!$E40:INDEX(Soja!$E40:$Z40,MIN(AV$6-$G$3,22))),0)))))</f>
        <v>0</v>
      </c>
      <c r="AW42" s="27" t="n">
        <f aca="false">IF(COUNT(Soja!$E40:$Z40)=0,0,MAX(0,IF((AW$6-$E$3)&lt;1,0,IFERROR(LOOKUP(2,1/(Soja!$E40:INDEX(Soja!$E40:$Z40,MIN(AW$6-$E$3,22))&lt;&gt;""),Soja!$E40:INDEX(Soja!$E40:$Z40,MIN(AW$6-$E$3,22))),0))-IF($G$2,0,IF((AW$6-$G$3)&lt;1,0,IFERROR(LOOKUP(2,1/(Soja!$E40:INDEX(Soja!$E40:$Z40,MIN(AW$6-$G$3,22))&lt;&gt;""),Soja!$E40:INDEX(Soja!$E40:$Z40,MIN(AW$6-$G$3,22))),0)))))</f>
        <v>0</v>
      </c>
      <c r="AX42" s="27" t="n">
        <f aca="false">IF(COUNT(Soja!$E40:$Z40)=0,0,MAX(0,IF((AX$6-$E$3)&lt;1,0,IFERROR(LOOKUP(2,1/(Soja!$E40:INDEX(Soja!$E40:$Z40,MIN(AX$6-$E$3,22))&lt;&gt;""),Soja!$E40:INDEX(Soja!$E40:$Z40,MIN(AX$6-$E$3,22))),0))-IF($G$2,0,IF((AX$6-$G$3)&lt;1,0,IFERROR(LOOKUP(2,1/(Soja!$E40:INDEX(Soja!$E40:$Z40,MIN(AX$6-$G$3,22))&lt;&gt;""),Soja!$E40:INDEX(Soja!$E40:$Z40,MIN(AX$6-$G$3,22))),0)))))</f>
        <v>0</v>
      </c>
      <c r="AY42" s="27" t="n">
        <f aca="false">IF(COUNT(Soja!$E40:$Z40)=0,0,MAX(0,IF((AY$6-$E$3)&lt;1,0,IFERROR(LOOKUP(2,1/(Soja!$E40:INDEX(Soja!$E40:$Z40,MIN(AY$6-$E$3,22))&lt;&gt;""),Soja!$E40:INDEX(Soja!$E40:$Z40,MIN(AY$6-$E$3,22))),0))-IF($G$2,0,IF((AY$6-$G$3)&lt;1,0,IFERROR(LOOKUP(2,1/(Soja!$E40:INDEX(Soja!$E40:$Z40,MIN(AY$6-$G$3,22))&lt;&gt;""),Soja!$E40:INDEX(Soja!$E40:$Z40,MIN(AY$6-$G$3,22))),0)))))</f>
        <v>0</v>
      </c>
      <c r="AZ42" s="27" t="n">
        <f aca="false">IF(COUNT(Soja!$E40:$Z40)=0,0,MAX(0,IF((AZ$6-$E$3)&lt;1,0,IFERROR(LOOKUP(2,1/(Soja!$E40:INDEX(Soja!$E40:$Z40,MIN(AZ$6-$E$3,22))&lt;&gt;""),Soja!$E40:INDEX(Soja!$E40:$Z40,MIN(AZ$6-$E$3,22))),0))-IF($G$2,0,IF((AZ$6-$G$3)&lt;1,0,IFERROR(LOOKUP(2,1/(Soja!$E40:INDEX(Soja!$E40:$Z40,MIN(AZ$6-$G$3,22))&lt;&gt;""),Soja!$E40:INDEX(Soja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IF(COUNT(Soja!$E41:$Z41)&gt;0,N(Soja!$D41),0)</f>
        <v>0</v>
      </c>
      <c r="E43" s="27" t="n">
        <f aca="false">IF(COUNT(Soja!$E41:$Z41)=0,0,MAX(0,IF((E$6-$E$3)&lt;1,0,IFERROR(LOOKUP(2,1/(Soja!$E41:INDEX(Soja!$E41:$Z41,MIN(E$6-$E$3,22))&lt;&gt;""),Soja!$E41:INDEX(Soja!$E41:$Z41,MIN(E$6-$E$3,22))),0))-IF($G$2,0,IF((E$6-$G$3)&lt;1,0,IFERROR(LOOKUP(2,1/(Soja!$E41:INDEX(Soja!$E41:$Z41,MIN(E$6-$G$3,22))&lt;&gt;""),Soja!$E41:INDEX(Soja!$E41:$Z41,MIN(E$6-$G$3,22))),0)))))</f>
        <v>0</v>
      </c>
      <c r="F43" s="27" t="n">
        <f aca="false">IF(COUNT(Soja!$E41:$Z41)=0,0,MAX(0,IF((F$6-$E$3)&lt;1,0,IFERROR(LOOKUP(2,1/(Soja!$E41:INDEX(Soja!$E41:$Z41,MIN(F$6-$E$3,22))&lt;&gt;""),Soja!$E41:INDEX(Soja!$E41:$Z41,MIN(F$6-$E$3,22))),0))-IF($G$2,0,IF((F$6-$G$3)&lt;1,0,IFERROR(LOOKUP(2,1/(Soja!$E41:INDEX(Soja!$E41:$Z41,MIN(F$6-$G$3,22))&lt;&gt;""),Soja!$E41:INDEX(Soja!$E41:$Z41,MIN(F$6-$G$3,22))),0)))))</f>
        <v>0</v>
      </c>
      <c r="G43" s="27" t="n">
        <f aca="false">IF(COUNT(Soja!$E41:$Z41)=0,0,MAX(0,IF((G$6-$E$3)&lt;1,0,IFERROR(LOOKUP(2,1/(Soja!$E41:INDEX(Soja!$E41:$Z41,MIN(G$6-$E$3,22))&lt;&gt;""),Soja!$E41:INDEX(Soja!$E41:$Z41,MIN(G$6-$E$3,22))),0))-IF($G$2,0,IF((G$6-$G$3)&lt;1,0,IFERROR(LOOKUP(2,1/(Soja!$E41:INDEX(Soja!$E41:$Z41,MIN(G$6-$G$3,22))&lt;&gt;""),Soja!$E41:INDEX(Soja!$E41:$Z41,MIN(G$6-$G$3,22))),0)))))</f>
        <v>0</v>
      </c>
      <c r="H43" s="27" t="n">
        <f aca="false">IF(COUNT(Soja!$E41:$Z41)=0,0,MAX(0,IF((H$6-$E$3)&lt;1,0,IFERROR(LOOKUP(2,1/(Soja!$E41:INDEX(Soja!$E41:$Z41,MIN(H$6-$E$3,22))&lt;&gt;""),Soja!$E41:INDEX(Soja!$E41:$Z41,MIN(H$6-$E$3,22))),0))-IF($G$2,0,IF((H$6-$G$3)&lt;1,0,IFERROR(LOOKUP(2,1/(Soja!$E41:INDEX(Soja!$E41:$Z41,MIN(H$6-$G$3,22))&lt;&gt;""),Soja!$E41:INDEX(Soja!$E41:$Z41,MIN(H$6-$G$3,22))),0)))))</f>
        <v>0</v>
      </c>
      <c r="I43" s="27" t="n">
        <f aca="false">IF(COUNT(Soja!$E41:$Z41)=0,0,MAX(0,IF((I$6-$E$3)&lt;1,0,IFERROR(LOOKUP(2,1/(Soja!$E41:INDEX(Soja!$E41:$Z41,MIN(I$6-$E$3,22))&lt;&gt;""),Soja!$E41:INDEX(Soja!$E41:$Z41,MIN(I$6-$E$3,22))),0))-IF($G$2,0,IF((I$6-$G$3)&lt;1,0,IFERROR(LOOKUP(2,1/(Soja!$E41:INDEX(Soja!$E41:$Z41,MIN(I$6-$G$3,22))&lt;&gt;""),Soja!$E41:INDEX(Soja!$E41:$Z41,MIN(I$6-$G$3,22))),0)))))</f>
        <v>0</v>
      </c>
      <c r="J43" s="27" t="n">
        <f aca="false">IF(COUNT(Soja!$E41:$Z41)=0,0,MAX(0,IF((J$6-$E$3)&lt;1,0,IFERROR(LOOKUP(2,1/(Soja!$E41:INDEX(Soja!$E41:$Z41,MIN(J$6-$E$3,22))&lt;&gt;""),Soja!$E41:INDEX(Soja!$E41:$Z41,MIN(J$6-$E$3,22))),0))-IF($G$2,0,IF((J$6-$G$3)&lt;1,0,IFERROR(LOOKUP(2,1/(Soja!$E41:INDEX(Soja!$E41:$Z41,MIN(J$6-$G$3,22))&lt;&gt;""),Soja!$E41:INDEX(Soja!$E41:$Z41,MIN(J$6-$G$3,22))),0)))))</f>
        <v>0</v>
      </c>
      <c r="K43" s="27" t="n">
        <f aca="false">IF(COUNT(Soja!$E41:$Z41)=0,0,MAX(0,IF((K$6-$E$3)&lt;1,0,IFERROR(LOOKUP(2,1/(Soja!$E41:INDEX(Soja!$E41:$Z41,MIN(K$6-$E$3,22))&lt;&gt;""),Soja!$E41:INDEX(Soja!$E41:$Z41,MIN(K$6-$E$3,22))),0))-IF($G$2,0,IF((K$6-$G$3)&lt;1,0,IFERROR(LOOKUP(2,1/(Soja!$E41:INDEX(Soja!$E41:$Z41,MIN(K$6-$G$3,22))&lt;&gt;""),Soja!$E41:INDEX(Soja!$E41:$Z41,MIN(K$6-$G$3,22))),0)))))</f>
        <v>0</v>
      </c>
      <c r="L43" s="27" t="n">
        <f aca="false">IF(COUNT(Soja!$E41:$Z41)=0,0,MAX(0,IF((L$6-$E$3)&lt;1,0,IFERROR(LOOKUP(2,1/(Soja!$E41:INDEX(Soja!$E41:$Z41,MIN(L$6-$E$3,22))&lt;&gt;""),Soja!$E41:INDEX(Soja!$E41:$Z41,MIN(L$6-$E$3,22))),0))-IF($G$2,0,IF((L$6-$G$3)&lt;1,0,IFERROR(LOOKUP(2,1/(Soja!$E41:INDEX(Soja!$E41:$Z41,MIN(L$6-$G$3,22))&lt;&gt;""),Soja!$E41:INDEX(Soja!$E41:$Z41,MIN(L$6-$G$3,22))),0)))))</f>
        <v>0</v>
      </c>
      <c r="M43" s="27" t="n">
        <f aca="false">IF(COUNT(Soja!$E41:$Z41)=0,0,MAX(0,IF((M$6-$E$3)&lt;1,0,IFERROR(LOOKUP(2,1/(Soja!$E41:INDEX(Soja!$E41:$Z41,MIN(M$6-$E$3,22))&lt;&gt;""),Soja!$E41:INDEX(Soja!$E41:$Z41,MIN(M$6-$E$3,22))),0))-IF($G$2,0,IF((M$6-$G$3)&lt;1,0,IFERROR(LOOKUP(2,1/(Soja!$E41:INDEX(Soja!$E41:$Z41,MIN(M$6-$G$3,22))&lt;&gt;""),Soja!$E41:INDEX(Soja!$E41:$Z41,MIN(M$6-$G$3,22))),0)))))</f>
        <v>0</v>
      </c>
      <c r="N43" s="27" t="n">
        <f aca="false">IF(COUNT(Soja!$E41:$Z41)=0,0,MAX(0,IF((N$6-$E$3)&lt;1,0,IFERROR(LOOKUP(2,1/(Soja!$E41:INDEX(Soja!$E41:$Z41,MIN(N$6-$E$3,22))&lt;&gt;""),Soja!$E41:INDEX(Soja!$E41:$Z41,MIN(N$6-$E$3,22))),0))-IF($G$2,0,IF((N$6-$G$3)&lt;1,0,IFERROR(LOOKUP(2,1/(Soja!$E41:INDEX(Soja!$E41:$Z41,MIN(N$6-$G$3,22))&lt;&gt;""),Soja!$E41:INDEX(Soja!$E41:$Z41,MIN(N$6-$G$3,22))),0)))))</f>
        <v>0</v>
      </c>
      <c r="O43" s="27" t="n">
        <f aca="false">IF(COUNT(Soja!$E41:$Z41)=0,0,MAX(0,IF((O$6-$E$3)&lt;1,0,IFERROR(LOOKUP(2,1/(Soja!$E41:INDEX(Soja!$E41:$Z41,MIN(O$6-$E$3,22))&lt;&gt;""),Soja!$E41:INDEX(Soja!$E41:$Z41,MIN(O$6-$E$3,22))),0))-IF($G$2,0,IF((O$6-$G$3)&lt;1,0,IFERROR(LOOKUP(2,1/(Soja!$E41:INDEX(Soja!$E41:$Z41,MIN(O$6-$G$3,22))&lt;&gt;""),Soja!$E41:INDEX(Soja!$E41:$Z41,MIN(O$6-$G$3,22))),0)))))</f>
        <v>0</v>
      </c>
      <c r="P43" s="27" t="n">
        <f aca="false">IF(COUNT(Soja!$E41:$Z41)=0,0,MAX(0,IF((P$6-$E$3)&lt;1,0,IFERROR(LOOKUP(2,1/(Soja!$E41:INDEX(Soja!$E41:$Z41,MIN(P$6-$E$3,22))&lt;&gt;""),Soja!$E41:INDEX(Soja!$E41:$Z41,MIN(P$6-$E$3,22))),0))-IF($G$2,0,IF((P$6-$G$3)&lt;1,0,IFERROR(LOOKUP(2,1/(Soja!$E41:INDEX(Soja!$E41:$Z41,MIN(P$6-$G$3,22))&lt;&gt;""),Soja!$E41:INDEX(Soja!$E41:$Z41,MIN(P$6-$G$3,22))),0)))))</f>
        <v>0</v>
      </c>
      <c r="Q43" s="27" t="n">
        <f aca="false">IF(COUNT(Soja!$E41:$Z41)=0,0,MAX(0,IF((Q$6-$E$3)&lt;1,0,IFERROR(LOOKUP(2,1/(Soja!$E41:INDEX(Soja!$E41:$Z41,MIN(Q$6-$E$3,22))&lt;&gt;""),Soja!$E41:INDEX(Soja!$E41:$Z41,MIN(Q$6-$E$3,22))),0))-IF($G$2,0,IF((Q$6-$G$3)&lt;1,0,IFERROR(LOOKUP(2,1/(Soja!$E41:INDEX(Soja!$E41:$Z41,MIN(Q$6-$G$3,22))&lt;&gt;""),Soja!$E41:INDEX(Soja!$E41:$Z41,MIN(Q$6-$G$3,22))),0)))))</f>
        <v>0</v>
      </c>
      <c r="R43" s="27" t="n">
        <f aca="false">IF(COUNT(Soja!$E41:$Z41)=0,0,MAX(0,IF((R$6-$E$3)&lt;1,0,IFERROR(LOOKUP(2,1/(Soja!$E41:INDEX(Soja!$E41:$Z41,MIN(R$6-$E$3,22))&lt;&gt;""),Soja!$E41:INDEX(Soja!$E41:$Z41,MIN(R$6-$E$3,22))),0))-IF($G$2,0,IF((R$6-$G$3)&lt;1,0,IFERROR(LOOKUP(2,1/(Soja!$E41:INDEX(Soja!$E41:$Z41,MIN(R$6-$G$3,22))&lt;&gt;""),Soja!$E41:INDEX(Soja!$E41:$Z41,MIN(R$6-$G$3,22))),0)))))</f>
        <v>0</v>
      </c>
      <c r="S43" s="27" t="n">
        <f aca="false">IF(COUNT(Soja!$E41:$Z41)=0,0,MAX(0,IF((S$6-$E$3)&lt;1,0,IFERROR(LOOKUP(2,1/(Soja!$E41:INDEX(Soja!$E41:$Z41,MIN(S$6-$E$3,22))&lt;&gt;""),Soja!$E41:INDEX(Soja!$E41:$Z41,MIN(S$6-$E$3,22))),0))-IF($G$2,0,IF((S$6-$G$3)&lt;1,0,IFERROR(LOOKUP(2,1/(Soja!$E41:INDEX(Soja!$E41:$Z41,MIN(S$6-$G$3,22))&lt;&gt;""),Soja!$E41:INDEX(Soja!$E41:$Z41,MIN(S$6-$G$3,22))),0)))))</f>
        <v>0</v>
      </c>
      <c r="T43" s="27" t="n">
        <f aca="false">IF(COUNT(Soja!$E41:$Z41)=0,0,MAX(0,IF((T$6-$E$3)&lt;1,0,IFERROR(LOOKUP(2,1/(Soja!$E41:INDEX(Soja!$E41:$Z41,MIN(T$6-$E$3,22))&lt;&gt;""),Soja!$E41:INDEX(Soja!$E41:$Z41,MIN(T$6-$E$3,22))),0))-IF($G$2,0,IF((T$6-$G$3)&lt;1,0,IFERROR(LOOKUP(2,1/(Soja!$E41:INDEX(Soja!$E41:$Z41,MIN(T$6-$G$3,22))&lt;&gt;""),Soja!$E41:INDEX(Soja!$E41:$Z41,MIN(T$6-$G$3,22))),0)))))</f>
        <v>0</v>
      </c>
      <c r="U43" s="27" t="n">
        <f aca="false">IF(COUNT(Soja!$E41:$Z41)=0,0,MAX(0,IF((U$6-$E$3)&lt;1,0,IFERROR(LOOKUP(2,1/(Soja!$E41:INDEX(Soja!$E41:$Z41,MIN(U$6-$E$3,22))&lt;&gt;""),Soja!$E41:INDEX(Soja!$E41:$Z41,MIN(U$6-$E$3,22))),0))-IF($G$2,0,IF((U$6-$G$3)&lt;1,0,IFERROR(LOOKUP(2,1/(Soja!$E41:INDEX(Soja!$E41:$Z41,MIN(U$6-$G$3,22))&lt;&gt;""),Soja!$E41:INDEX(Soja!$E41:$Z41,MIN(U$6-$G$3,22))),0)))))</f>
        <v>0</v>
      </c>
      <c r="V43" s="27" t="n">
        <f aca="false">IF(COUNT(Soja!$E41:$Z41)=0,0,MAX(0,IF((V$6-$E$3)&lt;1,0,IFERROR(LOOKUP(2,1/(Soja!$E41:INDEX(Soja!$E41:$Z41,MIN(V$6-$E$3,22))&lt;&gt;""),Soja!$E41:INDEX(Soja!$E41:$Z41,MIN(V$6-$E$3,22))),0))-IF($G$2,0,IF((V$6-$G$3)&lt;1,0,IFERROR(LOOKUP(2,1/(Soja!$E41:INDEX(Soja!$E41:$Z41,MIN(V$6-$G$3,22))&lt;&gt;""),Soja!$E41:INDEX(Soja!$E41:$Z41,MIN(V$6-$G$3,22))),0)))))</f>
        <v>0</v>
      </c>
      <c r="W43" s="27" t="n">
        <f aca="false">IF(COUNT(Soja!$E41:$Z41)=0,0,MAX(0,IF((W$6-$E$3)&lt;1,0,IFERROR(LOOKUP(2,1/(Soja!$E41:INDEX(Soja!$E41:$Z41,MIN(W$6-$E$3,22))&lt;&gt;""),Soja!$E41:INDEX(Soja!$E41:$Z41,MIN(W$6-$E$3,22))),0))-IF($G$2,0,IF((W$6-$G$3)&lt;1,0,IFERROR(LOOKUP(2,1/(Soja!$E41:INDEX(Soja!$E41:$Z41,MIN(W$6-$G$3,22))&lt;&gt;""),Soja!$E41:INDEX(Soja!$E41:$Z41,MIN(W$6-$G$3,22))),0)))))</f>
        <v>0</v>
      </c>
      <c r="X43" s="27" t="n">
        <f aca="false">IF(COUNT(Soja!$E41:$Z41)=0,0,MAX(0,IF((X$6-$E$3)&lt;1,0,IFERROR(LOOKUP(2,1/(Soja!$E41:INDEX(Soja!$E41:$Z41,MIN(X$6-$E$3,22))&lt;&gt;""),Soja!$E41:INDEX(Soja!$E41:$Z41,MIN(X$6-$E$3,22))),0))-IF($G$2,0,IF((X$6-$G$3)&lt;1,0,IFERROR(LOOKUP(2,1/(Soja!$E41:INDEX(Soja!$E41:$Z41,MIN(X$6-$G$3,22))&lt;&gt;""),Soja!$E41:INDEX(Soja!$E41:$Z41,MIN(X$6-$G$3,22))),0)))))</f>
        <v>0</v>
      </c>
      <c r="Y43" s="27" t="n">
        <f aca="false">IF(COUNT(Soja!$E41:$Z41)=0,0,MAX(0,IF((Y$6-$E$3)&lt;1,0,IFERROR(LOOKUP(2,1/(Soja!$E41:INDEX(Soja!$E41:$Z41,MIN(Y$6-$E$3,22))&lt;&gt;""),Soja!$E41:INDEX(Soja!$E41:$Z41,MIN(Y$6-$E$3,22))),0))-IF($G$2,0,IF((Y$6-$G$3)&lt;1,0,IFERROR(LOOKUP(2,1/(Soja!$E41:INDEX(Soja!$E41:$Z41,MIN(Y$6-$G$3,22))&lt;&gt;""),Soja!$E41:INDEX(Soja!$E41:$Z41,MIN(Y$6-$G$3,22))),0)))))</f>
        <v>0</v>
      </c>
      <c r="Z43" s="27" t="n">
        <f aca="false">IF(COUNT(Soja!$E41:$Z41)=0,0,MAX(0,IF((Z$6-$E$3)&lt;1,0,IFERROR(LOOKUP(2,1/(Soja!$E41:INDEX(Soja!$E41:$Z41,MIN(Z$6-$E$3,22))&lt;&gt;""),Soja!$E41:INDEX(Soja!$E41:$Z41,MIN(Z$6-$E$3,22))),0))-IF($G$2,0,IF((Z$6-$G$3)&lt;1,0,IFERROR(LOOKUP(2,1/(Soja!$E41:INDEX(Soja!$E41:$Z41,MIN(Z$6-$G$3,22))&lt;&gt;""),Soja!$E41:INDEX(Soja!$E41:$Z41,MIN(Z$6-$G$3,22))),0)))))</f>
        <v>0</v>
      </c>
      <c r="AA43" s="27" t="n">
        <f aca="false">IF(COUNT(Soja!$E41:$Z41)=0,0,MAX(0,IF((AA$6-$E$3)&lt;1,0,IFERROR(LOOKUP(2,1/(Soja!$E41:INDEX(Soja!$E41:$Z41,MIN(AA$6-$E$3,22))&lt;&gt;""),Soja!$E41:INDEX(Soja!$E41:$Z41,MIN(AA$6-$E$3,22))),0))-IF($G$2,0,IF((AA$6-$G$3)&lt;1,0,IFERROR(LOOKUP(2,1/(Soja!$E41:INDEX(Soja!$E41:$Z41,MIN(AA$6-$G$3,22))&lt;&gt;""),Soja!$E41:INDEX(Soja!$E41:$Z41,MIN(AA$6-$G$3,22))),0)))))</f>
        <v>0</v>
      </c>
      <c r="AB43" s="27" t="n">
        <f aca="false">IF(COUNT(Soja!$E41:$Z41)=0,0,MAX(0,IF((AB$6-$E$3)&lt;1,0,IFERROR(LOOKUP(2,1/(Soja!$E41:INDEX(Soja!$E41:$Z41,MIN(AB$6-$E$3,22))&lt;&gt;""),Soja!$E41:INDEX(Soja!$E41:$Z41,MIN(AB$6-$E$3,22))),0))-IF($G$2,0,IF((AB$6-$G$3)&lt;1,0,IFERROR(LOOKUP(2,1/(Soja!$E41:INDEX(Soja!$E41:$Z41,MIN(AB$6-$G$3,22))&lt;&gt;""),Soja!$E41:INDEX(Soja!$E41:$Z41,MIN(AB$6-$G$3,22))),0)))))</f>
        <v>0</v>
      </c>
      <c r="AC43" s="27" t="n">
        <f aca="false">IF(COUNT(Soja!$E41:$Z41)=0,0,MAX(0,IF((AC$6-$E$3)&lt;1,0,IFERROR(LOOKUP(2,1/(Soja!$E41:INDEX(Soja!$E41:$Z41,MIN(AC$6-$E$3,22))&lt;&gt;""),Soja!$E41:INDEX(Soja!$E41:$Z41,MIN(AC$6-$E$3,22))),0))-IF($G$2,0,IF((AC$6-$G$3)&lt;1,0,IFERROR(LOOKUP(2,1/(Soja!$E41:INDEX(Soja!$E41:$Z41,MIN(AC$6-$G$3,22))&lt;&gt;""),Soja!$E41:INDEX(Soja!$E41:$Z41,MIN(AC$6-$G$3,22))),0)))))</f>
        <v>0</v>
      </c>
      <c r="AD43" s="27" t="n">
        <f aca="false">IF(COUNT(Soja!$E41:$Z41)=0,0,MAX(0,IF((AD$6-$E$3)&lt;1,0,IFERROR(LOOKUP(2,1/(Soja!$E41:INDEX(Soja!$E41:$Z41,MIN(AD$6-$E$3,22))&lt;&gt;""),Soja!$E41:INDEX(Soja!$E41:$Z41,MIN(AD$6-$E$3,22))),0))-IF($G$2,0,IF((AD$6-$G$3)&lt;1,0,IFERROR(LOOKUP(2,1/(Soja!$E41:INDEX(Soja!$E41:$Z41,MIN(AD$6-$G$3,22))&lt;&gt;""),Soja!$E41:INDEX(Soja!$E41:$Z41,MIN(AD$6-$G$3,22))),0)))))</f>
        <v>0</v>
      </c>
      <c r="AE43" s="27" t="n">
        <f aca="false">IF(COUNT(Soja!$E41:$Z41)=0,0,MAX(0,IF((AE$6-$E$3)&lt;1,0,IFERROR(LOOKUP(2,1/(Soja!$E41:INDEX(Soja!$E41:$Z41,MIN(AE$6-$E$3,22))&lt;&gt;""),Soja!$E41:INDEX(Soja!$E41:$Z41,MIN(AE$6-$E$3,22))),0))-IF($G$2,0,IF((AE$6-$G$3)&lt;1,0,IFERROR(LOOKUP(2,1/(Soja!$E41:INDEX(Soja!$E41:$Z41,MIN(AE$6-$G$3,22))&lt;&gt;""),Soja!$E41:INDEX(Soja!$E41:$Z41,MIN(AE$6-$G$3,22))),0)))))</f>
        <v>0</v>
      </c>
      <c r="AF43" s="27" t="n">
        <f aca="false">IF(COUNT(Soja!$E41:$Z41)=0,0,MAX(0,IF((AF$6-$E$3)&lt;1,0,IFERROR(LOOKUP(2,1/(Soja!$E41:INDEX(Soja!$E41:$Z41,MIN(AF$6-$E$3,22))&lt;&gt;""),Soja!$E41:INDEX(Soja!$E41:$Z41,MIN(AF$6-$E$3,22))),0))-IF($G$2,0,IF((AF$6-$G$3)&lt;1,0,IFERROR(LOOKUP(2,1/(Soja!$E41:INDEX(Soja!$E41:$Z41,MIN(AF$6-$G$3,22))&lt;&gt;""),Soja!$E41:INDEX(Soja!$E41:$Z41,MIN(AF$6-$G$3,22))),0)))))</f>
        <v>0</v>
      </c>
      <c r="AG43" s="27" t="n">
        <f aca="false">IF(COUNT(Soja!$E41:$Z41)=0,0,MAX(0,IF((AG$6-$E$3)&lt;1,0,IFERROR(LOOKUP(2,1/(Soja!$E41:INDEX(Soja!$E41:$Z41,MIN(AG$6-$E$3,22))&lt;&gt;""),Soja!$E41:INDEX(Soja!$E41:$Z41,MIN(AG$6-$E$3,22))),0))-IF($G$2,0,IF((AG$6-$G$3)&lt;1,0,IFERROR(LOOKUP(2,1/(Soja!$E41:INDEX(Soja!$E41:$Z41,MIN(AG$6-$G$3,22))&lt;&gt;""),Soja!$E41:INDEX(Soja!$E41:$Z41,MIN(AG$6-$G$3,22))),0)))))</f>
        <v>0</v>
      </c>
      <c r="AH43" s="27" t="n">
        <f aca="false">IF(COUNT(Soja!$E41:$Z41)=0,0,MAX(0,IF((AH$6-$E$3)&lt;1,0,IFERROR(LOOKUP(2,1/(Soja!$E41:INDEX(Soja!$E41:$Z41,MIN(AH$6-$E$3,22))&lt;&gt;""),Soja!$E41:INDEX(Soja!$E41:$Z41,MIN(AH$6-$E$3,22))),0))-IF($G$2,0,IF((AH$6-$G$3)&lt;1,0,IFERROR(LOOKUP(2,1/(Soja!$E41:INDEX(Soja!$E41:$Z41,MIN(AH$6-$G$3,22))&lt;&gt;""),Soja!$E41:INDEX(Soja!$E41:$Z41,MIN(AH$6-$G$3,22))),0)))))</f>
        <v>0</v>
      </c>
      <c r="AI43" s="27" t="n">
        <f aca="false">IF(COUNT(Soja!$E41:$Z41)=0,0,MAX(0,IF((AI$6-$E$3)&lt;1,0,IFERROR(LOOKUP(2,1/(Soja!$E41:INDEX(Soja!$E41:$Z41,MIN(AI$6-$E$3,22))&lt;&gt;""),Soja!$E41:INDEX(Soja!$E41:$Z41,MIN(AI$6-$E$3,22))),0))-IF($G$2,0,IF((AI$6-$G$3)&lt;1,0,IFERROR(LOOKUP(2,1/(Soja!$E41:INDEX(Soja!$E41:$Z41,MIN(AI$6-$G$3,22))&lt;&gt;""),Soja!$E41:INDEX(Soja!$E41:$Z41,MIN(AI$6-$G$3,22))),0)))))</f>
        <v>0</v>
      </c>
      <c r="AJ43" s="27" t="n">
        <f aca="false">IF(COUNT(Soja!$E41:$Z41)=0,0,MAX(0,IF((AJ$6-$E$3)&lt;1,0,IFERROR(LOOKUP(2,1/(Soja!$E41:INDEX(Soja!$E41:$Z41,MIN(AJ$6-$E$3,22))&lt;&gt;""),Soja!$E41:INDEX(Soja!$E41:$Z41,MIN(AJ$6-$E$3,22))),0))-IF($G$2,0,IF((AJ$6-$G$3)&lt;1,0,IFERROR(LOOKUP(2,1/(Soja!$E41:INDEX(Soja!$E41:$Z41,MIN(AJ$6-$G$3,22))&lt;&gt;""),Soja!$E41:INDEX(Soja!$E41:$Z41,MIN(AJ$6-$G$3,22))),0)))))</f>
        <v>0</v>
      </c>
      <c r="AK43" s="27" t="n">
        <f aca="false">IF(COUNT(Soja!$E41:$Z41)=0,0,MAX(0,IF((AK$6-$E$3)&lt;1,0,IFERROR(LOOKUP(2,1/(Soja!$E41:INDEX(Soja!$E41:$Z41,MIN(AK$6-$E$3,22))&lt;&gt;""),Soja!$E41:INDEX(Soja!$E41:$Z41,MIN(AK$6-$E$3,22))),0))-IF($G$2,0,IF((AK$6-$G$3)&lt;1,0,IFERROR(LOOKUP(2,1/(Soja!$E41:INDEX(Soja!$E41:$Z41,MIN(AK$6-$G$3,22))&lt;&gt;""),Soja!$E41:INDEX(Soja!$E41:$Z41,MIN(AK$6-$G$3,22))),0)))))</f>
        <v>0</v>
      </c>
      <c r="AL43" s="27" t="n">
        <f aca="false">IF(COUNT(Soja!$E41:$Z41)=0,0,MAX(0,IF((AL$6-$E$3)&lt;1,0,IFERROR(LOOKUP(2,1/(Soja!$E41:INDEX(Soja!$E41:$Z41,MIN(AL$6-$E$3,22))&lt;&gt;""),Soja!$E41:INDEX(Soja!$E41:$Z41,MIN(AL$6-$E$3,22))),0))-IF($G$2,0,IF((AL$6-$G$3)&lt;1,0,IFERROR(LOOKUP(2,1/(Soja!$E41:INDEX(Soja!$E41:$Z41,MIN(AL$6-$G$3,22))&lt;&gt;""),Soja!$E41:INDEX(Soja!$E41:$Z41,MIN(AL$6-$G$3,22))),0)))))</f>
        <v>0</v>
      </c>
      <c r="AM43" s="27" t="n">
        <f aca="false">IF(COUNT(Soja!$E41:$Z41)=0,0,MAX(0,IF((AM$6-$E$3)&lt;1,0,IFERROR(LOOKUP(2,1/(Soja!$E41:INDEX(Soja!$E41:$Z41,MIN(AM$6-$E$3,22))&lt;&gt;""),Soja!$E41:INDEX(Soja!$E41:$Z41,MIN(AM$6-$E$3,22))),0))-IF($G$2,0,IF((AM$6-$G$3)&lt;1,0,IFERROR(LOOKUP(2,1/(Soja!$E41:INDEX(Soja!$E41:$Z41,MIN(AM$6-$G$3,22))&lt;&gt;""),Soja!$E41:INDEX(Soja!$E41:$Z41,MIN(AM$6-$G$3,22))),0)))))</f>
        <v>0</v>
      </c>
      <c r="AN43" s="27" t="n">
        <f aca="false">IF(COUNT(Soja!$E41:$Z41)=0,0,MAX(0,IF((AN$6-$E$3)&lt;1,0,IFERROR(LOOKUP(2,1/(Soja!$E41:INDEX(Soja!$E41:$Z41,MIN(AN$6-$E$3,22))&lt;&gt;""),Soja!$E41:INDEX(Soja!$E41:$Z41,MIN(AN$6-$E$3,22))),0))-IF($G$2,0,IF((AN$6-$G$3)&lt;1,0,IFERROR(LOOKUP(2,1/(Soja!$E41:INDEX(Soja!$E41:$Z41,MIN(AN$6-$G$3,22))&lt;&gt;""),Soja!$E41:INDEX(Soja!$E41:$Z41,MIN(AN$6-$G$3,22))),0)))))</f>
        <v>0</v>
      </c>
      <c r="AO43" s="27" t="n">
        <f aca="false">IF(COUNT(Soja!$E41:$Z41)=0,0,MAX(0,IF((AO$6-$E$3)&lt;1,0,IFERROR(LOOKUP(2,1/(Soja!$E41:INDEX(Soja!$E41:$Z41,MIN(AO$6-$E$3,22))&lt;&gt;""),Soja!$E41:INDEX(Soja!$E41:$Z41,MIN(AO$6-$E$3,22))),0))-IF($G$2,0,IF((AO$6-$G$3)&lt;1,0,IFERROR(LOOKUP(2,1/(Soja!$E41:INDEX(Soja!$E41:$Z41,MIN(AO$6-$G$3,22))&lt;&gt;""),Soja!$E41:INDEX(Soja!$E41:$Z41,MIN(AO$6-$G$3,22))),0)))))</f>
        <v>0</v>
      </c>
      <c r="AP43" s="27" t="n">
        <f aca="false">IF(COUNT(Soja!$E41:$Z41)=0,0,MAX(0,IF((AP$6-$E$3)&lt;1,0,IFERROR(LOOKUP(2,1/(Soja!$E41:INDEX(Soja!$E41:$Z41,MIN(AP$6-$E$3,22))&lt;&gt;""),Soja!$E41:INDEX(Soja!$E41:$Z41,MIN(AP$6-$E$3,22))),0))-IF($G$2,0,IF((AP$6-$G$3)&lt;1,0,IFERROR(LOOKUP(2,1/(Soja!$E41:INDEX(Soja!$E41:$Z41,MIN(AP$6-$G$3,22))&lt;&gt;""),Soja!$E41:INDEX(Soja!$E41:$Z41,MIN(AP$6-$G$3,22))),0)))))</f>
        <v>0</v>
      </c>
      <c r="AQ43" s="27" t="n">
        <f aca="false">IF(COUNT(Soja!$E41:$Z41)=0,0,MAX(0,IF((AQ$6-$E$3)&lt;1,0,IFERROR(LOOKUP(2,1/(Soja!$E41:INDEX(Soja!$E41:$Z41,MIN(AQ$6-$E$3,22))&lt;&gt;""),Soja!$E41:INDEX(Soja!$E41:$Z41,MIN(AQ$6-$E$3,22))),0))-IF($G$2,0,IF((AQ$6-$G$3)&lt;1,0,IFERROR(LOOKUP(2,1/(Soja!$E41:INDEX(Soja!$E41:$Z41,MIN(AQ$6-$G$3,22))&lt;&gt;""),Soja!$E41:INDEX(Soja!$E41:$Z41,MIN(AQ$6-$G$3,22))),0)))))</f>
        <v>0</v>
      </c>
      <c r="AR43" s="27" t="n">
        <f aca="false">IF(COUNT(Soja!$E41:$Z41)=0,0,MAX(0,IF((AR$6-$E$3)&lt;1,0,IFERROR(LOOKUP(2,1/(Soja!$E41:INDEX(Soja!$E41:$Z41,MIN(AR$6-$E$3,22))&lt;&gt;""),Soja!$E41:INDEX(Soja!$E41:$Z41,MIN(AR$6-$E$3,22))),0))-IF($G$2,0,IF((AR$6-$G$3)&lt;1,0,IFERROR(LOOKUP(2,1/(Soja!$E41:INDEX(Soja!$E41:$Z41,MIN(AR$6-$G$3,22))&lt;&gt;""),Soja!$E41:INDEX(Soja!$E41:$Z41,MIN(AR$6-$G$3,22))),0)))))</f>
        <v>0</v>
      </c>
      <c r="AS43" s="27" t="n">
        <f aca="false">IF(COUNT(Soja!$E41:$Z41)=0,0,MAX(0,IF((AS$6-$E$3)&lt;1,0,IFERROR(LOOKUP(2,1/(Soja!$E41:INDEX(Soja!$E41:$Z41,MIN(AS$6-$E$3,22))&lt;&gt;""),Soja!$E41:INDEX(Soja!$E41:$Z41,MIN(AS$6-$E$3,22))),0))-IF($G$2,0,IF((AS$6-$G$3)&lt;1,0,IFERROR(LOOKUP(2,1/(Soja!$E41:INDEX(Soja!$E41:$Z41,MIN(AS$6-$G$3,22))&lt;&gt;""),Soja!$E41:INDEX(Soja!$E41:$Z41,MIN(AS$6-$G$3,22))),0)))))</f>
        <v>0</v>
      </c>
      <c r="AT43" s="27" t="n">
        <f aca="false">IF(COUNT(Soja!$E41:$Z41)=0,0,MAX(0,IF((AT$6-$E$3)&lt;1,0,IFERROR(LOOKUP(2,1/(Soja!$E41:INDEX(Soja!$E41:$Z41,MIN(AT$6-$E$3,22))&lt;&gt;""),Soja!$E41:INDEX(Soja!$E41:$Z41,MIN(AT$6-$E$3,22))),0))-IF($G$2,0,IF((AT$6-$G$3)&lt;1,0,IFERROR(LOOKUP(2,1/(Soja!$E41:INDEX(Soja!$E41:$Z41,MIN(AT$6-$G$3,22))&lt;&gt;""),Soja!$E41:INDEX(Soja!$E41:$Z41,MIN(AT$6-$G$3,22))),0)))))</f>
        <v>0</v>
      </c>
      <c r="AU43" s="27" t="n">
        <f aca="false">IF(COUNT(Soja!$E41:$Z41)=0,0,MAX(0,IF((AU$6-$E$3)&lt;1,0,IFERROR(LOOKUP(2,1/(Soja!$E41:INDEX(Soja!$E41:$Z41,MIN(AU$6-$E$3,22))&lt;&gt;""),Soja!$E41:INDEX(Soja!$E41:$Z41,MIN(AU$6-$E$3,22))),0))-IF($G$2,0,IF((AU$6-$G$3)&lt;1,0,IFERROR(LOOKUP(2,1/(Soja!$E41:INDEX(Soja!$E41:$Z41,MIN(AU$6-$G$3,22))&lt;&gt;""),Soja!$E41:INDEX(Soja!$E41:$Z41,MIN(AU$6-$G$3,22))),0)))))</f>
        <v>0</v>
      </c>
      <c r="AV43" s="27" t="n">
        <f aca="false">IF(COUNT(Soja!$E41:$Z41)=0,0,MAX(0,IF((AV$6-$E$3)&lt;1,0,IFERROR(LOOKUP(2,1/(Soja!$E41:INDEX(Soja!$E41:$Z41,MIN(AV$6-$E$3,22))&lt;&gt;""),Soja!$E41:INDEX(Soja!$E41:$Z41,MIN(AV$6-$E$3,22))),0))-IF($G$2,0,IF((AV$6-$G$3)&lt;1,0,IFERROR(LOOKUP(2,1/(Soja!$E41:INDEX(Soja!$E41:$Z41,MIN(AV$6-$G$3,22))&lt;&gt;""),Soja!$E41:INDEX(Soja!$E41:$Z41,MIN(AV$6-$G$3,22))),0)))))</f>
        <v>0</v>
      </c>
      <c r="AW43" s="27" t="n">
        <f aca="false">IF(COUNT(Soja!$E41:$Z41)=0,0,MAX(0,IF((AW$6-$E$3)&lt;1,0,IFERROR(LOOKUP(2,1/(Soja!$E41:INDEX(Soja!$E41:$Z41,MIN(AW$6-$E$3,22))&lt;&gt;""),Soja!$E41:INDEX(Soja!$E41:$Z41,MIN(AW$6-$E$3,22))),0))-IF($G$2,0,IF((AW$6-$G$3)&lt;1,0,IFERROR(LOOKUP(2,1/(Soja!$E41:INDEX(Soja!$E41:$Z41,MIN(AW$6-$G$3,22))&lt;&gt;""),Soja!$E41:INDEX(Soja!$E41:$Z41,MIN(AW$6-$G$3,22))),0)))))</f>
        <v>0</v>
      </c>
      <c r="AX43" s="27" t="n">
        <f aca="false">IF(COUNT(Soja!$E41:$Z41)=0,0,MAX(0,IF((AX$6-$E$3)&lt;1,0,IFERROR(LOOKUP(2,1/(Soja!$E41:INDEX(Soja!$E41:$Z41,MIN(AX$6-$E$3,22))&lt;&gt;""),Soja!$E41:INDEX(Soja!$E41:$Z41,MIN(AX$6-$E$3,22))),0))-IF($G$2,0,IF((AX$6-$G$3)&lt;1,0,IFERROR(LOOKUP(2,1/(Soja!$E41:INDEX(Soja!$E41:$Z41,MIN(AX$6-$G$3,22))&lt;&gt;""),Soja!$E41:INDEX(Soja!$E41:$Z41,MIN(AX$6-$G$3,22))),0)))))</f>
        <v>0</v>
      </c>
      <c r="AY43" s="27" t="n">
        <f aca="false">IF(COUNT(Soja!$E41:$Z41)=0,0,MAX(0,IF((AY$6-$E$3)&lt;1,0,IFERROR(LOOKUP(2,1/(Soja!$E41:INDEX(Soja!$E41:$Z41,MIN(AY$6-$E$3,22))&lt;&gt;""),Soja!$E41:INDEX(Soja!$E41:$Z41,MIN(AY$6-$E$3,22))),0))-IF($G$2,0,IF((AY$6-$G$3)&lt;1,0,IFERROR(LOOKUP(2,1/(Soja!$E41:INDEX(Soja!$E41:$Z41,MIN(AY$6-$G$3,22))&lt;&gt;""),Soja!$E41:INDEX(Soja!$E41:$Z41,MIN(AY$6-$G$3,22))),0)))))</f>
        <v>0</v>
      </c>
      <c r="AZ43" s="27" t="n">
        <f aca="false">IF(COUNT(Soja!$E41:$Z41)=0,0,MAX(0,IF((AZ$6-$E$3)&lt;1,0,IFERROR(LOOKUP(2,1/(Soja!$E41:INDEX(Soja!$E41:$Z41,MIN(AZ$6-$E$3,22))&lt;&gt;""),Soja!$E41:INDEX(Soja!$E41:$Z41,MIN(AZ$6-$E$3,22))),0))-IF($G$2,0,IF((AZ$6-$G$3)&lt;1,0,IFERROR(LOOKUP(2,1/(Soja!$E41:INDEX(Soja!$E41:$Z41,MIN(AZ$6-$G$3,22))&lt;&gt;""),Soja!$E41:INDEX(Soja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IF(COUNT(Soja!$E42:$Z42)&gt;0,N(Soja!$D42),0)</f>
        <v>0</v>
      </c>
      <c r="E44" s="27" t="n">
        <f aca="false">IF(COUNT(Soja!$E42:$Z42)=0,0,MAX(0,IF((E$6-$E$3)&lt;1,0,IFERROR(LOOKUP(2,1/(Soja!$E42:INDEX(Soja!$E42:$Z42,MIN(E$6-$E$3,22))&lt;&gt;""),Soja!$E42:INDEX(Soja!$E42:$Z42,MIN(E$6-$E$3,22))),0))-IF($G$2,0,IF((E$6-$G$3)&lt;1,0,IFERROR(LOOKUP(2,1/(Soja!$E42:INDEX(Soja!$E42:$Z42,MIN(E$6-$G$3,22))&lt;&gt;""),Soja!$E42:INDEX(Soja!$E42:$Z42,MIN(E$6-$G$3,22))),0)))))</f>
        <v>0</v>
      </c>
      <c r="F44" s="27" t="n">
        <f aca="false">IF(COUNT(Soja!$E42:$Z42)=0,0,MAX(0,IF((F$6-$E$3)&lt;1,0,IFERROR(LOOKUP(2,1/(Soja!$E42:INDEX(Soja!$E42:$Z42,MIN(F$6-$E$3,22))&lt;&gt;""),Soja!$E42:INDEX(Soja!$E42:$Z42,MIN(F$6-$E$3,22))),0))-IF($G$2,0,IF((F$6-$G$3)&lt;1,0,IFERROR(LOOKUP(2,1/(Soja!$E42:INDEX(Soja!$E42:$Z42,MIN(F$6-$G$3,22))&lt;&gt;""),Soja!$E42:INDEX(Soja!$E42:$Z42,MIN(F$6-$G$3,22))),0)))))</f>
        <v>0</v>
      </c>
      <c r="G44" s="27" t="n">
        <f aca="false">IF(COUNT(Soja!$E42:$Z42)=0,0,MAX(0,IF((G$6-$E$3)&lt;1,0,IFERROR(LOOKUP(2,1/(Soja!$E42:INDEX(Soja!$E42:$Z42,MIN(G$6-$E$3,22))&lt;&gt;""),Soja!$E42:INDEX(Soja!$E42:$Z42,MIN(G$6-$E$3,22))),0))-IF($G$2,0,IF((G$6-$G$3)&lt;1,0,IFERROR(LOOKUP(2,1/(Soja!$E42:INDEX(Soja!$E42:$Z42,MIN(G$6-$G$3,22))&lt;&gt;""),Soja!$E42:INDEX(Soja!$E42:$Z42,MIN(G$6-$G$3,22))),0)))))</f>
        <v>0</v>
      </c>
      <c r="H44" s="27" t="n">
        <f aca="false">IF(COUNT(Soja!$E42:$Z42)=0,0,MAX(0,IF((H$6-$E$3)&lt;1,0,IFERROR(LOOKUP(2,1/(Soja!$E42:INDEX(Soja!$E42:$Z42,MIN(H$6-$E$3,22))&lt;&gt;""),Soja!$E42:INDEX(Soja!$E42:$Z42,MIN(H$6-$E$3,22))),0))-IF($G$2,0,IF((H$6-$G$3)&lt;1,0,IFERROR(LOOKUP(2,1/(Soja!$E42:INDEX(Soja!$E42:$Z42,MIN(H$6-$G$3,22))&lt;&gt;""),Soja!$E42:INDEX(Soja!$E42:$Z42,MIN(H$6-$G$3,22))),0)))))</f>
        <v>0</v>
      </c>
      <c r="I44" s="27" t="n">
        <f aca="false">IF(COUNT(Soja!$E42:$Z42)=0,0,MAX(0,IF((I$6-$E$3)&lt;1,0,IFERROR(LOOKUP(2,1/(Soja!$E42:INDEX(Soja!$E42:$Z42,MIN(I$6-$E$3,22))&lt;&gt;""),Soja!$E42:INDEX(Soja!$E42:$Z42,MIN(I$6-$E$3,22))),0))-IF($G$2,0,IF((I$6-$G$3)&lt;1,0,IFERROR(LOOKUP(2,1/(Soja!$E42:INDEX(Soja!$E42:$Z42,MIN(I$6-$G$3,22))&lt;&gt;""),Soja!$E42:INDEX(Soja!$E42:$Z42,MIN(I$6-$G$3,22))),0)))))</f>
        <v>0</v>
      </c>
      <c r="J44" s="27" t="n">
        <f aca="false">IF(COUNT(Soja!$E42:$Z42)=0,0,MAX(0,IF((J$6-$E$3)&lt;1,0,IFERROR(LOOKUP(2,1/(Soja!$E42:INDEX(Soja!$E42:$Z42,MIN(J$6-$E$3,22))&lt;&gt;""),Soja!$E42:INDEX(Soja!$E42:$Z42,MIN(J$6-$E$3,22))),0))-IF($G$2,0,IF((J$6-$G$3)&lt;1,0,IFERROR(LOOKUP(2,1/(Soja!$E42:INDEX(Soja!$E42:$Z42,MIN(J$6-$G$3,22))&lt;&gt;""),Soja!$E42:INDEX(Soja!$E42:$Z42,MIN(J$6-$G$3,22))),0)))))</f>
        <v>0</v>
      </c>
      <c r="K44" s="27" t="n">
        <f aca="false">IF(COUNT(Soja!$E42:$Z42)=0,0,MAX(0,IF((K$6-$E$3)&lt;1,0,IFERROR(LOOKUP(2,1/(Soja!$E42:INDEX(Soja!$E42:$Z42,MIN(K$6-$E$3,22))&lt;&gt;""),Soja!$E42:INDEX(Soja!$E42:$Z42,MIN(K$6-$E$3,22))),0))-IF($G$2,0,IF((K$6-$G$3)&lt;1,0,IFERROR(LOOKUP(2,1/(Soja!$E42:INDEX(Soja!$E42:$Z42,MIN(K$6-$G$3,22))&lt;&gt;""),Soja!$E42:INDEX(Soja!$E42:$Z42,MIN(K$6-$G$3,22))),0)))))</f>
        <v>0</v>
      </c>
      <c r="L44" s="27" t="n">
        <f aca="false">IF(COUNT(Soja!$E42:$Z42)=0,0,MAX(0,IF((L$6-$E$3)&lt;1,0,IFERROR(LOOKUP(2,1/(Soja!$E42:INDEX(Soja!$E42:$Z42,MIN(L$6-$E$3,22))&lt;&gt;""),Soja!$E42:INDEX(Soja!$E42:$Z42,MIN(L$6-$E$3,22))),0))-IF($G$2,0,IF((L$6-$G$3)&lt;1,0,IFERROR(LOOKUP(2,1/(Soja!$E42:INDEX(Soja!$E42:$Z42,MIN(L$6-$G$3,22))&lt;&gt;""),Soja!$E42:INDEX(Soja!$E42:$Z42,MIN(L$6-$G$3,22))),0)))))</f>
        <v>0</v>
      </c>
      <c r="M44" s="27" t="n">
        <f aca="false">IF(COUNT(Soja!$E42:$Z42)=0,0,MAX(0,IF((M$6-$E$3)&lt;1,0,IFERROR(LOOKUP(2,1/(Soja!$E42:INDEX(Soja!$E42:$Z42,MIN(M$6-$E$3,22))&lt;&gt;""),Soja!$E42:INDEX(Soja!$E42:$Z42,MIN(M$6-$E$3,22))),0))-IF($G$2,0,IF((M$6-$G$3)&lt;1,0,IFERROR(LOOKUP(2,1/(Soja!$E42:INDEX(Soja!$E42:$Z42,MIN(M$6-$G$3,22))&lt;&gt;""),Soja!$E42:INDEX(Soja!$E42:$Z42,MIN(M$6-$G$3,22))),0)))))</f>
        <v>0</v>
      </c>
      <c r="N44" s="27" t="n">
        <f aca="false">IF(COUNT(Soja!$E42:$Z42)=0,0,MAX(0,IF((N$6-$E$3)&lt;1,0,IFERROR(LOOKUP(2,1/(Soja!$E42:INDEX(Soja!$E42:$Z42,MIN(N$6-$E$3,22))&lt;&gt;""),Soja!$E42:INDEX(Soja!$E42:$Z42,MIN(N$6-$E$3,22))),0))-IF($G$2,0,IF((N$6-$G$3)&lt;1,0,IFERROR(LOOKUP(2,1/(Soja!$E42:INDEX(Soja!$E42:$Z42,MIN(N$6-$G$3,22))&lt;&gt;""),Soja!$E42:INDEX(Soja!$E42:$Z42,MIN(N$6-$G$3,22))),0)))))</f>
        <v>0</v>
      </c>
      <c r="O44" s="27" t="n">
        <f aca="false">IF(COUNT(Soja!$E42:$Z42)=0,0,MAX(0,IF((O$6-$E$3)&lt;1,0,IFERROR(LOOKUP(2,1/(Soja!$E42:INDEX(Soja!$E42:$Z42,MIN(O$6-$E$3,22))&lt;&gt;""),Soja!$E42:INDEX(Soja!$E42:$Z42,MIN(O$6-$E$3,22))),0))-IF($G$2,0,IF((O$6-$G$3)&lt;1,0,IFERROR(LOOKUP(2,1/(Soja!$E42:INDEX(Soja!$E42:$Z42,MIN(O$6-$G$3,22))&lt;&gt;""),Soja!$E42:INDEX(Soja!$E42:$Z42,MIN(O$6-$G$3,22))),0)))))</f>
        <v>0</v>
      </c>
      <c r="P44" s="27" t="n">
        <f aca="false">IF(COUNT(Soja!$E42:$Z42)=0,0,MAX(0,IF((P$6-$E$3)&lt;1,0,IFERROR(LOOKUP(2,1/(Soja!$E42:INDEX(Soja!$E42:$Z42,MIN(P$6-$E$3,22))&lt;&gt;""),Soja!$E42:INDEX(Soja!$E42:$Z42,MIN(P$6-$E$3,22))),0))-IF($G$2,0,IF((P$6-$G$3)&lt;1,0,IFERROR(LOOKUP(2,1/(Soja!$E42:INDEX(Soja!$E42:$Z42,MIN(P$6-$G$3,22))&lt;&gt;""),Soja!$E42:INDEX(Soja!$E42:$Z42,MIN(P$6-$G$3,22))),0)))))</f>
        <v>0</v>
      </c>
      <c r="Q44" s="27" t="n">
        <f aca="false">IF(COUNT(Soja!$E42:$Z42)=0,0,MAX(0,IF((Q$6-$E$3)&lt;1,0,IFERROR(LOOKUP(2,1/(Soja!$E42:INDEX(Soja!$E42:$Z42,MIN(Q$6-$E$3,22))&lt;&gt;""),Soja!$E42:INDEX(Soja!$E42:$Z42,MIN(Q$6-$E$3,22))),0))-IF($G$2,0,IF((Q$6-$G$3)&lt;1,0,IFERROR(LOOKUP(2,1/(Soja!$E42:INDEX(Soja!$E42:$Z42,MIN(Q$6-$G$3,22))&lt;&gt;""),Soja!$E42:INDEX(Soja!$E42:$Z42,MIN(Q$6-$G$3,22))),0)))))</f>
        <v>0</v>
      </c>
      <c r="R44" s="27" t="n">
        <f aca="false">IF(COUNT(Soja!$E42:$Z42)=0,0,MAX(0,IF((R$6-$E$3)&lt;1,0,IFERROR(LOOKUP(2,1/(Soja!$E42:INDEX(Soja!$E42:$Z42,MIN(R$6-$E$3,22))&lt;&gt;""),Soja!$E42:INDEX(Soja!$E42:$Z42,MIN(R$6-$E$3,22))),0))-IF($G$2,0,IF((R$6-$G$3)&lt;1,0,IFERROR(LOOKUP(2,1/(Soja!$E42:INDEX(Soja!$E42:$Z42,MIN(R$6-$G$3,22))&lt;&gt;""),Soja!$E42:INDEX(Soja!$E42:$Z42,MIN(R$6-$G$3,22))),0)))))</f>
        <v>0</v>
      </c>
      <c r="S44" s="27" t="n">
        <f aca="false">IF(COUNT(Soja!$E42:$Z42)=0,0,MAX(0,IF((S$6-$E$3)&lt;1,0,IFERROR(LOOKUP(2,1/(Soja!$E42:INDEX(Soja!$E42:$Z42,MIN(S$6-$E$3,22))&lt;&gt;""),Soja!$E42:INDEX(Soja!$E42:$Z42,MIN(S$6-$E$3,22))),0))-IF($G$2,0,IF((S$6-$G$3)&lt;1,0,IFERROR(LOOKUP(2,1/(Soja!$E42:INDEX(Soja!$E42:$Z42,MIN(S$6-$G$3,22))&lt;&gt;""),Soja!$E42:INDEX(Soja!$E42:$Z42,MIN(S$6-$G$3,22))),0)))))</f>
        <v>0</v>
      </c>
      <c r="T44" s="27" t="n">
        <f aca="false">IF(COUNT(Soja!$E42:$Z42)=0,0,MAX(0,IF((T$6-$E$3)&lt;1,0,IFERROR(LOOKUP(2,1/(Soja!$E42:INDEX(Soja!$E42:$Z42,MIN(T$6-$E$3,22))&lt;&gt;""),Soja!$E42:INDEX(Soja!$E42:$Z42,MIN(T$6-$E$3,22))),0))-IF($G$2,0,IF((T$6-$G$3)&lt;1,0,IFERROR(LOOKUP(2,1/(Soja!$E42:INDEX(Soja!$E42:$Z42,MIN(T$6-$G$3,22))&lt;&gt;""),Soja!$E42:INDEX(Soja!$E42:$Z42,MIN(T$6-$G$3,22))),0)))))</f>
        <v>0</v>
      </c>
      <c r="U44" s="27" t="n">
        <f aca="false">IF(COUNT(Soja!$E42:$Z42)=0,0,MAX(0,IF((U$6-$E$3)&lt;1,0,IFERROR(LOOKUP(2,1/(Soja!$E42:INDEX(Soja!$E42:$Z42,MIN(U$6-$E$3,22))&lt;&gt;""),Soja!$E42:INDEX(Soja!$E42:$Z42,MIN(U$6-$E$3,22))),0))-IF($G$2,0,IF((U$6-$G$3)&lt;1,0,IFERROR(LOOKUP(2,1/(Soja!$E42:INDEX(Soja!$E42:$Z42,MIN(U$6-$G$3,22))&lt;&gt;""),Soja!$E42:INDEX(Soja!$E42:$Z42,MIN(U$6-$G$3,22))),0)))))</f>
        <v>0</v>
      </c>
      <c r="V44" s="27" t="n">
        <f aca="false">IF(COUNT(Soja!$E42:$Z42)=0,0,MAX(0,IF((V$6-$E$3)&lt;1,0,IFERROR(LOOKUP(2,1/(Soja!$E42:INDEX(Soja!$E42:$Z42,MIN(V$6-$E$3,22))&lt;&gt;""),Soja!$E42:INDEX(Soja!$E42:$Z42,MIN(V$6-$E$3,22))),0))-IF($G$2,0,IF((V$6-$G$3)&lt;1,0,IFERROR(LOOKUP(2,1/(Soja!$E42:INDEX(Soja!$E42:$Z42,MIN(V$6-$G$3,22))&lt;&gt;""),Soja!$E42:INDEX(Soja!$E42:$Z42,MIN(V$6-$G$3,22))),0)))))</f>
        <v>0</v>
      </c>
      <c r="W44" s="27" t="n">
        <f aca="false">IF(COUNT(Soja!$E42:$Z42)=0,0,MAX(0,IF((W$6-$E$3)&lt;1,0,IFERROR(LOOKUP(2,1/(Soja!$E42:INDEX(Soja!$E42:$Z42,MIN(W$6-$E$3,22))&lt;&gt;""),Soja!$E42:INDEX(Soja!$E42:$Z42,MIN(W$6-$E$3,22))),0))-IF($G$2,0,IF((W$6-$G$3)&lt;1,0,IFERROR(LOOKUP(2,1/(Soja!$E42:INDEX(Soja!$E42:$Z42,MIN(W$6-$G$3,22))&lt;&gt;""),Soja!$E42:INDEX(Soja!$E42:$Z42,MIN(W$6-$G$3,22))),0)))))</f>
        <v>0</v>
      </c>
      <c r="X44" s="27" t="n">
        <f aca="false">IF(COUNT(Soja!$E42:$Z42)=0,0,MAX(0,IF((X$6-$E$3)&lt;1,0,IFERROR(LOOKUP(2,1/(Soja!$E42:INDEX(Soja!$E42:$Z42,MIN(X$6-$E$3,22))&lt;&gt;""),Soja!$E42:INDEX(Soja!$E42:$Z42,MIN(X$6-$E$3,22))),0))-IF($G$2,0,IF((X$6-$G$3)&lt;1,0,IFERROR(LOOKUP(2,1/(Soja!$E42:INDEX(Soja!$E42:$Z42,MIN(X$6-$G$3,22))&lt;&gt;""),Soja!$E42:INDEX(Soja!$E42:$Z42,MIN(X$6-$G$3,22))),0)))))</f>
        <v>0</v>
      </c>
      <c r="Y44" s="27" t="n">
        <f aca="false">IF(COUNT(Soja!$E42:$Z42)=0,0,MAX(0,IF((Y$6-$E$3)&lt;1,0,IFERROR(LOOKUP(2,1/(Soja!$E42:INDEX(Soja!$E42:$Z42,MIN(Y$6-$E$3,22))&lt;&gt;""),Soja!$E42:INDEX(Soja!$E42:$Z42,MIN(Y$6-$E$3,22))),0))-IF($G$2,0,IF((Y$6-$G$3)&lt;1,0,IFERROR(LOOKUP(2,1/(Soja!$E42:INDEX(Soja!$E42:$Z42,MIN(Y$6-$G$3,22))&lt;&gt;""),Soja!$E42:INDEX(Soja!$E42:$Z42,MIN(Y$6-$G$3,22))),0)))))</f>
        <v>0</v>
      </c>
      <c r="Z44" s="27" t="n">
        <f aca="false">IF(COUNT(Soja!$E42:$Z42)=0,0,MAX(0,IF((Z$6-$E$3)&lt;1,0,IFERROR(LOOKUP(2,1/(Soja!$E42:INDEX(Soja!$E42:$Z42,MIN(Z$6-$E$3,22))&lt;&gt;""),Soja!$E42:INDEX(Soja!$E42:$Z42,MIN(Z$6-$E$3,22))),0))-IF($G$2,0,IF((Z$6-$G$3)&lt;1,0,IFERROR(LOOKUP(2,1/(Soja!$E42:INDEX(Soja!$E42:$Z42,MIN(Z$6-$G$3,22))&lt;&gt;""),Soja!$E42:INDEX(Soja!$E42:$Z42,MIN(Z$6-$G$3,22))),0)))))</f>
        <v>0</v>
      </c>
      <c r="AA44" s="27" t="n">
        <f aca="false">IF(COUNT(Soja!$E42:$Z42)=0,0,MAX(0,IF((AA$6-$E$3)&lt;1,0,IFERROR(LOOKUP(2,1/(Soja!$E42:INDEX(Soja!$E42:$Z42,MIN(AA$6-$E$3,22))&lt;&gt;""),Soja!$E42:INDEX(Soja!$E42:$Z42,MIN(AA$6-$E$3,22))),0))-IF($G$2,0,IF((AA$6-$G$3)&lt;1,0,IFERROR(LOOKUP(2,1/(Soja!$E42:INDEX(Soja!$E42:$Z42,MIN(AA$6-$G$3,22))&lt;&gt;""),Soja!$E42:INDEX(Soja!$E42:$Z42,MIN(AA$6-$G$3,22))),0)))))</f>
        <v>0</v>
      </c>
      <c r="AB44" s="27" t="n">
        <f aca="false">IF(COUNT(Soja!$E42:$Z42)=0,0,MAX(0,IF((AB$6-$E$3)&lt;1,0,IFERROR(LOOKUP(2,1/(Soja!$E42:INDEX(Soja!$E42:$Z42,MIN(AB$6-$E$3,22))&lt;&gt;""),Soja!$E42:INDEX(Soja!$E42:$Z42,MIN(AB$6-$E$3,22))),0))-IF($G$2,0,IF((AB$6-$G$3)&lt;1,0,IFERROR(LOOKUP(2,1/(Soja!$E42:INDEX(Soja!$E42:$Z42,MIN(AB$6-$G$3,22))&lt;&gt;""),Soja!$E42:INDEX(Soja!$E42:$Z42,MIN(AB$6-$G$3,22))),0)))))</f>
        <v>0</v>
      </c>
      <c r="AC44" s="27" t="n">
        <f aca="false">IF(COUNT(Soja!$E42:$Z42)=0,0,MAX(0,IF((AC$6-$E$3)&lt;1,0,IFERROR(LOOKUP(2,1/(Soja!$E42:INDEX(Soja!$E42:$Z42,MIN(AC$6-$E$3,22))&lt;&gt;""),Soja!$E42:INDEX(Soja!$E42:$Z42,MIN(AC$6-$E$3,22))),0))-IF($G$2,0,IF((AC$6-$G$3)&lt;1,0,IFERROR(LOOKUP(2,1/(Soja!$E42:INDEX(Soja!$E42:$Z42,MIN(AC$6-$G$3,22))&lt;&gt;""),Soja!$E42:INDEX(Soja!$E42:$Z42,MIN(AC$6-$G$3,22))),0)))))</f>
        <v>0</v>
      </c>
      <c r="AD44" s="27" t="n">
        <f aca="false">IF(COUNT(Soja!$E42:$Z42)=0,0,MAX(0,IF((AD$6-$E$3)&lt;1,0,IFERROR(LOOKUP(2,1/(Soja!$E42:INDEX(Soja!$E42:$Z42,MIN(AD$6-$E$3,22))&lt;&gt;""),Soja!$E42:INDEX(Soja!$E42:$Z42,MIN(AD$6-$E$3,22))),0))-IF($G$2,0,IF((AD$6-$G$3)&lt;1,0,IFERROR(LOOKUP(2,1/(Soja!$E42:INDEX(Soja!$E42:$Z42,MIN(AD$6-$G$3,22))&lt;&gt;""),Soja!$E42:INDEX(Soja!$E42:$Z42,MIN(AD$6-$G$3,22))),0)))))</f>
        <v>0</v>
      </c>
      <c r="AE44" s="27" t="n">
        <f aca="false">IF(COUNT(Soja!$E42:$Z42)=0,0,MAX(0,IF((AE$6-$E$3)&lt;1,0,IFERROR(LOOKUP(2,1/(Soja!$E42:INDEX(Soja!$E42:$Z42,MIN(AE$6-$E$3,22))&lt;&gt;""),Soja!$E42:INDEX(Soja!$E42:$Z42,MIN(AE$6-$E$3,22))),0))-IF($G$2,0,IF((AE$6-$G$3)&lt;1,0,IFERROR(LOOKUP(2,1/(Soja!$E42:INDEX(Soja!$E42:$Z42,MIN(AE$6-$G$3,22))&lt;&gt;""),Soja!$E42:INDEX(Soja!$E42:$Z42,MIN(AE$6-$G$3,22))),0)))))</f>
        <v>0</v>
      </c>
      <c r="AF44" s="27" t="n">
        <f aca="false">IF(COUNT(Soja!$E42:$Z42)=0,0,MAX(0,IF((AF$6-$E$3)&lt;1,0,IFERROR(LOOKUP(2,1/(Soja!$E42:INDEX(Soja!$E42:$Z42,MIN(AF$6-$E$3,22))&lt;&gt;""),Soja!$E42:INDEX(Soja!$E42:$Z42,MIN(AF$6-$E$3,22))),0))-IF($G$2,0,IF((AF$6-$G$3)&lt;1,0,IFERROR(LOOKUP(2,1/(Soja!$E42:INDEX(Soja!$E42:$Z42,MIN(AF$6-$G$3,22))&lt;&gt;""),Soja!$E42:INDEX(Soja!$E42:$Z42,MIN(AF$6-$G$3,22))),0)))))</f>
        <v>0</v>
      </c>
      <c r="AG44" s="27" t="n">
        <f aca="false">IF(COUNT(Soja!$E42:$Z42)=0,0,MAX(0,IF((AG$6-$E$3)&lt;1,0,IFERROR(LOOKUP(2,1/(Soja!$E42:INDEX(Soja!$E42:$Z42,MIN(AG$6-$E$3,22))&lt;&gt;""),Soja!$E42:INDEX(Soja!$E42:$Z42,MIN(AG$6-$E$3,22))),0))-IF($G$2,0,IF((AG$6-$G$3)&lt;1,0,IFERROR(LOOKUP(2,1/(Soja!$E42:INDEX(Soja!$E42:$Z42,MIN(AG$6-$G$3,22))&lt;&gt;""),Soja!$E42:INDEX(Soja!$E42:$Z42,MIN(AG$6-$G$3,22))),0)))))</f>
        <v>0</v>
      </c>
      <c r="AH44" s="27" t="n">
        <f aca="false">IF(COUNT(Soja!$E42:$Z42)=0,0,MAX(0,IF((AH$6-$E$3)&lt;1,0,IFERROR(LOOKUP(2,1/(Soja!$E42:INDEX(Soja!$E42:$Z42,MIN(AH$6-$E$3,22))&lt;&gt;""),Soja!$E42:INDEX(Soja!$E42:$Z42,MIN(AH$6-$E$3,22))),0))-IF($G$2,0,IF((AH$6-$G$3)&lt;1,0,IFERROR(LOOKUP(2,1/(Soja!$E42:INDEX(Soja!$E42:$Z42,MIN(AH$6-$G$3,22))&lt;&gt;""),Soja!$E42:INDEX(Soja!$E42:$Z42,MIN(AH$6-$G$3,22))),0)))))</f>
        <v>0</v>
      </c>
      <c r="AI44" s="27" t="n">
        <f aca="false">IF(COUNT(Soja!$E42:$Z42)=0,0,MAX(0,IF((AI$6-$E$3)&lt;1,0,IFERROR(LOOKUP(2,1/(Soja!$E42:INDEX(Soja!$E42:$Z42,MIN(AI$6-$E$3,22))&lt;&gt;""),Soja!$E42:INDEX(Soja!$E42:$Z42,MIN(AI$6-$E$3,22))),0))-IF($G$2,0,IF((AI$6-$G$3)&lt;1,0,IFERROR(LOOKUP(2,1/(Soja!$E42:INDEX(Soja!$E42:$Z42,MIN(AI$6-$G$3,22))&lt;&gt;""),Soja!$E42:INDEX(Soja!$E42:$Z42,MIN(AI$6-$G$3,22))),0)))))</f>
        <v>0</v>
      </c>
      <c r="AJ44" s="27" t="n">
        <f aca="false">IF(COUNT(Soja!$E42:$Z42)=0,0,MAX(0,IF((AJ$6-$E$3)&lt;1,0,IFERROR(LOOKUP(2,1/(Soja!$E42:INDEX(Soja!$E42:$Z42,MIN(AJ$6-$E$3,22))&lt;&gt;""),Soja!$E42:INDEX(Soja!$E42:$Z42,MIN(AJ$6-$E$3,22))),0))-IF($G$2,0,IF((AJ$6-$G$3)&lt;1,0,IFERROR(LOOKUP(2,1/(Soja!$E42:INDEX(Soja!$E42:$Z42,MIN(AJ$6-$G$3,22))&lt;&gt;""),Soja!$E42:INDEX(Soja!$E42:$Z42,MIN(AJ$6-$G$3,22))),0)))))</f>
        <v>0</v>
      </c>
      <c r="AK44" s="27" t="n">
        <f aca="false">IF(COUNT(Soja!$E42:$Z42)=0,0,MAX(0,IF((AK$6-$E$3)&lt;1,0,IFERROR(LOOKUP(2,1/(Soja!$E42:INDEX(Soja!$E42:$Z42,MIN(AK$6-$E$3,22))&lt;&gt;""),Soja!$E42:INDEX(Soja!$E42:$Z42,MIN(AK$6-$E$3,22))),0))-IF($G$2,0,IF((AK$6-$G$3)&lt;1,0,IFERROR(LOOKUP(2,1/(Soja!$E42:INDEX(Soja!$E42:$Z42,MIN(AK$6-$G$3,22))&lt;&gt;""),Soja!$E42:INDEX(Soja!$E42:$Z42,MIN(AK$6-$G$3,22))),0)))))</f>
        <v>0</v>
      </c>
      <c r="AL44" s="27" t="n">
        <f aca="false">IF(COUNT(Soja!$E42:$Z42)=0,0,MAX(0,IF((AL$6-$E$3)&lt;1,0,IFERROR(LOOKUP(2,1/(Soja!$E42:INDEX(Soja!$E42:$Z42,MIN(AL$6-$E$3,22))&lt;&gt;""),Soja!$E42:INDEX(Soja!$E42:$Z42,MIN(AL$6-$E$3,22))),0))-IF($G$2,0,IF((AL$6-$G$3)&lt;1,0,IFERROR(LOOKUP(2,1/(Soja!$E42:INDEX(Soja!$E42:$Z42,MIN(AL$6-$G$3,22))&lt;&gt;""),Soja!$E42:INDEX(Soja!$E42:$Z42,MIN(AL$6-$G$3,22))),0)))))</f>
        <v>0</v>
      </c>
      <c r="AM44" s="27" t="n">
        <f aca="false">IF(COUNT(Soja!$E42:$Z42)=0,0,MAX(0,IF((AM$6-$E$3)&lt;1,0,IFERROR(LOOKUP(2,1/(Soja!$E42:INDEX(Soja!$E42:$Z42,MIN(AM$6-$E$3,22))&lt;&gt;""),Soja!$E42:INDEX(Soja!$E42:$Z42,MIN(AM$6-$E$3,22))),0))-IF($G$2,0,IF((AM$6-$G$3)&lt;1,0,IFERROR(LOOKUP(2,1/(Soja!$E42:INDEX(Soja!$E42:$Z42,MIN(AM$6-$G$3,22))&lt;&gt;""),Soja!$E42:INDEX(Soja!$E42:$Z42,MIN(AM$6-$G$3,22))),0)))))</f>
        <v>0</v>
      </c>
      <c r="AN44" s="27" t="n">
        <f aca="false">IF(COUNT(Soja!$E42:$Z42)=0,0,MAX(0,IF((AN$6-$E$3)&lt;1,0,IFERROR(LOOKUP(2,1/(Soja!$E42:INDEX(Soja!$E42:$Z42,MIN(AN$6-$E$3,22))&lt;&gt;""),Soja!$E42:INDEX(Soja!$E42:$Z42,MIN(AN$6-$E$3,22))),0))-IF($G$2,0,IF((AN$6-$G$3)&lt;1,0,IFERROR(LOOKUP(2,1/(Soja!$E42:INDEX(Soja!$E42:$Z42,MIN(AN$6-$G$3,22))&lt;&gt;""),Soja!$E42:INDEX(Soja!$E42:$Z42,MIN(AN$6-$G$3,22))),0)))))</f>
        <v>0</v>
      </c>
      <c r="AO44" s="27" t="n">
        <f aca="false">IF(COUNT(Soja!$E42:$Z42)=0,0,MAX(0,IF((AO$6-$E$3)&lt;1,0,IFERROR(LOOKUP(2,1/(Soja!$E42:INDEX(Soja!$E42:$Z42,MIN(AO$6-$E$3,22))&lt;&gt;""),Soja!$E42:INDEX(Soja!$E42:$Z42,MIN(AO$6-$E$3,22))),0))-IF($G$2,0,IF((AO$6-$G$3)&lt;1,0,IFERROR(LOOKUP(2,1/(Soja!$E42:INDEX(Soja!$E42:$Z42,MIN(AO$6-$G$3,22))&lt;&gt;""),Soja!$E42:INDEX(Soja!$E42:$Z42,MIN(AO$6-$G$3,22))),0)))))</f>
        <v>0</v>
      </c>
      <c r="AP44" s="27" t="n">
        <f aca="false">IF(COUNT(Soja!$E42:$Z42)=0,0,MAX(0,IF((AP$6-$E$3)&lt;1,0,IFERROR(LOOKUP(2,1/(Soja!$E42:INDEX(Soja!$E42:$Z42,MIN(AP$6-$E$3,22))&lt;&gt;""),Soja!$E42:INDEX(Soja!$E42:$Z42,MIN(AP$6-$E$3,22))),0))-IF($G$2,0,IF((AP$6-$G$3)&lt;1,0,IFERROR(LOOKUP(2,1/(Soja!$E42:INDEX(Soja!$E42:$Z42,MIN(AP$6-$G$3,22))&lt;&gt;""),Soja!$E42:INDEX(Soja!$E42:$Z42,MIN(AP$6-$G$3,22))),0)))))</f>
        <v>0</v>
      </c>
      <c r="AQ44" s="27" t="n">
        <f aca="false">IF(COUNT(Soja!$E42:$Z42)=0,0,MAX(0,IF((AQ$6-$E$3)&lt;1,0,IFERROR(LOOKUP(2,1/(Soja!$E42:INDEX(Soja!$E42:$Z42,MIN(AQ$6-$E$3,22))&lt;&gt;""),Soja!$E42:INDEX(Soja!$E42:$Z42,MIN(AQ$6-$E$3,22))),0))-IF($G$2,0,IF((AQ$6-$G$3)&lt;1,0,IFERROR(LOOKUP(2,1/(Soja!$E42:INDEX(Soja!$E42:$Z42,MIN(AQ$6-$G$3,22))&lt;&gt;""),Soja!$E42:INDEX(Soja!$E42:$Z42,MIN(AQ$6-$G$3,22))),0)))))</f>
        <v>0</v>
      </c>
      <c r="AR44" s="27" t="n">
        <f aca="false">IF(COUNT(Soja!$E42:$Z42)=0,0,MAX(0,IF((AR$6-$E$3)&lt;1,0,IFERROR(LOOKUP(2,1/(Soja!$E42:INDEX(Soja!$E42:$Z42,MIN(AR$6-$E$3,22))&lt;&gt;""),Soja!$E42:INDEX(Soja!$E42:$Z42,MIN(AR$6-$E$3,22))),0))-IF($G$2,0,IF((AR$6-$G$3)&lt;1,0,IFERROR(LOOKUP(2,1/(Soja!$E42:INDEX(Soja!$E42:$Z42,MIN(AR$6-$G$3,22))&lt;&gt;""),Soja!$E42:INDEX(Soja!$E42:$Z42,MIN(AR$6-$G$3,22))),0)))))</f>
        <v>0</v>
      </c>
      <c r="AS44" s="27" t="n">
        <f aca="false">IF(COUNT(Soja!$E42:$Z42)=0,0,MAX(0,IF((AS$6-$E$3)&lt;1,0,IFERROR(LOOKUP(2,1/(Soja!$E42:INDEX(Soja!$E42:$Z42,MIN(AS$6-$E$3,22))&lt;&gt;""),Soja!$E42:INDEX(Soja!$E42:$Z42,MIN(AS$6-$E$3,22))),0))-IF($G$2,0,IF((AS$6-$G$3)&lt;1,0,IFERROR(LOOKUP(2,1/(Soja!$E42:INDEX(Soja!$E42:$Z42,MIN(AS$6-$G$3,22))&lt;&gt;""),Soja!$E42:INDEX(Soja!$E42:$Z42,MIN(AS$6-$G$3,22))),0)))))</f>
        <v>0</v>
      </c>
      <c r="AT44" s="27" t="n">
        <f aca="false">IF(COUNT(Soja!$E42:$Z42)=0,0,MAX(0,IF((AT$6-$E$3)&lt;1,0,IFERROR(LOOKUP(2,1/(Soja!$E42:INDEX(Soja!$E42:$Z42,MIN(AT$6-$E$3,22))&lt;&gt;""),Soja!$E42:INDEX(Soja!$E42:$Z42,MIN(AT$6-$E$3,22))),0))-IF($G$2,0,IF((AT$6-$G$3)&lt;1,0,IFERROR(LOOKUP(2,1/(Soja!$E42:INDEX(Soja!$E42:$Z42,MIN(AT$6-$G$3,22))&lt;&gt;""),Soja!$E42:INDEX(Soja!$E42:$Z42,MIN(AT$6-$G$3,22))),0)))))</f>
        <v>0</v>
      </c>
      <c r="AU44" s="27" t="n">
        <f aca="false">IF(COUNT(Soja!$E42:$Z42)=0,0,MAX(0,IF((AU$6-$E$3)&lt;1,0,IFERROR(LOOKUP(2,1/(Soja!$E42:INDEX(Soja!$E42:$Z42,MIN(AU$6-$E$3,22))&lt;&gt;""),Soja!$E42:INDEX(Soja!$E42:$Z42,MIN(AU$6-$E$3,22))),0))-IF($G$2,0,IF((AU$6-$G$3)&lt;1,0,IFERROR(LOOKUP(2,1/(Soja!$E42:INDEX(Soja!$E42:$Z42,MIN(AU$6-$G$3,22))&lt;&gt;""),Soja!$E42:INDEX(Soja!$E42:$Z42,MIN(AU$6-$G$3,22))),0)))))</f>
        <v>0</v>
      </c>
      <c r="AV44" s="27" t="n">
        <f aca="false">IF(COUNT(Soja!$E42:$Z42)=0,0,MAX(0,IF((AV$6-$E$3)&lt;1,0,IFERROR(LOOKUP(2,1/(Soja!$E42:INDEX(Soja!$E42:$Z42,MIN(AV$6-$E$3,22))&lt;&gt;""),Soja!$E42:INDEX(Soja!$E42:$Z42,MIN(AV$6-$E$3,22))),0))-IF($G$2,0,IF((AV$6-$G$3)&lt;1,0,IFERROR(LOOKUP(2,1/(Soja!$E42:INDEX(Soja!$E42:$Z42,MIN(AV$6-$G$3,22))&lt;&gt;""),Soja!$E42:INDEX(Soja!$E42:$Z42,MIN(AV$6-$G$3,22))),0)))))</f>
        <v>0</v>
      </c>
      <c r="AW44" s="27" t="n">
        <f aca="false">IF(COUNT(Soja!$E42:$Z42)=0,0,MAX(0,IF((AW$6-$E$3)&lt;1,0,IFERROR(LOOKUP(2,1/(Soja!$E42:INDEX(Soja!$E42:$Z42,MIN(AW$6-$E$3,22))&lt;&gt;""),Soja!$E42:INDEX(Soja!$E42:$Z42,MIN(AW$6-$E$3,22))),0))-IF($G$2,0,IF((AW$6-$G$3)&lt;1,0,IFERROR(LOOKUP(2,1/(Soja!$E42:INDEX(Soja!$E42:$Z42,MIN(AW$6-$G$3,22))&lt;&gt;""),Soja!$E42:INDEX(Soja!$E42:$Z42,MIN(AW$6-$G$3,22))),0)))))</f>
        <v>0</v>
      </c>
      <c r="AX44" s="27" t="n">
        <f aca="false">IF(COUNT(Soja!$E42:$Z42)=0,0,MAX(0,IF((AX$6-$E$3)&lt;1,0,IFERROR(LOOKUP(2,1/(Soja!$E42:INDEX(Soja!$E42:$Z42,MIN(AX$6-$E$3,22))&lt;&gt;""),Soja!$E42:INDEX(Soja!$E42:$Z42,MIN(AX$6-$E$3,22))),0))-IF($G$2,0,IF((AX$6-$G$3)&lt;1,0,IFERROR(LOOKUP(2,1/(Soja!$E42:INDEX(Soja!$E42:$Z42,MIN(AX$6-$G$3,22))&lt;&gt;""),Soja!$E42:INDEX(Soja!$E42:$Z42,MIN(AX$6-$G$3,22))),0)))))</f>
        <v>0</v>
      </c>
      <c r="AY44" s="27" t="n">
        <f aca="false">IF(COUNT(Soja!$E42:$Z42)=0,0,MAX(0,IF((AY$6-$E$3)&lt;1,0,IFERROR(LOOKUP(2,1/(Soja!$E42:INDEX(Soja!$E42:$Z42,MIN(AY$6-$E$3,22))&lt;&gt;""),Soja!$E42:INDEX(Soja!$E42:$Z42,MIN(AY$6-$E$3,22))),0))-IF($G$2,0,IF((AY$6-$G$3)&lt;1,0,IFERROR(LOOKUP(2,1/(Soja!$E42:INDEX(Soja!$E42:$Z42,MIN(AY$6-$G$3,22))&lt;&gt;""),Soja!$E42:INDEX(Soja!$E42:$Z42,MIN(AY$6-$G$3,22))),0)))))</f>
        <v>0</v>
      </c>
      <c r="AZ44" s="27" t="n">
        <f aca="false">IF(COUNT(Soja!$E42:$Z42)=0,0,MAX(0,IF((AZ$6-$E$3)&lt;1,0,IFERROR(LOOKUP(2,1/(Soja!$E42:INDEX(Soja!$E42:$Z42,MIN(AZ$6-$E$3,22))&lt;&gt;""),Soja!$E42:INDEX(Soja!$E42:$Z42,MIN(AZ$6-$E$3,22))),0))-IF($G$2,0,IF((AZ$6-$G$3)&lt;1,0,IFERROR(LOOKUP(2,1/(Soja!$E42:INDEX(Soja!$E42:$Z42,MIN(AZ$6-$G$3,22))&lt;&gt;""),Soja!$E42:INDEX(Soja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IF(COUNT(Soja!$E43:$Z43)&gt;0,N(Soja!$D43),0)</f>
        <v>0</v>
      </c>
      <c r="E45" s="27" t="n">
        <f aca="false">IF(COUNT(Soja!$E43:$Z43)=0,0,MAX(0,IF((E$6-$E$3)&lt;1,0,IFERROR(LOOKUP(2,1/(Soja!$E43:INDEX(Soja!$E43:$Z43,MIN(E$6-$E$3,22))&lt;&gt;""),Soja!$E43:INDEX(Soja!$E43:$Z43,MIN(E$6-$E$3,22))),0))-IF($G$2,0,IF((E$6-$G$3)&lt;1,0,IFERROR(LOOKUP(2,1/(Soja!$E43:INDEX(Soja!$E43:$Z43,MIN(E$6-$G$3,22))&lt;&gt;""),Soja!$E43:INDEX(Soja!$E43:$Z43,MIN(E$6-$G$3,22))),0)))))</f>
        <v>0</v>
      </c>
      <c r="F45" s="27" t="n">
        <f aca="false">IF(COUNT(Soja!$E43:$Z43)=0,0,MAX(0,IF((F$6-$E$3)&lt;1,0,IFERROR(LOOKUP(2,1/(Soja!$E43:INDEX(Soja!$E43:$Z43,MIN(F$6-$E$3,22))&lt;&gt;""),Soja!$E43:INDEX(Soja!$E43:$Z43,MIN(F$6-$E$3,22))),0))-IF($G$2,0,IF((F$6-$G$3)&lt;1,0,IFERROR(LOOKUP(2,1/(Soja!$E43:INDEX(Soja!$E43:$Z43,MIN(F$6-$G$3,22))&lt;&gt;""),Soja!$E43:INDEX(Soja!$E43:$Z43,MIN(F$6-$G$3,22))),0)))))</f>
        <v>0</v>
      </c>
      <c r="G45" s="27" t="n">
        <f aca="false">IF(COUNT(Soja!$E43:$Z43)=0,0,MAX(0,IF((G$6-$E$3)&lt;1,0,IFERROR(LOOKUP(2,1/(Soja!$E43:INDEX(Soja!$E43:$Z43,MIN(G$6-$E$3,22))&lt;&gt;""),Soja!$E43:INDEX(Soja!$E43:$Z43,MIN(G$6-$E$3,22))),0))-IF($G$2,0,IF((G$6-$G$3)&lt;1,0,IFERROR(LOOKUP(2,1/(Soja!$E43:INDEX(Soja!$E43:$Z43,MIN(G$6-$G$3,22))&lt;&gt;""),Soja!$E43:INDEX(Soja!$E43:$Z43,MIN(G$6-$G$3,22))),0)))))</f>
        <v>0</v>
      </c>
      <c r="H45" s="27" t="n">
        <f aca="false">IF(COUNT(Soja!$E43:$Z43)=0,0,MAX(0,IF((H$6-$E$3)&lt;1,0,IFERROR(LOOKUP(2,1/(Soja!$E43:INDEX(Soja!$E43:$Z43,MIN(H$6-$E$3,22))&lt;&gt;""),Soja!$E43:INDEX(Soja!$E43:$Z43,MIN(H$6-$E$3,22))),0))-IF($G$2,0,IF((H$6-$G$3)&lt;1,0,IFERROR(LOOKUP(2,1/(Soja!$E43:INDEX(Soja!$E43:$Z43,MIN(H$6-$G$3,22))&lt;&gt;""),Soja!$E43:INDEX(Soja!$E43:$Z43,MIN(H$6-$G$3,22))),0)))))</f>
        <v>0</v>
      </c>
      <c r="I45" s="27" t="n">
        <f aca="false">IF(COUNT(Soja!$E43:$Z43)=0,0,MAX(0,IF((I$6-$E$3)&lt;1,0,IFERROR(LOOKUP(2,1/(Soja!$E43:INDEX(Soja!$E43:$Z43,MIN(I$6-$E$3,22))&lt;&gt;""),Soja!$E43:INDEX(Soja!$E43:$Z43,MIN(I$6-$E$3,22))),0))-IF($G$2,0,IF((I$6-$G$3)&lt;1,0,IFERROR(LOOKUP(2,1/(Soja!$E43:INDEX(Soja!$E43:$Z43,MIN(I$6-$G$3,22))&lt;&gt;""),Soja!$E43:INDEX(Soja!$E43:$Z43,MIN(I$6-$G$3,22))),0)))))</f>
        <v>0</v>
      </c>
      <c r="J45" s="27" t="n">
        <f aca="false">IF(COUNT(Soja!$E43:$Z43)=0,0,MAX(0,IF((J$6-$E$3)&lt;1,0,IFERROR(LOOKUP(2,1/(Soja!$E43:INDEX(Soja!$E43:$Z43,MIN(J$6-$E$3,22))&lt;&gt;""),Soja!$E43:INDEX(Soja!$E43:$Z43,MIN(J$6-$E$3,22))),0))-IF($G$2,0,IF((J$6-$G$3)&lt;1,0,IFERROR(LOOKUP(2,1/(Soja!$E43:INDEX(Soja!$E43:$Z43,MIN(J$6-$G$3,22))&lt;&gt;""),Soja!$E43:INDEX(Soja!$E43:$Z43,MIN(J$6-$G$3,22))),0)))))</f>
        <v>0</v>
      </c>
      <c r="K45" s="27" t="n">
        <f aca="false">IF(COUNT(Soja!$E43:$Z43)=0,0,MAX(0,IF((K$6-$E$3)&lt;1,0,IFERROR(LOOKUP(2,1/(Soja!$E43:INDEX(Soja!$E43:$Z43,MIN(K$6-$E$3,22))&lt;&gt;""),Soja!$E43:INDEX(Soja!$E43:$Z43,MIN(K$6-$E$3,22))),0))-IF($G$2,0,IF((K$6-$G$3)&lt;1,0,IFERROR(LOOKUP(2,1/(Soja!$E43:INDEX(Soja!$E43:$Z43,MIN(K$6-$G$3,22))&lt;&gt;""),Soja!$E43:INDEX(Soja!$E43:$Z43,MIN(K$6-$G$3,22))),0)))))</f>
        <v>0</v>
      </c>
      <c r="L45" s="27" t="n">
        <f aca="false">IF(COUNT(Soja!$E43:$Z43)=0,0,MAX(0,IF((L$6-$E$3)&lt;1,0,IFERROR(LOOKUP(2,1/(Soja!$E43:INDEX(Soja!$E43:$Z43,MIN(L$6-$E$3,22))&lt;&gt;""),Soja!$E43:INDEX(Soja!$E43:$Z43,MIN(L$6-$E$3,22))),0))-IF($G$2,0,IF((L$6-$G$3)&lt;1,0,IFERROR(LOOKUP(2,1/(Soja!$E43:INDEX(Soja!$E43:$Z43,MIN(L$6-$G$3,22))&lt;&gt;""),Soja!$E43:INDEX(Soja!$E43:$Z43,MIN(L$6-$G$3,22))),0)))))</f>
        <v>0</v>
      </c>
      <c r="M45" s="27" t="n">
        <f aca="false">IF(COUNT(Soja!$E43:$Z43)=0,0,MAX(0,IF((M$6-$E$3)&lt;1,0,IFERROR(LOOKUP(2,1/(Soja!$E43:INDEX(Soja!$E43:$Z43,MIN(M$6-$E$3,22))&lt;&gt;""),Soja!$E43:INDEX(Soja!$E43:$Z43,MIN(M$6-$E$3,22))),0))-IF($G$2,0,IF((M$6-$G$3)&lt;1,0,IFERROR(LOOKUP(2,1/(Soja!$E43:INDEX(Soja!$E43:$Z43,MIN(M$6-$G$3,22))&lt;&gt;""),Soja!$E43:INDEX(Soja!$E43:$Z43,MIN(M$6-$G$3,22))),0)))))</f>
        <v>0</v>
      </c>
      <c r="N45" s="27" t="n">
        <f aca="false">IF(COUNT(Soja!$E43:$Z43)=0,0,MAX(0,IF((N$6-$E$3)&lt;1,0,IFERROR(LOOKUP(2,1/(Soja!$E43:INDEX(Soja!$E43:$Z43,MIN(N$6-$E$3,22))&lt;&gt;""),Soja!$E43:INDEX(Soja!$E43:$Z43,MIN(N$6-$E$3,22))),0))-IF($G$2,0,IF((N$6-$G$3)&lt;1,0,IFERROR(LOOKUP(2,1/(Soja!$E43:INDEX(Soja!$E43:$Z43,MIN(N$6-$G$3,22))&lt;&gt;""),Soja!$E43:INDEX(Soja!$E43:$Z43,MIN(N$6-$G$3,22))),0)))))</f>
        <v>0</v>
      </c>
      <c r="O45" s="27" t="n">
        <f aca="false">IF(COUNT(Soja!$E43:$Z43)=0,0,MAX(0,IF((O$6-$E$3)&lt;1,0,IFERROR(LOOKUP(2,1/(Soja!$E43:INDEX(Soja!$E43:$Z43,MIN(O$6-$E$3,22))&lt;&gt;""),Soja!$E43:INDEX(Soja!$E43:$Z43,MIN(O$6-$E$3,22))),0))-IF($G$2,0,IF((O$6-$G$3)&lt;1,0,IFERROR(LOOKUP(2,1/(Soja!$E43:INDEX(Soja!$E43:$Z43,MIN(O$6-$G$3,22))&lt;&gt;""),Soja!$E43:INDEX(Soja!$E43:$Z43,MIN(O$6-$G$3,22))),0)))))</f>
        <v>0</v>
      </c>
      <c r="P45" s="27" t="n">
        <f aca="false">IF(COUNT(Soja!$E43:$Z43)=0,0,MAX(0,IF((P$6-$E$3)&lt;1,0,IFERROR(LOOKUP(2,1/(Soja!$E43:INDEX(Soja!$E43:$Z43,MIN(P$6-$E$3,22))&lt;&gt;""),Soja!$E43:INDEX(Soja!$E43:$Z43,MIN(P$6-$E$3,22))),0))-IF($G$2,0,IF((P$6-$G$3)&lt;1,0,IFERROR(LOOKUP(2,1/(Soja!$E43:INDEX(Soja!$E43:$Z43,MIN(P$6-$G$3,22))&lt;&gt;""),Soja!$E43:INDEX(Soja!$E43:$Z43,MIN(P$6-$G$3,22))),0)))))</f>
        <v>0</v>
      </c>
      <c r="Q45" s="27" t="n">
        <f aca="false">IF(COUNT(Soja!$E43:$Z43)=0,0,MAX(0,IF((Q$6-$E$3)&lt;1,0,IFERROR(LOOKUP(2,1/(Soja!$E43:INDEX(Soja!$E43:$Z43,MIN(Q$6-$E$3,22))&lt;&gt;""),Soja!$E43:INDEX(Soja!$E43:$Z43,MIN(Q$6-$E$3,22))),0))-IF($G$2,0,IF((Q$6-$G$3)&lt;1,0,IFERROR(LOOKUP(2,1/(Soja!$E43:INDEX(Soja!$E43:$Z43,MIN(Q$6-$G$3,22))&lt;&gt;""),Soja!$E43:INDEX(Soja!$E43:$Z43,MIN(Q$6-$G$3,22))),0)))))</f>
        <v>0</v>
      </c>
      <c r="R45" s="27" t="n">
        <f aca="false">IF(COUNT(Soja!$E43:$Z43)=0,0,MAX(0,IF((R$6-$E$3)&lt;1,0,IFERROR(LOOKUP(2,1/(Soja!$E43:INDEX(Soja!$E43:$Z43,MIN(R$6-$E$3,22))&lt;&gt;""),Soja!$E43:INDEX(Soja!$E43:$Z43,MIN(R$6-$E$3,22))),0))-IF($G$2,0,IF((R$6-$G$3)&lt;1,0,IFERROR(LOOKUP(2,1/(Soja!$E43:INDEX(Soja!$E43:$Z43,MIN(R$6-$G$3,22))&lt;&gt;""),Soja!$E43:INDEX(Soja!$E43:$Z43,MIN(R$6-$G$3,22))),0)))))</f>
        <v>0</v>
      </c>
      <c r="S45" s="27" t="n">
        <f aca="false">IF(COUNT(Soja!$E43:$Z43)=0,0,MAX(0,IF((S$6-$E$3)&lt;1,0,IFERROR(LOOKUP(2,1/(Soja!$E43:INDEX(Soja!$E43:$Z43,MIN(S$6-$E$3,22))&lt;&gt;""),Soja!$E43:INDEX(Soja!$E43:$Z43,MIN(S$6-$E$3,22))),0))-IF($G$2,0,IF((S$6-$G$3)&lt;1,0,IFERROR(LOOKUP(2,1/(Soja!$E43:INDEX(Soja!$E43:$Z43,MIN(S$6-$G$3,22))&lt;&gt;""),Soja!$E43:INDEX(Soja!$E43:$Z43,MIN(S$6-$G$3,22))),0)))))</f>
        <v>0</v>
      </c>
      <c r="T45" s="27" t="n">
        <f aca="false">IF(COUNT(Soja!$E43:$Z43)=0,0,MAX(0,IF((T$6-$E$3)&lt;1,0,IFERROR(LOOKUP(2,1/(Soja!$E43:INDEX(Soja!$E43:$Z43,MIN(T$6-$E$3,22))&lt;&gt;""),Soja!$E43:INDEX(Soja!$E43:$Z43,MIN(T$6-$E$3,22))),0))-IF($G$2,0,IF((T$6-$G$3)&lt;1,0,IFERROR(LOOKUP(2,1/(Soja!$E43:INDEX(Soja!$E43:$Z43,MIN(T$6-$G$3,22))&lt;&gt;""),Soja!$E43:INDEX(Soja!$E43:$Z43,MIN(T$6-$G$3,22))),0)))))</f>
        <v>0</v>
      </c>
      <c r="U45" s="27" t="n">
        <f aca="false">IF(COUNT(Soja!$E43:$Z43)=0,0,MAX(0,IF((U$6-$E$3)&lt;1,0,IFERROR(LOOKUP(2,1/(Soja!$E43:INDEX(Soja!$E43:$Z43,MIN(U$6-$E$3,22))&lt;&gt;""),Soja!$E43:INDEX(Soja!$E43:$Z43,MIN(U$6-$E$3,22))),0))-IF($G$2,0,IF((U$6-$G$3)&lt;1,0,IFERROR(LOOKUP(2,1/(Soja!$E43:INDEX(Soja!$E43:$Z43,MIN(U$6-$G$3,22))&lt;&gt;""),Soja!$E43:INDEX(Soja!$E43:$Z43,MIN(U$6-$G$3,22))),0)))))</f>
        <v>0</v>
      </c>
      <c r="V45" s="27" t="n">
        <f aca="false">IF(COUNT(Soja!$E43:$Z43)=0,0,MAX(0,IF((V$6-$E$3)&lt;1,0,IFERROR(LOOKUP(2,1/(Soja!$E43:INDEX(Soja!$E43:$Z43,MIN(V$6-$E$3,22))&lt;&gt;""),Soja!$E43:INDEX(Soja!$E43:$Z43,MIN(V$6-$E$3,22))),0))-IF($G$2,0,IF((V$6-$G$3)&lt;1,0,IFERROR(LOOKUP(2,1/(Soja!$E43:INDEX(Soja!$E43:$Z43,MIN(V$6-$G$3,22))&lt;&gt;""),Soja!$E43:INDEX(Soja!$E43:$Z43,MIN(V$6-$G$3,22))),0)))))</f>
        <v>0</v>
      </c>
      <c r="W45" s="27" t="n">
        <f aca="false">IF(COUNT(Soja!$E43:$Z43)=0,0,MAX(0,IF((W$6-$E$3)&lt;1,0,IFERROR(LOOKUP(2,1/(Soja!$E43:INDEX(Soja!$E43:$Z43,MIN(W$6-$E$3,22))&lt;&gt;""),Soja!$E43:INDEX(Soja!$E43:$Z43,MIN(W$6-$E$3,22))),0))-IF($G$2,0,IF((W$6-$G$3)&lt;1,0,IFERROR(LOOKUP(2,1/(Soja!$E43:INDEX(Soja!$E43:$Z43,MIN(W$6-$G$3,22))&lt;&gt;""),Soja!$E43:INDEX(Soja!$E43:$Z43,MIN(W$6-$G$3,22))),0)))))</f>
        <v>0</v>
      </c>
      <c r="X45" s="27" t="n">
        <f aca="false">IF(COUNT(Soja!$E43:$Z43)=0,0,MAX(0,IF((X$6-$E$3)&lt;1,0,IFERROR(LOOKUP(2,1/(Soja!$E43:INDEX(Soja!$E43:$Z43,MIN(X$6-$E$3,22))&lt;&gt;""),Soja!$E43:INDEX(Soja!$E43:$Z43,MIN(X$6-$E$3,22))),0))-IF($G$2,0,IF((X$6-$G$3)&lt;1,0,IFERROR(LOOKUP(2,1/(Soja!$E43:INDEX(Soja!$E43:$Z43,MIN(X$6-$G$3,22))&lt;&gt;""),Soja!$E43:INDEX(Soja!$E43:$Z43,MIN(X$6-$G$3,22))),0)))))</f>
        <v>0</v>
      </c>
      <c r="Y45" s="27" t="n">
        <f aca="false">IF(COUNT(Soja!$E43:$Z43)=0,0,MAX(0,IF((Y$6-$E$3)&lt;1,0,IFERROR(LOOKUP(2,1/(Soja!$E43:INDEX(Soja!$E43:$Z43,MIN(Y$6-$E$3,22))&lt;&gt;""),Soja!$E43:INDEX(Soja!$E43:$Z43,MIN(Y$6-$E$3,22))),0))-IF($G$2,0,IF((Y$6-$G$3)&lt;1,0,IFERROR(LOOKUP(2,1/(Soja!$E43:INDEX(Soja!$E43:$Z43,MIN(Y$6-$G$3,22))&lt;&gt;""),Soja!$E43:INDEX(Soja!$E43:$Z43,MIN(Y$6-$G$3,22))),0)))))</f>
        <v>0</v>
      </c>
      <c r="Z45" s="27" t="n">
        <f aca="false">IF(COUNT(Soja!$E43:$Z43)=0,0,MAX(0,IF((Z$6-$E$3)&lt;1,0,IFERROR(LOOKUP(2,1/(Soja!$E43:INDEX(Soja!$E43:$Z43,MIN(Z$6-$E$3,22))&lt;&gt;""),Soja!$E43:INDEX(Soja!$E43:$Z43,MIN(Z$6-$E$3,22))),0))-IF($G$2,0,IF((Z$6-$G$3)&lt;1,0,IFERROR(LOOKUP(2,1/(Soja!$E43:INDEX(Soja!$E43:$Z43,MIN(Z$6-$G$3,22))&lt;&gt;""),Soja!$E43:INDEX(Soja!$E43:$Z43,MIN(Z$6-$G$3,22))),0)))))</f>
        <v>0</v>
      </c>
      <c r="AA45" s="27" t="n">
        <f aca="false">IF(COUNT(Soja!$E43:$Z43)=0,0,MAX(0,IF((AA$6-$E$3)&lt;1,0,IFERROR(LOOKUP(2,1/(Soja!$E43:INDEX(Soja!$E43:$Z43,MIN(AA$6-$E$3,22))&lt;&gt;""),Soja!$E43:INDEX(Soja!$E43:$Z43,MIN(AA$6-$E$3,22))),0))-IF($G$2,0,IF((AA$6-$G$3)&lt;1,0,IFERROR(LOOKUP(2,1/(Soja!$E43:INDEX(Soja!$E43:$Z43,MIN(AA$6-$G$3,22))&lt;&gt;""),Soja!$E43:INDEX(Soja!$E43:$Z43,MIN(AA$6-$G$3,22))),0)))))</f>
        <v>0</v>
      </c>
      <c r="AB45" s="27" t="n">
        <f aca="false">IF(COUNT(Soja!$E43:$Z43)=0,0,MAX(0,IF((AB$6-$E$3)&lt;1,0,IFERROR(LOOKUP(2,1/(Soja!$E43:INDEX(Soja!$E43:$Z43,MIN(AB$6-$E$3,22))&lt;&gt;""),Soja!$E43:INDEX(Soja!$E43:$Z43,MIN(AB$6-$E$3,22))),0))-IF($G$2,0,IF((AB$6-$G$3)&lt;1,0,IFERROR(LOOKUP(2,1/(Soja!$E43:INDEX(Soja!$E43:$Z43,MIN(AB$6-$G$3,22))&lt;&gt;""),Soja!$E43:INDEX(Soja!$E43:$Z43,MIN(AB$6-$G$3,22))),0)))))</f>
        <v>0</v>
      </c>
      <c r="AC45" s="27" t="n">
        <f aca="false">IF(COUNT(Soja!$E43:$Z43)=0,0,MAX(0,IF((AC$6-$E$3)&lt;1,0,IFERROR(LOOKUP(2,1/(Soja!$E43:INDEX(Soja!$E43:$Z43,MIN(AC$6-$E$3,22))&lt;&gt;""),Soja!$E43:INDEX(Soja!$E43:$Z43,MIN(AC$6-$E$3,22))),0))-IF($G$2,0,IF((AC$6-$G$3)&lt;1,0,IFERROR(LOOKUP(2,1/(Soja!$E43:INDEX(Soja!$E43:$Z43,MIN(AC$6-$G$3,22))&lt;&gt;""),Soja!$E43:INDEX(Soja!$E43:$Z43,MIN(AC$6-$G$3,22))),0)))))</f>
        <v>0</v>
      </c>
      <c r="AD45" s="27" t="n">
        <f aca="false">IF(COUNT(Soja!$E43:$Z43)=0,0,MAX(0,IF((AD$6-$E$3)&lt;1,0,IFERROR(LOOKUP(2,1/(Soja!$E43:INDEX(Soja!$E43:$Z43,MIN(AD$6-$E$3,22))&lt;&gt;""),Soja!$E43:INDEX(Soja!$E43:$Z43,MIN(AD$6-$E$3,22))),0))-IF($G$2,0,IF((AD$6-$G$3)&lt;1,0,IFERROR(LOOKUP(2,1/(Soja!$E43:INDEX(Soja!$E43:$Z43,MIN(AD$6-$G$3,22))&lt;&gt;""),Soja!$E43:INDEX(Soja!$E43:$Z43,MIN(AD$6-$G$3,22))),0)))))</f>
        <v>0</v>
      </c>
      <c r="AE45" s="27" t="n">
        <f aca="false">IF(COUNT(Soja!$E43:$Z43)=0,0,MAX(0,IF((AE$6-$E$3)&lt;1,0,IFERROR(LOOKUP(2,1/(Soja!$E43:INDEX(Soja!$E43:$Z43,MIN(AE$6-$E$3,22))&lt;&gt;""),Soja!$E43:INDEX(Soja!$E43:$Z43,MIN(AE$6-$E$3,22))),0))-IF($G$2,0,IF((AE$6-$G$3)&lt;1,0,IFERROR(LOOKUP(2,1/(Soja!$E43:INDEX(Soja!$E43:$Z43,MIN(AE$6-$G$3,22))&lt;&gt;""),Soja!$E43:INDEX(Soja!$E43:$Z43,MIN(AE$6-$G$3,22))),0)))))</f>
        <v>0</v>
      </c>
      <c r="AF45" s="27" t="n">
        <f aca="false">IF(COUNT(Soja!$E43:$Z43)=0,0,MAX(0,IF((AF$6-$E$3)&lt;1,0,IFERROR(LOOKUP(2,1/(Soja!$E43:INDEX(Soja!$E43:$Z43,MIN(AF$6-$E$3,22))&lt;&gt;""),Soja!$E43:INDEX(Soja!$E43:$Z43,MIN(AF$6-$E$3,22))),0))-IF($G$2,0,IF((AF$6-$G$3)&lt;1,0,IFERROR(LOOKUP(2,1/(Soja!$E43:INDEX(Soja!$E43:$Z43,MIN(AF$6-$G$3,22))&lt;&gt;""),Soja!$E43:INDEX(Soja!$E43:$Z43,MIN(AF$6-$G$3,22))),0)))))</f>
        <v>0</v>
      </c>
      <c r="AG45" s="27" t="n">
        <f aca="false">IF(COUNT(Soja!$E43:$Z43)=0,0,MAX(0,IF((AG$6-$E$3)&lt;1,0,IFERROR(LOOKUP(2,1/(Soja!$E43:INDEX(Soja!$E43:$Z43,MIN(AG$6-$E$3,22))&lt;&gt;""),Soja!$E43:INDEX(Soja!$E43:$Z43,MIN(AG$6-$E$3,22))),0))-IF($G$2,0,IF((AG$6-$G$3)&lt;1,0,IFERROR(LOOKUP(2,1/(Soja!$E43:INDEX(Soja!$E43:$Z43,MIN(AG$6-$G$3,22))&lt;&gt;""),Soja!$E43:INDEX(Soja!$E43:$Z43,MIN(AG$6-$G$3,22))),0)))))</f>
        <v>0</v>
      </c>
      <c r="AH45" s="27" t="n">
        <f aca="false">IF(COUNT(Soja!$E43:$Z43)=0,0,MAX(0,IF((AH$6-$E$3)&lt;1,0,IFERROR(LOOKUP(2,1/(Soja!$E43:INDEX(Soja!$E43:$Z43,MIN(AH$6-$E$3,22))&lt;&gt;""),Soja!$E43:INDEX(Soja!$E43:$Z43,MIN(AH$6-$E$3,22))),0))-IF($G$2,0,IF((AH$6-$G$3)&lt;1,0,IFERROR(LOOKUP(2,1/(Soja!$E43:INDEX(Soja!$E43:$Z43,MIN(AH$6-$G$3,22))&lt;&gt;""),Soja!$E43:INDEX(Soja!$E43:$Z43,MIN(AH$6-$G$3,22))),0)))))</f>
        <v>0</v>
      </c>
      <c r="AI45" s="27" t="n">
        <f aca="false">IF(COUNT(Soja!$E43:$Z43)=0,0,MAX(0,IF((AI$6-$E$3)&lt;1,0,IFERROR(LOOKUP(2,1/(Soja!$E43:INDEX(Soja!$E43:$Z43,MIN(AI$6-$E$3,22))&lt;&gt;""),Soja!$E43:INDEX(Soja!$E43:$Z43,MIN(AI$6-$E$3,22))),0))-IF($G$2,0,IF((AI$6-$G$3)&lt;1,0,IFERROR(LOOKUP(2,1/(Soja!$E43:INDEX(Soja!$E43:$Z43,MIN(AI$6-$G$3,22))&lt;&gt;""),Soja!$E43:INDEX(Soja!$E43:$Z43,MIN(AI$6-$G$3,22))),0)))))</f>
        <v>0</v>
      </c>
      <c r="AJ45" s="27" t="n">
        <f aca="false">IF(COUNT(Soja!$E43:$Z43)=0,0,MAX(0,IF((AJ$6-$E$3)&lt;1,0,IFERROR(LOOKUP(2,1/(Soja!$E43:INDEX(Soja!$E43:$Z43,MIN(AJ$6-$E$3,22))&lt;&gt;""),Soja!$E43:INDEX(Soja!$E43:$Z43,MIN(AJ$6-$E$3,22))),0))-IF($G$2,0,IF((AJ$6-$G$3)&lt;1,0,IFERROR(LOOKUP(2,1/(Soja!$E43:INDEX(Soja!$E43:$Z43,MIN(AJ$6-$G$3,22))&lt;&gt;""),Soja!$E43:INDEX(Soja!$E43:$Z43,MIN(AJ$6-$G$3,22))),0)))))</f>
        <v>0</v>
      </c>
      <c r="AK45" s="27" t="n">
        <f aca="false">IF(COUNT(Soja!$E43:$Z43)=0,0,MAX(0,IF((AK$6-$E$3)&lt;1,0,IFERROR(LOOKUP(2,1/(Soja!$E43:INDEX(Soja!$E43:$Z43,MIN(AK$6-$E$3,22))&lt;&gt;""),Soja!$E43:INDEX(Soja!$E43:$Z43,MIN(AK$6-$E$3,22))),0))-IF($G$2,0,IF((AK$6-$G$3)&lt;1,0,IFERROR(LOOKUP(2,1/(Soja!$E43:INDEX(Soja!$E43:$Z43,MIN(AK$6-$G$3,22))&lt;&gt;""),Soja!$E43:INDEX(Soja!$E43:$Z43,MIN(AK$6-$G$3,22))),0)))))</f>
        <v>0</v>
      </c>
      <c r="AL45" s="27" t="n">
        <f aca="false">IF(COUNT(Soja!$E43:$Z43)=0,0,MAX(0,IF((AL$6-$E$3)&lt;1,0,IFERROR(LOOKUP(2,1/(Soja!$E43:INDEX(Soja!$E43:$Z43,MIN(AL$6-$E$3,22))&lt;&gt;""),Soja!$E43:INDEX(Soja!$E43:$Z43,MIN(AL$6-$E$3,22))),0))-IF($G$2,0,IF((AL$6-$G$3)&lt;1,0,IFERROR(LOOKUP(2,1/(Soja!$E43:INDEX(Soja!$E43:$Z43,MIN(AL$6-$G$3,22))&lt;&gt;""),Soja!$E43:INDEX(Soja!$E43:$Z43,MIN(AL$6-$G$3,22))),0)))))</f>
        <v>0</v>
      </c>
      <c r="AM45" s="27" t="n">
        <f aca="false">IF(COUNT(Soja!$E43:$Z43)=0,0,MAX(0,IF((AM$6-$E$3)&lt;1,0,IFERROR(LOOKUP(2,1/(Soja!$E43:INDEX(Soja!$E43:$Z43,MIN(AM$6-$E$3,22))&lt;&gt;""),Soja!$E43:INDEX(Soja!$E43:$Z43,MIN(AM$6-$E$3,22))),0))-IF($G$2,0,IF((AM$6-$G$3)&lt;1,0,IFERROR(LOOKUP(2,1/(Soja!$E43:INDEX(Soja!$E43:$Z43,MIN(AM$6-$G$3,22))&lt;&gt;""),Soja!$E43:INDEX(Soja!$E43:$Z43,MIN(AM$6-$G$3,22))),0)))))</f>
        <v>0</v>
      </c>
      <c r="AN45" s="27" t="n">
        <f aca="false">IF(COUNT(Soja!$E43:$Z43)=0,0,MAX(0,IF((AN$6-$E$3)&lt;1,0,IFERROR(LOOKUP(2,1/(Soja!$E43:INDEX(Soja!$E43:$Z43,MIN(AN$6-$E$3,22))&lt;&gt;""),Soja!$E43:INDEX(Soja!$E43:$Z43,MIN(AN$6-$E$3,22))),0))-IF($G$2,0,IF((AN$6-$G$3)&lt;1,0,IFERROR(LOOKUP(2,1/(Soja!$E43:INDEX(Soja!$E43:$Z43,MIN(AN$6-$G$3,22))&lt;&gt;""),Soja!$E43:INDEX(Soja!$E43:$Z43,MIN(AN$6-$G$3,22))),0)))))</f>
        <v>0</v>
      </c>
      <c r="AO45" s="27" t="n">
        <f aca="false">IF(COUNT(Soja!$E43:$Z43)=0,0,MAX(0,IF((AO$6-$E$3)&lt;1,0,IFERROR(LOOKUP(2,1/(Soja!$E43:INDEX(Soja!$E43:$Z43,MIN(AO$6-$E$3,22))&lt;&gt;""),Soja!$E43:INDEX(Soja!$E43:$Z43,MIN(AO$6-$E$3,22))),0))-IF($G$2,0,IF((AO$6-$G$3)&lt;1,0,IFERROR(LOOKUP(2,1/(Soja!$E43:INDEX(Soja!$E43:$Z43,MIN(AO$6-$G$3,22))&lt;&gt;""),Soja!$E43:INDEX(Soja!$E43:$Z43,MIN(AO$6-$G$3,22))),0)))))</f>
        <v>0</v>
      </c>
      <c r="AP45" s="27" t="n">
        <f aca="false">IF(COUNT(Soja!$E43:$Z43)=0,0,MAX(0,IF((AP$6-$E$3)&lt;1,0,IFERROR(LOOKUP(2,1/(Soja!$E43:INDEX(Soja!$E43:$Z43,MIN(AP$6-$E$3,22))&lt;&gt;""),Soja!$E43:INDEX(Soja!$E43:$Z43,MIN(AP$6-$E$3,22))),0))-IF($G$2,0,IF((AP$6-$G$3)&lt;1,0,IFERROR(LOOKUP(2,1/(Soja!$E43:INDEX(Soja!$E43:$Z43,MIN(AP$6-$G$3,22))&lt;&gt;""),Soja!$E43:INDEX(Soja!$E43:$Z43,MIN(AP$6-$G$3,22))),0)))))</f>
        <v>0</v>
      </c>
      <c r="AQ45" s="27" t="n">
        <f aca="false">IF(COUNT(Soja!$E43:$Z43)=0,0,MAX(0,IF((AQ$6-$E$3)&lt;1,0,IFERROR(LOOKUP(2,1/(Soja!$E43:INDEX(Soja!$E43:$Z43,MIN(AQ$6-$E$3,22))&lt;&gt;""),Soja!$E43:INDEX(Soja!$E43:$Z43,MIN(AQ$6-$E$3,22))),0))-IF($G$2,0,IF((AQ$6-$G$3)&lt;1,0,IFERROR(LOOKUP(2,1/(Soja!$E43:INDEX(Soja!$E43:$Z43,MIN(AQ$6-$G$3,22))&lt;&gt;""),Soja!$E43:INDEX(Soja!$E43:$Z43,MIN(AQ$6-$G$3,22))),0)))))</f>
        <v>0</v>
      </c>
      <c r="AR45" s="27" t="n">
        <f aca="false">IF(COUNT(Soja!$E43:$Z43)=0,0,MAX(0,IF((AR$6-$E$3)&lt;1,0,IFERROR(LOOKUP(2,1/(Soja!$E43:INDEX(Soja!$E43:$Z43,MIN(AR$6-$E$3,22))&lt;&gt;""),Soja!$E43:INDEX(Soja!$E43:$Z43,MIN(AR$6-$E$3,22))),0))-IF($G$2,0,IF((AR$6-$G$3)&lt;1,0,IFERROR(LOOKUP(2,1/(Soja!$E43:INDEX(Soja!$E43:$Z43,MIN(AR$6-$G$3,22))&lt;&gt;""),Soja!$E43:INDEX(Soja!$E43:$Z43,MIN(AR$6-$G$3,22))),0)))))</f>
        <v>0</v>
      </c>
      <c r="AS45" s="27" t="n">
        <f aca="false">IF(COUNT(Soja!$E43:$Z43)=0,0,MAX(0,IF((AS$6-$E$3)&lt;1,0,IFERROR(LOOKUP(2,1/(Soja!$E43:INDEX(Soja!$E43:$Z43,MIN(AS$6-$E$3,22))&lt;&gt;""),Soja!$E43:INDEX(Soja!$E43:$Z43,MIN(AS$6-$E$3,22))),0))-IF($G$2,0,IF((AS$6-$G$3)&lt;1,0,IFERROR(LOOKUP(2,1/(Soja!$E43:INDEX(Soja!$E43:$Z43,MIN(AS$6-$G$3,22))&lt;&gt;""),Soja!$E43:INDEX(Soja!$E43:$Z43,MIN(AS$6-$G$3,22))),0)))))</f>
        <v>0</v>
      </c>
      <c r="AT45" s="27" t="n">
        <f aca="false">IF(COUNT(Soja!$E43:$Z43)=0,0,MAX(0,IF((AT$6-$E$3)&lt;1,0,IFERROR(LOOKUP(2,1/(Soja!$E43:INDEX(Soja!$E43:$Z43,MIN(AT$6-$E$3,22))&lt;&gt;""),Soja!$E43:INDEX(Soja!$E43:$Z43,MIN(AT$6-$E$3,22))),0))-IF($G$2,0,IF((AT$6-$G$3)&lt;1,0,IFERROR(LOOKUP(2,1/(Soja!$E43:INDEX(Soja!$E43:$Z43,MIN(AT$6-$G$3,22))&lt;&gt;""),Soja!$E43:INDEX(Soja!$E43:$Z43,MIN(AT$6-$G$3,22))),0)))))</f>
        <v>0</v>
      </c>
      <c r="AU45" s="27" t="n">
        <f aca="false">IF(COUNT(Soja!$E43:$Z43)=0,0,MAX(0,IF((AU$6-$E$3)&lt;1,0,IFERROR(LOOKUP(2,1/(Soja!$E43:INDEX(Soja!$E43:$Z43,MIN(AU$6-$E$3,22))&lt;&gt;""),Soja!$E43:INDEX(Soja!$E43:$Z43,MIN(AU$6-$E$3,22))),0))-IF($G$2,0,IF((AU$6-$G$3)&lt;1,0,IFERROR(LOOKUP(2,1/(Soja!$E43:INDEX(Soja!$E43:$Z43,MIN(AU$6-$G$3,22))&lt;&gt;""),Soja!$E43:INDEX(Soja!$E43:$Z43,MIN(AU$6-$G$3,22))),0)))))</f>
        <v>0</v>
      </c>
      <c r="AV45" s="27" t="n">
        <f aca="false">IF(COUNT(Soja!$E43:$Z43)=0,0,MAX(0,IF((AV$6-$E$3)&lt;1,0,IFERROR(LOOKUP(2,1/(Soja!$E43:INDEX(Soja!$E43:$Z43,MIN(AV$6-$E$3,22))&lt;&gt;""),Soja!$E43:INDEX(Soja!$E43:$Z43,MIN(AV$6-$E$3,22))),0))-IF($G$2,0,IF((AV$6-$G$3)&lt;1,0,IFERROR(LOOKUP(2,1/(Soja!$E43:INDEX(Soja!$E43:$Z43,MIN(AV$6-$G$3,22))&lt;&gt;""),Soja!$E43:INDEX(Soja!$E43:$Z43,MIN(AV$6-$G$3,22))),0)))))</f>
        <v>0</v>
      </c>
      <c r="AW45" s="27" t="n">
        <f aca="false">IF(COUNT(Soja!$E43:$Z43)=0,0,MAX(0,IF((AW$6-$E$3)&lt;1,0,IFERROR(LOOKUP(2,1/(Soja!$E43:INDEX(Soja!$E43:$Z43,MIN(AW$6-$E$3,22))&lt;&gt;""),Soja!$E43:INDEX(Soja!$E43:$Z43,MIN(AW$6-$E$3,22))),0))-IF($G$2,0,IF((AW$6-$G$3)&lt;1,0,IFERROR(LOOKUP(2,1/(Soja!$E43:INDEX(Soja!$E43:$Z43,MIN(AW$6-$G$3,22))&lt;&gt;""),Soja!$E43:INDEX(Soja!$E43:$Z43,MIN(AW$6-$G$3,22))),0)))))</f>
        <v>0</v>
      </c>
      <c r="AX45" s="27" t="n">
        <f aca="false">IF(COUNT(Soja!$E43:$Z43)=0,0,MAX(0,IF((AX$6-$E$3)&lt;1,0,IFERROR(LOOKUP(2,1/(Soja!$E43:INDEX(Soja!$E43:$Z43,MIN(AX$6-$E$3,22))&lt;&gt;""),Soja!$E43:INDEX(Soja!$E43:$Z43,MIN(AX$6-$E$3,22))),0))-IF($G$2,0,IF((AX$6-$G$3)&lt;1,0,IFERROR(LOOKUP(2,1/(Soja!$E43:INDEX(Soja!$E43:$Z43,MIN(AX$6-$G$3,22))&lt;&gt;""),Soja!$E43:INDEX(Soja!$E43:$Z43,MIN(AX$6-$G$3,22))),0)))))</f>
        <v>0</v>
      </c>
      <c r="AY45" s="27" t="n">
        <f aca="false">IF(COUNT(Soja!$E43:$Z43)=0,0,MAX(0,IF((AY$6-$E$3)&lt;1,0,IFERROR(LOOKUP(2,1/(Soja!$E43:INDEX(Soja!$E43:$Z43,MIN(AY$6-$E$3,22))&lt;&gt;""),Soja!$E43:INDEX(Soja!$E43:$Z43,MIN(AY$6-$E$3,22))),0))-IF($G$2,0,IF((AY$6-$G$3)&lt;1,0,IFERROR(LOOKUP(2,1/(Soja!$E43:INDEX(Soja!$E43:$Z43,MIN(AY$6-$G$3,22))&lt;&gt;""),Soja!$E43:INDEX(Soja!$E43:$Z43,MIN(AY$6-$G$3,22))),0)))))</f>
        <v>0</v>
      </c>
      <c r="AZ45" s="27" t="n">
        <f aca="false">IF(COUNT(Soja!$E43:$Z43)=0,0,MAX(0,IF((AZ$6-$E$3)&lt;1,0,IFERROR(LOOKUP(2,1/(Soja!$E43:INDEX(Soja!$E43:$Z43,MIN(AZ$6-$E$3,22))&lt;&gt;""),Soja!$E43:INDEX(Soja!$E43:$Z43,MIN(AZ$6-$E$3,22))),0))-IF($G$2,0,IF((AZ$6-$G$3)&lt;1,0,IFERROR(LOOKUP(2,1/(Soja!$E43:INDEX(Soja!$E43:$Z43,MIN(AZ$6-$G$3,22))&lt;&gt;""),Soja!$E43:INDEX(Soja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IF(COUNT(Soja!$E44:$Z44)&gt;0,N(Soja!$D44),0)</f>
        <v>0</v>
      </c>
      <c r="E46" s="27" t="n">
        <f aca="false">IF(COUNT(Soja!$E44:$Z44)=0,0,MAX(0,IF((E$6-$E$3)&lt;1,0,IFERROR(LOOKUP(2,1/(Soja!$E44:INDEX(Soja!$E44:$Z44,MIN(E$6-$E$3,22))&lt;&gt;""),Soja!$E44:INDEX(Soja!$E44:$Z44,MIN(E$6-$E$3,22))),0))-IF($G$2,0,IF((E$6-$G$3)&lt;1,0,IFERROR(LOOKUP(2,1/(Soja!$E44:INDEX(Soja!$E44:$Z44,MIN(E$6-$G$3,22))&lt;&gt;""),Soja!$E44:INDEX(Soja!$E44:$Z44,MIN(E$6-$G$3,22))),0)))))</f>
        <v>0</v>
      </c>
      <c r="F46" s="27" t="n">
        <f aca="false">IF(COUNT(Soja!$E44:$Z44)=0,0,MAX(0,IF((F$6-$E$3)&lt;1,0,IFERROR(LOOKUP(2,1/(Soja!$E44:INDEX(Soja!$E44:$Z44,MIN(F$6-$E$3,22))&lt;&gt;""),Soja!$E44:INDEX(Soja!$E44:$Z44,MIN(F$6-$E$3,22))),0))-IF($G$2,0,IF((F$6-$G$3)&lt;1,0,IFERROR(LOOKUP(2,1/(Soja!$E44:INDEX(Soja!$E44:$Z44,MIN(F$6-$G$3,22))&lt;&gt;""),Soja!$E44:INDEX(Soja!$E44:$Z44,MIN(F$6-$G$3,22))),0)))))</f>
        <v>0</v>
      </c>
      <c r="G46" s="27" t="n">
        <f aca="false">IF(COUNT(Soja!$E44:$Z44)=0,0,MAX(0,IF((G$6-$E$3)&lt;1,0,IFERROR(LOOKUP(2,1/(Soja!$E44:INDEX(Soja!$E44:$Z44,MIN(G$6-$E$3,22))&lt;&gt;""),Soja!$E44:INDEX(Soja!$E44:$Z44,MIN(G$6-$E$3,22))),0))-IF($G$2,0,IF((G$6-$G$3)&lt;1,0,IFERROR(LOOKUP(2,1/(Soja!$E44:INDEX(Soja!$E44:$Z44,MIN(G$6-$G$3,22))&lt;&gt;""),Soja!$E44:INDEX(Soja!$E44:$Z44,MIN(G$6-$G$3,22))),0)))))</f>
        <v>0</v>
      </c>
      <c r="H46" s="27" t="n">
        <f aca="false">IF(COUNT(Soja!$E44:$Z44)=0,0,MAX(0,IF((H$6-$E$3)&lt;1,0,IFERROR(LOOKUP(2,1/(Soja!$E44:INDEX(Soja!$E44:$Z44,MIN(H$6-$E$3,22))&lt;&gt;""),Soja!$E44:INDEX(Soja!$E44:$Z44,MIN(H$6-$E$3,22))),0))-IF($G$2,0,IF((H$6-$G$3)&lt;1,0,IFERROR(LOOKUP(2,1/(Soja!$E44:INDEX(Soja!$E44:$Z44,MIN(H$6-$G$3,22))&lt;&gt;""),Soja!$E44:INDEX(Soja!$E44:$Z44,MIN(H$6-$G$3,22))),0)))))</f>
        <v>0</v>
      </c>
      <c r="I46" s="27" t="n">
        <f aca="false">IF(COUNT(Soja!$E44:$Z44)=0,0,MAX(0,IF((I$6-$E$3)&lt;1,0,IFERROR(LOOKUP(2,1/(Soja!$E44:INDEX(Soja!$E44:$Z44,MIN(I$6-$E$3,22))&lt;&gt;""),Soja!$E44:INDEX(Soja!$E44:$Z44,MIN(I$6-$E$3,22))),0))-IF($G$2,0,IF((I$6-$G$3)&lt;1,0,IFERROR(LOOKUP(2,1/(Soja!$E44:INDEX(Soja!$E44:$Z44,MIN(I$6-$G$3,22))&lt;&gt;""),Soja!$E44:INDEX(Soja!$E44:$Z44,MIN(I$6-$G$3,22))),0)))))</f>
        <v>0</v>
      </c>
      <c r="J46" s="27" t="n">
        <f aca="false">IF(COUNT(Soja!$E44:$Z44)=0,0,MAX(0,IF((J$6-$E$3)&lt;1,0,IFERROR(LOOKUP(2,1/(Soja!$E44:INDEX(Soja!$E44:$Z44,MIN(J$6-$E$3,22))&lt;&gt;""),Soja!$E44:INDEX(Soja!$E44:$Z44,MIN(J$6-$E$3,22))),0))-IF($G$2,0,IF((J$6-$G$3)&lt;1,0,IFERROR(LOOKUP(2,1/(Soja!$E44:INDEX(Soja!$E44:$Z44,MIN(J$6-$G$3,22))&lt;&gt;""),Soja!$E44:INDEX(Soja!$E44:$Z44,MIN(J$6-$G$3,22))),0)))))</f>
        <v>0</v>
      </c>
      <c r="K46" s="27" t="n">
        <f aca="false">IF(COUNT(Soja!$E44:$Z44)=0,0,MAX(0,IF((K$6-$E$3)&lt;1,0,IFERROR(LOOKUP(2,1/(Soja!$E44:INDEX(Soja!$E44:$Z44,MIN(K$6-$E$3,22))&lt;&gt;""),Soja!$E44:INDEX(Soja!$E44:$Z44,MIN(K$6-$E$3,22))),0))-IF($G$2,0,IF((K$6-$G$3)&lt;1,0,IFERROR(LOOKUP(2,1/(Soja!$E44:INDEX(Soja!$E44:$Z44,MIN(K$6-$G$3,22))&lt;&gt;""),Soja!$E44:INDEX(Soja!$E44:$Z44,MIN(K$6-$G$3,22))),0)))))</f>
        <v>0</v>
      </c>
      <c r="L46" s="27" t="n">
        <f aca="false">IF(COUNT(Soja!$E44:$Z44)=0,0,MAX(0,IF((L$6-$E$3)&lt;1,0,IFERROR(LOOKUP(2,1/(Soja!$E44:INDEX(Soja!$E44:$Z44,MIN(L$6-$E$3,22))&lt;&gt;""),Soja!$E44:INDEX(Soja!$E44:$Z44,MIN(L$6-$E$3,22))),0))-IF($G$2,0,IF((L$6-$G$3)&lt;1,0,IFERROR(LOOKUP(2,1/(Soja!$E44:INDEX(Soja!$E44:$Z44,MIN(L$6-$G$3,22))&lt;&gt;""),Soja!$E44:INDEX(Soja!$E44:$Z44,MIN(L$6-$G$3,22))),0)))))</f>
        <v>0</v>
      </c>
      <c r="M46" s="27" t="n">
        <f aca="false">IF(COUNT(Soja!$E44:$Z44)=0,0,MAX(0,IF((M$6-$E$3)&lt;1,0,IFERROR(LOOKUP(2,1/(Soja!$E44:INDEX(Soja!$E44:$Z44,MIN(M$6-$E$3,22))&lt;&gt;""),Soja!$E44:INDEX(Soja!$E44:$Z44,MIN(M$6-$E$3,22))),0))-IF($G$2,0,IF((M$6-$G$3)&lt;1,0,IFERROR(LOOKUP(2,1/(Soja!$E44:INDEX(Soja!$E44:$Z44,MIN(M$6-$G$3,22))&lt;&gt;""),Soja!$E44:INDEX(Soja!$E44:$Z44,MIN(M$6-$G$3,22))),0)))))</f>
        <v>0</v>
      </c>
      <c r="N46" s="27" t="n">
        <f aca="false">IF(COUNT(Soja!$E44:$Z44)=0,0,MAX(0,IF((N$6-$E$3)&lt;1,0,IFERROR(LOOKUP(2,1/(Soja!$E44:INDEX(Soja!$E44:$Z44,MIN(N$6-$E$3,22))&lt;&gt;""),Soja!$E44:INDEX(Soja!$E44:$Z44,MIN(N$6-$E$3,22))),0))-IF($G$2,0,IF((N$6-$G$3)&lt;1,0,IFERROR(LOOKUP(2,1/(Soja!$E44:INDEX(Soja!$E44:$Z44,MIN(N$6-$G$3,22))&lt;&gt;""),Soja!$E44:INDEX(Soja!$E44:$Z44,MIN(N$6-$G$3,22))),0)))))</f>
        <v>0</v>
      </c>
      <c r="O46" s="27" t="n">
        <f aca="false">IF(COUNT(Soja!$E44:$Z44)=0,0,MAX(0,IF((O$6-$E$3)&lt;1,0,IFERROR(LOOKUP(2,1/(Soja!$E44:INDEX(Soja!$E44:$Z44,MIN(O$6-$E$3,22))&lt;&gt;""),Soja!$E44:INDEX(Soja!$E44:$Z44,MIN(O$6-$E$3,22))),0))-IF($G$2,0,IF((O$6-$G$3)&lt;1,0,IFERROR(LOOKUP(2,1/(Soja!$E44:INDEX(Soja!$E44:$Z44,MIN(O$6-$G$3,22))&lt;&gt;""),Soja!$E44:INDEX(Soja!$E44:$Z44,MIN(O$6-$G$3,22))),0)))))</f>
        <v>0</v>
      </c>
      <c r="P46" s="27" t="n">
        <f aca="false">IF(COUNT(Soja!$E44:$Z44)=0,0,MAX(0,IF((P$6-$E$3)&lt;1,0,IFERROR(LOOKUP(2,1/(Soja!$E44:INDEX(Soja!$E44:$Z44,MIN(P$6-$E$3,22))&lt;&gt;""),Soja!$E44:INDEX(Soja!$E44:$Z44,MIN(P$6-$E$3,22))),0))-IF($G$2,0,IF((P$6-$G$3)&lt;1,0,IFERROR(LOOKUP(2,1/(Soja!$E44:INDEX(Soja!$E44:$Z44,MIN(P$6-$G$3,22))&lt;&gt;""),Soja!$E44:INDEX(Soja!$E44:$Z44,MIN(P$6-$G$3,22))),0)))))</f>
        <v>0</v>
      </c>
      <c r="Q46" s="27" t="n">
        <f aca="false">IF(COUNT(Soja!$E44:$Z44)=0,0,MAX(0,IF((Q$6-$E$3)&lt;1,0,IFERROR(LOOKUP(2,1/(Soja!$E44:INDEX(Soja!$E44:$Z44,MIN(Q$6-$E$3,22))&lt;&gt;""),Soja!$E44:INDEX(Soja!$E44:$Z44,MIN(Q$6-$E$3,22))),0))-IF($G$2,0,IF((Q$6-$G$3)&lt;1,0,IFERROR(LOOKUP(2,1/(Soja!$E44:INDEX(Soja!$E44:$Z44,MIN(Q$6-$G$3,22))&lt;&gt;""),Soja!$E44:INDEX(Soja!$E44:$Z44,MIN(Q$6-$G$3,22))),0)))))</f>
        <v>0</v>
      </c>
      <c r="R46" s="27" t="n">
        <f aca="false">IF(COUNT(Soja!$E44:$Z44)=0,0,MAX(0,IF((R$6-$E$3)&lt;1,0,IFERROR(LOOKUP(2,1/(Soja!$E44:INDEX(Soja!$E44:$Z44,MIN(R$6-$E$3,22))&lt;&gt;""),Soja!$E44:INDEX(Soja!$E44:$Z44,MIN(R$6-$E$3,22))),0))-IF($G$2,0,IF((R$6-$G$3)&lt;1,0,IFERROR(LOOKUP(2,1/(Soja!$E44:INDEX(Soja!$E44:$Z44,MIN(R$6-$G$3,22))&lt;&gt;""),Soja!$E44:INDEX(Soja!$E44:$Z44,MIN(R$6-$G$3,22))),0)))))</f>
        <v>0</v>
      </c>
      <c r="S46" s="27" t="n">
        <f aca="false">IF(COUNT(Soja!$E44:$Z44)=0,0,MAX(0,IF((S$6-$E$3)&lt;1,0,IFERROR(LOOKUP(2,1/(Soja!$E44:INDEX(Soja!$E44:$Z44,MIN(S$6-$E$3,22))&lt;&gt;""),Soja!$E44:INDEX(Soja!$E44:$Z44,MIN(S$6-$E$3,22))),0))-IF($G$2,0,IF((S$6-$G$3)&lt;1,0,IFERROR(LOOKUP(2,1/(Soja!$E44:INDEX(Soja!$E44:$Z44,MIN(S$6-$G$3,22))&lt;&gt;""),Soja!$E44:INDEX(Soja!$E44:$Z44,MIN(S$6-$G$3,22))),0)))))</f>
        <v>0</v>
      </c>
      <c r="T46" s="27" t="n">
        <f aca="false">IF(COUNT(Soja!$E44:$Z44)=0,0,MAX(0,IF((T$6-$E$3)&lt;1,0,IFERROR(LOOKUP(2,1/(Soja!$E44:INDEX(Soja!$E44:$Z44,MIN(T$6-$E$3,22))&lt;&gt;""),Soja!$E44:INDEX(Soja!$E44:$Z44,MIN(T$6-$E$3,22))),0))-IF($G$2,0,IF((T$6-$G$3)&lt;1,0,IFERROR(LOOKUP(2,1/(Soja!$E44:INDEX(Soja!$E44:$Z44,MIN(T$6-$G$3,22))&lt;&gt;""),Soja!$E44:INDEX(Soja!$E44:$Z44,MIN(T$6-$G$3,22))),0)))))</f>
        <v>0</v>
      </c>
      <c r="U46" s="27" t="n">
        <f aca="false">IF(COUNT(Soja!$E44:$Z44)=0,0,MAX(0,IF((U$6-$E$3)&lt;1,0,IFERROR(LOOKUP(2,1/(Soja!$E44:INDEX(Soja!$E44:$Z44,MIN(U$6-$E$3,22))&lt;&gt;""),Soja!$E44:INDEX(Soja!$E44:$Z44,MIN(U$6-$E$3,22))),0))-IF($G$2,0,IF((U$6-$G$3)&lt;1,0,IFERROR(LOOKUP(2,1/(Soja!$E44:INDEX(Soja!$E44:$Z44,MIN(U$6-$G$3,22))&lt;&gt;""),Soja!$E44:INDEX(Soja!$E44:$Z44,MIN(U$6-$G$3,22))),0)))))</f>
        <v>0</v>
      </c>
      <c r="V46" s="27" t="n">
        <f aca="false">IF(COUNT(Soja!$E44:$Z44)=0,0,MAX(0,IF((V$6-$E$3)&lt;1,0,IFERROR(LOOKUP(2,1/(Soja!$E44:INDEX(Soja!$E44:$Z44,MIN(V$6-$E$3,22))&lt;&gt;""),Soja!$E44:INDEX(Soja!$E44:$Z44,MIN(V$6-$E$3,22))),0))-IF($G$2,0,IF((V$6-$G$3)&lt;1,0,IFERROR(LOOKUP(2,1/(Soja!$E44:INDEX(Soja!$E44:$Z44,MIN(V$6-$G$3,22))&lt;&gt;""),Soja!$E44:INDEX(Soja!$E44:$Z44,MIN(V$6-$G$3,22))),0)))))</f>
        <v>0</v>
      </c>
      <c r="W46" s="27" t="n">
        <f aca="false">IF(COUNT(Soja!$E44:$Z44)=0,0,MAX(0,IF((W$6-$E$3)&lt;1,0,IFERROR(LOOKUP(2,1/(Soja!$E44:INDEX(Soja!$E44:$Z44,MIN(W$6-$E$3,22))&lt;&gt;""),Soja!$E44:INDEX(Soja!$E44:$Z44,MIN(W$6-$E$3,22))),0))-IF($G$2,0,IF((W$6-$G$3)&lt;1,0,IFERROR(LOOKUP(2,1/(Soja!$E44:INDEX(Soja!$E44:$Z44,MIN(W$6-$G$3,22))&lt;&gt;""),Soja!$E44:INDEX(Soja!$E44:$Z44,MIN(W$6-$G$3,22))),0)))))</f>
        <v>0</v>
      </c>
      <c r="X46" s="27" t="n">
        <f aca="false">IF(COUNT(Soja!$E44:$Z44)=0,0,MAX(0,IF((X$6-$E$3)&lt;1,0,IFERROR(LOOKUP(2,1/(Soja!$E44:INDEX(Soja!$E44:$Z44,MIN(X$6-$E$3,22))&lt;&gt;""),Soja!$E44:INDEX(Soja!$E44:$Z44,MIN(X$6-$E$3,22))),0))-IF($G$2,0,IF((X$6-$G$3)&lt;1,0,IFERROR(LOOKUP(2,1/(Soja!$E44:INDEX(Soja!$E44:$Z44,MIN(X$6-$G$3,22))&lt;&gt;""),Soja!$E44:INDEX(Soja!$E44:$Z44,MIN(X$6-$G$3,22))),0)))))</f>
        <v>0</v>
      </c>
      <c r="Y46" s="27" t="n">
        <f aca="false">IF(COUNT(Soja!$E44:$Z44)=0,0,MAX(0,IF((Y$6-$E$3)&lt;1,0,IFERROR(LOOKUP(2,1/(Soja!$E44:INDEX(Soja!$E44:$Z44,MIN(Y$6-$E$3,22))&lt;&gt;""),Soja!$E44:INDEX(Soja!$E44:$Z44,MIN(Y$6-$E$3,22))),0))-IF($G$2,0,IF((Y$6-$G$3)&lt;1,0,IFERROR(LOOKUP(2,1/(Soja!$E44:INDEX(Soja!$E44:$Z44,MIN(Y$6-$G$3,22))&lt;&gt;""),Soja!$E44:INDEX(Soja!$E44:$Z44,MIN(Y$6-$G$3,22))),0)))))</f>
        <v>0</v>
      </c>
      <c r="Z46" s="27" t="n">
        <f aca="false">IF(COUNT(Soja!$E44:$Z44)=0,0,MAX(0,IF((Z$6-$E$3)&lt;1,0,IFERROR(LOOKUP(2,1/(Soja!$E44:INDEX(Soja!$E44:$Z44,MIN(Z$6-$E$3,22))&lt;&gt;""),Soja!$E44:INDEX(Soja!$E44:$Z44,MIN(Z$6-$E$3,22))),0))-IF($G$2,0,IF((Z$6-$G$3)&lt;1,0,IFERROR(LOOKUP(2,1/(Soja!$E44:INDEX(Soja!$E44:$Z44,MIN(Z$6-$G$3,22))&lt;&gt;""),Soja!$E44:INDEX(Soja!$E44:$Z44,MIN(Z$6-$G$3,22))),0)))))</f>
        <v>0</v>
      </c>
      <c r="AA46" s="27" t="n">
        <f aca="false">IF(COUNT(Soja!$E44:$Z44)=0,0,MAX(0,IF((AA$6-$E$3)&lt;1,0,IFERROR(LOOKUP(2,1/(Soja!$E44:INDEX(Soja!$E44:$Z44,MIN(AA$6-$E$3,22))&lt;&gt;""),Soja!$E44:INDEX(Soja!$E44:$Z44,MIN(AA$6-$E$3,22))),0))-IF($G$2,0,IF((AA$6-$G$3)&lt;1,0,IFERROR(LOOKUP(2,1/(Soja!$E44:INDEX(Soja!$E44:$Z44,MIN(AA$6-$G$3,22))&lt;&gt;""),Soja!$E44:INDEX(Soja!$E44:$Z44,MIN(AA$6-$G$3,22))),0)))))</f>
        <v>0</v>
      </c>
      <c r="AB46" s="27" t="n">
        <f aca="false">IF(COUNT(Soja!$E44:$Z44)=0,0,MAX(0,IF((AB$6-$E$3)&lt;1,0,IFERROR(LOOKUP(2,1/(Soja!$E44:INDEX(Soja!$E44:$Z44,MIN(AB$6-$E$3,22))&lt;&gt;""),Soja!$E44:INDEX(Soja!$E44:$Z44,MIN(AB$6-$E$3,22))),0))-IF($G$2,0,IF((AB$6-$G$3)&lt;1,0,IFERROR(LOOKUP(2,1/(Soja!$E44:INDEX(Soja!$E44:$Z44,MIN(AB$6-$G$3,22))&lt;&gt;""),Soja!$E44:INDEX(Soja!$E44:$Z44,MIN(AB$6-$G$3,22))),0)))))</f>
        <v>0</v>
      </c>
      <c r="AC46" s="27" t="n">
        <f aca="false">IF(COUNT(Soja!$E44:$Z44)=0,0,MAX(0,IF((AC$6-$E$3)&lt;1,0,IFERROR(LOOKUP(2,1/(Soja!$E44:INDEX(Soja!$E44:$Z44,MIN(AC$6-$E$3,22))&lt;&gt;""),Soja!$E44:INDEX(Soja!$E44:$Z44,MIN(AC$6-$E$3,22))),0))-IF($G$2,0,IF((AC$6-$G$3)&lt;1,0,IFERROR(LOOKUP(2,1/(Soja!$E44:INDEX(Soja!$E44:$Z44,MIN(AC$6-$G$3,22))&lt;&gt;""),Soja!$E44:INDEX(Soja!$E44:$Z44,MIN(AC$6-$G$3,22))),0)))))</f>
        <v>0</v>
      </c>
      <c r="AD46" s="27" t="n">
        <f aca="false">IF(COUNT(Soja!$E44:$Z44)=0,0,MAX(0,IF((AD$6-$E$3)&lt;1,0,IFERROR(LOOKUP(2,1/(Soja!$E44:INDEX(Soja!$E44:$Z44,MIN(AD$6-$E$3,22))&lt;&gt;""),Soja!$E44:INDEX(Soja!$E44:$Z44,MIN(AD$6-$E$3,22))),0))-IF($G$2,0,IF((AD$6-$G$3)&lt;1,0,IFERROR(LOOKUP(2,1/(Soja!$E44:INDEX(Soja!$E44:$Z44,MIN(AD$6-$G$3,22))&lt;&gt;""),Soja!$E44:INDEX(Soja!$E44:$Z44,MIN(AD$6-$G$3,22))),0)))))</f>
        <v>0</v>
      </c>
      <c r="AE46" s="27" t="n">
        <f aca="false">IF(COUNT(Soja!$E44:$Z44)=0,0,MAX(0,IF((AE$6-$E$3)&lt;1,0,IFERROR(LOOKUP(2,1/(Soja!$E44:INDEX(Soja!$E44:$Z44,MIN(AE$6-$E$3,22))&lt;&gt;""),Soja!$E44:INDEX(Soja!$E44:$Z44,MIN(AE$6-$E$3,22))),0))-IF($G$2,0,IF((AE$6-$G$3)&lt;1,0,IFERROR(LOOKUP(2,1/(Soja!$E44:INDEX(Soja!$E44:$Z44,MIN(AE$6-$G$3,22))&lt;&gt;""),Soja!$E44:INDEX(Soja!$E44:$Z44,MIN(AE$6-$G$3,22))),0)))))</f>
        <v>0</v>
      </c>
      <c r="AF46" s="27" t="n">
        <f aca="false">IF(COUNT(Soja!$E44:$Z44)=0,0,MAX(0,IF((AF$6-$E$3)&lt;1,0,IFERROR(LOOKUP(2,1/(Soja!$E44:INDEX(Soja!$E44:$Z44,MIN(AF$6-$E$3,22))&lt;&gt;""),Soja!$E44:INDEX(Soja!$E44:$Z44,MIN(AF$6-$E$3,22))),0))-IF($G$2,0,IF((AF$6-$G$3)&lt;1,0,IFERROR(LOOKUP(2,1/(Soja!$E44:INDEX(Soja!$E44:$Z44,MIN(AF$6-$G$3,22))&lt;&gt;""),Soja!$E44:INDEX(Soja!$E44:$Z44,MIN(AF$6-$G$3,22))),0)))))</f>
        <v>0</v>
      </c>
      <c r="AG46" s="27" t="n">
        <f aca="false">IF(COUNT(Soja!$E44:$Z44)=0,0,MAX(0,IF((AG$6-$E$3)&lt;1,0,IFERROR(LOOKUP(2,1/(Soja!$E44:INDEX(Soja!$E44:$Z44,MIN(AG$6-$E$3,22))&lt;&gt;""),Soja!$E44:INDEX(Soja!$E44:$Z44,MIN(AG$6-$E$3,22))),0))-IF($G$2,0,IF((AG$6-$G$3)&lt;1,0,IFERROR(LOOKUP(2,1/(Soja!$E44:INDEX(Soja!$E44:$Z44,MIN(AG$6-$G$3,22))&lt;&gt;""),Soja!$E44:INDEX(Soja!$E44:$Z44,MIN(AG$6-$G$3,22))),0)))))</f>
        <v>0</v>
      </c>
      <c r="AH46" s="27" t="n">
        <f aca="false">IF(COUNT(Soja!$E44:$Z44)=0,0,MAX(0,IF((AH$6-$E$3)&lt;1,0,IFERROR(LOOKUP(2,1/(Soja!$E44:INDEX(Soja!$E44:$Z44,MIN(AH$6-$E$3,22))&lt;&gt;""),Soja!$E44:INDEX(Soja!$E44:$Z44,MIN(AH$6-$E$3,22))),0))-IF($G$2,0,IF((AH$6-$G$3)&lt;1,0,IFERROR(LOOKUP(2,1/(Soja!$E44:INDEX(Soja!$E44:$Z44,MIN(AH$6-$G$3,22))&lt;&gt;""),Soja!$E44:INDEX(Soja!$E44:$Z44,MIN(AH$6-$G$3,22))),0)))))</f>
        <v>0</v>
      </c>
      <c r="AI46" s="27" t="n">
        <f aca="false">IF(COUNT(Soja!$E44:$Z44)=0,0,MAX(0,IF((AI$6-$E$3)&lt;1,0,IFERROR(LOOKUP(2,1/(Soja!$E44:INDEX(Soja!$E44:$Z44,MIN(AI$6-$E$3,22))&lt;&gt;""),Soja!$E44:INDEX(Soja!$E44:$Z44,MIN(AI$6-$E$3,22))),0))-IF($G$2,0,IF((AI$6-$G$3)&lt;1,0,IFERROR(LOOKUP(2,1/(Soja!$E44:INDEX(Soja!$E44:$Z44,MIN(AI$6-$G$3,22))&lt;&gt;""),Soja!$E44:INDEX(Soja!$E44:$Z44,MIN(AI$6-$G$3,22))),0)))))</f>
        <v>0</v>
      </c>
      <c r="AJ46" s="27" t="n">
        <f aca="false">IF(COUNT(Soja!$E44:$Z44)=0,0,MAX(0,IF((AJ$6-$E$3)&lt;1,0,IFERROR(LOOKUP(2,1/(Soja!$E44:INDEX(Soja!$E44:$Z44,MIN(AJ$6-$E$3,22))&lt;&gt;""),Soja!$E44:INDEX(Soja!$E44:$Z44,MIN(AJ$6-$E$3,22))),0))-IF($G$2,0,IF((AJ$6-$G$3)&lt;1,0,IFERROR(LOOKUP(2,1/(Soja!$E44:INDEX(Soja!$E44:$Z44,MIN(AJ$6-$G$3,22))&lt;&gt;""),Soja!$E44:INDEX(Soja!$E44:$Z44,MIN(AJ$6-$G$3,22))),0)))))</f>
        <v>0</v>
      </c>
      <c r="AK46" s="27" t="n">
        <f aca="false">IF(COUNT(Soja!$E44:$Z44)=0,0,MAX(0,IF((AK$6-$E$3)&lt;1,0,IFERROR(LOOKUP(2,1/(Soja!$E44:INDEX(Soja!$E44:$Z44,MIN(AK$6-$E$3,22))&lt;&gt;""),Soja!$E44:INDEX(Soja!$E44:$Z44,MIN(AK$6-$E$3,22))),0))-IF($G$2,0,IF((AK$6-$G$3)&lt;1,0,IFERROR(LOOKUP(2,1/(Soja!$E44:INDEX(Soja!$E44:$Z44,MIN(AK$6-$G$3,22))&lt;&gt;""),Soja!$E44:INDEX(Soja!$E44:$Z44,MIN(AK$6-$G$3,22))),0)))))</f>
        <v>0</v>
      </c>
      <c r="AL46" s="27" t="n">
        <f aca="false">IF(COUNT(Soja!$E44:$Z44)=0,0,MAX(0,IF((AL$6-$E$3)&lt;1,0,IFERROR(LOOKUP(2,1/(Soja!$E44:INDEX(Soja!$E44:$Z44,MIN(AL$6-$E$3,22))&lt;&gt;""),Soja!$E44:INDEX(Soja!$E44:$Z44,MIN(AL$6-$E$3,22))),0))-IF($G$2,0,IF((AL$6-$G$3)&lt;1,0,IFERROR(LOOKUP(2,1/(Soja!$E44:INDEX(Soja!$E44:$Z44,MIN(AL$6-$G$3,22))&lt;&gt;""),Soja!$E44:INDEX(Soja!$E44:$Z44,MIN(AL$6-$G$3,22))),0)))))</f>
        <v>0</v>
      </c>
      <c r="AM46" s="27" t="n">
        <f aca="false">IF(COUNT(Soja!$E44:$Z44)=0,0,MAX(0,IF((AM$6-$E$3)&lt;1,0,IFERROR(LOOKUP(2,1/(Soja!$E44:INDEX(Soja!$E44:$Z44,MIN(AM$6-$E$3,22))&lt;&gt;""),Soja!$E44:INDEX(Soja!$E44:$Z44,MIN(AM$6-$E$3,22))),0))-IF($G$2,0,IF((AM$6-$G$3)&lt;1,0,IFERROR(LOOKUP(2,1/(Soja!$E44:INDEX(Soja!$E44:$Z44,MIN(AM$6-$G$3,22))&lt;&gt;""),Soja!$E44:INDEX(Soja!$E44:$Z44,MIN(AM$6-$G$3,22))),0)))))</f>
        <v>0</v>
      </c>
      <c r="AN46" s="27" t="n">
        <f aca="false">IF(COUNT(Soja!$E44:$Z44)=0,0,MAX(0,IF((AN$6-$E$3)&lt;1,0,IFERROR(LOOKUP(2,1/(Soja!$E44:INDEX(Soja!$E44:$Z44,MIN(AN$6-$E$3,22))&lt;&gt;""),Soja!$E44:INDEX(Soja!$E44:$Z44,MIN(AN$6-$E$3,22))),0))-IF($G$2,0,IF((AN$6-$G$3)&lt;1,0,IFERROR(LOOKUP(2,1/(Soja!$E44:INDEX(Soja!$E44:$Z44,MIN(AN$6-$G$3,22))&lt;&gt;""),Soja!$E44:INDEX(Soja!$E44:$Z44,MIN(AN$6-$G$3,22))),0)))))</f>
        <v>0</v>
      </c>
      <c r="AO46" s="27" t="n">
        <f aca="false">IF(COUNT(Soja!$E44:$Z44)=0,0,MAX(0,IF((AO$6-$E$3)&lt;1,0,IFERROR(LOOKUP(2,1/(Soja!$E44:INDEX(Soja!$E44:$Z44,MIN(AO$6-$E$3,22))&lt;&gt;""),Soja!$E44:INDEX(Soja!$E44:$Z44,MIN(AO$6-$E$3,22))),0))-IF($G$2,0,IF((AO$6-$G$3)&lt;1,0,IFERROR(LOOKUP(2,1/(Soja!$E44:INDEX(Soja!$E44:$Z44,MIN(AO$6-$G$3,22))&lt;&gt;""),Soja!$E44:INDEX(Soja!$E44:$Z44,MIN(AO$6-$G$3,22))),0)))))</f>
        <v>0</v>
      </c>
      <c r="AP46" s="27" t="n">
        <f aca="false">IF(COUNT(Soja!$E44:$Z44)=0,0,MAX(0,IF((AP$6-$E$3)&lt;1,0,IFERROR(LOOKUP(2,1/(Soja!$E44:INDEX(Soja!$E44:$Z44,MIN(AP$6-$E$3,22))&lt;&gt;""),Soja!$E44:INDEX(Soja!$E44:$Z44,MIN(AP$6-$E$3,22))),0))-IF($G$2,0,IF((AP$6-$G$3)&lt;1,0,IFERROR(LOOKUP(2,1/(Soja!$E44:INDEX(Soja!$E44:$Z44,MIN(AP$6-$G$3,22))&lt;&gt;""),Soja!$E44:INDEX(Soja!$E44:$Z44,MIN(AP$6-$G$3,22))),0)))))</f>
        <v>0</v>
      </c>
      <c r="AQ46" s="27" t="n">
        <f aca="false">IF(COUNT(Soja!$E44:$Z44)=0,0,MAX(0,IF((AQ$6-$E$3)&lt;1,0,IFERROR(LOOKUP(2,1/(Soja!$E44:INDEX(Soja!$E44:$Z44,MIN(AQ$6-$E$3,22))&lt;&gt;""),Soja!$E44:INDEX(Soja!$E44:$Z44,MIN(AQ$6-$E$3,22))),0))-IF($G$2,0,IF((AQ$6-$G$3)&lt;1,0,IFERROR(LOOKUP(2,1/(Soja!$E44:INDEX(Soja!$E44:$Z44,MIN(AQ$6-$G$3,22))&lt;&gt;""),Soja!$E44:INDEX(Soja!$E44:$Z44,MIN(AQ$6-$G$3,22))),0)))))</f>
        <v>0</v>
      </c>
      <c r="AR46" s="27" t="n">
        <f aca="false">IF(COUNT(Soja!$E44:$Z44)=0,0,MAX(0,IF((AR$6-$E$3)&lt;1,0,IFERROR(LOOKUP(2,1/(Soja!$E44:INDEX(Soja!$E44:$Z44,MIN(AR$6-$E$3,22))&lt;&gt;""),Soja!$E44:INDEX(Soja!$E44:$Z44,MIN(AR$6-$E$3,22))),0))-IF($G$2,0,IF((AR$6-$G$3)&lt;1,0,IFERROR(LOOKUP(2,1/(Soja!$E44:INDEX(Soja!$E44:$Z44,MIN(AR$6-$G$3,22))&lt;&gt;""),Soja!$E44:INDEX(Soja!$E44:$Z44,MIN(AR$6-$G$3,22))),0)))))</f>
        <v>0</v>
      </c>
      <c r="AS46" s="27" t="n">
        <f aca="false">IF(COUNT(Soja!$E44:$Z44)=0,0,MAX(0,IF((AS$6-$E$3)&lt;1,0,IFERROR(LOOKUP(2,1/(Soja!$E44:INDEX(Soja!$E44:$Z44,MIN(AS$6-$E$3,22))&lt;&gt;""),Soja!$E44:INDEX(Soja!$E44:$Z44,MIN(AS$6-$E$3,22))),0))-IF($G$2,0,IF((AS$6-$G$3)&lt;1,0,IFERROR(LOOKUP(2,1/(Soja!$E44:INDEX(Soja!$E44:$Z44,MIN(AS$6-$G$3,22))&lt;&gt;""),Soja!$E44:INDEX(Soja!$E44:$Z44,MIN(AS$6-$G$3,22))),0)))))</f>
        <v>0</v>
      </c>
      <c r="AT46" s="27" t="n">
        <f aca="false">IF(COUNT(Soja!$E44:$Z44)=0,0,MAX(0,IF((AT$6-$E$3)&lt;1,0,IFERROR(LOOKUP(2,1/(Soja!$E44:INDEX(Soja!$E44:$Z44,MIN(AT$6-$E$3,22))&lt;&gt;""),Soja!$E44:INDEX(Soja!$E44:$Z44,MIN(AT$6-$E$3,22))),0))-IF($G$2,0,IF((AT$6-$G$3)&lt;1,0,IFERROR(LOOKUP(2,1/(Soja!$E44:INDEX(Soja!$E44:$Z44,MIN(AT$6-$G$3,22))&lt;&gt;""),Soja!$E44:INDEX(Soja!$E44:$Z44,MIN(AT$6-$G$3,22))),0)))))</f>
        <v>0</v>
      </c>
      <c r="AU46" s="27" t="n">
        <f aca="false">IF(COUNT(Soja!$E44:$Z44)=0,0,MAX(0,IF((AU$6-$E$3)&lt;1,0,IFERROR(LOOKUP(2,1/(Soja!$E44:INDEX(Soja!$E44:$Z44,MIN(AU$6-$E$3,22))&lt;&gt;""),Soja!$E44:INDEX(Soja!$E44:$Z44,MIN(AU$6-$E$3,22))),0))-IF($G$2,0,IF((AU$6-$G$3)&lt;1,0,IFERROR(LOOKUP(2,1/(Soja!$E44:INDEX(Soja!$E44:$Z44,MIN(AU$6-$G$3,22))&lt;&gt;""),Soja!$E44:INDEX(Soja!$E44:$Z44,MIN(AU$6-$G$3,22))),0)))))</f>
        <v>0</v>
      </c>
      <c r="AV46" s="27" t="n">
        <f aca="false">IF(COUNT(Soja!$E44:$Z44)=0,0,MAX(0,IF((AV$6-$E$3)&lt;1,0,IFERROR(LOOKUP(2,1/(Soja!$E44:INDEX(Soja!$E44:$Z44,MIN(AV$6-$E$3,22))&lt;&gt;""),Soja!$E44:INDEX(Soja!$E44:$Z44,MIN(AV$6-$E$3,22))),0))-IF($G$2,0,IF((AV$6-$G$3)&lt;1,0,IFERROR(LOOKUP(2,1/(Soja!$E44:INDEX(Soja!$E44:$Z44,MIN(AV$6-$G$3,22))&lt;&gt;""),Soja!$E44:INDEX(Soja!$E44:$Z44,MIN(AV$6-$G$3,22))),0)))))</f>
        <v>0</v>
      </c>
      <c r="AW46" s="27" t="n">
        <f aca="false">IF(COUNT(Soja!$E44:$Z44)=0,0,MAX(0,IF((AW$6-$E$3)&lt;1,0,IFERROR(LOOKUP(2,1/(Soja!$E44:INDEX(Soja!$E44:$Z44,MIN(AW$6-$E$3,22))&lt;&gt;""),Soja!$E44:INDEX(Soja!$E44:$Z44,MIN(AW$6-$E$3,22))),0))-IF($G$2,0,IF((AW$6-$G$3)&lt;1,0,IFERROR(LOOKUP(2,1/(Soja!$E44:INDEX(Soja!$E44:$Z44,MIN(AW$6-$G$3,22))&lt;&gt;""),Soja!$E44:INDEX(Soja!$E44:$Z44,MIN(AW$6-$G$3,22))),0)))))</f>
        <v>0</v>
      </c>
      <c r="AX46" s="27" t="n">
        <f aca="false">IF(COUNT(Soja!$E44:$Z44)=0,0,MAX(0,IF((AX$6-$E$3)&lt;1,0,IFERROR(LOOKUP(2,1/(Soja!$E44:INDEX(Soja!$E44:$Z44,MIN(AX$6-$E$3,22))&lt;&gt;""),Soja!$E44:INDEX(Soja!$E44:$Z44,MIN(AX$6-$E$3,22))),0))-IF($G$2,0,IF((AX$6-$G$3)&lt;1,0,IFERROR(LOOKUP(2,1/(Soja!$E44:INDEX(Soja!$E44:$Z44,MIN(AX$6-$G$3,22))&lt;&gt;""),Soja!$E44:INDEX(Soja!$E44:$Z44,MIN(AX$6-$G$3,22))),0)))))</f>
        <v>0</v>
      </c>
      <c r="AY46" s="27" t="n">
        <f aca="false">IF(COUNT(Soja!$E44:$Z44)=0,0,MAX(0,IF((AY$6-$E$3)&lt;1,0,IFERROR(LOOKUP(2,1/(Soja!$E44:INDEX(Soja!$E44:$Z44,MIN(AY$6-$E$3,22))&lt;&gt;""),Soja!$E44:INDEX(Soja!$E44:$Z44,MIN(AY$6-$E$3,22))),0))-IF($G$2,0,IF((AY$6-$G$3)&lt;1,0,IFERROR(LOOKUP(2,1/(Soja!$E44:INDEX(Soja!$E44:$Z44,MIN(AY$6-$G$3,22))&lt;&gt;""),Soja!$E44:INDEX(Soja!$E44:$Z44,MIN(AY$6-$G$3,22))),0)))))</f>
        <v>0</v>
      </c>
      <c r="AZ46" s="27" t="n">
        <f aca="false">IF(COUNT(Soja!$E44:$Z44)=0,0,MAX(0,IF((AZ$6-$E$3)&lt;1,0,IFERROR(LOOKUP(2,1/(Soja!$E44:INDEX(Soja!$E44:$Z44,MIN(AZ$6-$E$3,22))&lt;&gt;""),Soja!$E44:INDEX(Soja!$E44:$Z44,MIN(AZ$6-$E$3,22))),0))-IF($G$2,0,IF((AZ$6-$G$3)&lt;1,0,IFERROR(LOOKUP(2,1/(Soja!$E44:INDEX(Soja!$E44:$Z44,MIN(AZ$6-$G$3,22))&lt;&gt;""),Soja!$E44:INDEX(Soja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IF(COUNT(Soja!$E45:$Z45)&gt;0,N(Soja!$D45),0)</f>
        <v>0</v>
      </c>
      <c r="E47" s="27" t="n">
        <f aca="false">IF(COUNT(Soja!$E45:$Z45)=0,0,MAX(0,IF((E$6-$E$3)&lt;1,0,IFERROR(LOOKUP(2,1/(Soja!$E45:INDEX(Soja!$E45:$Z45,MIN(E$6-$E$3,22))&lt;&gt;""),Soja!$E45:INDEX(Soja!$E45:$Z45,MIN(E$6-$E$3,22))),0))-IF($G$2,0,IF((E$6-$G$3)&lt;1,0,IFERROR(LOOKUP(2,1/(Soja!$E45:INDEX(Soja!$E45:$Z45,MIN(E$6-$G$3,22))&lt;&gt;""),Soja!$E45:INDEX(Soja!$E45:$Z45,MIN(E$6-$G$3,22))),0)))))</f>
        <v>0</v>
      </c>
      <c r="F47" s="27" t="n">
        <f aca="false">IF(COUNT(Soja!$E45:$Z45)=0,0,MAX(0,IF((F$6-$E$3)&lt;1,0,IFERROR(LOOKUP(2,1/(Soja!$E45:INDEX(Soja!$E45:$Z45,MIN(F$6-$E$3,22))&lt;&gt;""),Soja!$E45:INDEX(Soja!$E45:$Z45,MIN(F$6-$E$3,22))),0))-IF($G$2,0,IF((F$6-$G$3)&lt;1,0,IFERROR(LOOKUP(2,1/(Soja!$E45:INDEX(Soja!$E45:$Z45,MIN(F$6-$G$3,22))&lt;&gt;""),Soja!$E45:INDEX(Soja!$E45:$Z45,MIN(F$6-$G$3,22))),0)))))</f>
        <v>0</v>
      </c>
      <c r="G47" s="27" t="n">
        <f aca="false">IF(COUNT(Soja!$E45:$Z45)=0,0,MAX(0,IF((G$6-$E$3)&lt;1,0,IFERROR(LOOKUP(2,1/(Soja!$E45:INDEX(Soja!$E45:$Z45,MIN(G$6-$E$3,22))&lt;&gt;""),Soja!$E45:INDEX(Soja!$E45:$Z45,MIN(G$6-$E$3,22))),0))-IF($G$2,0,IF((G$6-$G$3)&lt;1,0,IFERROR(LOOKUP(2,1/(Soja!$E45:INDEX(Soja!$E45:$Z45,MIN(G$6-$G$3,22))&lt;&gt;""),Soja!$E45:INDEX(Soja!$E45:$Z45,MIN(G$6-$G$3,22))),0)))))</f>
        <v>0</v>
      </c>
      <c r="H47" s="27" t="n">
        <f aca="false">IF(COUNT(Soja!$E45:$Z45)=0,0,MAX(0,IF((H$6-$E$3)&lt;1,0,IFERROR(LOOKUP(2,1/(Soja!$E45:INDEX(Soja!$E45:$Z45,MIN(H$6-$E$3,22))&lt;&gt;""),Soja!$E45:INDEX(Soja!$E45:$Z45,MIN(H$6-$E$3,22))),0))-IF($G$2,0,IF((H$6-$G$3)&lt;1,0,IFERROR(LOOKUP(2,1/(Soja!$E45:INDEX(Soja!$E45:$Z45,MIN(H$6-$G$3,22))&lt;&gt;""),Soja!$E45:INDEX(Soja!$E45:$Z45,MIN(H$6-$G$3,22))),0)))))</f>
        <v>0</v>
      </c>
      <c r="I47" s="27" t="n">
        <f aca="false">IF(COUNT(Soja!$E45:$Z45)=0,0,MAX(0,IF((I$6-$E$3)&lt;1,0,IFERROR(LOOKUP(2,1/(Soja!$E45:INDEX(Soja!$E45:$Z45,MIN(I$6-$E$3,22))&lt;&gt;""),Soja!$E45:INDEX(Soja!$E45:$Z45,MIN(I$6-$E$3,22))),0))-IF($G$2,0,IF((I$6-$G$3)&lt;1,0,IFERROR(LOOKUP(2,1/(Soja!$E45:INDEX(Soja!$E45:$Z45,MIN(I$6-$G$3,22))&lt;&gt;""),Soja!$E45:INDEX(Soja!$E45:$Z45,MIN(I$6-$G$3,22))),0)))))</f>
        <v>0</v>
      </c>
      <c r="J47" s="27" t="n">
        <f aca="false">IF(COUNT(Soja!$E45:$Z45)=0,0,MAX(0,IF((J$6-$E$3)&lt;1,0,IFERROR(LOOKUP(2,1/(Soja!$E45:INDEX(Soja!$E45:$Z45,MIN(J$6-$E$3,22))&lt;&gt;""),Soja!$E45:INDEX(Soja!$E45:$Z45,MIN(J$6-$E$3,22))),0))-IF($G$2,0,IF((J$6-$G$3)&lt;1,0,IFERROR(LOOKUP(2,1/(Soja!$E45:INDEX(Soja!$E45:$Z45,MIN(J$6-$G$3,22))&lt;&gt;""),Soja!$E45:INDEX(Soja!$E45:$Z45,MIN(J$6-$G$3,22))),0)))))</f>
        <v>0</v>
      </c>
      <c r="K47" s="27" t="n">
        <f aca="false">IF(COUNT(Soja!$E45:$Z45)=0,0,MAX(0,IF((K$6-$E$3)&lt;1,0,IFERROR(LOOKUP(2,1/(Soja!$E45:INDEX(Soja!$E45:$Z45,MIN(K$6-$E$3,22))&lt;&gt;""),Soja!$E45:INDEX(Soja!$E45:$Z45,MIN(K$6-$E$3,22))),0))-IF($G$2,0,IF((K$6-$G$3)&lt;1,0,IFERROR(LOOKUP(2,1/(Soja!$E45:INDEX(Soja!$E45:$Z45,MIN(K$6-$G$3,22))&lt;&gt;""),Soja!$E45:INDEX(Soja!$E45:$Z45,MIN(K$6-$G$3,22))),0)))))</f>
        <v>0</v>
      </c>
      <c r="L47" s="27" t="n">
        <f aca="false">IF(COUNT(Soja!$E45:$Z45)=0,0,MAX(0,IF((L$6-$E$3)&lt;1,0,IFERROR(LOOKUP(2,1/(Soja!$E45:INDEX(Soja!$E45:$Z45,MIN(L$6-$E$3,22))&lt;&gt;""),Soja!$E45:INDEX(Soja!$E45:$Z45,MIN(L$6-$E$3,22))),0))-IF($G$2,0,IF((L$6-$G$3)&lt;1,0,IFERROR(LOOKUP(2,1/(Soja!$E45:INDEX(Soja!$E45:$Z45,MIN(L$6-$G$3,22))&lt;&gt;""),Soja!$E45:INDEX(Soja!$E45:$Z45,MIN(L$6-$G$3,22))),0)))))</f>
        <v>0</v>
      </c>
      <c r="M47" s="27" t="n">
        <f aca="false">IF(COUNT(Soja!$E45:$Z45)=0,0,MAX(0,IF((M$6-$E$3)&lt;1,0,IFERROR(LOOKUP(2,1/(Soja!$E45:INDEX(Soja!$E45:$Z45,MIN(M$6-$E$3,22))&lt;&gt;""),Soja!$E45:INDEX(Soja!$E45:$Z45,MIN(M$6-$E$3,22))),0))-IF($G$2,0,IF((M$6-$G$3)&lt;1,0,IFERROR(LOOKUP(2,1/(Soja!$E45:INDEX(Soja!$E45:$Z45,MIN(M$6-$G$3,22))&lt;&gt;""),Soja!$E45:INDEX(Soja!$E45:$Z45,MIN(M$6-$G$3,22))),0)))))</f>
        <v>0</v>
      </c>
      <c r="N47" s="27" t="n">
        <f aca="false">IF(COUNT(Soja!$E45:$Z45)=0,0,MAX(0,IF((N$6-$E$3)&lt;1,0,IFERROR(LOOKUP(2,1/(Soja!$E45:INDEX(Soja!$E45:$Z45,MIN(N$6-$E$3,22))&lt;&gt;""),Soja!$E45:INDEX(Soja!$E45:$Z45,MIN(N$6-$E$3,22))),0))-IF($G$2,0,IF((N$6-$G$3)&lt;1,0,IFERROR(LOOKUP(2,1/(Soja!$E45:INDEX(Soja!$E45:$Z45,MIN(N$6-$G$3,22))&lt;&gt;""),Soja!$E45:INDEX(Soja!$E45:$Z45,MIN(N$6-$G$3,22))),0)))))</f>
        <v>0</v>
      </c>
      <c r="O47" s="27" t="n">
        <f aca="false">IF(COUNT(Soja!$E45:$Z45)=0,0,MAX(0,IF((O$6-$E$3)&lt;1,0,IFERROR(LOOKUP(2,1/(Soja!$E45:INDEX(Soja!$E45:$Z45,MIN(O$6-$E$3,22))&lt;&gt;""),Soja!$E45:INDEX(Soja!$E45:$Z45,MIN(O$6-$E$3,22))),0))-IF($G$2,0,IF((O$6-$G$3)&lt;1,0,IFERROR(LOOKUP(2,1/(Soja!$E45:INDEX(Soja!$E45:$Z45,MIN(O$6-$G$3,22))&lt;&gt;""),Soja!$E45:INDEX(Soja!$E45:$Z45,MIN(O$6-$G$3,22))),0)))))</f>
        <v>0</v>
      </c>
      <c r="P47" s="27" t="n">
        <f aca="false">IF(COUNT(Soja!$E45:$Z45)=0,0,MAX(0,IF((P$6-$E$3)&lt;1,0,IFERROR(LOOKUP(2,1/(Soja!$E45:INDEX(Soja!$E45:$Z45,MIN(P$6-$E$3,22))&lt;&gt;""),Soja!$E45:INDEX(Soja!$E45:$Z45,MIN(P$6-$E$3,22))),0))-IF($G$2,0,IF((P$6-$G$3)&lt;1,0,IFERROR(LOOKUP(2,1/(Soja!$E45:INDEX(Soja!$E45:$Z45,MIN(P$6-$G$3,22))&lt;&gt;""),Soja!$E45:INDEX(Soja!$E45:$Z45,MIN(P$6-$G$3,22))),0)))))</f>
        <v>0</v>
      </c>
      <c r="Q47" s="27" t="n">
        <f aca="false">IF(COUNT(Soja!$E45:$Z45)=0,0,MAX(0,IF((Q$6-$E$3)&lt;1,0,IFERROR(LOOKUP(2,1/(Soja!$E45:INDEX(Soja!$E45:$Z45,MIN(Q$6-$E$3,22))&lt;&gt;""),Soja!$E45:INDEX(Soja!$E45:$Z45,MIN(Q$6-$E$3,22))),0))-IF($G$2,0,IF((Q$6-$G$3)&lt;1,0,IFERROR(LOOKUP(2,1/(Soja!$E45:INDEX(Soja!$E45:$Z45,MIN(Q$6-$G$3,22))&lt;&gt;""),Soja!$E45:INDEX(Soja!$E45:$Z45,MIN(Q$6-$G$3,22))),0)))))</f>
        <v>0</v>
      </c>
      <c r="R47" s="27" t="n">
        <f aca="false">IF(COUNT(Soja!$E45:$Z45)=0,0,MAX(0,IF((R$6-$E$3)&lt;1,0,IFERROR(LOOKUP(2,1/(Soja!$E45:INDEX(Soja!$E45:$Z45,MIN(R$6-$E$3,22))&lt;&gt;""),Soja!$E45:INDEX(Soja!$E45:$Z45,MIN(R$6-$E$3,22))),0))-IF($G$2,0,IF((R$6-$G$3)&lt;1,0,IFERROR(LOOKUP(2,1/(Soja!$E45:INDEX(Soja!$E45:$Z45,MIN(R$6-$G$3,22))&lt;&gt;""),Soja!$E45:INDEX(Soja!$E45:$Z45,MIN(R$6-$G$3,22))),0)))))</f>
        <v>0</v>
      </c>
      <c r="S47" s="27" t="n">
        <f aca="false">IF(COUNT(Soja!$E45:$Z45)=0,0,MAX(0,IF((S$6-$E$3)&lt;1,0,IFERROR(LOOKUP(2,1/(Soja!$E45:INDEX(Soja!$E45:$Z45,MIN(S$6-$E$3,22))&lt;&gt;""),Soja!$E45:INDEX(Soja!$E45:$Z45,MIN(S$6-$E$3,22))),0))-IF($G$2,0,IF((S$6-$G$3)&lt;1,0,IFERROR(LOOKUP(2,1/(Soja!$E45:INDEX(Soja!$E45:$Z45,MIN(S$6-$G$3,22))&lt;&gt;""),Soja!$E45:INDEX(Soja!$E45:$Z45,MIN(S$6-$G$3,22))),0)))))</f>
        <v>0</v>
      </c>
      <c r="T47" s="27" t="n">
        <f aca="false">IF(COUNT(Soja!$E45:$Z45)=0,0,MAX(0,IF((T$6-$E$3)&lt;1,0,IFERROR(LOOKUP(2,1/(Soja!$E45:INDEX(Soja!$E45:$Z45,MIN(T$6-$E$3,22))&lt;&gt;""),Soja!$E45:INDEX(Soja!$E45:$Z45,MIN(T$6-$E$3,22))),0))-IF($G$2,0,IF((T$6-$G$3)&lt;1,0,IFERROR(LOOKUP(2,1/(Soja!$E45:INDEX(Soja!$E45:$Z45,MIN(T$6-$G$3,22))&lt;&gt;""),Soja!$E45:INDEX(Soja!$E45:$Z45,MIN(T$6-$G$3,22))),0)))))</f>
        <v>0</v>
      </c>
      <c r="U47" s="27" t="n">
        <f aca="false">IF(COUNT(Soja!$E45:$Z45)=0,0,MAX(0,IF((U$6-$E$3)&lt;1,0,IFERROR(LOOKUP(2,1/(Soja!$E45:INDEX(Soja!$E45:$Z45,MIN(U$6-$E$3,22))&lt;&gt;""),Soja!$E45:INDEX(Soja!$E45:$Z45,MIN(U$6-$E$3,22))),0))-IF($G$2,0,IF((U$6-$G$3)&lt;1,0,IFERROR(LOOKUP(2,1/(Soja!$E45:INDEX(Soja!$E45:$Z45,MIN(U$6-$G$3,22))&lt;&gt;""),Soja!$E45:INDEX(Soja!$E45:$Z45,MIN(U$6-$G$3,22))),0)))))</f>
        <v>0</v>
      </c>
      <c r="V47" s="27" t="n">
        <f aca="false">IF(COUNT(Soja!$E45:$Z45)=0,0,MAX(0,IF((V$6-$E$3)&lt;1,0,IFERROR(LOOKUP(2,1/(Soja!$E45:INDEX(Soja!$E45:$Z45,MIN(V$6-$E$3,22))&lt;&gt;""),Soja!$E45:INDEX(Soja!$E45:$Z45,MIN(V$6-$E$3,22))),0))-IF($G$2,0,IF((V$6-$G$3)&lt;1,0,IFERROR(LOOKUP(2,1/(Soja!$E45:INDEX(Soja!$E45:$Z45,MIN(V$6-$G$3,22))&lt;&gt;""),Soja!$E45:INDEX(Soja!$E45:$Z45,MIN(V$6-$G$3,22))),0)))))</f>
        <v>0</v>
      </c>
      <c r="W47" s="27" t="n">
        <f aca="false">IF(COUNT(Soja!$E45:$Z45)=0,0,MAX(0,IF((W$6-$E$3)&lt;1,0,IFERROR(LOOKUP(2,1/(Soja!$E45:INDEX(Soja!$E45:$Z45,MIN(W$6-$E$3,22))&lt;&gt;""),Soja!$E45:INDEX(Soja!$E45:$Z45,MIN(W$6-$E$3,22))),0))-IF($G$2,0,IF((W$6-$G$3)&lt;1,0,IFERROR(LOOKUP(2,1/(Soja!$E45:INDEX(Soja!$E45:$Z45,MIN(W$6-$G$3,22))&lt;&gt;""),Soja!$E45:INDEX(Soja!$E45:$Z45,MIN(W$6-$G$3,22))),0)))))</f>
        <v>0</v>
      </c>
      <c r="X47" s="27" t="n">
        <f aca="false">IF(COUNT(Soja!$E45:$Z45)=0,0,MAX(0,IF((X$6-$E$3)&lt;1,0,IFERROR(LOOKUP(2,1/(Soja!$E45:INDEX(Soja!$E45:$Z45,MIN(X$6-$E$3,22))&lt;&gt;""),Soja!$E45:INDEX(Soja!$E45:$Z45,MIN(X$6-$E$3,22))),0))-IF($G$2,0,IF((X$6-$G$3)&lt;1,0,IFERROR(LOOKUP(2,1/(Soja!$E45:INDEX(Soja!$E45:$Z45,MIN(X$6-$G$3,22))&lt;&gt;""),Soja!$E45:INDEX(Soja!$E45:$Z45,MIN(X$6-$G$3,22))),0)))))</f>
        <v>0</v>
      </c>
      <c r="Y47" s="27" t="n">
        <f aca="false">IF(COUNT(Soja!$E45:$Z45)=0,0,MAX(0,IF((Y$6-$E$3)&lt;1,0,IFERROR(LOOKUP(2,1/(Soja!$E45:INDEX(Soja!$E45:$Z45,MIN(Y$6-$E$3,22))&lt;&gt;""),Soja!$E45:INDEX(Soja!$E45:$Z45,MIN(Y$6-$E$3,22))),0))-IF($G$2,0,IF((Y$6-$G$3)&lt;1,0,IFERROR(LOOKUP(2,1/(Soja!$E45:INDEX(Soja!$E45:$Z45,MIN(Y$6-$G$3,22))&lt;&gt;""),Soja!$E45:INDEX(Soja!$E45:$Z45,MIN(Y$6-$G$3,22))),0)))))</f>
        <v>0</v>
      </c>
      <c r="Z47" s="27" t="n">
        <f aca="false">IF(COUNT(Soja!$E45:$Z45)=0,0,MAX(0,IF((Z$6-$E$3)&lt;1,0,IFERROR(LOOKUP(2,1/(Soja!$E45:INDEX(Soja!$E45:$Z45,MIN(Z$6-$E$3,22))&lt;&gt;""),Soja!$E45:INDEX(Soja!$E45:$Z45,MIN(Z$6-$E$3,22))),0))-IF($G$2,0,IF((Z$6-$G$3)&lt;1,0,IFERROR(LOOKUP(2,1/(Soja!$E45:INDEX(Soja!$E45:$Z45,MIN(Z$6-$G$3,22))&lt;&gt;""),Soja!$E45:INDEX(Soja!$E45:$Z45,MIN(Z$6-$G$3,22))),0)))))</f>
        <v>0</v>
      </c>
      <c r="AA47" s="27" t="n">
        <f aca="false">IF(COUNT(Soja!$E45:$Z45)=0,0,MAX(0,IF((AA$6-$E$3)&lt;1,0,IFERROR(LOOKUP(2,1/(Soja!$E45:INDEX(Soja!$E45:$Z45,MIN(AA$6-$E$3,22))&lt;&gt;""),Soja!$E45:INDEX(Soja!$E45:$Z45,MIN(AA$6-$E$3,22))),0))-IF($G$2,0,IF((AA$6-$G$3)&lt;1,0,IFERROR(LOOKUP(2,1/(Soja!$E45:INDEX(Soja!$E45:$Z45,MIN(AA$6-$G$3,22))&lt;&gt;""),Soja!$E45:INDEX(Soja!$E45:$Z45,MIN(AA$6-$G$3,22))),0)))))</f>
        <v>0</v>
      </c>
      <c r="AB47" s="27" t="n">
        <f aca="false">IF(COUNT(Soja!$E45:$Z45)=0,0,MAX(0,IF((AB$6-$E$3)&lt;1,0,IFERROR(LOOKUP(2,1/(Soja!$E45:INDEX(Soja!$E45:$Z45,MIN(AB$6-$E$3,22))&lt;&gt;""),Soja!$E45:INDEX(Soja!$E45:$Z45,MIN(AB$6-$E$3,22))),0))-IF($G$2,0,IF((AB$6-$G$3)&lt;1,0,IFERROR(LOOKUP(2,1/(Soja!$E45:INDEX(Soja!$E45:$Z45,MIN(AB$6-$G$3,22))&lt;&gt;""),Soja!$E45:INDEX(Soja!$E45:$Z45,MIN(AB$6-$G$3,22))),0)))))</f>
        <v>0</v>
      </c>
      <c r="AC47" s="27" t="n">
        <f aca="false">IF(COUNT(Soja!$E45:$Z45)=0,0,MAX(0,IF((AC$6-$E$3)&lt;1,0,IFERROR(LOOKUP(2,1/(Soja!$E45:INDEX(Soja!$E45:$Z45,MIN(AC$6-$E$3,22))&lt;&gt;""),Soja!$E45:INDEX(Soja!$E45:$Z45,MIN(AC$6-$E$3,22))),0))-IF($G$2,0,IF((AC$6-$G$3)&lt;1,0,IFERROR(LOOKUP(2,1/(Soja!$E45:INDEX(Soja!$E45:$Z45,MIN(AC$6-$G$3,22))&lt;&gt;""),Soja!$E45:INDEX(Soja!$E45:$Z45,MIN(AC$6-$G$3,22))),0)))))</f>
        <v>0</v>
      </c>
      <c r="AD47" s="27" t="n">
        <f aca="false">IF(COUNT(Soja!$E45:$Z45)=0,0,MAX(0,IF((AD$6-$E$3)&lt;1,0,IFERROR(LOOKUP(2,1/(Soja!$E45:INDEX(Soja!$E45:$Z45,MIN(AD$6-$E$3,22))&lt;&gt;""),Soja!$E45:INDEX(Soja!$E45:$Z45,MIN(AD$6-$E$3,22))),0))-IF($G$2,0,IF((AD$6-$G$3)&lt;1,0,IFERROR(LOOKUP(2,1/(Soja!$E45:INDEX(Soja!$E45:$Z45,MIN(AD$6-$G$3,22))&lt;&gt;""),Soja!$E45:INDEX(Soja!$E45:$Z45,MIN(AD$6-$G$3,22))),0)))))</f>
        <v>0</v>
      </c>
      <c r="AE47" s="27" t="n">
        <f aca="false">IF(COUNT(Soja!$E45:$Z45)=0,0,MAX(0,IF((AE$6-$E$3)&lt;1,0,IFERROR(LOOKUP(2,1/(Soja!$E45:INDEX(Soja!$E45:$Z45,MIN(AE$6-$E$3,22))&lt;&gt;""),Soja!$E45:INDEX(Soja!$E45:$Z45,MIN(AE$6-$E$3,22))),0))-IF($G$2,0,IF((AE$6-$G$3)&lt;1,0,IFERROR(LOOKUP(2,1/(Soja!$E45:INDEX(Soja!$E45:$Z45,MIN(AE$6-$G$3,22))&lt;&gt;""),Soja!$E45:INDEX(Soja!$E45:$Z45,MIN(AE$6-$G$3,22))),0)))))</f>
        <v>0</v>
      </c>
      <c r="AF47" s="27" t="n">
        <f aca="false">IF(COUNT(Soja!$E45:$Z45)=0,0,MAX(0,IF((AF$6-$E$3)&lt;1,0,IFERROR(LOOKUP(2,1/(Soja!$E45:INDEX(Soja!$E45:$Z45,MIN(AF$6-$E$3,22))&lt;&gt;""),Soja!$E45:INDEX(Soja!$E45:$Z45,MIN(AF$6-$E$3,22))),0))-IF($G$2,0,IF((AF$6-$G$3)&lt;1,0,IFERROR(LOOKUP(2,1/(Soja!$E45:INDEX(Soja!$E45:$Z45,MIN(AF$6-$G$3,22))&lt;&gt;""),Soja!$E45:INDEX(Soja!$E45:$Z45,MIN(AF$6-$G$3,22))),0)))))</f>
        <v>0</v>
      </c>
      <c r="AG47" s="27" t="n">
        <f aca="false">IF(COUNT(Soja!$E45:$Z45)=0,0,MAX(0,IF((AG$6-$E$3)&lt;1,0,IFERROR(LOOKUP(2,1/(Soja!$E45:INDEX(Soja!$E45:$Z45,MIN(AG$6-$E$3,22))&lt;&gt;""),Soja!$E45:INDEX(Soja!$E45:$Z45,MIN(AG$6-$E$3,22))),0))-IF($G$2,0,IF((AG$6-$G$3)&lt;1,0,IFERROR(LOOKUP(2,1/(Soja!$E45:INDEX(Soja!$E45:$Z45,MIN(AG$6-$G$3,22))&lt;&gt;""),Soja!$E45:INDEX(Soja!$E45:$Z45,MIN(AG$6-$G$3,22))),0)))))</f>
        <v>0</v>
      </c>
      <c r="AH47" s="27" t="n">
        <f aca="false">IF(COUNT(Soja!$E45:$Z45)=0,0,MAX(0,IF((AH$6-$E$3)&lt;1,0,IFERROR(LOOKUP(2,1/(Soja!$E45:INDEX(Soja!$E45:$Z45,MIN(AH$6-$E$3,22))&lt;&gt;""),Soja!$E45:INDEX(Soja!$E45:$Z45,MIN(AH$6-$E$3,22))),0))-IF($G$2,0,IF((AH$6-$G$3)&lt;1,0,IFERROR(LOOKUP(2,1/(Soja!$E45:INDEX(Soja!$E45:$Z45,MIN(AH$6-$G$3,22))&lt;&gt;""),Soja!$E45:INDEX(Soja!$E45:$Z45,MIN(AH$6-$G$3,22))),0)))))</f>
        <v>0</v>
      </c>
      <c r="AI47" s="27" t="n">
        <f aca="false">IF(COUNT(Soja!$E45:$Z45)=0,0,MAX(0,IF((AI$6-$E$3)&lt;1,0,IFERROR(LOOKUP(2,1/(Soja!$E45:INDEX(Soja!$E45:$Z45,MIN(AI$6-$E$3,22))&lt;&gt;""),Soja!$E45:INDEX(Soja!$E45:$Z45,MIN(AI$6-$E$3,22))),0))-IF($G$2,0,IF((AI$6-$G$3)&lt;1,0,IFERROR(LOOKUP(2,1/(Soja!$E45:INDEX(Soja!$E45:$Z45,MIN(AI$6-$G$3,22))&lt;&gt;""),Soja!$E45:INDEX(Soja!$E45:$Z45,MIN(AI$6-$G$3,22))),0)))))</f>
        <v>0</v>
      </c>
      <c r="AJ47" s="27" t="n">
        <f aca="false">IF(COUNT(Soja!$E45:$Z45)=0,0,MAX(0,IF((AJ$6-$E$3)&lt;1,0,IFERROR(LOOKUP(2,1/(Soja!$E45:INDEX(Soja!$E45:$Z45,MIN(AJ$6-$E$3,22))&lt;&gt;""),Soja!$E45:INDEX(Soja!$E45:$Z45,MIN(AJ$6-$E$3,22))),0))-IF($G$2,0,IF((AJ$6-$G$3)&lt;1,0,IFERROR(LOOKUP(2,1/(Soja!$E45:INDEX(Soja!$E45:$Z45,MIN(AJ$6-$G$3,22))&lt;&gt;""),Soja!$E45:INDEX(Soja!$E45:$Z45,MIN(AJ$6-$G$3,22))),0)))))</f>
        <v>0</v>
      </c>
      <c r="AK47" s="27" t="n">
        <f aca="false">IF(COUNT(Soja!$E45:$Z45)=0,0,MAX(0,IF((AK$6-$E$3)&lt;1,0,IFERROR(LOOKUP(2,1/(Soja!$E45:INDEX(Soja!$E45:$Z45,MIN(AK$6-$E$3,22))&lt;&gt;""),Soja!$E45:INDEX(Soja!$E45:$Z45,MIN(AK$6-$E$3,22))),0))-IF($G$2,0,IF((AK$6-$G$3)&lt;1,0,IFERROR(LOOKUP(2,1/(Soja!$E45:INDEX(Soja!$E45:$Z45,MIN(AK$6-$G$3,22))&lt;&gt;""),Soja!$E45:INDEX(Soja!$E45:$Z45,MIN(AK$6-$G$3,22))),0)))))</f>
        <v>0</v>
      </c>
      <c r="AL47" s="27" t="n">
        <f aca="false">IF(COUNT(Soja!$E45:$Z45)=0,0,MAX(0,IF((AL$6-$E$3)&lt;1,0,IFERROR(LOOKUP(2,1/(Soja!$E45:INDEX(Soja!$E45:$Z45,MIN(AL$6-$E$3,22))&lt;&gt;""),Soja!$E45:INDEX(Soja!$E45:$Z45,MIN(AL$6-$E$3,22))),0))-IF($G$2,0,IF((AL$6-$G$3)&lt;1,0,IFERROR(LOOKUP(2,1/(Soja!$E45:INDEX(Soja!$E45:$Z45,MIN(AL$6-$G$3,22))&lt;&gt;""),Soja!$E45:INDEX(Soja!$E45:$Z45,MIN(AL$6-$G$3,22))),0)))))</f>
        <v>0</v>
      </c>
      <c r="AM47" s="27" t="n">
        <f aca="false">IF(COUNT(Soja!$E45:$Z45)=0,0,MAX(0,IF((AM$6-$E$3)&lt;1,0,IFERROR(LOOKUP(2,1/(Soja!$E45:INDEX(Soja!$E45:$Z45,MIN(AM$6-$E$3,22))&lt;&gt;""),Soja!$E45:INDEX(Soja!$E45:$Z45,MIN(AM$6-$E$3,22))),0))-IF($G$2,0,IF((AM$6-$G$3)&lt;1,0,IFERROR(LOOKUP(2,1/(Soja!$E45:INDEX(Soja!$E45:$Z45,MIN(AM$6-$G$3,22))&lt;&gt;""),Soja!$E45:INDEX(Soja!$E45:$Z45,MIN(AM$6-$G$3,22))),0)))))</f>
        <v>0</v>
      </c>
      <c r="AN47" s="27" t="n">
        <f aca="false">IF(COUNT(Soja!$E45:$Z45)=0,0,MAX(0,IF((AN$6-$E$3)&lt;1,0,IFERROR(LOOKUP(2,1/(Soja!$E45:INDEX(Soja!$E45:$Z45,MIN(AN$6-$E$3,22))&lt;&gt;""),Soja!$E45:INDEX(Soja!$E45:$Z45,MIN(AN$6-$E$3,22))),0))-IF($G$2,0,IF((AN$6-$G$3)&lt;1,0,IFERROR(LOOKUP(2,1/(Soja!$E45:INDEX(Soja!$E45:$Z45,MIN(AN$6-$G$3,22))&lt;&gt;""),Soja!$E45:INDEX(Soja!$E45:$Z45,MIN(AN$6-$G$3,22))),0)))))</f>
        <v>0</v>
      </c>
      <c r="AO47" s="27" t="n">
        <f aca="false">IF(COUNT(Soja!$E45:$Z45)=0,0,MAX(0,IF((AO$6-$E$3)&lt;1,0,IFERROR(LOOKUP(2,1/(Soja!$E45:INDEX(Soja!$E45:$Z45,MIN(AO$6-$E$3,22))&lt;&gt;""),Soja!$E45:INDEX(Soja!$E45:$Z45,MIN(AO$6-$E$3,22))),0))-IF($G$2,0,IF((AO$6-$G$3)&lt;1,0,IFERROR(LOOKUP(2,1/(Soja!$E45:INDEX(Soja!$E45:$Z45,MIN(AO$6-$G$3,22))&lt;&gt;""),Soja!$E45:INDEX(Soja!$E45:$Z45,MIN(AO$6-$G$3,22))),0)))))</f>
        <v>0</v>
      </c>
      <c r="AP47" s="27" t="n">
        <f aca="false">IF(COUNT(Soja!$E45:$Z45)=0,0,MAX(0,IF((AP$6-$E$3)&lt;1,0,IFERROR(LOOKUP(2,1/(Soja!$E45:INDEX(Soja!$E45:$Z45,MIN(AP$6-$E$3,22))&lt;&gt;""),Soja!$E45:INDEX(Soja!$E45:$Z45,MIN(AP$6-$E$3,22))),0))-IF($G$2,0,IF((AP$6-$G$3)&lt;1,0,IFERROR(LOOKUP(2,1/(Soja!$E45:INDEX(Soja!$E45:$Z45,MIN(AP$6-$G$3,22))&lt;&gt;""),Soja!$E45:INDEX(Soja!$E45:$Z45,MIN(AP$6-$G$3,22))),0)))))</f>
        <v>0</v>
      </c>
      <c r="AQ47" s="27" t="n">
        <f aca="false">IF(COUNT(Soja!$E45:$Z45)=0,0,MAX(0,IF((AQ$6-$E$3)&lt;1,0,IFERROR(LOOKUP(2,1/(Soja!$E45:INDEX(Soja!$E45:$Z45,MIN(AQ$6-$E$3,22))&lt;&gt;""),Soja!$E45:INDEX(Soja!$E45:$Z45,MIN(AQ$6-$E$3,22))),0))-IF($G$2,0,IF((AQ$6-$G$3)&lt;1,0,IFERROR(LOOKUP(2,1/(Soja!$E45:INDEX(Soja!$E45:$Z45,MIN(AQ$6-$G$3,22))&lt;&gt;""),Soja!$E45:INDEX(Soja!$E45:$Z45,MIN(AQ$6-$G$3,22))),0)))))</f>
        <v>0</v>
      </c>
      <c r="AR47" s="27" t="n">
        <f aca="false">IF(COUNT(Soja!$E45:$Z45)=0,0,MAX(0,IF((AR$6-$E$3)&lt;1,0,IFERROR(LOOKUP(2,1/(Soja!$E45:INDEX(Soja!$E45:$Z45,MIN(AR$6-$E$3,22))&lt;&gt;""),Soja!$E45:INDEX(Soja!$E45:$Z45,MIN(AR$6-$E$3,22))),0))-IF($G$2,0,IF((AR$6-$G$3)&lt;1,0,IFERROR(LOOKUP(2,1/(Soja!$E45:INDEX(Soja!$E45:$Z45,MIN(AR$6-$G$3,22))&lt;&gt;""),Soja!$E45:INDEX(Soja!$E45:$Z45,MIN(AR$6-$G$3,22))),0)))))</f>
        <v>0</v>
      </c>
      <c r="AS47" s="27" t="n">
        <f aca="false">IF(COUNT(Soja!$E45:$Z45)=0,0,MAX(0,IF((AS$6-$E$3)&lt;1,0,IFERROR(LOOKUP(2,1/(Soja!$E45:INDEX(Soja!$E45:$Z45,MIN(AS$6-$E$3,22))&lt;&gt;""),Soja!$E45:INDEX(Soja!$E45:$Z45,MIN(AS$6-$E$3,22))),0))-IF($G$2,0,IF((AS$6-$G$3)&lt;1,0,IFERROR(LOOKUP(2,1/(Soja!$E45:INDEX(Soja!$E45:$Z45,MIN(AS$6-$G$3,22))&lt;&gt;""),Soja!$E45:INDEX(Soja!$E45:$Z45,MIN(AS$6-$G$3,22))),0)))))</f>
        <v>0</v>
      </c>
      <c r="AT47" s="27" t="n">
        <f aca="false">IF(COUNT(Soja!$E45:$Z45)=0,0,MAX(0,IF((AT$6-$E$3)&lt;1,0,IFERROR(LOOKUP(2,1/(Soja!$E45:INDEX(Soja!$E45:$Z45,MIN(AT$6-$E$3,22))&lt;&gt;""),Soja!$E45:INDEX(Soja!$E45:$Z45,MIN(AT$6-$E$3,22))),0))-IF($G$2,0,IF((AT$6-$G$3)&lt;1,0,IFERROR(LOOKUP(2,1/(Soja!$E45:INDEX(Soja!$E45:$Z45,MIN(AT$6-$G$3,22))&lt;&gt;""),Soja!$E45:INDEX(Soja!$E45:$Z45,MIN(AT$6-$G$3,22))),0)))))</f>
        <v>0</v>
      </c>
      <c r="AU47" s="27" t="n">
        <f aca="false">IF(COUNT(Soja!$E45:$Z45)=0,0,MAX(0,IF((AU$6-$E$3)&lt;1,0,IFERROR(LOOKUP(2,1/(Soja!$E45:INDEX(Soja!$E45:$Z45,MIN(AU$6-$E$3,22))&lt;&gt;""),Soja!$E45:INDEX(Soja!$E45:$Z45,MIN(AU$6-$E$3,22))),0))-IF($G$2,0,IF((AU$6-$G$3)&lt;1,0,IFERROR(LOOKUP(2,1/(Soja!$E45:INDEX(Soja!$E45:$Z45,MIN(AU$6-$G$3,22))&lt;&gt;""),Soja!$E45:INDEX(Soja!$E45:$Z45,MIN(AU$6-$G$3,22))),0)))))</f>
        <v>0</v>
      </c>
      <c r="AV47" s="27" t="n">
        <f aca="false">IF(COUNT(Soja!$E45:$Z45)=0,0,MAX(0,IF((AV$6-$E$3)&lt;1,0,IFERROR(LOOKUP(2,1/(Soja!$E45:INDEX(Soja!$E45:$Z45,MIN(AV$6-$E$3,22))&lt;&gt;""),Soja!$E45:INDEX(Soja!$E45:$Z45,MIN(AV$6-$E$3,22))),0))-IF($G$2,0,IF((AV$6-$G$3)&lt;1,0,IFERROR(LOOKUP(2,1/(Soja!$E45:INDEX(Soja!$E45:$Z45,MIN(AV$6-$G$3,22))&lt;&gt;""),Soja!$E45:INDEX(Soja!$E45:$Z45,MIN(AV$6-$G$3,22))),0)))))</f>
        <v>0</v>
      </c>
      <c r="AW47" s="27" t="n">
        <f aca="false">IF(COUNT(Soja!$E45:$Z45)=0,0,MAX(0,IF((AW$6-$E$3)&lt;1,0,IFERROR(LOOKUP(2,1/(Soja!$E45:INDEX(Soja!$E45:$Z45,MIN(AW$6-$E$3,22))&lt;&gt;""),Soja!$E45:INDEX(Soja!$E45:$Z45,MIN(AW$6-$E$3,22))),0))-IF($G$2,0,IF((AW$6-$G$3)&lt;1,0,IFERROR(LOOKUP(2,1/(Soja!$E45:INDEX(Soja!$E45:$Z45,MIN(AW$6-$G$3,22))&lt;&gt;""),Soja!$E45:INDEX(Soja!$E45:$Z45,MIN(AW$6-$G$3,22))),0)))))</f>
        <v>0</v>
      </c>
      <c r="AX47" s="27" t="n">
        <f aca="false">IF(COUNT(Soja!$E45:$Z45)=0,0,MAX(0,IF((AX$6-$E$3)&lt;1,0,IFERROR(LOOKUP(2,1/(Soja!$E45:INDEX(Soja!$E45:$Z45,MIN(AX$6-$E$3,22))&lt;&gt;""),Soja!$E45:INDEX(Soja!$E45:$Z45,MIN(AX$6-$E$3,22))),0))-IF($G$2,0,IF((AX$6-$G$3)&lt;1,0,IFERROR(LOOKUP(2,1/(Soja!$E45:INDEX(Soja!$E45:$Z45,MIN(AX$6-$G$3,22))&lt;&gt;""),Soja!$E45:INDEX(Soja!$E45:$Z45,MIN(AX$6-$G$3,22))),0)))))</f>
        <v>0</v>
      </c>
      <c r="AY47" s="27" t="n">
        <f aca="false">IF(COUNT(Soja!$E45:$Z45)=0,0,MAX(0,IF((AY$6-$E$3)&lt;1,0,IFERROR(LOOKUP(2,1/(Soja!$E45:INDEX(Soja!$E45:$Z45,MIN(AY$6-$E$3,22))&lt;&gt;""),Soja!$E45:INDEX(Soja!$E45:$Z45,MIN(AY$6-$E$3,22))),0))-IF($G$2,0,IF((AY$6-$G$3)&lt;1,0,IFERROR(LOOKUP(2,1/(Soja!$E45:INDEX(Soja!$E45:$Z45,MIN(AY$6-$G$3,22))&lt;&gt;""),Soja!$E45:INDEX(Soja!$E45:$Z45,MIN(AY$6-$G$3,22))),0)))))</f>
        <v>0</v>
      </c>
      <c r="AZ47" s="27" t="n">
        <f aca="false">IF(COUNT(Soja!$E45:$Z45)=0,0,MAX(0,IF((AZ$6-$E$3)&lt;1,0,IFERROR(LOOKUP(2,1/(Soja!$E45:INDEX(Soja!$E45:$Z45,MIN(AZ$6-$E$3,22))&lt;&gt;""),Soja!$E45:INDEX(Soja!$E45:$Z45,MIN(AZ$6-$E$3,22))),0))-IF($G$2,0,IF((AZ$6-$G$3)&lt;1,0,IFERROR(LOOKUP(2,1/(Soja!$E45:INDEX(Soja!$E45:$Z45,MIN(AZ$6-$G$3,22))&lt;&gt;""),Soja!$E45:INDEX(Soja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IF(COUNT(Soja!$E46:$Z46)&gt;0,N(Soja!$D46),0)</f>
        <v>0</v>
      </c>
      <c r="E48" s="27" t="n">
        <f aca="false">IF(COUNT(Soja!$E46:$Z46)=0,0,MAX(0,IF((E$6-$E$3)&lt;1,0,IFERROR(LOOKUP(2,1/(Soja!$E46:INDEX(Soja!$E46:$Z46,MIN(E$6-$E$3,22))&lt;&gt;""),Soja!$E46:INDEX(Soja!$E46:$Z46,MIN(E$6-$E$3,22))),0))-IF($G$2,0,IF((E$6-$G$3)&lt;1,0,IFERROR(LOOKUP(2,1/(Soja!$E46:INDEX(Soja!$E46:$Z46,MIN(E$6-$G$3,22))&lt;&gt;""),Soja!$E46:INDEX(Soja!$E46:$Z46,MIN(E$6-$G$3,22))),0)))))</f>
        <v>0</v>
      </c>
      <c r="F48" s="27" t="n">
        <f aca="false">IF(COUNT(Soja!$E46:$Z46)=0,0,MAX(0,IF((F$6-$E$3)&lt;1,0,IFERROR(LOOKUP(2,1/(Soja!$E46:INDEX(Soja!$E46:$Z46,MIN(F$6-$E$3,22))&lt;&gt;""),Soja!$E46:INDEX(Soja!$E46:$Z46,MIN(F$6-$E$3,22))),0))-IF($G$2,0,IF((F$6-$G$3)&lt;1,0,IFERROR(LOOKUP(2,1/(Soja!$E46:INDEX(Soja!$E46:$Z46,MIN(F$6-$G$3,22))&lt;&gt;""),Soja!$E46:INDEX(Soja!$E46:$Z46,MIN(F$6-$G$3,22))),0)))))</f>
        <v>0</v>
      </c>
      <c r="G48" s="27" t="n">
        <f aca="false">IF(COUNT(Soja!$E46:$Z46)=0,0,MAX(0,IF((G$6-$E$3)&lt;1,0,IFERROR(LOOKUP(2,1/(Soja!$E46:INDEX(Soja!$E46:$Z46,MIN(G$6-$E$3,22))&lt;&gt;""),Soja!$E46:INDEX(Soja!$E46:$Z46,MIN(G$6-$E$3,22))),0))-IF($G$2,0,IF((G$6-$G$3)&lt;1,0,IFERROR(LOOKUP(2,1/(Soja!$E46:INDEX(Soja!$E46:$Z46,MIN(G$6-$G$3,22))&lt;&gt;""),Soja!$E46:INDEX(Soja!$E46:$Z46,MIN(G$6-$G$3,22))),0)))))</f>
        <v>0</v>
      </c>
      <c r="H48" s="27" t="n">
        <f aca="false">IF(COUNT(Soja!$E46:$Z46)=0,0,MAX(0,IF((H$6-$E$3)&lt;1,0,IFERROR(LOOKUP(2,1/(Soja!$E46:INDEX(Soja!$E46:$Z46,MIN(H$6-$E$3,22))&lt;&gt;""),Soja!$E46:INDEX(Soja!$E46:$Z46,MIN(H$6-$E$3,22))),0))-IF($G$2,0,IF((H$6-$G$3)&lt;1,0,IFERROR(LOOKUP(2,1/(Soja!$E46:INDEX(Soja!$E46:$Z46,MIN(H$6-$G$3,22))&lt;&gt;""),Soja!$E46:INDEX(Soja!$E46:$Z46,MIN(H$6-$G$3,22))),0)))))</f>
        <v>0</v>
      </c>
      <c r="I48" s="27" t="n">
        <f aca="false">IF(COUNT(Soja!$E46:$Z46)=0,0,MAX(0,IF((I$6-$E$3)&lt;1,0,IFERROR(LOOKUP(2,1/(Soja!$E46:INDEX(Soja!$E46:$Z46,MIN(I$6-$E$3,22))&lt;&gt;""),Soja!$E46:INDEX(Soja!$E46:$Z46,MIN(I$6-$E$3,22))),0))-IF($G$2,0,IF((I$6-$G$3)&lt;1,0,IFERROR(LOOKUP(2,1/(Soja!$E46:INDEX(Soja!$E46:$Z46,MIN(I$6-$G$3,22))&lt;&gt;""),Soja!$E46:INDEX(Soja!$E46:$Z46,MIN(I$6-$G$3,22))),0)))))</f>
        <v>0</v>
      </c>
      <c r="J48" s="27" t="n">
        <f aca="false">IF(COUNT(Soja!$E46:$Z46)=0,0,MAX(0,IF((J$6-$E$3)&lt;1,0,IFERROR(LOOKUP(2,1/(Soja!$E46:INDEX(Soja!$E46:$Z46,MIN(J$6-$E$3,22))&lt;&gt;""),Soja!$E46:INDEX(Soja!$E46:$Z46,MIN(J$6-$E$3,22))),0))-IF($G$2,0,IF((J$6-$G$3)&lt;1,0,IFERROR(LOOKUP(2,1/(Soja!$E46:INDEX(Soja!$E46:$Z46,MIN(J$6-$G$3,22))&lt;&gt;""),Soja!$E46:INDEX(Soja!$E46:$Z46,MIN(J$6-$G$3,22))),0)))))</f>
        <v>0</v>
      </c>
      <c r="K48" s="27" t="n">
        <f aca="false">IF(COUNT(Soja!$E46:$Z46)=0,0,MAX(0,IF((K$6-$E$3)&lt;1,0,IFERROR(LOOKUP(2,1/(Soja!$E46:INDEX(Soja!$E46:$Z46,MIN(K$6-$E$3,22))&lt;&gt;""),Soja!$E46:INDEX(Soja!$E46:$Z46,MIN(K$6-$E$3,22))),0))-IF($G$2,0,IF((K$6-$G$3)&lt;1,0,IFERROR(LOOKUP(2,1/(Soja!$E46:INDEX(Soja!$E46:$Z46,MIN(K$6-$G$3,22))&lt;&gt;""),Soja!$E46:INDEX(Soja!$E46:$Z46,MIN(K$6-$G$3,22))),0)))))</f>
        <v>0</v>
      </c>
      <c r="L48" s="27" t="n">
        <f aca="false">IF(COUNT(Soja!$E46:$Z46)=0,0,MAX(0,IF((L$6-$E$3)&lt;1,0,IFERROR(LOOKUP(2,1/(Soja!$E46:INDEX(Soja!$E46:$Z46,MIN(L$6-$E$3,22))&lt;&gt;""),Soja!$E46:INDEX(Soja!$E46:$Z46,MIN(L$6-$E$3,22))),0))-IF($G$2,0,IF((L$6-$G$3)&lt;1,0,IFERROR(LOOKUP(2,1/(Soja!$E46:INDEX(Soja!$E46:$Z46,MIN(L$6-$G$3,22))&lt;&gt;""),Soja!$E46:INDEX(Soja!$E46:$Z46,MIN(L$6-$G$3,22))),0)))))</f>
        <v>0</v>
      </c>
      <c r="M48" s="27" t="n">
        <f aca="false">IF(COUNT(Soja!$E46:$Z46)=0,0,MAX(0,IF((M$6-$E$3)&lt;1,0,IFERROR(LOOKUP(2,1/(Soja!$E46:INDEX(Soja!$E46:$Z46,MIN(M$6-$E$3,22))&lt;&gt;""),Soja!$E46:INDEX(Soja!$E46:$Z46,MIN(M$6-$E$3,22))),0))-IF($G$2,0,IF((M$6-$G$3)&lt;1,0,IFERROR(LOOKUP(2,1/(Soja!$E46:INDEX(Soja!$E46:$Z46,MIN(M$6-$G$3,22))&lt;&gt;""),Soja!$E46:INDEX(Soja!$E46:$Z46,MIN(M$6-$G$3,22))),0)))))</f>
        <v>0</v>
      </c>
      <c r="N48" s="27" t="n">
        <f aca="false">IF(COUNT(Soja!$E46:$Z46)=0,0,MAX(0,IF((N$6-$E$3)&lt;1,0,IFERROR(LOOKUP(2,1/(Soja!$E46:INDEX(Soja!$E46:$Z46,MIN(N$6-$E$3,22))&lt;&gt;""),Soja!$E46:INDEX(Soja!$E46:$Z46,MIN(N$6-$E$3,22))),0))-IF($G$2,0,IF((N$6-$G$3)&lt;1,0,IFERROR(LOOKUP(2,1/(Soja!$E46:INDEX(Soja!$E46:$Z46,MIN(N$6-$G$3,22))&lt;&gt;""),Soja!$E46:INDEX(Soja!$E46:$Z46,MIN(N$6-$G$3,22))),0)))))</f>
        <v>0</v>
      </c>
      <c r="O48" s="27" t="n">
        <f aca="false">IF(COUNT(Soja!$E46:$Z46)=0,0,MAX(0,IF((O$6-$E$3)&lt;1,0,IFERROR(LOOKUP(2,1/(Soja!$E46:INDEX(Soja!$E46:$Z46,MIN(O$6-$E$3,22))&lt;&gt;""),Soja!$E46:INDEX(Soja!$E46:$Z46,MIN(O$6-$E$3,22))),0))-IF($G$2,0,IF((O$6-$G$3)&lt;1,0,IFERROR(LOOKUP(2,1/(Soja!$E46:INDEX(Soja!$E46:$Z46,MIN(O$6-$G$3,22))&lt;&gt;""),Soja!$E46:INDEX(Soja!$E46:$Z46,MIN(O$6-$G$3,22))),0)))))</f>
        <v>0</v>
      </c>
      <c r="P48" s="27" t="n">
        <f aca="false">IF(COUNT(Soja!$E46:$Z46)=0,0,MAX(0,IF((P$6-$E$3)&lt;1,0,IFERROR(LOOKUP(2,1/(Soja!$E46:INDEX(Soja!$E46:$Z46,MIN(P$6-$E$3,22))&lt;&gt;""),Soja!$E46:INDEX(Soja!$E46:$Z46,MIN(P$6-$E$3,22))),0))-IF($G$2,0,IF((P$6-$G$3)&lt;1,0,IFERROR(LOOKUP(2,1/(Soja!$E46:INDEX(Soja!$E46:$Z46,MIN(P$6-$G$3,22))&lt;&gt;""),Soja!$E46:INDEX(Soja!$E46:$Z46,MIN(P$6-$G$3,22))),0)))))</f>
        <v>0</v>
      </c>
      <c r="Q48" s="27" t="n">
        <f aca="false">IF(COUNT(Soja!$E46:$Z46)=0,0,MAX(0,IF((Q$6-$E$3)&lt;1,0,IFERROR(LOOKUP(2,1/(Soja!$E46:INDEX(Soja!$E46:$Z46,MIN(Q$6-$E$3,22))&lt;&gt;""),Soja!$E46:INDEX(Soja!$E46:$Z46,MIN(Q$6-$E$3,22))),0))-IF($G$2,0,IF((Q$6-$G$3)&lt;1,0,IFERROR(LOOKUP(2,1/(Soja!$E46:INDEX(Soja!$E46:$Z46,MIN(Q$6-$G$3,22))&lt;&gt;""),Soja!$E46:INDEX(Soja!$E46:$Z46,MIN(Q$6-$G$3,22))),0)))))</f>
        <v>0</v>
      </c>
      <c r="R48" s="27" t="n">
        <f aca="false">IF(COUNT(Soja!$E46:$Z46)=0,0,MAX(0,IF((R$6-$E$3)&lt;1,0,IFERROR(LOOKUP(2,1/(Soja!$E46:INDEX(Soja!$E46:$Z46,MIN(R$6-$E$3,22))&lt;&gt;""),Soja!$E46:INDEX(Soja!$E46:$Z46,MIN(R$6-$E$3,22))),0))-IF($G$2,0,IF((R$6-$G$3)&lt;1,0,IFERROR(LOOKUP(2,1/(Soja!$E46:INDEX(Soja!$E46:$Z46,MIN(R$6-$G$3,22))&lt;&gt;""),Soja!$E46:INDEX(Soja!$E46:$Z46,MIN(R$6-$G$3,22))),0)))))</f>
        <v>0</v>
      </c>
      <c r="S48" s="27" t="n">
        <f aca="false">IF(COUNT(Soja!$E46:$Z46)=0,0,MAX(0,IF((S$6-$E$3)&lt;1,0,IFERROR(LOOKUP(2,1/(Soja!$E46:INDEX(Soja!$E46:$Z46,MIN(S$6-$E$3,22))&lt;&gt;""),Soja!$E46:INDEX(Soja!$E46:$Z46,MIN(S$6-$E$3,22))),0))-IF($G$2,0,IF((S$6-$G$3)&lt;1,0,IFERROR(LOOKUP(2,1/(Soja!$E46:INDEX(Soja!$E46:$Z46,MIN(S$6-$G$3,22))&lt;&gt;""),Soja!$E46:INDEX(Soja!$E46:$Z46,MIN(S$6-$G$3,22))),0)))))</f>
        <v>0</v>
      </c>
      <c r="T48" s="27" t="n">
        <f aca="false">IF(COUNT(Soja!$E46:$Z46)=0,0,MAX(0,IF((T$6-$E$3)&lt;1,0,IFERROR(LOOKUP(2,1/(Soja!$E46:INDEX(Soja!$E46:$Z46,MIN(T$6-$E$3,22))&lt;&gt;""),Soja!$E46:INDEX(Soja!$E46:$Z46,MIN(T$6-$E$3,22))),0))-IF($G$2,0,IF((T$6-$G$3)&lt;1,0,IFERROR(LOOKUP(2,1/(Soja!$E46:INDEX(Soja!$E46:$Z46,MIN(T$6-$G$3,22))&lt;&gt;""),Soja!$E46:INDEX(Soja!$E46:$Z46,MIN(T$6-$G$3,22))),0)))))</f>
        <v>0</v>
      </c>
      <c r="U48" s="27" t="n">
        <f aca="false">IF(COUNT(Soja!$E46:$Z46)=0,0,MAX(0,IF((U$6-$E$3)&lt;1,0,IFERROR(LOOKUP(2,1/(Soja!$E46:INDEX(Soja!$E46:$Z46,MIN(U$6-$E$3,22))&lt;&gt;""),Soja!$E46:INDEX(Soja!$E46:$Z46,MIN(U$6-$E$3,22))),0))-IF($G$2,0,IF((U$6-$G$3)&lt;1,0,IFERROR(LOOKUP(2,1/(Soja!$E46:INDEX(Soja!$E46:$Z46,MIN(U$6-$G$3,22))&lt;&gt;""),Soja!$E46:INDEX(Soja!$E46:$Z46,MIN(U$6-$G$3,22))),0)))))</f>
        <v>0</v>
      </c>
      <c r="V48" s="27" t="n">
        <f aca="false">IF(COUNT(Soja!$E46:$Z46)=0,0,MAX(0,IF((V$6-$E$3)&lt;1,0,IFERROR(LOOKUP(2,1/(Soja!$E46:INDEX(Soja!$E46:$Z46,MIN(V$6-$E$3,22))&lt;&gt;""),Soja!$E46:INDEX(Soja!$E46:$Z46,MIN(V$6-$E$3,22))),0))-IF($G$2,0,IF((V$6-$G$3)&lt;1,0,IFERROR(LOOKUP(2,1/(Soja!$E46:INDEX(Soja!$E46:$Z46,MIN(V$6-$G$3,22))&lt;&gt;""),Soja!$E46:INDEX(Soja!$E46:$Z46,MIN(V$6-$G$3,22))),0)))))</f>
        <v>0</v>
      </c>
      <c r="W48" s="27" t="n">
        <f aca="false">IF(COUNT(Soja!$E46:$Z46)=0,0,MAX(0,IF((W$6-$E$3)&lt;1,0,IFERROR(LOOKUP(2,1/(Soja!$E46:INDEX(Soja!$E46:$Z46,MIN(W$6-$E$3,22))&lt;&gt;""),Soja!$E46:INDEX(Soja!$E46:$Z46,MIN(W$6-$E$3,22))),0))-IF($G$2,0,IF((W$6-$G$3)&lt;1,0,IFERROR(LOOKUP(2,1/(Soja!$E46:INDEX(Soja!$E46:$Z46,MIN(W$6-$G$3,22))&lt;&gt;""),Soja!$E46:INDEX(Soja!$E46:$Z46,MIN(W$6-$G$3,22))),0)))))</f>
        <v>0</v>
      </c>
      <c r="X48" s="27" t="n">
        <f aca="false">IF(COUNT(Soja!$E46:$Z46)=0,0,MAX(0,IF((X$6-$E$3)&lt;1,0,IFERROR(LOOKUP(2,1/(Soja!$E46:INDEX(Soja!$E46:$Z46,MIN(X$6-$E$3,22))&lt;&gt;""),Soja!$E46:INDEX(Soja!$E46:$Z46,MIN(X$6-$E$3,22))),0))-IF($G$2,0,IF((X$6-$G$3)&lt;1,0,IFERROR(LOOKUP(2,1/(Soja!$E46:INDEX(Soja!$E46:$Z46,MIN(X$6-$G$3,22))&lt;&gt;""),Soja!$E46:INDEX(Soja!$E46:$Z46,MIN(X$6-$G$3,22))),0)))))</f>
        <v>0</v>
      </c>
      <c r="Y48" s="27" t="n">
        <f aca="false">IF(COUNT(Soja!$E46:$Z46)=0,0,MAX(0,IF((Y$6-$E$3)&lt;1,0,IFERROR(LOOKUP(2,1/(Soja!$E46:INDEX(Soja!$E46:$Z46,MIN(Y$6-$E$3,22))&lt;&gt;""),Soja!$E46:INDEX(Soja!$E46:$Z46,MIN(Y$6-$E$3,22))),0))-IF($G$2,0,IF((Y$6-$G$3)&lt;1,0,IFERROR(LOOKUP(2,1/(Soja!$E46:INDEX(Soja!$E46:$Z46,MIN(Y$6-$G$3,22))&lt;&gt;""),Soja!$E46:INDEX(Soja!$E46:$Z46,MIN(Y$6-$G$3,22))),0)))))</f>
        <v>0</v>
      </c>
      <c r="Z48" s="27" t="n">
        <f aca="false">IF(COUNT(Soja!$E46:$Z46)=0,0,MAX(0,IF((Z$6-$E$3)&lt;1,0,IFERROR(LOOKUP(2,1/(Soja!$E46:INDEX(Soja!$E46:$Z46,MIN(Z$6-$E$3,22))&lt;&gt;""),Soja!$E46:INDEX(Soja!$E46:$Z46,MIN(Z$6-$E$3,22))),0))-IF($G$2,0,IF((Z$6-$G$3)&lt;1,0,IFERROR(LOOKUP(2,1/(Soja!$E46:INDEX(Soja!$E46:$Z46,MIN(Z$6-$G$3,22))&lt;&gt;""),Soja!$E46:INDEX(Soja!$E46:$Z46,MIN(Z$6-$G$3,22))),0)))))</f>
        <v>0</v>
      </c>
      <c r="AA48" s="27" t="n">
        <f aca="false">IF(COUNT(Soja!$E46:$Z46)=0,0,MAX(0,IF((AA$6-$E$3)&lt;1,0,IFERROR(LOOKUP(2,1/(Soja!$E46:INDEX(Soja!$E46:$Z46,MIN(AA$6-$E$3,22))&lt;&gt;""),Soja!$E46:INDEX(Soja!$E46:$Z46,MIN(AA$6-$E$3,22))),0))-IF($G$2,0,IF((AA$6-$G$3)&lt;1,0,IFERROR(LOOKUP(2,1/(Soja!$E46:INDEX(Soja!$E46:$Z46,MIN(AA$6-$G$3,22))&lt;&gt;""),Soja!$E46:INDEX(Soja!$E46:$Z46,MIN(AA$6-$G$3,22))),0)))))</f>
        <v>0</v>
      </c>
      <c r="AB48" s="27" t="n">
        <f aca="false">IF(COUNT(Soja!$E46:$Z46)=0,0,MAX(0,IF((AB$6-$E$3)&lt;1,0,IFERROR(LOOKUP(2,1/(Soja!$E46:INDEX(Soja!$E46:$Z46,MIN(AB$6-$E$3,22))&lt;&gt;""),Soja!$E46:INDEX(Soja!$E46:$Z46,MIN(AB$6-$E$3,22))),0))-IF($G$2,0,IF((AB$6-$G$3)&lt;1,0,IFERROR(LOOKUP(2,1/(Soja!$E46:INDEX(Soja!$E46:$Z46,MIN(AB$6-$G$3,22))&lt;&gt;""),Soja!$E46:INDEX(Soja!$E46:$Z46,MIN(AB$6-$G$3,22))),0)))))</f>
        <v>0</v>
      </c>
      <c r="AC48" s="27" t="n">
        <f aca="false">IF(COUNT(Soja!$E46:$Z46)=0,0,MAX(0,IF((AC$6-$E$3)&lt;1,0,IFERROR(LOOKUP(2,1/(Soja!$E46:INDEX(Soja!$E46:$Z46,MIN(AC$6-$E$3,22))&lt;&gt;""),Soja!$E46:INDEX(Soja!$E46:$Z46,MIN(AC$6-$E$3,22))),0))-IF($G$2,0,IF((AC$6-$G$3)&lt;1,0,IFERROR(LOOKUP(2,1/(Soja!$E46:INDEX(Soja!$E46:$Z46,MIN(AC$6-$G$3,22))&lt;&gt;""),Soja!$E46:INDEX(Soja!$E46:$Z46,MIN(AC$6-$G$3,22))),0)))))</f>
        <v>0</v>
      </c>
      <c r="AD48" s="27" t="n">
        <f aca="false">IF(COUNT(Soja!$E46:$Z46)=0,0,MAX(0,IF((AD$6-$E$3)&lt;1,0,IFERROR(LOOKUP(2,1/(Soja!$E46:INDEX(Soja!$E46:$Z46,MIN(AD$6-$E$3,22))&lt;&gt;""),Soja!$E46:INDEX(Soja!$E46:$Z46,MIN(AD$6-$E$3,22))),0))-IF($G$2,0,IF((AD$6-$G$3)&lt;1,0,IFERROR(LOOKUP(2,1/(Soja!$E46:INDEX(Soja!$E46:$Z46,MIN(AD$6-$G$3,22))&lt;&gt;""),Soja!$E46:INDEX(Soja!$E46:$Z46,MIN(AD$6-$G$3,22))),0)))))</f>
        <v>0</v>
      </c>
      <c r="AE48" s="27" t="n">
        <f aca="false">IF(COUNT(Soja!$E46:$Z46)=0,0,MAX(0,IF((AE$6-$E$3)&lt;1,0,IFERROR(LOOKUP(2,1/(Soja!$E46:INDEX(Soja!$E46:$Z46,MIN(AE$6-$E$3,22))&lt;&gt;""),Soja!$E46:INDEX(Soja!$E46:$Z46,MIN(AE$6-$E$3,22))),0))-IF($G$2,0,IF((AE$6-$G$3)&lt;1,0,IFERROR(LOOKUP(2,1/(Soja!$E46:INDEX(Soja!$E46:$Z46,MIN(AE$6-$G$3,22))&lt;&gt;""),Soja!$E46:INDEX(Soja!$E46:$Z46,MIN(AE$6-$G$3,22))),0)))))</f>
        <v>0</v>
      </c>
      <c r="AF48" s="27" t="n">
        <f aca="false">IF(COUNT(Soja!$E46:$Z46)=0,0,MAX(0,IF((AF$6-$E$3)&lt;1,0,IFERROR(LOOKUP(2,1/(Soja!$E46:INDEX(Soja!$E46:$Z46,MIN(AF$6-$E$3,22))&lt;&gt;""),Soja!$E46:INDEX(Soja!$E46:$Z46,MIN(AF$6-$E$3,22))),0))-IF($G$2,0,IF((AF$6-$G$3)&lt;1,0,IFERROR(LOOKUP(2,1/(Soja!$E46:INDEX(Soja!$E46:$Z46,MIN(AF$6-$G$3,22))&lt;&gt;""),Soja!$E46:INDEX(Soja!$E46:$Z46,MIN(AF$6-$G$3,22))),0)))))</f>
        <v>0</v>
      </c>
      <c r="AG48" s="27" t="n">
        <f aca="false">IF(COUNT(Soja!$E46:$Z46)=0,0,MAX(0,IF((AG$6-$E$3)&lt;1,0,IFERROR(LOOKUP(2,1/(Soja!$E46:INDEX(Soja!$E46:$Z46,MIN(AG$6-$E$3,22))&lt;&gt;""),Soja!$E46:INDEX(Soja!$E46:$Z46,MIN(AG$6-$E$3,22))),0))-IF($G$2,0,IF((AG$6-$G$3)&lt;1,0,IFERROR(LOOKUP(2,1/(Soja!$E46:INDEX(Soja!$E46:$Z46,MIN(AG$6-$G$3,22))&lt;&gt;""),Soja!$E46:INDEX(Soja!$E46:$Z46,MIN(AG$6-$G$3,22))),0)))))</f>
        <v>0</v>
      </c>
      <c r="AH48" s="27" t="n">
        <f aca="false">IF(COUNT(Soja!$E46:$Z46)=0,0,MAX(0,IF((AH$6-$E$3)&lt;1,0,IFERROR(LOOKUP(2,1/(Soja!$E46:INDEX(Soja!$E46:$Z46,MIN(AH$6-$E$3,22))&lt;&gt;""),Soja!$E46:INDEX(Soja!$E46:$Z46,MIN(AH$6-$E$3,22))),0))-IF($G$2,0,IF((AH$6-$G$3)&lt;1,0,IFERROR(LOOKUP(2,1/(Soja!$E46:INDEX(Soja!$E46:$Z46,MIN(AH$6-$G$3,22))&lt;&gt;""),Soja!$E46:INDEX(Soja!$E46:$Z46,MIN(AH$6-$G$3,22))),0)))))</f>
        <v>0</v>
      </c>
      <c r="AI48" s="27" t="n">
        <f aca="false">IF(COUNT(Soja!$E46:$Z46)=0,0,MAX(0,IF((AI$6-$E$3)&lt;1,0,IFERROR(LOOKUP(2,1/(Soja!$E46:INDEX(Soja!$E46:$Z46,MIN(AI$6-$E$3,22))&lt;&gt;""),Soja!$E46:INDEX(Soja!$E46:$Z46,MIN(AI$6-$E$3,22))),0))-IF($G$2,0,IF((AI$6-$G$3)&lt;1,0,IFERROR(LOOKUP(2,1/(Soja!$E46:INDEX(Soja!$E46:$Z46,MIN(AI$6-$G$3,22))&lt;&gt;""),Soja!$E46:INDEX(Soja!$E46:$Z46,MIN(AI$6-$G$3,22))),0)))))</f>
        <v>0</v>
      </c>
      <c r="AJ48" s="27" t="n">
        <f aca="false">IF(COUNT(Soja!$E46:$Z46)=0,0,MAX(0,IF((AJ$6-$E$3)&lt;1,0,IFERROR(LOOKUP(2,1/(Soja!$E46:INDEX(Soja!$E46:$Z46,MIN(AJ$6-$E$3,22))&lt;&gt;""),Soja!$E46:INDEX(Soja!$E46:$Z46,MIN(AJ$6-$E$3,22))),0))-IF($G$2,0,IF((AJ$6-$G$3)&lt;1,0,IFERROR(LOOKUP(2,1/(Soja!$E46:INDEX(Soja!$E46:$Z46,MIN(AJ$6-$G$3,22))&lt;&gt;""),Soja!$E46:INDEX(Soja!$E46:$Z46,MIN(AJ$6-$G$3,22))),0)))))</f>
        <v>0</v>
      </c>
      <c r="AK48" s="27" t="n">
        <f aca="false">IF(COUNT(Soja!$E46:$Z46)=0,0,MAX(0,IF((AK$6-$E$3)&lt;1,0,IFERROR(LOOKUP(2,1/(Soja!$E46:INDEX(Soja!$E46:$Z46,MIN(AK$6-$E$3,22))&lt;&gt;""),Soja!$E46:INDEX(Soja!$E46:$Z46,MIN(AK$6-$E$3,22))),0))-IF($G$2,0,IF((AK$6-$G$3)&lt;1,0,IFERROR(LOOKUP(2,1/(Soja!$E46:INDEX(Soja!$E46:$Z46,MIN(AK$6-$G$3,22))&lt;&gt;""),Soja!$E46:INDEX(Soja!$E46:$Z46,MIN(AK$6-$G$3,22))),0)))))</f>
        <v>0</v>
      </c>
      <c r="AL48" s="27" t="n">
        <f aca="false">IF(COUNT(Soja!$E46:$Z46)=0,0,MAX(0,IF((AL$6-$E$3)&lt;1,0,IFERROR(LOOKUP(2,1/(Soja!$E46:INDEX(Soja!$E46:$Z46,MIN(AL$6-$E$3,22))&lt;&gt;""),Soja!$E46:INDEX(Soja!$E46:$Z46,MIN(AL$6-$E$3,22))),0))-IF($G$2,0,IF((AL$6-$G$3)&lt;1,0,IFERROR(LOOKUP(2,1/(Soja!$E46:INDEX(Soja!$E46:$Z46,MIN(AL$6-$G$3,22))&lt;&gt;""),Soja!$E46:INDEX(Soja!$E46:$Z46,MIN(AL$6-$G$3,22))),0)))))</f>
        <v>0</v>
      </c>
      <c r="AM48" s="27" t="n">
        <f aca="false">IF(COUNT(Soja!$E46:$Z46)=0,0,MAX(0,IF((AM$6-$E$3)&lt;1,0,IFERROR(LOOKUP(2,1/(Soja!$E46:INDEX(Soja!$E46:$Z46,MIN(AM$6-$E$3,22))&lt;&gt;""),Soja!$E46:INDEX(Soja!$E46:$Z46,MIN(AM$6-$E$3,22))),0))-IF($G$2,0,IF((AM$6-$G$3)&lt;1,0,IFERROR(LOOKUP(2,1/(Soja!$E46:INDEX(Soja!$E46:$Z46,MIN(AM$6-$G$3,22))&lt;&gt;""),Soja!$E46:INDEX(Soja!$E46:$Z46,MIN(AM$6-$G$3,22))),0)))))</f>
        <v>0</v>
      </c>
      <c r="AN48" s="27" t="n">
        <f aca="false">IF(COUNT(Soja!$E46:$Z46)=0,0,MAX(0,IF((AN$6-$E$3)&lt;1,0,IFERROR(LOOKUP(2,1/(Soja!$E46:INDEX(Soja!$E46:$Z46,MIN(AN$6-$E$3,22))&lt;&gt;""),Soja!$E46:INDEX(Soja!$E46:$Z46,MIN(AN$6-$E$3,22))),0))-IF($G$2,0,IF((AN$6-$G$3)&lt;1,0,IFERROR(LOOKUP(2,1/(Soja!$E46:INDEX(Soja!$E46:$Z46,MIN(AN$6-$G$3,22))&lt;&gt;""),Soja!$E46:INDEX(Soja!$E46:$Z46,MIN(AN$6-$G$3,22))),0)))))</f>
        <v>0</v>
      </c>
      <c r="AO48" s="27" t="n">
        <f aca="false">IF(COUNT(Soja!$E46:$Z46)=0,0,MAX(0,IF((AO$6-$E$3)&lt;1,0,IFERROR(LOOKUP(2,1/(Soja!$E46:INDEX(Soja!$E46:$Z46,MIN(AO$6-$E$3,22))&lt;&gt;""),Soja!$E46:INDEX(Soja!$E46:$Z46,MIN(AO$6-$E$3,22))),0))-IF($G$2,0,IF((AO$6-$G$3)&lt;1,0,IFERROR(LOOKUP(2,1/(Soja!$E46:INDEX(Soja!$E46:$Z46,MIN(AO$6-$G$3,22))&lt;&gt;""),Soja!$E46:INDEX(Soja!$E46:$Z46,MIN(AO$6-$G$3,22))),0)))))</f>
        <v>0</v>
      </c>
      <c r="AP48" s="27" t="n">
        <f aca="false">IF(COUNT(Soja!$E46:$Z46)=0,0,MAX(0,IF((AP$6-$E$3)&lt;1,0,IFERROR(LOOKUP(2,1/(Soja!$E46:INDEX(Soja!$E46:$Z46,MIN(AP$6-$E$3,22))&lt;&gt;""),Soja!$E46:INDEX(Soja!$E46:$Z46,MIN(AP$6-$E$3,22))),0))-IF($G$2,0,IF((AP$6-$G$3)&lt;1,0,IFERROR(LOOKUP(2,1/(Soja!$E46:INDEX(Soja!$E46:$Z46,MIN(AP$6-$G$3,22))&lt;&gt;""),Soja!$E46:INDEX(Soja!$E46:$Z46,MIN(AP$6-$G$3,22))),0)))))</f>
        <v>0</v>
      </c>
      <c r="AQ48" s="27" t="n">
        <f aca="false">IF(COUNT(Soja!$E46:$Z46)=0,0,MAX(0,IF((AQ$6-$E$3)&lt;1,0,IFERROR(LOOKUP(2,1/(Soja!$E46:INDEX(Soja!$E46:$Z46,MIN(AQ$6-$E$3,22))&lt;&gt;""),Soja!$E46:INDEX(Soja!$E46:$Z46,MIN(AQ$6-$E$3,22))),0))-IF($G$2,0,IF((AQ$6-$G$3)&lt;1,0,IFERROR(LOOKUP(2,1/(Soja!$E46:INDEX(Soja!$E46:$Z46,MIN(AQ$6-$G$3,22))&lt;&gt;""),Soja!$E46:INDEX(Soja!$E46:$Z46,MIN(AQ$6-$G$3,22))),0)))))</f>
        <v>0</v>
      </c>
      <c r="AR48" s="27" t="n">
        <f aca="false">IF(COUNT(Soja!$E46:$Z46)=0,0,MAX(0,IF((AR$6-$E$3)&lt;1,0,IFERROR(LOOKUP(2,1/(Soja!$E46:INDEX(Soja!$E46:$Z46,MIN(AR$6-$E$3,22))&lt;&gt;""),Soja!$E46:INDEX(Soja!$E46:$Z46,MIN(AR$6-$E$3,22))),0))-IF($G$2,0,IF((AR$6-$G$3)&lt;1,0,IFERROR(LOOKUP(2,1/(Soja!$E46:INDEX(Soja!$E46:$Z46,MIN(AR$6-$G$3,22))&lt;&gt;""),Soja!$E46:INDEX(Soja!$E46:$Z46,MIN(AR$6-$G$3,22))),0)))))</f>
        <v>0</v>
      </c>
      <c r="AS48" s="27" t="n">
        <f aca="false">IF(COUNT(Soja!$E46:$Z46)=0,0,MAX(0,IF((AS$6-$E$3)&lt;1,0,IFERROR(LOOKUP(2,1/(Soja!$E46:INDEX(Soja!$E46:$Z46,MIN(AS$6-$E$3,22))&lt;&gt;""),Soja!$E46:INDEX(Soja!$E46:$Z46,MIN(AS$6-$E$3,22))),0))-IF($G$2,0,IF((AS$6-$G$3)&lt;1,0,IFERROR(LOOKUP(2,1/(Soja!$E46:INDEX(Soja!$E46:$Z46,MIN(AS$6-$G$3,22))&lt;&gt;""),Soja!$E46:INDEX(Soja!$E46:$Z46,MIN(AS$6-$G$3,22))),0)))))</f>
        <v>0</v>
      </c>
      <c r="AT48" s="27" t="n">
        <f aca="false">IF(COUNT(Soja!$E46:$Z46)=0,0,MAX(0,IF((AT$6-$E$3)&lt;1,0,IFERROR(LOOKUP(2,1/(Soja!$E46:INDEX(Soja!$E46:$Z46,MIN(AT$6-$E$3,22))&lt;&gt;""),Soja!$E46:INDEX(Soja!$E46:$Z46,MIN(AT$6-$E$3,22))),0))-IF($G$2,0,IF((AT$6-$G$3)&lt;1,0,IFERROR(LOOKUP(2,1/(Soja!$E46:INDEX(Soja!$E46:$Z46,MIN(AT$6-$G$3,22))&lt;&gt;""),Soja!$E46:INDEX(Soja!$E46:$Z46,MIN(AT$6-$G$3,22))),0)))))</f>
        <v>0</v>
      </c>
      <c r="AU48" s="27" t="n">
        <f aca="false">IF(COUNT(Soja!$E46:$Z46)=0,0,MAX(0,IF((AU$6-$E$3)&lt;1,0,IFERROR(LOOKUP(2,1/(Soja!$E46:INDEX(Soja!$E46:$Z46,MIN(AU$6-$E$3,22))&lt;&gt;""),Soja!$E46:INDEX(Soja!$E46:$Z46,MIN(AU$6-$E$3,22))),0))-IF($G$2,0,IF((AU$6-$G$3)&lt;1,0,IFERROR(LOOKUP(2,1/(Soja!$E46:INDEX(Soja!$E46:$Z46,MIN(AU$6-$G$3,22))&lt;&gt;""),Soja!$E46:INDEX(Soja!$E46:$Z46,MIN(AU$6-$G$3,22))),0)))))</f>
        <v>0</v>
      </c>
      <c r="AV48" s="27" t="n">
        <f aca="false">IF(COUNT(Soja!$E46:$Z46)=0,0,MAX(0,IF((AV$6-$E$3)&lt;1,0,IFERROR(LOOKUP(2,1/(Soja!$E46:INDEX(Soja!$E46:$Z46,MIN(AV$6-$E$3,22))&lt;&gt;""),Soja!$E46:INDEX(Soja!$E46:$Z46,MIN(AV$6-$E$3,22))),0))-IF($G$2,0,IF((AV$6-$G$3)&lt;1,0,IFERROR(LOOKUP(2,1/(Soja!$E46:INDEX(Soja!$E46:$Z46,MIN(AV$6-$G$3,22))&lt;&gt;""),Soja!$E46:INDEX(Soja!$E46:$Z46,MIN(AV$6-$G$3,22))),0)))))</f>
        <v>0</v>
      </c>
      <c r="AW48" s="27" t="n">
        <f aca="false">IF(COUNT(Soja!$E46:$Z46)=0,0,MAX(0,IF((AW$6-$E$3)&lt;1,0,IFERROR(LOOKUP(2,1/(Soja!$E46:INDEX(Soja!$E46:$Z46,MIN(AW$6-$E$3,22))&lt;&gt;""),Soja!$E46:INDEX(Soja!$E46:$Z46,MIN(AW$6-$E$3,22))),0))-IF($G$2,0,IF((AW$6-$G$3)&lt;1,0,IFERROR(LOOKUP(2,1/(Soja!$E46:INDEX(Soja!$E46:$Z46,MIN(AW$6-$G$3,22))&lt;&gt;""),Soja!$E46:INDEX(Soja!$E46:$Z46,MIN(AW$6-$G$3,22))),0)))))</f>
        <v>0</v>
      </c>
      <c r="AX48" s="27" t="n">
        <f aca="false">IF(COUNT(Soja!$E46:$Z46)=0,0,MAX(0,IF((AX$6-$E$3)&lt;1,0,IFERROR(LOOKUP(2,1/(Soja!$E46:INDEX(Soja!$E46:$Z46,MIN(AX$6-$E$3,22))&lt;&gt;""),Soja!$E46:INDEX(Soja!$E46:$Z46,MIN(AX$6-$E$3,22))),0))-IF($G$2,0,IF((AX$6-$G$3)&lt;1,0,IFERROR(LOOKUP(2,1/(Soja!$E46:INDEX(Soja!$E46:$Z46,MIN(AX$6-$G$3,22))&lt;&gt;""),Soja!$E46:INDEX(Soja!$E46:$Z46,MIN(AX$6-$G$3,22))),0)))))</f>
        <v>0</v>
      </c>
      <c r="AY48" s="27" t="n">
        <f aca="false">IF(COUNT(Soja!$E46:$Z46)=0,0,MAX(0,IF((AY$6-$E$3)&lt;1,0,IFERROR(LOOKUP(2,1/(Soja!$E46:INDEX(Soja!$E46:$Z46,MIN(AY$6-$E$3,22))&lt;&gt;""),Soja!$E46:INDEX(Soja!$E46:$Z46,MIN(AY$6-$E$3,22))),0))-IF($G$2,0,IF((AY$6-$G$3)&lt;1,0,IFERROR(LOOKUP(2,1/(Soja!$E46:INDEX(Soja!$E46:$Z46,MIN(AY$6-$G$3,22))&lt;&gt;""),Soja!$E46:INDEX(Soja!$E46:$Z46,MIN(AY$6-$G$3,22))),0)))))</f>
        <v>0</v>
      </c>
      <c r="AZ48" s="27" t="n">
        <f aca="false">IF(COUNT(Soja!$E46:$Z46)=0,0,MAX(0,IF((AZ$6-$E$3)&lt;1,0,IFERROR(LOOKUP(2,1/(Soja!$E46:INDEX(Soja!$E46:$Z46,MIN(AZ$6-$E$3,22))&lt;&gt;""),Soja!$E46:INDEX(Soja!$E46:$Z46,MIN(AZ$6-$E$3,22))),0))-IF($G$2,0,IF((AZ$6-$G$3)&lt;1,0,IFERROR(LOOKUP(2,1/(Soja!$E46:INDEX(Soja!$E46:$Z46,MIN(AZ$6-$G$3,22))&lt;&gt;""),Soja!$E46:INDEX(Soja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IF(COUNT(Soja!$E47:$Z47)&gt;0,N(Soja!$D47),0)</f>
        <v>0</v>
      </c>
      <c r="E49" s="27" t="n">
        <f aca="false">IF(COUNT(Soja!$E47:$Z47)=0,0,MAX(0,IF((E$6-$E$3)&lt;1,0,IFERROR(LOOKUP(2,1/(Soja!$E47:INDEX(Soja!$E47:$Z47,MIN(E$6-$E$3,22))&lt;&gt;""),Soja!$E47:INDEX(Soja!$E47:$Z47,MIN(E$6-$E$3,22))),0))-IF($G$2,0,IF((E$6-$G$3)&lt;1,0,IFERROR(LOOKUP(2,1/(Soja!$E47:INDEX(Soja!$E47:$Z47,MIN(E$6-$G$3,22))&lt;&gt;""),Soja!$E47:INDEX(Soja!$E47:$Z47,MIN(E$6-$G$3,22))),0)))))</f>
        <v>0</v>
      </c>
      <c r="F49" s="27" t="n">
        <f aca="false">IF(COUNT(Soja!$E47:$Z47)=0,0,MAX(0,IF((F$6-$E$3)&lt;1,0,IFERROR(LOOKUP(2,1/(Soja!$E47:INDEX(Soja!$E47:$Z47,MIN(F$6-$E$3,22))&lt;&gt;""),Soja!$E47:INDEX(Soja!$E47:$Z47,MIN(F$6-$E$3,22))),0))-IF($G$2,0,IF((F$6-$G$3)&lt;1,0,IFERROR(LOOKUP(2,1/(Soja!$E47:INDEX(Soja!$E47:$Z47,MIN(F$6-$G$3,22))&lt;&gt;""),Soja!$E47:INDEX(Soja!$E47:$Z47,MIN(F$6-$G$3,22))),0)))))</f>
        <v>0</v>
      </c>
      <c r="G49" s="27" t="n">
        <f aca="false">IF(COUNT(Soja!$E47:$Z47)=0,0,MAX(0,IF((G$6-$E$3)&lt;1,0,IFERROR(LOOKUP(2,1/(Soja!$E47:INDEX(Soja!$E47:$Z47,MIN(G$6-$E$3,22))&lt;&gt;""),Soja!$E47:INDEX(Soja!$E47:$Z47,MIN(G$6-$E$3,22))),0))-IF($G$2,0,IF((G$6-$G$3)&lt;1,0,IFERROR(LOOKUP(2,1/(Soja!$E47:INDEX(Soja!$E47:$Z47,MIN(G$6-$G$3,22))&lt;&gt;""),Soja!$E47:INDEX(Soja!$E47:$Z47,MIN(G$6-$G$3,22))),0)))))</f>
        <v>0</v>
      </c>
      <c r="H49" s="27" t="n">
        <f aca="false">IF(COUNT(Soja!$E47:$Z47)=0,0,MAX(0,IF((H$6-$E$3)&lt;1,0,IFERROR(LOOKUP(2,1/(Soja!$E47:INDEX(Soja!$E47:$Z47,MIN(H$6-$E$3,22))&lt;&gt;""),Soja!$E47:INDEX(Soja!$E47:$Z47,MIN(H$6-$E$3,22))),0))-IF($G$2,0,IF((H$6-$G$3)&lt;1,0,IFERROR(LOOKUP(2,1/(Soja!$E47:INDEX(Soja!$E47:$Z47,MIN(H$6-$G$3,22))&lt;&gt;""),Soja!$E47:INDEX(Soja!$E47:$Z47,MIN(H$6-$G$3,22))),0)))))</f>
        <v>0</v>
      </c>
      <c r="I49" s="27" t="n">
        <f aca="false">IF(COUNT(Soja!$E47:$Z47)=0,0,MAX(0,IF((I$6-$E$3)&lt;1,0,IFERROR(LOOKUP(2,1/(Soja!$E47:INDEX(Soja!$E47:$Z47,MIN(I$6-$E$3,22))&lt;&gt;""),Soja!$E47:INDEX(Soja!$E47:$Z47,MIN(I$6-$E$3,22))),0))-IF($G$2,0,IF((I$6-$G$3)&lt;1,0,IFERROR(LOOKUP(2,1/(Soja!$E47:INDEX(Soja!$E47:$Z47,MIN(I$6-$G$3,22))&lt;&gt;""),Soja!$E47:INDEX(Soja!$E47:$Z47,MIN(I$6-$G$3,22))),0)))))</f>
        <v>0</v>
      </c>
      <c r="J49" s="27" t="n">
        <f aca="false">IF(COUNT(Soja!$E47:$Z47)=0,0,MAX(0,IF((J$6-$E$3)&lt;1,0,IFERROR(LOOKUP(2,1/(Soja!$E47:INDEX(Soja!$E47:$Z47,MIN(J$6-$E$3,22))&lt;&gt;""),Soja!$E47:INDEX(Soja!$E47:$Z47,MIN(J$6-$E$3,22))),0))-IF($G$2,0,IF((J$6-$G$3)&lt;1,0,IFERROR(LOOKUP(2,1/(Soja!$E47:INDEX(Soja!$E47:$Z47,MIN(J$6-$G$3,22))&lt;&gt;""),Soja!$E47:INDEX(Soja!$E47:$Z47,MIN(J$6-$G$3,22))),0)))))</f>
        <v>0</v>
      </c>
      <c r="K49" s="27" t="n">
        <f aca="false">IF(COUNT(Soja!$E47:$Z47)=0,0,MAX(0,IF((K$6-$E$3)&lt;1,0,IFERROR(LOOKUP(2,1/(Soja!$E47:INDEX(Soja!$E47:$Z47,MIN(K$6-$E$3,22))&lt;&gt;""),Soja!$E47:INDEX(Soja!$E47:$Z47,MIN(K$6-$E$3,22))),0))-IF($G$2,0,IF((K$6-$G$3)&lt;1,0,IFERROR(LOOKUP(2,1/(Soja!$E47:INDEX(Soja!$E47:$Z47,MIN(K$6-$G$3,22))&lt;&gt;""),Soja!$E47:INDEX(Soja!$E47:$Z47,MIN(K$6-$G$3,22))),0)))))</f>
        <v>0</v>
      </c>
      <c r="L49" s="27" t="n">
        <f aca="false">IF(COUNT(Soja!$E47:$Z47)=0,0,MAX(0,IF((L$6-$E$3)&lt;1,0,IFERROR(LOOKUP(2,1/(Soja!$E47:INDEX(Soja!$E47:$Z47,MIN(L$6-$E$3,22))&lt;&gt;""),Soja!$E47:INDEX(Soja!$E47:$Z47,MIN(L$6-$E$3,22))),0))-IF($G$2,0,IF((L$6-$G$3)&lt;1,0,IFERROR(LOOKUP(2,1/(Soja!$E47:INDEX(Soja!$E47:$Z47,MIN(L$6-$G$3,22))&lt;&gt;""),Soja!$E47:INDEX(Soja!$E47:$Z47,MIN(L$6-$G$3,22))),0)))))</f>
        <v>0</v>
      </c>
      <c r="M49" s="27" t="n">
        <f aca="false">IF(COUNT(Soja!$E47:$Z47)=0,0,MAX(0,IF((M$6-$E$3)&lt;1,0,IFERROR(LOOKUP(2,1/(Soja!$E47:INDEX(Soja!$E47:$Z47,MIN(M$6-$E$3,22))&lt;&gt;""),Soja!$E47:INDEX(Soja!$E47:$Z47,MIN(M$6-$E$3,22))),0))-IF($G$2,0,IF((M$6-$G$3)&lt;1,0,IFERROR(LOOKUP(2,1/(Soja!$E47:INDEX(Soja!$E47:$Z47,MIN(M$6-$G$3,22))&lt;&gt;""),Soja!$E47:INDEX(Soja!$E47:$Z47,MIN(M$6-$G$3,22))),0)))))</f>
        <v>0</v>
      </c>
      <c r="N49" s="27" t="n">
        <f aca="false">IF(COUNT(Soja!$E47:$Z47)=0,0,MAX(0,IF((N$6-$E$3)&lt;1,0,IFERROR(LOOKUP(2,1/(Soja!$E47:INDEX(Soja!$E47:$Z47,MIN(N$6-$E$3,22))&lt;&gt;""),Soja!$E47:INDEX(Soja!$E47:$Z47,MIN(N$6-$E$3,22))),0))-IF($G$2,0,IF((N$6-$G$3)&lt;1,0,IFERROR(LOOKUP(2,1/(Soja!$E47:INDEX(Soja!$E47:$Z47,MIN(N$6-$G$3,22))&lt;&gt;""),Soja!$E47:INDEX(Soja!$E47:$Z47,MIN(N$6-$G$3,22))),0)))))</f>
        <v>0</v>
      </c>
      <c r="O49" s="27" t="n">
        <f aca="false">IF(COUNT(Soja!$E47:$Z47)=0,0,MAX(0,IF((O$6-$E$3)&lt;1,0,IFERROR(LOOKUP(2,1/(Soja!$E47:INDEX(Soja!$E47:$Z47,MIN(O$6-$E$3,22))&lt;&gt;""),Soja!$E47:INDEX(Soja!$E47:$Z47,MIN(O$6-$E$3,22))),0))-IF($G$2,0,IF((O$6-$G$3)&lt;1,0,IFERROR(LOOKUP(2,1/(Soja!$E47:INDEX(Soja!$E47:$Z47,MIN(O$6-$G$3,22))&lt;&gt;""),Soja!$E47:INDEX(Soja!$E47:$Z47,MIN(O$6-$G$3,22))),0)))))</f>
        <v>0</v>
      </c>
      <c r="P49" s="27" t="n">
        <f aca="false">IF(COUNT(Soja!$E47:$Z47)=0,0,MAX(0,IF((P$6-$E$3)&lt;1,0,IFERROR(LOOKUP(2,1/(Soja!$E47:INDEX(Soja!$E47:$Z47,MIN(P$6-$E$3,22))&lt;&gt;""),Soja!$E47:INDEX(Soja!$E47:$Z47,MIN(P$6-$E$3,22))),0))-IF($G$2,0,IF((P$6-$G$3)&lt;1,0,IFERROR(LOOKUP(2,1/(Soja!$E47:INDEX(Soja!$E47:$Z47,MIN(P$6-$G$3,22))&lt;&gt;""),Soja!$E47:INDEX(Soja!$E47:$Z47,MIN(P$6-$G$3,22))),0)))))</f>
        <v>0</v>
      </c>
      <c r="Q49" s="27" t="n">
        <f aca="false">IF(COUNT(Soja!$E47:$Z47)=0,0,MAX(0,IF((Q$6-$E$3)&lt;1,0,IFERROR(LOOKUP(2,1/(Soja!$E47:INDEX(Soja!$E47:$Z47,MIN(Q$6-$E$3,22))&lt;&gt;""),Soja!$E47:INDEX(Soja!$E47:$Z47,MIN(Q$6-$E$3,22))),0))-IF($G$2,0,IF((Q$6-$G$3)&lt;1,0,IFERROR(LOOKUP(2,1/(Soja!$E47:INDEX(Soja!$E47:$Z47,MIN(Q$6-$G$3,22))&lt;&gt;""),Soja!$E47:INDEX(Soja!$E47:$Z47,MIN(Q$6-$G$3,22))),0)))))</f>
        <v>0</v>
      </c>
      <c r="R49" s="27" t="n">
        <f aca="false">IF(COUNT(Soja!$E47:$Z47)=0,0,MAX(0,IF((R$6-$E$3)&lt;1,0,IFERROR(LOOKUP(2,1/(Soja!$E47:INDEX(Soja!$E47:$Z47,MIN(R$6-$E$3,22))&lt;&gt;""),Soja!$E47:INDEX(Soja!$E47:$Z47,MIN(R$6-$E$3,22))),0))-IF($G$2,0,IF((R$6-$G$3)&lt;1,0,IFERROR(LOOKUP(2,1/(Soja!$E47:INDEX(Soja!$E47:$Z47,MIN(R$6-$G$3,22))&lt;&gt;""),Soja!$E47:INDEX(Soja!$E47:$Z47,MIN(R$6-$G$3,22))),0)))))</f>
        <v>0</v>
      </c>
      <c r="S49" s="27" t="n">
        <f aca="false">IF(COUNT(Soja!$E47:$Z47)=0,0,MAX(0,IF((S$6-$E$3)&lt;1,0,IFERROR(LOOKUP(2,1/(Soja!$E47:INDEX(Soja!$E47:$Z47,MIN(S$6-$E$3,22))&lt;&gt;""),Soja!$E47:INDEX(Soja!$E47:$Z47,MIN(S$6-$E$3,22))),0))-IF($G$2,0,IF((S$6-$G$3)&lt;1,0,IFERROR(LOOKUP(2,1/(Soja!$E47:INDEX(Soja!$E47:$Z47,MIN(S$6-$G$3,22))&lt;&gt;""),Soja!$E47:INDEX(Soja!$E47:$Z47,MIN(S$6-$G$3,22))),0)))))</f>
        <v>0</v>
      </c>
      <c r="T49" s="27" t="n">
        <f aca="false">IF(COUNT(Soja!$E47:$Z47)=0,0,MAX(0,IF((T$6-$E$3)&lt;1,0,IFERROR(LOOKUP(2,1/(Soja!$E47:INDEX(Soja!$E47:$Z47,MIN(T$6-$E$3,22))&lt;&gt;""),Soja!$E47:INDEX(Soja!$E47:$Z47,MIN(T$6-$E$3,22))),0))-IF($G$2,0,IF((T$6-$G$3)&lt;1,0,IFERROR(LOOKUP(2,1/(Soja!$E47:INDEX(Soja!$E47:$Z47,MIN(T$6-$G$3,22))&lt;&gt;""),Soja!$E47:INDEX(Soja!$E47:$Z47,MIN(T$6-$G$3,22))),0)))))</f>
        <v>0</v>
      </c>
      <c r="U49" s="27" t="n">
        <f aca="false">IF(COUNT(Soja!$E47:$Z47)=0,0,MAX(0,IF((U$6-$E$3)&lt;1,0,IFERROR(LOOKUP(2,1/(Soja!$E47:INDEX(Soja!$E47:$Z47,MIN(U$6-$E$3,22))&lt;&gt;""),Soja!$E47:INDEX(Soja!$E47:$Z47,MIN(U$6-$E$3,22))),0))-IF($G$2,0,IF((U$6-$G$3)&lt;1,0,IFERROR(LOOKUP(2,1/(Soja!$E47:INDEX(Soja!$E47:$Z47,MIN(U$6-$G$3,22))&lt;&gt;""),Soja!$E47:INDEX(Soja!$E47:$Z47,MIN(U$6-$G$3,22))),0)))))</f>
        <v>0</v>
      </c>
      <c r="V49" s="27" t="n">
        <f aca="false">IF(COUNT(Soja!$E47:$Z47)=0,0,MAX(0,IF((V$6-$E$3)&lt;1,0,IFERROR(LOOKUP(2,1/(Soja!$E47:INDEX(Soja!$E47:$Z47,MIN(V$6-$E$3,22))&lt;&gt;""),Soja!$E47:INDEX(Soja!$E47:$Z47,MIN(V$6-$E$3,22))),0))-IF($G$2,0,IF((V$6-$G$3)&lt;1,0,IFERROR(LOOKUP(2,1/(Soja!$E47:INDEX(Soja!$E47:$Z47,MIN(V$6-$G$3,22))&lt;&gt;""),Soja!$E47:INDEX(Soja!$E47:$Z47,MIN(V$6-$G$3,22))),0)))))</f>
        <v>0</v>
      </c>
      <c r="W49" s="27" t="n">
        <f aca="false">IF(COUNT(Soja!$E47:$Z47)=0,0,MAX(0,IF((W$6-$E$3)&lt;1,0,IFERROR(LOOKUP(2,1/(Soja!$E47:INDEX(Soja!$E47:$Z47,MIN(W$6-$E$3,22))&lt;&gt;""),Soja!$E47:INDEX(Soja!$E47:$Z47,MIN(W$6-$E$3,22))),0))-IF($G$2,0,IF((W$6-$G$3)&lt;1,0,IFERROR(LOOKUP(2,1/(Soja!$E47:INDEX(Soja!$E47:$Z47,MIN(W$6-$G$3,22))&lt;&gt;""),Soja!$E47:INDEX(Soja!$E47:$Z47,MIN(W$6-$G$3,22))),0)))))</f>
        <v>0</v>
      </c>
      <c r="X49" s="27" t="n">
        <f aca="false">IF(COUNT(Soja!$E47:$Z47)=0,0,MAX(0,IF((X$6-$E$3)&lt;1,0,IFERROR(LOOKUP(2,1/(Soja!$E47:INDEX(Soja!$E47:$Z47,MIN(X$6-$E$3,22))&lt;&gt;""),Soja!$E47:INDEX(Soja!$E47:$Z47,MIN(X$6-$E$3,22))),0))-IF($G$2,0,IF((X$6-$G$3)&lt;1,0,IFERROR(LOOKUP(2,1/(Soja!$E47:INDEX(Soja!$E47:$Z47,MIN(X$6-$G$3,22))&lt;&gt;""),Soja!$E47:INDEX(Soja!$E47:$Z47,MIN(X$6-$G$3,22))),0)))))</f>
        <v>0</v>
      </c>
      <c r="Y49" s="27" t="n">
        <f aca="false">IF(COUNT(Soja!$E47:$Z47)=0,0,MAX(0,IF((Y$6-$E$3)&lt;1,0,IFERROR(LOOKUP(2,1/(Soja!$E47:INDEX(Soja!$E47:$Z47,MIN(Y$6-$E$3,22))&lt;&gt;""),Soja!$E47:INDEX(Soja!$E47:$Z47,MIN(Y$6-$E$3,22))),0))-IF($G$2,0,IF((Y$6-$G$3)&lt;1,0,IFERROR(LOOKUP(2,1/(Soja!$E47:INDEX(Soja!$E47:$Z47,MIN(Y$6-$G$3,22))&lt;&gt;""),Soja!$E47:INDEX(Soja!$E47:$Z47,MIN(Y$6-$G$3,22))),0)))))</f>
        <v>0</v>
      </c>
      <c r="Z49" s="27" t="n">
        <f aca="false">IF(COUNT(Soja!$E47:$Z47)=0,0,MAX(0,IF((Z$6-$E$3)&lt;1,0,IFERROR(LOOKUP(2,1/(Soja!$E47:INDEX(Soja!$E47:$Z47,MIN(Z$6-$E$3,22))&lt;&gt;""),Soja!$E47:INDEX(Soja!$E47:$Z47,MIN(Z$6-$E$3,22))),0))-IF($G$2,0,IF((Z$6-$G$3)&lt;1,0,IFERROR(LOOKUP(2,1/(Soja!$E47:INDEX(Soja!$E47:$Z47,MIN(Z$6-$G$3,22))&lt;&gt;""),Soja!$E47:INDEX(Soja!$E47:$Z47,MIN(Z$6-$G$3,22))),0)))))</f>
        <v>0</v>
      </c>
      <c r="AA49" s="27" t="n">
        <f aca="false">IF(COUNT(Soja!$E47:$Z47)=0,0,MAX(0,IF((AA$6-$E$3)&lt;1,0,IFERROR(LOOKUP(2,1/(Soja!$E47:INDEX(Soja!$E47:$Z47,MIN(AA$6-$E$3,22))&lt;&gt;""),Soja!$E47:INDEX(Soja!$E47:$Z47,MIN(AA$6-$E$3,22))),0))-IF($G$2,0,IF((AA$6-$G$3)&lt;1,0,IFERROR(LOOKUP(2,1/(Soja!$E47:INDEX(Soja!$E47:$Z47,MIN(AA$6-$G$3,22))&lt;&gt;""),Soja!$E47:INDEX(Soja!$E47:$Z47,MIN(AA$6-$G$3,22))),0)))))</f>
        <v>0</v>
      </c>
      <c r="AB49" s="27" t="n">
        <f aca="false">IF(COUNT(Soja!$E47:$Z47)=0,0,MAX(0,IF((AB$6-$E$3)&lt;1,0,IFERROR(LOOKUP(2,1/(Soja!$E47:INDEX(Soja!$E47:$Z47,MIN(AB$6-$E$3,22))&lt;&gt;""),Soja!$E47:INDEX(Soja!$E47:$Z47,MIN(AB$6-$E$3,22))),0))-IF($G$2,0,IF((AB$6-$G$3)&lt;1,0,IFERROR(LOOKUP(2,1/(Soja!$E47:INDEX(Soja!$E47:$Z47,MIN(AB$6-$G$3,22))&lt;&gt;""),Soja!$E47:INDEX(Soja!$E47:$Z47,MIN(AB$6-$G$3,22))),0)))))</f>
        <v>0</v>
      </c>
      <c r="AC49" s="27" t="n">
        <f aca="false">IF(COUNT(Soja!$E47:$Z47)=0,0,MAX(0,IF((AC$6-$E$3)&lt;1,0,IFERROR(LOOKUP(2,1/(Soja!$E47:INDEX(Soja!$E47:$Z47,MIN(AC$6-$E$3,22))&lt;&gt;""),Soja!$E47:INDEX(Soja!$E47:$Z47,MIN(AC$6-$E$3,22))),0))-IF($G$2,0,IF((AC$6-$G$3)&lt;1,0,IFERROR(LOOKUP(2,1/(Soja!$E47:INDEX(Soja!$E47:$Z47,MIN(AC$6-$G$3,22))&lt;&gt;""),Soja!$E47:INDEX(Soja!$E47:$Z47,MIN(AC$6-$G$3,22))),0)))))</f>
        <v>0</v>
      </c>
      <c r="AD49" s="27" t="n">
        <f aca="false">IF(COUNT(Soja!$E47:$Z47)=0,0,MAX(0,IF((AD$6-$E$3)&lt;1,0,IFERROR(LOOKUP(2,1/(Soja!$E47:INDEX(Soja!$E47:$Z47,MIN(AD$6-$E$3,22))&lt;&gt;""),Soja!$E47:INDEX(Soja!$E47:$Z47,MIN(AD$6-$E$3,22))),0))-IF($G$2,0,IF((AD$6-$G$3)&lt;1,0,IFERROR(LOOKUP(2,1/(Soja!$E47:INDEX(Soja!$E47:$Z47,MIN(AD$6-$G$3,22))&lt;&gt;""),Soja!$E47:INDEX(Soja!$E47:$Z47,MIN(AD$6-$G$3,22))),0)))))</f>
        <v>0</v>
      </c>
      <c r="AE49" s="27" t="n">
        <f aca="false">IF(COUNT(Soja!$E47:$Z47)=0,0,MAX(0,IF((AE$6-$E$3)&lt;1,0,IFERROR(LOOKUP(2,1/(Soja!$E47:INDEX(Soja!$E47:$Z47,MIN(AE$6-$E$3,22))&lt;&gt;""),Soja!$E47:INDEX(Soja!$E47:$Z47,MIN(AE$6-$E$3,22))),0))-IF($G$2,0,IF((AE$6-$G$3)&lt;1,0,IFERROR(LOOKUP(2,1/(Soja!$E47:INDEX(Soja!$E47:$Z47,MIN(AE$6-$G$3,22))&lt;&gt;""),Soja!$E47:INDEX(Soja!$E47:$Z47,MIN(AE$6-$G$3,22))),0)))))</f>
        <v>0</v>
      </c>
      <c r="AF49" s="27" t="n">
        <f aca="false">IF(COUNT(Soja!$E47:$Z47)=0,0,MAX(0,IF((AF$6-$E$3)&lt;1,0,IFERROR(LOOKUP(2,1/(Soja!$E47:INDEX(Soja!$E47:$Z47,MIN(AF$6-$E$3,22))&lt;&gt;""),Soja!$E47:INDEX(Soja!$E47:$Z47,MIN(AF$6-$E$3,22))),0))-IF($G$2,0,IF((AF$6-$G$3)&lt;1,0,IFERROR(LOOKUP(2,1/(Soja!$E47:INDEX(Soja!$E47:$Z47,MIN(AF$6-$G$3,22))&lt;&gt;""),Soja!$E47:INDEX(Soja!$E47:$Z47,MIN(AF$6-$G$3,22))),0)))))</f>
        <v>0</v>
      </c>
      <c r="AG49" s="27" t="n">
        <f aca="false">IF(COUNT(Soja!$E47:$Z47)=0,0,MAX(0,IF((AG$6-$E$3)&lt;1,0,IFERROR(LOOKUP(2,1/(Soja!$E47:INDEX(Soja!$E47:$Z47,MIN(AG$6-$E$3,22))&lt;&gt;""),Soja!$E47:INDEX(Soja!$E47:$Z47,MIN(AG$6-$E$3,22))),0))-IF($G$2,0,IF((AG$6-$G$3)&lt;1,0,IFERROR(LOOKUP(2,1/(Soja!$E47:INDEX(Soja!$E47:$Z47,MIN(AG$6-$G$3,22))&lt;&gt;""),Soja!$E47:INDEX(Soja!$E47:$Z47,MIN(AG$6-$G$3,22))),0)))))</f>
        <v>0</v>
      </c>
      <c r="AH49" s="27" t="n">
        <f aca="false">IF(COUNT(Soja!$E47:$Z47)=0,0,MAX(0,IF((AH$6-$E$3)&lt;1,0,IFERROR(LOOKUP(2,1/(Soja!$E47:INDEX(Soja!$E47:$Z47,MIN(AH$6-$E$3,22))&lt;&gt;""),Soja!$E47:INDEX(Soja!$E47:$Z47,MIN(AH$6-$E$3,22))),0))-IF($G$2,0,IF((AH$6-$G$3)&lt;1,0,IFERROR(LOOKUP(2,1/(Soja!$E47:INDEX(Soja!$E47:$Z47,MIN(AH$6-$G$3,22))&lt;&gt;""),Soja!$E47:INDEX(Soja!$E47:$Z47,MIN(AH$6-$G$3,22))),0)))))</f>
        <v>0</v>
      </c>
      <c r="AI49" s="27" t="n">
        <f aca="false">IF(COUNT(Soja!$E47:$Z47)=0,0,MAX(0,IF((AI$6-$E$3)&lt;1,0,IFERROR(LOOKUP(2,1/(Soja!$E47:INDEX(Soja!$E47:$Z47,MIN(AI$6-$E$3,22))&lt;&gt;""),Soja!$E47:INDEX(Soja!$E47:$Z47,MIN(AI$6-$E$3,22))),0))-IF($G$2,0,IF((AI$6-$G$3)&lt;1,0,IFERROR(LOOKUP(2,1/(Soja!$E47:INDEX(Soja!$E47:$Z47,MIN(AI$6-$G$3,22))&lt;&gt;""),Soja!$E47:INDEX(Soja!$E47:$Z47,MIN(AI$6-$G$3,22))),0)))))</f>
        <v>0</v>
      </c>
      <c r="AJ49" s="27" t="n">
        <f aca="false">IF(COUNT(Soja!$E47:$Z47)=0,0,MAX(0,IF((AJ$6-$E$3)&lt;1,0,IFERROR(LOOKUP(2,1/(Soja!$E47:INDEX(Soja!$E47:$Z47,MIN(AJ$6-$E$3,22))&lt;&gt;""),Soja!$E47:INDEX(Soja!$E47:$Z47,MIN(AJ$6-$E$3,22))),0))-IF($G$2,0,IF((AJ$6-$G$3)&lt;1,0,IFERROR(LOOKUP(2,1/(Soja!$E47:INDEX(Soja!$E47:$Z47,MIN(AJ$6-$G$3,22))&lt;&gt;""),Soja!$E47:INDEX(Soja!$E47:$Z47,MIN(AJ$6-$G$3,22))),0)))))</f>
        <v>0</v>
      </c>
      <c r="AK49" s="27" t="n">
        <f aca="false">IF(COUNT(Soja!$E47:$Z47)=0,0,MAX(0,IF((AK$6-$E$3)&lt;1,0,IFERROR(LOOKUP(2,1/(Soja!$E47:INDEX(Soja!$E47:$Z47,MIN(AK$6-$E$3,22))&lt;&gt;""),Soja!$E47:INDEX(Soja!$E47:$Z47,MIN(AK$6-$E$3,22))),0))-IF($G$2,0,IF((AK$6-$G$3)&lt;1,0,IFERROR(LOOKUP(2,1/(Soja!$E47:INDEX(Soja!$E47:$Z47,MIN(AK$6-$G$3,22))&lt;&gt;""),Soja!$E47:INDEX(Soja!$E47:$Z47,MIN(AK$6-$G$3,22))),0)))))</f>
        <v>0</v>
      </c>
      <c r="AL49" s="27" t="n">
        <f aca="false">IF(COUNT(Soja!$E47:$Z47)=0,0,MAX(0,IF((AL$6-$E$3)&lt;1,0,IFERROR(LOOKUP(2,1/(Soja!$E47:INDEX(Soja!$E47:$Z47,MIN(AL$6-$E$3,22))&lt;&gt;""),Soja!$E47:INDEX(Soja!$E47:$Z47,MIN(AL$6-$E$3,22))),0))-IF($G$2,0,IF((AL$6-$G$3)&lt;1,0,IFERROR(LOOKUP(2,1/(Soja!$E47:INDEX(Soja!$E47:$Z47,MIN(AL$6-$G$3,22))&lt;&gt;""),Soja!$E47:INDEX(Soja!$E47:$Z47,MIN(AL$6-$G$3,22))),0)))))</f>
        <v>0</v>
      </c>
      <c r="AM49" s="27" t="n">
        <f aca="false">IF(COUNT(Soja!$E47:$Z47)=0,0,MAX(0,IF((AM$6-$E$3)&lt;1,0,IFERROR(LOOKUP(2,1/(Soja!$E47:INDEX(Soja!$E47:$Z47,MIN(AM$6-$E$3,22))&lt;&gt;""),Soja!$E47:INDEX(Soja!$E47:$Z47,MIN(AM$6-$E$3,22))),0))-IF($G$2,0,IF((AM$6-$G$3)&lt;1,0,IFERROR(LOOKUP(2,1/(Soja!$E47:INDEX(Soja!$E47:$Z47,MIN(AM$6-$G$3,22))&lt;&gt;""),Soja!$E47:INDEX(Soja!$E47:$Z47,MIN(AM$6-$G$3,22))),0)))))</f>
        <v>0</v>
      </c>
      <c r="AN49" s="27" t="n">
        <f aca="false">IF(COUNT(Soja!$E47:$Z47)=0,0,MAX(0,IF((AN$6-$E$3)&lt;1,0,IFERROR(LOOKUP(2,1/(Soja!$E47:INDEX(Soja!$E47:$Z47,MIN(AN$6-$E$3,22))&lt;&gt;""),Soja!$E47:INDEX(Soja!$E47:$Z47,MIN(AN$6-$E$3,22))),0))-IF($G$2,0,IF((AN$6-$G$3)&lt;1,0,IFERROR(LOOKUP(2,1/(Soja!$E47:INDEX(Soja!$E47:$Z47,MIN(AN$6-$G$3,22))&lt;&gt;""),Soja!$E47:INDEX(Soja!$E47:$Z47,MIN(AN$6-$G$3,22))),0)))))</f>
        <v>0</v>
      </c>
      <c r="AO49" s="27" t="n">
        <f aca="false">IF(COUNT(Soja!$E47:$Z47)=0,0,MAX(0,IF((AO$6-$E$3)&lt;1,0,IFERROR(LOOKUP(2,1/(Soja!$E47:INDEX(Soja!$E47:$Z47,MIN(AO$6-$E$3,22))&lt;&gt;""),Soja!$E47:INDEX(Soja!$E47:$Z47,MIN(AO$6-$E$3,22))),0))-IF($G$2,0,IF((AO$6-$G$3)&lt;1,0,IFERROR(LOOKUP(2,1/(Soja!$E47:INDEX(Soja!$E47:$Z47,MIN(AO$6-$G$3,22))&lt;&gt;""),Soja!$E47:INDEX(Soja!$E47:$Z47,MIN(AO$6-$G$3,22))),0)))))</f>
        <v>0</v>
      </c>
      <c r="AP49" s="27" t="n">
        <f aca="false">IF(COUNT(Soja!$E47:$Z47)=0,0,MAX(0,IF((AP$6-$E$3)&lt;1,0,IFERROR(LOOKUP(2,1/(Soja!$E47:INDEX(Soja!$E47:$Z47,MIN(AP$6-$E$3,22))&lt;&gt;""),Soja!$E47:INDEX(Soja!$E47:$Z47,MIN(AP$6-$E$3,22))),0))-IF($G$2,0,IF((AP$6-$G$3)&lt;1,0,IFERROR(LOOKUP(2,1/(Soja!$E47:INDEX(Soja!$E47:$Z47,MIN(AP$6-$G$3,22))&lt;&gt;""),Soja!$E47:INDEX(Soja!$E47:$Z47,MIN(AP$6-$G$3,22))),0)))))</f>
        <v>0</v>
      </c>
      <c r="AQ49" s="27" t="n">
        <f aca="false">IF(COUNT(Soja!$E47:$Z47)=0,0,MAX(0,IF((AQ$6-$E$3)&lt;1,0,IFERROR(LOOKUP(2,1/(Soja!$E47:INDEX(Soja!$E47:$Z47,MIN(AQ$6-$E$3,22))&lt;&gt;""),Soja!$E47:INDEX(Soja!$E47:$Z47,MIN(AQ$6-$E$3,22))),0))-IF($G$2,0,IF((AQ$6-$G$3)&lt;1,0,IFERROR(LOOKUP(2,1/(Soja!$E47:INDEX(Soja!$E47:$Z47,MIN(AQ$6-$G$3,22))&lt;&gt;""),Soja!$E47:INDEX(Soja!$E47:$Z47,MIN(AQ$6-$G$3,22))),0)))))</f>
        <v>0</v>
      </c>
      <c r="AR49" s="27" t="n">
        <f aca="false">IF(COUNT(Soja!$E47:$Z47)=0,0,MAX(0,IF((AR$6-$E$3)&lt;1,0,IFERROR(LOOKUP(2,1/(Soja!$E47:INDEX(Soja!$E47:$Z47,MIN(AR$6-$E$3,22))&lt;&gt;""),Soja!$E47:INDEX(Soja!$E47:$Z47,MIN(AR$6-$E$3,22))),0))-IF($G$2,0,IF((AR$6-$G$3)&lt;1,0,IFERROR(LOOKUP(2,1/(Soja!$E47:INDEX(Soja!$E47:$Z47,MIN(AR$6-$G$3,22))&lt;&gt;""),Soja!$E47:INDEX(Soja!$E47:$Z47,MIN(AR$6-$G$3,22))),0)))))</f>
        <v>0</v>
      </c>
      <c r="AS49" s="27" t="n">
        <f aca="false">IF(COUNT(Soja!$E47:$Z47)=0,0,MAX(0,IF((AS$6-$E$3)&lt;1,0,IFERROR(LOOKUP(2,1/(Soja!$E47:INDEX(Soja!$E47:$Z47,MIN(AS$6-$E$3,22))&lt;&gt;""),Soja!$E47:INDEX(Soja!$E47:$Z47,MIN(AS$6-$E$3,22))),0))-IF($G$2,0,IF((AS$6-$G$3)&lt;1,0,IFERROR(LOOKUP(2,1/(Soja!$E47:INDEX(Soja!$E47:$Z47,MIN(AS$6-$G$3,22))&lt;&gt;""),Soja!$E47:INDEX(Soja!$E47:$Z47,MIN(AS$6-$G$3,22))),0)))))</f>
        <v>0</v>
      </c>
      <c r="AT49" s="27" t="n">
        <f aca="false">IF(COUNT(Soja!$E47:$Z47)=0,0,MAX(0,IF((AT$6-$E$3)&lt;1,0,IFERROR(LOOKUP(2,1/(Soja!$E47:INDEX(Soja!$E47:$Z47,MIN(AT$6-$E$3,22))&lt;&gt;""),Soja!$E47:INDEX(Soja!$E47:$Z47,MIN(AT$6-$E$3,22))),0))-IF($G$2,0,IF((AT$6-$G$3)&lt;1,0,IFERROR(LOOKUP(2,1/(Soja!$E47:INDEX(Soja!$E47:$Z47,MIN(AT$6-$G$3,22))&lt;&gt;""),Soja!$E47:INDEX(Soja!$E47:$Z47,MIN(AT$6-$G$3,22))),0)))))</f>
        <v>0</v>
      </c>
      <c r="AU49" s="27" t="n">
        <f aca="false">IF(COUNT(Soja!$E47:$Z47)=0,0,MAX(0,IF((AU$6-$E$3)&lt;1,0,IFERROR(LOOKUP(2,1/(Soja!$E47:INDEX(Soja!$E47:$Z47,MIN(AU$6-$E$3,22))&lt;&gt;""),Soja!$E47:INDEX(Soja!$E47:$Z47,MIN(AU$6-$E$3,22))),0))-IF($G$2,0,IF((AU$6-$G$3)&lt;1,0,IFERROR(LOOKUP(2,1/(Soja!$E47:INDEX(Soja!$E47:$Z47,MIN(AU$6-$G$3,22))&lt;&gt;""),Soja!$E47:INDEX(Soja!$E47:$Z47,MIN(AU$6-$G$3,22))),0)))))</f>
        <v>0</v>
      </c>
      <c r="AV49" s="27" t="n">
        <f aca="false">IF(COUNT(Soja!$E47:$Z47)=0,0,MAX(0,IF((AV$6-$E$3)&lt;1,0,IFERROR(LOOKUP(2,1/(Soja!$E47:INDEX(Soja!$E47:$Z47,MIN(AV$6-$E$3,22))&lt;&gt;""),Soja!$E47:INDEX(Soja!$E47:$Z47,MIN(AV$6-$E$3,22))),0))-IF($G$2,0,IF((AV$6-$G$3)&lt;1,0,IFERROR(LOOKUP(2,1/(Soja!$E47:INDEX(Soja!$E47:$Z47,MIN(AV$6-$G$3,22))&lt;&gt;""),Soja!$E47:INDEX(Soja!$E47:$Z47,MIN(AV$6-$G$3,22))),0)))))</f>
        <v>0</v>
      </c>
      <c r="AW49" s="27" t="n">
        <f aca="false">IF(COUNT(Soja!$E47:$Z47)=0,0,MAX(0,IF((AW$6-$E$3)&lt;1,0,IFERROR(LOOKUP(2,1/(Soja!$E47:INDEX(Soja!$E47:$Z47,MIN(AW$6-$E$3,22))&lt;&gt;""),Soja!$E47:INDEX(Soja!$E47:$Z47,MIN(AW$6-$E$3,22))),0))-IF($G$2,0,IF((AW$6-$G$3)&lt;1,0,IFERROR(LOOKUP(2,1/(Soja!$E47:INDEX(Soja!$E47:$Z47,MIN(AW$6-$G$3,22))&lt;&gt;""),Soja!$E47:INDEX(Soja!$E47:$Z47,MIN(AW$6-$G$3,22))),0)))))</f>
        <v>0</v>
      </c>
      <c r="AX49" s="27" t="n">
        <f aca="false">IF(COUNT(Soja!$E47:$Z47)=0,0,MAX(0,IF((AX$6-$E$3)&lt;1,0,IFERROR(LOOKUP(2,1/(Soja!$E47:INDEX(Soja!$E47:$Z47,MIN(AX$6-$E$3,22))&lt;&gt;""),Soja!$E47:INDEX(Soja!$E47:$Z47,MIN(AX$6-$E$3,22))),0))-IF($G$2,0,IF((AX$6-$G$3)&lt;1,0,IFERROR(LOOKUP(2,1/(Soja!$E47:INDEX(Soja!$E47:$Z47,MIN(AX$6-$G$3,22))&lt;&gt;""),Soja!$E47:INDEX(Soja!$E47:$Z47,MIN(AX$6-$G$3,22))),0)))))</f>
        <v>0</v>
      </c>
      <c r="AY49" s="27" t="n">
        <f aca="false">IF(COUNT(Soja!$E47:$Z47)=0,0,MAX(0,IF((AY$6-$E$3)&lt;1,0,IFERROR(LOOKUP(2,1/(Soja!$E47:INDEX(Soja!$E47:$Z47,MIN(AY$6-$E$3,22))&lt;&gt;""),Soja!$E47:INDEX(Soja!$E47:$Z47,MIN(AY$6-$E$3,22))),0))-IF($G$2,0,IF((AY$6-$G$3)&lt;1,0,IFERROR(LOOKUP(2,1/(Soja!$E47:INDEX(Soja!$E47:$Z47,MIN(AY$6-$G$3,22))&lt;&gt;""),Soja!$E47:INDEX(Soja!$E47:$Z47,MIN(AY$6-$G$3,22))),0)))))</f>
        <v>0</v>
      </c>
      <c r="AZ49" s="27" t="n">
        <f aca="false">IF(COUNT(Soja!$E47:$Z47)=0,0,MAX(0,IF((AZ$6-$E$3)&lt;1,0,IFERROR(LOOKUP(2,1/(Soja!$E47:INDEX(Soja!$E47:$Z47,MIN(AZ$6-$E$3,22))&lt;&gt;""),Soja!$E47:INDEX(Soja!$E47:$Z47,MIN(AZ$6-$E$3,22))),0))-IF($G$2,0,IF((AZ$6-$G$3)&lt;1,0,IFERROR(LOOKUP(2,1/(Soja!$E47:INDEX(Soja!$E47:$Z47,MIN(AZ$6-$G$3,22))&lt;&gt;""),Soja!$E47:INDEX(Soja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IF(COUNT(Soja!$E48:$Z48)&gt;0,N(Soja!$D48),0)</f>
        <v>0</v>
      </c>
      <c r="E50" s="27" t="n">
        <f aca="false">IF(COUNT(Soja!$E48:$Z48)=0,0,MAX(0,IF((E$6-$E$3)&lt;1,0,IFERROR(LOOKUP(2,1/(Soja!$E48:INDEX(Soja!$E48:$Z48,MIN(E$6-$E$3,22))&lt;&gt;""),Soja!$E48:INDEX(Soja!$E48:$Z48,MIN(E$6-$E$3,22))),0))-IF($G$2,0,IF((E$6-$G$3)&lt;1,0,IFERROR(LOOKUP(2,1/(Soja!$E48:INDEX(Soja!$E48:$Z48,MIN(E$6-$G$3,22))&lt;&gt;""),Soja!$E48:INDEX(Soja!$E48:$Z48,MIN(E$6-$G$3,22))),0)))))</f>
        <v>0</v>
      </c>
      <c r="F50" s="27" t="n">
        <f aca="false">IF(COUNT(Soja!$E48:$Z48)=0,0,MAX(0,IF((F$6-$E$3)&lt;1,0,IFERROR(LOOKUP(2,1/(Soja!$E48:INDEX(Soja!$E48:$Z48,MIN(F$6-$E$3,22))&lt;&gt;""),Soja!$E48:INDEX(Soja!$E48:$Z48,MIN(F$6-$E$3,22))),0))-IF($G$2,0,IF((F$6-$G$3)&lt;1,0,IFERROR(LOOKUP(2,1/(Soja!$E48:INDEX(Soja!$E48:$Z48,MIN(F$6-$G$3,22))&lt;&gt;""),Soja!$E48:INDEX(Soja!$E48:$Z48,MIN(F$6-$G$3,22))),0)))))</f>
        <v>0</v>
      </c>
      <c r="G50" s="27" t="n">
        <f aca="false">IF(COUNT(Soja!$E48:$Z48)=0,0,MAX(0,IF((G$6-$E$3)&lt;1,0,IFERROR(LOOKUP(2,1/(Soja!$E48:INDEX(Soja!$E48:$Z48,MIN(G$6-$E$3,22))&lt;&gt;""),Soja!$E48:INDEX(Soja!$E48:$Z48,MIN(G$6-$E$3,22))),0))-IF($G$2,0,IF((G$6-$G$3)&lt;1,0,IFERROR(LOOKUP(2,1/(Soja!$E48:INDEX(Soja!$E48:$Z48,MIN(G$6-$G$3,22))&lt;&gt;""),Soja!$E48:INDEX(Soja!$E48:$Z48,MIN(G$6-$G$3,22))),0)))))</f>
        <v>0</v>
      </c>
      <c r="H50" s="27" t="n">
        <f aca="false">IF(COUNT(Soja!$E48:$Z48)=0,0,MAX(0,IF((H$6-$E$3)&lt;1,0,IFERROR(LOOKUP(2,1/(Soja!$E48:INDEX(Soja!$E48:$Z48,MIN(H$6-$E$3,22))&lt;&gt;""),Soja!$E48:INDEX(Soja!$E48:$Z48,MIN(H$6-$E$3,22))),0))-IF($G$2,0,IF((H$6-$G$3)&lt;1,0,IFERROR(LOOKUP(2,1/(Soja!$E48:INDEX(Soja!$E48:$Z48,MIN(H$6-$G$3,22))&lt;&gt;""),Soja!$E48:INDEX(Soja!$E48:$Z48,MIN(H$6-$G$3,22))),0)))))</f>
        <v>0</v>
      </c>
      <c r="I50" s="27" t="n">
        <f aca="false">IF(COUNT(Soja!$E48:$Z48)=0,0,MAX(0,IF((I$6-$E$3)&lt;1,0,IFERROR(LOOKUP(2,1/(Soja!$E48:INDEX(Soja!$E48:$Z48,MIN(I$6-$E$3,22))&lt;&gt;""),Soja!$E48:INDEX(Soja!$E48:$Z48,MIN(I$6-$E$3,22))),0))-IF($G$2,0,IF((I$6-$G$3)&lt;1,0,IFERROR(LOOKUP(2,1/(Soja!$E48:INDEX(Soja!$E48:$Z48,MIN(I$6-$G$3,22))&lt;&gt;""),Soja!$E48:INDEX(Soja!$E48:$Z48,MIN(I$6-$G$3,22))),0)))))</f>
        <v>0</v>
      </c>
      <c r="J50" s="27" t="n">
        <f aca="false">IF(COUNT(Soja!$E48:$Z48)=0,0,MAX(0,IF((J$6-$E$3)&lt;1,0,IFERROR(LOOKUP(2,1/(Soja!$E48:INDEX(Soja!$E48:$Z48,MIN(J$6-$E$3,22))&lt;&gt;""),Soja!$E48:INDEX(Soja!$E48:$Z48,MIN(J$6-$E$3,22))),0))-IF($G$2,0,IF((J$6-$G$3)&lt;1,0,IFERROR(LOOKUP(2,1/(Soja!$E48:INDEX(Soja!$E48:$Z48,MIN(J$6-$G$3,22))&lt;&gt;""),Soja!$E48:INDEX(Soja!$E48:$Z48,MIN(J$6-$G$3,22))),0)))))</f>
        <v>0</v>
      </c>
      <c r="K50" s="27" t="n">
        <f aca="false">IF(COUNT(Soja!$E48:$Z48)=0,0,MAX(0,IF((K$6-$E$3)&lt;1,0,IFERROR(LOOKUP(2,1/(Soja!$E48:INDEX(Soja!$E48:$Z48,MIN(K$6-$E$3,22))&lt;&gt;""),Soja!$E48:INDEX(Soja!$E48:$Z48,MIN(K$6-$E$3,22))),0))-IF($G$2,0,IF((K$6-$G$3)&lt;1,0,IFERROR(LOOKUP(2,1/(Soja!$E48:INDEX(Soja!$E48:$Z48,MIN(K$6-$G$3,22))&lt;&gt;""),Soja!$E48:INDEX(Soja!$E48:$Z48,MIN(K$6-$G$3,22))),0)))))</f>
        <v>0</v>
      </c>
      <c r="L50" s="27" t="n">
        <f aca="false">IF(COUNT(Soja!$E48:$Z48)=0,0,MAX(0,IF((L$6-$E$3)&lt;1,0,IFERROR(LOOKUP(2,1/(Soja!$E48:INDEX(Soja!$E48:$Z48,MIN(L$6-$E$3,22))&lt;&gt;""),Soja!$E48:INDEX(Soja!$E48:$Z48,MIN(L$6-$E$3,22))),0))-IF($G$2,0,IF((L$6-$G$3)&lt;1,0,IFERROR(LOOKUP(2,1/(Soja!$E48:INDEX(Soja!$E48:$Z48,MIN(L$6-$G$3,22))&lt;&gt;""),Soja!$E48:INDEX(Soja!$E48:$Z48,MIN(L$6-$G$3,22))),0)))))</f>
        <v>0</v>
      </c>
      <c r="M50" s="27" t="n">
        <f aca="false">IF(COUNT(Soja!$E48:$Z48)=0,0,MAX(0,IF((M$6-$E$3)&lt;1,0,IFERROR(LOOKUP(2,1/(Soja!$E48:INDEX(Soja!$E48:$Z48,MIN(M$6-$E$3,22))&lt;&gt;""),Soja!$E48:INDEX(Soja!$E48:$Z48,MIN(M$6-$E$3,22))),0))-IF($G$2,0,IF((M$6-$G$3)&lt;1,0,IFERROR(LOOKUP(2,1/(Soja!$E48:INDEX(Soja!$E48:$Z48,MIN(M$6-$G$3,22))&lt;&gt;""),Soja!$E48:INDEX(Soja!$E48:$Z48,MIN(M$6-$G$3,22))),0)))))</f>
        <v>0</v>
      </c>
      <c r="N50" s="27" t="n">
        <f aca="false">IF(COUNT(Soja!$E48:$Z48)=0,0,MAX(0,IF((N$6-$E$3)&lt;1,0,IFERROR(LOOKUP(2,1/(Soja!$E48:INDEX(Soja!$E48:$Z48,MIN(N$6-$E$3,22))&lt;&gt;""),Soja!$E48:INDEX(Soja!$E48:$Z48,MIN(N$6-$E$3,22))),0))-IF($G$2,0,IF((N$6-$G$3)&lt;1,0,IFERROR(LOOKUP(2,1/(Soja!$E48:INDEX(Soja!$E48:$Z48,MIN(N$6-$G$3,22))&lt;&gt;""),Soja!$E48:INDEX(Soja!$E48:$Z48,MIN(N$6-$G$3,22))),0)))))</f>
        <v>0</v>
      </c>
      <c r="O50" s="27" t="n">
        <f aca="false">IF(COUNT(Soja!$E48:$Z48)=0,0,MAX(0,IF((O$6-$E$3)&lt;1,0,IFERROR(LOOKUP(2,1/(Soja!$E48:INDEX(Soja!$E48:$Z48,MIN(O$6-$E$3,22))&lt;&gt;""),Soja!$E48:INDEX(Soja!$E48:$Z48,MIN(O$6-$E$3,22))),0))-IF($G$2,0,IF((O$6-$G$3)&lt;1,0,IFERROR(LOOKUP(2,1/(Soja!$E48:INDEX(Soja!$E48:$Z48,MIN(O$6-$G$3,22))&lt;&gt;""),Soja!$E48:INDEX(Soja!$E48:$Z48,MIN(O$6-$G$3,22))),0)))))</f>
        <v>0</v>
      </c>
      <c r="P50" s="27" t="n">
        <f aca="false">IF(COUNT(Soja!$E48:$Z48)=0,0,MAX(0,IF((P$6-$E$3)&lt;1,0,IFERROR(LOOKUP(2,1/(Soja!$E48:INDEX(Soja!$E48:$Z48,MIN(P$6-$E$3,22))&lt;&gt;""),Soja!$E48:INDEX(Soja!$E48:$Z48,MIN(P$6-$E$3,22))),0))-IF($G$2,0,IF((P$6-$G$3)&lt;1,0,IFERROR(LOOKUP(2,1/(Soja!$E48:INDEX(Soja!$E48:$Z48,MIN(P$6-$G$3,22))&lt;&gt;""),Soja!$E48:INDEX(Soja!$E48:$Z48,MIN(P$6-$G$3,22))),0)))))</f>
        <v>0</v>
      </c>
      <c r="Q50" s="27" t="n">
        <f aca="false">IF(COUNT(Soja!$E48:$Z48)=0,0,MAX(0,IF((Q$6-$E$3)&lt;1,0,IFERROR(LOOKUP(2,1/(Soja!$E48:INDEX(Soja!$E48:$Z48,MIN(Q$6-$E$3,22))&lt;&gt;""),Soja!$E48:INDEX(Soja!$E48:$Z48,MIN(Q$6-$E$3,22))),0))-IF($G$2,0,IF((Q$6-$G$3)&lt;1,0,IFERROR(LOOKUP(2,1/(Soja!$E48:INDEX(Soja!$E48:$Z48,MIN(Q$6-$G$3,22))&lt;&gt;""),Soja!$E48:INDEX(Soja!$E48:$Z48,MIN(Q$6-$G$3,22))),0)))))</f>
        <v>0</v>
      </c>
      <c r="R50" s="27" t="n">
        <f aca="false">IF(COUNT(Soja!$E48:$Z48)=0,0,MAX(0,IF((R$6-$E$3)&lt;1,0,IFERROR(LOOKUP(2,1/(Soja!$E48:INDEX(Soja!$E48:$Z48,MIN(R$6-$E$3,22))&lt;&gt;""),Soja!$E48:INDEX(Soja!$E48:$Z48,MIN(R$6-$E$3,22))),0))-IF($G$2,0,IF((R$6-$G$3)&lt;1,0,IFERROR(LOOKUP(2,1/(Soja!$E48:INDEX(Soja!$E48:$Z48,MIN(R$6-$G$3,22))&lt;&gt;""),Soja!$E48:INDEX(Soja!$E48:$Z48,MIN(R$6-$G$3,22))),0)))))</f>
        <v>0</v>
      </c>
      <c r="S50" s="27" t="n">
        <f aca="false">IF(COUNT(Soja!$E48:$Z48)=0,0,MAX(0,IF((S$6-$E$3)&lt;1,0,IFERROR(LOOKUP(2,1/(Soja!$E48:INDEX(Soja!$E48:$Z48,MIN(S$6-$E$3,22))&lt;&gt;""),Soja!$E48:INDEX(Soja!$E48:$Z48,MIN(S$6-$E$3,22))),0))-IF($G$2,0,IF((S$6-$G$3)&lt;1,0,IFERROR(LOOKUP(2,1/(Soja!$E48:INDEX(Soja!$E48:$Z48,MIN(S$6-$G$3,22))&lt;&gt;""),Soja!$E48:INDEX(Soja!$E48:$Z48,MIN(S$6-$G$3,22))),0)))))</f>
        <v>0</v>
      </c>
      <c r="T50" s="27" t="n">
        <f aca="false">IF(COUNT(Soja!$E48:$Z48)=0,0,MAX(0,IF((T$6-$E$3)&lt;1,0,IFERROR(LOOKUP(2,1/(Soja!$E48:INDEX(Soja!$E48:$Z48,MIN(T$6-$E$3,22))&lt;&gt;""),Soja!$E48:INDEX(Soja!$E48:$Z48,MIN(T$6-$E$3,22))),0))-IF($G$2,0,IF((T$6-$G$3)&lt;1,0,IFERROR(LOOKUP(2,1/(Soja!$E48:INDEX(Soja!$E48:$Z48,MIN(T$6-$G$3,22))&lt;&gt;""),Soja!$E48:INDEX(Soja!$E48:$Z48,MIN(T$6-$G$3,22))),0)))))</f>
        <v>0</v>
      </c>
      <c r="U50" s="27" t="n">
        <f aca="false">IF(COUNT(Soja!$E48:$Z48)=0,0,MAX(0,IF((U$6-$E$3)&lt;1,0,IFERROR(LOOKUP(2,1/(Soja!$E48:INDEX(Soja!$E48:$Z48,MIN(U$6-$E$3,22))&lt;&gt;""),Soja!$E48:INDEX(Soja!$E48:$Z48,MIN(U$6-$E$3,22))),0))-IF($G$2,0,IF((U$6-$G$3)&lt;1,0,IFERROR(LOOKUP(2,1/(Soja!$E48:INDEX(Soja!$E48:$Z48,MIN(U$6-$G$3,22))&lt;&gt;""),Soja!$E48:INDEX(Soja!$E48:$Z48,MIN(U$6-$G$3,22))),0)))))</f>
        <v>0</v>
      </c>
      <c r="V50" s="27" t="n">
        <f aca="false">IF(COUNT(Soja!$E48:$Z48)=0,0,MAX(0,IF((V$6-$E$3)&lt;1,0,IFERROR(LOOKUP(2,1/(Soja!$E48:INDEX(Soja!$E48:$Z48,MIN(V$6-$E$3,22))&lt;&gt;""),Soja!$E48:INDEX(Soja!$E48:$Z48,MIN(V$6-$E$3,22))),0))-IF($G$2,0,IF((V$6-$G$3)&lt;1,0,IFERROR(LOOKUP(2,1/(Soja!$E48:INDEX(Soja!$E48:$Z48,MIN(V$6-$G$3,22))&lt;&gt;""),Soja!$E48:INDEX(Soja!$E48:$Z48,MIN(V$6-$G$3,22))),0)))))</f>
        <v>0</v>
      </c>
      <c r="W50" s="27" t="n">
        <f aca="false">IF(COUNT(Soja!$E48:$Z48)=0,0,MAX(0,IF((W$6-$E$3)&lt;1,0,IFERROR(LOOKUP(2,1/(Soja!$E48:INDEX(Soja!$E48:$Z48,MIN(W$6-$E$3,22))&lt;&gt;""),Soja!$E48:INDEX(Soja!$E48:$Z48,MIN(W$6-$E$3,22))),0))-IF($G$2,0,IF((W$6-$G$3)&lt;1,0,IFERROR(LOOKUP(2,1/(Soja!$E48:INDEX(Soja!$E48:$Z48,MIN(W$6-$G$3,22))&lt;&gt;""),Soja!$E48:INDEX(Soja!$E48:$Z48,MIN(W$6-$G$3,22))),0)))))</f>
        <v>0</v>
      </c>
      <c r="X50" s="27" t="n">
        <f aca="false">IF(COUNT(Soja!$E48:$Z48)=0,0,MAX(0,IF((X$6-$E$3)&lt;1,0,IFERROR(LOOKUP(2,1/(Soja!$E48:INDEX(Soja!$E48:$Z48,MIN(X$6-$E$3,22))&lt;&gt;""),Soja!$E48:INDEX(Soja!$E48:$Z48,MIN(X$6-$E$3,22))),0))-IF($G$2,0,IF((X$6-$G$3)&lt;1,0,IFERROR(LOOKUP(2,1/(Soja!$E48:INDEX(Soja!$E48:$Z48,MIN(X$6-$G$3,22))&lt;&gt;""),Soja!$E48:INDEX(Soja!$E48:$Z48,MIN(X$6-$G$3,22))),0)))))</f>
        <v>0</v>
      </c>
      <c r="Y50" s="27" t="n">
        <f aca="false">IF(COUNT(Soja!$E48:$Z48)=0,0,MAX(0,IF((Y$6-$E$3)&lt;1,0,IFERROR(LOOKUP(2,1/(Soja!$E48:INDEX(Soja!$E48:$Z48,MIN(Y$6-$E$3,22))&lt;&gt;""),Soja!$E48:INDEX(Soja!$E48:$Z48,MIN(Y$6-$E$3,22))),0))-IF($G$2,0,IF((Y$6-$G$3)&lt;1,0,IFERROR(LOOKUP(2,1/(Soja!$E48:INDEX(Soja!$E48:$Z48,MIN(Y$6-$G$3,22))&lt;&gt;""),Soja!$E48:INDEX(Soja!$E48:$Z48,MIN(Y$6-$G$3,22))),0)))))</f>
        <v>0</v>
      </c>
      <c r="Z50" s="27" t="n">
        <f aca="false">IF(COUNT(Soja!$E48:$Z48)=0,0,MAX(0,IF((Z$6-$E$3)&lt;1,0,IFERROR(LOOKUP(2,1/(Soja!$E48:INDEX(Soja!$E48:$Z48,MIN(Z$6-$E$3,22))&lt;&gt;""),Soja!$E48:INDEX(Soja!$E48:$Z48,MIN(Z$6-$E$3,22))),0))-IF($G$2,0,IF((Z$6-$G$3)&lt;1,0,IFERROR(LOOKUP(2,1/(Soja!$E48:INDEX(Soja!$E48:$Z48,MIN(Z$6-$G$3,22))&lt;&gt;""),Soja!$E48:INDEX(Soja!$E48:$Z48,MIN(Z$6-$G$3,22))),0)))))</f>
        <v>0</v>
      </c>
      <c r="AA50" s="27" t="n">
        <f aca="false">IF(COUNT(Soja!$E48:$Z48)=0,0,MAX(0,IF((AA$6-$E$3)&lt;1,0,IFERROR(LOOKUP(2,1/(Soja!$E48:INDEX(Soja!$E48:$Z48,MIN(AA$6-$E$3,22))&lt;&gt;""),Soja!$E48:INDEX(Soja!$E48:$Z48,MIN(AA$6-$E$3,22))),0))-IF($G$2,0,IF((AA$6-$G$3)&lt;1,0,IFERROR(LOOKUP(2,1/(Soja!$E48:INDEX(Soja!$E48:$Z48,MIN(AA$6-$G$3,22))&lt;&gt;""),Soja!$E48:INDEX(Soja!$E48:$Z48,MIN(AA$6-$G$3,22))),0)))))</f>
        <v>0</v>
      </c>
      <c r="AB50" s="27" t="n">
        <f aca="false">IF(COUNT(Soja!$E48:$Z48)=0,0,MAX(0,IF((AB$6-$E$3)&lt;1,0,IFERROR(LOOKUP(2,1/(Soja!$E48:INDEX(Soja!$E48:$Z48,MIN(AB$6-$E$3,22))&lt;&gt;""),Soja!$E48:INDEX(Soja!$E48:$Z48,MIN(AB$6-$E$3,22))),0))-IF($G$2,0,IF((AB$6-$G$3)&lt;1,0,IFERROR(LOOKUP(2,1/(Soja!$E48:INDEX(Soja!$E48:$Z48,MIN(AB$6-$G$3,22))&lt;&gt;""),Soja!$E48:INDEX(Soja!$E48:$Z48,MIN(AB$6-$G$3,22))),0)))))</f>
        <v>0</v>
      </c>
      <c r="AC50" s="27" t="n">
        <f aca="false">IF(COUNT(Soja!$E48:$Z48)=0,0,MAX(0,IF((AC$6-$E$3)&lt;1,0,IFERROR(LOOKUP(2,1/(Soja!$E48:INDEX(Soja!$E48:$Z48,MIN(AC$6-$E$3,22))&lt;&gt;""),Soja!$E48:INDEX(Soja!$E48:$Z48,MIN(AC$6-$E$3,22))),0))-IF($G$2,0,IF((AC$6-$G$3)&lt;1,0,IFERROR(LOOKUP(2,1/(Soja!$E48:INDEX(Soja!$E48:$Z48,MIN(AC$6-$G$3,22))&lt;&gt;""),Soja!$E48:INDEX(Soja!$E48:$Z48,MIN(AC$6-$G$3,22))),0)))))</f>
        <v>0</v>
      </c>
      <c r="AD50" s="27" t="n">
        <f aca="false">IF(COUNT(Soja!$E48:$Z48)=0,0,MAX(0,IF((AD$6-$E$3)&lt;1,0,IFERROR(LOOKUP(2,1/(Soja!$E48:INDEX(Soja!$E48:$Z48,MIN(AD$6-$E$3,22))&lt;&gt;""),Soja!$E48:INDEX(Soja!$E48:$Z48,MIN(AD$6-$E$3,22))),0))-IF($G$2,0,IF((AD$6-$G$3)&lt;1,0,IFERROR(LOOKUP(2,1/(Soja!$E48:INDEX(Soja!$E48:$Z48,MIN(AD$6-$G$3,22))&lt;&gt;""),Soja!$E48:INDEX(Soja!$E48:$Z48,MIN(AD$6-$G$3,22))),0)))))</f>
        <v>0</v>
      </c>
      <c r="AE50" s="27" t="n">
        <f aca="false">IF(COUNT(Soja!$E48:$Z48)=0,0,MAX(0,IF((AE$6-$E$3)&lt;1,0,IFERROR(LOOKUP(2,1/(Soja!$E48:INDEX(Soja!$E48:$Z48,MIN(AE$6-$E$3,22))&lt;&gt;""),Soja!$E48:INDEX(Soja!$E48:$Z48,MIN(AE$6-$E$3,22))),0))-IF($G$2,0,IF((AE$6-$G$3)&lt;1,0,IFERROR(LOOKUP(2,1/(Soja!$E48:INDEX(Soja!$E48:$Z48,MIN(AE$6-$G$3,22))&lt;&gt;""),Soja!$E48:INDEX(Soja!$E48:$Z48,MIN(AE$6-$G$3,22))),0)))))</f>
        <v>0</v>
      </c>
      <c r="AF50" s="27" t="n">
        <f aca="false">IF(COUNT(Soja!$E48:$Z48)=0,0,MAX(0,IF((AF$6-$E$3)&lt;1,0,IFERROR(LOOKUP(2,1/(Soja!$E48:INDEX(Soja!$E48:$Z48,MIN(AF$6-$E$3,22))&lt;&gt;""),Soja!$E48:INDEX(Soja!$E48:$Z48,MIN(AF$6-$E$3,22))),0))-IF($G$2,0,IF((AF$6-$G$3)&lt;1,0,IFERROR(LOOKUP(2,1/(Soja!$E48:INDEX(Soja!$E48:$Z48,MIN(AF$6-$G$3,22))&lt;&gt;""),Soja!$E48:INDEX(Soja!$E48:$Z48,MIN(AF$6-$G$3,22))),0)))))</f>
        <v>0</v>
      </c>
      <c r="AG50" s="27" t="n">
        <f aca="false">IF(COUNT(Soja!$E48:$Z48)=0,0,MAX(0,IF((AG$6-$E$3)&lt;1,0,IFERROR(LOOKUP(2,1/(Soja!$E48:INDEX(Soja!$E48:$Z48,MIN(AG$6-$E$3,22))&lt;&gt;""),Soja!$E48:INDEX(Soja!$E48:$Z48,MIN(AG$6-$E$3,22))),0))-IF($G$2,0,IF((AG$6-$G$3)&lt;1,0,IFERROR(LOOKUP(2,1/(Soja!$E48:INDEX(Soja!$E48:$Z48,MIN(AG$6-$G$3,22))&lt;&gt;""),Soja!$E48:INDEX(Soja!$E48:$Z48,MIN(AG$6-$G$3,22))),0)))))</f>
        <v>0</v>
      </c>
      <c r="AH50" s="27" t="n">
        <f aca="false">IF(COUNT(Soja!$E48:$Z48)=0,0,MAX(0,IF((AH$6-$E$3)&lt;1,0,IFERROR(LOOKUP(2,1/(Soja!$E48:INDEX(Soja!$E48:$Z48,MIN(AH$6-$E$3,22))&lt;&gt;""),Soja!$E48:INDEX(Soja!$E48:$Z48,MIN(AH$6-$E$3,22))),0))-IF($G$2,0,IF((AH$6-$G$3)&lt;1,0,IFERROR(LOOKUP(2,1/(Soja!$E48:INDEX(Soja!$E48:$Z48,MIN(AH$6-$G$3,22))&lt;&gt;""),Soja!$E48:INDEX(Soja!$E48:$Z48,MIN(AH$6-$G$3,22))),0)))))</f>
        <v>0</v>
      </c>
      <c r="AI50" s="27" t="n">
        <f aca="false">IF(COUNT(Soja!$E48:$Z48)=0,0,MAX(0,IF((AI$6-$E$3)&lt;1,0,IFERROR(LOOKUP(2,1/(Soja!$E48:INDEX(Soja!$E48:$Z48,MIN(AI$6-$E$3,22))&lt;&gt;""),Soja!$E48:INDEX(Soja!$E48:$Z48,MIN(AI$6-$E$3,22))),0))-IF($G$2,0,IF((AI$6-$G$3)&lt;1,0,IFERROR(LOOKUP(2,1/(Soja!$E48:INDEX(Soja!$E48:$Z48,MIN(AI$6-$G$3,22))&lt;&gt;""),Soja!$E48:INDEX(Soja!$E48:$Z48,MIN(AI$6-$G$3,22))),0)))))</f>
        <v>0</v>
      </c>
      <c r="AJ50" s="27" t="n">
        <f aca="false">IF(COUNT(Soja!$E48:$Z48)=0,0,MAX(0,IF((AJ$6-$E$3)&lt;1,0,IFERROR(LOOKUP(2,1/(Soja!$E48:INDEX(Soja!$E48:$Z48,MIN(AJ$6-$E$3,22))&lt;&gt;""),Soja!$E48:INDEX(Soja!$E48:$Z48,MIN(AJ$6-$E$3,22))),0))-IF($G$2,0,IF((AJ$6-$G$3)&lt;1,0,IFERROR(LOOKUP(2,1/(Soja!$E48:INDEX(Soja!$E48:$Z48,MIN(AJ$6-$G$3,22))&lt;&gt;""),Soja!$E48:INDEX(Soja!$E48:$Z48,MIN(AJ$6-$G$3,22))),0)))))</f>
        <v>0</v>
      </c>
      <c r="AK50" s="27" t="n">
        <f aca="false">IF(COUNT(Soja!$E48:$Z48)=0,0,MAX(0,IF((AK$6-$E$3)&lt;1,0,IFERROR(LOOKUP(2,1/(Soja!$E48:INDEX(Soja!$E48:$Z48,MIN(AK$6-$E$3,22))&lt;&gt;""),Soja!$E48:INDEX(Soja!$E48:$Z48,MIN(AK$6-$E$3,22))),0))-IF($G$2,0,IF((AK$6-$G$3)&lt;1,0,IFERROR(LOOKUP(2,1/(Soja!$E48:INDEX(Soja!$E48:$Z48,MIN(AK$6-$G$3,22))&lt;&gt;""),Soja!$E48:INDEX(Soja!$E48:$Z48,MIN(AK$6-$G$3,22))),0)))))</f>
        <v>0</v>
      </c>
      <c r="AL50" s="27" t="n">
        <f aca="false">IF(COUNT(Soja!$E48:$Z48)=0,0,MAX(0,IF((AL$6-$E$3)&lt;1,0,IFERROR(LOOKUP(2,1/(Soja!$E48:INDEX(Soja!$E48:$Z48,MIN(AL$6-$E$3,22))&lt;&gt;""),Soja!$E48:INDEX(Soja!$E48:$Z48,MIN(AL$6-$E$3,22))),0))-IF($G$2,0,IF((AL$6-$G$3)&lt;1,0,IFERROR(LOOKUP(2,1/(Soja!$E48:INDEX(Soja!$E48:$Z48,MIN(AL$6-$G$3,22))&lt;&gt;""),Soja!$E48:INDEX(Soja!$E48:$Z48,MIN(AL$6-$G$3,22))),0)))))</f>
        <v>0</v>
      </c>
      <c r="AM50" s="27" t="n">
        <f aca="false">IF(COUNT(Soja!$E48:$Z48)=0,0,MAX(0,IF((AM$6-$E$3)&lt;1,0,IFERROR(LOOKUP(2,1/(Soja!$E48:INDEX(Soja!$E48:$Z48,MIN(AM$6-$E$3,22))&lt;&gt;""),Soja!$E48:INDEX(Soja!$E48:$Z48,MIN(AM$6-$E$3,22))),0))-IF($G$2,0,IF((AM$6-$G$3)&lt;1,0,IFERROR(LOOKUP(2,1/(Soja!$E48:INDEX(Soja!$E48:$Z48,MIN(AM$6-$G$3,22))&lt;&gt;""),Soja!$E48:INDEX(Soja!$E48:$Z48,MIN(AM$6-$G$3,22))),0)))))</f>
        <v>0</v>
      </c>
      <c r="AN50" s="27" t="n">
        <f aca="false">IF(COUNT(Soja!$E48:$Z48)=0,0,MAX(0,IF((AN$6-$E$3)&lt;1,0,IFERROR(LOOKUP(2,1/(Soja!$E48:INDEX(Soja!$E48:$Z48,MIN(AN$6-$E$3,22))&lt;&gt;""),Soja!$E48:INDEX(Soja!$E48:$Z48,MIN(AN$6-$E$3,22))),0))-IF($G$2,0,IF((AN$6-$G$3)&lt;1,0,IFERROR(LOOKUP(2,1/(Soja!$E48:INDEX(Soja!$E48:$Z48,MIN(AN$6-$G$3,22))&lt;&gt;""),Soja!$E48:INDEX(Soja!$E48:$Z48,MIN(AN$6-$G$3,22))),0)))))</f>
        <v>0</v>
      </c>
      <c r="AO50" s="27" t="n">
        <f aca="false">IF(COUNT(Soja!$E48:$Z48)=0,0,MAX(0,IF((AO$6-$E$3)&lt;1,0,IFERROR(LOOKUP(2,1/(Soja!$E48:INDEX(Soja!$E48:$Z48,MIN(AO$6-$E$3,22))&lt;&gt;""),Soja!$E48:INDEX(Soja!$E48:$Z48,MIN(AO$6-$E$3,22))),0))-IF($G$2,0,IF((AO$6-$G$3)&lt;1,0,IFERROR(LOOKUP(2,1/(Soja!$E48:INDEX(Soja!$E48:$Z48,MIN(AO$6-$G$3,22))&lt;&gt;""),Soja!$E48:INDEX(Soja!$E48:$Z48,MIN(AO$6-$G$3,22))),0)))))</f>
        <v>0</v>
      </c>
      <c r="AP50" s="27" t="n">
        <f aca="false">IF(COUNT(Soja!$E48:$Z48)=0,0,MAX(0,IF((AP$6-$E$3)&lt;1,0,IFERROR(LOOKUP(2,1/(Soja!$E48:INDEX(Soja!$E48:$Z48,MIN(AP$6-$E$3,22))&lt;&gt;""),Soja!$E48:INDEX(Soja!$E48:$Z48,MIN(AP$6-$E$3,22))),0))-IF($G$2,0,IF((AP$6-$G$3)&lt;1,0,IFERROR(LOOKUP(2,1/(Soja!$E48:INDEX(Soja!$E48:$Z48,MIN(AP$6-$G$3,22))&lt;&gt;""),Soja!$E48:INDEX(Soja!$E48:$Z48,MIN(AP$6-$G$3,22))),0)))))</f>
        <v>0</v>
      </c>
      <c r="AQ50" s="27" t="n">
        <f aca="false">IF(COUNT(Soja!$E48:$Z48)=0,0,MAX(0,IF((AQ$6-$E$3)&lt;1,0,IFERROR(LOOKUP(2,1/(Soja!$E48:INDEX(Soja!$E48:$Z48,MIN(AQ$6-$E$3,22))&lt;&gt;""),Soja!$E48:INDEX(Soja!$E48:$Z48,MIN(AQ$6-$E$3,22))),0))-IF($G$2,0,IF((AQ$6-$G$3)&lt;1,0,IFERROR(LOOKUP(2,1/(Soja!$E48:INDEX(Soja!$E48:$Z48,MIN(AQ$6-$G$3,22))&lt;&gt;""),Soja!$E48:INDEX(Soja!$E48:$Z48,MIN(AQ$6-$G$3,22))),0)))))</f>
        <v>0</v>
      </c>
      <c r="AR50" s="27" t="n">
        <f aca="false">IF(COUNT(Soja!$E48:$Z48)=0,0,MAX(0,IF((AR$6-$E$3)&lt;1,0,IFERROR(LOOKUP(2,1/(Soja!$E48:INDEX(Soja!$E48:$Z48,MIN(AR$6-$E$3,22))&lt;&gt;""),Soja!$E48:INDEX(Soja!$E48:$Z48,MIN(AR$6-$E$3,22))),0))-IF($G$2,0,IF((AR$6-$G$3)&lt;1,0,IFERROR(LOOKUP(2,1/(Soja!$E48:INDEX(Soja!$E48:$Z48,MIN(AR$6-$G$3,22))&lt;&gt;""),Soja!$E48:INDEX(Soja!$E48:$Z48,MIN(AR$6-$G$3,22))),0)))))</f>
        <v>0</v>
      </c>
      <c r="AS50" s="27" t="n">
        <f aca="false">IF(COUNT(Soja!$E48:$Z48)=0,0,MAX(0,IF((AS$6-$E$3)&lt;1,0,IFERROR(LOOKUP(2,1/(Soja!$E48:INDEX(Soja!$E48:$Z48,MIN(AS$6-$E$3,22))&lt;&gt;""),Soja!$E48:INDEX(Soja!$E48:$Z48,MIN(AS$6-$E$3,22))),0))-IF($G$2,0,IF((AS$6-$G$3)&lt;1,0,IFERROR(LOOKUP(2,1/(Soja!$E48:INDEX(Soja!$E48:$Z48,MIN(AS$6-$G$3,22))&lt;&gt;""),Soja!$E48:INDEX(Soja!$E48:$Z48,MIN(AS$6-$G$3,22))),0)))))</f>
        <v>0</v>
      </c>
      <c r="AT50" s="27" t="n">
        <f aca="false">IF(COUNT(Soja!$E48:$Z48)=0,0,MAX(0,IF((AT$6-$E$3)&lt;1,0,IFERROR(LOOKUP(2,1/(Soja!$E48:INDEX(Soja!$E48:$Z48,MIN(AT$6-$E$3,22))&lt;&gt;""),Soja!$E48:INDEX(Soja!$E48:$Z48,MIN(AT$6-$E$3,22))),0))-IF($G$2,0,IF((AT$6-$G$3)&lt;1,0,IFERROR(LOOKUP(2,1/(Soja!$E48:INDEX(Soja!$E48:$Z48,MIN(AT$6-$G$3,22))&lt;&gt;""),Soja!$E48:INDEX(Soja!$E48:$Z48,MIN(AT$6-$G$3,22))),0)))))</f>
        <v>0</v>
      </c>
      <c r="AU50" s="27" t="n">
        <f aca="false">IF(COUNT(Soja!$E48:$Z48)=0,0,MAX(0,IF((AU$6-$E$3)&lt;1,0,IFERROR(LOOKUP(2,1/(Soja!$E48:INDEX(Soja!$E48:$Z48,MIN(AU$6-$E$3,22))&lt;&gt;""),Soja!$E48:INDEX(Soja!$E48:$Z48,MIN(AU$6-$E$3,22))),0))-IF($G$2,0,IF((AU$6-$G$3)&lt;1,0,IFERROR(LOOKUP(2,1/(Soja!$E48:INDEX(Soja!$E48:$Z48,MIN(AU$6-$G$3,22))&lt;&gt;""),Soja!$E48:INDEX(Soja!$E48:$Z48,MIN(AU$6-$G$3,22))),0)))))</f>
        <v>0</v>
      </c>
      <c r="AV50" s="27" t="n">
        <f aca="false">IF(COUNT(Soja!$E48:$Z48)=0,0,MAX(0,IF((AV$6-$E$3)&lt;1,0,IFERROR(LOOKUP(2,1/(Soja!$E48:INDEX(Soja!$E48:$Z48,MIN(AV$6-$E$3,22))&lt;&gt;""),Soja!$E48:INDEX(Soja!$E48:$Z48,MIN(AV$6-$E$3,22))),0))-IF($G$2,0,IF((AV$6-$G$3)&lt;1,0,IFERROR(LOOKUP(2,1/(Soja!$E48:INDEX(Soja!$E48:$Z48,MIN(AV$6-$G$3,22))&lt;&gt;""),Soja!$E48:INDEX(Soja!$E48:$Z48,MIN(AV$6-$G$3,22))),0)))))</f>
        <v>0</v>
      </c>
      <c r="AW50" s="27" t="n">
        <f aca="false">IF(COUNT(Soja!$E48:$Z48)=0,0,MAX(0,IF((AW$6-$E$3)&lt;1,0,IFERROR(LOOKUP(2,1/(Soja!$E48:INDEX(Soja!$E48:$Z48,MIN(AW$6-$E$3,22))&lt;&gt;""),Soja!$E48:INDEX(Soja!$E48:$Z48,MIN(AW$6-$E$3,22))),0))-IF($G$2,0,IF((AW$6-$G$3)&lt;1,0,IFERROR(LOOKUP(2,1/(Soja!$E48:INDEX(Soja!$E48:$Z48,MIN(AW$6-$G$3,22))&lt;&gt;""),Soja!$E48:INDEX(Soja!$E48:$Z48,MIN(AW$6-$G$3,22))),0)))))</f>
        <v>0</v>
      </c>
      <c r="AX50" s="27" t="n">
        <f aca="false">IF(COUNT(Soja!$E48:$Z48)=0,0,MAX(0,IF((AX$6-$E$3)&lt;1,0,IFERROR(LOOKUP(2,1/(Soja!$E48:INDEX(Soja!$E48:$Z48,MIN(AX$6-$E$3,22))&lt;&gt;""),Soja!$E48:INDEX(Soja!$E48:$Z48,MIN(AX$6-$E$3,22))),0))-IF($G$2,0,IF((AX$6-$G$3)&lt;1,0,IFERROR(LOOKUP(2,1/(Soja!$E48:INDEX(Soja!$E48:$Z48,MIN(AX$6-$G$3,22))&lt;&gt;""),Soja!$E48:INDEX(Soja!$E48:$Z48,MIN(AX$6-$G$3,22))),0)))))</f>
        <v>0</v>
      </c>
      <c r="AY50" s="27" t="n">
        <f aca="false">IF(COUNT(Soja!$E48:$Z48)=0,0,MAX(0,IF((AY$6-$E$3)&lt;1,0,IFERROR(LOOKUP(2,1/(Soja!$E48:INDEX(Soja!$E48:$Z48,MIN(AY$6-$E$3,22))&lt;&gt;""),Soja!$E48:INDEX(Soja!$E48:$Z48,MIN(AY$6-$E$3,22))),0))-IF($G$2,0,IF((AY$6-$G$3)&lt;1,0,IFERROR(LOOKUP(2,1/(Soja!$E48:INDEX(Soja!$E48:$Z48,MIN(AY$6-$G$3,22))&lt;&gt;""),Soja!$E48:INDEX(Soja!$E48:$Z48,MIN(AY$6-$G$3,22))),0)))))</f>
        <v>0</v>
      </c>
      <c r="AZ50" s="27" t="n">
        <f aca="false">IF(COUNT(Soja!$E48:$Z48)=0,0,MAX(0,IF((AZ$6-$E$3)&lt;1,0,IFERROR(LOOKUP(2,1/(Soja!$E48:INDEX(Soja!$E48:$Z48,MIN(AZ$6-$E$3,22))&lt;&gt;""),Soja!$E48:INDEX(Soja!$E48:$Z48,MIN(AZ$6-$E$3,22))),0))-IF($G$2,0,IF((AZ$6-$G$3)&lt;1,0,IFERROR(LOOKUP(2,1/(Soja!$E48:INDEX(Soja!$E48:$Z48,MIN(AZ$6-$G$3,22))&lt;&gt;""),Soja!$E48:INDEX(Soja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IF(COUNT(Soja!$E49:$Z49)&gt;0,N(Soja!$D49),0)</f>
        <v>0</v>
      </c>
      <c r="E51" s="27" t="n">
        <f aca="false">IF(COUNT(Soja!$E49:$Z49)=0,0,MAX(0,IF((E$6-$E$3)&lt;1,0,IFERROR(LOOKUP(2,1/(Soja!$E49:INDEX(Soja!$E49:$Z49,MIN(E$6-$E$3,22))&lt;&gt;""),Soja!$E49:INDEX(Soja!$E49:$Z49,MIN(E$6-$E$3,22))),0))-IF($G$2,0,IF((E$6-$G$3)&lt;1,0,IFERROR(LOOKUP(2,1/(Soja!$E49:INDEX(Soja!$E49:$Z49,MIN(E$6-$G$3,22))&lt;&gt;""),Soja!$E49:INDEX(Soja!$E49:$Z49,MIN(E$6-$G$3,22))),0)))))</f>
        <v>0</v>
      </c>
      <c r="F51" s="27" t="n">
        <f aca="false">IF(COUNT(Soja!$E49:$Z49)=0,0,MAX(0,IF((F$6-$E$3)&lt;1,0,IFERROR(LOOKUP(2,1/(Soja!$E49:INDEX(Soja!$E49:$Z49,MIN(F$6-$E$3,22))&lt;&gt;""),Soja!$E49:INDEX(Soja!$E49:$Z49,MIN(F$6-$E$3,22))),0))-IF($G$2,0,IF((F$6-$G$3)&lt;1,0,IFERROR(LOOKUP(2,1/(Soja!$E49:INDEX(Soja!$E49:$Z49,MIN(F$6-$G$3,22))&lt;&gt;""),Soja!$E49:INDEX(Soja!$E49:$Z49,MIN(F$6-$G$3,22))),0)))))</f>
        <v>0</v>
      </c>
      <c r="G51" s="27" t="n">
        <f aca="false">IF(COUNT(Soja!$E49:$Z49)=0,0,MAX(0,IF((G$6-$E$3)&lt;1,0,IFERROR(LOOKUP(2,1/(Soja!$E49:INDEX(Soja!$E49:$Z49,MIN(G$6-$E$3,22))&lt;&gt;""),Soja!$E49:INDEX(Soja!$E49:$Z49,MIN(G$6-$E$3,22))),0))-IF($G$2,0,IF((G$6-$G$3)&lt;1,0,IFERROR(LOOKUP(2,1/(Soja!$E49:INDEX(Soja!$E49:$Z49,MIN(G$6-$G$3,22))&lt;&gt;""),Soja!$E49:INDEX(Soja!$E49:$Z49,MIN(G$6-$G$3,22))),0)))))</f>
        <v>0</v>
      </c>
      <c r="H51" s="27" t="n">
        <f aca="false">IF(COUNT(Soja!$E49:$Z49)=0,0,MAX(0,IF((H$6-$E$3)&lt;1,0,IFERROR(LOOKUP(2,1/(Soja!$E49:INDEX(Soja!$E49:$Z49,MIN(H$6-$E$3,22))&lt;&gt;""),Soja!$E49:INDEX(Soja!$E49:$Z49,MIN(H$6-$E$3,22))),0))-IF($G$2,0,IF((H$6-$G$3)&lt;1,0,IFERROR(LOOKUP(2,1/(Soja!$E49:INDEX(Soja!$E49:$Z49,MIN(H$6-$G$3,22))&lt;&gt;""),Soja!$E49:INDEX(Soja!$E49:$Z49,MIN(H$6-$G$3,22))),0)))))</f>
        <v>0</v>
      </c>
      <c r="I51" s="27" t="n">
        <f aca="false">IF(COUNT(Soja!$E49:$Z49)=0,0,MAX(0,IF((I$6-$E$3)&lt;1,0,IFERROR(LOOKUP(2,1/(Soja!$E49:INDEX(Soja!$E49:$Z49,MIN(I$6-$E$3,22))&lt;&gt;""),Soja!$E49:INDEX(Soja!$E49:$Z49,MIN(I$6-$E$3,22))),0))-IF($G$2,0,IF((I$6-$G$3)&lt;1,0,IFERROR(LOOKUP(2,1/(Soja!$E49:INDEX(Soja!$E49:$Z49,MIN(I$6-$G$3,22))&lt;&gt;""),Soja!$E49:INDEX(Soja!$E49:$Z49,MIN(I$6-$G$3,22))),0)))))</f>
        <v>0</v>
      </c>
      <c r="J51" s="27" t="n">
        <f aca="false">IF(COUNT(Soja!$E49:$Z49)=0,0,MAX(0,IF((J$6-$E$3)&lt;1,0,IFERROR(LOOKUP(2,1/(Soja!$E49:INDEX(Soja!$E49:$Z49,MIN(J$6-$E$3,22))&lt;&gt;""),Soja!$E49:INDEX(Soja!$E49:$Z49,MIN(J$6-$E$3,22))),0))-IF($G$2,0,IF((J$6-$G$3)&lt;1,0,IFERROR(LOOKUP(2,1/(Soja!$E49:INDEX(Soja!$E49:$Z49,MIN(J$6-$G$3,22))&lt;&gt;""),Soja!$E49:INDEX(Soja!$E49:$Z49,MIN(J$6-$G$3,22))),0)))))</f>
        <v>0</v>
      </c>
      <c r="K51" s="27" t="n">
        <f aca="false">IF(COUNT(Soja!$E49:$Z49)=0,0,MAX(0,IF((K$6-$E$3)&lt;1,0,IFERROR(LOOKUP(2,1/(Soja!$E49:INDEX(Soja!$E49:$Z49,MIN(K$6-$E$3,22))&lt;&gt;""),Soja!$E49:INDEX(Soja!$E49:$Z49,MIN(K$6-$E$3,22))),0))-IF($G$2,0,IF((K$6-$G$3)&lt;1,0,IFERROR(LOOKUP(2,1/(Soja!$E49:INDEX(Soja!$E49:$Z49,MIN(K$6-$G$3,22))&lt;&gt;""),Soja!$E49:INDEX(Soja!$E49:$Z49,MIN(K$6-$G$3,22))),0)))))</f>
        <v>0</v>
      </c>
      <c r="L51" s="27" t="n">
        <f aca="false">IF(COUNT(Soja!$E49:$Z49)=0,0,MAX(0,IF((L$6-$E$3)&lt;1,0,IFERROR(LOOKUP(2,1/(Soja!$E49:INDEX(Soja!$E49:$Z49,MIN(L$6-$E$3,22))&lt;&gt;""),Soja!$E49:INDEX(Soja!$E49:$Z49,MIN(L$6-$E$3,22))),0))-IF($G$2,0,IF((L$6-$G$3)&lt;1,0,IFERROR(LOOKUP(2,1/(Soja!$E49:INDEX(Soja!$E49:$Z49,MIN(L$6-$G$3,22))&lt;&gt;""),Soja!$E49:INDEX(Soja!$E49:$Z49,MIN(L$6-$G$3,22))),0)))))</f>
        <v>0</v>
      </c>
      <c r="M51" s="27" t="n">
        <f aca="false">IF(COUNT(Soja!$E49:$Z49)=0,0,MAX(0,IF((M$6-$E$3)&lt;1,0,IFERROR(LOOKUP(2,1/(Soja!$E49:INDEX(Soja!$E49:$Z49,MIN(M$6-$E$3,22))&lt;&gt;""),Soja!$E49:INDEX(Soja!$E49:$Z49,MIN(M$6-$E$3,22))),0))-IF($G$2,0,IF((M$6-$G$3)&lt;1,0,IFERROR(LOOKUP(2,1/(Soja!$E49:INDEX(Soja!$E49:$Z49,MIN(M$6-$G$3,22))&lt;&gt;""),Soja!$E49:INDEX(Soja!$E49:$Z49,MIN(M$6-$G$3,22))),0)))))</f>
        <v>0</v>
      </c>
      <c r="N51" s="27" t="n">
        <f aca="false">IF(COUNT(Soja!$E49:$Z49)=0,0,MAX(0,IF((N$6-$E$3)&lt;1,0,IFERROR(LOOKUP(2,1/(Soja!$E49:INDEX(Soja!$E49:$Z49,MIN(N$6-$E$3,22))&lt;&gt;""),Soja!$E49:INDEX(Soja!$E49:$Z49,MIN(N$6-$E$3,22))),0))-IF($G$2,0,IF((N$6-$G$3)&lt;1,0,IFERROR(LOOKUP(2,1/(Soja!$E49:INDEX(Soja!$E49:$Z49,MIN(N$6-$G$3,22))&lt;&gt;""),Soja!$E49:INDEX(Soja!$E49:$Z49,MIN(N$6-$G$3,22))),0)))))</f>
        <v>0</v>
      </c>
      <c r="O51" s="27" t="n">
        <f aca="false">IF(COUNT(Soja!$E49:$Z49)=0,0,MAX(0,IF((O$6-$E$3)&lt;1,0,IFERROR(LOOKUP(2,1/(Soja!$E49:INDEX(Soja!$E49:$Z49,MIN(O$6-$E$3,22))&lt;&gt;""),Soja!$E49:INDEX(Soja!$E49:$Z49,MIN(O$6-$E$3,22))),0))-IF($G$2,0,IF((O$6-$G$3)&lt;1,0,IFERROR(LOOKUP(2,1/(Soja!$E49:INDEX(Soja!$E49:$Z49,MIN(O$6-$G$3,22))&lt;&gt;""),Soja!$E49:INDEX(Soja!$E49:$Z49,MIN(O$6-$G$3,22))),0)))))</f>
        <v>0</v>
      </c>
      <c r="P51" s="27" t="n">
        <f aca="false">IF(COUNT(Soja!$E49:$Z49)=0,0,MAX(0,IF((P$6-$E$3)&lt;1,0,IFERROR(LOOKUP(2,1/(Soja!$E49:INDEX(Soja!$E49:$Z49,MIN(P$6-$E$3,22))&lt;&gt;""),Soja!$E49:INDEX(Soja!$E49:$Z49,MIN(P$6-$E$3,22))),0))-IF($G$2,0,IF((P$6-$G$3)&lt;1,0,IFERROR(LOOKUP(2,1/(Soja!$E49:INDEX(Soja!$E49:$Z49,MIN(P$6-$G$3,22))&lt;&gt;""),Soja!$E49:INDEX(Soja!$E49:$Z49,MIN(P$6-$G$3,22))),0)))))</f>
        <v>0</v>
      </c>
      <c r="Q51" s="27" t="n">
        <f aca="false">IF(COUNT(Soja!$E49:$Z49)=0,0,MAX(0,IF((Q$6-$E$3)&lt;1,0,IFERROR(LOOKUP(2,1/(Soja!$E49:INDEX(Soja!$E49:$Z49,MIN(Q$6-$E$3,22))&lt;&gt;""),Soja!$E49:INDEX(Soja!$E49:$Z49,MIN(Q$6-$E$3,22))),0))-IF($G$2,0,IF((Q$6-$G$3)&lt;1,0,IFERROR(LOOKUP(2,1/(Soja!$E49:INDEX(Soja!$E49:$Z49,MIN(Q$6-$G$3,22))&lt;&gt;""),Soja!$E49:INDEX(Soja!$E49:$Z49,MIN(Q$6-$G$3,22))),0)))))</f>
        <v>0</v>
      </c>
      <c r="R51" s="27" t="n">
        <f aca="false">IF(COUNT(Soja!$E49:$Z49)=0,0,MAX(0,IF((R$6-$E$3)&lt;1,0,IFERROR(LOOKUP(2,1/(Soja!$E49:INDEX(Soja!$E49:$Z49,MIN(R$6-$E$3,22))&lt;&gt;""),Soja!$E49:INDEX(Soja!$E49:$Z49,MIN(R$6-$E$3,22))),0))-IF($G$2,0,IF((R$6-$G$3)&lt;1,0,IFERROR(LOOKUP(2,1/(Soja!$E49:INDEX(Soja!$E49:$Z49,MIN(R$6-$G$3,22))&lt;&gt;""),Soja!$E49:INDEX(Soja!$E49:$Z49,MIN(R$6-$G$3,22))),0)))))</f>
        <v>0</v>
      </c>
      <c r="S51" s="27" t="n">
        <f aca="false">IF(COUNT(Soja!$E49:$Z49)=0,0,MAX(0,IF((S$6-$E$3)&lt;1,0,IFERROR(LOOKUP(2,1/(Soja!$E49:INDEX(Soja!$E49:$Z49,MIN(S$6-$E$3,22))&lt;&gt;""),Soja!$E49:INDEX(Soja!$E49:$Z49,MIN(S$6-$E$3,22))),0))-IF($G$2,0,IF((S$6-$G$3)&lt;1,0,IFERROR(LOOKUP(2,1/(Soja!$E49:INDEX(Soja!$E49:$Z49,MIN(S$6-$G$3,22))&lt;&gt;""),Soja!$E49:INDEX(Soja!$E49:$Z49,MIN(S$6-$G$3,22))),0)))))</f>
        <v>0</v>
      </c>
      <c r="T51" s="27" t="n">
        <f aca="false">IF(COUNT(Soja!$E49:$Z49)=0,0,MAX(0,IF((T$6-$E$3)&lt;1,0,IFERROR(LOOKUP(2,1/(Soja!$E49:INDEX(Soja!$E49:$Z49,MIN(T$6-$E$3,22))&lt;&gt;""),Soja!$E49:INDEX(Soja!$E49:$Z49,MIN(T$6-$E$3,22))),0))-IF($G$2,0,IF((T$6-$G$3)&lt;1,0,IFERROR(LOOKUP(2,1/(Soja!$E49:INDEX(Soja!$E49:$Z49,MIN(T$6-$G$3,22))&lt;&gt;""),Soja!$E49:INDEX(Soja!$E49:$Z49,MIN(T$6-$G$3,22))),0)))))</f>
        <v>0</v>
      </c>
      <c r="U51" s="27" t="n">
        <f aca="false">IF(COUNT(Soja!$E49:$Z49)=0,0,MAX(0,IF((U$6-$E$3)&lt;1,0,IFERROR(LOOKUP(2,1/(Soja!$E49:INDEX(Soja!$E49:$Z49,MIN(U$6-$E$3,22))&lt;&gt;""),Soja!$E49:INDEX(Soja!$E49:$Z49,MIN(U$6-$E$3,22))),0))-IF($G$2,0,IF((U$6-$G$3)&lt;1,0,IFERROR(LOOKUP(2,1/(Soja!$E49:INDEX(Soja!$E49:$Z49,MIN(U$6-$G$3,22))&lt;&gt;""),Soja!$E49:INDEX(Soja!$E49:$Z49,MIN(U$6-$G$3,22))),0)))))</f>
        <v>0</v>
      </c>
      <c r="V51" s="27" t="n">
        <f aca="false">IF(COUNT(Soja!$E49:$Z49)=0,0,MAX(0,IF((V$6-$E$3)&lt;1,0,IFERROR(LOOKUP(2,1/(Soja!$E49:INDEX(Soja!$E49:$Z49,MIN(V$6-$E$3,22))&lt;&gt;""),Soja!$E49:INDEX(Soja!$E49:$Z49,MIN(V$6-$E$3,22))),0))-IF($G$2,0,IF((V$6-$G$3)&lt;1,0,IFERROR(LOOKUP(2,1/(Soja!$E49:INDEX(Soja!$E49:$Z49,MIN(V$6-$G$3,22))&lt;&gt;""),Soja!$E49:INDEX(Soja!$E49:$Z49,MIN(V$6-$G$3,22))),0)))))</f>
        <v>0</v>
      </c>
      <c r="W51" s="27" t="n">
        <f aca="false">IF(COUNT(Soja!$E49:$Z49)=0,0,MAX(0,IF((W$6-$E$3)&lt;1,0,IFERROR(LOOKUP(2,1/(Soja!$E49:INDEX(Soja!$E49:$Z49,MIN(W$6-$E$3,22))&lt;&gt;""),Soja!$E49:INDEX(Soja!$E49:$Z49,MIN(W$6-$E$3,22))),0))-IF($G$2,0,IF((W$6-$G$3)&lt;1,0,IFERROR(LOOKUP(2,1/(Soja!$E49:INDEX(Soja!$E49:$Z49,MIN(W$6-$G$3,22))&lt;&gt;""),Soja!$E49:INDEX(Soja!$E49:$Z49,MIN(W$6-$G$3,22))),0)))))</f>
        <v>0</v>
      </c>
      <c r="X51" s="27" t="n">
        <f aca="false">IF(COUNT(Soja!$E49:$Z49)=0,0,MAX(0,IF((X$6-$E$3)&lt;1,0,IFERROR(LOOKUP(2,1/(Soja!$E49:INDEX(Soja!$E49:$Z49,MIN(X$6-$E$3,22))&lt;&gt;""),Soja!$E49:INDEX(Soja!$E49:$Z49,MIN(X$6-$E$3,22))),0))-IF($G$2,0,IF((X$6-$G$3)&lt;1,0,IFERROR(LOOKUP(2,1/(Soja!$E49:INDEX(Soja!$E49:$Z49,MIN(X$6-$G$3,22))&lt;&gt;""),Soja!$E49:INDEX(Soja!$E49:$Z49,MIN(X$6-$G$3,22))),0)))))</f>
        <v>0</v>
      </c>
      <c r="Y51" s="27" t="n">
        <f aca="false">IF(COUNT(Soja!$E49:$Z49)=0,0,MAX(0,IF((Y$6-$E$3)&lt;1,0,IFERROR(LOOKUP(2,1/(Soja!$E49:INDEX(Soja!$E49:$Z49,MIN(Y$6-$E$3,22))&lt;&gt;""),Soja!$E49:INDEX(Soja!$E49:$Z49,MIN(Y$6-$E$3,22))),0))-IF($G$2,0,IF((Y$6-$G$3)&lt;1,0,IFERROR(LOOKUP(2,1/(Soja!$E49:INDEX(Soja!$E49:$Z49,MIN(Y$6-$G$3,22))&lt;&gt;""),Soja!$E49:INDEX(Soja!$E49:$Z49,MIN(Y$6-$G$3,22))),0)))))</f>
        <v>0</v>
      </c>
      <c r="Z51" s="27" t="n">
        <f aca="false">IF(COUNT(Soja!$E49:$Z49)=0,0,MAX(0,IF((Z$6-$E$3)&lt;1,0,IFERROR(LOOKUP(2,1/(Soja!$E49:INDEX(Soja!$E49:$Z49,MIN(Z$6-$E$3,22))&lt;&gt;""),Soja!$E49:INDEX(Soja!$E49:$Z49,MIN(Z$6-$E$3,22))),0))-IF($G$2,0,IF((Z$6-$G$3)&lt;1,0,IFERROR(LOOKUP(2,1/(Soja!$E49:INDEX(Soja!$E49:$Z49,MIN(Z$6-$G$3,22))&lt;&gt;""),Soja!$E49:INDEX(Soja!$E49:$Z49,MIN(Z$6-$G$3,22))),0)))))</f>
        <v>0</v>
      </c>
      <c r="AA51" s="27" t="n">
        <f aca="false">IF(COUNT(Soja!$E49:$Z49)=0,0,MAX(0,IF((AA$6-$E$3)&lt;1,0,IFERROR(LOOKUP(2,1/(Soja!$E49:INDEX(Soja!$E49:$Z49,MIN(AA$6-$E$3,22))&lt;&gt;""),Soja!$E49:INDEX(Soja!$E49:$Z49,MIN(AA$6-$E$3,22))),0))-IF($G$2,0,IF((AA$6-$G$3)&lt;1,0,IFERROR(LOOKUP(2,1/(Soja!$E49:INDEX(Soja!$E49:$Z49,MIN(AA$6-$G$3,22))&lt;&gt;""),Soja!$E49:INDEX(Soja!$E49:$Z49,MIN(AA$6-$G$3,22))),0)))))</f>
        <v>0</v>
      </c>
      <c r="AB51" s="27" t="n">
        <f aca="false">IF(COUNT(Soja!$E49:$Z49)=0,0,MAX(0,IF((AB$6-$E$3)&lt;1,0,IFERROR(LOOKUP(2,1/(Soja!$E49:INDEX(Soja!$E49:$Z49,MIN(AB$6-$E$3,22))&lt;&gt;""),Soja!$E49:INDEX(Soja!$E49:$Z49,MIN(AB$6-$E$3,22))),0))-IF($G$2,0,IF((AB$6-$G$3)&lt;1,0,IFERROR(LOOKUP(2,1/(Soja!$E49:INDEX(Soja!$E49:$Z49,MIN(AB$6-$G$3,22))&lt;&gt;""),Soja!$E49:INDEX(Soja!$E49:$Z49,MIN(AB$6-$G$3,22))),0)))))</f>
        <v>0</v>
      </c>
      <c r="AC51" s="27" t="n">
        <f aca="false">IF(COUNT(Soja!$E49:$Z49)=0,0,MAX(0,IF((AC$6-$E$3)&lt;1,0,IFERROR(LOOKUP(2,1/(Soja!$E49:INDEX(Soja!$E49:$Z49,MIN(AC$6-$E$3,22))&lt;&gt;""),Soja!$E49:INDEX(Soja!$E49:$Z49,MIN(AC$6-$E$3,22))),0))-IF($G$2,0,IF((AC$6-$G$3)&lt;1,0,IFERROR(LOOKUP(2,1/(Soja!$E49:INDEX(Soja!$E49:$Z49,MIN(AC$6-$G$3,22))&lt;&gt;""),Soja!$E49:INDEX(Soja!$E49:$Z49,MIN(AC$6-$G$3,22))),0)))))</f>
        <v>0</v>
      </c>
      <c r="AD51" s="27" t="n">
        <f aca="false">IF(COUNT(Soja!$E49:$Z49)=0,0,MAX(0,IF((AD$6-$E$3)&lt;1,0,IFERROR(LOOKUP(2,1/(Soja!$E49:INDEX(Soja!$E49:$Z49,MIN(AD$6-$E$3,22))&lt;&gt;""),Soja!$E49:INDEX(Soja!$E49:$Z49,MIN(AD$6-$E$3,22))),0))-IF($G$2,0,IF((AD$6-$G$3)&lt;1,0,IFERROR(LOOKUP(2,1/(Soja!$E49:INDEX(Soja!$E49:$Z49,MIN(AD$6-$G$3,22))&lt;&gt;""),Soja!$E49:INDEX(Soja!$E49:$Z49,MIN(AD$6-$G$3,22))),0)))))</f>
        <v>0</v>
      </c>
      <c r="AE51" s="27" t="n">
        <f aca="false">IF(COUNT(Soja!$E49:$Z49)=0,0,MAX(0,IF((AE$6-$E$3)&lt;1,0,IFERROR(LOOKUP(2,1/(Soja!$E49:INDEX(Soja!$E49:$Z49,MIN(AE$6-$E$3,22))&lt;&gt;""),Soja!$E49:INDEX(Soja!$E49:$Z49,MIN(AE$6-$E$3,22))),0))-IF($G$2,0,IF((AE$6-$G$3)&lt;1,0,IFERROR(LOOKUP(2,1/(Soja!$E49:INDEX(Soja!$E49:$Z49,MIN(AE$6-$G$3,22))&lt;&gt;""),Soja!$E49:INDEX(Soja!$E49:$Z49,MIN(AE$6-$G$3,22))),0)))))</f>
        <v>0</v>
      </c>
      <c r="AF51" s="27" t="n">
        <f aca="false">IF(COUNT(Soja!$E49:$Z49)=0,0,MAX(0,IF((AF$6-$E$3)&lt;1,0,IFERROR(LOOKUP(2,1/(Soja!$E49:INDEX(Soja!$E49:$Z49,MIN(AF$6-$E$3,22))&lt;&gt;""),Soja!$E49:INDEX(Soja!$E49:$Z49,MIN(AF$6-$E$3,22))),0))-IF($G$2,0,IF((AF$6-$G$3)&lt;1,0,IFERROR(LOOKUP(2,1/(Soja!$E49:INDEX(Soja!$E49:$Z49,MIN(AF$6-$G$3,22))&lt;&gt;""),Soja!$E49:INDEX(Soja!$E49:$Z49,MIN(AF$6-$G$3,22))),0)))))</f>
        <v>0</v>
      </c>
      <c r="AG51" s="27" t="n">
        <f aca="false">IF(COUNT(Soja!$E49:$Z49)=0,0,MAX(0,IF((AG$6-$E$3)&lt;1,0,IFERROR(LOOKUP(2,1/(Soja!$E49:INDEX(Soja!$E49:$Z49,MIN(AG$6-$E$3,22))&lt;&gt;""),Soja!$E49:INDEX(Soja!$E49:$Z49,MIN(AG$6-$E$3,22))),0))-IF($G$2,0,IF((AG$6-$G$3)&lt;1,0,IFERROR(LOOKUP(2,1/(Soja!$E49:INDEX(Soja!$E49:$Z49,MIN(AG$6-$G$3,22))&lt;&gt;""),Soja!$E49:INDEX(Soja!$E49:$Z49,MIN(AG$6-$G$3,22))),0)))))</f>
        <v>0</v>
      </c>
      <c r="AH51" s="27" t="n">
        <f aca="false">IF(COUNT(Soja!$E49:$Z49)=0,0,MAX(0,IF((AH$6-$E$3)&lt;1,0,IFERROR(LOOKUP(2,1/(Soja!$E49:INDEX(Soja!$E49:$Z49,MIN(AH$6-$E$3,22))&lt;&gt;""),Soja!$E49:INDEX(Soja!$E49:$Z49,MIN(AH$6-$E$3,22))),0))-IF($G$2,0,IF((AH$6-$G$3)&lt;1,0,IFERROR(LOOKUP(2,1/(Soja!$E49:INDEX(Soja!$E49:$Z49,MIN(AH$6-$G$3,22))&lt;&gt;""),Soja!$E49:INDEX(Soja!$E49:$Z49,MIN(AH$6-$G$3,22))),0)))))</f>
        <v>0</v>
      </c>
      <c r="AI51" s="27" t="n">
        <f aca="false">IF(COUNT(Soja!$E49:$Z49)=0,0,MAX(0,IF((AI$6-$E$3)&lt;1,0,IFERROR(LOOKUP(2,1/(Soja!$E49:INDEX(Soja!$E49:$Z49,MIN(AI$6-$E$3,22))&lt;&gt;""),Soja!$E49:INDEX(Soja!$E49:$Z49,MIN(AI$6-$E$3,22))),0))-IF($G$2,0,IF((AI$6-$G$3)&lt;1,0,IFERROR(LOOKUP(2,1/(Soja!$E49:INDEX(Soja!$E49:$Z49,MIN(AI$6-$G$3,22))&lt;&gt;""),Soja!$E49:INDEX(Soja!$E49:$Z49,MIN(AI$6-$G$3,22))),0)))))</f>
        <v>0</v>
      </c>
      <c r="AJ51" s="27" t="n">
        <f aca="false">IF(COUNT(Soja!$E49:$Z49)=0,0,MAX(0,IF((AJ$6-$E$3)&lt;1,0,IFERROR(LOOKUP(2,1/(Soja!$E49:INDEX(Soja!$E49:$Z49,MIN(AJ$6-$E$3,22))&lt;&gt;""),Soja!$E49:INDEX(Soja!$E49:$Z49,MIN(AJ$6-$E$3,22))),0))-IF($G$2,0,IF((AJ$6-$G$3)&lt;1,0,IFERROR(LOOKUP(2,1/(Soja!$E49:INDEX(Soja!$E49:$Z49,MIN(AJ$6-$G$3,22))&lt;&gt;""),Soja!$E49:INDEX(Soja!$E49:$Z49,MIN(AJ$6-$G$3,22))),0)))))</f>
        <v>0</v>
      </c>
      <c r="AK51" s="27" t="n">
        <f aca="false">IF(COUNT(Soja!$E49:$Z49)=0,0,MAX(0,IF((AK$6-$E$3)&lt;1,0,IFERROR(LOOKUP(2,1/(Soja!$E49:INDEX(Soja!$E49:$Z49,MIN(AK$6-$E$3,22))&lt;&gt;""),Soja!$E49:INDEX(Soja!$E49:$Z49,MIN(AK$6-$E$3,22))),0))-IF($G$2,0,IF((AK$6-$G$3)&lt;1,0,IFERROR(LOOKUP(2,1/(Soja!$E49:INDEX(Soja!$E49:$Z49,MIN(AK$6-$G$3,22))&lt;&gt;""),Soja!$E49:INDEX(Soja!$E49:$Z49,MIN(AK$6-$G$3,22))),0)))))</f>
        <v>0</v>
      </c>
      <c r="AL51" s="27" t="n">
        <f aca="false">IF(COUNT(Soja!$E49:$Z49)=0,0,MAX(0,IF((AL$6-$E$3)&lt;1,0,IFERROR(LOOKUP(2,1/(Soja!$E49:INDEX(Soja!$E49:$Z49,MIN(AL$6-$E$3,22))&lt;&gt;""),Soja!$E49:INDEX(Soja!$E49:$Z49,MIN(AL$6-$E$3,22))),0))-IF($G$2,0,IF((AL$6-$G$3)&lt;1,0,IFERROR(LOOKUP(2,1/(Soja!$E49:INDEX(Soja!$E49:$Z49,MIN(AL$6-$G$3,22))&lt;&gt;""),Soja!$E49:INDEX(Soja!$E49:$Z49,MIN(AL$6-$G$3,22))),0)))))</f>
        <v>0</v>
      </c>
      <c r="AM51" s="27" t="n">
        <f aca="false">IF(COUNT(Soja!$E49:$Z49)=0,0,MAX(0,IF((AM$6-$E$3)&lt;1,0,IFERROR(LOOKUP(2,1/(Soja!$E49:INDEX(Soja!$E49:$Z49,MIN(AM$6-$E$3,22))&lt;&gt;""),Soja!$E49:INDEX(Soja!$E49:$Z49,MIN(AM$6-$E$3,22))),0))-IF($G$2,0,IF((AM$6-$G$3)&lt;1,0,IFERROR(LOOKUP(2,1/(Soja!$E49:INDEX(Soja!$E49:$Z49,MIN(AM$6-$G$3,22))&lt;&gt;""),Soja!$E49:INDEX(Soja!$E49:$Z49,MIN(AM$6-$G$3,22))),0)))))</f>
        <v>0</v>
      </c>
      <c r="AN51" s="27" t="n">
        <f aca="false">IF(COUNT(Soja!$E49:$Z49)=0,0,MAX(0,IF((AN$6-$E$3)&lt;1,0,IFERROR(LOOKUP(2,1/(Soja!$E49:INDEX(Soja!$E49:$Z49,MIN(AN$6-$E$3,22))&lt;&gt;""),Soja!$E49:INDEX(Soja!$E49:$Z49,MIN(AN$6-$E$3,22))),0))-IF($G$2,0,IF((AN$6-$G$3)&lt;1,0,IFERROR(LOOKUP(2,1/(Soja!$E49:INDEX(Soja!$E49:$Z49,MIN(AN$6-$G$3,22))&lt;&gt;""),Soja!$E49:INDEX(Soja!$E49:$Z49,MIN(AN$6-$G$3,22))),0)))))</f>
        <v>0</v>
      </c>
      <c r="AO51" s="27" t="n">
        <f aca="false">IF(COUNT(Soja!$E49:$Z49)=0,0,MAX(0,IF((AO$6-$E$3)&lt;1,0,IFERROR(LOOKUP(2,1/(Soja!$E49:INDEX(Soja!$E49:$Z49,MIN(AO$6-$E$3,22))&lt;&gt;""),Soja!$E49:INDEX(Soja!$E49:$Z49,MIN(AO$6-$E$3,22))),0))-IF($G$2,0,IF((AO$6-$G$3)&lt;1,0,IFERROR(LOOKUP(2,1/(Soja!$E49:INDEX(Soja!$E49:$Z49,MIN(AO$6-$G$3,22))&lt;&gt;""),Soja!$E49:INDEX(Soja!$E49:$Z49,MIN(AO$6-$G$3,22))),0)))))</f>
        <v>0</v>
      </c>
      <c r="AP51" s="27" t="n">
        <f aca="false">IF(COUNT(Soja!$E49:$Z49)=0,0,MAX(0,IF((AP$6-$E$3)&lt;1,0,IFERROR(LOOKUP(2,1/(Soja!$E49:INDEX(Soja!$E49:$Z49,MIN(AP$6-$E$3,22))&lt;&gt;""),Soja!$E49:INDEX(Soja!$E49:$Z49,MIN(AP$6-$E$3,22))),0))-IF($G$2,0,IF((AP$6-$G$3)&lt;1,0,IFERROR(LOOKUP(2,1/(Soja!$E49:INDEX(Soja!$E49:$Z49,MIN(AP$6-$G$3,22))&lt;&gt;""),Soja!$E49:INDEX(Soja!$E49:$Z49,MIN(AP$6-$G$3,22))),0)))))</f>
        <v>0</v>
      </c>
      <c r="AQ51" s="27" t="n">
        <f aca="false">IF(COUNT(Soja!$E49:$Z49)=0,0,MAX(0,IF((AQ$6-$E$3)&lt;1,0,IFERROR(LOOKUP(2,1/(Soja!$E49:INDEX(Soja!$E49:$Z49,MIN(AQ$6-$E$3,22))&lt;&gt;""),Soja!$E49:INDEX(Soja!$E49:$Z49,MIN(AQ$6-$E$3,22))),0))-IF($G$2,0,IF((AQ$6-$G$3)&lt;1,0,IFERROR(LOOKUP(2,1/(Soja!$E49:INDEX(Soja!$E49:$Z49,MIN(AQ$6-$G$3,22))&lt;&gt;""),Soja!$E49:INDEX(Soja!$E49:$Z49,MIN(AQ$6-$G$3,22))),0)))))</f>
        <v>0</v>
      </c>
      <c r="AR51" s="27" t="n">
        <f aca="false">IF(COUNT(Soja!$E49:$Z49)=0,0,MAX(0,IF((AR$6-$E$3)&lt;1,0,IFERROR(LOOKUP(2,1/(Soja!$E49:INDEX(Soja!$E49:$Z49,MIN(AR$6-$E$3,22))&lt;&gt;""),Soja!$E49:INDEX(Soja!$E49:$Z49,MIN(AR$6-$E$3,22))),0))-IF($G$2,0,IF((AR$6-$G$3)&lt;1,0,IFERROR(LOOKUP(2,1/(Soja!$E49:INDEX(Soja!$E49:$Z49,MIN(AR$6-$G$3,22))&lt;&gt;""),Soja!$E49:INDEX(Soja!$E49:$Z49,MIN(AR$6-$G$3,22))),0)))))</f>
        <v>0</v>
      </c>
      <c r="AS51" s="27" t="n">
        <f aca="false">IF(COUNT(Soja!$E49:$Z49)=0,0,MAX(0,IF((AS$6-$E$3)&lt;1,0,IFERROR(LOOKUP(2,1/(Soja!$E49:INDEX(Soja!$E49:$Z49,MIN(AS$6-$E$3,22))&lt;&gt;""),Soja!$E49:INDEX(Soja!$E49:$Z49,MIN(AS$6-$E$3,22))),0))-IF($G$2,0,IF((AS$6-$G$3)&lt;1,0,IFERROR(LOOKUP(2,1/(Soja!$E49:INDEX(Soja!$E49:$Z49,MIN(AS$6-$G$3,22))&lt;&gt;""),Soja!$E49:INDEX(Soja!$E49:$Z49,MIN(AS$6-$G$3,22))),0)))))</f>
        <v>0</v>
      </c>
      <c r="AT51" s="27" t="n">
        <f aca="false">IF(COUNT(Soja!$E49:$Z49)=0,0,MAX(0,IF((AT$6-$E$3)&lt;1,0,IFERROR(LOOKUP(2,1/(Soja!$E49:INDEX(Soja!$E49:$Z49,MIN(AT$6-$E$3,22))&lt;&gt;""),Soja!$E49:INDEX(Soja!$E49:$Z49,MIN(AT$6-$E$3,22))),0))-IF($G$2,0,IF((AT$6-$G$3)&lt;1,0,IFERROR(LOOKUP(2,1/(Soja!$E49:INDEX(Soja!$E49:$Z49,MIN(AT$6-$G$3,22))&lt;&gt;""),Soja!$E49:INDEX(Soja!$E49:$Z49,MIN(AT$6-$G$3,22))),0)))))</f>
        <v>0</v>
      </c>
      <c r="AU51" s="27" t="n">
        <f aca="false">IF(COUNT(Soja!$E49:$Z49)=0,0,MAX(0,IF((AU$6-$E$3)&lt;1,0,IFERROR(LOOKUP(2,1/(Soja!$E49:INDEX(Soja!$E49:$Z49,MIN(AU$6-$E$3,22))&lt;&gt;""),Soja!$E49:INDEX(Soja!$E49:$Z49,MIN(AU$6-$E$3,22))),0))-IF($G$2,0,IF((AU$6-$G$3)&lt;1,0,IFERROR(LOOKUP(2,1/(Soja!$E49:INDEX(Soja!$E49:$Z49,MIN(AU$6-$G$3,22))&lt;&gt;""),Soja!$E49:INDEX(Soja!$E49:$Z49,MIN(AU$6-$G$3,22))),0)))))</f>
        <v>0</v>
      </c>
      <c r="AV51" s="27" t="n">
        <f aca="false">IF(COUNT(Soja!$E49:$Z49)=0,0,MAX(0,IF((AV$6-$E$3)&lt;1,0,IFERROR(LOOKUP(2,1/(Soja!$E49:INDEX(Soja!$E49:$Z49,MIN(AV$6-$E$3,22))&lt;&gt;""),Soja!$E49:INDEX(Soja!$E49:$Z49,MIN(AV$6-$E$3,22))),0))-IF($G$2,0,IF((AV$6-$G$3)&lt;1,0,IFERROR(LOOKUP(2,1/(Soja!$E49:INDEX(Soja!$E49:$Z49,MIN(AV$6-$G$3,22))&lt;&gt;""),Soja!$E49:INDEX(Soja!$E49:$Z49,MIN(AV$6-$G$3,22))),0)))))</f>
        <v>0</v>
      </c>
      <c r="AW51" s="27" t="n">
        <f aca="false">IF(COUNT(Soja!$E49:$Z49)=0,0,MAX(0,IF((AW$6-$E$3)&lt;1,0,IFERROR(LOOKUP(2,1/(Soja!$E49:INDEX(Soja!$E49:$Z49,MIN(AW$6-$E$3,22))&lt;&gt;""),Soja!$E49:INDEX(Soja!$E49:$Z49,MIN(AW$6-$E$3,22))),0))-IF($G$2,0,IF((AW$6-$G$3)&lt;1,0,IFERROR(LOOKUP(2,1/(Soja!$E49:INDEX(Soja!$E49:$Z49,MIN(AW$6-$G$3,22))&lt;&gt;""),Soja!$E49:INDEX(Soja!$E49:$Z49,MIN(AW$6-$G$3,22))),0)))))</f>
        <v>0</v>
      </c>
      <c r="AX51" s="27" t="n">
        <f aca="false">IF(COUNT(Soja!$E49:$Z49)=0,0,MAX(0,IF((AX$6-$E$3)&lt;1,0,IFERROR(LOOKUP(2,1/(Soja!$E49:INDEX(Soja!$E49:$Z49,MIN(AX$6-$E$3,22))&lt;&gt;""),Soja!$E49:INDEX(Soja!$E49:$Z49,MIN(AX$6-$E$3,22))),0))-IF($G$2,0,IF((AX$6-$G$3)&lt;1,0,IFERROR(LOOKUP(2,1/(Soja!$E49:INDEX(Soja!$E49:$Z49,MIN(AX$6-$G$3,22))&lt;&gt;""),Soja!$E49:INDEX(Soja!$E49:$Z49,MIN(AX$6-$G$3,22))),0)))))</f>
        <v>0</v>
      </c>
      <c r="AY51" s="27" t="n">
        <f aca="false">IF(COUNT(Soja!$E49:$Z49)=0,0,MAX(0,IF((AY$6-$E$3)&lt;1,0,IFERROR(LOOKUP(2,1/(Soja!$E49:INDEX(Soja!$E49:$Z49,MIN(AY$6-$E$3,22))&lt;&gt;""),Soja!$E49:INDEX(Soja!$E49:$Z49,MIN(AY$6-$E$3,22))),0))-IF($G$2,0,IF((AY$6-$G$3)&lt;1,0,IFERROR(LOOKUP(2,1/(Soja!$E49:INDEX(Soja!$E49:$Z49,MIN(AY$6-$G$3,22))&lt;&gt;""),Soja!$E49:INDEX(Soja!$E49:$Z49,MIN(AY$6-$G$3,22))),0)))))</f>
        <v>0</v>
      </c>
      <c r="AZ51" s="27" t="n">
        <f aca="false">IF(COUNT(Soja!$E49:$Z49)=0,0,MAX(0,IF((AZ$6-$E$3)&lt;1,0,IFERROR(LOOKUP(2,1/(Soja!$E49:INDEX(Soja!$E49:$Z49,MIN(AZ$6-$E$3,22))&lt;&gt;""),Soja!$E49:INDEX(Soja!$E49:$Z49,MIN(AZ$6-$E$3,22))),0))-IF($G$2,0,IF((AZ$6-$G$3)&lt;1,0,IFERROR(LOOKUP(2,1/(Soja!$E49:INDEX(Soja!$E49:$Z49,MIN(AZ$6-$G$3,22))&lt;&gt;""),Soja!$E49:INDEX(Soja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IF(COUNT(Soja!$E50:$Z50)&gt;0,N(Soja!$D50),0)</f>
        <v>0</v>
      </c>
      <c r="E52" s="27" t="n">
        <f aca="false">IF(COUNT(Soja!$E50:$Z50)=0,0,MAX(0,IF((E$6-$E$3)&lt;1,0,IFERROR(LOOKUP(2,1/(Soja!$E50:INDEX(Soja!$E50:$Z50,MIN(E$6-$E$3,22))&lt;&gt;""),Soja!$E50:INDEX(Soja!$E50:$Z50,MIN(E$6-$E$3,22))),0))-IF($G$2,0,IF((E$6-$G$3)&lt;1,0,IFERROR(LOOKUP(2,1/(Soja!$E50:INDEX(Soja!$E50:$Z50,MIN(E$6-$G$3,22))&lt;&gt;""),Soja!$E50:INDEX(Soja!$E50:$Z50,MIN(E$6-$G$3,22))),0)))))</f>
        <v>0</v>
      </c>
      <c r="F52" s="27" t="n">
        <f aca="false">IF(COUNT(Soja!$E50:$Z50)=0,0,MAX(0,IF((F$6-$E$3)&lt;1,0,IFERROR(LOOKUP(2,1/(Soja!$E50:INDEX(Soja!$E50:$Z50,MIN(F$6-$E$3,22))&lt;&gt;""),Soja!$E50:INDEX(Soja!$E50:$Z50,MIN(F$6-$E$3,22))),0))-IF($G$2,0,IF((F$6-$G$3)&lt;1,0,IFERROR(LOOKUP(2,1/(Soja!$E50:INDEX(Soja!$E50:$Z50,MIN(F$6-$G$3,22))&lt;&gt;""),Soja!$E50:INDEX(Soja!$E50:$Z50,MIN(F$6-$G$3,22))),0)))))</f>
        <v>0</v>
      </c>
      <c r="G52" s="27" t="n">
        <f aca="false">IF(COUNT(Soja!$E50:$Z50)=0,0,MAX(0,IF((G$6-$E$3)&lt;1,0,IFERROR(LOOKUP(2,1/(Soja!$E50:INDEX(Soja!$E50:$Z50,MIN(G$6-$E$3,22))&lt;&gt;""),Soja!$E50:INDEX(Soja!$E50:$Z50,MIN(G$6-$E$3,22))),0))-IF($G$2,0,IF((G$6-$G$3)&lt;1,0,IFERROR(LOOKUP(2,1/(Soja!$E50:INDEX(Soja!$E50:$Z50,MIN(G$6-$G$3,22))&lt;&gt;""),Soja!$E50:INDEX(Soja!$E50:$Z50,MIN(G$6-$G$3,22))),0)))))</f>
        <v>0</v>
      </c>
      <c r="H52" s="27" t="n">
        <f aca="false">IF(COUNT(Soja!$E50:$Z50)=0,0,MAX(0,IF((H$6-$E$3)&lt;1,0,IFERROR(LOOKUP(2,1/(Soja!$E50:INDEX(Soja!$E50:$Z50,MIN(H$6-$E$3,22))&lt;&gt;""),Soja!$E50:INDEX(Soja!$E50:$Z50,MIN(H$6-$E$3,22))),0))-IF($G$2,0,IF((H$6-$G$3)&lt;1,0,IFERROR(LOOKUP(2,1/(Soja!$E50:INDEX(Soja!$E50:$Z50,MIN(H$6-$G$3,22))&lt;&gt;""),Soja!$E50:INDEX(Soja!$E50:$Z50,MIN(H$6-$G$3,22))),0)))))</f>
        <v>0</v>
      </c>
      <c r="I52" s="27" t="n">
        <f aca="false">IF(COUNT(Soja!$E50:$Z50)=0,0,MAX(0,IF((I$6-$E$3)&lt;1,0,IFERROR(LOOKUP(2,1/(Soja!$E50:INDEX(Soja!$E50:$Z50,MIN(I$6-$E$3,22))&lt;&gt;""),Soja!$E50:INDEX(Soja!$E50:$Z50,MIN(I$6-$E$3,22))),0))-IF($G$2,0,IF((I$6-$G$3)&lt;1,0,IFERROR(LOOKUP(2,1/(Soja!$E50:INDEX(Soja!$E50:$Z50,MIN(I$6-$G$3,22))&lt;&gt;""),Soja!$E50:INDEX(Soja!$E50:$Z50,MIN(I$6-$G$3,22))),0)))))</f>
        <v>0</v>
      </c>
      <c r="J52" s="27" t="n">
        <f aca="false">IF(COUNT(Soja!$E50:$Z50)=0,0,MAX(0,IF((J$6-$E$3)&lt;1,0,IFERROR(LOOKUP(2,1/(Soja!$E50:INDEX(Soja!$E50:$Z50,MIN(J$6-$E$3,22))&lt;&gt;""),Soja!$E50:INDEX(Soja!$E50:$Z50,MIN(J$6-$E$3,22))),0))-IF($G$2,0,IF((J$6-$G$3)&lt;1,0,IFERROR(LOOKUP(2,1/(Soja!$E50:INDEX(Soja!$E50:$Z50,MIN(J$6-$G$3,22))&lt;&gt;""),Soja!$E50:INDEX(Soja!$E50:$Z50,MIN(J$6-$G$3,22))),0)))))</f>
        <v>0</v>
      </c>
      <c r="K52" s="27" t="n">
        <f aca="false">IF(COUNT(Soja!$E50:$Z50)=0,0,MAX(0,IF((K$6-$E$3)&lt;1,0,IFERROR(LOOKUP(2,1/(Soja!$E50:INDEX(Soja!$E50:$Z50,MIN(K$6-$E$3,22))&lt;&gt;""),Soja!$E50:INDEX(Soja!$E50:$Z50,MIN(K$6-$E$3,22))),0))-IF($G$2,0,IF((K$6-$G$3)&lt;1,0,IFERROR(LOOKUP(2,1/(Soja!$E50:INDEX(Soja!$E50:$Z50,MIN(K$6-$G$3,22))&lt;&gt;""),Soja!$E50:INDEX(Soja!$E50:$Z50,MIN(K$6-$G$3,22))),0)))))</f>
        <v>0</v>
      </c>
      <c r="L52" s="27" t="n">
        <f aca="false">IF(COUNT(Soja!$E50:$Z50)=0,0,MAX(0,IF((L$6-$E$3)&lt;1,0,IFERROR(LOOKUP(2,1/(Soja!$E50:INDEX(Soja!$E50:$Z50,MIN(L$6-$E$3,22))&lt;&gt;""),Soja!$E50:INDEX(Soja!$E50:$Z50,MIN(L$6-$E$3,22))),0))-IF($G$2,0,IF((L$6-$G$3)&lt;1,0,IFERROR(LOOKUP(2,1/(Soja!$E50:INDEX(Soja!$E50:$Z50,MIN(L$6-$G$3,22))&lt;&gt;""),Soja!$E50:INDEX(Soja!$E50:$Z50,MIN(L$6-$G$3,22))),0)))))</f>
        <v>0</v>
      </c>
      <c r="M52" s="27" t="n">
        <f aca="false">IF(COUNT(Soja!$E50:$Z50)=0,0,MAX(0,IF((M$6-$E$3)&lt;1,0,IFERROR(LOOKUP(2,1/(Soja!$E50:INDEX(Soja!$E50:$Z50,MIN(M$6-$E$3,22))&lt;&gt;""),Soja!$E50:INDEX(Soja!$E50:$Z50,MIN(M$6-$E$3,22))),0))-IF($G$2,0,IF((M$6-$G$3)&lt;1,0,IFERROR(LOOKUP(2,1/(Soja!$E50:INDEX(Soja!$E50:$Z50,MIN(M$6-$G$3,22))&lt;&gt;""),Soja!$E50:INDEX(Soja!$E50:$Z50,MIN(M$6-$G$3,22))),0)))))</f>
        <v>0</v>
      </c>
      <c r="N52" s="27" t="n">
        <f aca="false">IF(COUNT(Soja!$E50:$Z50)=0,0,MAX(0,IF((N$6-$E$3)&lt;1,0,IFERROR(LOOKUP(2,1/(Soja!$E50:INDEX(Soja!$E50:$Z50,MIN(N$6-$E$3,22))&lt;&gt;""),Soja!$E50:INDEX(Soja!$E50:$Z50,MIN(N$6-$E$3,22))),0))-IF($G$2,0,IF((N$6-$G$3)&lt;1,0,IFERROR(LOOKUP(2,1/(Soja!$E50:INDEX(Soja!$E50:$Z50,MIN(N$6-$G$3,22))&lt;&gt;""),Soja!$E50:INDEX(Soja!$E50:$Z50,MIN(N$6-$G$3,22))),0)))))</f>
        <v>0</v>
      </c>
      <c r="O52" s="27" t="n">
        <f aca="false">IF(COUNT(Soja!$E50:$Z50)=0,0,MAX(0,IF((O$6-$E$3)&lt;1,0,IFERROR(LOOKUP(2,1/(Soja!$E50:INDEX(Soja!$E50:$Z50,MIN(O$6-$E$3,22))&lt;&gt;""),Soja!$E50:INDEX(Soja!$E50:$Z50,MIN(O$6-$E$3,22))),0))-IF($G$2,0,IF((O$6-$G$3)&lt;1,0,IFERROR(LOOKUP(2,1/(Soja!$E50:INDEX(Soja!$E50:$Z50,MIN(O$6-$G$3,22))&lt;&gt;""),Soja!$E50:INDEX(Soja!$E50:$Z50,MIN(O$6-$G$3,22))),0)))))</f>
        <v>0</v>
      </c>
      <c r="P52" s="27" t="n">
        <f aca="false">IF(COUNT(Soja!$E50:$Z50)=0,0,MAX(0,IF((P$6-$E$3)&lt;1,0,IFERROR(LOOKUP(2,1/(Soja!$E50:INDEX(Soja!$E50:$Z50,MIN(P$6-$E$3,22))&lt;&gt;""),Soja!$E50:INDEX(Soja!$E50:$Z50,MIN(P$6-$E$3,22))),0))-IF($G$2,0,IF((P$6-$G$3)&lt;1,0,IFERROR(LOOKUP(2,1/(Soja!$E50:INDEX(Soja!$E50:$Z50,MIN(P$6-$G$3,22))&lt;&gt;""),Soja!$E50:INDEX(Soja!$E50:$Z50,MIN(P$6-$G$3,22))),0)))))</f>
        <v>0</v>
      </c>
      <c r="Q52" s="27" t="n">
        <f aca="false">IF(COUNT(Soja!$E50:$Z50)=0,0,MAX(0,IF((Q$6-$E$3)&lt;1,0,IFERROR(LOOKUP(2,1/(Soja!$E50:INDEX(Soja!$E50:$Z50,MIN(Q$6-$E$3,22))&lt;&gt;""),Soja!$E50:INDEX(Soja!$E50:$Z50,MIN(Q$6-$E$3,22))),0))-IF($G$2,0,IF((Q$6-$G$3)&lt;1,0,IFERROR(LOOKUP(2,1/(Soja!$E50:INDEX(Soja!$E50:$Z50,MIN(Q$6-$G$3,22))&lt;&gt;""),Soja!$E50:INDEX(Soja!$E50:$Z50,MIN(Q$6-$G$3,22))),0)))))</f>
        <v>0</v>
      </c>
      <c r="R52" s="27" t="n">
        <f aca="false">IF(COUNT(Soja!$E50:$Z50)=0,0,MAX(0,IF((R$6-$E$3)&lt;1,0,IFERROR(LOOKUP(2,1/(Soja!$E50:INDEX(Soja!$E50:$Z50,MIN(R$6-$E$3,22))&lt;&gt;""),Soja!$E50:INDEX(Soja!$E50:$Z50,MIN(R$6-$E$3,22))),0))-IF($G$2,0,IF((R$6-$G$3)&lt;1,0,IFERROR(LOOKUP(2,1/(Soja!$E50:INDEX(Soja!$E50:$Z50,MIN(R$6-$G$3,22))&lt;&gt;""),Soja!$E50:INDEX(Soja!$E50:$Z50,MIN(R$6-$G$3,22))),0)))))</f>
        <v>0</v>
      </c>
      <c r="S52" s="27" t="n">
        <f aca="false">IF(COUNT(Soja!$E50:$Z50)=0,0,MAX(0,IF((S$6-$E$3)&lt;1,0,IFERROR(LOOKUP(2,1/(Soja!$E50:INDEX(Soja!$E50:$Z50,MIN(S$6-$E$3,22))&lt;&gt;""),Soja!$E50:INDEX(Soja!$E50:$Z50,MIN(S$6-$E$3,22))),0))-IF($G$2,0,IF((S$6-$G$3)&lt;1,0,IFERROR(LOOKUP(2,1/(Soja!$E50:INDEX(Soja!$E50:$Z50,MIN(S$6-$G$3,22))&lt;&gt;""),Soja!$E50:INDEX(Soja!$E50:$Z50,MIN(S$6-$G$3,22))),0)))))</f>
        <v>0</v>
      </c>
      <c r="T52" s="27" t="n">
        <f aca="false">IF(COUNT(Soja!$E50:$Z50)=0,0,MAX(0,IF((T$6-$E$3)&lt;1,0,IFERROR(LOOKUP(2,1/(Soja!$E50:INDEX(Soja!$E50:$Z50,MIN(T$6-$E$3,22))&lt;&gt;""),Soja!$E50:INDEX(Soja!$E50:$Z50,MIN(T$6-$E$3,22))),0))-IF($G$2,0,IF((T$6-$G$3)&lt;1,0,IFERROR(LOOKUP(2,1/(Soja!$E50:INDEX(Soja!$E50:$Z50,MIN(T$6-$G$3,22))&lt;&gt;""),Soja!$E50:INDEX(Soja!$E50:$Z50,MIN(T$6-$G$3,22))),0)))))</f>
        <v>0</v>
      </c>
      <c r="U52" s="27" t="n">
        <f aca="false">IF(COUNT(Soja!$E50:$Z50)=0,0,MAX(0,IF((U$6-$E$3)&lt;1,0,IFERROR(LOOKUP(2,1/(Soja!$E50:INDEX(Soja!$E50:$Z50,MIN(U$6-$E$3,22))&lt;&gt;""),Soja!$E50:INDEX(Soja!$E50:$Z50,MIN(U$6-$E$3,22))),0))-IF($G$2,0,IF((U$6-$G$3)&lt;1,0,IFERROR(LOOKUP(2,1/(Soja!$E50:INDEX(Soja!$E50:$Z50,MIN(U$6-$G$3,22))&lt;&gt;""),Soja!$E50:INDEX(Soja!$E50:$Z50,MIN(U$6-$G$3,22))),0)))))</f>
        <v>0</v>
      </c>
      <c r="V52" s="27" t="n">
        <f aca="false">IF(COUNT(Soja!$E50:$Z50)=0,0,MAX(0,IF((V$6-$E$3)&lt;1,0,IFERROR(LOOKUP(2,1/(Soja!$E50:INDEX(Soja!$E50:$Z50,MIN(V$6-$E$3,22))&lt;&gt;""),Soja!$E50:INDEX(Soja!$E50:$Z50,MIN(V$6-$E$3,22))),0))-IF($G$2,0,IF((V$6-$G$3)&lt;1,0,IFERROR(LOOKUP(2,1/(Soja!$E50:INDEX(Soja!$E50:$Z50,MIN(V$6-$G$3,22))&lt;&gt;""),Soja!$E50:INDEX(Soja!$E50:$Z50,MIN(V$6-$G$3,22))),0)))))</f>
        <v>0</v>
      </c>
      <c r="W52" s="27" t="n">
        <f aca="false">IF(COUNT(Soja!$E50:$Z50)=0,0,MAX(0,IF((W$6-$E$3)&lt;1,0,IFERROR(LOOKUP(2,1/(Soja!$E50:INDEX(Soja!$E50:$Z50,MIN(W$6-$E$3,22))&lt;&gt;""),Soja!$E50:INDEX(Soja!$E50:$Z50,MIN(W$6-$E$3,22))),0))-IF($G$2,0,IF((W$6-$G$3)&lt;1,0,IFERROR(LOOKUP(2,1/(Soja!$E50:INDEX(Soja!$E50:$Z50,MIN(W$6-$G$3,22))&lt;&gt;""),Soja!$E50:INDEX(Soja!$E50:$Z50,MIN(W$6-$G$3,22))),0)))))</f>
        <v>0</v>
      </c>
      <c r="X52" s="27" t="n">
        <f aca="false">IF(COUNT(Soja!$E50:$Z50)=0,0,MAX(0,IF((X$6-$E$3)&lt;1,0,IFERROR(LOOKUP(2,1/(Soja!$E50:INDEX(Soja!$E50:$Z50,MIN(X$6-$E$3,22))&lt;&gt;""),Soja!$E50:INDEX(Soja!$E50:$Z50,MIN(X$6-$E$3,22))),0))-IF($G$2,0,IF((X$6-$G$3)&lt;1,0,IFERROR(LOOKUP(2,1/(Soja!$E50:INDEX(Soja!$E50:$Z50,MIN(X$6-$G$3,22))&lt;&gt;""),Soja!$E50:INDEX(Soja!$E50:$Z50,MIN(X$6-$G$3,22))),0)))))</f>
        <v>0</v>
      </c>
      <c r="Y52" s="27" t="n">
        <f aca="false">IF(COUNT(Soja!$E50:$Z50)=0,0,MAX(0,IF((Y$6-$E$3)&lt;1,0,IFERROR(LOOKUP(2,1/(Soja!$E50:INDEX(Soja!$E50:$Z50,MIN(Y$6-$E$3,22))&lt;&gt;""),Soja!$E50:INDEX(Soja!$E50:$Z50,MIN(Y$6-$E$3,22))),0))-IF($G$2,0,IF((Y$6-$G$3)&lt;1,0,IFERROR(LOOKUP(2,1/(Soja!$E50:INDEX(Soja!$E50:$Z50,MIN(Y$6-$G$3,22))&lt;&gt;""),Soja!$E50:INDEX(Soja!$E50:$Z50,MIN(Y$6-$G$3,22))),0)))))</f>
        <v>0</v>
      </c>
      <c r="Z52" s="27" t="n">
        <f aca="false">IF(COUNT(Soja!$E50:$Z50)=0,0,MAX(0,IF((Z$6-$E$3)&lt;1,0,IFERROR(LOOKUP(2,1/(Soja!$E50:INDEX(Soja!$E50:$Z50,MIN(Z$6-$E$3,22))&lt;&gt;""),Soja!$E50:INDEX(Soja!$E50:$Z50,MIN(Z$6-$E$3,22))),0))-IF($G$2,0,IF((Z$6-$G$3)&lt;1,0,IFERROR(LOOKUP(2,1/(Soja!$E50:INDEX(Soja!$E50:$Z50,MIN(Z$6-$G$3,22))&lt;&gt;""),Soja!$E50:INDEX(Soja!$E50:$Z50,MIN(Z$6-$G$3,22))),0)))))</f>
        <v>0</v>
      </c>
      <c r="AA52" s="27" t="n">
        <f aca="false">IF(COUNT(Soja!$E50:$Z50)=0,0,MAX(0,IF((AA$6-$E$3)&lt;1,0,IFERROR(LOOKUP(2,1/(Soja!$E50:INDEX(Soja!$E50:$Z50,MIN(AA$6-$E$3,22))&lt;&gt;""),Soja!$E50:INDEX(Soja!$E50:$Z50,MIN(AA$6-$E$3,22))),0))-IF($G$2,0,IF((AA$6-$G$3)&lt;1,0,IFERROR(LOOKUP(2,1/(Soja!$E50:INDEX(Soja!$E50:$Z50,MIN(AA$6-$G$3,22))&lt;&gt;""),Soja!$E50:INDEX(Soja!$E50:$Z50,MIN(AA$6-$G$3,22))),0)))))</f>
        <v>0</v>
      </c>
      <c r="AB52" s="27" t="n">
        <f aca="false">IF(COUNT(Soja!$E50:$Z50)=0,0,MAX(0,IF((AB$6-$E$3)&lt;1,0,IFERROR(LOOKUP(2,1/(Soja!$E50:INDEX(Soja!$E50:$Z50,MIN(AB$6-$E$3,22))&lt;&gt;""),Soja!$E50:INDEX(Soja!$E50:$Z50,MIN(AB$6-$E$3,22))),0))-IF($G$2,0,IF((AB$6-$G$3)&lt;1,0,IFERROR(LOOKUP(2,1/(Soja!$E50:INDEX(Soja!$E50:$Z50,MIN(AB$6-$G$3,22))&lt;&gt;""),Soja!$E50:INDEX(Soja!$E50:$Z50,MIN(AB$6-$G$3,22))),0)))))</f>
        <v>0</v>
      </c>
      <c r="AC52" s="27" t="n">
        <f aca="false">IF(COUNT(Soja!$E50:$Z50)=0,0,MAX(0,IF((AC$6-$E$3)&lt;1,0,IFERROR(LOOKUP(2,1/(Soja!$E50:INDEX(Soja!$E50:$Z50,MIN(AC$6-$E$3,22))&lt;&gt;""),Soja!$E50:INDEX(Soja!$E50:$Z50,MIN(AC$6-$E$3,22))),0))-IF($G$2,0,IF((AC$6-$G$3)&lt;1,0,IFERROR(LOOKUP(2,1/(Soja!$E50:INDEX(Soja!$E50:$Z50,MIN(AC$6-$G$3,22))&lt;&gt;""),Soja!$E50:INDEX(Soja!$E50:$Z50,MIN(AC$6-$G$3,22))),0)))))</f>
        <v>0</v>
      </c>
      <c r="AD52" s="27" t="n">
        <f aca="false">IF(COUNT(Soja!$E50:$Z50)=0,0,MAX(0,IF((AD$6-$E$3)&lt;1,0,IFERROR(LOOKUP(2,1/(Soja!$E50:INDEX(Soja!$E50:$Z50,MIN(AD$6-$E$3,22))&lt;&gt;""),Soja!$E50:INDEX(Soja!$E50:$Z50,MIN(AD$6-$E$3,22))),0))-IF($G$2,0,IF((AD$6-$G$3)&lt;1,0,IFERROR(LOOKUP(2,1/(Soja!$E50:INDEX(Soja!$E50:$Z50,MIN(AD$6-$G$3,22))&lt;&gt;""),Soja!$E50:INDEX(Soja!$E50:$Z50,MIN(AD$6-$G$3,22))),0)))))</f>
        <v>0</v>
      </c>
      <c r="AE52" s="27" t="n">
        <f aca="false">IF(COUNT(Soja!$E50:$Z50)=0,0,MAX(0,IF((AE$6-$E$3)&lt;1,0,IFERROR(LOOKUP(2,1/(Soja!$E50:INDEX(Soja!$E50:$Z50,MIN(AE$6-$E$3,22))&lt;&gt;""),Soja!$E50:INDEX(Soja!$E50:$Z50,MIN(AE$6-$E$3,22))),0))-IF($G$2,0,IF((AE$6-$G$3)&lt;1,0,IFERROR(LOOKUP(2,1/(Soja!$E50:INDEX(Soja!$E50:$Z50,MIN(AE$6-$G$3,22))&lt;&gt;""),Soja!$E50:INDEX(Soja!$E50:$Z50,MIN(AE$6-$G$3,22))),0)))))</f>
        <v>0</v>
      </c>
      <c r="AF52" s="27" t="n">
        <f aca="false">IF(COUNT(Soja!$E50:$Z50)=0,0,MAX(0,IF((AF$6-$E$3)&lt;1,0,IFERROR(LOOKUP(2,1/(Soja!$E50:INDEX(Soja!$E50:$Z50,MIN(AF$6-$E$3,22))&lt;&gt;""),Soja!$E50:INDEX(Soja!$E50:$Z50,MIN(AF$6-$E$3,22))),0))-IF($G$2,0,IF((AF$6-$G$3)&lt;1,0,IFERROR(LOOKUP(2,1/(Soja!$E50:INDEX(Soja!$E50:$Z50,MIN(AF$6-$G$3,22))&lt;&gt;""),Soja!$E50:INDEX(Soja!$E50:$Z50,MIN(AF$6-$G$3,22))),0)))))</f>
        <v>0</v>
      </c>
      <c r="AG52" s="27" t="n">
        <f aca="false">IF(COUNT(Soja!$E50:$Z50)=0,0,MAX(0,IF((AG$6-$E$3)&lt;1,0,IFERROR(LOOKUP(2,1/(Soja!$E50:INDEX(Soja!$E50:$Z50,MIN(AG$6-$E$3,22))&lt;&gt;""),Soja!$E50:INDEX(Soja!$E50:$Z50,MIN(AG$6-$E$3,22))),0))-IF($G$2,0,IF((AG$6-$G$3)&lt;1,0,IFERROR(LOOKUP(2,1/(Soja!$E50:INDEX(Soja!$E50:$Z50,MIN(AG$6-$G$3,22))&lt;&gt;""),Soja!$E50:INDEX(Soja!$E50:$Z50,MIN(AG$6-$G$3,22))),0)))))</f>
        <v>0</v>
      </c>
      <c r="AH52" s="27" t="n">
        <f aca="false">IF(COUNT(Soja!$E50:$Z50)=0,0,MAX(0,IF((AH$6-$E$3)&lt;1,0,IFERROR(LOOKUP(2,1/(Soja!$E50:INDEX(Soja!$E50:$Z50,MIN(AH$6-$E$3,22))&lt;&gt;""),Soja!$E50:INDEX(Soja!$E50:$Z50,MIN(AH$6-$E$3,22))),0))-IF($G$2,0,IF((AH$6-$G$3)&lt;1,0,IFERROR(LOOKUP(2,1/(Soja!$E50:INDEX(Soja!$E50:$Z50,MIN(AH$6-$G$3,22))&lt;&gt;""),Soja!$E50:INDEX(Soja!$E50:$Z50,MIN(AH$6-$G$3,22))),0)))))</f>
        <v>0</v>
      </c>
      <c r="AI52" s="27" t="n">
        <f aca="false">IF(COUNT(Soja!$E50:$Z50)=0,0,MAX(0,IF((AI$6-$E$3)&lt;1,0,IFERROR(LOOKUP(2,1/(Soja!$E50:INDEX(Soja!$E50:$Z50,MIN(AI$6-$E$3,22))&lt;&gt;""),Soja!$E50:INDEX(Soja!$E50:$Z50,MIN(AI$6-$E$3,22))),0))-IF($G$2,0,IF((AI$6-$G$3)&lt;1,0,IFERROR(LOOKUP(2,1/(Soja!$E50:INDEX(Soja!$E50:$Z50,MIN(AI$6-$G$3,22))&lt;&gt;""),Soja!$E50:INDEX(Soja!$E50:$Z50,MIN(AI$6-$G$3,22))),0)))))</f>
        <v>0</v>
      </c>
      <c r="AJ52" s="27" t="n">
        <f aca="false">IF(COUNT(Soja!$E50:$Z50)=0,0,MAX(0,IF((AJ$6-$E$3)&lt;1,0,IFERROR(LOOKUP(2,1/(Soja!$E50:INDEX(Soja!$E50:$Z50,MIN(AJ$6-$E$3,22))&lt;&gt;""),Soja!$E50:INDEX(Soja!$E50:$Z50,MIN(AJ$6-$E$3,22))),0))-IF($G$2,0,IF((AJ$6-$G$3)&lt;1,0,IFERROR(LOOKUP(2,1/(Soja!$E50:INDEX(Soja!$E50:$Z50,MIN(AJ$6-$G$3,22))&lt;&gt;""),Soja!$E50:INDEX(Soja!$E50:$Z50,MIN(AJ$6-$G$3,22))),0)))))</f>
        <v>0</v>
      </c>
      <c r="AK52" s="27" t="n">
        <f aca="false">IF(COUNT(Soja!$E50:$Z50)=0,0,MAX(0,IF((AK$6-$E$3)&lt;1,0,IFERROR(LOOKUP(2,1/(Soja!$E50:INDEX(Soja!$E50:$Z50,MIN(AK$6-$E$3,22))&lt;&gt;""),Soja!$E50:INDEX(Soja!$E50:$Z50,MIN(AK$6-$E$3,22))),0))-IF($G$2,0,IF((AK$6-$G$3)&lt;1,0,IFERROR(LOOKUP(2,1/(Soja!$E50:INDEX(Soja!$E50:$Z50,MIN(AK$6-$G$3,22))&lt;&gt;""),Soja!$E50:INDEX(Soja!$E50:$Z50,MIN(AK$6-$G$3,22))),0)))))</f>
        <v>0</v>
      </c>
      <c r="AL52" s="27" t="n">
        <f aca="false">IF(COUNT(Soja!$E50:$Z50)=0,0,MAX(0,IF((AL$6-$E$3)&lt;1,0,IFERROR(LOOKUP(2,1/(Soja!$E50:INDEX(Soja!$E50:$Z50,MIN(AL$6-$E$3,22))&lt;&gt;""),Soja!$E50:INDEX(Soja!$E50:$Z50,MIN(AL$6-$E$3,22))),0))-IF($G$2,0,IF((AL$6-$G$3)&lt;1,0,IFERROR(LOOKUP(2,1/(Soja!$E50:INDEX(Soja!$E50:$Z50,MIN(AL$6-$G$3,22))&lt;&gt;""),Soja!$E50:INDEX(Soja!$E50:$Z50,MIN(AL$6-$G$3,22))),0)))))</f>
        <v>0</v>
      </c>
      <c r="AM52" s="27" t="n">
        <f aca="false">IF(COUNT(Soja!$E50:$Z50)=0,0,MAX(0,IF((AM$6-$E$3)&lt;1,0,IFERROR(LOOKUP(2,1/(Soja!$E50:INDEX(Soja!$E50:$Z50,MIN(AM$6-$E$3,22))&lt;&gt;""),Soja!$E50:INDEX(Soja!$E50:$Z50,MIN(AM$6-$E$3,22))),0))-IF($G$2,0,IF((AM$6-$G$3)&lt;1,0,IFERROR(LOOKUP(2,1/(Soja!$E50:INDEX(Soja!$E50:$Z50,MIN(AM$6-$G$3,22))&lt;&gt;""),Soja!$E50:INDEX(Soja!$E50:$Z50,MIN(AM$6-$G$3,22))),0)))))</f>
        <v>0</v>
      </c>
      <c r="AN52" s="27" t="n">
        <f aca="false">IF(COUNT(Soja!$E50:$Z50)=0,0,MAX(0,IF((AN$6-$E$3)&lt;1,0,IFERROR(LOOKUP(2,1/(Soja!$E50:INDEX(Soja!$E50:$Z50,MIN(AN$6-$E$3,22))&lt;&gt;""),Soja!$E50:INDEX(Soja!$E50:$Z50,MIN(AN$6-$E$3,22))),0))-IF($G$2,0,IF((AN$6-$G$3)&lt;1,0,IFERROR(LOOKUP(2,1/(Soja!$E50:INDEX(Soja!$E50:$Z50,MIN(AN$6-$G$3,22))&lt;&gt;""),Soja!$E50:INDEX(Soja!$E50:$Z50,MIN(AN$6-$G$3,22))),0)))))</f>
        <v>0</v>
      </c>
      <c r="AO52" s="27" t="n">
        <f aca="false">IF(COUNT(Soja!$E50:$Z50)=0,0,MAX(0,IF((AO$6-$E$3)&lt;1,0,IFERROR(LOOKUP(2,1/(Soja!$E50:INDEX(Soja!$E50:$Z50,MIN(AO$6-$E$3,22))&lt;&gt;""),Soja!$E50:INDEX(Soja!$E50:$Z50,MIN(AO$6-$E$3,22))),0))-IF($G$2,0,IF((AO$6-$G$3)&lt;1,0,IFERROR(LOOKUP(2,1/(Soja!$E50:INDEX(Soja!$E50:$Z50,MIN(AO$6-$G$3,22))&lt;&gt;""),Soja!$E50:INDEX(Soja!$E50:$Z50,MIN(AO$6-$G$3,22))),0)))))</f>
        <v>0</v>
      </c>
      <c r="AP52" s="27" t="n">
        <f aca="false">IF(COUNT(Soja!$E50:$Z50)=0,0,MAX(0,IF((AP$6-$E$3)&lt;1,0,IFERROR(LOOKUP(2,1/(Soja!$E50:INDEX(Soja!$E50:$Z50,MIN(AP$6-$E$3,22))&lt;&gt;""),Soja!$E50:INDEX(Soja!$E50:$Z50,MIN(AP$6-$E$3,22))),0))-IF($G$2,0,IF((AP$6-$G$3)&lt;1,0,IFERROR(LOOKUP(2,1/(Soja!$E50:INDEX(Soja!$E50:$Z50,MIN(AP$6-$G$3,22))&lt;&gt;""),Soja!$E50:INDEX(Soja!$E50:$Z50,MIN(AP$6-$G$3,22))),0)))))</f>
        <v>0</v>
      </c>
      <c r="AQ52" s="27" t="n">
        <f aca="false">IF(COUNT(Soja!$E50:$Z50)=0,0,MAX(0,IF((AQ$6-$E$3)&lt;1,0,IFERROR(LOOKUP(2,1/(Soja!$E50:INDEX(Soja!$E50:$Z50,MIN(AQ$6-$E$3,22))&lt;&gt;""),Soja!$E50:INDEX(Soja!$E50:$Z50,MIN(AQ$6-$E$3,22))),0))-IF($G$2,0,IF((AQ$6-$G$3)&lt;1,0,IFERROR(LOOKUP(2,1/(Soja!$E50:INDEX(Soja!$E50:$Z50,MIN(AQ$6-$G$3,22))&lt;&gt;""),Soja!$E50:INDEX(Soja!$E50:$Z50,MIN(AQ$6-$G$3,22))),0)))))</f>
        <v>0</v>
      </c>
      <c r="AR52" s="27" t="n">
        <f aca="false">IF(COUNT(Soja!$E50:$Z50)=0,0,MAX(0,IF((AR$6-$E$3)&lt;1,0,IFERROR(LOOKUP(2,1/(Soja!$E50:INDEX(Soja!$E50:$Z50,MIN(AR$6-$E$3,22))&lt;&gt;""),Soja!$E50:INDEX(Soja!$E50:$Z50,MIN(AR$6-$E$3,22))),0))-IF($G$2,0,IF((AR$6-$G$3)&lt;1,0,IFERROR(LOOKUP(2,1/(Soja!$E50:INDEX(Soja!$E50:$Z50,MIN(AR$6-$G$3,22))&lt;&gt;""),Soja!$E50:INDEX(Soja!$E50:$Z50,MIN(AR$6-$G$3,22))),0)))))</f>
        <v>0</v>
      </c>
      <c r="AS52" s="27" t="n">
        <f aca="false">IF(COUNT(Soja!$E50:$Z50)=0,0,MAX(0,IF((AS$6-$E$3)&lt;1,0,IFERROR(LOOKUP(2,1/(Soja!$E50:INDEX(Soja!$E50:$Z50,MIN(AS$6-$E$3,22))&lt;&gt;""),Soja!$E50:INDEX(Soja!$E50:$Z50,MIN(AS$6-$E$3,22))),0))-IF($G$2,0,IF((AS$6-$G$3)&lt;1,0,IFERROR(LOOKUP(2,1/(Soja!$E50:INDEX(Soja!$E50:$Z50,MIN(AS$6-$G$3,22))&lt;&gt;""),Soja!$E50:INDEX(Soja!$E50:$Z50,MIN(AS$6-$G$3,22))),0)))))</f>
        <v>0</v>
      </c>
      <c r="AT52" s="27" t="n">
        <f aca="false">IF(COUNT(Soja!$E50:$Z50)=0,0,MAX(0,IF((AT$6-$E$3)&lt;1,0,IFERROR(LOOKUP(2,1/(Soja!$E50:INDEX(Soja!$E50:$Z50,MIN(AT$6-$E$3,22))&lt;&gt;""),Soja!$E50:INDEX(Soja!$E50:$Z50,MIN(AT$6-$E$3,22))),0))-IF($G$2,0,IF((AT$6-$G$3)&lt;1,0,IFERROR(LOOKUP(2,1/(Soja!$E50:INDEX(Soja!$E50:$Z50,MIN(AT$6-$G$3,22))&lt;&gt;""),Soja!$E50:INDEX(Soja!$E50:$Z50,MIN(AT$6-$G$3,22))),0)))))</f>
        <v>0</v>
      </c>
      <c r="AU52" s="27" t="n">
        <f aca="false">IF(COUNT(Soja!$E50:$Z50)=0,0,MAX(0,IF((AU$6-$E$3)&lt;1,0,IFERROR(LOOKUP(2,1/(Soja!$E50:INDEX(Soja!$E50:$Z50,MIN(AU$6-$E$3,22))&lt;&gt;""),Soja!$E50:INDEX(Soja!$E50:$Z50,MIN(AU$6-$E$3,22))),0))-IF($G$2,0,IF((AU$6-$G$3)&lt;1,0,IFERROR(LOOKUP(2,1/(Soja!$E50:INDEX(Soja!$E50:$Z50,MIN(AU$6-$G$3,22))&lt;&gt;""),Soja!$E50:INDEX(Soja!$E50:$Z50,MIN(AU$6-$G$3,22))),0)))))</f>
        <v>0</v>
      </c>
      <c r="AV52" s="27" t="n">
        <f aca="false">IF(COUNT(Soja!$E50:$Z50)=0,0,MAX(0,IF((AV$6-$E$3)&lt;1,0,IFERROR(LOOKUP(2,1/(Soja!$E50:INDEX(Soja!$E50:$Z50,MIN(AV$6-$E$3,22))&lt;&gt;""),Soja!$E50:INDEX(Soja!$E50:$Z50,MIN(AV$6-$E$3,22))),0))-IF($G$2,0,IF((AV$6-$G$3)&lt;1,0,IFERROR(LOOKUP(2,1/(Soja!$E50:INDEX(Soja!$E50:$Z50,MIN(AV$6-$G$3,22))&lt;&gt;""),Soja!$E50:INDEX(Soja!$E50:$Z50,MIN(AV$6-$G$3,22))),0)))))</f>
        <v>0</v>
      </c>
      <c r="AW52" s="27" t="n">
        <f aca="false">IF(COUNT(Soja!$E50:$Z50)=0,0,MAX(0,IF((AW$6-$E$3)&lt;1,0,IFERROR(LOOKUP(2,1/(Soja!$E50:INDEX(Soja!$E50:$Z50,MIN(AW$6-$E$3,22))&lt;&gt;""),Soja!$E50:INDEX(Soja!$E50:$Z50,MIN(AW$6-$E$3,22))),0))-IF($G$2,0,IF((AW$6-$G$3)&lt;1,0,IFERROR(LOOKUP(2,1/(Soja!$E50:INDEX(Soja!$E50:$Z50,MIN(AW$6-$G$3,22))&lt;&gt;""),Soja!$E50:INDEX(Soja!$E50:$Z50,MIN(AW$6-$G$3,22))),0)))))</f>
        <v>0</v>
      </c>
      <c r="AX52" s="27" t="n">
        <f aca="false">IF(COUNT(Soja!$E50:$Z50)=0,0,MAX(0,IF((AX$6-$E$3)&lt;1,0,IFERROR(LOOKUP(2,1/(Soja!$E50:INDEX(Soja!$E50:$Z50,MIN(AX$6-$E$3,22))&lt;&gt;""),Soja!$E50:INDEX(Soja!$E50:$Z50,MIN(AX$6-$E$3,22))),0))-IF($G$2,0,IF((AX$6-$G$3)&lt;1,0,IFERROR(LOOKUP(2,1/(Soja!$E50:INDEX(Soja!$E50:$Z50,MIN(AX$6-$G$3,22))&lt;&gt;""),Soja!$E50:INDEX(Soja!$E50:$Z50,MIN(AX$6-$G$3,22))),0)))))</f>
        <v>0</v>
      </c>
      <c r="AY52" s="27" t="n">
        <f aca="false">IF(COUNT(Soja!$E50:$Z50)=0,0,MAX(0,IF((AY$6-$E$3)&lt;1,0,IFERROR(LOOKUP(2,1/(Soja!$E50:INDEX(Soja!$E50:$Z50,MIN(AY$6-$E$3,22))&lt;&gt;""),Soja!$E50:INDEX(Soja!$E50:$Z50,MIN(AY$6-$E$3,22))),0))-IF($G$2,0,IF((AY$6-$G$3)&lt;1,0,IFERROR(LOOKUP(2,1/(Soja!$E50:INDEX(Soja!$E50:$Z50,MIN(AY$6-$G$3,22))&lt;&gt;""),Soja!$E50:INDEX(Soja!$E50:$Z50,MIN(AY$6-$G$3,22))),0)))))</f>
        <v>0</v>
      </c>
      <c r="AZ52" s="27" t="n">
        <f aca="false">IF(COUNT(Soja!$E50:$Z50)=0,0,MAX(0,IF((AZ$6-$E$3)&lt;1,0,IFERROR(LOOKUP(2,1/(Soja!$E50:INDEX(Soja!$E50:$Z50,MIN(AZ$6-$E$3,22))&lt;&gt;""),Soja!$E50:INDEX(Soja!$E50:$Z50,MIN(AZ$6-$E$3,22))),0))-IF($G$2,0,IF((AZ$6-$G$3)&lt;1,0,IFERROR(LOOKUP(2,1/(Soja!$E50:INDEX(Soja!$E50:$Z50,MIN(AZ$6-$G$3,22))&lt;&gt;""),Soja!$E50:INDEX(Soja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IF(COUNT(Soja!$E51:$Z51)&gt;0,N(Soja!$D51),0)</f>
        <v>0</v>
      </c>
      <c r="E53" s="27" t="n">
        <f aca="false">IF(COUNT(Soja!$E51:$Z51)=0,0,MAX(0,IF((E$6-$E$3)&lt;1,0,IFERROR(LOOKUP(2,1/(Soja!$E51:INDEX(Soja!$E51:$Z51,MIN(E$6-$E$3,22))&lt;&gt;""),Soja!$E51:INDEX(Soja!$E51:$Z51,MIN(E$6-$E$3,22))),0))-IF($G$2,0,IF((E$6-$G$3)&lt;1,0,IFERROR(LOOKUP(2,1/(Soja!$E51:INDEX(Soja!$E51:$Z51,MIN(E$6-$G$3,22))&lt;&gt;""),Soja!$E51:INDEX(Soja!$E51:$Z51,MIN(E$6-$G$3,22))),0)))))</f>
        <v>0</v>
      </c>
      <c r="F53" s="27" t="n">
        <f aca="false">IF(COUNT(Soja!$E51:$Z51)=0,0,MAX(0,IF((F$6-$E$3)&lt;1,0,IFERROR(LOOKUP(2,1/(Soja!$E51:INDEX(Soja!$E51:$Z51,MIN(F$6-$E$3,22))&lt;&gt;""),Soja!$E51:INDEX(Soja!$E51:$Z51,MIN(F$6-$E$3,22))),0))-IF($G$2,0,IF((F$6-$G$3)&lt;1,0,IFERROR(LOOKUP(2,1/(Soja!$E51:INDEX(Soja!$E51:$Z51,MIN(F$6-$G$3,22))&lt;&gt;""),Soja!$E51:INDEX(Soja!$E51:$Z51,MIN(F$6-$G$3,22))),0)))))</f>
        <v>0</v>
      </c>
      <c r="G53" s="27" t="n">
        <f aca="false">IF(COUNT(Soja!$E51:$Z51)=0,0,MAX(0,IF((G$6-$E$3)&lt;1,0,IFERROR(LOOKUP(2,1/(Soja!$E51:INDEX(Soja!$E51:$Z51,MIN(G$6-$E$3,22))&lt;&gt;""),Soja!$E51:INDEX(Soja!$E51:$Z51,MIN(G$6-$E$3,22))),0))-IF($G$2,0,IF((G$6-$G$3)&lt;1,0,IFERROR(LOOKUP(2,1/(Soja!$E51:INDEX(Soja!$E51:$Z51,MIN(G$6-$G$3,22))&lt;&gt;""),Soja!$E51:INDEX(Soja!$E51:$Z51,MIN(G$6-$G$3,22))),0)))))</f>
        <v>0</v>
      </c>
      <c r="H53" s="27" t="n">
        <f aca="false">IF(COUNT(Soja!$E51:$Z51)=0,0,MAX(0,IF((H$6-$E$3)&lt;1,0,IFERROR(LOOKUP(2,1/(Soja!$E51:INDEX(Soja!$E51:$Z51,MIN(H$6-$E$3,22))&lt;&gt;""),Soja!$E51:INDEX(Soja!$E51:$Z51,MIN(H$6-$E$3,22))),0))-IF($G$2,0,IF((H$6-$G$3)&lt;1,0,IFERROR(LOOKUP(2,1/(Soja!$E51:INDEX(Soja!$E51:$Z51,MIN(H$6-$G$3,22))&lt;&gt;""),Soja!$E51:INDEX(Soja!$E51:$Z51,MIN(H$6-$G$3,22))),0)))))</f>
        <v>0</v>
      </c>
      <c r="I53" s="27" t="n">
        <f aca="false">IF(COUNT(Soja!$E51:$Z51)=0,0,MAX(0,IF((I$6-$E$3)&lt;1,0,IFERROR(LOOKUP(2,1/(Soja!$E51:INDEX(Soja!$E51:$Z51,MIN(I$6-$E$3,22))&lt;&gt;""),Soja!$E51:INDEX(Soja!$E51:$Z51,MIN(I$6-$E$3,22))),0))-IF($G$2,0,IF((I$6-$G$3)&lt;1,0,IFERROR(LOOKUP(2,1/(Soja!$E51:INDEX(Soja!$E51:$Z51,MIN(I$6-$G$3,22))&lt;&gt;""),Soja!$E51:INDEX(Soja!$E51:$Z51,MIN(I$6-$G$3,22))),0)))))</f>
        <v>0</v>
      </c>
      <c r="J53" s="27" t="n">
        <f aca="false">IF(COUNT(Soja!$E51:$Z51)=0,0,MAX(0,IF((J$6-$E$3)&lt;1,0,IFERROR(LOOKUP(2,1/(Soja!$E51:INDEX(Soja!$E51:$Z51,MIN(J$6-$E$3,22))&lt;&gt;""),Soja!$E51:INDEX(Soja!$E51:$Z51,MIN(J$6-$E$3,22))),0))-IF($G$2,0,IF((J$6-$G$3)&lt;1,0,IFERROR(LOOKUP(2,1/(Soja!$E51:INDEX(Soja!$E51:$Z51,MIN(J$6-$G$3,22))&lt;&gt;""),Soja!$E51:INDEX(Soja!$E51:$Z51,MIN(J$6-$G$3,22))),0)))))</f>
        <v>0</v>
      </c>
      <c r="K53" s="27" t="n">
        <f aca="false">IF(COUNT(Soja!$E51:$Z51)=0,0,MAX(0,IF((K$6-$E$3)&lt;1,0,IFERROR(LOOKUP(2,1/(Soja!$E51:INDEX(Soja!$E51:$Z51,MIN(K$6-$E$3,22))&lt;&gt;""),Soja!$E51:INDEX(Soja!$E51:$Z51,MIN(K$6-$E$3,22))),0))-IF($G$2,0,IF((K$6-$G$3)&lt;1,0,IFERROR(LOOKUP(2,1/(Soja!$E51:INDEX(Soja!$E51:$Z51,MIN(K$6-$G$3,22))&lt;&gt;""),Soja!$E51:INDEX(Soja!$E51:$Z51,MIN(K$6-$G$3,22))),0)))))</f>
        <v>0</v>
      </c>
      <c r="L53" s="27" t="n">
        <f aca="false">IF(COUNT(Soja!$E51:$Z51)=0,0,MAX(0,IF((L$6-$E$3)&lt;1,0,IFERROR(LOOKUP(2,1/(Soja!$E51:INDEX(Soja!$E51:$Z51,MIN(L$6-$E$3,22))&lt;&gt;""),Soja!$E51:INDEX(Soja!$E51:$Z51,MIN(L$6-$E$3,22))),0))-IF($G$2,0,IF((L$6-$G$3)&lt;1,0,IFERROR(LOOKUP(2,1/(Soja!$E51:INDEX(Soja!$E51:$Z51,MIN(L$6-$G$3,22))&lt;&gt;""),Soja!$E51:INDEX(Soja!$E51:$Z51,MIN(L$6-$G$3,22))),0)))))</f>
        <v>0</v>
      </c>
      <c r="M53" s="27" t="n">
        <f aca="false">IF(COUNT(Soja!$E51:$Z51)=0,0,MAX(0,IF((M$6-$E$3)&lt;1,0,IFERROR(LOOKUP(2,1/(Soja!$E51:INDEX(Soja!$E51:$Z51,MIN(M$6-$E$3,22))&lt;&gt;""),Soja!$E51:INDEX(Soja!$E51:$Z51,MIN(M$6-$E$3,22))),0))-IF($G$2,0,IF((M$6-$G$3)&lt;1,0,IFERROR(LOOKUP(2,1/(Soja!$E51:INDEX(Soja!$E51:$Z51,MIN(M$6-$G$3,22))&lt;&gt;""),Soja!$E51:INDEX(Soja!$E51:$Z51,MIN(M$6-$G$3,22))),0)))))</f>
        <v>0</v>
      </c>
      <c r="N53" s="27" t="n">
        <f aca="false">IF(COUNT(Soja!$E51:$Z51)=0,0,MAX(0,IF((N$6-$E$3)&lt;1,0,IFERROR(LOOKUP(2,1/(Soja!$E51:INDEX(Soja!$E51:$Z51,MIN(N$6-$E$3,22))&lt;&gt;""),Soja!$E51:INDEX(Soja!$E51:$Z51,MIN(N$6-$E$3,22))),0))-IF($G$2,0,IF((N$6-$G$3)&lt;1,0,IFERROR(LOOKUP(2,1/(Soja!$E51:INDEX(Soja!$E51:$Z51,MIN(N$6-$G$3,22))&lt;&gt;""),Soja!$E51:INDEX(Soja!$E51:$Z51,MIN(N$6-$G$3,22))),0)))))</f>
        <v>0</v>
      </c>
      <c r="O53" s="27" t="n">
        <f aca="false">IF(COUNT(Soja!$E51:$Z51)=0,0,MAX(0,IF((O$6-$E$3)&lt;1,0,IFERROR(LOOKUP(2,1/(Soja!$E51:INDEX(Soja!$E51:$Z51,MIN(O$6-$E$3,22))&lt;&gt;""),Soja!$E51:INDEX(Soja!$E51:$Z51,MIN(O$6-$E$3,22))),0))-IF($G$2,0,IF((O$6-$G$3)&lt;1,0,IFERROR(LOOKUP(2,1/(Soja!$E51:INDEX(Soja!$E51:$Z51,MIN(O$6-$G$3,22))&lt;&gt;""),Soja!$E51:INDEX(Soja!$E51:$Z51,MIN(O$6-$G$3,22))),0)))))</f>
        <v>0</v>
      </c>
      <c r="P53" s="27" t="n">
        <f aca="false">IF(COUNT(Soja!$E51:$Z51)=0,0,MAX(0,IF((P$6-$E$3)&lt;1,0,IFERROR(LOOKUP(2,1/(Soja!$E51:INDEX(Soja!$E51:$Z51,MIN(P$6-$E$3,22))&lt;&gt;""),Soja!$E51:INDEX(Soja!$E51:$Z51,MIN(P$6-$E$3,22))),0))-IF($G$2,0,IF((P$6-$G$3)&lt;1,0,IFERROR(LOOKUP(2,1/(Soja!$E51:INDEX(Soja!$E51:$Z51,MIN(P$6-$G$3,22))&lt;&gt;""),Soja!$E51:INDEX(Soja!$E51:$Z51,MIN(P$6-$G$3,22))),0)))))</f>
        <v>0</v>
      </c>
      <c r="Q53" s="27" t="n">
        <f aca="false">IF(COUNT(Soja!$E51:$Z51)=0,0,MAX(0,IF((Q$6-$E$3)&lt;1,0,IFERROR(LOOKUP(2,1/(Soja!$E51:INDEX(Soja!$E51:$Z51,MIN(Q$6-$E$3,22))&lt;&gt;""),Soja!$E51:INDEX(Soja!$E51:$Z51,MIN(Q$6-$E$3,22))),0))-IF($G$2,0,IF((Q$6-$G$3)&lt;1,0,IFERROR(LOOKUP(2,1/(Soja!$E51:INDEX(Soja!$E51:$Z51,MIN(Q$6-$G$3,22))&lt;&gt;""),Soja!$E51:INDEX(Soja!$E51:$Z51,MIN(Q$6-$G$3,22))),0)))))</f>
        <v>0</v>
      </c>
      <c r="R53" s="27" t="n">
        <f aca="false">IF(COUNT(Soja!$E51:$Z51)=0,0,MAX(0,IF((R$6-$E$3)&lt;1,0,IFERROR(LOOKUP(2,1/(Soja!$E51:INDEX(Soja!$E51:$Z51,MIN(R$6-$E$3,22))&lt;&gt;""),Soja!$E51:INDEX(Soja!$E51:$Z51,MIN(R$6-$E$3,22))),0))-IF($G$2,0,IF((R$6-$G$3)&lt;1,0,IFERROR(LOOKUP(2,1/(Soja!$E51:INDEX(Soja!$E51:$Z51,MIN(R$6-$G$3,22))&lt;&gt;""),Soja!$E51:INDEX(Soja!$E51:$Z51,MIN(R$6-$G$3,22))),0)))))</f>
        <v>0</v>
      </c>
      <c r="S53" s="27" t="n">
        <f aca="false">IF(COUNT(Soja!$E51:$Z51)=0,0,MAX(0,IF((S$6-$E$3)&lt;1,0,IFERROR(LOOKUP(2,1/(Soja!$E51:INDEX(Soja!$E51:$Z51,MIN(S$6-$E$3,22))&lt;&gt;""),Soja!$E51:INDEX(Soja!$E51:$Z51,MIN(S$6-$E$3,22))),0))-IF($G$2,0,IF((S$6-$G$3)&lt;1,0,IFERROR(LOOKUP(2,1/(Soja!$E51:INDEX(Soja!$E51:$Z51,MIN(S$6-$G$3,22))&lt;&gt;""),Soja!$E51:INDEX(Soja!$E51:$Z51,MIN(S$6-$G$3,22))),0)))))</f>
        <v>0</v>
      </c>
      <c r="T53" s="27" t="n">
        <f aca="false">IF(COUNT(Soja!$E51:$Z51)=0,0,MAX(0,IF((T$6-$E$3)&lt;1,0,IFERROR(LOOKUP(2,1/(Soja!$E51:INDEX(Soja!$E51:$Z51,MIN(T$6-$E$3,22))&lt;&gt;""),Soja!$E51:INDEX(Soja!$E51:$Z51,MIN(T$6-$E$3,22))),0))-IF($G$2,0,IF((T$6-$G$3)&lt;1,0,IFERROR(LOOKUP(2,1/(Soja!$E51:INDEX(Soja!$E51:$Z51,MIN(T$6-$G$3,22))&lt;&gt;""),Soja!$E51:INDEX(Soja!$E51:$Z51,MIN(T$6-$G$3,22))),0)))))</f>
        <v>0</v>
      </c>
      <c r="U53" s="27" t="n">
        <f aca="false">IF(COUNT(Soja!$E51:$Z51)=0,0,MAX(0,IF((U$6-$E$3)&lt;1,0,IFERROR(LOOKUP(2,1/(Soja!$E51:INDEX(Soja!$E51:$Z51,MIN(U$6-$E$3,22))&lt;&gt;""),Soja!$E51:INDEX(Soja!$E51:$Z51,MIN(U$6-$E$3,22))),0))-IF($G$2,0,IF((U$6-$G$3)&lt;1,0,IFERROR(LOOKUP(2,1/(Soja!$E51:INDEX(Soja!$E51:$Z51,MIN(U$6-$G$3,22))&lt;&gt;""),Soja!$E51:INDEX(Soja!$E51:$Z51,MIN(U$6-$G$3,22))),0)))))</f>
        <v>0</v>
      </c>
      <c r="V53" s="27" t="n">
        <f aca="false">IF(COUNT(Soja!$E51:$Z51)=0,0,MAX(0,IF((V$6-$E$3)&lt;1,0,IFERROR(LOOKUP(2,1/(Soja!$E51:INDEX(Soja!$E51:$Z51,MIN(V$6-$E$3,22))&lt;&gt;""),Soja!$E51:INDEX(Soja!$E51:$Z51,MIN(V$6-$E$3,22))),0))-IF($G$2,0,IF((V$6-$G$3)&lt;1,0,IFERROR(LOOKUP(2,1/(Soja!$E51:INDEX(Soja!$E51:$Z51,MIN(V$6-$G$3,22))&lt;&gt;""),Soja!$E51:INDEX(Soja!$E51:$Z51,MIN(V$6-$G$3,22))),0)))))</f>
        <v>0</v>
      </c>
      <c r="W53" s="27" t="n">
        <f aca="false">IF(COUNT(Soja!$E51:$Z51)=0,0,MAX(0,IF((W$6-$E$3)&lt;1,0,IFERROR(LOOKUP(2,1/(Soja!$E51:INDEX(Soja!$E51:$Z51,MIN(W$6-$E$3,22))&lt;&gt;""),Soja!$E51:INDEX(Soja!$E51:$Z51,MIN(W$6-$E$3,22))),0))-IF($G$2,0,IF((W$6-$G$3)&lt;1,0,IFERROR(LOOKUP(2,1/(Soja!$E51:INDEX(Soja!$E51:$Z51,MIN(W$6-$G$3,22))&lt;&gt;""),Soja!$E51:INDEX(Soja!$E51:$Z51,MIN(W$6-$G$3,22))),0)))))</f>
        <v>0</v>
      </c>
      <c r="X53" s="27" t="n">
        <f aca="false">IF(COUNT(Soja!$E51:$Z51)=0,0,MAX(0,IF((X$6-$E$3)&lt;1,0,IFERROR(LOOKUP(2,1/(Soja!$E51:INDEX(Soja!$E51:$Z51,MIN(X$6-$E$3,22))&lt;&gt;""),Soja!$E51:INDEX(Soja!$E51:$Z51,MIN(X$6-$E$3,22))),0))-IF($G$2,0,IF((X$6-$G$3)&lt;1,0,IFERROR(LOOKUP(2,1/(Soja!$E51:INDEX(Soja!$E51:$Z51,MIN(X$6-$G$3,22))&lt;&gt;""),Soja!$E51:INDEX(Soja!$E51:$Z51,MIN(X$6-$G$3,22))),0)))))</f>
        <v>0</v>
      </c>
      <c r="Y53" s="27" t="n">
        <f aca="false">IF(COUNT(Soja!$E51:$Z51)=0,0,MAX(0,IF((Y$6-$E$3)&lt;1,0,IFERROR(LOOKUP(2,1/(Soja!$E51:INDEX(Soja!$E51:$Z51,MIN(Y$6-$E$3,22))&lt;&gt;""),Soja!$E51:INDEX(Soja!$E51:$Z51,MIN(Y$6-$E$3,22))),0))-IF($G$2,0,IF((Y$6-$G$3)&lt;1,0,IFERROR(LOOKUP(2,1/(Soja!$E51:INDEX(Soja!$E51:$Z51,MIN(Y$6-$G$3,22))&lt;&gt;""),Soja!$E51:INDEX(Soja!$E51:$Z51,MIN(Y$6-$G$3,22))),0)))))</f>
        <v>0</v>
      </c>
      <c r="Z53" s="27" t="n">
        <f aca="false">IF(COUNT(Soja!$E51:$Z51)=0,0,MAX(0,IF((Z$6-$E$3)&lt;1,0,IFERROR(LOOKUP(2,1/(Soja!$E51:INDEX(Soja!$E51:$Z51,MIN(Z$6-$E$3,22))&lt;&gt;""),Soja!$E51:INDEX(Soja!$E51:$Z51,MIN(Z$6-$E$3,22))),0))-IF($G$2,0,IF((Z$6-$G$3)&lt;1,0,IFERROR(LOOKUP(2,1/(Soja!$E51:INDEX(Soja!$E51:$Z51,MIN(Z$6-$G$3,22))&lt;&gt;""),Soja!$E51:INDEX(Soja!$E51:$Z51,MIN(Z$6-$G$3,22))),0)))))</f>
        <v>0</v>
      </c>
      <c r="AA53" s="27" t="n">
        <f aca="false">IF(COUNT(Soja!$E51:$Z51)=0,0,MAX(0,IF((AA$6-$E$3)&lt;1,0,IFERROR(LOOKUP(2,1/(Soja!$E51:INDEX(Soja!$E51:$Z51,MIN(AA$6-$E$3,22))&lt;&gt;""),Soja!$E51:INDEX(Soja!$E51:$Z51,MIN(AA$6-$E$3,22))),0))-IF($G$2,0,IF((AA$6-$G$3)&lt;1,0,IFERROR(LOOKUP(2,1/(Soja!$E51:INDEX(Soja!$E51:$Z51,MIN(AA$6-$G$3,22))&lt;&gt;""),Soja!$E51:INDEX(Soja!$E51:$Z51,MIN(AA$6-$G$3,22))),0)))))</f>
        <v>0</v>
      </c>
      <c r="AB53" s="27" t="n">
        <f aca="false">IF(COUNT(Soja!$E51:$Z51)=0,0,MAX(0,IF((AB$6-$E$3)&lt;1,0,IFERROR(LOOKUP(2,1/(Soja!$E51:INDEX(Soja!$E51:$Z51,MIN(AB$6-$E$3,22))&lt;&gt;""),Soja!$E51:INDEX(Soja!$E51:$Z51,MIN(AB$6-$E$3,22))),0))-IF($G$2,0,IF((AB$6-$G$3)&lt;1,0,IFERROR(LOOKUP(2,1/(Soja!$E51:INDEX(Soja!$E51:$Z51,MIN(AB$6-$G$3,22))&lt;&gt;""),Soja!$E51:INDEX(Soja!$E51:$Z51,MIN(AB$6-$G$3,22))),0)))))</f>
        <v>0</v>
      </c>
      <c r="AC53" s="27" t="n">
        <f aca="false">IF(COUNT(Soja!$E51:$Z51)=0,0,MAX(0,IF((AC$6-$E$3)&lt;1,0,IFERROR(LOOKUP(2,1/(Soja!$E51:INDEX(Soja!$E51:$Z51,MIN(AC$6-$E$3,22))&lt;&gt;""),Soja!$E51:INDEX(Soja!$E51:$Z51,MIN(AC$6-$E$3,22))),0))-IF($G$2,0,IF((AC$6-$G$3)&lt;1,0,IFERROR(LOOKUP(2,1/(Soja!$E51:INDEX(Soja!$E51:$Z51,MIN(AC$6-$G$3,22))&lt;&gt;""),Soja!$E51:INDEX(Soja!$E51:$Z51,MIN(AC$6-$G$3,22))),0)))))</f>
        <v>0</v>
      </c>
      <c r="AD53" s="27" t="n">
        <f aca="false">IF(COUNT(Soja!$E51:$Z51)=0,0,MAX(0,IF((AD$6-$E$3)&lt;1,0,IFERROR(LOOKUP(2,1/(Soja!$E51:INDEX(Soja!$E51:$Z51,MIN(AD$6-$E$3,22))&lt;&gt;""),Soja!$E51:INDEX(Soja!$E51:$Z51,MIN(AD$6-$E$3,22))),0))-IF($G$2,0,IF((AD$6-$G$3)&lt;1,0,IFERROR(LOOKUP(2,1/(Soja!$E51:INDEX(Soja!$E51:$Z51,MIN(AD$6-$G$3,22))&lt;&gt;""),Soja!$E51:INDEX(Soja!$E51:$Z51,MIN(AD$6-$G$3,22))),0)))))</f>
        <v>0</v>
      </c>
      <c r="AE53" s="27" t="n">
        <f aca="false">IF(COUNT(Soja!$E51:$Z51)=0,0,MAX(0,IF((AE$6-$E$3)&lt;1,0,IFERROR(LOOKUP(2,1/(Soja!$E51:INDEX(Soja!$E51:$Z51,MIN(AE$6-$E$3,22))&lt;&gt;""),Soja!$E51:INDEX(Soja!$E51:$Z51,MIN(AE$6-$E$3,22))),0))-IF($G$2,0,IF((AE$6-$G$3)&lt;1,0,IFERROR(LOOKUP(2,1/(Soja!$E51:INDEX(Soja!$E51:$Z51,MIN(AE$6-$G$3,22))&lt;&gt;""),Soja!$E51:INDEX(Soja!$E51:$Z51,MIN(AE$6-$G$3,22))),0)))))</f>
        <v>0</v>
      </c>
      <c r="AF53" s="27" t="n">
        <f aca="false">IF(COUNT(Soja!$E51:$Z51)=0,0,MAX(0,IF((AF$6-$E$3)&lt;1,0,IFERROR(LOOKUP(2,1/(Soja!$E51:INDEX(Soja!$E51:$Z51,MIN(AF$6-$E$3,22))&lt;&gt;""),Soja!$E51:INDEX(Soja!$E51:$Z51,MIN(AF$6-$E$3,22))),0))-IF($G$2,0,IF((AF$6-$G$3)&lt;1,0,IFERROR(LOOKUP(2,1/(Soja!$E51:INDEX(Soja!$E51:$Z51,MIN(AF$6-$G$3,22))&lt;&gt;""),Soja!$E51:INDEX(Soja!$E51:$Z51,MIN(AF$6-$G$3,22))),0)))))</f>
        <v>0</v>
      </c>
      <c r="AG53" s="27" t="n">
        <f aca="false">IF(COUNT(Soja!$E51:$Z51)=0,0,MAX(0,IF((AG$6-$E$3)&lt;1,0,IFERROR(LOOKUP(2,1/(Soja!$E51:INDEX(Soja!$E51:$Z51,MIN(AG$6-$E$3,22))&lt;&gt;""),Soja!$E51:INDEX(Soja!$E51:$Z51,MIN(AG$6-$E$3,22))),0))-IF($G$2,0,IF((AG$6-$G$3)&lt;1,0,IFERROR(LOOKUP(2,1/(Soja!$E51:INDEX(Soja!$E51:$Z51,MIN(AG$6-$G$3,22))&lt;&gt;""),Soja!$E51:INDEX(Soja!$E51:$Z51,MIN(AG$6-$G$3,22))),0)))))</f>
        <v>0</v>
      </c>
      <c r="AH53" s="27" t="n">
        <f aca="false">IF(COUNT(Soja!$E51:$Z51)=0,0,MAX(0,IF((AH$6-$E$3)&lt;1,0,IFERROR(LOOKUP(2,1/(Soja!$E51:INDEX(Soja!$E51:$Z51,MIN(AH$6-$E$3,22))&lt;&gt;""),Soja!$E51:INDEX(Soja!$E51:$Z51,MIN(AH$6-$E$3,22))),0))-IF($G$2,0,IF((AH$6-$G$3)&lt;1,0,IFERROR(LOOKUP(2,1/(Soja!$E51:INDEX(Soja!$E51:$Z51,MIN(AH$6-$G$3,22))&lt;&gt;""),Soja!$E51:INDEX(Soja!$E51:$Z51,MIN(AH$6-$G$3,22))),0)))))</f>
        <v>0</v>
      </c>
      <c r="AI53" s="27" t="n">
        <f aca="false">IF(COUNT(Soja!$E51:$Z51)=0,0,MAX(0,IF((AI$6-$E$3)&lt;1,0,IFERROR(LOOKUP(2,1/(Soja!$E51:INDEX(Soja!$E51:$Z51,MIN(AI$6-$E$3,22))&lt;&gt;""),Soja!$E51:INDEX(Soja!$E51:$Z51,MIN(AI$6-$E$3,22))),0))-IF($G$2,0,IF((AI$6-$G$3)&lt;1,0,IFERROR(LOOKUP(2,1/(Soja!$E51:INDEX(Soja!$E51:$Z51,MIN(AI$6-$G$3,22))&lt;&gt;""),Soja!$E51:INDEX(Soja!$E51:$Z51,MIN(AI$6-$G$3,22))),0)))))</f>
        <v>0</v>
      </c>
      <c r="AJ53" s="27" t="n">
        <f aca="false">IF(COUNT(Soja!$E51:$Z51)=0,0,MAX(0,IF((AJ$6-$E$3)&lt;1,0,IFERROR(LOOKUP(2,1/(Soja!$E51:INDEX(Soja!$E51:$Z51,MIN(AJ$6-$E$3,22))&lt;&gt;""),Soja!$E51:INDEX(Soja!$E51:$Z51,MIN(AJ$6-$E$3,22))),0))-IF($G$2,0,IF((AJ$6-$G$3)&lt;1,0,IFERROR(LOOKUP(2,1/(Soja!$E51:INDEX(Soja!$E51:$Z51,MIN(AJ$6-$G$3,22))&lt;&gt;""),Soja!$E51:INDEX(Soja!$E51:$Z51,MIN(AJ$6-$G$3,22))),0)))))</f>
        <v>0</v>
      </c>
      <c r="AK53" s="27" t="n">
        <f aca="false">IF(COUNT(Soja!$E51:$Z51)=0,0,MAX(0,IF((AK$6-$E$3)&lt;1,0,IFERROR(LOOKUP(2,1/(Soja!$E51:INDEX(Soja!$E51:$Z51,MIN(AK$6-$E$3,22))&lt;&gt;""),Soja!$E51:INDEX(Soja!$E51:$Z51,MIN(AK$6-$E$3,22))),0))-IF($G$2,0,IF((AK$6-$G$3)&lt;1,0,IFERROR(LOOKUP(2,1/(Soja!$E51:INDEX(Soja!$E51:$Z51,MIN(AK$6-$G$3,22))&lt;&gt;""),Soja!$E51:INDEX(Soja!$E51:$Z51,MIN(AK$6-$G$3,22))),0)))))</f>
        <v>0</v>
      </c>
      <c r="AL53" s="27" t="n">
        <f aca="false">IF(COUNT(Soja!$E51:$Z51)=0,0,MAX(0,IF((AL$6-$E$3)&lt;1,0,IFERROR(LOOKUP(2,1/(Soja!$E51:INDEX(Soja!$E51:$Z51,MIN(AL$6-$E$3,22))&lt;&gt;""),Soja!$E51:INDEX(Soja!$E51:$Z51,MIN(AL$6-$E$3,22))),0))-IF($G$2,0,IF((AL$6-$G$3)&lt;1,0,IFERROR(LOOKUP(2,1/(Soja!$E51:INDEX(Soja!$E51:$Z51,MIN(AL$6-$G$3,22))&lt;&gt;""),Soja!$E51:INDEX(Soja!$E51:$Z51,MIN(AL$6-$G$3,22))),0)))))</f>
        <v>0</v>
      </c>
      <c r="AM53" s="27" t="n">
        <f aca="false">IF(COUNT(Soja!$E51:$Z51)=0,0,MAX(0,IF((AM$6-$E$3)&lt;1,0,IFERROR(LOOKUP(2,1/(Soja!$E51:INDEX(Soja!$E51:$Z51,MIN(AM$6-$E$3,22))&lt;&gt;""),Soja!$E51:INDEX(Soja!$E51:$Z51,MIN(AM$6-$E$3,22))),0))-IF($G$2,0,IF((AM$6-$G$3)&lt;1,0,IFERROR(LOOKUP(2,1/(Soja!$E51:INDEX(Soja!$E51:$Z51,MIN(AM$6-$G$3,22))&lt;&gt;""),Soja!$E51:INDEX(Soja!$E51:$Z51,MIN(AM$6-$G$3,22))),0)))))</f>
        <v>0</v>
      </c>
      <c r="AN53" s="27" t="n">
        <f aca="false">IF(COUNT(Soja!$E51:$Z51)=0,0,MAX(0,IF((AN$6-$E$3)&lt;1,0,IFERROR(LOOKUP(2,1/(Soja!$E51:INDEX(Soja!$E51:$Z51,MIN(AN$6-$E$3,22))&lt;&gt;""),Soja!$E51:INDEX(Soja!$E51:$Z51,MIN(AN$6-$E$3,22))),0))-IF($G$2,0,IF((AN$6-$G$3)&lt;1,0,IFERROR(LOOKUP(2,1/(Soja!$E51:INDEX(Soja!$E51:$Z51,MIN(AN$6-$G$3,22))&lt;&gt;""),Soja!$E51:INDEX(Soja!$E51:$Z51,MIN(AN$6-$G$3,22))),0)))))</f>
        <v>0</v>
      </c>
      <c r="AO53" s="27" t="n">
        <f aca="false">IF(COUNT(Soja!$E51:$Z51)=0,0,MAX(0,IF((AO$6-$E$3)&lt;1,0,IFERROR(LOOKUP(2,1/(Soja!$E51:INDEX(Soja!$E51:$Z51,MIN(AO$6-$E$3,22))&lt;&gt;""),Soja!$E51:INDEX(Soja!$E51:$Z51,MIN(AO$6-$E$3,22))),0))-IF($G$2,0,IF((AO$6-$G$3)&lt;1,0,IFERROR(LOOKUP(2,1/(Soja!$E51:INDEX(Soja!$E51:$Z51,MIN(AO$6-$G$3,22))&lt;&gt;""),Soja!$E51:INDEX(Soja!$E51:$Z51,MIN(AO$6-$G$3,22))),0)))))</f>
        <v>0</v>
      </c>
      <c r="AP53" s="27" t="n">
        <f aca="false">IF(COUNT(Soja!$E51:$Z51)=0,0,MAX(0,IF((AP$6-$E$3)&lt;1,0,IFERROR(LOOKUP(2,1/(Soja!$E51:INDEX(Soja!$E51:$Z51,MIN(AP$6-$E$3,22))&lt;&gt;""),Soja!$E51:INDEX(Soja!$E51:$Z51,MIN(AP$6-$E$3,22))),0))-IF($G$2,0,IF((AP$6-$G$3)&lt;1,0,IFERROR(LOOKUP(2,1/(Soja!$E51:INDEX(Soja!$E51:$Z51,MIN(AP$6-$G$3,22))&lt;&gt;""),Soja!$E51:INDEX(Soja!$E51:$Z51,MIN(AP$6-$G$3,22))),0)))))</f>
        <v>0</v>
      </c>
      <c r="AQ53" s="27" t="n">
        <f aca="false">IF(COUNT(Soja!$E51:$Z51)=0,0,MAX(0,IF((AQ$6-$E$3)&lt;1,0,IFERROR(LOOKUP(2,1/(Soja!$E51:INDEX(Soja!$E51:$Z51,MIN(AQ$6-$E$3,22))&lt;&gt;""),Soja!$E51:INDEX(Soja!$E51:$Z51,MIN(AQ$6-$E$3,22))),0))-IF($G$2,0,IF((AQ$6-$G$3)&lt;1,0,IFERROR(LOOKUP(2,1/(Soja!$E51:INDEX(Soja!$E51:$Z51,MIN(AQ$6-$G$3,22))&lt;&gt;""),Soja!$E51:INDEX(Soja!$E51:$Z51,MIN(AQ$6-$G$3,22))),0)))))</f>
        <v>0</v>
      </c>
      <c r="AR53" s="27" t="n">
        <f aca="false">IF(COUNT(Soja!$E51:$Z51)=0,0,MAX(0,IF((AR$6-$E$3)&lt;1,0,IFERROR(LOOKUP(2,1/(Soja!$E51:INDEX(Soja!$E51:$Z51,MIN(AR$6-$E$3,22))&lt;&gt;""),Soja!$E51:INDEX(Soja!$E51:$Z51,MIN(AR$6-$E$3,22))),0))-IF($G$2,0,IF((AR$6-$G$3)&lt;1,0,IFERROR(LOOKUP(2,1/(Soja!$E51:INDEX(Soja!$E51:$Z51,MIN(AR$6-$G$3,22))&lt;&gt;""),Soja!$E51:INDEX(Soja!$E51:$Z51,MIN(AR$6-$G$3,22))),0)))))</f>
        <v>0</v>
      </c>
      <c r="AS53" s="27" t="n">
        <f aca="false">IF(COUNT(Soja!$E51:$Z51)=0,0,MAX(0,IF((AS$6-$E$3)&lt;1,0,IFERROR(LOOKUP(2,1/(Soja!$E51:INDEX(Soja!$E51:$Z51,MIN(AS$6-$E$3,22))&lt;&gt;""),Soja!$E51:INDEX(Soja!$E51:$Z51,MIN(AS$6-$E$3,22))),0))-IF($G$2,0,IF((AS$6-$G$3)&lt;1,0,IFERROR(LOOKUP(2,1/(Soja!$E51:INDEX(Soja!$E51:$Z51,MIN(AS$6-$G$3,22))&lt;&gt;""),Soja!$E51:INDEX(Soja!$E51:$Z51,MIN(AS$6-$G$3,22))),0)))))</f>
        <v>0</v>
      </c>
      <c r="AT53" s="27" t="n">
        <f aca="false">IF(COUNT(Soja!$E51:$Z51)=0,0,MAX(0,IF((AT$6-$E$3)&lt;1,0,IFERROR(LOOKUP(2,1/(Soja!$E51:INDEX(Soja!$E51:$Z51,MIN(AT$6-$E$3,22))&lt;&gt;""),Soja!$E51:INDEX(Soja!$E51:$Z51,MIN(AT$6-$E$3,22))),0))-IF($G$2,0,IF((AT$6-$G$3)&lt;1,0,IFERROR(LOOKUP(2,1/(Soja!$E51:INDEX(Soja!$E51:$Z51,MIN(AT$6-$G$3,22))&lt;&gt;""),Soja!$E51:INDEX(Soja!$E51:$Z51,MIN(AT$6-$G$3,22))),0)))))</f>
        <v>0</v>
      </c>
      <c r="AU53" s="27" t="n">
        <f aca="false">IF(COUNT(Soja!$E51:$Z51)=0,0,MAX(0,IF((AU$6-$E$3)&lt;1,0,IFERROR(LOOKUP(2,1/(Soja!$E51:INDEX(Soja!$E51:$Z51,MIN(AU$6-$E$3,22))&lt;&gt;""),Soja!$E51:INDEX(Soja!$E51:$Z51,MIN(AU$6-$E$3,22))),0))-IF($G$2,0,IF((AU$6-$G$3)&lt;1,0,IFERROR(LOOKUP(2,1/(Soja!$E51:INDEX(Soja!$E51:$Z51,MIN(AU$6-$G$3,22))&lt;&gt;""),Soja!$E51:INDEX(Soja!$E51:$Z51,MIN(AU$6-$G$3,22))),0)))))</f>
        <v>0</v>
      </c>
      <c r="AV53" s="27" t="n">
        <f aca="false">IF(COUNT(Soja!$E51:$Z51)=0,0,MAX(0,IF((AV$6-$E$3)&lt;1,0,IFERROR(LOOKUP(2,1/(Soja!$E51:INDEX(Soja!$E51:$Z51,MIN(AV$6-$E$3,22))&lt;&gt;""),Soja!$E51:INDEX(Soja!$E51:$Z51,MIN(AV$6-$E$3,22))),0))-IF($G$2,0,IF((AV$6-$G$3)&lt;1,0,IFERROR(LOOKUP(2,1/(Soja!$E51:INDEX(Soja!$E51:$Z51,MIN(AV$6-$G$3,22))&lt;&gt;""),Soja!$E51:INDEX(Soja!$E51:$Z51,MIN(AV$6-$G$3,22))),0)))))</f>
        <v>0</v>
      </c>
      <c r="AW53" s="27" t="n">
        <f aca="false">IF(COUNT(Soja!$E51:$Z51)=0,0,MAX(0,IF((AW$6-$E$3)&lt;1,0,IFERROR(LOOKUP(2,1/(Soja!$E51:INDEX(Soja!$E51:$Z51,MIN(AW$6-$E$3,22))&lt;&gt;""),Soja!$E51:INDEX(Soja!$E51:$Z51,MIN(AW$6-$E$3,22))),0))-IF($G$2,0,IF((AW$6-$G$3)&lt;1,0,IFERROR(LOOKUP(2,1/(Soja!$E51:INDEX(Soja!$E51:$Z51,MIN(AW$6-$G$3,22))&lt;&gt;""),Soja!$E51:INDEX(Soja!$E51:$Z51,MIN(AW$6-$G$3,22))),0)))))</f>
        <v>0</v>
      </c>
      <c r="AX53" s="27" t="n">
        <f aca="false">IF(COUNT(Soja!$E51:$Z51)=0,0,MAX(0,IF((AX$6-$E$3)&lt;1,0,IFERROR(LOOKUP(2,1/(Soja!$E51:INDEX(Soja!$E51:$Z51,MIN(AX$6-$E$3,22))&lt;&gt;""),Soja!$E51:INDEX(Soja!$E51:$Z51,MIN(AX$6-$E$3,22))),0))-IF($G$2,0,IF((AX$6-$G$3)&lt;1,0,IFERROR(LOOKUP(2,1/(Soja!$E51:INDEX(Soja!$E51:$Z51,MIN(AX$6-$G$3,22))&lt;&gt;""),Soja!$E51:INDEX(Soja!$E51:$Z51,MIN(AX$6-$G$3,22))),0)))))</f>
        <v>0</v>
      </c>
      <c r="AY53" s="27" t="n">
        <f aca="false">IF(COUNT(Soja!$E51:$Z51)=0,0,MAX(0,IF((AY$6-$E$3)&lt;1,0,IFERROR(LOOKUP(2,1/(Soja!$E51:INDEX(Soja!$E51:$Z51,MIN(AY$6-$E$3,22))&lt;&gt;""),Soja!$E51:INDEX(Soja!$E51:$Z51,MIN(AY$6-$E$3,22))),0))-IF($G$2,0,IF((AY$6-$G$3)&lt;1,0,IFERROR(LOOKUP(2,1/(Soja!$E51:INDEX(Soja!$E51:$Z51,MIN(AY$6-$G$3,22))&lt;&gt;""),Soja!$E51:INDEX(Soja!$E51:$Z51,MIN(AY$6-$G$3,22))),0)))))</f>
        <v>0</v>
      </c>
      <c r="AZ53" s="27" t="n">
        <f aca="false">IF(COUNT(Soja!$E51:$Z51)=0,0,MAX(0,IF((AZ$6-$E$3)&lt;1,0,IFERROR(LOOKUP(2,1/(Soja!$E51:INDEX(Soja!$E51:$Z51,MIN(AZ$6-$E$3,22))&lt;&gt;""),Soja!$E51:INDEX(Soja!$E51:$Z51,MIN(AZ$6-$E$3,22))),0))-IF($G$2,0,IF((AZ$6-$G$3)&lt;1,0,IFERROR(LOOKUP(2,1/(Soja!$E51:INDEX(Soja!$E51:$Z51,MIN(AZ$6-$G$3,22))&lt;&gt;""),Soja!$E51:INDEX(Soja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IF(COUNT(Soja!$E52:$Z52)&gt;0,N(Soja!$D52),0)</f>
        <v>0</v>
      </c>
      <c r="E54" s="27" t="n">
        <f aca="false">IF(COUNT(Soja!$E52:$Z52)=0,0,MAX(0,IF((E$6-$E$3)&lt;1,0,IFERROR(LOOKUP(2,1/(Soja!$E52:INDEX(Soja!$E52:$Z52,MIN(E$6-$E$3,22))&lt;&gt;""),Soja!$E52:INDEX(Soja!$E52:$Z52,MIN(E$6-$E$3,22))),0))-IF($G$2,0,IF((E$6-$G$3)&lt;1,0,IFERROR(LOOKUP(2,1/(Soja!$E52:INDEX(Soja!$E52:$Z52,MIN(E$6-$G$3,22))&lt;&gt;""),Soja!$E52:INDEX(Soja!$E52:$Z52,MIN(E$6-$G$3,22))),0)))))</f>
        <v>0</v>
      </c>
      <c r="F54" s="27" t="n">
        <f aca="false">IF(COUNT(Soja!$E52:$Z52)=0,0,MAX(0,IF((F$6-$E$3)&lt;1,0,IFERROR(LOOKUP(2,1/(Soja!$E52:INDEX(Soja!$E52:$Z52,MIN(F$6-$E$3,22))&lt;&gt;""),Soja!$E52:INDEX(Soja!$E52:$Z52,MIN(F$6-$E$3,22))),0))-IF($G$2,0,IF((F$6-$G$3)&lt;1,0,IFERROR(LOOKUP(2,1/(Soja!$E52:INDEX(Soja!$E52:$Z52,MIN(F$6-$G$3,22))&lt;&gt;""),Soja!$E52:INDEX(Soja!$E52:$Z52,MIN(F$6-$G$3,22))),0)))))</f>
        <v>0</v>
      </c>
      <c r="G54" s="27" t="n">
        <f aca="false">IF(COUNT(Soja!$E52:$Z52)=0,0,MAX(0,IF((G$6-$E$3)&lt;1,0,IFERROR(LOOKUP(2,1/(Soja!$E52:INDEX(Soja!$E52:$Z52,MIN(G$6-$E$3,22))&lt;&gt;""),Soja!$E52:INDEX(Soja!$E52:$Z52,MIN(G$6-$E$3,22))),0))-IF($G$2,0,IF((G$6-$G$3)&lt;1,0,IFERROR(LOOKUP(2,1/(Soja!$E52:INDEX(Soja!$E52:$Z52,MIN(G$6-$G$3,22))&lt;&gt;""),Soja!$E52:INDEX(Soja!$E52:$Z52,MIN(G$6-$G$3,22))),0)))))</f>
        <v>0</v>
      </c>
      <c r="H54" s="27" t="n">
        <f aca="false">IF(COUNT(Soja!$E52:$Z52)=0,0,MAX(0,IF((H$6-$E$3)&lt;1,0,IFERROR(LOOKUP(2,1/(Soja!$E52:INDEX(Soja!$E52:$Z52,MIN(H$6-$E$3,22))&lt;&gt;""),Soja!$E52:INDEX(Soja!$E52:$Z52,MIN(H$6-$E$3,22))),0))-IF($G$2,0,IF((H$6-$G$3)&lt;1,0,IFERROR(LOOKUP(2,1/(Soja!$E52:INDEX(Soja!$E52:$Z52,MIN(H$6-$G$3,22))&lt;&gt;""),Soja!$E52:INDEX(Soja!$E52:$Z52,MIN(H$6-$G$3,22))),0)))))</f>
        <v>0</v>
      </c>
      <c r="I54" s="27" t="n">
        <f aca="false">IF(COUNT(Soja!$E52:$Z52)=0,0,MAX(0,IF((I$6-$E$3)&lt;1,0,IFERROR(LOOKUP(2,1/(Soja!$E52:INDEX(Soja!$E52:$Z52,MIN(I$6-$E$3,22))&lt;&gt;""),Soja!$E52:INDEX(Soja!$E52:$Z52,MIN(I$6-$E$3,22))),0))-IF($G$2,0,IF((I$6-$G$3)&lt;1,0,IFERROR(LOOKUP(2,1/(Soja!$E52:INDEX(Soja!$E52:$Z52,MIN(I$6-$G$3,22))&lt;&gt;""),Soja!$E52:INDEX(Soja!$E52:$Z52,MIN(I$6-$G$3,22))),0)))))</f>
        <v>0</v>
      </c>
      <c r="J54" s="27" t="n">
        <f aca="false">IF(COUNT(Soja!$E52:$Z52)=0,0,MAX(0,IF((J$6-$E$3)&lt;1,0,IFERROR(LOOKUP(2,1/(Soja!$E52:INDEX(Soja!$E52:$Z52,MIN(J$6-$E$3,22))&lt;&gt;""),Soja!$E52:INDEX(Soja!$E52:$Z52,MIN(J$6-$E$3,22))),0))-IF($G$2,0,IF((J$6-$G$3)&lt;1,0,IFERROR(LOOKUP(2,1/(Soja!$E52:INDEX(Soja!$E52:$Z52,MIN(J$6-$G$3,22))&lt;&gt;""),Soja!$E52:INDEX(Soja!$E52:$Z52,MIN(J$6-$G$3,22))),0)))))</f>
        <v>0</v>
      </c>
      <c r="K54" s="27" t="n">
        <f aca="false">IF(COUNT(Soja!$E52:$Z52)=0,0,MAX(0,IF((K$6-$E$3)&lt;1,0,IFERROR(LOOKUP(2,1/(Soja!$E52:INDEX(Soja!$E52:$Z52,MIN(K$6-$E$3,22))&lt;&gt;""),Soja!$E52:INDEX(Soja!$E52:$Z52,MIN(K$6-$E$3,22))),0))-IF($G$2,0,IF((K$6-$G$3)&lt;1,0,IFERROR(LOOKUP(2,1/(Soja!$E52:INDEX(Soja!$E52:$Z52,MIN(K$6-$G$3,22))&lt;&gt;""),Soja!$E52:INDEX(Soja!$E52:$Z52,MIN(K$6-$G$3,22))),0)))))</f>
        <v>0</v>
      </c>
      <c r="L54" s="27" t="n">
        <f aca="false">IF(COUNT(Soja!$E52:$Z52)=0,0,MAX(0,IF((L$6-$E$3)&lt;1,0,IFERROR(LOOKUP(2,1/(Soja!$E52:INDEX(Soja!$E52:$Z52,MIN(L$6-$E$3,22))&lt;&gt;""),Soja!$E52:INDEX(Soja!$E52:$Z52,MIN(L$6-$E$3,22))),0))-IF($G$2,0,IF((L$6-$G$3)&lt;1,0,IFERROR(LOOKUP(2,1/(Soja!$E52:INDEX(Soja!$E52:$Z52,MIN(L$6-$G$3,22))&lt;&gt;""),Soja!$E52:INDEX(Soja!$E52:$Z52,MIN(L$6-$G$3,22))),0)))))</f>
        <v>0</v>
      </c>
      <c r="M54" s="27" t="n">
        <f aca="false">IF(COUNT(Soja!$E52:$Z52)=0,0,MAX(0,IF((M$6-$E$3)&lt;1,0,IFERROR(LOOKUP(2,1/(Soja!$E52:INDEX(Soja!$E52:$Z52,MIN(M$6-$E$3,22))&lt;&gt;""),Soja!$E52:INDEX(Soja!$E52:$Z52,MIN(M$6-$E$3,22))),0))-IF($G$2,0,IF((M$6-$G$3)&lt;1,0,IFERROR(LOOKUP(2,1/(Soja!$E52:INDEX(Soja!$E52:$Z52,MIN(M$6-$G$3,22))&lt;&gt;""),Soja!$E52:INDEX(Soja!$E52:$Z52,MIN(M$6-$G$3,22))),0)))))</f>
        <v>0</v>
      </c>
      <c r="N54" s="27" t="n">
        <f aca="false">IF(COUNT(Soja!$E52:$Z52)=0,0,MAX(0,IF((N$6-$E$3)&lt;1,0,IFERROR(LOOKUP(2,1/(Soja!$E52:INDEX(Soja!$E52:$Z52,MIN(N$6-$E$3,22))&lt;&gt;""),Soja!$E52:INDEX(Soja!$E52:$Z52,MIN(N$6-$E$3,22))),0))-IF($G$2,0,IF((N$6-$G$3)&lt;1,0,IFERROR(LOOKUP(2,1/(Soja!$E52:INDEX(Soja!$E52:$Z52,MIN(N$6-$G$3,22))&lt;&gt;""),Soja!$E52:INDEX(Soja!$E52:$Z52,MIN(N$6-$G$3,22))),0)))))</f>
        <v>0</v>
      </c>
      <c r="O54" s="27" t="n">
        <f aca="false">IF(COUNT(Soja!$E52:$Z52)=0,0,MAX(0,IF((O$6-$E$3)&lt;1,0,IFERROR(LOOKUP(2,1/(Soja!$E52:INDEX(Soja!$E52:$Z52,MIN(O$6-$E$3,22))&lt;&gt;""),Soja!$E52:INDEX(Soja!$E52:$Z52,MIN(O$6-$E$3,22))),0))-IF($G$2,0,IF((O$6-$G$3)&lt;1,0,IFERROR(LOOKUP(2,1/(Soja!$E52:INDEX(Soja!$E52:$Z52,MIN(O$6-$G$3,22))&lt;&gt;""),Soja!$E52:INDEX(Soja!$E52:$Z52,MIN(O$6-$G$3,22))),0)))))</f>
        <v>0</v>
      </c>
      <c r="P54" s="27" t="n">
        <f aca="false">IF(COUNT(Soja!$E52:$Z52)=0,0,MAX(0,IF((P$6-$E$3)&lt;1,0,IFERROR(LOOKUP(2,1/(Soja!$E52:INDEX(Soja!$E52:$Z52,MIN(P$6-$E$3,22))&lt;&gt;""),Soja!$E52:INDEX(Soja!$E52:$Z52,MIN(P$6-$E$3,22))),0))-IF($G$2,0,IF((P$6-$G$3)&lt;1,0,IFERROR(LOOKUP(2,1/(Soja!$E52:INDEX(Soja!$E52:$Z52,MIN(P$6-$G$3,22))&lt;&gt;""),Soja!$E52:INDEX(Soja!$E52:$Z52,MIN(P$6-$G$3,22))),0)))))</f>
        <v>0</v>
      </c>
      <c r="Q54" s="27" t="n">
        <f aca="false">IF(COUNT(Soja!$E52:$Z52)=0,0,MAX(0,IF((Q$6-$E$3)&lt;1,0,IFERROR(LOOKUP(2,1/(Soja!$E52:INDEX(Soja!$E52:$Z52,MIN(Q$6-$E$3,22))&lt;&gt;""),Soja!$E52:INDEX(Soja!$E52:$Z52,MIN(Q$6-$E$3,22))),0))-IF($G$2,0,IF((Q$6-$G$3)&lt;1,0,IFERROR(LOOKUP(2,1/(Soja!$E52:INDEX(Soja!$E52:$Z52,MIN(Q$6-$G$3,22))&lt;&gt;""),Soja!$E52:INDEX(Soja!$E52:$Z52,MIN(Q$6-$G$3,22))),0)))))</f>
        <v>0</v>
      </c>
      <c r="R54" s="27" t="n">
        <f aca="false">IF(COUNT(Soja!$E52:$Z52)=0,0,MAX(0,IF((R$6-$E$3)&lt;1,0,IFERROR(LOOKUP(2,1/(Soja!$E52:INDEX(Soja!$E52:$Z52,MIN(R$6-$E$3,22))&lt;&gt;""),Soja!$E52:INDEX(Soja!$E52:$Z52,MIN(R$6-$E$3,22))),0))-IF($G$2,0,IF((R$6-$G$3)&lt;1,0,IFERROR(LOOKUP(2,1/(Soja!$E52:INDEX(Soja!$E52:$Z52,MIN(R$6-$G$3,22))&lt;&gt;""),Soja!$E52:INDEX(Soja!$E52:$Z52,MIN(R$6-$G$3,22))),0)))))</f>
        <v>0</v>
      </c>
      <c r="S54" s="27" t="n">
        <f aca="false">IF(COUNT(Soja!$E52:$Z52)=0,0,MAX(0,IF((S$6-$E$3)&lt;1,0,IFERROR(LOOKUP(2,1/(Soja!$E52:INDEX(Soja!$E52:$Z52,MIN(S$6-$E$3,22))&lt;&gt;""),Soja!$E52:INDEX(Soja!$E52:$Z52,MIN(S$6-$E$3,22))),0))-IF($G$2,0,IF((S$6-$G$3)&lt;1,0,IFERROR(LOOKUP(2,1/(Soja!$E52:INDEX(Soja!$E52:$Z52,MIN(S$6-$G$3,22))&lt;&gt;""),Soja!$E52:INDEX(Soja!$E52:$Z52,MIN(S$6-$G$3,22))),0)))))</f>
        <v>0</v>
      </c>
      <c r="T54" s="27" t="n">
        <f aca="false">IF(COUNT(Soja!$E52:$Z52)=0,0,MAX(0,IF((T$6-$E$3)&lt;1,0,IFERROR(LOOKUP(2,1/(Soja!$E52:INDEX(Soja!$E52:$Z52,MIN(T$6-$E$3,22))&lt;&gt;""),Soja!$E52:INDEX(Soja!$E52:$Z52,MIN(T$6-$E$3,22))),0))-IF($G$2,0,IF((T$6-$G$3)&lt;1,0,IFERROR(LOOKUP(2,1/(Soja!$E52:INDEX(Soja!$E52:$Z52,MIN(T$6-$G$3,22))&lt;&gt;""),Soja!$E52:INDEX(Soja!$E52:$Z52,MIN(T$6-$G$3,22))),0)))))</f>
        <v>0</v>
      </c>
      <c r="U54" s="27" t="n">
        <f aca="false">IF(COUNT(Soja!$E52:$Z52)=0,0,MAX(0,IF((U$6-$E$3)&lt;1,0,IFERROR(LOOKUP(2,1/(Soja!$E52:INDEX(Soja!$E52:$Z52,MIN(U$6-$E$3,22))&lt;&gt;""),Soja!$E52:INDEX(Soja!$E52:$Z52,MIN(U$6-$E$3,22))),0))-IF($G$2,0,IF((U$6-$G$3)&lt;1,0,IFERROR(LOOKUP(2,1/(Soja!$E52:INDEX(Soja!$E52:$Z52,MIN(U$6-$G$3,22))&lt;&gt;""),Soja!$E52:INDEX(Soja!$E52:$Z52,MIN(U$6-$G$3,22))),0)))))</f>
        <v>0</v>
      </c>
      <c r="V54" s="27" t="n">
        <f aca="false">IF(COUNT(Soja!$E52:$Z52)=0,0,MAX(0,IF((V$6-$E$3)&lt;1,0,IFERROR(LOOKUP(2,1/(Soja!$E52:INDEX(Soja!$E52:$Z52,MIN(V$6-$E$3,22))&lt;&gt;""),Soja!$E52:INDEX(Soja!$E52:$Z52,MIN(V$6-$E$3,22))),0))-IF($G$2,0,IF((V$6-$G$3)&lt;1,0,IFERROR(LOOKUP(2,1/(Soja!$E52:INDEX(Soja!$E52:$Z52,MIN(V$6-$G$3,22))&lt;&gt;""),Soja!$E52:INDEX(Soja!$E52:$Z52,MIN(V$6-$G$3,22))),0)))))</f>
        <v>0</v>
      </c>
      <c r="W54" s="27" t="n">
        <f aca="false">IF(COUNT(Soja!$E52:$Z52)=0,0,MAX(0,IF((W$6-$E$3)&lt;1,0,IFERROR(LOOKUP(2,1/(Soja!$E52:INDEX(Soja!$E52:$Z52,MIN(W$6-$E$3,22))&lt;&gt;""),Soja!$E52:INDEX(Soja!$E52:$Z52,MIN(W$6-$E$3,22))),0))-IF($G$2,0,IF((W$6-$G$3)&lt;1,0,IFERROR(LOOKUP(2,1/(Soja!$E52:INDEX(Soja!$E52:$Z52,MIN(W$6-$G$3,22))&lt;&gt;""),Soja!$E52:INDEX(Soja!$E52:$Z52,MIN(W$6-$G$3,22))),0)))))</f>
        <v>0</v>
      </c>
      <c r="X54" s="27" t="n">
        <f aca="false">IF(COUNT(Soja!$E52:$Z52)=0,0,MAX(0,IF((X$6-$E$3)&lt;1,0,IFERROR(LOOKUP(2,1/(Soja!$E52:INDEX(Soja!$E52:$Z52,MIN(X$6-$E$3,22))&lt;&gt;""),Soja!$E52:INDEX(Soja!$E52:$Z52,MIN(X$6-$E$3,22))),0))-IF($G$2,0,IF((X$6-$G$3)&lt;1,0,IFERROR(LOOKUP(2,1/(Soja!$E52:INDEX(Soja!$E52:$Z52,MIN(X$6-$G$3,22))&lt;&gt;""),Soja!$E52:INDEX(Soja!$E52:$Z52,MIN(X$6-$G$3,22))),0)))))</f>
        <v>0</v>
      </c>
      <c r="Y54" s="27" t="n">
        <f aca="false">IF(COUNT(Soja!$E52:$Z52)=0,0,MAX(0,IF((Y$6-$E$3)&lt;1,0,IFERROR(LOOKUP(2,1/(Soja!$E52:INDEX(Soja!$E52:$Z52,MIN(Y$6-$E$3,22))&lt;&gt;""),Soja!$E52:INDEX(Soja!$E52:$Z52,MIN(Y$6-$E$3,22))),0))-IF($G$2,0,IF((Y$6-$G$3)&lt;1,0,IFERROR(LOOKUP(2,1/(Soja!$E52:INDEX(Soja!$E52:$Z52,MIN(Y$6-$G$3,22))&lt;&gt;""),Soja!$E52:INDEX(Soja!$E52:$Z52,MIN(Y$6-$G$3,22))),0)))))</f>
        <v>0</v>
      </c>
      <c r="Z54" s="27" t="n">
        <f aca="false">IF(COUNT(Soja!$E52:$Z52)=0,0,MAX(0,IF((Z$6-$E$3)&lt;1,0,IFERROR(LOOKUP(2,1/(Soja!$E52:INDEX(Soja!$E52:$Z52,MIN(Z$6-$E$3,22))&lt;&gt;""),Soja!$E52:INDEX(Soja!$E52:$Z52,MIN(Z$6-$E$3,22))),0))-IF($G$2,0,IF((Z$6-$G$3)&lt;1,0,IFERROR(LOOKUP(2,1/(Soja!$E52:INDEX(Soja!$E52:$Z52,MIN(Z$6-$G$3,22))&lt;&gt;""),Soja!$E52:INDEX(Soja!$E52:$Z52,MIN(Z$6-$G$3,22))),0)))))</f>
        <v>0</v>
      </c>
      <c r="AA54" s="27" t="n">
        <f aca="false">IF(COUNT(Soja!$E52:$Z52)=0,0,MAX(0,IF((AA$6-$E$3)&lt;1,0,IFERROR(LOOKUP(2,1/(Soja!$E52:INDEX(Soja!$E52:$Z52,MIN(AA$6-$E$3,22))&lt;&gt;""),Soja!$E52:INDEX(Soja!$E52:$Z52,MIN(AA$6-$E$3,22))),0))-IF($G$2,0,IF((AA$6-$G$3)&lt;1,0,IFERROR(LOOKUP(2,1/(Soja!$E52:INDEX(Soja!$E52:$Z52,MIN(AA$6-$G$3,22))&lt;&gt;""),Soja!$E52:INDEX(Soja!$E52:$Z52,MIN(AA$6-$G$3,22))),0)))))</f>
        <v>0</v>
      </c>
      <c r="AB54" s="27" t="n">
        <f aca="false">IF(COUNT(Soja!$E52:$Z52)=0,0,MAX(0,IF((AB$6-$E$3)&lt;1,0,IFERROR(LOOKUP(2,1/(Soja!$E52:INDEX(Soja!$E52:$Z52,MIN(AB$6-$E$3,22))&lt;&gt;""),Soja!$E52:INDEX(Soja!$E52:$Z52,MIN(AB$6-$E$3,22))),0))-IF($G$2,0,IF((AB$6-$G$3)&lt;1,0,IFERROR(LOOKUP(2,1/(Soja!$E52:INDEX(Soja!$E52:$Z52,MIN(AB$6-$G$3,22))&lt;&gt;""),Soja!$E52:INDEX(Soja!$E52:$Z52,MIN(AB$6-$G$3,22))),0)))))</f>
        <v>0</v>
      </c>
      <c r="AC54" s="27" t="n">
        <f aca="false">IF(COUNT(Soja!$E52:$Z52)=0,0,MAX(0,IF((AC$6-$E$3)&lt;1,0,IFERROR(LOOKUP(2,1/(Soja!$E52:INDEX(Soja!$E52:$Z52,MIN(AC$6-$E$3,22))&lt;&gt;""),Soja!$E52:INDEX(Soja!$E52:$Z52,MIN(AC$6-$E$3,22))),0))-IF($G$2,0,IF((AC$6-$G$3)&lt;1,0,IFERROR(LOOKUP(2,1/(Soja!$E52:INDEX(Soja!$E52:$Z52,MIN(AC$6-$G$3,22))&lt;&gt;""),Soja!$E52:INDEX(Soja!$E52:$Z52,MIN(AC$6-$G$3,22))),0)))))</f>
        <v>0</v>
      </c>
      <c r="AD54" s="27" t="n">
        <f aca="false">IF(COUNT(Soja!$E52:$Z52)=0,0,MAX(0,IF((AD$6-$E$3)&lt;1,0,IFERROR(LOOKUP(2,1/(Soja!$E52:INDEX(Soja!$E52:$Z52,MIN(AD$6-$E$3,22))&lt;&gt;""),Soja!$E52:INDEX(Soja!$E52:$Z52,MIN(AD$6-$E$3,22))),0))-IF($G$2,0,IF((AD$6-$G$3)&lt;1,0,IFERROR(LOOKUP(2,1/(Soja!$E52:INDEX(Soja!$E52:$Z52,MIN(AD$6-$G$3,22))&lt;&gt;""),Soja!$E52:INDEX(Soja!$E52:$Z52,MIN(AD$6-$G$3,22))),0)))))</f>
        <v>0</v>
      </c>
      <c r="AE54" s="27" t="n">
        <f aca="false">IF(COUNT(Soja!$E52:$Z52)=0,0,MAX(0,IF((AE$6-$E$3)&lt;1,0,IFERROR(LOOKUP(2,1/(Soja!$E52:INDEX(Soja!$E52:$Z52,MIN(AE$6-$E$3,22))&lt;&gt;""),Soja!$E52:INDEX(Soja!$E52:$Z52,MIN(AE$6-$E$3,22))),0))-IF($G$2,0,IF((AE$6-$G$3)&lt;1,0,IFERROR(LOOKUP(2,1/(Soja!$E52:INDEX(Soja!$E52:$Z52,MIN(AE$6-$G$3,22))&lt;&gt;""),Soja!$E52:INDEX(Soja!$E52:$Z52,MIN(AE$6-$G$3,22))),0)))))</f>
        <v>0</v>
      </c>
      <c r="AF54" s="27" t="n">
        <f aca="false">IF(COUNT(Soja!$E52:$Z52)=0,0,MAX(0,IF((AF$6-$E$3)&lt;1,0,IFERROR(LOOKUP(2,1/(Soja!$E52:INDEX(Soja!$E52:$Z52,MIN(AF$6-$E$3,22))&lt;&gt;""),Soja!$E52:INDEX(Soja!$E52:$Z52,MIN(AF$6-$E$3,22))),0))-IF($G$2,0,IF((AF$6-$G$3)&lt;1,0,IFERROR(LOOKUP(2,1/(Soja!$E52:INDEX(Soja!$E52:$Z52,MIN(AF$6-$G$3,22))&lt;&gt;""),Soja!$E52:INDEX(Soja!$E52:$Z52,MIN(AF$6-$G$3,22))),0)))))</f>
        <v>0</v>
      </c>
      <c r="AG54" s="27" t="n">
        <f aca="false">IF(COUNT(Soja!$E52:$Z52)=0,0,MAX(0,IF((AG$6-$E$3)&lt;1,0,IFERROR(LOOKUP(2,1/(Soja!$E52:INDEX(Soja!$E52:$Z52,MIN(AG$6-$E$3,22))&lt;&gt;""),Soja!$E52:INDEX(Soja!$E52:$Z52,MIN(AG$6-$E$3,22))),0))-IF($G$2,0,IF((AG$6-$G$3)&lt;1,0,IFERROR(LOOKUP(2,1/(Soja!$E52:INDEX(Soja!$E52:$Z52,MIN(AG$6-$G$3,22))&lt;&gt;""),Soja!$E52:INDEX(Soja!$E52:$Z52,MIN(AG$6-$G$3,22))),0)))))</f>
        <v>0</v>
      </c>
      <c r="AH54" s="27" t="n">
        <f aca="false">IF(COUNT(Soja!$E52:$Z52)=0,0,MAX(0,IF((AH$6-$E$3)&lt;1,0,IFERROR(LOOKUP(2,1/(Soja!$E52:INDEX(Soja!$E52:$Z52,MIN(AH$6-$E$3,22))&lt;&gt;""),Soja!$E52:INDEX(Soja!$E52:$Z52,MIN(AH$6-$E$3,22))),0))-IF($G$2,0,IF((AH$6-$G$3)&lt;1,0,IFERROR(LOOKUP(2,1/(Soja!$E52:INDEX(Soja!$E52:$Z52,MIN(AH$6-$G$3,22))&lt;&gt;""),Soja!$E52:INDEX(Soja!$E52:$Z52,MIN(AH$6-$G$3,22))),0)))))</f>
        <v>0</v>
      </c>
      <c r="AI54" s="27" t="n">
        <f aca="false">IF(COUNT(Soja!$E52:$Z52)=0,0,MAX(0,IF((AI$6-$E$3)&lt;1,0,IFERROR(LOOKUP(2,1/(Soja!$E52:INDEX(Soja!$E52:$Z52,MIN(AI$6-$E$3,22))&lt;&gt;""),Soja!$E52:INDEX(Soja!$E52:$Z52,MIN(AI$6-$E$3,22))),0))-IF($G$2,0,IF((AI$6-$G$3)&lt;1,0,IFERROR(LOOKUP(2,1/(Soja!$E52:INDEX(Soja!$E52:$Z52,MIN(AI$6-$G$3,22))&lt;&gt;""),Soja!$E52:INDEX(Soja!$E52:$Z52,MIN(AI$6-$G$3,22))),0)))))</f>
        <v>0</v>
      </c>
      <c r="AJ54" s="27" t="n">
        <f aca="false">IF(COUNT(Soja!$E52:$Z52)=0,0,MAX(0,IF((AJ$6-$E$3)&lt;1,0,IFERROR(LOOKUP(2,1/(Soja!$E52:INDEX(Soja!$E52:$Z52,MIN(AJ$6-$E$3,22))&lt;&gt;""),Soja!$E52:INDEX(Soja!$E52:$Z52,MIN(AJ$6-$E$3,22))),0))-IF($G$2,0,IF((AJ$6-$G$3)&lt;1,0,IFERROR(LOOKUP(2,1/(Soja!$E52:INDEX(Soja!$E52:$Z52,MIN(AJ$6-$G$3,22))&lt;&gt;""),Soja!$E52:INDEX(Soja!$E52:$Z52,MIN(AJ$6-$G$3,22))),0)))))</f>
        <v>0</v>
      </c>
      <c r="AK54" s="27" t="n">
        <f aca="false">IF(COUNT(Soja!$E52:$Z52)=0,0,MAX(0,IF((AK$6-$E$3)&lt;1,0,IFERROR(LOOKUP(2,1/(Soja!$E52:INDEX(Soja!$E52:$Z52,MIN(AK$6-$E$3,22))&lt;&gt;""),Soja!$E52:INDEX(Soja!$E52:$Z52,MIN(AK$6-$E$3,22))),0))-IF($G$2,0,IF((AK$6-$G$3)&lt;1,0,IFERROR(LOOKUP(2,1/(Soja!$E52:INDEX(Soja!$E52:$Z52,MIN(AK$6-$G$3,22))&lt;&gt;""),Soja!$E52:INDEX(Soja!$E52:$Z52,MIN(AK$6-$G$3,22))),0)))))</f>
        <v>0</v>
      </c>
      <c r="AL54" s="27" t="n">
        <f aca="false">IF(COUNT(Soja!$E52:$Z52)=0,0,MAX(0,IF((AL$6-$E$3)&lt;1,0,IFERROR(LOOKUP(2,1/(Soja!$E52:INDEX(Soja!$E52:$Z52,MIN(AL$6-$E$3,22))&lt;&gt;""),Soja!$E52:INDEX(Soja!$E52:$Z52,MIN(AL$6-$E$3,22))),0))-IF($G$2,0,IF((AL$6-$G$3)&lt;1,0,IFERROR(LOOKUP(2,1/(Soja!$E52:INDEX(Soja!$E52:$Z52,MIN(AL$6-$G$3,22))&lt;&gt;""),Soja!$E52:INDEX(Soja!$E52:$Z52,MIN(AL$6-$G$3,22))),0)))))</f>
        <v>0</v>
      </c>
      <c r="AM54" s="27" t="n">
        <f aca="false">IF(COUNT(Soja!$E52:$Z52)=0,0,MAX(0,IF((AM$6-$E$3)&lt;1,0,IFERROR(LOOKUP(2,1/(Soja!$E52:INDEX(Soja!$E52:$Z52,MIN(AM$6-$E$3,22))&lt;&gt;""),Soja!$E52:INDEX(Soja!$E52:$Z52,MIN(AM$6-$E$3,22))),0))-IF($G$2,0,IF((AM$6-$G$3)&lt;1,0,IFERROR(LOOKUP(2,1/(Soja!$E52:INDEX(Soja!$E52:$Z52,MIN(AM$6-$G$3,22))&lt;&gt;""),Soja!$E52:INDEX(Soja!$E52:$Z52,MIN(AM$6-$G$3,22))),0)))))</f>
        <v>0</v>
      </c>
      <c r="AN54" s="27" t="n">
        <f aca="false">IF(COUNT(Soja!$E52:$Z52)=0,0,MAX(0,IF((AN$6-$E$3)&lt;1,0,IFERROR(LOOKUP(2,1/(Soja!$E52:INDEX(Soja!$E52:$Z52,MIN(AN$6-$E$3,22))&lt;&gt;""),Soja!$E52:INDEX(Soja!$E52:$Z52,MIN(AN$6-$E$3,22))),0))-IF($G$2,0,IF((AN$6-$G$3)&lt;1,0,IFERROR(LOOKUP(2,1/(Soja!$E52:INDEX(Soja!$E52:$Z52,MIN(AN$6-$G$3,22))&lt;&gt;""),Soja!$E52:INDEX(Soja!$E52:$Z52,MIN(AN$6-$G$3,22))),0)))))</f>
        <v>0</v>
      </c>
      <c r="AO54" s="27" t="n">
        <f aca="false">IF(COUNT(Soja!$E52:$Z52)=0,0,MAX(0,IF((AO$6-$E$3)&lt;1,0,IFERROR(LOOKUP(2,1/(Soja!$E52:INDEX(Soja!$E52:$Z52,MIN(AO$6-$E$3,22))&lt;&gt;""),Soja!$E52:INDEX(Soja!$E52:$Z52,MIN(AO$6-$E$3,22))),0))-IF($G$2,0,IF((AO$6-$G$3)&lt;1,0,IFERROR(LOOKUP(2,1/(Soja!$E52:INDEX(Soja!$E52:$Z52,MIN(AO$6-$G$3,22))&lt;&gt;""),Soja!$E52:INDEX(Soja!$E52:$Z52,MIN(AO$6-$G$3,22))),0)))))</f>
        <v>0</v>
      </c>
      <c r="AP54" s="27" t="n">
        <f aca="false">IF(COUNT(Soja!$E52:$Z52)=0,0,MAX(0,IF((AP$6-$E$3)&lt;1,0,IFERROR(LOOKUP(2,1/(Soja!$E52:INDEX(Soja!$E52:$Z52,MIN(AP$6-$E$3,22))&lt;&gt;""),Soja!$E52:INDEX(Soja!$E52:$Z52,MIN(AP$6-$E$3,22))),0))-IF($G$2,0,IF((AP$6-$G$3)&lt;1,0,IFERROR(LOOKUP(2,1/(Soja!$E52:INDEX(Soja!$E52:$Z52,MIN(AP$6-$G$3,22))&lt;&gt;""),Soja!$E52:INDEX(Soja!$E52:$Z52,MIN(AP$6-$G$3,22))),0)))))</f>
        <v>0</v>
      </c>
      <c r="AQ54" s="27" t="n">
        <f aca="false">IF(COUNT(Soja!$E52:$Z52)=0,0,MAX(0,IF((AQ$6-$E$3)&lt;1,0,IFERROR(LOOKUP(2,1/(Soja!$E52:INDEX(Soja!$E52:$Z52,MIN(AQ$6-$E$3,22))&lt;&gt;""),Soja!$E52:INDEX(Soja!$E52:$Z52,MIN(AQ$6-$E$3,22))),0))-IF($G$2,0,IF((AQ$6-$G$3)&lt;1,0,IFERROR(LOOKUP(2,1/(Soja!$E52:INDEX(Soja!$E52:$Z52,MIN(AQ$6-$G$3,22))&lt;&gt;""),Soja!$E52:INDEX(Soja!$E52:$Z52,MIN(AQ$6-$G$3,22))),0)))))</f>
        <v>0</v>
      </c>
      <c r="AR54" s="27" t="n">
        <f aca="false">IF(COUNT(Soja!$E52:$Z52)=0,0,MAX(0,IF((AR$6-$E$3)&lt;1,0,IFERROR(LOOKUP(2,1/(Soja!$E52:INDEX(Soja!$E52:$Z52,MIN(AR$6-$E$3,22))&lt;&gt;""),Soja!$E52:INDEX(Soja!$E52:$Z52,MIN(AR$6-$E$3,22))),0))-IF($G$2,0,IF((AR$6-$G$3)&lt;1,0,IFERROR(LOOKUP(2,1/(Soja!$E52:INDEX(Soja!$E52:$Z52,MIN(AR$6-$G$3,22))&lt;&gt;""),Soja!$E52:INDEX(Soja!$E52:$Z52,MIN(AR$6-$G$3,22))),0)))))</f>
        <v>0</v>
      </c>
      <c r="AS54" s="27" t="n">
        <f aca="false">IF(COUNT(Soja!$E52:$Z52)=0,0,MAX(0,IF((AS$6-$E$3)&lt;1,0,IFERROR(LOOKUP(2,1/(Soja!$E52:INDEX(Soja!$E52:$Z52,MIN(AS$6-$E$3,22))&lt;&gt;""),Soja!$E52:INDEX(Soja!$E52:$Z52,MIN(AS$6-$E$3,22))),0))-IF($G$2,0,IF((AS$6-$G$3)&lt;1,0,IFERROR(LOOKUP(2,1/(Soja!$E52:INDEX(Soja!$E52:$Z52,MIN(AS$6-$G$3,22))&lt;&gt;""),Soja!$E52:INDEX(Soja!$E52:$Z52,MIN(AS$6-$G$3,22))),0)))))</f>
        <v>0</v>
      </c>
      <c r="AT54" s="27" t="n">
        <f aca="false">IF(COUNT(Soja!$E52:$Z52)=0,0,MAX(0,IF((AT$6-$E$3)&lt;1,0,IFERROR(LOOKUP(2,1/(Soja!$E52:INDEX(Soja!$E52:$Z52,MIN(AT$6-$E$3,22))&lt;&gt;""),Soja!$E52:INDEX(Soja!$E52:$Z52,MIN(AT$6-$E$3,22))),0))-IF($G$2,0,IF((AT$6-$G$3)&lt;1,0,IFERROR(LOOKUP(2,1/(Soja!$E52:INDEX(Soja!$E52:$Z52,MIN(AT$6-$G$3,22))&lt;&gt;""),Soja!$E52:INDEX(Soja!$E52:$Z52,MIN(AT$6-$G$3,22))),0)))))</f>
        <v>0</v>
      </c>
      <c r="AU54" s="27" t="n">
        <f aca="false">IF(COUNT(Soja!$E52:$Z52)=0,0,MAX(0,IF((AU$6-$E$3)&lt;1,0,IFERROR(LOOKUP(2,1/(Soja!$E52:INDEX(Soja!$E52:$Z52,MIN(AU$6-$E$3,22))&lt;&gt;""),Soja!$E52:INDEX(Soja!$E52:$Z52,MIN(AU$6-$E$3,22))),0))-IF($G$2,0,IF((AU$6-$G$3)&lt;1,0,IFERROR(LOOKUP(2,1/(Soja!$E52:INDEX(Soja!$E52:$Z52,MIN(AU$6-$G$3,22))&lt;&gt;""),Soja!$E52:INDEX(Soja!$E52:$Z52,MIN(AU$6-$G$3,22))),0)))))</f>
        <v>0</v>
      </c>
      <c r="AV54" s="27" t="n">
        <f aca="false">IF(COUNT(Soja!$E52:$Z52)=0,0,MAX(0,IF((AV$6-$E$3)&lt;1,0,IFERROR(LOOKUP(2,1/(Soja!$E52:INDEX(Soja!$E52:$Z52,MIN(AV$6-$E$3,22))&lt;&gt;""),Soja!$E52:INDEX(Soja!$E52:$Z52,MIN(AV$6-$E$3,22))),0))-IF($G$2,0,IF((AV$6-$G$3)&lt;1,0,IFERROR(LOOKUP(2,1/(Soja!$E52:INDEX(Soja!$E52:$Z52,MIN(AV$6-$G$3,22))&lt;&gt;""),Soja!$E52:INDEX(Soja!$E52:$Z52,MIN(AV$6-$G$3,22))),0)))))</f>
        <v>0</v>
      </c>
      <c r="AW54" s="27" t="n">
        <f aca="false">IF(COUNT(Soja!$E52:$Z52)=0,0,MAX(0,IF((AW$6-$E$3)&lt;1,0,IFERROR(LOOKUP(2,1/(Soja!$E52:INDEX(Soja!$E52:$Z52,MIN(AW$6-$E$3,22))&lt;&gt;""),Soja!$E52:INDEX(Soja!$E52:$Z52,MIN(AW$6-$E$3,22))),0))-IF($G$2,0,IF((AW$6-$G$3)&lt;1,0,IFERROR(LOOKUP(2,1/(Soja!$E52:INDEX(Soja!$E52:$Z52,MIN(AW$6-$G$3,22))&lt;&gt;""),Soja!$E52:INDEX(Soja!$E52:$Z52,MIN(AW$6-$G$3,22))),0)))))</f>
        <v>0</v>
      </c>
      <c r="AX54" s="27" t="n">
        <f aca="false">IF(COUNT(Soja!$E52:$Z52)=0,0,MAX(0,IF((AX$6-$E$3)&lt;1,0,IFERROR(LOOKUP(2,1/(Soja!$E52:INDEX(Soja!$E52:$Z52,MIN(AX$6-$E$3,22))&lt;&gt;""),Soja!$E52:INDEX(Soja!$E52:$Z52,MIN(AX$6-$E$3,22))),0))-IF($G$2,0,IF((AX$6-$G$3)&lt;1,0,IFERROR(LOOKUP(2,1/(Soja!$E52:INDEX(Soja!$E52:$Z52,MIN(AX$6-$G$3,22))&lt;&gt;""),Soja!$E52:INDEX(Soja!$E52:$Z52,MIN(AX$6-$G$3,22))),0)))))</f>
        <v>0</v>
      </c>
      <c r="AY54" s="27" t="n">
        <f aca="false">IF(COUNT(Soja!$E52:$Z52)=0,0,MAX(0,IF((AY$6-$E$3)&lt;1,0,IFERROR(LOOKUP(2,1/(Soja!$E52:INDEX(Soja!$E52:$Z52,MIN(AY$6-$E$3,22))&lt;&gt;""),Soja!$E52:INDEX(Soja!$E52:$Z52,MIN(AY$6-$E$3,22))),0))-IF($G$2,0,IF((AY$6-$G$3)&lt;1,0,IFERROR(LOOKUP(2,1/(Soja!$E52:INDEX(Soja!$E52:$Z52,MIN(AY$6-$G$3,22))&lt;&gt;""),Soja!$E52:INDEX(Soja!$E52:$Z52,MIN(AY$6-$G$3,22))),0)))))</f>
        <v>0</v>
      </c>
      <c r="AZ54" s="27" t="n">
        <f aca="false">IF(COUNT(Soja!$E52:$Z52)=0,0,MAX(0,IF((AZ$6-$E$3)&lt;1,0,IFERROR(LOOKUP(2,1/(Soja!$E52:INDEX(Soja!$E52:$Z52,MIN(AZ$6-$E$3,22))&lt;&gt;""),Soja!$E52:INDEX(Soja!$E52:$Z52,MIN(AZ$6-$E$3,22))),0))-IF($G$2,0,IF((AZ$6-$G$3)&lt;1,0,IFERROR(LOOKUP(2,1/(Soja!$E52:INDEX(Soja!$E52:$Z52,MIN(AZ$6-$G$3,22))&lt;&gt;""),Soja!$E52:INDEX(Soja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IF(COUNT(Soja!$E53:$Z53)&gt;0,N(Soja!$D53),0)</f>
        <v>0</v>
      </c>
      <c r="E55" s="27" t="n">
        <f aca="false">IF(COUNT(Soja!$E53:$Z53)=0,0,MAX(0,IF((E$6-$E$3)&lt;1,0,IFERROR(LOOKUP(2,1/(Soja!$E53:INDEX(Soja!$E53:$Z53,MIN(E$6-$E$3,22))&lt;&gt;""),Soja!$E53:INDEX(Soja!$E53:$Z53,MIN(E$6-$E$3,22))),0))-IF($G$2,0,IF((E$6-$G$3)&lt;1,0,IFERROR(LOOKUP(2,1/(Soja!$E53:INDEX(Soja!$E53:$Z53,MIN(E$6-$G$3,22))&lt;&gt;""),Soja!$E53:INDEX(Soja!$E53:$Z53,MIN(E$6-$G$3,22))),0)))))</f>
        <v>0</v>
      </c>
      <c r="F55" s="27" t="n">
        <f aca="false">IF(COUNT(Soja!$E53:$Z53)=0,0,MAX(0,IF((F$6-$E$3)&lt;1,0,IFERROR(LOOKUP(2,1/(Soja!$E53:INDEX(Soja!$E53:$Z53,MIN(F$6-$E$3,22))&lt;&gt;""),Soja!$E53:INDEX(Soja!$E53:$Z53,MIN(F$6-$E$3,22))),0))-IF($G$2,0,IF((F$6-$G$3)&lt;1,0,IFERROR(LOOKUP(2,1/(Soja!$E53:INDEX(Soja!$E53:$Z53,MIN(F$6-$G$3,22))&lt;&gt;""),Soja!$E53:INDEX(Soja!$E53:$Z53,MIN(F$6-$G$3,22))),0)))))</f>
        <v>0</v>
      </c>
      <c r="G55" s="27" t="n">
        <f aca="false">IF(COUNT(Soja!$E53:$Z53)=0,0,MAX(0,IF((G$6-$E$3)&lt;1,0,IFERROR(LOOKUP(2,1/(Soja!$E53:INDEX(Soja!$E53:$Z53,MIN(G$6-$E$3,22))&lt;&gt;""),Soja!$E53:INDEX(Soja!$E53:$Z53,MIN(G$6-$E$3,22))),0))-IF($G$2,0,IF((G$6-$G$3)&lt;1,0,IFERROR(LOOKUP(2,1/(Soja!$E53:INDEX(Soja!$E53:$Z53,MIN(G$6-$G$3,22))&lt;&gt;""),Soja!$E53:INDEX(Soja!$E53:$Z53,MIN(G$6-$G$3,22))),0)))))</f>
        <v>0</v>
      </c>
      <c r="H55" s="27" t="n">
        <f aca="false">IF(COUNT(Soja!$E53:$Z53)=0,0,MAX(0,IF((H$6-$E$3)&lt;1,0,IFERROR(LOOKUP(2,1/(Soja!$E53:INDEX(Soja!$E53:$Z53,MIN(H$6-$E$3,22))&lt;&gt;""),Soja!$E53:INDEX(Soja!$E53:$Z53,MIN(H$6-$E$3,22))),0))-IF($G$2,0,IF((H$6-$G$3)&lt;1,0,IFERROR(LOOKUP(2,1/(Soja!$E53:INDEX(Soja!$E53:$Z53,MIN(H$6-$G$3,22))&lt;&gt;""),Soja!$E53:INDEX(Soja!$E53:$Z53,MIN(H$6-$G$3,22))),0)))))</f>
        <v>0</v>
      </c>
      <c r="I55" s="27" t="n">
        <f aca="false">IF(COUNT(Soja!$E53:$Z53)=0,0,MAX(0,IF((I$6-$E$3)&lt;1,0,IFERROR(LOOKUP(2,1/(Soja!$E53:INDEX(Soja!$E53:$Z53,MIN(I$6-$E$3,22))&lt;&gt;""),Soja!$E53:INDEX(Soja!$E53:$Z53,MIN(I$6-$E$3,22))),0))-IF($G$2,0,IF((I$6-$G$3)&lt;1,0,IFERROR(LOOKUP(2,1/(Soja!$E53:INDEX(Soja!$E53:$Z53,MIN(I$6-$G$3,22))&lt;&gt;""),Soja!$E53:INDEX(Soja!$E53:$Z53,MIN(I$6-$G$3,22))),0)))))</f>
        <v>0</v>
      </c>
      <c r="J55" s="27" t="n">
        <f aca="false">IF(COUNT(Soja!$E53:$Z53)=0,0,MAX(0,IF((J$6-$E$3)&lt;1,0,IFERROR(LOOKUP(2,1/(Soja!$E53:INDEX(Soja!$E53:$Z53,MIN(J$6-$E$3,22))&lt;&gt;""),Soja!$E53:INDEX(Soja!$E53:$Z53,MIN(J$6-$E$3,22))),0))-IF($G$2,0,IF((J$6-$G$3)&lt;1,0,IFERROR(LOOKUP(2,1/(Soja!$E53:INDEX(Soja!$E53:$Z53,MIN(J$6-$G$3,22))&lt;&gt;""),Soja!$E53:INDEX(Soja!$E53:$Z53,MIN(J$6-$G$3,22))),0)))))</f>
        <v>0</v>
      </c>
      <c r="K55" s="27" t="n">
        <f aca="false">IF(COUNT(Soja!$E53:$Z53)=0,0,MAX(0,IF((K$6-$E$3)&lt;1,0,IFERROR(LOOKUP(2,1/(Soja!$E53:INDEX(Soja!$E53:$Z53,MIN(K$6-$E$3,22))&lt;&gt;""),Soja!$E53:INDEX(Soja!$E53:$Z53,MIN(K$6-$E$3,22))),0))-IF($G$2,0,IF((K$6-$G$3)&lt;1,0,IFERROR(LOOKUP(2,1/(Soja!$E53:INDEX(Soja!$E53:$Z53,MIN(K$6-$G$3,22))&lt;&gt;""),Soja!$E53:INDEX(Soja!$E53:$Z53,MIN(K$6-$G$3,22))),0)))))</f>
        <v>0</v>
      </c>
      <c r="L55" s="27" t="n">
        <f aca="false">IF(COUNT(Soja!$E53:$Z53)=0,0,MAX(0,IF((L$6-$E$3)&lt;1,0,IFERROR(LOOKUP(2,1/(Soja!$E53:INDEX(Soja!$E53:$Z53,MIN(L$6-$E$3,22))&lt;&gt;""),Soja!$E53:INDEX(Soja!$E53:$Z53,MIN(L$6-$E$3,22))),0))-IF($G$2,0,IF((L$6-$G$3)&lt;1,0,IFERROR(LOOKUP(2,1/(Soja!$E53:INDEX(Soja!$E53:$Z53,MIN(L$6-$G$3,22))&lt;&gt;""),Soja!$E53:INDEX(Soja!$E53:$Z53,MIN(L$6-$G$3,22))),0)))))</f>
        <v>0</v>
      </c>
      <c r="M55" s="27" t="n">
        <f aca="false">IF(COUNT(Soja!$E53:$Z53)=0,0,MAX(0,IF((M$6-$E$3)&lt;1,0,IFERROR(LOOKUP(2,1/(Soja!$E53:INDEX(Soja!$E53:$Z53,MIN(M$6-$E$3,22))&lt;&gt;""),Soja!$E53:INDEX(Soja!$E53:$Z53,MIN(M$6-$E$3,22))),0))-IF($G$2,0,IF((M$6-$G$3)&lt;1,0,IFERROR(LOOKUP(2,1/(Soja!$E53:INDEX(Soja!$E53:$Z53,MIN(M$6-$G$3,22))&lt;&gt;""),Soja!$E53:INDEX(Soja!$E53:$Z53,MIN(M$6-$G$3,22))),0)))))</f>
        <v>0</v>
      </c>
      <c r="N55" s="27" t="n">
        <f aca="false">IF(COUNT(Soja!$E53:$Z53)=0,0,MAX(0,IF((N$6-$E$3)&lt;1,0,IFERROR(LOOKUP(2,1/(Soja!$E53:INDEX(Soja!$E53:$Z53,MIN(N$6-$E$3,22))&lt;&gt;""),Soja!$E53:INDEX(Soja!$E53:$Z53,MIN(N$6-$E$3,22))),0))-IF($G$2,0,IF((N$6-$G$3)&lt;1,0,IFERROR(LOOKUP(2,1/(Soja!$E53:INDEX(Soja!$E53:$Z53,MIN(N$6-$G$3,22))&lt;&gt;""),Soja!$E53:INDEX(Soja!$E53:$Z53,MIN(N$6-$G$3,22))),0)))))</f>
        <v>0</v>
      </c>
      <c r="O55" s="27" t="n">
        <f aca="false">IF(COUNT(Soja!$E53:$Z53)=0,0,MAX(0,IF((O$6-$E$3)&lt;1,0,IFERROR(LOOKUP(2,1/(Soja!$E53:INDEX(Soja!$E53:$Z53,MIN(O$6-$E$3,22))&lt;&gt;""),Soja!$E53:INDEX(Soja!$E53:$Z53,MIN(O$6-$E$3,22))),0))-IF($G$2,0,IF((O$6-$G$3)&lt;1,0,IFERROR(LOOKUP(2,1/(Soja!$E53:INDEX(Soja!$E53:$Z53,MIN(O$6-$G$3,22))&lt;&gt;""),Soja!$E53:INDEX(Soja!$E53:$Z53,MIN(O$6-$G$3,22))),0)))))</f>
        <v>0</v>
      </c>
      <c r="P55" s="27" t="n">
        <f aca="false">IF(COUNT(Soja!$E53:$Z53)=0,0,MAX(0,IF((P$6-$E$3)&lt;1,0,IFERROR(LOOKUP(2,1/(Soja!$E53:INDEX(Soja!$E53:$Z53,MIN(P$6-$E$3,22))&lt;&gt;""),Soja!$E53:INDEX(Soja!$E53:$Z53,MIN(P$6-$E$3,22))),0))-IF($G$2,0,IF((P$6-$G$3)&lt;1,0,IFERROR(LOOKUP(2,1/(Soja!$E53:INDEX(Soja!$E53:$Z53,MIN(P$6-$G$3,22))&lt;&gt;""),Soja!$E53:INDEX(Soja!$E53:$Z53,MIN(P$6-$G$3,22))),0)))))</f>
        <v>0</v>
      </c>
      <c r="Q55" s="27" t="n">
        <f aca="false">IF(COUNT(Soja!$E53:$Z53)=0,0,MAX(0,IF((Q$6-$E$3)&lt;1,0,IFERROR(LOOKUP(2,1/(Soja!$E53:INDEX(Soja!$E53:$Z53,MIN(Q$6-$E$3,22))&lt;&gt;""),Soja!$E53:INDEX(Soja!$E53:$Z53,MIN(Q$6-$E$3,22))),0))-IF($G$2,0,IF((Q$6-$G$3)&lt;1,0,IFERROR(LOOKUP(2,1/(Soja!$E53:INDEX(Soja!$E53:$Z53,MIN(Q$6-$G$3,22))&lt;&gt;""),Soja!$E53:INDEX(Soja!$E53:$Z53,MIN(Q$6-$G$3,22))),0)))))</f>
        <v>0</v>
      </c>
      <c r="R55" s="27" t="n">
        <f aca="false">IF(COUNT(Soja!$E53:$Z53)=0,0,MAX(0,IF((R$6-$E$3)&lt;1,0,IFERROR(LOOKUP(2,1/(Soja!$E53:INDEX(Soja!$E53:$Z53,MIN(R$6-$E$3,22))&lt;&gt;""),Soja!$E53:INDEX(Soja!$E53:$Z53,MIN(R$6-$E$3,22))),0))-IF($G$2,0,IF((R$6-$G$3)&lt;1,0,IFERROR(LOOKUP(2,1/(Soja!$E53:INDEX(Soja!$E53:$Z53,MIN(R$6-$G$3,22))&lt;&gt;""),Soja!$E53:INDEX(Soja!$E53:$Z53,MIN(R$6-$G$3,22))),0)))))</f>
        <v>0</v>
      </c>
      <c r="S55" s="27" t="n">
        <f aca="false">IF(COUNT(Soja!$E53:$Z53)=0,0,MAX(0,IF((S$6-$E$3)&lt;1,0,IFERROR(LOOKUP(2,1/(Soja!$E53:INDEX(Soja!$E53:$Z53,MIN(S$6-$E$3,22))&lt;&gt;""),Soja!$E53:INDEX(Soja!$E53:$Z53,MIN(S$6-$E$3,22))),0))-IF($G$2,0,IF((S$6-$G$3)&lt;1,0,IFERROR(LOOKUP(2,1/(Soja!$E53:INDEX(Soja!$E53:$Z53,MIN(S$6-$G$3,22))&lt;&gt;""),Soja!$E53:INDEX(Soja!$E53:$Z53,MIN(S$6-$G$3,22))),0)))))</f>
        <v>0</v>
      </c>
      <c r="T55" s="27" t="n">
        <f aca="false">IF(COUNT(Soja!$E53:$Z53)=0,0,MAX(0,IF((T$6-$E$3)&lt;1,0,IFERROR(LOOKUP(2,1/(Soja!$E53:INDEX(Soja!$E53:$Z53,MIN(T$6-$E$3,22))&lt;&gt;""),Soja!$E53:INDEX(Soja!$E53:$Z53,MIN(T$6-$E$3,22))),0))-IF($G$2,0,IF((T$6-$G$3)&lt;1,0,IFERROR(LOOKUP(2,1/(Soja!$E53:INDEX(Soja!$E53:$Z53,MIN(T$6-$G$3,22))&lt;&gt;""),Soja!$E53:INDEX(Soja!$E53:$Z53,MIN(T$6-$G$3,22))),0)))))</f>
        <v>0</v>
      </c>
      <c r="U55" s="27" t="n">
        <f aca="false">IF(COUNT(Soja!$E53:$Z53)=0,0,MAX(0,IF((U$6-$E$3)&lt;1,0,IFERROR(LOOKUP(2,1/(Soja!$E53:INDEX(Soja!$E53:$Z53,MIN(U$6-$E$3,22))&lt;&gt;""),Soja!$E53:INDEX(Soja!$E53:$Z53,MIN(U$6-$E$3,22))),0))-IF($G$2,0,IF((U$6-$G$3)&lt;1,0,IFERROR(LOOKUP(2,1/(Soja!$E53:INDEX(Soja!$E53:$Z53,MIN(U$6-$G$3,22))&lt;&gt;""),Soja!$E53:INDEX(Soja!$E53:$Z53,MIN(U$6-$G$3,22))),0)))))</f>
        <v>0</v>
      </c>
      <c r="V55" s="27" t="n">
        <f aca="false">IF(COUNT(Soja!$E53:$Z53)=0,0,MAX(0,IF((V$6-$E$3)&lt;1,0,IFERROR(LOOKUP(2,1/(Soja!$E53:INDEX(Soja!$E53:$Z53,MIN(V$6-$E$3,22))&lt;&gt;""),Soja!$E53:INDEX(Soja!$E53:$Z53,MIN(V$6-$E$3,22))),0))-IF($G$2,0,IF((V$6-$G$3)&lt;1,0,IFERROR(LOOKUP(2,1/(Soja!$E53:INDEX(Soja!$E53:$Z53,MIN(V$6-$G$3,22))&lt;&gt;""),Soja!$E53:INDEX(Soja!$E53:$Z53,MIN(V$6-$G$3,22))),0)))))</f>
        <v>0</v>
      </c>
      <c r="W55" s="27" t="n">
        <f aca="false">IF(COUNT(Soja!$E53:$Z53)=0,0,MAX(0,IF((W$6-$E$3)&lt;1,0,IFERROR(LOOKUP(2,1/(Soja!$E53:INDEX(Soja!$E53:$Z53,MIN(W$6-$E$3,22))&lt;&gt;""),Soja!$E53:INDEX(Soja!$E53:$Z53,MIN(W$6-$E$3,22))),0))-IF($G$2,0,IF((W$6-$G$3)&lt;1,0,IFERROR(LOOKUP(2,1/(Soja!$E53:INDEX(Soja!$E53:$Z53,MIN(W$6-$G$3,22))&lt;&gt;""),Soja!$E53:INDEX(Soja!$E53:$Z53,MIN(W$6-$G$3,22))),0)))))</f>
        <v>0</v>
      </c>
      <c r="X55" s="27" t="n">
        <f aca="false">IF(COUNT(Soja!$E53:$Z53)=0,0,MAX(0,IF((X$6-$E$3)&lt;1,0,IFERROR(LOOKUP(2,1/(Soja!$E53:INDEX(Soja!$E53:$Z53,MIN(X$6-$E$3,22))&lt;&gt;""),Soja!$E53:INDEX(Soja!$E53:$Z53,MIN(X$6-$E$3,22))),0))-IF($G$2,0,IF((X$6-$G$3)&lt;1,0,IFERROR(LOOKUP(2,1/(Soja!$E53:INDEX(Soja!$E53:$Z53,MIN(X$6-$G$3,22))&lt;&gt;""),Soja!$E53:INDEX(Soja!$E53:$Z53,MIN(X$6-$G$3,22))),0)))))</f>
        <v>0</v>
      </c>
      <c r="Y55" s="27" t="n">
        <f aca="false">IF(COUNT(Soja!$E53:$Z53)=0,0,MAX(0,IF((Y$6-$E$3)&lt;1,0,IFERROR(LOOKUP(2,1/(Soja!$E53:INDEX(Soja!$E53:$Z53,MIN(Y$6-$E$3,22))&lt;&gt;""),Soja!$E53:INDEX(Soja!$E53:$Z53,MIN(Y$6-$E$3,22))),0))-IF($G$2,0,IF((Y$6-$G$3)&lt;1,0,IFERROR(LOOKUP(2,1/(Soja!$E53:INDEX(Soja!$E53:$Z53,MIN(Y$6-$G$3,22))&lt;&gt;""),Soja!$E53:INDEX(Soja!$E53:$Z53,MIN(Y$6-$G$3,22))),0)))))</f>
        <v>0</v>
      </c>
      <c r="Z55" s="27" t="n">
        <f aca="false">IF(COUNT(Soja!$E53:$Z53)=0,0,MAX(0,IF((Z$6-$E$3)&lt;1,0,IFERROR(LOOKUP(2,1/(Soja!$E53:INDEX(Soja!$E53:$Z53,MIN(Z$6-$E$3,22))&lt;&gt;""),Soja!$E53:INDEX(Soja!$E53:$Z53,MIN(Z$6-$E$3,22))),0))-IF($G$2,0,IF((Z$6-$G$3)&lt;1,0,IFERROR(LOOKUP(2,1/(Soja!$E53:INDEX(Soja!$E53:$Z53,MIN(Z$6-$G$3,22))&lt;&gt;""),Soja!$E53:INDEX(Soja!$E53:$Z53,MIN(Z$6-$G$3,22))),0)))))</f>
        <v>0</v>
      </c>
      <c r="AA55" s="27" t="n">
        <f aca="false">IF(COUNT(Soja!$E53:$Z53)=0,0,MAX(0,IF((AA$6-$E$3)&lt;1,0,IFERROR(LOOKUP(2,1/(Soja!$E53:INDEX(Soja!$E53:$Z53,MIN(AA$6-$E$3,22))&lt;&gt;""),Soja!$E53:INDEX(Soja!$E53:$Z53,MIN(AA$6-$E$3,22))),0))-IF($G$2,0,IF((AA$6-$G$3)&lt;1,0,IFERROR(LOOKUP(2,1/(Soja!$E53:INDEX(Soja!$E53:$Z53,MIN(AA$6-$G$3,22))&lt;&gt;""),Soja!$E53:INDEX(Soja!$E53:$Z53,MIN(AA$6-$G$3,22))),0)))))</f>
        <v>0</v>
      </c>
      <c r="AB55" s="27" t="n">
        <f aca="false">IF(COUNT(Soja!$E53:$Z53)=0,0,MAX(0,IF((AB$6-$E$3)&lt;1,0,IFERROR(LOOKUP(2,1/(Soja!$E53:INDEX(Soja!$E53:$Z53,MIN(AB$6-$E$3,22))&lt;&gt;""),Soja!$E53:INDEX(Soja!$E53:$Z53,MIN(AB$6-$E$3,22))),0))-IF($G$2,0,IF((AB$6-$G$3)&lt;1,0,IFERROR(LOOKUP(2,1/(Soja!$E53:INDEX(Soja!$E53:$Z53,MIN(AB$6-$G$3,22))&lt;&gt;""),Soja!$E53:INDEX(Soja!$E53:$Z53,MIN(AB$6-$G$3,22))),0)))))</f>
        <v>0</v>
      </c>
      <c r="AC55" s="27" t="n">
        <f aca="false">IF(COUNT(Soja!$E53:$Z53)=0,0,MAX(0,IF((AC$6-$E$3)&lt;1,0,IFERROR(LOOKUP(2,1/(Soja!$E53:INDEX(Soja!$E53:$Z53,MIN(AC$6-$E$3,22))&lt;&gt;""),Soja!$E53:INDEX(Soja!$E53:$Z53,MIN(AC$6-$E$3,22))),0))-IF($G$2,0,IF((AC$6-$G$3)&lt;1,0,IFERROR(LOOKUP(2,1/(Soja!$E53:INDEX(Soja!$E53:$Z53,MIN(AC$6-$G$3,22))&lt;&gt;""),Soja!$E53:INDEX(Soja!$E53:$Z53,MIN(AC$6-$G$3,22))),0)))))</f>
        <v>0</v>
      </c>
      <c r="AD55" s="27" t="n">
        <f aca="false">IF(COUNT(Soja!$E53:$Z53)=0,0,MAX(0,IF((AD$6-$E$3)&lt;1,0,IFERROR(LOOKUP(2,1/(Soja!$E53:INDEX(Soja!$E53:$Z53,MIN(AD$6-$E$3,22))&lt;&gt;""),Soja!$E53:INDEX(Soja!$E53:$Z53,MIN(AD$6-$E$3,22))),0))-IF($G$2,0,IF((AD$6-$G$3)&lt;1,0,IFERROR(LOOKUP(2,1/(Soja!$E53:INDEX(Soja!$E53:$Z53,MIN(AD$6-$G$3,22))&lt;&gt;""),Soja!$E53:INDEX(Soja!$E53:$Z53,MIN(AD$6-$G$3,22))),0)))))</f>
        <v>0</v>
      </c>
      <c r="AE55" s="27" t="n">
        <f aca="false">IF(COUNT(Soja!$E53:$Z53)=0,0,MAX(0,IF((AE$6-$E$3)&lt;1,0,IFERROR(LOOKUP(2,1/(Soja!$E53:INDEX(Soja!$E53:$Z53,MIN(AE$6-$E$3,22))&lt;&gt;""),Soja!$E53:INDEX(Soja!$E53:$Z53,MIN(AE$6-$E$3,22))),0))-IF($G$2,0,IF((AE$6-$G$3)&lt;1,0,IFERROR(LOOKUP(2,1/(Soja!$E53:INDEX(Soja!$E53:$Z53,MIN(AE$6-$G$3,22))&lt;&gt;""),Soja!$E53:INDEX(Soja!$E53:$Z53,MIN(AE$6-$G$3,22))),0)))))</f>
        <v>0</v>
      </c>
      <c r="AF55" s="27" t="n">
        <f aca="false">IF(COUNT(Soja!$E53:$Z53)=0,0,MAX(0,IF((AF$6-$E$3)&lt;1,0,IFERROR(LOOKUP(2,1/(Soja!$E53:INDEX(Soja!$E53:$Z53,MIN(AF$6-$E$3,22))&lt;&gt;""),Soja!$E53:INDEX(Soja!$E53:$Z53,MIN(AF$6-$E$3,22))),0))-IF($G$2,0,IF((AF$6-$G$3)&lt;1,0,IFERROR(LOOKUP(2,1/(Soja!$E53:INDEX(Soja!$E53:$Z53,MIN(AF$6-$G$3,22))&lt;&gt;""),Soja!$E53:INDEX(Soja!$E53:$Z53,MIN(AF$6-$G$3,22))),0)))))</f>
        <v>0</v>
      </c>
      <c r="AG55" s="27" t="n">
        <f aca="false">IF(COUNT(Soja!$E53:$Z53)=0,0,MAX(0,IF((AG$6-$E$3)&lt;1,0,IFERROR(LOOKUP(2,1/(Soja!$E53:INDEX(Soja!$E53:$Z53,MIN(AG$6-$E$3,22))&lt;&gt;""),Soja!$E53:INDEX(Soja!$E53:$Z53,MIN(AG$6-$E$3,22))),0))-IF($G$2,0,IF((AG$6-$G$3)&lt;1,0,IFERROR(LOOKUP(2,1/(Soja!$E53:INDEX(Soja!$E53:$Z53,MIN(AG$6-$G$3,22))&lt;&gt;""),Soja!$E53:INDEX(Soja!$E53:$Z53,MIN(AG$6-$G$3,22))),0)))))</f>
        <v>0</v>
      </c>
      <c r="AH55" s="27" t="n">
        <f aca="false">IF(COUNT(Soja!$E53:$Z53)=0,0,MAX(0,IF((AH$6-$E$3)&lt;1,0,IFERROR(LOOKUP(2,1/(Soja!$E53:INDEX(Soja!$E53:$Z53,MIN(AH$6-$E$3,22))&lt;&gt;""),Soja!$E53:INDEX(Soja!$E53:$Z53,MIN(AH$6-$E$3,22))),0))-IF($G$2,0,IF((AH$6-$G$3)&lt;1,0,IFERROR(LOOKUP(2,1/(Soja!$E53:INDEX(Soja!$E53:$Z53,MIN(AH$6-$G$3,22))&lt;&gt;""),Soja!$E53:INDEX(Soja!$E53:$Z53,MIN(AH$6-$G$3,22))),0)))))</f>
        <v>0</v>
      </c>
      <c r="AI55" s="27" t="n">
        <f aca="false">IF(COUNT(Soja!$E53:$Z53)=0,0,MAX(0,IF((AI$6-$E$3)&lt;1,0,IFERROR(LOOKUP(2,1/(Soja!$E53:INDEX(Soja!$E53:$Z53,MIN(AI$6-$E$3,22))&lt;&gt;""),Soja!$E53:INDEX(Soja!$E53:$Z53,MIN(AI$6-$E$3,22))),0))-IF($G$2,0,IF((AI$6-$G$3)&lt;1,0,IFERROR(LOOKUP(2,1/(Soja!$E53:INDEX(Soja!$E53:$Z53,MIN(AI$6-$G$3,22))&lt;&gt;""),Soja!$E53:INDEX(Soja!$E53:$Z53,MIN(AI$6-$G$3,22))),0)))))</f>
        <v>0</v>
      </c>
      <c r="AJ55" s="27" t="n">
        <f aca="false">IF(COUNT(Soja!$E53:$Z53)=0,0,MAX(0,IF((AJ$6-$E$3)&lt;1,0,IFERROR(LOOKUP(2,1/(Soja!$E53:INDEX(Soja!$E53:$Z53,MIN(AJ$6-$E$3,22))&lt;&gt;""),Soja!$E53:INDEX(Soja!$E53:$Z53,MIN(AJ$6-$E$3,22))),0))-IF($G$2,0,IF((AJ$6-$G$3)&lt;1,0,IFERROR(LOOKUP(2,1/(Soja!$E53:INDEX(Soja!$E53:$Z53,MIN(AJ$6-$G$3,22))&lt;&gt;""),Soja!$E53:INDEX(Soja!$E53:$Z53,MIN(AJ$6-$G$3,22))),0)))))</f>
        <v>0</v>
      </c>
      <c r="AK55" s="27" t="n">
        <f aca="false">IF(COUNT(Soja!$E53:$Z53)=0,0,MAX(0,IF((AK$6-$E$3)&lt;1,0,IFERROR(LOOKUP(2,1/(Soja!$E53:INDEX(Soja!$E53:$Z53,MIN(AK$6-$E$3,22))&lt;&gt;""),Soja!$E53:INDEX(Soja!$E53:$Z53,MIN(AK$6-$E$3,22))),0))-IF($G$2,0,IF((AK$6-$G$3)&lt;1,0,IFERROR(LOOKUP(2,1/(Soja!$E53:INDEX(Soja!$E53:$Z53,MIN(AK$6-$G$3,22))&lt;&gt;""),Soja!$E53:INDEX(Soja!$E53:$Z53,MIN(AK$6-$G$3,22))),0)))))</f>
        <v>0</v>
      </c>
      <c r="AL55" s="27" t="n">
        <f aca="false">IF(COUNT(Soja!$E53:$Z53)=0,0,MAX(0,IF((AL$6-$E$3)&lt;1,0,IFERROR(LOOKUP(2,1/(Soja!$E53:INDEX(Soja!$E53:$Z53,MIN(AL$6-$E$3,22))&lt;&gt;""),Soja!$E53:INDEX(Soja!$E53:$Z53,MIN(AL$6-$E$3,22))),0))-IF($G$2,0,IF((AL$6-$G$3)&lt;1,0,IFERROR(LOOKUP(2,1/(Soja!$E53:INDEX(Soja!$E53:$Z53,MIN(AL$6-$G$3,22))&lt;&gt;""),Soja!$E53:INDEX(Soja!$E53:$Z53,MIN(AL$6-$G$3,22))),0)))))</f>
        <v>0</v>
      </c>
      <c r="AM55" s="27" t="n">
        <f aca="false">IF(COUNT(Soja!$E53:$Z53)=0,0,MAX(0,IF((AM$6-$E$3)&lt;1,0,IFERROR(LOOKUP(2,1/(Soja!$E53:INDEX(Soja!$E53:$Z53,MIN(AM$6-$E$3,22))&lt;&gt;""),Soja!$E53:INDEX(Soja!$E53:$Z53,MIN(AM$6-$E$3,22))),0))-IF($G$2,0,IF((AM$6-$G$3)&lt;1,0,IFERROR(LOOKUP(2,1/(Soja!$E53:INDEX(Soja!$E53:$Z53,MIN(AM$6-$G$3,22))&lt;&gt;""),Soja!$E53:INDEX(Soja!$E53:$Z53,MIN(AM$6-$G$3,22))),0)))))</f>
        <v>0</v>
      </c>
      <c r="AN55" s="27" t="n">
        <f aca="false">IF(COUNT(Soja!$E53:$Z53)=0,0,MAX(0,IF((AN$6-$E$3)&lt;1,0,IFERROR(LOOKUP(2,1/(Soja!$E53:INDEX(Soja!$E53:$Z53,MIN(AN$6-$E$3,22))&lt;&gt;""),Soja!$E53:INDEX(Soja!$E53:$Z53,MIN(AN$6-$E$3,22))),0))-IF($G$2,0,IF((AN$6-$G$3)&lt;1,0,IFERROR(LOOKUP(2,1/(Soja!$E53:INDEX(Soja!$E53:$Z53,MIN(AN$6-$G$3,22))&lt;&gt;""),Soja!$E53:INDEX(Soja!$E53:$Z53,MIN(AN$6-$G$3,22))),0)))))</f>
        <v>0</v>
      </c>
      <c r="AO55" s="27" t="n">
        <f aca="false">IF(COUNT(Soja!$E53:$Z53)=0,0,MAX(0,IF((AO$6-$E$3)&lt;1,0,IFERROR(LOOKUP(2,1/(Soja!$E53:INDEX(Soja!$E53:$Z53,MIN(AO$6-$E$3,22))&lt;&gt;""),Soja!$E53:INDEX(Soja!$E53:$Z53,MIN(AO$6-$E$3,22))),0))-IF($G$2,0,IF((AO$6-$G$3)&lt;1,0,IFERROR(LOOKUP(2,1/(Soja!$E53:INDEX(Soja!$E53:$Z53,MIN(AO$6-$G$3,22))&lt;&gt;""),Soja!$E53:INDEX(Soja!$E53:$Z53,MIN(AO$6-$G$3,22))),0)))))</f>
        <v>0</v>
      </c>
      <c r="AP55" s="27" t="n">
        <f aca="false">IF(COUNT(Soja!$E53:$Z53)=0,0,MAX(0,IF((AP$6-$E$3)&lt;1,0,IFERROR(LOOKUP(2,1/(Soja!$E53:INDEX(Soja!$E53:$Z53,MIN(AP$6-$E$3,22))&lt;&gt;""),Soja!$E53:INDEX(Soja!$E53:$Z53,MIN(AP$6-$E$3,22))),0))-IF($G$2,0,IF((AP$6-$G$3)&lt;1,0,IFERROR(LOOKUP(2,1/(Soja!$E53:INDEX(Soja!$E53:$Z53,MIN(AP$6-$G$3,22))&lt;&gt;""),Soja!$E53:INDEX(Soja!$E53:$Z53,MIN(AP$6-$G$3,22))),0)))))</f>
        <v>0</v>
      </c>
      <c r="AQ55" s="27" t="n">
        <f aca="false">IF(COUNT(Soja!$E53:$Z53)=0,0,MAX(0,IF((AQ$6-$E$3)&lt;1,0,IFERROR(LOOKUP(2,1/(Soja!$E53:INDEX(Soja!$E53:$Z53,MIN(AQ$6-$E$3,22))&lt;&gt;""),Soja!$E53:INDEX(Soja!$E53:$Z53,MIN(AQ$6-$E$3,22))),0))-IF($G$2,0,IF((AQ$6-$G$3)&lt;1,0,IFERROR(LOOKUP(2,1/(Soja!$E53:INDEX(Soja!$E53:$Z53,MIN(AQ$6-$G$3,22))&lt;&gt;""),Soja!$E53:INDEX(Soja!$E53:$Z53,MIN(AQ$6-$G$3,22))),0)))))</f>
        <v>0</v>
      </c>
      <c r="AR55" s="27" t="n">
        <f aca="false">IF(COUNT(Soja!$E53:$Z53)=0,0,MAX(0,IF((AR$6-$E$3)&lt;1,0,IFERROR(LOOKUP(2,1/(Soja!$E53:INDEX(Soja!$E53:$Z53,MIN(AR$6-$E$3,22))&lt;&gt;""),Soja!$E53:INDEX(Soja!$E53:$Z53,MIN(AR$6-$E$3,22))),0))-IF($G$2,0,IF((AR$6-$G$3)&lt;1,0,IFERROR(LOOKUP(2,1/(Soja!$E53:INDEX(Soja!$E53:$Z53,MIN(AR$6-$G$3,22))&lt;&gt;""),Soja!$E53:INDEX(Soja!$E53:$Z53,MIN(AR$6-$G$3,22))),0)))))</f>
        <v>0</v>
      </c>
      <c r="AS55" s="27" t="n">
        <f aca="false">IF(COUNT(Soja!$E53:$Z53)=0,0,MAX(0,IF((AS$6-$E$3)&lt;1,0,IFERROR(LOOKUP(2,1/(Soja!$E53:INDEX(Soja!$E53:$Z53,MIN(AS$6-$E$3,22))&lt;&gt;""),Soja!$E53:INDEX(Soja!$E53:$Z53,MIN(AS$6-$E$3,22))),0))-IF($G$2,0,IF((AS$6-$G$3)&lt;1,0,IFERROR(LOOKUP(2,1/(Soja!$E53:INDEX(Soja!$E53:$Z53,MIN(AS$6-$G$3,22))&lt;&gt;""),Soja!$E53:INDEX(Soja!$E53:$Z53,MIN(AS$6-$G$3,22))),0)))))</f>
        <v>0</v>
      </c>
      <c r="AT55" s="27" t="n">
        <f aca="false">IF(COUNT(Soja!$E53:$Z53)=0,0,MAX(0,IF((AT$6-$E$3)&lt;1,0,IFERROR(LOOKUP(2,1/(Soja!$E53:INDEX(Soja!$E53:$Z53,MIN(AT$6-$E$3,22))&lt;&gt;""),Soja!$E53:INDEX(Soja!$E53:$Z53,MIN(AT$6-$E$3,22))),0))-IF($G$2,0,IF((AT$6-$G$3)&lt;1,0,IFERROR(LOOKUP(2,1/(Soja!$E53:INDEX(Soja!$E53:$Z53,MIN(AT$6-$G$3,22))&lt;&gt;""),Soja!$E53:INDEX(Soja!$E53:$Z53,MIN(AT$6-$G$3,22))),0)))))</f>
        <v>0</v>
      </c>
      <c r="AU55" s="27" t="n">
        <f aca="false">IF(COUNT(Soja!$E53:$Z53)=0,0,MAX(0,IF((AU$6-$E$3)&lt;1,0,IFERROR(LOOKUP(2,1/(Soja!$E53:INDEX(Soja!$E53:$Z53,MIN(AU$6-$E$3,22))&lt;&gt;""),Soja!$E53:INDEX(Soja!$E53:$Z53,MIN(AU$6-$E$3,22))),0))-IF($G$2,0,IF((AU$6-$G$3)&lt;1,0,IFERROR(LOOKUP(2,1/(Soja!$E53:INDEX(Soja!$E53:$Z53,MIN(AU$6-$G$3,22))&lt;&gt;""),Soja!$E53:INDEX(Soja!$E53:$Z53,MIN(AU$6-$G$3,22))),0)))))</f>
        <v>0</v>
      </c>
      <c r="AV55" s="27" t="n">
        <f aca="false">IF(COUNT(Soja!$E53:$Z53)=0,0,MAX(0,IF((AV$6-$E$3)&lt;1,0,IFERROR(LOOKUP(2,1/(Soja!$E53:INDEX(Soja!$E53:$Z53,MIN(AV$6-$E$3,22))&lt;&gt;""),Soja!$E53:INDEX(Soja!$E53:$Z53,MIN(AV$6-$E$3,22))),0))-IF($G$2,0,IF((AV$6-$G$3)&lt;1,0,IFERROR(LOOKUP(2,1/(Soja!$E53:INDEX(Soja!$E53:$Z53,MIN(AV$6-$G$3,22))&lt;&gt;""),Soja!$E53:INDEX(Soja!$E53:$Z53,MIN(AV$6-$G$3,22))),0)))))</f>
        <v>0</v>
      </c>
      <c r="AW55" s="27" t="n">
        <f aca="false">IF(COUNT(Soja!$E53:$Z53)=0,0,MAX(0,IF((AW$6-$E$3)&lt;1,0,IFERROR(LOOKUP(2,1/(Soja!$E53:INDEX(Soja!$E53:$Z53,MIN(AW$6-$E$3,22))&lt;&gt;""),Soja!$E53:INDEX(Soja!$E53:$Z53,MIN(AW$6-$E$3,22))),0))-IF($G$2,0,IF((AW$6-$G$3)&lt;1,0,IFERROR(LOOKUP(2,1/(Soja!$E53:INDEX(Soja!$E53:$Z53,MIN(AW$6-$G$3,22))&lt;&gt;""),Soja!$E53:INDEX(Soja!$E53:$Z53,MIN(AW$6-$G$3,22))),0)))))</f>
        <v>0</v>
      </c>
      <c r="AX55" s="27" t="n">
        <f aca="false">IF(COUNT(Soja!$E53:$Z53)=0,0,MAX(0,IF((AX$6-$E$3)&lt;1,0,IFERROR(LOOKUP(2,1/(Soja!$E53:INDEX(Soja!$E53:$Z53,MIN(AX$6-$E$3,22))&lt;&gt;""),Soja!$E53:INDEX(Soja!$E53:$Z53,MIN(AX$6-$E$3,22))),0))-IF($G$2,0,IF((AX$6-$G$3)&lt;1,0,IFERROR(LOOKUP(2,1/(Soja!$E53:INDEX(Soja!$E53:$Z53,MIN(AX$6-$G$3,22))&lt;&gt;""),Soja!$E53:INDEX(Soja!$E53:$Z53,MIN(AX$6-$G$3,22))),0)))))</f>
        <v>0</v>
      </c>
      <c r="AY55" s="27" t="n">
        <f aca="false">IF(COUNT(Soja!$E53:$Z53)=0,0,MAX(0,IF((AY$6-$E$3)&lt;1,0,IFERROR(LOOKUP(2,1/(Soja!$E53:INDEX(Soja!$E53:$Z53,MIN(AY$6-$E$3,22))&lt;&gt;""),Soja!$E53:INDEX(Soja!$E53:$Z53,MIN(AY$6-$E$3,22))),0))-IF($G$2,0,IF((AY$6-$G$3)&lt;1,0,IFERROR(LOOKUP(2,1/(Soja!$E53:INDEX(Soja!$E53:$Z53,MIN(AY$6-$G$3,22))&lt;&gt;""),Soja!$E53:INDEX(Soja!$E53:$Z53,MIN(AY$6-$G$3,22))),0)))))</f>
        <v>0</v>
      </c>
      <c r="AZ55" s="27" t="n">
        <f aca="false">IF(COUNT(Soja!$E53:$Z53)=0,0,MAX(0,IF((AZ$6-$E$3)&lt;1,0,IFERROR(LOOKUP(2,1/(Soja!$E53:INDEX(Soja!$E53:$Z53,MIN(AZ$6-$E$3,22))&lt;&gt;""),Soja!$E53:INDEX(Soja!$E53:$Z53,MIN(AZ$6-$E$3,22))),0))-IF($G$2,0,IF((AZ$6-$G$3)&lt;1,0,IFERROR(LOOKUP(2,1/(Soja!$E53:INDEX(Soja!$E53:$Z53,MIN(AZ$6-$G$3,22))&lt;&gt;""),Soja!$E53:INDEX(Soja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IF(COUNT(Soja!$E54:$Z54)&gt;0,N(Soja!$D54),0)</f>
        <v>0</v>
      </c>
      <c r="E56" s="27" t="n">
        <f aca="false">IF(COUNT(Soja!$E54:$Z54)=0,0,MAX(0,IF((E$6-$E$3)&lt;1,0,IFERROR(LOOKUP(2,1/(Soja!$E54:INDEX(Soja!$E54:$Z54,MIN(E$6-$E$3,22))&lt;&gt;""),Soja!$E54:INDEX(Soja!$E54:$Z54,MIN(E$6-$E$3,22))),0))-IF($G$2,0,IF((E$6-$G$3)&lt;1,0,IFERROR(LOOKUP(2,1/(Soja!$E54:INDEX(Soja!$E54:$Z54,MIN(E$6-$G$3,22))&lt;&gt;""),Soja!$E54:INDEX(Soja!$E54:$Z54,MIN(E$6-$G$3,22))),0)))))</f>
        <v>0</v>
      </c>
      <c r="F56" s="27" t="n">
        <f aca="false">IF(COUNT(Soja!$E54:$Z54)=0,0,MAX(0,IF((F$6-$E$3)&lt;1,0,IFERROR(LOOKUP(2,1/(Soja!$E54:INDEX(Soja!$E54:$Z54,MIN(F$6-$E$3,22))&lt;&gt;""),Soja!$E54:INDEX(Soja!$E54:$Z54,MIN(F$6-$E$3,22))),0))-IF($G$2,0,IF((F$6-$G$3)&lt;1,0,IFERROR(LOOKUP(2,1/(Soja!$E54:INDEX(Soja!$E54:$Z54,MIN(F$6-$G$3,22))&lt;&gt;""),Soja!$E54:INDEX(Soja!$E54:$Z54,MIN(F$6-$G$3,22))),0)))))</f>
        <v>0</v>
      </c>
      <c r="G56" s="27" t="n">
        <f aca="false">IF(COUNT(Soja!$E54:$Z54)=0,0,MAX(0,IF((G$6-$E$3)&lt;1,0,IFERROR(LOOKUP(2,1/(Soja!$E54:INDEX(Soja!$E54:$Z54,MIN(G$6-$E$3,22))&lt;&gt;""),Soja!$E54:INDEX(Soja!$E54:$Z54,MIN(G$6-$E$3,22))),0))-IF($G$2,0,IF((G$6-$G$3)&lt;1,0,IFERROR(LOOKUP(2,1/(Soja!$E54:INDEX(Soja!$E54:$Z54,MIN(G$6-$G$3,22))&lt;&gt;""),Soja!$E54:INDEX(Soja!$E54:$Z54,MIN(G$6-$G$3,22))),0)))))</f>
        <v>0</v>
      </c>
      <c r="H56" s="27" t="n">
        <f aca="false">IF(COUNT(Soja!$E54:$Z54)=0,0,MAX(0,IF((H$6-$E$3)&lt;1,0,IFERROR(LOOKUP(2,1/(Soja!$E54:INDEX(Soja!$E54:$Z54,MIN(H$6-$E$3,22))&lt;&gt;""),Soja!$E54:INDEX(Soja!$E54:$Z54,MIN(H$6-$E$3,22))),0))-IF($G$2,0,IF((H$6-$G$3)&lt;1,0,IFERROR(LOOKUP(2,1/(Soja!$E54:INDEX(Soja!$E54:$Z54,MIN(H$6-$G$3,22))&lt;&gt;""),Soja!$E54:INDEX(Soja!$E54:$Z54,MIN(H$6-$G$3,22))),0)))))</f>
        <v>0</v>
      </c>
      <c r="I56" s="27" t="n">
        <f aca="false">IF(COUNT(Soja!$E54:$Z54)=0,0,MAX(0,IF((I$6-$E$3)&lt;1,0,IFERROR(LOOKUP(2,1/(Soja!$E54:INDEX(Soja!$E54:$Z54,MIN(I$6-$E$3,22))&lt;&gt;""),Soja!$E54:INDEX(Soja!$E54:$Z54,MIN(I$6-$E$3,22))),0))-IF($G$2,0,IF((I$6-$G$3)&lt;1,0,IFERROR(LOOKUP(2,1/(Soja!$E54:INDEX(Soja!$E54:$Z54,MIN(I$6-$G$3,22))&lt;&gt;""),Soja!$E54:INDEX(Soja!$E54:$Z54,MIN(I$6-$G$3,22))),0)))))</f>
        <v>0</v>
      </c>
      <c r="J56" s="27" t="n">
        <f aca="false">IF(COUNT(Soja!$E54:$Z54)=0,0,MAX(0,IF((J$6-$E$3)&lt;1,0,IFERROR(LOOKUP(2,1/(Soja!$E54:INDEX(Soja!$E54:$Z54,MIN(J$6-$E$3,22))&lt;&gt;""),Soja!$E54:INDEX(Soja!$E54:$Z54,MIN(J$6-$E$3,22))),0))-IF($G$2,0,IF((J$6-$G$3)&lt;1,0,IFERROR(LOOKUP(2,1/(Soja!$E54:INDEX(Soja!$E54:$Z54,MIN(J$6-$G$3,22))&lt;&gt;""),Soja!$E54:INDEX(Soja!$E54:$Z54,MIN(J$6-$G$3,22))),0)))))</f>
        <v>0</v>
      </c>
      <c r="K56" s="27" t="n">
        <f aca="false">IF(COUNT(Soja!$E54:$Z54)=0,0,MAX(0,IF((K$6-$E$3)&lt;1,0,IFERROR(LOOKUP(2,1/(Soja!$E54:INDEX(Soja!$E54:$Z54,MIN(K$6-$E$3,22))&lt;&gt;""),Soja!$E54:INDEX(Soja!$E54:$Z54,MIN(K$6-$E$3,22))),0))-IF($G$2,0,IF((K$6-$G$3)&lt;1,0,IFERROR(LOOKUP(2,1/(Soja!$E54:INDEX(Soja!$E54:$Z54,MIN(K$6-$G$3,22))&lt;&gt;""),Soja!$E54:INDEX(Soja!$E54:$Z54,MIN(K$6-$G$3,22))),0)))))</f>
        <v>0</v>
      </c>
      <c r="L56" s="27" t="n">
        <f aca="false">IF(COUNT(Soja!$E54:$Z54)=0,0,MAX(0,IF((L$6-$E$3)&lt;1,0,IFERROR(LOOKUP(2,1/(Soja!$E54:INDEX(Soja!$E54:$Z54,MIN(L$6-$E$3,22))&lt;&gt;""),Soja!$E54:INDEX(Soja!$E54:$Z54,MIN(L$6-$E$3,22))),0))-IF($G$2,0,IF((L$6-$G$3)&lt;1,0,IFERROR(LOOKUP(2,1/(Soja!$E54:INDEX(Soja!$E54:$Z54,MIN(L$6-$G$3,22))&lt;&gt;""),Soja!$E54:INDEX(Soja!$E54:$Z54,MIN(L$6-$G$3,22))),0)))))</f>
        <v>0</v>
      </c>
      <c r="M56" s="27" t="n">
        <f aca="false">IF(COUNT(Soja!$E54:$Z54)=0,0,MAX(0,IF((M$6-$E$3)&lt;1,0,IFERROR(LOOKUP(2,1/(Soja!$E54:INDEX(Soja!$E54:$Z54,MIN(M$6-$E$3,22))&lt;&gt;""),Soja!$E54:INDEX(Soja!$E54:$Z54,MIN(M$6-$E$3,22))),0))-IF($G$2,0,IF((M$6-$G$3)&lt;1,0,IFERROR(LOOKUP(2,1/(Soja!$E54:INDEX(Soja!$E54:$Z54,MIN(M$6-$G$3,22))&lt;&gt;""),Soja!$E54:INDEX(Soja!$E54:$Z54,MIN(M$6-$G$3,22))),0)))))</f>
        <v>0</v>
      </c>
      <c r="N56" s="27" t="n">
        <f aca="false">IF(COUNT(Soja!$E54:$Z54)=0,0,MAX(0,IF((N$6-$E$3)&lt;1,0,IFERROR(LOOKUP(2,1/(Soja!$E54:INDEX(Soja!$E54:$Z54,MIN(N$6-$E$3,22))&lt;&gt;""),Soja!$E54:INDEX(Soja!$E54:$Z54,MIN(N$6-$E$3,22))),0))-IF($G$2,0,IF((N$6-$G$3)&lt;1,0,IFERROR(LOOKUP(2,1/(Soja!$E54:INDEX(Soja!$E54:$Z54,MIN(N$6-$G$3,22))&lt;&gt;""),Soja!$E54:INDEX(Soja!$E54:$Z54,MIN(N$6-$G$3,22))),0)))))</f>
        <v>0</v>
      </c>
      <c r="O56" s="27" t="n">
        <f aca="false">IF(COUNT(Soja!$E54:$Z54)=0,0,MAX(0,IF((O$6-$E$3)&lt;1,0,IFERROR(LOOKUP(2,1/(Soja!$E54:INDEX(Soja!$E54:$Z54,MIN(O$6-$E$3,22))&lt;&gt;""),Soja!$E54:INDEX(Soja!$E54:$Z54,MIN(O$6-$E$3,22))),0))-IF($G$2,0,IF((O$6-$G$3)&lt;1,0,IFERROR(LOOKUP(2,1/(Soja!$E54:INDEX(Soja!$E54:$Z54,MIN(O$6-$G$3,22))&lt;&gt;""),Soja!$E54:INDEX(Soja!$E54:$Z54,MIN(O$6-$G$3,22))),0)))))</f>
        <v>0</v>
      </c>
      <c r="P56" s="27" t="n">
        <f aca="false">IF(COUNT(Soja!$E54:$Z54)=0,0,MAX(0,IF((P$6-$E$3)&lt;1,0,IFERROR(LOOKUP(2,1/(Soja!$E54:INDEX(Soja!$E54:$Z54,MIN(P$6-$E$3,22))&lt;&gt;""),Soja!$E54:INDEX(Soja!$E54:$Z54,MIN(P$6-$E$3,22))),0))-IF($G$2,0,IF((P$6-$G$3)&lt;1,0,IFERROR(LOOKUP(2,1/(Soja!$E54:INDEX(Soja!$E54:$Z54,MIN(P$6-$G$3,22))&lt;&gt;""),Soja!$E54:INDEX(Soja!$E54:$Z54,MIN(P$6-$G$3,22))),0)))))</f>
        <v>0</v>
      </c>
      <c r="Q56" s="27" t="n">
        <f aca="false">IF(COUNT(Soja!$E54:$Z54)=0,0,MAX(0,IF((Q$6-$E$3)&lt;1,0,IFERROR(LOOKUP(2,1/(Soja!$E54:INDEX(Soja!$E54:$Z54,MIN(Q$6-$E$3,22))&lt;&gt;""),Soja!$E54:INDEX(Soja!$E54:$Z54,MIN(Q$6-$E$3,22))),0))-IF($G$2,0,IF((Q$6-$G$3)&lt;1,0,IFERROR(LOOKUP(2,1/(Soja!$E54:INDEX(Soja!$E54:$Z54,MIN(Q$6-$G$3,22))&lt;&gt;""),Soja!$E54:INDEX(Soja!$E54:$Z54,MIN(Q$6-$G$3,22))),0)))))</f>
        <v>0</v>
      </c>
      <c r="R56" s="27" t="n">
        <f aca="false">IF(COUNT(Soja!$E54:$Z54)=0,0,MAX(0,IF((R$6-$E$3)&lt;1,0,IFERROR(LOOKUP(2,1/(Soja!$E54:INDEX(Soja!$E54:$Z54,MIN(R$6-$E$3,22))&lt;&gt;""),Soja!$E54:INDEX(Soja!$E54:$Z54,MIN(R$6-$E$3,22))),0))-IF($G$2,0,IF((R$6-$G$3)&lt;1,0,IFERROR(LOOKUP(2,1/(Soja!$E54:INDEX(Soja!$E54:$Z54,MIN(R$6-$G$3,22))&lt;&gt;""),Soja!$E54:INDEX(Soja!$E54:$Z54,MIN(R$6-$G$3,22))),0)))))</f>
        <v>0</v>
      </c>
      <c r="S56" s="27" t="n">
        <f aca="false">IF(COUNT(Soja!$E54:$Z54)=0,0,MAX(0,IF((S$6-$E$3)&lt;1,0,IFERROR(LOOKUP(2,1/(Soja!$E54:INDEX(Soja!$E54:$Z54,MIN(S$6-$E$3,22))&lt;&gt;""),Soja!$E54:INDEX(Soja!$E54:$Z54,MIN(S$6-$E$3,22))),0))-IF($G$2,0,IF((S$6-$G$3)&lt;1,0,IFERROR(LOOKUP(2,1/(Soja!$E54:INDEX(Soja!$E54:$Z54,MIN(S$6-$G$3,22))&lt;&gt;""),Soja!$E54:INDEX(Soja!$E54:$Z54,MIN(S$6-$G$3,22))),0)))))</f>
        <v>0</v>
      </c>
      <c r="T56" s="27" t="n">
        <f aca="false">IF(COUNT(Soja!$E54:$Z54)=0,0,MAX(0,IF((T$6-$E$3)&lt;1,0,IFERROR(LOOKUP(2,1/(Soja!$E54:INDEX(Soja!$E54:$Z54,MIN(T$6-$E$3,22))&lt;&gt;""),Soja!$E54:INDEX(Soja!$E54:$Z54,MIN(T$6-$E$3,22))),0))-IF($G$2,0,IF((T$6-$G$3)&lt;1,0,IFERROR(LOOKUP(2,1/(Soja!$E54:INDEX(Soja!$E54:$Z54,MIN(T$6-$G$3,22))&lt;&gt;""),Soja!$E54:INDEX(Soja!$E54:$Z54,MIN(T$6-$G$3,22))),0)))))</f>
        <v>0</v>
      </c>
      <c r="U56" s="27" t="n">
        <f aca="false">IF(COUNT(Soja!$E54:$Z54)=0,0,MAX(0,IF((U$6-$E$3)&lt;1,0,IFERROR(LOOKUP(2,1/(Soja!$E54:INDEX(Soja!$E54:$Z54,MIN(U$6-$E$3,22))&lt;&gt;""),Soja!$E54:INDEX(Soja!$E54:$Z54,MIN(U$6-$E$3,22))),0))-IF($G$2,0,IF((U$6-$G$3)&lt;1,0,IFERROR(LOOKUP(2,1/(Soja!$E54:INDEX(Soja!$E54:$Z54,MIN(U$6-$G$3,22))&lt;&gt;""),Soja!$E54:INDEX(Soja!$E54:$Z54,MIN(U$6-$G$3,22))),0)))))</f>
        <v>0</v>
      </c>
      <c r="V56" s="27" t="n">
        <f aca="false">IF(COUNT(Soja!$E54:$Z54)=0,0,MAX(0,IF((V$6-$E$3)&lt;1,0,IFERROR(LOOKUP(2,1/(Soja!$E54:INDEX(Soja!$E54:$Z54,MIN(V$6-$E$3,22))&lt;&gt;""),Soja!$E54:INDEX(Soja!$E54:$Z54,MIN(V$6-$E$3,22))),0))-IF($G$2,0,IF((V$6-$G$3)&lt;1,0,IFERROR(LOOKUP(2,1/(Soja!$E54:INDEX(Soja!$E54:$Z54,MIN(V$6-$G$3,22))&lt;&gt;""),Soja!$E54:INDEX(Soja!$E54:$Z54,MIN(V$6-$G$3,22))),0)))))</f>
        <v>0</v>
      </c>
      <c r="W56" s="27" t="n">
        <f aca="false">IF(COUNT(Soja!$E54:$Z54)=0,0,MAX(0,IF((W$6-$E$3)&lt;1,0,IFERROR(LOOKUP(2,1/(Soja!$E54:INDEX(Soja!$E54:$Z54,MIN(W$6-$E$3,22))&lt;&gt;""),Soja!$E54:INDEX(Soja!$E54:$Z54,MIN(W$6-$E$3,22))),0))-IF($G$2,0,IF((W$6-$G$3)&lt;1,0,IFERROR(LOOKUP(2,1/(Soja!$E54:INDEX(Soja!$E54:$Z54,MIN(W$6-$G$3,22))&lt;&gt;""),Soja!$E54:INDEX(Soja!$E54:$Z54,MIN(W$6-$G$3,22))),0)))))</f>
        <v>0</v>
      </c>
      <c r="X56" s="27" t="n">
        <f aca="false">IF(COUNT(Soja!$E54:$Z54)=0,0,MAX(0,IF((X$6-$E$3)&lt;1,0,IFERROR(LOOKUP(2,1/(Soja!$E54:INDEX(Soja!$E54:$Z54,MIN(X$6-$E$3,22))&lt;&gt;""),Soja!$E54:INDEX(Soja!$E54:$Z54,MIN(X$6-$E$3,22))),0))-IF($G$2,0,IF((X$6-$G$3)&lt;1,0,IFERROR(LOOKUP(2,1/(Soja!$E54:INDEX(Soja!$E54:$Z54,MIN(X$6-$G$3,22))&lt;&gt;""),Soja!$E54:INDEX(Soja!$E54:$Z54,MIN(X$6-$G$3,22))),0)))))</f>
        <v>0</v>
      </c>
      <c r="Y56" s="27" t="n">
        <f aca="false">IF(COUNT(Soja!$E54:$Z54)=0,0,MAX(0,IF((Y$6-$E$3)&lt;1,0,IFERROR(LOOKUP(2,1/(Soja!$E54:INDEX(Soja!$E54:$Z54,MIN(Y$6-$E$3,22))&lt;&gt;""),Soja!$E54:INDEX(Soja!$E54:$Z54,MIN(Y$6-$E$3,22))),0))-IF($G$2,0,IF((Y$6-$G$3)&lt;1,0,IFERROR(LOOKUP(2,1/(Soja!$E54:INDEX(Soja!$E54:$Z54,MIN(Y$6-$G$3,22))&lt;&gt;""),Soja!$E54:INDEX(Soja!$E54:$Z54,MIN(Y$6-$G$3,22))),0)))))</f>
        <v>0</v>
      </c>
      <c r="Z56" s="27" t="n">
        <f aca="false">IF(COUNT(Soja!$E54:$Z54)=0,0,MAX(0,IF((Z$6-$E$3)&lt;1,0,IFERROR(LOOKUP(2,1/(Soja!$E54:INDEX(Soja!$E54:$Z54,MIN(Z$6-$E$3,22))&lt;&gt;""),Soja!$E54:INDEX(Soja!$E54:$Z54,MIN(Z$6-$E$3,22))),0))-IF($G$2,0,IF((Z$6-$G$3)&lt;1,0,IFERROR(LOOKUP(2,1/(Soja!$E54:INDEX(Soja!$E54:$Z54,MIN(Z$6-$G$3,22))&lt;&gt;""),Soja!$E54:INDEX(Soja!$E54:$Z54,MIN(Z$6-$G$3,22))),0)))))</f>
        <v>0</v>
      </c>
      <c r="AA56" s="27" t="n">
        <f aca="false">IF(COUNT(Soja!$E54:$Z54)=0,0,MAX(0,IF((AA$6-$E$3)&lt;1,0,IFERROR(LOOKUP(2,1/(Soja!$E54:INDEX(Soja!$E54:$Z54,MIN(AA$6-$E$3,22))&lt;&gt;""),Soja!$E54:INDEX(Soja!$E54:$Z54,MIN(AA$6-$E$3,22))),0))-IF($G$2,0,IF((AA$6-$G$3)&lt;1,0,IFERROR(LOOKUP(2,1/(Soja!$E54:INDEX(Soja!$E54:$Z54,MIN(AA$6-$G$3,22))&lt;&gt;""),Soja!$E54:INDEX(Soja!$E54:$Z54,MIN(AA$6-$G$3,22))),0)))))</f>
        <v>0</v>
      </c>
      <c r="AB56" s="27" t="n">
        <f aca="false">IF(COUNT(Soja!$E54:$Z54)=0,0,MAX(0,IF((AB$6-$E$3)&lt;1,0,IFERROR(LOOKUP(2,1/(Soja!$E54:INDEX(Soja!$E54:$Z54,MIN(AB$6-$E$3,22))&lt;&gt;""),Soja!$E54:INDEX(Soja!$E54:$Z54,MIN(AB$6-$E$3,22))),0))-IF($G$2,0,IF((AB$6-$G$3)&lt;1,0,IFERROR(LOOKUP(2,1/(Soja!$E54:INDEX(Soja!$E54:$Z54,MIN(AB$6-$G$3,22))&lt;&gt;""),Soja!$E54:INDEX(Soja!$E54:$Z54,MIN(AB$6-$G$3,22))),0)))))</f>
        <v>0</v>
      </c>
      <c r="AC56" s="27" t="n">
        <f aca="false">IF(COUNT(Soja!$E54:$Z54)=0,0,MAX(0,IF((AC$6-$E$3)&lt;1,0,IFERROR(LOOKUP(2,1/(Soja!$E54:INDEX(Soja!$E54:$Z54,MIN(AC$6-$E$3,22))&lt;&gt;""),Soja!$E54:INDEX(Soja!$E54:$Z54,MIN(AC$6-$E$3,22))),0))-IF($G$2,0,IF((AC$6-$G$3)&lt;1,0,IFERROR(LOOKUP(2,1/(Soja!$E54:INDEX(Soja!$E54:$Z54,MIN(AC$6-$G$3,22))&lt;&gt;""),Soja!$E54:INDEX(Soja!$E54:$Z54,MIN(AC$6-$G$3,22))),0)))))</f>
        <v>0</v>
      </c>
      <c r="AD56" s="27" t="n">
        <f aca="false">IF(COUNT(Soja!$E54:$Z54)=0,0,MAX(0,IF((AD$6-$E$3)&lt;1,0,IFERROR(LOOKUP(2,1/(Soja!$E54:INDEX(Soja!$E54:$Z54,MIN(AD$6-$E$3,22))&lt;&gt;""),Soja!$E54:INDEX(Soja!$E54:$Z54,MIN(AD$6-$E$3,22))),0))-IF($G$2,0,IF((AD$6-$G$3)&lt;1,0,IFERROR(LOOKUP(2,1/(Soja!$E54:INDEX(Soja!$E54:$Z54,MIN(AD$6-$G$3,22))&lt;&gt;""),Soja!$E54:INDEX(Soja!$E54:$Z54,MIN(AD$6-$G$3,22))),0)))))</f>
        <v>0</v>
      </c>
      <c r="AE56" s="27" t="n">
        <f aca="false">IF(COUNT(Soja!$E54:$Z54)=0,0,MAX(0,IF((AE$6-$E$3)&lt;1,0,IFERROR(LOOKUP(2,1/(Soja!$E54:INDEX(Soja!$E54:$Z54,MIN(AE$6-$E$3,22))&lt;&gt;""),Soja!$E54:INDEX(Soja!$E54:$Z54,MIN(AE$6-$E$3,22))),0))-IF($G$2,0,IF((AE$6-$G$3)&lt;1,0,IFERROR(LOOKUP(2,1/(Soja!$E54:INDEX(Soja!$E54:$Z54,MIN(AE$6-$G$3,22))&lt;&gt;""),Soja!$E54:INDEX(Soja!$E54:$Z54,MIN(AE$6-$G$3,22))),0)))))</f>
        <v>0</v>
      </c>
      <c r="AF56" s="27" t="n">
        <f aca="false">IF(COUNT(Soja!$E54:$Z54)=0,0,MAX(0,IF((AF$6-$E$3)&lt;1,0,IFERROR(LOOKUP(2,1/(Soja!$E54:INDEX(Soja!$E54:$Z54,MIN(AF$6-$E$3,22))&lt;&gt;""),Soja!$E54:INDEX(Soja!$E54:$Z54,MIN(AF$6-$E$3,22))),0))-IF($G$2,0,IF((AF$6-$G$3)&lt;1,0,IFERROR(LOOKUP(2,1/(Soja!$E54:INDEX(Soja!$E54:$Z54,MIN(AF$6-$G$3,22))&lt;&gt;""),Soja!$E54:INDEX(Soja!$E54:$Z54,MIN(AF$6-$G$3,22))),0)))))</f>
        <v>0</v>
      </c>
      <c r="AG56" s="27" t="n">
        <f aca="false">IF(COUNT(Soja!$E54:$Z54)=0,0,MAX(0,IF((AG$6-$E$3)&lt;1,0,IFERROR(LOOKUP(2,1/(Soja!$E54:INDEX(Soja!$E54:$Z54,MIN(AG$6-$E$3,22))&lt;&gt;""),Soja!$E54:INDEX(Soja!$E54:$Z54,MIN(AG$6-$E$3,22))),0))-IF($G$2,0,IF((AG$6-$G$3)&lt;1,0,IFERROR(LOOKUP(2,1/(Soja!$E54:INDEX(Soja!$E54:$Z54,MIN(AG$6-$G$3,22))&lt;&gt;""),Soja!$E54:INDEX(Soja!$E54:$Z54,MIN(AG$6-$G$3,22))),0)))))</f>
        <v>0</v>
      </c>
      <c r="AH56" s="27" t="n">
        <f aca="false">IF(COUNT(Soja!$E54:$Z54)=0,0,MAX(0,IF((AH$6-$E$3)&lt;1,0,IFERROR(LOOKUP(2,1/(Soja!$E54:INDEX(Soja!$E54:$Z54,MIN(AH$6-$E$3,22))&lt;&gt;""),Soja!$E54:INDEX(Soja!$E54:$Z54,MIN(AH$6-$E$3,22))),0))-IF($G$2,0,IF((AH$6-$G$3)&lt;1,0,IFERROR(LOOKUP(2,1/(Soja!$E54:INDEX(Soja!$E54:$Z54,MIN(AH$6-$G$3,22))&lt;&gt;""),Soja!$E54:INDEX(Soja!$E54:$Z54,MIN(AH$6-$G$3,22))),0)))))</f>
        <v>0</v>
      </c>
      <c r="AI56" s="27" t="n">
        <f aca="false">IF(COUNT(Soja!$E54:$Z54)=0,0,MAX(0,IF((AI$6-$E$3)&lt;1,0,IFERROR(LOOKUP(2,1/(Soja!$E54:INDEX(Soja!$E54:$Z54,MIN(AI$6-$E$3,22))&lt;&gt;""),Soja!$E54:INDEX(Soja!$E54:$Z54,MIN(AI$6-$E$3,22))),0))-IF($G$2,0,IF((AI$6-$G$3)&lt;1,0,IFERROR(LOOKUP(2,1/(Soja!$E54:INDEX(Soja!$E54:$Z54,MIN(AI$6-$G$3,22))&lt;&gt;""),Soja!$E54:INDEX(Soja!$E54:$Z54,MIN(AI$6-$G$3,22))),0)))))</f>
        <v>0</v>
      </c>
      <c r="AJ56" s="27" t="n">
        <f aca="false">IF(COUNT(Soja!$E54:$Z54)=0,0,MAX(0,IF((AJ$6-$E$3)&lt;1,0,IFERROR(LOOKUP(2,1/(Soja!$E54:INDEX(Soja!$E54:$Z54,MIN(AJ$6-$E$3,22))&lt;&gt;""),Soja!$E54:INDEX(Soja!$E54:$Z54,MIN(AJ$6-$E$3,22))),0))-IF($G$2,0,IF((AJ$6-$G$3)&lt;1,0,IFERROR(LOOKUP(2,1/(Soja!$E54:INDEX(Soja!$E54:$Z54,MIN(AJ$6-$G$3,22))&lt;&gt;""),Soja!$E54:INDEX(Soja!$E54:$Z54,MIN(AJ$6-$G$3,22))),0)))))</f>
        <v>0</v>
      </c>
      <c r="AK56" s="27" t="n">
        <f aca="false">IF(COUNT(Soja!$E54:$Z54)=0,0,MAX(0,IF((AK$6-$E$3)&lt;1,0,IFERROR(LOOKUP(2,1/(Soja!$E54:INDEX(Soja!$E54:$Z54,MIN(AK$6-$E$3,22))&lt;&gt;""),Soja!$E54:INDEX(Soja!$E54:$Z54,MIN(AK$6-$E$3,22))),0))-IF($G$2,0,IF((AK$6-$G$3)&lt;1,0,IFERROR(LOOKUP(2,1/(Soja!$E54:INDEX(Soja!$E54:$Z54,MIN(AK$6-$G$3,22))&lt;&gt;""),Soja!$E54:INDEX(Soja!$E54:$Z54,MIN(AK$6-$G$3,22))),0)))))</f>
        <v>0</v>
      </c>
      <c r="AL56" s="27" t="n">
        <f aca="false">IF(COUNT(Soja!$E54:$Z54)=0,0,MAX(0,IF((AL$6-$E$3)&lt;1,0,IFERROR(LOOKUP(2,1/(Soja!$E54:INDEX(Soja!$E54:$Z54,MIN(AL$6-$E$3,22))&lt;&gt;""),Soja!$E54:INDEX(Soja!$E54:$Z54,MIN(AL$6-$E$3,22))),0))-IF($G$2,0,IF((AL$6-$G$3)&lt;1,0,IFERROR(LOOKUP(2,1/(Soja!$E54:INDEX(Soja!$E54:$Z54,MIN(AL$6-$G$3,22))&lt;&gt;""),Soja!$E54:INDEX(Soja!$E54:$Z54,MIN(AL$6-$G$3,22))),0)))))</f>
        <v>0</v>
      </c>
      <c r="AM56" s="27" t="n">
        <f aca="false">IF(COUNT(Soja!$E54:$Z54)=0,0,MAX(0,IF((AM$6-$E$3)&lt;1,0,IFERROR(LOOKUP(2,1/(Soja!$E54:INDEX(Soja!$E54:$Z54,MIN(AM$6-$E$3,22))&lt;&gt;""),Soja!$E54:INDEX(Soja!$E54:$Z54,MIN(AM$6-$E$3,22))),0))-IF($G$2,0,IF((AM$6-$G$3)&lt;1,0,IFERROR(LOOKUP(2,1/(Soja!$E54:INDEX(Soja!$E54:$Z54,MIN(AM$6-$G$3,22))&lt;&gt;""),Soja!$E54:INDEX(Soja!$E54:$Z54,MIN(AM$6-$G$3,22))),0)))))</f>
        <v>0</v>
      </c>
      <c r="AN56" s="27" t="n">
        <f aca="false">IF(COUNT(Soja!$E54:$Z54)=0,0,MAX(0,IF((AN$6-$E$3)&lt;1,0,IFERROR(LOOKUP(2,1/(Soja!$E54:INDEX(Soja!$E54:$Z54,MIN(AN$6-$E$3,22))&lt;&gt;""),Soja!$E54:INDEX(Soja!$E54:$Z54,MIN(AN$6-$E$3,22))),0))-IF($G$2,0,IF((AN$6-$G$3)&lt;1,0,IFERROR(LOOKUP(2,1/(Soja!$E54:INDEX(Soja!$E54:$Z54,MIN(AN$6-$G$3,22))&lt;&gt;""),Soja!$E54:INDEX(Soja!$E54:$Z54,MIN(AN$6-$G$3,22))),0)))))</f>
        <v>0</v>
      </c>
      <c r="AO56" s="27" t="n">
        <f aca="false">IF(COUNT(Soja!$E54:$Z54)=0,0,MAX(0,IF((AO$6-$E$3)&lt;1,0,IFERROR(LOOKUP(2,1/(Soja!$E54:INDEX(Soja!$E54:$Z54,MIN(AO$6-$E$3,22))&lt;&gt;""),Soja!$E54:INDEX(Soja!$E54:$Z54,MIN(AO$6-$E$3,22))),0))-IF($G$2,0,IF((AO$6-$G$3)&lt;1,0,IFERROR(LOOKUP(2,1/(Soja!$E54:INDEX(Soja!$E54:$Z54,MIN(AO$6-$G$3,22))&lt;&gt;""),Soja!$E54:INDEX(Soja!$E54:$Z54,MIN(AO$6-$G$3,22))),0)))))</f>
        <v>0</v>
      </c>
      <c r="AP56" s="27" t="n">
        <f aca="false">IF(COUNT(Soja!$E54:$Z54)=0,0,MAX(0,IF((AP$6-$E$3)&lt;1,0,IFERROR(LOOKUP(2,1/(Soja!$E54:INDEX(Soja!$E54:$Z54,MIN(AP$6-$E$3,22))&lt;&gt;""),Soja!$E54:INDEX(Soja!$E54:$Z54,MIN(AP$6-$E$3,22))),0))-IF($G$2,0,IF((AP$6-$G$3)&lt;1,0,IFERROR(LOOKUP(2,1/(Soja!$E54:INDEX(Soja!$E54:$Z54,MIN(AP$6-$G$3,22))&lt;&gt;""),Soja!$E54:INDEX(Soja!$E54:$Z54,MIN(AP$6-$G$3,22))),0)))))</f>
        <v>0</v>
      </c>
      <c r="AQ56" s="27" t="n">
        <f aca="false">IF(COUNT(Soja!$E54:$Z54)=0,0,MAX(0,IF((AQ$6-$E$3)&lt;1,0,IFERROR(LOOKUP(2,1/(Soja!$E54:INDEX(Soja!$E54:$Z54,MIN(AQ$6-$E$3,22))&lt;&gt;""),Soja!$E54:INDEX(Soja!$E54:$Z54,MIN(AQ$6-$E$3,22))),0))-IF($G$2,0,IF((AQ$6-$G$3)&lt;1,0,IFERROR(LOOKUP(2,1/(Soja!$E54:INDEX(Soja!$E54:$Z54,MIN(AQ$6-$G$3,22))&lt;&gt;""),Soja!$E54:INDEX(Soja!$E54:$Z54,MIN(AQ$6-$G$3,22))),0)))))</f>
        <v>0</v>
      </c>
      <c r="AR56" s="27" t="n">
        <f aca="false">IF(COUNT(Soja!$E54:$Z54)=0,0,MAX(0,IF((AR$6-$E$3)&lt;1,0,IFERROR(LOOKUP(2,1/(Soja!$E54:INDEX(Soja!$E54:$Z54,MIN(AR$6-$E$3,22))&lt;&gt;""),Soja!$E54:INDEX(Soja!$E54:$Z54,MIN(AR$6-$E$3,22))),0))-IF($G$2,0,IF((AR$6-$G$3)&lt;1,0,IFERROR(LOOKUP(2,1/(Soja!$E54:INDEX(Soja!$E54:$Z54,MIN(AR$6-$G$3,22))&lt;&gt;""),Soja!$E54:INDEX(Soja!$E54:$Z54,MIN(AR$6-$G$3,22))),0)))))</f>
        <v>0</v>
      </c>
      <c r="AS56" s="27" t="n">
        <f aca="false">IF(COUNT(Soja!$E54:$Z54)=0,0,MAX(0,IF((AS$6-$E$3)&lt;1,0,IFERROR(LOOKUP(2,1/(Soja!$E54:INDEX(Soja!$E54:$Z54,MIN(AS$6-$E$3,22))&lt;&gt;""),Soja!$E54:INDEX(Soja!$E54:$Z54,MIN(AS$6-$E$3,22))),0))-IF($G$2,0,IF((AS$6-$G$3)&lt;1,0,IFERROR(LOOKUP(2,1/(Soja!$E54:INDEX(Soja!$E54:$Z54,MIN(AS$6-$G$3,22))&lt;&gt;""),Soja!$E54:INDEX(Soja!$E54:$Z54,MIN(AS$6-$G$3,22))),0)))))</f>
        <v>0</v>
      </c>
      <c r="AT56" s="27" t="n">
        <f aca="false">IF(COUNT(Soja!$E54:$Z54)=0,0,MAX(0,IF((AT$6-$E$3)&lt;1,0,IFERROR(LOOKUP(2,1/(Soja!$E54:INDEX(Soja!$E54:$Z54,MIN(AT$6-$E$3,22))&lt;&gt;""),Soja!$E54:INDEX(Soja!$E54:$Z54,MIN(AT$6-$E$3,22))),0))-IF($G$2,0,IF((AT$6-$G$3)&lt;1,0,IFERROR(LOOKUP(2,1/(Soja!$E54:INDEX(Soja!$E54:$Z54,MIN(AT$6-$G$3,22))&lt;&gt;""),Soja!$E54:INDEX(Soja!$E54:$Z54,MIN(AT$6-$G$3,22))),0)))))</f>
        <v>0</v>
      </c>
      <c r="AU56" s="27" t="n">
        <f aca="false">IF(COUNT(Soja!$E54:$Z54)=0,0,MAX(0,IF((AU$6-$E$3)&lt;1,0,IFERROR(LOOKUP(2,1/(Soja!$E54:INDEX(Soja!$E54:$Z54,MIN(AU$6-$E$3,22))&lt;&gt;""),Soja!$E54:INDEX(Soja!$E54:$Z54,MIN(AU$6-$E$3,22))),0))-IF($G$2,0,IF((AU$6-$G$3)&lt;1,0,IFERROR(LOOKUP(2,1/(Soja!$E54:INDEX(Soja!$E54:$Z54,MIN(AU$6-$G$3,22))&lt;&gt;""),Soja!$E54:INDEX(Soja!$E54:$Z54,MIN(AU$6-$G$3,22))),0)))))</f>
        <v>0</v>
      </c>
      <c r="AV56" s="27" t="n">
        <f aca="false">IF(COUNT(Soja!$E54:$Z54)=0,0,MAX(0,IF((AV$6-$E$3)&lt;1,0,IFERROR(LOOKUP(2,1/(Soja!$E54:INDEX(Soja!$E54:$Z54,MIN(AV$6-$E$3,22))&lt;&gt;""),Soja!$E54:INDEX(Soja!$E54:$Z54,MIN(AV$6-$E$3,22))),0))-IF($G$2,0,IF((AV$6-$G$3)&lt;1,0,IFERROR(LOOKUP(2,1/(Soja!$E54:INDEX(Soja!$E54:$Z54,MIN(AV$6-$G$3,22))&lt;&gt;""),Soja!$E54:INDEX(Soja!$E54:$Z54,MIN(AV$6-$G$3,22))),0)))))</f>
        <v>0</v>
      </c>
      <c r="AW56" s="27" t="n">
        <f aca="false">IF(COUNT(Soja!$E54:$Z54)=0,0,MAX(0,IF((AW$6-$E$3)&lt;1,0,IFERROR(LOOKUP(2,1/(Soja!$E54:INDEX(Soja!$E54:$Z54,MIN(AW$6-$E$3,22))&lt;&gt;""),Soja!$E54:INDEX(Soja!$E54:$Z54,MIN(AW$6-$E$3,22))),0))-IF($G$2,0,IF((AW$6-$G$3)&lt;1,0,IFERROR(LOOKUP(2,1/(Soja!$E54:INDEX(Soja!$E54:$Z54,MIN(AW$6-$G$3,22))&lt;&gt;""),Soja!$E54:INDEX(Soja!$E54:$Z54,MIN(AW$6-$G$3,22))),0)))))</f>
        <v>0</v>
      </c>
      <c r="AX56" s="27" t="n">
        <f aca="false">IF(COUNT(Soja!$E54:$Z54)=0,0,MAX(0,IF((AX$6-$E$3)&lt;1,0,IFERROR(LOOKUP(2,1/(Soja!$E54:INDEX(Soja!$E54:$Z54,MIN(AX$6-$E$3,22))&lt;&gt;""),Soja!$E54:INDEX(Soja!$E54:$Z54,MIN(AX$6-$E$3,22))),0))-IF($G$2,0,IF((AX$6-$G$3)&lt;1,0,IFERROR(LOOKUP(2,1/(Soja!$E54:INDEX(Soja!$E54:$Z54,MIN(AX$6-$G$3,22))&lt;&gt;""),Soja!$E54:INDEX(Soja!$E54:$Z54,MIN(AX$6-$G$3,22))),0)))))</f>
        <v>0</v>
      </c>
      <c r="AY56" s="27" t="n">
        <f aca="false">IF(COUNT(Soja!$E54:$Z54)=0,0,MAX(0,IF((AY$6-$E$3)&lt;1,0,IFERROR(LOOKUP(2,1/(Soja!$E54:INDEX(Soja!$E54:$Z54,MIN(AY$6-$E$3,22))&lt;&gt;""),Soja!$E54:INDEX(Soja!$E54:$Z54,MIN(AY$6-$E$3,22))),0))-IF($G$2,0,IF((AY$6-$G$3)&lt;1,0,IFERROR(LOOKUP(2,1/(Soja!$E54:INDEX(Soja!$E54:$Z54,MIN(AY$6-$G$3,22))&lt;&gt;""),Soja!$E54:INDEX(Soja!$E54:$Z54,MIN(AY$6-$G$3,22))),0)))))</f>
        <v>0</v>
      </c>
      <c r="AZ56" s="27" t="n">
        <f aca="false">IF(COUNT(Soja!$E54:$Z54)=0,0,MAX(0,IF((AZ$6-$E$3)&lt;1,0,IFERROR(LOOKUP(2,1/(Soja!$E54:INDEX(Soja!$E54:$Z54,MIN(AZ$6-$E$3,22))&lt;&gt;""),Soja!$E54:INDEX(Soja!$E54:$Z54,MIN(AZ$6-$E$3,22))),0))-IF($G$2,0,IF((AZ$6-$G$3)&lt;1,0,IFERROR(LOOKUP(2,1/(Soja!$E54:INDEX(Soja!$E54:$Z54,MIN(AZ$6-$G$3,22))&lt;&gt;""),Soja!$E54:INDEX(Soja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IF(COUNT(Soja!$E55:$Z55)&gt;0,N(Soja!$D55),0)</f>
        <v>0</v>
      </c>
      <c r="E57" s="27" t="n">
        <f aca="false">IF(COUNT(Soja!$E55:$Z55)=0,0,MAX(0,IF((E$6-$E$3)&lt;1,0,IFERROR(LOOKUP(2,1/(Soja!$E55:INDEX(Soja!$E55:$Z55,MIN(E$6-$E$3,22))&lt;&gt;""),Soja!$E55:INDEX(Soja!$E55:$Z55,MIN(E$6-$E$3,22))),0))-IF($G$2,0,IF((E$6-$G$3)&lt;1,0,IFERROR(LOOKUP(2,1/(Soja!$E55:INDEX(Soja!$E55:$Z55,MIN(E$6-$G$3,22))&lt;&gt;""),Soja!$E55:INDEX(Soja!$E55:$Z55,MIN(E$6-$G$3,22))),0)))))</f>
        <v>0</v>
      </c>
      <c r="F57" s="27" t="n">
        <f aca="false">IF(COUNT(Soja!$E55:$Z55)=0,0,MAX(0,IF((F$6-$E$3)&lt;1,0,IFERROR(LOOKUP(2,1/(Soja!$E55:INDEX(Soja!$E55:$Z55,MIN(F$6-$E$3,22))&lt;&gt;""),Soja!$E55:INDEX(Soja!$E55:$Z55,MIN(F$6-$E$3,22))),0))-IF($G$2,0,IF((F$6-$G$3)&lt;1,0,IFERROR(LOOKUP(2,1/(Soja!$E55:INDEX(Soja!$E55:$Z55,MIN(F$6-$G$3,22))&lt;&gt;""),Soja!$E55:INDEX(Soja!$E55:$Z55,MIN(F$6-$G$3,22))),0)))))</f>
        <v>0</v>
      </c>
      <c r="G57" s="27" t="n">
        <f aca="false">IF(COUNT(Soja!$E55:$Z55)=0,0,MAX(0,IF((G$6-$E$3)&lt;1,0,IFERROR(LOOKUP(2,1/(Soja!$E55:INDEX(Soja!$E55:$Z55,MIN(G$6-$E$3,22))&lt;&gt;""),Soja!$E55:INDEX(Soja!$E55:$Z55,MIN(G$6-$E$3,22))),0))-IF($G$2,0,IF((G$6-$G$3)&lt;1,0,IFERROR(LOOKUP(2,1/(Soja!$E55:INDEX(Soja!$E55:$Z55,MIN(G$6-$G$3,22))&lt;&gt;""),Soja!$E55:INDEX(Soja!$E55:$Z55,MIN(G$6-$G$3,22))),0)))))</f>
        <v>0</v>
      </c>
      <c r="H57" s="27" t="n">
        <f aca="false">IF(COUNT(Soja!$E55:$Z55)=0,0,MAX(0,IF((H$6-$E$3)&lt;1,0,IFERROR(LOOKUP(2,1/(Soja!$E55:INDEX(Soja!$E55:$Z55,MIN(H$6-$E$3,22))&lt;&gt;""),Soja!$E55:INDEX(Soja!$E55:$Z55,MIN(H$6-$E$3,22))),0))-IF($G$2,0,IF((H$6-$G$3)&lt;1,0,IFERROR(LOOKUP(2,1/(Soja!$E55:INDEX(Soja!$E55:$Z55,MIN(H$6-$G$3,22))&lt;&gt;""),Soja!$E55:INDEX(Soja!$E55:$Z55,MIN(H$6-$G$3,22))),0)))))</f>
        <v>0</v>
      </c>
      <c r="I57" s="27" t="n">
        <f aca="false">IF(COUNT(Soja!$E55:$Z55)=0,0,MAX(0,IF((I$6-$E$3)&lt;1,0,IFERROR(LOOKUP(2,1/(Soja!$E55:INDEX(Soja!$E55:$Z55,MIN(I$6-$E$3,22))&lt;&gt;""),Soja!$E55:INDEX(Soja!$E55:$Z55,MIN(I$6-$E$3,22))),0))-IF($G$2,0,IF((I$6-$G$3)&lt;1,0,IFERROR(LOOKUP(2,1/(Soja!$E55:INDEX(Soja!$E55:$Z55,MIN(I$6-$G$3,22))&lt;&gt;""),Soja!$E55:INDEX(Soja!$E55:$Z55,MIN(I$6-$G$3,22))),0)))))</f>
        <v>0</v>
      </c>
      <c r="J57" s="27" t="n">
        <f aca="false">IF(COUNT(Soja!$E55:$Z55)=0,0,MAX(0,IF((J$6-$E$3)&lt;1,0,IFERROR(LOOKUP(2,1/(Soja!$E55:INDEX(Soja!$E55:$Z55,MIN(J$6-$E$3,22))&lt;&gt;""),Soja!$E55:INDEX(Soja!$E55:$Z55,MIN(J$6-$E$3,22))),0))-IF($G$2,0,IF((J$6-$G$3)&lt;1,0,IFERROR(LOOKUP(2,1/(Soja!$E55:INDEX(Soja!$E55:$Z55,MIN(J$6-$G$3,22))&lt;&gt;""),Soja!$E55:INDEX(Soja!$E55:$Z55,MIN(J$6-$G$3,22))),0)))))</f>
        <v>0</v>
      </c>
      <c r="K57" s="27" t="n">
        <f aca="false">IF(COUNT(Soja!$E55:$Z55)=0,0,MAX(0,IF((K$6-$E$3)&lt;1,0,IFERROR(LOOKUP(2,1/(Soja!$E55:INDEX(Soja!$E55:$Z55,MIN(K$6-$E$3,22))&lt;&gt;""),Soja!$E55:INDEX(Soja!$E55:$Z55,MIN(K$6-$E$3,22))),0))-IF($G$2,0,IF((K$6-$G$3)&lt;1,0,IFERROR(LOOKUP(2,1/(Soja!$E55:INDEX(Soja!$E55:$Z55,MIN(K$6-$G$3,22))&lt;&gt;""),Soja!$E55:INDEX(Soja!$E55:$Z55,MIN(K$6-$G$3,22))),0)))))</f>
        <v>0</v>
      </c>
      <c r="L57" s="27" t="n">
        <f aca="false">IF(COUNT(Soja!$E55:$Z55)=0,0,MAX(0,IF((L$6-$E$3)&lt;1,0,IFERROR(LOOKUP(2,1/(Soja!$E55:INDEX(Soja!$E55:$Z55,MIN(L$6-$E$3,22))&lt;&gt;""),Soja!$E55:INDEX(Soja!$E55:$Z55,MIN(L$6-$E$3,22))),0))-IF($G$2,0,IF((L$6-$G$3)&lt;1,0,IFERROR(LOOKUP(2,1/(Soja!$E55:INDEX(Soja!$E55:$Z55,MIN(L$6-$G$3,22))&lt;&gt;""),Soja!$E55:INDEX(Soja!$E55:$Z55,MIN(L$6-$G$3,22))),0)))))</f>
        <v>0</v>
      </c>
      <c r="M57" s="27" t="n">
        <f aca="false">IF(COUNT(Soja!$E55:$Z55)=0,0,MAX(0,IF((M$6-$E$3)&lt;1,0,IFERROR(LOOKUP(2,1/(Soja!$E55:INDEX(Soja!$E55:$Z55,MIN(M$6-$E$3,22))&lt;&gt;""),Soja!$E55:INDEX(Soja!$E55:$Z55,MIN(M$6-$E$3,22))),0))-IF($G$2,0,IF((M$6-$G$3)&lt;1,0,IFERROR(LOOKUP(2,1/(Soja!$E55:INDEX(Soja!$E55:$Z55,MIN(M$6-$G$3,22))&lt;&gt;""),Soja!$E55:INDEX(Soja!$E55:$Z55,MIN(M$6-$G$3,22))),0)))))</f>
        <v>0</v>
      </c>
      <c r="N57" s="27" t="n">
        <f aca="false">IF(COUNT(Soja!$E55:$Z55)=0,0,MAX(0,IF((N$6-$E$3)&lt;1,0,IFERROR(LOOKUP(2,1/(Soja!$E55:INDEX(Soja!$E55:$Z55,MIN(N$6-$E$3,22))&lt;&gt;""),Soja!$E55:INDEX(Soja!$E55:$Z55,MIN(N$6-$E$3,22))),0))-IF($G$2,0,IF((N$6-$G$3)&lt;1,0,IFERROR(LOOKUP(2,1/(Soja!$E55:INDEX(Soja!$E55:$Z55,MIN(N$6-$G$3,22))&lt;&gt;""),Soja!$E55:INDEX(Soja!$E55:$Z55,MIN(N$6-$G$3,22))),0)))))</f>
        <v>0</v>
      </c>
      <c r="O57" s="27" t="n">
        <f aca="false">IF(COUNT(Soja!$E55:$Z55)=0,0,MAX(0,IF((O$6-$E$3)&lt;1,0,IFERROR(LOOKUP(2,1/(Soja!$E55:INDEX(Soja!$E55:$Z55,MIN(O$6-$E$3,22))&lt;&gt;""),Soja!$E55:INDEX(Soja!$E55:$Z55,MIN(O$6-$E$3,22))),0))-IF($G$2,0,IF((O$6-$G$3)&lt;1,0,IFERROR(LOOKUP(2,1/(Soja!$E55:INDEX(Soja!$E55:$Z55,MIN(O$6-$G$3,22))&lt;&gt;""),Soja!$E55:INDEX(Soja!$E55:$Z55,MIN(O$6-$G$3,22))),0)))))</f>
        <v>0</v>
      </c>
      <c r="P57" s="27" t="n">
        <f aca="false">IF(COUNT(Soja!$E55:$Z55)=0,0,MAX(0,IF((P$6-$E$3)&lt;1,0,IFERROR(LOOKUP(2,1/(Soja!$E55:INDEX(Soja!$E55:$Z55,MIN(P$6-$E$3,22))&lt;&gt;""),Soja!$E55:INDEX(Soja!$E55:$Z55,MIN(P$6-$E$3,22))),0))-IF($G$2,0,IF((P$6-$G$3)&lt;1,0,IFERROR(LOOKUP(2,1/(Soja!$E55:INDEX(Soja!$E55:$Z55,MIN(P$6-$G$3,22))&lt;&gt;""),Soja!$E55:INDEX(Soja!$E55:$Z55,MIN(P$6-$G$3,22))),0)))))</f>
        <v>0</v>
      </c>
      <c r="Q57" s="27" t="n">
        <f aca="false">IF(COUNT(Soja!$E55:$Z55)=0,0,MAX(0,IF((Q$6-$E$3)&lt;1,0,IFERROR(LOOKUP(2,1/(Soja!$E55:INDEX(Soja!$E55:$Z55,MIN(Q$6-$E$3,22))&lt;&gt;""),Soja!$E55:INDEX(Soja!$E55:$Z55,MIN(Q$6-$E$3,22))),0))-IF($G$2,0,IF((Q$6-$G$3)&lt;1,0,IFERROR(LOOKUP(2,1/(Soja!$E55:INDEX(Soja!$E55:$Z55,MIN(Q$6-$G$3,22))&lt;&gt;""),Soja!$E55:INDEX(Soja!$E55:$Z55,MIN(Q$6-$G$3,22))),0)))))</f>
        <v>0</v>
      </c>
      <c r="R57" s="27" t="n">
        <f aca="false">IF(COUNT(Soja!$E55:$Z55)=0,0,MAX(0,IF((R$6-$E$3)&lt;1,0,IFERROR(LOOKUP(2,1/(Soja!$E55:INDEX(Soja!$E55:$Z55,MIN(R$6-$E$3,22))&lt;&gt;""),Soja!$E55:INDEX(Soja!$E55:$Z55,MIN(R$6-$E$3,22))),0))-IF($G$2,0,IF((R$6-$G$3)&lt;1,0,IFERROR(LOOKUP(2,1/(Soja!$E55:INDEX(Soja!$E55:$Z55,MIN(R$6-$G$3,22))&lt;&gt;""),Soja!$E55:INDEX(Soja!$E55:$Z55,MIN(R$6-$G$3,22))),0)))))</f>
        <v>0</v>
      </c>
      <c r="S57" s="27" t="n">
        <f aca="false">IF(COUNT(Soja!$E55:$Z55)=0,0,MAX(0,IF((S$6-$E$3)&lt;1,0,IFERROR(LOOKUP(2,1/(Soja!$E55:INDEX(Soja!$E55:$Z55,MIN(S$6-$E$3,22))&lt;&gt;""),Soja!$E55:INDEX(Soja!$E55:$Z55,MIN(S$6-$E$3,22))),0))-IF($G$2,0,IF((S$6-$G$3)&lt;1,0,IFERROR(LOOKUP(2,1/(Soja!$E55:INDEX(Soja!$E55:$Z55,MIN(S$6-$G$3,22))&lt;&gt;""),Soja!$E55:INDEX(Soja!$E55:$Z55,MIN(S$6-$G$3,22))),0)))))</f>
        <v>0</v>
      </c>
      <c r="T57" s="27" t="n">
        <f aca="false">IF(COUNT(Soja!$E55:$Z55)=0,0,MAX(0,IF((T$6-$E$3)&lt;1,0,IFERROR(LOOKUP(2,1/(Soja!$E55:INDEX(Soja!$E55:$Z55,MIN(T$6-$E$3,22))&lt;&gt;""),Soja!$E55:INDEX(Soja!$E55:$Z55,MIN(T$6-$E$3,22))),0))-IF($G$2,0,IF((T$6-$G$3)&lt;1,0,IFERROR(LOOKUP(2,1/(Soja!$E55:INDEX(Soja!$E55:$Z55,MIN(T$6-$G$3,22))&lt;&gt;""),Soja!$E55:INDEX(Soja!$E55:$Z55,MIN(T$6-$G$3,22))),0)))))</f>
        <v>0</v>
      </c>
      <c r="U57" s="27" t="n">
        <f aca="false">IF(COUNT(Soja!$E55:$Z55)=0,0,MAX(0,IF((U$6-$E$3)&lt;1,0,IFERROR(LOOKUP(2,1/(Soja!$E55:INDEX(Soja!$E55:$Z55,MIN(U$6-$E$3,22))&lt;&gt;""),Soja!$E55:INDEX(Soja!$E55:$Z55,MIN(U$6-$E$3,22))),0))-IF($G$2,0,IF((U$6-$G$3)&lt;1,0,IFERROR(LOOKUP(2,1/(Soja!$E55:INDEX(Soja!$E55:$Z55,MIN(U$6-$G$3,22))&lt;&gt;""),Soja!$E55:INDEX(Soja!$E55:$Z55,MIN(U$6-$G$3,22))),0)))))</f>
        <v>0</v>
      </c>
      <c r="V57" s="27" t="n">
        <f aca="false">IF(COUNT(Soja!$E55:$Z55)=0,0,MAX(0,IF((V$6-$E$3)&lt;1,0,IFERROR(LOOKUP(2,1/(Soja!$E55:INDEX(Soja!$E55:$Z55,MIN(V$6-$E$3,22))&lt;&gt;""),Soja!$E55:INDEX(Soja!$E55:$Z55,MIN(V$6-$E$3,22))),0))-IF($G$2,0,IF((V$6-$G$3)&lt;1,0,IFERROR(LOOKUP(2,1/(Soja!$E55:INDEX(Soja!$E55:$Z55,MIN(V$6-$G$3,22))&lt;&gt;""),Soja!$E55:INDEX(Soja!$E55:$Z55,MIN(V$6-$G$3,22))),0)))))</f>
        <v>0</v>
      </c>
      <c r="W57" s="27" t="n">
        <f aca="false">IF(COUNT(Soja!$E55:$Z55)=0,0,MAX(0,IF((W$6-$E$3)&lt;1,0,IFERROR(LOOKUP(2,1/(Soja!$E55:INDEX(Soja!$E55:$Z55,MIN(W$6-$E$3,22))&lt;&gt;""),Soja!$E55:INDEX(Soja!$E55:$Z55,MIN(W$6-$E$3,22))),0))-IF($G$2,0,IF((W$6-$G$3)&lt;1,0,IFERROR(LOOKUP(2,1/(Soja!$E55:INDEX(Soja!$E55:$Z55,MIN(W$6-$G$3,22))&lt;&gt;""),Soja!$E55:INDEX(Soja!$E55:$Z55,MIN(W$6-$G$3,22))),0)))))</f>
        <v>0</v>
      </c>
      <c r="X57" s="27" t="n">
        <f aca="false">IF(COUNT(Soja!$E55:$Z55)=0,0,MAX(0,IF((X$6-$E$3)&lt;1,0,IFERROR(LOOKUP(2,1/(Soja!$E55:INDEX(Soja!$E55:$Z55,MIN(X$6-$E$3,22))&lt;&gt;""),Soja!$E55:INDEX(Soja!$E55:$Z55,MIN(X$6-$E$3,22))),0))-IF($G$2,0,IF((X$6-$G$3)&lt;1,0,IFERROR(LOOKUP(2,1/(Soja!$E55:INDEX(Soja!$E55:$Z55,MIN(X$6-$G$3,22))&lt;&gt;""),Soja!$E55:INDEX(Soja!$E55:$Z55,MIN(X$6-$G$3,22))),0)))))</f>
        <v>0</v>
      </c>
      <c r="Y57" s="27" t="n">
        <f aca="false">IF(COUNT(Soja!$E55:$Z55)=0,0,MAX(0,IF((Y$6-$E$3)&lt;1,0,IFERROR(LOOKUP(2,1/(Soja!$E55:INDEX(Soja!$E55:$Z55,MIN(Y$6-$E$3,22))&lt;&gt;""),Soja!$E55:INDEX(Soja!$E55:$Z55,MIN(Y$6-$E$3,22))),0))-IF($G$2,0,IF((Y$6-$G$3)&lt;1,0,IFERROR(LOOKUP(2,1/(Soja!$E55:INDEX(Soja!$E55:$Z55,MIN(Y$6-$G$3,22))&lt;&gt;""),Soja!$E55:INDEX(Soja!$E55:$Z55,MIN(Y$6-$G$3,22))),0)))))</f>
        <v>0</v>
      </c>
      <c r="Z57" s="27" t="n">
        <f aca="false">IF(COUNT(Soja!$E55:$Z55)=0,0,MAX(0,IF((Z$6-$E$3)&lt;1,0,IFERROR(LOOKUP(2,1/(Soja!$E55:INDEX(Soja!$E55:$Z55,MIN(Z$6-$E$3,22))&lt;&gt;""),Soja!$E55:INDEX(Soja!$E55:$Z55,MIN(Z$6-$E$3,22))),0))-IF($G$2,0,IF((Z$6-$G$3)&lt;1,0,IFERROR(LOOKUP(2,1/(Soja!$E55:INDEX(Soja!$E55:$Z55,MIN(Z$6-$G$3,22))&lt;&gt;""),Soja!$E55:INDEX(Soja!$E55:$Z55,MIN(Z$6-$G$3,22))),0)))))</f>
        <v>0</v>
      </c>
      <c r="AA57" s="27" t="n">
        <f aca="false">IF(COUNT(Soja!$E55:$Z55)=0,0,MAX(0,IF((AA$6-$E$3)&lt;1,0,IFERROR(LOOKUP(2,1/(Soja!$E55:INDEX(Soja!$E55:$Z55,MIN(AA$6-$E$3,22))&lt;&gt;""),Soja!$E55:INDEX(Soja!$E55:$Z55,MIN(AA$6-$E$3,22))),0))-IF($G$2,0,IF((AA$6-$G$3)&lt;1,0,IFERROR(LOOKUP(2,1/(Soja!$E55:INDEX(Soja!$E55:$Z55,MIN(AA$6-$G$3,22))&lt;&gt;""),Soja!$E55:INDEX(Soja!$E55:$Z55,MIN(AA$6-$G$3,22))),0)))))</f>
        <v>0</v>
      </c>
      <c r="AB57" s="27" t="n">
        <f aca="false">IF(COUNT(Soja!$E55:$Z55)=0,0,MAX(0,IF((AB$6-$E$3)&lt;1,0,IFERROR(LOOKUP(2,1/(Soja!$E55:INDEX(Soja!$E55:$Z55,MIN(AB$6-$E$3,22))&lt;&gt;""),Soja!$E55:INDEX(Soja!$E55:$Z55,MIN(AB$6-$E$3,22))),0))-IF($G$2,0,IF((AB$6-$G$3)&lt;1,0,IFERROR(LOOKUP(2,1/(Soja!$E55:INDEX(Soja!$E55:$Z55,MIN(AB$6-$G$3,22))&lt;&gt;""),Soja!$E55:INDEX(Soja!$E55:$Z55,MIN(AB$6-$G$3,22))),0)))))</f>
        <v>0</v>
      </c>
      <c r="AC57" s="27" t="n">
        <f aca="false">IF(COUNT(Soja!$E55:$Z55)=0,0,MAX(0,IF((AC$6-$E$3)&lt;1,0,IFERROR(LOOKUP(2,1/(Soja!$E55:INDEX(Soja!$E55:$Z55,MIN(AC$6-$E$3,22))&lt;&gt;""),Soja!$E55:INDEX(Soja!$E55:$Z55,MIN(AC$6-$E$3,22))),0))-IF($G$2,0,IF((AC$6-$G$3)&lt;1,0,IFERROR(LOOKUP(2,1/(Soja!$E55:INDEX(Soja!$E55:$Z55,MIN(AC$6-$G$3,22))&lt;&gt;""),Soja!$E55:INDEX(Soja!$E55:$Z55,MIN(AC$6-$G$3,22))),0)))))</f>
        <v>0</v>
      </c>
      <c r="AD57" s="27" t="n">
        <f aca="false">IF(COUNT(Soja!$E55:$Z55)=0,0,MAX(0,IF((AD$6-$E$3)&lt;1,0,IFERROR(LOOKUP(2,1/(Soja!$E55:INDEX(Soja!$E55:$Z55,MIN(AD$6-$E$3,22))&lt;&gt;""),Soja!$E55:INDEX(Soja!$E55:$Z55,MIN(AD$6-$E$3,22))),0))-IF($G$2,0,IF((AD$6-$G$3)&lt;1,0,IFERROR(LOOKUP(2,1/(Soja!$E55:INDEX(Soja!$E55:$Z55,MIN(AD$6-$G$3,22))&lt;&gt;""),Soja!$E55:INDEX(Soja!$E55:$Z55,MIN(AD$6-$G$3,22))),0)))))</f>
        <v>0</v>
      </c>
      <c r="AE57" s="27" t="n">
        <f aca="false">IF(COUNT(Soja!$E55:$Z55)=0,0,MAX(0,IF((AE$6-$E$3)&lt;1,0,IFERROR(LOOKUP(2,1/(Soja!$E55:INDEX(Soja!$E55:$Z55,MIN(AE$6-$E$3,22))&lt;&gt;""),Soja!$E55:INDEX(Soja!$E55:$Z55,MIN(AE$6-$E$3,22))),0))-IF($G$2,0,IF((AE$6-$G$3)&lt;1,0,IFERROR(LOOKUP(2,1/(Soja!$E55:INDEX(Soja!$E55:$Z55,MIN(AE$6-$G$3,22))&lt;&gt;""),Soja!$E55:INDEX(Soja!$E55:$Z55,MIN(AE$6-$G$3,22))),0)))))</f>
        <v>0</v>
      </c>
      <c r="AF57" s="27" t="n">
        <f aca="false">IF(COUNT(Soja!$E55:$Z55)=0,0,MAX(0,IF((AF$6-$E$3)&lt;1,0,IFERROR(LOOKUP(2,1/(Soja!$E55:INDEX(Soja!$E55:$Z55,MIN(AF$6-$E$3,22))&lt;&gt;""),Soja!$E55:INDEX(Soja!$E55:$Z55,MIN(AF$6-$E$3,22))),0))-IF($G$2,0,IF((AF$6-$G$3)&lt;1,0,IFERROR(LOOKUP(2,1/(Soja!$E55:INDEX(Soja!$E55:$Z55,MIN(AF$6-$G$3,22))&lt;&gt;""),Soja!$E55:INDEX(Soja!$E55:$Z55,MIN(AF$6-$G$3,22))),0)))))</f>
        <v>0</v>
      </c>
      <c r="AG57" s="27" t="n">
        <f aca="false">IF(COUNT(Soja!$E55:$Z55)=0,0,MAX(0,IF((AG$6-$E$3)&lt;1,0,IFERROR(LOOKUP(2,1/(Soja!$E55:INDEX(Soja!$E55:$Z55,MIN(AG$6-$E$3,22))&lt;&gt;""),Soja!$E55:INDEX(Soja!$E55:$Z55,MIN(AG$6-$E$3,22))),0))-IF($G$2,0,IF((AG$6-$G$3)&lt;1,0,IFERROR(LOOKUP(2,1/(Soja!$E55:INDEX(Soja!$E55:$Z55,MIN(AG$6-$G$3,22))&lt;&gt;""),Soja!$E55:INDEX(Soja!$E55:$Z55,MIN(AG$6-$G$3,22))),0)))))</f>
        <v>0</v>
      </c>
      <c r="AH57" s="27" t="n">
        <f aca="false">IF(COUNT(Soja!$E55:$Z55)=0,0,MAX(0,IF((AH$6-$E$3)&lt;1,0,IFERROR(LOOKUP(2,1/(Soja!$E55:INDEX(Soja!$E55:$Z55,MIN(AH$6-$E$3,22))&lt;&gt;""),Soja!$E55:INDEX(Soja!$E55:$Z55,MIN(AH$6-$E$3,22))),0))-IF($G$2,0,IF((AH$6-$G$3)&lt;1,0,IFERROR(LOOKUP(2,1/(Soja!$E55:INDEX(Soja!$E55:$Z55,MIN(AH$6-$G$3,22))&lt;&gt;""),Soja!$E55:INDEX(Soja!$E55:$Z55,MIN(AH$6-$G$3,22))),0)))))</f>
        <v>0</v>
      </c>
      <c r="AI57" s="27" t="n">
        <f aca="false">IF(COUNT(Soja!$E55:$Z55)=0,0,MAX(0,IF((AI$6-$E$3)&lt;1,0,IFERROR(LOOKUP(2,1/(Soja!$E55:INDEX(Soja!$E55:$Z55,MIN(AI$6-$E$3,22))&lt;&gt;""),Soja!$E55:INDEX(Soja!$E55:$Z55,MIN(AI$6-$E$3,22))),0))-IF($G$2,0,IF((AI$6-$G$3)&lt;1,0,IFERROR(LOOKUP(2,1/(Soja!$E55:INDEX(Soja!$E55:$Z55,MIN(AI$6-$G$3,22))&lt;&gt;""),Soja!$E55:INDEX(Soja!$E55:$Z55,MIN(AI$6-$G$3,22))),0)))))</f>
        <v>0</v>
      </c>
      <c r="AJ57" s="27" t="n">
        <f aca="false">IF(COUNT(Soja!$E55:$Z55)=0,0,MAX(0,IF((AJ$6-$E$3)&lt;1,0,IFERROR(LOOKUP(2,1/(Soja!$E55:INDEX(Soja!$E55:$Z55,MIN(AJ$6-$E$3,22))&lt;&gt;""),Soja!$E55:INDEX(Soja!$E55:$Z55,MIN(AJ$6-$E$3,22))),0))-IF($G$2,0,IF((AJ$6-$G$3)&lt;1,0,IFERROR(LOOKUP(2,1/(Soja!$E55:INDEX(Soja!$E55:$Z55,MIN(AJ$6-$G$3,22))&lt;&gt;""),Soja!$E55:INDEX(Soja!$E55:$Z55,MIN(AJ$6-$G$3,22))),0)))))</f>
        <v>0</v>
      </c>
      <c r="AK57" s="27" t="n">
        <f aca="false">IF(COUNT(Soja!$E55:$Z55)=0,0,MAX(0,IF((AK$6-$E$3)&lt;1,0,IFERROR(LOOKUP(2,1/(Soja!$E55:INDEX(Soja!$E55:$Z55,MIN(AK$6-$E$3,22))&lt;&gt;""),Soja!$E55:INDEX(Soja!$E55:$Z55,MIN(AK$6-$E$3,22))),0))-IF($G$2,0,IF((AK$6-$G$3)&lt;1,0,IFERROR(LOOKUP(2,1/(Soja!$E55:INDEX(Soja!$E55:$Z55,MIN(AK$6-$G$3,22))&lt;&gt;""),Soja!$E55:INDEX(Soja!$E55:$Z55,MIN(AK$6-$G$3,22))),0)))))</f>
        <v>0</v>
      </c>
      <c r="AL57" s="27" t="n">
        <f aca="false">IF(COUNT(Soja!$E55:$Z55)=0,0,MAX(0,IF((AL$6-$E$3)&lt;1,0,IFERROR(LOOKUP(2,1/(Soja!$E55:INDEX(Soja!$E55:$Z55,MIN(AL$6-$E$3,22))&lt;&gt;""),Soja!$E55:INDEX(Soja!$E55:$Z55,MIN(AL$6-$E$3,22))),0))-IF($G$2,0,IF((AL$6-$G$3)&lt;1,0,IFERROR(LOOKUP(2,1/(Soja!$E55:INDEX(Soja!$E55:$Z55,MIN(AL$6-$G$3,22))&lt;&gt;""),Soja!$E55:INDEX(Soja!$E55:$Z55,MIN(AL$6-$G$3,22))),0)))))</f>
        <v>0</v>
      </c>
      <c r="AM57" s="27" t="n">
        <f aca="false">IF(COUNT(Soja!$E55:$Z55)=0,0,MAX(0,IF((AM$6-$E$3)&lt;1,0,IFERROR(LOOKUP(2,1/(Soja!$E55:INDEX(Soja!$E55:$Z55,MIN(AM$6-$E$3,22))&lt;&gt;""),Soja!$E55:INDEX(Soja!$E55:$Z55,MIN(AM$6-$E$3,22))),0))-IF($G$2,0,IF((AM$6-$G$3)&lt;1,0,IFERROR(LOOKUP(2,1/(Soja!$E55:INDEX(Soja!$E55:$Z55,MIN(AM$6-$G$3,22))&lt;&gt;""),Soja!$E55:INDEX(Soja!$E55:$Z55,MIN(AM$6-$G$3,22))),0)))))</f>
        <v>0</v>
      </c>
      <c r="AN57" s="27" t="n">
        <f aca="false">IF(COUNT(Soja!$E55:$Z55)=0,0,MAX(0,IF((AN$6-$E$3)&lt;1,0,IFERROR(LOOKUP(2,1/(Soja!$E55:INDEX(Soja!$E55:$Z55,MIN(AN$6-$E$3,22))&lt;&gt;""),Soja!$E55:INDEX(Soja!$E55:$Z55,MIN(AN$6-$E$3,22))),0))-IF($G$2,0,IF((AN$6-$G$3)&lt;1,0,IFERROR(LOOKUP(2,1/(Soja!$E55:INDEX(Soja!$E55:$Z55,MIN(AN$6-$G$3,22))&lt;&gt;""),Soja!$E55:INDEX(Soja!$E55:$Z55,MIN(AN$6-$G$3,22))),0)))))</f>
        <v>0</v>
      </c>
      <c r="AO57" s="27" t="n">
        <f aca="false">IF(COUNT(Soja!$E55:$Z55)=0,0,MAX(0,IF((AO$6-$E$3)&lt;1,0,IFERROR(LOOKUP(2,1/(Soja!$E55:INDEX(Soja!$E55:$Z55,MIN(AO$6-$E$3,22))&lt;&gt;""),Soja!$E55:INDEX(Soja!$E55:$Z55,MIN(AO$6-$E$3,22))),0))-IF($G$2,0,IF((AO$6-$G$3)&lt;1,0,IFERROR(LOOKUP(2,1/(Soja!$E55:INDEX(Soja!$E55:$Z55,MIN(AO$6-$G$3,22))&lt;&gt;""),Soja!$E55:INDEX(Soja!$E55:$Z55,MIN(AO$6-$G$3,22))),0)))))</f>
        <v>0</v>
      </c>
      <c r="AP57" s="27" t="n">
        <f aca="false">IF(COUNT(Soja!$E55:$Z55)=0,0,MAX(0,IF((AP$6-$E$3)&lt;1,0,IFERROR(LOOKUP(2,1/(Soja!$E55:INDEX(Soja!$E55:$Z55,MIN(AP$6-$E$3,22))&lt;&gt;""),Soja!$E55:INDEX(Soja!$E55:$Z55,MIN(AP$6-$E$3,22))),0))-IF($G$2,0,IF((AP$6-$G$3)&lt;1,0,IFERROR(LOOKUP(2,1/(Soja!$E55:INDEX(Soja!$E55:$Z55,MIN(AP$6-$G$3,22))&lt;&gt;""),Soja!$E55:INDEX(Soja!$E55:$Z55,MIN(AP$6-$G$3,22))),0)))))</f>
        <v>0</v>
      </c>
      <c r="AQ57" s="27" t="n">
        <f aca="false">IF(COUNT(Soja!$E55:$Z55)=0,0,MAX(0,IF((AQ$6-$E$3)&lt;1,0,IFERROR(LOOKUP(2,1/(Soja!$E55:INDEX(Soja!$E55:$Z55,MIN(AQ$6-$E$3,22))&lt;&gt;""),Soja!$E55:INDEX(Soja!$E55:$Z55,MIN(AQ$6-$E$3,22))),0))-IF($G$2,0,IF((AQ$6-$G$3)&lt;1,0,IFERROR(LOOKUP(2,1/(Soja!$E55:INDEX(Soja!$E55:$Z55,MIN(AQ$6-$G$3,22))&lt;&gt;""),Soja!$E55:INDEX(Soja!$E55:$Z55,MIN(AQ$6-$G$3,22))),0)))))</f>
        <v>0</v>
      </c>
      <c r="AR57" s="27" t="n">
        <f aca="false">IF(COUNT(Soja!$E55:$Z55)=0,0,MAX(0,IF((AR$6-$E$3)&lt;1,0,IFERROR(LOOKUP(2,1/(Soja!$E55:INDEX(Soja!$E55:$Z55,MIN(AR$6-$E$3,22))&lt;&gt;""),Soja!$E55:INDEX(Soja!$E55:$Z55,MIN(AR$6-$E$3,22))),0))-IF($G$2,0,IF((AR$6-$G$3)&lt;1,0,IFERROR(LOOKUP(2,1/(Soja!$E55:INDEX(Soja!$E55:$Z55,MIN(AR$6-$G$3,22))&lt;&gt;""),Soja!$E55:INDEX(Soja!$E55:$Z55,MIN(AR$6-$G$3,22))),0)))))</f>
        <v>0</v>
      </c>
      <c r="AS57" s="27" t="n">
        <f aca="false">IF(COUNT(Soja!$E55:$Z55)=0,0,MAX(0,IF((AS$6-$E$3)&lt;1,0,IFERROR(LOOKUP(2,1/(Soja!$E55:INDEX(Soja!$E55:$Z55,MIN(AS$6-$E$3,22))&lt;&gt;""),Soja!$E55:INDEX(Soja!$E55:$Z55,MIN(AS$6-$E$3,22))),0))-IF($G$2,0,IF((AS$6-$G$3)&lt;1,0,IFERROR(LOOKUP(2,1/(Soja!$E55:INDEX(Soja!$E55:$Z55,MIN(AS$6-$G$3,22))&lt;&gt;""),Soja!$E55:INDEX(Soja!$E55:$Z55,MIN(AS$6-$G$3,22))),0)))))</f>
        <v>0</v>
      </c>
      <c r="AT57" s="27" t="n">
        <f aca="false">IF(COUNT(Soja!$E55:$Z55)=0,0,MAX(0,IF((AT$6-$E$3)&lt;1,0,IFERROR(LOOKUP(2,1/(Soja!$E55:INDEX(Soja!$E55:$Z55,MIN(AT$6-$E$3,22))&lt;&gt;""),Soja!$E55:INDEX(Soja!$E55:$Z55,MIN(AT$6-$E$3,22))),0))-IF($G$2,0,IF((AT$6-$G$3)&lt;1,0,IFERROR(LOOKUP(2,1/(Soja!$E55:INDEX(Soja!$E55:$Z55,MIN(AT$6-$G$3,22))&lt;&gt;""),Soja!$E55:INDEX(Soja!$E55:$Z55,MIN(AT$6-$G$3,22))),0)))))</f>
        <v>0</v>
      </c>
      <c r="AU57" s="27" t="n">
        <f aca="false">IF(COUNT(Soja!$E55:$Z55)=0,0,MAX(0,IF((AU$6-$E$3)&lt;1,0,IFERROR(LOOKUP(2,1/(Soja!$E55:INDEX(Soja!$E55:$Z55,MIN(AU$6-$E$3,22))&lt;&gt;""),Soja!$E55:INDEX(Soja!$E55:$Z55,MIN(AU$6-$E$3,22))),0))-IF($G$2,0,IF((AU$6-$G$3)&lt;1,0,IFERROR(LOOKUP(2,1/(Soja!$E55:INDEX(Soja!$E55:$Z55,MIN(AU$6-$G$3,22))&lt;&gt;""),Soja!$E55:INDEX(Soja!$E55:$Z55,MIN(AU$6-$G$3,22))),0)))))</f>
        <v>0</v>
      </c>
      <c r="AV57" s="27" t="n">
        <f aca="false">IF(COUNT(Soja!$E55:$Z55)=0,0,MAX(0,IF((AV$6-$E$3)&lt;1,0,IFERROR(LOOKUP(2,1/(Soja!$E55:INDEX(Soja!$E55:$Z55,MIN(AV$6-$E$3,22))&lt;&gt;""),Soja!$E55:INDEX(Soja!$E55:$Z55,MIN(AV$6-$E$3,22))),0))-IF($G$2,0,IF((AV$6-$G$3)&lt;1,0,IFERROR(LOOKUP(2,1/(Soja!$E55:INDEX(Soja!$E55:$Z55,MIN(AV$6-$G$3,22))&lt;&gt;""),Soja!$E55:INDEX(Soja!$E55:$Z55,MIN(AV$6-$G$3,22))),0)))))</f>
        <v>0</v>
      </c>
      <c r="AW57" s="27" t="n">
        <f aca="false">IF(COUNT(Soja!$E55:$Z55)=0,0,MAX(0,IF((AW$6-$E$3)&lt;1,0,IFERROR(LOOKUP(2,1/(Soja!$E55:INDEX(Soja!$E55:$Z55,MIN(AW$6-$E$3,22))&lt;&gt;""),Soja!$E55:INDEX(Soja!$E55:$Z55,MIN(AW$6-$E$3,22))),0))-IF($G$2,0,IF((AW$6-$G$3)&lt;1,0,IFERROR(LOOKUP(2,1/(Soja!$E55:INDEX(Soja!$E55:$Z55,MIN(AW$6-$G$3,22))&lt;&gt;""),Soja!$E55:INDEX(Soja!$E55:$Z55,MIN(AW$6-$G$3,22))),0)))))</f>
        <v>0</v>
      </c>
      <c r="AX57" s="27" t="n">
        <f aca="false">IF(COUNT(Soja!$E55:$Z55)=0,0,MAX(0,IF((AX$6-$E$3)&lt;1,0,IFERROR(LOOKUP(2,1/(Soja!$E55:INDEX(Soja!$E55:$Z55,MIN(AX$6-$E$3,22))&lt;&gt;""),Soja!$E55:INDEX(Soja!$E55:$Z55,MIN(AX$6-$E$3,22))),0))-IF($G$2,0,IF((AX$6-$G$3)&lt;1,0,IFERROR(LOOKUP(2,1/(Soja!$E55:INDEX(Soja!$E55:$Z55,MIN(AX$6-$G$3,22))&lt;&gt;""),Soja!$E55:INDEX(Soja!$E55:$Z55,MIN(AX$6-$G$3,22))),0)))))</f>
        <v>0</v>
      </c>
      <c r="AY57" s="27" t="n">
        <f aca="false">IF(COUNT(Soja!$E55:$Z55)=0,0,MAX(0,IF((AY$6-$E$3)&lt;1,0,IFERROR(LOOKUP(2,1/(Soja!$E55:INDEX(Soja!$E55:$Z55,MIN(AY$6-$E$3,22))&lt;&gt;""),Soja!$E55:INDEX(Soja!$E55:$Z55,MIN(AY$6-$E$3,22))),0))-IF($G$2,0,IF((AY$6-$G$3)&lt;1,0,IFERROR(LOOKUP(2,1/(Soja!$E55:INDEX(Soja!$E55:$Z55,MIN(AY$6-$G$3,22))&lt;&gt;""),Soja!$E55:INDEX(Soja!$E55:$Z55,MIN(AY$6-$G$3,22))),0)))))</f>
        <v>0</v>
      </c>
      <c r="AZ57" s="27" t="n">
        <f aca="false">IF(COUNT(Soja!$E55:$Z55)=0,0,MAX(0,IF((AZ$6-$E$3)&lt;1,0,IFERROR(LOOKUP(2,1/(Soja!$E55:INDEX(Soja!$E55:$Z55,MIN(AZ$6-$E$3,22))&lt;&gt;""),Soja!$E55:INDEX(Soja!$E55:$Z55,MIN(AZ$6-$E$3,22))),0))-IF($G$2,0,IF((AZ$6-$G$3)&lt;1,0,IFERROR(LOOKUP(2,1/(Soja!$E55:INDEX(Soja!$E55:$Z55,MIN(AZ$6-$G$3,22))&lt;&gt;""),Soja!$E55:INDEX(Soja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IF(COUNT(Soja!$E56:$Z56)&gt;0,N(Soja!$D56),0)</f>
        <v>0</v>
      </c>
      <c r="E58" s="27" t="n">
        <f aca="false">IF(COUNT(Soja!$E56:$Z56)=0,0,MAX(0,IF((E$6-$E$3)&lt;1,0,IFERROR(LOOKUP(2,1/(Soja!$E56:INDEX(Soja!$E56:$Z56,MIN(E$6-$E$3,22))&lt;&gt;""),Soja!$E56:INDEX(Soja!$E56:$Z56,MIN(E$6-$E$3,22))),0))-IF($G$2,0,IF((E$6-$G$3)&lt;1,0,IFERROR(LOOKUP(2,1/(Soja!$E56:INDEX(Soja!$E56:$Z56,MIN(E$6-$G$3,22))&lt;&gt;""),Soja!$E56:INDEX(Soja!$E56:$Z56,MIN(E$6-$G$3,22))),0)))))</f>
        <v>0</v>
      </c>
      <c r="F58" s="27" t="n">
        <f aca="false">IF(COUNT(Soja!$E56:$Z56)=0,0,MAX(0,IF((F$6-$E$3)&lt;1,0,IFERROR(LOOKUP(2,1/(Soja!$E56:INDEX(Soja!$E56:$Z56,MIN(F$6-$E$3,22))&lt;&gt;""),Soja!$E56:INDEX(Soja!$E56:$Z56,MIN(F$6-$E$3,22))),0))-IF($G$2,0,IF((F$6-$G$3)&lt;1,0,IFERROR(LOOKUP(2,1/(Soja!$E56:INDEX(Soja!$E56:$Z56,MIN(F$6-$G$3,22))&lt;&gt;""),Soja!$E56:INDEX(Soja!$E56:$Z56,MIN(F$6-$G$3,22))),0)))))</f>
        <v>0</v>
      </c>
      <c r="G58" s="27" t="n">
        <f aca="false">IF(COUNT(Soja!$E56:$Z56)=0,0,MAX(0,IF((G$6-$E$3)&lt;1,0,IFERROR(LOOKUP(2,1/(Soja!$E56:INDEX(Soja!$E56:$Z56,MIN(G$6-$E$3,22))&lt;&gt;""),Soja!$E56:INDEX(Soja!$E56:$Z56,MIN(G$6-$E$3,22))),0))-IF($G$2,0,IF((G$6-$G$3)&lt;1,0,IFERROR(LOOKUP(2,1/(Soja!$E56:INDEX(Soja!$E56:$Z56,MIN(G$6-$G$3,22))&lt;&gt;""),Soja!$E56:INDEX(Soja!$E56:$Z56,MIN(G$6-$G$3,22))),0)))))</f>
        <v>0</v>
      </c>
      <c r="H58" s="27" t="n">
        <f aca="false">IF(COUNT(Soja!$E56:$Z56)=0,0,MAX(0,IF((H$6-$E$3)&lt;1,0,IFERROR(LOOKUP(2,1/(Soja!$E56:INDEX(Soja!$E56:$Z56,MIN(H$6-$E$3,22))&lt;&gt;""),Soja!$E56:INDEX(Soja!$E56:$Z56,MIN(H$6-$E$3,22))),0))-IF($G$2,0,IF((H$6-$G$3)&lt;1,0,IFERROR(LOOKUP(2,1/(Soja!$E56:INDEX(Soja!$E56:$Z56,MIN(H$6-$G$3,22))&lt;&gt;""),Soja!$E56:INDEX(Soja!$E56:$Z56,MIN(H$6-$G$3,22))),0)))))</f>
        <v>0</v>
      </c>
      <c r="I58" s="27" t="n">
        <f aca="false">IF(COUNT(Soja!$E56:$Z56)=0,0,MAX(0,IF((I$6-$E$3)&lt;1,0,IFERROR(LOOKUP(2,1/(Soja!$E56:INDEX(Soja!$E56:$Z56,MIN(I$6-$E$3,22))&lt;&gt;""),Soja!$E56:INDEX(Soja!$E56:$Z56,MIN(I$6-$E$3,22))),0))-IF($G$2,0,IF((I$6-$G$3)&lt;1,0,IFERROR(LOOKUP(2,1/(Soja!$E56:INDEX(Soja!$E56:$Z56,MIN(I$6-$G$3,22))&lt;&gt;""),Soja!$E56:INDEX(Soja!$E56:$Z56,MIN(I$6-$G$3,22))),0)))))</f>
        <v>0</v>
      </c>
      <c r="J58" s="27" t="n">
        <f aca="false">IF(COUNT(Soja!$E56:$Z56)=0,0,MAX(0,IF((J$6-$E$3)&lt;1,0,IFERROR(LOOKUP(2,1/(Soja!$E56:INDEX(Soja!$E56:$Z56,MIN(J$6-$E$3,22))&lt;&gt;""),Soja!$E56:INDEX(Soja!$E56:$Z56,MIN(J$6-$E$3,22))),0))-IF($G$2,0,IF((J$6-$G$3)&lt;1,0,IFERROR(LOOKUP(2,1/(Soja!$E56:INDEX(Soja!$E56:$Z56,MIN(J$6-$G$3,22))&lt;&gt;""),Soja!$E56:INDEX(Soja!$E56:$Z56,MIN(J$6-$G$3,22))),0)))))</f>
        <v>0</v>
      </c>
      <c r="K58" s="27" t="n">
        <f aca="false">IF(COUNT(Soja!$E56:$Z56)=0,0,MAX(0,IF((K$6-$E$3)&lt;1,0,IFERROR(LOOKUP(2,1/(Soja!$E56:INDEX(Soja!$E56:$Z56,MIN(K$6-$E$3,22))&lt;&gt;""),Soja!$E56:INDEX(Soja!$E56:$Z56,MIN(K$6-$E$3,22))),0))-IF($G$2,0,IF((K$6-$G$3)&lt;1,0,IFERROR(LOOKUP(2,1/(Soja!$E56:INDEX(Soja!$E56:$Z56,MIN(K$6-$G$3,22))&lt;&gt;""),Soja!$E56:INDEX(Soja!$E56:$Z56,MIN(K$6-$G$3,22))),0)))))</f>
        <v>0</v>
      </c>
      <c r="L58" s="27" t="n">
        <f aca="false">IF(COUNT(Soja!$E56:$Z56)=0,0,MAX(0,IF((L$6-$E$3)&lt;1,0,IFERROR(LOOKUP(2,1/(Soja!$E56:INDEX(Soja!$E56:$Z56,MIN(L$6-$E$3,22))&lt;&gt;""),Soja!$E56:INDEX(Soja!$E56:$Z56,MIN(L$6-$E$3,22))),0))-IF($G$2,0,IF((L$6-$G$3)&lt;1,0,IFERROR(LOOKUP(2,1/(Soja!$E56:INDEX(Soja!$E56:$Z56,MIN(L$6-$G$3,22))&lt;&gt;""),Soja!$E56:INDEX(Soja!$E56:$Z56,MIN(L$6-$G$3,22))),0)))))</f>
        <v>0</v>
      </c>
      <c r="M58" s="27" t="n">
        <f aca="false">IF(COUNT(Soja!$E56:$Z56)=0,0,MAX(0,IF((M$6-$E$3)&lt;1,0,IFERROR(LOOKUP(2,1/(Soja!$E56:INDEX(Soja!$E56:$Z56,MIN(M$6-$E$3,22))&lt;&gt;""),Soja!$E56:INDEX(Soja!$E56:$Z56,MIN(M$6-$E$3,22))),0))-IF($G$2,0,IF((M$6-$G$3)&lt;1,0,IFERROR(LOOKUP(2,1/(Soja!$E56:INDEX(Soja!$E56:$Z56,MIN(M$6-$G$3,22))&lt;&gt;""),Soja!$E56:INDEX(Soja!$E56:$Z56,MIN(M$6-$G$3,22))),0)))))</f>
        <v>0</v>
      </c>
      <c r="N58" s="27" t="n">
        <f aca="false">IF(COUNT(Soja!$E56:$Z56)=0,0,MAX(0,IF((N$6-$E$3)&lt;1,0,IFERROR(LOOKUP(2,1/(Soja!$E56:INDEX(Soja!$E56:$Z56,MIN(N$6-$E$3,22))&lt;&gt;""),Soja!$E56:INDEX(Soja!$E56:$Z56,MIN(N$6-$E$3,22))),0))-IF($G$2,0,IF((N$6-$G$3)&lt;1,0,IFERROR(LOOKUP(2,1/(Soja!$E56:INDEX(Soja!$E56:$Z56,MIN(N$6-$G$3,22))&lt;&gt;""),Soja!$E56:INDEX(Soja!$E56:$Z56,MIN(N$6-$G$3,22))),0)))))</f>
        <v>0</v>
      </c>
      <c r="O58" s="27" t="n">
        <f aca="false">IF(COUNT(Soja!$E56:$Z56)=0,0,MAX(0,IF((O$6-$E$3)&lt;1,0,IFERROR(LOOKUP(2,1/(Soja!$E56:INDEX(Soja!$E56:$Z56,MIN(O$6-$E$3,22))&lt;&gt;""),Soja!$E56:INDEX(Soja!$E56:$Z56,MIN(O$6-$E$3,22))),0))-IF($G$2,0,IF((O$6-$G$3)&lt;1,0,IFERROR(LOOKUP(2,1/(Soja!$E56:INDEX(Soja!$E56:$Z56,MIN(O$6-$G$3,22))&lt;&gt;""),Soja!$E56:INDEX(Soja!$E56:$Z56,MIN(O$6-$G$3,22))),0)))))</f>
        <v>0</v>
      </c>
      <c r="P58" s="27" t="n">
        <f aca="false">IF(COUNT(Soja!$E56:$Z56)=0,0,MAX(0,IF((P$6-$E$3)&lt;1,0,IFERROR(LOOKUP(2,1/(Soja!$E56:INDEX(Soja!$E56:$Z56,MIN(P$6-$E$3,22))&lt;&gt;""),Soja!$E56:INDEX(Soja!$E56:$Z56,MIN(P$6-$E$3,22))),0))-IF($G$2,0,IF((P$6-$G$3)&lt;1,0,IFERROR(LOOKUP(2,1/(Soja!$E56:INDEX(Soja!$E56:$Z56,MIN(P$6-$G$3,22))&lt;&gt;""),Soja!$E56:INDEX(Soja!$E56:$Z56,MIN(P$6-$G$3,22))),0)))))</f>
        <v>0</v>
      </c>
      <c r="Q58" s="27" t="n">
        <f aca="false">IF(COUNT(Soja!$E56:$Z56)=0,0,MAX(0,IF((Q$6-$E$3)&lt;1,0,IFERROR(LOOKUP(2,1/(Soja!$E56:INDEX(Soja!$E56:$Z56,MIN(Q$6-$E$3,22))&lt;&gt;""),Soja!$E56:INDEX(Soja!$E56:$Z56,MIN(Q$6-$E$3,22))),0))-IF($G$2,0,IF((Q$6-$G$3)&lt;1,0,IFERROR(LOOKUP(2,1/(Soja!$E56:INDEX(Soja!$E56:$Z56,MIN(Q$6-$G$3,22))&lt;&gt;""),Soja!$E56:INDEX(Soja!$E56:$Z56,MIN(Q$6-$G$3,22))),0)))))</f>
        <v>0</v>
      </c>
      <c r="R58" s="27" t="n">
        <f aca="false">IF(COUNT(Soja!$E56:$Z56)=0,0,MAX(0,IF((R$6-$E$3)&lt;1,0,IFERROR(LOOKUP(2,1/(Soja!$E56:INDEX(Soja!$E56:$Z56,MIN(R$6-$E$3,22))&lt;&gt;""),Soja!$E56:INDEX(Soja!$E56:$Z56,MIN(R$6-$E$3,22))),0))-IF($G$2,0,IF((R$6-$G$3)&lt;1,0,IFERROR(LOOKUP(2,1/(Soja!$E56:INDEX(Soja!$E56:$Z56,MIN(R$6-$G$3,22))&lt;&gt;""),Soja!$E56:INDEX(Soja!$E56:$Z56,MIN(R$6-$G$3,22))),0)))))</f>
        <v>0</v>
      </c>
      <c r="S58" s="27" t="n">
        <f aca="false">IF(COUNT(Soja!$E56:$Z56)=0,0,MAX(0,IF((S$6-$E$3)&lt;1,0,IFERROR(LOOKUP(2,1/(Soja!$E56:INDEX(Soja!$E56:$Z56,MIN(S$6-$E$3,22))&lt;&gt;""),Soja!$E56:INDEX(Soja!$E56:$Z56,MIN(S$6-$E$3,22))),0))-IF($G$2,0,IF((S$6-$G$3)&lt;1,0,IFERROR(LOOKUP(2,1/(Soja!$E56:INDEX(Soja!$E56:$Z56,MIN(S$6-$G$3,22))&lt;&gt;""),Soja!$E56:INDEX(Soja!$E56:$Z56,MIN(S$6-$G$3,22))),0)))))</f>
        <v>0</v>
      </c>
      <c r="T58" s="27" t="n">
        <f aca="false">IF(COUNT(Soja!$E56:$Z56)=0,0,MAX(0,IF((T$6-$E$3)&lt;1,0,IFERROR(LOOKUP(2,1/(Soja!$E56:INDEX(Soja!$E56:$Z56,MIN(T$6-$E$3,22))&lt;&gt;""),Soja!$E56:INDEX(Soja!$E56:$Z56,MIN(T$6-$E$3,22))),0))-IF($G$2,0,IF((T$6-$G$3)&lt;1,0,IFERROR(LOOKUP(2,1/(Soja!$E56:INDEX(Soja!$E56:$Z56,MIN(T$6-$G$3,22))&lt;&gt;""),Soja!$E56:INDEX(Soja!$E56:$Z56,MIN(T$6-$G$3,22))),0)))))</f>
        <v>0</v>
      </c>
      <c r="U58" s="27" t="n">
        <f aca="false">IF(COUNT(Soja!$E56:$Z56)=0,0,MAX(0,IF((U$6-$E$3)&lt;1,0,IFERROR(LOOKUP(2,1/(Soja!$E56:INDEX(Soja!$E56:$Z56,MIN(U$6-$E$3,22))&lt;&gt;""),Soja!$E56:INDEX(Soja!$E56:$Z56,MIN(U$6-$E$3,22))),0))-IF($G$2,0,IF((U$6-$G$3)&lt;1,0,IFERROR(LOOKUP(2,1/(Soja!$E56:INDEX(Soja!$E56:$Z56,MIN(U$6-$G$3,22))&lt;&gt;""),Soja!$E56:INDEX(Soja!$E56:$Z56,MIN(U$6-$G$3,22))),0)))))</f>
        <v>0</v>
      </c>
      <c r="V58" s="27" t="n">
        <f aca="false">IF(COUNT(Soja!$E56:$Z56)=0,0,MAX(0,IF((V$6-$E$3)&lt;1,0,IFERROR(LOOKUP(2,1/(Soja!$E56:INDEX(Soja!$E56:$Z56,MIN(V$6-$E$3,22))&lt;&gt;""),Soja!$E56:INDEX(Soja!$E56:$Z56,MIN(V$6-$E$3,22))),0))-IF($G$2,0,IF((V$6-$G$3)&lt;1,0,IFERROR(LOOKUP(2,1/(Soja!$E56:INDEX(Soja!$E56:$Z56,MIN(V$6-$G$3,22))&lt;&gt;""),Soja!$E56:INDEX(Soja!$E56:$Z56,MIN(V$6-$G$3,22))),0)))))</f>
        <v>0</v>
      </c>
      <c r="W58" s="27" t="n">
        <f aca="false">IF(COUNT(Soja!$E56:$Z56)=0,0,MAX(0,IF((W$6-$E$3)&lt;1,0,IFERROR(LOOKUP(2,1/(Soja!$E56:INDEX(Soja!$E56:$Z56,MIN(W$6-$E$3,22))&lt;&gt;""),Soja!$E56:INDEX(Soja!$E56:$Z56,MIN(W$6-$E$3,22))),0))-IF($G$2,0,IF((W$6-$G$3)&lt;1,0,IFERROR(LOOKUP(2,1/(Soja!$E56:INDEX(Soja!$E56:$Z56,MIN(W$6-$G$3,22))&lt;&gt;""),Soja!$E56:INDEX(Soja!$E56:$Z56,MIN(W$6-$G$3,22))),0)))))</f>
        <v>0</v>
      </c>
      <c r="X58" s="27" t="n">
        <f aca="false">IF(COUNT(Soja!$E56:$Z56)=0,0,MAX(0,IF((X$6-$E$3)&lt;1,0,IFERROR(LOOKUP(2,1/(Soja!$E56:INDEX(Soja!$E56:$Z56,MIN(X$6-$E$3,22))&lt;&gt;""),Soja!$E56:INDEX(Soja!$E56:$Z56,MIN(X$6-$E$3,22))),0))-IF($G$2,0,IF((X$6-$G$3)&lt;1,0,IFERROR(LOOKUP(2,1/(Soja!$E56:INDEX(Soja!$E56:$Z56,MIN(X$6-$G$3,22))&lt;&gt;""),Soja!$E56:INDEX(Soja!$E56:$Z56,MIN(X$6-$G$3,22))),0)))))</f>
        <v>0</v>
      </c>
      <c r="Y58" s="27" t="n">
        <f aca="false">IF(COUNT(Soja!$E56:$Z56)=0,0,MAX(0,IF((Y$6-$E$3)&lt;1,0,IFERROR(LOOKUP(2,1/(Soja!$E56:INDEX(Soja!$E56:$Z56,MIN(Y$6-$E$3,22))&lt;&gt;""),Soja!$E56:INDEX(Soja!$E56:$Z56,MIN(Y$6-$E$3,22))),0))-IF($G$2,0,IF((Y$6-$G$3)&lt;1,0,IFERROR(LOOKUP(2,1/(Soja!$E56:INDEX(Soja!$E56:$Z56,MIN(Y$6-$G$3,22))&lt;&gt;""),Soja!$E56:INDEX(Soja!$E56:$Z56,MIN(Y$6-$G$3,22))),0)))))</f>
        <v>0</v>
      </c>
      <c r="Z58" s="27" t="n">
        <f aca="false">IF(COUNT(Soja!$E56:$Z56)=0,0,MAX(0,IF((Z$6-$E$3)&lt;1,0,IFERROR(LOOKUP(2,1/(Soja!$E56:INDEX(Soja!$E56:$Z56,MIN(Z$6-$E$3,22))&lt;&gt;""),Soja!$E56:INDEX(Soja!$E56:$Z56,MIN(Z$6-$E$3,22))),0))-IF($G$2,0,IF((Z$6-$G$3)&lt;1,0,IFERROR(LOOKUP(2,1/(Soja!$E56:INDEX(Soja!$E56:$Z56,MIN(Z$6-$G$3,22))&lt;&gt;""),Soja!$E56:INDEX(Soja!$E56:$Z56,MIN(Z$6-$G$3,22))),0)))))</f>
        <v>0</v>
      </c>
      <c r="AA58" s="27" t="n">
        <f aca="false">IF(COUNT(Soja!$E56:$Z56)=0,0,MAX(0,IF((AA$6-$E$3)&lt;1,0,IFERROR(LOOKUP(2,1/(Soja!$E56:INDEX(Soja!$E56:$Z56,MIN(AA$6-$E$3,22))&lt;&gt;""),Soja!$E56:INDEX(Soja!$E56:$Z56,MIN(AA$6-$E$3,22))),0))-IF($G$2,0,IF((AA$6-$G$3)&lt;1,0,IFERROR(LOOKUP(2,1/(Soja!$E56:INDEX(Soja!$E56:$Z56,MIN(AA$6-$G$3,22))&lt;&gt;""),Soja!$E56:INDEX(Soja!$E56:$Z56,MIN(AA$6-$G$3,22))),0)))))</f>
        <v>0</v>
      </c>
      <c r="AB58" s="27" t="n">
        <f aca="false">IF(COUNT(Soja!$E56:$Z56)=0,0,MAX(0,IF((AB$6-$E$3)&lt;1,0,IFERROR(LOOKUP(2,1/(Soja!$E56:INDEX(Soja!$E56:$Z56,MIN(AB$6-$E$3,22))&lt;&gt;""),Soja!$E56:INDEX(Soja!$E56:$Z56,MIN(AB$6-$E$3,22))),0))-IF($G$2,0,IF((AB$6-$G$3)&lt;1,0,IFERROR(LOOKUP(2,1/(Soja!$E56:INDEX(Soja!$E56:$Z56,MIN(AB$6-$G$3,22))&lt;&gt;""),Soja!$E56:INDEX(Soja!$E56:$Z56,MIN(AB$6-$G$3,22))),0)))))</f>
        <v>0</v>
      </c>
      <c r="AC58" s="27" t="n">
        <f aca="false">IF(COUNT(Soja!$E56:$Z56)=0,0,MAX(0,IF((AC$6-$E$3)&lt;1,0,IFERROR(LOOKUP(2,1/(Soja!$E56:INDEX(Soja!$E56:$Z56,MIN(AC$6-$E$3,22))&lt;&gt;""),Soja!$E56:INDEX(Soja!$E56:$Z56,MIN(AC$6-$E$3,22))),0))-IF($G$2,0,IF((AC$6-$G$3)&lt;1,0,IFERROR(LOOKUP(2,1/(Soja!$E56:INDEX(Soja!$E56:$Z56,MIN(AC$6-$G$3,22))&lt;&gt;""),Soja!$E56:INDEX(Soja!$E56:$Z56,MIN(AC$6-$G$3,22))),0)))))</f>
        <v>0</v>
      </c>
      <c r="AD58" s="27" t="n">
        <f aca="false">IF(COUNT(Soja!$E56:$Z56)=0,0,MAX(0,IF((AD$6-$E$3)&lt;1,0,IFERROR(LOOKUP(2,1/(Soja!$E56:INDEX(Soja!$E56:$Z56,MIN(AD$6-$E$3,22))&lt;&gt;""),Soja!$E56:INDEX(Soja!$E56:$Z56,MIN(AD$6-$E$3,22))),0))-IF($G$2,0,IF((AD$6-$G$3)&lt;1,0,IFERROR(LOOKUP(2,1/(Soja!$E56:INDEX(Soja!$E56:$Z56,MIN(AD$6-$G$3,22))&lt;&gt;""),Soja!$E56:INDEX(Soja!$E56:$Z56,MIN(AD$6-$G$3,22))),0)))))</f>
        <v>0</v>
      </c>
      <c r="AE58" s="27" t="n">
        <f aca="false">IF(COUNT(Soja!$E56:$Z56)=0,0,MAX(0,IF((AE$6-$E$3)&lt;1,0,IFERROR(LOOKUP(2,1/(Soja!$E56:INDEX(Soja!$E56:$Z56,MIN(AE$6-$E$3,22))&lt;&gt;""),Soja!$E56:INDEX(Soja!$E56:$Z56,MIN(AE$6-$E$3,22))),0))-IF($G$2,0,IF((AE$6-$G$3)&lt;1,0,IFERROR(LOOKUP(2,1/(Soja!$E56:INDEX(Soja!$E56:$Z56,MIN(AE$6-$G$3,22))&lt;&gt;""),Soja!$E56:INDEX(Soja!$E56:$Z56,MIN(AE$6-$G$3,22))),0)))))</f>
        <v>0</v>
      </c>
      <c r="AF58" s="27" t="n">
        <f aca="false">IF(COUNT(Soja!$E56:$Z56)=0,0,MAX(0,IF((AF$6-$E$3)&lt;1,0,IFERROR(LOOKUP(2,1/(Soja!$E56:INDEX(Soja!$E56:$Z56,MIN(AF$6-$E$3,22))&lt;&gt;""),Soja!$E56:INDEX(Soja!$E56:$Z56,MIN(AF$6-$E$3,22))),0))-IF($G$2,0,IF((AF$6-$G$3)&lt;1,0,IFERROR(LOOKUP(2,1/(Soja!$E56:INDEX(Soja!$E56:$Z56,MIN(AF$6-$G$3,22))&lt;&gt;""),Soja!$E56:INDEX(Soja!$E56:$Z56,MIN(AF$6-$G$3,22))),0)))))</f>
        <v>0</v>
      </c>
      <c r="AG58" s="27" t="n">
        <f aca="false">IF(COUNT(Soja!$E56:$Z56)=0,0,MAX(0,IF((AG$6-$E$3)&lt;1,0,IFERROR(LOOKUP(2,1/(Soja!$E56:INDEX(Soja!$E56:$Z56,MIN(AG$6-$E$3,22))&lt;&gt;""),Soja!$E56:INDEX(Soja!$E56:$Z56,MIN(AG$6-$E$3,22))),0))-IF($G$2,0,IF((AG$6-$G$3)&lt;1,0,IFERROR(LOOKUP(2,1/(Soja!$E56:INDEX(Soja!$E56:$Z56,MIN(AG$6-$G$3,22))&lt;&gt;""),Soja!$E56:INDEX(Soja!$E56:$Z56,MIN(AG$6-$G$3,22))),0)))))</f>
        <v>0</v>
      </c>
      <c r="AH58" s="27" t="n">
        <f aca="false">IF(COUNT(Soja!$E56:$Z56)=0,0,MAX(0,IF((AH$6-$E$3)&lt;1,0,IFERROR(LOOKUP(2,1/(Soja!$E56:INDEX(Soja!$E56:$Z56,MIN(AH$6-$E$3,22))&lt;&gt;""),Soja!$E56:INDEX(Soja!$E56:$Z56,MIN(AH$6-$E$3,22))),0))-IF($G$2,0,IF((AH$6-$G$3)&lt;1,0,IFERROR(LOOKUP(2,1/(Soja!$E56:INDEX(Soja!$E56:$Z56,MIN(AH$6-$G$3,22))&lt;&gt;""),Soja!$E56:INDEX(Soja!$E56:$Z56,MIN(AH$6-$G$3,22))),0)))))</f>
        <v>0</v>
      </c>
      <c r="AI58" s="27" t="n">
        <f aca="false">IF(COUNT(Soja!$E56:$Z56)=0,0,MAX(0,IF((AI$6-$E$3)&lt;1,0,IFERROR(LOOKUP(2,1/(Soja!$E56:INDEX(Soja!$E56:$Z56,MIN(AI$6-$E$3,22))&lt;&gt;""),Soja!$E56:INDEX(Soja!$E56:$Z56,MIN(AI$6-$E$3,22))),0))-IF($G$2,0,IF((AI$6-$G$3)&lt;1,0,IFERROR(LOOKUP(2,1/(Soja!$E56:INDEX(Soja!$E56:$Z56,MIN(AI$6-$G$3,22))&lt;&gt;""),Soja!$E56:INDEX(Soja!$E56:$Z56,MIN(AI$6-$G$3,22))),0)))))</f>
        <v>0</v>
      </c>
      <c r="AJ58" s="27" t="n">
        <f aca="false">IF(COUNT(Soja!$E56:$Z56)=0,0,MAX(0,IF((AJ$6-$E$3)&lt;1,0,IFERROR(LOOKUP(2,1/(Soja!$E56:INDEX(Soja!$E56:$Z56,MIN(AJ$6-$E$3,22))&lt;&gt;""),Soja!$E56:INDEX(Soja!$E56:$Z56,MIN(AJ$6-$E$3,22))),0))-IF($G$2,0,IF((AJ$6-$G$3)&lt;1,0,IFERROR(LOOKUP(2,1/(Soja!$E56:INDEX(Soja!$E56:$Z56,MIN(AJ$6-$G$3,22))&lt;&gt;""),Soja!$E56:INDEX(Soja!$E56:$Z56,MIN(AJ$6-$G$3,22))),0)))))</f>
        <v>0</v>
      </c>
      <c r="AK58" s="27" t="n">
        <f aca="false">IF(COUNT(Soja!$E56:$Z56)=0,0,MAX(0,IF((AK$6-$E$3)&lt;1,0,IFERROR(LOOKUP(2,1/(Soja!$E56:INDEX(Soja!$E56:$Z56,MIN(AK$6-$E$3,22))&lt;&gt;""),Soja!$E56:INDEX(Soja!$E56:$Z56,MIN(AK$6-$E$3,22))),0))-IF($G$2,0,IF((AK$6-$G$3)&lt;1,0,IFERROR(LOOKUP(2,1/(Soja!$E56:INDEX(Soja!$E56:$Z56,MIN(AK$6-$G$3,22))&lt;&gt;""),Soja!$E56:INDEX(Soja!$E56:$Z56,MIN(AK$6-$G$3,22))),0)))))</f>
        <v>0</v>
      </c>
      <c r="AL58" s="27" t="n">
        <f aca="false">IF(COUNT(Soja!$E56:$Z56)=0,0,MAX(0,IF((AL$6-$E$3)&lt;1,0,IFERROR(LOOKUP(2,1/(Soja!$E56:INDEX(Soja!$E56:$Z56,MIN(AL$6-$E$3,22))&lt;&gt;""),Soja!$E56:INDEX(Soja!$E56:$Z56,MIN(AL$6-$E$3,22))),0))-IF($G$2,0,IF((AL$6-$G$3)&lt;1,0,IFERROR(LOOKUP(2,1/(Soja!$E56:INDEX(Soja!$E56:$Z56,MIN(AL$6-$G$3,22))&lt;&gt;""),Soja!$E56:INDEX(Soja!$E56:$Z56,MIN(AL$6-$G$3,22))),0)))))</f>
        <v>0</v>
      </c>
      <c r="AM58" s="27" t="n">
        <f aca="false">IF(COUNT(Soja!$E56:$Z56)=0,0,MAX(0,IF((AM$6-$E$3)&lt;1,0,IFERROR(LOOKUP(2,1/(Soja!$E56:INDEX(Soja!$E56:$Z56,MIN(AM$6-$E$3,22))&lt;&gt;""),Soja!$E56:INDEX(Soja!$E56:$Z56,MIN(AM$6-$E$3,22))),0))-IF($G$2,0,IF((AM$6-$G$3)&lt;1,0,IFERROR(LOOKUP(2,1/(Soja!$E56:INDEX(Soja!$E56:$Z56,MIN(AM$6-$G$3,22))&lt;&gt;""),Soja!$E56:INDEX(Soja!$E56:$Z56,MIN(AM$6-$G$3,22))),0)))))</f>
        <v>0</v>
      </c>
      <c r="AN58" s="27" t="n">
        <f aca="false">IF(COUNT(Soja!$E56:$Z56)=0,0,MAX(0,IF((AN$6-$E$3)&lt;1,0,IFERROR(LOOKUP(2,1/(Soja!$E56:INDEX(Soja!$E56:$Z56,MIN(AN$6-$E$3,22))&lt;&gt;""),Soja!$E56:INDEX(Soja!$E56:$Z56,MIN(AN$6-$E$3,22))),0))-IF($G$2,0,IF((AN$6-$G$3)&lt;1,0,IFERROR(LOOKUP(2,1/(Soja!$E56:INDEX(Soja!$E56:$Z56,MIN(AN$6-$G$3,22))&lt;&gt;""),Soja!$E56:INDEX(Soja!$E56:$Z56,MIN(AN$6-$G$3,22))),0)))))</f>
        <v>0</v>
      </c>
      <c r="AO58" s="27" t="n">
        <f aca="false">IF(COUNT(Soja!$E56:$Z56)=0,0,MAX(0,IF((AO$6-$E$3)&lt;1,0,IFERROR(LOOKUP(2,1/(Soja!$E56:INDEX(Soja!$E56:$Z56,MIN(AO$6-$E$3,22))&lt;&gt;""),Soja!$E56:INDEX(Soja!$E56:$Z56,MIN(AO$6-$E$3,22))),0))-IF($G$2,0,IF((AO$6-$G$3)&lt;1,0,IFERROR(LOOKUP(2,1/(Soja!$E56:INDEX(Soja!$E56:$Z56,MIN(AO$6-$G$3,22))&lt;&gt;""),Soja!$E56:INDEX(Soja!$E56:$Z56,MIN(AO$6-$G$3,22))),0)))))</f>
        <v>0</v>
      </c>
      <c r="AP58" s="27" t="n">
        <f aca="false">IF(COUNT(Soja!$E56:$Z56)=0,0,MAX(0,IF((AP$6-$E$3)&lt;1,0,IFERROR(LOOKUP(2,1/(Soja!$E56:INDEX(Soja!$E56:$Z56,MIN(AP$6-$E$3,22))&lt;&gt;""),Soja!$E56:INDEX(Soja!$E56:$Z56,MIN(AP$6-$E$3,22))),0))-IF($G$2,0,IF((AP$6-$G$3)&lt;1,0,IFERROR(LOOKUP(2,1/(Soja!$E56:INDEX(Soja!$E56:$Z56,MIN(AP$6-$G$3,22))&lt;&gt;""),Soja!$E56:INDEX(Soja!$E56:$Z56,MIN(AP$6-$G$3,22))),0)))))</f>
        <v>0</v>
      </c>
      <c r="AQ58" s="27" t="n">
        <f aca="false">IF(COUNT(Soja!$E56:$Z56)=0,0,MAX(0,IF((AQ$6-$E$3)&lt;1,0,IFERROR(LOOKUP(2,1/(Soja!$E56:INDEX(Soja!$E56:$Z56,MIN(AQ$6-$E$3,22))&lt;&gt;""),Soja!$E56:INDEX(Soja!$E56:$Z56,MIN(AQ$6-$E$3,22))),0))-IF($G$2,0,IF((AQ$6-$G$3)&lt;1,0,IFERROR(LOOKUP(2,1/(Soja!$E56:INDEX(Soja!$E56:$Z56,MIN(AQ$6-$G$3,22))&lt;&gt;""),Soja!$E56:INDEX(Soja!$E56:$Z56,MIN(AQ$6-$G$3,22))),0)))))</f>
        <v>0</v>
      </c>
      <c r="AR58" s="27" t="n">
        <f aca="false">IF(COUNT(Soja!$E56:$Z56)=0,0,MAX(0,IF((AR$6-$E$3)&lt;1,0,IFERROR(LOOKUP(2,1/(Soja!$E56:INDEX(Soja!$E56:$Z56,MIN(AR$6-$E$3,22))&lt;&gt;""),Soja!$E56:INDEX(Soja!$E56:$Z56,MIN(AR$6-$E$3,22))),0))-IF($G$2,0,IF((AR$6-$G$3)&lt;1,0,IFERROR(LOOKUP(2,1/(Soja!$E56:INDEX(Soja!$E56:$Z56,MIN(AR$6-$G$3,22))&lt;&gt;""),Soja!$E56:INDEX(Soja!$E56:$Z56,MIN(AR$6-$G$3,22))),0)))))</f>
        <v>0</v>
      </c>
      <c r="AS58" s="27" t="n">
        <f aca="false">IF(COUNT(Soja!$E56:$Z56)=0,0,MAX(0,IF((AS$6-$E$3)&lt;1,0,IFERROR(LOOKUP(2,1/(Soja!$E56:INDEX(Soja!$E56:$Z56,MIN(AS$6-$E$3,22))&lt;&gt;""),Soja!$E56:INDEX(Soja!$E56:$Z56,MIN(AS$6-$E$3,22))),0))-IF($G$2,0,IF((AS$6-$G$3)&lt;1,0,IFERROR(LOOKUP(2,1/(Soja!$E56:INDEX(Soja!$E56:$Z56,MIN(AS$6-$G$3,22))&lt;&gt;""),Soja!$E56:INDEX(Soja!$E56:$Z56,MIN(AS$6-$G$3,22))),0)))))</f>
        <v>0</v>
      </c>
      <c r="AT58" s="27" t="n">
        <f aca="false">IF(COUNT(Soja!$E56:$Z56)=0,0,MAX(0,IF((AT$6-$E$3)&lt;1,0,IFERROR(LOOKUP(2,1/(Soja!$E56:INDEX(Soja!$E56:$Z56,MIN(AT$6-$E$3,22))&lt;&gt;""),Soja!$E56:INDEX(Soja!$E56:$Z56,MIN(AT$6-$E$3,22))),0))-IF($G$2,0,IF((AT$6-$G$3)&lt;1,0,IFERROR(LOOKUP(2,1/(Soja!$E56:INDEX(Soja!$E56:$Z56,MIN(AT$6-$G$3,22))&lt;&gt;""),Soja!$E56:INDEX(Soja!$E56:$Z56,MIN(AT$6-$G$3,22))),0)))))</f>
        <v>0</v>
      </c>
      <c r="AU58" s="27" t="n">
        <f aca="false">IF(COUNT(Soja!$E56:$Z56)=0,0,MAX(0,IF((AU$6-$E$3)&lt;1,0,IFERROR(LOOKUP(2,1/(Soja!$E56:INDEX(Soja!$E56:$Z56,MIN(AU$6-$E$3,22))&lt;&gt;""),Soja!$E56:INDEX(Soja!$E56:$Z56,MIN(AU$6-$E$3,22))),0))-IF($G$2,0,IF((AU$6-$G$3)&lt;1,0,IFERROR(LOOKUP(2,1/(Soja!$E56:INDEX(Soja!$E56:$Z56,MIN(AU$6-$G$3,22))&lt;&gt;""),Soja!$E56:INDEX(Soja!$E56:$Z56,MIN(AU$6-$G$3,22))),0)))))</f>
        <v>0</v>
      </c>
      <c r="AV58" s="27" t="n">
        <f aca="false">IF(COUNT(Soja!$E56:$Z56)=0,0,MAX(0,IF((AV$6-$E$3)&lt;1,0,IFERROR(LOOKUP(2,1/(Soja!$E56:INDEX(Soja!$E56:$Z56,MIN(AV$6-$E$3,22))&lt;&gt;""),Soja!$E56:INDEX(Soja!$E56:$Z56,MIN(AV$6-$E$3,22))),0))-IF($G$2,0,IF((AV$6-$G$3)&lt;1,0,IFERROR(LOOKUP(2,1/(Soja!$E56:INDEX(Soja!$E56:$Z56,MIN(AV$6-$G$3,22))&lt;&gt;""),Soja!$E56:INDEX(Soja!$E56:$Z56,MIN(AV$6-$G$3,22))),0)))))</f>
        <v>0</v>
      </c>
      <c r="AW58" s="27" t="n">
        <f aca="false">IF(COUNT(Soja!$E56:$Z56)=0,0,MAX(0,IF((AW$6-$E$3)&lt;1,0,IFERROR(LOOKUP(2,1/(Soja!$E56:INDEX(Soja!$E56:$Z56,MIN(AW$6-$E$3,22))&lt;&gt;""),Soja!$E56:INDEX(Soja!$E56:$Z56,MIN(AW$6-$E$3,22))),0))-IF($G$2,0,IF((AW$6-$G$3)&lt;1,0,IFERROR(LOOKUP(2,1/(Soja!$E56:INDEX(Soja!$E56:$Z56,MIN(AW$6-$G$3,22))&lt;&gt;""),Soja!$E56:INDEX(Soja!$E56:$Z56,MIN(AW$6-$G$3,22))),0)))))</f>
        <v>0</v>
      </c>
      <c r="AX58" s="27" t="n">
        <f aca="false">IF(COUNT(Soja!$E56:$Z56)=0,0,MAX(0,IF((AX$6-$E$3)&lt;1,0,IFERROR(LOOKUP(2,1/(Soja!$E56:INDEX(Soja!$E56:$Z56,MIN(AX$6-$E$3,22))&lt;&gt;""),Soja!$E56:INDEX(Soja!$E56:$Z56,MIN(AX$6-$E$3,22))),0))-IF($G$2,0,IF((AX$6-$G$3)&lt;1,0,IFERROR(LOOKUP(2,1/(Soja!$E56:INDEX(Soja!$E56:$Z56,MIN(AX$6-$G$3,22))&lt;&gt;""),Soja!$E56:INDEX(Soja!$E56:$Z56,MIN(AX$6-$G$3,22))),0)))))</f>
        <v>0</v>
      </c>
      <c r="AY58" s="27" t="n">
        <f aca="false">IF(COUNT(Soja!$E56:$Z56)=0,0,MAX(0,IF((AY$6-$E$3)&lt;1,0,IFERROR(LOOKUP(2,1/(Soja!$E56:INDEX(Soja!$E56:$Z56,MIN(AY$6-$E$3,22))&lt;&gt;""),Soja!$E56:INDEX(Soja!$E56:$Z56,MIN(AY$6-$E$3,22))),0))-IF($G$2,0,IF((AY$6-$G$3)&lt;1,0,IFERROR(LOOKUP(2,1/(Soja!$E56:INDEX(Soja!$E56:$Z56,MIN(AY$6-$G$3,22))&lt;&gt;""),Soja!$E56:INDEX(Soja!$E56:$Z56,MIN(AY$6-$G$3,22))),0)))))</f>
        <v>0</v>
      </c>
      <c r="AZ58" s="27" t="n">
        <f aca="false">IF(COUNT(Soja!$E56:$Z56)=0,0,MAX(0,IF((AZ$6-$E$3)&lt;1,0,IFERROR(LOOKUP(2,1/(Soja!$E56:INDEX(Soja!$E56:$Z56,MIN(AZ$6-$E$3,22))&lt;&gt;""),Soja!$E56:INDEX(Soja!$E56:$Z56,MIN(AZ$6-$E$3,22))),0))-IF($G$2,0,IF((AZ$6-$G$3)&lt;1,0,IFERROR(LOOKUP(2,1/(Soja!$E56:INDEX(Soja!$E56:$Z56,MIN(AZ$6-$G$3,22))&lt;&gt;""),Soja!$E56:INDEX(Soja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IF(COUNT(Soja!$E57:$Z57)&gt;0,N(Soja!$D57),0)</f>
        <v>0</v>
      </c>
      <c r="E59" s="27" t="n">
        <f aca="false">IF(COUNT(Soja!$E57:$Z57)=0,0,MAX(0,IF((E$6-$E$3)&lt;1,0,IFERROR(LOOKUP(2,1/(Soja!$E57:INDEX(Soja!$E57:$Z57,MIN(E$6-$E$3,22))&lt;&gt;""),Soja!$E57:INDEX(Soja!$E57:$Z57,MIN(E$6-$E$3,22))),0))-IF($G$2,0,IF((E$6-$G$3)&lt;1,0,IFERROR(LOOKUP(2,1/(Soja!$E57:INDEX(Soja!$E57:$Z57,MIN(E$6-$G$3,22))&lt;&gt;""),Soja!$E57:INDEX(Soja!$E57:$Z57,MIN(E$6-$G$3,22))),0)))))</f>
        <v>0</v>
      </c>
      <c r="F59" s="27" t="n">
        <f aca="false">IF(COUNT(Soja!$E57:$Z57)=0,0,MAX(0,IF((F$6-$E$3)&lt;1,0,IFERROR(LOOKUP(2,1/(Soja!$E57:INDEX(Soja!$E57:$Z57,MIN(F$6-$E$3,22))&lt;&gt;""),Soja!$E57:INDEX(Soja!$E57:$Z57,MIN(F$6-$E$3,22))),0))-IF($G$2,0,IF((F$6-$G$3)&lt;1,0,IFERROR(LOOKUP(2,1/(Soja!$E57:INDEX(Soja!$E57:$Z57,MIN(F$6-$G$3,22))&lt;&gt;""),Soja!$E57:INDEX(Soja!$E57:$Z57,MIN(F$6-$G$3,22))),0)))))</f>
        <v>0</v>
      </c>
      <c r="G59" s="27" t="n">
        <f aca="false">IF(COUNT(Soja!$E57:$Z57)=0,0,MAX(0,IF((G$6-$E$3)&lt;1,0,IFERROR(LOOKUP(2,1/(Soja!$E57:INDEX(Soja!$E57:$Z57,MIN(G$6-$E$3,22))&lt;&gt;""),Soja!$E57:INDEX(Soja!$E57:$Z57,MIN(G$6-$E$3,22))),0))-IF($G$2,0,IF((G$6-$G$3)&lt;1,0,IFERROR(LOOKUP(2,1/(Soja!$E57:INDEX(Soja!$E57:$Z57,MIN(G$6-$G$3,22))&lt;&gt;""),Soja!$E57:INDEX(Soja!$E57:$Z57,MIN(G$6-$G$3,22))),0)))))</f>
        <v>0</v>
      </c>
      <c r="H59" s="27" t="n">
        <f aca="false">IF(COUNT(Soja!$E57:$Z57)=0,0,MAX(0,IF((H$6-$E$3)&lt;1,0,IFERROR(LOOKUP(2,1/(Soja!$E57:INDEX(Soja!$E57:$Z57,MIN(H$6-$E$3,22))&lt;&gt;""),Soja!$E57:INDEX(Soja!$E57:$Z57,MIN(H$6-$E$3,22))),0))-IF($G$2,0,IF((H$6-$G$3)&lt;1,0,IFERROR(LOOKUP(2,1/(Soja!$E57:INDEX(Soja!$E57:$Z57,MIN(H$6-$G$3,22))&lt;&gt;""),Soja!$E57:INDEX(Soja!$E57:$Z57,MIN(H$6-$G$3,22))),0)))))</f>
        <v>0</v>
      </c>
      <c r="I59" s="27" t="n">
        <f aca="false">IF(COUNT(Soja!$E57:$Z57)=0,0,MAX(0,IF((I$6-$E$3)&lt;1,0,IFERROR(LOOKUP(2,1/(Soja!$E57:INDEX(Soja!$E57:$Z57,MIN(I$6-$E$3,22))&lt;&gt;""),Soja!$E57:INDEX(Soja!$E57:$Z57,MIN(I$6-$E$3,22))),0))-IF($G$2,0,IF((I$6-$G$3)&lt;1,0,IFERROR(LOOKUP(2,1/(Soja!$E57:INDEX(Soja!$E57:$Z57,MIN(I$6-$G$3,22))&lt;&gt;""),Soja!$E57:INDEX(Soja!$E57:$Z57,MIN(I$6-$G$3,22))),0)))))</f>
        <v>0</v>
      </c>
      <c r="J59" s="27" t="n">
        <f aca="false">IF(COUNT(Soja!$E57:$Z57)=0,0,MAX(0,IF((J$6-$E$3)&lt;1,0,IFERROR(LOOKUP(2,1/(Soja!$E57:INDEX(Soja!$E57:$Z57,MIN(J$6-$E$3,22))&lt;&gt;""),Soja!$E57:INDEX(Soja!$E57:$Z57,MIN(J$6-$E$3,22))),0))-IF($G$2,0,IF((J$6-$G$3)&lt;1,0,IFERROR(LOOKUP(2,1/(Soja!$E57:INDEX(Soja!$E57:$Z57,MIN(J$6-$G$3,22))&lt;&gt;""),Soja!$E57:INDEX(Soja!$E57:$Z57,MIN(J$6-$G$3,22))),0)))))</f>
        <v>0</v>
      </c>
      <c r="K59" s="27" t="n">
        <f aca="false">IF(COUNT(Soja!$E57:$Z57)=0,0,MAX(0,IF((K$6-$E$3)&lt;1,0,IFERROR(LOOKUP(2,1/(Soja!$E57:INDEX(Soja!$E57:$Z57,MIN(K$6-$E$3,22))&lt;&gt;""),Soja!$E57:INDEX(Soja!$E57:$Z57,MIN(K$6-$E$3,22))),0))-IF($G$2,0,IF((K$6-$G$3)&lt;1,0,IFERROR(LOOKUP(2,1/(Soja!$E57:INDEX(Soja!$E57:$Z57,MIN(K$6-$G$3,22))&lt;&gt;""),Soja!$E57:INDEX(Soja!$E57:$Z57,MIN(K$6-$G$3,22))),0)))))</f>
        <v>0</v>
      </c>
      <c r="L59" s="27" t="n">
        <f aca="false">IF(COUNT(Soja!$E57:$Z57)=0,0,MAX(0,IF((L$6-$E$3)&lt;1,0,IFERROR(LOOKUP(2,1/(Soja!$E57:INDEX(Soja!$E57:$Z57,MIN(L$6-$E$3,22))&lt;&gt;""),Soja!$E57:INDEX(Soja!$E57:$Z57,MIN(L$6-$E$3,22))),0))-IF($G$2,0,IF((L$6-$G$3)&lt;1,0,IFERROR(LOOKUP(2,1/(Soja!$E57:INDEX(Soja!$E57:$Z57,MIN(L$6-$G$3,22))&lt;&gt;""),Soja!$E57:INDEX(Soja!$E57:$Z57,MIN(L$6-$G$3,22))),0)))))</f>
        <v>0</v>
      </c>
      <c r="M59" s="27" t="n">
        <f aca="false">IF(COUNT(Soja!$E57:$Z57)=0,0,MAX(0,IF((M$6-$E$3)&lt;1,0,IFERROR(LOOKUP(2,1/(Soja!$E57:INDEX(Soja!$E57:$Z57,MIN(M$6-$E$3,22))&lt;&gt;""),Soja!$E57:INDEX(Soja!$E57:$Z57,MIN(M$6-$E$3,22))),0))-IF($G$2,0,IF((M$6-$G$3)&lt;1,0,IFERROR(LOOKUP(2,1/(Soja!$E57:INDEX(Soja!$E57:$Z57,MIN(M$6-$G$3,22))&lt;&gt;""),Soja!$E57:INDEX(Soja!$E57:$Z57,MIN(M$6-$G$3,22))),0)))))</f>
        <v>0</v>
      </c>
      <c r="N59" s="27" t="n">
        <f aca="false">IF(COUNT(Soja!$E57:$Z57)=0,0,MAX(0,IF((N$6-$E$3)&lt;1,0,IFERROR(LOOKUP(2,1/(Soja!$E57:INDEX(Soja!$E57:$Z57,MIN(N$6-$E$3,22))&lt;&gt;""),Soja!$E57:INDEX(Soja!$E57:$Z57,MIN(N$6-$E$3,22))),0))-IF($G$2,0,IF((N$6-$G$3)&lt;1,0,IFERROR(LOOKUP(2,1/(Soja!$E57:INDEX(Soja!$E57:$Z57,MIN(N$6-$G$3,22))&lt;&gt;""),Soja!$E57:INDEX(Soja!$E57:$Z57,MIN(N$6-$G$3,22))),0)))))</f>
        <v>0</v>
      </c>
      <c r="O59" s="27" t="n">
        <f aca="false">IF(COUNT(Soja!$E57:$Z57)=0,0,MAX(0,IF((O$6-$E$3)&lt;1,0,IFERROR(LOOKUP(2,1/(Soja!$E57:INDEX(Soja!$E57:$Z57,MIN(O$6-$E$3,22))&lt;&gt;""),Soja!$E57:INDEX(Soja!$E57:$Z57,MIN(O$6-$E$3,22))),0))-IF($G$2,0,IF((O$6-$G$3)&lt;1,0,IFERROR(LOOKUP(2,1/(Soja!$E57:INDEX(Soja!$E57:$Z57,MIN(O$6-$G$3,22))&lt;&gt;""),Soja!$E57:INDEX(Soja!$E57:$Z57,MIN(O$6-$G$3,22))),0)))))</f>
        <v>0</v>
      </c>
      <c r="P59" s="27" t="n">
        <f aca="false">IF(COUNT(Soja!$E57:$Z57)=0,0,MAX(0,IF((P$6-$E$3)&lt;1,0,IFERROR(LOOKUP(2,1/(Soja!$E57:INDEX(Soja!$E57:$Z57,MIN(P$6-$E$3,22))&lt;&gt;""),Soja!$E57:INDEX(Soja!$E57:$Z57,MIN(P$6-$E$3,22))),0))-IF($G$2,0,IF((P$6-$G$3)&lt;1,0,IFERROR(LOOKUP(2,1/(Soja!$E57:INDEX(Soja!$E57:$Z57,MIN(P$6-$G$3,22))&lt;&gt;""),Soja!$E57:INDEX(Soja!$E57:$Z57,MIN(P$6-$G$3,22))),0)))))</f>
        <v>0</v>
      </c>
      <c r="Q59" s="27" t="n">
        <f aca="false">IF(COUNT(Soja!$E57:$Z57)=0,0,MAX(0,IF((Q$6-$E$3)&lt;1,0,IFERROR(LOOKUP(2,1/(Soja!$E57:INDEX(Soja!$E57:$Z57,MIN(Q$6-$E$3,22))&lt;&gt;""),Soja!$E57:INDEX(Soja!$E57:$Z57,MIN(Q$6-$E$3,22))),0))-IF($G$2,0,IF((Q$6-$G$3)&lt;1,0,IFERROR(LOOKUP(2,1/(Soja!$E57:INDEX(Soja!$E57:$Z57,MIN(Q$6-$G$3,22))&lt;&gt;""),Soja!$E57:INDEX(Soja!$E57:$Z57,MIN(Q$6-$G$3,22))),0)))))</f>
        <v>0</v>
      </c>
      <c r="R59" s="27" t="n">
        <f aca="false">IF(COUNT(Soja!$E57:$Z57)=0,0,MAX(0,IF((R$6-$E$3)&lt;1,0,IFERROR(LOOKUP(2,1/(Soja!$E57:INDEX(Soja!$E57:$Z57,MIN(R$6-$E$3,22))&lt;&gt;""),Soja!$E57:INDEX(Soja!$E57:$Z57,MIN(R$6-$E$3,22))),0))-IF($G$2,0,IF((R$6-$G$3)&lt;1,0,IFERROR(LOOKUP(2,1/(Soja!$E57:INDEX(Soja!$E57:$Z57,MIN(R$6-$G$3,22))&lt;&gt;""),Soja!$E57:INDEX(Soja!$E57:$Z57,MIN(R$6-$G$3,22))),0)))))</f>
        <v>0</v>
      </c>
      <c r="S59" s="27" t="n">
        <f aca="false">IF(COUNT(Soja!$E57:$Z57)=0,0,MAX(0,IF((S$6-$E$3)&lt;1,0,IFERROR(LOOKUP(2,1/(Soja!$E57:INDEX(Soja!$E57:$Z57,MIN(S$6-$E$3,22))&lt;&gt;""),Soja!$E57:INDEX(Soja!$E57:$Z57,MIN(S$6-$E$3,22))),0))-IF($G$2,0,IF((S$6-$G$3)&lt;1,0,IFERROR(LOOKUP(2,1/(Soja!$E57:INDEX(Soja!$E57:$Z57,MIN(S$6-$G$3,22))&lt;&gt;""),Soja!$E57:INDEX(Soja!$E57:$Z57,MIN(S$6-$G$3,22))),0)))))</f>
        <v>0</v>
      </c>
      <c r="T59" s="27" t="n">
        <f aca="false">IF(COUNT(Soja!$E57:$Z57)=0,0,MAX(0,IF((T$6-$E$3)&lt;1,0,IFERROR(LOOKUP(2,1/(Soja!$E57:INDEX(Soja!$E57:$Z57,MIN(T$6-$E$3,22))&lt;&gt;""),Soja!$E57:INDEX(Soja!$E57:$Z57,MIN(T$6-$E$3,22))),0))-IF($G$2,0,IF((T$6-$G$3)&lt;1,0,IFERROR(LOOKUP(2,1/(Soja!$E57:INDEX(Soja!$E57:$Z57,MIN(T$6-$G$3,22))&lt;&gt;""),Soja!$E57:INDEX(Soja!$E57:$Z57,MIN(T$6-$G$3,22))),0)))))</f>
        <v>0</v>
      </c>
      <c r="U59" s="27" t="n">
        <f aca="false">IF(COUNT(Soja!$E57:$Z57)=0,0,MAX(0,IF((U$6-$E$3)&lt;1,0,IFERROR(LOOKUP(2,1/(Soja!$E57:INDEX(Soja!$E57:$Z57,MIN(U$6-$E$3,22))&lt;&gt;""),Soja!$E57:INDEX(Soja!$E57:$Z57,MIN(U$6-$E$3,22))),0))-IF($G$2,0,IF((U$6-$G$3)&lt;1,0,IFERROR(LOOKUP(2,1/(Soja!$E57:INDEX(Soja!$E57:$Z57,MIN(U$6-$G$3,22))&lt;&gt;""),Soja!$E57:INDEX(Soja!$E57:$Z57,MIN(U$6-$G$3,22))),0)))))</f>
        <v>0</v>
      </c>
      <c r="V59" s="27" t="n">
        <f aca="false">IF(COUNT(Soja!$E57:$Z57)=0,0,MAX(0,IF((V$6-$E$3)&lt;1,0,IFERROR(LOOKUP(2,1/(Soja!$E57:INDEX(Soja!$E57:$Z57,MIN(V$6-$E$3,22))&lt;&gt;""),Soja!$E57:INDEX(Soja!$E57:$Z57,MIN(V$6-$E$3,22))),0))-IF($G$2,0,IF((V$6-$G$3)&lt;1,0,IFERROR(LOOKUP(2,1/(Soja!$E57:INDEX(Soja!$E57:$Z57,MIN(V$6-$G$3,22))&lt;&gt;""),Soja!$E57:INDEX(Soja!$E57:$Z57,MIN(V$6-$G$3,22))),0)))))</f>
        <v>0</v>
      </c>
      <c r="W59" s="27" t="n">
        <f aca="false">IF(COUNT(Soja!$E57:$Z57)=0,0,MAX(0,IF((W$6-$E$3)&lt;1,0,IFERROR(LOOKUP(2,1/(Soja!$E57:INDEX(Soja!$E57:$Z57,MIN(W$6-$E$3,22))&lt;&gt;""),Soja!$E57:INDEX(Soja!$E57:$Z57,MIN(W$6-$E$3,22))),0))-IF($G$2,0,IF((W$6-$G$3)&lt;1,0,IFERROR(LOOKUP(2,1/(Soja!$E57:INDEX(Soja!$E57:$Z57,MIN(W$6-$G$3,22))&lt;&gt;""),Soja!$E57:INDEX(Soja!$E57:$Z57,MIN(W$6-$G$3,22))),0)))))</f>
        <v>0</v>
      </c>
      <c r="X59" s="27" t="n">
        <f aca="false">IF(COUNT(Soja!$E57:$Z57)=0,0,MAX(0,IF((X$6-$E$3)&lt;1,0,IFERROR(LOOKUP(2,1/(Soja!$E57:INDEX(Soja!$E57:$Z57,MIN(X$6-$E$3,22))&lt;&gt;""),Soja!$E57:INDEX(Soja!$E57:$Z57,MIN(X$6-$E$3,22))),0))-IF($G$2,0,IF((X$6-$G$3)&lt;1,0,IFERROR(LOOKUP(2,1/(Soja!$E57:INDEX(Soja!$E57:$Z57,MIN(X$6-$G$3,22))&lt;&gt;""),Soja!$E57:INDEX(Soja!$E57:$Z57,MIN(X$6-$G$3,22))),0)))))</f>
        <v>0</v>
      </c>
      <c r="Y59" s="27" t="n">
        <f aca="false">IF(COUNT(Soja!$E57:$Z57)=0,0,MAX(0,IF((Y$6-$E$3)&lt;1,0,IFERROR(LOOKUP(2,1/(Soja!$E57:INDEX(Soja!$E57:$Z57,MIN(Y$6-$E$3,22))&lt;&gt;""),Soja!$E57:INDEX(Soja!$E57:$Z57,MIN(Y$6-$E$3,22))),0))-IF($G$2,0,IF((Y$6-$G$3)&lt;1,0,IFERROR(LOOKUP(2,1/(Soja!$E57:INDEX(Soja!$E57:$Z57,MIN(Y$6-$G$3,22))&lt;&gt;""),Soja!$E57:INDEX(Soja!$E57:$Z57,MIN(Y$6-$G$3,22))),0)))))</f>
        <v>0</v>
      </c>
      <c r="Z59" s="27" t="n">
        <f aca="false">IF(COUNT(Soja!$E57:$Z57)=0,0,MAX(0,IF((Z$6-$E$3)&lt;1,0,IFERROR(LOOKUP(2,1/(Soja!$E57:INDEX(Soja!$E57:$Z57,MIN(Z$6-$E$3,22))&lt;&gt;""),Soja!$E57:INDEX(Soja!$E57:$Z57,MIN(Z$6-$E$3,22))),0))-IF($G$2,0,IF((Z$6-$G$3)&lt;1,0,IFERROR(LOOKUP(2,1/(Soja!$E57:INDEX(Soja!$E57:$Z57,MIN(Z$6-$G$3,22))&lt;&gt;""),Soja!$E57:INDEX(Soja!$E57:$Z57,MIN(Z$6-$G$3,22))),0)))))</f>
        <v>0</v>
      </c>
      <c r="AA59" s="27" t="n">
        <f aca="false">IF(COUNT(Soja!$E57:$Z57)=0,0,MAX(0,IF((AA$6-$E$3)&lt;1,0,IFERROR(LOOKUP(2,1/(Soja!$E57:INDEX(Soja!$E57:$Z57,MIN(AA$6-$E$3,22))&lt;&gt;""),Soja!$E57:INDEX(Soja!$E57:$Z57,MIN(AA$6-$E$3,22))),0))-IF($G$2,0,IF((AA$6-$G$3)&lt;1,0,IFERROR(LOOKUP(2,1/(Soja!$E57:INDEX(Soja!$E57:$Z57,MIN(AA$6-$G$3,22))&lt;&gt;""),Soja!$E57:INDEX(Soja!$E57:$Z57,MIN(AA$6-$G$3,22))),0)))))</f>
        <v>0</v>
      </c>
      <c r="AB59" s="27" t="n">
        <f aca="false">IF(COUNT(Soja!$E57:$Z57)=0,0,MAX(0,IF((AB$6-$E$3)&lt;1,0,IFERROR(LOOKUP(2,1/(Soja!$E57:INDEX(Soja!$E57:$Z57,MIN(AB$6-$E$3,22))&lt;&gt;""),Soja!$E57:INDEX(Soja!$E57:$Z57,MIN(AB$6-$E$3,22))),0))-IF($G$2,0,IF((AB$6-$G$3)&lt;1,0,IFERROR(LOOKUP(2,1/(Soja!$E57:INDEX(Soja!$E57:$Z57,MIN(AB$6-$G$3,22))&lt;&gt;""),Soja!$E57:INDEX(Soja!$E57:$Z57,MIN(AB$6-$G$3,22))),0)))))</f>
        <v>0</v>
      </c>
      <c r="AC59" s="27" t="n">
        <f aca="false">IF(COUNT(Soja!$E57:$Z57)=0,0,MAX(0,IF((AC$6-$E$3)&lt;1,0,IFERROR(LOOKUP(2,1/(Soja!$E57:INDEX(Soja!$E57:$Z57,MIN(AC$6-$E$3,22))&lt;&gt;""),Soja!$E57:INDEX(Soja!$E57:$Z57,MIN(AC$6-$E$3,22))),0))-IF($G$2,0,IF((AC$6-$G$3)&lt;1,0,IFERROR(LOOKUP(2,1/(Soja!$E57:INDEX(Soja!$E57:$Z57,MIN(AC$6-$G$3,22))&lt;&gt;""),Soja!$E57:INDEX(Soja!$E57:$Z57,MIN(AC$6-$G$3,22))),0)))))</f>
        <v>0</v>
      </c>
      <c r="AD59" s="27" t="n">
        <f aca="false">IF(COUNT(Soja!$E57:$Z57)=0,0,MAX(0,IF((AD$6-$E$3)&lt;1,0,IFERROR(LOOKUP(2,1/(Soja!$E57:INDEX(Soja!$E57:$Z57,MIN(AD$6-$E$3,22))&lt;&gt;""),Soja!$E57:INDEX(Soja!$E57:$Z57,MIN(AD$6-$E$3,22))),0))-IF($G$2,0,IF((AD$6-$G$3)&lt;1,0,IFERROR(LOOKUP(2,1/(Soja!$E57:INDEX(Soja!$E57:$Z57,MIN(AD$6-$G$3,22))&lt;&gt;""),Soja!$E57:INDEX(Soja!$E57:$Z57,MIN(AD$6-$G$3,22))),0)))))</f>
        <v>0</v>
      </c>
      <c r="AE59" s="27" t="n">
        <f aca="false">IF(COUNT(Soja!$E57:$Z57)=0,0,MAX(0,IF((AE$6-$E$3)&lt;1,0,IFERROR(LOOKUP(2,1/(Soja!$E57:INDEX(Soja!$E57:$Z57,MIN(AE$6-$E$3,22))&lt;&gt;""),Soja!$E57:INDEX(Soja!$E57:$Z57,MIN(AE$6-$E$3,22))),0))-IF($G$2,0,IF((AE$6-$G$3)&lt;1,0,IFERROR(LOOKUP(2,1/(Soja!$E57:INDEX(Soja!$E57:$Z57,MIN(AE$6-$G$3,22))&lt;&gt;""),Soja!$E57:INDEX(Soja!$E57:$Z57,MIN(AE$6-$G$3,22))),0)))))</f>
        <v>0</v>
      </c>
      <c r="AF59" s="27" t="n">
        <f aca="false">IF(COUNT(Soja!$E57:$Z57)=0,0,MAX(0,IF((AF$6-$E$3)&lt;1,0,IFERROR(LOOKUP(2,1/(Soja!$E57:INDEX(Soja!$E57:$Z57,MIN(AF$6-$E$3,22))&lt;&gt;""),Soja!$E57:INDEX(Soja!$E57:$Z57,MIN(AF$6-$E$3,22))),0))-IF($G$2,0,IF((AF$6-$G$3)&lt;1,0,IFERROR(LOOKUP(2,1/(Soja!$E57:INDEX(Soja!$E57:$Z57,MIN(AF$6-$G$3,22))&lt;&gt;""),Soja!$E57:INDEX(Soja!$E57:$Z57,MIN(AF$6-$G$3,22))),0)))))</f>
        <v>0</v>
      </c>
      <c r="AG59" s="27" t="n">
        <f aca="false">IF(COUNT(Soja!$E57:$Z57)=0,0,MAX(0,IF((AG$6-$E$3)&lt;1,0,IFERROR(LOOKUP(2,1/(Soja!$E57:INDEX(Soja!$E57:$Z57,MIN(AG$6-$E$3,22))&lt;&gt;""),Soja!$E57:INDEX(Soja!$E57:$Z57,MIN(AG$6-$E$3,22))),0))-IF($G$2,0,IF((AG$6-$G$3)&lt;1,0,IFERROR(LOOKUP(2,1/(Soja!$E57:INDEX(Soja!$E57:$Z57,MIN(AG$6-$G$3,22))&lt;&gt;""),Soja!$E57:INDEX(Soja!$E57:$Z57,MIN(AG$6-$G$3,22))),0)))))</f>
        <v>0</v>
      </c>
      <c r="AH59" s="27" t="n">
        <f aca="false">IF(COUNT(Soja!$E57:$Z57)=0,0,MAX(0,IF((AH$6-$E$3)&lt;1,0,IFERROR(LOOKUP(2,1/(Soja!$E57:INDEX(Soja!$E57:$Z57,MIN(AH$6-$E$3,22))&lt;&gt;""),Soja!$E57:INDEX(Soja!$E57:$Z57,MIN(AH$6-$E$3,22))),0))-IF($G$2,0,IF((AH$6-$G$3)&lt;1,0,IFERROR(LOOKUP(2,1/(Soja!$E57:INDEX(Soja!$E57:$Z57,MIN(AH$6-$G$3,22))&lt;&gt;""),Soja!$E57:INDEX(Soja!$E57:$Z57,MIN(AH$6-$G$3,22))),0)))))</f>
        <v>0</v>
      </c>
      <c r="AI59" s="27" t="n">
        <f aca="false">IF(COUNT(Soja!$E57:$Z57)=0,0,MAX(0,IF((AI$6-$E$3)&lt;1,0,IFERROR(LOOKUP(2,1/(Soja!$E57:INDEX(Soja!$E57:$Z57,MIN(AI$6-$E$3,22))&lt;&gt;""),Soja!$E57:INDEX(Soja!$E57:$Z57,MIN(AI$6-$E$3,22))),0))-IF($G$2,0,IF((AI$6-$G$3)&lt;1,0,IFERROR(LOOKUP(2,1/(Soja!$E57:INDEX(Soja!$E57:$Z57,MIN(AI$6-$G$3,22))&lt;&gt;""),Soja!$E57:INDEX(Soja!$E57:$Z57,MIN(AI$6-$G$3,22))),0)))))</f>
        <v>0</v>
      </c>
      <c r="AJ59" s="27" t="n">
        <f aca="false">IF(COUNT(Soja!$E57:$Z57)=0,0,MAX(0,IF((AJ$6-$E$3)&lt;1,0,IFERROR(LOOKUP(2,1/(Soja!$E57:INDEX(Soja!$E57:$Z57,MIN(AJ$6-$E$3,22))&lt;&gt;""),Soja!$E57:INDEX(Soja!$E57:$Z57,MIN(AJ$6-$E$3,22))),0))-IF($G$2,0,IF((AJ$6-$G$3)&lt;1,0,IFERROR(LOOKUP(2,1/(Soja!$E57:INDEX(Soja!$E57:$Z57,MIN(AJ$6-$G$3,22))&lt;&gt;""),Soja!$E57:INDEX(Soja!$E57:$Z57,MIN(AJ$6-$G$3,22))),0)))))</f>
        <v>0</v>
      </c>
      <c r="AK59" s="27" t="n">
        <f aca="false">IF(COUNT(Soja!$E57:$Z57)=0,0,MAX(0,IF((AK$6-$E$3)&lt;1,0,IFERROR(LOOKUP(2,1/(Soja!$E57:INDEX(Soja!$E57:$Z57,MIN(AK$6-$E$3,22))&lt;&gt;""),Soja!$E57:INDEX(Soja!$E57:$Z57,MIN(AK$6-$E$3,22))),0))-IF($G$2,0,IF((AK$6-$G$3)&lt;1,0,IFERROR(LOOKUP(2,1/(Soja!$E57:INDEX(Soja!$E57:$Z57,MIN(AK$6-$G$3,22))&lt;&gt;""),Soja!$E57:INDEX(Soja!$E57:$Z57,MIN(AK$6-$G$3,22))),0)))))</f>
        <v>0</v>
      </c>
      <c r="AL59" s="27" t="n">
        <f aca="false">IF(COUNT(Soja!$E57:$Z57)=0,0,MAX(0,IF((AL$6-$E$3)&lt;1,0,IFERROR(LOOKUP(2,1/(Soja!$E57:INDEX(Soja!$E57:$Z57,MIN(AL$6-$E$3,22))&lt;&gt;""),Soja!$E57:INDEX(Soja!$E57:$Z57,MIN(AL$6-$E$3,22))),0))-IF($G$2,0,IF((AL$6-$G$3)&lt;1,0,IFERROR(LOOKUP(2,1/(Soja!$E57:INDEX(Soja!$E57:$Z57,MIN(AL$6-$G$3,22))&lt;&gt;""),Soja!$E57:INDEX(Soja!$E57:$Z57,MIN(AL$6-$G$3,22))),0)))))</f>
        <v>0</v>
      </c>
      <c r="AM59" s="27" t="n">
        <f aca="false">IF(COUNT(Soja!$E57:$Z57)=0,0,MAX(0,IF((AM$6-$E$3)&lt;1,0,IFERROR(LOOKUP(2,1/(Soja!$E57:INDEX(Soja!$E57:$Z57,MIN(AM$6-$E$3,22))&lt;&gt;""),Soja!$E57:INDEX(Soja!$E57:$Z57,MIN(AM$6-$E$3,22))),0))-IF($G$2,0,IF((AM$6-$G$3)&lt;1,0,IFERROR(LOOKUP(2,1/(Soja!$E57:INDEX(Soja!$E57:$Z57,MIN(AM$6-$G$3,22))&lt;&gt;""),Soja!$E57:INDEX(Soja!$E57:$Z57,MIN(AM$6-$G$3,22))),0)))))</f>
        <v>0</v>
      </c>
      <c r="AN59" s="27" t="n">
        <f aca="false">IF(COUNT(Soja!$E57:$Z57)=0,0,MAX(0,IF((AN$6-$E$3)&lt;1,0,IFERROR(LOOKUP(2,1/(Soja!$E57:INDEX(Soja!$E57:$Z57,MIN(AN$6-$E$3,22))&lt;&gt;""),Soja!$E57:INDEX(Soja!$E57:$Z57,MIN(AN$6-$E$3,22))),0))-IF($G$2,0,IF((AN$6-$G$3)&lt;1,0,IFERROR(LOOKUP(2,1/(Soja!$E57:INDEX(Soja!$E57:$Z57,MIN(AN$6-$G$3,22))&lt;&gt;""),Soja!$E57:INDEX(Soja!$E57:$Z57,MIN(AN$6-$G$3,22))),0)))))</f>
        <v>0</v>
      </c>
      <c r="AO59" s="27" t="n">
        <f aca="false">IF(COUNT(Soja!$E57:$Z57)=0,0,MAX(0,IF((AO$6-$E$3)&lt;1,0,IFERROR(LOOKUP(2,1/(Soja!$E57:INDEX(Soja!$E57:$Z57,MIN(AO$6-$E$3,22))&lt;&gt;""),Soja!$E57:INDEX(Soja!$E57:$Z57,MIN(AO$6-$E$3,22))),0))-IF($G$2,0,IF((AO$6-$G$3)&lt;1,0,IFERROR(LOOKUP(2,1/(Soja!$E57:INDEX(Soja!$E57:$Z57,MIN(AO$6-$G$3,22))&lt;&gt;""),Soja!$E57:INDEX(Soja!$E57:$Z57,MIN(AO$6-$G$3,22))),0)))))</f>
        <v>0</v>
      </c>
      <c r="AP59" s="27" t="n">
        <f aca="false">IF(COUNT(Soja!$E57:$Z57)=0,0,MAX(0,IF((AP$6-$E$3)&lt;1,0,IFERROR(LOOKUP(2,1/(Soja!$E57:INDEX(Soja!$E57:$Z57,MIN(AP$6-$E$3,22))&lt;&gt;""),Soja!$E57:INDEX(Soja!$E57:$Z57,MIN(AP$6-$E$3,22))),0))-IF($G$2,0,IF((AP$6-$G$3)&lt;1,0,IFERROR(LOOKUP(2,1/(Soja!$E57:INDEX(Soja!$E57:$Z57,MIN(AP$6-$G$3,22))&lt;&gt;""),Soja!$E57:INDEX(Soja!$E57:$Z57,MIN(AP$6-$G$3,22))),0)))))</f>
        <v>0</v>
      </c>
      <c r="AQ59" s="27" t="n">
        <f aca="false">IF(COUNT(Soja!$E57:$Z57)=0,0,MAX(0,IF((AQ$6-$E$3)&lt;1,0,IFERROR(LOOKUP(2,1/(Soja!$E57:INDEX(Soja!$E57:$Z57,MIN(AQ$6-$E$3,22))&lt;&gt;""),Soja!$E57:INDEX(Soja!$E57:$Z57,MIN(AQ$6-$E$3,22))),0))-IF($G$2,0,IF((AQ$6-$G$3)&lt;1,0,IFERROR(LOOKUP(2,1/(Soja!$E57:INDEX(Soja!$E57:$Z57,MIN(AQ$6-$G$3,22))&lt;&gt;""),Soja!$E57:INDEX(Soja!$E57:$Z57,MIN(AQ$6-$G$3,22))),0)))))</f>
        <v>0</v>
      </c>
      <c r="AR59" s="27" t="n">
        <f aca="false">IF(COUNT(Soja!$E57:$Z57)=0,0,MAX(0,IF((AR$6-$E$3)&lt;1,0,IFERROR(LOOKUP(2,1/(Soja!$E57:INDEX(Soja!$E57:$Z57,MIN(AR$6-$E$3,22))&lt;&gt;""),Soja!$E57:INDEX(Soja!$E57:$Z57,MIN(AR$6-$E$3,22))),0))-IF($G$2,0,IF((AR$6-$G$3)&lt;1,0,IFERROR(LOOKUP(2,1/(Soja!$E57:INDEX(Soja!$E57:$Z57,MIN(AR$6-$G$3,22))&lt;&gt;""),Soja!$E57:INDEX(Soja!$E57:$Z57,MIN(AR$6-$G$3,22))),0)))))</f>
        <v>0</v>
      </c>
      <c r="AS59" s="27" t="n">
        <f aca="false">IF(COUNT(Soja!$E57:$Z57)=0,0,MAX(0,IF((AS$6-$E$3)&lt;1,0,IFERROR(LOOKUP(2,1/(Soja!$E57:INDEX(Soja!$E57:$Z57,MIN(AS$6-$E$3,22))&lt;&gt;""),Soja!$E57:INDEX(Soja!$E57:$Z57,MIN(AS$6-$E$3,22))),0))-IF($G$2,0,IF((AS$6-$G$3)&lt;1,0,IFERROR(LOOKUP(2,1/(Soja!$E57:INDEX(Soja!$E57:$Z57,MIN(AS$6-$G$3,22))&lt;&gt;""),Soja!$E57:INDEX(Soja!$E57:$Z57,MIN(AS$6-$G$3,22))),0)))))</f>
        <v>0</v>
      </c>
      <c r="AT59" s="27" t="n">
        <f aca="false">IF(COUNT(Soja!$E57:$Z57)=0,0,MAX(0,IF((AT$6-$E$3)&lt;1,0,IFERROR(LOOKUP(2,1/(Soja!$E57:INDEX(Soja!$E57:$Z57,MIN(AT$6-$E$3,22))&lt;&gt;""),Soja!$E57:INDEX(Soja!$E57:$Z57,MIN(AT$6-$E$3,22))),0))-IF($G$2,0,IF((AT$6-$G$3)&lt;1,0,IFERROR(LOOKUP(2,1/(Soja!$E57:INDEX(Soja!$E57:$Z57,MIN(AT$6-$G$3,22))&lt;&gt;""),Soja!$E57:INDEX(Soja!$E57:$Z57,MIN(AT$6-$G$3,22))),0)))))</f>
        <v>0</v>
      </c>
      <c r="AU59" s="27" t="n">
        <f aca="false">IF(COUNT(Soja!$E57:$Z57)=0,0,MAX(0,IF((AU$6-$E$3)&lt;1,0,IFERROR(LOOKUP(2,1/(Soja!$E57:INDEX(Soja!$E57:$Z57,MIN(AU$6-$E$3,22))&lt;&gt;""),Soja!$E57:INDEX(Soja!$E57:$Z57,MIN(AU$6-$E$3,22))),0))-IF($G$2,0,IF((AU$6-$G$3)&lt;1,0,IFERROR(LOOKUP(2,1/(Soja!$E57:INDEX(Soja!$E57:$Z57,MIN(AU$6-$G$3,22))&lt;&gt;""),Soja!$E57:INDEX(Soja!$E57:$Z57,MIN(AU$6-$G$3,22))),0)))))</f>
        <v>0</v>
      </c>
      <c r="AV59" s="27" t="n">
        <f aca="false">IF(COUNT(Soja!$E57:$Z57)=0,0,MAX(0,IF((AV$6-$E$3)&lt;1,0,IFERROR(LOOKUP(2,1/(Soja!$E57:INDEX(Soja!$E57:$Z57,MIN(AV$6-$E$3,22))&lt;&gt;""),Soja!$E57:INDEX(Soja!$E57:$Z57,MIN(AV$6-$E$3,22))),0))-IF($G$2,0,IF((AV$6-$G$3)&lt;1,0,IFERROR(LOOKUP(2,1/(Soja!$E57:INDEX(Soja!$E57:$Z57,MIN(AV$6-$G$3,22))&lt;&gt;""),Soja!$E57:INDEX(Soja!$E57:$Z57,MIN(AV$6-$G$3,22))),0)))))</f>
        <v>0</v>
      </c>
      <c r="AW59" s="27" t="n">
        <f aca="false">IF(COUNT(Soja!$E57:$Z57)=0,0,MAX(0,IF((AW$6-$E$3)&lt;1,0,IFERROR(LOOKUP(2,1/(Soja!$E57:INDEX(Soja!$E57:$Z57,MIN(AW$6-$E$3,22))&lt;&gt;""),Soja!$E57:INDEX(Soja!$E57:$Z57,MIN(AW$6-$E$3,22))),0))-IF($G$2,0,IF((AW$6-$G$3)&lt;1,0,IFERROR(LOOKUP(2,1/(Soja!$E57:INDEX(Soja!$E57:$Z57,MIN(AW$6-$G$3,22))&lt;&gt;""),Soja!$E57:INDEX(Soja!$E57:$Z57,MIN(AW$6-$G$3,22))),0)))))</f>
        <v>0</v>
      </c>
      <c r="AX59" s="27" t="n">
        <f aca="false">IF(COUNT(Soja!$E57:$Z57)=0,0,MAX(0,IF((AX$6-$E$3)&lt;1,0,IFERROR(LOOKUP(2,1/(Soja!$E57:INDEX(Soja!$E57:$Z57,MIN(AX$6-$E$3,22))&lt;&gt;""),Soja!$E57:INDEX(Soja!$E57:$Z57,MIN(AX$6-$E$3,22))),0))-IF($G$2,0,IF((AX$6-$G$3)&lt;1,0,IFERROR(LOOKUP(2,1/(Soja!$E57:INDEX(Soja!$E57:$Z57,MIN(AX$6-$G$3,22))&lt;&gt;""),Soja!$E57:INDEX(Soja!$E57:$Z57,MIN(AX$6-$G$3,22))),0)))))</f>
        <v>0</v>
      </c>
      <c r="AY59" s="27" t="n">
        <f aca="false">IF(COUNT(Soja!$E57:$Z57)=0,0,MAX(0,IF((AY$6-$E$3)&lt;1,0,IFERROR(LOOKUP(2,1/(Soja!$E57:INDEX(Soja!$E57:$Z57,MIN(AY$6-$E$3,22))&lt;&gt;""),Soja!$E57:INDEX(Soja!$E57:$Z57,MIN(AY$6-$E$3,22))),0))-IF($G$2,0,IF((AY$6-$G$3)&lt;1,0,IFERROR(LOOKUP(2,1/(Soja!$E57:INDEX(Soja!$E57:$Z57,MIN(AY$6-$G$3,22))&lt;&gt;""),Soja!$E57:INDEX(Soja!$E57:$Z57,MIN(AY$6-$G$3,22))),0)))))</f>
        <v>0</v>
      </c>
      <c r="AZ59" s="27" t="n">
        <f aca="false">IF(COUNT(Soja!$E57:$Z57)=0,0,MAX(0,IF((AZ$6-$E$3)&lt;1,0,IFERROR(LOOKUP(2,1/(Soja!$E57:INDEX(Soja!$E57:$Z57,MIN(AZ$6-$E$3,22))&lt;&gt;""),Soja!$E57:INDEX(Soja!$E57:$Z57,MIN(AZ$6-$E$3,22))),0))-IF($G$2,0,IF((AZ$6-$G$3)&lt;1,0,IFERROR(LOOKUP(2,1/(Soja!$E57:INDEX(Soja!$E57:$Z57,MIN(AZ$6-$G$3,22))&lt;&gt;""),Soja!$E57:INDEX(Soja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IF(COUNT(Soja!$E58:$Z58)&gt;0,N(Soja!$D58),0)</f>
        <v>0</v>
      </c>
      <c r="E60" s="27" t="n">
        <f aca="false">IF(COUNT(Soja!$E58:$Z58)=0,0,MAX(0,IF((E$6-$E$3)&lt;1,0,IFERROR(LOOKUP(2,1/(Soja!$E58:INDEX(Soja!$E58:$Z58,MIN(E$6-$E$3,22))&lt;&gt;""),Soja!$E58:INDEX(Soja!$E58:$Z58,MIN(E$6-$E$3,22))),0))-IF($G$2,0,IF((E$6-$G$3)&lt;1,0,IFERROR(LOOKUP(2,1/(Soja!$E58:INDEX(Soja!$E58:$Z58,MIN(E$6-$G$3,22))&lt;&gt;""),Soja!$E58:INDEX(Soja!$E58:$Z58,MIN(E$6-$G$3,22))),0)))))</f>
        <v>0</v>
      </c>
      <c r="F60" s="27" t="n">
        <f aca="false">IF(COUNT(Soja!$E58:$Z58)=0,0,MAX(0,IF((F$6-$E$3)&lt;1,0,IFERROR(LOOKUP(2,1/(Soja!$E58:INDEX(Soja!$E58:$Z58,MIN(F$6-$E$3,22))&lt;&gt;""),Soja!$E58:INDEX(Soja!$E58:$Z58,MIN(F$6-$E$3,22))),0))-IF($G$2,0,IF((F$6-$G$3)&lt;1,0,IFERROR(LOOKUP(2,1/(Soja!$E58:INDEX(Soja!$E58:$Z58,MIN(F$6-$G$3,22))&lt;&gt;""),Soja!$E58:INDEX(Soja!$E58:$Z58,MIN(F$6-$G$3,22))),0)))))</f>
        <v>0</v>
      </c>
      <c r="G60" s="27" t="n">
        <f aca="false">IF(COUNT(Soja!$E58:$Z58)=0,0,MAX(0,IF((G$6-$E$3)&lt;1,0,IFERROR(LOOKUP(2,1/(Soja!$E58:INDEX(Soja!$E58:$Z58,MIN(G$6-$E$3,22))&lt;&gt;""),Soja!$E58:INDEX(Soja!$E58:$Z58,MIN(G$6-$E$3,22))),0))-IF($G$2,0,IF((G$6-$G$3)&lt;1,0,IFERROR(LOOKUP(2,1/(Soja!$E58:INDEX(Soja!$E58:$Z58,MIN(G$6-$G$3,22))&lt;&gt;""),Soja!$E58:INDEX(Soja!$E58:$Z58,MIN(G$6-$G$3,22))),0)))))</f>
        <v>0</v>
      </c>
      <c r="H60" s="27" t="n">
        <f aca="false">IF(COUNT(Soja!$E58:$Z58)=0,0,MAX(0,IF((H$6-$E$3)&lt;1,0,IFERROR(LOOKUP(2,1/(Soja!$E58:INDEX(Soja!$E58:$Z58,MIN(H$6-$E$3,22))&lt;&gt;""),Soja!$E58:INDEX(Soja!$E58:$Z58,MIN(H$6-$E$3,22))),0))-IF($G$2,0,IF((H$6-$G$3)&lt;1,0,IFERROR(LOOKUP(2,1/(Soja!$E58:INDEX(Soja!$E58:$Z58,MIN(H$6-$G$3,22))&lt;&gt;""),Soja!$E58:INDEX(Soja!$E58:$Z58,MIN(H$6-$G$3,22))),0)))))</f>
        <v>0</v>
      </c>
      <c r="I60" s="27" t="n">
        <f aca="false">IF(COUNT(Soja!$E58:$Z58)=0,0,MAX(0,IF((I$6-$E$3)&lt;1,0,IFERROR(LOOKUP(2,1/(Soja!$E58:INDEX(Soja!$E58:$Z58,MIN(I$6-$E$3,22))&lt;&gt;""),Soja!$E58:INDEX(Soja!$E58:$Z58,MIN(I$6-$E$3,22))),0))-IF($G$2,0,IF((I$6-$G$3)&lt;1,0,IFERROR(LOOKUP(2,1/(Soja!$E58:INDEX(Soja!$E58:$Z58,MIN(I$6-$G$3,22))&lt;&gt;""),Soja!$E58:INDEX(Soja!$E58:$Z58,MIN(I$6-$G$3,22))),0)))))</f>
        <v>0</v>
      </c>
      <c r="J60" s="27" t="n">
        <f aca="false">IF(COUNT(Soja!$E58:$Z58)=0,0,MAX(0,IF((J$6-$E$3)&lt;1,0,IFERROR(LOOKUP(2,1/(Soja!$E58:INDEX(Soja!$E58:$Z58,MIN(J$6-$E$3,22))&lt;&gt;""),Soja!$E58:INDEX(Soja!$E58:$Z58,MIN(J$6-$E$3,22))),0))-IF($G$2,0,IF((J$6-$G$3)&lt;1,0,IFERROR(LOOKUP(2,1/(Soja!$E58:INDEX(Soja!$E58:$Z58,MIN(J$6-$G$3,22))&lt;&gt;""),Soja!$E58:INDEX(Soja!$E58:$Z58,MIN(J$6-$G$3,22))),0)))))</f>
        <v>0</v>
      </c>
      <c r="K60" s="27" t="n">
        <f aca="false">IF(COUNT(Soja!$E58:$Z58)=0,0,MAX(0,IF((K$6-$E$3)&lt;1,0,IFERROR(LOOKUP(2,1/(Soja!$E58:INDEX(Soja!$E58:$Z58,MIN(K$6-$E$3,22))&lt;&gt;""),Soja!$E58:INDEX(Soja!$E58:$Z58,MIN(K$6-$E$3,22))),0))-IF($G$2,0,IF((K$6-$G$3)&lt;1,0,IFERROR(LOOKUP(2,1/(Soja!$E58:INDEX(Soja!$E58:$Z58,MIN(K$6-$G$3,22))&lt;&gt;""),Soja!$E58:INDEX(Soja!$E58:$Z58,MIN(K$6-$G$3,22))),0)))))</f>
        <v>0</v>
      </c>
      <c r="L60" s="27" t="n">
        <f aca="false">IF(COUNT(Soja!$E58:$Z58)=0,0,MAX(0,IF((L$6-$E$3)&lt;1,0,IFERROR(LOOKUP(2,1/(Soja!$E58:INDEX(Soja!$E58:$Z58,MIN(L$6-$E$3,22))&lt;&gt;""),Soja!$E58:INDEX(Soja!$E58:$Z58,MIN(L$6-$E$3,22))),0))-IF($G$2,0,IF((L$6-$G$3)&lt;1,0,IFERROR(LOOKUP(2,1/(Soja!$E58:INDEX(Soja!$E58:$Z58,MIN(L$6-$G$3,22))&lt;&gt;""),Soja!$E58:INDEX(Soja!$E58:$Z58,MIN(L$6-$G$3,22))),0)))))</f>
        <v>0</v>
      </c>
      <c r="M60" s="27" t="n">
        <f aca="false">IF(COUNT(Soja!$E58:$Z58)=0,0,MAX(0,IF((M$6-$E$3)&lt;1,0,IFERROR(LOOKUP(2,1/(Soja!$E58:INDEX(Soja!$E58:$Z58,MIN(M$6-$E$3,22))&lt;&gt;""),Soja!$E58:INDEX(Soja!$E58:$Z58,MIN(M$6-$E$3,22))),0))-IF($G$2,0,IF((M$6-$G$3)&lt;1,0,IFERROR(LOOKUP(2,1/(Soja!$E58:INDEX(Soja!$E58:$Z58,MIN(M$6-$G$3,22))&lt;&gt;""),Soja!$E58:INDEX(Soja!$E58:$Z58,MIN(M$6-$G$3,22))),0)))))</f>
        <v>0</v>
      </c>
      <c r="N60" s="27" t="n">
        <f aca="false">IF(COUNT(Soja!$E58:$Z58)=0,0,MAX(0,IF((N$6-$E$3)&lt;1,0,IFERROR(LOOKUP(2,1/(Soja!$E58:INDEX(Soja!$E58:$Z58,MIN(N$6-$E$3,22))&lt;&gt;""),Soja!$E58:INDEX(Soja!$E58:$Z58,MIN(N$6-$E$3,22))),0))-IF($G$2,0,IF((N$6-$G$3)&lt;1,0,IFERROR(LOOKUP(2,1/(Soja!$E58:INDEX(Soja!$E58:$Z58,MIN(N$6-$G$3,22))&lt;&gt;""),Soja!$E58:INDEX(Soja!$E58:$Z58,MIN(N$6-$G$3,22))),0)))))</f>
        <v>0</v>
      </c>
      <c r="O60" s="27" t="n">
        <f aca="false">IF(COUNT(Soja!$E58:$Z58)=0,0,MAX(0,IF((O$6-$E$3)&lt;1,0,IFERROR(LOOKUP(2,1/(Soja!$E58:INDEX(Soja!$E58:$Z58,MIN(O$6-$E$3,22))&lt;&gt;""),Soja!$E58:INDEX(Soja!$E58:$Z58,MIN(O$6-$E$3,22))),0))-IF($G$2,0,IF((O$6-$G$3)&lt;1,0,IFERROR(LOOKUP(2,1/(Soja!$E58:INDEX(Soja!$E58:$Z58,MIN(O$6-$G$3,22))&lt;&gt;""),Soja!$E58:INDEX(Soja!$E58:$Z58,MIN(O$6-$G$3,22))),0)))))</f>
        <v>0</v>
      </c>
      <c r="P60" s="27" t="n">
        <f aca="false">IF(COUNT(Soja!$E58:$Z58)=0,0,MAX(0,IF((P$6-$E$3)&lt;1,0,IFERROR(LOOKUP(2,1/(Soja!$E58:INDEX(Soja!$E58:$Z58,MIN(P$6-$E$3,22))&lt;&gt;""),Soja!$E58:INDEX(Soja!$E58:$Z58,MIN(P$6-$E$3,22))),0))-IF($G$2,0,IF((P$6-$G$3)&lt;1,0,IFERROR(LOOKUP(2,1/(Soja!$E58:INDEX(Soja!$E58:$Z58,MIN(P$6-$G$3,22))&lt;&gt;""),Soja!$E58:INDEX(Soja!$E58:$Z58,MIN(P$6-$G$3,22))),0)))))</f>
        <v>0</v>
      </c>
      <c r="Q60" s="27" t="n">
        <f aca="false">IF(COUNT(Soja!$E58:$Z58)=0,0,MAX(0,IF((Q$6-$E$3)&lt;1,0,IFERROR(LOOKUP(2,1/(Soja!$E58:INDEX(Soja!$E58:$Z58,MIN(Q$6-$E$3,22))&lt;&gt;""),Soja!$E58:INDEX(Soja!$E58:$Z58,MIN(Q$6-$E$3,22))),0))-IF($G$2,0,IF((Q$6-$G$3)&lt;1,0,IFERROR(LOOKUP(2,1/(Soja!$E58:INDEX(Soja!$E58:$Z58,MIN(Q$6-$G$3,22))&lt;&gt;""),Soja!$E58:INDEX(Soja!$E58:$Z58,MIN(Q$6-$G$3,22))),0)))))</f>
        <v>0</v>
      </c>
      <c r="R60" s="27" t="n">
        <f aca="false">IF(COUNT(Soja!$E58:$Z58)=0,0,MAX(0,IF((R$6-$E$3)&lt;1,0,IFERROR(LOOKUP(2,1/(Soja!$E58:INDEX(Soja!$E58:$Z58,MIN(R$6-$E$3,22))&lt;&gt;""),Soja!$E58:INDEX(Soja!$E58:$Z58,MIN(R$6-$E$3,22))),0))-IF($G$2,0,IF((R$6-$G$3)&lt;1,0,IFERROR(LOOKUP(2,1/(Soja!$E58:INDEX(Soja!$E58:$Z58,MIN(R$6-$G$3,22))&lt;&gt;""),Soja!$E58:INDEX(Soja!$E58:$Z58,MIN(R$6-$G$3,22))),0)))))</f>
        <v>0</v>
      </c>
      <c r="S60" s="27" t="n">
        <f aca="false">IF(COUNT(Soja!$E58:$Z58)=0,0,MAX(0,IF((S$6-$E$3)&lt;1,0,IFERROR(LOOKUP(2,1/(Soja!$E58:INDEX(Soja!$E58:$Z58,MIN(S$6-$E$3,22))&lt;&gt;""),Soja!$E58:INDEX(Soja!$E58:$Z58,MIN(S$6-$E$3,22))),0))-IF($G$2,0,IF((S$6-$G$3)&lt;1,0,IFERROR(LOOKUP(2,1/(Soja!$E58:INDEX(Soja!$E58:$Z58,MIN(S$6-$G$3,22))&lt;&gt;""),Soja!$E58:INDEX(Soja!$E58:$Z58,MIN(S$6-$G$3,22))),0)))))</f>
        <v>0</v>
      </c>
      <c r="T60" s="27" t="n">
        <f aca="false">IF(COUNT(Soja!$E58:$Z58)=0,0,MAX(0,IF((T$6-$E$3)&lt;1,0,IFERROR(LOOKUP(2,1/(Soja!$E58:INDEX(Soja!$E58:$Z58,MIN(T$6-$E$3,22))&lt;&gt;""),Soja!$E58:INDEX(Soja!$E58:$Z58,MIN(T$6-$E$3,22))),0))-IF($G$2,0,IF((T$6-$G$3)&lt;1,0,IFERROR(LOOKUP(2,1/(Soja!$E58:INDEX(Soja!$E58:$Z58,MIN(T$6-$G$3,22))&lt;&gt;""),Soja!$E58:INDEX(Soja!$E58:$Z58,MIN(T$6-$G$3,22))),0)))))</f>
        <v>0</v>
      </c>
      <c r="U60" s="27" t="n">
        <f aca="false">IF(COUNT(Soja!$E58:$Z58)=0,0,MAX(0,IF((U$6-$E$3)&lt;1,0,IFERROR(LOOKUP(2,1/(Soja!$E58:INDEX(Soja!$E58:$Z58,MIN(U$6-$E$3,22))&lt;&gt;""),Soja!$E58:INDEX(Soja!$E58:$Z58,MIN(U$6-$E$3,22))),0))-IF($G$2,0,IF((U$6-$G$3)&lt;1,0,IFERROR(LOOKUP(2,1/(Soja!$E58:INDEX(Soja!$E58:$Z58,MIN(U$6-$G$3,22))&lt;&gt;""),Soja!$E58:INDEX(Soja!$E58:$Z58,MIN(U$6-$G$3,22))),0)))))</f>
        <v>0</v>
      </c>
      <c r="V60" s="27" t="n">
        <f aca="false">IF(COUNT(Soja!$E58:$Z58)=0,0,MAX(0,IF((V$6-$E$3)&lt;1,0,IFERROR(LOOKUP(2,1/(Soja!$E58:INDEX(Soja!$E58:$Z58,MIN(V$6-$E$3,22))&lt;&gt;""),Soja!$E58:INDEX(Soja!$E58:$Z58,MIN(V$6-$E$3,22))),0))-IF($G$2,0,IF((V$6-$G$3)&lt;1,0,IFERROR(LOOKUP(2,1/(Soja!$E58:INDEX(Soja!$E58:$Z58,MIN(V$6-$G$3,22))&lt;&gt;""),Soja!$E58:INDEX(Soja!$E58:$Z58,MIN(V$6-$G$3,22))),0)))))</f>
        <v>0</v>
      </c>
      <c r="W60" s="27" t="n">
        <f aca="false">IF(COUNT(Soja!$E58:$Z58)=0,0,MAX(0,IF((W$6-$E$3)&lt;1,0,IFERROR(LOOKUP(2,1/(Soja!$E58:INDEX(Soja!$E58:$Z58,MIN(W$6-$E$3,22))&lt;&gt;""),Soja!$E58:INDEX(Soja!$E58:$Z58,MIN(W$6-$E$3,22))),0))-IF($G$2,0,IF((W$6-$G$3)&lt;1,0,IFERROR(LOOKUP(2,1/(Soja!$E58:INDEX(Soja!$E58:$Z58,MIN(W$6-$G$3,22))&lt;&gt;""),Soja!$E58:INDEX(Soja!$E58:$Z58,MIN(W$6-$G$3,22))),0)))))</f>
        <v>0</v>
      </c>
      <c r="X60" s="27" t="n">
        <f aca="false">IF(COUNT(Soja!$E58:$Z58)=0,0,MAX(0,IF((X$6-$E$3)&lt;1,0,IFERROR(LOOKUP(2,1/(Soja!$E58:INDEX(Soja!$E58:$Z58,MIN(X$6-$E$3,22))&lt;&gt;""),Soja!$E58:INDEX(Soja!$E58:$Z58,MIN(X$6-$E$3,22))),0))-IF($G$2,0,IF((X$6-$G$3)&lt;1,0,IFERROR(LOOKUP(2,1/(Soja!$E58:INDEX(Soja!$E58:$Z58,MIN(X$6-$G$3,22))&lt;&gt;""),Soja!$E58:INDEX(Soja!$E58:$Z58,MIN(X$6-$G$3,22))),0)))))</f>
        <v>0</v>
      </c>
      <c r="Y60" s="27" t="n">
        <f aca="false">IF(COUNT(Soja!$E58:$Z58)=0,0,MAX(0,IF((Y$6-$E$3)&lt;1,0,IFERROR(LOOKUP(2,1/(Soja!$E58:INDEX(Soja!$E58:$Z58,MIN(Y$6-$E$3,22))&lt;&gt;""),Soja!$E58:INDEX(Soja!$E58:$Z58,MIN(Y$6-$E$3,22))),0))-IF($G$2,0,IF((Y$6-$G$3)&lt;1,0,IFERROR(LOOKUP(2,1/(Soja!$E58:INDEX(Soja!$E58:$Z58,MIN(Y$6-$G$3,22))&lt;&gt;""),Soja!$E58:INDEX(Soja!$E58:$Z58,MIN(Y$6-$G$3,22))),0)))))</f>
        <v>0</v>
      </c>
      <c r="Z60" s="27" t="n">
        <f aca="false">IF(COUNT(Soja!$E58:$Z58)=0,0,MAX(0,IF((Z$6-$E$3)&lt;1,0,IFERROR(LOOKUP(2,1/(Soja!$E58:INDEX(Soja!$E58:$Z58,MIN(Z$6-$E$3,22))&lt;&gt;""),Soja!$E58:INDEX(Soja!$E58:$Z58,MIN(Z$6-$E$3,22))),0))-IF($G$2,0,IF((Z$6-$G$3)&lt;1,0,IFERROR(LOOKUP(2,1/(Soja!$E58:INDEX(Soja!$E58:$Z58,MIN(Z$6-$G$3,22))&lt;&gt;""),Soja!$E58:INDEX(Soja!$E58:$Z58,MIN(Z$6-$G$3,22))),0)))))</f>
        <v>0</v>
      </c>
      <c r="AA60" s="27" t="n">
        <f aca="false">IF(COUNT(Soja!$E58:$Z58)=0,0,MAX(0,IF((AA$6-$E$3)&lt;1,0,IFERROR(LOOKUP(2,1/(Soja!$E58:INDEX(Soja!$E58:$Z58,MIN(AA$6-$E$3,22))&lt;&gt;""),Soja!$E58:INDEX(Soja!$E58:$Z58,MIN(AA$6-$E$3,22))),0))-IF($G$2,0,IF((AA$6-$G$3)&lt;1,0,IFERROR(LOOKUP(2,1/(Soja!$E58:INDEX(Soja!$E58:$Z58,MIN(AA$6-$G$3,22))&lt;&gt;""),Soja!$E58:INDEX(Soja!$E58:$Z58,MIN(AA$6-$G$3,22))),0)))))</f>
        <v>0</v>
      </c>
      <c r="AB60" s="27" t="n">
        <f aca="false">IF(COUNT(Soja!$E58:$Z58)=0,0,MAX(0,IF((AB$6-$E$3)&lt;1,0,IFERROR(LOOKUP(2,1/(Soja!$E58:INDEX(Soja!$E58:$Z58,MIN(AB$6-$E$3,22))&lt;&gt;""),Soja!$E58:INDEX(Soja!$E58:$Z58,MIN(AB$6-$E$3,22))),0))-IF($G$2,0,IF((AB$6-$G$3)&lt;1,0,IFERROR(LOOKUP(2,1/(Soja!$E58:INDEX(Soja!$E58:$Z58,MIN(AB$6-$G$3,22))&lt;&gt;""),Soja!$E58:INDEX(Soja!$E58:$Z58,MIN(AB$6-$G$3,22))),0)))))</f>
        <v>0</v>
      </c>
      <c r="AC60" s="27" t="n">
        <f aca="false">IF(COUNT(Soja!$E58:$Z58)=0,0,MAX(0,IF((AC$6-$E$3)&lt;1,0,IFERROR(LOOKUP(2,1/(Soja!$E58:INDEX(Soja!$E58:$Z58,MIN(AC$6-$E$3,22))&lt;&gt;""),Soja!$E58:INDEX(Soja!$E58:$Z58,MIN(AC$6-$E$3,22))),0))-IF($G$2,0,IF((AC$6-$G$3)&lt;1,0,IFERROR(LOOKUP(2,1/(Soja!$E58:INDEX(Soja!$E58:$Z58,MIN(AC$6-$G$3,22))&lt;&gt;""),Soja!$E58:INDEX(Soja!$E58:$Z58,MIN(AC$6-$G$3,22))),0)))))</f>
        <v>0</v>
      </c>
      <c r="AD60" s="27" t="n">
        <f aca="false">IF(COUNT(Soja!$E58:$Z58)=0,0,MAX(0,IF((AD$6-$E$3)&lt;1,0,IFERROR(LOOKUP(2,1/(Soja!$E58:INDEX(Soja!$E58:$Z58,MIN(AD$6-$E$3,22))&lt;&gt;""),Soja!$E58:INDEX(Soja!$E58:$Z58,MIN(AD$6-$E$3,22))),0))-IF($G$2,0,IF((AD$6-$G$3)&lt;1,0,IFERROR(LOOKUP(2,1/(Soja!$E58:INDEX(Soja!$E58:$Z58,MIN(AD$6-$G$3,22))&lt;&gt;""),Soja!$E58:INDEX(Soja!$E58:$Z58,MIN(AD$6-$G$3,22))),0)))))</f>
        <v>0</v>
      </c>
      <c r="AE60" s="27" t="n">
        <f aca="false">IF(COUNT(Soja!$E58:$Z58)=0,0,MAX(0,IF((AE$6-$E$3)&lt;1,0,IFERROR(LOOKUP(2,1/(Soja!$E58:INDEX(Soja!$E58:$Z58,MIN(AE$6-$E$3,22))&lt;&gt;""),Soja!$E58:INDEX(Soja!$E58:$Z58,MIN(AE$6-$E$3,22))),0))-IF($G$2,0,IF((AE$6-$G$3)&lt;1,0,IFERROR(LOOKUP(2,1/(Soja!$E58:INDEX(Soja!$E58:$Z58,MIN(AE$6-$G$3,22))&lt;&gt;""),Soja!$E58:INDEX(Soja!$E58:$Z58,MIN(AE$6-$G$3,22))),0)))))</f>
        <v>0</v>
      </c>
      <c r="AF60" s="27" t="n">
        <f aca="false">IF(COUNT(Soja!$E58:$Z58)=0,0,MAX(0,IF((AF$6-$E$3)&lt;1,0,IFERROR(LOOKUP(2,1/(Soja!$E58:INDEX(Soja!$E58:$Z58,MIN(AF$6-$E$3,22))&lt;&gt;""),Soja!$E58:INDEX(Soja!$E58:$Z58,MIN(AF$6-$E$3,22))),0))-IF($G$2,0,IF((AF$6-$G$3)&lt;1,0,IFERROR(LOOKUP(2,1/(Soja!$E58:INDEX(Soja!$E58:$Z58,MIN(AF$6-$G$3,22))&lt;&gt;""),Soja!$E58:INDEX(Soja!$E58:$Z58,MIN(AF$6-$G$3,22))),0)))))</f>
        <v>0</v>
      </c>
      <c r="AG60" s="27" t="n">
        <f aca="false">IF(COUNT(Soja!$E58:$Z58)=0,0,MAX(0,IF((AG$6-$E$3)&lt;1,0,IFERROR(LOOKUP(2,1/(Soja!$E58:INDEX(Soja!$E58:$Z58,MIN(AG$6-$E$3,22))&lt;&gt;""),Soja!$E58:INDEX(Soja!$E58:$Z58,MIN(AG$6-$E$3,22))),0))-IF($G$2,0,IF((AG$6-$G$3)&lt;1,0,IFERROR(LOOKUP(2,1/(Soja!$E58:INDEX(Soja!$E58:$Z58,MIN(AG$6-$G$3,22))&lt;&gt;""),Soja!$E58:INDEX(Soja!$E58:$Z58,MIN(AG$6-$G$3,22))),0)))))</f>
        <v>0</v>
      </c>
      <c r="AH60" s="27" t="n">
        <f aca="false">IF(COUNT(Soja!$E58:$Z58)=0,0,MAX(0,IF((AH$6-$E$3)&lt;1,0,IFERROR(LOOKUP(2,1/(Soja!$E58:INDEX(Soja!$E58:$Z58,MIN(AH$6-$E$3,22))&lt;&gt;""),Soja!$E58:INDEX(Soja!$E58:$Z58,MIN(AH$6-$E$3,22))),0))-IF($G$2,0,IF((AH$6-$G$3)&lt;1,0,IFERROR(LOOKUP(2,1/(Soja!$E58:INDEX(Soja!$E58:$Z58,MIN(AH$6-$G$3,22))&lt;&gt;""),Soja!$E58:INDEX(Soja!$E58:$Z58,MIN(AH$6-$G$3,22))),0)))))</f>
        <v>0</v>
      </c>
      <c r="AI60" s="27" t="n">
        <f aca="false">IF(COUNT(Soja!$E58:$Z58)=0,0,MAX(0,IF((AI$6-$E$3)&lt;1,0,IFERROR(LOOKUP(2,1/(Soja!$E58:INDEX(Soja!$E58:$Z58,MIN(AI$6-$E$3,22))&lt;&gt;""),Soja!$E58:INDEX(Soja!$E58:$Z58,MIN(AI$6-$E$3,22))),0))-IF($G$2,0,IF((AI$6-$G$3)&lt;1,0,IFERROR(LOOKUP(2,1/(Soja!$E58:INDEX(Soja!$E58:$Z58,MIN(AI$6-$G$3,22))&lt;&gt;""),Soja!$E58:INDEX(Soja!$E58:$Z58,MIN(AI$6-$G$3,22))),0)))))</f>
        <v>0</v>
      </c>
      <c r="AJ60" s="27" t="n">
        <f aca="false">IF(COUNT(Soja!$E58:$Z58)=0,0,MAX(0,IF((AJ$6-$E$3)&lt;1,0,IFERROR(LOOKUP(2,1/(Soja!$E58:INDEX(Soja!$E58:$Z58,MIN(AJ$6-$E$3,22))&lt;&gt;""),Soja!$E58:INDEX(Soja!$E58:$Z58,MIN(AJ$6-$E$3,22))),0))-IF($G$2,0,IF((AJ$6-$G$3)&lt;1,0,IFERROR(LOOKUP(2,1/(Soja!$E58:INDEX(Soja!$E58:$Z58,MIN(AJ$6-$G$3,22))&lt;&gt;""),Soja!$E58:INDEX(Soja!$E58:$Z58,MIN(AJ$6-$G$3,22))),0)))))</f>
        <v>0</v>
      </c>
      <c r="AK60" s="27" t="n">
        <f aca="false">IF(COUNT(Soja!$E58:$Z58)=0,0,MAX(0,IF((AK$6-$E$3)&lt;1,0,IFERROR(LOOKUP(2,1/(Soja!$E58:INDEX(Soja!$E58:$Z58,MIN(AK$6-$E$3,22))&lt;&gt;""),Soja!$E58:INDEX(Soja!$E58:$Z58,MIN(AK$6-$E$3,22))),0))-IF($G$2,0,IF((AK$6-$G$3)&lt;1,0,IFERROR(LOOKUP(2,1/(Soja!$E58:INDEX(Soja!$E58:$Z58,MIN(AK$6-$G$3,22))&lt;&gt;""),Soja!$E58:INDEX(Soja!$E58:$Z58,MIN(AK$6-$G$3,22))),0)))))</f>
        <v>0</v>
      </c>
      <c r="AL60" s="27" t="n">
        <f aca="false">IF(COUNT(Soja!$E58:$Z58)=0,0,MAX(0,IF((AL$6-$E$3)&lt;1,0,IFERROR(LOOKUP(2,1/(Soja!$E58:INDEX(Soja!$E58:$Z58,MIN(AL$6-$E$3,22))&lt;&gt;""),Soja!$E58:INDEX(Soja!$E58:$Z58,MIN(AL$6-$E$3,22))),0))-IF($G$2,0,IF((AL$6-$G$3)&lt;1,0,IFERROR(LOOKUP(2,1/(Soja!$E58:INDEX(Soja!$E58:$Z58,MIN(AL$6-$G$3,22))&lt;&gt;""),Soja!$E58:INDEX(Soja!$E58:$Z58,MIN(AL$6-$G$3,22))),0)))))</f>
        <v>0</v>
      </c>
      <c r="AM60" s="27" t="n">
        <f aca="false">IF(COUNT(Soja!$E58:$Z58)=0,0,MAX(0,IF((AM$6-$E$3)&lt;1,0,IFERROR(LOOKUP(2,1/(Soja!$E58:INDEX(Soja!$E58:$Z58,MIN(AM$6-$E$3,22))&lt;&gt;""),Soja!$E58:INDEX(Soja!$E58:$Z58,MIN(AM$6-$E$3,22))),0))-IF($G$2,0,IF((AM$6-$G$3)&lt;1,0,IFERROR(LOOKUP(2,1/(Soja!$E58:INDEX(Soja!$E58:$Z58,MIN(AM$6-$G$3,22))&lt;&gt;""),Soja!$E58:INDEX(Soja!$E58:$Z58,MIN(AM$6-$G$3,22))),0)))))</f>
        <v>0</v>
      </c>
      <c r="AN60" s="27" t="n">
        <f aca="false">IF(COUNT(Soja!$E58:$Z58)=0,0,MAX(0,IF((AN$6-$E$3)&lt;1,0,IFERROR(LOOKUP(2,1/(Soja!$E58:INDEX(Soja!$E58:$Z58,MIN(AN$6-$E$3,22))&lt;&gt;""),Soja!$E58:INDEX(Soja!$E58:$Z58,MIN(AN$6-$E$3,22))),0))-IF($G$2,0,IF((AN$6-$G$3)&lt;1,0,IFERROR(LOOKUP(2,1/(Soja!$E58:INDEX(Soja!$E58:$Z58,MIN(AN$6-$G$3,22))&lt;&gt;""),Soja!$E58:INDEX(Soja!$E58:$Z58,MIN(AN$6-$G$3,22))),0)))))</f>
        <v>0</v>
      </c>
      <c r="AO60" s="27" t="n">
        <f aca="false">IF(COUNT(Soja!$E58:$Z58)=0,0,MAX(0,IF((AO$6-$E$3)&lt;1,0,IFERROR(LOOKUP(2,1/(Soja!$E58:INDEX(Soja!$E58:$Z58,MIN(AO$6-$E$3,22))&lt;&gt;""),Soja!$E58:INDEX(Soja!$E58:$Z58,MIN(AO$6-$E$3,22))),0))-IF($G$2,0,IF((AO$6-$G$3)&lt;1,0,IFERROR(LOOKUP(2,1/(Soja!$E58:INDEX(Soja!$E58:$Z58,MIN(AO$6-$G$3,22))&lt;&gt;""),Soja!$E58:INDEX(Soja!$E58:$Z58,MIN(AO$6-$G$3,22))),0)))))</f>
        <v>0</v>
      </c>
      <c r="AP60" s="27" t="n">
        <f aca="false">IF(COUNT(Soja!$E58:$Z58)=0,0,MAX(0,IF((AP$6-$E$3)&lt;1,0,IFERROR(LOOKUP(2,1/(Soja!$E58:INDEX(Soja!$E58:$Z58,MIN(AP$6-$E$3,22))&lt;&gt;""),Soja!$E58:INDEX(Soja!$E58:$Z58,MIN(AP$6-$E$3,22))),0))-IF($G$2,0,IF((AP$6-$G$3)&lt;1,0,IFERROR(LOOKUP(2,1/(Soja!$E58:INDEX(Soja!$E58:$Z58,MIN(AP$6-$G$3,22))&lt;&gt;""),Soja!$E58:INDEX(Soja!$E58:$Z58,MIN(AP$6-$G$3,22))),0)))))</f>
        <v>0</v>
      </c>
      <c r="AQ60" s="27" t="n">
        <f aca="false">IF(COUNT(Soja!$E58:$Z58)=0,0,MAX(0,IF((AQ$6-$E$3)&lt;1,0,IFERROR(LOOKUP(2,1/(Soja!$E58:INDEX(Soja!$E58:$Z58,MIN(AQ$6-$E$3,22))&lt;&gt;""),Soja!$E58:INDEX(Soja!$E58:$Z58,MIN(AQ$6-$E$3,22))),0))-IF($G$2,0,IF((AQ$6-$G$3)&lt;1,0,IFERROR(LOOKUP(2,1/(Soja!$E58:INDEX(Soja!$E58:$Z58,MIN(AQ$6-$G$3,22))&lt;&gt;""),Soja!$E58:INDEX(Soja!$E58:$Z58,MIN(AQ$6-$G$3,22))),0)))))</f>
        <v>0</v>
      </c>
      <c r="AR60" s="27" t="n">
        <f aca="false">IF(COUNT(Soja!$E58:$Z58)=0,0,MAX(0,IF((AR$6-$E$3)&lt;1,0,IFERROR(LOOKUP(2,1/(Soja!$E58:INDEX(Soja!$E58:$Z58,MIN(AR$6-$E$3,22))&lt;&gt;""),Soja!$E58:INDEX(Soja!$E58:$Z58,MIN(AR$6-$E$3,22))),0))-IF($G$2,0,IF((AR$6-$G$3)&lt;1,0,IFERROR(LOOKUP(2,1/(Soja!$E58:INDEX(Soja!$E58:$Z58,MIN(AR$6-$G$3,22))&lt;&gt;""),Soja!$E58:INDEX(Soja!$E58:$Z58,MIN(AR$6-$G$3,22))),0)))))</f>
        <v>0</v>
      </c>
      <c r="AS60" s="27" t="n">
        <f aca="false">IF(COUNT(Soja!$E58:$Z58)=0,0,MAX(0,IF((AS$6-$E$3)&lt;1,0,IFERROR(LOOKUP(2,1/(Soja!$E58:INDEX(Soja!$E58:$Z58,MIN(AS$6-$E$3,22))&lt;&gt;""),Soja!$E58:INDEX(Soja!$E58:$Z58,MIN(AS$6-$E$3,22))),0))-IF($G$2,0,IF((AS$6-$G$3)&lt;1,0,IFERROR(LOOKUP(2,1/(Soja!$E58:INDEX(Soja!$E58:$Z58,MIN(AS$6-$G$3,22))&lt;&gt;""),Soja!$E58:INDEX(Soja!$E58:$Z58,MIN(AS$6-$G$3,22))),0)))))</f>
        <v>0</v>
      </c>
      <c r="AT60" s="27" t="n">
        <f aca="false">IF(COUNT(Soja!$E58:$Z58)=0,0,MAX(0,IF((AT$6-$E$3)&lt;1,0,IFERROR(LOOKUP(2,1/(Soja!$E58:INDEX(Soja!$E58:$Z58,MIN(AT$6-$E$3,22))&lt;&gt;""),Soja!$E58:INDEX(Soja!$E58:$Z58,MIN(AT$6-$E$3,22))),0))-IF($G$2,0,IF((AT$6-$G$3)&lt;1,0,IFERROR(LOOKUP(2,1/(Soja!$E58:INDEX(Soja!$E58:$Z58,MIN(AT$6-$G$3,22))&lt;&gt;""),Soja!$E58:INDEX(Soja!$E58:$Z58,MIN(AT$6-$G$3,22))),0)))))</f>
        <v>0</v>
      </c>
      <c r="AU60" s="27" t="n">
        <f aca="false">IF(COUNT(Soja!$E58:$Z58)=0,0,MAX(0,IF((AU$6-$E$3)&lt;1,0,IFERROR(LOOKUP(2,1/(Soja!$E58:INDEX(Soja!$E58:$Z58,MIN(AU$6-$E$3,22))&lt;&gt;""),Soja!$E58:INDEX(Soja!$E58:$Z58,MIN(AU$6-$E$3,22))),0))-IF($G$2,0,IF((AU$6-$G$3)&lt;1,0,IFERROR(LOOKUP(2,1/(Soja!$E58:INDEX(Soja!$E58:$Z58,MIN(AU$6-$G$3,22))&lt;&gt;""),Soja!$E58:INDEX(Soja!$E58:$Z58,MIN(AU$6-$G$3,22))),0)))))</f>
        <v>0</v>
      </c>
      <c r="AV60" s="27" t="n">
        <f aca="false">IF(COUNT(Soja!$E58:$Z58)=0,0,MAX(0,IF((AV$6-$E$3)&lt;1,0,IFERROR(LOOKUP(2,1/(Soja!$E58:INDEX(Soja!$E58:$Z58,MIN(AV$6-$E$3,22))&lt;&gt;""),Soja!$E58:INDEX(Soja!$E58:$Z58,MIN(AV$6-$E$3,22))),0))-IF($G$2,0,IF((AV$6-$G$3)&lt;1,0,IFERROR(LOOKUP(2,1/(Soja!$E58:INDEX(Soja!$E58:$Z58,MIN(AV$6-$G$3,22))&lt;&gt;""),Soja!$E58:INDEX(Soja!$E58:$Z58,MIN(AV$6-$G$3,22))),0)))))</f>
        <v>0</v>
      </c>
      <c r="AW60" s="27" t="n">
        <f aca="false">IF(COUNT(Soja!$E58:$Z58)=0,0,MAX(0,IF((AW$6-$E$3)&lt;1,0,IFERROR(LOOKUP(2,1/(Soja!$E58:INDEX(Soja!$E58:$Z58,MIN(AW$6-$E$3,22))&lt;&gt;""),Soja!$E58:INDEX(Soja!$E58:$Z58,MIN(AW$6-$E$3,22))),0))-IF($G$2,0,IF((AW$6-$G$3)&lt;1,0,IFERROR(LOOKUP(2,1/(Soja!$E58:INDEX(Soja!$E58:$Z58,MIN(AW$6-$G$3,22))&lt;&gt;""),Soja!$E58:INDEX(Soja!$E58:$Z58,MIN(AW$6-$G$3,22))),0)))))</f>
        <v>0</v>
      </c>
      <c r="AX60" s="27" t="n">
        <f aca="false">IF(COUNT(Soja!$E58:$Z58)=0,0,MAX(0,IF((AX$6-$E$3)&lt;1,0,IFERROR(LOOKUP(2,1/(Soja!$E58:INDEX(Soja!$E58:$Z58,MIN(AX$6-$E$3,22))&lt;&gt;""),Soja!$E58:INDEX(Soja!$E58:$Z58,MIN(AX$6-$E$3,22))),0))-IF($G$2,0,IF((AX$6-$G$3)&lt;1,0,IFERROR(LOOKUP(2,1/(Soja!$E58:INDEX(Soja!$E58:$Z58,MIN(AX$6-$G$3,22))&lt;&gt;""),Soja!$E58:INDEX(Soja!$E58:$Z58,MIN(AX$6-$G$3,22))),0)))))</f>
        <v>0</v>
      </c>
      <c r="AY60" s="27" t="n">
        <f aca="false">IF(COUNT(Soja!$E58:$Z58)=0,0,MAX(0,IF((AY$6-$E$3)&lt;1,0,IFERROR(LOOKUP(2,1/(Soja!$E58:INDEX(Soja!$E58:$Z58,MIN(AY$6-$E$3,22))&lt;&gt;""),Soja!$E58:INDEX(Soja!$E58:$Z58,MIN(AY$6-$E$3,22))),0))-IF($G$2,0,IF((AY$6-$G$3)&lt;1,0,IFERROR(LOOKUP(2,1/(Soja!$E58:INDEX(Soja!$E58:$Z58,MIN(AY$6-$G$3,22))&lt;&gt;""),Soja!$E58:INDEX(Soja!$E58:$Z58,MIN(AY$6-$G$3,22))),0)))))</f>
        <v>0</v>
      </c>
      <c r="AZ60" s="27" t="n">
        <f aca="false">IF(COUNT(Soja!$E58:$Z58)=0,0,MAX(0,IF((AZ$6-$E$3)&lt;1,0,IFERROR(LOOKUP(2,1/(Soja!$E58:INDEX(Soja!$E58:$Z58,MIN(AZ$6-$E$3,22))&lt;&gt;""),Soja!$E58:INDEX(Soja!$E58:$Z58,MIN(AZ$6-$E$3,22))),0))-IF($G$2,0,IF((AZ$6-$G$3)&lt;1,0,IFERROR(LOOKUP(2,1/(Soja!$E58:INDEX(Soja!$E58:$Z58,MIN(AZ$6-$G$3,22))&lt;&gt;""),Soja!$E58:INDEX(Soja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IF(COUNT(Soja!$E59:$Z59)&gt;0,N(Soja!$D59),0)</f>
        <v>0</v>
      </c>
      <c r="E61" s="27" t="n">
        <f aca="false">IF(COUNT(Soja!$E59:$Z59)=0,0,MAX(0,IF((E$6-$E$3)&lt;1,0,IFERROR(LOOKUP(2,1/(Soja!$E59:INDEX(Soja!$E59:$Z59,MIN(E$6-$E$3,22))&lt;&gt;""),Soja!$E59:INDEX(Soja!$E59:$Z59,MIN(E$6-$E$3,22))),0))-IF($G$2,0,IF((E$6-$G$3)&lt;1,0,IFERROR(LOOKUP(2,1/(Soja!$E59:INDEX(Soja!$E59:$Z59,MIN(E$6-$G$3,22))&lt;&gt;""),Soja!$E59:INDEX(Soja!$E59:$Z59,MIN(E$6-$G$3,22))),0)))))</f>
        <v>0</v>
      </c>
      <c r="F61" s="27" t="n">
        <f aca="false">IF(COUNT(Soja!$E59:$Z59)=0,0,MAX(0,IF((F$6-$E$3)&lt;1,0,IFERROR(LOOKUP(2,1/(Soja!$E59:INDEX(Soja!$E59:$Z59,MIN(F$6-$E$3,22))&lt;&gt;""),Soja!$E59:INDEX(Soja!$E59:$Z59,MIN(F$6-$E$3,22))),0))-IF($G$2,0,IF((F$6-$G$3)&lt;1,0,IFERROR(LOOKUP(2,1/(Soja!$E59:INDEX(Soja!$E59:$Z59,MIN(F$6-$G$3,22))&lt;&gt;""),Soja!$E59:INDEX(Soja!$E59:$Z59,MIN(F$6-$G$3,22))),0)))))</f>
        <v>0</v>
      </c>
      <c r="G61" s="27" t="n">
        <f aca="false">IF(COUNT(Soja!$E59:$Z59)=0,0,MAX(0,IF((G$6-$E$3)&lt;1,0,IFERROR(LOOKUP(2,1/(Soja!$E59:INDEX(Soja!$E59:$Z59,MIN(G$6-$E$3,22))&lt;&gt;""),Soja!$E59:INDEX(Soja!$E59:$Z59,MIN(G$6-$E$3,22))),0))-IF($G$2,0,IF((G$6-$G$3)&lt;1,0,IFERROR(LOOKUP(2,1/(Soja!$E59:INDEX(Soja!$E59:$Z59,MIN(G$6-$G$3,22))&lt;&gt;""),Soja!$E59:INDEX(Soja!$E59:$Z59,MIN(G$6-$G$3,22))),0)))))</f>
        <v>0</v>
      </c>
      <c r="H61" s="27" t="n">
        <f aca="false">IF(COUNT(Soja!$E59:$Z59)=0,0,MAX(0,IF((H$6-$E$3)&lt;1,0,IFERROR(LOOKUP(2,1/(Soja!$E59:INDEX(Soja!$E59:$Z59,MIN(H$6-$E$3,22))&lt;&gt;""),Soja!$E59:INDEX(Soja!$E59:$Z59,MIN(H$6-$E$3,22))),0))-IF($G$2,0,IF((H$6-$G$3)&lt;1,0,IFERROR(LOOKUP(2,1/(Soja!$E59:INDEX(Soja!$E59:$Z59,MIN(H$6-$G$3,22))&lt;&gt;""),Soja!$E59:INDEX(Soja!$E59:$Z59,MIN(H$6-$G$3,22))),0)))))</f>
        <v>0</v>
      </c>
      <c r="I61" s="27" t="n">
        <f aca="false">IF(COUNT(Soja!$E59:$Z59)=0,0,MAX(0,IF((I$6-$E$3)&lt;1,0,IFERROR(LOOKUP(2,1/(Soja!$E59:INDEX(Soja!$E59:$Z59,MIN(I$6-$E$3,22))&lt;&gt;""),Soja!$E59:INDEX(Soja!$E59:$Z59,MIN(I$6-$E$3,22))),0))-IF($G$2,0,IF((I$6-$G$3)&lt;1,0,IFERROR(LOOKUP(2,1/(Soja!$E59:INDEX(Soja!$E59:$Z59,MIN(I$6-$G$3,22))&lt;&gt;""),Soja!$E59:INDEX(Soja!$E59:$Z59,MIN(I$6-$G$3,22))),0)))))</f>
        <v>0</v>
      </c>
      <c r="J61" s="27" t="n">
        <f aca="false">IF(COUNT(Soja!$E59:$Z59)=0,0,MAX(0,IF((J$6-$E$3)&lt;1,0,IFERROR(LOOKUP(2,1/(Soja!$E59:INDEX(Soja!$E59:$Z59,MIN(J$6-$E$3,22))&lt;&gt;""),Soja!$E59:INDEX(Soja!$E59:$Z59,MIN(J$6-$E$3,22))),0))-IF($G$2,0,IF((J$6-$G$3)&lt;1,0,IFERROR(LOOKUP(2,1/(Soja!$E59:INDEX(Soja!$E59:$Z59,MIN(J$6-$G$3,22))&lt;&gt;""),Soja!$E59:INDEX(Soja!$E59:$Z59,MIN(J$6-$G$3,22))),0)))))</f>
        <v>0</v>
      </c>
      <c r="K61" s="27" t="n">
        <f aca="false">IF(COUNT(Soja!$E59:$Z59)=0,0,MAX(0,IF((K$6-$E$3)&lt;1,0,IFERROR(LOOKUP(2,1/(Soja!$E59:INDEX(Soja!$E59:$Z59,MIN(K$6-$E$3,22))&lt;&gt;""),Soja!$E59:INDEX(Soja!$E59:$Z59,MIN(K$6-$E$3,22))),0))-IF($G$2,0,IF((K$6-$G$3)&lt;1,0,IFERROR(LOOKUP(2,1/(Soja!$E59:INDEX(Soja!$E59:$Z59,MIN(K$6-$G$3,22))&lt;&gt;""),Soja!$E59:INDEX(Soja!$E59:$Z59,MIN(K$6-$G$3,22))),0)))))</f>
        <v>0</v>
      </c>
      <c r="L61" s="27" t="n">
        <f aca="false">IF(COUNT(Soja!$E59:$Z59)=0,0,MAX(0,IF((L$6-$E$3)&lt;1,0,IFERROR(LOOKUP(2,1/(Soja!$E59:INDEX(Soja!$E59:$Z59,MIN(L$6-$E$3,22))&lt;&gt;""),Soja!$E59:INDEX(Soja!$E59:$Z59,MIN(L$6-$E$3,22))),0))-IF($G$2,0,IF((L$6-$G$3)&lt;1,0,IFERROR(LOOKUP(2,1/(Soja!$E59:INDEX(Soja!$E59:$Z59,MIN(L$6-$G$3,22))&lt;&gt;""),Soja!$E59:INDEX(Soja!$E59:$Z59,MIN(L$6-$G$3,22))),0)))))</f>
        <v>0</v>
      </c>
      <c r="M61" s="27" t="n">
        <f aca="false">IF(COUNT(Soja!$E59:$Z59)=0,0,MAX(0,IF((M$6-$E$3)&lt;1,0,IFERROR(LOOKUP(2,1/(Soja!$E59:INDEX(Soja!$E59:$Z59,MIN(M$6-$E$3,22))&lt;&gt;""),Soja!$E59:INDEX(Soja!$E59:$Z59,MIN(M$6-$E$3,22))),0))-IF($G$2,0,IF((M$6-$G$3)&lt;1,0,IFERROR(LOOKUP(2,1/(Soja!$E59:INDEX(Soja!$E59:$Z59,MIN(M$6-$G$3,22))&lt;&gt;""),Soja!$E59:INDEX(Soja!$E59:$Z59,MIN(M$6-$G$3,22))),0)))))</f>
        <v>0</v>
      </c>
      <c r="N61" s="27" t="n">
        <f aca="false">IF(COUNT(Soja!$E59:$Z59)=0,0,MAX(0,IF((N$6-$E$3)&lt;1,0,IFERROR(LOOKUP(2,1/(Soja!$E59:INDEX(Soja!$E59:$Z59,MIN(N$6-$E$3,22))&lt;&gt;""),Soja!$E59:INDEX(Soja!$E59:$Z59,MIN(N$6-$E$3,22))),0))-IF($G$2,0,IF((N$6-$G$3)&lt;1,0,IFERROR(LOOKUP(2,1/(Soja!$E59:INDEX(Soja!$E59:$Z59,MIN(N$6-$G$3,22))&lt;&gt;""),Soja!$E59:INDEX(Soja!$E59:$Z59,MIN(N$6-$G$3,22))),0)))))</f>
        <v>0</v>
      </c>
      <c r="O61" s="27" t="n">
        <f aca="false">IF(COUNT(Soja!$E59:$Z59)=0,0,MAX(0,IF((O$6-$E$3)&lt;1,0,IFERROR(LOOKUP(2,1/(Soja!$E59:INDEX(Soja!$E59:$Z59,MIN(O$6-$E$3,22))&lt;&gt;""),Soja!$E59:INDEX(Soja!$E59:$Z59,MIN(O$6-$E$3,22))),0))-IF($G$2,0,IF((O$6-$G$3)&lt;1,0,IFERROR(LOOKUP(2,1/(Soja!$E59:INDEX(Soja!$E59:$Z59,MIN(O$6-$G$3,22))&lt;&gt;""),Soja!$E59:INDEX(Soja!$E59:$Z59,MIN(O$6-$G$3,22))),0)))))</f>
        <v>0</v>
      </c>
      <c r="P61" s="27" t="n">
        <f aca="false">IF(COUNT(Soja!$E59:$Z59)=0,0,MAX(0,IF((P$6-$E$3)&lt;1,0,IFERROR(LOOKUP(2,1/(Soja!$E59:INDEX(Soja!$E59:$Z59,MIN(P$6-$E$3,22))&lt;&gt;""),Soja!$E59:INDEX(Soja!$E59:$Z59,MIN(P$6-$E$3,22))),0))-IF($G$2,0,IF((P$6-$G$3)&lt;1,0,IFERROR(LOOKUP(2,1/(Soja!$E59:INDEX(Soja!$E59:$Z59,MIN(P$6-$G$3,22))&lt;&gt;""),Soja!$E59:INDEX(Soja!$E59:$Z59,MIN(P$6-$G$3,22))),0)))))</f>
        <v>0</v>
      </c>
      <c r="Q61" s="27" t="n">
        <f aca="false">IF(COUNT(Soja!$E59:$Z59)=0,0,MAX(0,IF((Q$6-$E$3)&lt;1,0,IFERROR(LOOKUP(2,1/(Soja!$E59:INDEX(Soja!$E59:$Z59,MIN(Q$6-$E$3,22))&lt;&gt;""),Soja!$E59:INDEX(Soja!$E59:$Z59,MIN(Q$6-$E$3,22))),0))-IF($G$2,0,IF((Q$6-$G$3)&lt;1,0,IFERROR(LOOKUP(2,1/(Soja!$E59:INDEX(Soja!$E59:$Z59,MIN(Q$6-$G$3,22))&lt;&gt;""),Soja!$E59:INDEX(Soja!$E59:$Z59,MIN(Q$6-$G$3,22))),0)))))</f>
        <v>0</v>
      </c>
      <c r="R61" s="27" t="n">
        <f aca="false">IF(COUNT(Soja!$E59:$Z59)=0,0,MAX(0,IF((R$6-$E$3)&lt;1,0,IFERROR(LOOKUP(2,1/(Soja!$E59:INDEX(Soja!$E59:$Z59,MIN(R$6-$E$3,22))&lt;&gt;""),Soja!$E59:INDEX(Soja!$E59:$Z59,MIN(R$6-$E$3,22))),0))-IF($G$2,0,IF((R$6-$G$3)&lt;1,0,IFERROR(LOOKUP(2,1/(Soja!$E59:INDEX(Soja!$E59:$Z59,MIN(R$6-$G$3,22))&lt;&gt;""),Soja!$E59:INDEX(Soja!$E59:$Z59,MIN(R$6-$G$3,22))),0)))))</f>
        <v>0</v>
      </c>
      <c r="S61" s="27" t="n">
        <f aca="false">IF(COUNT(Soja!$E59:$Z59)=0,0,MAX(0,IF((S$6-$E$3)&lt;1,0,IFERROR(LOOKUP(2,1/(Soja!$E59:INDEX(Soja!$E59:$Z59,MIN(S$6-$E$3,22))&lt;&gt;""),Soja!$E59:INDEX(Soja!$E59:$Z59,MIN(S$6-$E$3,22))),0))-IF($G$2,0,IF((S$6-$G$3)&lt;1,0,IFERROR(LOOKUP(2,1/(Soja!$E59:INDEX(Soja!$E59:$Z59,MIN(S$6-$G$3,22))&lt;&gt;""),Soja!$E59:INDEX(Soja!$E59:$Z59,MIN(S$6-$G$3,22))),0)))))</f>
        <v>0</v>
      </c>
      <c r="T61" s="27" t="n">
        <f aca="false">IF(COUNT(Soja!$E59:$Z59)=0,0,MAX(0,IF((T$6-$E$3)&lt;1,0,IFERROR(LOOKUP(2,1/(Soja!$E59:INDEX(Soja!$E59:$Z59,MIN(T$6-$E$3,22))&lt;&gt;""),Soja!$E59:INDEX(Soja!$E59:$Z59,MIN(T$6-$E$3,22))),0))-IF($G$2,0,IF((T$6-$G$3)&lt;1,0,IFERROR(LOOKUP(2,1/(Soja!$E59:INDEX(Soja!$E59:$Z59,MIN(T$6-$G$3,22))&lt;&gt;""),Soja!$E59:INDEX(Soja!$E59:$Z59,MIN(T$6-$G$3,22))),0)))))</f>
        <v>0</v>
      </c>
      <c r="U61" s="27" t="n">
        <f aca="false">IF(COUNT(Soja!$E59:$Z59)=0,0,MAX(0,IF((U$6-$E$3)&lt;1,0,IFERROR(LOOKUP(2,1/(Soja!$E59:INDEX(Soja!$E59:$Z59,MIN(U$6-$E$3,22))&lt;&gt;""),Soja!$E59:INDEX(Soja!$E59:$Z59,MIN(U$6-$E$3,22))),0))-IF($G$2,0,IF((U$6-$G$3)&lt;1,0,IFERROR(LOOKUP(2,1/(Soja!$E59:INDEX(Soja!$E59:$Z59,MIN(U$6-$G$3,22))&lt;&gt;""),Soja!$E59:INDEX(Soja!$E59:$Z59,MIN(U$6-$G$3,22))),0)))))</f>
        <v>0</v>
      </c>
      <c r="V61" s="27" t="n">
        <f aca="false">IF(COUNT(Soja!$E59:$Z59)=0,0,MAX(0,IF((V$6-$E$3)&lt;1,0,IFERROR(LOOKUP(2,1/(Soja!$E59:INDEX(Soja!$E59:$Z59,MIN(V$6-$E$3,22))&lt;&gt;""),Soja!$E59:INDEX(Soja!$E59:$Z59,MIN(V$6-$E$3,22))),0))-IF($G$2,0,IF((V$6-$G$3)&lt;1,0,IFERROR(LOOKUP(2,1/(Soja!$E59:INDEX(Soja!$E59:$Z59,MIN(V$6-$G$3,22))&lt;&gt;""),Soja!$E59:INDEX(Soja!$E59:$Z59,MIN(V$6-$G$3,22))),0)))))</f>
        <v>0</v>
      </c>
      <c r="W61" s="27" t="n">
        <f aca="false">IF(COUNT(Soja!$E59:$Z59)=0,0,MAX(0,IF((W$6-$E$3)&lt;1,0,IFERROR(LOOKUP(2,1/(Soja!$E59:INDEX(Soja!$E59:$Z59,MIN(W$6-$E$3,22))&lt;&gt;""),Soja!$E59:INDEX(Soja!$E59:$Z59,MIN(W$6-$E$3,22))),0))-IF($G$2,0,IF((W$6-$G$3)&lt;1,0,IFERROR(LOOKUP(2,1/(Soja!$E59:INDEX(Soja!$E59:$Z59,MIN(W$6-$G$3,22))&lt;&gt;""),Soja!$E59:INDEX(Soja!$E59:$Z59,MIN(W$6-$G$3,22))),0)))))</f>
        <v>0</v>
      </c>
      <c r="X61" s="27" t="n">
        <f aca="false">IF(COUNT(Soja!$E59:$Z59)=0,0,MAX(0,IF((X$6-$E$3)&lt;1,0,IFERROR(LOOKUP(2,1/(Soja!$E59:INDEX(Soja!$E59:$Z59,MIN(X$6-$E$3,22))&lt;&gt;""),Soja!$E59:INDEX(Soja!$E59:$Z59,MIN(X$6-$E$3,22))),0))-IF($G$2,0,IF((X$6-$G$3)&lt;1,0,IFERROR(LOOKUP(2,1/(Soja!$E59:INDEX(Soja!$E59:$Z59,MIN(X$6-$G$3,22))&lt;&gt;""),Soja!$E59:INDEX(Soja!$E59:$Z59,MIN(X$6-$G$3,22))),0)))))</f>
        <v>0</v>
      </c>
      <c r="Y61" s="27" t="n">
        <f aca="false">IF(COUNT(Soja!$E59:$Z59)=0,0,MAX(0,IF((Y$6-$E$3)&lt;1,0,IFERROR(LOOKUP(2,1/(Soja!$E59:INDEX(Soja!$E59:$Z59,MIN(Y$6-$E$3,22))&lt;&gt;""),Soja!$E59:INDEX(Soja!$E59:$Z59,MIN(Y$6-$E$3,22))),0))-IF($G$2,0,IF((Y$6-$G$3)&lt;1,0,IFERROR(LOOKUP(2,1/(Soja!$E59:INDEX(Soja!$E59:$Z59,MIN(Y$6-$G$3,22))&lt;&gt;""),Soja!$E59:INDEX(Soja!$E59:$Z59,MIN(Y$6-$G$3,22))),0)))))</f>
        <v>0</v>
      </c>
      <c r="Z61" s="27" t="n">
        <f aca="false">IF(COUNT(Soja!$E59:$Z59)=0,0,MAX(0,IF((Z$6-$E$3)&lt;1,0,IFERROR(LOOKUP(2,1/(Soja!$E59:INDEX(Soja!$E59:$Z59,MIN(Z$6-$E$3,22))&lt;&gt;""),Soja!$E59:INDEX(Soja!$E59:$Z59,MIN(Z$6-$E$3,22))),0))-IF($G$2,0,IF((Z$6-$G$3)&lt;1,0,IFERROR(LOOKUP(2,1/(Soja!$E59:INDEX(Soja!$E59:$Z59,MIN(Z$6-$G$3,22))&lt;&gt;""),Soja!$E59:INDEX(Soja!$E59:$Z59,MIN(Z$6-$G$3,22))),0)))))</f>
        <v>0</v>
      </c>
      <c r="AA61" s="27" t="n">
        <f aca="false">IF(COUNT(Soja!$E59:$Z59)=0,0,MAX(0,IF((AA$6-$E$3)&lt;1,0,IFERROR(LOOKUP(2,1/(Soja!$E59:INDEX(Soja!$E59:$Z59,MIN(AA$6-$E$3,22))&lt;&gt;""),Soja!$E59:INDEX(Soja!$E59:$Z59,MIN(AA$6-$E$3,22))),0))-IF($G$2,0,IF((AA$6-$G$3)&lt;1,0,IFERROR(LOOKUP(2,1/(Soja!$E59:INDEX(Soja!$E59:$Z59,MIN(AA$6-$G$3,22))&lt;&gt;""),Soja!$E59:INDEX(Soja!$E59:$Z59,MIN(AA$6-$G$3,22))),0)))))</f>
        <v>0</v>
      </c>
      <c r="AB61" s="27" t="n">
        <f aca="false">IF(COUNT(Soja!$E59:$Z59)=0,0,MAX(0,IF((AB$6-$E$3)&lt;1,0,IFERROR(LOOKUP(2,1/(Soja!$E59:INDEX(Soja!$E59:$Z59,MIN(AB$6-$E$3,22))&lt;&gt;""),Soja!$E59:INDEX(Soja!$E59:$Z59,MIN(AB$6-$E$3,22))),0))-IF($G$2,0,IF((AB$6-$G$3)&lt;1,0,IFERROR(LOOKUP(2,1/(Soja!$E59:INDEX(Soja!$E59:$Z59,MIN(AB$6-$G$3,22))&lt;&gt;""),Soja!$E59:INDEX(Soja!$E59:$Z59,MIN(AB$6-$G$3,22))),0)))))</f>
        <v>0</v>
      </c>
      <c r="AC61" s="27" t="n">
        <f aca="false">IF(COUNT(Soja!$E59:$Z59)=0,0,MAX(0,IF((AC$6-$E$3)&lt;1,0,IFERROR(LOOKUP(2,1/(Soja!$E59:INDEX(Soja!$E59:$Z59,MIN(AC$6-$E$3,22))&lt;&gt;""),Soja!$E59:INDEX(Soja!$E59:$Z59,MIN(AC$6-$E$3,22))),0))-IF($G$2,0,IF((AC$6-$G$3)&lt;1,0,IFERROR(LOOKUP(2,1/(Soja!$E59:INDEX(Soja!$E59:$Z59,MIN(AC$6-$G$3,22))&lt;&gt;""),Soja!$E59:INDEX(Soja!$E59:$Z59,MIN(AC$6-$G$3,22))),0)))))</f>
        <v>0</v>
      </c>
      <c r="AD61" s="27" t="n">
        <f aca="false">IF(COUNT(Soja!$E59:$Z59)=0,0,MAX(0,IF((AD$6-$E$3)&lt;1,0,IFERROR(LOOKUP(2,1/(Soja!$E59:INDEX(Soja!$E59:$Z59,MIN(AD$6-$E$3,22))&lt;&gt;""),Soja!$E59:INDEX(Soja!$E59:$Z59,MIN(AD$6-$E$3,22))),0))-IF($G$2,0,IF((AD$6-$G$3)&lt;1,0,IFERROR(LOOKUP(2,1/(Soja!$E59:INDEX(Soja!$E59:$Z59,MIN(AD$6-$G$3,22))&lt;&gt;""),Soja!$E59:INDEX(Soja!$E59:$Z59,MIN(AD$6-$G$3,22))),0)))))</f>
        <v>0</v>
      </c>
      <c r="AE61" s="27" t="n">
        <f aca="false">IF(COUNT(Soja!$E59:$Z59)=0,0,MAX(0,IF((AE$6-$E$3)&lt;1,0,IFERROR(LOOKUP(2,1/(Soja!$E59:INDEX(Soja!$E59:$Z59,MIN(AE$6-$E$3,22))&lt;&gt;""),Soja!$E59:INDEX(Soja!$E59:$Z59,MIN(AE$6-$E$3,22))),0))-IF($G$2,0,IF((AE$6-$G$3)&lt;1,0,IFERROR(LOOKUP(2,1/(Soja!$E59:INDEX(Soja!$E59:$Z59,MIN(AE$6-$G$3,22))&lt;&gt;""),Soja!$E59:INDEX(Soja!$E59:$Z59,MIN(AE$6-$G$3,22))),0)))))</f>
        <v>0</v>
      </c>
      <c r="AF61" s="27" t="n">
        <f aca="false">IF(COUNT(Soja!$E59:$Z59)=0,0,MAX(0,IF((AF$6-$E$3)&lt;1,0,IFERROR(LOOKUP(2,1/(Soja!$E59:INDEX(Soja!$E59:$Z59,MIN(AF$6-$E$3,22))&lt;&gt;""),Soja!$E59:INDEX(Soja!$E59:$Z59,MIN(AF$6-$E$3,22))),0))-IF($G$2,0,IF((AF$6-$G$3)&lt;1,0,IFERROR(LOOKUP(2,1/(Soja!$E59:INDEX(Soja!$E59:$Z59,MIN(AF$6-$G$3,22))&lt;&gt;""),Soja!$E59:INDEX(Soja!$E59:$Z59,MIN(AF$6-$G$3,22))),0)))))</f>
        <v>0</v>
      </c>
      <c r="AG61" s="27" t="n">
        <f aca="false">IF(COUNT(Soja!$E59:$Z59)=0,0,MAX(0,IF((AG$6-$E$3)&lt;1,0,IFERROR(LOOKUP(2,1/(Soja!$E59:INDEX(Soja!$E59:$Z59,MIN(AG$6-$E$3,22))&lt;&gt;""),Soja!$E59:INDEX(Soja!$E59:$Z59,MIN(AG$6-$E$3,22))),0))-IF($G$2,0,IF((AG$6-$G$3)&lt;1,0,IFERROR(LOOKUP(2,1/(Soja!$E59:INDEX(Soja!$E59:$Z59,MIN(AG$6-$G$3,22))&lt;&gt;""),Soja!$E59:INDEX(Soja!$E59:$Z59,MIN(AG$6-$G$3,22))),0)))))</f>
        <v>0</v>
      </c>
      <c r="AH61" s="27" t="n">
        <f aca="false">IF(COUNT(Soja!$E59:$Z59)=0,0,MAX(0,IF((AH$6-$E$3)&lt;1,0,IFERROR(LOOKUP(2,1/(Soja!$E59:INDEX(Soja!$E59:$Z59,MIN(AH$6-$E$3,22))&lt;&gt;""),Soja!$E59:INDEX(Soja!$E59:$Z59,MIN(AH$6-$E$3,22))),0))-IF($G$2,0,IF((AH$6-$G$3)&lt;1,0,IFERROR(LOOKUP(2,1/(Soja!$E59:INDEX(Soja!$E59:$Z59,MIN(AH$6-$G$3,22))&lt;&gt;""),Soja!$E59:INDEX(Soja!$E59:$Z59,MIN(AH$6-$G$3,22))),0)))))</f>
        <v>0</v>
      </c>
      <c r="AI61" s="27" t="n">
        <f aca="false">IF(COUNT(Soja!$E59:$Z59)=0,0,MAX(0,IF((AI$6-$E$3)&lt;1,0,IFERROR(LOOKUP(2,1/(Soja!$E59:INDEX(Soja!$E59:$Z59,MIN(AI$6-$E$3,22))&lt;&gt;""),Soja!$E59:INDEX(Soja!$E59:$Z59,MIN(AI$6-$E$3,22))),0))-IF($G$2,0,IF((AI$6-$G$3)&lt;1,0,IFERROR(LOOKUP(2,1/(Soja!$E59:INDEX(Soja!$E59:$Z59,MIN(AI$6-$G$3,22))&lt;&gt;""),Soja!$E59:INDEX(Soja!$E59:$Z59,MIN(AI$6-$G$3,22))),0)))))</f>
        <v>0</v>
      </c>
      <c r="AJ61" s="27" t="n">
        <f aca="false">IF(COUNT(Soja!$E59:$Z59)=0,0,MAX(0,IF((AJ$6-$E$3)&lt;1,0,IFERROR(LOOKUP(2,1/(Soja!$E59:INDEX(Soja!$E59:$Z59,MIN(AJ$6-$E$3,22))&lt;&gt;""),Soja!$E59:INDEX(Soja!$E59:$Z59,MIN(AJ$6-$E$3,22))),0))-IF($G$2,0,IF((AJ$6-$G$3)&lt;1,0,IFERROR(LOOKUP(2,1/(Soja!$E59:INDEX(Soja!$E59:$Z59,MIN(AJ$6-$G$3,22))&lt;&gt;""),Soja!$E59:INDEX(Soja!$E59:$Z59,MIN(AJ$6-$G$3,22))),0)))))</f>
        <v>0</v>
      </c>
      <c r="AK61" s="27" t="n">
        <f aca="false">IF(COUNT(Soja!$E59:$Z59)=0,0,MAX(0,IF((AK$6-$E$3)&lt;1,0,IFERROR(LOOKUP(2,1/(Soja!$E59:INDEX(Soja!$E59:$Z59,MIN(AK$6-$E$3,22))&lt;&gt;""),Soja!$E59:INDEX(Soja!$E59:$Z59,MIN(AK$6-$E$3,22))),0))-IF($G$2,0,IF((AK$6-$G$3)&lt;1,0,IFERROR(LOOKUP(2,1/(Soja!$E59:INDEX(Soja!$E59:$Z59,MIN(AK$6-$G$3,22))&lt;&gt;""),Soja!$E59:INDEX(Soja!$E59:$Z59,MIN(AK$6-$G$3,22))),0)))))</f>
        <v>0</v>
      </c>
      <c r="AL61" s="27" t="n">
        <f aca="false">IF(COUNT(Soja!$E59:$Z59)=0,0,MAX(0,IF((AL$6-$E$3)&lt;1,0,IFERROR(LOOKUP(2,1/(Soja!$E59:INDEX(Soja!$E59:$Z59,MIN(AL$6-$E$3,22))&lt;&gt;""),Soja!$E59:INDEX(Soja!$E59:$Z59,MIN(AL$6-$E$3,22))),0))-IF($G$2,0,IF((AL$6-$G$3)&lt;1,0,IFERROR(LOOKUP(2,1/(Soja!$E59:INDEX(Soja!$E59:$Z59,MIN(AL$6-$G$3,22))&lt;&gt;""),Soja!$E59:INDEX(Soja!$E59:$Z59,MIN(AL$6-$G$3,22))),0)))))</f>
        <v>0</v>
      </c>
      <c r="AM61" s="27" t="n">
        <f aca="false">IF(COUNT(Soja!$E59:$Z59)=0,0,MAX(0,IF((AM$6-$E$3)&lt;1,0,IFERROR(LOOKUP(2,1/(Soja!$E59:INDEX(Soja!$E59:$Z59,MIN(AM$6-$E$3,22))&lt;&gt;""),Soja!$E59:INDEX(Soja!$E59:$Z59,MIN(AM$6-$E$3,22))),0))-IF($G$2,0,IF((AM$6-$G$3)&lt;1,0,IFERROR(LOOKUP(2,1/(Soja!$E59:INDEX(Soja!$E59:$Z59,MIN(AM$6-$G$3,22))&lt;&gt;""),Soja!$E59:INDEX(Soja!$E59:$Z59,MIN(AM$6-$G$3,22))),0)))))</f>
        <v>0</v>
      </c>
      <c r="AN61" s="27" t="n">
        <f aca="false">IF(COUNT(Soja!$E59:$Z59)=0,0,MAX(0,IF((AN$6-$E$3)&lt;1,0,IFERROR(LOOKUP(2,1/(Soja!$E59:INDEX(Soja!$E59:$Z59,MIN(AN$6-$E$3,22))&lt;&gt;""),Soja!$E59:INDEX(Soja!$E59:$Z59,MIN(AN$6-$E$3,22))),0))-IF($G$2,0,IF((AN$6-$G$3)&lt;1,0,IFERROR(LOOKUP(2,1/(Soja!$E59:INDEX(Soja!$E59:$Z59,MIN(AN$6-$G$3,22))&lt;&gt;""),Soja!$E59:INDEX(Soja!$E59:$Z59,MIN(AN$6-$G$3,22))),0)))))</f>
        <v>0</v>
      </c>
      <c r="AO61" s="27" t="n">
        <f aca="false">IF(COUNT(Soja!$E59:$Z59)=0,0,MAX(0,IF((AO$6-$E$3)&lt;1,0,IFERROR(LOOKUP(2,1/(Soja!$E59:INDEX(Soja!$E59:$Z59,MIN(AO$6-$E$3,22))&lt;&gt;""),Soja!$E59:INDEX(Soja!$E59:$Z59,MIN(AO$6-$E$3,22))),0))-IF($G$2,0,IF((AO$6-$G$3)&lt;1,0,IFERROR(LOOKUP(2,1/(Soja!$E59:INDEX(Soja!$E59:$Z59,MIN(AO$6-$G$3,22))&lt;&gt;""),Soja!$E59:INDEX(Soja!$E59:$Z59,MIN(AO$6-$G$3,22))),0)))))</f>
        <v>0</v>
      </c>
      <c r="AP61" s="27" t="n">
        <f aca="false">IF(COUNT(Soja!$E59:$Z59)=0,0,MAX(0,IF((AP$6-$E$3)&lt;1,0,IFERROR(LOOKUP(2,1/(Soja!$E59:INDEX(Soja!$E59:$Z59,MIN(AP$6-$E$3,22))&lt;&gt;""),Soja!$E59:INDEX(Soja!$E59:$Z59,MIN(AP$6-$E$3,22))),0))-IF($G$2,0,IF((AP$6-$G$3)&lt;1,0,IFERROR(LOOKUP(2,1/(Soja!$E59:INDEX(Soja!$E59:$Z59,MIN(AP$6-$G$3,22))&lt;&gt;""),Soja!$E59:INDEX(Soja!$E59:$Z59,MIN(AP$6-$G$3,22))),0)))))</f>
        <v>0</v>
      </c>
      <c r="AQ61" s="27" t="n">
        <f aca="false">IF(COUNT(Soja!$E59:$Z59)=0,0,MAX(0,IF((AQ$6-$E$3)&lt;1,0,IFERROR(LOOKUP(2,1/(Soja!$E59:INDEX(Soja!$E59:$Z59,MIN(AQ$6-$E$3,22))&lt;&gt;""),Soja!$E59:INDEX(Soja!$E59:$Z59,MIN(AQ$6-$E$3,22))),0))-IF($G$2,0,IF((AQ$6-$G$3)&lt;1,0,IFERROR(LOOKUP(2,1/(Soja!$E59:INDEX(Soja!$E59:$Z59,MIN(AQ$6-$G$3,22))&lt;&gt;""),Soja!$E59:INDEX(Soja!$E59:$Z59,MIN(AQ$6-$G$3,22))),0)))))</f>
        <v>0</v>
      </c>
      <c r="AR61" s="27" t="n">
        <f aca="false">IF(COUNT(Soja!$E59:$Z59)=0,0,MAX(0,IF((AR$6-$E$3)&lt;1,0,IFERROR(LOOKUP(2,1/(Soja!$E59:INDEX(Soja!$E59:$Z59,MIN(AR$6-$E$3,22))&lt;&gt;""),Soja!$E59:INDEX(Soja!$E59:$Z59,MIN(AR$6-$E$3,22))),0))-IF($G$2,0,IF((AR$6-$G$3)&lt;1,0,IFERROR(LOOKUP(2,1/(Soja!$E59:INDEX(Soja!$E59:$Z59,MIN(AR$6-$G$3,22))&lt;&gt;""),Soja!$E59:INDEX(Soja!$E59:$Z59,MIN(AR$6-$G$3,22))),0)))))</f>
        <v>0</v>
      </c>
      <c r="AS61" s="27" t="n">
        <f aca="false">IF(COUNT(Soja!$E59:$Z59)=0,0,MAX(0,IF((AS$6-$E$3)&lt;1,0,IFERROR(LOOKUP(2,1/(Soja!$E59:INDEX(Soja!$E59:$Z59,MIN(AS$6-$E$3,22))&lt;&gt;""),Soja!$E59:INDEX(Soja!$E59:$Z59,MIN(AS$6-$E$3,22))),0))-IF($G$2,0,IF((AS$6-$G$3)&lt;1,0,IFERROR(LOOKUP(2,1/(Soja!$E59:INDEX(Soja!$E59:$Z59,MIN(AS$6-$G$3,22))&lt;&gt;""),Soja!$E59:INDEX(Soja!$E59:$Z59,MIN(AS$6-$G$3,22))),0)))))</f>
        <v>0</v>
      </c>
      <c r="AT61" s="27" t="n">
        <f aca="false">IF(COUNT(Soja!$E59:$Z59)=0,0,MAX(0,IF((AT$6-$E$3)&lt;1,0,IFERROR(LOOKUP(2,1/(Soja!$E59:INDEX(Soja!$E59:$Z59,MIN(AT$6-$E$3,22))&lt;&gt;""),Soja!$E59:INDEX(Soja!$E59:$Z59,MIN(AT$6-$E$3,22))),0))-IF($G$2,0,IF((AT$6-$G$3)&lt;1,0,IFERROR(LOOKUP(2,1/(Soja!$E59:INDEX(Soja!$E59:$Z59,MIN(AT$6-$G$3,22))&lt;&gt;""),Soja!$E59:INDEX(Soja!$E59:$Z59,MIN(AT$6-$G$3,22))),0)))))</f>
        <v>0</v>
      </c>
      <c r="AU61" s="27" t="n">
        <f aca="false">IF(COUNT(Soja!$E59:$Z59)=0,0,MAX(0,IF((AU$6-$E$3)&lt;1,0,IFERROR(LOOKUP(2,1/(Soja!$E59:INDEX(Soja!$E59:$Z59,MIN(AU$6-$E$3,22))&lt;&gt;""),Soja!$E59:INDEX(Soja!$E59:$Z59,MIN(AU$6-$E$3,22))),0))-IF($G$2,0,IF((AU$6-$G$3)&lt;1,0,IFERROR(LOOKUP(2,1/(Soja!$E59:INDEX(Soja!$E59:$Z59,MIN(AU$6-$G$3,22))&lt;&gt;""),Soja!$E59:INDEX(Soja!$E59:$Z59,MIN(AU$6-$G$3,22))),0)))))</f>
        <v>0</v>
      </c>
      <c r="AV61" s="27" t="n">
        <f aca="false">IF(COUNT(Soja!$E59:$Z59)=0,0,MAX(0,IF((AV$6-$E$3)&lt;1,0,IFERROR(LOOKUP(2,1/(Soja!$E59:INDEX(Soja!$E59:$Z59,MIN(AV$6-$E$3,22))&lt;&gt;""),Soja!$E59:INDEX(Soja!$E59:$Z59,MIN(AV$6-$E$3,22))),0))-IF($G$2,0,IF((AV$6-$G$3)&lt;1,0,IFERROR(LOOKUP(2,1/(Soja!$E59:INDEX(Soja!$E59:$Z59,MIN(AV$6-$G$3,22))&lt;&gt;""),Soja!$E59:INDEX(Soja!$E59:$Z59,MIN(AV$6-$G$3,22))),0)))))</f>
        <v>0</v>
      </c>
      <c r="AW61" s="27" t="n">
        <f aca="false">IF(COUNT(Soja!$E59:$Z59)=0,0,MAX(0,IF((AW$6-$E$3)&lt;1,0,IFERROR(LOOKUP(2,1/(Soja!$E59:INDEX(Soja!$E59:$Z59,MIN(AW$6-$E$3,22))&lt;&gt;""),Soja!$E59:INDEX(Soja!$E59:$Z59,MIN(AW$6-$E$3,22))),0))-IF($G$2,0,IF((AW$6-$G$3)&lt;1,0,IFERROR(LOOKUP(2,1/(Soja!$E59:INDEX(Soja!$E59:$Z59,MIN(AW$6-$G$3,22))&lt;&gt;""),Soja!$E59:INDEX(Soja!$E59:$Z59,MIN(AW$6-$G$3,22))),0)))))</f>
        <v>0</v>
      </c>
      <c r="AX61" s="27" t="n">
        <f aca="false">IF(COUNT(Soja!$E59:$Z59)=0,0,MAX(0,IF((AX$6-$E$3)&lt;1,0,IFERROR(LOOKUP(2,1/(Soja!$E59:INDEX(Soja!$E59:$Z59,MIN(AX$6-$E$3,22))&lt;&gt;""),Soja!$E59:INDEX(Soja!$E59:$Z59,MIN(AX$6-$E$3,22))),0))-IF($G$2,0,IF((AX$6-$G$3)&lt;1,0,IFERROR(LOOKUP(2,1/(Soja!$E59:INDEX(Soja!$E59:$Z59,MIN(AX$6-$G$3,22))&lt;&gt;""),Soja!$E59:INDEX(Soja!$E59:$Z59,MIN(AX$6-$G$3,22))),0)))))</f>
        <v>0</v>
      </c>
      <c r="AY61" s="27" t="n">
        <f aca="false">IF(COUNT(Soja!$E59:$Z59)=0,0,MAX(0,IF((AY$6-$E$3)&lt;1,0,IFERROR(LOOKUP(2,1/(Soja!$E59:INDEX(Soja!$E59:$Z59,MIN(AY$6-$E$3,22))&lt;&gt;""),Soja!$E59:INDEX(Soja!$E59:$Z59,MIN(AY$6-$E$3,22))),0))-IF($G$2,0,IF((AY$6-$G$3)&lt;1,0,IFERROR(LOOKUP(2,1/(Soja!$E59:INDEX(Soja!$E59:$Z59,MIN(AY$6-$G$3,22))&lt;&gt;""),Soja!$E59:INDEX(Soja!$E59:$Z59,MIN(AY$6-$G$3,22))),0)))))</f>
        <v>0</v>
      </c>
      <c r="AZ61" s="27" t="n">
        <f aca="false">IF(COUNT(Soja!$E59:$Z59)=0,0,MAX(0,IF((AZ$6-$E$3)&lt;1,0,IFERROR(LOOKUP(2,1/(Soja!$E59:INDEX(Soja!$E59:$Z59,MIN(AZ$6-$E$3,22))&lt;&gt;""),Soja!$E59:INDEX(Soja!$E59:$Z59,MIN(AZ$6-$E$3,22))),0))-IF($G$2,0,IF((AZ$6-$G$3)&lt;1,0,IFERROR(LOOKUP(2,1/(Soja!$E59:INDEX(Soja!$E59:$Z59,MIN(AZ$6-$G$3,22))&lt;&gt;""),Soja!$E59:INDEX(Soja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IF(COUNT(Soja!$E60:$Z60)&gt;0,N(Soja!$D60),0)</f>
        <v>0</v>
      </c>
      <c r="E62" s="27" t="n">
        <f aca="false">IF(COUNT(Soja!$E60:$Z60)=0,0,MAX(0,IF((E$6-$E$3)&lt;1,0,IFERROR(LOOKUP(2,1/(Soja!$E60:INDEX(Soja!$E60:$Z60,MIN(E$6-$E$3,22))&lt;&gt;""),Soja!$E60:INDEX(Soja!$E60:$Z60,MIN(E$6-$E$3,22))),0))-IF($G$2,0,IF((E$6-$G$3)&lt;1,0,IFERROR(LOOKUP(2,1/(Soja!$E60:INDEX(Soja!$E60:$Z60,MIN(E$6-$G$3,22))&lt;&gt;""),Soja!$E60:INDEX(Soja!$E60:$Z60,MIN(E$6-$G$3,22))),0)))))</f>
        <v>0</v>
      </c>
      <c r="F62" s="27" t="n">
        <f aca="false">IF(COUNT(Soja!$E60:$Z60)=0,0,MAX(0,IF((F$6-$E$3)&lt;1,0,IFERROR(LOOKUP(2,1/(Soja!$E60:INDEX(Soja!$E60:$Z60,MIN(F$6-$E$3,22))&lt;&gt;""),Soja!$E60:INDEX(Soja!$E60:$Z60,MIN(F$6-$E$3,22))),0))-IF($G$2,0,IF((F$6-$G$3)&lt;1,0,IFERROR(LOOKUP(2,1/(Soja!$E60:INDEX(Soja!$E60:$Z60,MIN(F$6-$G$3,22))&lt;&gt;""),Soja!$E60:INDEX(Soja!$E60:$Z60,MIN(F$6-$G$3,22))),0)))))</f>
        <v>0</v>
      </c>
      <c r="G62" s="27" t="n">
        <f aca="false">IF(COUNT(Soja!$E60:$Z60)=0,0,MAX(0,IF((G$6-$E$3)&lt;1,0,IFERROR(LOOKUP(2,1/(Soja!$E60:INDEX(Soja!$E60:$Z60,MIN(G$6-$E$3,22))&lt;&gt;""),Soja!$E60:INDEX(Soja!$E60:$Z60,MIN(G$6-$E$3,22))),0))-IF($G$2,0,IF((G$6-$G$3)&lt;1,0,IFERROR(LOOKUP(2,1/(Soja!$E60:INDEX(Soja!$E60:$Z60,MIN(G$6-$G$3,22))&lt;&gt;""),Soja!$E60:INDEX(Soja!$E60:$Z60,MIN(G$6-$G$3,22))),0)))))</f>
        <v>0</v>
      </c>
      <c r="H62" s="27" t="n">
        <f aca="false">IF(COUNT(Soja!$E60:$Z60)=0,0,MAX(0,IF((H$6-$E$3)&lt;1,0,IFERROR(LOOKUP(2,1/(Soja!$E60:INDEX(Soja!$E60:$Z60,MIN(H$6-$E$3,22))&lt;&gt;""),Soja!$E60:INDEX(Soja!$E60:$Z60,MIN(H$6-$E$3,22))),0))-IF($G$2,0,IF((H$6-$G$3)&lt;1,0,IFERROR(LOOKUP(2,1/(Soja!$E60:INDEX(Soja!$E60:$Z60,MIN(H$6-$G$3,22))&lt;&gt;""),Soja!$E60:INDEX(Soja!$E60:$Z60,MIN(H$6-$G$3,22))),0)))))</f>
        <v>0</v>
      </c>
      <c r="I62" s="27" t="n">
        <f aca="false">IF(COUNT(Soja!$E60:$Z60)=0,0,MAX(0,IF((I$6-$E$3)&lt;1,0,IFERROR(LOOKUP(2,1/(Soja!$E60:INDEX(Soja!$E60:$Z60,MIN(I$6-$E$3,22))&lt;&gt;""),Soja!$E60:INDEX(Soja!$E60:$Z60,MIN(I$6-$E$3,22))),0))-IF($G$2,0,IF((I$6-$G$3)&lt;1,0,IFERROR(LOOKUP(2,1/(Soja!$E60:INDEX(Soja!$E60:$Z60,MIN(I$6-$G$3,22))&lt;&gt;""),Soja!$E60:INDEX(Soja!$E60:$Z60,MIN(I$6-$G$3,22))),0)))))</f>
        <v>0</v>
      </c>
      <c r="J62" s="27" t="n">
        <f aca="false">IF(COUNT(Soja!$E60:$Z60)=0,0,MAX(0,IF((J$6-$E$3)&lt;1,0,IFERROR(LOOKUP(2,1/(Soja!$E60:INDEX(Soja!$E60:$Z60,MIN(J$6-$E$3,22))&lt;&gt;""),Soja!$E60:INDEX(Soja!$E60:$Z60,MIN(J$6-$E$3,22))),0))-IF($G$2,0,IF((J$6-$G$3)&lt;1,0,IFERROR(LOOKUP(2,1/(Soja!$E60:INDEX(Soja!$E60:$Z60,MIN(J$6-$G$3,22))&lt;&gt;""),Soja!$E60:INDEX(Soja!$E60:$Z60,MIN(J$6-$G$3,22))),0)))))</f>
        <v>0</v>
      </c>
      <c r="K62" s="27" t="n">
        <f aca="false">IF(COUNT(Soja!$E60:$Z60)=0,0,MAX(0,IF((K$6-$E$3)&lt;1,0,IFERROR(LOOKUP(2,1/(Soja!$E60:INDEX(Soja!$E60:$Z60,MIN(K$6-$E$3,22))&lt;&gt;""),Soja!$E60:INDEX(Soja!$E60:$Z60,MIN(K$6-$E$3,22))),0))-IF($G$2,0,IF((K$6-$G$3)&lt;1,0,IFERROR(LOOKUP(2,1/(Soja!$E60:INDEX(Soja!$E60:$Z60,MIN(K$6-$G$3,22))&lt;&gt;""),Soja!$E60:INDEX(Soja!$E60:$Z60,MIN(K$6-$G$3,22))),0)))))</f>
        <v>0</v>
      </c>
      <c r="L62" s="27" t="n">
        <f aca="false">IF(COUNT(Soja!$E60:$Z60)=0,0,MAX(0,IF((L$6-$E$3)&lt;1,0,IFERROR(LOOKUP(2,1/(Soja!$E60:INDEX(Soja!$E60:$Z60,MIN(L$6-$E$3,22))&lt;&gt;""),Soja!$E60:INDEX(Soja!$E60:$Z60,MIN(L$6-$E$3,22))),0))-IF($G$2,0,IF((L$6-$G$3)&lt;1,0,IFERROR(LOOKUP(2,1/(Soja!$E60:INDEX(Soja!$E60:$Z60,MIN(L$6-$G$3,22))&lt;&gt;""),Soja!$E60:INDEX(Soja!$E60:$Z60,MIN(L$6-$G$3,22))),0)))))</f>
        <v>0</v>
      </c>
      <c r="M62" s="27" t="n">
        <f aca="false">IF(COUNT(Soja!$E60:$Z60)=0,0,MAX(0,IF((M$6-$E$3)&lt;1,0,IFERROR(LOOKUP(2,1/(Soja!$E60:INDEX(Soja!$E60:$Z60,MIN(M$6-$E$3,22))&lt;&gt;""),Soja!$E60:INDEX(Soja!$E60:$Z60,MIN(M$6-$E$3,22))),0))-IF($G$2,0,IF((M$6-$G$3)&lt;1,0,IFERROR(LOOKUP(2,1/(Soja!$E60:INDEX(Soja!$E60:$Z60,MIN(M$6-$G$3,22))&lt;&gt;""),Soja!$E60:INDEX(Soja!$E60:$Z60,MIN(M$6-$G$3,22))),0)))))</f>
        <v>0</v>
      </c>
      <c r="N62" s="27" t="n">
        <f aca="false">IF(COUNT(Soja!$E60:$Z60)=0,0,MAX(0,IF((N$6-$E$3)&lt;1,0,IFERROR(LOOKUP(2,1/(Soja!$E60:INDEX(Soja!$E60:$Z60,MIN(N$6-$E$3,22))&lt;&gt;""),Soja!$E60:INDEX(Soja!$E60:$Z60,MIN(N$6-$E$3,22))),0))-IF($G$2,0,IF((N$6-$G$3)&lt;1,0,IFERROR(LOOKUP(2,1/(Soja!$E60:INDEX(Soja!$E60:$Z60,MIN(N$6-$G$3,22))&lt;&gt;""),Soja!$E60:INDEX(Soja!$E60:$Z60,MIN(N$6-$G$3,22))),0)))))</f>
        <v>0</v>
      </c>
      <c r="O62" s="27" t="n">
        <f aca="false">IF(COUNT(Soja!$E60:$Z60)=0,0,MAX(0,IF((O$6-$E$3)&lt;1,0,IFERROR(LOOKUP(2,1/(Soja!$E60:INDEX(Soja!$E60:$Z60,MIN(O$6-$E$3,22))&lt;&gt;""),Soja!$E60:INDEX(Soja!$E60:$Z60,MIN(O$6-$E$3,22))),0))-IF($G$2,0,IF((O$6-$G$3)&lt;1,0,IFERROR(LOOKUP(2,1/(Soja!$E60:INDEX(Soja!$E60:$Z60,MIN(O$6-$G$3,22))&lt;&gt;""),Soja!$E60:INDEX(Soja!$E60:$Z60,MIN(O$6-$G$3,22))),0)))))</f>
        <v>0</v>
      </c>
      <c r="P62" s="27" t="n">
        <f aca="false">IF(COUNT(Soja!$E60:$Z60)=0,0,MAX(0,IF((P$6-$E$3)&lt;1,0,IFERROR(LOOKUP(2,1/(Soja!$E60:INDEX(Soja!$E60:$Z60,MIN(P$6-$E$3,22))&lt;&gt;""),Soja!$E60:INDEX(Soja!$E60:$Z60,MIN(P$6-$E$3,22))),0))-IF($G$2,0,IF((P$6-$G$3)&lt;1,0,IFERROR(LOOKUP(2,1/(Soja!$E60:INDEX(Soja!$E60:$Z60,MIN(P$6-$G$3,22))&lt;&gt;""),Soja!$E60:INDEX(Soja!$E60:$Z60,MIN(P$6-$G$3,22))),0)))))</f>
        <v>0</v>
      </c>
      <c r="Q62" s="27" t="n">
        <f aca="false">IF(COUNT(Soja!$E60:$Z60)=0,0,MAX(0,IF((Q$6-$E$3)&lt;1,0,IFERROR(LOOKUP(2,1/(Soja!$E60:INDEX(Soja!$E60:$Z60,MIN(Q$6-$E$3,22))&lt;&gt;""),Soja!$E60:INDEX(Soja!$E60:$Z60,MIN(Q$6-$E$3,22))),0))-IF($G$2,0,IF((Q$6-$G$3)&lt;1,0,IFERROR(LOOKUP(2,1/(Soja!$E60:INDEX(Soja!$E60:$Z60,MIN(Q$6-$G$3,22))&lt;&gt;""),Soja!$E60:INDEX(Soja!$E60:$Z60,MIN(Q$6-$G$3,22))),0)))))</f>
        <v>0</v>
      </c>
      <c r="R62" s="27" t="n">
        <f aca="false">IF(COUNT(Soja!$E60:$Z60)=0,0,MAX(0,IF((R$6-$E$3)&lt;1,0,IFERROR(LOOKUP(2,1/(Soja!$E60:INDEX(Soja!$E60:$Z60,MIN(R$6-$E$3,22))&lt;&gt;""),Soja!$E60:INDEX(Soja!$E60:$Z60,MIN(R$6-$E$3,22))),0))-IF($G$2,0,IF((R$6-$G$3)&lt;1,0,IFERROR(LOOKUP(2,1/(Soja!$E60:INDEX(Soja!$E60:$Z60,MIN(R$6-$G$3,22))&lt;&gt;""),Soja!$E60:INDEX(Soja!$E60:$Z60,MIN(R$6-$G$3,22))),0)))))</f>
        <v>0</v>
      </c>
      <c r="S62" s="27" t="n">
        <f aca="false">IF(COUNT(Soja!$E60:$Z60)=0,0,MAX(0,IF((S$6-$E$3)&lt;1,0,IFERROR(LOOKUP(2,1/(Soja!$E60:INDEX(Soja!$E60:$Z60,MIN(S$6-$E$3,22))&lt;&gt;""),Soja!$E60:INDEX(Soja!$E60:$Z60,MIN(S$6-$E$3,22))),0))-IF($G$2,0,IF((S$6-$G$3)&lt;1,0,IFERROR(LOOKUP(2,1/(Soja!$E60:INDEX(Soja!$E60:$Z60,MIN(S$6-$G$3,22))&lt;&gt;""),Soja!$E60:INDEX(Soja!$E60:$Z60,MIN(S$6-$G$3,22))),0)))))</f>
        <v>0</v>
      </c>
      <c r="T62" s="27" t="n">
        <f aca="false">IF(COUNT(Soja!$E60:$Z60)=0,0,MAX(0,IF((T$6-$E$3)&lt;1,0,IFERROR(LOOKUP(2,1/(Soja!$E60:INDEX(Soja!$E60:$Z60,MIN(T$6-$E$3,22))&lt;&gt;""),Soja!$E60:INDEX(Soja!$E60:$Z60,MIN(T$6-$E$3,22))),0))-IF($G$2,0,IF((T$6-$G$3)&lt;1,0,IFERROR(LOOKUP(2,1/(Soja!$E60:INDEX(Soja!$E60:$Z60,MIN(T$6-$G$3,22))&lt;&gt;""),Soja!$E60:INDEX(Soja!$E60:$Z60,MIN(T$6-$G$3,22))),0)))))</f>
        <v>0</v>
      </c>
      <c r="U62" s="27" t="n">
        <f aca="false">IF(COUNT(Soja!$E60:$Z60)=0,0,MAX(0,IF((U$6-$E$3)&lt;1,0,IFERROR(LOOKUP(2,1/(Soja!$E60:INDEX(Soja!$E60:$Z60,MIN(U$6-$E$3,22))&lt;&gt;""),Soja!$E60:INDEX(Soja!$E60:$Z60,MIN(U$6-$E$3,22))),0))-IF($G$2,0,IF((U$6-$G$3)&lt;1,0,IFERROR(LOOKUP(2,1/(Soja!$E60:INDEX(Soja!$E60:$Z60,MIN(U$6-$G$3,22))&lt;&gt;""),Soja!$E60:INDEX(Soja!$E60:$Z60,MIN(U$6-$G$3,22))),0)))))</f>
        <v>0</v>
      </c>
      <c r="V62" s="27" t="n">
        <f aca="false">IF(COUNT(Soja!$E60:$Z60)=0,0,MAX(0,IF((V$6-$E$3)&lt;1,0,IFERROR(LOOKUP(2,1/(Soja!$E60:INDEX(Soja!$E60:$Z60,MIN(V$6-$E$3,22))&lt;&gt;""),Soja!$E60:INDEX(Soja!$E60:$Z60,MIN(V$6-$E$3,22))),0))-IF($G$2,0,IF((V$6-$G$3)&lt;1,0,IFERROR(LOOKUP(2,1/(Soja!$E60:INDEX(Soja!$E60:$Z60,MIN(V$6-$G$3,22))&lt;&gt;""),Soja!$E60:INDEX(Soja!$E60:$Z60,MIN(V$6-$G$3,22))),0)))))</f>
        <v>0</v>
      </c>
      <c r="W62" s="27" t="n">
        <f aca="false">IF(COUNT(Soja!$E60:$Z60)=0,0,MAX(0,IF((W$6-$E$3)&lt;1,0,IFERROR(LOOKUP(2,1/(Soja!$E60:INDEX(Soja!$E60:$Z60,MIN(W$6-$E$3,22))&lt;&gt;""),Soja!$E60:INDEX(Soja!$E60:$Z60,MIN(W$6-$E$3,22))),0))-IF($G$2,0,IF((W$6-$G$3)&lt;1,0,IFERROR(LOOKUP(2,1/(Soja!$E60:INDEX(Soja!$E60:$Z60,MIN(W$6-$G$3,22))&lt;&gt;""),Soja!$E60:INDEX(Soja!$E60:$Z60,MIN(W$6-$G$3,22))),0)))))</f>
        <v>0</v>
      </c>
      <c r="X62" s="27" t="n">
        <f aca="false">IF(COUNT(Soja!$E60:$Z60)=0,0,MAX(0,IF((X$6-$E$3)&lt;1,0,IFERROR(LOOKUP(2,1/(Soja!$E60:INDEX(Soja!$E60:$Z60,MIN(X$6-$E$3,22))&lt;&gt;""),Soja!$E60:INDEX(Soja!$E60:$Z60,MIN(X$6-$E$3,22))),0))-IF($G$2,0,IF((X$6-$G$3)&lt;1,0,IFERROR(LOOKUP(2,1/(Soja!$E60:INDEX(Soja!$E60:$Z60,MIN(X$6-$G$3,22))&lt;&gt;""),Soja!$E60:INDEX(Soja!$E60:$Z60,MIN(X$6-$G$3,22))),0)))))</f>
        <v>0</v>
      </c>
      <c r="Y62" s="27" t="n">
        <f aca="false">IF(COUNT(Soja!$E60:$Z60)=0,0,MAX(0,IF((Y$6-$E$3)&lt;1,0,IFERROR(LOOKUP(2,1/(Soja!$E60:INDEX(Soja!$E60:$Z60,MIN(Y$6-$E$3,22))&lt;&gt;""),Soja!$E60:INDEX(Soja!$E60:$Z60,MIN(Y$6-$E$3,22))),0))-IF($G$2,0,IF((Y$6-$G$3)&lt;1,0,IFERROR(LOOKUP(2,1/(Soja!$E60:INDEX(Soja!$E60:$Z60,MIN(Y$6-$G$3,22))&lt;&gt;""),Soja!$E60:INDEX(Soja!$E60:$Z60,MIN(Y$6-$G$3,22))),0)))))</f>
        <v>0</v>
      </c>
      <c r="Z62" s="27" t="n">
        <f aca="false">IF(COUNT(Soja!$E60:$Z60)=0,0,MAX(0,IF((Z$6-$E$3)&lt;1,0,IFERROR(LOOKUP(2,1/(Soja!$E60:INDEX(Soja!$E60:$Z60,MIN(Z$6-$E$3,22))&lt;&gt;""),Soja!$E60:INDEX(Soja!$E60:$Z60,MIN(Z$6-$E$3,22))),0))-IF($G$2,0,IF((Z$6-$G$3)&lt;1,0,IFERROR(LOOKUP(2,1/(Soja!$E60:INDEX(Soja!$E60:$Z60,MIN(Z$6-$G$3,22))&lt;&gt;""),Soja!$E60:INDEX(Soja!$E60:$Z60,MIN(Z$6-$G$3,22))),0)))))</f>
        <v>0</v>
      </c>
      <c r="AA62" s="27" t="n">
        <f aca="false">IF(COUNT(Soja!$E60:$Z60)=0,0,MAX(0,IF((AA$6-$E$3)&lt;1,0,IFERROR(LOOKUP(2,1/(Soja!$E60:INDEX(Soja!$E60:$Z60,MIN(AA$6-$E$3,22))&lt;&gt;""),Soja!$E60:INDEX(Soja!$E60:$Z60,MIN(AA$6-$E$3,22))),0))-IF($G$2,0,IF((AA$6-$G$3)&lt;1,0,IFERROR(LOOKUP(2,1/(Soja!$E60:INDEX(Soja!$E60:$Z60,MIN(AA$6-$G$3,22))&lt;&gt;""),Soja!$E60:INDEX(Soja!$E60:$Z60,MIN(AA$6-$G$3,22))),0)))))</f>
        <v>0</v>
      </c>
      <c r="AB62" s="27" t="n">
        <f aca="false">IF(COUNT(Soja!$E60:$Z60)=0,0,MAX(0,IF((AB$6-$E$3)&lt;1,0,IFERROR(LOOKUP(2,1/(Soja!$E60:INDEX(Soja!$E60:$Z60,MIN(AB$6-$E$3,22))&lt;&gt;""),Soja!$E60:INDEX(Soja!$E60:$Z60,MIN(AB$6-$E$3,22))),0))-IF($G$2,0,IF((AB$6-$G$3)&lt;1,0,IFERROR(LOOKUP(2,1/(Soja!$E60:INDEX(Soja!$E60:$Z60,MIN(AB$6-$G$3,22))&lt;&gt;""),Soja!$E60:INDEX(Soja!$E60:$Z60,MIN(AB$6-$G$3,22))),0)))))</f>
        <v>0</v>
      </c>
      <c r="AC62" s="27" t="n">
        <f aca="false">IF(COUNT(Soja!$E60:$Z60)=0,0,MAX(0,IF((AC$6-$E$3)&lt;1,0,IFERROR(LOOKUP(2,1/(Soja!$E60:INDEX(Soja!$E60:$Z60,MIN(AC$6-$E$3,22))&lt;&gt;""),Soja!$E60:INDEX(Soja!$E60:$Z60,MIN(AC$6-$E$3,22))),0))-IF($G$2,0,IF((AC$6-$G$3)&lt;1,0,IFERROR(LOOKUP(2,1/(Soja!$E60:INDEX(Soja!$E60:$Z60,MIN(AC$6-$G$3,22))&lt;&gt;""),Soja!$E60:INDEX(Soja!$E60:$Z60,MIN(AC$6-$G$3,22))),0)))))</f>
        <v>0</v>
      </c>
      <c r="AD62" s="27" t="n">
        <f aca="false">IF(COUNT(Soja!$E60:$Z60)=0,0,MAX(0,IF((AD$6-$E$3)&lt;1,0,IFERROR(LOOKUP(2,1/(Soja!$E60:INDEX(Soja!$E60:$Z60,MIN(AD$6-$E$3,22))&lt;&gt;""),Soja!$E60:INDEX(Soja!$E60:$Z60,MIN(AD$6-$E$3,22))),0))-IF($G$2,0,IF((AD$6-$G$3)&lt;1,0,IFERROR(LOOKUP(2,1/(Soja!$E60:INDEX(Soja!$E60:$Z60,MIN(AD$6-$G$3,22))&lt;&gt;""),Soja!$E60:INDEX(Soja!$E60:$Z60,MIN(AD$6-$G$3,22))),0)))))</f>
        <v>0</v>
      </c>
      <c r="AE62" s="27" t="n">
        <f aca="false">IF(COUNT(Soja!$E60:$Z60)=0,0,MAX(0,IF((AE$6-$E$3)&lt;1,0,IFERROR(LOOKUP(2,1/(Soja!$E60:INDEX(Soja!$E60:$Z60,MIN(AE$6-$E$3,22))&lt;&gt;""),Soja!$E60:INDEX(Soja!$E60:$Z60,MIN(AE$6-$E$3,22))),0))-IF($G$2,0,IF((AE$6-$G$3)&lt;1,0,IFERROR(LOOKUP(2,1/(Soja!$E60:INDEX(Soja!$E60:$Z60,MIN(AE$6-$G$3,22))&lt;&gt;""),Soja!$E60:INDEX(Soja!$E60:$Z60,MIN(AE$6-$G$3,22))),0)))))</f>
        <v>0</v>
      </c>
      <c r="AF62" s="27" t="n">
        <f aca="false">IF(COUNT(Soja!$E60:$Z60)=0,0,MAX(0,IF((AF$6-$E$3)&lt;1,0,IFERROR(LOOKUP(2,1/(Soja!$E60:INDEX(Soja!$E60:$Z60,MIN(AF$6-$E$3,22))&lt;&gt;""),Soja!$E60:INDEX(Soja!$E60:$Z60,MIN(AF$6-$E$3,22))),0))-IF($G$2,0,IF((AF$6-$G$3)&lt;1,0,IFERROR(LOOKUP(2,1/(Soja!$E60:INDEX(Soja!$E60:$Z60,MIN(AF$6-$G$3,22))&lt;&gt;""),Soja!$E60:INDEX(Soja!$E60:$Z60,MIN(AF$6-$G$3,22))),0)))))</f>
        <v>0</v>
      </c>
      <c r="AG62" s="27" t="n">
        <f aca="false">IF(COUNT(Soja!$E60:$Z60)=0,0,MAX(0,IF((AG$6-$E$3)&lt;1,0,IFERROR(LOOKUP(2,1/(Soja!$E60:INDEX(Soja!$E60:$Z60,MIN(AG$6-$E$3,22))&lt;&gt;""),Soja!$E60:INDEX(Soja!$E60:$Z60,MIN(AG$6-$E$3,22))),0))-IF($G$2,0,IF((AG$6-$G$3)&lt;1,0,IFERROR(LOOKUP(2,1/(Soja!$E60:INDEX(Soja!$E60:$Z60,MIN(AG$6-$G$3,22))&lt;&gt;""),Soja!$E60:INDEX(Soja!$E60:$Z60,MIN(AG$6-$G$3,22))),0)))))</f>
        <v>0</v>
      </c>
      <c r="AH62" s="27" t="n">
        <f aca="false">IF(COUNT(Soja!$E60:$Z60)=0,0,MAX(0,IF((AH$6-$E$3)&lt;1,0,IFERROR(LOOKUP(2,1/(Soja!$E60:INDEX(Soja!$E60:$Z60,MIN(AH$6-$E$3,22))&lt;&gt;""),Soja!$E60:INDEX(Soja!$E60:$Z60,MIN(AH$6-$E$3,22))),0))-IF($G$2,0,IF((AH$6-$G$3)&lt;1,0,IFERROR(LOOKUP(2,1/(Soja!$E60:INDEX(Soja!$E60:$Z60,MIN(AH$6-$G$3,22))&lt;&gt;""),Soja!$E60:INDEX(Soja!$E60:$Z60,MIN(AH$6-$G$3,22))),0)))))</f>
        <v>0</v>
      </c>
      <c r="AI62" s="27" t="n">
        <f aca="false">IF(COUNT(Soja!$E60:$Z60)=0,0,MAX(0,IF((AI$6-$E$3)&lt;1,0,IFERROR(LOOKUP(2,1/(Soja!$E60:INDEX(Soja!$E60:$Z60,MIN(AI$6-$E$3,22))&lt;&gt;""),Soja!$E60:INDEX(Soja!$E60:$Z60,MIN(AI$6-$E$3,22))),0))-IF($G$2,0,IF((AI$6-$G$3)&lt;1,0,IFERROR(LOOKUP(2,1/(Soja!$E60:INDEX(Soja!$E60:$Z60,MIN(AI$6-$G$3,22))&lt;&gt;""),Soja!$E60:INDEX(Soja!$E60:$Z60,MIN(AI$6-$G$3,22))),0)))))</f>
        <v>0</v>
      </c>
      <c r="AJ62" s="27" t="n">
        <f aca="false">IF(COUNT(Soja!$E60:$Z60)=0,0,MAX(0,IF((AJ$6-$E$3)&lt;1,0,IFERROR(LOOKUP(2,1/(Soja!$E60:INDEX(Soja!$E60:$Z60,MIN(AJ$6-$E$3,22))&lt;&gt;""),Soja!$E60:INDEX(Soja!$E60:$Z60,MIN(AJ$6-$E$3,22))),0))-IF($G$2,0,IF((AJ$6-$G$3)&lt;1,0,IFERROR(LOOKUP(2,1/(Soja!$E60:INDEX(Soja!$E60:$Z60,MIN(AJ$6-$G$3,22))&lt;&gt;""),Soja!$E60:INDEX(Soja!$E60:$Z60,MIN(AJ$6-$G$3,22))),0)))))</f>
        <v>0</v>
      </c>
      <c r="AK62" s="27" t="n">
        <f aca="false">IF(COUNT(Soja!$E60:$Z60)=0,0,MAX(0,IF((AK$6-$E$3)&lt;1,0,IFERROR(LOOKUP(2,1/(Soja!$E60:INDEX(Soja!$E60:$Z60,MIN(AK$6-$E$3,22))&lt;&gt;""),Soja!$E60:INDEX(Soja!$E60:$Z60,MIN(AK$6-$E$3,22))),0))-IF($G$2,0,IF((AK$6-$G$3)&lt;1,0,IFERROR(LOOKUP(2,1/(Soja!$E60:INDEX(Soja!$E60:$Z60,MIN(AK$6-$G$3,22))&lt;&gt;""),Soja!$E60:INDEX(Soja!$E60:$Z60,MIN(AK$6-$G$3,22))),0)))))</f>
        <v>0</v>
      </c>
      <c r="AL62" s="27" t="n">
        <f aca="false">IF(COUNT(Soja!$E60:$Z60)=0,0,MAX(0,IF((AL$6-$E$3)&lt;1,0,IFERROR(LOOKUP(2,1/(Soja!$E60:INDEX(Soja!$E60:$Z60,MIN(AL$6-$E$3,22))&lt;&gt;""),Soja!$E60:INDEX(Soja!$E60:$Z60,MIN(AL$6-$E$3,22))),0))-IF($G$2,0,IF((AL$6-$G$3)&lt;1,0,IFERROR(LOOKUP(2,1/(Soja!$E60:INDEX(Soja!$E60:$Z60,MIN(AL$6-$G$3,22))&lt;&gt;""),Soja!$E60:INDEX(Soja!$E60:$Z60,MIN(AL$6-$G$3,22))),0)))))</f>
        <v>0</v>
      </c>
      <c r="AM62" s="27" t="n">
        <f aca="false">IF(COUNT(Soja!$E60:$Z60)=0,0,MAX(0,IF((AM$6-$E$3)&lt;1,0,IFERROR(LOOKUP(2,1/(Soja!$E60:INDEX(Soja!$E60:$Z60,MIN(AM$6-$E$3,22))&lt;&gt;""),Soja!$E60:INDEX(Soja!$E60:$Z60,MIN(AM$6-$E$3,22))),0))-IF($G$2,0,IF((AM$6-$G$3)&lt;1,0,IFERROR(LOOKUP(2,1/(Soja!$E60:INDEX(Soja!$E60:$Z60,MIN(AM$6-$G$3,22))&lt;&gt;""),Soja!$E60:INDEX(Soja!$E60:$Z60,MIN(AM$6-$G$3,22))),0)))))</f>
        <v>0</v>
      </c>
      <c r="AN62" s="27" t="n">
        <f aca="false">IF(COUNT(Soja!$E60:$Z60)=0,0,MAX(0,IF((AN$6-$E$3)&lt;1,0,IFERROR(LOOKUP(2,1/(Soja!$E60:INDEX(Soja!$E60:$Z60,MIN(AN$6-$E$3,22))&lt;&gt;""),Soja!$E60:INDEX(Soja!$E60:$Z60,MIN(AN$6-$E$3,22))),0))-IF($G$2,0,IF((AN$6-$G$3)&lt;1,0,IFERROR(LOOKUP(2,1/(Soja!$E60:INDEX(Soja!$E60:$Z60,MIN(AN$6-$G$3,22))&lt;&gt;""),Soja!$E60:INDEX(Soja!$E60:$Z60,MIN(AN$6-$G$3,22))),0)))))</f>
        <v>0</v>
      </c>
      <c r="AO62" s="27" t="n">
        <f aca="false">IF(COUNT(Soja!$E60:$Z60)=0,0,MAX(0,IF((AO$6-$E$3)&lt;1,0,IFERROR(LOOKUP(2,1/(Soja!$E60:INDEX(Soja!$E60:$Z60,MIN(AO$6-$E$3,22))&lt;&gt;""),Soja!$E60:INDEX(Soja!$E60:$Z60,MIN(AO$6-$E$3,22))),0))-IF($G$2,0,IF((AO$6-$G$3)&lt;1,0,IFERROR(LOOKUP(2,1/(Soja!$E60:INDEX(Soja!$E60:$Z60,MIN(AO$6-$G$3,22))&lt;&gt;""),Soja!$E60:INDEX(Soja!$E60:$Z60,MIN(AO$6-$G$3,22))),0)))))</f>
        <v>0</v>
      </c>
      <c r="AP62" s="27" t="n">
        <f aca="false">IF(COUNT(Soja!$E60:$Z60)=0,0,MAX(0,IF((AP$6-$E$3)&lt;1,0,IFERROR(LOOKUP(2,1/(Soja!$E60:INDEX(Soja!$E60:$Z60,MIN(AP$6-$E$3,22))&lt;&gt;""),Soja!$E60:INDEX(Soja!$E60:$Z60,MIN(AP$6-$E$3,22))),0))-IF($G$2,0,IF((AP$6-$G$3)&lt;1,0,IFERROR(LOOKUP(2,1/(Soja!$E60:INDEX(Soja!$E60:$Z60,MIN(AP$6-$G$3,22))&lt;&gt;""),Soja!$E60:INDEX(Soja!$E60:$Z60,MIN(AP$6-$G$3,22))),0)))))</f>
        <v>0</v>
      </c>
      <c r="AQ62" s="27" t="n">
        <f aca="false">IF(COUNT(Soja!$E60:$Z60)=0,0,MAX(0,IF((AQ$6-$E$3)&lt;1,0,IFERROR(LOOKUP(2,1/(Soja!$E60:INDEX(Soja!$E60:$Z60,MIN(AQ$6-$E$3,22))&lt;&gt;""),Soja!$E60:INDEX(Soja!$E60:$Z60,MIN(AQ$6-$E$3,22))),0))-IF($G$2,0,IF((AQ$6-$G$3)&lt;1,0,IFERROR(LOOKUP(2,1/(Soja!$E60:INDEX(Soja!$E60:$Z60,MIN(AQ$6-$G$3,22))&lt;&gt;""),Soja!$E60:INDEX(Soja!$E60:$Z60,MIN(AQ$6-$G$3,22))),0)))))</f>
        <v>0</v>
      </c>
      <c r="AR62" s="27" t="n">
        <f aca="false">IF(COUNT(Soja!$E60:$Z60)=0,0,MAX(0,IF((AR$6-$E$3)&lt;1,0,IFERROR(LOOKUP(2,1/(Soja!$E60:INDEX(Soja!$E60:$Z60,MIN(AR$6-$E$3,22))&lt;&gt;""),Soja!$E60:INDEX(Soja!$E60:$Z60,MIN(AR$6-$E$3,22))),0))-IF($G$2,0,IF((AR$6-$G$3)&lt;1,0,IFERROR(LOOKUP(2,1/(Soja!$E60:INDEX(Soja!$E60:$Z60,MIN(AR$6-$G$3,22))&lt;&gt;""),Soja!$E60:INDEX(Soja!$E60:$Z60,MIN(AR$6-$G$3,22))),0)))))</f>
        <v>0</v>
      </c>
      <c r="AS62" s="27" t="n">
        <f aca="false">IF(COUNT(Soja!$E60:$Z60)=0,0,MAX(0,IF((AS$6-$E$3)&lt;1,0,IFERROR(LOOKUP(2,1/(Soja!$E60:INDEX(Soja!$E60:$Z60,MIN(AS$6-$E$3,22))&lt;&gt;""),Soja!$E60:INDEX(Soja!$E60:$Z60,MIN(AS$6-$E$3,22))),0))-IF($G$2,0,IF((AS$6-$G$3)&lt;1,0,IFERROR(LOOKUP(2,1/(Soja!$E60:INDEX(Soja!$E60:$Z60,MIN(AS$6-$G$3,22))&lt;&gt;""),Soja!$E60:INDEX(Soja!$E60:$Z60,MIN(AS$6-$G$3,22))),0)))))</f>
        <v>0</v>
      </c>
      <c r="AT62" s="27" t="n">
        <f aca="false">IF(COUNT(Soja!$E60:$Z60)=0,0,MAX(0,IF((AT$6-$E$3)&lt;1,0,IFERROR(LOOKUP(2,1/(Soja!$E60:INDEX(Soja!$E60:$Z60,MIN(AT$6-$E$3,22))&lt;&gt;""),Soja!$E60:INDEX(Soja!$E60:$Z60,MIN(AT$6-$E$3,22))),0))-IF($G$2,0,IF((AT$6-$G$3)&lt;1,0,IFERROR(LOOKUP(2,1/(Soja!$E60:INDEX(Soja!$E60:$Z60,MIN(AT$6-$G$3,22))&lt;&gt;""),Soja!$E60:INDEX(Soja!$E60:$Z60,MIN(AT$6-$G$3,22))),0)))))</f>
        <v>0</v>
      </c>
      <c r="AU62" s="27" t="n">
        <f aca="false">IF(COUNT(Soja!$E60:$Z60)=0,0,MAX(0,IF((AU$6-$E$3)&lt;1,0,IFERROR(LOOKUP(2,1/(Soja!$E60:INDEX(Soja!$E60:$Z60,MIN(AU$6-$E$3,22))&lt;&gt;""),Soja!$E60:INDEX(Soja!$E60:$Z60,MIN(AU$6-$E$3,22))),0))-IF($G$2,0,IF((AU$6-$G$3)&lt;1,0,IFERROR(LOOKUP(2,1/(Soja!$E60:INDEX(Soja!$E60:$Z60,MIN(AU$6-$G$3,22))&lt;&gt;""),Soja!$E60:INDEX(Soja!$E60:$Z60,MIN(AU$6-$G$3,22))),0)))))</f>
        <v>0</v>
      </c>
      <c r="AV62" s="27" t="n">
        <f aca="false">IF(COUNT(Soja!$E60:$Z60)=0,0,MAX(0,IF((AV$6-$E$3)&lt;1,0,IFERROR(LOOKUP(2,1/(Soja!$E60:INDEX(Soja!$E60:$Z60,MIN(AV$6-$E$3,22))&lt;&gt;""),Soja!$E60:INDEX(Soja!$E60:$Z60,MIN(AV$6-$E$3,22))),0))-IF($G$2,0,IF((AV$6-$G$3)&lt;1,0,IFERROR(LOOKUP(2,1/(Soja!$E60:INDEX(Soja!$E60:$Z60,MIN(AV$6-$G$3,22))&lt;&gt;""),Soja!$E60:INDEX(Soja!$E60:$Z60,MIN(AV$6-$G$3,22))),0)))))</f>
        <v>0</v>
      </c>
      <c r="AW62" s="27" t="n">
        <f aca="false">IF(COUNT(Soja!$E60:$Z60)=0,0,MAX(0,IF((AW$6-$E$3)&lt;1,0,IFERROR(LOOKUP(2,1/(Soja!$E60:INDEX(Soja!$E60:$Z60,MIN(AW$6-$E$3,22))&lt;&gt;""),Soja!$E60:INDEX(Soja!$E60:$Z60,MIN(AW$6-$E$3,22))),0))-IF($G$2,0,IF((AW$6-$G$3)&lt;1,0,IFERROR(LOOKUP(2,1/(Soja!$E60:INDEX(Soja!$E60:$Z60,MIN(AW$6-$G$3,22))&lt;&gt;""),Soja!$E60:INDEX(Soja!$E60:$Z60,MIN(AW$6-$G$3,22))),0)))))</f>
        <v>0</v>
      </c>
      <c r="AX62" s="27" t="n">
        <f aca="false">IF(COUNT(Soja!$E60:$Z60)=0,0,MAX(0,IF((AX$6-$E$3)&lt;1,0,IFERROR(LOOKUP(2,1/(Soja!$E60:INDEX(Soja!$E60:$Z60,MIN(AX$6-$E$3,22))&lt;&gt;""),Soja!$E60:INDEX(Soja!$E60:$Z60,MIN(AX$6-$E$3,22))),0))-IF($G$2,0,IF((AX$6-$G$3)&lt;1,0,IFERROR(LOOKUP(2,1/(Soja!$E60:INDEX(Soja!$E60:$Z60,MIN(AX$6-$G$3,22))&lt;&gt;""),Soja!$E60:INDEX(Soja!$E60:$Z60,MIN(AX$6-$G$3,22))),0)))))</f>
        <v>0</v>
      </c>
      <c r="AY62" s="27" t="n">
        <f aca="false">IF(COUNT(Soja!$E60:$Z60)=0,0,MAX(0,IF((AY$6-$E$3)&lt;1,0,IFERROR(LOOKUP(2,1/(Soja!$E60:INDEX(Soja!$E60:$Z60,MIN(AY$6-$E$3,22))&lt;&gt;""),Soja!$E60:INDEX(Soja!$E60:$Z60,MIN(AY$6-$E$3,22))),0))-IF($G$2,0,IF((AY$6-$G$3)&lt;1,0,IFERROR(LOOKUP(2,1/(Soja!$E60:INDEX(Soja!$E60:$Z60,MIN(AY$6-$G$3,22))&lt;&gt;""),Soja!$E60:INDEX(Soja!$E60:$Z60,MIN(AY$6-$G$3,22))),0)))))</f>
        <v>0</v>
      </c>
      <c r="AZ62" s="27" t="n">
        <f aca="false">IF(COUNT(Soja!$E60:$Z60)=0,0,MAX(0,IF((AZ$6-$E$3)&lt;1,0,IFERROR(LOOKUP(2,1/(Soja!$E60:INDEX(Soja!$E60:$Z60,MIN(AZ$6-$E$3,22))&lt;&gt;""),Soja!$E60:INDEX(Soja!$E60:$Z60,MIN(AZ$6-$E$3,22))),0))-IF($G$2,0,IF((AZ$6-$G$3)&lt;1,0,IFERROR(LOOKUP(2,1/(Soja!$E60:INDEX(Soja!$E60:$Z60,MIN(AZ$6-$G$3,22))&lt;&gt;""),Soja!$E60:INDEX(Soja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IF(COUNT(Soja!$E61:$Z61)&gt;0,N(Soja!$D61),0)</f>
        <v>0</v>
      </c>
      <c r="E63" s="27" t="n">
        <f aca="false">IF(COUNT(Soja!$E61:$Z61)=0,0,MAX(0,IF((E$6-$E$3)&lt;1,0,IFERROR(LOOKUP(2,1/(Soja!$E61:INDEX(Soja!$E61:$Z61,MIN(E$6-$E$3,22))&lt;&gt;""),Soja!$E61:INDEX(Soja!$E61:$Z61,MIN(E$6-$E$3,22))),0))-IF($G$2,0,IF((E$6-$G$3)&lt;1,0,IFERROR(LOOKUP(2,1/(Soja!$E61:INDEX(Soja!$E61:$Z61,MIN(E$6-$G$3,22))&lt;&gt;""),Soja!$E61:INDEX(Soja!$E61:$Z61,MIN(E$6-$G$3,22))),0)))))</f>
        <v>0</v>
      </c>
      <c r="F63" s="27" t="n">
        <f aca="false">IF(COUNT(Soja!$E61:$Z61)=0,0,MAX(0,IF((F$6-$E$3)&lt;1,0,IFERROR(LOOKUP(2,1/(Soja!$E61:INDEX(Soja!$E61:$Z61,MIN(F$6-$E$3,22))&lt;&gt;""),Soja!$E61:INDEX(Soja!$E61:$Z61,MIN(F$6-$E$3,22))),0))-IF($G$2,0,IF((F$6-$G$3)&lt;1,0,IFERROR(LOOKUP(2,1/(Soja!$E61:INDEX(Soja!$E61:$Z61,MIN(F$6-$G$3,22))&lt;&gt;""),Soja!$E61:INDEX(Soja!$E61:$Z61,MIN(F$6-$G$3,22))),0)))))</f>
        <v>0</v>
      </c>
      <c r="G63" s="27" t="n">
        <f aca="false">IF(COUNT(Soja!$E61:$Z61)=0,0,MAX(0,IF((G$6-$E$3)&lt;1,0,IFERROR(LOOKUP(2,1/(Soja!$E61:INDEX(Soja!$E61:$Z61,MIN(G$6-$E$3,22))&lt;&gt;""),Soja!$E61:INDEX(Soja!$E61:$Z61,MIN(G$6-$E$3,22))),0))-IF($G$2,0,IF((G$6-$G$3)&lt;1,0,IFERROR(LOOKUP(2,1/(Soja!$E61:INDEX(Soja!$E61:$Z61,MIN(G$6-$G$3,22))&lt;&gt;""),Soja!$E61:INDEX(Soja!$E61:$Z61,MIN(G$6-$G$3,22))),0)))))</f>
        <v>0</v>
      </c>
      <c r="H63" s="27" t="n">
        <f aca="false">IF(COUNT(Soja!$E61:$Z61)=0,0,MAX(0,IF((H$6-$E$3)&lt;1,0,IFERROR(LOOKUP(2,1/(Soja!$E61:INDEX(Soja!$E61:$Z61,MIN(H$6-$E$3,22))&lt;&gt;""),Soja!$E61:INDEX(Soja!$E61:$Z61,MIN(H$6-$E$3,22))),0))-IF($G$2,0,IF((H$6-$G$3)&lt;1,0,IFERROR(LOOKUP(2,1/(Soja!$E61:INDEX(Soja!$E61:$Z61,MIN(H$6-$G$3,22))&lt;&gt;""),Soja!$E61:INDEX(Soja!$E61:$Z61,MIN(H$6-$G$3,22))),0)))))</f>
        <v>0</v>
      </c>
      <c r="I63" s="27" t="n">
        <f aca="false">IF(COUNT(Soja!$E61:$Z61)=0,0,MAX(0,IF((I$6-$E$3)&lt;1,0,IFERROR(LOOKUP(2,1/(Soja!$E61:INDEX(Soja!$E61:$Z61,MIN(I$6-$E$3,22))&lt;&gt;""),Soja!$E61:INDEX(Soja!$E61:$Z61,MIN(I$6-$E$3,22))),0))-IF($G$2,0,IF((I$6-$G$3)&lt;1,0,IFERROR(LOOKUP(2,1/(Soja!$E61:INDEX(Soja!$E61:$Z61,MIN(I$6-$G$3,22))&lt;&gt;""),Soja!$E61:INDEX(Soja!$E61:$Z61,MIN(I$6-$G$3,22))),0)))))</f>
        <v>0</v>
      </c>
      <c r="J63" s="27" t="n">
        <f aca="false">IF(COUNT(Soja!$E61:$Z61)=0,0,MAX(0,IF((J$6-$E$3)&lt;1,0,IFERROR(LOOKUP(2,1/(Soja!$E61:INDEX(Soja!$E61:$Z61,MIN(J$6-$E$3,22))&lt;&gt;""),Soja!$E61:INDEX(Soja!$E61:$Z61,MIN(J$6-$E$3,22))),0))-IF($G$2,0,IF((J$6-$G$3)&lt;1,0,IFERROR(LOOKUP(2,1/(Soja!$E61:INDEX(Soja!$E61:$Z61,MIN(J$6-$G$3,22))&lt;&gt;""),Soja!$E61:INDEX(Soja!$E61:$Z61,MIN(J$6-$G$3,22))),0)))))</f>
        <v>0</v>
      </c>
      <c r="K63" s="27" t="n">
        <f aca="false">IF(COUNT(Soja!$E61:$Z61)=0,0,MAX(0,IF((K$6-$E$3)&lt;1,0,IFERROR(LOOKUP(2,1/(Soja!$E61:INDEX(Soja!$E61:$Z61,MIN(K$6-$E$3,22))&lt;&gt;""),Soja!$E61:INDEX(Soja!$E61:$Z61,MIN(K$6-$E$3,22))),0))-IF($G$2,0,IF((K$6-$G$3)&lt;1,0,IFERROR(LOOKUP(2,1/(Soja!$E61:INDEX(Soja!$E61:$Z61,MIN(K$6-$G$3,22))&lt;&gt;""),Soja!$E61:INDEX(Soja!$E61:$Z61,MIN(K$6-$G$3,22))),0)))))</f>
        <v>0</v>
      </c>
      <c r="L63" s="27" t="n">
        <f aca="false">IF(COUNT(Soja!$E61:$Z61)=0,0,MAX(0,IF((L$6-$E$3)&lt;1,0,IFERROR(LOOKUP(2,1/(Soja!$E61:INDEX(Soja!$E61:$Z61,MIN(L$6-$E$3,22))&lt;&gt;""),Soja!$E61:INDEX(Soja!$E61:$Z61,MIN(L$6-$E$3,22))),0))-IF($G$2,0,IF((L$6-$G$3)&lt;1,0,IFERROR(LOOKUP(2,1/(Soja!$E61:INDEX(Soja!$E61:$Z61,MIN(L$6-$G$3,22))&lt;&gt;""),Soja!$E61:INDEX(Soja!$E61:$Z61,MIN(L$6-$G$3,22))),0)))))</f>
        <v>0</v>
      </c>
      <c r="M63" s="27" t="n">
        <f aca="false">IF(COUNT(Soja!$E61:$Z61)=0,0,MAX(0,IF((M$6-$E$3)&lt;1,0,IFERROR(LOOKUP(2,1/(Soja!$E61:INDEX(Soja!$E61:$Z61,MIN(M$6-$E$3,22))&lt;&gt;""),Soja!$E61:INDEX(Soja!$E61:$Z61,MIN(M$6-$E$3,22))),0))-IF($G$2,0,IF((M$6-$G$3)&lt;1,0,IFERROR(LOOKUP(2,1/(Soja!$E61:INDEX(Soja!$E61:$Z61,MIN(M$6-$G$3,22))&lt;&gt;""),Soja!$E61:INDEX(Soja!$E61:$Z61,MIN(M$6-$G$3,22))),0)))))</f>
        <v>0</v>
      </c>
      <c r="N63" s="27" t="n">
        <f aca="false">IF(COUNT(Soja!$E61:$Z61)=0,0,MAX(0,IF((N$6-$E$3)&lt;1,0,IFERROR(LOOKUP(2,1/(Soja!$E61:INDEX(Soja!$E61:$Z61,MIN(N$6-$E$3,22))&lt;&gt;""),Soja!$E61:INDEX(Soja!$E61:$Z61,MIN(N$6-$E$3,22))),0))-IF($G$2,0,IF((N$6-$G$3)&lt;1,0,IFERROR(LOOKUP(2,1/(Soja!$E61:INDEX(Soja!$E61:$Z61,MIN(N$6-$G$3,22))&lt;&gt;""),Soja!$E61:INDEX(Soja!$E61:$Z61,MIN(N$6-$G$3,22))),0)))))</f>
        <v>0</v>
      </c>
      <c r="O63" s="27" t="n">
        <f aca="false">IF(COUNT(Soja!$E61:$Z61)=0,0,MAX(0,IF((O$6-$E$3)&lt;1,0,IFERROR(LOOKUP(2,1/(Soja!$E61:INDEX(Soja!$E61:$Z61,MIN(O$6-$E$3,22))&lt;&gt;""),Soja!$E61:INDEX(Soja!$E61:$Z61,MIN(O$6-$E$3,22))),0))-IF($G$2,0,IF((O$6-$G$3)&lt;1,0,IFERROR(LOOKUP(2,1/(Soja!$E61:INDEX(Soja!$E61:$Z61,MIN(O$6-$G$3,22))&lt;&gt;""),Soja!$E61:INDEX(Soja!$E61:$Z61,MIN(O$6-$G$3,22))),0)))))</f>
        <v>0</v>
      </c>
      <c r="P63" s="27" t="n">
        <f aca="false">IF(COUNT(Soja!$E61:$Z61)=0,0,MAX(0,IF((P$6-$E$3)&lt;1,0,IFERROR(LOOKUP(2,1/(Soja!$E61:INDEX(Soja!$E61:$Z61,MIN(P$6-$E$3,22))&lt;&gt;""),Soja!$E61:INDEX(Soja!$E61:$Z61,MIN(P$6-$E$3,22))),0))-IF($G$2,0,IF((P$6-$G$3)&lt;1,0,IFERROR(LOOKUP(2,1/(Soja!$E61:INDEX(Soja!$E61:$Z61,MIN(P$6-$G$3,22))&lt;&gt;""),Soja!$E61:INDEX(Soja!$E61:$Z61,MIN(P$6-$G$3,22))),0)))))</f>
        <v>0</v>
      </c>
      <c r="Q63" s="27" t="n">
        <f aca="false">IF(COUNT(Soja!$E61:$Z61)=0,0,MAX(0,IF((Q$6-$E$3)&lt;1,0,IFERROR(LOOKUP(2,1/(Soja!$E61:INDEX(Soja!$E61:$Z61,MIN(Q$6-$E$3,22))&lt;&gt;""),Soja!$E61:INDEX(Soja!$E61:$Z61,MIN(Q$6-$E$3,22))),0))-IF($G$2,0,IF((Q$6-$G$3)&lt;1,0,IFERROR(LOOKUP(2,1/(Soja!$E61:INDEX(Soja!$E61:$Z61,MIN(Q$6-$G$3,22))&lt;&gt;""),Soja!$E61:INDEX(Soja!$E61:$Z61,MIN(Q$6-$G$3,22))),0)))))</f>
        <v>0</v>
      </c>
      <c r="R63" s="27" t="n">
        <f aca="false">IF(COUNT(Soja!$E61:$Z61)=0,0,MAX(0,IF((R$6-$E$3)&lt;1,0,IFERROR(LOOKUP(2,1/(Soja!$E61:INDEX(Soja!$E61:$Z61,MIN(R$6-$E$3,22))&lt;&gt;""),Soja!$E61:INDEX(Soja!$E61:$Z61,MIN(R$6-$E$3,22))),0))-IF($G$2,0,IF((R$6-$G$3)&lt;1,0,IFERROR(LOOKUP(2,1/(Soja!$E61:INDEX(Soja!$E61:$Z61,MIN(R$6-$G$3,22))&lt;&gt;""),Soja!$E61:INDEX(Soja!$E61:$Z61,MIN(R$6-$G$3,22))),0)))))</f>
        <v>0</v>
      </c>
      <c r="S63" s="27" t="n">
        <f aca="false">IF(COUNT(Soja!$E61:$Z61)=0,0,MAX(0,IF((S$6-$E$3)&lt;1,0,IFERROR(LOOKUP(2,1/(Soja!$E61:INDEX(Soja!$E61:$Z61,MIN(S$6-$E$3,22))&lt;&gt;""),Soja!$E61:INDEX(Soja!$E61:$Z61,MIN(S$6-$E$3,22))),0))-IF($G$2,0,IF((S$6-$G$3)&lt;1,0,IFERROR(LOOKUP(2,1/(Soja!$E61:INDEX(Soja!$E61:$Z61,MIN(S$6-$G$3,22))&lt;&gt;""),Soja!$E61:INDEX(Soja!$E61:$Z61,MIN(S$6-$G$3,22))),0)))))</f>
        <v>0</v>
      </c>
      <c r="T63" s="27" t="n">
        <f aca="false">IF(COUNT(Soja!$E61:$Z61)=0,0,MAX(0,IF((T$6-$E$3)&lt;1,0,IFERROR(LOOKUP(2,1/(Soja!$E61:INDEX(Soja!$E61:$Z61,MIN(T$6-$E$3,22))&lt;&gt;""),Soja!$E61:INDEX(Soja!$E61:$Z61,MIN(T$6-$E$3,22))),0))-IF($G$2,0,IF((T$6-$G$3)&lt;1,0,IFERROR(LOOKUP(2,1/(Soja!$E61:INDEX(Soja!$E61:$Z61,MIN(T$6-$G$3,22))&lt;&gt;""),Soja!$E61:INDEX(Soja!$E61:$Z61,MIN(T$6-$G$3,22))),0)))))</f>
        <v>0</v>
      </c>
      <c r="U63" s="27" t="n">
        <f aca="false">IF(COUNT(Soja!$E61:$Z61)=0,0,MAX(0,IF((U$6-$E$3)&lt;1,0,IFERROR(LOOKUP(2,1/(Soja!$E61:INDEX(Soja!$E61:$Z61,MIN(U$6-$E$3,22))&lt;&gt;""),Soja!$E61:INDEX(Soja!$E61:$Z61,MIN(U$6-$E$3,22))),0))-IF($G$2,0,IF((U$6-$G$3)&lt;1,0,IFERROR(LOOKUP(2,1/(Soja!$E61:INDEX(Soja!$E61:$Z61,MIN(U$6-$G$3,22))&lt;&gt;""),Soja!$E61:INDEX(Soja!$E61:$Z61,MIN(U$6-$G$3,22))),0)))))</f>
        <v>0</v>
      </c>
      <c r="V63" s="27" t="n">
        <f aca="false">IF(COUNT(Soja!$E61:$Z61)=0,0,MAX(0,IF((V$6-$E$3)&lt;1,0,IFERROR(LOOKUP(2,1/(Soja!$E61:INDEX(Soja!$E61:$Z61,MIN(V$6-$E$3,22))&lt;&gt;""),Soja!$E61:INDEX(Soja!$E61:$Z61,MIN(V$6-$E$3,22))),0))-IF($G$2,0,IF((V$6-$G$3)&lt;1,0,IFERROR(LOOKUP(2,1/(Soja!$E61:INDEX(Soja!$E61:$Z61,MIN(V$6-$G$3,22))&lt;&gt;""),Soja!$E61:INDEX(Soja!$E61:$Z61,MIN(V$6-$G$3,22))),0)))))</f>
        <v>0</v>
      </c>
      <c r="W63" s="27" t="n">
        <f aca="false">IF(COUNT(Soja!$E61:$Z61)=0,0,MAX(0,IF((W$6-$E$3)&lt;1,0,IFERROR(LOOKUP(2,1/(Soja!$E61:INDEX(Soja!$E61:$Z61,MIN(W$6-$E$3,22))&lt;&gt;""),Soja!$E61:INDEX(Soja!$E61:$Z61,MIN(W$6-$E$3,22))),0))-IF($G$2,0,IF((W$6-$G$3)&lt;1,0,IFERROR(LOOKUP(2,1/(Soja!$E61:INDEX(Soja!$E61:$Z61,MIN(W$6-$G$3,22))&lt;&gt;""),Soja!$E61:INDEX(Soja!$E61:$Z61,MIN(W$6-$G$3,22))),0)))))</f>
        <v>0</v>
      </c>
      <c r="X63" s="27" t="n">
        <f aca="false">IF(COUNT(Soja!$E61:$Z61)=0,0,MAX(0,IF((X$6-$E$3)&lt;1,0,IFERROR(LOOKUP(2,1/(Soja!$E61:INDEX(Soja!$E61:$Z61,MIN(X$6-$E$3,22))&lt;&gt;""),Soja!$E61:INDEX(Soja!$E61:$Z61,MIN(X$6-$E$3,22))),0))-IF($G$2,0,IF((X$6-$G$3)&lt;1,0,IFERROR(LOOKUP(2,1/(Soja!$E61:INDEX(Soja!$E61:$Z61,MIN(X$6-$G$3,22))&lt;&gt;""),Soja!$E61:INDEX(Soja!$E61:$Z61,MIN(X$6-$G$3,22))),0)))))</f>
        <v>0</v>
      </c>
      <c r="Y63" s="27" t="n">
        <f aca="false">IF(COUNT(Soja!$E61:$Z61)=0,0,MAX(0,IF((Y$6-$E$3)&lt;1,0,IFERROR(LOOKUP(2,1/(Soja!$E61:INDEX(Soja!$E61:$Z61,MIN(Y$6-$E$3,22))&lt;&gt;""),Soja!$E61:INDEX(Soja!$E61:$Z61,MIN(Y$6-$E$3,22))),0))-IF($G$2,0,IF((Y$6-$G$3)&lt;1,0,IFERROR(LOOKUP(2,1/(Soja!$E61:INDEX(Soja!$E61:$Z61,MIN(Y$6-$G$3,22))&lt;&gt;""),Soja!$E61:INDEX(Soja!$E61:$Z61,MIN(Y$6-$G$3,22))),0)))))</f>
        <v>0</v>
      </c>
      <c r="Z63" s="27" t="n">
        <f aca="false">IF(COUNT(Soja!$E61:$Z61)=0,0,MAX(0,IF((Z$6-$E$3)&lt;1,0,IFERROR(LOOKUP(2,1/(Soja!$E61:INDEX(Soja!$E61:$Z61,MIN(Z$6-$E$3,22))&lt;&gt;""),Soja!$E61:INDEX(Soja!$E61:$Z61,MIN(Z$6-$E$3,22))),0))-IF($G$2,0,IF((Z$6-$G$3)&lt;1,0,IFERROR(LOOKUP(2,1/(Soja!$E61:INDEX(Soja!$E61:$Z61,MIN(Z$6-$G$3,22))&lt;&gt;""),Soja!$E61:INDEX(Soja!$E61:$Z61,MIN(Z$6-$G$3,22))),0)))))</f>
        <v>0</v>
      </c>
      <c r="AA63" s="27" t="n">
        <f aca="false">IF(COUNT(Soja!$E61:$Z61)=0,0,MAX(0,IF((AA$6-$E$3)&lt;1,0,IFERROR(LOOKUP(2,1/(Soja!$E61:INDEX(Soja!$E61:$Z61,MIN(AA$6-$E$3,22))&lt;&gt;""),Soja!$E61:INDEX(Soja!$E61:$Z61,MIN(AA$6-$E$3,22))),0))-IF($G$2,0,IF((AA$6-$G$3)&lt;1,0,IFERROR(LOOKUP(2,1/(Soja!$E61:INDEX(Soja!$E61:$Z61,MIN(AA$6-$G$3,22))&lt;&gt;""),Soja!$E61:INDEX(Soja!$E61:$Z61,MIN(AA$6-$G$3,22))),0)))))</f>
        <v>0</v>
      </c>
      <c r="AB63" s="27" t="n">
        <f aca="false">IF(COUNT(Soja!$E61:$Z61)=0,0,MAX(0,IF((AB$6-$E$3)&lt;1,0,IFERROR(LOOKUP(2,1/(Soja!$E61:INDEX(Soja!$E61:$Z61,MIN(AB$6-$E$3,22))&lt;&gt;""),Soja!$E61:INDEX(Soja!$E61:$Z61,MIN(AB$6-$E$3,22))),0))-IF($G$2,0,IF((AB$6-$G$3)&lt;1,0,IFERROR(LOOKUP(2,1/(Soja!$E61:INDEX(Soja!$E61:$Z61,MIN(AB$6-$G$3,22))&lt;&gt;""),Soja!$E61:INDEX(Soja!$E61:$Z61,MIN(AB$6-$G$3,22))),0)))))</f>
        <v>0</v>
      </c>
      <c r="AC63" s="27" t="n">
        <f aca="false">IF(COUNT(Soja!$E61:$Z61)=0,0,MAX(0,IF((AC$6-$E$3)&lt;1,0,IFERROR(LOOKUP(2,1/(Soja!$E61:INDEX(Soja!$E61:$Z61,MIN(AC$6-$E$3,22))&lt;&gt;""),Soja!$E61:INDEX(Soja!$E61:$Z61,MIN(AC$6-$E$3,22))),0))-IF($G$2,0,IF((AC$6-$G$3)&lt;1,0,IFERROR(LOOKUP(2,1/(Soja!$E61:INDEX(Soja!$E61:$Z61,MIN(AC$6-$G$3,22))&lt;&gt;""),Soja!$E61:INDEX(Soja!$E61:$Z61,MIN(AC$6-$G$3,22))),0)))))</f>
        <v>0</v>
      </c>
      <c r="AD63" s="27" t="n">
        <f aca="false">IF(COUNT(Soja!$E61:$Z61)=0,0,MAX(0,IF((AD$6-$E$3)&lt;1,0,IFERROR(LOOKUP(2,1/(Soja!$E61:INDEX(Soja!$E61:$Z61,MIN(AD$6-$E$3,22))&lt;&gt;""),Soja!$E61:INDEX(Soja!$E61:$Z61,MIN(AD$6-$E$3,22))),0))-IF($G$2,0,IF((AD$6-$G$3)&lt;1,0,IFERROR(LOOKUP(2,1/(Soja!$E61:INDEX(Soja!$E61:$Z61,MIN(AD$6-$G$3,22))&lt;&gt;""),Soja!$E61:INDEX(Soja!$E61:$Z61,MIN(AD$6-$G$3,22))),0)))))</f>
        <v>0</v>
      </c>
      <c r="AE63" s="27" t="n">
        <f aca="false">IF(COUNT(Soja!$E61:$Z61)=0,0,MAX(0,IF((AE$6-$E$3)&lt;1,0,IFERROR(LOOKUP(2,1/(Soja!$E61:INDEX(Soja!$E61:$Z61,MIN(AE$6-$E$3,22))&lt;&gt;""),Soja!$E61:INDEX(Soja!$E61:$Z61,MIN(AE$6-$E$3,22))),0))-IF($G$2,0,IF((AE$6-$G$3)&lt;1,0,IFERROR(LOOKUP(2,1/(Soja!$E61:INDEX(Soja!$E61:$Z61,MIN(AE$6-$G$3,22))&lt;&gt;""),Soja!$E61:INDEX(Soja!$E61:$Z61,MIN(AE$6-$G$3,22))),0)))))</f>
        <v>0</v>
      </c>
      <c r="AF63" s="27" t="n">
        <f aca="false">IF(COUNT(Soja!$E61:$Z61)=0,0,MAX(0,IF((AF$6-$E$3)&lt;1,0,IFERROR(LOOKUP(2,1/(Soja!$E61:INDEX(Soja!$E61:$Z61,MIN(AF$6-$E$3,22))&lt;&gt;""),Soja!$E61:INDEX(Soja!$E61:$Z61,MIN(AF$6-$E$3,22))),0))-IF($G$2,0,IF((AF$6-$G$3)&lt;1,0,IFERROR(LOOKUP(2,1/(Soja!$E61:INDEX(Soja!$E61:$Z61,MIN(AF$6-$G$3,22))&lt;&gt;""),Soja!$E61:INDEX(Soja!$E61:$Z61,MIN(AF$6-$G$3,22))),0)))))</f>
        <v>0</v>
      </c>
      <c r="AG63" s="27" t="n">
        <f aca="false">IF(COUNT(Soja!$E61:$Z61)=0,0,MAX(0,IF((AG$6-$E$3)&lt;1,0,IFERROR(LOOKUP(2,1/(Soja!$E61:INDEX(Soja!$E61:$Z61,MIN(AG$6-$E$3,22))&lt;&gt;""),Soja!$E61:INDEX(Soja!$E61:$Z61,MIN(AG$6-$E$3,22))),0))-IF($G$2,0,IF((AG$6-$G$3)&lt;1,0,IFERROR(LOOKUP(2,1/(Soja!$E61:INDEX(Soja!$E61:$Z61,MIN(AG$6-$G$3,22))&lt;&gt;""),Soja!$E61:INDEX(Soja!$E61:$Z61,MIN(AG$6-$G$3,22))),0)))))</f>
        <v>0</v>
      </c>
      <c r="AH63" s="27" t="n">
        <f aca="false">IF(COUNT(Soja!$E61:$Z61)=0,0,MAX(0,IF((AH$6-$E$3)&lt;1,0,IFERROR(LOOKUP(2,1/(Soja!$E61:INDEX(Soja!$E61:$Z61,MIN(AH$6-$E$3,22))&lt;&gt;""),Soja!$E61:INDEX(Soja!$E61:$Z61,MIN(AH$6-$E$3,22))),0))-IF($G$2,0,IF((AH$6-$G$3)&lt;1,0,IFERROR(LOOKUP(2,1/(Soja!$E61:INDEX(Soja!$E61:$Z61,MIN(AH$6-$G$3,22))&lt;&gt;""),Soja!$E61:INDEX(Soja!$E61:$Z61,MIN(AH$6-$G$3,22))),0)))))</f>
        <v>0</v>
      </c>
      <c r="AI63" s="27" t="n">
        <f aca="false">IF(COUNT(Soja!$E61:$Z61)=0,0,MAX(0,IF((AI$6-$E$3)&lt;1,0,IFERROR(LOOKUP(2,1/(Soja!$E61:INDEX(Soja!$E61:$Z61,MIN(AI$6-$E$3,22))&lt;&gt;""),Soja!$E61:INDEX(Soja!$E61:$Z61,MIN(AI$6-$E$3,22))),0))-IF($G$2,0,IF((AI$6-$G$3)&lt;1,0,IFERROR(LOOKUP(2,1/(Soja!$E61:INDEX(Soja!$E61:$Z61,MIN(AI$6-$G$3,22))&lt;&gt;""),Soja!$E61:INDEX(Soja!$E61:$Z61,MIN(AI$6-$G$3,22))),0)))))</f>
        <v>0</v>
      </c>
      <c r="AJ63" s="27" t="n">
        <f aca="false">IF(COUNT(Soja!$E61:$Z61)=0,0,MAX(0,IF((AJ$6-$E$3)&lt;1,0,IFERROR(LOOKUP(2,1/(Soja!$E61:INDEX(Soja!$E61:$Z61,MIN(AJ$6-$E$3,22))&lt;&gt;""),Soja!$E61:INDEX(Soja!$E61:$Z61,MIN(AJ$6-$E$3,22))),0))-IF($G$2,0,IF((AJ$6-$G$3)&lt;1,0,IFERROR(LOOKUP(2,1/(Soja!$E61:INDEX(Soja!$E61:$Z61,MIN(AJ$6-$G$3,22))&lt;&gt;""),Soja!$E61:INDEX(Soja!$E61:$Z61,MIN(AJ$6-$G$3,22))),0)))))</f>
        <v>0</v>
      </c>
      <c r="AK63" s="27" t="n">
        <f aca="false">IF(COUNT(Soja!$E61:$Z61)=0,0,MAX(0,IF((AK$6-$E$3)&lt;1,0,IFERROR(LOOKUP(2,1/(Soja!$E61:INDEX(Soja!$E61:$Z61,MIN(AK$6-$E$3,22))&lt;&gt;""),Soja!$E61:INDEX(Soja!$E61:$Z61,MIN(AK$6-$E$3,22))),0))-IF($G$2,0,IF((AK$6-$G$3)&lt;1,0,IFERROR(LOOKUP(2,1/(Soja!$E61:INDEX(Soja!$E61:$Z61,MIN(AK$6-$G$3,22))&lt;&gt;""),Soja!$E61:INDEX(Soja!$E61:$Z61,MIN(AK$6-$G$3,22))),0)))))</f>
        <v>0</v>
      </c>
      <c r="AL63" s="27" t="n">
        <f aca="false">IF(COUNT(Soja!$E61:$Z61)=0,0,MAX(0,IF((AL$6-$E$3)&lt;1,0,IFERROR(LOOKUP(2,1/(Soja!$E61:INDEX(Soja!$E61:$Z61,MIN(AL$6-$E$3,22))&lt;&gt;""),Soja!$E61:INDEX(Soja!$E61:$Z61,MIN(AL$6-$E$3,22))),0))-IF($G$2,0,IF((AL$6-$G$3)&lt;1,0,IFERROR(LOOKUP(2,1/(Soja!$E61:INDEX(Soja!$E61:$Z61,MIN(AL$6-$G$3,22))&lt;&gt;""),Soja!$E61:INDEX(Soja!$E61:$Z61,MIN(AL$6-$G$3,22))),0)))))</f>
        <v>0</v>
      </c>
      <c r="AM63" s="27" t="n">
        <f aca="false">IF(COUNT(Soja!$E61:$Z61)=0,0,MAX(0,IF((AM$6-$E$3)&lt;1,0,IFERROR(LOOKUP(2,1/(Soja!$E61:INDEX(Soja!$E61:$Z61,MIN(AM$6-$E$3,22))&lt;&gt;""),Soja!$E61:INDEX(Soja!$E61:$Z61,MIN(AM$6-$E$3,22))),0))-IF($G$2,0,IF((AM$6-$G$3)&lt;1,0,IFERROR(LOOKUP(2,1/(Soja!$E61:INDEX(Soja!$E61:$Z61,MIN(AM$6-$G$3,22))&lt;&gt;""),Soja!$E61:INDEX(Soja!$E61:$Z61,MIN(AM$6-$G$3,22))),0)))))</f>
        <v>0</v>
      </c>
      <c r="AN63" s="27" t="n">
        <f aca="false">IF(COUNT(Soja!$E61:$Z61)=0,0,MAX(0,IF((AN$6-$E$3)&lt;1,0,IFERROR(LOOKUP(2,1/(Soja!$E61:INDEX(Soja!$E61:$Z61,MIN(AN$6-$E$3,22))&lt;&gt;""),Soja!$E61:INDEX(Soja!$E61:$Z61,MIN(AN$6-$E$3,22))),0))-IF($G$2,0,IF((AN$6-$G$3)&lt;1,0,IFERROR(LOOKUP(2,1/(Soja!$E61:INDEX(Soja!$E61:$Z61,MIN(AN$6-$G$3,22))&lt;&gt;""),Soja!$E61:INDEX(Soja!$E61:$Z61,MIN(AN$6-$G$3,22))),0)))))</f>
        <v>0</v>
      </c>
      <c r="AO63" s="27" t="n">
        <f aca="false">IF(COUNT(Soja!$E61:$Z61)=0,0,MAX(0,IF((AO$6-$E$3)&lt;1,0,IFERROR(LOOKUP(2,1/(Soja!$E61:INDEX(Soja!$E61:$Z61,MIN(AO$6-$E$3,22))&lt;&gt;""),Soja!$E61:INDEX(Soja!$E61:$Z61,MIN(AO$6-$E$3,22))),0))-IF($G$2,0,IF((AO$6-$G$3)&lt;1,0,IFERROR(LOOKUP(2,1/(Soja!$E61:INDEX(Soja!$E61:$Z61,MIN(AO$6-$G$3,22))&lt;&gt;""),Soja!$E61:INDEX(Soja!$E61:$Z61,MIN(AO$6-$G$3,22))),0)))))</f>
        <v>0</v>
      </c>
      <c r="AP63" s="27" t="n">
        <f aca="false">IF(COUNT(Soja!$E61:$Z61)=0,0,MAX(0,IF((AP$6-$E$3)&lt;1,0,IFERROR(LOOKUP(2,1/(Soja!$E61:INDEX(Soja!$E61:$Z61,MIN(AP$6-$E$3,22))&lt;&gt;""),Soja!$E61:INDEX(Soja!$E61:$Z61,MIN(AP$6-$E$3,22))),0))-IF($G$2,0,IF((AP$6-$G$3)&lt;1,0,IFERROR(LOOKUP(2,1/(Soja!$E61:INDEX(Soja!$E61:$Z61,MIN(AP$6-$G$3,22))&lt;&gt;""),Soja!$E61:INDEX(Soja!$E61:$Z61,MIN(AP$6-$G$3,22))),0)))))</f>
        <v>0</v>
      </c>
      <c r="AQ63" s="27" t="n">
        <f aca="false">IF(COUNT(Soja!$E61:$Z61)=0,0,MAX(0,IF((AQ$6-$E$3)&lt;1,0,IFERROR(LOOKUP(2,1/(Soja!$E61:INDEX(Soja!$E61:$Z61,MIN(AQ$6-$E$3,22))&lt;&gt;""),Soja!$E61:INDEX(Soja!$E61:$Z61,MIN(AQ$6-$E$3,22))),0))-IF($G$2,0,IF((AQ$6-$G$3)&lt;1,0,IFERROR(LOOKUP(2,1/(Soja!$E61:INDEX(Soja!$E61:$Z61,MIN(AQ$6-$G$3,22))&lt;&gt;""),Soja!$E61:INDEX(Soja!$E61:$Z61,MIN(AQ$6-$G$3,22))),0)))))</f>
        <v>0</v>
      </c>
      <c r="AR63" s="27" t="n">
        <f aca="false">IF(COUNT(Soja!$E61:$Z61)=0,0,MAX(0,IF((AR$6-$E$3)&lt;1,0,IFERROR(LOOKUP(2,1/(Soja!$E61:INDEX(Soja!$E61:$Z61,MIN(AR$6-$E$3,22))&lt;&gt;""),Soja!$E61:INDEX(Soja!$E61:$Z61,MIN(AR$6-$E$3,22))),0))-IF($G$2,0,IF((AR$6-$G$3)&lt;1,0,IFERROR(LOOKUP(2,1/(Soja!$E61:INDEX(Soja!$E61:$Z61,MIN(AR$6-$G$3,22))&lt;&gt;""),Soja!$E61:INDEX(Soja!$E61:$Z61,MIN(AR$6-$G$3,22))),0)))))</f>
        <v>0</v>
      </c>
      <c r="AS63" s="27" t="n">
        <f aca="false">IF(COUNT(Soja!$E61:$Z61)=0,0,MAX(0,IF((AS$6-$E$3)&lt;1,0,IFERROR(LOOKUP(2,1/(Soja!$E61:INDEX(Soja!$E61:$Z61,MIN(AS$6-$E$3,22))&lt;&gt;""),Soja!$E61:INDEX(Soja!$E61:$Z61,MIN(AS$6-$E$3,22))),0))-IF($G$2,0,IF((AS$6-$G$3)&lt;1,0,IFERROR(LOOKUP(2,1/(Soja!$E61:INDEX(Soja!$E61:$Z61,MIN(AS$6-$G$3,22))&lt;&gt;""),Soja!$E61:INDEX(Soja!$E61:$Z61,MIN(AS$6-$G$3,22))),0)))))</f>
        <v>0</v>
      </c>
      <c r="AT63" s="27" t="n">
        <f aca="false">IF(COUNT(Soja!$E61:$Z61)=0,0,MAX(0,IF((AT$6-$E$3)&lt;1,0,IFERROR(LOOKUP(2,1/(Soja!$E61:INDEX(Soja!$E61:$Z61,MIN(AT$6-$E$3,22))&lt;&gt;""),Soja!$E61:INDEX(Soja!$E61:$Z61,MIN(AT$6-$E$3,22))),0))-IF($G$2,0,IF((AT$6-$G$3)&lt;1,0,IFERROR(LOOKUP(2,1/(Soja!$E61:INDEX(Soja!$E61:$Z61,MIN(AT$6-$G$3,22))&lt;&gt;""),Soja!$E61:INDEX(Soja!$E61:$Z61,MIN(AT$6-$G$3,22))),0)))))</f>
        <v>0</v>
      </c>
      <c r="AU63" s="27" t="n">
        <f aca="false">IF(COUNT(Soja!$E61:$Z61)=0,0,MAX(0,IF((AU$6-$E$3)&lt;1,0,IFERROR(LOOKUP(2,1/(Soja!$E61:INDEX(Soja!$E61:$Z61,MIN(AU$6-$E$3,22))&lt;&gt;""),Soja!$E61:INDEX(Soja!$E61:$Z61,MIN(AU$6-$E$3,22))),0))-IF($G$2,0,IF((AU$6-$G$3)&lt;1,0,IFERROR(LOOKUP(2,1/(Soja!$E61:INDEX(Soja!$E61:$Z61,MIN(AU$6-$G$3,22))&lt;&gt;""),Soja!$E61:INDEX(Soja!$E61:$Z61,MIN(AU$6-$G$3,22))),0)))))</f>
        <v>0</v>
      </c>
      <c r="AV63" s="27" t="n">
        <f aca="false">IF(COUNT(Soja!$E61:$Z61)=0,0,MAX(0,IF((AV$6-$E$3)&lt;1,0,IFERROR(LOOKUP(2,1/(Soja!$E61:INDEX(Soja!$E61:$Z61,MIN(AV$6-$E$3,22))&lt;&gt;""),Soja!$E61:INDEX(Soja!$E61:$Z61,MIN(AV$6-$E$3,22))),0))-IF($G$2,0,IF((AV$6-$G$3)&lt;1,0,IFERROR(LOOKUP(2,1/(Soja!$E61:INDEX(Soja!$E61:$Z61,MIN(AV$6-$G$3,22))&lt;&gt;""),Soja!$E61:INDEX(Soja!$E61:$Z61,MIN(AV$6-$G$3,22))),0)))))</f>
        <v>0</v>
      </c>
      <c r="AW63" s="27" t="n">
        <f aca="false">IF(COUNT(Soja!$E61:$Z61)=0,0,MAX(0,IF((AW$6-$E$3)&lt;1,0,IFERROR(LOOKUP(2,1/(Soja!$E61:INDEX(Soja!$E61:$Z61,MIN(AW$6-$E$3,22))&lt;&gt;""),Soja!$E61:INDEX(Soja!$E61:$Z61,MIN(AW$6-$E$3,22))),0))-IF($G$2,0,IF((AW$6-$G$3)&lt;1,0,IFERROR(LOOKUP(2,1/(Soja!$E61:INDEX(Soja!$E61:$Z61,MIN(AW$6-$G$3,22))&lt;&gt;""),Soja!$E61:INDEX(Soja!$E61:$Z61,MIN(AW$6-$G$3,22))),0)))))</f>
        <v>0</v>
      </c>
      <c r="AX63" s="27" t="n">
        <f aca="false">IF(COUNT(Soja!$E61:$Z61)=0,0,MAX(0,IF((AX$6-$E$3)&lt;1,0,IFERROR(LOOKUP(2,1/(Soja!$E61:INDEX(Soja!$E61:$Z61,MIN(AX$6-$E$3,22))&lt;&gt;""),Soja!$E61:INDEX(Soja!$E61:$Z61,MIN(AX$6-$E$3,22))),0))-IF($G$2,0,IF((AX$6-$G$3)&lt;1,0,IFERROR(LOOKUP(2,1/(Soja!$E61:INDEX(Soja!$E61:$Z61,MIN(AX$6-$G$3,22))&lt;&gt;""),Soja!$E61:INDEX(Soja!$E61:$Z61,MIN(AX$6-$G$3,22))),0)))))</f>
        <v>0</v>
      </c>
      <c r="AY63" s="27" t="n">
        <f aca="false">IF(COUNT(Soja!$E61:$Z61)=0,0,MAX(0,IF((AY$6-$E$3)&lt;1,0,IFERROR(LOOKUP(2,1/(Soja!$E61:INDEX(Soja!$E61:$Z61,MIN(AY$6-$E$3,22))&lt;&gt;""),Soja!$E61:INDEX(Soja!$E61:$Z61,MIN(AY$6-$E$3,22))),0))-IF($G$2,0,IF((AY$6-$G$3)&lt;1,0,IFERROR(LOOKUP(2,1/(Soja!$E61:INDEX(Soja!$E61:$Z61,MIN(AY$6-$G$3,22))&lt;&gt;""),Soja!$E61:INDEX(Soja!$E61:$Z61,MIN(AY$6-$G$3,22))),0)))))</f>
        <v>0</v>
      </c>
      <c r="AZ63" s="27" t="n">
        <f aca="false">IF(COUNT(Soja!$E61:$Z61)=0,0,MAX(0,IF((AZ$6-$E$3)&lt;1,0,IFERROR(LOOKUP(2,1/(Soja!$E61:INDEX(Soja!$E61:$Z61,MIN(AZ$6-$E$3,22))&lt;&gt;""),Soja!$E61:INDEX(Soja!$E61:$Z61,MIN(AZ$6-$E$3,22))),0))-IF($G$2,0,IF((AZ$6-$G$3)&lt;1,0,IFERROR(LOOKUP(2,1/(Soja!$E61:INDEX(Soja!$E61:$Z61,MIN(AZ$6-$G$3,22))&lt;&gt;""),Soja!$E61:INDEX(Soja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IF(COUNT(Soja!$E62:$Z62)&gt;0,N(Soja!$D62),0)</f>
        <v>0</v>
      </c>
      <c r="E64" s="27" t="n">
        <f aca="false">IF(COUNT(Soja!$E62:$Z62)=0,0,MAX(0,IF((E$6-$E$3)&lt;1,0,IFERROR(LOOKUP(2,1/(Soja!$E62:INDEX(Soja!$E62:$Z62,MIN(E$6-$E$3,22))&lt;&gt;""),Soja!$E62:INDEX(Soja!$E62:$Z62,MIN(E$6-$E$3,22))),0))-IF($G$2,0,IF((E$6-$G$3)&lt;1,0,IFERROR(LOOKUP(2,1/(Soja!$E62:INDEX(Soja!$E62:$Z62,MIN(E$6-$G$3,22))&lt;&gt;""),Soja!$E62:INDEX(Soja!$E62:$Z62,MIN(E$6-$G$3,22))),0)))))</f>
        <v>0</v>
      </c>
      <c r="F64" s="27" t="n">
        <f aca="false">IF(COUNT(Soja!$E62:$Z62)=0,0,MAX(0,IF((F$6-$E$3)&lt;1,0,IFERROR(LOOKUP(2,1/(Soja!$E62:INDEX(Soja!$E62:$Z62,MIN(F$6-$E$3,22))&lt;&gt;""),Soja!$E62:INDEX(Soja!$E62:$Z62,MIN(F$6-$E$3,22))),0))-IF($G$2,0,IF((F$6-$G$3)&lt;1,0,IFERROR(LOOKUP(2,1/(Soja!$E62:INDEX(Soja!$E62:$Z62,MIN(F$6-$G$3,22))&lt;&gt;""),Soja!$E62:INDEX(Soja!$E62:$Z62,MIN(F$6-$G$3,22))),0)))))</f>
        <v>0</v>
      </c>
      <c r="G64" s="27" t="n">
        <f aca="false">IF(COUNT(Soja!$E62:$Z62)=0,0,MAX(0,IF((G$6-$E$3)&lt;1,0,IFERROR(LOOKUP(2,1/(Soja!$E62:INDEX(Soja!$E62:$Z62,MIN(G$6-$E$3,22))&lt;&gt;""),Soja!$E62:INDEX(Soja!$E62:$Z62,MIN(G$6-$E$3,22))),0))-IF($G$2,0,IF((G$6-$G$3)&lt;1,0,IFERROR(LOOKUP(2,1/(Soja!$E62:INDEX(Soja!$E62:$Z62,MIN(G$6-$G$3,22))&lt;&gt;""),Soja!$E62:INDEX(Soja!$E62:$Z62,MIN(G$6-$G$3,22))),0)))))</f>
        <v>0</v>
      </c>
      <c r="H64" s="27" t="n">
        <f aca="false">IF(COUNT(Soja!$E62:$Z62)=0,0,MAX(0,IF((H$6-$E$3)&lt;1,0,IFERROR(LOOKUP(2,1/(Soja!$E62:INDEX(Soja!$E62:$Z62,MIN(H$6-$E$3,22))&lt;&gt;""),Soja!$E62:INDEX(Soja!$E62:$Z62,MIN(H$6-$E$3,22))),0))-IF($G$2,0,IF((H$6-$G$3)&lt;1,0,IFERROR(LOOKUP(2,1/(Soja!$E62:INDEX(Soja!$E62:$Z62,MIN(H$6-$G$3,22))&lt;&gt;""),Soja!$E62:INDEX(Soja!$E62:$Z62,MIN(H$6-$G$3,22))),0)))))</f>
        <v>0</v>
      </c>
      <c r="I64" s="27" t="n">
        <f aca="false">IF(COUNT(Soja!$E62:$Z62)=0,0,MAX(0,IF((I$6-$E$3)&lt;1,0,IFERROR(LOOKUP(2,1/(Soja!$E62:INDEX(Soja!$E62:$Z62,MIN(I$6-$E$3,22))&lt;&gt;""),Soja!$E62:INDEX(Soja!$E62:$Z62,MIN(I$6-$E$3,22))),0))-IF($G$2,0,IF((I$6-$G$3)&lt;1,0,IFERROR(LOOKUP(2,1/(Soja!$E62:INDEX(Soja!$E62:$Z62,MIN(I$6-$G$3,22))&lt;&gt;""),Soja!$E62:INDEX(Soja!$E62:$Z62,MIN(I$6-$G$3,22))),0)))))</f>
        <v>0</v>
      </c>
      <c r="J64" s="27" t="n">
        <f aca="false">IF(COUNT(Soja!$E62:$Z62)=0,0,MAX(0,IF((J$6-$E$3)&lt;1,0,IFERROR(LOOKUP(2,1/(Soja!$E62:INDEX(Soja!$E62:$Z62,MIN(J$6-$E$3,22))&lt;&gt;""),Soja!$E62:INDEX(Soja!$E62:$Z62,MIN(J$6-$E$3,22))),0))-IF($G$2,0,IF((J$6-$G$3)&lt;1,0,IFERROR(LOOKUP(2,1/(Soja!$E62:INDEX(Soja!$E62:$Z62,MIN(J$6-$G$3,22))&lt;&gt;""),Soja!$E62:INDEX(Soja!$E62:$Z62,MIN(J$6-$G$3,22))),0)))))</f>
        <v>0</v>
      </c>
      <c r="K64" s="27" t="n">
        <f aca="false">IF(COUNT(Soja!$E62:$Z62)=0,0,MAX(0,IF((K$6-$E$3)&lt;1,0,IFERROR(LOOKUP(2,1/(Soja!$E62:INDEX(Soja!$E62:$Z62,MIN(K$6-$E$3,22))&lt;&gt;""),Soja!$E62:INDEX(Soja!$E62:$Z62,MIN(K$6-$E$3,22))),0))-IF($G$2,0,IF((K$6-$G$3)&lt;1,0,IFERROR(LOOKUP(2,1/(Soja!$E62:INDEX(Soja!$E62:$Z62,MIN(K$6-$G$3,22))&lt;&gt;""),Soja!$E62:INDEX(Soja!$E62:$Z62,MIN(K$6-$G$3,22))),0)))))</f>
        <v>0</v>
      </c>
      <c r="L64" s="27" t="n">
        <f aca="false">IF(COUNT(Soja!$E62:$Z62)=0,0,MAX(0,IF((L$6-$E$3)&lt;1,0,IFERROR(LOOKUP(2,1/(Soja!$E62:INDEX(Soja!$E62:$Z62,MIN(L$6-$E$3,22))&lt;&gt;""),Soja!$E62:INDEX(Soja!$E62:$Z62,MIN(L$6-$E$3,22))),0))-IF($G$2,0,IF((L$6-$G$3)&lt;1,0,IFERROR(LOOKUP(2,1/(Soja!$E62:INDEX(Soja!$E62:$Z62,MIN(L$6-$G$3,22))&lt;&gt;""),Soja!$E62:INDEX(Soja!$E62:$Z62,MIN(L$6-$G$3,22))),0)))))</f>
        <v>0</v>
      </c>
      <c r="M64" s="27" t="n">
        <f aca="false">IF(COUNT(Soja!$E62:$Z62)=0,0,MAX(0,IF((M$6-$E$3)&lt;1,0,IFERROR(LOOKUP(2,1/(Soja!$E62:INDEX(Soja!$E62:$Z62,MIN(M$6-$E$3,22))&lt;&gt;""),Soja!$E62:INDEX(Soja!$E62:$Z62,MIN(M$6-$E$3,22))),0))-IF($G$2,0,IF((M$6-$G$3)&lt;1,0,IFERROR(LOOKUP(2,1/(Soja!$E62:INDEX(Soja!$E62:$Z62,MIN(M$6-$G$3,22))&lt;&gt;""),Soja!$E62:INDEX(Soja!$E62:$Z62,MIN(M$6-$G$3,22))),0)))))</f>
        <v>0</v>
      </c>
      <c r="N64" s="27" t="n">
        <f aca="false">IF(COUNT(Soja!$E62:$Z62)=0,0,MAX(0,IF((N$6-$E$3)&lt;1,0,IFERROR(LOOKUP(2,1/(Soja!$E62:INDEX(Soja!$E62:$Z62,MIN(N$6-$E$3,22))&lt;&gt;""),Soja!$E62:INDEX(Soja!$E62:$Z62,MIN(N$6-$E$3,22))),0))-IF($G$2,0,IF((N$6-$G$3)&lt;1,0,IFERROR(LOOKUP(2,1/(Soja!$E62:INDEX(Soja!$E62:$Z62,MIN(N$6-$G$3,22))&lt;&gt;""),Soja!$E62:INDEX(Soja!$E62:$Z62,MIN(N$6-$G$3,22))),0)))))</f>
        <v>0</v>
      </c>
      <c r="O64" s="27" t="n">
        <f aca="false">IF(COUNT(Soja!$E62:$Z62)=0,0,MAX(0,IF((O$6-$E$3)&lt;1,0,IFERROR(LOOKUP(2,1/(Soja!$E62:INDEX(Soja!$E62:$Z62,MIN(O$6-$E$3,22))&lt;&gt;""),Soja!$E62:INDEX(Soja!$E62:$Z62,MIN(O$6-$E$3,22))),0))-IF($G$2,0,IF((O$6-$G$3)&lt;1,0,IFERROR(LOOKUP(2,1/(Soja!$E62:INDEX(Soja!$E62:$Z62,MIN(O$6-$G$3,22))&lt;&gt;""),Soja!$E62:INDEX(Soja!$E62:$Z62,MIN(O$6-$G$3,22))),0)))))</f>
        <v>0</v>
      </c>
      <c r="P64" s="27" t="n">
        <f aca="false">IF(COUNT(Soja!$E62:$Z62)=0,0,MAX(0,IF((P$6-$E$3)&lt;1,0,IFERROR(LOOKUP(2,1/(Soja!$E62:INDEX(Soja!$E62:$Z62,MIN(P$6-$E$3,22))&lt;&gt;""),Soja!$E62:INDEX(Soja!$E62:$Z62,MIN(P$6-$E$3,22))),0))-IF($G$2,0,IF((P$6-$G$3)&lt;1,0,IFERROR(LOOKUP(2,1/(Soja!$E62:INDEX(Soja!$E62:$Z62,MIN(P$6-$G$3,22))&lt;&gt;""),Soja!$E62:INDEX(Soja!$E62:$Z62,MIN(P$6-$G$3,22))),0)))))</f>
        <v>0</v>
      </c>
      <c r="Q64" s="27" t="n">
        <f aca="false">IF(COUNT(Soja!$E62:$Z62)=0,0,MAX(0,IF((Q$6-$E$3)&lt;1,0,IFERROR(LOOKUP(2,1/(Soja!$E62:INDEX(Soja!$E62:$Z62,MIN(Q$6-$E$3,22))&lt;&gt;""),Soja!$E62:INDEX(Soja!$E62:$Z62,MIN(Q$6-$E$3,22))),0))-IF($G$2,0,IF((Q$6-$G$3)&lt;1,0,IFERROR(LOOKUP(2,1/(Soja!$E62:INDEX(Soja!$E62:$Z62,MIN(Q$6-$G$3,22))&lt;&gt;""),Soja!$E62:INDEX(Soja!$E62:$Z62,MIN(Q$6-$G$3,22))),0)))))</f>
        <v>0</v>
      </c>
      <c r="R64" s="27" t="n">
        <f aca="false">IF(COUNT(Soja!$E62:$Z62)=0,0,MAX(0,IF((R$6-$E$3)&lt;1,0,IFERROR(LOOKUP(2,1/(Soja!$E62:INDEX(Soja!$E62:$Z62,MIN(R$6-$E$3,22))&lt;&gt;""),Soja!$E62:INDEX(Soja!$E62:$Z62,MIN(R$6-$E$3,22))),0))-IF($G$2,0,IF((R$6-$G$3)&lt;1,0,IFERROR(LOOKUP(2,1/(Soja!$E62:INDEX(Soja!$E62:$Z62,MIN(R$6-$G$3,22))&lt;&gt;""),Soja!$E62:INDEX(Soja!$E62:$Z62,MIN(R$6-$G$3,22))),0)))))</f>
        <v>0</v>
      </c>
      <c r="S64" s="27" t="n">
        <f aca="false">IF(COUNT(Soja!$E62:$Z62)=0,0,MAX(0,IF((S$6-$E$3)&lt;1,0,IFERROR(LOOKUP(2,1/(Soja!$E62:INDEX(Soja!$E62:$Z62,MIN(S$6-$E$3,22))&lt;&gt;""),Soja!$E62:INDEX(Soja!$E62:$Z62,MIN(S$6-$E$3,22))),0))-IF($G$2,0,IF((S$6-$G$3)&lt;1,0,IFERROR(LOOKUP(2,1/(Soja!$E62:INDEX(Soja!$E62:$Z62,MIN(S$6-$G$3,22))&lt;&gt;""),Soja!$E62:INDEX(Soja!$E62:$Z62,MIN(S$6-$G$3,22))),0)))))</f>
        <v>0</v>
      </c>
      <c r="T64" s="27" t="n">
        <f aca="false">IF(COUNT(Soja!$E62:$Z62)=0,0,MAX(0,IF((T$6-$E$3)&lt;1,0,IFERROR(LOOKUP(2,1/(Soja!$E62:INDEX(Soja!$E62:$Z62,MIN(T$6-$E$3,22))&lt;&gt;""),Soja!$E62:INDEX(Soja!$E62:$Z62,MIN(T$6-$E$3,22))),0))-IF($G$2,0,IF((T$6-$G$3)&lt;1,0,IFERROR(LOOKUP(2,1/(Soja!$E62:INDEX(Soja!$E62:$Z62,MIN(T$6-$G$3,22))&lt;&gt;""),Soja!$E62:INDEX(Soja!$E62:$Z62,MIN(T$6-$G$3,22))),0)))))</f>
        <v>0</v>
      </c>
      <c r="U64" s="27" t="n">
        <f aca="false">IF(COUNT(Soja!$E62:$Z62)=0,0,MAX(0,IF((U$6-$E$3)&lt;1,0,IFERROR(LOOKUP(2,1/(Soja!$E62:INDEX(Soja!$E62:$Z62,MIN(U$6-$E$3,22))&lt;&gt;""),Soja!$E62:INDEX(Soja!$E62:$Z62,MIN(U$6-$E$3,22))),0))-IF($G$2,0,IF((U$6-$G$3)&lt;1,0,IFERROR(LOOKUP(2,1/(Soja!$E62:INDEX(Soja!$E62:$Z62,MIN(U$6-$G$3,22))&lt;&gt;""),Soja!$E62:INDEX(Soja!$E62:$Z62,MIN(U$6-$G$3,22))),0)))))</f>
        <v>0</v>
      </c>
      <c r="V64" s="27" t="n">
        <f aca="false">IF(COUNT(Soja!$E62:$Z62)=0,0,MAX(0,IF((V$6-$E$3)&lt;1,0,IFERROR(LOOKUP(2,1/(Soja!$E62:INDEX(Soja!$E62:$Z62,MIN(V$6-$E$3,22))&lt;&gt;""),Soja!$E62:INDEX(Soja!$E62:$Z62,MIN(V$6-$E$3,22))),0))-IF($G$2,0,IF((V$6-$G$3)&lt;1,0,IFERROR(LOOKUP(2,1/(Soja!$E62:INDEX(Soja!$E62:$Z62,MIN(V$6-$G$3,22))&lt;&gt;""),Soja!$E62:INDEX(Soja!$E62:$Z62,MIN(V$6-$G$3,22))),0)))))</f>
        <v>0</v>
      </c>
      <c r="W64" s="27" t="n">
        <f aca="false">IF(COUNT(Soja!$E62:$Z62)=0,0,MAX(0,IF((W$6-$E$3)&lt;1,0,IFERROR(LOOKUP(2,1/(Soja!$E62:INDEX(Soja!$E62:$Z62,MIN(W$6-$E$3,22))&lt;&gt;""),Soja!$E62:INDEX(Soja!$E62:$Z62,MIN(W$6-$E$3,22))),0))-IF($G$2,0,IF((W$6-$G$3)&lt;1,0,IFERROR(LOOKUP(2,1/(Soja!$E62:INDEX(Soja!$E62:$Z62,MIN(W$6-$G$3,22))&lt;&gt;""),Soja!$E62:INDEX(Soja!$E62:$Z62,MIN(W$6-$G$3,22))),0)))))</f>
        <v>0</v>
      </c>
      <c r="X64" s="27" t="n">
        <f aca="false">IF(COUNT(Soja!$E62:$Z62)=0,0,MAX(0,IF((X$6-$E$3)&lt;1,0,IFERROR(LOOKUP(2,1/(Soja!$E62:INDEX(Soja!$E62:$Z62,MIN(X$6-$E$3,22))&lt;&gt;""),Soja!$E62:INDEX(Soja!$E62:$Z62,MIN(X$6-$E$3,22))),0))-IF($G$2,0,IF((X$6-$G$3)&lt;1,0,IFERROR(LOOKUP(2,1/(Soja!$E62:INDEX(Soja!$E62:$Z62,MIN(X$6-$G$3,22))&lt;&gt;""),Soja!$E62:INDEX(Soja!$E62:$Z62,MIN(X$6-$G$3,22))),0)))))</f>
        <v>0</v>
      </c>
      <c r="Y64" s="27" t="n">
        <f aca="false">IF(COUNT(Soja!$E62:$Z62)=0,0,MAX(0,IF((Y$6-$E$3)&lt;1,0,IFERROR(LOOKUP(2,1/(Soja!$E62:INDEX(Soja!$E62:$Z62,MIN(Y$6-$E$3,22))&lt;&gt;""),Soja!$E62:INDEX(Soja!$E62:$Z62,MIN(Y$6-$E$3,22))),0))-IF($G$2,0,IF((Y$6-$G$3)&lt;1,0,IFERROR(LOOKUP(2,1/(Soja!$E62:INDEX(Soja!$E62:$Z62,MIN(Y$6-$G$3,22))&lt;&gt;""),Soja!$E62:INDEX(Soja!$E62:$Z62,MIN(Y$6-$G$3,22))),0)))))</f>
        <v>0</v>
      </c>
      <c r="Z64" s="27" t="n">
        <f aca="false">IF(COUNT(Soja!$E62:$Z62)=0,0,MAX(0,IF((Z$6-$E$3)&lt;1,0,IFERROR(LOOKUP(2,1/(Soja!$E62:INDEX(Soja!$E62:$Z62,MIN(Z$6-$E$3,22))&lt;&gt;""),Soja!$E62:INDEX(Soja!$E62:$Z62,MIN(Z$6-$E$3,22))),0))-IF($G$2,0,IF((Z$6-$G$3)&lt;1,0,IFERROR(LOOKUP(2,1/(Soja!$E62:INDEX(Soja!$E62:$Z62,MIN(Z$6-$G$3,22))&lt;&gt;""),Soja!$E62:INDEX(Soja!$E62:$Z62,MIN(Z$6-$G$3,22))),0)))))</f>
        <v>0</v>
      </c>
      <c r="AA64" s="27" t="n">
        <f aca="false">IF(COUNT(Soja!$E62:$Z62)=0,0,MAX(0,IF((AA$6-$E$3)&lt;1,0,IFERROR(LOOKUP(2,1/(Soja!$E62:INDEX(Soja!$E62:$Z62,MIN(AA$6-$E$3,22))&lt;&gt;""),Soja!$E62:INDEX(Soja!$E62:$Z62,MIN(AA$6-$E$3,22))),0))-IF($G$2,0,IF((AA$6-$G$3)&lt;1,0,IFERROR(LOOKUP(2,1/(Soja!$E62:INDEX(Soja!$E62:$Z62,MIN(AA$6-$G$3,22))&lt;&gt;""),Soja!$E62:INDEX(Soja!$E62:$Z62,MIN(AA$6-$G$3,22))),0)))))</f>
        <v>0</v>
      </c>
      <c r="AB64" s="27" t="n">
        <f aca="false">IF(COUNT(Soja!$E62:$Z62)=0,0,MAX(0,IF((AB$6-$E$3)&lt;1,0,IFERROR(LOOKUP(2,1/(Soja!$E62:INDEX(Soja!$E62:$Z62,MIN(AB$6-$E$3,22))&lt;&gt;""),Soja!$E62:INDEX(Soja!$E62:$Z62,MIN(AB$6-$E$3,22))),0))-IF($G$2,0,IF((AB$6-$G$3)&lt;1,0,IFERROR(LOOKUP(2,1/(Soja!$E62:INDEX(Soja!$E62:$Z62,MIN(AB$6-$G$3,22))&lt;&gt;""),Soja!$E62:INDEX(Soja!$E62:$Z62,MIN(AB$6-$G$3,22))),0)))))</f>
        <v>0</v>
      </c>
      <c r="AC64" s="27" t="n">
        <f aca="false">IF(COUNT(Soja!$E62:$Z62)=0,0,MAX(0,IF((AC$6-$E$3)&lt;1,0,IFERROR(LOOKUP(2,1/(Soja!$E62:INDEX(Soja!$E62:$Z62,MIN(AC$6-$E$3,22))&lt;&gt;""),Soja!$E62:INDEX(Soja!$E62:$Z62,MIN(AC$6-$E$3,22))),0))-IF($G$2,0,IF((AC$6-$G$3)&lt;1,0,IFERROR(LOOKUP(2,1/(Soja!$E62:INDEX(Soja!$E62:$Z62,MIN(AC$6-$G$3,22))&lt;&gt;""),Soja!$E62:INDEX(Soja!$E62:$Z62,MIN(AC$6-$G$3,22))),0)))))</f>
        <v>0</v>
      </c>
      <c r="AD64" s="27" t="n">
        <f aca="false">IF(COUNT(Soja!$E62:$Z62)=0,0,MAX(0,IF((AD$6-$E$3)&lt;1,0,IFERROR(LOOKUP(2,1/(Soja!$E62:INDEX(Soja!$E62:$Z62,MIN(AD$6-$E$3,22))&lt;&gt;""),Soja!$E62:INDEX(Soja!$E62:$Z62,MIN(AD$6-$E$3,22))),0))-IF($G$2,0,IF((AD$6-$G$3)&lt;1,0,IFERROR(LOOKUP(2,1/(Soja!$E62:INDEX(Soja!$E62:$Z62,MIN(AD$6-$G$3,22))&lt;&gt;""),Soja!$E62:INDEX(Soja!$E62:$Z62,MIN(AD$6-$G$3,22))),0)))))</f>
        <v>0</v>
      </c>
      <c r="AE64" s="27" t="n">
        <f aca="false">IF(COUNT(Soja!$E62:$Z62)=0,0,MAX(0,IF((AE$6-$E$3)&lt;1,0,IFERROR(LOOKUP(2,1/(Soja!$E62:INDEX(Soja!$E62:$Z62,MIN(AE$6-$E$3,22))&lt;&gt;""),Soja!$E62:INDEX(Soja!$E62:$Z62,MIN(AE$6-$E$3,22))),0))-IF($G$2,0,IF((AE$6-$G$3)&lt;1,0,IFERROR(LOOKUP(2,1/(Soja!$E62:INDEX(Soja!$E62:$Z62,MIN(AE$6-$G$3,22))&lt;&gt;""),Soja!$E62:INDEX(Soja!$E62:$Z62,MIN(AE$6-$G$3,22))),0)))))</f>
        <v>0</v>
      </c>
      <c r="AF64" s="27" t="n">
        <f aca="false">IF(COUNT(Soja!$E62:$Z62)=0,0,MAX(0,IF((AF$6-$E$3)&lt;1,0,IFERROR(LOOKUP(2,1/(Soja!$E62:INDEX(Soja!$E62:$Z62,MIN(AF$6-$E$3,22))&lt;&gt;""),Soja!$E62:INDEX(Soja!$E62:$Z62,MIN(AF$6-$E$3,22))),0))-IF($G$2,0,IF((AF$6-$G$3)&lt;1,0,IFERROR(LOOKUP(2,1/(Soja!$E62:INDEX(Soja!$E62:$Z62,MIN(AF$6-$G$3,22))&lt;&gt;""),Soja!$E62:INDEX(Soja!$E62:$Z62,MIN(AF$6-$G$3,22))),0)))))</f>
        <v>0</v>
      </c>
      <c r="AG64" s="27" t="n">
        <f aca="false">IF(COUNT(Soja!$E62:$Z62)=0,0,MAX(0,IF((AG$6-$E$3)&lt;1,0,IFERROR(LOOKUP(2,1/(Soja!$E62:INDEX(Soja!$E62:$Z62,MIN(AG$6-$E$3,22))&lt;&gt;""),Soja!$E62:INDEX(Soja!$E62:$Z62,MIN(AG$6-$E$3,22))),0))-IF($G$2,0,IF((AG$6-$G$3)&lt;1,0,IFERROR(LOOKUP(2,1/(Soja!$E62:INDEX(Soja!$E62:$Z62,MIN(AG$6-$G$3,22))&lt;&gt;""),Soja!$E62:INDEX(Soja!$E62:$Z62,MIN(AG$6-$G$3,22))),0)))))</f>
        <v>0</v>
      </c>
      <c r="AH64" s="27" t="n">
        <f aca="false">IF(COUNT(Soja!$E62:$Z62)=0,0,MAX(0,IF((AH$6-$E$3)&lt;1,0,IFERROR(LOOKUP(2,1/(Soja!$E62:INDEX(Soja!$E62:$Z62,MIN(AH$6-$E$3,22))&lt;&gt;""),Soja!$E62:INDEX(Soja!$E62:$Z62,MIN(AH$6-$E$3,22))),0))-IF($G$2,0,IF((AH$6-$G$3)&lt;1,0,IFERROR(LOOKUP(2,1/(Soja!$E62:INDEX(Soja!$E62:$Z62,MIN(AH$6-$G$3,22))&lt;&gt;""),Soja!$E62:INDEX(Soja!$E62:$Z62,MIN(AH$6-$G$3,22))),0)))))</f>
        <v>0</v>
      </c>
      <c r="AI64" s="27" t="n">
        <f aca="false">IF(COUNT(Soja!$E62:$Z62)=0,0,MAX(0,IF((AI$6-$E$3)&lt;1,0,IFERROR(LOOKUP(2,1/(Soja!$E62:INDEX(Soja!$E62:$Z62,MIN(AI$6-$E$3,22))&lt;&gt;""),Soja!$E62:INDEX(Soja!$E62:$Z62,MIN(AI$6-$E$3,22))),0))-IF($G$2,0,IF((AI$6-$G$3)&lt;1,0,IFERROR(LOOKUP(2,1/(Soja!$E62:INDEX(Soja!$E62:$Z62,MIN(AI$6-$G$3,22))&lt;&gt;""),Soja!$E62:INDEX(Soja!$E62:$Z62,MIN(AI$6-$G$3,22))),0)))))</f>
        <v>0</v>
      </c>
      <c r="AJ64" s="27" t="n">
        <f aca="false">IF(COUNT(Soja!$E62:$Z62)=0,0,MAX(0,IF((AJ$6-$E$3)&lt;1,0,IFERROR(LOOKUP(2,1/(Soja!$E62:INDEX(Soja!$E62:$Z62,MIN(AJ$6-$E$3,22))&lt;&gt;""),Soja!$E62:INDEX(Soja!$E62:$Z62,MIN(AJ$6-$E$3,22))),0))-IF($G$2,0,IF((AJ$6-$G$3)&lt;1,0,IFERROR(LOOKUP(2,1/(Soja!$E62:INDEX(Soja!$E62:$Z62,MIN(AJ$6-$G$3,22))&lt;&gt;""),Soja!$E62:INDEX(Soja!$E62:$Z62,MIN(AJ$6-$G$3,22))),0)))))</f>
        <v>0</v>
      </c>
      <c r="AK64" s="27" t="n">
        <f aca="false">IF(COUNT(Soja!$E62:$Z62)=0,0,MAX(0,IF((AK$6-$E$3)&lt;1,0,IFERROR(LOOKUP(2,1/(Soja!$E62:INDEX(Soja!$E62:$Z62,MIN(AK$6-$E$3,22))&lt;&gt;""),Soja!$E62:INDEX(Soja!$E62:$Z62,MIN(AK$6-$E$3,22))),0))-IF($G$2,0,IF((AK$6-$G$3)&lt;1,0,IFERROR(LOOKUP(2,1/(Soja!$E62:INDEX(Soja!$E62:$Z62,MIN(AK$6-$G$3,22))&lt;&gt;""),Soja!$E62:INDEX(Soja!$E62:$Z62,MIN(AK$6-$G$3,22))),0)))))</f>
        <v>0</v>
      </c>
      <c r="AL64" s="27" t="n">
        <f aca="false">IF(COUNT(Soja!$E62:$Z62)=0,0,MAX(0,IF((AL$6-$E$3)&lt;1,0,IFERROR(LOOKUP(2,1/(Soja!$E62:INDEX(Soja!$E62:$Z62,MIN(AL$6-$E$3,22))&lt;&gt;""),Soja!$E62:INDEX(Soja!$E62:$Z62,MIN(AL$6-$E$3,22))),0))-IF($G$2,0,IF((AL$6-$G$3)&lt;1,0,IFERROR(LOOKUP(2,1/(Soja!$E62:INDEX(Soja!$E62:$Z62,MIN(AL$6-$G$3,22))&lt;&gt;""),Soja!$E62:INDEX(Soja!$E62:$Z62,MIN(AL$6-$G$3,22))),0)))))</f>
        <v>0</v>
      </c>
      <c r="AM64" s="27" t="n">
        <f aca="false">IF(COUNT(Soja!$E62:$Z62)=0,0,MAX(0,IF((AM$6-$E$3)&lt;1,0,IFERROR(LOOKUP(2,1/(Soja!$E62:INDEX(Soja!$E62:$Z62,MIN(AM$6-$E$3,22))&lt;&gt;""),Soja!$E62:INDEX(Soja!$E62:$Z62,MIN(AM$6-$E$3,22))),0))-IF($G$2,0,IF((AM$6-$G$3)&lt;1,0,IFERROR(LOOKUP(2,1/(Soja!$E62:INDEX(Soja!$E62:$Z62,MIN(AM$6-$G$3,22))&lt;&gt;""),Soja!$E62:INDEX(Soja!$E62:$Z62,MIN(AM$6-$G$3,22))),0)))))</f>
        <v>0</v>
      </c>
      <c r="AN64" s="27" t="n">
        <f aca="false">IF(COUNT(Soja!$E62:$Z62)=0,0,MAX(0,IF((AN$6-$E$3)&lt;1,0,IFERROR(LOOKUP(2,1/(Soja!$E62:INDEX(Soja!$E62:$Z62,MIN(AN$6-$E$3,22))&lt;&gt;""),Soja!$E62:INDEX(Soja!$E62:$Z62,MIN(AN$6-$E$3,22))),0))-IF($G$2,0,IF((AN$6-$G$3)&lt;1,0,IFERROR(LOOKUP(2,1/(Soja!$E62:INDEX(Soja!$E62:$Z62,MIN(AN$6-$G$3,22))&lt;&gt;""),Soja!$E62:INDEX(Soja!$E62:$Z62,MIN(AN$6-$G$3,22))),0)))))</f>
        <v>0</v>
      </c>
      <c r="AO64" s="27" t="n">
        <f aca="false">IF(COUNT(Soja!$E62:$Z62)=0,0,MAX(0,IF((AO$6-$E$3)&lt;1,0,IFERROR(LOOKUP(2,1/(Soja!$E62:INDEX(Soja!$E62:$Z62,MIN(AO$6-$E$3,22))&lt;&gt;""),Soja!$E62:INDEX(Soja!$E62:$Z62,MIN(AO$6-$E$3,22))),0))-IF($G$2,0,IF((AO$6-$G$3)&lt;1,0,IFERROR(LOOKUP(2,1/(Soja!$E62:INDEX(Soja!$E62:$Z62,MIN(AO$6-$G$3,22))&lt;&gt;""),Soja!$E62:INDEX(Soja!$E62:$Z62,MIN(AO$6-$G$3,22))),0)))))</f>
        <v>0</v>
      </c>
      <c r="AP64" s="27" t="n">
        <f aca="false">IF(COUNT(Soja!$E62:$Z62)=0,0,MAX(0,IF((AP$6-$E$3)&lt;1,0,IFERROR(LOOKUP(2,1/(Soja!$E62:INDEX(Soja!$E62:$Z62,MIN(AP$6-$E$3,22))&lt;&gt;""),Soja!$E62:INDEX(Soja!$E62:$Z62,MIN(AP$6-$E$3,22))),0))-IF($G$2,0,IF((AP$6-$G$3)&lt;1,0,IFERROR(LOOKUP(2,1/(Soja!$E62:INDEX(Soja!$E62:$Z62,MIN(AP$6-$G$3,22))&lt;&gt;""),Soja!$E62:INDEX(Soja!$E62:$Z62,MIN(AP$6-$G$3,22))),0)))))</f>
        <v>0</v>
      </c>
      <c r="AQ64" s="27" t="n">
        <f aca="false">IF(COUNT(Soja!$E62:$Z62)=0,0,MAX(0,IF((AQ$6-$E$3)&lt;1,0,IFERROR(LOOKUP(2,1/(Soja!$E62:INDEX(Soja!$E62:$Z62,MIN(AQ$6-$E$3,22))&lt;&gt;""),Soja!$E62:INDEX(Soja!$E62:$Z62,MIN(AQ$6-$E$3,22))),0))-IF($G$2,0,IF((AQ$6-$G$3)&lt;1,0,IFERROR(LOOKUP(2,1/(Soja!$E62:INDEX(Soja!$E62:$Z62,MIN(AQ$6-$G$3,22))&lt;&gt;""),Soja!$E62:INDEX(Soja!$E62:$Z62,MIN(AQ$6-$G$3,22))),0)))))</f>
        <v>0</v>
      </c>
      <c r="AR64" s="27" t="n">
        <f aca="false">IF(COUNT(Soja!$E62:$Z62)=0,0,MAX(0,IF((AR$6-$E$3)&lt;1,0,IFERROR(LOOKUP(2,1/(Soja!$E62:INDEX(Soja!$E62:$Z62,MIN(AR$6-$E$3,22))&lt;&gt;""),Soja!$E62:INDEX(Soja!$E62:$Z62,MIN(AR$6-$E$3,22))),0))-IF($G$2,0,IF((AR$6-$G$3)&lt;1,0,IFERROR(LOOKUP(2,1/(Soja!$E62:INDEX(Soja!$E62:$Z62,MIN(AR$6-$G$3,22))&lt;&gt;""),Soja!$E62:INDEX(Soja!$E62:$Z62,MIN(AR$6-$G$3,22))),0)))))</f>
        <v>0</v>
      </c>
      <c r="AS64" s="27" t="n">
        <f aca="false">IF(COUNT(Soja!$E62:$Z62)=0,0,MAX(0,IF((AS$6-$E$3)&lt;1,0,IFERROR(LOOKUP(2,1/(Soja!$E62:INDEX(Soja!$E62:$Z62,MIN(AS$6-$E$3,22))&lt;&gt;""),Soja!$E62:INDEX(Soja!$E62:$Z62,MIN(AS$6-$E$3,22))),0))-IF($G$2,0,IF((AS$6-$G$3)&lt;1,0,IFERROR(LOOKUP(2,1/(Soja!$E62:INDEX(Soja!$E62:$Z62,MIN(AS$6-$G$3,22))&lt;&gt;""),Soja!$E62:INDEX(Soja!$E62:$Z62,MIN(AS$6-$G$3,22))),0)))))</f>
        <v>0</v>
      </c>
      <c r="AT64" s="27" t="n">
        <f aca="false">IF(COUNT(Soja!$E62:$Z62)=0,0,MAX(0,IF((AT$6-$E$3)&lt;1,0,IFERROR(LOOKUP(2,1/(Soja!$E62:INDEX(Soja!$E62:$Z62,MIN(AT$6-$E$3,22))&lt;&gt;""),Soja!$E62:INDEX(Soja!$E62:$Z62,MIN(AT$6-$E$3,22))),0))-IF($G$2,0,IF((AT$6-$G$3)&lt;1,0,IFERROR(LOOKUP(2,1/(Soja!$E62:INDEX(Soja!$E62:$Z62,MIN(AT$6-$G$3,22))&lt;&gt;""),Soja!$E62:INDEX(Soja!$E62:$Z62,MIN(AT$6-$G$3,22))),0)))))</f>
        <v>0</v>
      </c>
      <c r="AU64" s="27" t="n">
        <f aca="false">IF(COUNT(Soja!$E62:$Z62)=0,0,MAX(0,IF((AU$6-$E$3)&lt;1,0,IFERROR(LOOKUP(2,1/(Soja!$E62:INDEX(Soja!$E62:$Z62,MIN(AU$6-$E$3,22))&lt;&gt;""),Soja!$E62:INDEX(Soja!$E62:$Z62,MIN(AU$6-$E$3,22))),0))-IF($G$2,0,IF((AU$6-$G$3)&lt;1,0,IFERROR(LOOKUP(2,1/(Soja!$E62:INDEX(Soja!$E62:$Z62,MIN(AU$6-$G$3,22))&lt;&gt;""),Soja!$E62:INDEX(Soja!$E62:$Z62,MIN(AU$6-$G$3,22))),0)))))</f>
        <v>0</v>
      </c>
      <c r="AV64" s="27" t="n">
        <f aca="false">IF(COUNT(Soja!$E62:$Z62)=0,0,MAX(0,IF((AV$6-$E$3)&lt;1,0,IFERROR(LOOKUP(2,1/(Soja!$E62:INDEX(Soja!$E62:$Z62,MIN(AV$6-$E$3,22))&lt;&gt;""),Soja!$E62:INDEX(Soja!$E62:$Z62,MIN(AV$6-$E$3,22))),0))-IF($G$2,0,IF((AV$6-$G$3)&lt;1,0,IFERROR(LOOKUP(2,1/(Soja!$E62:INDEX(Soja!$E62:$Z62,MIN(AV$6-$G$3,22))&lt;&gt;""),Soja!$E62:INDEX(Soja!$E62:$Z62,MIN(AV$6-$G$3,22))),0)))))</f>
        <v>0</v>
      </c>
      <c r="AW64" s="27" t="n">
        <f aca="false">IF(COUNT(Soja!$E62:$Z62)=0,0,MAX(0,IF((AW$6-$E$3)&lt;1,0,IFERROR(LOOKUP(2,1/(Soja!$E62:INDEX(Soja!$E62:$Z62,MIN(AW$6-$E$3,22))&lt;&gt;""),Soja!$E62:INDEX(Soja!$E62:$Z62,MIN(AW$6-$E$3,22))),0))-IF($G$2,0,IF((AW$6-$G$3)&lt;1,0,IFERROR(LOOKUP(2,1/(Soja!$E62:INDEX(Soja!$E62:$Z62,MIN(AW$6-$G$3,22))&lt;&gt;""),Soja!$E62:INDEX(Soja!$E62:$Z62,MIN(AW$6-$G$3,22))),0)))))</f>
        <v>0</v>
      </c>
      <c r="AX64" s="27" t="n">
        <f aca="false">IF(COUNT(Soja!$E62:$Z62)=0,0,MAX(0,IF((AX$6-$E$3)&lt;1,0,IFERROR(LOOKUP(2,1/(Soja!$E62:INDEX(Soja!$E62:$Z62,MIN(AX$6-$E$3,22))&lt;&gt;""),Soja!$E62:INDEX(Soja!$E62:$Z62,MIN(AX$6-$E$3,22))),0))-IF($G$2,0,IF((AX$6-$G$3)&lt;1,0,IFERROR(LOOKUP(2,1/(Soja!$E62:INDEX(Soja!$E62:$Z62,MIN(AX$6-$G$3,22))&lt;&gt;""),Soja!$E62:INDEX(Soja!$E62:$Z62,MIN(AX$6-$G$3,22))),0)))))</f>
        <v>0</v>
      </c>
      <c r="AY64" s="27" t="n">
        <f aca="false">IF(COUNT(Soja!$E62:$Z62)=0,0,MAX(0,IF((AY$6-$E$3)&lt;1,0,IFERROR(LOOKUP(2,1/(Soja!$E62:INDEX(Soja!$E62:$Z62,MIN(AY$6-$E$3,22))&lt;&gt;""),Soja!$E62:INDEX(Soja!$E62:$Z62,MIN(AY$6-$E$3,22))),0))-IF($G$2,0,IF((AY$6-$G$3)&lt;1,0,IFERROR(LOOKUP(2,1/(Soja!$E62:INDEX(Soja!$E62:$Z62,MIN(AY$6-$G$3,22))&lt;&gt;""),Soja!$E62:INDEX(Soja!$E62:$Z62,MIN(AY$6-$G$3,22))),0)))))</f>
        <v>0</v>
      </c>
      <c r="AZ64" s="27" t="n">
        <f aca="false">IF(COUNT(Soja!$E62:$Z62)=0,0,MAX(0,IF((AZ$6-$E$3)&lt;1,0,IFERROR(LOOKUP(2,1/(Soja!$E62:INDEX(Soja!$E62:$Z62,MIN(AZ$6-$E$3,22))&lt;&gt;""),Soja!$E62:INDEX(Soja!$E62:$Z62,MIN(AZ$6-$E$3,22))),0))-IF($G$2,0,IF((AZ$6-$G$3)&lt;1,0,IFERROR(LOOKUP(2,1/(Soja!$E62:INDEX(Soja!$E62:$Z62,MIN(AZ$6-$G$3,22))&lt;&gt;""),Soja!$E62:INDEX(Soja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IF(COUNT(Soja!$E63:$Z63)&gt;0,N(Soja!$D63),0)</f>
        <v>0</v>
      </c>
      <c r="E65" s="27" t="n">
        <f aca="false">IF(COUNT(Soja!$E63:$Z63)=0,0,MAX(0,IF((E$6-$E$3)&lt;1,0,IFERROR(LOOKUP(2,1/(Soja!$E63:INDEX(Soja!$E63:$Z63,MIN(E$6-$E$3,22))&lt;&gt;""),Soja!$E63:INDEX(Soja!$E63:$Z63,MIN(E$6-$E$3,22))),0))-IF($G$2,0,IF((E$6-$G$3)&lt;1,0,IFERROR(LOOKUP(2,1/(Soja!$E63:INDEX(Soja!$E63:$Z63,MIN(E$6-$G$3,22))&lt;&gt;""),Soja!$E63:INDEX(Soja!$E63:$Z63,MIN(E$6-$G$3,22))),0)))))</f>
        <v>0</v>
      </c>
      <c r="F65" s="27" t="n">
        <f aca="false">IF(COUNT(Soja!$E63:$Z63)=0,0,MAX(0,IF((F$6-$E$3)&lt;1,0,IFERROR(LOOKUP(2,1/(Soja!$E63:INDEX(Soja!$E63:$Z63,MIN(F$6-$E$3,22))&lt;&gt;""),Soja!$E63:INDEX(Soja!$E63:$Z63,MIN(F$6-$E$3,22))),0))-IF($G$2,0,IF((F$6-$G$3)&lt;1,0,IFERROR(LOOKUP(2,1/(Soja!$E63:INDEX(Soja!$E63:$Z63,MIN(F$6-$G$3,22))&lt;&gt;""),Soja!$E63:INDEX(Soja!$E63:$Z63,MIN(F$6-$G$3,22))),0)))))</f>
        <v>0</v>
      </c>
      <c r="G65" s="27" t="n">
        <f aca="false">IF(COUNT(Soja!$E63:$Z63)=0,0,MAX(0,IF((G$6-$E$3)&lt;1,0,IFERROR(LOOKUP(2,1/(Soja!$E63:INDEX(Soja!$E63:$Z63,MIN(G$6-$E$3,22))&lt;&gt;""),Soja!$E63:INDEX(Soja!$E63:$Z63,MIN(G$6-$E$3,22))),0))-IF($G$2,0,IF((G$6-$G$3)&lt;1,0,IFERROR(LOOKUP(2,1/(Soja!$E63:INDEX(Soja!$E63:$Z63,MIN(G$6-$G$3,22))&lt;&gt;""),Soja!$E63:INDEX(Soja!$E63:$Z63,MIN(G$6-$G$3,22))),0)))))</f>
        <v>0</v>
      </c>
      <c r="H65" s="27" t="n">
        <f aca="false">IF(COUNT(Soja!$E63:$Z63)=0,0,MAX(0,IF((H$6-$E$3)&lt;1,0,IFERROR(LOOKUP(2,1/(Soja!$E63:INDEX(Soja!$E63:$Z63,MIN(H$6-$E$3,22))&lt;&gt;""),Soja!$E63:INDEX(Soja!$E63:$Z63,MIN(H$6-$E$3,22))),0))-IF($G$2,0,IF((H$6-$G$3)&lt;1,0,IFERROR(LOOKUP(2,1/(Soja!$E63:INDEX(Soja!$E63:$Z63,MIN(H$6-$G$3,22))&lt;&gt;""),Soja!$E63:INDEX(Soja!$E63:$Z63,MIN(H$6-$G$3,22))),0)))))</f>
        <v>0</v>
      </c>
      <c r="I65" s="27" t="n">
        <f aca="false">IF(COUNT(Soja!$E63:$Z63)=0,0,MAX(0,IF((I$6-$E$3)&lt;1,0,IFERROR(LOOKUP(2,1/(Soja!$E63:INDEX(Soja!$E63:$Z63,MIN(I$6-$E$3,22))&lt;&gt;""),Soja!$E63:INDEX(Soja!$E63:$Z63,MIN(I$6-$E$3,22))),0))-IF($G$2,0,IF((I$6-$G$3)&lt;1,0,IFERROR(LOOKUP(2,1/(Soja!$E63:INDEX(Soja!$E63:$Z63,MIN(I$6-$G$3,22))&lt;&gt;""),Soja!$E63:INDEX(Soja!$E63:$Z63,MIN(I$6-$G$3,22))),0)))))</f>
        <v>0</v>
      </c>
      <c r="J65" s="27" t="n">
        <f aca="false">IF(COUNT(Soja!$E63:$Z63)=0,0,MAX(0,IF((J$6-$E$3)&lt;1,0,IFERROR(LOOKUP(2,1/(Soja!$E63:INDEX(Soja!$E63:$Z63,MIN(J$6-$E$3,22))&lt;&gt;""),Soja!$E63:INDEX(Soja!$E63:$Z63,MIN(J$6-$E$3,22))),0))-IF($G$2,0,IF((J$6-$G$3)&lt;1,0,IFERROR(LOOKUP(2,1/(Soja!$E63:INDEX(Soja!$E63:$Z63,MIN(J$6-$G$3,22))&lt;&gt;""),Soja!$E63:INDEX(Soja!$E63:$Z63,MIN(J$6-$G$3,22))),0)))))</f>
        <v>0</v>
      </c>
      <c r="K65" s="27" t="n">
        <f aca="false">IF(COUNT(Soja!$E63:$Z63)=0,0,MAX(0,IF((K$6-$E$3)&lt;1,0,IFERROR(LOOKUP(2,1/(Soja!$E63:INDEX(Soja!$E63:$Z63,MIN(K$6-$E$3,22))&lt;&gt;""),Soja!$E63:INDEX(Soja!$E63:$Z63,MIN(K$6-$E$3,22))),0))-IF($G$2,0,IF((K$6-$G$3)&lt;1,0,IFERROR(LOOKUP(2,1/(Soja!$E63:INDEX(Soja!$E63:$Z63,MIN(K$6-$G$3,22))&lt;&gt;""),Soja!$E63:INDEX(Soja!$E63:$Z63,MIN(K$6-$G$3,22))),0)))))</f>
        <v>0</v>
      </c>
      <c r="L65" s="27" t="n">
        <f aca="false">IF(COUNT(Soja!$E63:$Z63)=0,0,MAX(0,IF((L$6-$E$3)&lt;1,0,IFERROR(LOOKUP(2,1/(Soja!$E63:INDEX(Soja!$E63:$Z63,MIN(L$6-$E$3,22))&lt;&gt;""),Soja!$E63:INDEX(Soja!$E63:$Z63,MIN(L$6-$E$3,22))),0))-IF($G$2,0,IF((L$6-$G$3)&lt;1,0,IFERROR(LOOKUP(2,1/(Soja!$E63:INDEX(Soja!$E63:$Z63,MIN(L$6-$G$3,22))&lt;&gt;""),Soja!$E63:INDEX(Soja!$E63:$Z63,MIN(L$6-$G$3,22))),0)))))</f>
        <v>0</v>
      </c>
      <c r="M65" s="27" t="n">
        <f aca="false">IF(COUNT(Soja!$E63:$Z63)=0,0,MAX(0,IF((M$6-$E$3)&lt;1,0,IFERROR(LOOKUP(2,1/(Soja!$E63:INDEX(Soja!$E63:$Z63,MIN(M$6-$E$3,22))&lt;&gt;""),Soja!$E63:INDEX(Soja!$E63:$Z63,MIN(M$6-$E$3,22))),0))-IF($G$2,0,IF((M$6-$G$3)&lt;1,0,IFERROR(LOOKUP(2,1/(Soja!$E63:INDEX(Soja!$E63:$Z63,MIN(M$6-$G$3,22))&lt;&gt;""),Soja!$E63:INDEX(Soja!$E63:$Z63,MIN(M$6-$G$3,22))),0)))))</f>
        <v>0</v>
      </c>
      <c r="N65" s="27" t="n">
        <f aca="false">IF(COUNT(Soja!$E63:$Z63)=0,0,MAX(0,IF((N$6-$E$3)&lt;1,0,IFERROR(LOOKUP(2,1/(Soja!$E63:INDEX(Soja!$E63:$Z63,MIN(N$6-$E$3,22))&lt;&gt;""),Soja!$E63:INDEX(Soja!$E63:$Z63,MIN(N$6-$E$3,22))),0))-IF($G$2,0,IF((N$6-$G$3)&lt;1,0,IFERROR(LOOKUP(2,1/(Soja!$E63:INDEX(Soja!$E63:$Z63,MIN(N$6-$G$3,22))&lt;&gt;""),Soja!$E63:INDEX(Soja!$E63:$Z63,MIN(N$6-$G$3,22))),0)))))</f>
        <v>0</v>
      </c>
      <c r="O65" s="27" t="n">
        <f aca="false">IF(COUNT(Soja!$E63:$Z63)=0,0,MAX(0,IF((O$6-$E$3)&lt;1,0,IFERROR(LOOKUP(2,1/(Soja!$E63:INDEX(Soja!$E63:$Z63,MIN(O$6-$E$3,22))&lt;&gt;""),Soja!$E63:INDEX(Soja!$E63:$Z63,MIN(O$6-$E$3,22))),0))-IF($G$2,0,IF((O$6-$G$3)&lt;1,0,IFERROR(LOOKUP(2,1/(Soja!$E63:INDEX(Soja!$E63:$Z63,MIN(O$6-$G$3,22))&lt;&gt;""),Soja!$E63:INDEX(Soja!$E63:$Z63,MIN(O$6-$G$3,22))),0)))))</f>
        <v>0</v>
      </c>
      <c r="P65" s="27" t="n">
        <f aca="false">IF(COUNT(Soja!$E63:$Z63)=0,0,MAX(0,IF((P$6-$E$3)&lt;1,0,IFERROR(LOOKUP(2,1/(Soja!$E63:INDEX(Soja!$E63:$Z63,MIN(P$6-$E$3,22))&lt;&gt;""),Soja!$E63:INDEX(Soja!$E63:$Z63,MIN(P$6-$E$3,22))),0))-IF($G$2,0,IF((P$6-$G$3)&lt;1,0,IFERROR(LOOKUP(2,1/(Soja!$E63:INDEX(Soja!$E63:$Z63,MIN(P$6-$G$3,22))&lt;&gt;""),Soja!$E63:INDEX(Soja!$E63:$Z63,MIN(P$6-$G$3,22))),0)))))</f>
        <v>0</v>
      </c>
      <c r="Q65" s="27" t="n">
        <f aca="false">IF(COUNT(Soja!$E63:$Z63)=0,0,MAX(0,IF((Q$6-$E$3)&lt;1,0,IFERROR(LOOKUP(2,1/(Soja!$E63:INDEX(Soja!$E63:$Z63,MIN(Q$6-$E$3,22))&lt;&gt;""),Soja!$E63:INDEX(Soja!$E63:$Z63,MIN(Q$6-$E$3,22))),0))-IF($G$2,0,IF((Q$6-$G$3)&lt;1,0,IFERROR(LOOKUP(2,1/(Soja!$E63:INDEX(Soja!$E63:$Z63,MIN(Q$6-$G$3,22))&lt;&gt;""),Soja!$E63:INDEX(Soja!$E63:$Z63,MIN(Q$6-$G$3,22))),0)))))</f>
        <v>0</v>
      </c>
      <c r="R65" s="27" t="n">
        <f aca="false">IF(COUNT(Soja!$E63:$Z63)=0,0,MAX(0,IF((R$6-$E$3)&lt;1,0,IFERROR(LOOKUP(2,1/(Soja!$E63:INDEX(Soja!$E63:$Z63,MIN(R$6-$E$3,22))&lt;&gt;""),Soja!$E63:INDEX(Soja!$E63:$Z63,MIN(R$6-$E$3,22))),0))-IF($G$2,0,IF((R$6-$G$3)&lt;1,0,IFERROR(LOOKUP(2,1/(Soja!$E63:INDEX(Soja!$E63:$Z63,MIN(R$6-$G$3,22))&lt;&gt;""),Soja!$E63:INDEX(Soja!$E63:$Z63,MIN(R$6-$G$3,22))),0)))))</f>
        <v>0</v>
      </c>
      <c r="S65" s="27" t="n">
        <f aca="false">IF(COUNT(Soja!$E63:$Z63)=0,0,MAX(0,IF((S$6-$E$3)&lt;1,0,IFERROR(LOOKUP(2,1/(Soja!$E63:INDEX(Soja!$E63:$Z63,MIN(S$6-$E$3,22))&lt;&gt;""),Soja!$E63:INDEX(Soja!$E63:$Z63,MIN(S$6-$E$3,22))),0))-IF($G$2,0,IF((S$6-$G$3)&lt;1,0,IFERROR(LOOKUP(2,1/(Soja!$E63:INDEX(Soja!$E63:$Z63,MIN(S$6-$G$3,22))&lt;&gt;""),Soja!$E63:INDEX(Soja!$E63:$Z63,MIN(S$6-$G$3,22))),0)))))</f>
        <v>0</v>
      </c>
      <c r="T65" s="27" t="n">
        <f aca="false">IF(COUNT(Soja!$E63:$Z63)=0,0,MAX(0,IF((T$6-$E$3)&lt;1,0,IFERROR(LOOKUP(2,1/(Soja!$E63:INDEX(Soja!$E63:$Z63,MIN(T$6-$E$3,22))&lt;&gt;""),Soja!$E63:INDEX(Soja!$E63:$Z63,MIN(T$6-$E$3,22))),0))-IF($G$2,0,IF((T$6-$G$3)&lt;1,0,IFERROR(LOOKUP(2,1/(Soja!$E63:INDEX(Soja!$E63:$Z63,MIN(T$6-$G$3,22))&lt;&gt;""),Soja!$E63:INDEX(Soja!$E63:$Z63,MIN(T$6-$G$3,22))),0)))))</f>
        <v>0</v>
      </c>
      <c r="U65" s="27" t="n">
        <f aca="false">IF(COUNT(Soja!$E63:$Z63)=0,0,MAX(0,IF((U$6-$E$3)&lt;1,0,IFERROR(LOOKUP(2,1/(Soja!$E63:INDEX(Soja!$E63:$Z63,MIN(U$6-$E$3,22))&lt;&gt;""),Soja!$E63:INDEX(Soja!$E63:$Z63,MIN(U$6-$E$3,22))),0))-IF($G$2,0,IF((U$6-$G$3)&lt;1,0,IFERROR(LOOKUP(2,1/(Soja!$E63:INDEX(Soja!$E63:$Z63,MIN(U$6-$G$3,22))&lt;&gt;""),Soja!$E63:INDEX(Soja!$E63:$Z63,MIN(U$6-$G$3,22))),0)))))</f>
        <v>0</v>
      </c>
      <c r="V65" s="27" t="n">
        <f aca="false">IF(COUNT(Soja!$E63:$Z63)=0,0,MAX(0,IF((V$6-$E$3)&lt;1,0,IFERROR(LOOKUP(2,1/(Soja!$E63:INDEX(Soja!$E63:$Z63,MIN(V$6-$E$3,22))&lt;&gt;""),Soja!$E63:INDEX(Soja!$E63:$Z63,MIN(V$6-$E$3,22))),0))-IF($G$2,0,IF((V$6-$G$3)&lt;1,0,IFERROR(LOOKUP(2,1/(Soja!$E63:INDEX(Soja!$E63:$Z63,MIN(V$6-$G$3,22))&lt;&gt;""),Soja!$E63:INDEX(Soja!$E63:$Z63,MIN(V$6-$G$3,22))),0)))))</f>
        <v>0</v>
      </c>
      <c r="W65" s="27" t="n">
        <f aca="false">IF(COUNT(Soja!$E63:$Z63)=0,0,MAX(0,IF((W$6-$E$3)&lt;1,0,IFERROR(LOOKUP(2,1/(Soja!$E63:INDEX(Soja!$E63:$Z63,MIN(W$6-$E$3,22))&lt;&gt;""),Soja!$E63:INDEX(Soja!$E63:$Z63,MIN(W$6-$E$3,22))),0))-IF($G$2,0,IF((W$6-$G$3)&lt;1,0,IFERROR(LOOKUP(2,1/(Soja!$E63:INDEX(Soja!$E63:$Z63,MIN(W$6-$G$3,22))&lt;&gt;""),Soja!$E63:INDEX(Soja!$E63:$Z63,MIN(W$6-$G$3,22))),0)))))</f>
        <v>0</v>
      </c>
      <c r="X65" s="27" t="n">
        <f aca="false">IF(COUNT(Soja!$E63:$Z63)=0,0,MAX(0,IF((X$6-$E$3)&lt;1,0,IFERROR(LOOKUP(2,1/(Soja!$E63:INDEX(Soja!$E63:$Z63,MIN(X$6-$E$3,22))&lt;&gt;""),Soja!$E63:INDEX(Soja!$E63:$Z63,MIN(X$6-$E$3,22))),0))-IF($G$2,0,IF((X$6-$G$3)&lt;1,0,IFERROR(LOOKUP(2,1/(Soja!$E63:INDEX(Soja!$E63:$Z63,MIN(X$6-$G$3,22))&lt;&gt;""),Soja!$E63:INDEX(Soja!$E63:$Z63,MIN(X$6-$G$3,22))),0)))))</f>
        <v>0</v>
      </c>
      <c r="Y65" s="27" t="n">
        <f aca="false">IF(COUNT(Soja!$E63:$Z63)=0,0,MAX(0,IF((Y$6-$E$3)&lt;1,0,IFERROR(LOOKUP(2,1/(Soja!$E63:INDEX(Soja!$E63:$Z63,MIN(Y$6-$E$3,22))&lt;&gt;""),Soja!$E63:INDEX(Soja!$E63:$Z63,MIN(Y$6-$E$3,22))),0))-IF($G$2,0,IF((Y$6-$G$3)&lt;1,0,IFERROR(LOOKUP(2,1/(Soja!$E63:INDEX(Soja!$E63:$Z63,MIN(Y$6-$G$3,22))&lt;&gt;""),Soja!$E63:INDEX(Soja!$E63:$Z63,MIN(Y$6-$G$3,22))),0)))))</f>
        <v>0</v>
      </c>
      <c r="Z65" s="27" t="n">
        <f aca="false">IF(COUNT(Soja!$E63:$Z63)=0,0,MAX(0,IF((Z$6-$E$3)&lt;1,0,IFERROR(LOOKUP(2,1/(Soja!$E63:INDEX(Soja!$E63:$Z63,MIN(Z$6-$E$3,22))&lt;&gt;""),Soja!$E63:INDEX(Soja!$E63:$Z63,MIN(Z$6-$E$3,22))),0))-IF($G$2,0,IF((Z$6-$G$3)&lt;1,0,IFERROR(LOOKUP(2,1/(Soja!$E63:INDEX(Soja!$E63:$Z63,MIN(Z$6-$G$3,22))&lt;&gt;""),Soja!$E63:INDEX(Soja!$E63:$Z63,MIN(Z$6-$G$3,22))),0)))))</f>
        <v>0</v>
      </c>
      <c r="AA65" s="27" t="n">
        <f aca="false">IF(COUNT(Soja!$E63:$Z63)=0,0,MAX(0,IF((AA$6-$E$3)&lt;1,0,IFERROR(LOOKUP(2,1/(Soja!$E63:INDEX(Soja!$E63:$Z63,MIN(AA$6-$E$3,22))&lt;&gt;""),Soja!$E63:INDEX(Soja!$E63:$Z63,MIN(AA$6-$E$3,22))),0))-IF($G$2,0,IF((AA$6-$G$3)&lt;1,0,IFERROR(LOOKUP(2,1/(Soja!$E63:INDEX(Soja!$E63:$Z63,MIN(AA$6-$G$3,22))&lt;&gt;""),Soja!$E63:INDEX(Soja!$E63:$Z63,MIN(AA$6-$G$3,22))),0)))))</f>
        <v>0</v>
      </c>
      <c r="AB65" s="27" t="n">
        <f aca="false">IF(COUNT(Soja!$E63:$Z63)=0,0,MAX(0,IF((AB$6-$E$3)&lt;1,0,IFERROR(LOOKUP(2,1/(Soja!$E63:INDEX(Soja!$E63:$Z63,MIN(AB$6-$E$3,22))&lt;&gt;""),Soja!$E63:INDEX(Soja!$E63:$Z63,MIN(AB$6-$E$3,22))),0))-IF($G$2,0,IF((AB$6-$G$3)&lt;1,0,IFERROR(LOOKUP(2,1/(Soja!$E63:INDEX(Soja!$E63:$Z63,MIN(AB$6-$G$3,22))&lt;&gt;""),Soja!$E63:INDEX(Soja!$E63:$Z63,MIN(AB$6-$G$3,22))),0)))))</f>
        <v>0</v>
      </c>
      <c r="AC65" s="27" t="n">
        <f aca="false">IF(COUNT(Soja!$E63:$Z63)=0,0,MAX(0,IF((AC$6-$E$3)&lt;1,0,IFERROR(LOOKUP(2,1/(Soja!$E63:INDEX(Soja!$E63:$Z63,MIN(AC$6-$E$3,22))&lt;&gt;""),Soja!$E63:INDEX(Soja!$E63:$Z63,MIN(AC$6-$E$3,22))),0))-IF($G$2,0,IF((AC$6-$G$3)&lt;1,0,IFERROR(LOOKUP(2,1/(Soja!$E63:INDEX(Soja!$E63:$Z63,MIN(AC$6-$G$3,22))&lt;&gt;""),Soja!$E63:INDEX(Soja!$E63:$Z63,MIN(AC$6-$G$3,22))),0)))))</f>
        <v>0</v>
      </c>
      <c r="AD65" s="27" t="n">
        <f aca="false">IF(COUNT(Soja!$E63:$Z63)=0,0,MAX(0,IF((AD$6-$E$3)&lt;1,0,IFERROR(LOOKUP(2,1/(Soja!$E63:INDEX(Soja!$E63:$Z63,MIN(AD$6-$E$3,22))&lt;&gt;""),Soja!$E63:INDEX(Soja!$E63:$Z63,MIN(AD$6-$E$3,22))),0))-IF($G$2,0,IF((AD$6-$G$3)&lt;1,0,IFERROR(LOOKUP(2,1/(Soja!$E63:INDEX(Soja!$E63:$Z63,MIN(AD$6-$G$3,22))&lt;&gt;""),Soja!$E63:INDEX(Soja!$E63:$Z63,MIN(AD$6-$G$3,22))),0)))))</f>
        <v>0</v>
      </c>
      <c r="AE65" s="27" t="n">
        <f aca="false">IF(COUNT(Soja!$E63:$Z63)=0,0,MAX(0,IF((AE$6-$E$3)&lt;1,0,IFERROR(LOOKUP(2,1/(Soja!$E63:INDEX(Soja!$E63:$Z63,MIN(AE$6-$E$3,22))&lt;&gt;""),Soja!$E63:INDEX(Soja!$E63:$Z63,MIN(AE$6-$E$3,22))),0))-IF($G$2,0,IF((AE$6-$G$3)&lt;1,0,IFERROR(LOOKUP(2,1/(Soja!$E63:INDEX(Soja!$E63:$Z63,MIN(AE$6-$G$3,22))&lt;&gt;""),Soja!$E63:INDEX(Soja!$E63:$Z63,MIN(AE$6-$G$3,22))),0)))))</f>
        <v>0</v>
      </c>
      <c r="AF65" s="27" t="n">
        <f aca="false">IF(COUNT(Soja!$E63:$Z63)=0,0,MAX(0,IF((AF$6-$E$3)&lt;1,0,IFERROR(LOOKUP(2,1/(Soja!$E63:INDEX(Soja!$E63:$Z63,MIN(AF$6-$E$3,22))&lt;&gt;""),Soja!$E63:INDEX(Soja!$E63:$Z63,MIN(AF$6-$E$3,22))),0))-IF($G$2,0,IF((AF$6-$G$3)&lt;1,0,IFERROR(LOOKUP(2,1/(Soja!$E63:INDEX(Soja!$E63:$Z63,MIN(AF$6-$G$3,22))&lt;&gt;""),Soja!$E63:INDEX(Soja!$E63:$Z63,MIN(AF$6-$G$3,22))),0)))))</f>
        <v>0</v>
      </c>
      <c r="AG65" s="27" t="n">
        <f aca="false">IF(COUNT(Soja!$E63:$Z63)=0,0,MAX(0,IF((AG$6-$E$3)&lt;1,0,IFERROR(LOOKUP(2,1/(Soja!$E63:INDEX(Soja!$E63:$Z63,MIN(AG$6-$E$3,22))&lt;&gt;""),Soja!$E63:INDEX(Soja!$E63:$Z63,MIN(AG$6-$E$3,22))),0))-IF($G$2,0,IF((AG$6-$G$3)&lt;1,0,IFERROR(LOOKUP(2,1/(Soja!$E63:INDEX(Soja!$E63:$Z63,MIN(AG$6-$G$3,22))&lt;&gt;""),Soja!$E63:INDEX(Soja!$E63:$Z63,MIN(AG$6-$G$3,22))),0)))))</f>
        <v>0</v>
      </c>
      <c r="AH65" s="27" t="n">
        <f aca="false">IF(COUNT(Soja!$E63:$Z63)=0,0,MAX(0,IF((AH$6-$E$3)&lt;1,0,IFERROR(LOOKUP(2,1/(Soja!$E63:INDEX(Soja!$E63:$Z63,MIN(AH$6-$E$3,22))&lt;&gt;""),Soja!$E63:INDEX(Soja!$E63:$Z63,MIN(AH$6-$E$3,22))),0))-IF($G$2,0,IF((AH$6-$G$3)&lt;1,0,IFERROR(LOOKUP(2,1/(Soja!$E63:INDEX(Soja!$E63:$Z63,MIN(AH$6-$G$3,22))&lt;&gt;""),Soja!$E63:INDEX(Soja!$E63:$Z63,MIN(AH$6-$G$3,22))),0)))))</f>
        <v>0</v>
      </c>
      <c r="AI65" s="27" t="n">
        <f aca="false">IF(COUNT(Soja!$E63:$Z63)=0,0,MAX(0,IF((AI$6-$E$3)&lt;1,0,IFERROR(LOOKUP(2,1/(Soja!$E63:INDEX(Soja!$E63:$Z63,MIN(AI$6-$E$3,22))&lt;&gt;""),Soja!$E63:INDEX(Soja!$E63:$Z63,MIN(AI$6-$E$3,22))),0))-IF($G$2,0,IF((AI$6-$G$3)&lt;1,0,IFERROR(LOOKUP(2,1/(Soja!$E63:INDEX(Soja!$E63:$Z63,MIN(AI$6-$G$3,22))&lt;&gt;""),Soja!$E63:INDEX(Soja!$E63:$Z63,MIN(AI$6-$G$3,22))),0)))))</f>
        <v>0</v>
      </c>
      <c r="AJ65" s="27" t="n">
        <f aca="false">IF(COUNT(Soja!$E63:$Z63)=0,0,MAX(0,IF((AJ$6-$E$3)&lt;1,0,IFERROR(LOOKUP(2,1/(Soja!$E63:INDEX(Soja!$E63:$Z63,MIN(AJ$6-$E$3,22))&lt;&gt;""),Soja!$E63:INDEX(Soja!$E63:$Z63,MIN(AJ$6-$E$3,22))),0))-IF($G$2,0,IF((AJ$6-$G$3)&lt;1,0,IFERROR(LOOKUP(2,1/(Soja!$E63:INDEX(Soja!$E63:$Z63,MIN(AJ$6-$G$3,22))&lt;&gt;""),Soja!$E63:INDEX(Soja!$E63:$Z63,MIN(AJ$6-$G$3,22))),0)))))</f>
        <v>0</v>
      </c>
      <c r="AK65" s="27" t="n">
        <f aca="false">IF(COUNT(Soja!$E63:$Z63)=0,0,MAX(0,IF((AK$6-$E$3)&lt;1,0,IFERROR(LOOKUP(2,1/(Soja!$E63:INDEX(Soja!$E63:$Z63,MIN(AK$6-$E$3,22))&lt;&gt;""),Soja!$E63:INDEX(Soja!$E63:$Z63,MIN(AK$6-$E$3,22))),0))-IF($G$2,0,IF((AK$6-$G$3)&lt;1,0,IFERROR(LOOKUP(2,1/(Soja!$E63:INDEX(Soja!$E63:$Z63,MIN(AK$6-$G$3,22))&lt;&gt;""),Soja!$E63:INDEX(Soja!$E63:$Z63,MIN(AK$6-$G$3,22))),0)))))</f>
        <v>0</v>
      </c>
      <c r="AL65" s="27" t="n">
        <f aca="false">IF(COUNT(Soja!$E63:$Z63)=0,0,MAX(0,IF((AL$6-$E$3)&lt;1,0,IFERROR(LOOKUP(2,1/(Soja!$E63:INDEX(Soja!$E63:$Z63,MIN(AL$6-$E$3,22))&lt;&gt;""),Soja!$E63:INDEX(Soja!$E63:$Z63,MIN(AL$6-$E$3,22))),0))-IF($G$2,0,IF((AL$6-$G$3)&lt;1,0,IFERROR(LOOKUP(2,1/(Soja!$E63:INDEX(Soja!$E63:$Z63,MIN(AL$6-$G$3,22))&lt;&gt;""),Soja!$E63:INDEX(Soja!$E63:$Z63,MIN(AL$6-$G$3,22))),0)))))</f>
        <v>0</v>
      </c>
      <c r="AM65" s="27" t="n">
        <f aca="false">IF(COUNT(Soja!$E63:$Z63)=0,0,MAX(0,IF((AM$6-$E$3)&lt;1,0,IFERROR(LOOKUP(2,1/(Soja!$E63:INDEX(Soja!$E63:$Z63,MIN(AM$6-$E$3,22))&lt;&gt;""),Soja!$E63:INDEX(Soja!$E63:$Z63,MIN(AM$6-$E$3,22))),0))-IF($G$2,0,IF((AM$6-$G$3)&lt;1,0,IFERROR(LOOKUP(2,1/(Soja!$E63:INDEX(Soja!$E63:$Z63,MIN(AM$6-$G$3,22))&lt;&gt;""),Soja!$E63:INDEX(Soja!$E63:$Z63,MIN(AM$6-$G$3,22))),0)))))</f>
        <v>0</v>
      </c>
      <c r="AN65" s="27" t="n">
        <f aca="false">IF(COUNT(Soja!$E63:$Z63)=0,0,MAX(0,IF((AN$6-$E$3)&lt;1,0,IFERROR(LOOKUP(2,1/(Soja!$E63:INDEX(Soja!$E63:$Z63,MIN(AN$6-$E$3,22))&lt;&gt;""),Soja!$E63:INDEX(Soja!$E63:$Z63,MIN(AN$6-$E$3,22))),0))-IF($G$2,0,IF((AN$6-$G$3)&lt;1,0,IFERROR(LOOKUP(2,1/(Soja!$E63:INDEX(Soja!$E63:$Z63,MIN(AN$6-$G$3,22))&lt;&gt;""),Soja!$E63:INDEX(Soja!$E63:$Z63,MIN(AN$6-$G$3,22))),0)))))</f>
        <v>0</v>
      </c>
      <c r="AO65" s="27" t="n">
        <f aca="false">IF(COUNT(Soja!$E63:$Z63)=0,0,MAX(0,IF((AO$6-$E$3)&lt;1,0,IFERROR(LOOKUP(2,1/(Soja!$E63:INDEX(Soja!$E63:$Z63,MIN(AO$6-$E$3,22))&lt;&gt;""),Soja!$E63:INDEX(Soja!$E63:$Z63,MIN(AO$6-$E$3,22))),0))-IF($G$2,0,IF((AO$6-$G$3)&lt;1,0,IFERROR(LOOKUP(2,1/(Soja!$E63:INDEX(Soja!$E63:$Z63,MIN(AO$6-$G$3,22))&lt;&gt;""),Soja!$E63:INDEX(Soja!$E63:$Z63,MIN(AO$6-$G$3,22))),0)))))</f>
        <v>0</v>
      </c>
      <c r="AP65" s="27" t="n">
        <f aca="false">IF(COUNT(Soja!$E63:$Z63)=0,0,MAX(0,IF((AP$6-$E$3)&lt;1,0,IFERROR(LOOKUP(2,1/(Soja!$E63:INDEX(Soja!$E63:$Z63,MIN(AP$6-$E$3,22))&lt;&gt;""),Soja!$E63:INDEX(Soja!$E63:$Z63,MIN(AP$6-$E$3,22))),0))-IF($G$2,0,IF((AP$6-$G$3)&lt;1,0,IFERROR(LOOKUP(2,1/(Soja!$E63:INDEX(Soja!$E63:$Z63,MIN(AP$6-$G$3,22))&lt;&gt;""),Soja!$E63:INDEX(Soja!$E63:$Z63,MIN(AP$6-$G$3,22))),0)))))</f>
        <v>0</v>
      </c>
      <c r="AQ65" s="27" t="n">
        <f aca="false">IF(COUNT(Soja!$E63:$Z63)=0,0,MAX(0,IF((AQ$6-$E$3)&lt;1,0,IFERROR(LOOKUP(2,1/(Soja!$E63:INDEX(Soja!$E63:$Z63,MIN(AQ$6-$E$3,22))&lt;&gt;""),Soja!$E63:INDEX(Soja!$E63:$Z63,MIN(AQ$6-$E$3,22))),0))-IF($G$2,0,IF((AQ$6-$G$3)&lt;1,0,IFERROR(LOOKUP(2,1/(Soja!$E63:INDEX(Soja!$E63:$Z63,MIN(AQ$6-$G$3,22))&lt;&gt;""),Soja!$E63:INDEX(Soja!$E63:$Z63,MIN(AQ$6-$G$3,22))),0)))))</f>
        <v>0</v>
      </c>
      <c r="AR65" s="27" t="n">
        <f aca="false">IF(COUNT(Soja!$E63:$Z63)=0,0,MAX(0,IF((AR$6-$E$3)&lt;1,0,IFERROR(LOOKUP(2,1/(Soja!$E63:INDEX(Soja!$E63:$Z63,MIN(AR$6-$E$3,22))&lt;&gt;""),Soja!$E63:INDEX(Soja!$E63:$Z63,MIN(AR$6-$E$3,22))),0))-IF($G$2,0,IF((AR$6-$G$3)&lt;1,0,IFERROR(LOOKUP(2,1/(Soja!$E63:INDEX(Soja!$E63:$Z63,MIN(AR$6-$G$3,22))&lt;&gt;""),Soja!$E63:INDEX(Soja!$E63:$Z63,MIN(AR$6-$G$3,22))),0)))))</f>
        <v>0</v>
      </c>
      <c r="AS65" s="27" t="n">
        <f aca="false">IF(COUNT(Soja!$E63:$Z63)=0,0,MAX(0,IF((AS$6-$E$3)&lt;1,0,IFERROR(LOOKUP(2,1/(Soja!$E63:INDEX(Soja!$E63:$Z63,MIN(AS$6-$E$3,22))&lt;&gt;""),Soja!$E63:INDEX(Soja!$E63:$Z63,MIN(AS$6-$E$3,22))),0))-IF($G$2,0,IF((AS$6-$G$3)&lt;1,0,IFERROR(LOOKUP(2,1/(Soja!$E63:INDEX(Soja!$E63:$Z63,MIN(AS$6-$G$3,22))&lt;&gt;""),Soja!$E63:INDEX(Soja!$E63:$Z63,MIN(AS$6-$G$3,22))),0)))))</f>
        <v>0</v>
      </c>
      <c r="AT65" s="27" t="n">
        <f aca="false">IF(COUNT(Soja!$E63:$Z63)=0,0,MAX(0,IF((AT$6-$E$3)&lt;1,0,IFERROR(LOOKUP(2,1/(Soja!$E63:INDEX(Soja!$E63:$Z63,MIN(AT$6-$E$3,22))&lt;&gt;""),Soja!$E63:INDEX(Soja!$E63:$Z63,MIN(AT$6-$E$3,22))),0))-IF($G$2,0,IF((AT$6-$G$3)&lt;1,0,IFERROR(LOOKUP(2,1/(Soja!$E63:INDEX(Soja!$E63:$Z63,MIN(AT$6-$G$3,22))&lt;&gt;""),Soja!$E63:INDEX(Soja!$E63:$Z63,MIN(AT$6-$G$3,22))),0)))))</f>
        <v>0</v>
      </c>
      <c r="AU65" s="27" t="n">
        <f aca="false">IF(COUNT(Soja!$E63:$Z63)=0,0,MAX(0,IF((AU$6-$E$3)&lt;1,0,IFERROR(LOOKUP(2,1/(Soja!$E63:INDEX(Soja!$E63:$Z63,MIN(AU$6-$E$3,22))&lt;&gt;""),Soja!$E63:INDEX(Soja!$E63:$Z63,MIN(AU$6-$E$3,22))),0))-IF($G$2,0,IF((AU$6-$G$3)&lt;1,0,IFERROR(LOOKUP(2,1/(Soja!$E63:INDEX(Soja!$E63:$Z63,MIN(AU$6-$G$3,22))&lt;&gt;""),Soja!$E63:INDEX(Soja!$E63:$Z63,MIN(AU$6-$G$3,22))),0)))))</f>
        <v>0</v>
      </c>
      <c r="AV65" s="27" t="n">
        <f aca="false">IF(COUNT(Soja!$E63:$Z63)=0,0,MAX(0,IF((AV$6-$E$3)&lt;1,0,IFERROR(LOOKUP(2,1/(Soja!$E63:INDEX(Soja!$E63:$Z63,MIN(AV$6-$E$3,22))&lt;&gt;""),Soja!$E63:INDEX(Soja!$E63:$Z63,MIN(AV$6-$E$3,22))),0))-IF($G$2,0,IF((AV$6-$G$3)&lt;1,0,IFERROR(LOOKUP(2,1/(Soja!$E63:INDEX(Soja!$E63:$Z63,MIN(AV$6-$G$3,22))&lt;&gt;""),Soja!$E63:INDEX(Soja!$E63:$Z63,MIN(AV$6-$G$3,22))),0)))))</f>
        <v>0</v>
      </c>
      <c r="AW65" s="27" t="n">
        <f aca="false">IF(COUNT(Soja!$E63:$Z63)=0,0,MAX(0,IF((AW$6-$E$3)&lt;1,0,IFERROR(LOOKUP(2,1/(Soja!$E63:INDEX(Soja!$E63:$Z63,MIN(AW$6-$E$3,22))&lt;&gt;""),Soja!$E63:INDEX(Soja!$E63:$Z63,MIN(AW$6-$E$3,22))),0))-IF($G$2,0,IF((AW$6-$G$3)&lt;1,0,IFERROR(LOOKUP(2,1/(Soja!$E63:INDEX(Soja!$E63:$Z63,MIN(AW$6-$G$3,22))&lt;&gt;""),Soja!$E63:INDEX(Soja!$E63:$Z63,MIN(AW$6-$G$3,22))),0)))))</f>
        <v>0</v>
      </c>
      <c r="AX65" s="27" t="n">
        <f aca="false">IF(COUNT(Soja!$E63:$Z63)=0,0,MAX(0,IF((AX$6-$E$3)&lt;1,0,IFERROR(LOOKUP(2,1/(Soja!$E63:INDEX(Soja!$E63:$Z63,MIN(AX$6-$E$3,22))&lt;&gt;""),Soja!$E63:INDEX(Soja!$E63:$Z63,MIN(AX$6-$E$3,22))),0))-IF($G$2,0,IF((AX$6-$G$3)&lt;1,0,IFERROR(LOOKUP(2,1/(Soja!$E63:INDEX(Soja!$E63:$Z63,MIN(AX$6-$G$3,22))&lt;&gt;""),Soja!$E63:INDEX(Soja!$E63:$Z63,MIN(AX$6-$G$3,22))),0)))))</f>
        <v>0</v>
      </c>
      <c r="AY65" s="27" t="n">
        <f aca="false">IF(COUNT(Soja!$E63:$Z63)=0,0,MAX(0,IF((AY$6-$E$3)&lt;1,0,IFERROR(LOOKUP(2,1/(Soja!$E63:INDEX(Soja!$E63:$Z63,MIN(AY$6-$E$3,22))&lt;&gt;""),Soja!$E63:INDEX(Soja!$E63:$Z63,MIN(AY$6-$E$3,22))),0))-IF($G$2,0,IF((AY$6-$G$3)&lt;1,0,IFERROR(LOOKUP(2,1/(Soja!$E63:INDEX(Soja!$E63:$Z63,MIN(AY$6-$G$3,22))&lt;&gt;""),Soja!$E63:INDEX(Soja!$E63:$Z63,MIN(AY$6-$G$3,22))),0)))))</f>
        <v>0</v>
      </c>
      <c r="AZ65" s="27" t="n">
        <f aca="false">IF(COUNT(Soja!$E63:$Z63)=0,0,MAX(0,IF((AZ$6-$E$3)&lt;1,0,IFERROR(LOOKUP(2,1/(Soja!$E63:INDEX(Soja!$E63:$Z63,MIN(AZ$6-$E$3,22))&lt;&gt;""),Soja!$E63:INDEX(Soja!$E63:$Z63,MIN(AZ$6-$E$3,22))),0))-IF($G$2,0,IF((AZ$6-$G$3)&lt;1,0,IFERROR(LOOKUP(2,1/(Soja!$E63:INDEX(Soja!$E63:$Z63,MIN(AZ$6-$G$3,22))&lt;&gt;""),Soja!$E63:INDEX(Soja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IF(COUNT(Soja!$E64:$Z64)&gt;0,N(Soja!$D64),0)</f>
        <v>0</v>
      </c>
      <c r="E66" s="27" t="n">
        <f aca="false">IF(COUNT(Soja!$E64:$Z64)=0,0,MAX(0,IF((E$6-$E$3)&lt;1,0,IFERROR(LOOKUP(2,1/(Soja!$E64:INDEX(Soja!$E64:$Z64,MIN(E$6-$E$3,22))&lt;&gt;""),Soja!$E64:INDEX(Soja!$E64:$Z64,MIN(E$6-$E$3,22))),0))-IF($G$2,0,IF((E$6-$G$3)&lt;1,0,IFERROR(LOOKUP(2,1/(Soja!$E64:INDEX(Soja!$E64:$Z64,MIN(E$6-$G$3,22))&lt;&gt;""),Soja!$E64:INDEX(Soja!$E64:$Z64,MIN(E$6-$G$3,22))),0)))))</f>
        <v>0</v>
      </c>
      <c r="F66" s="27" t="n">
        <f aca="false">IF(COUNT(Soja!$E64:$Z64)=0,0,MAX(0,IF((F$6-$E$3)&lt;1,0,IFERROR(LOOKUP(2,1/(Soja!$E64:INDEX(Soja!$E64:$Z64,MIN(F$6-$E$3,22))&lt;&gt;""),Soja!$E64:INDEX(Soja!$E64:$Z64,MIN(F$6-$E$3,22))),0))-IF($G$2,0,IF((F$6-$G$3)&lt;1,0,IFERROR(LOOKUP(2,1/(Soja!$E64:INDEX(Soja!$E64:$Z64,MIN(F$6-$G$3,22))&lt;&gt;""),Soja!$E64:INDEX(Soja!$E64:$Z64,MIN(F$6-$G$3,22))),0)))))</f>
        <v>0</v>
      </c>
      <c r="G66" s="27" t="n">
        <f aca="false">IF(COUNT(Soja!$E64:$Z64)=0,0,MAX(0,IF((G$6-$E$3)&lt;1,0,IFERROR(LOOKUP(2,1/(Soja!$E64:INDEX(Soja!$E64:$Z64,MIN(G$6-$E$3,22))&lt;&gt;""),Soja!$E64:INDEX(Soja!$E64:$Z64,MIN(G$6-$E$3,22))),0))-IF($G$2,0,IF((G$6-$G$3)&lt;1,0,IFERROR(LOOKUP(2,1/(Soja!$E64:INDEX(Soja!$E64:$Z64,MIN(G$6-$G$3,22))&lt;&gt;""),Soja!$E64:INDEX(Soja!$E64:$Z64,MIN(G$6-$G$3,22))),0)))))</f>
        <v>0</v>
      </c>
      <c r="H66" s="27" t="n">
        <f aca="false">IF(COUNT(Soja!$E64:$Z64)=0,0,MAX(0,IF((H$6-$E$3)&lt;1,0,IFERROR(LOOKUP(2,1/(Soja!$E64:INDEX(Soja!$E64:$Z64,MIN(H$6-$E$3,22))&lt;&gt;""),Soja!$E64:INDEX(Soja!$E64:$Z64,MIN(H$6-$E$3,22))),0))-IF($G$2,0,IF((H$6-$G$3)&lt;1,0,IFERROR(LOOKUP(2,1/(Soja!$E64:INDEX(Soja!$E64:$Z64,MIN(H$6-$G$3,22))&lt;&gt;""),Soja!$E64:INDEX(Soja!$E64:$Z64,MIN(H$6-$G$3,22))),0)))))</f>
        <v>0</v>
      </c>
      <c r="I66" s="27" t="n">
        <f aca="false">IF(COUNT(Soja!$E64:$Z64)=0,0,MAX(0,IF((I$6-$E$3)&lt;1,0,IFERROR(LOOKUP(2,1/(Soja!$E64:INDEX(Soja!$E64:$Z64,MIN(I$6-$E$3,22))&lt;&gt;""),Soja!$E64:INDEX(Soja!$E64:$Z64,MIN(I$6-$E$3,22))),0))-IF($G$2,0,IF((I$6-$G$3)&lt;1,0,IFERROR(LOOKUP(2,1/(Soja!$E64:INDEX(Soja!$E64:$Z64,MIN(I$6-$G$3,22))&lt;&gt;""),Soja!$E64:INDEX(Soja!$E64:$Z64,MIN(I$6-$G$3,22))),0)))))</f>
        <v>0</v>
      </c>
      <c r="J66" s="27" t="n">
        <f aca="false">IF(COUNT(Soja!$E64:$Z64)=0,0,MAX(0,IF((J$6-$E$3)&lt;1,0,IFERROR(LOOKUP(2,1/(Soja!$E64:INDEX(Soja!$E64:$Z64,MIN(J$6-$E$3,22))&lt;&gt;""),Soja!$E64:INDEX(Soja!$E64:$Z64,MIN(J$6-$E$3,22))),0))-IF($G$2,0,IF((J$6-$G$3)&lt;1,0,IFERROR(LOOKUP(2,1/(Soja!$E64:INDEX(Soja!$E64:$Z64,MIN(J$6-$G$3,22))&lt;&gt;""),Soja!$E64:INDEX(Soja!$E64:$Z64,MIN(J$6-$G$3,22))),0)))))</f>
        <v>0</v>
      </c>
      <c r="K66" s="27" t="n">
        <f aca="false">IF(COUNT(Soja!$E64:$Z64)=0,0,MAX(0,IF((K$6-$E$3)&lt;1,0,IFERROR(LOOKUP(2,1/(Soja!$E64:INDEX(Soja!$E64:$Z64,MIN(K$6-$E$3,22))&lt;&gt;""),Soja!$E64:INDEX(Soja!$E64:$Z64,MIN(K$6-$E$3,22))),0))-IF($G$2,0,IF((K$6-$G$3)&lt;1,0,IFERROR(LOOKUP(2,1/(Soja!$E64:INDEX(Soja!$E64:$Z64,MIN(K$6-$G$3,22))&lt;&gt;""),Soja!$E64:INDEX(Soja!$E64:$Z64,MIN(K$6-$G$3,22))),0)))))</f>
        <v>0</v>
      </c>
      <c r="L66" s="27" t="n">
        <f aca="false">IF(COUNT(Soja!$E64:$Z64)=0,0,MAX(0,IF((L$6-$E$3)&lt;1,0,IFERROR(LOOKUP(2,1/(Soja!$E64:INDEX(Soja!$E64:$Z64,MIN(L$6-$E$3,22))&lt;&gt;""),Soja!$E64:INDEX(Soja!$E64:$Z64,MIN(L$6-$E$3,22))),0))-IF($G$2,0,IF((L$6-$G$3)&lt;1,0,IFERROR(LOOKUP(2,1/(Soja!$E64:INDEX(Soja!$E64:$Z64,MIN(L$6-$G$3,22))&lt;&gt;""),Soja!$E64:INDEX(Soja!$E64:$Z64,MIN(L$6-$G$3,22))),0)))))</f>
        <v>0</v>
      </c>
      <c r="M66" s="27" t="n">
        <f aca="false">IF(COUNT(Soja!$E64:$Z64)=0,0,MAX(0,IF((M$6-$E$3)&lt;1,0,IFERROR(LOOKUP(2,1/(Soja!$E64:INDEX(Soja!$E64:$Z64,MIN(M$6-$E$3,22))&lt;&gt;""),Soja!$E64:INDEX(Soja!$E64:$Z64,MIN(M$6-$E$3,22))),0))-IF($G$2,0,IF((M$6-$G$3)&lt;1,0,IFERROR(LOOKUP(2,1/(Soja!$E64:INDEX(Soja!$E64:$Z64,MIN(M$6-$G$3,22))&lt;&gt;""),Soja!$E64:INDEX(Soja!$E64:$Z64,MIN(M$6-$G$3,22))),0)))))</f>
        <v>0</v>
      </c>
      <c r="N66" s="27" t="n">
        <f aca="false">IF(COUNT(Soja!$E64:$Z64)=0,0,MAX(0,IF((N$6-$E$3)&lt;1,0,IFERROR(LOOKUP(2,1/(Soja!$E64:INDEX(Soja!$E64:$Z64,MIN(N$6-$E$3,22))&lt;&gt;""),Soja!$E64:INDEX(Soja!$E64:$Z64,MIN(N$6-$E$3,22))),0))-IF($G$2,0,IF((N$6-$G$3)&lt;1,0,IFERROR(LOOKUP(2,1/(Soja!$E64:INDEX(Soja!$E64:$Z64,MIN(N$6-$G$3,22))&lt;&gt;""),Soja!$E64:INDEX(Soja!$E64:$Z64,MIN(N$6-$G$3,22))),0)))))</f>
        <v>0</v>
      </c>
      <c r="O66" s="27" t="n">
        <f aca="false">IF(COUNT(Soja!$E64:$Z64)=0,0,MAX(0,IF((O$6-$E$3)&lt;1,0,IFERROR(LOOKUP(2,1/(Soja!$E64:INDEX(Soja!$E64:$Z64,MIN(O$6-$E$3,22))&lt;&gt;""),Soja!$E64:INDEX(Soja!$E64:$Z64,MIN(O$6-$E$3,22))),0))-IF($G$2,0,IF((O$6-$G$3)&lt;1,0,IFERROR(LOOKUP(2,1/(Soja!$E64:INDEX(Soja!$E64:$Z64,MIN(O$6-$G$3,22))&lt;&gt;""),Soja!$E64:INDEX(Soja!$E64:$Z64,MIN(O$6-$G$3,22))),0)))))</f>
        <v>0</v>
      </c>
      <c r="P66" s="27" t="n">
        <f aca="false">IF(COUNT(Soja!$E64:$Z64)=0,0,MAX(0,IF((P$6-$E$3)&lt;1,0,IFERROR(LOOKUP(2,1/(Soja!$E64:INDEX(Soja!$E64:$Z64,MIN(P$6-$E$3,22))&lt;&gt;""),Soja!$E64:INDEX(Soja!$E64:$Z64,MIN(P$6-$E$3,22))),0))-IF($G$2,0,IF((P$6-$G$3)&lt;1,0,IFERROR(LOOKUP(2,1/(Soja!$E64:INDEX(Soja!$E64:$Z64,MIN(P$6-$G$3,22))&lt;&gt;""),Soja!$E64:INDEX(Soja!$E64:$Z64,MIN(P$6-$G$3,22))),0)))))</f>
        <v>0</v>
      </c>
      <c r="Q66" s="27" t="n">
        <f aca="false">IF(COUNT(Soja!$E64:$Z64)=0,0,MAX(0,IF((Q$6-$E$3)&lt;1,0,IFERROR(LOOKUP(2,1/(Soja!$E64:INDEX(Soja!$E64:$Z64,MIN(Q$6-$E$3,22))&lt;&gt;""),Soja!$E64:INDEX(Soja!$E64:$Z64,MIN(Q$6-$E$3,22))),0))-IF($G$2,0,IF((Q$6-$G$3)&lt;1,0,IFERROR(LOOKUP(2,1/(Soja!$E64:INDEX(Soja!$E64:$Z64,MIN(Q$6-$G$3,22))&lt;&gt;""),Soja!$E64:INDEX(Soja!$E64:$Z64,MIN(Q$6-$G$3,22))),0)))))</f>
        <v>0</v>
      </c>
      <c r="R66" s="27" t="n">
        <f aca="false">IF(COUNT(Soja!$E64:$Z64)=0,0,MAX(0,IF((R$6-$E$3)&lt;1,0,IFERROR(LOOKUP(2,1/(Soja!$E64:INDEX(Soja!$E64:$Z64,MIN(R$6-$E$3,22))&lt;&gt;""),Soja!$E64:INDEX(Soja!$E64:$Z64,MIN(R$6-$E$3,22))),0))-IF($G$2,0,IF((R$6-$G$3)&lt;1,0,IFERROR(LOOKUP(2,1/(Soja!$E64:INDEX(Soja!$E64:$Z64,MIN(R$6-$G$3,22))&lt;&gt;""),Soja!$E64:INDEX(Soja!$E64:$Z64,MIN(R$6-$G$3,22))),0)))))</f>
        <v>0</v>
      </c>
      <c r="S66" s="27" t="n">
        <f aca="false">IF(COUNT(Soja!$E64:$Z64)=0,0,MAX(0,IF((S$6-$E$3)&lt;1,0,IFERROR(LOOKUP(2,1/(Soja!$E64:INDEX(Soja!$E64:$Z64,MIN(S$6-$E$3,22))&lt;&gt;""),Soja!$E64:INDEX(Soja!$E64:$Z64,MIN(S$6-$E$3,22))),0))-IF($G$2,0,IF((S$6-$G$3)&lt;1,0,IFERROR(LOOKUP(2,1/(Soja!$E64:INDEX(Soja!$E64:$Z64,MIN(S$6-$G$3,22))&lt;&gt;""),Soja!$E64:INDEX(Soja!$E64:$Z64,MIN(S$6-$G$3,22))),0)))))</f>
        <v>0</v>
      </c>
      <c r="T66" s="27" t="n">
        <f aca="false">IF(COUNT(Soja!$E64:$Z64)=0,0,MAX(0,IF((T$6-$E$3)&lt;1,0,IFERROR(LOOKUP(2,1/(Soja!$E64:INDEX(Soja!$E64:$Z64,MIN(T$6-$E$3,22))&lt;&gt;""),Soja!$E64:INDEX(Soja!$E64:$Z64,MIN(T$6-$E$3,22))),0))-IF($G$2,0,IF((T$6-$G$3)&lt;1,0,IFERROR(LOOKUP(2,1/(Soja!$E64:INDEX(Soja!$E64:$Z64,MIN(T$6-$G$3,22))&lt;&gt;""),Soja!$E64:INDEX(Soja!$E64:$Z64,MIN(T$6-$G$3,22))),0)))))</f>
        <v>0</v>
      </c>
      <c r="U66" s="27" t="n">
        <f aca="false">IF(COUNT(Soja!$E64:$Z64)=0,0,MAX(0,IF((U$6-$E$3)&lt;1,0,IFERROR(LOOKUP(2,1/(Soja!$E64:INDEX(Soja!$E64:$Z64,MIN(U$6-$E$3,22))&lt;&gt;""),Soja!$E64:INDEX(Soja!$E64:$Z64,MIN(U$6-$E$3,22))),0))-IF($G$2,0,IF((U$6-$G$3)&lt;1,0,IFERROR(LOOKUP(2,1/(Soja!$E64:INDEX(Soja!$E64:$Z64,MIN(U$6-$G$3,22))&lt;&gt;""),Soja!$E64:INDEX(Soja!$E64:$Z64,MIN(U$6-$G$3,22))),0)))))</f>
        <v>0</v>
      </c>
      <c r="V66" s="27" t="n">
        <f aca="false">IF(COUNT(Soja!$E64:$Z64)=0,0,MAX(0,IF((V$6-$E$3)&lt;1,0,IFERROR(LOOKUP(2,1/(Soja!$E64:INDEX(Soja!$E64:$Z64,MIN(V$6-$E$3,22))&lt;&gt;""),Soja!$E64:INDEX(Soja!$E64:$Z64,MIN(V$6-$E$3,22))),0))-IF($G$2,0,IF((V$6-$G$3)&lt;1,0,IFERROR(LOOKUP(2,1/(Soja!$E64:INDEX(Soja!$E64:$Z64,MIN(V$6-$G$3,22))&lt;&gt;""),Soja!$E64:INDEX(Soja!$E64:$Z64,MIN(V$6-$G$3,22))),0)))))</f>
        <v>0</v>
      </c>
      <c r="W66" s="27" t="n">
        <f aca="false">IF(COUNT(Soja!$E64:$Z64)=0,0,MAX(0,IF((W$6-$E$3)&lt;1,0,IFERROR(LOOKUP(2,1/(Soja!$E64:INDEX(Soja!$E64:$Z64,MIN(W$6-$E$3,22))&lt;&gt;""),Soja!$E64:INDEX(Soja!$E64:$Z64,MIN(W$6-$E$3,22))),0))-IF($G$2,0,IF((W$6-$G$3)&lt;1,0,IFERROR(LOOKUP(2,1/(Soja!$E64:INDEX(Soja!$E64:$Z64,MIN(W$6-$G$3,22))&lt;&gt;""),Soja!$E64:INDEX(Soja!$E64:$Z64,MIN(W$6-$G$3,22))),0)))))</f>
        <v>0</v>
      </c>
      <c r="X66" s="27" t="n">
        <f aca="false">IF(COUNT(Soja!$E64:$Z64)=0,0,MAX(0,IF((X$6-$E$3)&lt;1,0,IFERROR(LOOKUP(2,1/(Soja!$E64:INDEX(Soja!$E64:$Z64,MIN(X$6-$E$3,22))&lt;&gt;""),Soja!$E64:INDEX(Soja!$E64:$Z64,MIN(X$6-$E$3,22))),0))-IF($G$2,0,IF((X$6-$G$3)&lt;1,0,IFERROR(LOOKUP(2,1/(Soja!$E64:INDEX(Soja!$E64:$Z64,MIN(X$6-$G$3,22))&lt;&gt;""),Soja!$E64:INDEX(Soja!$E64:$Z64,MIN(X$6-$G$3,22))),0)))))</f>
        <v>0</v>
      </c>
      <c r="Y66" s="27" t="n">
        <f aca="false">IF(COUNT(Soja!$E64:$Z64)=0,0,MAX(0,IF((Y$6-$E$3)&lt;1,0,IFERROR(LOOKUP(2,1/(Soja!$E64:INDEX(Soja!$E64:$Z64,MIN(Y$6-$E$3,22))&lt;&gt;""),Soja!$E64:INDEX(Soja!$E64:$Z64,MIN(Y$6-$E$3,22))),0))-IF($G$2,0,IF((Y$6-$G$3)&lt;1,0,IFERROR(LOOKUP(2,1/(Soja!$E64:INDEX(Soja!$E64:$Z64,MIN(Y$6-$G$3,22))&lt;&gt;""),Soja!$E64:INDEX(Soja!$E64:$Z64,MIN(Y$6-$G$3,22))),0)))))</f>
        <v>0</v>
      </c>
      <c r="Z66" s="27" t="n">
        <f aca="false">IF(COUNT(Soja!$E64:$Z64)=0,0,MAX(0,IF((Z$6-$E$3)&lt;1,0,IFERROR(LOOKUP(2,1/(Soja!$E64:INDEX(Soja!$E64:$Z64,MIN(Z$6-$E$3,22))&lt;&gt;""),Soja!$E64:INDEX(Soja!$E64:$Z64,MIN(Z$6-$E$3,22))),0))-IF($G$2,0,IF((Z$6-$G$3)&lt;1,0,IFERROR(LOOKUP(2,1/(Soja!$E64:INDEX(Soja!$E64:$Z64,MIN(Z$6-$G$3,22))&lt;&gt;""),Soja!$E64:INDEX(Soja!$E64:$Z64,MIN(Z$6-$G$3,22))),0)))))</f>
        <v>0</v>
      </c>
      <c r="AA66" s="27" t="n">
        <f aca="false">IF(COUNT(Soja!$E64:$Z64)=0,0,MAX(0,IF((AA$6-$E$3)&lt;1,0,IFERROR(LOOKUP(2,1/(Soja!$E64:INDEX(Soja!$E64:$Z64,MIN(AA$6-$E$3,22))&lt;&gt;""),Soja!$E64:INDEX(Soja!$E64:$Z64,MIN(AA$6-$E$3,22))),0))-IF($G$2,0,IF((AA$6-$G$3)&lt;1,0,IFERROR(LOOKUP(2,1/(Soja!$E64:INDEX(Soja!$E64:$Z64,MIN(AA$6-$G$3,22))&lt;&gt;""),Soja!$E64:INDEX(Soja!$E64:$Z64,MIN(AA$6-$G$3,22))),0)))))</f>
        <v>0</v>
      </c>
      <c r="AB66" s="27" t="n">
        <f aca="false">IF(COUNT(Soja!$E64:$Z64)=0,0,MAX(0,IF((AB$6-$E$3)&lt;1,0,IFERROR(LOOKUP(2,1/(Soja!$E64:INDEX(Soja!$E64:$Z64,MIN(AB$6-$E$3,22))&lt;&gt;""),Soja!$E64:INDEX(Soja!$E64:$Z64,MIN(AB$6-$E$3,22))),0))-IF($G$2,0,IF((AB$6-$G$3)&lt;1,0,IFERROR(LOOKUP(2,1/(Soja!$E64:INDEX(Soja!$E64:$Z64,MIN(AB$6-$G$3,22))&lt;&gt;""),Soja!$E64:INDEX(Soja!$E64:$Z64,MIN(AB$6-$G$3,22))),0)))))</f>
        <v>0</v>
      </c>
      <c r="AC66" s="27" t="n">
        <f aca="false">IF(COUNT(Soja!$E64:$Z64)=0,0,MAX(0,IF((AC$6-$E$3)&lt;1,0,IFERROR(LOOKUP(2,1/(Soja!$E64:INDEX(Soja!$E64:$Z64,MIN(AC$6-$E$3,22))&lt;&gt;""),Soja!$E64:INDEX(Soja!$E64:$Z64,MIN(AC$6-$E$3,22))),0))-IF($G$2,0,IF((AC$6-$G$3)&lt;1,0,IFERROR(LOOKUP(2,1/(Soja!$E64:INDEX(Soja!$E64:$Z64,MIN(AC$6-$G$3,22))&lt;&gt;""),Soja!$E64:INDEX(Soja!$E64:$Z64,MIN(AC$6-$G$3,22))),0)))))</f>
        <v>0</v>
      </c>
      <c r="AD66" s="27" t="n">
        <f aca="false">IF(COUNT(Soja!$E64:$Z64)=0,0,MAX(0,IF((AD$6-$E$3)&lt;1,0,IFERROR(LOOKUP(2,1/(Soja!$E64:INDEX(Soja!$E64:$Z64,MIN(AD$6-$E$3,22))&lt;&gt;""),Soja!$E64:INDEX(Soja!$E64:$Z64,MIN(AD$6-$E$3,22))),0))-IF($G$2,0,IF((AD$6-$G$3)&lt;1,0,IFERROR(LOOKUP(2,1/(Soja!$E64:INDEX(Soja!$E64:$Z64,MIN(AD$6-$G$3,22))&lt;&gt;""),Soja!$E64:INDEX(Soja!$E64:$Z64,MIN(AD$6-$G$3,22))),0)))))</f>
        <v>0</v>
      </c>
      <c r="AE66" s="27" t="n">
        <f aca="false">IF(COUNT(Soja!$E64:$Z64)=0,0,MAX(0,IF((AE$6-$E$3)&lt;1,0,IFERROR(LOOKUP(2,1/(Soja!$E64:INDEX(Soja!$E64:$Z64,MIN(AE$6-$E$3,22))&lt;&gt;""),Soja!$E64:INDEX(Soja!$E64:$Z64,MIN(AE$6-$E$3,22))),0))-IF($G$2,0,IF((AE$6-$G$3)&lt;1,0,IFERROR(LOOKUP(2,1/(Soja!$E64:INDEX(Soja!$E64:$Z64,MIN(AE$6-$G$3,22))&lt;&gt;""),Soja!$E64:INDEX(Soja!$E64:$Z64,MIN(AE$6-$G$3,22))),0)))))</f>
        <v>0</v>
      </c>
      <c r="AF66" s="27" t="n">
        <f aca="false">IF(COUNT(Soja!$E64:$Z64)=0,0,MAX(0,IF((AF$6-$E$3)&lt;1,0,IFERROR(LOOKUP(2,1/(Soja!$E64:INDEX(Soja!$E64:$Z64,MIN(AF$6-$E$3,22))&lt;&gt;""),Soja!$E64:INDEX(Soja!$E64:$Z64,MIN(AF$6-$E$3,22))),0))-IF($G$2,0,IF((AF$6-$G$3)&lt;1,0,IFERROR(LOOKUP(2,1/(Soja!$E64:INDEX(Soja!$E64:$Z64,MIN(AF$6-$G$3,22))&lt;&gt;""),Soja!$E64:INDEX(Soja!$E64:$Z64,MIN(AF$6-$G$3,22))),0)))))</f>
        <v>0</v>
      </c>
      <c r="AG66" s="27" t="n">
        <f aca="false">IF(COUNT(Soja!$E64:$Z64)=0,0,MAX(0,IF((AG$6-$E$3)&lt;1,0,IFERROR(LOOKUP(2,1/(Soja!$E64:INDEX(Soja!$E64:$Z64,MIN(AG$6-$E$3,22))&lt;&gt;""),Soja!$E64:INDEX(Soja!$E64:$Z64,MIN(AG$6-$E$3,22))),0))-IF($G$2,0,IF((AG$6-$G$3)&lt;1,0,IFERROR(LOOKUP(2,1/(Soja!$E64:INDEX(Soja!$E64:$Z64,MIN(AG$6-$G$3,22))&lt;&gt;""),Soja!$E64:INDEX(Soja!$E64:$Z64,MIN(AG$6-$G$3,22))),0)))))</f>
        <v>0</v>
      </c>
      <c r="AH66" s="27" t="n">
        <f aca="false">IF(COUNT(Soja!$E64:$Z64)=0,0,MAX(0,IF((AH$6-$E$3)&lt;1,0,IFERROR(LOOKUP(2,1/(Soja!$E64:INDEX(Soja!$E64:$Z64,MIN(AH$6-$E$3,22))&lt;&gt;""),Soja!$E64:INDEX(Soja!$E64:$Z64,MIN(AH$6-$E$3,22))),0))-IF($G$2,0,IF((AH$6-$G$3)&lt;1,0,IFERROR(LOOKUP(2,1/(Soja!$E64:INDEX(Soja!$E64:$Z64,MIN(AH$6-$G$3,22))&lt;&gt;""),Soja!$E64:INDEX(Soja!$E64:$Z64,MIN(AH$6-$G$3,22))),0)))))</f>
        <v>0</v>
      </c>
      <c r="AI66" s="27" t="n">
        <f aca="false">IF(COUNT(Soja!$E64:$Z64)=0,0,MAX(0,IF((AI$6-$E$3)&lt;1,0,IFERROR(LOOKUP(2,1/(Soja!$E64:INDEX(Soja!$E64:$Z64,MIN(AI$6-$E$3,22))&lt;&gt;""),Soja!$E64:INDEX(Soja!$E64:$Z64,MIN(AI$6-$E$3,22))),0))-IF($G$2,0,IF((AI$6-$G$3)&lt;1,0,IFERROR(LOOKUP(2,1/(Soja!$E64:INDEX(Soja!$E64:$Z64,MIN(AI$6-$G$3,22))&lt;&gt;""),Soja!$E64:INDEX(Soja!$E64:$Z64,MIN(AI$6-$G$3,22))),0)))))</f>
        <v>0</v>
      </c>
      <c r="AJ66" s="27" t="n">
        <f aca="false">IF(COUNT(Soja!$E64:$Z64)=0,0,MAX(0,IF((AJ$6-$E$3)&lt;1,0,IFERROR(LOOKUP(2,1/(Soja!$E64:INDEX(Soja!$E64:$Z64,MIN(AJ$6-$E$3,22))&lt;&gt;""),Soja!$E64:INDEX(Soja!$E64:$Z64,MIN(AJ$6-$E$3,22))),0))-IF($G$2,0,IF((AJ$6-$G$3)&lt;1,0,IFERROR(LOOKUP(2,1/(Soja!$E64:INDEX(Soja!$E64:$Z64,MIN(AJ$6-$G$3,22))&lt;&gt;""),Soja!$E64:INDEX(Soja!$E64:$Z64,MIN(AJ$6-$G$3,22))),0)))))</f>
        <v>0</v>
      </c>
      <c r="AK66" s="27" t="n">
        <f aca="false">IF(COUNT(Soja!$E64:$Z64)=0,0,MAX(0,IF((AK$6-$E$3)&lt;1,0,IFERROR(LOOKUP(2,1/(Soja!$E64:INDEX(Soja!$E64:$Z64,MIN(AK$6-$E$3,22))&lt;&gt;""),Soja!$E64:INDEX(Soja!$E64:$Z64,MIN(AK$6-$E$3,22))),0))-IF($G$2,0,IF((AK$6-$G$3)&lt;1,0,IFERROR(LOOKUP(2,1/(Soja!$E64:INDEX(Soja!$E64:$Z64,MIN(AK$6-$G$3,22))&lt;&gt;""),Soja!$E64:INDEX(Soja!$E64:$Z64,MIN(AK$6-$G$3,22))),0)))))</f>
        <v>0</v>
      </c>
      <c r="AL66" s="27" t="n">
        <f aca="false">IF(COUNT(Soja!$E64:$Z64)=0,0,MAX(0,IF((AL$6-$E$3)&lt;1,0,IFERROR(LOOKUP(2,1/(Soja!$E64:INDEX(Soja!$E64:$Z64,MIN(AL$6-$E$3,22))&lt;&gt;""),Soja!$E64:INDEX(Soja!$E64:$Z64,MIN(AL$6-$E$3,22))),0))-IF($G$2,0,IF((AL$6-$G$3)&lt;1,0,IFERROR(LOOKUP(2,1/(Soja!$E64:INDEX(Soja!$E64:$Z64,MIN(AL$6-$G$3,22))&lt;&gt;""),Soja!$E64:INDEX(Soja!$E64:$Z64,MIN(AL$6-$G$3,22))),0)))))</f>
        <v>0</v>
      </c>
      <c r="AM66" s="27" t="n">
        <f aca="false">IF(COUNT(Soja!$E64:$Z64)=0,0,MAX(0,IF((AM$6-$E$3)&lt;1,0,IFERROR(LOOKUP(2,1/(Soja!$E64:INDEX(Soja!$E64:$Z64,MIN(AM$6-$E$3,22))&lt;&gt;""),Soja!$E64:INDEX(Soja!$E64:$Z64,MIN(AM$6-$E$3,22))),0))-IF($G$2,0,IF((AM$6-$G$3)&lt;1,0,IFERROR(LOOKUP(2,1/(Soja!$E64:INDEX(Soja!$E64:$Z64,MIN(AM$6-$G$3,22))&lt;&gt;""),Soja!$E64:INDEX(Soja!$E64:$Z64,MIN(AM$6-$G$3,22))),0)))))</f>
        <v>0</v>
      </c>
      <c r="AN66" s="27" t="n">
        <f aca="false">IF(COUNT(Soja!$E64:$Z64)=0,0,MAX(0,IF((AN$6-$E$3)&lt;1,0,IFERROR(LOOKUP(2,1/(Soja!$E64:INDEX(Soja!$E64:$Z64,MIN(AN$6-$E$3,22))&lt;&gt;""),Soja!$E64:INDEX(Soja!$E64:$Z64,MIN(AN$6-$E$3,22))),0))-IF($G$2,0,IF((AN$6-$G$3)&lt;1,0,IFERROR(LOOKUP(2,1/(Soja!$E64:INDEX(Soja!$E64:$Z64,MIN(AN$6-$G$3,22))&lt;&gt;""),Soja!$E64:INDEX(Soja!$E64:$Z64,MIN(AN$6-$G$3,22))),0)))))</f>
        <v>0</v>
      </c>
      <c r="AO66" s="27" t="n">
        <f aca="false">IF(COUNT(Soja!$E64:$Z64)=0,0,MAX(0,IF((AO$6-$E$3)&lt;1,0,IFERROR(LOOKUP(2,1/(Soja!$E64:INDEX(Soja!$E64:$Z64,MIN(AO$6-$E$3,22))&lt;&gt;""),Soja!$E64:INDEX(Soja!$E64:$Z64,MIN(AO$6-$E$3,22))),0))-IF($G$2,0,IF((AO$6-$G$3)&lt;1,0,IFERROR(LOOKUP(2,1/(Soja!$E64:INDEX(Soja!$E64:$Z64,MIN(AO$6-$G$3,22))&lt;&gt;""),Soja!$E64:INDEX(Soja!$E64:$Z64,MIN(AO$6-$G$3,22))),0)))))</f>
        <v>0</v>
      </c>
      <c r="AP66" s="27" t="n">
        <f aca="false">IF(COUNT(Soja!$E64:$Z64)=0,0,MAX(0,IF((AP$6-$E$3)&lt;1,0,IFERROR(LOOKUP(2,1/(Soja!$E64:INDEX(Soja!$E64:$Z64,MIN(AP$6-$E$3,22))&lt;&gt;""),Soja!$E64:INDEX(Soja!$E64:$Z64,MIN(AP$6-$E$3,22))),0))-IF($G$2,0,IF((AP$6-$G$3)&lt;1,0,IFERROR(LOOKUP(2,1/(Soja!$E64:INDEX(Soja!$E64:$Z64,MIN(AP$6-$G$3,22))&lt;&gt;""),Soja!$E64:INDEX(Soja!$E64:$Z64,MIN(AP$6-$G$3,22))),0)))))</f>
        <v>0</v>
      </c>
      <c r="AQ66" s="27" t="n">
        <f aca="false">IF(COUNT(Soja!$E64:$Z64)=0,0,MAX(0,IF((AQ$6-$E$3)&lt;1,0,IFERROR(LOOKUP(2,1/(Soja!$E64:INDEX(Soja!$E64:$Z64,MIN(AQ$6-$E$3,22))&lt;&gt;""),Soja!$E64:INDEX(Soja!$E64:$Z64,MIN(AQ$6-$E$3,22))),0))-IF($G$2,0,IF((AQ$6-$G$3)&lt;1,0,IFERROR(LOOKUP(2,1/(Soja!$E64:INDEX(Soja!$E64:$Z64,MIN(AQ$6-$G$3,22))&lt;&gt;""),Soja!$E64:INDEX(Soja!$E64:$Z64,MIN(AQ$6-$G$3,22))),0)))))</f>
        <v>0</v>
      </c>
      <c r="AR66" s="27" t="n">
        <f aca="false">IF(COUNT(Soja!$E64:$Z64)=0,0,MAX(0,IF((AR$6-$E$3)&lt;1,0,IFERROR(LOOKUP(2,1/(Soja!$E64:INDEX(Soja!$E64:$Z64,MIN(AR$6-$E$3,22))&lt;&gt;""),Soja!$E64:INDEX(Soja!$E64:$Z64,MIN(AR$6-$E$3,22))),0))-IF($G$2,0,IF((AR$6-$G$3)&lt;1,0,IFERROR(LOOKUP(2,1/(Soja!$E64:INDEX(Soja!$E64:$Z64,MIN(AR$6-$G$3,22))&lt;&gt;""),Soja!$E64:INDEX(Soja!$E64:$Z64,MIN(AR$6-$G$3,22))),0)))))</f>
        <v>0</v>
      </c>
      <c r="AS66" s="27" t="n">
        <f aca="false">IF(COUNT(Soja!$E64:$Z64)=0,0,MAX(0,IF((AS$6-$E$3)&lt;1,0,IFERROR(LOOKUP(2,1/(Soja!$E64:INDEX(Soja!$E64:$Z64,MIN(AS$6-$E$3,22))&lt;&gt;""),Soja!$E64:INDEX(Soja!$E64:$Z64,MIN(AS$6-$E$3,22))),0))-IF($G$2,0,IF((AS$6-$G$3)&lt;1,0,IFERROR(LOOKUP(2,1/(Soja!$E64:INDEX(Soja!$E64:$Z64,MIN(AS$6-$G$3,22))&lt;&gt;""),Soja!$E64:INDEX(Soja!$E64:$Z64,MIN(AS$6-$G$3,22))),0)))))</f>
        <v>0</v>
      </c>
      <c r="AT66" s="27" t="n">
        <f aca="false">IF(COUNT(Soja!$E64:$Z64)=0,0,MAX(0,IF((AT$6-$E$3)&lt;1,0,IFERROR(LOOKUP(2,1/(Soja!$E64:INDEX(Soja!$E64:$Z64,MIN(AT$6-$E$3,22))&lt;&gt;""),Soja!$E64:INDEX(Soja!$E64:$Z64,MIN(AT$6-$E$3,22))),0))-IF($G$2,0,IF((AT$6-$G$3)&lt;1,0,IFERROR(LOOKUP(2,1/(Soja!$E64:INDEX(Soja!$E64:$Z64,MIN(AT$6-$G$3,22))&lt;&gt;""),Soja!$E64:INDEX(Soja!$E64:$Z64,MIN(AT$6-$G$3,22))),0)))))</f>
        <v>0</v>
      </c>
      <c r="AU66" s="27" t="n">
        <f aca="false">IF(COUNT(Soja!$E64:$Z64)=0,0,MAX(0,IF((AU$6-$E$3)&lt;1,0,IFERROR(LOOKUP(2,1/(Soja!$E64:INDEX(Soja!$E64:$Z64,MIN(AU$6-$E$3,22))&lt;&gt;""),Soja!$E64:INDEX(Soja!$E64:$Z64,MIN(AU$6-$E$3,22))),0))-IF($G$2,0,IF((AU$6-$G$3)&lt;1,0,IFERROR(LOOKUP(2,1/(Soja!$E64:INDEX(Soja!$E64:$Z64,MIN(AU$6-$G$3,22))&lt;&gt;""),Soja!$E64:INDEX(Soja!$E64:$Z64,MIN(AU$6-$G$3,22))),0)))))</f>
        <v>0</v>
      </c>
      <c r="AV66" s="27" t="n">
        <f aca="false">IF(COUNT(Soja!$E64:$Z64)=0,0,MAX(0,IF((AV$6-$E$3)&lt;1,0,IFERROR(LOOKUP(2,1/(Soja!$E64:INDEX(Soja!$E64:$Z64,MIN(AV$6-$E$3,22))&lt;&gt;""),Soja!$E64:INDEX(Soja!$E64:$Z64,MIN(AV$6-$E$3,22))),0))-IF($G$2,0,IF((AV$6-$G$3)&lt;1,0,IFERROR(LOOKUP(2,1/(Soja!$E64:INDEX(Soja!$E64:$Z64,MIN(AV$6-$G$3,22))&lt;&gt;""),Soja!$E64:INDEX(Soja!$E64:$Z64,MIN(AV$6-$G$3,22))),0)))))</f>
        <v>0</v>
      </c>
      <c r="AW66" s="27" t="n">
        <f aca="false">IF(COUNT(Soja!$E64:$Z64)=0,0,MAX(0,IF((AW$6-$E$3)&lt;1,0,IFERROR(LOOKUP(2,1/(Soja!$E64:INDEX(Soja!$E64:$Z64,MIN(AW$6-$E$3,22))&lt;&gt;""),Soja!$E64:INDEX(Soja!$E64:$Z64,MIN(AW$6-$E$3,22))),0))-IF($G$2,0,IF((AW$6-$G$3)&lt;1,0,IFERROR(LOOKUP(2,1/(Soja!$E64:INDEX(Soja!$E64:$Z64,MIN(AW$6-$G$3,22))&lt;&gt;""),Soja!$E64:INDEX(Soja!$E64:$Z64,MIN(AW$6-$G$3,22))),0)))))</f>
        <v>0</v>
      </c>
      <c r="AX66" s="27" t="n">
        <f aca="false">IF(COUNT(Soja!$E64:$Z64)=0,0,MAX(0,IF((AX$6-$E$3)&lt;1,0,IFERROR(LOOKUP(2,1/(Soja!$E64:INDEX(Soja!$E64:$Z64,MIN(AX$6-$E$3,22))&lt;&gt;""),Soja!$E64:INDEX(Soja!$E64:$Z64,MIN(AX$6-$E$3,22))),0))-IF($G$2,0,IF((AX$6-$G$3)&lt;1,0,IFERROR(LOOKUP(2,1/(Soja!$E64:INDEX(Soja!$E64:$Z64,MIN(AX$6-$G$3,22))&lt;&gt;""),Soja!$E64:INDEX(Soja!$E64:$Z64,MIN(AX$6-$G$3,22))),0)))))</f>
        <v>0</v>
      </c>
      <c r="AY66" s="27" t="n">
        <f aca="false">IF(COUNT(Soja!$E64:$Z64)=0,0,MAX(0,IF((AY$6-$E$3)&lt;1,0,IFERROR(LOOKUP(2,1/(Soja!$E64:INDEX(Soja!$E64:$Z64,MIN(AY$6-$E$3,22))&lt;&gt;""),Soja!$E64:INDEX(Soja!$E64:$Z64,MIN(AY$6-$E$3,22))),0))-IF($G$2,0,IF((AY$6-$G$3)&lt;1,0,IFERROR(LOOKUP(2,1/(Soja!$E64:INDEX(Soja!$E64:$Z64,MIN(AY$6-$G$3,22))&lt;&gt;""),Soja!$E64:INDEX(Soja!$E64:$Z64,MIN(AY$6-$G$3,22))),0)))))</f>
        <v>0</v>
      </c>
      <c r="AZ66" s="27" t="n">
        <f aca="false">IF(COUNT(Soja!$E64:$Z64)=0,0,MAX(0,IF((AZ$6-$E$3)&lt;1,0,IFERROR(LOOKUP(2,1/(Soja!$E64:INDEX(Soja!$E64:$Z64,MIN(AZ$6-$E$3,22))&lt;&gt;""),Soja!$E64:INDEX(Soja!$E64:$Z64,MIN(AZ$6-$E$3,22))),0))-IF($G$2,0,IF((AZ$6-$G$3)&lt;1,0,IFERROR(LOOKUP(2,1/(Soja!$E64:INDEX(Soja!$E64:$Z64,MIN(AZ$6-$G$3,22))&lt;&gt;""),Soja!$E64:INDEX(Soja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IF(COUNT(Soja!$E65:$Z65)&gt;0,N(Soja!$D65),0)</f>
        <v>0</v>
      </c>
      <c r="E67" s="27" t="n">
        <f aca="false">IF(COUNT(Soja!$E65:$Z65)=0,0,MAX(0,IF((E$6-$E$3)&lt;1,0,IFERROR(LOOKUP(2,1/(Soja!$E65:INDEX(Soja!$E65:$Z65,MIN(E$6-$E$3,22))&lt;&gt;""),Soja!$E65:INDEX(Soja!$E65:$Z65,MIN(E$6-$E$3,22))),0))-IF($G$2,0,IF((E$6-$G$3)&lt;1,0,IFERROR(LOOKUP(2,1/(Soja!$E65:INDEX(Soja!$E65:$Z65,MIN(E$6-$G$3,22))&lt;&gt;""),Soja!$E65:INDEX(Soja!$E65:$Z65,MIN(E$6-$G$3,22))),0)))))</f>
        <v>0</v>
      </c>
      <c r="F67" s="27" t="n">
        <f aca="false">IF(COUNT(Soja!$E65:$Z65)=0,0,MAX(0,IF((F$6-$E$3)&lt;1,0,IFERROR(LOOKUP(2,1/(Soja!$E65:INDEX(Soja!$E65:$Z65,MIN(F$6-$E$3,22))&lt;&gt;""),Soja!$E65:INDEX(Soja!$E65:$Z65,MIN(F$6-$E$3,22))),0))-IF($G$2,0,IF((F$6-$G$3)&lt;1,0,IFERROR(LOOKUP(2,1/(Soja!$E65:INDEX(Soja!$E65:$Z65,MIN(F$6-$G$3,22))&lt;&gt;""),Soja!$E65:INDEX(Soja!$E65:$Z65,MIN(F$6-$G$3,22))),0)))))</f>
        <v>0</v>
      </c>
      <c r="G67" s="27" t="n">
        <f aca="false">IF(COUNT(Soja!$E65:$Z65)=0,0,MAX(0,IF((G$6-$E$3)&lt;1,0,IFERROR(LOOKUP(2,1/(Soja!$E65:INDEX(Soja!$E65:$Z65,MIN(G$6-$E$3,22))&lt;&gt;""),Soja!$E65:INDEX(Soja!$E65:$Z65,MIN(G$6-$E$3,22))),0))-IF($G$2,0,IF((G$6-$G$3)&lt;1,0,IFERROR(LOOKUP(2,1/(Soja!$E65:INDEX(Soja!$E65:$Z65,MIN(G$6-$G$3,22))&lt;&gt;""),Soja!$E65:INDEX(Soja!$E65:$Z65,MIN(G$6-$G$3,22))),0)))))</f>
        <v>0</v>
      </c>
      <c r="H67" s="27" t="n">
        <f aca="false">IF(COUNT(Soja!$E65:$Z65)=0,0,MAX(0,IF((H$6-$E$3)&lt;1,0,IFERROR(LOOKUP(2,1/(Soja!$E65:INDEX(Soja!$E65:$Z65,MIN(H$6-$E$3,22))&lt;&gt;""),Soja!$E65:INDEX(Soja!$E65:$Z65,MIN(H$6-$E$3,22))),0))-IF($G$2,0,IF((H$6-$G$3)&lt;1,0,IFERROR(LOOKUP(2,1/(Soja!$E65:INDEX(Soja!$E65:$Z65,MIN(H$6-$G$3,22))&lt;&gt;""),Soja!$E65:INDEX(Soja!$E65:$Z65,MIN(H$6-$G$3,22))),0)))))</f>
        <v>0</v>
      </c>
      <c r="I67" s="27" t="n">
        <f aca="false">IF(COUNT(Soja!$E65:$Z65)=0,0,MAX(0,IF((I$6-$E$3)&lt;1,0,IFERROR(LOOKUP(2,1/(Soja!$E65:INDEX(Soja!$E65:$Z65,MIN(I$6-$E$3,22))&lt;&gt;""),Soja!$E65:INDEX(Soja!$E65:$Z65,MIN(I$6-$E$3,22))),0))-IF($G$2,0,IF((I$6-$G$3)&lt;1,0,IFERROR(LOOKUP(2,1/(Soja!$E65:INDEX(Soja!$E65:$Z65,MIN(I$6-$G$3,22))&lt;&gt;""),Soja!$E65:INDEX(Soja!$E65:$Z65,MIN(I$6-$G$3,22))),0)))))</f>
        <v>0</v>
      </c>
      <c r="J67" s="27" t="n">
        <f aca="false">IF(COUNT(Soja!$E65:$Z65)=0,0,MAX(0,IF((J$6-$E$3)&lt;1,0,IFERROR(LOOKUP(2,1/(Soja!$E65:INDEX(Soja!$E65:$Z65,MIN(J$6-$E$3,22))&lt;&gt;""),Soja!$E65:INDEX(Soja!$E65:$Z65,MIN(J$6-$E$3,22))),0))-IF($G$2,0,IF((J$6-$G$3)&lt;1,0,IFERROR(LOOKUP(2,1/(Soja!$E65:INDEX(Soja!$E65:$Z65,MIN(J$6-$G$3,22))&lt;&gt;""),Soja!$E65:INDEX(Soja!$E65:$Z65,MIN(J$6-$G$3,22))),0)))))</f>
        <v>0</v>
      </c>
      <c r="K67" s="27" t="n">
        <f aca="false">IF(COUNT(Soja!$E65:$Z65)=0,0,MAX(0,IF((K$6-$E$3)&lt;1,0,IFERROR(LOOKUP(2,1/(Soja!$E65:INDEX(Soja!$E65:$Z65,MIN(K$6-$E$3,22))&lt;&gt;""),Soja!$E65:INDEX(Soja!$E65:$Z65,MIN(K$6-$E$3,22))),0))-IF($G$2,0,IF((K$6-$G$3)&lt;1,0,IFERROR(LOOKUP(2,1/(Soja!$E65:INDEX(Soja!$E65:$Z65,MIN(K$6-$G$3,22))&lt;&gt;""),Soja!$E65:INDEX(Soja!$E65:$Z65,MIN(K$6-$G$3,22))),0)))))</f>
        <v>0</v>
      </c>
      <c r="L67" s="27" t="n">
        <f aca="false">IF(COUNT(Soja!$E65:$Z65)=0,0,MAX(0,IF((L$6-$E$3)&lt;1,0,IFERROR(LOOKUP(2,1/(Soja!$E65:INDEX(Soja!$E65:$Z65,MIN(L$6-$E$3,22))&lt;&gt;""),Soja!$E65:INDEX(Soja!$E65:$Z65,MIN(L$6-$E$3,22))),0))-IF($G$2,0,IF((L$6-$G$3)&lt;1,0,IFERROR(LOOKUP(2,1/(Soja!$E65:INDEX(Soja!$E65:$Z65,MIN(L$6-$G$3,22))&lt;&gt;""),Soja!$E65:INDEX(Soja!$E65:$Z65,MIN(L$6-$G$3,22))),0)))))</f>
        <v>0</v>
      </c>
      <c r="M67" s="27" t="n">
        <f aca="false">IF(COUNT(Soja!$E65:$Z65)=0,0,MAX(0,IF((M$6-$E$3)&lt;1,0,IFERROR(LOOKUP(2,1/(Soja!$E65:INDEX(Soja!$E65:$Z65,MIN(M$6-$E$3,22))&lt;&gt;""),Soja!$E65:INDEX(Soja!$E65:$Z65,MIN(M$6-$E$3,22))),0))-IF($G$2,0,IF((M$6-$G$3)&lt;1,0,IFERROR(LOOKUP(2,1/(Soja!$E65:INDEX(Soja!$E65:$Z65,MIN(M$6-$G$3,22))&lt;&gt;""),Soja!$E65:INDEX(Soja!$E65:$Z65,MIN(M$6-$G$3,22))),0)))))</f>
        <v>0</v>
      </c>
      <c r="N67" s="27" t="n">
        <f aca="false">IF(COUNT(Soja!$E65:$Z65)=0,0,MAX(0,IF((N$6-$E$3)&lt;1,0,IFERROR(LOOKUP(2,1/(Soja!$E65:INDEX(Soja!$E65:$Z65,MIN(N$6-$E$3,22))&lt;&gt;""),Soja!$E65:INDEX(Soja!$E65:$Z65,MIN(N$6-$E$3,22))),0))-IF($G$2,0,IF((N$6-$G$3)&lt;1,0,IFERROR(LOOKUP(2,1/(Soja!$E65:INDEX(Soja!$E65:$Z65,MIN(N$6-$G$3,22))&lt;&gt;""),Soja!$E65:INDEX(Soja!$E65:$Z65,MIN(N$6-$G$3,22))),0)))))</f>
        <v>0</v>
      </c>
      <c r="O67" s="27" t="n">
        <f aca="false">IF(COUNT(Soja!$E65:$Z65)=0,0,MAX(0,IF((O$6-$E$3)&lt;1,0,IFERROR(LOOKUP(2,1/(Soja!$E65:INDEX(Soja!$E65:$Z65,MIN(O$6-$E$3,22))&lt;&gt;""),Soja!$E65:INDEX(Soja!$E65:$Z65,MIN(O$6-$E$3,22))),0))-IF($G$2,0,IF((O$6-$G$3)&lt;1,0,IFERROR(LOOKUP(2,1/(Soja!$E65:INDEX(Soja!$E65:$Z65,MIN(O$6-$G$3,22))&lt;&gt;""),Soja!$E65:INDEX(Soja!$E65:$Z65,MIN(O$6-$G$3,22))),0)))))</f>
        <v>0</v>
      </c>
      <c r="P67" s="27" t="n">
        <f aca="false">IF(COUNT(Soja!$E65:$Z65)=0,0,MAX(0,IF((P$6-$E$3)&lt;1,0,IFERROR(LOOKUP(2,1/(Soja!$E65:INDEX(Soja!$E65:$Z65,MIN(P$6-$E$3,22))&lt;&gt;""),Soja!$E65:INDEX(Soja!$E65:$Z65,MIN(P$6-$E$3,22))),0))-IF($G$2,0,IF((P$6-$G$3)&lt;1,0,IFERROR(LOOKUP(2,1/(Soja!$E65:INDEX(Soja!$E65:$Z65,MIN(P$6-$G$3,22))&lt;&gt;""),Soja!$E65:INDEX(Soja!$E65:$Z65,MIN(P$6-$G$3,22))),0)))))</f>
        <v>0</v>
      </c>
      <c r="Q67" s="27" t="n">
        <f aca="false">IF(COUNT(Soja!$E65:$Z65)=0,0,MAX(0,IF((Q$6-$E$3)&lt;1,0,IFERROR(LOOKUP(2,1/(Soja!$E65:INDEX(Soja!$E65:$Z65,MIN(Q$6-$E$3,22))&lt;&gt;""),Soja!$E65:INDEX(Soja!$E65:$Z65,MIN(Q$6-$E$3,22))),0))-IF($G$2,0,IF((Q$6-$G$3)&lt;1,0,IFERROR(LOOKUP(2,1/(Soja!$E65:INDEX(Soja!$E65:$Z65,MIN(Q$6-$G$3,22))&lt;&gt;""),Soja!$E65:INDEX(Soja!$E65:$Z65,MIN(Q$6-$G$3,22))),0)))))</f>
        <v>0</v>
      </c>
      <c r="R67" s="27" t="n">
        <f aca="false">IF(COUNT(Soja!$E65:$Z65)=0,0,MAX(0,IF((R$6-$E$3)&lt;1,0,IFERROR(LOOKUP(2,1/(Soja!$E65:INDEX(Soja!$E65:$Z65,MIN(R$6-$E$3,22))&lt;&gt;""),Soja!$E65:INDEX(Soja!$E65:$Z65,MIN(R$6-$E$3,22))),0))-IF($G$2,0,IF((R$6-$G$3)&lt;1,0,IFERROR(LOOKUP(2,1/(Soja!$E65:INDEX(Soja!$E65:$Z65,MIN(R$6-$G$3,22))&lt;&gt;""),Soja!$E65:INDEX(Soja!$E65:$Z65,MIN(R$6-$G$3,22))),0)))))</f>
        <v>0</v>
      </c>
      <c r="S67" s="27" t="n">
        <f aca="false">IF(COUNT(Soja!$E65:$Z65)=0,0,MAX(0,IF((S$6-$E$3)&lt;1,0,IFERROR(LOOKUP(2,1/(Soja!$E65:INDEX(Soja!$E65:$Z65,MIN(S$6-$E$3,22))&lt;&gt;""),Soja!$E65:INDEX(Soja!$E65:$Z65,MIN(S$6-$E$3,22))),0))-IF($G$2,0,IF((S$6-$G$3)&lt;1,0,IFERROR(LOOKUP(2,1/(Soja!$E65:INDEX(Soja!$E65:$Z65,MIN(S$6-$G$3,22))&lt;&gt;""),Soja!$E65:INDEX(Soja!$E65:$Z65,MIN(S$6-$G$3,22))),0)))))</f>
        <v>0</v>
      </c>
      <c r="T67" s="27" t="n">
        <f aca="false">IF(COUNT(Soja!$E65:$Z65)=0,0,MAX(0,IF((T$6-$E$3)&lt;1,0,IFERROR(LOOKUP(2,1/(Soja!$E65:INDEX(Soja!$E65:$Z65,MIN(T$6-$E$3,22))&lt;&gt;""),Soja!$E65:INDEX(Soja!$E65:$Z65,MIN(T$6-$E$3,22))),0))-IF($G$2,0,IF((T$6-$G$3)&lt;1,0,IFERROR(LOOKUP(2,1/(Soja!$E65:INDEX(Soja!$E65:$Z65,MIN(T$6-$G$3,22))&lt;&gt;""),Soja!$E65:INDEX(Soja!$E65:$Z65,MIN(T$6-$G$3,22))),0)))))</f>
        <v>0</v>
      </c>
      <c r="U67" s="27" t="n">
        <f aca="false">IF(COUNT(Soja!$E65:$Z65)=0,0,MAX(0,IF((U$6-$E$3)&lt;1,0,IFERROR(LOOKUP(2,1/(Soja!$E65:INDEX(Soja!$E65:$Z65,MIN(U$6-$E$3,22))&lt;&gt;""),Soja!$E65:INDEX(Soja!$E65:$Z65,MIN(U$6-$E$3,22))),0))-IF($G$2,0,IF((U$6-$G$3)&lt;1,0,IFERROR(LOOKUP(2,1/(Soja!$E65:INDEX(Soja!$E65:$Z65,MIN(U$6-$G$3,22))&lt;&gt;""),Soja!$E65:INDEX(Soja!$E65:$Z65,MIN(U$6-$G$3,22))),0)))))</f>
        <v>0</v>
      </c>
      <c r="V67" s="27" t="n">
        <f aca="false">IF(COUNT(Soja!$E65:$Z65)=0,0,MAX(0,IF((V$6-$E$3)&lt;1,0,IFERROR(LOOKUP(2,1/(Soja!$E65:INDEX(Soja!$E65:$Z65,MIN(V$6-$E$3,22))&lt;&gt;""),Soja!$E65:INDEX(Soja!$E65:$Z65,MIN(V$6-$E$3,22))),0))-IF($G$2,0,IF((V$6-$G$3)&lt;1,0,IFERROR(LOOKUP(2,1/(Soja!$E65:INDEX(Soja!$E65:$Z65,MIN(V$6-$G$3,22))&lt;&gt;""),Soja!$E65:INDEX(Soja!$E65:$Z65,MIN(V$6-$G$3,22))),0)))))</f>
        <v>0</v>
      </c>
      <c r="W67" s="27" t="n">
        <f aca="false">IF(COUNT(Soja!$E65:$Z65)=0,0,MAX(0,IF((W$6-$E$3)&lt;1,0,IFERROR(LOOKUP(2,1/(Soja!$E65:INDEX(Soja!$E65:$Z65,MIN(W$6-$E$3,22))&lt;&gt;""),Soja!$E65:INDEX(Soja!$E65:$Z65,MIN(W$6-$E$3,22))),0))-IF($G$2,0,IF((W$6-$G$3)&lt;1,0,IFERROR(LOOKUP(2,1/(Soja!$E65:INDEX(Soja!$E65:$Z65,MIN(W$6-$G$3,22))&lt;&gt;""),Soja!$E65:INDEX(Soja!$E65:$Z65,MIN(W$6-$G$3,22))),0)))))</f>
        <v>0</v>
      </c>
      <c r="X67" s="27" t="n">
        <f aca="false">IF(COUNT(Soja!$E65:$Z65)=0,0,MAX(0,IF((X$6-$E$3)&lt;1,0,IFERROR(LOOKUP(2,1/(Soja!$E65:INDEX(Soja!$E65:$Z65,MIN(X$6-$E$3,22))&lt;&gt;""),Soja!$E65:INDEX(Soja!$E65:$Z65,MIN(X$6-$E$3,22))),0))-IF($G$2,0,IF((X$6-$G$3)&lt;1,0,IFERROR(LOOKUP(2,1/(Soja!$E65:INDEX(Soja!$E65:$Z65,MIN(X$6-$G$3,22))&lt;&gt;""),Soja!$E65:INDEX(Soja!$E65:$Z65,MIN(X$6-$G$3,22))),0)))))</f>
        <v>0</v>
      </c>
      <c r="Y67" s="27" t="n">
        <f aca="false">IF(COUNT(Soja!$E65:$Z65)=0,0,MAX(0,IF((Y$6-$E$3)&lt;1,0,IFERROR(LOOKUP(2,1/(Soja!$E65:INDEX(Soja!$E65:$Z65,MIN(Y$6-$E$3,22))&lt;&gt;""),Soja!$E65:INDEX(Soja!$E65:$Z65,MIN(Y$6-$E$3,22))),0))-IF($G$2,0,IF((Y$6-$G$3)&lt;1,0,IFERROR(LOOKUP(2,1/(Soja!$E65:INDEX(Soja!$E65:$Z65,MIN(Y$6-$G$3,22))&lt;&gt;""),Soja!$E65:INDEX(Soja!$E65:$Z65,MIN(Y$6-$G$3,22))),0)))))</f>
        <v>0</v>
      </c>
      <c r="Z67" s="27" t="n">
        <f aca="false">IF(COUNT(Soja!$E65:$Z65)=0,0,MAX(0,IF((Z$6-$E$3)&lt;1,0,IFERROR(LOOKUP(2,1/(Soja!$E65:INDEX(Soja!$E65:$Z65,MIN(Z$6-$E$3,22))&lt;&gt;""),Soja!$E65:INDEX(Soja!$E65:$Z65,MIN(Z$6-$E$3,22))),0))-IF($G$2,0,IF((Z$6-$G$3)&lt;1,0,IFERROR(LOOKUP(2,1/(Soja!$E65:INDEX(Soja!$E65:$Z65,MIN(Z$6-$G$3,22))&lt;&gt;""),Soja!$E65:INDEX(Soja!$E65:$Z65,MIN(Z$6-$G$3,22))),0)))))</f>
        <v>0</v>
      </c>
      <c r="AA67" s="27" t="n">
        <f aca="false">IF(COUNT(Soja!$E65:$Z65)=0,0,MAX(0,IF((AA$6-$E$3)&lt;1,0,IFERROR(LOOKUP(2,1/(Soja!$E65:INDEX(Soja!$E65:$Z65,MIN(AA$6-$E$3,22))&lt;&gt;""),Soja!$E65:INDEX(Soja!$E65:$Z65,MIN(AA$6-$E$3,22))),0))-IF($G$2,0,IF((AA$6-$G$3)&lt;1,0,IFERROR(LOOKUP(2,1/(Soja!$E65:INDEX(Soja!$E65:$Z65,MIN(AA$6-$G$3,22))&lt;&gt;""),Soja!$E65:INDEX(Soja!$E65:$Z65,MIN(AA$6-$G$3,22))),0)))))</f>
        <v>0</v>
      </c>
      <c r="AB67" s="27" t="n">
        <f aca="false">IF(COUNT(Soja!$E65:$Z65)=0,0,MAX(0,IF((AB$6-$E$3)&lt;1,0,IFERROR(LOOKUP(2,1/(Soja!$E65:INDEX(Soja!$E65:$Z65,MIN(AB$6-$E$3,22))&lt;&gt;""),Soja!$E65:INDEX(Soja!$E65:$Z65,MIN(AB$6-$E$3,22))),0))-IF($G$2,0,IF((AB$6-$G$3)&lt;1,0,IFERROR(LOOKUP(2,1/(Soja!$E65:INDEX(Soja!$E65:$Z65,MIN(AB$6-$G$3,22))&lt;&gt;""),Soja!$E65:INDEX(Soja!$E65:$Z65,MIN(AB$6-$G$3,22))),0)))))</f>
        <v>0</v>
      </c>
      <c r="AC67" s="27" t="n">
        <f aca="false">IF(COUNT(Soja!$E65:$Z65)=0,0,MAX(0,IF((AC$6-$E$3)&lt;1,0,IFERROR(LOOKUP(2,1/(Soja!$E65:INDEX(Soja!$E65:$Z65,MIN(AC$6-$E$3,22))&lt;&gt;""),Soja!$E65:INDEX(Soja!$E65:$Z65,MIN(AC$6-$E$3,22))),0))-IF($G$2,0,IF((AC$6-$G$3)&lt;1,0,IFERROR(LOOKUP(2,1/(Soja!$E65:INDEX(Soja!$E65:$Z65,MIN(AC$6-$G$3,22))&lt;&gt;""),Soja!$E65:INDEX(Soja!$E65:$Z65,MIN(AC$6-$G$3,22))),0)))))</f>
        <v>0</v>
      </c>
      <c r="AD67" s="27" t="n">
        <f aca="false">IF(COUNT(Soja!$E65:$Z65)=0,0,MAX(0,IF((AD$6-$E$3)&lt;1,0,IFERROR(LOOKUP(2,1/(Soja!$E65:INDEX(Soja!$E65:$Z65,MIN(AD$6-$E$3,22))&lt;&gt;""),Soja!$E65:INDEX(Soja!$E65:$Z65,MIN(AD$6-$E$3,22))),0))-IF($G$2,0,IF((AD$6-$G$3)&lt;1,0,IFERROR(LOOKUP(2,1/(Soja!$E65:INDEX(Soja!$E65:$Z65,MIN(AD$6-$G$3,22))&lt;&gt;""),Soja!$E65:INDEX(Soja!$E65:$Z65,MIN(AD$6-$G$3,22))),0)))))</f>
        <v>0</v>
      </c>
      <c r="AE67" s="27" t="n">
        <f aca="false">IF(COUNT(Soja!$E65:$Z65)=0,0,MAX(0,IF((AE$6-$E$3)&lt;1,0,IFERROR(LOOKUP(2,1/(Soja!$E65:INDEX(Soja!$E65:$Z65,MIN(AE$6-$E$3,22))&lt;&gt;""),Soja!$E65:INDEX(Soja!$E65:$Z65,MIN(AE$6-$E$3,22))),0))-IF($G$2,0,IF((AE$6-$G$3)&lt;1,0,IFERROR(LOOKUP(2,1/(Soja!$E65:INDEX(Soja!$E65:$Z65,MIN(AE$6-$G$3,22))&lt;&gt;""),Soja!$E65:INDEX(Soja!$E65:$Z65,MIN(AE$6-$G$3,22))),0)))))</f>
        <v>0</v>
      </c>
      <c r="AF67" s="27" t="n">
        <f aca="false">IF(COUNT(Soja!$E65:$Z65)=0,0,MAX(0,IF((AF$6-$E$3)&lt;1,0,IFERROR(LOOKUP(2,1/(Soja!$E65:INDEX(Soja!$E65:$Z65,MIN(AF$6-$E$3,22))&lt;&gt;""),Soja!$E65:INDEX(Soja!$E65:$Z65,MIN(AF$6-$E$3,22))),0))-IF($G$2,0,IF((AF$6-$G$3)&lt;1,0,IFERROR(LOOKUP(2,1/(Soja!$E65:INDEX(Soja!$E65:$Z65,MIN(AF$6-$G$3,22))&lt;&gt;""),Soja!$E65:INDEX(Soja!$E65:$Z65,MIN(AF$6-$G$3,22))),0)))))</f>
        <v>0</v>
      </c>
      <c r="AG67" s="27" t="n">
        <f aca="false">IF(COUNT(Soja!$E65:$Z65)=0,0,MAX(0,IF((AG$6-$E$3)&lt;1,0,IFERROR(LOOKUP(2,1/(Soja!$E65:INDEX(Soja!$E65:$Z65,MIN(AG$6-$E$3,22))&lt;&gt;""),Soja!$E65:INDEX(Soja!$E65:$Z65,MIN(AG$6-$E$3,22))),0))-IF($G$2,0,IF((AG$6-$G$3)&lt;1,0,IFERROR(LOOKUP(2,1/(Soja!$E65:INDEX(Soja!$E65:$Z65,MIN(AG$6-$G$3,22))&lt;&gt;""),Soja!$E65:INDEX(Soja!$E65:$Z65,MIN(AG$6-$G$3,22))),0)))))</f>
        <v>0</v>
      </c>
      <c r="AH67" s="27" t="n">
        <f aca="false">IF(COUNT(Soja!$E65:$Z65)=0,0,MAX(0,IF((AH$6-$E$3)&lt;1,0,IFERROR(LOOKUP(2,1/(Soja!$E65:INDEX(Soja!$E65:$Z65,MIN(AH$6-$E$3,22))&lt;&gt;""),Soja!$E65:INDEX(Soja!$E65:$Z65,MIN(AH$6-$E$3,22))),0))-IF($G$2,0,IF((AH$6-$G$3)&lt;1,0,IFERROR(LOOKUP(2,1/(Soja!$E65:INDEX(Soja!$E65:$Z65,MIN(AH$6-$G$3,22))&lt;&gt;""),Soja!$E65:INDEX(Soja!$E65:$Z65,MIN(AH$6-$G$3,22))),0)))))</f>
        <v>0</v>
      </c>
      <c r="AI67" s="27" t="n">
        <f aca="false">IF(COUNT(Soja!$E65:$Z65)=0,0,MAX(0,IF((AI$6-$E$3)&lt;1,0,IFERROR(LOOKUP(2,1/(Soja!$E65:INDEX(Soja!$E65:$Z65,MIN(AI$6-$E$3,22))&lt;&gt;""),Soja!$E65:INDEX(Soja!$E65:$Z65,MIN(AI$6-$E$3,22))),0))-IF($G$2,0,IF((AI$6-$G$3)&lt;1,0,IFERROR(LOOKUP(2,1/(Soja!$E65:INDEX(Soja!$E65:$Z65,MIN(AI$6-$G$3,22))&lt;&gt;""),Soja!$E65:INDEX(Soja!$E65:$Z65,MIN(AI$6-$G$3,22))),0)))))</f>
        <v>0</v>
      </c>
      <c r="AJ67" s="27" t="n">
        <f aca="false">IF(COUNT(Soja!$E65:$Z65)=0,0,MAX(0,IF((AJ$6-$E$3)&lt;1,0,IFERROR(LOOKUP(2,1/(Soja!$E65:INDEX(Soja!$E65:$Z65,MIN(AJ$6-$E$3,22))&lt;&gt;""),Soja!$E65:INDEX(Soja!$E65:$Z65,MIN(AJ$6-$E$3,22))),0))-IF($G$2,0,IF((AJ$6-$G$3)&lt;1,0,IFERROR(LOOKUP(2,1/(Soja!$E65:INDEX(Soja!$E65:$Z65,MIN(AJ$6-$G$3,22))&lt;&gt;""),Soja!$E65:INDEX(Soja!$E65:$Z65,MIN(AJ$6-$G$3,22))),0)))))</f>
        <v>0</v>
      </c>
      <c r="AK67" s="27" t="n">
        <f aca="false">IF(COUNT(Soja!$E65:$Z65)=0,0,MAX(0,IF((AK$6-$E$3)&lt;1,0,IFERROR(LOOKUP(2,1/(Soja!$E65:INDEX(Soja!$E65:$Z65,MIN(AK$6-$E$3,22))&lt;&gt;""),Soja!$E65:INDEX(Soja!$E65:$Z65,MIN(AK$6-$E$3,22))),0))-IF($G$2,0,IF((AK$6-$G$3)&lt;1,0,IFERROR(LOOKUP(2,1/(Soja!$E65:INDEX(Soja!$E65:$Z65,MIN(AK$6-$G$3,22))&lt;&gt;""),Soja!$E65:INDEX(Soja!$E65:$Z65,MIN(AK$6-$G$3,22))),0)))))</f>
        <v>0</v>
      </c>
      <c r="AL67" s="27" t="n">
        <f aca="false">IF(COUNT(Soja!$E65:$Z65)=0,0,MAX(0,IF((AL$6-$E$3)&lt;1,0,IFERROR(LOOKUP(2,1/(Soja!$E65:INDEX(Soja!$E65:$Z65,MIN(AL$6-$E$3,22))&lt;&gt;""),Soja!$E65:INDEX(Soja!$E65:$Z65,MIN(AL$6-$E$3,22))),0))-IF($G$2,0,IF((AL$6-$G$3)&lt;1,0,IFERROR(LOOKUP(2,1/(Soja!$E65:INDEX(Soja!$E65:$Z65,MIN(AL$6-$G$3,22))&lt;&gt;""),Soja!$E65:INDEX(Soja!$E65:$Z65,MIN(AL$6-$G$3,22))),0)))))</f>
        <v>0</v>
      </c>
      <c r="AM67" s="27" t="n">
        <f aca="false">IF(COUNT(Soja!$E65:$Z65)=0,0,MAX(0,IF((AM$6-$E$3)&lt;1,0,IFERROR(LOOKUP(2,1/(Soja!$E65:INDEX(Soja!$E65:$Z65,MIN(AM$6-$E$3,22))&lt;&gt;""),Soja!$E65:INDEX(Soja!$E65:$Z65,MIN(AM$6-$E$3,22))),0))-IF($G$2,0,IF((AM$6-$G$3)&lt;1,0,IFERROR(LOOKUP(2,1/(Soja!$E65:INDEX(Soja!$E65:$Z65,MIN(AM$6-$G$3,22))&lt;&gt;""),Soja!$E65:INDEX(Soja!$E65:$Z65,MIN(AM$6-$G$3,22))),0)))))</f>
        <v>0</v>
      </c>
      <c r="AN67" s="27" t="n">
        <f aca="false">IF(COUNT(Soja!$E65:$Z65)=0,0,MAX(0,IF((AN$6-$E$3)&lt;1,0,IFERROR(LOOKUP(2,1/(Soja!$E65:INDEX(Soja!$E65:$Z65,MIN(AN$6-$E$3,22))&lt;&gt;""),Soja!$E65:INDEX(Soja!$E65:$Z65,MIN(AN$6-$E$3,22))),0))-IF($G$2,0,IF((AN$6-$G$3)&lt;1,0,IFERROR(LOOKUP(2,1/(Soja!$E65:INDEX(Soja!$E65:$Z65,MIN(AN$6-$G$3,22))&lt;&gt;""),Soja!$E65:INDEX(Soja!$E65:$Z65,MIN(AN$6-$G$3,22))),0)))))</f>
        <v>0</v>
      </c>
      <c r="AO67" s="27" t="n">
        <f aca="false">IF(COUNT(Soja!$E65:$Z65)=0,0,MAX(0,IF((AO$6-$E$3)&lt;1,0,IFERROR(LOOKUP(2,1/(Soja!$E65:INDEX(Soja!$E65:$Z65,MIN(AO$6-$E$3,22))&lt;&gt;""),Soja!$E65:INDEX(Soja!$E65:$Z65,MIN(AO$6-$E$3,22))),0))-IF($G$2,0,IF((AO$6-$G$3)&lt;1,0,IFERROR(LOOKUP(2,1/(Soja!$E65:INDEX(Soja!$E65:$Z65,MIN(AO$6-$G$3,22))&lt;&gt;""),Soja!$E65:INDEX(Soja!$E65:$Z65,MIN(AO$6-$G$3,22))),0)))))</f>
        <v>0</v>
      </c>
      <c r="AP67" s="27" t="n">
        <f aca="false">IF(COUNT(Soja!$E65:$Z65)=0,0,MAX(0,IF((AP$6-$E$3)&lt;1,0,IFERROR(LOOKUP(2,1/(Soja!$E65:INDEX(Soja!$E65:$Z65,MIN(AP$6-$E$3,22))&lt;&gt;""),Soja!$E65:INDEX(Soja!$E65:$Z65,MIN(AP$6-$E$3,22))),0))-IF($G$2,0,IF((AP$6-$G$3)&lt;1,0,IFERROR(LOOKUP(2,1/(Soja!$E65:INDEX(Soja!$E65:$Z65,MIN(AP$6-$G$3,22))&lt;&gt;""),Soja!$E65:INDEX(Soja!$E65:$Z65,MIN(AP$6-$G$3,22))),0)))))</f>
        <v>0</v>
      </c>
      <c r="AQ67" s="27" t="n">
        <f aca="false">IF(COUNT(Soja!$E65:$Z65)=0,0,MAX(0,IF((AQ$6-$E$3)&lt;1,0,IFERROR(LOOKUP(2,1/(Soja!$E65:INDEX(Soja!$E65:$Z65,MIN(AQ$6-$E$3,22))&lt;&gt;""),Soja!$E65:INDEX(Soja!$E65:$Z65,MIN(AQ$6-$E$3,22))),0))-IF($G$2,0,IF((AQ$6-$G$3)&lt;1,0,IFERROR(LOOKUP(2,1/(Soja!$E65:INDEX(Soja!$E65:$Z65,MIN(AQ$6-$G$3,22))&lt;&gt;""),Soja!$E65:INDEX(Soja!$E65:$Z65,MIN(AQ$6-$G$3,22))),0)))))</f>
        <v>0</v>
      </c>
      <c r="AR67" s="27" t="n">
        <f aca="false">IF(COUNT(Soja!$E65:$Z65)=0,0,MAX(0,IF((AR$6-$E$3)&lt;1,0,IFERROR(LOOKUP(2,1/(Soja!$E65:INDEX(Soja!$E65:$Z65,MIN(AR$6-$E$3,22))&lt;&gt;""),Soja!$E65:INDEX(Soja!$E65:$Z65,MIN(AR$6-$E$3,22))),0))-IF($G$2,0,IF((AR$6-$G$3)&lt;1,0,IFERROR(LOOKUP(2,1/(Soja!$E65:INDEX(Soja!$E65:$Z65,MIN(AR$6-$G$3,22))&lt;&gt;""),Soja!$E65:INDEX(Soja!$E65:$Z65,MIN(AR$6-$G$3,22))),0)))))</f>
        <v>0</v>
      </c>
      <c r="AS67" s="27" t="n">
        <f aca="false">IF(COUNT(Soja!$E65:$Z65)=0,0,MAX(0,IF((AS$6-$E$3)&lt;1,0,IFERROR(LOOKUP(2,1/(Soja!$E65:INDEX(Soja!$E65:$Z65,MIN(AS$6-$E$3,22))&lt;&gt;""),Soja!$E65:INDEX(Soja!$E65:$Z65,MIN(AS$6-$E$3,22))),0))-IF($G$2,0,IF((AS$6-$G$3)&lt;1,0,IFERROR(LOOKUP(2,1/(Soja!$E65:INDEX(Soja!$E65:$Z65,MIN(AS$6-$G$3,22))&lt;&gt;""),Soja!$E65:INDEX(Soja!$E65:$Z65,MIN(AS$6-$G$3,22))),0)))))</f>
        <v>0</v>
      </c>
      <c r="AT67" s="27" t="n">
        <f aca="false">IF(COUNT(Soja!$E65:$Z65)=0,0,MAX(0,IF((AT$6-$E$3)&lt;1,0,IFERROR(LOOKUP(2,1/(Soja!$E65:INDEX(Soja!$E65:$Z65,MIN(AT$6-$E$3,22))&lt;&gt;""),Soja!$E65:INDEX(Soja!$E65:$Z65,MIN(AT$6-$E$3,22))),0))-IF($G$2,0,IF((AT$6-$G$3)&lt;1,0,IFERROR(LOOKUP(2,1/(Soja!$E65:INDEX(Soja!$E65:$Z65,MIN(AT$6-$G$3,22))&lt;&gt;""),Soja!$E65:INDEX(Soja!$E65:$Z65,MIN(AT$6-$G$3,22))),0)))))</f>
        <v>0</v>
      </c>
      <c r="AU67" s="27" t="n">
        <f aca="false">IF(COUNT(Soja!$E65:$Z65)=0,0,MAX(0,IF((AU$6-$E$3)&lt;1,0,IFERROR(LOOKUP(2,1/(Soja!$E65:INDEX(Soja!$E65:$Z65,MIN(AU$6-$E$3,22))&lt;&gt;""),Soja!$E65:INDEX(Soja!$E65:$Z65,MIN(AU$6-$E$3,22))),0))-IF($G$2,0,IF((AU$6-$G$3)&lt;1,0,IFERROR(LOOKUP(2,1/(Soja!$E65:INDEX(Soja!$E65:$Z65,MIN(AU$6-$G$3,22))&lt;&gt;""),Soja!$E65:INDEX(Soja!$E65:$Z65,MIN(AU$6-$G$3,22))),0)))))</f>
        <v>0</v>
      </c>
      <c r="AV67" s="27" t="n">
        <f aca="false">IF(COUNT(Soja!$E65:$Z65)=0,0,MAX(0,IF((AV$6-$E$3)&lt;1,0,IFERROR(LOOKUP(2,1/(Soja!$E65:INDEX(Soja!$E65:$Z65,MIN(AV$6-$E$3,22))&lt;&gt;""),Soja!$E65:INDEX(Soja!$E65:$Z65,MIN(AV$6-$E$3,22))),0))-IF($G$2,0,IF((AV$6-$G$3)&lt;1,0,IFERROR(LOOKUP(2,1/(Soja!$E65:INDEX(Soja!$E65:$Z65,MIN(AV$6-$G$3,22))&lt;&gt;""),Soja!$E65:INDEX(Soja!$E65:$Z65,MIN(AV$6-$G$3,22))),0)))))</f>
        <v>0</v>
      </c>
      <c r="AW67" s="27" t="n">
        <f aca="false">IF(COUNT(Soja!$E65:$Z65)=0,0,MAX(0,IF((AW$6-$E$3)&lt;1,0,IFERROR(LOOKUP(2,1/(Soja!$E65:INDEX(Soja!$E65:$Z65,MIN(AW$6-$E$3,22))&lt;&gt;""),Soja!$E65:INDEX(Soja!$E65:$Z65,MIN(AW$6-$E$3,22))),0))-IF($G$2,0,IF((AW$6-$G$3)&lt;1,0,IFERROR(LOOKUP(2,1/(Soja!$E65:INDEX(Soja!$E65:$Z65,MIN(AW$6-$G$3,22))&lt;&gt;""),Soja!$E65:INDEX(Soja!$E65:$Z65,MIN(AW$6-$G$3,22))),0)))))</f>
        <v>0</v>
      </c>
      <c r="AX67" s="27" t="n">
        <f aca="false">IF(COUNT(Soja!$E65:$Z65)=0,0,MAX(0,IF((AX$6-$E$3)&lt;1,0,IFERROR(LOOKUP(2,1/(Soja!$E65:INDEX(Soja!$E65:$Z65,MIN(AX$6-$E$3,22))&lt;&gt;""),Soja!$E65:INDEX(Soja!$E65:$Z65,MIN(AX$6-$E$3,22))),0))-IF($G$2,0,IF((AX$6-$G$3)&lt;1,0,IFERROR(LOOKUP(2,1/(Soja!$E65:INDEX(Soja!$E65:$Z65,MIN(AX$6-$G$3,22))&lt;&gt;""),Soja!$E65:INDEX(Soja!$E65:$Z65,MIN(AX$6-$G$3,22))),0)))))</f>
        <v>0</v>
      </c>
      <c r="AY67" s="27" t="n">
        <f aca="false">IF(COUNT(Soja!$E65:$Z65)=0,0,MAX(0,IF((AY$6-$E$3)&lt;1,0,IFERROR(LOOKUP(2,1/(Soja!$E65:INDEX(Soja!$E65:$Z65,MIN(AY$6-$E$3,22))&lt;&gt;""),Soja!$E65:INDEX(Soja!$E65:$Z65,MIN(AY$6-$E$3,22))),0))-IF($G$2,0,IF((AY$6-$G$3)&lt;1,0,IFERROR(LOOKUP(2,1/(Soja!$E65:INDEX(Soja!$E65:$Z65,MIN(AY$6-$G$3,22))&lt;&gt;""),Soja!$E65:INDEX(Soja!$E65:$Z65,MIN(AY$6-$G$3,22))),0)))))</f>
        <v>0</v>
      </c>
      <c r="AZ67" s="27" t="n">
        <f aca="false">IF(COUNT(Soja!$E65:$Z65)=0,0,MAX(0,IF((AZ$6-$E$3)&lt;1,0,IFERROR(LOOKUP(2,1/(Soja!$E65:INDEX(Soja!$E65:$Z65,MIN(AZ$6-$E$3,22))&lt;&gt;""),Soja!$E65:INDEX(Soja!$E65:$Z65,MIN(AZ$6-$E$3,22))),0))-IF($G$2,0,IF((AZ$6-$G$3)&lt;1,0,IFERROR(LOOKUP(2,1/(Soja!$E65:INDEX(Soja!$E65:$Z65,MIN(AZ$6-$G$3,22))&lt;&gt;""),Soja!$E65:INDEX(Soja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IF(COUNT(Soja!$E66:$Z66)&gt;0,N(Soja!$D66),0)</f>
        <v>0</v>
      </c>
      <c r="E68" s="27" t="n">
        <f aca="false">IF(COUNT(Soja!$E66:$Z66)=0,0,MAX(0,IF((E$6-$E$3)&lt;1,0,IFERROR(LOOKUP(2,1/(Soja!$E66:INDEX(Soja!$E66:$Z66,MIN(E$6-$E$3,22))&lt;&gt;""),Soja!$E66:INDEX(Soja!$E66:$Z66,MIN(E$6-$E$3,22))),0))-IF($G$2,0,IF((E$6-$G$3)&lt;1,0,IFERROR(LOOKUP(2,1/(Soja!$E66:INDEX(Soja!$E66:$Z66,MIN(E$6-$G$3,22))&lt;&gt;""),Soja!$E66:INDEX(Soja!$E66:$Z66,MIN(E$6-$G$3,22))),0)))))</f>
        <v>0</v>
      </c>
      <c r="F68" s="27" t="n">
        <f aca="false">IF(COUNT(Soja!$E66:$Z66)=0,0,MAX(0,IF((F$6-$E$3)&lt;1,0,IFERROR(LOOKUP(2,1/(Soja!$E66:INDEX(Soja!$E66:$Z66,MIN(F$6-$E$3,22))&lt;&gt;""),Soja!$E66:INDEX(Soja!$E66:$Z66,MIN(F$6-$E$3,22))),0))-IF($G$2,0,IF((F$6-$G$3)&lt;1,0,IFERROR(LOOKUP(2,1/(Soja!$E66:INDEX(Soja!$E66:$Z66,MIN(F$6-$G$3,22))&lt;&gt;""),Soja!$E66:INDEX(Soja!$E66:$Z66,MIN(F$6-$G$3,22))),0)))))</f>
        <v>0</v>
      </c>
      <c r="G68" s="27" t="n">
        <f aca="false">IF(COUNT(Soja!$E66:$Z66)=0,0,MAX(0,IF((G$6-$E$3)&lt;1,0,IFERROR(LOOKUP(2,1/(Soja!$E66:INDEX(Soja!$E66:$Z66,MIN(G$6-$E$3,22))&lt;&gt;""),Soja!$E66:INDEX(Soja!$E66:$Z66,MIN(G$6-$E$3,22))),0))-IF($G$2,0,IF((G$6-$G$3)&lt;1,0,IFERROR(LOOKUP(2,1/(Soja!$E66:INDEX(Soja!$E66:$Z66,MIN(G$6-$G$3,22))&lt;&gt;""),Soja!$E66:INDEX(Soja!$E66:$Z66,MIN(G$6-$G$3,22))),0)))))</f>
        <v>0</v>
      </c>
      <c r="H68" s="27" t="n">
        <f aca="false">IF(COUNT(Soja!$E66:$Z66)=0,0,MAX(0,IF((H$6-$E$3)&lt;1,0,IFERROR(LOOKUP(2,1/(Soja!$E66:INDEX(Soja!$E66:$Z66,MIN(H$6-$E$3,22))&lt;&gt;""),Soja!$E66:INDEX(Soja!$E66:$Z66,MIN(H$6-$E$3,22))),0))-IF($G$2,0,IF((H$6-$G$3)&lt;1,0,IFERROR(LOOKUP(2,1/(Soja!$E66:INDEX(Soja!$E66:$Z66,MIN(H$6-$G$3,22))&lt;&gt;""),Soja!$E66:INDEX(Soja!$E66:$Z66,MIN(H$6-$G$3,22))),0)))))</f>
        <v>0</v>
      </c>
      <c r="I68" s="27" t="n">
        <f aca="false">IF(COUNT(Soja!$E66:$Z66)=0,0,MAX(0,IF((I$6-$E$3)&lt;1,0,IFERROR(LOOKUP(2,1/(Soja!$E66:INDEX(Soja!$E66:$Z66,MIN(I$6-$E$3,22))&lt;&gt;""),Soja!$E66:INDEX(Soja!$E66:$Z66,MIN(I$6-$E$3,22))),0))-IF($G$2,0,IF((I$6-$G$3)&lt;1,0,IFERROR(LOOKUP(2,1/(Soja!$E66:INDEX(Soja!$E66:$Z66,MIN(I$6-$G$3,22))&lt;&gt;""),Soja!$E66:INDEX(Soja!$E66:$Z66,MIN(I$6-$G$3,22))),0)))))</f>
        <v>0</v>
      </c>
      <c r="J68" s="27" t="n">
        <f aca="false">IF(COUNT(Soja!$E66:$Z66)=0,0,MAX(0,IF((J$6-$E$3)&lt;1,0,IFERROR(LOOKUP(2,1/(Soja!$E66:INDEX(Soja!$E66:$Z66,MIN(J$6-$E$3,22))&lt;&gt;""),Soja!$E66:INDEX(Soja!$E66:$Z66,MIN(J$6-$E$3,22))),0))-IF($G$2,0,IF((J$6-$G$3)&lt;1,0,IFERROR(LOOKUP(2,1/(Soja!$E66:INDEX(Soja!$E66:$Z66,MIN(J$6-$G$3,22))&lt;&gt;""),Soja!$E66:INDEX(Soja!$E66:$Z66,MIN(J$6-$G$3,22))),0)))))</f>
        <v>0</v>
      </c>
      <c r="K68" s="27" t="n">
        <f aca="false">IF(COUNT(Soja!$E66:$Z66)=0,0,MAX(0,IF((K$6-$E$3)&lt;1,0,IFERROR(LOOKUP(2,1/(Soja!$E66:INDEX(Soja!$E66:$Z66,MIN(K$6-$E$3,22))&lt;&gt;""),Soja!$E66:INDEX(Soja!$E66:$Z66,MIN(K$6-$E$3,22))),0))-IF($G$2,0,IF((K$6-$G$3)&lt;1,0,IFERROR(LOOKUP(2,1/(Soja!$E66:INDEX(Soja!$E66:$Z66,MIN(K$6-$G$3,22))&lt;&gt;""),Soja!$E66:INDEX(Soja!$E66:$Z66,MIN(K$6-$G$3,22))),0)))))</f>
        <v>0</v>
      </c>
      <c r="L68" s="27" t="n">
        <f aca="false">IF(COUNT(Soja!$E66:$Z66)=0,0,MAX(0,IF((L$6-$E$3)&lt;1,0,IFERROR(LOOKUP(2,1/(Soja!$E66:INDEX(Soja!$E66:$Z66,MIN(L$6-$E$3,22))&lt;&gt;""),Soja!$E66:INDEX(Soja!$E66:$Z66,MIN(L$6-$E$3,22))),0))-IF($G$2,0,IF((L$6-$G$3)&lt;1,0,IFERROR(LOOKUP(2,1/(Soja!$E66:INDEX(Soja!$E66:$Z66,MIN(L$6-$G$3,22))&lt;&gt;""),Soja!$E66:INDEX(Soja!$E66:$Z66,MIN(L$6-$G$3,22))),0)))))</f>
        <v>0</v>
      </c>
      <c r="M68" s="27" t="n">
        <f aca="false">IF(COUNT(Soja!$E66:$Z66)=0,0,MAX(0,IF((M$6-$E$3)&lt;1,0,IFERROR(LOOKUP(2,1/(Soja!$E66:INDEX(Soja!$E66:$Z66,MIN(M$6-$E$3,22))&lt;&gt;""),Soja!$E66:INDEX(Soja!$E66:$Z66,MIN(M$6-$E$3,22))),0))-IF($G$2,0,IF((M$6-$G$3)&lt;1,0,IFERROR(LOOKUP(2,1/(Soja!$E66:INDEX(Soja!$E66:$Z66,MIN(M$6-$G$3,22))&lt;&gt;""),Soja!$E66:INDEX(Soja!$E66:$Z66,MIN(M$6-$G$3,22))),0)))))</f>
        <v>0</v>
      </c>
      <c r="N68" s="27" t="n">
        <f aca="false">IF(COUNT(Soja!$E66:$Z66)=0,0,MAX(0,IF((N$6-$E$3)&lt;1,0,IFERROR(LOOKUP(2,1/(Soja!$E66:INDEX(Soja!$E66:$Z66,MIN(N$6-$E$3,22))&lt;&gt;""),Soja!$E66:INDEX(Soja!$E66:$Z66,MIN(N$6-$E$3,22))),0))-IF($G$2,0,IF((N$6-$G$3)&lt;1,0,IFERROR(LOOKUP(2,1/(Soja!$E66:INDEX(Soja!$E66:$Z66,MIN(N$6-$G$3,22))&lt;&gt;""),Soja!$E66:INDEX(Soja!$E66:$Z66,MIN(N$6-$G$3,22))),0)))))</f>
        <v>0</v>
      </c>
      <c r="O68" s="27" t="n">
        <f aca="false">IF(COUNT(Soja!$E66:$Z66)=0,0,MAX(0,IF((O$6-$E$3)&lt;1,0,IFERROR(LOOKUP(2,1/(Soja!$E66:INDEX(Soja!$E66:$Z66,MIN(O$6-$E$3,22))&lt;&gt;""),Soja!$E66:INDEX(Soja!$E66:$Z66,MIN(O$6-$E$3,22))),0))-IF($G$2,0,IF((O$6-$G$3)&lt;1,0,IFERROR(LOOKUP(2,1/(Soja!$E66:INDEX(Soja!$E66:$Z66,MIN(O$6-$G$3,22))&lt;&gt;""),Soja!$E66:INDEX(Soja!$E66:$Z66,MIN(O$6-$G$3,22))),0)))))</f>
        <v>0</v>
      </c>
      <c r="P68" s="27" t="n">
        <f aca="false">IF(COUNT(Soja!$E66:$Z66)=0,0,MAX(0,IF((P$6-$E$3)&lt;1,0,IFERROR(LOOKUP(2,1/(Soja!$E66:INDEX(Soja!$E66:$Z66,MIN(P$6-$E$3,22))&lt;&gt;""),Soja!$E66:INDEX(Soja!$E66:$Z66,MIN(P$6-$E$3,22))),0))-IF($G$2,0,IF((P$6-$G$3)&lt;1,0,IFERROR(LOOKUP(2,1/(Soja!$E66:INDEX(Soja!$E66:$Z66,MIN(P$6-$G$3,22))&lt;&gt;""),Soja!$E66:INDEX(Soja!$E66:$Z66,MIN(P$6-$G$3,22))),0)))))</f>
        <v>0</v>
      </c>
      <c r="Q68" s="27" t="n">
        <f aca="false">IF(COUNT(Soja!$E66:$Z66)=0,0,MAX(0,IF((Q$6-$E$3)&lt;1,0,IFERROR(LOOKUP(2,1/(Soja!$E66:INDEX(Soja!$E66:$Z66,MIN(Q$6-$E$3,22))&lt;&gt;""),Soja!$E66:INDEX(Soja!$E66:$Z66,MIN(Q$6-$E$3,22))),0))-IF($G$2,0,IF((Q$6-$G$3)&lt;1,0,IFERROR(LOOKUP(2,1/(Soja!$E66:INDEX(Soja!$E66:$Z66,MIN(Q$6-$G$3,22))&lt;&gt;""),Soja!$E66:INDEX(Soja!$E66:$Z66,MIN(Q$6-$G$3,22))),0)))))</f>
        <v>0</v>
      </c>
      <c r="R68" s="27" t="n">
        <f aca="false">IF(COUNT(Soja!$E66:$Z66)=0,0,MAX(0,IF((R$6-$E$3)&lt;1,0,IFERROR(LOOKUP(2,1/(Soja!$E66:INDEX(Soja!$E66:$Z66,MIN(R$6-$E$3,22))&lt;&gt;""),Soja!$E66:INDEX(Soja!$E66:$Z66,MIN(R$6-$E$3,22))),0))-IF($G$2,0,IF((R$6-$G$3)&lt;1,0,IFERROR(LOOKUP(2,1/(Soja!$E66:INDEX(Soja!$E66:$Z66,MIN(R$6-$G$3,22))&lt;&gt;""),Soja!$E66:INDEX(Soja!$E66:$Z66,MIN(R$6-$G$3,22))),0)))))</f>
        <v>0</v>
      </c>
      <c r="S68" s="27" t="n">
        <f aca="false">IF(COUNT(Soja!$E66:$Z66)=0,0,MAX(0,IF((S$6-$E$3)&lt;1,0,IFERROR(LOOKUP(2,1/(Soja!$E66:INDEX(Soja!$E66:$Z66,MIN(S$6-$E$3,22))&lt;&gt;""),Soja!$E66:INDEX(Soja!$E66:$Z66,MIN(S$6-$E$3,22))),0))-IF($G$2,0,IF((S$6-$G$3)&lt;1,0,IFERROR(LOOKUP(2,1/(Soja!$E66:INDEX(Soja!$E66:$Z66,MIN(S$6-$G$3,22))&lt;&gt;""),Soja!$E66:INDEX(Soja!$E66:$Z66,MIN(S$6-$G$3,22))),0)))))</f>
        <v>0</v>
      </c>
      <c r="T68" s="27" t="n">
        <f aca="false">IF(COUNT(Soja!$E66:$Z66)=0,0,MAX(0,IF((T$6-$E$3)&lt;1,0,IFERROR(LOOKUP(2,1/(Soja!$E66:INDEX(Soja!$E66:$Z66,MIN(T$6-$E$3,22))&lt;&gt;""),Soja!$E66:INDEX(Soja!$E66:$Z66,MIN(T$6-$E$3,22))),0))-IF($G$2,0,IF((T$6-$G$3)&lt;1,0,IFERROR(LOOKUP(2,1/(Soja!$E66:INDEX(Soja!$E66:$Z66,MIN(T$6-$G$3,22))&lt;&gt;""),Soja!$E66:INDEX(Soja!$E66:$Z66,MIN(T$6-$G$3,22))),0)))))</f>
        <v>0</v>
      </c>
      <c r="U68" s="27" t="n">
        <f aca="false">IF(COUNT(Soja!$E66:$Z66)=0,0,MAX(0,IF((U$6-$E$3)&lt;1,0,IFERROR(LOOKUP(2,1/(Soja!$E66:INDEX(Soja!$E66:$Z66,MIN(U$6-$E$3,22))&lt;&gt;""),Soja!$E66:INDEX(Soja!$E66:$Z66,MIN(U$6-$E$3,22))),0))-IF($G$2,0,IF((U$6-$G$3)&lt;1,0,IFERROR(LOOKUP(2,1/(Soja!$E66:INDEX(Soja!$E66:$Z66,MIN(U$6-$G$3,22))&lt;&gt;""),Soja!$E66:INDEX(Soja!$E66:$Z66,MIN(U$6-$G$3,22))),0)))))</f>
        <v>0</v>
      </c>
      <c r="V68" s="27" t="n">
        <f aca="false">IF(COUNT(Soja!$E66:$Z66)=0,0,MAX(0,IF((V$6-$E$3)&lt;1,0,IFERROR(LOOKUP(2,1/(Soja!$E66:INDEX(Soja!$E66:$Z66,MIN(V$6-$E$3,22))&lt;&gt;""),Soja!$E66:INDEX(Soja!$E66:$Z66,MIN(V$6-$E$3,22))),0))-IF($G$2,0,IF((V$6-$G$3)&lt;1,0,IFERROR(LOOKUP(2,1/(Soja!$E66:INDEX(Soja!$E66:$Z66,MIN(V$6-$G$3,22))&lt;&gt;""),Soja!$E66:INDEX(Soja!$E66:$Z66,MIN(V$6-$G$3,22))),0)))))</f>
        <v>0</v>
      </c>
      <c r="W68" s="27" t="n">
        <f aca="false">IF(COUNT(Soja!$E66:$Z66)=0,0,MAX(0,IF((W$6-$E$3)&lt;1,0,IFERROR(LOOKUP(2,1/(Soja!$E66:INDEX(Soja!$E66:$Z66,MIN(W$6-$E$3,22))&lt;&gt;""),Soja!$E66:INDEX(Soja!$E66:$Z66,MIN(W$6-$E$3,22))),0))-IF($G$2,0,IF((W$6-$G$3)&lt;1,0,IFERROR(LOOKUP(2,1/(Soja!$E66:INDEX(Soja!$E66:$Z66,MIN(W$6-$G$3,22))&lt;&gt;""),Soja!$E66:INDEX(Soja!$E66:$Z66,MIN(W$6-$G$3,22))),0)))))</f>
        <v>0</v>
      </c>
      <c r="X68" s="27" t="n">
        <f aca="false">IF(COUNT(Soja!$E66:$Z66)=0,0,MAX(0,IF((X$6-$E$3)&lt;1,0,IFERROR(LOOKUP(2,1/(Soja!$E66:INDEX(Soja!$E66:$Z66,MIN(X$6-$E$3,22))&lt;&gt;""),Soja!$E66:INDEX(Soja!$E66:$Z66,MIN(X$6-$E$3,22))),0))-IF($G$2,0,IF((X$6-$G$3)&lt;1,0,IFERROR(LOOKUP(2,1/(Soja!$E66:INDEX(Soja!$E66:$Z66,MIN(X$6-$G$3,22))&lt;&gt;""),Soja!$E66:INDEX(Soja!$E66:$Z66,MIN(X$6-$G$3,22))),0)))))</f>
        <v>0</v>
      </c>
      <c r="Y68" s="27" t="n">
        <f aca="false">IF(COUNT(Soja!$E66:$Z66)=0,0,MAX(0,IF((Y$6-$E$3)&lt;1,0,IFERROR(LOOKUP(2,1/(Soja!$E66:INDEX(Soja!$E66:$Z66,MIN(Y$6-$E$3,22))&lt;&gt;""),Soja!$E66:INDEX(Soja!$E66:$Z66,MIN(Y$6-$E$3,22))),0))-IF($G$2,0,IF((Y$6-$G$3)&lt;1,0,IFERROR(LOOKUP(2,1/(Soja!$E66:INDEX(Soja!$E66:$Z66,MIN(Y$6-$G$3,22))&lt;&gt;""),Soja!$E66:INDEX(Soja!$E66:$Z66,MIN(Y$6-$G$3,22))),0)))))</f>
        <v>0</v>
      </c>
      <c r="Z68" s="27" t="n">
        <f aca="false">IF(COUNT(Soja!$E66:$Z66)=0,0,MAX(0,IF((Z$6-$E$3)&lt;1,0,IFERROR(LOOKUP(2,1/(Soja!$E66:INDEX(Soja!$E66:$Z66,MIN(Z$6-$E$3,22))&lt;&gt;""),Soja!$E66:INDEX(Soja!$E66:$Z66,MIN(Z$6-$E$3,22))),0))-IF($G$2,0,IF((Z$6-$G$3)&lt;1,0,IFERROR(LOOKUP(2,1/(Soja!$E66:INDEX(Soja!$E66:$Z66,MIN(Z$6-$G$3,22))&lt;&gt;""),Soja!$E66:INDEX(Soja!$E66:$Z66,MIN(Z$6-$G$3,22))),0)))))</f>
        <v>0</v>
      </c>
      <c r="AA68" s="27" t="n">
        <f aca="false">IF(COUNT(Soja!$E66:$Z66)=0,0,MAX(0,IF((AA$6-$E$3)&lt;1,0,IFERROR(LOOKUP(2,1/(Soja!$E66:INDEX(Soja!$E66:$Z66,MIN(AA$6-$E$3,22))&lt;&gt;""),Soja!$E66:INDEX(Soja!$E66:$Z66,MIN(AA$6-$E$3,22))),0))-IF($G$2,0,IF((AA$6-$G$3)&lt;1,0,IFERROR(LOOKUP(2,1/(Soja!$E66:INDEX(Soja!$E66:$Z66,MIN(AA$6-$G$3,22))&lt;&gt;""),Soja!$E66:INDEX(Soja!$E66:$Z66,MIN(AA$6-$G$3,22))),0)))))</f>
        <v>0</v>
      </c>
      <c r="AB68" s="27" t="n">
        <f aca="false">IF(COUNT(Soja!$E66:$Z66)=0,0,MAX(0,IF((AB$6-$E$3)&lt;1,0,IFERROR(LOOKUP(2,1/(Soja!$E66:INDEX(Soja!$E66:$Z66,MIN(AB$6-$E$3,22))&lt;&gt;""),Soja!$E66:INDEX(Soja!$E66:$Z66,MIN(AB$6-$E$3,22))),0))-IF($G$2,0,IF((AB$6-$G$3)&lt;1,0,IFERROR(LOOKUP(2,1/(Soja!$E66:INDEX(Soja!$E66:$Z66,MIN(AB$6-$G$3,22))&lt;&gt;""),Soja!$E66:INDEX(Soja!$E66:$Z66,MIN(AB$6-$G$3,22))),0)))))</f>
        <v>0</v>
      </c>
      <c r="AC68" s="27" t="n">
        <f aca="false">IF(COUNT(Soja!$E66:$Z66)=0,0,MAX(0,IF((AC$6-$E$3)&lt;1,0,IFERROR(LOOKUP(2,1/(Soja!$E66:INDEX(Soja!$E66:$Z66,MIN(AC$6-$E$3,22))&lt;&gt;""),Soja!$E66:INDEX(Soja!$E66:$Z66,MIN(AC$6-$E$3,22))),0))-IF($G$2,0,IF((AC$6-$G$3)&lt;1,0,IFERROR(LOOKUP(2,1/(Soja!$E66:INDEX(Soja!$E66:$Z66,MIN(AC$6-$G$3,22))&lt;&gt;""),Soja!$E66:INDEX(Soja!$E66:$Z66,MIN(AC$6-$G$3,22))),0)))))</f>
        <v>0</v>
      </c>
      <c r="AD68" s="27" t="n">
        <f aca="false">IF(COUNT(Soja!$E66:$Z66)=0,0,MAX(0,IF((AD$6-$E$3)&lt;1,0,IFERROR(LOOKUP(2,1/(Soja!$E66:INDEX(Soja!$E66:$Z66,MIN(AD$6-$E$3,22))&lt;&gt;""),Soja!$E66:INDEX(Soja!$E66:$Z66,MIN(AD$6-$E$3,22))),0))-IF($G$2,0,IF((AD$6-$G$3)&lt;1,0,IFERROR(LOOKUP(2,1/(Soja!$E66:INDEX(Soja!$E66:$Z66,MIN(AD$6-$G$3,22))&lt;&gt;""),Soja!$E66:INDEX(Soja!$E66:$Z66,MIN(AD$6-$G$3,22))),0)))))</f>
        <v>0</v>
      </c>
      <c r="AE68" s="27" t="n">
        <f aca="false">IF(COUNT(Soja!$E66:$Z66)=0,0,MAX(0,IF((AE$6-$E$3)&lt;1,0,IFERROR(LOOKUP(2,1/(Soja!$E66:INDEX(Soja!$E66:$Z66,MIN(AE$6-$E$3,22))&lt;&gt;""),Soja!$E66:INDEX(Soja!$E66:$Z66,MIN(AE$6-$E$3,22))),0))-IF($G$2,0,IF((AE$6-$G$3)&lt;1,0,IFERROR(LOOKUP(2,1/(Soja!$E66:INDEX(Soja!$E66:$Z66,MIN(AE$6-$G$3,22))&lt;&gt;""),Soja!$E66:INDEX(Soja!$E66:$Z66,MIN(AE$6-$G$3,22))),0)))))</f>
        <v>0</v>
      </c>
      <c r="AF68" s="27" t="n">
        <f aca="false">IF(COUNT(Soja!$E66:$Z66)=0,0,MAX(0,IF((AF$6-$E$3)&lt;1,0,IFERROR(LOOKUP(2,1/(Soja!$E66:INDEX(Soja!$E66:$Z66,MIN(AF$6-$E$3,22))&lt;&gt;""),Soja!$E66:INDEX(Soja!$E66:$Z66,MIN(AF$6-$E$3,22))),0))-IF($G$2,0,IF((AF$6-$G$3)&lt;1,0,IFERROR(LOOKUP(2,1/(Soja!$E66:INDEX(Soja!$E66:$Z66,MIN(AF$6-$G$3,22))&lt;&gt;""),Soja!$E66:INDEX(Soja!$E66:$Z66,MIN(AF$6-$G$3,22))),0)))))</f>
        <v>0</v>
      </c>
      <c r="AG68" s="27" t="n">
        <f aca="false">IF(COUNT(Soja!$E66:$Z66)=0,0,MAX(0,IF((AG$6-$E$3)&lt;1,0,IFERROR(LOOKUP(2,1/(Soja!$E66:INDEX(Soja!$E66:$Z66,MIN(AG$6-$E$3,22))&lt;&gt;""),Soja!$E66:INDEX(Soja!$E66:$Z66,MIN(AG$6-$E$3,22))),0))-IF($G$2,0,IF((AG$6-$G$3)&lt;1,0,IFERROR(LOOKUP(2,1/(Soja!$E66:INDEX(Soja!$E66:$Z66,MIN(AG$6-$G$3,22))&lt;&gt;""),Soja!$E66:INDEX(Soja!$E66:$Z66,MIN(AG$6-$G$3,22))),0)))))</f>
        <v>0</v>
      </c>
      <c r="AH68" s="27" t="n">
        <f aca="false">IF(COUNT(Soja!$E66:$Z66)=0,0,MAX(0,IF((AH$6-$E$3)&lt;1,0,IFERROR(LOOKUP(2,1/(Soja!$E66:INDEX(Soja!$E66:$Z66,MIN(AH$6-$E$3,22))&lt;&gt;""),Soja!$E66:INDEX(Soja!$E66:$Z66,MIN(AH$6-$E$3,22))),0))-IF($G$2,0,IF((AH$6-$G$3)&lt;1,0,IFERROR(LOOKUP(2,1/(Soja!$E66:INDEX(Soja!$E66:$Z66,MIN(AH$6-$G$3,22))&lt;&gt;""),Soja!$E66:INDEX(Soja!$E66:$Z66,MIN(AH$6-$G$3,22))),0)))))</f>
        <v>0</v>
      </c>
      <c r="AI68" s="27" t="n">
        <f aca="false">IF(COUNT(Soja!$E66:$Z66)=0,0,MAX(0,IF((AI$6-$E$3)&lt;1,0,IFERROR(LOOKUP(2,1/(Soja!$E66:INDEX(Soja!$E66:$Z66,MIN(AI$6-$E$3,22))&lt;&gt;""),Soja!$E66:INDEX(Soja!$E66:$Z66,MIN(AI$6-$E$3,22))),0))-IF($G$2,0,IF((AI$6-$G$3)&lt;1,0,IFERROR(LOOKUP(2,1/(Soja!$E66:INDEX(Soja!$E66:$Z66,MIN(AI$6-$G$3,22))&lt;&gt;""),Soja!$E66:INDEX(Soja!$E66:$Z66,MIN(AI$6-$G$3,22))),0)))))</f>
        <v>0</v>
      </c>
      <c r="AJ68" s="27" t="n">
        <f aca="false">IF(COUNT(Soja!$E66:$Z66)=0,0,MAX(0,IF((AJ$6-$E$3)&lt;1,0,IFERROR(LOOKUP(2,1/(Soja!$E66:INDEX(Soja!$E66:$Z66,MIN(AJ$6-$E$3,22))&lt;&gt;""),Soja!$E66:INDEX(Soja!$E66:$Z66,MIN(AJ$6-$E$3,22))),0))-IF($G$2,0,IF((AJ$6-$G$3)&lt;1,0,IFERROR(LOOKUP(2,1/(Soja!$E66:INDEX(Soja!$E66:$Z66,MIN(AJ$6-$G$3,22))&lt;&gt;""),Soja!$E66:INDEX(Soja!$E66:$Z66,MIN(AJ$6-$G$3,22))),0)))))</f>
        <v>0</v>
      </c>
      <c r="AK68" s="27" t="n">
        <f aca="false">IF(COUNT(Soja!$E66:$Z66)=0,0,MAX(0,IF((AK$6-$E$3)&lt;1,0,IFERROR(LOOKUP(2,1/(Soja!$E66:INDEX(Soja!$E66:$Z66,MIN(AK$6-$E$3,22))&lt;&gt;""),Soja!$E66:INDEX(Soja!$E66:$Z66,MIN(AK$6-$E$3,22))),0))-IF($G$2,0,IF((AK$6-$G$3)&lt;1,0,IFERROR(LOOKUP(2,1/(Soja!$E66:INDEX(Soja!$E66:$Z66,MIN(AK$6-$G$3,22))&lt;&gt;""),Soja!$E66:INDEX(Soja!$E66:$Z66,MIN(AK$6-$G$3,22))),0)))))</f>
        <v>0</v>
      </c>
      <c r="AL68" s="27" t="n">
        <f aca="false">IF(COUNT(Soja!$E66:$Z66)=0,0,MAX(0,IF((AL$6-$E$3)&lt;1,0,IFERROR(LOOKUP(2,1/(Soja!$E66:INDEX(Soja!$E66:$Z66,MIN(AL$6-$E$3,22))&lt;&gt;""),Soja!$E66:INDEX(Soja!$E66:$Z66,MIN(AL$6-$E$3,22))),0))-IF($G$2,0,IF((AL$6-$G$3)&lt;1,0,IFERROR(LOOKUP(2,1/(Soja!$E66:INDEX(Soja!$E66:$Z66,MIN(AL$6-$G$3,22))&lt;&gt;""),Soja!$E66:INDEX(Soja!$E66:$Z66,MIN(AL$6-$G$3,22))),0)))))</f>
        <v>0</v>
      </c>
      <c r="AM68" s="27" t="n">
        <f aca="false">IF(COUNT(Soja!$E66:$Z66)=0,0,MAX(0,IF((AM$6-$E$3)&lt;1,0,IFERROR(LOOKUP(2,1/(Soja!$E66:INDEX(Soja!$E66:$Z66,MIN(AM$6-$E$3,22))&lt;&gt;""),Soja!$E66:INDEX(Soja!$E66:$Z66,MIN(AM$6-$E$3,22))),0))-IF($G$2,0,IF((AM$6-$G$3)&lt;1,0,IFERROR(LOOKUP(2,1/(Soja!$E66:INDEX(Soja!$E66:$Z66,MIN(AM$6-$G$3,22))&lt;&gt;""),Soja!$E66:INDEX(Soja!$E66:$Z66,MIN(AM$6-$G$3,22))),0)))))</f>
        <v>0</v>
      </c>
      <c r="AN68" s="27" t="n">
        <f aca="false">IF(COUNT(Soja!$E66:$Z66)=0,0,MAX(0,IF((AN$6-$E$3)&lt;1,0,IFERROR(LOOKUP(2,1/(Soja!$E66:INDEX(Soja!$E66:$Z66,MIN(AN$6-$E$3,22))&lt;&gt;""),Soja!$E66:INDEX(Soja!$E66:$Z66,MIN(AN$6-$E$3,22))),0))-IF($G$2,0,IF((AN$6-$G$3)&lt;1,0,IFERROR(LOOKUP(2,1/(Soja!$E66:INDEX(Soja!$E66:$Z66,MIN(AN$6-$G$3,22))&lt;&gt;""),Soja!$E66:INDEX(Soja!$E66:$Z66,MIN(AN$6-$G$3,22))),0)))))</f>
        <v>0</v>
      </c>
      <c r="AO68" s="27" t="n">
        <f aca="false">IF(COUNT(Soja!$E66:$Z66)=0,0,MAX(0,IF((AO$6-$E$3)&lt;1,0,IFERROR(LOOKUP(2,1/(Soja!$E66:INDEX(Soja!$E66:$Z66,MIN(AO$6-$E$3,22))&lt;&gt;""),Soja!$E66:INDEX(Soja!$E66:$Z66,MIN(AO$6-$E$3,22))),0))-IF($G$2,0,IF((AO$6-$G$3)&lt;1,0,IFERROR(LOOKUP(2,1/(Soja!$E66:INDEX(Soja!$E66:$Z66,MIN(AO$6-$G$3,22))&lt;&gt;""),Soja!$E66:INDEX(Soja!$E66:$Z66,MIN(AO$6-$G$3,22))),0)))))</f>
        <v>0</v>
      </c>
      <c r="AP68" s="27" t="n">
        <f aca="false">IF(COUNT(Soja!$E66:$Z66)=0,0,MAX(0,IF((AP$6-$E$3)&lt;1,0,IFERROR(LOOKUP(2,1/(Soja!$E66:INDEX(Soja!$E66:$Z66,MIN(AP$6-$E$3,22))&lt;&gt;""),Soja!$E66:INDEX(Soja!$E66:$Z66,MIN(AP$6-$E$3,22))),0))-IF($G$2,0,IF((AP$6-$G$3)&lt;1,0,IFERROR(LOOKUP(2,1/(Soja!$E66:INDEX(Soja!$E66:$Z66,MIN(AP$6-$G$3,22))&lt;&gt;""),Soja!$E66:INDEX(Soja!$E66:$Z66,MIN(AP$6-$G$3,22))),0)))))</f>
        <v>0</v>
      </c>
      <c r="AQ68" s="27" t="n">
        <f aca="false">IF(COUNT(Soja!$E66:$Z66)=0,0,MAX(0,IF((AQ$6-$E$3)&lt;1,0,IFERROR(LOOKUP(2,1/(Soja!$E66:INDEX(Soja!$E66:$Z66,MIN(AQ$6-$E$3,22))&lt;&gt;""),Soja!$E66:INDEX(Soja!$E66:$Z66,MIN(AQ$6-$E$3,22))),0))-IF($G$2,0,IF((AQ$6-$G$3)&lt;1,0,IFERROR(LOOKUP(2,1/(Soja!$E66:INDEX(Soja!$E66:$Z66,MIN(AQ$6-$G$3,22))&lt;&gt;""),Soja!$E66:INDEX(Soja!$E66:$Z66,MIN(AQ$6-$G$3,22))),0)))))</f>
        <v>0</v>
      </c>
      <c r="AR68" s="27" t="n">
        <f aca="false">IF(COUNT(Soja!$E66:$Z66)=0,0,MAX(0,IF((AR$6-$E$3)&lt;1,0,IFERROR(LOOKUP(2,1/(Soja!$E66:INDEX(Soja!$E66:$Z66,MIN(AR$6-$E$3,22))&lt;&gt;""),Soja!$E66:INDEX(Soja!$E66:$Z66,MIN(AR$6-$E$3,22))),0))-IF($G$2,0,IF((AR$6-$G$3)&lt;1,0,IFERROR(LOOKUP(2,1/(Soja!$E66:INDEX(Soja!$E66:$Z66,MIN(AR$6-$G$3,22))&lt;&gt;""),Soja!$E66:INDEX(Soja!$E66:$Z66,MIN(AR$6-$G$3,22))),0)))))</f>
        <v>0</v>
      </c>
      <c r="AS68" s="27" t="n">
        <f aca="false">IF(COUNT(Soja!$E66:$Z66)=0,0,MAX(0,IF((AS$6-$E$3)&lt;1,0,IFERROR(LOOKUP(2,1/(Soja!$E66:INDEX(Soja!$E66:$Z66,MIN(AS$6-$E$3,22))&lt;&gt;""),Soja!$E66:INDEX(Soja!$E66:$Z66,MIN(AS$6-$E$3,22))),0))-IF($G$2,0,IF((AS$6-$G$3)&lt;1,0,IFERROR(LOOKUP(2,1/(Soja!$E66:INDEX(Soja!$E66:$Z66,MIN(AS$6-$G$3,22))&lt;&gt;""),Soja!$E66:INDEX(Soja!$E66:$Z66,MIN(AS$6-$G$3,22))),0)))))</f>
        <v>0</v>
      </c>
      <c r="AT68" s="27" t="n">
        <f aca="false">IF(COUNT(Soja!$E66:$Z66)=0,0,MAX(0,IF((AT$6-$E$3)&lt;1,0,IFERROR(LOOKUP(2,1/(Soja!$E66:INDEX(Soja!$E66:$Z66,MIN(AT$6-$E$3,22))&lt;&gt;""),Soja!$E66:INDEX(Soja!$E66:$Z66,MIN(AT$6-$E$3,22))),0))-IF($G$2,0,IF((AT$6-$G$3)&lt;1,0,IFERROR(LOOKUP(2,1/(Soja!$E66:INDEX(Soja!$E66:$Z66,MIN(AT$6-$G$3,22))&lt;&gt;""),Soja!$E66:INDEX(Soja!$E66:$Z66,MIN(AT$6-$G$3,22))),0)))))</f>
        <v>0</v>
      </c>
      <c r="AU68" s="27" t="n">
        <f aca="false">IF(COUNT(Soja!$E66:$Z66)=0,0,MAX(0,IF((AU$6-$E$3)&lt;1,0,IFERROR(LOOKUP(2,1/(Soja!$E66:INDEX(Soja!$E66:$Z66,MIN(AU$6-$E$3,22))&lt;&gt;""),Soja!$E66:INDEX(Soja!$E66:$Z66,MIN(AU$6-$E$3,22))),0))-IF($G$2,0,IF((AU$6-$G$3)&lt;1,0,IFERROR(LOOKUP(2,1/(Soja!$E66:INDEX(Soja!$E66:$Z66,MIN(AU$6-$G$3,22))&lt;&gt;""),Soja!$E66:INDEX(Soja!$E66:$Z66,MIN(AU$6-$G$3,22))),0)))))</f>
        <v>0</v>
      </c>
      <c r="AV68" s="27" t="n">
        <f aca="false">IF(COUNT(Soja!$E66:$Z66)=0,0,MAX(0,IF((AV$6-$E$3)&lt;1,0,IFERROR(LOOKUP(2,1/(Soja!$E66:INDEX(Soja!$E66:$Z66,MIN(AV$6-$E$3,22))&lt;&gt;""),Soja!$E66:INDEX(Soja!$E66:$Z66,MIN(AV$6-$E$3,22))),0))-IF($G$2,0,IF((AV$6-$G$3)&lt;1,0,IFERROR(LOOKUP(2,1/(Soja!$E66:INDEX(Soja!$E66:$Z66,MIN(AV$6-$G$3,22))&lt;&gt;""),Soja!$E66:INDEX(Soja!$E66:$Z66,MIN(AV$6-$G$3,22))),0)))))</f>
        <v>0</v>
      </c>
      <c r="AW68" s="27" t="n">
        <f aca="false">IF(COUNT(Soja!$E66:$Z66)=0,0,MAX(0,IF((AW$6-$E$3)&lt;1,0,IFERROR(LOOKUP(2,1/(Soja!$E66:INDEX(Soja!$E66:$Z66,MIN(AW$6-$E$3,22))&lt;&gt;""),Soja!$E66:INDEX(Soja!$E66:$Z66,MIN(AW$6-$E$3,22))),0))-IF($G$2,0,IF((AW$6-$G$3)&lt;1,0,IFERROR(LOOKUP(2,1/(Soja!$E66:INDEX(Soja!$E66:$Z66,MIN(AW$6-$G$3,22))&lt;&gt;""),Soja!$E66:INDEX(Soja!$E66:$Z66,MIN(AW$6-$G$3,22))),0)))))</f>
        <v>0</v>
      </c>
      <c r="AX68" s="27" t="n">
        <f aca="false">IF(COUNT(Soja!$E66:$Z66)=0,0,MAX(0,IF((AX$6-$E$3)&lt;1,0,IFERROR(LOOKUP(2,1/(Soja!$E66:INDEX(Soja!$E66:$Z66,MIN(AX$6-$E$3,22))&lt;&gt;""),Soja!$E66:INDEX(Soja!$E66:$Z66,MIN(AX$6-$E$3,22))),0))-IF($G$2,0,IF((AX$6-$G$3)&lt;1,0,IFERROR(LOOKUP(2,1/(Soja!$E66:INDEX(Soja!$E66:$Z66,MIN(AX$6-$G$3,22))&lt;&gt;""),Soja!$E66:INDEX(Soja!$E66:$Z66,MIN(AX$6-$G$3,22))),0)))))</f>
        <v>0</v>
      </c>
      <c r="AY68" s="27" t="n">
        <f aca="false">IF(COUNT(Soja!$E66:$Z66)=0,0,MAX(0,IF((AY$6-$E$3)&lt;1,0,IFERROR(LOOKUP(2,1/(Soja!$E66:INDEX(Soja!$E66:$Z66,MIN(AY$6-$E$3,22))&lt;&gt;""),Soja!$E66:INDEX(Soja!$E66:$Z66,MIN(AY$6-$E$3,22))),0))-IF($G$2,0,IF((AY$6-$G$3)&lt;1,0,IFERROR(LOOKUP(2,1/(Soja!$E66:INDEX(Soja!$E66:$Z66,MIN(AY$6-$G$3,22))&lt;&gt;""),Soja!$E66:INDEX(Soja!$E66:$Z66,MIN(AY$6-$G$3,22))),0)))))</f>
        <v>0</v>
      </c>
      <c r="AZ68" s="27" t="n">
        <f aca="false">IF(COUNT(Soja!$E66:$Z66)=0,0,MAX(0,IF((AZ$6-$E$3)&lt;1,0,IFERROR(LOOKUP(2,1/(Soja!$E66:INDEX(Soja!$E66:$Z66,MIN(AZ$6-$E$3,22))&lt;&gt;""),Soja!$E66:INDEX(Soja!$E66:$Z66,MIN(AZ$6-$E$3,22))),0))-IF($G$2,0,IF((AZ$6-$G$3)&lt;1,0,IFERROR(LOOKUP(2,1/(Soja!$E66:INDEX(Soja!$E66:$Z66,MIN(AZ$6-$G$3,22))&lt;&gt;""),Soja!$E66:INDEX(Soja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IF(COUNT(Soja!$E67:$Z67)&gt;0,N(Soja!$D67),0)</f>
        <v>0</v>
      </c>
      <c r="E69" s="27" t="n">
        <f aca="false">IF(COUNT(Soja!$E67:$Z67)=0,0,MAX(0,IF((E$6-$E$3)&lt;1,0,IFERROR(LOOKUP(2,1/(Soja!$E67:INDEX(Soja!$E67:$Z67,MIN(E$6-$E$3,22))&lt;&gt;""),Soja!$E67:INDEX(Soja!$E67:$Z67,MIN(E$6-$E$3,22))),0))-IF($G$2,0,IF((E$6-$G$3)&lt;1,0,IFERROR(LOOKUP(2,1/(Soja!$E67:INDEX(Soja!$E67:$Z67,MIN(E$6-$G$3,22))&lt;&gt;""),Soja!$E67:INDEX(Soja!$E67:$Z67,MIN(E$6-$G$3,22))),0)))))</f>
        <v>0</v>
      </c>
      <c r="F69" s="27" t="n">
        <f aca="false">IF(COUNT(Soja!$E67:$Z67)=0,0,MAX(0,IF((F$6-$E$3)&lt;1,0,IFERROR(LOOKUP(2,1/(Soja!$E67:INDEX(Soja!$E67:$Z67,MIN(F$6-$E$3,22))&lt;&gt;""),Soja!$E67:INDEX(Soja!$E67:$Z67,MIN(F$6-$E$3,22))),0))-IF($G$2,0,IF((F$6-$G$3)&lt;1,0,IFERROR(LOOKUP(2,1/(Soja!$E67:INDEX(Soja!$E67:$Z67,MIN(F$6-$G$3,22))&lt;&gt;""),Soja!$E67:INDEX(Soja!$E67:$Z67,MIN(F$6-$G$3,22))),0)))))</f>
        <v>0</v>
      </c>
      <c r="G69" s="27" t="n">
        <f aca="false">IF(COUNT(Soja!$E67:$Z67)=0,0,MAX(0,IF((G$6-$E$3)&lt;1,0,IFERROR(LOOKUP(2,1/(Soja!$E67:INDEX(Soja!$E67:$Z67,MIN(G$6-$E$3,22))&lt;&gt;""),Soja!$E67:INDEX(Soja!$E67:$Z67,MIN(G$6-$E$3,22))),0))-IF($G$2,0,IF((G$6-$G$3)&lt;1,0,IFERROR(LOOKUP(2,1/(Soja!$E67:INDEX(Soja!$E67:$Z67,MIN(G$6-$G$3,22))&lt;&gt;""),Soja!$E67:INDEX(Soja!$E67:$Z67,MIN(G$6-$G$3,22))),0)))))</f>
        <v>0</v>
      </c>
      <c r="H69" s="27" t="n">
        <f aca="false">IF(COUNT(Soja!$E67:$Z67)=0,0,MAX(0,IF((H$6-$E$3)&lt;1,0,IFERROR(LOOKUP(2,1/(Soja!$E67:INDEX(Soja!$E67:$Z67,MIN(H$6-$E$3,22))&lt;&gt;""),Soja!$E67:INDEX(Soja!$E67:$Z67,MIN(H$6-$E$3,22))),0))-IF($G$2,0,IF((H$6-$G$3)&lt;1,0,IFERROR(LOOKUP(2,1/(Soja!$E67:INDEX(Soja!$E67:$Z67,MIN(H$6-$G$3,22))&lt;&gt;""),Soja!$E67:INDEX(Soja!$E67:$Z67,MIN(H$6-$G$3,22))),0)))))</f>
        <v>0</v>
      </c>
      <c r="I69" s="27" t="n">
        <f aca="false">IF(COUNT(Soja!$E67:$Z67)=0,0,MAX(0,IF((I$6-$E$3)&lt;1,0,IFERROR(LOOKUP(2,1/(Soja!$E67:INDEX(Soja!$E67:$Z67,MIN(I$6-$E$3,22))&lt;&gt;""),Soja!$E67:INDEX(Soja!$E67:$Z67,MIN(I$6-$E$3,22))),0))-IF($G$2,0,IF((I$6-$G$3)&lt;1,0,IFERROR(LOOKUP(2,1/(Soja!$E67:INDEX(Soja!$E67:$Z67,MIN(I$6-$G$3,22))&lt;&gt;""),Soja!$E67:INDEX(Soja!$E67:$Z67,MIN(I$6-$G$3,22))),0)))))</f>
        <v>0</v>
      </c>
      <c r="J69" s="27" t="n">
        <f aca="false">IF(COUNT(Soja!$E67:$Z67)=0,0,MAX(0,IF((J$6-$E$3)&lt;1,0,IFERROR(LOOKUP(2,1/(Soja!$E67:INDEX(Soja!$E67:$Z67,MIN(J$6-$E$3,22))&lt;&gt;""),Soja!$E67:INDEX(Soja!$E67:$Z67,MIN(J$6-$E$3,22))),0))-IF($G$2,0,IF((J$6-$G$3)&lt;1,0,IFERROR(LOOKUP(2,1/(Soja!$E67:INDEX(Soja!$E67:$Z67,MIN(J$6-$G$3,22))&lt;&gt;""),Soja!$E67:INDEX(Soja!$E67:$Z67,MIN(J$6-$G$3,22))),0)))))</f>
        <v>0</v>
      </c>
      <c r="K69" s="27" t="n">
        <f aca="false">IF(COUNT(Soja!$E67:$Z67)=0,0,MAX(0,IF((K$6-$E$3)&lt;1,0,IFERROR(LOOKUP(2,1/(Soja!$E67:INDEX(Soja!$E67:$Z67,MIN(K$6-$E$3,22))&lt;&gt;""),Soja!$E67:INDEX(Soja!$E67:$Z67,MIN(K$6-$E$3,22))),0))-IF($G$2,0,IF((K$6-$G$3)&lt;1,0,IFERROR(LOOKUP(2,1/(Soja!$E67:INDEX(Soja!$E67:$Z67,MIN(K$6-$G$3,22))&lt;&gt;""),Soja!$E67:INDEX(Soja!$E67:$Z67,MIN(K$6-$G$3,22))),0)))))</f>
        <v>0</v>
      </c>
      <c r="L69" s="27" t="n">
        <f aca="false">IF(COUNT(Soja!$E67:$Z67)=0,0,MAX(0,IF((L$6-$E$3)&lt;1,0,IFERROR(LOOKUP(2,1/(Soja!$E67:INDEX(Soja!$E67:$Z67,MIN(L$6-$E$3,22))&lt;&gt;""),Soja!$E67:INDEX(Soja!$E67:$Z67,MIN(L$6-$E$3,22))),0))-IF($G$2,0,IF((L$6-$G$3)&lt;1,0,IFERROR(LOOKUP(2,1/(Soja!$E67:INDEX(Soja!$E67:$Z67,MIN(L$6-$G$3,22))&lt;&gt;""),Soja!$E67:INDEX(Soja!$E67:$Z67,MIN(L$6-$G$3,22))),0)))))</f>
        <v>0</v>
      </c>
      <c r="M69" s="27" t="n">
        <f aca="false">IF(COUNT(Soja!$E67:$Z67)=0,0,MAX(0,IF((M$6-$E$3)&lt;1,0,IFERROR(LOOKUP(2,1/(Soja!$E67:INDEX(Soja!$E67:$Z67,MIN(M$6-$E$3,22))&lt;&gt;""),Soja!$E67:INDEX(Soja!$E67:$Z67,MIN(M$6-$E$3,22))),0))-IF($G$2,0,IF((M$6-$G$3)&lt;1,0,IFERROR(LOOKUP(2,1/(Soja!$E67:INDEX(Soja!$E67:$Z67,MIN(M$6-$G$3,22))&lt;&gt;""),Soja!$E67:INDEX(Soja!$E67:$Z67,MIN(M$6-$G$3,22))),0)))))</f>
        <v>0</v>
      </c>
      <c r="N69" s="27" t="n">
        <f aca="false">IF(COUNT(Soja!$E67:$Z67)=0,0,MAX(0,IF((N$6-$E$3)&lt;1,0,IFERROR(LOOKUP(2,1/(Soja!$E67:INDEX(Soja!$E67:$Z67,MIN(N$6-$E$3,22))&lt;&gt;""),Soja!$E67:INDEX(Soja!$E67:$Z67,MIN(N$6-$E$3,22))),0))-IF($G$2,0,IF((N$6-$G$3)&lt;1,0,IFERROR(LOOKUP(2,1/(Soja!$E67:INDEX(Soja!$E67:$Z67,MIN(N$6-$G$3,22))&lt;&gt;""),Soja!$E67:INDEX(Soja!$E67:$Z67,MIN(N$6-$G$3,22))),0)))))</f>
        <v>0</v>
      </c>
      <c r="O69" s="27" t="n">
        <f aca="false">IF(COUNT(Soja!$E67:$Z67)=0,0,MAX(0,IF((O$6-$E$3)&lt;1,0,IFERROR(LOOKUP(2,1/(Soja!$E67:INDEX(Soja!$E67:$Z67,MIN(O$6-$E$3,22))&lt;&gt;""),Soja!$E67:INDEX(Soja!$E67:$Z67,MIN(O$6-$E$3,22))),0))-IF($G$2,0,IF((O$6-$G$3)&lt;1,0,IFERROR(LOOKUP(2,1/(Soja!$E67:INDEX(Soja!$E67:$Z67,MIN(O$6-$G$3,22))&lt;&gt;""),Soja!$E67:INDEX(Soja!$E67:$Z67,MIN(O$6-$G$3,22))),0)))))</f>
        <v>0</v>
      </c>
      <c r="P69" s="27" t="n">
        <f aca="false">IF(COUNT(Soja!$E67:$Z67)=0,0,MAX(0,IF((P$6-$E$3)&lt;1,0,IFERROR(LOOKUP(2,1/(Soja!$E67:INDEX(Soja!$E67:$Z67,MIN(P$6-$E$3,22))&lt;&gt;""),Soja!$E67:INDEX(Soja!$E67:$Z67,MIN(P$6-$E$3,22))),0))-IF($G$2,0,IF((P$6-$G$3)&lt;1,0,IFERROR(LOOKUP(2,1/(Soja!$E67:INDEX(Soja!$E67:$Z67,MIN(P$6-$G$3,22))&lt;&gt;""),Soja!$E67:INDEX(Soja!$E67:$Z67,MIN(P$6-$G$3,22))),0)))))</f>
        <v>0</v>
      </c>
      <c r="Q69" s="27" t="n">
        <f aca="false">IF(COUNT(Soja!$E67:$Z67)=0,0,MAX(0,IF((Q$6-$E$3)&lt;1,0,IFERROR(LOOKUP(2,1/(Soja!$E67:INDEX(Soja!$E67:$Z67,MIN(Q$6-$E$3,22))&lt;&gt;""),Soja!$E67:INDEX(Soja!$E67:$Z67,MIN(Q$6-$E$3,22))),0))-IF($G$2,0,IF((Q$6-$G$3)&lt;1,0,IFERROR(LOOKUP(2,1/(Soja!$E67:INDEX(Soja!$E67:$Z67,MIN(Q$6-$G$3,22))&lt;&gt;""),Soja!$E67:INDEX(Soja!$E67:$Z67,MIN(Q$6-$G$3,22))),0)))))</f>
        <v>0</v>
      </c>
      <c r="R69" s="27" t="n">
        <f aca="false">IF(COUNT(Soja!$E67:$Z67)=0,0,MAX(0,IF((R$6-$E$3)&lt;1,0,IFERROR(LOOKUP(2,1/(Soja!$E67:INDEX(Soja!$E67:$Z67,MIN(R$6-$E$3,22))&lt;&gt;""),Soja!$E67:INDEX(Soja!$E67:$Z67,MIN(R$6-$E$3,22))),0))-IF($G$2,0,IF((R$6-$G$3)&lt;1,0,IFERROR(LOOKUP(2,1/(Soja!$E67:INDEX(Soja!$E67:$Z67,MIN(R$6-$G$3,22))&lt;&gt;""),Soja!$E67:INDEX(Soja!$E67:$Z67,MIN(R$6-$G$3,22))),0)))))</f>
        <v>0</v>
      </c>
      <c r="S69" s="27" t="n">
        <f aca="false">IF(COUNT(Soja!$E67:$Z67)=0,0,MAX(0,IF((S$6-$E$3)&lt;1,0,IFERROR(LOOKUP(2,1/(Soja!$E67:INDEX(Soja!$E67:$Z67,MIN(S$6-$E$3,22))&lt;&gt;""),Soja!$E67:INDEX(Soja!$E67:$Z67,MIN(S$6-$E$3,22))),0))-IF($G$2,0,IF((S$6-$G$3)&lt;1,0,IFERROR(LOOKUP(2,1/(Soja!$E67:INDEX(Soja!$E67:$Z67,MIN(S$6-$G$3,22))&lt;&gt;""),Soja!$E67:INDEX(Soja!$E67:$Z67,MIN(S$6-$G$3,22))),0)))))</f>
        <v>0</v>
      </c>
      <c r="T69" s="27" t="n">
        <f aca="false">IF(COUNT(Soja!$E67:$Z67)=0,0,MAX(0,IF((T$6-$E$3)&lt;1,0,IFERROR(LOOKUP(2,1/(Soja!$E67:INDEX(Soja!$E67:$Z67,MIN(T$6-$E$3,22))&lt;&gt;""),Soja!$E67:INDEX(Soja!$E67:$Z67,MIN(T$6-$E$3,22))),0))-IF($G$2,0,IF((T$6-$G$3)&lt;1,0,IFERROR(LOOKUP(2,1/(Soja!$E67:INDEX(Soja!$E67:$Z67,MIN(T$6-$G$3,22))&lt;&gt;""),Soja!$E67:INDEX(Soja!$E67:$Z67,MIN(T$6-$G$3,22))),0)))))</f>
        <v>0</v>
      </c>
      <c r="U69" s="27" t="n">
        <f aca="false">IF(COUNT(Soja!$E67:$Z67)=0,0,MAX(0,IF((U$6-$E$3)&lt;1,0,IFERROR(LOOKUP(2,1/(Soja!$E67:INDEX(Soja!$E67:$Z67,MIN(U$6-$E$3,22))&lt;&gt;""),Soja!$E67:INDEX(Soja!$E67:$Z67,MIN(U$6-$E$3,22))),0))-IF($G$2,0,IF((U$6-$G$3)&lt;1,0,IFERROR(LOOKUP(2,1/(Soja!$E67:INDEX(Soja!$E67:$Z67,MIN(U$6-$G$3,22))&lt;&gt;""),Soja!$E67:INDEX(Soja!$E67:$Z67,MIN(U$6-$G$3,22))),0)))))</f>
        <v>0</v>
      </c>
      <c r="V69" s="27" t="n">
        <f aca="false">IF(COUNT(Soja!$E67:$Z67)=0,0,MAX(0,IF((V$6-$E$3)&lt;1,0,IFERROR(LOOKUP(2,1/(Soja!$E67:INDEX(Soja!$E67:$Z67,MIN(V$6-$E$3,22))&lt;&gt;""),Soja!$E67:INDEX(Soja!$E67:$Z67,MIN(V$6-$E$3,22))),0))-IF($G$2,0,IF((V$6-$G$3)&lt;1,0,IFERROR(LOOKUP(2,1/(Soja!$E67:INDEX(Soja!$E67:$Z67,MIN(V$6-$G$3,22))&lt;&gt;""),Soja!$E67:INDEX(Soja!$E67:$Z67,MIN(V$6-$G$3,22))),0)))))</f>
        <v>0</v>
      </c>
      <c r="W69" s="27" t="n">
        <f aca="false">IF(COUNT(Soja!$E67:$Z67)=0,0,MAX(0,IF((W$6-$E$3)&lt;1,0,IFERROR(LOOKUP(2,1/(Soja!$E67:INDEX(Soja!$E67:$Z67,MIN(W$6-$E$3,22))&lt;&gt;""),Soja!$E67:INDEX(Soja!$E67:$Z67,MIN(W$6-$E$3,22))),0))-IF($G$2,0,IF((W$6-$G$3)&lt;1,0,IFERROR(LOOKUP(2,1/(Soja!$E67:INDEX(Soja!$E67:$Z67,MIN(W$6-$G$3,22))&lt;&gt;""),Soja!$E67:INDEX(Soja!$E67:$Z67,MIN(W$6-$G$3,22))),0)))))</f>
        <v>0</v>
      </c>
      <c r="X69" s="27" t="n">
        <f aca="false">IF(COUNT(Soja!$E67:$Z67)=0,0,MAX(0,IF((X$6-$E$3)&lt;1,0,IFERROR(LOOKUP(2,1/(Soja!$E67:INDEX(Soja!$E67:$Z67,MIN(X$6-$E$3,22))&lt;&gt;""),Soja!$E67:INDEX(Soja!$E67:$Z67,MIN(X$6-$E$3,22))),0))-IF($G$2,0,IF((X$6-$G$3)&lt;1,0,IFERROR(LOOKUP(2,1/(Soja!$E67:INDEX(Soja!$E67:$Z67,MIN(X$6-$G$3,22))&lt;&gt;""),Soja!$E67:INDEX(Soja!$E67:$Z67,MIN(X$6-$G$3,22))),0)))))</f>
        <v>0</v>
      </c>
      <c r="Y69" s="27" t="n">
        <f aca="false">IF(COUNT(Soja!$E67:$Z67)=0,0,MAX(0,IF((Y$6-$E$3)&lt;1,0,IFERROR(LOOKUP(2,1/(Soja!$E67:INDEX(Soja!$E67:$Z67,MIN(Y$6-$E$3,22))&lt;&gt;""),Soja!$E67:INDEX(Soja!$E67:$Z67,MIN(Y$6-$E$3,22))),0))-IF($G$2,0,IF((Y$6-$G$3)&lt;1,0,IFERROR(LOOKUP(2,1/(Soja!$E67:INDEX(Soja!$E67:$Z67,MIN(Y$6-$G$3,22))&lt;&gt;""),Soja!$E67:INDEX(Soja!$E67:$Z67,MIN(Y$6-$G$3,22))),0)))))</f>
        <v>0</v>
      </c>
      <c r="Z69" s="27" t="n">
        <f aca="false">IF(COUNT(Soja!$E67:$Z67)=0,0,MAX(0,IF((Z$6-$E$3)&lt;1,0,IFERROR(LOOKUP(2,1/(Soja!$E67:INDEX(Soja!$E67:$Z67,MIN(Z$6-$E$3,22))&lt;&gt;""),Soja!$E67:INDEX(Soja!$E67:$Z67,MIN(Z$6-$E$3,22))),0))-IF($G$2,0,IF((Z$6-$G$3)&lt;1,0,IFERROR(LOOKUP(2,1/(Soja!$E67:INDEX(Soja!$E67:$Z67,MIN(Z$6-$G$3,22))&lt;&gt;""),Soja!$E67:INDEX(Soja!$E67:$Z67,MIN(Z$6-$G$3,22))),0)))))</f>
        <v>0</v>
      </c>
      <c r="AA69" s="27" t="n">
        <f aca="false">IF(COUNT(Soja!$E67:$Z67)=0,0,MAX(0,IF((AA$6-$E$3)&lt;1,0,IFERROR(LOOKUP(2,1/(Soja!$E67:INDEX(Soja!$E67:$Z67,MIN(AA$6-$E$3,22))&lt;&gt;""),Soja!$E67:INDEX(Soja!$E67:$Z67,MIN(AA$6-$E$3,22))),0))-IF($G$2,0,IF((AA$6-$G$3)&lt;1,0,IFERROR(LOOKUP(2,1/(Soja!$E67:INDEX(Soja!$E67:$Z67,MIN(AA$6-$G$3,22))&lt;&gt;""),Soja!$E67:INDEX(Soja!$E67:$Z67,MIN(AA$6-$G$3,22))),0)))))</f>
        <v>0</v>
      </c>
      <c r="AB69" s="27" t="n">
        <f aca="false">IF(COUNT(Soja!$E67:$Z67)=0,0,MAX(0,IF((AB$6-$E$3)&lt;1,0,IFERROR(LOOKUP(2,1/(Soja!$E67:INDEX(Soja!$E67:$Z67,MIN(AB$6-$E$3,22))&lt;&gt;""),Soja!$E67:INDEX(Soja!$E67:$Z67,MIN(AB$6-$E$3,22))),0))-IF($G$2,0,IF((AB$6-$G$3)&lt;1,0,IFERROR(LOOKUP(2,1/(Soja!$E67:INDEX(Soja!$E67:$Z67,MIN(AB$6-$G$3,22))&lt;&gt;""),Soja!$E67:INDEX(Soja!$E67:$Z67,MIN(AB$6-$G$3,22))),0)))))</f>
        <v>0</v>
      </c>
      <c r="AC69" s="27" t="n">
        <f aca="false">IF(COUNT(Soja!$E67:$Z67)=0,0,MAX(0,IF((AC$6-$E$3)&lt;1,0,IFERROR(LOOKUP(2,1/(Soja!$E67:INDEX(Soja!$E67:$Z67,MIN(AC$6-$E$3,22))&lt;&gt;""),Soja!$E67:INDEX(Soja!$E67:$Z67,MIN(AC$6-$E$3,22))),0))-IF($G$2,0,IF((AC$6-$G$3)&lt;1,0,IFERROR(LOOKUP(2,1/(Soja!$E67:INDEX(Soja!$E67:$Z67,MIN(AC$6-$G$3,22))&lt;&gt;""),Soja!$E67:INDEX(Soja!$E67:$Z67,MIN(AC$6-$G$3,22))),0)))))</f>
        <v>0</v>
      </c>
      <c r="AD69" s="27" t="n">
        <f aca="false">IF(COUNT(Soja!$E67:$Z67)=0,0,MAX(0,IF((AD$6-$E$3)&lt;1,0,IFERROR(LOOKUP(2,1/(Soja!$E67:INDEX(Soja!$E67:$Z67,MIN(AD$6-$E$3,22))&lt;&gt;""),Soja!$E67:INDEX(Soja!$E67:$Z67,MIN(AD$6-$E$3,22))),0))-IF($G$2,0,IF((AD$6-$G$3)&lt;1,0,IFERROR(LOOKUP(2,1/(Soja!$E67:INDEX(Soja!$E67:$Z67,MIN(AD$6-$G$3,22))&lt;&gt;""),Soja!$E67:INDEX(Soja!$E67:$Z67,MIN(AD$6-$G$3,22))),0)))))</f>
        <v>0</v>
      </c>
      <c r="AE69" s="27" t="n">
        <f aca="false">IF(COUNT(Soja!$E67:$Z67)=0,0,MAX(0,IF((AE$6-$E$3)&lt;1,0,IFERROR(LOOKUP(2,1/(Soja!$E67:INDEX(Soja!$E67:$Z67,MIN(AE$6-$E$3,22))&lt;&gt;""),Soja!$E67:INDEX(Soja!$E67:$Z67,MIN(AE$6-$E$3,22))),0))-IF($G$2,0,IF((AE$6-$G$3)&lt;1,0,IFERROR(LOOKUP(2,1/(Soja!$E67:INDEX(Soja!$E67:$Z67,MIN(AE$6-$G$3,22))&lt;&gt;""),Soja!$E67:INDEX(Soja!$E67:$Z67,MIN(AE$6-$G$3,22))),0)))))</f>
        <v>0</v>
      </c>
      <c r="AF69" s="27" t="n">
        <f aca="false">IF(COUNT(Soja!$E67:$Z67)=0,0,MAX(0,IF((AF$6-$E$3)&lt;1,0,IFERROR(LOOKUP(2,1/(Soja!$E67:INDEX(Soja!$E67:$Z67,MIN(AF$6-$E$3,22))&lt;&gt;""),Soja!$E67:INDEX(Soja!$E67:$Z67,MIN(AF$6-$E$3,22))),0))-IF($G$2,0,IF((AF$6-$G$3)&lt;1,0,IFERROR(LOOKUP(2,1/(Soja!$E67:INDEX(Soja!$E67:$Z67,MIN(AF$6-$G$3,22))&lt;&gt;""),Soja!$E67:INDEX(Soja!$E67:$Z67,MIN(AF$6-$G$3,22))),0)))))</f>
        <v>0</v>
      </c>
      <c r="AG69" s="27" t="n">
        <f aca="false">IF(COUNT(Soja!$E67:$Z67)=0,0,MAX(0,IF((AG$6-$E$3)&lt;1,0,IFERROR(LOOKUP(2,1/(Soja!$E67:INDEX(Soja!$E67:$Z67,MIN(AG$6-$E$3,22))&lt;&gt;""),Soja!$E67:INDEX(Soja!$E67:$Z67,MIN(AG$6-$E$3,22))),0))-IF($G$2,0,IF((AG$6-$G$3)&lt;1,0,IFERROR(LOOKUP(2,1/(Soja!$E67:INDEX(Soja!$E67:$Z67,MIN(AG$6-$G$3,22))&lt;&gt;""),Soja!$E67:INDEX(Soja!$E67:$Z67,MIN(AG$6-$G$3,22))),0)))))</f>
        <v>0</v>
      </c>
      <c r="AH69" s="27" t="n">
        <f aca="false">IF(COUNT(Soja!$E67:$Z67)=0,0,MAX(0,IF((AH$6-$E$3)&lt;1,0,IFERROR(LOOKUP(2,1/(Soja!$E67:INDEX(Soja!$E67:$Z67,MIN(AH$6-$E$3,22))&lt;&gt;""),Soja!$E67:INDEX(Soja!$E67:$Z67,MIN(AH$6-$E$3,22))),0))-IF($G$2,0,IF((AH$6-$G$3)&lt;1,0,IFERROR(LOOKUP(2,1/(Soja!$E67:INDEX(Soja!$E67:$Z67,MIN(AH$6-$G$3,22))&lt;&gt;""),Soja!$E67:INDEX(Soja!$E67:$Z67,MIN(AH$6-$G$3,22))),0)))))</f>
        <v>0</v>
      </c>
      <c r="AI69" s="27" t="n">
        <f aca="false">IF(COUNT(Soja!$E67:$Z67)=0,0,MAX(0,IF((AI$6-$E$3)&lt;1,0,IFERROR(LOOKUP(2,1/(Soja!$E67:INDEX(Soja!$E67:$Z67,MIN(AI$6-$E$3,22))&lt;&gt;""),Soja!$E67:INDEX(Soja!$E67:$Z67,MIN(AI$6-$E$3,22))),0))-IF($G$2,0,IF((AI$6-$G$3)&lt;1,0,IFERROR(LOOKUP(2,1/(Soja!$E67:INDEX(Soja!$E67:$Z67,MIN(AI$6-$G$3,22))&lt;&gt;""),Soja!$E67:INDEX(Soja!$E67:$Z67,MIN(AI$6-$G$3,22))),0)))))</f>
        <v>0</v>
      </c>
      <c r="AJ69" s="27" t="n">
        <f aca="false">IF(COUNT(Soja!$E67:$Z67)=0,0,MAX(0,IF((AJ$6-$E$3)&lt;1,0,IFERROR(LOOKUP(2,1/(Soja!$E67:INDEX(Soja!$E67:$Z67,MIN(AJ$6-$E$3,22))&lt;&gt;""),Soja!$E67:INDEX(Soja!$E67:$Z67,MIN(AJ$6-$E$3,22))),0))-IF($G$2,0,IF((AJ$6-$G$3)&lt;1,0,IFERROR(LOOKUP(2,1/(Soja!$E67:INDEX(Soja!$E67:$Z67,MIN(AJ$6-$G$3,22))&lt;&gt;""),Soja!$E67:INDEX(Soja!$E67:$Z67,MIN(AJ$6-$G$3,22))),0)))))</f>
        <v>0</v>
      </c>
      <c r="AK69" s="27" t="n">
        <f aca="false">IF(COUNT(Soja!$E67:$Z67)=0,0,MAX(0,IF((AK$6-$E$3)&lt;1,0,IFERROR(LOOKUP(2,1/(Soja!$E67:INDEX(Soja!$E67:$Z67,MIN(AK$6-$E$3,22))&lt;&gt;""),Soja!$E67:INDEX(Soja!$E67:$Z67,MIN(AK$6-$E$3,22))),0))-IF($G$2,0,IF((AK$6-$G$3)&lt;1,0,IFERROR(LOOKUP(2,1/(Soja!$E67:INDEX(Soja!$E67:$Z67,MIN(AK$6-$G$3,22))&lt;&gt;""),Soja!$E67:INDEX(Soja!$E67:$Z67,MIN(AK$6-$G$3,22))),0)))))</f>
        <v>0</v>
      </c>
      <c r="AL69" s="27" t="n">
        <f aca="false">IF(COUNT(Soja!$E67:$Z67)=0,0,MAX(0,IF((AL$6-$E$3)&lt;1,0,IFERROR(LOOKUP(2,1/(Soja!$E67:INDEX(Soja!$E67:$Z67,MIN(AL$6-$E$3,22))&lt;&gt;""),Soja!$E67:INDEX(Soja!$E67:$Z67,MIN(AL$6-$E$3,22))),0))-IF($G$2,0,IF((AL$6-$G$3)&lt;1,0,IFERROR(LOOKUP(2,1/(Soja!$E67:INDEX(Soja!$E67:$Z67,MIN(AL$6-$G$3,22))&lt;&gt;""),Soja!$E67:INDEX(Soja!$E67:$Z67,MIN(AL$6-$G$3,22))),0)))))</f>
        <v>0</v>
      </c>
      <c r="AM69" s="27" t="n">
        <f aca="false">IF(COUNT(Soja!$E67:$Z67)=0,0,MAX(0,IF((AM$6-$E$3)&lt;1,0,IFERROR(LOOKUP(2,1/(Soja!$E67:INDEX(Soja!$E67:$Z67,MIN(AM$6-$E$3,22))&lt;&gt;""),Soja!$E67:INDEX(Soja!$E67:$Z67,MIN(AM$6-$E$3,22))),0))-IF($G$2,0,IF((AM$6-$G$3)&lt;1,0,IFERROR(LOOKUP(2,1/(Soja!$E67:INDEX(Soja!$E67:$Z67,MIN(AM$6-$G$3,22))&lt;&gt;""),Soja!$E67:INDEX(Soja!$E67:$Z67,MIN(AM$6-$G$3,22))),0)))))</f>
        <v>0</v>
      </c>
      <c r="AN69" s="27" t="n">
        <f aca="false">IF(COUNT(Soja!$E67:$Z67)=0,0,MAX(0,IF((AN$6-$E$3)&lt;1,0,IFERROR(LOOKUP(2,1/(Soja!$E67:INDEX(Soja!$E67:$Z67,MIN(AN$6-$E$3,22))&lt;&gt;""),Soja!$E67:INDEX(Soja!$E67:$Z67,MIN(AN$6-$E$3,22))),0))-IF($G$2,0,IF((AN$6-$G$3)&lt;1,0,IFERROR(LOOKUP(2,1/(Soja!$E67:INDEX(Soja!$E67:$Z67,MIN(AN$6-$G$3,22))&lt;&gt;""),Soja!$E67:INDEX(Soja!$E67:$Z67,MIN(AN$6-$G$3,22))),0)))))</f>
        <v>0</v>
      </c>
      <c r="AO69" s="27" t="n">
        <f aca="false">IF(COUNT(Soja!$E67:$Z67)=0,0,MAX(0,IF((AO$6-$E$3)&lt;1,0,IFERROR(LOOKUP(2,1/(Soja!$E67:INDEX(Soja!$E67:$Z67,MIN(AO$6-$E$3,22))&lt;&gt;""),Soja!$E67:INDEX(Soja!$E67:$Z67,MIN(AO$6-$E$3,22))),0))-IF($G$2,0,IF((AO$6-$G$3)&lt;1,0,IFERROR(LOOKUP(2,1/(Soja!$E67:INDEX(Soja!$E67:$Z67,MIN(AO$6-$G$3,22))&lt;&gt;""),Soja!$E67:INDEX(Soja!$E67:$Z67,MIN(AO$6-$G$3,22))),0)))))</f>
        <v>0</v>
      </c>
      <c r="AP69" s="27" t="n">
        <f aca="false">IF(COUNT(Soja!$E67:$Z67)=0,0,MAX(0,IF((AP$6-$E$3)&lt;1,0,IFERROR(LOOKUP(2,1/(Soja!$E67:INDEX(Soja!$E67:$Z67,MIN(AP$6-$E$3,22))&lt;&gt;""),Soja!$E67:INDEX(Soja!$E67:$Z67,MIN(AP$6-$E$3,22))),0))-IF($G$2,0,IF((AP$6-$G$3)&lt;1,0,IFERROR(LOOKUP(2,1/(Soja!$E67:INDEX(Soja!$E67:$Z67,MIN(AP$6-$G$3,22))&lt;&gt;""),Soja!$E67:INDEX(Soja!$E67:$Z67,MIN(AP$6-$G$3,22))),0)))))</f>
        <v>0</v>
      </c>
      <c r="AQ69" s="27" t="n">
        <f aca="false">IF(COUNT(Soja!$E67:$Z67)=0,0,MAX(0,IF((AQ$6-$E$3)&lt;1,0,IFERROR(LOOKUP(2,1/(Soja!$E67:INDEX(Soja!$E67:$Z67,MIN(AQ$6-$E$3,22))&lt;&gt;""),Soja!$E67:INDEX(Soja!$E67:$Z67,MIN(AQ$6-$E$3,22))),0))-IF($G$2,0,IF((AQ$6-$G$3)&lt;1,0,IFERROR(LOOKUP(2,1/(Soja!$E67:INDEX(Soja!$E67:$Z67,MIN(AQ$6-$G$3,22))&lt;&gt;""),Soja!$E67:INDEX(Soja!$E67:$Z67,MIN(AQ$6-$G$3,22))),0)))))</f>
        <v>0</v>
      </c>
      <c r="AR69" s="27" t="n">
        <f aca="false">IF(COUNT(Soja!$E67:$Z67)=0,0,MAX(0,IF((AR$6-$E$3)&lt;1,0,IFERROR(LOOKUP(2,1/(Soja!$E67:INDEX(Soja!$E67:$Z67,MIN(AR$6-$E$3,22))&lt;&gt;""),Soja!$E67:INDEX(Soja!$E67:$Z67,MIN(AR$6-$E$3,22))),0))-IF($G$2,0,IF((AR$6-$G$3)&lt;1,0,IFERROR(LOOKUP(2,1/(Soja!$E67:INDEX(Soja!$E67:$Z67,MIN(AR$6-$G$3,22))&lt;&gt;""),Soja!$E67:INDEX(Soja!$E67:$Z67,MIN(AR$6-$G$3,22))),0)))))</f>
        <v>0</v>
      </c>
      <c r="AS69" s="27" t="n">
        <f aca="false">IF(COUNT(Soja!$E67:$Z67)=0,0,MAX(0,IF((AS$6-$E$3)&lt;1,0,IFERROR(LOOKUP(2,1/(Soja!$E67:INDEX(Soja!$E67:$Z67,MIN(AS$6-$E$3,22))&lt;&gt;""),Soja!$E67:INDEX(Soja!$E67:$Z67,MIN(AS$6-$E$3,22))),0))-IF($G$2,0,IF((AS$6-$G$3)&lt;1,0,IFERROR(LOOKUP(2,1/(Soja!$E67:INDEX(Soja!$E67:$Z67,MIN(AS$6-$G$3,22))&lt;&gt;""),Soja!$E67:INDEX(Soja!$E67:$Z67,MIN(AS$6-$G$3,22))),0)))))</f>
        <v>0</v>
      </c>
      <c r="AT69" s="27" t="n">
        <f aca="false">IF(COUNT(Soja!$E67:$Z67)=0,0,MAX(0,IF((AT$6-$E$3)&lt;1,0,IFERROR(LOOKUP(2,1/(Soja!$E67:INDEX(Soja!$E67:$Z67,MIN(AT$6-$E$3,22))&lt;&gt;""),Soja!$E67:INDEX(Soja!$E67:$Z67,MIN(AT$6-$E$3,22))),0))-IF($G$2,0,IF((AT$6-$G$3)&lt;1,0,IFERROR(LOOKUP(2,1/(Soja!$E67:INDEX(Soja!$E67:$Z67,MIN(AT$6-$G$3,22))&lt;&gt;""),Soja!$E67:INDEX(Soja!$E67:$Z67,MIN(AT$6-$G$3,22))),0)))))</f>
        <v>0</v>
      </c>
      <c r="AU69" s="27" t="n">
        <f aca="false">IF(COUNT(Soja!$E67:$Z67)=0,0,MAX(0,IF((AU$6-$E$3)&lt;1,0,IFERROR(LOOKUP(2,1/(Soja!$E67:INDEX(Soja!$E67:$Z67,MIN(AU$6-$E$3,22))&lt;&gt;""),Soja!$E67:INDEX(Soja!$E67:$Z67,MIN(AU$6-$E$3,22))),0))-IF($G$2,0,IF((AU$6-$G$3)&lt;1,0,IFERROR(LOOKUP(2,1/(Soja!$E67:INDEX(Soja!$E67:$Z67,MIN(AU$6-$G$3,22))&lt;&gt;""),Soja!$E67:INDEX(Soja!$E67:$Z67,MIN(AU$6-$G$3,22))),0)))))</f>
        <v>0</v>
      </c>
      <c r="AV69" s="27" t="n">
        <f aca="false">IF(COUNT(Soja!$E67:$Z67)=0,0,MAX(0,IF((AV$6-$E$3)&lt;1,0,IFERROR(LOOKUP(2,1/(Soja!$E67:INDEX(Soja!$E67:$Z67,MIN(AV$6-$E$3,22))&lt;&gt;""),Soja!$E67:INDEX(Soja!$E67:$Z67,MIN(AV$6-$E$3,22))),0))-IF($G$2,0,IF((AV$6-$G$3)&lt;1,0,IFERROR(LOOKUP(2,1/(Soja!$E67:INDEX(Soja!$E67:$Z67,MIN(AV$6-$G$3,22))&lt;&gt;""),Soja!$E67:INDEX(Soja!$E67:$Z67,MIN(AV$6-$G$3,22))),0)))))</f>
        <v>0</v>
      </c>
      <c r="AW69" s="27" t="n">
        <f aca="false">IF(COUNT(Soja!$E67:$Z67)=0,0,MAX(0,IF((AW$6-$E$3)&lt;1,0,IFERROR(LOOKUP(2,1/(Soja!$E67:INDEX(Soja!$E67:$Z67,MIN(AW$6-$E$3,22))&lt;&gt;""),Soja!$E67:INDEX(Soja!$E67:$Z67,MIN(AW$6-$E$3,22))),0))-IF($G$2,0,IF((AW$6-$G$3)&lt;1,0,IFERROR(LOOKUP(2,1/(Soja!$E67:INDEX(Soja!$E67:$Z67,MIN(AW$6-$G$3,22))&lt;&gt;""),Soja!$E67:INDEX(Soja!$E67:$Z67,MIN(AW$6-$G$3,22))),0)))))</f>
        <v>0</v>
      </c>
      <c r="AX69" s="27" t="n">
        <f aca="false">IF(COUNT(Soja!$E67:$Z67)=0,0,MAX(0,IF((AX$6-$E$3)&lt;1,0,IFERROR(LOOKUP(2,1/(Soja!$E67:INDEX(Soja!$E67:$Z67,MIN(AX$6-$E$3,22))&lt;&gt;""),Soja!$E67:INDEX(Soja!$E67:$Z67,MIN(AX$6-$E$3,22))),0))-IF($G$2,0,IF((AX$6-$G$3)&lt;1,0,IFERROR(LOOKUP(2,1/(Soja!$E67:INDEX(Soja!$E67:$Z67,MIN(AX$6-$G$3,22))&lt;&gt;""),Soja!$E67:INDEX(Soja!$E67:$Z67,MIN(AX$6-$G$3,22))),0)))))</f>
        <v>0</v>
      </c>
      <c r="AY69" s="27" t="n">
        <f aca="false">IF(COUNT(Soja!$E67:$Z67)=0,0,MAX(0,IF((AY$6-$E$3)&lt;1,0,IFERROR(LOOKUP(2,1/(Soja!$E67:INDEX(Soja!$E67:$Z67,MIN(AY$6-$E$3,22))&lt;&gt;""),Soja!$E67:INDEX(Soja!$E67:$Z67,MIN(AY$6-$E$3,22))),0))-IF($G$2,0,IF((AY$6-$G$3)&lt;1,0,IFERROR(LOOKUP(2,1/(Soja!$E67:INDEX(Soja!$E67:$Z67,MIN(AY$6-$G$3,22))&lt;&gt;""),Soja!$E67:INDEX(Soja!$E67:$Z67,MIN(AY$6-$G$3,22))),0)))))</f>
        <v>0</v>
      </c>
      <c r="AZ69" s="27" t="n">
        <f aca="false">IF(COUNT(Soja!$E67:$Z67)=0,0,MAX(0,IF((AZ$6-$E$3)&lt;1,0,IFERROR(LOOKUP(2,1/(Soja!$E67:INDEX(Soja!$E67:$Z67,MIN(AZ$6-$E$3,22))&lt;&gt;""),Soja!$E67:INDEX(Soja!$E67:$Z67,MIN(AZ$6-$E$3,22))),0))-IF($G$2,0,IF((AZ$6-$G$3)&lt;1,0,IFERROR(LOOKUP(2,1/(Soja!$E67:INDEX(Soja!$E67:$Z67,MIN(AZ$6-$G$3,22))&lt;&gt;""),Soja!$E67:INDEX(Soja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IF(COUNT(Soja!$E68:$Z68)&gt;0,N(Soja!$D68),0)</f>
        <v>0</v>
      </c>
      <c r="E70" s="27" t="n">
        <f aca="false">IF(COUNT(Soja!$E68:$Z68)=0,0,MAX(0,IF((E$6-$E$3)&lt;1,0,IFERROR(LOOKUP(2,1/(Soja!$E68:INDEX(Soja!$E68:$Z68,MIN(E$6-$E$3,22))&lt;&gt;""),Soja!$E68:INDEX(Soja!$E68:$Z68,MIN(E$6-$E$3,22))),0))-IF($G$2,0,IF((E$6-$G$3)&lt;1,0,IFERROR(LOOKUP(2,1/(Soja!$E68:INDEX(Soja!$E68:$Z68,MIN(E$6-$G$3,22))&lt;&gt;""),Soja!$E68:INDEX(Soja!$E68:$Z68,MIN(E$6-$G$3,22))),0)))))</f>
        <v>0</v>
      </c>
      <c r="F70" s="27" t="n">
        <f aca="false">IF(COUNT(Soja!$E68:$Z68)=0,0,MAX(0,IF((F$6-$E$3)&lt;1,0,IFERROR(LOOKUP(2,1/(Soja!$E68:INDEX(Soja!$E68:$Z68,MIN(F$6-$E$3,22))&lt;&gt;""),Soja!$E68:INDEX(Soja!$E68:$Z68,MIN(F$6-$E$3,22))),0))-IF($G$2,0,IF((F$6-$G$3)&lt;1,0,IFERROR(LOOKUP(2,1/(Soja!$E68:INDEX(Soja!$E68:$Z68,MIN(F$6-$G$3,22))&lt;&gt;""),Soja!$E68:INDEX(Soja!$E68:$Z68,MIN(F$6-$G$3,22))),0)))))</f>
        <v>0</v>
      </c>
      <c r="G70" s="27" t="n">
        <f aca="false">IF(COUNT(Soja!$E68:$Z68)=0,0,MAX(0,IF((G$6-$E$3)&lt;1,0,IFERROR(LOOKUP(2,1/(Soja!$E68:INDEX(Soja!$E68:$Z68,MIN(G$6-$E$3,22))&lt;&gt;""),Soja!$E68:INDEX(Soja!$E68:$Z68,MIN(G$6-$E$3,22))),0))-IF($G$2,0,IF((G$6-$G$3)&lt;1,0,IFERROR(LOOKUP(2,1/(Soja!$E68:INDEX(Soja!$E68:$Z68,MIN(G$6-$G$3,22))&lt;&gt;""),Soja!$E68:INDEX(Soja!$E68:$Z68,MIN(G$6-$G$3,22))),0)))))</f>
        <v>0</v>
      </c>
      <c r="H70" s="27" t="n">
        <f aca="false">IF(COUNT(Soja!$E68:$Z68)=0,0,MAX(0,IF((H$6-$E$3)&lt;1,0,IFERROR(LOOKUP(2,1/(Soja!$E68:INDEX(Soja!$E68:$Z68,MIN(H$6-$E$3,22))&lt;&gt;""),Soja!$E68:INDEX(Soja!$E68:$Z68,MIN(H$6-$E$3,22))),0))-IF($G$2,0,IF((H$6-$G$3)&lt;1,0,IFERROR(LOOKUP(2,1/(Soja!$E68:INDEX(Soja!$E68:$Z68,MIN(H$6-$G$3,22))&lt;&gt;""),Soja!$E68:INDEX(Soja!$E68:$Z68,MIN(H$6-$G$3,22))),0)))))</f>
        <v>0</v>
      </c>
      <c r="I70" s="27" t="n">
        <f aca="false">IF(COUNT(Soja!$E68:$Z68)=0,0,MAX(0,IF((I$6-$E$3)&lt;1,0,IFERROR(LOOKUP(2,1/(Soja!$E68:INDEX(Soja!$E68:$Z68,MIN(I$6-$E$3,22))&lt;&gt;""),Soja!$E68:INDEX(Soja!$E68:$Z68,MIN(I$6-$E$3,22))),0))-IF($G$2,0,IF((I$6-$G$3)&lt;1,0,IFERROR(LOOKUP(2,1/(Soja!$E68:INDEX(Soja!$E68:$Z68,MIN(I$6-$G$3,22))&lt;&gt;""),Soja!$E68:INDEX(Soja!$E68:$Z68,MIN(I$6-$G$3,22))),0)))))</f>
        <v>0</v>
      </c>
      <c r="J70" s="27" t="n">
        <f aca="false">IF(COUNT(Soja!$E68:$Z68)=0,0,MAX(0,IF((J$6-$E$3)&lt;1,0,IFERROR(LOOKUP(2,1/(Soja!$E68:INDEX(Soja!$E68:$Z68,MIN(J$6-$E$3,22))&lt;&gt;""),Soja!$E68:INDEX(Soja!$E68:$Z68,MIN(J$6-$E$3,22))),0))-IF($G$2,0,IF((J$6-$G$3)&lt;1,0,IFERROR(LOOKUP(2,1/(Soja!$E68:INDEX(Soja!$E68:$Z68,MIN(J$6-$G$3,22))&lt;&gt;""),Soja!$E68:INDEX(Soja!$E68:$Z68,MIN(J$6-$G$3,22))),0)))))</f>
        <v>0</v>
      </c>
      <c r="K70" s="27" t="n">
        <f aca="false">IF(COUNT(Soja!$E68:$Z68)=0,0,MAX(0,IF((K$6-$E$3)&lt;1,0,IFERROR(LOOKUP(2,1/(Soja!$E68:INDEX(Soja!$E68:$Z68,MIN(K$6-$E$3,22))&lt;&gt;""),Soja!$E68:INDEX(Soja!$E68:$Z68,MIN(K$6-$E$3,22))),0))-IF($G$2,0,IF((K$6-$G$3)&lt;1,0,IFERROR(LOOKUP(2,1/(Soja!$E68:INDEX(Soja!$E68:$Z68,MIN(K$6-$G$3,22))&lt;&gt;""),Soja!$E68:INDEX(Soja!$E68:$Z68,MIN(K$6-$G$3,22))),0)))))</f>
        <v>0</v>
      </c>
      <c r="L70" s="27" t="n">
        <f aca="false">IF(COUNT(Soja!$E68:$Z68)=0,0,MAX(0,IF((L$6-$E$3)&lt;1,0,IFERROR(LOOKUP(2,1/(Soja!$E68:INDEX(Soja!$E68:$Z68,MIN(L$6-$E$3,22))&lt;&gt;""),Soja!$E68:INDEX(Soja!$E68:$Z68,MIN(L$6-$E$3,22))),0))-IF($G$2,0,IF((L$6-$G$3)&lt;1,0,IFERROR(LOOKUP(2,1/(Soja!$E68:INDEX(Soja!$E68:$Z68,MIN(L$6-$G$3,22))&lt;&gt;""),Soja!$E68:INDEX(Soja!$E68:$Z68,MIN(L$6-$G$3,22))),0)))))</f>
        <v>0</v>
      </c>
      <c r="M70" s="27" t="n">
        <f aca="false">IF(COUNT(Soja!$E68:$Z68)=0,0,MAX(0,IF((M$6-$E$3)&lt;1,0,IFERROR(LOOKUP(2,1/(Soja!$E68:INDEX(Soja!$E68:$Z68,MIN(M$6-$E$3,22))&lt;&gt;""),Soja!$E68:INDEX(Soja!$E68:$Z68,MIN(M$6-$E$3,22))),0))-IF($G$2,0,IF((M$6-$G$3)&lt;1,0,IFERROR(LOOKUP(2,1/(Soja!$E68:INDEX(Soja!$E68:$Z68,MIN(M$6-$G$3,22))&lt;&gt;""),Soja!$E68:INDEX(Soja!$E68:$Z68,MIN(M$6-$G$3,22))),0)))))</f>
        <v>0</v>
      </c>
      <c r="N70" s="27" t="n">
        <f aca="false">IF(COUNT(Soja!$E68:$Z68)=0,0,MAX(0,IF((N$6-$E$3)&lt;1,0,IFERROR(LOOKUP(2,1/(Soja!$E68:INDEX(Soja!$E68:$Z68,MIN(N$6-$E$3,22))&lt;&gt;""),Soja!$E68:INDEX(Soja!$E68:$Z68,MIN(N$6-$E$3,22))),0))-IF($G$2,0,IF((N$6-$G$3)&lt;1,0,IFERROR(LOOKUP(2,1/(Soja!$E68:INDEX(Soja!$E68:$Z68,MIN(N$6-$G$3,22))&lt;&gt;""),Soja!$E68:INDEX(Soja!$E68:$Z68,MIN(N$6-$G$3,22))),0)))))</f>
        <v>0</v>
      </c>
      <c r="O70" s="27" t="n">
        <f aca="false">IF(COUNT(Soja!$E68:$Z68)=0,0,MAX(0,IF((O$6-$E$3)&lt;1,0,IFERROR(LOOKUP(2,1/(Soja!$E68:INDEX(Soja!$E68:$Z68,MIN(O$6-$E$3,22))&lt;&gt;""),Soja!$E68:INDEX(Soja!$E68:$Z68,MIN(O$6-$E$3,22))),0))-IF($G$2,0,IF((O$6-$G$3)&lt;1,0,IFERROR(LOOKUP(2,1/(Soja!$E68:INDEX(Soja!$E68:$Z68,MIN(O$6-$G$3,22))&lt;&gt;""),Soja!$E68:INDEX(Soja!$E68:$Z68,MIN(O$6-$G$3,22))),0)))))</f>
        <v>0</v>
      </c>
      <c r="P70" s="27" t="n">
        <f aca="false">IF(COUNT(Soja!$E68:$Z68)=0,0,MAX(0,IF((P$6-$E$3)&lt;1,0,IFERROR(LOOKUP(2,1/(Soja!$E68:INDEX(Soja!$E68:$Z68,MIN(P$6-$E$3,22))&lt;&gt;""),Soja!$E68:INDEX(Soja!$E68:$Z68,MIN(P$6-$E$3,22))),0))-IF($G$2,0,IF((P$6-$G$3)&lt;1,0,IFERROR(LOOKUP(2,1/(Soja!$E68:INDEX(Soja!$E68:$Z68,MIN(P$6-$G$3,22))&lt;&gt;""),Soja!$E68:INDEX(Soja!$E68:$Z68,MIN(P$6-$G$3,22))),0)))))</f>
        <v>0</v>
      </c>
      <c r="Q70" s="27" t="n">
        <f aca="false">IF(COUNT(Soja!$E68:$Z68)=0,0,MAX(0,IF((Q$6-$E$3)&lt;1,0,IFERROR(LOOKUP(2,1/(Soja!$E68:INDEX(Soja!$E68:$Z68,MIN(Q$6-$E$3,22))&lt;&gt;""),Soja!$E68:INDEX(Soja!$E68:$Z68,MIN(Q$6-$E$3,22))),0))-IF($G$2,0,IF((Q$6-$G$3)&lt;1,0,IFERROR(LOOKUP(2,1/(Soja!$E68:INDEX(Soja!$E68:$Z68,MIN(Q$6-$G$3,22))&lt;&gt;""),Soja!$E68:INDEX(Soja!$E68:$Z68,MIN(Q$6-$G$3,22))),0)))))</f>
        <v>0</v>
      </c>
      <c r="R70" s="27" t="n">
        <f aca="false">IF(COUNT(Soja!$E68:$Z68)=0,0,MAX(0,IF((R$6-$E$3)&lt;1,0,IFERROR(LOOKUP(2,1/(Soja!$E68:INDEX(Soja!$E68:$Z68,MIN(R$6-$E$3,22))&lt;&gt;""),Soja!$E68:INDEX(Soja!$E68:$Z68,MIN(R$6-$E$3,22))),0))-IF($G$2,0,IF((R$6-$G$3)&lt;1,0,IFERROR(LOOKUP(2,1/(Soja!$E68:INDEX(Soja!$E68:$Z68,MIN(R$6-$G$3,22))&lt;&gt;""),Soja!$E68:INDEX(Soja!$E68:$Z68,MIN(R$6-$G$3,22))),0)))))</f>
        <v>0</v>
      </c>
      <c r="S70" s="27" t="n">
        <f aca="false">IF(COUNT(Soja!$E68:$Z68)=0,0,MAX(0,IF((S$6-$E$3)&lt;1,0,IFERROR(LOOKUP(2,1/(Soja!$E68:INDEX(Soja!$E68:$Z68,MIN(S$6-$E$3,22))&lt;&gt;""),Soja!$E68:INDEX(Soja!$E68:$Z68,MIN(S$6-$E$3,22))),0))-IF($G$2,0,IF((S$6-$G$3)&lt;1,0,IFERROR(LOOKUP(2,1/(Soja!$E68:INDEX(Soja!$E68:$Z68,MIN(S$6-$G$3,22))&lt;&gt;""),Soja!$E68:INDEX(Soja!$E68:$Z68,MIN(S$6-$G$3,22))),0)))))</f>
        <v>0</v>
      </c>
      <c r="T70" s="27" t="n">
        <f aca="false">IF(COUNT(Soja!$E68:$Z68)=0,0,MAX(0,IF((T$6-$E$3)&lt;1,0,IFERROR(LOOKUP(2,1/(Soja!$E68:INDEX(Soja!$E68:$Z68,MIN(T$6-$E$3,22))&lt;&gt;""),Soja!$E68:INDEX(Soja!$E68:$Z68,MIN(T$6-$E$3,22))),0))-IF($G$2,0,IF((T$6-$G$3)&lt;1,0,IFERROR(LOOKUP(2,1/(Soja!$E68:INDEX(Soja!$E68:$Z68,MIN(T$6-$G$3,22))&lt;&gt;""),Soja!$E68:INDEX(Soja!$E68:$Z68,MIN(T$6-$G$3,22))),0)))))</f>
        <v>0</v>
      </c>
      <c r="U70" s="27" t="n">
        <f aca="false">IF(COUNT(Soja!$E68:$Z68)=0,0,MAX(0,IF((U$6-$E$3)&lt;1,0,IFERROR(LOOKUP(2,1/(Soja!$E68:INDEX(Soja!$E68:$Z68,MIN(U$6-$E$3,22))&lt;&gt;""),Soja!$E68:INDEX(Soja!$E68:$Z68,MIN(U$6-$E$3,22))),0))-IF($G$2,0,IF((U$6-$G$3)&lt;1,0,IFERROR(LOOKUP(2,1/(Soja!$E68:INDEX(Soja!$E68:$Z68,MIN(U$6-$G$3,22))&lt;&gt;""),Soja!$E68:INDEX(Soja!$E68:$Z68,MIN(U$6-$G$3,22))),0)))))</f>
        <v>0</v>
      </c>
      <c r="V70" s="27" t="n">
        <f aca="false">IF(COUNT(Soja!$E68:$Z68)=0,0,MAX(0,IF((V$6-$E$3)&lt;1,0,IFERROR(LOOKUP(2,1/(Soja!$E68:INDEX(Soja!$E68:$Z68,MIN(V$6-$E$3,22))&lt;&gt;""),Soja!$E68:INDEX(Soja!$E68:$Z68,MIN(V$6-$E$3,22))),0))-IF($G$2,0,IF((V$6-$G$3)&lt;1,0,IFERROR(LOOKUP(2,1/(Soja!$E68:INDEX(Soja!$E68:$Z68,MIN(V$6-$G$3,22))&lt;&gt;""),Soja!$E68:INDEX(Soja!$E68:$Z68,MIN(V$6-$G$3,22))),0)))))</f>
        <v>0</v>
      </c>
      <c r="W70" s="27" t="n">
        <f aca="false">IF(COUNT(Soja!$E68:$Z68)=0,0,MAX(0,IF((W$6-$E$3)&lt;1,0,IFERROR(LOOKUP(2,1/(Soja!$E68:INDEX(Soja!$E68:$Z68,MIN(W$6-$E$3,22))&lt;&gt;""),Soja!$E68:INDEX(Soja!$E68:$Z68,MIN(W$6-$E$3,22))),0))-IF($G$2,0,IF((W$6-$G$3)&lt;1,0,IFERROR(LOOKUP(2,1/(Soja!$E68:INDEX(Soja!$E68:$Z68,MIN(W$6-$G$3,22))&lt;&gt;""),Soja!$E68:INDEX(Soja!$E68:$Z68,MIN(W$6-$G$3,22))),0)))))</f>
        <v>0</v>
      </c>
      <c r="X70" s="27" t="n">
        <f aca="false">IF(COUNT(Soja!$E68:$Z68)=0,0,MAX(0,IF((X$6-$E$3)&lt;1,0,IFERROR(LOOKUP(2,1/(Soja!$E68:INDEX(Soja!$E68:$Z68,MIN(X$6-$E$3,22))&lt;&gt;""),Soja!$E68:INDEX(Soja!$E68:$Z68,MIN(X$6-$E$3,22))),0))-IF($G$2,0,IF((X$6-$G$3)&lt;1,0,IFERROR(LOOKUP(2,1/(Soja!$E68:INDEX(Soja!$E68:$Z68,MIN(X$6-$G$3,22))&lt;&gt;""),Soja!$E68:INDEX(Soja!$E68:$Z68,MIN(X$6-$G$3,22))),0)))))</f>
        <v>0</v>
      </c>
      <c r="Y70" s="27" t="n">
        <f aca="false">IF(COUNT(Soja!$E68:$Z68)=0,0,MAX(0,IF((Y$6-$E$3)&lt;1,0,IFERROR(LOOKUP(2,1/(Soja!$E68:INDEX(Soja!$E68:$Z68,MIN(Y$6-$E$3,22))&lt;&gt;""),Soja!$E68:INDEX(Soja!$E68:$Z68,MIN(Y$6-$E$3,22))),0))-IF($G$2,0,IF((Y$6-$G$3)&lt;1,0,IFERROR(LOOKUP(2,1/(Soja!$E68:INDEX(Soja!$E68:$Z68,MIN(Y$6-$G$3,22))&lt;&gt;""),Soja!$E68:INDEX(Soja!$E68:$Z68,MIN(Y$6-$G$3,22))),0)))))</f>
        <v>0</v>
      </c>
      <c r="Z70" s="27" t="n">
        <f aca="false">IF(COUNT(Soja!$E68:$Z68)=0,0,MAX(0,IF((Z$6-$E$3)&lt;1,0,IFERROR(LOOKUP(2,1/(Soja!$E68:INDEX(Soja!$E68:$Z68,MIN(Z$6-$E$3,22))&lt;&gt;""),Soja!$E68:INDEX(Soja!$E68:$Z68,MIN(Z$6-$E$3,22))),0))-IF($G$2,0,IF((Z$6-$G$3)&lt;1,0,IFERROR(LOOKUP(2,1/(Soja!$E68:INDEX(Soja!$E68:$Z68,MIN(Z$6-$G$3,22))&lt;&gt;""),Soja!$E68:INDEX(Soja!$E68:$Z68,MIN(Z$6-$G$3,22))),0)))))</f>
        <v>0</v>
      </c>
      <c r="AA70" s="27" t="n">
        <f aca="false">IF(COUNT(Soja!$E68:$Z68)=0,0,MAX(0,IF((AA$6-$E$3)&lt;1,0,IFERROR(LOOKUP(2,1/(Soja!$E68:INDEX(Soja!$E68:$Z68,MIN(AA$6-$E$3,22))&lt;&gt;""),Soja!$E68:INDEX(Soja!$E68:$Z68,MIN(AA$6-$E$3,22))),0))-IF($G$2,0,IF((AA$6-$G$3)&lt;1,0,IFERROR(LOOKUP(2,1/(Soja!$E68:INDEX(Soja!$E68:$Z68,MIN(AA$6-$G$3,22))&lt;&gt;""),Soja!$E68:INDEX(Soja!$E68:$Z68,MIN(AA$6-$G$3,22))),0)))))</f>
        <v>0</v>
      </c>
      <c r="AB70" s="27" t="n">
        <f aca="false">IF(COUNT(Soja!$E68:$Z68)=0,0,MAX(0,IF((AB$6-$E$3)&lt;1,0,IFERROR(LOOKUP(2,1/(Soja!$E68:INDEX(Soja!$E68:$Z68,MIN(AB$6-$E$3,22))&lt;&gt;""),Soja!$E68:INDEX(Soja!$E68:$Z68,MIN(AB$6-$E$3,22))),0))-IF($G$2,0,IF((AB$6-$G$3)&lt;1,0,IFERROR(LOOKUP(2,1/(Soja!$E68:INDEX(Soja!$E68:$Z68,MIN(AB$6-$G$3,22))&lt;&gt;""),Soja!$E68:INDEX(Soja!$E68:$Z68,MIN(AB$6-$G$3,22))),0)))))</f>
        <v>0</v>
      </c>
      <c r="AC70" s="27" t="n">
        <f aca="false">IF(COUNT(Soja!$E68:$Z68)=0,0,MAX(0,IF((AC$6-$E$3)&lt;1,0,IFERROR(LOOKUP(2,1/(Soja!$E68:INDEX(Soja!$E68:$Z68,MIN(AC$6-$E$3,22))&lt;&gt;""),Soja!$E68:INDEX(Soja!$E68:$Z68,MIN(AC$6-$E$3,22))),0))-IF($G$2,0,IF((AC$6-$G$3)&lt;1,0,IFERROR(LOOKUP(2,1/(Soja!$E68:INDEX(Soja!$E68:$Z68,MIN(AC$6-$G$3,22))&lt;&gt;""),Soja!$E68:INDEX(Soja!$E68:$Z68,MIN(AC$6-$G$3,22))),0)))))</f>
        <v>0</v>
      </c>
      <c r="AD70" s="27" t="n">
        <f aca="false">IF(COUNT(Soja!$E68:$Z68)=0,0,MAX(0,IF((AD$6-$E$3)&lt;1,0,IFERROR(LOOKUP(2,1/(Soja!$E68:INDEX(Soja!$E68:$Z68,MIN(AD$6-$E$3,22))&lt;&gt;""),Soja!$E68:INDEX(Soja!$E68:$Z68,MIN(AD$6-$E$3,22))),0))-IF($G$2,0,IF((AD$6-$G$3)&lt;1,0,IFERROR(LOOKUP(2,1/(Soja!$E68:INDEX(Soja!$E68:$Z68,MIN(AD$6-$G$3,22))&lt;&gt;""),Soja!$E68:INDEX(Soja!$E68:$Z68,MIN(AD$6-$G$3,22))),0)))))</f>
        <v>0</v>
      </c>
      <c r="AE70" s="27" t="n">
        <f aca="false">IF(COUNT(Soja!$E68:$Z68)=0,0,MAX(0,IF((AE$6-$E$3)&lt;1,0,IFERROR(LOOKUP(2,1/(Soja!$E68:INDEX(Soja!$E68:$Z68,MIN(AE$6-$E$3,22))&lt;&gt;""),Soja!$E68:INDEX(Soja!$E68:$Z68,MIN(AE$6-$E$3,22))),0))-IF($G$2,0,IF((AE$6-$G$3)&lt;1,0,IFERROR(LOOKUP(2,1/(Soja!$E68:INDEX(Soja!$E68:$Z68,MIN(AE$6-$G$3,22))&lt;&gt;""),Soja!$E68:INDEX(Soja!$E68:$Z68,MIN(AE$6-$G$3,22))),0)))))</f>
        <v>0</v>
      </c>
      <c r="AF70" s="27" t="n">
        <f aca="false">IF(COUNT(Soja!$E68:$Z68)=0,0,MAX(0,IF((AF$6-$E$3)&lt;1,0,IFERROR(LOOKUP(2,1/(Soja!$E68:INDEX(Soja!$E68:$Z68,MIN(AF$6-$E$3,22))&lt;&gt;""),Soja!$E68:INDEX(Soja!$E68:$Z68,MIN(AF$6-$E$3,22))),0))-IF($G$2,0,IF((AF$6-$G$3)&lt;1,0,IFERROR(LOOKUP(2,1/(Soja!$E68:INDEX(Soja!$E68:$Z68,MIN(AF$6-$G$3,22))&lt;&gt;""),Soja!$E68:INDEX(Soja!$E68:$Z68,MIN(AF$6-$G$3,22))),0)))))</f>
        <v>0</v>
      </c>
      <c r="AG70" s="27" t="n">
        <f aca="false">IF(COUNT(Soja!$E68:$Z68)=0,0,MAX(0,IF((AG$6-$E$3)&lt;1,0,IFERROR(LOOKUP(2,1/(Soja!$E68:INDEX(Soja!$E68:$Z68,MIN(AG$6-$E$3,22))&lt;&gt;""),Soja!$E68:INDEX(Soja!$E68:$Z68,MIN(AG$6-$E$3,22))),0))-IF($G$2,0,IF((AG$6-$G$3)&lt;1,0,IFERROR(LOOKUP(2,1/(Soja!$E68:INDEX(Soja!$E68:$Z68,MIN(AG$6-$G$3,22))&lt;&gt;""),Soja!$E68:INDEX(Soja!$E68:$Z68,MIN(AG$6-$G$3,22))),0)))))</f>
        <v>0</v>
      </c>
      <c r="AH70" s="27" t="n">
        <f aca="false">IF(COUNT(Soja!$E68:$Z68)=0,0,MAX(0,IF((AH$6-$E$3)&lt;1,0,IFERROR(LOOKUP(2,1/(Soja!$E68:INDEX(Soja!$E68:$Z68,MIN(AH$6-$E$3,22))&lt;&gt;""),Soja!$E68:INDEX(Soja!$E68:$Z68,MIN(AH$6-$E$3,22))),0))-IF($G$2,0,IF((AH$6-$G$3)&lt;1,0,IFERROR(LOOKUP(2,1/(Soja!$E68:INDEX(Soja!$E68:$Z68,MIN(AH$6-$G$3,22))&lt;&gt;""),Soja!$E68:INDEX(Soja!$E68:$Z68,MIN(AH$6-$G$3,22))),0)))))</f>
        <v>0</v>
      </c>
      <c r="AI70" s="27" t="n">
        <f aca="false">IF(COUNT(Soja!$E68:$Z68)=0,0,MAX(0,IF((AI$6-$E$3)&lt;1,0,IFERROR(LOOKUP(2,1/(Soja!$E68:INDEX(Soja!$E68:$Z68,MIN(AI$6-$E$3,22))&lt;&gt;""),Soja!$E68:INDEX(Soja!$E68:$Z68,MIN(AI$6-$E$3,22))),0))-IF($G$2,0,IF((AI$6-$G$3)&lt;1,0,IFERROR(LOOKUP(2,1/(Soja!$E68:INDEX(Soja!$E68:$Z68,MIN(AI$6-$G$3,22))&lt;&gt;""),Soja!$E68:INDEX(Soja!$E68:$Z68,MIN(AI$6-$G$3,22))),0)))))</f>
        <v>0</v>
      </c>
      <c r="AJ70" s="27" t="n">
        <f aca="false">IF(COUNT(Soja!$E68:$Z68)=0,0,MAX(0,IF((AJ$6-$E$3)&lt;1,0,IFERROR(LOOKUP(2,1/(Soja!$E68:INDEX(Soja!$E68:$Z68,MIN(AJ$6-$E$3,22))&lt;&gt;""),Soja!$E68:INDEX(Soja!$E68:$Z68,MIN(AJ$6-$E$3,22))),0))-IF($G$2,0,IF((AJ$6-$G$3)&lt;1,0,IFERROR(LOOKUP(2,1/(Soja!$E68:INDEX(Soja!$E68:$Z68,MIN(AJ$6-$G$3,22))&lt;&gt;""),Soja!$E68:INDEX(Soja!$E68:$Z68,MIN(AJ$6-$G$3,22))),0)))))</f>
        <v>0</v>
      </c>
      <c r="AK70" s="27" t="n">
        <f aca="false">IF(COUNT(Soja!$E68:$Z68)=0,0,MAX(0,IF((AK$6-$E$3)&lt;1,0,IFERROR(LOOKUP(2,1/(Soja!$E68:INDEX(Soja!$E68:$Z68,MIN(AK$6-$E$3,22))&lt;&gt;""),Soja!$E68:INDEX(Soja!$E68:$Z68,MIN(AK$6-$E$3,22))),0))-IF($G$2,0,IF((AK$6-$G$3)&lt;1,0,IFERROR(LOOKUP(2,1/(Soja!$E68:INDEX(Soja!$E68:$Z68,MIN(AK$6-$G$3,22))&lt;&gt;""),Soja!$E68:INDEX(Soja!$E68:$Z68,MIN(AK$6-$G$3,22))),0)))))</f>
        <v>0</v>
      </c>
      <c r="AL70" s="27" t="n">
        <f aca="false">IF(COUNT(Soja!$E68:$Z68)=0,0,MAX(0,IF((AL$6-$E$3)&lt;1,0,IFERROR(LOOKUP(2,1/(Soja!$E68:INDEX(Soja!$E68:$Z68,MIN(AL$6-$E$3,22))&lt;&gt;""),Soja!$E68:INDEX(Soja!$E68:$Z68,MIN(AL$6-$E$3,22))),0))-IF($G$2,0,IF((AL$6-$G$3)&lt;1,0,IFERROR(LOOKUP(2,1/(Soja!$E68:INDEX(Soja!$E68:$Z68,MIN(AL$6-$G$3,22))&lt;&gt;""),Soja!$E68:INDEX(Soja!$E68:$Z68,MIN(AL$6-$G$3,22))),0)))))</f>
        <v>0</v>
      </c>
      <c r="AM70" s="27" t="n">
        <f aca="false">IF(COUNT(Soja!$E68:$Z68)=0,0,MAX(0,IF((AM$6-$E$3)&lt;1,0,IFERROR(LOOKUP(2,1/(Soja!$E68:INDEX(Soja!$E68:$Z68,MIN(AM$6-$E$3,22))&lt;&gt;""),Soja!$E68:INDEX(Soja!$E68:$Z68,MIN(AM$6-$E$3,22))),0))-IF($G$2,0,IF((AM$6-$G$3)&lt;1,0,IFERROR(LOOKUP(2,1/(Soja!$E68:INDEX(Soja!$E68:$Z68,MIN(AM$6-$G$3,22))&lt;&gt;""),Soja!$E68:INDEX(Soja!$E68:$Z68,MIN(AM$6-$G$3,22))),0)))))</f>
        <v>0</v>
      </c>
      <c r="AN70" s="27" t="n">
        <f aca="false">IF(COUNT(Soja!$E68:$Z68)=0,0,MAX(0,IF((AN$6-$E$3)&lt;1,0,IFERROR(LOOKUP(2,1/(Soja!$E68:INDEX(Soja!$E68:$Z68,MIN(AN$6-$E$3,22))&lt;&gt;""),Soja!$E68:INDEX(Soja!$E68:$Z68,MIN(AN$6-$E$3,22))),0))-IF($G$2,0,IF((AN$6-$G$3)&lt;1,0,IFERROR(LOOKUP(2,1/(Soja!$E68:INDEX(Soja!$E68:$Z68,MIN(AN$6-$G$3,22))&lt;&gt;""),Soja!$E68:INDEX(Soja!$E68:$Z68,MIN(AN$6-$G$3,22))),0)))))</f>
        <v>0</v>
      </c>
      <c r="AO70" s="27" t="n">
        <f aca="false">IF(COUNT(Soja!$E68:$Z68)=0,0,MAX(0,IF((AO$6-$E$3)&lt;1,0,IFERROR(LOOKUP(2,1/(Soja!$E68:INDEX(Soja!$E68:$Z68,MIN(AO$6-$E$3,22))&lt;&gt;""),Soja!$E68:INDEX(Soja!$E68:$Z68,MIN(AO$6-$E$3,22))),0))-IF($G$2,0,IF((AO$6-$G$3)&lt;1,0,IFERROR(LOOKUP(2,1/(Soja!$E68:INDEX(Soja!$E68:$Z68,MIN(AO$6-$G$3,22))&lt;&gt;""),Soja!$E68:INDEX(Soja!$E68:$Z68,MIN(AO$6-$G$3,22))),0)))))</f>
        <v>0</v>
      </c>
      <c r="AP70" s="27" t="n">
        <f aca="false">IF(COUNT(Soja!$E68:$Z68)=0,0,MAX(0,IF((AP$6-$E$3)&lt;1,0,IFERROR(LOOKUP(2,1/(Soja!$E68:INDEX(Soja!$E68:$Z68,MIN(AP$6-$E$3,22))&lt;&gt;""),Soja!$E68:INDEX(Soja!$E68:$Z68,MIN(AP$6-$E$3,22))),0))-IF($G$2,0,IF((AP$6-$G$3)&lt;1,0,IFERROR(LOOKUP(2,1/(Soja!$E68:INDEX(Soja!$E68:$Z68,MIN(AP$6-$G$3,22))&lt;&gt;""),Soja!$E68:INDEX(Soja!$E68:$Z68,MIN(AP$6-$G$3,22))),0)))))</f>
        <v>0</v>
      </c>
      <c r="AQ70" s="27" t="n">
        <f aca="false">IF(COUNT(Soja!$E68:$Z68)=0,0,MAX(0,IF((AQ$6-$E$3)&lt;1,0,IFERROR(LOOKUP(2,1/(Soja!$E68:INDEX(Soja!$E68:$Z68,MIN(AQ$6-$E$3,22))&lt;&gt;""),Soja!$E68:INDEX(Soja!$E68:$Z68,MIN(AQ$6-$E$3,22))),0))-IF($G$2,0,IF((AQ$6-$G$3)&lt;1,0,IFERROR(LOOKUP(2,1/(Soja!$E68:INDEX(Soja!$E68:$Z68,MIN(AQ$6-$G$3,22))&lt;&gt;""),Soja!$E68:INDEX(Soja!$E68:$Z68,MIN(AQ$6-$G$3,22))),0)))))</f>
        <v>0</v>
      </c>
      <c r="AR70" s="27" t="n">
        <f aca="false">IF(COUNT(Soja!$E68:$Z68)=0,0,MAX(0,IF((AR$6-$E$3)&lt;1,0,IFERROR(LOOKUP(2,1/(Soja!$E68:INDEX(Soja!$E68:$Z68,MIN(AR$6-$E$3,22))&lt;&gt;""),Soja!$E68:INDEX(Soja!$E68:$Z68,MIN(AR$6-$E$3,22))),0))-IF($G$2,0,IF((AR$6-$G$3)&lt;1,0,IFERROR(LOOKUP(2,1/(Soja!$E68:INDEX(Soja!$E68:$Z68,MIN(AR$6-$G$3,22))&lt;&gt;""),Soja!$E68:INDEX(Soja!$E68:$Z68,MIN(AR$6-$G$3,22))),0)))))</f>
        <v>0</v>
      </c>
      <c r="AS70" s="27" t="n">
        <f aca="false">IF(COUNT(Soja!$E68:$Z68)=0,0,MAX(0,IF((AS$6-$E$3)&lt;1,0,IFERROR(LOOKUP(2,1/(Soja!$E68:INDEX(Soja!$E68:$Z68,MIN(AS$6-$E$3,22))&lt;&gt;""),Soja!$E68:INDEX(Soja!$E68:$Z68,MIN(AS$6-$E$3,22))),0))-IF($G$2,0,IF((AS$6-$G$3)&lt;1,0,IFERROR(LOOKUP(2,1/(Soja!$E68:INDEX(Soja!$E68:$Z68,MIN(AS$6-$G$3,22))&lt;&gt;""),Soja!$E68:INDEX(Soja!$E68:$Z68,MIN(AS$6-$G$3,22))),0)))))</f>
        <v>0</v>
      </c>
      <c r="AT70" s="27" t="n">
        <f aca="false">IF(COUNT(Soja!$E68:$Z68)=0,0,MAX(0,IF((AT$6-$E$3)&lt;1,0,IFERROR(LOOKUP(2,1/(Soja!$E68:INDEX(Soja!$E68:$Z68,MIN(AT$6-$E$3,22))&lt;&gt;""),Soja!$E68:INDEX(Soja!$E68:$Z68,MIN(AT$6-$E$3,22))),0))-IF($G$2,0,IF((AT$6-$G$3)&lt;1,0,IFERROR(LOOKUP(2,1/(Soja!$E68:INDEX(Soja!$E68:$Z68,MIN(AT$6-$G$3,22))&lt;&gt;""),Soja!$E68:INDEX(Soja!$E68:$Z68,MIN(AT$6-$G$3,22))),0)))))</f>
        <v>0</v>
      </c>
      <c r="AU70" s="27" t="n">
        <f aca="false">IF(COUNT(Soja!$E68:$Z68)=0,0,MAX(0,IF((AU$6-$E$3)&lt;1,0,IFERROR(LOOKUP(2,1/(Soja!$E68:INDEX(Soja!$E68:$Z68,MIN(AU$6-$E$3,22))&lt;&gt;""),Soja!$E68:INDEX(Soja!$E68:$Z68,MIN(AU$6-$E$3,22))),0))-IF($G$2,0,IF((AU$6-$G$3)&lt;1,0,IFERROR(LOOKUP(2,1/(Soja!$E68:INDEX(Soja!$E68:$Z68,MIN(AU$6-$G$3,22))&lt;&gt;""),Soja!$E68:INDEX(Soja!$E68:$Z68,MIN(AU$6-$G$3,22))),0)))))</f>
        <v>0</v>
      </c>
      <c r="AV70" s="27" t="n">
        <f aca="false">IF(COUNT(Soja!$E68:$Z68)=0,0,MAX(0,IF((AV$6-$E$3)&lt;1,0,IFERROR(LOOKUP(2,1/(Soja!$E68:INDEX(Soja!$E68:$Z68,MIN(AV$6-$E$3,22))&lt;&gt;""),Soja!$E68:INDEX(Soja!$E68:$Z68,MIN(AV$6-$E$3,22))),0))-IF($G$2,0,IF((AV$6-$G$3)&lt;1,0,IFERROR(LOOKUP(2,1/(Soja!$E68:INDEX(Soja!$E68:$Z68,MIN(AV$6-$G$3,22))&lt;&gt;""),Soja!$E68:INDEX(Soja!$E68:$Z68,MIN(AV$6-$G$3,22))),0)))))</f>
        <v>0</v>
      </c>
      <c r="AW70" s="27" t="n">
        <f aca="false">IF(COUNT(Soja!$E68:$Z68)=0,0,MAX(0,IF((AW$6-$E$3)&lt;1,0,IFERROR(LOOKUP(2,1/(Soja!$E68:INDEX(Soja!$E68:$Z68,MIN(AW$6-$E$3,22))&lt;&gt;""),Soja!$E68:INDEX(Soja!$E68:$Z68,MIN(AW$6-$E$3,22))),0))-IF($G$2,0,IF((AW$6-$G$3)&lt;1,0,IFERROR(LOOKUP(2,1/(Soja!$E68:INDEX(Soja!$E68:$Z68,MIN(AW$6-$G$3,22))&lt;&gt;""),Soja!$E68:INDEX(Soja!$E68:$Z68,MIN(AW$6-$G$3,22))),0)))))</f>
        <v>0</v>
      </c>
      <c r="AX70" s="27" t="n">
        <f aca="false">IF(COUNT(Soja!$E68:$Z68)=0,0,MAX(0,IF((AX$6-$E$3)&lt;1,0,IFERROR(LOOKUP(2,1/(Soja!$E68:INDEX(Soja!$E68:$Z68,MIN(AX$6-$E$3,22))&lt;&gt;""),Soja!$E68:INDEX(Soja!$E68:$Z68,MIN(AX$6-$E$3,22))),0))-IF($G$2,0,IF((AX$6-$G$3)&lt;1,0,IFERROR(LOOKUP(2,1/(Soja!$E68:INDEX(Soja!$E68:$Z68,MIN(AX$6-$G$3,22))&lt;&gt;""),Soja!$E68:INDEX(Soja!$E68:$Z68,MIN(AX$6-$G$3,22))),0)))))</f>
        <v>0</v>
      </c>
      <c r="AY70" s="27" t="n">
        <f aca="false">IF(COUNT(Soja!$E68:$Z68)=0,0,MAX(0,IF((AY$6-$E$3)&lt;1,0,IFERROR(LOOKUP(2,1/(Soja!$E68:INDEX(Soja!$E68:$Z68,MIN(AY$6-$E$3,22))&lt;&gt;""),Soja!$E68:INDEX(Soja!$E68:$Z68,MIN(AY$6-$E$3,22))),0))-IF($G$2,0,IF((AY$6-$G$3)&lt;1,0,IFERROR(LOOKUP(2,1/(Soja!$E68:INDEX(Soja!$E68:$Z68,MIN(AY$6-$G$3,22))&lt;&gt;""),Soja!$E68:INDEX(Soja!$E68:$Z68,MIN(AY$6-$G$3,22))),0)))))</f>
        <v>0</v>
      </c>
      <c r="AZ70" s="27" t="n">
        <f aca="false">IF(COUNT(Soja!$E68:$Z68)=0,0,MAX(0,IF((AZ$6-$E$3)&lt;1,0,IFERROR(LOOKUP(2,1/(Soja!$E68:INDEX(Soja!$E68:$Z68,MIN(AZ$6-$E$3,22))&lt;&gt;""),Soja!$E68:INDEX(Soja!$E68:$Z68,MIN(AZ$6-$E$3,22))),0))-IF($G$2,0,IF((AZ$6-$G$3)&lt;1,0,IFERROR(LOOKUP(2,1/(Soja!$E68:INDEX(Soja!$E68:$Z68,MIN(AZ$6-$G$3,22))&lt;&gt;""),Soja!$E68:INDEX(Soja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IF(COUNT(Soja!$E69:$Z69)&gt;0,N(Soja!$D69),0)</f>
        <v>0</v>
      </c>
      <c r="E71" s="27" t="n">
        <f aca="false">IF(COUNT(Soja!$E69:$Z69)=0,0,MAX(0,IF((E$6-$E$3)&lt;1,0,IFERROR(LOOKUP(2,1/(Soja!$E69:INDEX(Soja!$E69:$Z69,MIN(E$6-$E$3,22))&lt;&gt;""),Soja!$E69:INDEX(Soja!$E69:$Z69,MIN(E$6-$E$3,22))),0))-IF($G$2,0,IF((E$6-$G$3)&lt;1,0,IFERROR(LOOKUP(2,1/(Soja!$E69:INDEX(Soja!$E69:$Z69,MIN(E$6-$G$3,22))&lt;&gt;""),Soja!$E69:INDEX(Soja!$E69:$Z69,MIN(E$6-$G$3,22))),0)))))</f>
        <v>0</v>
      </c>
      <c r="F71" s="27" t="n">
        <f aca="false">IF(COUNT(Soja!$E69:$Z69)=0,0,MAX(0,IF((F$6-$E$3)&lt;1,0,IFERROR(LOOKUP(2,1/(Soja!$E69:INDEX(Soja!$E69:$Z69,MIN(F$6-$E$3,22))&lt;&gt;""),Soja!$E69:INDEX(Soja!$E69:$Z69,MIN(F$6-$E$3,22))),0))-IF($G$2,0,IF((F$6-$G$3)&lt;1,0,IFERROR(LOOKUP(2,1/(Soja!$E69:INDEX(Soja!$E69:$Z69,MIN(F$6-$G$3,22))&lt;&gt;""),Soja!$E69:INDEX(Soja!$E69:$Z69,MIN(F$6-$G$3,22))),0)))))</f>
        <v>0</v>
      </c>
      <c r="G71" s="27" t="n">
        <f aca="false">IF(COUNT(Soja!$E69:$Z69)=0,0,MAX(0,IF((G$6-$E$3)&lt;1,0,IFERROR(LOOKUP(2,1/(Soja!$E69:INDEX(Soja!$E69:$Z69,MIN(G$6-$E$3,22))&lt;&gt;""),Soja!$E69:INDEX(Soja!$E69:$Z69,MIN(G$6-$E$3,22))),0))-IF($G$2,0,IF((G$6-$G$3)&lt;1,0,IFERROR(LOOKUP(2,1/(Soja!$E69:INDEX(Soja!$E69:$Z69,MIN(G$6-$G$3,22))&lt;&gt;""),Soja!$E69:INDEX(Soja!$E69:$Z69,MIN(G$6-$G$3,22))),0)))))</f>
        <v>0</v>
      </c>
      <c r="H71" s="27" t="n">
        <f aca="false">IF(COUNT(Soja!$E69:$Z69)=0,0,MAX(0,IF((H$6-$E$3)&lt;1,0,IFERROR(LOOKUP(2,1/(Soja!$E69:INDEX(Soja!$E69:$Z69,MIN(H$6-$E$3,22))&lt;&gt;""),Soja!$E69:INDEX(Soja!$E69:$Z69,MIN(H$6-$E$3,22))),0))-IF($G$2,0,IF((H$6-$G$3)&lt;1,0,IFERROR(LOOKUP(2,1/(Soja!$E69:INDEX(Soja!$E69:$Z69,MIN(H$6-$G$3,22))&lt;&gt;""),Soja!$E69:INDEX(Soja!$E69:$Z69,MIN(H$6-$G$3,22))),0)))))</f>
        <v>0</v>
      </c>
      <c r="I71" s="27" t="n">
        <f aca="false">IF(COUNT(Soja!$E69:$Z69)=0,0,MAX(0,IF((I$6-$E$3)&lt;1,0,IFERROR(LOOKUP(2,1/(Soja!$E69:INDEX(Soja!$E69:$Z69,MIN(I$6-$E$3,22))&lt;&gt;""),Soja!$E69:INDEX(Soja!$E69:$Z69,MIN(I$6-$E$3,22))),0))-IF($G$2,0,IF((I$6-$G$3)&lt;1,0,IFERROR(LOOKUP(2,1/(Soja!$E69:INDEX(Soja!$E69:$Z69,MIN(I$6-$G$3,22))&lt;&gt;""),Soja!$E69:INDEX(Soja!$E69:$Z69,MIN(I$6-$G$3,22))),0)))))</f>
        <v>0</v>
      </c>
      <c r="J71" s="27" t="n">
        <f aca="false">IF(COUNT(Soja!$E69:$Z69)=0,0,MAX(0,IF((J$6-$E$3)&lt;1,0,IFERROR(LOOKUP(2,1/(Soja!$E69:INDEX(Soja!$E69:$Z69,MIN(J$6-$E$3,22))&lt;&gt;""),Soja!$E69:INDEX(Soja!$E69:$Z69,MIN(J$6-$E$3,22))),0))-IF($G$2,0,IF((J$6-$G$3)&lt;1,0,IFERROR(LOOKUP(2,1/(Soja!$E69:INDEX(Soja!$E69:$Z69,MIN(J$6-$G$3,22))&lt;&gt;""),Soja!$E69:INDEX(Soja!$E69:$Z69,MIN(J$6-$G$3,22))),0)))))</f>
        <v>0</v>
      </c>
      <c r="K71" s="27" t="n">
        <f aca="false">IF(COUNT(Soja!$E69:$Z69)=0,0,MAX(0,IF((K$6-$E$3)&lt;1,0,IFERROR(LOOKUP(2,1/(Soja!$E69:INDEX(Soja!$E69:$Z69,MIN(K$6-$E$3,22))&lt;&gt;""),Soja!$E69:INDEX(Soja!$E69:$Z69,MIN(K$6-$E$3,22))),0))-IF($G$2,0,IF((K$6-$G$3)&lt;1,0,IFERROR(LOOKUP(2,1/(Soja!$E69:INDEX(Soja!$E69:$Z69,MIN(K$6-$G$3,22))&lt;&gt;""),Soja!$E69:INDEX(Soja!$E69:$Z69,MIN(K$6-$G$3,22))),0)))))</f>
        <v>0</v>
      </c>
      <c r="L71" s="27" t="n">
        <f aca="false">IF(COUNT(Soja!$E69:$Z69)=0,0,MAX(0,IF((L$6-$E$3)&lt;1,0,IFERROR(LOOKUP(2,1/(Soja!$E69:INDEX(Soja!$E69:$Z69,MIN(L$6-$E$3,22))&lt;&gt;""),Soja!$E69:INDEX(Soja!$E69:$Z69,MIN(L$6-$E$3,22))),0))-IF($G$2,0,IF((L$6-$G$3)&lt;1,0,IFERROR(LOOKUP(2,1/(Soja!$E69:INDEX(Soja!$E69:$Z69,MIN(L$6-$G$3,22))&lt;&gt;""),Soja!$E69:INDEX(Soja!$E69:$Z69,MIN(L$6-$G$3,22))),0)))))</f>
        <v>0</v>
      </c>
      <c r="M71" s="27" t="n">
        <f aca="false">IF(COUNT(Soja!$E69:$Z69)=0,0,MAX(0,IF((M$6-$E$3)&lt;1,0,IFERROR(LOOKUP(2,1/(Soja!$E69:INDEX(Soja!$E69:$Z69,MIN(M$6-$E$3,22))&lt;&gt;""),Soja!$E69:INDEX(Soja!$E69:$Z69,MIN(M$6-$E$3,22))),0))-IF($G$2,0,IF((M$6-$G$3)&lt;1,0,IFERROR(LOOKUP(2,1/(Soja!$E69:INDEX(Soja!$E69:$Z69,MIN(M$6-$G$3,22))&lt;&gt;""),Soja!$E69:INDEX(Soja!$E69:$Z69,MIN(M$6-$G$3,22))),0)))))</f>
        <v>0</v>
      </c>
      <c r="N71" s="27" t="n">
        <f aca="false">IF(COUNT(Soja!$E69:$Z69)=0,0,MAX(0,IF((N$6-$E$3)&lt;1,0,IFERROR(LOOKUP(2,1/(Soja!$E69:INDEX(Soja!$E69:$Z69,MIN(N$6-$E$3,22))&lt;&gt;""),Soja!$E69:INDEX(Soja!$E69:$Z69,MIN(N$6-$E$3,22))),0))-IF($G$2,0,IF((N$6-$G$3)&lt;1,0,IFERROR(LOOKUP(2,1/(Soja!$E69:INDEX(Soja!$E69:$Z69,MIN(N$6-$G$3,22))&lt;&gt;""),Soja!$E69:INDEX(Soja!$E69:$Z69,MIN(N$6-$G$3,22))),0)))))</f>
        <v>0</v>
      </c>
      <c r="O71" s="27" t="n">
        <f aca="false">IF(COUNT(Soja!$E69:$Z69)=0,0,MAX(0,IF((O$6-$E$3)&lt;1,0,IFERROR(LOOKUP(2,1/(Soja!$E69:INDEX(Soja!$E69:$Z69,MIN(O$6-$E$3,22))&lt;&gt;""),Soja!$E69:INDEX(Soja!$E69:$Z69,MIN(O$6-$E$3,22))),0))-IF($G$2,0,IF((O$6-$G$3)&lt;1,0,IFERROR(LOOKUP(2,1/(Soja!$E69:INDEX(Soja!$E69:$Z69,MIN(O$6-$G$3,22))&lt;&gt;""),Soja!$E69:INDEX(Soja!$E69:$Z69,MIN(O$6-$G$3,22))),0)))))</f>
        <v>0</v>
      </c>
      <c r="P71" s="27" t="n">
        <f aca="false">IF(COUNT(Soja!$E69:$Z69)=0,0,MAX(0,IF((P$6-$E$3)&lt;1,0,IFERROR(LOOKUP(2,1/(Soja!$E69:INDEX(Soja!$E69:$Z69,MIN(P$6-$E$3,22))&lt;&gt;""),Soja!$E69:INDEX(Soja!$E69:$Z69,MIN(P$6-$E$3,22))),0))-IF($G$2,0,IF((P$6-$G$3)&lt;1,0,IFERROR(LOOKUP(2,1/(Soja!$E69:INDEX(Soja!$E69:$Z69,MIN(P$6-$G$3,22))&lt;&gt;""),Soja!$E69:INDEX(Soja!$E69:$Z69,MIN(P$6-$G$3,22))),0)))))</f>
        <v>0</v>
      </c>
      <c r="Q71" s="27" t="n">
        <f aca="false">IF(COUNT(Soja!$E69:$Z69)=0,0,MAX(0,IF((Q$6-$E$3)&lt;1,0,IFERROR(LOOKUP(2,1/(Soja!$E69:INDEX(Soja!$E69:$Z69,MIN(Q$6-$E$3,22))&lt;&gt;""),Soja!$E69:INDEX(Soja!$E69:$Z69,MIN(Q$6-$E$3,22))),0))-IF($G$2,0,IF((Q$6-$G$3)&lt;1,0,IFERROR(LOOKUP(2,1/(Soja!$E69:INDEX(Soja!$E69:$Z69,MIN(Q$6-$G$3,22))&lt;&gt;""),Soja!$E69:INDEX(Soja!$E69:$Z69,MIN(Q$6-$G$3,22))),0)))))</f>
        <v>0</v>
      </c>
      <c r="R71" s="27" t="n">
        <f aca="false">IF(COUNT(Soja!$E69:$Z69)=0,0,MAX(0,IF((R$6-$E$3)&lt;1,0,IFERROR(LOOKUP(2,1/(Soja!$E69:INDEX(Soja!$E69:$Z69,MIN(R$6-$E$3,22))&lt;&gt;""),Soja!$E69:INDEX(Soja!$E69:$Z69,MIN(R$6-$E$3,22))),0))-IF($G$2,0,IF((R$6-$G$3)&lt;1,0,IFERROR(LOOKUP(2,1/(Soja!$E69:INDEX(Soja!$E69:$Z69,MIN(R$6-$G$3,22))&lt;&gt;""),Soja!$E69:INDEX(Soja!$E69:$Z69,MIN(R$6-$G$3,22))),0)))))</f>
        <v>0</v>
      </c>
      <c r="S71" s="27" t="n">
        <f aca="false">IF(COUNT(Soja!$E69:$Z69)=0,0,MAX(0,IF((S$6-$E$3)&lt;1,0,IFERROR(LOOKUP(2,1/(Soja!$E69:INDEX(Soja!$E69:$Z69,MIN(S$6-$E$3,22))&lt;&gt;""),Soja!$E69:INDEX(Soja!$E69:$Z69,MIN(S$6-$E$3,22))),0))-IF($G$2,0,IF((S$6-$G$3)&lt;1,0,IFERROR(LOOKUP(2,1/(Soja!$E69:INDEX(Soja!$E69:$Z69,MIN(S$6-$G$3,22))&lt;&gt;""),Soja!$E69:INDEX(Soja!$E69:$Z69,MIN(S$6-$G$3,22))),0)))))</f>
        <v>0</v>
      </c>
      <c r="T71" s="27" t="n">
        <f aca="false">IF(COUNT(Soja!$E69:$Z69)=0,0,MAX(0,IF((T$6-$E$3)&lt;1,0,IFERROR(LOOKUP(2,1/(Soja!$E69:INDEX(Soja!$E69:$Z69,MIN(T$6-$E$3,22))&lt;&gt;""),Soja!$E69:INDEX(Soja!$E69:$Z69,MIN(T$6-$E$3,22))),0))-IF($G$2,0,IF((T$6-$G$3)&lt;1,0,IFERROR(LOOKUP(2,1/(Soja!$E69:INDEX(Soja!$E69:$Z69,MIN(T$6-$G$3,22))&lt;&gt;""),Soja!$E69:INDEX(Soja!$E69:$Z69,MIN(T$6-$G$3,22))),0)))))</f>
        <v>0</v>
      </c>
      <c r="U71" s="27" t="n">
        <f aca="false">IF(COUNT(Soja!$E69:$Z69)=0,0,MAX(0,IF((U$6-$E$3)&lt;1,0,IFERROR(LOOKUP(2,1/(Soja!$E69:INDEX(Soja!$E69:$Z69,MIN(U$6-$E$3,22))&lt;&gt;""),Soja!$E69:INDEX(Soja!$E69:$Z69,MIN(U$6-$E$3,22))),0))-IF($G$2,0,IF((U$6-$G$3)&lt;1,0,IFERROR(LOOKUP(2,1/(Soja!$E69:INDEX(Soja!$E69:$Z69,MIN(U$6-$G$3,22))&lt;&gt;""),Soja!$E69:INDEX(Soja!$E69:$Z69,MIN(U$6-$G$3,22))),0)))))</f>
        <v>0</v>
      </c>
      <c r="V71" s="27" t="n">
        <f aca="false">IF(COUNT(Soja!$E69:$Z69)=0,0,MAX(0,IF((V$6-$E$3)&lt;1,0,IFERROR(LOOKUP(2,1/(Soja!$E69:INDEX(Soja!$E69:$Z69,MIN(V$6-$E$3,22))&lt;&gt;""),Soja!$E69:INDEX(Soja!$E69:$Z69,MIN(V$6-$E$3,22))),0))-IF($G$2,0,IF((V$6-$G$3)&lt;1,0,IFERROR(LOOKUP(2,1/(Soja!$E69:INDEX(Soja!$E69:$Z69,MIN(V$6-$G$3,22))&lt;&gt;""),Soja!$E69:INDEX(Soja!$E69:$Z69,MIN(V$6-$G$3,22))),0)))))</f>
        <v>0</v>
      </c>
      <c r="W71" s="27" t="n">
        <f aca="false">IF(COUNT(Soja!$E69:$Z69)=0,0,MAX(0,IF((W$6-$E$3)&lt;1,0,IFERROR(LOOKUP(2,1/(Soja!$E69:INDEX(Soja!$E69:$Z69,MIN(W$6-$E$3,22))&lt;&gt;""),Soja!$E69:INDEX(Soja!$E69:$Z69,MIN(W$6-$E$3,22))),0))-IF($G$2,0,IF((W$6-$G$3)&lt;1,0,IFERROR(LOOKUP(2,1/(Soja!$E69:INDEX(Soja!$E69:$Z69,MIN(W$6-$G$3,22))&lt;&gt;""),Soja!$E69:INDEX(Soja!$E69:$Z69,MIN(W$6-$G$3,22))),0)))))</f>
        <v>0</v>
      </c>
      <c r="X71" s="27" t="n">
        <f aca="false">IF(COUNT(Soja!$E69:$Z69)=0,0,MAX(0,IF((X$6-$E$3)&lt;1,0,IFERROR(LOOKUP(2,1/(Soja!$E69:INDEX(Soja!$E69:$Z69,MIN(X$6-$E$3,22))&lt;&gt;""),Soja!$E69:INDEX(Soja!$E69:$Z69,MIN(X$6-$E$3,22))),0))-IF($G$2,0,IF((X$6-$G$3)&lt;1,0,IFERROR(LOOKUP(2,1/(Soja!$E69:INDEX(Soja!$E69:$Z69,MIN(X$6-$G$3,22))&lt;&gt;""),Soja!$E69:INDEX(Soja!$E69:$Z69,MIN(X$6-$G$3,22))),0)))))</f>
        <v>0</v>
      </c>
      <c r="Y71" s="27" t="n">
        <f aca="false">IF(COUNT(Soja!$E69:$Z69)=0,0,MAX(0,IF((Y$6-$E$3)&lt;1,0,IFERROR(LOOKUP(2,1/(Soja!$E69:INDEX(Soja!$E69:$Z69,MIN(Y$6-$E$3,22))&lt;&gt;""),Soja!$E69:INDEX(Soja!$E69:$Z69,MIN(Y$6-$E$3,22))),0))-IF($G$2,0,IF((Y$6-$G$3)&lt;1,0,IFERROR(LOOKUP(2,1/(Soja!$E69:INDEX(Soja!$E69:$Z69,MIN(Y$6-$G$3,22))&lt;&gt;""),Soja!$E69:INDEX(Soja!$E69:$Z69,MIN(Y$6-$G$3,22))),0)))))</f>
        <v>0</v>
      </c>
      <c r="Z71" s="27" t="n">
        <f aca="false">IF(COUNT(Soja!$E69:$Z69)=0,0,MAX(0,IF((Z$6-$E$3)&lt;1,0,IFERROR(LOOKUP(2,1/(Soja!$E69:INDEX(Soja!$E69:$Z69,MIN(Z$6-$E$3,22))&lt;&gt;""),Soja!$E69:INDEX(Soja!$E69:$Z69,MIN(Z$6-$E$3,22))),0))-IF($G$2,0,IF((Z$6-$G$3)&lt;1,0,IFERROR(LOOKUP(2,1/(Soja!$E69:INDEX(Soja!$E69:$Z69,MIN(Z$6-$G$3,22))&lt;&gt;""),Soja!$E69:INDEX(Soja!$E69:$Z69,MIN(Z$6-$G$3,22))),0)))))</f>
        <v>0</v>
      </c>
      <c r="AA71" s="27" t="n">
        <f aca="false">IF(COUNT(Soja!$E69:$Z69)=0,0,MAX(0,IF((AA$6-$E$3)&lt;1,0,IFERROR(LOOKUP(2,1/(Soja!$E69:INDEX(Soja!$E69:$Z69,MIN(AA$6-$E$3,22))&lt;&gt;""),Soja!$E69:INDEX(Soja!$E69:$Z69,MIN(AA$6-$E$3,22))),0))-IF($G$2,0,IF((AA$6-$G$3)&lt;1,0,IFERROR(LOOKUP(2,1/(Soja!$E69:INDEX(Soja!$E69:$Z69,MIN(AA$6-$G$3,22))&lt;&gt;""),Soja!$E69:INDEX(Soja!$E69:$Z69,MIN(AA$6-$G$3,22))),0)))))</f>
        <v>0</v>
      </c>
      <c r="AB71" s="27" t="n">
        <f aca="false">IF(COUNT(Soja!$E69:$Z69)=0,0,MAX(0,IF((AB$6-$E$3)&lt;1,0,IFERROR(LOOKUP(2,1/(Soja!$E69:INDEX(Soja!$E69:$Z69,MIN(AB$6-$E$3,22))&lt;&gt;""),Soja!$E69:INDEX(Soja!$E69:$Z69,MIN(AB$6-$E$3,22))),0))-IF($G$2,0,IF((AB$6-$G$3)&lt;1,0,IFERROR(LOOKUP(2,1/(Soja!$E69:INDEX(Soja!$E69:$Z69,MIN(AB$6-$G$3,22))&lt;&gt;""),Soja!$E69:INDEX(Soja!$E69:$Z69,MIN(AB$6-$G$3,22))),0)))))</f>
        <v>0</v>
      </c>
      <c r="AC71" s="27" t="n">
        <f aca="false">IF(COUNT(Soja!$E69:$Z69)=0,0,MAX(0,IF((AC$6-$E$3)&lt;1,0,IFERROR(LOOKUP(2,1/(Soja!$E69:INDEX(Soja!$E69:$Z69,MIN(AC$6-$E$3,22))&lt;&gt;""),Soja!$E69:INDEX(Soja!$E69:$Z69,MIN(AC$6-$E$3,22))),0))-IF($G$2,0,IF((AC$6-$G$3)&lt;1,0,IFERROR(LOOKUP(2,1/(Soja!$E69:INDEX(Soja!$E69:$Z69,MIN(AC$6-$G$3,22))&lt;&gt;""),Soja!$E69:INDEX(Soja!$E69:$Z69,MIN(AC$6-$G$3,22))),0)))))</f>
        <v>0</v>
      </c>
      <c r="AD71" s="27" t="n">
        <f aca="false">IF(COUNT(Soja!$E69:$Z69)=0,0,MAX(0,IF((AD$6-$E$3)&lt;1,0,IFERROR(LOOKUP(2,1/(Soja!$E69:INDEX(Soja!$E69:$Z69,MIN(AD$6-$E$3,22))&lt;&gt;""),Soja!$E69:INDEX(Soja!$E69:$Z69,MIN(AD$6-$E$3,22))),0))-IF($G$2,0,IF((AD$6-$G$3)&lt;1,0,IFERROR(LOOKUP(2,1/(Soja!$E69:INDEX(Soja!$E69:$Z69,MIN(AD$6-$G$3,22))&lt;&gt;""),Soja!$E69:INDEX(Soja!$E69:$Z69,MIN(AD$6-$G$3,22))),0)))))</f>
        <v>0</v>
      </c>
      <c r="AE71" s="27" t="n">
        <f aca="false">IF(COUNT(Soja!$E69:$Z69)=0,0,MAX(0,IF((AE$6-$E$3)&lt;1,0,IFERROR(LOOKUP(2,1/(Soja!$E69:INDEX(Soja!$E69:$Z69,MIN(AE$6-$E$3,22))&lt;&gt;""),Soja!$E69:INDEX(Soja!$E69:$Z69,MIN(AE$6-$E$3,22))),0))-IF($G$2,0,IF((AE$6-$G$3)&lt;1,0,IFERROR(LOOKUP(2,1/(Soja!$E69:INDEX(Soja!$E69:$Z69,MIN(AE$6-$G$3,22))&lt;&gt;""),Soja!$E69:INDEX(Soja!$E69:$Z69,MIN(AE$6-$G$3,22))),0)))))</f>
        <v>0</v>
      </c>
      <c r="AF71" s="27" t="n">
        <f aca="false">IF(COUNT(Soja!$E69:$Z69)=0,0,MAX(0,IF((AF$6-$E$3)&lt;1,0,IFERROR(LOOKUP(2,1/(Soja!$E69:INDEX(Soja!$E69:$Z69,MIN(AF$6-$E$3,22))&lt;&gt;""),Soja!$E69:INDEX(Soja!$E69:$Z69,MIN(AF$6-$E$3,22))),0))-IF($G$2,0,IF((AF$6-$G$3)&lt;1,0,IFERROR(LOOKUP(2,1/(Soja!$E69:INDEX(Soja!$E69:$Z69,MIN(AF$6-$G$3,22))&lt;&gt;""),Soja!$E69:INDEX(Soja!$E69:$Z69,MIN(AF$6-$G$3,22))),0)))))</f>
        <v>0</v>
      </c>
      <c r="AG71" s="27" t="n">
        <f aca="false">IF(COUNT(Soja!$E69:$Z69)=0,0,MAX(0,IF((AG$6-$E$3)&lt;1,0,IFERROR(LOOKUP(2,1/(Soja!$E69:INDEX(Soja!$E69:$Z69,MIN(AG$6-$E$3,22))&lt;&gt;""),Soja!$E69:INDEX(Soja!$E69:$Z69,MIN(AG$6-$E$3,22))),0))-IF($G$2,0,IF((AG$6-$G$3)&lt;1,0,IFERROR(LOOKUP(2,1/(Soja!$E69:INDEX(Soja!$E69:$Z69,MIN(AG$6-$G$3,22))&lt;&gt;""),Soja!$E69:INDEX(Soja!$E69:$Z69,MIN(AG$6-$G$3,22))),0)))))</f>
        <v>0</v>
      </c>
      <c r="AH71" s="27" t="n">
        <f aca="false">IF(COUNT(Soja!$E69:$Z69)=0,0,MAX(0,IF((AH$6-$E$3)&lt;1,0,IFERROR(LOOKUP(2,1/(Soja!$E69:INDEX(Soja!$E69:$Z69,MIN(AH$6-$E$3,22))&lt;&gt;""),Soja!$E69:INDEX(Soja!$E69:$Z69,MIN(AH$6-$E$3,22))),0))-IF($G$2,0,IF((AH$6-$G$3)&lt;1,0,IFERROR(LOOKUP(2,1/(Soja!$E69:INDEX(Soja!$E69:$Z69,MIN(AH$6-$G$3,22))&lt;&gt;""),Soja!$E69:INDEX(Soja!$E69:$Z69,MIN(AH$6-$G$3,22))),0)))))</f>
        <v>0</v>
      </c>
      <c r="AI71" s="27" t="n">
        <f aca="false">IF(COUNT(Soja!$E69:$Z69)=0,0,MAX(0,IF((AI$6-$E$3)&lt;1,0,IFERROR(LOOKUP(2,1/(Soja!$E69:INDEX(Soja!$E69:$Z69,MIN(AI$6-$E$3,22))&lt;&gt;""),Soja!$E69:INDEX(Soja!$E69:$Z69,MIN(AI$6-$E$3,22))),0))-IF($G$2,0,IF((AI$6-$G$3)&lt;1,0,IFERROR(LOOKUP(2,1/(Soja!$E69:INDEX(Soja!$E69:$Z69,MIN(AI$6-$G$3,22))&lt;&gt;""),Soja!$E69:INDEX(Soja!$E69:$Z69,MIN(AI$6-$G$3,22))),0)))))</f>
        <v>0</v>
      </c>
      <c r="AJ71" s="27" t="n">
        <f aca="false">IF(COUNT(Soja!$E69:$Z69)=0,0,MAX(0,IF((AJ$6-$E$3)&lt;1,0,IFERROR(LOOKUP(2,1/(Soja!$E69:INDEX(Soja!$E69:$Z69,MIN(AJ$6-$E$3,22))&lt;&gt;""),Soja!$E69:INDEX(Soja!$E69:$Z69,MIN(AJ$6-$E$3,22))),0))-IF($G$2,0,IF((AJ$6-$G$3)&lt;1,0,IFERROR(LOOKUP(2,1/(Soja!$E69:INDEX(Soja!$E69:$Z69,MIN(AJ$6-$G$3,22))&lt;&gt;""),Soja!$E69:INDEX(Soja!$E69:$Z69,MIN(AJ$6-$G$3,22))),0)))))</f>
        <v>0</v>
      </c>
      <c r="AK71" s="27" t="n">
        <f aca="false">IF(COUNT(Soja!$E69:$Z69)=0,0,MAX(0,IF((AK$6-$E$3)&lt;1,0,IFERROR(LOOKUP(2,1/(Soja!$E69:INDEX(Soja!$E69:$Z69,MIN(AK$6-$E$3,22))&lt;&gt;""),Soja!$E69:INDEX(Soja!$E69:$Z69,MIN(AK$6-$E$3,22))),0))-IF($G$2,0,IF((AK$6-$G$3)&lt;1,0,IFERROR(LOOKUP(2,1/(Soja!$E69:INDEX(Soja!$E69:$Z69,MIN(AK$6-$G$3,22))&lt;&gt;""),Soja!$E69:INDEX(Soja!$E69:$Z69,MIN(AK$6-$G$3,22))),0)))))</f>
        <v>0</v>
      </c>
      <c r="AL71" s="27" t="n">
        <f aca="false">IF(COUNT(Soja!$E69:$Z69)=0,0,MAX(0,IF((AL$6-$E$3)&lt;1,0,IFERROR(LOOKUP(2,1/(Soja!$E69:INDEX(Soja!$E69:$Z69,MIN(AL$6-$E$3,22))&lt;&gt;""),Soja!$E69:INDEX(Soja!$E69:$Z69,MIN(AL$6-$E$3,22))),0))-IF($G$2,0,IF((AL$6-$G$3)&lt;1,0,IFERROR(LOOKUP(2,1/(Soja!$E69:INDEX(Soja!$E69:$Z69,MIN(AL$6-$G$3,22))&lt;&gt;""),Soja!$E69:INDEX(Soja!$E69:$Z69,MIN(AL$6-$G$3,22))),0)))))</f>
        <v>0</v>
      </c>
      <c r="AM71" s="27" t="n">
        <f aca="false">IF(COUNT(Soja!$E69:$Z69)=0,0,MAX(0,IF((AM$6-$E$3)&lt;1,0,IFERROR(LOOKUP(2,1/(Soja!$E69:INDEX(Soja!$E69:$Z69,MIN(AM$6-$E$3,22))&lt;&gt;""),Soja!$E69:INDEX(Soja!$E69:$Z69,MIN(AM$6-$E$3,22))),0))-IF($G$2,0,IF((AM$6-$G$3)&lt;1,0,IFERROR(LOOKUP(2,1/(Soja!$E69:INDEX(Soja!$E69:$Z69,MIN(AM$6-$G$3,22))&lt;&gt;""),Soja!$E69:INDEX(Soja!$E69:$Z69,MIN(AM$6-$G$3,22))),0)))))</f>
        <v>0</v>
      </c>
      <c r="AN71" s="27" t="n">
        <f aca="false">IF(COUNT(Soja!$E69:$Z69)=0,0,MAX(0,IF((AN$6-$E$3)&lt;1,0,IFERROR(LOOKUP(2,1/(Soja!$E69:INDEX(Soja!$E69:$Z69,MIN(AN$6-$E$3,22))&lt;&gt;""),Soja!$E69:INDEX(Soja!$E69:$Z69,MIN(AN$6-$E$3,22))),0))-IF($G$2,0,IF((AN$6-$G$3)&lt;1,0,IFERROR(LOOKUP(2,1/(Soja!$E69:INDEX(Soja!$E69:$Z69,MIN(AN$6-$G$3,22))&lt;&gt;""),Soja!$E69:INDEX(Soja!$E69:$Z69,MIN(AN$6-$G$3,22))),0)))))</f>
        <v>0</v>
      </c>
      <c r="AO71" s="27" t="n">
        <f aca="false">IF(COUNT(Soja!$E69:$Z69)=0,0,MAX(0,IF((AO$6-$E$3)&lt;1,0,IFERROR(LOOKUP(2,1/(Soja!$E69:INDEX(Soja!$E69:$Z69,MIN(AO$6-$E$3,22))&lt;&gt;""),Soja!$E69:INDEX(Soja!$E69:$Z69,MIN(AO$6-$E$3,22))),0))-IF($G$2,0,IF((AO$6-$G$3)&lt;1,0,IFERROR(LOOKUP(2,1/(Soja!$E69:INDEX(Soja!$E69:$Z69,MIN(AO$6-$G$3,22))&lt;&gt;""),Soja!$E69:INDEX(Soja!$E69:$Z69,MIN(AO$6-$G$3,22))),0)))))</f>
        <v>0</v>
      </c>
      <c r="AP71" s="27" t="n">
        <f aca="false">IF(COUNT(Soja!$E69:$Z69)=0,0,MAX(0,IF((AP$6-$E$3)&lt;1,0,IFERROR(LOOKUP(2,1/(Soja!$E69:INDEX(Soja!$E69:$Z69,MIN(AP$6-$E$3,22))&lt;&gt;""),Soja!$E69:INDEX(Soja!$E69:$Z69,MIN(AP$6-$E$3,22))),0))-IF($G$2,0,IF((AP$6-$G$3)&lt;1,0,IFERROR(LOOKUP(2,1/(Soja!$E69:INDEX(Soja!$E69:$Z69,MIN(AP$6-$G$3,22))&lt;&gt;""),Soja!$E69:INDEX(Soja!$E69:$Z69,MIN(AP$6-$G$3,22))),0)))))</f>
        <v>0</v>
      </c>
      <c r="AQ71" s="27" t="n">
        <f aca="false">IF(COUNT(Soja!$E69:$Z69)=0,0,MAX(0,IF((AQ$6-$E$3)&lt;1,0,IFERROR(LOOKUP(2,1/(Soja!$E69:INDEX(Soja!$E69:$Z69,MIN(AQ$6-$E$3,22))&lt;&gt;""),Soja!$E69:INDEX(Soja!$E69:$Z69,MIN(AQ$6-$E$3,22))),0))-IF($G$2,0,IF((AQ$6-$G$3)&lt;1,0,IFERROR(LOOKUP(2,1/(Soja!$E69:INDEX(Soja!$E69:$Z69,MIN(AQ$6-$G$3,22))&lt;&gt;""),Soja!$E69:INDEX(Soja!$E69:$Z69,MIN(AQ$6-$G$3,22))),0)))))</f>
        <v>0</v>
      </c>
      <c r="AR71" s="27" t="n">
        <f aca="false">IF(COUNT(Soja!$E69:$Z69)=0,0,MAX(0,IF((AR$6-$E$3)&lt;1,0,IFERROR(LOOKUP(2,1/(Soja!$E69:INDEX(Soja!$E69:$Z69,MIN(AR$6-$E$3,22))&lt;&gt;""),Soja!$E69:INDEX(Soja!$E69:$Z69,MIN(AR$6-$E$3,22))),0))-IF($G$2,0,IF((AR$6-$G$3)&lt;1,0,IFERROR(LOOKUP(2,1/(Soja!$E69:INDEX(Soja!$E69:$Z69,MIN(AR$6-$G$3,22))&lt;&gt;""),Soja!$E69:INDEX(Soja!$E69:$Z69,MIN(AR$6-$G$3,22))),0)))))</f>
        <v>0</v>
      </c>
      <c r="AS71" s="27" t="n">
        <f aca="false">IF(COUNT(Soja!$E69:$Z69)=0,0,MAX(0,IF((AS$6-$E$3)&lt;1,0,IFERROR(LOOKUP(2,1/(Soja!$E69:INDEX(Soja!$E69:$Z69,MIN(AS$6-$E$3,22))&lt;&gt;""),Soja!$E69:INDEX(Soja!$E69:$Z69,MIN(AS$6-$E$3,22))),0))-IF($G$2,0,IF((AS$6-$G$3)&lt;1,0,IFERROR(LOOKUP(2,1/(Soja!$E69:INDEX(Soja!$E69:$Z69,MIN(AS$6-$G$3,22))&lt;&gt;""),Soja!$E69:INDEX(Soja!$E69:$Z69,MIN(AS$6-$G$3,22))),0)))))</f>
        <v>0</v>
      </c>
      <c r="AT71" s="27" t="n">
        <f aca="false">IF(COUNT(Soja!$E69:$Z69)=0,0,MAX(0,IF((AT$6-$E$3)&lt;1,0,IFERROR(LOOKUP(2,1/(Soja!$E69:INDEX(Soja!$E69:$Z69,MIN(AT$6-$E$3,22))&lt;&gt;""),Soja!$E69:INDEX(Soja!$E69:$Z69,MIN(AT$6-$E$3,22))),0))-IF($G$2,0,IF((AT$6-$G$3)&lt;1,0,IFERROR(LOOKUP(2,1/(Soja!$E69:INDEX(Soja!$E69:$Z69,MIN(AT$6-$G$3,22))&lt;&gt;""),Soja!$E69:INDEX(Soja!$E69:$Z69,MIN(AT$6-$G$3,22))),0)))))</f>
        <v>0</v>
      </c>
      <c r="AU71" s="27" t="n">
        <f aca="false">IF(COUNT(Soja!$E69:$Z69)=0,0,MAX(0,IF((AU$6-$E$3)&lt;1,0,IFERROR(LOOKUP(2,1/(Soja!$E69:INDEX(Soja!$E69:$Z69,MIN(AU$6-$E$3,22))&lt;&gt;""),Soja!$E69:INDEX(Soja!$E69:$Z69,MIN(AU$6-$E$3,22))),0))-IF($G$2,0,IF((AU$6-$G$3)&lt;1,0,IFERROR(LOOKUP(2,1/(Soja!$E69:INDEX(Soja!$E69:$Z69,MIN(AU$6-$G$3,22))&lt;&gt;""),Soja!$E69:INDEX(Soja!$E69:$Z69,MIN(AU$6-$G$3,22))),0)))))</f>
        <v>0</v>
      </c>
      <c r="AV71" s="27" t="n">
        <f aca="false">IF(COUNT(Soja!$E69:$Z69)=0,0,MAX(0,IF((AV$6-$E$3)&lt;1,0,IFERROR(LOOKUP(2,1/(Soja!$E69:INDEX(Soja!$E69:$Z69,MIN(AV$6-$E$3,22))&lt;&gt;""),Soja!$E69:INDEX(Soja!$E69:$Z69,MIN(AV$6-$E$3,22))),0))-IF($G$2,0,IF((AV$6-$G$3)&lt;1,0,IFERROR(LOOKUP(2,1/(Soja!$E69:INDEX(Soja!$E69:$Z69,MIN(AV$6-$G$3,22))&lt;&gt;""),Soja!$E69:INDEX(Soja!$E69:$Z69,MIN(AV$6-$G$3,22))),0)))))</f>
        <v>0</v>
      </c>
      <c r="AW71" s="27" t="n">
        <f aca="false">IF(COUNT(Soja!$E69:$Z69)=0,0,MAX(0,IF((AW$6-$E$3)&lt;1,0,IFERROR(LOOKUP(2,1/(Soja!$E69:INDEX(Soja!$E69:$Z69,MIN(AW$6-$E$3,22))&lt;&gt;""),Soja!$E69:INDEX(Soja!$E69:$Z69,MIN(AW$6-$E$3,22))),0))-IF($G$2,0,IF((AW$6-$G$3)&lt;1,0,IFERROR(LOOKUP(2,1/(Soja!$E69:INDEX(Soja!$E69:$Z69,MIN(AW$6-$G$3,22))&lt;&gt;""),Soja!$E69:INDEX(Soja!$E69:$Z69,MIN(AW$6-$G$3,22))),0)))))</f>
        <v>0</v>
      </c>
      <c r="AX71" s="27" t="n">
        <f aca="false">IF(COUNT(Soja!$E69:$Z69)=0,0,MAX(0,IF((AX$6-$E$3)&lt;1,0,IFERROR(LOOKUP(2,1/(Soja!$E69:INDEX(Soja!$E69:$Z69,MIN(AX$6-$E$3,22))&lt;&gt;""),Soja!$E69:INDEX(Soja!$E69:$Z69,MIN(AX$6-$E$3,22))),0))-IF($G$2,0,IF((AX$6-$G$3)&lt;1,0,IFERROR(LOOKUP(2,1/(Soja!$E69:INDEX(Soja!$E69:$Z69,MIN(AX$6-$G$3,22))&lt;&gt;""),Soja!$E69:INDEX(Soja!$E69:$Z69,MIN(AX$6-$G$3,22))),0)))))</f>
        <v>0</v>
      </c>
      <c r="AY71" s="27" t="n">
        <f aca="false">IF(COUNT(Soja!$E69:$Z69)=0,0,MAX(0,IF((AY$6-$E$3)&lt;1,0,IFERROR(LOOKUP(2,1/(Soja!$E69:INDEX(Soja!$E69:$Z69,MIN(AY$6-$E$3,22))&lt;&gt;""),Soja!$E69:INDEX(Soja!$E69:$Z69,MIN(AY$6-$E$3,22))),0))-IF($G$2,0,IF((AY$6-$G$3)&lt;1,0,IFERROR(LOOKUP(2,1/(Soja!$E69:INDEX(Soja!$E69:$Z69,MIN(AY$6-$G$3,22))&lt;&gt;""),Soja!$E69:INDEX(Soja!$E69:$Z69,MIN(AY$6-$G$3,22))),0)))))</f>
        <v>0</v>
      </c>
      <c r="AZ71" s="27" t="n">
        <f aca="false">IF(COUNT(Soja!$E69:$Z69)=0,0,MAX(0,IF((AZ$6-$E$3)&lt;1,0,IFERROR(LOOKUP(2,1/(Soja!$E69:INDEX(Soja!$E69:$Z69,MIN(AZ$6-$E$3,22))&lt;&gt;""),Soja!$E69:INDEX(Soja!$E69:$Z69,MIN(AZ$6-$E$3,22))),0))-IF($G$2,0,IF((AZ$6-$G$3)&lt;1,0,IFERROR(LOOKUP(2,1/(Soja!$E69:INDEX(Soja!$E69:$Z69,MIN(AZ$6-$G$3,22))&lt;&gt;""),Soja!$E69:INDEX(Soja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IF(COUNT(Soja!$E70:$Z70)&gt;0,N(Soja!$D70),0)</f>
        <v>0</v>
      </c>
      <c r="E72" s="27" t="n">
        <f aca="false">IF(COUNT(Soja!$E70:$Z70)=0,0,MAX(0,IF((E$6-$E$3)&lt;1,0,IFERROR(LOOKUP(2,1/(Soja!$E70:INDEX(Soja!$E70:$Z70,MIN(E$6-$E$3,22))&lt;&gt;""),Soja!$E70:INDEX(Soja!$E70:$Z70,MIN(E$6-$E$3,22))),0))-IF($G$2,0,IF((E$6-$G$3)&lt;1,0,IFERROR(LOOKUP(2,1/(Soja!$E70:INDEX(Soja!$E70:$Z70,MIN(E$6-$G$3,22))&lt;&gt;""),Soja!$E70:INDEX(Soja!$E70:$Z70,MIN(E$6-$G$3,22))),0)))))</f>
        <v>0</v>
      </c>
      <c r="F72" s="27" t="n">
        <f aca="false">IF(COUNT(Soja!$E70:$Z70)=0,0,MAX(0,IF((F$6-$E$3)&lt;1,0,IFERROR(LOOKUP(2,1/(Soja!$E70:INDEX(Soja!$E70:$Z70,MIN(F$6-$E$3,22))&lt;&gt;""),Soja!$E70:INDEX(Soja!$E70:$Z70,MIN(F$6-$E$3,22))),0))-IF($G$2,0,IF((F$6-$G$3)&lt;1,0,IFERROR(LOOKUP(2,1/(Soja!$E70:INDEX(Soja!$E70:$Z70,MIN(F$6-$G$3,22))&lt;&gt;""),Soja!$E70:INDEX(Soja!$E70:$Z70,MIN(F$6-$G$3,22))),0)))))</f>
        <v>0</v>
      </c>
      <c r="G72" s="27" t="n">
        <f aca="false">IF(COUNT(Soja!$E70:$Z70)=0,0,MAX(0,IF((G$6-$E$3)&lt;1,0,IFERROR(LOOKUP(2,1/(Soja!$E70:INDEX(Soja!$E70:$Z70,MIN(G$6-$E$3,22))&lt;&gt;""),Soja!$E70:INDEX(Soja!$E70:$Z70,MIN(G$6-$E$3,22))),0))-IF($G$2,0,IF((G$6-$G$3)&lt;1,0,IFERROR(LOOKUP(2,1/(Soja!$E70:INDEX(Soja!$E70:$Z70,MIN(G$6-$G$3,22))&lt;&gt;""),Soja!$E70:INDEX(Soja!$E70:$Z70,MIN(G$6-$G$3,22))),0)))))</f>
        <v>0</v>
      </c>
      <c r="H72" s="27" t="n">
        <f aca="false">IF(COUNT(Soja!$E70:$Z70)=0,0,MAX(0,IF((H$6-$E$3)&lt;1,0,IFERROR(LOOKUP(2,1/(Soja!$E70:INDEX(Soja!$E70:$Z70,MIN(H$6-$E$3,22))&lt;&gt;""),Soja!$E70:INDEX(Soja!$E70:$Z70,MIN(H$6-$E$3,22))),0))-IF($G$2,0,IF((H$6-$G$3)&lt;1,0,IFERROR(LOOKUP(2,1/(Soja!$E70:INDEX(Soja!$E70:$Z70,MIN(H$6-$G$3,22))&lt;&gt;""),Soja!$E70:INDEX(Soja!$E70:$Z70,MIN(H$6-$G$3,22))),0)))))</f>
        <v>0</v>
      </c>
      <c r="I72" s="27" t="n">
        <f aca="false">IF(COUNT(Soja!$E70:$Z70)=0,0,MAX(0,IF((I$6-$E$3)&lt;1,0,IFERROR(LOOKUP(2,1/(Soja!$E70:INDEX(Soja!$E70:$Z70,MIN(I$6-$E$3,22))&lt;&gt;""),Soja!$E70:INDEX(Soja!$E70:$Z70,MIN(I$6-$E$3,22))),0))-IF($G$2,0,IF((I$6-$G$3)&lt;1,0,IFERROR(LOOKUP(2,1/(Soja!$E70:INDEX(Soja!$E70:$Z70,MIN(I$6-$G$3,22))&lt;&gt;""),Soja!$E70:INDEX(Soja!$E70:$Z70,MIN(I$6-$G$3,22))),0)))))</f>
        <v>0</v>
      </c>
      <c r="J72" s="27" t="n">
        <f aca="false">IF(COUNT(Soja!$E70:$Z70)=0,0,MAX(0,IF((J$6-$E$3)&lt;1,0,IFERROR(LOOKUP(2,1/(Soja!$E70:INDEX(Soja!$E70:$Z70,MIN(J$6-$E$3,22))&lt;&gt;""),Soja!$E70:INDEX(Soja!$E70:$Z70,MIN(J$6-$E$3,22))),0))-IF($G$2,0,IF((J$6-$G$3)&lt;1,0,IFERROR(LOOKUP(2,1/(Soja!$E70:INDEX(Soja!$E70:$Z70,MIN(J$6-$G$3,22))&lt;&gt;""),Soja!$E70:INDEX(Soja!$E70:$Z70,MIN(J$6-$G$3,22))),0)))))</f>
        <v>0</v>
      </c>
      <c r="K72" s="27" t="n">
        <f aca="false">IF(COUNT(Soja!$E70:$Z70)=0,0,MAX(0,IF((K$6-$E$3)&lt;1,0,IFERROR(LOOKUP(2,1/(Soja!$E70:INDEX(Soja!$E70:$Z70,MIN(K$6-$E$3,22))&lt;&gt;""),Soja!$E70:INDEX(Soja!$E70:$Z70,MIN(K$6-$E$3,22))),0))-IF($G$2,0,IF((K$6-$G$3)&lt;1,0,IFERROR(LOOKUP(2,1/(Soja!$E70:INDEX(Soja!$E70:$Z70,MIN(K$6-$G$3,22))&lt;&gt;""),Soja!$E70:INDEX(Soja!$E70:$Z70,MIN(K$6-$G$3,22))),0)))))</f>
        <v>0</v>
      </c>
      <c r="L72" s="27" t="n">
        <f aca="false">IF(COUNT(Soja!$E70:$Z70)=0,0,MAX(0,IF((L$6-$E$3)&lt;1,0,IFERROR(LOOKUP(2,1/(Soja!$E70:INDEX(Soja!$E70:$Z70,MIN(L$6-$E$3,22))&lt;&gt;""),Soja!$E70:INDEX(Soja!$E70:$Z70,MIN(L$6-$E$3,22))),0))-IF($G$2,0,IF((L$6-$G$3)&lt;1,0,IFERROR(LOOKUP(2,1/(Soja!$E70:INDEX(Soja!$E70:$Z70,MIN(L$6-$G$3,22))&lt;&gt;""),Soja!$E70:INDEX(Soja!$E70:$Z70,MIN(L$6-$G$3,22))),0)))))</f>
        <v>0</v>
      </c>
      <c r="M72" s="27" t="n">
        <f aca="false">IF(COUNT(Soja!$E70:$Z70)=0,0,MAX(0,IF((M$6-$E$3)&lt;1,0,IFERROR(LOOKUP(2,1/(Soja!$E70:INDEX(Soja!$E70:$Z70,MIN(M$6-$E$3,22))&lt;&gt;""),Soja!$E70:INDEX(Soja!$E70:$Z70,MIN(M$6-$E$3,22))),0))-IF($G$2,0,IF((M$6-$G$3)&lt;1,0,IFERROR(LOOKUP(2,1/(Soja!$E70:INDEX(Soja!$E70:$Z70,MIN(M$6-$G$3,22))&lt;&gt;""),Soja!$E70:INDEX(Soja!$E70:$Z70,MIN(M$6-$G$3,22))),0)))))</f>
        <v>0</v>
      </c>
      <c r="N72" s="27" t="n">
        <f aca="false">IF(COUNT(Soja!$E70:$Z70)=0,0,MAX(0,IF((N$6-$E$3)&lt;1,0,IFERROR(LOOKUP(2,1/(Soja!$E70:INDEX(Soja!$E70:$Z70,MIN(N$6-$E$3,22))&lt;&gt;""),Soja!$E70:INDEX(Soja!$E70:$Z70,MIN(N$6-$E$3,22))),0))-IF($G$2,0,IF((N$6-$G$3)&lt;1,0,IFERROR(LOOKUP(2,1/(Soja!$E70:INDEX(Soja!$E70:$Z70,MIN(N$6-$G$3,22))&lt;&gt;""),Soja!$E70:INDEX(Soja!$E70:$Z70,MIN(N$6-$G$3,22))),0)))))</f>
        <v>0</v>
      </c>
      <c r="O72" s="27" t="n">
        <f aca="false">IF(COUNT(Soja!$E70:$Z70)=0,0,MAX(0,IF((O$6-$E$3)&lt;1,0,IFERROR(LOOKUP(2,1/(Soja!$E70:INDEX(Soja!$E70:$Z70,MIN(O$6-$E$3,22))&lt;&gt;""),Soja!$E70:INDEX(Soja!$E70:$Z70,MIN(O$6-$E$3,22))),0))-IF($G$2,0,IF((O$6-$G$3)&lt;1,0,IFERROR(LOOKUP(2,1/(Soja!$E70:INDEX(Soja!$E70:$Z70,MIN(O$6-$G$3,22))&lt;&gt;""),Soja!$E70:INDEX(Soja!$E70:$Z70,MIN(O$6-$G$3,22))),0)))))</f>
        <v>0</v>
      </c>
      <c r="P72" s="27" t="n">
        <f aca="false">IF(COUNT(Soja!$E70:$Z70)=0,0,MAX(0,IF((P$6-$E$3)&lt;1,0,IFERROR(LOOKUP(2,1/(Soja!$E70:INDEX(Soja!$E70:$Z70,MIN(P$6-$E$3,22))&lt;&gt;""),Soja!$E70:INDEX(Soja!$E70:$Z70,MIN(P$6-$E$3,22))),0))-IF($G$2,0,IF((P$6-$G$3)&lt;1,0,IFERROR(LOOKUP(2,1/(Soja!$E70:INDEX(Soja!$E70:$Z70,MIN(P$6-$G$3,22))&lt;&gt;""),Soja!$E70:INDEX(Soja!$E70:$Z70,MIN(P$6-$G$3,22))),0)))))</f>
        <v>0</v>
      </c>
      <c r="Q72" s="27" t="n">
        <f aca="false">IF(COUNT(Soja!$E70:$Z70)=0,0,MAX(0,IF((Q$6-$E$3)&lt;1,0,IFERROR(LOOKUP(2,1/(Soja!$E70:INDEX(Soja!$E70:$Z70,MIN(Q$6-$E$3,22))&lt;&gt;""),Soja!$E70:INDEX(Soja!$E70:$Z70,MIN(Q$6-$E$3,22))),0))-IF($G$2,0,IF((Q$6-$G$3)&lt;1,0,IFERROR(LOOKUP(2,1/(Soja!$E70:INDEX(Soja!$E70:$Z70,MIN(Q$6-$G$3,22))&lt;&gt;""),Soja!$E70:INDEX(Soja!$E70:$Z70,MIN(Q$6-$G$3,22))),0)))))</f>
        <v>0</v>
      </c>
      <c r="R72" s="27" t="n">
        <f aca="false">IF(COUNT(Soja!$E70:$Z70)=0,0,MAX(0,IF((R$6-$E$3)&lt;1,0,IFERROR(LOOKUP(2,1/(Soja!$E70:INDEX(Soja!$E70:$Z70,MIN(R$6-$E$3,22))&lt;&gt;""),Soja!$E70:INDEX(Soja!$E70:$Z70,MIN(R$6-$E$3,22))),0))-IF($G$2,0,IF((R$6-$G$3)&lt;1,0,IFERROR(LOOKUP(2,1/(Soja!$E70:INDEX(Soja!$E70:$Z70,MIN(R$6-$G$3,22))&lt;&gt;""),Soja!$E70:INDEX(Soja!$E70:$Z70,MIN(R$6-$G$3,22))),0)))))</f>
        <v>0</v>
      </c>
      <c r="S72" s="27" t="n">
        <f aca="false">IF(COUNT(Soja!$E70:$Z70)=0,0,MAX(0,IF((S$6-$E$3)&lt;1,0,IFERROR(LOOKUP(2,1/(Soja!$E70:INDEX(Soja!$E70:$Z70,MIN(S$6-$E$3,22))&lt;&gt;""),Soja!$E70:INDEX(Soja!$E70:$Z70,MIN(S$6-$E$3,22))),0))-IF($G$2,0,IF((S$6-$G$3)&lt;1,0,IFERROR(LOOKUP(2,1/(Soja!$E70:INDEX(Soja!$E70:$Z70,MIN(S$6-$G$3,22))&lt;&gt;""),Soja!$E70:INDEX(Soja!$E70:$Z70,MIN(S$6-$G$3,22))),0)))))</f>
        <v>0</v>
      </c>
      <c r="T72" s="27" t="n">
        <f aca="false">IF(COUNT(Soja!$E70:$Z70)=0,0,MAX(0,IF((T$6-$E$3)&lt;1,0,IFERROR(LOOKUP(2,1/(Soja!$E70:INDEX(Soja!$E70:$Z70,MIN(T$6-$E$3,22))&lt;&gt;""),Soja!$E70:INDEX(Soja!$E70:$Z70,MIN(T$6-$E$3,22))),0))-IF($G$2,0,IF((T$6-$G$3)&lt;1,0,IFERROR(LOOKUP(2,1/(Soja!$E70:INDEX(Soja!$E70:$Z70,MIN(T$6-$G$3,22))&lt;&gt;""),Soja!$E70:INDEX(Soja!$E70:$Z70,MIN(T$6-$G$3,22))),0)))))</f>
        <v>0</v>
      </c>
      <c r="U72" s="27" t="n">
        <f aca="false">IF(COUNT(Soja!$E70:$Z70)=0,0,MAX(0,IF((U$6-$E$3)&lt;1,0,IFERROR(LOOKUP(2,1/(Soja!$E70:INDEX(Soja!$E70:$Z70,MIN(U$6-$E$3,22))&lt;&gt;""),Soja!$E70:INDEX(Soja!$E70:$Z70,MIN(U$6-$E$3,22))),0))-IF($G$2,0,IF((U$6-$G$3)&lt;1,0,IFERROR(LOOKUP(2,1/(Soja!$E70:INDEX(Soja!$E70:$Z70,MIN(U$6-$G$3,22))&lt;&gt;""),Soja!$E70:INDEX(Soja!$E70:$Z70,MIN(U$6-$G$3,22))),0)))))</f>
        <v>0</v>
      </c>
      <c r="V72" s="27" t="n">
        <f aca="false">IF(COUNT(Soja!$E70:$Z70)=0,0,MAX(0,IF((V$6-$E$3)&lt;1,0,IFERROR(LOOKUP(2,1/(Soja!$E70:INDEX(Soja!$E70:$Z70,MIN(V$6-$E$3,22))&lt;&gt;""),Soja!$E70:INDEX(Soja!$E70:$Z70,MIN(V$6-$E$3,22))),0))-IF($G$2,0,IF((V$6-$G$3)&lt;1,0,IFERROR(LOOKUP(2,1/(Soja!$E70:INDEX(Soja!$E70:$Z70,MIN(V$6-$G$3,22))&lt;&gt;""),Soja!$E70:INDEX(Soja!$E70:$Z70,MIN(V$6-$G$3,22))),0)))))</f>
        <v>0</v>
      </c>
      <c r="W72" s="27" t="n">
        <f aca="false">IF(COUNT(Soja!$E70:$Z70)=0,0,MAX(0,IF((W$6-$E$3)&lt;1,0,IFERROR(LOOKUP(2,1/(Soja!$E70:INDEX(Soja!$E70:$Z70,MIN(W$6-$E$3,22))&lt;&gt;""),Soja!$E70:INDEX(Soja!$E70:$Z70,MIN(W$6-$E$3,22))),0))-IF($G$2,0,IF((W$6-$G$3)&lt;1,0,IFERROR(LOOKUP(2,1/(Soja!$E70:INDEX(Soja!$E70:$Z70,MIN(W$6-$G$3,22))&lt;&gt;""),Soja!$E70:INDEX(Soja!$E70:$Z70,MIN(W$6-$G$3,22))),0)))))</f>
        <v>0</v>
      </c>
      <c r="X72" s="27" t="n">
        <f aca="false">IF(COUNT(Soja!$E70:$Z70)=0,0,MAX(0,IF((X$6-$E$3)&lt;1,0,IFERROR(LOOKUP(2,1/(Soja!$E70:INDEX(Soja!$E70:$Z70,MIN(X$6-$E$3,22))&lt;&gt;""),Soja!$E70:INDEX(Soja!$E70:$Z70,MIN(X$6-$E$3,22))),0))-IF($G$2,0,IF((X$6-$G$3)&lt;1,0,IFERROR(LOOKUP(2,1/(Soja!$E70:INDEX(Soja!$E70:$Z70,MIN(X$6-$G$3,22))&lt;&gt;""),Soja!$E70:INDEX(Soja!$E70:$Z70,MIN(X$6-$G$3,22))),0)))))</f>
        <v>0</v>
      </c>
      <c r="Y72" s="27" t="n">
        <f aca="false">IF(COUNT(Soja!$E70:$Z70)=0,0,MAX(0,IF((Y$6-$E$3)&lt;1,0,IFERROR(LOOKUP(2,1/(Soja!$E70:INDEX(Soja!$E70:$Z70,MIN(Y$6-$E$3,22))&lt;&gt;""),Soja!$E70:INDEX(Soja!$E70:$Z70,MIN(Y$6-$E$3,22))),0))-IF($G$2,0,IF((Y$6-$G$3)&lt;1,0,IFERROR(LOOKUP(2,1/(Soja!$E70:INDEX(Soja!$E70:$Z70,MIN(Y$6-$G$3,22))&lt;&gt;""),Soja!$E70:INDEX(Soja!$E70:$Z70,MIN(Y$6-$G$3,22))),0)))))</f>
        <v>0</v>
      </c>
      <c r="Z72" s="27" t="n">
        <f aca="false">IF(COUNT(Soja!$E70:$Z70)=0,0,MAX(0,IF((Z$6-$E$3)&lt;1,0,IFERROR(LOOKUP(2,1/(Soja!$E70:INDEX(Soja!$E70:$Z70,MIN(Z$6-$E$3,22))&lt;&gt;""),Soja!$E70:INDEX(Soja!$E70:$Z70,MIN(Z$6-$E$3,22))),0))-IF($G$2,0,IF((Z$6-$G$3)&lt;1,0,IFERROR(LOOKUP(2,1/(Soja!$E70:INDEX(Soja!$E70:$Z70,MIN(Z$6-$G$3,22))&lt;&gt;""),Soja!$E70:INDEX(Soja!$E70:$Z70,MIN(Z$6-$G$3,22))),0)))))</f>
        <v>0</v>
      </c>
      <c r="AA72" s="27" t="n">
        <f aca="false">IF(COUNT(Soja!$E70:$Z70)=0,0,MAX(0,IF((AA$6-$E$3)&lt;1,0,IFERROR(LOOKUP(2,1/(Soja!$E70:INDEX(Soja!$E70:$Z70,MIN(AA$6-$E$3,22))&lt;&gt;""),Soja!$E70:INDEX(Soja!$E70:$Z70,MIN(AA$6-$E$3,22))),0))-IF($G$2,0,IF((AA$6-$G$3)&lt;1,0,IFERROR(LOOKUP(2,1/(Soja!$E70:INDEX(Soja!$E70:$Z70,MIN(AA$6-$G$3,22))&lt;&gt;""),Soja!$E70:INDEX(Soja!$E70:$Z70,MIN(AA$6-$G$3,22))),0)))))</f>
        <v>0</v>
      </c>
      <c r="AB72" s="27" t="n">
        <f aca="false">IF(COUNT(Soja!$E70:$Z70)=0,0,MAX(0,IF((AB$6-$E$3)&lt;1,0,IFERROR(LOOKUP(2,1/(Soja!$E70:INDEX(Soja!$E70:$Z70,MIN(AB$6-$E$3,22))&lt;&gt;""),Soja!$E70:INDEX(Soja!$E70:$Z70,MIN(AB$6-$E$3,22))),0))-IF($G$2,0,IF((AB$6-$G$3)&lt;1,0,IFERROR(LOOKUP(2,1/(Soja!$E70:INDEX(Soja!$E70:$Z70,MIN(AB$6-$G$3,22))&lt;&gt;""),Soja!$E70:INDEX(Soja!$E70:$Z70,MIN(AB$6-$G$3,22))),0)))))</f>
        <v>0</v>
      </c>
      <c r="AC72" s="27" t="n">
        <f aca="false">IF(COUNT(Soja!$E70:$Z70)=0,0,MAX(0,IF((AC$6-$E$3)&lt;1,0,IFERROR(LOOKUP(2,1/(Soja!$E70:INDEX(Soja!$E70:$Z70,MIN(AC$6-$E$3,22))&lt;&gt;""),Soja!$E70:INDEX(Soja!$E70:$Z70,MIN(AC$6-$E$3,22))),0))-IF($G$2,0,IF((AC$6-$G$3)&lt;1,0,IFERROR(LOOKUP(2,1/(Soja!$E70:INDEX(Soja!$E70:$Z70,MIN(AC$6-$G$3,22))&lt;&gt;""),Soja!$E70:INDEX(Soja!$E70:$Z70,MIN(AC$6-$G$3,22))),0)))))</f>
        <v>0</v>
      </c>
      <c r="AD72" s="27" t="n">
        <f aca="false">IF(COUNT(Soja!$E70:$Z70)=0,0,MAX(0,IF((AD$6-$E$3)&lt;1,0,IFERROR(LOOKUP(2,1/(Soja!$E70:INDEX(Soja!$E70:$Z70,MIN(AD$6-$E$3,22))&lt;&gt;""),Soja!$E70:INDEX(Soja!$E70:$Z70,MIN(AD$6-$E$3,22))),0))-IF($G$2,0,IF((AD$6-$G$3)&lt;1,0,IFERROR(LOOKUP(2,1/(Soja!$E70:INDEX(Soja!$E70:$Z70,MIN(AD$6-$G$3,22))&lt;&gt;""),Soja!$E70:INDEX(Soja!$E70:$Z70,MIN(AD$6-$G$3,22))),0)))))</f>
        <v>0</v>
      </c>
      <c r="AE72" s="27" t="n">
        <f aca="false">IF(COUNT(Soja!$E70:$Z70)=0,0,MAX(0,IF((AE$6-$E$3)&lt;1,0,IFERROR(LOOKUP(2,1/(Soja!$E70:INDEX(Soja!$E70:$Z70,MIN(AE$6-$E$3,22))&lt;&gt;""),Soja!$E70:INDEX(Soja!$E70:$Z70,MIN(AE$6-$E$3,22))),0))-IF($G$2,0,IF((AE$6-$G$3)&lt;1,0,IFERROR(LOOKUP(2,1/(Soja!$E70:INDEX(Soja!$E70:$Z70,MIN(AE$6-$G$3,22))&lt;&gt;""),Soja!$E70:INDEX(Soja!$E70:$Z70,MIN(AE$6-$G$3,22))),0)))))</f>
        <v>0</v>
      </c>
      <c r="AF72" s="27" t="n">
        <f aca="false">IF(COUNT(Soja!$E70:$Z70)=0,0,MAX(0,IF((AF$6-$E$3)&lt;1,0,IFERROR(LOOKUP(2,1/(Soja!$E70:INDEX(Soja!$E70:$Z70,MIN(AF$6-$E$3,22))&lt;&gt;""),Soja!$E70:INDEX(Soja!$E70:$Z70,MIN(AF$6-$E$3,22))),0))-IF($G$2,0,IF((AF$6-$G$3)&lt;1,0,IFERROR(LOOKUP(2,1/(Soja!$E70:INDEX(Soja!$E70:$Z70,MIN(AF$6-$G$3,22))&lt;&gt;""),Soja!$E70:INDEX(Soja!$E70:$Z70,MIN(AF$6-$G$3,22))),0)))))</f>
        <v>0</v>
      </c>
      <c r="AG72" s="27" t="n">
        <f aca="false">IF(COUNT(Soja!$E70:$Z70)=0,0,MAX(0,IF((AG$6-$E$3)&lt;1,0,IFERROR(LOOKUP(2,1/(Soja!$E70:INDEX(Soja!$E70:$Z70,MIN(AG$6-$E$3,22))&lt;&gt;""),Soja!$E70:INDEX(Soja!$E70:$Z70,MIN(AG$6-$E$3,22))),0))-IF($G$2,0,IF((AG$6-$G$3)&lt;1,0,IFERROR(LOOKUP(2,1/(Soja!$E70:INDEX(Soja!$E70:$Z70,MIN(AG$6-$G$3,22))&lt;&gt;""),Soja!$E70:INDEX(Soja!$E70:$Z70,MIN(AG$6-$G$3,22))),0)))))</f>
        <v>0</v>
      </c>
      <c r="AH72" s="27" t="n">
        <f aca="false">IF(COUNT(Soja!$E70:$Z70)=0,0,MAX(0,IF((AH$6-$E$3)&lt;1,0,IFERROR(LOOKUP(2,1/(Soja!$E70:INDEX(Soja!$E70:$Z70,MIN(AH$6-$E$3,22))&lt;&gt;""),Soja!$E70:INDEX(Soja!$E70:$Z70,MIN(AH$6-$E$3,22))),0))-IF($G$2,0,IF((AH$6-$G$3)&lt;1,0,IFERROR(LOOKUP(2,1/(Soja!$E70:INDEX(Soja!$E70:$Z70,MIN(AH$6-$G$3,22))&lt;&gt;""),Soja!$E70:INDEX(Soja!$E70:$Z70,MIN(AH$6-$G$3,22))),0)))))</f>
        <v>0</v>
      </c>
      <c r="AI72" s="27" t="n">
        <f aca="false">IF(COUNT(Soja!$E70:$Z70)=0,0,MAX(0,IF((AI$6-$E$3)&lt;1,0,IFERROR(LOOKUP(2,1/(Soja!$E70:INDEX(Soja!$E70:$Z70,MIN(AI$6-$E$3,22))&lt;&gt;""),Soja!$E70:INDEX(Soja!$E70:$Z70,MIN(AI$6-$E$3,22))),0))-IF($G$2,0,IF((AI$6-$G$3)&lt;1,0,IFERROR(LOOKUP(2,1/(Soja!$E70:INDEX(Soja!$E70:$Z70,MIN(AI$6-$G$3,22))&lt;&gt;""),Soja!$E70:INDEX(Soja!$E70:$Z70,MIN(AI$6-$G$3,22))),0)))))</f>
        <v>0</v>
      </c>
      <c r="AJ72" s="27" t="n">
        <f aca="false">IF(COUNT(Soja!$E70:$Z70)=0,0,MAX(0,IF((AJ$6-$E$3)&lt;1,0,IFERROR(LOOKUP(2,1/(Soja!$E70:INDEX(Soja!$E70:$Z70,MIN(AJ$6-$E$3,22))&lt;&gt;""),Soja!$E70:INDEX(Soja!$E70:$Z70,MIN(AJ$6-$E$3,22))),0))-IF($G$2,0,IF((AJ$6-$G$3)&lt;1,0,IFERROR(LOOKUP(2,1/(Soja!$E70:INDEX(Soja!$E70:$Z70,MIN(AJ$6-$G$3,22))&lt;&gt;""),Soja!$E70:INDEX(Soja!$E70:$Z70,MIN(AJ$6-$G$3,22))),0)))))</f>
        <v>0</v>
      </c>
      <c r="AK72" s="27" t="n">
        <f aca="false">IF(COUNT(Soja!$E70:$Z70)=0,0,MAX(0,IF((AK$6-$E$3)&lt;1,0,IFERROR(LOOKUP(2,1/(Soja!$E70:INDEX(Soja!$E70:$Z70,MIN(AK$6-$E$3,22))&lt;&gt;""),Soja!$E70:INDEX(Soja!$E70:$Z70,MIN(AK$6-$E$3,22))),0))-IF($G$2,0,IF((AK$6-$G$3)&lt;1,0,IFERROR(LOOKUP(2,1/(Soja!$E70:INDEX(Soja!$E70:$Z70,MIN(AK$6-$G$3,22))&lt;&gt;""),Soja!$E70:INDEX(Soja!$E70:$Z70,MIN(AK$6-$G$3,22))),0)))))</f>
        <v>0</v>
      </c>
      <c r="AL72" s="27" t="n">
        <f aca="false">IF(COUNT(Soja!$E70:$Z70)=0,0,MAX(0,IF((AL$6-$E$3)&lt;1,0,IFERROR(LOOKUP(2,1/(Soja!$E70:INDEX(Soja!$E70:$Z70,MIN(AL$6-$E$3,22))&lt;&gt;""),Soja!$E70:INDEX(Soja!$E70:$Z70,MIN(AL$6-$E$3,22))),0))-IF($G$2,0,IF((AL$6-$G$3)&lt;1,0,IFERROR(LOOKUP(2,1/(Soja!$E70:INDEX(Soja!$E70:$Z70,MIN(AL$6-$G$3,22))&lt;&gt;""),Soja!$E70:INDEX(Soja!$E70:$Z70,MIN(AL$6-$G$3,22))),0)))))</f>
        <v>0</v>
      </c>
      <c r="AM72" s="27" t="n">
        <f aca="false">IF(COUNT(Soja!$E70:$Z70)=0,0,MAX(0,IF((AM$6-$E$3)&lt;1,0,IFERROR(LOOKUP(2,1/(Soja!$E70:INDEX(Soja!$E70:$Z70,MIN(AM$6-$E$3,22))&lt;&gt;""),Soja!$E70:INDEX(Soja!$E70:$Z70,MIN(AM$6-$E$3,22))),0))-IF($G$2,0,IF((AM$6-$G$3)&lt;1,0,IFERROR(LOOKUP(2,1/(Soja!$E70:INDEX(Soja!$E70:$Z70,MIN(AM$6-$G$3,22))&lt;&gt;""),Soja!$E70:INDEX(Soja!$E70:$Z70,MIN(AM$6-$G$3,22))),0)))))</f>
        <v>0</v>
      </c>
      <c r="AN72" s="27" t="n">
        <f aca="false">IF(COUNT(Soja!$E70:$Z70)=0,0,MAX(0,IF((AN$6-$E$3)&lt;1,0,IFERROR(LOOKUP(2,1/(Soja!$E70:INDEX(Soja!$E70:$Z70,MIN(AN$6-$E$3,22))&lt;&gt;""),Soja!$E70:INDEX(Soja!$E70:$Z70,MIN(AN$6-$E$3,22))),0))-IF($G$2,0,IF((AN$6-$G$3)&lt;1,0,IFERROR(LOOKUP(2,1/(Soja!$E70:INDEX(Soja!$E70:$Z70,MIN(AN$6-$G$3,22))&lt;&gt;""),Soja!$E70:INDEX(Soja!$E70:$Z70,MIN(AN$6-$G$3,22))),0)))))</f>
        <v>0</v>
      </c>
      <c r="AO72" s="27" t="n">
        <f aca="false">IF(COUNT(Soja!$E70:$Z70)=0,0,MAX(0,IF((AO$6-$E$3)&lt;1,0,IFERROR(LOOKUP(2,1/(Soja!$E70:INDEX(Soja!$E70:$Z70,MIN(AO$6-$E$3,22))&lt;&gt;""),Soja!$E70:INDEX(Soja!$E70:$Z70,MIN(AO$6-$E$3,22))),0))-IF($G$2,0,IF((AO$6-$G$3)&lt;1,0,IFERROR(LOOKUP(2,1/(Soja!$E70:INDEX(Soja!$E70:$Z70,MIN(AO$6-$G$3,22))&lt;&gt;""),Soja!$E70:INDEX(Soja!$E70:$Z70,MIN(AO$6-$G$3,22))),0)))))</f>
        <v>0</v>
      </c>
      <c r="AP72" s="27" t="n">
        <f aca="false">IF(COUNT(Soja!$E70:$Z70)=0,0,MAX(0,IF((AP$6-$E$3)&lt;1,0,IFERROR(LOOKUP(2,1/(Soja!$E70:INDEX(Soja!$E70:$Z70,MIN(AP$6-$E$3,22))&lt;&gt;""),Soja!$E70:INDEX(Soja!$E70:$Z70,MIN(AP$6-$E$3,22))),0))-IF($G$2,0,IF((AP$6-$G$3)&lt;1,0,IFERROR(LOOKUP(2,1/(Soja!$E70:INDEX(Soja!$E70:$Z70,MIN(AP$6-$G$3,22))&lt;&gt;""),Soja!$E70:INDEX(Soja!$E70:$Z70,MIN(AP$6-$G$3,22))),0)))))</f>
        <v>0</v>
      </c>
      <c r="AQ72" s="27" t="n">
        <f aca="false">IF(COUNT(Soja!$E70:$Z70)=0,0,MAX(0,IF((AQ$6-$E$3)&lt;1,0,IFERROR(LOOKUP(2,1/(Soja!$E70:INDEX(Soja!$E70:$Z70,MIN(AQ$6-$E$3,22))&lt;&gt;""),Soja!$E70:INDEX(Soja!$E70:$Z70,MIN(AQ$6-$E$3,22))),0))-IF($G$2,0,IF((AQ$6-$G$3)&lt;1,0,IFERROR(LOOKUP(2,1/(Soja!$E70:INDEX(Soja!$E70:$Z70,MIN(AQ$6-$G$3,22))&lt;&gt;""),Soja!$E70:INDEX(Soja!$E70:$Z70,MIN(AQ$6-$G$3,22))),0)))))</f>
        <v>0</v>
      </c>
      <c r="AR72" s="27" t="n">
        <f aca="false">IF(COUNT(Soja!$E70:$Z70)=0,0,MAX(0,IF((AR$6-$E$3)&lt;1,0,IFERROR(LOOKUP(2,1/(Soja!$E70:INDEX(Soja!$E70:$Z70,MIN(AR$6-$E$3,22))&lt;&gt;""),Soja!$E70:INDEX(Soja!$E70:$Z70,MIN(AR$6-$E$3,22))),0))-IF($G$2,0,IF((AR$6-$G$3)&lt;1,0,IFERROR(LOOKUP(2,1/(Soja!$E70:INDEX(Soja!$E70:$Z70,MIN(AR$6-$G$3,22))&lt;&gt;""),Soja!$E70:INDEX(Soja!$E70:$Z70,MIN(AR$6-$G$3,22))),0)))))</f>
        <v>0</v>
      </c>
      <c r="AS72" s="27" t="n">
        <f aca="false">IF(COUNT(Soja!$E70:$Z70)=0,0,MAX(0,IF((AS$6-$E$3)&lt;1,0,IFERROR(LOOKUP(2,1/(Soja!$E70:INDEX(Soja!$E70:$Z70,MIN(AS$6-$E$3,22))&lt;&gt;""),Soja!$E70:INDEX(Soja!$E70:$Z70,MIN(AS$6-$E$3,22))),0))-IF($G$2,0,IF((AS$6-$G$3)&lt;1,0,IFERROR(LOOKUP(2,1/(Soja!$E70:INDEX(Soja!$E70:$Z70,MIN(AS$6-$G$3,22))&lt;&gt;""),Soja!$E70:INDEX(Soja!$E70:$Z70,MIN(AS$6-$G$3,22))),0)))))</f>
        <v>0</v>
      </c>
      <c r="AT72" s="27" t="n">
        <f aca="false">IF(COUNT(Soja!$E70:$Z70)=0,0,MAX(0,IF((AT$6-$E$3)&lt;1,0,IFERROR(LOOKUP(2,1/(Soja!$E70:INDEX(Soja!$E70:$Z70,MIN(AT$6-$E$3,22))&lt;&gt;""),Soja!$E70:INDEX(Soja!$E70:$Z70,MIN(AT$6-$E$3,22))),0))-IF($G$2,0,IF((AT$6-$G$3)&lt;1,0,IFERROR(LOOKUP(2,1/(Soja!$E70:INDEX(Soja!$E70:$Z70,MIN(AT$6-$G$3,22))&lt;&gt;""),Soja!$E70:INDEX(Soja!$E70:$Z70,MIN(AT$6-$G$3,22))),0)))))</f>
        <v>0</v>
      </c>
      <c r="AU72" s="27" t="n">
        <f aca="false">IF(COUNT(Soja!$E70:$Z70)=0,0,MAX(0,IF((AU$6-$E$3)&lt;1,0,IFERROR(LOOKUP(2,1/(Soja!$E70:INDEX(Soja!$E70:$Z70,MIN(AU$6-$E$3,22))&lt;&gt;""),Soja!$E70:INDEX(Soja!$E70:$Z70,MIN(AU$6-$E$3,22))),0))-IF($G$2,0,IF((AU$6-$G$3)&lt;1,0,IFERROR(LOOKUP(2,1/(Soja!$E70:INDEX(Soja!$E70:$Z70,MIN(AU$6-$G$3,22))&lt;&gt;""),Soja!$E70:INDEX(Soja!$E70:$Z70,MIN(AU$6-$G$3,22))),0)))))</f>
        <v>0</v>
      </c>
      <c r="AV72" s="27" t="n">
        <f aca="false">IF(COUNT(Soja!$E70:$Z70)=0,0,MAX(0,IF((AV$6-$E$3)&lt;1,0,IFERROR(LOOKUP(2,1/(Soja!$E70:INDEX(Soja!$E70:$Z70,MIN(AV$6-$E$3,22))&lt;&gt;""),Soja!$E70:INDEX(Soja!$E70:$Z70,MIN(AV$6-$E$3,22))),0))-IF($G$2,0,IF((AV$6-$G$3)&lt;1,0,IFERROR(LOOKUP(2,1/(Soja!$E70:INDEX(Soja!$E70:$Z70,MIN(AV$6-$G$3,22))&lt;&gt;""),Soja!$E70:INDEX(Soja!$E70:$Z70,MIN(AV$6-$G$3,22))),0)))))</f>
        <v>0</v>
      </c>
      <c r="AW72" s="27" t="n">
        <f aca="false">IF(COUNT(Soja!$E70:$Z70)=0,0,MAX(0,IF((AW$6-$E$3)&lt;1,0,IFERROR(LOOKUP(2,1/(Soja!$E70:INDEX(Soja!$E70:$Z70,MIN(AW$6-$E$3,22))&lt;&gt;""),Soja!$E70:INDEX(Soja!$E70:$Z70,MIN(AW$6-$E$3,22))),0))-IF($G$2,0,IF((AW$6-$G$3)&lt;1,0,IFERROR(LOOKUP(2,1/(Soja!$E70:INDEX(Soja!$E70:$Z70,MIN(AW$6-$G$3,22))&lt;&gt;""),Soja!$E70:INDEX(Soja!$E70:$Z70,MIN(AW$6-$G$3,22))),0)))))</f>
        <v>0</v>
      </c>
      <c r="AX72" s="27" t="n">
        <f aca="false">IF(COUNT(Soja!$E70:$Z70)=0,0,MAX(0,IF((AX$6-$E$3)&lt;1,0,IFERROR(LOOKUP(2,1/(Soja!$E70:INDEX(Soja!$E70:$Z70,MIN(AX$6-$E$3,22))&lt;&gt;""),Soja!$E70:INDEX(Soja!$E70:$Z70,MIN(AX$6-$E$3,22))),0))-IF($G$2,0,IF((AX$6-$G$3)&lt;1,0,IFERROR(LOOKUP(2,1/(Soja!$E70:INDEX(Soja!$E70:$Z70,MIN(AX$6-$G$3,22))&lt;&gt;""),Soja!$E70:INDEX(Soja!$E70:$Z70,MIN(AX$6-$G$3,22))),0)))))</f>
        <v>0</v>
      </c>
      <c r="AY72" s="27" t="n">
        <f aca="false">IF(COUNT(Soja!$E70:$Z70)=0,0,MAX(0,IF((AY$6-$E$3)&lt;1,0,IFERROR(LOOKUP(2,1/(Soja!$E70:INDEX(Soja!$E70:$Z70,MIN(AY$6-$E$3,22))&lt;&gt;""),Soja!$E70:INDEX(Soja!$E70:$Z70,MIN(AY$6-$E$3,22))),0))-IF($G$2,0,IF((AY$6-$G$3)&lt;1,0,IFERROR(LOOKUP(2,1/(Soja!$E70:INDEX(Soja!$E70:$Z70,MIN(AY$6-$G$3,22))&lt;&gt;""),Soja!$E70:INDEX(Soja!$E70:$Z70,MIN(AY$6-$G$3,22))),0)))))</f>
        <v>0</v>
      </c>
      <c r="AZ72" s="27" t="n">
        <f aca="false">IF(COUNT(Soja!$E70:$Z70)=0,0,MAX(0,IF((AZ$6-$E$3)&lt;1,0,IFERROR(LOOKUP(2,1/(Soja!$E70:INDEX(Soja!$E70:$Z70,MIN(AZ$6-$E$3,22))&lt;&gt;""),Soja!$E70:INDEX(Soja!$E70:$Z70,MIN(AZ$6-$E$3,22))),0))-IF($G$2,0,IF((AZ$6-$G$3)&lt;1,0,IFERROR(LOOKUP(2,1/(Soja!$E70:INDEX(Soja!$E70:$Z70,MIN(AZ$6-$G$3,22))&lt;&gt;""),Soja!$E70:INDEX(Soja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IF(COUNT(Soja!$E71:$Z71)&gt;0,N(Soja!$D71),0)</f>
        <v>0</v>
      </c>
      <c r="E73" s="27" t="n">
        <f aca="false">IF(COUNT(Soja!$E71:$Z71)=0,0,MAX(0,IF((E$6-$E$3)&lt;1,0,IFERROR(LOOKUP(2,1/(Soja!$E71:INDEX(Soja!$E71:$Z71,MIN(E$6-$E$3,22))&lt;&gt;""),Soja!$E71:INDEX(Soja!$E71:$Z71,MIN(E$6-$E$3,22))),0))-IF($G$2,0,IF((E$6-$G$3)&lt;1,0,IFERROR(LOOKUP(2,1/(Soja!$E71:INDEX(Soja!$E71:$Z71,MIN(E$6-$G$3,22))&lt;&gt;""),Soja!$E71:INDEX(Soja!$E71:$Z71,MIN(E$6-$G$3,22))),0)))))</f>
        <v>0</v>
      </c>
      <c r="F73" s="27" t="n">
        <f aca="false">IF(COUNT(Soja!$E71:$Z71)=0,0,MAX(0,IF((F$6-$E$3)&lt;1,0,IFERROR(LOOKUP(2,1/(Soja!$E71:INDEX(Soja!$E71:$Z71,MIN(F$6-$E$3,22))&lt;&gt;""),Soja!$E71:INDEX(Soja!$E71:$Z71,MIN(F$6-$E$3,22))),0))-IF($G$2,0,IF((F$6-$G$3)&lt;1,0,IFERROR(LOOKUP(2,1/(Soja!$E71:INDEX(Soja!$E71:$Z71,MIN(F$6-$G$3,22))&lt;&gt;""),Soja!$E71:INDEX(Soja!$E71:$Z71,MIN(F$6-$G$3,22))),0)))))</f>
        <v>0</v>
      </c>
      <c r="G73" s="27" t="n">
        <f aca="false">IF(COUNT(Soja!$E71:$Z71)=0,0,MAX(0,IF((G$6-$E$3)&lt;1,0,IFERROR(LOOKUP(2,1/(Soja!$E71:INDEX(Soja!$E71:$Z71,MIN(G$6-$E$3,22))&lt;&gt;""),Soja!$E71:INDEX(Soja!$E71:$Z71,MIN(G$6-$E$3,22))),0))-IF($G$2,0,IF((G$6-$G$3)&lt;1,0,IFERROR(LOOKUP(2,1/(Soja!$E71:INDEX(Soja!$E71:$Z71,MIN(G$6-$G$3,22))&lt;&gt;""),Soja!$E71:INDEX(Soja!$E71:$Z71,MIN(G$6-$G$3,22))),0)))))</f>
        <v>0</v>
      </c>
      <c r="H73" s="27" t="n">
        <f aca="false">IF(COUNT(Soja!$E71:$Z71)=0,0,MAX(0,IF((H$6-$E$3)&lt;1,0,IFERROR(LOOKUP(2,1/(Soja!$E71:INDEX(Soja!$E71:$Z71,MIN(H$6-$E$3,22))&lt;&gt;""),Soja!$E71:INDEX(Soja!$E71:$Z71,MIN(H$6-$E$3,22))),0))-IF($G$2,0,IF((H$6-$G$3)&lt;1,0,IFERROR(LOOKUP(2,1/(Soja!$E71:INDEX(Soja!$E71:$Z71,MIN(H$6-$G$3,22))&lt;&gt;""),Soja!$E71:INDEX(Soja!$E71:$Z71,MIN(H$6-$G$3,22))),0)))))</f>
        <v>0</v>
      </c>
      <c r="I73" s="27" t="n">
        <f aca="false">IF(COUNT(Soja!$E71:$Z71)=0,0,MAX(0,IF((I$6-$E$3)&lt;1,0,IFERROR(LOOKUP(2,1/(Soja!$E71:INDEX(Soja!$E71:$Z71,MIN(I$6-$E$3,22))&lt;&gt;""),Soja!$E71:INDEX(Soja!$E71:$Z71,MIN(I$6-$E$3,22))),0))-IF($G$2,0,IF((I$6-$G$3)&lt;1,0,IFERROR(LOOKUP(2,1/(Soja!$E71:INDEX(Soja!$E71:$Z71,MIN(I$6-$G$3,22))&lt;&gt;""),Soja!$E71:INDEX(Soja!$E71:$Z71,MIN(I$6-$G$3,22))),0)))))</f>
        <v>0</v>
      </c>
      <c r="J73" s="27" t="n">
        <f aca="false">IF(COUNT(Soja!$E71:$Z71)=0,0,MAX(0,IF((J$6-$E$3)&lt;1,0,IFERROR(LOOKUP(2,1/(Soja!$E71:INDEX(Soja!$E71:$Z71,MIN(J$6-$E$3,22))&lt;&gt;""),Soja!$E71:INDEX(Soja!$E71:$Z71,MIN(J$6-$E$3,22))),0))-IF($G$2,0,IF((J$6-$G$3)&lt;1,0,IFERROR(LOOKUP(2,1/(Soja!$E71:INDEX(Soja!$E71:$Z71,MIN(J$6-$G$3,22))&lt;&gt;""),Soja!$E71:INDEX(Soja!$E71:$Z71,MIN(J$6-$G$3,22))),0)))))</f>
        <v>0</v>
      </c>
      <c r="K73" s="27" t="n">
        <f aca="false">IF(COUNT(Soja!$E71:$Z71)=0,0,MAX(0,IF((K$6-$E$3)&lt;1,0,IFERROR(LOOKUP(2,1/(Soja!$E71:INDEX(Soja!$E71:$Z71,MIN(K$6-$E$3,22))&lt;&gt;""),Soja!$E71:INDEX(Soja!$E71:$Z71,MIN(K$6-$E$3,22))),0))-IF($G$2,0,IF((K$6-$G$3)&lt;1,0,IFERROR(LOOKUP(2,1/(Soja!$E71:INDEX(Soja!$E71:$Z71,MIN(K$6-$G$3,22))&lt;&gt;""),Soja!$E71:INDEX(Soja!$E71:$Z71,MIN(K$6-$G$3,22))),0)))))</f>
        <v>0</v>
      </c>
      <c r="L73" s="27" t="n">
        <f aca="false">IF(COUNT(Soja!$E71:$Z71)=0,0,MAX(0,IF((L$6-$E$3)&lt;1,0,IFERROR(LOOKUP(2,1/(Soja!$E71:INDEX(Soja!$E71:$Z71,MIN(L$6-$E$3,22))&lt;&gt;""),Soja!$E71:INDEX(Soja!$E71:$Z71,MIN(L$6-$E$3,22))),0))-IF($G$2,0,IF((L$6-$G$3)&lt;1,0,IFERROR(LOOKUP(2,1/(Soja!$E71:INDEX(Soja!$E71:$Z71,MIN(L$6-$G$3,22))&lt;&gt;""),Soja!$E71:INDEX(Soja!$E71:$Z71,MIN(L$6-$G$3,22))),0)))))</f>
        <v>0</v>
      </c>
      <c r="M73" s="27" t="n">
        <f aca="false">IF(COUNT(Soja!$E71:$Z71)=0,0,MAX(0,IF((M$6-$E$3)&lt;1,0,IFERROR(LOOKUP(2,1/(Soja!$E71:INDEX(Soja!$E71:$Z71,MIN(M$6-$E$3,22))&lt;&gt;""),Soja!$E71:INDEX(Soja!$E71:$Z71,MIN(M$6-$E$3,22))),0))-IF($G$2,0,IF((M$6-$G$3)&lt;1,0,IFERROR(LOOKUP(2,1/(Soja!$E71:INDEX(Soja!$E71:$Z71,MIN(M$6-$G$3,22))&lt;&gt;""),Soja!$E71:INDEX(Soja!$E71:$Z71,MIN(M$6-$G$3,22))),0)))))</f>
        <v>0</v>
      </c>
      <c r="N73" s="27" t="n">
        <f aca="false">IF(COUNT(Soja!$E71:$Z71)=0,0,MAX(0,IF((N$6-$E$3)&lt;1,0,IFERROR(LOOKUP(2,1/(Soja!$E71:INDEX(Soja!$E71:$Z71,MIN(N$6-$E$3,22))&lt;&gt;""),Soja!$E71:INDEX(Soja!$E71:$Z71,MIN(N$6-$E$3,22))),0))-IF($G$2,0,IF((N$6-$G$3)&lt;1,0,IFERROR(LOOKUP(2,1/(Soja!$E71:INDEX(Soja!$E71:$Z71,MIN(N$6-$G$3,22))&lt;&gt;""),Soja!$E71:INDEX(Soja!$E71:$Z71,MIN(N$6-$G$3,22))),0)))))</f>
        <v>0</v>
      </c>
      <c r="O73" s="27" t="n">
        <f aca="false">IF(COUNT(Soja!$E71:$Z71)=0,0,MAX(0,IF((O$6-$E$3)&lt;1,0,IFERROR(LOOKUP(2,1/(Soja!$E71:INDEX(Soja!$E71:$Z71,MIN(O$6-$E$3,22))&lt;&gt;""),Soja!$E71:INDEX(Soja!$E71:$Z71,MIN(O$6-$E$3,22))),0))-IF($G$2,0,IF((O$6-$G$3)&lt;1,0,IFERROR(LOOKUP(2,1/(Soja!$E71:INDEX(Soja!$E71:$Z71,MIN(O$6-$G$3,22))&lt;&gt;""),Soja!$E71:INDEX(Soja!$E71:$Z71,MIN(O$6-$G$3,22))),0)))))</f>
        <v>0</v>
      </c>
      <c r="P73" s="27" t="n">
        <f aca="false">IF(COUNT(Soja!$E71:$Z71)=0,0,MAX(0,IF((P$6-$E$3)&lt;1,0,IFERROR(LOOKUP(2,1/(Soja!$E71:INDEX(Soja!$E71:$Z71,MIN(P$6-$E$3,22))&lt;&gt;""),Soja!$E71:INDEX(Soja!$E71:$Z71,MIN(P$6-$E$3,22))),0))-IF($G$2,0,IF((P$6-$G$3)&lt;1,0,IFERROR(LOOKUP(2,1/(Soja!$E71:INDEX(Soja!$E71:$Z71,MIN(P$6-$G$3,22))&lt;&gt;""),Soja!$E71:INDEX(Soja!$E71:$Z71,MIN(P$6-$G$3,22))),0)))))</f>
        <v>0</v>
      </c>
      <c r="Q73" s="27" t="n">
        <f aca="false">IF(COUNT(Soja!$E71:$Z71)=0,0,MAX(0,IF((Q$6-$E$3)&lt;1,0,IFERROR(LOOKUP(2,1/(Soja!$E71:INDEX(Soja!$E71:$Z71,MIN(Q$6-$E$3,22))&lt;&gt;""),Soja!$E71:INDEX(Soja!$E71:$Z71,MIN(Q$6-$E$3,22))),0))-IF($G$2,0,IF((Q$6-$G$3)&lt;1,0,IFERROR(LOOKUP(2,1/(Soja!$E71:INDEX(Soja!$E71:$Z71,MIN(Q$6-$G$3,22))&lt;&gt;""),Soja!$E71:INDEX(Soja!$E71:$Z71,MIN(Q$6-$G$3,22))),0)))))</f>
        <v>0</v>
      </c>
      <c r="R73" s="27" t="n">
        <f aca="false">IF(COUNT(Soja!$E71:$Z71)=0,0,MAX(0,IF((R$6-$E$3)&lt;1,0,IFERROR(LOOKUP(2,1/(Soja!$E71:INDEX(Soja!$E71:$Z71,MIN(R$6-$E$3,22))&lt;&gt;""),Soja!$E71:INDEX(Soja!$E71:$Z71,MIN(R$6-$E$3,22))),0))-IF($G$2,0,IF((R$6-$G$3)&lt;1,0,IFERROR(LOOKUP(2,1/(Soja!$E71:INDEX(Soja!$E71:$Z71,MIN(R$6-$G$3,22))&lt;&gt;""),Soja!$E71:INDEX(Soja!$E71:$Z71,MIN(R$6-$G$3,22))),0)))))</f>
        <v>0</v>
      </c>
      <c r="S73" s="27" t="n">
        <f aca="false">IF(COUNT(Soja!$E71:$Z71)=0,0,MAX(0,IF((S$6-$E$3)&lt;1,0,IFERROR(LOOKUP(2,1/(Soja!$E71:INDEX(Soja!$E71:$Z71,MIN(S$6-$E$3,22))&lt;&gt;""),Soja!$E71:INDEX(Soja!$E71:$Z71,MIN(S$6-$E$3,22))),0))-IF($G$2,0,IF((S$6-$G$3)&lt;1,0,IFERROR(LOOKUP(2,1/(Soja!$E71:INDEX(Soja!$E71:$Z71,MIN(S$6-$G$3,22))&lt;&gt;""),Soja!$E71:INDEX(Soja!$E71:$Z71,MIN(S$6-$G$3,22))),0)))))</f>
        <v>0</v>
      </c>
      <c r="T73" s="27" t="n">
        <f aca="false">IF(COUNT(Soja!$E71:$Z71)=0,0,MAX(0,IF((T$6-$E$3)&lt;1,0,IFERROR(LOOKUP(2,1/(Soja!$E71:INDEX(Soja!$E71:$Z71,MIN(T$6-$E$3,22))&lt;&gt;""),Soja!$E71:INDEX(Soja!$E71:$Z71,MIN(T$6-$E$3,22))),0))-IF($G$2,0,IF((T$6-$G$3)&lt;1,0,IFERROR(LOOKUP(2,1/(Soja!$E71:INDEX(Soja!$E71:$Z71,MIN(T$6-$G$3,22))&lt;&gt;""),Soja!$E71:INDEX(Soja!$E71:$Z71,MIN(T$6-$G$3,22))),0)))))</f>
        <v>0</v>
      </c>
      <c r="U73" s="27" t="n">
        <f aca="false">IF(COUNT(Soja!$E71:$Z71)=0,0,MAX(0,IF((U$6-$E$3)&lt;1,0,IFERROR(LOOKUP(2,1/(Soja!$E71:INDEX(Soja!$E71:$Z71,MIN(U$6-$E$3,22))&lt;&gt;""),Soja!$E71:INDEX(Soja!$E71:$Z71,MIN(U$6-$E$3,22))),0))-IF($G$2,0,IF((U$6-$G$3)&lt;1,0,IFERROR(LOOKUP(2,1/(Soja!$E71:INDEX(Soja!$E71:$Z71,MIN(U$6-$G$3,22))&lt;&gt;""),Soja!$E71:INDEX(Soja!$E71:$Z71,MIN(U$6-$G$3,22))),0)))))</f>
        <v>0</v>
      </c>
      <c r="V73" s="27" t="n">
        <f aca="false">IF(COUNT(Soja!$E71:$Z71)=0,0,MAX(0,IF((V$6-$E$3)&lt;1,0,IFERROR(LOOKUP(2,1/(Soja!$E71:INDEX(Soja!$E71:$Z71,MIN(V$6-$E$3,22))&lt;&gt;""),Soja!$E71:INDEX(Soja!$E71:$Z71,MIN(V$6-$E$3,22))),0))-IF($G$2,0,IF((V$6-$G$3)&lt;1,0,IFERROR(LOOKUP(2,1/(Soja!$E71:INDEX(Soja!$E71:$Z71,MIN(V$6-$G$3,22))&lt;&gt;""),Soja!$E71:INDEX(Soja!$E71:$Z71,MIN(V$6-$G$3,22))),0)))))</f>
        <v>0</v>
      </c>
      <c r="W73" s="27" t="n">
        <f aca="false">IF(COUNT(Soja!$E71:$Z71)=0,0,MAX(0,IF((W$6-$E$3)&lt;1,0,IFERROR(LOOKUP(2,1/(Soja!$E71:INDEX(Soja!$E71:$Z71,MIN(W$6-$E$3,22))&lt;&gt;""),Soja!$E71:INDEX(Soja!$E71:$Z71,MIN(W$6-$E$3,22))),0))-IF($G$2,0,IF((W$6-$G$3)&lt;1,0,IFERROR(LOOKUP(2,1/(Soja!$E71:INDEX(Soja!$E71:$Z71,MIN(W$6-$G$3,22))&lt;&gt;""),Soja!$E71:INDEX(Soja!$E71:$Z71,MIN(W$6-$G$3,22))),0)))))</f>
        <v>0</v>
      </c>
      <c r="X73" s="27" t="n">
        <f aca="false">IF(COUNT(Soja!$E71:$Z71)=0,0,MAX(0,IF((X$6-$E$3)&lt;1,0,IFERROR(LOOKUP(2,1/(Soja!$E71:INDEX(Soja!$E71:$Z71,MIN(X$6-$E$3,22))&lt;&gt;""),Soja!$E71:INDEX(Soja!$E71:$Z71,MIN(X$6-$E$3,22))),0))-IF($G$2,0,IF((X$6-$G$3)&lt;1,0,IFERROR(LOOKUP(2,1/(Soja!$E71:INDEX(Soja!$E71:$Z71,MIN(X$6-$G$3,22))&lt;&gt;""),Soja!$E71:INDEX(Soja!$E71:$Z71,MIN(X$6-$G$3,22))),0)))))</f>
        <v>0</v>
      </c>
      <c r="Y73" s="27" t="n">
        <f aca="false">IF(COUNT(Soja!$E71:$Z71)=0,0,MAX(0,IF((Y$6-$E$3)&lt;1,0,IFERROR(LOOKUP(2,1/(Soja!$E71:INDEX(Soja!$E71:$Z71,MIN(Y$6-$E$3,22))&lt;&gt;""),Soja!$E71:INDEX(Soja!$E71:$Z71,MIN(Y$6-$E$3,22))),0))-IF($G$2,0,IF((Y$6-$G$3)&lt;1,0,IFERROR(LOOKUP(2,1/(Soja!$E71:INDEX(Soja!$E71:$Z71,MIN(Y$6-$G$3,22))&lt;&gt;""),Soja!$E71:INDEX(Soja!$E71:$Z71,MIN(Y$6-$G$3,22))),0)))))</f>
        <v>0</v>
      </c>
      <c r="Z73" s="27" t="n">
        <f aca="false">IF(COUNT(Soja!$E71:$Z71)=0,0,MAX(0,IF((Z$6-$E$3)&lt;1,0,IFERROR(LOOKUP(2,1/(Soja!$E71:INDEX(Soja!$E71:$Z71,MIN(Z$6-$E$3,22))&lt;&gt;""),Soja!$E71:INDEX(Soja!$E71:$Z71,MIN(Z$6-$E$3,22))),0))-IF($G$2,0,IF((Z$6-$G$3)&lt;1,0,IFERROR(LOOKUP(2,1/(Soja!$E71:INDEX(Soja!$E71:$Z71,MIN(Z$6-$G$3,22))&lt;&gt;""),Soja!$E71:INDEX(Soja!$E71:$Z71,MIN(Z$6-$G$3,22))),0)))))</f>
        <v>0</v>
      </c>
      <c r="AA73" s="27" t="n">
        <f aca="false">IF(COUNT(Soja!$E71:$Z71)=0,0,MAX(0,IF((AA$6-$E$3)&lt;1,0,IFERROR(LOOKUP(2,1/(Soja!$E71:INDEX(Soja!$E71:$Z71,MIN(AA$6-$E$3,22))&lt;&gt;""),Soja!$E71:INDEX(Soja!$E71:$Z71,MIN(AA$6-$E$3,22))),0))-IF($G$2,0,IF((AA$6-$G$3)&lt;1,0,IFERROR(LOOKUP(2,1/(Soja!$E71:INDEX(Soja!$E71:$Z71,MIN(AA$6-$G$3,22))&lt;&gt;""),Soja!$E71:INDEX(Soja!$E71:$Z71,MIN(AA$6-$G$3,22))),0)))))</f>
        <v>0</v>
      </c>
      <c r="AB73" s="27" t="n">
        <f aca="false">IF(COUNT(Soja!$E71:$Z71)=0,0,MAX(0,IF((AB$6-$E$3)&lt;1,0,IFERROR(LOOKUP(2,1/(Soja!$E71:INDEX(Soja!$E71:$Z71,MIN(AB$6-$E$3,22))&lt;&gt;""),Soja!$E71:INDEX(Soja!$E71:$Z71,MIN(AB$6-$E$3,22))),0))-IF($G$2,0,IF((AB$6-$G$3)&lt;1,0,IFERROR(LOOKUP(2,1/(Soja!$E71:INDEX(Soja!$E71:$Z71,MIN(AB$6-$G$3,22))&lt;&gt;""),Soja!$E71:INDEX(Soja!$E71:$Z71,MIN(AB$6-$G$3,22))),0)))))</f>
        <v>0</v>
      </c>
      <c r="AC73" s="27" t="n">
        <f aca="false">IF(COUNT(Soja!$E71:$Z71)=0,0,MAX(0,IF((AC$6-$E$3)&lt;1,0,IFERROR(LOOKUP(2,1/(Soja!$E71:INDEX(Soja!$E71:$Z71,MIN(AC$6-$E$3,22))&lt;&gt;""),Soja!$E71:INDEX(Soja!$E71:$Z71,MIN(AC$6-$E$3,22))),0))-IF($G$2,0,IF((AC$6-$G$3)&lt;1,0,IFERROR(LOOKUP(2,1/(Soja!$E71:INDEX(Soja!$E71:$Z71,MIN(AC$6-$G$3,22))&lt;&gt;""),Soja!$E71:INDEX(Soja!$E71:$Z71,MIN(AC$6-$G$3,22))),0)))))</f>
        <v>0</v>
      </c>
      <c r="AD73" s="27" t="n">
        <f aca="false">IF(COUNT(Soja!$E71:$Z71)=0,0,MAX(0,IF((AD$6-$E$3)&lt;1,0,IFERROR(LOOKUP(2,1/(Soja!$E71:INDEX(Soja!$E71:$Z71,MIN(AD$6-$E$3,22))&lt;&gt;""),Soja!$E71:INDEX(Soja!$E71:$Z71,MIN(AD$6-$E$3,22))),0))-IF($G$2,0,IF((AD$6-$G$3)&lt;1,0,IFERROR(LOOKUP(2,1/(Soja!$E71:INDEX(Soja!$E71:$Z71,MIN(AD$6-$G$3,22))&lt;&gt;""),Soja!$E71:INDEX(Soja!$E71:$Z71,MIN(AD$6-$G$3,22))),0)))))</f>
        <v>0</v>
      </c>
      <c r="AE73" s="27" t="n">
        <f aca="false">IF(COUNT(Soja!$E71:$Z71)=0,0,MAX(0,IF((AE$6-$E$3)&lt;1,0,IFERROR(LOOKUP(2,1/(Soja!$E71:INDEX(Soja!$E71:$Z71,MIN(AE$6-$E$3,22))&lt;&gt;""),Soja!$E71:INDEX(Soja!$E71:$Z71,MIN(AE$6-$E$3,22))),0))-IF($G$2,0,IF((AE$6-$G$3)&lt;1,0,IFERROR(LOOKUP(2,1/(Soja!$E71:INDEX(Soja!$E71:$Z71,MIN(AE$6-$G$3,22))&lt;&gt;""),Soja!$E71:INDEX(Soja!$E71:$Z71,MIN(AE$6-$G$3,22))),0)))))</f>
        <v>0</v>
      </c>
      <c r="AF73" s="27" t="n">
        <f aca="false">IF(COUNT(Soja!$E71:$Z71)=0,0,MAX(0,IF((AF$6-$E$3)&lt;1,0,IFERROR(LOOKUP(2,1/(Soja!$E71:INDEX(Soja!$E71:$Z71,MIN(AF$6-$E$3,22))&lt;&gt;""),Soja!$E71:INDEX(Soja!$E71:$Z71,MIN(AF$6-$E$3,22))),0))-IF($G$2,0,IF((AF$6-$G$3)&lt;1,0,IFERROR(LOOKUP(2,1/(Soja!$E71:INDEX(Soja!$E71:$Z71,MIN(AF$6-$G$3,22))&lt;&gt;""),Soja!$E71:INDEX(Soja!$E71:$Z71,MIN(AF$6-$G$3,22))),0)))))</f>
        <v>0</v>
      </c>
      <c r="AG73" s="27" t="n">
        <f aca="false">IF(COUNT(Soja!$E71:$Z71)=0,0,MAX(0,IF((AG$6-$E$3)&lt;1,0,IFERROR(LOOKUP(2,1/(Soja!$E71:INDEX(Soja!$E71:$Z71,MIN(AG$6-$E$3,22))&lt;&gt;""),Soja!$E71:INDEX(Soja!$E71:$Z71,MIN(AG$6-$E$3,22))),0))-IF($G$2,0,IF((AG$6-$G$3)&lt;1,0,IFERROR(LOOKUP(2,1/(Soja!$E71:INDEX(Soja!$E71:$Z71,MIN(AG$6-$G$3,22))&lt;&gt;""),Soja!$E71:INDEX(Soja!$E71:$Z71,MIN(AG$6-$G$3,22))),0)))))</f>
        <v>0</v>
      </c>
      <c r="AH73" s="27" t="n">
        <f aca="false">IF(COUNT(Soja!$E71:$Z71)=0,0,MAX(0,IF((AH$6-$E$3)&lt;1,0,IFERROR(LOOKUP(2,1/(Soja!$E71:INDEX(Soja!$E71:$Z71,MIN(AH$6-$E$3,22))&lt;&gt;""),Soja!$E71:INDEX(Soja!$E71:$Z71,MIN(AH$6-$E$3,22))),0))-IF($G$2,0,IF((AH$6-$G$3)&lt;1,0,IFERROR(LOOKUP(2,1/(Soja!$E71:INDEX(Soja!$E71:$Z71,MIN(AH$6-$G$3,22))&lt;&gt;""),Soja!$E71:INDEX(Soja!$E71:$Z71,MIN(AH$6-$G$3,22))),0)))))</f>
        <v>0</v>
      </c>
      <c r="AI73" s="27" t="n">
        <f aca="false">IF(COUNT(Soja!$E71:$Z71)=0,0,MAX(0,IF((AI$6-$E$3)&lt;1,0,IFERROR(LOOKUP(2,1/(Soja!$E71:INDEX(Soja!$E71:$Z71,MIN(AI$6-$E$3,22))&lt;&gt;""),Soja!$E71:INDEX(Soja!$E71:$Z71,MIN(AI$6-$E$3,22))),0))-IF($G$2,0,IF((AI$6-$G$3)&lt;1,0,IFERROR(LOOKUP(2,1/(Soja!$E71:INDEX(Soja!$E71:$Z71,MIN(AI$6-$G$3,22))&lt;&gt;""),Soja!$E71:INDEX(Soja!$E71:$Z71,MIN(AI$6-$G$3,22))),0)))))</f>
        <v>0</v>
      </c>
      <c r="AJ73" s="27" t="n">
        <f aca="false">IF(COUNT(Soja!$E71:$Z71)=0,0,MAX(0,IF((AJ$6-$E$3)&lt;1,0,IFERROR(LOOKUP(2,1/(Soja!$E71:INDEX(Soja!$E71:$Z71,MIN(AJ$6-$E$3,22))&lt;&gt;""),Soja!$E71:INDEX(Soja!$E71:$Z71,MIN(AJ$6-$E$3,22))),0))-IF($G$2,0,IF((AJ$6-$G$3)&lt;1,0,IFERROR(LOOKUP(2,1/(Soja!$E71:INDEX(Soja!$E71:$Z71,MIN(AJ$6-$G$3,22))&lt;&gt;""),Soja!$E71:INDEX(Soja!$E71:$Z71,MIN(AJ$6-$G$3,22))),0)))))</f>
        <v>0</v>
      </c>
      <c r="AK73" s="27" t="n">
        <f aca="false">IF(COUNT(Soja!$E71:$Z71)=0,0,MAX(0,IF((AK$6-$E$3)&lt;1,0,IFERROR(LOOKUP(2,1/(Soja!$E71:INDEX(Soja!$E71:$Z71,MIN(AK$6-$E$3,22))&lt;&gt;""),Soja!$E71:INDEX(Soja!$E71:$Z71,MIN(AK$6-$E$3,22))),0))-IF($G$2,0,IF((AK$6-$G$3)&lt;1,0,IFERROR(LOOKUP(2,1/(Soja!$E71:INDEX(Soja!$E71:$Z71,MIN(AK$6-$G$3,22))&lt;&gt;""),Soja!$E71:INDEX(Soja!$E71:$Z71,MIN(AK$6-$G$3,22))),0)))))</f>
        <v>0</v>
      </c>
      <c r="AL73" s="27" t="n">
        <f aca="false">IF(COUNT(Soja!$E71:$Z71)=0,0,MAX(0,IF((AL$6-$E$3)&lt;1,0,IFERROR(LOOKUP(2,1/(Soja!$E71:INDEX(Soja!$E71:$Z71,MIN(AL$6-$E$3,22))&lt;&gt;""),Soja!$E71:INDEX(Soja!$E71:$Z71,MIN(AL$6-$E$3,22))),0))-IF($G$2,0,IF((AL$6-$G$3)&lt;1,0,IFERROR(LOOKUP(2,1/(Soja!$E71:INDEX(Soja!$E71:$Z71,MIN(AL$6-$G$3,22))&lt;&gt;""),Soja!$E71:INDEX(Soja!$E71:$Z71,MIN(AL$6-$G$3,22))),0)))))</f>
        <v>0</v>
      </c>
      <c r="AM73" s="27" t="n">
        <f aca="false">IF(COUNT(Soja!$E71:$Z71)=0,0,MAX(0,IF((AM$6-$E$3)&lt;1,0,IFERROR(LOOKUP(2,1/(Soja!$E71:INDEX(Soja!$E71:$Z71,MIN(AM$6-$E$3,22))&lt;&gt;""),Soja!$E71:INDEX(Soja!$E71:$Z71,MIN(AM$6-$E$3,22))),0))-IF($G$2,0,IF((AM$6-$G$3)&lt;1,0,IFERROR(LOOKUP(2,1/(Soja!$E71:INDEX(Soja!$E71:$Z71,MIN(AM$6-$G$3,22))&lt;&gt;""),Soja!$E71:INDEX(Soja!$E71:$Z71,MIN(AM$6-$G$3,22))),0)))))</f>
        <v>0</v>
      </c>
      <c r="AN73" s="27" t="n">
        <f aca="false">IF(COUNT(Soja!$E71:$Z71)=0,0,MAX(0,IF((AN$6-$E$3)&lt;1,0,IFERROR(LOOKUP(2,1/(Soja!$E71:INDEX(Soja!$E71:$Z71,MIN(AN$6-$E$3,22))&lt;&gt;""),Soja!$E71:INDEX(Soja!$E71:$Z71,MIN(AN$6-$E$3,22))),0))-IF($G$2,0,IF((AN$6-$G$3)&lt;1,0,IFERROR(LOOKUP(2,1/(Soja!$E71:INDEX(Soja!$E71:$Z71,MIN(AN$6-$G$3,22))&lt;&gt;""),Soja!$E71:INDEX(Soja!$E71:$Z71,MIN(AN$6-$G$3,22))),0)))))</f>
        <v>0</v>
      </c>
      <c r="AO73" s="27" t="n">
        <f aca="false">IF(COUNT(Soja!$E71:$Z71)=0,0,MAX(0,IF((AO$6-$E$3)&lt;1,0,IFERROR(LOOKUP(2,1/(Soja!$E71:INDEX(Soja!$E71:$Z71,MIN(AO$6-$E$3,22))&lt;&gt;""),Soja!$E71:INDEX(Soja!$E71:$Z71,MIN(AO$6-$E$3,22))),0))-IF($G$2,0,IF((AO$6-$G$3)&lt;1,0,IFERROR(LOOKUP(2,1/(Soja!$E71:INDEX(Soja!$E71:$Z71,MIN(AO$6-$G$3,22))&lt;&gt;""),Soja!$E71:INDEX(Soja!$E71:$Z71,MIN(AO$6-$G$3,22))),0)))))</f>
        <v>0</v>
      </c>
      <c r="AP73" s="27" t="n">
        <f aca="false">IF(COUNT(Soja!$E71:$Z71)=0,0,MAX(0,IF((AP$6-$E$3)&lt;1,0,IFERROR(LOOKUP(2,1/(Soja!$E71:INDEX(Soja!$E71:$Z71,MIN(AP$6-$E$3,22))&lt;&gt;""),Soja!$E71:INDEX(Soja!$E71:$Z71,MIN(AP$6-$E$3,22))),0))-IF($G$2,0,IF((AP$6-$G$3)&lt;1,0,IFERROR(LOOKUP(2,1/(Soja!$E71:INDEX(Soja!$E71:$Z71,MIN(AP$6-$G$3,22))&lt;&gt;""),Soja!$E71:INDEX(Soja!$E71:$Z71,MIN(AP$6-$G$3,22))),0)))))</f>
        <v>0</v>
      </c>
      <c r="AQ73" s="27" t="n">
        <f aca="false">IF(COUNT(Soja!$E71:$Z71)=0,0,MAX(0,IF((AQ$6-$E$3)&lt;1,0,IFERROR(LOOKUP(2,1/(Soja!$E71:INDEX(Soja!$E71:$Z71,MIN(AQ$6-$E$3,22))&lt;&gt;""),Soja!$E71:INDEX(Soja!$E71:$Z71,MIN(AQ$6-$E$3,22))),0))-IF($G$2,0,IF((AQ$6-$G$3)&lt;1,0,IFERROR(LOOKUP(2,1/(Soja!$E71:INDEX(Soja!$E71:$Z71,MIN(AQ$6-$G$3,22))&lt;&gt;""),Soja!$E71:INDEX(Soja!$E71:$Z71,MIN(AQ$6-$G$3,22))),0)))))</f>
        <v>0</v>
      </c>
      <c r="AR73" s="27" t="n">
        <f aca="false">IF(COUNT(Soja!$E71:$Z71)=0,0,MAX(0,IF((AR$6-$E$3)&lt;1,0,IFERROR(LOOKUP(2,1/(Soja!$E71:INDEX(Soja!$E71:$Z71,MIN(AR$6-$E$3,22))&lt;&gt;""),Soja!$E71:INDEX(Soja!$E71:$Z71,MIN(AR$6-$E$3,22))),0))-IF($G$2,0,IF((AR$6-$G$3)&lt;1,0,IFERROR(LOOKUP(2,1/(Soja!$E71:INDEX(Soja!$E71:$Z71,MIN(AR$6-$G$3,22))&lt;&gt;""),Soja!$E71:INDEX(Soja!$E71:$Z71,MIN(AR$6-$G$3,22))),0)))))</f>
        <v>0</v>
      </c>
      <c r="AS73" s="27" t="n">
        <f aca="false">IF(COUNT(Soja!$E71:$Z71)=0,0,MAX(0,IF((AS$6-$E$3)&lt;1,0,IFERROR(LOOKUP(2,1/(Soja!$E71:INDEX(Soja!$E71:$Z71,MIN(AS$6-$E$3,22))&lt;&gt;""),Soja!$E71:INDEX(Soja!$E71:$Z71,MIN(AS$6-$E$3,22))),0))-IF($G$2,0,IF((AS$6-$G$3)&lt;1,0,IFERROR(LOOKUP(2,1/(Soja!$E71:INDEX(Soja!$E71:$Z71,MIN(AS$6-$G$3,22))&lt;&gt;""),Soja!$E71:INDEX(Soja!$E71:$Z71,MIN(AS$6-$G$3,22))),0)))))</f>
        <v>0</v>
      </c>
      <c r="AT73" s="27" t="n">
        <f aca="false">IF(COUNT(Soja!$E71:$Z71)=0,0,MAX(0,IF((AT$6-$E$3)&lt;1,0,IFERROR(LOOKUP(2,1/(Soja!$E71:INDEX(Soja!$E71:$Z71,MIN(AT$6-$E$3,22))&lt;&gt;""),Soja!$E71:INDEX(Soja!$E71:$Z71,MIN(AT$6-$E$3,22))),0))-IF($G$2,0,IF((AT$6-$G$3)&lt;1,0,IFERROR(LOOKUP(2,1/(Soja!$E71:INDEX(Soja!$E71:$Z71,MIN(AT$6-$G$3,22))&lt;&gt;""),Soja!$E71:INDEX(Soja!$E71:$Z71,MIN(AT$6-$G$3,22))),0)))))</f>
        <v>0</v>
      </c>
      <c r="AU73" s="27" t="n">
        <f aca="false">IF(COUNT(Soja!$E71:$Z71)=0,0,MAX(0,IF((AU$6-$E$3)&lt;1,0,IFERROR(LOOKUP(2,1/(Soja!$E71:INDEX(Soja!$E71:$Z71,MIN(AU$6-$E$3,22))&lt;&gt;""),Soja!$E71:INDEX(Soja!$E71:$Z71,MIN(AU$6-$E$3,22))),0))-IF($G$2,0,IF((AU$6-$G$3)&lt;1,0,IFERROR(LOOKUP(2,1/(Soja!$E71:INDEX(Soja!$E71:$Z71,MIN(AU$6-$G$3,22))&lt;&gt;""),Soja!$E71:INDEX(Soja!$E71:$Z71,MIN(AU$6-$G$3,22))),0)))))</f>
        <v>0</v>
      </c>
      <c r="AV73" s="27" t="n">
        <f aca="false">IF(COUNT(Soja!$E71:$Z71)=0,0,MAX(0,IF((AV$6-$E$3)&lt;1,0,IFERROR(LOOKUP(2,1/(Soja!$E71:INDEX(Soja!$E71:$Z71,MIN(AV$6-$E$3,22))&lt;&gt;""),Soja!$E71:INDEX(Soja!$E71:$Z71,MIN(AV$6-$E$3,22))),0))-IF($G$2,0,IF((AV$6-$G$3)&lt;1,0,IFERROR(LOOKUP(2,1/(Soja!$E71:INDEX(Soja!$E71:$Z71,MIN(AV$6-$G$3,22))&lt;&gt;""),Soja!$E71:INDEX(Soja!$E71:$Z71,MIN(AV$6-$G$3,22))),0)))))</f>
        <v>0</v>
      </c>
      <c r="AW73" s="27" t="n">
        <f aca="false">IF(COUNT(Soja!$E71:$Z71)=0,0,MAX(0,IF((AW$6-$E$3)&lt;1,0,IFERROR(LOOKUP(2,1/(Soja!$E71:INDEX(Soja!$E71:$Z71,MIN(AW$6-$E$3,22))&lt;&gt;""),Soja!$E71:INDEX(Soja!$E71:$Z71,MIN(AW$6-$E$3,22))),0))-IF($G$2,0,IF((AW$6-$G$3)&lt;1,0,IFERROR(LOOKUP(2,1/(Soja!$E71:INDEX(Soja!$E71:$Z71,MIN(AW$6-$G$3,22))&lt;&gt;""),Soja!$E71:INDEX(Soja!$E71:$Z71,MIN(AW$6-$G$3,22))),0)))))</f>
        <v>0</v>
      </c>
      <c r="AX73" s="27" t="n">
        <f aca="false">IF(COUNT(Soja!$E71:$Z71)=0,0,MAX(0,IF((AX$6-$E$3)&lt;1,0,IFERROR(LOOKUP(2,1/(Soja!$E71:INDEX(Soja!$E71:$Z71,MIN(AX$6-$E$3,22))&lt;&gt;""),Soja!$E71:INDEX(Soja!$E71:$Z71,MIN(AX$6-$E$3,22))),0))-IF($G$2,0,IF((AX$6-$G$3)&lt;1,0,IFERROR(LOOKUP(2,1/(Soja!$E71:INDEX(Soja!$E71:$Z71,MIN(AX$6-$G$3,22))&lt;&gt;""),Soja!$E71:INDEX(Soja!$E71:$Z71,MIN(AX$6-$G$3,22))),0)))))</f>
        <v>0</v>
      </c>
      <c r="AY73" s="27" t="n">
        <f aca="false">IF(COUNT(Soja!$E71:$Z71)=0,0,MAX(0,IF((AY$6-$E$3)&lt;1,0,IFERROR(LOOKUP(2,1/(Soja!$E71:INDEX(Soja!$E71:$Z71,MIN(AY$6-$E$3,22))&lt;&gt;""),Soja!$E71:INDEX(Soja!$E71:$Z71,MIN(AY$6-$E$3,22))),0))-IF($G$2,0,IF((AY$6-$G$3)&lt;1,0,IFERROR(LOOKUP(2,1/(Soja!$E71:INDEX(Soja!$E71:$Z71,MIN(AY$6-$G$3,22))&lt;&gt;""),Soja!$E71:INDEX(Soja!$E71:$Z71,MIN(AY$6-$G$3,22))),0)))))</f>
        <v>0</v>
      </c>
      <c r="AZ73" s="27" t="n">
        <f aca="false">IF(COUNT(Soja!$E71:$Z71)=0,0,MAX(0,IF((AZ$6-$E$3)&lt;1,0,IFERROR(LOOKUP(2,1/(Soja!$E71:INDEX(Soja!$E71:$Z71,MIN(AZ$6-$E$3,22))&lt;&gt;""),Soja!$E71:INDEX(Soja!$E71:$Z71,MIN(AZ$6-$E$3,22))),0))-IF($G$2,0,IF((AZ$6-$G$3)&lt;1,0,IFERROR(LOOKUP(2,1/(Soja!$E71:INDEX(Soja!$E71:$Z71,MIN(AZ$6-$G$3,22))&lt;&gt;""),Soja!$E71:INDEX(Soja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IF(COUNT(Soja!$E72:$Z72)&gt;0,N(Soja!$D72),0)</f>
        <v>0</v>
      </c>
      <c r="E74" s="27" t="n">
        <f aca="false">IF(COUNT(Soja!$E72:$Z72)=0,0,MAX(0,IF((E$6-$E$3)&lt;1,0,IFERROR(LOOKUP(2,1/(Soja!$E72:INDEX(Soja!$E72:$Z72,MIN(E$6-$E$3,22))&lt;&gt;""),Soja!$E72:INDEX(Soja!$E72:$Z72,MIN(E$6-$E$3,22))),0))-IF($G$2,0,IF((E$6-$G$3)&lt;1,0,IFERROR(LOOKUP(2,1/(Soja!$E72:INDEX(Soja!$E72:$Z72,MIN(E$6-$G$3,22))&lt;&gt;""),Soja!$E72:INDEX(Soja!$E72:$Z72,MIN(E$6-$G$3,22))),0)))))</f>
        <v>0</v>
      </c>
      <c r="F74" s="27" t="n">
        <f aca="false">IF(COUNT(Soja!$E72:$Z72)=0,0,MAX(0,IF((F$6-$E$3)&lt;1,0,IFERROR(LOOKUP(2,1/(Soja!$E72:INDEX(Soja!$E72:$Z72,MIN(F$6-$E$3,22))&lt;&gt;""),Soja!$E72:INDEX(Soja!$E72:$Z72,MIN(F$6-$E$3,22))),0))-IF($G$2,0,IF((F$6-$G$3)&lt;1,0,IFERROR(LOOKUP(2,1/(Soja!$E72:INDEX(Soja!$E72:$Z72,MIN(F$6-$G$3,22))&lt;&gt;""),Soja!$E72:INDEX(Soja!$E72:$Z72,MIN(F$6-$G$3,22))),0)))))</f>
        <v>0</v>
      </c>
      <c r="G74" s="27" t="n">
        <f aca="false">IF(COUNT(Soja!$E72:$Z72)=0,0,MAX(0,IF((G$6-$E$3)&lt;1,0,IFERROR(LOOKUP(2,1/(Soja!$E72:INDEX(Soja!$E72:$Z72,MIN(G$6-$E$3,22))&lt;&gt;""),Soja!$E72:INDEX(Soja!$E72:$Z72,MIN(G$6-$E$3,22))),0))-IF($G$2,0,IF((G$6-$G$3)&lt;1,0,IFERROR(LOOKUP(2,1/(Soja!$E72:INDEX(Soja!$E72:$Z72,MIN(G$6-$G$3,22))&lt;&gt;""),Soja!$E72:INDEX(Soja!$E72:$Z72,MIN(G$6-$G$3,22))),0)))))</f>
        <v>0</v>
      </c>
      <c r="H74" s="27" t="n">
        <f aca="false">IF(COUNT(Soja!$E72:$Z72)=0,0,MAX(0,IF((H$6-$E$3)&lt;1,0,IFERROR(LOOKUP(2,1/(Soja!$E72:INDEX(Soja!$E72:$Z72,MIN(H$6-$E$3,22))&lt;&gt;""),Soja!$E72:INDEX(Soja!$E72:$Z72,MIN(H$6-$E$3,22))),0))-IF($G$2,0,IF((H$6-$G$3)&lt;1,0,IFERROR(LOOKUP(2,1/(Soja!$E72:INDEX(Soja!$E72:$Z72,MIN(H$6-$G$3,22))&lt;&gt;""),Soja!$E72:INDEX(Soja!$E72:$Z72,MIN(H$6-$G$3,22))),0)))))</f>
        <v>0</v>
      </c>
      <c r="I74" s="27" t="n">
        <f aca="false">IF(COUNT(Soja!$E72:$Z72)=0,0,MAX(0,IF((I$6-$E$3)&lt;1,0,IFERROR(LOOKUP(2,1/(Soja!$E72:INDEX(Soja!$E72:$Z72,MIN(I$6-$E$3,22))&lt;&gt;""),Soja!$E72:INDEX(Soja!$E72:$Z72,MIN(I$6-$E$3,22))),0))-IF($G$2,0,IF((I$6-$G$3)&lt;1,0,IFERROR(LOOKUP(2,1/(Soja!$E72:INDEX(Soja!$E72:$Z72,MIN(I$6-$G$3,22))&lt;&gt;""),Soja!$E72:INDEX(Soja!$E72:$Z72,MIN(I$6-$G$3,22))),0)))))</f>
        <v>0</v>
      </c>
      <c r="J74" s="27" t="n">
        <f aca="false">IF(COUNT(Soja!$E72:$Z72)=0,0,MAX(0,IF((J$6-$E$3)&lt;1,0,IFERROR(LOOKUP(2,1/(Soja!$E72:INDEX(Soja!$E72:$Z72,MIN(J$6-$E$3,22))&lt;&gt;""),Soja!$E72:INDEX(Soja!$E72:$Z72,MIN(J$6-$E$3,22))),0))-IF($G$2,0,IF((J$6-$G$3)&lt;1,0,IFERROR(LOOKUP(2,1/(Soja!$E72:INDEX(Soja!$E72:$Z72,MIN(J$6-$G$3,22))&lt;&gt;""),Soja!$E72:INDEX(Soja!$E72:$Z72,MIN(J$6-$G$3,22))),0)))))</f>
        <v>0</v>
      </c>
      <c r="K74" s="27" t="n">
        <f aca="false">IF(COUNT(Soja!$E72:$Z72)=0,0,MAX(0,IF((K$6-$E$3)&lt;1,0,IFERROR(LOOKUP(2,1/(Soja!$E72:INDEX(Soja!$E72:$Z72,MIN(K$6-$E$3,22))&lt;&gt;""),Soja!$E72:INDEX(Soja!$E72:$Z72,MIN(K$6-$E$3,22))),0))-IF($G$2,0,IF((K$6-$G$3)&lt;1,0,IFERROR(LOOKUP(2,1/(Soja!$E72:INDEX(Soja!$E72:$Z72,MIN(K$6-$G$3,22))&lt;&gt;""),Soja!$E72:INDEX(Soja!$E72:$Z72,MIN(K$6-$G$3,22))),0)))))</f>
        <v>0</v>
      </c>
      <c r="L74" s="27" t="n">
        <f aca="false">IF(COUNT(Soja!$E72:$Z72)=0,0,MAX(0,IF((L$6-$E$3)&lt;1,0,IFERROR(LOOKUP(2,1/(Soja!$E72:INDEX(Soja!$E72:$Z72,MIN(L$6-$E$3,22))&lt;&gt;""),Soja!$E72:INDEX(Soja!$E72:$Z72,MIN(L$6-$E$3,22))),0))-IF($G$2,0,IF((L$6-$G$3)&lt;1,0,IFERROR(LOOKUP(2,1/(Soja!$E72:INDEX(Soja!$E72:$Z72,MIN(L$6-$G$3,22))&lt;&gt;""),Soja!$E72:INDEX(Soja!$E72:$Z72,MIN(L$6-$G$3,22))),0)))))</f>
        <v>0</v>
      </c>
      <c r="M74" s="27" t="n">
        <f aca="false">IF(COUNT(Soja!$E72:$Z72)=0,0,MAX(0,IF((M$6-$E$3)&lt;1,0,IFERROR(LOOKUP(2,1/(Soja!$E72:INDEX(Soja!$E72:$Z72,MIN(M$6-$E$3,22))&lt;&gt;""),Soja!$E72:INDEX(Soja!$E72:$Z72,MIN(M$6-$E$3,22))),0))-IF($G$2,0,IF((M$6-$G$3)&lt;1,0,IFERROR(LOOKUP(2,1/(Soja!$E72:INDEX(Soja!$E72:$Z72,MIN(M$6-$G$3,22))&lt;&gt;""),Soja!$E72:INDEX(Soja!$E72:$Z72,MIN(M$6-$G$3,22))),0)))))</f>
        <v>0</v>
      </c>
      <c r="N74" s="27" t="n">
        <f aca="false">IF(COUNT(Soja!$E72:$Z72)=0,0,MAX(0,IF((N$6-$E$3)&lt;1,0,IFERROR(LOOKUP(2,1/(Soja!$E72:INDEX(Soja!$E72:$Z72,MIN(N$6-$E$3,22))&lt;&gt;""),Soja!$E72:INDEX(Soja!$E72:$Z72,MIN(N$6-$E$3,22))),0))-IF($G$2,0,IF((N$6-$G$3)&lt;1,0,IFERROR(LOOKUP(2,1/(Soja!$E72:INDEX(Soja!$E72:$Z72,MIN(N$6-$G$3,22))&lt;&gt;""),Soja!$E72:INDEX(Soja!$E72:$Z72,MIN(N$6-$G$3,22))),0)))))</f>
        <v>0</v>
      </c>
      <c r="O74" s="27" t="n">
        <f aca="false">IF(COUNT(Soja!$E72:$Z72)=0,0,MAX(0,IF((O$6-$E$3)&lt;1,0,IFERROR(LOOKUP(2,1/(Soja!$E72:INDEX(Soja!$E72:$Z72,MIN(O$6-$E$3,22))&lt;&gt;""),Soja!$E72:INDEX(Soja!$E72:$Z72,MIN(O$6-$E$3,22))),0))-IF($G$2,0,IF((O$6-$G$3)&lt;1,0,IFERROR(LOOKUP(2,1/(Soja!$E72:INDEX(Soja!$E72:$Z72,MIN(O$6-$G$3,22))&lt;&gt;""),Soja!$E72:INDEX(Soja!$E72:$Z72,MIN(O$6-$G$3,22))),0)))))</f>
        <v>0</v>
      </c>
      <c r="P74" s="27" t="n">
        <f aca="false">IF(COUNT(Soja!$E72:$Z72)=0,0,MAX(0,IF((P$6-$E$3)&lt;1,0,IFERROR(LOOKUP(2,1/(Soja!$E72:INDEX(Soja!$E72:$Z72,MIN(P$6-$E$3,22))&lt;&gt;""),Soja!$E72:INDEX(Soja!$E72:$Z72,MIN(P$6-$E$3,22))),0))-IF($G$2,0,IF((P$6-$G$3)&lt;1,0,IFERROR(LOOKUP(2,1/(Soja!$E72:INDEX(Soja!$E72:$Z72,MIN(P$6-$G$3,22))&lt;&gt;""),Soja!$E72:INDEX(Soja!$E72:$Z72,MIN(P$6-$G$3,22))),0)))))</f>
        <v>0</v>
      </c>
      <c r="Q74" s="27" t="n">
        <f aca="false">IF(COUNT(Soja!$E72:$Z72)=0,0,MAX(0,IF((Q$6-$E$3)&lt;1,0,IFERROR(LOOKUP(2,1/(Soja!$E72:INDEX(Soja!$E72:$Z72,MIN(Q$6-$E$3,22))&lt;&gt;""),Soja!$E72:INDEX(Soja!$E72:$Z72,MIN(Q$6-$E$3,22))),0))-IF($G$2,0,IF((Q$6-$G$3)&lt;1,0,IFERROR(LOOKUP(2,1/(Soja!$E72:INDEX(Soja!$E72:$Z72,MIN(Q$6-$G$3,22))&lt;&gt;""),Soja!$E72:INDEX(Soja!$E72:$Z72,MIN(Q$6-$G$3,22))),0)))))</f>
        <v>0</v>
      </c>
      <c r="R74" s="27" t="n">
        <f aca="false">IF(COUNT(Soja!$E72:$Z72)=0,0,MAX(0,IF((R$6-$E$3)&lt;1,0,IFERROR(LOOKUP(2,1/(Soja!$E72:INDEX(Soja!$E72:$Z72,MIN(R$6-$E$3,22))&lt;&gt;""),Soja!$E72:INDEX(Soja!$E72:$Z72,MIN(R$6-$E$3,22))),0))-IF($G$2,0,IF((R$6-$G$3)&lt;1,0,IFERROR(LOOKUP(2,1/(Soja!$E72:INDEX(Soja!$E72:$Z72,MIN(R$6-$G$3,22))&lt;&gt;""),Soja!$E72:INDEX(Soja!$E72:$Z72,MIN(R$6-$G$3,22))),0)))))</f>
        <v>0</v>
      </c>
      <c r="S74" s="27" t="n">
        <f aca="false">IF(COUNT(Soja!$E72:$Z72)=0,0,MAX(0,IF((S$6-$E$3)&lt;1,0,IFERROR(LOOKUP(2,1/(Soja!$E72:INDEX(Soja!$E72:$Z72,MIN(S$6-$E$3,22))&lt;&gt;""),Soja!$E72:INDEX(Soja!$E72:$Z72,MIN(S$6-$E$3,22))),0))-IF($G$2,0,IF((S$6-$G$3)&lt;1,0,IFERROR(LOOKUP(2,1/(Soja!$E72:INDEX(Soja!$E72:$Z72,MIN(S$6-$G$3,22))&lt;&gt;""),Soja!$E72:INDEX(Soja!$E72:$Z72,MIN(S$6-$G$3,22))),0)))))</f>
        <v>0</v>
      </c>
      <c r="T74" s="27" t="n">
        <f aca="false">IF(COUNT(Soja!$E72:$Z72)=0,0,MAX(0,IF((T$6-$E$3)&lt;1,0,IFERROR(LOOKUP(2,1/(Soja!$E72:INDEX(Soja!$E72:$Z72,MIN(T$6-$E$3,22))&lt;&gt;""),Soja!$E72:INDEX(Soja!$E72:$Z72,MIN(T$6-$E$3,22))),0))-IF($G$2,0,IF((T$6-$G$3)&lt;1,0,IFERROR(LOOKUP(2,1/(Soja!$E72:INDEX(Soja!$E72:$Z72,MIN(T$6-$G$3,22))&lt;&gt;""),Soja!$E72:INDEX(Soja!$E72:$Z72,MIN(T$6-$G$3,22))),0)))))</f>
        <v>0</v>
      </c>
      <c r="U74" s="27" t="n">
        <f aca="false">IF(COUNT(Soja!$E72:$Z72)=0,0,MAX(0,IF((U$6-$E$3)&lt;1,0,IFERROR(LOOKUP(2,1/(Soja!$E72:INDEX(Soja!$E72:$Z72,MIN(U$6-$E$3,22))&lt;&gt;""),Soja!$E72:INDEX(Soja!$E72:$Z72,MIN(U$6-$E$3,22))),0))-IF($G$2,0,IF((U$6-$G$3)&lt;1,0,IFERROR(LOOKUP(2,1/(Soja!$E72:INDEX(Soja!$E72:$Z72,MIN(U$6-$G$3,22))&lt;&gt;""),Soja!$E72:INDEX(Soja!$E72:$Z72,MIN(U$6-$G$3,22))),0)))))</f>
        <v>0</v>
      </c>
      <c r="V74" s="27" t="n">
        <f aca="false">IF(COUNT(Soja!$E72:$Z72)=0,0,MAX(0,IF((V$6-$E$3)&lt;1,0,IFERROR(LOOKUP(2,1/(Soja!$E72:INDEX(Soja!$E72:$Z72,MIN(V$6-$E$3,22))&lt;&gt;""),Soja!$E72:INDEX(Soja!$E72:$Z72,MIN(V$6-$E$3,22))),0))-IF($G$2,0,IF((V$6-$G$3)&lt;1,0,IFERROR(LOOKUP(2,1/(Soja!$E72:INDEX(Soja!$E72:$Z72,MIN(V$6-$G$3,22))&lt;&gt;""),Soja!$E72:INDEX(Soja!$E72:$Z72,MIN(V$6-$G$3,22))),0)))))</f>
        <v>0</v>
      </c>
      <c r="W74" s="27" t="n">
        <f aca="false">IF(COUNT(Soja!$E72:$Z72)=0,0,MAX(0,IF((W$6-$E$3)&lt;1,0,IFERROR(LOOKUP(2,1/(Soja!$E72:INDEX(Soja!$E72:$Z72,MIN(W$6-$E$3,22))&lt;&gt;""),Soja!$E72:INDEX(Soja!$E72:$Z72,MIN(W$6-$E$3,22))),0))-IF($G$2,0,IF((W$6-$G$3)&lt;1,0,IFERROR(LOOKUP(2,1/(Soja!$E72:INDEX(Soja!$E72:$Z72,MIN(W$6-$G$3,22))&lt;&gt;""),Soja!$E72:INDEX(Soja!$E72:$Z72,MIN(W$6-$G$3,22))),0)))))</f>
        <v>0</v>
      </c>
      <c r="X74" s="27" t="n">
        <f aca="false">IF(COUNT(Soja!$E72:$Z72)=0,0,MAX(0,IF((X$6-$E$3)&lt;1,0,IFERROR(LOOKUP(2,1/(Soja!$E72:INDEX(Soja!$E72:$Z72,MIN(X$6-$E$3,22))&lt;&gt;""),Soja!$E72:INDEX(Soja!$E72:$Z72,MIN(X$6-$E$3,22))),0))-IF($G$2,0,IF((X$6-$G$3)&lt;1,0,IFERROR(LOOKUP(2,1/(Soja!$E72:INDEX(Soja!$E72:$Z72,MIN(X$6-$G$3,22))&lt;&gt;""),Soja!$E72:INDEX(Soja!$E72:$Z72,MIN(X$6-$G$3,22))),0)))))</f>
        <v>0</v>
      </c>
      <c r="Y74" s="27" t="n">
        <f aca="false">IF(COUNT(Soja!$E72:$Z72)=0,0,MAX(0,IF((Y$6-$E$3)&lt;1,0,IFERROR(LOOKUP(2,1/(Soja!$E72:INDEX(Soja!$E72:$Z72,MIN(Y$6-$E$3,22))&lt;&gt;""),Soja!$E72:INDEX(Soja!$E72:$Z72,MIN(Y$6-$E$3,22))),0))-IF($G$2,0,IF((Y$6-$G$3)&lt;1,0,IFERROR(LOOKUP(2,1/(Soja!$E72:INDEX(Soja!$E72:$Z72,MIN(Y$6-$G$3,22))&lt;&gt;""),Soja!$E72:INDEX(Soja!$E72:$Z72,MIN(Y$6-$G$3,22))),0)))))</f>
        <v>0</v>
      </c>
      <c r="Z74" s="27" t="n">
        <f aca="false">IF(COUNT(Soja!$E72:$Z72)=0,0,MAX(0,IF((Z$6-$E$3)&lt;1,0,IFERROR(LOOKUP(2,1/(Soja!$E72:INDEX(Soja!$E72:$Z72,MIN(Z$6-$E$3,22))&lt;&gt;""),Soja!$E72:INDEX(Soja!$E72:$Z72,MIN(Z$6-$E$3,22))),0))-IF($G$2,0,IF((Z$6-$G$3)&lt;1,0,IFERROR(LOOKUP(2,1/(Soja!$E72:INDEX(Soja!$E72:$Z72,MIN(Z$6-$G$3,22))&lt;&gt;""),Soja!$E72:INDEX(Soja!$E72:$Z72,MIN(Z$6-$G$3,22))),0)))))</f>
        <v>0</v>
      </c>
      <c r="AA74" s="27" t="n">
        <f aca="false">IF(COUNT(Soja!$E72:$Z72)=0,0,MAX(0,IF((AA$6-$E$3)&lt;1,0,IFERROR(LOOKUP(2,1/(Soja!$E72:INDEX(Soja!$E72:$Z72,MIN(AA$6-$E$3,22))&lt;&gt;""),Soja!$E72:INDEX(Soja!$E72:$Z72,MIN(AA$6-$E$3,22))),0))-IF($G$2,0,IF((AA$6-$G$3)&lt;1,0,IFERROR(LOOKUP(2,1/(Soja!$E72:INDEX(Soja!$E72:$Z72,MIN(AA$6-$G$3,22))&lt;&gt;""),Soja!$E72:INDEX(Soja!$E72:$Z72,MIN(AA$6-$G$3,22))),0)))))</f>
        <v>0</v>
      </c>
      <c r="AB74" s="27" t="n">
        <f aca="false">IF(COUNT(Soja!$E72:$Z72)=0,0,MAX(0,IF((AB$6-$E$3)&lt;1,0,IFERROR(LOOKUP(2,1/(Soja!$E72:INDEX(Soja!$E72:$Z72,MIN(AB$6-$E$3,22))&lt;&gt;""),Soja!$E72:INDEX(Soja!$E72:$Z72,MIN(AB$6-$E$3,22))),0))-IF($G$2,0,IF((AB$6-$G$3)&lt;1,0,IFERROR(LOOKUP(2,1/(Soja!$E72:INDEX(Soja!$E72:$Z72,MIN(AB$6-$G$3,22))&lt;&gt;""),Soja!$E72:INDEX(Soja!$E72:$Z72,MIN(AB$6-$G$3,22))),0)))))</f>
        <v>0</v>
      </c>
      <c r="AC74" s="27" t="n">
        <f aca="false">IF(COUNT(Soja!$E72:$Z72)=0,0,MAX(0,IF((AC$6-$E$3)&lt;1,0,IFERROR(LOOKUP(2,1/(Soja!$E72:INDEX(Soja!$E72:$Z72,MIN(AC$6-$E$3,22))&lt;&gt;""),Soja!$E72:INDEX(Soja!$E72:$Z72,MIN(AC$6-$E$3,22))),0))-IF($G$2,0,IF((AC$6-$G$3)&lt;1,0,IFERROR(LOOKUP(2,1/(Soja!$E72:INDEX(Soja!$E72:$Z72,MIN(AC$6-$G$3,22))&lt;&gt;""),Soja!$E72:INDEX(Soja!$E72:$Z72,MIN(AC$6-$G$3,22))),0)))))</f>
        <v>0</v>
      </c>
      <c r="AD74" s="27" t="n">
        <f aca="false">IF(COUNT(Soja!$E72:$Z72)=0,0,MAX(0,IF((AD$6-$E$3)&lt;1,0,IFERROR(LOOKUP(2,1/(Soja!$E72:INDEX(Soja!$E72:$Z72,MIN(AD$6-$E$3,22))&lt;&gt;""),Soja!$E72:INDEX(Soja!$E72:$Z72,MIN(AD$6-$E$3,22))),0))-IF($G$2,0,IF((AD$6-$G$3)&lt;1,0,IFERROR(LOOKUP(2,1/(Soja!$E72:INDEX(Soja!$E72:$Z72,MIN(AD$6-$G$3,22))&lt;&gt;""),Soja!$E72:INDEX(Soja!$E72:$Z72,MIN(AD$6-$G$3,22))),0)))))</f>
        <v>0</v>
      </c>
      <c r="AE74" s="27" t="n">
        <f aca="false">IF(COUNT(Soja!$E72:$Z72)=0,0,MAX(0,IF((AE$6-$E$3)&lt;1,0,IFERROR(LOOKUP(2,1/(Soja!$E72:INDEX(Soja!$E72:$Z72,MIN(AE$6-$E$3,22))&lt;&gt;""),Soja!$E72:INDEX(Soja!$E72:$Z72,MIN(AE$6-$E$3,22))),0))-IF($G$2,0,IF((AE$6-$G$3)&lt;1,0,IFERROR(LOOKUP(2,1/(Soja!$E72:INDEX(Soja!$E72:$Z72,MIN(AE$6-$G$3,22))&lt;&gt;""),Soja!$E72:INDEX(Soja!$E72:$Z72,MIN(AE$6-$G$3,22))),0)))))</f>
        <v>0</v>
      </c>
      <c r="AF74" s="27" t="n">
        <f aca="false">IF(COUNT(Soja!$E72:$Z72)=0,0,MAX(0,IF((AF$6-$E$3)&lt;1,0,IFERROR(LOOKUP(2,1/(Soja!$E72:INDEX(Soja!$E72:$Z72,MIN(AF$6-$E$3,22))&lt;&gt;""),Soja!$E72:INDEX(Soja!$E72:$Z72,MIN(AF$6-$E$3,22))),0))-IF($G$2,0,IF((AF$6-$G$3)&lt;1,0,IFERROR(LOOKUP(2,1/(Soja!$E72:INDEX(Soja!$E72:$Z72,MIN(AF$6-$G$3,22))&lt;&gt;""),Soja!$E72:INDEX(Soja!$E72:$Z72,MIN(AF$6-$G$3,22))),0)))))</f>
        <v>0</v>
      </c>
      <c r="AG74" s="27" t="n">
        <f aca="false">IF(COUNT(Soja!$E72:$Z72)=0,0,MAX(0,IF((AG$6-$E$3)&lt;1,0,IFERROR(LOOKUP(2,1/(Soja!$E72:INDEX(Soja!$E72:$Z72,MIN(AG$6-$E$3,22))&lt;&gt;""),Soja!$E72:INDEX(Soja!$E72:$Z72,MIN(AG$6-$E$3,22))),0))-IF($G$2,0,IF((AG$6-$G$3)&lt;1,0,IFERROR(LOOKUP(2,1/(Soja!$E72:INDEX(Soja!$E72:$Z72,MIN(AG$6-$G$3,22))&lt;&gt;""),Soja!$E72:INDEX(Soja!$E72:$Z72,MIN(AG$6-$G$3,22))),0)))))</f>
        <v>0</v>
      </c>
      <c r="AH74" s="27" t="n">
        <f aca="false">IF(COUNT(Soja!$E72:$Z72)=0,0,MAX(0,IF((AH$6-$E$3)&lt;1,0,IFERROR(LOOKUP(2,1/(Soja!$E72:INDEX(Soja!$E72:$Z72,MIN(AH$6-$E$3,22))&lt;&gt;""),Soja!$E72:INDEX(Soja!$E72:$Z72,MIN(AH$6-$E$3,22))),0))-IF($G$2,0,IF((AH$6-$G$3)&lt;1,0,IFERROR(LOOKUP(2,1/(Soja!$E72:INDEX(Soja!$E72:$Z72,MIN(AH$6-$G$3,22))&lt;&gt;""),Soja!$E72:INDEX(Soja!$E72:$Z72,MIN(AH$6-$G$3,22))),0)))))</f>
        <v>0</v>
      </c>
      <c r="AI74" s="27" t="n">
        <f aca="false">IF(COUNT(Soja!$E72:$Z72)=0,0,MAX(0,IF((AI$6-$E$3)&lt;1,0,IFERROR(LOOKUP(2,1/(Soja!$E72:INDEX(Soja!$E72:$Z72,MIN(AI$6-$E$3,22))&lt;&gt;""),Soja!$E72:INDEX(Soja!$E72:$Z72,MIN(AI$6-$E$3,22))),0))-IF($G$2,0,IF((AI$6-$G$3)&lt;1,0,IFERROR(LOOKUP(2,1/(Soja!$E72:INDEX(Soja!$E72:$Z72,MIN(AI$6-$G$3,22))&lt;&gt;""),Soja!$E72:INDEX(Soja!$E72:$Z72,MIN(AI$6-$G$3,22))),0)))))</f>
        <v>0</v>
      </c>
      <c r="AJ74" s="27" t="n">
        <f aca="false">IF(COUNT(Soja!$E72:$Z72)=0,0,MAX(0,IF((AJ$6-$E$3)&lt;1,0,IFERROR(LOOKUP(2,1/(Soja!$E72:INDEX(Soja!$E72:$Z72,MIN(AJ$6-$E$3,22))&lt;&gt;""),Soja!$E72:INDEX(Soja!$E72:$Z72,MIN(AJ$6-$E$3,22))),0))-IF($G$2,0,IF((AJ$6-$G$3)&lt;1,0,IFERROR(LOOKUP(2,1/(Soja!$E72:INDEX(Soja!$E72:$Z72,MIN(AJ$6-$G$3,22))&lt;&gt;""),Soja!$E72:INDEX(Soja!$E72:$Z72,MIN(AJ$6-$G$3,22))),0)))))</f>
        <v>0</v>
      </c>
      <c r="AK74" s="27" t="n">
        <f aca="false">IF(COUNT(Soja!$E72:$Z72)=0,0,MAX(0,IF((AK$6-$E$3)&lt;1,0,IFERROR(LOOKUP(2,1/(Soja!$E72:INDEX(Soja!$E72:$Z72,MIN(AK$6-$E$3,22))&lt;&gt;""),Soja!$E72:INDEX(Soja!$E72:$Z72,MIN(AK$6-$E$3,22))),0))-IF($G$2,0,IF((AK$6-$G$3)&lt;1,0,IFERROR(LOOKUP(2,1/(Soja!$E72:INDEX(Soja!$E72:$Z72,MIN(AK$6-$G$3,22))&lt;&gt;""),Soja!$E72:INDEX(Soja!$E72:$Z72,MIN(AK$6-$G$3,22))),0)))))</f>
        <v>0</v>
      </c>
      <c r="AL74" s="27" t="n">
        <f aca="false">IF(COUNT(Soja!$E72:$Z72)=0,0,MAX(0,IF((AL$6-$E$3)&lt;1,0,IFERROR(LOOKUP(2,1/(Soja!$E72:INDEX(Soja!$E72:$Z72,MIN(AL$6-$E$3,22))&lt;&gt;""),Soja!$E72:INDEX(Soja!$E72:$Z72,MIN(AL$6-$E$3,22))),0))-IF($G$2,0,IF((AL$6-$G$3)&lt;1,0,IFERROR(LOOKUP(2,1/(Soja!$E72:INDEX(Soja!$E72:$Z72,MIN(AL$6-$G$3,22))&lt;&gt;""),Soja!$E72:INDEX(Soja!$E72:$Z72,MIN(AL$6-$G$3,22))),0)))))</f>
        <v>0</v>
      </c>
      <c r="AM74" s="27" t="n">
        <f aca="false">IF(COUNT(Soja!$E72:$Z72)=0,0,MAX(0,IF((AM$6-$E$3)&lt;1,0,IFERROR(LOOKUP(2,1/(Soja!$E72:INDEX(Soja!$E72:$Z72,MIN(AM$6-$E$3,22))&lt;&gt;""),Soja!$E72:INDEX(Soja!$E72:$Z72,MIN(AM$6-$E$3,22))),0))-IF($G$2,0,IF((AM$6-$G$3)&lt;1,0,IFERROR(LOOKUP(2,1/(Soja!$E72:INDEX(Soja!$E72:$Z72,MIN(AM$6-$G$3,22))&lt;&gt;""),Soja!$E72:INDEX(Soja!$E72:$Z72,MIN(AM$6-$G$3,22))),0)))))</f>
        <v>0</v>
      </c>
      <c r="AN74" s="27" t="n">
        <f aca="false">IF(COUNT(Soja!$E72:$Z72)=0,0,MAX(0,IF((AN$6-$E$3)&lt;1,0,IFERROR(LOOKUP(2,1/(Soja!$E72:INDEX(Soja!$E72:$Z72,MIN(AN$6-$E$3,22))&lt;&gt;""),Soja!$E72:INDEX(Soja!$E72:$Z72,MIN(AN$6-$E$3,22))),0))-IF($G$2,0,IF((AN$6-$G$3)&lt;1,0,IFERROR(LOOKUP(2,1/(Soja!$E72:INDEX(Soja!$E72:$Z72,MIN(AN$6-$G$3,22))&lt;&gt;""),Soja!$E72:INDEX(Soja!$E72:$Z72,MIN(AN$6-$G$3,22))),0)))))</f>
        <v>0</v>
      </c>
      <c r="AO74" s="27" t="n">
        <f aca="false">IF(COUNT(Soja!$E72:$Z72)=0,0,MAX(0,IF((AO$6-$E$3)&lt;1,0,IFERROR(LOOKUP(2,1/(Soja!$E72:INDEX(Soja!$E72:$Z72,MIN(AO$6-$E$3,22))&lt;&gt;""),Soja!$E72:INDEX(Soja!$E72:$Z72,MIN(AO$6-$E$3,22))),0))-IF($G$2,0,IF((AO$6-$G$3)&lt;1,0,IFERROR(LOOKUP(2,1/(Soja!$E72:INDEX(Soja!$E72:$Z72,MIN(AO$6-$G$3,22))&lt;&gt;""),Soja!$E72:INDEX(Soja!$E72:$Z72,MIN(AO$6-$G$3,22))),0)))))</f>
        <v>0</v>
      </c>
      <c r="AP74" s="27" t="n">
        <f aca="false">IF(COUNT(Soja!$E72:$Z72)=0,0,MAX(0,IF((AP$6-$E$3)&lt;1,0,IFERROR(LOOKUP(2,1/(Soja!$E72:INDEX(Soja!$E72:$Z72,MIN(AP$6-$E$3,22))&lt;&gt;""),Soja!$E72:INDEX(Soja!$E72:$Z72,MIN(AP$6-$E$3,22))),0))-IF($G$2,0,IF((AP$6-$G$3)&lt;1,0,IFERROR(LOOKUP(2,1/(Soja!$E72:INDEX(Soja!$E72:$Z72,MIN(AP$6-$G$3,22))&lt;&gt;""),Soja!$E72:INDEX(Soja!$E72:$Z72,MIN(AP$6-$G$3,22))),0)))))</f>
        <v>0</v>
      </c>
      <c r="AQ74" s="27" t="n">
        <f aca="false">IF(COUNT(Soja!$E72:$Z72)=0,0,MAX(0,IF((AQ$6-$E$3)&lt;1,0,IFERROR(LOOKUP(2,1/(Soja!$E72:INDEX(Soja!$E72:$Z72,MIN(AQ$6-$E$3,22))&lt;&gt;""),Soja!$E72:INDEX(Soja!$E72:$Z72,MIN(AQ$6-$E$3,22))),0))-IF($G$2,0,IF((AQ$6-$G$3)&lt;1,0,IFERROR(LOOKUP(2,1/(Soja!$E72:INDEX(Soja!$E72:$Z72,MIN(AQ$6-$G$3,22))&lt;&gt;""),Soja!$E72:INDEX(Soja!$E72:$Z72,MIN(AQ$6-$G$3,22))),0)))))</f>
        <v>0</v>
      </c>
      <c r="AR74" s="27" t="n">
        <f aca="false">IF(COUNT(Soja!$E72:$Z72)=0,0,MAX(0,IF((AR$6-$E$3)&lt;1,0,IFERROR(LOOKUP(2,1/(Soja!$E72:INDEX(Soja!$E72:$Z72,MIN(AR$6-$E$3,22))&lt;&gt;""),Soja!$E72:INDEX(Soja!$E72:$Z72,MIN(AR$6-$E$3,22))),0))-IF($G$2,0,IF((AR$6-$G$3)&lt;1,0,IFERROR(LOOKUP(2,1/(Soja!$E72:INDEX(Soja!$E72:$Z72,MIN(AR$6-$G$3,22))&lt;&gt;""),Soja!$E72:INDEX(Soja!$E72:$Z72,MIN(AR$6-$G$3,22))),0)))))</f>
        <v>0</v>
      </c>
      <c r="AS74" s="27" t="n">
        <f aca="false">IF(COUNT(Soja!$E72:$Z72)=0,0,MAX(0,IF((AS$6-$E$3)&lt;1,0,IFERROR(LOOKUP(2,1/(Soja!$E72:INDEX(Soja!$E72:$Z72,MIN(AS$6-$E$3,22))&lt;&gt;""),Soja!$E72:INDEX(Soja!$E72:$Z72,MIN(AS$6-$E$3,22))),0))-IF($G$2,0,IF((AS$6-$G$3)&lt;1,0,IFERROR(LOOKUP(2,1/(Soja!$E72:INDEX(Soja!$E72:$Z72,MIN(AS$6-$G$3,22))&lt;&gt;""),Soja!$E72:INDEX(Soja!$E72:$Z72,MIN(AS$6-$G$3,22))),0)))))</f>
        <v>0</v>
      </c>
      <c r="AT74" s="27" t="n">
        <f aca="false">IF(COUNT(Soja!$E72:$Z72)=0,0,MAX(0,IF((AT$6-$E$3)&lt;1,0,IFERROR(LOOKUP(2,1/(Soja!$E72:INDEX(Soja!$E72:$Z72,MIN(AT$6-$E$3,22))&lt;&gt;""),Soja!$E72:INDEX(Soja!$E72:$Z72,MIN(AT$6-$E$3,22))),0))-IF($G$2,0,IF((AT$6-$G$3)&lt;1,0,IFERROR(LOOKUP(2,1/(Soja!$E72:INDEX(Soja!$E72:$Z72,MIN(AT$6-$G$3,22))&lt;&gt;""),Soja!$E72:INDEX(Soja!$E72:$Z72,MIN(AT$6-$G$3,22))),0)))))</f>
        <v>0</v>
      </c>
      <c r="AU74" s="27" t="n">
        <f aca="false">IF(COUNT(Soja!$E72:$Z72)=0,0,MAX(0,IF((AU$6-$E$3)&lt;1,0,IFERROR(LOOKUP(2,1/(Soja!$E72:INDEX(Soja!$E72:$Z72,MIN(AU$6-$E$3,22))&lt;&gt;""),Soja!$E72:INDEX(Soja!$E72:$Z72,MIN(AU$6-$E$3,22))),0))-IF($G$2,0,IF((AU$6-$G$3)&lt;1,0,IFERROR(LOOKUP(2,1/(Soja!$E72:INDEX(Soja!$E72:$Z72,MIN(AU$6-$G$3,22))&lt;&gt;""),Soja!$E72:INDEX(Soja!$E72:$Z72,MIN(AU$6-$G$3,22))),0)))))</f>
        <v>0</v>
      </c>
      <c r="AV74" s="27" t="n">
        <f aca="false">IF(COUNT(Soja!$E72:$Z72)=0,0,MAX(0,IF((AV$6-$E$3)&lt;1,0,IFERROR(LOOKUP(2,1/(Soja!$E72:INDEX(Soja!$E72:$Z72,MIN(AV$6-$E$3,22))&lt;&gt;""),Soja!$E72:INDEX(Soja!$E72:$Z72,MIN(AV$6-$E$3,22))),0))-IF($G$2,0,IF((AV$6-$G$3)&lt;1,0,IFERROR(LOOKUP(2,1/(Soja!$E72:INDEX(Soja!$E72:$Z72,MIN(AV$6-$G$3,22))&lt;&gt;""),Soja!$E72:INDEX(Soja!$E72:$Z72,MIN(AV$6-$G$3,22))),0)))))</f>
        <v>0</v>
      </c>
      <c r="AW74" s="27" t="n">
        <f aca="false">IF(COUNT(Soja!$E72:$Z72)=0,0,MAX(0,IF((AW$6-$E$3)&lt;1,0,IFERROR(LOOKUP(2,1/(Soja!$E72:INDEX(Soja!$E72:$Z72,MIN(AW$6-$E$3,22))&lt;&gt;""),Soja!$E72:INDEX(Soja!$E72:$Z72,MIN(AW$6-$E$3,22))),0))-IF($G$2,0,IF((AW$6-$G$3)&lt;1,0,IFERROR(LOOKUP(2,1/(Soja!$E72:INDEX(Soja!$E72:$Z72,MIN(AW$6-$G$3,22))&lt;&gt;""),Soja!$E72:INDEX(Soja!$E72:$Z72,MIN(AW$6-$G$3,22))),0)))))</f>
        <v>0</v>
      </c>
      <c r="AX74" s="27" t="n">
        <f aca="false">IF(COUNT(Soja!$E72:$Z72)=0,0,MAX(0,IF((AX$6-$E$3)&lt;1,0,IFERROR(LOOKUP(2,1/(Soja!$E72:INDEX(Soja!$E72:$Z72,MIN(AX$6-$E$3,22))&lt;&gt;""),Soja!$E72:INDEX(Soja!$E72:$Z72,MIN(AX$6-$E$3,22))),0))-IF($G$2,0,IF((AX$6-$G$3)&lt;1,0,IFERROR(LOOKUP(2,1/(Soja!$E72:INDEX(Soja!$E72:$Z72,MIN(AX$6-$G$3,22))&lt;&gt;""),Soja!$E72:INDEX(Soja!$E72:$Z72,MIN(AX$6-$G$3,22))),0)))))</f>
        <v>0</v>
      </c>
      <c r="AY74" s="27" t="n">
        <f aca="false">IF(COUNT(Soja!$E72:$Z72)=0,0,MAX(0,IF((AY$6-$E$3)&lt;1,0,IFERROR(LOOKUP(2,1/(Soja!$E72:INDEX(Soja!$E72:$Z72,MIN(AY$6-$E$3,22))&lt;&gt;""),Soja!$E72:INDEX(Soja!$E72:$Z72,MIN(AY$6-$E$3,22))),0))-IF($G$2,0,IF((AY$6-$G$3)&lt;1,0,IFERROR(LOOKUP(2,1/(Soja!$E72:INDEX(Soja!$E72:$Z72,MIN(AY$6-$G$3,22))&lt;&gt;""),Soja!$E72:INDEX(Soja!$E72:$Z72,MIN(AY$6-$G$3,22))),0)))))</f>
        <v>0</v>
      </c>
      <c r="AZ74" s="27" t="n">
        <f aca="false">IF(COUNT(Soja!$E72:$Z72)=0,0,MAX(0,IF((AZ$6-$E$3)&lt;1,0,IFERROR(LOOKUP(2,1/(Soja!$E72:INDEX(Soja!$E72:$Z72,MIN(AZ$6-$E$3,22))&lt;&gt;""),Soja!$E72:INDEX(Soja!$E72:$Z72,MIN(AZ$6-$E$3,22))),0))-IF($G$2,0,IF((AZ$6-$G$3)&lt;1,0,IFERROR(LOOKUP(2,1/(Soja!$E72:INDEX(Soja!$E72:$Z72,MIN(AZ$6-$G$3,22))&lt;&gt;""),Soja!$E72:INDEX(Soja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IF(COUNT(Soja!$E73:$Z73)&gt;0,N(Soja!$D73),0)</f>
        <v>0</v>
      </c>
      <c r="E75" s="27" t="n">
        <f aca="false">IF(COUNT(Soja!$E73:$Z73)=0,0,MAX(0,IF((E$6-$E$3)&lt;1,0,IFERROR(LOOKUP(2,1/(Soja!$E73:INDEX(Soja!$E73:$Z73,MIN(E$6-$E$3,22))&lt;&gt;""),Soja!$E73:INDEX(Soja!$E73:$Z73,MIN(E$6-$E$3,22))),0))-IF($G$2,0,IF((E$6-$G$3)&lt;1,0,IFERROR(LOOKUP(2,1/(Soja!$E73:INDEX(Soja!$E73:$Z73,MIN(E$6-$G$3,22))&lt;&gt;""),Soja!$E73:INDEX(Soja!$E73:$Z73,MIN(E$6-$G$3,22))),0)))))</f>
        <v>0</v>
      </c>
      <c r="F75" s="27" t="n">
        <f aca="false">IF(COUNT(Soja!$E73:$Z73)=0,0,MAX(0,IF((F$6-$E$3)&lt;1,0,IFERROR(LOOKUP(2,1/(Soja!$E73:INDEX(Soja!$E73:$Z73,MIN(F$6-$E$3,22))&lt;&gt;""),Soja!$E73:INDEX(Soja!$E73:$Z73,MIN(F$6-$E$3,22))),0))-IF($G$2,0,IF((F$6-$G$3)&lt;1,0,IFERROR(LOOKUP(2,1/(Soja!$E73:INDEX(Soja!$E73:$Z73,MIN(F$6-$G$3,22))&lt;&gt;""),Soja!$E73:INDEX(Soja!$E73:$Z73,MIN(F$6-$G$3,22))),0)))))</f>
        <v>0</v>
      </c>
      <c r="G75" s="27" t="n">
        <f aca="false">IF(COUNT(Soja!$E73:$Z73)=0,0,MAX(0,IF((G$6-$E$3)&lt;1,0,IFERROR(LOOKUP(2,1/(Soja!$E73:INDEX(Soja!$E73:$Z73,MIN(G$6-$E$3,22))&lt;&gt;""),Soja!$E73:INDEX(Soja!$E73:$Z73,MIN(G$6-$E$3,22))),0))-IF($G$2,0,IF((G$6-$G$3)&lt;1,0,IFERROR(LOOKUP(2,1/(Soja!$E73:INDEX(Soja!$E73:$Z73,MIN(G$6-$G$3,22))&lt;&gt;""),Soja!$E73:INDEX(Soja!$E73:$Z73,MIN(G$6-$G$3,22))),0)))))</f>
        <v>0</v>
      </c>
      <c r="H75" s="27" t="n">
        <f aca="false">IF(COUNT(Soja!$E73:$Z73)=0,0,MAX(0,IF((H$6-$E$3)&lt;1,0,IFERROR(LOOKUP(2,1/(Soja!$E73:INDEX(Soja!$E73:$Z73,MIN(H$6-$E$3,22))&lt;&gt;""),Soja!$E73:INDEX(Soja!$E73:$Z73,MIN(H$6-$E$3,22))),0))-IF($G$2,0,IF((H$6-$G$3)&lt;1,0,IFERROR(LOOKUP(2,1/(Soja!$E73:INDEX(Soja!$E73:$Z73,MIN(H$6-$G$3,22))&lt;&gt;""),Soja!$E73:INDEX(Soja!$E73:$Z73,MIN(H$6-$G$3,22))),0)))))</f>
        <v>0</v>
      </c>
      <c r="I75" s="27" t="n">
        <f aca="false">IF(COUNT(Soja!$E73:$Z73)=0,0,MAX(0,IF((I$6-$E$3)&lt;1,0,IFERROR(LOOKUP(2,1/(Soja!$E73:INDEX(Soja!$E73:$Z73,MIN(I$6-$E$3,22))&lt;&gt;""),Soja!$E73:INDEX(Soja!$E73:$Z73,MIN(I$6-$E$3,22))),0))-IF($G$2,0,IF((I$6-$G$3)&lt;1,0,IFERROR(LOOKUP(2,1/(Soja!$E73:INDEX(Soja!$E73:$Z73,MIN(I$6-$G$3,22))&lt;&gt;""),Soja!$E73:INDEX(Soja!$E73:$Z73,MIN(I$6-$G$3,22))),0)))))</f>
        <v>0</v>
      </c>
      <c r="J75" s="27" t="n">
        <f aca="false">IF(COUNT(Soja!$E73:$Z73)=0,0,MAX(0,IF((J$6-$E$3)&lt;1,0,IFERROR(LOOKUP(2,1/(Soja!$E73:INDEX(Soja!$E73:$Z73,MIN(J$6-$E$3,22))&lt;&gt;""),Soja!$E73:INDEX(Soja!$E73:$Z73,MIN(J$6-$E$3,22))),0))-IF($G$2,0,IF((J$6-$G$3)&lt;1,0,IFERROR(LOOKUP(2,1/(Soja!$E73:INDEX(Soja!$E73:$Z73,MIN(J$6-$G$3,22))&lt;&gt;""),Soja!$E73:INDEX(Soja!$E73:$Z73,MIN(J$6-$G$3,22))),0)))))</f>
        <v>0</v>
      </c>
      <c r="K75" s="27" t="n">
        <f aca="false">IF(COUNT(Soja!$E73:$Z73)=0,0,MAX(0,IF((K$6-$E$3)&lt;1,0,IFERROR(LOOKUP(2,1/(Soja!$E73:INDEX(Soja!$E73:$Z73,MIN(K$6-$E$3,22))&lt;&gt;""),Soja!$E73:INDEX(Soja!$E73:$Z73,MIN(K$6-$E$3,22))),0))-IF($G$2,0,IF((K$6-$G$3)&lt;1,0,IFERROR(LOOKUP(2,1/(Soja!$E73:INDEX(Soja!$E73:$Z73,MIN(K$6-$G$3,22))&lt;&gt;""),Soja!$E73:INDEX(Soja!$E73:$Z73,MIN(K$6-$G$3,22))),0)))))</f>
        <v>0</v>
      </c>
      <c r="L75" s="27" t="n">
        <f aca="false">IF(COUNT(Soja!$E73:$Z73)=0,0,MAX(0,IF((L$6-$E$3)&lt;1,0,IFERROR(LOOKUP(2,1/(Soja!$E73:INDEX(Soja!$E73:$Z73,MIN(L$6-$E$3,22))&lt;&gt;""),Soja!$E73:INDEX(Soja!$E73:$Z73,MIN(L$6-$E$3,22))),0))-IF($G$2,0,IF((L$6-$G$3)&lt;1,0,IFERROR(LOOKUP(2,1/(Soja!$E73:INDEX(Soja!$E73:$Z73,MIN(L$6-$G$3,22))&lt;&gt;""),Soja!$E73:INDEX(Soja!$E73:$Z73,MIN(L$6-$G$3,22))),0)))))</f>
        <v>0</v>
      </c>
      <c r="M75" s="27" t="n">
        <f aca="false">IF(COUNT(Soja!$E73:$Z73)=0,0,MAX(0,IF((M$6-$E$3)&lt;1,0,IFERROR(LOOKUP(2,1/(Soja!$E73:INDEX(Soja!$E73:$Z73,MIN(M$6-$E$3,22))&lt;&gt;""),Soja!$E73:INDEX(Soja!$E73:$Z73,MIN(M$6-$E$3,22))),0))-IF($G$2,0,IF((M$6-$G$3)&lt;1,0,IFERROR(LOOKUP(2,1/(Soja!$E73:INDEX(Soja!$E73:$Z73,MIN(M$6-$G$3,22))&lt;&gt;""),Soja!$E73:INDEX(Soja!$E73:$Z73,MIN(M$6-$G$3,22))),0)))))</f>
        <v>0</v>
      </c>
      <c r="N75" s="27" t="n">
        <f aca="false">IF(COUNT(Soja!$E73:$Z73)=0,0,MAX(0,IF((N$6-$E$3)&lt;1,0,IFERROR(LOOKUP(2,1/(Soja!$E73:INDEX(Soja!$E73:$Z73,MIN(N$6-$E$3,22))&lt;&gt;""),Soja!$E73:INDEX(Soja!$E73:$Z73,MIN(N$6-$E$3,22))),0))-IF($G$2,0,IF((N$6-$G$3)&lt;1,0,IFERROR(LOOKUP(2,1/(Soja!$E73:INDEX(Soja!$E73:$Z73,MIN(N$6-$G$3,22))&lt;&gt;""),Soja!$E73:INDEX(Soja!$E73:$Z73,MIN(N$6-$G$3,22))),0)))))</f>
        <v>0</v>
      </c>
      <c r="O75" s="27" t="n">
        <f aca="false">IF(COUNT(Soja!$E73:$Z73)=0,0,MAX(0,IF((O$6-$E$3)&lt;1,0,IFERROR(LOOKUP(2,1/(Soja!$E73:INDEX(Soja!$E73:$Z73,MIN(O$6-$E$3,22))&lt;&gt;""),Soja!$E73:INDEX(Soja!$E73:$Z73,MIN(O$6-$E$3,22))),0))-IF($G$2,0,IF((O$6-$G$3)&lt;1,0,IFERROR(LOOKUP(2,1/(Soja!$E73:INDEX(Soja!$E73:$Z73,MIN(O$6-$G$3,22))&lt;&gt;""),Soja!$E73:INDEX(Soja!$E73:$Z73,MIN(O$6-$G$3,22))),0)))))</f>
        <v>0</v>
      </c>
      <c r="P75" s="27" t="n">
        <f aca="false">IF(COUNT(Soja!$E73:$Z73)=0,0,MAX(0,IF((P$6-$E$3)&lt;1,0,IFERROR(LOOKUP(2,1/(Soja!$E73:INDEX(Soja!$E73:$Z73,MIN(P$6-$E$3,22))&lt;&gt;""),Soja!$E73:INDEX(Soja!$E73:$Z73,MIN(P$6-$E$3,22))),0))-IF($G$2,0,IF((P$6-$G$3)&lt;1,0,IFERROR(LOOKUP(2,1/(Soja!$E73:INDEX(Soja!$E73:$Z73,MIN(P$6-$G$3,22))&lt;&gt;""),Soja!$E73:INDEX(Soja!$E73:$Z73,MIN(P$6-$G$3,22))),0)))))</f>
        <v>0</v>
      </c>
      <c r="Q75" s="27" t="n">
        <f aca="false">IF(COUNT(Soja!$E73:$Z73)=0,0,MAX(0,IF((Q$6-$E$3)&lt;1,0,IFERROR(LOOKUP(2,1/(Soja!$E73:INDEX(Soja!$E73:$Z73,MIN(Q$6-$E$3,22))&lt;&gt;""),Soja!$E73:INDEX(Soja!$E73:$Z73,MIN(Q$6-$E$3,22))),0))-IF($G$2,0,IF((Q$6-$G$3)&lt;1,0,IFERROR(LOOKUP(2,1/(Soja!$E73:INDEX(Soja!$E73:$Z73,MIN(Q$6-$G$3,22))&lt;&gt;""),Soja!$E73:INDEX(Soja!$E73:$Z73,MIN(Q$6-$G$3,22))),0)))))</f>
        <v>0</v>
      </c>
      <c r="R75" s="27" t="n">
        <f aca="false">IF(COUNT(Soja!$E73:$Z73)=0,0,MAX(0,IF((R$6-$E$3)&lt;1,0,IFERROR(LOOKUP(2,1/(Soja!$E73:INDEX(Soja!$E73:$Z73,MIN(R$6-$E$3,22))&lt;&gt;""),Soja!$E73:INDEX(Soja!$E73:$Z73,MIN(R$6-$E$3,22))),0))-IF($G$2,0,IF((R$6-$G$3)&lt;1,0,IFERROR(LOOKUP(2,1/(Soja!$E73:INDEX(Soja!$E73:$Z73,MIN(R$6-$G$3,22))&lt;&gt;""),Soja!$E73:INDEX(Soja!$E73:$Z73,MIN(R$6-$G$3,22))),0)))))</f>
        <v>0</v>
      </c>
      <c r="S75" s="27" t="n">
        <f aca="false">IF(COUNT(Soja!$E73:$Z73)=0,0,MAX(0,IF((S$6-$E$3)&lt;1,0,IFERROR(LOOKUP(2,1/(Soja!$E73:INDEX(Soja!$E73:$Z73,MIN(S$6-$E$3,22))&lt;&gt;""),Soja!$E73:INDEX(Soja!$E73:$Z73,MIN(S$6-$E$3,22))),0))-IF($G$2,0,IF((S$6-$G$3)&lt;1,0,IFERROR(LOOKUP(2,1/(Soja!$E73:INDEX(Soja!$E73:$Z73,MIN(S$6-$G$3,22))&lt;&gt;""),Soja!$E73:INDEX(Soja!$E73:$Z73,MIN(S$6-$G$3,22))),0)))))</f>
        <v>0</v>
      </c>
      <c r="T75" s="27" t="n">
        <f aca="false">IF(COUNT(Soja!$E73:$Z73)=0,0,MAX(0,IF((T$6-$E$3)&lt;1,0,IFERROR(LOOKUP(2,1/(Soja!$E73:INDEX(Soja!$E73:$Z73,MIN(T$6-$E$3,22))&lt;&gt;""),Soja!$E73:INDEX(Soja!$E73:$Z73,MIN(T$6-$E$3,22))),0))-IF($G$2,0,IF((T$6-$G$3)&lt;1,0,IFERROR(LOOKUP(2,1/(Soja!$E73:INDEX(Soja!$E73:$Z73,MIN(T$6-$G$3,22))&lt;&gt;""),Soja!$E73:INDEX(Soja!$E73:$Z73,MIN(T$6-$G$3,22))),0)))))</f>
        <v>0</v>
      </c>
      <c r="U75" s="27" t="n">
        <f aca="false">IF(COUNT(Soja!$E73:$Z73)=0,0,MAX(0,IF((U$6-$E$3)&lt;1,0,IFERROR(LOOKUP(2,1/(Soja!$E73:INDEX(Soja!$E73:$Z73,MIN(U$6-$E$3,22))&lt;&gt;""),Soja!$E73:INDEX(Soja!$E73:$Z73,MIN(U$6-$E$3,22))),0))-IF($G$2,0,IF((U$6-$G$3)&lt;1,0,IFERROR(LOOKUP(2,1/(Soja!$E73:INDEX(Soja!$E73:$Z73,MIN(U$6-$G$3,22))&lt;&gt;""),Soja!$E73:INDEX(Soja!$E73:$Z73,MIN(U$6-$G$3,22))),0)))))</f>
        <v>0</v>
      </c>
      <c r="V75" s="27" t="n">
        <f aca="false">IF(COUNT(Soja!$E73:$Z73)=0,0,MAX(0,IF((V$6-$E$3)&lt;1,0,IFERROR(LOOKUP(2,1/(Soja!$E73:INDEX(Soja!$E73:$Z73,MIN(V$6-$E$3,22))&lt;&gt;""),Soja!$E73:INDEX(Soja!$E73:$Z73,MIN(V$6-$E$3,22))),0))-IF($G$2,0,IF((V$6-$G$3)&lt;1,0,IFERROR(LOOKUP(2,1/(Soja!$E73:INDEX(Soja!$E73:$Z73,MIN(V$6-$G$3,22))&lt;&gt;""),Soja!$E73:INDEX(Soja!$E73:$Z73,MIN(V$6-$G$3,22))),0)))))</f>
        <v>0</v>
      </c>
      <c r="W75" s="27" t="n">
        <f aca="false">IF(COUNT(Soja!$E73:$Z73)=0,0,MAX(0,IF((W$6-$E$3)&lt;1,0,IFERROR(LOOKUP(2,1/(Soja!$E73:INDEX(Soja!$E73:$Z73,MIN(W$6-$E$3,22))&lt;&gt;""),Soja!$E73:INDEX(Soja!$E73:$Z73,MIN(W$6-$E$3,22))),0))-IF($G$2,0,IF((W$6-$G$3)&lt;1,0,IFERROR(LOOKUP(2,1/(Soja!$E73:INDEX(Soja!$E73:$Z73,MIN(W$6-$G$3,22))&lt;&gt;""),Soja!$E73:INDEX(Soja!$E73:$Z73,MIN(W$6-$G$3,22))),0)))))</f>
        <v>0</v>
      </c>
      <c r="X75" s="27" t="n">
        <f aca="false">IF(COUNT(Soja!$E73:$Z73)=0,0,MAX(0,IF((X$6-$E$3)&lt;1,0,IFERROR(LOOKUP(2,1/(Soja!$E73:INDEX(Soja!$E73:$Z73,MIN(X$6-$E$3,22))&lt;&gt;""),Soja!$E73:INDEX(Soja!$E73:$Z73,MIN(X$6-$E$3,22))),0))-IF($G$2,0,IF((X$6-$G$3)&lt;1,0,IFERROR(LOOKUP(2,1/(Soja!$E73:INDEX(Soja!$E73:$Z73,MIN(X$6-$G$3,22))&lt;&gt;""),Soja!$E73:INDEX(Soja!$E73:$Z73,MIN(X$6-$G$3,22))),0)))))</f>
        <v>0</v>
      </c>
      <c r="Y75" s="27" t="n">
        <f aca="false">IF(COUNT(Soja!$E73:$Z73)=0,0,MAX(0,IF((Y$6-$E$3)&lt;1,0,IFERROR(LOOKUP(2,1/(Soja!$E73:INDEX(Soja!$E73:$Z73,MIN(Y$6-$E$3,22))&lt;&gt;""),Soja!$E73:INDEX(Soja!$E73:$Z73,MIN(Y$6-$E$3,22))),0))-IF($G$2,0,IF((Y$6-$G$3)&lt;1,0,IFERROR(LOOKUP(2,1/(Soja!$E73:INDEX(Soja!$E73:$Z73,MIN(Y$6-$G$3,22))&lt;&gt;""),Soja!$E73:INDEX(Soja!$E73:$Z73,MIN(Y$6-$G$3,22))),0)))))</f>
        <v>0</v>
      </c>
      <c r="Z75" s="27" t="n">
        <f aca="false">IF(COUNT(Soja!$E73:$Z73)=0,0,MAX(0,IF((Z$6-$E$3)&lt;1,0,IFERROR(LOOKUP(2,1/(Soja!$E73:INDEX(Soja!$E73:$Z73,MIN(Z$6-$E$3,22))&lt;&gt;""),Soja!$E73:INDEX(Soja!$E73:$Z73,MIN(Z$6-$E$3,22))),0))-IF($G$2,0,IF((Z$6-$G$3)&lt;1,0,IFERROR(LOOKUP(2,1/(Soja!$E73:INDEX(Soja!$E73:$Z73,MIN(Z$6-$G$3,22))&lt;&gt;""),Soja!$E73:INDEX(Soja!$E73:$Z73,MIN(Z$6-$G$3,22))),0)))))</f>
        <v>0</v>
      </c>
      <c r="AA75" s="27" t="n">
        <f aca="false">IF(COUNT(Soja!$E73:$Z73)=0,0,MAX(0,IF((AA$6-$E$3)&lt;1,0,IFERROR(LOOKUP(2,1/(Soja!$E73:INDEX(Soja!$E73:$Z73,MIN(AA$6-$E$3,22))&lt;&gt;""),Soja!$E73:INDEX(Soja!$E73:$Z73,MIN(AA$6-$E$3,22))),0))-IF($G$2,0,IF((AA$6-$G$3)&lt;1,0,IFERROR(LOOKUP(2,1/(Soja!$E73:INDEX(Soja!$E73:$Z73,MIN(AA$6-$G$3,22))&lt;&gt;""),Soja!$E73:INDEX(Soja!$E73:$Z73,MIN(AA$6-$G$3,22))),0)))))</f>
        <v>0</v>
      </c>
      <c r="AB75" s="27" t="n">
        <f aca="false">IF(COUNT(Soja!$E73:$Z73)=0,0,MAX(0,IF((AB$6-$E$3)&lt;1,0,IFERROR(LOOKUP(2,1/(Soja!$E73:INDEX(Soja!$E73:$Z73,MIN(AB$6-$E$3,22))&lt;&gt;""),Soja!$E73:INDEX(Soja!$E73:$Z73,MIN(AB$6-$E$3,22))),0))-IF($G$2,0,IF((AB$6-$G$3)&lt;1,0,IFERROR(LOOKUP(2,1/(Soja!$E73:INDEX(Soja!$E73:$Z73,MIN(AB$6-$G$3,22))&lt;&gt;""),Soja!$E73:INDEX(Soja!$E73:$Z73,MIN(AB$6-$G$3,22))),0)))))</f>
        <v>0</v>
      </c>
      <c r="AC75" s="27" t="n">
        <f aca="false">IF(COUNT(Soja!$E73:$Z73)=0,0,MAX(0,IF((AC$6-$E$3)&lt;1,0,IFERROR(LOOKUP(2,1/(Soja!$E73:INDEX(Soja!$E73:$Z73,MIN(AC$6-$E$3,22))&lt;&gt;""),Soja!$E73:INDEX(Soja!$E73:$Z73,MIN(AC$6-$E$3,22))),0))-IF($G$2,0,IF((AC$6-$G$3)&lt;1,0,IFERROR(LOOKUP(2,1/(Soja!$E73:INDEX(Soja!$E73:$Z73,MIN(AC$6-$G$3,22))&lt;&gt;""),Soja!$E73:INDEX(Soja!$E73:$Z73,MIN(AC$6-$G$3,22))),0)))))</f>
        <v>0</v>
      </c>
      <c r="AD75" s="27" t="n">
        <f aca="false">IF(COUNT(Soja!$E73:$Z73)=0,0,MAX(0,IF((AD$6-$E$3)&lt;1,0,IFERROR(LOOKUP(2,1/(Soja!$E73:INDEX(Soja!$E73:$Z73,MIN(AD$6-$E$3,22))&lt;&gt;""),Soja!$E73:INDEX(Soja!$E73:$Z73,MIN(AD$6-$E$3,22))),0))-IF($G$2,0,IF((AD$6-$G$3)&lt;1,0,IFERROR(LOOKUP(2,1/(Soja!$E73:INDEX(Soja!$E73:$Z73,MIN(AD$6-$G$3,22))&lt;&gt;""),Soja!$E73:INDEX(Soja!$E73:$Z73,MIN(AD$6-$G$3,22))),0)))))</f>
        <v>0</v>
      </c>
      <c r="AE75" s="27" t="n">
        <f aca="false">IF(COUNT(Soja!$E73:$Z73)=0,0,MAX(0,IF((AE$6-$E$3)&lt;1,0,IFERROR(LOOKUP(2,1/(Soja!$E73:INDEX(Soja!$E73:$Z73,MIN(AE$6-$E$3,22))&lt;&gt;""),Soja!$E73:INDEX(Soja!$E73:$Z73,MIN(AE$6-$E$3,22))),0))-IF($G$2,0,IF((AE$6-$G$3)&lt;1,0,IFERROR(LOOKUP(2,1/(Soja!$E73:INDEX(Soja!$E73:$Z73,MIN(AE$6-$G$3,22))&lt;&gt;""),Soja!$E73:INDEX(Soja!$E73:$Z73,MIN(AE$6-$G$3,22))),0)))))</f>
        <v>0</v>
      </c>
      <c r="AF75" s="27" t="n">
        <f aca="false">IF(COUNT(Soja!$E73:$Z73)=0,0,MAX(0,IF((AF$6-$E$3)&lt;1,0,IFERROR(LOOKUP(2,1/(Soja!$E73:INDEX(Soja!$E73:$Z73,MIN(AF$6-$E$3,22))&lt;&gt;""),Soja!$E73:INDEX(Soja!$E73:$Z73,MIN(AF$6-$E$3,22))),0))-IF($G$2,0,IF((AF$6-$G$3)&lt;1,0,IFERROR(LOOKUP(2,1/(Soja!$E73:INDEX(Soja!$E73:$Z73,MIN(AF$6-$G$3,22))&lt;&gt;""),Soja!$E73:INDEX(Soja!$E73:$Z73,MIN(AF$6-$G$3,22))),0)))))</f>
        <v>0</v>
      </c>
      <c r="AG75" s="27" t="n">
        <f aca="false">IF(COUNT(Soja!$E73:$Z73)=0,0,MAX(0,IF((AG$6-$E$3)&lt;1,0,IFERROR(LOOKUP(2,1/(Soja!$E73:INDEX(Soja!$E73:$Z73,MIN(AG$6-$E$3,22))&lt;&gt;""),Soja!$E73:INDEX(Soja!$E73:$Z73,MIN(AG$6-$E$3,22))),0))-IF($G$2,0,IF((AG$6-$G$3)&lt;1,0,IFERROR(LOOKUP(2,1/(Soja!$E73:INDEX(Soja!$E73:$Z73,MIN(AG$6-$G$3,22))&lt;&gt;""),Soja!$E73:INDEX(Soja!$E73:$Z73,MIN(AG$6-$G$3,22))),0)))))</f>
        <v>0</v>
      </c>
      <c r="AH75" s="27" t="n">
        <f aca="false">IF(COUNT(Soja!$E73:$Z73)=0,0,MAX(0,IF((AH$6-$E$3)&lt;1,0,IFERROR(LOOKUP(2,1/(Soja!$E73:INDEX(Soja!$E73:$Z73,MIN(AH$6-$E$3,22))&lt;&gt;""),Soja!$E73:INDEX(Soja!$E73:$Z73,MIN(AH$6-$E$3,22))),0))-IF($G$2,0,IF((AH$6-$G$3)&lt;1,0,IFERROR(LOOKUP(2,1/(Soja!$E73:INDEX(Soja!$E73:$Z73,MIN(AH$6-$G$3,22))&lt;&gt;""),Soja!$E73:INDEX(Soja!$E73:$Z73,MIN(AH$6-$G$3,22))),0)))))</f>
        <v>0</v>
      </c>
      <c r="AI75" s="27" t="n">
        <f aca="false">IF(COUNT(Soja!$E73:$Z73)=0,0,MAX(0,IF((AI$6-$E$3)&lt;1,0,IFERROR(LOOKUP(2,1/(Soja!$E73:INDEX(Soja!$E73:$Z73,MIN(AI$6-$E$3,22))&lt;&gt;""),Soja!$E73:INDEX(Soja!$E73:$Z73,MIN(AI$6-$E$3,22))),0))-IF($G$2,0,IF((AI$6-$G$3)&lt;1,0,IFERROR(LOOKUP(2,1/(Soja!$E73:INDEX(Soja!$E73:$Z73,MIN(AI$6-$G$3,22))&lt;&gt;""),Soja!$E73:INDEX(Soja!$E73:$Z73,MIN(AI$6-$G$3,22))),0)))))</f>
        <v>0</v>
      </c>
      <c r="AJ75" s="27" t="n">
        <f aca="false">IF(COUNT(Soja!$E73:$Z73)=0,0,MAX(0,IF((AJ$6-$E$3)&lt;1,0,IFERROR(LOOKUP(2,1/(Soja!$E73:INDEX(Soja!$E73:$Z73,MIN(AJ$6-$E$3,22))&lt;&gt;""),Soja!$E73:INDEX(Soja!$E73:$Z73,MIN(AJ$6-$E$3,22))),0))-IF($G$2,0,IF((AJ$6-$G$3)&lt;1,0,IFERROR(LOOKUP(2,1/(Soja!$E73:INDEX(Soja!$E73:$Z73,MIN(AJ$6-$G$3,22))&lt;&gt;""),Soja!$E73:INDEX(Soja!$E73:$Z73,MIN(AJ$6-$G$3,22))),0)))))</f>
        <v>0</v>
      </c>
      <c r="AK75" s="27" t="n">
        <f aca="false">IF(COUNT(Soja!$E73:$Z73)=0,0,MAX(0,IF((AK$6-$E$3)&lt;1,0,IFERROR(LOOKUP(2,1/(Soja!$E73:INDEX(Soja!$E73:$Z73,MIN(AK$6-$E$3,22))&lt;&gt;""),Soja!$E73:INDEX(Soja!$E73:$Z73,MIN(AK$6-$E$3,22))),0))-IF($G$2,0,IF((AK$6-$G$3)&lt;1,0,IFERROR(LOOKUP(2,1/(Soja!$E73:INDEX(Soja!$E73:$Z73,MIN(AK$6-$G$3,22))&lt;&gt;""),Soja!$E73:INDEX(Soja!$E73:$Z73,MIN(AK$6-$G$3,22))),0)))))</f>
        <v>0</v>
      </c>
      <c r="AL75" s="27" t="n">
        <f aca="false">IF(COUNT(Soja!$E73:$Z73)=0,0,MAX(0,IF((AL$6-$E$3)&lt;1,0,IFERROR(LOOKUP(2,1/(Soja!$E73:INDEX(Soja!$E73:$Z73,MIN(AL$6-$E$3,22))&lt;&gt;""),Soja!$E73:INDEX(Soja!$E73:$Z73,MIN(AL$6-$E$3,22))),0))-IF($G$2,0,IF((AL$6-$G$3)&lt;1,0,IFERROR(LOOKUP(2,1/(Soja!$E73:INDEX(Soja!$E73:$Z73,MIN(AL$6-$G$3,22))&lt;&gt;""),Soja!$E73:INDEX(Soja!$E73:$Z73,MIN(AL$6-$G$3,22))),0)))))</f>
        <v>0</v>
      </c>
      <c r="AM75" s="27" t="n">
        <f aca="false">IF(COUNT(Soja!$E73:$Z73)=0,0,MAX(0,IF((AM$6-$E$3)&lt;1,0,IFERROR(LOOKUP(2,1/(Soja!$E73:INDEX(Soja!$E73:$Z73,MIN(AM$6-$E$3,22))&lt;&gt;""),Soja!$E73:INDEX(Soja!$E73:$Z73,MIN(AM$6-$E$3,22))),0))-IF($G$2,0,IF((AM$6-$G$3)&lt;1,0,IFERROR(LOOKUP(2,1/(Soja!$E73:INDEX(Soja!$E73:$Z73,MIN(AM$6-$G$3,22))&lt;&gt;""),Soja!$E73:INDEX(Soja!$E73:$Z73,MIN(AM$6-$G$3,22))),0)))))</f>
        <v>0</v>
      </c>
      <c r="AN75" s="27" t="n">
        <f aca="false">IF(COUNT(Soja!$E73:$Z73)=0,0,MAX(0,IF((AN$6-$E$3)&lt;1,0,IFERROR(LOOKUP(2,1/(Soja!$E73:INDEX(Soja!$E73:$Z73,MIN(AN$6-$E$3,22))&lt;&gt;""),Soja!$E73:INDEX(Soja!$E73:$Z73,MIN(AN$6-$E$3,22))),0))-IF($G$2,0,IF((AN$6-$G$3)&lt;1,0,IFERROR(LOOKUP(2,1/(Soja!$E73:INDEX(Soja!$E73:$Z73,MIN(AN$6-$G$3,22))&lt;&gt;""),Soja!$E73:INDEX(Soja!$E73:$Z73,MIN(AN$6-$G$3,22))),0)))))</f>
        <v>0</v>
      </c>
      <c r="AO75" s="27" t="n">
        <f aca="false">IF(COUNT(Soja!$E73:$Z73)=0,0,MAX(0,IF((AO$6-$E$3)&lt;1,0,IFERROR(LOOKUP(2,1/(Soja!$E73:INDEX(Soja!$E73:$Z73,MIN(AO$6-$E$3,22))&lt;&gt;""),Soja!$E73:INDEX(Soja!$E73:$Z73,MIN(AO$6-$E$3,22))),0))-IF($G$2,0,IF((AO$6-$G$3)&lt;1,0,IFERROR(LOOKUP(2,1/(Soja!$E73:INDEX(Soja!$E73:$Z73,MIN(AO$6-$G$3,22))&lt;&gt;""),Soja!$E73:INDEX(Soja!$E73:$Z73,MIN(AO$6-$G$3,22))),0)))))</f>
        <v>0</v>
      </c>
      <c r="AP75" s="27" t="n">
        <f aca="false">IF(COUNT(Soja!$E73:$Z73)=0,0,MAX(0,IF((AP$6-$E$3)&lt;1,0,IFERROR(LOOKUP(2,1/(Soja!$E73:INDEX(Soja!$E73:$Z73,MIN(AP$6-$E$3,22))&lt;&gt;""),Soja!$E73:INDEX(Soja!$E73:$Z73,MIN(AP$6-$E$3,22))),0))-IF($G$2,0,IF((AP$6-$G$3)&lt;1,0,IFERROR(LOOKUP(2,1/(Soja!$E73:INDEX(Soja!$E73:$Z73,MIN(AP$6-$G$3,22))&lt;&gt;""),Soja!$E73:INDEX(Soja!$E73:$Z73,MIN(AP$6-$G$3,22))),0)))))</f>
        <v>0</v>
      </c>
      <c r="AQ75" s="27" t="n">
        <f aca="false">IF(COUNT(Soja!$E73:$Z73)=0,0,MAX(0,IF((AQ$6-$E$3)&lt;1,0,IFERROR(LOOKUP(2,1/(Soja!$E73:INDEX(Soja!$E73:$Z73,MIN(AQ$6-$E$3,22))&lt;&gt;""),Soja!$E73:INDEX(Soja!$E73:$Z73,MIN(AQ$6-$E$3,22))),0))-IF($G$2,0,IF((AQ$6-$G$3)&lt;1,0,IFERROR(LOOKUP(2,1/(Soja!$E73:INDEX(Soja!$E73:$Z73,MIN(AQ$6-$G$3,22))&lt;&gt;""),Soja!$E73:INDEX(Soja!$E73:$Z73,MIN(AQ$6-$G$3,22))),0)))))</f>
        <v>0</v>
      </c>
      <c r="AR75" s="27" t="n">
        <f aca="false">IF(COUNT(Soja!$E73:$Z73)=0,0,MAX(0,IF((AR$6-$E$3)&lt;1,0,IFERROR(LOOKUP(2,1/(Soja!$E73:INDEX(Soja!$E73:$Z73,MIN(AR$6-$E$3,22))&lt;&gt;""),Soja!$E73:INDEX(Soja!$E73:$Z73,MIN(AR$6-$E$3,22))),0))-IF($G$2,0,IF((AR$6-$G$3)&lt;1,0,IFERROR(LOOKUP(2,1/(Soja!$E73:INDEX(Soja!$E73:$Z73,MIN(AR$6-$G$3,22))&lt;&gt;""),Soja!$E73:INDEX(Soja!$E73:$Z73,MIN(AR$6-$G$3,22))),0)))))</f>
        <v>0</v>
      </c>
      <c r="AS75" s="27" t="n">
        <f aca="false">IF(COUNT(Soja!$E73:$Z73)=0,0,MAX(0,IF((AS$6-$E$3)&lt;1,0,IFERROR(LOOKUP(2,1/(Soja!$E73:INDEX(Soja!$E73:$Z73,MIN(AS$6-$E$3,22))&lt;&gt;""),Soja!$E73:INDEX(Soja!$E73:$Z73,MIN(AS$6-$E$3,22))),0))-IF($G$2,0,IF((AS$6-$G$3)&lt;1,0,IFERROR(LOOKUP(2,1/(Soja!$E73:INDEX(Soja!$E73:$Z73,MIN(AS$6-$G$3,22))&lt;&gt;""),Soja!$E73:INDEX(Soja!$E73:$Z73,MIN(AS$6-$G$3,22))),0)))))</f>
        <v>0</v>
      </c>
      <c r="AT75" s="27" t="n">
        <f aca="false">IF(COUNT(Soja!$E73:$Z73)=0,0,MAX(0,IF((AT$6-$E$3)&lt;1,0,IFERROR(LOOKUP(2,1/(Soja!$E73:INDEX(Soja!$E73:$Z73,MIN(AT$6-$E$3,22))&lt;&gt;""),Soja!$E73:INDEX(Soja!$E73:$Z73,MIN(AT$6-$E$3,22))),0))-IF($G$2,0,IF((AT$6-$G$3)&lt;1,0,IFERROR(LOOKUP(2,1/(Soja!$E73:INDEX(Soja!$E73:$Z73,MIN(AT$6-$G$3,22))&lt;&gt;""),Soja!$E73:INDEX(Soja!$E73:$Z73,MIN(AT$6-$G$3,22))),0)))))</f>
        <v>0</v>
      </c>
      <c r="AU75" s="27" t="n">
        <f aca="false">IF(COUNT(Soja!$E73:$Z73)=0,0,MAX(0,IF((AU$6-$E$3)&lt;1,0,IFERROR(LOOKUP(2,1/(Soja!$E73:INDEX(Soja!$E73:$Z73,MIN(AU$6-$E$3,22))&lt;&gt;""),Soja!$E73:INDEX(Soja!$E73:$Z73,MIN(AU$6-$E$3,22))),0))-IF($G$2,0,IF((AU$6-$G$3)&lt;1,0,IFERROR(LOOKUP(2,1/(Soja!$E73:INDEX(Soja!$E73:$Z73,MIN(AU$6-$G$3,22))&lt;&gt;""),Soja!$E73:INDEX(Soja!$E73:$Z73,MIN(AU$6-$G$3,22))),0)))))</f>
        <v>0</v>
      </c>
      <c r="AV75" s="27" t="n">
        <f aca="false">IF(COUNT(Soja!$E73:$Z73)=0,0,MAX(0,IF((AV$6-$E$3)&lt;1,0,IFERROR(LOOKUP(2,1/(Soja!$E73:INDEX(Soja!$E73:$Z73,MIN(AV$6-$E$3,22))&lt;&gt;""),Soja!$E73:INDEX(Soja!$E73:$Z73,MIN(AV$6-$E$3,22))),0))-IF($G$2,0,IF((AV$6-$G$3)&lt;1,0,IFERROR(LOOKUP(2,1/(Soja!$E73:INDEX(Soja!$E73:$Z73,MIN(AV$6-$G$3,22))&lt;&gt;""),Soja!$E73:INDEX(Soja!$E73:$Z73,MIN(AV$6-$G$3,22))),0)))))</f>
        <v>0</v>
      </c>
      <c r="AW75" s="27" t="n">
        <f aca="false">IF(COUNT(Soja!$E73:$Z73)=0,0,MAX(0,IF((AW$6-$E$3)&lt;1,0,IFERROR(LOOKUP(2,1/(Soja!$E73:INDEX(Soja!$E73:$Z73,MIN(AW$6-$E$3,22))&lt;&gt;""),Soja!$E73:INDEX(Soja!$E73:$Z73,MIN(AW$6-$E$3,22))),0))-IF($G$2,0,IF((AW$6-$G$3)&lt;1,0,IFERROR(LOOKUP(2,1/(Soja!$E73:INDEX(Soja!$E73:$Z73,MIN(AW$6-$G$3,22))&lt;&gt;""),Soja!$E73:INDEX(Soja!$E73:$Z73,MIN(AW$6-$G$3,22))),0)))))</f>
        <v>0</v>
      </c>
      <c r="AX75" s="27" t="n">
        <f aca="false">IF(COUNT(Soja!$E73:$Z73)=0,0,MAX(0,IF((AX$6-$E$3)&lt;1,0,IFERROR(LOOKUP(2,1/(Soja!$E73:INDEX(Soja!$E73:$Z73,MIN(AX$6-$E$3,22))&lt;&gt;""),Soja!$E73:INDEX(Soja!$E73:$Z73,MIN(AX$6-$E$3,22))),0))-IF($G$2,0,IF((AX$6-$G$3)&lt;1,0,IFERROR(LOOKUP(2,1/(Soja!$E73:INDEX(Soja!$E73:$Z73,MIN(AX$6-$G$3,22))&lt;&gt;""),Soja!$E73:INDEX(Soja!$E73:$Z73,MIN(AX$6-$G$3,22))),0)))))</f>
        <v>0</v>
      </c>
      <c r="AY75" s="27" t="n">
        <f aca="false">IF(COUNT(Soja!$E73:$Z73)=0,0,MAX(0,IF((AY$6-$E$3)&lt;1,0,IFERROR(LOOKUP(2,1/(Soja!$E73:INDEX(Soja!$E73:$Z73,MIN(AY$6-$E$3,22))&lt;&gt;""),Soja!$E73:INDEX(Soja!$E73:$Z73,MIN(AY$6-$E$3,22))),0))-IF($G$2,0,IF((AY$6-$G$3)&lt;1,0,IFERROR(LOOKUP(2,1/(Soja!$E73:INDEX(Soja!$E73:$Z73,MIN(AY$6-$G$3,22))&lt;&gt;""),Soja!$E73:INDEX(Soja!$E73:$Z73,MIN(AY$6-$G$3,22))),0)))))</f>
        <v>0</v>
      </c>
      <c r="AZ75" s="27" t="n">
        <f aca="false">IF(COUNT(Soja!$E73:$Z73)=0,0,MAX(0,IF((AZ$6-$E$3)&lt;1,0,IFERROR(LOOKUP(2,1/(Soja!$E73:INDEX(Soja!$E73:$Z73,MIN(AZ$6-$E$3,22))&lt;&gt;""),Soja!$E73:INDEX(Soja!$E73:$Z73,MIN(AZ$6-$E$3,22))),0))-IF($G$2,0,IF((AZ$6-$G$3)&lt;1,0,IFERROR(LOOKUP(2,1/(Soja!$E73:INDEX(Soja!$E73:$Z73,MIN(AZ$6-$G$3,22))&lt;&gt;""),Soja!$E73:INDEX(Soja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IF(COUNT(Soja!$E74:$Z74)&gt;0,N(Soja!$D74),0)</f>
        <v>0</v>
      </c>
      <c r="E76" s="27" t="n">
        <f aca="false">IF(COUNT(Soja!$E74:$Z74)=0,0,MAX(0,IF((E$6-$E$3)&lt;1,0,IFERROR(LOOKUP(2,1/(Soja!$E74:INDEX(Soja!$E74:$Z74,MIN(E$6-$E$3,22))&lt;&gt;""),Soja!$E74:INDEX(Soja!$E74:$Z74,MIN(E$6-$E$3,22))),0))-IF($G$2,0,IF((E$6-$G$3)&lt;1,0,IFERROR(LOOKUP(2,1/(Soja!$E74:INDEX(Soja!$E74:$Z74,MIN(E$6-$G$3,22))&lt;&gt;""),Soja!$E74:INDEX(Soja!$E74:$Z74,MIN(E$6-$G$3,22))),0)))))</f>
        <v>0</v>
      </c>
      <c r="F76" s="27" t="n">
        <f aca="false">IF(COUNT(Soja!$E74:$Z74)=0,0,MAX(0,IF((F$6-$E$3)&lt;1,0,IFERROR(LOOKUP(2,1/(Soja!$E74:INDEX(Soja!$E74:$Z74,MIN(F$6-$E$3,22))&lt;&gt;""),Soja!$E74:INDEX(Soja!$E74:$Z74,MIN(F$6-$E$3,22))),0))-IF($G$2,0,IF((F$6-$G$3)&lt;1,0,IFERROR(LOOKUP(2,1/(Soja!$E74:INDEX(Soja!$E74:$Z74,MIN(F$6-$G$3,22))&lt;&gt;""),Soja!$E74:INDEX(Soja!$E74:$Z74,MIN(F$6-$G$3,22))),0)))))</f>
        <v>0</v>
      </c>
      <c r="G76" s="27" t="n">
        <f aca="false">IF(COUNT(Soja!$E74:$Z74)=0,0,MAX(0,IF((G$6-$E$3)&lt;1,0,IFERROR(LOOKUP(2,1/(Soja!$E74:INDEX(Soja!$E74:$Z74,MIN(G$6-$E$3,22))&lt;&gt;""),Soja!$E74:INDEX(Soja!$E74:$Z74,MIN(G$6-$E$3,22))),0))-IF($G$2,0,IF((G$6-$G$3)&lt;1,0,IFERROR(LOOKUP(2,1/(Soja!$E74:INDEX(Soja!$E74:$Z74,MIN(G$6-$G$3,22))&lt;&gt;""),Soja!$E74:INDEX(Soja!$E74:$Z74,MIN(G$6-$G$3,22))),0)))))</f>
        <v>0</v>
      </c>
      <c r="H76" s="27" t="n">
        <f aca="false">IF(COUNT(Soja!$E74:$Z74)=0,0,MAX(0,IF((H$6-$E$3)&lt;1,0,IFERROR(LOOKUP(2,1/(Soja!$E74:INDEX(Soja!$E74:$Z74,MIN(H$6-$E$3,22))&lt;&gt;""),Soja!$E74:INDEX(Soja!$E74:$Z74,MIN(H$6-$E$3,22))),0))-IF($G$2,0,IF((H$6-$G$3)&lt;1,0,IFERROR(LOOKUP(2,1/(Soja!$E74:INDEX(Soja!$E74:$Z74,MIN(H$6-$G$3,22))&lt;&gt;""),Soja!$E74:INDEX(Soja!$E74:$Z74,MIN(H$6-$G$3,22))),0)))))</f>
        <v>0</v>
      </c>
      <c r="I76" s="27" t="n">
        <f aca="false">IF(COUNT(Soja!$E74:$Z74)=0,0,MAX(0,IF((I$6-$E$3)&lt;1,0,IFERROR(LOOKUP(2,1/(Soja!$E74:INDEX(Soja!$E74:$Z74,MIN(I$6-$E$3,22))&lt;&gt;""),Soja!$E74:INDEX(Soja!$E74:$Z74,MIN(I$6-$E$3,22))),0))-IF($G$2,0,IF((I$6-$G$3)&lt;1,0,IFERROR(LOOKUP(2,1/(Soja!$E74:INDEX(Soja!$E74:$Z74,MIN(I$6-$G$3,22))&lt;&gt;""),Soja!$E74:INDEX(Soja!$E74:$Z74,MIN(I$6-$G$3,22))),0)))))</f>
        <v>0</v>
      </c>
      <c r="J76" s="27" t="n">
        <f aca="false">IF(COUNT(Soja!$E74:$Z74)=0,0,MAX(0,IF((J$6-$E$3)&lt;1,0,IFERROR(LOOKUP(2,1/(Soja!$E74:INDEX(Soja!$E74:$Z74,MIN(J$6-$E$3,22))&lt;&gt;""),Soja!$E74:INDEX(Soja!$E74:$Z74,MIN(J$6-$E$3,22))),0))-IF($G$2,0,IF((J$6-$G$3)&lt;1,0,IFERROR(LOOKUP(2,1/(Soja!$E74:INDEX(Soja!$E74:$Z74,MIN(J$6-$G$3,22))&lt;&gt;""),Soja!$E74:INDEX(Soja!$E74:$Z74,MIN(J$6-$G$3,22))),0)))))</f>
        <v>0</v>
      </c>
      <c r="K76" s="27" t="n">
        <f aca="false">IF(COUNT(Soja!$E74:$Z74)=0,0,MAX(0,IF((K$6-$E$3)&lt;1,0,IFERROR(LOOKUP(2,1/(Soja!$E74:INDEX(Soja!$E74:$Z74,MIN(K$6-$E$3,22))&lt;&gt;""),Soja!$E74:INDEX(Soja!$E74:$Z74,MIN(K$6-$E$3,22))),0))-IF($G$2,0,IF((K$6-$G$3)&lt;1,0,IFERROR(LOOKUP(2,1/(Soja!$E74:INDEX(Soja!$E74:$Z74,MIN(K$6-$G$3,22))&lt;&gt;""),Soja!$E74:INDEX(Soja!$E74:$Z74,MIN(K$6-$G$3,22))),0)))))</f>
        <v>0</v>
      </c>
      <c r="L76" s="27" t="n">
        <f aca="false">IF(COUNT(Soja!$E74:$Z74)=0,0,MAX(0,IF((L$6-$E$3)&lt;1,0,IFERROR(LOOKUP(2,1/(Soja!$E74:INDEX(Soja!$E74:$Z74,MIN(L$6-$E$3,22))&lt;&gt;""),Soja!$E74:INDEX(Soja!$E74:$Z74,MIN(L$6-$E$3,22))),0))-IF($G$2,0,IF((L$6-$G$3)&lt;1,0,IFERROR(LOOKUP(2,1/(Soja!$E74:INDEX(Soja!$E74:$Z74,MIN(L$6-$G$3,22))&lt;&gt;""),Soja!$E74:INDEX(Soja!$E74:$Z74,MIN(L$6-$G$3,22))),0)))))</f>
        <v>0</v>
      </c>
      <c r="M76" s="27" t="n">
        <f aca="false">IF(COUNT(Soja!$E74:$Z74)=0,0,MAX(0,IF((M$6-$E$3)&lt;1,0,IFERROR(LOOKUP(2,1/(Soja!$E74:INDEX(Soja!$E74:$Z74,MIN(M$6-$E$3,22))&lt;&gt;""),Soja!$E74:INDEX(Soja!$E74:$Z74,MIN(M$6-$E$3,22))),0))-IF($G$2,0,IF((M$6-$G$3)&lt;1,0,IFERROR(LOOKUP(2,1/(Soja!$E74:INDEX(Soja!$E74:$Z74,MIN(M$6-$G$3,22))&lt;&gt;""),Soja!$E74:INDEX(Soja!$E74:$Z74,MIN(M$6-$G$3,22))),0)))))</f>
        <v>0</v>
      </c>
      <c r="N76" s="27" t="n">
        <f aca="false">IF(COUNT(Soja!$E74:$Z74)=0,0,MAX(0,IF((N$6-$E$3)&lt;1,0,IFERROR(LOOKUP(2,1/(Soja!$E74:INDEX(Soja!$E74:$Z74,MIN(N$6-$E$3,22))&lt;&gt;""),Soja!$E74:INDEX(Soja!$E74:$Z74,MIN(N$6-$E$3,22))),0))-IF($G$2,0,IF((N$6-$G$3)&lt;1,0,IFERROR(LOOKUP(2,1/(Soja!$E74:INDEX(Soja!$E74:$Z74,MIN(N$6-$G$3,22))&lt;&gt;""),Soja!$E74:INDEX(Soja!$E74:$Z74,MIN(N$6-$G$3,22))),0)))))</f>
        <v>0</v>
      </c>
      <c r="O76" s="27" t="n">
        <f aca="false">IF(COUNT(Soja!$E74:$Z74)=0,0,MAX(0,IF((O$6-$E$3)&lt;1,0,IFERROR(LOOKUP(2,1/(Soja!$E74:INDEX(Soja!$E74:$Z74,MIN(O$6-$E$3,22))&lt;&gt;""),Soja!$E74:INDEX(Soja!$E74:$Z74,MIN(O$6-$E$3,22))),0))-IF($G$2,0,IF((O$6-$G$3)&lt;1,0,IFERROR(LOOKUP(2,1/(Soja!$E74:INDEX(Soja!$E74:$Z74,MIN(O$6-$G$3,22))&lt;&gt;""),Soja!$E74:INDEX(Soja!$E74:$Z74,MIN(O$6-$G$3,22))),0)))))</f>
        <v>0</v>
      </c>
      <c r="P76" s="27" t="n">
        <f aca="false">IF(COUNT(Soja!$E74:$Z74)=0,0,MAX(0,IF((P$6-$E$3)&lt;1,0,IFERROR(LOOKUP(2,1/(Soja!$E74:INDEX(Soja!$E74:$Z74,MIN(P$6-$E$3,22))&lt;&gt;""),Soja!$E74:INDEX(Soja!$E74:$Z74,MIN(P$6-$E$3,22))),0))-IF($G$2,0,IF((P$6-$G$3)&lt;1,0,IFERROR(LOOKUP(2,1/(Soja!$E74:INDEX(Soja!$E74:$Z74,MIN(P$6-$G$3,22))&lt;&gt;""),Soja!$E74:INDEX(Soja!$E74:$Z74,MIN(P$6-$G$3,22))),0)))))</f>
        <v>0</v>
      </c>
      <c r="Q76" s="27" t="n">
        <f aca="false">IF(COUNT(Soja!$E74:$Z74)=0,0,MAX(0,IF((Q$6-$E$3)&lt;1,0,IFERROR(LOOKUP(2,1/(Soja!$E74:INDEX(Soja!$E74:$Z74,MIN(Q$6-$E$3,22))&lt;&gt;""),Soja!$E74:INDEX(Soja!$E74:$Z74,MIN(Q$6-$E$3,22))),0))-IF($G$2,0,IF((Q$6-$G$3)&lt;1,0,IFERROR(LOOKUP(2,1/(Soja!$E74:INDEX(Soja!$E74:$Z74,MIN(Q$6-$G$3,22))&lt;&gt;""),Soja!$E74:INDEX(Soja!$E74:$Z74,MIN(Q$6-$G$3,22))),0)))))</f>
        <v>0</v>
      </c>
      <c r="R76" s="27" t="n">
        <f aca="false">IF(COUNT(Soja!$E74:$Z74)=0,0,MAX(0,IF((R$6-$E$3)&lt;1,0,IFERROR(LOOKUP(2,1/(Soja!$E74:INDEX(Soja!$E74:$Z74,MIN(R$6-$E$3,22))&lt;&gt;""),Soja!$E74:INDEX(Soja!$E74:$Z74,MIN(R$6-$E$3,22))),0))-IF($G$2,0,IF((R$6-$G$3)&lt;1,0,IFERROR(LOOKUP(2,1/(Soja!$E74:INDEX(Soja!$E74:$Z74,MIN(R$6-$G$3,22))&lt;&gt;""),Soja!$E74:INDEX(Soja!$E74:$Z74,MIN(R$6-$G$3,22))),0)))))</f>
        <v>0</v>
      </c>
      <c r="S76" s="27" t="n">
        <f aca="false">IF(COUNT(Soja!$E74:$Z74)=0,0,MAX(0,IF((S$6-$E$3)&lt;1,0,IFERROR(LOOKUP(2,1/(Soja!$E74:INDEX(Soja!$E74:$Z74,MIN(S$6-$E$3,22))&lt;&gt;""),Soja!$E74:INDEX(Soja!$E74:$Z74,MIN(S$6-$E$3,22))),0))-IF($G$2,0,IF((S$6-$G$3)&lt;1,0,IFERROR(LOOKUP(2,1/(Soja!$E74:INDEX(Soja!$E74:$Z74,MIN(S$6-$G$3,22))&lt;&gt;""),Soja!$E74:INDEX(Soja!$E74:$Z74,MIN(S$6-$G$3,22))),0)))))</f>
        <v>0</v>
      </c>
      <c r="T76" s="27" t="n">
        <f aca="false">IF(COUNT(Soja!$E74:$Z74)=0,0,MAX(0,IF((T$6-$E$3)&lt;1,0,IFERROR(LOOKUP(2,1/(Soja!$E74:INDEX(Soja!$E74:$Z74,MIN(T$6-$E$3,22))&lt;&gt;""),Soja!$E74:INDEX(Soja!$E74:$Z74,MIN(T$6-$E$3,22))),0))-IF($G$2,0,IF((T$6-$G$3)&lt;1,0,IFERROR(LOOKUP(2,1/(Soja!$E74:INDEX(Soja!$E74:$Z74,MIN(T$6-$G$3,22))&lt;&gt;""),Soja!$E74:INDEX(Soja!$E74:$Z74,MIN(T$6-$G$3,22))),0)))))</f>
        <v>0</v>
      </c>
      <c r="U76" s="27" t="n">
        <f aca="false">IF(COUNT(Soja!$E74:$Z74)=0,0,MAX(0,IF((U$6-$E$3)&lt;1,0,IFERROR(LOOKUP(2,1/(Soja!$E74:INDEX(Soja!$E74:$Z74,MIN(U$6-$E$3,22))&lt;&gt;""),Soja!$E74:INDEX(Soja!$E74:$Z74,MIN(U$6-$E$3,22))),0))-IF($G$2,0,IF((U$6-$G$3)&lt;1,0,IFERROR(LOOKUP(2,1/(Soja!$E74:INDEX(Soja!$E74:$Z74,MIN(U$6-$G$3,22))&lt;&gt;""),Soja!$E74:INDEX(Soja!$E74:$Z74,MIN(U$6-$G$3,22))),0)))))</f>
        <v>0</v>
      </c>
      <c r="V76" s="27" t="n">
        <f aca="false">IF(COUNT(Soja!$E74:$Z74)=0,0,MAX(0,IF((V$6-$E$3)&lt;1,0,IFERROR(LOOKUP(2,1/(Soja!$E74:INDEX(Soja!$E74:$Z74,MIN(V$6-$E$3,22))&lt;&gt;""),Soja!$E74:INDEX(Soja!$E74:$Z74,MIN(V$6-$E$3,22))),0))-IF($G$2,0,IF((V$6-$G$3)&lt;1,0,IFERROR(LOOKUP(2,1/(Soja!$E74:INDEX(Soja!$E74:$Z74,MIN(V$6-$G$3,22))&lt;&gt;""),Soja!$E74:INDEX(Soja!$E74:$Z74,MIN(V$6-$G$3,22))),0)))))</f>
        <v>0</v>
      </c>
      <c r="W76" s="27" t="n">
        <f aca="false">IF(COUNT(Soja!$E74:$Z74)=0,0,MAX(0,IF((W$6-$E$3)&lt;1,0,IFERROR(LOOKUP(2,1/(Soja!$E74:INDEX(Soja!$E74:$Z74,MIN(W$6-$E$3,22))&lt;&gt;""),Soja!$E74:INDEX(Soja!$E74:$Z74,MIN(W$6-$E$3,22))),0))-IF($G$2,0,IF((W$6-$G$3)&lt;1,0,IFERROR(LOOKUP(2,1/(Soja!$E74:INDEX(Soja!$E74:$Z74,MIN(W$6-$G$3,22))&lt;&gt;""),Soja!$E74:INDEX(Soja!$E74:$Z74,MIN(W$6-$G$3,22))),0)))))</f>
        <v>0</v>
      </c>
      <c r="X76" s="27" t="n">
        <f aca="false">IF(COUNT(Soja!$E74:$Z74)=0,0,MAX(0,IF((X$6-$E$3)&lt;1,0,IFERROR(LOOKUP(2,1/(Soja!$E74:INDEX(Soja!$E74:$Z74,MIN(X$6-$E$3,22))&lt;&gt;""),Soja!$E74:INDEX(Soja!$E74:$Z74,MIN(X$6-$E$3,22))),0))-IF($G$2,0,IF((X$6-$G$3)&lt;1,0,IFERROR(LOOKUP(2,1/(Soja!$E74:INDEX(Soja!$E74:$Z74,MIN(X$6-$G$3,22))&lt;&gt;""),Soja!$E74:INDEX(Soja!$E74:$Z74,MIN(X$6-$G$3,22))),0)))))</f>
        <v>0</v>
      </c>
      <c r="Y76" s="27" t="n">
        <f aca="false">IF(COUNT(Soja!$E74:$Z74)=0,0,MAX(0,IF((Y$6-$E$3)&lt;1,0,IFERROR(LOOKUP(2,1/(Soja!$E74:INDEX(Soja!$E74:$Z74,MIN(Y$6-$E$3,22))&lt;&gt;""),Soja!$E74:INDEX(Soja!$E74:$Z74,MIN(Y$6-$E$3,22))),0))-IF($G$2,0,IF((Y$6-$G$3)&lt;1,0,IFERROR(LOOKUP(2,1/(Soja!$E74:INDEX(Soja!$E74:$Z74,MIN(Y$6-$G$3,22))&lt;&gt;""),Soja!$E74:INDEX(Soja!$E74:$Z74,MIN(Y$6-$G$3,22))),0)))))</f>
        <v>0</v>
      </c>
      <c r="Z76" s="27" t="n">
        <f aca="false">IF(COUNT(Soja!$E74:$Z74)=0,0,MAX(0,IF((Z$6-$E$3)&lt;1,0,IFERROR(LOOKUP(2,1/(Soja!$E74:INDEX(Soja!$E74:$Z74,MIN(Z$6-$E$3,22))&lt;&gt;""),Soja!$E74:INDEX(Soja!$E74:$Z74,MIN(Z$6-$E$3,22))),0))-IF($G$2,0,IF((Z$6-$G$3)&lt;1,0,IFERROR(LOOKUP(2,1/(Soja!$E74:INDEX(Soja!$E74:$Z74,MIN(Z$6-$G$3,22))&lt;&gt;""),Soja!$E74:INDEX(Soja!$E74:$Z74,MIN(Z$6-$G$3,22))),0)))))</f>
        <v>0</v>
      </c>
      <c r="AA76" s="27" t="n">
        <f aca="false">IF(COUNT(Soja!$E74:$Z74)=0,0,MAX(0,IF((AA$6-$E$3)&lt;1,0,IFERROR(LOOKUP(2,1/(Soja!$E74:INDEX(Soja!$E74:$Z74,MIN(AA$6-$E$3,22))&lt;&gt;""),Soja!$E74:INDEX(Soja!$E74:$Z74,MIN(AA$6-$E$3,22))),0))-IF($G$2,0,IF((AA$6-$G$3)&lt;1,0,IFERROR(LOOKUP(2,1/(Soja!$E74:INDEX(Soja!$E74:$Z74,MIN(AA$6-$G$3,22))&lt;&gt;""),Soja!$E74:INDEX(Soja!$E74:$Z74,MIN(AA$6-$G$3,22))),0)))))</f>
        <v>0</v>
      </c>
      <c r="AB76" s="27" t="n">
        <f aca="false">IF(COUNT(Soja!$E74:$Z74)=0,0,MAX(0,IF((AB$6-$E$3)&lt;1,0,IFERROR(LOOKUP(2,1/(Soja!$E74:INDEX(Soja!$E74:$Z74,MIN(AB$6-$E$3,22))&lt;&gt;""),Soja!$E74:INDEX(Soja!$E74:$Z74,MIN(AB$6-$E$3,22))),0))-IF($G$2,0,IF((AB$6-$G$3)&lt;1,0,IFERROR(LOOKUP(2,1/(Soja!$E74:INDEX(Soja!$E74:$Z74,MIN(AB$6-$G$3,22))&lt;&gt;""),Soja!$E74:INDEX(Soja!$E74:$Z74,MIN(AB$6-$G$3,22))),0)))))</f>
        <v>0</v>
      </c>
      <c r="AC76" s="27" t="n">
        <f aca="false">IF(COUNT(Soja!$E74:$Z74)=0,0,MAX(0,IF((AC$6-$E$3)&lt;1,0,IFERROR(LOOKUP(2,1/(Soja!$E74:INDEX(Soja!$E74:$Z74,MIN(AC$6-$E$3,22))&lt;&gt;""),Soja!$E74:INDEX(Soja!$E74:$Z74,MIN(AC$6-$E$3,22))),0))-IF($G$2,0,IF((AC$6-$G$3)&lt;1,0,IFERROR(LOOKUP(2,1/(Soja!$E74:INDEX(Soja!$E74:$Z74,MIN(AC$6-$G$3,22))&lt;&gt;""),Soja!$E74:INDEX(Soja!$E74:$Z74,MIN(AC$6-$G$3,22))),0)))))</f>
        <v>0</v>
      </c>
      <c r="AD76" s="27" t="n">
        <f aca="false">IF(COUNT(Soja!$E74:$Z74)=0,0,MAX(0,IF((AD$6-$E$3)&lt;1,0,IFERROR(LOOKUP(2,1/(Soja!$E74:INDEX(Soja!$E74:$Z74,MIN(AD$6-$E$3,22))&lt;&gt;""),Soja!$E74:INDEX(Soja!$E74:$Z74,MIN(AD$6-$E$3,22))),0))-IF($G$2,0,IF((AD$6-$G$3)&lt;1,0,IFERROR(LOOKUP(2,1/(Soja!$E74:INDEX(Soja!$E74:$Z74,MIN(AD$6-$G$3,22))&lt;&gt;""),Soja!$E74:INDEX(Soja!$E74:$Z74,MIN(AD$6-$G$3,22))),0)))))</f>
        <v>0</v>
      </c>
      <c r="AE76" s="27" t="n">
        <f aca="false">IF(COUNT(Soja!$E74:$Z74)=0,0,MAX(0,IF((AE$6-$E$3)&lt;1,0,IFERROR(LOOKUP(2,1/(Soja!$E74:INDEX(Soja!$E74:$Z74,MIN(AE$6-$E$3,22))&lt;&gt;""),Soja!$E74:INDEX(Soja!$E74:$Z74,MIN(AE$6-$E$3,22))),0))-IF($G$2,0,IF((AE$6-$G$3)&lt;1,0,IFERROR(LOOKUP(2,1/(Soja!$E74:INDEX(Soja!$E74:$Z74,MIN(AE$6-$G$3,22))&lt;&gt;""),Soja!$E74:INDEX(Soja!$E74:$Z74,MIN(AE$6-$G$3,22))),0)))))</f>
        <v>0</v>
      </c>
      <c r="AF76" s="27" t="n">
        <f aca="false">IF(COUNT(Soja!$E74:$Z74)=0,0,MAX(0,IF((AF$6-$E$3)&lt;1,0,IFERROR(LOOKUP(2,1/(Soja!$E74:INDEX(Soja!$E74:$Z74,MIN(AF$6-$E$3,22))&lt;&gt;""),Soja!$E74:INDEX(Soja!$E74:$Z74,MIN(AF$6-$E$3,22))),0))-IF($G$2,0,IF((AF$6-$G$3)&lt;1,0,IFERROR(LOOKUP(2,1/(Soja!$E74:INDEX(Soja!$E74:$Z74,MIN(AF$6-$G$3,22))&lt;&gt;""),Soja!$E74:INDEX(Soja!$E74:$Z74,MIN(AF$6-$G$3,22))),0)))))</f>
        <v>0</v>
      </c>
      <c r="AG76" s="27" t="n">
        <f aca="false">IF(COUNT(Soja!$E74:$Z74)=0,0,MAX(0,IF((AG$6-$E$3)&lt;1,0,IFERROR(LOOKUP(2,1/(Soja!$E74:INDEX(Soja!$E74:$Z74,MIN(AG$6-$E$3,22))&lt;&gt;""),Soja!$E74:INDEX(Soja!$E74:$Z74,MIN(AG$6-$E$3,22))),0))-IF($G$2,0,IF((AG$6-$G$3)&lt;1,0,IFERROR(LOOKUP(2,1/(Soja!$E74:INDEX(Soja!$E74:$Z74,MIN(AG$6-$G$3,22))&lt;&gt;""),Soja!$E74:INDEX(Soja!$E74:$Z74,MIN(AG$6-$G$3,22))),0)))))</f>
        <v>0</v>
      </c>
      <c r="AH76" s="27" t="n">
        <f aca="false">IF(COUNT(Soja!$E74:$Z74)=0,0,MAX(0,IF((AH$6-$E$3)&lt;1,0,IFERROR(LOOKUP(2,1/(Soja!$E74:INDEX(Soja!$E74:$Z74,MIN(AH$6-$E$3,22))&lt;&gt;""),Soja!$E74:INDEX(Soja!$E74:$Z74,MIN(AH$6-$E$3,22))),0))-IF($G$2,0,IF((AH$6-$G$3)&lt;1,0,IFERROR(LOOKUP(2,1/(Soja!$E74:INDEX(Soja!$E74:$Z74,MIN(AH$6-$G$3,22))&lt;&gt;""),Soja!$E74:INDEX(Soja!$E74:$Z74,MIN(AH$6-$G$3,22))),0)))))</f>
        <v>0</v>
      </c>
      <c r="AI76" s="27" t="n">
        <f aca="false">IF(COUNT(Soja!$E74:$Z74)=0,0,MAX(0,IF((AI$6-$E$3)&lt;1,0,IFERROR(LOOKUP(2,1/(Soja!$E74:INDEX(Soja!$E74:$Z74,MIN(AI$6-$E$3,22))&lt;&gt;""),Soja!$E74:INDEX(Soja!$E74:$Z74,MIN(AI$6-$E$3,22))),0))-IF($G$2,0,IF((AI$6-$G$3)&lt;1,0,IFERROR(LOOKUP(2,1/(Soja!$E74:INDEX(Soja!$E74:$Z74,MIN(AI$6-$G$3,22))&lt;&gt;""),Soja!$E74:INDEX(Soja!$E74:$Z74,MIN(AI$6-$G$3,22))),0)))))</f>
        <v>0</v>
      </c>
      <c r="AJ76" s="27" t="n">
        <f aca="false">IF(COUNT(Soja!$E74:$Z74)=0,0,MAX(0,IF((AJ$6-$E$3)&lt;1,0,IFERROR(LOOKUP(2,1/(Soja!$E74:INDEX(Soja!$E74:$Z74,MIN(AJ$6-$E$3,22))&lt;&gt;""),Soja!$E74:INDEX(Soja!$E74:$Z74,MIN(AJ$6-$E$3,22))),0))-IF($G$2,0,IF((AJ$6-$G$3)&lt;1,0,IFERROR(LOOKUP(2,1/(Soja!$E74:INDEX(Soja!$E74:$Z74,MIN(AJ$6-$G$3,22))&lt;&gt;""),Soja!$E74:INDEX(Soja!$E74:$Z74,MIN(AJ$6-$G$3,22))),0)))))</f>
        <v>0</v>
      </c>
      <c r="AK76" s="27" t="n">
        <f aca="false">IF(COUNT(Soja!$E74:$Z74)=0,0,MAX(0,IF((AK$6-$E$3)&lt;1,0,IFERROR(LOOKUP(2,1/(Soja!$E74:INDEX(Soja!$E74:$Z74,MIN(AK$6-$E$3,22))&lt;&gt;""),Soja!$E74:INDEX(Soja!$E74:$Z74,MIN(AK$6-$E$3,22))),0))-IF($G$2,0,IF((AK$6-$G$3)&lt;1,0,IFERROR(LOOKUP(2,1/(Soja!$E74:INDEX(Soja!$E74:$Z74,MIN(AK$6-$G$3,22))&lt;&gt;""),Soja!$E74:INDEX(Soja!$E74:$Z74,MIN(AK$6-$G$3,22))),0)))))</f>
        <v>0</v>
      </c>
      <c r="AL76" s="27" t="n">
        <f aca="false">IF(COUNT(Soja!$E74:$Z74)=0,0,MAX(0,IF((AL$6-$E$3)&lt;1,0,IFERROR(LOOKUP(2,1/(Soja!$E74:INDEX(Soja!$E74:$Z74,MIN(AL$6-$E$3,22))&lt;&gt;""),Soja!$E74:INDEX(Soja!$E74:$Z74,MIN(AL$6-$E$3,22))),0))-IF($G$2,0,IF((AL$6-$G$3)&lt;1,0,IFERROR(LOOKUP(2,1/(Soja!$E74:INDEX(Soja!$E74:$Z74,MIN(AL$6-$G$3,22))&lt;&gt;""),Soja!$E74:INDEX(Soja!$E74:$Z74,MIN(AL$6-$G$3,22))),0)))))</f>
        <v>0</v>
      </c>
      <c r="AM76" s="27" t="n">
        <f aca="false">IF(COUNT(Soja!$E74:$Z74)=0,0,MAX(0,IF((AM$6-$E$3)&lt;1,0,IFERROR(LOOKUP(2,1/(Soja!$E74:INDEX(Soja!$E74:$Z74,MIN(AM$6-$E$3,22))&lt;&gt;""),Soja!$E74:INDEX(Soja!$E74:$Z74,MIN(AM$6-$E$3,22))),0))-IF($G$2,0,IF((AM$6-$G$3)&lt;1,0,IFERROR(LOOKUP(2,1/(Soja!$E74:INDEX(Soja!$E74:$Z74,MIN(AM$6-$G$3,22))&lt;&gt;""),Soja!$E74:INDEX(Soja!$E74:$Z74,MIN(AM$6-$G$3,22))),0)))))</f>
        <v>0</v>
      </c>
      <c r="AN76" s="27" t="n">
        <f aca="false">IF(COUNT(Soja!$E74:$Z74)=0,0,MAX(0,IF((AN$6-$E$3)&lt;1,0,IFERROR(LOOKUP(2,1/(Soja!$E74:INDEX(Soja!$E74:$Z74,MIN(AN$6-$E$3,22))&lt;&gt;""),Soja!$E74:INDEX(Soja!$E74:$Z74,MIN(AN$6-$E$3,22))),0))-IF($G$2,0,IF((AN$6-$G$3)&lt;1,0,IFERROR(LOOKUP(2,1/(Soja!$E74:INDEX(Soja!$E74:$Z74,MIN(AN$6-$G$3,22))&lt;&gt;""),Soja!$E74:INDEX(Soja!$E74:$Z74,MIN(AN$6-$G$3,22))),0)))))</f>
        <v>0</v>
      </c>
      <c r="AO76" s="27" t="n">
        <f aca="false">IF(COUNT(Soja!$E74:$Z74)=0,0,MAX(0,IF((AO$6-$E$3)&lt;1,0,IFERROR(LOOKUP(2,1/(Soja!$E74:INDEX(Soja!$E74:$Z74,MIN(AO$6-$E$3,22))&lt;&gt;""),Soja!$E74:INDEX(Soja!$E74:$Z74,MIN(AO$6-$E$3,22))),0))-IF($G$2,0,IF((AO$6-$G$3)&lt;1,0,IFERROR(LOOKUP(2,1/(Soja!$E74:INDEX(Soja!$E74:$Z74,MIN(AO$6-$G$3,22))&lt;&gt;""),Soja!$E74:INDEX(Soja!$E74:$Z74,MIN(AO$6-$G$3,22))),0)))))</f>
        <v>0</v>
      </c>
      <c r="AP76" s="27" t="n">
        <f aca="false">IF(COUNT(Soja!$E74:$Z74)=0,0,MAX(0,IF((AP$6-$E$3)&lt;1,0,IFERROR(LOOKUP(2,1/(Soja!$E74:INDEX(Soja!$E74:$Z74,MIN(AP$6-$E$3,22))&lt;&gt;""),Soja!$E74:INDEX(Soja!$E74:$Z74,MIN(AP$6-$E$3,22))),0))-IF($G$2,0,IF((AP$6-$G$3)&lt;1,0,IFERROR(LOOKUP(2,1/(Soja!$E74:INDEX(Soja!$E74:$Z74,MIN(AP$6-$G$3,22))&lt;&gt;""),Soja!$E74:INDEX(Soja!$E74:$Z74,MIN(AP$6-$G$3,22))),0)))))</f>
        <v>0</v>
      </c>
      <c r="AQ76" s="27" t="n">
        <f aca="false">IF(COUNT(Soja!$E74:$Z74)=0,0,MAX(0,IF((AQ$6-$E$3)&lt;1,0,IFERROR(LOOKUP(2,1/(Soja!$E74:INDEX(Soja!$E74:$Z74,MIN(AQ$6-$E$3,22))&lt;&gt;""),Soja!$E74:INDEX(Soja!$E74:$Z74,MIN(AQ$6-$E$3,22))),0))-IF($G$2,0,IF((AQ$6-$G$3)&lt;1,0,IFERROR(LOOKUP(2,1/(Soja!$E74:INDEX(Soja!$E74:$Z74,MIN(AQ$6-$G$3,22))&lt;&gt;""),Soja!$E74:INDEX(Soja!$E74:$Z74,MIN(AQ$6-$G$3,22))),0)))))</f>
        <v>0</v>
      </c>
      <c r="AR76" s="27" t="n">
        <f aca="false">IF(COUNT(Soja!$E74:$Z74)=0,0,MAX(0,IF((AR$6-$E$3)&lt;1,0,IFERROR(LOOKUP(2,1/(Soja!$E74:INDEX(Soja!$E74:$Z74,MIN(AR$6-$E$3,22))&lt;&gt;""),Soja!$E74:INDEX(Soja!$E74:$Z74,MIN(AR$6-$E$3,22))),0))-IF($G$2,0,IF((AR$6-$G$3)&lt;1,0,IFERROR(LOOKUP(2,1/(Soja!$E74:INDEX(Soja!$E74:$Z74,MIN(AR$6-$G$3,22))&lt;&gt;""),Soja!$E74:INDEX(Soja!$E74:$Z74,MIN(AR$6-$G$3,22))),0)))))</f>
        <v>0</v>
      </c>
      <c r="AS76" s="27" t="n">
        <f aca="false">IF(COUNT(Soja!$E74:$Z74)=0,0,MAX(0,IF((AS$6-$E$3)&lt;1,0,IFERROR(LOOKUP(2,1/(Soja!$E74:INDEX(Soja!$E74:$Z74,MIN(AS$6-$E$3,22))&lt;&gt;""),Soja!$E74:INDEX(Soja!$E74:$Z74,MIN(AS$6-$E$3,22))),0))-IF($G$2,0,IF((AS$6-$G$3)&lt;1,0,IFERROR(LOOKUP(2,1/(Soja!$E74:INDEX(Soja!$E74:$Z74,MIN(AS$6-$G$3,22))&lt;&gt;""),Soja!$E74:INDEX(Soja!$E74:$Z74,MIN(AS$6-$G$3,22))),0)))))</f>
        <v>0</v>
      </c>
      <c r="AT76" s="27" t="n">
        <f aca="false">IF(COUNT(Soja!$E74:$Z74)=0,0,MAX(0,IF((AT$6-$E$3)&lt;1,0,IFERROR(LOOKUP(2,1/(Soja!$E74:INDEX(Soja!$E74:$Z74,MIN(AT$6-$E$3,22))&lt;&gt;""),Soja!$E74:INDEX(Soja!$E74:$Z74,MIN(AT$6-$E$3,22))),0))-IF($G$2,0,IF((AT$6-$G$3)&lt;1,0,IFERROR(LOOKUP(2,1/(Soja!$E74:INDEX(Soja!$E74:$Z74,MIN(AT$6-$G$3,22))&lt;&gt;""),Soja!$E74:INDEX(Soja!$E74:$Z74,MIN(AT$6-$G$3,22))),0)))))</f>
        <v>0</v>
      </c>
      <c r="AU76" s="27" t="n">
        <f aca="false">IF(COUNT(Soja!$E74:$Z74)=0,0,MAX(0,IF((AU$6-$E$3)&lt;1,0,IFERROR(LOOKUP(2,1/(Soja!$E74:INDEX(Soja!$E74:$Z74,MIN(AU$6-$E$3,22))&lt;&gt;""),Soja!$E74:INDEX(Soja!$E74:$Z74,MIN(AU$6-$E$3,22))),0))-IF($G$2,0,IF((AU$6-$G$3)&lt;1,0,IFERROR(LOOKUP(2,1/(Soja!$E74:INDEX(Soja!$E74:$Z74,MIN(AU$6-$G$3,22))&lt;&gt;""),Soja!$E74:INDEX(Soja!$E74:$Z74,MIN(AU$6-$G$3,22))),0)))))</f>
        <v>0</v>
      </c>
      <c r="AV76" s="27" t="n">
        <f aca="false">IF(COUNT(Soja!$E74:$Z74)=0,0,MAX(0,IF((AV$6-$E$3)&lt;1,0,IFERROR(LOOKUP(2,1/(Soja!$E74:INDEX(Soja!$E74:$Z74,MIN(AV$6-$E$3,22))&lt;&gt;""),Soja!$E74:INDEX(Soja!$E74:$Z74,MIN(AV$6-$E$3,22))),0))-IF($G$2,0,IF((AV$6-$G$3)&lt;1,0,IFERROR(LOOKUP(2,1/(Soja!$E74:INDEX(Soja!$E74:$Z74,MIN(AV$6-$G$3,22))&lt;&gt;""),Soja!$E74:INDEX(Soja!$E74:$Z74,MIN(AV$6-$G$3,22))),0)))))</f>
        <v>0</v>
      </c>
      <c r="AW76" s="27" t="n">
        <f aca="false">IF(COUNT(Soja!$E74:$Z74)=0,0,MAX(0,IF((AW$6-$E$3)&lt;1,0,IFERROR(LOOKUP(2,1/(Soja!$E74:INDEX(Soja!$E74:$Z74,MIN(AW$6-$E$3,22))&lt;&gt;""),Soja!$E74:INDEX(Soja!$E74:$Z74,MIN(AW$6-$E$3,22))),0))-IF($G$2,0,IF((AW$6-$G$3)&lt;1,0,IFERROR(LOOKUP(2,1/(Soja!$E74:INDEX(Soja!$E74:$Z74,MIN(AW$6-$G$3,22))&lt;&gt;""),Soja!$E74:INDEX(Soja!$E74:$Z74,MIN(AW$6-$G$3,22))),0)))))</f>
        <v>0</v>
      </c>
      <c r="AX76" s="27" t="n">
        <f aca="false">IF(COUNT(Soja!$E74:$Z74)=0,0,MAX(0,IF((AX$6-$E$3)&lt;1,0,IFERROR(LOOKUP(2,1/(Soja!$E74:INDEX(Soja!$E74:$Z74,MIN(AX$6-$E$3,22))&lt;&gt;""),Soja!$E74:INDEX(Soja!$E74:$Z74,MIN(AX$6-$E$3,22))),0))-IF($G$2,0,IF((AX$6-$G$3)&lt;1,0,IFERROR(LOOKUP(2,1/(Soja!$E74:INDEX(Soja!$E74:$Z74,MIN(AX$6-$G$3,22))&lt;&gt;""),Soja!$E74:INDEX(Soja!$E74:$Z74,MIN(AX$6-$G$3,22))),0)))))</f>
        <v>0</v>
      </c>
      <c r="AY76" s="27" t="n">
        <f aca="false">IF(COUNT(Soja!$E74:$Z74)=0,0,MAX(0,IF((AY$6-$E$3)&lt;1,0,IFERROR(LOOKUP(2,1/(Soja!$E74:INDEX(Soja!$E74:$Z74,MIN(AY$6-$E$3,22))&lt;&gt;""),Soja!$E74:INDEX(Soja!$E74:$Z74,MIN(AY$6-$E$3,22))),0))-IF($G$2,0,IF((AY$6-$G$3)&lt;1,0,IFERROR(LOOKUP(2,1/(Soja!$E74:INDEX(Soja!$E74:$Z74,MIN(AY$6-$G$3,22))&lt;&gt;""),Soja!$E74:INDEX(Soja!$E74:$Z74,MIN(AY$6-$G$3,22))),0)))))</f>
        <v>0</v>
      </c>
      <c r="AZ76" s="27" t="n">
        <f aca="false">IF(COUNT(Soja!$E74:$Z74)=0,0,MAX(0,IF((AZ$6-$E$3)&lt;1,0,IFERROR(LOOKUP(2,1/(Soja!$E74:INDEX(Soja!$E74:$Z74,MIN(AZ$6-$E$3,22))&lt;&gt;""),Soja!$E74:INDEX(Soja!$E74:$Z74,MIN(AZ$6-$E$3,22))),0))-IF($G$2,0,IF((AZ$6-$G$3)&lt;1,0,IFERROR(LOOKUP(2,1/(Soja!$E74:INDEX(Soja!$E74:$Z74,MIN(AZ$6-$G$3,22))&lt;&gt;""),Soja!$E74:INDEX(Soja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IF(COUNT(Soja!$E75:$Z75)&gt;0,N(Soja!$D75),0)</f>
        <v>0</v>
      </c>
      <c r="E77" s="27" t="n">
        <f aca="false">IF(COUNT(Soja!$E75:$Z75)=0,0,MAX(0,IF((E$6-$E$3)&lt;1,0,IFERROR(LOOKUP(2,1/(Soja!$E75:INDEX(Soja!$E75:$Z75,MIN(E$6-$E$3,22))&lt;&gt;""),Soja!$E75:INDEX(Soja!$E75:$Z75,MIN(E$6-$E$3,22))),0))-IF($G$2,0,IF((E$6-$G$3)&lt;1,0,IFERROR(LOOKUP(2,1/(Soja!$E75:INDEX(Soja!$E75:$Z75,MIN(E$6-$G$3,22))&lt;&gt;""),Soja!$E75:INDEX(Soja!$E75:$Z75,MIN(E$6-$G$3,22))),0)))))</f>
        <v>0</v>
      </c>
      <c r="F77" s="27" t="n">
        <f aca="false">IF(COUNT(Soja!$E75:$Z75)=0,0,MAX(0,IF((F$6-$E$3)&lt;1,0,IFERROR(LOOKUP(2,1/(Soja!$E75:INDEX(Soja!$E75:$Z75,MIN(F$6-$E$3,22))&lt;&gt;""),Soja!$E75:INDEX(Soja!$E75:$Z75,MIN(F$6-$E$3,22))),0))-IF($G$2,0,IF((F$6-$G$3)&lt;1,0,IFERROR(LOOKUP(2,1/(Soja!$E75:INDEX(Soja!$E75:$Z75,MIN(F$6-$G$3,22))&lt;&gt;""),Soja!$E75:INDEX(Soja!$E75:$Z75,MIN(F$6-$G$3,22))),0)))))</f>
        <v>0</v>
      </c>
      <c r="G77" s="27" t="n">
        <f aca="false">IF(COUNT(Soja!$E75:$Z75)=0,0,MAX(0,IF((G$6-$E$3)&lt;1,0,IFERROR(LOOKUP(2,1/(Soja!$E75:INDEX(Soja!$E75:$Z75,MIN(G$6-$E$3,22))&lt;&gt;""),Soja!$E75:INDEX(Soja!$E75:$Z75,MIN(G$6-$E$3,22))),0))-IF($G$2,0,IF((G$6-$G$3)&lt;1,0,IFERROR(LOOKUP(2,1/(Soja!$E75:INDEX(Soja!$E75:$Z75,MIN(G$6-$G$3,22))&lt;&gt;""),Soja!$E75:INDEX(Soja!$E75:$Z75,MIN(G$6-$G$3,22))),0)))))</f>
        <v>0</v>
      </c>
      <c r="H77" s="27" t="n">
        <f aca="false">IF(COUNT(Soja!$E75:$Z75)=0,0,MAX(0,IF((H$6-$E$3)&lt;1,0,IFERROR(LOOKUP(2,1/(Soja!$E75:INDEX(Soja!$E75:$Z75,MIN(H$6-$E$3,22))&lt;&gt;""),Soja!$E75:INDEX(Soja!$E75:$Z75,MIN(H$6-$E$3,22))),0))-IF($G$2,0,IF((H$6-$G$3)&lt;1,0,IFERROR(LOOKUP(2,1/(Soja!$E75:INDEX(Soja!$E75:$Z75,MIN(H$6-$G$3,22))&lt;&gt;""),Soja!$E75:INDEX(Soja!$E75:$Z75,MIN(H$6-$G$3,22))),0)))))</f>
        <v>0</v>
      </c>
      <c r="I77" s="27" t="n">
        <f aca="false">IF(COUNT(Soja!$E75:$Z75)=0,0,MAX(0,IF((I$6-$E$3)&lt;1,0,IFERROR(LOOKUP(2,1/(Soja!$E75:INDEX(Soja!$E75:$Z75,MIN(I$6-$E$3,22))&lt;&gt;""),Soja!$E75:INDEX(Soja!$E75:$Z75,MIN(I$6-$E$3,22))),0))-IF($G$2,0,IF((I$6-$G$3)&lt;1,0,IFERROR(LOOKUP(2,1/(Soja!$E75:INDEX(Soja!$E75:$Z75,MIN(I$6-$G$3,22))&lt;&gt;""),Soja!$E75:INDEX(Soja!$E75:$Z75,MIN(I$6-$G$3,22))),0)))))</f>
        <v>0</v>
      </c>
      <c r="J77" s="27" t="n">
        <f aca="false">IF(COUNT(Soja!$E75:$Z75)=0,0,MAX(0,IF((J$6-$E$3)&lt;1,0,IFERROR(LOOKUP(2,1/(Soja!$E75:INDEX(Soja!$E75:$Z75,MIN(J$6-$E$3,22))&lt;&gt;""),Soja!$E75:INDEX(Soja!$E75:$Z75,MIN(J$6-$E$3,22))),0))-IF($G$2,0,IF((J$6-$G$3)&lt;1,0,IFERROR(LOOKUP(2,1/(Soja!$E75:INDEX(Soja!$E75:$Z75,MIN(J$6-$G$3,22))&lt;&gt;""),Soja!$E75:INDEX(Soja!$E75:$Z75,MIN(J$6-$G$3,22))),0)))))</f>
        <v>0</v>
      </c>
      <c r="K77" s="27" t="n">
        <f aca="false">IF(COUNT(Soja!$E75:$Z75)=0,0,MAX(0,IF((K$6-$E$3)&lt;1,0,IFERROR(LOOKUP(2,1/(Soja!$E75:INDEX(Soja!$E75:$Z75,MIN(K$6-$E$3,22))&lt;&gt;""),Soja!$E75:INDEX(Soja!$E75:$Z75,MIN(K$6-$E$3,22))),0))-IF($G$2,0,IF((K$6-$G$3)&lt;1,0,IFERROR(LOOKUP(2,1/(Soja!$E75:INDEX(Soja!$E75:$Z75,MIN(K$6-$G$3,22))&lt;&gt;""),Soja!$E75:INDEX(Soja!$E75:$Z75,MIN(K$6-$G$3,22))),0)))))</f>
        <v>0</v>
      </c>
      <c r="L77" s="27" t="n">
        <f aca="false">IF(COUNT(Soja!$E75:$Z75)=0,0,MAX(0,IF((L$6-$E$3)&lt;1,0,IFERROR(LOOKUP(2,1/(Soja!$E75:INDEX(Soja!$E75:$Z75,MIN(L$6-$E$3,22))&lt;&gt;""),Soja!$E75:INDEX(Soja!$E75:$Z75,MIN(L$6-$E$3,22))),0))-IF($G$2,0,IF((L$6-$G$3)&lt;1,0,IFERROR(LOOKUP(2,1/(Soja!$E75:INDEX(Soja!$E75:$Z75,MIN(L$6-$G$3,22))&lt;&gt;""),Soja!$E75:INDEX(Soja!$E75:$Z75,MIN(L$6-$G$3,22))),0)))))</f>
        <v>0</v>
      </c>
      <c r="M77" s="27" t="n">
        <f aca="false">IF(COUNT(Soja!$E75:$Z75)=0,0,MAX(0,IF((M$6-$E$3)&lt;1,0,IFERROR(LOOKUP(2,1/(Soja!$E75:INDEX(Soja!$E75:$Z75,MIN(M$6-$E$3,22))&lt;&gt;""),Soja!$E75:INDEX(Soja!$E75:$Z75,MIN(M$6-$E$3,22))),0))-IF($G$2,0,IF((M$6-$G$3)&lt;1,0,IFERROR(LOOKUP(2,1/(Soja!$E75:INDEX(Soja!$E75:$Z75,MIN(M$6-$G$3,22))&lt;&gt;""),Soja!$E75:INDEX(Soja!$E75:$Z75,MIN(M$6-$G$3,22))),0)))))</f>
        <v>0</v>
      </c>
      <c r="N77" s="27" t="n">
        <f aca="false">IF(COUNT(Soja!$E75:$Z75)=0,0,MAX(0,IF((N$6-$E$3)&lt;1,0,IFERROR(LOOKUP(2,1/(Soja!$E75:INDEX(Soja!$E75:$Z75,MIN(N$6-$E$3,22))&lt;&gt;""),Soja!$E75:INDEX(Soja!$E75:$Z75,MIN(N$6-$E$3,22))),0))-IF($G$2,0,IF((N$6-$G$3)&lt;1,0,IFERROR(LOOKUP(2,1/(Soja!$E75:INDEX(Soja!$E75:$Z75,MIN(N$6-$G$3,22))&lt;&gt;""),Soja!$E75:INDEX(Soja!$E75:$Z75,MIN(N$6-$G$3,22))),0)))))</f>
        <v>0</v>
      </c>
      <c r="O77" s="27" t="n">
        <f aca="false">IF(COUNT(Soja!$E75:$Z75)=0,0,MAX(0,IF((O$6-$E$3)&lt;1,0,IFERROR(LOOKUP(2,1/(Soja!$E75:INDEX(Soja!$E75:$Z75,MIN(O$6-$E$3,22))&lt;&gt;""),Soja!$E75:INDEX(Soja!$E75:$Z75,MIN(O$6-$E$3,22))),0))-IF($G$2,0,IF((O$6-$G$3)&lt;1,0,IFERROR(LOOKUP(2,1/(Soja!$E75:INDEX(Soja!$E75:$Z75,MIN(O$6-$G$3,22))&lt;&gt;""),Soja!$E75:INDEX(Soja!$E75:$Z75,MIN(O$6-$G$3,22))),0)))))</f>
        <v>0</v>
      </c>
      <c r="P77" s="27" t="n">
        <f aca="false">IF(COUNT(Soja!$E75:$Z75)=0,0,MAX(0,IF((P$6-$E$3)&lt;1,0,IFERROR(LOOKUP(2,1/(Soja!$E75:INDEX(Soja!$E75:$Z75,MIN(P$6-$E$3,22))&lt;&gt;""),Soja!$E75:INDEX(Soja!$E75:$Z75,MIN(P$6-$E$3,22))),0))-IF($G$2,0,IF((P$6-$G$3)&lt;1,0,IFERROR(LOOKUP(2,1/(Soja!$E75:INDEX(Soja!$E75:$Z75,MIN(P$6-$G$3,22))&lt;&gt;""),Soja!$E75:INDEX(Soja!$E75:$Z75,MIN(P$6-$G$3,22))),0)))))</f>
        <v>0</v>
      </c>
      <c r="Q77" s="27" t="n">
        <f aca="false">IF(COUNT(Soja!$E75:$Z75)=0,0,MAX(0,IF((Q$6-$E$3)&lt;1,0,IFERROR(LOOKUP(2,1/(Soja!$E75:INDEX(Soja!$E75:$Z75,MIN(Q$6-$E$3,22))&lt;&gt;""),Soja!$E75:INDEX(Soja!$E75:$Z75,MIN(Q$6-$E$3,22))),0))-IF($G$2,0,IF((Q$6-$G$3)&lt;1,0,IFERROR(LOOKUP(2,1/(Soja!$E75:INDEX(Soja!$E75:$Z75,MIN(Q$6-$G$3,22))&lt;&gt;""),Soja!$E75:INDEX(Soja!$E75:$Z75,MIN(Q$6-$G$3,22))),0)))))</f>
        <v>0</v>
      </c>
      <c r="R77" s="27" t="n">
        <f aca="false">IF(COUNT(Soja!$E75:$Z75)=0,0,MAX(0,IF((R$6-$E$3)&lt;1,0,IFERROR(LOOKUP(2,1/(Soja!$E75:INDEX(Soja!$E75:$Z75,MIN(R$6-$E$3,22))&lt;&gt;""),Soja!$E75:INDEX(Soja!$E75:$Z75,MIN(R$6-$E$3,22))),0))-IF($G$2,0,IF((R$6-$G$3)&lt;1,0,IFERROR(LOOKUP(2,1/(Soja!$E75:INDEX(Soja!$E75:$Z75,MIN(R$6-$G$3,22))&lt;&gt;""),Soja!$E75:INDEX(Soja!$E75:$Z75,MIN(R$6-$G$3,22))),0)))))</f>
        <v>0</v>
      </c>
      <c r="S77" s="27" t="n">
        <f aca="false">IF(COUNT(Soja!$E75:$Z75)=0,0,MAX(0,IF((S$6-$E$3)&lt;1,0,IFERROR(LOOKUP(2,1/(Soja!$E75:INDEX(Soja!$E75:$Z75,MIN(S$6-$E$3,22))&lt;&gt;""),Soja!$E75:INDEX(Soja!$E75:$Z75,MIN(S$6-$E$3,22))),0))-IF($G$2,0,IF((S$6-$G$3)&lt;1,0,IFERROR(LOOKUP(2,1/(Soja!$E75:INDEX(Soja!$E75:$Z75,MIN(S$6-$G$3,22))&lt;&gt;""),Soja!$E75:INDEX(Soja!$E75:$Z75,MIN(S$6-$G$3,22))),0)))))</f>
        <v>0</v>
      </c>
      <c r="T77" s="27" t="n">
        <f aca="false">IF(COUNT(Soja!$E75:$Z75)=0,0,MAX(0,IF((T$6-$E$3)&lt;1,0,IFERROR(LOOKUP(2,1/(Soja!$E75:INDEX(Soja!$E75:$Z75,MIN(T$6-$E$3,22))&lt;&gt;""),Soja!$E75:INDEX(Soja!$E75:$Z75,MIN(T$6-$E$3,22))),0))-IF($G$2,0,IF((T$6-$G$3)&lt;1,0,IFERROR(LOOKUP(2,1/(Soja!$E75:INDEX(Soja!$E75:$Z75,MIN(T$6-$G$3,22))&lt;&gt;""),Soja!$E75:INDEX(Soja!$E75:$Z75,MIN(T$6-$G$3,22))),0)))))</f>
        <v>0</v>
      </c>
      <c r="U77" s="27" t="n">
        <f aca="false">IF(COUNT(Soja!$E75:$Z75)=0,0,MAX(0,IF((U$6-$E$3)&lt;1,0,IFERROR(LOOKUP(2,1/(Soja!$E75:INDEX(Soja!$E75:$Z75,MIN(U$6-$E$3,22))&lt;&gt;""),Soja!$E75:INDEX(Soja!$E75:$Z75,MIN(U$6-$E$3,22))),0))-IF($G$2,0,IF((U$6-$G$3)&lt;1,0,IFERROR(LOOKUP(2,1/(Soja!$E75:INDEX(Soja!$E75:$Z75,MIN(U$6-$G$3,22))&lt;&gt;""),Soja!$E75:INDEX(Soja!$E75:$Z75,MIN(U$6-$G$3,22))),0)))))</f>
        <v>0</v>
      </c>
      <c r="V77" s="27" t="n">
        <f aca="false">IF(COUNT(Soja!$E75:$Z75)=0,0,MAX(0,IF((V$6-$E$3)&lt;1,0,IFERROR(LOOKUP(2,1/(Soja!$E75:INDEX(Soja!$E75:$Z75,MIN(V$6-$E$3,22))&lt;&gt;""),Soja!$E75:INDEX(Soja!$E75:$Z75,MIN(V$6-$E$3,22))),0))-IF($G$2,0,IF((V$6-$G$3)&lt;1,0,IFERROR(LOOKUP(2,1/(Soja!$E75:INDEX(Soja!$E75:$Z75,MIN(V$6-$G$3,22))&lt;&gt;""),Soja!$E75:INDEX(Soja!$E75:$Z75,MIN(V$6-$G$3,22))),0)))))</f>
        <v>0</v>
      </c>
      <c r="W77" s="27" t="n">
        <f aca="false">IF(COUNT(Soja!$E75:$Z75)=0,0,MAX(0,IF((W$6-$E$3)&lt;1,0,IFERROR(LOOKUP(2,1/(Soja!$E75:INDEX(Soja!$E75:$Z75,MIN(W$6-$E$3,22))&lt;&gt;""),Soja!$E75:INDEX(Soja!$E75:$Z75,MIN(W$6-$E$3,22))),0))-IF($G$2,0,IF((W$6-$G$3)&lt;1,0,IFERROR(LOOKUP(2,1/(Soja!$E75:INDEX(Soja!$E75:$Z75,MIN(W$6-$G$3,22))&lt;&gt;""),Soja!$E75:INDEX(Soja!$E75:$Z75,MIN(W$6-$G$3,22))),0)))))</f>
        <v>0</v>
      </c>
      <c r="X77" s="27" t="n">
        <f aca="false">IF(COUNT(Soja!$E75:$Z75)=0,0,MAX(0,IF((X$6-$E$3)&lt;1,0,IFERROR(LOOKUP(2,1/(Soja!$E75:INDEX(Soja!$E75:$Z75,MIN(X$6-$E$3,22))&lt;&gt;""),Soja!$E75:INDEX(Soja!$E75:$Z75,MIN(X$6-$E$3,22))),0))-IF($G$2,0,IF((X$6-$G$3)&lt;1,0,IFERROR(LOOKUP(2,1/(Soja!$E75:INDEX(Soja!$E75:$Z75,MIN(X$6-$G$3,22))&lt;&gt;""),Soja!$E75:INDEX(Soja!$E75:$Z75,MIN(X$6-$G$3,22))),0)))))</f>
        <v>0</v>
      </c>
      <c r="Y77" s="27" t="n">
        <f aca="false">IF(COUNT(Soja!$E75:$Z75)=0,0,MAX(0,IF((Y$6-$E$3)&lt;1,0,IFERROR(LOOKUP(2,1/(Soja!$E75:INDEX(Soja!$E75:$Z75,MIN(Y$6-$E$3,22))&lt;&gt;""),Soja!$E75:INDEX(Soja!$E75:$Z75,MIN(Y$6-$E$3,22))),0))-IF($G$2,0,IF((Y$6-$G$3)&lt;1,0,IFERROR(LOOKUP(2,1/(Soja!$E75:INDEX(Soja!$E75:$Z75,MIN(Y$6-$G$3,22))&lt;&gt;""),Soja!$E75:INDEX(Soja!$E75:$Z75,MIN(Y$6-$G$3,22))),0)))))</f>
        <v>0</v>
      </c>
      <c r="Z77" s="27" t="n">
        <f aca="false">IF(COUNT(Soja!$E75:$Z75)=0,0,MAX(0,IF((Z$6-$E$3)&lt;1,0,IFERROR(LOOKUP(2,1/(Soja!$E75:INDEX(Soja!$E75:$Z75,MIN(Z$6-$E$3,22))&lt;&gt;""),Soja!$E75:INDEX(Soja!$E75:$Z75,MIN(Z$6-$E$3,22))),0))-IF($G$2,0,IF((Z$6-$G$3)&lt;1,0,IFERROR(LOOKUP(2,1/(Soja!$E75:INDEX(Soja!$E75:$Z75,MIN(Z$6-$G$3,22))&lt;&gt;""),Soja!$E75:INDEX(Soja!$E75:$Z75,MIN(Z$6-$G$3,22))),0)))))</f>
        <v>0</v>
      </c>
      <c r="AA77" s="27" t="n">
        <f aca="false">IF(COUNT(Soja!$E75:$Z75)=0,0,MAX(0,IF((AA$6-$E$3)&lt;1,0,IFERROR(LOOKUP(2,1/(Soja!$E75:INDEX(Soja!$E75:$Z75,MIN(AA$6-$E$3,22))&lt;&gt;""),Soja!$E75:INDEX(Soja!$E75:$Z75,MIN(AA$6-$E$3,22))),0))-IF($G$2,0,IF((AA$6-$G$3)&lt;1,0,IFERROR(LOOKUP(2,1/(Soja!$E75:INDEX(Soja!$E75:$Z75,MIN(AA$6-$G$3,22))&lt;&gt;""),Soja!$E75:INDEX(Soja!$E75:$Z75,MIN(AA$6-$G$3,22))),0)))))</f>
        <v>0</v>
      </c>
      <c r="AB77" s="27" t="n">
        <f aca="false">IF(COUNT(Soja!$E75:$Z75)=0,0,MAX(0,IF((AB$6-$E$3)&lt;1,0,IFERROR(LOOKUP(2,1/(Soja!$E75:INDEX(Soja!$E75:$Z75,MIN(AB$6-$E$3,22))&lt;&gt;""),Soja!$E75:INDEX(Soja!$E75:$Z75,MIN(AB$6-$E$3,22))),0))-IF($G$2,0,IF((AB$6-$G$3)&lt;1,0,IFERROR(LOOKUP(2,1/(Soja!$E75:INDEX(Soja!$E75:$Z75,MIN(AB$6-$G$3,22))&lt;&gt;""),Soja!$E75:INDEX(Soja!$E75:$Z75,MIN(AB$6-$G$3,22))),0)))))</f>
        <v>0</v>
      </c>
      <c r="AC77" s="27" t="n">
        <f aca="false">IF(COUNT(Soja!$E75:$Z75)=0,0,MAX(0,IF((AC$6-$E$3)&lt;1,0,IFERROR(LOOKUP(2,1/(Soja!$E75:INDEX(Soja!$E75:$Z75,MIN(AC$6-$E$3,22))&lt;&gt;""),Soja!$E75:INDEX(Soja!$E75:$Z75,MIN(AC$6-$E$3,22))),0))-IF($G$2,0,IF((AC$6-$G$3)&lt;1,0,IFERROR(LOOKUP(2,1/(Soja!$E75:INDEX(Soja!$E75:$Z75,MIN(AC$6-$G$3,22))&lt;&gt;""),Soja!$E75:INDEX(Soja!$E75:$Z75,MIN(AC$6-$G$3,22))),0)))))</f>
        <v>0</v>
      </c>
      <c r="AD77" s="27" t="n">
        <f aca="false">IF(COUNT(Soja!$E75:$Z75)=0,0,MAX(0,IF((AD$6-$E$3)&lt;1,0,IFERROR(LOOKUP(2,1/(Soja!$E75:INDEX(Soja!$E75:$Z75,MIN(AD$6-$E$3,22))&lt;&gt;""),Soja!$E75:INDEX(Soja!$E75:$Z75,MIN(AD$6-$E$3,22))),0))-IF($G$2,0,IF((AD$6-$G$3)&lt;1,0,IFERROR(LOOKUP(2,1/(Soja!$E75:INDEX(Soja!$E75:$Z75,MIN(AD$6-$G$3,22))&lt;&gt;""),Soja!$E75:INDEX(Soja!$E75:$Z75,MIN(AD$6-$G$3,22))),0)))))</f>
        <v>0</v>
      </c>
      <c r="AE77" s="27" t="n">
        <f aca="false">IF(COUNT(Soja!$E75:$Z75)=0,0,MAX(0,IF((AE$6-$E$3)&lt;1,0,IFERROR(LOOKUP(2,1/(Soja!$E75:INDEX(Soja!$E75:$Z75,MIN(AE$6-$E$3,22))&lt;&gt;""),Soja!$E75:INDEX(Soja!$E75:$Z75,MIN(AE$6-$E$3,22))),0))-IF($G$2,0,IF((AE$6-$G$3)&lt;1,0,IFERROR(LOOKUP(2,1/(Soja!$E75:INDEX(Soja!$E75:$Z75,MIN(AE$6-$G$3,22))&lt;&gt;""),Soja!$E75:INDEX(Soja!$E75:$Z75,MIN(AE$6-$G$3,22))),0)))))</f>
        <v>0</v>
      </c>
      <c r="AF77" s="27" t="n">
        <f aca="false">IF(COUNT(Soja!$E75:$Z75)=0,0,MAX(0,IF((AF$6-$E$3)&lt;1,0,IFERROR(LOOKUP(2,1/(Soja!$E75:INDEX(Soja!$E75:$Z75,MIN(AF$6-$E$3,22))&lt;&gt;""),Soja!$E75:INDEX(Soja!$E75:$Z75,MIN(AF$6-$E$3,22))),0))-IF($G$2,0,IF((AF$6-$G$3)&lt;1,0,IFERROR(LOOKUP(2,1/(Soja!$E75:INDEX(Soja!$E75:$Z75,MIN(AF$6-$G$3,22))&lt;&gt;""),Soja!$E75:INDEX(Soja!$E75:$Z75,MIN(AF$6-$G$3,22))),0)))))</f>
        <v>0</v>
      </c>
      <c r="AG77" s="27" t="n">
        <f aca="false">IF(COUNT(Soja!$E75:$Z75)=0,0,MAX(0,IF((AG$6-$E$3)&lt;1,0,IFERROR(LOOKUP(2,1/(Soja!$E75:INDEX(Soja!$E75:$Z75,MIN(AG$6-$E$3,22))&lt;&gt;""),Soja!$E75:INDEX(Soja!$E75:$Z75,MIN(AG$6-$E$3,22))),0))-IF($G$2,0,IF((AG$6-$G$3)&lt;1,0,IFERROR(LOOKUP(2,1/(Soja!$E75:INDEX(Soja!$E75:$Z75,MIN(AG$6-$G$3,22))&lt;&gt;""),Soja!$E75:INDEX(Soja!$E75:$Z75,MIN(AG$6-$G$3,22))),0)))))</f>
        <v>0</v>
      </c>
      <c r="AH77" s="27" t="n">
        <f aca="false">IF(COUNT(Soja!$E75:$Z75)=0,0,MAX(0,IF((AH$6-$E$3)&lt;1,0,IFERROR(LOOKUP(2,1/(Soja!$E75:INDEX(Soja!$E75:$Z75,MIN(AH$6-$E$3,22))&lt;&gt;""),Soja!$E75:INDEX(Soja!$E75:$Z75,MIN(AH$6-$E$3,22))),0))-IF($G$2,0,IF((AH$6-$G$3)&lt;1,0,IFERROR(LOOKUP(2,1/(Soja!$E75:INDEX(Soja!$E75:$Z75,MIN(AH$6-$G$3,22))&lt;&gt;""),Soja!$E75:INDEX(Soja!$E75:$Z75,MIN(AH$6-$G$3,22))),0)))))</f>
        <v>0</v>
      </c>
      <c r="AI77" s="27" t="n">
        <f aca="false">IF(COUNT(Soja!$E75:$Z75)=0,0,MAX(0,IF((AI$6-$E$3)&lt;1,0,IFERROR(LOOKUP(2,1/(Soja!$E75:INDEX(Soja!$E75:$Z75,MIN(AI$6-$E$3,22))&lt;&gt;""),Soja!$E75:INDEX(Soja!$E75:$Z75,MIN(AI$6-$E$3,22))),0))-IF($G$2,0,IF((AI$6-$G$3)&lt;1,0,IFERROR(LOOKUP(2,1/(Soja!$E75:INDEX(Soja!$E75:$Z75,MIN(AI$6-$G$3,22))&lt;&gt;""),Soja!$E75:INDEX(Soja!$E75:$Z75,MIN(AI$6-$G$3,22))),0)))))</f>
        <v>0</v>
      </c>
      <c r="AJ77" s="27" t="n">
        <f aca="false">IF(COUNT(Soja!$E75:$Z75)=0,0,MAX(0,IF((AJ$6-$E$3)&lt;1,0,IFERROR(LOOKUP(2,1/(Soja!$E75:INDEX(Soja!$E75:$Z75,MIN(AJ$6-$E$3,22))&lt;&gt;""),Soja!$E75:INDEX(Soja!$E75:$Z75,MIN(AJ$6-$E$3,22))),0))-IF($G$2,0,IF((AJ$6-$G$3)&lt;1,0,IFERROR(LOOKUP(2,1/(Soja!$E75:INDEX(Soja!$E75:$Z75,MIN(AJ$6-$G$3,22))&lt;&gt;""),Soja!$E75:INDEX(Soja!$E75:$Z75,MIN(AJ$6-$G$3,22))),0)))))</f>
        <v>0</v>
      </c>
      <c r="AK77" s="27" t="n">
        <f aca="false">IF(COUNT(Soja!$E75:$Z75)=0,0,MAX(0,IF((AK$6-$E$3)&lt;1,0,IFERROR(LOOKUP(2,1/(Soja!$E75:INDEX(Soja!$E75:$Z75,MIN(AK$6-$E$3,22))&lt;&gt;""),Soja!$E75:INDEX(Soja!$E75:$Z75,MIN(AK$6-$E$3,22))),0))-IF($G$2,0,IF((AK$6-$G$3)&lt;1,0,IFERROR(LOOKUP(2,1/(Soja!$E75:INDEX(Soja!$E75:$Z75,MIN(AK$6-$G$3,22))&lt;&gt;""),Soja!$E75:INDEX(Soja!$E75:$Z75,MIN(AK$6-$G$3,22))),0)))))</f>
        <v>0</v>
      </c>
      <c r="AL77" s="27" t="n">
        <f aca="false">IF(COUNT(Soja!$E75:$Z75)=0,0,MAX(0,IF((AL$6-$E$3)&lt;1,0,IFERROR(LOOKUP(2,1/(Soja!$E75:INDEX(Soja!$E75:$Z75,MIN(AL$6-$E$3,22))&lt;&gt;""),Soja!$E75:INDEX(Soja!$E75:$Z75,MIN(AL$6-$E$3,22))),0))-IF($G$2,0,IF((AL$6-$G$3)&lt;1,0,IFERROR(LOOKUP(2,1/(Soja!$E75:INDEX(Soja!$E75:$Z75,MIN(AL$6-$G$3,22))&lt;&gt;""),Soja!$E75:INDEX(Soja!$E75:$Z75,MIN(AL$6-$G$3,22))),0)))))</f>
        <v>0</v>
      </c>
      <c r="AM77" s="27" t="n">
        <f aca="false">IF(COUNT(Soja!$E75:$Z75)=0,0,MAX(0,IF((AM$6-$E$3)&lt;1,0,IFERROR(LOOKUP(2,1/(Soja!$E75:INDEX(Soja!$E75:$Z75,MIN(AM$6-$E$3,22))&lt;&gt;""),Soja!$E75:INDEX(Soja!$E75:$Z75,MIN(AM$6-$E$3,22))),0))-IF($G$2,0,IF((AM$6-$G$3)&lt;1,0,IFERROR(LOOKUP(2,1/(Soja!$E75:INDEX(Soja!$E75:$Z75,MIN(AM$6-$G$3,22))&lt;&gt;""),Soja!$E75:INDEX(Soja!$E75:$Z75,MIN(AM$6-$G$3,22))),0)))))</f>
        <v>0</v>
      </c>
      <c r="AN77" s="27" t="n">
        <f aca="false">IF(COUNT(Soja!$E75:$Z75)=0,0,MAX(0,IF((AN$6-$E$3)&lt;1,0,IFERROR(LOOKUP(2,1/(Soja!$E75:INDEX(Soja!$E75:$Z75,MIN(AN$6-$E$3,22))&lt;&gt;""),Soja!$E75:INDEX(Soja!$E75:$Z75,MIN(AN$6-$E$3,22))),0))-IF($G$2,0,IF((AN$6-$G$3)&lt;1,0,IFERROR(LOOKUP(2,1/(Soja!$E75:INDEX(Soja!$E75:$Z75,MIN(AN$6-$G$3,22))&lt;&gt;""),Soja!$E75:INDEX(Soja!$E75:$Z75,MIN(AN$6-$G$3,22))),0)))))</f>
        <v>0</v>
      </c>
      <c r="AO77" s="27" t="n">
        <f aca="false">IF(COUNT(Soja!$E75:$Z75)=0,0,MAX(0,IF((AO$6-$E$3)&lt;1,0,IFERROR(LOOKUP(2,1/(Soja!$E75:INDEX(Soja!$E75:$Z75,MIN(AO$6-$E$3,22))&lt;&gt;""),Soja!$E75:INDEX(Soja!$E75:$Z75,MIN(AO$6-$E$3,22))),0))-IF($G$2,0,IF((AO$6-$G$3)&lt;1,0,IFERROR(LOOKUP(2,1/(Soja!$E75:INDEX(Soja!$E75:$Z75,MIN(AO$6-$G$3,22))&lt;&gt;""),Soja!$E75:INDEX(Soja!$E75:$Z75,MIN(AO$6-$G$3,22))),0)))))</f>
        <v>0</v>
      </c>
      <c r="AP77" s="27" t="n">
        <f aca="false">IF(COUNT(Soja!$E75:$Z75)=0,0,MAX(0,IF((AP$6-$E$3)&lt;1,0,IFERROR(LOOKUP(2,1/(Soja!$E75:INDEX(Soja!$E75:$Z75,MIN(AP$6-$E$3,22))&lt;&gt;""),Soja!$E75:INDEX(Soja!$E75:$Z75,MIN(AP$6-$E$3,22))),0))-IF($G$2,0,IF((AP$6-$G$3)&lt;1,0,IFERROR(LOOKUP(2,1/(Soja!$E75:INDEX(Soja!$E75:$Z75,MIN(AP$6-$G$3,22))&lt;&gt;""),Soja!$E75:INDEX(Soja!$E75:$Z75,MIN(AP$6-$G$3,22))),0)))))</f>
        <v>0</v>
      </c>
      <c r="AQ77" s="27" t="n">
        <f aca="false">IF(COUNT(Soja!$E75:$Z75)=0,0,MAX(0,IF((AQ$6-$E$3)&lt;1,0,IFERROR(LOOKUP(2,1/(Soja!$E75:INDEX(Soja!$E75:$Z75,MIN(AQ$6-$E$3,22))&lt;&gt;""),Soja!$E75:INDEX(Soja!$E75:$Z75,MIN(AQ$6-$E$3,22))),0))-IF($G$2,0,IF((AQ$6-$G$3)&lt;1,0,IFERROR(LOOKUP(2,1/(Soja!$E75:INDEX(Soja!$E75:$Z75,MIN(AQ$6-$G$3,22))&lt;&gt;""),Soja!$E75:INDEX(Soja!$E75:$Z75,MIN(AQ$6-$G$3,22))),0)))))</f>
        <v>0</v>
      </c>
      <c r="AR77" s="27" t="n">
        <f aca="false">IF(COUNT(Soja!$E75:$Z75)=0,0,MAX(0,IF((AR$6-$E$3)&lt;1,0,IFERROR(LOOKUP(2,1/(Soja!$E75:INDEX(Soja!$E75:$Z75,MIN(AR$6-$E$3,22))&lt;&gt;""),Soja!$E75:INDEX(Soja!$E75:$Z75,MIN(AR$6-$E$3,22))),0))-IF($G$2,0,IF((AR$6-$G$3)&lt;1,0,IFERROR(LOOKUP(2,1/(Soja!$E75:INDEX(Soja!$E75:$Z75,MIN(AR$6-$G$3,22))&lt;&gt;""),Soja!$E75:INDEX(Soja!$E75:$Z75,MIN(AR$6-$G$3,22))),0)))))</f>
        <v>0</v>
      </c>
      <c r="AS77" s="27" t="n">
        <f aca="false">IF(COUNT(Soja!$E75:$Z75)=0,0,MAX(0,IF((AS$6-$E$3)&lt;1,0,IFERROR(LOOKUP(2,1/(Soja!$E75:INDEX(Soja!$E75:$Z75,MIN(AS$6-$E$3,22))&lt;&gt;""),Soja!$E75:INDEX(Soja!$E75:$Z75,MIN(AS$6-$E$3,22))),0))-IF($G$2,0,IF((AS$6-$G$3)&lt;1,0,IFERROR(LOOKUP(2,1/(Soja!$E75:INDEX(Soja!$E75:$Z75,MIN(AS$6-$G$3,22))&lt;&gt;""),Soja!$E75:INDEX(Soja!$E75:$Z75,MIN(AS$6-$G$3,22))),0)))))</f>
        <v>0</v>
      </c>
      <c r="AT77" s="27" t="n">
        <f aca="false">IF(COUNT(Soja!$E75:$Z75)=0,0,MAX(0,IF((AT$6-$E$3)&lt;1,0,IFERROR(LOOKUP(2,1/(Soja!$E75:INDEX(Soja!$E75:$Z75,MIN(AT$6-$E$3,22))&lt;&gt;""),Soja!$E75:INDEX(Soja!$E75:$Z75,MIN(AT$6-$E$3,22))),0))-IF($G$2,0,IF((AT$6-$G$3)&lt;1,0,IFERROR(LOOKUP(2,1/(Soja!$E75:INDEX(Soja!$E75:$Z75,MIN(AT$6-$G$3,22))&lt;&gt;""),Soja!$E75:INDEX(Soja!$E75:$Z75,MIN(AT$6-$G$3,22))),0)))))</f>
        <v>0</v>
      </c>
      <c r="AU77" s="27" t="n">
        <f aca="false">IF(COUNT(Soja!$E75:$Z75)=0,0,MAX(0,IF((AU$6-$E$3)&lt;1,0,IFERROR(LOOKUP(2,1/(Soja!$E75:INDEX(Soja!$E75:$Z75,MIN(AU$6-$E$3,22))&lt;&gt;""),Soja!$E75:INDEX(Soja!$E75:$Z75,MIN(AU$6-$E$3,22))),0))-IF($G$2,0,IF((AU$6-$G$3)&lt;1,0,IFERROR(LOOKUP(2,1/(Soja!$E75:INDEX(Soja!$E75:$Z75,MIN(AU$6-$G$3,22))&lt;&gt;""),Soja!$E75:INDEX(Soja!$E75:$Z75,MIN(AU$6-$G$3,22))),0)))))</f>
        <v>0</v>
      </c>
      <c r="AV77" s="27" t="n">
        <f aca="false">IF(COUNT(Soja!$E75:$Z75)=0,0,MAX(0,IF((AV$6-$E$3)&lt;1,0,IFERROR(LOOKUP(2,1/(Soja!$E75:INDEX(Soja!$E75:$Z75,MIN(AV$6-$E$3,22))&lt;&gt;""),Soja!$E75:INDEX(Soja!$E75:$Z75,MIN(AV$6-$E$3,22))),0))-IF($G$2,0,IF((AV$6-$G$3)&lt;1,0,IFERROR(LOOKUP(2,1/(Soja!$E75:INDEX(Soja!$E75:$Z75,MIN(AV$6-$G$3,22))&lt;&gt;""),Soja!$E75:INDEX(Soja!$E75:$Z75,MIN(AV$6-$G$3,22))),0)))))</f>
        <v>0</v>
      </c>
      <c r="AW77" s="27" t="n">
        <f aca="false">IF(COUNT(Soja!$E75:$Z75)=0,0,MAX(0,IF((AW$6-$E$3)&lt;1,0,IFERROR(LOOKUP(2,1/(Soja!$E75:INDEX(Soja!$E75:$Z75,MIN(AW$6-$E$3,22))&lt;&gt;""),Soja!$E75:INDEX(Soja!$E75:$Z75,MIN(AW$6-$E$3,22))),0))-IF($G$2,0,IF((AW$6-$G$3)&lt;1,0,IFERROR(LOOKUP(2,1/(Soja!$E75:INDEX(Soja!$E75:$Z75,MIN(AW$6-$G$3,22))&lt;&gt;""),Soja!$E75:INDEX(Soja!$E75:$Z75,MIN(AW$6-$G$3,22))),0)))))</f>
        <v>0</v>
      </c>
      <c r="AX77" s="27" t="n">
        <f aca="false">IF(COUNT(Soja!$E75:$Z75)=0,0,MAX(0,IF((AX$6-$E$3)&lt;1,0,IFERROR(LOOKUP(2,1/(Soja!$E75:INDEX(Soja!$E75:$Z75,MIN(AX$6-$E$3,22))&lt;&gt;""),Soja!$E75:INDEX(Soja!$E75:$Z75,MIN(AX$6-$E$3,22))),0))-IF($G$2,0,IF((AX$6-$G$3)&lt;1,0,IFERROR(LOOKUP(2,1/(Soja!$E75:INDEX(Soja!$E75:$Z75,MIN(AX$6-$G$3,22))&lt;&gt;""),Soja!$E75:INDEX(Soja!$E75:$Z75,MIN(AX$6-$G$3,22))),0)))))</f>
        <v>0</v>
      </c>
      <c r="AY77" s="27" t="n">
        <f aca="false">IF(COUNT(Soja!$E75:$Z75)=0,0,MAX(0,IF((AY$6-$E$3)&lt;1,0,IFERROR(LOOKUP(2,1/(Soja!$E75:INDEX(Soja!$E75:$Z75,MIN(AY$6-$E$3,22))&lt;&gt;""),Soja!$E75:INDEX(Soja!$E75:$Z75,MIN(AY$6-$E$3,22))),0))-IF($G$2,0,IF((AY$6-$G$3)&lt;1,0,IFERROR(LOOKUP(2,1/(Soja!$E75:INDEX(Soja!$E75:$Z75,MIN(AY$6-$G$3,22))&lt;&gt;""),Soja!$E75:INDEX(Soja!$E75:$Z75,MIN(AY$6-$G$3,22))),0)))))</f>
        <v>0</v>
      </c>
      <c r="AZ77" s="27" t="n">
        <f aca="false">IF(COUNT(Soja!$E75:$Z75)=0,0,MAX(0,IF((AZ$6-$E$3)&lt;1,0,IFERROR(LOOKUP(2,1/(Soja!$E75:INDEX(Soja!$E75:$Z75,MIN(AZ$6-$E$3,22))&lt;&gt;""),Soja!$E75:INDEX(Soja!$E75:$Z75,MIN(AZ$6-$E$3,22))),0))-IF($G$2,0,IF((AZ$6-$G$3)&lt;1,0,IFERROR(LOOKUP(2,1/(Soja!$E75:INDEX(Soja!$E75:$Z75,MIN(AZ$6-$G$3,22))&lt;&gt;""),Soja!$E75:INDEX(Soja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IF(COUNT(Soja!$E76:$Z76)&gt;0,N(Soja!$D76),0)</f>
        <v>0</v>
      </c>
      <c r="E78" s="27" t="n">
        <f aca="false">IF(COUNT(Soja!$E76:$Z76)=0,0,MAX(0,IF((E$6-$E$3)&lt;1,0,IFERROR(LOOKUP(2,1/(Soja!$E76:INDEX(Soja!$E76:$Z76,MIN(E$6-$E$3,22))&lt;&gt;""),Soja!$E76:INDEX(Soja!$E76:$Z76,MIN(E$6-$E$3,22))),0))-IF($G$2,0,IF((E$6-$G$3)&lt;1,0,IFERROR(LOOKUP(2,1/(Soja!$E76:INDEX(Soja!$E76:$Z76,MIN(E$6-$G$3,22))&lt;&gt;""),Soja!$E76:INDEX(Soja!$E76:$Z76,MIN(E$6-$G$3,22))),0)))))</f>
        <v>0</v>
      </c>
      <c r="F78" s="27" t="n">
        <f aca="false">IF(COUNT(Soja!$E76:$Z76)=0,0,MAX(0,IF((F$6-$E$3)&lt;1,0,IFERROR(LOOKUP(2,1/(Soja!$E76:INDEX(Soja!$E76:$Z76,MIN(F$6-$E$3,22))&lt;&gt;""),Soja!$E76:INDEX(Soja!$E76:$Z76,MIN(F$6-$E$3,22))),0))-IF($G$2,0,IF((F$6-$G$3)&lt;1,0,IFERROR(LOOKUP(2,1/(Soja!$E76:INDEX(Soja!$E76:$Z76,MIN(F$6-$G$3,22))&lt;&gt;""),Soja!$E76:INDEX(Soja!$E76:$Z76,MIN(F$6-$G$3,22))),0)))))</f>
        <v>0</v>
      </c>
      <c r="G78" s="27" t="n">
        <f aca="false">IF(COUNT(Soja!$E76:$Z76)=0,0,MAX(0,IF((G$6-$E$3)&lt;1,0,IFERROR(LOOKUP(2,1/(Soja!$E76:INDEX(Soja!$E76:$Z76,MIN(G$6-$E$3,22))&lt;&gt;""),Soja!$E76:INDEX(Soja!$E76:$Z76,MIN(G$6-$E$3,22))),0))-IF($G$2,0,IF((G$6-$G$3)&lt;1,0,IFERROR(LOOKUP(2,1/(Soja!$E76:INDEX(Soja!$E76:$Z76,MIN(G$6-$G$3,22))&lt;&gt;""),Soja!$E76:INDEX(Soja!$E76:$Z76,MIN(G$6-$G$3,22))),0)))))</f>
        <v>0</v>
      </c>
      <c r="H78" s="27" t="n">
        <f aca="false">IF(COUNT(Soja!$E76:$Z76)=0,0,MAX(0,IF((H$6-$E$3)&lt;1,0,IFERROR(LOOKUP(2,1/(Soja!$E76:INDEX(Soja!$E76:$Z76,MIN(H$6-$E$3,22))&lt;&gt;""),Soja!$E76:INDEX(Soja!$E76:$Z76,MIN(H$6-$E$3,22))),0))-IF($G$2,0,IF((H$6-$G$3)&lt;1,0,IFERROR(LOOKUP(2,1/(Soja!$E76:INDEX(Soja!$E76:$Z76,MIN(H$6-$G$3,22))&lt;&gt;""),Soja!$E76:INDEX(Soja!$E76:$Z76,MIN(H$6-$G$3,22))),0)))))</f>
        <v>0</v>
      </c>
      <c r="I78" s="27" t="n">
        <f aca="false">IF(COUNT(Soja!$E76:$Z76)=0,0,MAX(0,IF((I$6-$E$3)&lt;1,0,IFERROR(LOOKUP(2,1/(Soja!$E76:INDEX(Soja!$E76:$Z76,MIN(I$6-$E$3,22))&lt;&gt;""),Soja!$E76:INDEX(Soja!$E76:$Z76,MIN(I$6-$E$3,22))),0))-IF($G$2,0,IF((I$6-$G$3)&lt;1,0,IFERROR(LOOKUP(2,1/(Soja!$E76:INDEX(Soja!$E76:$Z76,MIN(I$6-$G$3,22))&lt;&gt;""),Soja!$E76:INDEX(Soja!$E76:$Z76,MIN(I$6-$G$3,22))),0)))))</f>
        <v>0</v>
      </c>
      <c r="J78" s="27" t="n">
        <f aca="false">IF(COUNT(Soja!$E76:$Z76)=0,0,MAX(0,IF((J$6-$E$3)&lt;1,0,IFERROR(LOOKUP(2,1/(Soja!$E76:INDEX(Soja!$E76:$Z76,MIN(J$6-$E$3,22))&lt;&gt;""),Soja!$E76:INDEX(Soja!$E76:$Z76,MIN(J$6-$E$3,22))),0))-IF($G$2,0,IF((J$6-$G$3)&lt;1,0,IFERROR(LOOKUP(2,1/(Soja!$E76:INDEX(Soja!$E76:$Z76,MIN(J$6-$G$3,22))&lt;&gt;""),Soja!$E76:INDEX(Soja!$E76:$Z76,MIN(J$6-$G$3,22))),0)))))</f>
        <v>0</v>
      </c>
      <c r="K78" s="27" t="n">
        <f aca="false">IF(COUNT(Soja!$E76:$Z76)=0,0,MAX(0,IF((K$6-$E$3)&lt;1,0,IFERROR(LOOKUP(2,1/(Soja!$E76:INDEX(Soja!$E76:$Z76,MIN(K$6-$E$3,22))&lt;&gt;""),Soja!$E76:INDEX(Soja!$E76:$Z76,MIN(K$6-$E$3,22))),0))-IF($G$2,0,IF((K$6-$G$3)&lt;1,0,IFERROR(LOOKUP(2,1/(Soja!$E76:INDEX(Soja!$E76:$Z76,MIN(K$6-$G$3,22))&lt;&gt;""),Soja!$E76:INDEX(Soja!$E76:$Z76,MIN(K$6-$G$3,22))),0)))))</f>
        <v>0</v>
      </c>
      <c r="L78" s="27" t="n">
        <f aca="false">IF(COUNT(Soja!$E76:$Z76)=0,0,MAX(0,IF((L$6-$E$3)&lt;1,0,IFERROR(LOOKUP(2,1/(Soja!$E76:INDEX(Soja!$E76:$Z76,MIN(L$6-$E$3,22))&lt;&gt;""),Soja!$E76:INDEX(Soja!$E76:$Z76,MIN(L$6-$E$3,22))),0))-IF($G$2,0,IF((L$6-$G$3)&lt;1,0,IFERROR(LOOKUP(2,1/(Soja!$E76:INDEX(Soja!$E76:$Z76,MIN(L$6-$G$3,22))&lt;&gt;""),Soja!$E76:INDEX(Soja!$E76:$Z76,MIN(L$6-$G$3,22))),0)))))</f>
        <v>0</v>
      </c>
      <c r="M78" s="27" t="n">
        <f aca="false">IF(COUNT(Soja!$E76:$Z76)=0,0,MAX(0,IF((M$6-$E$3)&lt;1,0,IFERROR(LOOKUP(2,1/(Soja!$E76:INDEX(Soja!$E76:$Z76,MIN(M$6-$E$3,22))&lt;&gt;""),Soja!$E76:INDEX(Soja!$E76:$Z76,MIN(M$6-$E$3,22))),0))-IF($G$2,0,IF((M$6-$G$3)&lt;1,0,IFERROR(LOOKUP(2,1/(Soja!$E76:INDEX(Soja!$E76:$Z76,MIN(M$6-$G$3,22))&lt;&gt;""),Soja!$E76:INDEX(Soja!$E76:$Z76,MIN(M$6-$G$3,22))),0)))))</f>
        <v>0</v>
      </c>
      <c r="N78" s="27" t="n">
        <f aca="false">IF(COUNT(Soja!$E76:$Z76)=0,0,MAX(0,IF((N$6-$E$3)&lt;1,0,IFERROR(LOOKUP(2,1/(Soja!$E76:INDEX(Soja!$E76:$Z76,MIN(N$6-$E$3,22))&lt;&gt;""),Soja!$E76:INDEX(Soja!$E76:$Z76,MIN(N$6-$E$3,22))),0))-IF($G$2,0,IF((N$6-$G$3)&lt;1,0,IFERROR(LOOKUP(2,1/(Soja!$E76:INDEX(Soja!$E76:$Z76,MIN(N$6-$G$3,22))&lt;&gt;""),Soja!$E76:INDEX(Soja!$E76:$Z76,MIN(N$6-$G$3,22))),0)))))</f>
        <v>0</v>
      </c>
      <c r="O78" s="27" t="n">
        <f aca="false">IF(COUNT(Soja!$E76:$Z76)=0,0,MAX(0,IF((O$6-$E$3)&lt;1,0,IFERROR(LOOKUP(2,1/(Soja!$E76:INDEX(Soja!$E76:$Z76,MIN(O$6-$E$3,22))&lt;&gt;""),Soja!$E76:INDEX(Soja!$E76:$Z76,MIN(O$6-$E$3,22))),0))-IF($G$2,0,IF((O$6-$G$3)&lt;1,0,IFERROR(LOOKUP(2,1/(Soja!$E76:INDEX(Soja!$E76:$Z76,MIN(O$6-$G$3,22))&lt;&gt;""),Soja!$E76:INDEX(Soja!$E76:$Z76,MIN(O$6-$G$3,22))),0)))))</f>
        <v>0</v>
      </c>
      <c r="P78" s="27" t="n">
        <f aca="false">IF(COUNT(Soja!$E76:$Z76)=0,0,MAX(0,IF((P$6-$E$3)&lt;1,0,IFERROR(LOOKUP(2,1/(Soja!$E76:INDEX(Soja!$E76:$Z76,MIN(P$6-$E$3,22))&lt;&gt;""),Soja!$E76:INDEX(Soja!$E76:$Z76,MIN(P$6-$E$3,22))),0))-IF($G$2,0,IF((P$6-$G$3)&lt;1,0,IFERROR(LOOKUP(2,1/(Soja!$E76:INDEX(Soja!$E76:$Z76,MIN(P$6-$G$3,22))&lt;&gt;""),Soja!$E76:INDEX(Soja!$E76:$Z76,MIN(P$6-$G$3,22))),0)))))</f>
        <v>0</v>
      </c>
      <c r="Q78" s="27" t="n">
        <f aca="false">IF(COUNT(Soja!$E76:$Z76)=0,0,MAX(0,IF((Q$6-$E$3)&lt;1,0,IFERROR(LOOKUP(2,1/(Soja!$E76:INDEX(Soja!$E76:$Z76,MIN(Q$6-$E$3,22))&lt;&gt;""),Soja!$E76:INDEX(Soja!$E76:$Z76,MIN(Q$6-$E$3,22))),0))-IF($G$2,0,IF((Q$6-$G$3)&lt;1,0,IFERROR(LOOKUP(2,1/(Soja!$E76:INDEX(Soja!$E76:$Z76,MIN(Q$6-$G$3,22))&lt;&gt;""),Soja!$E76:INDEX(Soja!$E76:$Z76,MIN(Q$6-$G$3,22))),0)))))</f>
        <v>0</v>
      </c>
      <c r="R78" s="27" t="n">
        <f aca="false">IF(COUNT(Soja!$E76:$Z76)=0,0,MAX(0,IF((R$6-$E$3)&lt;1,0,IFERROR(LOOKUP(2,1/(Soja!$E76:INDEX(Soja!$E76:$Z76,MIN(R$6-$E$3,22))&lt;&gt;""),Soja!$E76:INDEX(Soja!$E76:$Z76,MIN(R$6-$E$3,22))),0))-IF($G$2,0,IF((R$6-$G$3)&lt;1,0,IFERROR(LOOKUP(2,1/(Soja!$E76:INDEX(Soja!$E76:$Z76,MIN(R$6-$G$3,22))&lt;&gt;""),Soja!$E76:INDEX(Soja!$E76:$Z76,MIN(R$6-$G$3,22))),0)))))</f>
        <v>0</v>
      </c>
      <c r="S78" s="27" t="n">
        <f aca="false">IF(COUNT(Soja!$E76:$Z76)=0,0,MAX(0,IF((S$6-$E$3)&lt;1,0,IFERROR(LOOKUP(2,1/(Soja!$E76:INDEX(Soja!$E76:$Z76,MIN(S$6-$E$3,22))&lt;&gt;""),Soja!$E76:INDEX(Soja!$E76:$Z76,MIN(S$6-$E$3,22))),0))-IF($G$2,0,IF((S$6-$G$3)&lt;1,0,IFERROR(LOOKUP(2,1/(Soja!$E76:INDEX(Soja!$E76:$Z76,MIN(S$6-$G$3,22))&lt;&gt;""),Soja!$E76:INDEX(Soja!$E76:$Z76,MIN(S$6-$G$3,22))),0)))))</f>
        <v>0</v>
      </c>
      <c r="T78" s="27" t="n">
        <f aca="false">IF(COUNT(Soja!$E76:$Z76)=0,0,MAX(0,IF((T$6-$E$3)&lt;1,0,IFERROR(LOOKUP(2,1/(Soja!$E76:INDEX(Soja!$E76:$Z76,MIN(T$6-$E$3,22))&lt;&gt;""),Soja!$E76:INDEX(Soja!$E76:$Z76,MIN(T$6-$E$3,22))),0))-IF($G$2,0,IF((T$6-$G$3)&lt;1,0,IFERROR(LOOKUP(2,1/(Soja!$E76:INDEX(Soja!$E76:$Z76,MIN(T$6-$G$3,22))&lt;&gt;""),Soja!$E76:INDEX(Soja!$E76:$Z76,MIN(T$6-$G$3,22))),0)))))</f>
        <v>0</v>
      </c>
      <c r="U78" s="27" t="n">
        <f aca="false">IF(COUNT(Soja!$E76:$Z76)=0,0,MAX(0,IF((U$6-$E$3)&lt;1,0,IFERROR(LOOKUP(2,1/(Soja!$E76:INDEX(Soja!$E76:$Z76,MIN(U$6-$E$3,22))&lt;&gt;""),Soja!$E76:INDEX(Soja!$E76:$Z76,MIN(U$6-$E$3,22))),0))-IF($G$2,0,IF((U$6-$G$3)&lt;1,0,IFERROR(LOOKUP(2,1/(Soja!$E76:INDEX(Soja!$E76:$Z76,MIN(U$6-$G$3,22))&lt;&gt;""),Soja!$E76:INDEX(Soja!$E76:$Z76,MIN(U$6-$G$3,22))),0)))))</f>
        <v>0</v>
      </c>
      <c r="V78" s="27" t="n">
        <f aca="false">IF(COUNT(Soja!$E76:$Z76)=0,0,MAX(0,IF((V$6-$E$3)&lt;1,0,IFERROR(LOOKUP(2,1/(Soja!$E76:INDEX(Soja!$E76:$Z76,MIN(V$6-$E$3,22))&lt;&gt;""),Soja!$E76:INDEX(Soja!$E76:$Z76,MIN(V$6-$E$3,22))),0))-IF($G$2,0,IF((V$6-$G$3)&lt;1,0,IFERROR(LOOKUP(2,1/(Soja!$E76:INDEX(Soja!$E76:$Z76,MIN(V$6-$G$3,22))&lt;&gt;""),Soja!$E76:INDEX(Soja!$E76:$Z76,MIN(V$6-$G$3,22))),0)))))</f>
        <v>0</v>
      </c>
      <c r="W78" s="27" t="n">
        <f aca="false">IF(COUNT(Soja!$E76:$Z76)=0,0,MAX(0,IF((W$6-$E$3)&lt;1,0,IFERROR(LOOKUP(2,1/(Soja!$E76:INDEX(Soja!$E76:$Z76,MIN(W$6-$E$3,22))&lt;&gt;""),Soja!$E76:INDEX(Soja!$E76:$Z76,MIN(W$6-$E$3,22))),0))-IF($G$2,0,IF((W$6-$G$3)&lt;1,0,IFERROR(LOOKUP(2,1/(Soja!$E76:INDEX(Soja!$E76:$Z76,MIN(W$6-$G$3,22))&lt;&gt;""),Soja!$E76:INDEX(Soja!$E76:$Z76,MIN(W$6-$G$3,22))),0)))))</f>
        <v>0</v>
      </c>
      <c r="X78" s="27" t="n">
        <f aca="false">IF(COUNT(Soja!$E76:$Z76)=0,0,MAX(0,IF((X$6-$E$3)&lt;1,0,IFERROR(LOOKUP(2,1/(Soja!$E76:INDEX(Soja!$E76:$Z76,MIN(X$6-$E$3,22))&lt;&gt;""),Soja!$E76:INDEX(Soja!$E76:$Z76,MIN(X$6-$E$3,22))),0))-IF($G$2,0,IF((X$6-$G$3)&lt;1,0,IFERROR(LOOKUP(2,1/(Soja!$E76:INDEX(Soja!$E76:$Z76,MIN(X$6-$G$3,22))&lt;&gt;""),Soja!$E76:INDEX(Soja!$E76:$Z76,MIN(X$6-$G$3,22))),0)))))</f>
        <v>0</v>
      </c>
      <c r="Y78" s="27" t="n">
        <f aca="false">IF(COUNT(Soja!$E76:$Z76)=0,0,MAX(0,IF((Y$6-$E$3)&lt;1,0,IFERROR(LOOKUP(2,1/(Soja!$E76:INDEX(Soja!$E76:$Z76,MIN(Y$6-$E$3,22))&lt;&gt;""),Soja!$E76:INDEX(Soja!$E76:$Z76,MIN(Y$6-$E$3,22))),0))-IF($G$2,0,IF((Y$6-$G$3)&lt;1,0,IFERROR(LOOKUP(2,1/(Soja!$E76:INDEX(Soja!$E76:$Z76,MIN(Y$6-$G$3,22))&lt;&gt;""),Soja!$E76:INDEX(Soja!$E76:$Z76,MIN(Y$6-$G$3,22))),0)))))</f>
        <v>0</v>
      </c>
      <c r="Z78" s="27" t="n">
        <f aca="false">IF(COUNT(Soja!$E76:$Z76)=0,0,MAX(0,IF((Z$6-$E$3)&lt;1,0,IFERROR(LOOKUP(2,1/(Soja!$E76:INDEX(Soja!$E76:$Z76,MIN(Z$6-$E$3,22))&lt;&gt;""),Soja!$E76:INDEX(Soja!$E76:$Z76,MIN(Z$6-$E$3,22))),0))-IF($G$2,0,IF((Z$6-$G$3)&lt;1,0,IFERROR(LOOKUP(2,1/(Soja!$E76:INDEX(Soja!$E76:$Z76,MIN(Z$6-$G$3,22))&lt;&gt;""),Soja!$E76:INDEX(Soja!$E76:$Z76,MIN(Z$6-$G$3,22))),0)))))</f>
        <v>0</v>
      </c>
      <c r="AA78" s="27" t="n">
        <f aca="false">IF(COUNT(Soja!$E76:$Z76)=0,0,MAX(0,IF((AA$6-$E$3)&lt;1,0,IFERROR(LOOKUP(2,1/(Soja!$E76:INDEX(Soja!$E76:$Z76,MIN(AA$6-$E$3,22))&lt;&gt;""),Soja!$E76:INDEX(Soja!$E76:$Z76,MIN(AA$6-$E$3,22))),0))-IF($G$2,0,IF((AA$6-$G$3)&lt;1,0,IFERROR(LOOKUP(2,1/(Soja!$E76:INDEX(Soja!$E76:$Z76,MIN(AA$6-$G$3,22))&lt;&gt;""),Soja!$E76:INDEX(Soja!$E76:$Z76,MIN(AA$6-$G$3,22))),0)))))</f>
        <v>0</v>
      </c>
      <c r="AB78" s="27" t="n">
        <f aca="false">IF(COUNT(Soja!$E76:$Z76)=0,0,MAX(0,IF((AB$6-$E$3)&lt;1,0,IFERROR(LOOKUP(2,1/(Soja!$E76:INDEX(Soja!$E76:$Z76,MIN(AB$6-$E$3,22))&lt;&gt;""),Soja!$E76:INDEX(Soja!$E76:$Z76,MIN(AB$6-$E$3,22))),0))-IF($G$2,0,IF((AB$6-$G$3)&lt;1,0,IFERROR(LOOKUP(2,1/(Soja!$E76:INDEX(Soja!$E76:$Z76,MIN(AB$6-$G$3,22))&lt;&gt;""),Soja!$E76:INDEX(Soja!$E76:$Z76,MIN(AB$6-$G$3,22))),0)))))</f>
        <v>0</v>
      </c>
      <c r="AC78" s="27" t="n">
        <f aca="false">IF(COUNT(Soja!$E76:$Z76)=0,0,MAX(0,IF((AC$6-$E$3)&lt;1,0,IFERROR(LOOKUP(2,1/(Soja!$E76:INDEX(Soja!$E76:$Z76,MIN(AC$6-$E$3,22))&lt;&gt;""),Soja!$E76:INDEX(Soja!$E76:$Z76,MIN(AC$6-$E$3,22))),0))-IF($G$2,0,IF((AC$6-$G$3)&lt;1,0,IFERROR(LOOKUP(2,1/(Soja!$E76:INDEX(Soja!$E76:$Z76,MIN(AC$6-$G$3,22))&lt;&gt;""),Soja!$E76:INDEX(Soja!$E76:$Z76,MIN(AC$6-$G$3,22))),0)))))</f>
        <v>0</v>
      </c>
      <c r="AD78" s="27" t="n">
        <f aca="false">IF(COUNT(Soja!$E76:$Z76)=0,0,MAX(0,IF((AD$6-$E$3)&lt;1,0,IFERROR(LOOKUP(2,1/(Soja!$E76:INDEX(Soja!$E76:$Z76,MIN(AD$6-$E$3,22))&lt;&gt;""),Soja!$E76:INDEX(Soja!$E76:$Z76,MIN(AD$6-$E$3,22))),0))-IF($G$2,0,IF((AD$6-$G$3)&lt;1,0,IFERROR(LOOKUP(2,1/(Soja!$E76:INDEX(Soja!$E76:$Z76,MIN(AD$6-$G$3,22))&lt;&gt;""),Soja!$E76:INDEX(Soja!$E76:$Z76,MIN(AD$6-$G$3,22))),0)))))</f>
        <v>0</v>
      </c>
      <c r="AE78" s="27" t="n">
        <f aca="false">IF(COUNT(Soja!$E76:$Z76)=0,0,MAX(0,IF((AE$6-$E$3)&lt;1,0,IFERROR(LOOKUP(2,1/(Soja!$E76:INDEX(Soja!$E76:$Z76,MIN(AE$6-$E$3,22))&lt;&gt;""),Soja!$E76:INDEX(Soja!$E76:$Z76,MIN(AE$6-$E$3,22))),0))-IF($G$2,0,IF((AE$6-$G$3)&lt;1,0,IFERROR(LOOKUP(2,1/(Soja!$E76:INDEX(Soja!$E76:$Z76,MIN(AE$6-$G$3,22))&lt;&gt;""),Soja!$E76:INDEX(Soja!$E76:$Z76,MIN(AE$6-$G$3,22))),0)))))</f>
        <v>0</v>
      </c>
      <c r="AF78" s="27" t="n">
        <f aca="false">IF(COUNT(Soja!$E76:$Z76)=0,0,MAX(0,IF((AF$6-$E$3)&lt;1,0,IFERROR(LOOKUP(2,1/(Soja!$E76:INDEX(Soja!$E76:$Z76,MIN(AF$6-$E$3,22))&lt;&gt;""),Soja!$E76:INDEX(Soja!$E76:$Z76,MIN(AF$6-$E$3,22))),0))-IF($G$2,0,IF((AF$6-$G$3)&lt;1,0,IFERROR(LOOKUP(2,1/(Soja!$E76:INDEX(Soja!$E76:$Z76,MIN(AF$6-$G$3,22))&lt;&gt;""),Soja!$E76:INDEX(Soja!$E76:$Z76,MIN(AF$6-$G$3,22))),0)))))</f>
        <v>0</v>
      </c>
      <c r="AG78" s="27" t="n">
        <f aca="false">IF(COUNT(Soja!$E76:$Z76)=0,0,MAX(0,IF((AG$6-$E$3)&lt;1,0,IFERROR(LOOKUP(2,1/(Soja!$E76:INDEX(Soja!$E76:$Z76,MIN(AG$6-$E$3,22))&lt;&gt;""),Soja!$E76:INDEX(Soja!$E76:$Z76,MIN(AG$6-$E$3,22))),0))-IF($G$2,0,IF((AG$6-$G$3)&lt;1,0,IFERROR(LOOKUP(2,1/(Soja!$E76:INDEX(Soja!$E76:$Z76,MIN(AG$6-$G$3,22))&lt;&gt;""),Soja!$E76:INDEX(Soja!$E76:$Z76,MIN(AG$6-$G$3,22))),0)))))</f>
        <v>0</v>
      </c>
      <c r="AH78" s="27" t="n">
        <f aca="false">IF(COUNT(Soja!$E76:$Z76)=0,0,MAX(0,IF((AH$6-$E$3)&lt;1,0,IFERROR(LOOKUP(2,1/(Soja!$E76:INDEX(Soja!$E76:$Z76,MIN(AH$6-$E$3,22))&lt;&gt;""),Soja!$E76:INDEX(Soja!$E76:$Z76,MIN(AH$6-$E$3,22))),0))-IF($G$2,0,IF((AH$6-$G$3)&lt;1,0,IFERROR(LOOKUP(2,1/(Soja!$E76:INDEX(Soja!$E76:$Z76,MIN(AH$6-$G$3,22))&lt;&gt;""),Soja!$E76:INDEX(Soja!$E76:$Z76,MIN(AH$6-$G$3,22))),0)))))</f>
        <v>0</v>
      </c>
      <c r="AI78" s="27" t="n">
        <f aca="false">IF(COUNT(Soja!$E76:$Z76)=0,0,MAX(0,IF((AI$6-$E$3)&lt;1,0,IFERROR(LOOKUP(2,1/(Soja!$E76:INDEX(Soja!$E76:$Z76,MIN(AI$6-$E$3,22))&lt;&gt;""),Soja!$E76:INDEX(Soja!$E76:$Z76,MIN(AI$6-$E$3,22))),0))-IF($G$2,0,IF((AI$6-$G$3)&lt;1,0,IFERROR(LOOKUP(2,1/(Soja!$E76:INDEX(Soja!$E76:$Z76,MIN(AI$6-$G$3,22))&lt;&gt;""),Soja!$E76:INDEX(Soja!$E76:$Z76,MIN(AI$6-$G$3,22))),0)))))</f>
        <v>0</v>
      </c>
      <c r="AJ78" s="27" t="n">
        <f aca="false">IF(COUNT(Soja!$E76:$Z76)=0,0,MAX(0,IF((AJ$6-$E$3)&lt;1,0,IFERROR(LOOKUP(2,1/(Soja!$E76:INDEX(Soja!$E76:$Z76,MIN(AJ$6-$E$3,22))&lt;&gt;""),Soja!$E76:INDEX(Soja!$E76:$Z76,MIN(AJ$6-$E$3,22))),0))-IF($G$2,0,IF((AJ$6-$G$3)&lt;1,0,IFERROR(LOOKUP(2,1/(Soja!$E76:INDEX(Soja!$E76:$Z76,MIN(AJ$6-$G$3,22))&lt;&gt;""),Soja!$E76:INDEX(Soja!$E76:$Z76,MIN(AJ$6-$G$3,22))),0)))))</f>
        <v>0</v>
      </c>
      <c r="AK78" s="27" t="n">
        <f aca="false">IF(COUNT(Soja!$E76:$Z76)=0,0,MAX(0,IF((AK$6-$E$3)&lt;1,0,IFERROR(LOOKUP(2,1/(Soja!$E76:INDEX(Soja!$E76:$Z76,MIN(AK$6-$E$3,22))&lt;&gt;""),Soja!$E76:INDEX(Soja!$E76:$Z76,MIN(AK$6-$E$3,22))),0))-IF($G$2,0,IF((AK$6-$G$3)&lt;1,0,IFERROR(LOOKUP(2,1/(Soja!$E76:INDEX(Soja!$E76:$Z76,MIN(AK$6-$G$3,22))&lt;&gt;""),Soja!$E76:INDEX(Soja!$E76:$Z76,MIN(AK$6-$G$3,22))),0)))))</f>
        <v>0</v>
      </c>
      <c r="AL78" s="27" t="n">
        <f aca="false">IF(COUNT(Soja!$E76:$Z76)=0,0,MAX(0,IF((AL$6-$E$3)&lt;1,0,IFERROR(LOOKUP(2,1/(Soja!$E76:INDEX(Soja!$E76:$Z76,MIN(AL$6-$E$3,22))&lt;&gt;""),Soja!$E76:INDEX(Soja!$E76:$Z76,MIN(AL$6-$E$3,22))),0))-IF($G$2,0,IF((AL$6-$G$3)&lt;1,0,IFERROR(LOOKUP(2,1/(Soja!$E76:INDEX(Soja!$E76:$Z76,MIN(AL$6-$G$3,22))&lt;&gt;""),Soja!$E76:INDEX(Soja!$E76:$Z76,MIN(AL$6-$G$3,22))),0)))))</f>
        <v>0</v>
      </c>
      <c r="AM78" s="27" t="n">
        <f aca="false">IF(COUNT(Soja!$E76:$Z76)=0,0,MAX(0,IF((AM$6-$E$3)&lt;1,0,IFERROR(LOOKUP(2,1/(Soja!$E76:INDEX(Soja!$E76:$Z76,MIN(AM$6-$E$3,22))&lt;&gt;""),Soja!$E76:INDEX(Soja!$E76:$Z76,MIN(AM$6-$E$3,22))),0))-IF($G$2,0,IF((AM$6-$G$3)&lt;1,0,IFERROR(LOOKUP(2,1/(Soja!$E76:INDEX(Soja!$E76:$Z76,MIN(AM$6-$G$3,22))&lt;&gt;""),Soja!$E76:INDEX(Soja!$E76:$Z76,MIN(AM$6-$G$3,22))),0)))))</f>
        <v>0</v>
      </c>
      <c r="AN78" s="27" t="n">
        <f aca="false">IF(COUNT(Soja!$E76:$Z76)=0,0,MAX(0,IF((AN$6-$E$3)&lt;1,0,IFERROR(LOOKUP(2,1/(Soja!$E76:INDEX(Soja!$E76:$Z76,MIN(AN$6-$E$3,22))&lt;&gt;""),Soja!$E76:INDEX(Soja!$E76:$Z76,MIN(AN$6-$E$3,22))),0))-IF($G$2,0,IF((AN$6-$G$3)&lt;1,0,IFERROR(LOOKUP(2,1/(Soja!$E76:INDEX(Soja!$E76:$Z76,MIN(AN$6-$G$3,22))&lt;&gt;""),Soja!$E76:INDEX(Soja!$E76:$Z76,MIN(AN$6-$G$3,22))),0)))))</f>
        <v>0</v>
      </c>
      <c r="AO78" s="27" t="n">
        <f aca="false">IF(COUNT(Soja!$E76:$Z76)=0,0,MAX(0,IF((AO$6-$E$3)&lt;1,0,IFERROR(LOOKUP(2,1/(Soja!$E76:INDEX(Soja!$E76:$Z76,MIN(AO$6-$E$3,22))&lt;&gt;""),Soja!$E76:INDEX(Soja!$E76:$Z76,MIN(AO$6-$E$3,22))),0))-IF($G$2,0,IF((AO$6-$G$3)&lt;1,0,IFERROR(LOOKUP(2,1/(Soja!$E76:INDEX(Soja!$E76:$Z76,MIN(AO$6-$G$3,22))&lt;&gt;""),Soja!$E76:INDEX(Soja!$E76:$Z76,MIN(AO$6-$G$3,22))),0)))))</f>
        <v>0</v>
      </c>
      <c r="AP78" s="27" t="n">
        <f aca="false">IF(COUNT(Soja!$E76:$Z76)=0,0,MAX(0,IF((AP$6-$E$3)&lt;1,0,IFERROR(LOOKUP(2,1/(Soja!$E76:INDEX(Soja!$E76:$Z76,MIN(AP$6-$E$3,22))&lt;&gt;""),Soja!$E76:INDEX(Soja!$E76:$Z76,MIN(AP$6-$E$3,22))),0))-IF($G$2,0,IF((AP$6-$G$3)&lt;1,0,IFERROR(LOOKUP(2,1/(Soja!$E76:INDEX(Soja!$E76:$Z76,MIN(AP$6-$G$3,22))&lt;&gt;""),Soja!$E76:INDEX(Soja!$E76:$Z76,MIN(AP$6-$G$3,22))),0)))))</f>
        <v>0</v>
      </c>
      <c r="AQ78" s="27" t="n">
        <f aca="false">IF(COUNT(Soja!$E76:$Z76)=0,0,MAX(0,IF((AQ$6-$E$3)&lt;1,0,IFERROR(LOOKUP(2,1/(Soja!$E76:INDEX(Soja!$E76:$Z76,MIN(AQ$6-$E$3,22))&lt;&gt;""),Soja!$E76:INDEX(Soja!$E76:$Z76,MIN(AQ$6-$E$3,22))),0))-IF($G$2,0,IF((AQ$6-$G$3)&lt;1,0,IFERROR(LOOKUP(2,1/(Soja!$E76:INDEX(Soja!$E76:$Z76,MIN(AQ$6-$G$3,22))&lt;&gt;""),Soja!$E76:INDEX(Soja!$E76:$Z76,MIN(AQ$6-$G$3,22))),0)))))</f>
        <v>0</v>
      </c>
      <c r="AR78" s="27" t="n">
        <f aca="false">IF(COUNT(Soja!$E76:$Z76)=0,0,MAX(0,IF((AR$6-$E$3)&lt;1,0,IFERROR(LOOKUP(2,1/(Soja!$E76:INDEX(Soja!$E76:$Z76,MIN(AR$6-$E$3,22))&lt;&gt;""),Soja!$E76:INDEX(Soja!$E76:$Z76,MIN(AR$6-$E$3,22))),0))-IF($G$2,0,IF((AR$6-$G$3)&lt;1,0,IFERROR(LOOKUP(2,1/(Soja!$E76:INDEX(Soja!$E76:$Z76,MIN(AR$6-$G$3,22))&lt;&gt;""),Soja!$E76:INDEX(Soja!$E76:$Z76,MIN(AR$6-$G$3,22))),0)))))</f>
        <v>0</v>
      </c>
      <c r="AS78" s="27" t="n">
        <f aca="false">IF(COUNT(Soja!$E76:$Z76)=0,0,MAX(0,IF((AS$6-$E$3)&lt;1,0,IFERROR(LOOKUP(2,1/(Soja!$E76:INDEX(Soja!$E76:$Z76,MIN(AS$6-$E$3,22))&lt;&gt;""),Soja!$E76:INDEX(Soja!$E76:$Z76,MIN(AS$6-$E$3,22))),0))-IF($G$2,0,IF((AS$6-$G$3)&lt;1,0,IFERROR(LOOKUP(2,1/(Soja!$E76:INDEX(Soja!$E76:$Z76,MIN(AS$6-$G$3,22))&lt;&gt;""),Soja!$E76:INDEX(Soja!$E76:$Z76,MIN(AS$6-$G$3,22))),0)))))</f>
        <v>0</v>
      </c>
      <c r="AT78" s="27" t="n">
        <f aca="false">IF(COUNT(Soja!$E76:$Z76)=0,0,MAX(0,IF((AT$6-$E$3)&lt;1,0,IFERROR(LOOKUP(2,1/(Soja!$E76:INDEX(Soja!$E76:$Z76,MIN(AT$6-$E$3,22))&lt;&gt;""),Soja!$E76:INDEX(Soja!$E76:$Z76,MIN(AT$6-$E$3,22))),0))-IF($G$2,0,IF((AT$6-$G$3)&lt;1,0,IFERROR(LOOKUP(2,1/(Soja!$E76:INDEX(Soja!$E76:$Z76,MIN(AT$6-$G$3,22))&lt;&gt;""),Soja!$E76:INDEX(Soja!$E76:$Z76,MIN(AT$6-$G$3,22))),0)))))</f>
        <v>0</v>
      </c>
      <c r="AU78" s="27" t="n">
        <f aca="false">IF(COUNT(Soja!$E76:$Z76)=0,0,MAX(0,IF((AU$6-$E$3)&lt;1,0,IFERROR(LOOKUP(2,1/(Soja!$E76:INDEX(Soja!$E76:$Z76,MIN(AU$6-$E$3,22))&lt;&gt;""),Soja!$E76:INDEX(Soja!$E76:$Z76,MIN(AU$6-$E$3,22))),0))-IF($G$2,0,IF((AU$6-$G$3)&lt;1,0,IFERROR(LOOKUP(2,1/(Soja!$E76:INDEX(Soja!$E76:$Z76,MIN(AU$6-$G$3,22))&lt;&gt;""),Soja!$E76:INDEX(Soja!$E76:$Z76,MIN(AU$6-$G$3,22))),0)))))</f>
        <v>0</v>
      </c>
      <c r="AV78" s="27" t="n">
        <f aca="false">IF(COUNT(Soja!$E76:$Z76)=0,0,MAX(0,IF((AV$6-$E$3)&lt;1,0,IFERROR(LOOKUP(2,1/(Soja!$E76:INDEX(Soja!$E76:$Z76,MIN(AV$6-$E$3,22))&lt;&gt;""),Soja!$E76:INDEX(Soja!$E76:$Z76,MIN(AV$6-$E$3,22))),0))-IF($G$2,0,IF((AV$6-$G$3)&lt;1,0,IFERROR(LOOKUP(2,1/(Soja!$E76:INDEX(Soja!$E76:$Z76,MIN(AV$6-$G$3,22))&lt;&gt;""),Soja!$E76:INDEX(Soja!$E76:$Z76,MIN(AV$6-$G$3,22))),0)))))</f>
        <v>0</v>
      </c>
      <c r="AW78" s="27" t="n">
        <f aca="false">IF(COUNT(Soja!$E76:$Z76)=0,0,MAX(0,IF((AW$6-$E$3)&lt;1,0,IFERROR(LOOKUP(2,1/(Soja!$E76:INDEX(Soja!$E76:$Z76,MIN(AW$6-$E$3,22))&lt;&gt;""),Soja!$E76:INDEX(Soja!$E76:$Z76,MIN(AW$6-$E$3,22))),0))-IF($G$2,0,IF((AW$6-$G$3)&lt;1,0,IFERROR(LOOKUP(2,1/(Soja!$E76:INDEX(Soja!$E76:$Z76,MIN(AW$6-$G$3,22))&lt;&gt;""),Soja!$E76:INDEX(Soja!$E76:$Z76,MIN(AW$6-$G$3,22))),0)))))</f>
        <v>0</v>
      </c>
      <c r="AX78" s="27" t="n">
        <f aca="false">IF(COUNT(Soja!$E76:$Z76)=0,0,MAX(0,IF((AX$6-$E$3)&lt;1,0,IFERROR(LOOKUP(2,1/(Soja!$E76:INDEX(Soja!$E76:$Z76,MIN(AX$6-$E$3,22))&lt;&gt;""),Soja!$E76:INDEX(Soja!$E76:$Z76,MIN(AX$6-$E$3,22))),0))-IF($G$2,0,IF((AX$6-$G$3)&lt;1,0,IFERROR(LOOKUP(2,1/(Soja!$E76:INDEX(Soja!$E76:$Z76,MIN(AX$6-$G$3,22))&lt;&gt;""),Soja!$E76:INDEX(Soja!$E76:$Z76,MIN(AX$6-$G$3,22))),0)))))</f>
        <v>0</v>
      </c>
      <c r="AY78" s="27" t="n">
        <f aca="false">IF(COUNT(Soja!$E76:$Z76)=0,0,MAX(0,IF((AY$6-$E$3)&lt;1,0,IFERROR(LOOKUP(2,1/(Soja!$E76:INDEX(Soja!$E76:$Z76,MIN(AY$6-$E$3,22))&lt;&gt;""),Soja!$E76:INDEX(Soja!$E76:$Z76,MIN(AY$6-$E$3,22))),0))-IF($G$2,0,IF((AY$6-$G$3)&lt;1,0,IFERROR(LOOKUP(2,1/(Soja!$E76:INDEX(Soja!$E76:$Z76,MIN(AY$6-$G$3,22))&lt;&gt;""),Soja!$E76:INDEX(Soja!$E76:$Z76,MIN(AY$6-$G$3,22))),0)))))</f>
        <v>0</v>
      </c>
      <c r="AZ78" s="27" t="n">
        <f aca="false">IF(COUNT(Soja!$E76:$Z76)=0,0,MAX(0,IF((AZ$6-$E$3)&lt;1,0,IFERROR(LOOKUP(2,1/(Soja!$E76:INDEX(Soja!$E76:$Z76,MIN(AZ$6-$E$3,22))&lt;&gt;""),Soja!$E76:INDEX(Soja!$E76:$Z76,MIN(AZ$6-$E$3,22))),0))-IF($G$2,0,IF((AZ$6-$G$3)&lt;1,0,IFERROR(LOOKUP(2,1/(Soja!$E76:INDEX(Soja!$E76:$Z76,MIN(AZ$6-$G$3,22))&lt;&gt;""),Soja!$E76:INDEX(Soja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IF(COUNT(Soja!$E77:$Z77)&gt;0,N(Soja!$D77),0)</f>
        <v>0</v>
      </c>
      <c r="E79" s="27" t="n">
        <f aca="false">IF(COUNT(Soja!$E77:$Z77)=0,0,MAX(0,IF((E$6-$E$3)&lt;1,0,IFERROR(LOOKUP(2,1/(Soja!$E77:INDEX(Soja!$E77:$Z77,MIN(E$6-$E$3,22))&lt;&gt;""),Soja!$E77:INDEX(Soja!$E77:$Z77,MIN(E$6-$E$3,22))),0))-IF($G$2,0,IF((E$6-$G$3)&lt;1,0,IFERROR(LOOKUP(2,1/(Soja!$E77:INDEX(Soja!$E77:$Z77,MIN(E$6-$G$3,22))&lt;&gt;""),Soja!$E77:INDEX(Soja!$E77:$Z77,MIN(E$6-$G$3,22))),0)))))</f>
        <v>0</v>
      </c>
      <c r="F79" s="27" t="n">
        <f aca="false">IF(COUNT(Soja!$E77:$Z77)=0,0,MAX(0,IF((F$6-$E$3)&lt;1,0,IFERROR(LOOKUP(2,1/(Soja!$E77:INDEX(Soja!$E77:$Z77,MIN(F$6-$E$3,22))&lt;&gt;""),Soja!$E77:INDEX(Soja!$E77:$Z77,MIN(F$6-$E$3,22))),0))-IF($G$2,0,IF((F$6-$G$3)&lt;1,0,IFERROR(LOOKUP(2,1/(Soja!$E77:INDEX(Soja!$E77:$Z77,MIN(F$6-$G$3,22))&lt;&gt;""),Soja!$E77:INDEX(Soja!$E77:$Z77,MIN(F$6-$G$3,22))),0)))))</f>
        <v>0</v>
      </c>
      <c r="G79" s="27" t="n">
        <f aca="false">IF(COUNT(Soja!$E77:$Z77)=0,0,MAX(0,IF((G$6-$E$3)&lt;1,0,IFERROR(LOOKUP(2,1/(Soja!$E77:INDEX(Soja!$E77:$Z77,MIN(G$6-$E$3,22))&lt;&gt;""),Soja!$E77:INDEX(Soja!$E77:$Z77,MIN(G$6-$E$3,22))),0))-IF($G$2,0,IF((G$6-$G$3)&lt;1,0,IFERROR(LOOKUP(2,1/(Soja!$E77:INDEX(Soja!$E77:$Z77,MIN(G$6-$G$3,22))&lt;&gt;""),Soja!$E77:INDEX(Soja!$E77:$Z77,MIN(G$6-$G$3,22))),0)))))</f>
        <v>0</v>
      </c>
      <c r="H79" s="27" t="n">
        <f aca="false">IF(COUNT(Soja!$E77:$Z77)=0,0,MAX(0,IF((H$6-$E$3)&lt;1,0,IFERROR(LOOKUP(2,1/(Soja!$E77:INDEX(Soja!$E77:$Z77,MIN(H$6-$E$3,22))&lt;&gt;""),Soja!$E77:INDEX(Soja!$E77:$Z77,MIN(H$6-$E$3,22))),0))-IF($G$2,0,IF((H$6-$G$3)&lt;1,0,IFERROR(LOOKUP(2,1/(Soja!$E77:INDEX(Soja!$E77:$Z77,MIN(H$6-$G$3,22))&lt;&gt;""),Soja!$E77:INDEX(Soja!$E77:$Z77,MIN(H$6-$G$3,22))),0)))))</f>
        <v>0</v>
      </c>
      <c r="I79" s="27" t="n">
        <f aca="false">IF(COUNT(Soja!$E77:$Z77)=0,0,MAX(0,IF((I$6-$E$3)&lt;1,0,IFERROR(LOOKUP(2,1/(Soja!$E77:INDEX(Soja!$E77:$Z77,MIN(I$6-$E$3,22))&lt;&gt;""),Soja!$E77:INDEX(Soja!$E77:$Z77,MIN(I$6-$E$3,22))),0))-IF($G$2,0,IF((I$6-$G$3)&lt;1,0,IFERROR(LOOKUP(2,1/(Soja!$E77:INDEX(Soja!$E77:$Z77,MIN(I$6-$G$3,22))&lt;&gt;""),Soja!$E77:INDEX(Soja!$E77:$Z77,MIN(I$6-$G$3,22))),0)))))</f>
        <v>0</v>
      </c>
      <c r="J79" s="27" t="n">
        <f aca="false">IF(COUNT(Soja!$E77:$Z77)=0,0,MAX(0,IF((J$6-$E$3)&lt;1,0,IFERROR(LOOKUP(2,1/(Soja!$E77:INDEX(Soja!$E77:$Z77,MIN(J$6-$E$3,22))&lt;&gt;""),Soja!$E77:INDEX(Soja!$E77:$Z77,MIN(J$6-$E$3,22))),0))-IF($G$2,0,IF((J$6-$G$3)&lt;1,0,IFERROR(LOOKUP(2,1/(Soja!$E77:INDEX(Soja!$E77:$Z77,MIN(J$6-$G$3,22))&lt;&gt;""),Soja!$E77:INDEX(Soja!$E77:$Z77,MIN(J$6-$G$3,22))),0)))))</f>
        <v>0</v>
      </c>
      <c r="K79" s="27" t="n">
        <f aca="false">IF(COUNT(Soja!$E77:$Z77)=0,0,MAX(0,IF((K$6-$E$3)&lt;1,0,IFERROR(LOOKUP(2,1/(Soja!$E77:INDEX(Soja!$E77:$Z77,MIN(K$6-$E$3,22))&lt;&gt;""),Soja!$E77:INDEX(Soja!$E77:$Z77,MIN(K$6-$E$3,22))),0))-IF($G$2,0,IF((K$6-$G$3)&lt;1,0,IFERROR(LOOKUP(2,1/(Soja!$E77:INDEX(Soja!$E77:$Z77,MIN(K$6-$G$3,22))&lt;&gt;""),Soja!$E77:INDEX(Soja!$E77:$Z77,MIN(K$6-$G$3,22))),0)))))</f>
        <v>0</v>
      </c>
      <c r="L79" s="27" t="n">
        <f aca="false">IF(COUNT(Soja!$E77:$Z77)=0,0,MAX(0,IF((L$6-$E$3)&lt;1,0,IFERROR(LOOKUP(2,1/(Soja!$E77:INDEX(Soja!$E77:$Z77,MIN(L$6-$E$3,22))&lt;&gt;""),Soja!$E77:INDEX(Soja!$E77:$Z77,MIN(L$6-$E$3,22))),0))-IF($G$2,0,IF((L$6-$G$3)&lt;1,0,IFERROR(LOOKUP(2,1/(Soja!$E77:INDEX(Soja!$E77:$Z77,MIN(L$6-$G$3,22))&lt;&gt;""),Soja!$E77:INDEX(Soja!$E77:$Z77,MIN(L$6-$G$3,22))),0)))))</f>
        <v>0</v>
      </c>
      <c r="M79" s="27" t="n">
        <f aca="false">IF(COUNT(Soja!$E77:$Z77)=0,0,MAX(0,IF((M$6-$E$3)&lt;1,0,IFERROR(LOOKUP(2,1/(Soja!$E77:INDEX(Soja!$E77:$Z77,MIN(M$6-$E$3,22))&lt;&gt;""),Soja!$E77:INDEX(Soja!$E77:$Z77,MIN(M$6-$E$3,22))),0))-IF($G$2,0,IF((M$6-$G$3)&lt;1,0,IFERROR(LOOKUP(2,1/(Soja!$E77:INDEX(Soja!$E77:$Z77,MIN(M$6-$G$3,22))&lt;&gt;""),Soja!$E77:INDEX(Soja!$E77:$Z77,MIN(M$6-$G$3,22))),0)))))</f>
        <v>0</v>
      </c>
      <c r="N79" s="27" t="n">
        <f aca="false">IF(COUNT(Soja!$E77:$Z77)=0,0,MAX(0,IF((N$6-$E$3)&lt;1,0,IFERROR(LOOKUP(2,1/(Soja!$E77:INDEX(Soja!$E77:$Z77,MIN(N$6-$E$3,22))&lt;&gt;""),Soja!$E77:INDEX(Soja!$E77:$Z77,MIN(N$6-$E$3,22))),0))-IF($G$2,0,IF((N$6-$G$3)&lt;1,0,IFERROR(LOOKUP(2,1/(Soja!$E77:INDEX(Soja!$E77:$Z77,MIN(N$6-$G$3,22))&lt;&gt;""),Soja!$E77:INDEX(Soja!$E77:$Z77,MIN(N$6-$G$3,22))),0)))))</f>
        <v>0</v>
      </c>
      <c r="O79" s="27" t="n">
        <f aca="false">IF(COUNT(Soja!$E77:$Z77)=0,0,MAX(0,IF((O$6-$E$3)&lt;1,0,IFERROR(LOOKUP(2,1/(Soja!$E77:INDEX(Soja!$E77:$Z77,MIN(O$6-$E$3,22))&lt;&gt;""),Soja!$E77:INDEX(Soja!$E77:$Z77,MIN(O$6-$E$3,22))),0))-IF($G$2,0,IF((O$6-$G$3)&lt;1,0,IFERROR(LOOKUP(2,1/(Soja!$E77:INDEX(Soja!$E77:$Z77,MIN(O$6-$G$3,22))&lt;&gt;""),Soja!$E77:INDEX(Soja!$E77:$Z77,MIN(O$6-$G$3,22))),0)))))</f>
        <v>0</v>
      </c>
      <c r="P79" s="27" t="n">
        <f aca="false">IF(COUNT(Soja!$E77:$Z77)=0,0,MAX(0,IF((P$6-$E$3)&lt;1,0,IFERROR(LOOKUP(2,1/(Soja!$E77:INDEX(Soja!$E77:$Z77,MIN(P$6-$E$3,22))&lt;&gt;""),Soja!$E77:INDEX(Soja!$E77:$Z77,MIN(P$6-$E$3,22))),0))-IF($G$2,0,IF((P$6-$G$3)&lt;1,0,IFERROR(LOOKUP(2,1/(Soja!$E77:INDEX(Soja!$E77:$Z77,MIN(P$6-$G$3,22))&lt;&gt;""),Soja!$E77:INDEX(Soja!$E77:$Z77,MIN(P$6-$G$3,22))),0)))))</f>
        <v>0</v>
      </c>
      <c r="Q79" s="27" t="n">
        <f aca="false">IF(COUNT(Soja!$E77:$Z77)=0,0,MAX(0,IF((Q$6-$E$3)&lt;1,0,IFERROR(LOOKUP(2,1/(Soja!$E77:INDEX(Soja!$E77:$Z77,MIN(Q$6-$E$3,22))&lt;&gt;""),Soja!$E77:INDEX(Soja!$E77:$Z77,MIN(Q$6-$E$3,22))),0))-IF($G$2,0,IF((Q$6-$G$3)&lt;1,0,IFERROR(LOOKUP(2,1/(Soja!$E77:INDEX(Soja!$E77:$Z77,MIN(Q$6-$G$3,22))&lt;&gt;""),Soja!$E77:INDEX(Soja!$E77:$Z77,MIN(Q$6-$G$3,22))),0)))))</f>
        <v>0</v>
      </c>
      <c r="R79" s="27" t="n">
        <f aca="false">IF(COUNT(Soja!$E77:$Z77)=0,0,MAX(0,IF((R$6-$E$3)&lt;1,0,IFERROR(LOOKUP(2,1/(Soja!$E77:INDEX(Soja!$E77:$Z77,MIN(R$6-$E$3,22))&lt;&gt;""),Soja!$E77:INDEX(Soja!$E77:$Z77,MIN(R$6-$E$3,22))),0))-IF($G$2,0,IF((R$6-$G$3)&lt;1,0,IFERROR(LOOKUP(2,1/(Soja!$E77:INDEX(Soja!$E77:$Z77,MIN(R$6-$G$3,22))&lt;&gt;""),Soja!$E77:INDEX(Soja!$E77:$Z77,MIN(R$6-$G$3,22))),0)))))</f>
        <v>0</v>
      </c>
      <c r="S79" s="27" t="n">
        <f aca="false">IF(COUNT(Soja!$E77:$Z77)=0,0,MAX(0,IF((S$6-$E$3)&lt;1,0,IFERROR(LOOKUP(2,1/(Soja!$E77:INDEX(Soja!$E77:$Z77,MIN(S$6-$E$3,22))&lt;&gt;""),Soja!$E77:INDEX(Soja!$E77:$Z77,MIN(S$6-$E$3,22))),0))-IF($G$2,0,IF((S$6-$G$3)&lt;1,0,IFERROR(LOOKUP(2,1/(Soja!$E77:INDEX(Soja!$E77:$Z77,MIN(S$6-$G$3,22))&lt;&gt;""),Soja!$E77:INDEX(Soja!$E77:$Z77,MIN(S$6-$G$3,22))),0)))))</f>
        <v>0</v>
      </c>
      <c r="T79" s="27" t="n">
        <f aca="false">IF(COUNT(Soja!$E77:$Z77)=0,0,MAX(0,IF((T$6-$E$3)&lt;1,0,IFERROR(LOOKUP(2,1/(Soja!$E77:INDEX(Soja!$E77:$Z77,MIN(T$6-$E$3,22))&lt;&gt;""),Soja!$E77:INDEX(Soja!$E77:$Z77,MIN(T$6-$E$3,22))),0))-IF($G$2,0,IF((T$6-$G$3)&lt;1,0,IFERROR(LOOKUP(2,1/(Soja!$E77:INDEX(Soja!$E77:$Z77,MIN(T$6-$G$3,22))&lt;&gt;""),Soja!$E77:INDEX(Soja!$E77:$Z77,MIN(T$6-$G$3,22))),0)))))</f>
        <v>0</v>
      </c>
      <c r="U79" s="27" t="n">
        <f aca="false">IF(COUNT(Soja!$E77:$Z77)=0,0,MAX(0,IF((U$6-$E$3)&lt;1,0,IFERROR(LOOKUP(2,1/(Soja!$E77:INDEX(Soja!$E77:$Z77,MIN(U$6-$E$3,22))&lt;&gt;""),Soja!$E77:INDEX(Soja!$E77:$Z77,MIN(U$6-$E$3,22))),0))-IF($G$2,0,IF((U$6-$G$3)&lt;1,0,IFERROR(LOOKUP(2,1/(Soja!$E77:INDEX(Soja!$E77:$Z77,MIN(U$6-$G$3,22))&lt;&gt;""),Soja!$E77:INDEX(Soja!$E77:$Z77,MIN(U$6-$G$3,22))),0)))))</f>
        <v>0</v>
      </c>
      <c r="V79" s="27" t="n">
        <f aca="false">IF(COUNT(Soja!$E77:$Z77)=0,0,MAX(0,IF((V$6-$E$3)&lt;1,0,IFERROR(LOOKUP(2,1/(Soja!$E77:INDEX(Soja!$E77:$Z77,MIN(V$6-$E$3,22))&lt;&gt;""),Soja!$E77:INDEX(Soja!$E77:$Z77,MIN(V$6-$E$3,22))),0))-IF($G$2,0,IF((V$6-$G$3)&lt;1,0,IFERROR(LOOKUP(2,1/(Soja!$E77:INDEX(Soja!$E77:$Z77,MIN(V$6-$G$3,22))&lt;&gt;""),Soja!$E77:INDEX(Soja!$E77:$Z77,MIN(V$6-$G$3,22))),0)))))</f>
        <v>0</v>
      </c>
      <c r="W79" s="27" t="n">
        <f aca="false">IF(COUNT(Soja!$E77:$Z77)=0,0,MAX(0,IF((W$6-$E$3)&lt;1,0,IFERROR(LOOKUP(2,1/(Soja!$E77:INDEX(Soja!$E77:$Z77,MIN(W$6-$E$3,22))&lt;&gt;""),Soja!$E77:INDEX(Soja!$E77:$Z77,MIN(W$6-$E$3,22))),0))-IF($G$2,0,IF((W$6-$G$3)&lt;1,0,IFERROR(LOOKUP(2,1/(Soja!$E77:INDEX(Soja!$E77:$Z77,MIN(W$6-$G$3,22))&lt;&gt;""),Soja!$E77:INDEX(Soja!$E77:$Z77,MIN(W$6-$G$3,22))),0)))))</f>
        <v>0</v>
      </c>
      <c r="X79" s="27" t="n">
        <f aca="false">IF(COUNT(Soja!$E77:$Z77)=0,0,MAX(0,IF((X$6-$E$3)&lt;1,0,IFERROR(LOOKUP(2,1/(Soja!$E77:INDEX(Soja!$E77:$Z77,MIN(X$6-$E$3,22))&lt;&gt;""),Soja!$E77:INDEX(Soja!$E77:$Z77,MIN(X$6-$E$3,22))),0))-IF($G$2,0,IF((X$6-$G$3)&lt;1,0,IFERROR(LOOKUP(2,1/(Soja!$E77:INDEX(Soja!$E77:$Z77,MIN(X$6-$G$3,22))&lt;&gt;""),Soja!$E77:INDEX(Soja!$E77:$Z77,MIN(X$6-$G$3,22))),0)))))</f>
        <v>0</v>
      </c>
      <c r="Y79" s="27" t="n">
        <f aca="false">IF(COUNT(Soja!$E77:$Z77)=0,0,MAX(0,IF((Y$6-$E$3)&lt;1,0,IFERROR(LOOKUP(2,1/(Soja!$E77:INDEX(Soja!$E77:$Z77,MIN(Y$6-$E$3,22))&lt;&gt;""),Soja!$E77:INDEX(Soja!$E77:$Z77,MIN(Y$6-$E$3,22))),0))-IF($G$2,0,IF((Y$6-$G$3)&lt;1,0,IFERROR(LOOKUP(2,1/(Soja!$E77:INDEX(Soja!$E77:$Z77,MIN(Y$6-$G$3,22))&lt;&gt;""),Soja!$E77:INDEX(Soja!$E77:$Z77,MIN(Y$6-$G$3,22))),0)))))</f>
        <v>0</v>
      </c>
      <c r="Z79" s="27" t="n">
        <f aca="false">IF(COUNT(Soja!$E77:$Z77)=0,0,MAX(0,IF((Z$6-$E$3)&lt;1,0,IFERROR(LOOKUP(2,1/(Soja!$E77:INDEX(Soja!$E77:$Z77,MIN(Z$6-$E$3,22))&lt;&gt;""),Soja!$E77:INDEX(Soja!$E77:$Z77,MIN(Z$6-$E$3,22))),0))-IF($G$2,0,IF((Z$6-$G$3)&lt;1,0,IFERROR(LOOKUP(2,1/(Soja!$E77:INDEX(Soja!$E77:$Z77,MIN(Z$6-$G$3,22))&lt;&gt;""),Soja!$E77:INDEX(Soja!$E77:$Z77,MIN(Z$6-$G$3,22))),0)))))</f>
        <v>0</v>
      </c>
      <c r="AA79" s="27" t="n">
        <f aca="false">IF(COUNT(Soja!$E77:$Z77)=0,0,MAX(0,IF((AA$6-$E$3)&lt;1,0,IFERROR(LOOKUP(2,1/(Soja!$E77:INDEX(Soja!$E77:$Z77,MIN(AA$6-$E$3,22))&lt;&gt;""),Soja!$E77:INDEX(Soja!$E77:$Z77,MIN(AA$6-$E$3,22))),0))-IF($G$2,0,IF((AA$6-$G$3)&lt;1,0,IFERROR(LOOKUP(2,1/(Soja!$E77:INDEX(Soja!$E77:$Z77,MIN(AA$6-$G$3,22))&lt;&gt;""),Soja!$E77:INDEX(Soja!$E77:$Z77,MIN(AA$6-$G$3,22))),0)))))</f>
        <v>0</v>
      </c>
      <c r="AB79" s="27" t="n">
        <f aca="false">IF(COUNT(Soja!$E77:$Z77)=0,0,MAX(0,IF((AB$6-$E$3)&lt;1,0,IFERROR(LOOKUP(2,1/(Soja!$E77:INDEX(Soja!$E77:$Z77,MIN(AB$6-$E$3,22))&lt;&gt;""),Soja!$E77:INDEX(Soja!$E77:$Z77,MIN(AB$6-$E$3,22))),0))-IF($G$2,0,IF((AB$6-$G$3)&lt;1,0,IFERROR(LOOKUP(2,1/(Soja!$E77:INDEX(Soja!$E77:$Z77,MIN(AB$6-$G$3,22))&lt;&gt;""),Soja!$E77:INDEX(Soja!$E77:$Z77,MIN(AB$6-$G$3,22))),0)))))</f>
        <v>0</v>
      </c>
      <c r="AC79" s="27" t="n">
        <f aca="false">IF(COUNT(Soja!$E77:$Z77)=0,0,MAX(0,IF((AC$6-$E$3)&lt;1,0,IFERROR(LOOKUP(2,1/(Soja!$E77:INDEX(Soja!$E77:$Z77,MIN(AC$6-$E$3,22))&lt;&gt;""),Soja!$E77:INDEX(Soja!$E77:$Z77,MIN(AC$6-$E$3,22))),0))-IF($G$2,0,IF((AC$6-$G$3)&lt;1,0,IFERROR(LOOKUP(2,1/(Soja!$E77:INDEX(Soja!$E77:$Z77,MIN(AC$6-$G$3,22))&lt;&gt;""),Soja!$E77:INDEX(Soja!$E77:$Z77,MIN(AC$6-$G$3,22))),0)))))</f>
        <v>0</v>
      </c>
      <c r="AD79" s="27" t="n">
        <f aca="false">IF(COUNT(Soja!$E77:$Z77)=0,0,MAX(0,IF((AD$6-$E$3)&lt;1,0,IFERROR(LOOKUP(2,1/(Soja!$E77:INDEX(Soja!$E77:$Z77,MIN(AD$6-$E$3,22))&lt;&gt;""),Soja!$E77:INDEX(Soja!$E77:$Z77,MIN(AD$6-$E$3,22))),0))-IF($G$2,0,IF((AD$6-$G$3)&lt;1,0,IFERROR(LOOKUP(2,1/(Soja!$E77:INDEX(Soja!$E77:$Z77,MIN(AD$6-$G$3,22))&lt;&gt;""),Soja!$E77:INDEX(Soja!$E77:$Z77,MIN(AD$6-$G$3,22))),0)))))</f>
        <v>0</v>
      </c>
      <c r="AE79" s="27" t="n">
        <f aca="false">IF(COUNT(Soja!$E77:$Z77)=0,0,MAX(0,IF((AE$6-$E$3)&lt;1,0,IFERROR(LOOKUP(2,1/(Soja!$E77:INDEX(Soja!$E77:$Z77,MIN(AE$6-$E$3,22))&lt;&gt;""),Soja!$E77:INDEX(Soja!$E77:$Z77,MIN(AE$6-$E$3,22))),0))-IF($G$2,0,IF((AE$6-$G$3)&lt;1,0,IFERROR(LOOKUP(2,1/(Soja!$E77:INDEX(Soja!$E77:$Z77,MIN(AE$6-$G$3,22))&lt;&gt;""),Soja!$E77:INDEX(Soja!$E77:$Z77,MIN(AE$6-$G$3,22))),0)))))</f>
        <v>0</v>
      </c>
      <c r="AF79" s="27" t="n">
        <f aca="false">IF(COUNT(Soja!$E77:$Z77)=0,0,MAX(0,IF((AF$6-$E$3)&lt;1,0,IFERROR(LOOKUP(2,1/(Soja!$E77:INDEX(Soja!$E77:$Z77,MIN(AF$6-$E$3,22))&lt;&gt;""),Soja!$E77:INDEX(Soja!$E77:$Z77,MIN(AF$6-$E$3,22))),0))-IF($G$2,0,IF((AF$6-$G$3)&lt;1,0,IFERROR(LOOKUP(2,1/(Soja!$E77:INDEX(Soja!$E77:$Z77,MIN(AF$6-$G$3,22))&lt;&gt;""),Soja!$E77:INDEX(Soja!$E77:$Z77,MIN(AF$6-$G$3,22))),0)))))</f>
        <v>0</v>
      </c>
      <c r="AG79" s="27" t="n">
        <f aca="false">IF(COUNT(Soja!$E77:$Z77)=0,0,MAX(0,IF((AG$6-$E$3)&lt;1,0,IFERROR(LOOKUP(2,1/(Soja!$E77:INDEX(Soja!$E77:$Z77,MIN(AG$6-$E$3,22))&lt;&gt;""),Soja!$E77:INDEX(Soja!$E77:$Z77,MIN(AG$6-$E$3,22))),0))-IF($G$2,0,IF((AG$6-$G$3)&lt;1,0,IFERROR(LOOKUP(2,1/(Soja!$E77:INDEX(Soja!$E77:$Z77,MIN(AG$6-$G$3,22))&lt;&gt;""),Soja!$E77:INDEX(Soja!$E77:$Z77,MIN(AG$6-$G$3,22))),0)))))</f>
        <v>0</v>
      </c>
      <c r="AH79" s="27" t="n">
        <f aca="false">IF(COUNT(Soja!$E77:$Z77)=0,0,MAX(0,IF((AH$6-$E$3)&lt;1,0,IFERROR(LOOKUP(2,1/(Soja!$E77:INDEX(Soja!$E77:$Z77,MIN(AH$6-$E$3,22))&lt;&gt;""),Soja!$E77:INDEX(Soja!$E77:$Z77,MIN(AH$6-$E$3,22))),0))-IF($G$2,0,IF((AH$6-$G$3)&lt;1,0,IFERROR(LOOKUP(2,1/(Soja!$E77:INDEX(Soja!$E77:$Z77,MIN(AH$6-$G$3,22))&lt;&gt;""),Soja!$E77:INDEX(Soja!$E77:$Z77,MIN(AH$6-$G$3,22))),0)))))</f>
        <v>0</v>
      </c>
      <c r="AI79" s="27" t="n">
        <f aca="false">IF(COUNT(Soja!$E77:$Z77)=0,0,MAX(0,IF((AI$6-$E$3)&lt;1,0,IFERROR(LOOKUP(2,1/(Soja!$E77:INDEX(Soja!$E77:$Z77,MIN(AI$6-$E$3,22))&lt;&gt;""),Soja!$E77:INDEX(Soja!$E77:$Z77,MIN(AI$6-$E$3,22))),0))-IF($G$2,0,IF((AI$6-$G$3)&lt;1,0,IFERROR(LOOKUP(2,1/(Soja!$E77:INDEX(Soja!$E77:$Z77,MIN(AI$6-$G$3,22))&lt;&gt;""),Soja!$E77:INDEX(Soja!$E77:$Z77,MIN(AI$6-$G$3,22))),0)))))</f>
        <v>0</v>
      </c>
      <c r="AJ79" s="27" t="n">
        <f aca="false">IF(COUNT(Soja!$E77:$Z77)=0,0,MAX(0,IF((AJ$6-$E$3)&lt;1,0,IFERROR(LOOKUP(2,1/(Soja!$E77:INDEX(Soja!$E77:$Z77,MIN(AJ$6-$E$3,22))&lt;&gt;""),Soja!$E77:INDEX(Soja!$E77:$Z77,MIN(AJ$6-$E$3,22))),0))-IF($G$2,0,IF((AJ$6-$G$3)&lt;1,0,IFERROR(LOOKUP(2,1/(Soja!$E77:INDEX(Soja!$E77:$Z77,MIN(AJ$6-$G$3,22))&lt;&gt;""),Soja!$E77:INDEX(Soja!$E77:$Z77,MIN(AJ$6-$G$3,22))),0)))))</f>
        <v>0</v>
      </c>
      <c r="AK79" s="27" t="n">
        <f aca="false">IF(COUNT(Soja!$E77:$Z77)=0,0,MAX(0,IF((AK$6-$E$3)&lt;1,0,IFERROR(LOOKUP(2,1/(Soja!$E77:INDEX(Soja!$E77:$Z77,MIN(AK$6-$E$3,22))&lt;&gt;""),Soja!$E77:INDEX(Soja!$E77:$Z77,MIN(AK$6-$E$3,22))),0))-IF($G$2,0,IF((AK$6-$G$3)&lt;1,0,IFERROR(LOOKUP(2,1/(Soja!$E77:INDEX(Soja!$E77:$Z77,MIN(AK$6-$G$3,22))&lt;&gt;""),Soja!$E77:INDEX(Soja!$E77:$Z77,MIN(AK$6-$G$3,22))),0)))))</f>
        <v>0</v>
      </c>
      <c r="AL79" s="27" t="n">
        <f aca="false">IF(COUNT(Soja!$E77:$Z77)=0,0,MAX(0,IF((AL$6-$E$3)&lt;1,0,IFERROR(LOOKUP(2,1/(Soja!$E77:INDEX(Soja!$E77:$Z77,MIN(AL$6-$E$3,22))&lt;&gt;""),Soja!$E77:INDEX(Soja!$E77:$Z77,MIN(AL$6-$E$3,22))),0))-IF($G$2,0,IF((AL$6-$G$3)&lt;1,0,IFERROR(LOOKUP(2,1/(Soja!$E77:INDEX(Soja!$E77:$Z77,MIN(AL$6-$G$3,22))&lt;&gt;""),Soja!$E77:INDEX(Soja!$E77:$Z77,MIN(AL$6-$G$3,22))),0)))))</f>
        <v>0</v>
      </c>
      <c r="AM79" s="27" t="n">
        <f aca="false">IF(COUNT(Soja!$E77:$Z77)=0,0,MAX(0,IF((AM$6-$E$3)&lt;1,0,IFERROR(LOOKUP(2,1/(Soja!$E77:INDEX(Soja!$E77:$Z77,MIN(AM$6-$E$3,22))&lt;&gt;""),Soja!$E77:INDEX(Soja!$E77:$Z77,MIN(AM$6-$E$3,22))),0))-IF($G$2,0,IF((AM$6-$G$3)&lt;1,0,IFERROR(LOOKUP(2,1/(Soja!$E77:INDEX(Soja!$E77:$Z77,MIN(AM$6-$G$3,22))&lt;&gt;""),Soja!$E77:INDEX(Soja!$E77:$Z77,MIN(AM$6-$G$3,22))),0)))))</f>
        <v>0</v>
      </c>
      <c r="AN79" s="27" t="n">
        <f aca="false">IF(COUNT(Soja!$E77:$Z77)=0,0,MAX(0,IF((AN$6-$E$3)&lt;1,0,IFERROR(LOOKUP(2,1/(Soja!$E77:INDEX(Soja!$E77:$Z77,MIN(AN$6-$E$3,22))&lt;&gt;""),Soja!$E77:INDEX(Soja!$E77:$Z77,MIN(AN$6-$E$3,22))),0))-IF($G$2,0,IF((AN$6-$G$3)&lt;1,0,IFERROR(LOOKUP(2,1/(Soja!$E77:INDEX(Soja!$E77:$Z77,MIN(AN$6-$G$3,22))&lt;&gt;""),Soja!$E77:INDEX(Soja!$E77:$Z77,MIN(AN$6-$G$3,22))),0)))))</f>
        <v>0</v>
      </c>
      <c r="AO79" s="27" t="n">
        <f aca="false">IF(COUNT(Soja!$E77:$Z77)=0,0,MAX(0,IF((AO$6-$E$3)&lt;1,0,IFERROR(LOOKUP(2,1/(Soja!$E77:INDEX(Soja!$E77:$Z77,MIN(AO$6-$E$3,22))&lt;&gt;""),Soja!$E77:INDEX(Soja!$E77:$Z77,MIN(AO$6-$E$3,22))),0))-IF($G$2,0,IF((AO$6-$G$3)&lt;1,0,IFERROR(LOOKUP(2,1/(Soja!$E77:INDEX(Soja!$E77:$Z77,MIN(AO$6-$G$3,22))&lt;&gt;""),Soja!$E77:INDEX(Soja!$E77:$Z77,MIN(AO$6-$G$3,22))),0)))))</f>
        <v>0</v>
      </c>
      <c r="AP79" s="27" t="n">
        <f aca="false">IF(COUNT(Soja!$E77:$Z77)=0,0,MAX(0,IF((AP$6-$E$3)&lt;1,0,IFERROR(LOOKUP(2,1/(Soja!$E77:INDEX(Soja!$E77:$Z77,MIN(AP$6-$E$3,22))&lt;&gt;""),Soja!$E77:INDEX(Soja!$E77:$Z77,MIN(AP$6-$E$3,22))),0))-IF($G$2,0,IF((AP$6-$G$3)&lt;1,0,IFERROR(LOOKUP(2,1/(Soja!$E77:INDEX(Soja!$E77:$Z77,MIN(AP$6-$G$3,22))&lt;&gt;""),Soja!$E77:INDEX(Soja!$E77:$Z77,MIN(AP$6-$G$3,22))),0)))))</f>
        <v>0</v>
      </c>
      <c r="AQ79" s="27" t="n">
        <f aca="false">IF(COUNT(Soja!$E77:$Z77)=0,0,MAX(0,IF((AQ$6-$E$3)&lt;1,0,IFERROR(LOOKUP(2,1/(Soja!$E77:INDEX(Soja!$E77:$Z77,MIN(AQ$6-$E$3,22))&lt;&gt;""),Soja!$E77:INDEX(Soja!$E77:$Z77,MIN(AQ$6-$E$3,22))),0))-IF($G$2,0,IF((AQ$6-$G$3)&lt;1,0,IFERROR(LOOKUP(2,1/(Soja!$E77:INDEX(Soja!$E77:$Z77,MIN(AQ$6-$G$3,22))&lt;&gt;""),Soja!$E77:INDEX(Soja!$E77:$Z77,MIN(AQ$6-$G$3,22))),0)))))</f>
        <v>0</v>
      </c>
      <c r="AR79" s="27" t="n">
        <f aca="false">IF(COUNT(Soja!$E77:$Z77)=0,0,MAX(0,IF((AR$6-$E$3)&lt;1,0,IFERROR(LOOKUP(2,1/(Soja!$E77:INDEX(Soja!$E77:$Z77,MIN(AR$6-$E$3,22))&lt;&gt;""),Soja!$E77:INDEX(Soja!$E77:$Z77,MIN(AR$6-$E$3,22))),0))-IF($G$2,0,IF((AR$6-$G$3)&lt;1,0,IFERROR(LOOKUP(2,1/(Soja!$E77:INDEX(Soja!$E77:$Z77,MIN(AR$6-$G$3,22))&lt;&gt;""),Soja!$E77:INDEX(Soja!$E77:$Z77,MIN(AR$6-$G$3,22))),0)))))</f>
        <v>0</v>
      </c>
      <c r="AS79" s="27" t="n">
        <f aca="false">IF(COUNT(Soja!$E77:$Z77)=0,0,MAX(0,IF((AS$6-$E$3)&lt;1,0,IFERROR(LOOKUP(2,1/(Soja!$E77:INDEX(Soja!$E77:$Z77,MIN(AS$6-$E$3,22))&lt;&gt;""),Soja!$E77:INDEX(Soja!$E77:$Z77,MIN(AS$6-$E$3,22))),0))-IF($G$2,0,IF((AS$6-$G$3)&lt;1,0,IFERROR(LOOKUP(2,1/(Soja!$E77:INDEX(Soja!$E77:$Z77,MIN(AS$6-$G$3,22))&lt;&gt;""),Soja!$E77:INDEX(Soja!$E77:$Z77,MIN(AS$6-$G$3,22))),0)))))</f>
        <v>0</v>
      </c>
      <c r="AT79" s="27" t="n">
        <f aca="false">IF(COUNT(Soja!$E77:$Z77)=0,0,MAX(0,IF((AT$6-$E$3)&lt;1,0,IFERROR(LOOKUP(2,1/(Soja!$E77:INDEX(Soja!$E77:$Z77,MIN(AT$6-$E$3,22))&lt;&gt;""),Soja!$E77:INDEX(Soja!$E77:$Z77,MIN(AT$6-$E$3,22))),0))-IF($G$2,0,IF((AT$6-$G$3)&lt;1,0,IFERROR(LOOKUP(2,1/(Soja!$E77:INDEX(Soja!$E77:$Z77,MIN(AT$6-$G$3,22))&lt;&gt;""),Soja!$E77:INDEX(Soja!$E77:$Z77,MIN(AT$6-$G$3,22))),0)))))</f>
        <v>0</v>
      </c>
      <c r="AU79" s="27" t="n">
        <f aca="false">IF(COUNT(Soja!$E77:$Z77)=0,0,MAX(0,IF((AU$6-$E$3)&lt;1,0,IFERROR(LOOKUP(2,1/(Soja!$E77:INDEX(Soja!$E77:$Z77,MIN(AU$6-$E$3,22))&lt;&gt;""),Soja!$E77:INDEX(Soja!$E77:$Z77,MIN(AU$6-$E$3,22))),0))-IF($G$2,0,IF((AU$6-$G$3)&lt;1,0,IFERROR(LOOKUP(2,1/(Soja!$E77:INDEX(Soja!$E77:$Z77,MIN(AU$6-$G$3,22))&lt;&gt;""),Soja!$E77:INDEX(Soja!$E77:$Z77,MIN(AU$6-$G$3,22))),0)))))</f>
        <v>0</v>
      </c>
      <c r="AV79" s="27" t="n">
        <f aca="false">IF(COUNT(Soja!$E77:$Z77)=0,0,MAX(0,IF((AV$6-$E$3)&lt;1,0,IFERROR(LOOKUP(2,1/(Soja!$E77:INDEX(Soja!$E77:$Z77,MIN(AV$6-$E$3,22))&lt;&gt;""),Soja!$E77:INDEX(Soja!$E77:$Z77,MIN(AV$6-$E$3,22))),0))-IF($G$2,0,IF((AV$6-$G$3)&lt;1,0,IFERROR(LOOKUP(2,1/(Soja!$E77:INDEX(Soja!$E77:$Z77,MIN(AV$6-$G$3,22))&lt;&gt;""),Soja!$E77:INDEX(Soja!$E77:$Z77,MIN(AV$6-$G$3,22))),0)))))</f>
        <v>0</v>
      </c>
      <c r="AW79" s="27" t="n">
        <f aca="false">IF(COUNT(Soja!$E77:$Z77)=0,0,MAX(0,IF((AW$6-$E$3)&lt;1,0,IFERROR(LOOKUP(2,1/(Soja!$E77:INDEX(Soja!$E77:$Z77,MIN(AW$6-$E$3,22))&lt;&gt;""),Soja!$E77:INDEX(Soja!$E77:$Z77,MIN(AW$6-$E$3,22))),0))-IF($G$2,0,IF((AW$6-$G$3)&lt;1,0,IFERROR(LOOKUP(2,1/(Soja!$E77:INDEX(Soja!$E77:$Z77,MIN(AW$6-$G$3,22))&lt;&gt;""),Soja!$E77:INDEX(Soja!$E77:$Z77,MIN(AW$6-$G$3,22))),0)))))</f>
        <v>0</v>
      </c>
      <c r="AX79" s="27" t="n">
        <f aca="false">IF(COUNT(Soja!$E77:$Z77)=0,0,MAX(0,IF((AX$6-$E$3)&lt;1,0,IFERROR(LOOKUP(2,1/(Soja!$E77:INDEX(Soja!$E77:$Z77,MIN(AX$6-$E$3,22))&lt;&gt;""),Soja!$E77:INDEX(Soja!$E77:$Z77,MIN(AX$6-$E$3,22))),0))-IF($G$2,0,IF((AX$6-$G$3)&lt;1,0,IFERROR(LOOKUP(2,1/(Soja!$E77:INDEX(Soja!$E77:$Z77,MIN(AX$6-$G$3,22))&lt;&gt;""),Soja!$E77:INDEX(Soja!$E77:$Z77,MIN(AX$6-$G$3,22))),0)))))</f>
        <v>0</v>
      </c>
      <c r="AY79" s="27" t="n">
        <f aca="false">IF(COUNT(Soja!$E77:$Z77)=0,0,MAX(0,IF((AY$6-$E$3)&lt;1,0,IFERROR(LOOKUP(2,1/(Soja!$E77:INDEX(Soja!$E77:$Z77,MIN(AY$6-$E$3,22))&lt;&gt;""),Soja!$E77:INDEX(Soja!$E77:$Z77,MIN(AY$6-$E$3,22))),0))-IF($G$2,0,IF((AY$6-$G$3)&lt;1,0,IFERROR(LOOKUP(2,1/(Soja!$E77:INDEX(Soja!$E77:$Z77,MIN(AY$6-$G$3,22))&lt;&gt;""),Soja!$E77:INDEX(Soja!$E77:$Z77,MIN(AY$6-$G$3,22))),0)))))</f>
        <v>0</v>
      </c>
      <c r="AZ79" s="27" t="n">
        <f aca="false">IF(COUNT(Soja!$E77:$Z77)=0,0,MAX(0,IF((AZ$6-$E$3)&lt;1,0,IFERROR(LOOKUP(2,1/(Soja!$E77:INDEX(Soja!$E77:$Z77,MIN(AZ$6-$E$3,22))&lt;&gt;""),Soja!$E77:INDEX(Soja!$E77:$Z77,MIN(AZ$6-$E$3,22))),0))-IF($G$2,0,IF((AZ$6-$G$3)&lt;1,0,IFERROR(LOOKUP(2,1/(Soja!$E77:INDEX(Soja!$E77:$Z77,MIN(AZ$6-$G$3,22))&lt;&gt;""),Soja!$E77:INDEX(Soja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IF(COUNT(Soja!$E78:$Z78)&gt;0,N(Soja!$D78),0)</f>
        <v>0</v>
      </c>
      <c r="E80" s="27" t="n">
        <f aca="false">IF(COUNT(Soja!$E78:$Z78)=0,0,MAX(0,IF((E$6-$E$3)&lt;1,0,IFERROR(LOOKUP(2,1/(Soja!$E78:INDEX(Soja!$E78:$Z78,MIN(E$6-$E$3,22))&lt;&gt;""),Soja!$E78:INDEX(Soja!$E78:$Z78,MIN(E$6-$E$3,22))),0))-IF($G$2,0,IF((E$6-$G$3)&lt;1,0,IFERROR(LOOKUP(2,1/(Soja!$E78:INDEX(Soja!$E78:$Z78,MIN(E$6-$G$3,22))&lt;&gt;""),Soja!$E78:INDEX(Soja!$E78:$Z78,MIN(E$6-$G$3,22))),0)))))</f>
        <v>0</v>
      </c>
      <c r="F80" s="27" t="n">
        <f aca="false">IF(COUNT(Soja!$E78:$Z78)=0,0,MAX(0,IF((F$6-$E$3)&lt;1,0,IFERROR(LOOKUP(2,1/(Soja!$E78:INDEX(Soja!$E78:$Z78,MIN(F$6-$E$3,22))&lt;&gt;""),Soja!$E78:INDEX(Soja!$E78:$Z78,MIN(F$6-$E$3,22))),0))-IF($G$2,0,IF((F$6-$G$3)&lt;1,0,IFERROR(LOOKUP(2,1/(Soja!$E78:INDEX(Soja!$E78:$Z78,MIN(F$6-$G$3,22))&lt;&gt;""),Soja!$E78:INDEX(Soja!$E78:$Z78,MIN(F$6-$G$3,22))),0)))))</f>
        <v>0</v>
      </c>
      <c r="G80" s="27" t="n">
        <f aca="false">IF(COUNT(Soja!$E78:$Z78)=0,0,MAX(0,IF((G$6-$E$3)&lt;1,0,IFERROR(LOOKUP(2,1/(Soja!$E78:INDEX(Soja!$E78:$Z78,MIN(G$6-$E$3,22))&lt;&gt;""),Soja!$E78:INDEX(Soja!$E78:$Z78,MIN(G$6-$E$3,22))),0))-IF($G$2,0,IF((G$6-$G$3)&lt;1,0,IFERROR(LOOKUP(2,1/(Soja!$E78:INDEX(Soja!$E78:$Z78,MIN(G$6-$G$3,22))&lt;&gt;""),Soja!$E78:INDEX(Soja!$E78:$Z78,MIN(G$6-$G$3,22))),0)))))</f>
        <v>0</v>
      </c>
      <c r="H80" s="27" t="n">
        <f aca="false">IF(COUNT(Soja!$E78:$Z78)=0,0,MAX(0,IF((H$6-$E$3)&lt;1,0,IFERROR(LOOKUP(2,1/(Soja!$E78:INDEX(Soja!$E78:$Z78,MIN(H$6-$E$3,22))&lt;&gt;""),Soja!$E78:INDEX(Soja!$E78:$Z78,MIN(H$6-$E$3,22))),0))-IF($G$2,0,IF((H$6-$G$3)&lt;1,0,IFERROR(LOOKUP(2,1/(Soja!$E78:INDEX(Soja!$E78:$Z78,MIN(H$6-$G$3,22))&lt;&gt;""),Soja!$E78:INDEX(Soja!$E78:$Z78,MIN(H$6-$G$3,22))),0)))))</f>
        <v>0</v>
      </c>
      <c r="I80" s="27" t="n">
        <f aca="false">IF(COUNT(Soja!$E78:$Z78)=0,0,MAX(0,IF((I$6-$E$3)&lt;1,0,IFERROR(LOOKUP(2,1/(Soja!$E78:INDEX(Soja!$E78:$Z78,MIN(I$6-$E$3,22))&lt;&gt;""),Soja!$E78:INDEX(Soja!$E78:$Z78,MIN(I$6-$E$3,22))),0))-IF($G$2,0,IF((I$6-$G$3)&lt;1,0,IFERROR(LOOKUP(2,1/(Soja!$E78:INDEX(Soja!$E78:$Z78,MIN(I$6-$G$3,22))&lt;&gt;""),Soja!$E78:INDEX(Soja!$E78:$Z78,MIN(I$6-$G$3,22))),0)))))</f>
        <v>0</v>
      </c>
      <c r="J80" s="27" t="n">
        <f aca="false">IF(COUNT(Soja!$E78:$Z78)=0,0,MAX(0,IF((J$6-$E$3)&lt;1,0,IFERROR(LOOKUP(2,1/(Soja!$E78:INDEX(Soja!$E78:$Z78,MIN(J$6-$E$3,22))&lt;&gt;""),Soja!$E78:INDEX(Soja!$E78:$Z78,MIN(J$6-$E$3,22))),0))-IF($G$2,0,IF((J$6-$G$3)&lt;1,0,IFERROR(LOOKUP(2,1/(Soja!$E78:INDEX(Soja!$E78:$Z78,MIN(J$6-$G$3,22))&lt;&gt;""),Soja!$E78:INDEX(Soja!$E78:$Z78,MIN(J$6-$G$3,22))),0)))))</f>
        <v>0</v>
      </c>
      <c r="K80" s="27" t="n">
        <f aca="false">IF(COUNT(Soja!$E78:$Z78)=0,0,MAX(0,IF((K$6-$E$3)&lt;1,0,IFERROR(LOOKUP(2,1/(Soja!$E78:INDEX(Soja!$E78:$Z78,MIN(K$6-$E$3,22))&lt;&gt;""),Soja!$E78:INDEX(Soja!$E78:$Z78,MIN(K$6-$E$3,22))),0))-IF($G$2,0,IF((K$6-$G$3)&lt;1,0,IFERROR(LOOKUP(2,1/(Soja!$E78:INDEX(Soja!$E78:$Z78,MIN(K$6-$G$3,22))&lt;&gt;""),Soja!$E78:INDEX(Soja!$E78:$Z78,MIN(K$6-$G$3,22))),0)))))</f>
        <v>0</v>
      </c>
      <c r="L80" s="27" t="n">
        <f aca="false">IF(COUNT(Soja!$E78:$Z78)=0,0,MAX(0,IF((L$6-$E$3)&lt;1,0,IFERROR(LOOKUP(2,1/(Soja!$E78:INDEX(Soja!$E78:$Z78,MIN(L$6-$E$3,22))&lt;&gt;""),Soja!$E78:INDEX(Soja!$E78:$Z78,MIN(L$6-$E$3,22))),0))-IF($G$2,0,IF((L$6-$G$3)&lt;1,0,IFERROR(LOOKUP(2,1/(Soja!$E78:INDEX(Soja!$E78:$Z78,MIN(L$6-$G$3,22))&lt;&gt;""),Soja!$E78:INDEX(Soja!$E78:$Z78,MIN(L$6-$G$3,22))),0)))))</f>
        <v>0</v>
      </c>
      <c r="M80" s="27" t="n">
        <f aca="false">IF(COUNT(Soja!$E78:$Z78)=0,0,MAX(0,IF((M$6-$E$3)&lt;1,0,IFERROR(LOOKUP(2,1/(Soja!$E78:INDEX(Soja!$E78:$Z78,MIN(M$6-$E$3,22))&lt;&gt;""),Soja!$E78:INDEX(Soja!$E78:$Z78,MIN(M$6-$E$3,22))),0))-IF($G$2,0,IF((M$6-$G$3)&lt;1,0,IFERROR(LOOKUP(2,1/(Soja!$E78:INDEX(Soja!$E78:$Z78,MIN(M$6-$G$3,22))&lt;&gt;""),Soja!$E78:INDEX(Soja!$E78:$Z78,MIN(M$6-$G$3,22))),0)))))</f>
        <v>0</v>
      </c>
      <c r="N80" s="27" t="n">
        <f aca="false">IF(COUNT(Soja!$E78:$Z78)=0,0,MAX(0,IF((N$6-$E$3)&lt;1,0,IFERROR(LOOKUP(2,1/(Soja!$E78:INDEX(Soja!$E78:$Z78,MIN(N$6-$E$3,22))&lt;&gt;""),Soja!$E78:INDEX(Soja!$E78:$Z78,MIN(N$6-$E$3,22))),0))-IF($G$2,0,IF((N$6-$G$3)&lt;1,0,IFERROR(LOOKUP(2,1/(Soja!$E78:INDEX(Soja!$E78:$Z78,MIN(N$6-$G$3,22))&lt;&gt;""),Soja!$E78:INDEX(Soja!$E78:$Z78,MIN(N$6-$G$3,22))),0)))))</f>
        <v>0</v>
      </c>
      <c r="O80" s="27" t="n">
        <f aca="false">IF(COUNT(Soja!$E78:$Z78)=0,0,MAX(0,IF((O$6-$E$3)&lt;1,0,IFERROR(LOOKUP(2,1/(Soja!$E78:INDEX(Soja!$E78:$Z78,MIN(O$6-$E$3,22))&lt;&gt;""),Soja!$E78:INDEX(Soja!$E78:$Z78,MIN(O$6-$E$3,22))),0))-IF($G$2,0,IF((O$6-$G$3)&lt;1,0,IFERROR(LOOKUP(2,1/(Soja!$E78:INDEX(Soja!$E78:$Z78,MIN(O$6-$G$3,22))&lt;&gt;""),Soja!$E78:INDEX(Soja!$E78:$Z78,MIN(O$6-$G$3,22))),0)))))</f>
        <v>0</v>
      </c>
      <c r="P80" s="27" t="n">
        <f aca="false">IF(COUNT(Soja!$E78:$Z78)=0,0,MAX(0,IF((P$6-$E$3)&lt;1,0,IFERROR(LOOKUP(2,1/(Soja!$E78:INDEX(Soja!$E78:$Z78,MIN(P$6-$E$3,22))&lt;&gt;""),Soja!$E78:INDEX(Soja!$E78:$Z78,MIN(P$6-$E$3,22))),0))-IF($G$2,0,IF((P$6-$G$3)&lt;1,0,IFERROR(LOOKUP(2,1/(Soja!$E78:INDEX(Soja!$E78:$Z78,MIN(P$6-$G$3,22))&lt;&gt;""),Soja!$E78:INDEX(Soja!$E78:$Z78,MIN(P$6-$G$3,22))),0)))))</f>
        <v>0</v>
      </c>
      <c r="Q80" s="27" t="n">
        <f aca="false">IF(COUNT(Soja!$E78:$Z78)=0,0,MAX(0,IF((Q$6-$E$3)&lt;1,0,IFERROR(LOOKUP(2,1/(Soja!$E78:INDEX(Soja!$E78:$Z78,MIN(Q$6-$E$3,22))&lt;&gt;""),Soja!$E78:INDEX(Soja!$E78:$Z78,MIN(Q$6-$E$3,22))),0))-IF($G$2,0,IF((Q$6-$G$3)&lt;1,0,IFERROR(LOOKUP(2,1/(Soja!$E78:INDEX(Soja!$E78:$Z78,MIN(Q$6-$G$3,22))&lt;&gt;""),Soja!$E78:INDEX(Soja!$E78:$Z78,MIN(Q$6-$G$3,22))),0)))))</f>
        <v>0</v>
      </c>
      <c r="R80" s="27" t="n">
        <f aca="false">IF(COUNT(Soja!$E78:$Z78)=0,0,MAX(0,IF((R$6-$E$3)&lt;1,0,IFERROR(LOOKUP(2,1/(Soja!$E78:INDEX(Soja!$E78:$Z78,MIN(R$6-$E$3,22))&lt;&gt;""),Soja!$E78:INDEX(Soja!$E78:$Z78,MIN(R$6-$E$3,22))),0))-IF($G$2,0,IF((R$6-$G$3)&lt;1,0,IFERROR(LOOKUP(2,1/(Soja!$E78:INDEX(Soja!$E78:$Z78,MIN(R$6-$G$3,22))&lt;&gt;""),Soja!$E78:INDEX(Soja!$E78:$Z78,MIN(R$6-$G$3,22))),0)))))</f>
        <v>0</v>
      </c>
      <c r="S80" s="27" t="n">
        <f aca="false">IF(COUNT(Soja!$E78:$Z78)=0,0,MAX(0,IF((S$6-$E$3)&lt;1,0,IFERROR(LOOKUP(2,1/(Soja!$E78:INDEX(Soja!$E78:$Z78,MIN(S$6-$E$3,22))&lt;&gt;""),Soja!$E78:INDEX(Soja!$E78:$Z78,MIN(S$6-$E$3,22))),0))-IF($G$2,0,IF((S$6-$G$3)&lt;1,0,IFERROR(LOOKUP(2,1/(Soja!$E78:INDEX(Soja!$E78:$Z78,MIN(S$6-$G$3,22))&lt;&gt;""),Soja!$E78:INDEX(Soja!$E78:$Z78,MIN(S$6-$G$3,22))),0)))))</f>
        <v>0</v>
      </c>
      <c r="T80" s="27" t="n">
        <f aca="false">IF(COUNT(Soja!$E78:$Z78)=0,0,MAX(0,IF((T$6-$E$3)&lt;1,0,IFERROR(LOOKUP(2,1/(Soja!$E78:INDEX(Soja!$E78:$Z78,MIN(T$6-$E$3,22))&lt;&gt;""),Soja!$E78:INDEX(Soja!$E78:$Z78,MIN(T$6-$E$3,22))),0))-IF($G$2,0,IF((T$6-$G$3)&lt;1,0,IFERROR(LOOKUP(2,1/(Soja!$E78:INDEX(Soja!$E78:$Z78,MIN(T$6-$G$3,22))&lt;&gt;""),Soja!$E78:INDEX(Soja!$E78:$Z78,MIN(T$6-$G$3,22))),0)))))</f>
        <v>0</v>
      </c>
      <c r="U80" s="27" t="n">
        <f aca="false">IF(COUNT(Soja!$E78:$Z78)=0,0,MAX(0,IF((U$6-$E$3)&lt;1,0,IFERROR(LOOKUP(2,1/(Soja!$E78:INDEX(Soja!$E78:$Z78,MIN(U$6-$E$3,22))&lt;&gt;""),Soja!$E78:INDEX(Soja!$E78:$Z78,MIN(U$6-$E$3,22))),0))-IF($G$2,0,IF((U$6-$G$3)&lt;1,0,IFERROR(LOOKUP(2,1/(Soja!$E78:INDEX(Soja!$E78:$Z78,MIN(U$6-$G$3,22))&lt;&gt;""),Soja!$E78:INDEX(Soja!$E78:$Z78,MIN(U$6-$G$3,22))),0)))))</f>
        <v>0</v>
      </c>
      <c r="V80" s="27" t="n">
        <f aca="false">IF(COUNT(Soja!$E78:$Z78)=0,0,MAX(0,IF((V$6-$E$3)&lt;1,0,IFERROR(LOOKUP(2,1/(Soja!$E78:INDEX(Soja!$E78:$Z78,MIN(V$6-$E$3,22))&lt;&gt;""),Soja!$E78:INDEX(Soja!$E78:$Z78,MIN(V$6-$E$3,22))),0))-IF($G$2,0,IF((V$6-$G$3)&lt;1,0,IFERROR(LOOKUP(2,1/(Soja!$E78:INDEX(Soja!$E78:$Z78,MIN(V$6-$G$3,22))&lt;&gt;""),Soja!$E78:INDEX(Soja!$E78:$Z78,MIN(V$6-$G$3,22))),0)))))</f>
        <v>0</v>
      </c>
      <c r="W80" s="27" t="n">
        <f aca="false">IF(COUNT(Soja!$E78:$Z78)=0,0,MAX(0,IF((W$6-$E$3)&lt;1,0,IFERROR(LOOKUP(2,1/(Soja!$E78:INDEX(Soja!$E78:$Z78,MIN(W$6-$E$3,22))&lt;&gt;""),Soja!$E78:INDEX(Soja!$E78:$Z78,MIN(W$6-$E$3,22))),0))-IF($G$2,0,IF((W$6-$G$3)&lt;1,0,IFERROR(LOOKUP(2,1/(Soja!$E78:INDEX(Soja!$E78:$Z78,MIN(W$6-$G$3,22))&lt;&gt;""),Soja!$E78:INDEX(Soja!$E78:$Z78,MIN(W$6-$G$3,22))),0)))))</f>
        <v>0</v>
      </c>
      <c r="X80" s="27" t="n">
        <f aca="false">IF(COUNT(Soja!$E78:$Z78)=0,0,MAX(0,IF((X$6-$E$3)&lt;1,0,IFERROR(LOOKUP(2,1/(Soja!$E78:INDEX(Soja!$E78:$Z78,MIN(X$6-$E$3,22))&lt;&gt;""),Soja!$E78:INDEX(Soja!$E78:$Z78,MIN(X$6-$E$3,22))),0))-IF($G$2,0,IF((X$6-$G$3)&lt;1,0,IFERROR(LOOKUP(2,1/(Soja!$E78:INDEX(Soja!$E78:$Z78,MIN(X$6-$G$3,22))&lt;&gt;""),Soja!$E78:INDEX(Soja!$E78:$Z78,MIN(X$6-$G$3,22))),0)))))</f>
        <v>0</v>
      </c>
      <c r="Y80" s="27" t="n">
        <f aca="false">IF(COUNT(Soja!$E78:$Z78)=0,0,MAX(0,IF((Y$6-$E$3)&lt;1,0,IFERROR(LOOKUP(2,1/(Soja!$E78:INDEX(Soja!$E78:$Z78,MIN(Y$6-$E$3,22))&lt;&gt;""),Soja!$E78:INDEX(Soja!$E78:$Z78,MIN(Y$6-$E$3,22))),0))-IF($G$2,0,IF((Y$6-$G$3)&lt;1,0,IFERROR(LOOKUP(2,1/(Soja!$E78:INDEX(Soja!$E78:$Z78,MIN(Y$6-$G$3,22))&lt;&gt;""),Soja!$E78:INDEX(Soja!$E78:$Z78,MIN(Y$6-$G$3,22))),0)))))</f>
        <v>0</v>
      </c>
      <c r="Z80" s="27" t="n">
        <f aca="false">IF(COUNT(Soja!$E78:$Z78)=0,0,MAX(0,IF((Z$6-$E$3)&lt;1,0,IFERROR(LOOKUP(2,1/(Soja!$E78:INDEX(Soja!$E78:$Z78,MIN(Z$6-$E$3,22))&lt;&gt;""),Soja!$E78:INDEX(Soja!$E78:$Z78,MIN(Z$6-$E$3,22))),0))-IF($G$2,0,IF((Z$6-$G$3)&lt;1,0,IFERROR(LOOKUP(2,1/(Soja!$E78:INDEX(Soja!$E78:$Z78,MIN(Z$6-$G$3,22))&lt;&gt;""),Soja!$E78:INDEX(Soja!$E78:$Z78,MIN(Z$6-$G$3,22))),0)))))</f>
        <v>0</v>
      </c>
      <c r="AA80" s="27" t="n">
        <f aca="false">IF(COUNT(Soja!$E78:$Z78)=0,0,MAX(0,IF((AA$6-$E$3)&lt;1,0,IFERROR(LOOKUP(2,1/(Soja!$E78:INDEX(Soja!$E78:$Z78,MIN(AA$6-$E$3,22))&lt;&gt;""),Soja!$E78:INDEX(Soja!$E78:$Z78,MIN(AA$6-$E$3,22))),0))-IF($G$2,0,IF((AA$6-$G$3)&lt;1,0,IFERROR(LOOKUP(2,1/(Soja!$E78:INDEX(Soja!$E78:$Z78,MIN(AA$6-$G$3,22))&lt;&gt;""),Soja!$E78:INDEX(Soja!$E78:$Z78,MIN(AA$6-$G$3,22))),0)))))</f>
        <v>0</v>
      </c>
      <c r="AB80" s="27" t="n">
        <f aca="false">IF(COUNT(Soja!$E78:$Z78)=0,0,MAX(0,IF((AB$6-$E$3)&lt;1,0,IFERROR(LOOKUP(2,1/(Soja!$E78:INDEX(Soja!$E78:$Z78,MIN(AB$6-$E$3,22))&lt;&gt;""),Soja!$E78:INDEX(Soja!$E78:$Z78,MIN(AB$6-$E$3,22))),0))-IF($G$2,0,IF((AB$6-$G$3)&lt;1,0,IFERROR(LOOKUP(2,1/(Soja!$E78:INDEX(Soja!$E78:$Z78,MIN(AB$6-$G$3,22))&lt;&gt;""),Soja!$E78:INDEX(Soja!$E78:$Z78,MIN(AB$6-$G$3,22))),0)))))</f>
        <v>0</v>
      </c>
      <c r="AC80" s="27" t="n">
        <f aca="false">IF(COUNT(Soja!$E78:$Z78)=0,0,MAX(0,IF((AC$6-$E$3)&lt;1,0,IFERROR(LOOKUP(2,1/(Soja!$E78:INDEX(Soja!$E78:$Z78,MIN(AC$6-$E$3,22))&lt;&gt;""),Soja!$E78:INDEX(Soja!$E78:$Z78,MIN(AC$6-$E$3,22))),0))-IF($G$2,0,IF((AC$6-$G$3)&lt;1,0,IFERROR(LOOKUP(2,1/(Soja!$E78:INDEX(Soja!$E78:$Z78,MIN(AC$6-$G$3,22))&lt;&gt;""),Soja!$E78:INDEX(Soja!$E78:$Z78,MIN(AC$6-$G$3,22))),0)))))</f>
        <v>0</v>
      </c>
      <c r="AD80" s="27" t="n">
        <f aca="false">IF(COUNT(Soja!$E78:$Z78)=0,0,MAX(0,IF((AD$6-$E$3)&lt;1,0,IFERROR(LOOKUP(2,1/(Soja!$E78:INDEX(Soja!$E78:$Z78,MIN(AD$6-$E$3,22))&lt;&gt;""),Soja!$E78:INDEX(Soja!$E78:$Z78,MIN(AD$6-$E$3,22))),0))-IF($G$2,0,IF((AD$6-$G$3)&lt;1,0,IFERROR(LOOKUP(2,1/(Soja!$E78:INDEX(Soja!$E78:$Z78,MIN(AD$6-$G$3,22))&lt;&gt;""),Soja!$E78:INDEX(Soja!$E78:$Z78,MIN(AD$6-$G$3,22))),0)))))</f>
        <v>0</v>
      </c>
      <c r="AE80" s="27" t="n">
        <f aca="false">IF(COUNT(Soja!$E78:$Z78)=0,0,MAX(0,IF((AE$6-$E$3)&lt;1,0,IFERROR(LOOKUP(2,1/(Soja!$E78:INDEX(Soja!$E78:$Z78,MIN(AE$6-$E$3,22))&lt;&gt;""),Soja!$E78:INDEX(Soja!$E78:$Z78,MIN(AE$6-$E$3,22))),0))-IF($G$2,0,IF((AE$6-$G$3)&lt;1,0,IFERROR(LOOKUP(2,1/(Soja!$E78:INDEX(Soja!$E78:$Z78,MIN(AE$6-$G$3,22))&lt;&gt;""),Soja!$E78:INDEX(Soja!$E78:$Z78,MIN(AE$6-$G$3,22))),0)))))</f>
        <v>0</v>
      </c>
      <c r="AF80" s="27" t="n">
        <f aca="false">IF(COUNT(Soja!$E78:$Z78)=0,0,MAX(0,IF((AF$6-$E$3)&lt;1,0,IFERROR(LOOKUP(2,1/(Soja!$E78:INDEX(Soja!$E78:$Z78,MIN(AF$6-$E$3,22))&lt;&gt;""),Soja!$E78:INDEX(Soja!$E78:$Z78,MIN(AF$6-$E$3,22))),0))-IF($G$2,0,IF((AF$6-$G$3)&lt;1,0,IFERROR(LOOKUP(2,1/(Soja!$E78:INDEX(Soja!$E78:$Z78,MIN(AF$6-$G$3,22))&lt;&gt;""),Soja!$E78:INDEX(Soja!$E78:$Z78,MIN(AF$6-$G$3,22))),0)))))</f>
        <v>0</v>
      </c>
      <c r="AG80" s="27" t="n">
        <f aca="false">IF(COUNT(Soja!$E78:$Z78)=0,0,MAX(0,IF((AG$6-$E$3)&lt;1,0,IFERROR(LOOKUP(2,1/(Soja!$E78:INDEX(Soja!$E78:$Z78,MIN(AG$6-$E$3,22))&lt;&gt;""),Soja!$E78:INDEX(Soja!$E78:$Z78,MIN(AG$6-$E$3,22))),0))-IF($G$2,0,IF((AG$6-$G$3)&lt;1,0,IFERROR(LOOKUP(2,1/(Soja!$E78:INDEX(Soja!$E78:$Z78,MIN(AG$6-$G$3,22))&lt;&gt;""),Soja!$E78:INDEX(Soja!$E78:$Z78,MIN(AG$6-$G$3,22))),0)))))</f>
        <v>0</v>
      </c>
      <c r="AH80" s="27" t="n">
        <f aca="false">IF(COUNT(Soja!$E78:$Z78)=0,0,MAX(0,IF((AH$6-$E$3)&lt;1,0,IFERROR(LOOKUP(2,1/(Soja!$E78:INDEX(Soja!$E78:$Z78,MIN(AH$6-$E$3,22))&lt;&gt;""),Soja!$E78:INDEX(Soja!$E78:$Z78,MIN(AH$6-$E$3,22))),0))-IF($G$2,0,IF((AH$6-$G$3)&lt;1,0,IFERROR(LOOKUP(2,1/(Soja!$E78:INDEX(Soja!$E78:$Z78,MIN(AH$6-$G$3,22))&lt;&gt;""),Soja!$E78:INDEX(Soja!$E78:$Z78,MIN(AH$6-$G$3,22))),0)))))</f>
        <v>0</v>
      </c>
      <c r="AI80" s="27" t="n">
        <f aca="false">IF(COUNT(Soja!$E78:$Z78)=0,0,MAX(0,IF((AI$6-$E$3)&lt;1,0,IFERROR(LOOKUP(2,1/(Soja!$E78:INDEX(Soja!$E78:$Z78,MIN(AI$6-$E$3,22))&lt;&gt;""),Soja!$E78:INDEX(Soja!$E78:$Z78,MIN(AI$6-$E$3,22))),0))-IF($G$2,0,IF((AI$6-$G$3)&lt;1,0,IFERROR(LOOKUP(2,1/(Soja!$E78:INDEX(Soja!$E78:$Z78,MIN(AI$6-$G$3,22))&lt;&gt;""),Soja!$E78:INDEX(Soja!$E78:$Z78,MIN(AI$6-$G$3,22))),0)))))</f>
        <v>0</v>
      </c>
      <c r="AJ80" s="27" t="n">
        <f aca="false">IF(COUNT(Soja!$E78:$Z78)=0,0,MAX(0,IF((AJ$6-$E$3)&lt;1,0,IFERROR(LOOKUP(2,1/(Soja!$E78:INDEX(Soja!$E78:$Z78,MIN(AJ$6-$E$3,22))&lt;&gt;""),Soja!$E78:INDEX(Soja!$E78:$Z78,MIN(AJ$6-$E$3,22))),0))-IF($G$2,0,IF((AJ$6-$G$3)&lt;1,0,IFERROR(LOOKUP(2,1/(Soja!$E78:INDEX(Soja!$E78:$Z78,MIN(AJ$6-$G$3,22))&lt;&gt;""),Soja!$E78:INDEX(Soja!$E78:$Z78,MIN(AJ$6-$G$3,22))),0)))))</f>
        <v>0</v>
      </c>
      <c r="AK80" s="27" t="n">
        <f aca="false">IF(COUNT(Soja!$E78:$Z78)=0,0,MAX(0,IF((AK$6-$E$3)&lt;1,0,IFERROR(LOOKUP(2,1/(Soja!$E78:INDEX(Soja!$E78:$Z78,MIN(AK$6-$E$3,22))&lt;&gt;""),Soja!$E78:INDEX(Soja!$E78:$Z78,MIN(AK$6-$E$3,22))),0))-IF($G$2,0,IF((AK$6-$G$3)&lt;1,0,IFERROR(LOOKUP(2,1/(Soja!$E78:INDEX(Soja!$E78:$Z78,MIN(AK$6-$G$3,22))&lt;&gt;""),Soja!$E78:INDEX(Soja!$E78:$Z78,MIN(AK$6-$G$3,22))),0)))))</f>
        <v>0</v>
      </c>
      <c r="AL80" s="27" t="n">
        <f aca="false">IF(COUNT(Soja!$E78:$Z78)=0,0,MAX(0,IF((AL$6-$E$3)&lt;1,0,IFERROR(LOOKUP(2,1/(Soja!$E78:INDEX(Soja!$E78:$Z78,MIN(AL$6-$E$3,22))&lt;&gt;""),Soja!$E78:INDEX(Soja!$E78:$Z78,MIN(AL$6-$E$3,22))),0))-IF($G$2,0,IF((AL$6-$G$3)&lt;1,0,IFERROR(LOOKUP(2,1/(Soja!$E78:INDEX(Soja!$E78:$Z78,MIN(AL$6-$G$3,22))&lt;&gt;""),Soja!$E78:INDEX(Soja!$E78:$Z78,MIN(AL$6-$G$3,22))),0)))))</f>
        <v>0</v>
      </c>
      <c r="AM80" s="27" t="n">
        <f aca="false">IF(COUNT(Soja!$E78:$Z78)=0,0,MAX(0,IF((AM$6-$E$3)&lt;1,0,IFERROR(LOOKUP(2,1/(Soja!$E78:INDEX(Soja!$E78:$Z78,MIN(AM$6-$E$3,22))&lt;&gt;""),Soja!$E78:INDEX(Soja!$E78:$Z78,MIN(AM$6-$E$3,22))),0))-IF($G$2,0,IF((AM$6-$G$3)&lt;1,0,IFERROR(LOOKUP(2,1/(Soja!$E78:INDEX(Soja!$E78:$Z78,MIN(AM$6-$G$3,22))&lt;&gt;""),Soja!$E78:INDEX(Soja!$E78:$Z78,MIN(AM$6-$G$3,22))),0)))))</f>
        <v>0</v>
      </c>
      <c r="AN80" s="27" t="n">
        <f aca="false">IF(COUNT(Soja!$E78:$Z78)=0,0,MAX(0,IF((AN$6-$E$3)&lt;1,0,IFERROR(LOOKUP(2,1/(Soja!$E78:INDEX(Soja!$E78:$Z78,MIN(AN$6-$E$3,22))&lt;&gt;""),Soja!$E78:INDEX(Soja!$E78:$Z78,MIN(AN$6-$E$3,22))),0))-IF($G$2,0,IF((AN$6-$G$3)&lt;1,0,IFERROR(LOOKUP(2,1/(Soja!$E78:INDEX(Soja!$E78:$Z78,MIN(AN$6-$G$3,22))&lt;&gt;""),Soja!$E78:INDEX(Soja!$E78:$Z78,MIN(AN$6-$G$3,22))),0)))))</f>
        <v>0</v>
      </c>
      <c r="AO80" s="27" t="n">
        <f aca="false">IF(COUNT(Soja!$E78:$Z78)=0,0,MAX(0,IF((AO$6-$E$3)&lt;1,0,IFERROR(LOOKUP(2,1/(Soja!$E78:INDEX(Soja!$E78:$Z78,MIN(AO$6-$E$3,22))&lt;&gt;""),Soja!$E78:INDEX(Soja!$E78:$Z78,MIN(AO$6-$E$3,22))),0))-IF($G$2,0,IF((AO$6-$G$3)&lt;1,0,IFERROR(LOOKUP(2,1/(Soja!$E78:INDEX(Soja!$E78:$Z78,MIN(AO$6-$G$3,22))&lt;&gt;""),Soja!$E78:INDEX(Soja!$E78:$Z78,MIN(AO$6-$G$3,22))),0)))))</f>
        <v>0</v>
      </c>
      <c r="AP80" s="27" t="n">
        <f aca="false">IF(COUNT(Soja!$E78:$Z78)=0,0,MAX(0,IF((AP$6-$E$3)&lt;1,0,IFERROR(LOOKUP(2,1/(Soja!$E78:INDEX(Soja!$E78:$Z78,MIN(AP$6-$E$3,22))&lt;&gt;""),Soja!$E78:INDEX(Soja!$E78:$Z78,MIN(AP$6-$E$3,22))),0))-IF($G$2,0,IF((AP$6-$G$3)&lt;1,0,IFERROR(LOOKUP(2,1/(Soja!$E78:INDEX(Soja!$E78:$Z78,MIN(AP$6-$G$3,22))&lt;&gt;""),Soja!$E78:INDEX(Soja!$E78:$Z78,MIN(AP$6-$G$3,22))),0)))))</f>
        <v>0</v>
      </c>
      <c r="AQ80" s="27" t="n">
        <f aca="false">IF(COUNT(Soja!$E78:$Z78)=0,0,MAX(0,IF((AQ$6-$E$3)&lt;1,0,IFERROR(LOOKUP(2,1/(Soja!$E78:INDEX(Soja!$E78:$Z78,MIN(AQ$6-$E$3,22))&lt;&gt;""),Soja!$E78:INDEX(Soja!$E78:$Z78,MIN(AQ$6-$E$3,22))),0))-IF($G$2,0,IF((AQ$6-$G$3)&lt;1,0,IFERROR(LOOKUP(2,1/(Soja!$E78:INDEX(Soja!$E78:$Z78,MIN(AQ$6-$G$3,22))&lt;&gt;""),Soja!$E78:INDEX(Soja!$E78:$Z78,MIN(AQ$6-$G$3,22))),0)))))</f>
        <v>0</v>
      </c>
      <c r="AR80" s="27" t="n">
        <f aca="false">IF(COUNT(Soja!$E78:$Z78)=0,0,MAX(0,IF((AR$6-$E$3)&lt;1,0,IFERROR(LOOKUP(2,1/(Soja!$E78:INDEX(Soja!$E78:$Z78,MIN(AR$6-$E$3,22))&lt;&gt;""),Soja!$E78:INDEX(Soja!$E78:$Z78,MIN(AR$6-$E$3,22))),0))-IF($G$2,0,IF((AR$6-$G$3)&lt;1,0,IFERROR(LOOKUP(2,1/(Soja!$E78:INDEX(Soja!$E78:$Z78,MIN(AR$6-$G$3,22))&lt;&gt;""),Soja!$E78:INDEX(Soja!$E78:$Z78,MIN(AR$6-$G$3,22))),0)))))</f>
        <v>0</v>
      </c>
      <c r="AS80" s="27" t="n">
        <f aca="false">IF(COUNT(Soja!$E78:$Z78)=0,0,MAX(0,IF((AS$6-$E$3)&lt;1,0,IFERROR(LOOKUP(2,1/(Soja!$E78:INDEX(Soja!$E78:$Z78,MIN(AS$6-$E$3,22))&lt;&gt;""),Soja!$E78:INDEX(Soja!$E78:$Z78,MIN(AS$6-$E$3,22))),0))-IF($G$2,0,IF((AS$6-$G$3)&lt;1,0,IFERROR(LOOKUP(2,1/(Soja!$E78:INDEX(Soja!$E78:$Z78,MIN(AS$6-$G$3,22))&lt;&gt;""),Soja!$E78:INDEX(Soja!$E78:$Z78,MIN(AS$6-$G$3,22))),0)))))</f>
        <v>0</v>
      </c>
      <c r="AT80" s="27" t="n">
        <f aca="false">IF(COUNT(Soja!$E78:$Z78)=0,0,MAX(0,IF((AT$6-$E$3)&lt;1,0,IFERROR(LOOKUP(2,1/(Soja!$E78:INDEX(Soja!$E78:$Z78,MIN(AT$6-$E$3,22))&lt;&gt;""),Soja!$E78:INDEX(Soja!$E78:$Z78,MIN(AT$6-$E$3,22))),0))-IF($G$2,0,IF((AT$6-$G$3)&lt;1,0,IFERROR(LOOKUP(2,1/(Soja!$E78:INDEX(Soja!$E78:$Z78,MIN(AT$6-$G$3,22))&lt;&gt;""),Soja!$E78:INDEX(Soja!$E78:$Z78,MIN(AT$6-$G$3,22))),0)))))</f>
        <v>0</v>
      </c>
      <c r="AU80" s="27" t="n">
        <f aca="false">IF(COUNT(Soja!$E78:$Z78)=0,0,MAX(0,IF((AU$6-$E$3)&lt;1,0,IFERROR(LOOKUP(2,1/(Soja!$E78:INDEX(Soja!$E78:$Z78,MIN(AU$6-$E$3,22))&lt;&gt;""),Soja!$E78:INDEX(Soja!$E78:$Z78,MIN(AU$6-$E$3,22))),0))-IF($G$2,0,IF((AU$6-$G$3)&lt;1,0,IFERROR(LOOKUP(2,1/(Soja!$E78:INDEX(Soja!$E78:$Z78,MIN(AU$6-$G$3,22))&lt;&gt;""),Soja!$E78:INDEX(Soja!$E78:$Z78,MIN(AU$6-$G$3,22))),0)))))</f>
        <v>0</v>
      </c>
      <c r="AV80" s="27" t="n">
        <f aca="false">IF(COUNT(Soja!$E78:$Z78)=0,0,MAX(0,IF((AV$6-$E$3)&lt;1,0,IFERROR(LOOKUP(2,1/(Soja!$E78:INDEX(Soja!$E78:$Z78,MIN(AV$6-$E$3,22))&lt;&gt;""),Soja!$E78:INDEX(Soja!$E78:$Z78,MIN(AV$6-$E$3,22))),0))-IF($G$2,0,IF((AV$6-$G$3)&lt;1,0,IFERROR(LOOKUP(2,1/(Soja!$E78:INDEX(Soja!$E78:$Z78,MIN(AV$6-$G$3,22))&lt;&gt;""),Soja!$E78:INDEX(Soja!$E78:$Z78,MIN(AV$6-$G$3,22))),0)))))</f>
        <v>0</v>
      </c>
      <c r="AW80" s="27" t="n">
        <f aca="false">IF(COUNT(Soja!$E78:$Z78)=0,0,MAX(0,IF((AW$6-$E$3)&lt;1,0,IFERROR(LOOKUP(2,1/(Soja!$E78:INDEX(Soja!$E78:$Z78,MIN(AW$6-$E$3,22))&lt;&gt;""),Soja!$E78:INDEX(Soja!$E78:$Z78,MIN(AW$6-$E$3,22))),0))-IF($G$2,0,IF((AW$6-$G$3)&lt;1,0,IFERROR(LOOKUP(2,1/(Soja!$E78:INDEX(Soja!$E78:$Z78,MIN(AW$6-$G$3,22))&lt;&gt;""),Soja!$E78:INDEX(Soja!$E78:$Z78,MIN(AW$6-$G$3,22))),0)))))</f>
        <v>0</v>
      </c>
      <c r="AX80" s="27" t="n">
        <f aca="false">IF(COUNT(Soja!$E78:$Z78)=0,0,MAX(0,IF((AX$6-$E$3)&lt;1,0,IFERROR(LOOKUP(2,1/(Soja!$E78:INDEX(Soja!$E78:$Z78,MIN(AX$6-$E$3,22))&lt;&gt;""),Soja!$E78:INDEX(Soja!$E78:$Z78,MIN(AX$6-$E$3,22))),0))-IF($G$2,0,IF((AX$6-$G$3)&lt;1,0,IFERROR(LOOKUP(2,1/(Soja!$E78:INDEX(Soja!$E78:$Z78,MIN(AX$6-$G$3,22))&lt;&gt;""),Soja!$E78:INDEX(Soja!$E78:$Z78,MIN(AX$6-$G$3,22))),0)))))</f>
        <v>0</v>
      </c>
      <c r="AY80" s="27" t="n">
        <f aca="false">IF(COUNT(Soja!$E78:$Z78)=0,0,MAX(0,IF((AY$6-$E$3)&lt;1,0,IFERROR(LOOKUP(2,1/(Soja!$E78:INDEX(Soja!$E78:$Z78,MIN(AY$6-$E$3,22))&lt;&gt;""),Soja!$E78:INDEX(Soja!$E78:$Z78,MIN(AY$6-$E$3,22))),0))-IF($G$2,0,IF((AY$6-$G$3)&lt;1,0,IFERROR(LOOKUP(2,1/(Soja!$E78:INDEX(Soja!$E78:$Z78,MIN(AY$6-$G$3,22))&lt;&gt;""),Soja!$E78:INDEX(Soja!$E78:$Z78,MIN(AY$6-$G$3,22))),0)))))</f>
        <v>0</v>
      </c>
      <c r="AZ80" s="27" t="n">
        <f aca="false">IF(COUNT(Soja!$E78:$Z78)=0,0,MAX(0,IF((AZ$6-$E$3)&lt;1,0,IFERROR(LOOKUP(2,1/(Soja!$E78:INDEX(Soja!$E78:$Z78,MIN(AZ$6-$E$3,22))&lt;&gt;""),Soja!$E78:INDEX(Soja!$E78:$Z78,MIN(AZ$6-$E$3,22))),0))-IF($G$2,0,IF((AZ$6-$G$3)&lt;1,0,IFERROR(LOOKUP(2,1/(Soja!$E78:INDEX(Soja!$E78:$Z78,MIN(AZ$6-$G$3,22))&lt;&gt;""),Soja!$E78:INDEX(Soja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IF(COUNT(Soja!$E79:$Z79)&gt;0,N(Soja!$D79),0)</f>
        <v>0</v>
      </c>
      <c r="E81" s="27" t="n">
        <f aca="false">IF(COUNT(Soja!$E79:$Z79)=0,0,MAX(0,IF((E$6-$E$3)&lt;1,0,IFERROR(LOOKUP(2,1/(Soja!$E79:INDEX(Soja!$E79:$Z79,MIN(E$6-$E$3,22))&lt;&gt;""),Soja!$E79:INDEX(Soja!$E79:$Z79,MIN(E$6-$E$3,22))),0))-IF($G$2,0,IF((E$6-$G$3)&lt;1,0,IFERROR(LOOKUP(2,1/(Soja!$E79:INDEX(Soja!$E79:$Z79,MIN(E$6-$G$3,22))&lt;&gt;""),Soja!$E79:INDEX(Soja!$E79:$Z79,MIN(E$6-$G$3,22))),0)))))</f>
        <v>0</v>
      </c>
      <c r="F81" s="27" t="n">
        <f aca="false">IF(COUNT(Soja!$E79:$Z79)=0,0,MAX(0,IF((F$6-$E$3)&lt;1,0,IFERROR(LOOKUP(2,1/(Soja!$E79:INDEX(Soja!$E79:$Z79,MIN(F$6-$E$3,22))&lt;&gt;""),Soja!$E79:INDEX(Soja!$E79:$Z79,MIN(F$6-$E$3,22))),0))-IF($G$2,0,IF((F$6-$G$3)&lt;1,0,IFERROR(LOOKUP(2,1/(Soja!$E79:INDEX(Soja!$E79:$Z79,MIN(F$6-$G$3,22))&lt;&gt;""),Soja!$E79:INDEX(Soja!$E79:$Z79,MIN(F$6-$G$3,22))),0)))))</f>
        <v>0</v>
      </c>
      <c r="G81" s="27" t="n">
        <f aca="false">IF(COUNT(Soja!$E79:$Z79)=0,0,MAX(0,IF((G$6-$E$3)&lt;1,0,IFERROR(LOOKUP(2,1/(Soja!$E79:INDEX(Soja!$E79:$Z79,MIN(G$6-$E$3,22))&lt;&gt;""),Soja!$E79:INDEX(Soja!$E79:$Z79,MIN(G$6-$E$3,22))),0))-IF($G$2,0,IF((G$6-$G$3)&lt;1,0,IFERROR(LOOKUP(2,1/(Soja!$E79:INDEX(Soja!$E79:$Z79,MIN(G$6-$G$3,22))&lt;&gt;""),Soja!$E79:INDEX(Soja!$E79:$Z79,MIN(G$6-$G$3,22))),0)))))</f>
        <v>0</v>
      </c>
      <c r="H81" s="27" t="n">
        <f aca="false">IF(COUNT(Soja!$E79:$Z79)=0,0,MAX(0,IF((H$6-$E$3)&lt;1,0,IFERROR(LOOKUP(2,1/(Soja!$E79:INDEX(Soja!$E79:$Z79,MIN(H$6-$E$3,22))&lt;&gt;""),Soja!$E79:INDEX(Soja!$E79:$Z79,MIN(H$6-$E$3,22))),0))-IF($G$2,0,IF((H$6-$G$3)&lt;1,0,IFERROR(LOOKUP(2,1/(Soja!$E79:INDEX(Soja!$E79:$Z79,MIN(H$6-$G$3,22))&lt;&gt;""),Soja!$E79:INDEX(Soja!$E79:$Z79,MIN(H$6-$G$3,22))),0)))))</f>
        <v>0</v>
      </c>
      <c r="I81" s="27" t="n">
        <f aca="false">IF(COUNT(Soja!$E79:$Z79)=0,0,MAX(0,IF((I$6-$E$3)&lt;1,0,IFERROR(LOOKUP(2,1/(Soja!$E79:INDEX(Soja!$E79:$Z79,MIN(I$6-$E$3,22))&lt;&gt;""),Soja!$E79:INDEX(Soja!$E79:$Z79,MIN(I$6-$E$3,22))),0))-IF($G$2,0,IF((I$6-$G$3)&lt;1,0,IFERROR(LOOKUP(2,1/(Soja!$E79:INDEX(Soja!$E79:$Z79,MIN(I$6-$G$3,22))&lt;&gt;""),Soja!$E79:INDEX(Soja!$E79:$Z79,MIN(I$6-$G$3,22))),0)))))</f>
        <v>0</v>
      </c>
      <c r="J81" s="27" t="n">
        <f aca="false">IF(COUNT(Soja!$E79:$Z79)=0,0,MAX(0,IF((J$6-$E$3)&lt;1,0,IFERROR(LOOKUP(2,1/(Soja!$E79:INDEX(Soja!$E79:$Z79,MIN(J$6-$E$3,22))&lt;&gt;""),Soja!$E79:INDEX(Soja!$E79:$Z79,MIN(J$6-$E$3,22))),0))-IF($G$2,0,IF((J$6-$G$3)&lt;1,0,IFERROR(LOOKUP(2,1/(Soja!$E79:INDEX(Soja!$E79:$Z79,MIN(J$6-$G$3,22))&lt;&gt;""),Soja!$E79:INDEX(Soja!$E79:$Z79,MIN(J$6-$G$3,22))),0)))))</f>
        <v>0</v>
      </c>
      <c r="K81" s="27" t="n">
        <f aca="false">IF(COUNT(Soja!$E79:$Z79)=0,0,MAX(0,IF((K$6-$E$3)&lt;1,0,IFERROR(LOOKUP(2,1/(Soja!$E79:INDEX(Soja!$E79:$Z79,MIN(K$6-$E$3,22))&lt;&gt;""),Soja!$E79:INDEX(Soja!$E79:$Z79,MIN(K$6-$E$3,22))),0))-IF($G$2,0,IF((K$6-$G$3)&lt;1,0,IFERROR(LOOKUP(2,1/(Soja!$E79:INDEX(Soja!$E79:$Z79,MIN(K$6-$G$3,22))&lt;&gt;""),Soja!$E79:INDEX(Soja!$E79:$Z79,MIN(K$6-$G$3,22))),0)))))</f>
        <v>0</v>
      </c>
      <c r="L81" s="27" t="n">
        <f aca="false">IF(COUNT(Soja!$E79:$Z79)=0,0,MAX(0,IF((L$6-$E$3)&lt;1,0,IFERROR(LOOKUP(2,1/(Soja!$E79:INDEX(Soja!$E79:$Z79,MIN(L$6-$E$3,22))&lt;&gt;""),Soja!$E79:INDEX(Soja!$E79:$Z79,MIN(L$6-$E$3,22))),0))-IF($G$2,0,IF((L$6-$G$3)&lt;1,0,IFERROR(LOOKUP(2,1/(Soja!$E79:INDEX(Soja!$E79:$Z79,MIN(L$6-$G$3,22))&lt;&gt;""),Soja!$E79:INDEX(Soja!$E79:$Z79,MIN(L$6-$G$3,22))),0)))))</f>
        <v>0</v>
      </c>
      <c r="M81" s="27" t="n">
        <f aca="false">IF(COUNT(Soja!$E79:$Z79)=0,0,MAX(0,IF((M$6-$E$3)&lt;1,0,IFERROR(LOOKUP(2,1/(Soja!$E79:INDEX(Soja!$E79:$Z79,MIN(M$6-$E$3,22))&lt;&gt;""),Soja!$E79:INDEX(Soja!$E79:$Z79,MIN(M$6-$E$3,22))),0))-IF($G$2,0,IF((M$6-$G$3)&lt;1,0,IFERROR(LOOKUP(2,1/(Soja!$E79:INDEX(Soja!$E79:$Z79,MIN(M$6-$G$3,22))&lt;&gt;""),Soja!$E79:INDEX(Soja!$E79:$Z79,MIN(M$6-$G$3,22))),0)))))</f>
        <v>0</v>
      </c>
      <c r="N81" s="27" t="n">
        <f aca="false">IF(COUNT(Soja!$E79:$Z79)=0,0,MAX(0,IF((N$6-$E$3)&lt;1,0,IFERROR(LOOKUP(2,1/(Soja!$E79:INDEX(Soja!$E79:$Z79,MIN(N$6-$E$3,22))&lt;&gt;""),Soja!$E79:INDEX(Soja!$E79:$Z79,MIN(N$6-$E$3,22))),0))-IF($G$2,0,IF((N$6-$G$3)&lt;1,0,IFERROR(LOOKUP(2,1/(Soja!$E79:INDEX(Soja!$E79:$Z79,MIN(N$6-$G$3,22))&lt;&gt;""),Soja!$E79:INDEX(Soja!$E79:$Z79,MIN(N$6-$G$3,22))),0)))))</f>
        <v>0</v>
      </c>
      <c r="O81" s="27" t="n">
        <f aca="false">IF(COUNT(Soja!$E79:$Z79)=0,0,MAX(0,IF((O$6-$E$3)&lt;1,0,IFERROR(LOOKUP(2,1/(Soja!$E79:INDEX(Soja!$E79:$Z79,MIN(O$6-$E$3,22))&lt;&gt;""),Soja!$E79:INDEX(Soja!$E79:$Z79,MIN(O$6-$E$3,22))),0))-IF($G$2,0,IF((O$6-$G$3)&lt;1,0,IFERROR(LOOKUP(2,1/(Soja!$E79:INDEX(Soja!$E79:$Z79,MIN(O$6-$G$3,22))&lt;&gt;""),Soja!$E79:INDEX(Soja!$E79:$Z79,MIN(O$6-$G$3,22))),0)))))</f>
        <v>0</v>
      </c>
      <c r="P81" s="27" t="n">
        <f aca="false">IF(COUNT(Soja!$E79:$Z79)=0,0,MAX(0,IF((P$6-$E$3)&lt;1,0,IFERROR(LOOKUP(2,1/(Soja!$E79:INDEX(Soja!$E79:$Z79,MIN(P$6-$E$3,22))&lt;&gt;""),Soja!$E79:INDEX(Soja!$E79:$Z79,MIN(P$6-$E$3,22))),0))-IF($G$2,0,IF((P$6-$G$3)&lt;1,0,IFERROR(LOOKUP(2,1/(Soja!$E79:INDEX(Soja!$E79:$Z79,MIN(P$6-$G$3,22))&lt;&gt;""),Soja!$E79:INDEX(Soja!$E79:$Z79,MIN(P$6-$G$3,22))),0)))))</f>
        <v>0</v>
      </c>
      <c r="Q81" s="27" t="n">
        <f aca="false">IF(COUNT(Soja!$E79:$Z79)=0,0,MAX(0,IF((Q$6-$E$3)&lt;1,0,IFERROR(LOOKUP(2,1/(Soja!$E79:INDEX(Soja!$E79:$Z79,MIN(Q$6-$E$3,22))&lt;&gt;""),Soja!$E79:INDEX(Soja!$E79:$Z79,MIN(Q$6-$E$3,22))),0))-IF($G$2,0,IF((Q$6-$G$3)&lt;1,0,IFERROR(LOOKUP(2,1/(Soja!$E79:INDEX(Soja!$E79:$Z79,MIN(Q$6-$G$3,22))&lt;&gt;""),Soja!$E79:INDEX(Soja!$E79:$Z79,MIN(Q$6-$G$3,22))),0)))))</f>
        <v>0</v>
      </c>
      <c r="R81" s="27" t="n">
        <f aca="false">IF(COUNT(Soja!$E79:$Z79)=0,0,MAX(0,IF((R$6-$E$3)&lt;1,0,IFERROR(LOOKUP(2,1/(Soja!$E79:INDEX(Soja!$E79:$Z79,MIN(R$6-$E$3,22))&lt;&gt;""),Soja!$E79:INDEX(Soja!$E79:$Z79,MIN(R$6-$E$3,22))),0))-IF($G$2,0,IF((R$6-$G$3)&lt;1,0,IFERROR(LOOKUP(2,1/(Soja!$E79:INDEX(Soja!$E79:$Z79,MIN(R$6-$G$3,22))&lt;&gt;""),Soja!$E79:INDEX(Soja!$E79:$Z79,MIN(R$6-$G$3,22))),0)))))</f>
        <v>0</v>
      </c>
      <c r="S81" s="27" t="n">
        <f aca="false">IF(COUNT(Soja!$E79:$Z79)=0,0,MAX(0,IF((S$6-$E$3)&lt;1,0,IFERROR(LOOKUP(2,1/(Soja!$E79:INDEX(Soja!$E79:$Z79,MIN(S$6-$E$3,22))&lt;&gt;""),Soja!$E79:INDEX(Soja!$E79:$Z79,MIN(S$6-$E$3,22))),0))-IF($G$2,0,IF((S$6-$G$3)&lt;1,0,IFERROR(LOOKUP(2,1/(Soja!$E79:INDEX(Soja!$E79:$Z79,MIN(S$6-$G$3,22))&lt;&gt;""),Soja!$E79:INDEX(Soja!$E79:$Z79,MIN(S$6-$G$3,22))),0)))))</f>
        <v>0</v>
      </c>
      <c r="T81" s="27" t="n">
        <f aca="false">IF(COUNT(Soja!$E79:$Z79)=0,0,MAX(0,IF((T$6-$E$3)&lt;1,0,IFERROR(LOOKUP(2,1/(Soja!$E79:INDEX(Soja!$E79:$Z79,MIN(T$6-$E$3,22))&lt;&gt;""),Soja!$E79:INDEX(Soja!$E79:$Z79,MIN(T$6-$E$3,22))),0))-IF($G$2,0,IF((T$6-$G$3)&lt;1,0,IFERROR(LOOKUP(2,1/(Soja!$E79:INDEX(Soja!$E79:$Z79,MIN(T$6-$G$3,22))&lt;&gt;""),Soja!$E79:INDEX(Soja!$E79:$Z79,MIN(T$6-$G$3,22))),0)))))</f>
        <v>0</v>
      </c>
      <c r="U81" s="27" t="n">
        <f aca="false">IF(COUNT(Soja!$E79:$Z79)=0,0,MAX(0,IF((U$6-$E$3)&lt;1,0,IFERROR(LOOKUP(2,1/(Soja!$E79:INDEX(Soja!$E79:$Z79,MIN(U$6-$E$3,22))&lt;&gt;""),Soja!$E79:INDEX(Soja!$E79:$Z79,MIN(U$6-$E$3,22))),0))-IF($G$2,0,IF((U$6-$G$3)&lt;1,0,IFERROR(LOOKUP(2,1/(Soja!$E79:INDEX(Soja!$E79:$Z79,MIN(U$6-$G$3,22))&lt;&gt;""),Soja!$E79:INDEX(Soja!$E79:$Z79,MIN(U$6-$G$3,22))),0)))))</f>
        <v>0</v>
      </c>
      <c r="V81" s="27" t="n">
        <f aca="false">IF(COUNT(Soja!$E79:$Z79)=0,0,MAX(0,IF((V$6-$E$3)&lt;1,0,IFERROR(LOOKUP(2,1/(Soja!$E79:INDEX(Soja!$E79:$Z79,MIN(V$6-$E$3,22))&lt;&gt;""),Soja!$E79:INDEX(Soja!$E79:$Z79,MIN(V$6-$E$3,22))),0))-IF($G$2,0,IF((V$6-$G$3)&lt;1,0,IFERROR(LOOKUP(2,1/(Soja!$E79:INDEX(Soja!$E79:$Z79,MIN(V$6-$G$3,22))&lt;&gt;""),Soja!$E79:INDEX(Soja!$E79:$Z79,MIN(V$6-$G$3,22))),0)))))</f>
        <v>0</v>
      </c>
      <c r="W81" s="27" t="n">
        <f aca="false">IF(COUNT(Soja!$E79:$Z79)=0,0,MAX(0,IF((W$6-$E$3)&lt;1,0,IFERROR(LOOKUP(2,1/(Soja!$E79:INDEX(Soja!$E79:$Z79,MIN(W$6-$E$3,22))&lt;&gt;""),Soja!$E79:INDEX(Soja!$E79:$Z79,MIN(W$6-$E$3,22))),0))-IF($G$2,0,IF((W$6-$G$3)&lt;1,0,IFERROR(LOOKUP(2,1/(Soja!$E79:INDEX(Soja!$E79:$Z79,MIN(W$6-$G$3,22))&lt;&gt;""),Soja!$E79:INDEX(Soja!$E79:$Z79,MIN(W$6-$G$3,22))),0)))))</f>
        <v>0</v>
      </c>
      <c r="X81" s="27" t="n">
        <f aca="false">IF(COUNT(Soja!$E79:$Z79)=0,0,MAX(0,IF((X$6-$E$3)&lt;1,0,IFERROR(LOOKUP(2,1/(Soja!$E79:INDEX(Soja!$E79:$Z79,MIN(X$6-$E$3,22))&lt;&gt;""),Soja!$E79:INDEX(Soja!$E79:$Z79,MIN(X$6-$E$3,22))),0))-IF($G$2,0,IF((X$6-$G$3)&lt;1,0,IFERROR(LOOKUP(2,1/(Soja!$E79:INDEX(Soja!$E79:$Z79,MIN(X$6-$G$3,22))&lt;&gt;""),Soja!$E79:INDEX(Soja!$E79:$Z79,MIN(X$6-$G$3,22))),0)))))</f>
        <v>0</v>
      </c>
      <c r="Y81" s="27" t="n">
        <f aca="false">IF(COUNT(Soja!$E79:$Z79)=0,0,MAX(0,IF((Y$6-$E$3)&lt;1,0,IFERROR(LOOKUP(2,1/(Soja!$E79:INDEX(Soja!$E79:$Z79,MIN(Y$6-$E$3,22))&lt;&gt;""),Soja!$E79:INDEX(Soja!$E79:$Z79,MIN(Y$6-$E$3,22))),0))-IF($G$2,0,IF((Y$6-$G$3)&lt;1,0,IFERROR(LOOKUP(2,1/(Soja!$E79:INDEX(Soja!$E79:$Z79,MIN(Y$6-$G$3,22))&lt;&gt;""),Soja!$E79:INDEX(Soja!$E79:$Z79,MIN(Y$6-$G$3,22))),0)))))</f>
        <v>0</v>
      </c>
      <c r="Z81" s="27" t="n">
        <f aca="false">IF(COUNT(Soja!$E79:$Z79)=0,0,MAX(0,IF((Z$6-$E$3)&lt;1,0,IFERROR(LOOKUP(2,1/(Soja!$E79:INDEX(Soja!$E79:$Z79,MIN(Z$6-$E$3,22))&lt;&gt;""),Soja!$E79:INDEX(Soja!$E79:$Z79,MIN(Z$6-$E$3,22))),0))-IF($G$2,0,IF((Z$6-$G$3)&lt;1,0,IFERROR(LOOKUP(2,1/(Soja!$E79:INDEX(Soja!$E79:$Z79,MIN(Z$6-$G$3,22))&lt;&gt;""),Soja!$E79:INDEX(Soja!$E79:$Z79,MIN(Z$6-$G$3,22))),0)))))</f>
        <v>0</v>
      </c>
      <c r="AA81" s="27" t="n">
        <f aca="false">IF(COUNT(Soja!$E79:$Z79)=0,0,MAX(0,IF((AA$6-$E$3)&lt;1,0,IFERROR(LOOKUP(2,1/(Soja!$E79:INDEX(Soja!$E79:$Z79,MIN(AA$6-$E$3,22))&lt;&gt;""),Soja!$E79:INDEX(Soja!$E79:$Z79,MIN(AA$6-$E$3,22))),0))-IF($G$2,0,IF((AA$6-$G$3)&lt;1,0,IFERROR(LOOKUP(2,1/(Soja!$E79:INDEX(Soja!$E79:$Z79,MIN(AA$6-$G$3,22))&lt;&gt;""),Soja!$E79:INDEX(Soja!$E79:$Z79,MIN(AA$6-$G$3,22))),0)))))</f>
        <v>0</v>
      </c>
      <c r="AB81" s="27" t="n">
        <f aca="false">IF(COUNT(Soja!$E79:$Z79)=0,0,MAX(0,IF((AB$6-$E$3)&lt;1,0,IFERROR(LOOKUP(2,1/(Soja!$E79:INDEX(Soja!$E79:$Z79,MIN(AB$6-$E$3,22))&lt;&gt;""),Soja!$E79:INDEX(Soja!$E79:$Z79,MIN(AB$6-$E$3,22))),0))-IF($G$2,0,IF((AB$6-$G$3)&lt;1,0,IFERROR(LOOKUP(2,1/(Soja!$E79:INDEX(Soja!$E79:$Z79,MIN(AB$6-$G$3,22))&lt;&gt;""),Soja!$E79:INDEX(Soja!$E79:$Z79,MIN(AB$6-$G$3,22))),0)))))</f>
        <v>0</v>
      </c>
      <c r="AC81" s="27" t="n">
        <f aca="false">IF(COUNT(Soja!$E79:$Z79)=0,0,MAX(0,IF((AC$6-$E$3)&lt;1,0,IFERROR(LOOKUP(2,1/(Soja!$E79:INDEX(Soja!$E79:$Z79,MIN(AC$6-$E$3,22))&lt;&gt;""),Soja!$E79:INDEX(Soja!$E79:$Z79,MIN(AC$6-$E$3,22))),0))-IF($G$2,0,IF((AC$6-$G$3)&lt;1,0,IFERROR(LOOKUP(2,1/(Soja!$E79:INDEX(Soja!$E79:$Z79,MIN(AC$6-$G$3,22))&lt;&gt;""),Soja!$E79:INDEX(Soja!$E79:$Z79,MIN(AC$6-$G$3,22))),0)))))</f>
        <v>0</v>
      </c>
      <c r="AD81" s="27" t="n">
        <f aca="false">IF(COUNT(Soja!$E79:$Z79)=0,0,MAX(0,IF((AD$6-$E$3)&lt;1,0,IFERROR(LOOKUP(2,1/(Soja!$E79:INDEX(Soja!$E79:$Z79,MIN(AD$6-$E$3,22))&lt;&gt;""),Soja!$E79:INDEX(Soja!$E79:$Z79,MIN(AD$6-$E$3,22))),0))-IF($G$2,0,IF((AD$6-$G$3)&lt;1,0,IFERROR(LOOKUP(2,1/(Soja!$E79:INDEX(Soja!$E79:$Z79,MIN(AD$6-$G$3,22))&lt;&gt;""),Soja!$E79:INDEX(Soja!$E79:$Z79,MIN(AD$6-$G$3,22))),0)))))</f>
        <v>0</v>
      </c>
      <c r="AE81" s="27" t="n">
        <f aca="false">IF(COUNT(Soja!$E79:$Z79)=0,0,MAX(0,IF((AE$6-$E$3)&lt;1,0,IFERROR(LOOKUP(2,1/(Soja!$E79:INDEX(Soja!$E79:$Z79,MIN(AE$6-$E$3,22))&lt;&gt;""),Soja!$E79:INDEX(Soja!$E79:$Z79,MIN(AE$6-$E$3,22))),0))-IF($G$2,0,IF((AE$6-$G$3)&lt;1,0,IFERROR(LOOKUP(2,1/(Soja!$E79:INDEX(Soja!$E79:$Z79,MIN(AE$6-$G$3,22))&lt;&gt;""),Soja!$E79:INDEX(Soja!$E79:$Z79,MIN(AE$6-$G$3,22))),0)))))</f>
        <v>0</v>
      </c>
      <c r="AF81" s="27" t="n">
        <f aca="false">IF(COUNT(Soja!$E79:$Z79)=0,0,MAX(0,IF((AF$6-$E$3)&lt;1,0,IFERROR(LOOKUP(2,1/(Soja!$E79:INDEX(Soja!$E79:$Z79,MIN(AF$6-$E$3,22))&lt;&gt;""),Soja!$E79:INDEX(Soja!$E79:$Z79,MIN(AF$6-$E$3,22))),0))-IF($G$2,0,IF((AF$6-$G$3)&lt;1,0,IFERROR(LOOKUP(2,1/(Soja!$E79:INDEX(Soja!$E79:$Z79,MIN(AF$6-$G$3,22))&lt;&gt;""),Soja!$E79:INDEX(Soja!$E79:$Z79,MIN(AF$6-$G$3,22))),0)))))</f>
        <v>0</v>
      </c>
      <c r="AG81" s="27" t="n">
        <f aca="false">IF(COUNT(Soja!$E79:$Z79)=0,0,MAX(0,IF((AG$6-$E$3)&lt;1,0,IFERROR(LOOKUP(2,1/(Soja!$E79:INDEX(Soja!$E79:$Z79,MIN(AG$6-$E$3,22))&lt;&gt;""),Soja!$E79:INDEX(Soja!$E79:$Z79,MIN(AG$6-$E$3,22))),0))-IF($G$2,0,IF((AG$6-$G$3)&lt;1,0,IFERROR(LOOKUP(2,1/(Soja!$E79:INDEX(Soja!$E79:$Z79,MIN(AG$6-$G$3,22))&lt;&gt;""),Soja!$E79:INDEX(Soja!$E79:$Z79,MIN(AG$6-$G$3,22))),0)))))</f>
        <v>0</v>
      </c>
      <c r="AH81" s="27" t="n">
        <f aca="false">IF(COUNT(Soja!$E79:$Z79)=0,0,MAX(0,IF((AH$6-$E$3)&lt;1,0,IFERROR(LOOKUP(2,1/(Soja!$E79:INDEX(Soja!$E79:$Z79,MIN(AH$6-$E$3,22))&lt;&gt;""),Soja!$E79:INDEX(Soja!$E79:$Z79,MIN(AH$6-$E$3,22))),0))-IF($G$2,0,IF((AH$6-$G$3)&lt;1,0,IFERROR(LOOKUP(2,1/(Soja!$E79:INDEX(Soja!$E79:$Z79,MIN(AH$6-$G$3,22))&lt;&gt;""),Soja!$E79:INDEX(Soja!$E79:$Z79,MIN(AH$6-$G$3,22))),0)))))</f>
        <v>0</v>
      </c>
      <c r="AI81" s="27" t="n">
        <f aca="false">IF(COUNT(Soja!$E79:$Z79)=0,0,MAX(0,IF((AI$6-$E$3)&lt;1,0,IFERROR(LOOKUP(2,1/(Soja!$E79:INDEX(Soja!$E79:$Z79,MIN(AI$6-$E$3,22))&lt;&gt;""),Soja!$E79:INDEX(Soja!$E79:$Z79,MIN(AI$6-$E$3,22))),0))-IF($G$2,0,IF((AI$6-$G$3)&lt;1,0,IFERROR(LOOKUP(2,1/(Soja!$E79:INDEX(Soja!$E79:$Z79,MIN(AI$6-$G$3,22))&lt;&gt;""),Soja!$E79:INDEX(Soja!$E79:$Z79,MIN(AI$6-$G$3,22))),0)))))</f>
        <v>0</v>
      </c>
      <c r="AJ81" s="27" t="n">
        <f aca="false">IF(COUNT(Soja!$E79:$Z79)=0,0,MAX(0,IF((AJ$6-$E$3)&lt;1,0,IFERROR(LOOKUP(2,1/(Soja!$E79:INDEX(Soja!$E79:$Z79,MIN(AJ$6-$E$3,22))&lt;&gt;""),Soja!$E79:INDEX(Soja!$E79:$Z79,MIN(AJ$6-$E$3,22))),0))-IF($G$2,0,IF((AJ$6-$G$3)&lt;1,0,IFERROR(LOOKUP(2,1/(Soja!$E79:INDEX(Soja!$E79:$Z79,MIN(AJ$6-$G$3,22))&lt;&gt;""),Soja!$E79:INDEX(Soja!$E79:$Z79,MIN(AJ$6-$G$3,22))),0)))))</f>
        <v>0</v>
      </c>
      <c r="AK81" s="27" t="n">
        <f aca="false">IF(COUNT(Soja!$E79:$Z79)=0,0,MAX(0,IF((AK$6-$E$3)&lt;1,0,IFERROR(LOOKUP(2,1/(Soja!$E79:INDEX(Soja!$E79:$Z79,MIN(AK$6-$E$3,22))&lt;&gt;""),Soja!$E79:INDEX(Soja!$E79:$Z79,MIN(AK$6-$E$3,22))),0))-IF($G$2,0,IF((AK$6-$G$3)&lt;1,0,IFERROR(LOOKUP(2,1/(Soja!$E79:INDEX(Soja!$E79:$Z79,MIN(AK$6-$G$3,22))&lt;&gt;""),Soja!$E79:INDEX(Soja!$E79:$Z79,MIN(AK$6-$G$3,22))),0)))))</f>
        <v>0</v>
      </c>
      <c r="AL81" s="27" t="n">
        <f aca="false">IF(COUNT(Soja!$E79:$Z79)=0,0,MAX(0,IF((AL$6-$E$3)&lt;1,0,IFERROR(LOOKUP(2,1/(Soja!$E79:INDEX(Soja!$E79:$Z79,MIN(AL$6-$E$3,22))&lt;&gt;""),Soja!$E79:INDEX(Soja!$E79:$Z79,MIN(AL$6-$E$3,22))),0))-IF($G$2,0,IF((AL$6-$G$3)&lt;1,0,IFERROR(LOOKUP(2,1/(Soja!$E79:INDEX(Soja!$E79:$Z79,MIN(AL$6-$G$3,22))&lt;&gt;""),Soja!$E79:INDEX(Soja!$E79:$Z79,MIN(AL$6-$G$3,22))),0)))))</f>
        <v>0</v>
      </c>
      <c r="AM81" s="27" t="n">
        <f aca="false">IF(COUNT(Soja!$E79:$Z79)=0,0,MAX(0,IF((AM$6-$E$3)&lt;1,0,IFERROR(LOOKUP(2,1/(Soja!$E79:INDEX(Soja!$E79:$Z79,MIN(AM$6-$E$3,22))&lt;&gt;""),Soja!$E79:INDEX(Soja!$E79:$Z79,MIN(AM$6-$E$3,22))),0))-IF($G$2,0,IF((AM$6-$G$3)&lt;1,0,IFERROR(LOOKUP(2,1/(Soja!$E79:INDEX(Soja!$E79:$Z79,MIN(AM$6-$G$3,22))&lt;&gt;""),Soja!$E79:INDEX(Soja!$E79:$Z79,MIN(AM$6-$G$3,22))),0)))))</f>
        <v>0</v>
      </c>
      <c r="AN81" s="27" t="n">
        <f aca="false">IF(COUNT(Soja!$E79:$Z79)=0,0,MAX(0,IF((AN$6-$E$3)&lt;1,0,IFERROR(LOOKUP(2,1/(Soja!$E79:INDEX(Soja!$E79:$Z79,MIN(AN$6-$E$3,22))&lt;&gt;""),Soja!$E79:INDEX(Soja!$E79:$Z79,MIN(AN$6-$E$3,22))),0))-IF($G$2,0,IF((AN$6-$G$3)&lt;1,0,IFERROR(LOOKUP(2,1/(Soja!$E79:INDEX(Soja!$E79:$Z79,MIN(AN$6-$G$3,22))&lt;&gt;""),Soja!$E79:INDEX(Soja!$E79:$Z79,MIN(AN$6-$G$3,22))),0)))))</f>
        <v>0</v>
      </c>
      <c r="AO81" s="27" t="n">
        <f aca="false">IF(COUNT(Soja!$E79:$Z79)=0,0,MAX(0,IF((AO$6-$E$3)&lt;1,0,IFERROR(LOOKUP(2,1/(Soja!$E79:INDEX(Soja!$E79:$Z79,MIN(AO$6-$E$3,22))&lt;&gt;""),Soja!$E79:INDEX(Soja!$E79:$Z79,MIN(AO$6-$E$3,22))),0))-IF($G$2,0,IF((AO$6-$G$3)&lt;1,0,IFERROR(LOOKUP(2,1/(Soja!$E79:INDEX(Soja!$E79:$Z79,MIN(AO$6-$G$3,22))&lt;&gt;""),Soja!$E79:INDEX(Soja!$E79:$Z79,MIN(AO$6-$G$3,22))),0)))))</f>
        <v>0</v>
      </c>
      <c r="AP81" s="27" t="n">
        <f aca="false">IF(COUNT(Soja!$E79:$Z79)=0,0,MAX(0,IF((AP$6-$E$3)&lt;1,0,IFERROR(LOOKUP(2,1/(Soja!$E79:INDEX(Soja!$E79:$Z79,MIN(AP$6-$E$3,22))&lt;&gt;""),Soja!$E79:INDEX(Soja!$E79:$Z79,MIN(AP$6-$E$3,22))),0))-IF($G$2,0,IF((AP$6-$G$3)&lt;1,0,IFERROR(LOOKUP(2,1/(Soja!$E79:INDEX(Soja!$E79:$Z79,MIN(AP$6-$G$3,22))&lt;&gt;""),Soja!$E79:INDEX(Soja!$E79:$Z79,MIN(AP$6-$G$3,22))),0)))))</f>
        <v>0</v>
      </c>
      <c r="AQ81" s="27" t="n">
        <f aca="false">IF(COUNT(Soja!$E79:$Z79)=0,0,MAX(0,IF((AQ$6-$E$3)&lt;1,0,IFERROR(LOOKUP(2,1/(Soja!$E79:INDEX(Soja!$E79:$Z79,MIN(AQ$6-$E$3,22))&lt;&gt;""),Soja!$E79:INDEX(Soja!$E79:$Z79,MIN(AQ$6-$E$3,22))),0))-IF($G$2,0,IF((AQ$6-$G$3)&lt;1,0,IFERROR(LOOKUP(2,1/(Soja!$E79:INDEX(Soja!$E79:$Z79,MIN(AQ$6-$G$3,22))&lt;&gt;""),Soja!$E79:INDEX(Soja!$E79:$Z79,MIN(AQ$6-$G$3,22))),0)))))</f>
        <v>0</v>
      </c>
      <c r="AR81" s="27" t="n">
        <f aca="false">IF(COUNT(Soja!$E79:$Z79)=0,0,MAX(0,IF((AR$6-$E$3)&lt;1,0,IFERROR(LOOKUP(2,1/(Soja!$E79:INDEX(Soja!$E79:$Z79,MIN(AR$6-$E$3,22))&lt;&gt;""),Soja!$E79:INDEX(Soja!$E79:$Z79,MIN(AR$6-$E$3,22))),0))-IF($G$2,0,IF((AR$6-$G$3)&lt;1,0,IFERROR(LOOKUP(2,1/(Soja!$E79:INDEX(Soja!$E79:$Z79,MIN(AR$6-$G$3,22))&lt;&gt;""),Soja!$E79:INDEX(Soja!$E79:$Z79,MIN(AR$6-$G$3,22))),0)))))</f>
        <v>0</v>
      </c>
      <c r="AS81" s="27" t="n">
        <f aca="false">IF(COUNT(Soja!$E79:$Z79)=0,0,MAX(0,IF((AS$6-$E$3)&lt;1,0,IFERROR(LOOKUP(2,1/(Soja!$E79:INDEX(Soja!$E79:$Z79,MIN(AS$6-$E$3,22))&lt;&gt;""),Soja!$E79:INDEX(Soja!$E79:$Z79,MIN(AS$6-$E$3,22))),0))-IF($G$2,0,IF((AS$6-$G$3)&lt;1,0,IFERROR(LOOKUP(2,1/(Soja!$E79:INDEX(Soja!$E79:$Z79,MIN(AS$6-$G$3,22))&lt;&gt;""),Soja!$E79:INDEX(Soja!$E79:$Z79,MIN(AS$6-$G$3,22))),0)))))</f>
        <v>0</v>
      </c>
      <c r="AT81" s="27" t="n">
        <f aca="false">IF(COUNT(Soja!$E79:$Z79)=0,0,MAX(0,IF((AT$6-$E$3)&lt;1,0,IFERROR(LOOKUP(2,1/(Soja!$E79:INDEX(Soja!$E79:$Z79,MIN(AT$6-$E$3,22))&lt;&gt;""),Soja!$E79:INDEX(Soja!$E79:$Z79,MIN(AT$6-$E$3,22))),0))-IF($G$2,0,IF((AT$6-$G$3)&lt;1,0,IFERROR(LOOKUP(2,1/(Soja!$E79:INDEX(Soja!$E79:$Z79,MIN(AT$6-$G$3,22))&lt;&gt;""),Soja!$E79:INDEX(Soja!$E79:$Z79,MIN(AT$6-$G$3,22))),0)))))</f>
        <v>0</v>
      </c>
      <c r="AU81" s="27" t="n">
        <f aca="false">IF(COUNT(Soja!$E79:$Z79)=0,0,MAX(0,IF((AU$6-$E$3)&lt;1,0,IFERROR(LOOKUP(2,1/(Soja!$E79:INDEX(Soja!$E79:$Z79,MIN(AU$6-$E$3,22))&lt;&gt;""),Soja!$E79:INDEX(Soja!$E79:$Z79,MIN(AU$6-$E$3,22))),0))-IF($G$2,0,IF((AU$6-$G$3)&lt;1,0,IFERROR(LOOKUP(2,1/(Soja!$E79:INDEX(Soja!$E79:$Z79,MIN(AU$6-$G$3,22))&lt;&gt;""),Soja!$E79:INDEX(Soja!$E79:$Z79,MIN(AU$6-$G$3,22))),0)))))</f>
        <v>0</v>
      </c>
      <c r="AV81" s="27" t="n">
        <f aca="false">IF(COUNT(Soja!$E79:$Z79)=0,0,MAX(0,IF((AV$6-$E$3)&lt;1,0,IFERROR(LOOKUP(2,1/(Soja!$E79:INDEX(Soja!$E79:$Z79,MIN(AV$6-$E$3,22))&lt;&gt;""),Soja!$E79:INDEX(Soja!$E79:$Z79,MIN(AV$6-$E$3,22))),0))-IF($G$2,0,IF((AV$6-$G$3)&lt;1,0,IFERROR(LOOKUP(2,1/(Soja!$E79:INDEX(Soja!$E79:$Z79,MIN(AV$6-$G$3,22))&lt;&gt;""),Soja!$E79:INDEX(Soja!$E79:$Z79,MIN(AV$6-$G$3,22))),0)))))</f>
        <v>0</v>
      </c>
      <c r="AW81" s="27" t="n">
        <f aca="false">IF(COUNT(Soja!$E79:$Z79)=0,0,MAX(0,IF((AW$6-$E$3)&lt;1,0,IFERROR(LOOKUP(2,1/(Soja!$E79:INDEX(Soja!$E79:$Z79,MIN(AW$6-$E$3,22))&lt;&gt;""),Soja!$E79:INDEX(Soja!$E79:$Z79,MIN(AW$6-$E$3,22))),0))-IF($G$2,0,IF((AW$6-$G$3)&lt;1,0,IFERROR(LOOKUP(2,1/(Soja!$E79:INDEX(Soja!$E79:$Z79,MIN(AW$6-$G$3,22))&lt;&gt;""),Soja!$E79:INDEX(Soja!$E79:$Z79,MIN(AW$6-$G$3,22))),0)))))</f>
        <v>0</v>
      </c>
      <c r="AX81" s="27" t="n">
        <f aca="false">IF(COUNT(Soja!$E79:$Z79)=0,0,MAX(0,IF((AX$6-$E$3)&lt;1,0,IFERROR(LOOKUP(2,1/(Soja!$E79:INDEX(Soja!$E79:$Z79,MIN(AX$6-$E$3,22))&lt;&gt;""),Soja!$E79:INDEX(Soja!$E79:$Z79,MIN(AX$6-$E$3,22))),0))-IF($G$2,0,IF((AX$6-$G$3)&lt;1,0,IFERROR(LOOKUP(2,1/(Soja!$E79:INDEX(Soja!$E79:$Z79,MIN(AX$6-$G$3,22))&lt;&gt;""),Soja!$E79:INDEX(Soja!$E79:$Z79,MIN(AX$6-$G$3,22))),0)))))</f>
        <v>0</v>
      </c>
      <c r="AY81" s="27" t="n">
        <f aca="false">IF(COUNT(Soja!$E79:$Z79)=0,0,MAX(0,IF((AY$6-$E$3)&lt;1,0,IFERROR(LOOKUP(2,1/(Soja!$E79:INDEX(Soja!$E79:$Z79,MIN(AY$6-$E$3,22))&lt;&gt;""),Soja!$E79:INDEX(Soja!$E79:$Z79,MIN(AY$6-$E$3,22))),0))-IF($G$2,0,IF((AY$6-$G$3)&lt;1,0,IFERROR(LOOKUP(2,1/(Soja!$E79:INDEX(Soja!$E79:$Z79,MIN(AY$6-$G$3,22))&lt;&gt;""),Soja!$E79:INDEX(Soja!$E79:$Z79,MIN(AY$6-$G$3,22))),0)))))</f>
        <v>0</v>
      </c>
      <c r="AZ81" s="27" t="n">
        <f aca="false">IF(COUNT(Soja!$E79:$Z79)=0,0,MAX(0,IF((AZ$6-$E$3)&lt;1,0,IFERROR(LOOKUP(2,1/(Soja!$E79:INDEX(Soja!$E79:$Z79,MIN(AZ$6-$E$3,22))&lt;&gt;""),Soja!$E79:INDEX(Soja!$E79:$Z79,MIN(AZ$6-$E$3,22))),0))-IF($G$2,0,IF((AZ$6-$G$3)&lt;1,0,IFERROR(LOOKUP(2,1/(Soja!$E79:INDEX(Soja!$E79:$Z79,MIN(AZ$6-$G$3,22))&lt;&gt;""),Soja!$E79:INDEX(Soja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IF(COUNT(Soja!$E80:$Z80)&gt;0,N(Soja!$D80),0)</f>
        <v>0</v>
      </c>
      <c r="E82" s="27" t="n">
        <f aca="false">IF(COUNT(Soja!$E80:$Z80)=0,0,MAX(0,IF((E$6-$E$3)&lt;1,0,IFERROR(LOOKUP(2,1/(Soja!$E80:INDEX(Soja!$E80:$Z80,MIN(E$6-$E$3,22))&lt;&gt;""),Soja!$E80:INDEX(Soja!$E80:$Z80,MIN(E$6-$E$3,22))),0))-IF($G$2,0,IF((E$6-$G$3)&lt;1,0,IFERROR(LOOKUP(2,1/(Soja!$E80:INDEX(Soja!$E80:$Z80,MIN(E$6-$G$3,22))&lt;&gt;""),Soja!$E80:INDEX(Soja!$E80:$Z80,MIN(E$6-$G$3,22))),0)))))</f>
        <v>0</v>
      </c>
      <c r="F82" s="27" t="n">
        <f aca="false">IF(COUNT(Soja!$E80:$Z80)=0,0,MAX(0,IF((F$6-$E$3)&lt;1,0,IFERROR(LOOKUP(2,1/(Soja!$E80:INDEX(Soja!$E80:$Z80,MIN(F$6-$E$3,22))&lt;&gt;""),Soja!$E80:INDEX(Soja!$E80:$Z80,MIN(F$6-$E$3,22))),0))-IF($G$2,0,IF((F$6-$G$3)&lt;1,0,IFERROR(LOOKUP(2,1/(Soja!$E80:INDEX(Soja!$E80:$Z80,MIN(F$6-$G$3,22))&lt;&gt;""),Soja!$E80:INDEX(Soja!$E80:$Z80,MIN(F$6-$G$3,22))),0)))))</f>
        <v>0</v>
      </c>
      <c r="G82" s="27" t="n">
        <f aca="false">IF(COUNT(Soja!$E80:$Z80)=0,0,MAX(0,IF((G$6-$E$3)&lt;1,0,IFERROR(LOOKUP(2,1/(Soja!$E80:INDEX(Soja!$E80:$Z80,MIN(G$6-$E$3,22))&lt;&gt;""),Soja!$E80:INDEX(Soja!$E80:$Z80,MIN(G$6-$E$3,22))),0))-IF($G$2,0,IF((G$6-$G$3)&lt;1,0,IFERROR(LOOKUP(2,1/(Soja!$E80:INDEX(Soja!$E80:$Z80,MIN(G$6-$G$3,22))&lt;&gt;""),Soja!$E80:INDEX(Soja!$E80:$Z80,MIN(G$6-$G$3,22))),0)))))</f>
        <v>0</v>
      </c>
      <c r="H82" s="27" t="n">
        <f aca="false">IF(COUNT(Soja!$E80:$Z80)=0,0,MAX(0,IF((H$6-$E$3)&lt;1,0,IFERROR(LOOKUP(2,1/(Soja!$E80:INDEX(Soja!$E80:$Z80,MIN(H$6-$E$3,22))&lt;&gt;""),Soja!$E80:INDEX(Soja!$E80:$Z80,MIN(H$6-$E$3,22))),0))-IF($G$2,0,IF((H$6-$G$3)&lt;1,0,IFERROR(LOOKUP(2,1/(Soja!$E80:INDEX(Soja!$E80:$Z80,MIN(H$6-$G$3,22))&lt;&gt;""),Soja!$E80:INDEX(Soja!$E80:$Z80,MIN(H$6-$G$3,22))),0)))))</f>
        <v>0</v>
      </c>
      <c r="I82" s="27" t="n">
        <f aca="false">IF(COUNT(Soja!$E80:$Z80)=0,0,MAX(0,IF((I$6-$E$3)&lt;1,0,IFERROR(LOOKUP(2,1/(Soja!$E80:INDEX(Soja!$E80:$Z80,MIN(I$6-$E$3,22))&lt;&gt;""),Soja!$E80:INDEX(Soja!$E80:$Z80,MIN(I$6-$E$3,22))),0))-IF($G$2,0,IF((I$6-$G$3)&lt;1,0,IFERROR(LOOKUP(2,1/(Soja!$E80:INDEX(Soja!$E80:$Z80,MIN(I$6-$G$3,22))&lt;&gt;""),Soja!$E80:INDEX(Soja!$E80:$Z80,MIN(I$6-$G$3,22))),0)))))</f>
        <v>0</v>
      </c>
      <c r="J82" s="27" t="n">
        <f aca="false">IF(COUNT(Soja!$E80:$Z80)=0,0,MAX(0,IF((J$6-$E$3)&lt;1,0,IFERROR(LOOKUP(2,1/(Soja!$E80:INDEX(Soja!$E80:$Z80,MIN(J$6-$E$3,22))&lt;&gt;""),Soja!$E80:INDEX(Soja!$E80:$Z80,MIN(J$6-$E$3,22))),0))-IF($G$2,0,IF((J$6-$G$3)&lt;1,0,IFERROR(LOOKUP(2,1/(Soja!$E80:INDEX(Soja!$E80:$Z80,MIN(J$6-$G$3,22))&lt;&gt;""),Soja!$E80:INDEX(Soja!$E80:$Z80,MIN(J$6-$G$3,22))),0)))))</f>
        <v>0</v>
      </c>
      <c r="K82" s="27" t="n">
        <f aca="false">IF(COUNT(Soja!$E80:$Z80)=0,0,MAX(0,IF((K$6-$E$3)&lt;1,0,IFERROR(LOOKUP(2,1/(Soja!$E80:INDEX(Soja!$E80:$Z80,MIN(K$6-$E$3,22))&lt;&gt;""),Soja!$E80:INDEX(Soja!$E80:$Z80,MIN(K$6-$E$3,22))),0))-IF($G$2,0,IF((K$6-$G$3)&lt;1,0,IFERROR(LOOKUP(2,1/(Soja!$E80:INDEX(Soja!$E80:$Z80,MIN(K$6-$G$3,22))&lt;&gt;""),Soja!$E80:INDEX(Soja!$E80:$Z80,MIN(K$6-$G$3,22))),0)))))</f>
        <v>0</v>
      </c>
      <c r="L82" s="27" t="n">
        <f aca="false">IF(COUNT(Soja!$E80:$Z80)=0,0,MAX(0,IF((L$6-$E$3)&lt;1,0,IFERROR(LOOKUP(2,1/(Soja!$E80:INDEX(Soja!$E80:$Z80,MIN(L$6-$E$3,22))&lt;&gt;""),Soja!$E80:INDEX(Soja!$E80:$Z80,MIN(L$6-$E$3,22))),0))-IF($G$2,0,IF((L$6-$G$3)&lt;1,0,IFERROR(LOOKUP(2,1/(Soja!$E80:INDEX(Soja!$E80:$Z80,MIN(L$6-$G$3,22))&lt;&gt;""),Soja!$E80:INDEX(Soja!$E80:$Z80,MIN(L$6-$G$3,22))),0)))))</f>
        <v>0</v>
      </c>
      <c r="M82" s="27" t="n">
        <f aca="false">IF(COUNT(Soja!$E80:$Z80)=0,0,MAX(0,IF((M$6-$E$3)&lt;1,0,IFERROR(LOOKUP(2,1/(Soja!$E80:INDEX(Soja!$E80:$Z80,MIN(M$6-$E$3,22))&lt;&gt;""),Soja!$E80:INDEX(Soja!$E80:$Z80,MIN(M$6-$E$3,22))),0))-IF($G$2,0,IF((M$6-$G$3)&lt;1,0,IFERROR(LOOKUP(2,1/(Soja!$E80:INDEX(Soja!$E80:$Z80,MIN(M$6-$G$3,22))&lt;&gt;""),Soja!$E80:INDEX(Soja!$E80:$Z80,MIN(M$6-$G$3,22))),0)))))</f>
        <v>0</v>
      </c>
      <c r="N82" s="27" t="n">
        <f aca="false">IF(COUNT(Soja!$E80:$Z80)=0,0,MAX(0,IF((N$6-$E$3)&lt;1,0,IFERROR(LOOKUP(2,1/(Soja!$E80:INDEX(Soja!$E80:$Z80,MIN(N$6-$E$3,22))&lt;&gt;""),Soja!$E80:INDEX(Soja!$E80:$Z80,MIN(N$6-$E$3,22))),0))-IF($G$2,0,IF((N$6-$G$3)&lt;1,0,IFERROR(LOOKUP(2,1/(Soja!$E80:INDEX(Soja!$E80:$Z80,MIN(N$6-$G$3,22))&lt;&gt;""),Soja!$E80:INDEX(Soja!$E80:$Z80,MIN(N$6-$G$3,22))),0)))))</f>
        <v>0</v>
      </c>
      <c r="O82" s="27" t="n">
        <f aca="false">IF(COUNT(Soja!$E80:$Z80)=0,0,MAX(0,IF((O$6-$E$3)&lt;1,0,IFERROR(LOOKUP(2,1/(Soja!$E80:INDEX(Soja!$E80:$Z80,MIN(O$6-$E$3,22))&lt;&gt;""),Soja!$E80:INDEX(Soja!$E80:$Z80,MIN(O$6-$E$3,22))),0))-IF($G$2,0,IF((O$6-$G$3)&lt;1,0,IFERROR(LOOKUP(2,1/(Soja!$E80:INDEX(Soja!$E80:$Z80,MIN(O$6-$G$3,22))&lt;&gt;""),Soja!$E80:INDEX(Soja!$E80:$Z80,MIN(O$6-$G$3,22))),0)))))</f>
        <v>0</v>
      </c>
      <c r="P82" s="27" t="n">
        <f aca="false">IF(COUNT(Soja!$E80:$Z80)=0,0,MAX(0,IF((P$6-$E$3)&lt;1,0,IFERROR(LOOKUP(2,1/(Soja!$E80:INDEX(Soja!$E80:$Z80,MIN(P$6-$E$3,22))&lt;&gt;""),Soja!$E80:INDEX(Soja!$E80:$Z80,MIN(P$6-$E$3,22))),0))-IF($G$2,0,IF((P$6-$G$3)&lt;1,0,IFERROR(LOOKUP(2,1/(Soja!$E80:INDEX(Soja!$E80:$Z80,MIN(P$6-$G$3,22))&lt;&gt;""),Soja!$E80:INDEX(Soja!$E80:$Z80,MIN(P$6-$G$3,22))),0)))))</f>
        <v>0</v>
      </c>
      <c r="Q82" s="27" t="n">
        <f aca="false">IF(COUNT(Soja!$E80:$Z80)=0,0,MAX(0,IF((Q$6-$E$3)&lt;1,0,IFERROR(LOOKUP(2,1/(Soja!$E80:INDEX(Soja!$E80:$Z80,MIN(Q$6-$E$3,22))&lt;&gt;""),Soja!$E80:INDEX(Soja!$E80:$Z80,MIN(Q$6-$E$3,22))),0))-IF($G$2,0,IF((Q$6-$G$3)&lt;1,0,IFERROR(LOOKUP(2,1/(Soja!$E80:INDEX(Soja!$E80:$Z80,MIN(Q$6-$G$3,22))&lt;&gt;""),Soja!$E80:INDEX(Soja!$E80:$Z80,MIN(Q$6-$G$3,22))),0)))))</f>
        <v>0</v>
      </c>
      <c r="R82" s="27" t="n">
        <f aca="false">IF(COUNT(Soja!$E80:$Z80)=0,0,MAX(0,IF((R$6-$E$3)&lt;1,0,IFERROR(LOOKUP(2,1/(Soja!$E80:INDEX(Soja!$E80:$Z80,MIN(R$6-$E$3,22))&lt;&gt;""),Soja!$E80:INDEX(Soja!$E80:$Z80,MIN(R$6-$E$3,22))),0))-IF($G$2,0,IF((R$6-$G$3)&lt;1,0,IFERROR(LOOKUP(2,1/(Soja!$E80:INDEX(Soja!$E80:$Z80,MIN(R$6-$G$3,22))&lt;&gt;""),Soja!$E80:INDEX(Soja!$E80:$Z80,MIN(R$6-$G$3,22))),0)))))</f>
        <v>0</v>
      </c>
      <c r="S82" s="27" t="n">
        <f aca="false">IF(COUNT(Soja!$E80:$Z80)=0,0,MAX(0,IF((S$6-$E$3)&lt;1,0,IFERROR(LOOKUP(2,1/(Soja!$E80:INDEX(Soja!$E80:$Z80,MIN(S$6-$E$3,22))&lt;&gt;""),Soja!$E80:INDEX(Soja!$E80:$Z80,MIN(S$6-$E$3,22))),0))-IF($G$2,0,IF((S$6-$G$3)&lt;1,0,IFERROR(LOOKUP(2,1/(Soja!$E80:INDEX(Soja!$E80:$Z80,MIN(S$6-$G$3,22))&lt;&gt;""),Soja!$E80:INDEX(Soja!$E80:$Z80,MIN(S$6-$G$3,22))),0)))))</f>
        <v>0</v>
      </c>
      <c r="T82" s="27" t="n">
        <f aca="false">IF(COUNT(Soja!$E80:$Z80)=0,0,MAX(0,IF((T$6-$E$3)&lt;1,0,IFERROR(LOOKUP(2,1/(Soja!$E80:INDEX(Soja!$E80:$Z80,MIN(T$6-$E$3,22))&lt;&gt;""),Soja!$E80:INDEX(Soja!$E80:$Z80,MIN(T$6-$E$3,22))),0))-IF($G$2,0,IF((T$6-$G$3)&lt;1,0,IFERROR(LOOKUP(2,1/(Soja!$E80:INDEX(Soja!$E80:$Z80,MIN(T$6-$G$3,22))&lt;&gt;""),Soja!$E80:INDEX(Soja!$E80:$Z80,MIN(T$6-$G$3,22))),0)))))</f>
        <v>0</v>
      </c>
      <c r="U82" s="27" t="n">
        <f aca="false">IF(COUNT(Soja!$E80:$Z80)=0,0,MAX(0,IF((U$6-$E$3)&lt;1,0,IFERROR(LOOKUP(2,1/(Soja!$E80:INDEX(Soja!$E80:$Z80,MIN(U$6-$E$3,22))&lt;&gt;""),Soja!$E80:INDEX(Soja!$E80:$Z80,MIN(U$6-$E$3,22))),0))-IF($G$2,0,IF((U$6-$G$3)&lt;1,0,IFERROR(LOOKUP(2,1/(Soja!$E80:INDEX(Soja!$E80:$Z80,MIN(U$6-$G$3,22))&lt;&gt;""),Soja!$E80:INDEX(Soja!$E80:$Z80,MIN(U$6-$G$3,22))),0)))))</f>
        <v>0</v>
      </c>
      <c r="V82" s="27" t="n">
        <f aca="false">IF(COUNT(Soja!$E80:$Z80)=0,0,MAX(0,IF((V$6-$E$3)&lt;1,0,IFERROR(LOOKUP(2,1/(Soja!$E80:INDEX(Soja!$E80:$Z80,MIN(V$6-$E$3,22))&lt;&gt;""),Soja!$E80:INDEX(Soja!$E80:$Z80,MIN(V$6-$E$3,22))),0))-IF($G$2,0,IF((V$6-$G$3)&lt;1,0,IFERROR(LOOKUP(2,1/(Soja!$E80:INDEX(Soja!$E80:$Z80,MIN(V$6-$G$3,22))&lt;&gt;""),Soja!$E80:INDEX(Soja!$E80:$Z80,MIN(V$6-$G$3,22))),0)))))</f>
        <v>0</v>
      </c>
      <c r="W82" s="27" t="n">
        <f aca="false">IF(COUNT(Soja!$E80:$Z80)=0,0,MAX(0,IF((W$6-$E$3)&lt;1,0,IFERROR(LOOKUP(2,1/(Soja!$E80:INDEX(Soja!$E80:$Z80,MIN(W$6-$E$3,22))&lt;&gt;""),Soja!$E80:INDEX(Soja!$E80:$Z80,MIN(W$6-$E$3,22))),0))-IF($G$2,0,IF((W$6-$G$3)&lt;1,0,IFERROR(LOOKUP(2,1/(Soja!$E80:INDEX(Soja!$E80:$Z80,MIN(W$6-$G$3,22))&lt;&gt;""),Soja!$E80:INDEX(Soja!$E80:$Z80,MIN(W$6-$G$3,22))),0)))))</f>
        <v>0</v>
      </c>
      <c r="X82" s="27" t="n">
        <f aca="false">IF(COUNT(Soja!$E80:$Z80)=0,0,MAX(0,IF((X$6-$E$3)&lt;1,0,IFERROR(LOOKUP(2,1/(Soja!$E80:INDEX(Soja!$E80:$Z80,MIN(X$6-$E$3,22))&lt;&gt;""),Soja!$E80:INDEX(Soja!$E80:$Z80,MIN(X$6-$E$3,22))),0))-IF($G$2,0,IF((X$6-$G$3)&lt;1,0,IFERROR(LOOKUP(2,1/(Soja!$E80:INDEX(Soja!$E80:$Z80,MIN(X$6-$G$3,22))&lt;&gt;""),Soja!$E80:INDEX(Soja!$E80:$Z80,MIN(X$6-$G$3,22))),0)))))</f>
        <v>0</v>
      </c>
      <c r="Y82" s="27" t="n">
        <f aca="false">IF(COUNT(Soja!$E80:$Z80)=0,0,MAX(0,IF((Y$6-$E$3)&lt;1,0,IFERROR(LOOKUP(2,1/(Soja!$E80:INDEX(Soja!$E80:$Z80,MIN(Y$6-$E$3,22))&lt;&gt;""),Soja!$E80:INDEX(Soja!$E80:$Z80,MIN(Y$6-$E$3,22))),0))-IF($G$2,0,IF((Y$6-$G$3)&lt;1,0,IFERROR(LOOKUP(2,1/(Soja!$E80:INDEX(Soja!$E80:$Z80,MIN(Y$6-$G$3,22))&lt;&gt;""),Soja!$E80:INDEX(Soja!$E80:$Z80,MIN(Y$6-$G$3,22))),0)))))</f>
        <v>0</v>
      </c>
      <c r="Z82" s="27" t="n">
        <f aca="false">IF(COUNT(Soja!$E80:$Z80)=0,0,MAX(0,IF((Z$6-$E$3)&lt;1,0,IFERROR(LOOKUP(2,1/(Soja!$E80:INDEX(Soja!$E80:$Z80,MIN(Z$6-$E$3,22))&lt;&gt;""),Soja!$E80:INDEX(Soja!$E80:$Z80,MIN(Z$6-$E$3,22))),0))-IF($G$2,0,IF((Z$6-$G$3)&lt;1,0,IFERROR(LOOKUP(2,1/(Soja!$E80:INDEX(Soja!$E80:$Z80,MIN(Z$6-$G$3,22))&lt;&gt;""),Soja!$E80:INDEX(Soja!$E80:$Z80,MIN(Z$6-$G$3,22))),0)))))</f>
        <v>0</v>
      </c>
      <c r="AA82" s="27" t="n">
        <f aca="false">IF(COUNT(Soja!$E80:$Z80)=0,0,MAX(0,IF((AA$6-$E$3)&lt;1,0,IFERROR(LOOKUP(2,1/(Soja!$E80:INDEX(Soja!$E80:$Z80,MIN(AA$6-$E$3,22))&lt;&gt;""),Soja!$E80:INDEX(Soja!$E80:$Z80,MIN(AA$6-$E$3,22))),0))-IF($G$2,0,IF((AA$6-$G$3)&lt;1,0,IFERROR(LOOKUP(2,1/(Soja!$E80:INDEX(Soja!$E80:$Z80,MIN(AA$6-$G$3,22))&lt;&gt;""),Soja!$E80:INDEX(Soja!$E80:$Z80,MIN(AA$6-$G$3,22))),0)))))</f>
        <v>0</v>
      </c>
      <c r="AB82" s="27" t="n">
        <f aca="false">IF(COUNT(Soja!$E80:$Z80)=0,0,MAX(0,IF((AB$6-$E$3)&lt;1,0,IFERROR(LOOKUP(2,1/(Soja!$E80:INDEX(Soja!$E80:$Z80,MIN(AB$6-$E$3,22))&lt;&gt;""),Soja!$E80:INDEX(Soja!$E80:$Z80,MIN(AB$6-$E$3,22))),0))-IF($G$2,0,IF((AB$6-$G$3)&lt;1,0,IFERROR(LOOKUP(2,1/(Soja!$E80:INDEX(Soja!$E80:$Z80,MIN(AB$6-$G$3,22))&lt;&gt;""),Soja!$E80:INDEX(Soja!$E80:$Z80,MIN(AB$6-$G$3,22))),0)))))</f>
        <v>0</v>
      </c>
      <c r="AC82" s="27" t="n">
        <f aca="false">IF(COUNT(Soja!$E80:$Z80)=0,0,MAX(0,IF((AC$6-$E$3)&lt;1,0,IFERROR(LOOKUP(2,1/(Soja!$E80:INDEX(Soja!$E80:$Z80,MIN(AC$6-$E$3,22))&lt;&gt;""),Soja!$E80:INDEX(Soja!$E80:$Z80,MIN(AC$6-$E$3,22))),0))-IF($G$2,0,IF((AC$6-$G$3)&lt;1,0,IFERROR(LOOKUP(2,1/(Soja!$E80:INDEX(Soja!$E80:$Z80,MIN(AC$6-$G$3,22))&lt;&gt;""),Soja!$E80:INDEX(Soja!$E80:$Z80,MIN(AC$6-$G$3,22))),0)))))</f>
        <v>0</v>
      </c>
      <c r="AD82" s="27" t="n">
        <f aca="false">IF(COUNT(Soja!$E80:$Z80)=0,0,MAX(0,IF((AD$6-$E$3)&lt;1,0,IFERROR(LOOKUP(2,1/(Soja!$E80:INDEX(Soja!$E80:$Z80,MIN(AD$6-$E$3,22))&lt;&gt;""),Soja!$E80:INDEX(Soja!$E80:$Z80,MIN(AD$6-$E$3,22))),0))-IF($G$2,0,IF((AD$6-$G$3)&lt;1,0,IFERROR(LOOKUP(2,1/(Soja!$E80:INDEX(Soja!$E80:$Z80,MIN(AD$6-$G$3,22))&lt;&gt;""),Soja!$E80:INDEX(Soja!$E80:$Z80,MIN(AD$6-$G$3,22))),0)))))</f>
        <v>0</v>
      </c>
      <c r="AE82" s="27" t="n">
        <f aca="false">IF(COUNT(Soja!$E80:$Z80)=0,0,MAX(0,IF((AE$6-$E$3)&lt;1,0,IFERROR(LOOKUP(2,1/(Soja!$E80:INDEX(Soja!$E80:$Z80,MIN(AE$6-$E$3,22))&lt;&gt;""),Soja!$E80:INDEX(Soja!$E80:$Z80,MIN(AE$6-$E$3,22))),0))-IF($G$2,0,IF((AE$6-$G$3)&lt;1,0,IFERROR(LOOKUP(2,1/(Soja!$E80:INDEX(Soja!$E80:$Z80,MIN(AE$6-$G$3,22))&lt;&gt;""),Soja!$E80:INDEX(Soja!$E80:$Z80,MIN(AE$6-$G$3,22))),0)))))</f>
        <v>0</v>
      </c>
      <c r="AF82" s="27" t="n">
        <f aca="false">IF(COUNT(Soja!$E80:$Z80)=0,0,MAX(0,IF((AF$6-$E$3)&lt;1,0,IFERROR(LOOKUP(2,1/(Soja!$E80:INDEX(Soja!$E80:$Z80,MIN(AF$6-$E$3,22))&lt;&gt;""),Soja!$E80:INDEX(Soja!$E80:$Z80,MIN(AF$6-$E$3,22))),0))-IF($G$2,0,IF((AF$6-$G$3)&lt;1,0,IFERROR(LOOKUP(2,1/(Soja!$E80:INDEX(Soja!$E80:$Z80,MIN(AF$6-$G$3,22))&lt;&gt;""),Soja!$E80:INDEX(Soja!$E80:$Z80,MIN(AF$6-$G$3,22))),0)))))</f>
        <v>0</v>
      </c>
      <c r="AG82" s="27" t="n">
        <f aca="false">IF(COUNT(Soja!$E80:$Z80)=0,0,MAX(0,IF((AG$6-$E$3)&lt;1,0,IFERROR(LOOKUP(2,1/(Soja!$E80:INDEX(Soja!$E80:$Z80,MIN(AG$6-$E$3,22))&lt;&gt;""),Soja!$E80:INDEX(Soja!$E80:$Z80,MIN(AG$6-$E$3,22))),0))-IF($G$2,0,IF((AG$6-$G$3)&lt;1,0,IFERROR(LOOKUP(2,1/(Soja!$E80:INDEX(Soja!$E80:$Z80,MIN(AG$6-$G$3,22))&lt;&gt;""),Soja!$E80:INDEX(Soja!$E80:$Z80,MIN(AG$6-$G$3,22))),0)))))</f>
        <v>0</v>
      </c>
      <c r="AH82" s="27" t="n">
        <f aca="false">IF(COUNT(Soja!$E80:$Z80)=0,0,MAX(0,IF((AH$6-$E$3)&lt;1,0,IFERROR(LOOKUP(2,1/(Soja!$E80:INDEX(Soja!$E80:$Z80,MIN(AH$6-$E$3,22))&lt;&gt;""),Soja!$E80:INDEX(Soja!$E80:$Z80,MIN(AH$6-$E$3,22))),0))-IF($G$2,0,IF((AH$6-$G$3)&lt;1,0,IFERROR(LOOKUP(2,1/(Soja!$E80:INDEX(Soja!$E80:$Z80,MIN(AH$6-$G$3,22))&lt;&gt;""),Soja!$E80:INDEX(Soja!$E80:$Z80,MIN(AH$6-$G$3,22))),0)))))</f>
        <v>0</v>
      </c>
      <c r="AI82" s="27" t="n">
        <f aca="false">IF(COUNT(Soja!$E80:$Z80)=0,0,MAX(0,IF((AI$6-$E$3)&lt;1,0,IFERROR(LOOKUP(2,1/(Soja!$E80:INDEX(Soja!$E80:$Z80,MIN(AI$6-$E$3,22))&lt;&gt;""),Soja!$E80:INDEX(Soja!$E80:$Z80,MIN(AI$6-$E$3,22))),0))-IF($G$2,0,IF((AI$6-$G$3)&lt;1,0,IFERROR(LOOKUP(2,1/(Soja!$E80:INDEX(Soja!$E80:$Z80,MIN(AI$6-$G$3,22))&lt;&gt;""),Soja!$E80:INDEX(Soja!$E80:$Z80,MIN(AI$6-$G$3,22))),0)))))</f>
        <v>0</v>
      </c>
      <c r="AJ82" s="27" t="n">
        <f aca="false">IF(COUNT(Soja!$E80:$Z80)=0,0,MAX(0,IF((AJ$6-$E$3)&lt;1,0,IFERROR(LOOKUP(2,1/(Soja!$E80:INDEX(Soja!$E80:$Z80,MIN(AJ$6-$E$3,22))&lt;&gt;""),Soja!$E80:INDEX(Soja!$E80:$Z80,MIN(AJ$6-$E$3,22))),0))-IF($G$2,0,IF((AJ$6-$G$3)&lt;1,0,IFERROR(LOOKUP(2,1/(Soja!$E80:INDEX(Soja!$E80:$Z80,MIN(AJ$6-$G$3,22))&lt;&gt;""),Soja!$E80:INDEX(Soja!$E80:$Z80,MIN(AJ$6-$G$3,22))),0)))))</f>
        <v>0</v>
      </c>
      <c r="AK82" s="27" t="n">
        <f aca="false">IF(COUNT(Soja!$E80:$Z80)=0,0,MAX(0,IF((AK$6-$E$3)&lt;1,0,IFERROR(LOOKUP(2,1/(Soja!$E80:INDEX(Soja!$E80:$Z80,MIN(AK$6-$E$3,22))&lt;&gt;""),Soja!$E80:INDEX(Soja!$E80:$Z80,MIN(AK$6-$E$3,22))),0))-IF($G$2,0,IF((AK$6-$G$3)&lt;1,0,IFERROR(LOOKUP(2,1/(Soja!$E80:INDEX(Soja!$E80:$Z80,MIN(AK$6-$G$3,22))&lt;&gt;""),Soja!$E80:INDEX(Soja!$E80:$Z80,MIN(AK$6-$G$3,22))),0)))))</f>
        <v>0</v>
      </c>
      <c r="AL82" s="27" t="n">
        <f aca="false">IF(COUNT(Soja!$E80:$Z80)=0,0,MAX(0,IF((AL$6-$E$3)&lt;1,0,IFERROR(LOOKUP(2,1/(Soja!$E80:INDEX(Soja!$E80:$Z80,MIN(AL$6-$E$3,22))&lt;&gt;""),Soja!$E80:INDEX(Soja!$E80:$Z80,MIN(AL$6-$E$3,22))),0))-IF($G$2,0,IF((AL$6-$G$3)&lt;1,0,IFERROR(LOOKUP(2,1/(Soja!$E80:INDEX(Soja!$E80:$Z80,MIN(AL$6-$G$3,22))&lt;&gt;""),Soja!$E80:INDEX(Soja!$E80:$Z80,MIN(AL$6-$G$3,22))),0)))))</f>
        <v>0</v>
      </c>
      <c r="AM82" s="27" t="n">
        <f aca="false">IF(COUNT(Soja!$E80:$Z80)=0,0,MAX(0,IF((AM$6-$E$3)&lt;1,0,IFERROR(LOOKUP(2,1/(Soja!$E80:INDEX(Soja!$E80:$Z80,MIN(AM$6-$E$3,22))&lt;&gt;""),Soja!$E80:INDEX(Soja!$E80:$Z80,MIN(AM$6-$E$3,22))),0))-IF($G$2,0,IF((AM$6-$G$3)&lt;1,0,IFERROR(LOOKUP(2,1/(Soja!$E80:INDEX(Soja!$E80:$Z80,MIN(AM$6-$G$3,22))&lt;&gt;""),Soja!$E80:INDEX(Soja!$E80:$Z80,MIN(AM$6-$G$3,22))),0)))))</f>
        <v>0</v>
      </c>
      <c r="AN82" s="27" t="n">
        <f aca="false">IF(COUNT(Soja!$E80:$Z80)=0,0,MAX(0,IF((AN$6-$E$3)&lt;1,0,IFERROR(LOOKUP(2,1/(Soja!$E80:INDEX(Soja!$E80:$Z80,MIN(AN$6-$E$3,22))&lt;&gt;""),Soja!$E80:INDEX(Soja!$E80:$Z80,MIN(AN$6-$E$3,22))),0))-IF($G$2,0,IF((AN$6-$G$3)&lt;1,0,IFERROR(LOOKUP(2,1/(Soja!$E80:INDEX(Soja!$E80:$Z80,MIN(AN$6-$G$3,22))&lt;&gt;""),Soja!$E80:INDEX(Soja!$E80:$Z80,MIN(AN$6-$G$3,22))),0)))))</f>
        <v>0</v>
      </c>
      <c r="AO82" s="27" t="n">
        <f aca="false">IF(COUNT(Soja!$E80:$Z80)=0,0,MAX(0,IF((AO$6-$E$3)&lt;1,0,IFERROR(LOOKUP(2,1/(Soja!$E80:INDEX(Soja!$E80:$Z80,MIN(AO$6-$E$3,22))&lt;&gt;""),Soja!$E80:INDEX(Soja!$E80:$Z80,MIN(AO$6-$E$3,22))),0))-IF($G$2,0,IF((AO$6-$G$3)&lt;1,0,IFERROR(LOOKUP(2,1/(Soja!$E80:INDEX(Soja!$E80:$Z80,MIN(AO$6-$G$3,22))&lt;&gt;""),Soja!$E80:INDEX(Soja!$E80:$Z80,MIN(AO$6-$G$3,22))),0)))))</f>
        <v>0</v>
      </c>
      <c r="AP82" s="27" t="n">
        <f aca="false">IF(COUNT(Soja!$E80:$Z80)=0,0,MAX(0,IF((AP$6-$E$3)&lt;1,0,IFERROR(LOOKUP(2,1/(Soja!$E80:INDEX(Soja!$E80:$Z80,MIN(AP$6-$E$3,22))&lt;&gt;""),Soja!$E80:INDEX(Soja!$E80:$Z80,MIN(AP$6-$E$3,22))),0))-IF($G$2,0,IF((AP$6-$G$3)&lt;1,0,IFERROR(LOOKUP(2,1/(Soja!$E80:INDEX(Soja!$E80:$Z80,MIN(AP$6-$G$3,22))&lt;&gt;""),Soja!$E80:INDEX(Soja!$E80:$Z80,MIN(AP$6-$G$3,22))),0)))))</f>
        <v>0</v>
      </c>
      <c r="AQ82" s="27" t="n">
        <f aca="false">IF(COUNT(Soja!$E80:$Z80)=0,0,MAX(0,IF((AQ$6-$E$3)&lt;1,0,IFERROR(LOOKUP(2,1/(Soja!$E80:INDEX(Soja!$E80:$Z80,MIN(AQ$6-$E$3,22))&lt;&gt;""),Soja!$E80:INDEX(Soja!$E80:$Z80,MIN(AQ$6-$E$3,22))),0))-IF($G$2,0,IF((AQ$6-$G$3)&lt;1,0,IFERROR(LOOKUP(2,1/(Soja!$E80:INDEX(Soja!$E80:$Z80,MIN(AQ$6-$G$3,22))&lt;&gt;""),Soja!$E80:INDEX(Soja!$E80:$Z80,MIN(AQ$6-$G$3,22))),0)))))</f>
        <v>0</v>
      </c>
      <c r="AR82" s="27" t="n">
        <f aca="false">IF(COUNT(Soja!$E80:$Z80)=0,0,MAX(0,IF((AR$6-$E$3)&lt;1,0,IFERROR(LOOKUP(2,1/(Soja!$E80:INDEX(Soja!$E80:$Z80,MIN(AR$6-$E$3,22))&lt;&gt;""),Soja!$E80:INDEX(Soja!$E80:$Z80,MIN(AR$6-$E$3,22))),0))-IF($G$2,0,IF((AR$6-$G$3)&lt;1,0,IFERROR(LOOKUP(2,1/(Soja!$E80:INDEX(Soja!$E80:$Z80,MIN(AR$6-$G$3,22))&lt;&gt;""),Soja!$E80:INDEX(Soja!$E80:$Z80,MIN(AR$6-$G$3,22))),0)))))</f>
        <v>0</v>
      </c>
      <c r="AS82" s="27" t="n">
        <f aca="false">IF(COUNT(Soja!$E80:$Z80)=0,0,MAX(0,IF((AS$6-$E$3)&lt;1,0,IFERROR(LOOKUP(2,1/(Soja!$E80:INDEX(Soja!$E80:$Z80,MIN(AS$6-$E$3,22))&lt;&gt;""),Soja!$E80:INDEX(Soja!$E80:$Z80,MIN(AS$6-$E$3,22))),0))-IF($G$2,0,IF((AS$6-$G$3)&lt;1,0,IFERROR(LOOKUP(2,1/(Soja!$E80:INDEX(Soja!$E80:$Z80,MIN(AS$6-$G$3,22))&lt;&gt;""),Soja!$E80:INDEX(Soja!$E80:$Z80,MIN(AS$6-$G$3,22))),0)))))</f>
        <v>0</v>
      </c>
      <c r="AT82" s="27" t="n">
        <f aca="false">IF(COUNT(Soja!$E80:$Z80)=0,0,MAX(0,IF((AT$6-$E$3)&lt;1,0,IFERROR(LOOKUP(2,1/(Soja!$E80:INDEX(Soja!$E80:$Z80,MIN(AT$6-$E$3,22))&lt;&gt;""),Soja!$E80:INDEX(Soja!$E80:$Z80,MIN(AT$6-$E$3,22))),0))-IF($G$2,0,IF((AT$6-$G$3)&lt;1,0,IFERROR(LOOKUP(2,1/(Soja!$E80:INDEX(Soja!$E80:$Z80,MIN(AT$6-$G$3,22))&lt;&gt;""),Soja!$E80:INDEX(Soja!$E80:$Z80,MIN(AT$6-$G$3,22))),0)))))</f>
        <v>0</v>
      </c>
      <c r="AU82" s="27" t="n">
        <f aca="false">IF(COUNT(Soja!$E80:$Z80)=0,0,MAX(0,IF((AU$6-$E$3)&lt;1,0,IFERROR(LOOKUP(2,1/(Soja!$E80:INDEX(Soja!$E80:$Z80,MIN(AU$6-$E$3,22))&lt;&gt;""),Soja!$E80:INDEX(Soja!$E80:$Z80,MIN(AU$6-$E$3,22))),0))-IF($G$2,0,IF((AU$6-$G$3)&lt;1,0,IFERROR(LOOKUP(2,1/(Soja!$E80:INDEX(Soja!$E80:$Z80,MIN(AU$6-$G$3,22))&lt;&gt;""),Soja!$E80:INDEX(Soja!$E80:$Z80,MIN(AU$6-$G$3,22))),0)))))</f>
        <v>0</v>
      </c>
      <c r="AV82" s="27" t="n">
        <f aca="false">IF(COUNT(Soja!$E80:$Z80)=0,0,MAX(0,IF((AV$6-$E$3)&lt;1,0,IFERROR(LOOKUP(2,1/(Soja!$E80:INDEX(Soja!$E80:$Z80,MIN(AV$6-$E$3,22))&lt;&gt;""),Soja!$E80:INDEX(Soja!$E80:$Z80,MIN(AV$6-$E$3,22))),0))-IF($G$2,0,IF((AV$6-$G$3)&lt;1,0,IFERROR(LOOKUP(2,1/(Soja!$E80:INDEX(Soja!$E80:$Z80,MIN(AV$6-$G$3,22))&lt;&gt;""),Soja!$E80:INDEX(Soja!$E80:$Z80,MIN(AV$6-$G$3,22))),0)))))</f>
        <v>0</v>
      </c>
      <c r="AW82" s="27" t="n">
        <f aca="false">IF(COUNT(Soja!$E80:$Z80)=0,0,MAX(0,IF((AW$6-$E$3)&lt;1,0,IFERROR(LOOKUP(2,1/(Soja!$E80:INDEX(Soja!$E80:$Z80,MIN(AW$6-$E$3,22))&lt;&gt;""),Soja!$E80:INDEX(Soja!$E80:$Z80,MIN(AW$6-$E$3,22))),0))-IF($G$2,0,IF((AW$6-$G$3)&lt;1,0,IFERROR(LOOKUP(2,1/(Soja!$E80:INDEX(Soja!$E80:$Z80,MIN(AW$6-$G$3,22))&lt;&gt;""),Soja!$E80:INDEX(Soja!$E80:$Z80,MIN(AW$6-$G$3,22))),0)))))</f>
        <v>0</v>
      </c>
      <c r="AX82" s="27" t="n">
        <f aca="false">IF(COUNT(Soja!$E80:$Z80)=0,0,MAX(0,IF((AX$6-$E$3)&lt;1,0,IFERROR(LOOKUP(2,1/(Soja!$E80:INDEX(Soja!$E80:$Z80,MIN(AX$6-$E$3,22))&lt;&gt;""),Soja!$E80:INDEX(Soja!$E80:$Z80,MIN(AX$6-$E$3,22))),0))-IF($G$2,0,IF((AX$6-$G$3)&lt;1,0,IFERROR(LOOKUP(2,1/(Soja!$E80:INDEX(Soja!$E80:$Z80,MIN(AX$6-$G$3,22))&lt;&gt;""),Soja!$E80:INDEX(Soja!$E80:$Z80,MIN(AX$6-$G$3,22))),0)))))</f>
        <v>0</v>
      </c>
      <c r="AY82" s="27" t="n">
        <f aca="false">IF(COUNT(Soja!$E80:$Z80)=0,0,MAX(0,IF((AY$6-$E$3)&lt;1,0,IFERROR(LOOKUP(2,1/(Soja!$E80:INDEX(Soja!$E80:$Z80,MIN(AY$6-$E$3,22))&lt;&gt;""),Soja!$E80:INDEX(Soja!$E80:$Z80,MIN(AY$6-$E$3,22))),0))-IF($G$2,0,IF((AY$6-$G$3)&lt;1,0,IFERROR(LOOKUP(2,1/(Soja!$E80:INDEX(Soja!$E80:$Z80,MIN(AY$6-$G$3,22))&lt;&gt;""),Soja!$E80:INDEX(Soja!$E80:$Z80,MIN(AY$6-$G$3,22))),0)))))</f>
        <v>0</v>
      </c>
      <c r="AZ82" s="27" t="n">
        <f aca="false">IF(COUNT(Soja!$E80:$Z80)=0,0,MAX(0,IF((AZ$6-$E$3)&lt;1,0,IFERROR(LOOKUP(2,1/(Soja!$E80:INDEX(Soja!$E80:$Z80,MIN(AZ$6-$E$3,22))&lt;&gt;""),Soja!$E80:INDEX(Soja!$E80:$Z80,MIN(AZ$6-$E$3,22))),0))-IF($G$2,0,IF((AZ$6-$G$3)&lt;1,0,IFERROR(LOOKUP(2,1/(Soja!$E80:INDEX(Soja!$E80:$Z80,MIN(AZ$6-$G$3,22))&lt;&gt;""),Soja!$E80:INDEX(Soja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IF(COUNT(Soja!$E81:$Z81)&gt;0,N(Soja!$D81),0)</f>
        <v>0</v>
      </c>
      <c r="E83" s="27" t="n">
        <f aca="false">IF(COUNT(Soja!$E81:$Z81)=0,0,MAX(0,IF((E$6-$E$3)&lt;1,0,IFERROR(LOOKUP(2,1/(Soja!$E81:INDEX(Soja!$E81:$Z81,MIN(E$6-$E$3,22))&lt;&gt;""),Soja!$E81:INDEX(Soja!$E81:$Z81,MIN(E$6-$E$3,22))),0))-IF($G$2,0,IF((E$6-$G$3)&lt;1,0,IFERROR(LOOKUP(2,1/(Soja!$E81:INDEX(Soja!$E81:$Z81,MIN(E$6-$G$3,22))&lt;&gt;""),Soja!$E81:INDEX(Soja!$E81:$Z81,MIN(E$6-$G$3,22))),0)))))</f>
        <v>0</v>
      </c>
      <c r="F83" s="27" t="n">
        <f aca="false">IF(COUNT(Soja!$E81:$Z81)=0,0,MAX(0,IF((F$6-$E$3)&lt;1,0,IFERROR(LOOKUP(2,1/(Soja!$E81:INDEX(Soja!$E81:$Z81,MIN(F$6-$E$3,22))&lt;&gt;""),Soja!$E81:INDEX(Soja!$E81:$Z81,MIN(F$6-$E$3,22))),0))-IF($G$2,0,IF((F$6-$G$3)&lt;1,0,IFERROR(LOOKUP(2,1/(Soja!$E81:INDEX(Soja!$E81:$Z81,MIN(F$6-$G$3,22))&lt;&gt;""),Soja!$E81:INDEX(Soja!$E81:$Z81,MIN(F$6-$G$3,22))),0)))))</f>
        <v>0</v>
      </c>
      <c r="G83" s="27" t="n">
        <f aca="false">IF(COUNT(Soja!$E81:$Z81)=0,0,MAX(0,IF((G$6-$E$3)&lt;1,0,IFERROR(LOOKUP(2,1/(Soja!$E81:INDEX(Soja!$E81:$Z81,MIN(G$6-$E$3,22))&lt;&gt;""),Soja!$E81:INDEX(Soja!$E81:$Z81,MIN(G$6-$E$3,22))),0))-IF($G$2,0,IF((G$6-$G$3)&lt;1,0,IFERROR(LOOKUP(2,1/(Soja!$E81:INDEX(Soja!$E81:$Z81,MIN(G$6-$G$3,22))&lt;&gt;""),Soja!$E81:INDEX(Soja!$E81:$Z81,MIN(G$6-$G$3,22))),0)))))</f>
        <v>0</v>
      </c>
      <c r="H83" s="27" t="n">
        <f aca="false">IF(COUNT(Soja!$E81:$Z81)=0,0,MAX(0,IF((H$6-$E$3)&lt;1,0,IFERROR(LOOKUP(2,1/(Soja!$E81:INDEX(Soja!$E81:$Z81,MIN(H$6-$E$3,22))&lt;&gt;""),Soja!$E81:INDEX(Soja!$E81:$Z81,MIN(H$6-$E$3,22))),0))-IF($G$2,0,IF((H$6-$G$3)&lt;1,0,IFERROR(LOOKUP(2,1/(Soja!$E81:INDEX(Soja!$E81:$Z81,MIN(H$6-$G$3,22))&lt;&gt;""),Soja!$E81:INDEX(Soja!$E81:$Z81,MIN(H$6-$G$3,22))),0)))))</f>
        <v>0</v>
      </c>
      <c r="I83" s="27" t="n">
        <f aca="false">IF(COUNT(Soja!$E81:$Z81)=0,0,MAX(0,IF((I$6-$E$3)&lt;1,0,IFERROR(LOOKUP(2,1/(Soja!$E81:INDEX(Soja!$E81:$Z81,MIN(I$6-$E$3,22))&lt;&gt;""),Soja!$E81:INDEX(Soja!$E81:$Z81,MIN(I$6-$E$3,22))),0))-IF($G$2,0,IF((I$6-$G$3)&lt;1,0,IFERROR(LOOKUP(2,1/(Soja!$E81:INDEX(Soja!$E81:$Z81,MIN(I$6-$G$3,22))&lt;&gt;""),Soja!$E81:INDEX(Soja!$E81:$Z81,MIN(I$6-$G$3,22))),0)))))</f>
        <v>0</v>
      </c>
      <c r="J83" s="27" t="n">
        <f aca="false">IF(COUNT(Soja!$E81:$Z81)=0,0,MAX(0,IF((J$6-$E$3)&lt;1,0,IFERROR(LOOKUP(2,1/(Soja!$E81:INDEX(Soja!$E81:$Z81,MIN(J$6-$E$3,22))&lt;&gt;""),Soja!$E81:INDEX(Soja!$E81:$Z81,MIN(J$6-$E$3,22))),0))-IF($G$2,0,IF((J$6-$G$3)&lt;1,0,IFERROR(LOOKUP(2,1/(Soja!$E81:INDEX(Soja!$E81:$Z81,MIN(J$6-$G$3,22))&lt;&gt;""),Soja!$E81:INDEX(Soja!$E81:$Z81,MIN(J$6-$G$3,22))),0)))))</f>
        <v>0</v>
      </c>
      <c r="K83" s="27" t="n">
        <f aca="false">IF(COUNT(Soja!$E81:$Z81)=0,0,MAX(0,IF((K$6-$E$3)&lt;1,0,IFERROR(LOOKUP(2,1/(Soja!$E81:INDEX(Soja!$E81:$Z81,MIN(K$6-$E$3,22))&lt;&gt;""),Soja!$E81:INDEX(Soja!$E81:$Z81,MIN(K$6-$E$3,22))),0))-IF($G$2,0,IF((K$6-$G$3)&lt;1,0,IFERROR(LOOKUP(2,1/(Soja!$E81:INDEX(Soja!$E81:$Z81,MIN(K$6-$G$3,22))&lt;&gt;""),Soja!$E81:INDEX(Soja!$E81:$Z81,MIN(K$6-$G$3,22))),0)))))</f>
        <v>0</v>
      </c>
      <c r="L83" s="27" t="n">
        <f aca="false">IF(COUNT(Soja!$E81:$Z81)=0,0,MAX(0,IF((L$6-$E$3)&lt;1,0,IFERROR(LOOKUP(2,1/(Soja!$E81:INDEX(Soja!$E81:$Z81,MIN(L$6-$E$3,22))&lt;&gt;""),Soja!$E81:INDEX(Soja!$E81:$Z81,MIN(L$6-$E$3,22))),0))-IF($G$2,0,IF((L$6-$G$3)&lt;1,0,IFERROR(LOOKUP(2,1/(Soja!$E81:INDEX(Soja!$E81:$Z81,MIN(L$6-$G$3,22))&lt;&gt;""),Soja!$E81:INDEX(Soja!$E81:$Z81,MIN(L$6-$G$3,22))),0)))))</f>
        <v>0</v>
      </c>
      <c r="M83" s="27" t="n">
        <f aca="false">IF(COUNT(Soja!$E81:$Z81)=0,0,MAX(0,IF((M$6-$E$3)&lt;1,0,IFERROR(LOOKUP(2,1/(Soja!$E81:INDEX(Soja!$E81:$Z81,MIN(M$6-$E$3,22))&lt;&gt;""),Soja!$E81:INDEX(Soja!$E81:$Z81,MIN(M$6-$E$3,22))),0))-IF($G$2,0,IF((M$6-$G$3)&lt;1,0,IFERROR(LOOKUP(2,1/(Soja!$E81:INDEX(Soja!$E81:$Z81,MIN(M$6-$G$3,22))&lt;&gt;""),Soja!$E81:INDEX(Soja!$E81:$Z81,MIN(M$6-$G$3,22))),0)))))</f>
        <v>0</v>
      </c>
      <c r="N83" s="27" t="n">
        <f aca="false">IF(COUNT(Soja!$E81:$Z81)=0,0,MAX(0,IF((N$6-$E$3)&lt;1,0,IFERROR(LOOKUP(2,1/(Soja!$E81:INDEX(Soja!$E81:$Z81,MIN(N$6-$E$3,22))&lt;&gt;""),Soja!$E81:INDEX(Soja!$E81:$Z81,MIN(N$6-$E$3,22))),0))-IF($G$2,0,IF((N$6-$G$3)&lt;1,0,IFERROR(LOOKUP(2,1/(Soja!$E81:INDEX(Soja!$E81:$Z81,MIN(N$6-$G$3,22))&lt;&gt;""),Soja!$E81:INDEX(Soja!$E81:$Z81,MIN(N$6-$G$3,22))),0)))))</f>
        <v>0</v>
      </c>
      <c r="O83" s="27" t="n">
        <f aca="false">IF(COUNT(Soja!$E81:$Z81)=0,0,MAX(0,IF((O$6-$E$3)&lt;1,0,IFERROR(LOOKUP(2,1/(Soja!$E81:INDEX(Soja!$E81:$Z81,MIN(O$6-$E$3,22))&lt;&gt;""),Soja!$E81:INDEX(Soja!$E81:$Z81,MIN(O$6-$E$3,22))),0))-IF($G$2,0,IF((O$6-$G$3)&lt;1,0,IFERROR(LOOKUP(2,1/(Soja!$E81:INDEX(Soja!$E81:$Z81,MIN(O$6-$G$3,22))&lt;&gt;""),Soja!$E81:INDEX(Soja!$E81:$Z81,MIN(O$6-$G$3,22))),0)))))</f>
        <v>0</v>
      </c>
      <c r="P83" s="27" t="n">
        <f aca="false">IF(COUNT(Soja!$E81:$Z81)=0,0,MAX(0,IF((P$6-$E$3)&lt;1,0,IFERROR(LOOKUP(2,1/(Soja!$E81:INDEX(Soja!$E81:$Z81,MIN(P$6-$E$3,22))&lt;&gt;""),Soja!$E81:INDEX(Soja!$E81:$Z81,MIN(P$6-$E$3,22))),0))-IF($G$2,0,IF((P$6-$G$3)&lt;1,0,IFERROR(LOOKUP(2,1/(Soja!$E81:INDEX(Soja!$E81:$Z81,MIN(P$6-$G$3,22))&lt;&gt;""),Soja!$E81:INDEX(Soja!$E81:$Z81,MIN(P$6-$G$3,22))),0)))))</f>
        <v>0</v>
      </c>
      <c r="Q83" s="27" t="n">
        <f aca="false">IF(COUNT(Soja!$E81:$Z81)=0,0,MAX(0,IF((Q$6-$E$3)&lt;1,0,IFERROR(LOOKUP(2,1/(Soja!$E81:INDEX(Soja!$E81:$Z81,MIN(Q$6-$E$3,22))&lt;&gt;""),Soja!$E81:INDEX(Soja!$E81:$Z81,MIN(Q$6-$E$3,22))),0))-IF($G$2,0,IF((Q$6-$G$3)&lt;1,0,IFERROR(LOOKUP(2,1/(Soja!$E81:INDEX(Soja!$E81:$Z81,MIN(Q$6-$G$3,22))&lt;&gt;""),Soja!$E81:INDEX(Soja!$E81:$Z81,MIN(Q$6-$G$3,22))),0)))))</f>
        <v>0</v>
      </c>
      <c r="R83" s="27" t="n">
        <f aca="false">IF(COUNT(Soja!$E81:$Z81)=0,0,MAX(0,IF((R$6-$E$3)&lt;1,0,IFERROR(LOOKUP(2,1/(Soja!$E81:INDEX(Soja!$E81:$Z81,MIN(R$6-$E$3,22))&lt;&gt;""),Soja!$E81:INDEX(Soja!$E81:$Z81,MIN(R$6-$E$3,22))),0))-IF($G$2,0,IF((R$6-$G$3)&lt;1,0,IFERROR(LOOKUP(2,1/(Soja!$E81:INDEX(Soja!$E81:$Z81,MIN(R$6-$G$3,22))&lt;&gt;""),Soja!$E81:INDEX(Soja!$E81:$Z81,MIN(R$6-$G$3,22))),0)))))</f>
        <v>0</v>
      </c>
      <c r="S83" s="27" t="n">
        <f aca="false">IF(COUNT(Soja!$E81:$Z81)=0,0,MAX(0,IF((S$6-$E$3)&lt;1,0,IFERROR(LOOKUP(2,1/(Soja!$E81:INDEX(Soja!$E81:$Z81,MIN(S$6-$E$3,22))&lt;&gt;""),Soja!$E81:INDEX(Soja!$E81:$Z81,MIN(S$6-$E$3,22))),0))-IF($G$2,0,IF((S$6-$G$3)&lt;1,0,IFERROR(LOOKUP(2,1/(Soja!$E81:INDEX(Soja!$E81:$Z81,MIN(S$6-$G$3,22))&lt;&gt;""),Soja!$E81:INDEX(Soja!$E81:$Z81,MIN(S$6-$G$3,22))),0)))))</f>
        <v>0</v>
      </c>
      <c r="T83" s="27" t="n">
        <f aca="false">IF(COUNT(Soja!$E81:$Z81)=0,0,MAX(0,IF((T$6-$E$3)&lt;1,0,IFERROR(LOOKUP(2,1/(Soja!$E81:INDEX(Soja!$E81:$Z81,MIN(T$6-$E$3,22))&lt;&gt;""),Soja!$E81:INDEX(Soja!$E81:$Z81,MIN(T$6-$E$3,22))),0))-IF($G$2,0,IF((T$6-$G$3)&lt;1,0,IFERROR(LOOKUP(2,1/(Soja!$E81:INDEX(Soja!$E81:$Z81,MIN(T$6-$G$3,22))&lt;&gt;""),Soja!$E81:INDEX(Soja!$E81:$Z81,MIN(T$6-$G$3,22))),0)))))</f>
        <v>0</v>
      </c>
      <c r="U83" s="27" t="n">
        <f aca="false">IF(COUNT(Soja!$E81:$Z81)=0,0,MAX(0,IF((U$6-$E$3)&lt;1,0,IFERROR(LOOKUP(2,1/(Soja!$E81:INDEX(Soja!$E81:$Z81,MIN(U$6-$E$3,22))&lt;&gt;""),Soja!$E81:INDEX(Soja!$E81:$Z81,MIN(U$6-$E$3,22))),0))-IF($G$2,0,IF((U$6-$G$3)&lt;1,0,IFERROR(LOOKUP(2,1/(Soja!$E81:INDEX(Soja!$E81:$Z81,MIN(U$6-$G$3,22))&lt;&gt;""),Soja!$E81:INDEX(Soja!$E81:$Z81,MIN(U$6-$G$3,22))),0)))))</f>
        <v>0</v>
      </c>
      <c r="V83" s="27" t="n">
        <f aca="false">IF(COUNT(Soja!$E81:$Z81)=0,0,MAX(0,IF((V$6-$E$3)&lt;1,0,IFERROR(LOOKUP(2,1/(Soja!$E81:INDEX(Soja!$E81:$Z81,MIN(V$6-$E$3,22))&lt;&gt;""),Soja!$E81:INDEX(Soja!$E81:$Z81,MIN(V$6-$E$3,22))),0))-IF($G$2,0,IF((V$6-$G$3)&lt;1,0,IFERROR(LOOKUP(2,1/(Soja!$E81:INDEX(Soja!$E81:$Z81,MIN(V$6-$G$3,22))&lt;&gt;""),Soja!$E81:INDEX(Soja!$E81:$Z81,MIN(V$6-$G$3,22))),0)))))</f>
        <v>0</v>
      </c>
      <c r="W83" s="27" t="n">
        <f aca="false">IF(COUNT(Soja!$E81:$Z81)=0,0,MAX(0,IF((W$6-$E$3)&lt;1,0,IFERROR(LOOKUP(2,1/(Soja!$E81:INDEX(Soja!$E81:$Z81,MIN(W$6-$E$3,22))&lt;&gt;""),Soja!$E81:INDEX(Soja!$E81:$Z81,MIN(W$6-$E$3,22))),0))-IF($G$2,0,IF((W$6-$G$3)&lt;1,0,IFERROR(LOOKUP(2,1/(Soja!$E81:INDEX(Soja!$E81:$Z81,MIN(W$6-$G$3,22))&lt;&gt;""),Soja!$E81:INDEX(Soja!$E81:$Z81,MIN(W$6-$G$3,22))),0)))))</f>
        <v>0</v>
      </c>
      <c r="X83" s="27" t="n">
        <f aca="false">IF(COUNT(Soja!$E81:$Z81)=0,0,MAX(0,IF((X$6-$E$3)&lt;1,0,IFERROR(LOOKUP(2,1/(Soja!$E81:INDEX(Soja!$E81:$Z81,MIN(X$6-$E$3,22))&lt;&gt;""),Soja!$E81:INDEX(Soja!$E81:$Z81,MIN(X$6-$E$3,22))),0))-IF($G$2,0,IF((X$6-$G$3)&lt;1,0,IFERROR(LOOKUP(2,1/(Soja!$E81:INDEX(Soja!$E81:$Z81,MIN(X$6-$G$3,22))&lt;&gt;""),Soja!$E81:INDEX(Soja!$E81:$Z81,MIN(X$6-$G$3,22))),0)))))</f>
        <v>0</v>
      </c>
      <c r="Y83" s="27" t="n">
        <f aca="false">IF(COUNT(Soja!$E81:$Z81)=0,0,MAX(0,IF((Y$6-$E$3)&lt;1,0,IFERROR(LOOKUP(2,1/(Soja!$E81:INDEX(Soja!$E81:$Z81,MIN(Y$6-$E$3,22))&lt;&gt;""),Soja!$E81:INDEX(Soja!$E81:$Z81,MIN(Y$6-$E$3,22))),0))-IF($G$2,0,IF((Y$6-$G$3)&lt;1,0,IFERROR(LOOKUP(2,1/(Soja!$E81:INDEX(Soja!$E81:$Z81,MIN(Y$6-$G$3,22))&lt;&gt;""),Soja!$E81:INDEX(Soja!$E81:$Z81,MIN(Y$6-$G$3,22))),0)))))</f>
        <v>0</v>
      </c>
      <c r="Z83" s="27" t="n">
        <f aca="false">IF(COUNT(Soja!$E81:$Z81)=0,0,MAX(0,IF((Z$6-$E$3)&lt;1,0,IFERROR(LOOKUP(2,1/(Soja!$E81:INDEX(Soja!$E81:$Z81,MIN(Z$6-$E$3,22))&lt;&gt;""),Soja!$E81:INDEX(Soja!$E81:$Z81,MIN(Z$6-$E$3,22))),0))-IF($G$2,0,IF((Z$6-$G$3)&lt;1,0,IFERROR(LOOKUP(2,1/(Soja!$E81:INDEX(Soja!$E81:$Z81,MIN(Z$6-$G$3,22))&lt;&gt;""),Soja!$E81:INDEX(Soja!$E81:$Z81,MIN(Z$6-$G$3,22))),0)))))</f>
        <v>0</v>
      </c>
      <c r="AA83" s="27" t="n">
        <f aca="false">IF(COUNT(Soja!$E81:$Z81)=0,0,MAX(0,IF((AA$6-$E$3)&lt;1,0,IFERROR(LOOKUP(2,1/(Soja!$E81:INDEX(Soja!$E81:$Z81,MIN(AA$6-$E$3,22))&lt;&gt;""),Soja!$E81:INDEX(Soja!$E81:$Z81,MIN(AA$6-$E$3,22))),0))-IF($G$2,0,IF((AA$6-$G$3)&lt;1,0,IFERROR(LOOKUP(2,1/(Soja!$E81:INDEX(Soja!$E81:$Z81,MIN(AA$6-$G$3,22))&lt;&gt;""),Soja!$E81:INDEX(Soja!$E81:$Z81,MIN(AA$6-$G$3,22))),0)))))</f>
        <v>0</v>
      </c>
      <c r="AB83" s="27" t="n">
        <f aca="false">IF(COUNT(Soja!$E81:$Z81)=0,0,MAX(0,IF((AB$6-$E$3)&lt;1,0,IFERROR(LOOKUP(2,1/(Soja!$E81:INDEX(Soja!$E81:$Z81,MIN(AB$6-$E$3,22))&lt;&gt;""),Soja!$E81:INDEX(Soja!$E81:$Z81,MIN(AB$6-$E$3,22))),0))-IF($G$2,0,IF((AB$6-$G$3)&lt;1,0,IFERROR(LOOKUP(2,1/(Soja!$E81:INDEX(Soja!$E81:$Z81,MIN(AB$6-$G$3,22))&lt;&gt;""),Soja!$E81:INDEX(Soja!$E81:$Z81,MIN(AB$6-$G$3,22))),0)))))</f>
        <v>0</v>
      </c>
      <c r="AC83" s="27" t="n">
        <f aca="false">IF(COUNT(Soja!$E81:$Z81)=0,0,MAX(0,IF((AC$6-$E$3)&lt;1,0,IFERROR(LOOKUP(2,1/(Soja!$E81:INDEX(Soja!$E81:$Z81,MIN(AC$6-$E$3,22))&lt;&gt;""),Soja!$E81:INDEX(Soja!$E81:$Z81,MIN(AC$6-$E$3,22))),0))-IF($G$2,0,IF((AC$6-$G$3)&lt;1,0,IFERROR(LOOKUP(2,1/(Soja!$E81:INDEX(Soja!$E81:$Z81,MIN(AC$6-$G$3,22))&lt;&gt;""),Soja!$E81:INDEX(Soja!$E81:$Z81,MIN(AC$6-$G$3,22))),0)))))</f>
        <v>0</v>
      </c>
      <c r="AD83" s="27" t="n">
        <f aca="false">IF(COUNT(Soja!$E81:$Z81)=0,0,MAX(0,IF((AD$6-$E$3)&lt;1,0,IFERROR(LOOKUP(2,1/(Soja!$E81:INDEX(Soja!$E81:$Z81,MIN(AD$6-$E$3,22))&lt;&gt;""),Soja!$E81:INDEX(Soja!$E81:$Z81,MIN(AD$6-$E$3,22))),0))-IF($G$2,0,IF((AD$6-$G$3)&lt;1,0,IFERROR(LOOKUP(2,1/(Soja!$E81:INDEX(Soja!$E81:$Z81,MIN(AD$6-$G$3,22))&lt;&gt;""),Soja!$E81:INDEX(Soja!$E81:$Z81,MIN(AD$6-$G$3,22))),0)))))</f>
        <v>0</v>
      </c>
      <c r="AE83" s="27" t="n">
        <f aca="false">IF(COUNT(Soja!$E81:$Z81)=0,0,MAX(0,IF((AE$6-$E$3)&lt;1,0,IFERROR(LOOKUP(2,1/(Soja!$E81:INDEX(Soja!$E81:$Z81,MIN(AE$6-$E$3,22))&lt;&gt;""),Soja!$E81:INDEX(Soja!$E81:$Z81,MIN(AE$6-$E$3,22))),0))-IF($G$2,0,IF((AE$6-$G$3)&lt;1,0,IFERROR(LOOKUP(2,1/(Soja!$E81:INDEX(Soja!$E81:$Z81,MIN(AE$6-$G$3,22))&lt;&gt;""),Soja!$E81:INDEX(Soja!$E81:$Z81,MIN(AE$6-$G$3,22))),0)))))</f>
        <v>0</v>
      </c>
      <c r="AF83" s="27" t="n">
        <f aca="false">IF(COUNT(Soja!$E81:$Z81)=0,0,MAX(0,IF((AF$6-$E$3)&lt;1,0,IFERROR(LOOKUP(2,1/(Soja!$E81:INDEX(Soja!$E81:$Z81,MIN(AF$6-$E$3,22))&lt;&gt;""),Soja!$E81:INDEX(Soja!$E81:$Z81,MIN(AF$6-$E$3,22))),0))-IF($G$2,0,IF((AF$6-$G$3)&lt;1,0,IFERROR(LOOKUP(2,1/(Soja!$E81:INDEX(Soja!$E81:$Z81,MIN(AF$6-$G$3,22))&lt;&gt;""),Soja!$E81:INDEX(Soja!$E81:$Z81,MIN(AF$6-$G$3,22))),0)))))</f>
        <v>0</v>
      </c>
      <c r="AG83" s="27" t="n">
        <f aca="false">IF(COUNT(Soja!$E81:$Z81)=0,0,MAX(0,IF((AG$6-$E$3)&lt;1,0,IFERROR(LOOKUP(2,1/(Soja!$E81:INDEX(Soja!$E81:$Z81,MIN(AG$6-$E$3,22))&lt;&gt;""),Soja!$E81:INDEX(Soja!$E81:$Z81,MIN(AG$6-$E$3,22))),0))-IF($G$2,0,IF((AG$6-$G$3)&lt;1,0,IFERROR(LOOKUP(2,1/(Soja!$E81:INDEX(Soja!$E81:$Z81,MIN(AG$6-$G$3,22))&lt;&gt;""),Soja!$E81:INDEX(Soja!$E81:$Z81,MIN(AG$6-$G$3,22))),0)))))</f>
        <v>0</v>
      </c>
      <c r="AH83" s="27" t="n">
        <f aca="false">IF(COUNT(Soja!$E81:$Z81)=0,0,MAX(0,IF((AH$6-$E$3)&lt;1,0,IFERROR(LOOKUP(2,1/(Soja!$E81:INDEX(Soja!$E81:$Z81,MIN(AH$6-$E$3,22))&lt;&gt;""),Soja!$E81:INDEX(Soja!$E81:$Z81,MIN(AH$6-$E$3,22))),0))-IF($G$2,0,IF((AH$6-$G$3)&lt;1,0,IFERROR(LOOKUP(2,1/(Soja!$E81:INDEX(Soja!$E81:$Z81,MIN(AH$6-$G$3,22))&lt;&gt;""),Soja!$E81:INDEX(Soja!$E81:$Z81,MIN(AH$6-$G$3,22))),0)))))</f>
        <v>0</v>
      </c>
      <c r="AI83" s="27" t="n">
        <f aca="false">IF(COUNT(Soja!$E81:$Z81)=0,0,MAX(0,IF((AI$6-$E$3)&lt;1,0,IFERROR(LOOKUP(2,1/(Soja!$E81:INDEX(Soja!$E81:$Z81,MIN(AI$6-$E$3,22))&lt;&gt;""),Soja!$E81:INDEX(Soja!$E81:$Z81,MIN(AI$6-$E$3,22))),0))-IF($G$2,0,IF((AI$6-$G$3)&lt;1,0,IFERROR(LOOKUP(2,1/(Soja!$E81:INDEX(Soja!$E81:$Z81,MIN(AI$6-$G$3,22))&lt;&gt;""),Soja!$E81:INDEX(Soja!$E81:$Z81,MIN(AI$6-$G$3,22))),0)))))</f>
        <v>0</v>
      </c>
      <c r="AJ83" s="27" t="n">
        <f aca="false">IF(COUNT(Soja!$E81:$Z81)=0,0,MAX(0,IF((AJ$6-$E$3)&lt;1,0,IFERROR(LOOKUP(2,1/(Soja!$E81:INDEX(Soja!$E81:$Z81,MIN(AJ$6-$E$3,22))&lt;&gt;""),Soja!$E81:INDEX(Soja!$E81:$Z81,MIN(AJ$6-$E$3,22))),0))-IF($G$2,0,IF((AJ$6-$G$3)&lt;1,0,IFERROR(LOOKUP(2,1/(Soja!$E81:INDEX(Soja!$E81:$Z81,MIN(AJ$6-$G$3,22))&lt;&gt;""),Soja!$E81:INDEX(Soja!$E81:$Z81,MIN(AJ$6-$G$3,22))),0)))))</f>
        <v>0</v>
      </c>
      <c r="AK83" s="27" t="n">
        <f aca="false">IF(COUNT(Soja!$E81:$Z81)=0,0,MAX(0,IF((AK$6-$E$3)&lt;1,0,IFERROR(LOOKUP(2,1/(Soja!$E81:INDEX(Soja!$E81:$Z81,MIN(AK$6-$E$3,22))&lt;&gt;""),Soja!$E81:INDEX(Soja!$E81:$Z81,MIN(AK$6-$E$3,22))),0))-IF($G$2,0,IF((AK$6-$G$3)&lt;1,0,IFERROR(LOOKUP(2,1/(Soja!$E81:INDEX(Soja!$E81:$Z81,MIN(AK$6-$G$3,22))&lt;&gt;""),Soja!$E81:INDEX(Soja!$E81:$Z81,MIN(AK$6-$G$3,22))),0)))))</f>
        <v>0</v>
      </c>
      <c r="AL83" s="27" t="n">
        <f aca="false">IF(COUNT(Soja!$E81:$Z81)=0,0,MAX(0,IF((AL$6-$E$3)&lt;1,0,IFERROR(LOOKUP(2,1/(Soja!$E81:INDEX(Soja!$E81:$Z81,MIN(AL$6-$E$3,22))&lt;&gt;""),Soja!$E81:INDEX(Soja!$E81:$Z81,MIN(AL$6-$E$3,22))),0))-IF($G$2,0,IF((AL$6-$G$3)&lt;1,0,IFERROR(LOOKUP(2,1/(Soja!$E81:INDEX(Soja!$E81:$Z81,MIN(AL$6-$G$3,22))&lt;&gt;""),Soja!$E81:INDEX(Soja!$E81:$Z81,MIN(AL$6-$G$3,22))),0)))))</f>
        <v>0</v>
      </c>
      <c r="AM83" s="27" t="n">
        <f aca="false">IF(COUNT(Soja!$E81:$Z81)=0,0,MAX(0,IF((AM$6-$E$3)&lt;1,0,IFERROR(LOOKUP(2,1/(Soja!$E81:INDEX(Soja!$E81:$Z81,MIN(AM$6-$E$3,22))&lt;&gt;""),Soja!$E81:INDEX(Soja!$E81:$Z81,MIN(AM$6-$E$3,22))),0))-IF($G$2,0,IF((AM$6-$G$3)&lt;1,0,IFERROR(LOOKUP(2,1/(Soja!$E81:INDEX(Soja!$E81:$Z81,MIN(AM$6-$G$3,22))&lt;&gt;""),Soja!$E81:INDEX(Soja!$E81:$Z81,MIN(AM$6-$G$3,22))),0)))))</f>
        <v>0</v>
      </c>
      <c r="AN83" s="27" t="n">
        <f aca="false">IF(COUNT(Soja!$E81:$Z81)=0,0,MAX(0,IF((AN$6-$E$3)&lt;1,0,IFERROR(LOOKUP(2,1/(Soja!$E81:INDEX(Soja!$E81:$Z81,MIN(AN$6-$E$3,22))&lt;&gt;""),Soja!$E81:INDEX(Soja!$E81:$Z81,MIN(AN$6-$E$3,22))),0))-IF($G$2,0,IF((AN$6-$G$3)&lt;1,0,IFERROR(LOOKUP(2,1/(Soja!$E81:INDEX(Soja!$E81:$Z81,MIN(AN$6-$G$3,22))&lt;&gt;""),Soja!$E81:INDEX(Soja!$E81:$Z81,MIN(AN$6-$G$3,22))),0)))))</f>
        <v>0</v>
      </c>
      <c r="AO83" s="27" t="n">
        <f aca="false">IF(COUNT(Soja!$E81:$Z81)=0,0,MAX(0,IF((AO$6-$E$3)&lt;1,0,IFERROR(LOOKUP(2,1/(Soja!$E81:INDEX(Soja!$E81:$Z81,MIN(AO$6-$E$3,22))&lt;&gt;""),Soja!$E81:INDEX(Soja!$E81:$Z81,MIN(AO$6-$E$3,22))),0))-IF($G$2,0,IF((AO$6-$G$3)&lt;1,0,IFERROR(LOOKUP(2,1/(Soja!$E81:INDEX(Soja!$E81:$Z81,MIN(AO$6-$G$3,22))&lt;&gt;""),Soja!$E81:INDEX(Soja!$E81:$Z81,MIN(AO$6-$G$3,22))),0)))))</f>
        <v>0</v>
      </c>
      <c r="AP83" s="27" t="n">
        <f aca="false">IF(COUNT(Soja!$E81:$Z81)=0,0,MAX(0,IF((AP$6-$E$3)&lt;1,0,IFERROR(LOOKUP(2,1/(Soja!$E81:INDEX(Soja!$E81:$Z81,MIN(AP$6-$E$3,22))&lt;&gt;""),Soja!$E81:INDEX(Soja!$E81:$Z81,MIN(AP$6-$E$3,22))),0))-IF($G$2,0,IF((AP$6-$G$3)&lt;1,0,IFERROR(LOOKUP(2,1/(Soja!$E81:INDEX(Soja!$E81:$Z81,MIN(AP$6-$G$3,22))&lt;&gt;""),Soja!$E81:INDEX(Soja!$E81:$Z81,MIN(AP$6-$G$3,22))),0)))))</f>
        <v>0</v>
      </c>
      <c r="AQ83" s="27" t="n">
        <f aca="false">IF(COUNT(Soja!$E81:$Z81)=0,0,MAX(0,IF((AQ$6-$E$3)&lt;1,0,IFERROR(LOOKUP(2,1/(Soja!$E81:INDEX(Soja!$E81:$Z81,MIN(AQ$6-$E$3,22))&lt;&gt;""),Soja!$E81:INDEX(Soja!$E81:$Z81,MIN(AQ$6-$E$3,22))),0))-IF($G$2,0,IF((AQ$6-$G$3)&lt;1,0,IFERROR(LOOKUP(2,1/(Soja!$E81:INDEX(Soja!$E81:$Z81,MIN(AQ$6-$G$3,22))&lt;&gt;""),Soja!$E81:INDEX(Soja!$E81:$Z81,MIN(AQ$6-$G$3,22))),0)))))</f>
        <v>0</v>
      </c>
      <c r="AR83" s="27" t="n">
        <f aca="false">IF(COUNT(Soja!$E81:$Z81)=0,0,MAX(0,IF((AR$6-$E$3)&lt;1,0,IFERROR(LOOKUP(2,1/(Soja!$E81:INDEX(Soja!$E81:$Z81,MIN(AR$6-$E$3,22))&lt;&gt;""),Soja!$E81:INDEX(Soja!$E81:$Z81,MIN(AR$6-$E$3,22))),0))-IF($G$2,0,IF((AR$6-$G$3)&lt;1,0,IFERROR(LOOKUP(2,1/(Soja!$E81:INDEX(Soja!$E81:$Z81,MIN(AR$6-$G$3,22))&lt;&gt;""),Soja!$E81:INDEX(Soja!$E81:$Z81,MIN(AR$6-$G$3,22))),0)))))</f>
        <v>0</v>
      </c>
      <c r="AS83" s="27" t="n">
        <f aca="false">IF(COUNT(Soja!$E81:$Z81)=0,0,MAX(0,IF((AS$6-$E$3)&lt;1,0,IFERROR(LOOKUP(2,1/(Soja!$E81:INDEX(Soja!$E81:$Z81,MIN(AS$6-$E$3,22))&lt;&gt;""),Soja!$E81:INDEX(Soja!$E81:$Z81,MIN(AS$6-$E$3,22))),0))-IF($G$2,0,IF((AS$6-$G$3)&lt;1,0,IFERROR(LOOKUP(2,1/(Soja!$E81:INDEX(Soja!$E81:$Z81,MIN(AS$6-$G$3,22))&lt;&gt;""),Soja!$E81:INDEX(Soja!$E81:$Z81,MIN(AS$6-$G$3,22))),0)))))</f>
        <v>0</v>
      </c>
      <c r="AT83" s="27" t="n">
        <f aca="false">IF(COUNT(Soja!$E81:$Z81)=0,0,MAX(0,IF((AT$6-$E$3)&lt;1,0,IFERROR(LOOKUP(2,1/(Soja!$E81:INDEX(Soja!$E81:$Z81,MIN(AT$6-$E$3,22))&lt;&gt;""),Soja!$E81:INDEX(Soja!$E81:$Z81,MIN(AT$6-$E$3,22))),0))-IF($G$2,0,IF((AT$6-$G$3)&lt;1,0,IFERROR(LOOKUP(2,1/(Soja!$E81:INDEX(Soja!$E81:$Z81,MIN(AT$6-$G$3,22))&lt;&gt;""),Soja!$E81:INDEX(Soja!$E81:$Z81,MIN(AT$6-$G$3,22))),0)))))</f>
        <v>0</v>
      </c>
      <c r="AU83" s="27" t="n">
        <f aca="false">IF(COUNT(Soja!$E81:$Z81)=0,0,MAX(0,IF((AU$6-$E$3)&lt;1,0,IFERROR(LOOKUP(2,1/(Soja!$E81:INDEX(Soja!$E81:$Z81,MIN(AU$6-$E$3,22))&lt;&gt;""),Soja!$E81:INDEX(Soja!$E81:$Z81,MIN(AU$6-$E$3,22))),0))-IF($G$2,0,IF((AU$6-$G$3)&lt;1,0,IFERROR(LOOKUP(2,1/(Soja!$E81:INDEX(Soja!$E81:$Z81,MIN(AU$6-$G$3,22))&lt;&gt;""),Soja!$E81:INDEX(Soja!$E81:$Z81,MIN(AU$6-$G$3,22))),0)))))</f>
        <v>0</v>
      </c>
      <c r="AV83" s="27" t="n">
        <f aca="false">IF(COUNT(Soja!$E81:$Z81)=0,0,MAX(0,IF((AV$6-$E$3)&lt;1,0,IFERROR(LOOKUP(2,1/(Soja!$E81:INDEX(Soja!$E81:$Z81,MIN(AV$6-$E$3,22))&lt;&gt;""),Soja!$E81:INDEX(Soja!$E81:$Z81,MIN(AV$6-$E$3,22))),0))-IF($G$2,0,IF((AV$6-$G$3)&lt;1,0,IFERROR(LOOKUP(2,1/(Soja!$E81:INDEX(Soja!$E81:$Z81,MIN(AV$6-$G$3,22))&lt;&gt;""),Soja!$E81:INDEX(Soja!$E81:$Z81,MIN(AV$6-$G$3,22))),0)))))</f>
        <v>0</v>
      </c>
      <c r="AW83" s="27" t="n">
        <f aca="false">IF(COUNT(Soja!$E81:$Z81)=0,0,MAX(0,IF((AW$6-$E$3)&lt;1,0,IFERROR(LOOKUP(2,1/(Soja!$E81:INDEX(Soja!$E81:$Z81,MIN(AW$6-$E$3,22))&lt;&gt;""),Soja!$E81:INDEX(Soja!$E81:$Z81,MIN(AW$6-$E$3,22))),0))-IF($G$2,0,IF((AW$6-$G$3)&lt;1,0,IFERROR(LOOKUP(2,1/(Soja!$E81:INDEX(Soja!$E81:$Z81,MIN(AW$6-$G$3,22))&lt;&gt;""),Soja!$E81:INDEX(Soja!$E81:$Z81,MIN(AW$6-$G$3,22))),0)))))</f>
        <v>0</v>
      </c>
      <c r="AX83" s="27" t="n">
        <f aca="false">IF(COUNT(Soja!$E81:$Z81)=0,0,MAX(0,IF((AX$6-$E$3)&lt;1,0,IFERROR(LOOKUP(2,1/(Soja!$E81:INDEX(Soja!$E81:$Z81,MIN(AX$6-$E$3,22))&lt;&gt;""),Soja!$E81:INDEX(Soja!$E81:$Z81,MIN(AX$6-$E$3,22))),0))-IF($G$2,0,IF((AX$6-$G$3)&lt;1,0,IFERROR(LOOKUP(2,1/(Soja!$E81:INDEX(Soja!$E81:$Z81,MIN(AX$6-$G$3,22))&lt;&gt;""),Soja!$E81:INDEX(Soja!$E81:$Z81,MIN(AX$6-$G$3,22))),0)))))</f>
        <v>0</v>
      </c>
      <c r="AY83" s="27" t="n">
        <f aca="false">IF(COUNT(Soja!$E81:$Z81)=0,0,MAX(0,IF((AY$6-$E$3)&lt;1,0,IFERROR(LOOKUP(2,1/(Soja!$E81:INDEX(Soja!$E81:$Z81,MIN(AY$6-$E$3,22))&lt;&gt;""),Soja!$E81:INDEX(Soja!$E81:$Z81,MIN(AY$6-$E$3,22))),0))-IF($G$2,0,IF((AY$6-$G$3)&lt;1,0,IFERROR(LOOKUP(2,1/(Soja!$E81:INDEX(Soja!$E81:$Z81,MIN(AY$6-$G$3,22))&lt;&gt;""),Soja!$E81:INDEX(Soja!$E81:$Z81,MIN(AY$6-$G$3,22))),0)))))</f>
        <v>0</v>
      </c>
      <c r="AZ83" s="27" t="n">
        <f aca="false">IF(COUNT(Soja!$E81:$Z81)=0,0,MAX(0,IF((AZ$6-$E$3)&lt;1,0,IFERROR(LOOKUP(2,1/(Soja!$E81:INDEX(Soja!$E81:$Z81,MIN(AZ$6-$E$3,22))&lt;&gt;""),Soja!$E81:INDEX(Soja!$E81:$Z81,MIN(AZ$6-$E$3,22))),0))-IF($G$2,0,IF((AZ$6-$G$3)&lt;1,0,IFERROR(LOOKUP(2,1/(Soja!$E81:INDEX(Soja!$E81:$Z81,MIN(AZ$6-$G$3,22))&lt;&gt;""),Soja!$E81:INDEX(Soja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IF(COUNT(Soja!$E82:$Z82)&gt;0,N(Soja!$D82),0)</f>
        <v>0</v>
      </c>
      <c r="E84" s="27" t="n">
        <f aca="false">IF(COUNT(Soja!$E82:$Z82)=0,0,MAX(0,IF((E$6-$E$3)&lt;1,0,IFERROR(LOOKUP(2,1/(Soja!$E82:INDEX(Soja!$E82:$Z82,MIN(E$6-$E$3,22))&lt;&gt;""),Soja!$E82:INDEX(Soja!$E82:$Z82,MIN(E$6-$E$3,22))),0))-IF($G$2,0,IF((E$6-$G$3)&lt;1,0,IFERROR(LOOKUP(2,1/(Soja!$E82:INDEX(Soja!$E82:$Z82,MIN(E$6-$G$3,22))&lt;&gt;""),Soja!$E82:INDEX(Soja!$E82:$Z82,MIN(E$6-$G$3,22))),0)))))</f>
        <v>0</v>
      </c>
      <c r="F84" s="27" t="n">
        <f aca="false">IF(COUNT(Soja!$E82:$Z82)=0,0,MAX(0,IF((F$6-$E$3)&lt;1,0,IFERROR(LOOKUP(2,1/(Soja!$E82:INDEX(Soja!$E82:$Z82,MIN(F$6-$E$3,22))&lt;&gt;""),Soja!$E82:INDEX(Soja!$E82:$Z82,MIN(F$6-$E$3,22))),0))-IF($G$2,0,IF((F$6-$G$3)&lt;1,0,IFERROR(LOOKUP(2,1/(Soja!$E82:INDEX(Soja!$E82:$Z82,MIN(F$6-$G$3,22))&lt;&gt;""),Soja!$E82:INDEX(Soja!$E82:$Z82,MIN(F$6-$G$3,22))),0)))))</f>
        <v>0</v>
      </c>
      <c r="G84" s="27" t="n">
        <f aca="false">IF(COUNT(Soja!$E82:$Z82)=0,0,MAX(0,IF((G$6-$E$3)&lt;1,0,IFERROR(LOOKUP(2,1/(Soja!$E82:INDEX(Soja!$E82:$Z82,MIN(G$6-$E$3,22))&lt;&gt;""),Soja!$E82:INDEX(Soja!$E82:$Z82,MIN(G$6-$E$3,22))),0))-IF($G$2,0,IF((G$6-$G$3)&lt;1,0,IFERROR(LOOKUP(2,1/(Soja!$E82:INDEX(Soja!$E82:$Z82,MIN(G$6-$G$3,22))&lt;&gt;""),Soja!$E82:INDEX(Soja!$E82:$Z82,MIN(G$6-$G$3,22))),0)))))</f>
        <v>0</v>
      </c>
      <c r="H84" s="27" t="n">
        <f aca="false">IF(COUNT(Soja!$E82:$Z82)=0,0,MAX(0,IF((H$6-$E$3)&lt;1,0,IFERROR(LOOKUP(2,1/(Soja!$E82:INDEX(Soja!$E82:$Z82,MIN(H$6-$E$3,22))&lt;&gt;""),Soja!$E82:INDEX(Soja!$E82:$Z82,MIN(H$6-$E$3,22))),0))-IF($G$2,0,IF((H$6-$G$3)&lt;1,0,IFERROR(LOOKUP(2,1/(Soja!$E82:INDEX(Soja!$E82:$Z82,MIN(H$6-$G$3,22))&lt;&gt;""),Soja!$E82:INDEX(Soja!$E82:$Z82,MIN(H$6-$G$3,22))),0)))))</f>
        <v>0</v>
      </c>
      <c r="I84" s="27" t="n">
        <f aca="false">IF(COUNT(Soja!$E82:$Z82)=0,0,MAX(0,IF((I$6-$E$3)&lt;1,0,IFERROR(LOOKUP(2,1/(Soja!$E82:INDEX(Soja!$E82:$Z82,MIN(I$6-$E$3,22))&lt;&gt;""),Soja!$E82:INDEX(Soja!$E82:$Z82,MIN(I$6-$E$3,22))),0))-IF($G$2,0,IF((I$6-$G$3)&lt;1,0,IFERROR(LOOKUP(2,1/(Soja!$E82:INDEX(Soja!$E82:$Z82,MIN(I$6-$G$3,22))&lt;&gt;""),Soja!$E82:INDEX(Soja!$E82:$Z82,MIN(I$6-$G$3,22))),0)))))</f>
        <v>0</v>
      </c>
      <c r="J84" s="27" t="n">
        <f aca="false">IF(COUNT(Soja!$E82:$Z82)=0,0,MAX(0,IF((J$6-$E$3)&lt;1,0,IFERROR(LOOKUP(2,1/(Soja!$E82:INDEX(Soja!$E82:$Z82,MIN(J$6-$E$3,22))&lt;&gt;""),Soja!$E82:INDEX(Soja!$E82:$Z82,MIN(J$6-$E$3,22))),0))-IF($G$2,0,IF((J$6-$G$3)&lt;1,0,IFERROR(LOOKUP(2,1/(Soja!$E82:INDEX(Soja!$E82:$Z82,MIN(J$6-$G$3,22))&lt;&gt;""),Soja!$E82:INDEX(Soja!$E82:$Z82,MIN(J$6-$G$3,22))),0)))))</f>
        <v>0</v>
      </c>
      <c r="K84" s="27" t="n">
        <f aca="false">IF(COUNT(Soja!$E82:$Z82)=0,0,MAX(0,IF((K$6-$E$3)&lt;1,0,IFERROR(LOOKUP(2,1/(Soja!$E82:INDEX(Soja!$E82:$Z82,MIN(K$6-$E$3,22))&lt;&gt;""),Soja!$E82:INDEX(Soja!$E82:$Z82,MIN(K$6-$E$3,22))),0))-IF($G$2,0,IF((K$6-$G$3)&lt;1,0,IFERROR(LOOKUP(2,1/(Soja!$E82:INDEX(Soja!$E82:$Z82,MIN(K$6-$G$3,22))&lt;&gt;""),Soja!$E82:INDEX(Soja!$E82:$Z82,MIN(K$6-$G$3,22))),0)))))</f>
        <v>0</v>
      </c>
      <c r="L84" s="27" t="n">
        <f aca="false">IF(COUNT(Soja!$E82:$Z82)=0,0,MAX(0,IF((L$6-$E$3)&lt;1,0,IFERROR(LOOKUP(2,1/(Soja!$E82:INDEX(Soja!$E82:$Z82,MIN(L$6-$E$3,22))&lt;&gt;""),Soja!$E82:INDEX(Soja!$E82:$Z82,MIN(L$6-$E$3,22))),0))-IF($G$2,0,IF((L$6-$G$3)&lt;1,0,IFERROR(LOOKUP(2,1/(Soja!$E82:INDEX(Soja!$E82:$Z82,MIN(L$6-$G$3,22))&lt;&gt;""),Soja!$E82:INDEX(Soja!$E82:$Z82,MIN(L$6-$G$3,22))),0)))))</f>
        <v>0</v>
      </c>
      <c r="M84" s="27" t="n">
        <f aca="false">IF(COUNT(Soja!$E82:$Z82)=0,0,MAX(0,IF((M$6-$E$3)&lt;1,0,IFERROR(LOOKUP(2,1/(Soja!$E82:INDEX(Soja!$E82:$Z82,MIN(M$6-$E$3,22))&lt;&gt;""),Soja!$E82:INDEX(Soja!$E82:$Z82,MIN(M$6-$E$3,22))),0))-IF($G$2,0,IF((M$6-$G$3)&lt;1,0,IFERROR(LOOKUP(2,1/(Soja!$E82:INDEX(Soja!$E82:$Z82,MIN(M$6-$G$3,22))&lt;&gt;""),Soja!$E82:INDEX(Soja!$E82:$Z82,MIN(M$6-$G$3,22))),0)))))</f>
        <v>0</v>
      </c>
      <c r="N84" s="27" t="n">
        <f aca="false">IF(COUNT(Soja!$E82:$Z82)=0,0,MAX(0,IF((N$6-$E$3)&lt;1,0,IFERROR(LOOKUP(2,1/(Soja!$E82:INDEX(Soja!$E82:$Z82,MIN(N$6-$E$3,22))&lt;&gt;""),Soja!$E82:INDEX(Soja!$E82:$Z82,MIN(N$6-$E$3,22))),0))-IF($G$2,0,IF((N$6-$G$3)&lt;1,0,IFERROR(LOOKUP(2,1/(Soja!$E82:INDEX(Soja!$E82:$Z82,MIN(N$6-$G$3,22))&lt;&gt;""),Soja!$E82:INDEX(Soja!$E82:$Z82,MIN(N$6-$G$3,22))),0)))))</f>
        <v>0</v>
      </c>
      <c r="O84" s="27" t="n">
        <f aca="false">IF(COUNT(Soja!$E82:$Z82)=0,0,MAX(0,IF((O$6-$E$3)&lt;1,0,IFERROR(LOOKUP(2,1/(Soja!$E82:INDEX(Soja!$E82:$Z82,MIN(O$6-$E$3,22))&lt;&gt;""),Soja!$E82:INDEX(Soja!$E82:$Z82,MIN(O$6-$E$3,22))),0))-IF($G$2,0,IF((O$6-$G$3)&lt;1,0,IFERROR(LOOKUP(2,1/(Soja!$E82:INDEX(Soja!$E82:$Z82,MIN(O$6-$G$3,22))&lt;&gt;""),Soja!$E82:INDEX(Soja!$E82:$Z82,MIN(O$6-$G$3,22))),0)))))</f>
        <v>0</v>
      </c>
      <c r="P84" s="27" t="n">
        <f aca="false">IF(COUNT(Soja!$E82:$Z82)=0,0,MAX(0,IF((P$6-$E$3)&lt;1,0,IFERROR(LOOKUP(2,1/(Soja!$E82:INDEX(Soja!$E82:$Z82,MIN(P$6-$E$3,22))&lt;&gt;""),Soja!$E82:INDEX(Soja!$E82:$Z82,MIN(P$6-$E$3,22))),0))-IF($G$2,0,IF((P$6-$G$3)&lt;1,0,IFERROR(LOOKUP(2,1/(Soja!$E82:INDEX(Soja!$E82:$Z82,MIN(P$6-$G$3,22))&lt;&gt;""),Soja!$E82:INDEX(Soja!$E82:$Z82,MIN(P$6-$G$3,22))),0)))))</f>
        <v>0</v>
      </c>
      <c r="Q84" s="27" t="n">
        <f aca="false">IF(COUNT(Soja!$E82:$Z82)=0,0,MAX(0,IF((Q$6-$E$3)&lt;1,0,IFERROR(LOOKUP(2,1/(Soja!$E82:INDEX(Soja!$E82:$Z82,MIN(Q$6-$E$3,22))&lt;&gt;""),Soja!$E82:INDEX(Soja!$E82:$Z82,MIN(Q$6-$E$3,22))),0))-IF($G$2,0,IF((Q$6-$G$3)&lt;1,0,IFERROR(LOOKUP(2,1/(Soja!$E82:INDEX(Soja!$E82:$Z82,MIN(Q$6-$G$3,22))&lt;&gt;""),Soja!$E82:INDEX(Soja!$E82:$Z82,MIN(Q$6-$G$3,22))),0)))))</f>
        <v>0</v>
      </c>
      <c r="R84" s="27" t="n">
        <f aca="false">IF(COUNT(Soja!$E82:$Z82)=0,0,MAX(0,IF((R$6-$E$3)&lt;1,0,IFERROR(LOOKUP(2,1/(Soja!$E82:INDEX(Soja!$E82:$Z82,MIN(R$6-$E$3,22))&lt;&gt;""),Soja!$E82:INDEX(Soja!$E82:$Z82,MIN(R$6-$E$3,22))),0))-IF($G$2,0,IF((R$6-$G$3)&lt;1,0,IFERROR(LOOKUP(2,1/(Soja!$E82:INDEX(Soja!$E82:$Z82,MIN(R$6-$G$3,22))&lt;&gt;""),Soja!$E82:INDEX(Soja!$E82:$Z82,MIN(R$6-$G$3,22))),0)))))</f>
        <v>0</v>
      </c>
      <c r="S84" s="27" t="n">
        <f aca="false">IF(COUNT(Soja!$E82:$Z82)=0,0,MAX(0,IF((S$6-$E$3)&lt;1,0,IFERROR(LOOKUP(2,1/(Soja!$E82:INDEX(Soja!$E82:$Z82,MIN(S$6-$E$3,22))&lt;&gt;""),Soja!$E82:INDEX(Soja!$E82:$Z82,MIN(S$6-$E$3,22))),0))-IF($G$2,0,IF((S$6-$G$3)&lt;1,0,IFERROR(LOOKUP(2,1/(Soja!$E82:INDEX(Soja!$E82:$Z82,MIN(S$6-$G$3,22))&lt;&gt;""),Soja!$E82:INDEX(Soja!$E82:$Z82,MIN(S$6-$G$3,22))),0)))))</f>
        <v>0</v>
      </c>
      <c r="T84" s="27" t="n">
        <f aca="false">IF(COUNT(Soja!$E82:$Z82)=0,0,MAX(0,IF((T$6-$E$3)&lt;1,0,IFERROR(LOOKUP(2,1/(Soja!$E82:INDEX(Soja!$E82:$Z82,MIN(T$6-$E$3,22))&lt;&gt;""),Soja!$E82:INDEX(Soja!$E82:$Z82,MIN(T$6-$E$3,22))),0))-IF($G$2,0,IF((T$6-$G$3)&lt;1,0,IFERROR(LOOKUP(2,1/(Soja!$E82:INDEX(Soja!$E82:$Z82,MIN(T$6-$G$3,22))&lt;&gt;""),Soja!$E82:INDEX(Soja!$E82:$Z82,MIN(T$6-$G$3,22))),0)))))</f>
        <v>0</v>
      </c>
      <c r="U84" s="27" t="n">
        <f aca="false">IF(COUNT(Soja!$E82:$Z82)=0,0,MAX(0,IF((U$6-$E$3)&lt;1,0,IFERROR(LOOKUP(2,1/(Soja!$E82:INDEX(Soja!$E82:$Z82,MIN(U$6-$E$3,22))&lt;&gt;""),Soja!$E82:INDEX(Soja!$E82:$Z82,MIN(U$6-$E$3,22))),0))-IF($G$2,0,IF((U$6-$G$3)&lt;1,0,IFERROR(LOOKUP(2,1/(Soja!$E82:INDEX(Soja!$E82:$Z82,MIN(U$6-$G$3,22))&lt;&gt;""),Soja!$E82:INDEX(Soja!$E82:$Z82,MIN(U$6-$G$3,22))),0)))))</f>
        <v>0</v>
      </c>
      <c r="V84" s="27" t="n">
        <f aca="false">IF(COUNT(Soja!$E82:$Z82)=0,0,MAX(0,IF((V$6-$E$3)&lt;1,0,IFERROR(LOOKUP(2,1/(Soja!$E82:INDEX(Soja!$E82:$Z82,MIN(V$6-$E$3,22))&lt;&gt;""),Soja!$E82:INDEX(Soja!$E82:$Z82,MIN(V$6-$E$3,22))),0))-IF($G$2,0,IF((V$6-$G$3)&lt;1,0,IFERROR(LOOKUP(2,1/(Soja!$E82:INDEX(Soja!$E82:$Z82,MIN(V$6-$G$3,22))&lt;&gt;""),Soja!$E82:INDEX(Soja!$E82:$Z82,MIN(V$6-$G$3,22))),0)))))</f>
        <v>0</v>
      </c>
      <c r="W84" s="27" t="n">
        <f aca="false">IF(COUNT(Soja!$E82:$Z82)=0,0,MAX(0,IF((W$6-$E$3)&lt;1,0,IFERROR(LOOKUP(2,1/(Soja!$E82:INDEX(Soja!$E82:$Z82,MIN(W$6-$E$3,22))&lt;&gt;""),Soja!$E82:INDEX(Soja!$E82:$Z82,MIN(W$6-$E$3,22))),0))-IF($G$2,0,IF((W$6-$G$3)&lt;1,0,IFERROR(LOOKUP(2,1/(Soja!$E82:INDEX(Soja!$E82:$Z82,MIN(W$6-$G$3,22))&lt;&gt;""),Soja!$E82:INDEX(Soja!$E82:$Z82,MIN(W$6-$G$3,22))),0)))))</f>
        <v>0</v>
      </c>
      <c r="X84" s="27" t="n">
        <f aca="false">IF(COUNT(Soja!$E82:$Z82)=0,0,MAX(0,IF((X$6-$E$3)&lt;1,0,IFERROR(LOOKUP(2,1/(Soja!$E82:INDEX(Soja!$E82:$Z82,MIN(X$6-$E$3,22))&lt;&gt;""),Soja!$E82:INDEX(Soja!$E82:$Z82,MIN(X$6-$E$3,22))),0))-IF($G$2,0,IF((X$6-$G$3)&lt;1,0,IFERROR(LOOKUP(2,1/(Soja!$E82:INDEX(Soja!$E82:$Z82,MIN(X$6-$G$3,22))&lt;&gt;""),Soja!$E82:INDEX(Soja!$E82:$Z82,MIN(X$6-$G$3,22))),0)))))</f>
        <v>0</v>
      </c>
      <c r="Y84" s="27" t="n">
        <f aca="false">IF(COUNT(Soja!$E82:$Z82)=0,0,MAX(0,IF((Y$6-$E$3)&lt;1,0,IFERROR(LOOKUP(2,1/(Soja!$E82:INDEX(Soja!$E82:$Z82,MIN(Y$6-$E$3,22))&lt;&gt;""),Soja!$E82:INDEX(Soja!$E82:$Z82,MIN(Y$6-$E$3,22))),0))-IF($G$2,0,IF((Y$6-$G$3)&lt;1,0,IFERROR(LOOKUP(2,1/(Soja!$E82:INDEX(Soja!$E82:$Z82,MIN(Y$6-$G$3,22))&lt;&gt;""),Soja!$E82:INDEX(Soja!$E82:$Z82,MIN(Y$6-$G$3,22))),0)))))</f>
        <v>0</v>
      </c>
      <c r="Z84" s="27" t="n">
        <f aca="false">IF(COUNT(Soja!$E82:$Z82)=0,0,MAX(0,IF((Z$6-$E$3)&lt;1,0,IFERROR(LOOKUP(2,1/(Soja!$E82:INDEX(Soja!$E82:$Z82,MIN(Z$6-$E$3,22))&lt;&gt;""),Soja!$E82:INDEX(Soja!$E82:$Z82,MIN(Z$6-$E$3,22))),0))-IF($G$2,0,IF((Z$6-$G$3)&lt;1,0,IFERROR(LOOKUP(2,1/(Soja!$E82:INDEX(Soja!$E82:$Z82,MIN(Z$6-$G$3,22))&lt;&gt;""),Soja!$E82:INDEX(Soja!$E82:$Z82,MIN(Z$6-$G$3,22))),0)))))</f>
        <v>0</v>
      </c>
      <c r="AA84" s="27" t="n">
        <f aca="false">IF(COUNT(Soja!$E82:$Z82)=0,0,MAX(0,IF((AA$6-$E$3)&lt;1,0,IFERROR(LOOKUP(2,1/(Soja!$E82:INDEX(Soja!$E82:$Z82,MIN(AA$6-$E$3,22))&lt;&gt;""),Soja!$E82:INDEX(Soja!$E82:$Z82,MIN(AA$6-$E$3,22))),0))-IF($G$2,0,IF((AA$6-$G$3)&lt;1,0,IFERROR(LOOKUP(2,1/(Soja!$E82:INDEX(Soja!$E82:$Z82,MIN(AA$6-$G$3,22))&lt;&gt;""),Soja!$E82:INDEX(Soja!$E82:$Z82,MIN(AA$6-$G$3,22))),0)))))</f>
        <v>0</v>
      </c>
      <c r="AB84" s="27" t="n">
        <f aca="false">IF(COUNT(Soja!$E82:$Z82)=0,0,MAX(0,IF((AB$6-$E$3)&lt;1,0,IFERROR(LOOKUP(2,1/(Soja!$E82:INDEX(Soja!$E82:$Z82,MIN(AB$6-$E$3,22))&lt;&gt;""),Soja!$E82:INDEX(Soja!$E82:$Z82,MIN(AB$6-$E$3,22))),0))-IF($G$2,0,IF((AB$6-$G$3)&lt;1,0,IFERROR(LOOKUP(2,1/(Soja!$E82:INDEX(Soja!$E82:$Z82,MIN(AB$6-$G$3,22))&lt;&gt;""),Soja!$E82:INDEX(Soja!$E82:$Z82,MIN(AB$6-$G$3,22))),0)))))</f>
        <v>0</v>
      </c>
      <c r="AC84" s="27" t="n">
        <f aca="false">IF(COUNT(Soja!$E82:$Z82)=0,0,MAX(0,IF((AC$6-$E$3)&lt;1,0,IFERROR(LOOKUP(2,1/(Soja!$E82:INDEX(Soja!$E82:$Z82,MIN(AC$6-$E$3,22))&lt;&gt;""),Soja!$E82:INDEX(Soja!$E82:$Z82,MIN(AC$6-$E$3,22))),0))-IF($G$2,0,IF((AC$6-$G$3)&lt;1,0,IFERROR(LOOKUP(2,1/(Soja!$E82:INDEX(Soja!$E82:$Z82,MIN(AC$6-$G$3,22))&lt;&gt;""),Soja!$E82:INDEX(Soja!$E82:$Z82,MIN(AC$6-$G$3,22))),0)))))</f>
        <v>0</v>
      </c>
      <c r="AD84" s="27" t="n">
        <f aca="false">IF(COUNT(Soja!$E82:$Z82)=0,0,MAX(0,IF((AD$6-$E$3)&lt;1,0,IFERROR(LOOKUP(2,1/(Soja!$E82:INDEX(Soja!$E82:$Z82,MIN(AD$6-$E$3,22))&lt;&gt;""),Soja!$E82:INDEX(Soja!$E82:$Z82,MIN(AD$6-$E$3,22))),0))-IF($G$2,0,IF((AD$6-$G$3)&lt;1,0,IFERROR(LOOKUP(2,1/(Soja!$E82:INDEX(Soja!$E82:$Z82,MIN(AD$6-$G$3,22))&lt;&gt;""),Soja!$E82:INDEX(Soja!$E82:$Z82,MIN(AD$6-$G$3,22))),0)))))</f>
        <v>0</v>
      </c>
      <c r="AE84" s="27" t="n">
        <f aca="false">IF(COUNT(Soja!$E82:$Z82)=0,0,MAX(0,IF((AE$6-$E$3)&lt;1,0,IFERROR(LOOKUP(2,1/(Soja!$E82:INDEX(Soja!$E82:$Z82,MIN(AE$6-$E$3,22))&lt;&gt;""),Soja!$E82:INDEX(Soja!$E82:$Z82,MIN(AE$6-$E$3,22))),0))-IF($G$2,0,IF((AE$6-$G$3)&lt;1,0,IFERROR(LOOKUP(2,1/(Soja!$E82:INDEX(Soja!$E82:$Z82,MIN(AE$6-$G$3,22))&lt;&gt;""),Soja!$E82:INDEX(Soja!$E82:$Z82,MIN(AE$6-$G$3,22))),0)))))</f>
        <v>0</v>
      </c>
      <c r="AF84" s="27" t="n">
        <f aca="false">IF(COUNT(Soja!$E82:$Z82)=0,0,MAX(0,IF((AF$6-$E$3)&lt;1,0,IFERROR(LOOKUP(2,1/(Soja!$E82:INDEX(Soja!$E82:$Z82,MIN(AF$6-$E$3,22))&lt;&gt;""),Soja!$E82:INDEX(Soja!$E82:$Z82,MIN(AF$6-$E$3,22))),0))-IF($G$2,0,IF((AF$6-$G$3)&lt;1,0,IFERROR(LOOKUP(2,1/(Soja!$E82:INDEX(Soja!$E82:$Z82,MIN(AF$6-$G$3,22))&lt;&gt;""),Soja!$E82:INDEX(Soja!$E82:$Z82,MIN(AF$6-$G$3,22))),0)))))</f>
        <v>0</v>
      </c>
      <c r="AG84" s="27" t="n">
        <f aca="false">IF(COUNT(Soja!$E82:$Z82)=0,0,MAX(0,IF((AG$6-$E$3)&lt;1,0,IFERROR(LOOKUP(2,1/(Soja!$E82:INDEX(Soja!$E82:$Z82,MIN(AG$6-$E$3,22))&lt;&gt;""),Soja!$E82:INDEX(Soja!$E82:$Z82,MIN(AG$6-$E$3,22))),0))-IF($G$2,0,IF((AG$6-$G$3)&lt;1,0,IFERROR(LOOKUP(2,1/(Soja!$E82:INDEX(Soja!$E82:$Z82,MIN(AG$6-$G$3,22))&lt;&gt;""),Soja!$E82:INDEX(Soja!$E82:$Z82,MIN(AG$6-$G$3,22))),0)))))</f>
        <v>0</v>
      </c>
      <c r="AH84" s="27" t="n">
        <f aca="false">IF(COUNT(Soja!$E82:$Z82)=0,0,MAX(0,IF((AH$6-$E$3)&lt;1,0,IFERROR(LOOKUP(2,1/(Soja!$E82:INDEX(Soja!$E82:$Z82,MIN(AH$6-$E$3,22))&lt;&gt;""),Soja!$E82:INDEX(Soja!$E82:$Z82,MIN(AH$6-$E$3,22))),0))-IF($G$2,0,IF((AH$6-$G$3)&lt;1,0,IFERROR(LOOKUP(2,1/(Soja!$E82:INDEX(Soja!$E82:$Z82,MIN(AH$6-$G$3,22))&lt;&gt;""),Soja!$E82:INDEX(Soja!$E82:$Z82,MIN(AH$6-$G$3,22))),0)))))</f>
        <v>0</v>
      </c>
      <c r="AI84" s="27" t="n">
        <f aca="false">IF(COUNT(Soja!$E82:$Z82)=0,0,MAX(0,IF((AI$6-$E$3)&lt;1,0,IFERROR(LOOKUP(2,1/(Soja!$E82:INDEX(Soja!$E82:$Z82,MIN(AI$6-$E$3,22))&lt;&gt;""),Soja!$E82:INDEX(Soja!$E82:$Z82,MIN(AI$6-$E$3,22))),0))-IF($G$2,0,IF((AI$6-$G$3)&lt;1,0,IFERROR(LOOKUP(2,1/(Soja!$E82:INDEX(Soja!$E82:$Z82,MIN(AI$6-$G$3,22))&lt;&gt;""),Soja!$E82:INDEX(Soja!$E82:$Z82,MIN(AI$6-$G$3,22))),0)))))</f>
        <v>0</v>
      </c>
      <c r="AJ84" s="27" t="n">
        <f aca="false">IF(COUNT(Soja!$E82:$Z82)=0,0,MAX(0,IF((AJ$6-$E$3)&lt;1,0,IFERROR(LOOKUP(2,1/(Soja!$E82:INDEX(Soja!$E82:$Z82,MIN(AJ$6-$E$3,22))&lt;&gt;""),Soja!$E82:INDEX(Soja!$E82:$Z82,MIN(AJ$6-$E$3,22))),0))-IF($G$2,0,IF((AJ$6-$G$3)&lt;1,0,IFERROR(LOOKUP(2,1/(Soja!$E82:INDEX(Soja!$E82:$Z82,MIN(AJ$6-$G$3,22))&lt;&gt;""),Soja!$E82:INDEX(Soja!$E82:$Z82,MIN(AJ$6-$G$3,22))),0)))))</f>
        <v>0</v>
      </c>
      <c r="AK84" s="27" t="n">
        <f aca="false">IF(COUNT(Soja!$E82:$Z82)=0,0,MAX(0,IF((AK$6-$E$3)&lt;1,0,IFERROR(LOOKUP(2,1/(Soja!$E82:INDEX(Soja!$E82:$Z82,MIN(AK$6-$E$3,22))&lt;&gt;""),Soja!$E82:INDEX(Soja!$E82:$Z82,MIN(AK$6-$E$3,22))),0))-IF($G$2,0,IF((AK$6-$G$3)&lt;1,0,IFERROR(LOOKUP(2,1/(Soja!$E82:INDEX(Soja!$E82:$Z82,MIN(AK$6-$G$3,22))&lt;&gt;""),Soja!$E82:INDEX(Soja!$E82:$Z82,MIN(AK$6-$G$3,22))),0)))))</f>
        <v>0</v>
      </c>
      <c r="AL84" s="27" t="n">
        <f aca="false">IF(COUNT(Soja!$E82:$Z82)=0,0,MAX(0,IF((AL$6-$E$3)&lt;1,0,IFERROR(LOOKUP(2,1/(Soja!$E82:INDEX(Soja!$E82:$Z82,MIN(AL$6-$E$3,22))&lt;&gt;""),Soja!$E82:INDEX(Soja!$E82:$Z82,MIN(AL$6-$E$3,22))),0))-IF($G$2,0,IF((AL$6-$G$3)&lt;1,0,IFERROR(LOOKUP(2,1/(Soja!$E82:INDEX(Soja!$E82:$Z82,MIN(AL$6-$G$3,22))&lt;&gt;""),Soja!$E82:INDEX(Soja!$E82:$Z82,MIN(AL$6-$G$3,22))),0)))))</f>
        <v>0</v>
      </c>
      <c r="AM84" s="27" t="n">
        <f aca="false">IF(COUNT(Soja!$E82:$Z82)=0,0,MAX(0,IF((AM$6-$E$3)&lt;1,0,IFERROR(LOOKUP(2,1/(Soja!$E82:INDEX(Soja!$E82:$Z82,MIN(AM$6-$E$3,22))&lt;&gt;""),Soja!$E82:INDEX(Soja!$E82:$Z82,MIN(AM$6-$E$3,22))),0))-IF($G$2,0,IF((AM$6-$G$3)&lt;1,0,IFERROR(LOOKUP(2,1/(Soja!$E82:INDEX(Soja!$E82:$Z82,MIN(AM$6-$G$3,22))&lt;&gt;""),Soja!$E82:INDEX(Soja!$E82:$Z82,MIN(AM$6-$G$3,22))),0)))))</f>
        <v>0</v>
      </c>
      <c r="AN84" s="27" t="n">
        <f aca="false">IF(COUNT(Soja!$E82:$Z82)=0,0,MAX(0,IF((AN$6-$E$3)&lt;1,0,IFERROR(LOOKUP(2,1/(Soja!$E82:INDEX(Soja!$E82:$Z82,MIN(AN$6-$E$3,22))&lt;&gt;""),Soja!$E82:INDEX(Soja!$E82:$Z82,MIN(AN$6-$E$3,22))),0))-IF($G$2,0,IF((AN$6-$G$3)&lt;1,0,IFERROR(LOOKUP(2,1/(Soja!$E82:INDEX(Soja!$E82:$Z82,MIN(AN$6-$G$3,22))&lt;&gt;""),Soja!$E82:INDEX(Soja!$E82:$Z82,MIN(AN$6-$G$3,22))),0)))))</f>
        <v>0</v>
      </c>
      <c r="AO84" s="27" t="n">
        <f aca="false">IF(COUNT(Soja!$E82:$Z82)=0,0,MAX(0,IF((AO$6-$E$3)&lt;1,0,IFERROR(LOOKUP(2,1/(Soja!$E82:INDEX(Soja!$E82:$Z82,MIN(AO$6-$E$3,22))&lt;&gt;""),Soja!$E82:INDEX(Soja!$E82:$Z82,MIN(AO$6-$E$3,22))),0))-IF($G$2,0,IF((AO$6-$G$3)&lt;1,0,IFERROR(LOOKUP(2,1/(Soja!$E82:INDEX(Soja!$E82:$Z82,MIN(AO$6-$G$3,22))&lt;&gt;""),Soja!$E82:INDEX(Soja!$E82:$Z82,MIN(AO$6-$G$3,22))),0)))))</f>
        <v>0</v>
      </c>
      <c r="AP84" s="27" t="n">
        <f aca="false">IF(COUNT(Soja!$E82:$Z82)=0,0,MAX(0,IF((AP$6-$E$3)&lt;1,0,IFERROR(LOOKUP(2,1/(Soja!$E82:INDEX(Soja!$E82:$Z82,MIN(AP$6-$E$3,22))&lt;&gt;""),Soja!$E82:INDEX(Soja!$E82:$Z82,MIN(AP$6-$E$3,22))),0))-IF($G$2,0,IF((AP$6-$G$3)&lt;1,0,IFERROR(LOOKUP(2,1/(Soja!$E82:INDEX(Soja!$E82:$Z82,MIN(AP$6-$G$3,22))&lt;&gt;""),Soja!$E82:INDEX(Soja!$E82:$Z82,MIN(AP$6-$G$3,22))),0)))))</f>
        <v>0</v>
      </c>
      <c r="AQ84" s="27" t="n">
        <f aca="false">IF(COUNT(Soja!$E82:$Z82)=0,0,MAX(0,IF((AQ$6-$E$3)&lt;1,0,IFERROR(LOOKUP(2,1/(Soja!$E82:INDEX(Soja!$E82:$Z82,MIN(AQ$6-$E$3,22))&lt;&gt;""),Soja!$E82:INDEX(Soja!$E82:$Z82,MIN(AQ$6-$E$3,22))),0))-IF($G$2,0,IF((AQ$6-$G$3)&lt;1,0,IFERROR(LOOKUP(2,1/(Soja!$E82:INDEX(Soja!$E82:$Z82,MIN(AQ$6-$G$3,22))&lt;&gt;""),Soja!$E82:INDEX(Soja!$E82:$Z82,MIN(AQ$6-$G$3,22))),0)))))</f>
        <v>0</v>
      </c>
      <c r="AR84" s="27" t="n">
        <f aca="false">IF(COUNT(Soja!$E82:$Z82)=0,0,MAX(0,IF((AR$6-$E$3)&lt;1,0,IFERROR(LOOKUP(2,1/(Soja!$E82:INDEX(Soja!$E82:$Z82,MIN(AR$6-$E$3,22))&lt;&gt;""),Soja!$E82:INDEX(Soja!$E82:$Z82,MIN(AR$6-$E$3,22))),0))-IF($G$2,0,IF((AR$6-$G$3)&lt;1,0,IFERROR(LOOKUP(2,1/(Soja!$E82:INDEX(Soja!$E82:$Z82,MIN(AR$6-$G$3,22))&lt;&gt;""),Soja!$E82:INDEX(Soja!$E82:$Z82,MIN(AR$6-$G$3,22))),0)))))</f>
        <v>0</v>
      </c>
      <c r="AS84" s="27" t="n">
        <f aca="false">IF(COUNT(Soja!$E82:$Z82)=0,0,MAX(0,IF((AS$6-$E$3)&lt;1,0,IFERROR(LOOKUP(2,1/(Soja!$E82:INDEX(Soja!$E82:$Z82,MIN(AS$6-$E$3,22))&lt;&gt;""),Soja!$E82:INDEX(Soja!$E82:$Z82,MIN(AS$6-$E$3,22))),0))-IF($G$2,0,IF((AS$6-$G$3)&lt;1,0,IFERROR(LOOKUP(2,1/(Soja!$E82:INDEX(Soja!$E82:$Z82,MIN(AS$6-$G$3,22))&lt;&gt;""),Soja!$E82:INDEX(Soja!$E82:$Z82,MIN(AS$6-$G$3,22))),0)))))</f>
        <v>0</v>
      </c>
      <c r="AT84" s="27" t="n">
        <f aca="false">IF(COUNT(Soja!$E82:$Z82)=0,0,MAX(0,IF((AT$6-$E$3)&lt;1,0,IFERROR(LOOKUP(2,1/(Soja!$E82:INDEX(Soja!$E82:$Z82,MIN(AT$6-$E$3,22))&lt;&gt;""),Soja!$E82:INDEX(Soja!$E82:$Z82,MIN(AT$6-$E$3,22))),0))-IF($G$2,0,IF((AT$6-$G$3)&lt;1,0,IFERROR(LOOKUP(2,1/(Soja!$E82:INDEX(Soja!$E82:$Z82,MIN(AT$6-$G$3,22))&lt;&gt;""),Soja!$E82:INDEX(Soja!$E82:$Z82,MIN(AT$6-$G$3,22))),0)))))</f>
        <v>0</v>
      </c>
      <c r="AU84" s="27" t="n">
        <f aca="false">IF(COUNT(Soja!$E82:$Z82)=0,0,MAX(0,IF((AU$6-$E$3)&lt;1,0,IFERROR(LOOKUP(2,1/(Soja!$E82:INDEX(Soja!$E82:$Z82,MIN(AU$6-$E$3,22))&lt;&gt;""),Soja!$E82:INDEX(Soja!$E82:$Z82,MIN(AU$6-$E$3,22))),0))-IF($G$2,0,IF((AU$6-$G$3)&lt;1,0,IFERROR(LOOKUP(2,1/(Soja!$E82:INDEX(Soja!$E82:$Z82,MIN(AU$6-$G$3,22))&lt;&gt;""),Soja!$E82:INDEX(Soja!$E82:$Z82,MIN(AU$6-$G$3,22))),0)))))</f>
        <v>0</v>
      </c>
      <c r="AV84" s="27" t="n">
        <f aca="false">IF(COUNT(Soja!$E82:$Z82)=0,0,MAX(0,IF((AV$6-$E$3)&lt;1,0,IFERROR(LOOKUP(2,1/(Soja!$E82:INDEX(Soja!$E82:$Z82,MIN(AV$6-$E$3,22))&lt;&gt;""),Soja!$E82:INDEX(Soja!$E82:$Z82,MIN(AV$6-$E$3,22))),0))-IF($G$2,0,IF((AV$6-$G$3)&lt;1,0,IFERROR(LOOKUP(2,1/(Soja!$E82:INDEX(Soja!$E82:$Z82,MIN(AV$6-$G$3,22))&lt;&gt;""),Soja!$E82:INDEX(Soja!$E82:$Z82,MIN(AV$6-$G$3,22))),0)))))</f>
        <v>0</v>
      </c>
      <c r="AW84" s="27" t="n">
        <f aca="false">IF(COUNT(Soja!$E82:$Z82)=0,0,MAX(0,IF((AW$6-$E$3)&lt;1,0,IFERROR(LOOKUP(2,1/(Soja!$E82:INDEX(Soja!$E82:$Z82,MIN(AW$6-$E$3,22))&lt;&gt;""),Soja!$E82:INDEX(Soja!$E82:$Z82,MIN(AW$6-$E$3,22))),0))-IF($G$2,0,IF((AW$6-$G$3)&lt;1,0,IFERROR(LOOKUP(2,1/(Soja!$E82:INDEX(Soja!$E82:$Z82,MIN(AW$6-$G$3,22))&lt;&gt;""),Soja!$E82:INDEX(Soja!$E82:$Z82,MIN(AW$6-$G$3,22))),0)))))</f>
        <v>0</v>
      </c>
      <c r="AX84" s="27" t="n">
        <f aca="false">IF(COUNT(Soja!$E82:$Z82)=0,0,MAX(0,IF((AX$6-$E$3)&lt;1,0,IFERROR(LOOKUP(2,1/(Soja!$E82:INDEX(Soja!$E82:$Z82,MIN(AX$6-$E$3,22))&lt;&gt;""),Soja!$E82:INDEX(Soja!$E82:$Z82,MIN(AX$6-$E$3,22))),0))-IF($G$2,0,IF((AX$6-$G$3)&lt;1,0,IFERROR(LOOKUP(2,1/(Soja!$E82:INDEX(Soja!$E82:$Z82,MIN(AX$6-$G$3,22))&lt;&gt;""),Soja!$E82:INDEX(Soja!$E82:$Z82,MIN(AX$6-$G$3,22))),0)))))</f>
        <v>0</v>
      </c>
      <c r="AY84" s="27" t="n">
        <f aca="false">IF(COUNT(Soja!$E82:$Z82)=0,0,MAX(0,IF((AY$6-$E$3)&lt;1,0,IFERROR(LOOKUP(2,1/(Soja!$E82:INDEX(Soja!$E82:$Z82,MIN(AY$6-$E$3,22))&lt;&gt;""),Soja!$E82:INDEX(Soja!$E82:$Z82,MIN(AY$6-$E$3,22))),0))-IF($G$2,0,IF((AY$6-$G$3)&lt;1,0,IFERROR(LOOKUP(2,1/(Soja!$E82:INDEX(Soja!$E82:$Z82,MIN(AY$6-$G$3,22))&lt;&gt;""),Soja!$E82:INDEX(Soja!$E82:$Z82,MIN(AY$6-$G$3,22))),0)))))</f>
        <v>0</v>
      </c>
      <c r="AZ84" s="27" t="n">
        <f aca="false">IF(COUNT(Soja!$E82:$Z82)=0,0,MAX(0,IF((AZ$6-$E$3)&lt;1,0,IFERROR(LOOKUP(2,1/(Soja!$E82:INDEX(Soja!$E82:$Z82,MIN(AZ$6-$E$3,22))&lt;&gt;""),Soja!$E82:INDEX(Soja!$E82:$Z82,MIN(AZ$6-$E$3,22))),0))-IF($G$2,0,IF((AZ$6-$G$3)&lt;1,0,IFERROR(LOOKUP(2,1/(Soja!$E82:INDEX(Soja!$E82:$Z82,MIN(AZ$6-$G$3,22))&lt;&gt;""),Soja!$E82:INDEX(Soja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IF(COUNT(Soja!$E83:$Z83)&gt;0,N(Soja!$D83),0)</f>
        <v>0</v>
      </c>
      <c r="E85" s="27" t="n">
        <f aca="false">IF(COUNT(Soja!$E83:$Z83)=0,0,MAX(0,IF((E$6-$E$3)&lt;1,0,IFERROR(LOOKUP(2,1/(Soja!$E83:INDEX(Soja!$E83:$Z83,MIN(E$6-$E$3,22))&lt;&gt;""),Soja!$E83:INDEX(Soja!$E83:$Z83,MIN(E$6-$E$3,22))),0))-IF($G$2,0,IF((E$6-$G$3)&lt;1,0,IFERROR(LOOKUP(2,1/(Soja!$E83:INDEX(Soja!$E83:$Z83,MIN(E$6-$G$3,22))&lt;&gt;""),Soja!$E83:INDEX(Soja!$E83:$Z83,MIN(E$6-$G$3,22))),0)))))</f>
        <v>0</v>
      </c>
      <c r="F85" s="27" t="n">
        <f aca="false">IF(COUNT(Soja!$E83:$Z83)=0,0,MAX(0,IF((F$6-$E$3)&lt;1,0,IFERROR(LOOKUP(2,1/(Soja!$E83:INDEX(Soja!$E83:$Z83,MIN(F$6-$E$3,22))&lt;&gt;""),Soja!$E83:INDEX(Soja!$E83:$Z83,MIN(F$6-$E$3,22))),0))-IF($G$2,0,IF((F$6-$G$3)&lt;1,0,IFERROR(LOOKUP(2,1/(Soja!$E83:INDEX(Soja!$E83:$Z83,MIN(F$6-$G$3,22))&lt;&gt;""),Soja!$E83:INDEX(Soja!$E83:$Z83,MIN(F$6-$G$3,22))),0)))))</f>
        <v>0</v>
      </c>
      <c r="G85" s="27" t="n">
        <f aca="false">IF(COUNT(Soja!$E83:$Z83)=0,0,MAX(0,IF((G$6-$E$3)&lt;1,0,IFERROR(LOOKUP(2,1/(Soja!$E83:INDEX(Soja!$E83:$Z83,MIN(G$6-$E$3,22))&lt;&gt;""),Soja!$E83:INDEX(Soja!$E83:$Z83,MIN(G$6-$E$3,22))),0))-IF($G$2,0,IF((G$6-$G$3)&lt;1,0,IFERROR(LOOKUP(2,1/(Soja!$E83:INDEX(Soja!$E83:$Z83,MIN(G$6-$G$3,22))&lt;&gt;""),Soja!$E83:INDEX(Soja!$E83:$Z83,MIN(G$6-$G$3,22))),0)))))</f>
        <v>0</v>
      </c>
      <c r="H85" s="27" t="n">
        <f aca="false">IF(COUNT(Soja!$E83:$Z83)=0,0,MAX(0,IF((H$6-$E$3)&lt;1,0,IFERROR(LOOKUP(2,1/(Soja!$E83:INDEX(Soja!$E83:$Z83,MIN(H$6-$E$3,22))&lt;&gt;""),Soja!$E83:INDEX(Soja!$E83:$Z83,MIN(H$6-$E$3,22))),0))-IF($G$2,0,IF((H$6-$G$3)&lt;1,0,IFERROR(LOOKUP(2,1/(Soja!$E83:INDEX(Soja!$E83:$Z83,MIN(H$6-$G$3,22))&lt;&gt;""),Soja!$E83:INDEX(Soja!$E83:$Z83,MIN(H$6-$G$3,22))),0)))))</f>
        <v>0</v>
      </c>
      <c r="I85" s="27" t="n">
        <f aca="false">IF(COUNT(Soja!$E83:$Z83)=0,0,MAX(0,IF((I$6-$E$3)&lt;1,0,IFERROR(LOOKUP(2,1/(Soja!$E83:INDEX(Soja!$E83:$Z83,MIN(I$6-$E$3,22))&lt;&gt;""),Soja!$E83:INDEX(Soja!$E83:$Z83,MIN(I$6-$E$3,22))),0))-IF($G$2,0,IF((I$6-$G$3)&lt;1,0,IFERROR(LOOKUP(2,1/(Soja!$E83:INDEX(Soja!$E83:$Z83,MIN(I$6-$G$3,22))&lt;&gt;""),Soja!$E83:INDEX(Soja!$E83:$Z83,MIN(I$6-$G$3,22))),0)))))</f>
        <v>0</v>
      </c>
      <c r="J85" s="27" t="n">
        <f aca="false">IF(COUNT(Soja!$E83:$Z83)=0,0,MAX(0,IF((J$6-$E$3)&lt;1,0,IFERROR(LOOKUP(2,1/(Soja!$E83:INDEX(Soja!$E83:$Z83,MIN(J$6-$E$3,22))&lt;&gt;""),Soja!$E83:INDEX(Soja!$E83:$Z83,MIN(J$6-$E$3,22))),0))-IF($G$2,0,IF((J$6-$G$3)&lt;1,0,IFERROR(LOOKUP(2,1/(Soja!$E83:INDEX(Soja!$E83:$Z83,MIN(J$6-$G$3,22))&lt;&gt;""),Soja!$E83:INDEX(Soja!$E83:$Z83,MIN(J$6-$G$3,22))),0)))))</f>
        <v>0</v>
      </c>
      <c r="K85" s="27" t="n">
        <f aca="false">IF(COUNT(Soja!$E83:$Z83)=0,0,MAX(0,IF((K$6-$E$3)&lt;1,0,IFERROR(LOOKUP(2,1/(Soja!$E83:INDEX(Soja!$E83:$Z83,MIN(K$6-$E$3,22))&lt;&gt;""),Soja!$E83:INDEX(Soja!$E83:$Z83,MIN(K$6-$E$3,22))),0))-IF($G$2,0,IF((K$6-$G$3)&lt;1,0,IFERROR(LOOKUP(2,1/(Soja!$E83:INDEX(Soja!$E83:$Z83,MIN(K$6-$G$3,22))&lt;&gt;""),Soja!$E83:INDEX(Soja!$E83:$Z83,MIN(K$6-$G$3,22))),0)))))</f>
        <v>0</v>
      </c>
      <c r="L85" s="27" t="n">
        <f aca="false">IF(COUNT(Soja!$E83:$Z83)=0,0,MAX(0,IF((L$6-$E$3)&lt;1,0,IFERROR(LOOKUP(2,1/(Soja!$E83:INDEX(Soja!$E83:$Z83,MIN(L$6-$E$3,22))&lt;&gt;""),Soja!$E83:INDEX(Soja!$E83:$Z83,MIN(L$6-$E$3,22))),0))-IF($G$2,0,IF((L$6-$G$3)&lt;1,0,IFERROR(LOOKUP(2,1/(Soja!$E83:INDEX(Soja!$E83:$Z83,MIN(L$6-$G$3,22))&lt;&gt;""),Soja!$E83:INDEX(Soja!$E83:$Z83,MIN(L$6-$G$3,22))),0)))))</f>
        <v>0</v>
      </c>
      <c r="M85" s="27" t="n">
        <f aca="false">IF(COUNT(Soja!$E83:$Z83)=0,0,MAX(0,IF((M$6-$E$3)&lt;1,0,IFERROR(LOOKUP(2,1/(Soja!$E83:INDEX(Soja!$E83:$Z83,MIN(M$6-$E$3,22))&lt;&gt;""),Soja!$E83:INDEX(Soja!$E83:$Z83,MIN(M$6-$E$3,22))),0))-IF($G$2,0,IF((M$6-$G$3)&lt;1,0,IFERROR(LOOKUP(2,1/(Soja!$E83:INDEX(Soja!$E83:$Z83,MIN(M$6-$G$3,22))&lt;&gt;""),Soja!$E83:INDEX(Soja!$E83:$Z83,MIN(M$6-$G$3,22))),0)))))</f>
        <v>0</v>
      </c>
      <c r="N85" s="27" t="n">
        <f aca="false">IF(COUNT(Soja!$E83:$Z83)=0,0,MAX(0,IF((N$6-$E$3)&lt;1,0,IFERROR(LOOKUP(2,1/(Soja!$E83:INDEX(Soja!$E83:$Z83,MIN(N$6-$E$3,22))&lt;&gt;""),Soja!$E83:INDEX(Soja!$E83:$Z83,MIN(N$6-$E$3,22))),0))-IF($G$2,0,IF((N$6-$G$3)&lt;1,0,IFERROR(LOOKUP(2,1/(Soja!$E83:INDEX(Soja!$E83:$Z83,MIN(N$6-$G$3,22))&lt;&gt;""),Soja!$E83:INDEX(Soja!$E83:$Z83,MIN(N$6-$G$3,22))),0)))))</f>
        <v>0</v>
      </c>
      <c r="O85" s="27" t="n">
        <f aca="false">IF(COUNT(Soja!$E83:$Z83)=0,0,MAX(0,IF((O$6-$E$3)&lt;1,0,IFERROR(LOOKUP(2,1/(Soja!$E83:INDEX(Soja!$E83:$Z83,MIN(O$6-$E$3,22))&lt;&gt;""),Soja!$E83:INDEX(Soja!$E83:$Z83,MIN(O$6-$E$3,22))),0))-IF($G$2,0,IF((O$6-$G$3)&lt;1,0,IFERROR(LOOKUP(2,1/(Soja!$E83:INDEX(Soja!$E83:$Z83,MIN(O$6-$G$3,22))&lt;&gt;""),Soja!$E83:INDEX(Soja!$E83:$Z83,MIN(O$6-$G$3,22))),0)))))</f>
        <v>0</v>
      </c>
      <c r="P85" s="27" t="n">
        <f aca="false">IF(COUNT(Soja!$E83:$Z83)=0,0,MAX(0,IF((P$6-$E$3)&lt;1,0,IFERROR(LOOKUP(2,1/(Soja!$E83:INDEX(Soja!$E83:$Z83,MIN(P$6-$E$3,22))&lt;&gt;""),Soja!$E83:INDEX(Soja!$E83:$Z83,MIN(P$6-$E$3,22))),0))-IF($G$2,0,IF((P$6-$G$3)&lt;1,0,IFERROR(LOOKUP(2,1/(Soja!$E83:INDEX(Soja!$E83:$Z83,MIN(P$6-$G$3,22))&lt;&gt;""),Soja!$E83:INDEX(Soja!$E83:$Z83,MIN(P$6-$G$3,22))),0)))))</f>
        <v>0</v>
      </c>
      <c r="Q85" s="27" t="n">
        <f aca="false">IF(COUNT(Soja!$E83:$Z83)=0,0,MAX(0,IF((Q$6-$E$3)&lt;1,0,IFERROR(LOOKUP(2,1/(Soja!$E83:INDEX(Soja!$E83:$Z83,MIN(Q$6-$E$3,22))&lt;&gt;""),Soja!$E83:INDEX(Soja!$E83:$Z83,MIN(Q$6-$E$3,22))),0))-IF($G$2,0,IF((Q$6-$G$3)&lt;1,0,IFERROR(LOOKUP(2,1/(Soja!$E83:INDEX(Soja!$E83:$Z83,MIN(Q$6-$G$3,22))&lt;&gt;""),Soja!$E83:INDEX(Soja!$E83:$Z83,MIN(Q$6-$G$3,22))),0)))))</f>
        <v>0</v>
      </c>
      <c r="R85" s="27" t="n">
        <f aca="false">IF(COUNT(Soja!$E83:$Z83)=0,0,MAX(0,IF((R$6-$E$3)&lt;1,0,IFERROR(LOOKUP(2,1/(Soja!$E83:INDEX(Soja!$E83:$Z83,MIN(R$6-$E$3,22))&lt;&gt;""),Soja!$E83:INDEX(Soja!$E83:$Z83,MIN(R$6-$E$3,22))),0))-IF($G$2,0,IF((R$6-$G$3)&lt;1,0,IFERROR(LOOKUP(2,1/(Soja!$E83:INDEX(Soja!$E83:$Z83,MIN(R$6-$G$3,22))&lt;&gt;""),Soja!$E83:INDEX(Soja!$E83:$Z83,MIN(R$6-$G$3,22))),0)))))</f>
        <v>0</v>
      </c>
      <c r="S85" s="27" t="n">
        <f aca="false">IF(COUNT(Soja!$E83:$Z83)=0,0,MAX(0,IF((S$6-$E$3)&lt;1,0,IFERROR(LOOKUP(2,1/(Soja!$E83:INDEX(Soja!$E83:$Z83,MIN(S$6-$E$3,22))&lt;&gt;""),Soja!$E83:INDEX(Soja!$E83:$Z83,MIN(S$6-$E$3,22))),0))-IF($G$2,0,IF((S$6-$G$3)&lt;1,0,IFERROR(LOOKUP(2,1/(Soja!$E83:INDEX(Soja!$E83:$Z83,MIN(S$6-$G$3,22))&lt;&gt;""),Soja!$E83:INDEX(Soja!$E83:$Z83,MIN(S$6-$G$3,22))),0)))))</f>
        <v>0</v>
      </c>
      <c r="T85" s="27" t="n">
        <f aca="false">IF(COUNT(Soja!$E83:$Z83)=0,0,MAX(0,IF((T$6-$E$3)&lt;1,0,IFERROR(LOOKUP(2,1/(Soja!$E83:INDEX(Soja!$E83:$Z83,MIN(T$6-$E$3,22))&lt;&gt;""),Soja!$E83:INDEX(Soja!$E83:$Z83,MIN(T$6-$E$3,22))),0))-IF($G$2,0,IF((T$6-$G$3)&lt;1,0,IFERROR(LOOKUP(2,1/(Soja!$E83:INDEX(Soja!$E83:$Z83,MIN(T$6-$G$3,22))&lt;&gt;""),Soja!$E83:INDEX(Soja!$E83:$Z83,MIN(T$6-$G$3,22))),0)))))</f>
        <v>0</v>
      </c>
      <c r="U85" s="27" t="n">
        <f aca="false">IF(COUNT(Soja!$E83:$Z83)=0,0,MAX(0,IF((U$6-$E$3)&lt;1,0,IFERROR(LOOKUP(2,1/(Soja!$E83:INDEX(Soja!$E83:$Z83,MIN(U$6-$E$3,22))&lt;&gt;""),Soja!$E83:INDEX(Soja!$E83:$Z83,MIN(U$6-$E$3,22))),0))-IF($G$2,0,IF((U$6-$G$3)&lt;1,0,IFERROR(LOOKUP(2,1/(Soja!$E83:INDEX(Soja!$E83:$Z83,MIN(U$6-$G$3,22))&lt;&gt;""),Soja!$E83:INDEX(Soja!$E83:$Z83,MIN(U$6-$G$3,22))),0)))))</f>
        <v>0</v>
      </c>
      <c r="V85" s="27" t="n">
        <f aca="false">IF(COUNT(Soja!$E83:$Z83)=0,0,MAX(0,IF((V$6-$E$3)&lt;1,0,IFERROR(LOOKUP(2,1/(Soja!$E83:INDEX(Soja!$E83:$Z83,MIN(V$6-$E$3,22))&lt;&gt;""),Soja!$E83:INDEX(Soja!$E83:$Z83,MIN(V$6-$E$3,22))),0))-IF($G$2,0,IF((V$6-$G$3)&lt;1,0,IFERROR(LOOKUP(2,1/(Soja!$E83:INDEX(Soja!$E83:$Z83,MIN(V$6-$G$3,22))&lt;&gt;""),Soja!$E83:INDEX(Soja!$E83:$Z83,MIN(V$6-$G$3,22))),0)))))</f>
        <v>0</v>
      </c>
      <c r="W85" s="27" t="n">
        <f aca="false">IF(COUNT(Soja!$E83:$Z83)=0,0,MAX(0,IF((W$6-$E$3)&lt;1,0,IFERROR(LOOKUP(2,1/(Soja!$E83:INDEX(Soja!$E83:$Z83,MIN(W$6-$E$3,22))&lt;&gt;""),Soja!$E83:INDEX(Soja!$E83:$Z83,MIN(W$6-$E$3,22))),0))-IF($G$2,0,IF((W$6-$G$3)&lt;1,0,IFERROR(LOOKUP(2,1/(Soja!$E83:INDEX(Soja!$E83:$Z83,MIN(W$6-$G$3,22))&lt;&gt;""),Soja!$E83:INDEX(Soja!$E83:$Z83,MIN(W$6-$G$3,22))),0)))))</f>
        <v>0</v>
      </c>
      <c r="X85" s="27" t="n">
        <f aca="false">IF(COUNT(Soja!$E83:$Z83)=0,0,MAX(0,IF((X$6-$E$3)&lt;1,0,IFERROR(LOOKUP(2,1/(Soja!$E83:INDEX(Soja!$E83:$Z83,MIN(X$6-$E$3,22))&lt;&gt;""),Soja!$E83:INDEX(Soja!$E83:$Z83,MIN(X$6-$E$3,22))),0))-IF($G$2,0,IF((X$6-$G$3)&lt;1,0,IFERROR(LOOKUP(2,1/(Soja!$E83:INDEX(Soja!$E83:$Z83,MIN(X$6-$G$3,22))&lt;&gt;""),Soja!$E83:INDEX(Soja!$E83:$Z83,MIN(X$6-$G$3,22))),0)))))</f>
        <v>0</v>
      </c>
      <c r="Y85" s="27" t="n">
        <f aca="false">IF(COUNT(Soja!$E83:$Z83)=0,0,MAX(0,IF((Y$6-$E$3)&lt;1,0,IFERROR(LOOKUP(2,1/(Soja!$E83:INDEX(Soja!$E83:$Z83,MIN(Y$6-$E$3,22))&lt;&gt;""),Soja!$E83:INDEX(Soja!$E83:$Z83,MIN(Y$6-$E$3,22))),0))-IF($G$2,0,IF((Y$6-$G$3)&lt;1,0,IFERROR(LOOKUP(2,1/(Soja!$E83:INDEX(Soja!$E83:$Z83,MIN(Y$6-$G$3,22))&lt;&gt;""),Soja!$E83:INDEX(Soja!$E83:$Z83,MIN(Y$6-$G$3,22))),0)))))</f>
        <v>0</v>
      </c>
      <c r="Z85" s="27" t="n">
        <f aca="false">IF(COUNT(Soja!$E83:$Z83)=0,0,MAX(0,IF((Z$6-$E$3)&lt;1,0,IFERROR(LOOKUP(2,1/(Soja!$E83:INDEX(Soja!$E83:$Z83,MIN(Z$6-$E$3,22))&lt;&gt;""),Soja!$E83:INDEX(Soja!$E83:$Z83,MIN(Z$6-$E$3,22))),0))-IF($G$2,0,IF((Z$6-$G$3)&lt;1,0,IFERROR(LOOKUP(2,1/(Soja!$E83:INDEX(Soja!$E83:$Z83,MIN(Z$6-$G$3,22))&lt;&gt;""),Soja!$E83:INDEX(Soja!$E83:$Z83,MIN(Z$6-$G$3,22))),0)))))</f>
        <v>0</v>
      </c>
      <c r="AA85" s="27" t="n">
        <f aca="false">IF(COUNT(Soja!$E83:$Z83)=0,0,MAX(0,IF((AA$6-$E$3)&lt;1,0,IFERROR(LOOKUP(2,1/(Soja!$E83:INDEX(Soja!$E83:$Z83,MIN(AA$6-$E$3,22))&lt;&gt;""),Soja!$E83:INDEX(Soja!$E83:$Z83,MIN(AA$6-$E$3,22))),0))-IF($G$2,0,IF((AA$6-$G$3)&lt;1,0,IFERROR(LOOKUP(2,1/(Soja!$E83:INDEX(Soja!$E83:$Z83,MIN(AA$6-$G$3,22))&lt;&gt;""),Soja!$E83:INDEX(Soja!$E83:$Z83,MIN(AA$6-$G$3,22))),0)))))</f>
        <v>0</v>
      </c>
      <c r="AB85" s="27" t="n">
        <f aca="false">IF(COUNT(Soja!$E83:$Z83)=0,0,MAX(0,IF((AB$6-$E$3)&lt;1,0,IFERROR(LOOKUP(2,1/(Soja!$E83:INDEX(Soja!$E83:$Z83,MIN(AB$6-$E$3,22))&lt;&gt;""),Soja!$E83:INDEX(Soja!$E83:$Z83,MIN(AB$6-$E$3,22))),0))-IF($G$2,0,IF((AB$6-$G$3)&lt;1,0,IFERROR(LOOKUP(2,1/(Soja!$E83:INDEX(Soja!$E83:$Z83,MIN(AB$6-$G$3,22))&lt;&gt;""),Soja!$E83:INDEX(Soja!$E83:$Z83,MIN(AB$6-$G$3,22))),0)))))</f>
        <v>0</v>
      </c>
      <c r="AC85" s="27" t="n">
        <f aca="false">IF(COUNT(Soja!$E83:$Z83)=0,0,MAX(0,IF((AC$6-$E$3)&lt;1,0,IFERROR(LOOKUP(2,1/(Soja!$E83:INDEX(Soja!$E83:$Z83,MIN(AC$6-$E$3,22))&lt;&gt;""),Soja!$E83:INDEX(Soja!$E83:$Z83,MIN(AC$6-$E$3,22))),0))-IF($G$2,0,IF((AC$6-$G$3)&lt;1,0,IFERROR(LOOKUP(2,1/(Soja!$E83:INDEX(Soja!$E83:$Z83,MIN(AC$6-$G$3,22))&lt;&gt;""),Soja!$E83:INDEX(Soja!$E83:$Z83,MIN(AC$6-$G$3,22))),0)))))</f>
        <v>0</v>
      </c>
      <c r="AD85" s="27" t="n">
        <f aca="false">IF(COUNT(Soja!$E83:$Z83)=0,0,MAX(0,IF((AD$6-$E$3)&lt;1,0,IFERROR(LOOKUP(2,1/(Soja!$E83:INDEX(Soja!$E83:$Z83,MIN(AD$6-$E$3,22))&lt;&gt;""),Soja!$E83:INDEX(Soja!$E83:$Z83,MIN(AD$6-$E$3,22))),0))-IF($G$2,0,IF((AD$6-$G$3)&lt;1,0,IFERROR(LOOKUP(2,1/(Soja!$E83:INDEX(Soja!$E83:$Z83,MIN(AD$6-$G$3,22))&lt;&gt;""),Soja!$E83:INDEX(Soja!$E83:$Z83,MIN(AD$6-$G$3,22))),0)))))</f>
        <v>0</v>
      </c>
      <c r="AE85" s="27" t="n">
        <f aca="false">IF(COUNT(Soja!$E83:$Z83)=0,0,MAX(0,IF((AE$6-$E$3)&lt;1,0,IFERROR(LOOKUP(2,1/(Soja!$E83:INDEX(Soja!$E83:$Z83,MIN(AE$6-$E$3,22))&lt;&gt;""),Soja!$E83:INDEX(Soja!$E83:$Z83,MIN(AE$6-$E$3,22))),0))-IF($G$2,0,IF((AE$6-$G$3)&lt;1,0,IFERROR(LOOKUP(2,1/(Soja!$E83:INDEX(Soja!$E83:$Z83,MIN(AE$6-$G$3,22))&lt;&gt;""),Soja!$E83:INDEX(Soja!$E83:$Z83,MIN(AE$6-$G$3,22))),0)))))</f>
        <v>0</v>
      </c>
      <c r="AF85" s="27" t="n">
        <f aca="false">IF(COUNT(Soja!$E83:$Z83)=0,0,MAX(0,IF((AF$6-$E$3)&lt;1,0,IFERROR(LOOKUP(2,1/(Soja!$E83:INDEX(Soja!$E83:$Z83,MIN(AF$6-$E$3,22))&lt;&gt;""),Soja!$E83:INDEX(Soja!$E83:$Z83,MIN(AF$6-$E$3,22))),0))-IF($G$2,0,IF((AF$6-$G$3)&lt;1,0,IFERROR(LOOKUP(2,1/(Soja!$E83:INDEX(Soja!$E83:$Z83,MIN(AF$6-$G$3,22))&lt;&gt;""),Soja!$E83:INDEX(Soja!$E83:$Z83,MIN(AF$6-$G$3,22))),0)))))</f>
        <v>0</v>
      </c>
      <c r="AG85" s="27" t="n">
        <f aca="false">IF(COUNT(Soja!$E83:$Z83)=0,0,MAX(0,IF((AG$6-$E$3)&lt;1,0,IFERROR(LOOKUP(2,1/(Soja!$E83:INDEX(Soja!$E83:$Z83,MIN(AG$6-$E$3,22))&lt;&gt;""),Soja!$E83:INDEX(Soja!$E83:$Z83,MIN(AG$6-$E$3,22))),0))-IF($G$2,0,IF((AG$6-$G$3)&lt;1,0,IFERROR(LOOKUP(2,1/(Soja!$E83:INDEX(Soja!$E83:$Z83,MIN(AG$6-$G$3,22))&lt;&gt;""),Soja!$E83:INDEX(Soja!$E83:$Z83,MIN(AG$6-$G$3,22))),0)))))</f>
        <v>0</v>
      </c>
      <c r="AH85" s="27" t="n">
        <f aca="false">IF(COUNT(Soja!$E83:$Z83)=0,0,MAX(0,IF((AH$6-$E$3)&lt;1,0,IFERROR(LOOKUP(2,1/(Soja!$E83:INDEX(Soja!$E83:$Z83,MIN(AH$6-$E$3,22))&lt;&gt;""),Soja!$E83:INDEX(Soja!$E83:$Z83,MIN(AH$6-$E$3,22))),0))-IF($G$2,0,IF((AH$6-$G$3)&lt;1,0,IFERROR(LOOKUP(2,1/(Soja!$E83:INDEX(Soja!$E83:$Z83,MIN(AH$6-$G$3,22))&lt;&gt;""),Soja!$E83:INDEX(Soja!$E83:$Z83,MIN(AH$6-$G$3,22))),0)))))</f>
        <v>0</v>
      </c>
      <c r="AI85" s="27" t="n">
        <f aca="false">IF(COUNT(Soja!$E83:$Z83)=0,0,MAX(0,IF((AI$6-$E$3)&lt;1,0,IFERROR(LOOKUP(2,1/(Soja!$E83:INDEX(Soja!$E83:$Z83,MIN(AI$6-$E$3,22))&lt;&gt;""),Soja!$E83:INDEX(Soja!$E83:$Z83,MIN(AI$6-$E$3,22))),0))-IF($G$2,0,IF((AI$6-$G$3)&lt;1,0,IFERROR(LOOKUP(2,1/(Soja!$E83:INDEX(Soja!$E83:$Z83,MIN(AI$6-$G$3,22))&lt;&gt;""),Soja!$E83:INDEX(Soja!$E83:$Z83,MIN(AI$6-$G$3,22))),0)))))</f>
        <v>0</v>
      </c>
      <c r="AJ85" s="27" t="n">
        <f aca="false">IF(COUNT(Soja!$E83:$Z83)=0,0,MAX(0,IF((AJ$6-$E$3)&lt;1,0,IFERROR(LOOKUP(2,1/(Soja!$E83:INDEX(Soja!$E83:$Z83,MIN(AJ$6-$E$3,22))&lt;&gt;""),Soja!$E83:INDEX(Soja!$E83:$Z83,MIN(AJ$6-$E$3,22))),0))-IF($G$2,0,IF((AJ$6-$G$3)&lt;1,0,IFERROR(LOOKUP(2,1/(Soja!$E83:INDEX(Soja!$E83:$Z83,MIN(AJ$6-$G$3,22))&lt;&gt;""),Soja!$E83:INDEX(Soja!$E83:$Z83,MIN(AJ$6-$G$3,22))),0)))))</f>
        <v>0</v>
      </c>
      <c r="AK85" s="27" t="n">
        <f aca="false">IF(COUNT(Soja!$E83:$Z83)=0,0,MAX(0,IF((AK$6-$E$3)&lt;1,0,IFERROR(LOOKUP(2,1/(Soja!$E83:INDEX(Soja!$E83:$Z83,MIN(AK$6-$E$3,22))&lt;&gt;""),Soja!$E83:INDEX(Soja!$E83:$Z83,MIN(AK$6-$E$3,22))),0))-IF($G$2,0,IF((AK$6-$G$3)&lt;1,0,IFERROR(LOOKUP(2,1/(Soja!$E83:INDEX(Soja!$E83:$Z83,MIN(AK$6-$G$3,22))&lt;&gt;""),Soja!$E83:INDEX(Soja!$E83:$Z83,MIN(AK$6-$G$3,22))),0)))))</f>
        <v>0</v>
      </c>
      <c r="AL85" s="27" t="n">
        <f aca="false">IF(COUNT(Soja!$E83:$Z83)=0,0,MAX(0,IF((AL$6-$E$3)&lt;1,0,IFERROR(LOOKUP(2,1/(Soja!$E83:INDEX(Soja!$E83:$Z83,MIN(AL$6-$E$3,22))&lt;&gt;""),Soja!$E83:INDEX(Soja!$E83:$Z83,MIN(AL$6-$E$3,22))),0))-IF($G$2,0,IF((AL$6-$G$3)&lt;1,0,IFERROR(LOOKUP(2,1/(Soja!$E83:INDEX(Soja!$E83:$Z83,MIN(AL$6-$G$3,22))&lt;&gt;""),Soja!$E83:INDEX(Soja!$E83:$Z83,MIN(AL$6-$G$3,22))),0)))))</f>
        <v>0</v>
      </c>
      <c r="AM85" s="27" t="n">
        <f aca="false">IF(COUNT(Soja!$E83:$Z83)=0,0,MAX(0,IF((AM$6-$E$3)&lt;1,0,IFERROR(LOOKUP(2,1/(Soja!$E83:INDEX(Soja!$E83:$Z83,MIN(AM$6-$E$3,22))&lt;&gt;""),Soja!$E83:INDEX(Soja!$E83:$Z83,MIN(AM$6-$E$3,22))),0))-IF($G$2,0,IF((AM$6-$G$3)&lt;1,0,IFERROR(LOOKUP(2,1/(Soja!$E83:INDEX(Soja!$E83:$Z83,MIN(AM$6-$G$3,22))&lt;&gt;""),Soja!$E83:INDEX(Soja!$E83:$Z83,MIN(AM$6-$G$3,22))),0)))))</f>
        <v>0</v>
      </c>
      <c r="AN85" s="27" t="n">
        <f aca="false">IF(COUNT(Soja!$E83:$Z83)=0,0,MAX(0,IF((AN$6-$E$3)&lt;1,0,IFERROR(LOOKUP(2,1/(Soja!$E83:INDEX(Soja!$E83:$Z83,MIN(AN$6-$E$3,22))&lt;&gt;""),Soja!$E83:INDEX(Soja!$E83:$Z83,MIN(AN$6-$E$3,22))),0))-IF($G$2,0,IF((AN$6-$G$3)&lt;1,0,IFERROR(LOOKUP(2,1/(Soja!$E83:INDEX(Soja!$E83:$Z83,MIN(AN$6-$G$3,22))&lt;&gt;""),Soja!$E83:INDEX(Soja!$E83:$Z83,MIN(AN$6-$G$3,22))),0)))))</f>
        <v>0</v>
      </c>
      <c r="AO85" s="27" t="n">
        <f aca="false">IF(COUNT(Soja!$E83:$Z83)=0,0,MAX(0,IF((AO$6-$E$3)&lt;1,0,IFERROR(LOOKUP(2,1/(Soja!$E83:INDEX(Soja!$E83:$Z83,MIN(AO$6-$E$3,22))&lt;&gt;""),Soja!$E83:INDEX(Soja!$E83:$Z83,MIN(AO$6-$E$3,22))),0))-IF($G$2,0,IF((AO$6-$G$3)&lt;1,0,IFERROR(LOOKUP(2,1/(Soja!$E83:INDEX(Soja!$E83:$Z83,MIN(AO$6-$G$3,22))&lt;&gt;""),Soja!$E83:INDEX(Soja!$E83:$Z83,MIN(AO$6-$G$3,22))),0)))))</f>
        <v>0</v>
      </c>
      <c r="AP85" s="27" t="n">
        <f aca="false">IF(COUNT(Soja!$E83:$Z83)=0,0,MAX(0,IF((AP$6-$E$3)&lt;1,0,IFERROR(LOOKUP(2,1/(Soja!$E83:INDEX(Soja!$E83:$Z83,MIN(AP$6-$E$3,22))&lt;&gt;""),Soja!$E83:INDEX(Soja!$E83:$Z83,MIN(AP$6-$E$3,22))),0))-IF($G$2,0,IF((AP$6-$G$3)&lt;1,0,IFERROR(LOOKUP(2,1/(Soja!$E83:INDEX(Soja!$E83:$Z83,MIN(AP$6-$G$3,22))&lt;&gt;""),Soja!$E83:INDEX(Soja!$E83:$Z83,MIN(AP$6-$G$3,22))),0)))))</f>
        <v>0</v>
      </c>
      <c r="AQ85" s="27" t="n">
        <f aca="false">IF(COUNT(Soja!$E83:$Z83)=0,0,MAX(0,IF((AQ$6-$E$3)&lt;1,0,IFERROR(LOOKUP(2,1/(Soja!$E83:INDEX(Soja!$E83:$Z83,MIN(AQ$6-$E$3,22))&lt;&gt;""),Soja!$E83:INDEX(Soja!$E83:$Z83,MIN(AQ$6-$E$3,22))),0))-IF($G$2,0,IF((AQ$6-$G$3)&lt;1,0,IFERROR(LOOKUP(2,1/(Soja!$E83:INDEX(Soja!$E83:$Z83,MIN(AQ$6-$G$3,22))&lt;&gt;""),Soja!$E83:INDEX(Soja!$E83:$Z83,MIN(AQ$6-$G$3,22))),0)))))</f>
        <v>0</v>
      </c>
      <c r="AR85" s="27" t="n">
        <f aca="false">IF(COUNT(Soja!$E83:$Z83)=0,0,MAX(0,IF((AR$6-$E$3)&lt;1,0,IFERROR(LOOKUP(2,1/(Soja!$E83:INDEX(Soja!$E83:$Z83,MIN(AR$6-$E$3,22))&lt;&gt;""),Soja!$E83:INDEX(Soja!$E83:$Z83,MIN(AR$6-$E$3,22))),0))-IF($G$2,0,IF((AR$6-$G$3)&lt;1,0,IFERROR(LOOKUP(2,1/(Soja!$E83:INDEX(Soja!$E83:$Z83,MIN(AR$6-$G$3,22))&lt;&gt;""),Soja!$E83:INDEX(Soja!$E83:$Z83,MIN(AR$6-$G$3,22))),0)))))</f>
        <v>0</v>
      </c>
      <c r="AS85" s="27" t="n">
        <f aca="false">IF(COUNT(Soja!$E83:$Z83)=0,0,MAX(0,IF((AS$6-$E$3)&lt;1,0,IFERROR(LOOKUP(2,1/(Soja!$E83:INDEX(Soja!$E83:$Z83,MIN(AS$6-$E$3,22))&lt;&gt;""),Soja!$E83:INDEX(Soja!$E83:$Z83,MIN(AS$6-$E$3,22))),0))-IF($G$2,0,IF((AS$6-$G$3)&lt;1,0,IFERROR(LOOKUP(2,1/(Soja!$E83:INDEX(Soja!$E83:$Z83,MIN(AS$6-$G$3,22))&lt;&gt;""),Soja!$E83:INDEX(Soja!$E83:$Z83,MIN(AS$6-$G$3,22))),0)))))</f>
        <v>0</v>
      </c>
      <c r="AT85" s="27" t="n">
        <f aca="false">IF(COUNT(Soja!$E83:$Z83)=0,0,MAX(0,IF((AT$6-$E$3)&lt;1,0,IFERROR(LOOKUP(2,1/(Soja!$E83:INDEX(Soja!$E83:$Z83,MIN(AT$6-$E$3,22))&lt;&gt;""),Soja!$E83:INDEX(Soja!$E83:$Z83,MIN(AT$6-$E$3,22))),0))-IF($G$2,0,IF((AT$6-$G$3)&lt;1,0,IFERROR(LOOKUP(2,1/(Soja!$E83:INDEX(Soja!$E83:$Z83,MIN(AT$6-$G$3,22))&lt;&gt;""),Soja!$E83:INDEX(Soja!$E83:$Z83,MIN(AT$6-$G$3,22))),0)))))</f>
        <v>0</v>
      </c>
      <c r="AU85" s="27" t="n">
        <f aca="false">IF(COUNT(Soja!$E83:$Z83)=0,0,MAX(0,IF((AU$6-$E$3)&lt;1,0,IFERROR(LOOKUP(2,1/(Soja!$E83:INDEX(Soja!$E83:$Z83,MIN(AU$6-$E$3,22))&lt;&gt;""),Soja!$E83:INDEX(Soja!$E83:$Z83,MIN(AU$6-$E$3,22))),0))-IF($G$2,0,IF((AU$6-$G$3)&lt;1,0,IFERROR(LOOKUP(2,1/(Soja!$E83:INDEX(Soja!$E83:$Z83,MIN(AU$6-$G$3,22))&lt;&gt;""),Soja!$E83:INDEX(Soja!$E83:$Z83,MIN(AU$6-$G$3,22))),0)))))</f>
        <v>0</v>
      </c>
      <c r="AV85" s="27" t="n">
        <f aca="false">IF(COUNT(Soja!$E83:$Z83)=0,0,MAX(0,IF((AV$6-$E$3)&lt;1,0,IFERROR(LOOKUP(2,1/(Soja!$E83:INDEX(Soja!$E83:$Z83,MIN(AV$6-$E$3,22))&lt;&gt;""),Soja!$E83:INDEX(Soja!$E83:$Z83,MIN(AV$6-$E$3,22))),0))-IF($G$2,0,IF((AV$6-$G$3)&lt;1,0,IFERROR(LOOKUP(2,1/(Soja!$E83:INDEX(Soja!$E83:$Z83,MIN(AV$6-$G$3,22))&lt;&gt;""),Soja!$E83:INDEX(Soja!$E83:$Z83,MIN(AV$6-$G$3,22))),0)))))</f>
        <v>0</v>
      </c>
      <c r="AW85" s="27" t="n">
        <f aca="false">IF(COUNT(Soja!$E83:$Z83)=0,0,MAX(0,IF((AW$6-$E$3)&lt;1,0,IFERROR(LOOKUP(2,1/(Soja!$E83:INDEX(Soja!$E83:$Z83,MIN(AW$6-$E$3,22))&lt;&gt;""),Soja!$E83:INDEX(Soja!$E83:$Z83,MIN(AW$6-$E$3,22))),0))-IF($G$2,0,IF((AW$6-$G$3)&lt;1,0,IFERROR(LOOKUP(2,1/(Soja!$E83:INDEX(Soja!$E83:$Z83,MIN(AW$6-$G$3,22))&lt;&gt;""),Soja!$E83:INDEX(Soja!$E83:$Z83,MIN(AW$6-$G$3,22))),0)))))</f>
        <v>0</v>
      </c>
      <c r="AX85" s="27" t="n">
        <f aca="false">IF(COUNT(Soja!$E83:$Z83)=0,0,MAX(0,IF((AX$6-$E$3)&lt;1,0,IFERROR(LOOKUP(2,1/(Soja!$E83:INDEX(Soja!$E83:$Z83,MIN(AX$6-$E$3,22))&lt;&gt;""),Soja!$E83:INDEX(Soja!$E83:$Z83,MIN(AX$6-$E$3,22))),0))-IF($G$2,0,IF((AX$6-$G$3)&lt;1,0,IFERROR(LOOKUP(2,1/(Soja!$E83:INDEX(Soja!$E83:$Z83,MIN(AX$6-$G$3,22))&lt;&gt;""),Soja!$E83:INDEX(Soja!$E83:$Z83,MIN(AX$6-$G$3,22))),0)))))</f>
        <v>0</v>
      </c>
      <c r="AY85" s="27" t="n">
        <f aca="false">IF(COUNT(Soja!$E83:$Z83)=0,0,MAX(0,IF((AY$6-$E$3)&lt;1,0,IFERROR(LOOKUP(2,1/(Soja!$E83:INDEX(Soja!$E83:$Z83,MIN(AY$6-$E$3,22))&lt;&gt;""),Soja!$E83:INDEX(Soja!$E83:$Z83,MIN(AY$6-$E$3,22))),0))-IF($G$2,0,IF((AY$6-$G$3)&lt;1,0,IFERROR(LOOKUP(2,1/(Soja!$E83:INDEX(Soja!$E83:$Z83,MIN(AY$6-$G$3,22))&lt;&gt;""),Soja!$E83:INDEX(Soja!$E83:$Z83,MIN(AY$6-$G$3,22))),0)))))</f>
        <v>0</v>
      </c>
      <c r="AZ85" s="27" t="n">
        <f aca="false">IF(COUNT(Soja!$E83:$Z83)=0,0,MAX(0,IF((AZ$6-$E$3)&lt;1,0,IFERROR(LOOKUP(2,1/(Soja!$E83:INDEX(Soja!$E83:$Z83,MIN(AZ$6-$E$3,22))&lt;&gt;""),Soja!$E83:INDEX(Soja!$E83:$Z83,MIN(AZ$6-$E$3,22))),0))-IF($G$2,0,IF((AZ$6-$G$3)&lt;1,0,IFERROR(LOOKUP(2,1/(Soja!$E83:INDEX(Soja!$E83:$Z83,MIN(AZ$6-$G$3,22))&lt;&gt;""),Soja!$E83:INDEX(Soja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IF(COUNT(Soja!$E84:$Z84)&gt;0,N(Soja!$D84),0)</f>
        <v>0</v>
      </c>
      <c r="E86" s="27" t="n">
        <f aca="false">IF(COUNT(Soja!$E84:$Z84)=0,0,MAX(0,IF((E$6-$E$3)&lt;1,0,IFERROR(LOOKUP(2,1/(Soja!$E84:INDEX(Soja!$E84:$Z84,MIN(E$6-$E$3,22))&lt;&gt;""),Soja!$E84:INDEX(Soja!$E84:$Z84,MIN(E$6-$E$3,22))),0))-IF($G$2,0,IF((E$6-$G$3)&lt;1,0,IFERROR(LOOKUP(2,1/(Soja!$E84:INDEX(Soja!$E84:$Z84,MIN(E$6-$G$3,22))&lt;&gt;""),Soja!$E84:INDEX(Soja!$E84:$Z84,MIN(E$6-$G$3,22))),0)))))</f>
        <v>0</v>
      </c>
      <c r="F86" s="27" t="n">
        <f aca="false">IF(COUNT(Soja!$E84:$Z84)=0,0,MAX(0,IF((F$6-$E$3)&lt;1,0,IFERROR(LOOKUP(2,1/(Soja!$E84:INDEX(Soja!$E84:$Z84,MIN(F$6-$E$3,22))&lt;&gt;""),Soja!$E84:INDEX(Soja!$E84:$Z84,MIN(F$6-$E$3,22))),0))-IF($G$2,0,IF((F$6-$G$3)&lt;1,0,IFERROR(LOOKUP(2,1/(Soja!$E84:INDEX(Soja!$E84:$Z84,MIN(F$6-$G$3,22))&lt;&gt;""),Soja!$E84:INDEX(Soja!$E84:$Z84,MIN(F$6-$G$3,22))),0)))))</f>
        <v>0</v>
      </c>
      <c r="G86" s="27" t="n">
        <f aca="false">IF(COUNT(Soja!$E84:$Z84)=0,0,MAX(0,IF((G$6-$E$3)&lt;1,0,IFERROR(LOOKUP(2,1/(Soja!$E84:INDEX(Soja!$E84:$Z84,MIN(G$6-$E$3,22))&lt;&gt;""),Soja!$E84:INDEX(Soja!$E84:$Z84,MIN(G$6-$E$3,22))),0))-IF($G$2,0,IF((G$6-$G$3)&lt;1,0,IFERROR(LOOKUP(2,1/(Soja!$E84:INDEX(Soja!$E84:$Z84,MIN(G$6-$G$3,22))&lt;&gt;""),Soja!$E84:INDEX(Soja!$E84:$Z84,MIN(G$6-$G$3,22))),0)))))</f>
        <v>0</v>
      </c>
      <c r="H86" s="27" t="n">
        <f aca="false">IF(COUNT(Soja!$E84:$Z84)=0,0,MAX(0,IF((H$6-$E$3)&lt;1,0,IFERROR(LOOKUP(2,1/(Soja!$E84:INDEX(Soja!$E84:$Z84,MIN(H$6-$E$3,22))&lt;&gt;""),Soja!$E84:INDEX(Soja!$E84:$Z84,MIN(H$6-$E$3,22))),0))-IF($G$2,0,IF((H$6-$G$3)&lt;1,0,IFERROR(LOOKUP(2,1/(Soja!$E84:INDEX(Soja!$E84:$Z84,MIN(H$6-$G$3,22))&lt;&gt;""),Soja!$E84:INDEX(Soja!$E84:$Z84,MIN(H$6-$G$3,22))),0)))))</f>
        <v>0</v>
      </c>
      <c r="I86" s="27" t="n">
        <f aca="false">IF(COUNT(Soja!$E84:$Z84)=0,0,MAX(0,IF((I$6-$E$3)&lt;1,0,IFERROR(LOOKUP(2,1/(Soja!$E84:INDEX(Soja!$E84:$Z84,MIN(I$6-$E$3,22))&lt;&gt;""),Soja!$E84:INDEX(Soja!$E84:$Z84,MIN(I$6-$E$3,22))),0))-IF($G$2,0,IF((I$6-$G$3)&lt;1,0,IFERROR(LOOKUP(2,1/(Soja!$E84:INDEX(Soja!$E84:$Z84,MIN(I$6-$G$3,22))&lt;&gt;""),Soja!$E84:INDEX(Soja!$E84:$Z84,MIN(I$6-$G$3,22))),0)))))</f>
        <v>0</v>
      </c>
      <c r="J86" s="27" t="n">
        <f aca="false">IF(COUNT(Soja!$E84:$Z84)=0,0,MAX(0,IF((J$6-$E$3)&lt;1,0,IFERROR(LOOKUP(2,1/(Soja!$E84:INDEX(Soja!$E84:$Z84,MIN(J$6-$E$3,22))&lt;&gt;""),Soja!$E84:INDEX(Soja!$E84:$Z84,MIN(J$6-$E$3,22))),0))-IF($G$2,0,IF((J$6-$G$3)&lt;1,0,IFERROR(LOOKUP(2,1/(Soja!$E84:INDEX(Soja!$E84:$Z84,MIN(J$6-$G$3,22))&lt;&gt;""),Soja!$E84:INDEX(Soja!$E84:$Z84,MIN(J$6-$G$3,22))),0)))))</f>
        <v>0</v>
      </c>
      <c r="K86" s="27" t="n">
        <f aca="false">IF(COUNT(Soja!$E84:$Z84)=0,0,MAX(0,IF((K$6-$E$3)&lt;1,0,IFERROR(LOOKUP(2,1/(Soja!$E84:INDEX(Soja!$E84:$Z84,MIN(K$6-$E$3,22))&lt;&gt;""),Soja!$E84:INDEX(Soja!$E84:$Z84,MIN(K$6-$E$3,22))),0))-IF($G$2,0,IF((K$6-$G$3)&lt;1,0,IFERROR(LOOKUP(2,1/(Soja!$E84:INDEX(Soja!$E84:$Z84,MIN(K$6-$G$3,22))&lt;&gt;""),Soja!$E84:INDEX(Soja!$E84:$Z84,MIN(K$6-$G$3,22))),0)))))</f>
        <v>0</v>
      </c>
      <c r="L86" s="27" t="n">
        <f aca="false">IF(COUNT(Soja!$E84:$Z84)=0,0,MAX(0,IF((L$6-$E$3)&lt;1,0,IFERROR(LOOKUP(2,1/(Soja!$E84:INDEX(Soja!$E84:$Z84,MIN(L$6-$E$3,22))&lt;&gt;""),Soja!$E84:INDEX(Soja!$E84:$Z84,MIN(L$6-$E$3,22))),0))-IF($G$2,0,IF((L$6-$G$3)&lt;1,0,IFERROR(LOOKUP(2,1/(Soja!$E84:INDEX(Soja!$E84:$Z84,MIN(L$6-$G$3,22))&lt;&gt;""),Soja!$E84:INDEX(Soja!$E84:$Z84,MIN(L$6-$G$3,22))),0)))))</f>
        <v>0</v>
      </c>
      <c r="M86" s="27" t="n">
        <f aca="false">IF(COUNT(Soja!$E84:$Z84)=0,0,MAX(0,IF((M$6-$E$3)&lt;1,0,IFERROR(LOOKUP(2,1/(Soja!$E84:INDEX(Soja!$E84:$Z84,MIN(M$6-$E$3,22))&lt;&gt;""),Soja!$E84:INDEX(Soja!$E84:$Z84,MIN(M$6-$E$3,22))),0))-IF($G$2,0,IF((M$6-$G$3)&lt;1,0,IFERROR(LOOKUP(2,1/(Soja!$E84:INDEX(Soja!$E84:$Z84,MIN(M$6-$G$3,22))&lt;&gt;""),Soja!$E84:INDEX(Soja!$E84:$Z84,MIN(M$6-$G$3,22))),0)))))</f>
        <v>0</v>
      </c>
      <c r="N86" s="27" t="n">
        <f aca="false">IF(COUNT(Soja!$E84:$Z84)=0,0,MAX(0,IF((N$6-$E$3)&lt;1,0,IFERROR(LOOKUP(2,1/(Soja!$E84:INDEX(Soja!$E84:$Z84,MIN(N$6-$E$3,22))&lt;&gt;""),Soja!$E84:INDEX(Soja!$E84:$Z84,MIN(N$6-$E$3,22))),0))-IF($G$2,0,IF((N$6-$G$3)&lt;1,0,IFERROR(LOOKUP(2,1/(Soja!$E84:INDEX(Soja!$E84:$Z84,MIN(N$6-$G$3,22))&lt;&gt;""),Soja!$E84:INDEX(Soja!$E84:$Z84,MIN(N$6-$G$3,22))),0)))))</f>
        <v>0</v>
      </c>
      <c r="O86" s="27" t="n">
        <f aca="false">IF(COUNT(Soja!$E84:$Z84)=0,0,MAX(0,IF((O$6-$E$3)&lt;1,0,IFERROR(LOOKUP(2,1/(Soja!$E84:INDEX(Soja!$E84:$Z84,MIN(O$6-$E$3,22))&lt;&gt;""),Soja!$E84:INDEX(Soja!$E84:$Z84,MIN(O$6-$E$3,22))),0))-IF($G$2,0,IF((O$6-$G$3)&lt;1,0,IFERROR(LOOKUP(2,1/(Soja!$E84:INDEX(Soja!$E84:$Z84,MIN(O$6-$G$3,22))&lt;&gt;""),Soja!$E84:INDEX(Soja!$E84:$Z84,MIN(O$6-$G$3,22))),0)))))</f>
        <v>0</v>
      </c>
      <c r="P86" s="27" t="n">
        <f aca="false">IF(COUNT(Soja!$E84:$Z84)=0,0,MAX(0,IF((P$6-$E$3)&lt;1,0,IFERROR(LOOKUP(2,1/(Soja!$E84:INDEX(Soja!$E84:$Z84,MIN(P$6-$E$3,22))&lt;&gt;""),Soja!$E84:INDEX(Soja!$E84:$Z84,MIN(P$6-$E$3,22))),0))-IF($G$2,0,IF((P$6-$G$3)&lt;1,0,IFERROR(LOOKUP(2,1/(Soja!$E84:INDEX(Soja!$E84:$Z84,MIN(P$6-$G$3,22))&lt;&gt;""),Soja!$E84:INDEX(Soja!$E84:$Z84,MIN(P$6-$G$3,22))),0)))))</f>
        <v>0</v>
      </c>
      <c r="Q86" s="27" t="n">
        <f aca="false">IF(COUNT(Soja!$E84:$Z84)=0,0,MAX(0,IF((Q$6-$E$3)&lt;1,0,IFERROR(LOOKUP(2,1/(Soja!$E84:INDEX(Soja!$E84:$Z84,MIN(Q$6-$E$3,22))&lt;&gt;""),Soja!$E84:INDEX(Soja!$E84:$Z84,MIN(Q$6-$E$3,22))),0))-IF($G$2,0,IF((Q$6-$G$3)&lt;1,0,IFERROR(LOOKUP(2,1/(Soja!$E84:INDEX(Soja!$E84:$Z84,MIN(Q$6-$G$3,22))&lt;&gt;""),Soja!$E84:INDEX(Soja!$E84:$Z84,MIN(Q$6-$G$3,22))),0)))))</f>
        <v>0</v>
      </c>
      <c r="R86" s="27" t="n">
        <f aca="false">IF(COUNT(Soja!$E84:$Z84)=0,0,MAX(0,IF((R$6-$E$3)&lt;1,0,IFERROR(LOOKUP(2,1/(Soja!$E84:INDEX(Soja!$E84:$Z84,MIN(R$6-$E$3,22))&lt;&gt;""),Soja!$E84:INDEX(Soja!$E84:$Z84,MIN(R$6-$E$3,22))),0))-IF($G$2,0,IF((R$6-$G$3)&lt;1,0,IFERROR(LOOKUP(2,1/(Soja!$E84:INDEX(Soja!$E84:$Z84,MIN(R$6-$G$3,22))&lt;&gt;""),Soja!$E84:INDEX(Soja!$E84:$Z84,MIN(R$6-$G$3,22))),0)))))</f>
        <v>0</v>
      </c>
      <c r="S86" s="27" t="n">
        <f aca="false">IF(COUNT(Soja!$E84:$Z84)=0,0,MAX(0,IF((S$6-$E$3)&lt;1,0,IFERROR(LOOKUP(2,1/(Soja!$E84:INDEX(Soja!$E84:$Z84,MIN(S$6-$E$3,22))&lt;&gt;""),Soja!$E84:INDEX(Soja!$E84:$Z84,MIN(S$6-$E$3,22))),0))-IF($G$2,0,IF((S$6-$G$3)&lt;1,0,IFERROR(LOOKUP(2,1/(Soja!$E84:INDEX(Soja!$E84:$Z84,MIN(S$6-$G$3,22))&lt;&gt;""),Soja!$E84:INDEX(Soja!$E84:$Z84,MIN(S$6-$G$3,22))),0)))))</f>
        <v>0</v>
      </c>
      <c r="T86" s="27" t="n">
        <f aca="false">IF(COUNT(Soja!$E84:$Z84)=0,0,MAX(0,IF((T$6-$E$3)&lt;1,0,IFERROR(LOOKUP(2,1/(Soja!$E84:INDEX(Soja!$E84:$Z84,MIN(T$6-$E$3,22))&lt;&gt;""),Soja!$E84:INDEX(Soja!$E84:$Z84,MIN(T$6-$E$3,22))),0))-IF($G$2,0,IF((T$6-$G$3)&lt;1,0,IFERROR(LOOKUP(2,1/(Soja!$E84:INDEX(Soja!$E84:$Z84,MIN(T$6-$G$3,22))&lt;&gt;""),Soja!$E84:INDEX(Soja!$E84:$Z84,MIN(T$6-$G$3,22))),0)))))</f>
        <v>0</v>
      </c>
      <c r="U86" s="27" t="n">
        <f aca="false">IF(COUNT(Soja!$E84:$Z84)=0,0,MAX(0,IF((U$6-$E$3)&lt;1,0,IFERROR(LOOKUP(2,1/(Soja!$E84:INDEX(Soja!$E84:$Z84,MIN(U$6-$E$3,22))&lt;&gt;""),Soja!$E84:INDEX(Soja!$E84:$Z84,MIN(U$6-$E$3,22))),0))-IF($G$2,0,IF((U$6-$G$3)&lt;1,0,IFERROR(LOOKUP(2,1/(Soja!$E84:INDEX(Soja!$E84:$Z84,MIN(U$6-$G$3,22))&lt;&gt;""),Soja!$E84:INDEX(Soja!$E84:$Z84,MIN(U$6-$G$3,22))),0)))))</f>
        <v>0</v>
      </c>
      <c r="V86" s="27" t="n">
        <f aca="false">IF(COUNT(Soja!$E84:$Z84)=0,0,MAX(0,IF((V$6-$E$3)&lt;1,0,IFERROR(LOOKUP(2,1/(Soja!$E84:INDEX(Soja!$E84:$Z84,MIN(V$6-$E$3,22))&lt;&gt;""),Soja!$E84:INDEX(Soja!$E84:$Z84,MIN(V$6-$E$3,22))),0))-IF($G$2,0,IF((V$6-$G$3)&lt;1,0,IFERROR(LOOKUP(2,1/(Soja!$E84:INDEX(Soja!$E84:$Z84,MIN(V$6-$G$3,22))&lt;&gt;""),Soja!$E84:INDEX(Soja!$E84:$Z84,MIN(V$6-$G$3,22))),0)))))</f>
        <v>0</v>
      </c>
      <c r="W86" s="27" t="n">
        <f aca="false">IF(COUNT(Soja!$E84:$Z84)=0,0,MAX(0,IF((W$6-$E$3)&lt;1,0,IFERROR(LOOKUP(2,1/(Soja!$E84:INDEX(Soja!$E84:$Z84,MIN(W$6-$E$3,22))&lt;&gt;""),Soja!$E84:INDEX(Soja!$E84:$Z84,MIN(W$6-$E$3,22))),0))-IF($G$2,0,IF((W$6-$G$3)&lt;1,0,IFERROR(LOOKUP(2,1/(Soja!$E84:INDEX(Soja!$E84:$Z84,MIN(W$6-$G$3,22))&lt;&gt;""),Soja!$E84:INDEX(Soja!$E84:$Z84,MIN(W$6-$G$3,22))),0)))))</f>
        <v>0</v>
      </c>
      <c r="X86" s="27" t="n">
        <f aca="false">IF(COUNT(Soja!$E84:$Z84)=0,0,MAX(0,IF((X$6-$E$3)&lt;1,0,IFERROR(LOOKUP(2,1/(Soja!$E84:INDEX(Soja!$E84:$Z84,MIN(X$6-$E$3,22))&lt;&gt;""),Soja!$E84:INDEX(Soja!$E84:$Z84,MIN(X$6-$E$3,22))),0))-IF($G$2,0,IF((X$6-$G$3)&lt;1,0,IFERROR(LOOKUP(2,1/(Soja!$E84:INDEX(Soja!$E84:$Z84,MIN(X$6-$G$3,22))&lt;&gt;""),Soja!$E84:INDEX(Soja!$E84:$Z84,MIN(X$6-$G$3,22))),0)))))</f>
        <v>0</v>
      </c>
      <c r="Y86" s="27" t="n">
        <f aca="false">IF(COUNT(Soja!$E84:$Z84)=0,0,MAX(0,IF((Y$6-$E$3)&lt;1,0,IFERROR(LOOKUP(2,1/(Soja!$E84:INDEX(Soja!$E84:$Z84,MIN(Y$6-$E$3,22))&lt;&gt;""),Soja!$E84:INDEX(Soja!$E84:$Z84,MIN(Y$6-$E$3,22))),0))-IF($G$2,0,IF((Y$6-$G$3)&lt;1,0,IFERROR(LOOKUP(2,1/(Soja!$E84:INDEX(Soja!$E84:$Z84,MIN(Y$6-$G$3,22))&lt;&gt;""),Soja!$E84:INDEX(Soja!$E84:$Z84,MIN(Y$6-$G$3,22))),0)))))</f>
        <v>0</v>
      </c>
      <c r="Z86" s="27" t="n">
        <f aca="false">IF(COUNT(Soja!$E84:$Z84)=0,0,MAX(0,IF((Z$6-$E$3)&lt;1,0,IFERROR(LOOKUP(2,1/(Soja!$E84:INDEX(Soja!$E84:$Z84,MIN(Z$6-$E$3,22))&lt;&gt;""),Soja!$E84:INDEX(Soja!$E84:$Z84,MIN(Z$6-$E$3,22))),0))-IF($G$2,0,IF((Z$6-$G$3)&lt;1,0,IFERROR(LOOKUP(2,1/(Soja!$E84:INDEX(Soja!$E84:$Z84,MIN(Z$6-$G$3,22))&lt;&gt;""),Soja!$E84:INDEX(Soja!$E84:$Z84,MIN(Z$6-$G$3,22))),0)))))</f>
        <v>0</v>
      </c>
      <c r="AA86" s="27" t="n">
        <f aca="false">IF(COUNT(Soja!$E84:$Z84)=0,0,MAX(0,IF((AA$6-$E$3)&lt;1,0,IFERROR(LOOKUP(2,1/(Soja!$E84:INDEX(Soja!$E84:$Z84,MIN(AA$6-$E$3,22))&lt;&gt;""),Soja!$E84:INDEX(Soja!$E84:$Z84,MIN(AA$6-$E$3,22))),0))-IF($G$2,0,IF((AA$6-$G$3)&lt;1,0,IFERROR(LOOKUP(2,1/(Soja!$E84:INDEX(Soja!$E84:$Z84,MIN(AA$6-$G$3,22))&lt;&gt;""),Soja!$E84:INDEX(Soja!$E84:$Z84,MIN(AA$6-$G$3,22))),0)))))</f>
        <v>0</v>
      </c>
      <c r="AB86" s="27" t="n">
        <f aca="false">IF(COUNT(Soja!$E84:$Z84)=0,0,MAX(0,IF((AB$6-$E$3)&lt;1,0,IFERROR(LOOKUP(2,1/(Soja!$E84:INDEX(Soja!$E84:$Z84,MIN(AB$6-$E$3,22))&lt;&gt;""),Soja!$E84:INDEX(Soja!$E84:$Z84,MIN(AB$6-$E$3,22))),0))-IF($G$2,0,IF((AB$6-$G$3)&lt;1,0,IFERROR(LOOKUP(2,1/(Soja!$E84:INDEX(Soja!$E84:$Z84,MIN(AB$6-$G$3,22))&lt;&gt;""),Soja!$E84:INDEX(Soja!$E84:$Z84,MIN(AB$6-$G$3,22))),0)))))</f>
        <v>0</v>
      </c>
      <c r="AC86" s="27" t="n">
        <f aca="false">IF(COUNT(Soja!$E84:$Z84)=0,0,MAX(0,IF((AC$6-$E$3)&lt;1,0,IFERROR(LOOKUP(2,1/(Soja!$E84:INDEX(Soja!$E84:$Z84,MIN(AC$6-$E$3,22))&lt;&gt;""),Soja!$E84:INDEX(Soja!$E84:$Z84,MIN(AC$6-$E$3,22))),0))-IF($G$2,0,IF((AC$6-$G$3)&lt;1,0,IFERROR(LOOKUP(2,1/(Soja!$E84:INDEX(Soja!$E84:$Z84,MIN(AC$6-$G$3,22))&lt;&gt;""),Soja!$E84:INDEX(Soja!$E84:$Z84,MIN(AC$6-$G$3,22))),0)))))</f>
        <v>0</v>
      </c>
      <c r="AD86" s="27" t="n">
        <f aca="false">IF(COUNT(Soja!$E84:$Z84)=0,0,MAX(0,IF((AD$6-$E$3)&lt;1,0,IFERROR(LOOKUP(2,1/(Soja!$E84:INDEX(Soja!$E84:$Z84,MIN(AD$6-$E$3,22))&lt;&gt;""),Soja!$E84:INDEX(Soja!$E84:$Z84,MIN(AD$6-$E$3,22))),0))-IF($G$2,0,IF((AD$6-$G$3)&lt;1,0,IFERROR(LOOKUP(2,1/(Soja!$E84:INDEX(Soja!$E84:$Z84,MIN(AD$6-$G$3,22))&lt;&gt;""),Soja!$E84:INDEX(Soja!$E84:$Z84,MIN(AD$6-$G$3,22))),0)))))</f>
        <v>0</v>
      </c>
      <c r="AE86" s="27" t="n">
        <f aca="false">IF(COUNT(Soja!$E84:$Z84)=0,0,MAX(0,IF((AE$6-$E$3)&lt;1,0,IFERROR(LOOKUP(2,1/(Soja!$E84:INDEX(Soja!$E84:$Z84,MIN(AE$6-$E$3,22))&lt;&gt;""),Soja!$E84:INDEX(Soja!$E84:$Z84,MIN(AE$6-$E$3,22))),0))-IF($G$2,0,IF((AE$6-$G$3)&lt;1,0,IFERROR(LOOKUP(2,1/(Soja!$E84:INDEX(Soja!$E84:$Z84,MIN(AE$6-$G$3,22))&lt;&gt;""),Soja!$E84:INDEX(Soja!$E84:$Z84,MIN(AE$6-$G$3,22))),0)))))</f>
        <v>0</v>
      </c>
      <c r="AF86" s="27" t="n">
        <f aca="false">IF(COUNT(Soja!$E84:$Z84)=0,0,MAX(0,IF((AF$6-$E$3)&lt;1,0,IFERROR(LOOKUP(2,1/(Soja!$E84:INDEX(Soja!$E84:$Z84,MIN(AF$6-$E$3,22))&lt;&gt;""),Soja!$E84:INDEX(Soja!$E84:$Z84,MIN(AF$6-$E$3,22))),0))-IF($G$2,0,IF((AF$6-$G$3)&lt;1,0,IFERROR(LOOKUP(2,1/(Soja!$E84:INDEX(Soja!$E84:$Z84,MIN(AF$6-$G$3,22))&lt;&gt;""),Soja!$E84:INDEX(Soja!$E84:$Z84,MIN(AF$6-$G$3,22))),0)))))</f>
        <v>0</v>
      </c>
      <c r="AG86" s="27" t="n">
        <f aca="false">IF(COUNT(Soja!$E84:$Z84)=0,0,MAX(0,IF((AG$6-$E$3)&lt;1,0,IFERROR(LOOKUP(2,1/(Soja!$E84:INDEX(Soja!$E84:$Z84,MIN(AG$6-$E$3,22))&lt;&gt;""),Soja!$E84:INDEX(Soja!$E84:$Z84,MIN(AG$6-$E$3,22))),0))-IF($G$2,0,IF((AG$6-$G$3)&lt;1,0,IFERROR(LOOKUP(2,1/(Soja!$E84:INDEX(Soja!$E84:$Z84,MIN(AG$6-$G$3,22))&lt;&gt;""),Soja!$E84:INDEX(Soja!$E84:$Z84,MIN(AG$6-$G$3,22))),0)))))</f>
        <v>0</v>
      </c>
      <c r="AH86" s="27" t="n">
        <f aca="false">IF(COUNT(Soja!$E84:$Z84)=0,0,MAX(0,IF((AH$6-$E$3)&lt;1,0,IFERROR(LOOKUP(2,1/(Soja!$E84:INDEX(Soja!$E84:$Z84,MIN(AH$6-$E$3,22))&lt;&gt;""),Soja!$E84:INDEX(Soja!$E84:$Z84,MIN(AH$6-$E$3,22))),0))-IF($G$2,0,IF((AH$6-$G$3)&lt;1,0,IFERROR(LOOKUP(2,1/(Soja!$E84:INDEX(Soja!$E84:$Z84,MIN(AH$6-$G$3,22))&lt;&gt;""),Soja!$E84:INDEX(Soja!$E84:$Z84,MIN(AH$6-$G$3,22))),0)))))</f>
        <v>0</v>
      </c>
      <c r="AI86" s="27" t="n">
        <f aca="false">IF(COUNT(Soja!$E84:$Z84)=0,0,MAX(0,IF((AI$6-$E$3)&lt;1,0,IFERROR(LOOKUP(2,1/(Soja!$E84:INDEX(Soja!$E84:$Z84,MIN(AI$6-$E$3,22))&lt;&gt;""),Soja!$E84:INDEX(Soja!$E84:$Z84,MIN(AI$6-$E$3,22))),0))-IF($G$2,0,IF((AI$6-$G$3)&lt;1,0,IFERROR(LOOKUP(2,1/(Soja!$E84:INDEX(Soja!$E84:$Z84,MIN(AI$6-$G$3,22))&lt;&gt;""),Soja!$E84:INDEX(Soja!$E84:$Z84,MIN(AI$6-$G$3,22))),0)))))</f>
        <v>0</v>
      </c>
      <c r="AJ86" s="27" t="n">
        <f aca="false">IF(COUNT(Soja!$E84:$Z84)=0,0,MAX(0,IF((AJ$6-$E$3)&lt;1,0,IFERROR(LOOKUP(2,1/(Soja!$E84:INDEX(Soja!$E84:$Z84,MIN(AJ$6-$E$3,22))&lt;&gt;""),Soja!$E84:INDEX(Soja!$E84:$Z84,MIN(AJ$6-$E$3,22))),0))-IF($G$2,0,IF((AJ$6-$G$3)&lt;1,0,IFERROR(LOOKUP(2,1/(Soja!$E84:INDEX(Soja!$E84:$Z84,MIN(AJ$6-$G$3,22))&lt;&gt;""),Soja!$E84:INDEX(Soja!$E84:$Z84,MIN(AJ$6-$G$3,22))),0)))))</f>
        <v>0</v>
      </c>
      <c r="AK86" s="27" t="n">
        <f aca="false">IF(COUNT(Soja!$E84:$Z84)=0,0,MAX(0,IF((AK$6-$E$3)&lt;1,0,IFERROR(LOOKUP(2,1/(Soja!$E84:INDEX(Soja!$E84:$Z84,MIN(AK$6-$E$3,22))&lt;&gt;""),Soja!$E84:INDEX(Soja!$E84:$Z84,MIN(AK$6-$E$3,22))),0))-IF($G$2,0,IF((AK$6-$G$3)&lt;1,0,IFERROR(LOOKUP(2,1/(Soja!$E84:INDEX(Soja!$E84:$Z84,MIN(AK$6-$G$3,22))&lt;&gt;""),Soja!$E84:INDEX(Soja!$E84:$Z84,MIN(AK$6-$G$3,22))),0)))))</f>
        <v>0</v>
      </c>
      <c r="AL86" s="27" t="n">
        <f aca="false">IF(COUNT(Soja!$E84:$Z84)=0,0,MAX(0,IF((AL$6-$E$3)&lt;1,0,IFERROR(LOOKUP(2,1/(Soja!$E84:INDEX(Soja!$E84:$Z84,MIN(AL$6-$E$3,22))&lt;&gt;""),Soja!$E84:INDEX(Soja!$E84:$Z84,MIN(AL$6-$E$3,22))),0))-IF($G$2,0,IF((AL$6-$G$3)&lt;1,0,IFERROR(LOOKUP(2,1/(Soja!$E84:INDEX(Soja!$E84:$Z84,MIN(AL$6-$G$3,22))&lt;&gt;""),Soja!$E84:INDEX(Soja!$E84:$Z84,MIN(AL$6-$G$3,22))),0)))))</f>
        <v>0</v>
      </c>
      <c r="AM86" s="27" t="n">
        <f aca="false">IF(COUNT(Soja!$E84:$Z84)=0,0,MAX(0,IF((AM$6-$E$3)&lt;1,0,IFERROR(LOOKUP(2,1/(Soja!$E84:INDEX(Soja!$E84:$Z84,MIN(AM$6-$E$3,22))&lt;&gt;""),Soja!$E84:INDEX(Soja!$E84:$Z84,MIN(AM$6-$E$3,22))),0))-IF($G$2,0,IF((AM$6-$G$3)&lt;1,0,IFERROR(LOOKUP(2,1/(Soja!$E84:INDEX(Soja!$E84:$Z84,MIN(AM$6-$G$3,22))&lt;&gt;""),Soja!$E84:INDEX(Soja!$E84:$Z84,MIN(AM$6-$G$3,22))),0)))))</f>
        <v>0</v>
      </c>
      <c r="AN86" s="27" t="n">
        <f aca="false">IF(COUNT(Soja!$E84:$Z84)=0,0,MAX(0,IF((AN$6-$E$3)&lt;1,0,IFERROR(LOOKUP(2,1/(Soja!$E84:INDEX(Soja!$E84:$Z84,MIN(AN$6-$E$3,22))&lt;&gt;""),Soja!$E84:INDEX(Soja!$E84:$Z84,MIN(AN$6-$E$3,22))),0))-IF($G$2,0,IF((AN$6-$G$3)&lt;1,0,IFERROR(LOOKUP(2,1/(Soja!$E84:INDEX(Soja!$E84:$Z84,MIN(AN$6-$G$3,22))&lt;&gt;""),Soja!$E84:INDEX(Soja!$E84:$Z84,MIN(AN$6-$G$3,22))),0)))))</f>
        <v>0</v>
      </c>
      <c r="AO86" s="27" t="n">
        <f aca="false">IF(COUNT(Soja!$E84:$Z84)=0,0,MAX(0,IF((AO$6-$E$3)&lt;1,0,IFERROR(LOOKUP(2,1/(Soja!$E84:INDEX(Soja!$E84:$Z84,MIN(AO$6-$E$3,22))&lt;&gt;""),Soja!$E84:INDEX(Soja!$E84:$Z84,MIN(AO$6-$E$3,22))),0))-IF($G$2,0,IF((AO$6-$G$3)&lt;1,0,IFERROR(LOOKUP(2,1/(Soja!$E84:INDEX(Soja!$E84:$Z84,MIN(AO$6-$G$3,22))&lt;&gt;""),Soja!$E84:INDEX(Soja!$E84:$Z84,MIN(AO$6-$G$3,22))),0)))))</f>
        <v>0</v>
      </c>
      <c r="AP86" s="27" t="n">
        <f aca="false">IF(COUNT(Soja!$E84:$Z84)=0,0,MAX(0,IF((AP$6-$E$3)&lt;1,0,IFERROR(LOOKUP(2,1/(Soja!$E84:INDEX(Soja!$E84:$Z84,MIN(AP$6-$E$3,22))&lt;&gt;""),Soja!$E84:INDEX(Soja!$E84:$Z84,MIN(AP$6-$E$3,22))),0))-IF($G$2,0,IF((AP$6-$G$3)&lt;1,0,IFERROR(LOOKUP(2,1/(Soja!$E84:INDEX(Soja!$E84:$Z84,MIN(AP$6-$G$3,22))&lt;&gt;""),Soja!$E84:INDEX(Soja!$E84:$Z84,MIN(AP$6-$G$3,22))),0)))))</f>
        <v>0</v>
      </c>
      <c r="AQ86" s="27" t="n">
        <f aca="false">IF(COUNT(Soja!$E84:$Z84)=0,0,MAX(0,IF((AQ$6-$E$3)&lt;1,0,IFERROR(LOOKUP(2,1/(Soja!$E84:INDEX(Soja!$E84:$Z84,MIN(AQ$6-$E$3,22))&lt;&gt;""),Soja!$E84:INDEX(Soja!$E84:$Z84,MIN(AQ$6-$E$3,22))),0))-IF($G$2,0,IF((AQ$6-$G$3)&lt;1,0,IFERROR(LOOKUP(2,1/(Soja!$E84:INDEX(Soja!$E84:$Z84,MIN(AQ$6-$G$3,22))&lt;&gt;""),Soja!$E84:INDEX(Soja!$E84:$Z84,MIN(AQ$6-$G$3,22))),0)))))</f>
        <v>0</v>
      </c>
      <c r="AR86" s="27" t="n">
        <f aca="false">IF(COUNT(Soja!$E84:$Z84)=0,0,MAX(0,IF((AR$6-$E$3)&lt;1,0,IFERROR(LOOKUP(2,1/(Soja!$E84:INDEX(Soja!$E84:$Z84,MIN(AR$6-$E$3,22))&lt;&gt;""),Soja!$E84:INDEX(Soja!$E84:$Z84,MIN(AR$6-$E$3,22))),0))-IF($G$2,0,IF((AR$6-$G$3)&lt;1,0,IFERROR(LOOKUP(2,1/(Soja!$E84:INDEX(Soja!$E84:$Z84,MIN(AR$6-$G$3,22))&lt;&gt;""),Soja!$E84:INDEX(Soja!$E84:$Z84,MIN(AR$6-$G$3,22))),0)))))</f>
        <v>0</v>
      </c>
      <c r="AS86" s="27" t="n">
        <f aca="false">IF(COUNT(Soja!$E84:$Z84)=0,0,MAX(0,IF((AS$6-$E$3)&lt;1,0,IFERROR(LOOKUP(2,1/(Soja!$E84:INDEX(Soja!$E84:$Z84,MIN(AS$6-$E$3,22))&lt;&gt;""),Soja!$E84:INDEX(Soja!$E84:$Z84,MIN(AS$6-$E$3,22))),0))-IF($G$2,0,IF((AS$6-$G$3)&lt;1,0,IFERROR(LOOKUP(2,1/(Soja!$E84:INDEX(Soja!$E84:$Z84,MIN(AS$6-$G$3,22))&lt;&gt;""),Soja!$E84:INDEX(Soja!$E84:$Z84,MIN(AS$6-$G$3,22))),0)))))</f>
        <v>0</v>
      </c>
      <c r="AT86" s="27" t="n">
        <f aca="false">IF(COUNT(Soja!$E84:$Z84)=0,0,MAX(0,IF((AT$6-$E$3)&lt;1,0,IFERROR(LOOKUP(2,1/(Soja!$E84:INDEX(Soja!$E84:$Z84,MIN(AT$6-$E$3,22))&lt;&gt;""),Soja!$E84:INDEX(Soja!$E84:$Z84,MIN(AT$6-$E$3,22))),0))-IF($G$2,0,IF((AT$6-$G$3)&lt;1,0,IFERROR(LOOKUP(2,1/(Soja!$E84:INDEX(Soja!$E84:$Z84,MIN(AT$6-$G$3,22))&lt;&gt;""),Soja!$E84:INDEX(Soja!$E84:$Z84,MIN(AT$6-$G$3,22))),0)))))</f>
        <v>0</v>
      </c>
      <c r="AU86" s="27" t="n">
        <f aca="false">IF(COUNT(Soja!$E84:$Z84)=0,0,MAX(0,IF((AU$6-$E$3)&lt;1,0,IFERROR(LOOKUP(2,1/(Soja!$E84:INDEX(Soja!$E84:$Z84,MIN(AU$6-$E$3,22))&lt;&gt;""),Soja!$E84:INDEX(Soja!$E84:$Z84,MIN(AU$6-$E$3,22))),0))-IF($G$2,0,IF((AU$6-$G$3)&lt;1,0,IFERROR(LOOKUP(2,1/(Soja!$E84:INDEX(Soja!$E84:$Z84,MIN(AU$6-$G$3,22))&lt;&gt;""),Soja!$E84:INDEX(Soja!$E84:$Z84,MIN(AU$6-$G$3,22))),0)))))</f>
        <v>0</v>
      </c>
      <c r="AV86" s="27" t="n">
        <f aca="false">IF(COUNT(Soja!$E84:$Z84)=0,0,MAX(0,IF((AV$6-$E$3)&lt;1,0,IFERROR(LOOKUP(2,1/(Soja!$E84:INDEX(Soja!$E84:$Z84,MIN(AV$6-$E$3,22))&lt;&gt;""),Soja!$E84:INDEX(Soja!$E84:$Z84,MIN(AV$6-$E$3,22))),0))-IF($G$2,0,IF((AV$6-$G$3)&lt;1,0,IFERROR(LOOKUP(2,1/(Soja!$E84:INDEX(Soja!$E84:$Z84,MIN(AV$6-$G$3,22))&lt;&gt;""),Soja!$E84:INDEX(Soja!$E84:$Z84,MIN(AV$6-$G$3,22))),0)))))</f>
        <v>0</v>
      </c>
      <c r="AW86" s="27" t="n">
        <f aca="false">IF(COUNT(Soja!$E84:$Z84)=0,0,MAX(0,IF((AW$6-$E$3)&lt;1,0,IFERROR(LOOKUP(2,1/(Soja!$E84:INDEX(Soja!$E84:$Z84,MIN(AW$6-$E$3,22))&lt;&gt;""),Soja!$E84:INDEX(Soja!$E84:$Z84,MIN(AW$6-$E$3,22))),0))-IF($G$2,0,IF((AW$6-$G$3)&lt;1,0,IFERROR(LOOKUP(2,1/(Soja!$E84:INDEX(Soja!$E84:$Z84,MIN(AW$6-$G$3,22))&lt;&gt;""),Soja!$E84:INDEX(Soja!$E84:$Z84,MIN(AW$6-$G$3,22))),0)))))</f>
        <v>0</v>
      </c>
      <c r="AX86" s="27" t="n">
        <f aca="false">IF(COUNT(Soja!$E84:$Z84)=0,0,MAX(0,IF((AX$6-$E$3)&lt;1,0,IFERROR(LOOKUP(2,1/(Soja!$E84:INDEX(Soja!$E84:$Z84,MIN(AX$6-$E$3,22))&lt;&gt;""),Soja!$E84:INDEX(Soja!$E84:$Z84,MIN(AX$6-$E$3,22))),0))-IF($G$2,0,IF((AX$6-$G$3)&lt;1,0,IFERROR(LOOKUP(2,1/(Soja!$E84:INDEX(Soja!$E84:$Z84,MIN(AX$6-$G$3,22))&lt;&gt;""),Soja!$E84:INDEX(Soja!$E84:$Z84,MIN(AX$6-$G$3,22))),0)))))</f>
        <v>0</v>
      </c>
      <c r="AY86" s="27" t="n">
        <f aca="false">IF(COUNT(Soja!$E84:$Z84)=0,0,MAX(0,IF((AY$6-$E$3)&lt;1,0,IFERROR(LOOKUP(2,1/(Soja!$E84:INDEX(Soja!$E84:$Z84,MIN(AY$6-$E$3,22))&lt;&gt;""),Soja!$E84:INDEX(Soja!$E84:$Z84,MIN(AY$6-$E$3,22))),0))-IF($G$2,0,IF((AY$6-$G$3)&lt;1,0,IFERROR(LOOKUP(2,1/(Soja!$E84:INDEX(Soja!$E84:$Z84,MIN(AY$6-$G$3,22))&lt;&gt;""),Soja!$E84:INDEX(Soja!$E84:$Z84,MIN(AY$6-$G$3,22))),0)))))</f>
        <v>0</v>
      </c>
      <c r="AZ86" s="27" t="n">
        <f aca="false">IF(COUNT(Soja!$E84:$Z84)=0,0,MAX(0,IF((AZ$6-$E$3)&lt;1,0,IFERROR(LOOKUP(2,1/(Soja!$E84:INDEX(Soja!$E84:$Z84,MIN(AZ$6-$E$3,22))&lt;&gt;""),Soja!$E84:INDEX(Soja!$E84:$Z84,MIN(AZ$6-$E$3,22))),0))-IF($G$2,0,IF((AZ$6-$G$3)&lt;1,0,IFERROR(LOOKUP(2,1/(Soja!$E84:INDEX(Soja!$E84:$Z84,MIN(AZ$6-$G$3,22))&lt;&gt;""),Soja!$E84:INDEX(Soja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Parâmetros!$C$4:$C$10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300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Parâmetros!$J$5</f>
        <v>46270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46270</v>
      </c>
      <c r="F5" s="17" t="n">
        <f aca="false">$B$3+7</f>
        <v>46277</v>
      </c>
      <c r="G5" s="17" t="n">
        <f aca="false">$B$3+14</f>
        <v>46284</v>
      </c>
      <c r="H5" s="17" t="n">
        <f aca="false">$B$3+21</f>
        <v>46291</v>
      </c>
      <c r="I5" s="17" t="n">
        <f aca="false">$B$3+28</f>
        <v>46298</v>
      </c>
      <c r="J5" s="17" t="n">
        <f aca="false">$B$3+35</f>
        <v>46305</v>
      </c>
      <c r="K5" s="17" t="n">
        <f aca="false">$B$3+42</f>
        <v>46312</v>
      </c>
      <c r="L5" s="17" t="n">
        <f aca="false">$B$3+49</f>
        <v>46319</v>
      </c>
      <c r="M5" s="17" t="n">
        <f aca="false">$B$3+56</f>
        <v>46326</v>
      </c>
      <c r="N5" s="17" t="n">
        <f aca="false">$B$3+63</f>
        <v>46333</v>
      </c>
      <c r="O5" s="17" t="n">
        <f aca="false">$B$3+70</f>
        <v>46340</v>
      </c>
      <c r="P5" s="17" t="n">
        <f aca="false">$B$3+77</f>
        <v>46347</v>
      </c>
      <c r="Q5" s="17" t="n">
        <f aca="false">$B$3+84</f>
        <v>46354</v>
      </c>
      <c r="R5" s="17" t="n">
        <f aca="false">$B$3+91</f>
        <v>46361</v>
      </c>
      <c r="S5" s="17" t="n">
        <f aca="false">$B$3+98</f>
        <v>46368</v>
      </c>
      <c r="T5" s="17" t="n">
        <f aca="false">$B$3+105</f>
        <v>46375</v>
      </c>
      <c r="U5" s="17" t="n">
        <f aca="false">$B$3+112</f>
        <v>46382</v>
      </c>
      <c r="V5" s="17" t="n">
        <f aca="false">$B$3+119</f>
        <v>46389</v>
      </c>
      <c r="W5" s="17" t="n">
        <f aca="false">$B$3+126</f>
        <v>46396</v>
      </c>
      <c r="X5" s="17" t="n">
        <f aca="false">$B$3+133</f>
        <v>46403</v>
      </c>
      <c r="Y5" s="17" t="n">
        <f aca="false">$B$3+140</f>
        <v>46410</v>
      </c>
      <c r="Z5" s="17" t="n">
        <f aca="false">$B$3+147</f>
        <v>46417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301</v>
      </c>
    </row>
    <row r="2" customFormat="false" ht="15" hidden="false" customHeight="false" outlineLevel="0" collapsed="false">
      <c r="D2" s="21" t="s">
        <v>293</v>
      </c>
      <c r="E2" s="21" t="n">
        <f aca="false">MATCH("Milho 1ª safra|"&amp;$B$3,Parâmetros!$G$4:$G$83,0)+3</f>
        <v>14</v>
      </c>
      <c r="F2" s="21" t="s">
        <v>294</v>
      </c>
      <c r="G2" s="22" t="b">
        <f aca="false">INDEX(Parâmetros!$A$1:$A$84,$E$2+1)&lt;&gt;"Milho 1ª safra"</f>
        <v>0</v>
      </c>
    </row>
    <row r="3" customFormat="false" ht="15" hidden="false" customHeight="false" outlineLevel="0" collapsed="false">
      <c r="A3" s="13" t="s">
        <v>295</v>
      </c>
      <c r="B3" s="9" t="s">
        <v>61</v>
      </c>
      <c r="D3" s="21" t="s">
        <v>296</v>
      </c>
      <c r="E3" s="21" t="n">
        <f aca="false">ROUND(INDEX(Parâmetros!$D$1:$D$83,$E$2)/7,0)</f>
        <v>9</v>
      </c>
      <c r="F3" s="21" t="s">
        <v>297</v>
      </c>
      <c r="G3" s="21" t="n">
        <f aca="false">IF($G$2,999,ROUND(INDEX(Parâmetros!$D$1:$D$84,$E$2+1)/7,0))</f>
        <v>10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Período mais sensível à seca e calor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'Milho 1ª safra'!$B$3+0</f>
        <v>46270</v>
      </c>
      <c r="F7" s="17" t="n">
        <f aca="false">'Milho 1ª safra'!$B$3+7</f>
        <v>46277</v>
      </c>
      <c r="G7" s="17" t="n">
        <f aca="false">'Milho 1ª safra'!$B$3+14</f>
        <v>46284</v>
      </c>
      <c r="H7" s="17" t="n">
        <f aca="false">'Milho 1ª safra'!$B$3+21</f>
        <v>46291</v>
      </c>
      <c r="I7" s="17" t="n">
        <f aca="false">'Milho 1ª safra'!$B$3+28</f>
        <v>46298</v>
      </c>
      <c r="J7" s="17" t="n">
        <f aca="false">'Milho 1ª safra'!$B$3+35</f>
        <v>46305</v>
      </c>
      <c r="K7" s="17" t="n">
        <f aca="false">'Milho 1ª safra'!$B$3+42</f>
        <v>46312</v>
      </c>
      <c r="L7" s="17" t="n">
        <f aca="false">'Milho 1ª safra'!$B$3+49</f>
        <v>46319</v>
      </c>
      <c r="M7" s="17" t="n">
        <f aca="false">'Milho 1ª safra'!$B$3+56</f>
        <v>46326</v>
      </c>
      <c r="N7" s="17" t="n">
        <f aca="false">'Milho 1ª safra'!$B$3+63</f>
        <v>46333</v>
      </c>
      <c r="O7" s="17" t="n">
        <f aca="false">'Milho 1ª safra'!$B$3+70</f>
        <v>46340</v>
      </c>
      <c r="P7" s="17" t="n">
        <f aca="false">'Milho 1ª safra'!$B$3+77</f>
        <v>46347</v>
      </c>
      <c r="Q7" s="17" t="n">
        <f aca="false">'Milho 1ª safra'!$B$3+84</f>
        <v>46354</v>
      </c>
      <c r="R7" s="17" t="n">
        <f aca="false">'Milho 1ª safra'!$B$3+91</f>
        <v>46361</v>
      </c>
      <c r="S7" s="17" t="n">
        <f aca="false">'Milho 1ª safra'!$B$3+98</f>
        <v>46368</v>
      </c>
      <c r="T7" s="17" t="n">
        <f aca="false">'Milho 1ª safra'!$B$3+105</f>
        <v>46375</v>
      </c>
      <c r="U7" s="17" t="n">
        <f aca="false">'Milho 1ª safra'!$B$3+112</f>
        <v>46382</v>
      </c>
      <c r="V7" s="17" t="n">
        <f aca="false">'Milho 1ª safra'!$B$3+119</f>
        <v>46389</v>
      </c>
      <c r="W7" s="17" t="n">
        <f aca="false">'Milho 1ª safra'!$B$3+126</f>
        <v>46396</v>
      </c>
      <c r="X7" s="17" t="n">
        <f aca="false">'Milho 1ª safra'!$B$3+133</f>
        <v>46403</v>
      </c>
      <c r="Y7" s="17" t="n">
        <f aca="false">'Milho 1ª safra'!$B$3+140</f>
        <v>46410</v>
      </c>
      <c r="Z7" s="17" t="n">
        <f aca="false">'Milho 1ª safra'!$B$3+147</f>
        <v>46417</v>
      </c>
      <c r="AA7" s="17" t="n">
        <f aca="false">'Milho 1ª safra'!$B$3+154</f>
        <v>46424</v>
      </c>
      <c r="AB7" s="17" t="n">
        <f aca="false">'Milho 1ª safra'!$B$3+161</f>
        <v>46431</v>
      </c>
      <c r="AC7" s="17" t="n">
        <f aca="false">'Milho 1ª safra'!$B$3+168</f>
        <v>46438</v>
      </c>
      <c r="AD7" s="17" t="n">
        <f aca="false">'Milho 1ª safra'!$B$3+175</f>
        <v>46445</v>
      </c>
      <c r="AE7" s="17" t="n">
        <f aca="false">'Milho 1ª safra'!$B$3+182</f>
        <v>46452</v>
      </c>
      <c r="AF7" s="17" t="n">
        <f aca="false">'Milho 1ª safra'!$B$3+189</f>
        <v>46459</v>
      </c>
      <c r="AG7" s="17" t="n">
        <f aca="false">'Milho 1ª safra'!$B$3+196</f>
        <v>46466</v>
      </c>
      <c r="AH7" s="17" t="n">
        <f aca="false">'Milho 1ª safra'!$B$3+203</f>
        <v>46473</v>
      </c>
      <c r="AI7" s="17" t="n">
        <f aca="false">'Milho 1ª safra'!$B$3+210</f>
        <v>46480</v>
      </c>
      <c r="AJ7" s="17" t="n">
        <f aca="false">'Milho 1ª safra'!$B$3+217</f>
        <v>46487</v>
      </c>
      <c r="AK7" s="17" t="n">
        <f aca="false">'Milho 1ª safra'!$B$3+224</f>
        <v>46494</v>
      </c>
      <c r="AL7" s="17" t="n">
        <f aca="false">'Milho 1ª safra'!$B$3+231</f>
        <v>46501</v>
      </c>
      <c r="AM7" s="17" t="n">
        <f aca="false">'Milho 1ª safra'!$B$3+238</f>
        <v>46508</v>
      </c>
      <c r="AN7" s="17" t="n">
        <f aca="false">'Milho 1ª safra'!$B$3+245</f>
        <v>46515</v>
      </c>
      <c r="AO7" s="17" t="n">
        <f aca="false">'Milho 1ª safra'!$B$3+252</f>
        <v>46522</v>
      </c>
      <c r="AP7" s="17" t="n">
        <f aca="false">'Milho 1ª safra'!$B$3+259</f>
        <v>46529</v>
      </c>
      <c r="AQ7" s="17" t="n">
        <f aca="false">'Milho 1ª safra'!$B$3+266</f>
        <v>46536</v>
      </c>
      <c r="AR7" s="17" t="n">
        <f aca="false">'Milho 1ª safra'!$B$3+273</f>
        <v>46543</v>
      </c>
      <c r="AS7" s="17" t="n">
        <f aca="false">'Milho 1ª safra'!$B$3+280</f>
        <v>46550</v>
      </c>
      <c r="AT7" s="17" t="n">
        <f aca="false">'Milho 1ª safra'!$B$3+287</f>
        <v>46557</v>
      </c>
      <c r="AU7" s="17" t="n">
        <f aca="false">'Milho 1ª safra'!$B$3+294</f>
        <v>46564</v>
      </c>
      <c r="AV7" s="17" t="n">
        <f aca="false">'Milho 1ª safra'!$B$3+301</f>
        <v>46571</v>
      </c>
      <c r="AW7" s="17" t="n">
        <f aca="false">'Milho 1ª safra'!$B$3+308</f>
        <v>46578</v>
      </c>
      <c r="AX7" s="17" t="n">
        <f aca="false">'Milho 1ª safra'!$B$3+315</f>
        <v>46585</v>
      </c>
      <c r="AY7" s="17" t="n">
        <f aca="false">'Milho 1ª safra'!$B$3+322</f>
        <v>46592</v>
      </c>
      <c r="AZ7" s="17" t="n">
        <f aca="false">'Milho 1ª safra'!$B$3+329</f>
        <v>46599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IF(COUNT('Milho 1ª safra'!$E6:$Z6)&gt;0,N('Milho 1ª safra'!$D6),0)</f>
        <v>0</v>
      </c>
      <c r="E8" s="27" t="n">
        <f aca="false">IF(COUNT('Milho 1ª safra'!$E6:$Z6)=0,0,MAX(0,IF((E$6-$E$3)&lt;1,0,IFERROR(LOOKUP(2,1/('Milho 1ª safra'!$E6:INDEX('Milho 1ª safra'!$E6:$Z6,MIN(E$6-$E$3,22))&lt;&gt;""),'Milho 1ª safra'!$E6:INDEX('Milho 1ª safra'!$E6:$Z6,MIN(E$6-$E$3,22))),0))-IF($G$2,0,IF((E$6-$G$3)&lt;1,0,IFERROR(LOOKUP(2,1/('Milho 1ª safra'!$E6:INDEX('Milho 1ª safra'!$E6:$Z6,MIN(E$6-$G$3,22))&lt;&gt;""),'Milho 1ª safra'!$E6:INDEX('Milho 1ª safra'!$E6:$Z6,MIN(E$6-$G$3,22))),0)))))</f>
        <v>0</v>
      </c>
      <c r="F8" s="27" t="n">
        <f aca="false">IF(COUNT('Milho 1ª safra'!$E6:$Z6)=0,0,MAX(0,IF((F$6-$E$3)&lt;1,0,IFERROR(LOOKUP(2,1/('Milho 1ª safra'!$E6:INDEX('Milho 1ª safra'!$E6:$Z6,MIN(F$6-$E$3,22))&lt;&gt;""),'Milho 1ª safra'!$E6:INDEX('Milho 1ª safra'!$E6:$Z6,MIN(F$6-$E$3,22))),0))-IF($G$2,0,IF((F$6-$G$3)&lt;1,0,IFERROR(LOOKUP(2,1/('Milho 1ª safra'!$E6:INDEX('Milho 1ª safra'!$E6:$Z6,MIN(F$6-$G$3,22))&lt;&gt;""),'Milho 1ª safra'!$E6:INDEX('Milho 1ª safra'!$E6:$Z6,MIN(F$6-$G$3,22))),0)))))</f>
        <v>0</v>
      </c>
      <c r="G8" s="27" t="n">
        <f aca="false">IF(COUNT('Milho 1ª safra'!$E6:$Z6)=0,0,MAX(0,IF((G$6-$E$3)&lt;1,0,IFERROR(LOOKUP(2,1/('Milho 1ª safra'!$E6:INDEX('Milho 1ª safra'!$E6:$Z6,MIN(G$6-$E$3,22))&lt;&gt;""),'Milho 1ª safra'!$E6:INDEX('Milho 1ª safra'!$E6:$Z6,MIN(G$6-$E$3,22))),0))-IF($G$2,0,IF((G$6-$G$3)&lt;1,0,IFERROR(LOOKUP(2,1/('Milho 1ª safra'!$E6:INDEX('Milho 1ª safra'!$E6:$Z6,MIN(G$6-$G$3,22))&lt;&gt;""),'Milho 1ª safra'!$E6:INDEX('Milho 1ª safra'!$E6:$Z6,MIN(G$6-$G$3,22))),0)))))</f>
        <v>0</v>
      </c>
      <c r="H8" s="27" t="n">
        <f aca="false">IF(COUNT('Milho 1ª safra'!$E6:$Z6)=0,0,MAX(0,IF((H$6-$E$3)&lt;1,0,IFERROR(LOOKUP(2,1/('Milho 1ª safra'!$E6:INDEX('Milho 1ª safra'!$E6:$Z6,MIN(H$6-$E$3,22))&lt;&gt;""),'Milho 1ª safra'!$E6:INDEX('Milho 1ª safra'!$E6:$Z6,MIN(H$6-$E$3,22))),0))-IF($G$2,0,IF((H$6-$G$3)&lt;1,0,IFERROR(LOOKUP(2,1/('Milho 1ª safra'!$E6:INDEX('Milho 1ª safra'!$E6:$Z6,MIN(H$6-$G$3,22))&lt;&gt;""),'Milho 1ª safra'!$E6:INDEX('Milho 1ª safra'!$E6:$Z6,MIN(H$6-$G$3,22))),0)))))</f>
        <v>0</v>
      </c>
      <c r="I8" s="27" t="n">
        <f aca="false">IF(COUNT('Milho 1ª safra'!$E6:$Z6)=0,0,MAX(0,IF((I$6-$E$3)&lt;1,0,IFERROR(LOOKUP(2,1/('Milho 1ª safra'!$E6:INDEX('Milho 1ª safra'!$E6:$Z6,MIN(I$6-$E$3,22))&lt;&gt;""),'Milho 1ª safra'!$E6:INDEX('Milho 1ª safra'!$E6:$Z6,MIN(I$6-$E$3,22))),0))-IF($G$2,0,IF((I$6-$G$3)&lt;1,0,IFERROR(LOOKUP(2,1/('Milho 1ª safra'!$E6:INDEX('Milho 1ª safra'!$E6:$Z6,MIN(I$6-$G$3,22))&lt;&gt;""),'Milho 1ª safra'!$E6:INDEX('Milho 1ª safra'!$E6:$Z6,MIN(I$6-$G$3,22))),0)))))</f>
        <v>0</v>
      </c>
      <c r="J8" s="27" t="n">
        <f aca="false">IF(COUNT('Milho 1ª safra'!$E6:$Z6)=0,0,MAX(0,IF((J$6-$E$3)&lt;1,0,IFERROR(LOOKUP(2,1/('Milho 1ª safra'!$E6:INDEX('Milho 1ª safra'!$E6:$Z6,MIN(J$6-$E$3,22))&lt;&gt;""),'Milho 1ª safra'!$E6:INDEX('Milho 1ª safra'!$E6:$Z6,MIN(J$6-$E$3,22))),0))-IF($G$2,0,IF((J$6-$G$3)&lt;1,0,IFERROR(LOOKUP(2,1/('Milho 1ª safra'!$E6:INDEX('Milho 1ª safra'!$E6:$Z6,MIN(J$6-$G$3,22))&lt;&gt;""),'Milho 1ª safra'!$E6:INDEX('Milho 1ª safra'!$E6:$Z6,MIN(J$6-$G$3,22))),0)))))</f>
        <v>0</v>
      </c>
      <c r="K8" s="27" t="n">
        <f aca="false">IF(COUNT('Milho 1ª safra'!$E6:$Z6)=0,0,MAX(0,IF((K$6-$E$3)&lt;1,0,IFERROR(LOOKUP(2,1/('Milho 1ª safra'!$E6:INDEX('Milho 1ª safra'!$E6:$Z6,MIN(K$6-$E$3,22))&lt;&gt;""),'Milho 1ª safra'!$E6:INDEX('Milho 1ª safra'!$E6:$Z6,MIN(K$6-$E$3,22))),0))-IF($G$2,0,IF((K$6-$G$3)&lt;1,0,IFERROR(LOOKUP(2,1/('Milho 1ª safra'!$E6:INDEX('Milho 1ª safra'!$E6:$Z6,MIN(K$6-$G$3,22))&lt;&gt;""),'Milho 1ª safra'!$E6:INDEX('Milho 1ª safra'!$E6:$Z6,MIN(K$6-$G$3,22))),0)))))</f>
        <v>0</v>
      </c>
      <c r="L8" s="27" t="n">
        <f aca="false">IF(COUNT('Milho 1ª safra'!$E6:$Z6)=0,0,MAX(0,IF((L$6-$E$3)&lt;1,0,IFERROR(LOOKUP(2,1/('Milho 1ª safra'!$E6:INDEX('Milho 1ª safra'!$E6:$Z6,MIN(L$6-$E$3,22))&lt;&gt;""),'Milho 1ª safra'!$E6:INDEX('Milho 1ª safra'!$E6:$Z6,MIN(L$6-$E$3,22))),0))-IF($G$2,0,IF((L$6-$G$3)&lt;1,0,IFERROR(LOOKUP(2,1/('Milho 1ª safra'!$E6:INDEX('Milho 1ª safra'!$E6:$Z6,MIN(L$6-$G$3,22))&lt;&gt;""),'Milho 1ª safra'!$E6:INDEX('Milho 1ª safra'!$E6:$Z6,MIN(L$6-$G$3,22))),0)))))</f>
        <v>0</v>
      </c>
      <c r="M8" s="27" t="n">
        <f aca="false">IF(COUNT('Milho 1ª safra'!$E6:$Z6)=0,0,MAX(0,IF((M$6-$E$3)&lt;1,0,IFERROR(LOOKUP(2,1/('Milho 1ª safra'!$E6:INDEX('Milho 1ª safra'!$E6:$Z6,MIN(M$6-$E$3,22))&lt;&gt;""),'Milho 1ª safra'!$E6:INDEX('Milho 1ª safra'!$E6:$Z6,MIN(M$6-$E$3,22))),0))-IF($G$2,0,IF((M$6-$G$3)&lt;1,0,IFERROR(LOOKUP(2,1/('Milho 1ª safra'!$E6:INDEX('Milho 1ª safra'!$E6:$Z6,MIN(M$6-$G$3,22))&lt;&gt;""),'Milho 1ª safra'!$E6:INDEX('Milho 1ª safra'!$E6:$Z6,MIN(M$6-$G$3,22))),0)))))</f>
        <v>0</v>
      </c>
      <c r="N8" s="27" t="n">
        <f aca="false">IF(COUNT('Milho 1ª safra'!$E6:$Z6)=0,0,MAX(0,IF((N$6-$E$3)&lt;1,0,IFERROR(LOOKUP(2,1/('Milho 1ª safra'!$E6:INDEX('Milho 1ª safra'!$E6:$Z6,MIN(N$6-$E$3,22))&lt;&gt;""),'Milho 1ª safra'!$E6:INDEX('Milho 1ª safra'!$E6:$Z6,MIN(N$6-$E$3,22))),0))-IF($G$2,0,IF((N$6-$G$3)&lt;1,0,IFERROR(LOOKUP(2,1/('Milho 1ª safra'!$E6:INDEX('Milho 1ª safra'!$E6:$Z6,MIN(N$6-$G$3,22))&lt;&gt;""),'Milho 1ª safra'!$E6:INDEX('Milho 1ª safra'!$E6:$Z6,MIN(N$6-$G$3,22))),0)))))</f>
        <v>0</v>
      </c>
      <c r="O8" s="27" t="n">
        <f aca="false">IF(COUNT('Milho 1ª safra'!$E6:$Z6)=0,0,MAX(0,IF((O$6-$E$3)&lt;1,0,IFERROR(LOOKUP(2,1/('Milho 1ª safra'!$E6:INDEX('Milho 1ª safra'!$E6:$Z6,MIN(O$6-$E$3,22))&lt;&gt;""),'Milho 1ª safra'!$E6:INDEX('Milho 1ª safra'!$E6:$Z6,MIN(O$6-$E$3,22))),0))-IF($G$2,0,IF((O$6-$G$3)&lt;1,0,IFERROR(LOOKUP(2,1/('Milho 1ª safra'!$E6:INDEX('Milho 1ª safra'!$E6:$Z6,MIN(O$6-$G$3,22))&lt;&gt;""),'Milho 1ª safra'!$E6:INDEX('Milho 1ª safra'!$E6:$Z6,MIN(O$6-$G$3,22))),0)))))</f>
        <v>0</v>
      </c>
      <c r="P8" s="27" t="n">
        <f aca="false">IF(COUNT('Milho 1ª safra'!$E6:$Z6)=0,0,MAX(0,IF((P$6-$E$3)&lt;1,0,IFERROR(LOOKUP(2,1/('Milho 1ª safra'!$E6:INDEX('Milho 1ª safra'!$E6:$Z6,MIN(P$6-$E$3,22))&lt;&gt;""),'Milho 1ª safra'!$E6:INDEX('Milho 1ª safra'!$E6:$Z6,MIN(P$6-$E$3,22))),0))-IF($G$2,0,IF((P$6-$G$3)&lt;1,0,IFERROR(LOOKUP(2,1/('Milho 1ª safra'!$E6:INDEX('Milho 1ª safra'!$E6:$Z6,MIN(P$6-$G$3,22))&lt;&gt;""),'Milho 1ª safra'!$E6:INDEX('Milho 1ª safra'!$E6:$Z6,MIN(P$6-$G$3,22))),0)))))</f>
        <v>0</v>
      </c>
      <c r="Q8" s="27" t="n">
        <f aca="false">IF(COUNT('Milho 1ª safra'!$E6:$Z6)=0,0,MAX(0,IF((Q$6-$E$3)&lt;1,0,IFERROR(LOOKUP(2,1/('Milho 1ª safra'!$E6:INDEX('Milho 1ª safra'!$E6:$Z6,MIN(Q$6-$E$3,22))&lt;&gt;""),'Milho 1ª safra'!$E6:INDEX('Milho 1ª safra'!$E6:$Z6,MIN(Q$6-$E$3,22))),0))-IF($G$2,0,IF((Q$6-$G$3)&lt;1,0,IFERROR(LOOKUP(2,1/('Milho 1ª safra'!$E6:INDEX('Milho 1ª safra'!$E6:$Z6,MIN(Q$6-$G$3,22))&lt;&gt;""),'Milho 1ª safra'!$E6:INDEX('Milho 1ª safra'!$E6:$Z6,MIN(Q$6-$G$3,22))),0)))))</f>
        <v>0</v>
      </c>
      <c r="R8" s="27" t="n">
        <f aca="false">IF(COUNT('Milho 1ª safra'!$E6:$Z6)=0,0,MAX(0,IF((R$6-$E$3)&lt;1,0,IFERROR(LOOKUP(2,1/('Milho 1ª safra'!$E6:INDEX('Milho 1ª safra'!$E6:$Z6,MIN(R$6-$E$3,22))&lt;&gt;""),'Milho 1ª safra'!$E6:INDEX('Milho 1ª safra'!$E6:$Z6,MIN(R$6-$E$3,22))),0))-IF($G$2,0,IF((R$6-$G$3)&lt;1,0,IFERROR(LOOKUP(2,1/('Milho 1ª safra'!$E6:INDEX('Milho 1ª safra'!$E6:$Z6,MIN(R$6-$G$3,22))&lt;&gt;""),'Milho 1ª safra'!$E6:INDEX('Milho 1ª safra'!$E6:$Z6,MIN(R$6-$G$3,22))),0)))))</f>
        <v>0</v>
      </c>
      <c r="S8" s="27" t="n">
        <f aca="false">IF(COUNT('Milho 1ª safra'!$E6:$Z6)=0,0,MAX(0,IF((S$6-$E$3)&lt;1,0,IFERROR(LOOKUP(2,1/('Milho 1ª safra'!$E6:INDEX('Milho 1ª safra'!$E6:$Z6,MIN(S$6-$E$3,22))&lt;&gt;""),'Milho 1ª safra'!$E6:INDEX('Milho 1ª safra'!$E6:$Z6,MIN(S$6-$E$3,22))),0))-IF($G$2,0,IF((S$6-$G$3)&lt;1,0,IFERROR(LOOKUP(2,1/('Milho 1ª safra'!$E6:INDEX('Milho 1ª safra'!$E6:$Z6,MIN(S$6-$G$3,22))&lt;&gt;""),'Milho 1ª safra'!$E6:INDEX('Milho 1ª safra'!$E6:$Z6,MIN(S$6-$G$3,22))),0)))))</f>
        <v>0</v>
      </c>
      <c r="T8" s="27" t="n">
        <f aca="false">IF(COUNT('Milho 1ª safra'!$E6:$Z6)=0,0,MAX(0,IF((T$6-$E$3)&lt;1,0,IFERROR(LOOKUP(2,1/('Milho 1ª safra'!$E6:INDEX('Milho 1ª safra'!$E6:$Z6,MIN(T$6-$E$3,22))&lt;&gt;""),'Milho 1ª safra'!$E6:INDEX('Milho 1ª safra'!$E6:$Z6,MIN(T$6-$E$3,22))),0))-IF($G$2,0,IF((T$6-$G$3)&lt;1,0,IFERROR(LOOKUP(2,1/('Milho 1ª safra'!$E6:INDEX('Milho 1ª safra'!$E6:$Z6,MIN(T$6-$G$3,22))&lt;&gt;""),'Milho 1ª safra'!$E6:INDEX('Milho 1ª safra'!$E6:$Z6,MIN(T$6-$G$3,22))),0)))))</f>
        <v>0</v>
      </c>
      <c r="U8" s="27" t="n">
        <f aca="false">IF(COUNT('Milho 1ª safra'!$E6:$Z6)=0,0,MAX(0,IF((U$6-$E$3)&lt;1,0,IFERROR(LOOKUP(2,1/('Milho 1ª safra'!$E6:INDEX('Milho 1ª safra'!$E6:$Z6,MIN(U$6-$E$3,22))&lt;&gt;""),'Milho 1ª safra'!$E6:INDEX('Milho 1ª safra'!$E6:$Z6,MIN(U$6-$E$3,22))),0))-IF($G$2,0,IF((U$6-$G$3)&lt;1,0,IFERROR(LOOKUP(2,1/('Milho 1ª safra'!$E6:INDEX('Milho 1ª safra'!$E6:$Z6,MIN(U$6-$G$3,22))&lt;&gt;""),'Milho 1ª safra'!$E6:INDEX('Milho 1ª safra'!$E6:$Z6,MIN(U$6-$G$3,22))),0)))))</f>
        <v>0</v>
      </c>
      <c r="V8" s="27" t="n">
        <f aca="false">IF(COUNT('Milho 1ª safra'!$E6:$Z6)=0,0,MAX(0,IF((V$6-$E$3)&lt;1,0,IFERROR(LOOKUP(2,1/('Milho 1ª safra'!$E6:INDEX('Milho 1ª safra'!$E6:$Z6,MIN(V$6-$E$3,22))&lt;&gt;""),'Milho 1ª safra'!$E6:INDEX('Milho 1ª safra'!$E6:$Z6,MIN(V$6-$E$3,22))),0))-IF($G$2,0,IF((V$6-$G$3)&lt;1,0,IFERROR(LOOKUP(2,1/('Milho 1ª safra'!$E6:INDEX('Milho 1ª safra'!$E6:$Z6,MIN(V$6-$G$3,22))&lt;&gt;""),'Milho 1ª safra'!$E6:INDEX('Milho 1ª safra'!$E6:$Z6,MIN(V$6-$G$3,22))),0)))))</f>
        <v>0</v>
      </c>
      <c r="W8" s="27" t="n">
        <f aca="false">IF(COUNT('Milho 1ª safra'!$E6:$Z6)=0,0,MAX(0,IF((W$6-$E$3)&lt;1,0,IFERROR(LOOKUP(2,1/('Milho 1ª safra'!$E6:INDEX('Milho 1ª safra'!$E6:$Z6,MIN(W$6-$E$3,22))&lt;&gt;""),'Milho 1ª safra'!$E6:INDEX('Milho 1ª safra'!$E6:$Z6,MIN(W$6-$E$3,22))),0))-IF($G$2,0,IF((W$6-$G$3)&lt;1,0,IFERROR(LOOKUP(2,1/('Milho 1ª safra'!$E6:INDEX('Milho 1ª safra'!$E6:$Z6,MIN(W$6-$G$3,22))&lt;&gt;""),'Milho 1ª safra'!$E6:INDEX('Milho 1ª safra'!$E6:$Z6,MIN(W$6-$G$3,22))),0)))))</f>
        <v>0</v>
      </c>
      <c r="X8" s="27" t="n">
        <f aca="false">IF(COUNT('Milho 1ª safra'!$E6:$Z6)=0,0,MAX(0,IF((X$6-$E$3)&lt;1,0,IFERROR(LOOKUP(2,1/('Milho 1ª safra'!$E6:INDEX('Milho 1ª safra'!$E6:$Z6,MIN(X$6-$E$3,22))&lt;&gt;""),'Milho 1ª safra'!$E6:INDEX('Milho 1ª safra'!$E6:$Z6,MIN(X$6-$E$3,22))),0))-IF($G$2,0,IF((X$6-$G$3)&lt;1,0,IFERROR(LOOKUP(2,1/('Milho 1ª safra'!$E6:INDEX('Milho 1ª safra'!$E6:$Z6,MIN(X$6-$G$3,22))&lt;&gt;""),'Milho 1ª safra'!$E6:INDEX('Milho 1ª safra'!$E6:$Z6,MIN(X$6-$G$3,22))),0)))))</f>
        <v>0</v>
      </c>
      <c r="Y8" s="27" t="n">
        <f aca="false">IF(COUNT('Milho 1ª safra'!$E6:$Z6)=0,0,MAX(0,IF((Y$6-$E$3)&lt;1,0,IFERROR(LOOKUP(2,1/('Milho 1ª safra'!$E6:INDEX('Milho 1ª safra'!$E6:$Z6,MIN(Y$6-$E$3,22))&lt;&gt;""),'Milho 1ª safra'!$E6:INDEX('Milho 1ª safra'!$E6:$Z6,MIN(Y$6-$E$3,22))),0))-IF($G$2,0,IF((Y$6-$G$3)&lt;1,0,IFERROR(LOOKUP(2,1/('Milho 1ª safra'!$E6:INDEX('Milho 1ª safra'!$E6:$Z6,MIN(Y$6-$G$3,22))&lt;&gt;""),'Milho 1ª safra'!$E6:INDEX('Milho 1ª safra'!$E6:$Z6,MIN(Y$6-$G$3,22))),0)))))</f>
        <v>0</v>
      </c>
      <c r="Z8" s="27" t="n">
        <f aca="false">IF(COUNT('Milho 1ª safra'!$E6:$Z6)=0,0,MAX(0,IF((Z$6-$E$3)&lt;1,0,IFERROR(LOOKUP(2,1/('Milho 1ª safra'!$E6:INDEX('Milho 1ª safra'!$E6:$Z6,MIN(Z$6-$E$3,22))&lt;&gt;""),'Milho 1ª safra'!$E6:INDEX('Milho 1ª safra'!$E6:$Z6,MIN(Z$6-$E$3,22))),0))-IF($G$2,0,IF((Z$6-$G$3)&lt;1,0,IFERROR(LOOKUP(2,1/('Milho 1ª safra'!$E6:INDEX('Milho 1ª safra'!$E6:$Z6,MIN(Z$6-$G$3,22))&lt;&gt;""),'Milho 1ª safra'!$E6:INDEX('Milho 1ª safra'!$E6:$Z6,MIN(Z$6-$G$3,22))),0)))))</f>
        <v>0</v>
      </c>
      <c r="AA8" s="27" t="n">
        <f aca="false">IF(COUNT('Milho 1ª safra'!$E6:$Z6)=0,0,MAX(0,IF((AA$6-$E$3)&lt;1,0,IFERROR(LOOKUP(2,1/('Milho 1ª safra'!$E6:INDEX('Milho 1ª safra'!$E6:$Z6,MIN(AA$6-$E$3,22))&lt;&gt;""),'Milho 1ª safra'!$E6:INDEX('Milho 1ª safra'!$E6:$Z6,MIN(AA$6-$E$3,22))),0))-IF($G$2,0,IF((AA$6-$G$3)&lt;1,0,IFERROR(LOOKUP(2,1/('Milho 1ª safra'!$E6:INDEX('Milho 1ª safra'!$E6:$Z6,MIN(AA$6-$G$3,22))&lt;&gt;""),'Milho 1ª safra'!$E6:INDEX('Milho 1ª safra'!$E6:$Z6,MIN(AA$6-$G$3,22))),0)))))</f>
        <v>0</v>
      </c>
      <c r="AB8" s="27" t="n">
        <f aca="false">IF(COUNT('Milho 1ª safra'!$E6:$Z6)=0,0,MAX(0,IF((AB$6-$E$3)&lt;1,0,IFERROR(LOOKUP(2,1/('Milho 1ª safra'!$E6:INDEX('Milho 1ª safra'!$E6:$Z6,MIN(AB$6-$E$3,22))&lt;&gt;""),'Milho 1ª safra'!$E6:INDEX('Milho 1ª safra'!$E6:$Z6,MIN(AB$6-$E$3,22))),0))-IF($G$2,0,IF((AB$6-$G$3)&lt;1,0,IFERROR(LOOKUP(2,1/('Milho 1ª safra'!$E6:INDEX('Milho 1ª safra'!$E6:$Z6,MIN(AB$6-$G$3,22))&lt;&gt;""),'Milho 1ª safra'!$E6:INDEX('Milho 1ª safra'!$E6:$Z6,MIN(AB$6-$G$3,22))),0)))))</f>
        <v>0</v>
      </c>
      <c r="AC8" s="27" t="n">
        <f aca="false">IF(COUNT('Milho 1ª safra'!$E6:$Z6)=0,0,MAX(0,IF((AC$6-$E$3)&lt;1,0,IFERROR(LOOKUP(2,1/('Milho 1ª safra'!$E6:INDEX('Milho 1ª safra'!$E6:$Z6,MIN(AC$6-$E$3,22))&lt;&gt;""),'Milho 1ª safra'!$E6:INDEX('Milho 1ª safra'!$E6:$Z6,MIN(AC$6-$E$3,22))),0))-IF($G$2,0,IF((AC$6-$G$3)&lt;1,0,IFERROR(LOOKUP(2,1/('Milho 1ª safra'!$E6:INDEX('Milho 1ª safra'!$E6:$Z6,MIN(AC$6-$G$3,22))&lt;&gt;""),'Milho 1ª safra'!$E6:INDEX('Milho 1ª safra'!$E6:$Z6,MIN(AC$6-$G$3,22))),0)))))</f>
        <v>0</v>
      </c>
      <c r="AD8" s="27" t="n">
        <f aca="false">IF(COUNT('Milho 1ª safra'!$E6:$Z6)=0,0,MAX(0,IF((AD$6-$E$3)&lt;1,0,IFERROR(LOOKUP(2,1/('Milho 1ª safra'!$E6:INDEX('Milho 1ª safra'!$E6:$Z6,MIN(AD$6-$E$3,22))&lt;&gt;""),'Milho 1ª safra'!$E6:INDEX('Milho 1ª safra'!$E6:$Z6,MIN(AD$6-$E$3,22))),0))-IF($G$2,0,IF((AD$6-$G$3)&lt;1,0,IFERROR(LOOKUP(2,1/('Milho 1ª safra'!$E6:INDEX('Milho 1ª safra'!$E6:$Z6,MIN(AD$6-$G$3,22))&lt;&gt;""),'Milho 1ª safra'!$E6:INDEX('Milho 1ª safra'!$E6:$Z6,MIN(AD$6-$G$3,22))),0)))))</f>
        <v>0</v>
      </c>
      <c r="AE8" s="27" t="n">
        <f aca="false">IF(COUNT('Milho 1ª safra'!$E6:$Z6)=0,0,MAX(0,IF((AE$6-$E$3)&lt;1,0,IFERROR(LOOKUP(2,1/('Milho 1ª safra'!$E6:INDEX('Milho 1ª safra'!$E6:$Z6,MIN(AE$6-$E$3,22))&lt;&gt;""),'Milho 1ª safra'!$E6:INDEX('Milho 1ª safra'!$E6:$Z6,MIN(AE$6-$E$3,22))),0))-IF($G$2,0,IF((AE$6-$G$3)&lt;1,0,IFERROR(LOOKUP(2,1/('Milho 1ª safra'!$E6:INDEX('Milho 1ª safra'!$E6:$Z6,MIN(AE$6-$G$3,22))&lt;&gt;""),'Milho 1ª safra'!$E6:INDEX('Milho 1ª safra'!$E6:$Z6,MIN(AE$6-$G$3,22))),0)))))</f>
        <v>0</v>
      </c>
      <c r="AF8" s="27" t="n">
        <f aca="false">IF(COUNT('Milho 1ª safra'!$E6:$Z6)=0,0,MAX(0,IF((AF$6-$E$3)&lt;1,0,IFERROR(LOOKUP(2,1/('Milho 1ª safra'!$E6:INDEX('Milho 1ª safra'!$E6:$Z6,MIN(AF$6-$E$3,22))&lt;&gt;""),'Milho 1ª safra'!$E6:INDEX('Milho 1ª safra'!$E6:$Z6,MIN(AF$6-$E$3,22))),0))-IF($G$2,0,IF((AF$6-$G$3)&lt;1,0,IFERROR(LOOKUP(2,1/('Milho 1ª safra'!$E6:INDEX('Milho 1ª safra'!$E6:$Z6,MIN(AF$6-$G$3,22))&lt;&gt;""),'Milho 1ª safra'!$E6:INDEX('Milho 1ª safra'!$E6:$Z6,MIN(AF$6-$G$3,22))),0)))))</f>
        <v>0</v>
      </c>
      <c r="AG8" s="27" t="n">
        <f aca="false">IF(COUNT('Milho 1ª safra'!$E6:$Z6)=0,0,MAX(0,IF((AG$6-$E$3)&lt;1,0,IFERROR(LOOKUP(2,1/('Milho 1ª safra'!$E6:INDEX('Milho 1ª safra'!$E6:$Z6,MIN(AG$6-$E$3,22))&lt;&gt;""),'Milho 1ª safra'!$E6:INDEX('Milho 1ª safra'!$E6:$Z6,MIN(AG$6-$E$3,22))),0))-IF($G$2,0,IF((AG$6-$G$3)&lt;1,0,IFERROR(LOOKUP(2,1/('Milho 1ª safra'!$E6:INDEX('Milho 1ª safra'!$E6:$Z6,MIN(AG$6-$G$3,22))&lt;&gt;""),'Milho 1ª safra'!$E6:INDEX('Milho 1ª safra'!$E6:$Z6,MIN(AG$6-$G$3,22))),0)))))</f>
        <v>0</v>
      </c>
      <c r="AH8" s="27" t="n">
        <f aca="false">IF(COUNT('Milho 1ª safra'!$E6:$Z6)=0,0,MAX(0,IF((AH$6-$E$3)&lt;1,0,IFERROR(LOOKUP(2,1/('Milho 1ª safra'!$E6:INDEX('Milho 1ª safra'!$E6:$Z6,MIN(AH$6-$E$3,22))&lt;&gt;""),'Milho 1ª safra'!$E6:INDEX('Milho 1ª safra'!$E6:$Z6,MIN(AH$6-$E$3,22))),0))-IF($G$2,0,IF((AH$6-$G$3)&lt;1,0,IFERROR(LOOKUP(2,1/('Milho 1ª safra'!$E6:INDEX('Milho 1ª safra'!$E6:$Z6,MIN(AH$6-$G$3,22))&lt;&gt;""),'Milho 1ª safra'!$E6:INDEX('Milho 1ª safra'!$E6:$Z6,MIN(AH$6-$G$3,22))),0)))))</f>
        <v>0</v>
      </c>
      <c r="AI8" s="27" t="n">
        <f aca="false">IF(COUNT('Milho 1ª safra'!$E6:$Z6)=0,0,MAX(0,IF((AI$6-$E$3)&lt;1,0,IFERROR(LOOKUP(2,1/('Milho 1ª safra'!$E6:INDEX('Milho 1ª safra'!$E6:$Z6,MIN(AI$6-$E$3,22))&lt;&gt;""),'Milho 1ª safra'!$E6:INDEX('Milho 1ª safra'!$E6:$Z6,MIN(AI$6-$E$3,22))),0))-IF($G$2,0,IF((AI$6-$G$3)&lt;1,0,IFERROR(LOOKUP(2,1/('Milho 1ª safra'!$E6:INDEX('Milho 1ª safra'!$E6:$Z6,MIN(AI$6-$G$3,22))&lt;&gt;""),'Milho 1ª safra'!$E6:INDEX('Milho 1ª safra'!$E6:$Z6,MIN(AI$6-$G$3,22))),0)))))</f>
        <v>0</v>
      </c>
      <c r="AJ8" s="27" t="n">
        <f aca="false">IF(COUNT('Milho 1ª safra'!$E6:$Z6)=0,0,MAX(0,IF((AJ$6-$E$3)&lt;1,0,IFERROR(LOOKUP(2,1/('Milho 1ª safra'!$E6:INDEX('Milho 1ª safra'!$E6:$Z6,MIN(AJ$6-$E$3,22))&lt;&gt;""),'Milho 1ª safra'!$E6:INDEX('Milho 1ª safra'!$E6:$Z6,MIN(AJ$6-$E$3,22))),0))-IF($G$2,0,IF((AJ$6-$G$3)&lt;1,0,IFERROR(LOOKUP(2,1/('Milho 1ª safra'!$E6:INDEX('Milho 1ª safra'!$E6:$Z6,MIN(AJ$6-$G$3,22))&lt;&gt;""),'Milho 1ª safra'!$E6:INDEX('Milho 1ª safra'!$E6:$Z6,MIN(AJ$6-$G$3,22))),0)))))</f>
        <v>0</v>
      </c>
      <c r="AK8" s="27" t="n">
        <f aca="false">IF(COUNT('Milho 1ª safra'!$E6:$Z6)=0,0,MAX(0,IF((AK$6-$E$3)&lt;1,0,IFERROR(LOOKUP(2,1/('Milho 1ª safra'!$E6:INDEX('Milho 1ª safra'!$E6:$Z6,MIN(AK$6-$E$3,22))&lt;&gt;""),'Milho 1ª safra'!$E6:INDEX('Milho 1ª safra'!$E6:$Z6,MIN(AK$6-$E$3,22))),0))-IF($G$2,0,IF((AK$6-$G$3)&lt;1,0,IFERROR(LOOKUP(2,1/('Milho 1ª safra'!$E6:INDEX('Milho 1ª safra'!$E6:$Z6,MIN(AK$6-$G$3,22))&lt;&gt;""),'Milho 1ª safra'!$E6:INDEX('Milho 1ª safra'!$E6:$Z6,MIN(AK$6-$G$3,22))),0)))))</f>
        <v>0</v>
      </c>
      <c r="AL8" s="27" t="n">
        <f aca="false">IF(COUNT('Milho 1ª safra'!$E6:$Z6)=0,0,MAX(0,IF((AL$6-$E$3)&lt;1,0,IFERROR(LOOKUP(2,1/('Milho 1ª safra'!$E6:INDEX('Milho 1ª safra'!$E6:$Z6,MIN(AL$6-$E$3,22))&lt;&gt;""),'Milho 1ª safra'!$E6:INDEX('Milho 1ª safra'!$E6:$Z6,MIN(AL$6-$E$3,22))),0))-IF($G$2,0,IF((AL$6-$G$3)&lt;1,0,IFERROR(LOOKUP(2,1/('Milho 1ª safra'!$E6:INDEX('Milho 1ª safra'!$E6:$Z6,MIN(AL$6-$G$3,22))&lt;&gt;""),'Milho 1ª safra'!$E6:INDEX('Milho 1ª safra'!$E6:$Z6,MIN(AL$6-$G$3,22))),0)))))</f>
        <v>0</v>
      </c>
      <c r="AM8" s="27" t="n">
        <f aca="false">IF(COUNT('Milho 1ª safra'!$E6:$Z6)=0,0,MAX(0,IF((AM$6-$E$3)&lt;1,0,IFERROR(LOOKUP(2,1/('Milho 1ª safra'!$E6:INDEX('Milho 1ª safra'!$E6:$Z6,MIN(AM$6-$E$3,22))&lt;&gt;""),'Milho 1ª safra'!$E6:INDEX('Milho 1ª safra'!$E6:$Z6,MIN(AM$6-$E$3,22))),0))-IF($G$2,0,IF((AM$6-$G$3)&lt;1,0,IFERROR(LOOKUP(2,1/('Milho 1ª safra'!$E6:INDEX('Milho 1ª safra'!$E6:$Z6,MIN(AM$6-$G$3,22))&lt;&gt;""),'Milho 1ª safra'!$E6:INDEX('Milho 1ª safra'!$E6:$Z6,MIN(AM$6-$G$3,22))),0)))))</f>
        <v>0</v>
      </c>
      <c r="AN8" s="27" t="n">
        <f aca="false">IF(COUNT('Milho 1ª safra'!$E6:$Z6)=0,0,MAX(0,IF((AN$6-$E$3)&lt;1,0,IFERROR(LOOKUP(2,1/('Milho 1ª safra'!$E6:INDEX('Milho 1ª safra'!$E6:$Z6,MIN(AN$6-$E$3,22))&lt;&gt;""),'Milho 1ª safra'!$E6:INDEX('Milho 1ª safra'!$E6:$Z6,MIN(AN$6-$E$3,22))),0))-IF($G$2,0,IF((AN$6-$G$3)&lt;1,0,IFERROR(LOOKUP(2,1/('Milho 1ª safra'!$E6:INDEX('Milho 1ª safra'!$E6:$Z6,MIN(AN$6-$G$3,22))&lt;&gt;""),'Milho 1ª safra'!$E6:INDEX('Milho 1ª safra'!$E6:$Z6,MIN(AN$6-$G$3,22))),0)))))</f>
        <v>0</v>
      </c>
      <c r="AO8" s="27" t="n">
        <f aca="false">IF(COUNT('Milho 1ª safra'!$E6:$Z6)=0,0,MAX(0,IF((AO$6-$E$3)&lt;1,0,IFERROR(LOOKUP(2,1/('Milho 1ª safra'!$E6:INDEX('Milho 1ª safra'!$E6:$Z6,MIN(AO$6-$E$3,22))&lt;&gt;""),'Milho 1ª safra'!$E6:INDEX('Milho 1ª safra'!$E6:$Z6,MIN(AO$6-$E$3,22))),0))-IF($G$2,0,IF((AO$6-$G$3)&lt;1,0,IFERROR(LOOKUP(2,1/('Milho 1ª safra'!$E6:INDEX('Milho 1ª safra'!$E6:$Z6,MIN(AO$6-$G$3,22))&lt;&gt;""),'Milho 1ª safra'!$E6:INDEX('Milho 1ª safra'!$E6:$Z6,MIN(AO$6-$G$3,22))),0)))))</f>
        <v>0</v>
      </c>
      <c r="AP8" s="27" t="n">
        <f aca="false">IF(COUNT('Milho 1ª safra'!$E6:$Z6)=0,0,MAX(0,IF((AP$6-$E$3)&lt;1,0,IFERROR(LOOKUP(2,1/('Milho 1ª safra'!$E6:INDEX('Milho 1ª safra'!$E6:$Z6,MIN(AP$6-$E$3,22))&lt;&gt;""),'Milho 1ª safra'!$E6:INDEX('Milho 1ª safra'!$E6:$Z6,MIN(AP$6-$E$3,22))),0))-IF($G$2,0,IF((AP$6-$G$3)&lt;1,0,IFERROR(LOOKUP(2,1/('Milho 1ª safra'!$E6:INDEX('Milho 1ª safra'!$E6:$Z6,MIN(AP$6-$G$3,22))&lt;&gt;""),'Milho 1ª safra'!$E6:INDEX('Milho 1ª safra'!$E6:$Z6,MIN(AP$6-$G$3,22))),0)))))</f>
        <v>0</v>
      </c>
      <c r="AQ8" s="27" t="n">
        <f aca="false">IF(COUNT('Milho 1ª safra'!$E6:$Z6)=0,0,MAX(0,IF((AQ$6-$E$3)&lt;1,0,IFERROR(LOOKUP(2,1/('Milho 1ª safra'!$E6:INDEX('Milho 1ª safra'!$E6:$Z6,MIN(AQ$6-$E$3,22))&lt;&gt;""),'Milho 1ª safra'!$E6:INDEX('Milho 1ª safra'!$E6:$Z6,MIN(AQ$6-$E$3,22))),0))-IF($G$2,0,IF((AQ$6-$G$3)&lt;1,0,IFERROR(LOOKUP(2,1/('Milho 1ª safra'!$E6:INDEX('Milho 1ª safra'!$E6:$Z6,MIN(AQ$6-$G$3,22))&lt;&gt;""),'Milho 1ª safra'!$E6:INDEX('Milho 1ª safra'!$E6:$Z6,MIN(AQ$6-$G$3,22))),0)))))</f>
        <v>0</v>
      </c>
      <c r="AR8" s="27" t="n">
        <f aca="false">IF(COUNT('Milho 1ª safra'!$E6:$Z6)=0,0,MAX(0,IF((AR$6-$E$3)&lt;1,0,IFERROR(LOOKUP(2,1/('Milho 1ª safra'!$E6:INDEX('Milho 1ª safra'!$E6:$Z6,MIN(AR$6-$E$3,22))&lt;&gt;""),'Milho 1ª safra'!$E6:INDEX('Milho 1ª safra'!$E6:$Z6,MIN(AR$6-$E$3,22))),0))-IF($G$2,0,IF((AR$6-$G$3)&lt;1,0,IFERROR(LOOKUP(2,1/('Milho 1ª safra'!$E6:INDEX('Milho 1ª safra'!$E6:$Z6,MIN(AR$6-$G$3,22))&lt;&gt;""),'Milho 1ª safra'!$E6:INDEX('Milho 1ª safra'!$E6:$Z6,MIN(AR$6-$G$3,22))),0)))))</f>
        <v>0</v>
      </c>
      <c r="AS8" s="27" t="n">
        <f aca="false">IF(COUNT('Milho 1ª safra'!$E6:$Z6)=0,0,MAX(0,IF((AS$6-$E$3)&lt;1,0,IFERROR(LOOKUP(2,1/('Milho 1ª safra'!$E6:INDEX('Milho 1ª safra'!$E6:$Z6,MIN(AS$6-$E$3,22))&lt;&gt;""),'Milho 1ª safra'!$E6:INDEX('Milho 1ª safra'!$E6:$Z6,MIN(AS$6-$E$3,22))),0))-IF($G$2,0,IF((AS$6-$G$3)&lt;1,0,IFERROR(LOOKUP(2,1/('Milho 1ª safra'!$E6:INDEX('Milho 1ª safra'!$E6:$Z6,MIN(AS$6-$G$3,22))&lt;&gt;""),'Milho 1ª safra'!$E6:INDEX('Milho 1ª safra'!$E6:$Z6,MIN(AS$6-$G$3,22))),0)))))</f>
        <v>0</v>
      </c>
      <c r="AT8" s="27" t="n">
        <f aca="false">IF(COUNT('Milho 1ª safra'!$E6:$Z6)=0,0,MAX(0,IF((AT$6-$E$3)&lt;1,0,IFERROR(LOOKUP(2,1/('Milho 1ª safra'!$E6:INDEX('Milho 1ª safra'!$E6:$Z6,MIN(AT$6-$E$3,22))&lt;&gt;""),'Milho 1ª safra'!$E6:INDEX('Milho 1ª safra'!$E6:$Z6,MIN(AT$6-$E$3,22))),0))-IF($G$2,0,IF((AT$6-$G$3)&lt;1,0,IFERROR(LOOKUP(2,1/('Milho 1ª safra'!$E6:INDEX('Milho 1ª safra'!$E6:$Z6,MIN(AT$6-$G$3,22))&lt;&gt;""),'Milho 1ª safra'!$E6:INDEX('Milho 1ª safra'!$E6:$Z6,MIN(AT$6-$G$3,22))),0)))))</f>
        <v>0</v>
      </c>
      <c r="AU8" s="27" t="n">
        <f aca="false">IF(COUNT('Milho 1ª safra'!$E6:$Z6)=0,0,MAX(0,IF((AU$6-$E$3)&lt;1,0,IFERROR(LOOKUP(2,1/('Milho 1ª safra'!$E6:INDEX('Milho 1ª safra'!$E6:$Z6,MIN(AU$6-$E$3,22))&lt;&gt;""),'Milho 1ª safra'!$E6:INDEX('Milho 1ª safra'!$E6:$Z6,MIN(AU$6-$E$3,22))),0))-IF($G$2,0,IF((AU$6-$G$3)&lt;1,0,IFERROR(LOOKUP(2,1/('Milho 1ª safra'!$E6:INDEX('Milho 1ª safra'!$E6:$Z6,MIN(AU$6-$G$3,22))&lt;&gt;""),'Milho 1ª safra'!$E6:INDEX('Milho 1ª safra'!$E6:$Z6,MIN(AU$6-$G$3,22))),0)))))</f>
        <v>0</v>
      </c>
      <c r="AV8" s="27" t="n">
        <f aca="false">IF(COUNT('Milho 1ª safra'!$E6:$Z6)=0,0,MAX(0,IF((AV$6-$E$3)&lt;1,0,IFERROR(LOOKUP(2,1/('Milho 1ª safra'!$E6:INDEX('Milho 1ª safra'!$E6:$Z6,MIN(AV$6-$E$3,22))&lt;&gt;""),'Milho 1ª safra'!$E6:INDEX('Milho 1ª safra'!$E6:$Z6,MIN(AV$6-$E$3,22))),0))-IF($G$2,0,IF((AV$6-$G$3)&lt;1,0,IFERROR(LOOKUP(2,1/('Milho 1ª safra'!$E6:INDEX('Milho 1ª safra'!$E6:$Z6,MIN(AV$6-$G$3,22))&lt;&gt;""),'Milho 1ª safra'!$E6:INDEX('Milho 1ª safra'!$E6:$Z6,MIN(AV$6-$G$3,22))),0)))))</f>
        <v>0</v>
      </c>
      <c r="AW8" s="27" t="n">
        <f aca="false">IF(COUNT('Milho 1ª safra'!$E6:$Z6)=0,0,MAX(0,IF((AW$6-$E$3)&lt;1,0,IFERROR(LOOKUP(2,1/('Milho 1ª safra'!$E6:INDEX('Milho 1ª safra'!$E6:$Z6,MIN(AW$6-$E$3,22))&lt;&gt;""),'Milho 1ª safra'!$E6:INDEX('Milho 1ª safra'!$E6:$Z6,MIN(AW$6-$E$3,22))),0))-IF($G$2,0,IF((AW$6-$G$3)&lt;1,0,IFERROR(LOOKUP(2,1/('Milho 1ª safra'!$E6:INDEX('Milho 1ª safra'!$E6:$Z6,MIN(AW$6-$G$3,22))&lt;&gt;""),'Milho 1ª safra'!$E6:INDEX('Milho 1ª safra'!$E6:$Z6,MIN(AW$6-$G$3,22))),0)))))</f>
        <v>0</v>
      </c>
      <c r="AX8" s="27" t="n">
        <f aca="false">IF(COUNT('Milho 1ª safra'!$E6:$Z6)=0,0,MAX(0,IF((AX$6-$E$3)&lt;1,0,IFERROR(LOOKUP(2,1/('Milho 1ª safra'!$E6:INDEX('Milho 1ª safra'!$E6:$Z6,MIN(AX$6-$E$3,22))&lt;&gt;""),'Milho 1ª safra'!$E6:INDEX('Milho 1ª safra'!$E6:$Z6,MIN(AX$6-$E$3,22))),0))-IF($G$2,0,IF((AX$6-$G$3)&lt;1,0,IFERROR(LOOKUP(2,1/('Milho 1ª safra'!$E6:INDEX('Milho 1ª safra'!$E6:$Z6,MIN(AX$6-$G$3,22))&lt;&gt;""),'Milho 1ª safra'!$E6:INDEX('Milho 1ª safra'!$E6:$Z6,MIN(AX$6-$G$3,22))),0)))))</f>
        <v>0</v>
      </c>
      <c r="AY8" s="27" t="n">
        <f aca="false">IF(COUNT('Milho 1ª safra'!$E6:$Z6)=0,0,MAX(0,IF((AY$6-$E$3)&lt;1,0,IFERROR(LOOKUP(2,1/('Milho 1ª safra'!$E6:INDEX('Milho 1ª safra'!$E6:$Z6,MIN(AY$6-$E$3,22))&lt;&gt;""),'Milho 1ª safra'!$E6:INDEX('Milho 1ª safra'!$E6:$Z6,MIN(AY$6-$E$3,22))),0))-IF($G$2,0,IF((AY$6-$G$3)&lt;1,0,IFERROR(LOOKUP(2,1/('Milho 1ª safra'!$E6:INDEX('Milho 1ª safra'!$E6:$Z6,MIN(AY$6-$G$3,22))&lt;&gt;""),'Milho 1ª safra'!$E6:INDEX('Milho 1ª safra'!$E6:$Z6,MIN(AY$6-$G$3,22))),0)))))</f>
        <v>0</v>
      </c>
      <c r="AZ8" s="27" t="n">
        <f aca="false">IF(COUNT('Milho 1ª safra'!$E6:$Z6)=0,0,MAX(0,IF((AZ$6-$E$3)&lt;1,0,IFERROR(LOOKUP(2,1/('Milho 1ª safra'!$E6:INDEX('Milho 1ª safra'!$E6:$Z6,MIN(AZ$6-$E$3,22))&lt;&gt;""),'Milho 1ª safra'!$E6:INDEX('Milho 1ª safra'!$E6:$Z6,MIN(AZ$6-$E$3,22))),0))-IF($G$2,0,IF((AZ$6-$G$3)&lt;1,0,IFERROR(LOOKUP(2,1/('Milho 1ª safra'!$E6:INDEX('Milho 1ª safra'!$E6:$Z6,MIN(AZ$6-$G$3,22))&lt;&gt;""),'Milho 1ª safra'!$E6:INDEX('Milho 1ª safra'!$E6:$Z6,MIN(AZ$6-$G$3,22))),0)))))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IF(COUNT('Milho 1ª safra'!$E7:$Z7)&gt;0,N('Milho 1ª safra'!$D7),0)</f>
        <v>0</v>
      </c>
      <c r="E9" s="27" t="n">
        <f aca="false">IF(COUNT('Milho 1ª safra'!$E7:$Z7)=0,0,MAX(0,IF((E$6-$E$3)&lt;1,0,IFERROR(LOOKUP(2,1/('Milho 1ª safra'!$E7:INDEX('Milho 1ª safra'!$E7:$Z7,MIN(E$6-$E$3,22))&lt;&gt;""),'Milho 1ª safra'!$E7:INDEX('Milho 1ª safra'!$E7:$Z7,MIN(E$6-$E$3,22))),0))-IF($G$2,0,IF((E$6-$G$3)&lt;1,0,IFERROR(LOOKUP(2,1/('Milho 1ª safra'!$E7:INDEX('Milho 1ª safra'!$E7:$Z7,MIN(E$6-$G$3,22))&lt;&gt;""),'Milho 1ª safra'!$E7:INDEX('Milho 1ª safra'!$E7:$Z7,MIN(E$6-$G$3,22))),0)))))</f>
        <v>0</v>
      </c>
      <c r="F9" s="27" t="n">
        <f aca="false">IF(COUNT('Milho 1ª safra'!$E7:$Z7)=0,0,MAX(0,IF((F$6-$E$3)&lt;1,0,IFERROR(LOOKUP(2,1/('Milho 1ª safra'!$E7:INDEX('Milho 1ª safra'!$E7:$Z7,MIN(F$6-$E$3,22))&lt;&gt;""),'Milho 1ª safra'!$E7:INDEX('Milho 1ª safra'!$E7:$Z7,MIN(F$6-$E$3,22))),0))-IF($G$2,0,IF((F$6-$G$3)&lt;1,0,IFERROR(LOOKUP(2,1/('Milho 1ª safra'!$E7:INDEX('Milho 1ª safra'!$E7:$Z7,MIN(F$6-$G$3,22))&lt;&gt;""),'Milho 1ª safra'!$E7:INDEX('Milho 1ª safra'!$E7:$Z7,MIN(F$6-$G$3,22))),0)))))</f>
        <v>0</v>
      </c>
      <c r="G9" s="27" t="n">
        <f aca="false">IF(COUNT('Milho 1ª safra'!$E7:$Z7)=0,0,MAX(0,IF((G$6-$E$3)&lt;1,0,IFERROR(LOOKUP(2,1/('Milho 1ª safra'!$E7:INDEX('Milho 1ª safra'!$E7:$Z7,MIN(G$6-$E$3,22))&lt;&gt;""),'Milho 1ª safra'!$E7:INDEX('Milho 1ª safra'!$E7:$Z7,MIN(G$6-$E$3,22))),0))-IF($G$2,0,IF((G$6-$G$3)&lt;1,0,IFERROR(LOOKUP(2,1/('Milho 1ª safra'!$E7:INDEX('Milho 1ª safra'!$E7:$Z7,MIN(G$6-$G$3,22))&lt;&gt;""),'Milho 1ª safra'!$E7:INDEX('Milho 1ª safra'!$E7:$Z7,MIN(G$6-$G$3,22))),0)))))</f>
        <v>0</v>
      </c>
      <c r="H9" s="27" t="n">
        <f aca="false">IF(COUNT('Milho 1ª safra'!$E7:$Z7)=0,0,MAX(0,IF((H$6-$E$3)&lt;1,0,IFERROR(LOOKUP(2,1/('Milho 1ª safra'!$E7:INDEX('Milho 1ª safra'!$E7:$Z7,MIN(H$6-$E$3,22))&lt;&gt;""),'Milho 1ª safra'!$E7:INDEX('Milho 1ª safra'!$E7:$Z7,MIN(H$6-$E$3,22))),0))-IF($G$2,0,IF((H$6-$G$3)&lt;1,0,IFERROR(LOOKUP(2,1/('Milho 1ª safra'!$E7:INDEX('Milho 1ª safra'!$E7:$Z7,MIN(H$6-$G$3,22))&lt;&gt;""),'Milho 1ª safra'!$E7:INDEX('Milho 1ª safra'!$E7:$Z7,MIN(H$6-$G$3,22))),0)))))</f>
        <v>0</v>
      </c>
      <c r="I9" s="27" t="n">
        <f aca="false">IF(COUNT('Milho 1ª safra'!$E7:$Z7)=0,0,MAX(0,IF((I$6-$E$3)&lt;1,0,IFERROR(LOOKUP(2,1/('Milho 1ª safra'!$E7:INDEX('Milho 1ª safra'!$E7:$Z7,MIN(I$6-$E$3,22))&lt;&gt;""),'Milho 1ª safra'!$E7:INDEX('Milho 1ª safra'!$E7:$Z7,MIN(I$6-$E$3,22))),0))-IF($G$2,0,IF((I$6-$G$3)&lt;1,0,IFERROR(LOOKUP(2,1/('Milho 1ª safra'!$E7:INDEX('Milho 1ª safra'!$E7:$Z7,MIN(I$6-$G$3,22))&lt;&gt;""),'Milho 1ª safra'!$E7:INDEX('Milho 1ª safra'!$E7:$Z7,MIN(I$6-$G$3,22))),0)))))</f>
        <v>0</v>
      </c>
      <c r="J9" s="27" t="n">
        <f aca="false">IF(COUNT('Milho 1ª safra'!$E7:$Z7)=0,0,MAX(0,IF((J$6-$E$3)&lt;1,0,IFERROR(LOOKUP(2,1/('Milho 1ª safra'!$E7:INDEX('Milho 1ª safra'!$E7:$Z7,MIN(J$6-$E$3,22))&lt;&gt;""),'Milho 1ª safra'!$E7:INDEX('Milho 1ª safra'!$E7:$Z7,MIN(J$6-$E$3,22))),0))-IF($G$2,0,IF((J$6-$G$3)&lt;1,0,IFERROR(LOOKUP(2,1/('Milho 1ª safra'!$E7:INDEX('Milho 1ª safra'!$E7:$Z7,MIN(J$6-$G$3,22))&lt;&gt;""),'Milho 1ª safra'!$E7:INDEX('Milho 1ª safra'!$E7:$Z7,MIN(J$6-$G$3,22))),0)))))</f>
        <v>0</v>
      </c>
      <c r="K9" s="27" t="n">
        <f aca="false">IF(COUNT('Milho 1ª safra'!$E7:$Z7)=0,0,MAX(0,IF((K$6-$E$3)&lt;1,0,IFERROR(LOOKUP(2,1/('Milho 1ª safra'!$E7:INDEX('Milho 1ª safra'!$E7:$Z7,MIN(K$6-$E$3,22))&lt;&gt;""),'Milho 1ª safra'!$E7:INDEX('Milho 1ª safra'!$E7:$Z7,MIN(K$6-$E$3,22))),0))-IF($G$2,0,IF((K$6-$G$3)&lt;1,0,IFERROR(LOOKUP(2,1/('Milho 1ª safra'!$E7:INDEX('Milho 1ª safra'!$E7:$Z7,MIN(K$6-$G$3,22))&lt;&gt;""),'Milho 1ª safra'!$E7:INDEX('Milho 1ª safra'!$E7:$Z7,MIN(K$6-$G$3,22))),0)))))</f>
        <v>0</v>
      </c>
      <c r="L9" s="27" t="n">
        <f aca="false">IF(COUNT('Milho 1ª safra'!$E7:$Z7)=0,0,MAX(0,IF((L$6-$E$3)&lt;1,0,IFERROR(LOOKUP(2,1/('Milho 1ª safra'!$E7:INDEX('Milho 1ª safra'!$E7:$Z7,MIN(L$6-$E$3,22))&lt;&gt;""),'Milho 1ª safra'!$E7:INDEX('Milho 1ª safra'!$E7:$Z7,MIN(L$6-$E$3,22))),0))-IF($G$2,0,IF((L$6-$G$3)&lt;1,0,IFERROR(LOOKUP(2,1/('Milho 1ª safra'!$E7:INDEX('Milho 1ª safra'!$E7:$Z7,MIN(L$6-$G$3,22))&lt;&gt;""),'Milho 1ª safra'!$E7:INDEX('Milho 1ª safra'!$E7:$Z7,MIN(L$6-$G$3,22))),0)))))</f>
        <v>0</v>
      </c>
      <c r="M9" s="27" t="n">
        <f aca="false">IF(COUNT('Milho 1ª safra'!$E7:$Z7)=0,0,MAX(0,IF((M$6-$E$3)&lt;1,0,IFERROR(LOOKUP(2,1/('Milho 1ª safra'!$E7:INDEX('Milho 1ª safra'!$E7:$Z7,MIN(M$6-$E$3,22))&lt;&gt;""),'Milho 1ª safra'!$E7:INDEX('Milho 1ª safra'!$E7:$Z7,MIN(M$6-$E$3,22))),0))-IF($G$2,0,IF((M$6-$G$3)&lt;1,0,IFERROR(LOOKUP(2,1/('Milho 1ª safra'!$E7:INDEX('Milho 1ª safra'!$E7:$Z7,MIN(M$6-$G$3,22))&lt;&gt;""),'Milho 1ª safra'!$E7:INDEX('Milho 1ª safra'!$E7:$Z7,MIN(M$6-$G$3,22))),0)))))</f>
        <v>0</v>
      </c>
      <c r="N9" s="27" t="n">
        <f aca="false">IF(COUNT('Milho 1ª safra'!$E7:$Z7)=0,0,MAX(0,IF((N$6-$E$3)&lt;1,0,IFERROR(LOOKUP(2,1/('Milho 1ª safra'!$E7:INDEX('Milho 1ª safra'!$E7:$Z7,MIN(N$6-$E$3,22))&lt;&gt;""),'Milho 1ª safra'!$E7:INDEX('Milho 1ª safra'!$E7:$Z7,MIN(N$6-$E$3,22))),0))-IF($G$2,0,IF((N$6-$G$3)&lt;1,0,IFERROR(LOOKUP(2,1/('Milho 1ª safra'!$E7:INDEX('Milho 1ª safra'!$E7:$Z7,MIN(N$6-$G$3,22))&lt;&gt;""),'Milho 1ª safra'!$E7:INDEX('Milho 1ª safra'!$E7:$Z7,MIN(N$6-$G$3,22))),0)))))</f>
        <v>0</v>
      </c>
      <c r="O9" s="27" t="n">
        <f aca="false">IF(COUNT('Milho 1ª safra'!$E7:$Z7)=0,0,MAX(0,IF((O$6-$E$3)&lt;1,0,IFERROR(LOOKUP(2,1/('Milho 1ª safra'!$E7:INDEX('Milho 1ª safra'!$E7:$Z7,MIN(O$6-$E$3,22))&lt;&gt;""),'Milho 1ª safra'!$E7:INDEX('Milho 1ª safra'!$E7:$Z7,MIN(O$6-$E$3,22))),0))-IF($G$2,0,IF((O$6-$G$3)&lt;1,0,IFERROR(LOOKUP(2,1/('Milho 1ª safra'!$E7:INDEX('Milho 1ª safra'!$E7:$Z7,MIN(O$6-$G$3,22))&lt;&gt;""),'Milho 1ª safra'!$E7:INDEX('Milho 1ª safra'!$E7:$Z7,MIN(O$6-$G$3,22))),0)))))</f>
        <v>0</v>
      </c>
      <c r="P9" s="27" t="n">
        <f aca="false">IF(COUNT('Milho 1ª safra'!$E7:$Z7)=0,0,MAX(0,IF((P$6-$E$3)&lt;1,0,IFERROR(LOOKUP(2,1/('Milho 1ª safra'!$E7:INDEX('Milho 1ª safra'!$E7:$Z7,MIN(P$6-$E$3,22))&lt;&gt;""),'Milho 1ª safra'!$E7:INDEX('Milho 1ª safra'!$E7:$Z7,MIN(P$6-$E$3,22))),0))-IF($G$2,0,IF((P$6-$G$3)&lt;1,0,IFERROR(LOOKUP(2,1/('Milho 1ª safra'!$E7:INDEX('Milho 1ª safra'!$E7:$Z7,MIN(P$6-$G$3,22))&lt;&gt;""),'Milho 1ª safra'!$E7:INDEX('Milho 1ª safra'!$E7:$Z7,MIN(P$6-$G$3,22))),0)))))</f>
        <v>0</v>
      </c>
      <c r="Q9" s="27" t="n">
        <f aca="false">IF(COUNT('Milho 1ª safra'!$E7:$Z7)=0,0,MAX(0,IF((Q$6-$E$3)&lt;1,0,IFERROR(LOOKUP(2,1/('Milho 1ª safra'!$E7:INDEX('Milho 1ª safra'!$E7:$Z7,MIN(Q$6-$E$3,22))&lt;&gt;""),'Milho 1ª safra'!$E7:INDEX('Milho 1ª safra'!$E7:$Z7,MIN(Q$6-$E$3,22))),0))-IF($G$2,0,IF((Q$6-$G$3)&lt;1,0,IFERROR(LOOKUP(2,1/('Milho 1ª safra'!$E7:INDEX('Milho 1ª safra'!$E7:$Z7,MIN(Q$6-$G$3,22))&lt;&gt;""),'Milho 1ª safra'!$E7:INDEX('Milho 1ª safra'!$E7:$Z7,MIN(Q$6-$G$3,22))),0)))))</f>
        <v>0</v>
      </c>
      <c r="R9" s="27" t="n">
        <f aca="false">IF(COUNT('Milho 1ª safra'!$E7:$Z7)=0,0,MAX(0,IF((R$6-$E$3)&lt;1,0,IFERROR(LOOKUP(2,1/('Milho 1ª safra'!$E7:INDEX('Milho 1ª safra'!$E7:$Z7,MIN(R$6-$E$3,22))&lt;&gt;""),'Milho 1ª safra'!$E7:INDEX('Milho 1ª safra'!$E7:$Z7,MIN(R$6-$E$3,22))),0))-IF($G$2,0,IF((R$6-$G$3)&lt;1,0,IFERROR(LOOKUP(2,1/('Milho 1ª safra'!$E7:INDEX('Milho 1ª safra'!$E7:$Z7,MIN(R$6-$G$3,22))&lt;&gt;""),'Milho 1ª safra'!$E7:INDEX('Milho 1ª safra'!$E7:$Z7,MIN(R$6-$G$3,22))),0)))))</f>
        <v>0</v>
      </c>
      <c r="S9" s="27" t="n">
        <f aca="false">IF(COUNT('Milho 1ª safra'!$E7:$Z7)=0,0,MAX(0,IF((S$6-$E$3)&lt;1,0,IFERROR(LOOKUP(2,1/('Milho 1ª safra'!$E7:INDEX('Milho 1ª safra'!$E7:$Z7,MIN(S$6-$E$3,22))&lt;&gt;""),'Milho 1ª safra'!$E7:INDEX('Milho 1ª safra'!$E7:$Z7,MIN(S$6-$E$3,22))),0))-IF($G$2,0,IF((S$6-$G$3)&lt;1,0,IFERROR(LOOKUP(2,1/('Milho 1ª safra'!$E7:INDEX('Milho 1ª safra'!$E7:$Z7,MIN(S$6-$G$3,22))&lt;&gt;""),'Milho 1ª safra'!$E7:INDEX('Milho 1ª safra'!$E7:$Z7,MIN(S$6-$G$3,22))),0)))))</f>
        <v>0</v>
      </c>
      <c r="T9" s="27" t="n">
        <f aca="false">IF(COUNT('Milho 1ª safra'!$E7:$Z7)=0,0,MAX(0,IF((T$6-$E$3)&lt;1,0,IFERROR(LOOKUP(2,1/('Milho 1ª safra'!$E7:INDEX('Milho 1ª safra'!$E7:$Z7,MIN(T$6-$E$3,22))&lt;&gt;""),'Milho 1ª safra'!$E7:INDEX('Milho 1ª safra'!$E7:$Z7,MIN(T$6-$E$3,22))),0))-IF($G$2,0,IF((T$6-$G$3)&lt;1,0,IFERROR(LOOKUP(2,1/('Milho 1ª safra'!$E7:INDEX('Milho 1ª safra'!$E7:$Z7,MIN(T$6-$G$3,22))&lt;&gt;""),'Milho 1ª safra'!$E7:INDEX('Milho 1ª safra'!$E7:$Z7,MIN(T$6-$G$3,22))),0)))))</f>
        <v>0</v>
      </c>
      <c r="U9" s="27" t="n">
        <f aca="false">IF(COUNT('Milho 1ª safra'!$E7:$Z7)=0,0,MAX(0,IF((U$6-$E$3)&lt;1,0,IFERROR(LOOKUP(2,1/('Milho 1ª safra'!$E7:INDEX('Milho 1ª safra'!$E7:$Z7,MIN(U$6-$E$3,22))&lt;&gt;""),'Milho 1ª safra'!$E7:INDEX('Milho 1ª safra'!$E7:$Z7,MIN(U$6-$E$3,22))),0))-IF($G$2,0,IF((U$6-$G$3)&lt;1,0,IFERROR(LOOKUP(2,1/('Milho 1ª safra'!$E7:INDEX('Milho 1ª safra'!$E7:$Z7,MIN(U$6-$G$3,22))&lt;&gt;""),'Milho 1ª safra'!$E7:INDEX('Milho 1ª safra'!$E7:$Z7,MIN(U$6-$G$3,22))),0)))))</f>
        <v>0</v>
      </c>
      <c r="V9" s="27" t="n">
        <f aca="false">IF(COUNT('Milho 1ª safra'!$E7:$Z7)=0,0,MAX(0,IF((V$6-$E$3)&lt;1,0,IFERROR(LOOKUP(2,1/('Milho 1ª safra'!$E7:INDEX('Milho 1ª safra'!$E7:$Z7,MIN(V$6-$E$3,22))&lt;&gt;""),'Milho 1ª safra'!$E7:INDEX('Milho 1ª safra'!$E7:$Z7,MIN(V$6-$E$3,22))),0))-IF($G$2,0,IF((V$6-$G$3)&lt;1,0,IFERROR(LOOKUP(2,1/('Milho 1ª safra'!$E7:INDEX('Milho 1ª safra'!$E7:$Z7,MIN(V$6-$G$3,22))&lt;&gt;""),'Milho 1ª safra'!$E7:INDEX('Milho 1ª safra'!$E7:$Z7,MIN(V$6-$G$3,22))),0)))))</f>
        <v>0</v>
      </c>
      <c r="W9" s="27" t="n">
        <f aca="false">IF(COUNT('Milho 1ª safra'!$E7:$Z7)=0,0,MAX(0,IF((W$6-$E$3)&lt;1,0,IFERROR(LOOKUP(2,1/('Milho 1ª safra'!$E7:INDEX('Milho 1ª safra'!$E7:$Z7,MIN(W$6-$E$3,22))&lt;&gt;""),'Milho 1ª safra'!$E7:INDEX('Milho 1ª safra'!$E7:$Z7,MIN(W$6-$E$3,22))),0))-IF($G$2,0,IF((W$6-$G$3)&lt;1,0,IFERROR(LOOKUP(2,1/('Milho 1ª safra'!$E7:INDEX('Milho 1ª safra'!$E7:$Z7,MIN(W$6-$G$3,22))&lt;&gt;""),'Milho 1ª safra'!$E7:INDEX('Milho 1ª safra'!$E7:$Z7,MIN(W$6-$G$3,22))),0)))))</f>
        <v>0</v>
      </c>
      <c r="X9" s="27" t="n">
        <f aca="false">IF(COUNT('Milho 1ª safra'!$E7:$Z7)=0,0,MAX(0,IF((X$6-$E$3)&lt;1,0,IFERROR(LOOKUP(2,1/('Milho 1ª safra'!$E7:INDEX('Milho 1ª safra'!$E7:$Z7,MIN(X$6-$E$3,22))&lt;&gt;""),'Milho 1ª safra'!$E7:INDEX('Milho 1ª safra'!$E7:$Z7,MIN(X$6-$E$3,22))),0))-IF($G$2,0,IF((X$6-$G$3)&lt;1,0,IFERROR(LOOKUP(2,1/('Milho 1ª safra'!$E7:INDEX('Milho 1ª safra'!$E7:$Z7,MIN(X$6-$G$3,22))&lt;&gt;""),'Milho 1ª safra'!$E7:INDEX('Milho 1ª safra'!$E7:$Z7,MIN(X$6-$G$3,22))),0)))))</f>
        <v>0</v>
      </c>
      <c r="Y9" s="27" t="n">
        <f aca="false">IF(COUNT('Milho 1ª safra'!$E7:$Z7)=0,0,MAX(0,IF((Y$6-$E$3)&lt;1,0,IFERROR(LOOKUP(2,1/('Milho 1ª safra'!$E7:INDEX('Milho 1ª safra'!$E7:$Z7,MIN(Y$6-$E$3,22))&lt;&gt;""),'Milho 1ª safra'!$E7:INDEX('Milho 1ª safra'!$E7:$Z7,MIN(Y$6-$E$3,22))),0))-IF($G$2,0,IF((Y$6-$G$3)&lt;1,0,IFERROR(LOOKUP(2,1/('Milho 1ª safra'!$E7:INDEX('Milho 1ª safra'!$E7:$Z7,MIN(Y$6-$G$3,22))&lt;&gt;""),'Milho 1ª safra'!$E7:INDEX('Milho 1ª safra'!$E7:$Z7,MIN(Y$6-$G$3,22))),0)))))</f>
        <v>0</v>
      </c>
      <c r="Z9" s="27" t="n">
        <f aca="false">IF(COUNT('Milho 1ª safra'!$E7:$Z7)=0,0,MAX(0,IF((Z$6-$E$3)&lt;1,0,IFERROR(LOOKUP(2,1/('Milho 1ª safra'!$E7:INDEX('Milho 1ª safra'!$E7:$Z7,MIN(Z$6-$E$3,22))&lt;&gt;""),'Milho 1ª safra'!$E7:INDEX('Milho 1ª safra'!$E7:$Z7,MIN(Z$6-$E$3,22))),0))-IF($G$2,0,IF((Z$6-$G$3)&lt;1,0,IFERROR(LOOKUP(2,1/('Milho 1ª safra'!$E7:INDEX('Milho 1ª safra'!$E7:$Z7,MIN(Z$6-$G$3,22))&lt;&gt;""),'Milho 1ª safra'!$E7:INDEX('Milho 1ª safra'!$E7:$Z7,MIN(Z$6-$G$3,22))),0)))))</f>
        <v>0</v>
      </c>
      <c r="AA9" s="27" t="n">
        <f aca="false">IF(COUNT('Milho 1ª safra'!$E7:$Z7)=0,0,MAX(0,IF((AA$6-$E$3)&lt;1,0,IFERROR(LOOKUP(2,1/('Milho 1ª safra'!$E7:INDEX('Milho 1ª safra'!$E7:$Z7,MIN(AA$6-$E$3,22))&lt;&gt;""),'Milho 1ª safra'!$E7:INDEX('Milho 1ª safra'!$E7:$Z7,MIN(AA$6-$E$3,22))),0))-IF($G$2,0,IF((AA$6-$G$3)&lt;1,0,IFERROR(LOOKUP(2,1/('Milho 1ª safra'!$E7:INDEX('Milho 1ª safra'!$E7:$Z7,MIN(AA$6-$G$3,22))&lt;&gt;""),'Milho 1ª safra'!$E7:INDEX('Milho 1ª safra'!$E7:$Z7,MIN(AA$6-$G$3,22))),0)))))</f>
        <v>0</v>
      </c>
      <c r="AB9" s="27" t="n">
        <f aca="false">IF(COUNT('Milho 1ª safra'!$E7:$Z7)=0,0,MAX(0,IF((AB$6-$E$3)&lt;1,0,IFERROR(LOOKUP(2,1/('Milho 1ª safra'!$E7:INDEX('Milho 1ª safra'!$E7:$Z7,MIN(AB$6-$E$3,22))&lt;&gt;""),'Milho 1ª safra'!$E7:INDEX('Milho 1ª safra'!$E7:$Z7,MIN(AB$6-$E$3,22))),0))-IF($G$2,0,IF((AB$6-$G$3)&lt;1,0,IFERROR(LOOKUP(2,1/('Milho 1ª safra'!$E7:INDEX('Milho 1ª safra'!$E7:$Z7,MIN(AB$6-$G$3,22))&lt;&gt;""),'Milho 1ª safra'!$E7:INDEX('Milho 1ª safra'!$E7:$Z7,MIN(AB$6-$G$3,22))),0)))))</f>
        <v>0</v>
      </c>
      <c r="AC9" s="27" t="n">
        <f aca="false">IF(COUNT('Milho 1ª safra'!$E7:$Z7)=0,0,MAX(0,IF((AC$6-$E$3)&lt;1,0,IFERROR(LOOKUP(2,1/('Milho 1ª safra'!$E7:INDEX('Milho 1ª safra'!$E7:$Z7,MIN(AC$6-$E$3,22))&lt;&gt;""),'Milho 1ª safra'!$E7:INDEX('Milho 1ª safra'!$E7:$Z7,MIN(AC$6-$E$3,22))),0))-IF($G$2,0,IF((AC$6-$G$3)&lt;1,0,IFERROR(LOOKUP(2,1/('Milho 1ª safra'!$E7:INDEX('Milho 1ª safra'!$E7:$Z7,MIN(AC$6-$G$3,22))&lt;&gt;""),'Milho 1ª safra'!$E7:INDEX('Milho 1ª safra'!$E7:$Z7,MIN(AC$6-$G$3,22))),0)))))</f>
        <v>0</v>
      </c>
      <c r="AD9" s="27" t="n">
        <f aca="false">IF(COUNT('Milho 1ª safra'!$E7:$Z7)=0,0,MAX(0,IF((AD$6-$E$3)&lt;1,0,IFERROR(LOOKUP(2,1/('Milho 1ª safra'!$E7:INDEX('Milho 1ª safra'!$E7:$Z7,MIN(AD$6-$E$3,22))&lt;&gt;""),'Milho 1ª safra'!$E7:INDEX('Milho 1ª safra'!$E7:$Z7,MIN(AD$6-$E$3,22))),0))-IF($G$2,0,IF((AD$6-$G$3)&lt;1,0,IFERROR(LOOKUP(2,1/('Milho 1ª safra'!$E7:INDEX('Milho 1ª safra'!$E7:$Z7,MIN(AD$6-$G$3,22))&lt;&gt;""),'Milho 1ª safra'!$E7:INDEX('Milho 1ª safra'!$E7:$Z7,MIN(AD$6-$G$3,22))),0)))))</f>
        <v>0</v>
      </c>
      <c r="AE9" s="27" t="n">
        <f aca="false">IF(COUNT('Milho 1ª safra'!$E7:$Z7)=0,0,MAX(0,IF((AE$6-$E$3)&lt;1,0,IFERROR(LOOKUP(2,1/('Milho 1ª safra'!$E7:INDEX('Milho 1ª safra'!$E7:$Z7,MIN(AE$6-$E$3,22))&lt;&gt;""),'Milho 1ª safra'!$E7:INDEX('Milho 1ª safra'!$E7:$Z7,MIN(AE$6-$E$3,22))),0))-IF($G$2,0,IF((AE$6-$G$3)&lt;1,0,IFERROR(LOOKUP(2,1/('Milho 1ª safra'!$E7:INDEX('Milho 1ª safra'!$E7:$Z7,MIN(AE$6-$G$3,22))&lt;&gt;""),'Milho 1ª safra'!$E7:INDEX('Milho 1ª safra'!$E7:$Z7,MIN(AE$6-$G$3,22))),0)))))</f>
        <v>0</v>
      </c>
      <c r="AF9" s="27" t="n">
        <f aca="false">IF(COUNT('Milho 1ª safra'!$E7:$Z7)=0,0,MAX(0,IF((AF$6-$E$3)&lt;1,0,IFERROR(LOOKUP(2,1/('Milho 1ª safra'!$E7:INDEX('Milho 1ª safra'!$E7:$Z7,MIN(AF$6-$E$3,22))&lt;&gt;""),'Milho 1ª safra'!$E7:INDEX('Milho 1ª safra'!$E7:$Z7,MIN(AF$6-$E$3,22))),0))-IF($G$2,0,IF((AF$6-$G$3)&lt;1,0,IFERROR(LOOKUP(2,1/('Milho 1ª safra'!$E7:INDEX('Milho 1ª safra'!$E7:$Z7,MIN(AF$6-$G$3,22))&lt;&gt;""),'Milho 1ª safra'!$E7:INDEX('Milho 1ª safra'!$E7:$Z7,MIN(AF$6-$G$3,22))),0)))))</f>
        <v>0</v>
      </c>
      <c r="AG9" s="27" t="n">
        <f aca="false">IF(COUNT('Milho 1ª safra'!$E7:$Z7)=0,0,MAX(0,IF((AG$6-$E$3)&lt;1,0,IFERROR(LOOKUP(2,1/('Milho 1ª safra'!$E7:INDEX('Milho 1ª safra'!$E7:$Z7,MIN(AG$6-$E$3,22))&lt;&gt;""),'Milho 1ª safra'!$E7:INDEX('Milho 1ª safra'!$E7:$Z7,MIN(AG$6-$E$3,22))),0))-IF($G$2,0,IF((AG$6-$G$3)&lt;1,0,IFERROR(LOOKUP(2,1/('Milho 1ª safra'!$E7:INDEX('Milho 1ª safra'!$E7:$Z7,MIN(AG$6-$G$3,22))&lt;&gt;""),'Milho 1ª safra'!$E7:INDEX('Milho 1ª safra'!$E7:$Z7,MIN(AG$6-$G$3,22))),0)))))</f>
        <v>0</v>
      </c>
      <c r="AH9" s="27" t="n">
        <f aca="false">IF(COUNT('Milho 1ª safra'!$E7:$Z7)=0,0,MAX(0,IF((AH$6-$E$3)&lt;1,0,IFERROR(LOOKUP(2,1/('Milho 1ª safra'!$E7:INDEX('Milho 1ª safra'!$E7:$Z7,MIN(AH$6-$E$3,22))&lt;&gt;""),'Milho 1ª safra'!$E7:INDEX('Milho 1ª safra'!$E7:$Z7,MIN(AH$6-$E$3,22))),0))-IF($G$2,0,IF((AH$6-$G$3)&lt;1,0,IFERROR(LOOKUP(2,1/('Milho 1ª safra'!$E7:INDEX('Milho 1ª safra'!$E7:$Z7,MIN(AH$6-$G$3,22))&lt;&gt;""),'Milho 1ª safra'!$E7:INDEX('Milho 1ª safra'!$E7:$Z7,MIN(AH$6-$G$3,22))),0)))))</f>
        <v>0</v>
      </c>
      <c r="AI9" s="27" t="n">
        <f aca="false">IF(COUNT('Milho 1ª safra'!$E7:$Z7)=0,0,MAX(0,IF((AI$6-$E$3)&lt;1,0,IFERROR(LOOKUP(2,1/('Milho 1ª safra'!$E7:INDEX('Milho 1ª safra'!$E7:$Z7,MIN(AI$6-$E$3,22))&lt;&gt;""),'Milho 1ª safra'!$E7:INDEX('Milho 1ª safra'!$E7:$Z7,MIN(AI$6-$E$3,22))),0))-IF($G$2,0,IF((AI$6-$G$3)&lt;1,0,IFERROR(LOOKUP(2,1/('Milho 1ª safra'!$E7:INDEX('Milho 1ª safra'!$E7:$Z7,MIN(AI$6-$G$3,22))&lt;&gt;""),'Milho 1ª safra'!$E7:INDEX('Milho 1ª safra'!$E7:$Z7,MIN(AI$6-$G$3,22))),0)))))</f>
        <v>0</v>
      </c>
      <c r="AJ9" s="27" t="n">
        <f aca="false">IF(COUNT('Milho 1ª safra'!$E7:$Z7)=0,0,MAX(0,IF((AJ$6-$E$3)&lt;1,0,IFERROR(LOOKUP(2,1/('Milho 1ª safra'!$E7:INDEX('Milho 1ª safra'!$E7:$Z7,MIN(AJ$6-$E$3,22))&lt;&gt;""),'Milho 1ª safra'!$E7:INDEX('Milho 1ª safra'!$E7:$Z7,MIN(AJ$6-$E$3,22))),0))-IF($G$2,0,IF((AJ$6-$G$3)&lt;1,0,IFERROR(LOOKUP(2,1/('Milho 1ª safra'!$E7:INDEX('Milho 1ª safra'!$E7:$Z7,MIN(AJ$6-$G$3,22))&lt;&gt;""),'Milho 1ª safra'!$E7:INDEX('Milho 1ª safra'!$E7:$Z7,MIN(AJ$6-$G$3,22))),0)))))</f>
        <v>0</v>
      </c>
      <c r="AK9" s="27" t="n">
        <f aca="false">IF(COUNT('Milho 1ª safra'!$E7:$Z7)=0,0,MAX(0,IF((AK$6-$E$3)&lt;1,0,IFERROR(LOOKUP(2,1/('Milho 1ª safra'!$E7:INDEX('Milho 1ª safra'!$E7:$Z7,MIN(AK$6-$E$3,22))&lt;&gt;""),'Milho 1ª safra'!$E7:INDEX('Milho 1ª safra'!$E7:$Z7,MIN(AK$6-$E$3,22))),0))-IF($G$2,0,IF((AK$6-$G$3)&lt;1,0,IFERROR(LOOKUP(2,1/('Milho 1ª safra'!$E7:INDEX('Milho 1ª safra'!$E7:$Z7,MIN(AK$6-$G$3,22))&lt;&gt;""),'Milho 1ª safra'!$E7:INDEX('Milho 1ª safra'!$E7:$Z7,MIN(AK$6-$G$3,22))),0)))))</f>
        <v>0</v>
      </c>
      <c r="AL9" s="27" t="n">
        <f aca="false">IF(COUNT('Milho 1ª safra'!$E7:$Z7)=0,0,MAX(0,IF((AL$6-$E$3)&lt;1,0,IFERROR(LOOKUP(2,1/('Milho 1ª safra'!$E7:INDEX('Milho 1ª safra'!$E7:$Z7,MIN(AL$6-$E$3,22))&lt;&gt;""),'Milho 1ª safra'!$E7:INDEX('Milho 1ª safra'!$E7:$Z7,MIN(AL$6-$E$3,22))),0))-IF($G$2,0,IF((AL$6-$G$3)&lt;1,0,IFERROR(LOOKUP(2,1/('Milho 1ª safra'!$E7:INDEX('Milho 1ª safra'!$E7:$Z7,MIN(AL$6-$G$3,22))&lt;&gt;""),'Milho 1ª safra'!$E7:INDEX('Milho 1ª safra'!$E7:$Z7,MIN(AL$6-$G$3,22))),0)))))</f>
        <v>0</v>
      </c>
      <c r="AM9" s="27" t="n">
        <f aca="false">IF(COUNT('Milho 1ª safra'!$E7:$Z7)=0,0,MAX(0,IF((AM$6-$E$3)&lt;1,0,IFERROR(LOOKUP(2,1/('Milho 1ª safra'!$E7:INDEX('Milho 1ª safra'!$E7:$Z7,MIN(AM$6-$E$3,22))&lt;&gt;""),'Milho 1ª safra'!$E7:INDEX('Milho 1ª safra'!$E7:$Z7,MIN(AM$6-$E$3,22))),0))-IF($G$2,0,IF((AM$6-$G$3)&lt;1,0,IFERROR(LOOKUP(2,1/('Milho 1ª safra'!$E7:INDEX('Milho 1ª safra'!$E7:$Z7,MIN(AM$6-$G$3,22))&lt;&gt;""),'Milho 1ª safra'!$E7:INDEX('Milho 1ª safra'!$E7:$Z7,MIN(AM$6-$G$3,22))),0)))))</f>
        <v>0</v>
      </c>
      <c r="AN9" s="27" t="n">
        <f aca="false">IF(COUNT('Milho 1ª safra'!$E7:$Z7)=0,0,MAX(0,IF((AN$6-$E$3)&lt;1,0,IFERROR(LOOKUP(2,1/('Milho 1ª safra'!$E7:INDEX('Milho 1ª safra'!$E7:$Z7,MIN(AN$6-$E$3,22))&lt;&gt;""),'Milho 1ª safra'!$E7:INDEX('Milho 1ª safra'!$E7:$Z7,MIN(AN$6-$E$3,22))),0))-IF($G$2,0,IF((AN$6-$G$3)&lt;1,0,IFERROR(LOOKUP(2,1/('Milho 1ª safra'!$E7:INDEX('Milho 1ª safra'!$E7:$Z7,MIN(AN$6-$G$3,22))&lt;&gt;""),'Milho 1ª safra'!$E7:INDEX('Milho 1ª safra'!$E7:$Z7,MIN(AN$6-$G$3,22))),0)))))</f>
        <v>0</v>
      </c>
      <c r="AO9" s="27" t="n">
        <f aca="false">IF(COUNT('Milho 1ª safra'!$E7:$Z7)=0,0,MAX(0,IF((AO$6-$E$3)&lt;1,0,IFERROR(LOOKUP(2,1/('Milho 1ª safra'!$E7:INDEX('Milho 1ª safra'!$E7:$Z7,MIN(AO$6-$E$3,22))&lt;&gt;""),'Milho 1ª safra'!$E7:INDEX('Milho 1ª safra'!$E7:$Z7,MIN(AO$6-$E$3,22))),0))-IF($G$2,0,IF((AO$6-$G$3)&lt;1,0,IFERROR(LOOKUP(2,1/('Milho 1ª safra'!$E7:INDEX('Milho 1ª safra'!$E7:$Z7,MIN(AO$6-$G$3,22))&lt;&gt;""),'Milho 1ª safra'!$E7:INDEX('Milho 1ª safra'!$E7:$Z7,MIN(AO$6-$G$3,22))),0)))))</f>
        <v>0</v>
      </c>
      <c r="AP9" s="27" t="n">
        <f aca="false">IF(COUNT('Milho 1ª safra'!$E7:$Z7)=0,0,MAX(0,IF((AP$6-$E$3)&lt;1,0,IFERROR(LOOKUP(2,1/('Milho 1ª safra'!$E7:INDEX('Milho 1ª safra'!$E7:$Z7,MIN(AP$6-$E$3,22))&lt;&gt;""),'Milho 1ª safra'!$E7:INDEX('Milho 1ª safra'!$E7:$Z7,MIN(AP$6-$E$3,22))),0))-IF($G$2,0,IF((AP$6-$G$3)&lt;1,0,IFERROR(LOOKUP(2,1/('Milho 1ª safra'!$E7:INDEX('Milho 1ª safra'!$E7:$Z7,MIN(AP$6-$G$3,22))&lt;&gt;""),'Milho 1ª safra'!$E7:INDEX('Milho 1ª safra'!$E7:$Z7,MIN(AP$6-$G$3,22))),0)))))</f>
        <v>0</v>
      </c>
      <c r="AQ9" s="27" t="n">
        <f aca="false">IF(COUNT('Milho 1ª safra'!$E7:$Z7)=0,0,MAX(0,IF((AQ$6-$E$3)&lt;1,0,IFERROR(LOOKUP(2,1/('Milho 1ª safra'!$E7:INDEX('Milho 1ª safra'!$E7:$Z7,MIN(AQ$6-$E$3,22))&lt;&gt;""),'Milho 1ª safra'!$E7:INDEX('Milho 1ª safra'!$E7:$Z7,MIN(AQ$6-$E$3,22))),0))-IF($G$2,0,IF((AQ$6-$G$3)&lt;1,0,IFERROR(LOOKUP(2,1/('Milho 1ª safra'!$E7:INDEX('Milho 1ª safra'!$E7:$Z7,MIN(AQ$6-$G$3,22))&lt;&gt;""),'Milho 1ª safra'!$E7:INDEX('Milho 1ª safra'!$E7:$Z7,MIN(AQ$6-$G$3,22))),0)))))</f>
        <v>0</v>
      </c>
      <c r="AR9" s="27" t="n">
        <f aca="false">IF(COUNT('Milho 1ª safra'!$E7:$Z7)=0,0,MAX(0,IF((AR$6-$E$3)&lt;1,0,IFERROR(LOOKUP(2,1/('Milho 1ª safra'!$E7:INDEX('Milho 1ª safra'!$E7:$Z7,MIN(AR$6-$E$3,22))&lt;&gt;""),'Milho 1ª safra'!$E7:INDEX('Milho 1ª safra'!$E7:$Z7,MIN(AR$6-$E$3,22))),0))-IF($G$2,0,IF((AR$6-$G$3)&lt;1,0,IFERROR(LOOKUP(2,1/('Milho 1ª safra'!$E7:INDEX('Milho 1ª safra'!$E7:$Z7,MIN(AR$6-$G$3,22))&lt;&gt;""),'Milho 1ª safra'!$E7:INDEX('Milho 1ª safra'!$E7:$Z7,MIN(AR$6-$G$3,22))),0)))))</f>
        <v>0</v>
      </c>
      <c r="AS9" s="27" t="n">
        <f aca="false">IF(COUNT('Milho 1ª safra'!$E7:$Z7)=0,0,MAX(0,IF((AS$6-$E$3)&lt;1,0,IFERROR(LOOKUP(2,1/('Milho 1ª safra'!$E7:INDEX('Milho 1ª safra'!$E7:$Z7,MIN(AS$6-$E$3,22))&lt;&gt;""),'Milho 1ª safra'!$E7:INDEX('Milho 1ª safra'!$E7:$Z7,MIN(AS$6-$E$3,22))),0))-IF($G$2,0,IF((AS$6-$G$3)&lt;1,0,IFERROR(LOOKUP(2,1/('Milho 1ª safra'!$E7:INDEX('Milho 1ª safra'!$E7:$Z7,MIN(AS$6-$G$3,22))&lt;&gt;""),'Milho 1ª safra'!$E7:INDEX('Milho 1ª safra'!$E7:$Z7,MIN(AS$6-$G$3,22))),0)))))</f>
        <v>0</v>
      </c>
      <c r="AT9" s="27" t="n">
        <f aca="false">IF(COUNT('Milho 1ª safra'!$E7:$Z7)=0,0,MAX(0,IF((AT$6-$E$3)&lt;1,0,IFERROR(LOOKUP(2,1/('Milho 1ª safra'!$E7:INDEX('Milho 1ª safra'!$E7:$Z7,MIN(AT$6-$E$3,22))&lt;&gt;""),'Milho 1ª safra'!$E7:INDEX('Milho 1ª safra'!$E7:$Z7,MIN(AT$6-$E$3,22))),0))-IF($G$2,0,IF((AT$6-$G$3)&lt;1,0,IFERROR(LOOKUP(2,1/('Milho 1ª safra'!$E7:INDEX('Milho 1ª safra'!$E7:$Z7,MIN(AT$6-$G$3,22))&lt;&gt;""),'Milho 1ª safra'!$E7:INDEX('Milho 1ª safra'!$E7:$Z7,MIN(AT$6-$G$3,22))),0)))))</f>
        <v>0</v>
      </c>
      <c r="AU9" s="27" t="n">
        <f aca="false">IF(COUNT('Milho 1ª safra'!$E7:$Z7)=0,0,MAX(0,IF((AU$6-$E$3)&lt;1,0,IFERROR(LOOKUP(2,1/('Milho 1ª safra'!$E7:INDEX('Milho 1ª safra'!$E7:$Z7,MIN(AU$6-$E$3,22))&lt;&gt;""),'Milho 1ª safra'!$E7:INDEX('Milho 1ª safra'!$E7:$Z7,MIN(AU$6-$E$3,22))),0))-IF($G$2,0,IF((AU$6-$G$3)&lt;1,0,IFERROR(LOOKUP(2,1/('Milho 1ª safra'!$E7:INDEX('Milho 1ª safra'!$E7:$Z7,MIN(AU$6-$G$3,22))&lt;&gt;""),'Milho 1ª safra'!$E7:INDEX('Milho 1ª safra'!$E7:$Z7,MIN(AU$6-$G$3,22))),0)))))</f>
        <v>0</v>
      </c>
      <c r="AV9" s="27" t="n">
        <f aca="false">IF(COUNT('Milho 1ª safra'!$E7:$Z7)=0,0,MAX(0,IF((AV$6-$E$3)&lt;1,0,IFERROR(LOOKUP(2,1/('Milho 1ª safra'!$E7:INDEX('Milho 1ª safra'!$E7:$Z7,MIN(AV$6-$E$3,22))&lt;&gt;""),'Milho 1ª safra'!$E7:INDEX('Milho 1ª safra'!$E7:$Z7,MIN(AV$6-$E$3,22))),0))-IF($G$2,0,IF((AV$6-$G$3)&lt;1,0,IFERROR(LOOKUP(2,1/('Milho 1ª safra'!$E7:INDEX('Milho 1ª safra'!$E7:$Z7,MIN(AV$6-$G$3,22))&lt;&gt;""),'Milho 1ª safra'!$E7:INDEX('Milho 1ª safra'!$E7:$Z7,MIN(AV$6-$G$3,22))),0)))))</f>
        <v>0</v>
      </c>
      <c r="AW9" s="27" t="n">
        <f aca="false">IF(COUNT('Milho 1ª safra'!$E7:$Z7)=0,0,MAX(0,IF((AW$6-$E$3)&lt;1,0,IFERROR(LOOKUP(2,1/('Milho 1ª safra'!$E7:INDEX('Milho 1ª safra'!$E7:$Z7,MIN(AW$6-$E$3,22))&lt;&gt;""),'Milho 1ª safra'!$E7:INDEX('Milho 1ª safra'!$E7:$Z7,MIN(AW$6-$E$3,22))),0))-IF($G$2,0,IF((AW$6-$G$3)&lt;1,0,IFERROR(LOOKUP(2,1/('Milho 1ª safra'!$E7:INDEX('Milho 1ª safra'!$E7:$Z7,MIN(AW$6-$G$3,22))&lt;&gt;""),'Milho 1ª safra'!$E7:INDEX('Milho 1ª safra'!$E7:$Z7,MIN(AW$6-$G$3,22))),0)))))</f>
        <v>0</v>
      </c>
      <c r="AX9" s="27" t="n">
        <f aca="false">IF(COUNT('Milho 1ª safra'!$E7:$Z7)=0,0,MAX(0,IF((AX$6-$E$3)&lt;1,0,IFERROR(LOOKUP(2,1/('Milho 1ª safra'!$E7:INDEX('Milho 1ª safra'!$E7:$Z7,MIN(AX$6-$E$3,22))&lt;&gt;""),'Milho 1ª safra'!$E7:INDEX('Milho 1ª safra'!$E7:$Z7,MIN(AX$6-$E$3,22))),0))-IF($G$2,0,IF((AX$6-$G$3)&lt;1,0,IFERROR(LOOKUP(2,1/('Milho 1ª safra'!$E7:INDEX('Milho 1ª safra'!$E7:$Z7,MIN(AX$6-$G$3,22))&lt;&gt;""),'Milho 1ª safra'!$E7:INDEX('Milho 1ª safra'!$E7:$Z7,MIN(AX$6-$G$3,22))),0)))))</f>
        <v>0</v>
      </c>
      <c r="AY9" s="27" t="n">
        <f aca="false">IF(COUNT('Milho 1ª safra'!$E7:$Z7)=0,0,MAX(0,IF((AY$6-$E$3)&lt;1,0,IFERROR(LOOKUP(2,1/('Milho 1ª safra'!$E7:INDEX('Milho 1ª safra'!$E7:$Z7,MIN(AY$6-$E$3,22))&lt;&gt;""),'Milho 1ª safra'!$E7:INDEX('Milho 1ª safra'!$E7:$Z7,MIN(AY$6-$E$3,22))),0))-IF($G$2,0,IF((AY$6-$G$3)&lt;1,0,IFERROR(LOOKUP(2,1/('Milho 1ª safra'!$E7:INDEX('Milho 1ª safra'!$E7:$Z7,MIN(AY$6-$G$3,22))&lt;&gt;""),'Milho 1ª safra'!$E7:INDEX('Milho 1ª safra'!$E7:$Z7,MIN(AY$6-$G$3,22))),0)))))</f>
        <v>0</v>
      </c>
      <c r="AZ9" s="27" t="n">
        <f aca="false">IF(COUNT('Milho 1ª safra'!$E7:$Z7)=0,0,MAX(0,IF((AZ$6-$E$3)&lt;1,0,IFERROR(LOOKUP(2,1/('Milho 1ª safra'!$E7:INDEX('Milho 1ª safra'!$E7:$Z7,MIN(AZ$6-$E$3,22))&lt;&gt;""),'Milho 1ª safra'!$E7:INDEX('Milho 1ª safra'!$E7:$Z7,MIN(AZ$6-$E$3,22))),0))-IF($G$2,0,IF((AZ$6-$G$3)&lt;1,0,IFERROR(LOOKUP(2,1/('Milho 1ª safra'!$E7:INDEX('Milho 1ª safra'!$E7:$Z7,MIN(AZ$6-$G$3,22))&lt;&gt;""),'Milho 1ª safra'!$E7:INDEX('Milho 1ª safra'!$E7:$Z7,MIN(AZ$6-$G$3,22))),0)))))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IF(COUNT('Milho 1ª safra'!$E8:$Z8)&gt;0,N('Milho 1ª safra'!$D8),0)</f>
        <v>0</v>
      </c>
      <c r="E10" s="27" t="n">
        <f aca="false">IF(COUNT('Milho 1ª safra'!$E8:$Z8)=0,0,MAX(0,IF((E$6-$E$3)&lt;1,0,IFERROR(LOOKUP(2,1/('Milho 1ª safra'!$E8:INDEX('Milho 1ª safra'!$E8:$Z8,MIN(E$6-$E$3,22))&lt;&gt;""),'Milho 1ª safra'!$E8:INDEX('Milho 1ª safra'!$E8:$Z8,MIN(E$6-$E$3,22))),0))-IF($G$2,0,IF((E$6-$G$3)&lt;1,0,IFERROR(LOOKUP(2,1/('Milho 1ª safra'!$E8:INDEX('Milho 1ª safra'!$E8:$Z8,MIN(E$6-$G$3,22))&lt;&gt;""),'Milho 1ª safra'!$E8:INDEX('Milho 1ª safra'!$E8:$Z8,MIN(E$6-$G$3,22))),0)))))</f>
        <v>0</v>
      </c>
      <c r="F10" s="27" t="n">
        <f aca="false">IF(COUNT('Milho 1ª safra'!$E8:$Z8)=0,0,MAX(0,IF((F$6-$E$3)&lt;1,0,IFERROR(LOOKUP(2,1/('Milho 1ª safra'!$E8:INDEX('Milho 1ª safra'!$E8:$Z8,MIN(F$6-$E$3,22))&lt;&gt;""),'Milho 1ª safra'!$E8:INDEX('Milho 1ª safra'!$E8:$Z8,MIN(F$6-$E$3,22))),0))-IF($G$2,0,IF((F$6-$G$3)&lt;1,0,IFERROR(LOOKUP(2,1/('Milho 1ª safra'!$E8:INDEX('Milho 1ª safra'!$E8:$Z8,MIN(F$6-$G$3,22))&lt;&gt;""),'Milho 1ª safra'!$E8:INDEX('Milho 1ª safra'!$E8:$Z8,MIN(F$6-$G$3,22))),0)))))</f>
        <v>0</v>
      </c>
      <c r="G10" s="27" t="n">
        <f aca="false">IF(COUNT('Milho 1ª safra'!$E8:$Z8)=0,0,MAX(0,IF((G$6-$E$3)&lt;1,0,IFERROR(LOOKUP(2,1/('Milho 1ª safra'!$E8:INDEX('Milho 1ª safra'!$E8:$Z8,MIN(G$6-$E$3,22))&lt;&gt;""),'Milho 1ª safra'!$E8:INDEX('Milho 1ª safra'!$E8:$Z8,MIN(G$6-$E$3,22))),0))-IF($G$2,0,IF((G$6-$G$3)&lt;1,0,IFERROR(LOOKUP(2,1/('Milho 1ª safra'!$E8:INDEX('Milho 1ª safra'!$E8:$Z8,MIN(G$6-$G$3,22))&lt;&gt;""),'Milho 1ª safra'!$E8:INDEX('Milho 1ª safra'!$E8:$Z8,MIN(G$6-$G$3,22))),0)))))</f>
        <v>0</v>
      </c>
      <c r="H10" s="27" t="n">
        <f aca="false">IF(COUNT('Milho 1ª safra'!$E8:$Z8)=0,0,MAX(0,IF((H$6-$E$3)&lt;1,0,IFERROR(LOOKUP(2,1/('Milho 1ª safra'!$E8:INDEX('Milho 1ª safra'!$E8:$Z8,MIN(H$6-$E$3,22))&lt;&gt;""),'Milho 1ª safra'!$E8:INDEX('Milho 1ª safra'!$E8:$Z8,MIN(H$6-$E$3,22))),0))-IF($G$2,0,IF((H$6-$G$3)&lt;1,0,IFERROR(LOOKUP(2,1/('Milho 1ª safra'!$E8:INDEX('Milho 1ª safra'!$E8:$Z8,MIN(H$6-$G$3,22))&lt;&gt;""),'Milho 1ª safra'!$E8:INDEX('Milho 1ª safra'!$E8:$Z8,MIN(H$6-$G$3,22))),0)))))</f>
        <v>0</v>
      </c>
      <c r="I10" s="27" t="n">
        <f aca="false">IF(COUNT('Milho 1ª safra'!$E8:$Z8)=0,0,MAX(0,IF((I$6-$E$3)&lt;1,0,IFERROR(LOOKUP(2,1/('Milho 1ª safra'!$E8:INDEX('Milho 1ª safra'!$E8:$Z8,MIN(I$6-$E$3,22))&lt;&gt;""),'Milho 1ª safra'!$E8:INDEX('Milho 1ª safra'!$E8:$Z8,MIN(I$6-$E$3,22))),0))-IF($G$2,0,IF((I$6-$G$3)&lt;1,0,IFERROR(LOOKUP(2,1/('Milho 1ª safra'!$E8:INDEX('Milho 1ª safra'!$E8:$Z8,MIN(I$6-$G$3,22))&lt;&gt;""),'Milho 1ª safra'!$E8:INDEX('Milho 1ª safra'!$E8:$Z8,MIN(I$6-$G$3,22))),0)))))</f>
        <v>0</v>
      </c>
      <c r="J10" s="27" t="n">
        <f aca="false">IF(COUNT('Milho 1ª safra'!$E8:$Z8)=0,0,MAX(0,IF((J$6-$E$3)&lt;1,0,IFERROR(LOOKUP(2,1/('Milho 1ª safra'!$E8:INDEX('Milho 1ª safra'!$E8:$Z8,MIN(J$6-$E$3,22))&lt;&gt;""),'Milho 1ª safra'!$E8:INDEX('Milho 1ª safra'!$E8:$Z8,MIN(J$6-$E$3,22))),0))-IF($G$2,0,IF((J$6-$G$3)&lt;1,0,IFERROR(LOOKUP(2,1/('Milho 1ª safra'!$E8:INDEX('Milho 1ª safra'!$E8:$Z8,MIN(J$6-$G$3,22))&lt;&gt;""),'Milho 1ª safra'!$E8:INDEX('Milho 1ª safra'!$E8:$Z8,MIN(J$6-$G$3,22))),0)))))</f>
        <v>0</v>
      </c>
      <c r="K10" s="27" t="n">
        <f aca="false">IF(COUNT('Milho 1ª safra'!$E8:$Z8)=0,0,MAX(0,IF((K$6-$E$3)&lt;1,0,IFERROR(LOOKUP(2,1/('Milho 1ª safra'!$E8:INDEX('Milho 1ª safra'!$E8:$Z8,MIN(K$6-$E$3,22))&lt;&gt;""),'Milho 1ª safra'!$E8:INDEX('Milho 1ª safra'!$E8:$Z8,MIN(K$6-$E$3,22))),0))-IF($G$2,0,IF((K$6-$G$3)&lt;1,0,IFERROR(LOOKUP(2,1/('Milho 1ª safra'!$E8:INDEX('Milho 1ª safra'!$E8:$Z8,MIN(K$6-$G$3,22))&lt;&gt;""),'Milho 1ª safra'!$E8:INDEX('Milho 1ª safra'!$E8:$Z8,MIN(K$6-$G$3,22))),0)))))</f>
        <v>0</v>
      </c>
      <c r="L10" s="27" t="n">
        <f aca="false">IF(COUNT('Milho 1ª safra'!$E8:$Z8)=0,0,MAX(0,IF((L$6-$E$3)&lt;1,0,IFERROR(LOOKUP(2,1/('Milho 1ª safra'!$E8:INDEX('Milho 1ª safra'!$E8:$Z8,MIN(L$6-$E$3,22))&lt;&gt;""),'Milho 1ª safra'!$E8:INDEX('Milho 1ª safra'!$E8:$Z8,MIN(L$6-$E$3,22))),0))-IF($G$2,0,IF((L$6-$G$3)&lt;1,0,IFERROR(LOOKUP(2,1/('Milho 1ª safra'!$E8:INDEX('Milho 1ª safra'!$E8:$Z8,MIN(L$6-$G$3,22))&lt;&gt;""),'Milho 1ª safra'!$E8:INDEX('Milho 1ª safra'!$E8:$Z8,MIN(L$6-$G$3,22))),0)))))</f>
        <v>0</v>
      </c>
      <c r="M10" s="27" t="n">
        <f aca="false">IF(COUNT('Milho 1ª safra'!$E8:$Z8)=0,0,MAX(0,IF((M$6-$E$3)&lt;1,0,IFERROR(LOOKUP(2,1/('Milho 1ª safra'!$E8:INDEX('Milho 1ª safra'!$E8:$Z8,MIN(M$6-$E$3,22))&lt;&gt;""),'Milho 1ª safra'!$E8:INDEX('Milho 1ª safra'!$E8:$Z8,MIN(M$6-$E$3,22))),0))-IF($G$2,0,IF((M$6-$G$3)&lt;1,0,IFERROR(LOOKUP(2,1/('Milho 1ª safra'!$E8:INDEX('Milho 1ª safra'!$E8:$Z8,MIN(M$6-$G$3,22))&lt;&gt;""),'Milho 1ª safra'!$E8:INDEX('Milho 1ª safra'!$E8:$Z8,MIN(M$6-$G$3,22))),0)))))</f>
        <v>0</v>
      </c>
      <c r="N10" s="27" t="n">
        <f aca="false">IF(COUNT('Milho 1ª safra'!$E8:$Z8)=0,0,MAX(0,IF((N$6-$E$3)&lt;1,0,IFERROR(LOOKUP(2,1/('Milho 1ª safra'!$E8:INDEX('Milho 1ª safra'!$E8:$Z8,MIN(N$6-$E$3,22))&lt;&gt;""),'Milho 1ª safra'!$E8:INDEX('Milho 1ª safra'!$E8:$Z8,MIN(N$6-$E$3,22))),0))-IF($G$2,0,IF((N$6-$G$3)&lt;1,0,IFERROR(LOOKUP(2,1/('Milho 1ª safra'!$E8:INDEX('Milho 1ª safra'!$E8:$Z8,MIN(N$6-$G$3,22))&lt;&gt;""),'Milho 1ª safra'!$E8:INDEX('Milho 1ª safra'!$E8:$Z8,MIN(N$6-$G$3,22))),0)))))</f>
        <v>0</v>
      </c>
      <c r="O10" s="27" t="n">
        <f aca="false">IF(COUNT('Milho 1ª safra'!$E8:$Z8)=0,0,MAX(0,IF((O$6-$E$3)&lt;1,0,IFERROR(LOOKUP(2,1/('Milho 1ª safra'!$E8:INDEX('Milho 1ª safra'!$E8:$Z8,MIN(O$6-$E$3,22))&lt;&gt;""),'Milho 1ª safra'!$E8:INDEX('Milho 1ª safra'!$E8:$Z8,MIN(O$6-$E$3,22))),0))-IF($G$2,0,IF((O$6-$G$3)&lt;1,0,IFERROR(LOOKUP(2,1/('Milho 1ª safra'!$E8:INDEX('Milho 1ª safra'!$E8:$Z8,MIN(O$6-$G$3,22))&lt;&gt;""),'Milho 1ª safra'!$E8:INDEX('Milho 1ª safra'!$E8:$Z8,MIN(O$6-$G$3,22))),0)))))</f>
        <v>0</v>
      </c>
      <c r="P10" s="27" t="n">
        <f aca="false">IF(COUNT('Milho 1ª safra'!$E8:$Z8)=0,0,MAX(0,IF((P$6-$E$3)&lt;1,0,IFERROR(LOOKUP(2,1/('Milho 1ª safra'!$E8:INDEX('Milho 1ª safra'!$E8:$Z8,MIN(P$6-$E$3,22))&lt;&gt;""),'Milho 1ª safra'!$E8:INDEX('Milho 1ª safra'!$E8:$Z8,MIN(P$6-$E$3,22))),0))-IF($G$2,0,IF((P$6-$G$3)&lt;1,0,IFERROR(LOOKUP(2,1/('Milho 1ª safra'!$E8:INDEX('Milho 1ª safra'!$E8:$Z8,MIN(P$6-$G$3,22))&lt;&gt;""),'Milho 1ª safra'!$E8:INDEX('Milho 1ª safra'!$E8:$Z8,MIN(P$6-$G$3,22))),0)))))</f>
        <v>0</v>
      </c>
      <c r="Q10" s="27" t="n">
        <f aca="false">IF(COUNT('Milho 1ª safra'!$E8:$Z8)=0,0,MAX(0,IF((Q$6-$E$3)&lt;1,0,IFERROR(LOOKUP(2,1/('Milho 1ª safra'!$E8:INDEX('Milho 1ª safra'!$E8:$Z8,MIN(Q$6-$E$3,22))&lt;&gt;""),'Milho 1ª safra'!$E8:INDEX('Milho 1ª safra'!$E8:$Z8,MIN(Q$6-$E$3,22))),0))-IF($G$2,0,IF((Q$6-$G$3)&lt;1,0,IFERROR(LOOKUP(2,1/('Milho 1ª safra'!$E8:INDEX('Milho 1ª safra'!$E8:$Z8,MIN(Q$6-$G$3,22))&lt;&gt;""),'Milho 1ª safra'!$E8:INDEX('Milho 1ª safra'!$E8:$Z8,MIN(Q$6-$G$3,22))),0)))))</f>
        <v>0</v>
      </c>
      <c r="R10" s="27" t="n">
        <f aca="false">IF(COUNT('Milho 1ª safra'!$E8:$Z8)=0,0,MAX(0,IF((R$6-$E$3)&lt;1,0,IFERROR(LOOKUP(2,1/('Milho 1ª safra'!$E8:INDEX('Milho 1ª safra'!$E8:$Z8,MIN(R$6-$E$3,22))&lt;&gt;""),'Milho 1ª safra'!$E8:INDEX('Milho 1ª safra'!$E8:$Z8,MIN(R$6-$E$3,22))),0))-IF($G$2,0,IF((R$6-$G$3)&lt;1,0,IFERROR(LOOKUP(2,1/('Milho 1ª safra'!$E8:INDEX('Milho 1ª safra'!$E8:$Z8,MIN(R$6-$G$3,22))&lt;&gt;""),'Milho 1ª safra'!$E8:INDEX('Milho 1ª safra'!$E8:$Z8,MIN(R$6-$G$3,22))),0)))))</f>
        <v>0</v>
      </c>
      <c r="S10" s="27" t="n">
        <f aca="false">IF(COUNT('Milho 1ª safra'!$E8:$Z8)=0,0,MAX(0,IF((S$6-$E$3)&lt;1,0,IFERROR(LOOKUP(2,1/('Milho 1ª safra'!$E8:INDEX('Milho 1ª safra'!$E8:$Z8,MIN(S$6-$E$3,22))&lt;&gt;""),'Milho 1ª safra'!$E8:INDEX('Milho 1ª safra'!$E8:$Z8,MIN(S$6-$E$3,22))),0))-IF($G$2,0,IF((S$6-$G$3)&lt;1,0,IFERROR(LOOKUP(2,1/('Milho 1ª safra'!$E8:INDEX('Milho 1ª safra'!$E8:$Z8,MIN(S$6-$G$3,22))&lt;&gt;""),'Milho 1ª safra'!$E8:INDEX('Milho 1ª safra'!$E8:$Z8,MIN(S$6-$G$3,22))),0)))))</f>
        <v>0</v>
      </c>
      <c r="T10" s="27" t="n">
        <f aca="false">IF(COUNT('Milho 1ª safra'!$E8:$Z8)=0,0,MAX(0,IF((T$6-$E$3)&lt;1,0,IFERROR(LOOKUP(2,1/('Milho 1ª safra'!$E8:INDEX('Milho 1ª safra'!$E8:$Z8,MIN(T$6-$E$3,22))&lt;&gt;""),'Milho 1ª safra'!$E8:INDEX('Milho 1ª safra'!$E8:$Z8,MIN(T$6-$E$3,22))),0))-IF($G$2,0,IF((T$6-$G$3)&lt;1,0,IFERROR(LOOKUP(2,1/('Milho 1ª safra'!$E8:INDEX('Milho 1ª safra'!$E8:$Z8,MIN(T$6-$G$3,22))&lt;&gt;""),'Milho 1ª safra'!$E8:INDEX('Milho 1ª safra'!$E8:$Z8,MIN(T$6-$G$3,22))),0)))))</f>
        <v>0</v>
      </c>
      <c r="U10" s="27" t="n">
        <f aca="false">IF(COUNT('Milho 1ª safra'!$E8:$Z8)=0,0,MAX(0,IF((U$6-$E$3)&lt;1,0,IFERROR(LOOKUP(2,1/('Milho 1ª safra'!$E8:INDEX('Milho 1ª safra'!$E8:$Z8,MIN(U$6-$E$3,22))&lt;&gt;""),'Milho 1ª safra'!$E8:INDEX('Milho 1ª safra'!$E8:$Z8,MIN(U$6-$E$3,22))),0))-IF($G$2,0,IF((U$6-$G$3)&lt;1,0,IFERROR(LOOKUP(2,1/('Milho 1ª safra'!$E8:INDEX('Milho 1ª safra'!$E8:$Z8,MIN(U$6-$G$3,22))&lt;&gt;""),'Milho 1ª safra'!$E8:INDEX('Milho 1ª safra'!$E8:$Z8,MIN(U$6-$G$3,22))),0)))))</f>
        <v>0</v>
      </c>
      <c r="V10" s="27" t="n">
        <f aca="false">IF(COUNT('Milho 1ª safra'!$E8:$Z8)=0,0,MAX(0,IF((V$6-$E$3)&lt;1,0,IFERROR(LOOKUP(2,1/('Milho 1ª safra'!$E8:INDEX('Milho 1ª safra'!$E8:$Z8,MIN(V$6-$E$3,22))&lt;&gt;""),'Milho 1ª safra'!$E8:INDEX('Milho 1ª safra'!$E8:$Z8,MIN(V$6-$E$3,22))),0))-IF($G$2,0,IF((V$6-$G$3)&lt;1,0,IFERROR(LOOKUP(2,1/('Milho 1ª safra'!$E8:INDEX('Milho 1ª safra'!$E8:$Z8,MIN(V$6-$G$3,22))&lt;&gt;""),'Milho 1ª safra'!$E8:INDEX('Milho 1ª safra'!$E8:$Z8,MIN(V$6-$G$3,22))),0)))))</f>
        <v>0</v>
      </c>
      <c r="W10" s="27" t="n">
        <f aca="false">IF(COUNT('Milho 1ª safra'!$E8:$Z8)=0,0,MAX(0,IF((W$6-$E$3)&lt;1,0,IFERROR(LOOKUP(2,1/('Milho 1ª safra'!$E8:INDEX('Milho 1ª safra'!$E8:$Z8,MIN(W$6-$E$3,22))&lt;&gt;""),'Milho 1ª safra'!$E8:INDEX('Milho 1ª safra'!$E8:$Z8,MIN(W$6-$E$3,22))),0))-IF($G$2,0,IF((W$6-$G$3)&lt;1,0,IFERROR(LOOKUP(2,1/('Milho 1ª safra'!$E8:INDEX('Milho 1ª safra'!$E8:$Z8,MIN(W$6-$G$3,22))&lt;&gt;""),'Milho 1ª safra'!$E8:INDEX('Milho 1ª safra'!$E8:$Z8,MIN(W$6-$G$3,22))),0)))))</f>
        <v>0</v>
      </c>
      <c r="X10" s="27" t="n">
        <f aca="false">IF(COUNT('Milho 1ª safra'!$E8:$Z8)=0,0,MAX(0,IF((X$6-$E$3)&lt;1,0,IFERROR(LOOKUP(2,1/('Milho 1ª safra'!$E8:INDEX('Milho 1ª safra'!$E8:$Z8,MIN(X$6-$E$3,22))&lt;&gt;""),'Milho 1ª safra'!$E8:INDEX('Milho 1ª safra'!$E8:$Z8,MIN(X$6-$E$3,22))),0))-IF($G$2,0,IF((X$6-$G$3)&lt;1,0,IFERROR(LOOKUP(2,1/('Milho 1ª safra'!$E8:INDEX('Milho 1ª safra'!$E8:$Z8,MIN(X$6-$G$3,22))&lt;&gt;""),'Milho 1ª safra'!$E8:INDEX('Milho 1ª safra'!$E8:$Z8,MIN(X$6-$G$3,22))),0)))))</f>
        <v>0</v>
      </c>
      <c r="Y10" s="27" t="n">
        <f aca="false">IF(COUNT('Milho 1ª safra'!$E8:$Z8)=0,0,MAX(0,IF((Y$6-$E$3)&lt;1,0,IFERROR(LOOKUP(2,1/('Milho 1ª safra'!$E8:INDEX('Milho 1ª safra'!$E8:$Z8,MIN(Y$6-$E$3,22))&lt;&gt;""),'Milho 1ª safra'!$E8:INDEX('Milho 1ª safra'!$E8:$Z8,MIN(Y$6-$E$3,22))),0))-IF($G$2,0,IF((Y$6-$G$3)&lt;1,0,IFERROR(LOOKUP(2,1/('Milho 1ª safra'!$E8:INDEX('Milho 1ª safra'!$E8:$Z8,MIN(Y$6-$G$3,22))&lt;&gt;""),'Milho 1ª safra'!$E8:INDEX('Milho 1ª safra'!$E8:$Z8,MIN(Y$6-$G$3,22))),0)))))</f>
        <v>0</v>
      </c>
      <c r="Z10" s="27" t="n">
        <f aca="false">IF(COUNT('Milho 1ª safra'!$E8:$Z8)=0,0,MAX(0,IF((Z$6-$E$3)&lt;1,0,IFERROR(LOOKUP(2,1/('Milho 1ª safra'!$E8:INDEX('Milho 1ª safra'!$E8:$Z8,MIN(Z$6-$E$3,22))&lt;&gt;""),'Milho 1ª safra'!$E8:INDEX('Milho 1ª safra'!$E8:$Z8,MIN(Z$6-$E$3,22))),0))-IF($G$2,0,IF((Z$6-$G$3)&lt;1,0,IFERROR(LOOKUP(2,1/('Milho 1ª safra'!$E8:INDEX('Milho 1ª safra'!$E8:$Z8,MIN(Z$6-$G$3,22))&lt;&gt;""),'Milho 1ª safra'!$E8:INDEX('Milho 1ª safra'!$E8:$Z8,MIN(Z$6-$G$3,22))),0)))))</f>
        <v>0</v>
      </c>
      <c r="AA10" s="27" t="n">
        <f aca="false">IF(COUNT('Milho 1ª safra'!$E8:$Z8)=0,0,MAX(0,IF((AA$6-$E$3)&lt;1,0,IFERROR(LOOKUP(2,1/('Milho 1ª safra'!$E8:INDEX('Milho 1ª safra'!$E8:$Z8,MIN(AA$6-$E$3,22))&lt;&gt;""),'Milho 1ª safra'!$E8:INDEX('Milho 1ª safra'!$E8:$Z8,MIN(AA$6-$E$3,22))),0))-IF($G$2,0,IF((AA$6-$G$3)&lt;1,0,IFERROR(LOOKUP(2,1/('Milho 1ª safra'!$E8:INDEX('Milho 1ª safra'!$E8:$Z8,MIN(AA$6-$G$3,22))&lt;&gt;""),'Milho 1ª safra'!$E8:INDEX('Milho 1ª safra'!$E8:$Z8,MIN(AA$6-$G$3,22))),0)))))</f>
        <v>0</v>
      </c>
      <c r="AB10" s="27" t="n">
        <f aca="false">IF(COUNT('Milho 1ª safra'!$E8:$Z8)=0,0,MAX(0,IF((AB$6-$E$3)&lt;1,0,IFERROR(LOOKUP(2,1/('Milho 1ª safra'!$E8:INDEX('Milho 1ª safra'!$E8:$Z8,MIN(AB$6-$E$3,22))&lt;&gt;""),'Milho 1ª safra'!$E8:INDEX('Milho 1ª safra'!$E8:$Z8,MIN(AB$6-$E$3,22))),0))-IF($G$2,0,IF((AB$6-$G$3)&lt;1,0,IFERROR(LOOKUP(2,1/('Milho 1ª safra'!$E8:INDEX('Milho 1ª safra'!$E8:$Z8,MIN(AB$6-$G$3,22))&lt;&gt;""),'Milho 1ª safra'!$E8:INDEX('Milho 1ª safra'!$E8:$Z8,MIN(AB$6-$G$3,22))),0)))))</f>
        <v>0</v>
      </c>
      <c r="AC10" s="27" t="n">
        <f aca="false">IF(COUNT('Milho 1ª safra'!$E8:$Z8)=0,0,MAX(0,IF((AC$6-$E$3)&lt;1,0,IFERROR(LOOKUP(2,1/('Milho 1ª safra'!$E8:INDEX('Milho 1ª safra'!$E8:$Z8,MIN(AC$6-$E$3,22))&lt;&gt;""),'Milho 1ª safra'!$E8:INDEX('Milho 1ª safra'!$E8:$Z8,MIN(AC$6-$E$3,22))),0))-IF($G$2,0,IF((AC$6-$G$3)&lt;1,0,IFERROR(LOOKUP(2,1/('Milho 1ª safra'!$E8:INDEX('Milho 1ª safra'!$E8:$Z8,MIN(AC$6-$G$3,22))&lt;&gt;""),'Milho 1ª safra'!$E8:INDEX('Milho 1ª safra'!$E8:$Z8,MIN(AC$6-$G$3,22))),0)))))</f>
        <v>0</v>
      </c>
      <c r="AD10" s="27" t="n">
        <f aca="false">IF(COUNT('Milho 1ª safra'!$E8:$Z8)=0,0,MAX(0,IF((AD$6-$E$3)&lt;1,0,IFERROR(LOOKUP(2,1/('Milho 1ª safra'!$E8:INDEX('Milho 1ª safra'!$E8:$Z8,MIN(AD$6-$E$3,22))&lt;&gt;""),'Milho 1ª safra'!$E8:INDEX('Milho 1ª safra'!$E8:$Z8,MIN(AD$6-$E$3,22))),0))-IF($G$2,0,IF((AD$6-$G$3)&lt;1,0,IFERROR(LOOKUP(2,1/('Milho 1ª safra'!$E8:INDEX('Milho 1ª safra'!$E8:$Z8,MIN(AD$6-$G$3,22))&lt;&gt;""),'Milho 1ª safra'!$E8:INDEX('Milho 1ª safra'!$E8:$Z8,MIN(AD$6-$G$3,22))),0)))))</f>
        <v>0</v>
      </c>
      <c r="AE10" s="27" t="n">
        <f aca="false">IF(COUNT('Milho 1ª safra'!$E8:$Z8)=0,0,MAX(0,IF((AE$6-$E$3)&lt;1,0,IFERROR(LOOKUP(2,1/('Milho 1ª safra'!$E8:INDEX('Milho 1ª safra'!$E8:$Z8,MIN(AE$6-$E$3,22))&lt;&gt;""),'Milho 1ª safra'!$E8:INDEX('Milho 1ª safra'!$E8:$Z8,MIN(AE$6-$E$3,22))),0))-IF($G$2,0,IF((AE$6-$G$3)&lt;1,0,IFERROR(LOOKUP(2,1/('Milho 1ª safra'!$E8:INDEX('Milho 1ª safra'!$E8:$Z8,MIN(AE$6-$G$3,22))&lt;&gt;""),'Milho 1ª safra'!$E8:INDEX('Milho 1ª safra'!$E8:$Z8,MIN(AE$6-$G$3,22))),0)))))</f>
        <v>0</v>
      </c>
      <c r="AF10" s="27" t="n">
        <f aca="false">IF(COUNT('Milho 1ª safra'!$E8:$Z8)=0,0,MAX(0,IF((AF$6-$E$3)&lt;1,0,IFERROR(LOOKUP(2,1/('Milho 1ª safra'!$E8:INDEX('Milho 1ª safra'!$E8:$Z8,MIN(AF$6-$E$3,22))&lt;&gt;""),'Milho 1ª safra'!$E8:INDEX('Milho 1ª safra'!$E8:$Z8,MIN(AF$6-$E$3,22))),0))-IF($G$2,0,IF((AF$6-$G$3)&lt;1,0,IFERROR(LOOKUP(2,1/('Milho 1ª safra'!$E8:INDEX('Milho 1ª safra'!$E8:$Z8,MIN(AF$6-$G$3,22))&lt;&gt;""),'Milho 1ª safra'!$E8:INDEX('Milho 1ª safra'!$E8:$Z8,MIN(AF$6-$G$3,22))),0)))))</f>
        <v>0</v>
      </c>
      <c r="AG10" s="27" t="n">
        <f aca="false">IF(COUNT('Milho 1ª safra'!$E8:$Z8)=0,0,MAX(0,IF((AG$6-$E$3)&lt;1,0,IFERROR(LOOKUP(2,1/('Milho 1ª safra'!$E8:INDEX('Milho 1ª safra'!$E8:$Z8,MIN(AG$6-$E$3,22))&lt;&gt;""),'Milho 1ª safra'!$E8:INDEX('Milho 1ª safra'!$E8:$Z8,MIN(AG$6-$E$3,22))),0))-IF($G$2,0,IF((AG$6-$G$3)&lt;1,0,IFERROR(LOOKUP(2,1/('Milho 1ª safra'!$E8:INDEX('Milho 1ª safra'!$E8:$Z8,MIN(AG$6-$G$3,22))&lt;&gt;""),'Milho 1ª safra'!$E8:INDEX('Milho 1ª safra'!$E8:$Z8,MIN(AG$6-$G$3,22))),0)))))</f>
        <v>0</v>
      </c>
      <c r="AH10" s="27" t="n">
        <f aca="false">IF(COUNT('Milho 1ª safra'!$E8:$Z8)=0,0,MAX(0,IF((AH$6-$E$3)&lt;1,0,IFERROR(LOOKUP(2,1/('Milho 1ª safra'!$E8:INDEX('Milho 1ª safra'!$E8:$Z8,MIN(AH$6-$E$3,22))&lt;&gt;""),'Milho 1ª safra'!$E8:INDEX('Milho 1ª safra'!$E8:$Z8,MIN(AH$6-$E$3,22))),0))-IF($G$2,0,IF((AH$6-$G$3)&lt;1,0,IFERROR(LOOKUP(2,1/('Milho 1ª safra'!$E8:INDEX('Milho 1ª safra'!$E8:$Z8,MIN(AH$6-$G$3,22))&lt;&gt;""),'Milho 1ª safra'!$E8:INDEX('Milho 1ª safra'!$E8:$Z8,MIN(AH$6-$G$3,22))),0)))))</f>
        <v>0</v>
      </c>
      <c r="AI10" s="27" t="n">
        <f aca="false">IF(COUNT('Milho 1ª safra'!$E8:$Z8)=0,0,MAX(0,IF((AI$6-$E$3)&lt;1,0,IFERROR(LOOKUP(2,1/('Milho 1ª safra'!$E8:INDEX('Milho 1ª safra'!$E8:$Z8,MIN(AI$6-$E$3,22))&lt;&gt;""),'Milho 1ª safra'!$E8:INDEX('Milho 1ª safra'!$E8:$Z8,MIN(AI$6-$E$3,22))),0))-IF($G$2,0,IF((AI$6-$G$3)&lt;1,0,IFERROR(LOOKUP(2,1/('Milho 1ª safra'!$E8:INDEX('Milho 1ª safra'!$E8:$Z8,MIN(AI$6-$G$3,22))&lt;&gt;""),'Milho 1ª safra'!$E8:INDEX('Milho 1ª safra'!$E8:$Z8,MIN(AI$6-$G$3,22))),0)))))</f>
        <v>0</v>
      </c>
      <c r="AJ10" s="27" t="n">
        <f aca="false">IF(COUNT('Milho 1ª safra'!$E8:$Z8)=0,0,MAX(0,IF((AJ$6-$E$3)&lt;1,0,IFERROR(LOOKUP(2,1/('Milho 1ª safra'!$E8:INDEX('Milho 1ª safra'!$E8:$Z8,MIN(AJ$6-$E$3,22))&lt;&gt;""),'Milho 1ª safra'!$E8:INDEX('Milho 1ª safra'!$E8:$Z8,MIN(AJ$6-$E$3,22))),0))-IF($G$2,0,IF((AJ$6-$G$3)&lt;1,0,IFERROR(LOOKUP(2,1/('Milho 1ª safra'!$E8:INDEX('Milho 1ª safra'!$E8:$Z8,MIN(AJ$6-$G$3,22))&lt;&gt;""),'Milho 1ª safra'!$E8:INDEX('Milho 1ª safra'!$E8:$Z8,MIN(AJ$6-$G$3,22))),0)))))</f>
        <v>0</v>
      </c>
      <c r="AK10" s="27" t="n">
        <f aca="false">IF(COUNT('Milho 1ª safra'!$E8:$Z8)=0,0,MAX(0,IF((AK$6-$E$3)&lt;1,0,IFERROR(LOOKUP(2,1/('Milho 1ª safra'!$E8:INDEX('Milho 1ª safra'!$E8:$Z8,MIN(AK$6-$E$3,22))&lt;&gt;""),'Milho 1ª safra'!$E8:INDEX('Milho 1ª safra'!$E8:$Z8,MIN(AK$6-$E$3,22))),0))-IF($G$2,0,IF((AK$6-$G$3)&lt;1,0,IFERROR(LOOKUP(2,1/('Milho 1ª safra'!$E8:INDEX('Milho 1ª safra'!$E8:$Z8,MIN(AK$6-$G$3,22))&lt;&gt;""),'Milho 1ª safra'!$E8:INDEX('Milho 1ª safra'!$E8:$Z8,MIN(AK$6-$G$3,22))),0)))))</f>
        <v>0</v>
      </c>
      <c r="AL10" s="27" t="n">
        <f aca="false">IF(COUNT('Milho 1ª safra'!$E8:$Z8)=0,0,MAX(0,IF((AL$6-$E$3)&lt;1,0,IFERROR(LOOKUP(2,1/('Milho 1ª safra'!$E8:INDEX('Milho 1ª safra'!$E8:$Z8,MIN(AL$6-$E$3,22))&lt;&gt;""),'Milho 1ª safra'!$E8:INDEX('Milho 1ª safra'!$E8:$Z8,MIN(AL$6-$E$3,22))),0))-IF($G$2,0,IF((AL$6-$G$3)&lt;1,0,IFERROR(LOOKUP(2,1/('Milho 1ª safra'!$E8:INDEX('Milho 1ª safra'!$E8:$Z8,MIN(AL$6-$G$3,22))&lt;&gt;""),'Milho 1ª safra'!$E8:INDEX('Milho 1ª safra'!$E8:$Z8,MIN(AL$6-$G$3,22))),0)))))</f>
        <v>0</v>
      </c>
      <c r="AM10" s="27" t="n">
        <f aca="false">IF(COUNT('Milho 1ª safra'!$E8:$Z8)=0,0,MAX(0,IF((AM$6-$E$3)&lt;1,0,IFERROR(LOOKUP(2,1/('Milho 1ª safra'!$E8:INDEX('Milho 1ª safra'!$E8:$Z8,MIN(AM$6-$E$3,22))&lt;&gt;""),'Milho 1ª safra'!$E8:INDEX('Milho 1ª safra'!$E8:$Z8,MIN(AM$6-$E$3,22))),0))-IF($G$2,0,IF((AM$6-$G$3)&lt;1,0,IFERROR(LOOKUP(2,1/('Milho 1ª safra'!$E8:INDEX('Milho 1ª safra'!$E8:$Z8,MIN(AM$6-$G$3,22))&lt;&gt;""),'Milho 1ª safra'!$E8:INDEX('Milho 1ª safra'!$E8:$Z8,MIN(AM$6-$G$3,22))),0)))))</f>
        <v>0</v>
      </c>
      <c r="AN10" s="27" t="n">
        <f aca="false">IF(COUNT('Milho 1ª safra'!$E8:$Z8)=0,0,MAX(0,IF((AN$6-$E$3)&lt;1,0,IFERROR(LOOKUP(2,1/('Milho 1ª safra'!$E8:INDEX('Milho 1ª safra'!$E8:$Z8,MIN(AN$6-$E$3,22))&lt;&gt;""),'Milho 1ª safra'!$E8:INDEX('Milho 1ª safra'!$E8:$Z8,MIN(AN$6-$E$3,22))),0))-IF($G$2,0,IF((AN$6-$G$3)&lt;1,0,IFERROR(LOOKUP(2,1/('Milho 1ª safra'!$E8:INDEX('Milho 1ª safra'!$E8:$Z8,MIN(AN$6-$G$3,22))&lt;&gt;""),'Milho 1ª safra'!$E8:INDEX('Milho 1ª safra'!$E8:$Z8,MIN(AN$6-$G$3,22))),0)))))</f>
        <v>0</v>
      </c>
      <c r="AO10" s="27" t="n">
        <f aca="false">IF(COUNT('Milho 1ª safra'!$E8:$Z8)=0,0,MAX(0,IF((AO$6-$E$3)&lt;1,0,IFERROR(LOOKUP(2,1/('Milho 1ª safra'!$E8:INDEX('Milho 1ª safra'!$E8:$Z8,MIN(AO$6-$E$3,22))&lt;&gt;""),'Milho 1ª safra'!$E8:INDEX('Milho 1ª safra'!$E8:$Z8,MIN(AO$6-$E$3,22))),0))-IF($G$2,0,IF((AO$6-$G$3)&lt;1,0,IFERROR(LOOKUP(2,1/('Milho 1ª safra'!$E8:INDEX('Milho 1ª safra'!$E8:$Z8,MIN(AO$6-$G$3,22))&lt;&gt;""),'Milho 1ª safra'!$E8:INDEX('Milho 1ª safra'!$E8:$Z8,MIN(AO$6-$G$3,22))),0)))))</f>
        <v>0</v>
      </c>
      <c r="AP10" s="27" t="n">
        <f aca="false">IF(COUNT('Milho 1ª safra'!$E8:$Z8)=0,0,MAX(0,IF((AP$6-$E$3)&lt;1,0,IFERROR(LOOKUP(2,1/('Milho 1ª safra'!$E8:INDEX('Milho 1ª safra'!$E8:$Z8,MIN(AP$6-$E$3,22))&lt;&gt;""),'Milho 1ª safra'!$E8:INDEX('Milho 1ª safra'!$E8:$Z8,MIN(AP$6-$E$3,22))),0))-IF($G$2,0,IF((AP$6-$G$3)&lt;1,0,IFERROR(LOOKUP(2,1/('Milho 1ª safra'!$E8:INDEX('Milho 1ª safra'!$E8:$Z8,MIN(AP$6-$G$3,22))&lt;&gt;""),'Milho 1ª safra'!$E8:INDEX('Milho 1ª safra'!$E8:$Z8,MIN(AP$6-$G$3,22))),0)))))</f>
        <v>0</v>
      </c>
      <c r="AQ10" s="27" t="n">
        <f aca="false">IF(COUNT('Milho 1ª safra'!$E8:$Z8)=0,0,MAX(0,IF((AQ$6-$E$3)&lt;1,0,IFERROR(LOOKUP(2,1/('Milho 1ª safra'!$E8:INDEX('Milho 1ª safra'!$E8:$Z8,MIN(AQ$6-$E$3,22))&lt;&gt;""),'Milho 1ª safra'!$E8:INDEX('Milho 1ª safra'!$E8:$Z8,MIN(AQ$6-$E$3,22))),0))-IF($G$2,0,IF((AQ$6-$G$3)&lt;1,0,IFERROR(LOOKUP(2,1/('Milho 1ª safra'!$E8:INDEX('Milho 1ª safra'!$E8:$Z8,MIN(AQ$6-$G$3,22))&lt;&gt;""),'Milho 1ª safra'!$E8:INDEX('Milho 1ª safra'!$E8:$Z8,MIN(AQ$6-$G$3,22))),0)))))</f>
        <v>0</v>
      </c>
      <c r="AR10" s="27" t="n">
        <f aca="false">IF(COUNT('Milho 1ª safra'!$E8:$Z8)=0,0,MAX(0,IF((AR$6-$E$3)&lt;1,0,IFERROR(LOOKUP(2,1/('Milho 1ª safra'!$E8:INDEX('Milho 1ª safra'!$E8:$Z8,MIN(AR$6-$E$3,22))&lt;&gt;""),'Milho 1ª safra'!$E8:INDEX('Milho 1ª safra'!$E8:$Z8,MIN(AR$6-$E$3,22))),0))-IF($G$2,0,IF((AR$6-$G$3)&lt;1,0,IFERROR(LOOKUP(2,1/('Milho 1ª safra'!$E8:INDEX('Milho 1ª safra'!$E8:$Z8,MIN(AR$6-$G$3,22))&lt;&gt;""),'Milho 1ª safra'!$E8:INDEX('Milho 1ª safra'!$E8:$Z8,MIN(AR$6-$G$3,22))),0)))))</f>
        <v>0</v>
      </c>
      <c r="AS10" s="27" t="n">
        <f aca="false">IF(COUNT('Milho 1ª safra'!$E8:$Z8)=0,0,MAX(0,IF((AS$6-$E$3)&lt;1,0,IFERROR(LOOKUP(2,1/('Milho 1ª safra'!$E8:INDEX('Milho 1ª safra'!$E8:$Z8,MIN(AS$6-$E$3,22))&lt;&gt;""),'Milho 1ª safra'!$E8:INDEX('Milho 1ª safra'!$E8:$Z8,MIN(AS$6-$E$3,22))),0))-IF($G$2,0,IF((AS$6-$G$3)&lt;1,0,IFERROR(LOOKUP(2,1/('Milho 1ª safra'!$E8:INDEX('Milho 1ª safra'!$E8:$Z8,MIN(AS$6-$G$3,22))&lt;&gt;""),'Milho 1ª safra'!$E8:INDEX('Milho 1ª safra'!$E8:$Z8,MIN(AS$6-$G$3,22))),0)))))</f>
        <v>0</v>
      </c>
      <c r="AT10" s="27" t="n">
        <f aca="false">IF(COUNT('Milho 1ª safra'!$E8:$Z8)=0,0,MAX(0,IF((AT$6-$E$3)&lt;1,0,IFERROR(LOOKUP(2,1/('Milho 1ª safra'!$E8:INDEX('Milho 1ª safra'!$E8:$Z8,MIN(AT$6-$E$3,22))&lt;&gt;""),'Milho 1ª safra'!$E8:INDEX('Milho 1ª safra'!$E8:$Z8,MIN(AT$6-$E$3,22))),0))-IF($G$2,0,IF((AT$6-$G$3)&lt;1,0,IFERROR(LOOKUP(2,1/('Milho 1ª safra'!$E8:INDEX('Milho 1ª safra'!$E8:$Z8,MIN(AT$6-$G$3,22))&lt;&gt;""),'Milho 1ª safra'!$E8:INDEX('Milho 1ª safra'!$E8:$Z8,MIN(AT$6-$G$3,22))),0)))))</f>
        <v>0</v>
      </c>
      <c r="AU10" s="27" t="n">
        <f aca="false">IF(COUNT('Milho 1ª safra'!$E8:$Z8)=0,0,MAX(0,IF((AU$6-$E$3)&lt;1,0,IFERROR(LOOKUP(2,1/('Milho 1ª safra'!$E8:INDEX('Milho 1ª safra'!$E8:$Z8,MIN(AU$6-$E$3,22))&lt;&gt;""),'Milho 1ª safra'!$E8:INDEX('Milho 1ª safra'!$E8:$Z8,MIN(AU$6-$E$3,22))),0))-IF($G$2,0,IF((AU$6-$G$3)&lt;1,0,IFERROR(LOOKUP(2,1/('Milho 1ª safra'!$E8:INDEX('Milho 1ª safra'!$E8:$Z8,MIN(AU$6-$G$3,22))&lt;&gt;""),'Milho 1ª safra'!$E8:INDEX('Milho 1ª safra'!$E8:$Z8,MIN(AU$6-$G$3,22))),0)))))</f>
        <v>0</v>
      </c>
      <c r="AV10" s="27" t="n">
        <f aca="false">IF(COUNT('Milho 1ª safra'!$E8:$Z8)=0,0,MAX(0,IF((AV$6-$E$3)&lt;1,0,IFERROR(LOOKUP(2,1/('Milho 1ª safra'!$E8:INDEX('Milho 1ª safra'!$E8:$Z8,MIN(AV$6-$E$3,22))&lt;&gt;""),'Milho 1ª safra'!$E8:INDEX('Milho 1ª safra'!$E8:$Z8,MIN(AV$6-$E$3,22))),0))-IF($G$2,0,IF((AV$6-$G$3)&lt;1,0,IFERROR(LOOKUP(2,1/('Milho 1ª safra'!$E8:INDEX('Milho 1ª safra'!$E8:$Z8,MIN(AV$6-$G$3,22))&lt;&gt;""),'Milho 1ª safra'!$E8:INDEX('Milho 1ª safra'!$E8:$Z8,MIN(AV$6-$G$3,22))),0)))))</f>
        <v>0</v>
      </c>
      <c r="AW10" s="27" t="n">
        <f aca="false">IF(COUNT('Milho 1ª safra'!$E8:$Z8)=0,0,MAX(0,IF((AW$6-$E$3)&lt;1,0,IFERROR(LOOKUP(2,1/('Milho 1ª safra'!$E8:INDEX('Milho 1ª safra'!$E8:$Z8,MIN(AW$6-$E$3,22))&lt;&gt;""),'Milho 1ª safra'!$E8:INDEX('Milho 1ª safra'!$E8:$Z8,MIN(AW$6-$E$3,22))),0))-IF($G$2,0,IF((AW$6-$G$3)&lt;1,0,IFERROR(LOOKUP(2,1/('Milho 1ª safra'!$E8:INDEX('Milho 1ª safra'!$E8:$Z8,MIN(AW$6-$G$3,22))&lt;&gt;""),'Milho 1ª safra'!$E8:INDEX('Milho 1ª safra'!$E8:$Z8,MIN(AW$6-$G$3,22))),0)))))</f>
        <v>0</v>
      </c>
      <c r="AX10" s="27" t="n">
        <f aca="false">IF(COUNT('Milho 1ª safra'!$E8:$Z8)=0,0,MAX(0,IF((AX$6-$E$3)&lt;1,0,IFERROR(LOOKUP(2,1/('Milho 1ª safra'!$E8:INDEX('Milho 1ª safra'!$E8:$Z8,MIN(AX$6-$E$3,22))&lt;&gt;""),'Milho 1ª safra'!$E8:INDEX('Milho 1ª safra'!$E8:$Z8,MIN(AX$6-$E$3,22))),0))-IF($G$2,0,IF((AX$6-$G$3)&lt;1,0,IFERROR(LOOKUP(2,1/('Milho 1ª safra'!$E8:INDEX('Milho 1ª safra'!$E8:$Z8,MIN(AX$6-$G$3,22))&lt;&gt;""),'Milho 1ª safra'!$E8:INDEX('Milho 1ª safra'!$E8:$Z8,MIN(AX$6-$G$3,22))),0)))))</f>
        <v>0</v>
      </c>
      <c r="AY10" s="27" t="n">
        <f aca="false">IF(COUNT('Milho 1ª safra'!$E8:$Z8)=0,0,MAX(0,IF((AY$6-$E$3)&lt;1,0,IFERROR(LOOKUP(2,1/('Milho 1ª safra'!$E8:INDEX('Milho 1ª safra'!$E8:$Z8,MIN(AY$6-$E$3,22))&lt;&gt;""),'Milho 1ª safra'!$E8:INDEX('Milho 1ª safra'!$E8:$Z8,MIN(AY$6-$E$3,22))),0))-IF($G$2,0,IF((AY$6-$G$3)&lt;1,0,IFERROR(LOOKUP(2,1/('Milho 1ª safra'!$E8:INDEX('Milho 1ª safra'!$E8:$Z8,MIN(AY$6-$G$3,22))&lt;&gt;""),'Milho 1ª safra'!$E8:INDEX('Milho 1ª safra'!$E8:$Z8,MIN(AY$6-$G$3,22))),0)))))</f>
        <v>0</v>
      </c>
      <c r="AZ10" s="27" t="n">
        <f aca="false">IF(COUNT('Milho 1ª safra'!$E8:$Z8)=0,0,MAX(0,IF((AZ$6-$E$3)&lt;1,0,IFERROR(LOOKUP(2,1/('Milho 1ª safra'!$E8:INDEX('Milho 1ª safra'!$E8:$Z8,MIN(AZ$6-$E$3,22))&lt;&gt;""),'Milho 1ª safra'!$E8:INDEX('Milho 1ª safra'!$E8:$Z8,MIN(AZ$6-$E$3,22))),0))-IF($G$2,0,IF((AZ$6-$G$3)&lt;1,0,IFERROR(LOOKUP(2,1/('Milho 1ª safra'!$E8:INDEX('Milho 1ª safra'!$E8:$Z8,MIN(AZ$6-$G$3,22))&lt;&gt;""),'Milho 1ª safra'!$E8:INDEX('Milho 1ª safra'!$E8:$Z8,MIN(AZ$6-$G$3,22))),0)))))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IF(COUNT('Milho 1ª safra'!$E9:$Z9)&gt;0,N('Milho 1ª safra'!$D9),0)</f>
        <v>0</v>
      </c>
      <c r="E11" s="27" t="n">
        <f aca="false">IF(COUNT('Milho 1ª safra'!$E9:$Z9)=0,0,MAX(0,IF((E$6-$E$3)&lt;1,0,IFERROR(LOOKUP(2,1/('Milho 1ª safra'!$E9:INDEX('Milho 1ª safra'!$E9:$Z9,MIN(E$6-$E$3,22))&lt;&gt;""),'Milho 1ª safra'!$E9:INDEX('Milho 1ª safra'!$E9:$Z9,MIN(E$6-$E$3,22))),0))-IF($G$2,0,IF((E$6-$G$3)&lt;1,0,IFERROR(LOOKUP(2,1/('Milho 1ª safra'!$E9:INDEX('Milho 1ª safra'!$E9:$Z9,MIN(E$6-$G$3,22))&lt;&gt;""),'Milho 1ª safra'!$E9:INDEX('Milho 1ª safra'!$E9:$Z9,MIN(E$6-$G$3,22))),0)))))</f>
        <v>0</v>
      </c>
      <c r="F11" s="27" t="n">
        <f aca="false">IF(COUNT('Milho 1ª safra'!$E9:$Z9)=0,0,MAX(0,IF((F$6-$E$3)&lt;1,0,IFERROR(LOOKUP(2,1/('Milho 1ª safra'!$E9:INDEX('Milho 1ª safra'!$E9:$Z9,MIN(F$6-$E$3,22))&lt;&gt;""),'Milho 1ª safra'!$E9:INDEX('Milho 1ª safra'!$E9:$Z9,MIN(F$6-$E$3,22))),0))-IF($G$2,0,IF((F$6-$G$3)&lt;1,0,IFERROR(LOOKUP(2,1/('Milho 1ª safra'!$E9:INDEX('Milho 1ª safra'!$E9:$Z9,MIN(F$6-$G$3,22))&lt;&gt;""),'Milho 1ª safra'!$E9:INDEX('Milho 1ª safra'!$E9:$Z9,MIN(F$6-$G$3,22))),0)))))</f>
        <v>0</v>
      </c>
      <c r="G11" s="27" t="n">
        <f aca="false">IF(COUNT('Milho 1ª safra'!$E9:$Z9)=0,0,MAX(0,IF((G$6-$E$3)&lt;1,0,IFERROR(LOOKUP(2,1/('Milho 1ª safra'!$E9:INDEX('Milho 1ª safra'!$E9:$Z9,MIN(G$6-$E$3,22))&lt;&gt;""),'Milho 1ª safra'!$E9:INDEX('Milho 1ª safra'!$E9:$Z9,MIN(G$6-$E$3,22))),0))-IF($G$2,0,IF((G$6-$G$3)&lt;1,0,IFERROR(LOOKUP(2,1/('Milho 1ª safra'!$E9:INDEX('Milho 1ª safra'!$E9:$Z9,MIN(G$6-$G$3,22))&lt;&gt;""),'Milho 1ª safra'!$E9:INDEX('Milho 1ª safra'!$E9:$Z9,MIN(G$6-$G$3,22))),0)))))</f>
        <v>0</v>
      </c>
      <c r="H11" s="27" t="n">
        <f aca="false">IF(COUNT('Milho 1ª safra'!$E9:$Z9)=0,0,MAX(0,IF((H$6-$E$3)&lt;1,0,IFERROR(LOOKUP(2,1/('Milho 1ª safra'!$E9:INDEX('Milho 1ª safra'!$E9:$Z9,MIN(H$6-$E$3,22))&lt;&gt;""),'Milho 1ª safra'!$E9:INDEX('Milho 1ª safra'!$E9:$Z9,MIN(H$6-$E$3,22))),0))-IF($G$2,0,IF((H$6-$G$3)&lt;1,0,IFERROR(LOOKUP(2,1/('Milho 1ª safra'!$E9:INDEX('Milho 1ª safra'!$E9:$Z9,MIN(H$6-$G$3,22))&lt;&gt;""),'Milho 1ª safra'!$E9:INDEX('Milho 1ª safra'!$E9:$Z9,MIN(H$6-$G$3,22))),0)))))</f>
        <v>0</v>
      </c>
      <c r="I11" s="27" t="n">
        <f aca="false">IF(COUNT('Milho 1ª safra'!$E9:$Z9)=0,0,MAX(0,IF((I$6-$E$3)&lt;1,0,IFERROR(LOOKUP(2,1/('Milho 1ª safra'!$E9:INDEX('Milho 1ª safra'!$E9:$Z9,MIN(I$6-$E$3,22))&lt;&gt;""),'Milho 1ª safra'!$E9:INDEX('Milho 1ª safra'!$E9:$Z9,MIN(I$6-$E$3,22))),0))-IF($G$2,0,IF((I$6-$G$3)&lt;1,0,IFERROR(LOOKUP(2,1/('Milho 1ª safra'!$E9:INDEX('Milho 1ª safra'!$E9:$Z9,MIN(I$6-$G$3,22))&lt;&gt;""),'Milho 1ª safra'!$E9:INDEX('Milho 1ª safra'!$E9:$Z9,MIN(I$6-$G$3,22))),0)))))</f>
        <v>0</v>
      </c>
      <c r="J11" s="27" t="n">
        <f aca="false">IF(COUNT('Milho 1ª safra'!$E9:$Z9)=0,0,MAX(0,IF((J$6-$E$3)&lt;1,0,IFERROR(LOOKUP(2,1/('Milho 1ª safra'!$E9:INDEX('Milho 1ª safra'!$E9:$Z9,MIN(J$6-$E$3,22))&lt;&gt;""),'Milho 1ª safra'!$E9:INDEX('Milho 1ª safra'!$E9:$Z9,MIN(J$6-$E$3,22))),0))-IF($G$2,0,IF((J$6-$G$3)&lt;1,0,IFERROR(LOOKUP(2,1/('Milho 1ª safra'!$E9:INDEX('Milho 1ª safra'!$E9:$Z9,MIN(J$6-$G$3,22))&lt;&gt;""),'Milho 1ª safra'!$E9:INDEX('Milho 1ª safra'!$E9:$Z9,MIN(J$6-$G$3,22))),0)))))</f>
        <v>0</v>
      </c>
      <c r="K11" s="27" t="n">
        <f aca="false">IF(COUNT('Milho 1ª safra'!$E9:$Z9)=0,0,MAX(0,IF((K$6-$E$3)&lt;1,0,IFERROR(LOOKUP(2,1/('Milho 1ª safra'!$E9:INDEX('Milho 1ª safra'!$E9:$Z9,MIN(K$6-$E$3,22))&lt;&gt;""),'Milho 1ª safra'!$E9:INDEX('Milho 1ª safra'!$E9:$Z9,MIN(K$6-$E$3,22))),0))-IF($G$2,0,IF((K$6-$G$3)&lt;1,0,IFERROR(LOOKUP(2,1/('Milho 1ª safra'!$E9:INDEX('Milho 1ª safra'!$E9:$Z9,MIN(K$6-$G$3,22))&lt;&gt;""),'Milho 1ª safra'!$E9:INDEX('Milho 1ª safra'!$E9:$Z9,MIN(K$6-$G$3,22))),0)))))</f>
        <v>0</v>
      </c>
      <c r="L11" s="27" t="n">
        <f aca="false">IF(COUNT('Milho 1ª safra'!$E9:$Z9)=0,0,MAX(0,IF((L$6-$E$3)&lt;1,0,IFERROR(LOOKUP(2,1/('Milho 1ª safra'!$E9:INDEX('Milho 1ª safra'!$E9:$Z9,MIN(L$6-$E$3,22))&lt;&gt;""),'Milho 1ª safra'!$E9:INDEX('Milho 1ª safra'!$E9:$Z9,MIN(L$6-$E$3,22))),0))-IF($G$2,0,IF((L$6-$G$3)&lt;1,0,IFERROR(LOOKUP(2,1/('Milho 1ª safra'!$E9:INDEX('Milho 1ª safra'!$E9:$Z9,MIN(L$6-$G$3,22))&lt;&gt;""),'Milho 1ª safra'!$E9:INDEX('Milho 1ª safra'!$E9:$Z9,MIN(L$6-$G$3,22))),0)))))</f>
        <v>0</v>
      </c>
      <c r="M11" s="27" t="n">
        <f aca="false">IF(COUNT('Milho 1ª safra'!$E9:$Z9)=0,0,MAX(0,IF((M$6-$E$3)&lt;1,0,IFERROR(LOOKUP(2,1/('Milho 1ª safra'!$E9:INDEX('Milho 1ª safra'!$E9:$Z9,MIN(M$6-$E$3,22))&lt;&gt;""),'Milho 1ª safra'!$E9:INDEX('Milho 1ª safra'!$E9:$Z9,MIN(M$6-$E$3,22))),0))-IF($G$2,0,IF((M$6-$G$3)&lt;1,0,IFERROR(LOOKUP(2,1/('Milho 1ª safra'!$E9:INDEX('Milho 1ª safra'!$E9:$Z9,MIN(M$6-$G$3,22))&lt;&gt;""),'Milho 1ª safra'!$E9:INDEX('Milho 1ª safra'!$E9:$Z9,MIN(M$6-$G$3,22))),0)))))</f>
        <v>0</v>
      </c>
      <c r="N11" s="27" t="n">
        <f aca="false">IF(COUNT('Milho 1ª safra'!$E9:$Z9)=0,0,MAX(0,IF((N$6-$E$3)&lt;1,0,IFERROR(LOOKUP(2,1/('Milho 1ª safra'!$E9:INDEX('Milho 1ª safra'!$E9:$Z9,MIN(N$6-$E$3,22))&lt;&gt;""),'Milho 1ª safra'!$E9:INDEX('Milho 1ª safra'!$E9:$Z9,MIN(N$6-$E$3,22))),0))-IF($G$2,0,IF((N$6-$G$3)&lt;1,0,IFERROR(LOOKUP(2,1/('Milho 1ª safra'!$E9:INDEX('Milho 1ª safra'!$E9:$Z9,MIN(N$6-$G$3,22))&lt;&gt;""),'Milho 1ª safra'!$E9:INDEX('Milho 1ª safra'!$E9:$Z9,MIN(N$6-$G$3,22))),0)))))</f>
        <v>0</v>
      </c>
      <c r="O11" s="27" t="n">
        <f aca="false">IF(COUNT('Milho 1ª safra'!$E9:$Z9)=0,0,MAX(0,IF((O$6-$E$3)&lt;1,0,IFERROR(LOOKUP(2,1/('Milho 1ª safra'!$E9:INDEX('Milho 1ª safra'!$E9:$Z9,MIN(O$6-$E$3,22))&lt;&gt;""),'Milho 1ª safra'!$E9:INDEX('Milho 1ª safra'!$E9:$Z9,MIN(O$6-$E$3,22))),0))-IF($G$2,0,IF((O$6-$G$3)&lt;1,0,IFERROR(LOOKUP(2,1/('Milho 1ª safra'!$E9:INDEX('Milho 1ª safra'!$E9:$Z9,MIN(O$6-$G$3,22))&lt;&gt;""),'Milho 1ª safra'!$E9:INDEX('Milho 1ª safra'!$E9:$Z9,MIN(O$6-$G$3,22))),0)))))</f>
        <v>0</v>
      </c>
      <c r="P11" s="27" t="n">
        <f aca="false">IF(COUNT('Milho 1ª safra'!$E9:$Z9)=0,0,MAX(0,IF((P$6-$E$3)&lt;1,0,IFERROR(LOOKUP(2,1/('Milho 1ª safra'!$E9:INDEX('Milho 1ª safra'!$E9:$Z9,MIN(P$6-$E$3,22))&lt;&gt;""),'Milho 1ª safra'!$E9:INDEX('Milho 1ª safra'!$E9:$Z9,MIN(P$6-$E$3,22))),0))-IF($G$2,0,IF((P$6-$G$3)&lt;1,0,IFERROR(LOOKUP(2,1/('Milho 1ª safra'!$E9:INDEX('Milho 1ª safra'!$E9:$Z9,MIN(P$6-$G$3,22))&lt;&gt;""),'Milho 1ª safra'!$E9:INDEX('Milho 1ª safra'!$E9:$Z9,MIN(P$6-$G$3,22))),0)))))</f>
        <v>0</v>
      </c>
      <c r="Q11" s="27" t="n">
        <f aca="false">IF(COUNT('Milho 1ª safra'!$E9:$Z9)=0,0,MAX(0,IF((Q$6-$E$3)&lt;1,0,IFERROR(LOOKUP(2,1/('Milho 1ª safra'!$E9:INDEX('Milho 1ª safra'!$E9:$Z9,MIN(Q$6-$E$3,22))&lt;&gt;""),'Milho 1ª safra'!$E9:INDEX('Milho 1ª safra'!$E9:$Z9,MIN(Q$6-$E$3,22))),0))-IF($G$2,0,IF((Q$6-$G$3)&lt;1,0,IFERROR(LOOKUP(2,1/('Milho 1ª safra'!$E9:INDEX('Milho 1ª safra'!$E9:$Z9,MIN(Q$6-$G$3,22))&lt;&gt;""),'Milho 1ª safra'!$E9:INDEX('Milho 1ª safra'!$E9:$Z9,MIN(Q$6-$G$3,22))),0)))))</f>
        <v>0</v>
      </c>
      <c r="R11" s="27" t="n">
        <f aca="false">IF(COUNT('Milho 1ª safra'!$E9:$Z9)=0,0,MAX(0,IF((R$6-$E$3)&lt;1,0,IFERROR(LOOKUP(2,1/('Milho 1ª safra'!$E9:INDEX('Milho 1ª safra'!$E9:$Z9,MIN(R$6-$E$3,22))&lt;&gt;""),'Milho 1ª safra'!$E9:INDEX('Milho 1ª safra'!$E9:$Z9,MIN(R$6-$E$3,22))),0))-IF($G$2,0,IF((R$6-$G$3)&lt;1,0,IFERROR(LOOKUP(2,1/('Milho 1ª safra'!$E9:INDEX('Milho 1ª safra'!$E9:$Z9,MIN(R$6-$G$3,22))&lt;&gt;""),'Milho 1ª safra'!$E9:INDEX('Milho 1ª safra'!$E9:$Z9,MIN(R$6-$G$3,22))),0)))))</f>
        <v>0</v>
      </c>
      <c r="S11" s="27" t="n">
        <f aca="false">IF(COUNT('Milho 1ª safra'!$E9:$Z9)=0,0,MAX(0,IF((S$6-$E$3)&lt;1,0,IFERROR(LOOKUP(2,1/('Milho 1ª safra'!$E9:INDEX('Milho 1ª safra'!$E9:$Z9,MIN(S$6-$E$3,22))&lt;&gt;""),'Milho 1ª safra'!$E9:INDEX('Milho 1ª safra'!$E9:$Z9,MIN(S$6-$E$3,22))),0))-IF($G$2,0,IF((S$6-$G$3)&lt;1,0,IFERROR(LOOKUP(2,1/('Milho 1ª safra'!$E9:INDEX('Milho 1ª safra'!$E9:$Z9,MIN(S$6-$G$3,22))&lt;&gt;""),'Milho 1ª safra'!$E9:INDEX('Milho 1ª safra'!$E9:$Z9,MIN(S$6-$G$3,22))),0)))))</f>
        <v>0</v>
      </c>
      <c r="T11" s="27" t="n">
        <f aca="false">IF(COUNT('Milho 1ª safra'!$E9:$Z9)=0,0,MAX(0,IF((T$6-$E$3)&lt;1,0,IFERROR(LOOKUP(2,1/('Milho 1ª safra'!$E9:INDEX('Milho 1ª safra'!$E9:$Z9,MIN(T$6-$E$3,22))&lt;&gt;""),'Milho 1ª safra'!$E9:INDEX('Milho 1ª safra'!$E9:$Z9,MIN(T$6-$E$3,22))),0))-IF($G$2,0,IF((T$6-$G$3)&lt;1,0,IFERROR(LOOKUP(2,1/('Milho 1ª safra'!$E9:INDEX('Milho 1ª safra'!$E9:$Z9,MIN(T$6-$G$3,22))&lt;&gt;""),'Milho 1ª safra'!$E9:INDEX('Milho 1ª safra'!$E9:$Z9,MIN(T$6-$G$3,22))),0)))))</f>
        <v>0</v>
      </c>
      <c r="U11" s="27" t="n">
        <f aca="false">IF(COUNT('Milho 1ª safra'!$E9:$Z9)=0,0,MAX(0,IF((U$6-$E$3)&lt;1,0,IFERROR(LOOKUP(2,1/('Milho 1ª safra'!$E9:INDEX('Milho 1ª safra'!$E9:$Z9,MIN(U$6-$E$3,22))&lt;&gt;""),'Milho 1ª safra'!$E9:INDEX('Milho 1ª safra'!$E9:$Z9,MIN(U$6-$E$3,22))),0))-IF($G$2,0,IF((U$6-$G$3)&lt;1,0,IFERROR(LOOKUP(2,1/('Milho 1ª safra'!$E9:INDEX('Milho 1ª safra'!$E9:$Z9,MIN(U$6-$G$3,22))&lt;&gt;""),'Milho 1ª safra'!$E9:INDEX('Milho 1ª safra'!$E9:$Z9,MIN(U$6-$G$3,22))),0)))))</f>
        <v>0</v>
      </c>
      <c r="V11" s="27" t="n">
        <f aca="false">IF(COUNT('Milho 1ª safra'!$E9:$Z9)=0,0,MAX(0,IF((V$6-$E$3)&lt;1,0,IFERROR(LOOKUP(2,1/('Milho 1ª safra'!$E9:INDEX('Milho 1ª safra'!$E9:$Z9,MIN(V$6-$E$3,22))&lt;&gt;""),'Milho 1ª safra'!$E9:INDEX('Milho 1ª safra'!$E9:$Z9,MIN(V$6-$E$3,22))),0))-IF($G$2,0,IF((V$6-$G$3)&lt;1,0,IFERROR(LOOKUP(2,1/('Milho 1ª safra'!$E9:INDEX('Milho 1ª safra'!$E9:$Z9,MIN(V$6-$G$3,22))&lt;&gt;""),'Milho 1ª safra'!$E9:INDEX('Milho 1ª safra'!$E9:$Z9,MIN(V$6-$G$3,22))),0)))))</f>
        <v>0</v>
      </c>
      <c r="W11" s="27" t="n">
        <f aca="false">IF(COUNT('Milho 1ª safra'!$E9:$Z9)=0,0,MAX(0,IF((W$6-$E$3)&lt;1,0,IFERROR(LOOKUP(2,1/('Milho 1ª safra'!$E9:INDEX('Milho 1ª safra'!$E9:$Z9,MIN(W$6-$E$3,22))&lt;&gt;""),'Milho 1ª safra'!$E9:INDEX('Milho 1ª safra'!$E9:$Z9,MIN(W$6-$E$3,22))),0))-IF($G$2,0,IF((W$6-$G$3)&lt;1,0,IFERROR(LOOKUP(2,1/('Milho 1ª safra'!$E9:INDEX('Milho 1ª safra'!$E9:$Z9,MIN(W$6-$G$3,22))&lt;&gt;""),'Milho 1ª safra'!$E9:INDEX('Milho 1ª safra'!$E9:$Z9,MIN(W$6-$G$3,22))),0)))))</f>
        <v>0</v>
      </c>
      <c r="X11" s="27" t="n">
        <f aca="false">IF(COUNT('Milho 1ª safra'!$E9:$Z9)=0,0,MAX(0,IF((X$6-$E$3)&lt;1,0,IFERROR(LOOKUP(2,1/('Milho 1ª safra'!$E9:INDEX('Milho 1ª safra'!$E9:$Z9,MIN(X$6-$E$3,22))&lt;&gt;""),'Milho 1ª safra'!$E9:INDEX('Milho 1ª safra'!$E9:$Z9,MIN(X$6-$E$3,22))),0))-IF($G$2,0,IF((X$6-$G$3)&lt;1,0,IFERROR(LOOKUP(2,1/('Milho 1ª safra'!$E9:INDEX('Milho 1ª safra'!$E9:$Z9,MIN(X$6-$G$3,22))&lt;&gt;""),'Milho 1ª safra'!$E9:INDEX('Milho 1ª safra'!$E9:$Z9,MIN(X$6-$G$3,22))),0)))))</f>
        <v>0</v>
      </c>
      <c r="Y11" s="27" t="n">
        <f aca="false">IF(COUNT('Milho 1ª safra'!$E9:$Z9)=0,0,MAX(0,IF((Y$6-$E$3)&lt;1,0,IFERROR(LOOKUP(2,1/('Milho 1ª safra'!$E9:INDEX('Milho 1ª safra'!$E9:$Z9,MIN(Y$6-$E$3,22))&lt;&gt;""),'Milho 1ª safra'!$E9:INDEX('Milho 1ª safra'!$E9:$Z9,MIN(Y$6-$E$3,22))),0))-IF($G$2,0,IF((Y$6-$G$3)&lt;1,0,IFERROR(LOOKUP(2,1/('Milho 1ª safra'!$E9:INDEX('Milho 1ª safra'!$E9:$Z9,MIN(Y$6-$G$3,22))&lt;&gt;""),'Milho 1ª safra'!$E9:INDEX('Milho 1ª safra'!$E9:$Z9,MIN(Y$6-$G$3,22))),0)))))</f>
        <v>0</v>
      </c>
      <c r="Z11" s="27" t="n">
        <f aca="false">IF(COUNT('Milho 1ª safra'!$E9:$Z9)=0,0,MAX(0,IF((Z$6-$E$3)&lt;1,0,IFERROR(LOOKUP(2,1/('Milho 1ª safra'!$E9:INDEX('Milho 1ª safra'!$E9:$Z9,MIN(Z$6-$E$3,22))&lt;&gt;""),'Milho 1ª safra'!$E9:INDEX('Milho 1ª safra'!$E9:$Z9,MIN(Z$6-$E$3,22))),0))-IF($G$2,0,IF((Z$6-$G$3)&lt;1,0,IFERROR(LOOKUP(2,1/('Milho 1ª safra'!$E9:INDEX('Milho 1ª safra'!$E9:$Z9,MIN(Z$6-$G$3,22))&lt;&gt;""),'Milho 1ª safra'!$E9:INDEX('Milho 1ª safra'!$E9:$Z9,MIN(Z$6-$G$3,22))),0)))))</f>
        <v>0</v>
      </c>
      <c r="AA11" s="27" t="n">
        <f aca="false">IF(COUNT('Milho 1ª safra'!$E9:$Z9)=0,0,MAX(0,IF((AA$6-$E$3)&lt;1,0,IFERROR(LOOKUP(2,1/('Milho 1ª safra'!$E9:INDEX('Milho 1ª safra'!$E9:$Z9,MIN(AA$6-$E$3,22))&lt;&gt;""),'Milho 1ª safra'!$E9:INDEX('Milho 1ª safra'!$E9:$Z9,MIN(AA$6-$E$3,22))),0))-IF($G$2,0,IF((AA$6-$G$3)&lt;1,0,IFERROR(LOOKUP(2,1/('Milho 1ª safra'!$E9:INDEX('Milho 1ª safra'!$E9:$Z9,MIN(AA$6-$G$3,22))&lt;&gt;""),'Milho 1ª safra'!$E9:INDEX('Milho 1ª safra'!$E9:$Z9,MIN(AA$6-$G$3,22))),0)))))</f>
        <v>0</v>
      </c>
      <c r="AB11" s="27" t="n">
        <f aca="false">IF(COUNT('Milho 1ª safra'!$E9:$Z9)=0,0,MAX(0,IF((AB$6-$E$3)&lt;1,0,IFERROR(LOOKUP(2,1/('Milho 1ª safra'!$E9:INDEX('Milho 1ª safra'!$E9:$Z9,MIN(AB$6-$E$3,22))&lt;&gt;""),'Milho 1ª safra'!$E9:INDEX('Milho 1ª safra'!$E9:$Z9,MIN(AB$6-$E$3,22))),0))-IF($G$2,0,IF((AB$6-$G$3)&lt;1,0,IFERROR(LOOKUP(2,1/('Milho 1ª safra'!$E9:INDEX('Milho 1ª safra'!$E9:$Z9,MIN(AB$6-$G$3,22))&lt;&gt;""),'Milho 1ª safra'!$E9:INDEX('Milho 1ª safra'!$E9:$Z9,MIN(AB$6-$G$3,22))),0)))))</f>
        <v>0</v>
      </c>
      <c r="AC11" s="27" t="n">
        <f aca="false">IF(COUNT('Milho 1ª safra'!$E9:$Z9)=0,0,MAX(0,IF((AC$6-$E$3)&lt;1,0,IFERROR(LOOKUP(2,1/('Milho 1ª safra'!$E9:INDEX('Milho 1ª safra'!$E9:$Z9,MIN(AC$6-$E$3,22))&lt;&gt;""),'Milho 1ª safra'!$E9:INDEX('Milho 1ª safra'!$E9:$Z9,MIN(AC$6-$E$3,22))),0))-IF($G$2,0,IF((AC$6-$G$3)&lt;1,0,IFERROR(LOOKUP(2,1/('Milho 1ª safra'!$E9:INDEX('Milho 1ª safra'!$E9:$Z9,MIN(AC$6-$G$3,22))&lt;&gt;""),'Milho 1ª safra'!$E9:INDEX('Milho 1ª safra'!$E9:$Z9,MIN(AC$6-$G$3,22))),0)))))</f>
        <v>0</v>
      </c>
      <c r="AD11" s="27" t="n">
        <f aca="false">IF(COUNT('Milho 1ª safra'!$E9:$Z9)=0,0,MAX(0,IF((AD$6-$E$3)&lt;1,0,IFERROR(LOOKUP(2,1/('Milho 1ª safra'!$E9:INDEX('Milho 1ª safra'!$E9:$Z9,MIN(AD$6-$E$3,22))&lt;&gt;""),'Milho 1ª safra'!$E9:INDEX('Milho 1ª safra'!$E9:$Z9,MIN(AD$6-$E$3,22))),0))-IF($G$2,0,IF((AD$6-$G$3)&lt;1,0,IFERROR(LOOKUP(2,1/('Milho 1ª safra'!$E9:INDEX('Milho 1ª safra'!$E9:$Z9,MIN(AD$6-$G$3,22))&lt;&gt;""),'Milho 1ª safra'!$E9:INDEX('Milho 1ª safra'!$E9:$Z9,MIN(AD$6-$G$3,22))),0)))))</f>
        <v>0</v>
      </c>
      <c r="AE11" s="27" t="n">
        <f aca="false">IF(COUNT('Milho 1ª safra'!$E9:$Z9)=0,0,MAX(0,IF((AE$6-$E$3)&lt;1,0,IFERROR(LOOKUP(2,1/('Milho 1ª safra'!$E9:INDEX('Milho 1ª safra'!$E9:$Z9,MIN(AE$6-$E$3,22))&lt;&gt;""),'Milho 1ª safra'!$E9:INDEX('Milho 1ª safra'!$E9:$Z9,MIN(AE$6-$E$3,22))),0))-IF($G$2,0,IF((AE$6-$G$3)&lt;1,0,IFERROR(LOOKUP(2,1/('Milho 1ª safra'!$E9:INDEX('Milho 1ª safra'!$E9:$Z9,MIN(AE$6-$G$3,22))&lt;&gt;""),'Milho 1ª safra'!$E9:INDEX('Milho 1ª safra'!$E9:$Z9,MIN(AE$6-$G$3,22))),0)))))</f>
        <v>0</v>
      </c>
      <c r="AF11" s="27" t="n">
        <f aca="false">IF(COUNT('Milho 1ª safra'!$E9:$Z9)=0,0,MAX(0,IF((AF$6-$E$3)&lt;1,0,IFERROR(LOOKUP(2,1/('Milho 1ª safra'!$E9:INDEX('Milho 1ª safra'!$E9:$Z9,MIN(AF$6-$E$3,22))&lt;&gt;""),'Milho 1ª safra'!$E9:INDEX('Milho 1ª safra'!$E9:$Z9,MIN(AF$6-$E$3,22))),0))-IF($G$2,0,IF((AF$6-$G$3)&lt;1,0,IFERROR(LOOKUP(2,1/('Milho 1ª safra'!$E9:INDEX('Milho 1ª safra'!$E9:$Z9,MIN(AF$6-$G$3,22))&lt;&gt;""),'Milho 1ª safra'!$E9:INDEX('Milho 1ª safra'!$E9:$Z9,MIN(AF$6-$G$3,22))),0)))))</f>
        <v>0</v>
      </c>
      <c r="AG11" s="27" t="n">
        <f aca="false">IF(COUNT('Milho 1ª safra'!$E9:$Z9)=0,0,MAX(0,IF((AG$6-$E$3)&lt;1,0,IFERROR(LOOKUP(2,1/('Milho 1ª safra'!$E9:INDEX('Milho 1ª safra'!$E9:$Z9,MIN(AG$6-$E$3,22))&lt;&gt;""),'Milho 1ª safra'!$E9:INDEX('Milho 1ª safra'!$E9:$Z9,MIN(AG$6-$E$3,22))),0))-IF($G$2,0,IF((AG$6-$G$3)&lt;1,0,IFERROR(LOOKUP(2,1/('Milho 1ª safra'!$E9:INDEX('Milho 1ª safra'!$E9:$Z9,MIN(AG$6-$G$3,22))&lt;&gt;""),'Milho 1ª safra'!$E9:INDEX('Milho 1ª safra'!$E9:$Z9,MIN(AG$6-$G$3,22))),0)))))</f>
        <v>0</v>
      </c>
      <c r="AH11" s="27" t="n">
        <f aca="false">IF(COUNT('Milho 1ª safra'!$E9:$Z9)=0,0,MAX(0,IF((AH$6-$E$3)&lt;1,0,IFERROR(LOOKUP(2,1/('Milho 1ª safra'!$E9:INDEX('Milho 1ª safra'!$E9:$Z9,MIN(AH$6-$E$3,22))&lt;&gt;""),'Milho 1ª safra'!$E9:INDEX('Milho 1ª safra'!$E9:$Z9,MIN(AH$6-$E$3,22))),0))-IF($G$2,0,IF((AH$6-$G$3)&lt;1,0,IFERROR(LOOKUP(2,1/('Milho 1ª safra'!$E9:INDEX('Milho 1ª safra'!$E9:$Z9,MIN(AH$6-$G$3,22))&lt;&gt;""),'Milho 1ª safra'!$E9:INDEX('Milho 1ª safra'!$E9:$Z9,MIN(AH$6-$G$3,22))),0)))))</f>
        <v>0</v>
      </c>
      <c r="AI11" s="27" t="n">
        <f aca="false">IF(COUNT('Milho 1ª safra'!$E9:$Z9)=0,0,MAX(0,IF((AI$6-$E$3)&lt;1,0,IFERROR(LOOKUP(2,1/('Milho 1ª safra'!$E9:INDEX('Milho 1ª safra'!$E9:$Z9,MIN(AI$6-$E$3,22))&lt;&gt;""),'Milho 1ª safra'!$E9:INDEX('Milho 1ª safra'!$E9:$Z9,MIN(AI$6-$E$3,22))),0))-IF($G$2,0,IF((AI$6-$G$3)&lt;1,0,IFERROR(LOOKUP(2,1/('Milho 1ª safra'!$E9:INDEX('Milho 1ª safra'!$E9:$Z9,MIN(AI$6-$G$3,22))&lt;&gt;""),'Milho 1ª safra'!$E9:INDEX('Milho 1ª safra'!$E9:$Z9,MIN(AI$6-$G$3,22))),0)))))</f>
        <v>0</v>
      </c>
      <c r="AJ11" s="27" t="n">
        <f aca="false">IF(COUNT('Milho 1ª safra'!$E9:$Z9)=0,0,MAX(0,IF((AJ$6-$E$3)&lt;1,0,IFERROR(LOOKUP(2,1/('Milho 1ª safra'!$E9:INDEX('Milho 1ª safra'!$E9:$Z9,MIN(AJ$6-$E$3,22))&lt;&gt;""),'Milho 1ª safra'!$E9:INDEX('Milho 1ª safra'!$E9:$Z9,MIN(AJ$6-$E$3,22))),0))-IF($G$2,0,IF((AJ$6-$G$3)&lt;1,0,IFERROR(LOOKUP(2,1/('Milho 1ª safra'!$E9:INDEX('Milho 1ª safra'!$E9:$Z9,MIN(AJ$6-$G$3,22))&lt;&gt;""),'Milho 1ª safra'!$E9:INDEX('Milho 1ª safra'!$E9:$Z9,MIN(AJ$6-$G$3,22))),0)))))</f>
        <v>0</v>
      </c>
      <c r="AK11" s="27" t="n">
        <f aca="false">IF(COUNT('Milho 1ª safra'!$E9:$Z9)=0,0,MAX(0,IF((AK$6-$E$3)&lt;1,0,IFERROR(LOOKUP(2,1/('Milho 1ª safra'!$E9:INDEX('Milho 1ª safra'!$E9:$Z9,MIN(AK$6-$E$3,22))&lt;&gt;""),'Milho 1ª safra'!$E9:INDEX('Milho 1ª safra'!$E9:$Z9,MIN(AK$6-$E$3,22))),0))-IF($G$2,0,IF((AK$6-$G$3)&lt;1,0,IFERROR(LOOKUP(2,1/('Milho 1ª safra'!$E9:INDEX('Milho 1ª safra'!$E9:$Z9,MIN(AK$6-$G$3,22))&lt;&gt;""),'Milho 1ª safra'!$E9:INDEX('Milho 1ª safra'!$E9:$Z9,MIN(AK$6-$G$3,22))),0)))))</f>
        <v>0</v>
      </c>
      <c r="AL11" s="27" t="n">
        <f aca="false">IF(COUNT('Milho 1ª safra'!$E9:$Z9)=0,0,MAX(0,IF((AL$6-$E$3)&lt;1,0,IFERROR(LOOKUP(2,1/('Milho 1ª safra'!$E9:INDEX('Milho 1ª safra'!$E9:$Z9,MIN(AL$6-$E$3,22))&lt;&gt;""),'Milho 1ª safra'!$E9:INDEX('Milho 1ª safra'!$E9:$Z9,MIN(AL$6-$E$3,22))),0))-IF($G$2,0,IF((AL$6-$G$3)&lt;1,0,IFERROR(LOOKUP(2,1/('Milho 1ª safra'!$E9:INDEX('Milho 1ª safra'!$E9:$Z9,MIN(AL$6-$G$3,22))&lt;&gt;""),'Milho 1ª safra'!$E9:INDEX('Milho 1ª safra'!$E9:$Z9,MIN(AL$6-$G$3,22))),0)))))</f>
        <v>0</v>
      </c>
      <c r="AM11" s="27" t="n">
        <f aca="false">IF(COUNT('Milho 1ª safra'!$E9:$Z9)=0,0,MAX(0,IF((AM$6-$E$3)&lt;1,0,IFERROR(LOOKUP(2,1/('Milho 1ª safra'!$E9:INDEX('Milho 1ª safra'!$E9:$Z9,MIN(AM$6-$E$3,22))&lt;&gt;""),'Milho 1ª safra'!$E9:INDEX('Milho 1ª safra'!$E9:$Z9,MIN(AM$6-$E$3,22))),0))-IF($G$2,0,IF((AM$6-$G$3)&lt;1,0,IFERROR(LOOKUP(2,1/('Milho 1ª safra'!$E9:INDEX('Milho 1ª safra'!$E9:$Z9,MIN(AM$6-$G$3,22))&lt;&gt;""),'Milho 1ª safra'!$E9:INDEX('Milho 1ª safra'!$E9:$Z9,MIN(AM$6-$G$3,22))),0)))))</f>
        <v>0</v>
      </c>
      <c r="AN11" s="27" t="n">
        <f aca="false">IF(COUNT('Milho 1ª safra'!$E9:$Z9)=0,0,MAX(0,IF((AN$6-$E$3)&lt;1,0,IFERROR(LOOKUP(2,1/('Milho 1ª safra'!$E9:INDEX('Milho 1ª safra'!$E9:$Z9,MIN(AN$6-$E$3,22))&lt;&gt;""),'Milho 1ª safra'!$E9:INDEX('Milho 1ª safra'!$E9:$Z9,MIN(AN$6-$E$3,22))),0))-IF($G$2,0,IF((AN$6-$G$3)&lt;1,0,IFERROR(LOOKUP(2,1/('Milho 1ª safra'!$E9:INDEX('Milho 1ª safra'!$E9:$Z9,MIN(AN$6-$G$3,22))&lt;&gt;""),'Milho 1ª safra'!$E9:INDEX('Milho 1ª safra'!$E9:$Z9,MIN(AN$6-$G$3,22))),0)))))</f>
        <v>0</v>
      </c>
      <c r="AO11" s="27" t="n">
        <f aca="false">IF(COUNT('Milho 1ª safra'!$E9:$Z9)=0,0,MAX(0,IF((AO$6-$E$3)&lt;1,0,IFERROR(LOOKUP(2,1/('Milho 1ª safra'!$E9:INDEX('Milho 1ª safra'!$E9:$Z9,MIN(AO$6-$E$3,22))&lt;&gt;""),'Milho 1ª safra'!$E9:INDEX('Milho 1ª safra'!$E9:$Z9,MIN(AO$6-$E$3,22))),0))-IF($G$2,0,IF((AO$6-$G$3)&lt;1,0,IFERROR(LOOKUP(2,1/('Milho 1ª safra'!$E9:INDEX('Milho 1ª safra'!$E9:$Z9,MIN(AO$6-$G$3,22))&lt;&gt;""),'Milho 1ª safra'!$E9:INDEX('Milho 1ª safra'!$E9:$Z9,MIN(AO$6-$G$3,22))),0)))))</f>
        <v>0</v>
      </c>
      <c r="AP11" s="27" t="n">
        <f aca="false">IF(COUNT('Milho 1ª safra'!$E9:$Z9)=0,0,MAX(0,IF((AP$6-$E$3)&lt;1,0,IFERROR(LOOKUP(2,1/('Milho 1ª safra'!$E9:INDEX('Milho 1ª safra'!$E9:$Z9,MIN(AP$6-$E$3,22))&lt;&gt;""),'Milho 1ª safra'!$E9:INDEX('Milho 1ª safra'!$E9:$Z9,MIN(AP$6-$E$3,22))),0))-IF($G$2,0,IF((AP$6-$G$3)&lt;1,0,IFERROR(LOOKUP(2,1/('Milho 1ª safra'!$E9:INDEX('Milho 1ª safra'!$E9:$Z9,MIN(AP$6-$G$3,22))&lt;&gt;""),'Milho 1ª safra'!$E9:INDEX('Milho 1ª safra'!$E9:$Z9,MIN(AP$6-$G$3,22))),0)))))</f>
        <v>0</v>
      </c>
      <c r="AQ11" s="27" t="n">
        <f aca="false">IF(COUNT('Milho 1ª safra'!$E9:$Z9)=0,0,MAX(0,IF((AQ$6-$E$3)&lt;1,0,IFERROR(LOOKUP(2,1/('Milho 1ª safra'!$E9:INDEX('Milho 1ª safra'!$E9:$Z9,MIN(AQ$6-$E$3,22))&lt;&gt;""),'Milho 1ª safra'!$E9:INDEX('Milho 1ª safra'!$E9:$Z9,MIN(AQ$6-$E$3,22))),0))-IF($G$2,0,IF((AQ$6-$G$3)&lt;1,0,IFERROR(LOOKUP(2,1/('Milho 1ª safra'!$E9:INDEX('Milho 1ª safra'!$E9:$Z9,MIN(AQ$6-$G$3,22))&lt;&gt;""),'Milho 1ª safra'!$E9:INDEX('Milho 1ª safra'!$E9:$Z9,MIN(AQ$6-$G$3,22))),0)))))</f>
        <v>0</v>
      </c>
      <c r="AR11" s="27" t="n">
        <f aca="false">IF(COUNT('Milho 1ª safra'!$E9:$Z9)=0,0,MAX(0,IF((AR$6-$E$3)&lt;1,0,IFERROR(LOOKUP(2,1/('Milho 1ª safra'!$E9:INDEX('Milho 1ª safra'!$E9:$Z9,MIN(AR$6-$E$3,22))&lt;&gt;""),'Milho 1ª safra'!$E9:INDEX('Milho 1ª safra'!$E9:$Z9,MIN(AR$6-$E$3,22))),0))-IF($G$2,0,IF((AR$6-$G$3)&lt;1,0,IFERROR(LOOKUP(2,1/('Milho 1ª safra'!$E9:INDEX('Milho 1ª safra'!$E9:$Z9,MIN(AR$6-$G$3,22))&lt;&gt;""),'Milho 1ª safra'!$E9:INDEX('Milho 1ª safra'!$E9:$Z9,MIN(AR$6-$G$3,22))),0)))))</f>
        <v>0</v>
      </c>
      <c r="AS11" s="27" t="n">
        <f aca="false">IF(COUNT('Milho 1ª safra'!$E9:$Z9)=0,0,MAX(0,IF((AS$6-$E$3)&lt;1,0,IFERROR(LOOKUP(2,1/('Milho 1ª safra'!$E9:INDEX('Milho 1ª safra'!$E9:$Z9,MIN(AS$6-$E$3,22))&lt;&gt;""),'Milho 1ª safra'!$E9:INDEX('Milho 1ª safra'!$E9:$Z9,MIN(AS$6-$E$3,22))),0))-IF($G$2,0,IF((AS$6-$G$3)&lt;1,0,IFERROR(LOOKUP(2,1/('Milho 1ª safra'!$E9:INDEX('Milho 1ª safra'!$E9:$Z9,MIN(AS$6-$G$3,22))&lt;&gt;""),'Milho 1ª safra'!$E9:INDEX('Milho 1ª safra'!$E9:$Z9,MIN(AS$6-$G$3,22))),0)))))</f>
        <v>0</v>
      </c>
      <c r="AT11" s="27" t="n">
        <f aca="false">IF(COUNT('Milho 1ª safra'!$E9:$Z9)=0,0,MAX(0,IF((AT$6-$E$3)&lt;1,0,IFERROR(LOOKUP(2,1/('Milho 1ª safra'!$E9:INDEX('Milho 1ª safra'!$E9:$Z9,MIN(AT$6-$E$3,22))&lt;&gt;""),'Milho 1ª safra'!$E9:INDEX('Milho 1ª safra'!$E9:$Z9,MIN(AT$6-$E$3,22))),0))-IF($G$2,0,IF((AT$6-$G$3)&lt;1,0,IFERROR(LOOKUP(2,1/('Milho 1ª safra'!$E9:INDEX('Milho 1ª safra'!$E9:$Z9,MIN(AT$6-$G$3,22))&lt;&gt;""),'Milho 1ª safra'!$E9:INDEX('Milho 1ª safra'!$E9:$Z9,MIN(AT$6-$G$3,22))),0)))))</f>
        <v>0</v>
      </c>
      <c r="AU11" s="27" t="n">
        <f aca="false">IF(COUNT('Milho 1ª safra'!$E9:$Z9)=0,0,MAX(0,IF((AU$6-$E$3)&lt;1,0,IFERROR(LOOKUP(2,1/('Milho 1ª safra'!$E9:INDEX('Milho 1ª safra'!$E9:$Z9,MIN(AU$6-$E$3,22))&lt;&gt;""),'Milho 1ª safra'!$E9:INDEX('Milho 1ª safra'!$E9:$Z9,MIN(AU$6-$E$3,22))),0))-IF($G$2,0,IF((AU$6-$G$3)&lt;1,0,IFERROR(LOOKUP(2,1/('Milho 1ª safra'!$E9:INDEX('Milho 1ª safra'!$E9:$Z9,MIN(AU$6-$G$3,22))&lt;&gt;""),'Milho 1ª safra'!$E9:INDEX('Milho 1ª safra'!$E9:$Z9,MIN(AU$6-$G$3,22))),0)))))</f>
        <v>0</v>
      </c>
      <c r="AV11" s="27" t="n">
        <f aca="false">IF(COUNT('Milho 1ª safra'!$E9:$Z9)=0,0,MAX(0,IF((AV$6-$E$3)&lt;1,0,IFERROR(LOOKUP(2,1/('Milho 1ª safra'!$E9:INDEX('Milho 1ª safra'!$E9:$Z9,MIN(AV$6-$E$3,22))&lt;&gt;""),'Milho 1ª safra'!$E9:INDEX('Milho 1ª safra'!$E9:$Z9,MIN(AV$6-$E$3,22))),0))-IF($G$2,0,IF((AV$6-$G$3)&lt;1,0,IFERROR(LOOKUP(2,1/('Milho 1ª safra'!$E9:INDEX('Milho 1ª safra'!$E9:$Z9,MIN(AV$6-$G$3,22))&lt;&gt;""),'Milho 1ª safra'!$E9:INDEX('Milho 1ª safra'!$E9:$Z9,MIN(AV$6-$G$3,22))),0)))))</f>
        <v>0</v>
      </c>
      <c r="AW11" s="27" t="n">
        <f aca="false">IF(COUNT('Milho 1ª safra'!$E9:$Z9)=0,0,MAX(0,IF((AW$6-$E$3)&lt;1,0,IFERROR(LOOKUP(2,1/('Milho 1ª safra'!$E9:INDEX('Milho 1ª safra'!$E9:$Z9,MIN(AW$6-$E$3,22))&lt;&gt;""),'Milho 1ª safra'!$E9:INDEX('Milho 1ª safra'!$E9:$Z9,MIN(AW$6-$E$3,22))),0))-IF($G$2,0,IF((AW$6-$G$3)&lt;1,0,IFERROR(LOOKUP(2,1/('Milho 1ª safra'!$E9:INDEX('Milho 1ª safra'!$E9:$Z9,MIN(AW$6-$G$3,22))&lt;&gt;""),'Milho 1ª safra'!$E9:INDEX('Milho 1ª safra'!$E9:$Z9,MIN(AW$6-$G$3,22))),0)))))</f>
        <v>0</v>
      </c>
      <c r="AX11" s="27" t="n">
        <f aca="false">IF(COUNT('Milho 1ª safra'!$E9:$Z9)=0,0,MAX(0,IF((AX$6-$E$3)&lt;1,0,IFERROR(LOOKUP(2,1/('Milho 1ª safra'!$E9:INDEX('Milho 1ª safra'!$E9:$Z9,MIN(AX$6-$E$3,22))&lt;&gt;""),'Milho 1ª safra'!$E9:INDEX('Milho 1ª safra'!$E9:$Z9,MIN(AX$6-$E$3,22))),0))-IF($G$2,0,IF((AX$6-$G$3)&lt;1,0,IFERROR(LOOKUP(2,1/('Milho 1ª safra'!$E9:INDEX('Milho 1ª safra'!$E9:$Z9,MIN(AX$6-$G$3,22))&lt;&gt;""),'Milho 1ª safra'!$E9:INDEX('Milho 1ª safra'!$E9:$Z9,MIN(AX$6-$G$3,22))),0)))))</f>
        <v>0</v>
      </c>
      <c r="AY11" s="27" t="n">
        <f aca="false">IF(COUNT('Milho 1ª safra'!$E9:$Z9)=0,0,MAX(0,IF((AY$6-$E$3)&lt;1,0,IFERROR(LOOKUP(2,1/('Milho 1ª safra'!$E9:INDEX('Milho 1ª safra'!$E9:$Z9,MIN(AY$6-$E$3,22))&lt;&gt;""),'Milho 1ª safra'!$E9:INDEX('Milho 1ª safra'!$E9:$Z9,MIN(AY$6-$E$3,22))),0))-IF($G$2,0,IF((AY$6-$G$3)&lt;1,0,IFERROR(LOOKUP(2,1/('Milho 1ª safra'!$E9:INDEX('Milho 1ª safra'!$E9:$Z9,MIN(AY$6-$G$3,22))&lt;&gt;""),'Milho 1ª safra'!$E9:INDEX('Milho 1ª safra'!$E9:$Z9,MIN(AY$6-$G$3,22))),0)))))</f>
        <v>0</v>
      </c>
      <c r="AZ11" s="27" t="n">
        <f aca="false">IF(COUNT('Milho 1ª safra'!$E9:$Z9)=0,0,MAX(0,IF((AZ$6-$E$3)&lt;1,0,IFERROR(LOOKUP(2,1/('Milho 1ª safra'!$E9:INDEX('Milho 1ª safra'!$E9:$Z9,MIN(AZ$6-$E$3,22))&lt;&gt;""),'Milho 1ª safra'!$E9:INDEX('Milho 1ª safra'!$E9:$Z9,MIN(AZ$6-$E$3,22))),0))-IF($G$2,0,IF((AZ$6-$G$3)&lt;1,0,IFERROR(LOOKUP(2,1/('Milho 1ª safra'!$E9:INDEX('Milho 1ª safra'!$E9:$Z9,MIN(AZ$6-$G$3,22))&lt;&gt;""),'Milho 1ª safra'!$E9:INDEX('Milho 1ª safra'!$E9:$Z9,MIN(AZ$6-$G$3,22))),0)))))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IF(COUNT('Milho 1ª safra'!$E10:$Z10)&gt;0,N('Milho 1ª safra'!$D10),0)</f>
        <v>0</v>
      </c>
      <c r="E12" s="27" t="n">
        <f aca="false">IF(COUNT('Milho 1ª safra'!$E10:$Z10)=0,0,MAX(0,IF((E$6-$E$3)&lt;1,0,IFERROR(LOOKUP(2,1/('Milho 1ª safra'!$E10:INDEX('Milho 1ª safra'!$E10:$Z10,MIN(E$6-$E$3,22))&lt;&gt;""),'Milho 1ª safra'!$E10:INDEX('Milho 1ª safra'!$E10:$Z10,MIN(E$6-$E$3,22))),0))-IF($G$2,0,IF((E$6-$G$3)&lt;1,0,IFERROR(LOOKUP(2,1/('Milho 1ª safra'!$E10:INDEX('Milho 1ª safra'!$E10:$Z10,MIN(E$6-$G$3,22))&lt;&gt;""),'Milho 1ª safra'!$E10:INDEX('Milho 1ª safra'!$E10:$Z10,MIN(E$6-$G$3,22))),0)))))</f>
        <v>0</v>
      </c>
      <c r="F12" s="27" t="n">
        <f aca="false">IF(COUNT('Milho 1ª safra'!$E10:$Z10)=0,0,MAX(0,IF((F$6-$E$3)&lt;1,0,IFERROR(LOOKUP(2,1/('Milho 1ª safra'!$E10:INDEX('Milho 1ª safra'!$E10:$Z10,MIN(F$6-$E$3,22))&lt;&gt;""),'Milho 1ª safra'!$E10:INDEX('Milho 1ª safra'!$E10:$Z10,MIN(F$6-$E$3,22))),0))-IF($G$2,0,IF((F$6-$G$3)&lt;1,0,IFERROR(LOOKUP(2,1/('Milho 1ª safra'!$E10:INDEX('Milho 1ª safra'!$E10:$Z10,MIN(F$6-$G$3,22))&lt;&gt;""),'Milho 1ª safra'!$E10:INDEX('Milho 1ª safra'!$E10:$Z10,MIN(F$6-$G$3,22))),0)))))</f>
        <v>0</v>
      </c>
      <c r="G12" s="27" t="n">
        <f aca="false">IF(COUNT('Milho 1ª safra'!$E10:$Z10)=0,0,MAX(0,IF((G$6-$E$3)&lt;1,0,IFERROR(LOOKUP(2,1/('Milho 1ª safra'!$E10:INDEX('Milho 1ª safra'!$E10:$Z10,MIN(G$6-$E$3,22))&lt;&gt;""),'Milho 1ª safra'!$E10:INDEX('Milho 1ª safra'!$E10:$Z10,MIN(G$6-$E$3,22))),0))-IF($G$2,0,IF((G$6-$G$3)&lt;1,0,IFERROR(LOOKUP(2,1/('Milho 1ª safra'!$E10:INDEX('Milho 1ª safra'!$E10:$Z10,MIN(G$6-$G$3,22))&lt;&gt;""),'Milho 1ª safra'!$E10:INDEX('Milho 1ª safra'!$E10:$Z10,MIN(G$6-$G$3,22))),0)))))</f>
        <v>0</v>
      </c>
      <c r="H12" s="27" t="n">
        <f aca="false">IF(COUNT('Milho 1ª safra'!$E10:$Z10)=0,0,MAX(0,IF((H$6-$E$3)&lt;1,0,IFERROR(LOOKUP(2,1/('Milho 1ª safra'!$E10:INDEX('Milho 1ª safra'!$E10:$Z10,MIN(H$6-$E$3,22))&lt;&gt;""),'Milho 1ª safra'!$E10:INDEX('Milho 1ª safra'!$E10:$Z10,MIN(H$6-$E$3,22))),0))-IF($G$2,0,IF((H$6-$G$3)&lt;1,0,IFERROR(LOOKUP(2,1/('Milho 1ª safra'!$E10:INDEX('Milho 1ª safra'!$E10:$Z10,MIN(H$6-$G$3,22))&lt;&gt;""),'Milho 1ª safra'!$E10:INDEX('Milho 1ª safra'!$E10:$Z10,MIN(H$6-$G$3,22))),0)))))</f>
        <v>0</v>
      </c>
      <c r="I12" s="27" t="n">
        <f aca="false">IF(COUNT('Milho 1ª safra'!$E10:$Z10)=0,0,MAX(0,IF((I$6-$E$3)&lt;1,0,IFERROR(LOOKUP(2,1/('Milho 1ª safra'!$E10:INDEX('Milho 1ª safra'!$E10:$Z10,MIN(I$6-$E$3,22))&lt;&gt;""),'Milho 1ª safra'!$E10:INDEX('Milho 1ª safra'!$E10:$Z10,MIN(I$6-$E$3,22))),0))-IF($G$2,0,IF((I$6-$G$3)&lt;1,0,IFERROR(LOOKUP(2,1/('Milho 1ª safra'!$E10:INDEX('Milho 1ª safra'!$E10:$Z10,MIN(I$6-$G$3,22))&lt;&gt;""),'Milho 1ª safra'!$E10:INDEX('Milho 1ª safra'!$E10:$Z10,MIN(I$6-$G$3,22))),0)))))</f>
        <v>0</v>
      </c>
      <c r="J12" s="27" t="n">
        <f aca="false">IF(COUNT('Milho 1ª safra'!$E10:$Z10)=0,0,MAX(0,IF((J$6-$E$3)&lt;1,0,IFERROR(LOOKUP(2,1/('Milho 1ª safra'!$E10:INDEX('Milho 1ª safra'!$E10:$Z10,MIN(J$6-$E$3,22))&lt;&gt;""),'Milho 1ª safra'!$E10:INDEX('Milho 1ª safra'!$E10:$Z10,MIN(J$6-$E$3,22))),0))-IF($G$2,0,IF((J$6-$G$3)&lt;1,0,IFERROR(LOOKUP(2,1/('Milho 1ª safra'!$E10:INDEX('Milho 1ª safra'!$E10:$Z10,MIN(J$6-$G$3,22))&lt;&gt;""),'Milho 1ª safra'!$E10:INDEX('Milho 1ª safra'!$E10:$Z10,MIN(J$6-$G$3,22))),0)))))</f>
        <v>0</v>
      </c>
      <c r="K12" s="27" t="n">
        <f aca="false">IF(COUNT('Milho 1ª safra'!$E10:$Z10)=0,0,MAX(0,IF((K$6-$E$3)&lt;1,0,IFERROR(LOOKUP(2,1/('Milho 1ª safra'!$E10:INDEX('Milho 1ª safra'!$E10:$Z10,MIN(K$6-$E$3,22))&lt;&gt;""),'Milho 1ª safra'!$E10:INDEX('Milho 1ª safra'!$E10:$Z10,MIN(K$6-$E$3,22))),0))-IF($G$2,0,IF((K$6-$G$3)&lt;1,0,IFERROR(LOOKUP(2,1/('Milho 1ª safra'!$E10:INDEX('Milho 1ª safra'!$E10:$Z10,MIN(K$6-$G$3,22))&lt;&gt;""),'Milho 1ª safra'!$E10:INDEX('Milho 1ª safra'!$E10:$Z10,MIN(K$6-$G$3,22))),0)))))</f>
        <v>0</v>
      </c>
      <c r="L12" s="27" t="n">
        <f aca="false">IF(COUNT('Milho 1ª safra'!$E10:$Z10)=0,0,MAX(0,IF((L$6-$E$3)&lt;1,0,IFERROR(LOOKUP(2,1/('Milho 1ª safra'!$E10:INDEX('Milho 1ª safra'!$E10:$Z10,MIN(L$6-$E$3,22))&lt;&gt;""),'Milho 1ª safra'!$E10:INDEX('Milho 1ª safra'!$E10:$Z10,MIN(L$6-$E$3,22))),0))-IF($G$2,0,IF((L$6-$G$3)&lt;1,0,IFERROR(LOOKUP(2,1/('Milho 1ª safra'!$E10:INDEX('Milho 1ª safra'!$E10:$Z10,MIN(L$6-$G$3,22))&lt;&gt;""),'Milho 1ª safra'!$E10:INDEX('Milho 1ª safra'!$E10:$Z10,MIN(L$6-$G$3,22))),0)))))</f>
        <v>0</v>
      </c>
      <c r="M12" s="27" t="n">
        <f aca="false">IF(COUNT('Milho 1ª safra'!$E10:$Z10)=0,0,MAX(0,IF((M$6-$E$3)&lt;1,0,IFERROR(LOOKUP(2,1/('Milho 1ª safra'!$E10:INDEX('Milho 1ª safra'!$E10:$Z10,MIN(M$6-$E$3,22))&lt;&gt;""),'Milho 1ª safra'!$E10:INDEX('Milho 1ª safra'!$E10:$Z10,MIN(M$6-$E$3,22))),0))-IF($G$2,0,IF((M$6-$G$3)&lt;1,0,IFERROR(LOOKUP(2,1/('Milho 1ª safra'!$E10:INDEX('Milho 1ª safra'!$E10:$Z10,MIN(M$6-$G$3,22))&lt;&gt;""),'Milho 1ª safra'!$E10:INDEX('Milho 1ª safra'!$E10:$Z10,MIN(M$6-$G$3,22))),0)))))</f>
        <v>0</v>
      </c>
      <c r="N12" s="27" t="n">
        <f aca="false">IF(COUNT('Milho 1ª safra'!$E10:$Z10)=0,0,MAX(0,IF((N$6-$E$3)&lt;1,0,IFERROR(LOOKUP(2,1/('Milho 1ª safra'!$E10:INDEX('Milho 1ª safra'!$E10:$Z10,MIN(N$6-$E$3,22))&lt;&gt;""),'Milho 1ª safra'!$E10:INDEX('Milho 1ª safra'!$E10:$Z10,MIN(N$6-$E$3,22))),0))-IF($G$2,0,IF((N$6-$G$3)&lt;1,0,IFERROR(LOOKUP(2,1/('Milho 1ª safra'!$E10:INDEX('Milho 1ª safra'!$E10:$Z10,MIN(N$6-$G$3,22))&lt;&gt;""),'Milho 1ª safra'!$E10:INDEX('Milho 1ª safra'!$E10:$Z10,MIN(N$6-$G$3,22))),0)))))</f>
        <v>0</v>
      </c>
      <c r="O12" s="27" t="n">
        <f aca="false">IF(COUNT('Milho 1ª safra'!$E10:$Z10)=0,0,MAX(0,IF((O$6-$E$3)&lt;1,0,IFERROR(LOOKUP(2,1/('Milho 1ª safra'!$E10:INDEX('Milho 1ª safra'!$E10:$Z10,MIN(O$6-$E$3,22))&lt;&gt;""),'Milho 1ª safra'!$E10:INDEX('Milho 1ª safra'!$E10:$Z10,MIN(O$6-$E$3,22))),0))-IF($G$2,0,IF((O$6-$G$3)&lt;1,0,IFERROR(LOOKUP(2,1/('Milho 1ª safra'!$E10:INDEX('Milho 1ª safra'!$E10:$Z10,MIN(O$6-$G$3,22))&lt;&gt;""),'Milho 1ª safra'!$E10:INDEX('Milho 1ª safra'!$E10:$Z10,MIN(O$6-$G$3,22))),0)))))</f>
        <v>0</v>
      </c>
      <c r="P12" s="27" t="n">
        <f aca="false">IF(COUNT('Milho 1ª safra'!$E10:$Z10)=0,0,MAX(0,IF((P$6-$E$3)&lt;1,0,IFERROR(LOOKUP(2,1/('Milho 1ª safra'!$E10:INDEX('Milho 1ª safra'!$E10:$Z10,MIN(P$6-$E$3,22))&lt;&gt;""),'Milho 1ª safra'!$E10:INDEX('Milho 1ª safra'!$E10:$Z10,MIN(P$6-$E$3,22))),0))-IF($G$2,0,IF((P$6-$G$3)&lt;1,0,IFERROR(LOOKUP(2,1/('Milho 1ª safra'!$E10:INDEX('Milho 1ª safra'!$E10:$Z10,MIN(P$6-$G$3,22))&lt;&gt;""),'Milho 1ª safra'!$E10:INDEX('Milho 1ª safra'!$E10:$Z10,MIN(P$6-$G$3,22))),0)))))</f>
        <v>0</v>
      </c>
      <c r="Q12" s="27" t="n">
        <f aca="false">IF(COUNT('Milho 1ª safra'!$E10:$Z10)=0,0,MAX(0,IF((Q$6-$E$3)&lt;1,0,IFERROR(LOOKUP(2,1/('Milho 1ª safra'!$E10:INDEX('Milho 1ª safra'!$E10:$Z10,MIN(Q$6-$E$3,22))&lt;&gt;""),'Milho 1ª safra'!$E10:INDEX('Milho 1ª safra'!$E10:$Z10,MIN(Q$6-$E$3,22))),0))-IF($G$2,0,IF((Q$6-$G$3)&lt;1,0,IFERROR(LOOKUP(2,1/('Milho 1ª safra'!$E10:INDEX('Milho 1ª safra'!$E10:$Z10,MIN(Q$6-$G$3,22))&lt;&gt;""),'Milho 1ª safra'!$E10:INDEX('Milho 1ª safra'!$E10:$Z10,MIN(Q$6-$G$3,22))),0)))))</f>
        <v>0</v>
      </c>
      <c r="R12" s="27" t="n">
        <f aca="false">IF(COUNT('Milho 1ª safra'!$E10:$Z10)=0,0,MAX(0,IF((R$6-$E$3)&lt;1,0,IFERROR(LOOKUP(2,1/('Milho 1ª safra'!$E10:INDEX('Milho 1ª safra'!$E10:$Z10,MIN(R$6-$E$3,22))&lt;&gt;""),'Milho 1ª safra'!$E10:INDEX('Milho 1ª safra'!$E10:$Z10,MIN(R$6-$E$3,22))),0))-IF($G$2,0,IF((R$6-$G$3)&lt;1,0,IFERROR(LOOKUP(2,1/('Milho 1ª safra'!$E10:INDEX('Milho 1ª safra'!$E10:$Z10,MIN(R$6-$G$3,22))&lt;&gt;""),'Milho 1ª safra'!$E10:INDEX('Milho 1ª safra'!$E10:$Z10,MIN(R$6-$G$3,22))),0)))))</f>
        <v>0</v>
      </c>
      <c r="S12" s="27" t="n">
        <f aca="false">IF(COUNT('Milho 1ª safra'!$E10:$Z10)=0,0,MAX(0,IF((S$6-$E$3)&lt;1,0,IFERROR(LOOKUP(2,1/('Milho 1ª safra'!$E10:INDEX('Milho 1ª safra'!$E10:$Z10,MIN(S$6-$E$3,22))&lt;&gt;""),'Milho 1ª safra'!$E10:INDEX('Milho 1ª safra'!$E10:$Z10,MIN(S$6-$E$3,22))),0))-IF($G$2,0,IF((S$6-$G$3)&lt;1,0,IFERROR(LOOKUP(2,1/('Milho 1ª safra'!$E10:INDEX('Milho 1ª safra'!$E10:$Z10,MIN(S$6-$G$3,22))&lt;&gt;""),'Milho 1ª safra'!$E10:INDEX('Milho 1ª safra'!$E10:$Z10,MIN(S$6-$G$3,22))),0)))))</f>
        <v>0</v>
      </c>
      <c r="T12" s="27" t="n">
        <f aca="false">IF(COUNT('Milho 1ª safra'!$E10:$Z10)=0,0,MAX(0,IF((T$6-$E$3)&lt;1,0,IFERROR(LOOKUP(2,1/('Milho 1ª safra'!$E10:INDEX('Milho 1ª safra'!$E10:$Z10,MIN(T$6-$E$3,22))&lt;&gt;""),'Milho 1ª safra'!$E10:INDEX('Milho 1ª safra'!$E10:$Z10,MIN(T$6-$E$3,22))),0))-IF($G$2,0,IF((T$6-$G$3)&lt;1,0,IFERROR(LOOKUP(2,1/('Milho 1ª safra'!$E10:INDEX('Milho 1ª safra'!$E10:$Z10,MIN(T$6-$G$3,22))&lt;&gt;""),'Milho 1ª safra'!$E10:INDEX('Milho 1ª safra'!$E10:$Z10,MIN(T$6-$G$3,22))),0)))))</f>
        <v>0</v>
      </c>
      <c r="U12" s="27" t="n">
        <f aca="false">IF(COUNT('Milho 1ª safra'!$E10:$Z10)=0,0,MAX(0,IF((U$6-$E$3)&lt;1,0,IFERROR(LOOKUP(2,1/('Milho 1ª safra'!$E10:INDEX('Milho 1ª safra'!$E10:$Z10,MIN(U$6-$E$3,22))&lt;&gt;""),'Milho 1ª safra'!$E10:INDEX('Milho 1ª safra'!$E10:$Z10,MIN(U$6-$E$3,22))),0))-IF($G$2,0,IF((U$6-$G$3)&lt;1,0,IFERROR(LOOKUP(2,1/('Milho 1ª safra'!$E10:INDEX('Milho 1ª safra'!$E10:$Z10,MIN(U$6-$G$3,22))&lt;&gt;""),'Milho 1ª safra'!$E10:INDEX('Milho 1ª safra'!$E10:$Z10,MIN(U$6-$G$3,22))),0)))))</f>
        <v>0</v>
      </c>
      <c r="V12" s="27" t="n">
        <f aca="false">IF(COUNT('Milho 1ª safra'!$E10:$Z10)=0,0,MAX(0,IF((V$6-$E$3)&lt;1,0,IFERROR(LOOKUP(2,1/('Milho 1ª safra'!$E10:INDEX('Milho 1ª safra'!$E10:$Z10,MIN(V$6-$E$3,22))&lt;&gt;""),'Milho 1ª safra'!$E10:INDEX('Milho 1ª safra'!$E10:$Z10,MIN(V$6-$E$3,22))),0))-IF($G$2,0,IF((V$6-$G$3)&lt;1,0,IFERROR(LOOKUP(2,1/('Milho 1ª safra'!$E10:INDEX('Milho 1ª safra'!$E10:$Z10,MIN(V$6-$G$3,22))&lt;&gt;""),'Milho 1ª safra'!$E10:INDEX('Milho 1ª safra'!$E10:$Z10,MIN(V$6-$G$3,22))),0)))))</f>
        <v>0</v>
      </c>
      <c r="W12" s="27" t="n">
        <f aca="false">IF(COUNT('Milho 1ª safra'!$E10:$Z10)=0,0,MAX(0,IF((W$6-$E$3)&lt;1,0,IFERROR(LOOKUP(2,1/('Milho 1ª safra'!$E10:INDEX('Milho 1ª safra'!$E10:$Z10,MIN(W$6-$E$3,22))&lt;&gt;""),'Milho 1ª safra'!$E10:INDEX('Milho 1ª safra'!$E10:$Z10,MIN(W$6-$E$3,22))),0))-IF($G$2,0,IF((W$6-$G$3)&lt;1,0,IFERROR(LOOKUP(2,1/('Milho 1ª safra'!$E10:INDEX('Milho 1ª safra'!$E10:$Z10,MIN(W$6-$G$3,22))&lt;&gt;""),'Milho 1ª safra'!$E10:INDEX('Milho 1ª safra'!$E10:$Z10,MIN(W$6-$G$3,22))),0)))))</f>
        <v>0</v>
      </c>
      <c r="X12" s="27" t="n">
        <f aca="false">IF(COUNT('Milho 1ª safra'!$E10:$Z10)=0,0,MAX(0,IF((X$6-$E$3)&lt;1,0,IFERROR(LOOKUP(2,1/('Milho 1ª safra'!$E10:INDEX('Milho 1ª safra'!$E10:$Z10,MIN(X$6-$E$3,22))&lt;&gt;""),'Milho 1ª safra'!$E10:INDEX('Milho 1ª safra'!$E10:$Z10,MIN(X$6-$E$3,22))),0))-IF($G$2,0,IF((X$6-$G$3)&lt;1,0,IFERROR(LOOKUP(2,1/('Milho 1ª safra'!$E10:INDEX('Milho 1ª safra'!$E10:$Z10,MIN(X$6-$G$3,22))&lt;&gt;""),'Milho 1ª safra'!$E10:INDEX('Milho 1ª safra'!$E10:$Z10,MIN(X$6-$G$3,22))),0)))))</f>
        <v>0</v>
      </c>
      <c r="Y12" s="27" t="n">
        <f aca="false">IF(COUNT('Milho 1ª safra'!$E10:$Z10)=0,0,MAX(0,IF((Y$6-$E$3)&lt;1,0,IFERROR(LOOKUP(2,1/('Milho 1ª safra'!$E10:INDEX('Milho 1ª safra'!$E10:$Z10,MIN(Y$6-$E$3,22))&lt;&gt;""),'Milho 1ª safra'!$E10:INDEX('Milho 1ª safra'!$E10:$Z10,MIN(Y$6-$E$3,22))),0))-IF($G$2,0,IF((Y$6-$G$3)&lt;1,0,IFERROR(LOOKUP(2,1/('Milho 1ª safra'!$E10:INDEX('Milho 1ª safra'!$E10:$Z10,MIN(Y$6-$G$3,22))&lt;&gt;""),'Milho 1ª safra'!$E10:INDEX('Milho 1ª safra'!$E10:$Z10,MIN(Y$6-$G$3,22))),0)))))</f>
        <v>0</v>
      </c>
      <c r="Z12" s="27" t="n">
        <f aca="false">IF(COUNT('Milho 1ª safra'!$E10:$Z10)=0,0,MAX(0,IF((Z$6-$E$3)&lt;1,0,IFERROR(LOOKUP(2,1/('Milho 1ª safra'!$E10:INDEX('Milho 1ª safra'!$E10:$Z10,MIN(Z$6-$E$3,22))&lt;&gt;""),'Milho 1ª safra'!$E10:INDEX('Milho 1ª safra'!$E10:$Z10,MIN(Z$6-$E$3,22))),0))-IF($G$2,0,IF((Z$6-$G$3)&lt;1,0,IFERROR(LOOKUP(2,1/('Milho 1ª safra'!$E10:INDEX('Milho 1ª safra'!$E10:$Z10,MIN(Z$6-$G$3,22))&lt;&gt;""),'Milho 1ª safra'!$E10:INDEX('Milho 1ª safra'!$E10:$Z10,MIN(Z$6-$G$3,22))),0)))))</f>
        <v>0</v>
      </c>
      <c r="AA12" s="27" t="n">
        <f aca="false">IF(COUNT('Milho 1ª safra'!$E10:$Z10)=0,0,MAX(0,IF((AA$6-$E$3)&lt;1,0,IFERROR(LOOKUP(2,1/('Milho 1ª safra'!$E10:INDEX('Milho 1ª safra'!$E10:$Z10,MIN(AA$6-$E$3,22))&lt;&gt;""),'Milho 1ª safra'!$E10:INDEX('Milho 1ª safra'!$E10:$Z10,MIN(AA$6-$E$3,22))),0))-IF($G$2,0,IF((AA$6-$G$3)&lt;1,0,IFERROR(LOOKUP(2,1/('Milho 1ª safra'!$E10:INDEX('Milho 1ª safra'!$E10:$Z10,MIN(AA$6-$G$3,22))&lt;&gt;""),'Milho 1ª safra'!$E10:INDEX('Milho 1ª safra'!$E10:$Z10,MIN(AA$6-$G$3,22))),0)))))</f>
        <v>0</v>
      </c>
      <c r="AB12" s="27" t="n">
        <f aca="false">IF(COUNT('Milho 1ª safra'!$E10:$Z10)=0,0,MAX(0,IF((AB$6-$E$3)&lt;1,0,IFERROR(LOOKUP(2,1/('Milho 1ª safra'!$E10:INDEX('Milho 1ª safra'!$E10:$Z10,MIN(AB$6-$E$3,22))&lt;&gt;""),'Milho 1ª safra'!$E10:INDEX('Milho 1ª safra'!$E10:$Z10,MIN(AB$6-$E$3,22))),0))-IF($G$2,0,IF((AB$6-$G$3)&lt;1,0,IFERROR(LOOKUP(2,1/('Milho 1ª safra'!$E10:INDEX('Milho 1ª safra'!$E10:$Z10,MIN(AB$6-$G$3,22))&lt;&gt;""),'Milho 1ª safra'!$E10:INDEX('Milho 1ª safra'!$E10:$Z10,MIN(AB$6-$G$3,22))),0)))))</f>
        <v>0</v>
      </c>
      <c r="AC12" s="27" t="n">
        <f aca="false">IF(COUNT('Milho 1ª safra'!$E10:$Z10)=0,0,MAX(0,IF((AC$6-$E$3)&lt;1,0,IFERROR(LOOKUP(2,1/('Milho 1ª safra'!$E10:INDEX('Milho 1ª safra'!$E10:$Z10,MIN(AC$6-$E$3,22))&lt;&gt;""),'Milho 1ª safra'!$E10:INDEX('Milho 1ª safra'!$E10:$Z10,MIN(AC$6-$E$3,22))),0))-IF($G$2,0,IF((AC$6-$G$3)&lt;1,0,IFERROR(LOOKUP(2,1/('Milho 1ª safra'!$E10:INDEX('Milho 1ª safra'!$E10:$Z10,MIN(AC$6-$G$3,22))&lt;&gt;""),'Milho 1ª safra'!$E10:INDEX('Milho 1ª safra'!$E10:$Z10,MIN(AC$6-$G$3,22))),0)))))</f>
        <v>0</v>
      </c>
      <c r="AD12" s="27" t="n">
        <f aca="false">IF(COUNT('Milho 1ª safra'!$E10:$Z10)=0,0,MAX(0,IF((AD$6-$E$3)&lt;1,0,IFERROR(LOOKUP(2,1/('Milho 1ª safra'!$E10:INDEX('Milho 1ª safra'!$E10:$Z10,MIN(AD$6-$E$3,22))&lt;&gt;""),'Milho 1ª safra'!$E10:INDEX('Milho 1ª safra'!$E10:$Z10,MIN(AD$6-$E$3,22))),0))-IF($G$2,0,IF((AD$6-$G$3)&lt;1,0,IFERROR(LOOKUP(2,1/('Milho 1ª safra'!$E10:INDEX('Milho 1ª safra'!$E10:$Z10,MIN(AD$6-$G$3,22))&lt;&gt;""),'Milho 1ª safra'!$E10:INDEX('Milho 1ª safra'!$E10:$Z10,MIN(AD$6-$G$3,22))),0)))))</f>
        <v>0</v>
      </c>
      <c r="AE12" s="27" t="n">
        <f aca="false">IF(COUNT('Milho 1ª safra'!$E10:$Z10)=0,0,MAX(0,IF((AE$6-$E$3)&lt;1,0,IFERROR(LOOKUP(2,1/('Milho 1ª safra'!$E10:INDEX('Milho 1ª safra'!$E10:$Z10,MIN(AE$6-$E$3,22))&lt;&gt;""),'Milho 1ª safra'!$E10:INDEX('Milho 1ª safra'!$E10:$Z10,MIN(AE$6-$E$3,22))),0))-IF($G$2,0,IF((AE$6-$G$3)&lt;1,0,IFERROR(LOOKUP(2,1/('Milho 1ª safra'!$E10:INDEX('Milho 1ª safra'!$E10:$Z10,MIN(AE$6-$G$3,22))&lt;&gt;""),'Milho 1ª safra'!$E10:INDEX('Milho 1ª safra'!$E10:$Z10,MIN(AE$6-$G$3,22))),0)))))</f>
        <v>0</v>
      </c>
      <c r="AF12" s="27" t="n">
        <f aca="false">IF(COUNT('Milho 1ª safra'!$E10:$Z10)=0,0,MAX(0,IF((AF$6-$E$3)&lt;1,0,IFERROR(LOOKUP(2,1/('Milho 1ª safra'!$E10:INDEX('Milho 1ª safra'!$E10:$Z10,MIN(AF$6-$E$3,22))&lt;&gt;""),'Milho 1ª safra'!$E10:INDEX('Milho 1ª safra'!$E10:$Z10,MIN(AF$6-$E$3,22))),0))-IF($G$2,0,IF((AF$6-$G$3)&lt;1,0,IFERROR(LOOKUP(2,1/('Milho 1ª safra'!$E10:INDEX('Milho 1ª safra'!$E10:$Z10,MIN(AF$6-$G$3,22))&lt;&gt;""),'Milho 1ª safra'!$E10:INDEX('Milho 1ª safra'!$E10:$Z10,MIN(AF$6-$G$3,22))),0)))))</f>
        <v>0</v>
      </c>
      <c r="AG12" s="27" t="n">
        <f aca="false">IF(COUNT('Milho 1ª safra'!$E10:$Z10)=0,0,MAX(0,IF((AG$6-$E$3)&lt;1,0,IFERROR(LOOKUP(2,1/('Milho 1ª safra'!$E10:INDEX('Milho 1ª safra'!$E10:$Z10,MIN(AG$6-$E$3,22))&lt;&gt;""),'Milho 1ª safra'!$E10:INDEX('Milho 1ª safra'!$E10:$Z10,MIN(AG$6-$E$3,22))),0))-IF($G$2,0,IF((AG$6-$G$3)&lt;1,0,IFERROR(LOOKUP(2,1/('Milho 1ª safra'!$E10:INDEX('Milho 1ª safra'!$E10:$Z10,MIN(AG$6-$G$3,22))&lt;&gt;""),'Milho 1ª safra'!$E10:INDEX('Milho 1ª safra'!$E10:$Z10,MIN(AG$6-$G$3,22))),0)))))</f>
        <v>0</v>
      </c>
      <c r="AH12" s="27" t="n">
        <f aca="false">IF(COUNT('Milho 1ª safra'!$E10:$Z10)=0,0,MAX(0,IF((AH$6-$E$3)&lt;1,0,IFERROR(LOOKUP(2,1/('Milho 1ª safra'!$E10:INDEX('Milho 1ª safra'!$E10:$Z10,MIN(AH$6-$E$3,22))&lt;&gt;""),'Milho 1ª safra'!$E10:INDEX('Milho 1ª safra'!$E10:$Z10,MIN(AH$6-$E$3,22))),0))-IF($G$2,0,IF((AH$6-$G$3)&lt;1,0,IFERROR(LOOKUP(2,1/('Milho 1ª safra'!$E10:INDEX('Milho 1ª safra'!$E10:$Z10,MIN(AH$6-$G$3,22))&lt;&gt;""),'Milho 1ª safra'!$E10:INDEX('Milho 1ª safra'!$E10:$Z10,MIN(AH$6-$G$3,22))),0)))))</f>
        <v>0</v>
      </c>
      <c r="AI12" s="27" t="n">
        <f aca="false">IF(COUNT('Milho 1ª safra'!$E10:$Z10)=0,0,MAX(0,IF((AI$6-$E$3)&lt;1,0,IFERROR(LOOKUP(2,1/('Milho 1ª safra'!$E10:INDEX('Milho 1ª safra'!$E10:$Z10,MIN(AI$6-$E$3,22))&lt;&gt;""),'Milho 1ª safra'!$E10:INDEX('Milho 1ª safra'!$E10:$Z10,MIN(AI$6-$E$3,22))),0))-IF($G$2,0,IF((AI$6-$G$3)&lt;1,0,IFERROR(LOOKUP(2,1/('Milho 1ª safra'!$E10:INDEX('Milho 1ª safra'!$E10:$Z10,MIN(AI$6-$G$3,22))&lt;&gt;""),'Milho 1ª safra'!$E10:INDEX('Milho 1ª safra'!$E10:$Z10,MIN(AI$6-$G$3,22))),0)))))</f>
        <v>0</v>
      </c>
      <c r="AJ12" s="27" t="n">
        <f aca="false">IF(COUNT('Milho 1ª safra'!$E10:$Z10)=0,0,MAX(0,IF((AJ$6-$E$3)&lt;1,0,IFERROR(LOOKUP(2,1/('Milho 1ª safra'!$E10:INDEX('Milho 1ª safra'!$E10:$Z10,MIN(AJ$6-$E$3,22))&lt;&gt;""),'Milho 1ª safra'!$E10:INDEX('Milho 1ª safra'!$E10:$Z10,MIN(AJ$6-$E$3,22))),0))-IF($G$2,0,IF((AJ$6-$G$3)&lt;1,0,IFERROR(LOOKUP(2,1/('Milho 1ª safra'!$E10:INDEX('Milho 1ª safra'!$E10:$Z10,MIN(AJ$6-$G$3,22))&lt;&gt;""),'Milho 1ª safra'!$E10:INDEX('Milho 1ª safra'!$E10:$Z10,MIN(AJ$6-$G$3,22))),0)))))</f>
        <v>0</v>
      </c>
      <c r="AK12" s="27" t="n">
        <f aca="false">IF(COUNT('Milho 1ª safra'!$E10:$Z10)=0,0,MAX(0,IF((AK$6-$E$3)&lt;1,0,IFERROR(LOOKUP(2,1/('Milho 1ª safra'!$E10:INDEX('Milho 1ª safra'!$E10:$Z10,MIN(AK$6-$E$3,22))&lt;&gt;""),'Milho 1ª safra'!$E10:INDEX('Milho 1ª safra'!$E10:$Z10,MIN(AK$6-$E$3,22))),0))-IF($G$2,0,IF((AK$6-$G$3)&lt;1,0,IFERROR(LOOKUP(2,1/('Milho 1ª safra'!$E10:INDEX('Milho 1ª safra'!$E10:$Z10,MIN(AK$6-$G$3,22))&lt;&gt;""),'Milho 1ª safra'!$E10:INDEX('Milho 1ª safra'!$E10:$Z10,MIN(AK$6-$G$3,22))),0)))))</f>
        <v>0</v>
      </c>
      <c r="AL12" s="27" t="n">
        <f aca="false">IF(COUNT('Milho 1ª safra'!$E10:$Z10)=0,0,MAX(0,IF((AL$6-$E$3)&lt;1,0,IFERROR(LOOKUP(2,1/('Milho 1ª safra'!$E10:INDEX('Milho 1ª safra'!$E10:$Z10,MIN(AL$6-$E$3,22))&lt;&gt;""),'Milho 1ª safra'!$E10:INDEX('Milho 1ª safra'!$E10:$Z10,MIN(AL$6-$E$3,22))),0))-IF($G$2,0,IF((AL$6-$G$3)&lt;1,0,IFERROR(LOOKUP(2,1/('Milho 1ª safra'!$E10:INDEX('Milho 1ª safra'!$E10:$Z10,MIN(AL$6-$G$3,22))&lt;&gt;""),'Milho 1ª safra'!$E10:INDEX('Milho 1ª safra'!$E10:$Z10,MIN(AL$6-$G$3,22))),0)))))</f>
        <v>0</v>
      </c>
      <c r="AM12" s="27" t="n">
        <f aca="false">IF(COUNT('Milho 1ª safra'!$E10:$Z10)=0,0,MAX(0,IF((AM$6-$E$3)&lt;1,0,IFERROR(LOOKUP(2,1/('Milho 1ª safra'!$E10:INDEX('Milho 1ª safra'!$E10:$Z10,MIN(AM$6-$E$3,22))&lt;&gt;""),'Milho 1ª safra'!$E10:INDEX('Milho 1ª safra'!$E10:$Z10,MIN(AM$6-$E$3,22))),0))-IF($G$2,0,IF((AM$6-$G$3)&lt;1,0,IFERROR(LOOKUP(2,1/('Milho 1ª safra'!$E10:INDEX('Milho 1ª safra'!$E10:$Z10,MIN(AM$6-$G$3,22))&lt;&gt;""),'Milho 1ª safra'!$E10:INDEX('Milho 1ª safra'!$E10:$Z10,MIN(AM$6-$G$3,22))),0)))))</f>
        <v>0</v>
      </c>
      <c r="AN12" s="27" t="n">
        <f aca="false">IF(COUNT('Milho 1ª safra'!$E10:$Z10)=0,0,MAX(0,IF((AN$6-$E$3)&lt;1,0,IFERROR(LOOKUP(2,1/('Milho 1ª safra'!$E10:INDEX('Milho 1ª safra'!$E10:$Z10,MIN(AN$6-$E$3,22))&lt;&gt;""),'Milho 1ª safra'!$E10:INDEX('Milho 1ª safra'!$E10:$Z10,MIN(AN$6-$E$3,22))),0))-IF($G$2,0,IF((AN$6-$G$3)&lt;1,0,IFERROR(LOOKUP(2,1/('Milho 1ª safra'!$E10:INDEX('Milho 1ª safra'!$E10:$Z10,MIN(AN$6-$G$3,22))&lt;&gt;""),'Milho 1ª safra'!$E10:INDEX('Milho 1ª safra'!$E10:$Z10,MIN(AN$6-$G$3,22))),0)))))</f>
        <v>0</v>
      </c>
      <c r="AO12" s="27" t="n">
        <f aca="false">IF(COUNT('Milho 1ª safra'!$E10:$Z10)=0,0,MAX(0,IF((AO$6-$E$3)&lt;1,0,IFERROR(LOOKUP(2,1/('Milho 1ª safra'!$E10:INDEX('Milho 1ª safra'!$E10:$Z10,MIN(AO$6-$E$3,22))&lt;&gt;""),'Milho 1ª safra'!$E10:INDEX('Milho 1ª safra'!$E10:$Z10,MIN(AO$6-$E$3,22))),0))-IF($G$2,0,IF((AO$6-$G$3)&lt;1,0,IFERROR(LOOKUP(2,1/('Milho 1ª safra'!$E10:INDEX('Milho 1ª safra'!$E10:$Z10,MIN(AO$6-$G$3,22))&lt;&gt;""),'Milho 1ª safra'!$E10:INDEX('Milho 1ª safra'!$E10:$Z10,MIN(AO$6-$G$3,22))),0)))))</f>
        <v>0</v>
      </c>
      <c r="AP12" s="27" t="n">
        <f aca="false">IF(COUNT('Milho 1ª safra'!$E10:$Z10)=0,0,MAX(0,IF((AP$6-$E$3)&lt;1,0,IFERROR(LOOKUP(2,1/('Milho 1ª safra'!$E10:INDEX('Milho 1ª safra'!$E10:$Z10,MIN(AP$6-$E$3,22))&lt;&gt;""),'Milho 1ª safra'!$E10:INDEX('Milho 1ª safra'!$E10:$Z10,MIN(AP$6-$E$3,22))),0))-IF($G$2,0,IF((AP$6-$G$3)&lt;1,0,IFERROR(LOOKUP(2,1/('Milho 1ª safra'!$E10:INDEX('Milho 1ª safra'!$E10:$Z10,MIN(AP$6-$G$3,22))&lt;&gt;""),'Milho 1ª safra'!$E10:INDEX('Milho 1ª safra'!$E10:$Z10,MIN(AP$6-$G$3,22))),0)))))</f>
        <v>0</v>
      </c>
      <c r="AQ12" s="27" t="n">
        <f aca="false">IF(COUNT('Milho 1ª safra'!$E10:$Z10)=0,0,MAX(0,IF((AQ$6-$E$3)&lt;1,0,IFERROR(LOOKUP(2,1/('Milho 1ª safra'!$E10:INDEX('Milho 1ª safra'!$E10:$Z10,MIN(AQ$6-$E$3,22))&lt;&gt;""),'Milho 1ª safra'!$E10:INDEX('Milho 1ª safra'!$E10:$Z10,MIN(AQ$6-$E$3,22))),0))-IF($G$2,0,IF((AQ$6-$G$3)&lt;1,0,IFERROR(LOOKUP(2,1/('Milho 1ª safra'!$E10:INDEX('Milho 1ª safra'!$E10:$Z10,MIN(AQ$6-$G$3,22))&lt;&gt;""),'Milho 1ª safra'!$E10:INDEX('Milho 1ª safra'!$E10:$Z10,MIN(AQ$6-$G$3,22))),0)))))</f>
        <v>0</v>
      </c>
      <c r="AR12" s="27" t="n">
        <f aca="false">IF(COUNT('Milho 1ª safra'!$E10:$Z10)=0,0,MAX(0,IF((AR$6-$E$3)&lt;1,0,IFERROR(LOOKUP(2,1/('Milho 1ª safra'!$E10:INDEX('Milho 1ª safra'!$E10:$Z10,MIN(AR$6-$E$3,22))&lt;&gt;""),'Milho 1ª safra'!$E10:INDEX('Milho 1ª safra'!$E10:$Z10,MIN(AR$6-$E$3,22))),0))-IF($G$2,0,IF((AR$6-$G$3)&lt;1,0,IFERROR(LOOKUP(2,1/('Milho 1ª safra'!$E10:INDEX('Milho 1ª safra'!$E10:$Z10,MIN(AR$6-$G$3,22))&lt;&gt;""),'Milho 1ª safra'!$E10:INDEX('Milho 1ª safra'!$E10:$Z10,MIN(AR$6-$G$3,22))),0)))))</f>
        <v>0</v>
      </c>
      <c r="AS12" s="27" t="n">
        <f aca="false">IF(COUNT('Milho 1ª safra'!$E10:$Z10)=0,0,MAX(0,IF((AS$6-$E$3)&lt;1,0,IFERROR(LOOKUP(2,1/('Milho 1ª safra'!$E10:INDEX('Milho 1ª safra'!$E10:$Z10,MIN(AS$6-$E$3,22))&lt;&gt;""),'Milho 1ª safra'!$E10:INDEX('Milho 1ª safra'!$E10:$Z10,MIN(AS$6-$E$3,22))),0))-IF($G$2,0,IF((AS$6-$G$3)&lt;1,0,IFERROR(LOOKUP(2,1/('Milho 1ª safra'!$E10:INDEX('Milho 1ª safra'!$E10:$Z10,MIN(AS$6-$G$3,22))&lt;&gt;""),'Milho 1ª safra'!$E10:INDEX('Milho 1ª safra'!$E10:$Z10,MIN(AS$6-$G$3,22))),0)))))</f>
        <v>0</v>
      </c>
      <c r="AT12" s="27" t="n">
        <f aca="false">IF(COUNT('Milho 1ª safra'!$E10:$Z10)=0,0,MAX(0,IF((AT$6-$E$3)&lt;1,0,IFERROR(LOOKUP(2,1/('Milho 1ª safra'!$E10:INDEX('Milho 1ª safra'!$E10:$Z10,MIN(AT$6-$E$3,22))&lt;&gt;""),'Milho 1ª safra'!$E10:INDEX('Milho 1ª safra'!$E10:$Z10,MIN(AT$6-$E$3,22))),0))-IF($G$2,0,IF((AT$6-$G$3)&lt;1,0,IFERROR(LOOKUP(2,1/('Milho 1ª safra'!$E10:INDEX('Milho 1ª safra'!$E10:$Z10,MIN(AT$6-$G$3,22))&lt;&gt;""),'Milho 1ª safra'!$E10:INDEX('Milho 1ª safra'!$E10:$Z10,MIN(AT$6-$G$3,22))),0)))))</f>
        <v>0</v>
      </c>
      <c r="AU12" s="27" t="n">
        <f aca="false">IF(COUNT('Milho 1ª safra'!$E10:$Z10)=0,0,MAX(0,IF((AU$6-$E$3)&lt;1,0,IFERROR(LOOKUP(2,1/('Milho 1ª safra'!$E10:INDEX('Milho 1ª safra'!$E10:$Z10,MIN(AU$6-$E$3,22))&lt;&gt;""),'Milho 1ª safra'!$E10:INDEX('Milho 1ª safra'!$E10:$Z10,MIN(AU$6-$E$3,22))),0))-IF($G$2,0,IF((AU$6-$G$3)&lt;1,0,IFERROR(LOOKUP(2,1/('Milho 1ª safra'!$E10:INDEX('Milho 1ª safra'!$E10:$Z10,MIN(AU$6-$G$3,22))&lt;&gt;""),'Milho 1ª safra'!$E10:INDEX('Milho 1ª safra'!$E10:$Z10,MIN(AU$6-$G$3,22))),0)))))</f>
        <v>0</v>
      </c>
      <c r="AV12" s="27" t="n">
        <f aca="false">IF(COUNT('Milho 1ª safra'!$E10:$Z10)=0,0,MAX(0,IF((AV$6-$E$3)&lt;1,0,IFERROR(LOOKUP(2,1/('Milho 1ª safra'!$E10:INDEX('Milho 1ª safra'!$E10:$Z10,MIN(AV$6-$E$3,22))&lt;&gt;""),'Milho 1ª safra'!$E10:INDEX('Milho 1ª safra'!$E10:$Z10,MIN(AV$6-$E$3,22))),0))-IF($G$2,0,IF((AV$6-$G$3)&lt;1,0,IFERROR(LOOKUP(2,1/('Milho 1ª safra'!$E10:INDEX('Milho 1ª safra'!$E10:$Z10,MIN(AV$6-$G$3,22))&lt;&gt;""),'Milho 1ª safra'!$E10:INDEX('Milho 1ª safra'!$E10:$Z10,MIN(AV$6-$G$3,22))),0)))))</f>
        <v>0</v>
      </c>
      <c r="AW12" s="27" t="n">
        <f aca="false">IF(COUNT('Milho 1ª safra'!$E10:$Z10)=0,0,MAX(0,IF((AW$6-$E$3)&lt;1,0,IFERROR(LOOKUP(2,1/('Milho 1ª safra'!$E10:INDEX('Milho 1ª safra'!$E10:$Z10,MIN(AW$6-$E$3,22))&lt;&gt;""),'Milho 1ª safra'!$E10:INDEX('Milho 1ª safra'!$E10:$Z10,MIN(AW$6-$E$3,22))),0))-IF($G$2,0,IF((AW$6-$G$3)&lt;1,0,IFERROR(LOOKUP(2,1/('Milho 1ª safra'!$E10:INDEX('Milho 1ª safra'!$E10:$Z10,MIN(AW$6-$G$3,22))&lt;&gt;""),'Milho 1ª safra'!$E10:INDEX('Milho 1ª safra'!$E10:$Z10,MIN(AW$6-$G$3,22))),0)))))</f>
        <v>0</v>
      </c>
      <c r="AX12" s="27" t="n">
        <f aca="false">IF(COUNT('Milho 1ª safra'!$E10:$Z10)=0,0,MAX(0,IF((AX$6-$E$3)&lt;1,0,IFERROR(LOOKUP(2,1/('Milho 1ª safra'!$E10:INDEX('Milho 1ª safra'!$E10:$Z10,MIN(AX$6-$E$3,22))&lt;&gt;""),'Milho 1ª safra'!$E10:INDEX('Milho 1ª safra'!$E10:$Z10,MIN(AX$6-$E$3,22))),0))-IF($G$2,0,IF((AX$6-$G$3)&lt;1,0,IFERROR(LOOKUP(2,1/('Milho 1ª safra'!$E10:INDEX('Milho 1ª safra'!$E10:$Z10,MIN(AX$6-$G$3,22))&lt;&gt;""),'Milho 1ª safra'!$E10:INDEX('Milho 1ª safra'!$E10:$Z10,MIN(AX$6-$G$3,22))),0)))))</f>
        <v>0</v>
      </c>
      <c r="AY12" s="27" t="n">
        <f aca="false">IF(COUNT('Milho 1ª safra'!$E10:$Z10)=0,0,MAX(0,IF((AY$6-$E$3)&lt;1,0,IFERROR(LOOKUP(2,1/('Milho 1ª safra'!$E10:INDEX('Milho 1ª safra'!$E10:$Z10,MIN(AY$6-$E$3,22))&lt;&gt;""),'Milho 1ª safra'!$E10:INDEX('Milho 1ª safra'!$E10:$Z10,MIN(AY$6-$E$3,22))),0))-IF($G$2,0,IF((AY$6-$G$3)&lt;1,0,IFERROR(LOOKUP(2,1/('Milho 1ª safra'!$E10:INDEX('Milho 1ª safra'!$E10:$Z10,MIN(AY$6-$G$3,22))&lt;&gt;""),'Milho 1ª safra'!$E10:INDEX('Milho 1ª safra'!$E10:$Z10,MIN(AY$6-$G$3,22))),0)))))</f>
        <v>0</v>
      </c>
      <c r="AZ12" s="27" t="n">
        <f aca="false">IF(COUNT('Milho 1ª safra'!$E10:$Z10)=0,0,MAX(0,IF((AZ$6-$E$3)&lt;1,0,IFERROR(LOOKUP(2,1/('Milho 1ª safra'!$E10:INDEX('Milho 1ª safra'!$E10:$Z10,MIN(AZ$6-$E$3,22))&lt;&gt;""),'Milho 1ª safra'!$E10:INDEX('Milho 1ª safra'!$E10:$Z10,MIN(AZ$6-$E$3,22))),0))-IF($G$2,0,IF((AZ$6-$G$3)&lt;1,0,IFERROR(LOOKUP(2,1/('Milho 1ª safra'!$E10:INDEX('Milho 1ª safra'!$E10:$Z10,MIN(AZ$6-$G$3,22))&lt;&gt;""),'Milho 1ª safra'!$E10:INDEX('Milho 1ª safra'!$E10:$Z10,MIN(AZ$6-$G$3,22))),0)))))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IF(COUNT('Milho 1ª safra'!$E11:$Z11)&gt;0,N('Milho 1ª safra'!$D11),0)</f>
        <v>0</v>
      </c>
      <c r="E13" s="27" t="n">
        <f aca="false">IF(COUNT('Milho 1ª safra'!$E11:$Z11)=0,0,MAX(0,IF((E$6-$E$3)&lt;1,0,IFERROR(LOOKUP(2,1/('Milho 1ª safra'!$E11:INDEX('Milho 1ª safra'!$E11:$Z11,MIN(E$6-$E$3,22))&lt;&gt;""),'Milho 1ª safra'!$E11:INDEX('Milho 1ª safra'!$E11:$Z11,MIN(E$6-$E$3,22))),0))-IF($G$2,0,IF((E$6-$G$3)&lt;1,0,IFERROR(LOOKUP(2,1/('Milho 1ª safra'!$E11:INDEX('Milho 1ª safra'!$E11:$Z11,MIN(E$6-$G$3,22))&lt;&gt;""),'Milho 1ª safra'!$E11:INDEX('Milho 1ª safra'!$E11:$Z11,MIN(E$6-$G$3,22))),0)))))</f>
        <v>0</v>
      </c>
      <c r="F13" s="27" t="n">
        <f aca="false">IF(COUNT('Milho 1ª safra'!$E11:$Z11)=0,0,MAX(0,IF((F$6-$E$3)&lt;1,0,IFERROR(LOOKUP(2,1/('Milho 1ª safra'!$E11:INDEX('Milho 1ª safra'!$E11:$Z11,MIN(F$6-$E$3,22))&lt;&gt;""),'Milho 1ª safra'!$E11:INDEX('Milho 1ª safra'!$E11:$Z11,MIN(F$6-$E$3,22))),0))-IF($G$2,0,IF((F$6-$G$3)&lt;1,0,IFERROR(LOOKUP(2,1/('Milho 1ª safra'!$E11:INDEX('Milho 1ª safra'!$E11:$Z11,MIN(F$6-$G$3,22))&lt;&gt;""),'Milho 1ª safra'!$E11:INDEX('Milho 1ª safra'!$E11:$Z11,MIN(F$6-$G$3,22))),0)))))</f>
        <v>0</v>
      </c>
      <c r="G13" s="27" t="n">
        <f aca="false">IF(COUNT('Milho 1ª safra'!$E11:$Z11)=0,0,MAX(0,IF((G$6-$E$3)&lt;1,0,IFERROR(LOOKUP(2,1/('Milho 1ª safra'!$E11:INDEX('Milho 1ª safra'!$E11:$Z11,MIN(G$6-$E$3,22))&lt;&gt;""),'Milho 1ª safra'!$E11:INDEX('Milho 1ª safra'!$E11:$Z11,MIN(G$6-$E$3,22))),0))-IF($G$2,0,IF((G$6-$G$3)&lt;1,0,IFERROR(LOOKUP(2,1/('Milho 1ª safra'!$E11:INDEX('Milho 1ª safra'!$E11:$Z11,MIN(G$6-$G$3,22))&lt;&gt;""),'Milho 1ª safra'!$E11:INDEX('Milho 1ª safra'!$E11:$Z11,MIN(G$6-$G$3,22))),0)))))</f>
        <v>0</v>
      </c>
      <c r="H13" s="27" t="n">
        <f aca="false">IF(COUNT('Milho 1ª safra'!$E11:$Z11)=0,0,MAX(0,IF((H$6-$E$3)&lt;1,0,IFERROR(LOOKUP(2,1/('Milho 1ª safra'!$E11:INDEX('Milho 1ª safra'!$E11:$Z11,MIN(H$6-$E$3,22))&lt;&gt;""),'Milho 1ª safra'!$E11:INDEX('Milho 1ª safra'!$E11:$Z11,MIN(H$6-$E$3,22))),0))-IF($G$2,0,IF((H$6-$G$3)&lt;1,0,IFERROR(LOOKUP(2,1/('Milho 1ª safra'!$E11:INDEX('Milho 1ª safra'!$E11:$Z11,MIN(H$6-$G$3,22))&lt;&gt;""),'Milho 1ª safra'!$E11:INDEX('Milho 1ª safra'!$E11:$Z11,MIN(H$6-$G$3,22))),0)))))</f>
        <v>0</v>
      </c>
      <c r="I13" s="27" t="n">
        <f aca="false">IF(COUNT('Milho 1ª safra'!$E11:$Z11)=0,0,MAX(0,IF((I$6-$E$3)&lt;1,0,IFERROR(LOOKUP(2,1/('Milho 1ª safra'!$E11:INDEX('Milho 1ª safra'!$E11:$Z11,MIN(I$6-$E$3,22))&lt;&gt;""),'Milho 1ª safra'!$E11:INDEX('Milho 1ª safra'!$E11:$Z11,MIN(I$6-$E$3,22))),0))-IF($G$2,0,IF((I$6-$G$3)&lt;1,0,IFERROR(LOOKUP(2,1/('Milho 1ª safra'!$E11:INDEX('Milho 1ª safra'!$E11:$Z11,MIN(I$6-$G$3,22))&lt;&gt;""),'Milho 1ª safra'!$E11:INDEX('Milho 1ª safra'!$E11:$Z11,MIN(I$6-$G$3,22))),0)))))</f>
        <v>0</v>
      </c>
      <c r="J13" s="27" t="n">
        <f aca="false">IF(COUNT('Milho 1ª safra'!$E11:$Z11)=0,0,MAX(0,IF((J$6-$E$3)&lt;1,0,IFERROR(LOOKUP(2,1/('Milho 1ª safra'!$E11:INDEX('Milho 1ª safra'!$E11:$Z11,MIN(J$6-$E$3,22))&lt;&gt;""),'Milho 1ª safra'!$E11:INDEX('Milho 1ª safra'!$E11:$Z11,MIN(J$6-$E$3,22))),0))-IF($G$2,0,IF((J$6-$G$3)&lt;1,0,IFERROR(LOOKUP(2,1/('Milho 1ª safra'!$E11:INDEX('Milho 1ª safra'!$E11:$Z11,MIN(J$6-$G$3,22))&lt;&gt;""),'Milho 1ª safra'!$E11:INDEX('Milho 1ª safra'!$E11:$Z11,MIN(J$6-$G$3,22))),0)))))</f>
        <v>0</v>
      </c>
      <c r="K13" s="27" t="n">
        <f aca="false">IF(COUNT('Milho 1ª safra'!$E11:$Z11)=0,0,MAX(0,IF((K$6-$E$3)&lt;1,0,IFERROR(LOOKUP(2,1/('Milho 1ª safra'!$E11:INDEX('Milho 1ª safra'!$E11:$Z11,MIN(K$6-$E$3,22))&lt;&gt;""),'Milho 1ª safra'!$E11:INDEX('Milho 1ª safra'!$E11:$Z11,MIN(K$6-$E$3,22))),0))-IF($G$2,0,IF((K$6-$G$3)&lt;1,0,IFERROR(LOOKUP(2,1/('Milho 1ª safra'!$E11:INDEX('Milho 1ª safra'!$E11:$Z11,MIN(K$6-$G$3,22))&lt;&gt;""),'Milho 1ª safra'!$E11:INDEX('Milho 1ª safra'!$E11:$Z11,MIN(K$6-$G$3,22))),0)))))</f>
        <v>0</v>
      </c>
      <c r="L13" s="27" t="n">
        <f aca="false">IF(COUNT('Milho 1ª safra'!$E11:$Z11)=0,0,MAX(0,IF((L$6-$E$3)&lt;1,0,IFERROR(LOOKUP(2,1/('Milho 1ª safra'!$E11:INDEX('Milho 1ª safra'!$E11:$Z11,MIN(L$6-$E$3,22))&lt;&gt;""),'Milho 1ª safra'!$E11:INDEX('Milho 1ª safra'!$E11:$Z11,MIN(L$6-$E$3,22))),0))-IF($G$2,0,IF((L$6-$G$3)&lt;1,0,IFERROR(LOOKUP(2,1/('Milho 1ª safra'!$E11:INDEX('Milho 1ª safra'!$E11:$Z11,MIN(L$6-$G$3,22))&lt;&gt;""),'Milho 1ª safra'!$E11:INDEX('Milho 1ª safra'!$E11:$Z11,MIN(L$6-$G$3,22))),0)))))</f>
        <v>0</v>
      </c>
      <c r="M13" s="27" t="n">
        <f aca="false">IF(COUNT('Milho 1ª safra'!$E11:$Z11)=0,0,MAX(0,IF((M$6-$E$3)&lt;1,0,IFERROR(LOOKUP(2,1/('Milho 1ª safra'!$E11:INDEX('Milho 1ª safra'!$E11:$Z11,MIN(M$6-$E$3,22))&lt;&gt;""),'Milho 1ª safra'!$E11:INDEX('Milho 1ª safra'!$E11:$Z11,MIN(M$6-$E$3,22))),0))-IF($G$2,0,IF((M$6-$G$3)&lt;1,0,IFERROR(LOOKUP(2,1/('Milho 1ª safra'!$E11:INDEX('Milho 1ª safra'!$E11:$Z11,MIN(M$6-$G$3,22))&lt;&gt;""),'Milho 1ª safra'!$E11:INDEX('Milho 1ª safra'!$E11:$Z11,MIN(M$6-$G$3,22))),0)))))</f>
        <v>0</v>
      </c>
      <c r="N13" s="27" t="n">
        <f aca="false">IF(COUNT('Milho 1ª safra'!$E11:$Z11)=0,0,MAX(0,IF((N$6-$E$3)&lt;1,0,IFERROR(LOOKUP(2,1/('Milho 1ª safra'!$E11:INDEX('Milho 1ª safra'!$E11:$Z11,MIN(N$6-$E$3,22))&lt;&gt;""),'Milho 1ª safra'!$E11:INDEX('Milho 1ª safra'!$E11:$Z11,MIN(N$6-$E$3,22))),0))-IF($G$2,0,IF((N$6-$G$3)&lt;1,0,IFERROR(LOOKUP(2,1/('Milho 1ª safra'!$E11:INDEX('Milho 1ª safra'!$E11:$Z11,MIN(N$6-$G$3,22))&lt;&gt;""),'Milho 1ª safra'!$E11:INDEX('Milho 1ª safra'!$E11:$Z11,MIN(N$6-$G$3,22))),0)))))</f>
        <v>0</v>
      </c>
      <c r="O13" s="27" t="n">
        <f aca="false">IF(COUNT('Milho 1ª safra'!$E11:$Z11)=0,0,MAX(0,IF((O$6-$E$3)&lt;1,0,IFERROR(LOOKUP(2,1/('Milho 1ª safra'!$E11:INDEX('Milho 1ª safra'!$E11:$Z11,MIN(O$6-$E$3,22))&lt;&gt;""),'Milho 1ª safra'!$E11:INDEX('Milho 1ª safra'!$E11:$Z11,MIN(O$6-$E$3,22))),0))-IF($G$2,0,IF((O$6-$G$3)&lt;1,0,IFERROR(LOOKUP(2,1/('Milho 1ª safra'!$E11:INDEX('Milho 1ª safra'!$E11:$Z11,MIN(O$6-$G$3,22))&lt;&gt;""),'Milho 1ª safra'!$E11:INDEX('Milho 1ª safra'!$E11:$Z11,MIN(O$6-$G$3,22))),0)))))</f>
        <v>0</v>
      </c>
      <c r="P13" s="27" t="n">
        <f aca="false">IF(COUNT('Milho 1ª safra'!$E11:$Z11)=0,0,MAX(0,IF((P$6-$E$3)&lt;1,0,IFERROR(LOOKUP(2,1/('Milho 1ª safra'!$E11:INDEX('Milho 1ª safra'!$E11:$Z11,MIN(P$6-$E$3,22))&lt;&gt;""),'Milho 1ª safra'!$E11:INDEX('Milho 1ª safra'!$E11:$Z11,MIN(P$6-$E$3,22))),0))-IF($G$2,0,IF((P$6-$G$3)&lt;1,0,IFERROR(LOOKUP(2,1/('Milho 1ª safra'!$E11:INDEX('Milho 1ª safra'!$E11:$Z11,MIN(P$6-$G$3,22))&lt;&gt;""),'Milho 1ª safra'!$E11:INDEX('Milho 1ª safra'!$E11:$Z11,MIN(P$6-$G$3,22))),0)))))</f>
        <v>0</v>
      </c>
      <c r="Q13" s="27" t="n">
        <f aca="false">IF(COUNT('Milho 1ª safra'!$E11:$Z11)=0,0,MAX(0,IF((Q$6-$E$3)&lt;1,0,IFERROR(LOOKUP(2,1/('Milho 1ª safra'!$E11:INDEX('Milho 1ª safra'!$E11:$Z11,MIN(Q$6-$E$3,22))&lt;&gt;""),'Milho 1ª safra'!$E11:INDEX('Milho 1ª safra'!$E11:$Z11,MIN(Q$6-$E$3,22))),0))-IF($G$2,0,IF((Q$6-$G$3)&lt;1,0,IFERROR(LOOKUP(2,1/('Milho 1ª safra'!$E11:INDEX('Milho 1ª safra'!$E11:$Z11,MIN(Q$6-$G$3,22))&lt;&gt;""),'Milho 1ª safra'!$E11:INDEX('Milho 1ª safra'!$E11:$Z11,MIN(Q$6-$G$3,22))),0)))))</f>
        <v>0</v>
      </c>
      <c r="R13" s="27" t="n">
        <f aca="false">IF(COUNT('Milho 1ª safra'!$E11:$Z11)=0,0,MAX(0,IF((R$6-$E$3)&lt;1,0,IFERROR(LOOKUP(2,1/('Milho 1ª safra'!$E11:INDEX('Milho 1ª safra'!$E11:$Z11,MIN(R$6-$E$3,22))&lt;&gt;""),'Milho 1ª safra'!$E11:INDEX('Milho 1ª safra'!$E11:$Z11,MIN(R$6-$E$3,22))),0))-IF($G$2,0,IF((R$6-$G$3)&lt;1,0,IFERROR(LOOKUP(2,1/('Milho 1ª safra'!$E11:INDEX('Milho 1ª safra'!$E11:$Z11,MIN(R$6-$G$3,22))&lt;&gt;""),'Milho 1ª safra'!$E11:INDEX('Milho 1ª safra'!$E11:$Z11,MIN(R$6-$G$3,22))),0)))))</f>
        <v>0</v>
      </c>
      <c r="S13" s="27" t="n">
        <f aca="false">IF(COUNT('Milho 1ª safra'!$E11:$Z11)=0,0,MAX(0,IF((S$6-$E$3)&lt;1,0,IFERROR(LOOKUP(2,1/('Milho 1ª safra'!$E11:INDEX('Milho 1ª safra'!$E11:$Z11,MIN(S$6-$E$3,22))&lt;&gt;""),'Milho 1ª safra'!$E11:INDEX('Milho 1ª safra'!$E11:$Z11,MIN(S$6-$E$3,22))),0))-IF($G$2,0,IF((S$6-$G$3)&lt;1,0,IFERROR(LOOKUP(2,1/('Milho 1ª safra'!$E11:INDEX('Milho 1ª safra'!$E11:$Z11,MIN(S$6-$G$3,22))&lt;&gt;""),'Milho 1ª safra'!$E11:INDEX('Milho 1ª safra'!$E11:$Z11,MIN(S$6-$G$3,22))),0)))))</f>
        <v>0</v>
      </c>
      <c r="T13" s="27" t="n">
        <f aca="false">IF(COUNT('Milho 1ª safra'!$E11:$Z11)=0,0,MAX(0,IF((T$6-$E$3)&lt;1,0,IFERROR(LOOKUP(2,1/('Milho 1ª safra'!$E11:INDEX('Milho 1ª safra'!$E11:$Z11,MIN(T$6-$E$3,22))&lt;&gt;""),'Milho 1ª safra'!$E11:INDEX('Milho 1ª safra'!$E11:$Z11,MIN(T$6-$E$3,22))),0))-IF($G$2,0,IF((T$6-$G$3)&lt;1,0,IFERROR(LOOKUP(2,1/('Milho 1ª safra'!$E11:INDEX('Milho 1ª safra'!$E11:$Z11,MIN(T$6-$G$3,22))&lt;&gt;""),'Milho 1ª safra'!$E11:INDEX('Milho 1ª safra'!$E11:$Z11,MIN(T$6-$G$3,22))),0)))))</f>
        <v>0</v>
      </c>
      <c r="U13" s="27" t="n">
        <f aca="false">IF(COUNT('Milho 1ª safra'!$E11:$Z11)=0,0,MAX(0,IF((U$6-$E$3)&lt;1,0,IFERROR(LOOKUP(2,1/('Milho 1ª safra'!$E11:INDEX('Milho 1ª safra'!$E11:$Z11,MIN(U$6-$E$3,22))&lt;&gt;""),'Milho 1ª safra'!$E11:INDEX('Milho 1ª safra'!$E11:$Z11,MIN(U$6-$E$3,22))),0))-IF($G$2,0,IF((U$6-$G$3)&lt;1,0,IFERROR(LOOKUP(2,1/('Milho 1ª safra'!$E11:INDEX('Milho 1ª safra'!$E11:$Z11,MIN(U$6-$G$3,22))&lt;&gt;""),'Milho 1ª safra'!$E11:INDEX('Milho 1ª safra'!$E11:$Z11,MIN(U$6-$G$3,22))),0)))))</f>
        <v>0</v>
      </c>
      <c r="V13" s="27" t="n">
        <f aca="false">IF(COUNT('Milho 1ª safra'!$E11:$Z11)=0,0,MAX(0,IF((V$6-$E$3)&lt;1,0,IFERROR(LOOKUP(2,1/('Milho 1ª safra'!$E11:INDEX('Milho 1ª safra'!$E11:$Z11,MIN(V$6-$E$3,22))&lt;&gt;""),'Milho 1ª safra'!$E11:INDEX('Milho 1ª safra'!$E11:$Z11,MIN(V$6-$E$3,22))),0))-IF($G$2,0,IF((V$6-$G$3)&lt;1,0,IFERROR(LOOKUP(2,1/('Milho 1ª safra'!$E11:INDEX('Milho 1ª safra'!$E11:$Z11,MIN(V$6-$G$3,22))&lt;&gt;""),'Milho 1ª safra'!$E11:INDEX('Milho 1ª safra'!$E11:$Z11,MIN(V$6-$G$3,22))),0)))))</f>
        <v>0</v>
      </c>
      <c r="W13" s="27" t="n">
        <f aca="false">IF(COUNT('Milho 1ª safra'!$E11:$Z11)=0,0,MAX(0,IF((W$6-$E$3)&lt;1,0,IFERROR(LOOKUP(2,1/('Milho 1ª safra'!$E11:INDEX('Milho 1ª safra'!$E11:$Z11,MIN(W$6-$E$3,22))&lt;&gt;""),'Milho 1ª safra'!$E11:INDEX('Milho 1ª safra'!$E11:$Z11,MIN(W$6-$E$3,22))),0))-IF($G$2,0,IF((W$6-$G$3)&lt;1,0,IFERROR(LOOKUP(2,1/('Milho 1ª safra'!$E11:INDEX('Milho 1ª safra'!$E11:$Z11,MIN(W$6-$G$3,22))&lt;&gt;""),'Milho 1ª safra'!$E11:INDEX('Milho 1ª safra'!$E11:$Z11,MIN(W$6-$G$3,22))),0)))))</f>
        <v>0</v>
      </c>
      <c r="X13" s="27" t="n">
        <f aca="false">IF(COUNT('Milho 1ª safra'!$E11:$Z11)=0,0,MAX(0,IF((X$6-$E$3)&lt;1,0,IFERROR(LOOKUP(2,1/('Milho 1ª safra'!$E11:INDEX('Milho 1ª safra'!$E11:$Z11,MIN(X$6-$E$3,22))&lt;&gt;""),'Milho 1ª safra'!$E11:INDEX('Milho 1ª safra'!$E11:$Z11,MIN(X$6-$E$3,22))),0))-IF($G$2,0,IF((X$6-$G$3)&lt;1,0,IFERROR(LOOKUP(2,1/('Milho 1ª safra'!$E11:INDEX('Milho 1ª safra'!$E11:$Z11,MIN(X$6-$G$3,22))&lt;&gt;""),'Milho 1ª safra'!$E11:INDEX('Milho 1ª safra'!$E11:$Z11,MIN(X$6-$G$3,22))),0)))))</f>
        <v>0</v>
      </c>
      <c r="Y13" s="27" t="n">
        <f aca="false">IF(COUNT('Milho 1ª safra'!$E11:$Z11)=0,0,MAX(0,IF((Y$6-$E$3)&lt;1,0,IFERROR(LOOKUP(2,1/('Milho 1ª safra'!$E11:INDEX('Milho 1ª safra'!$E11:$Z11,MIN(Y$6-$E$3,22))&lt;&gt;""),'Milho 1ª safra'!$E11:INDEX('Milho 1ª safra'!$E11:$Z11,MIN(Y$6-$E$3,22))),0))-IF($G$2,0,IF((Y$6-$G$3)&lt;1,0,IFERROR(LOOKUP(2,1/('Milho 1ª safra'!$E11:INDEX('Milho 1ª safra'!$E11:$Z11,MIN(Y$6-$G$3,22))&lt;&gt;""),'Milho 1ª safra'!$E11:INDEX('Milho 1ª safra'!$E11:$Z11,MIN(Y$6-$G$3,22))),0)))))</f>
        <v>0</v>
      </c>
      <c r="Z13" s="27" t="n">
        <f aca="false">IF(COUNT('Milho 1ª safra'!$E11:$Z11)=0,0,MAX(0,IF((Z$6-$E$3)&lt;1,0,IFERROR(LOOKUP(2,1/('Milho 1ª safra'!$E11:INDEX('Milho 1ª safra'!$E11:$Z11,MIN(Z$6-$E$3,22))&lt;&gt;""),'Milho 1ª safra'!$E11:INDEX('Milho 1ª safra'!$E11:$Z11,MIN(Z$6-$E$3,22))),0))-IF($G$2,0,IF((Z$6-$G$3)&lt;1,0,IFERROR(LOOKUP(2,1/('Milho 1ª safra'!$E11:INDEX('Milho 1ª safra'!$E11:$Z11,MIN(Z$6-$G$3,22))&lt;&gt;""),'Milho 1ª safra'!$E11:INDEX('Milho 1ª safra'!$E11:$Z11,MIN(Z$6-$G$3,22))),0)))))</f>
        <v>0</v>
      </c>
      <c r="AA13" s="27" t="n">
        <f aca="false">IF(COUNT('Milho 1ª safra'!$E11:$Z11)=0,0,MAX(0,IF((AA$6-$E$3)&lt;1,0,IFERROR(LOOKUP(2,1/('Milho 1ª safra'!$E11:INDEX('Milho 1ª safra'!$E11:$Z11,MIN(AA$6-$E$3,22))&lt;&gt;""),'Milho 1ª safra'!$E11:INDEX('Milho 1ª safra'!$E11:$Z11,MIN(AA$6-$E$3,22))),0))-IF($G$2,0,IF((AA$6-$G$3)&lt;1,0,IFERROR(LOOKUP(2,1/('Milho 1ª safra'!$E11:INDEX('Milho 1ª safra'!$E11:$Z11,MIN(AA$6-$G$3,22))&lt;&gt;""),'Milho 1ª safra'!$E11:INDEX('Milho 1ª safra'!$E11:$Z11,MIN(AA$6-$G$3,22))),0)))))</f>
        <v>0</v>
      </c>
      <c r="AB13" s="27" t="n">
        <f aca="false">IF(COUNT('Milho 1ª safra'!$E11:$Z11)=0,0,MAX(0,IF((AB$6-$E$3)&lt;1,0,IFERROR(LOOKUP(2,1/('Milho 1ª safra'!$E11:INDEX('Milho 1ª safra'!$E11:$Z11,MIN(AB$6-$E$3,22))&lt;&gt;""),'Milho 1ª safra'!$E11:INDEX('Milho 1ª safra'!$E11:$Z11,MIN(AB$6-$E$3,22))),0))-IF($G$2,0,IF((AB$6-$G$3)&lt;1,0,IFERROR(LOOKUP(2,1/('Milho 1ª safra'!$E11:INDEX('Milho 1ª safra'!$E11:$Z11,MIN(AB$6-$G$3,22))&lt;&gt;""),'Milho 1ª safra'!$E11:INDEX('Milho 1ª safra'!$E11:$Z11,MIN(AB$6-$G$3,22))),0)))))</f>
        <v>0</v>
      </c>
      <c r="AC13" s="27" t="n">
        <f aca="false">IF(COUNT('Milho 1ª safra'!$E11:$Z11)=0,0,MAX(0,IF((AC$6-$E$3)&lt;1,0,IFERROR(LOOKUP(2,1/('Milho 1ª safra'!$E11:INDEX('Milho 1ª safra'!$E11:$Z11,MIN(AC$6-$E$3,22))&lt;&gt;""),'Milho 1ª safra'!$E11:INDEX('Milho 1ª safra'!$E11:$Z11,MIN(AC$6-$E$3,22))),0))-IF($G$2,0,IF((AC$6-$G$3)&lt;1,0,IFERROR(LOOKUP(2,1/('Milho 1ª safra'!$E11:INDEX('Milho 1ª safra'!$E11:$Z11,MIN(AC$6-$G$3,22))&lt;&gt;""),'Milho 1ª safra'!$E11:INDEX('Milho 1ª safra'!$E11:$Z11,MIN(AC$6-$G$3,22))),0)))))</f>
        <v>0</v>
      </c>
      <c r="AD13" s="27" t="n">
        <f aca="false">IF(COUNT('Milho 1ª safra'!$E11:$Z11)=0,0,MAX(0,IF((AD$6-$E$3)&lt;1,0,IFERROR(LOOKUP(2,1/('Milho 1ª safra'!$E11:INDEX('Milho 1ª safra'!$E11:$Z11,MIN(AD$6-$E$3,22))&lt;&gt;""),'Milho 1ª safra'!$E11:INDEX('Milho 1ª safra'!$E11:$Z11,MIN(AD$6-$E$3,22))),0))-IF($G$2,0,IF((AD$6-$G$3)&lt;1,0,IFERROR(LOOKUP(2,1/('Milho 1ª safra'!$E11:INDEX('Milho 1ª safra'!$E11:$Z11,MIN(AD$6-$G$3,22))&lt;&gt;""),'Milho 1ª safra'!$E11:INDEX('Milho 1ª safra'!$E11:$Z11,MIN(AD$6-$G$3,22))),0)))))</f>
        <v>0</v>
      </c>
      <c r="AE13" s="27" t="n">
        <f aca="false">IF(COUNT('Milho 1ª safra'!$E11:$Z11)=0,0,MAX(0,IF((AE$6-$E$3)&lt;1,0,IFERROR(LOOKUP(2,1/('Milho 1ª safra'!$E11:INDEX('Milho 1ª safra'!$E11:$Z11,MIN(AE$6-$E$3,22))&lt;&gt;""),'Milho 1ª safra'!$E11:INDEX('Milho 1ª safra'!$E11:$Z11,MIN(AE$6-$E$3,22))),0))-IF($G$2,0,IF((AE$6-$G$3)&lt;1,0,IFERROR(LOOKUP(2,1/('Milho 1ª safra'!$E11:INDEX('Milho 1ª safra'!$E11:$Z11,MIN(AE$6-$G$3,22))&lt;&gt;""),'Milho 1ª safra'!$E11:INDEX('Milho 1ª safra'!$E11:$Z11,MIN(AE$6-$G$3,22))),0)))))</f>
        <v>0</v>
      </c>
      <c r="AF13" s="27" t="n">
        <f aca="false">IF(COUNT('Milho 1ª safra'!$E11:$Z11)=0,0,MAX(0,IF((AF$6-$E$3)&lt;1,0,IFERROR(LOOKUP(2,1/('Milho 1ª safra'!$E11:INDEX('Milho 1ª safra'!$E11:$Z11,MIN(AF$6-$E$3,22))&lt;&gt;""),'Milho 1ª safra'!$E11:INDEX('Milho 1ª safra'!$E11:$Z11,MIN(AF$6-$E$3,22))),0))-IF($G$2,0,IF((AF$6-$G$3)&lt;1,0,IFERROR(LOOKUP(2,1/('Milho 1ª safra'!$E11:INDEX('Milho 1ª safra'!$E11:$Z11,MIN(AF$6-$G$3,22))&lt;&gt;""),'Milho 1ª safra'!$E11:INDEX('Milho 1ª safra'!$E11:$Z11,MIN(AF$6-$G$3,22))),0)))))</f>
        <v>0</v>
      </c>
      <c r="AG13" s="27" t="n">
        <f aca="false">IF(COUNT('Milho 1ª safra'!$E11:$Z11)=0,0,MAX(0,IF((AG$6-$E$3)&lt;1,0,IFERROR(LOOKUP(2,1/('Milho 1ª safra'!$E11:INDEX('Milho 1ª safra'!$E11:$Z11,MIN(AG$6-$E$3,22))&lt;&gt;""),'Milho 1ª safra'!$E11:INDEX('Milho 1ª safra'!$E11:$Z11,MIN(AG$6-$E$3,22))),0))-IF($G$2,0,IF((AG$6-$G$3)&lt;1,0,IFERROR(LOOKUP(2,1/('Milho 1ª safra'!$E11:INDEX('Milho 1ª safra'!$E11:$Z11,MIN(AG$6-$G$3,22))&lt;&gt;""),'Milho 1ª safra'!$E11:INDEX('Milho 1ª safra'!$E11:$Z11,MIN(AG$6-$G$3,22))),0)))))</f>
        <v>0</v>
      </c>
      <c r="AH13" s="27" t="n">
        <f aca="false">IF(COUNT('Milho 1ª safra'!$E11:$Z11)=0,0,MAX(0,IF((AH$6-$E$3)&lt;1,0,IFERROR(LOOKUP(2,1/('Milho 1ª safra'!$E11:INDEX('Milho 1ª safra'!$E11:$Z11,MIN(AH$6-$E$3,22))&lt;&gt;""),'Milho 1ª safra'!$E11:INDEX('Milho 1ª safra'!$E11:$Z11,MIN(AH$6-$E$3,22))),0))-IF($G$2,0,IF((AH$6-$G$3)&lt;1,0,IFERROR(LOOKUP(2,1/('Milho 1ª safra'!$E11:INDEX('Milho 1ª safra'!$E11:$Z11,MIN(AH$6-$G$3,22))&lt;&gt;""),'Milho 1ª safra'!$E11:INDEX('Milho 1ª safra'!$E11:$Z11,MIN(AH$6-$G$3,22))),0)))))</f>
        <v>0</v>
      </c>
      <c r="AI13" s="27" t="n">
        <f aca="false">IF(COUNT('Milho 1ª safra'!$E11:$Z11)=0,0,MAX(0,IF((AI$6-$E$3)&lt;1,0,IFERROR(LOOKUP(2,1/('Milho 1ª safra'!$E11:INDEX('Milho 1ª safra'!$E11:$Z11,MIN(AI$6-$E$3,22))&lt;&gt;""),'Milho 1ª safra'!$E11:INDEX('Milho 1ª safra'!$E11:$Z11,MIN(AI$6-$E$3,22))),0))-IF($G$2,0,IF((AI$6-$G$3)&lt;1,0,IFERROR(LOOKUP(2,1/('Milho 1ª safra'!$E11:INDEX('Milho 1ª safra'!$E11:$Z11,MIN(AI$6-$G$3,22))&lt;&gt;""),'Milho 1ª safra'!$E11:INDEX('Milho 1ª safra'!$E11:$Z11,MIN(AI$6-$G$3,22))),0)))))</f>
        <v>0</v>
      </c>
      <c r="AJ13" s="27" t="n">
        <f aca="false">IF(COUNT('Milho 1ª safra'!$E11:$Z11)=0,0,MAX(0,IF((AJ$6-$E$3)&lt;1,0,IFERROR(LOOKUP(2,1/('Milho 1ª safra'!$E11:INDEX('Milho 1ª safra'!$E11:$Z11,MIN(AJ$6-$E$3,22))&lt;&gt;""),'Milho 1ª safra'!$E11:INDEX('Milho 1ª safra'!$E11:$Z11,MIN(AJ$6-$E$3,22))),0))-IF($G$2,0,IF((AJ$6-$G$3)&lt;1,0,IFERROR(LOOKUP(2,1/('Milho 1ª safra'!$E11:INDEX('Milho 1ª safra'!$E11:$Z11,MIN(AJ$6-$G$3,22))&lt;&gt;""),'Milho 1ª safra'!$E11:INDEX('Milho 1ª safra'!$E11:$Z11,MIN(AJ$6-$G$3,22))),0)))))</f>
        <v>0</v>
      </c>
      <c r="AK13" s="27" t="n">
        <f aca="false">IF(COUNT('Milho 1ª safra'!$E11:$Z11)=0,0,MAX(0,IF((AK$6-$E$3)&lt;1,0,IFERROR(LOOKUP(2,1/('Milho 1ª safra'!$E11:INDEX('Milho 1ª safra'!$E11:$Z11,MIN(AK$6-$E$3,22))&lt;&gt;""),'Milho 1ª safra'!$E11:INDEX('Milho 1ª safra'!$E11:$Z11,MIN(AK$6-$E$3,22))),0))-IF($G$2,0,IF((AK$6-$G$3)&lt;1,0,IFERROR(LOOKUP(2,1/('Milho 1ª safra'!$E11:INDEX('Milho 1ª safra'!$E11:$Z11,MIN(AK$6-$G$3,22))&lt;&gt;""),'Milho 1ª safra'!$E11:INDEX('Milho 1ª safra'!$E11:$Z11,MIN(AK$6-$G$3,22))),0)))))</f>
        <v>0</v>
      </c>
      <c r="AL13" s="27" t="n">
        <f aca="false">IF(COUNT('Milho 1ª safra'!$E11:$Z11)=0,0,MAX(0,IF((AL$6-$E$3)&lt;1,0,IFERROR(LOOKUP(2,1/('Milho 1ª safra'!$E11:INDEX('Milho 1ª safra'!$E11:$Z11,MIN(AL$6-$E$3,22))&lt;&gt;""),'Milho 1ª safra'!$E11:INDEX('Milho 1ª safra'!$E11:$Z11,MIN(AL$6-$E$3,22))),0))-IF($G$2,0,IF((AL$6-$G$3)&lt;1,0,IFERROR(LOOKUP(2,1/('Milho 1ª safra'!$E11:INDEX('Milho 1ª safra'!$E11:$Z11,MIN(AL$6-$G$3,22))&lt;&gt;""),'Milho 1ª safra'!$E11:INDEX('Milho 1ª safra'!$E11:$Z11,MIN(AL$6-$G$3,22))),0)))))</f>
        <v>0</v>
      </c>
      <c r="AM13" s="27" t="n">
        <f aca="false">IF(COUNT('Milho 1ª safra'!$E11:$Z11)=0,0,MAX(0,IF((AM$6-$E$3)&lt;1,0,IFERROR(LOOKUP(2,1/('Milho 1ª safra'!$E11:INDEX('Milho 1ª safra'!$E11:$Z11,MIN(AM$6-$E$3,22))&lt;&gt;""),'Milho 1ª safra'!$E11:INDEX('Milho 1ª safra'!$E11:$Z11,MIN(AM$6-$E$3,22))),0))-IF($G$2,0,IF((AM$6-$G$3)&lt;1,0,IFERROR(LOOKUP(2,1/('Milho 1ª safra'!$E11:INDEX('Milho 1ª safra'!$E11:$Z11,MIN(AM$6-$G$3,22))&lt;&gt;""),'Milho 1ª safra'!$E11:INDEX('Milho 1ª safra'!$E11:$Z11,MIN(AM$6-$G$3,22))),0)))))</f>
        <v>0</v>
      </c>
      <c r="AN13" s="27" t="n">
        <f aca="false">IF(COUNT('Milho 1ª safra'!$E11:$Z11)=0,0,MAX(0,IF((AN$6-$E$3)&lt;1,0,IFERROR(LOOKUP(2,1/('Milho 1ª safra'!$E11:INDEX('Milho 1ª safra'!$E11:$Z11,MIN(AN$6-$E$3,22))&lt;&gt;""),'Milho 1ª safra'!$E11:INDEX('Milho 1ª safra'!$E11:$Z11,MIN(AN$6-$E$3,22))),0))-IF($G$2,0,IF((AN$6-$G$3)&lt;1,0,IFERROR(LOOKUP(2,1/('Milho 1ª safra'!$E11:INDEX('Milho 1ª safra'!$E11:$Z11,MIN(AN$6-$G$3,22))&lt;&gt;""),'Milho 1ª safra'!$E11:INDEX('Milho 1ª safra'!$E11:$Z11,MIN(AN$6-$G$3,22))),0)))))</f>
        <v>0</v>
      </c>
      <c r="AO13" s="27" t="n">
        <f aca="false">IF(COUNT('Milho 1ª safra'!$E11:$Z11)=0,0,MAX(0,IF((AO$6-$E$3)&lt;1,0,IFERROR(LOOKUP(2,1/('Milho 1ª safra'!$E11:INDEX('Milho 1ª safra'!$E11:$Z11,MIN(AO$6-$E$3,22))&lt;&gt;""),'Milho 1ª safra'!$E11:INDEX('Milho 1ª safra'!$E11:$Z11,MIN(AO$6-$E$3,22))),0))-IF($G$2,0,IF((AO$6-$G$3)&lt;1,0,IFERROR(LOOKUP(2,1/('Milho 1ª safra'!$E11:INDEX('Milho 1ª safra'!$E11:$Z11,MIN(AO$6-$G$3,22))&lt;&gt;""),'Milho 1ª safra'!$E11:INDEX('Milho 1ª safra'!$E11:$Z11,MIN(AO$6-$G$3,22))),0)))))</f>
        <v>0</v>
      </c>
      <c r="AP13" s="27" t="n">
        <f aca="false">IF(COUNT('Milho 1ª safra'!$E11:$Z11)=0,0,MAX(0,IF((AP$6-$E$3)&lt;1,0,IFERROR(LOOKUP(2,1/('Milho 1ª safra'!$E11:INDEX('Milho 1ª safra'!$E11:$Z11,MIN(AP$6-$E$3,22))&lt;&gt;""),'Milho 1ª safra'!$E11:INDEX('Milho 1ª safra'!$E11:$Z11,MIN(AP$6-$E$3,22))),0))-IF($G$2,0,IF((AP$6-$G$3)&lt;1,0,IFERROR(LOOKUP(2,1/('Milho 1ª safra'!$E11:INDEX('Milho 1ª safra'!$E11:$Z11,MIN(AP$6-$G$3,22))&lt;&gt;""),'Milho 1ª safra'!$E11:INDEX('Milho 1ª safra'!$E11:$Z11,MIN(AP$6-$G$3,22))),0)))))</f>
        <v>0</v>
      </c>
      <c r="AQ13" s="27" t="n">
        <f aca="false">IF(COUNT('Milho 1ª safra'!$E11:$Z11)=0,0,MAX(0,IF((AQ$6-$E$3)&lt;1,0,IFERROR(LOOKUP(2,1/('Milho 1ª safra'!$E11:INDEX('Milho 1ª safra'!$E11:$Z11,MIN(AQ$6-$E$3,22))&lt;&gt;""),'Milho 1ª safra'!$E11:INDEX('Milho 1ª safra'!$E11:$Z11,MIN(AQ$6-$E$3,22))),0))-IF($G$2,0,IF((AQ$6-$G$3)&lt;1,0,IFERROR(LOOKUP(2,1/('Milho 1ª safra'!$E11:INDEX('Milho 1ª safra'!$E11:$Z11,MIN(AQ$6-$G$3,22))&lt;&gt;""),'Milho 1ª safra'!$E11:INDEX('Milho 1ª safra'!$E11:$Z11,MIN(AQ$6-$G$3,22))),0)))))</f>
        <v>0</v>
      </c>
      <c r="AR13" s="27" t="n">
        <f aca="false">IF(COUNT('Milho 1ª safra'!$E11:$Z11)=0,0,MAX(0,IF((AR$6-$E$3)&lt;1,0,IFERROR(LOOKUP(2,1/('Milho 1ª safra'!$E11:INDEX('Milho 1ª safra'!$E11:$Z11,MIN(AR$6-$E$3,22))&lt;&gt;""),'Milho 1ª safra'!$E11:INDEX('Milho 1ª safra'!$E11:$Z11,MIN(AR$6-$E$3,22))),0))-IF($G$2,0,IF((AR$6-$G$3)&lt;1,0,IFERROR(LOOKUP(2,1/('Milho 1ª safra'!$E11:INDEX('Milho 1ª safra'!$E11:$Z11,MIN(AR$6-$G$3,22))&lt;&gt;""),'Milho 1ª safra'!$E11:INDEX('Milho 1ª safra'!$E11:$Z11,MIN(AR$6-$G$3,22))),0)))))</f>
        <v>0</v>
      </c>
      <c r="AS13" s="27" t="n">
        <f aca="false">IF(COUNT('Milho 1ª safra'!$E11:$Z11)=0,0,MAX(0,IF((AS$6-$E$3)&lt;1,0,IFERROR(LOOKUP(2,1/('Milho 1ª safra'!$E11:INDEX('Milho 1ª safra'!$E11:$Z11,MIN(AS$6-$E$3,22))&lt;&gt;""),'Milho 1ª safra'!$E11:INDEX('Milho 1ª safra'!$E11:$Z11,MIN(AS$6-$E$3,22))),0))-IF($G$2,0,IF((AS$6-$G$3)&lt;1,0,IFERROR(LOOKUP(2,1/('Milho 1ª safra'!$E11:INDEX('Milho 1ª safra'!$E11:$Z11,MIN(AS$6-$G$3,22))&lt;&gt;""),'Milho 1ª safra'!$E11:INDEX('Milho 1ª safra'!$E11:$Z11,MIN(AS$6-$G$3,22))),0)))))</f>
        <v>0</v>
      </c>
      <c r="AT13" s="27" t="n">
        <f aca="false">IF(COUNT('Milho 1ª safra'!$E11:$Z11)=0,0,MAX(0,IF((AT$6-$E$3)&lt;1,0,IFERROR(LOOKUP(2,1/('Milho 1ª safra'!$E11:INDEX('Milho 1ª safra'!$E11:$Z11,MIN(AT$6-$E$3,22))&lt;&gt;""),'Milho 1ª safra'!$E11:INDEX('Milho 1ª safra'!$E11:$Z11,MIN(AT$6-$E$3,22))),0))-IF($G$2,0,IF((AT$6-$G$3)&lt;1,0,IFERROR(LOOKUP(2,1/('Milho 1ª safra'!$E11:INDEX('Milho 1ª safra'!$E11:$Z11,MIN(AT$6-$G$3,22))&lt;&gt;""),'Milho 1ª safra'!$E11:INDEX('Milho 1ª safra'!$E11:$Z11,MIN(AT$6-$G$3,22))),0)))))</f>
        <v>0</v>
      </c>
      <c r="AU13" s="27" t="n">
        <f aca="false">IF(COUNT('Milho 1ª safra'!$E11:$Z11)=0,0,MAX(0,IF((AU$6-$E$3)&lt;1,0,IFERROR(LOOKUP(2,1/('Milho 1ª safra'!$E11:INDEX('Milho 1ª safra'!$E11:$Z11,MIN(AU$6-$E$3,22))&lt;&gt;""),'Milho 1ª safra'!$E11:INDEX('Milho 1ª safra'!$E11:$Z11,MIN(AU$6-$E$3,22))),0))-IF($G$2,0,IF((AU$6-$G$3)&lt;1,0,IFERROR(LOOKUP(2,1/('Milho 1ª safra'!$E11:INDEX('Milho 1ª safra'!$E11:$Z11,MIN(AU$6-$G$3,22))&lt;&gt;""),'Milho 1ª safra'!$E11:INDEX('Milho 1ª safra'!$E11:$Z11,MIN(AU$6-$G$3,22))),0)))))</f>
        <v>0</v>
      </c>
      <c r="AV13" s="27" t="n">
        <f aca="false">IF(COUNT('Milho 1ª safra'!$E11:$Z11)=0,0,MAX(0,IF((AV$6-$E$3)&lt;1,0,IFERROR(LOOKUP(2,1/('Milho 1ª safra'!$E11:INDEX('Milho 1ª safra'!$E11:$Z11,MIN(AV$6-$E$3,22))&lt;&gt;""),'Milho 1ª safra'!$E11:INDEX('Milho 1ª safra'!$E11:$Z11,MIN(AV$6-$E$3,22))),0))-IF($G$2,0,IF((AV$6-$G$3)&lt;1,0,IFERROR(LOOKUP(2,1/('Milho 1ª safra'!$E11:INDEX('Milho 1ª safra'!$E11:$Z11,MIN(AV$6-$G$3,22))&lt;&gt;""),'Milho 1ª safra'!$E11:INDEX('Milho 1ª safra'!$E11:$Z11,MIN(AV$6-$G$3,22))),0)))))</f>
        <v>0</v>
      </c>
      <c r="AW13" s="27" t="n">
        <f aca="false">IF(COUNT('Milho 1ª safra'!$E11:$Z11)=0,0,MAX(0,IF((AW$6-$E$3)&lt;1,0,IFERROR(LOOKUP(2,1/('Milho 1ª safra'!$E11:INDEX('Milho 1ª safra'!$E11:$Z11,MIN(AW$6-$E$3,22))&lt;&gt;""),'Milho 1ª safra'!$E11:INDEX('Milho 1ª safra'!$E11:$Z11,MIN(AW$6-$E$3,22))),0))-IF($G$2,0,IF((AW$6-$G$3)&lt;1,0,IFERROR(LOOKUP(2,1/('Milho 1ª safra'!$E11:INDEX('Milho 1ª safra'!$E11:$Z11,MIN(AW$6-$G$3,22))&lt;&gt;""),'Milho 1ª safra'!$E11:INDEX('Milho 1ª safra'!$E11:$Z11,MIN(AW$6-$G$3,22))),0)))))</f>
        <v>0</v>
      </c>
      <c r="AX13" s="27" t="n">
        <f aca="false">IF(COUNT('Milho 1ª safra'!$E11:$Z11)=0,0,MAX(0,IF((AX$6-$E$3)&lt;1,0,IFERROR(LOOKUP(2,1/('Milho 1ª safra'!$E11:INDEX('Milho 1ª safra'!$E11:$Z11,MIN(AX$6-$E$3,22))&lt;&gt;""),'Milho 1ª safra'!$E11:INDEX('Milho 1ª safra'!$E11:$Z11,MIN(AX$6-$E$3,22))),0))-IF($G$2,0,IF((AX$6-$G$3)&lt;1,0,IFERROR(LOOKUP(2,1/('Milho 1ª safra'!$E11:INDEX('Milho 1ª safra'!$E11:$Z11,MIN(AX$6-$G$3,22))&lt;&gt;""),'Milho 1ª safra'!$E11:INDEX('Milho 1ª safra'!$E11:$Z11,MIN(AX$6-$G$3,22))),0)))))</f>
        <v>0</v>
      </c>
      <c r="AY13" s="27" t="n">
        <f aca="false">IF(COUNT('Milho 1ª safra'!$E11:$Z11)=0,0,MAX(0,IF((AY$6-$E$3)&lt;1,0,IFERROR(LOOKUP(2,1/('Milho 1ª safra'!$E11:INDEX('Milho 1ª safra'!$E11:$Z11,MIN(AY$6-$E$3,22))&lt;&gt;""),'Milho 1ª safra'!$E11:INDEX('Milho 1ª safra'!$E11:$Z11,MIN(AY$6-$E$3,22))),0))-IF($G$2,0,IF((AY$6-$G$3)&lt;1,0,IFERROR(LOOKUP(2,1/('Milho 1ª safra'!$E11:INDEX('Milho 1ª safra'!$E11:$Z11,MIN(AY$6-$G$3,22))&lt;&gt;""),'Milho 1ª safra'!$E11:INDEX('Milho 1ª safra'!$E11:$Z11,MIN(AY$6-$G$3,22))),0)))))</f>
        <v>0</v>
      </c>
      <c r="AZ13" s="27" t="n">
        <f aca="false">IF(COUNT('Milho 1ª safra'!$E11:$Z11)=0,0,MAX(0,IF((AZ$6-$E$3)&lt;1,0,IFERROR(LOOKUP(2,1/('Milho 1ª safra'!$E11:INDEX('Milho 1ª safra'!$E11:$Z11,MIN(AZ$6-$E$3,22))&lt;&gt;""),'Milho 1ª safra'!$E11:INDEX('Milho 1ª safra'!$E11:$Z11,MIN(AZ$6-$E$3,22))),0))-IF($G$2,0,IF((AZ$6-$G$3)&lt;1,0,IFERROR(LOOKUP(2,1/('Milho 1ª safra'!$E11:INDEX('Milho 1ª safra'!$E11:$Z11,MIN(AZ$6-$G$3,22))&lt;&gt;""),'Milho 1ª safra'!$E11:INDEX('Milho 1ª safra'!$E11:$Z11,MIN(AZ$6-$G$3,22))),0)))))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IF(COUNT('Milho 1ª safra'!$E12:$Z12)&gt;0,N('Milho 1ª safra'!$D12),0)</f>
        <v>0</v>
      </c>
      <c r="E14" s="27" t="n">
        <f aca="false">IF(COUNT('Milho 1ª safra'!$E12:$Z12)=0,0,MAX(0,IF((E$6-$E$3)&lt;1,0,IFERROR(LOOKUP(2,1/('Milho 1ª safra'!$E12:INDEX('Milho 1ª safra'!$E12:$Z12,MIN(E$6-$E$3,22))&lt;&gt;""),'Milho 1ª safra'!$E12:INDEX('Milho 1ª safra'!$E12:$Z12,MIN(E$6-$E$3,22))),0))-IF($G$2,0,IF((E$6-$G$3)&lt;1,0,IFERROR(LOOKUP(2,1/('Milho 1ª safra'!$E12:INDEX('Milho 1ª safra'!$E12:$Z12,MIN(E$6-$G$3,22))&lt;&gt;""),'Milho 1ª safra'!$E12:INDEX('Milho 1ª safra'!$E12:$Z12,MIN(E$6-$G$3,22))),0)))))</f>
        <v>0</v>
      </c>
      <c r="F14" s="27" t="n">
        <f aca="false">IF(COUNT('Milho 1ª safra'!$E12:$Z12)=0,0,MAX(0,IF((F$6-$E$3)&lt;1,0,IFERROR(LOOKUP(2,1/('Milho 1ª safra'!$E12:INDEX('Milho 1ª safra'!$E12:$Z12,MIN(F$6-$E$3,22))&lt;&gt;""),'Milho 1ª safra'!$E12:INDEX('Milho 1ª safra'!$E12:$Z12,MIN(F$6-$E$3,22))),0))-IF($G$2,0,IF((F$6-$G$3)&lt;1,0,IFERROR(LOOKUP(2,1/('Milho 1ª safra'!$E12:INDEX('Milho 1ª safra'!$E12:$Z12,MIN(F$6-$G$3,22))&lt;&gt;""),'Milho 1ª safra'!$E12:INDEX('Milho 1ª safra'!$E12:$Z12,MIN(F$6-$G$3,22))),0)))))</f>
        <v>0</v>
      </c>
      <c r="G14" s="27" t="n">
        <f aca="false">IF(COUNT('Milho 1ª safra'!$E12:$Z12)=0,0,MAX(0,IF((G$6-$E$3)&lt;1,0,IFERROR(LOOKUP(2,1/('Milho 1ª safra'!$E12:INDEX('Milho 1ª safra'!$E12:$Z12,MIN(G$6-$E$3,22))&lt;&gt;""),'Milho 1ª safra'!$E12:INDEX('Milho 1ª safra'!$E12:$Z12,MIN(G$6-$E$3,22))),0))-IF($G$2,0,IF((G$6-$G$3)&lt;1,0,IFERROR(LOOKUP(2,1/('Milho 1ª safra'!$E12:INDEX('Milho 1ª safra'!$E12:$Z12,MIN(G$6-$G$3,22))&lt;&gt;""),'Milho 1ª safra'!$E12:INDEX('Milho 1ª safra'!$E12:$Z12,MIN(G$6-$G$3,22))),0)))))</f>
        <v>0</v>
      </c>
      <c r="H14" s="27" t="n">
        <f aca="false">IF(COUNT('Milho 1ª safra'!$E12:$Z12)=0,0,MAX(0,IF((H$6-$E$3)&lt;1,0,IFERROR(LOOKUP(2,1/('Milho 1ª safra'!$E12:INDEX('Milho 1ª safra'!$E12:$Z12,MIN(H$6-$E$3,22))&lt;&gt;""),'Milho 1ª safra'!$E12:INDEX('Milho 1ª safra'!$E12:$Z12,MIN(H$6-$E$3,22))),0))-IF($G$2,0,IF((H$6-$G$3)&lt;1,0,IFERROR(LOOKUP(2,1/('Milho 1ª safra'!$E12:INDEX('Milho 1ª safra'!$E12:$Z12,MIN(H$6-$G$3,22))&lt;&gt;""),'Milho 1ª safra'!$E12:INDEX('Milho 1ª safra'!$E12:$Z12,MIN(H$6-$G$3,22))),0)))))</f>
        <v>0</v>
      </c>
      <c r="I14" s="27" t="n">
        <f aca="false">IF(COUNT('Milho 1ª safra'!$E12:$Z12)=0,0,MAX(0,IF((I$6-$E$3)&lt;1,0,IFERROR(LOOKUP(2,1/('Milho 1ª safra'!$E12:INDEX('Milho 1ª safra'!$E12:$Z12,MIN(I$6-$E$3,22))&lt;&gt;""),'Milho 1ª safra'!$E12:INDEX('Milho 1ª safra'!$E12:$Z12,MIN(I$6-$E$3,22))),0))-IF($G$2,0,IF((I$6-$G$3)&lt;1,0,IFERROR(LOOKUP(2,1/('Milho 1ª safra'!$E12:INDEX('Milho 1ª safra'!$E12:$Z12,MIN(I$6-$G$3,22))&lt;&gt;""),'Milho 1ª safra'!$E12:INDEX('Milho 1ª safra'!$E12:$Z12,MIN(I$6-$G$3,22))),0)))))</f>
        <v>0</v>
      </c>
      <c r="J14" s="27" t="n">
        <f aca="false">IF(COUNT('Milho 1ª safra'!$E12:$Z12)=0,0,MAX(0,IF((J$6-$E$3)&lt;1,0,IFERROR(LOOKUP(2,1/('Milho 1ª safra'!$E12:INDEX('Milho 1ª safra'!$E12:$Z12,MIN(J$6-$E$3,22))&lt;&gt;""),'Milho 1ª safra'!$E12:INDEX('Milho 1ª safra'!$E12:$Z12,MIN(J$6-$E$3,22))),0))-IF($G$2,0,IF((J$6-$G$3)&lt;1,0,IFERROR(LOOKUP(2,1/('Milho 1ª safra'!$E12:INDEX('Milho 1ª safra'!$E12:$Z12,MIN(J$6-$G$3,22))&lt;&gt;""),'Milho 1ª safra'!$E12:INDEX('Milho 1ª safra'!$E12:$Z12,MIN(J$6-$G$3,22))),0)))))</f>
        <v>0</v>
      </c>
      <c r="K14" s="27" t="n">
        <f aca="false">IF(COUNT('Milho 1ª safra'!$E12:$Z12)=0,0,MAX(0,IF((K$6-$E$3)&lt;1,0,IFERROR(LOOKUP(2,1/('Milho 1ª safra'!$E12:INDEX('Milho 1ª safra'!$E12:$Z12,MIN(K$6-$E$3,22))&lt;&gt;""),'Milho 1ª safra'!$E12:INDEX('Milho 1ª safra'!$E12:$Z12,MIN(K$6-$E$3,22))),0))-IF($G$2,0,IF((K$6-$G$3)&lt;1,0,IFERROR(LOOKUP(2,1/('Milho 1ª safra'!$E12:INDEX('Milho 1ª safra'!$E12:$Z12,MIN(K$6-$G$3,22))&lt;&gt;""),'Milho 1ª safra'!$E12:INDEX('Milho 1ª safra'!$E12:$Z12,MIN(K$6-$G$3,22))),0)))))</f>
        <v>0</v>
      </c>
      <c r="L14" s="27" t="n">
        <f aca="false">IF(COUNT('Milho 1ª safra'!$E12:$Z12)=0,0,MAX(0,IF((L$6-$E$3)&lt;1,0,IFERROR(LOOKUP(2,1/('Milho 1ª safra'!$E12:INDEX('Milho 1ª safra'!$E12:$Z12,MIN(L$6-$E$3,22))&lt;&gt;""),'Milho 1ª safra'!$E12:INDEX('Milho 1ª safra'!$E12:$Z12,MIN(L$6-$E$3,22))),0))-IF($G$2,0,IF((L$6-$G$3)&lt;1,0,IFERROR(LOOKUP(2,1/('Milho 1ª safra'!$E12:INDEX('Milho 1ª safra'!$E12:$Z12,MIN(L$6-$G$3,22))&lt;&gt;""),'Milho 1ª safra'!$E12:INDEX('Milho 1ª safra'!$E12:$Z12,MIN(L$6-$G$3,22))),0)))))</f>
        <v>0</v>
      </c>
      <c r="M14" s="27" t="n">
        <f aca="false">IF(COUNT('Milho 1ª safra'!$E12:$Z12)=0,0,MAX(0,IF((M$6-$E$3)&lt;1,0,IFERROR(LOOKUP(2,1/('Milho 1ª safra'!$E12:INDEX('Milho 1ª safra'!$E12:$Z12,MIN(M$6-$E$3,22))&lt;&gt;""),'Milho 1ª safra'!$E12:INDEX('Milho 1ª safra'!$E12:$Z12,MIN(M$6-$E$3,22))),0))-IF($G$2,0,IF((M$6-$G$3)&lt;1,0,IFERROR(LOOKUP(2,1/('Milho 1ª safra'!$E12:INDEX('Milho 1ª safra'!$E12:$Z12,MIN(M$6-$G$3,22))&lt;&gt;""),'Milho 1ª safra'!$E12:INDEX('Milho 1ª safra'!$E12:$Z12,MIN(M$6-$G$3,22))),0)))))</f>
        <v>0</v>
      </c>
      <c r="N14" s="27" t="n">
        <f aca="false">IF(COUNT('Milho 1ª safra'!$E12:$Z12)=0,0,MAX(0,IF((N$6-$E$3)&lt;1,0,IFERROR(LOOKUP(2,1/('Milho 1ª safra'!$E12:INDEX('Milho 1ª safra'!$E12:$Z12,MIN(N$6-$E$3,22))&lt;&gt;""),'Milho 1ª safra'!$E12:INDEX('Milho 1ª safra'!$E12:$Z12,MIN(N$6-$E$3,22))),0))-IF($G$2,0,IF((N$6-$G$3)&lt;1,0,IFERROR(LOOKUP(2,1/('Milho 1ª safra'!$E12:INDEX('Milho 1ª safra'!$E12:$Z12,MIN(N$6-$G$3,22))&lt;&gt;""),'Milho 1ª safra'!$E12:INDEX('Milho 1ª safra'!$E12:$Z12,MIN(N$6-$G$3,22))),0)))))</f>
        <v>0</v>
      </c>
      <c r="O14" s="27" t="n">
        <f aca="false">IF(COUNT('Milho 1ª safra'!$E12:$Z12)=0,0,MAX(0,IF((O$6-$E$3)&lt;1,0,IFERROR(LOOKUP(2,1/('Milho 1ª safra'!$E12:INDEX('Milho 1ª safra'!$E12:$Z12,MIN(O$6-$E$3,22))&lt;&gt;""),'Milho 1ª safra'!$E12:INDEX('Milho 1ª safra'!$E12:$Z12,MIN(O$6-$E$3,22))),0))-IF($G$2,0,IF((O$6-$G$3)&lt;1,0,IFERROR(LOOKUP(2,1/('Milho 1ª safra'!$E12:INDEX('Milho 1ª safra'!$E12:$Z12,MIN(O$6-$G$3,22))&lt;&gt;""),'Milho 1ª safra'!$E12:INDEX('Milho 1ª safra'!$E12:$Z12,MIN(O$6-$G$3,22))),0)))))</f>
        <v>0</v>
      </c>
      <c r="P14" s="27" t="n">
        <f aca="false">IF(COUNT('Milho 1ª safra'!$E12:$Z12)=0,0,MAX(0,IF((P$6-$E$3)&lt;1,0,IFERROR(LOOKUP(2,1/('Milho 1ª safra'!$E12:INDEX('Milho 1ª safra'!$E12:$Z12,MIN(P$6-$E$3,22))&lt;&gt;""),'Milho 1ª safra'!$E12:INDEX('Milho 1ª safra'!$E12:$Z12,MIN(P$6-$E$3,22))),0))-IF($G$2,0,IF((P$6-$G$3)&lt;1,0,IFERROR(LOOKUP(2,1/('Milho 1ª safra'!$E12:INDEX('Milho 1ª safra'!$E12:$Z12,MIN(P$6-$G$3,22))&lt;&gt;""),'Milho 1ª safra'!$E12:INDEX('Milho 1ª safra'!$E12:$Z12,MIN(P$6-$G$3,22))),0)))))</f>
        <v>0</v>
      </c>
      <c r="Q14" s="27" t="n">
        <f aca="false">IF(COUNT('Milho 1ª safra'!$E12:$Z12)=0,0,MAX(0,IF((Q$6-$E$3)&lt;1,0,IFERROR(LOOKUP(2,1/('Milho 1ª safra'!$E12:INDEX('Milho 1ª safra'!$E12:$Z12,MIN(Q$6-$E$3,22))&lt;&gt;""),'Milho 1ª safra'!$E12:INDEX('Milho 1ª safra'!$E12:$Z12,MIN(Q$6-$E$3,22))),0))-IF($G$2,0,IF((Q$6-$G$3)&lt;1,0,IFERROR(LOOKUP(2,1/('Milho 1ª safra'!$E12:INDEX('Milho 1ª safra'!$E12:$Z12,MIN(Q$6-$G$3,22))&lt;&gt;""),'Milho 1ª safra'!$E12:INDEX('Milho 1ª safra'!$E12:$Z12,MIN(Q$6-$G$3,22))),0)))))</f>
        <v>0</v>
      </c>
      <c r="R14" s="27" t="n">
        <f aca="false">IF(COUNT('Milho 1ª safra'!$E12:$Z12)=0,0,MAX(0,IF((R$6-$E$3)&lt;1,0,IFERROR(LOOKUP(2,1/('Milho 1ª safra'!$E12:INDEX('Milho 1ª safra'!$E12:$Z12,MIN(R$6-$E$3,22))&lt;&gt;""),'Milho 1ª safra'!$E12:INDEX('Milho 1ª safra'!$E12:$Z12,MIN(R$6-$E$3,22))),0))-IF($G$2,0,IF((R$6-$G$3)&lt;1,0,IFERROR(LOOKUP(2,1/('Milho 1ª safra'!$E12:INDEX('Milho 1ª safra'!$E12:$Z12,MIN(R$6-$G$3,22))&lt;&gt;""),'Milho 1ª safra'!$E12:INDEX('Milho 1ª safra'!$E12:$Z12,MIN(R$6-$G$3,22))),0)))))</f>
        <v>0</v>
      </c>
      <c r="S14" s="27" t="n">
        <f aca="false">IF(COUNT('Milho 1ª safra'!$E12:$Z12)=0,0,MAX(0,IF((S$6-$E$3)&lt;1,0,IFERROR(LOOKUP(2,1/('Milho 1ª safra'!$E12:INDEX('Milho 1ª safra'!$E12:$Z12,MIN(S$6-$E$3,22))&lt;&gt;""),'Milho 1ª safra'!$E12:INDEX('Milho 1ª safra'!$E12:$Z12,MIN(S$6-$E$3,22))),0))-IF($G$2,0,IF((S$6-$G$3)&lt;1,0,IFERROR(LOOKUP(2,1/('Milho 1ª safra'!$E12:INDEX('Milho 1ª safra'!$E12:$Z12,MIN(S$6-$G$3,22))&lt;&gt;""),'Milho 1ª safra'!$E12:INDEX('Milho 1ª safra'!$E12:$Z12,MIN(S$6-$G$3,22))),0)))))</f>
        <v>0</v>
      </c>
      <c r="T14" s="27" t="n">
        <f aca="false">IF(COUNT('Milho 1ª safra'!$E12:$Z12)=0,0,MAX(0,IF((T$6-$E$3)&lt;1,0,IFERROR(LOOKUP(2,1/('Milho 1ª safra'!$E12:INDEX('Milho 1ª safra'!$E12:$Z12,MIN(T$6-$E$3,22))&lt;&gt;""),'Milho 1ª safra'!$E12:INDEX('Milho 1ª safra'!$E12:$Z12,MIN(T$6-$E$3,22))),0))-IF($G$2,0,IF((T$6-$G$3)&lt;1,0,IFERROR(LOOKUP(2,1/('Milho 1ª safra'!$E12:INDEX('Milho 1ª safra'!$E12:$Z12,MIN(T$6-$G$3,22))&lt;&gt;""),'Milho 1ª safra'!$E12:INDEX('Milho 1ª safra'!$E12:$Z12,MIN(T$6-$G$3,22))),0)))))</f>
        <v>0</v>
      </c>
      <c r="U14" s="27" t="n">
        <f aca="false">IF(COUNT('Milho 1ª safra'!$E12:$Z12)=0,0,MAX(0,IF((U$6-$E$3)&lt;1,0,IFERROR(LOOKUP(2,1/('Milho 1ª safra'!$E12:INDEX('Milho 1ª safra'!$E12:$Z12,MIN(U$6-$E$3,22))&lt;&gt;""),'Milho 1ª safra'!$E12:INDEX('Milho 1ª safra'!$E12:$Z12,MIN(U$6-$E$3,22))),0))-IF($G$2,0,IF((U$6-$G$3)&lt;1,0,IFERROR(LOOKUP(2,1/('Milho 1ª safra'!$E12:INDEX('Milho 1ª safra'!$E12:$Z12,MIN(U$6-$G$3,22))&lt;&gt;""),'Milho 1ª safra'!$E12:INDEX('Milho 1ª safra'!$E12:$Z12,MIN(U$6-$G$3,22))),0)))))</f>
        <v>0</v>
      </c>
      <c r="V14" s="27" t="n">
        <f aca="false">IF(COUNT('Milho 1ª safra'!$E12:$Z12)=0,0,MAX(0,IF((V$6-$E$3)&lt;1,0,IFERROR(LOOKUP(2,1/('Milho 1ª safra'!$E12:INDEX('Milho 1ª safra'!$E12:$Z12,MIN(V$6-$E$3,22))&lt;&gt;""),'Milho 1ª safra'!$E12:INDEX('Milho 1ª safra'!$E12:$Z12,MIN(V$6-$E$3,22))),0))-IF($G$2,0,IF((V$6-$G$3)&lt;1,0,IFERROR(LOOKUP(2,1/('Milho 1ª safra'!$E12:INDEX('Milho 1ª safra'!$E12:$Z12,MIN(V$6-$G$3,22))&lt;&gt;""),'Milho 1ª safra'!$E12:INDEX('Milho 1ª safra'!$E12:$Z12,MIN(V$6-$G$3,22))),0)))))</f>
        <v>0</v>
      </c>
      <c r="W14" s="27" t="n">
        <f aca="false">IF(COUNT('Milho 1ª safra'!$E12:$Z12)=0,0,MAX(0,IF((W$6-$E$3)&lt;1,0,IFERROR(LOOKUP(2,1/('Milho 1ª safra'!$E12:INDEX('Milho 1ª safra'!$E12:$Z12,MIN(W$6-$E$3,22))&lt;&gt;""),'Milho 1ª safra'!$E12:INDEX('Milho 1ª safra'!$E12:$Z12,MIN(W$6-$E$3,22))),0))-IF($G$2,0,IF((W$6-$G$3)&lt;1,0,IFERROR(LOOKUP(2,1/('Milho 1ª safra'!$E12:INDEX('Milho 1ª safra'!$E12:$Z12,MIN(W$6-$G$3,22))&lt;&gt;""),'Milho 1ª safra'!$E12:INDEX('Milho 1ª safra'!$E12:$Z12,MIN(W$6-$G$3,22))),0)))))</f>
        <v>0</v>
      </c>
      <c r="X14" s="27" t="n">
        <f aca="false">IF(COUNT('Milho 1ª safra'!$E12:$Z12)=0,0,MAX(0,IF((X$6-$E$3)&lt;1,0,IFERROR(LOOKUP(2,1/('Milho 1ª safra'!$E12:INDEX('Milho 1ª safra'!$E12:$Z12,MIN(X$6-$E$3,22))&lt;&gt;""),'Milho 1ª safra'!$E12:INDEX('Milho 1ª safra'!$E12:$Z12,MIN(X$6-$E$3,22))),0))-IF($G$2,0,IF((X$6-$G$3)&lt;1,0,IFERROR(LOOKUP(2,1/('Milho 1ª safra'!$E12:INDEX('Milho 1ª safra'!$E12:$Z12,MIN(X$6-$G$3,22))&lt;&gt;""),'Milho 1ª safra'!$E12:INDEX('Milho 1ª safra'!$E12:$Z12,MIN(X$6-$G$3,22))),0)))))</f>
        <v>0</v>
      </c>
      <c r="Y14" s="27" t="n">
        <f aca="false">IF(COUNT('Milho 1ª safra'!$E12:$Z12)=0,0,MAX(0,IF((Y$6-$E$3)&lt;1,0,IFERROR(LOOKUP(2,1/('Milho 1ª safra'!$E12:INDEX('Milho 1ª safra'!$E12:$Z12,MIN(Y$6-$E$3,22))&lt;&gt;""),'Milho 1ª safra'!$E12:INDEX('Milho 1ª safra'!$E12:$Z12,MIN(Y$6-$E$3,22))),0))-IF($G$2,0,IF((Y$6-$G$3)&lt;1,0,IFERROR(LOOKUP(2,1/('Milho 1ª safra'!$E12:INDEX('Milho 1ª safra'!$E12:$Z12,MIN(Y$6-$G$3,22))&lt;&gt;""),'Milho 1ª safra'!$E12:INDEX('Milho 1ª safra'!$E12:$Z12,MIN(Y$6-$G$3,22))),0)))))</f>
        <v>0</v>
      </c>
      <c r="Z14" s="27" t="n">
        <f aca="false">IF(COUNT('Milho 1ª safra'!$E12:$Z12)=0,0,MAX(0,IF((Z$6-$E$3)&lt;1,0,IFERROR(LOOKUP(2,1/('Milho 1ª safra'!$E12:INDEX('Milho 1ª safra'!$E12:$Z12,MIN(Z$6-$E$3,22))&lt;&gt;""),'Milho 1ª safra'!$E12:INDEX('Milho 1ª safra'!$E12:$Z12,MIN(Z$6-$E$3,22))),0))-IF($G$2,0,IF((Z$6-$G$3)&lt;1,0,IFERROR(LOOKUP(2,1/('Milho 1ª safra'!$E12:INDEX('Milho 1ª safra'!$E12:$Z12,MIN(Z$6-$G$3,22))&lt;&gt;""),'Milho 1ª safra'!$E12:INDEX('Milho 1ª safra'!$E12:$Z12,MIN(Z$6-$G$3,22))),0)))))</f>
        <v>0</v>
      </c>
      <c r="AA14" s="27" t="n">
        <f aca="false">IF(COUNT('Milho 1ª safra'!$E12:$Z12)=0,0,MAX(0,IF((AA$6-$E$3)&lt;1,0,IFERROR(LOOKUP(2,1/('Milho 1ª safra'!$E12:INDEX('Milho 1ª safra'!$E12:$Z12,MIN(AA$6-$E$3,22))&lt;&gt;""),'Milho 1ª safra'!$E12:INDEX('Milho 1ª safra'!$E12:$Z12,MIN(AA$6-$E$3,22))),0))-IF($G$2,0,IF((AA$6-$G$3)&lt;1,0,IFERROR(LOOKUP(2,1/('Milho 1ª safra'!$E12:INDEX('Milho 1ª safra'!$E12:$Z12,MIN(AA$6-$G$3,22))&lt;&gt;""),'Milho 1ª safra'!$E12:INDEX('Milho 1ª safra'!$E12:$Z12,MIN(AA$6-$G$3,22))),0)))))</f>
        <v>0</v>
      </c>
      <c r="AB14" s="27" t="n">
        <f aca="false">IF(COUNT('Milho 1ª safra'!$E12:$Z12)=0,0,MAX(0,IF((AB$6-$E$3)&lt;1,0,IFERROR(LOOKUP(2,1/('Milho 1ª safra'!$E12:INDEX('Milho 1ª safra'!$E12:$Z12,MIN(AB$6-$E$3,22))&lt;&gt;""),'Milho 1ª safra'!$E12:INDEX('Milho 1ª safra'!$E12:$Z12,MIN(AB$6-$E$3,22))),0))-IF($G$2,0,IF((AB$6-$G$3)&lt;1,0,IFERROR(LOOKUP(2,1/('Milho 1ª safra'!$E12:INDEX('Milho 1ª safra'!$E12:$Z12,MIN(AB$6-$G$3,22))&lt;&gt;""),'Milho 1ª safra'!$E12:INDEX('Milho 1ª safra'!$E12:$Z12,MIN(AB$6-$G$3,22))),0)))))</f>
        <v>0</v>
      </c>
      <c r="AC14" s="27" t="n">
        <f aca="false">IF(COUNT('Milho 1ª safra'!$E12:$Z12)=0,0,MAX(0,IF((AC$6-$E$3)&lt;1,0,IFERROR(LOOKUP(2,1/('Milho 1ª safra'!$E12:INDEX('Milho 1ª safra'!$E12:$Z12,MIN(AC$6-$E$3,22))&lt;&gt;""),'Milho 1ª safra'!$E12:INDEX('Milho 1ª safra'!$E12:$Z12,MIN(AC$6-$E$3,22))),0))-IF($G$2,0,IF((AC$6-$G$3)&lt;1,0,IFERROR(LOOKUP(2,1/('Milho 1ª safra'!$E12:INDEX('Milho 1ª safra'!$E12:$Z12,MIN(AC$6-$G$3,22))&lt;&gt;""),'Milho 1ª safra'!$E12:INDEX('Milho 1ª safra'!$E12:$Z12,MIN(AC$6-$G$3,22))),0)))))</f>
        <v>0</v>
      </c>
      <c r="AD14" s="27" t="n">
        <f aca="false">IF(COUNT('Milho 1ª safra'!$E12:$Z12)=0,0,MAX(0,IF((AD$6-$E$3)&lt;1,0,IFERROR(LOOKUP(2,1/('Milho 1ª safra'!$E12:INDEX('Milho 1ª safra'!$E12:$Z12,MIN(AD$6-$E$3,22))&lt;&gt;""),'Milho 1ª safra'!$E12:INDEX('Milho 1ª safra'!$E12:$Z12,MIN(AD$6-$E$3,22))),0))-IF($G$2,0,IF((AD$6-$G$3)&lt;1,0,IFERROR(LOOKUP(2,1/('Milho 1ª safra'!$E12:INDEX('Milho 1ª safra'!$E12:$Z12,MIN(AD$6-$G$3,22))&lt;&gt;""),'Milho 1ª safra'!$E12:INDEX('Milho 1ª safra'!$E12:$Z12,MIN(AD$6-$G$3,22))),0)))))</f>
        <v>0</v>
      </c>
      <c r="AE14" s="27" t="n">
        <f aca="false">IF(COUNT('Milho 1ª safra'!$E12:$Z12)=0,0,MAX(0,IF((AE$6-$E$3)&lt;1,0,IFERROR(LOOKUP(2,1/('Milho 1ª safra'!$E12:INDEX('Milho 1ª safra'!$E12:$Z12,MIN(AE$6-$E$3,22))&lt;&gt;""),'Milho 1ª safra'!$E12:INDEX('Milho 1ª safra'!$E12:$Z12,MIN(AE$6-$E$3,22))),0))-IF($G$2,0,IF((AE$6-$G$3)&lt;1,0,IFERROR(LOOKUP(2,1/('Milho 1ª safra'!$E12:INDEX('Milho 1ª safra'!$E12:$Z12,MIN(AE$6-$G$3,22))&lt;&gt;""),'Milho 1ª safra'!$E12:INDEX('Milho 1ª safra'!$E12:$Z12,MIN(AE$6-$G$3,22))),0)))))</f>
        <v>0</v>
      </c>
      <c r="AF14" s="27" t="n">
        <f aca="false">IF(COUNT('Milho 1ª safra'!$E12:$Z12)=0,0,MAX(0,IF((AF$6-$E$3)&lt;1,0,IFERROR(LOOKUP(2,1/('Milho 1ª safra'!$E12:INDEX('Milho 1ª safra'!$E12:$Z12,MIN(AF$6-$E$3,22))&lt;&gt;""),'Milho 1ª safra'!$E12:INDEX('Milho 1ª safra'!$E12:$Z12,MIN(AF$6-$E$3,22))),0))-IF($G$2,0,IF((AF$6-$G$3)&lt;1,0,IFERROR(LOOKUP(2,1/('Milho 1ª safra'!$E12:INDEX('Milho 1ª safra'!$E12:$Z12,MIN(AF$6-$G$3,22))&lt;&gt;""),'Milho 1ª safra'!$E12:INDEX('Milho 1ª safra'!$E12:$Z12,MIN(AF$6-$G$3,22))),0)))))</f>
        <v>0</v>
      </c>
      <c r="AG14" s="27" t="n">
        <f aca="false">IF(COUNT('Milho 1ª safra'!$E12:$Z12)=0,0,MAX(0,IF((AG$6-$E$3)&lt;1,0,IFERROR(LOOKUP(2,1/('Milho 1ª safra'!$E12:INDEX('Milho 1ª safra'!$E12:$Z12,MIN(AG$6-$E$3,22))&lt;&gt;""),'Milho 1ª safra'!$E12:INDEX('Milho 1ª safra'!$E12:$Z12,MIN(AG$6-$E$3,22))),0))-IF($G$2,0,IF((AG$6-$G$3)&lt;1,0,IFERROR(LOOKUP(2,1/('Milho 1ª safra'!$E12:INDEX('Milho 1ª safra'!$E12:$Z12,MIN(AG$6-$G$3,22))&lt;&gt;""),'Milho 1ª safra'!$E12:INDEX('Milho 1ª safra'!$E12:$Z12,MIN(AG$6-$G$3,22))),0)))))</f>
        <v>0</v>
      </c>
      <c r="AH14" s="27" t="n">
        <f aca="false">IF(COUNT('Milho 1ª safra'!$E12:$Z12)=0,0,MAX(0,IF((AH$6-$E$3)&lt;1,0,IFERROR(LOOKUP(2,1/('Milho 1ª safra'!$E12:INDEX('Milho 1ª safra'!$E12:$Z12,MIN(AH$6-$E$3,22))&lt;&gt;""),'Milho 1ª safra'!$E12:INDEX('Milho 1ª safra'!$E12:$Z12,MIN(AH$6-$E$3,22))),0))-IF($G$2,0,IF((AH$6-$G$3)&lt;1,0,IFERROR(LOOKUP(2,1/('Milho 1ª safra'!$E12:INDEX('Milho 1ª safra'!$E12:$Z12,MIN(AH$6-$G$3,22))&lt;&gt;""),'Milho 1ª safra'!$E12:INDEX('Milho 1ª safra'!$E12:$Z12,MIN(AH$6-$G$3,22))),0)))))</f>
        <v>0</v>
      </c>
      <c r="AI14" s="27" t="n">
        <f aca="false">IF(COUNT('Milho 1ª safra'!$E12:$Z12)=0,0,MAX(0,IF((AI$6-$E$3)&lt;1,0,IFERROR(LOOKUP(2,1/('Milho 1ª safra'!$E12:INDEX('Milho 1ª safra'!$E12:$Z12,MIN(AI$6-$E$3,22))&lt;&gt;""),'Milho 1ª safra'!$E12:INDEX('Milho 1ª safra'!$E12:$Z12,MIN(AI$6-$E$3,22))),0))-IF($G$2,0,IF((AI$6-$G$3)&lt;1,0,IFERROR(LOOKUP(2,1/('Milho 1ª safra'!$E12:INDEX('Milho 1ª safra'!$E12:$Z12,MIN(AI$6-$G$3,22))&lt;&gt;""),'Milho 1ª safra'!$E12:INDEX('Milho 1ª safra'!$E12:$Z12,MIN(AI$6-$G$3,22))),0)))))</f>
        <v>0</v>
      </c>
      <c r="AJ14" s="27" t="n">
        <f aca="false">IF(COUNT('Milho 1ª safra'!$E12:$Z12)=0,0,MAX(0,IF((AJ$6-$E$3)&lt;1,0,IFERROR(LOOKUP(2,1/('Milho 1ª safra'!$E12:INDEX('Milho 1ª safra'!$E12:$Z12,MIN(AJ$6-$E$3,22))&lt;&gt;""),'Milho 1ª safra'!$E12:INDEX('Milho 1ª safra'!$E12:$Z12,MIN(AJ$6-$E$3,22))),0))-IF($G$2,0,IF((AJ$6-$G$3)&lt;1,0,IFERROR(LOOKUP(2,1/('Milho 1ª safra'!$E12:INDEX('Milho 1ª safra'!$E12:$Z12,MIN(AJ$6-$G$3,22))&lt;&gt;""),'Milho 1ª safra'!$E12:INDEX('Milho 1ª safra'!$E12:$Z12,MIN(AJ$6-$G$3,22))),0)))))</f>
        <v>0</v>
      </c>
      <c r="AK14" s="27" t="n">
        <f aca="false">IF(COUNT('Milho 1ª safra'!$E12:$Z12)=0,0,MAX(0,IF((AK$6-$E$3)&lt;1,0,IFERROR(LOOKUP(2,1/('Milho 1ª safra'!$E12:INDEX('Milho 1ª safra'!$E12:$Z12,MIN(AK$6-$E$3,22))&lt;&gt;""),'Milho 1ª safra'!$E12:INDEX('Milho 1ª safra'!$E12:$Z12,MIN(AK$6-$E$3,22))),0))-IF($G$2,0,IF((AK$6-$G$3)&lt;1,0,IFERROR(LOOKUP(2,1/('Milho 1ª safra'!$E12:INDEX('Milho 1ª safra'!$E12:$Z12,MIN(AK$6-$G$3,22))&lt;&gt;""),'Milho 1ª safra'!$E12:INDEX('Milho 1ª safra'!$E12:$Z12,MIN(AK$6-$G$3,22))),0)))))</f>
        <v>0</v>
      </c>
      <c r="AL14" s="27" t="n">
        <f aca="false">IF(COUNT('Milho 1ª safra'!$E12:$Z12)=0,0,MAX(0,IF((AL$6-$E$3)&lt;1,0,IFERROR(LOOKUP(2,1/('Milho 1ª safra'!$E12:INDEX('Milho 1ª safra'!$E12:$Z12,MIN(AL$6-$E$3,22))&lt;&gt;""),'Milho 1ª safra'!$E12:INDEX('Milho 1ª safra'!$E12:$Z12,MIN(AL$6-$E$3,22))),0))-IF($G$2,0,IF((AL$6-$G$3)&lt;1,0,IFERROR(LOOKUP(2,1/('Milho 1ª safra'!$E12:INDEX('Milho 1ª safra'!$E12:$Z12,MIN(AL$6-$G$3,22))&lt;&gt;""),'Milho 1ª safra'!$E12:INDEX('Milho 1ª safra'!$E12:$Z12,MIN(AL$6-$G$3,22))),0)))))</f>
        <v>0</v>
      </c>
      <c r="AM14" s="27" t="n">
        <f aca="false">IF(COUNT('Milho 1ª safra'!$E12:$Z12)=0,0,MAX(0,IF((AM$6-$E$3)&lt;1,0,IFERROR(LOOKUP(2,1/('Milho 1ª safra'!$E12:INDEX('Milho 1ª safra'!$E12:$Z12,MIN(AM$6-$E$3,22))&lt;&gt;""),'Milho 1ª safra'!$E12:INDEX('Milho 1ª safra'!$E12:$Z12,MIN(AM$6-$E$3,22))),0))-IF($G$2,0,IF((AM$6-$G$3)&lt;1,0,IFERROR(LOOKUP(2,1/('Milho 1ª safra'!$E12:INDEX('Milho 1ª safra'!$E12:$Z12,MIN(AM$6-$G$3,22))&lt;&gt;""),'Milho 1ª safra'!$E12:INDEX('Milho 1ª safra'!$E12:$Z12,MIN(AM$6-$G$3,22))),0)))))</f>
        <v>0</v>
      </c>
      <c r="AN14" s="27" t="n">
        <f aca="false">IF(COUNT('Milho 1ª safra'!$E12:$Z12)=0,0,MAX(0,IF((AN$6-$E$3)&lt;1,0,IFERROR(LOOKUP(2,1/('Milho 1ª safra'!$E12:INDEX('Milho 1ª safra'!$E12:$Z12,MIN(AN$6-$E$3,22))&lt;&gt;""),'Milho 1ª safra'!$E12:INDEX('Milho 1ª safra'!$E12:$Z12,MIN(AN$6-$E$3,22))),0))-IF($G$2,0,IF((AN$6-$G$3)&lt;1,0,IFERROR(LOOKUP(2,1/('Milho 1ª safra'!$E12:INDEX('Milho 1ª safra'!$E12:$Z12,MIN(AN$6-$G$3,22))&lt;&gt;""),'Milho 1ª safra'!$E12:INDEX('Milho 1ª safra'!$E12:$Z12,MIN(AN$6-$G$3,22))),0)))))</f>
        <v>0</v>
      </c>
      <c r="AO14" s="27" t="n">
        <f aca="false">IF(COUNT('Milho 1ª safra'!$E12:$Z12)=0,0,MAX(0,IF((AO$6-$E$3)&lt;1,0,IFERROR(LOOKUP(2,1/('Milho 1ª safra'!$E12:INDEX('Milho 1ª safra'!$E12:$Z12,MIN(AO$6-$E$3,22))&lt;&gt;""),'Milho 1ª safra'!$E12:INDEX('Milho 1ª safra'!$E12:$Z12,MIN(AO$6-$E$3,22))),0))-IF($G$2,0,IF((AO$6-$G$3)&lt;1,0,IFERROR(LOOKUP(2,1/('Milho 1ª safra'!$E12:INDEX('Milho 1ª safra'!$E12:$Z12,MIN(AO$6-$G$3,22))&lt;&gt;""),'Milho 1ª safra'!$E12:INDEX('Milho 1ª safra'!$E12:$Z12,MIN(AO$6-$G$3,22))),0)))))</f>
        <v>0</v>
      </c>
      <c r="AP14" s="27" t="n">
        <f aca="false">IF(COUNT('Milho 1ª safra'!$E12:$Z12)=0,0,MAX(0,IF((AP$6-$E$3)&lt;1,0,IFERROR(LOOKUP(2,1/('Milho 1ª safra'!$E12:INDEX('Milho 1ª safra'!$E12:$Z12,MIN(AP$6-$E$3,22))&lt;&gt;""),'Milho 1ª safra'!$E12:INDEX('Milho 1ª safra'!$E12:$Z12,MIN(AP$6-$E$3,22))),0))-IF($G$2,0,IF((AP$6-$G$3)&lt;1,0,IFERROR(LOOKUP(2,1/('Milho 1ª safra'!$E12:INDEX('Milho 1ª safra'!$E12:$Z12,MIN(AP$6-$G$3,22))&lt;&gt;""),'Milho 1ª safra'!$E12:INDEX('Milho 1ª safra'!$E12:$Z12,MIN(AP$6-$G$3,22))),0)))))</f>
        <v>0</v>
      </c>
      <c r="AQ14" s="27" t="n">
        <f aca="false">IF(COUNT('Milho 1ª safra'!$E12:$Z12)=0,0,MAX(0,IF((AQ$6-$E$3)&lt;1,0,IFERROR(LOOKUP(2,1/('Milho 1ª safra'!$E12:INDEX('Milho 1ª safra'!$E12:$Z12,MIN(AQ$6-$E$3,22))&lt;&gt;""),'Milho 1ª safra'!$E12:INDEX('Milho 1ª safra'!$E12:$Z12,MIN(AQ$6-$E$3,22))),0))-IF($G$2,0,IF((AQ$6-$G$3)&lt;1,0,IFERROR(LOOKUP(2,1/('Milho 1ª safra'!$E12:INDEX('Milho 1ª safra'!$E12:$Z12,MIN(AQ$6-$G$3,22))&lt;&gt;""),'Milho 1ª safra'!$E12:INDEX('Milho 1ª safra'!$E12:$Z12,MIN(AQ$6-$G$3,22))),0)))))</f>
        <v>0</v>
      </c>
      <c r="AR14" s="27" t="n">
        <f aca="false">IF(COUNT('Milho 1ª safra'!$E12:$Z12)=0,0,MAX(0,IF((AR$6-$E$3)&lt;1,0,IFERROR(LOOKUP(2,1/('Milho 1ª safra'!$E12:INDEX('Milho 1ª safra'!$E12:$Z12,MIN(AR$6-$E$3,22))&lt;&gt;""),'Milho 1ª safra'!$E12:INDEX('Milho 1ª safra'!$E12:$Z12,MIN(AR$6-$E$3,22))),0))-IF($G$2,0,IF((AR$6-$G$3)&lt;1,0,IFERROR(LOOKUP(2,1/('Milho 1ª safra'!$E12:INDEX('Milho 1ª safra'!$E12:$Z12,MIN(AR$6-$G$3,22))&lt;&gt;""),'Milho 1ª safra'!$E12:INDEX('Milho 1ª safra'!$E12:$Z12,MIN(AR$6-$G$3,22))),0)))))</f>
        <v>0</v>
      </c>
      <c r="AS14" s="27" t="n">
        <f aca="false">IF(COUNT('Milho 1ª safra'!$E12:$Z12)=0,0,MAX(0,IF((AS$6-$E$3)&lt;1,0,IFERROR(LOOKUP(2,1/('Milho 1ª safra'!$E12:INDEX('Milho 1ª safra'!$E12:$Z12,MIN(AS$6-$E$3,22))&lt;&gt;""),'Milho 1ª safra'!$E12:INDEX('Milho 1ª safra'!$E12:$Z12,MIN(AS$6-$E$3,22))),0))-IF($G$2,0,IF((AS$6-$G$3)&lt;1,0,IFERROR(LOOKUP(2,1/('Milho 1ª safra'!$E12:INDEX('Milho 1ª safra'!$E12:$Z12,MIN(AS$6-$G$3,22))&lt;&gt;""),'Milho 1ª safra'!$E12:INDEX('Milho 1ª safra'!$E12:$Z12,MIN(AS$6-$G$3,22))),0)))))</f>
        <v>0</v>
      </c>
      <c r="AT14" s="27" t="n">
        <f aca="false">IF(COUNT('Milho 1ª safra'!$E12:$Z12)=0,0,MAX(0,IF((AT$6-$E$3)&lt;1,0,IFERROR(LOOKUP(2,1/('Milho 1ª safra'!$E12:INDEX('Milho 1ª safra'!$E12:$Z12,MIN(AT$6-$E$3,22))&lt;&gt;""),'Milho 1ª safra'!$E12:INDEX('Milho 1ª safra'!$E12:$Z12,MIN(AT$6-$E$3,22))),0))-IF($G$2,0,IF((AT$6-$G$3)&lt;1,0,IFERROR(LOOKUP(2,1/('Milho 1ª safra'!$E12:INDEX('Milho 1ª safra'!$E12:$Z12,MIN(AT$6-$G$3,22))&lt;&gt;""),'Milho 1ª safra'!$E12:INDEX('Milho 1ª safra'!$E12:$Z12,MIN(AT$6-$G$3,22))),0)))))</f>
        <v>0</v>
      </c>
      <c r="AU14" s="27" t="n">
        <f aca="false">IF(COUNT('Milho 1ª safra'!$E12:$Z12)=0,0,MAX(0,IF((AU$6-$E$3)&lt;1,0,IFERROR(LOOKUP(2,1/('Milho 1ª safra'!$E12:INDEX('Milho 1ª safra'!$E12:$Z12,MIN(AU$6-$E$3,22))&lt;&gt;""),'Milho 1ª safra'!$E12:INDEX('Milho 1ª safra'!$E12:$Z12,MIN(AU$6-$E$3,22))),0))-IF($G$2,0,IF((AU$6-$G$3)&lt;1,0,IFERROR(LOOKUP(2,1/('Milho 1ª safra'!$E12:INDEX('Milho 1ª safra'!$E12:$Z12,MIN(AU$6-$G$3,22))&lt;&gt;""),'Milho 1ª safra'!$E12:INDEX('Milho 1ª safra'!$E12:$Z12,MIN(AU$6-$G$3,22))),0)))))</f>
        <v>0</v>
      </c>
      <c r="AV14" s="27" t="n">
        <f aca="false">IF(COUNT('Milho 1ª safra'!$E12:$Z12)=0,0,MAX(0,IF((AV$6-$E$3)&lt;1,0,IFERROR(LOOKUP(2,1/('Milho 1ª safra'!$E12:INDEX('Milho 1ª safra'!$E12:$Z12,MIN(AV$6-$E$3,22))&lt;&gt;""),'Milho 1ª safra'!$E12:INDEX('Milho 1ª safra'!$E12:$Z12,MIN(AV$6-$E$3,22))),0))-IF($G$2,0,IF((AV$6-$G$3)&lt;1,0,IFERROR(LOOKUP(2,1/('Milho 1ª safra'!$E12:INDEX('Milho 1ª safra'!$E12:$Z12,MIN(AV$6-$G$3,22))&lt;&gt;""),'Milho 1ª safra'!$E12:INDEX('Milho 1ª safra'!$E12:$Z12,MIN(AV$6-$G$3,22))),0)))))</f>
        <v>0</v>
      </c>
      <c r="AW14" s="27" t="n">
        <f aca="false">IF(COUNT('Milho 1ª safra'!$E12:$Z12)=0,0,MAX(0,IF((AW$6-$E$3)&lt;1,0,IFERROR(LOOKUP(2,1/('Milho 1ª safra'!$E12:INDEX('Milho 1ª safra'!$E12:$Z12,MIN(AW$6-$E$3,22))&lt;&gt;""),'Milho 1ª safra'!$E12:INDEX('Milho 1ª safra'!$E12:$Z12,MIN(AW$6-$E$3,22))),0))-IF($G$2,0,IF((AW$6-$G$3)&lt;1,0,IFERROR(LOOKUP(2,1/('Milho 1ª safra'!$E12:INDEX('Milho 1ª safra'!$E12:$Z12,MIN(AW$6-$G$3,22))&lt;&gt;""),'Milho 1ª safra'!$E12:INDEX('Milho 1ª safra'!$E12:$Z12,MIN(AW$6-$G$3,22))),0)))))</f>
        <v>0</v>
      </c>
      <c r="AX14" s="27" t="n">
        <f aca="false">IF(COUNT('Milho 1ª safra'!$E12:$Z12)=0,0,MAX(0,IF((AX$6-$E$3)&lt;1,0,IFERROR(LOOKUP(2,1/('Milho 1ª safra'!$E12:INDEX('Milho 1ª safra'!$E12:$Z12,MIN(AX$6-$E$3,22))&lt;&gt;""),'Milho 1ª safra'!$E12:INDEX('Milho 1ª safra'!$E12:$Z12,MIN(AX$6-$E$3,22))),0))-IF($G$2,0,IF((AX$6-$G$3)&lt;1,0,IFERROR(LOOKUP(2,1/('Milho 1ª safra'!$E12:INDEX('Milho 1ª safra'!$E12:$Z12,MIN(AX$6-$G$3,22))&lt;&gt;""),'Milho 1ª safra'!$E12:INDEX('Milho 1ª safra'!$E12:$Z12,MIN(AX$6-$G$3,22))),0)))))</f>
        <v>0</v>
      </c>
      <c r="AY14" s="27" t="n">
        <f aca="false">IF(COUNT('Milho 1ª safra'!$E12:$Z12)=0,0,MAX(0,IF((AY$6-$E$3)&lt;1,0,IFERROR(LOOKUP(2,1/('Milho 1ª safra'!$E12:INDEX('Milho 1ª safra'!$E12:$Z12,MIN(AY$6-$E$3,22))&lt;&gt;""),'Milho 1ª safra'!$E12:INDEX('Milho 1ª safra'!$E12:$Z12,MIN(AY$6-$E$3,22))),0))-IF($G$2,0,IF((AY$6-$G$3)&lt;1,0,IFERROR(LOOKUP(2,1/('Milho 1ª safra'!$E12:INDEX('Milho 1ª safra'!$E12:$Z12,MIN(AY$6-$G$3,22))&lt;&gt;""),'Milho 1ª safra'!$E12:INDEX('Milho 1ª safra'!$E12:$Z12,MIN(AY$6-$G$3,22))),0)))))</f>
        <v>0</v>
      </c>
      <c r="AZ14" s="27" t="n">
        <f aca="false">IF(COUNT('Milho 1ª safra'!$E12:$Z12)=0,0,MAX(0,IF((AZ$6-$E$3)&lt;1,0,IFERROR(LOOKUP(2,1/('Milho 1ª safra'!$E12:INDEX('Milho 1ª safra'!$E12:$Z12,MIN(AZ$6-$E$3,22))&lt;&gt;""),'Milho 1ª safra'!$E12:INDEX('Milho 1ª safra'!$E12:$Z12,MIN(AZ$6-$E$3,22))),0))-IF($G$2,0,IF((AZ$6-$G$3)&lt;1,0,IFERROR(LOOKUP(2,1/('Milho 1ª safra'!$E12:INDEX('Milho 1ª safra'!$E12:$Z12,MIN(AZ$6-$G$3,22))&lt;&gt;""),'Milho 1ª safra'!$E12:INDEX('Milho 1ª safra'!$E12:$Z12,MIN(AZ$6-$G$3,22))),0)))))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IF(COUNT('Milho 1ª safra'!$E13:$Z13)&gt;0,N('Milho 1ª safra'!$D13),0)</f>
        <v>0</v>
      </c>
      <c r="E15" s="27" t="n">
        <f aca="false">IF(COUNT('Milho 1ª safra'!$E13:$Z13)=0,0,MAX(0,IF((E$6-$E$3)&lt;1,0,IFERROR(LOOKUP(2,1/('Milho 1ª safra'!$E13:INDEX('Milho 1ª safra'!$E13:$Z13,MIN(E$6-$E$3,22))&lt;&gt;""),'Milho 1ª safra'!$E13:INDEX('Milho 1ª safra'!$E13:$Z13,MIN(E$6-$E$3,22))),0))-IF($G$2,0,IF((E$6-$G$3)&lt;1,0,IFERROR(LOOKUP(2,1/('Milho 1ª safra'!$E13:INDEX('Milho 1ª safra'!$E13:$Z13,MIN(E$6-$G$3,22))&lt;&gt;""),'Milho 1ª safra'!$E13:INDEX('Milho 1ª safra'!$E13:$Z13,MIN(E$6-$G$3,22))),0)))))</f>
        <v>0</v>
      </c>
      <c r="F15" s="27" t="n">
        <f aca="false">IF(COUNT('Milho 1ª safra'!$E13:$Z13)=0,0,MAX(0,IF((F$6-$E$3)&lt;1,0,IFERROR(LOOKUP(2,1/('Milho 1ª safra'!$E13:INDEX('Milho 1ª safra'!$E13:$Z13,MIN(F$6-$E$3,22))&lt;&gt;""),'Milho 1ª safra'!$E13:INDEX('Milho 1ª safra'!$E13:$Z13,MIN(F$6-$E$3,22))),0))-IF($G$2,0,IF((F$6-$G$3)&lt;1,0,IFERROR(LOOKUP(2,1/('Milho 1ª safra'!$E13:INDEX('Milho 1ª safra'!$E13:$Z13,MIN(F$6-$G$3,22))&lt;&gt;""),'Milho 1ª safra'!$E13:INDEX('Milho 1ª safra'!$E13:$Z13,MIN(F$6-$G$3,22))),0)))))</f>
        <v>0</v>
      </c>
      <c r="G15" s="27" t="n">
        <f aca="false">IF(COUNT('Milho 1ª safra'!$E13:$Z13)=0,0,MAX(0,IF((G$6-$E$3)&lt;1,0,IFERROR(LOOKUP(2,1/('Milho 1ª safra'!$E13:INDEX('Milho 1ª safra'!$E13:$Z13,MIN(G$6-$E$3,22))&lt;&gt;""),'Milho 1ª safra'!$E13:INDEX('Milho 1ª safra'!$E13:$Z13,MIN(G$6-$E$3,22))),0))-IF($G$2,0,IF((G$6-$G$3)&lt;1,0,IFERROR(LOOKUP(2,1/('Milho 1ª safra'!$E13:INDEX('Milho 1ª safra'!$E13:$Z13,MIN(G$6-$G$3,22))&lt;&gt;""),'Milho 1ª safra'!$E13:INDEX('Milho 1ª safra'!$E13:$Z13,MIN(G$6-$G$3,22))),0)))))</f>
        <v>0</v>
      </c>
      <c r="H15" s="27" t="n">
        <f aca="false">IF(COUNT('Milho 1ª safra'!$E13:$Z13)=0,0,MAX(0,IF((H$6-$E$3)&lt;1,0,IFERROR(LOOKUP(2,1/('Milho 1ª safra'!$E13:INDEX('Milho 1ª safra'!$E13:$Z13,MIN(H$6-$E$3,22))&lt;&gt;""),'Milho 1ª safra'!$E13:INDEX('Milho 1ª safra'!$E13:$Z13,MIN(H$6-$E$3,22))),0))-IF($G$2,0,IF((H$6-$G$3)&lt;1,0,IFERROR(LOOKUP(2,1/('Milho 1ª safra'!$E13:INDEX('Milho 1ª safra'!$E13:$Z13,MIN(H$6-$G$3,22))&lt;&gt;""),'Milho 1ª safra'!$E13:INDEX('Milho 1ª safra'!$E13:$Z13,MIN(H$6-$G$3,22))),0)))))</f>
        <v>0</v>
      </c>
      <c r="I15" s="27" t="n">
        <f aca="false">IF(COUNT('Milho 1ª safra'!$E13:$Z13)=0,0,MAX(0,IF((I$6-$E$3)&lt;1,0,IFERROR(LOOKUP(2,1/('Milho 1ª safra'!$E13:INDEX('Milho 1ª safra'!$E13:$Z13,MIN(I$6-$E$3,22))&lt;&gt;""),'Milho 1ª safra'!$E13:INDEX('Milho 1ª safra'!$E13:$Z13,MIN(I$6-$E$3,22))),0))-IF($G$2,0,IF((I$6-$G$3)&lt;1,0,IFERROR(LOOKUP(2,1/('Milho 1ª safra'!$E13:INDEX('Milho 1ª safra'!$E13:$Z13,MIN(I$6-$G$3,22))&lt;&gt;""),'Milho 1ª safra'!$E13:INDEX('Milho 1ª safra'!$E13:$Z13,MIN(I$6-$G$3,22))),0)))))</f>
        <v>0</v>
      </c>
      <c r="J15" s="27" t="n">
        <f aca="false">IF(COUNT('Milho 1ª safra'!$E13:$Z13)=0,0,MAX(0,IF((J$6-$E$3)&lt;1,0,IFERROR(LOOKUP(2,1/('Milho 1ª safra'!$E13:INDEX('Milho 1ª safra'!$E13:$Z13,MIN(J$6-$E$3,22))&lt;&gt;""),'Milho 1ª safra'!$E13:INDEX('Milho 1ª safra'!$E13:$Z13,MIN(J$6-$E$3,22))),0))-IF($G$2,0,IF((J$6-$G$3)&lt;1,0,IFERROR(LOOKUP(2,1/('Milho 1ª safra'!$E13:INDEX('Milho 1ª safra'!$E13:$Z13,MIN(J$6-$G$3,22))&lt;&gt;""),'Milho 1ª safra'!$E13:INDEX('Milho 1ª safra'!$E13:$Z13,MIN(J$6-$G$3,22))),0)))))</f>
        <v>0</v>
      </c>
      <c r="K15" s="27" t="n">
        <f aca="false">IF(COUNT('Milho 1ª safra'!$E13:$Z13)=0,0,MAX(0,IF((K$6-$E$3)&lt;1,0,IFERROR(LOOKUP(2,1/('Milho 1ª safra'!$E13:INDEX('Milho 1ª safra'!$E13:$Z13,MIN(K$6-$E$3,22))&lt;&gt;""),'Milho 1ª safra'!$E13:INDEX('Milho 1ª safra'!$E13:$Z13,MIN(K$6-$E$3,22))),0))-IF($G$2,0,IF((K$6-$G$3)&lt;1,0,IFERROR(LOOKUP(2,1/('Milho 1ª safra'!$E13:INDEX('Milho 1ª safra'!$E13:$Z13,MIN(K$6-$G$3,22))&lt;&gt;""),'Milho 1ª safra'!$E13:INDEX('Milho 1ª safra'!$E13:$Z13,MIN(K$6-$G$3,22))),0)))))</f>
        <v>0</v>
      </c>
      <c r="L15" s="27" t="n">
        <f aca="false">IF(COUNT('Milho 1ª safra'!$E13:$Z13)=0,0,MAX(0,IF((L$6-$E$3)&lt;1,0,IFERROR(LOOKUP(2,1/('Milho 1ª safra'!$E13:INDEX('Milho 1ª safra'!$E13:$Z13,MIN(L$6-$E$3,22))&lt;&gt;""),'Milho 1ª safra'!$E13:INDEX('Milho 1ª safra'!$E13:$Z13,MIN(L$6-$E$3,22))),0))-IF($G$2,0,IF((L$6-$G$3)&lt;1,0,IFERROR(LOOKUP(2,1/('Milho 1ª safra'!$E13:INDEX('Milho 1ª safra'!$E13:$Z13,MIN(L$6-$G$3,22))&lt;&gt;""),'Milho 1ª safra'!$E13:INDEX('Milho 1ª safra'!$E13:$Z13,MIN(L$6-$G$3,22))),0)))))</f>
        <v>0</v>
      </c>
      <c r="M15" s="27" t="n">
        <f aca="false">IF(COUNT('Milho 1ª safra'!$E13:$Z13)=0,0,MAX(0,IF((M$6-$E$3)&lt;1,0,IFERROR(LOOKUP(2,1/('Milho 1ª safra'!$E13:INDEX('Milho 1ª safra'!$E13:$Z13,MIN(M$6-$E$3,22))&lt;&gt;""),'Milho 1ª safra'!$E13:INDEX('Milho 1ª safra'!$E13:$Z13,MIN(M$6-$E$3,22))),0))-IF($G$2,0,IF((M$6-$G$3)&lt;1,0,IFERROR(LOOKUP(2,1/('Milho 1ª safra'!$E13:INDEX('Milho 1ª safra'!$E13:$Z13,MIN(M$6-$G$3,22))&lt;&gt;""),'Milho 1ª safra'!$E13:INDEX('Milho 1ª safra'!$E13:$Z13,MIN(M$6-$G$3,22))),0)))))</f>
        <v>0</v>
      </c>
      <c r="N15" s="27" t="n">
        <f aca="false">IF(COUNT('Milho 1ª safra'!$E13:$Z13)=0,0,MAX(0,IF((N$6-$E$3)&lt;1,0,IFERROR(LOOKUP(2,1/('Milho 1ª safra'!$E13:INDEX('Milho 1ª safra'!$E13:$Z13,MIN(N$6-$E$3,22))&lt;&gt;""),'Milho 1ª safra'!$E13:INDEX('Milho 1ª safra'!$E13:$Z13,MIN(N$6-$E$3,22))),0))-IF($G$2,0,IF((N$6-$G$3)&lt;1,0,IFERROR(LOOKUP(2,1/('Milho 1ª safra'!$E13:INDEX('Milho 1ª safra'!$E13:$Z13,MIN(N$6-$G$3,22))&lt;&gt;""),'Milho 1ª safra'!$E13:INDEX('Milho 1ª safra'!$E13:$Z13,MIN(N$6-$G$3,22))),0)))))</f>
        <v>0</v>
      </c>
      <c r="O15" s="27" t="n">
        <f aca="false">IF(COUNT('Milho 1ª safra'!$E13:$Z13)=0,0,MAX(0,IF((O$6-$E$3)&lt;1,0,IFERROR(LOOKUP(2,1/('Milho 1ª safra'!$E13:INDEX('Milho 1ª safra'!$E13:$Z13,MIN(O$6-$E$3,22))&lt;&gt;""),'Milho 1ª safra'!$E13:INDEX('Milho 1ª safra'!$E13:$Z13,MIN(O$6-$E$3,22))),0))-IF($G$2,0,IF((O$6-$G$3)&lt;1,0,IFERROR(LOOKUP(2,1/('Milho 1ª safra'!$E13:INDEX('Milho 1ª safra'!$E13:$Z13,MIN(O$6-$G$3,22))&lt;&gt;""),'Milho 1ª safra'!$E13:INDEX('Milho 1ª safra'!$E13:$Z13,MIN(O$6-$G$3,22))),0)))))</f>
        <v>0</v>
      </c>
      <c r="P15" s="27" t="n">
        <f aca="false">IF(COUNT('Milho 1ª safra'!$E13:$Z13)=0,0,MAX(0,IF((P$6-$E$3)&lt;1,0,IFERROR(LOOKUP(2,1/('Milho 1ª safra'!$E13:INDEX('Milho 1ª safra'!$E13:$Z13,MIN(P$6-$E$3,22))&lt;&gt;""),'Milho 1ª safra'!$E13:INDEX('Milho 1ª safra'!$E13:$Z13,MIN(P$6-$E$3,22))),0))-IF($G$2,0,IF((P$6-$G$3)&lt;1,0,IFERROR(LOOKUP(2,1/('Milho 1ª safra'!$E13:INDEX('Milho 1ª safra'!$E13:$Z13,MIN(P$6-$G$3,22))&lt;&gt;""),'Milho 1ª safra'!$E13:INDEX('Milho 1ª safra'!$E13:$Z13,MIN(P$6-$G$3,22))),0)))))</f>
        <v>0</v>
      </c>
      <c r="Q15" s="27" t="n">
        <f aca="false">IF(COUNT('Milho 1ª safra'!$E13:$Z13)=0,0,MAX(0,IF((Q$6-$E$3)&lt;1,0,IFERROR(LOOKUP(2,1/('Milho 1ª safra'!$E13:INDEX('Milho 1ª safra'!$E13:$Z13,MIN(Q$6-$E$3,22))&lt;&gt;""),'Milho 1ª safra'!$E13:INDEX('Milho 1ª safra'!$E13:$Z13,MIN(Q$6-$E$3,22))),0))-IF($G$2,0,IF((Q$6-$G$3)&lt;1,0,IFERROR(LOOKUP(2,1/('Milho 1ª safra'!$E13:INDEX('Milho 1ª safra'!$E13:$Z13,MIN(Q$6-$G$3,22))&lt;&gt;""),'Milho 1ª safra'!$E13:INDEX('Milho 1ª safra'!$E13:$Z13,MIN(Q$6-$G$3,22))),0)))))</f>
        <v>0</v>
      </c>
      <c r="R15" s="27" t="n">
        <f aca="false">IF(COUNT('Milho 1ª safra'!$E13:$Z13)=0,0,MAX(0,IF((R$6-$E$3)&lt;1,0,IFERROR(LOOKUP(2,1/('Milho 1ª safra'!$E13:INDEX('Milho 1ª safra'!$E13:$Z13,MIN(R$6-$E$3,22))&lt;&gt;""),'Milho 1ª safra'!$E13:INDEX('Milho 1ª safra'!$E13:$Z13,MIN(R$6-$E$3,22))),0))-IF($G$2,0,IF((R$6-$G$3)&lt;1,0,IFERROR(LOOKUP(2,1/('Milho 1ª safra'!$E13:INDEX('Milho 1ª safra'!$E13:$Z13,MIN(R$6-$G$3,22))&lt;&gt;""),'Milho 1ª safra'!$E13:INDEX('Milho 1ª safra'!$E13:$Z13,MIN(R$6-$G$3,22))),0)))))</f>
        <v>0</v>
      </c>
      <c r="S15" s="27" t="n">
        <f aca="false">IF(COUNT('Milho 1ª safra'!$E13:$Z13)=0,0,MAX(0,IF((S$6-$E$3)&lt;1,0,IFERROR(LOOKUP(2,1/('Milho 1ª safra'!$E13:INDEX('Milho 1ª safra'!$E13:$Z13,MIN(S$6-$E$3,22))&lt;&gt;""),'Milho 1ª safra'!$E13:INDEX('Milho 1ª safra'!$E13:$Z13,MIN(S$6-$E$3,22))),0))-IF($G$2,0,IF((S$6-$G$3)&lt;1,0,IFERROR(LOOKUP(2,1/('Milho 1ª safra'!$E13:INDEX('Milho 1ª safra'!$E13:$Z13,MIN(S$6-$G$3,22))&lt;&gt;""),'Milho 1ª safra'!$E13:INDEX('Milho 1ª safra'!$E13:$Z13,MIN(S$6-$G$3,22))),0)))))</f>
        <v>0</v>
      </c>
      <c r="T15" s="27" t="n">
        <f aca="false">IF(COUNT('Milho 1ª safra'!$E13:$Z13)=0,0,MAX(0,IF((T$6-$E$3)&lt;1,0,IFERROR(LOOKUP(2,1/('Milho 1ª safra'!$E13:INDEX('Milho 1ª safra'!$E13:$Z13,MIN(T$6-$E$3,22))&lt;&gt;""),'Milho 1ª safra'!$E13:INDEX('Milho 1ª safra'!$E13:$Z13,MIN(T$6-$E$3,22))),0))-IF($G$2,0,IF((T$6-$G$3)&lt;1,0,IFERROR(LOOKUP(2,1/('Milho 1ª safra'!$E13:INDEX('Milho 1ª safra'!$E13:$Z13,MIN(T$6-$G$3,22))&lt;&gt;""),'Milho 1ª safra'!$E13:INDEX('Milho 1ª safra'!$E13:$Z13,MIN(T$6-$G$3,22))),0)))))</f>
        <v>0</v>
      </c>
      <c r="U15" s="27" t="n">
        <f aca="false">IF(COUNT('Milho 1ª safra'!$E13:$Z13)=0,0,MAX(0,IF((U$6-$E$3)&lt;1,0,IFERROR(LOOKUP(2,1/('Milho 1ª safra'!$E13:INDEX('Milho 1ª safra'!$E13:$Z13,MIN(U$6-$E$3,22))&lt;&gt;""),'Milho 1ª safra'!$E13:INDEX('Milho 1ª safra'!$E13:$Z13,MIN(U$6-$E$3,22))),0))-IF($G$2,0,IF((U$6-$G$3)&lt;1,0,IFERROR(LOOKUP(2,1/('Milho 1ª safra'!$E13:INDEX('Milho 1ª safra'!$E13:$Z13,MIN(U$6-$G$3,22))&lt;&gt;""),'Milho 1ª safra'!$E13:INDEX('Milho 1ª safra'!$E13:$Z13,MIN(U$6-$G$3,22))),0)))))</f>
        <v>0</v>
      </c>
      <c r="V15" s="27" t="n">
        <f aca="false">IF(COUNT('Milho 1ª safra'!$E13:$Z13)=0,0,MAX(0,IF((V$6-$E$3)&lt;1,0,IFERROR(LOOKUP(2,1/('Milho 1ª safra'!$E13:INDEX('Milho 1ª safra'!$E13:$Z13,MIN(V$6-$E$3,22))&lt;&gt;""),'Milho 1ª safra'!$E13:INDEX('Milho 1ª safra'!$E13:$Z13,MIN(V$6-$E$3,22))),0))-IF($G$2,0,IF((V$6-$G$3)&lt;1,0,IFERROR(LOOKUP(2,1/('Milho 1ª safra'!$E13:INDEX('Milho 1ª safra'!$E13:$Z13,MIN(V$6-$G$3,22))&lt;&gt;""),'Milho 1ª safra'!$E13:INDEX('Milho 1ª safra'!$E13:$Z13,MIN(V$6-$G$3,22))),0)))))</f>
        <v>0</v>
      </c>
      <c r="W15" s="27" t="n">
        <f aca="false">IF(COUNT('Milho 1ª safra'!$E13:$Z13)=0,0,MAX(0,IF((W$6-$E$3)&lt;1,0,IFERROR(LOOKUP(2,1/('Milho 1ª safra'!$E13:INDEX('Milho 1ª safra'!$E13:$Z13,MIN(W$6-$E$3,22))&lt;&gt;""),'Milho 1ª safra'!$E13:INDEX('Milho 1ª safra'!$E13:$Z13,MIN(W$6-$E$3,22))),0))-IF($G$2,0,IF((W$6-$G$3)&lt;1,0,IFERROR(LOOKUP(2,1/('Milho 1ª safra'!$E13:INDEX('Milho 1ª safra'!$E13:$Z13,MIN(W$6-$G$3,22))&lt;&gt;""),'Milho 1ª safra'!$E13:INDEX('Milho 1ª safra'!$E13:$Z13,MIN(W$6-$G$3,22))),0)))))</f>
        <v>0</v>
      </c>
      <c r="X15" s="27" t="n">
        <f aca="false">IF(COUNT('Milho 1ª safra'!$E13:$Z13)=0,0,MAX(0,IF((X$6-$E$3)&lt;1,0,IFERROR(LOOKUP(2,1/('Milho 1ª safra'!$E13:INDEX('Milho 1ª safra'!$E13:$Z13,MIN(X$6-$E$3,22))&lt;&gt;""),'Milho 1ª safra'!$E13:INDEX('Milho 1ª safra'!$E13:$Z13,MIN(X$6-$E$3,22))),0))-IF($G$2,0,IF((X$6-$G$3)&lt;1,0,IFERROR(LOOKUP(2,1/('Milho 1ª safra'!$E13:INDEX('Milho 1ª safra'!$E13:$Z13,MIN(X$6-$G$3,22))&lt;&gt;""),'Milho 1ª safra'!$E13:INDEX('Milho 1ª safra'!$E13:$Z13,MIN(X$6-$G$3,22))),0)))))</f>
        <v>0</v>
      </c>
      <c r="Y15" s="27" t="n">
        <f aca="false">IF(COUNT('Milho 1ª safra'!$E13:$Z13)=0,0,MAX(0,IF((Y$6-$E$3)&lt;1,0,IFERROR(LOOKUP(2,1/('Milho 1ª safra'!$E13:INDEX('Milho 1ª safra'!$E13:$Z13,MIN(Y$6-$E$3,22))&lt;&gt;""),'Milho 1ª safra'!$E13:INDEX('Milho 1ª safra'!$E13:$Z13,MIN(Y$6-$E$3,22))),0))-IF($G$2,0,IF((Y$6-$G$3)&lt;1,0,IFERROR(LOOKUP(2,1/('Milho 1ª safra'!$E13:INDEX('Milho 1ª safra'!$E13:$Z13,MIN(Y$6-$G$3,22))&lt;&gt;""),'Milho 1ª safra'!$E13:INDEX('Milho 1ª safra'!$E13:$Z13,MIN(Y$6-$G$3,22))),0)))))</f>
        <v>0</v>
      </c>
      <c r="Z15" s="27" t="n">
        <f aca="false">IF(COUNT('Milho 1ª safra'!$E13:$Z13)=0,0,MAX(0,IF((Z$6-$E$3)&lt;1,0,IFERROR(LOOKUP(2,1/('Milho 1ª safra'!$E13:INDEX('Milho 1ª safra'!$E13:$Z13,MIN(Z$6-$E$3,22))&lt;&gt;""),'Milho 1ª safra'!$E13:INDEX('Milho 1ª safra'!$E13:$Z13,MIN(Z$6-$E$3,22))),0))-IF($G$2,0,IF((Z$6-$G$3)&lt;1,0,IFERROR(LOOKUP(2,1/('Milho 1ª safra'!$E13:INDEX('Milho 1ª safra'!$E13:$Z13,MIN(Z$6-$G$3,22))&lt;&gt;""),'Milho 1ª safra'!$E13:INDEX('Milho 1ª safra'!$E13:$Z13,MIN(Z$6-$G$3,22))),0)))))</f>
        <v>0</v>
      </c>
      <c r="AA15" s="27" t="n">
        <f aca="false">IF(COUNT('Milho 1ª safra'!$E13:$Z13)=0,0,MAX(0,IF((AA$6-$E$3)&lt;1,0,IFERROR(LOOKUP(2,1/('Milho 1ª safra'!$E13:INDEX('Milho 1ª safra'!$E13:$Z13,MIN(AA$6-$E$3,22))&lt;&gt;""),'Milho 1ª safra'!$E13:INDEX('Milho 1ª safra'!$E13:$Z13,MIN(AA$6-$E$3,22))),0))-IF($G$2,0,IF((AA$6-$G$3)&lt;1,0,IFERROR(LOOKUP(2,1/('Milho 1ª safra'!$E13:INDEX('Milho 1ª safra'!$E13:$Z13,MIN(AA$6-$G$3,22))&lt;&gt;""),'Milho 1ª safra'!$E13:INDEX('Milho 1ª safra'!$E13:$Z13,MIN(AA$6-$G$3,22))),0)))))</f>
        <v>0</v>
      </c>
      <c r="AB15" s="27" t="n">
        <f aca="false">IF(COUNT('Milho 1ª safra'!$E13:$Z13)=0,0,MAX(0,IF((AB$6-$E$3)&lt;1,0,IFERROR(LOOKUP(2,1/('Milho 1ª safra'!$E13:INDEX('Milho 1ª safra'!$E13:$Z13,MIN(AB$6-$E$3,22))&lt;&gt;""),'Milho 1ª safra'!$E13:INDEX('Milho 1ª safra'!$E13:$Z13,MIN(AB$6-$E$3,22))),0))-IF($G$2,0,IF((AB$6-$G$3)&lt;1,0,IFERROR(LOOKUP(2,1/('Milho 1ª safra'!$E13:INDEX('Milho 1ª safra'!$E13:$Z13,MIN(AB$6-$G$3,22))&lt;&gt;""),'Milho 1ª safra'!$E13:INDEX('Milho 1ª safra'!$E13:$Z13,MIN(AB$6-$G$3,22))),0)))))</f>
        <v>0</v>
      </c>
      <c r="AC15" s="27" t="n">
        <f aca="false">IF(COUNT('Milho 1ª safra'!$E13:$Z13)=0,0,MAX(0,IF((AC$6-$E$3)&lt;1,0,IFERROR(LOOKUP(2,1/('Milho 1ª safra'!$E13:INDEX('Milho 1ª safra'!$E13:$Z13,MIN(AC$6-$E$3,22))&lt;&gt;""),'Milho 1ª safra'!$E13:INDEX('Milho 1ª safra'!$E13:$Z13,MIN(AC$6-$E$3,22))),0))-IF($G$2,0,IF((AC$6-$G$3)&lt;1,0,IFERROR(LOOKUP(2,1/('Milho 1ª safra'!$E13:INDEX('Milho 1ª safra'!$E13:$Z13,MIN(AC$6-$G$3,22))&lt;&gt;""),'Milho 1ª safra'!$E13:INDEX('Milho 1ª safra'!$E13:$Z13,MIN(AC$6-$G$3,22))),0)))))</f>
        <v>0</v>
      </c>
      <c r="AD15" s="27" t="n">
        <f aca="false">IF(COUNT('Milho 1ª safra'!$E13:$Z13)=0,0,MAX(0,IF((AD$6-$E$3)&lt;1,0,IFERROR(LOOKUP(2,1/('Milho 1ª safra'!$E13:INDEX('Milho 1ª safra'!$E13:$Z13,MIN(AD$6-$E$3,22))&lt;&gt;""),'Milho 1ª safra'!$E13:INDEX('Milho 1ª safra'!$E13:$Z13,MIN(AD$6-$E$3,22))),0))-IF($G$2,0,IF((AD$6-$G$3)&lt;1,0,IFERROR(LOOKUP(2,1/('Milho 1ª safra'!$E13:INDEX('Milho 1ª safra'!$E13:$Z13,MIN(AD$6-$G$3,22))&lt;&gt;""),'Milho 1ª safra'!$E13:INDEX('Milho 1ª safra'!$E13:$Z13,MIN(AD$6-$G$3,22))),0)))))</f>
        <v>0</v>
      </c>
      <c r="AE15" s="27" t="n">
        <f aca="false">IF(COUNT('Milho 1ª safra'!$E13:$Z13)=0,0,MAX(0,IF((AE$6-$E$3)&lt;1,0,IFERROR(LOOKUP(2,1/('Milho 1ª safra'!$E13:INDEX('Milho 1ª safra'!$E13:$Z13,MIN(AE$6-$E$3,22))&lt;&gt;""),'Milho 1ª safra'!$E13:INDEX('Milho 1ª safra'!$E13:$Z13,MIN(AE$6-$E$3,22))),0))-IF($G$2,0,IF((AE$6-$G$3)&lt;1,0,IFERROR(LOOKUP(2,1/('Milho 1ª safra'!$E13:INDEX('Milho 1ª safra'!$E13:$Z13,MIN(AE$6-$G$3,22))&lt;&gt;""),'Milho 1ª safra'!$E13:INDEX('Milho 1ª safra'!$E13:$Z13,MIN(AE$6-$G$3,22))),0)))))</f>
        <v>0</v>
      </c>
      <c r="AF15" s="27" t="n">
        <f aca="false">IF(COUNT('Milho 1ª safra'!$E13:$Z13)=0,0,MAX(0,IF((AF$6-$E$3)&lt;1,0,IFERROR(LOOKUP(2,1/('Milho 1ª safra'!$E13:INDEX('Milho 1ª safra'!$E13:$Z13,MIN(AF$6-$E$3,22))&lt;&gt;""),'Milho 1ª safra'!$E13:INDEX('Milho 1ª safra'!$E13:$Z13,MIN(AF$6-$E$3,22))),0))-IF($G$2,0,IF((AF$6-$G$3)&lt;1,0,IFERROR(LOOKUP(2,1/('Milho 1ª safra'!$E13:INDEX('Milho 1ª safra'!$E13:$Z13,MIN(AF$6-$G$3,22))&lt;&gt;""),'Milho 1ª safra'!$E13:INDEX('Milho 1ª safra'!$E13:$Z13,MIN(AF$6-$G$3,22))),0)))))</f>
        <v>0</v>
      </c>
      <c r="AG15" s="27" t="n">
        <f aca="false">IF(COUNT('Milho 1ª safra'!$E13:$Z13)=0,0,MAX(0,IF((AG$6-$E$3)&lt;1,0,IFERROR(LOOKUP(2,1/('Milho 1ª safra'!$E13:INDEX('Milho 1ª safra'!$E13:$Z13,MIN(AG$6-$E$3,22))&lt;&gt;""),'Milho 1ª safra'!$E13:INDEX('Milho 1ª safra'!$E13:$Z13,MIN(AG$6-$E$3,22))),0))-IF($G$2,0,IF((AG$6-$G$3)&lt;1,0,IFERROR(LOOKUP(2,1/('Milho 1ª safra'!$E13:INDEX('Milho 1ª safra'!$E13:$Z13,MIN(AG$6-$G$3,22))&lt;&gt;""),'Milho 1ª safra'!$E13:INDEX('Milho 1ª safra'!$E13:$Z13,MIN(AG$6-$G$3,22))),0)))))</f>
        <v>0</v>
      </c>
      <c r="AH15" s="27" t="n">
        <f aca="false">IF(COUNT('Milho 1ª safra'!$E13:$Z13)=0,0,MAX(0,IF((AH$6-$E$3)&lt;1,0,IFERROR(LOOKUP(2,1/('Milho 1ª safra'!$E13:INDEX('Milho 1ª safra'!$E13:$Z13,MIN(AH$6-$E$3,22))&lt;&gt;""),'Milho 1ª safra'!$E13:INDEX('Milho 1ª safra'!$E13:$Z13,MIN(AH$6-$E$3,22))),0))-IF($G$2,0,IF((AH$6-$G$3)&lt;1,0,IFERROR(LOOKUP(2,1/('Milho 1ª safra'!$E13:INDEX('Milho 1ª safra'!$E13:$Z13,MIN(AH$6-$G$3,22))&lt;&gt;""),'Milho 1ª safra'!$E13:INDEX('Milho 1ª safra'!$E13:$Z13,MIN(AH$6-$G$3,22))),0)))))</f>
        <v>0</v>
      </c>
      <c r="AI15" s="27" t="n">
        <f aca="false">IF(COUNT('Milho 1ª safra'!$E13:$Z13)=0,0,MAX(0,IF((AI$6-$E$3)&lt;1,0,IFERROR(LOOKUP(2,1/('Milho 1ª safra'!$E13:INDEX('Milho 1ª safra'!$E13:$Z13,MIN(AI$6-$E$3,22))&lt;&gt;""),'Milho 1ª safra'!$E13:INDEX('Milho 1ª safra'!$E13:$Z13,MIN(AI$6-$E$3,22))),0))-IF($G$2,0,IF((AI$6-$G$3)&lt;1,0,IFERROR(LOOKUP(2,1/('Milho 1ª safra'!$E13:INDEX('Milho 1ª safra'!$E13:$Z13,MIN(AI$6-$G$3,22))&lt;&gt;""),'Milho 1ª safra'!$E13:INDEX('Milho 1ª safra'!$E13:$Z13,MIN(AI$6-$G$3,22))),0)))))</f>
        <v>0</v>
      </c>
      <c r="AJ15" s="27" t="n">
        <f aca="false">IF(COUNT('Milho 1ª safra'!$E13:$Z13)=0,0,MAX(0,IF((AJ$6-$E$3)&lt;1,0,IFERROR(LOOKUP(2,1/('Milho 1ª safra'!$E13:INDEX('Milho 1ª safra'!$E13:$Z13,MIN(AJ$6-$E$3,22))&lt;&gt;""),'Milho 1ª safra'!$E13:INDEX('Milho 1ª safra'!$E13:$Z13,MIN(AJ$6-$E$3,22))),0))-IF($G$2,0,IF((AJ$6-$G$3)&lt;1,0,IFERROR(LOOKUP(2,1/('Milho 1ª safra'!$E13:INDEX('Milho 1ª safra'!$E13:$Z13,MIN(AJ$6-$G$3,22))&lt;&gt;""),'Milho 1ª safra'!$E13:INDEX('Milho 1ª safra'!$E13:$Z13,MIN(AJ$6-$G$3,22))),0)))))</f>
        <v>0</v>
      </c>
      <c r="AK15" s="27" t="n">
        <f aca="false">IF(COUNT('Milho 1ª safra'!$E13:$Z13)=0,0,MAX(0,IF((AK$6-$E$3)&lt;1,0,IFERROR(LOOKUP(2,1/('Milho 1ª safra'!$E13:INDEX('Milho 1ª safra'!$E13:$Z13,MIN(AK$6-$E$3,22))&lt;&gt;""),'Milho 1ª safra'!$E13:INDEX('Milho 1ª safra'!$E13:$Z13,MIN(AK$6-$E$3,22))),0))-IF($G$2,0,IF((AK$6-$G$3)&lt;1,0,IFERROR(LOOKUP(2,1/('Milho 1ª safra'!$E13:INDEX('Milho 1ª safra'!$E13:$Z13,MIN(AK$6-$G$3,22))&lt;&gt;""),'Milho 1ª safra'!$E13:INDEX('Milho 1ª safra'!$E13:$Z13,MIN(AK$6-$G$3,22))),0)))))</f>
        <v>0</v>
      </c>
      <c r="AL15" s="27" t="n">
        <f aca="false">IF(COUNT('Milho 1ª safra'!$E13:$Z13)=0,0,MAX(0,IF((AL$6-$E$3)&lt;1,0,IFERROR(LOOKUP(2,1/('Milho 1ª safra'!$E13:INDEX('Milho 1ª safra'!$E13:$Z13,MIN(AL$6-$E$3,22))&lt;&gt;""),'Milho 1ª safra'!$E13:INDEX('Milho 1ª safra'!$E13:$Z13,MIN(AL$6-$E$3,22))),0))-IF($G$2,0,IF((AL$6-$G$3)&lt;1,0,IFERROR(LOOKUP(2,1/('Milho 1ª safra'!$E13:INDEX('Milho 1ª safra'!$E13:$Z13,MIN(AL$6-$G$3,22))&lt;&gt;""),'Milho 1ª safra'!$E13:INDEX('Milho 1ª safra'!$E13:$Z13,MIN(AL$6-$G$3,22))),0)))))</f>
        <v>0</v>
      </c>
      <c r="AM15" s="27" t="n">
        <f aca="false">IF(COUNT('Milho 1ª safra'!$E13:$Z13)=0,0,MAX(0,IF((AM$6-$E$3)&lt;1,0,IFERROR(LOOKUP(2,1/('Milho 1ª safra'!$E13:INDEX('Milho 1ª safra'!$E13:$Z13,MIN(AM$6-$E$3,22))&lt;&gt;""),'Milho 1ª safra'!$E13:INDEX('Milho 1ª safra'!$E13:$Z13,MIN(AM$6-$E$3,22))),0))-IF($G$2,0,IF((AM$6-$G$3)&lt;1,0,IFERROR(LOOKUP(2,1/('Milho 1ª safra'!$E13:INDEX('Milho 1ª safra'!$E13:$Z13,MIN(AM$6-$G$3,22))&lt;&gt;""),'Milho 1ª safra'!$E13:INDEX('Milho 1ª safra'!$E13:$Z13,MIN(AM$6-$G$3,22))),0)))))</f>
        <v>0</v>
      </c>
      <c r="AN15" s="27" t="n">
        <f aca="false">IF(COUNT('Milho 1ª safra'!$E13:$Z13)=0,0,MAX(0,IF((AN$6-$E$3)&lt;1,0,IFERROR(LOOKUP(2,1/('Milho 1ª safra'!$E13:INDEX('Milho 1ª safra'!$E13:$Z13,MIN(AN$6-$E$3,22))&lt;&gt;""),'Milho 1ª safra'!$E13:INDEX('Milho 1ª safra'!$E13:$Z13,MIN(AN$6-$E$3,22))),0))-IF($G$2,0,IF((AN$6-$G$3)&lt;1,0,IFERROR(LOOKUP(2,1/('Milho 1ª safra'!$E13:INDEX('Milho 1ª safra'!$E13:$Z13,MIN(AN$6-$G$3,22))&lt;&gt;""),'Milho 1ª safra'!$E13:INDEX('Milho 1ª safra'!$E13:$Z13,MIN(AN$6-$G$3,22))),0)))))</f>
        <v>0</v>
      </c>
      <c r="AO15" s="27" t="n">
        <f aca="false">IF(COUNT('Milho 1ª safra'!$E13:$Z13)=0,0,MAX(0,IF((AO$6-$E$3)&lt;1,0,IFERROR(LOOKUP(2,1/('Milho 1ª safra'!$E13:INDEX('Milho 1ª safra'!$E13:$Z13,MIN(AO$6-$E$3,22))&lt;&gt;""),'Milho 1ª safra'!$E13:INDEX('Milho 1ª safra'!$E13:$Z13,MIN(AO$6-$E$3,22))),0))-IF($G$2,0,IF((AO$6-$G$3)&lt;1,0,IFERROR(LOOKUP(2,1/('Milho 1ª safra'!$E13:INDEX('Milho 1ª safra'!$E13:$Z13,MIN(AO$6-$G$3,22))&lt;&gt;""),'Milho 1ª safra'!$E13:INDEX('Milho 1ª safra'!$E13:$Z13,MIN(AO$6-$G$3,22))),0)))))</f>
        <v>0</v>
      </c>
      <c r="AP15" s="27" t="n">
        <f aca="false">IF(COUNT('Milho 1ª safra'!$E13:$Z13)=0,0,MAX(0,IF((AP$6-$E$3)&lt;1,0,IFERROR(LOOKUP(2,1/('Milho 1ª safra'!$E13:INDEX('Milho 1ª safra'!$E13:$Z13,MIN(AP$6-$E$3,22))&lt;&gt;""),'Milho 1ª safra'!$E13:INDEX('Milho 1ª safra'!$E13:$Z13,MIN(AP$6-$E$3,22))),0))-IF($G$2,0,IF((AP$6-$G$3)&lt;1,0,IFERROR(LOOKUP(2,1/('Milho 1ª safra'!$E13:INDEX('Milho 1ª safra'!$E13:$Z13,MIN(AP$6-$G$3,22))&lt;&gt;""),'Milho 1ª safra'!$E13:INDEX('Milho 1ª safra'!$E13:$Z13,MIN(AP$6-$G$3,22))),0)))))</f>
        <v>0</v>
      </c>
      <c r="AQ15" s="27" t="n">
        <f aca="false">IF(COUNT('Milho 1ª safra'!$E13:$Z13)=0,0,MAX(0,IF((AQ$6-$E$3)&lt;1,0,IFERROR(LOOKUP(2,1/('Milho 1ª safra'!$E13:INDEX('Milho 1ª safra'!$E13:$Z13,MIN(AQ$6-$E$3,22))&lt;&gt;""),'Milho 1ª safra'!$E13:INDEX('Milho 1ª safra'!$E13:$Z13,MIN(AQ$6-$E$3,22))),0))-IF($G$2,0,IF((AQ$6-$G$3)&lt;1,0,IFERROR(LOOKUP(2,1/('Milho 1ª safra'!$E13:INDEX('Milho 1ª safra'!$E13:$Z13,MIN(AQ$6-$G$3,22))&lt;&gt;""),'Milho 1ª safra'!$E13:INDEX('Milho 1ª safra'!$E13:$Z13,MIN(AQ$6-$G$3,22))),0)))))</f>
        <v>0</v>
      </c>
      <c r="AR15" s="27" t="n">
        <f aca="false">IF(COUNT('Milho 1ª safra'!$E13:$Z13)=0,0,MAX(0,IF((AR$6-$E$3)&lt;1,0,IFERROR(LOOKUP(2,1/('Milho 1ª safra'!$E13:INDEX('Milho 1ª safra'!$E13:$Z13,MIN(AR$6-$E$3,22))&lt;&gt;""),'Milho 1ª safra'!$E13:INDEX('Milho 1ª safra'!$E13:$Z13,MIN(AR$6-$E$3,22))),0))-IF($G$2,0,IF((AR$6-$G$3)&lt;1,0,IFERROR(LOOKUP(2,1/('Milho 1ª safra'!$E13:INDEX('Milho 1ª safra'!$E13:$Z13,MIN(AR$6-$G$3,22))&lt;&gt;""),'Milho 1ª safra'!$E13:INDEX('Milho 1ª safra'!$E13:$Z13,MIN(AR$6-$G$3,22))),0)))))</f>
        <v>0</v>
      </c>
      <c r="AS15" s="27" t="n">
        <f aca="false">IF(COUNT('Milho 1ª safra'!$E13:$Z13)=0,0,MAX(0,IF((AS$6-$E$3)&lt;1,0,IFERROR(LOOKUP(2,1/('Milho 1ª safra'!$E13:INDEX('Milho 1ª safra'!$E13:$Z13,MIN(AS$6-$E$3,22))&lt;&gt;""),'Milho 1ª safra'!$E13:INDEX('Milho 1ª safra'!$E13:$Z13,MIN(AS$6-$E$3,22))),0))-IF($G$2,0,IF((AS$6-$G$3)&lt;1,0,IFERROR(LOOKUP(2,1/('Milho 1ª safra'!$E13:INDEX('Milho 1ª safra'!$E13:$Z13,MIN(AS$6-$G$3,22))&lt;&gt;""),'Milho 1ª safra'!$E13:INDEX('Milho 1ª safra'!$E13:$Z13,MIN(AS$6-$G$3,22))),0)))))</f>
        <v>0</v>
      </c>
      <c r="AT15" s="27" t="n">
        <f aca="false">IF(COUNT('Milho 1ª safra'!$E13:$Z13)=0,0,MAX(0,IF((AT$6-$E$3)&lt;1,0,IFERROR(LOOKUP(2,1/('Milho 1ª safra'!$E13:INDEX('Milho 1ª safra'!$E13:$Z13,MIN(AT$6-$E$3,22))&lt;&gt;""),'Milho 1ª safra'!$E13:INDEX('Milho 1ª safra'!$E13:$Z13,MIN(AT$6-$E$3,22))),0))-IF($G$2,0,IF((AT$6-$G$3)&lt;1,0,IFERROR(LOOKUP(2,1/('Milho 1ª safra'!$E13:INDEX('Milho 1ª safra'!$E13:$Z13,MIN(AT$6-$G$3,22))&lt;&gt;""),'Milho 1ª safra'!$E13:INDEX('Milho 1ª safra'!$E13:$Z13,MIN(AT$6-$G$3,22))),0)))))</f>
        <v>0</v>
      </c>
      <c r="AU15" s="27" t="n">
        <f aca="false">IF(COUNT('Milho 1ª safra'!$E13:$Z13)=0,0,MAX(0,IF((AU$6-$E$3)&lt;1,0,IFERROR(LOOKUP(2,1/('Milho 1ª safra'!$E13:INDEX('Milho 1ª safra'!$E13:$Z13,MIN(AU$6-$E$3,22))&lt;&gt;""),'Milho 1ª safra'!$E13:INDEX('Milho 1ª safra'!$E13:$Z13,MIN(AU$6-$E$3,22))),0))-IF($G$2,0,IF((AU$6-$G$3)&lt;1,0,IFERROR(LOOKUP(2,1/('Milho 1ª safra'!$E13:INDEX('Milho 1ª safra'!$E13:$Z13,MIN(AU$6-$G$3,22))&lt;&gt;""),'Milho 1ª safra'!$E13:INDEX('Milho 1ª safra'!$E13:$Z13,MIN(AU$6-$G$3,22))),0)))))</f>
        <v>0</v>
      </c>
      <c r="AV15" s="27" t="n">
        <f aca="false">IF(COUNT('Milho 1ª safra'!$E13:$Z13)=0,0,MAX(0,IF((AV$6-$E$3)&lt;1,0,IFERROR(LOOKUP(2,1/('Milho 1ª safra'!$E13:INDEX('Milho 1ª safra'!$E13:$Z13,MIN(AV$6-$E$3,22))&lt;&gt;""),'Milho 1ª safra'!$E13:INDEX('Milho 1ª safra'!$E13:$Z13,MIN(AV$6-$E$3,22))),0))-IF($G$2,0,IF((AV$6-$G$3)&lt;1,0,IFERROR(LOOKUP(2,1/('Milho 1ª safra'!$E13:INDEX('Milho 1ª safra'!$E13:$Z13,MIN(AV$6-$G$3,22))&lt;&gt;""),'Milho 1ª safra'!$E13:INDEX('Milho 1ª safra'!$E13:$Z13,MIN(AV$6-$G$3,22))),0)))))</f>
        <v>0</v>
      </c>
      <c r="AW15" s="27" t="n">
        <f aca="false">IF(COUNT('Milho 1ª safra'!$E13:$Z13)=0,0,MAX(0,IF((AW$6-$E$3)&lt;1,0,IFERROR(LOOKUP(2,1/('Milho 1ª safra'!$E13:INDEX('Milho 1ª safra'!$E13:$Z13,MIN(AW$6-$E$3,22))&lt;&gt;""),'Milho 1ª safra'!$E13:INDEX('Milho 1ª safra'!$E13:$Z13,MIN(AW$6-$E$3,22))),0))-IF($G$2,0,IF((AW$6-$G$3)&lt;1,0,IFERROR(LOOKUP(2,1/('Milho 1ª safra'!$E13:INDEX('Milho 1ª safra'!$E13:$Z13,MIN(AW$6-$G$3,22))&lt;&gt;""),'Milho 1ª safra'!$E13:INDEX('Milho 1ª safra'!$E13:$Z13,MIN(AW$6-$G$3,22))),0)))))</f>
        <v>0</v>
      </c>
      <c r="AX15" s="27" t="n">
        <f aca="false">IF(COUNT('Milho 1ª safra'!$E13:$Z13)=0,0,MAX(0,IF((AX$6-$E$3)&lt;1,0,IFERROR(LOOKUP(2,1/('Milho 1ª safra'!$E13:INDEX('Milho 1ª safra'!$E13:$Z13,MIN(AX$6-$E$3,22))&lt;&gt;""),'Milho 1ª safra'!$E13:INDEX('Milho 1ª safra'!$E13:$Z13,MIN(AX$6-$E$3,22))),0))-IF($G$2,0,IF((AX$6-$G$3)&lt;1,0,IFERROR(LOOKUP(2,1/('Milho 1ª safra'!$E13:INDEX('Milho 1ª safra'!$E13:$Z13,MIN(AX$6-$G$3,22))&lt;&gt;""),'Milho 1ª safra'!$E13:INDEX('Milho 1ª safra'!$E13:$Z13,MIN(AX$6-$G$3,22))),0)))))</f>
        <v>0</v>
      </c>
      <c r="AY15" s="27" t="n">
        <f aca="false">IF(COUNT('Milho 1ª safra'!$E13:$Z13)=0,0,MAX(0,IF((AY$6-$E$3)&lt;1,0,IFERROR(LOOKUP(2,1/('Milho 1ª safra'!$E13:INDEX('Milho 1ª safra'!$E13:$Z13,MIN(AY$6-$E$3,22))&lt;&gt;""),'Milho 1ª safra'!$E13:INDEX('Milho 1ª safra'!$E13:$Z13,MIN(AY$6-$E$3,22))),0))-IF($G$2,0,IF((AY$6-$G$3)&lt;1,0,IFERROR(LOOKUP(2,1/('Milho 1ª safra'!$E13:INDEX('Milho 1ª safra'!$E13:$Z13,MIN(AY$6-$G$3,22))&lt;&gt;""),'Milho 1ª safra'!$E13:INDEX('Milho 1ª safra'!$E13:$Z13,MIN(AY$6-$G$3,22))),0)))))</f>
        <v>0</v>
      </c>
      <c r="AZ15" s="27" t="n">
        <f aca="false">IF(COUNT('Milho 1ª safra'!$E13:$Z13)=0,0,MAX(0,IF((AZ$6-$E$3)&lt;1,0,IFERROR(LOOKUP(2,1/('Milho 1ª safra'!$E13:INDEX('Milho 1ª safra'!$E13:$Z13,MIN(AZ$6-$E$3,22))&lt;&gt;""),'Milho 1ª safra'!$E13:INDEX('Milho 1ª safra'!$E13:$Z13,MIN(AZ$6-$E$3,22))),0))-IF($G$2,0,IF((AZ$6-$G$3)&lt;1,0,IFERROR(LOOKUP(2,1/('Milho 1ª safra'!$E13:INDEX('Milho 1ª safra'!$E13:$Z13,MIN(AZ$6-$G$3,22))&lt;&gt;""),'Milho 1ª safra'!$E13:INDEX('Milho 1ª safra'!$E13:$Z13,MIN(AZ$6-$G$3,22))),0)))))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IF(COUNT('Milho 1ª safra'!$E14:$Z14)&gt;0,N('Milho 1ª safra'!$D14),0)</f>
        <v>0</v>
      </c>
      <c r="E16" s="27" t="n">
        <f aca="false">IF(COUNT('Milho 1ª safra'!$E14:$Z14)=0,0,MAX(0,IF((E$6-$E$3)&lt;1,0,IFERROR(LOOKUP(2,1/('Milho 1ª safra'!$E14:INDEX('Milho 1ª safra'!$E14:$Z14,MIN(E$6-$E$3,22))&lt;&gt;""),'Milho 1ª safra'!$E14:INDEX('Milho 1ª safra'!$E14:$Z14,MIN(E$6-$E$3,22))),0))-IF($G$2,0,IF((E$6-$G$3)&lt;1,0,IFERROR(LOOKUP(2,1/('Milho 1ª safra'!$E14:INDEX('Milho 1ª safra'!$E14:$Z14,MIN(E$6-$G$3,22))&lt;&gt;""),'Milho 1ª safra'!$E14:INDEX('Milho 1ª safra'!$E14:$Z14,MIN(E$6-$G$3,22))),0)))))</f>
        <v>0</v>
      </c>
      <c r="F16" s="27" t="n">
        <f aca="false">IF(COUNT('Milho 1ª safra'!$E14:$Z14)=0,0,MAX(0,IF((F$6-$E$3)&lt;1,0,IFERROR(LOOKUP(2,1/('Milho 1ª safra'!$E14:INDEX('Milho 1ª safra'!$E14:$Z14,MIN(F$6-$E$3,22))&lt;&gt;""),'Milho 1ª safra'!$E14:INDEX('Milho 1ª safra'!$E14:$Z14,MIN(F$6-$E$3,22))),0))-IF($G$2,0,IF((F$6-$G$3)&lt;1,0,IFERROR(LOOKUP(2,1/('Milho 1ª safra'!$E14:INDEX('Milho 1ª safra'!$E14:$Z14,MIN(F$6-$G$3,22))&lt;&gt;""),'Milho 1ª safra'!$E14:INDEX('Milho 1ª safra'!$E14:$Z14,MIN(F$6-$G$3,22))),0)))))</f>
        <v>0</v>
      </c>
      <c r="G16" s="27" t="n">
        <f aca="false">IF(COUNT('Milho 1ª safra'!$E14:$Z14)=0,0,MAX(0,IF((G$6-$E$3)&lt;1,0,IFERROR(LOOKUP(2,1/('Milho 1ª safra'!$E14:INDEX('Milho 1ª safra'!$E14:$Z14,MIN(G$6-$E$3,22))&lt;&gt;""),'Milho 1ª safra'!$E14:INDEX('Milho 1ª safra'!$E14:$Z14,MIN(G$6-$E$3,22))),0))-IF($G$2,0,IF((G$6-$G$3)&lt;1,0,IFERROR(LOOKUP(2,1/('Milho 1ª safra'!$E14:INDEX('Milho 1ª safra'!$E14:$Z14,MIN(G$6-$G$3,22))&lt;&gt;""),'Milho 1ª safra'!$E14:INDEX('Milho 1ª safra'!$E14:$Z14,MIN(G$6-$G$3,22))),0)))))</f>
        <v>0</v>
      </c>
      <c r="H16" s="27" t="n">
        <f aca="false">IF(COUNT('Milho 1ª safra'!$E14:$Z14)=0,0,MAX(0,IF((H$6-$E$3)&lt;1,0,IFERROR(LOOKUP(2,1/('Milho 1ª safra'!$E14:INDEX('Milho 1ª safra'!$E14:$Z14,MIN(H$6-$E$3,22))&lt;&gt;""),'Milho 1ª safra'!$E14:INDEX('Milho 1ª safra'!$E14:$Z14,MIN(H$6-$E$3,22))),0))-IF($G$2,0,IF((H$6-$G$3)&lt;1,0,IFERROR(LOOKUP(2,1/('Milho 1ª safra'!$E14:INDEX('Milho 1ª safra'!$E14:$Z14,MIN(H$6-$G$3,22))&lt;&gt;""),'Milho 1ª safra'!$E14:INDEX('Milho 1ª safra'!$E14:$Z14,MIN(H$6-$G$3,22))),0)))))</f>
        <v>0</v>
      </c>
      <c r="I16" s="27" t="n">
        <f aca="false">IF(COUNT('Milho 1ª safra'!$E14:$Z14)=0,0,MAX(0,IF((I$6-$E$3)&lt;1,0,IFERROR(LOOKUP(2,1/('Milho 1ª safra'!$E14:INDEX('Milho 1ª safra'!$E14:$Z14,MIN(I$6-$E$3,22))&lt;&gt;""),'Milho 1ª safra'!$E14:INDEX('Milho 1ª safra'!$E14:$Z14,MIN(I$6-$E$3,22))),0))-IF($G$2,0,IF((I$6-$G$3)&lt;1,0,IFERROR(LOOKUP(2,1/('Milho 1ª safra'!$E14:INDEX('Milho 1ª safra'!$E14:$Z14,MIN(I$6-$G$3,22))&lt;&gt;""),'Milho 1ª safra'!$E14:INDEX('Milho 1ª safra'!$E14:$Z14,MIN(I$6-$G$3,22))),0)))))</f>
        <v>0</v>
      </c>
      <c r="J16" s="27" t="n">
        <f aca="false">IF(COUNT('Milho 1ª safra'!$E14:$Z14)=0,0,MAX(0,IF((J$6-$E$3)&lt;1,0,IFERROR(LOOKUP(2,1/('Milho 1ª safra'!$E14:INDEX('Milho 1ª safra'!$E14:$Z14,MIN(J$6-$E$3,22))&lt;&gt;""),'Milho 1ª safra'!$E14:INDEX('Milho 1ª safra'!$E14:$Z14,MIN(J$6-$E$3,22))),0))-IF($G$2,0,IF((J$6-$G$3)&lt;1,0,IFERROR(LOOKUP(2,1/('Milho 1ª safra'!$E14:INDEX('Milho 1ª safra'!$E14:$Z14,MIN(J$6-$G$3,22))&lt;&gt;""),'Milho 1ª safra'!$E14:INDEX('Milho 1ª safra'!$E14:$Z14,MIN(J$6-$G$3,22))),0)))))</f>
        <v>0</v>
      </c>
      <c r="K16" s="27" t="n">
        <f aca="false">IF(COUNT('Milho 1ª safra'!$E14:$Z14)=0,0,MAX(0,IF((K$6-$E$3)&lt;1,0,IFERROR(LOOKUP(2,1/('Milho 1ª safra'!$E14:INDEX('Milho 1ª safra'!$E14:$Z14,MIN(K$6-$E$3,22))&lt;&gt;""),'Milho 1ª safra'!$E14:INDEX('Milho 1ª safra'!$E14:$Z14,MIN(K$6-$E$3,22))),0))-IF($G$2,0,IF((K$6-$G$3)&lt;1,0,IFERROR(LOOKUP(2,1/('Milho 1ª safra'!$E14:INDEX('Milho 1ª safra'!$E14:$Z14,MIN(K$6-$G$3,22))&lt;&gt;""),'Milho 1ª safra'!$E14:INDEX('Milho 1ª safra'!$E14:$Z14,MIN(K$6-$G$3,22))),0)))))</f>
        <v>0</v>
      </c>
      <c r="L16" s="27" t="n">
        <f aca="false">IF(COUNT('Milho 1ª safra'!$E14:$Z14)=0,0,MAX(0,IF((L$6-$E$3)&lt;1,0,IFERROR(LOOKUP(2,1/('Milho 1ª safra'!$E14:INDEX('Milho 1ª safra'!$E14:$Z14,MIN(L$6-$E$3,22))&lt;&gt;""),'Milho 1ª safra'!$E14:INDEX('Milho 1ª safra'!$E14:$Z14,MIN(L$6-$E$3,22))),0))-IF($G$2,0,IF((L$6-$G$3)&lt;1,0,IFERROR(LOOKUP(2,1/('Milho 1ª safra'!$E14:INDEX('Milho 1ª safra'!$E14:$Z14,MIN(L$6-$G$3,22))&lt;&gt;""),'Milho 1ª safra'!$E14:INDEX('Milho 1ª safra'!$E14:$Z14,MIN(L$6-$G$3,22))),0)))))</f>
        <v>0</v>
      </c>
      <c r="M16" s="27" t="n">
        <f aca="false">IF(COUNT('Milho 1ª safra'!$E14:$Z14)=0,0,MAX(0,IF((M$6-$E$3)&lt;1,0,IFERROR(LOOKUP(2,1/('Milho 1ª safra'!$E14:INDEX('Milho 1ª safra'!$E14:$Z14,MIN(M$6-$E$3,22))&lt;&gt;""),'Milho 1ª safra'!$E14:INDEX('Milho 1ª safra'!$E14:$Z14,MIN(M$6-$E$3,22))),0))-IF($G$2,0,IF((M$6-$G$3)&lt;1,0,IFERROR(LOOKUP(2,1/('Milho 1ª safra'!$E14:INDEX('Milho 1ª safra'!$E14:$Z14,MIN(M$6-$G$3,22))&lt;&gt;""),'Milho 1ª safra'!$E14:INDEX('Milho 1ª safra'!$E14:$Z14,MIN(M$6-$G$3,22))),0)))))</f>
        <v>0</v>
      </c>
      <c r="N16" s="27" t="n">
        <f aca="false">IF(COUNT('Milho 1ª safra'!$E14:$Z14)=0,0,MAX(0,IF((N$6-$E$3)&lt;1,0,IFERROR(LOOKUP(2,1/('Milho 1ª safra'!$E14:INDEX('Milho 1ª safra'!$E14:$Z14,MIN(N$6-$E$3,22))&lt;&gt;""),'Milho 1ª safra'!$E14:INDEX('Milho 1ª safra'!$E14:$Z14,MIN(N$6-$E$3,22))),0))-IF($G$2,0,IF((N$6-$G$3)&lt;1,0,IFERROR(LOOKUP(2,1/('Milho 1ª safra'!$E14:INDEX('Milho 1ª safra'!$E14:$Z14,MIN(N$6-$G$3,22))&lt;&gt;""),'Milho 1ª safra'!$E14:INDEX('Milho 1ª safra'!$E14:$Z14,MIN(N$6-$G$3,22))),0)))))</f>
        <v>0</v>
      </c>
      <c r="O16" s="27" t="n">
        <f aca="false">IF(COUNT('Milho 1ª safra'!$E14:$Z14)=0,0,MAX(0,IF((O$6-$E$3)&lt;1,0,IFERROR(LOOKUP(2,1/('Milho 1ª safra'!$E14:INDEX('Milho 1ª safra'!$E14:$Z14,MIN(O$6-$E$3,22))&lt;&gt;""),'Milho 1ª safra'!$E14:INDEX('Milho 1ª safra'!$E14:$Z14,MIN(O$6-$E$3,22))),0))-IF($G$2,0,IF((O$6-$G$3)&lt;1,0,IFERROR(LOOKUP(2,1/('Milho 1ª safra'!$E14:INDEX('Milho 1ª safra'!$E14:$Z14,MIN(O$6-$G$3,22))&lt;&gt;""),'Milho 1ª safra'!$E14:INDEX('Milho 1ª safra'!$E14:$Z14,MIN(O$6-$G$3,22))),0)))))</f>
        <v>0</v>
      </c>
      <c r="P16" s="27" t="n">
        <f aca="false">IF(COUNT('Milho 1ª safra'!$E14:$Z14)=0,0,MAX(0,IF((P$6-$E$3)&lt;1,0,IFERROR(LOOKUP(2,1/('Milho 1ª safra'!$E14:INDEX('Milho 1ª safra'!$E14:$Z14,MIN(P$6-$E$3,22))&lt;&gt;""),'Milho 1ª safra'!$E14:INDEX('Milho 1ª safra'!$E14:$Z14,MIN(P$6-$E$3,22))),0))-IF($G$2,0,IF((P$6-$G$3)&lt;1,0,IFERROR(LOOKUP(2,1/('Milho 1ª safra'!$E14:INDEX('Milho 1ª safra'!$E14:$Z14,MIN(P$6-$G$3,22))&lt;&gt;""),'Milho 1ª safra'!$E14:INDEX('Milho 1ª safra'!$E14:$Z14,MIN(P$6-$G$3,22))),0)))))</f>
        <v>0</v>
      </c>
      <c r="Q16" s="27" t="n">
        <f aca="false">IF(COUNT('Milho 1ª safra'!$E14:$Z14)=0,0,MAX(0,IF((Q$6-$E$3)&lt;1,0,IFERROR(LOOKUP(2,1/('Milho 1ª safra'!$E14:INDEX('Milho 1ª safra'!$E14:$Z14,MIN(Q$6-$E$3,22))&lt;&gt;""),'Milho 1ª safra'!$E14:INDEX('Milho 1ª safra'!$E14:$Z14,MIN(Q$6-$E$3,22))),0))-IF($G$2,0,IF((Q$6-$G$3)&lt;1,0,IFERROR(LOOKUP(2,1/('Milho 1ª safra'!$E14:INDEX('Milho 1ª safra'!$E14:$Z14,MIN(Q$6-$G$3,22))&lt;&gt;""),'Milho 1ª safra'!$E14:INDEX('Milho 1ª safra'!$E14:$Z14,MIN(Q$6-$G$3,22))),0)))))</f>
        <v>0</v>
      </c>
      <c r="R16" s="27" t="n">
        <f aca="false">IF(COUNT('Milho 1ª safra'!$E14:$Z14)=0,0,MAX(0,IF((R$6-$E$3)&lt;1,0,IFERROR(LOOKUP(2,1/('Milho 1ª safra'!$E14:INDEX('Milho 1ª safra'!$E14:$Z14,MIN(R$6-$E$3,22))&lt;&gt;""),'Milho 1ª safra'!$E14:INDEX('Milho 1ª safra'!$E14:$Z14,MIN(R$6-$E$3,22))),0))-IF($G$2,0,IF((R$6-$G$3)&lt;1,0,IFERROR(LOOKUP(2,1/('Milho 1ª safra'!$E14:INDEX('Milho 1ª safra'!$E14:$Z14,MIN(R$6-$G$3,22))&lt;&gt;""),'Milho 1ª safra'!$E14:INDEX('Milho 1ª safra'!$E14:$Z14,MIN(R$6-$G$3,22))),0)))))</f>
        <v>0</v>
      </c>
      <c r="S16" s="27" t="n">
        <f aca="false">IF(COUNT('Milho 1ª safra'!$E14:$Z14)=0,0,MAX(0,IF((S$6-$E$3)&lt;1,0,IFERROR(LOOKUP(2,1/('Milho 1ª safra'!$E14:INDEX('Milho 1ª safra'!$E14:$Z14,MIN(S$6-$E$3,22))&lt;&gt;""),'Milho 1ª safra'!$E14:INDEX('Milho 1ª safra'!$E14:$Z14,MIN(S$6-$E$3,22))),0))-IF($G$2,0,IF((S$6-$G$3)&lt;1,0,IFERROR(LOOKUP(2,1/('Milho 1ª safra'!$E14:INDEX('Milho 1ª safra'!$E14:$Z14,MIN(S$6-$G$3,22))&lt;&gt;""),'Milho 1ª safra'!$E14:INDEX('Milho 1ª safra'!$E14:$Z14,MIN(S$6-$G$3,22))),0)))))</f>
        <v>0</v>
      </c>
      <c r="T16" s="27" t="n">
        <f aca="false">IF(COUNT('Milho 1ª safra'!$E14:$Z14)=0,0,MAX(0,IF((T$6-$E$3)&lt;1,0,IFERROR(LOOKUP(2,1/('Milho 1ª safra'!$E14:INDEX('Milho 1ª safra'!$E14:$Z14,MIN(T$6-$E$3,22))&lt;&gt;""),'Milho 1ª safra'!$E14:INDEX('Milho 1ª safra'!$E14:$Z14,MIN(T$6-$E$3,22))),0))-IF($G$2,0,IF((T$6-$G$3)&lt;1,0,IFERROR(LOOKUP(2,1/('Milho 1ª safra'!$E14:INDEX('Milho 1ª safra'!$E14:$Z14,MIN(T$6-$G$3,22))&lt;&gt;""),'Milho 1ª safra'!$E14:INDEX('Milho 1ª safra'!$E14:$Z14,MIN(T$6-$G$3,22))),0)))))</f>
        <v>0</v>
      </c>
      <c r="U16" s="27" t="n">
        <f aca="false">IF(COUNT('Milho 1ª safra'!$E14:$Z14)=0,0,MAX(0,IF((U$6-$E$3)&lt;1,0,IFERROR(LOOKUP(2,1/('Milho 1ª safra'!$E14:INDEX('Milho 1ª safra'!$E14:$Z14,MIN(U$6-$E$3,22))&lt;&gt;""),'Milho 1ª safra'!$E14:INDEX('Milho 1ª safra'!$E14:$Z14,MIN(U$6-$E$3,22))),0))-IF($G$2,0,IF((U$6-$G$3)&lt;1,0,IFERROR(LOOKUP(2,1/('Milho 1ª safra'!$E14:INDEX('Milho 1ª safra'!$E14:$Z14,MIN(U$6-$G$3,22))&lt;&gt;""),'Milho 1ª safra'!$E14:INDEX('Milho 1ª safra'!$E14:$Z14,MIN(U$6-$G$3,22))),0)))))</f>
        <v>0</v>
      </c>
      <c r="V16" s="27" t="n">
        <f aca="false">IF(COUNT('Milho 1ª safra'!$E14:$Z14)=0,0,MAX(0,IF((V$6-$E$3)&lt;1,0,IFERROR(LOOKUP(2,1/('Milho 1ª safra'!$E14:INDEX('Milho 1ª safra'!$E14:$Z14,MIN(V$6-$E$3,22))&lt;&gt;""),'Milho 1ª safra'!$E14:INDEX('Milho 1ª safra'!$E14:$Z14,MIN(V$6-$E$3,22))),0))-IF($G$2,0,IF((V$6-$G$3)&lt;1,0,IFERROR(LOOKUP(2,1/('Milho 1ª safra'!$E14:INDEX('Milho 1ª safra'!$E14:$Z14,MIN(V$6-$G$3,22))&lt;&gt;""),'Milho 1ª safra'!$E14:INDEX('Milho 1ª safra'!$E14:$Z14,MIN(V$6-$G$3,22))),0)))))</f>
        <v>0</v>
      </c>
      <c r="W16" s="27" t="n">
        <f aca="false">IF(COUNT('Milho 1ª safra'!$E14:$Z14)=0,0,MAX(0,IF((W$6-$E$3)&lt;1,0,IFERROR(LOOKUP(2,1/('Milho 1ª safra'!$E14:INDEX('Milho 1ª safra'!$E14:$Z14,MIN(W$6-$E$3,22))&lt;&gt;""),'Milho 1ª safra'!$E14:INDEX('Milho 1ª safra'!$E14:$Z14,MIN(W$6-$E$3,22))),0))-IF($G$2,0,IF((W$6-$G$3)&lt;1,0,IFERROR(LOOKUP(2,1/('Milho 1ª safra'!$E14:INDEX('Milho 1ª safra'!$E14:$Z14,MIN(W$6-$G$3,22))&lt;&gt;""),'Milho 1ª safra'!$E14:INDEX('Milho 1ª safra'!$E14:$Z14,MIN(W$6-$G$3,22))),0)))))</f>
        <v>0</v>
      </c>
      <c r="X16" s="27" t="n">
        <f aca="false">IF(COUNT('Milho 1ª safra'!$E14:$Z14)=0,0,MAX(0,IF((X$6-$E$3)&lt;1,0,IFERROR(LOOKUP(2,1/('Milho 1ª safra'!$E14:INDEX('Milho 1ª safra'!$E14:$Z14,MIN(X$6-$E$3,22))&lt;&gt;""),'Milho 1ª safra'!$E14:INDEX('Milho 1ª safra'!$E14:$Z14,MIN(X$6-$E$3,22))),0))-IF($G$2,0,IF((X$6-$G$3)&lt;1,0,IFERROR(LOOKUP(2,1/('Milho 1ª safra'!$E14:INDEX('Milho 1ª safra'!$E14:$Z14,MIN(X$6-$G$3,22))&lt;&gt;""),'Milho 1ª safra'!$E14:INDEX('Milho 1ª safra'!$E14:$Z14,MIN(X$6-$G$3,22))),0)))))</f>
        <v>0</v>
      </c>
      <c r="Y16" s="27" t="n">
        <f aca="false">IF(COUNT('Milho 1ª safra'!$E14:$Z14)=0,0,MAX(0,IF((Y$6-$E$3)&lt;1,0,IFERROR(LOOKUP(2,1/('Milho 1ª safra'!$E14:INDEX('Milho 1ª safra'!$E14:$Z14,MIN(Y$6-$E$3,22))&lt;&gt;""),'Milho 1ª safra'!$E14:INDEX('Milho 1ª safra'!$E14:$Z14,MIN(Y$6-$E$3,22))),0))-IF($G$2,0,IF((Y$6-$G$3)&lt;1,0,IFERROR(LOOKUP(2,1/('Milho 1ª safra'!$E14:INDEX('Milho 1ª safra'!$E14:$Z14,MIN(Y$6-$G$3,22))&lt;&gt;""),'Milho 1ª safra'!$E14:INDEX('Milho 1ª safra'!$E14:$Z14,MIN(Y$6-$G$3,22))),0)))))</f>
        <v>0</v>
      </c>
      <c r="Z16" s="27" t="n">
        <f aca="false">IF(COUNT('Milho 1ª safra'!$E14:$Z14)=0,0,MAX(0,IF((Z$6-$E$3)&lt;1,0,IFERROR(LOOKUP(2,1/('Milho 1ª safra'!$E14:INDEX('Milho 1ª safra'!$E14:$Z14,MIN(Z$6-$E$3,22))&lt;&gt;""),'Milho 1ª safra'!$E14:INDEX('Milho 1ª safra'!$E14:$Z14,MIN(Z$6-$E$3,22))),0))-IF($G$2,0,IF((Z$6-$G$3)&lt;1,0,IFERROR(LOOKUP(2,1/('Milho 1ª safra'!$E14:INDEX('Milho 1ª safra'!$E14:$Z14,MIN(Z$6-$G$3,22))&lt;&gt;""),'Milho 1ª safra'!$E14:INDEX('Milho 1ª safra'!$E14:$Z14,MIN(Z$6-$G$3,22))),0)))))</f>
        <v>0</v>
      </c>
      <c r="AA16" s="27" t="n">
        <f aca="false">IF(COUNT('Milho 1ª safra'!$E14:$Z14)=0,0,MAX(0,IF((AA$6-$E$3)&lt;1,0,IFERROR(LOOKUP(2,1/('Milho 1ª safra'!$E14:INDEX('Milho 1ª safra'!$E14:$Z14,MIN(AA$6-$E$3,22))&lt;&gt;""),'Milho 1ª safra'!$E14:INDEX('Milho 1ª safra'!$E14:$Z14,MIN(AA$6-$E$3,22))),0))-IF($G$2,0,IF((AA$6-$G$3)&lt;1,0,IFERROR(LOOKUP(2,1/('Milho 1ª safra'!$E14:INDEX('Milho 1ª safra'!$E14:$Z14,MIN(AA$6-$G$3,22))&lt;&gt;""),'Milho 1ª safra'!$E14:INDEX('Milho 1ª safra'!$E14:$Z14,MIN(AA$6-$G$3,22))),0)))))</f>
        <v>0</v>
      </c>
      <c r="AB16" s="27" t="n">
        <f aca="false">IF(COUNT('Milho 1ª safra'!$E14:$Z14)=0,0,MAX(0,IF((AB$6-$E$3)&lt;1,0,IFERROR(LOOKUP(2,1/('Milho 1ª safra'!$E14:INDEX('Milho 1ª safra'!$E14:$Z14,MIN(AB$6-$E$3,22))&lt;&gt;""),'Milho 1ª safra'!$E14:INDEX('Milho 1ª safra'!$E14:$Z14,MIN(AB$6-$E$3,22))),0))-IF($G$2,0,IF((AB$6-$G$3)&lt;1,0,IFERROR(LOOKUP(2,1/('Milho 1ª safra'!$E14:INDEX('Milho 1ª safra'!$E14:$Z14,MIN(AB$6-$G$3,22))&lt;&gt;""),'Milho 1ª safra'!$E14:INDEX('Milho 1ª safra'!$E14:$Z14,MIN(AB$6-$G$3,22))),0)))))</f>
        <v>0</v>
      </c>
      <c r="AC16" s="27" t="n">
        <f aca="false">IF(COUNT('Milho 1ª safra'!$E14:$Z14)=0,0,MAX(0,IF((AC$6-$E$3)&lt;1,0,IFERROR(LOOKUP(2,1/('Milho 1ª safra'!$E14:INDEX('Milho 1ª safra'!$E14:$Z14,MIN(AC$6-$E$3,22))&lt;&gt;""),'Milho 1ª safra'!$E14:INDEX('Milho 1ª safra'!$E14:$Z14,MIN(AC$6-$E$3,22))),0))-IF($G$2,0,IF((AC$6-$G$3)&lt;1,0,IFERROR(LOOKUP(2,1/('Milho 1ª safra'!$E14:INDEX('Milho 1ª safra'!$E14:$Z14,MIN(AC$6-$G$3,22))&lt;&gt;""),'Milho 1ª safra'!$E14:INDEX('Milho 1ª safra'!$E14:$Z14,MIN(AC$6-$G$3,22))),0)))))</f>
        <v>0</v>
      </c>
      <c r="AD16" s="27" t="n">
        <f aca="false">IF(COUNT('Milho 1ª safra'!$E14:$Z14)=0,0,MAX(0,IF((AD$6-$E$3)&lt;1,0,IFERROR(LOOKUP(2,1/('Milho 1ª safra'!$E14:INDEX('Milho 1ª safra'!$E14:$Z14,MIN(AD$6-$E$3,22))&lt;&gt;""),'Milho 1ª safra'!$E14:INDEX('Milho 1ª safra'!$E14:$Z14,MIN(AD$6-$E$3,22))),0))-IF($G$2,0,IF((AD$6-$G$3)&lt;1,0,IFERROR(LOOKUP(2,1/('Milho 1ª safra'!$E14:INDEX('Milho 1ª safra'!$E14:$Z14,MIN(AD$6-$G$3,22))&lt;&gt;""),'Milho 1ª safra'!$E14:INDEX('Milho 1ª safra'!$E14:$Z14,MIN(AD$6-$G$3,22))),0)))))</f>
        <v>0</v>
      </c>
      <c r="AE16" s="27" t="n">
        <f aca="false">IF(COUNT('Milho 1ª safra'!$E14:$Z14)=0,0,MAX(0,IF((AE$6-$E$3)&lt;1,0,IFERROR(LOOKUP(2,1/('Milho 1ª safra'!$E14:INDEX('Milho 1ª safra'!$E14:$Z14,MIN(AE$6-$E$3,22))&lt;&gt;""),'Milho 1ª safra'!$E14:INDEX('Milho 1ª safra'!$E14:$Z14,MIN(AE$6-$E$3,22))),0))-IF($G$2,0,IF((AE$6-$G$3)&lt;1,0,IFERROR(LOOKUP(2,1/('Milho 1ª safra'!$E14:INDEX('Milho 1ª safra'!$E14:$Z14,MIN(AE$6-$G$3,22))&lt;&gt;""),'Milho 1ª safra'!$E14:INDEX('Milho 1ª safra'!$E14:$Z14,MIN(AE$6-$G$3,22))),0)))))</f>
        <v>0</v>
      </c>
      <c r="AF16" s="27" t="n">
        <f aca="false">IF(COUNT('Milho 1ª safra'!$E14:$Z14)=0,0,MAX(0,IF((AF$6-$E$3)&lt;1,0,IFERROR(LOOKUP(2,1/('Milho 1ª safra'!$E14:INDEX('Milho 1ª safra'!$E14:$Z14,MIN(AF$6-$E$3,22))&lt;&gt;""),'Milho 1ª safra'!$E14:INDEX('Milho 1ª safra'!$E14:$Z14,MIN(AF$6-$E$3,22))),0))-IF($G$2,0,IF((AF$6-$G$3)&lt;1,0,IFERROR(LOOKUP(2,1/('Milho 1ª safra'!$E14:INDEX('Milho 1ª safra'!$E14:$Z14,MIN(AF$6-$G$3,22))&lt;&gt;""),'Milho 1ª safra'!$E14:INDEX('Milho 1ª safra'!$E14:$Z14,MIN(AF$6-$G$3,22))),0)))))</f>
        <v>0</v>
      </c>
      <c r="AG16" s="27" t="n">
        <f aca="false">IF(COUNT('Milho 1ª safra'!$E14:$Z14)=0,0,MAX(0,IF((AG$6-$E$3)&lt;1,0,IFERROR(LOOKUP(2,1/('Milho 1ª safra'!$E14:INDEX('Milho 1ª safra'!$E14:$Z14,MIN(AG$6-$E$3,22))&lt;&gt;""),'Milho 1ª safra'!$E14:INDEX('Milho 1ª safra'!$E14:$Z14,MIN(AG$6-$E$3,22))),0))-IF($G$2,0,IF((AG$6-$G$3)&lt;1,0,IFERROR(LOOKUP(2,1/('Milho 1ª safra'!$E14:INDEX('Milho 1ª safra'!$E14:$Z14,MIN(AG$6-$G$3,22))&lt;&gt;""),'Milho 1ª safra'!$E14:INDEX('Milho 1ª safra'!$E14:$Z14,MIN(AG$6-$G$3,22))),0)))))</f>
        <v>0</v>
      </c>
      <c r="AH16" s="27" t="n">
        <f aca="false">IF(COUNT('Milho 1ª safra'!$E14:$Z14)=0,0,MAX(0,IF((AH$6-$E$3)&lt;1,0,IFERROR(LOOKUP(2,1/('Milho 1ª safra'!$E14:INDEX('Milho 1ª safra'!$E14:$Z14,MIN(AH$6-$E$3,22))&lt;&gt;""),'Milho 1ª safra'!$E14:INDEX('Milho 1ª safra'!$E14:$Z14,MIN(AH$6-$E$3,22))),0))-IF($G$2,0,IF((AH$6-$G$3)&lt;1,0,IFERROR(LOOKUP(2,1/('Milho 1ª safra'!$E14:INDEX('Milho 1ª safra'!$E14:$Z14,MIN(AH$6-$G$3,22))&lt;&gt;""),'Milho 1ª safra'!$E14:INDEX('Milho 1ª safra'!$E14:$Z14,MIN(AH$6-$G$3,22))),0)))))</f>
        <v>0</v>
      </c>
      <c r="AI16" s="27" t="n">
        <f aca="false">IF(COUNT('Milho 1ª safra'!$E14:$Z14)=0,0,MAX(0,IF((AI$6-$E$3)&lt;1,0,IFERROR(LOOKUP(2,1/('Milho 1ª safra'!$E14:INDEX('Milho 1ª safra'!$E14:$Z14,MIN(AI$6-$E$3,22))&lt;&gt;""),'Milho 1ª safra'!$E14:INDEX('Milho 1ª safra'!$E14:$Z14,MIN(AI$6-$E$3,22))),0))-IF($G$2,0,IF((AI$6-$G$3)&lt;1,0,IFERROR(LOOKUP(2,1/('Milho 1ª safra'!$E14:INDEX('Milho 1ª safra'!$E14:$Z14,MIN(AI$6-$G$3,22))&lt;&gt;""),'Milho 1ª safra'!$E14:INDEX('Milho 1ª safra'!$E14:$Z14,MIN(AI$6-$G$3,22))),0)))))</f>
        <v>0</v>
      </c>
      <c r="AJ16" s="27" t="n">
        <f aca="false">IF(COUNT('Milho 1ª safra'!$E14:$Z14)=0,0,MAX(0,IF((AJ$6-$E$3)&lt;1,0,IFERROR(LOOKUP(2,1/('Milho 1ª safra'!$E14:INDEX('Milho 1ª safra'!$E14:$Z14,MIN(AJ$6-$E$3,22))&lt;&gt;""),'Milho 1ª safra'!$E14:INDEX('Milho 1ª safra'!$E14:$Z14,MIN(AJ$6-$E$3,22))),0))-IF($G$2,0,IF((AJ$6-$G$3)&lt;1,0,IFERROR(LOOKUP(2,1/('Milho 1ª safra'!$E14:INDEX('Milho 1ª safra'!$E14:$Z14,MIN(AJ$6-$G$3,22))&lt;&gt;""),'Milho 1ª safra'!$E14:INDEX('Milho 1ª safra'!$E14:$Z14,MIN(AJ$6-$G$3,22))),0)))))</f>
        <v>0</v>
      </c>
      <c r="AK16" s="27" t="n">
        <f aca="false">IF(COUNT('Milho 1ª safra'!$E14:$Z14)=0,0,MAX(0,IF((AK$6-$E$3)&lt;1,0,IFERROR(LOOKUP(2,1/('Milho 1ª safra'!$E14:INDEX('Milho 1ª safra'!$E14:$Z14,MIN(AK$6-$E$3,22))&lt;&gt;""),'Milho 1ª safra'!$E14:INDEX('Milho 1ª safra'!$E14:$Z14,MIN(AK$6-$E$3,22))),0))-IF($G$2,0,IF((AK$6-$G$3)&lt;1,0,IFERROR(LOOKUP(2,1/('Milho 1ª safra'!$E14:INDEX('Milho 1ª safra'!$E14:$Z14,MIN(AK$6-$G$3,22))&lt;&gt;""),'Milho 1ª safra'!$E14:INDEX('Milho 1ª safra'!$E14:$Z14,MIN(AK$6-$G$3,22))),0)))))</f>
        <v>0</v>
      </c>
      <c r="AL16" s="27" t="n">
        <f aca="false">IF(COUNT('Milho 1ª safra'!$E14:$Z14)=0,0,MAX(0,IF((AL$6-$E$3)&lt;1,0,IFERROR(LOOKUP(2,1/('Milho 1ª safra'!$E14:INDEX('Milho 1ª safra'!$E14:$Z14,MIN(AL$6-$E$3,22))&lt;&gt;""),'Milho 1ª safra'!$E14:INDEX('Milho 1ª safra'!$E14:$Z14,MIN(AL$6-$E$3,22))),0))-IF($G$2,0,IF((AL$6-$G$3)&lt;1,0,IFERROR(LOOKUP(2,1/('Milho 1ª safra'!$E14:INDEX('Milho 1ª safra'!$E14:$Z14,MIN(AL$6-$G$3,22))&lt;&gt;""),'Milho 1ª safra'!$E14:INDEX('Milho 1ª safra'!$E14:$Z14,MIN(AL$6-$G$3,22))),0)))))</f>
        <v>0</v>
      </c>
      <c r="AM16" s="27" t="n">
        <f aca="false">IF(COUNT('Milho 1ª safra'!$E14:$Z14)=0,0,MAX(0,IF((AM$6-$E$3)&lt;1,0,IFERROR(LOOKUP(2,1/('Milho 1ª safra'!$E14:INDEX('Milho 1ª safra'!$E14:$Z14,MIN(AM$6-$E$3,22))&lt;&gt;""),'Milho 1ª safra'!$E14:INDEX('Milho 1ª safra'!$E14:$Z14,MIN(AM$6-$E$3,22))),0))-IF($G$2,0,IF((AM$6-$G$3)&lt;1,0,IFERROR(LOOKUP(2,1/('Milho 1ª safra'!$E14:INDEX('Milho 1ª safra'!$E14:$Z14,MIN(AM$6-$G$3,22))&lt;&gt;""),'Milho 1ª safra'!$E14:INDEX('Milho 1ª safra'!$E14:$Z14,MIN(AM$6-$G$3,22))),0)))))</f>
        <v>0</v>
      </c>
      <c r="AN16" s="27" t="n">
        <f aca="false">IF(COUNT('Milho 1ª safra'!$E14:$Z14)=0,0,MAX(0,IF((AN$6-$E$3)&lt;1,0,IFERROR(LOOKUP(2,1/('Milho 1ª safra'!$E14:INDEX('Milho 1ª safra'!$E14:$Z14,MIN(AN$6-$E$3,22))&lt;&gt;""),'Milho 1ª safra'!$E14:INDEX('Milho 1ª safra'!$E14:$Z14,MIN(AN$6-$E$3,22))),0))-IF($G$2,0,IF((AN$6-$G$3)&lt;1,0,IFERROR(LOOKUP(2,1/('Milho 1ª safra'!$E14:INDEX('Milho 1ª safra'!$E14:$Z14,MIN(AN$6-$G$3,22))&lt;&gt;""),'Milho 1ª safra'!$E14:INDEX('Milho 1ª safra'!$E14:$Z14,MIN(AN$6-$G$3,22))),0)))))</f>
        <v>0</v>
      </c>
      <c r="AO16" s="27" t="n">
        <f aca="false">IF(COUNT('Milho 1ª safra'!$E14:$Z14)=0,0,MAX(0,IF((AO$6-$E$3)&lt;1,0,IFERROR(LOOKUP(2,1/('Milho 1ª safra'!$E14:INDEX('Milho 1ª safra'!$E14:$Z14,MIN(AO$6-$E$3,22))&lt;&gt;""),'Milho 1ª safra'!$E14:INDEX('Milho 1ª safra'!$E14:$Z14,MIN(AO$6-$E$3,22))),0))-IF($G$2,0,IF((AO$6-$G$3)&lt;1,0,IFERROR(LOOKUP(2,1/('Milho 1ª safra'!$E14:INDEX('Milho 1ª safra'!$E14:$Z14,MIN(AO$6-$G$3,22))&lt;&gt;""),'Milho 1ª safra'!$E14:INDEX('Milho 1ª safra'!$E14:$Z14,MIN(AO$6-$G$3,22))),0)))))</f>
        <v>0</v>
      </c>
      <c r="AP16" s="27" t="n">
        <f aca="false">IF(COUNT('Milho 1ª safra'!$E14:$Z14)=0,0,MAX(0,IF((AP$6-$E$3)&lt;1,0,IFERROR(LOOKUP(2,1/('Milho 1ª safra'!$E14:INDEX('Milho 1ª safra'!$E14:$Z14,MIN(AP$6-$E$3,22))&lt;&gt;""),'Milho 1ª safra'!$E14:INDEX('Milho 1ª safra'!$E14:$Z14,MIN(AP$6-$E$3,22))),0))-IF($G$2,0,IF((AP$6-$G$3)&lt;1,0,IFERROR(LOOKUP(2,1/('Milho 1ª safra'!$E14:INDEX('Milho 1ª safra'!$E14:$Z14,MIN(AP$6-$G$3,22))&lt;&gt;""),'Milho 1ª safra'!$E14:INDEX('Milho 1ª safra'!$E14:$Z14,MIN(AP$6-$G$3,22))),0)))))</f>
        <v>0</v>
      </c>
      <c r="AQ16" s="27" t="n">
        <f aca="false">IF(COUNT('Milho 1ª safra'!$E14:$Z14)=0,0,MAX(0,IF((AQ$6-$E$3)&lt;1,0,IFERROR(LOOKUP(2,1/('Milho 1ª safra'!$E14:INDEX('Milho 1ª safra'!$E14:$Z14,MIN(AQ$6-$E$3,22))&lt;&gt;""),'Milho 1ª safra'!$E14:INDEX('Milho 1ª safra'!$E14:$Z14,MIN(AQ$6-$E$3,22))),0))-IF($G$2,0,IF((AQ$6-$G$3)&lt;1,0,IFERROR(LOOKUP(2,1/('Milho 1ª safra'!$E14:INDEX('Milho 1ª safra'!$E14:$Z14,MIN(AQ$6-$G$3,22))&lt;&gt;""),'Milho 1ª safra'!$E14:INDEX('Milho 1ª safra'!$E14:$Z14,MIN(AQ$6-$G$3,22))),0)))))</f>
        <v>0</v>
      </c>
      <c r="AR16" s="27" t="n">
        <f aca="false">IF(COUNT('Milho 1ª safra'!$E14:$Z14)=0,0,MAX(0,IF((AR$6-$E$3)&lt;1,0,IFERROR(LOOKUP(2,1/('Milho 1ª safra'!$E14:INDEX('Milho 1ª safra'!$E14:$Z14,MIN(AR$6-$E$3,22))&lt;&gt;""),'Milho 1ª safra'!$E14:INDEX('Milho 1ª safra'!$E14:$Z14,MIN(AR$6-$E$3,22))),0))-IF($G$2,0,IF((AR$6-$G$3)&lt;1,0,IFERROR(LOOKUP(2,1/('Milho 1ª safra'!$E14:INDEX('Milho 1ª safra'!$E14:$Z14,MIN(AR$6-$G$3,22))&lt;&gt;""),'Milho 1ª safra'!$E14:INDEX('Milho 1ª safra'!$E14:$Z14,MIN(AR$6-$G$3,22))),0)))))</f>
        <v>0</v>
      </c>
      <c r="AS16" s="27" t="n">
        <f aca="false">IF(COUNT('Milho 1ª safra'!$E14:$Z14)=0,0,MAX(0,IF((AS$6-$E$3)&lt;1,0,IFERROR(LOOKUP(2,1/('Milho 1ª safra'!$E14:INDEX('Milho 1ª safra'!$E14:$Z14,MIN(AS$6-$E$3,22))&lt;&gt;""),'Milho 1ª safra'!$E14:INDEX('Milho 1ª safra'!$E14:$Z14,MIN(AS$6-$E$3,22))),0))-IF($G$2,0,IF((AS$6-$G$3)&lt;1,0,IFERROR(LOOKUP(2,1/('Milho 1ª safra'!$E14:INDEX('Milho 1ª safra'!$E14:$Z14,MIN(AS$6-$G$3,22))&lt;&gt;""),'Milho 1ª safra'!$E14:INDEX('Milho 1ª safra'!$E14:$Z14,MIN(AS$6-$G$3,22))),0)))))</f>
        <v>0</v>
      </c>
      <c r="AT16" s="27" t="n">
        <f aca="false">IF(COUNT('Milho 1ª safra'!$E14:$Z14)=0,0,MAX(0,IF((AT$6-$E$3)&lt;1,0,IFERROR(LOOKUP(2,1/('Milho 1ª safra'!$E14:INDEX('Milho 1ª safra'!$E14:$Z14,MIN(AT$6-$E$3,22))&lt;&gt;""),'Milho 1ª safra'!$E14:INDEX('Milho 1ª safra'!$E14:$Z14,MIN(AT$6-$E$3,22))),0))-IF($G$2,0,IF((AT$6-$G$3)&lt;1,0,IFERROR(LOOKUP(2,1/('Milho 1ª safra'!$E14:INDEX('Milho 1ª safra'!$E14:$Z14,MIN(AT$6-$G$3,22))&lt;&gt;""),'Milho 1ª safra'!$E14:INDEX('Milho 1ª safra'!$E14:$Z14,MIN(AT$6-$G$3,22))),0)))))</f>
        <v>0</v>
      </c>
      <c r="AU16" s="27" t="n">
        <f aca="false">IF(COUNT('Milho 1ª safra'!$E14:$Z14)=0,0,MAX(0,IF((AU$6-$E$3)&lt;1,0,IFERROR(LOOKUP(2,1/('Milho 1ª safra'!$E14:INDEX('Milho 1ª safra'!$E14:$Z14,MIN(AU$6-$E$3,22))&lt;&gt;""),'Milho 1ª safra'!$E14:INDEX('Milho 1ª safra'!$E14:$Z14,MIN(AU$6-$E$3,22))),0))-IF($G$2,0,IF((AU$6-$G$3)&lt;1,0,IFERROR(LOOKUP(2,1/('Milho 1ª safra'!$E14:INDEX('Milho 1ª safra'!$E14:$Z14,MIN(AU$6-$G$3,22))&lt;&gt;""),'Milho 1ª safra'!$E14:INDEX('Milho 1ª safra'!$E14:$Z14,MIN(AU$6-$G$3,22))),0)))))</f>
        <v>0</v>
      </c>
      <c r="AV16" s="27" t="n">
        <f aca="false">IF(COUNT('Milho 1ª safra'!$E14:$Z14)=0,0,MAX(0,IF((AV$6-$E$3)&lt;1,0,IFERROR(LOOKUP(2,1/('Milho 1ª safra'!$E14:INDEX('Milho 1ª safra'!$E14:$Z14,MIN(AV$6-$E$3,22))&lt;&gt;""),'Milho 1ª safra'!$E14:INDEX('Milho 1ª safra'!$E14:$Z14,MIN(AV$6-$E$3,22))),0))-IF($G$2,0,IF((AV$6-$G$3)&lt;1,0,IFERROR(LOOKUP(2,1/('Milho 1ª safra'!$E14:INDEX('Milho 1ª safra'!$E14:$Z14,MIN(AV$6-$G$3,22))&lt;&gt;""),'Milho 1ª safra'!$E14:INDEX('Milho 1ª safra'!$E14:$Z14,MIN(AV$6-$G$3,22))),0)))))</f>
        <v>0</v>
      </c>
      <c r="AW16" s="27" t="n">
        <f aca="false">IF(COUNT('Milho 1ª safra'!$E14:$Z14)=0,0,MAX(0,IF((AW$6-$E$3)&lt;1,0,IFERROR(LOOKUP(2,1/('Milho 1ª safra'!$E14:INDEX('Milho 1ª safra'!$E14:$Z14,MIN(AW$6-$E$3,22))&lt;&gt;""),'Milho 1ª safra'!$E14:INDEX('Milho 1ª safra'!$E14:$Z14,MIN(AW$6-$E$3,22))),0))-IF($G$2,0,IF((AW$6-$G$3)&lt;1,0,IFERROR(LOOKUP(2,1/('Milho 1ª safra'!$E14:INDEX('Milho 1ª safra'!$E14:$Z14,MIN(AW$6-$G$3,22))&lt;&gt;""),'Milho 1ª safra'!$E14:INDEX('Milho 1ª safra'!$E14:$Z14,MIN(AW$6-$G$3,22))),0)))))</f>
        <v>0</v>
      </c>
      <c r="AX16" s="27" t="n">
        <f aca="false">IF(COUNT('Milho 1ª safra'!$E14:$Z14)=0,0,MAX(0,IF((AX$6-$E$3)&lt;1,0,IFERROR(LOOKUP(2,1/('Milho 1ª safra'!$E14:INDEX('Milho 1ª safra'!$E14:$Z14,MIN(AX$6-$E$3,22))&lt;&gt;""),'Milho 1ª safra'!$E14:INDEX('Milho 1ª safra'!$E14:$Z14,MIN(AX$6-$E$3,22))),0))-IF($G$2,0,IF((AX$6-$G$3)&lt;1,0,IFERROR(LOOKUP(2,1/('Milho 1ª safra'!$E14:INDEX('Milho 1ª safra'!$E14:$Z14,MIN(AX$6-$G$3,22))&lt;&gt;""),'Milho 1ª safra'!$E14:INDEX('Milho 1ª safra'!$E14:$Z14,MIN(AX$6-$G$3,22))),0)))))</f>
        <v>0</v>
      </c>
      <c r="AY16" s="27" t="n">
        <f aca="false">IF(COUNT('Milho 1ª safra'!$E14:$Z14)=0,0,MAX(0,IF((AY$6-$E$3)&lt;1,0,IFERROR(LOOKUP(2,1/('Milho 1ª safra'!$E14:INDEX('Milho 1ª safra'!$E14:$Z14,MIN(AY$6-$E$3,22))&lt;&gt;""),'Milho 1ª safra'!$E14:INDEX('Milho 1ª safra'!$E14:$Z14,MIN(AY$6-$E$3,22))),0))-IF($G$2,0,IF((AY$6-$G$3)&lt;1,0,IFERROR(LOOKUP(2,1/('Milho 1ª safra'!$E14:INDEX('Milho 1ª safra'!$E14:$Z14,MIN(AY$6-$G$3,22))&lt;&gt;""),'Milho 1ª safra'!$E14:INDEX('Milho 1ª safra'!$E14:$Z14,MIN(AY$6-$G$3,22))),0)))))</f>
        <v>0</v>
      </c>
      <c r="AZ16" s="27" t="n">
        <f aca="false">IF(COUNT('Milho 1ª safra'!$E14:$Z14)=0,0,MAX(0,IF((AZ$6-$E$3)&lt;1,0,IFERROR(LOOKUP(2,1/('Milho 1ª safra'!$E14:INDEX('Milho 1ª safra'!$E14:$Z14,MIN(AZ$6-$E$3,22))&lt;&gt;""),'Milho 1ª safra'!$E14:INDEX('Milho 1ª safra'!$E14:$Z14,MIN(AZ$6-$E$3,22))),0))-IF($G$2,0,IF((AZ$6-$G$3)&lt;1,0,IFERROR(LOOKUP(2,1/('Milho 1ª safra'!$E14:INDEX('Milho 1ª safra'!$E14:$Z14,MIN(AZ$6-$G$3,22))&lt;&gt;""),'Milho 1ª safra'!$E14:INDEX('Milho 1ª safra'!$E14:$Z14,MIN(AZ$6-$G$3,22))),0)))))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IF(COUNT('Milho 1ª safra'!$E15:$Z15)&gt;0,N('Milho 1ª safra'!$D15),0)</f>
        <v>0</v>
      </c>
      <c r="E17" s="27" t="n">
        <f aca="false">IF(COUNT('Milho 1ª safra'!$E15:$Z15)=0,0,MAX(0,IF((E$6-$E$3)&lt;1,0,IFERROR(LOOKUP(2,1/('Milho 1ª safra'!$E15:INDEX('Milho 1ª safra'!$E15:$Z15,MIN(E$6-$E$3,22))&lt;&gt;""),'Milho 1ª safra'!$E15:INDEX('Milho 1ª safra'!$E15:$Z15,MIN(E$6-$E$3,22))),0))-IF($G$2,0,IF((E$6-$G$3)&lt;1,0,IFERROR(LOOKUP(2,1/('Milho 1ª safra'!$E15:INDEX('Milho 1ª safra'!$E15:$Z15,MIN(E$6-$G$3,22))&lt;&gt;""),'Milho 1ª safra'!$E15:INDEX('Milho 1ª safra'!$E15:$Z15,MIN(E$6-$G$3,22))),0)))))</f>
        <v>0</v>
      </c>
      <c r="F17" s="27" t="n">
        <f aca="false">IF(COUNT('Milho 1ª safra'!$E15:$Z15)=0,0,MAX(0,IF((F$6-$E$3)&lt;1,0,IFERROR(LOOKUP(2,1/('Milho 1ª safra'!$E15:INDEX('Milho 1ª safra'!$E15:$Z15,MIN(F$6-$E$3,22))&lt;&gt;""),'Milho 1ª safra'!$E15:INDEX('Milho 1ª safra'!$E15:$Z15,MIN(F$6-$E$3,22))),0))-IF($G$2,0,IF((F$6-$G$3)&lt;1,0,IFERROR(LOOKUP(2,1/('Milho 1ª safra'!$E15:INDEX('Milho 1ª safra'!$E15:$Z15,MIN(F$6-$G$3,22))&lt;&gt;""),'Milho 1ª safra'!$E15:INDEX('Milho 1ª safra'!$E15:$Z15,MIN(F$6-$G$3,22))),0)))))</f>
        <v>0</v>
      </c>
      <c r="G17" s="27" t="n">
        <f aca="false">IF(COUNT('Milho 1ª safra'!$E15:$Z15)=0,0,MAX(0,IF((G$6-$E$3)&lt;1,0,IFERROR(LOOKUP(2,1/('Milho 1ª safra'!$E15:INDEX('Milho 1ª safra'!$E15:$Z15,MIN(G$6-$E$3,22))&lt;&gt;""),'Milho 1ª safra'!$E15:INDEX('Milho 1ª safra'!$E15:$Z15,MIN(G$6-$E$3,22))),0))-IF($G$2,0,IF((G$6-$G$3)&lt;1,0,IFERROR(LOOKUP(2,1/('Milho 1ª safra'!$E15:INDEX('Milho 1ª safra'!$E15:$Z15,MIN(G$6-$G$3,22))&lt;&gt;""),'Milho 1ª safra'!$E15:INDEX('Milho 1ª safra'!$E15:$Z15,MIN(G$6-$G$3,22))),0)))))</f>
        <v>0</v>
      </c>
      <c r="H17" s="27" t="n">
        <f aca="false">IF(COUNT('Milho 1ª safra'!$E15:$Z15)=0,0,MAX(0,IF((H$6-$E$3)&lt;1,0,IFERROR(LOOKUP(2,1/('Milho 1ª safra'!$E15:INDEX('Milho 1ª safra'!$E15:$Z15,MIN(H$6-$E$3,22))&lt;&gt;""),'Milho 1ª safra'!$E15:INDEX('Milho 1ª safra'!$E15:$Z15,MIN(H$6-$E$3,22))),0))-IF($G$2,0,IF((H$6-$G$3)&lt;1,0,IFERROR(LOOKUP(2,1/('Milho 1ª safra'!$E15:INDEX('Milho 1ª safra'!$E15:$Z15,MIN(H$6-$G$3,22))&lt;&gt;""),'Milho 1ª safra'!$E15:INDEX('Milho 1ª safra'!$E15:$Z15,MIN(H$6-$G$3,22))),0)))))</f>
        <v>0</v>
      </c>
      <c r="I17" s="27" t="n">
        <f aca="false">IF(COUNT('Milho 1ª safra'!$E15:$Z15)=0,0,MAX(0,IF((I$6-$E$3)&lt;1,0,IFERROR(LOOKUP(2,1/('Milho 1ª safra'!$E15:INDEX('Milho 1ª safra'!$E15:$Z15,MIN(I$6-$E$3,22))&lt;&gt;""),'Milho 1ª safra'!$E15:INDEX('Milho 1ª safra'!$E15:$Z15,MIN(I$6-$E$3,22))),0))-IF($G$2,0,IF((I$6-$G$3)&lt;1,0,IFERROR(LOOKUP(2,1/('Milho 1ª safra'!$E15:INDEX('Milho 1ª safra'!$E15:$Z15,MIN(I$6-$G$3,22))&lt;&gt;""),'Milho 1ª safra'!$E15:INDEX('Milho 1ª safra'!$E15:$Z15,MIN(I$6-$G$3,22))),0)))))</f>
        <v>0</v>
      </c>
      <c r="J17" s="27" t="n">
        <f aca="false">IF(COUNT('Milho 1ª safra'!$E15:$Z15)=0,0,MAX(0,IF((J$6-$E$3)&lt;1,0,IFERROR(LOOKUP(2,1/('Milho 1ª safra'!$E15:INDEX('Milho 1ª safra'!$E15:$Z15,MIN(J$6-$E$3,22))&lt;&gt;""),'Milho 1ª safra'!$E15:INDEX('Milho 1ª safra'!$E15:$Z15,MIN(J$6-$E$3,22))),0))-IF($G$2,0,IF((J$6-$G$3)&lt;1,0,IFERROR(LOOKUP(2,1/('Milho 1ª safra'!$E15:INDEX('Milho 1ª safra'!$E15:$Z15,MIN(J$6-$G$3,22))&lt;&gt;""),'Milho 1ª safra'!$E15:INDEX('Milho 1ª safra'!$E15:$Z15,MIN(J$6-$G$3,22))),0)))))</f>
        <v>0</v>
      </c>
      <c r="K17" s="27" t="n">
        <f aca="false">IF(COUNT('Milho 1ª safra'!$E15:$Z15)=0,0,MAX(0,IF((K$6-$E$3)&lt;1,0,IFERROR(LOOKUP(2,1/('Milho 1ª safra'!$E15:INDEX('Milho 1ª safra'!$E15:$Z15,MIN(K$6-$E$3,22))&lt;&gt;""),'Milho 1ª safra'!$E15:INDEX('Milho 1ª safra'!$E15:$Z15,MIN(K$6-$E$3,22))),0))-IF($G$2,0,IF((K$6-$G$3)&lt;1,0,IFERROR(LOOKUP(2,1/('Milho 1ª safra'!$E15:INDEX('Milho 1ª safra'!$E15:$Z15,MIN(K$6-$G$3,22))&lt;&gt;""),'Milho 1ª safra'!$E15:INDEX('Milho 1ª safra'!$E15:$Z15,MIN(K$6-$G$3,22))),0)))))</f>
        <v>0</v>
      </c>
      <c r="L17" s="27" t="n">
        <f aca="false">IF(COUNT('Milho 1ª safra'!$E15:$Z15)=0,0,MAX(0,IF((L$6-$E$3)&lt;1,0,IFERROR(LOOKUP(2,1/('Milho 1ª safra'!$E15:INDEX('Milho 1ª safra'!$E15:$Z15,MIN(L$6-$E$3,22))&lt;&gt;""),'Milho 1ª safra'!$E15:INDEX('Milho 1ª safra'!$E15:$Z15,MIN(L$6-$E$3,22))),0))-IF($G$2,0,IF((L$6-$G$3)&lt;1,0,IFERROR(LOOKUP(2,1/('Milho 1ª safra'!$E15:INDEX('Milho 1ª safra'!$E15:$Z15,MIN(L$6-$G$3,22))&lt;&gt;""),'Milho 1ª safra'!$E15:INDEX('Milho 1ª safra'!$E15:$Z15,MIN(L$6-$G$3,22))),0)))))</f>
        <v>0</v>
      </c>
      <c r="M17" s="27" t="n">
        <f aca="false">IF(COUNT('Milho 1ª safra'!$E15:$Z15)=0,0,MAX(0,IF((M$6-$E$3)&lt;1,0,IFERROR(LOOKUP(2,1/('Milho 1ª safra'!$E15:INDEX('Milho 1ª safra'!$E15:$Z15,MIN(M$6-$E$3,22))&lt;&gt;""),'Milho 1ª safra'!$E15:INDEX('Milho 1ª safra'!$E15:$Z15,MIN(M$6-$E$3,22))),0))-IF($G$2,0,IF((M$6-$G$3)&lt;1,0,IFERROR(LOOKUP(2,1/('Milho 1ª safra'!$E15:INDEX('Milho 1ª safra'!$E15:$Z15,MIN(M$6-$G$3,22))&lt;&gt;""),'Milho 1ª safra'!$E15:INDEX('Milho 1ª safra'!$E15:$Z15,MIN(M$6-$G$3,22))),0)))))</f>
        <v>0</v>
      </c>
      <c r="N17" s="27" t="n">
        <f aca="false">IF(COUNT('Milho 1ª safra'!$E15:$Z15)=0,0,MAX(0,IF((N$6-$E$3)&lt;1,0,IFERROR(LOOKUP(2,1/('Milho 1ª safra'!$E15:INDEX('Milho 1ª safra'!$E15:$Z15,MIN(N$6-$E$3,22))&lt;&gt;""),'Milho 1ª safra'!$E15:INDEX('Milho 1ª safra'!$E15:$Z15,MIN(N$6-$E$3,22))),0))-IF($G$2,0,IF((N$6-$G$3)&lt;1,0,IFERROR(LOOKUP(2,1/('Milho 1ª safra'!$E15:INDEX('Milho 1ª safra'!$E15:$Z15,MIN(N$6-$G$3,22))&lt;&gt;""),'Milho 1ª safra'!$E15:INDEX('Milho 1ª safra'!$E15:$Z15,MIN(N$6-$G$3,22))),0)))))</f>
        <v>0</v>
      </c>
      <c r="O17" s="27" t="n">
        <f aca="false">IF(COUNT('Milho 1ª safra'!$E15:$Z15)=0,0,MAX(0,IF((O$6-$E$3)&lt;1,0,IFERROR(LOOKUP(2,1/('Milho 1ª safra'!$E15:INDEX('Milho 1ª safra'!$E15:$Z15,MIN(O$6-$E$3,22))&lt;&gt;""),'Milho 1ª safra'!$E15:INDEX('Milho 1ª safra'!$E15:$Z15,MIN(O$6-$E$3,22))),0))-IF($G$2,0,IF((O$6-$G$3)&lt;1,0,IFERROR(LOOKUP(2,1/('Milho 1ª safra'!$E15:INDEX('Milho 1ª safra'!$E15:$Z15,MIN(O$6-$G$3,22))&lt;&gt;""),'Milho 1ª safra'!$E15:INDEX('Milho 1ª safra'!$E15:$Z15,MIN(O$6-$G$3,22))),0)))))</f>
        <v>0</v>
      </c>
      <c r="P17" s="27" t="n">
        <f aca="false">IF(COUNT('Milho 1ª safra'!$E15:$Z15)=0,0,MAX(0,IF((P$6-$E$3)&lt;1,0,IFERROR(LOOKUP(2,1/('Milho 1ª safra'!$E15:INDEX('Milho 1ª safra'!$E15:$Z15,MIN(P$6-$E$3,22))&lt;&gt;""),'Milho 1ª safra'!$E15:INDEX('Milho 1ª safra'!$E15:$Z15,MIN(P$6-$E$3,22))),0))-IF($G$2,0,IF((P$6-$G$3)&lt;1,0,IFERROR(LOOKUP(2,1/('Milho 1ª safra'!$E15:INDEX('Milho 1ª safra'!$E15:$Z15,MIN(P$6-$G$3,22))&lt;&gt;""),'Milho 1ª safra'!$E15:INDEX('Milho 1ª safra'!$E15:$Z15,MIN(P$6-$G$3,22))),0)))))</f>
        <v>0</v>
      </c>
      <c r="Q17" s="27" t="n">
        <f aca="false">IF(COUNT('Milho 1ª safra'!$E15:$Z15)=0,0,MAX(0,IF((Q$6-$E$3)&lt;1,0,IFERROR(LOOKUP(2,1/('Milho 1ª safra'!$E15:INDEX('Milho 1ª safra'!$E15:$Z15,MIN(Q$6-$E$3,22))&lt;&gt;""),'Milho 1ª safra'!$E15:INDEX('Milho 1ª safra'!$E15:$Z15,MIN(Q$6-$E$3,22))),0))-IF($G$2,0,IF((Q$6-$G$3)&lt;1,0,IFERROR(LOOKUP(2,1/('Milho 1ª safra'!$E15:INDEX('Milho 1ª safra'!$E15:$Z15,MIN(Q$6-$G$3,22))&lt;&gt;""),'Milho 1ª safra'!$E15:INDEX('Milho 1ª safra'!$E15:$Z15,MIN(Q$6-$G$3,22))),0)))))</f>
        <v>0</v>
      </c>
      <c r="R17" s="27" t="n">
        <f aca="false">IF(COUNT('Milho 1ª safra'!$E15:$Z15)=0,0,MAX(0,IF((R$6-$E$3)&lt;1,0,IFERROR(LOOKUP(2,1/('Milho 1ª safra'!$E15:INDEX('Milho 1ª safra'!$E15:$Z15,MIN(R$6-$E$3,22))&lt;&gt;""),'Milho 1ª safra'!$E15:INDEX('Milho 1ª safra'!$E15:$Z15,MIN(R$6-$E$3,22))),0))-IF($G$2,0,IF((R$6-$G$3)&lt;1,0,IFERROR(LOOKUP(2,1/('Milho 1ª safra'!$E15:INDEX('Milho 1ª safra'!$E15:$Z15,MIN(R$6-$G$3,22))&lt;&gt;""),'Milho 1ª safra'!$E15:INDEX('Milho 1ª safra'!$E15:$Z15,MIN(R$6-$G$3,22))),0)))))</f>
        <v>0</v>
      </c>
      <c r="S17" s="27" t="n">
        <f aca="false">IF(COUNT('Milho 1ª safra'!$E15:$Z15)=0,0,MAX(0,IF((S$6-$E$3)&lt;1,0,IFERROR(LOOKUP(2,1/('Milho 1ª safra'!$E15:INDEX('Milho 1ª safra'!$E15:$Z15,MIN(S$6-$E$3,22))&lt;&gt;""),'Milho 1ª safra'!$E15:INDEX('Milho 1ª safra'!$E15:$Z15,MIN(S$6-$E$3,22))),0))-IF($G$2,0,IF((S$6-$G$3)&lt;1,0,IFERROR(LOOKUP(2,1/('Milho 1ª safra'!$E15:INDEX('Milho 1ª safra'!$E15:$Z15,MIN(S$6-$G$3,22))&lt;&gt;""),'Milho 1ª safra'!$E15:INDEX('Milho 1ª safra'!$E15:$Z15,MIN(S$6-$G$3,22))),0)))))</f>
        <v>0</v>
      </c>
      <c r="T17" s="27" t="n">
        <f aca="false">IF(COUNT('Milho 1ª safra'!$E15:$Z15)=0,0,MAX(0,IF((T$6-$E$3)&lt;1,0,IFERROR(LOOKUP(2,1/('Milho 1ª safra'!$E15:INDEX('Milho 1ª safra'!$E15:$Z15,MIN(T$6-$E$3,22))&lt;&gt;""),'Milho 1ª safra'!$E15:INDEX('Milho 1ª safra'!$E15:$Z15,MIN(T$6-$E$3,22))),0))-IF($G$2,0,IF((T$6-$G$3)&lt;1,0,IFERROR(LOOKUP(2,1/('Milho 1ª safra'!$E15:INDEX('Milho 1ª safra'!$E15:$Z15,MIN(T$6-$G$3,22))&lt;&gt;""),'Milho 1ª safra'!$E15:INDEX('Milho 1ª safra'!$E15:$Z15,MIN(T$6-$G$3,22))),0)))))</f>
        <v>0</v>
      </c>
      <c r="U17" s="27" t="n">
        <f aca="false">IF(COUNT('Milho 1ª safra'!$E15:$Z15)=0,0,MAX(0,IF((U$6-$E$3)&lt;1,0,IFERROR(LOOKUP(2,1/('Milho 1ª safra'!$E15:INDEX('Milho 1ª safra'!$E15:$Z15,MIN(U$6-$E$3,22))&lt;&gt;""),'Milho 1ª safra'!$E15:INDEX('Milho 1ª safra'!$E15:$Z15,MIN(U$6-$E$3,22))),0))-IF($G$2,0,IF((U$6-$G$3)&lt;1,0,IFERROR(LOOKUP(2,1/('Milho 1ª safra'!$E15:INDEX('Milho 1ª safra'!$E15:$Z15,MIN(U$6-$G$3,22))&lt;&gt;""),'Milho 1ª safra'!$E15:INDEX('Milho 1ª safra'!$E15:$Z15,MIN(U$6-$G$3,22))),0)))))</f>
        <v>0</v>
      </c>
      <c r="V17" s="27" t="n">
        <f aca="false">IF(COUNT('Milho 1ª safra'!$E15:$Z15)=0,0,MAX(0,IF((V$6-$E$3)&lt;1,0,IFERROR(LOOKUP(2,1/('Milho 1ª safra'!$E15:INDEX('Milho 1ª safra'!$E15:$Z15,MIN(V$6-$E$3,22))&lt;&gt;""),'Milho 1ª safra'!$E15:INDEX('Milho 1ª safra'!$E15:$Z15,MIN(V$6-$E$3,22))),0))-IF($G$2,0,IF((V$6-$G$3)&lt;1,0,IFERROR(LOOKUP(2,1/('Milho 1ª safra'!$E15:INDEX('Milho 1ª safra'!$E15:$Z15,MIN(V$6-$G$3,22))&lt;&gt;""),'Milho 1ª safra'!$E15:INDEX('Milho 1ª safra'!$E15:$Z15,MIN(V$6-$G$3,22))),0)))))</f>
        <v>0</v>
      </c>
      <c r="W17" s="27" t="n">
        <f aca="false">IF(COUNT('Milho 1ª safra'!$E15:$Z15)=0,0,MAX(0,IF((W$6-$E$3)&lt;1,0,IFERROR(LOOKUP(2,1/('Milho 1ª safra'!$E15:INDEX('Milho 1ª safra'!$E15:$Z15,MIN(W$6-$E$3,22))&lt;&gt;""),'Milho 1ª safra'!$E15:INDEX('Milho 1ª safra'!$E15:$Z15,MIN(W$6-$E$3,22))),0))-IF($G$2,0,IF((W$6-$G$3)&lt;1,0,IFERROR(LOOKUP(2,1/('Milho 1ª safra'!$E15:INDEX('Milho 1ª safra'!$E15:$Z15,MIN(W$6-$G$3,22))&lt;&gt;""),'Milho 1ª safra'!$E15:INDEX('Milho 1ª safra'!$E15:$Z15,MIN(W$6-$G$3,22))),0)))))</f>
        <v>0</v>
      </c>
      <c r="X17" s="27" t="n">
        <f aca="false">IF(COUNT('Milho 1ª safra'!$E15:$Z15)=0,0,MAX(0,IF((X$6-$E$3)&lt;1,0,IFERROR(LOOKUP(2,1/('Milho 1ª safra'!$E15:INDEX('Milho 1ª safra'!$E15:$Z15,MIN(X$6-$E$3,22))&lt;&gt;""),'Milho 1ª safra'!$E15:INDEX('Milho 1ª safra'!$E15:$Z15,MIN(X$6-$E$3,22))),0))-IF($G$2,0,IF((X$6-$G$3)&lt;1,0,IFERROR(LOOKUP(2,1/('Milho 1ª safra'!$E15:INDEX('Milho 1ª safra'!$E15:$Z15,MIN(X$6-$G$3,22))&lt;&gt;""),'Milho 1ª safra'!$E15:INDEX('Milho 1ª safra'!$E15:$Z15,MIN(X$6-$G$3,22))),0)))))</f>
        <v>0</v>
      </c>
      <c r="Y17" s="27" t="n">
        <f aca="false">IF(COUNT('Milho 1ª safra'!$E15:$Z15)=0,0,MAX(0,IF((Y$6-$E$3)&lt;1,0,IFERROR(LOOKUP(2,1/('Milho 1ª safra'!$E15:INDEX('Milho 1ª safra'!$E15:$Z15,MIN(Y$6-$E$3,22))&lt;&gt;""),'Milho 1ª safra'!$E15:INDEX('Milho 1ª safra'!$E15:$Z15,MIN(Y$6-$E$3,22))),0))-IF($G$2,0,IF((Y$6-$G$3)&lt;1,0,IFERROR(LOOKUP(2,1/('Milho 1ª safra'!$E15:INDEX('Milho 1ª safra'!$E15:$Z15,MIN(Y$6-$G$3,22))&lt;&gt;""),'Milho 1ª safra'!$E15:INDEX('Milho 1ª safra'!$E15:$Z15,MIN(Y$6-$G$3,22))),0)))))</f>
        <v>0</v>
      </c>
      <c r="Z17" s="27" t="n">
        <f aca="false">IF(COUNT('Milho 1ª safra'!$E15:$Z15)=0,0,MAX(0,IF((Z$6-$E$3)&lt;1,0,IFERROR(LOOKUP(2,1/('Milho 1ª safra'!$E15:INDEX('Milho 1ª safra'!$E15:$Z15,MIN(Z$6-$E$3,22))&lt;&gt;""),'Milho 1ª safra'!$E15:INDEX('Milho 1ª safra'!$E15:$Z15,MIN(Z$6-$E$3,22))),0))-IF($G$2,0,IF((Z$6-$G$3)&lt;1,0,IFERROR(LOOKUP(2,1/('Milho 1ª safra'!$E15:INDEX('Milho 1ª safra'!$E15:$Z15,MIN(Z$6-$G$3,22))&lt;&gt;""),'Milho 1ª safra'!$E15:INDEX('Milho 1ª safra'!$E15:$Z15,MIN(Z$6-$G$3,22))),0)))))</f>
        <v>0</v>
      </c>
      <c r="AA17" s="27" t="n">
        <f aca="false">IF(COUNT('Milho 1ª safra'!$E15:$Z15)=0,0,MAX(0,IF((AA$6-$E$3)&lt;1,0,IFERROR(LOOKUP(2,1/('Milho 1ª safra'!$E15:INDEX('Milho 1ª safra'!$E15:$Z15,MIN(AA$6-$E$3,22))&lt;&gt;""),'Milho 1ª safra'!$E15:INDEX('Milho 1ª safra'!$E15:$Z15,MIN(AA$6-$E$3,22))),0))-IF($G$2,0,IF((AA$6-$G$3)&lt;1,0,IFERROR(LOOKUP(2,1/('Milho 1ª safra'!$E15:INDEX('Milho 1ª safra'!$E15:$Z15,MIN(AA$6-$G$3,22))&lt;&gt;""),'Milho 1ª safra'!$E15:INDEX('Milho 1ª safra'!$E15:$Z15,MIN(AA$6-$G$3,22))),0)))))</f>
        <v>0</v>
      </c>
      <c r="AB17" s="27" t="n">
        <f aca="false">IF(COUNT('Milho 1ª safra'!$E15:$Z15)=0,0,MAX(0,IF((AB$6-$E$3)&lt;1,0,IFERROR(LOOKUP(2,1/('Milho 1ª safra'!$E15:INDEX('Milho 1ª safra'!$E15:$Z15,MIN(AB$6-$E$3,22))&lt;&gt;""),'Milho 1ª safra'!$E15:INDEX('Milho 1ª safra'!$E15:$Z15,MIN(AB$6-$E$3,22))),0))-IF($G$2,0,IF((AB$6-$G$3)&lt;1,0,IFERROR(LOOKUP(2,1/('Milho 1ª safra'!$E15:INDEX('Milho 1ª safra'!$E15:$Z15,MIN(AB$6-$G$3,22))&lt;&gt;""),'Milho 1ª safra'!$E15:INDEX('Milho 1ª safra'!$E15:$Z15,MIN(AB$6-$G$3,22))),0)))))</f>
        <v>0</v>
      </c>
      <c r="AC17" s="27" t="n">
        <f aca="false">IF(COUNT('Milho 1ª safra'!$E15:$Z15)=0,0,MAX(0,IF((AC$6-$E$3)&lt;1,0,IFERROR(LOOKUP(2,1/('Milho 1ª safra'!$E15:INDEX('Milho 1ª safra'!$E15:$Z15,MIN(AC$6-$E$3,22))&lt;&gt;""),'Milho 1ª safra'!$E15:INDEX('Milho 1ª safra'!$E15:$Z15,MIN(AC$6-$E$3,22))),0))-IF($G$2,0,IF((AC$6-$G$3)&lt;1,0,IFERROR(LOOKUP(2,1/('Milho 1ª safra'!$E15:INDEX('Milho 1ª safra'!$E15:$Z15,MIN(AC$6-$G$3,22))&lt;&gt;""),'Milho 1ª safra'!$E15:INDEX('Milho 1ª safra'!$E15:$Z15,MIN(AC$6-$G$3,22))),0)))))</f>
        <v>0</v>
      </c>
      <c r="AD17" s="27" t="n">
        <f aca="false">IF(COUNT('Milho 1ª safra'!$E15:$Z15)=0,0,MAX(0,IF((AD$6-$E$3)&lt;1,0,IFERROR(LOOKUP(2,1/('Milho 1ª safra'!$E15:INDEX('Milho 1ª safra'!$E15:$Z15,MIN(AD$6-$E$3,22))&lt;&gt;""),'Milho 1ª safra'!$E15:INDEX('Milho 1ª safra'!$E15:$Z15,MIN(AD$6-$E$3,22))),0))-IF($G$2,0,IF((AD$6-$G$3)&lt;1,0,IFERROR(LOOKUP(2,1/('Milho 1ª safra'!$E15:INDEX('Milho 1ª safra'!$E15:$Z15,MIN(AD$6-$G$3,22))&lt;&gt;""),'Milho 1ª safra'!$E15:INDEX('Milho 1ª safra'!$E15:$Z15,MIN(AD$6-$G$3,22))),0)))))</f>
        <v>0</v>
      </c>
      <c r="AE17" s="27" t="n">
        <f aca="false">IF(COUNT('Milho 1ª safra'!$E15:$Z15)=0,0,MAX(0,IF((AE$6-$E$3)&lt;1,0,IFERROR(LOOKUP(2,1/('Milho 1ª safra'!$E15:INDEX('Milho 1ª safra'!$E15:$Z15,MIN(AE$6-$E$3,22))&lt;&gt;""),'Milho 1ª safra'!$E15:INDEX('Milho 1ª safra'!$E15:$Z15,MIN(AE$6-$E$3,22))),0))-IF($G$2,0,IF((AE$6-$G$3)&lt;1,0,IFERROR(LOOKUP(2,1/('Milho 1ª safra'!$E15:INDEX('Milho 1ª safra'!$E15:$Z15,MIN(AE$6-$G$3,22))&lt;&gt;""),'Milho 1ª safra'!$E15:INDEX('Milho 1ª safra'!$E15:$Z15,MIN(AE$6-$G$3,22))),0)))))</f>
        <v>0</v>
      </c>
      <c r="AF17" s="27" t="n">
        <f aca="false">IF(COUNT('Milho 1ª safra'!$E15:$Z15)=0,0,MAX(0,IF((AF$6-$E$3)&lt;1,0,IFERROR(LOOKUP(2,1/('Milho 1ª safra'!$E15:INDEX('Milho 1ª safra'!$E15:$Z15,MIN(AF$6-$E$3,22))&lt;&gt;""),'Milho 1ª safra'!$E15:INDEX('Milho 1ª safra'!$E15:$Z15,MIN(AF$6-$E$3,22))),0))-IF($G$2,0,IF((AF$6-$G$3)&lt;1,0,IFERROR(LOOKUP(2,1/('Milho 1ª safra'!$E15:INDEX('Milho 1ª safra'!$E15:$Z15,MIN(AF$6-$G$3,22))&lt;&gt;""),'Milho 1ª safra'!$E15:INDEX('Milho 1ª safra'!$E15:$Z15,MIN(AF$6-$G$3,22))),0)))))</f>
        <v>0</v>
      </c>
      <c r="AG17" s="27" t="n">
        <f aca="false">IF(COUNT('Milho 1ª safra'!$E15:$Z15)=0,0,MAX(0,IF((AG$6-$E$3)&lt;1,0,IFERROR(LOOKUP(2,1/('Milho 1ª safra'!$E15:INDEX('Milho 1ª safra'!$E15:$Z15,MIN(AG$6-$E$3,22))&lt;&gt;""),'Milho 1ª safra'!$E15:INDEX('Milho 1ª safra'!$E15:$Z15,MIN(AG$6-$E$3,22))),0))-IF($G$2,0,IF((AG$6-$G$3)&lt;1,0,IFERROR(LOOKUP(2,1/('Milho 1ª safra'!$E15:INDEX('Milho 1ª safra'!$E15:$Z15,MIN(AG$6-$G$3,22))&lt;&gt;""),'Milho 1ª safra'!$E15:INDEX('Milho 1ª safra'!$E15:$Z15,MIN(AG$6-$G$3,22))),0)))))</f>
        <v>0</v>
      </c>
      <c r="AH17" s="27" t="n">
        <f aca="false">IF(COUNT('Milho 1ª safra'!$E15:$Z15)=0,0,MAX(0,IF((AH$6-$E$3)&lt;1,0,IFERROR(LOOKUP(2,1/('Milho 1ª safra'!$E15:INDEX('Milho 1ª safra'!$E15:$Z15,MIN(AH$6-$E$3,22))&lt;&gt;""),'Milho 1ª safra'!$E15:INDEX('Milho 1ª safra'!$E15:$Z15,MIN(AH$6-$E$3,22))),0))-IF($G$2,0,IF((AH$6-$G$3)&lt;1,0,IFERROR(LOOKUP(2,1/('Milho 1ª safra'!$E15:INDEX('Milho 1ª safra'!$E15:$Z15,MIN(AH$6-$G$3,22))&lt;&gt;""),'Milho 1ª safra'!$E15:INDEX('Milho 1ª safra'!$E15:$Z15,MIN(AH$6-$G$3,22))),0)))))</f>
        <v>0</v>
      </c>
      <c r="AI17" s="27" t="n">
        <f aca="false">IF(COUNT('Milho 1ª safra'!$E15:$Z15)=0,0,MAX(0,IF((AI$6-$E$3)&lt;1,0,IFERROR(LOOKUP(2,1/('Milho 1ª safra'!$E15:INDEX('Milho 1ª safra'!$E15:$Z15,MIN(AI$6-$E$3,22))&lt;&gt;""),'Milho 1ª safra'!$E15:INDEX('Milho 1ª safra'!$E15:$Z15,MIN(AI$6-$E$3,22))),0))-IF($G$2,0,IF((AI$6-$G$3)&lt;1,0,IFERROR(LOOKUP(2,1/('Milho 1ª safra'!$E15:INDEX('Milho 1ª safra'!$E15:$Z15,MIN(AI$6-$G$3,22))&lt;&gt;""),'Milho 1ª safra'!$E15:INDEX('Milho 1ª safra'!$E15:$Z15,MIN(AI$6-$G$3,22))),0)))))</f>
        <v>0</v>
      </c>
      <c r="AJ17" s="27" t="n">
        <f aca="false">IF(COUNT('Milho 1ª safra'!$E15:$Z15)=0,0,MAX(0,IF((AJ$6-$E$3)&lt;1,0,IFERROR(LOOKUP(2,1/('Milho 1ª safra'!$E15:INDEX('Milho 1ª safra'!$E15:$Z15,MIN(AJ$6-$E$3,22))&lt;&gt;""),'Milho 1ª safra'!$E15:INDEX('Milho 1ª safra'!$E15:$Z15,MIN(AJ$6-$E$3,22))),0))-IF($G$2,0,IF((AJ$6-$G$3)&lt;1,0,IFERROR(LOOKUP(2,1/('Milho 1ª safra'!$E15:INDEX('Milho 1ª safra'!$E15:$Z15,MIN(AJ$6-$G$3,22))&lt;&gt;""),'Milho 1ª safra'!$E15:INDEX('Milho 1ª safra'!$E15:$Z15,MIN(AJ$6-$G$3,22))),0)))))</f>
        <v>0</v>
      </c>
      <c r="AK17" s="27" t="n">
        <f aca="false">IF(COUNT('Milho 1ª safra'!$E15:$Z15)=0,0,MAX(0,IF((AK$6-$E$3)&lt;1,0,IFERROR(LOOKUP(2,1/('Milho 1ª safra'!$E15:INDEX('Milho 1ª safra'!$E15:$Z15,MIN(AK$6-$E$3,22))&lt;&gt;""),'Milho 1ª safra'!$E15:INDEX('Milho 1ª safra'!$E15:$Z15,MIN(AK$6-$E$3,22))),0))-IF($G$2,0,IF((AK$6-$G$3)&lt;1,0,IFERROR(LOOKUP(2,1/('Milho 1ª safra'!$E15:INDEX('Milho 1ª safra'!$E15:$Z15,MIN(AK$6-$G$3,22))&lt;&gt;""),'Milho 1ª safra'!$E15:INDEX('Milho 1ª safra'!$E15:$Z15,MIN(AK$6-$G$3,22))),0)))))</f>
        <v>0</v>
      </c>
      <c r="AL17" s="27" t="n">
        <f aca="false">IF(COUNT('Milho 1ª safra'!$E15:$Z15)=0,0,MAX(0,IF((AL$6-$E$3)&lt;1,0,IFERROR(LOOKUP(2,1/('Milho 1ª safra'!$E15:INDEX('Milho 1ª safra'!$E15:$Z15,MIN(AL$6-$E$3,22))&lt;&gt;""),'Milho 1ª safra'!$E15:INDEX('Milho 1ª safra'!$E15:$Z15,MIN(AL$6-$E$3,22))),0))-IF($G$2,0,IF((AL$6-$G$3)&lt;1,0,IFERROR(LOOKUP(2,1/('Milho 1ª safra'!$E15:INDEX('Milho 1ª safra'!$E15:$Z15,MIN(AL$6-$G$3,22))&lt;&gt;""),'Milho 1ª safra'!$E15:INDEX('Milho 1ª safra'!$E15:$Z15,MIN(AL$6-$G$3,22))),0)))))</f>
        <v>0</v>
      </c>
      <c r="AM17" s="27" t="n">
        <f aca="false">IF(COUNT('Milho 1ª safra'!$E15:$Z15)=0,0,MAX(0,IF((AM$6-$E$3)&lt;1,0,IFERROR(LOOKUP(2,1/('Milho 1ª safra'!$E15:INDEX('Milho 1ª safra'!$E15:$Z15,MIN(AM$6-$E$3,22))&lt;&gt;""),'Milho 1ª safra'!$E15:INDEX('Milho 1ª safra'!$E15:$Z15,MIN(AM$6-$E$3,22))),0))-IF($G$2,0,IF((AM$6-$G$3)&lt;1,0,IFERROR(LOOKUP(2,1/('Milho 1ª safra'!$E15:INDEX('Milho 1ª safra'!$E15:$Z15,MIN(AM$6-$G$3,22))&lt;&gt;""),'Milho 1ª safra'!$E15:INDEX('Milho 1ª safra'!$E15:$Z15,MIN(AM$6-$G$3,22))),0)))))</f>
        <v>0</v>
      </c>
      <c r="AN17" s="27" t="n">
        <f aca="false">IF(COUNT('Milho 1ª safra'!$E15:$Z15)=0,0,MAX(0,IF((AN$6-$E$3)&lt;1,0,IFERROR(LOOKUP(2,1/('Milho 1ª safra'!$E15:INDEX('Milho 1ª safra'!$E15:$Z15,MIN(AN$6-$E$3,22))&lt;&gt;""),'Milho 1ª safra'!$E15:INDEX('Milho 1ª safra'!$E15:$Z15,MIN(AN$6-$E$3,22))),0))-IF($G$2,0,IF((AN$6-$G$3)&lt;1,0,IFERROR(LOOKUP(2,1/('Milho 1ª safra'!$E15:INDEX('Milho 1ª safra'!$E15:$Z15,MIN(AN$6-$G$3,22))&lt;&gt;""),'Milho 1ª safra'!$E15:INDEX('Milho 1ª safra'!$E15:$Z15,MIN(AN$6-$G$3,22))),0)))))</f>
        <v>0</v>
      </c>
      <c r="AO17" s="27" t="n">
        <f aca="false">IF(COUNT('Milho 1ª safra'!$E15:$Z15)=0,0,MAX(0,IF((AO$6-$E$3)&lt;1,0,IFERROR(LOOKUP(2,1/('Milho 1ª safra'!$E15:INDEX('Milho 1ª safra'!$E15:$Z15,MIN(AO$6-$E$3,22))&lt;&gt;""),'Milho 1ª safra'!$E15:INDEX('Milho 1ª safra'!$E15:$Z15,MIN(AO$6-$E$3,22))),0))-IF($G$2,0,IF((AO$6-$G$3)&lt;1,0,IFERROR(LOOKUP(2,1/('Milho 1ª safra'!$E15:INDEX('Milho 1ª safra'!$E15:$Z15,MIN(AO$6-$G$3,22))&lt;&gt;""),'Milho 1ª safra'!$E15:INDEX('Milho 1ª safra'!$E15:$Z15,MIN(AO$6-$G$3,22))),0)))))</f>
        <v>0</v>
      </c>
      <c r="AP17" s="27" t="n">
        <f aca="false">IF(COUNT('Milho 1ª safra'!$E15:$Z15)=0,0,MAX(0,IF((AP$6-$E$3)&lt;1,0,IFERROR(LOOKUP(2,1/('Milho 1ª safra'!$E15:INDEX('Milho 1ª safra'!$E15:$Z15,MIN(AP$6-$E$3,22))&lt;&gt;""),'Milho 1ª safra'!$E15:INDEX('Milho 1ª safra'!$E15:$Z15,MIN(AP$6-$E$3,22))),0))-IF($G$2,0,IF((AP$6-$G$3)&lt;1,0,IFERROR(LOOKUP(2,1/('Milho 1ª safra'!$E15:INDEX('Milho 1ª safra'!$E15:$Z15,MIN(AP$6-$G$3,22))&lt;&gt;""),'Milho 1ª safra'!$E15:INDEX('Milho 1ª safra'!$E15:$Z15,MIN(AP$6-$G$3,22))),0)))))</f>
        <v>0</v>
      </c>
      <c r="AQ17" s="27" t="n">
        <f aca="false">IF(COUNT('Milho 1ª safra'!$E15:$Z15)=0,0,MAX(0,IF((AQ$6-$E$3)&lt;1,0,IFERROR(LOOKUP(2,1/('Milho 1ª safra'!$E15:INDEX('Milho 1ª safra'!$E15:$Z15,MIN(AQ$6-$E$3,22))&lt;&gt;""),'Milho 1ª safra'!$E15:INDEX('Milho 1ª safra'!$E15:$Z15,MIN(AQ$6-$E$3,22))),0))-IF($G$2,0,IF((AQ$6-$G$3)&lt;1,0,IFERROR(LOOKUP(2,1/('Milho 1ª safra'!$E15:INDEX('Milho 1ª safra'!$E15:$Z15,MIN(AQ$6-$G$3,22))&lt;&gt;""),'Milho 1ª safra'!$E15:INDEX('Milho 1ª safra'!$E15:$Z15,MIN(AQ$6-$G$3,22))),0)))))</f>
        <v>0</v>
      </c>
      <c r="AR17" s="27" t="n">
        <f aca="false">IF(COUNT('Milho 1ª safra'!$E15:$Z15)=0,0,MAX(0,IF((AR$6-$E$3)&lt;1,0,IFERROR(LOOKUP(2,1/('Milho 1ª safra'!$E15:INDEX('Milho 1ª safra'!$E15:$Z15,MIN(AR$6-$E$3,22))&lt;&gt;""),'Milho 1ª safra'!$E15:INDEX('Milho 1ª safra'!$E15:$Z15,MIN(AR$6-$E$3,22))),0))-IF($G$2,0,IF((AR$6-$G$3)&lt;1,0,IFERROR(LOOKUP(2,1/('Milho 1ª safra'!$E15:INDEX('Milho 1ª safra'!$E15:$Z15,MIN(AR$6-$G$3,22))&lt;&gt;""),'Milho 1ª safra'!$E15:INDEX('Milho 1ª safra'!$E15:$Z15,MIN(AR$6-$G$3,22))),0)))))</f>
        <v>0</v>
      </c>
      <c r="AS17" s="27" t="n">
        <f aca="false">IF(COUNT('Milho 1ª safra'!$E15:$Z15)=0,0,MAX(0,IF((AS$6-$E$3)&lt;1,0,IFERROR(LOOKUP(2,1/('Milho 1ª safra'!$E15:INDEX('Milho 1ª safra'!$E15:$Z15,MIN(AS$6-$E$3,22))&lt;&gt;""),'Milho 1ª safra'!$E15:INDEX('Milho 1ª safra'!$E15:$Z15,MIN(AS$6-$E$3,22))),0))-IF($G$2,0,IF((AS$6-$G$3)&lt;1,0,IFERROR(LOOKUP(2,1/('Milho 1ª safra'!$E15:INDEX('Milho 1ª safra'!$E15:$Z15,MIN(AS$6-$G$3,22))&lt;&gt;""),'Milho 1ª safra'!$E15:INDEX('Milho 1ª safra'!$E15:$Z15,MIN(AS$6-$G$3,22))),0)))))</f>
        <v>0</v>
      </c>
      <c r="AT17" s="27" t="n">
        <f aca="false">IF(COUNT('Milho 1ª safra'!$E15:$Z15)=0,0,MAX(0,IF((AT$6-$E$3)&lt;1,0,IFERROR(LOOKUP(2,1/('Milho 1ª safra'!$E15:INDEX('Milho 1ª safra'!$E15:$Z15,MIN(AT$6-$E$3,22))&lt;&gt;""),'Milho 1ª safra'!$E15:INDEX('Milho 1ª safra'!$E15:$Z15,MIN(AT$6-$E$3,22))),0))-IF($G$2,0,IF((AT$6-$G$3)&lt;1,0,IFERROR(LOOKUP(2,1/('Milho 1ª safra'!$E15:INDEX('Milho 1ª safra'!$E15:$Z15,MIN(AT$6-$G$3,22))&lt;&gt;""),'Milho 1ª safra'!$E15:INDEX('Milho 1ª safra'!$E15:$Z15,MIN(AT$6-$G$3,22))),0)))))</f>
        <v>0</v>
      </c>
      <c r="AU17" s="27" t="n">
        <f aca="false">IF(COUNT('Milho 1ª safra'!$E15:$Z15)=0,0,MAX(0,IF((AU$6-$E$3)&lt;1,0,IFERROR(LOOKUP(2,1/('Milho 1ª safra'!$E15:INDEX('Milho 1ª safra'!$E15:$Z15,MIN(AU$6-$E$3,22))&lt;&gt;""),'Milho 1ª safra'!$E15:INDEX('Milho 1ª safra'!$E15:$Z15,MIN(AU$6-$E$3,22))),0))-IF($G$2,0,IF((AU$6-$G$3)&lt;1,0,IFERROR(LOOKUP(2,1/('Milho 1ª safra'!$E15:INDEX('Milho 1ª safra'!$E15:$Z15,MIN(AU$6-$G$3,22))&lt;&gt;""),'Milho 1ª safra'!$E15:INDEX('Milho 1ª safra'!$E15:$Z15,MIN(AU$6-$G$3,22))),0)))))</f>
        <v>0</v>
      </c>
      <c r="AV17" s="27" t="n">
        <f aca="false">IF(COUNT('Milho 1ª safra'!$E15:$Z15)=0,0,MAX(0,IF((AV$6-$E$3)&lt;1,0,IFERROR(LOOKUP(2,1/('Milho 1ª safra'!$E15:INDEX('Milho 1ª safra'!$E15:$Z15,MIN(AV$6-$E$3,22))&lt;&gt;""),'Milho 1ª safra'!$E15:INDEX('Milho 1ª safra'!$E15:$Z15,MIN(AV$6-$E$3,22))),0))-IF($G$2,0,IF((AV$6-$G$3)&lt;1,0,IFERROR(LOOKUP(2,1/('Milho 1ª safra'!$E15:INDEX('Milho 1ª safra'!$E15:$Z15,MIN(AV$6-$G$3,22))&lt;&gt;""),'Milho 1ª safra'!$E15:INDEX('Milho 1ª safra'!$E15:$Z15,MIN(AV$6-$G$3,22))),0)))))</f>
        <v>0</v>
      </c>
      <c r="AW17" s="27" t="n">
        <f aca="false">IF(COUNT('Milho 1ª safra'!$E15:$Z15)=0,0,MAX(0,IF((AW$6-$E$3)&lt;1,0,IFERROR(LOOKUP(2,1/('Milho 1ª safra'!$E15:INDEX('Milho 1ª safra'!$E15:$Z15,MIN(AW$6-$E$3,22))&lt;&gt;""),'Milho 1ª safra'!$E15:INDEX('Milho 1ª safra'!$E15:$Z15,MIN(AW$6-$E$3,22))),0))-IF($G$2,0,IF((AW$6-$G$3)&lt;1,0,IFERROR(LOOKUP(2,1/('Milho 1ª safra'!$E15:INDEX('Milho 1ª safra'!$E15:$Z15,MIN(AW$6-$G$3,22))&lt;&gt;""),'Milho 1ª safra'!$E15:INDEX('Milho 1ª safra'!$E15:$Z15,MIN(AW$6-$G$3,22))),0)))))</f>
        <v>0</v>
      </c>
      <c r="AX17" s="27" t="n">
        <f aca="false">IF(COUNT('Milho 1ª safra'!$E15:$Z15)=0,0,MAX(0,IF((AX$6-$E$3)&lt;1,0,IFERROR(LOOKUP(2,1/('Milho 1ª safra'!$E15:INDEX('Milho 1ª safra'!$E15:$Z15,MIN(AX$6-$E$3,22))&lt;&gt;""),'Milho 1ª safra'!$E15:INDEX('Milho 1ª safra'!$E15:$Z15,MIN(AX$6-$E$3,22))),0))-IF($G$2,0,IF((AX$6-$G$3)&lt;1,0,IFERROR(LOOKUP(2,1/('Milho 1ª safra'!$E15:INDEX('Milho 1ª safra'!$E15:$Z15,MIN(AX$6-$G$3,22))&lt;&gt;""),'Milho 1ª safra'!$E15:INDEX('Milho 1ª safra'!$E15:$Z15,MIN(AX$6-$G$3,22))),0)))))</f>
        <v>0</v>
      </c>
      <c r="AY17" s="27" t="n">
        <f aca="false">IF(COUNT('Milho 1ª safra'!$E15:$Z15)=0,0,MAX(0,IF((AY$6-$E$3)&lt;1,0,IFERROR(LOOKUP(2,1/('Milho 1ª safra'!$E15:INDEX('Milho 1ª safra'!$E15:$Z15,MIN(AY$6-$E$3,22))&lt;&gt;""),'Milho 1ª safra'!$E15:INDEX('Milho 1ª safra'!$E15:$Z15,MIN(AY$6-$E$3,22))),0))-IF($G$2,0,IF((AY$6-$G$3)&lt;1,0,IFERROR(LOOKUP(2,1/('Milho 1ª safra'!$E15:INDEX('Milho 1ª safra'!$E15:$Z15,MIN(AY$6-$G$3,22))&lt;&gt;""),'Milho 1ª safra'!$E15:INDEX('Milho 1ª safra'!$E15:$Z15,MIN(AY$6-$G$3,22))),0)))))</f>
        <v>0</v>
      </c>
      <c r="AZ17" s="27" t="n">
        <f aca="false">IF(COUNT('Milho 1ª safra'!$E15:$Z15)=0,0,MAX(0,IF((AZ$6-$E$3)&lt;1,0,IFERROR(LOOKUP(2,1/('Milho 1ª safra'!$E15:INDEX('Milho 1ª safra'!$E15:$Z15,MIN(AZ$6-$E$3,22))&lt;&gt;""),'Milho 1ª safra'!$E15:INDEX('Milho 1ª safra'!$E15:$Z15,MIN(AZ$6-$E$3,22))),0))-IF($G$2,0,IF((AZ$6-$G$3)&lt;1,0,IFERROR(LOOKUP(2,1/('Milho 1ª safra'!$E15:INDEX('Milho 1ª safra'!$E15:$Z15,MIN(AZ$6-$G$3,22))&lt;&gt;""),'Milho 1ª safra'!$E15:INDEX('Milho 1ª safra'!$E15:$Z15,MIN(AZ$6-$G$3,22))),0)))))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IF(COUNT('Milho 1ª safra'!$E16:$Z16)&gt;0,N('Milho 1ª safra'!$D16),0)</f>
        <v>0</v>
      </c>
      <c r="E18" s="27" t="n">
        <f aca="false">IF(COUNT('Milho 1ª safra'!$E16:$Z16)=0,0,MAX(0,IF((E$6-$E$3)&lt;1,0,IFERROR(LOOKUP(2,1/('Milho 1ª safra'!$E16:INDEX('Milho 1ª safra'!$E16:$Z16,MIN(E$6-$E$3,22))&lt;&gt;""),'Milho 1ª safra'!$E16:INDEX('Milho 1ª safra'!$E16:$Z16,MIN(E$6-$E$3,22))),0))-IF($G$2,0,IF((E$6-$G$3)&lt;1,0,IFERROR(LOOKUP(2,1/('Milho 1ª safra'!$E16:INDEX('Milho 1ª safra'!$E16:$Z16,MIN(E$6-$G$3,22))&lt;&gt;""),'Milho 1ª safra'!$E16:INDEX('Milho 1ª safra'!$E16:$Z16,MIN(E$6-$G$3,22))),0)))))</f>
        <v>0</v>
      </c>
      <c r="F18" s="27" t="n">
        <f aca="false">IF(COUNT('Milho 1ª safra'!$E16:$Z16)=0,0,MAX(0,IF((F$6-$E$3)&lt;1,0,IFERROR(LOOKUP(2,1/('Milho 1ª safra'!$E16:INDEX('Milho 1ª safra'!$E16:$Z16,MIN(F$6-$E$3,22))&lt;&gt;""),'Milho 1ª safra'!$E16:INDEX('Milho 1ª safra'!$E16:$Z16,MIN(F$6-$E$3,22))),0))-IF($G$2,0,IF((F$6-$G$3)&lt;1,0,IFERROR(LOOKUP(2,1/('Milho 1ª safra'!$E16:INDEX('Milho 1ª safra'!$E16:$Z16,MIN(F$6-$G$3,22))&lt;&gt;""),'Milho 1ª safra'!$E16:INDEX('Milho 1ª safra'!$E16:$Z16,MIN(F$6-$G$3,22))),0)))))</f>
        <v>0</v>
      </c>
      <c r="G18" s="27" t="n">
        <f aca="false">IF(COUNT('Milho 1ª safra'!$E16:$Z16)=0,0,MAX(0,IF((G$6-$E$3)&lt;1,0,IFERROR(LOOKUP(2,1/('Milho 1ª safra'!$E16:INDEX('Milho 1ª safra'!$E16:$Z16,MIN(G$6-$E$3,22))&lt;&gt;""),'Milho 1ª safra'!$E16:INDEX('Milho 1ª safra'!$E16:$Z16,MIN(G$6-$E$3,22))),0))-IF($G$2,0,IF((G$6-$G$3)&lt;1,0,IFERROR(LOOKUP(2,1/('Milho 1ª safra'!$E16:INDEX('Milho 1ª safra'!$E16:$Z16,MIN(G$6-$G$3,22))&lt;&gt;""),'Milho 1ª safra'!$E16:INDEX('Milho 1ª safra'!$E16:$Z16,MIN(G$6-$G$3,22))),0)))))</f>
        <v>0</v>
      </c>
      <c r="H18" s="27" t="n">
        <f aca="false">IF(COUNT('Milho 1ª safra'!$E16:$Z16)=0,0,MAX(0,IF((H$6-$E$3)&lt;1,0,IFERROR(LOOKUP(2,1/('Milho 1ª safra'!$E16:INDEX('Milho 1ª safra'!$E16:$Z16,MIN(H$6-$E$3,22))&lt;&gt;""),'Milho 1ª safra'!$E16:INDEX('Milho 1ª safra'!$E16:$Z16,MIN(H$6-$E$3,22))),0))-IF($G$2,0,IF((H$6-$G$3)&lt;1,0,IFERROR(LOOKUP(2,1/('Milho 1ª safra'!$E16:INDEX('Milho 1ª safra'!$E16:$Z16,MIN(H$6-$G$3,22))&lt;&gt;""),'Milho 1ª safra'!$E16:INDEX('Milho 1ª safra'!$E16:$Z16,MIN(H$6-$G$3,22))),0)))))</f>
        <v>0</v>
      </c>
      <c r="I18" s="27" t="n">
        <f aca="false">IF(COUNT('Milho 1ª safra'!$E16:$Z16)=0,0,MAX(0,IF((I$6-$E$3)&lt;1,0,IFERROR(LOOKUP(2,1/('Milho 1ª safra'!$E16:INDEX('Milho 1ª safra'!$E16:$Z16,MIN(I$6-$E$3,22))&lt;&gt;""),'Milho 1ª safra'!$E16:INDEX('Milho 1ª safra'!$E16:$Z16,MIN(I$6-$E$3,22))),0))-IF($G$2,0,IF((I$6-$G$3)&lt;1,0,IFERROR(LOOKUP(2,1/('Milho 1ª safra'!$E16:INDEX('Milho 1ª safra'!$E16:$Z16,MIN(I$6-$G$3,22))&lt;&gt;""),'Milho 1ª safra'!$E16:INDEX('Milho 1ª safra'!$E16:$Z16,MIN(I$6-$G$3,22))),0)))))</f>
        <v>0</v>
      </c>
      <c r="J18" s="27" t="n">
        <f aca="false">IF(COUNT('Milho 1ª safra'!$E16:$Z16)=0,0,MAX(0,IF((J$6-$E$3)&lt;1,0,IFERROR(LOOKUP(2,1/('Milho 1ª safra'!$E16:INDEX('Milho 1ª safra'!$E16:$Z16,MIN(J$6-$E$3,22))&lt;&gt;""),'Milho 1ª safra'!$E16:INDEX('Milho 1ª safra'!$E16:$Z16,MIN(J$6-$E$3,22))),0))-IF($G$2,0,IF((J$6-$G$3)&lt;1,0,IFERROR(LOOKUP(2,1/('Milho 1ª safra'!$E16:INDEX('Milho 1ª safra'!$E16:$Z16,MIN(J$6-$G$3,22))&lt;&gt;""),'Milho 1ª safra'!$E16:INDEX('Milho 1ª safra'!$E16:$Z16,MIN(J$6-$G$3,22))),0)))))</f>
        <v>0</v>
      </c>
      <c r="K18" s="27" t="n">
        <f aca="false">IF(COUNT('Milho 1ª safra'!$E16:$Z16)=0,0,MAX(0,IF((K$6-$E$3)&lt;1,0,IFERROR(LOOKUP(2,1/('Milho 1ª safra'!$E16:INDEX('Milho 1ª safra'!$E16:$Z16,MIN(K$6-$E$3,22))&lt;&gt;""),'Milho 1ª safra'!$E16:INDEX('Milho 1ª safra'!$E16:$Z16,MIN(K$6-$E$3,22))),0))-IF($G$2,0,IF((K$6-$G$3)&lt;1,0,IFERROR(LOOKUP(2,1/('Milho 1ª safra'!$E16:INDEX('Milho 1ª safra'!$E16:$Z16,MIN(K$6-$G$3,22))&lt;&gt;""),'Milho 1ª safra'!$E16:INDEX('Milho 1ª safra'!$E16:$Z16,MIN(K$6-$G$3,22))),0)))))</f>
        <v>0</v>
      </c>
      <c r="L18" s="27" t="n">
        <f aca="false">IF(COUNT('Milho 1ª safra'!$E16:$Z16)=0,0,MAX(0,IF((L$6-$E$3)&lt;1,0,IFERROR(LOOKUP(2,1/('Milho 1ª safra'!$E16:INDEX('Milho 1ª safra'!$E16:$Z16,MIN(L$6-$E$3,22))&lt;&gt;""),'Milho 1ª safra'!$E16:INDEX('Milho 1ª safra'!$E16:$Z16,MIN(L$6-$E$3,22))),0))-IF($G$2,0,IF((L$6-$G$3)&lt;1,0,IFERROR(LOOKUP(2,1/('Milho 1ª safra'!$E16:INDEX('Milho 1ª safra'!$E16:$Z16,MIN(L$6-$G$3,22))&lt;&gt;""),'Milho 1ª safra'!$E16:INDEX('Milho 1ª safra'!$E16:$Z16,MIN(L$6-$G$3,22))),0)))))</f>
        <v>0</v>
      </c>
      <c r="M18" s="27" t="n">
        <f aca="false">IF(COUNT('Milho 1ª safra'!$E16:$Z16)=0,0,MAX(0,IF((M$6-$E$3)&lt;1,0,IFERROR(LOOKUP(2,1/('Milho 1ª safra'!$E16:INDEX('Milho 1ª safra'!$E16:$Z16,MIN(M$6-$E$3,22))&lt;&gt;""),'Milho 1ª safra'!$E16:INDEX('Milho 1ª safra'!$E16:$Z16,MIN(M$6-$E$3,22))),0))-IF($G$2,0,IF((M$6-$G$3)&lt;1,0,IFERROR(LOOKUP(2,1/('Milho 1ª safra'!$E16:INDEX('Milho 1ª safra'!$E16:$Z16,MIN(M$6-$G$3,22))&lt;&gt;""),'Milho 1ª safra'!$E16:INDEX('Milho 1ª safra'!$E16:$Z16,MIN(M$6-$G$3,22))),0)))))</f>
        <v>0</v>
      </c>
      <c r="N18" s="27" t="n">
        <f aca="false">IF(COUNT('Milho 1ª safra'!$E16:$Z16)=0,0,MAX(0,IF((N$6-$E$3)&lt;1,0,IFERROR(LOOKUP(2,1/('Milho 1ª safra'!$E16:INDEX('Milho 1ª safra'!$E16:$Z16,MIN(N$6-$E$3,22))&lt;&gt;""),'Milho 1ª safra'!$E16:INDEX('Milho 1ª safra'!$E16:$Z16,MIN(N$6-$E$3,22))),0))-IF($G$2,0,IF((N$6-$G$3)&lt;1,0,IFERROR(LOOKUP(2,1/('Milho 1ª safra'!$E16:INDEX('Milho 1ª safra'!$E16:$Z16,MIN(N$6-$G$3,22))&lt;&gt;""),'Milho 1ª safra'!$E16:INDEX('Milho 1ª safra'!$E16:$Z16,MIN(N$6-$G$3,22))),0)))))</f>
        <v>0</v>
      </c>
      <c r="O18" s="27" t="n">
        <f aca="false">IF(COUNT('Milho 1ª safra'!$E16:$Z16)=0,0,MAX(0,IF((O$6-$E$3)&lt;1,0,IFERROR(LOOKUP(2,1/('Milho 1ª safra'!$E16:INDEX('Milho 1ª safra'!$E16:$Z16,MIN(O$6-$E$3,22))&lt;&gt;""),'Milho 1ª safra'!$E16:INDEX('Milho 1ª safra'!$E16:$Z16,MIN(O$6-$E$3,22))),0))-IF($G$2,0,IF((O$6-$G$3)&lt;1,0,IFERROR(LOOKUP(2,1/('Milho 1ª safra'!$E16:INDEX('Milho 1ª safra'!$E16:$Z16,MIN(O$6-$G$3,22))&lt;&gt;""),'Milho 1ª safra'!$E16:INDEX('Milho 1ª safra'!$E16:$Z16,MIN(O$6-$G$3,22))),0)))))</f>
        <v>0</v>
      </c>
      <c r="P18" s="27" t="n">
        <f aca="false">IF(COUNT('Milho 1ª safra'!$E16:$Z16)=0,0,MAX(0,IF((P$6-$E$3)&lt;1,0,IFERROR(LOOKUP(2,1/('Milho 1ª safra'!$E16:INDEX('Milho 1ª safra'!$E16:$Z16,MIN(P$6-$E$3,22))&lt;&gt;""),'Milho 1ª safra'!$E16:INDEX('Milho 1ª safra'!$E16:$Z16,MIN(P$6-$E$3,22))),0))-IF($G$2,0,IF((P$6-$G$3)&lt;1,0,IFERROR(LOOKUP(2,1/('Milho 1ª safra'!$E16:INDEX('Milho 1ª safra'!$E16:$Z16,MIN(P$6-$G$3,22))&lt;&gt;""),'Milho 1ª safra'!$E16:INDEX('Milho 1ª safra'!$E16:$Z16,MIN(P$6-$G$3,22))),0)))))</f>
        <v>0</v>
      </c>
      <c r="Q18" s="27" t="n">
        <f aca="false">IF(COUNT('Milho 1ª safra'!$E16:$Z16)=0,0,MAX(0,IF((Q$6-$E$3)&lt;1,0,IFERROR(LOOKUP(2,1/('Milho 1ª safra'!$E16:INDEX('Milho 1ª safra'!$E16:$Z16,MIN(Q$6-$E$3,22))&lt;&gt;""),'Milho 1ª safra'!$E16:INDEX('Milho 1ª safra'!$E16:$Z16,MIN(Q$6-$E$3,22))),0))-IF($G$2,0,IF((Q$6-$G$3)&lt;1,0,IFERROR(LOOKUP(2,1/('Milho 1ª safra'!$E16:INDEX('Milho 1ª safra'!$E16:$Z16,MIN(Q$6-$G$3,22))&lt;&gt;""),'Milho 1ª safra'!$E16:INDEX('Milho 1ª safra'!$E16:$Z16,MIN(Q$6-$G$3,22))),0)))))</f>
        <v>0</v>
      </c>
      <c r="R18" s="27" t="n">
        <f aca="false">IF(COUNT('Milho 1ª safra'!$E16:$Z16)=0,0,MAX(0,IF((R$6-$E$3)&lt;1,0,IFERROR(LOOKUP(2,1/('Milho 1ª safra'!$E16:INDEX('Milho 1ª safra'!$E16:$Z16,MIN(R$6-$E$3,22))&lt;&gt;""),'Milho 1ª safra'!$E16:INDEX('Milho 1ª safra'!$E16:$Z16,MIN(R$6-$E$3,22))),0))-IF($G$2,0,IF((R$6-$G$3)&lt;1,0,IFERROR(LOOKUP(2,1/('Milho 1ª safra'!$E16:INDEX('Milho 1ª safra'!$E16:$Z16,MIN(R$6-$G$3,22))&lt;&gt;""),'Milho 1ª safra'!$E16:INDEX('Milho 1ª safra'!$E16:$Z16,MIN(R$6-$G$3,22))),0)))))</f>
        <v>0</v>
      </c>
      <c r="S18" s="27" t="n">
        <f aca="false">IF(COUNT('Milho 1ª safra'!$E16:$Z16)=0,0,MAX(0,IF((S$6-$E$3)&lt;1,0,IFERROR(LOOKUP(2,1/('Milho 1ª safra'!$E16:INDEX('Milho 1ª safra'!$E16:$Z16,MIN(S$6-$E$3,22))&lt;&gt;""),'Milho 1ª safra'!$E16:INDEX('Milho 1ª safra'!$E16:$Z16,MIN(S$6-$E$3,22))),0))-IF($G$2,0,IF((S$6-$G$3)&lt;1,0,IFERROR(LOOKUP(2,1/('Milho 1ª safra'!$E16:INDEX('Milho 1ª safra'!$E16:$Z16,MIN(S$6-$G$3,22))&lt;&gt;""),'Milho 1ª safra'!$E16:INDEX('Milho 1ª safra'!$E16:$Z16,MIN(S$6-$G$3,22))),0)))))</f>
        <v>0</v>
      </c>
      <c r="T18" s="27" t="n">
        <f aca="false">IF(COUNT('Milho 1ª safra'!$E16:$Z16)=0,0,MAX(0,IF((T$6-$E$3)&lt;1,0,IFERROR(LOOKUP(2,1/('Milho 1ª safra'!$E16:INDEX('Milho 1ª safra'!$E16:$Z16,MIN(T$6-$E$3,22))&lt;&gt;""),'Milho 1ª safra'!$E16:INDEX('Milho 1ª safra'!$E16:$Z16,MIN(T$6-$E$3,22))),0))-IF($G$2,0,IF((T$6-$G$3)&lt;1,0,IFERROR(LOOKUP(2,1/('Milho 1ª safra'!$E16:INDEX('Milho 1ª safra'!$E16:$Z16,MIN(T$6-$G$3,22))&lt;&gt;""),'Milho 1ª safra'!$E16:INDEX('Milho 1ª safra'!$E16:$Z16,MIN(T$6-$G$3,22))),0)))))</f>
        <v>0</v>
      </c>
      <c r="U18" s="27" t="n">
        <f aca="false">IF(COUNT('Milho 1ª safra'!$E16:$Z16)=0,0,MAX(0,IF((U$6-$E$3)&lt;1,0,IFERROR(LOOKUP(2,1/('Milho 1ª safra'!$E16:INDEX('Milho 1ª safra'!$E16:$Z16,MIN(U$6-$E$3,22))&lt;&gt;""),'Milho 1ª safra'!$E16:INDEX('Milho 1ª safra'!$E16:$Z16,MIN(U$6-$E$3,22))),0))-IF($G$2,0,IF((U$6-$G$3)&lt;1,0,IFERROR(LOOKUP(2,1/('Milho 1ª safra'!$E16:INDEX('Milho 1ª safra'!$E16:$Z16,MIN(U$6-$G$3,22))&lt;&gt;""),'Milho 1ª safra'!$E16:INDEX('Milho 1ª safra'!$E16:$Z16,MIN(U$6-$G$3,22))),0)))))</f>
        <v>0</v>
      </c>
      <c r="V18" s="27" t="n">
        <f aca="false">IF(COUNT('Milho 1ª safra'!$E16:$Z16)=0,0,MAX(0,IF((V$6-$E$3)&lt;1,0,IFERROR(LOOKUP(2,1/('Milho 1ª safra'!$E16:INDEX('Milho 1ª safra'!$E16:$Z16,MIN(V$6-$E$3,22))&lt;&gt;""),'Milho 1ª safra'!$E16:INDEX('Milho 1ª safra'!$E16:$Z16,MIN(V$6-$E$3,22))),0))-IF($G$2,0,IF((V$6-$G$3)&lt;1,0,IFERROR(LOOKUP(2,1/('Milho 1ª safra'!$E16:INDEX('Milho 1ª safra'!$E16:$Z16,MIN(V$6-$G$3,22))&lt;&gt;""),'Milho 1ª safra'!$E16:INDEX('Milho 1ª safra'!$E16:$Z16,MIN(V$6-$G$3,22))),0)))))</f>
        <v>0</v>
      </c>
      <c r="W18" s="27" t="n">
        <f aca="false">IF(COUNT('Milho 1ª safra'!$E16:$Z16)=0,0,MAX(0,IF((W$6-$E$3)&lt;1,0,IFERROR(LOOKUP(2,1/('Milho 1ª safra'!$E16:INDEX('Milho 1ª safra'!$E16:$Z16,MIN(W$6-$E$3,22))&lt;&gt;""),'Milho 1ª safra'!$E16:INDEX('Milho 1ª safra'!$E16:$Z16,MIN(W$6-$E$3,22))),0))-IF($G$2,0,IF((W$6-$G$3)&lt;1,0,IFERROR(LOOKUP(2,1/('Milho 1ª safra'!$E16:INDEX('Milho 1ª safra'!$E16:$Z16,MIN(W$6-$G$3,22))&lt;&gt;""),'Milho 1ª safra'!$E16:INDEX('Milho 1ª safra'!$E16:$Z16,MIN(W$6-$G$3,22))),0)))))</f>
        <v>0</v>
      </c>
      <c r="X18" s="27" t="n">
        <f aca="false">IF(COUNT('Milho 1ª safra'!$E16:$Z16)=0,0,MAX(0,IF((X$6-$E$3)&lt;1,0,IFERROR(LOOKUP(2,1/('Milho 1ª safra'!$E16:INDEX('Milho 1ª safra'!$E16:$Z16,MIN(X$6-$E$3,22))&lt;&gt;""),'Milho 1ª safra'!$E16:INDEX('Milho 1ª safra'!$E16:$Z16,MIN(X$6-$E$3,22))),0))-IF($G$2,0,IF((X$6-$G$3)&lt;1,0,IFERROR(LOOKUP(2,1/('Milho 1ª safra'!$E16:INDEX('Milho 1ª safra'!$E16:$Z16,MIN(X$6-$G$3,22))&lt;&gt;""),'Milho 1ª safra'!$E16:INDEX('Milho 1ª safra'!$E16:$Z16,MIN(X$6-$G$3,22))),0)))))</f>
        <v>0</v>
      </c>
      <c r="Y18" s="27" t="n">
        <f aca="false">IF(COUNT('Milho 1ª safra'!$E16:$Z16)=0,0,MAX(0,IF((Y$6-$E$3)&lt;1,0,IFERROR(LOOKUP(2,1/('Milho 1ª safra'!$E16:INDEX('Milho 1ª safra'!$E16:$Z16,MIN(Y$6-$E$3,22))&lt;&gt;""),'Milho 1ª safra'!$E16:INDEX('Milho 1ª safra'!$E16:$Z16,MIN(Y$6-$E$3,22))),0))-IF($G$2,0,IF((Y$6-$G$3)&lt;1,0,IFERROR(LOOKUP(2,1/('Milho 1ª safra'!$E16:INDEX('Milho 1ª safra'!$E16:$Z16,MIN(Y$6-$G$3,22))&lt;&gt;""),'Milho 1ª safra'!$E16:INDEX('Milho 1ª safra'!$E16:$Z16,MIN(Y$6-$G$3,22))),0)))))</f>
        <v>0</v>
      </c>
      <c r="Z18" s="27" t="n">
        <f aca="false">IF(COUNT('Milho 1ª safra'!$E16:$Z16)=0,0,MAX(0,IF((Z$6-$E$3)&lt;1,0,IFERROR(LOOKUP(2,1/('Milho 1ª safra'!$E16:INDEX('Milho 1ª safra'!$E16:$Z16,MIN(Z$6-$E$3,22))&lt;&gt;""),'Milho 1ª safra'!$E16:INDEX('Milho 1ª safra'!$E16:$Z16,MIN(Z$6-$E$3,22))),0))-IF($G$2,0,IF((Z$6-$G$3)&lt;1,0,IFERROR(LOOKUP(2,1/('Milho 1ª safra'!$E16:INDEX('Milho 1ª safra'!$E16:$Z16,MIN(Z$6-$G$3,22))&lt;&gt;""),'Milho 1ª safra'!$E16:INDEX('Milho 1ª safra'!$E16:$Z16,MIN(Z$6-$G$3,22))),0)))))</f>
        <v>0</v>
      </c>
      <c r="AA18" s="27" t="n">
        <f aca="false">IF(COUNT('Milho 1ª safra'!$E16:$Z16)=0,0,MAX(0,IF((AA$6-$E$3)&lt;1,0,IFERROR(LOOKUP(2,1/('Milho 1ª safra'!$E16:INDEX('Milho 1ª safra'!$E16:$Z16,MIN(AA$6-$E$3,22))&lt;&gt;""),'Milho 1ª safra'!$E16:INDEX('Milho 1ª safra'!$E16:$Z16,MIN(AA$6-$E$3,22))),0))-IF($G$2,0,IF((AA$6-$G$3)&lt;1,0,IFERROR(LOOKUP(2,1/('Milho 1ª safra'!$E16:INDEX('Milho 1ª safra'!$E16:$Z16,MIN(AA$6-$G$3,22))&lt;&gt;""),'Milho 1ª safra'!$E16:INDEX('Milho 1ª safra'!$E16:$Z16,MIN(AA$6-$G$3,22))),0)))))</f>
        <v>0</v>
      </c>
      <c r="AB18" s="27" t="n">
        <f aca="false">IF(COUNT('Milho 1ª safra'!$E16:$Z16)=0,0,MAX(0,IF((AB$6-$E$3)&lt;1,0,IFERROR(LOOKUP(2,1/('Milho 1ª safra'!$E16:INDEX('Milho 1ª safra'!$E16:$Z16,MIN(AB$6-$E$3,22))&lt;&gt;""),'Milho 1ª safra'!$E16:INDEX('Milho 1ª safra'!$E16:$Z16,MIN(AB$6-$E$3,22))),0))-IF($G$2,0,IF((AB$6-$G$3)&lt;1,0,IFERROR(LOOKUP(2,1/('Milho 1ª safra'!$E16:INDEX('Milho 1ª safra'!$E16:$Z16,MIN(AB$6-$G$3,22))&lt;&gt;""),'Milho 1ª safra'!$E16:INDEX('Milho 1ª safra'!$E16:$Z16,MIN(AB$6-$G$3,22))),0)))))</f>
        <v>0</v>
      </c>
      <c r="AC18" s="27" t="n">
        <f aca="false">IF(COUNT('Milho 1ª safra'!$E16:$Z16)=0,0,MAX(0,IF((AC$6-$E$3)&lt;1,0,IFERROR(LOOKUP(2,1/('Milho 1ª safra'!$E16:INDEX('Milho 1ª safra'!$E16:$Z16,MIN(AC$6-$E$3,22))&lt;&gt;""),'Milho 1ª safra'!$E16:INDEX('Milho 1ª safra'!$E16:$Z16,MIN(AC$6-$E$3,22))),0))-IF($G$2,0,IF((AC$6-$G$3)&lt;1,0,IFERROR(LOOKUP(2,1/('Milho 1ª safra'!$E16:INDEX('Milho 1ª safra'!$E16:$Z16,MIN(AC$6-$G$3,22))&lt;&gt;""),'Milho 1ª safra'!$E16:INDEX('Milho 1ª safra'!$E16:$Z16,MIN(AC$6-$G$3,22))),0)))))</f>
        <v>0</v>
      </c>
      <c r="AD18" s="27" t="n">
        <f aca="false">IF(COUNT('Milho 1ª safra'!$E16:$Z16)=0,0,MAX(0,IF((AD$6-$E$3)&lt;1,0,IFERROR(LOOKUP(2,1/('Milho 1ª safra'!$E16:INDEX('Milho 1ª safra'!$E16:$Z16,MIN(AD$6-$E$3,22))&lt;&gt;""),'Milho 1ª safra'!$E16:INDEX('Milho 1ª safra'!$E16:$Z16,MIN(AD$6-$E$3,22))),0))-IF($G$2,0,IF((AD$6-$G$3)&lt;1,0,IFERROR(LOOKUP(2,1/('Milho 1ª safra'!$E16:INDEX('Milho 1ª safra'!$E16:$Z16,MIN(AD$6-$G$3,22))&lt;&gt;""),'Milho 1ª safra'!$E16:INDEX('Milho 1ª safra'!$E16:$Z16,MIN(AD$6-$G$3,22))),0)))))</f>
        <v>0</v>
      </c>
      <c r="AE18" s="27" t="n">
        <f aca="false">IF(COUNT('Milho 1ª safra'!$E16:$Z16)=0,0,MAX(0,IF((AE$6-$E$3)&lt;1,0,IFERROR(LOOKUP(2,1/('Milho 1ª safra'!$E16:INDEX('Milho 1ª safra'!$E16:$Z16,MIN(AE$6-$E$3,22))&lt;&gt;""),'Milho 1ª safra'!$E16:INDEX('Milho 1ª safra'!$E16:$Z16,MIN(AE$6-$E$3,22))),0))-IF($G$2,0,IF((AE$6-$G$3)&lt;1,0,IFERROR(LOOKUP(2,1/('Milho 1ª safra'!$E16:INDEX('Milho 1ª safra'!$E16:$Z16,MIN(AE$6-$G$3,22))&lt;&gt;""),'Milho 1ª safra'!$E16:INDEX('Milho 1ª safra'!$E16:$Z16,MIN(AE$6-$G$3,22))),0)))))</f>
        <v>0</v>
      </c>
      <c r="AF18" s="27" t="n">
        <f aca="false">IF(COUNT('Milho 1ª safra'!$E16:$Z16)=0,0,MAX(0,IF((AF$6-$E$3)&lt;1,0,IFERROR(LOOKUP(2,1/('Milho 1ª safra'!$E16:INDEX('Milho 1ª safra'!$E16:$Z16,MIN(AF$6-$E$3,22))&lt;&gt;""),'Milho 1ª safra'!$E16:INDEX('Milho 1ª safra'!$E16:$Z16,MIN(AF$6-$E$3,22))),0))-IF($G$2,0,IF((AF$6-$G$3)&lt;1,0,IFERROR(LOOKUP(2,1/('Milho 1ª safra'!$E16:INDEX('Milho 1ª safra'!$E16:$Z16,MIN(AF$6-$G$3,22))&lt;&gt;""),'Milho 1ª safra'!$E16:INDEX('Milho 1ª safra'!$E16:$Z16,MIN(AF$6-$G$3,22))),0)))))</f>
        <v>0</v>
      </c>
      <c r="AG18" s="27" t="n">
        <f aca="false">IF(COUNT('Milho 1ª safra'!$E16:$Z16)=0,0,MAX(0,IF((AG$6-$E$3)&lt;1,0,IFERROR(LOOKUP(2,1/('Milho 1ª safra'!$E16:INDEX('Milho 1ª safra'!$E16:$Z16,MIN(AG$6-$E$3,22))&lt;&gt;""),'Milho 1ª safra'!$E16:INDEX('Milho 1ª safra'!$E16:$Z16,MIN(AG$6-$E$3,22))),0))-IF($G$2,0,IF((AG$6-$G$3)&lt;1,0,IFERROR(LOOKUP(2,1/('Milho 1ª safra'!$E16:INDEX('Milho 1ª safra'!$E16:$Z16,MIN(AG$6-$G$3,22))&lt;&gt;""),'Milho 1ª safra'!$E16:INDEX('Milho 1ª safra'!$E16:$Z16,MIN(AG$6-$G$3,22))),0)))))</f>
        <v>0</v>
      </c>
      <c r="AH18" s="27" t="n">
        <f aca="false">IF(COUNT('Milho 1ª safra'!$E16:$Z16)=0,0,MAX(0,IF((AH$6-$E$3)&lt;1,0,IFERROR(LOOKUP(2,1/('Milho 1ª safra'!$E16:INDEX('Milho 1ª safra'!$E16:$Z16,MIN(AH$6-$E$3,22))&lt;&gt;""),'Milho 1ª safra'!$E16:INDEX('Milho 1ª safra'!$E16:$Z16,MIN(AH$6-$E$3,22))),0))-IF($G$2,0,IF((AH$6-$G$3)&lt;1,0,IFERROR(LOOKUP(2,1/('Milho 1ª safra'!$E16:INDEX('Milho 1ª safra'!$E16:$Z16,MIN(AH$6-$G$3,22))&lt;&gt;""),'Milho 1ª safra'!$E16:INDEX('Milho 1ª safra'!$E16:$Z16,MIN(AH$6-$G$3,22))),0)))))</f>
        <v>0</v>
      </c>
      <c r="AI18" s="27" t="n">
        <f aca="false">IF(COUNT('Milho 1ª safra'!$E16:$Z16)=0,0,MAX(0,IF((AI$6-$E$3)&lt;1,0,IFERROR(LOOKUP(2,1/('Milho 1ª safra'!$E16:INDEX('Milho 1ª safra'!$E16:$Z16,MIN(AI$6-$E$3,22))&lt;&gt;""),'Milho 1ª safra'!$E16:INDEX('Milho 1ª safra'!$E16:$Z16,MIN(AI$6-$E$3,22))),0))-IF($G$2,0,IF((AI$6-$G$3)&lt;1,0,IFERROR(LOOKUP(2,1/('Milho 1ª safra'!$E16:INDEX('Milho 1ª safra'!$E16:$Z16,MIN(AI$6-$G$3,22))&lt;&gt;""),'Milho 1ª safra'!$E16:INDEX('Milho 1ª safra'!$E16:$Z16,MIN(AI$6-$G$3,22))),0)))))</f>
        <v>0</v>
      </c>
      <c r="AJ18" s="27" t="n">
        <f aca="false">IF(COUNT('Milho 1ª safra'!$E16:$Z16)=0,0,MAX(0,IF((AJ$6-$E$3)&lt;1,0,IFERROR(LOOKUP(2,1/('Milho 1ª safra'!$E16:INDEX('Milho 1ª safra'!$E16:$Z16,MIN(AJ$6-$E$3,22))&lt;&gt;""),'Milho 1ª safra'!$E16:INDEX('Milho 1ª safra'!$E16:$Z16,MIN(AJ$6-$E$3,22))),0))-IF($G$2,0,IF((AJ$6-$G$3)&lt;1,0,IFERROR(LOOKUP(2,1/('Milho 1ª safra'!$E16:INDEX('Milho 1ª safra'!$E16:$Z16,MIN(AJ$6-$G$3,22))&lt;&gt;""),'Milho 1ª safra'!$E16:INDEX('Milho 1ª safra'!$E16:$Z16,MIN(AJ$6-$G$3,22))),0)))))</f>
        <v>0</v>
      </c>
      <c r="AK18" s="27" t="n">
        <f aca="false">IF(COUNT('Milho 1ª safra'!$E16:$Z16)=0,0,MAX(0,IF((AK$6-$E$3)&lt;1,0,IFERROR(LOOKUP(2,1/('Milho 1ª safra'!$E16:INDEX('Milho 1ª safra'!$E16:$Z16,MIN(AK$6-$E$3,22))&lt;&gt;""),'Milho 1ª safra'!$E16:INDEX('Milho 1ª safra'!$E16:$Z16,MIN(AK$6-$E$3,22))),0))-IF($G$2,0,IF((AK$6-$G$3)&lt;1,0,IFERROR(LOOKUP(2,1/('Milho 1ª safra'!$E16:INDEX('Milho 1ª safra'!$E16:$Z16,MIN(AK$6-$G$3,22))&lt;&gt;""),'Milho 1ª safra'!$E16:INDEX('Milho 1ª safra'!$E16:$Z16,MIN(AK$6-$G$3,22))),0)))))</f>
        <v>0</v>
      </c>
      <c r="AL18" s="27" t="n">
        <f aca="false">IF(COUNT('Milho 1ª safra'!$E16:$Z16)=0,0,MAX(0,IF((AL$6-$E$3)&lt;1,0,IFERROR(LOOKUP(2,1/('Milho 1ª safra'!$E16:INDEX('Milho 1ª safra'!$E16:$Z16,MIN(AL$6-$E$3,22))&lt;&gt;""),'Milho 1ª safra'!$E16:INDEX('Milho 1ª safra'!$E16:$Z16,MIN(AL$6-$E$3,22))),0))-IF($G$2,0,IF((AL$6-$G$3)&lt;1,0,IFERROR(LOOKUP(2,1/('Milho 1ª safra'!$E16:INDEX('Milho 1ª safra'!$E16:$Z16,MIN(AL$6-$G$3,22))&lt;&gt;""),'Milho 1ª safra'!$E16:INDEX('Milho 1ª safra'!$E16:$Z16,MIN(AL$6-$G$3,22))),0)))))</f>
        <v>0</v>
      </c>
      <c r="AM18" s="27" t="n">
        <f aca="false">IF(COUNT('Milho 1ª safra'!$E16:$Z16)=0,0,MAX(0,IF((AM$6-$E$3)&lt;1,0,IFERROR(LOOKUP(2,1/('Milho 1ª safra'!$E16:INDEX('Milho 1ª safra'!$E16:$Z16,MIN(AM$6-$E$3,22))&lt;&gt;""),'Milho 1ª safra'!$E16:INDEX('Milho 1ª safra'!$E16:$Z16,MIN(AM$6-$E$3,22))),0))-IF($G$2,0,IF((AM$6-$G$3)&lt;1,0,IFERROR(LOOKUP(2,1/('Milho 1ª safra'!$E16:INDEX('Milho 1ª safra'!$E16:$Z16,MIN(AM$6-$G$3,22))&lt;&gt;""),'Milho 1ª safra'!$E16:INDEX('Milho 1ª safra'!$E16:$Z16,MIN(AM$6-$G$3,22))),0)))))</f>
        <v>0</v>
      </c>
      <c r="AN18" s="27" t="n">
        <f aca="false">IF(COUNT('Milho 1ª safra'!$E16:$Z16)=0,0,MAX(0,IF((AN$6-$E$3)&lt;1,0,IFERROR(LOOKUP(2,1/('Milho 1ª safra'!$E16:INDEX('Milho 1ª safra'!$E16:$Z16,MIN(AN$6-$E$3,22))&lt;&gt;""),'Milho 1ª safra'!$E16:INDEX('Milho 1ª safra'!$E16:$Z16,MIN(AN$6-$E$3,22))),0))-IF($G$2,0,IF((AN$6-$G$3)&lt;1,0,IFERROR(LOOKUP(2,1/('Milho 1ª safra'!$E16:INDEX('Milho 1ª safra'!$E16:$Z16,MIN(AN$6-$G$3,22))&lt;&gt;""),'Milho 1ª safra'!$E16:INDEX('Milho 1ª safra'!$E16:$Z16,MIN(AN$6-$G$3,22))),0)))))</f>
        <v>0</v>
      </c>
      <c r="AO18" s="27" t="n">
        <f aca="false">IF(COUNT('Milho 1ª safra'!$E16:$Z16)=0,0,MAX(0,IF((AO$6-$E$3)&lt;1,0,IFERROR(LOOKUP(2,1/('Milho 1ª safra'!$E16:INDEX('Milho 1ª safra'!$E16:$Z16,MIN(AO$6-$E$3,22))&lt;&gt;""),'Milho 1ª safra'!$E16:INDEX('Milho 1ª safra'!$E16:$Z16,MIN(AO$6-$E$3,22))),0))-IF($G$2,0,IF((AO$6-$G$3)&lt;1,0,IFERROR(LOOKUP(2,1/('Milho 1ª safra'!$E16:INDEX('Milho 1ª safra'!$E16:$Z16,MIN(AO$6-$G$3,22))&lt;&gt;""),'Milho 1ª safra'!$E16:INDEX('Milho 1ª safra'!$E16:$Z16,MIN(AO$6-$G$3,22))),0)))))</f>
        <v>0</v>
      </c>
      <c r="AP18" s="27" t="n">
        <f aca="false">IF(COUNT('Milho 1ª safra'!$E16:$Z16)=0,0,MAX(0,IF((AP$6-$E$3)&lt;1,0,IFERROR(LOOKUP(2,1/('Milho 1ª safra'!$E16:INDEX('Milho 1ª safra'!$E16:$Z16,MIN(AP$6-$E$3,22))&lt;&gt;""),'Milho 1ª safra'!$E16:INDEX('Milho 1ª safra'!$E16:$Z16,MIN(AP$6-$E$3,22))),0))-IF($G$2,0,IF((AP$6-$G$3)&lt;1,0,IFERROR(LOOKUP(2,1/('Milho 1ª safra'!$E16:INDEX('Milho 1ª safra'!$E16:$Z16,MIN(AP$6-$G$3,22))&lt;&gt;""),'Milho 1ª safra'!$E16:INDEX('Milho 1ª safra'!$E16:$Z16,MIN(AP$6-$G$3,22))),0)))))</f>
        <v>0</v>
      </c>
      <c r="AQ18" s="27" t="n">
        <f aca="false">IF(COUNT('Milho 1ª safra'!$E16:$Z16)=0,0,MAX(0,IF((AQ$6-$E$3)&lt;1,0,IFERROR(LOOKUP(2,1/('Milho 1ª safra'!$E16:INDEX('Milho 1ª safra'!$E16:$Z16,MIN(AQ$6-$E$3,22))&lt;&gt;""),'Milho 1ª safra'!$E16:INDEX('Milho 1ª safra'!$E16:$Z16,MIN(AQ$6-$E$3,22))),0))-IF($G$2,0,IF((AQ$6-$G$3)&lt;1,0,IFERROR(LOOKUP(2,1/('Milho 1ª safra'!$E16:INDEX('Milho 1ª safra'!$E16:$Z16,MIN(AQ$6-$G$3,22))&lt;&gt;""),'Milho 1ª safra'!$E16:INDEX('Milho 1ª safra'!$E16:$Z16,MIN(AQ$6-$G$3,22))),0)))))</f>
        <v>0</v>
      </c>
      <c r="AR18" s="27" t="n">
        <f aca="false">IF(COUNT('Milho 1ª safra'!$E16:$Z16)=0,0,MAX(0,IF((AR$6-$E$3)&lt;1,0,IFERROR(LOOKUP(2,1/('Milho 1ª safra'!$E16:INDEX('Milho 1ª safra'!$E16:$Z16,MIN(AR$6-$E$3,22))&lt;&gt;""),'Milho 1ª safra'!$E16:INDEX('Milho 1ª safra'!$E16:$Z16,MIN(AR$6-$E$3,22))),0))-IF($G$2,0,IF((AR$6-$G$3)&lt;1,0,IFERROR(LOOKUP(2,1/('Milho 1ª safra'!$E16:INDEX('Milho 1ª safra'!$E16:$Z16,MIN(AR$6-$G$3,22))&lt;&gt;""),'Milho 1ª safra'!$E16:INDEX('Milho 1ª safra'!$E16:$Z16,MIN(AR$6-$G$3,22))),0)))))</f>
        <v>0</v>
      </c>
      <c r="AS18" s="27" t="n">
        <f aca="false">IF(COUNT('Milho 1ª safra'!$E16:$Z16)=0,0,MAX(0,IF((AS$6-$E$3)&lt;1,0,IFERROR(LOOKUP(2,1/('Milho 1ª safra'!$E16:INDEX('Milho 1ª safra'!$E16:$Z16,MIN(AS$6-$E$3,22))&lt;&gt;""),'Milho 1ª safra'!$E16:INDEX('Milho 1ª safra'!$E16:$Z16,MIN(AS$6-$E$3,22))),0))-IF($G$2,0,IF((AS$6-$G$3)&lt;1,0,IFERROR(LOOKUP(2,1/('Milho 1ª safra'!$E16:INDEX('Milho 1ª safra'!$E16:$Z16,MIN(AS$6-$G$3,22))&lt;&gt;""),'Milho 1ª safra'!$E16:INDEX('Milho 1ª safra'!$E16:$Z16,MIN(AS$6-$G$3,22))),0)))))</f>
        <v>0</v>
      </c>
      <c r="AT18" s="27" t="n">
        <f aca="false">IF(COUNT('Milho 1ª safra'!$E16:$Z16)=0,0,MAX(0,IF((AT$6-$E$3)&lt;1,0,IFERROR(LOOKUP(2,1/('Milho 1ª safra'!$E16:INDEX('Milho 1ª safra'!$E16:$Z16,MIN(AT$6-$E$3,22))&lt;&gt;""),'Milho 1ª safra'!$E16:INDEX('Milho 1ª safra'!$E16:$Z16,MIN(AT$6-$E$3,22))),0))-IF($G$2,0,IF((AT$6-$G$3)&lt;1,0,IFERROR(LOOKUP(2,1/('Milho 1ª safra'!$E16:INDEX('Milho 1ª safra'!$E16:$Z16,MIN(AT$6-$G$3,22))&lt;&gt;""),'Milho 1ª safra'!$E16:INDEX('Milho 1ª safra'!$E16:$Z16,MIN(AT$6-$G$3,22))),0)))))</f>
        <v>0</v>
      </c>
      <c r="AU18" s="27" t="n">
        <f aca="false">IF(COUNT('Milho 1ª safra'!$E16:$Z16)=0,0,MAX(0,IF((AU$6-$E$3)&lt;1,0,IFERROR(LOOKUP(2,1/('Milho 1ª safra'!$E16:INDEX('Milho 1ª safra'!$E16:$Z16,MIN(AU$6-$E$3,22))&lt;&gt;""),'Milho 1ª safra'!$E16:INDEX('Milho 1ª safra'!$E16:$Z16,MIN(AU$6-$E$3,22))),0))-IF($G$2,0,IF((AU$6-$G$3)&lt;1,0,IFERROR(LOOKUP(2,1/('Milho 1ª safra'!$E16:INDEX('Milho 1ª safra'!$E16:$Z16,MIN(AU$6-$G$3,22))&lt;&gt;""),'Milho 1ª safra'!$E16:INDEX('Milho 1ª safra'!$E16:$Z16,MIN(AU$6-$G$3,22))),0)))))</f>
        <v>0</v>
      </c>
      <c r="AV18" s="27" t="n">
        <f aca="false">IF(COUNT('Milho 1ª safra'!$E16:$Z16)=0,0,MAX(0,IF((AV$6-$E$3)&lt;1,0,IFERROR(LOOKUP(2,1/('Milho 1ª safra'!$E16:INDEX('Milho 1ª safra'!$E16:$Z16,MIN(AV$6-$E$3,22))&lt;&gt;""),'Milho 1ª safra'!$E16:INDEX('Milho 1ª safra'!$E16:$Z16,MIN(AV$6-$E$3,22))),0))-IF($G$2,0,IF((AV$6-$G$3)&lt;1,0,IFERROR(LOOKUP(2,1/('Milho 1ª safra'!$E16:INDEX('Milho 1ª safra'!$E16:$Z16,MIN(AV$6-$G$3,22))&lt;&gt;""),'Milho 1ª safra'!$E16:INDEX('Milho 1ª safra'!$E16:$Z16,MIN(AV$6-$G$3,22))),0)))))</f>
        <v>0</v>
      </c>
      <c r="AW18" s="27" t="n">
        <f aca="false">IF(COUNT('Milho 1ª safra'!$E16:$Z16)=0,0,MAX(0,IF((AW$6-$E$3)&lt;1,0,IFERROR(LOOKUP(2,1/('Milho 1ª safra'!$E16:INDEX('Milho 1ª safra'!$E16:$Z16,MIN(AW$6-$E$3,22))&lt;&gt;""),'Milho 1ª safra'!$E16:INDEX('Milho 1ª safra'!$E16:$Z16,MIN(AW$6-$E$3,22))),0))-IF($G$2,0,IF((AW$6-$G$3)&lt;1,0,IFERROR(LOOKUP(2,1/('Milho 1ª safra'!$E16:INDEX('Milho 1ª safra'!$E16:$Z16,MIN(AW$6-$G$3,22))&lt;&gt;""),'Milho 1ª safra'!$E16:INDEX('Milho 1ª safra'!$E16:$Z16,MIN(AW$6-$G$3,22))),0)))))</f>
        <v>0</v>
      </c>
      <c r="AX18" s="27" t="n">
        <f aca="false">IF(COUNT('Milho 1ª safra'!$E16:$Z16)=0,0,MAX(0,IF((AX$6-$E$3)&lt;1,0,IFERROR(LOOKUP(2,1/('Milho 1ª safra'!$E16:INDEX('Milho 1ª safra'!$E16:$Z16,MIN(AX$6-$E$3,22))&lt;&gt;""),'Milho 1ª safra'!$E16:INDEX('Milho 1ª safra'!$E16:$Z16,MIN(AX$6-$E$3,22))),0))-IF($G$2,0,IF((AX$6-$G$3)&lt;1,0,IFERROR(LOOKUP(2,1/('Milho 1ª safra'!$E16:INDEX('Milho 1ª safra'!$E16:$Z16,MIN(AX$6-$G$3,22))&lt;&gt;""),'Milho 1ª safra'!$E16:INDEX('Milho 1ª safra'!$E16:$Z16,MIN(AX$6-$G$3,22))),0)))))</f>
        <v>0</v>
      </c>
      <c r="AY18" s="27" t="n">
        <f aca="false">IF(COUNT('Milho 1ª safra'!$E16:$Z16)=0,0,MAX(0,IF((AY$6-$E$3)&lt;1,0,IFERROR(LOOKUP(2,1/('Milho 1ª safra'!$E16:INDEX('Milho 1ª safra'!$E16:$Z16,MIN(AY$6-$E$3,22))&lt;&gt;""),'Milho 1ª safra'!$E16:INDEX('Milho 1ª safra'!$E16:$Z16,MIN(AY$6-$E$3,22))),0))-IF($G$2,0,IF((AY$6-$G$3)&lt;1,0,IFERROR(LOOKUP(2,1/('Milho 1ª safra'!$E16:INDEX('Milho 1ª safra'!$E16:$Z16,MIN(AY$6-$G$3,22))&lt;&gt;""),'Milho 1ª safra'!$E16:INDEX('Milho 1ª safra'!$E16:$Z16,MIN(AY$6-$G$3,22))),0)))))</f>
        <v>0</v>
      </c>
      <c r="AZ18" s="27" t="n">
        <f aca="false">IF(COUNT('Milho 1ª safra'!$E16:$Z16)=0,0,MAX(0,IF((AZ$6-$E$3)&lt;1,0,IFERROR(LOOKUP(2,1/('Milho 1ª safra'!$E16:INDEX('Milho 1ª safra'!$E16:$Z16,MIN(AZ$6-$E$3,22))&lt;&gt;""),'Milho 1ª safra'!$E16:INDEX('Milho 1ª safra'!$E16:$Z16,MIN(AZ$6-$E$3,22))),0))-IF($G$2,0,IF((AZ$6-$G$3)&lt;1,0,IFERROR(LOOKUP(2,1/('Milho 1ª safra'!$E16:INDEX('Milho 1ª safra'!$E16:$Z16,MIN(AZ$6-$G$3,22))&lt;&gt;""),'Milho 1ª safra'!$E16:INDEX('Milho 1ª safra'!$E16:$Z16,MIN(AZ$6-$G$3,22))),0)))))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IF(COUNT('Milho 1ª safra'!$E17:$Z17)&gt;0,N('Milho 1ª safra'!$D17),0)</f>
        <v>0</v>
      </c>
      <c r="E19" s="27" t="n">
        <f aca="false">IF(COUNT('Milho 1ª safra'!$E17:$Z17)=0,0,MAX(0,IF((E$6-$E$3)&lt;1,0,IFERROR(LOOKUP(2,1/('Milho 1ª safra'!$E17:INDEX('Milho 1ª safra'!$E17:$Z17,MIN(E$6-$E$3,22))&lt;&gt;""),'Milho 1ª safra'!$E17:INDEX('Milho 1ª safra'!$E17:$Z17,MIN(E$6-$E$3,22))),0))-IF($G$2,0,IF((E$6-$G$3)&lt;1,0,IFERROR(LOOKUP(2,1/('Milho 1ª safra'!$E17:INDEX('Milho 1ª safra'!$E17:$Z17,MIN(E$6-$G$3,22))&lt;&gt;""),'Milho 1ª safra'!$E17:INDEX('Milho 1ª safra'!$E17:$Z17,MIN(E$6-$G$3,22))),0)))))</f>
        <v>0</v>
      </c>
      <c r="F19" s="27" t="n">
        <f aca="false">IF(COUNT('Milho 1ª safra'!$E17:$Z17)=0,0,MAX(0,IF((F$6-$E$3)&lt;1,0,IFERROR(LOOKUP(2,1/('Milho 1ª safra'!$E17:INDEX('Milho 1ª safra'!$E17:$Z17,MIN(F$6-$E$3,22))&lt;&gt;""),'Milho 1ª safra'!$E17:INDEX('Milho 1ª safra'!$E17:$Z17,MIN(F$6-$E$3,22))),0))-IF($G$2,0,IF((F$6-$G$3)&lt;1,0,IFERROR(LOOKUP(2,1/('Milho 1ª safra'!$E17:INDEX('Milho 1ª safra'!$E17:$Z17,MIN(F$6-$G$3,22))&lt;&gt;""),'Milho 1ª safra'!$E17:INDEX('Milho 1ª safra'!$E17:$Z17,MIN(F$6-$G$3,22))),0)))))</f>
        <v>0</v>
      </c>
      <c r="G19" s="27" t="n">
        <f aca="false">IF(COUNT('Milho 1ª safra'!$E17:$Z17)=0,0,MAX(0,IF((G$6-$E$3)&lt;1,0,IFERROR(LOOKUP(2,1/('Milho 1ª safra'!$E17:INDEX('Milho 1ª safra'!$E17:$Z17,MIN(G$6-$E$3,22))&lt;&gt;""),'Milho 1ª safra'!$E17:INDEX('Milho 1ª safra'!$E17:$Z17,MIN(G$6-$E$3,22))),0))-IF($G$2,0,IF((G$6-$G$3)&lt;1,0,IFERROR(LOOKUP(2,1/('Milho 1ª safra'!$E17:INDEX('Milho 1ª safra'!$E17:$Z17,MIN(G$6-$G$3,22))&lt;&gt;""),'Milho 1ª safra'!$E17:INDEX('Milho 1ª safra'!$E17:$Z17,MIN(G$6-$G$3,22))),0)))))</f>
        <v>0</v>
      </c>
      <c r="H19" s="27" t="n">
        <f aca="false">IF(COUNT('Milho 1ª safra'!$E17:$Z17)=0,0,MAX(0,IF((H$6-$E$3)&lt;1,0,IFERROR(LOOKUP(2,1/('Milho 1ª safra'!$E17:INDEX('Milho 1ª safra'!$E17:$Z17,MIN(H$6-$E$3,22))&lt;&gt;""),'Milho 1ª safra'!$E17:INDEX('Milho 1ª safra'!$E17:$Z17,MIN(H$6-$E$3,22))),0))-IF($G$2,0,IF((H$6-$G$3)&lt;1,0,IFERROR(LOOKUP(2,1/('Milho 1ª safra'!$E17:INDEX('Milho 1ª safra'!$E17:$Z17,MIN(H$6-$G$3,22))&lt;&gt;""),'Milho 1ª safra'!$E17:INDEX('Milho 1ª safra'!$E17:$Z17,MIN(H$6-$G$3,22))),0)))))</f>
        <v>0</v>
      </c>
      <c r="I19" s="27" t="n">
        <f aca="false">IF(COUNT('Milho 1ª safra'!$E17:$Z17)=0,0,MAX(0,IF((I$6-$E$3)&lt;1,0,IFERROR(LOOKUP(2,1/('Milho 1ª safra'!$E17:INDEX('Milho 1ª safra'!$E17:$Z17,MIN(I$6-$E$3,22))&lt;&gt;""),'Milho 1ª safra'!$E17:INDEX('Milho 1ª safra'!$E17:$Z17,MIN(I$6-$E$3,22))),0))-IF($G$2,0,IF((I$6-$G$3)&lt;1,0,IFERROR(LOOKUP(2,1/('Milho 1ª safra'!$E17:INDEX('Milho 1ª safra'!$E17:$Z17,MIN(I$6-$G$3,22))&lt;&gt;""),'Milho 1ª safra'!$E17:INDEX('Milho 1ª safra'!$E17:$Z17,MIN(I$6-$G$3,22))),0)))))</f>
        <v>0</v>
      </c>
      <c r="J19" s="27" t="n">
        <f aca="false">IF(COUNT('Milho 1ª safra'!$E17:$Z17)=0,0,MAX(0,IF((J$6-$E$3)&lt;1,0,IFERROR(LOOKUP(2,1/('Milho 1ª safra'!$E17:INDEX('Milho 1ª safra'!$E17:$Z17,MIN(J$6-$E$3,22))&lt;&gt;""),'Milho 1ª safra'!$E17:INDEX('Milho 1ª safra'!$E17:$Z17,MIN(J$6-$E$3,22))),0))-IF($G$2,0,IF((J$6-$G$3)&lt;1,0,IFERROR(LOOKUP(2,1/('Milho 1ª safra'!$E17:INDEX('Milho 1ª safra'!$E17:$Z17,MIN(J$6-$G$3,22))&lt;&gt;""),'Milho 1ª safra'!$E17:INDEX('Milho 1ª safra'!$E17:$Z17,MIN(J$6-$G$3,22))),0)))))</f>
        <v>0</v>
      </c>
      <c r="K19" s="27" t="n">
        <f aca="false">IF(COUNT('Milho 1ª safra'!$E17:$Z17)=0,0,MAX(0,IF((K$6-$E$3)&lt;1,0,IFERROR(LOOKUP(2,1/('Milho 1ª safra'!$E17:INDEX('Milho 1ª safra'!$E17:$Z17,MIN(K$6-$E$3,22))&lt;&gt;""),'Milho 1ª safra'!$E17:INDEX('Milho 1ª safra'!$E17:$Z17,MIN(K$6-$E$3,22))),0))-IF($G$2,0,IF((K$6-$G$3)&lt;1,0,IFERROR(LOOKUP(2,1/('Milho 1ª safra'!$E17:INDEX('Milho 1ª safra'!$E17:$Z17,MIN(K$6-$G$3,22))&lt;&gt;""),'Milho 1ª safra'!$E17:INDEX('Milho 1ª safra'!$E17:$Z17,MIN(K$6-$G$3,22))),0)))))</f>
        <v>0</v>
      </c>
      <c r="L19" s="27" t="n">
        <f aca="false">IF(COUNT('Milho 1ª safra'!$E17:$Z17)=0,0,MAX(0,IF((L$6-$E$3)&lt;1,0,IFERROR(LOOKUP(2,1/('Milho 1ª safra'!$E17:INDEX('Milho 1ª safra'!$E17:$Z17,MIN(L$6-$E$3,22))&lt;&gt;""),'Milho 1ª safra'!$E17:INDEX('Milho 1ª safra'!$E17:$Z17,MIN(L$6-$E$3,22))),0))-IF($G$2,0,IF((L$6-$G$3)&lt;1,0,IFERROR(LOOKUP(2,1/('Milho 1ª safra'!$E17:INDEX('Milho 1ª safra'!$E17:$Z17,MIN(L$6-$G$3,22))&lt;&gt;""),'Milho 1ª safra'!$E17:INDEX('Milho 1ª safra'!$E17:$Z17,MIN(L$6-$G$3,22))),0)))))</f>
        <v>0</v>
      </c>
      <c r="M19" s="27" t="n">
        <f aca="false">IF(COUNT('Milho 1ª safra'!$E17:$Z17)=0,0,MAX(0,IF((M$6-$E$3)&lt;1,0,IFERROR(LOOKUP(2,1/('Milho 1ª safra'!$E17:INDEX('Milho 1ª safra'!$E17:$Z17,MIN(M$6-$E$3,22))&lt;&gt;""),'Milho 1ª safra'!$E17:INDEX('Milho 1ª safra'!$E17:$Z17,MIN(M$6-$E$3,22))),0))-IF($G$2,0,IF((M$6-$G$3)&lt;1,0,IFERROR(LOOKUP(2,1/('Milho 1ª safra'!$E17:INDEX('Milho 1ª safra'!$E17:$Z17,MIN(M$6-$G$3,22))&lt;&gt;""),'Milho 1ª safra'!$E17:INDEX('Milho 1ª safra'!$E17:$Z17,MIN(M$6-$G$3,22))),0)))))</f>
        <v>0</v>
      </c>
      <c r="N19" s="27" t="n">
        <f aca="false">IF(COUNT('Milho 1ª safra'!$E17:$Z17)=0,0,MAX(0,IF((N$6-$E$3)&lt;1,0,IFERROR(LOOKUP(2,1/('Milho 1ª safra'!$E17:INDEX('Milho 1ª safra'!$E17:$Z17,MIN(N$6-$E$3,22))&lt;&gt;""),'Milho 1ª safra'!$E17:INDEX('Milho 1ª safra'!$E17:$Z17,MIN(N$6-$E$3,22))),0))-IF($G$2,0,IF((N$6-$G$3)&lt;1,0,IFERROR(LOOKUP(2,1/('Milho 1ª safra'!$E17:INDEX('Milho 1ª safra'!$E17:$Z17,MIN(N$6-$G$3,22))&lt;&gt;""),'Milho 1ª safra'!$E17:INDEX('Milho 1ª safra'!$E17:$Z17,MIN(N$6-$G$3,22))),0)))))</f>
        <v>0</v>
      </c>
      <c r="O19" s="27" t="n">
        <f aca="false">IF(COUNT('Milho 1ª safra'!$E17:$Z17)=0,0,MAX(0,IF((O$6-$E$3)&lt;1,0,IFERROR(LOOKUP(2,1/('Milho 1ª safra'!$E17:INDEX('Milho 1ª safra'!$E17:$Z17,MIN(O$6-$E$3,22))&lt;&gt;""),'Milho 1ª safra'!$E17:INDEX('Milho 1ª safra'!$E17:$Z17,MIN(O$6-$E$3,22))),0))-IF($G$2,0,IF((O$6-$G$3)&lt;1,0,IFERROR(LOOKUP(2,1/('Milho 1ª safra'!$E17:INDEX('Milho 1ª safra'!$E17:$Z17,MIN(O$6-$G$3,22))&lt;&gt;""),'Milho 1ª safra'!$E17:INDEX('Milho 1ª safra'!$E17:$Z17,MIN(O$6-$G$3,22))),0)))))</f>
        <v>0</v>
      </c>
      <c r="P19" s="27" t="n">
        <f aca="false">IF(COUNT('Milho 1ª safra'!$E17:$Z17)=0,0,MAX(0,IF((P$6-$E$3)&lt;1,0,IFERROR(LOOKUP(2,1/('Milho 1ª safra'!$E17:INDEX('Milho 1ª safra'!$E17:$Z17,MIN(P$6-$E$3,22))&lt;&gt;""),'Milho 1ª safra'!$E17:INDEX('Milho 1ª safra'!$E17:$Z17,MIN(P$6-$E$3,22))),0))-IF($G$2,0,IF((P$6-$G$3)&lt;1,0,IFERROR(LOOKUP(2,1/('Milho 1ª safra'!$E17:INDEX('Milho 1ª safra'!$E17:$Z17,MIN(P$6-$G$3,22))&lt;&gt;""),'Milho 1ª safra'!$E17:INDEX('Milho 1ª safra'!$E17:$Z17,MIN(P$6-$G$3,22))),0)))))</f>
        <v>0</v>
      </c>
      <c r="Q19" s="27" t="n">
        <f aca="false">IF(COUNT('Milho 1ª safra'!$E17:$Z17)=0,0,MAX(0,IF((Q$6-$E$3)&lt;1,0,IFERROR(LOOKUP(2,1/('Milho 1ª safra'!$E17:INDEX('Milho 1ª safra'!$E17:$Z17,MIN(Q$6-$E$3,22))&lt;&gt;""),'Milho 1ª safra'!$E17:INDEX('Milho 1ª safra'!$E17:$Z17,MIN(Q$6-$E$3,22))),0))-IF($G$2,0,IF((Q$6-$G$3)&lt;1,0,IFERROR(LOOKUP(2,1/('Milho 1ª safra'!$E17:INDEX('Milho 1ª safra'!$E17:$Z17,MIN(Q$6-$G$3,22))&lt;&gt;""),'Milho 1ª safra'!$E17:INDEX('Milho 1ª safra'!$E17:$Z17,MIN(Q$6-$G$3,22))),0)))))</f>
        <v>0</v>
      </c>
      <c r="R19" s="27" t="n">
        <f aca="false">IF(COUNT('Milho 1ª safra'!$E17:$Z17)=0,0,MAX(0,IF((R$6-$E$3)&lt;1,0,IFERROR(LOOKUP(2,1/('Milho 1ª safra'!$E17:INDEX('Milho 1ª safra'!$E17:$Z17,MIN(R$6-$E$3,22))&lt;&gt;""),'Milho 1ª safra'!$E17:INDEX('Milho 1ª safra'!$E17:$Z17,MIN(R$6-$E$3,22))),0))-IF($G$2,0,IF((R$6-$G$3)&lt;1,0,IFERROR(LOOKUP(2,1/('Milho 1ª safra'!$E17:INDEX('Milho 1ª safra'!$E17:$Z17,MIN(R$6-$G$3,22))&lt;&gt;""),'Milho 1ª safra'!$E17:INDEX('Milho 1ª safra'!$E17:$Z17,MIN(R$6-$G$3,22))),0)))))</f>
        <v>0</v>
      </c>
      <c r="S19" s="27" t="n">
        <f aca="false">IF(COUNT('Milho 1ª safra'!$E17:$Z17)=0,0,MAX(0,IF((S$6-$E$3)&lt;1,0,IFERROR(LOOKUP(2,1/('Milho 1ª safra'!$E17:INDEX('Milho 1ª safra'!$E17:$Z17,MIN(S$6-$E$3,22))&lt;&gt;""),'Milho 1ª safra'!$E17:INDEX('Milho 1ª safra'!$E17:$Z17,MIN(S$6-$E$3,22))),0))-IF($G$2,0,IF((S$6-$G$3)&lt;1,0,IFERROR(LOOKUP(2,1/('Milho 1ª safra'!$E17:INDEX('Milho 1ª safra'!$E17:$Z17,MIN(S$6-$G$3,22))&lt;&gt;""),'Milho 1ª safra'!$E17:INDEX('Milho 1ª safra'!$E17:$Z17,MIN(S$6-$G$3,22))),0)))))</f>
        <v>0</v>
      </c>
      <c r="T19" s="27" t="n">
        <f aca="false">IF(COUNT('Milho 1ª safra'!$E17:$Z17)=0,0,MAX(0,IF((T$6-$E$3)&lt;1,0,IFERROR(LOOKUP(2,1/('Milho 1ª safra'!$E17:INDEX('Milho 1ª safra'!$E17:$Z17,MIN(T$6-$E$3,22))&lt;&gt;""),'Milho 1ª safra'!$E17:INDEX('Milho 1ª safra'!$E17:$Z17,MIN(T$6-$E$3,22))),0))-IF($G$2,0,IF((T$6-$G$3)&lt;1,0,IFERROR(LOOKUP(2,1/('Milho 1ª safra'!$E17:INDEX('Milho 1ª safra'!$E17:$Z17,MIN(T$6-$G$3,22))&lt;&gt;""),'Milho 1ª safra'!$E17:INDEX('Milho 1ª safra'!$E17:$Z17,MIN(T$6-$G$3,22))),0)))))</f>
        <v>0</v>
      </c>
      <c r="U19" s="27" t="n">
        <f aca="false">IF(COUNT('Milho 1ª safra'!$E17:$Z17)=0,0,MAX(0,IF((U$6-$E$3)&lt;1,0,IFERROR(LOOKUP(2,1/('Milho 1ª safra'!$E17:INDEX('Milho 1ª safra'!$E17:$Z17,MIN(U$6-$E$3,22))&lt;&gt;""),'Milho 1ª safra'!$E17:INDEX('Milho 1ª safra'!$E17:$Z17,MIN(U$6-$E$3,22))),0))-IF($G$2,0,IF((U$6-$G$3)&lt;1,0,IFERROR(LOOKUP(2,1/('Milho 1ª safra'!$E17:INDEX('Milho 1ª safra'!$E17:$Z17,MIN(U$6-$G$3,22))&lt;&gt;""),'Milho 1ª safra'!$E17:INDEX('Milho 1ª safra'!$E17:$Z17,MIN(U$6-$G$3,22))),0)))))</f>
        <v>0</v>
      </c>
      <c r="V19" s="27" t="n">
        <f aca="false">IF(COUNT('Milho 1ª safra'!$E17:$Z17)=0,0,MAX(0,IF((V$6-$E$3)&lt;1,0,IFERROR(LOOKUP(2,1/('Milho 1ª safra'!$E17:INDEX('Milho 1ª safra'!$E17:$Z17,MIN(V$6-$E$3,22))&lt;&gt;""),'Milho 1ª safra'!$E17:INDEX('Milho 1ª safra'!$E17:$Z17,MIN(V$6-$E$3,22))),0))-IF($G$2,0,IF((V$6-$G$3)&lt;1,0,IFERROR(LOOKUP(2,1/('Milho 1ª safra'!$E17:INDEX('Milho 1ª safra'!$E17:$Z17,MIN(V$6-$G$3,22))&lt;&gt;""),'Milho 1ª safra'!$E17:INDEX('Milho 1ª safra'!$E17:$Z17,MIN(V$6-$G$3,22))),0)))))</f>
        <v>0</v>
      </c>
      <c r="W19" s="27" t="n">
        <f aca="false">IF(COUNT('Milho 1ª safra'!$E17:$Z17)=0,0,MAX(0,IF((W$6-$E$3)&lt;1,0,IFERROR(LOOKUP(2,1/('Milho 1ª safra'!$E17:INDEX('Milho 1ª safra'!$E17:$Z17,MIN(W$6-$E$3,22))&lt;&gt;""),'Milho 1ª safra'!$E17:INDEX('Milho 1ª safra'!$E17:$Z17,MIN(W$6-$E$3,22))),0))-IF($G$2,0,IF((W$6-$G$3)&lt;1,0,IFERROR(LOOKUP(2,1/('Milho 1ª safra'!$E17:INDEX('Milho 1ª safra'!$E17:$Z17,MIN(W$6-$G$3,22))&lt;&gt;""),'Milho 1ª safra'!$E17:INDEX('Milho 1ª safra'!$E17:$Z17,MIN(W$6-$G$3,22))),0)))))</f>
        <v>0</v>
      </c>
      <c r="X19" s="27" t="n">
        <f aca="false">IF(COUNT('Milho 1ª safra'!$E17:$Z17)=0,0,MAX(0,IF((X$6-$E$3)&lt;1,0,IFERROR(LOOKUP(2,1/('Milho 1ª safra'!$E17:INDEX('Milho 1ª safra'!$E17:$Z17,MIN(X$6-$E$3,22))&lt;&gt;""),'Milho 1ª safra'!$E17:INDEX('Milho 1ª safra'!$E17:$Z17,MIN(X$6-$E$3,22))),0))-IF($G$2,0,IF((X$6-$G$3)&lt;1,0,IFERROR(LOOKUP(2,1/('Milho 1ª safra'!$E17:INDEX('Milho 1ª safra'!$E17:$Z17,MIN(X$6-$G$3,22))&lt;&gt;""),'Milho 1ª safra'!$E17:INDEX('Milho 1ª safra'!$E17:$Z17,MIN(X$6-$G$3,22))),0)))))</f>
        <v>0</v>
      </c>
      <c r="Y19" s="27" t="n">
        <f aca="false">IF(COUNT('Milho 1ª safra'!$E17:$Z17)=0,0,MAX(0,IF((Y$6-$E$3)&lt;1,0,IFERROR(LOOKUP(2,1/('Milho 1ª safra'!$E17:INDEX('Milho 1ª safra'!$E17:$Z17,MIN(Y$6-$E$3,22))&lt;&gt;""),'Milho 1ª safra'!$E17:INDEX('Milho 1ª safra'!$E17:$Z17,MIN(Y$6-$E$3,22))),0))-IF($G$2,0,IF((Y$6-$G$3)&lt;1,0,IFERROR(LOOKUP(2,1/('Milho 1ª safra'!$E17:INDEX('Milho 1ª safra'!$E17:$Z17,MIN(Y$6-$G$3,22))&lt;&gt;""),'Milho 1ª safra'!$E17:INDEX('Milho 1ª safra'!$E17:$Z17,MIN(Y$6-$G$3,22))),0)))))</f>
        <v>0</v>
      </c>
      <c r="Z19" s="27" t="n">
        <f aca="false">IF(COUNT('Milho 1ª safra'!$E17:$Z17)=0,0,MAX(0,IF((Z$6-$E$3)&lt;1,0,IFERROR(LOOKUP(2,1/('Milho 1ª safra'!$E17:INDEX('Milho 1ª safra'!$E17:$Z17,MIN(Z$6-$E$3,22))&lt;&gt;""),'Milho 1ª safra'!$E17:INDEX('Milho 1ª safra'!$E17:$Z17,MIN(Z$6-$E$3,22))),0))-IF($G$2,0,IF((Z$6-$G$3)&lt;1,0,IFERROR(LOOKUP(2,1/('Milho 1ª safra'!$E17:INDEX('Milho 1ª safra'!$E17:$Z17,MIN(Z$6-$G$3,22))&lt;&gt;""),'Milho 1ª safra'!$E17:INDEX('Milho 1ª safra'!$E17:$Z17,MIN(Z$6-$G$3,22))),0)))))</f>
        <v>0</v>
      </c>
      <c r="AA19" s="27" t="n">
        <f aca="false">IF(COUNT('Milho 1ª safra'!$E17:$Z17)=0,0,MAX(0,IF((AA$6-$E$3)&lt;1,0,IFERROR(LOOKUP(2,1/('Milho 1ª safra'!$E17:INDEX('Milho 1ª safra'!$E17:$Z17,MIN(AA$6-$E$3,22))&lt;&gt;""),'Milho 1ª safra'!$E17:INDEX('Milho 1ª safra'!$E17:$Z17,MIN(AA$6-$E$3,22))),0))-IF($G$2,0,IF((AA$6-$G$3)&lt;1,0,IFERROR(LOOKUP(2,1/('Milho 1ª safra'!$E17:INDEX('Milho 1ª safra'!$E17:$Z17,MIN(AA$6-$G$3,22))&lt;&gt;""),'Milho 1ª safra'!$E17:INDEX('Milho 1ª safra'!$E17:$Z17,MIN(AA$6-$G$3,22))),0)))))</f>
        <v>0</v>
      </c>
      <c r="AB19" s="27" t="n">
        <f aca="false">IF(COUNT('Milho 1ª safra'!$E17:$Z17)=0,0,MAX(0,IF((AB$6-$E$3)&lt;1,0,IFERROR(LOOKUP(2,1/('Milho 1ª safra'!$E17:INDEX('Milho 1ª safra'!$E17:$Z17,MIN(AB$6-$E$3,22))&lt;&gt;""),'Milho 1ª safra'!$E17:INDEX('Milho 1ª safra'!$E17:$Z17,MIN(AB$6-$E$3,22))),0))-IF($G$2,0,IF((AB$6-$G$3)&lt;1,0,IFERROR(LOOKUP(2,1/('Milho 1ª safra'!$E17:INDEX('Milho 1ª safra'!$E17:$Z17,MIN(AB$6-$G$3,22))&lt;&gt;""),'Milho 1ª safra'!$E17:INDEX('Milho 1ª safra'!$E17:$Z17,MIN(AB$6-$G$3,22))),0)))))</f>
        <v>0</v>
      </c>
      <c r="AC19" s="27" t="n">
        <f aca="false">IF(COUNT('Milho 1ª safra'!$E17:$Z17)=0,0,MAX(0,IF((AC$6-$E$3)&lt;1,0,IFERROR(LOOKUP(2,1/('Milho 1ª safra'!$E17:INDEX('Milho 1ª safra'!$E17:$Z17,MIN(AC$6-$E$3,22))&lt;&gt;""),'Milho 1ª safra'!$E17:INDEX('Milho 1ª safra'!$E17:$Z17,MIN(AC$6-$E$3,22))),0))-IF($G$2,0,IF((AC$6-$G$3)&lt;1,0,IFERROR(LOOKUP(2,1/('Milho 1ª safra'!$E17:INDEX('Milho 1ª safra'!$E17:$Z17,MIN(AC$6-$G$3,22))&lt;&gt;""),'Milho 1ª safra'!$E17:INDEX('Milho 1ª safra'!$E17:$Z17,MIN(AC$6-$G$3,22))),0)))))</f>
        <v>0</v>
      </c>
      <c r="AD19" s="27" t="n">
        <f aca="false">IF(COUNT('Milho 1ª safra'!$E17:$Z17)=0,0,MAX(0,IF((AD$6-$E$3)&lt;1,0,IFERROR(LOOKUP(2,1/('Milho 1ª safra'!$E17:INDEX('Milho 1ª safra'!$E17:$Z17,MIN(AD$6-$E$3,22))&lt;&gt;""),'Milho 1ª safra'!$E17:INDEX('Milho 1ª safra'!$E17:$Z17,MIN(AD$6-$E$3,22))),0))-IF($G$2,0,IF((AD$6-$G$3)&lt;1,0,IFERROR(LOOKUP(2,1/('Milho 1ª safra'!$E17:INDEX('Milho 1ª safra'!$E17:$Z17,MIN(AD$6-$G$3,22))&lt;&gt;""),'Milho 1ª safra'!$E17:INDEX('Milho 1ª safra'!$E17:$Z17,MIN(AD$6-$G$3,22))),0)))))</f>
        <v>0</v>
      </c>
      <c r="AE19" s="27" t="n">
        <f aca="false">IF(COUNT('Milho 1ª safra'!$E17:$Z17)=0,0,MAX(0,IF((AE$6-$E$3)&lt;1,0,IFERROR(LOOKUP(2,1/('Milho 1ª safra'!$E17:INDEX('Milho 1ª safra'!$E17:$Z17,MIN(AE$6-$E$3,22))&lt;&gt;""),'Milho 1ª safra'!$E17:INDEX('Milho 1ª safra'!$E17:$Z17,MIN(AE$6-$E$3,22))),0))-IF($G$2,0,IF((AE$6-$G$3)&lt;1,0,IFERROR(LOOKUP(2,1/('Milho 1ª safra'!$E17:INDEX('Milho 1ª safra'!$E17:$Z17,MIN(AE$6-$G$3,22))&lt;&gt;""),'Milho 1ª safra'!$E17:INDEX('Milho 1ª safra'!$E17:$Z17,MIN(AE$6-$G$3,22))),0)))))</f>
        <v>0</v>
      </c>
      <c r="AF19" s="27" t="n">
        <f aca="false">IF(COUNT('Milho 1ª safra'!$E17:$Z17)=0,0,MAX(0,IF((AF$6-$E$3)&lt;1,0,IFERROR(LOOKUP(2,1/('Milho 1ª safra'!$E17:INDEX('Milho 1ª safra'!$E17:$Z17,MIN(AF$6-$E$3,22))&lt;&gt;""),'Milho 1ª safra'!$E17:INDEX('Milho 1ª safra'!$E17:$Z17,MIN(AF$6-$E$3,22))),0))-IF($G$2,0,IF((AF$6-$G$3)&lt;1,0,IFERROR(LOOKUP(2,1/('Milho 1ª safra'!$E17:INDEX('Milho 1ª safra'!$E17:$Z17,MIN(AF$6-$G$3,22))&lt;&gt;""),'Milho 1ª safra'!$E17:INDEX('Milho 1ª safra'!$E17:$Z17,MIN(AF$6-$G$3,22))),0)))))</f>
        <v>0</v>
      </c>
      <c r="AG19" s="27" t="n">
        <f aca="false">IF(COUNT('Milho 1ª safra'!$E17:$Z17)=0,0,MAX(0,IF((AG$6-$E$3)&lt;1,0,IFERROR(LOOKUP(2,1/('Milho 1ª safra'!$E17:INDEX('Milho 1ª safra'!$E17:$Z17,MIN(AG$6-$E$3,22))&lt;&gt;""),'Milho 1ª safra'!$E17:INDEX('Milho 1ª safra'!$E17:$Z17,MIN(AG$6-$E$3,22))),0))-IF($G$2,0,IF((AG$6-$G$3)&lt;1,0,IFERROR(LOOKUP(2,1/('Milho 1ª safra'!$E17:INDEX('Milho 1ª safra'!$E17:$Z17,MIN(AG$6-$G$3,22))&lt;&gt;""),'Milho 1ª safra'!$E17:INDEX('Milho 1ª safra'!$E17:$Z17,MIN(AG$6-$G$3,22))),0)))))</f>
        <v>0</v>
      </c>
      <c r="AH19" s="27" t="n">
        <f aca="false">IF(COUNT('Milho 1ª safra'!$E17:$Z17)=0,0,MAX(0,IF((AH$6-$E$3)&lt;1,0,IFERROR(LOOKUP(2,1/('Milho 1ª safra'!$E17:INDEX('Milho 1ª safra'!$E17:$Z17,MIN(AH$6-$E$3,22))&lt;&gt;""),'Milho 1ª safra'!$E17:INDEX('Milho 1ª safra'!$E17:$Z17,MIN(AH$6-$E$3,22))),0))-IF($G$2,0,IF((AH$6-$G$3)&lt;1,0,IFERROR(LOOKUP(2,1/('Milho 1ª safra'!$E17:INDEX('Milho 1ª safra'!$E17:$Z17,MIN(AH$6-$G$3,22))&lt;&gt;""),'Milho 1ª safra'!$E17:INDEX('Milho 1ª safra'!$E17:$Z17,MIN(AH$6-$G$3,22))),0)))))</f>
        <v>0</v>
      </c>
      <c r="AI19" s="27" t="n">
        <f aca="false">IF(COUNT('Milho 1ª safra'!$E17:$Z17)=0,0,MAX(0,IF((AI$6-$E$3)&lt;1,0,IFERROR(LOOKUP(2,1/('Milho 1ª safra'!$E17:INDEX('Milho 1ª safra'!$E17:$Z17,MIN(AI$6-$E$3,22))&lt;&gt;""),'Milho 1ª safra'!$E17:INDEX('Milho 1ª safra'!$E17:$Z17,MIN(AI$6-$E$3,22))),0))-IF($G$2,0,IF((AI$6-$G$3)&lt;1,0,IFERROR(LOOKUP(2,1/('Milho 1ª safra'!$E17:INDEX('Milho 1ª safra'!$E17:$Z17,MIN(AI$6-$G$3,22))&lt;&gt;""),'Milho 1ª safra'!$E17:INDEX('Milho 1ª safra'!$E17:$Z17,MIN(AI$6-$G$3,22))),0)))))</f>
        <v>0</v>
      </c>
      <c r="AJ19" s="27" t="n">
        <f aca="false">IF(COUNT('Milho 1ª safra'!$E17:$Z17)=0,0,MAX(0,IF((AJ$6-$E$3)&lt;1,0,IFERROR(LOOKUP(2,1/('Milho 1ª safra'!$E17:INDEX('Milho 1ª safra'!$E17:$Z17,MIN(AJ$6-$E$3,22))&lt;&gt;""),'Milho 1ª safra'!$E17:INDEX('Milho 1ª safra'!$E17:$Z17,MIN(AJ$6-$E$3,22))),0))-IF($G$2,0,IF((AJ$6-$G$3)&lt;1,0,IFERROR(LOOKUP(2,1/('Milho 1ª safra'!$E17:INDEX('Milho 1ª safra'!$E17:$Z17,MIN(AJ$6-$G$3,22))&lt;&gt;""),'Milho 1ª safra'!$E17:INDEX('Milho 1ª safra'!$E17:$Z17,MIN(AJ$6-$G$3,22))),0)))))</f>
        <v>0</v>
      </c>
      <c r="AK19" s="27" t="n">
        <f aca="false">IF(COUNT('Milho 1ª safra'!$E17:$Z17)=0,0,MAX(0,IF((AK$6-$E$3)&lt;1,0,IFERROR(LOOKUP(2,1/('Milho 1ª safra'!$E17:INDEX('Milho 1ª safra'!$E17:$Z17,MIN(AK$6-$E$3,22))&lt;&gt;""),'Milho 1ª safra'!$E17:INDEX('Milho 1ª safra'!$E17:$Z17,MIN(AK$6-$E$3,22))),0))-IF($G$2,0,IF((AK$6-$G$3)&lt;1,0,IFERROR(LOOKUP(2,1/('Milho 1ª safra'!$E17:INDEX('Milho 1ª safra'!$E17:$Z17,MIN(AK$6-$G$3,22))&lt;&gt;""),'Milho 1ª safra'!$E17:INDEX('Milho 1ª safra'!$E17:$Z17,MIN(AK$6-$G$3,22))),0)))))</f>
        <v>0</v>
      </c>
      <c r="AL19" s="27" t="n">
        <f aca="false">IF(COUNT('Milho 1ª safra'!$E17:$Z17)=0,0,MAX(0,IF((AL$6-$E$3)&lt;1,0,IFERROR(LOOKUP(2,1/('Milho 1ª safra'!$E17:INDEX('Milho 1ª safra'!$E17:$Z17,MIN(AL$6-$E$3,22))&lt;&gt;""),'Milho 1ª safra'!$E17:INDEX('Milho 1ª safra'!$E17:$Z17,MIN(AL$6-$E$3,22))),0))-IF($G$2,0,IF((AL$6-$G$3)&lt;1,0,IFERROR(LOOKUP(2,1/('Milho 1ª safra'!$E17:INDEX('Milho 1ª safra'!$E17:$Z17,MIN(AL$6-$G$3,22))&lt;&gt;""),'Milho 1ª safra'!$E17:INDEX('Milho 1ª safra'!$E17:$Z17,MIN(AL$6-$G$3,22))),0)))))</f>
        <v>0</v>
      </c>
      <c r="AM19" s="27" t="n">
        <f aca="false">IF(COUNT('Milho 1ª safra'!$E17:$Z17)=0,0,MAX(0,IF((AM$6-$E$3)&lt;1,0,IFERROR(LOOKUP(2,1/('Milho 1ª safra'!$E17:INDEX('Milho 1ª safra'!$E17:$Z17,MIN(AM$6-$E$3,22))&lt;&gt;""),'Milho 1ª safra'!$E17:INDEX('Milho 1ª safra'!$E17:$Z17,MIN(AM$6-$E$3,22))),0))-IF($G$2,0,IF((AM$6-$G$3)&lt;1,0,IFERROR(LOOKUP(2,1/('Milho 1ª safra'!$E17:INDEX('Milho 1ª safra'!$E17:$Z17,MIN(AM$6-$G$3,22))&lt;&gt;""),'Milho 1ª safra'!$E17:INDEX('Milho 1ª safra'!$E17:$Z17,MIN(AM$6-$G$3,22))),0)))))</f>
        <v>0</v>
      </c>
      <c r="AN19" s="27" t="n">
        <f aca="false">IF(COUNT('Milho 1ª safra'!$E17:$Z17)=0,0,MAX(0,IF((AN$6-$E$3)&lt;1,0,IFERROR(LOOKUP(2,1/('Milho 1ª safra'!$E17:INDEX('Milho 1ª safra'!$E17:$Z17,MIN(AN$6-$E$3,22))&lt;&gt;""),'Milho 1ª safra'!$E17:INDEX('Milho 1ª safra'!$E17:$Z17,MIN(AN$6-$E$3,22))),0))-IF($G$2,0,IF((AN$6-$G$3)&lt;1,0,IFERROR(LOOKUP(2,1/('Milho 1ª safra'!$E17:INDEX('Milho 1ª safra'!$E17:$Z17,MIN(AN$6-$G$3,22))&lt;&gt;""),'Milho 1ª safra'!$E17:INDEX('Milho 1ª safra'!$E17:$Z17,MIN(AN$6-$G$3,22))),0)))))</f>
        <v>0</v>
      </c>
      <c r="AO19" s="27" t="n">
        <f aca="false">IF(COUNT('Milho 1ª safra'!$E17:$Z17)=0,0,MAX(0,IF((AO$6-$E$3)&lt;1,0,IFERROR(LOOKUP(2,1/('Milho 1ª safra'!$E17:INDEX('Milho 1ª safra'!$E17:$Z17,MIN(AO$6-$E$3,22))&lt;&gt;""),'Milho 1ª safra'!$E17:INDEX('Milho 1ª safra'!$E17:$Z17,MIN(AO$6-$E$3,22))),0))-IF($G$2,0,IF((AO$6-$G$3)&lt;1,0,IFERROR(LOOKUP(2,1/('Milho 1ª safra'!$E17:INDEX('Milho 1ª safra'!$E17:$Z17,MIN(AO$6-$G$3,22))&lt;&gt;""),'Milho 1ª safra'!$E17:INDEX('Milho 1ª safra'!$E17:$Z17,MIN(AO$6-$G$3,22))),0)))))</f>
        <v>0</v>
      </c>
      <c r="AP19" s="27" t="n">
        <f aca="false">IF(COUNT('Milho 1ª safra'!$E17:$Z17)=0,0,MAX(0,IF((AP$6-$E$3)&lt;1,0,IFERROR(LOOKUP(2,1/('Milho 1ª safra'!$E17:INDEX('Milho 1ª safra'!$E17:$Z17,MIN(AP$6-$E$3,22))&lt;&gt;""),'Milho 1ª safra'!$E17:INDEX('Milho 1ª safra'!$E17:$Z17,MIN(AP$6-$E$3,22))),0))-IF($G$2,0,IF((AP$6-$G$3)&lt;1,0,IFERROR(LOOKUP(2,1/('Milho 1ª safra'!$E17:INDEX('Milho 1ª safra'!$E17:$Z17,MIN(AP$6-$G$3,22))&lt;&gt;""),'Milho 1ª safra'!$E17:INDEX('Milho 1ª safra'!$E17:$Z17,MIN(AP$6-$G$3,22))),0)))))</f>
        <v>0</v>
      </c>
      <c r="AQ19" s="27" t="n">
        <f aca="false">IF(COUNT('Milho 1ª safra'!$E17:$Z17)=0,0,MAX(0,IF((AQ$6-$E$3)&lt;1,0,IFERROR(LOOKUP(2,1/('Milho 1ª safra'!$E17:INDEX('Milho 1ª safra'!$E17:$Z17,MIN(AQ$6-$E$3,22))&lt;&gt;""),'Milho 1ª safra'!$E17:INDEX('Milho 1ª safra'!$E17:$Z17,MIN(AQ$6-$E$3,22))),0))-IF($G$2,0,IF((AQ$6-$G$3)&lt;1,0,IFERROR(LOOKUP(2,1/('Milho 1ª safra'!$E17:INDEX('Milho 1ª safra'!$E17:$Z17,MIN(AQ$6-$G$3,22))&lt;&gt;""),'Milho 1ª safra'!$E17:INDEX('Milho 1ª safra'!$E17:$Z17,MIN(AQ$6-$G$3,22))),0)))))</f>
        <v>0</v>
      </c>
      <c r="AR19" s="27" t="n">
        <f aca="false">IF(COUNT('Milho 1ª safra'!$E17:$Z17)=0,0,MAX(0,IF((AR$6-$E$3)&lt;1,0,IFERROR(LOOKUP(2,1/('Milho 1ª safra'!$E17:INDEX('Milho 1ª safra'!$E17:$Z17,MIN(AR$6-$E$3,22))&lt;&gt;""),'Milho 1ª safra'!$E17:INDEX('Milho 1ª safra'!$E17:$Z17,MIN(AR$6-$E$3,22))),0))-IF($G$2,0,IF((AR$6-$G$3)&lt;1,0,IFERROR(LOOKUP(2,1/('Milho 1ª safra'!$E17:INDEX('Milho 1ª safra'!$E17:$Z17,MIN(AR$6-$G$3,22))&lt;&gt;""),'Milho 1ª safra'!$E17:INDEX('Milho 1ª safra'!$E17:$Z17,MIN(AR$6-$G$3,22))),0)))))</f>
        <v>0</v>
      </c>
      <c r="AS19" s="27" t="n">
        <f aca="false">IF(COUNT('Milho 1ª safra'!$E17:$Z17)=0,0,MAX(0,IF((AS$6-$E$3)&lt;1,0,IFERROR(LOOKUP(2,1/('Milho 1ª safra'!$E17:INDEX('Milho 1ª safra'!$E17:$Z17,MIN(AS$6-$E$3,22))&lt;&gt;""),'Milho 1ª safra'!$E17:INDEX('Milho 1ª safra'!$E17:$Z17,MIN(AS$6-$E$3,22))),0))-IF($G$2,0,IF((AS$6-$G$3)&lt;1,0,IFERROR(LOOKUP(2,1/('Milho 1ª safra'!$E17:INDEX('Milho 1ª safra'!$E17:$Z17,MIN(AS$6-$G$3,22))&lt;&gt;""),'Milho 1ª safra'!$E17:INDEX('Milho 1ª safra'!$E17:$Z17,MIN(AS$6-$G$3,22))),0)))))</f>
        <v>0</v>
      </c>
      <c r="AT19" s="27" t="n">
        <f aca="false">IF(COUNT('Milho 1ª safra'!$E17:$Z17)=0,0,MAX(0,IF((AT$6-$E$3)&lt;1,0,IFERROR(LOOKUP(2,1/('Milho 1ª safra'!$E17:INDEX('Milho 1ª safra'!$E17:$Z17,MIN(AT$6-$E$3,22))&lt;&gt;""),'Milho 1ª safra'!$E17:INDEX('Milho 1ª safra'!$E17:$Z17,MIN(AT$6-$E$3,22))),0))-IF($G$2,0,IF((AT$6-$G$3)&lt;1,0,IFERROR(LOOKUP(2,1/('Milho 1ª safra'!$E17:INDEX('Milho 1ª safra'!$E17:$Z17,MIN(AT$6-$G$3,22))&lt;&gt;""),'Milho 1ª safra'!$E17:INDEX('Milho 1ª safra'!$E17:$Z17,MIN(AT$6-$G$3,22))),0)))))</f>
        <v>0</v>
      </c>
      <c r="AU19" s="27" t="n">
        <f aca="false">IF(COUNT('Milho 1ª safra'!$E17:$Z17)=0,0,MAX(0,IF((AU$6-$E$3)&lt;1,0,IFERROR(LOOKUP(2,1/('Milho 1ª safra'!$E17:INDEX('Milho 1ª safra'!$E17:$Z17,MIN(AU$6-$E$3,22))&lt;&gt;""),'Milho 1ª safra'!$E17:INDEX('Milho 1ª safra'!$E17:$Z17,MIN(AU$6-$E$3,22))),0))-IF($G$2,0,IF((AU$6-$G$3)&lt;1,0,IFERROR(LOOKUP(2,1/('Milho 1ª safra'!$E17:INDEX('Milho 1ª safra'!$E17:$Z17,MIN(AU$6-$G$3,22))&lt;&gt;""),'Milho 1ª safra'!$E17:INDEX('Milho 1ª safra'!$E17:$Z17,MIN(AU$6-$G$3,22))),0)))))</f>
        <v>0</v>
      </c>
      <c r="AV19" s="27" t="n">
        <f aca="false">IF(COUNT('Milho 1ª safra'!$E17:$Z17)=0,0,MAX(0,IF((AV$6-$E$3)&lt;1,0,IFERROR(LOOKUP(2,1/('Milho 1ª safra'!$E17:INDEX('Milho 1ª safra'!$E17:$Z17,MIN(AV$6-$E$3,22))&lt;&gt;""),'Milho 1ª safra'!$E17:INDEX('Milho 1ª safra'!$E17:$Z17,MIN(AV$6-$E$3,22))),0))-IF($G$2,0,IF((AV$6-$G$3)&lt;1,0,IFERROR(LOOKUP(2,1/('Milho 1ª safra'!$E17:INDEX('Milho 1ª safra'!$E17:$Z17,MIN(AV$6-$G$3,22))&lt;&gt;""),'Milho 1ª safra'!$E17:INDEX('Milho 1ª safra'!$E17:$Z17,MIN(AV$6-$G$3,22))),0)))))</f>
        <v>0</v>
      </c>
      <c r="AW19" s="27" t="n">
        <f aca="false">IF(COUNT('Milho 1ª safra'!$E17:$Z17)=0,0,MAX(0,IF((AW$6-$E$3)&lt;1,0,IFERROR(LOOKUP(2,1/('Milho 1ª safra'!$E17:INDEX('Milho 1ª safra'!$E17:$Z17,MIN(AW$6-$E$3,22))&lt;&gt;""),'Milho 1ª safra'!$E17:INDEX('Milho 1ª safra'!$E17:$Z17,MIN(AW$6-$E$3,22))),0))-IF($G$2,0,IF((AW$6-$G$3)&lt;1,0,IFERROR(LOOKUP(2,1/('Milho 1ª safra'!$E17:INDEX('Milho 1ª safra'!$E17:$Z17,MIN(AW$6-$G$3,22))&lt;&gt;""),'Milho 1ª safra'!$E17:INDEX('Milho 1ª safra'!$E17:$Z17,MIN(AW$6-$G$3,22))),0)))))</f>
        <v>0</v>
      </c>
      <c r="AX19" s="27" t="n">
        <f aca="false">IF(COUNT('Milho 1ª safra'!$E17:$Z17)=0,0,MAX(0,IF((AX$6-$E$3)&lt;1,0,IFERROR(LOOKUP(2,1/('Milho 1ª safra'!$E17:INDEX('Milho 1ª safra'!$E17:$Z17,MIN(AX$6-$E$3,22))&lt;&gt;""),'Milho 1ª safra'!$E17:INDEX('Milho 1ª safra'!$E17:$Z17,MIN(AX$6-$E$3,22))),0))-IF($G$2,0,IF((AX$6-$G$3)&lt;1,0,IFERROR(LOOKUP(2,1/('Milho 1ª safra'!$E17:INDEX('Milho 1ª safra'!$E17:$Z17,MIN(AX$6-$G$3,22))&lt;&gt;""),'Milho 1ª safra'!$E17:INDEX('Milho 1ª safra'!$E17:$Z17,MIN(AX$6-$G$3,22))),0)))))</f>
        <v>0</v>
      </c>
      <c r="AY19" s="27" t="n">
        <f aca="false">IF(COUNT('Milho 1ª safra'!$E17:$Z17)=0,0,MAX(0,IF((AY$6-$E$3)&lt;1,0,IFERROR(LOOKUP(2,1/('Milho 1ª safra'!$E17:INDEX('Milho 1ª safra'!$E17:$Z17,MIN(AY$6-$E$3,22))&lt;&gt;""),'Milho 1ª safra'!$E17:INDEX('Milho 1ª safra'!$E17:$Z17,MIN(AY$6-$E$3,22))),0))-IF($G$2,0,IF((AY$6-$G$3)&lt;1,0,IFERROR(LOOKUP(2,1/('Milho 1ª safra'!$E17:INDEX('Milho 1ª safra'!$E17:$Z17,MIN(AY$6-$G$3,22))&lt;&gt;""),'Milho 1ª safra'!$E17:INDEX('Milho 1ª safra'!$E17:$Z17,MIN(AY$6-$G$3,22))),0)))))</f>
        <v>0</v>
      </c>
      <c r="AZ19" s="27" t="n">
        <f aca="false">IF(COUNT('Milho 1ª safra'!$E17:$Z17)=0,0,MAX(0,IF((AZ$6-$E$3)&lt;1,0,IFERROR(LOOKUP(2,1/('Milho 1ª safra'!$E17:INDEX('Milho 1ª safra'!$E17:$Z17,MIN(AZ$6-$E$3,22))&lt;&gt;""),'Milho 1ª safra'!$E17:INDEX('Milho 1ª safra'!$E17:$Z17,MIN(AZ$6-$E$3,22))),0))-IF($G$2,0,IF((AZ$6-$G$3)&lt;1,0,IFERROR(LOOKUP(2,1/('Milho 1ª safra'!$E17:INDEX('Milho 1ª safra'!$E17:$Z17,MIN(AZ$6-$G$3,22))&lt;&gt;""),'Milho 1ª safra'!$E17:INDEX('Milho 1ª safra'!$E17:$Z17,MIN(AZ$6-$G$3,22))),0)))))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IF(COUNT('Milho 1ª safra'!$E18:$Z18)&gt;0,N('Milho 1ª safra'!$D18),0)</f>
        <v>0</v>
      </c>
      <c r="E20" s="27" t="n">
        <f aca="false">IF(COUNT('Milho 1ª safra'!$E18:$Z18)=0,0,MAX(0,IF((E$6-$E$3)&lt;1,0,IFERROR(LOOKUP(2,1/('Milho 1ª safra'!$E18:INDEX('Milho 1ª safra'!$E18:$Z18,MIN(E$6-$E$3,22))&lt;&gt;""),'Milho 1ª safra'!$E18:INDEX('Milho 1ª safra'!$E18:$Z18,MIN(E$6-$E$3,22))),0))-IF($G$2,0,IF((E$6-$G$3)&lt;1,0,IFERROR(LOOKUP(2,1/('Milho 1ª safra'!$E18:INDEX('Milho 1ª safra'!$E18:$Z18,MIN(E$6-$G$3,22))&lt;&gt;""),'Milho 1ª safra'!$E18:INDEX('Milho 1ª safra'!$E18:$Z18,MIN(E$6-$G$3,22))),0)))))</f>
        <v>0</v>
      </c>
      <c r="F20" s="27" t="n">
        <f aca="false">IF(COUNT('Milho 1ª safra'!$E18:$Z18)=0,0,MAX(0,IF((F$6-$E$3)&lt;1,0,IFERROR(LOOKUP(2,1/('Milho 1ª safra'!$E18:INDEX('Milho 1ª safra'!$E18:$Z18,MIN(F$6-$E$3,22))&lt;&gt;""),'Milho 1ª safra'!$E18:INDEX('Milho 1ª safra'!$E18:$Z18,MIN(F$6-$E$3,22))),0))-IF($G$2,0,IF((F$6-$G$3)&lt;1,0,IFERROR(LOOKUP(2,1/('Milho 1ª safra'!$E18:INDEX('Milho 1ª safra'!$E18:$Z18,MIN(F$6-$G$3,22))&lt;&gt;""),'Milho 1ª safra'!$E18:INDEX('Milho 1ª safra'!$E18:$Z18,MIN(F$6-$G$3,22))),0)))))</f>
        <v>0</v>
      </c>
      <c r="G20" s="27" t="n">
        <f aca="false">IF(COUNT('Milho 1ª safra'!$E18:$Z18)=0,0,MAX(0,IF((G$6-$E$3)&lt;1,0,IFERROR(LOOKUP(2,1/('Milho 1ª safra'!$E18:INDEX('Milho 1ª safra'!$E18:$Z18,MIN(G$6-$E$3,22))&lt;&gt;""),'Milho 1ª safra'!$E18:INDEX('Milho 1ª safra'!$E18:$Z18,MIN(G$6-$E$3,22))),0))-IF($G$2,0,IF((G$6-$G$3)&lt;1,0,IFERROR(LOOKUP(2,1/('Milho 1ª safra'!$E18:INDEX('Milho 1ª safra'!$E18:$Z18,MIN(G$6-$G$3,22))&lt;&gt;""),'Milho 1ª safra'!$E18:INDEX('Milho 1ª safra'!$E18:$Z18,MIN(G$6-$G$3,22))),0)))))</f>
        <v>0</v>
      </c>
      <c r="H20" s="27" t="n">
        <f aca="false">IF(COUNT('Milho 1ª safra'!$E18:$Z18)=0,0,MAX(0,IF((H$6-$E$3)&lt;1,0,IFERROR(LOOKUP(2,1/('Milho 1ª safra'!$E18:INDEX('Milho 1ª safra'!$E18:$Z18,MIN(H$6-$E$3,22))&lt;&gt;""),'Milho 1ª safra'!$E18:INDEX('Milho 1ª safra'!$E18:$Z18,MIN(H$6-$E$3,22))),0))-IF($G$2,0,IF((H$6-$G$3)&lt;1,0,IFERROR(LOOKUP(2,1/('Milho 1ª safra'!$E18:INDEX('Milho 1ª safra'!$E18:$Z18,MIN(H$6-$G$3,22))&lt;&gt;""),'Milho 1ª safra'!$E18:INDEX('Milho 1ª safra'!$E18:$Z18,MIN(H$6-$G$3,22))),0)))))</f>
        <v>0</v>
      </c>
      <c r="I20" s="27" t="n">
        <f aca="false">IF(COUNT('Milho 1ª safra'!$E18:$Z18)=0,0,MAX(0,IF((I$6-$E$3)&lt;1,0,IFERROR(LOOKUP(2,1/('Milho 1ª safra'!$E18:INDEX('Milho 1ª safra'!$E18:$Z18,MIN(I$6-$E$3,22))&lt;&gt;""),'Milho 1ª safra'!$E18:INDEX('Milho 1ª safra'!$E18:$Z18,MIN(I$6-$E$3,22))),0))-IF($G$2,0,IF((I$6-$G$3)&lt;1,0,IFERROR(LOOKUP(2,1/('Milho 1ª safra'!$E18:INDEX('Milho 1ª safra'!$E18:$Z18,MIN(I$6-$G$3,22))&lt;&gt;""),'Milho 1ª safra'!$E18:INDEX('Milho 1ª safra'!$E18:$Z18,MIN(I$6-$G$3,22))),0)))))</f>
        <v>0</v>
      </c>
      <c r="J20" s="27" t="n">
        <f aca="false">IF(COUNT('Milho 1ª safra'!$E18:$Z18)=0,0,MAX(0,IF((J$6-$E$3)&lt;1,0,IFERROR(LOOKUP(2,1/('Milho 1ª safra'!$E18:INDEX('Milho 1ª safra'!$E18:$Z18,MIN(J$6-$E$3,22))&lt;&gt;""),'Milho 1ª safra'!$E18:INDEX('Milho 1ª safra'!$E18:$Z18,MIN(J$6-$E$3,22))),0))-IF($G$2,0,IF((J$6-$G$3)&lt;1,0,IFERROR(LOOKUP(2,1/('Milho 1ª safra'!$E18:INDEX('Milho 1ª safra'!$E18:$Z18,MIN(J$6-$G$3,22))&lt;&gt;""),'Milho 1ª safra'!$E18:INDEX('Milho 1ª safra'!$E18:$Z18,MIN(J$6-$G$3,22))),0)))))</f>
        <v>0</v>
      </c>
      <c r="K20" s="27" t="n">
        <f aca="false">IF(COUNT('Milho 1ª safra'!$E18:$Z18)=0,0,MAX(0,IF((K$6-$E$3)&lt;1,0,IFERROR(LOOKUP(2,1/('Milho 1ª safra'!$E18:INDEX('Milho 1ª safra'!$E18:$Z18,MIN(K$6-$E$3,22))&lt;&gt;""),'Milho 1ª safra'!$E18:INDEX('Milho 1ª safra'!$E18:$Z18,MIN(K$6-$E$3,22))),0))-IF($G$2,0,IF((K$6-$G$3)&lt;1,0,IFERROR(LOOKUP(2,1/('Milho 1ª safra'!$E18:INDEX('Milho 1ª safra'!$E18:$Z18,MIN(K$6-$G$3,22))&lt;&gt;""),'Milho 1ª safra'!$E18:INDEX('Milho 1ª safra'!$E18:$Z18,MIN(K$6-$G$3,22))),0)))))</f>
        <v>0</v>
      </c>
      <c r="L20" s="27" t="n">
        <f aca="false">IF(COUNT('Milho 1ª safra'!$E18:$Z18)=0,0,MAX(0,IF((L$6-$E$3)&lt;1,0,IFERROR(LOOKUP(2,1/('Milho 1ª safra'!$E18:INDEX('Milho 1ª safra'!$E18:$Z18,MIN(L$6-$E$3,22))&lt;&gt;""),'Milho 1ª safra'!$E18:INDEX('Milho 1ª safra'!$E18:$Z18,MIN(L$6-$E$3,22))),0))-IF($G$2,0,IF((L$6-$G$3)&lt;1,0,IFERROR(LOOKUP(2,1/('Milho 1ª safra'!$E18:INDEX('Milho 1ª safra'!$E18:$Z18,MIN(L$6-$G$3,22))&lt;&gt;""),'Milho 1ª safra'!$E18:INDEX('Milho 1ª safra'!$E18:$Z18,MIN(L$6-$G$3,22))),0)))))</f>
        <v>0</v>
      </c>
      <c r="M20" s="27" t="n">
        <f aca="false">IF(COUNT('Milho 1ª safra'!$E18:$Z18)=0,0,MAX(0,IF((M$6-$E$3)&lt;1,0,IFERROR(LOOKUP(2,1/('Milho 1ª safra'!$E18:INDEX('Milho 1ª safra'!$E18:$Z18,MIN(M$6-$E$3,22))&lt;&gt;""),'Milho 1ª safra'!$E18:INDEX('Milho 1ª safra'!$E18:$Z18,MIN(M$6-$E$3,22))),0))-IF($G$2,0,IF((M$6-$G$3)&lt;1,0,IFERROR(LOOKUP(2,1/('Milho 1ª safra'!$E18:INDEX('Milho 1ª safra'!$E18:$Z18,MIN(M$6-$G$3,22))&lt;&gt;""),'Milho 1ª safra'!$E18:INDEX('Milho 1ª safra'!$E18:$Z18,MIN(M$6-$G$3,22))),0)))))</f>
        <v>0</v>
      </c>
      <c r="N20" s="27" t="n">
        <f aca="false">IF(COUNT('Milho 1ª safra'!$E18:$Z18)=0,0,MAX(0,IF((N$6-$E$3)&lt;1,0,IFERROR(LOOKUP(2,1/('Milho 1ª safra'!$E18:INDEX('Milho 1ª safra'!$E18:$Z18,MIN(N$6-$E$3,22))&lt;&gt;""),'Milho 1ª safra'!$E18:INDEX('Milho 1ª safra'!$E18:$Z18,MIN(N$6-$E$3,22))),0))-IF($G$2,0,IF((N$6-$G$3)&lt;1,0,IFERROR(LOOKUP(2,1/('Milho 1ª safra'!$E18:INDEX('Milho 1ª safra'!$E18:$Z18,MIN(N$6-$G$3,22))&lt;&gt;""),'Milho 1ª safra'!$E18:INDEX('Milho 1ª safra'!$E18:$Z18,MIN(N$6-$G$3,22))),0)))))</f>
        <v>0</v>
      </c>
      <c r="O20" s="27" t="n">
        <f aca="false">IF(COUNT('Milho 1ª safra'!$E18:$Z18)=0,0,MAX(0,IF((O$6-$E$3)&lt;1,0,IFERROR(LOOKUP(2,1/('Milho 1ª safra'!$E18:INDEX('Milho 1ª safra'!$E18:$Z18,MIN(O$6-$E$3,22))&lt;&gt;""),'Milho 1ª safra'!$E18:INDEX('Milho 1ª safra'!$E18:$Z18,MIN(O$6-$E$3,22))),0))-IF($G$2,0,IF((O$6-$G$3)&lt;1,0,IFERROR(LOOKUP(2,1/('Milho 1ª safra'!$E18:INDEX('Milho 1ª safra'!$E18:$Z18,MIN(O$6-$G$3,22))&lt;&gt;""),'Milho 1ª safra'!$E18:INDEX('Milho 1ª safra'!$E18:$Z18,MIN(O$6-$G$3,22))),0)))))</f>
        <v>0</v>
      </c>
      <c r="P20" s="27" t="n">
        <f aca="false">IF(COUNT('Milho 1ª safra'!$E18:$Z18)=0,0,MAX(0,IF((P$6-$E$3)&lt;1,0,IFERROR(LOOKUP(2,1/('Milho 1ª safra'!$E18:INDEX('Milho 1ª safra'!$E18:$Z18,MIN(P$6-$E$3,22))&lt;&gt;""),'Milho 1ª safra'!$E18:INDEX('Milho 1ª safra'!$E18:$Z18,MIN(P$6-$E$3,22))),0))-IF($G$2,0,IF((P$6-$G$3)&lt;1,0,IFERROR(LOOKUP(2,1/('Milho 1ª safra'!$E18:INDEX('Milho 1ª safra'!$E18:$Z18,MIN(P$6-$G$3,22))&lt;&gt;""),'Milho 1ª safra'!$E18:INDEX('Milho 1ª safra'!$E18:$Z18,MIN(P$6-$G$3,22))),0)))))</f>
        <v>0</v>
      </c>
      <c r="Q20" s="27" t="n">
        <f aca="false">IF(COUNT('Milho 1ª safra'!$E18:$Z18)=0,0,MAX(0,IF((Q$6-$E$3)&lt;1,0,IFERROR(LOOKUP(2,1/('Milho 1ª safra'!$E18:INDEX('Milho 1ª safra'!$E18:$Z18,MIN(Q$6-$E$3,22))&lt;&gt;""),'Milho 1ª safra'!$E18:INDEX('Milho 1ª safra'!$E18:$Z18,MIN(Q$6-$E$3,22))),0))-IF($G$2,0,IF((Q$6-$G$3)&lt;1,0,IFERROR(LOOKUP(2,1/('Milho 1ª safra'!$E18:INDEX('Milho 1ª safra'!$E18:$Z18,MIN(Q$6-$G$3,22))&lt;&gt;""),'Milho 1ª safra'!$E18:INDEX('Milho 1ª safra'!$E18:$Z18,MIN(Q$6-$G$3,22))),0)))))</f>
        <v>0</v>
      </c>
      <c r="R20" s="27" t="n">
        <f aca="false">IF(COUNT('Milho 1ª safra'!$E18:$Z18)=0,0,MAX(0,IF((R$6-$E$3)&lt;1,0,IFERROR(LOOKUP(2,1/('Milho 1ª safra'!$E18:INDEX('Milho 1ª safra'!$E18:$Z18,MIN(R$6-$E$3,22))&lt;&gt;""),'Milho 1ª safra'!$E18:INDEX('Milho 1ª safra'!$E18:$Z18,MIN(R$6-$E$3,22))),0))-IF($G$2,0,IF((R$6-$G$3)&lt;1,0,IFERROR(LOOKUP(2,1/('Milho 1ª safra'!$E18:INDEX('Milho 1ª safra'!$E18:$Z18,MIN(R$6-$G$3,22))&lt;&gt;""),'Milho 1ª safra'!$E18:INDEX('Milho 1ª safra'!$E18:$Z18,MIN(R$6-$G$3,22))),0)))))</f>
        <v>0</v>
      </c>
      <c r="S20" s="27" t="n">
        <f aca="false">IF(COUNT('Milho 1ª safra'!$E18:$Z18)=0,0,MAX(0,IF((S$6-$E$3)&lt;1,0,IFERROR(LOOKUP(2,1/('Milho 1ª safra'!$E18:INDEX('Milho 1ª safra'!$E18:$Z18,MIN(S$6-$E$3,22))&lt;&gt;""),'Milho 1ª safra'!$E18:INDEX('Milho 1ª safra'!$E18:$Z18,MIN(S$6-$E$3,22))),0))-IF($G$2,0,IF((S$6-$G$3)&lt;1,0,IFERROR(LOOKUP(2,1/('Milho 1ª safra'!$E18:INDEX('Milho 1ª safra'!$E18:$Z18,MIN(S$6-$G$3,22))&lt;&gt;""),'Milho 1ª safra'!$E18:INDEX('Milho 1ª safra'!$E18:$Z18,MIN(S$6-$G$3,22))),0)))))</f>
        <v>0</v>
      </c>
      <c r="T20" s="27" t="n">
        <f aca="false">IF(COUNT('Milho 1ª safra'!$E18:$Z18)=0,0,MAX(0,IF((T$6-$E$3)&lt;1,0,IFERROR(LOOKUP(2,1/('Milho 1ª safra'!$E18:INDEX('Milho 1ª safra'!$E18:$Z18,MIN(T$6-$E$3,22))&lt;&gt;""),'Milho 1ª safra'!$E18:INDEX('Milho 1ª safra'!$E18:$Z18,MIN(T$6-$E$3,22))),0))-IF($G$2,0,IF((T$6-$G$3)&lt;1,0,IFERROR(LOOKUP(2,1/('Milho 1ª safra'!$E18:INDEX('Milho 1ª safra'!$E18:$Z18,MIN(T$6-$G$3,22))&lt;&gt;""),'Milho 1ª safra'!$E18:INDEX('Milho 1ª safra'!$E18:$Z18,MIN(T$6-$G$3,22))),0)))))</f>
        <v>0</v>
      </c>
      <c r="U20" s="27" t="n">
        <f aca="false">IF(COUNT('Milho 1ª safra'!$E18:$Z18)=0,0,MAX(0,IF((U$6-$E$3)&lt;1,0,IFERROR(LOOKUP(2,1/('Milho 1ª safra'!$E18:INDEX('Milho 1ª safra'!$E18:$Z18,MIN(U$6-$E$3,22))&lt;&gt;""),'Milho 1ª safra'!$E18:INDEX('Milho 1ª safra'!$E18:$Z18,MIN(U$6-$E$3,22))),0))-IF($G$2,0,IF((U$6-$G$3)&lt;1,0,IFERROR(LOOKUP(2,1/('Milho 1ª safra'!$E18:INDEX('Milho 1ª safra'!$E18:$Z18,MIN(U$6-$G$3,22))&lt;&gt;""),'Milho 1ª safra'!$E18:INDEX('Milho 1ª safra'!$E18:$Z18,MIN(U$6-$G$3,22))),0)))))</f>
        <v>0</v>
      </c>
      <c r="V20" s="27" t="n">
        <f aca="false">IF(COUNT('Milho 1ª safra'!$E18:$Z18)=0,0,MAX(0,IF((V$6-$E$3)&lt;1,0,IFERROR(LOOKUP(2,1/('Milho 1ª safra'!$E18:INDEX('Milho 1ª safra'!$E18:$Z18,MIN(V$6-$E$3,22))&lt;&gt;""),'Milho 1ª safra'!$E18:INDEX('Milho 1ª safra'!$E18:$Z18,MIN(V$6-$E$3,22))),0))-IF($G$2,0,IF((V$6-$G$3)&lt;1,0,IFERROR(LOOKUP(2,1/('Milho 1ª safra'!$E18:INDEX('Milho 1ª safra'!$E18:$Z18,MIN(V$6-$G$3,22))&lt;&gt;""),'Milho 1ª safra'!$E18:INDEX('Milho 1ª safra'!$E18:$Z18,MIN(V$6-$G$3,22))),0)))))</f>
        <v>0</v>
      </c>
      <c r="W20" s="27" t="n">
        <f aca="false">IF(COUNT('Milho 1ª safra'!$E18:$Z18)=0,0,MAX(0,IF((W$6-$E$3)&lt;1,0,IFERROR(LOOKUP(2,1/('Milho 1ª safra'!$E18:INDEX('Milho 1ª safra'!$E18:$Z18,MIN(W$6-$E$3,22))&lt;&gt;""),'Milho 1ª safra'!$E18:INDEX('Milho 1ª safra'!$E18:$Z18,MIN(W$6-$E$3,22))),0))-IF($G$2,0,IF((W$6-$G$3)&lt;1,0,IFERROR(LOOKUP(2,1/('Milho 1ª safra'!$E18:INDEX('Milho 1ª safra'!$E18:$Z18,MIN(W$6-$G$3,22))&lt;&gt;""),'Milho 1ª safra'!$E18:INDEX('Milho 1ª safra'!$E18:$Z18,MIN(W$6-$G$3,22))),0)))))</f>
        <v>0</v>
      </c>
      <c r="X20" s="27" t="n">
        <f aca="false">IF(COUNT('Milho 1ª safra'!$E18:$Z18)=0,0,MAX(0,IF((X$6-$E$3)&lt;1,0,IFERROR(LOOKUP(2,1/('Milho 1ª safra'!$E18:INDEX('Milho 1ª safra'!$E18:$Z18,MIN(X$6-$E$3,22))&lt;&gt;""),'Milho 1ª safra'!$E18:INDEX('Milho 1ª safra'!$E18:$Z18,MIN(X$6-$E$3,22))),0))-IF($G$2,0,IF((X$6-$G$3)&lt;1,0,IFERROR(LOOKUP(2,1/('Milho 1ª safra'!$E18:INDEX('Milho 1ª safra'!$E18:$Z18,MIN(X$6-$G$3,22))&lt;&gt;""),'Milho 1ª safra'!$E18:INDEX('Milho 1ª safra'!$E18:$Z18,MIN(X$6-$G$3,22))),0)))))</f>
        <v>0</v>
      </c>
      <c r="Y20" s="27" t="n">
        <f aca="false">IF(COUNT('Milho 1ª safra'!$E18:$Z18)=0,0,MAX(0,IF((Y$6-$E$3)&lt;1,0,IFERROR(LOOKUP(2,1/('Milho 1ª safra'!$E18:INDEX('Milho 1ª safra'!$E18:$Z18,MIN(Y$6-$E$3,22))&lt;&gt;""),'Milho 1ª safra'!$E18:INDEX('Milho 1ª safra'!$E18:$Z18,MIN(Y$6-$E$3,22))),0))-IF($G$2,0,IF((Y$6-$G$3)&lt;1,0,IFERROR(LOOKUP(2,1/('Milho 1ª safra'!$E18:INDEX('Milho 1ª safra'!$E18:$Z18,MIN(Y$6-$G$3,22))&lt;&gt;""),'Milho 1ª safra'!$E18:INDEX('Milho 1ª safra'!$E18:$Z18,MIN(Y$6-$G$3,22))),0)))))</f>
        <v>0</v>
      </c>
      <c r="Z20" s="27" t="n">
        <f aca="false">IF(COUNT('Milho 1ª safra'!$E18:$Z18)=0,0,MAX(0,IF((Z$6-$E$3)&lt;1,0,IFERROR(LOOKUP(2,1/('Milho 1ª safra'!$E18:INDEX('Milho 1ª safra'!$E18:$Z18,MIN(Z$6-$E$3,22))&lt;&gt;""),'Milho 1ª safra'!$E18:INDEX('Milho 1ª safra'!$E18:$Z18,MIN(Z$6-$E$3,22))),0))-IF($G$2,0,IF((Z$6-$G$3)&lt;1,0,IFERROR(LOOKUP(2,1/('Milho 1ª safra'!$E18:INDEX('Milho 1ª safra'!$E18:$Z18,MIN(Z$6-$G$3,22))&lt;&gt;""),'Milho 1ª safra'!$E18:INDEX('Milho 1ª safra'!$E18:$Z18,MIN(Z$6-$G$3,22))),0)))))</f>
        <v>0</v>
      </c>
      <c r="AA20" s="27" t="n">
        <f aca="false">IF(COUNT('Milho 1ª safra'!$E18:$Z18)=0,0,MAX(0,IF((AA$6-$E$3)&lt;1,0,IFERROR(LOOKUP(2,1/('Milho 1ª safra'!$E18:INDEX('Milho 1ª safra'!$E18:$Z18,MIN(AA$6-$E$3,22))&lt;&gt;""),'Milho 1ª safra'!$E18:INDEX('Milho 1ª safra'!$E18:$Z18,MIN(AA$6-$E$3,22))),0))-IF($G$2,0,IF((AA$6-$G$3)&lt;1,0,IFERROR(LOOKUP(2,1/('Milho 1ª safra'!$E18:INDEX('Milho 1ª safra'!$E18:$Z18,MIN(AA$6-$G$3,22))&lt;&gt;""),'Milho 1ª safra'!$E18:INDEX('Milho 1ª safra'!$E18:$Z18,MIN(AA$6-$G$3,22))),0)))))</f>
        <v>0</v>
      </c>
      <c r="AB20" s="27" t="n">
        <f aca="false">IF(COUNT('Milho 1ª safra'!$E18:$Z18)=0,0,MAX(0,IF((AB$6-$E$3)&lt;1,0,IFERROR(LOOKUP(2,1/('Milho 1ª safra'!$E18:INDEX('Milho 1ª safra'!$E18:$Z18,MIN(AB$6-$E$3,22))&lt;&gt;""),'Milho 1ª safra'!$E18:INDEX('Milho 1ª safra'!$E18:$Z18,MIN(AB$6-$E$3,22))),0))-IF($G$2,0,IF((AB$6-$G$3)&lt;1,0,IFERROR(LOOKUP(2,1/('Milho 1ª safra'!$E18:INDEX('Milho 1ª safra'!$E18:$Z18,MIN(AB$6-$G$3,22))&lt;&gt;""),'Milho 1ª safra'!$E18:INDEX('Milho 1ª safra'!$E18:$Z18,MIN(AB$6-$G$3,22))),0)))))</f>
        <v>0</v>
      </c>
      <c r="AC20" s="27" t="n">
        <f aca="false">IF(COUNT('Milho 1ª safra'!$E18:$Z18)=0,0,MAX(0,IF((AC$6-$E$3)&lt;1,0,IFERROR(LOOKUP(2,1/('Milho 1ª safra'!$E18:INDEX('Milho 1ª safra'!$E18:$Z18,MIN(AC$6-$E$3,22))&lt;&gt;""),'Milho 1ª safra'!$E18:INDEX('Milho 1ª safra'!$E18:$Z18,MIN(AC$6-$E$3,22))),0))-IF($G$2,0,IF((AC$6-$G$3)&lt;1,0,IFERROR(LOOKUP(2,1/('Milho 1ª safra'!$E18:INDEX('Milho 1ª safra'!$E18:$Z18,MIN(AC$6-$G$3,22))&lt;&gt;""),'Milho 1ª safra'!$E18:INDEX('Milho 1ª safra'!$E18:$Z18,MIN(AC$6-$G$3,22))),0)))))</f>
        <v>0</v>
      </c>
      <c r="AD20" s="27" t="n">
        <f aca="false">IF(COUNT('Milho 1ª safra'!$E18:$Z18)=0,0,MAX(0,IF((AD$6-$E$3)&lt;1,0,IFERROR(LOOKUP(2,1/('Milho 1ª safra'!$E18:INDEX('Milho 1ª safra'!$E18:$Z18,MIN(AD$6-$E$3,22))&lt;&gt;""),'Milho 1ª safra'!$E18:INDEX('Milho 1ª safra'!$E18:$Z18,MIN(AD$6-$E$3,22))),0))-IF($G$2,0,IF((AD$6-$G$3)&lt;1,0,IFERROR(LOOKUP(2,1/('Milho 1ª safra'!$E18:INDEX('Milho 1ª safra'!$E18:$Z18,MIN(AD$6-$G$3,22))&lt;&gt;""),'Milho 1ª safra'!$E18:INDEX('Milho 1ª safra'!$E18:$Z18,MIN(AD$6-$G$3,22))),0)))))</f>
        <v>0</v>
      </c>
      <c r="AE20" s="27" t="n">
        <f aca="false">IF(COUNT('Milho 1ª safra'!$E18:$Z18)=0,0,MAX(0,IF((AE$6-$E$3)&lt;1,0,IFERROR(LOOKUP(2,1/('Milho 1ª safra'!$E18:INDEX('Milho 1ª safra'!$E18:$Z18,MIN(AE$6-$E$3,22))&lt;&gt;""),'Milho 1ª safra'!$E18:INDEX('Milho 1ª safra'!$E18:$Z18,MIN(AE$6-$E$3,22))),0))-IF($G$2,0,IF((AE$6-$G$3)&lt;1,0,IFERROR(LOOKUP(2,1/('Milho 1ª safra'!$E18:INDEX('Milho 1ª safra'!$E18:$Z18,MIN(AE$6-$G$3,22))&lt;&gt;""),'Milho 1ª safra'!$E18:INDEX('Milho 1ª safra'!$E18:$Z18,MIN(AE$6-$G$3,22))),0)))))</f>
        <v>0</v>
      </c>
      <c r="AF20" s="27" t="n">
        <f aca="false">IF(COUNT('Milho 1ª safra'!$E18:$Z18)=0,0,MAX(0,IF((AF$6-$E$3)&lt;1,0,IFERROR(LOOKUP(2,1/('Milho 1ª safra'!$E18:INDEX('Milho 1ª safra'!$E18:$Z18,MIN(AF$6-$E$3,22))&lt;&gt;""),'Milho 1ª safra'!$E18:INDEX('Milho 1ª safra'!$E18:$Z18,MIN(AF$6-$E$3,22))),0))-IF($G$2,0,IF((AF$6-$G$3)&lt;1,0,IFERROR(LOOKUP(2,1/('Milho 1ª safra'!$E18:INDEX('Milho 1ª safra'!$E18:$Z18,MIN(AF$6-$G$3,22))&lt;&gt;""),'Milho 1ª safra'!$E18:INDEX('Milho 1ª safra'!$E18:$Z18,MIN(AF$6-$G$3,22))),0)))))</f>
        <v>0</v>
      </c>
      <c r="AG20" s="27" t="n">
        <f aca="false">IF(COUNT('Milho 1ª safra'!$E18:$Z18)=0,0,MAX(0,IF((AG$6-$E$3)&lt;1,0,IFERROR(LOOKUP(2,1/('Milho 1ª safra'!$E18:INDEX('Milho 1ª safra'!$E18:$Z18,MIN(AG$6-$E$3,22))&lt;&gt;""),'Milho 1ª safra'!$E18:INDEX('Milho 1ª safra'!$E18:$Z18,MIN(AG$6-$E$3,22))),0))-IF($G$2,0,IF((AG$6-$G$3)&lt;1,0,IFERROR(LOOKUP(2,1/('Milho 1ª safra'!$E18:INDEX('Milho 1ª safra'!$E18:$Z18,MIN(AG$6-$G$3,22))&lt;&gt;""),'Milho 1ª safra'!$E18:INDEX('Milho 1ª safra'!$E18:$Z18,MIN(AG$6-$G$3,22))),0)))))</f>
        <v>0</v>
      </c>
      <c r="AH20" s="27" t="n">
        <f aca="false">IF(COUNT('Milho 1ª safra'!$E18:$Z18)=0,0,MAX(0,IF((AH$6-$E$3)&lt;1,0,IFERROR(LOOKUP(2,1/('Milho 1ª safra'!$E18:INDEX('Milho 1ª safra'!$E18:$Z18,MIN(AH$6-$E$3,22))&lt;&gt;""),'Milho 1ª safra'!$E18:INDEX('Milho 1ª safra'!$E18:$Z18,MIN(AH$6-$E$3,22))),0))-IF($G$2,0,IF((AH$6-$G$3)&lt;1,0,IFERROR(LOOKUP(2,1/('Milho 1ª safra'!$E18:INDEX('Milho 1ª safra'!$E18:$Z18,MIN(AH$6-$G$3,22))&lt;&gt;""),'Milho 1ª safra'!$E18:INDEX('Milho 1ª safra'!$E18:$Z18,MIN(AH$6-$G$3,22))),0)))))</f>
        <v>0</v>
      </c>
      <c r="AI20" s="27" t="n">
        <f aca="false">IF(COUNT('Milho 1ª safra'!$E18:$Z18)=0,0,MAX(0,IF((AI$6-$E$3)&lt;1,0,IFERROR(LOOKUP(2,1/('Milho 1ª safra'!$E18:INDEX('Milho 1ª safra'!$E18:$Z18,MIN(AI$6-$E$3,22))&lt;&gt;""),'Milho 1ª safra'!$E18:INDEX('Milho 1ª safra'!$E18:$Z18,MIN(AI$6-$E$3,22))),0))-IF($G$2,0,IF((AI$6-$G$3)&lt;1,0,IFERROR(LOOKUP(2,1/('Milho 1ª safra'!$E18:INDEX('Milho 1ª safra'!$E18:$Z18,MIN(AI$6-$G$3,22))&lt;&gt;""),'Milho 1ª safra'!$E18:INDEX('Milho 1ª safra'!$E18:$Z18,MIN(AI$6-$G$3,22))),0)))))</f>
        <v>0</v>
      </c>
      <c r="AJ20" s="27" t="n">
        <f aca="false">IF(COUNT('Milho 1ª safra'!$E18:$Z18)=0,0,MAX(0,IF((AJ$6-$E$3)&lt;1,0,IFERROR(LOOKUP(2,1/('Milho 1ª safra'!$E18:INDEX('Milho 1ª safra'!$E18:$Z18,MIN(AJ$6-$E$3,22))&lt;&gt;""),'Milho 1ª safra'!$E18:INDEX('Milho 1ª safra'!$E18:$Z18,MIN(AJ$6-$E$3,22))),0))-IF($G$2,0,IF((AJ$6-$G$3)&lt;1,0,IFERROR(LOOKUP(2,1/('Milho 1ª safra'!$E18:INDEX('Milho 1ª safra'!$E18:$Z18,MIN(AJ$6-$G$3,22))&lt;&gt;""),'Milho 1ª safra'!$E18:INDEX('Milho 1ª safra'!$E18:$Z18,MIN(AJ$6-$G$3,22))),0)))))</f>
        <v>0</v>
      </c>
      <c r="AK20" s="27" t="n">
        <f aca="false">IF(COUNT('Milho 1ª safra'!$E18:$Z18)=0,0,MAX(0,IF((AK$6-$E$3)&lt;1,0,IFERROR(LOOKUP(2,1/('Milho 1ª safra'!$E18:INDEX('Milho 1ª safra'!$E18:$Z18,MIN(AK$6-$E$3,22))&lt;&gt;""),'Milho 1ª safra'!$E18:INDEX('Milho 1ª safra'!$E18:$Z18,MIN(AK$6-$E$3,22))),0))-IF($G$2,0,IF((AK$6-$G$3)&lt;1,0,IFERROR(LOOKUP(2,1/('Milho 1ª safra'!$E18:INDEX('Milho 1ª safra'!$E18:$Z18,MIN(AK$6-$G$3,22))&lt;&gt;""),'Milho 1ª safra'!$E18:INDEX('Milho 1ª safra'!$E18:$Z18,MIN(AK$6-$G$3,22))),0)))))</f>
        <v>0</v>
      </c>
      <c r="AL20" s="27" t="n">
        <f aca="false">IF(COUNT('Milho 1ª safra'!$E18:$Z18)=0,0,MAX(0,IF((AL$6-$E$3)&lt;1,0,IFERROR(LOOKUP(2,1/('Milho 1ª safra'!$E18:INDEX('Milho 1ª safra'!$E18:$Z18,MIN(AL$6-$E$3,22))&lt;&gt;""),'Milho 1ª safra'!$E18:INDEX('Milho 1ª safra'!$E18:$Z18,MIN(AL$6-$E$3,22))),0))-IF($G$2,0,IF((AL$6-$G$3)&lt;1,0,IFERROR(LOOKUP(2,1/('Milho 1ª safra'!$E18:INDEX('Milho 1ª safra'!$E18:$Z18,MIN(AL$6-$G$3,22))&lt;&gt;""),'Milho 1ª safra'!$E18:INDEX('Milho 1ª safra'!$E18:$Z18,MIN(AL$6-$G$3,22))),0)))))</f>
        <v>0</v>
      </c>
      <c r="AM20" s="27" t="n">
        <f aca="false">IF(COUNT('Milho 1ª safra'!$E18:$Z18)=0,0,MAX(0,IF((AM$6-$E$3)&lt;1,0,IFERROR(LOOKUP(2,1/('Milho 1ª safra'!$E18:INDEX('Milho 1ª safra'!$E18:$Z18,MIN(AM$6-$E$3,22))&lt;&gt;""),'Milho 1ª safra'!$E18:INDEX('Milho 1ª safra'!$E18:$Z18,MIN(AM$6-$E$3,22))),0))-IF($G$2,0,IF((AM$6-$G$3)&lt;1,0,IFERROR(LOOKUP(2,1/('Milho 1ª safra'!$E18:INDEX('Milho 1ª safra'!$E18:$Z18,MIN(AM$6-$G$3,22))&lt;&gt;""),'Milho 1ª safra'!$E18:INDEX('Milho 1ª safra'!$E18:$Z18,MIN(AM$6-$G$3,22))),0)))))</f>
        <v>0</v>
      </c>
      <c r="AN20" s="27" t="n">
        <f aca="false">IF(COUNT('Milho 1ª safra'!$E18:$Z18)=0,0,MAX(0,IF((AN$6-$E$3)&lt;1,0,IFERROR(LOOKUP(2,1/('Milho 1ª safra'!$E18:INDEX('Milho 1ª safra'!$E18:$Z18,MIN(AN$6-$E$3,22))&lt;&gt;""),'Milho 1ª safra'!$E18:INDEX('Milho 1ª safra'!$E18:$Z18,MIN(AN$6-$E$3,22))),0))-IF($G$2,0,IF((AN$6-$G$3)&lt;1,0,IFERROR(LOOKUP(2,1/('Milho 1ª safra'!$E18:INDEX('Milho 1ª safra'!$E18:$Z18,MIN(AN$6-$G$3,22))&lt;&gt;""),'Milho 1ª safra'!$E18:INDEX('Milho 1ª safra'!$E18:$Z18,MIN(AN$6-$G$3,22))),0)))))</f>
        <v>0</v>
      </c>
      <c r="AO20" s="27" t="n">
        <f aca="false">IF(COUNT('Milho 1ª safra'!$E18:$Z18)=0,0,MAX(0,IF((AO$6-$E$3)&lt;1,0,IFERROR(LOOKUP(2,1/('Milho 1ª safra'!$E18:INDEX('Milho 1ª safra'!$E18:$Z18,MIN(AO$6-$E$3,22))&lt;&gt;""),'Milho 1ª safra'!$E18:INDEX('Milho 1ª safra'!$E18:$Z18,MIN(AO$6-$E$3,22))),0))-IF($G$2,0,IF((AO$6-$G$3)&lt;1,0,IFERROR(LOOKUP(2,1/('Milho 1ª safra'!$E18:INDEX('Milho 1ª safra'!$E18:$Z18,MIN(AO$6-$G$3,22))&lt;&gt;""),'Milho 1ª safra'!$E18:INDEX('Milho 1ª safra'!$E18:$Z18,MIN(AO$6-$G$3,22))),0)))))</f>
        <v>0</v>
      </c>
      <c r="AP20" s="27" t="n">
        <f aca="false">IF(COUNT('Milho 1ª safra'!$E18:$Z18)=0,0,MAX(0,IF((AP$6-$E$3)&lt;1,0,IFERROR(LOOKUP(2,1/('Milho 1ª safra'!$E18:INDEX('Milho 1ª safra'!$E18:$Z18,MIN(AP$6-$E$3,22))&lt;&gt;""),'Milho 1ª safra'!$E18:INDEX('Milho 1ª safra'!$E18:$Z18,MIN(AP$6-$E$3,22))),0))-IF($G$2,0,IF((AP$6-$G$3)&lt;1,0,IFERROR(LOOKUP(2,1/('Milho 1ª safra'!$E18:INDEX('Milho 1ª safra'!$E18:$Z18,MIN(AP$6-$G$3,22))&lt;&gt;""),'Milho 1ª safra'!$E18:INDEX('Milho 1ª safra'!$E18:$Z18,MIN(AP$6-$G$3,22))),0)))))</f>
        <v>0</v>
      </c>
      <c r="AQ20" s="27" t="n">
        <f aca="false">IF(COUNT('Milho 1ª safra'!$E18:$Z18)=0,0,MAX(0,IF((AQ$6-$E$3)&lt;1,0,IFERROR(LOOKUP(2,1/('Milho 1ª safra'!$E18:INDEX('Milho 1ª safra'!$E18:$Z18,MIN(AQ$6-$E$3,22))&lt;&gt;""),'Milho 1ª safra'!$E18:INDEX('Milho 1ª safra'!$E18:$Z18,MIN(AQ$6-$E$3,22))),0))-IF($G$2,0,IF((AQ$6-$G$3)&lt;1,0,IFERROR(LOOKUP(2,1/('Milho 1ª safra'!$E18:INDEX('Milho 1ª safra'!$E18:$Z18,MIN(AQ$6-$G$3,22))&lt;&gt;""),'Milho 1ª safra'!$E18:INDEX('Milho 1ª safra'!$E18:$Z18,MIN(AQ$6-$G$3,22))),0)))))</f>
        <v>0</v>
      </c>
      <c r="AR20" s="27" t="n">
        <f aca="false">IF(COUNT('Milho 1ª safra'!$E18:$Z18)=0,0,MAX(0,IF((AR$6-$E$3)&lt;1,0,IFERROR(LOOKUP(2,1/('Milho 1ª safra'!$E18:INDEX('Milho 1ª safra'!$E18:$Z18,MIN(AR$6-$E$3,22))&lt;&gt;""),'Milho 1ª safra'!$E18:INDEX('Milho 1ª safra'!$E18:$Z18,MIN(AR$6-$E$3,22))),0))-IF($G$2,0,IF((AR$6-$G$3)&lt;1,0,IFERROR(LOOKUP(2,1/('Milho 1ª safra'!$E18:INDEX('Milho 1ª safra'!$E18:$Z18,MIN(AR$6-$G$3,22))&lt;&gt;""),'Milho 1ª safra'!$E18:INDEX('Milho 1ª safra'!$E18:$Z18,MIN(AR$6-$G$3,22))),0)))))</f>
        <v>0</v>
      </c>
      <c r="AS20" s="27" t="n">
        <f aca="false">IF(COUNT('Milho 1ª safra'!$E18:$Z18)=0,0,MAX(0,IF((AS$6-$E$3)&lt;1,0,IFERROR(LOOKUP(2,1/('Milho 1ª safra'!$E18:INDEX('Milho 1ª safra'!$E18:$Z18,MIN(AS$6-$E$3,22))&lt;&gt;""),'Milho 1ª safra'!$E18:INDEX('Milho 1ª safra'!$E18:$Z18,MIN(AS$6-$E$3,22))),0))-IF($G$2,0,IF((AS$6-$G$3)&lt;1,0,IFERROR(LOOKUP(2,1/('Milho 1ª safra'!$E18:INDEX('Milho 1ª safra'!$E18:$Z18,MIN(AS$6-$G$3,22))&lt;&gt;""),'Milho 1ª safra'!$E18:INDEX('Milho 1ª safra'!$E18:$Z18,MIN(AS$6-$G$3,22))),0)))))</f>
        <v>0</v>
      </c>
      <c r="AT20" s="27" t="n">
        <f aca="false">IF(COUNT('Milho 1ª safra'!$E18:$Z18)=0,0,MAX(0,IF((AT$6-$E$3)&lt;1,0,IFERROR(LOOKUP(2,1/('Milho 1ª safra'!$E18:INDEX('Milho 1ª safra'!$E18:$Z18,MIN(AT$6-$E$3,22))&lt;&gt;""),'Milho 1ª safra'!$E18:INDEX('Milho 1ª safra'!$E18:$Z18,MIN(AT$6-$E$3,22))),0))-IF($G$2,0,IF((AT$6-$G$3)&lt;1,0,IFERROR(LOOKUP(2,1/('Milho 1ª safra'!$E18:INDEX('Milho 1ª safra'!$E18:$Z18,MIN(AT$6-$G$3,22))&lt;&gt;""),'Milho 1ª safra'!$E18:INDEX('Milho 1ª safra'!$E18:$Z18,MIN(AT$6-$G$3,22))),0)))))</f>
        <v>0</v>
      </c>
      <c r="AU20" s="27" t="n">
        <f aca="false">IF(COUNT('Milho 1ª safra'!$E18:$Z18)=0,0,MAX(0,IF((AU$6-$E$3)&lt;1,0,IFERROR(LOOKUP(2,1/('Milho 1ª safra'!$E18:INDEX('Milho 1ª safra'!$E18:$Z18,MIN(AU$6-$E$3,22))&lt;&gt;""),'Milho 1ª safra'!$E18:INDEX('Milho 1ª safra'!$E18:$Z18,MIN(AU$6-$E$3,22))),0))-IF($G$2,0,IF((AU$6-$G$3)&lt;1,0,IFERROR(LOOKUP(2,1/('Milho 1ª safra'!$E18:INDEX('Milho 1ª safra'!$E18:$Z18,MIN(AU$6-$G$3,22))&lt;&gt;""),'Milho 1ª safra'!$E18:INDEX('Milho 1ª safra'!$E18:$Z18,MIN(AU$6-$G$3,22))),0)))))</f>
        <v>0</v>
      </c>
      <c r="AV20" s="27" t="n">
        <f aca="false">IF(COUNT('Milho 1ª safra'!$E18:$Z18)=0,0,MAX(0,IF((AV$6-$E$3)&lt;1,0,IFERROR(LOOKUP(2,1/('Milho 1ª safra'!$E18:INDEX('Milho 1ª safra'!$E18:$Z18,MIN(AV$6-$E$3,22))&lt;&gt;""),'Milho 1ª safra'!$E18:INDEX('Milho 1ª safra'!$E18:$Z18,MIN(AV$6-$E$3,22))),0))-IF($G$2,0,IF((AV$6-$G$3)&lt;1,0,IFERROR(LOOKUP(2,1/('Milho 1ª safra'!$E18:INDEX('Milho 1ª safra'!$E18:$Z18,MIN(AV$6-$G$3,22))&lt;&gt;""),'Milho 1ª safra'!$E18:INDEX('Milho 1ª safra'!$E18:$Z18,MIN(AV$6-$G$3,22))),0)))))</f>
        <v>0</v>
      </c>
      <c r="AW20" s="27" t="n">
        <f aca="false">IF(COUNT('Milho 1ª safra'!$E18:$Z18)=0,0,MAX(0,IF((AW$6-$E$3)&lt;1,0,IFERROR(LOOKUP(2,1/('Milho 1ª safra'!$E18:INDEX('Milho 1ª safra'!$E18:$Z18,MIN(AW$6-$E$3,22))&lt;&gt;""),'Milho 1ª safra'!$E18:INDEX('Milho 1ª safra'!$E18:$Z18,MIN(AW$6-$E$3,22))),0))-IF($G$2,0,IF((AW$6-$G$3)&lt;1,0,IFERROR(LOOKUP(2,1/('Milho 1ª safra'!$E18:INDEX('Milho 1ª safra'!$E18:$Z18,MIN(AW$6-$G$3,22))&lt;&gt;""),'Milho 1ª safra'!$E18:INDEX('Milho 1ª safra'!$E18:$Z18,MIN(AW$6-$G$3,22))),0)))))</f>
        <v>0</v>
      </c>
      <c r="AX20" s="27" t="n">
        <f aca="false">IF(COUNT('Milho 1ª safra'!$E18:$Z18)=0,0,MAX(0,IF((AX$6-$E$3)&lt;1,0,IFERROR(LOOKUP(2,1/('Milho 1ª safra'!$E18:INDEX('Milho 1ª safra'!$E18:$Z18,MIN(AX$6-$E$3,22))&lt;&gt;""),'Milho 1ª safra'!$E18:INDEX('Milho 1ª safra'!$E18:$Z18,MIN(AX$6-$E$3,22))),0))-IF($G$2,0,IF((AX$6-$G$3)&lt;1,0,IFERROR(LOOKUP(2,1/('Milho 1ª safra'!$E18:INDEX('Milho 1ª safra'!$E18:$Z18,MIN(AX$6-$G$3,22))&lt;&gt;""),'Milho 1ª safra'!$E18:INDEX('Milho 1ª safra'!$E18:$Z18,MIN(AX$6-$G$3,22))),0)))))</f>
        <v>0</v>
      </c>
      <c r="AY20" s="27" t="n">
        <f aca="false">IF(COUNT('Milho 1ª safra'!$E18:$Z18)=0,0,MAX(0,IF((AY$6-$E$3)&lt;1,0,IFERROR(LOOKUP(2,1/('Milho 1ª safra'!$E18:INDEX('Milho 1ª safra'!$E18:$Z18,MIN(AY$6-$E$3,22))&lt;&gt;""),'Milho 1ª safra'!$E18:INDEX('Milho 1ª safra'!$E18:$Z18,MIN(AY$6-$E$3,22))),0))-IF($G$2,0,IF((AY$6-$G$3)&lt;1,0,IFERROR(LOOKUP(2,1/('Milho 1ª safra'!$E18:INDEX('Milho 1ª safra'!$E18:$Z18,MIN(AY$6-$G$3,22))&lt;&gt;""),'Milho 1ª safra'!$E18:INDEX('Milho 1ª safra'!$E18:$Z18,MIN(AY$6-$G$3,22))),0)))))</f>
        <v>0</v>
      </c>
      <c r="AZ20" s="27" t="n">
        <f aca="false">IF(COUNT('Milho 1ª safra'!$E18:$Z18)=0,0,MAX(0,IF((AZ$6-$E$3)&lt;1,0,IFERROR(LOOKUP(2,1/('Milho 1ª safra'!$E18:INDEX('Milho 1ª safra'!$E18:$Z18,MIN(AZ$6-$E$3,22))&lt;&gt;""),'Milho 1ª safra'!$E18:INDEX('Milho 1ª safra'!$E18:$Z18,MIN(AZ$6-$E$3,22))),0))-IF($G$2,0,IF((AZ$6-$G$3)&lt;1,0,IFERROR(LOOKUP(2,1/('Milho 1ª safra'!$E18:INDEX('Milho 1ª safra'!$E18:$Z18,MIN(AZ$6-$G$3,22))&lt;&gt;""),'Milho 1ª safra'!$E18:INDEX('Milho 1ª safra'!$E18:$Z18,MIN(AZ$6-$G$3,22))),0)))))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IF(COUNT('Milho 1ª safra'!$E19:$Z19)&gt;0,N('Milho 1ª safra'!$D19),0)</f>
        <v>0</v>
      </c>
      <c r="E21" s="27" t="n">
        <f aca="false">IF(COUNT('Milho 1ª safra'!$E19:$Z19)=0,0,MAX(0,IF((E$6-$E$3)&lt;1,0,IFERROR(LOOKUP(2,1/('Milho 1ª safra'!$E19:INDEX('Milho 1ª safra'!$E19:$Z19,MIN(E$6-$E$3,22))&lt;&gt;""),'Milho 1ª safra'!$E19:INDEX('Milho 1ª safra'!$E19:$Z19,MIN(E$6-$E$3,22))),0))-IF($G$2,0,IF((E$6-$G$3)&lt;1,0,IFERROR(LOOKUP(2,1/('Milho 1ª safra'!$E19:INDEX('Milho 1ª safra'!$E19:$Z19,MIN(E$6-$G$3,22))&lt;&gt;""),'Milho 1ª safra'!$E19:INDEX('Milho 1ª safra'!$E19:$Z19,MIN(E$6-$G$3,22))),0)))))</f>
        <v>0</v>
      </c>
      <c r="F21" s="27" t="n">
        <f aca="false">IF(COUNT('Milho 1ª safra'!$E19:$Z19)=0,0,MAX(0,IF((F$6-$E$3)&lt;1,0,IFERROR(LOOKUP(2,1/('Milho 1ª safra'!$E19:INDEX('Milho 1ª safra'!$E19:$Z19,MIN(F$6-$E$3,22))&lt;&gt;""),'Milho 1ª safra'!$E19:INDEX('Milho 1ª safra'!$E19:$Z19,MIN(F$6-$E$3,22))),0))-IF($G$2,0,IF((F$6-$G$3)&lt;1,0,IFERROR(LOOKUP(2,1/('Milho 1ª safra'!$E19:INDEX('Milho 1ª safra'!$E19:$Z19,MIN(F$6-$G$3,22))&lt;&gt;""),'Milho 1ª safra'!$E19:INDEX('Milho 1ª safra'!$E19:$Z19,MIN(F$6-$G$3,22))),0)))))</f>
        <v>0</v>
      </c>
      <c r="G21" s="27" t="n">
        <f aca="false">IF(COUNT('Milho 1ª safra'!$E19:$Z19)=0,0,MAX(0,IF((G$6-$E$3)&lt;1,0,IFERROR(LOOKUP(2,1/('Milho 1ª safra'!$E19:INDEX('Milho 1ª safra'!$E19:$Z19,MIN(G$6-$E$3,22))&lt;&gt;""),'Milho 1ª safra'!$E19:INDEX('Milho 1ª safra'!$E19:$Z19,MIN(G$6-$E$3,22))),0))-IF($G$2,0,IF((G$6-$G$3)&lt;1,0,IFERROR(LOOKUP(2,1/('Milho 1ª safra'!$E19:INDEX('Milho 1ª safra'!$E19:$Z19,MIN(G$6-$G$3,22))&lt;&gt;""),'Milho 1ª safra'!$E19:INDEX('Milho 1ª safra'!$E19:$Z19,MIN(G$6-$G$3,22))),0)))))</f>
        <v>0</v>
      </c>
      <c r="H21" s="27" t="n">
        <f aca="false">IF(COUNT('Milho 1ª safra'!$E19:$Z19)=0,0,MAX(0,IF((H$6-$E$3)&lt;1,0,IFERROR(LOOKUP(2,1/('Milho 1ª safra'!$E19:INDEX('Milho 1ª safra'!$E19:$Z19,MIN(H$6-$E$3,22))&lt;&gt;""),'Milho 1ª safra'!$E19:INDEX('Milho 1ª safra'!$E19:$Z19,MIN(H$6-$E$3,22))),0))-IF($G$2,0,IF((H$6-$G$3)&lt;1,0,IFERROR(LOOKUP(2,1/('Milho 1ª safra'!$E19:INDEX('Milho 1ª safra'!$E19:$Z19,MIN(H$6-$G$3,22))&lt;&gt;""),'Milho 1ª safra'!$E19:INDEX('Milho 1ª safra'!$E19:$Z19,MIN(H$6-$G$3,22))),0)))))</f>
        <v>0</v>
      </c>
      <c r="I21" s="27" t="n">
        <f aca="false">IF(COUNT('Milho 1ª safra'!$E19:$Z19)=0,0,MAX(0,IF((I$6-$E$3)&lt;1,0,IFERROR(LOOKUP(2,1/('Milho 1ª safra'!$E19:INDEX('Milho 1ª safra'!$E19:$Z19,MIN(I$6-$E$3,22))&lt;&gt;""),'Milho 1ª safra'!$E19:INDEX('Milho 1ª safra'!$E19:$Z19,MIN(I$6-$E$3,22))),0))-IF($G$2,0,IF((I$6-$G$3)&lt;1,0,IFERROR(LOOKUP(2,1/('Milho 1ª safra'!$E19:INDEX('Milho 1ª safra'!$E19:$Z19,MIN(I$6-$G$3,22))&lt;&gt;""),'Milho 1ª safra'!$E19:INDEX('Milho 1ª safra'!$E19:$Z19,MIN(I$6-$G$3,22))),0)))))</f>
        <v>0</v>
      </c>
      <c r="J21" s="27" t="n">
        <f aca="false">IF(COUNT('Milho 1ª safra'!$E19:$Z19)=0,0,MAX(0,IF((J$6-$E$3)&lt;1,0,IFERROR(LOOKUP(2,1/('Milho 1ª safra'!$E19:INDEX('Milho 1ª safra'!$E19:$Z19,MIN(J$6-$E$3,22))&lt;&gt;""),'Milho 1ª safra'!$E19:INDEX('Milho 1ª safra'!$E19:$Z19,MIN(J$6-$E$3,22))),0))-IF($G$2,0,IF((J$6-$G$3)&lt;1,0,IFERROR(LOOKUP(2,1/('Milho 1ª safra'!$E19:INDEX('Milho 1ª safra'!$E19:$Z19,MIN(J$6-$G$3,22))&lt;&gt;""),'Milho 1ª safra'!$E19:INDEX('Milho 1ª safra'!$E19:$Z19,MIN(J$6-$G$3,22))),0)))))</f>
        <v>0</v>
      </c>
      <c r="K21" s="27" t="n">
        <f aca="false">IF(COUNT('Milho 1ª safra'!$E19:$Z19)=0,0,MAX(0,IF((K$6-$E$3)&lt;1,0,IFERROR(LOOKUP(2,1/('Milho 1ª safra'!$E19:INDEX('Milho 1ª safra'!$E19:$Z19,MIN(K$6-$E$3,22))&lt;&gt;""),'Milho 1ª safra'!$E19:INDEX('Milho 1ª safra'!$E19:$Z19,MIN(K$6-$E$3,22))),0))-IF($G$2,0,IF((K$6-$G$3)&lt;1,0,IFERROR(LOOKUP(2,1/('Milho 1ª safra'!$E19:INDEX('Milho 1ª safra'!$E19:$Z19,MIN(K$6-$G$3,22))&lt;&gt;""),'Milho 1ª safra'!$E19:INDEX('Milho 1ª safra'!$E19:$Z19,MIN(K$6-$G$3,22))),0)))))</f>
        <v>0</v>
      </c>
      <c r="L21" s="27" t="n">
        <f aca="false">IF(COUNT('Milho 1ª safra'!$E19:$Z19)=0,0,MAX(0,IF((L$6-$E$3)&lt;1,0,IFERROR(LOOKUP(2,1/('Milho 1ª safra'!$E19:INDEX('Milho 1ª safra'!$E19:$Z19,MIN(L$6-$E$3,22))&lt;&gt;""),'Milho 1ª safra'!$E19:INDEX('Milho 1ª safra'!$E19:$Z19,MIN(L$6-$E$3,22))),0))-IF($G$2,0,IF((L$6-$G$3)&lt;1,0,IFERROR(LOOKUP(2,1/('Milho 1ª safra'!$E19:INDEX('Milho 1ª safra'!$E19:$Z19,MIN(L$6-$G$3,22))&lt;&gt;""),'Milho 1ª safra'!$E19:INDEX('Milho 1ª safra'!$E19:$Z19,MIN(L$6-$G$3,22))),0)))))</f>
        <v>0</v>
      </c>
      <c r="M21" s="27" t="n">
        <f aca="false">IF(COUNT('Milho 1ª safra'!$E19:$Z19)=0,0,MAX(0,IF((M$6-$E$3)&lt;1,0,IFERROR(LOOKUP(2,1/('Milho 1ª safra'!$E19:INDEX('Milho 1ª safra'!$E19:$Z19,MIN(M$6-$E$3,22))&lt;&gt;""),'Milho 1ª safra'!$E19:INDEX('Milho 1ª safra'!$E19:$Z19,MIN(M$6-$E$3,22))),0))-IF($G$2,0,IF((M$6-$G$3)&lt;1,0,IFERROR(LOOKUP(2,1/('Milho 1ª safra'!$E19:INDEX('Milho 1ª safra'!$E19:$Z19,MIN(M$6-$G$3,22))&lt;&gt;""),'Milho 1ª safra'!$E19:INDEX('Milho 1ª safra'!$E19:$Z19,MIN(M$6-$G$3,22))),0)))))</f>
        <v>0</v>
      </c>
      <c r="N21" s="27" t="n">
        <f aca="false">IF(COUNT('Milho 1ª safra'!$E19:$Z19)=0,0,MAX(0,IF((N$6-$E$3)&lt;1,0,IFERROR(LOOKUP(2,1/('Milho 1ª safra'!$E19:INDEX('Milho 1ª safra'!$E19:$Z19,MIN(N$6-$E$3,22))&lt;&gt;""),'Milho 1ª safra'!$E19:INDEX('Milho 1ª safra'!$E19:$Z19,MIN(N$6-$E$3,22))),0))-IF($G$2,0,IF((N$6-$G$3)&lt;1,0,IFERROR(LOOKUP(2,1/('Milho 1ª safra'!$E19:INDEX('Milho 1ª safra'!$E19:$Z19,MIN(N$6-$G$3,22))&lt;&gt;""),'Milho 1ª safra'!$E19:INDEX('Milho 1ª safra'!$E19:$Z19,MIN(N$6-$G$3,22))),0)))))</f>
        <v>0</v>
      </c>
      <c r="O21" s="27" t="n">
        <f aca="false">IF(COUNT('Milho 1ª safra'!$E19:$Z19)=0,0,MAX(0,IF((O$6-$E$3)&lt;1,0,IFERROR(LOOKUP(2,1/('Milho 1ª safra'!$E19:INDEX('Milho 1ª safra'!$E19:$Z19,MIN(O$6-$E$3,22))&lt;&gt;""),'Milho 1ª safra'!$E19:INDEX('Milho 1ª safra'!$E19:$Z19,MIN(O$6-$E$3,22))),0))-IF($G$2,0,IF((O$6-$G$3)&lt;1,0,IFERROR(LOOKUP(2,1/('Milho 1ª safra'!$E19:INDEX('Milho 1ª safra'!$E19:$Z19,MIN(O$6-$G$3,22))&lt;&gt;""),'Milho 1ª safra'!$E19:INDEX('Milho 1ª safra'!$E19:$Z19,MIN(O$6-$G$3,22))),0)))))</f>
        <v>0</v>
      </c>
      <c r="P21" s="27" t="n">
        <f aca="false">IF(COUNT('Milho 1ª safra'!$E19:$Z19)=0,0,MAX(0,IF((P$6-$E$3)&lt;1,0,IFERROR(LOOKUP(2,1/('Milho 1ª safra'!$E19:INDEX('Milho 1ª safra'!$E19:$Z19,MIN(P$6-$E$3,22))&lt;&gt;""),'Milho 1ª safra'!$E19:INDEX('Milho 1ª safra'!$E19:$Z19,MIN(P$6-$E$3,22))),0))-IF($G$2,0,IF((P$6-$G$3)&lt;1,0,IFERROR(LOOKUP(2,1/('Milho 1ª safra'!$E19:INDEX('Milho 1ª safra'!$E19:$Z19,MIN(P$6-$G$3,22))&lt;&gt;""),'Milho 1ª safra'!$E19:INDEX('Milho 1ª safra'!$E19:$Z19,MIN(P$6-$G$3,22))),0)))))</f>
        <v>0</v>
      </c>
      <c r="Q21" s="27" t="n">
        <f aca="false">IF(COUNT('Milho 1ª safra'!$E19:$Z19)=0,0,MAX(0,IF((Q$6-$E$3)&lt;1,0,IFERROR(LOOKUP(2,1/('Milho 1ª safra'!$E19:INDEX('Milho 1ª safra'!$E19:$Z19,MIN(Q$6-$E$3,22))&lt;&gt;""),'Milho 1ª safra'!$E19:INDEX('Milho 1ª safra'!$E19:$Z19,MIN(Q$6-$E$3,22))),0))-IF($G$2,0,IF((Q$6-$G$3)&lt;1,0,IFERROR(LOOKUP(2,1/('Milho 1ª safra'!$E19:INDEX('Milho 1ª safra'!$E19:$Z19,MIN(Q$6-$G$3,22))&lt;&gt;""),'Milho 1ª safra'!$E19:INDEX('Milho 1ª safra'!$E19:$Z19,MIN(Q$6-$G$3,22))),0)))))</f>
        <v>0</v>
      </c>
      <c r="R21" s="27" t="n">
        <f aca="false">IF(COUNT('Milho 1ª safra'!$E19:$Z19)=0,0,MAX(0,IF((R$6-$E$3)&lt;1,0,IFERROR(LOOKUP(2,1/('Milho 1ª safra'!$E19:INDEX('Milho 1ª safra'!$E19:$Z19,MIN(R$6-$E$3,22))&lt;&gt;""),'Milho 1ª safra'!$E19:INDEX('Milho 1ª safra'!$E19:$Z19,MIN(R$6-$E$3,22))),0))-IF($G$2,0,IF((R$6-$G$3)&lt;1,0,IFERROR(LOOKUP(2,1/('Milho 1ª safra'!$E19:INDEX('Milho 1ª safra'!$E19:$Z19,MIN(R$6-$G$3,22))&lt;&gt;""),'Milho 1ª safra'!$E19:INDEX('Milho 1ª safra'!$E19:$Z19,MIN(R$6-$G$3,22))),0)))))</f>
        <v>0</v>
      </c>
      <c r="S21" s="27" t="n">
        <f aca="false">IF(COUNT('Milho 1ª safra'!$E19:$Z19)=0,0,MAX(0,IF((S$6-$E$3)&lt;1,0,IFERROR(LOOKUP(2,1/('Milho 1ª safra'!$E19:INDEX('Milho 1ª safra'!$E19:$Z19,MIN(S$6-$E$3,22))&lt;&gt;""),'Milho 1ª safra'!$E19:INDEX('Milho 1ª safra'!$E19:$Z19,MIN(S$6-$E$3,22))),0))-IF($G$2,0,IF((S$6-$G$3)&lt;1,0,IFERROR(LOOKUP(2,1/('Milho 1ª safra'!$E19:INDEX('Milho 1ª safra'!$E19:$Z19,MIN(S$6-$G$3,22))&lt;&gt;""),'Milho 1ª safra'!$E19:INDEX('Milho 1ª safra'!$E19:$Z19,MIN(S$6-$G$3,22))),0)))))</f>
        <v>0</v>
      </c>
      <c r="T21" s="27" t="n">
        <f aca="false">IF(COUNT('Milho 1ª safra'!$E19:$Z19)=0,0,MAX(0,IF((T$6-$E$3)&lt;1,0,IFERROR(LOOKUP(2,1/('Milho 1ª safra'!$E19:INDEX('Milho 1ª safra'!$E19:$Z19,MIN(T$6-$E$3,22))&lt;&gt;""),'Milho 1ª safra'!$E19:INDEX('Milho 1ª safra'!$E19:$Z19,MIN(T$6-$E$3,22))),0))-IF($G$2,0,IF((T$6-$G$3)&lt;1,0,IFERROR(LOOKUP(2,1/('Milho 1ª safra'!$E19:INDEX('Milho 1ª safra'!$E19:$Z19,MIN(T$6-$G$3,22))&lt;&gt;""),'Milho 1ª safra'!$E19:INDEX('Milho 1ª safra'!$E19:$Z19,MIN(T$6-$G$3,22))),0)))))</f>
        <v>0</v>
      </c>
      <c r="U21" s="27" t="n">
        <f aca="false">IF(COUNT('Milho 1ª safra'!$E19:$Z19)=0,0,MAX(0,IF((U$6-$E$3)&lt;1,0,IFERROR(LOOKUP(2,1/('Milho 1ª safra'!$E19:INDEX('Milho 1ª safra'!$E19:$Z19,MIN(U$6-$E$3,22))&lt;&gt;""),'Milho 1ª safra'!$E19:INDEX('Milho 1ª safra'!$E19:$Z19,MIN(U$6-$E$3,22))),0))-IF($G$2,0,IF((U$6-$G$3)&lt;1,0,IFERROR(LOOKUP(2,1/('Milho 1ª safra'!$E19:INDEX('Milho 1ª safra'!$E19:$Z19,MIN(U$6-$G$3,22))&lt;&gt;""),'Milho 1ª safra'!$E19:INDEX('Milho 1ª safra'!$E19:$Z19,MIN(U$6-$G$3,22))),0)))))</f>
        <v>0</v>
      </c>
      <c r="V21" s="27" t="n">
        <f aca="false">IF(COUNT('Milho 1ª safra'!$E19:$Z19)=0,0,MAX(0,IF((V$6-$E$3)&lt;1,0,IFERROR(LOOKUP(2,1/('Milho 1ª safra'!$E19:INDEX('Milho 1ª safra'!$E19:$Z19,MIN(V$6-$E$3,22))&lt;&gt;""),'Milho 1ª safra'!$E19:INDEX('Milho 1ª safra'!$E19:$Z19,MIN(V$6-$E$3,22))),0))-IF($G$2,0,IF((V$6-$G$3)&lt;1,0,IFERROR(LOOKUP(2,1/('Milho 1ª safra'!$E19:INDEX('Milho 1ª safra'!$E19:$Z19,MIN(V$6-$G$3,22))&lt;&gt;""),'Milho 1ª safra'!$E19:INDEX('Milho 1ª safra'!$E19:$Z19,MIN(V$6-$G$3,22))),0)))))</f>
        <v>0</v>
      </c>
      <c r="W21" s="27" t="n">
        <f aca="false">IF(COUNT('Milho 1ª safra'!$E19:$Z19)=0,0,MAX(0,IF((W$6-$E$3)&lt;1,0,IFERROR(LOOKUP(2,1/('Milho 1ª safra'!$E19:INDEX('Milho 1ª safra'!$E19:$Z19,MIN(W$6-$E$3,22))&lt;&gt;""),'Milho 1ª safra'!$E19:INDEX('Milho 1ª safra'!$E19:$Z19,MIN(W$6-$E$3,22))),0))-IF($G$2,0,IF((W$6-$G$3)&lt;1,0,IFERROR(LOOKUP(2,1/('Milho 1ª safra'!$E19:INDEX('Milho 1ª safra'!$E19:$Z19,MIN(W$6-$G$3,22))&lt;&gt;""),'Milho 1ª safra'!$E19:INDEX('Milho 1ª safra'!$E19:$Z19,MIN(W$6-$G$3,22))),0)))))</f>
        <v>0</v>
      </c>
      <c r="X21" s="27" t="n">
        <f aca="false">IF(COUNT('Milho 1ª safra'!$E19:$Z19)=0,0,MAX(0,IF((X$6-$E$3)&lt;1,0,IFERROR(LOOKUP(2,1/('Milho 1ª safra'!$E19:INDEX('Milho 1ª safra'!$E19:$Z19,MIN(X$6-$E$3,22))&lt;&gt;""),'Milho 1ª safra'!$E19:INDEX('Milho 1ª safra'!$E19:$Z19,MIN(X$6-$E$3,22))),0))-IF($G$2,0,IF((X$6-$G$3)&lt;1,0,IFERROR(LOOKUP(2,1/('Milho 1ª safra'!$E19:INDEX('Milho 1ª safra'!$E19:$Z19,MIN(X$6-$G$3,22))&lt;&gt;""),'Milho 1ª safra'!$E19:INDEX('Milho 1ª safra'!$E19:$Z19,MIN(X$6-$G$3,22))),0)))))</f>
        <v>0</v>
      </c>
      <c r="Y21" s="27" t="n">
        <f aca="false">IF(COUNT('Milho 1ª safra'!$E19:$Z19)=0,0,MAX(0,IF((Y$6-$E$3)&lt;1,0,IFERROR(LOOKUP(2,1/('Milho 1ª safra'!$E19:INDEX('Milho 1ª safra'!$E19:$Z19,MIN(Y$6-$E$3,22))&lt;&gt;""),'Milho 1ª safra'!$E19:INDEX('Milho 1ª safra'!$E19:$Z19,MIN(Y$6-$E$3,22))),0))-IF($G$2,0,IF((Y$6-$G$3)&lt;1,0,IFERROR(LOOKUP(2,1/('Milho 1ª safra'!$E19:INDEX('Milho 1ª safra'!$E19:$Z19,MIN(Y$6-$G$3,22))&lt;&gt;""),'Milho 1ª safra'!$E19:INDEX('Milho 1ª safra'!$E19:$Z19,MIN(Y$6-$G$3,22))),0)))))</f>
        <v>0</v>
      </c>
      <c r="Z21" s="27" t="n">
        <f aca="false">IF(COUNT('Milho 1ª safra'!$E19:$Z19)=0,0,MAX(0,IF((Z$6-$E$3)&lt;1,0,IFERROR(LOOKUP(2,1/('Milho 1ª safra'!$E19:INDEX('Milho 1ª safra'!$E19:$Z19,MIN(Z$6-$E$3,22))&lt;&gt;""),'Milho 1ª safra'!$E19:INDEX('Milho 1ª safra'!$E19:$Z19,MIN(Z$6-$E$3,22))),0))-IF($G$2,0,IF((Z$6-$G$3)&lt;1,0,IFERROR(LOOKUP(2,1/('Milho 1ª safra'!$E19:INDEX('Milho 1ª safra'!$E19:$Z19,MIN(Z$6-$G$3,22))&lt;&gt;""),'Milho 1ª safra'!$E19:INDEX('Milho 1ª safra'!$E19:$Z19,MIN(Z$6-$G$3,22))),0)))))</f>
        <v>0</v>
      </c>
      <c r="AA21" s="27" t="n">
        <f aca="false">IF(COUNT('Milho 1ª safra'!$E19:$Z19)=0,0,MAX(0,IF((AA$6-$E$3)&lt;1,0,IFERROR(LOOKUP(2,1/('Milho 1ª safra'!$E19:INDEX('Milho 1ª safra'!$E19:$Z19,MIN(AA$6-$E$3,22))&lt;&gt;""),'Milho 1ª safra'!$E19:INDEX('Milho 1ª safra'!$E19:$Z19,MIN(AA$6-$E$3,22))),0))-IF($G$2,0,IF((AA$6-$G$3)&lt;1,0,IFERROR(LOOKUP(2,1/('Milho 1ª safra'!$E19:INDEX('Milho 1ª safra'!$E19:$Z19,MIN(AA$6-$G$3,22))&lt;&gt;""),'Milho 1ª safra'!$E19:INDEX('Milho 1ª safra'!$E19:$Z19,MIN(AA$6-$G$3,22))),0)))))</f>
        <v>0</v>
      </c>
      <c r="AB21" s="27" t="n">
        <f aca="false">IF(COUNT('Milho 1ª safra'!$E19:$Z19)=0,0,MAX(0,IF((AB$6-$E$3)&lt;1,0,IFERROR(LOOKUP(2,1/('Milho 1ª safra'!$E19:INDEX('Milho 1ª safra'!$E19:$Z19,MIN(AB$6-$E$3,22))&lt;&gt;""),'Milho 1ª safra'!$E19:INDEX('Milho 1ª safra'!$E19:$Z19,MIN(AB$6-$E$3,22))),0))-IF($G$2,0,IF((AB$6-$G$3)&lt;1,0,IFERROR(LOOKUP(2,1/('Milho 1ª safra'!$E19:INDEX('Milho 1ª safra'!$E19:$Z19,MIN(AB$6-$G$3,22))&lt;&gt;""),'Milho 1ª safra'!$E19:INDEX('Milho 1ª safra'!$E19:$Z19,MIN(AB$6-$G$3,22))),0)))))</f>
        <v>0</v>
      </c>
      <c r="AC21" s="27" t="n">
        <f aca="false">IF(COUNT('Milho 1ª safra'!$E19:$Z19)=0,0,MAX(0,IF((AC$6-$E$3)&lt;1,0,IFERROR(LOOKUP(2,1/('Milho 1ª safra'!$E19:INDEX('Milho 1ª safra'!$E19:$Z19,MIN(AC$6-$E$3,22))&lt;&gt;""),'Milho 1ª safra'!$E19:INDEX('Milho 1ª safra'!$E19:$Z19,MIN(AC$6-$E$3,22))),0))-IF($G$2,0,IF((AC$6-$G$3)&lt;1,0,IFERROR(LOOKUP(2,1/('Milho 1ª safra'!$E19:INDEX('Milho 1ª safra'!$E19:$Z19,MIN(AC$6-$G$3,22))&lt;&gt;""),'Milho 1ª safra'!$E19:INDEX('Milho 1ª safra'!$E19:$Z19,MIN(AC$6-$G$3,22))),0)))))</f>
        <v>0</v>
      </c>
      <c r="AD21" s="27" t="n">
        <f aca="false">IF(COUNT('Milho 1ª safra'!$E19:$Z19)=0,0,MAX(0,IF((AD$6-$E$3)&lt;1,0,IFERROR(LOOKUP(2,1/('Milho 1ª safra'!$E19:INDEX('Milho 1ª safra'!$E19:$Z19,MIN(AD$6-$E$3,22))&lt;&gt;""),'Milho 1ª safra'!$E19:INDEX('Milho 1ª safra'!$E19:$Z19,MIN(AD$6-$E$3,22))),0))-IF($G$2,0,IF((AD$6-$G$3)&lt;1,0,IFERROR(LOOKUP(2,1/('Milho 1ª safra'!$E19:INDEX('Milho 1ª safra'!$E19:$Z19,MIN(AD$6-$G$3,22))&lt;&gt;""),'Milho 1ª safra'!$E19:INDEX('Milho 1ª safra'!$E19:$Z19,MIN(AD$6-$G$3,22))),0)))))</f>
        <v>0</v>
      </c>
      <c r="AE21" s="27" t="n">
        <f aca="false">IF(COUNT('Milho 1ª safra'!$E19:$Z19)=0,0,MAX(0,IF((AE$6-$E$3)&lt;1,0,IFERROR(LOOKUP(2,1/('Milho 1ª safra'!$E19:INDEX('Milho 1ª safra'!$E19:$Z19,MIN(AE$6-$E$3,22))&lt;&gt;""),'Milho 1ª safra'!$E19:INDEX('Milho 1ª safra'!$E19:$Z19,MIN(AE$6-$E$3,22))),0))-IF($G$2,0,IF((AE$6-$G$3)&lt;1,0,IFERROR(LOOKUP(2,1/('Milho 1ª safra'!$E19:INDEX('Milho 1ª safra'!$E19:$Z19,MIN(AE$6-$G$3,22))&lt;&gt;""),'Milho 1ª safra'!$E19:INDEX('Milho 1ª safra'!$E19:$Z19,MIN(AE$6-$G$3,22))),0)))))</f>
        <v>0</v>
      </c>
      <c r="AF21" s="27" t="n">
        <f aca="false">IF(COUNT('Milho 1ª safra'!$E19:$Z19)=0,0,MAX(0,IF((AF$6-$E$3)&lt;1,0,IFERROR(LOOKUP(2,1/('Milho 1ª safra'!$E19:INDEX('Milho 1ª safra'!$E19:$Z19,MIN(AF$6-$E$3,22))&lt;&gt;""),'Milho 1ª safra'!$E19:INDEX('Milho 1ª safra'!$E19:$Z19,MIN(AF$6-$E$3,22))),0))-IF($G$2,0,IF((AF$6-$G$3)&lt;1,0,IFERROR(LOOKUP(2,1/('Milho 1ª safra'!$E19:INDEX('Milho 1ª safra'!$E19:$Z19,MIN(AF$6-$G$3,22))&lt;&gt;""),'Milho 1ª safra'!$E19:INDEX('Milho 1ª safra'!$E19:$Z19,MIN(AF$6-$G$3,22))),0)))))</f>
        <v>0</v>
      </c>
      <c r="AG21" s="27" t="n">
        <f aca="false">IF(COUNT('Milho 1ª safra'!$E19:$Z19)=0,0,MAX(0,IF((AG$6-$E$3)&lt;1,0,IFERROR(LOOKUP(2,1/('Milho 1ª safra'!$E19:INDEX('Milho 1ª safra'!$E19:$Z19,MIN(AG$6-$E$3,22))&lt;&gt;""),'Milho 1ª safra'!$E19:INDEX('Milho 1ª safra'!$E19:$Z19,MIN(AG$6-$E$3,22))),0))-IF($G$2,0,IF((AG$6-$G$3)&lt;1,0,IFERROR(LOOKUP(2,1/('Milho 1ª safra'!$E19:INDEX('Milho 1ª safra'!$E19:$Z19,MIN(AG$6-$G$3,22))&lt;&gt;""),'Milho 1ª safra'!$E19:INDEX('Milho 1ª safra'!$E19:$Z19,MIN(AG$6-$G$3,22))),0)))))</f>
        <v>0</v>
      </c>
      <c r="AH21" s="27" t="n">
        <f aca="false">IF(COUNT('Milho 1ª safra'!$E19:$Z19)=0,0,MAX(0,IF((AH$6-$E$3)&lt;1,0,IFERROR(LOOKUP(2,1/('Milho 1ª safra'!$E19:INDEX('Milho 1ª safra'!$E19:$Z19,MIN(AH$6-$E$3,22))&lt;&gt;""),'Milho 1ª safra'!$E19:INDEX('Milho 1ª safra'!$E19:$Z19,MIN(AH$6-$E$3,22))),0))-IF($G$2,0,IF((AH$6-$G$3)&lt;1,0,IFERROR(LOOKUP(2,1/('Milho 1ª safra'!$E19:INDEX('Milho 1ª safra'!$E19:$Z19,MIN(AH$6-$G$3,22))&lt;&gt;""),'Milho 1ª safra'!$E19:INDEX('Milho 1ª safra'!$E19:$Z19,MIN(AH$6-$G$3,22))),0)))))</f>
        <v>0</v>
      </c>
      <c r="AI21" s="27" t="n">
        <f aca="false">IF(COUNT('Milho 1ª safra'!$E19:$Z19)=0,0,MAX(0,IF((AI$6-$E$3)&lt;1,0,IFERROR(LOOKUP(2,1/('Milho 1ª safra'!$E19:INDEX('Milho 1ª safra'!$E19:$Z19,MIN(AI$6-$E$3,22))&lt;&gt;""),'Milho 1ª safra'!$E19:INDEX('Milho 1ª safra'!$E19:$Z19,MIN(AI$6-$E$3,22))),0))-IF($G$2,0,IF((AI$6-$G$3)&lt;1,0,IFERROR(LOOKUP(2,1/('Milho 1ª safra'!$E19:INDEX('Milho 1ª safra'!$E19:$Z19,MIN(AI$6-$G$3,22))&lt;&gt;""),'Milho 1ª safra'!$E19:INDEX('Milho 1ª safra'!$E19:$Z19,MIN(AI$6-$G$3,22))),0)))))</f>
        <v>0</v>
      </c>
      <c r="AJ21" s="27" t="n">
        <f aca="false">IF(COUNT('Milho 1ª safra'!$E19:$Z19)=0,0,MAX(0,IF((AJ$6-$E$3)&lt;1,0,IFERROR(LOOKUP(2,1/('Milho 1ª safra'!$E19:INDEX('Milho 1ª safra'!$E19:$Z19,MIN(AJ$6-$E$3,22))&lt;&gt;""),'Milho 1ª safra'!$E19:INDEX('Milho 1ª safra'!$E19:$Z19,MIN(AJ$6-$E$3,22))),0))-IF($G$2,0,IF((AJ$6-$G$3)&lt;1,0,IFERROR(LOOKUP(2,1/('Milho 1ª safra'!$E19:INDEX('Milho 1ª safra'!$E19:$Z19,MIN(AJ$6-$G$3,22))&lt;&gt;""),'Milho 1ª safra'!$E19:INDEX('Milho 1ª safra'!$E19:$Z19,MIN(AJ$6-$G$3,22))),0)))))</f>
        <v>0</v>
      </c>
      <c r="AK21" s="27" t="n">
        <f aca="false">IF(COUNT('Milho 1ª safra'!$E19:$Z19)=0,0,MAX(0,IF((AK$6-$E$3)&lt;1,0,IFERROR(LOOKUP(2,1/('Milho 1ª safra'!$E19:INDEX('Milho 1ª safra'!$E19:$Z19,MIN(AK$6-$E$3,22))&lt;&gt;""),'Milho 1ª safra'!$E19:INDEX('Milho 1ª safra'!$E19:$Z19,MIN(AK$6-$E$3,22))),0))-IF($G$2,0,IF((AK$6-$G$3)&lt;1,0,IFERROR(LOOKUP(2,1/('Milho 1ª safra'!$E19:INDEX('Milho 1ª safra'!$E19:$Z19,MIN(AK$6-$G$3,22))&lt;&gt;""),'Milho 1ª safra'!$E19:INDEX('Milho 1ª safra'!$E19:$Z19,MIN(AK$6-$G$3,22))),0)))))</f>
        <v>0</v>
      </c>
      <c r="AL21" s="27" t="n">
        <f aca="false">IF(COUNT('Milho 1ª safra'!$E19:$Z19)=0,0,MAX(0,IF((AL$6-$E$3)&lt;1,0,IFERROR(LOOKUP(2,1/('Milho 1ª safra'!$E19:INDEX('Milho 1ª safra'!$E19:$Z19,MIN(AL$6-$E$3,22))&lt;&gt;""),'Milho 1ª safra'!$E19:INDEX('Milho 1ª safra'!$E19:$Z19,MIN(AL$6-$E$3,22))),0))-IF($G$2,0,IF((AL$6-$G$3)&lt;1,0,IFERROR(LOOKUP(2,1/('Milho 1ª safra'!$E19:INDEX('Milho 1ª safra'!$E19:$Z19,MIN(AL$6-$G$3,22))&lt;&gt;""),'Milho 1ª safra'!$E19:INDEX('Milho 1ª safra'!$E19:$Z19,MIN(AL$6-$G$3,22))),0)))))</f>
        <v>0</v>
      </c>
      <c r="AM21" s="27" t="n">
        <f aca="false">IF(COUNT('Milho 1ª safra'!$E19:$Z19)=0,0,MAX(0,IF((AM$6-$E$3)&lt;1,0,IFERROR(LOOKUP(2,1/('Milho 1ª safra'!$E19:INDEX('Milho 1ª safra'!$E19:$Z19,MIN(AM$6-$E$3,22))&lt;&gt;""),'Milho 1ª safra'!$E19:INDEX('Milho 1ª safra'!$E19:$Z19,MIN(AM$6-$E$3,22))),0))-IF($G$2,0,IF((AM$6-$G$3)&lt;1,0,IFERROR(LOOKUP(2,1/('Milho 1ª safra'!$E19:INDEX('Milho 1ª safra'!$E19:$Z19,MIN(AM$6-$G$3,22))&lt;&gt;""),'Milho 1ª safra'!$E19:INDEX('Milho 1ª safra'!$E19:$Z19,MIN(AM$6-$G$3,22))),0)))))</f>
        <v>0</v>
      </c>
      <c r="AN21" s="27" t="n">
        <f aca="false">IF(COUNT('Milho 1ª safra'!$E19:$Z19)=0,0,MAX(0,IF((AN$6-$E$3)&lt;1,0,IFERROR(LOOKUP(2,1/('Milho 1ª safra'!$E19:INDEX('Milho 1ª safra'!$E19:$Z19,MIN(AN$6-$E$3,22))&lt;&gt;""),'Milho 1ª safra'!$E19:INDEX('Milho 1ª safra'!$E19:$Z19,MIN(AN$6-$E$3,22))),0))-IF($G$2,0,IF((AN$6-$G$3)&lt;1,0,IFERROR(LOOKUP(2,1/('Milho 1ª safra'!$E19:INDEX('Milho 1ª safra'!$E19:$Z19,MIN(AN$6-$G$3,22))&lt;&gt;""),'Milho 1ª safra'!$E19:INDEX('Milho 1ª safra'!$E19:$Z19,MIN(AN$6-$G$3,22))),0)))))</f>
        <v>0</v>
      </c>
      <c r="AO21" s="27" t="n">
        <f aca="false">IF(COUNT('Milho 1ª safra'!$E19:$Z19)=0,0,MAX(0,IF((AO$6-$E$3)&lt;1,0,IFERROR(LOOKUP(2,1/('Milho 1ª safra'!$E19:INDEX('Milho 1ª safra'!$E19:$Z19,MIN(AO$6-$E$3,22))&lt;&gt;""),'Milho 1ª safra'!$E19:INDEX('Milho 1ª safra'!$E19:$Z19,MIN(AO$6-$E$3,22))),0))-IF($G$2,0,IF((AO$6-$G$3)&lt;1,0,IFERROR(LOOKUP(2,1/('Milho 1ª safra'!$E19:INDEX('Milho 1ª safra'!$E19:$Z19,MIN(AO$6-$G$3,22))&lt;&gt;""),'Milho 1ª safra'!$E19:INDEX('Milho 1ª safra'!$E19:$Z19,MIN(AO$6-$G$3,22))),0)))))</f>
        <v>0</v>
      </c>
      <c r="AP21" s="27" t="n">
        <f aca="false">IF(COUNT('Milho 1ª safra'!$E19:$Z19)=0,0,MAX(0,IF((AP$6-$E$3)&lt;1,0,IFERROR(LOOKUP(2,1/('Milho 1ª safra'!$E19:INDEX('Milho 1ª safra'!$E19:$Z19,MIN(AP$6-$E$3,22))&lt;&gt;""),'Milho 1ª safra'!$E19:INDEX('Milho 1ª safra'!$E19:$Z19,MIN(AP$6-$E$3,22))),0))-IF($G$2,0,IF((AP$6-$G$3)&lt;1,0,IFERROR(LOOKUP(2,1/('Milho 1ª safra'!$E19:INDEX('Milho 1ª safra'!$E19:$Z19,MIN(AP$6-$G$3,22))&lt;&gt;""),'Milho 1ª safra'!$E19:INDEX('Milho 1ª safra'!$E19:$Z19,MIN(AP$6-$G$3,22))),0)))))</f>
        <v>0</v>
      </c>
      <c r="AQ21" s="27" t="n">
        <f aca="false">IF(COUNT('Milho 1ª safra'!$E19:$Z19)=0,0,MAX(0,IF((AQ$6-$E$3)&lt;1,0,IFERROR(LOOKUP(2,1/('Milho 1ª safra'!$E19:INDEX('Milho 1ª safra'!$E19:$Z19,MIN(AQ$6-$E$3,22))&lt;&gt;""),'Milho 1ª safra'!$E19:INDEX('Milho 1ª safra'!$E19:$Z19,MIN(AQ$6-$E$3,22))),0))-IF($G$2,0,IF((AQ$6-$G$3)&lt;1,0,IFERROR(LOOKUP(2,1/('Milho 1ª safra'!$E19:INDEX('Milho 1ª safra'!$E19:$Z19,MIN(AQ$6-$G$3,22))&lt;&gt;""),'Milho 1ª safra'!$E19:INDEX('Milho 1ª safra'!$E19:$Z19,MIN(AQ$6-$G$3,22))),0)))))</f>
        <v>0</v>
      </c>
      <c r="AR21" s="27" t="n">
        <f aca="false">IF(COUNT('Milho 1ª safra'!$E19:$Z19)=0,0,MAX(0,IF((AR$6-$E$3)&lt;1,0,IFERROR(LOOKUP(2,1/('Milho 1ª safra'!$E19:INDEX('Milho 1ª safra'!$E19:$Z19,MIN(AR$6-$E$3,22))&lt;&gt;""),'Milho 1ª safra'!$E19:INDEX('Milho 1ª safra'!$E19:$Z19,MIN(AR$6-$E$3,22))),0))-IF($G$2,0,IF((AR$6-$G$3)&lt;1,0,IFERROR(LOOKUP(2,1/('Milho 1ª safra'!$E19:INDEX('Milho 1ª safra'!$E19:$Z19,MIN(AR$6-$G$3,22))&lt;&gt;""),'Milho 1ª safra'!$E19:INDEX('Milho 1ª safra'!$E19:$Z19,MIN(AR$6-$G$3,22))),0)))))</f>
        <v>0</v>
      </c>
      <c r="AS21" s="27" t="n">
        <f aca="false">IF(COUNT('Milho 1ª safra'!$E19:$Z19)=0,0,MAX(0,IF((AS$6-$E$3)&lt;1,0,IFERROR(LOOKUP(2,1/('Milho 1ª safra'!$E19:INDEX('Milho 1ª safra'!$E19:$Z19,MIN(AS$6-$E$3,22))&lt;&gt;""),'Milho 1ª safra'!$E19:INDEX('Milho 1ª safra'!$E19:$Z19,MIN(AS$6-$E$3,22))),0))-IF($G$2,0,IF((AS$6-$G$3)&lt;1,0,IFERROR(LOOKUP(2,1/('Milho 1ª safra'!$E19:INDEX('Milho 1ª safra'!$E19:$Z19,MIN(AS$6-$G$3,22))&lt;&gt;""),'Milho 1ª safra'!$E19:INDEX('Milho 1ª safra'!$E19:$Z19,MIN(AS$6-$G$3,22))),0)))))</f>
        <v>0</v>
      </c>
      <c r="AT21" s="27" t="n">
        <f aca="false">IF(COUNT('Milho 1ª safra'!$E19:$Z19)=0,0,MAX(0,IF((AT$6-$E$3)&lt;1,0,IFERROR(LOOKUP(2,1/('Milho 1ª safra'!$E19:INDEX('Milho 1ª safra'!$E19:$Z19,MIN(AT$6-$E$3,22))&lt;&gt;""),'Milho 1ª safra'!$E19:INDEX('Milho 1ª safra'!$E19:$Z19,MIN(AT$6-$E$3,22))),0))-IF($G$2,0,IF((AT$6-$G$3)&lt;1,0,IFERROR(LOOKUP(2,1/('Milho 1ª safra'!$E19:INDEX('Milho 1ª safra'!$E19:$Z19,MIN(AT$6-$G$3,22))&lt;&gt;""),'Milho 1ª safra'!$E19:INDEX('Milho 1ª safra'!$E19:$Z19,MIN(AT$6-$G$3,22))),0)))))</f>
        <v>0</v>
      </c>
      <c r="AU21" s="27" t="n">
        <f aca="false">IF(COUNT('Milho 1ª safra'!$E19:$Z19)=0,0,MAX(0,IF((AU$6-$E$3)&lt;1,0,IFERROR(LOOKUP(2,1/('Milho 1ª safra'!$E19:INDEX('Milho 1ª safra'!$E19:$Z19,MIN(AU$6-$E$3,22))&lt;&gt;""),'Milho 1ª safra'!$E19:INDEX('Milho 1ª safra'!$E19:$Z19,MIN(AU$6-$E$3,22))),0))-IF($G$2,0,IF((AU$6-$G$3)&lt;1,0,IFERROR(LOOKUP(2,1/('Milho 1ª safra'!$E19:INDEX('Milho 1ª safra'!$E19:$Z19,MIN(AU$6-$G$3,22))&lt;&gt;""),'Milho 1ª safra'!$E19:INDEX('Milho 1ª safra'!$E19:$Z19,MIN(AU$6-$G$3,22))),0)))))</f>
        <v>0</v>
      </c>
      <c r="AV21" s="27" t="n">
        <f aca="false">IF(COUNT('Milho 1ª safra'!$E19:$Z19)=0,0,MAX(0,IF((AV$6-$E$3)&lt;1,0,IFERROR(LOOKUP(2,1/('Milho 1ª safra'!$E19:INDEX('Milho 1ª safra'!$E19:$Z19,MIN(AV$6-$E$3,22))&lt;&gt;""),'Milho 1ª safra'!$E19:INDEX('Milho 1ª safra'!$E19:$Z19,MIN(AV$6-$E$3,22))),0))-IF($G$2,0,IF((AV$6-$G$3)&lt;1,0,IFERROR(LOOKUP(2,1/('Milho 1ª safra'!$E19:INDEX('Milho 1ª safra'!$E19:$Z19,MIN(AV$6-$G$3,22))&lt;&gt;""),'Milho 1ª safra'!$E19:INDEX('Milho 1ª safra'!$E19:$Z19,MIN(AV$6-$G$3,22))),0)))))</f>
        <v>0</v>
      </c>
      <c r="AW21" s="27" t="n">
        <f aca="false">IF(COUNT('Milho 1ª safra'!$E19:$Z19)=0,0,MAX(0,IF((AW$6-$E$3)&lt;1,0,IFERROR(LOOKUP(2,1/('Milho 1ª safra'!$E19:INDEX('Milho 1ª safra'!$E19:$Z19,MIN(AW$6-$E$3,22))&lt;&gt;""),'Milho 1ª safra'!$E19:INDEX('Milho 1ª safra'!$E19:$Z19,MIN(AW$6-$E$3,22))),0))-IF($G$2,0,IF((AW$6-$G$3)&lt;1,0,IFERROR(LOOKUP(2,1/('Milho 1ª safra'!$E19:INDEX('Milho 1ª safra'!$E19:$Z19,MIN(AW$6-$G$3,22))&lt;&gt;""),'Milho 1ª safra'!$E19:INDEX('Milho 1ª safra'!$E19:$Z19,MIN(AW$6-$G$3,22))),0)))))</f>
        <v>0</v>
      </c>
      <c r="AX21" s="27" t="n">
        <f aca="false">IF(COUNT('Milho 1ª safra'!$E19:$Z19)=0,0,MAX(0,IF((AX$6-$E$3)&lt;1,0,IFERROR(LOOKUP(2,1/('Milho 1ª safra'!$E19:INDEX('Milho 1ª safra'!$E19:$Z19,MIN(AX$6-$E$3,22))&lt;&gt;""),'Milho 1ª safra'!$E19:INDEX('Milho 1ª safra'!$E19:$Z19,MIN(AX$6-$E$3,22))),0))-IF($G$2,0,IF((AX$6-$G$3)&lt;1,0,IFERROR(LOOKUP(2,1/('Milho 1ª safra'!$E19:INDEX('Milho 1ª safra'!$E19:$Z19,MIN(AX$6-$G$3,22))&lt;&gt;""),'Milho 1ª safra'!$E19:INDEX('Milho 1ª safra'!$E19:$Z19,MIN(AX$6-$G$3,22))),0)))))</f>
        <v>0</v>
      </c>
      <c r="AY21" s="27" t="n">
        <f aca="false">IF(COUNT('Milho 1ª safra'!$E19:$Z19)=0,0,MAX(0,IF((AY$6-$E$3)&lt;1,0,IFERROR(LOOKUP(2,1/('Milho 1ª safra'!$E19:INDEX('Milho 1ª safra'!$E19:$Z19,MIN(AY$6-$E$3,22))&lt;&gt;""),'Milho 1ª safra'!$E19:INDEX('Milho 1ª safra'!$E19:$Z19,MIN(AY$6-$E$3,22))),0))-IF($G$2,0,IF((AY$6-$G$3)&lt;1,0,IFERROR(LOOKUP(2,1/('Milho 1ª safra'!$E19:INDEX('Milho 1ª safra'!$E19:$Z19,MIN(AY$6-$G$3,22))&lt;&gt;""),'Milho 1ª safra'!$E19:INDEX('Milho 1ª safra'!$E19:$Z19,MIN(AY$6-$G$3,22))),0)))))</f>
        <v>0</v>
      </c>
      <c r="AZ21" s="27" t="n">
        <f aca="false">IF(COUNT('Milho 1ª safra'!$E19:$Z19)=0,0,MAX(0,IF((AZ$6-$E$3)&lt;1,0,IFERROR(LOOKUP(2,1/('Milho 1ª safra'!$E19:INDEX('Milho 1ª safra'!$E19:$Z19,MIN(AZ$6-$E$3,22))&lt;&gt;""),'Milho 1ª safra'!$E19:INDEX('Milho 1ª safra'!$E19:$Z19,MIN(AZ$6-$E$3,22))),0))-IF($G$2,0,IF((AZ$6-$G$3)&lt;1,0,IFERROR(LOOKUP(2,1/('Milho 1ª safra'!$E19:INDEX('Milho 1ª safra'!$E19:$Z19,MIN(AZ$6-$G$3,22))&lt;&gt;""),'Milho 1ª safra'!$E19:INDEX('Milho 1ª safra'!$E19:$Z19,MIN(AZ$6-$G$3,22))),0)))))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IF(COUNT('Milho 1ª safra'!$E20:$Z20)&gt;0,N('Milho 1ª safra'!$D20),0)</f>
        <v>0</v>
      </c>
      <c r="E22" s="27" t="n">
        <f aca="false">IF(COUNT('Milho 1ª safra'!$E20:$Z20)=0,0,MAX(0,IF((E$6-$E$3)&lt;1,0,IFERROR(LOOKUP(2,1/('Milho 1ª safra'!$E20:INDEX('Milho 1ª safra'!$E20:$Z20,MIN(E$6-$E$3,22))&lt;&gt;""),'Milho 1ª safra'!$E20:INDEX('Milho 1ª safra'!$E20:$Z20,MIN(E$6-$E$3,22))),0))-IF($G$2,0,IF((E$6-$G$3)&lt;1,0,IFERROR(LOOKUP(2,1/('Milho 1ª safra'!$E20:INDEX('Milho 1ª safra'!$E20:$Z20,MIN(E$6-$G$3,22))&lt;&gt;""),'Milho 1ª safra'!$E20:INDEX('Milho 1ª safra'!$E20:$Z20,MIN(E$6-$G$3,22))),0)))))</f>
        <v>0</v>
      </c>
      <c r="F22" s="27" t="n">
        <f aca="false">IF(COUNT('Milho 1ª safra'!$E20:$Z20)=0,0,MAX(0,IF((F$6-$E$3)&lt;1,0,IFERROR(LOOKUP(2,1/('Milho 1ª safra'!$E20:INDEX('Milho 1ª safra'!$E20:$Z20,MIN(F$6-$E$3,22))&lt;&gt;""),'Milho 1ª safra'!$E20:INDEX('Milho 1ª safra'!$E20:$Z20,MIN(F$6-$E$3,22))),0))-IF($G$2,0,IF((F$6-$G$3)&lt;1,0,IFERROR(LOOKUP(2,1/('Milho 1ª safra'!$E20:INDEX('Milho 1ª safra'!$E20:$Z20,MIN(F$6-$G$3,22))&lt;&gt;""),'Milho 1ª safra'!$E20:INDEX('Milho 1ª safra'!$E20:$Z20,MIN(F$6-$G$3,22))),0)))))</f>
        <v>0</v>
      </c>
      <c r="G22" s="27" t="n">
        <f aca="false">IF(COUNT('Milho 1ª safra'!$E20:$Z20)=0,0,MAX(0,IF((G$6-$E$3)&lt;1,0,IFERROR(LOOKUP(2,1/('Milho 1ª safra'!$E20:INDEX('Milho 1ª safra'!$E20:$Z20,MIN(G$6-$E$3,22))&lt;&gt;""),'Milho 1ª safra'!$E20:INDEX('Milho 1ª safra'!$E20:$Z20,MIN(G$6-$E$3,22))),0))-IF($G$2,0,IF((G$6-$G$3)&lt;1,0,IFERROR(LOOKUP(2,1/('Milho 1ª safra'!$E20:INDEX('Milho 1ª safra'!$E20:$Z20,MIN(G$6-$G$3,22))&lt;&gt;""),'Milho 1ª safra'!$E20:INDEX('Milho 1ª safra'!$E20:$Z20,MIN(G$6-$G$3,22))),0)))))</f>
        <v>0</v>
      </c>
      <c r="H22" s="27" t="n">
        <f aca="false">IF(COUNT('Milho 1ª safra'!$E20:$Z20)=0,0,MAX(0,IF((H$6-$E$3)&lt;1,0,IFERROR(LOOKUP(2,1/('Milho 1ª safra'!$E20:INDEX('Milho 1ª safra'!$E20:$Z20,MIN(H$6-$E$3,22))&lt;&gt;""),'Milho 1ª safra'!$E20:INDEX('Milho 1ª safra'!$E20:$Z20,MIN(H$6-$E$3,22))),0))-IF($G$2,0,IF((H$6-$G$3)&lt;1,0,IFERROR(LOOKUP(2,1/('Milho 1ª safra'!$E20:INDEX('Milho 1ª safra'!$E20:$Z20,MIN(H$6-$G$3,22))&lt;&gt;""),'Milho 1ª safra'!$E20:INDEX('Milho 1ª safra'!$E20:$Z20,MIN(H$6-$G$3,22))),0)))))</f>
        <v>0</v>
      </c>
      <c r="I22" s="27" t="n">
        <f aca="false">IF(COUNT('Milho 1ª safra'!$E20:$Z20)=0,0,MAX(0,IF((I$6-$E$3)&lt;1,0,IFERROR(LOOKUP(2,1/('Milho 1ª safra'!$E20:INDEX('Milho 1ª safra'!$E20:$Z20,MIN(I$6-$E$3,22))&lt;&gt;""),'Milho 1ª safra'!$E20:INDEX('Milho 1ª safra'!$E20:$Z20,MIN(I$6-$E$3,22))),0))-IF($G$2,0,IF((I$6-$G$3)&lt;1,0,IFERROR(LOOKUP(2,1/('Milho 1ª safra'!$E20:INDEX('Milho 1ª safra'!$E20:$Z20,MIN(I$6-$G$3,22))&lt;&gt;""),'Milho 1ª safra'!$E20:INDEX('Milho 1ª safra'!$E20:$Z20,MIN(I$6-$G$3,22))),0)))))</f>
        <v>0</v>
      </c>
      <c r="J22" s="27" t="n">
        <f aca="false">IF(COUNT('Milho 1ª safra'!$E20:$Z20)=0,0,MAX(0,IF((J$6-$E$3)&lt;1,0,IFERROR(LOOKUP(2,1/('Milho 1ª safra'!$E20:INDEX('Milho 1ª safra'!$E20:$Z20,MIN(J$6-$E$3,22))&lt;&gt;""),'Milho 1ª safra'!$E20:INDEX('Milho 1ª safra'!$E20:$Z20,MIN(J$6-$E$3,22))),0))-IF($G$2,0,IF((J$6-$G$3)&lt;1,0,IFERROR(LOOKUP(2,1/('Milho 1ª safra'!$E20:INDEX('Milho 1ª safra'!$E20:$Z20,MIN(J$6-$G$3,22))&lt;&gt;""),'Milho 1ª safra'!$E20:INDEX('Milho 1ª safra'!$E20:$Z20,MIN(J$6-$G$3,22))),0)))))</f>
        <v>0</v>
      </c>
      <c r="K22" s="27" t="n">
        <f aca="false">IF(COUNT('Milho 1ª safra'!$E20:$Z20)=0,0,MAX(0,IF((K$6-$E$3)&lt;1,0,IFERROR(LOOKUP(2,1/('Milho 1ª safra'!$E20:INDEX('Milho 1ª safra'!$E20:$Z20,MIN(K$6-$E$3,22))&lt;&gt;""),'Milho 1ª safra'!$E20:INDEX('Milho 1ª safra'!$E20:$Z20,MIN(K$6-$E$3,22))),0))-IF($G$2,0,IF((K$6-$G$3)&lt;1,0,IFERROR(LOOKUP(2,1/('Milho 1ª safra'!$E20:INDEX('Milho 1ª safra'!$E20:$Z20,MIN(K$6-$G$3,22))&lt;&gt;""),'Milho 1ª safra'!$E20:INDEX('Milho 1ª safra'!$E20:$Z20,MIN(K$6-$G$3,22))),0)))))</f>
        <v>0</v>
      </c>
      <c r="L22" s="27" t="n">
        <f aca="false">IF(COUNT('Milho 1ª safra'!$E20:$Z20)=0,0,MAX(0,IF((L$6-$E$3)&lt;1,0,IFERROR(LOOKUP(2,1/('Milho 1ª safra'!$E20:INDEX('Milho 1ª safra'!$E20:$Z20,MIN(L$6-$E$3,22))&lt;&gt;""),'Milho 1ª safra'!$E20:INDEX('Milho 1ª safra'!$E20:$Z20,MIN(L$6-$E$3,22))),0))-IF($G$2,0,IF((L$6-$G$3)&lt;1,0,IFERROR(LOOKUP(2,1/('Milho 1ª safra'!$E20:INDEX('Milho 1ª safra'!$E20:$Z20,MIN(L$6-$G$3,22))&lt;&gt;""),'Milho 1ª safra'!$E20:INDEX('Milho 1ª safra'!$E20:$Z20,MIN(L$6-$G$3,22))),0)))))</f>
        <v>0</v>
      </c>
      <c r="M22" s="27" t="n">
        <f aca="false">IF(COUNT('Milho 1ª safra'!$E20:$Z20)=0,0,MAX(0,IF((M$6-$E$3)&lt;1,0,IFERROR(LOOKUP(2,1/('Milho 1ª safra'!$E20:INDEX('Milho 1ª safra'!$E20:$Z20,MIN(M$6-$E$3,22))&lt;&gt;""),'Milho 1ª safra'!$E20:INDEX('Milho 1ª safra'!$E20:$Z20,MIN(M$6-$E$3,22))),0))-IF($G$2,0,IF((M$6-$G$3)&lt;1,0,IFERROR(LOOKUP(2,1/('Milho 1ª safra'!$E20:INDEX('Milho 1ª safra'!$E20:$Z20,MIN(M$6-$G$3,22))&lt;&gt;""),'Milho 1ª safra'!$E20:INDEX('Milho 1ª safra'!$E20:$Z20,MIN(M$6-$G$3,22))),0)))))</f>
        <v>0</v>
      </c>
      <c r="N22" s="27" t="n">
        <f aca="false">IF(COUNT('Milho 1ª safra'!$E20:$Z20)=0,0,MAX(0,IF((N$6-$E$3)&lt;1,0,IFERROR(LOOKUP(2,1/('Milho 1ª safra'!$E20:INDEX('Milho 1ª safra'!$E20:$Z20,MIN(N$6-$E$3,22))&lt;&gt;""),'Milho 1ª safra'!$E20:INDEX('Milho 1ª safra'!$E20:$Z20,MIN(N$6-$E$3,22))),0))-IF($G$2,0,IF((N$6-$G$3)&lt;1,0,IFERROR(LOOKUP(2,1/('Milho 1ª safra'!$E20:INDEX('Milho 1ª safra'!$E20:$Z20,MIN(N$6-$G$3,22))&lt;&gt;""),'Milho 1ª safra'!$E20:INDEX('Milho 1ª safra'!$E20:$Z20,MIN(N$6-$G$3,22))),0)))))</f>
        <v>0</v>
      </c>
      <c r="O22" s="27" t="n">
        <f aca="false">IF(COUNT('Milho 1ª safra'!$E20:$Z20)=0,0,MAX(0,IF((O$6-$E$3)&lt;1,0,IFERROR(LOOKUP(2,1/('Milho 1ª safra'!$E20:INDEX('Milho 1ª safra'!$E20:$Z20,MIN(O$6-$E$3,22))&lt;&gt;""),'Milho 1ª safra'!$E20:INDEX('Milho 1ª safra'!$E20:$Z20,MIN(O$6-$E$3,22))),0))-IF($G$2,0,IF((O$6-$G$3)&lt;1,0,IFERROR(LOOKUP(2,1/('Milho 1ª safra'!$E20:INDEX('Milho 1ª safra'!$E20:$Z20,MIN(O$6-$G$3,22))&lt;&gt;""),'Milho 1ª safra'!$E20:INDEX('Milho 1ª safra'!$E20:$Z20,MIN(O$6-$G$3,22))),0)))))</f>
        <v>0</v>
      </c>
      <c r="P22" s="27" t="n">
        <f aca="false">IF(COUNT('Milho 1ª safra'!$E20:$Z20)=0,0,MAX(0,IF((P$6-$E$3)&lt;1,0,IFERROR(LOOKUP(2,1/('Milho 1ª safra'!$E20:INDEX('Milho 1ª safra'!$E20:$Z20,MIN(P$6-$E$3,22))&lt;&gt;""),'Milho 1ª safra'!$E20:INDEX('Milho 1ª safra'!$E20:$Z20,MIN(P$6-$E$3,22))),0))-IF($G$2,0,IF((P$6-$G$3)&lt;1,0,IFERROR(LOOKUP(2,1/('Milho 1ª safra'!$E20:INDEX('Milho 1ª safra'!$E20:$Z20,MIN(P$6-$G$3,22))&lt;&gt;""),'Milho 1ª safra'!$E20:INDEX('Milho 1ª safra'!$E20:$Z20,MIN(P$6-$G$3,22))),0)))))</f>
        <v>0</v>
      </c>
      <c r="Q22" s="27" t="n">
        <f aca="false">IF(COUNT('Milho 1ª safra'!$E20:$Z20)=0,0,MAX(0,IF((Q$6-$E$3)&lt;1,0,IFERROR(LOOKUP(2,1/('Milho 1ª safra'!$E20:INDEX('Milho 1ª safra'!$E20:$Z20,MIN(Q$6-$E$3,22))&lt;&gt;""),'Milho 1ª safra'!$E20:INDEX('Milho 1ª safra'!$E20:$Z20,MIN(Q$6-$E$3,22))),0))-IF($G$2,0,IF((Q$6-$G$3)&lt;1,0,IFERROR(LOOKUP(2,1/('Milho 1ª safra'!$E20:INDEX('Milho 1ª safra'!$E20:$Z20,MIN(Q$6-$G$3,22))&lt;&gt;""),'Milho 1ª safra'!$E20:INDEX('Milho 1ª safra'!$E20:$Z20,MIN(Q$6-$G$3,22))),0)))))</f>
        <v>0</v>
      </c>
      <c r="R22" s="27" t="n">
        <f aca="false">IF(COUNT('Milho 1ª safra'!$E20:$Z20)=0,0,MAX(0,IF((R$6-$E$3)&lt;1,0,IFERROR(LOOKUP(2,1/('Milho 1ª safra'!$E20:INDEX('Milho 1ª safra'!$E20:$Z20,MIN(R$6-$E$3,22))&lt;&gt;""),'Milho 1ª safra'!$E20:INDEX('Milho 1ª safra'!$E20:$Z20,MIN(R$6-$E$3,22))),0))-IF($G$2,0,IF((R$6-$G$3)&lt;1,0,IFERROR(LOOKUP(2,1/('Milho 1ª safra'!$E20:INDEX('Milho 1ª safra'!$E20:$Z20,MIN(R$6-$G$3,22))&lt;&gt;""),'Milho 1ª safra'!$E20:INDEX('Milho 1ª safra'!$E20:$Z20,MIN(R$6-$G$3,22))),0)))))</f>
        <v>0</v>
      </c>
      <c r="S22" s="27" t="n">
        <f aca="false">IF(COUNT('Milho 1ª safra'!$E20:$Z20)=0,0,MAX(0,IF((S$6-$E$3)&lt;1,0,IFERROR(LOOKUP(2,1/('Milho 1ª safra'!$E20:INDEX('Milho 1ª safra'!$E20:$Z20,MIN(S$6-$E$3,22))&lt;&gt;""),'Milho 1ª safra'!$E20:INDEX('Milho 1ª safra'!$E20:$Z20,MIN(S$6-$E$3,22))),0))-IF($G$2,0,IF((S$6-$G$3)&lt;1,0,IFERROR(LOOKUP(2,1/('Milho 1ª safra'!$E20:INDEX('Milho 1ª safra'!$E20:$Z20,MIN(S$6-$G$3,22))&lt;&gt;""),'Milho 1ª safra'!$E20:INDEX('Milho 1ª safra'!$E20:$Z20,MIN(S$6-$G$3,22))),0)))))</f>
        <v>0</v>
      </c>
      <c r="T22" s="27" t="n">
        <f aca="false">IF(COUNT('Milho 1ª safra'!$E20:$Z20)=0,0,MAX(0,IF((T$6-$E$3)&lt;1,0,IFERROR(LOOKUP(2,1/('Milho 1ª safra'!$E20:INDEX('Milho 1ª safra'!$E20:$Z20,MIN(T$6-$E$3,22))&lt;&gt;""),'Milho 1ª safra'!$E20:INDEX('Milho 1ª safra'!$E20:$Z20,MIN(T$6-$E$3,22))),0))-IF($G$2,0,IF((T$6-$G$3)&lt;1,0,IFERROR(LOOKUP(2,1/('Milho 1ª safra'!$E20:INDEX('Milho 1ª safra'!$E20:$Z20,MIN(T$6-$G$3,22))&lt;&gt;""),'Milho 1ª safra'!$E20:INDEX('Milho 1ª safra'!$E20:$Z20,MIN(T$6-$G$3,22))),0)))))</f>
        <v>0</v>
      </c>
      <c r="U22" s="27" t="n">
        <f aca="false">IF(COUNT('Milho 1ª safra'!$E20:$Z20)=0,0,MAX(0,IF((U$6-$E$3)&lt;1,0,IFERROR(LOOKUP(2,1/('Milho 1ª safra'!$E20:INDEX('Milho 1ª safra'!$E20:$Z20,MIN(U$6-$E$3,22))&lt;&gt;""),'Milho 1ª safra'!$E20:INDEX('Milho 1ª safra'!$E20:$Z20,MIN(U$6-$E$3,22))),0))-IF($G$2,0,IF((U$6-$G$3)&lt;1,0,IFERROR(LOOKUP(2,1/('Milho 1ª safra'!$E20:INDEX('Milho 1ª safra'!$E20:$Z20,MIN(U$6-$G$3,22))&lt;&gt;""),'Milho 1ª safra'!$E20:INDEX('Milho 1ª safra'!$E20:$Z20,MIN(U$6-$G$3,22))),0)))))</f>
        <v>0</v>
      </c>
      <c r="V22" s="27" t="n">
        <f aca="false">IF(COUNT('Milho 1ª safra'!$E20:$Z20)=0,0,MAX(0,IF((V$6-$E$3)&lt;1,0,IFERROR(LOOKUP(2,1/('Milho 1ª safra'!$E20:INDEX('Milho 1ª safra'!$E20:$Z20,MIN(V$6-$E$3,22))&lt;&gt;""),'Milho 1ª safra'!$E20:INDEX('Milho 1ª safra'!$E20:$Z20,MIN(V$6-$E$3,22))),0))-IF($G$2,0,IF((V$6-$G$3)&lt;1,0,IFERROR(LOOKUP(2,1/('Milho 1ª safra'!$E20:INDEX('Milho 1ª safra'!$E20:$Z20,MIN(V$6-$G$3,22))&lt;&gt;""),'Milho 1ª safra'!$E20:INDEX('Milho 1ª safra'!$E20:$Z20,MIN(V$6-$G$3,22))),0)))))</f>
        <v>0</v>
      </c>
      <c r="W22" s="27" t="n">
        <f aca="false">IF(COUNT('Milho 1ª safra'!$E20:$Z20)=0,0,MAX(0,IF((W$6-$E$3)&lt;1,0,IFERROR(LOOKUP(2,1/('Milho 1ª safra'!$E20:INDEX('Milho 1ª safra'!$E20:$Z20,MIN(W$6-$E$3,22))&lt;&gt;""),'Milho 1ª safra'!$E20:INDEX('Milho 1ª safra'!$E20:$Z20,MIN(W$6-$E$3,22))),0))-IF($G$2,0,IF((W$6-$G$3)&lt;1,0,IFERROR(LOOKUP(2,1/('Milho 1ª safra'!$E20:INDEX('Milho 1ª safra'!$E20:$Z20,MIN(W$6-$G$3,22))&lt;&gt;""),'Milho 1ª safra'!$E20:INDEX('Milho 1ª safra'!$E20:$Z20,MIN(W$6-$G$3,22))),0)))))</f>
        <v>0</v>
      </c>
      <c r="X22" s="27" t="n">
        <f aca="false">IF(COUNT('Milho 1ª safra'!$E20:$Z20)=0,0,MAX(0,IF((X$6-$E$3)&lt;1,0,IFERROR(LOOKUP(2,1/('Milho 1ª safra'!$E20:INDEX('Milho 1ª safra'!$E20:$Z20,MIN(X$6-$E$3,22))&lt;&gt;""),'Milho 1ª safra'!$E20:INDEX('Milho 1ª safra'!$E20:$Z20,MIN(X$6-$E$3,22))),0))-IF($G$2,0,IF((X$6-$G$3)&lt;1,0,IFERROR(LOOKUP(2,1/('Milho 1ª safra'!$E20:INDEX('Milho 1ª safra'!$E20:$Z20,MIN(X$6-$G$3,22))&lt;&gt;""),'Milho 1ª safra'!$E20:INDEX('Milho 1ª safra'!$E20:$Z20,MIN(X$6-$G$3,22))),0)))))</f>
        <v>0</v>
      </c>
      <c r="Y22" s="27" t="n">
        <f aca="false">IF(COUNT('Milho 1ª safra'!$E20:$Z20)=0,0,MAX(0,IF((Y$6-$E$3)&lt;1,0,IFERROR(LOOKUP(2,1/('Milho 1ª safra'!$E20:INDEX('Milho 1ª safra'!$E20:$Z20,MIN(Y$6-$E$3,22))&lt;&gt;""),'Milho 1ª safra'!$E20:INDEX('Milho 1ª safra'!$E20:$Z20,MIN(Y$6-$E$3,22))),0))-IF($G$2,0,IF((Y$6-$G$3)&lt;1,0,IFERROR(LOOKUP(2,1/('Milho 1ª safra'!$E20:INDEX('Milho 1ª safra'!$E20:$Z20,MIN(Y$6-$G$3,22))&lt;&gt;""),'Milho 1ª safra'!$E20:INDEX('Milho 1ª safra'!$E20:$Z20,MIN(Y$6-$G$3,22))),0)))))</f>
        <v>0</v>
      </c>
      <c r="Z22" s="27" t="n">
        <f aca="false">IF(COUNT('Milho 1ª safra'!$E20:$Z20)=0,0,MAX(0,IF((Z$6-$E$3)&lt;1,0,IFERROR(LOOKUP(2,1/('Milho 1ª safra'!$E20:INDEX('Milho 1ª safra'!$E20:$Z20,MIN(Z$6-$E$3,22))&lt;&gt;""),'Milho 1ª safra'!$E20:INDEX('Milho 1ª safra'!$E20:$Z20,MIN(Z$6-$E$3,22))),0))-IF($G$2,0,IF((Z$6-$G$3)&lt;1,0,IFERROR(LOOKUP(2,1/('Milho 1ª safra'!$E20:INDEX('Milho 1ª safra'!$E20:$Z20,MIN(Z$6-$G$3,22))&lt;&gt;""),'Milho 1ª safra'!$E20:INDEX('Milho 1ª safra'!$E20:$Z20,MIN(Z$6-$G$3,22))),0)))))</f>
        <v>0</v>
      </c>
      <c r="AA22" s="27" t="n">
        <f aca="false">IF(COUNT('Milho 1ª safra'!$E20:$Z20)=0,0,MAX(0,IF((AA$6-$E$3)&lt;1,0,IFERROR(LOOKUP(2,1/('Milho 1ª safra'!$E20:INDEX('Milho 1ª safra'!$E20:$Z20,MIN(AA$6-$E$3,22))&lt;&gt;""),'Milho 1ª safra'!$E20:INDEX('Milho 1ª safra'!$E20:$Z20,MIN(AA$6-$E$3,22))),0))-IF($G$2,0,IF((AA$6-$G$3)&lt;1,0,IFERROR(LOOKUP(2,1/('Milho 1ª safra'!$E20:INDEX('Milho 1ª safra'!$E20:$Z20,MIN(AA$6-$G$3,22))&lt;&gt;""),'Milho 1ª safra'!$E20:INDEX('Milho 1ª safra'!$E20:$Z20,MIN(AA$6-$G$3,22))),0)))))</f>
        <v>0</v>
      </c>
      <c r="AB22" s="27" t="n">
        <f aca="false">IF(COUNT('Milho 1ª safra'!$E20:$Z20)=0,0,MAX(0,IF((AB$6-$E$3)&lt;1,0,IFERROR(LOOKUP(2,1/('Milho 1ª safra'!$E20:INDEX('Milho 1ª safra'!$E20:$Z20,MIN(AB$6-$E$3,22))&lt;&gt;""),'Milho 1ª safra'!$E20:INDEX('Milho 1ª safra'!$E20:$Z20,MIN(AB$6-$E$3,22))),0))-IF($G$2,0,IF((AB$6-$G$3)&lt;1,0,IFERROR(LOOKUP(2,1/('Milho 1ª safra'!$E20:INDEX('Milho 1ª safra'!$E20:$Z20,MIN(AB$6-$G$3,22))&lt;&gt;""),'Milho 1ª safra'!$E20:INDEX('Milho 1ª safra'!$E20:$Z20,MIN(AB$6-$G$3,22))),0)))))</f>
        <v>0</v>
      </c>
      <c r="AC22" s="27" t="n">
        <f aca="false">IF(COUNT('Milho 1ª safra'!$E20:$Z20)=0,0,MAX(0,IF((AC$6-$E$3)&lt;1,0,IFERROR(LOOKUP(2,1/('Milho 1ª safra'!$E20:INDEX('Milho 1ª safra'!$E20:$Z20,MIN(AC$6-$E$3,22))&lt;&gt;""),'Milho 1ª safra'!$E20:INDEX('Milho 1ª safra'!$E20:$Z20,MIN(AC$6-$E$3,22))),0))-IF($G$2,0,IF((AC$6-$G$3)&lt;1,0,IFERROR(LOOKUP(2,1/('Milho 1ª safra'!$E20:INDEX('Milho 1ª safra'!$E20:$Z20,MIN(AC$6-$G$3,22))&lt;&gt;""),'Milho 1ª safra'!$E20:INDEX('Milho 1ª safra'!$E20:$Z20,MIN(AC$6-$G$3,22))),0)))))</f>
        <v>0</v>
      </c>
      <c r="AD22" s="27" t="n">
        <f aca="false">IF(COUNT('Milho 1ª safra'!$E20:$Z20)=0,0,MAX(0,IF((AD$6-$E$3)&lt;1,0,IFERROR(LOOKUP(2,1/('Milho 1ª safra'!$E20:INDEX('Milho 1ª safra'!$E20:$Z20,MIN(AD$6-$E$3,22))&lt;&gt;""),'Milho 1ª safra'!$E20:INDEX('Milho 1ª safra'!$E20:$Z20,MIN(AD$6-$E$3,22))),0))-IF($G$2,0,IF((AD$6-$G$3)&lt;1,0,IFERROR(LOOKUP(2,1/('Milho 1ª safra'!$E20:INDEX('Milho 1ª safra'!$E20:$Z20,MIN(AD$6-$G$3,22))&lt;&gt;""),'Milho 1ª safra'!$E20:INDEX('Milho 1ª safra'!$E20:$Z20,MIN(AD$6-$G$3,22))),0)))))</f>
        <v>0</v>
      </c>
      <c r="AE22" s="27" t="n">
        <f aca="false">IF(COUNT('Milho 1ª safra'!$E20:$Z20)=0,0,MAX(0,IF((AE$6-$E$3)&lt;1,0,IFERROR(LOOKUP(2,1/('Milho 1ª safra'!$E20:INDEX('Milho 1ª safra'!$E20:$Z20,MIN(AE$6-$E$3,22))&lt;&gt;""),'Milho 1ª safra'!$E20:INDEX('Milho 1ª safra'!$E20:$Z20,MIN(AE$6-$E$3,22))),0))-IF($G$2,0,IF((AE$6-$G$3)&lt;1,0,IFERROR(LOOKUP(2,1/('Milho 1ª safra'!$E20:INDEX('Milho 1ª safra'!$E20:$Z20,MIN(AE$6-$G$3,22))&lt;&gt;""),'Milho 1ª safra'!$E20:INDEX('Milho 1ª safra'!$E20:$Z20,MIN(AE$6-$G$3,22))),0)))))</f>
        <v>0</v>
      </c>
      <c r="AF22" s="27" t="n">
        <f aca="false">IF(COUNT('Milho 1ª safra'!$E20:$Z20)=0,0,MAX(0,IF((AF$6-$E$3)&lt;1,0,IFERROR(LOOKUP(2,1/('Milho 1ª safra'!$E20:INDEX('Milho 1ª safra'!$E20:$Z20,MIN(AF$6-$E$3,22))&lt;&gt;""),'Milho 1ª safra'!$E20:INDEX('Milho 1ª safra'!$E20:$Z20,MIN(AF$6-$E$3,22))),0))-IF($G$2,0,IF((AF$6-$G$3)&lt;1,0,IFERROR(LOOKUP(2,1/('Milho 1ª safra'!$E20:INDEX('Milho 1ª safra'!$E20:$Z20,MIN(AF$6-$G$3,22))&lt;&gt;""),'Milho 1ª safra'!$E20:INDEX('Milho 1ª safra'!$E20:$Z20,MIN(AF$6-$G$3,22))),0)))))</f>
        <v>0</v>
      </c>
      <c r="AG22" s="27" t="n">
        <f aca="false">IF(COUNT('Milho 1ª safra'!$E20:$Z20)=0,0,MAX(0,IF((AG$6-$E$3)&lt;1,0,IFERROR(LOOKUP(2,1/('Milho 1ª safra'!$E20:INDEX('Milho 1ª safra'!$E20:$Z20,MIN(AG$6-$E$3,22))&lt;&gt;""),'Milho 1ª safra'!$E20:INDEX('Milho 1ª safra'!$E20:$Z20,MIN(AG$6-$E$3,22))),0))-IF($G$2,0,IF((AG$6-$G$3)&lt;1,0,IFERROR(LOOKUP(2,1/('Milho 1ª safra'!$E20:INDEX('Milho 1ª safra'!$E20:$Z20,MIN(AG$6-$G$3,22))&lt;&gt;""),'Milho 1ª safra'!$E20:INDEX('Milho 1ª safra'!$E20:$Z20,MIN(AG$6-$G$3,22))),0)))))</f>
        <v>0</v>
      </c>
      <c r="AH22" s="27" t="n">
        <f aca="false">IF(COUNT('Milho 1ª safra'!$E20:$Z20)=0,0,MAX(0,IF((AH$6-$E$3)&lt;1,0,IFERROR(LOOKUP(2,1/('Milho 1ª safra'!$E20:INDEX('Milho 1ª safra'!$E20:$Z20,MIN(AH$6-$E$3,22))&lt;&gt;""),'Milho 1ª safra'!$E20:INDEX('Milho 1ª safra'!$E20:$Z20,MIN(AH$6-$E$3,22))),0))-IF($G$2,0,IF((AH$6-$G$3)&lt;1,0,IFERROR(LOOKUP(2,1/('Milho 1ª safra'!$E20:INDEX('Milho 1ª safra'!$E20:$Z20,MIN(AH$6-$G$3,22))&lt;&gt;""),'Milho 1ª safra'!$E20:INDEX('Milho 1ª safra'!$E20:$Z20,MIN(AH$6-$G$3,22))),0)))))</f>
        <v>0</v>
      </c>
      <c r="AI22" s="27" t="n">
        <f aca="false">IF(COUNT('Milho 1ª safra'!$E20:$Z20)=0,0,MAX(0,IF((AI$6-$E$3)&lt;1,0,IFERROR(LOOKUP(2,1/('Milho 1ª safra'!$E20:INDEX('Milho 1ª safra'!$E20:$Z20,MIN(AI$6-$E$3,22))&lt;&gt;""),'Milho 1ª safra'!$E20:INDEX('Milho 1ª safra'!$E20:$Z20,MIN(AI$6-$E$3,22))),0))-IF($G$2,0,IF((AI$6-$G$3)&lt;1,0,IFERROR(LOOKUP(2,1/('Milho 1ª safra'!$E20:INDEX('Milho 1ª safra'!$E20:$Z20,MIN(AI$6-$G$3,22))&lt;&gt;""),'Milho 1ª safra'!$E20:INDEX('Milho 1ª safra'!$E20:$Z20,MIN(AI$6-$G$3,22))),0)))))</f>
        <v>0</v>
      </c>
      <c r="AJ22" s="27" t="n">
        <f aca="false">IF(COUNT('Milho 1ª safra'!$E20:$Z20)=0,0,MAX(0,IF((AJ$6-$E$3)&lt;1,0,IFERROR(LOOKUP(2,1/('Milho 1ª safra'!$E20:INDEX('Milho 1ª safra'!$E20:$Z20,MIN(AJ$6-$E$3,22))&lt;&gt;""),'Milho 1ª safra'!$E20:INDEX('Milho 1ª safra'!$E20:$Z20,MIN(AJ$6-$E$3,22))),0))-IF($G$2,0,IF((AJ$6-$G$3)&lt;1,0,IFERROR(LOOKUP(2,1/('Milho 1ª safra'!$E20:INDEX('Milho 1ª safra'!$E20:$Z20,MIN(AJ$6-$G$3,22))&lt;&gt;""),'Milho 1ª safra'!$E20:INDEX('Milho 1ª safra'!$E20:$Z20,MIN(AJ$6-$G$3,22))),0)))))</f>
        <v>0</v>
      </c>
      <c r="AK22" s="27" t="n">
        <f aca="false">IF(COUNT('Milho 1ª safra'!$E20:$Z20)=0,0,MAX(0,IF((AK$6-$E$3)&lt;1,0,IFERROR(LOOKUP(2,1/('Milho 1ª safra'!$E20:INDEX('Milho 1ª safra'!$E20:$Z20,MIN(AK$6-$E$3,22))&lt;&gt;""),'Milho 1ª safra'!$E20:INDEX('Milho 1ª safra'!$E20:$Z20,MIN(AK$6-$E$3,22))),0))-IF($G$2,0,IF((AK$6-$G$3)&lt;1,0,IFERROR(LOOKUP(2,1/('Milho 1ª safra'!$E20:INDEX('Milho 1ª safra'!$E20:$Z20,MIN(AK$6-$G$3,22))&lt;&gt;""),'Milho 1ª safra'!$E20:INDEX('Milho 1ª safra'!$E20:$Z20,MIN(AK$6-$G$3,22))),0)))))</f>
        <v>0</v>
      </c>
      <c r="AL22" s="27" t="n">
        <f aca="false">IF(COUNT('Milho 1ª safra'!$E20:$Z20)=0,0,MAX(0,IF((AL$6-$E$3)&lt;1,0,IFERROR(LOOKUP(2,1/('Milho 1ª safra'!$E20:INDEX('Milho 1ª safra'!$E20:$Z20,MIN(AL$6-$E$3,22))&lt;&gt;""),'Milho 1ª safra'!$E20:INDEX('Milho 1ª safra'!$E20:$Z20,MIN(AL$6-$E$3,22))),0))-IF($G$2,0,IF((AL$6-$G$3)&lt;1,0,IFERROR(LOOKUP(2,1/('Milho 1ª safra'!$E20:INDEX('Milho 1ª safra'!$E20:$Z20,MIN(AL$6-$G$3,22))&lt;&gt;""),'Milho 1ª safra'!$E20:INDEX('Milho 1ª safra'!$E20:$Z20,MIN(AL$6-$G$3,22))),0)))))</f>
        <v>0</v>
      </c>
      <c r="AM22" s="27" t="n">
        <f aca="false">IF(COUNT('Milho 1ª safra'!$E20:$Z20)=0,0,MAX(0,IF((AM$6-$E$3)&lt;1,0,IFERROR(LOOKUP(2,1/('Milho 1ª safra'!$E20:INDEX('Milho 1ª safra'!$E20:$Z20,MIN(AM$6-$E$3,22))&lt;&gt;""),'Milho 1ª safra'!$E20:INDEX('Milho 1ª safra'!$E20:$Z20,MIN(AM$6-$E$3,22))),0))-IF($G$2,0,IF((AM$6-$G$3)&lt;1,0,IFERROR(LOOKUP(2,1/('Milho 1ª safra'!$E20:INDEX('Milho 1ª safra'!$E20:$Z20,MIN(AM$6-$G$3,22))&lt;&gt;""),'Milho 1ª safra'!$E20:INDEX('Milho 1ª safra'!$E20:$Z20,MIN(AM$6-$G$3,22))),0)))))</f>
        <v>0</v>
      </c>
      <c r="AN22" s="27" t="n">
        <f aca="false">IF(COUNT('Milho 1ª safra'!$E20:$Z20)=0,0,MAX(0,IF((AN$6-$E$3)&lt;1,0,IFERROR(LOOKUP(2,1/('Milho 1ª safra'!$E20:INDEX('Milho 1ª safra'!$E20:$Z20,MIN(AN$6-$E$3,22))&lt;&gt;""),'Milho 1ª safra'!$E20:INDEX('Milho 1ª safra'!$E20:$Z20,MIN(AN$6-$E$3,22))),0))-IF($G$2,0,IF((AN$6-$G$3)&lt;1,0,IFERROR(LOOKUP(2,1/('Milho 1ª safra'!$E20:INDEX('Milho 1ª safra'!$E20:$Z20,MIN(AN$6-$G$3,22))&lt;&gt;""),'Milho 1ª safra'!$E20:INDEX('Milho 1ª safra'!$E20:$Z20,MIN(AN$6-$G$3,22))),0)))))</f>
        <v>0</v>
      </c>
      <c r="AO22" s="27" t="n">
        <f aca="false">IF(COUNT('Milho 1ª safra'!$E20:$Z20)=0,0,MAX(0,IF((AO$6-$E$3)&lt;1,0,IFERROR(LOOKUP(2,1/('Milho 1ª safra'!$E20:INDEX('Milho 1ª safra'!$E20:$Z20,MIN(AO$6-$E$3,22))&lt;&gt;""),'Milho 1ª safra'!$E20:INDEX('Milho 1ª safra'!$E20:$Z20,MIN(AO$6-$E$3,22))),0))-IF($G$2,0,IF((AO$6-$G$3)&lt;1,0,IFERROR(LOOKUP(2,1/('Milho 1ª safra'!$E20:INDEX('Milho 1ª safra'!$E20:$Z20,MIN(AO$6-$G$3,22))&lt;&gt;""),'Milho 1ª safra'!$E20:INDEX('Milho 1ª safra'!$E20:$Z20,MIN(AO$6-$G$3,22))),0)))))</f>
        <v>0</v>
      </c>
      <c r="AP22" s="27" t="n">
        <f aca="false">IF(COUNT('Milho 1ª safra'!$E20:$Z20)=0,0,MAX(0,IF((AP$6-$E$3)&lt;1,0,IFERROR(LOOKUP(2,1/('Milho 1ª safra'!$E20:INDEX('Milho 1ª safra'!$E20:$Z20,MIN(AP$6-$E$3,22))&lt;&gt;""),'Milho 1ª safra'!$E20:INDEX('Milho 1ª safra'!$E20:$Z20,MIN(AP$6-$E$3,22))),0))-IF($G$2,0,IF((AP$6-$G$3)&lt;1,0,IFERROR(LOOKUP(2,1/('Milho 1ª safra'!$E20:INDEX('Milho 1ª safra'!$E20:$Z20,MIN(AP$6-$G$3,22))&lt;&gt;""),'Milho 1ª safra'!$E20:INDEX('Milho 1ª safra'!$E20:$Z20,MIN(AP$6-$G$3,22))),0)))))</f>
        <v>0</v>
      </c>
      <c r="AQ22" s="27" t="n">
        <f aca="false">IF(COUNT('Milho 1ª safra'!$E20:$Z20)=0,0,MAX(0,IF((AQ$6-$E$3)&lt;1,0,IFERROR(LOOKUP(2,1/('Milho 1ª safra'!$E20:INDEX('Milho 1ª safra'!$E20:$Z20,MIN(AQ$6-$E$3,22))&lt;&gt;""),'Milho 1ª safra'!$E20:INDEX('Milho 1ª safra'!$E20:$Z20,MIN(AQ$6-$E$3,22))),0))-IF($G$2,0,IF((AQ$6-$G$3)&lt;1,0,IFERROR(LOOKUP(2,1/('Milho 1ª safra'!$E20:INDEX('Milho 1ª safra'!$E20:$Z20,MIN(AQ$6-$G$3,22))&lt;&gt;""),'Milho 1ª safra'!$E20:INDEX('Milho 1ª safra'!$E20:$Z20,MIN(AQ$6-$G$3,22))),0)))))</f>
        <v>0</v>
      </c>
      <c r="AR22" s="27" t="n">
        <f aca="false">IF(COUNT('Milho 1ª safra'!$E20:$Z20)=0,0,MAX(0,IF((AR$6-$E$3)&lt;1,0,IFERROR(LOOKUP(2,1/('Milho 1ª safra'!$E20:INDEX('Milho 1ª safra'!$E20:$Z20,MIN(AR$6-$E$3,22))&lt;&gt;""),'Milho 1ª safra'!$E20:INDEX('Milho 1ª safra'!$E20:$Z20,MIN(AR$6-$E$3,22))),0))-IF($G$2,0,IF((AR$6-$G$3)&lt;1,0,IFERROR(LOOKUP(2,1/('Milho 1ª safra'!$E20:INDEX('Milho 1ª safra'!$E20:$Z20,MIN(AR$6-$G$3,22))&lt;&gt;""),'Milho 1ª safra'!$E20:INDEX('Milho 1ª safra'!$E20:$Z20,MIN(AR$6-$G$3,22))),0)))))</f>
        <v>0</v>
      </c>
      <c r="AS22" s="27" t="n">
        <f aca="false">IF(COUNT('Milho 1ª safra'!$E20:$Z20)=0,0,MAX(0,IF((AS$6-$E$3)&lt;1,0,IFERROR(LOOKUP(2,1/('Milho 1ª safra'!$E20:INDEX('Milho 1ª safra'!$E20:$Z20,MIN(AS$6-$E$3,22))&lt;&gt;""),'Milho 1ª safra'!$E20:INDEX('Milho 1ª safra'!$E20:$Z20,MIN(AS$6-$E$3,22))),0))-IF($G$2,0,IF((AS$6-$G$3)&lt;1,0,IFERROR(LOOKUP(2,1/('Milho 1ª safra'!$E20:INDEX('Milho 1ª safra'!$E20:$Z20,MIN(AS$6-$G$3,22))&lt;&gt;""),'Milho 1ª safra'!$E20:INDEX('Milho 1ª safra'!$E20:$Z20,MIN(AS$6-$G$3,22))),0)))))</f>
        <v>0</v>
      </c>
      <c r="AT22" s="27" t="n">
        <f aca="false">IF(COUNT('Milho 1ª safra'!$E20:$Z20)=0,0,MAX(0,IF((AT$6-$E$3)&lt;1,0,IFERROR(LOOKUP(2,1/('Milho 1ª safra'!$E20:INDEX('Milho 1ª safra'!$E20:$Z20,MIN(AT$6-$E$3,22))&lt;&gt;""),'Milho 1ª safra'!$E20:INDEX('Milho 1ª safra'!$E20:$Z20,MIN(AT$6-$E$3,22))),0))-IF($G$2,0,IF((AT$6-$G$3)&lt;1,0,IFERROR(LOOKUP(2,1/('Milho 1ª safra'!$E20:INDEX('Milho 1ª safra'!$E20:$Z20,MIN(AT$6-$G$3,22))&lt;&gt;""),'Milho 1ª safra'!$E20:INDEX('Milho 1ª safra'!$E20:$Z20,MIN(AT$6-$G$3,22))),0)))))</f>
        <v>0</v>
      </c>
      <c r="AU22" s="27" t="n">
        <f aca="false">IF(COUNT('Milho 1ª safra'!$E20:$Z20)=0,0,MAX(0,IF((AU$6-$E$3)&lt;1,0,IFERROR(LOOKUP(2,1/('Milho 1ª safra'!$E20:INDEX('Milho 1ª safra'!$E20:$Z20,MIN(AU$6-$E$3,22))&lt;&gt;""),'Milho 1ª safra'!$E20:INDEX('Milho 1ª safra'!$E20:$Z20,MIN(AU$6-$E$3,22))),0))-IF($G$2,0,IF((AU$6-$G$3)&lt;1,0,IFERROR(LOOKUP(2,1/('Milho 1ª safra'!$E20:INDEX('Milho 1ª safra'!$E20:$Z20,MIN(AU$6-$G$3,22))&lt;&gt;""),'Milho 1ª safra'!$E20:INDEX('Milho 1ª safra'!$E20:$Z20,MIN(AU$6-$G$3,22))),0)))))</f>
        <v>0</v>
      </c>
      <c r="AV22" s="27" t="n">
        <f aca="false">IF(COUNT('Milho 1ª safra'!$E20:$Z20)=0,0,MAX(0,IF((AV$6-$E$3)&lt;1,0,IFERROR(LOOKUP(2,1/('Milho 1ª safra'!$E20:INDEX('Milho 1ª safra'!$E20:$Z20,MIN(AV$6-$E$3,22))&lt;&gt;""),'Milho 1ª safra'!$E20:INDEX('Milho 1ª safra'!$E20:$Z20,MIN(AV$6-$E$3,22))),0))-IF($G$2,0,IF((AV$6-$G$3)&lt;1,0,IFERROR(LOOKUP(2,1/('Milho 1ª safra'!$E20:INDEX('Milho 1ª safra'!$E20:$Z20,MIN(AV$6-$G$3,22))&lt;&gt;""),'Milho 1ª safra'!$E20:INDEX('Milho 1ª safra'!$E20:$Z20,MIN(AV$6-$G$3,22))),0)))))</f>
        <v>0</v>
      </c>
      <c r="AW22" s="27" t="n">
        <f aca="false">IF(COUNT('Milho 1ª safra'!$E20:$Z20)=0,0,MAX(0,IF((AW$6-$E$3)&lt;1,0,IFERROR(LOOKUP(2,1/('Milho 1ª safra'!$E20:INDEX('Milho 1ª safra'!$E20:$Z20,MIN(AW$6-$E$3,22))&lt;&gt;""),'Milho 1ª safra'!$E20:INDEX('Milho 1ª safra'!$E20:$Z20,MIN(AW$6-$E$3,22))),0))-IF($G$2,0,IF((AW$6-$G$3)&lt;1,0,IFERROR(LOOKUP(2,1/('Milho 1ª safra'!$E20:INDEX('Milho 1ª safra'!$E20:$Z20,MIN(AW$6-$G$3,22))&lt;&gt;""),'Milho 1ª safra'!$E20:INDEX('Milho 1ª safra'!$E20:$Z20,MIN(AW$6-$G$3,22))),0)))))</f>
        <v>0</v>
      </c>
      <c r="AX22" s="27" t="n">
        <f aca="false">IF(COUNT('Milho 1ª safra'!$E20:$Z20)=0,0,MAX(0,IF((AX$6-$E$3)&lt;1,0,IFERROR(LOOKUP(2,1/('Milho 1ª safra'!$E20:INDEX('Milho 1ª safra'!$E20:$Z20,MIN(AX$6-$E$3,22))&lt;&gt;""),'Milho 1ª safra'!$E20:INDEX('Milho 1ª safra'!$E20:$Z20,MIN(AX$6-$E$3,22))),0))-IF($G$2,0,IF((AX$6-$G$3)&lt;1,0,IFERROR(LOOKUP(2,1/('Milho 1ª safra'!$E20:INDEX('Milho 1ª safra'!$E20:$Z20,MIN(AX$6-$G$3,22))&lt;&gt;""),'Milho 1ª safra'!$E20:INDEX('Milho 1ª safra'!$E20:$Z20,MIN(AX$6-$G$3,22))),0)))))</f>
        <v>0</v>
      </c>
      <c r="AY22" s="27" t="n">
        <f aca="false">IF(COUNT('Milho 1ª safra'!$E20:$Z20)=0,0,MAX(0,IF((AY$6-$E$3)&lt;1,0,IFERROR(LOOKUP(2,1/('Milho 1ª safra'!$E20:INDEX('Milho 1ª safra'!$E20:$Z20,MIN(AY$6-$E$3,22))&lt;&gt;""),'Milho 1ª safra'!$E20:INDEX('Milho 1ª safra'!$E20:$Z20,MIN(AY$6-$E$3,22))),0))-IF($G$2,0,IF((AY$6-$G$3)&lt;1,0,IFERROR(LOOKUP(2,1/('Milho 1ª safra'!$E20:INDEX('Milho 1ª safra'!$E20:$Z20,MIN(AY$6-$G$3,22))&lt;&gt;""),'Milho 1ª safra'!$E20:INDEX('Milho 1ª safra'!$E20:$Z20,MIN(AY$6-$G$3,22))),0)))))</f>
        <v>0</v>
      </c>
      <c r="AZ22" s="27" t="n">
        <f aca="false">IF(COUNT('Milho 1ª safra'!$E20:$Z20)=0,0,MAX(0,IF((AZ$6-$E$3)&lt;1,0,IFERROR(LOOKUP(2,1/('Milho 1ª safra'!$E20:INDEX('Milho 1ª safra'!$E20:$Z20,MIN(AZ$6-$E$3,22))&lt;&gt;""),'Milho 1ª safra'!$E20:INDEX('Milho 1ª safra'!$E20:$Z20,MIN(AZ$6-$E$3,22))),0))-IF($G$2,0,IF((AZ$6-$G$3)&lt;1,0,IFERROR(LOOKUP(2,1/('Milho 1ª safra'!$E20:INDEX('Milho 1ª safra'!$E20:$Z20,MIN(AZ$6-$G$3,22))&lt;&gt;""),'Milho 1ª safra'!$E20:INDEX('Milho 1ª safra'!$E20:$Z20,MIN(AZ$6-$G$3,22))),0)))))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IF(COUNT('Milho 1ª safra'!$E21:$Z21)&gt;0,N('Milho 1ª safra'!$D21),0)</f>
        <v>0</v>
      </c>
      <c r="E23" s="27" t="n">
        <f aca="false">IF(COUNT('Milho 1ª safra'!$E21:$Z21)=0,0,MAX(0,IF((E$6-$E$3)&lt;1,0,IFERROR(LOOKUP(2,1/('Milho 1ª safra'!$E21:INDEX('Milho 1ª safra'!$E21:$Z21,MIN(E$6-$E$3,22))&lt;&gt;""),'Milho 1ª safra'!$E21:INDEX('Milho 1ª safra'!$E21:$Z21,MIN(E$6-$E$3,22))),0))-IF($G$2,0,IF((E$6-$G$3)&lt;1,0,IFERROR(LOOKUP(2,1/('Milho 1ª safra'!$E21:INDEX('Milho 1ª safra'!$E21:$Z21,MIN(E$6-$G$3,22))&lt;&gt;""),'Milho 1ª safra'!$E21:INDEX('Milho 1ª safra'!$E21:$Z21,MIN(E$6-$G$3,22))),0)))))</f>
        <v>0</v>
      </c>
      <c r="F23" s="27" t="n">
        <f aca="false">IF(COUNT('Milho 1ª safra'!$E21:$Z21)=0,0,MAX(0,IF((F$6-$E$3)&lt;1,0,IFERROR(LOOKUP(2,1/('Milho 1ª safra'!$E21:INDEX('Milho 1ª safra'!$E21:$Z21,MIN(F$6-$E$3,22))&lt;&gt;""),'Milho 1ª safra'!$E21:INDEX('Milho 1ª safra'!$E21:$Z21,MIN(F$6-$E$3,22))),0))-IF($G$2,0,IF((F$6-$G$3)&lt;1,0,IFERROR(LOOKUP(2,1/('Milho 1ª safra'!$E21:INDEX('Milho 1ª safra'!$E21:$Z21,MIN(F$6-$G$3,22))&lt;&gt;""),'Milho 1ª safra'!$E21:INDEX('Milho 1ª safra'!$E21:$Z21,MIN(F$6-$G$3,22))),0)))))</f>
        <v>0</v>
      </c>
      <c r="G23" s="27" t="n">
        <f aca="false">IF(COUNT('Milho 1ª safra'!$E21:$Z21)=0,0,MAX(0,IF((G$6-$E$3)&lt;1,0,IFERROR(LOOKUP(2,1/('Milho 1ª safra'!$E21:INDEX('Milho 1ª safra'!$E21:$Z21,MIN(G$6-$E$3,22))&lt;&gt;""),'Milho 1ª safra'!$E21:INDEX('Milho 1ª safra'!$E21:$Z21,MIN(G$6-$E$3,22))),0))-IF($G$2,0,IF((G$6-$G$3)&lt;1,0,IFERROR(LOOKUP(2,1/('Milho 1ª safra'!$E21:INDEX('Milho 1ª safra'!$E21:$Z21,MIN(G$6-$G$3,22))&lt;&gt;""),'Milho 1ª safra'!$E21:INDEX('Milho 1ª safra'!$E21:$Z21,MIN(G$6-$G$3,22))),0)))))</f>
        <v>0</v>
      </c>
      <c r="H23" s="27" t="n">
        <f aca="false">IF(COUNT('Milho 1ª safra'!$E21:$Z21)=0,0,MAX(0,IF((H$6-$E$3)&lt;1,0,IFERROR(LOOKUP(2,1/('Milho 1ª safra'!$E21:INDEX('Milho 1ª safra'!$E21:$Z21,MIN(H$6-$E$3,22))&lt;&gt;""),'Milho 1ª safra'!$E21:INDEX('Milho 1ª safra'!$E21:$Z21,MIN(H$6-$E$3,22))),0))-IF($G$2,0,IF((H$6-$G$3)&lt;1,0,IFERROR(LOOKUP(2,1/('Milho 1ª safra'!$E21:INDEX('Milho 1ª safra'!$E21:$Z21,MIN(H$6-$G$3,22))&lt;&gt;""),'Milho 1ª safra'!$E21:INDEX('Milho 1ª safra'!$E21:$Z21,MIN(H$6-$G$3,22))),0)))))</f>
        <v>0</v>
      </c>
      <c r="I23" s="27" t="n">
        <f aca="false">IF(COUNT('Milho 1ª safra'!$E21:$Z21)=0,0,MAX(0,IF((I$6-$E$3)&lt;1,0,IFERROR(LOOKUP(2,1/('Milho 1ª safra'!$E21:INDEX('Milho 1ª safra'!$E21:$Z21,MIN(I$6-$E$3,22))&lt;&gt;""),'Milho 1ª safra'!$E21:INDEX('Milho 1ª safra'!$E21:$Z21,MIN(I$6-$E$3,22))),0))-IF($G$2,0,IF((I$6-$G$3)&lt;1,0,IFERROR(LOOKUP(2,1/('Milho 1ª safra'!$E21:INDEX('Milho 1ª safra'!$E21:$Z21,MIN(I$6-$G$3,22))&lt;&gt;""),'Milho 1ª safra'!$E21:INDEX('Milho 1ª safra'!$E21:$Z21,MIN(I$6-$G$3,22))),0)))))</f>
        <v>0</v>
      </c>
      <c r="J23" s="27" t="n">
        <f aca="false">IF(COUNT('Milho 1ª safra'!$E21:$Z21)=0,0,MAX(0,IF((J$6-$E$3)&lt;1,0,IFERROR(LOOKUP(2,1/('Milho 1ª safra'!$E21:INDEX('Milho 1ª safra'!$E21:$Z21,MIN(J$6-$E$3,22))&lt;&gt;""),'Milho 1ª safra'!$E21:INDEX('Milho 1ª safra'!$E21:$Z21,MIN(J$6-$E$3,22))),0))-IF($G$2,0,IF((J$6-$G$3)&lt;1,0,IFERROR(LOOKUP(2,1/('Milho 1ª safra'!$E21:INDEX('Milho 1ª safra'!$E21:$Z21,MIN(J$6-$G$3,22))&lt;&gt;""),'Milho 1ª safra'!$E21:INDEX('Milho 1ª safra'!$E21:$Z21,MIN(J$6-$G$3,22))),0)))))</f>
        <v>0</v>
      </c>
      <c r="K23" s="27" t="n">
        <f aca="false">IF(COUNT('Milho 1ª safra'!$E21:$Z21)=0,0,MAX(0,IF((K$6-$E$3)&lt;1,0,IFERROR(LOOKUP(2,1/('Milho 1ª safra'!$E21:INDEX('Milho 1ª safra'!$E21:$Z21,MIN(K$6-$E$3,22))&lt;&gt;""),'Milho 1ª safra'!$E21:INDEX('Milho 1ª safra'!$E21:$Z21,MIN(K$6-$E$3,22))),0))-IF($G$2,0,IF((K$6-$G$3)&lt;1,0,IFERROR(LOOKUP(2,1/('Milho 1ª safra'!$E21:INDEX('Milho 1ª safra'!$E21:$Z21,MIN(K$6-$G$3,22))&lt;&gt;""),'Milho 1ª safra'!$E21:INDEX('Milho 1ª safra'!$E21:$Z21,MIN(K$6-$G$3,22))),0)))))</f>
        <v>0</v>
      </c>
      <c r="L23" s="27" t="n">
        <f aca="false">IF(COUNT('Milho 1ª safra'!$E21:$Z21)=0,0,MAX(0,IF((L$6-$E$3)&lt;1,0,IFERROR(LOOKUP(2,1/('Milho 1ª safra'!$E21:INDEX('Milho 1ª safra'!$E21:$Z21,MIN(L$6-$E$3,22))&lt;&gt;""),'Milho 1ª safra'!$E21:INDEX('Milho 1ª safra'!$E21:$Z21,MIN(L$6-$E$3,22))),0))-IF($G$2,0,IF((L$6-$G$3)&lt;1,0,IFERROR(LOOKUP(2,1/('Milho 1ª safra'!$E21:INDEX('Milho 1ª safra'!$E21:$Z21,MIN(L$6-$G$3,22))&lt;&gt;""),'Milho 1ª safra'!$E21:INDEX('Milho 1ª safra'!$E21:$Z21,MIN(L$6-$G$3,22))),0)))))</f>
        <v>0</v>
      </c>
      <c r="M23" s="27" t="n">
        <f aca="false">IF(COUNT('Milho 1ª safra'!$E21:$Z21)=0,0,MAX(0,IF((M$6-$E$3)&lt;1,0,IFERROR(LOOKUP(2,1/('Milho 1ª safra'!$E21:INDEX('Milho 1ª safra'!$E21:$Z21,MIN(M$6-$E$3,22))&lt;&gt;""),'Milho 1ª safra'!$E21:INDEX('Milho 1ª safra'!$E21:$Z21,MIN(M$6-$E$3,22))),0))-IF($G$2,0,IF((M$6-$G$3)&lt;1,0,IFERROR(LOOKUP(2,1/('Milho 1ª safra'!$E21:INDEX('Milho 1ª safra'!$E21:$Z21,MIN(M$6-$G$3,22))&lt;&gt;""),'Milho 1ª safra'!$E21:INDEX('Milho 1ª safra'!$E21:$Z21,MIN(M$6-$G$3,22))),0)))))</f>
        <v>0</v>
      </c>
      <c r="N23" s="27" t="n">
        <f aca="false">IF(COUNT('Milho 1ª safra'!$E21:$Z21)=0,0,MAX(0,IF((N$6-$E$3)&lt;1,0,IFERROR(LOOKUP(2,1/('Milho 1ª safra'!$E21:INDEX('Milho 1ª safra'!$E21:$Z21,MIN(N$6-$E$3,22))&lt;&gt;""),'Milho 1ª safra'!$E21:INDEX('Milho 1ª safra'!$E21:$Z21,MIN(N$6-$E$3,22))),0))-IF($G$2,0,IF((N$6-$G$3)&lt;1,0,IFERROR(LOOKUP(2,1/('Milho 1ª safra'!$E21:INDEX('Milho 1ª safra'!$E21:$Z21,MIN(N$6-$G$3,22))&lt;&gt;""),'Milho 1ª safra'!$E21:INDEX('Milho 1ª safra'!$E21:$Z21,MIN(N$6-$G$3,22))),0)))))</f>
        <v>0</v>
      </c>
      <c r="O23" s="27" t="n">
        <f aca="false">IF(COUNT('Milho 1ª safra'!$E21:$Z21)=0,0,MAX(0,IF((O$6-$E$3)&lt;1,0,IFERROR(LOOKUP(2,1/('Milho 1ª safra'!$E21:INDEX('Milho 1ª safra'!$E21:$Z21,MIN(O$6-$E$3,22))&lt;&gt;""),'Milho 1ª safra'!$E21:INDEX('Milho 1ª safra'!$E21:$Z21,MIN(O$6-$E$3,22))),0))-IF($G$2,0,IF((O$6-$G$3)&lt;1,0,IFERROR(LOOKUP(2,1/('Milho 1ª safra'!$E21:INDEX('Milho 1ª safra'!$E21:$Z21,MIN(O$6-$G$3,22))&lt;&gt;""),'Milho 1ª safra'!$E21:INDEX('Milho 1ª safra'!$E21:$Z21,MIN(O$6-$G$3,22))),0)))))</f>
        <v>0</v>
      </c>
      <c r="P23" s="27" t="n">
        <f aca="false">IF(COUNT('Milho 1ª safra'!$E21:$Z21)=0,0,MAX(0,IF((P$6-$E$3)&lt;1,0,IFERROR(LOOKUP(2,1/('Milho 1ª safra'!$E21:INDEX('Milho 1ª safra'!$E21:$Z21,MIN(P$6-$E$3,22))&lt;&gt;""),'Milho 1ª safra'!$E21:INDEX('Milho 1ª safra'!$E21:$Z21,MIN(P$6-$E$3,22))),0))-IF($G$2,0,IF((P$6-$G$3)&lt;1,0,IFERROR(LOOKUP(2,1/('Milho 1ª safra'!$E21:INDEX('Milho 1ª safra'!$E21:$Z21,MIN(P$6-$G$3,22))&lt;&gt;""),'Milho 1ª safra'!$E21:INDEX('Milho 1ª safra'!$E21:$Z21,MIN(P$6-$G$3,22))),0)))))</f>
        <v>0</v>
      </c>
      <c r="Q23" s="27" t="n">
        <f aca="false">IF(COUNT('Milho 1ª safra'!$E21:$Z21)=0,0,MAX(0,IF((Q$6-$E$3)&lt;1,0,IFERROR(LOOKUP(2,1/('Milho 1ª safra'!$E21:INDEX('Milho 1ª safra'!$E21:$Z21,MIN(Q$6-$E$3,22))&lt;&gt;""),'Milho 1ª safra'!$E21:INDEX('Milho 1ª safra'!$E21:$Z21,MIN(Q$6-$E$3,22))),0))-IF($G$2,0,IF((Q$6-$G$3)&lt;1,0,IFERROR(LOOKUP(2,1/('Milho 1ª safra'!$E21:INDEX('Milho 1ª safra'!$E21:$Z21,MIN(Q$6-$G$3,22))&lt;&gt;""),'Milho 1ª safra'!$E21:INDEX('Milho 1ª safra'!$E21:$Z21,MIN(Q$6-$G$3,22))),0)))))</f>
        <v>0</v>
      </c>
      <c r="R23" s="27" t="n">
        <f aca="false">IF(COUNT('Milho 1ª safra'!$E21:$Z21)=0,0,MAX(0,IF((R$6-$E$3)&lt;1,0,IFERROR(LOOKUP(2,1/('Milho 1ª safra'!$E21:INDEX('Milho 1ª safra'!$E21:$Z21,MIN(R$6-$E$3,22))&lt;&gt;""),'Milho 1ª safra'!$E21:INDEX('Milho 1ª safra'!$E21:$Z21,MIN(R$6-$E$3,22))),0))-IF($G$2,0,IF((R$6-$G$3)&lt;1,0,IFERROR(LOOKUP(2,1/('Milho 1ª safra'!$E21:INDEX('Milho 1ª safra'!$E21:$Z21,MIN(R$6-$G$3,22))&lt;&gt;""),'Milho 1ª safra'!$E21:INDEX('Milho 1ª safra'!$E21:$Z21,MIN(R$6-$G$3,22))),0)))))</f>
        <v>0</v>
      </c>
      <c r="S23" s="27" t="n">
        <f aca="false">IF(COUNT('Milho 1ª safra'!$E21:$Z21)=0,0,MAX(0,IF((S$6-$E$3)&lt;1,0,IFERROR(LOOKUP(2,1/('Milho 1ª safra'!$E21:INDEX('Milho 1ª safra'!$E21:$Z21,MIN(S$6-$E$3,22))&lt;&gt;""),'Milho 1ª safra'!$E21:INDEX('Milho 1ª safra'!$E21:$Z21,MIN(S$6-$E$3,22))),0))-IF($G$2,0,IF((S$6-$G$3)&lt;1,0,IFERROR(LOOKUP(2,1/('Milho 1ª safra'!$E21:INDEX('Milho 1ª safra'!$E21:$Z21,MIN(S$6-$G$3,22))&lt;&gt;""),'Milho 1ª safra'!$E21:INDEX('Milho 1ª safra'!$E21:$Z21,MIN(S$6-$G$3,22))),0)))))</f>
        <v>0</v>
      </c>
      <c r="T23" s="27" t="n">
        <f aca="false">IF(COUNT('Milho 1ª safra'!$E21:$Z21)=0,0,MAX(0,IF((T$6-$E$3)&lt;1,0,IFERROR(LOOKUP(2,1/('Milho 1ª safra'!$E21:INDEX('Milho 1ª safra'!$E21:$Z21,MIN(T$6-$E$3,22))&lt;&gt;""),'Milho 1ª safra'!$E21:INDEX('Milho 1ª safra'!$E21:$Z21,MIN(T$6-$E$3,22))),0))-IF($G$2,0,IF((T$6-$G$3)&lt;1,0,IFERROR(LOOKUP(2,1/('Milho 1ª safra'!$E21:INDEX('Milho 1ª safra'!$E21:$Z21,MIN(T$6-$G$3,22))&lt;&gt;""),'Milho 1ª safra'!$E21:INDEX('Milho 1ª safra'!$E21:$Z21,MIN(T$6-$G$3,22))),0)))))</f>
        <v>0</v>
      </c>
      <c r="U23" s="27" t="n">
        <f aca="false">IF(COUNT('Milho 1ª safra'!$E21:$Z21)=0,0,MAX(0,IF((U$6-$E$3)&lt;1,0,IFERROR(LOOKUP(2,1/('Milho 1ª safra'!$E21:INDEX('Milho 1ª safra'!$E21:$Z21,MIN(U$6-$E$3,22))&lt;&gt;""),'Milho 1ª safra'!$E21:INDEX('Milho 1ª safra'!$E21:$Z21,MIN(U$6-$E$3,22))),0))-IF($G$2,0,IF((U$6-$G$3)&lt;1,0,IFERROR(LOOKUP(2,1/('Milho 1ª safra'!$E21:INDEX('Milho 1ª safra'!$E21:$Z21,MIN(U$6-$G$3,22))&lt;&gt;""),'Milho 1ª safra'!$E21:INDEX('Milho 1ª safra'!$E21:$Z21,MIN(U$6-$G$3,22))),0)))))</f>
        <v>0</v>
      </c>
      <c r="V23" s="27" t="n">
        <f aca="false">IF(COUNT('Milho 1ª safra'!$E21:$Z21)=0,0,MAX(0,IF((V$6-$E$3)&lt;1,0,IFERROR(LOOKUP(2,1/('Milho 1ª safra'!$E21:INDEX('Milho 1ª safra'!$E21:$Z21,MIN(V$6-$E$3,22))&lt;&gt;""),'Milho 1ª safra'!$E21:INDEX('Milho 1ª safra'!$E21:$Z21,MIN(V$6-$E$3,22))),0))-IF($G$2,0,IF((V$6-$G$3)&lt;1,0,IFERROR(LOOKUP(2,1/('Milho 1ª safra'!$E21:INDEX('Milho 1ª safra'!$E21:$Z21,MIN(V$6-$G$3,22))&lt;&gt;""),'Milho 1ª safra'!$E21:INDEX('Milho 1ª safra'!$E21:$Z21,MIN(V$6-$G$3,22))),0)))))</f>
        <v>0</v>
      </c>
      <c r="W23" s="27" t="n">
        <f aca="false">IF(COUNT('Milho 1ª safra'!$E21:$Z21)=0,0,MAX(0,IF((W$6-$E$3)&lt;1,0,IFERROR(LOOKUP(2,1/('Milho 1ª safra'!$E21:INDEX('Milho 1ª safra'!$E21:$Z21,MIN(W$6-$E$3,22))&lt;&gt;""),'Milho 1ª safra'!$E21:INDEX('Milho 1ª safra'!$E21:$Z21,MIN(W$6-$E$3,22))),0))-IF($G$2,0,IF((W$6-$G$3)&lt;1,0,IFERROR(LOOKUP(2,1/('Milho 1ª safra'!$E21:INDEX('Milho 1ª safra'!$E21:$Z21,MIN(W$6-$G$3,22))&lt;&gt;""),'Milho 1ª safra'!$E21:INDEX('Milho 1ª safra'!$E21:$Z21,MIN(W$6-$G$3,22))),0)))))</f>
        <v>0</v>
      </c>
      <c r="X23" s="27" t="n">
        <f aca="false">IF(COUNT('Milho 1ª safra'!$E21:$Z21)=0,0,MAX(0,IF((X$6-$E$3)&lt;1,0,IFERROR(LOOKUP(2,1/('Milho 1ª safra'!$E21:INDEX('Milho 1ª safra'!$E21:$Z21,MIN(X$6-$E$3,22))&lt;&gt;""),'Milho 1ª safra'!$E21:INDEX('Milho 1ª safra'!$E21:$Z21,MIN(X$6-$E$3,22))),0))-IF($G$2,0,IF((X$6-$G$3)&lt;1,0,IFERROR(LOOKUP(2,1/('Milho 1ª safra'!$E21:INDEX('Milho 1ª safra'!$E21:$Z21,MIN(X$6-$G$3,22))&lt;&gt;""),'Milho 1ª safra'!$E21:INDEX('Milho 1ª safra'!$E21:$Z21,MIN(X$6-$G$3,22))),0)))))</f>
        <v>0</v>
      </c>
      <c r="Y23" s="27" t="n">
        <f aca="false">IF(COUNT('Milho 1ª safra'!$E21:$Z21)=0,0,MAX(0,IF((Y$6-$E$3)&lt;1,0,IFERROR(LOOKUP(2,1/('Milho 1ª safra'!$E21:INDEX('Milho 1ª safra'!$E21:$Z21,MIN(Y$6-$E$3,22))&lt;&gt;""),'Milho 1ª safra'!$E21:INDEX('Milho 1ª safra'!$E21:$Z21,MIN(Y$6-$E$3,22))),0))-IF($G$2,0,IF((Y$6-$G$3)&lt;1,0,IFERROR(LOOKUP(2,1/('Milho 1ª safra'!$E21:INDEX('Milho 1ª safra'!$E21:$Z21,MIN(Y$6-$G$3,22))&lt;&gt;""),'Milho 1ª safra'!$E21:INDEX('Milho 1ª safra'!$E21:$Z21,MIN(Y$6-$G$3,22))),0)))))</f>
        <v>0</v>
      </c>
      <c r="Z23" s="27" t="n">
        <f aca="false">IF(COUNT('Milho 1ª safra'!$E21:$Z21)=0,0,MAX(0,IF((Z$6-$E$3)&lt;1,0,IFERROR(LOOKUP(2,1/('Milho 1ª safra'!$E21:INDEX('Milho 1ª safra'!$E21:$Z21,MIN(Z$6-$E$3,22))&lt;&gt;""),'Milho 1ª safra'!$E21:INDEX('Milho 1ª safra'!$E21:$Z21,MIN(Z$6-$E$3,22))),0))-IF($G$2,0,IF((Z$6-$G$3)&lt;1,0,IFERROR(LOOKUP(2,1/('Milho 1ª safra'!$E21:INDEX('Milho 1ª safra'!$E21:$Z21,MIN(Z$6-$G$3,22))&lt;&gt;""),'Milho 1ª safra'!$E21:INDEX('Milho 1ª safra'!$E21:$Z21,MIN(Z$6-$G$3,22))),0)))))</f>
        <v>0</v>
      </c>
      <c r="AA23" s="27" t="n">
        <f aca="false">IF(COUNT('Milho 1ª safra'!$E21:$Z21)=0,0,MAX(0,IF((AA$6-$E$3)&lt;1,0,IFERROR(LOOKUP(2,1/('Milho 1ª safra'!$E21:INDEX('Milho 1ª safra'!$E21:$Z21,MIN(AA$6-$E$3,22))&lt;&gt;""),'Milho 1ª safra'!$E21:INDEX('Milho 1ª safra'!$E21:$Z21,MIN(AA$6-$E$3,22))),0))-IF($G$2,0,IF((AA$6-$G$3)&lt;1,0,IFERROR(LOOKUP(2,1/('Milho 1ª safra'!$E21:INDEX('Milho 1ª safra'!$E21:$Z21,MIN(AA$6-$G$3,22))&lt;&gt;""),'Milho 1ª safra'!$E21:INDEX('Milho 1ª safra'!$E21:$Z21,MIN(AA$6-$G$3,22))),0)))))</f>
        <v>0</v>
      </c>
      <c r="AB23" s="27" t="n">
        <f aca="false">IF(COUNT('Milho 1ª safra'!$E21:$Z21)=0,0,MAX(0,IF((AB$6-$E$3)&lt;1,0,IFERROR(LOOKUP(2,1/('Milho 1ª safra'!$E21:INDEX('Milho 1ª safra'!$E21:$Z21,MIN(AB$6-$E$3,22))&lt;&gt;""),'Milho 1ª safra'!$E21:INDEX('Milho 1ª safra'!$E21:$Z21,MIN(AB$6-$E$3,22))),0))-IF($G$2,0,IF((AB$6-$G$3)&lt;1,0,IFERROR(LOOKUP(2,1/('Milho 1ª safra'!$E21:INDEX('Milho 1ª safra'!$E21:$Z21,MIN(AB$6-$G$3,22))&lt;&gt;""),'Milho 1ª safra'!$E21:INDEX('Milho 1ª safra'!$E21:$Z21,MIN(AB$6-$G$3,22))),0)))))</f>
        <v>0</v>
      </c>
      <c r="AC23" s="27" t="n">
        <f aca="false">IF(COUNT('Milho 1ª safra'!$E21:$Z21)=0,0,MAX(0,IF((AC$6-$E$3)&lt;1,0,IFERROR(LOOKUP(2,1/('Milho 1ª safra'!$E21:INDEX('Milho 1ª safra'!$E21:$Z21,MIN(AC$6-$E$3,22))&lt;&gt;""),'Milho 1ª safra'!$E21:INDEX('Milho 1ª safra'!$E21:$Z21,MIN(AC$6-$E$3,22))),0))-IF($G$2,0,IF((AC$6-$G$3)&lt;1,0,IFERROR(LOOKUP(2,1/('Milho 1ª safra'!$E21:INDEX('Milho 1ª safra'!$E21:$Z21,MIN(AC$6-$G$3,22))&lt;&gt;""),'Milho 1ª safra'!$E21:INDEX('Milho 1ª safra'!$E21:$Z21,MIN(AC$6-$G$3,22))),0)))))</f>
        <v>0</v>
      </c>
      <c r="AD23" s="27" t="n">
        <f aca="false">IF(COUNT('Milho 1ª safra'!$E21:$Z21)=0,0,MAX(0,IF((AD$6-$E$3)&lt;1,0,IFERROR(LOOKUP(2,1/('Milho 1ª safra'!$E21:INDEX('Milho 1ª safra'!$E21:$Z21,MIN(AD$6-$E$3,22))&lt;&gt;""),'Milho 1ª safra'!$E21:INDEX('Milho 1ª safra'!$E21:$Z21,MIN(AD$6-$E$3,22))),0))-IF($G$2,0,IF((AD$6-$G$3)&lt;1,0,IFERROR(LOOKUP(2,1/('Milho 1ª safra'!$E21:INDEX('Milho 1ª safra'!$E21:$Z21,MIN(AD$6-$G$3,22))&lt;&gt;""),'Milho 1ª safra'!$E21:INDEX('Milho 1ª safra'!$E21:$Z21,MIN(AD$6-$G$3,22))),0)))))</f>
        <v>0</v>
      </c>
      <c r="AE23" s="27" t="n">
        <f aca="false">IF(COUNT('Milho 1ª safra'!$E21:$Z21)=0,0,MAX(0,IF((AE$6-$E$3)&lt;1,0,IFERROR(LOOKUP(2,1/('Milho 1ª safra'!$E21:INDEX('Milho 1ª safra'!$E21:$Z21,MIN(AE$6-$E$3,22))&lt;&gt;""),'Milho 1ª safra'!$E21:INDEX('Milho 1ª safra'!$E21:$Z21,MIN(AE$6-$E$3,22))),0))-IF($G$2,0,IF((AE$6-$G$3)&lt;1,0,IFERROR(LOOKUP(2,1/('Milho 1ª safra'!$E21:INDEX('Milho 1ª safra'!$E21:$Z21,MIN(AE$6-$G$3,22))&lt;&gt;""),'Milho 1ª safra'!$E21:INDEX('Milho 1ª safra'!$E21:$Z21,MIN(AE$6-$G$3,22))),0)))))</f>
        <v>0</v>
      </c>
      <c r="AF23" s="27" t="n">
        <f aca="false">IF(COUNT('Milho 1ª safra'!$E21:$Z21)=0,0,MAX(0,IF((AF$6-$E$3)&lt;1,0,IFERROR(LOOKUP(2,1/('Milho 1ª safra'!$E21:INDEX('Milho 1ª safra'!$E21:$Z21,MIN(AF$6-$E$3,22))&lt;&gt;""),'Milho 1ª safra'!$E21:INDEX('Milho 1ª safra'!$E21:$Z21,MIN(AF$6-$E$3,22))),0))-IF($G$2,0,IF((AF$6-$G$3)&lt;1,0,IFERROR(LOOKUP(2,1/('Milho 1ª safra'!$E21:INDEX('Milho 1ª safra'!$E21:$Z21,MIN(AF$6-$G$3,22))&lt;&gt;""),'Milho 1ª safra'!$E21:INDEX('Milho 1ª safra'!$E21:$Z21,MIN(AF$6-$G$3,22))),0)))))</f>
        <v>0</v>
      </c>
      <c r="AG23" s="27" t="n">
        <f aca="false">IF(COUNT('Milho 1ª safra'!$E21:$Z21)=0,0,MAX(0,IF((AG$6-$E$3)&lt;1,0,IFERROR(LOOKUP(2,1/('Milho 1ª safra'!$E21:INDEX('Milho 1ª safra'!$E21:$Z21,MIN(AG$6-$E$3,22))&lt;&gt;""),'Milho 1ª safra'!$E21:INDEX('Milho 1ª safra'!$E21:$Z21,MIN(AG$6-$E$3,22))),0))-IF($G$2,0,IF((AG$6-$G$3)&lt;1,0,IFERROR(LOOKUP(2,1/('Milho 1ª safra'!$E21:INDEX('Milho 1ª safra'!$E21:$Z21,MIN(AG$6-$G$3,22))&lt;&gt;""),'Milho 1ª safra'!$E21:INDEX('Milho 1ª safra'!$E21:$Z21,MIN(AG$6-$G$3,22))),0)))))</f>
        <v>0</v>
      </c>
      <c r="AH23" s="27" t="n">
        <f aca="false">IF(COUNT('Milho 1ª safra'!$E21:$Z21)=0,0,MAX(0,IF((AH$6-$E$3)&lt;1,0,IFERROR(LOOKUP(2,1/('Milho 1ª safra'!$E21:INDEX('Milho 1ª safra'!$E21:$Z21,MIN(AH$6-$E$3,22))&lt;&gt;""),'Milho 1ª safra'!$E21:INDEX('Milho 1ª safra'!$E21:$Z21,MIN(AH$6-$E$3,22))),0))-IF($G$2,0,IF((AH$6-$G$3)&lt;1,0,IFERROR(LOOKUP(2,1/('Milho 1ª safra'!$E21:INDEX('Milho 1ª safra'!$E21:$Z21,MIN(AH$6-$G$3,22))&lt;&gt;""),'Milho 1ª safra'!$E21:INDEX('Milho 1ª safra'!$E21:$Z21,MIN(AH$6-$G$3,22))),0)))))</f>
        <v>0</v>
      </c>
      <c r="AI23" s="27" t="n">
        <f aca="false">IF(COUNT('Milho 1ª safra'!$E21:$Z21)=0,0,MAX(0,IF((AI$6-$E$3)&lt;1,0,IFERROR(LOOKUP(2,1/('Milho 1ª safra'!$E21:INDEX('Milho 1ª safra'!$E21:$Z21,MIN(AI$6-$E$3,22))&lt;&gt;""),'Milho 1ª safra'!$E21:INDEX('Milho 1ª safra'!$E21:$Z21,MIN(AI$6-$E$3,22))),0))-IF($G$2,0,IF((AI$6-$G$3)&lt;1,0,IFERROR(LOOKUP(2,1/('Milho 1ª safra'!$E21:INDEX('Milho 1ª safra'!$E21:$Z21,MIN(AI$6-$G$3,22))&lt;&gt;""),'Milho 1ª safra'!$E21:INDEX('Milho 1ª safra'!$E21:$Z21,MIN(AI$6-$G$3,22))),0)))))</f>
        <v>0</v>
      </c>
      <c r="AJ23" s="27" t="n">
        <f aca="false">IF(COUNT('Milho 1ª safra'!$E21:$Z21)=0,0,MAX(0,IF((AJ$6-$E$3)&lt;1,0,IFERROR(LOOKUP(2,1/('Milho 1ª safra'!$E21:INDEX('Milho 1ª safra'!$E21:$Z21,MIN(AJ$6-$E$3,22))&lt;&gt;""),'Milho 1ª safra'!$E21:INDEX('Milho 1ª safra'!$E21:$Z21,MIN(AJ$6-$E$3,22))),0))-IF($G$2,0,IF((AJ$6-$G$3)&lt;1,0,IFERROR(LOOKUP(2,1/('Milho 1ª safra'!$E21:INDEX('Milho 1ª safra'!$E21:$Z21,MIN(AJ$6-$G$3,22))&lt;&gt;""),'Milho 1ª safra'!$E21:INDEX('Milho 1ª safra'!$E21:$Z21,MIN(AJ$6-$G$3,22))),0)))))</f>
        <v>0</v>
      </c>
      <c r="AK23" s="27" t="n">
        <f aca="false">IF(COUNT('Milho 1ª safra'!$E21:$Z21)=0,0,MAX(0,IF((AK$6-$E$3)&lt;1,0,IFERROR(LOOKUP(2,1/('Milho 1ª safra'!$E21:INDEX('Milho 1ª safra'!$E21:$Z21,MIN(AK$6-$E$3,22))&lt;&gt;""),'Milho 1ª safra'!$E21:INDEX('Milho 1ª safra'!$E21:$Z21,MIN(AK$6-$E$3,22))),0))-IF($G$2,0,IF((AK$6-$G$3)&lt;1,0,IFERROR(LOOKUP(2,1/('Milho 1ª safra'!$E21:INDEX('Milho 1ª safra'!$E21:$Z21,MIN(AK$6-$G$3,22))&lt;&gt;""),'Milho 1ª safra'!$E21:INDEX('Milho 1ª safra'!$E21:$Z21,MIN(AK$6-$G$3,22))),0)))))</f>
        <v>0</v>
      </c>
      <c r="AL23" s="27" t="n">
        <f aca="false">IF(COUNT('Milho 1ª safra'!$E21:$Z21)=0,0,MAX(0,IF((AL$6-$E$3)&lt;1,0,IFERROR(LOOKUP(2,1/('Milho 1ª safra'!$E21:INDEX('Milho 1ª safra'!$E21:$Z21,MIN(AL$6-$E$3,22))&lt;&gt;""),'Milho 1ª safra'!$E21:INDEX('Milho 1ª safra'!$E21:$Z21,MIN(AL$6-$E$3,22))),0))-IF($G$2,0,IF((AL$6-$G$3)&lt;1,0,IFERROR(LOOKUP(2,1/('Milho 1ª safra'!$E21:INDEX('Milho 1ª safra'!$E21:$Z21,MIN(AL$6-$G$3,22))&lt;&gt;""),'Milho 1ª safra'!$E21:INDEX('Milho 1ª safra'!$E21:$Z21,MIN(AL$6-$G$3,22))),0)))))</f>
        <v>0</v>
      </c>
      <c r="AM23" s="27" t="n">
        <f aca="false">IF(COUNT('Milho 1ª safra'!$E21:$Z21)=0,0,MAX(0,IF((AM$6-$E$3)&lt;1,0,IFERROR(LOOKUP(2,1/('Milho 1ª safra'!$E21:INDEX('Milho 1ª safra'!$E21:$Z21,MIN(AM$6-$E$3,22))&lt;&gt;""),'Milho 1ª safra'!$E21:INDEX('Milho 1ª safra'!$E21:$Z21,MIN(AM$6-$E$3,22))),0))-IF($G$2,0,IF((AM$6-$G$3)&lt;1,0,IFERROR(LOOKUP(2,1/('Milho 1ª safra'!$E21:INDEX('Milho 1ª safra'!$E21:$Z21,MIN(AM$6-$G$3,22))&lt;&gt;""),'Milho 1ª safra'!$E21:INDEX('Milho 1ª safra'!$E21:$Z21,MIN(AM$6-$G$3,22))),0)))))</f>
        <v>0</v>
      </c>
      <c r="AN23" s="27" t="n">
        <f aca="false">IF(COUNT('Milho 1ª safra'!$E21:$Z21)=0,0,MAX(0,IF((AN$6-$E$3)&lt;1,0,IFERROR(LOOKUP(2,1/('Milho 1ª safra'!$E21:INDEX('Milho 1ª safra'!$E21:$Z21,MIN(AN$6-$E$3,22))&lt;&gt;""),'Milho 1ª safra'!$E21:INDEX('Milho 1ª safra'!$E21:$Z21,MIN(AN$6-$E$3,22))),0))-IF($G$2,0,IF((AN$6-$G$3)&lt;1,0,IFERROR(LOOKUP(2,1/('Milho 1ª safra'!$E21:INDEX('Milho 1ª safra'!$E21:$Z21,MIN(AN$6-$G$3,22))&lt;&gt;""),'Milho 1ª safra'!$E21:INDEX('Milho 1ª safra'!$E21:$Z21,MIN(AN$6-$G$3,22))),0)))))</f>
        <v>0</v>
      </c>
      <c r="AO23" s="27" t="n">
        <f aca="false">IF(COUNT('Milho 1ª safra'!$E21:$Z21)=0,0,MAX(0,IF((AO$6-$E$3)&lt;1,0,IFERROR(LOOKUP(2,1/('Milho 1ª safra'!$E21:INDEX('Milho 1ª safra'!$E21:$Z21,MIN(AO$6-$E$3,22))&lt;&gt;""),'Milho 1ª safra'!$E21:INDEX('Milho 1ª safra'!$E21:$Z21,MIN(AO$6-$E$3,22))),0))-IF($G$2,0,IF((AO$6-$G$3)&lt;1,0,IFERROR(LOOKUP(2,1/('Milho 1ª safra'!$E21:INDEX('Milho 1ª safra'!$E21:$Z21,MIN(AO$6-$G$3,22))&lt;&gt;""),'Milho 1ª safra'!$E21:INDEX('Milho 1ª safra'!$E21:$Z21,MIN(AO$6-$G$3,22))),0)))))</f>
        <v>0</v>
      </c>
      <c r="AP23" s="27" t="n">
        <f aca="false">IF(COUNT('Milho 1ª safra'!$E21:$Z21)=0,0,MAX(0,IF((AP$6-$E$3)&lt;1,0,IFERROR(LOOKUP(2,1/('Milho 1ª safra'!$E21:INDEX('Milho 1ª safra'!$E21:$Z21,MIN(AP$6-$E$3,22))&lt;&gt;""),'Milho 1ª safra'!$E21:INDEX('Milho 1ª safra'!$E21:$Z21,MIN(AP$6-$E$3,22))),0))-IF($G$2,0,IF((AP$6-$G$3)&lt;1,0,IFERROR(LOOKUP(2,1/('Milho 1ª safra'!$E21:INDEX('Milho 1ª safra'!$E21:$Z21,MIN(AP$6-$G$3,22))&lt;&gt;""),'Milho 1ª safra'!$E21:INDEX('Milho 1ª safra'!$E21:$Z21,MIN(AP$6-$G$3,22))),0)))))</f>
        <v>0</v>
      </c>
      <c r="AQ23" s="27" t="n">
        <f aca="false">IF(COUNT('Milho 1ª safra'!$E21:$Z21)=0,0,MAX(0,IF((AQ$6-$E$3)&lt;1,0,IFERROR(LOOKUP(2,1/('Milho 1ª safra'!$E21:INDEX('Milho 1ª safra'!$E21:$Z21,MIN(AQ$6-$E$3,22))&lt;&gt;""),'Milho 1ª safra'!$E21:INDEX('Milho 1ª safra'!$E21:$Z21,MIN(AQ$6-$E$3,22))),0))-IF($G$2,0,IF((AQ$6-$G$3)&lt;1,0,IFERROR(LOOKUP(2,1/('Milho 1ª safra'!$E21:INDEX('Milho 1ª safra'!$E21:$Z21,MIN(AQ$6-$G$3,22))&lt;&gt;""),'Milho 1ª safra'!$E21:INDEX('Milho 1ª safra'!$E21:$Z21,MIN(AQ$6-$G$3,22))),0)))))</f>
        <v>0</v>
      </c>
      <c r="AR23" s="27" t="n">
        <f aca="false">IF(COUNT('Milho 1ª safra'!$E21:$Z21)=0,0,MAX(0,IF((AR$6-$E$3)&lt;1,0,IFERROR(LOOKUP(2,1/('Milho 1ª safra'!$E21:INDEX('Milho 1ª safra'!$E21:$Z21,MIN(AR$6-$E$3,22))&lt;&gt;""),'Milho 1ª safra'!$E21:INDEX('Milho 1ª safra'!$E21:$Z21,MIN(AR$6-$E$3,22))),0))-IF($G$2,0,IF((AR$6-$G$3)&lt;1,0,IFERROR(LOOKUP(2,1/('Milho 1ª safra'!$E21:INDEX('Milho 1ª safra'!$E21:$Z21,MIN(AR$6-$G$3,22))&lt;&gt;""),'Milho 1ª safra'!$E21:INDEX('Milho 1ª safra'!$E21:$Z21,MIN(AR$6-$G$3,22))),0)))))</f>
        <v>0</v>
      </c>
      <c r="AS23" s="27" t="n">
        <f aca="false">IF(COUNT('Milho 1ª safra'!$E21:$Z21)=0,0,MAX(0,IF((AS$6-$E$3)&lt;1,0,IFERROR(LOOKUP(2,1/('Milho 1ª safra'!$E21:INDEX('Milho 1ª safra'!$E21:$Z21,MIN(AS$6-$E$3,22))&lt;&gt;""),'Milho 1ª safra'!$E21:INDEX('Milho 1ª safra'!$E21:$Z21,MIN(AS$6-$E$3,22))),0))-IF($G$2,0,IF((AS$6-$G$3)&lt;1,0,IFERROR(LOOKUP(2,1/('Milho 1ª safra'!$E21:INDEX('Milho 1ª safra'!$E21:$Z21,MIN(AS$6-$G$3,22))&lt;&gt;""),'Milho 1ª safra'!$E21:INDEX('Milho 1ª safra'!$E21:$Z21,MIN(AS$6-$G$3,22))),0)))))</f>
        <v>0</v>
      </c>
      <c r="AT23" s="27" t="n">
        <f aca="false">IF(COUNT('Milho 1ª safra'!$E21:$Z21)=0,0,MAX(0,IF((AT$6-$E$3)&lt;1,0,IFERROR(LOOKUP(2,1/('Milho 1ª safra'!$E21:INDEX('Milho 1ª safra'!$E21:$Z21,MIN(AT$6-$E$3,22))&lt;&gt;""),'Milho 1ª safra'!$E21:INDEX('Milho 1ª safra'!$E21:$Z21,MIN(AT$6-$E$3,22))),0))-IF($G$2,0,IF((AT$6-$G$3)&lt;1,0,IFERROR(LOOKUP(2,1/('Milho 1ª safra'!$E21:INDEX('Milho 1ª safra'!$E21:$Z21,MIN(AT$6-$G$3,22))&lt;&gt;""),'Milho 1ª safra'!$E21:INDEX('Milho 1ª safra'!$E21:$Z21,MIN(AT$6-$G$3,22))),0)))))</f>
        <v>0</v>
      </c>
      <c r="AU23" s="27" t="n">
        <f aca="false">IF(COUNT('Milho 1ª safra'!$E21:$Z21)=0,0,MAX(0,IF((AU$6-$E$3)&lt;1,0,IFERROR(LOOKUP(2,1/('Milho 1ª safra'!$E21:INDEX('Milho 1ª safra'!$E21:$Z21,MIN(AU$6-$E$3,22))&lt;&gt;""),'Milho 1ª safra'!$E21:INDEX('Milho 1ª safra'!$E21:$Z21,MIN(AU$6-$E$3,22))),0))-IF($G$2,0,IF((AU$6-$G$3)&lt;1,0,IFERROR(LOOKUP(2,1/('Milho 1ª safra'!$E21:INDEX('Milho 1ª safra'!$E21:$Z21,MIN(AU$6-$G$3,22))&lt;&gt;""),'Milho 1ª safra'!$E21:INDEX('Milho 1ª safra'!$E21:$Z21,MIN(AU$6-$G$3,22))),0)))))</f>
        <v>0</v>
      </c>
      <c r="AV23" s="27" t="n">
        <f aca="false">IF(COUNT('Milho 1ª safra'!$E21:$Z21)=0,0,MAX(0,IF((AV$6-$E$3)&lt;1,0,IFERROR(LOOKUP(2,1/('Milho 1ª safra'!$E21:INDEX('Milho 1ª safra'!$E21:$Z21,MIN(AV$6-$E$3,22))&lt;&gt;""),'Milho 1ª safra'!$E21:INDEX('Milho 1ª safra'!$E21:$Z21,MIN(AV$6-$E$3,22))),0))-IF($G$2,0,IF((AV$6-$G$3)&lt;1,0,IFERROR(LOOKUP(2,1/('Milho 1ª safra'!$E21:INDEX('Milho 1ª safra'!$E21:$Z21,MIN(AV$6-$G$3,22))&lt;&gt;""),'Milho 1ª safra'!$E21:INDEX('Milho 1ª safra'!$E21:$Z21,MIN(AV$6-$G$3,22))),0)))))</f>
        <v>0</v>
      </c>
      <c r="AW23" s="27" t="n">
        <f aca="false">IF(COUNT('Milho 1ª safra'!$E21:$Z21)=0,0,MAX(0,IF((AW$6-$E$3)&lt;1,0,IFERROR(LOOKUP(2,1/('Milho 1ª safra'!$E21:INDEX('Milho 1ª safra'!$E21:$Z21,MIN(AW$6-$E$3,22))&lt;&gt;""),'Milho 1ª safra'!$E21:INDEX('Milho 1ª safra'!$E21:$Z21,MIN(AW$6-$E$3,22))),0))-IF($G$2,0,IF((AW$6-$G$3)&lt;1,0,IFERROR(LOOKUP(2,1/('Milho 1ª safra'!$E21:INDEX('Milho 1ª safra'!$E21:$Z21,MIN(AW$6-$G$3,22))&lt;&gt;""),'Milho 1ª safra'!$E21:INDEX('Milho 1ª safra'!$E21:$Z21,MIN(AW$6-$G$3,22))),0)))))</f>
        <v>0</v>
      </c>
      <c r="AX23" s="27" t="n">
        <f aca="false">IF(COUNT('Milho 1ª safra'!$E21:$Z21)=0,0,MAX(0,IF((AX$6-$E$3)&lt;1,0,IFERROR(LOOKUP(2,1/('Milho 1ª safra'!$E21:INDEX('Milho 1ª safra'!$E21:$Z21,MIN(AX$6-$E$3,22))&lt;&gt;""),'Milho 1ª safra'!$E21:INDEX('Milho 1ª safra'!$E21:$Z21,MIN(AX$6-$E$3,22))),0))-IF($G$2,0,IF((AX$6-$G$3)&lt;1,0,IFERROR(LOOKUP(2,1/('Milho 1ª safra'!$E21:INDEX('Milho 1ª safra'!$E21:$Z21,MIN(AX$6-$G$3,22))&lt;&gt;""),'Milho 1ª safra'!$E21:INDEX('Milho 1ª safra'!$E21:$Z21,MIN(AX$6-$G$3,22))),0)))))</f>
        <v>0</v>
      </c>
      <c r="AY23" s="27" t="n">
        <f aca="false">IF(COUNT('Milho 1ª safra'!$E21:$Z21)=0,0,MAX(0,IF((AY$6-$E$3)&lt;1,0,IFERROR(LOOKUP(2,1/('Milho 1ª safra'!$E21:INDEX('Milho 1ª safra'!$E21:$Z21,MIN(AY$6-$E$3,22))&lt;&gt;""),'Milho 1ª safra'!$E21:INDEX('Milho 1ª safra'!$E21:$Z21,MIN(AY$6-$E$3,22))),0))-IF($G$2,0,IF((AY$6-$G$3)&lt;1,0,IFERROR(LOOKUP(2,1/('Milho 1ª safra'!$E21:INDEX('Milho 1ª safra'!$E21:$Z21,MIN(AY$6-$G$3,22))&lt;&gt;""),'Milho 1ª safra'!$E21:INDEX('Milho 1ª safra'!$E21:$Z21,MIN(AY$6-$G$3,22))),0)))))</f>
        <v>0</v>
      </c>
      <c r="AZ23" s="27" t="n">
        <f aca="false">IF(COUNT('Milho 1ª safra'!$E21:$Z21)=0,0,MAX(0,IF((AZ$6-$E$3)&lt;1,0,IFERROR(LOOKUP(2,1/('Milho 1ª safra'!$E21:INDEX('Milho 1ª safra'!$E21:$Z21,MIN(AZ$6-$E$3,22))&lt;&gt;""),'Milho 1ª safra'!$E21:INDEX('Milho 1ª safra'!$E21:$Z21,MIN(AZ$6-$E$3,22))),0))-IF($G$2,0,IF((AZ$6-$G$3)&lt;1,0,IFERROR(LOOKUP(2,1/('Milho 1ª safra'!$E21:INDEX('Milho 1ª safra'!$E21:$Z21,MIN(AZ$6-$G$3,22))&lt;&gt;""),'Milho 1ª safra'!$E21:INDEX('Milho 1ª safra'!$E21:$Z21,MIN(AZ$6-$G$3,22))),0)))))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IF(COUNT('Milho 1ª safra'!$E22:$Z22)&gt;0,N('Milho 1ª safra'!$D22),0)</f>
        <v>0</v>
      </c>
      <c r="E24" s="27" t="n">
        <f aca="false">IF(COUNT('Milho 1ª safra'!$E22:$Z22)=0,0,MAX(0,IF((E$6-$E$3)&lt;1,0,IFERROR(LOOKUP(2,1/('Milho 1ª safra'!$E22:INDEX('Milho 1ª safra'!$E22:$Z22,MIN(E$6-$E$3,22))&lt;&gt;""),'Milho 1ª safra'!$E22:INDEX('Milho 1ª safra'!$E22:$Z22,MIN(E$6-$E$3,22))),0))-IF($G$2,0,IF((E$6-$G$3)&lt;1,0,IFERROR(LOOKUP(2,1/('Milho 1ª safra'!$E22:INDEX('Milho 1ª safra'!$E22:$Z22,MIN(E$6-$G$3,22))&lt;&gt;""),'Milho 1ª safra'!$E22:INDEX('Milho 1ª safra'!$E22:$Z22,MIN(E$6-$G$3,22))),0)))))</f>
        <v>0</v>
      </c>
      <c r="F24" s="27" t="n">
        <f aca="false">IF(COUNT('Milho 1ª safra'!$E22:$Z22)=0,0,MAX(0,IF((F$6-$E$3)&lt;1,0,IFERROR(LOOKUP(2,1/('Milho 1ª safra'!$E22:INDEX('Milho 1ª safra'!$E22:$Z22,MIN(F$6-$E$3,22))&lt;&gt;""),'Milho 1ª safra'!$E22:INDEX('Milho 1ª safra'!$E22:$Z22,MIN(F$6-$E$3,22))),0))-IF($G$2,0,IF((F$6-$G$3)&lt;1,0,IFERROR(LOOKUP(2,1/('Milho 1ª safra'!$E22:INDEX('Milho 1ª safra'!$E22:$Z22,MIN(F$6-$G$3,22))&lt;&gt;""),'Milho 1ª safra'!$E22:INDEX('Milho 1ª safra'!$E22:$Z22,MIN(F$6-$G$3,22))),0)))))</f>
        <v>0</v>
      </c>
      <c r="G24" s="27" t="n">
        <f aca="false">IF(COUNT('Milho 1ª safra'!$E22:$Z22)=0,0,MAX(0,IF((G$6-$E$3)&lt;1,0,IFERROR(LOOKUP(2,1/('Milho 1ª safra'!$E22:INDEX('Milho 1ª safra'!$E22:$Z22,MIN(G$6-$E$3,22))&lt;&gt;""),'Milho 1ª safra'!$E22:INDEX('Milho 1ª safra'!$E22:$Z22,MIN(G$6-$E$3,22))),0))-IF($G$2,0,IF((G$6-$G$3)&lt;1,0,IFERROR(LOOKUP(2,1/('Milho 1ª safra'!$E22:INDEX('Milho 1ª safra'!$E22:$Z22,MIN(G$6-$G$3,22))&lt;&gt;""),'Milho 1ª safra'!$E22:INDEX('Milho 1ª safra'!$E22:$Z22,MIN(G$6-$G$3,22))),0)))))</f>
        <v>0</v>
      </c>
      <c r="H24" s="27" t="n">
        <f aca="false">IF(COUNT('Milho 1ª safra'!$E22:$Z22)=0,0,MAX(0,IF((H$6-$E$3)&lt;1,0,IFERROR(LOOKUP(2,1/('Milho 1ª safra'!$E22:INDEX('Milho 1ª safra'!$E22:$Z22,MIN(H$6-$E$3,22))&lt;&gt;""),'Milho 1ª safra'!$E22:INDEX('Milho 1ª safra'!$E22:$Z22,MIN(H$6-$E$3,22))),0))-IF($G$2,0,IF((H$6-$G$3)&lt;1,0,IFERROR(LOOKUP(2,1/('Milho 1ª safra'!$E22:INDEX('Milho 1ª safra'!$E22:$Z22,MIN(H$6-$G$3,22))&lt;&gt;""),'Milho 1ª safra'!$E22:INDEX('Milho 1ª safra'!$E22:$Z22,MIN(H$6-$G$3,22))),0)))))</f>
        <v>0</v>
      </c>
      <c r="I24" s="27" t="n">
        <f aca="false">IF(COUNT('Milho 1ª safra'!$E22:$Z22)=0,0,MAX(0,IF((I$6-$E$3)&lt;1,0,IFERROR(LOOKUP(2,1/('Milho 1ª safra'!$E22:INDEX('Milho 1ª safra'!$E22:$Z22,MIN(I$6-$E$3,22))&lt;&gt;""),'Milho 1ª safra'!$E22:INDEX('Milho 1ª safra'!$E22:$Z22,MIN(I$6-$E$3,22))),0))-IF($G$2,0,IF((I$6-$G$3)&lt;1,0,IFERROR(LOOKUP(2,1/('Milho 1ª safra'!$E22:INDEX('Milho 1ª safra'!$E22:$Z22,MIN(I$6-$G$3,22))&lt;&gt;""),'Milho 1ª safra'!$E22:INDEX('Milho 1ª safra'!$E22:$Z22,MIN(I$6-$G$3,22))),0)))))</f>
        <v>0</v>
      </c>
      <c r="J24" s="27" t="n">
        <f aca="false">IF(COUNT('Milho 1ª safra'!$E22:$Z22)=0,0,MAX(0,IF((J$6-$E$3)&lt;1,0,IFERROR(LOOKUP(2,1/('Milho 1ª safra'!$E22:INDEX('Milho 1ª safra'!$E22:$Z22,MIN(J$6-$E$3,22))&lt;&gt;""),'Milho 1ª safra'!$E22:INDEX('Milho 1ª safra'!$E22:$Z22,MIN(J$6-$E$3,22))),0))-IF($G$2,0,IF((J$6-$G$3)&lt;1,0,IFERROR(LOOKUP(2,1/('Milho 1ª safra'!$E22:INDEX('Milho 1ª safra'!$E22:$Z22,MIN(J$6-$G$3,22))&lt;&gt;""),'Milho 1ª safra'!$E22:INDEX('Milho 1ª safra'!$E22:$Z22,MIN(J$6-$G$3,22))),0)))))</f>
        <v>0</v>
      </c>
      <c r="K24" s="27" t="n">
        <f aca="false">IF(COUNT('Milho 1ª safra'!$E22:$Z22)=0,0,MAX(0,IF((K$6-$E$3)&lt;1,0,IFERROR(LOOKUP(2,1/('Milho 1ª safra'!$E22:INDEX('Milho 1ª safra'!$E22:$Z22,MIN(K$6-$E$3,22))&lt;&gt;""),'Milho 1ª safra'!$E22:INDEX('Milho 1ª safra'!$E22:$Z22,MIN(K$6-$E$3,22))),0))-IF($G$2,0,IF((K$6-$G$3)&lt;1,0,IFERROR(LOOKUP(2,1/('Milho 1ª safra'!$E22:INDEX('Milho 1ª safra'!$E22:$Z22,MIN(K$6-$G$3,22))&lt;&gt;""),'Milho 1ª safra'!$E22:INDEX('Milho 1ª safra'!$E22:$Z22,MIN(K$6-$G$3,22))),0)))))</f>
        <v>0</v>
      </c>
      <c r="L24" s="27" t="n">
        <f aca="false">IF(COUNT('Milho 1ª safra'!$E22:$Z22)=0,0,MAX(0,IF((L$6-$E$3)&lt;1,0,IFERROR(LOOKUP(2,1/('Milho 1ª safra'!$E22:INDEX('Milho 1ª safra'!$E22:$Z22,MIN(L$6-$E$3,22))&lt;&gt;""),'Milho 1ª safra'!$E22:INDEX('Milho 1ª safra'!$E22:$Z22,MIN(L$6-$E$3,22))),0))-IF($G$2,0,IF((L$6-$G$3)&lt;1,0,IFERROR(LOOKUP(2,1/('Milho 1ª safra'!$E22:INDEX('Milho 1ª safra'!$E22:$Z22,MIN(L$6-$G$3,22))&lt;&gt;""),'Milho 1ª safra'!$E22:INDEX('Milho 1ª safra'!$E22:$Z22,MIN(L$6-$G$3,22))),0)))))</f>
        <v>0</v>
      </c>
      <c r="M24" s="27" t="n">
        <f aca="false">IF(COUNT('Milho 1ª safra'!$E22:$Z22)=0,0,MAX(0,IF((M$6-$E$3)&lt;1,0,IFERROR(LOOKUP(2,1/('Milho 1ª safra'!$E22:INDEX('Milho 1ª safra'!$E22:$Z22,MIN(M$6-$E$3,22))&lt;&gt;""),'Milho 1ª safra'!$E22:INDEX('Milho 1ª safra'!$E22:$Z22,MIN(M$6-$E$3,22))),0))-IF($G$2,0,IF((M$6-$G$3)&lt;1,0,IFERROR(LOOKUP(2,1/('Milho 1ª safra'!$E22:INDEX('Milho 1ª safra'!$E22:$Z22,MIN(M$6-$G$3,22))&lt;&gt;""),'Milho 1ª safra'!$E22:INDEX('Milho 1ª safra'!$E22:$Z22,MIN(M$6-$G$3,22))),0)))))</f>
        <v>0</v>
      </c>
      <c r="N24" s="27" t="n">
        <f aca="false">IF(COUNT('Milho 1ª safra'!$E22:$Z22)=0,0,MAX(0,IF((N$6-$E$3)&lt;1,0,IFERROR(LOOKUP(2,1/('Milho 1ª safra'!$E22:INDEX('Milho 1ª safra'!$E22:$Z22,MIN(N$6-$E$3,22))&lt;&gt;""),'Milho 1ª safra'!$E22:INDEX('Milho 1ª safra'!$E22:$Z22,MIN(N$6-$E$3,22))),0))-IF($G$2,0,IF((N$6-$G$3)&lt;1,0,IFERROR(LOOKUP(2,1/('Milho 1ª safra'!$E22:INDEX('Milho 1ª safra'!$E22:$Z22,MIN(N$6-$G$3,22))&lt;&gt;""),'Milho 1ª safra'!$E22:INDEX('Milho 1ª safra'!$E22:$Z22,MIN(N$6-$G$3,22))),0)))))</f>
        <v>0</v>
      </c>
      <c r="O24" s="27" t="n">
        <f aca="false">IF(COUNT('Milho 1ª safra'!$E22:$Z22)=0,0,MAX(0,IF((O$6-$E$3)&lt;1,0,IFERROR(LOOKUP(2,1/('Milho 1ª safra'!$E22:INDEX('Milho 1ª safra'!$E22:$Z22,MIN(O$6-$E$3,22))&lt;&gt;""),'Milho 1ª safra'!$E22:INDEX('Milho 1ª safra'!$E22:$Z22,MIN(O$6-$E$3,22))),0))-IF($G$2,0,IF((O$6-$G$3)&lt;1,0,IFERROR(LOOKUP(2,1/('Milho 1ª safra'!$E22:INDEX('Milho 1ª safra'!$E22:$Z22,MIN(O$6-$G$3,22))&lt;&gt;""),'Milho 1ª safra'!$E22:INDEX('Milho 1ª safra'!$E22:$Z22,MIN(O$6-$G$3,22))),0)))))</f>
        <v>0</v>
      </c>
      <c r="P24" s="27" t="n">
        <f aca="false">IF(COUNT('Milho 1ª safra'!$E22:$Z22)=0,0,MAX(0,IF((P$6-$E$3)&lt;1,0,IFERROR(LOOKUP(2,1/('Milho 1ª safra'!$E22:INDEX('Milho 1ª safra'!$E22:$Z22,MIN(P$6-$E$3,22))&lt;&gt;""),'Milho 1ª safra'!$E22:INDEX('Milho 1ª safra'!$E22:$Z22,MIN(P$6-$E$3,22))),0))-IF($G$2,0,IF((P$6-$G$3)&lt;1,0,IFERROR(LOOKUP(2,1/('Milho 1ª safra'!$E22:INDEX('Milho 1ª safra'!$E22:$Z22,MIN(P$6-$G$3,22))&lt;&gt;""),'Milho 1ª safra'!$E22:INDEX('Milho 1ª safra'!$E22:$Z22,MIN(P$6-$G$3,22))),0)))))</f>
        <v>0</v>
      </c>
      <c r="Q24" s="27" t="n">
        <f aca="false">IF(COUNT('Milho 1ª safra'!$E22:$Z22)=0,0,MAX(0,IF((Q$6-$E$3)&lt;1,0,IFERROR(LOOKUP(2,1/('Milho 1ª safra'!$E22:INDEX('Milho 1ª safra'!$E22:$Z22,MIN(Q$6-$E$3,22))&lt;&gt;""),'Milho 1ª safra'!$E22:INDEX('Milho 1ª safra'!$E22:$Z22,MIN(Q$6-$E$3,22))),0))-IF($G$2,0,IF((Q$6-$G$3)&lt;1,0,IFERROR(LOOKUP(2,1/('Milho 1ª safra'!$E22:INDEX('Milho 1ª safra'!$E22:$Z22,MIN(Q$6-$G$3,22))&lt;&gt;""),'Milho 1ª safra'!$E22:INDEX('Milho 1ª safra'!$E22:$Z22,MIN(Q$6-$G$3,22))),0)))))</f>
        <v>0</v>
      </c>
      <c r="R24" s="27" t="n">
        <f aca="false">IF(COUNT('Milho 1ª safra'!$E22:$Z22)=0,0,MAX(0,IF((R$6-$E$3)&lt;1,0,IFERROR(LOOKUP(2,1/('Milho 1ª safra'!$E22:INDEX('Milho 1ª safra'!$E22:$Z22,MIN(R$6-$E$3,22))&lt;&gt;""),'Milho 1ª safra'!$E22:INDEX('Milho 1ª safra'!$E22:$Z22,MIN(R$6-$E$3,22))),0))-IF($G$2,0,IF((R$6-$G$3)&lt;1,0,IFERROR(LOOKUP(2,1/('Milho 1ª safra'!$E22:INDEX('Milho 1ª safra'!$E22:$Z22,MIN(R$6-$G$3,22))&lt;&gt;""),'Milho 1ª safra'!$E22:INDEX('Milho 1ª safra'!$E22:$Z22,MIN(R$6-$G$3,22))),0)))))</f>
        <v>0</v>
      </c>
      <c r="S24" s="27" t="n">
        <f aca="false">IF(COUNT('Milho 1ª safra'!$E22:$Z22)=0,0,MAX(0,IF((S$6-$E$3)&lt;1,0,IFERROR(LOOKUP(2,1/('Milho 1ª safra'!$E22:INDEX('Milho 1ª safra'!$E22:$Z22,MIN(S$6-$E$3,22))&lt;&gt;""),'Milho 1ª safra'!$E22:INDEX('Milho 1ª safra'!$E22:$Z22,MIN(S$6-$E$3,22))),0))-IF($G$2,0,IF((S$6-$G$3)&lt;1,0,IFERROR(LOOKUP(2,1/('Milho 1ª safra'!$E22:INDEX('Milho 1ª safra'!$E22:$Z22,MIN(S$6-$G$3,22))&lt;&gt;""),'Milho 1ª safra'!$E22:INDEX('Milho 1ª safra'!$E22:$Z22,MIN(S$6-$G$3,22))),0)))))</f>
        <v>0</v>
      </c>
      <c r="T24" s="27" t="n">
        <f aca="false">IF(COUNT('Milho 1ª safra'!$E22:$Z22)=0,0,MAX(0,IF((T$6-$E$3)&lt;1,0,IFERROR(LOOKUP(2,1/('Milho 1ª safra'!$E22:INDEX('Milho 1ª safra'!$E22:$Z22,MIN(T$6-$E$3,22))&lt;&gt;""),'Milho 1ª safra'!$E22:INDEX('Milho 1ª safra'!$E22:$Z22,MIN(T$6-$E$3,22))),0))-IF($G$2,0,IF((T$6-$G$3)&lt;1,0,IFERROR(LOOKUP(2,1/('Milho 1ª safra'!$E22:INDEX('Milho 1ª safra'!$E22:$Z22,MIN(T$6-$G$3,22))&lt;&gt;""),'Milho 1ª safra'!$E22:INDEX('Milho 1ª safra'!$E22:$Z22,MIN(T$6-$G$3,22))),0)))))</f>
        <v>0</v>
      </c>
      <c r="U24" s="27" t="n">
        <f aca="false">IF(COUNT('Milho 1ª safra'!$E22:$Z22)=0,0,MAX(0,IF((U$6-$E$3)&lt;1,0,IFERROR(LOOKUP(2,1/('Milho 1ª safra'!$E22:INDEX('Milho 1ª safra'!$E22:$Z22,MIN(U$6-$E$3,22))&lt;&gt;""),'Milho 1ª safra'!$E22:INDEX('Milho 1ª safra'!$E22:$Z22,MIN(U$6-$E$3,22))),0))-IF($G$2,0,IF((U$6-$G$3)&lt;1,0,IFERROR(LOOKUP(2,1/('Milho 1ª safra'!$E22:INDEX('Milho 1ª safra'!$E22:$Z22,MIN(U$6-$G$3,22))&lt;&gt;""),'Milho 1ª safra'!$E22:INDEX('Milho 1ª safra'!$E22:$Z22,MIN(U$6-$G$3,22))),0)))))</f>
        <v>0</v>
      </c>
      <c r="V24" s="27" t="n">
        <f aca="false">IF(COUNT('Milho 1ª safra'!$E22:$Z22)=0,0,MAX(0,IF((V$6-$E$3)&lt;1,0,IFERROR(LOOKUP(2,1/('Milho 1ª safra'!$E22:INDEX('Milho 1ª safra'!$E22:$Z22,MIN(V$6-$E$3,22))&lt;&gt;""),'Milho 1ª safra'!$E22:INDEX('Milho 1ª safra'!$E22:$Z22,MIN(V$6-$E$3,22))),0))-IF($G$2,0,IF((V$6-$G$3)&lt;1,0,IFERROR(LOOKUP(2,1/('Milho 1ª safra'!$E22:INDEX('Milho 1ª safra'!$E22:$Z22,MIN(V$6-$G$3,22))&lt;&gt;""),'Milho 1ª safra'!$E22:INDEX('Milho 1ª safra'!$E22:$Z22,MIN(V$6-$G$3,22))),0)))))</f>
        <v>0</v>
      </c>
      <c r="W24" s="27" t="n">
        <f aca="false">IF(COUNT('Milho 1ª safra'!$E22:$Z22)=0,0,MAX(0,IF((W$6-$E$3)&lt;1,0,IFERROR(LOOKUP(2,1/('Milho 1ª safra'!$E22:INDEX('Milho 1ª safra'!$E22:$Z22,MIN(W$6-$E$3,22))&lt;&gt;""),'Milho 1ª safra'!$E22:INDEX('Milho 1ª safra'!$E22:$Z22,MIN(W$6-$E$3,22))),0))-IF($G$2,0,IF((W$6-$G$3)&lt;1,0,IFERROR(LOOKUP(2,1/('Milho 1ª safra'!$E22:INDEX('Milho 1ª safra'!$E22:$Z22,MIN(W$6-$G$3,22))&lt;&gt;""),'Milho 1ª safra'!$E22:INDEX('Milho 1ª safra'!$E22:$Z22,MIN(W$6-$G$3,22))),0)))))</f>
        <v>0</v>
      </c>
      <c r="X24" s="27" t="n">
        <f aca="false">IF(COUNT('Milho 1ª safra'!$E22:$Z22)=0,0,MAX(0,IF((X$6-$E$3)&lt;1,0,IFERROR(LOOKUP(2,1/('Milho 1ª safra'!$E22:INDEX('Milho 1ª safra'!$E22:$Z22,MIN(X$6-$E$3,22))&lt;&gt;""),'Milho 1ª safra'!$E22:INDEX('Milho 1ª safra'!$E22:$Z22,MIN(X$6-$E$3,22))),0))-IF($G$2,0,IF((X$6-$G$3)&lt;1,0,IFERROR(LOOKUP(2,1/('Milho 1ª safra'!$E22:INDEX('Milho 1ª safra'!$E22:$Z22,MIN(X$6-$G$3,22))&lt;&gt;""),'Milho 1ª safra'!$E22:INDEX('Milho 1ª safra'!$E22:$Z22,MIN(X$6-$G$3,22))),0)))))</f>
        <v>0</v>
      </c>
      <c r="Y24" s="27" t="n">
        <f aca="false">IF(COUNT('Milho 1ª safra'!$E22:$Z22)=0,0,MAX(0,IF((Y$6-$E$3)&lt;1,0,IFERROR(LOOKUP(2,1/('Milho 1ª safra'!$E22:INDEX('Milho 1ª safra'!$E22:$Z22,MIN(Y$6-$E$3,22))&lt;&gt;""),'Milho 1ª safra'!$E22:INDEX('Milho 1ª safra'!$E22:$Z22,MIN(Y$6-$E$3,22))),0))-IF($G$2,0,IF((Y$6-$G$3)&lt;1,0,IFERROR(LOOKUP(2,1/('Milho 1ª safra'!$E22:INDEX('Milho 1ª safra'!$E22:$Z22,MIN(Y$6-$G$3,22))&lt;&gt;""),'Milho 1ª safra'!$E22:INDEX('Milho 1ª safra'!$E22:$Z22,MIN(Y$6-$G$3,22))),0)))))</f>
        <v>0</v>
      </c>
      <c r="Z24" s="27" t="n">
        <f aca="false">IF(COUNT('Milho 1ª safra'!$E22:$Z22)=0,0,MAX(0,IF((Z$6-$E$3)&lt;1,0,IFERROR(LOOKUP(2,1/('Milho 1ª safra'!$E22:INDEX('Milho 1ª safra'!$E22:$Z22,MIN(Z$6-$E$3,22))&lt;&gt;""),'Milho 1ª safra'!$E22:INDEX('Milho 1ª safra'!$E22:$Z22,MIN(Z$6-$E$3,22))),0))-IF($G$2,0,IF((Z$6-$G$3)&lt;1,0,IFERROR(LOOKUP(2,1/('Milho 1ª safra'!$E22:INDEX('Milho 1ª safra'!$E22:$Z22,MIN(Z$6-$G$3,22))&lt;&gt;""),'Milho 1ª safra'!$E22:INDEX('Milho 1ª safra'!$E22:$Z22,MIN(Z$6-$G$3,22))),0)))))</f>
        <v>0</v>
      </c>
      <c r="AA24" s="27" t="n">
        <f aca="false">IF(COUNT('Milho 1ª safra'!$E22:$Z22)=0,0,MAX(0,IF((AA$6-$E$3)&lt;1,0,IFERROR(LOOKUP(2,1/('Milho 1ª safra'!$E22:INDEX('Milho 1ª safra'!$E22:$Z22,MIN(AA$6-$E$3,22))&lt;&gt;""),'Milho 1ª safra'!$E22:INDEX('Milho 1ª safra'!$E22:$Z22,MIN(AA$6-$E$3,22))),0))-IF($G$2,0,IF((AA$6-$G$3)&lt;1,0,IFERROR(LOOKUP(2,1/('Milho 1ª safra'!$E22:INDEX('Milho 1ª safra'!$E22:$Z22,MIN(AA$6-$G$3,22))&lt;&gt;""),'Milho 1ª safra'!$E22:INDEX('Milho 1ª safra'!$E22:$Z22,MIN(AA$6-$G$3,22))),0)))))</f>
        <v>0</v>
      </c>
      <c r="AB24" s="27" t="n">
        <f aca="false">IF(COUNT('Milho 1ª safra'!$E22:$Z22)=0,0,MAX(0,IF((AB$6-$E$3)&lt;1,0,IFERROR(LOOKUP(2,1/('Milho 1ª safra'!$E22:INDEX('Milho 1ª safra'!$E22:$Z22,MIN(AB$6-$E$3,22))&lt;&gt;""),'Milho 1ª safra'!$E22:INDEX('Milho 1ª safra'!$E22:$Z22,MIN(AB$6-$E$3,22))),0))-IF($G$2,0,IF((AB$6-$G$3)&lt;1,0,IFERROR(LOOKUP(2,1/('Milho 1ª safra'!$E22:INDEX('Milho 1ª safra'!$E22:$Z22,MIN(AB$6-$G$3,22))&lt;&gt;""),'Milho 1ª safra'!$E22:INDEX('Milho 1ª safra'!$E22:$Z22,MIN(AB$6-$G$3,22))),0)))))</f>
        <v>0</v>
      </c>
      <c r="AC24" s="27" t="n">
        <f aca="false">IF(COUNT('Milho 1ª safra'!$E22:$Z22)=0,0,MAX(0,IF((AC$6-$E$3)&lt;1,0,IFERROR(LOOKUP(2,1/('Milho 1ª safra'!$E22:INDEX('Milho 1ª safra'!$E22:$Z22,MIN(AC$6-$E$3,22))&lt;&gt;""),'Milho 1ª safra'!$E22:INDEX('Milho 1ª safra'!$E22:$Z22,MIN(AC$6-$E$3,22))),0))-IF($G$2,0,IF((AC$6-$G$3)&lt;1,0,IFERROR(LOOKUP(2,1/('Milho 1ª safra'!$E22:INDEX('Milho 1ª safra'!$E22:$Z22,MIN(AC$6-$G$3,22))&lt;&gt;""),'Milho 1ª safra'!$E22:INDEX('Milho 1ª safra'!$E22:$Z22,MIN(AC$6-$G$3,22))),0)))))</f>
        <v>0</v>
      </c>
      <c r="AD24" s="27" t="n">
        <f aca="false">IF(COUNT('Milho 1ª safra'!$E22:$Z22)=0,0,MAX(0,IF((AD$6-$E$3)&lt;1,0,IFERROR(LOOKUP(2,1/('Milho 1ª safra'!$E22:INDEX('Milho 1ª safra'!$E22:$Z22,MIN(AD$6-$E$3,22))&lt;&gt;""),'Milho 1ª safra'!$E22:INDEX('Milho 1ª safra'!$E22:$Z22,MIN(AD$6-$E$3,22))),0))-IF($G$2,0,IF((AD$6-$G$3)&lt;1,0,IFERROR(LOOKUP(2,1/('Milho 1ª safra'!$E22:INDEX('Milho 1ª safra'!$E22:$Z22,MIN(AD$6-$G$3,22))&lt;&gt;""),'Milho 1ª safra'!$E22:INDEX('Milho 1ª safra'!$E22:$Z22,MIN(AD$6-$G$3,22))),0)))))</f>
        <v>0</v>
      </c>
      <c r="AE24" s="27" t="n">
        <f aca="false">IF(COUNT('Milho 1ª safra'!$E22:$Z22)=0,0,MAX(0,IF((AE$6-$E$3)&lt;1,0,IFERROR(LOOKUP(2,1/('Milho 1ª safra'!$E22:INDEX('Milho 1ª safra'!$E22:$Z22,MIN(AE$6-$E$3,22))&lt;&gt;""),'Milho 1ª safra'!$E22:INDEX('Milho 1ª safra'!$E22:$Z22,MIN(AE$6-$E$3,22))),0))-IF($G$2,0,IF((AE$6-$G$3)&lt;1,0,IFERROR(LOOKUP(2,1/('Milho 1ª safra'!$E22:INDEX('Milho 1ª safra'!$E22:$Z22,MIN(AE$6-$G$3,22))&lt;&gt;""),'Milho 1ª safra'!$E22:INDEX('Milho 1ª safra'!$E22:$Z22,MIN(AE$6-$G$3,22))),0)))))</f>
        <v>0</v>
      </c>
      <c r="AF24" s="27" t="n">
        <f aca="false">IF(COUNT('Milho 1ª safra'!$E22:$Z22)=0,0,MAX(0,IF((AF$6-$E$3)&lt;1,0,IFERROR(LOOKUP(2,1/('Milho 1ª safra'!$E22:INDEX('Milho 1ª safra'!$E22:$Z22,MIN(AF$6-$E$3,22))&lt;&gt;""),'Milho 1ª safra'!$E22:INDEX('Milho 1ª safra'!$E22:$Z22,MIN(AF$6-$E$3,22))),0))-IF($G$2,0,IF((AF$6-$G$3)&lt;1,0,IFERROR(LOOKUP(2,1/('Milho 1ª safra'!$E22:INDEX('Milho 1ª safra'!$E22:$Z22,MIN(AF$6-$G$3,22))&lt;&gt;""),'Milho 1ª safra'!$E22:INDEX('Milho 1ª safra'!$E22:$Z22,MIN(AF$6-$G$3,22))),0)))))</f>
        <v>0</v>
      </c>
      <c r="AG24" s="27" t="n">
        <f aca="false">IF(COUNT('Milho 1ª safra'!$E22:$Z22)=0,0,MAX(0,IF((AG$6-$E$3)&lt;1,0,IFERROR(LOOKUP(2,1/('Milho 1ª safra'!$E22:INDEX('Milho 1ª safra'!$E22:$Z22,MIN(AG$6-$E$3,22))&lt;&gt;""),'Milho 1ª safra'!$E22:INDEX('Milho 1ª safra'!$E22:$Z22,MIN(AG$6-$E$3,22))),0))-IF($G$2,0,IF((AG$6-$G$3)&lt;1,0,IFERROR(LOOKUP(2,1/('Milho 1ª safra'!$E22:INDEX('Milho 1ª safra'!$E22:$Z22,MIN(AG$6-$G$3,22))&lt;&gt;""),'Milho 1ª safra'!$E22:INDEX('Milho 1ª safra'!$E22:$Z22,MIN(AG$6-$G$3,22))),0)))))</f>
        <v>0</v>
      </c>
      <c r="AH24" s="27" t="n">
        <f aca="false">IF(COUNT('Milho 1ª safra'!$E22:$Z22)=0,0,MAX(0,IF((AH$6-$E$3)&lt;1,0,IFERROR(LOOKUP(2,1/('Milho 1ª safra'!$E22:INDEX('Milho 1ª safra'!$E22:$Z22,MIN(AH$6-$E$3,22))&lt;&gt;""),'Milho 1ª safra'!$E22:INDEX('Milho 1ª safra'!$E22:$Z22,MIN(AH$6-$E$3,22))),0))-IF($G$2,0,IF((AH$6-$G$3)&lt;1,0,IFERROR(LOOKUP(2,1/('Milho 1ª safra'!$E22:INDEX('Milho 1ª safra'!$E22:$Z22,MIN(AH$6-$G$3,22))&lt;&gt;""),'Milho 1ª safra'!$E22:INDEX('Milho 1ª safra'!$E22:$Z22,MIN(AH$6-$G$3,22))),0)))))</f>
        <v>0</v>
      </c>
      <c r="AI24" s="27" t="n">
        <f aca="false">IF(COUNT('Milho 1ª safra'!$E22:$Z22)=0,0,MAX(0,IF((AI$6-$E$3)&lt;1,0,IFERROR(LOOKUP(2,1/('Milho 1ª safra'!$E22:INDEX('Milho 1ª safra'!$E22:$Z22,MIN(AI$6-$E$3,22))&lt;&gt;""),'Milho 1ª safra'!$E22:INDEX('Milho 1ª safra'!$E22:$Z22,MIN(AI$6-$E$3,22))),0))-IF($G$2,0,IF((AI$6-$G$3)&lt;1,0,IFERROR(LOOKUP(2,1/('Milho 1ª safra'!$E22:INDEX('Milho 1ª safra'!$E22:$Z22,MIN(AI$6-$G$3,22))&lt;&gt;""),'Milho 1ª safra'!$E22:INDEX('Milho 1ª safra'!$E22:$Z22,MIN(AI$6-$G$3,22))),0)))))</f>
        <v>0</v>
      </c>
      <c r="AJ24" s="27" t="n">
        <f aca="false">IF(COUNT('Milho 1ª safra'!$E22:$Z22)=0,0,MAX(0,IF((AJ$6-$E$3)&lt;1,0,IFERROR(LOOKUP(2,1/('Milho 1ª safra'!$E22:INDEX('Milho 1ª safra'!$E22:$Z22,MIN(AJ$6-$E$3,22))&lt;&gt;""),'Milho 1ª safra'!$E22:INDEX('Milho 1ª safra'!$E22:$Z22,MIN(AJ$6-$E$3,22))),0))-IF($G$2,0,IF((AJ$6-$G$3)&lt;1,0,IFERROR(LOOKUP(2,1/('Milho 1ª safra'!$E22:INDEX('Milho 1ª safra'!$E22:$Z22,MIN(AJ$6-$G$3,22))&lt;&gt;""),'Milho 1ª safra'!$E22:INDEX('Milho 1ª safra'!$E22:$Z22,MIN(AJ$6-$G$3,22))),0)))))</f>
        <v>0</v>
      </c>
      <c r="AK24" s="27" t="n">
        <f aca="false">IF(COUNT('Milho 1ª safra'!$E22:$Z22)=0,0,MAX(0,IF((AK$6-$E$3)&lt;1,0,IFERROR(LOOKUP(2,1/('Milho 1ª safra'!$E22:INDEX('Milho 1ª safra'!$E22:$Z22,MIN(AK$6-$E$3,22))&lt;&gt;""),'Milho 1ª safra'!$E22:INDEX('Milho 1ª safra'!$E22:$Z22,MIN(AK$6-$E$3,22))),0))-IF($G$2,0,IF((AK$6-$G$3)&lt;1,0,IFERROR(LOOKUP(2,1/('Milho 1ª safra'!$E22:INDEX('Milho 1ª safra'!$E22:$Z22,MIN(AK$6-$G$3,22))&lt;&gt;""),'Milho 1ª safra'!$E22:INDEX('Milho 1ª safra'!$E22:$Z22,MIN(AK$6-$G$3,22))),0)))))</f>
        <v>0</v>
      </c>
      <c r="AL24" s="27" t="n">
        <f aca="false">IF(COUNT('Milho 1ª safra'!$E22:$Z22)=0,0,MAX(0,IF((AL$6-$E$3)&lt;1,0,IFERROR(LOOKUP(2,1/('Milho 1ª safra'!$E22:INDEX('Milho 1ª safra'!$E22:$Z22,MIN(AL$6-$E$3,22))&lt;&gt;""),'Milho 1ª safra'!$E22:INDEX('Milho 1ª safra'!$E22:$Z22,MIN(AL$6-$E$3,22))),0))-IF($G$2,0,IF((AL$6-$G$3)&lt;1,0,IFERROR(LOOKUP(2,1/('Milho 1ª safra'!$E22:INDEX('Milho 1ª safra'!$E22:$Z22,MIN(AL$6-$G$3,22))&lt;&gt;""),'Milho 1ª safra'!$E22:INDEX('Milho 1ª safra'!$E22:$Z22,MIN(AL$6-$G$3,22))),0)))))</f>
        <v>0</v>
      </c>
      <c r="AM24" s="27" t="n">
        <f aca="false">IF(COUNT('Milho 1ª safra'!$E22:$Z22)=0,0,MAX(0,IF((AM$6-$E$3)&lt;1,0,IFERROR(LOOKUP(2,1/('Milho 1ª safra'!$E22:INDEX('Milho 1ª safra'!$E22:$Z22,MIN(AM$6-$E$3,22))&lt;&gt;""),'Milho 1ª safra'!$E22:INDEX('Milho 1ª safra'!$E22:$Z22,MIN(AM$6-$E$3,22))),0))-IF($G$2,0,IF((AM$6-$G$3)&lt;1,0,IFERROR(LOOKUP(2,1/('Milho 1ª safra'!$E22:INDEX('Milho 1ª safra'!$E22:$Z22,MIN(AM$6-$G$3,22))&lt;&gt;""),'Milho 1ª safra'!$E22:INDEX('Milho 1ª safra'!$E22:$Z22,MIN(AM$6-$G$3,22))),0)))))</f>
        <v>0</v>
      </c>
      <c r="AN24" s="27" t="n">
        <f aca="false">IF(COUNT('Milho 1ª safra'!$E22:$Z22)=0,0,MAX(0,IF((AN$6-$E$3)&lt;1,0,IFERROR(LOOKUP(2,1/('Milho 1ª safra'!$E22:INDEX('Milho 1ª safra'!$E22:$Z22,MIN(AN$6-$E$3,22))&lt;&gt;""),'Milho 1ª safra'!$E22:INDEX('Milho 1ª safra'!$E22:$Z22,MIN(AN$6-$E$3,22))),0))-IF($G$2,0,IF((AN$6-$G$3)&lt;1,0,IFERROR(LOOKUP(2,1/('Milho 1ª safra'!$E22:INDEX('Milho 1ª safra'!$E22:$Z22,MIN(AN$6-$G$3,22))&lt;&gt;""),'Milho 1ª safra'!$E22:INDEX('Milho 1ª safra'!$E22:$Z22,MIN(AN$6-$G$3,22))),0)))))</f>
        <v>0</v>
      </c>
      <c r="AO24" s="27" t="n">
        <f aca="false">IF(COUNT('Milho 1ª safra'!$E22:$Z22)=0,0,MAX(0,IF((AO$6-$E$3)&lt;1,0,IFERROR(LOOKUP(2,1/('Milho 1ª safra'!$E22:INDEX('Milho 1ª safra'!$E22:$Z22,MIN(AO$6-$E$3,22))&lt;&gt;""),'Milho 1ª safra'!$E22:INDEX('Milho 1ª safra'!$E22:$Z22,MIN(AO$6-$E$3,22))),0))-IF($G$2,0,IF((AO$6-$G$3)&lt;1,0,IFERROR(LOOKUP(2,1/('Milho 1ª safra'!$E22:INDEX('Milho 1ª safra'!$E22:$Z22,MIN(AO$6-$G$3,22))&lt;&gt;""),'Milho 1ª safra'!$E22:INDEX('Milho 1ª safra'!$E22:$Z22,MIN(AO$6-$G$3,22))),0)))))</f>
        <v>0</v>
      </c>
      <c r="AP24" s="27" t="n">
        <f aca="false">IF(COUNT('Milho 1ª safra'!$E22:$Z22)=0,0,MAX(0,IF((AP$6-$E$3)&lt;1,0,IFERROR(LOOKUP(2,1/('Milho 1ª safra'!$E22:INDEX('Milho 1ª safra'!$E22:$Z22,MIN(AP$6-$E$3,22))&lt;&gt;""),'Milho 1ª safra'!$E22:INDEX('Milho 1ª safra'!$E22:$Z22,MIN(AP$6-$E$3,22))),0))-IF($G$2,0,IF((AP$6-$G$3)&lt;1,0,IFERROR(LOOKUP(2,1/('Milho 1ª safra'!$E22:INDEX('Milho 1ª safra'!$E22:$Z22,MIN(AP$6-$G$3,22))&lt;&gt;""),'Milho 1ª safra'!$E22:INDEX('Milho 1ª safra'!$E22:$Z22,MIN(AP$6-$G$3,22))),0)))))</f>
        <v>0</v>
      </c>
      <c r="AQ24" s="27" t="n">
        <f aca="false">IF(COUNT('Milho 1ª safra'!$E22:$Z22)=0,0,MAX(0,IF((AQ$6-$E$3)&lt;1,0,IFERROR(LOOKUP(2,1/('Milho 1ª safra'!$E22:INDEX('Milho 1ª safra'!$E22:$Z22,MIN(AQ$6-$E$3,22))&lt;&gt;""),'Milho 1ª safra'!$E22:INDEX('Milho 1ª safra'!$E22:$Z22,MIN(AQ$6-$E$3,22))),0))-IF($G$2,0,IF((AQ$6-$G$3)&lt;1,0,IFERROR(LOOKUP(2,1/('Milho 1ª safra'!$E22:INDEX('Milho 1ª safra'!$E22:$Z22,MIN(AQ$6-$G$3,22))&lt;&gt;""),'Milho 1ª safra'!$E22:INDEX('Milho 1ª safra'!$E22:$Z22,MIN(AQ$6-$G$3,22))),0)))))</f>
        <v>0</v>
      </c>
      <c r="AR24" s="27" t="n">
        <f aca="false">IF(COUNT('Milho 1ª safra'!$E22:$Z22)=0,0,MAX(0,IF((AR$6-$E$3)&lt;1,0,IFERROR(LOOKUP(2,1/('Milho 1ª safra'!$E22:INDEX('Milho 1ª safra'!$E22:$Z22,MIN(AR$6-$E$3,22))&lt;&gt;""),'Milho 1ª safra'!$E22:INDEX('Milho 1ª safra'!$E22:$Z22,MIN(AR$6-$E$3,22))),0))-IF($G$2,0,IF((AR$6-$G$3)&lt;1,0,IFERROR(LOOKUP(2,1/('Milho 1ª safra'!$E22:INDEX('Milho 1ª safra'!$E22:$Z22,MIN(AR$6-$G$3,22))&lt;&gt;""),'Milho 1ª safra'!$E22:INDEX('Milho 1ª safra'!$E22:$Z22,MIN(AR$6-$G$3,22))),0)))))</f>
        <v>0</v>
      </c>
      <c r="AS24" s="27" t="n">
        <f aca="false">IF(COUNT('Milho 1ª safra'!$E22:$Z22)=0,0,MAX(0,IF((AS$6-$E$3)&lt;1,0,IFERROR(LOOKUP(2,1/('Milho 1ª safra'!$E22:INDEX('Milho 1ª safra'!$E22:$Z22,MIN(AS$6-$E$3,22))&lt;&gt;""),'Milho 1ª safra'!$E22:INDEX('Milho 1ª safra'!$E22:$Z22,MIN(AS$6-$E$3,22))),0))-IF($G$2,0,IF((AS$6-$G$3)&lt;1,0,IFERROR(LOOKUP(2,1/('Milho 1ª safra'!$E22:INDEX('Milho 1ª safra'!$E22:$Z22,MIN(AS$6-$G$3,22))&lt;&gt;""),'Milho 1ª safra'!$E22:INDEX('Milho 1ª safra'!$E22:$Z22,MIN(AS$6-$G$3,22))),0)))))</f>
        <v>0</v>
      </c>
      <c r="AT24" s="27" t="n">
        <f aca="false">IF(COUNT('Milho 1ª safra'!$E22:$Z22)=0,0,MAX(0,IF((AT$6-$E$3)&lt;1,0,IFERROR(LOOKUP(2,1/('Milho 1ª safra'!$E22:INDEX('Milho 1ª safra'!$E22:$Z22,MIN(AT$6-$E$3,22))&lt;&gt;""),'Milho 1ª safra'!$E22:INDEX('Milho 1ª safra'!$E22:$Z22,MIN(AT$6-$E$3,22))),0))-IF($G$2,0,IF((AT$6-$G$3)&lt;1,0,IFERROR(LOOKUP(2,1/('Milho 1ª safra'!$E22:INDEX('Milho 1ª safra'!$E22:$Z22,MIN(AT$6-$G$3,22))&lt;&gt;""),'Milho 1ª safra'!$E22:INDEX('Milho 1ª safra'!$E22:$Z22,MIN(AT$6-$G$3,22))),0)))))</f>
        <v>0</v>
      </c>
      <c r="AU24" s="27" t="n">
        <f aca="false">IF(COUNT('Milho 1ª safra'!$E22:$Z22)=0,0,MAX(0,IF((AU$6-$E$3)&lt;1,0,IFERROR(LOOKUP(2,1/('Milho 1ª safra'!$E22:INDEX('Milho 1ª safra'!$E22:$Z22,MIN(AU$6-$E$3,22))&lt;&gt;""),'Milho 1ª safra'!$E22:INDEX('Milho 1ª safra'!$E22:$Z22,MIN(AU$6-$E$3,22))),0))-IF($G$2,0,IF((AU$6-$G$3)&lt;1,0,IFERROR(LOOKUP(2,1/('Milho 1ª safra'!$E22:INDEX('Milho 1ª safra'!$E22:$Z22,MIN(AU$6-$G$3,22))&lt;&gt;""),'Milho 1ª safra'!$E22:INDEX('Milho 1ª safra'!$E22:$Z22,MIN(AU$6-$G$3,22))),0)))))</f>
        <v>0</v>
      </c>
      <c r="AV24" s="27" t="n">
        <f aca="false">IF(COUNT('Milho 1ª safra'!$E22:$Z22)=0,0,MAX(0,IF((AV$6-$E$3)&lt;1,0,IFERROR(LOOKUP(2,1/('Milho 1ª safra'!$E22:INDEX('Milho 1ª safra'!$E22:$Z22,MIN(AV$6-$E$3,22))&lt;&gt;""),'Milho 1ª safra'!$E22:INDEX('Milho 1ª safra'!$E22:$Z22,MIN(AV$6-$E$3,22))),0))-IF($G$2,0,IF((AV$6-$G$3)&lt;1,0,IFERROR(LOOKUP(2,1/('Milho 1ª safra'!$E22:INDEX('Milho 1ª safra'!$E22:$Z22,MIN(AV$6-$G$3,22))&lt;&gt;""),'Milho 1ª safra'!$E22:INDEX('Milho 1ª safra'!$E22:$Z22,MIN(AV$6-$G$3,22))),0)))))</f>
        <v>0</v>
      </c>
      <c r="AW24" s="27" t="n">
        <f aca="false">IF(COUNT('Milho 1ª safra'!$E22:$Z22)=0,0,MAX(0,IF((AW$6-$E$3)&lt;1,0,IFERROR(LOOKUP(2,1/('Milho 1ª safra'!$E22:INDEX('Milho 1ª safra'!$E22:$Z22,MIN(AW$6-$E$3,22))&lt;&gt;""),'Milho 1ª safra'!$E22:INDEX('Milho 1ª safra'!$E22:$Z22,MIN(AW$6-$E$3,22))),0))-IF($G$2,0,IF((AW$6-$G$3)&lt;1,0,IFERROR(LOOKUP(2,1/('Milho 1ª safra'!$E22:INDEX('Milho 1ª safra'!$E22:$Z22,MIN(AW$6-$G$3,22))&lt;&gt;""),'Milho 1ª safra'!$E22:INDEX('Milho 1ª safra'!$E22:$Z22,MIN(AW$6-$G$3,22))),0)))))</f>
        <v>0</v>
      </c>
      <c r="AX24" s="27" t="n">
        <f aca="false">IF(COUNT('Milho 1ª safra'!$E22:$Z22)=0,0,MAX(0,IF((AX$6-$E$3)&lt;1,0,IFERROR(LOOKUP(2,1/('Milho 1ª safra'!$E22:INDEX('Milho 1ª safra'!$E22:$Z22,MIN(AX$6-$E$3,22))&lt;&gt;""),'Milho 1ª safra'!$E22:INDEX('Milho 1ª safra'!$E22:$Z22,MIN(AX$6-$E$3,22))),0))-IF($G$2,0,IF((AX$6-$G$3)&lt;1,0,IFERROR(LOOKUP(2,1/('Milho 1ª safra'!$E22:INDEX('Milho 1ª safra'!$E22:$Z22,MIN(AX$6-$G$3,22))&lt;&gt;""),'Milho 1ª safra'!$E22:INDEX('Milho 1ª safra'!$E22:$Z22,MIN(AX$6-$G$3,22))),0)))))</f>
        <v>0</v>
      </c>
      <c r="AY24" s="27" t="n">
        <f aca="false">IF(COUNT('Milho 1ª safra'!$E22:$Z22)=0,0,MAX(0,IF((AY$6-$E$3)&lt;1,0,IFERROR(LOOKUP(2,1/('Milho 1ª safra'!$E22:INDEX('Milho 1ª safra'!$E22:$Z22,MIN(AY$6-$E$3,22))&lt;&gt;""),'Milho 1ª safra'!$E22:INDEX('Milho 1ª safra'!$E22:$Z22,MIN(AY$6-$E$3,22))),0))-IF($G$2,0,IF((AY$6-$G$3)&lt;1,0,IFERROR(LOOKUP(2,1/('Milho 1ª safra'!$E22:INDEX('Milho 1ª safra'!$E22:$Z22,MIN(AY$6-$G$3,22))&lt;&gt;""),'Milho 1ª safra'!$E22:INDEX('Milho 1ª safra'!$E22:$Z22,MIN(AY$6-$G$3,22))),0)))))</f>
        <v>0</v>
      </c>
      <c r="AZ24" s="27" t="n">
        <f aca="false">IF(COUNT('Milho 1ª safra'!$E22:$Z22)=0,0,MAX(0,IF((AZ$6-$E$3)&lt;1,0,IFERROR(LOOKUP(2,1/('Milho 1ª safra'!$E22:INDEX('Milho 1ª safra'!$E22:$Z22,MIN(AZ$6-$E$3,22))&lt;&gt;""),'Milho 1ª safra'!$E22:INDEX('Milho 1ª safra'!$E22:$Z22,MIN(AZ$6-$E$3,22))),0))-IF($G$2,0,IF((AZ$6-$G$3)&lt;1,0,IFERROR(LOOKUP(2,1/('Milho 1ª safra'!$E22:INDEX('Milho 1ª safra'!$E22:$Z22,MIN(AZ$6-$G$3,22))&lt;&gt;""),'Milho 1ª safra'!$E22:INDEX('Milho 1ª safra'!$E22:$Z22,MIN(AZ$6-$G$3,22))),0)))))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IF(COUNT('Milho 1ª safra'!$E23:$Z23)&gt;0,N('Milho 1ª safra'!$D23),0)</f>
        <v>0</v>
      </c>
      <c r="E25" s="27" t="n">
        <f aca="false">IF(COUNT('Milho 1ª safra'!$E23:$Z23)=0,0,MAX(0,IF((E$6-$E$3)&lt;1,0,IFERROR(LOOKUP(2,1/('Milho 1ª safra'!$E23:INDEX('Milho 1ª safra'!$E23:$Z23,MIN(E$6-$E$3,22))&lt;&gt;""),'Milho 1ª safra'!$E23:INDEX('Milho 1ª safra'!$E23:$Z23,MIN(E$6-$E$3,22))),0))-IF($G$2,0,IF((E$6-$G$3)&lt;1,0,IFERROR(LOOKUP(2,1/('Milho 1ª safra'!$E23:INDEX('Milho 1ª safra'!$E23:$Z23,MIN(E$6-$G$3,22))&lt;&gt;""),'Milho 1ª safra'!$E23:INDEX('Milho 1ª safra'!$E23:$Z23,MIN(E$6-$G$3,22))),0)))))</f>
        <v>0</v>
      </c>
      <c r="F25" s="27" t="n">
        <f aca="false">IF(COUNT('Milho 1ª safra'!$E23:$Z23)=0,0,MAX(0,IF((F$6-$E$3)&lt;1,0,IFERROR(LOOKUP(2,1/('Milho 1ª safra'!$E23:INDEX('Milho 1ª safra'!$E23:$Z23,MIN(F$6-$E$3,22))&lt;&gt;""),'Milho 1ª safra'!$E23:INDEX('Milho 1ª safra'!$E23:$Z23,MIN(F$6-$E$3,22))),0))-IF($G$2,0,IF((F$6-$G$3)&lt;1,0,IFERROR(LOOKUP(2,1/('Milho 1ª safra'!$E23:INDEX('Milho 1ª safra'!$E23:$Z23,MIN(F$6-$G$3,22))&lt;&gt;""),'Milho 1ª safra'!$E23:INDEX('Milho 1ª safra'!$E23:$Z23,MIN(F$6-$G$3,22))),0)))))</f>
        <v>0</v>
      </c>
      <c r="G25" s="27" t="n">
        <f aca="false">IF(COUNT('Milho 1ª safra'!$E23:$Z23)=0,0,MAX(0,IF((G$6-$E$3)&lt;1,0,IFERROR(LOOKUP(2,1/('Milho 1ª safra'!$E23:INDEX('Milho 1ª safra'!$E23:$Z23,MIN(G$6-$E$3,22))&lt;&gt;""),'Milho 1ª safra'!$E23:INDEX('Milho 1ª safra'!$E23:$Z23,MIN(G$6-$E$3,22))),0))-IF($G$2,0,IF((G$6-$G$3)&lt;1,0,IFERROR(LOOKUP(2,1/('Milho 1ª safra'!$E23:INDEX('Milho 1ª safra'!$E23:$Z23,MIN(G$6-$G$3,22))&lt;&gt;""),'Milho 1ª safra'!$E23:INDEX('Milho 1ª safra'!$E23:$Z23,MIN(G$6-$G$3,22))),0)))))</f>
        <v>0</v>
      </c>
      <c r="H25" s="27" t="n">
        <f aca="false">IF(COUNT('Milho 1ª safra'!$E23:$Z23)=0,0,MAX(0,IF((H$6-$E$3)&lt;1,0,IFERROR(LOOKUP(2,1/('Milho 1ª safra'!$E23:INDEX('Milho 1ª safra'!$E23:$Z23,MIN(H$6-$E$3,22))&lt;&gt;""),'Milho 1ª safra'!$E23:INDEX('Milho 1ª safra'!$E23:$Z23,MIN(H$6-$E$3,22))),0))-IF($G$2,0,IF((H$6-$G$3)&lt;1,0,IFERROR(LOOKUP(2,1/('Milho 1ª safra'!$E23:INDEX('Milho 1ª safra'!$E23:$Z23,MIN(H$6-$G$3,22))&lt;&gt;""),'Milho 1ª safra'!$E23:INDEX('Milho 1ª safra'!$E23:$Z23,MIN(H$6-$G$3,22))),0)))))</f>
        <v>0</v>
      </c>
      <c r="I25" s="27" t="n">
        <f aca="false">IF(COUNT('Milho 1ª safra'!$E23:$Z23)=0,0,MAX(0,IF((I$6-$E$3)&lt;1,0,IFERROR(LOOKUP(2,1/('Milho 1ª safra'!$E23:INDEX('Milho 1ª safra'!$E23:$Z23,MIN(I$6-$E$3,22))&lt;&gt;""),'Milho 1ª safra'!$E23:INDEX('Milho 1ª safra'!$E23:$Z23,MIN(I$6-$E$3,22))),0))-IF($G$2,0,IF((I$6-$G$3)&lt;1,0,IFERROR(LOOKUP(2,1/('Milho 1ª safra'!$E23:INDEX('Milho 1ª safra'!$E23:$Z23,MIN(I$6-$G$3,22))&lt;&gt;""),'Milho 1ª safra'!$E23:INDEX('Milho 1ª safra'!$E23:$Z23,MIN(I$6-$G$3,22))),0)))))</f>
        <v>0</v>
      </c>
      <c r="J25" s="27" t="n">
        <f aca="false">IF(COUNT('Milho 1ª safra'!$E23:$Z23)=0,0,MAX(0,IF((J$6-$E$3)&lt;1,0,IFERROR(LOOKUP(2,1/('Milho 1ª safra'!$E23:INDEX('Milho 1ª safra'!$E23:$Z23,MIN(J$6-$E$3,22))&lt;&gt;""),'Milho 1ª safra'!$E23:INDEX('Milho 1ª safra'!$E23:$Z23,MIN(J$6-$E$3,22))),0))-IF($G$2,0,IF((J$6-$G$3)&lt;1,0,IFERROR(LOOKUP(2,1/('Milho 1ª safra'!$E23:INDEX('Milho 1ª safra'!$E23:$Z23,MIN(J$6-$G$3,22))&lt;&gt;""),'Milho 1ª safra'!$E23:INDEX('Milho 1ª safra'!$E23:$Z23,MIN(J$6-$G$3,22))),0)))))</f>
        <v>0</v>
      </c>
      <c r="K25" s="27" t="n">
        <f aca="false">IF(COUNT('Milho 1ª safra'!$E23:$Z23)=0,0,MAX(0,IF((K$6-$E$3)&lt;1,0,IFERROR(LOOKUP(2,1/('Milho 1ª safra'!$E23:INDEX('Milho 1ª safra'!$E23:$Z23,MIN(K$6-$E$3,22))&lt;&gt;""),'Milho 1ª safra'!$E23:INDEX('Milho 1ª safra'!$E23:$Z23,MIN(K$6-$E$3,22))),0))-IF($G$2,0,IF((K$6-$G$3)&lt;1,0,IFERROR(LOOKUP(2,1/('Milho 1ª safra'!$E23:INDEX('Milho 1ª safra'!$E23:$Z23,MIN(K$6-$G$3,22))&lt;&gt;""),'Milho 1ª safra'!$E23:INDEX('Milho 1ª safra'!$E23:$Z23,MIN(K$6-$G$3,22))),0)))))</f>
        <v>0</v>
      </c>
      <c r="L25" s="27" t="n">
        <f aca="false">IF(COUNT('Milho 1ª safra'!$E23:$Z23)=0,0,MAX(0,IF((L$6-$E$3)&lt;1,0,IFERROR(LOOKUP(2,1/('Milho 1ª safra'!$E23:INDEX('Milho 1ª safra'!$E23:$Z23,MIN(L$6-$E$3,22))&lt;&gt;""),'Milho 1ª safra'!$E23:INDEX('Milho 1ª safra'!$E23:$Z23,MIN(L$6-$E$3,22))),0))-IF($G$2,0,IF((L$6-$G$3)&lt;1,0,IFERROR(LOOKUP(2,1/('Milho 1ª safra'!$E23:INDEX('Milho 1ª safra'!$E23:$Z23,MIN(L$6-$G$3,22))&lt;&gt;""),'Milho 1ª safra'!$E23:INDEX('Milho 1ª safra'!$E23:$Z23,MIN(L$6-$G$3,22))),0)))))</f>
        <v>0</v>
      </c>
      <c r="M25" s="27" t="n">
        <f aca="false">IF(COUNT('Milho 1ª safra'!$E23:$Z23)=0,0,MAX(0,IF((M$6-$E$3)&lt;1,0,IFERROR(LOOKUP(2,1/('Milho 1ª safra'!$E23:INDEX('Milho 1ª safra'!$E23:$Z23,MIN(M$6-$E$3,22))&lt;&gt;""),'Milho 1ª safra'!$E23:INDEX('Milho 1ª safra'!$E23:$Z23,MIN(M$6-$E$3,22))),0))-IF($G$2,0,IF((M$6-$G$3)&lt;1,0,IFERROR(LOOKUP(2,1/('Milho 1ª safra'!$E23:INDEX('Milho 1ª safra'!$E23:$Z23,MIN(M$6-$G$3,22))&lt;&gt;""),'Milho 1ª safra'!$E23:INDEX('Milho 1ª safra'!$E23:$Z23,MIN(M$6-$G$3,22))),0)))))</f>
        <v>0</v>
      </c>
      <c r="N25" s="27" t="n">
        <f aca="false">IF(COUNT('Milho 1ª safra'!$E23:$Z23)=0,0,MAX(0,IF((N$6-$E$3)&lt;1,0,IFERROR(LOOKUP(2,1/('Milho 1ª safra'!$E23:INDEX('Milho 1ª safra'!$E23:$Z23,MIN(N$6-$E$3,22))&lt;&gt;""),'Milho 1ª safra'!$E23:INDEX('Milho 1ª safra'!$E23:$Z23,MIN(N$6-$E$3,22))),0))-IF($G$2,0,IF((N$6-$G$3)&lt;1,0,IFERROR(LOOKUP(2,1/('Milho 1ª safra'!$E23:INDEX('Milho 1ª safra'!$E23:$Z23,MIN(N$6-$G$3,22))&lt;&gt;""),'Milho 1ª safra'!$E23:INDEX('Milho 1ª safra'!$E23:$Z23,MIN(N$6-$G$3,22))),0)))))</f>
        <v>0</v>
      </c>
      <c r="O25" s="27" t="n">
        <f aca="false">IF(COUNT('Milho 1ª safra'!$E23:$Z23)=0,0,MAX(0,IF((O$6-$E$3)&lt;1,0,IFERROR(LOOKUP(2,1/('Milho 1ª safra'!$E23:INDEX('Milho 1ª safra'!$E23:$Z23,MIN(O$6-$E$3,22))&lt;&gt;""),'Milho 1ª safra'!$E23:INDEX('Milho 1ª safra'!$E23:$Z23,MIN(O$6-$E$3,22))),0))-IF($G$2,0,IF((O$6-$G$3)&lt;1,0,IFERROR(LOOKUP(2,1/('Milho 1ª safra'!$E23:INDEX('Milho 1ª safra'!$E23:$Z23,MIN(O$6-$G$3,22))&lt;&gt;""),'Milho 1ª safra'!$E23:INDEX('Milho 1ª safra'!$E23:$Z23,MIN(O$6-$G$3,22))),0)))))</f>
        <v>0</v>
      </c>
      <c r="P25" s="27" t="n">
        <f aca="false">IF(COUNT('Milho 1ª safra'!$E23:$Z23)=0,0,MAX(0,IF((P$6-$E$3)&lt;1,0,IFERROR(LOOKUP(2,1/('Milho 1ª safra'!$E23:INDEX('Milho 1ª safra'!$E23:$Z23,MIN(P$6-$E$3,22))&lt;&gt;""),'Milho 1ª safra'!$E23:INDEX('Milho 1ª safra'!$E23:$Z23,MIN(P$6-$E$3,22))),0))-IF($G$2,0,IF((P$6-$G$3)&lt;1,0,IFERROR(LOOKUP(2,1/('Milho 1ª safra'!$E23:INDEX('Milho 1ª safra'!$E23:$Z23,MIN(P$6-$G$3,22))&lt;&gt;""),'Milho 1ª safra'!$E23:INDEX('Milho 1ª safra'!$E23:$Z23,MIN(P$6-$G$3,22))),0)))))</f>
        <v>0</v>
      </c>
      <c r="Q25" s="27" t="n">
        <f aca="false">IF(COUNT('Milho 1ª safra'!$E23:$Z23)=0,0,MAX(0,IF((Q$6-$E$3)&lt;1,0,IFERROR(LOOKUP(2,1/('Milho 1ª safra'!$E23:INDEX('Milho 1ª safra'!$E23:$Z23,MIN(Q$6-$E$3,22))&lt;&gt;""),'Milho 1ª safra'!$E23:INDEX('Milho 1ª safra'!$E23:$Z23,MIN(Q$6-$E$3,22))),0))-IF($G$2,0,IF((Q$6-$G$3)&lt;1,0,IFERROR(LOOKUP(2,1/('Milho 1ª safra'!$E23:INDEX('Milho 1ª safra'!$E23:$Z23,MIN(Q$6-$G$3,22))&lt;&gt;""),'Milho 1ª safra'!$E23:INDEX('Milho 1ª safra'!$E23:$Z23,MIN(Q$6-$G$3,22))),0)))))</f>
        <v>0</v>
      </c>
      <c r="R25" s="27" t="n">
        <f aca="false">IF(COUNT('Milho 1ª safra'!$E23:$Z23)=0,0,MAX(0,IF((R$6-$E$3)&lt;1,0,IFERROR(LOOKUP(2,1/('Milho 1ª safra'!$E23:INDEX('Milho 1ª safra'!$E23:$Z23,MIN(R$6-$E$3,22))&lt;&gt;""),'Milho 1ª safra'!$E23:INDEX('Milho 1ª safra'!$E23:$Z23,MIN(R$6-$E$3,22))),0))-IF($G$2,0,IF((R$6-$G$3)&lt;1,0,IFERROR(LOOKUP(2,1/('Milho 1ª safra'!$E23:INDEX('Milho 1ª safra'!$E23:$Z23,MIN(R$6-$G$3,22))&lt;&gt;""),'Milho 1ª safra'!$E23:INDEX('Milho 1ª safra'!$E23:$Z23,MIN(R$6-$G$3,22))),0)))))</f>
        <v>0</v>
      </c>
      <c r="S25" s="27" t="n">
        <f aca="false">IF(COUNT('Milho 1ª safra'!$E23:$Z23)=0,0,MAX(0,IF((S$6-$E$3)&lt;1,0,IFERROR(LOOKUP(2,1/('Milho 1ª safra'!$E23:INDEX('Milho 1ª safra'!$E23:$Z23,MIN(S$6-$E$3,22))&lt;&gt;""),'Milho 1ª safra'!$E23:INDEX('Milho 1ª safra'!$E23:$Z23,MIN(S$6-$E$3,22))),0))-IF($G$2,0,IF((S$6-$G$3)&lt;1,0,IFERROR(LOOKUP(2,1/('Milho 1ª safra'!$E23:INDEX('Milho 1ª safra'!$E23:$Z23,MIN(S$6-$G$3,22))&lt;&gt;""),'Milho 1ª safra'!$E23:INDEX('Milho 1ª safra'!$E23:$Z23,MIN(S$6-$G$3,22))),0)))))</f>
        <v>0</v>
      </c>
      <c r="T25" s="27" t="n">
        <f aca="false">IF(COUNT('Milho 1ª safra'!$E23:$Z23)=0,0,MAX(0,IF((T$6-$E$3)&lt;1,0,IFERROR(LOOKUP(2,1/('Milho 1ª safra'!$E23:INDEX('Milho 1ª safra'!$E23:$Z23,MIN(T$6-$E$3,22))&lt;&gt;""),'Milho 1ª safra'!$E23:INDEX('Milho 1ª safra'!$E23:$Z23,MIN(T$6-$E$3,22))),0))-IF($G$2,0,IF((T$6-$G$3)&lt;1,0,IFERROR(LOOKUP(2,1/('Milho 1ª safra'!$E23:INDEX('Milho 1ª safra'!$E23:$Z23,MIN(T$6-$G$3,22))&lt;&gt;""),'Milho 1ª safra'!$E23:INDEX('Milho 1ª safra'!$E23:$Z23,MIN(T$6-$G$3,22))),0)))))</f>
        <v>0</v>
      </c>
      <c r="U25" s="27" t="n">
        <f aca="false">IF(COUNT('Milho 1ª safra'!$E23:$Z23)=0,0,MAX(0,IF((U$6-$E$3)&lt;1,0,IFERROR(LOOKUP(2,1/('Milho 1ª safra'!$E23:INDEX('Milho 1ª safra'!$E23:$Z23,MIN(U$6-$E$3,22))&lt;&gt;""),'Milho 1ª safra'!$E23:INDEX('Milho 1ª safra'!$E23:$Z23,MIN(U$6-$E$3,22))),0))-IF($G$2,0,IF((U$6-$G$3)&lt;1,0,IFERROR(LOOKUP(2,1/('Milho 1ª safra'!$E23:INDEX('Milho 1ª safra'!$E23:$Z23,MIN(U$6-$G$3,22))&lt;&gt;""),'Milho 1ª safra'!$E23:INDEX('Milho 1ª safra'!$E23:$Z23,MIN(U$6-$G$3,22))),0)))))</f>
        <v>0</v>
      </c>
      <c r="V25" s="27" t="n">
        <f aca="false">IF(COUNT('Milho 1ª safra'!$E23:$Z23)=0,0,MAX(0,IF((V$6-$E$3)&lt;1,0,IFERROR(LOOKUP(2,1/('Milho 1ª safra'!$E23:INDEX('Milho 1ª safra'!$E23:$Z23,MIN(V$6-$E$3,22))&lt;&gt;""),'Milho 1ª safra'!$E23:INDEX('Milho 1ª safra'!$E23:$Z23,MIN(V$6-$E$3,22))),0))-IF($G$2,0,IF((V$6-$G$3)&lt;1,0,IFERROR(LOOKUP(2,1/('Milho 1ª safra'!$E23:INDEX('Milho 1ª safra'!$E23:$Z23,MIN(V$6-$G$3,22))&lt;&gt;""),'Milho 1ª safra'!$E23:INDEX('Milho 1ª safra'!$E23:$Z23,MIN(V$6-$G$3,22))),0)))))</f>
        <v>0</v>
      </c>
      <c r="W25" s="27" t="n">
        <f aca="false">IF(COUNT('Milho 1ª safra'!$E23:$Z23)=0,0,MAX(0,IF((W$6-$E$3)&lt;1,0,IFERROR(LOOKUP(2,1/('Milho 1ª safra'!$E23:INDEX('Milho 1ª safra'!$E23:$Z23,MIN(W$6-$E$3,22))&lt;&gt;""),'Milho 1ª safra'!$E23:INDEX('Milho 1ª safra'!$E23:$Z23,MIN(W$6-$E$3,22))),0))-IF($G$2,0,IF((W$6-$G$3)&lt;1,0,IFERROR(LOOKUP(2,1/('Milho 1ª safra'!$E23:INDEX('Milho 1ª safra'!$E23:$Z23,MIN(W$6-$G$3,22))&lt;&gt;""),'Milho 1ª safra'!$E23:INDEX('Milho 1ª safra'!$E23:$Z23,MIN(W$6-$G$3,22))),0)))))</f>
        <v>0</v>
      </c>
      <c r="X25" s="27" t="n">
        <f aca="false">IF(COUNT('Milho 1ª safra'!$E23:$Z23)=0,0,MAX(0,IF((X$6-$E$3)&lt;1,0,IFERROR(LOOKUP(2,1/('Milho 1ª safra'!$E23:INDEX('Milho 1ª safra'!$E23:$Z23,MIN(X$6-$E$3,22))&lt;&gt;""),'Milho 1ª safra'!$E23:INDEX('Milho 1ª safra'!$E23:$Z23,MIN(X$6-$E$3,22))),0))-IF($G$2,0,IF((X$6-$G$3)&lt;1,0,IFERROR(LOOKUP(2,1/('Milho 1ª safra'!$E23:INDEX('Milho 1ª safra'!$E23:$Z23,MIN(X$6-$G$3,22))&lt;&gt;""),'Milho 1ª safra'!$E23:INDEX('Milho 1ª safra'!$E23:$Z23,MIN(X$6-$G$3,22))),0)))))</f>
        <v>0</v>
      </c>
      <c r="Y25" s="27" t="n">
        <f aca="false">IF(COUNT('Milho 1ª safra'!$E23:$Z23)=0,0,MAX(0,IF((Y$6-$E$3)&lt;1,0,IFERROR(LOOKUP(2,1/('Milho 1ª safra'!$E23:INDEX('Milho 1ª safra'!$E23:$Z23,MIN(Y$6-$E$3,22))&lt;&gt;""),'Milho 1ª safra'!$E23:INDEX('Milho 1ª safra'!$E23:$Z23,MIN(Y$6-$E$3,22))),0))-IF($G$2,0,IF((Y$6-$G$3)&lt;1,0,IFERROR(LOOKUP(2,1/('Milho 1ª safra'!$E23:INDEX('Milho 1ª safra'!$E23:$Z23,MIN(Y$6-$G$3,22))&lt;&gt;""),'Milho 1ª safra'!$E23:INDEX('Milho 1ª safra'!$E23:$Z23,MIN(Y$6-$G$3,22))),0)))))</f>
        <v>0</v>
      </c>
      <c r="Z25" s="27" t="n">
        <f aca="false">IF(COUNT('Milho 1ª safra'!$E23:$Z23)=0,0,MAX(0,IF((Z$6-$E$3)&lt;1,0,IFERROR(LOOKUP(2,1/('Milho 1ª safra'!$E23:INDEX('Milho 1ª safra'!$E23:$Z23,MIN(Z$6-$E$3,22))&lt;&gt;""),'Milho 1ª safra'!$E23:INDEX('Milho 1ª safra'!$E23:$Z23,MIN(Z$6-$E$3,22))),0))-IF($G$2,0,IF((Z$6-$G$3)&lt;1,0,IFERROR(LOOKUP(2,1/('Milho 1ª safra'!$E23:INDEX('Milho 1ª safra'!$E23:$Z23,MIN(Z$6-$G$3,22))&lt;&gt;""),'Milho 1ª safra'!$E23:INDEX('Milho 1ª safra'!$E23:$Z23,MIN(Z$6-$G$3,22))),0)))))</f>
        <v>0</v>
      </c>
      <c r="AA25" s="27" t="n">
        <f aca="false">IF(COUNT('Milho 1ª safra'!$E23:$Z23)=0,0,MAX(0,IF((AA$6-$E$3)&lt;1,0,IFERROR(LOOKUP(2,1/('Milho 1ª safra'!$E23:INDEX('Milho 1ª safra'!$E23:$Z23,MIN(AA$6-$E$3,22))&lt;&gt;""),'Milho 1ª safra'!$E23:INDEX('Milho 1ª safra'!$E23:$Z23,MIN(AA$6-$E$3,22))),0))-IF($G$2,0,IF((AA$6-$G$3)&lt;1,0,IFERROR(LOOKUP(2,1/('Milho 1ª safra'!$E23:INDEX('Milho 1ª safra'!$E23:$Z23,MIN(AA$6-$G$3,22))&lt;&gt;""),'Milho 1ª safra'!$E23:INDEX('Milho 1ª safra'!$E23:$Z23,MIN(AA$6-$G$3,22))),0)))))</f>
        <v>0</v>
      </c>
      <c r="AB25" s="27" t="n">
        <f aca="false">IF(COUNT('Milho 1ª safra'!$E23:$Z23)=0,0,MAX(0,IF((AB$6-$E$3)&lt;1,0,IFERROR(LOOKUP(2,1/('Milho 1ª safra'!$E23:INDEX('Milho 1ª safra'!$E23:$Z23,MIN(AB$6-$E$3,22))&lt;&gt;""),'Milho 1ª safra'!$E23:INDEX('Milho 1ª safra'!$E23:$Z23,MIN(AB$6-$E$3,22))),0))-IF($G$2,0,IF((AB$6-$G$3)&lt;1,0,IFERROR(LOOKUP(2,1/('Milho 1ª safra'!$E23:INDEX('Milho 1ª safra'!$E23:$Z23,MIN(AB$6-$G$3,22))&lt;&gt;""),'Milho 1ª safra'!$E23:INDEX('Milho 1ª safra'!$E23:$Z23,MIN(AB$6-$G$3,22))),0)))))</f>
        <v>0</v>
      </c>
      <c r="AC25" s="27" t="n">
        <f aca="false">IF(COUNT('Milho 1ª safra'!$E23:$Z23)=0,0,MAX(0,IF((AC$6-$E$3)&lt;1,0,IFERROR(LOOKUP(2,1/('Milho 1ª safra'!$E23:INDEX('Milho 1ª safra'!$E23:$Z23,MIN(AC$6-$E$3,22))&lt;&gt;""),'Milho 1ª safra'!$E23:INDEX('Milho 1ª safra'!$E23:$Z23,MIN(AC$6-$E$3,22))),0))-IF($G$2,0,IF((AC$6-$G$3)&lt;1,0,IFERROR(LOOKUP(2,1/('Milho 1ª safra'!$E23:INDEX('Milho 1ª safra'!$E23:$Z23,MIN(AC$6-$G$3,22))&lt;&gt;""),'Milho 1ª safra'!$E23:INDEX('Milho 1ª safra'!$E23:$Z23,MIN(AC$6-$G$3,22))),0)))))</f>
        <v>0</v>
      </c>
      <c r="AD25" s="27" t="n">
        <f aca="false">IF(COUNT('Milho 1ª safra'!$E23:$Z23)=0,0,MAX(0,IF((AD$6-$E$3)&lt;1,0,IFERROR(LOOKUP(2,1/('Milho 1ª safra'!$E23:INDEX('Milho 1ª safra'!$E23:$Z23,MIN(AD$6-$E$3,22))&lt;&gt;""),'Milho 1ª safra'!$E23:INDEX('Milho 1ª safra'!$E23:$Z23,MIN(AD$6-$E$3,22))),0))-IF($G$2,0,IF((AD$6-$G$3)&lt;1,0,IFERROR(LOOKUP(2,1/('Milho 1ª safra'!$E23:INDEX('Milho 1ª safra'!$E23:$Z23,MIN(AD$6-$G$3,22))&lt;&gt;""),'Milho 1ª safra'!$E23:INDEX('Milho 1ª safra'!$E23:$Z23,MIN(AD$6-$G$3,22))),0)))))</f>
        <v>0</v>
      </c>
      <c r="AE25" s="27" t="n">
        <f aca="false">IF(COUNT('Milho 1ª safra'!$E23:$Z23)=0,0,MAX(0,IF((AE$6-$E$3)&lt;1,0,IFERROR(LOOKUP(2,1/('Milho 1ª safra'!$E23:INDEX('Milho 1ª safra'!$E23:$Z23,MIN(AE$6-$E$3,22))&lt;&gt;""),'Milho 1ª safra'!$E23:INDEX('Milho 1ª safra'!$E23:$Z23,MIN(AE$6-$E$3,22))),0))-IF($G$2,0,IF((AE$6-$G$3)&lt;1,0,IFERROR(LOOKUP(2,1/('Milho 1ª safra'!$E23:INDEX('Milho 1ª safra'!$E23:$Z23,MIN(AE$6-$G$3,22))&lt;&gt;""),'Milho 1ª safra'!$E23:INDEX('Milho 1ª safra'!$E23:$Z23,MIN(AE$6-$G$3,22))),0)))))</f>
        <v>0</v>
      </c>
      <c r="AF25" s="27" t="n">
        <f aca="false">IF(COUNT('Milho 1ª safra'!$E23:$Z23)=0,0,MAX(0,IF((AF$6-$E$3)&lt;1,0,IFERROR(LOOKUP(2,1/('Milho 1ª safra'!$E23:INDEX('Milho 1ª safra'!$E23:$Z23,MIN(AF$6-$E$3,22))&lt;&gt;""),'Milho 1ª safra'!$E23:INDEX('Milho 1ª safra'!$E23:$Z23,MIN(AF$6-$E$3,22))),0))-IF($G$2,0,IF((AF$6-$G$3)&lt;1,0,IFERROR(LOOKUP(2,1/('Milho 1ª safra'!$E23:INDEX('Milho 1ª safra'!$E23:$Z23,MIN(AF$6-$G$3,22))&lt;&gt;""),'Milho 1ª safra'!$E23:INDEX('Milho 1ª safra'!$E23:$Z23,MIN(AF$6-$G$3,22))),0)))))</f>
        <v>0</v>
      </c>
      <c r="AG25" s="27" t="n">
        <f aca="false">IF(COUNT('Milho 1ª safra'!$E23:$Z23)=0,0,MAX(0,IF((AG$6-$E$3)&lt;1,0,IFERROR(LOOKUP(2,1/('Milho 1ª safra'!$E23:INDEX('Milho 1ª safra'!$E23:$Z23,MIN(AG$6-$E$3,22))&lt;&gt;""),'Milho 1ª safra'!$E23:INDEX('Milho 1ª safra'!$E23:$Z23,MIN(AG$6-$E$3,22))),0))-IF($G$2,0,IF((AG$6-$G$3)&lt;1,0,IFERROR(LOOKUP(2,1/('Milho 1ª safra'!$E23:INDEX('Milho 1ª safra'!$E23:$Z23,MIN(AG$6-$G$3,22))&lt;&gt;""),'Milho 1ª safra'!$E23:INDEX('Milho 1ª safra'!$E23:$Z23,MIN(AG$6-$G$3,22))),0)))))</f>
        <v>0</v>
      </c>
      <c r="AH25" s="27" t="n">
        <f aca="false">IF(COUNT('Milho 1ª safra'!$E23:$Z23)=0,0,MAX(0,IF((AH$6-$E$3)&lt;1,0,IFERROR(LOOKUP(2,1/('Milho 1ª safra'!$E23:INDEX('Milho 1ª safra'!$E23:$Z23,MIN(AH$6-$E$3,22))&lt;&gt;""),'Milho 1ª safra'!$E23:INDEX('Milho 1ª safra'!$E23:$Z23,MIN(AH$6-$E$3,22))),0))-IF($G$2,0,IF((AH$6-$G$3)&lt;1,0,IFERROR(LOOKUP(2,1/('Milho 1ª safra'!$E23:INDEX('Milho 1ª safra'!$E23:$Z23,MIN(AH$6-$G$3,22))&lt;&gt;""),'Milho 1ª safra'!$E23:INDEX('Milho 1ª safra'!$E23:$Z23,MIN(AH$6-$G$3,22))),0)))))</f>
        <v>0</v>
      </c>
      <c r="AI25" s="27" t="n">
        <f aca="false">IF(COUNT('Milho 1ª safra'!$E23:$Z23)=0,0,MAX(0,IF((AI$6-$E$3)&lt;1,0,IFERROR(LOOKUP(2,1/('Milho 1ª safra'!$E23:INDEX('Milho 1ª safra'!$E23:$Z23,MIN(AI$6-$E$3,22))&lt;&gt;""),'Milho 1ª safra'!$E23:INDEX('Milho 1ª safra'!$E23:$Z23,MIN(AI$6-$E$3,22))),0))-IF($G$2,0,IF((AI$6-$G$3)&lt;1,0,IFERROR(LOOKUP(2,1/('Milho 1ª safra'!$E23:INDEX('Milho 1ª safra'!$E23:$Z23,MIN(AI$6-$G$3,22))&lt;&gt;""),'Milho 1ª safra'!$E23:INDEX('Milho 1ª safra'!$E23:$Z23,MIN(AI$6-$G$3,22))),0)))))</f>
        <v>0</v>
      </c>
      <c r="AJ25" s="27" t="n">
        <f aca="false">IF(COUNT('Milho 1ª safra'!$E23:$Z23)=0,0,MAX(0,IF((AJ$6-$E$3)&lt;1,0,IFERROR(LOOKUP(2,1/('Milho 1ª safra'!$E23:INDEX('Milho 1ª safra'!$E23:$Z23,MIN(AJ$6-$E$3,22))&lt;&gt;""),'Milho 1ª safra'!$E23:INDEX('Milho 1ª safra'!$E23:$Z23,MIN(AJ$6-$E$3,22))),0))-IF($G$2,0,IF((AJ$6-$G$3)&lt;1,0,IFERROR(LOOKUP(2,1/('Milho 1ª safra'!$E23:INDEX('Milho 1ª safra'!$E23:$Z23,MIN(AJ$6-$G$3,22))&lt;&gt;""),'Milho 1ª safra'!$E23:INDEX('Milho 1ª safra'!$E23:$Z23,MIN(AJ$6-$G$3,22))),0)))))</f>
        <v>0</v>
      </c>
      <c r="AK25" s="27" t="n">
        <f aca="false">IF(COUNT('Milho 1ª safra'!$E23:$Z23)=0,0,MAX(0,IF((AK$6-$E$3)&lt;1,0,IFERROR(LOOKUP(2,1/('Milho 1ª safra'!$E23:INDEX('Milho 1ª safra'!$E23:$Z23,MIN(AK$6-$E$3,22))&lt;&gt;""),'Milho 1ª safra'!$E23:INDEX('Milho 1ª safra'!$E23:$Z23,MIN(AK$6-$E$3,22))),0))-IF($G$2,0,IF((AK$6-$G$3)&lt;1,0,IFERROR(LOOKUP(2,1/('Milho 1ª safra'!$E23:INDEX('Milho 1ª safra'!$E23:$Z23,MIN(AK$6-$G$3,22))&lt;&gt;""),'Milho 1ª safra'!$E23:INDEX('Milho 1ª safra'!$E23:$Z23,MIN(AK$6-$G$3,22))),0)))))</f>
        <v>0</v>
      </c>
      <c r="AL25" s="27" t="n">
        <f aca="false">IF(COUNT('Milho 1ª safra'!$E23:$Z23)=0,0,MAX(0,IF((AL$6-$E$3)&lt;1,0,IFERROR(LOOKUP(2,1/('Milho 1ª safra'!$E23:INDEX('Milho 1ª safra'!$E23:$Z23,MIN(AL$6-$E$3,22))&lt;&gt;""),'Milho 1ª safra'!$E23:INDEX('Milho 1ª safra'!$E23:$Z23,MIN(AL$6-$E$3,22))),0))-IF($G$2,0,IF((AL$6-$G$3)&lt;1,0,IFERROR(LOOKUP(2,1/('Milho 1ª safra'!$E23:INDEX('Milho 1ª safra'!$E23:$Z23,MIN(AL$6-$G$3,22))&lt;&gt;""),'Milho 1ª safra'!$E23:INDEX('Milho 1ª safra'!$E23:$Z23,MIN(AL$6-$G$3,22))),0)))))</f>
        <v>0</v>
      </c>
      <c r="AM25" s="27" t="n">
        <f aca="false">IF(COUNT('Milho 1ª safra'!$E23:$Z23)=0,0,MAX(0,IF((AM$6-$E$3)&lt;1,0,IFERROR(LOOKUP(2,1/('Milho 1ª safra'!$E23:INDEX('Milho 1ª safra'!$E23:$Z23,MIN(AM$6-$E$3,22))&lt;&gt;""),'Milho 1ª safra'!$E23:INDEX('Milho 1ª safra'!$E23:$Z23,MIN(AM$6-$E$3,22))),0))-IF($G$2,0,IF((AM$6-$G$3)&lt;1,0,IFERROR(LOOKUP(2,1/('Milho 1ª safra'!$E23:INDEX('Milho 1ª safra'!$E23:$Z23,MIN(AM$6-$G$3,22))&lt;&gt;""),'Milho 1ª safra'!$E23:INDEX('Milho 1ª safra'!$E23:$Z23,MIN(AM$6-$G$3,22))),0)))))</f>
        <v>0</v>
      </c>
      <c r="AN25" s="27" t="n">
        <f aca="false">IF(COUNT('Milho 1ª safra'!$E23:$Z23)=0,0,MAX(0,IF((AN$6-$E$3)&lt;1,0,IFERROR(LOOKUP(2,1/('Milho 1ª safra'!$E23:INDEX('Milho 1ª safra'!$E23:$Z23,MIN(AN$6-$E$3,22))&lt;&gt;""),'Milho 1ª safra'!$E23:INDEX('Milho 1ª safra'!$E23:$Z23,MIN(AN$6-$E$3,22))),0))-IF($G$2,0,IF((AN$6-$G$3)&lt;1,0,IFERROR(LOOKUP(2,1/('Milho 1ª safra'!$E23:INDEX('Milho 1ª safra'!$E23:$Z23,MIN(AN$6-$G$3,22))&lt;&gt;""),'Milho 1ª safra'!$E23:INDEX('Milho 1ª safra'!$E23:$Z23,MIN(AN$6-$G$3,22))),0)))))</f>
        <v>0</v>
      </c>
      <c r="AO25" s="27" t="n">
        <f aca="false">IF(COUNT('Milho 1ª safra'!$E23:$Z23)=0,0,MAX(0,IF((AO$6-$E$3)&lt;1,0,IFERROR(LOOKUP(2,1/('Milho 1ª safra'!$E23:INDEX('Milho 1ª safra'!$E23:$Z23,MIN(AO$6-$E$3,22))&lt;&gt;""),'Milho 1ª safra'!$E23:INDEX('Milho 1ª safra'!$E23:$Z23,MIN(AO$6-$E$3,22))),0))-IF($G$2,0,IF((AO$6-$G$3)&lt;1,0,IFERROR(LOOKUP(2,1/('Milho 1ª safra'!$E23:INDEX('Milho 1ª safra'!$E23:$Z23,MIN(AO$6-$G$3,22))&lt;&gt;""),'Milho 1ª safra'!$E23:INDEX('Milho 1ª safra'!$E23:$Z23,MIN(AO$6-$G$3,22))),0)))))</f>
        <v>0</v>
      </c>
      <c r="AP25" s="27" t="n">
        <f aca="false">IF(COUNT('Milho 1ª safra'!$E23:$Z23)=0,0,MAX(0,IF((AP$6-$E$3)&lt;1,0,IFERROR(LOOKUP(2,1/('Milho 1ª safra'!$E23:INDEX('Milho 1ª safra'!$E23:$Z23,MIN(AP$6-$E$3,22))&lt;&gt;""),'Milho 1ª safra'!$E23:INDEX('Milho 1ª safra'!$E23:$Z23,MIN(AP$6-$E$3,22))),0))-IF($G$2,0,IF((AP$6-$G$3)&lt;1,0,IFERROR(LOOKUP(2,1/('Milho 1ª safra'!$E23:INDEX('Milho 1ª safra'!$E23:$Z23,MIN(AP$6-$G$3,22))&lt;&gt;""),'Milho 1ª safra'!$E23:INDEX('Milho 1ª safra'!$E23:$Z23,MIN(AP$6-$G$3,22))),0)))))</f>
        <v>0</v>
      </c>
      <c r="AQ25" s="27" t="n">
        <f aca="false">IF(COUNT('Milho 1ª safra'!$E23:$Z23)=0,0,MAX(0,IF((AQ$6-$E$3)&lt;1,0,IFERROR(LOOKUP(2,1/('Milho 1ª safra'!$E23:INDEX('Milho 1ª safra'!$E23:$Z23,MIN(AQ$6-$E$3,22))&lt;&gt;""),'Milho 1ª safra'!$E23:INDEX('Milho 1ª safra'!$E23:$Z23,MIN(AQ$6-$E$3,22))),0))-IF($G$2,0,IF((AQ$6-$G$3)&lt;1,0,IFERROR(LOOKUP(2,1/('Milho 1ª safra'!$E23:INDEX('Milho 1ª safra'!$E23:$Z23,MIN(AQ$6-$G$3,22))&lt;&gt;""),'Milho 1ª safra'!$E23:INDEX('Milho 1ª safra'!$E23:$Z23,MIN(AQ$6-$G$3,22))),0)))))</f>
        <v>0</v>
      </c>
      <c r="AR25" s="27" t="n">
        <f aca="false">IF(COUNT('Milho 1ª safra'!$E23:$Z23)=0,0,MAX(0,IF((AR$6-$E$3)&lt;1,0,IFERROR(LOOKUP(2,1/('Milho 1ª safra'!$E23:INDEX('Milho 1ª safra'!$E23:$Z23,MIN(AR$6-$E$3,22))&lt;&gt;""),'Milho 1ª safra'!$E23:INDEX('Milho 1ª safra'!$E23:$Z23,MIN(AR$6-$E$3,22))),0))-IF($G$2,0,IF((AR$6-$G$3)&lt;1,0,IFERROR(LOOKUP(2,1/('Milho 1ª safra'!$E23:INDEX('Milho 1ª safra'!$E23:$Z23,MIN(AR$6-$G$3,22))&lt;&gt;""),'Milho 1ª safra'!$E23:INDEX('Milho 1ª safra'!$E23:$Z23,MIN(AR$6-$G$3,22))),0)))))</f>
        <v>0</v>
      </c>
      <c r="AS25" s="27" t="n">
        <f aca="false">IF(COUNT('Milho 1ª safra'!$E23:$Z23)=0,0,MAX(0,IF((AS$6-$E$3)&lt;1,0,IFERROR(LOOKUP(2,1/('Milho 1ª safra'!$E23:INDEX('Milho 1ª safra'!$E23:$Z23,MIN(AS$6-$E$3,22))&lt;&gt;""),'Milho 1ª safra'!$E23:INDEX('Milho 1ª safra'!$E23:$Z23,MIN(AS$6-$E$3,22))),0))-IF($G$2,0,IF((AS$6-$G$3)&lt;1,0,IFERROR(LOOKUP(2,1/('Milho 1ª safra'!$E23:INDEX('Milho 1ª safra'!$E23:$Z23,MIN(AS$6-$G$3,22))&lt;&gt;""),'Milho 1ª safra'!$E23:INDEX('Milho 1ª safra'!$E23:$Z23,MIN(AS$6-$G$3,22))),0)))))</f>
        <v>0</v>
      </c>
      <c r="AT25" s="27" t="n">
        <f aca="false">IF(COUNT('Milho 1ª safra'!$E23:$Z23)=0,0,MAX(0,IF((AT$6-$E$3)&lt;1,0,IFERROR(LOOKUP(2,1/('Milho 1ª safra'!$E23:INDEX('Milho 1ª safra'!$E23:$Z23,MIN(AT$6-$E$3,22))&lt;&gt;""),'Milho 1ª safra'!$E23:INDEX('Milho 1ª safra'!$E23:$Z23,MIN(AT$6-$E$3,22))),0))-IF($G$2,0,IF((AT$6-$G$3)&lt;1,0,IFERROR(LOOKUP(2,1/('Milho 1ª safra'!$E23:INDEX('Milho 1ª safra'!$E23:$Z23,MIN(AT$6-$G$3,22))&lt;&gt;""),'Milho 1ª safra'!$E23:INDEX('Milho 1ª safra'!$E23:$Z23,MIN(AT$6-$G$3,22))),0)))))</f>
        <v>0</v>
      </c>
      <c r="AU25" s="27" t="n">
        <f aca="false">IF(COUNT('Milho 1ª safra'!$E23:$Z23)=0,0,MAX(0,IF((AU$6-$E$3)&lt;1,0,IFERROR(LOOKUP(2,1/('Milho 1ª safra'!$E23:INDEX('Milho 1ª safra'!$E23:$Z23,MIN(AU$6-$E$3,22))&lt;&gt;""),'Milho 1ª safra'!$E23:INDEX('Milho 1ª safra'!$E23:$Z23,MIN(AU$6-$E$3,22))),0))-IF($G$2,0,IF((AU$6-$G$3)&lt;1,0,IFERROR(LOOKUP(2,1/('Milho 1ª safra'!$E23:INDEX('Milho 1ª safra'!$E23:$Z23,MIN(AU$6-$G$3,22))&lt;&gt;""),'Milho 1ª safra'!$E23:INDEX('Milho 1ª safra'!$E23:$Z23,MIN(AU$6-$G$3,22))),0)))))</f>
        <v>0</v>
      </c>
      <c r="AV25" s="27" t="n">
        <f aca="false">IF(COUNT('Milho 1ª safra'!$E23:$Z23)=0,0,MAX(0,IF((AV$6-$E$3)&lt;1,0,IFERROR(LOOKUP(2,1/('Milho 1ª safra'!$E23:INDEX('Milho 1ª safra'!$E23:$Z23,MIN(AV$6-$E$3,22))&lt;&gt;""),'Milho 1ª safra'!$E23:INDEX('Milho 1ª safra'!$E23:$Z23,MIN(AV$6-$E$3,22))),0))-IF($G$2,0,IF((AV$6-$G$3)&lt;1,0,IFERROR(LOOKUP(2,1/('Milho 1ª safra'!$E23:INDEX('Milho 1ª safra'!$E23:$Z23,MIN(AV$6-$G$3,22))&lt;&gt;""),'Milho 1ª safra'!$E23:INDEX('Milho 1ª safra'!$E23:$Z23,MIN(AV$6-$G$3,22))),0)))))</f>
        <v>0</v>
      </c>
      <c r="AW25" s="27" t="n">
        <f aca="false">IF(COUNT('Milho 1ª safra'!$E23:$Z23)=0,0,MAX(0,IF((AW$6-$E$3)&lt;1,0,IFERROR(LOOKUP(2,1/('Milho 1ª safra'!$E23:INDEX('Milho 1ª safra'!$E23:$Z23,MIN(AW$6-$E$3,22))&lt;&gt;""),'Milho 1ª safra'!$E23:INDEX('Milho 1ª safra'!$E23:$Z23,MIN(AW$6-$E$3,22))),0))-IF($G$2,0,IF((AW$6-$G$3)&lt;1,0,IFERROR(LOOKUP(2,1/('Milho 1ª safra'!$E23:INDEX('Milho 1ª safra'!$E23:$Z23,MIN(AW$6-$G$3,22))&lt;&gt;""),'Milho 1ª safra'!$E23:INDEX('Milho 1ª safra'!$E23:$Z23,MIN(AW$6-$G$3,22))),0)))))</f>
        <v>0</v>
      </c>
      <c r="AX25" s="27" t="n">
        <f aca="false">IF(COUNT('Milho 1ª safra'!$E23:$Z23)=0,0,MAX(0,IF((AX$6-$E$3)&lt;1,0,IFERROR(LOOKUP(2,1/('Milho 1ª safra'!$E23:INDEX('Milho 1ª safra'!$E23:$Z23,MIN(AX$6-$E$3,22))&lt;&gt;""),'Milho 1ª safra'!$E23:INDEX('Milho 1ª safra'!$E23:$Z23,MIN(AX$6-$E$3,22))),0))-IF($G$2,0,IF((AX$6-$G$3)&lt;1,0,IFERROR(LOOKUP(2,1/('Milho 1ª safra'!$E23:INDEX('Milho 1ª safra'!$E23:$Z23,MIN(AX$6-$G$3,22))&lt;&gt;""),'Milho 1ª safra'!$E23:INDEX('Milho 1ª safra'!$E23:$Z23,MIN(AX$6-$G$3,22))),0)))))</f>
        <v>0</v>
      </c>
      <c r="AY25" s="27" t="n">
        <f aca="false">IF(COUNT('Milho 1ª safra'!$E23:$Z23)=0,0,MAX(0,IF((AY$6-$E$3)&lt;1,0,IFERROR(LOOKUP(2,1/('Milho 1ª safra'!$E23:INDEX('Milho 1ª safra'!$E23:$Z23,MIN(AY$6-$E$3,22))&lt;&gt;""),'Milho 1ª safra'!$E23:INDEX('Milho 1ª safra'!$E23:$Z23,MIN(AY$6-$E$3,22))),0))-IF($G$2,0,IF((AY$6-$G$3)&lt;1,0,IFERROR(LOOKUP(2,1/('Milho 1ª safra'!$E23:INDEX('Milho 1ª safra'!$E23:$Z23,MIN(AY$6-$G$3,22))&lt;&gt;""),'Milho 1ª safra'!$E23:INDEX('Milho 1ª safra'!$E23:$Z23,MIN(AY$6-$G$3,22))),0)))))</f>
        <v>0</v>
      </c>
      <c r="AZ25" s="27" t="n">
        <f aca="false">IF(COUNT('Milho 1ª safra'!$E23:$Z23)=0,0,MAX(0,IF((AZ$6-$E$3)&lt;1,0,IFERROR(LOOKUP(2,1/('Milho 1ª safra'!$E23:INDEX('Milho 1ª safra'!$E23:$Z23,MIN(AZ$6-$E$3,22))&lt;&gt;""),'Milho 1ª safra'!$E23:INDEX('Milho 1ª safra'!$E23:$Z23,MIN(AZ$6-$E$3,22))),0))-IF($G$2,0,IF((AZ$6-$G$3)&lt;1,0,IFERROR(LOOKUP(2,1/('Milho 1ª safra'!$E23:INDEX('Milho 1ª safra'!$E23:$Z23,MIN(AZ$6-$G$3,22))&lt;&gt;""),'Milho 1ª safra'!$E23:INDEX('Milho 1ª safra'!$E23:$Z23,MIN(AZ$6-$G$3,22))),0)))))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IF(COUNT('Milho 1ª safra'!$E24:$Z24)&gt;0,N('Milho 1ª safra'!$D24),0)</f>
        <v>0</v>
      </c>
      <c r="E26" s="27" t="n">
        <f aca="false">IF(COUNT('Milho 1ª safra'!$E24:$Z24)=0,0,MAX(0,IF((E$6-$E$3)&lt;1,0,IFERROR(LOOKUP(2,1/('Milho 1ª safra'!$E24:INDEX('Milho 1ª safra'!$E24:$Z24,MIN(E$6-$E$3,22))&lt;&gt;""),'Milho 1ª safra'!$E24:INDEX('Milho 1ª safra'!$E24:$Z24,MIN(E$6-$E$3,22))),0))-IF($G$2,0,IF((E$6-$G$3)&lt;1,0,IFERROR(LOOKUP(2,1/('Milho 1ª safra'!$E24:INDEX('Milho 1ª safra'!$E24:$Z24,MIN(E$6-$G$3,22))&lt;&gt;""),'Milho 1ª safra'!$E24:INDEX('Milho 1ª safra'!$E24:$Z24,MIN(E$6-$G$3,22))),0)))))</f>
        <v>0</v>
      </c>
      <c r="F26" s="27" t="n">
        <f aca="false">IF(COUNT('Milho 1ª safra'!$E24:$Z24)=0,0,MAX(0,IF((F$6-$E$3)&lt;1,0,IFERROR(LOOKUP(2,1/('Milho 1ª safra'!$E24:INDEX('Milho 1ª safra'!$E24:$Z24,MIN(F$6-$E$3,22))&lt;&gt;""),'Milho 1ª safra'!$E24:INDEX('Milho 1ª safra'!$E24:$Z24,MIN(F$6-$E$3,22))),0))-IF($G$2,0,IF((F$6-$G$3)&lt;1,0,IFERROR(LOOKUP(2,1/('Milho 1ª safra'!$E24:INDEX('Milho 1ª safra'!$E24:$Z24,MIN(F$6-$G$3,22))&lt;&gt;""),'Milho 1ª safra'!$E24:INDEX('Milho 1ª safra'!$E24:$Z24,MIN(F$6-$G$3,22))),0)))))</f>
        <v>0</v>
      </c>
      <c r="G26" s="27" t="n">
        <f aca="false">IF(COUNT('Milho 1ª safra'!$E24:$Z24)=0,0,MAX(0,IF((G$6-$E$3)&lt;1,0,IFERROR(LOOKUP(2,1/('Milho 1ª safra'!$E24:INDEX('Milho 1ª safra'!$E24:$Z24,MIN(G$6-$E$3,22))&lt;&gt;""),'Milho 1ª safra'!$E24:INDEX('Milho 1ª safra'!$E24:$Z24,MIN(G$6-$E$3,22))),0))-IF($G$2,0,IF((G$6-$G$3)&lt;1,0,IFERROR(LOOKUP(2,1/('Milho 1ª safra'!$E24:INDEX('Milho 1ª safra'!$E24:$Z24,MIN(G$6-$G$3,22))&lt;&gt;""),'Milho 1ª safra'!$E24:INDEX('Milho 1ª safra'!$E24:$Z24,MIN(G$6-$G$3,22))),0)))))</f>
        <v>0</v>
      </c>
      <c r="H26" s="27" t="n">
        <f aca="false">IF(COUNT('Milho 1ª safra'!$E24:$Z24)=0,0,MAX(0,IF((H$6-$E$3)&lt;1,0,IFERROR(LOOKUP(2,1/('Milho 1ª safra'!$E24:INDEX('Milho 1ª safra'!$E24:$Z24,MIN(H$6-$E$3,22))&lt;&gt;""),'Milho 1ª safra'!$E24:INDEX('Milho 1ª safra'!$E24:$Z24,MIN(H$6-$E$3,22))),0))-IF($G$2,0,IF((H$6-$G$3)&lt;1,0,IFERROR(LOOKUP(2,1/('Milho 1ª safra'!$E24:INDEX('Milho 1ª safra'!$E24:$Z24,MIN(H$6-$G$3,22))&lt;&gt;""),'Milho 1ª safra'!$E24:INDEX('Milho 1ª safra'!$E24:$Z24,MIN(H$6-$G$3,22))),0)))))</f>
        <v>0</v>
      </c>
      <c r="I26" s="27" t="n">
        <f aca="false">IF(COUNT('Milho 1ª safra'!$E24:$Z24)=0,0,MAX(0,IF((I$6-$E$3)&lt;1,0,IFERROR(LOOKUP(2,1/('Milho 1ª safra'!$E24:INDEX('Milho 1ª safra'!$E24:$Z24,MIN(I$6-$E$3,22))&lt;&gt;""),'Milho 1ª safra'!$E24:INDEX('Milho 1ª safra'!$E24:$Z24,MIN(I$6-$E$3,22))),0))-IF($G$2,0,IF((I$6-$G$3)&lt;1,0,IFERROR(LOOKUP(2,1/('Milho 1ª safra'!$E24:INDEX('Milho 1ª safra'!$E24:$Z24,MIN(I$6-$G$3,22))&lt;&gt;""),'Milho 1ª safra'!$E24:INDEX('Milho 1ª safra'!$E24:$Z24,MIN(I$6-$G$3,22))),0)))))</f>
        <v>0</v>
      </c>
      <c r="J26" s="27" t="n">
        <f aca="false">IF(COUNT('Milho 1ª safra'!$E24:$Z24)=0,0,MAX(0,IF((J$6-$E$3)&lt;1,0,IFERROR(LOOKUP(2,1/('Milho 1ª safra'!$E24:INDEX('Milho 1ª safra'!$E24:$Z24,MIN(J$6-$E$3,22))&lt;&gt;""),'Milho 1ª safra'!$E24:INDEX('Milho 1ª safra'!$E24:$Z24,MIN(J$6-$E$3,22))),0))-IF($G$2,0,IF((J$6-$G$3)&lt;1,0,IFERROR(LOOKUP(2,1/('Milho 1ª safra'!$E24:INDEX('Milho 1ª safra'!$E24:$Z24,MIN(J$6-$G$3,22))&lt;&gt;""),'Milho 1ª safra'!$E24:INDEX('Milho 1ª safra'!$E24:$Z24,MIN(J$6-$G$3,22))),0)))))</f>
        <v>0</v>
      </c>
      <c r="K26" s="27" t="n">
        <f aca="false">IF(COUNT('Milho 1ª safra'!$E24:$Z24)=0,0,MAX(0,IF((K$6-$E$3)&lt;1,0,IFERROR(LOOKUP(2,1/('Milho 1ª safra'!$E24:INDEX('Milho 1ª safra'!$E24:$Z24,MIN(K$6-$E$3,22))&lt;&gt;""),'Milho 1ª safra'!$E24:INDEX('Milho 1ª safra'!$E24:$Z24,MIN(K$6-$E$3,22))),0))-IF($G$2,0,IF((K$6-$G$3)&lt;1,0,IFERROR(LOOKUP(2,1/('Milho 1ª safra'!$E24:INDEX('Milho 1ª safra'!$E24:$Z24,MIN(K$6-$G$3,22))&lt;&gt;""),'Milho 1ª safra'!$E24:INDEX('Milho 1ª safra'!$E24:$Z24,MIN(K$6-$G$3,22))),0)))))</f>
        <v>0</v>
      </c>
      <c r="L26" s="27" t="n">
        <f aca="false">IF(COUNT('Milho 1ª safra'!$E24:$Z24)=0,0,MAX(0,IF((L$6-$E$3)&lt;1,0,IFERROR(LOOKUP(2,1/('Milho 1ª safra'!$E24:INDEX('Milho 1ª safra'!$E24:$Z24,MIN(L$6-$E$3,22))&lt;&gt;""),'Milho 1ª safra'!$E24:INDEX('Milho 1ª safra'!$E24:$Z24,MIN(L$6-$E$3,22))),0))-IF($G$2,0,IF((L$6-$G$3)&lt;1,0,IFERROR(LOOKUP(2,1/('Milho 1ª safra'!$E24:INDEX('Milho 1ª safra'!$E24:$Z24,MIN(L$6-$G$3,22))&lt;&gt;""),'Milho 1ª safra'!$E24:INDEX('Milho 1ª safra'!$E24:$Z24,MIN(L$6-$G$3,22))),0)))))</f>
        <v>0</v>
      </c>
      <c r="M26" s="27" t="n">
        <f aca="false">IF(COUNT('Milho 1ª safra'!$E24:$Z24)=0,0,MAX(0,IF((M$6-$E$3)&lt;1,0,IFERROR(LOOKUP(2,1/('Milho 1ª safra'!$E24:INDEX('Milho 1ª safra'!$E24:$Z24,MIN(M$6-$E$3,22))&lt;&gt;""),'Milho 1ª safra'!$E24:INDEX('Milho 1ª safra'!$E24:$Z24,MIN(M$6-$E$3,22))),0))-IF($G$2,0,IF((M$6-$G$3)&lt;1,0,IFERROR(LOOKUP(2,1/('Milho 1ª safra'!$E24:INDEX('Milho 1ª safra'!$E24:$Z24,MIN(M$6-$G$3,22))&lt;&gt;""),'Milho 1ª safra'!$E24:INDEX('Milho 1ª safra'!$E24:$Z24,MIN(M$6-$G$3,22))),0)))))</f>
        <v>0</v>
      </c>
      <c r="N26" s="27" t="n">
        <f aca="false">IF(COUNT('Milho 1ª safra'!$E24:$Z24)=0,0,MAX(0,IF((N$6-$E$3)&lt;1,0,IFERROR(LOOKUP(2,1/('Milho 1ª safra'!$E24:INDEX('Milho 1ª safra'!$E24:$Z24,MIN(N$6-$E$3,22))&lt;&gt;""),'Milho 1ª safra'!$E24:INDEX('Milho 1ª safra'!$E24:$Z24,MIN(N$6-$E$3,22))),0))-IF($G$2,0,IF((N$6-$G$3)&lt;1,0,IFERROR(LOOKUP(2,1/('Milho 1ª safra'!$E24:INDEX('Milho 1ª safra'!$E24:$Z24,MIN(N$6-$G$3,22))&lt;&gt;""),'Milho 1ª safra'!$E24:INDEX('Milho 1ª safra'!$E24:$Z24,MIN(N$6-$G$3,22))),0)))))</f>
        <v>0</v>
      </c>
      <c r="O26" s="27" t="n">
        <f aca="false">IF(COUNT('Milho 1ª safra'!$E24:$Z24)=0,0,MAX(0,IF((O$6-$E$3)&lt;1,0,IFERROR(LOOKUP(2,1/('Milho 1ª safra'!$E24:INDEX('Milho 1ª safra'!$E24:$Z24,MIN(O$6-$E$3,22))&lt;&gt;""),'Milho 1ª safra'!$E24:INDEX('Milho 1ª safra'!$E24:$Z24,MIN(O$6-$E$3,22))),0))-IF($G$2,0,IF((O$6-$G$3)&lt;1,0,IFERROR(LOOKUP(2,1/('Milho 1ª safra'!$E24:INDEX('Milho 1ª safra'!$E24:$Z24,MIN(O$6-$G$3,22))&lt;&gt;""),'Milho 1ª safra'!$E24:INDEX('Milho 1ª safra'!$E24:$Z24,MIN(O$6-$G$3,22))),0)))))</f>
        <v>0</v>
      </c>
      <c r="P26" s="27" t="n">
        <f aca="false">IF(COUNT('Milho 1ª safra'!$E24:$Z24)=0,0,MAX(0,IF((P$6-$E$3)&lt;1,0,IFERROR(LOOKUP(2,1/('Milho 1ª safra'!$E24:INDEX('Milho 1ª safra'!$E24:$Z24,MIN(P$6-$E$3,22))&lt;&gt;""),'Milho 1ª safra'!$E24:INDEX('Milho 1ª safra'!$E24:$Z24,MIN(P$6-$E$3,22))),0))-IF($G$2,0,IF((P$6-$G$3)&lt;1,0,IFERROR(LOOKUP(2,1/('Milho 1ª safra'!$E24:INDEX('Milho 1ª safra'!$E24:$Z24,MIN(P$6-$G$3,22))&lt;&gt;""),'Milho 1ª safra'!$E24:INDEX('Milho 1ª safra'!$E24:$Z24,MIN(P$6-$G$3,22))),0)))))</f>
        <v>0</v>
      </c>
      <c r="Q26" s="27" t="n">
        <f aca="false">IF(COUNT('Milho 1ª safra'!$E24:$Z24)=0,0,MAX(0,IF((Q$6-$E$3)&lt;1,0,IFERROR(LOOKUP(2,1/('Milho 1ª safra'!$E24:INDEX('Milho 1ª safra'!$E24:$Z24,MIN(Q$6-$E$3,22))&lt;&gt;""),'Milho 1ª safra'!$E24:INDEX('Milho 1ª safra'!$E24:$Z24,MIN(Q$6-$E$3,22))),0))-IF($G$2,0,IF((Q$6-$G$3)&lt;1,0,IFERROR(LOOKUP(2,1/('Milho 1ª safra'!$E24:INDEX('Milho 1ª safra'!$E24:$Z24,MIN(Q$6-$G$3,22))&lt;&gt;""),'Milho 1ª safra'!$E24:INDEX('Milho 1ª safra'!$E24:$Z24,MIN(Q$6-$G$3,22))),0)))))</f>
        <v>0</v>
      </c>
      <c r="R26" s="27" t="n">
        <f aca="false">IF(COUNT('Milho 1ª safra'!$E24:$Z24)=0,0,MAX(0,IF((R$6-$E$3)&lt;1,0,IFERROR(LOOKUP(2,1/('Milho 1ª safra'!$E24:INDEX('Milho 1ª safra'!$E24:$Z24,MIN(R$6-$E$3,22))&lt;&gt;""),'Milho 1ª safra'!$E24:INDEX('Milho 1ª safra'!$E24:$Z24,MIN(R$6-$E$3,22))),0))-IF($G$2,0,IF((R$6-$G$3)&lt;1,0,IFERROR(LOOKUP(2,1/('Milho 1ª safra'!$E24:INDEX('Milho 1ª safra'!$E24:$Z24,MIN(R$6-$G$3,22))&lt;&gt;""),'Milho 1ª safra'!$E24:INDEX('Milho 1ª safra'!$E24:$Z24,MIN(R$6-$G$3,22))),0)))))</f>
        <v>0</v>
      </c>
      <c r="S26" s="27" t="n">
        <f aca="false">IF(COUNT('Milho 1ª safra'!$E24:$Z24)=0,0,MAX(0,IF((S$6-$E$3)&lt;1,0,IFERROR(LOOKUP(2,1/('Milho 1ª safra'!$E24:INDEX('Milho 1ª safra'!$E24:$Z24,MIN(S$6-$E$3,22))&lt;&gt;""),'Milho 1ª safra'!$E24:INDEX('Milho 1ª safra'!$E24:$Z24,MIN(S$6-$E$3,22))),0))-IF($G$2,0,IF((S$6-$G$3)&lt;1,0,IFERROR(LOOKUP(2,1/('Milho 1ª safra'!$E24:INDEX('Milho 1ª safra'!$E24:$Z24,MIN(S$6-$G$3,22))&lt;&gt;""),'Milho 1ª safra'!$E24:INDEX('Milho 1ª safra'!$E24:$Z24,MIN(S$6-$G$3,22))),0)))))</f>
        <v>0</v>
      </c>
      <c r="T26" s="27" t="n">
        <f aca="false">IF(COUNT('Milho 1ª safra'!$E24:$Z24)=0,0,MAX(0,IF((T$6-$E$3)&lt;1,0,IFERROR(LOOKUP(2,1/('Milho 1ª safra'!$E24:INDEX('Milho 1ª safra'!$E24:$Z24,MIN(T$6-$E$3,22))&lt;&gt;""),'Milho 1ª safra'!$E24:INDEX('Milho 1ª safra'!$E24:$Z24,MIN(T$6-$E$3,22))),0))-IF($G$2,0,IF((T$6-$G$3)&lt;1,0,IFERROR(LOOKUP(2,1/('Milho 1ª safra'!$E24:INDEX('Milho 1ª safra'!$E24:$Z24,MIN(T$6-$G$3,22))&lt;&gt;""),'Milho 1ª safra'!$E24:INDEX('Milho 1ª safra'!$E24:$Z24,MIN(T$6-$G$3,22))),0)))))</f>
        <v>0</v>
      </c>
      <c r="U26" s="27" t="n">
        <f aca="false">IF(COUNT('Milho 1ª safra'!$E24:$Z24)=0,0,MAX(0,IF((U$6-$E$3)&lt;1,0,IFERROR(LOOKUP(2,1/('Milho 1ª safra'!$E24:INDEX('Milho 1ª safra'!$E24:$Z24,MIN(U$6-$E$3,22))&lt;&gt;""),'Milho 1ª safra'!$E24:INDEX('Milho 1ª safra'!$E24:$Z24,MIN(U$6-$E$3,22))),0))-IF($G$2,0,IF((U$6-$G$3)&lt;1,0,IFERROR(LOOKUP(2,1/('Milho 1ª safra'!$E24:INDEX('Milho 1ª safra'!$E24:$Z24,MIN(U$6-$G$3,22))&lt;&gt;""),'Milho 1ª safra'!$E24:INDEX('Milho 1ª safra'!$E24:$Z24,MIN(U$6-$G$3,22))),0)))))</f>
        <v>0</v>
      </c>
      <c r="V26" s="27" t="n">
        <f aca="false">IF(COUNT('Milho 1ª safra'!$E24:$Z24)=0,0,MAX(0,IF((V$6-$E$3)&lt;1,0,IFERROR(LOOKUP(2,1/('Milho 1ª safra'!$E24:INDEX('Milho 1ª safra'!$E24:$Z24,MIN(V$6-$E$3,22))&lt;&gt;""),'Milho 1ª safra'!$E24:INDEX('Milho 1ª safra'!$E24:$Z24,MIN(V$6-$E$3,22))),0))-IF($G$2,0,IF((V$6-$G$3)&lt;1,0,IFERROR(LOOKUP(2,1/('Milho 1ª safra'!$E24:INDEX('Milho 1ª safra'!$E24:$Z24,MIN(V$6-$G$3,22))&lt;&gt;""),'Milho 1ª safra'!$E24:INDEX('Milho 1ª safra'!$E24:$Z24,MIN(V$6-$G$3,22))),0)))))</f>
        <v>0</v>
      </c>
      <c r="W26" s="27" t="n">
        <f aca="false">IF(COUNT('Milho 1ª safra'!$E24:$Z24)=0,0,MAX(0,IF((W$6-$E$3)&lt;1,0,IFERROR(LOOKUP(2,1/('Milho 1ª safra'!$E24:INDEX('Milho 1ª safra'!$E24:$Z24,MIN(W$6-$E$3,22))&lt;&gt;""),'Milho 1ª safra'!$E24:INDEX('Milho 1ª safra'!$E24:$Z24,MIN(W$6-$E$3,22))),0))-IF($G$2,0,IF((W$6-$G$3)&lt;1,0,IFERROR(LOOKUP(2,1/('Milho 1ª safra'!$E24:INDEX('Milho 1ª safra'!$E24:$Z24,MIN(W$6-$G$3,22))&lt;&gt;""),'Milho 1ª safra'!$E24:INDEX('Milho 1ª safra'!$E24:$Z24,MIN(W$6-$G$3,22))),0)))))</f>
        <v>0</v>
      </c>
      <c r="X26" s="27" t="n">
        <f aca="false">IF(COUNT('Milho 1ª safra'!$E24:$Z24)=0,0,MAX(0,IF((X$6-$E$3)&lt;1,0,IFERROR(LOOKUP(2,1/('Milho 1ª safra'!$E24:INDEX('Milho 1ª safra'!$E24:$Z24,MIN(X$6-$E$3,22))&lt;&gt;""),'Milho 1ª safra'!$E24:INDEX('Milho 1ª safra'!$E24:$Z24,MIN(X$6-$E$3,22))),0))-IF($G$2,0,IF((X$6-$G$3)&lt;1,0,IFERROR(LOOKUP(2,1/('Milho 1ª safra'!$E24:INDEX('Milho 1ª safra'!$E24:$Z24,MIN(X$6-$G$3,22))&lt;&gt;""),'Milho 1ª safra'!$E24:INDEX('Milho 1ª safra'!$E24:$Z24,MIN(X$6-$G$3,22))),0)))))</f>
        <v>0</v>
      </c>
      <c r="Y26" s="27" t="n">
        <f aca="false">IF(COUNT('Milho 1ª safra'!$E24:$Z24)=0,0,MAX(0,IF((Y$6-$E$3)&lt;1,0,IFERROR(LOOKUP(2,1/('Milho 1ª safra'!$E24:INDEX('Milho 1ª safra'!$E24:$Z24,MIN(Y$6-$E$3,22))&lt;&gt;""),'Milho 1ª safra'!$E24:INDEX('Milho 1ª safra'!$E24:$Z24,MIN(Y$6-$E$3,22))),0))-IF($G$2,0,IF((Y$6-$G$3)&lt;1,0,IFERROR(LOOKUP(2,1/('Milho 1ª safra'!$E24:INDEX('Milho 1ª safra'!$E24:$Z24,MIN(Y$6-$G$3,22))&lt;&gt;""),'Milho 1ª safra'!$E24:INDEX('Milho 1ª safra'!$E24:$Z24,MIN(Y$6-$G$3,22))),0)))))</f>
        <v>0</v>
      </c>
      <c r="Z26" s="27" t="n">
        <f aca="false">IF(COUNT('Milho 1ª safra'!$E24:$Z24)=0,0,MAX(0,IF((Z$6-$E$3)&lt;1,0,IFERROR(LOOKUP(2,1/('Milho 1ª safra'!$E24:INDEX('Milho 1ª safra'!$E24:$Z24,MIN(Z$6-$E$3,22))&lt;&gt;""),'Milho 1ª safra'!$E24:INDEX('Milho 1ª safra'!$E24:$Z24,MIN(Z$6-$E$3,22))),0))-IF($G$2,0,IF((Z$6-$G$3)&lt;1,0,IFERROR(LOOKUP(2,1/('Milho 1ª safra'!$E24:INDEX('Milho 1ª safra'!$E24:$Z24,MIN(Z$6-$G$3,22))&lt;&gt;""),'Milho 1ª safra'!$E24:INDEX('Milho 1ª safra'!$E24:$Z24,MIN(Z$6-$G$3,22))),0)))))</f>
        <v>0</v>
      </c>
      <c r="AA26" s="27" t="n">
        <f aca="false">IF(COUNT('Milho 1ª safra'!$E24:$Z24)=0,0,MAX(0,IF((AA$6-$E$3)&lt;1,0,IFERROR(LOOKUP(2,1/('Milho 1ª safra'!$E24:INDEX('Milho 1ª safra'!$E24:$Z24,MIN(AA$6-$E$3,22))&lt;&gt;""),'Milho 1ª safra'!$E24:INDEX('Milho 1ª safra'!$E24:$Z24,MIN(AA$6-$E$3,22))),0))-IF($G$2,0,IF((AA$6-$G$3)&lt;1,0,IFERROR(LOOKUP(2,1/('Milho 1ª safra'!$E24:INDEX('Milho 1ª safra'!$E24:$Z24,MIN(AA$6-$G$3,22))&lt;&gt;""),'Milho 1ª safra'!$E24:INDEX('Milho 1ª safra'!$E24:$Z24,MIN(AA$6-$G$3,22))),0)))))</f>
        <v>0</v>
      </c>
      <c r="AB26" s="27" t="n">
        <f aca="false">IF(COUNT('Milho 1ª safra'!$E24:$Z24)=0,0,MAX(0,IF((AB$6-$E$3)&lt;1,0,IFERROR(LOOKUP(2,1/('Milho 1ª safra'!$E24:INDEX('Milho 1ª safra'!$E24:$Z24,MIN(AB$6-$E$3,22))&lt;&gt;""),'Milho 1ª safra'!$E24:INDEX('Milho 1ª safra'!$E24:$Z24,MIN(AB$6-$E$3,22))),0))-IF($G$2,0,IF((AB$6-$G$3)&lt;1,0,IFERROR(LOOKUP(2,1/('Milho 1ª safra'!$E24:INDEX('Milho 1ª safra'!$E24:$Z24,MIN(AB$6-$G$3,22))&lt;&gt;""),'Milho 1ª safra'!$E24:INDEX('Milho 1ª safra'!$E24:$Z24,MIN(AB$6-$G$3,22))),0)))))</f>
        <v>0</v>
      </c>
      <c r="AC26" s="27" t="n">
        <f aca="false">IF(COUNT('Milho 1ª safra'!$E24:$Z24)=0,0,MAX(0,IF((AC$6-$E$3)&lt;1,0,IFERROR(LOOKUP(2,1/('Milho 1ª safra'!$E24:INDEX('Milho 1ª safra'!$E24:$Z24,MIN(AC$6-$E$3,22))&lt;&gt;""),'Milho 1ª safra'!$E24:INDEX('Milho 1ª safra'!$E24:$Z24,MIN(AC$6-$E$3,22))),0))-IF($G$2,0,IF((AC$6-$G$3)&lt;1,0,IFERROR(LOOKUP(2,1/('Milho 1ª safra'!$E24:INDEX('Milho 1ª safra'!$E24:$Z24,MIN(AC$6-$G$3,22))&lt;&gt;""),'Milho 1ª safra'!$E24:INDEX('Milho 1ª safra'!$E24:$Z24,MIN(AC$6-$G$3,22))),0)))))</f>
        <v>0</v>
      </c>
      <c r="AD26" s="27" t="n">
        <f aca="false">IF(COUNT('Milho 1ª safra'!$E24:$Z24)=0,0,MAX(0,IF((AD$6-$E$3)&lt;1,0,IFERROR(LOOKUP(2,1/('Milho 1ª safra'!$E24:INDEX('Milho 1ª safra'!$E24:$Z24,MIN(AD$6-$E$3,22))&lt;&gt;""),'Milho 1ª safra'!$E24:INDEX('Milho 1ª safra'!$E24:$Z24,MIN(AD$6-$E$3,22))),0))-IF($G$2,0,IF((AD$6-$G$3)&lt;1,0,IFERROR(LOOKUP(2,1/('Milho 1ª safra'!$E24:INDEX('Milho 1ª safra'!$E24:$Z24,MIN(AD$6-$G$3,22))&lt;&gt;""),'Milho 1ª safra'!$E24:INDEX('Milho 1ª safra'!$E24:$Z24,MIN(AD$6-$G$3,22))),0)))))</f>
        <v>0</v>
      </c>
      <c r="AE26" s="27" t="n">
        <f aca="false">IF(COUNT('Milho 1ª safra'!$E24:$Z24)=0,0,MAX(0,IF((AE$6-$E$3)&lt;1,0,IFERROR(LOOKUP(2,1/('Milho 1ª safra'!$E24:INDEX('Milho 1ª safra'!$E24:$Z24,MIN(AE$6-$E$3,22))&lt;&gt;""),'Milho 1ª safra'!$E24:INDEX('Milho 1ª safra'!$E24:$Z24,MIN(AE$6-$E$3,22))),0))-IF($G$2,0,IF((AE$6-$G$3)&lt;1,0,IFERROR(LOOKUP(2,1/('Milho 1ª safra'!$E24:INDEX('Milho 1ª safra'!$E24:$Z24,MIN(AE$6-$G$3,22))&lt;&gt;""),'Milho 1ª safra'!$E24:INDEX('Milho 1ª safra'!$E24:$Z24,MIN(AE$6-$G$3,22))),0)))))</f>
        <v>0</v>
      </c>
      <c r="AF26" s="27" t="n">
        <f aca="false">IF(COUNT('Milho 1ª safra'!$E24:$Z24)=0,0,MAX(0,IF((AF$6-$E$3)&lt;1,0,IFERROR(LOOKUP(2,1/('Milho 1ª safra'!$E24:INDEX('Milho 1ª safra'!$E24:$Z24,MIN(AF$6-$E$3,22))&lt;&gt;""),'Milho 1ª safra'!$E24:INDEX('Milho 1ª safra'!$E24:$Z24,MIN(AF$6-$E$3,22))),0))-IF($G$2,0,IF((AF$6-$G$3)&lt;1,0,IFERROR(LOOKUP(2,1/('Milho 1ª safra'!$E24:INDEX('Milho 1ª safra'!$E24:$Z24,MIN(AF$6-$G$3,22))&lt;&gt;""),'Milho 1ª safra'!$E24:INDEX('Milho 1ª safra'!$E24:$Z24,MIN(AF$6-$G$3,22))),0)))))</f>
        <v>0</v>
      </c>
      <c r="AG26" s="27" t="n">
        <f aca="false">IF(COUNT('Milho 1ª safra'!$E24:$Z24)=0,0,MAX(0,IF((AG$6-$E$3)&lt;1,0,IFERROR(LOOKUP(2,1/('Milho 1ª safra'!$E24:INDEX('Milho 1ª safra'!$E24:$Z24,MIN(AG$6-$E$3,22))&lt;&gt;""),'Milho 1ª safra'!$E24:INDEX('Milho 1ª safra'!$E24:$Z24,MIN(AG$6-$E$3,22))),0))-IF($G$2,0,IF((AG$6-$G$3)&lt;1,0,IFERROR(LOOKUP(2,1/('Milho 1ª safra'!$E24:INDEX('Milho 1ª safra'!$E24:$Z24,MIN(AG$6-$G$3,22))&lt;&gt;""),'Milho 1ª safra'!$E24:INDEX('Milho 1ª safra'!$E24:$Z24,MIN(AG$6-$G$3,22))),0)))))</f>
        <v>0</v>
      </c>
      <c r="AH26" s="27" t="n">
        <f aca="false">IF(COUNT('Milho 1ª safra'!$E24:$Z24)=0,0,MAX(0,IF((AH$6-$E$3)&lt;1,0,IFERROR(LOOKUP(2,1/('Milho 1ª safra'!$E24:INDEX('Milho 1ª safra'!$E24:$Z24,MIN(AH$6-$E$3,22))&lt;&gt;""),'Milho 1ª safra'!$E24:INDEX('Milho 1ª safra'!$E24:$Z24,MIN(AH$6-$E$3,22))),0))-IF($G$2,0,IF((AH$6-$G$3)&lt;1,0,IFERROR(LOOKUP(2,1/('Milho 1ª safra'!$E24:INDEX('Milho 1ª safra'!$E24:$Z24,MIN(AH$6-$G$3,22))&lt;&gt;""),'Milho 1ª safra'!$E24:INDEX('Milho 1ª safra'!$E24:$Z24,MIN(AH$6-$G$3,22))),0)))))</f>
        <v>0</v>
      </c>
      <c r="AI26" s="27" t="n">
        <f aca="false">IF(COUNT('Milho 1ª safra'!$E24:$Z24)=0,0,MAX(0,IF((AI$6-$E$3)&lt;1,0,IFERROR(LOOKUP(2,1/('Milho 1ª safra'!$E24:INDEX('Milho 1ª safra'!$E24:$Z24,MIN(AI$6-$E$3,22))&lt;&gt;""),'Milho 1ª safra'!$E24:INDEX('Milho 1ª safra'!$E24:$Z24,MIN(AI$6-$E$3,22))),0))-IF($G$2,0,IF((AI$6-$G$3)&lt;1,0,IFERROR(LOOKUP(2,1/('Milho 1ª safra'!$E24:INDEX('Milho 1ª safra'!$E24:$Z24,MIN(AI$6-$G$3,22))&lt;&gt;""),'Milho 1ª safra'!$E24:INDEX('Milho 1ª safra'!$E24:$Z24,MIN(AI$6-$G$3,22))),0)))))</f>
        <v>0</v>
      </c>
      <c r="AJ26" s="27" t="n">
        <f aca="false">IF(COUNT('Milho 1ª safra'!$E24:$Z24)=0,0,MAX(0,IF((AJ$6-$E$3)&lt;1,0,IFERROR(LOOKUP(2,1/('Milho 1ª safra'!$E24:INDEX('Milho 1ª safra'!$E24:$Z24,MIN(AJ$6-$E$3,22))&lt;&gt;""),'Milho 1ª safra'!$E24:INDEX('Milho 1ª safra'!$E24:$Z24,MIN(AJ$6-$E$3,22))),0))-IF($G$2,0,IF((AJ$6-$G$3)&lt;1,0,IFERROR(LOOKUP(2,1/('Milho 1ª safra'!$E24:INDEX('Milho 1ª safra'!$E24:$Z24,MIN(AJ$6-$G$3,22))&lt;&gt;""),'Milho 1ª safra'!$E24:INDEX('Milho 1ª safra'!$E24:$Z24,MIN(AJ$6-$G$3,22))),0)))))</f>
        <v>0</v>
      </c>
      <c r="AK26" s="27" t="n">
        <f aca="false">IF(COUNT('Milho 1ª safra'!$E24:$Z24)=0,0,MAX(0,IF((AK$6-$E$3)&lt;1,0,IFERROR(LOOKUP(2,1/('Milho 1ª safra'!$E24:INDEX('Milho 1ª safra'!$E24:$Z24,MIN(AK$6-$E$3,22))&lt;&gt;""),'Milho 1ª safra'!$E24:INDEX('Milho 1ª safra'!$E24:$Z24,MIN(AK$6-$E$3,22))),0))-IF($G$2,0,IF((AK$6-$G$3)&lt;1,0,IFERROR(LOOKUP(2,1/('Milho 1ª safra'!$E24:INDEX('Milho 1ª safra'!$E24:$Z24,MIN(AK$6-$G$3,22))&lt;&gt;""),'Milho 1ª safra'!$E24:INDEX('Milho 1ª safra'!$E24:$Z24,MIN(AK$6-$G$3,22))),0)))))</f>
        <v>0</v>
      </c>
      <c r="AL26" s="27" t="n">
        <f aca="false">IF(COUNT('Milho 1ª safra'!$E24:$Z24)=0,0,MAX(0,IF((AL$6-$E$3)&lt;1,0,IFERROR(LOOKUP(2,1/('Milho 1ª safra'!$E24:INDEX('Milho 1ª safra'!$E24:$Z24,MIN(AL$6-$E$3,22))&lt;&gt;""),'Milho 1ª safra'!$E24:INDEX('Milho 1ª safra'!$E24:$Z24,MIN(AL$6-$E$3,22))),0))-IF($G$2,0,IF((AL$6-$G$3)&lt;1,0,IFERROR(LOOKUP(2,1/('Milho 1ª safra'!$E24:INDEX('Milho 1ª safra'!$E24:$Z24,MIN(AL$6-$G$3,22))&lt;&gt;""),'Milho 1ª safra'!$E24:INDEX('Milho 1ª safra'!$E24:$Z24,MIN(AL$6-$G$3,22))),0)))))</f>
        <v>0</v>
      </c>
      <c r="AM26" s="27" t="n">
        <f aca="false">IF(COUNT('Milho 1ª safra'!$E24:$Z24)=0,0,MAX(0,IF((AM$6-$E$3)&lt;1,0,IFERROR(LOOKUP(2,1/('Milho 1ª safra'!$E24:INDEX('Milho 1ª safra'!$E24:$Z24,MIN(AM$6-$E$3,22))&lt;&gt;""),'Milho 1ª safra'!$E24:INDEX('Milho 1ª safra'!$E24:$Z24,MIN(AM$6-$E$3,22))),0))-IF($G$2,0,IF((AM$6-$G$3)&lt;1,0,IFERROR(LOOKUP(2,1/('Milho 1ª safra'!$E24:INDEX('Milho 1ª safra'!$E24:$Z24,MIN(AM$6-$G$3,22))&lt;&gt;""),'Milho 1ª safra'!$E24:INDEX('Milho 1ª safra'!$E24:$Z24,MIN(AM$6-$G$3,22))),0)))))</f>
        <v>0</v>
      </c>
      <c r="AN26" s="27" t="n">
        <f aca="false">IF(COUNT('Milho 1ª safra'!$E24:$Z24)=0,0,MAX(0,IF((AN$6-$E$3)&lt;1,0,IFERROR(LOOKUP(2,1/('Milho 1ª safra'!$E24:INDEX('Milho 1ª safra'!$E24:$Z24,MIN(AN$6-$E$3,22))&lt;&gt;""),'Milho 1ª safra'!$E24:INDEX('Milho 1ª safra'!$E24:$Z24,MIN(AN$6-$E$3,22))),0))-IF($G$2,0,IF((AN$6-$G$3)&lt;1,0,IFERROR(LOOKUP(2,1/('Milho 1ª safra'!$E24:INDEX('Milho 1ª safra'!$E24:$Z24,MIN(AN$6-$G$3,22))&lt;&gt;""),'Milho 1ª safra'!$E24:INDEX('Milho 1ª safra'!$E24:$Z24,MIN(AN$6-$G$3,22))),0)))))</f>
        <v>0</v>
      </c>
      <c r="AO26" s="27" t="n">
        <f aca="false">IF(COUNT('Milho 1ª safra'!$E24:$Z24)=0,0,MAX(0,IF((AO$6-$E$3)&lt;1,0,IFERROR(LOOKUP(2,1/('Milho 1ª safra'!$E24:INDEX('Milho 1ª safra'!$E24:$Z24,MIN(AO$6-$E$3,22))&lt;&gt;""),'Milho 1ª safra'!$E24:INDEX('Milho 1ª safra'!$E24:$Z24,MIN(AO$6-$E$3,22))),0))-IF($G$2,0,IF((AO$6-$G$3)&lt;1,0,IFERROR(LOOKUP(2,1/('Milho 1ª safra'!$E24:INDEX('Milho 1ª safra'!$E24:$Z24,MIN(AO$6-$G$3,22))&lt;&gt;""),'Milho 1ª safra'!$E24:INDEX('Milho 1ª safra'!$E24:$Z24,MIN(AO$6-$G$3,22))),0)))))</f>
        <v>0</v>
      </c>
      <c r="AP26" s="27" t="n">
        <f aca="false">IF(COUNT('Milho 1ª safra'!$E24:$Z24)=0,0,MAX(0,IF((AP$6-$E$3)&lt;1,0,IFERROR(LOOKUP(2,1/('Milho 1ª safra'!$E24:INDEX('Milho 1ª safra'!$E24:$Z24,MIN(AP$6-$E$3,22))&lt;&gt;""),'Milho 1ª safra'!$E24:INDEX('Milho 1ª safra'!$E24:$Z24,MIN(AP$6-$E$3,22))),0))-IF($G$2,0,IF((AP$6-$G$3)&lt;1,0,IFERROR(LOOKUP(2,1/('Milho 1ª safra'!$E24:INDEX('Milho 1ª safra'!$E24:$Z24,MIN(AP$6-$G$3,22))&lt;&gt;""),'Milho 1ª safra'!$E24:INDEX('Milho 1ª safra'!$E24:$Z24,MIN(AP$6-$G$3,22))),0)))))</f>
        <v>0</v>
      </c>
      <c r="AQ26" s="27" t="n">
        <f aca="false">IF(COUNT('Milho 1ª safra'!$E24:$Z24)=0,0,MAX(0,IF((AQ$6-$E$3)&lt;1,0,IFERROR(LOOKUP(2,1/('Milho 1ª safra'!$E24:INDEX('Milho 1ª safra'!$E24:$Z24,MIN(AQ$6-$E$3,22))&lt;&gt;""),'Milho 1ª safra'!$E24:INDEX('Milho 1ª safra'!$E24:$Z24,MIN(AQ$6-$E$3,22))),0))-IF($G$2,0,IF((AQ$6-$G$3)&lt;1,0,IFERROR(LOOKUP(2,1/('Milho 1ª safra'!$E24:INDEX('Milho 1ª safra'!$E24:$Z24,MIN(AQ$6-$G$3,22))&lt;&gt;""),'Milho 1ª safra'!$E24:INDEX('Milho 1ª safra'!$E24:$Z24,MIN(AQ$6-$G$3,22))),0)))))</f>
        <v>0</v>
      </c>
      <c r="AR26" s="27" t="n">
        <f aca="false">IF(COUNT('Milho 1ª safra'!$E24:$Z24)=0,0,MAX(0,IF((AR$6-$E$3)&lt;1,0,IFERROR(LOOKUP(2,1/('Milho 1ª safra'!$E24:INDEX('Milho 1ª safra'!$E24:$Z24,MIN(AR$6-$E$3,22))&lt;&gt;""),'Milho 1ª safra'!$E24:INDEX('Milho 1ª safra'!$E24:$Z24,MIN(AR$6-$E$3,22))),0))-IF($G$2,0,IF((AR$6-$G$3)&lt;1,0,IFERROR(LOOKUP(2,1/('Milho 1ª safra'!$E24:INDEX('Milho 1ª safra'!$E24:$Z24,MIN(AR$6-$G$3,22))&lt;&gt;""),'Milho 1ª safra'!$E24:INDEX('Milho 1ª safra'!$E24:$Z24,MIN(AR$6-$G$3,22))),0)))))</f>
        <v>0</v>
      </c>
      <c r="AS26" s="27" t="n">
        <f aca="false">IF(COUNT('Milho 1ª safra'!$E24:$Z24)=0,0,MAX(0,IF((AS$6-$E$3)&lt;1,0,IFERROR(LOOKUP(2,1/('Milho 1ª safra'!$E24:INDEX('Milho 1ª safra'!$E24:$Z24,MIN(AS$6-$E$3,22))&lt;&gt;""),'Milho 1ª safra'!$E24:INDEX('Milho 1ª safra'!$E24:$Z24,MIN(AS$6-$E$3,22))),0))-IF($G$2,0,IF((AS$6-$G$3)&lt;1,0,IFERROR(LOOKUP(2,1/('Milho 1ª safra'!$E24:INDEX('Milho 1ª safra'!$E24:$Z24,MIN(AS$6-$G$3,22))&lt;&gt;""),'Milho 1ª safra'!$E24:INDEX('Milho 1ª safra'!$E24:$Z24,MIN(AS$6-$G$3,22))),0)))))</f>
        <v>0</v>
      </c>
      <c r="AT26" s="27" t="n">
        <f aca="false">IF(COUNT('Milho 1ª safra'!$E24:$Z24)=0,0,MAX(0,IF((AT$6-$E$3)&lt;1,0,IFERROR(LOOKUP(2,1/('Milho 1ª safra'!$E24:INDEX('Milho 1ª safra'!$E24:$Z24,MIN(AT$6-$E$3,22))&lt;&gt;""),'Milho 1ª safra'!$E24:INDEX('Milho 1ª safra'!$E24:$Z24,MIN(AT$6-$E$3,22))),0))-IF($G$2,0,IF((AT$6-$G$3)&lt;1,0,IFERROR(LOOKUP(2,1/('Milho 1ª safra'!$E24:INDEX('Milho 1ª safra'!$E24:$Z24,MIN(AT$6-$G$3,22))&lt;&gt;""),'Milho 1ª safra'!$E24:INDEX('Milho 1ª safra'!$E24:$Z24,MIN(AT$6-$G$3,22))),0)))))</f>
        <v>0</v>
      </c>
      <c r="AU26" s="27" t="n">
        <f aca="false">IF(COUNT('Milho 1ª safra'!$E24:$Z24)=0,0,MAX(0,IF((AU$6-$E$3)&lt;1,0,IFERROR(LOOKUP(2,1/('Milho 1ª safra'!$E24:INDEX('Milho 1ª safra'!$E24:$Z24,MIN(AU$6-$E$3,22))&lt;&gt;""),'Milho 1ª safra'!$E24:INDEX('Milho 1ª safra'!$E24:$Z24,MIN(AU$6-$E$3,22))),0))-IF($G$2,0,IF((AU$6-$G$3)&lt;1,0,IFERROR(LOOKUP(2,1/('Milho 1ª safra'!$E24:INDEX('Milho 1ª safra'!$E24:$Z24,MIN(AU$6-$G$3,22))&lt;&gt;""),'Milho 1ª safra'!$E24:INDEX('Milho 1ª safra'!$E24:$Z24,MIN(AU$6-$G$3,22))),0)))))</f>
        <v>0</v>
      </c>
      <c r="AV26" s="27" t="n">
        <f aca="false">IF(COUNT('Milho 1ª safra'!$E24:$Z24)=0,0,MAX(0,IF((AV$6-$E$3)&lt;1,0,IFERROR(LOOKUP(2,1/('Milho 1ª safra'!$E24:INDEX('Milho 1ª safra'!$E24:$Z24,MIN(AV$6-$E$3,22))&lt;&gt;""),'Milho 1ª safra'!$E24:INDEX('Milho 1ª safra'!$E24:$Z24,MIN(AV$6-$E$3,22))),0))-IF($G$2,0,IF((AV$6-$G$3)&lt;1,0,IFERROR(LOOKUP(2,1/('Milho 1ª safra'!$E24:INDEX('Milho 1ª safra'!$E24:$Z24,MIN(AV$6-$G$3,22))&lt;&gt;""),'Milho 1ª safra'!$E24:INDEX('Milho 1ª safra'!$E24:$Z24,MIN(AV$6-$G$3,22))),0)))))</f>
        <v>0</v>
      </c>
      <c r="AW26" s="27" t="n">
        <f aca="false">IF(COUNT('Milho 1ª safra'!$E24:$Z24)=0,0,MAX(0,IF((AW$6-$E$3)&lt;1,0,IFERROR(LOOKUP(2,1/('Milho 1ª safra'!$E24:INDEX('Milho 1ª safra'!$E24:$Z24,MIN(AW$6-$E$3,22))&lt;&gt;""),'Milho 1ª safra'!$E24:INDEX('Milho 1ª safra'!$E24:$Z24,MIN(AW$6-$E$3,22))),0))-IF($G$2,0,IF((AW$6-$G$3)&lt;1,0,IFERROR(LOOKUP(2,1/('Milho 1ª safra'!$E24:INDEX('Milho 1ª safra'!$E24:$Z24,MIN(AW$6-$G$3,22))&lt;&gt;""),'Milho 1ª safra'!$E24:INDEX('Milho 1ª safra'!$E24:$Z24,MIN(AW$6-$G$3,22))),0)))))</f>
        <v>0</v>
      </c>
      <c r="AX26" s="27" t="n">
        <f aca="false">IF(COUNT('Milho 1ª safra'!$E24:$Z24)=0,0,MAX(0,IF((AX$6-$E$3)&lt;1,0,IFERROR(LOOKUP(2,1/('Milho 1ª safra'!$E24:INDEX('Milho 1ª safra'!$E24:$Z24,MIN(AX$6-$E$3,22))&lt;&gt;""),'Milho 1ª safra'!$E24:INDEX('Milho 1ª safra'!$E24:$Z24,MIN(AX$6-$E$3,22))),0))-IF($G$2,0,IF((AX$6-$G$3)&lt;1,0,IFERROR(LOOKUP(2,1/('Milho 1ª safra'!$E24:INDEX('Milho 1ª safra'!$E24:$Z24,MIN(AX$6-$G$3,22))&lt;&gt;""),'Milho 1ª safra'!$E24:INDEX('Milho 1ª safra'!$E24:$Z24,MIN(AX$6-$G$3,22))),0)))))</f>
        <v>0</v>
      </c>
      <c r="AY26" s="27" t="n">
        <f aca="false">IF(COUNT('Milho 1ª safra'!$E24:$Z24)=0,0,MAX(0,IF((AY$6-$E$3)&lt;1,0,IFERROR(LOOKUP(2,1/('Milho 1ª safra'!$E24:INDEX('Milho 1ª safra'!$E24:$Z24,MIN(AY$6-$E$3,22))&lt;&gt;""),'Milho 1ª safra'!$E24:INDEX('Milho 1ª safra'!$E24:$Z24,MIN(AY$6-$E$3,22))),0))-IF($G$2,0,IF((AY$6-$G$3)&lt;1,0,IFERROR(LOOKUP(2,1/('Milho 1ª safra'!$E24:INDEX('Milho 1ª safra'!$E24:$Z24,MIN(AY$6-$G$3,22))&lt;&gt;""),'Milho 1ª safra'!$E24:INDEX('Milho 1ª safra'!$E24:$Z24,MIN(AY$6-$G$3,22))),0)))))</f>
        <v>0</v>
      </c>
      <c r="AZ26" s="27" t="n">
        <f aca="false">IF(COUNT('Milho 1ª safra'!$E24:$Z24)=0,0,MAX(0,IF((AZ$6-$E$3)&lt;1,0,IFERROR(LOOKUP(2,1/('Milho 1ª safra'!$E24:INDEX('Milho 1ª safra'!$E24:$Z24,MIN(AZ$6-$E$3,22))&lt;&gt;""),'Milho 1ª safra'!$E24:INDEX('Milho 1ª safra'!$E24:$Z24,MIN(AZ$6-$E$3,22))),0))-IF($G$2,0,IF((AZ$6-$G$3)&lt;1,0,IFERROR(LOOKUP(2,1/('Milho 1ª safra'!$E24:INDEX('Milho 1ª safra'!$E24:$Z24,MIN(AZ$6-$G$3,22))&lt;&gt;""),'Milho 1ª safra'!$E24:INDEX('Milho 1ª safra'!$E24:$Z24,MIN(AZ$6-$G$3,22))),0)))))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IF(COUNT('Milho 1ª safra'!$E25:$Z25)&gt;0,N('Milho 1ª safra'!$D25),0)</f>
        <v>0</v>
      </c>
      <c r="E27" s="27" t="n">
        <f aca="false">IF(COUNT('Milho 1ª safra'!$E25:$Z25)=0,0,MAX(0,IF((E$6-$E$3)&lt;1,0,IFERROR(LOOKUP(2,1/('Milho 1ª safra'!$E25:INDEX('Milho 1ª safra'!$E25:$Z25,MIN(E$6-$E$3,22))&lt;&gt;""),'Milho 1ª safra'!$E25:INDEX('Milho 1ª safra'!$E25:$Z25,MIN(E$6-$E$3,22))),0))-IF($G$2,0,IF((E$6-$G$3)&lt;1,0,IFERROR(LOOKUP(2,1/('Milho 1ª safra'!$E25:INDEX('Milho 1ª safra'!$E25:$Z25,MIN(E$6-$G$3,22))&lt;&gt;""),'Milho 1ª safra'!$E25:INDEX('Milho 1ª safra'!$E25:$Z25,MIN(E$6-$G$3,22))),0)))))</f>
        <v>0</v>
      </c>
      <c r="F27" s="27" t="n">
        <f aca="false">IF(COUNT('Milho 1ª safra'!$E25:$Z25)=0,0,MAX(0,IF((F$6-$E$3)&lt;1,0,IFERROR(LOOKUP(2,1/('Milho 1ª safra'!$E25:INDEX('Milho 1ª safra'!$E25:$Z25,MIN(F$6-$E$3,22))&lt;&gt;""),'Milho 1ª safra'!$E25:INDEX('Milho 1ª safra'!$E25:$Z25,MIN(F$6-$E$3,22))),0))-IF($G$2,0,IF((F$6-$G$3)&lt;1,0,IFERROR(LOOKUP(2,1/('Milho 1ª safra'!$E25:INDEX('Milho 1ª safra'!$E25:$Z25,MIN(F$6-$G$3,22))&lt;&gt;""),'Milho 1ª safra'!$E25:INDEX('Milho 1ª safra'!$E25:$Z25,MIN(F$6-$G$3,22))),0)))))</f>
        <v>0</v>
      </c>
      <c r="G27" s="27" t="n">
        <f aca="false">IF(COUNT('Milho 1ª safra'!$E25:$Z25)=0,0,MAX(0,IF((G$6-$E$3)&lt;1,0,IFERROR(LOOKUP(2,1/('Milho 1ª safra'!$E25:INDEX('Milho 1ª safra'!$E25:$Z25,MIN(G$6-$E$3,22))&lt;&gt;""),'Milho 1ª safra'!$E25:INDEX('Milho 1ª safra'!$E25:$Z25,MIN(G$6-$E$3,22))),0))-IF($G$2,0,IF((G$6-$G$3)&lt;1,0,IFERROR(LOOKUP(2,1/('Milho 1ª safra'!$E25:INDEX('Milho 1ª safra'!$E25:$Z25,MIN(G$6-$G$3,22))&lt;&gt;""),'Milho 1ª safra'!$E25:INDEX('Milho 1ª safra'!$E25:$Z25,MIN(G$6-$G$3,22))),0)))))</f>
        <v>0</v>
      </c>
      <c r="H27" s="27" t="n">
        <f aca="false">IF(COUNT('Milho 1ª safra'!$E25:$Z25)=0,0,MAX(0,IF((H$6-$E$3)&lt;1,0,IFERROR(LOOKUP(2,1/('Milho 1ª safra'!$E25:INDEX('Milho 1ª safra'!$E25:$Z25,MIN(H$6-$E$3,22))&lt;&gt;""),'Milho 1ª safra'!$E25:INDEX('Milho 1ª safra'!$E25:$Z25,MIN(H$6-$E$3,22))),0))-IF($G$2,0,IF((H$6-$G$3)&lt;1,0,IFERROR(LOOKUP(2,1/('Milho 1ª safra'!$E25:INDEX('Milho 1ª safra'!$E25:$Z25,MIN(H$6-$G$3,22))&lt;&gt;""),'Milho 1ª safra'!$E25:INDEX('Milho 1ª safra'!$E25:$Z25,MIN(H$6-$G$3,22))),0)))))</f>
        <v>0</v>
      </c>
      <c r="I27" s="27" t="n">
        <f aca="false">IF(COUNT('Milho 1ª safra'!$E25:$Z25)=0,0,MAX(0,IF((I$6-$E$3)&lt;1,0,IFERROR(LOOKUP(2,1/('Milho 1ª safra'!$E25:INDEX('Milho 1ª safra'!$E25:$Z25,MIN(I$6-$E$3,22))&lt;&gt;""),'Milho 1ª safra'!$E25:INDEX('Milho 1ª safra'!$E25:$Z25,MIN(I$6-$E$3,22))),0))-IF($G$2,0,IF((I$6-$G$3)&lt;1,0,IFERROR(LOOKUP(2,1/('Milho 1ª safra'!$E25:INDEX('Milho 1ª safra'!$E25:$Z25,MIN(I$6-$G$3,22))&lt;&gt;""),'Milho 1ª safra'!$E25:INDEX('Milho 1ª safra'!$E25:$Z25,MIN(I$6-$G$3,22))),0)))))</f>
        <v>0</v>
      </c>
      <c r="J27" s="27" t="n">
        <f aca="false">IF(COUNT('Milho 1ª safra'!$E25:$Z25)=0,0,MAX(0,IF((J$6-$E$3)&lt;1,0,IFERROR(LOOKUP(2,1/('Milho 1ª safra'!$E25:INDEX('Milho 1ª safra'!$E25:$Z25,MIN(J$6-$E$3,22))&lt;&gt;""),'Milho 1ª safra'!$E25:INDEX('Milho 1ª safra'!$E25:$Z25,MIN(J$6-$E$3,22))),0))-IF($G$2,0,IF((J$6-$G$3)&lt;1,0,IFERROR(LOOKUP(2,1/('Milho 1ª safra'!$E25:INDEX('Milho 1ª safra'!$E25:$Z25,MIN(J$6-$G$3,22))&lt;&gt;""),'Milho 1ª safra'!$E25:INDEX('Milho 1ª safra'!$E25:$Z25,MIN(J$6-$G$3,22))),0)))))</f>
        <v>0</v>
      </c>
      <c r="K27" s="27" t="n">
        <f aca="false">IF(COUNT('Milho 1ª safra'!$E25:$Z25)=0,0,MAX(0,IF((K$6-$E$3)&lt;1,0,IFERROR(LOOKUP(2,1/('Milho 1ª safra'!$E25:INDEX('Milho 1ª safra'!$E25:$Z25,MIN(K$6-$E$3,22))&lt;&gt;""),'Milho 1ª safra'!$E25:INDEX('Milho 1ª safra'!$E25:$Z25,MIN(K$6-$E$3,22))),0))-IF($G$2,0,IF((K$6-$G$3)&lt;1,0,IFERROR(LOOKUP(2,1/('Milho 1ª safra'!$E25:INDEX('Milho 1ª safra'!$E25:$Z25,MIN(K$6-$G$3,22))&lt;&gt;""),'Milho 1ª safra'!$E25:INDEX('Milho 1ª safra'!$E25:$Z25,MIN(K$6-$G$3,22))),0)))))</f>
        <v>0</v>
      </c>
      <c r="L27" s="27" t="n">
        <f aca="false">IF(COUNT('Milho 1ª safra'!$E25:$Z25)=0,0,MAX(0,IF((L$6-$E$3)&lt;1,0,IFERROR(LOOKUP(2,1/('Milho 1ª safra'!$E25:INDEX('Milho 1ª safra'!$E25:$Z25,MIN(L$6-$E$3,22))&lt;&gt;""),'Milho 1ª safra'!$E25:INDEX('Milho 1ª safra'!$E25:$Z25,MIN(L$6-$E$3,22))),0))-IF($G$2,0,IF((L$6-$G$3)&lt;1,0,IFERROR(LOOKUP(2,1/('Milho 1ª safra'!$E25:INDEX('Milho 1ª safra'!$E25:$Z25,MIN(L$6-$G$3,22))&lt;&gt;""),'Milho 1ª safra'!$E25:INDEX('Milho 1ª safra'!$E25:$Z25,MIN(L$6-$G$3,22))),0)))))</f>
        <v>0</v>
      </c>
      <c r="M27" s="27" t="n">
        <f aca="false">IF(COUNT('Milho 1ª safra'!$E25:$Z25)=0,0,MAX(0,IF((M$6-$E$3)&lt;1,0,IFERROR(LOOKUP(2,1/('Milho 1ª safra'!$E25:INDEX('Milho 1ª safra'!$E25:$Z25,MIN(M$6-$E$3,22))&lt;&gt;""),'Milho 1ª safra'!$E25:INDEX('Milho 1ª safra'!$E25:$Z25,MIN(M$6-$E$3,22))),0))-IF($G$2,0,IF((M$6-$G$3)&lt;1,0,IFERROR(LOOKUP(2,1/('Milho 1ª safra'!$E25:INDEX('Milho 1ª safra'!$E25:$Z25,MIN(M$6-$G$3,22))&lt;&gt;""),'Milho 1ª safra'!$E25:INDEX('Milho 1ª safra'!$E25:$Z25,MIN(M$6-$G$3,22))),0)))))</f>
        <v>0</v>
      </c>
      <c r="N27" s="27" t="n">
        <f aca="false">IF(COUNT('Milho 1ª safra'!$E25:$Z25)=0,0,MAX(0,IF((N$6-$E$3)&lt;1,0,IFERROR(LOOKUP(2,1/('Milho 1ª safra'!$E25:INDEX('Milho 1ª safra'!$E25:$Z25,MIN(N$6-$E$3,22))&lt;&gt;""),'Milho 1ª safra'!$E25:INDEX('Milho 1ª safra'!$E25:$Z25,MIN(N$6-$E$3,22))),0))-IF($G$2,0,IF((N$6-$G$3)&lt;1,0,IFERROR(LOOKUP(2,1/('Milho 1ª safra'!$E25:INDEX('Milho 1ª safra'!$E25:$Z25,MIN(N$6-$G$3,22))&lt;&gt;""),'Milho 1ª safra'!$E25:INDEX('Milho 1ª safra'!$E25:$Z25,MIN(N$6-$G$3,22))),0)))))</f>
        <v>0</v>
      </c>
      <c r="O27" s="27" t="n">
        <f aca="false">IF(COUNT('Milho 1ª safra'!$E25:$Z25)=0,0,MAX(0,IF((O$6-$E$3)&lt;1,0,IFERROR(LOOKUP(2,1/('Milho 1ª safra'!$E25:INDEX('Milho 1ª safra'!$E25:$Z25,MIN(O$6-$E$3,22))&lt;&gt;""),'Milho 1ª safra'!$E25:INDEX('Milho 1ª safra'!$E25:$Z25,MIN(O$6-$E$3,22))),0))-IF($G$2,0,IF((O$6-$G$3)&lt;1,0,IFERROR(LOOKUP(2,1/('Milho 1ª safra'!$E25:INDEX('Milho 1ª safra'!$E25:$Z25,MIN(O$6-$G$3,22))&lt;&gt;""),'Milho 1ª safra'!$E25:INDEX('Milho 1ª safra'!$E25:$Z25,MIN(O$6-$G$3,22))),0)))))</f>
        <v>0</v>
      </c>
      <c r="P27" s="27" t="n">
        <f aca="false">IF(COUNT('Milho 1ª safra'!$E25:$Z25)=0,0,MAX(0,IF((P$6-$E$3)&lt;1,0,IFERROR(LOOKUP(2,1/('Milho 1ª safra'!$E25:INDEX('Milho 1ª safra'!$E25:$Z25,MIN(P$6-$E$3,22))&lt;&gt;""),'Milho 1ª safra'!$E25:INDEX('Milho 1ª safra'!$E25:$Z25,MIN(P$6-$E$3,22))),0))-IF($G$2,0,IF((P$6-$G$3)&lt;1,0,IFERROR(LOOKUP(2,1/('Milho 1ª safra'!$E25:INDEX('Milho 1ª safra'!$E25:$Z25,MIN(P$6-$G$3,22))&lt;&gt;""),'Milho 1ª safra'!$E25:INDEX('Milho 1ª safra'!$E25:$Z25,MIN(P$6-$G$3,22))),0)))))</f>
        <v>0</v>
      </c>
      <c r="Q27" s="27" t="n">
        <f aca="false">IF(COUNT('Milho 1ª safra'!$E25:$Z25)=0,0,MAX(0,IF((Q$6-$E$3)&lt;1,0,IFERROR(LOOKUP(2,1/('Milho 1ª safra'!$E25:INDEX('Milho 1ª safra'!$E25:$Z25,MIN(Q$6-$E$3,22))&lt;&gt;""),'Milho 1ª safra'!$E25:INDEX('Milho 1ª safra'!$E25:$Z25,MIN(Q$6-$E$3,22))),0))-IF($G$2,0,IF((Q$6-$G$3)&lt;1,0,IFERROR(LOOKUP(2,1/('Milho 1ª safra'!$E25:INDEX('Milho 1ª safra'!$E25:$Z25,MIN(Q$6-$G$3,22))&lt;&gt;""),'Milho 1ª safra'!$E25:INDEX('Milho 1ª safra'!$E25:$Z25,MIN(Q$6-$G$3,22))),0)))))</f>
        <v>0</v>
      </c>
      <c r="R27" s="27" t="n">
        <f aca="false">IF(COUNT('Milho 1ª safra'!$E25:$Z25)=0,0,MAX(0,IF((R$6-$E$3)&lt;1,0,IFERROR(LOOKUP(2,1/('Milho 1ª safra'!$E25:INDEX('Milho 1ª safra'!$E25:$Z25,MIN(R$6-$E$3,22))&lt;&gt;""),'Milho 1ª safra'!$E25:INDEX('Milho 1ª safra'!$E25:$Z25,MIN(R$6-$E$3,22))),0))-IF($G$2,0,IF((R$6-$G$3)&lt;1,0,IFERROR(LOOKUP(2,1/('Milho 1ª safra'!$E25:INDEX('Milho 1ª safra'!$E25:$Z25,MIN(R$6-$G$3,22))&lt;&gt;""),'Milho 1ª safra'!$E25:INDEX('Milho 1ª safra'!$E25:$Z25,MIN(R$6-$G$3,22))),0)))))</f>
        <v>0</v>
      </c>
      <c r="S27" s="27" t="n">
        <f aca="false">IF(COUNT('Milho 1ª safra'!$E25:$Z25)=0,0,MAX(0,IF((S$6-$E$3)&lt;1,0,IFERROR(LOOKUP(2,1/('Milho 1ª safra'!$E25:INDEX('Milho 1ª safra'!$E25:$Z25,MIN(S$6-$E$3,22))&lt;&gt;""),'Milho 1ª safra'!$E25:INDEX('Milho 1ª safra'!$E25:$Z25,MIN(S$6-$E$3,22))),0))-IF($G$2,0,IF((S$6-$G$3)&lt;1,0,IFERROR(LOOKUP(2,1/('Milho 1ª safra'!$E25:INDEX('Milho 1ª safra'!$E25:$Z25,MIN(S$6-$G$3,22))&lt;&gt;""),'Milho 1ª safra'!$E25:INDEX('Milho 1ª safra'!$E25:$Z25,MIN(S$6-$G$3,22))),0)))))</f>
        <v>0</v>
      </c>
      <c r="T27" s="27" t="n">
        <f aca="false">IF(COUNT('Milho 1ª safra'!$E25:$Z25)=0,0,MAX(0,IF((T$6-$E$3)&lt;1,0,IFERROR(LOOKUP(2,1/('Milho 1ª safra'!$E25:INDEX('Milho 1ª safra'!$E25:$Z25,MIN(T$6-$E$3,22))&lt;&gt;""),'Milho 1ª safra'!$E25:INDEX('Milho 1ª safra'!$E25:$Z25,MIN(T$6-$E$3,22))),0))-IF($G$2,0,IF((T$6-$G$3)&lt;1,0,IFERROR(LOOKUP(2,1/('Milho 1ª safra'!$E25:INDEX('Milho 1ª safra'!$E25:$Z25,MIN(T$6-$G$3,22))&lt;&gt;""),'Milho 1ª safra'!$E25:INDEX('Milho 1ª safra'!$E25:$Z25,MIN(T$6-$G$3,22))),0)))))</f>
        <v>0</v>
      </c>
      <c r="U27" s="27" t="n">
        <f aca="false">IF(COUNT('Milho 1ª safra'!$E25:$Z25)=0,0,MAX(0,IF((U$6-$E$3)&lt;1,0,IFERROR(LOOKUP(2,1/('Milho 1ª safra'!$E25:INDEX('Milho 1ª safra'!$E25:$Z25,MIN(U$6-$E$3,22))&lt;&gt;""),'Milho 1ª safra'!$E25:INDEX('Milho 1ª safra'!$E25:$Z25,MIN(U$6-$E$3,22))),0))-IF($G$2,0,IF((U$6-$G$3)&lt;1,0,IFERROR(LOOKUP(2,1/('Milho 1ª safra'!$E25:INDEX('Milho 1ª safra'!$E25:$Z25,MIN(U$6-$G$3,22))&lt;&gt;""),'Milho 1ª safra'!$E25:INDEX('Milho 1ª safra'!$E25:$Z25,MIN(U$6-$G$3,22))),0)))))</f>
        <v>0</v>
      </c>
      <c r="V27" s="27" t="n">
        <f aca="false">IF(COUNT('Milho 1ª safra'!$E25:$Z25)=0,0,MAX(0,IF((V$6-$E$3)&lt;1,0,IFERROR(LOOKUP(2,1/('Milho 1ª safra'!$E25:INDEX('Milho 1ª safra'!$E25:$Z25,MIN(V$6-$E$3,22))&lt;&gt;""),'Milho 1ª safra'!$E25:INDEX('Milho 1ª safra'!$E25:$Z25,MIN(V$6-$E$3,22))),0))-IF($G$2,0,IF((V$6-$G$3)&lt;1,0,IFERROR(LOOKUP(2,1/('Milho 1ª safra'!$E25:INDEX('Milho 1ª safra'!$E25:$Z25,MIN(V$6-$G$3,22))&lt;&gt;""),'Milho 1ª safra'!$E25:INDEX('Milho 1ª safra'!$E25:$Z25,MIN(V$6-$G$3,22))),0)))))</f>
        <v>0</v>
      </c>
      <c r="W27" s="27" t="n">
        <f aca="false">IF(COUNT('Milho 1ª safra'!$E25:$Z25)=0,0,MAX(0,IF((W$6-$E$3)&lt;1,0,IFERROR(LOOKUP(2,1/('Milho 1ª safra'!$E25:INDEX('Milho 1ª safra'!$E25:$Z25,MIN(W$6-$E$3,22))&lt;&gt;""),'Milho 1ª safra'!$E25:INDEX('Milho 1ª safra'!$E25:$Z25,MIN(W$6-$E$3,22))),0))-IF($G$2,0,IF((W$6-$G$3)&lt;1,0,IFERROR(LOOKUP(2,1/('Milho 1ª safra'!$E25:INDEX('Milho 1ª safra'!$E25:$Z25,MIN(W$6-$G$3,22))&lt;&gt;""),'Milho 1ª safra'!$E25:INDEX('Milho 1ª safra'!$E25:$Z25,MIN(W$6-$G$3,22))),0)))))</f>
        <v>0</v>
      </c>
      <c r="X27" s="27" t="n">
        <f aca="false">IF(COUNT('Milho 1ª safra'!$E25:$Z25)=0,0,MAX(0,IF((X$6-$E$3)&lt;1,0,IFERROR(LOOKUP(2,1/('Milho 1ª safra'!$E25:INDEX('Milho 1ª safra'!$E25:$Z25,MIN(X$6-$E$3,22))&lt;&gt;""),'Milho 1ª safra'!$E25:INDEX('Milho 1ª safra'!$E25:$Z25,MIN(X$6-$E$3,22))),0))-IF($G$2,0,IF((X$6-$G$3)&lt;1,0,IFERROR(LOOKUP(2,1/('Milho 1ª safra'!$E25:INDEX('Milho 1ª safra'!$E25:$Z25,MIN(X$6-$G$3,22))&lt;&gt;""),'Milho 1ª safra'!$E25:INDEX('Milho 1ª safra'!$E25:$Z25,MIN(X$6-$G$3,22))),0)))))</f>
        <v>0</v>
      </c>
      <c r="Y27" s="27" t="n">
        <f aca="false">IF(COUNT('Milho 1ª safra'!$E25:$Z25)=0,0,MAX(0,IF((Y$6-$E$3)&lt;1,0,IFERROR(LOOKUP(2,1/('Milho 1ª safra'!$E25:INDEX('Milho 1ª safra'!$E25:$Z25,MIN(Y$6-$E$3,22))&lt;&gt;""),'Milho 1ª safra'!$E25:INDEX('Milho 1ª safra'!$E25:$Z25,MIN(Y$6-$E$3,22))),0))-IF($G$2,0,IF((Y$6-$G$3)&lt;1,0,IFERROR(LOOKUP(2,1/('Milho 1ª safra'!$E25:INDEX('Milho 1ª safra'!$E25:$Z25,MIN(Y$6-$G$3,22))&lt;&gt;""),'Milho 1ª safra'!$E25:INDEX('Milho 1ª safra'!$E25:$Z25,MIN(Y$6-$G$3,22))),0)))))</f>
        <v>0</v>
      </c>
      <c r="Z27" s="27" t="n">
        <f aca="false">IF(COUNT('Milho 1ª safra'!$E25:$Z25)=0,0,MAX(0,IF((Z$6-$E$3)&lt;1,0,IFERROR(LOOKUP(2,1/('Milho 1ª safra'!$E25:INDEX('Milho 1ª safra'!$E25:$Z25,MIN(Z$6-$E$3,22))&lt;&gt;""),'Milho 1ª safra'!$E25:INDEX('Milho 1ª safra'!$E25:$Z25,MIN(Z$6-$E$3,22))),0))-IF($G$2,0,IF((Z$6-$G$3)&lt;1,0,IFERROR(LOOKUP(2,1/('Milho 1ª safra'!$E25:INDEX('Milho 1ª safra'!$E25:$Z25,MIN(Z$6-$G$3,22))&lt;&gt;""),'Milho 1ª safra'!$E25:INDEX('Milho 1ª safra'!$E25:$Z25,MIN(Z$6-$G$3,22))),0)))))</f>
        <v>0</v>
      </c>
      <c r="AA27" s="27" t="n">
        <f aca="false">IF(COUNT('Milho 1ª safra'!$E25:$Z25)=0,0,MAX(0,IF((AA$6-$E$3)&lt;1,0,IFERROR(LOOKUP(2,1/('Milho 1ª safra'!$E25:INDEX('Milho 1ª safra'!$E25:$Z25,MIN(AA$6-$E$3,22))&lt;&gt;""),'Milho 1ª safra'!$E25:INDEX('Milho 1ª safra'!$E25:$Z25,MIN(AA$6-$E$3,22))),0))-IF($G$2,0,IF((AA$6-$G$3)&lt;1,0,IFERROR(LOOKUP(2,1/('Milho 1ª safra'!$E25:INDEX('Milho 1ª safra'!$E25:$Z25,MIN(AA$6-$G$3,22))&lt;&gt;""),'Milho 1ª safra'!$E25:INDEX('Milho 1ª safra'!$E25:$Z25,MIN(AA$6-$G$3,22))),0)))))</f>
        <v>0</v>
      </c>
      <c r="AB27" s="27" t="n">
        <f aca="false">IF(COUNT('Milho 1ª safra'!$E25:$Z25)=0,0,MAX(0,IF((AB$6-$E$3)&lt;1,0,IFERROR(LOOKUP(2,1/('Milho 1ª safra'!$E25:INDEX('Milho 1ª safra'!$E25:$Z25,MIN(AB$6-$E$3,22))&lt;&gt;""),'Milho 1ª safra'!$E25:INDEX('Milho 1ª safra'!$E25:$Z25,MIN(AB$6-$E$3,22))),0))-IF($G$2,0,IF((AB$6-$G$3)&lt;1,0,IFERROR(LOOKUP(2,1/('Milho 1ª safra'!$E25:INDEX('Milho 1ª safra'!$E25:$Z25,MIN(AB$6-$G$3,22))&lt;&gt;""),'Milho 1ª safra'!$E25:INDEX('Milho 1ª safra'!$E25:$Z25,MIN(AB$6-$G$3,22))),0)))))</f>
        <v>0</v>
      </c>
      <c r="AC27" s="27" t="n">
        <f aca="false">IF(COUNT('Milho 1ª safra'!$E25:$Z25)=0,0,MAX(0,IF((AC$6-$E$3)&lt;1,0,IFERROR(LOOKUP(2,1/('Milho 1ª safra'!$E25:INDEX('Milho 1ª safra'!$E25:$Z25,MIN(AC$6-$E$3,22))&lt;&gt;""),'Milho 1ª safra'!$E25:INDEX('Milho 1ª safra'!$E25:$Z25,MIN(AC$6-$E$3,22))),0))-IF($G$2,0,IF((AC$6-$G$3)&lt;1,0,IFERROR(LOOKUP(2,1/('Milho 1ª safra'!$E25:INDEX('Milho 1ª safra'!$E25:$Z25,MIN(AC$6-$G$3,22))&lt;&gt;""),'Milho 1ª safra'!$E25:INDEX('Milho 1ª safra'!$E25:$Z25,MIN(AC$6-$G$3,22))),0)))))</f>
        <v>0</v>
      </c>
      <c r="AD27" s="27" t="n">
        <f aca="false">IF(COUNT('Milho 1ª safra'!$E25:$Z25)=0,0,MAX(0,IF((AD$6-$E$3)&lt;1,0,IFERROR(LOOKUP(2,1/('Milho 1ª safra'!$E25:INDEX('Milho 1ª safra'!$E25:$Z25,MIN(AD$6-$E$3,22))&lt;&gt;""),'Milho 1ª safra'!$E25:INDEX('Milho 1ª safra'!$E25:$Z25,MIN(AD$6-$E$3,22))),0))-IF($G$2,0,IF((AD$6-$G$3)&lt;1,0,IFERROR(LOOKUP(2,1/('Milho 1ª safra'!$E25:INDEX('Milho 1ª safra'!$E25:$Z25,MIN(AD$6-$G$3,22))&lt;&gt;""),'Milho 1ª safra'!$E25:INDEX('Milho 1ª safra'!$E25:$Z25,MIN(AD$6-$G$3,22))),0)))))</f>
        <v>0</v>
      </c>
      <c r="AE27" s="27" t="n">
        <f aca="false">IF(COUNT('Milho 1ª safra'!$E25:$Z25)=0,0,MAX(0,IF((AE$6-$E$3)&lt;1,0,IFERROR(LOOKUP(2,1/('Milho 1ª safra'!$E25:INDEX('Milho 1ª safra'!$E25:$Z25,MIN(AE$6-$E$3,22))&lt;&gt;""),'Milho 1ª safra'!$E25:INDEX('Milho 1ª safra'!$E25:$Z25,MIN(AE$6-$E$3,22))),0))-IF($G$2,0,IF((AE$6-$G$3)&lt;1,0,IFERROR(LOOKUP(2,1/('Milho 1ª safra'!$E25:INDEX('Milho 1ª safra'!$E25:$Z25,MIN(AE$6-$G$3,22))&lt;&gt;""),'Milho 1ª safra'!$E25:INDEX('Milho 1ª safra'!$E25:$Z25,MIN(AE$6-$G$3,22))),0)))))</f>
        <v>0</v>
      </c>
      <c r="AF27" s="27" t="n">
        <f aca="false">IF(COUNT('Milho 1ª safra'!$E25:$Z25)=0,0,MAX(0,IF((AF$6-$E$3)&lt;1,0,IFERROR(LOOKUP(2,1/('Milho 1ª safra'!$E25:INDEX('Milho 1ª safra'!$E25:$Z25,MIN(AF$6-$E$3,22))&lt;&gt;""),'Milho 1ª safra'!$E25:INDEX('Milho 1ª safra'!$E25:$Z25,MIN(AF$6-$E$3,22))),0))-IF($G$2,0,IF((AF$6-$G$3)&lt;1,0,IFERROR(LOOKUP(2,1/('Milho 1ª safra'!$E25:INDEX('Milho 1ª safra'!$E25:$Z25,MIN(AF$6-$G$3,22))&lt;&gt;""),'Milho 1ª safra'!$E25:INDEX('Milho 1ª safra'!$E25:$Z25,MIN(AF$6-$G$3,22))),0)))))</f>
        <v>0</v>
      </c>
      <c r="AG27" s="27" t="n">
        <f aca="false">IF(COUNT('Milho 1ª safra'!$E25:$Z25)=0,0,MAX(0,IF((AG$6-$E$3)&lt;1,0,IFERROR(LOOKUP(2,1/('Milho 1ª safra'!$E25:INDEX('Milho 1ª safra'!$E25:$Z25,MIN(AG$6-$E$3,22))&lt;&gt;""),'Milho 1ª safra'!$E25:INDEX('Milho 1ª safra'!$E25:$Z25,MIN(AG$6-$E$3,22))),0))-IF($G$2,0,IF((AG$6-$G$3)&lt;1,0,IFERROR(LOOKUP(2,1/('Milho 1ª safra'!$E25:INDEX('Milho 1ª safra'!$E25:$Z25,MIN(AG$6-$G$3,22))&lt;&gt;""),'Milho 1ª safra'!$E25:INDEX('Milho 1ª safra'!$E25:$Z25,MIN(AG$6-$G$3,22))),0)))))</f>
        <v>0</v>
      </c>
      <c r="AH27" s="27" t="n">
        <f aca="false">IF(COUNT('Milho 1ª safra'!$E25:$Z25)=0,0,MAX(0,IF((AH$6-$E$3)&lt;1,0,IFERROR(LOOKUP(2,1/('Milho 1ª safra'!$E25:INDEX('Milho 1ª safra'!$E25:$Z25,MIN(AH$6-$E$3,22))&lt;&gt;""),'Milho 1ª safra'!$E25:INDEX('Milho 1ª safra'!$E25:$Z25,MIN(AH$6-$E$3,22))),0))-IF($G$2,0,IF((AH$6-$G$3)&lt;1,0,IFERROR(LOOKUP(2,1/('Milho 1ª safra'!$E25:INDEX('Milho 1ª safra'!$E25:$Z25,MIN(AH$6-$G$3,22))&lt;&gt;""),'Milho 1ª safra'!$E25:INDEX('Milho 1ª safra'!$E25:$Z25,MIN(AH$6-$G$3,22))),0)))))</f>
        <v>0</v>
      </c>
      <c r="AI27" s="27" t="n">
        <f aca="false">IF(COUNT('Milho 1ª safra'!$E25:$Z25)=0,0,MAX(0,IF((AI$6-$E$3)&lt;1,0,IFERROR(LOOKUP(2,1/('Milho 1ª safra'!$E25:INDEX('Milho 1ª safra'!$E25:$Z25,MIN(AI$6-$E$3,22))&lt;&gt;""),'Milho 1ª safra'!$E25:INDEX('Milho 1ª safra'!$E25:$Z25,MIN(AI$6-$E$3,22))),0))-IF($G$2,0,IF((AI$6-$G$3)&lt;1,0,IFERROR(LOOKUP(2,1/('Milho 1ª safra'!$E25:INDEX('Milho 1ª safra'!$E25:$Z25,MIN(AI$6-$G$3,22))&lt;&gt;""),'Milho 1ª safra'!$E25:INDEX('Milho 1ª safra'!$E25:$Z25,MIN(AI$6-$G$3,22))),0)))))</f>
        <v>0</v>
      </c>
      <c r="AJ27" s="27" t="n">
        <f aca="false">IF(COUNT('Milho 1ª safra'!$E25:$Z25)=0,0,MAX(0,IF((AJ$6-$E$3)&lt;1,0,IFERROR(LOOKUP(2,1/('Milho 1ª safra'!$E25:INDEX('Milho 1ª safra'!$E25:$Z25,MIN(AJ$6-$E$3,22))&lt;&gt;""),'Milho 1ª safra'!$E25:INDEX('Milho 1ª safra'!$E25:$Z25,MIN(AJ$6-$E$3,22))),0))-IF($G$2,0,IF((AJ$6-$G$3)&lt;1,0,IFERROR(LOOKUP(2,1/('Milho 1ª safra'!$E25:INDEX('Milho 1ª safra'!$E25:$Z25,MIN(AJ$6-$G$3,22))&lt;&gt;""),'Milho 1ª safra'!$E25:INDEX('Milho 1ª safra'!$E25:$Z25,MIN(AJ$6-$G$3,22))),0)))))</f>
        <v>0</v>
      </c>
      <c r="AK27" s="27" t="n">
        <f aca="false">IF(COUNT('Milho 1ª safra'!$E25:$Z25)=0,0,MAX(0,IF((AK$6-$E$3)&lt;1,0,IFERROR(LOOKUP(2,1/('Milho 1ª safra'!$E25:INDEX('Milho 1ª safra'!$E25:$Z25,MIN(AK$6-$E$3,22))&lt;&gt;""),'Milho 1ª safra'!$E25:INDEX('Milho 1ª safra'!$E25:$Z25,MIN(AK$6-$E$3,22))),0))-IF($G$2,0,IF((AK$6-$G$3)&lt;1,0,IFERROR(LOOKUP(2,1/('Milho 1ª safra'!$E25:INDEX('Milho 1ª safra'!$E25:$Z25,MIN(AK$6-$G$3,22))&lt;&gt;""),'Milho 1ª safra'!$E25:INDEX('Milho 1ª safra'!$E25:$Z25,MIN(AK$6-$G$3,22))),0)))))</f>
        <v>0</v>
      </c>
      <c r="AL27" s="27" t="n">
        <f aca="false">IF(COUNT('Milho 1ª safra'!$E25:$Z25)=0,0,MAX(0,IF((AL$6-$E$3)&lt;1,0,IFERROR(LOOKUP(2,1/('Milho 1ª safra'!$E25:INDEX('Milho 1ª safra'!$E25:$Z25,MIN(AL$6-$E$3,22))&lt;&gt;""),'Milho 1ª safra'!$E25:INDEX('Milho 1ª safra'!$E25:$Z25,MIN(AL$6-$E$3,22))),0))-IF($G$2,0,IF((AL$6-$G$3)&lt;1,0,IFERROR(LOOKUP(2,1/('Milho 1ª safra'!$E25:INDEX('Milho 1ª safra'!$E25:$Z25,MIN(AL$6-$G$3,22))&lt;&gt;""),'Milho 1ª safra'!$E25:INDEX('Milho 1ª safra'!$E25:$Z25,MIN(AL$6-$G$3,22))),0)))))</f>
        <v>0</v>
      </c>
      <c r="AM27" s="27" t="n">
        <f aca="false">IF(COUNT('Milho 1ª safra'!$E25:$Z25)=0,0,MAX(0,IF((AM$6-$E$3)&lt;1,0,IFERROR(LOOKUP(2,1/('Milho 1ª safra'!$E25:INDEX('Milho 1ª safra'!$E25:$Z25,MIN(AM$6-$E$3,22))&lt;&gt;""),'Milho 1ª safra'!$E25:INDEX('Milho 1ª safra'!$E25:$Z25,MIN(AM$6-$E$3,22))),0))-IF($G$2,0,IF((AM$6-$G$3)&lt;1,0,IFERROR(LOOKUP(2,1/('Milho 1ª safra'!$E25:INDEX('Milho 1ª safra'!$E25:$Z25,MIN(AM$6-$G$3,22))&lt;&gt;""),'Milho 1ª safra'!$E25:INDEX('Milho 1ª safra'!$E25:$Z25,MIN(AM$6-$G$3,22))),0)))))</f>
        <v>0</v>
      </c>
      <c r="AN27" s="27" t="n">
        <f aca="false">IF(COUNT('Milho 1ª safra'!$E25:$Z25)=0,0,MAX(0,IF((AN$6-$E$3)&lt;1,0,IFERROR(LOOKUP(2,1/('Milho 1ª safra'!$E25:INDEX('Milho 1ª safra'!$E25:$Z25,MIN(AN$6-$E$3,22))&lt;&gt;""),'Milho 1ª safra'!$E25:INDEX('Milho 1ª safra'!$E25:$Z25,MIN(AN$6-$E$3,22))),0))-IF($G$2,0,IF((AN$6-$G$3)&lt;1,0,IFERROR(LOOKUP(2,1/('Milho 1ª safra'!$E25:INDEX('Milho 1ª safra'!$E25:$Z25,MIN(AN$6-$G$3,22))&lt;&gt;""),'Milho 1ª safra'!$E25:INDEX('Milho 1ª safra'!$E25:$Z25,MIN(AN$6-$G$3,22))),0)))))</f>
        <v>0</v>
      </c>
      <c r="AO27" s="27" t="n">
        <f aca="false">IF(COUNT('Milho 1ª safra'!$E25:$Z25)=0,0,MAX(0,IF((AO$6-$E$3)&lt;1,0,IFERROR(LOOKUP(2,1/('Milho 1ª safra'!$E25:INDEX('Milho 1ª safra'!$E25:$Z25,MIN(AO$6-$E$3,22))&lt;&gt;""),'Milho 1ª safra'!$E25:INDEX('Milho 1ª safra'!$E25:$Z25,MIN(AO$6-$E$3,22))),0))-IF($G$2,0,IF((AO$6-$G$3)&lt;1,0,IFERROR(LOOKUP(2,1/('Milho 1ª safra'!$E25:INDEX('Milho 1ª safra'!$E25:$Z25,MIN(AO$6-$G$3,22))&lt;&gt;""),'Milho 1ª safra'!$E25:INDEX('Milho 1ª safra'!$E25:$Z25,MIN(AO$6-$G$3,22))),0)))))</f>
        <v>0</v>
      </c>
      <c r="AP27" s="27" t="n">
        <f aca="false">IF(COUNT('Milho 1ª safra'!$E25:$Z25)=0,0,MAX(0,IF((AP$6-$E$3)&lt;1,0,IFERROR(LOOKUP(2,1/('Milho 1ª safra'!$E25:INDEX('Milho 1ª safra'!$E25:$Z25,MIN(AP$6-$E$3,22))&lt;&gt;""),'Milho 1ª safra'!$E25:INDEX('Milho 1ª safra'!$E25:$Z25,MIN(AP$6-$E$3,22))),0))-IF($G$2,0,IF((AP$6-$G$3)&lt;1,0,IFERROR(LOOKUP(2,1/('Milho 1ª safra'!$E25:INDEX('Milho 1ª safra'!$E25:$Z25,MIN(AP$6-$G$3,22))&lt;&gt;""),'Milho 1ª safra'!$E25:INDEX('Milho 1ª safra'!$E25:$Z25,MIN(AP$6-$G$3,22))),0)))))</f>
        <v>0</v>
      </c>
      <c r="AQ27" s="27" t="n">
        <f aca="false">IF(COUNT('Milho 1ª safra'!$E25:$Z25)=0,0,MAX(0,IF((AQ$6-$E$3)&lt;1,0,IFERROR(LOOKUP(2,1/('Milho 1ª safra'!$E25:INDEX('Milho 1ª safra'!$E25:$Z25,MIN(AQ$6-$E$3,22))&lt;&gt;""),'Milho 1ª safra'!$E25:INDEX('Milho 1ª safra'!$E25:$Z25,MIN(AQ$6-$E$3,22))),0))-IF($G$2,0,IF((AQ$6-$G$3)&lt;1,0,IFERROR(LOOKUP(2,1/('Milho 1ª safra'!$E25:INDEX('Milho 1ª safra'!$E25:$Z25,MIN(AQ$6-$G$3,22))&lt;&gt;""),'Milho 1ª safra'!$E25:INDEX('Milho 1ª safra'!$E25:$Z25,MIN(AQ$6-$G$3,22))),0)))))</f>
        <v>0</v>
      </c>
      <c r="AR27" s="27" t="n">
        <f aca="false">IF(COUNT('Milho 1ª safra'!$E25:$Z25)=0,0,MAX(0,IF((AR$6-$E$3)&lt;1,0,IFERROR(LOOKUP(2,1/('Milho 1ª safra'!$E25:INDEX('Milho 1ª safra'!$E25:$Z25,MIN(AR$6-$E$3,22))&lt;&gt;""),'Milho 1ª safra'!$E25:INDEX('Milho 1ª safra'!$E25:$Z25,MIN(AR$6-$E$3,22))),0))-IF($G$2,0,IF((AR$6-$G$3)&lt;1,0,IFERROR(LOOKUP(2,1/('Milho 1ª safra'!$E25:INDEX('Milho 1ª safra'!$E25:$Z25,MIN(AR$6-$G$3,22))&lt;&gt;""),'Milho 1ª safra'!$E25:INDEX('Milho 1ª safra'!$E25:$Z25,MIN(AR$6-$G$3,22))),0)))))</f>
        <v>0</v>
      </c>
      <c r="AS27" s="27" t="n">
        <f aca="false">IF(COUNT('Milho 1ª safra'!$E25:$Z25)=0,0,MAX(0,IF((AS$6-$E$3)&lt;1,0,IFERROR(LOOKUP(2,1/('Milho 1ª safra'!$E25:INDEX('Milho 1ª safra'!$E25:$Z25,MIN(AS$6-$E$3,22))&lt;&gt;""),'Milho 1ª safra'!$E25:INDEX('Milho 1ª safra'!$E25:$Z25,MIN(AS$6-$E$3,22))),0))-IF($G$2,0,IF((AS$6-$G$3)&lt;1,0,IFERROR(LOOKUP(2,1/('Milho 1ª safra'!$E25:INDEX('Milho 1ª safra'!$E25:$Z25,MIN(AS$6-$G$3,22))&lt;&gt;""),'Milho 1ª safra'!$E25:INDEX('Milho 1ª safra'!$E25:$Z25,MIN(AS$6-$G$3,22))),0)))))</f>
        <v>0</v>
      </c>
      <c r="AT27" s="27" t="n">
        <f aca="false">IF(COUNT('Milho 1ª safra'!$E25:$Z25)=0,0,MAX(0,IF((AT$6-$E$3)&lt;1,0,IFERROR(LOOKUP(2,1/('Milho 1ª safra'!$E25:INDEX('Milho 1ª safra'!$E25:$Z25,MIN(AT$6-$E$3,22))&lt;&gt;""),'Milho 1ª safra'!$E25:INDEX('Milho 1ª safra'!$E25:$Z25,MIN(AT$6-$E$3,22))),0))-IF($G$2,0,IF((AT$6-$G$3)&lt;1,0,IFERROR(LOOKUP(2,1/('Milho 1ª safra'!$E25:INDEX('Milho 1ª safra'!$E25:$Z25,MIN(AT$6-$G$3,22))&lt;&gt;""),'Milho 1ª safra'!$E25:INDEX('Milho 1ª safra'!$E25:$Z25,MIN(AT$6-$G$3,22))),0)))))</f>
        <v>0</v>
      </c>
      <c r="AU27" s="27" t="n">
        <f aca="false">IF(COUNT('Milho 1ª safra'!$E25:$Z25)=0,0,MAX(0,IF((AU$6-$E$3)&lt;1,0,IFERROR(LOOKUP(2,1/('Milho 1ª safra'!$E25:INDEX('Milho 1ª safra'!$E25:$Z25,MIN(AU$6-$E$3,22))&lt;&gt;""),'Milho 1ª safra'!$E25:INDEX('Milho 1ª safra'!$E25:$Z25,MIN(AU$6-$E$3,22))),0))-IF($G$2,0,IF((AU$6-$G$3)&lt;1,0,IFERROR(LOOKUP(2,1/('Milho 1ª safra'!$E25:INDEX('Milho 1ª safra'!$E25:$Z25,MIN(AU$6-$G$3,22))&lt;&gt;""),'Milho 1ª safra'!$E25:INDEX('Milho 1ª safra'!$E25:$Z25,MIN(AU$6-$G$3,22))),0)))))</f>
        <v>0</v>
      </c>
      <c r="AV27" s="27" t="n">
        <f aca="false">IF(COUNT('Milho 1ª safra'!$E25:$Z25)=0,0,MAX(0,IF((AV$6-$E$3)&lt;1,0,IFERROR(LOOKUP(2,1/('Milho 1ª safra'!$E25:INDEX('Milho 1ª safra'!$E25:$Z25,MIN(AV$6-$E$3,22))&lt;&gt;""),'Milho 1ª safra'!$E25:INDEX('Milho 1ª safra'!$E25:$Z25,MIN(AV$6-$E$3,22))),0))-IF($G$2,0,IF((AV$6-$G$3)&lt;1,0,IFERROR(LOOKUP(2,1/('Milho 1ª safra'!$E25:INDEX('Milho 1ª safra'!$E25:$Z25,MIN(AV$6-$G$3,22))&lt;&gt;""),'Milho 1ª safra'!$E25:INDEX('Milho 1ª safra'!$E25:$Z25,MIN(AV$6-$G$3,22))),0)))))</f>
        <v>0</v>
      </c>
      <c r="AW27" s="27" t="n">
        <f aca="false">IF(COUNT('Milho 1ª safra'!$E25:$Z25)=0,0,MAX(0,IF((AW$6-$E$3)&lt;1,0,IFERROR(LOOKUP(2,1/('Milho 1ª safra'!$E25:INDEX('Milho 1ª safra'!$E25:$Z25,MIN(AW$6-$E$3,22))&lt;&gt;""),'Milho 1ª safra'!$E25:INDEX('Milho 1ª safra'!$E25:$Z25,MIN(AW$6-$E$3,22))),0))-IF($G$2,0,IF((AW$6-$G$3)&lt;1,0,IFERROR(LOOKUP(2,1/('Milho 1ª safra'!$E25:INDEX('Milho 1ª safra'!$E25:$Z25,MIN(AW$6-$G$3,22))&lt;&gt;""),'Milho 1ª safra'!$E25:INDEX('Milho 1ª safra'!$E25:$Z25,MIN(AW$6-$G$3,22))),0)))))</f>
        <v>0</v>
      </c>
      <c r="AX27" s="27" t="n">
        <f aca="false">IF(COUNT('Milho 1ª safra'!$E25:$Z25)=0,0,MAX(0,IF((AX$6-$E$3)&lt;1,0,IFERROR(LOOKUP(2,1/('Milho 1ª safra'!$E25:INDEX('Milho 1ª safra'!$E25:$Z25,MIN(AX$6-$E$3,22))&lt;&gt;""),'Milho 1ª safra'!$E25:INDEX('Milho 1ª safra'!$E25:$Z25,MIN(AX$6-$E$3,22))),0))-IF($G$2,0,IF((AX$6-$G$3)&lt;1,0,IFERROR(LOOKUP(2,1/('Milho 1ª safra'!$E25:INDEX('Milho 1ª safra'!$E25:$Z25,MIN(AX$6-$G$3,22))&lt;&gt;""),'Milho 1ª safra'!$E25:INDEX('Milho 1ª safra'!$E25:$Z25,MIN(AX$6-$G$3,22))),0)))))</f>
        <v>0</v>
      </c>
      <c r="AY27" s="27" t="n">
        <f aca="false">IF(COUNT('Milho 1ª safra'!$E25:$Z25)=0,0,MAX(0,IF((AY$6-$E$3)&lt;1,0,IFERROR(LOOKUP(2,1/('Milho 1ª safra'!$E25:INDEX('Milho 1ª safra'!$E25:$Z25,MIN(AY$6-$E$3,22))&lt;&gt;""),'Milho 1ª safra'!$E25:INDEX('Milho 1ª safra'!$E25:$Z25,MIN(AY$6-$E$3,22))),0))-IF($G$2,0,IF((AY$6-$G$3)&lt;1,0,IFERROR(LOOKUP(2,1/('Milho 1ª safra'!$E25:INDEX('Milho 1ª safra'!$E25:$Z25,MIN(AY$6-$G$3,22))&lt;&gt;""),'Milho 1ª safra'!$E25:INDEX('Milho 1ª safra'!$E25:$Z25,MIN(AY$6-$G$3,22))),0)))))</f>
        <v>0</v>
      </c>
      <c r="AZ27" s="27" t="n">
        <f aca="false">IF(COUNT('Milho 1ª safra'!$E25:$Z25)=0,0,MAX(0,IF((AZ$6-$E$3)&lt;1,0,IFERROR(LOOKUP(2,1/('Milho 1ª safra'!$E25:INDEX('Milho 1ª safra'!$E25:$Z25,MIN(AZ$6-$E$3,22))&lt;&gt;""),'Milho 1ª safra'!$E25:INDEX('Milho 1ª safra'!$E25:$Z25,MIN(AZ$6-$E$3,22))),0))-IF($G$2,0,IF((AZ$6-$G$3)&lt;1,0,IFERROR(LOOKUP(2,1/('Milho 1ª safra'!$E25:INDEX('Milho 1ª safra'!$E25:$Z25,MIN(AZ$6-$G$3,22))&lt;&gt;""),'Milho 1ª safra'!$E25:INDEX('Milho 1ª safra'!$E25:$Z25,MIN(AZ$6-$G$3,22))),0)))))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IF(COUNT('Milho 1ª safra'!$E26:$Z26)&gt;0,N('Milho 1ª safra'!$D26),0)</f>
        <v>0</v>
      </c>
      <c r="E28" s="27" t="n">
        <f aca="false">IF(COUNT('Milho 1ª safra'!$E26:$Z26)=0,0,MAX(0,IF((E$6-$E$3)&lt;1,0,IFERROR(LOOKUP(2,1/('Milho 1ª safra'!$E26:INDEX('Milho 1ª safra'!$E26:$Z26,MIN(E$6-$E$3,22))&lt;&gt;""),'Milho 1ª safra'!$E26:INDEX('Milho 1ª safra'!$E26:$Z26,MIN(E$6-$E$3,22))),0))-IF($G$2,0,IF((E$6-$G$3)&lt;1,0,IFERROR(LOOKUP(2,1/('Milho 1ª safra'!$E26:INDEX('Milho 1ª safra'!$E26:$Z26,MIN(E$6-$G$3,22))&lt;&gt;""),'Milho 1ª safra'!$E26:INDEX('Milho 1ª safra'!$E26:$Z26,MIN(E$6-$G$3,22))),0)))))</f>
        <v>0</v>
      </c>
      <c r="F28" s="27" t="n">
        <f aca="false">IF(COUNT('Milho 1ª safra'!$E26:$Z26)=0,0,MAX(0,IF((F$6-$E$3)&lt;1,0,IFERROR(LOOKUP(2,1/('Milho 1ª safra'!$E26:INDEX('Milho 1ª safra'!$E26:$Z26,MIN(F$6-$E$3,22))&lt;&gt;""),'Milho 1ª safra'!$E26:INDEX('Milho 1ª safra'!$E26:$Z26,MIN(F$6-$E$3,22))),0))-IF($G$2,0,IF((F$6-$G$3)&lt;1,0,IFERROR(LOOKUP(2,1/('Milho 1ª safra'!$E26:INDEX('Milho 1ª safra'!$E26:$Z26,MIN(F$6-$G$3,22))&lt;&gt;""),'Milho 1ª safra'!$E26:INDEX('Milho 1ª safra'!$E26:$Z26,MIN(F$6-$G$3,22))),0)))))</f>
        <v>0</v>
      </c>
      <c r="G28" s="27" t="n">
        <f aca="false">IF(COUNT('Milho 1ª safra'!$E26:$Z26)=0,0,MAX(0,IF((G$6-$E$3)&lt;1,0,IFERROR(LOOKUP(2,1/('Milho 1ª safra'!$E26:INDEX('Milho 1ª safra'!$E26:$Z26,MIN(G$6-$E$3,22))&lt;&gt;""),'Milho 1ª safra'!$E26:INDEX('Milho 1ª safra'!$E26:$Z26,MIN(G$6-$E$3,22))),0))-IF($G$2,0,IF((G$6-$G$3)&lt;1,0,IFERROR(LOOKUP(2,1/('Milho 1ª safra'!$E26:INDEX('Milho 1ª safra'!$E26:$Z26,MIN(G$6-$G$3,22))&lt;&gt;""),'Milho 1ª safra'!$E26:INDEX('Milho 1ª safra'!$E26:$Z26,MIN(G$6-$G$3,22))),0)))))</f>
        <v>0</v>
      </c>
      <c r="H28" s="27" t="n">
        <f aca="false">IF(COUNT('Milho 1ª safra'!$E26:$Z26)=0,0,MAX(0,IF((H$6-$E$3)&lt;1,0,IFERROR(LOOKUP(2,1/('Milho 1ª safra'!$E26:INDEX('Milho 1ª safra'!$E26:$Z26,MIN(H$6-$E$3,22))&lt;&gt;""),'Milho 1ª safra'!$E26:INDEX('Milho 1ª safra'!$E26:$Z26,MIN(H$6-$E$3,22))),0))-IF($G$2,0,IF((H$6-$G$3)&lt;1,0,IFERROR(LOOKUP(2,1/('Milho 1ª safra'!$E26:INDEX('Milho 1ª safra'!$E26:$Z26,MIN(H$6-$G$3,22))&lt;&gt;""),'Milho 1ª safra'!$E26:INDEX('Milho 1ª safra'!$E26:$Z26,MIN(H$6-$G$3,22))),0)))))</f>
        <v>0</v>
      </c>
      <c r="I28" s="27" t="n">
        <f aca="false">IF(COUNT('Milho 1ª safra'!$E26:$Z26)=0,0,MAX(0,IF((I$6-$E$3)&lt;1,0,IFERROR(LOOKUP(2,1/('Milho 1ª safra'!$E26:INDEX('Milho 1ª safra'!$E26:$Z26,MIN(I$6-$E$3,22))&lt;&gt;""),'Milho 1ª safra'!$E26:INDEX('Milho 1ª safra'!$E26:$Z26,MIN(I$6-$E$3,22))),0))-IF($G$2,0,IF((I$6-$G$3)&lt;1,0,IFERROR(LOOKUP(2,1/('Milho 1ª safra'!$E26:INDEX('Milho 1ª safra'!$E26:$Z26,MIN(I$6-$G$3,22))&lt;&gt;""),'Milho 1ª safra'!$E26:INDEX('Milho 1ª safra'!$E26:$Z26,MIN(I$6-$G$3,22))),0)))))</f>
        <v>0</v>
      </c>
      <c r="J28" s="27" t="n">
        <f aca="false">IF(COUNT('Milho 1ª safra'!$E26:$Z26)=0,0,MAX(0,IF((J$6-$E$3)&lt;1,0,IFERROR(LOOKUP(2,1/('Milho 1ª safra'!$E26:INDEX('Milho 1ª safra'!$E26:$Z26,MIN(J$6-$E$3,22))&lt;&gt;""),'Milho 1ª safra'!$E26:INDEX('Milho 1ª safra'!$E26:$Z26,MIN(J$6-$E$3,22))),0))-IF($G$2,0,IF((J$6-$G$3)&lt;1,0,IFERROR(LOOKUP(2,1/('Milho 1ª safra'!$E26:INDEX('Milho 1ª safra'!$E26:$Z26,MIN(J$6-$G$3,22))&lt;&gt;""),'Milho 1ª safra'!$E26:INDEX('Milho 1ª safra'!$E26:$Z26,MIN(J$6-$G$3,22))),0)))))</f>
        <v>0</v>
      </c>
      <c r="K28" s="27" t="n">
        <f aca="false">IF(COUNT('Milho 1ª safra'!$E26:$Z26)=0,0,MAX(0,IF((K$6-$E$3)&lt;1,0,IFERROR(LOOKUP(2,1/('Milho 1ª safra'!$E26:INDEX('Milho 1ª safra'!$E26:$Z26,MIN(K$6-$E$3,22))&lt;&gt;""),'Milho 1ª safra'!$E26:INDEX('Milho 1ª safra'!$E26:$Z26,MIN(K$6-$E$3,22))),0))-IF($G$2,0,IF((K$6-$G$3)&lt;1,0,IFERROR(LOOKUP(2,1/('Milho 1ª safra'!$E26:INDEX('Milho 1ª safra'!$E26:$Z26,MIN(K$6-$G$3,22))&lt;&gt;""),'Milho 1ª safra'!$E26:INDEX('Milho 1ª safra'!$E26:$Z26,MIN(K$6-$G$3,22))),0)))))</f>
        <v>0</v>
      </c>
      <c r="L28" s="27" t="n">
        <f aca="false">IF(COUNT('Milho 1ª safra'!$E26:$Z26)=0,0,MAX(0,IF((L$6-$E$3)&lt;1,0,IFERROR(LOOKUP(2,1/('Milho 1ª safra'!$E26:INDEX('Milho 1ª safra'!$E26:$Z26,MIN(L$6-$E$3,22))&lt;&gt;""),'Milho 1ª safra'!$E26:INDEX('Milho 1ª safra'!$E26:$Z26,MIN(L$6-$E$3,22))),0))-IF($G$2,0,IF((L$6-$G$3)&lt;1,0,IFERROR(LOOKUP(2,1/('Milho 1ª safra'!$E26:INDEX('Milho 1ª safra'!$E26:$Z26,MIN(L$6-$G$3,22))&lt;&gt;""),'Milho 1ª safra'!$E26:INDEX('Milho 1ª safra'!$E26:$Z26,MIN(L$6-$G$3,22))),0)))))</f>
        <v>0</v>
      </c>
      <c r="M28" s="27" t="n">
        <f aca="false">IF(COUNT('Milho 1ª safra'!$E26:$Z26)=0,0,MAX(0,IF((M$6-$E$3)&lt;1,0,IFERROR(LOOKUP(2,1/('Milho 1ª safra'!$E26:INDEX('Milho 1ª safra'!$E26:$Z26,MIN(M$6-$E$3,22))&lt;&gt;""),'Milho 1ª safra'!$E26:INDEX('Milho 1ª safra'!$E26:$Z26,MIN(M$6-$E$3,22))),0))-IF($G$2,0,IF((M$6-$G$3)&lt;1,0,IFERROR(LOOKUP(2,1/('Milho 1ª safra'!$E26:INDEX('Milho 1ª safra'!$E26:$Z26,MIN(M$6-$G$3,22))&lt;&gt;""),'Milho 1ª safra'!$E26:INDEX('Milho 1ª safra'!$E26:$Z26,MIN(M$6-$G$3,22))),0)))))</f>
        <v>0</v>
      </c>
      <c r="N28" s="27" t="n">
        <f aca="false">IF(COUNT('Milho 1ª safra'!$E26:$Z26)=0,0,MAX(0,IF((N$6-$E$3)&lt;1,0,IFERROR(LOOKUP(2,1/('Milho 1ª safra'!$E26:INDEX('Milho 1ª safra'!$E26:$Z26,MIN(N$6-$E$3,22))&lt;&gt;""),'Milho 1ª safra'!$E26:INDEX('Milho 1ª safra'!$E26:$Z26,MIN(N$6-$E$3,22))),0))-IF($G$2,0,IF((N$6-$G$3)&lt;1,0,IFERROR(LOOKUP(2,1/('Milho 1ª safra'!$E26:INDEX('Milho 1ª safra'!$E26:$Z26,MIN(N$6-$G$3,22))&lt;&gt;""),'Milho 1ª safra'!$E26:INDEX('Milho 1ª safra'!$E26:$Z26,MIN(N$6-$G$3,22))),0)))))</f>
        <v>0</v>
      </c>
      <c r="O28" s="27" t="n">
        <f aca="false">IF(COUNT('Milho 1ª safra'!$E26:$Z26)=0,0,MAX(0,IF((O$6-$E$3)&lt;1,0,IFERROR(LOOKUP(2,1/('Milho 1ª safra'!$E26:INDEX('Milho 1ª safra'!$E26:$Z26,MIN(O$6-$E$3,22))&lt;&gt;""),'Milho 1ª safra'!$E26:INDEX('Milho 1ª safra'!$E26:$Z26,MIN(O$6-$E$3,22))),0))-IF($G$2,0,IF((O$6-$G$3)&lt;1,0,IFERROR(LOOKUP(2,1/('Milho 1ª safra'!$E26:INDEX('Milho 1ª safra'!$E26:$Z26,MIN(O$6-$G$3,22))&lt;&gt;""),'Milho 1ª safra'!$E26:INDEX('Milho 1ª safra'!$E26:$Z26,MIN(O$6-$G$3,22))),0)))))</f>
        <v>0</v>
      </c>
      <c r="P28" s="27" t="n">
        <f aca="false">IF(COUNT('Milho 1ª safra'!$E26:$Z26)=0,0,MAX(0,IF((P$6-$E$3)&lt;1,0,IFERROR(LOOKUP(2,1/('Milho 1ª safra'!$E26:INDEX('Milho 1ª safra'!$E26:$Z26,MIN(P$6-$E$3,22))&lt;&gt;""),'Milho 1ª safra'!$E26:INDEX('Milho 1ª safra'!$E26:$Z26,MIN(P$6-$E$3,22))),0))-IF($G$2,0,IF((P$6-$G$3)&lt;1,0,IFERROR(LOOKUP(2,1/('Milho 1ª safra'!$E26:INDEX('Milho 1ª safra'!$E26:$Z26,MIN(P$6-$G$3,22))&lt;&gt;""),'Milho 1ª safra'!$E26:INDEX('Milho 1ª safra'!$E26:$Z26,MIN(P$6-$G$3,22))),0)))))</f>
        <v>0</v>
      </c>
      <c r="Q28" s="27" t="n">
        <f aca="false">IF(COUNT('Milho 1ª safra'!$E26:$Z26)=0,0,MAX(0,IF((Q$6-$E$3)&lt;1,0,IFERROR(LOOKUP(2,1/('Milho 1ª safra'!$E26:INDEX('Milho 1ª safra'!$E26:$Z26,MIN(Q$6-$E$3,22))&lt;&gt;""),'Milho 1ª safra'!$E26:INDEX('Milho 1ª safra'!$E26:$Z26,MIN(Q$6-$E$3,22))),0))-IF($G$2,0,IF((Q$6-$G$3)&lt;1,0,IFERROR(LOOKUP(2,1/('Milho 1ª safra'!$E26:INDEX('Milho 1ª safra'!$E26:$Z26,MIN(Q$6-$G$3,22))&lt;&gt;""),'Milho 1ª safra'!$E26:INDEX('Milho 1ª safra'!$E26:$Z26,MIN(Q$6-$G$3,22))),0)))))</f>
        <v>0</v>
      </c>
      <c r="R28" s="27" t="n">
        <f aca="false">IF(COUNT('Milho 1ª safra'!$E26:$Z26)=0,0,MAX(0,IF((R$6-$E$3)&lt;1,0,IFERROR(LOOKUP(2,1/('Milho 1ª safra'!$E26:INDEX('Milho 1ª safra'!$E26:$Z26,MIN(R$6-$E$3,22))&lt;&gt;""),'Milho 1ª safra'!$E26:INDEX('Milho 1ª safra'!$E26:$Z26,MIN(R$6-$E$3,22))),0))-IF($G$2,0,IF((R$6-$G$3)&lt;1,0,IFERROR(LOOKUP(2,1/('Milho 1ª safra'!$E26:INDEX('Milho 1ª safra'!$E26:$Z26,MIN(R$6-$G$3,22))&lt;&gt;""),'Milho 1ª safra'!$E26:INDEX('Milho 1ª safra'!$E26:$Z26,MIN(R$6-$G$3,22))),0)))))</f>
        <v>0</v>
      </c>
      <c r="S28" s="27" t="n">
        <f aca="false">IF(COUNT('Milho 1ª safra'!$E26:$Z26)=0,0,MAX(0,IF((S$6-$E$3)&lt;1,0,IFERROR(LOOKUP(2,1/('Milho 1ª safra'!$E26:INDEX('Milho 1ª safra'!$E26:$Z26,MIN(S$6-$E$3,22))&lt;&gt;""),'Milho 1ª safra'!$E26:INDEX('Milho 1ª safra'!$E26:$Z26,MIN(S$6-$E$3,22))),0))-IF($G$2,0,IF((S$6-$G$3)&lt;1,0,IFERROR(LOOKUP(2,1/('Milho 1ª safra'!$E26:INDEX('Milho 1ª safra'!$E26:$Z26,MIN(S$6-$G$3,22))&lt;&gt;""),'Milho 1ª safra'!$E26:INDEX('Milho 1ª safra'!$E26:$Z26,MIN(S$6-$G$3,22))),0)))))</f>
        <v>0</v>
      </c>
      <c r="T28" s="27" t="n">
        <f aca="false">IF(COUNT('Milho 1ª safra'!$E26:$Z26)=0,0,MAX(0,IF((T$6-$E$3)&lt;1,0,IFERROR(LOOKUP(2,1/('Milho 1ª safra'!$E26:INDEX('Milho 1ª safra'!$E26:$Z26,MIN(T$6-$E$3,22))&lt;&gt;""),'Milho 1ª safra'!$E26:INDEX('Milho 1ª safra'!$E26:$Z26,MIN(T$6-$E$3,22))),0))-IF($G$2,0,IF((T$6-$G$3)&lt;1,0,IFERROR(LOOKUP(2,1/('Milho 1ª safra'!$E26:INDEX('Milho 1ª safra'!$E26:$Z26,MIN(T$6-$G$3,22))&lt;&gt;""),'Milho 1ª safra'!$E26:INDEX('Milho 1ª safra'!$E26:$Z26,MIN(T$6-$G$3,22))),0)))))</f>
        <v>0</v>
      </c>
      <c r="U28" s="27" t="n">
        <f aca="false">IF(COUNT('Milho 1ª safra'!$E26:$Z26)=0,0,MAX(0,IF((U$6-$E$3)&lt;1,0,IFERROR(LOOKUP(2,1/('Milho 1ª safra'!$E26:INDEX('Milho 1ª safra'!$E26:$Z26,MIN(U$6-$E$3,22))&lt;&gt;""),'Milho 1ª safra'!$E26:INDEX('Milho 1ª safra'!$E26:$Z26,MIN(U$6-$E$3,22))),0))-IF($G$2,0,IF((U$6-$G$3)&lt;1,0,IFERROR(LOOKUP(2,1/('Milho 1ª safra'!$E26:INDEX('Milho 1ª safra'!$E26:$Z26,MIN(U$6-$G$3,22))&lt;&gt;""),'Milho 1ª safra'!$E26:INDEX('Milho 1ª safra'!$E26:$Z26,MIN(U$6-$G$3,22))),0)))))</f>
        <v>0</v>
      </c>
      <c r="V28" s="27" t="n">
        <f aca="false">IF(COUNT('Milho 1ª safra'!$E26:$Z26)=0,0,MAX(0,IF((V$6-$E$3)&lt;1,0,IFERROR(LOOKUP(2,1/('Milho 1ª safra'!$E26:INDEX('Milho 1ª safra'!$E26:$Z26,MIN(V$6-$E$3,22))&lt;&gt;""),'Milho 1ª safra'!$E26:INDEX('Milho 1ª safra'!$E26:$Z26,MIN(V$6-$E$3,22))),0))-IF($G$2,0,IF((V$6-$G$3)&lt;1,0,IFERROR(LOOKUP(2,1/('Milho 1ª safra'!$E26:INDEX('Milho 1ª safra'!$E26:$Z26,MIN(V$6-$G$3,22))&lt;&gt;""),'Milho 1ª safra'!$E26:INDEX('Milho 1ª safra'!$E26:$Z26,MIN(V$6-$G$3,22))),0)))))</f>
        <v>0</v>
      </c>
      <c r="W28" s="27" t="n">
        <f aca="false">IF(COUNT('Milho 1ª safra'!$E26:$Z26)=0,0,MAX(0,IF((W$6-$E$3)&lt;1,0,IFERROR(LOOKUP(2,1/('Milho 1ª safra'!$E26:INDEX('Milho 1ª safra'!$E26:$Z26,MIN(W$6-$E$3,22))&lt;&gt;""),'Milho 1ª safra'!$E26:INDEX('Milho 1ª safra'!$E26:$Z26,MIN(W$6-$E$3,22))),0))-IF($G$2,0,IF((W$6-$G$3)&lt;1,0,IFERROR(LOOKUP(2,1/('Milho 1ª safra'!$E26:INDEX('Milho 1ª safra'!$E26:$Z26,MIN(W$6-$G$3,22))&lt;&gt;""),'Milho 1ª safra'!$E26:INDEX('Milho 1ª safra'!$E26:$Z26,MIN(W$6-$G$3,22))),0)))))</f>
        <v>0</v>
      </c>
      <c r="X28" s="27" t="n">
        <f aca="false">IF(COUNT('Milho 1ª safra'!$E26:$Z26)=0,0,MAX(0,IF((X$6-$E$3)&lt;1,0,IFERROR(LOOKUP(2,1/('Milho 1ª safra'!$E26:INDEX('Milho 1ª safra'!$E26:$Z26,MIN(X$6-$E$3,22))&lt;&gt;""),'Milho 1ª safra'!$E26:INDEX('Milho 1ª safra'!$E26:$Z26,MIN(X$6-$E$3,22))),0))-IF($G$2,0,IF((X$6-$G$3)&lt;1,0,IFERROR(LOOKUP(2,1/('Milho 1ª safra'!$E26:INDEX('Milho 1ª safra'!$E26:$Z26,MIN(X$6-$G$3,22))&lt;&gt;""),'Milho 1ª safra'!$E26:INDEX('Milho 1ª safra'!$E26:$Z26,MIN(X$6-$G$3,22))),0)))))</f>
        <v>0</v>
      </c>
      <c r="Y28" s="27" t="n">
        <f aca="false">IF(COUNT('Milho 1ª safra'!$E26:$Z26)=0,0,MAX(0,IF((Y$6-$E$3)&lt;1,0,IFERROR(LOOKUP(2,1/('Milho 1ª safra'!$E26:INDEX('Milho 1ª safra'!$E26:$Z26,MIN(Y$6-$E$3,22))&lt;&gt;""),'Milho 1ª safra'!$E26:INDEX('Milho 1ª safra'!$E26:$Z26,MIN(Y$6-$E$3,22))),0))-IF($G$2,0,IF((Y$6-$G$3)&lt;1,0,IFERROR(LOOKUP(2,1/('Milho 1ª safra'!$E26:INDEX('Milho 1ª safra'!$E26:$Z26,MIN(Y$6-$G$3,22))&lt;&gt;""),'Milho 1ª safra'!$E26:INDEX('Milho 1ª safra'!$E26:$Z26,MIN(Y$6-$G$3,22))),0)))))</f>
        <v>0</v>
      </c>
      <c r="Z28" s="27" t="n">
        <f aca="false">IF(COUNT('Milho 1ª safra'!$E26:$Z26)=0,0,MAX(0,IF((Z$6-$E$3)&lt;1,0,IFERROR(LOOKUP(2,1/('Milho 1ª safra'!$E26:INDEX('Milho 1ª safra'!$E26:$Z26,MIN(Z$6-$E$3,22))&lt;&gt;""),'Milho 1ª safra'!$E26:INDEX('Milho 1ª safra'!$E26:$Z26,MIN(Z$6-$E$3,22))),0))-IF($G$2,0,IF((Z$6-$G$3)&lt;1,0,IFERROR(LOOKUP(2,1/('Milho 1ª safra'!$E26:INDEX('Milho 1ª safra'!$E26:$Z26,MIN(Z$6-$G$3,22))&lt;&gt;""),'Milho 1ª safra'!$E26:INDEX('Milho 1ª safra'!$E26:$Z26,MIN(Z$6-$G$3,22))),0)))))</f>
        <v>0</v>
      </c>
      <c r="AA28" s="27" t="n">
        <f aca="false">IF(COUNT('Milho 1ª safra'!$E26:$Z26)=0,0,MAX(0,IF((AA$6-$E$3)&lt;1,0,IFERROR(LOOKUP(2,1/('Milho 1ª safra'!$E26:INDEX('Milho 1ª safra'!$E26:$Z26,MIN(AA$6-$E$3,22))&lt;&gt;""),'Milho 1ª safra'!$E26:INDEX('Milho 1ª safra'!$E26:$Z26,MIN(AA$6-$E$3,22))),0))-IF($G$2,0,IF((AA$6-$G$3)&lt;1,0,IFERROR(LOOKUP(2,1/('Milho 1ª safra'!$E26:INDEX('Milho 1ª safra'!$E26:$Z26,MIN(AA$6-$G$3,22))&lt;&gt;""),'Milho 1ª safra'!$E26:INDEX('Milho 1ª safra'!$E26:$Z26,MIN(AA$6-$G$3,22))),0)))))</f>
        <v>0</v>
      </c>
      <c r="AB28" s="27" t="n">
        <f aca="false">IF(COUNT('Milho 1ª safra'!$E26:$Z26)=0,0,MAX(0,IF((AB$6-$E$3)&lt;1,0,IFERROR(LOOKUP(2,1/('Milho 1ª safra'!$E26:INDEX('Milho 1ª safra'!$E26:$Z26,MIN(AB$6-$E$3,22))&lt;&gt;""),'Milho 1ª safra'!$E26:INDEX('Milho 1ª safra'!$E26:$Z26,MIN(AB$6-$E$3,22))),0))-IF($G$2,0,IF((AB$6-$G$3)&lt;1,0,IFERROR(LOOKUP(2,1/('Milho 1ª safra'!$E26:INDEX('Milho 1ª safra'!$E26:$Z26,MIN(AB$6-$G$3,22))&lt;&gt;""),'Milho 1ª safra'!$E26:INDEX('Milho 1ª safra'!$E26:$Z26,MIN(AB$6-$G$3,22))),0)))))</f>
        <v>0</v>
      </c>
      <c r="AC28" s="27" t="n">
        <f aca="false">IF(COUNT('Milho 1ª safra'!$E26:$Z26)=0,0,MAX(0,IF((AC$6-$E$3)&lt;1,0,IFERROR(LOOKUP(2,1/('Milho 1ª safra'!$E26:INDEX('Milho 1ª safra'!$E26:$Z26,MIN(AC$6-$E$3,22))&lt;&gt;""),'Milho 1ª safra'!$E26:INDEX('Milho 1ª safra'!$E26:$Z26,MIN(AC$6-$E$3,22))),0))-IF($G$2,0,IF((AC$6-$G$3)&lt;1,0,IFERROR(LOOKUP(2,1/('Milho 1ª safra'!$E26:INDEX('Milho 1ª safra'!$E26:$Z26,MIN(AC$6-$G$3,22))&lt;&gt;""),'Milho 1ª safra'!$E26:INDEX('Milho 1ª safra'!$E26:$Z26,MIN(AC$6-$G$3,22))),0)))))</f>
        <v>0</v>
      </c>
      <c r="AD28" s="27" t="n">
        <f aca="false">IF(COUNT('Milho 1ª safra'!$E26:$Z26)=0,0,MAX(0,IF((AD$6-$E$3)&lt;1,0,IFERROR(LOOKUP(2,1/('Milho 1ª safra'!$E26:INDEX('Milho 1ª safra'!$E26:$Z26,MIN(AD$6-$E$3,22))&lt;&gt;""),'Milho 1ª safra'!$E26:INDEX('Milho 1ª safra'!$E26:$Z26,MIN(AD$6-$E$3,22))),0))-IF($G$2,0,IF((AD$6-$G$3)&lt;1,0,IFERROR(LOOKUP(2,1/('Milho 1ª safra'!$E26:INDEX('Milho 1ª safra'!$E26:$Z26,MIN(AD$6-$G$3,22))&lt;&gt;""),'Milho 1ª safra'!$E26:INDEX('Milho 1ª safra'!$E26:$Z26,MIN(AD$6-$G$3,22))),0)))))</f>
        <v>0</v>
      </c>
      <c r="AE28" s="27" t="n">
        <f aca="false">IF(COUNT('Milho 1ª safra'!$E26:$Z26)=0,0,MAX(0,IF((AE$6-$E$3)&lt;1,0,IFERROR(LOOKUP(2,1/('Milho 1ª safra'!$E26:INDEX('Milho 1ª safra'!$E26:$Z26,MIN(AE$6-$E$3,22))&lt;&gt;""),'Milho 1ª safra'!$E26:INDEX('Milho 1ª safra'!$E26:$Z26,MIN(AE$6-$E$3,22))),0))-IF($G$2,0,IF((AE$6-$G$3)&lt;1,0,IFERROR(LOOKUP(2,1/('Milho 1ª safra'!$E26:INDEX('Milho 1ª safra'!$E26:$Z26,MIN(AE$6-$G$3,22))&lt;&gt;""),'Milho 1ª safra'!$E26:INDEX('Milho 1ª safra'!$E26:$Z26,MIN(AE$6-$G$3,22))),0)))))</f>
        <v>0</v>
      </c>
      <c r="AF28" s="27" t="n">
        <f aca="false">IF(COUNT('Milho 1ª safra'!$E26:$Z26)=0,0,MAX(0,IF((AF$6-$E$3)&lt;1,0,IFERROR(LOOKUP(2,1/('Milho 1ª safra'!$E26:INDEX('Milho 1ª safra'!$E26:$Z26,MIN(AF$6-$E$3,22))&lt;&gt;""),'Milho 1ª safra'!$E26:INDEX('Milho 1ª safra'!$E26:$Z26,MIN(AF$6-$E$3,22))),0))-IF($G$2,0,IF((AF$6-$G$3)&lt;1,0,IFERROR(LOOKUP(2,1/('Milho 1ª safra'!$E26:INDEX('Milho 1ª safra'!$E26:$Z26,MIN(AF$6-$G$3,22))&lt;&gt;""),'Milho 1ª safra'!$E26:INDEX('Milho 1ª safra'!$E26:$Z26,MIN(AF$6-$G$3,22))),0)))))</f>
        <v>0</v>
      </c>
      <c r="AG28" s="27" t="n">
        <f aca="false">IF(COUNT('Milho 1ª safra'!$E26:$Z26)=0,0,MAX(0,IF((AG$6-$E$3)&lt;1,0,IFERROR(LOOKUP(2,1/('Milho 1ª safra'!$E26:INDEX('Milho 1ª safra'!$E26:$Z26,MIN(AG$6-$E$3,22))&lt;&gt;""),'Milho 1ª safra'!$E26:INDEX('Milho 1ª safra'!$E26:$Z26,MIN(AG$6-$E$3,22))),0))-IF($G$2,0,IF((AG$6-$G$3)&lt;1,0,IFERROR(LOOKUP(2,1/('Milho 1ª safra'!$E26:INDEX('Milho 1ª safra'!$E26:$Z26,MIN(AG$6-$G$3,22))&lt;&gt;""),'Milho 1ª safra'!$E26:INDEX('Milho 1ª safra'!$E26:$Z26,MIN(AG$6-$G$3,22))),0)))))</f>
        <v>0</v>
      </c>
      <c r="AH28" s="27" t="n">
        <f aca="false">IF(COUNT('Milho 1ª safra'!$E26:$Z26)=0,0,MAX(0,IF((AH$6-$E$3)&lt;1,0,IFERROR(LOOKUP(2,1/('Milho 1ª safra'!$E26:INDEX('Milho 1ª safra'!$E26:$Z26,MIN(AH$6-$E$3,22))&lt;&gt;""),'Milho 1ª safra'!$E26:INDEX('Milho 1ª safra'!$E26:$Z26,MIN(AH$6-$E$3,22))),0))-IF($G$2,0,IF((AH$6-$G$3)&lt;1,0,IFERROR(LOOKUP(2,1/('Milho 1ª safra'!$E26:INDEX('Milho 1ª safra'!$E26:$Z26,MIN(AH$6-$G$3,22))&lt;&gt;""),'Milho 1ª safra'!$E26:INDEX('Milho 1ª safra'!$E26:$Z26,MIN(AH$6-$G$3,22))),0)))))</f>
        <v>0</v>
      </c>
      <c r="AI28" s="27" t="n">
        <f aca="false">IF(COUNT('Milho 1ª safra'!$E26:$Z26)=0,0,MAX(0,IF((AI$6-$E$3)&lt;1,0,IFERROR(LOOKUP(2,1/('Milho 1ª safra'!$E26:INDEX('Milho 1ª safra'!$E26:$Z26,MIN(AI$6-$E$3,22))&lt;&gt;""),'Milho 1ª safra'!$E26:INDEX('Milho 1ª safra'!$E26:$Z26,MIN(AI$6-$E$3,22))),0))-IF($G$2,0,IF((AI$6-$G$3)&lt;1,0,IFERROR(LOOKUP(2,1/('Milho 1ª safra'!$E26:INDEX('Milho 1ª safra'!$E26:$Z26,MIN(AI$6-$G$3,22))&lt;&gt;""),'Milho 1ª safra'!$E26:INDEX('Milho 1ª safra'!$E26:$Z26,MIN(AI$6-$G$3,22))),0)))))</f>
        <v>0</v>
      </c>
      <c r="AJ28" s="27" t="n">
        <f aca="false">IF(COUNT('Milho 1ª safra'!$E26:$Z26)=0,0,MAX(0,IF((AJ$6-$E$3)&lt;1,0,IFERROR(LOOKUP(2,1/('Milho 1ª safra'!$E26:INDEX('Milho 1ª safra'!$E26:$Z26,MIN(AJ$6-$E$3,22))&lt;&gt;""),'Milho 1ª safra'!$E26:INDEX('Milho 1ª safra'!$E26:$Z26,MIN(AJ$6-$E$3,22))),0))-IF($G$2,0,IF((AJ$6-$G$3)&lt;1,0,IFERROR(LOOKUP(2,1/('Milho 1ª safra'!$E26:INDEX('Milho 1ª safra'!$E26:$Z26,MIN(AJ$6-$G$3,22))&lt;&gt;""),'Milho 1ª safra'!$E26:INDEX('Milho 1ª safra'!$E26:$Z26,MIN(AJ$6-$G$3,22))),0)))))</f>
        <v>0</v>
      </c>
      <c r="AK28" s="27" t="n">
        <f aca="false">IF(COUNT('Milho 1ª safra'!$E26:$Z26)=0,0,MAX(0,IF((AK$6-$E$3)&lt;1,0,IFERROR(LOOKUP(2,1/('Milho 1ª safra'!$E26:INDEX('Milho 1ª safra'!$E26:$Z26,MIN(AK$6-$E$3,22))&lt;&gt;""),'Milho 1ª safra'!$E26:INDEX('Milho 1ª safra'!$E26:$Z26,MIN(AK$6-$E$3,22))),0))-IF($G$2,0,IF((AK$6-$G$3)&lt;1,0,IFERROR(LOOKUP(2,1/('Milho 1ª safra'!$E26:INDEX('Milho 1ª safra'!$E26:$Z26,MIN(AK$6-$G$3,22))&lt;&gt;""),'Milho 1ª safra'!$E26:INDEX('Milho 1ª safra'!$E26:$Z26,MIN(AK$6-$G$3,22))),0)))))</f>
        <v>0</v>
      </c>
      <c r="AL28" s="27" t="n">
        <f aca="false">IF(COUNT('Milho 1ª safra'!$E26:$Z26)=0,0,MAX(0,IF((AL$6-$E$3)&lt;1,0,IFERROR(LOOKUP(2,1/('Milho 1ª safra'!$E26:INDEX('Milho 1ª safra'!$E26:$Z26,MIN(AL$6-$E$3,22))&lt;&gt;""),'Milho 1ª safra'!$E26:INDEX('Milho 1ª safra'!$E26:$Z26,MIN(AL$6-$E$3,22))),0))-IF($G$2,0,IF((AL$6-$G$3)&lt;1,0,IFERROR(LOOKUP(2,1/('Milho 1ª safra'!$E26:INDEX('Milho 1ª safra'!$E26:$Z26,MIN(AL$6-$G$3,22))&lt;&gt;""),'Milho 1ª safra'!$E26:INDEX('Milho 1ª safra'!$E26:$Z26,MIN(AL$6-$G$3,22))),0)))))</f>
        <v>0</v>
      </c>
      <c r="AM28" s="27" t="n">
        <f aca="false">IF(COUNT('Milho 1ª safra'!$E26:$Z26)=0,0,MAX(0,IF((AM$6-$E$3)&lt;1,0,IFERROR(LOOKUP(2,1/('Milho 1ª safra'!$E26:INDEX('Milho 1ª safra'!$E26:$Z26,MIN(AM$6-$E$3,22))&lt;&gt;""),'Milho 1ª safra'!$E26:INDEX('Milho 1ª safra'!$E26:$Z26,MIN(AM$6-$E$3,22))),0))-IF($G$2,0,IF((AM$6-$G$3)&lt;1,0,IFERROR(LOOKUP(2,1/('Milho 1ª safra'!$E26:INDEX('Milho 1ª safra'!$E26:$Z26,MIN(AM$6-$G$3,22))&lt;&gt;""),'Milho 1ª safra'!$E26:INDEX('Milho 1ª safra'!$E26:$Z26,MIN(AM$6-$G$3,22))),0)))))</f>
        <v>0</v>
      </c>
      <c r="AN28" s="27" t="n">
        <f aca="false">IF(COUNT('Milho 1ª safra'!$E26:$Z26)=0,0,MAX(0,IF((AN$6-$E$3)&lt;1,0,IFERROR(LOOKUP(2,1/('Milho 1ª safra'!$E26:INDEX('Milho 1ª safra'!$E26:$Z26,MIN(AN$6-$E$3,22))&lt;&gt;""),'Milho 1ª safra'!$E26:INDEX('Milho 1ª safra'!$E26:$Z26,MIN(AN$6-$E$3,22))),0))-IF($G$2,0,IF((AN$6-$G$3)&lt;1,0,IFERROR(LOOKUP(2,1/('Milho 1ª safra'!$E26:INDEX('Milho 1ª safra'!$E26:$Z26,MIN(AN$6-$G$3,22))&lt;&gt;""),'Milho 1ª safra'!$E26:INDEX('Milho 1ª safra'!$E26:$Z26,MIN(AN$6-$G$3,22))),0)))))</f>
        <v>0</v>
      </c>
      <c r="AO28" s="27" t="n">
        <f aca="false">IF(COUNT('Milho 1ª safra'!$E26:$Z26)=0,0,MAX(0,IF((AO$6-$E$3)&lt;1,0,IFERROR(LOOKUP(2,1/('Milho 1ª safra'!$E26:INDEX('Milho 1ª safra'!$E26:$Z26,MIN(AO$6-$E$3,22))&lt;&gt;""),'Milho 1ª safra'!$E26:INDEX('Milho 1ª safra'!$E26:$Z26,MIN(AO$6-$E$3,22))),0))-IF($G$2,0,IF((AO$6-$G$3)&lt;1,0,IFERROR(LOOKUP(2,1/('Milho 1ª safra'!$E26:INDEX('Milho 1ª safra'!$E26:$Z26,MIN(AO$6-$G$3,22))&lt;&gt;""),'Milho 1ª safra'!$E26:INDEX('Milho 1ª safra'!$E26:$Z26,MIN(AO$6-$G$3,22))),0)))))</f>
        <v>0</v>
      </c>
      <c r="AP28" s="27" t="n">
        <f aca="false">IF(COUNT('Milho 1ª safra'!$E26:$Z26)=0,0,MAX(0,IF((AP$6-$E$3)&lt;1,0,IFERROR(LOOKUP(2,1/('Milho 1ª safra'!$E26:INDEX('Milho 1ª safra'!$E26:$Z26,MIN(AP$6-$E$3,22))&lt;&gt;""),'Milho 1ª safra'!$E26:INDEX('Milho 1ª safra'!$E26:$Z26,MIN(AP$6-$E$3,22))),0))-IF($G$2,0,IF((AP$6-$G$3)&lt;1,0,IFERROR(LOOKUP(2,1/('Milho 1ª safra'!$E26:INDEX('Milho 1ª safra'!$E26:$Z26,MIN(AP$6-$G$3,22))&lt;&gt;""),'Milho 1ª safra'!$E26:INDEX('Milho 1ª safra'!$E26:$Z26,MIN(AP$6-$G$3,22))),0)))))</f>
        <v>0</v>
      </c>
      <c r="AQ28" s="27" t="n">
        <f aca="false">IF(COUNT('Milho 1ª safra'!$E26:$Z26)=0,0,MAX(0,IF((AQ$6-$E$3)&lt;1,0,IFERROR(LOOKUP(2,1/('Milho 1ª safra'!$E26:INDEX('Milho 1ª safra'!$E26:$Z26,MIN(AQ$6-$E$3,22))&lt;&gt;""),'Milho 1ª safra'!$E26:INDEX('Milho 1ª safra'!$E26:$Z26,MIN(AQ$6-$E$3,22))),0))-IF($G$2,0,IF((AQ$6-$G$3)&lt;1,0,IFERROR(LOOKUP(2,1/('Milho 1ª safra'!$E26:INDEX('Milho 1ª safra'!$E26:$Z26,MIN(AQ$6-$G$3,22))&lt;&gt;""),'Milho 1ª safra'!$E26:INDEX('Milho 1ª safra'!$E26:$Z26,MIN(AQ$6-$G$3,22))),0)))))</f>
        <v>0</v>
      </c>
      <c r="AR28" s="27" t="n">
        <f aca="false">IF(COUNT('Milho 1ª safra'!$E26:$Z26)=0,0,MAX(0,IF((AR$6-$E$3)&lt;1,0,IFERROR(LOOKUP(2,1/('Milho 1ª safra'!$E26:INDEX('Milho 1ª safra'!$E26:$Z26,MIN(AR$6-$E$3,22))&lt;&gt;""),'Milho 1ª safra'!$E26:INDEX('Milho 1ª safra'!$E26:$Z26,MIN(AR$6-$E$3,22))),0))-IF($G$2,0,IF((AR$6-$G$3)&lt;1,0,IFERROR(LOOKUP(2,1/('Milho 1ª safra'!$E26:INDEX('Milho 1ª safra'!$E26:$Z26,MIN(AR$6-$G$3,22))&lt;&gt;""),'Milho 1ª safra'!$E26:INDEX('Milho 1ª safra'!$E26:$Z26,MIN(AR$6-$G$3,22))),0)))))</f>
        <v>0</v>
      </c>
      <c r="AS28" s="27" t="n">
        <f aca="false">IF(COUNT('Milho 1ª safra'!$E26:$Z26)=0,0,MAX(0,IF((AS$6-$E$3)&lt;1,0,IFERROR(LOOKUP(2,1/('Milho 1ª safra'!$E26:INDEX('Milho 1ª safra'!$E26:$Z26,MIN(AS$6-$E$3,22))&lt;&gt;""),'Milho 1ª safra'!$E26:INDEX('Milho 1ª safra'!$E26:$Z26,MIN(AS$6-$E$3,22))),0))-IF($G$2,0,IF((AS$6-$G$3)&lt;1,0,IFERROR(LOOKUP(2,1/('Milho 1ª safra'!$E26:INDEX('Milho 1ª safra'!$E26:$Z26,MIN(AS$6-$G$3,22))&lt;&gt;""),'Milho 1ª safra'!$E26:INDEX('Milho 1ª safra'!$E26:$Z26,MIN(AS$6-$G$3,22))),0)))))</f>
        <v>0</v>
      </c>
      <c r="AT28" s="27" t="n">
        <f aca="false">IF(COUNT('Milho 1ª safra'!$E26:$Z26)=0,0,MAX(0,IF((AT$6-$E$3)&lt;1,0,IFERROR(LOOKUP(2,1/('Milho 1ª safra'!$E26:INDEX('Milho 1ª safra'!$E26:$Z26,MIN(AT$6-$E$3,22))&lt;&gt;""),'Milho 1ª safra'!$E26:INDEX('Milho 1ª safra'!$E26:$Z26,MIN(AT$6-$E$3,22))),0))-IF($G$2,0,IF((AT$6-$G$3)&lt;1,0,IFERROR(LOOKUP(2,1/('Milho 1ª safra'!$E26:INDEX('Milho 1ª safra'!$E26:$Z26,MIN(AT$6-$G$3,22))&lt;&gt;""),'Milho 1ª safra'!$E26:INDEX('Milho 1ª safra'!$E26:$Z26,MIN(AT$6-$G$3,22))),0)))))</f>
        <v>0</v>
      </c>
      <c r="AU28" s="27" t="n">
        <f aca="false">IF(COUNT('Milho 1ª safra'!$E26:$Z26)=0,0,MAX(0,IF((AU$6-$E$3)&lt;1,0,IFERROR(LOOKUP(2,1/('Milho 1ª safra'!$E26:INDEX('Milho 1ª safra'!$E26:$Z26,MIN(AU$6-$E$3,22))&lt;&gt;""),'Milho 1ª safra'!$E26:INDEX('Milho 1ª safra'!$E26:$Z26,MIN(AU$6-$E$3,22))),0))-IF($G$2,0,IF((AU$6-$G$3)&lt;1,0,IFERROR(LOOKUP(2,1/('Milho 1ª safra'!$E26:INDEX('Milho 1ª safra'!$E26:$Z26,MIN(AU$6-$G$3,22))&lt;&gt;""),'Milho 1ª safra'!$E26:INDEX('Milho 1ª safra'!$E26:$Z26,MIN(AU$6-$G$3,22))),0)))))</f>
        <v>0</v>
      </c>
      <c r="AV28" s="27" t="n">
        <f aca="false">IF(COUNT('Milho 1ª safra'!$E26:$Z26)=0,0,MAX(0,IF((AV$6-$E$3)&lt;1,0,IFERROR(LOOKUP(2,1/('Milho 1ª safra'!$E26:INDEX('Milho 1ª safra'!$E26:$Z26,MIN(AV$6-$E$3,22))&lt;&gt;""),'Milho 1ª safra'!$E26:INDEX('Milho 1ª safra'!$E26:$Z26,MIN(AV$6-$E$3,22))),0))-IF($G$2,0,IF((AV$6-$G$3)&lt;1,0,IFERROR(LOOKUP(2,1/('Milho 1ª safra'!$E26:INDEX('Milho 1ª safra'!$E26:$Z26,MIN(AV$6-$G$3,22))&lt;&gt;""),'Milho 1ª safra'!$E26:INDEX('Milho 1ª safra'!$E26:$Z26,MIN(AV$6-$G$3,22))),0)))))</f>
        <v>0</v>
      </c>
      <c r="AW28" s="27" t="n">
        <f aca="false">IF(COUNT('Milho 1ª safra'!$E26:$Z26)=0,0,MAX(0,IF((AW$6-$E$3)&lt;1,0,IFERROR(LOOKUP(2,1/('Milho 1ª safra'!$E26:INDEX('Milho 1ª safra'!$E26:$Z26,MIN(AW$6-$E$3,22))&lt;&gt;""),'Milho 1ª safra'!$E26:INDEX('Milho 1ª safra'!$E26:$Z26,MIN(AW$6-$E$3,22))),0))-IF($G$2,0,IF((AW$6-$G$3)&lt;1,0,IFERROR(LOOKUP(2,1/('Milho 1ª safra'!$E26:INDEX('Milho 1ª safra'!$E26:$Z26,MIN(AW$6-$G$3,22))&lt;&gt;""),'Milho 1ª safra'!$E26:INDEX('Milho 1ª safra'!$E26:$Z26,MIN(AW$6-$G$3,22))),0)))))</f>
        <v>0</v>
      </c>
      <c r="AX28" s="27" t="n">
        <f aca="false">IF(COUNT('Milho 1ª safra'!$E26:$Z26)=0,0,MAX(0,IF((AX$6-$E$3)&lt;1,0,IFERROR(LOOKUP(2,1/('Milho 1ª safra'!$E26:INDEX('Milho 1ª safra'!$E26:$Z26,MIN(AX$6-$E$3,22))&lt;&gt;""),'Milho 1ª safra'!$E26:INDEX('Milho 1ª safra'!$E26:$Z26,MIN(AX$6-$E$3,22))),0))-IF($G$2,0,IF((AX$6-$G$3)&lt;1,0,IFERROR(LOOKUP(2,1/('Milho 1ª safra'!$E26:INDEX('Milho 1ª safra'!$E26:$Z26,MIN(AX$6-$G$3,22))&lt;&gt;""),'Milho 1ª safra'!$E26:INDEX('Milho 1ª safra'!$E26:$Z26,MIN(AX$6-$G$3,22))),0)))))</f>
        <v>0</v>
      </c>
      <c r="AY28" s="27" t="n">
        <f aca="false">IF(COUNT('Milho 1ª safra'!$E26:$Z26)=0,0,MAX(0,IF((AY$6-$E$3)&lt;1,0,IFERROR(LOOKUP(2,1/('Milho 1ª safra'!$E26:INDEX('Milho 1ª safra'!$E26:$Z26,MIN(AY$6-$E$3,22))&lt;&gt;""),'Milho 1ª safra'!$E26:INDEX('Milho 1ª safra'!$E26:$Z26,MIN(AY$6-$E$3,22))),0))-IF($G$2,0,IF((AY$6-$G$3)&lt;1,0,IFERROR(LOOKUP(2,1/('Milho 1ª safra'!$E26:INDEX('Milho 1ª safra'!$E26:$Z26,MIN(AY$6-$G$3,22))&lt;&gt;""),'Milho 1ª safra'!$E26:INDEX('Milho 1ª safra'!$E26:$Z26,MIN(AY$6-$G$3,22))),0)))))</f>
        <v>0</v>
      </c>
      <c r="AZ28" s="27" t="n">
        <f aca="false">IF(COUNT('Milho 1ª safra'!$E26:$Z26)=0,0,MAX(0,IF((AZ$6-$E$3)&lt;1,0,IFERROR(LOOKUP(2,1/('Milho 1ª safra'!$E26:INDEX('Milho 1ª safra'!$E26:$Z26,MIN(AZ$6-$E$3,22))&lt;&gt;""),'Milho 1ª safra'!$E26:INDEX('Milho 1ª safra'!$E26:$Z26,MIN(AZ$6-$E$3,22))),0))-IF($G$2,0,IF((AZ$6-$G$3)&lt;1,0,IFERROR(LOOKUP(2,1/('Milho 1ª safra'!$E26:INDEX('Milho 1ª safra'!$E26:$Z26,MIN(AZ$6-$G$3,22))&lt;&gt;""),'Milho 1ª safra'!$E26:INDEX('Milho 1ª safra'!$E26:$Z26,MIN(AZ$6-$G$3,22))),0)))))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IF(COUNT('Milho 1ª safra'!$E27:$Z27)&gt;0,N('Milho 1ª safra'!$D27),0)</f>
        <v>0</v>
      </c>
      <c r="E29" s="27" t="n">
        <f aca="false">IF(COUNT('Milho 1ª safra'!$E27:$Z27)=0,0,MAX(0,IF((E$6-$E$3)&lt;1,0,IFERROR(LOOKUP(2,1/('Milho 1ª safra'!$E27:INDEX('Milho 1ª safra'!$E27:$Z27,MIN(E$6-$E$3,22))&lt;&gt;""),'Milho 1ª safra'!$E27:INDEX('Milho 1ª safra'!$E27:$Z27,MIN(E$6-$E$3,22))),0))-IF($G$2,0,IF((E$6-$G$3)&lt;1,0,IFERROR(LOOKUP(2,1/('Milho 1ª safra'!$E27:INDEX('Milho 1ª safra'!$E27:$Z27,MIN(E$6-$G$3,22))&lt;&gt;""),'Milho 1ª safra'!$E27:INDEX('Milho 1ª safra'!$E27:$Z27,MIN(E$6-$G$3,22))),0)))))</f>
        <v>0</v>
      </c>
      <c r="F29" s="27" t="n">
        <f aca="false">IF(COUNT('Milho 1ª safra'!$E27:$Z27)=0,0,MAX(0,IF((F$6-$E$3)&lt;1,0,IFERROR(LOOKUP(2,1/('Milho 1ª safra'!$E27:INDEX('Milho 1ª safra'!$E27:$Z27,MIN(F$6-$E$3,22))&lt;&gt;""),'Milho 1ª safra'!$E27:INDEX('Milho 1ª safra'!$E27:$Z27,MIN(F$6-$E$3,22))),0))-IF($G$2,0,IF((F$6-$G$3)&lt;1,0,IFERROR(LOOKUP(2,1/('Milho 1ª safra'!$E27:INDEX('Milho 1ª safra'!$E27:$Z27,MIN(F$6-$G$3,22))&lt;&gt;""),'Milho 1ª safra'!$E27:INDEX('Milho 1ª safra'!$E27:$Z27,MIN(F$6-$G$3,22))),0)))))</f>
        <v>0</v>
      </c>
      <c r="G29" s="27" t="n">
        <f aca="false">IF(COUNT('Milho 1ª safra'!$E27:$Z27)=0,0,MAX(0,IF((G$6-$E$3)&lt;1,0,IFERROR(LOOKUP(2,1/('Milho 1ª safra'!$E27:INDEX('Milho 1ª safra'!$E27:$Z27,MIN(G$6-$E$3,22))&lt;&gt;""),'Milho 1ª safra'!$E27:INDEX('Milho 1ª safra'!$E27:$Z27,MIN(G$6-$E$3,22))),0))-IF($G$2,0,IF((G$6-$G$3)&lt;1,0,IFERROR(LOOKUP(2,1/('Milho 1ª safra'!$E27:INDEX('Milho 1ª safra'!$E27:$Z27,MIN(G$6-$G$3,22))&lt;&gt;""),'Milho 1ª safra'!$E27:INDEX('Milho 1ª safra'!$E27:$Z27,MIN(G$6-$G$3,22))),0)))))</f>
        <v>0</v>
      </c>
      <c r="H29" s="27" t="n">
        <f aca="false">IF(COUNT('Milho 1ª safra'!$E27:$Z27)=0,0,MAX(0,IF((H$6-$E$3)&lt;1,0,IFERROR(LOOKUP(2,1/('Milho 1ª safra'!$E27:INDEX('Milho 1ª safra'!$E27:$Z27,MIN(H$6-$E$3,22))&lt;&gt;""),'Milho 1ª safra'!$E27:INDEX('Milho 1ª safra'!$E27:$Z27,MIN(H$6-$E$3,22))),0))-IF($G$2,0,IF((H$6-$G$3)&lt;1,0,IFERROR(LOOKUP(2,1/('Milho 1ª safra'!$E27:INDEX('Milho 1ª safra'!$E27:$Z27,MIN(H$6-$G$3,22))&lt;&gt;""),'Milho 1ª safra'!$E27:INDEX('Milho 1ª safra'!$E27:$Z27,MIN(H$6-$G$3,22))),0)))))</f>
        <v>0</v>
      </c>
      <c r="I29" s="27" t="n">
        <f aca="false">IF(COUNT('Milho 1ª safra'!$E27:$Z27)=0,0,MAX(0,IF((I$6-$E$3)&lt;1,0,IFERROR(LOOKUP(2,1/('Milho 1ª safra'!$E27:INDEX('Milho 1ª safra'!$E27:$Z27,MIN(I$6-$E$3,22))&lt;&gt;""),'Milho 1ª safra'!$E27:INDEX('Milho 1ª safra'!$E27:$Z27,MIN(I$6-$E$3,22))),0))-IF($G$2,0,IF((I$6-$G$3)&lt;1,0,IFERROR(LOOKUP(2,1/('Milho 1ª safra'!$E27:INDEX('Milho 1ª safra'!$E27:$Z27,MIN(I$6-$G$3,22))&lt;&gt;""),'Milho 1ª safra'!$E27:INDEX('Milho 1ª safra'!$E27:$Z27,MIN(I$6-$G$3,22))),0)))))</f>
        <v>0</v>
      </c>
      <c r="J29" s="27" t="n">
        <f aca="false">IF(COUNT('Milho 1ª safra'!$E27:$Z27)=0,0,MAX(0,IF((J$6-$E$3)&lt;1,0,IFERROR(LOOKUP(2,1/('Milho 1ª safra'!$E27:INDEX('Milho 1ª safra'!$E27:$Z27,MIN(J$6-$E$3,22))&lt;&gt;""),'Milho 1ª safra'!$E27:INDEX('Milho 1ª safra'!$E27:$Z27,MIN(J$6-$E$3,22))),0))-IF($G$2,0,IF((J$6-$G$3)&lt;1,0,IFERROR(LOOKUP(2,1/('Milho 1ª safra'!$E27:INDEX('Milho 1ª safra'!$E27:$Z27,MIN(J$6-$G$3,22))&lt;&gt;""),'Milho 1ª safra'!$E27:INDEX('Milho 1ª safra'!$E27:$Z27,MIN(J$6-$G$3,22))),0)))))</f>
        <v>0</v>
      </c>
      <c r="K29" s="27" t="n">
        <f aca="false">IF(COUNT('Milho 1ª safra'!$E27:$Z27)=0,0,MAX(0,IF((K$6-$E$3)&lt;1,0,IFERROR(LOOKUP(2,1/('Milho 1ª safra'!$E27:INDEX('Milho 1ª safra'!$E27:$Z27,MIN(K$6-$E$3,22))&lt;&gt;""),'Milho 1ª safra'!$E27:INDEX('Milho 1ª safra'!$E27:$Z27,MIN(K$6-$E$3,22))),0))-IF($G$2,0,IF((K$6-$G$3)&lt;1,0,IFERROR(LOOKUP(2,1/('Milho 1ª safra'!$E27:INDEX('Milho 1ª safra'!$E27:$Z27,MIN(K$6-$G$3,22))&lt;&gt;""),'Milho 1ª safra'!$E27:INDEX('Milho 1ª safra'!$E27:$Z27,MIN(K$6-$G$3,22))),0)))))</f>
        <v>0</v>
      </c>
      <c r="L29" s="27" t="n">
        <f aca="false">IF(COUNT('Milho 1ª safra'!$E27:$Z27)=0,0,MAX(0,IF((L$6-$E$3)&lt;1,0,IFERROR(LOOKUP(2,1/('Milho 1ª safra'!$E27:INDEX('Milho 1ª safra'!$E27:$Z27,MIN(L$6-$E$3,22))&lt;&gt;""),'Milho 1ª safra'!$E27:INDEX('Milho 1ª safra'!$E27:$Z27,MIN(L$6-$E$3,22))),0))-IF($G$2,0,IF((L$6-$G$3)&lt;1,0,IFERROR(LOOKUP(2,1/('Milho 1ª safra'!$E27:INDEX('Milho 1ª safra'!$E27:$Z27,MIN(L$6-$G$3,22))&lt;&gt;""),'Milho 1ª safra'!$E27:INDEX('Milho 1ª safra'!$E27:$Z27,MIN(L$6-$G$3,22))),0)))))</f>
        <v>0</v>
      </c>
      <c r="M29" s="27" t="n">
        <f aca="false">IF(COUNT('Milho 1ª safra'!$E27:$Z27)=0,0,MAX(0,IF((M$6-$E$3)&lt;1,0,IFERROR(LOOKUP(2,1/('Milho 1ª safra'!$E27:INDEX('Milho 1ª safra'!$E27:$Z27,MIN(M$6-$E$3,22))&lt;&gt;""),'Milho 1ª safra'!$E27:INDEX('Milho 1ª safra'!$E27:$Z27,MIN(M$6-$E$3,22))),0))-IF($G$2,0,IF((M$6-$G$3)&lt;1,0,IFERROR(LOOKUP(2,1/('Milho 1ª safra'!$E27:INDEX('Milho 1ª safra'!$E27:$Z27,MIN(M$6-$G$3,22))&lt;&gt;""),'Milho 1ª safra'!$E27:INDEX('Milho 1ª safra'!$E27:$Z27,MIN(M$6-$G$3,22))),0)))))</f>
        <v>0</v>
      </c>
      <c r="N29" s="27" t="n">
        <f aca="false">IF(COUNT('Milho 1ª safra'!$E27:$Z27)=0,0,MAX(0,IF((N$6-$E$3)&lt;1,0,IFERROR(LOOKUP(2,1/('Milho 1ª safra'!$E27:INDEX('Milho 1ª safra'!$E27:$Z27,MIN(N$6-$E$3,22))&lt;&gt;""),'Milho 1ª safra'!$E27:INDEX('Milho 1ª safra'!$E27:$Z27,MIN(N$6-$E$3,22))),0))-IF($G$2,0,IF((N$6-$G$3)&lt;1,0,IFERROR(LOOKUP(2,1/('Milho 1ª safra'!$E27:INDEX('Milho 1ª safra'!$E27:$Z27,MIN(N$6-$G$3,22))&lt;&gt;""),'Milho 1ª safra'!$E27:INDEX('Milho 1ª safra'!$E27:$Z27,MIN(N$6-$G$3,22))),0)))))</f>
        <v>0</v>
      </c>
      <c r="O29" s="27" t="n">
        <f aca="false">IF(COUNT('Milho 1ª safra'!$E27:$Z27)=0,0,MAX(0,IF((O$6-$E$3)&lt;1,0,IFERROR(LOOKUP(2,1/('Milho 1ª safra'!$E27:INDEX('Milho 1ª safra'!$E27:$Z27,MIN(O$6-$E$3,22))&lt;&gt;""),'Milho 1ª safra'!$E27:INDEX('Milho 1ª safra'!$E27:$Z27,MIN(O$6-$E$3,22))),0))-IF($G$2,0,IF((O$6-$G$3)&lt;1,0,IFERROR(LOOKUP(2,1/('Milho 1ª safra'!$E27:INDEX('Milho 1ª safra'!$E27:$Z27,MIN(O$6-$G$3,22))&lt;&gt;""),'Milho 1ª safra'!$E27:INDEX('Milho 1ª safra'!$E27:$Z27,MIN(O$6-$G$3,22))),0)))))</f>
        <v>0</v>
      </c>
      <c r="P29" s="27" t="n">
        <f aca="false">IF(COUNT('Milho 1ª safra'!$E27:$Z27)=0,0,MAX(0,IF((P$6-$E$3)&lt;1,0,IFERROR(LOOKUP(2,1/('Milho 1ª safra'!$E27:INDEX('Milho 1ª safra'!$E27:$Z27,MIN(P$6-$E$3,22))&lt;&gt;""),'Milho 1ª safra'!$E27:INDEX('Milho 1ª safra'!$E27:$Z27,MIN(P$6-$E$3,22))),0))-IF($G$2,0,IF((P$6-$G$3)&lt;1,0,IFERROR(LOOKUP(2,1/('Milho 1ª safra'!$E27:INDEX('Milho 1ª safra'!$E27:$Z27,MIN(P$6-$G$3,22))&lt;&gt;""),'Milho 1ª safra'!$E27:INDEX('Milho 1ª safra'!$E27:$Z27,MIN(P$6-$G$3,22))),0)))))</f>
        <v>0</v>
      </c>
      <c r="Q29" s="27" t="n">
        <f aca="false">IF(COUNT('Milho 1ª safra'!$E27:$Z27)=0,0,MAX(0,IF((Q$6-$E$3)&lt;1,0,IFERROR(LOOKUP(2,1/('Milho 1ª safra'!$E27:INDEX('Milho 1ª safra'!$E27:$Z27,MIN(Q$6-$E$3,22))&lt;&gt;""),'Milho 1ª safra'!$E27:INDEX('Milho 1ª safra'!$E27:$Z27,MIN(Q$6-$E$3,22))),0))-IF($G$2,0,IF((Q$6-$G$3)&lt;1,0,IFERROR(LOOKUP(2,1/('Milho 1ª safra'!$E27:INDEX('Milho 1ª safra'!$E27:$Z27,MIN(Q$6-$G$3,22))&lt;&gt;""),'Milho 1ª safra'!$E27:INDEX('Milho 1ª safra'!$E27:$Z27,MIN(Q$6-$G$3,22))),0)))))</f>
        <v>0</v>
      </c>
      <c r="R29" s="27" t="n">
        <f aca="false">IF(COUNT('Milho 1ª safra'!$E27:$Z27)=0,0,MAX(0,IF((R$6-$E$3)&lt;1,0,IFERROR(LOOKUP(2,1/('Milho 1ª safra'!$E27:INDEX('Milho 1ª safra'!$E27:$Z27,MIN(R$6-$E$3,22))&lt;&gt;""),'Milho 1ª safra'!$E27:INDEX('Milho 1ª safra'!$E27:$Z27,MIN(R$6-$E$3,22))),0))-IF($G$2,0,IF((R$6-$G$3)&lt;1,0,IFERROR(LOOKUP(2,1/('Milho 1ª safra'!$E27:INDEX('Milho 1ª safra'!$E27:$Z27,MIN(R$6-$G$3,22))&lt;&gt;""),'Milho 1ª safra'!$E27:INDEX('Milho 1ª safra'!$E27:$Z27,MIN(R$6-$G$3,22))),0)))))</f>
        <v>0</v>
      </c>
      <c r="S29" s="27" t="n">
        <f aca="false">IF(COUNT('Milho 1ª safra'!$E27:$Z27)=0,0,MAX(0,IF((S$6-$E$3)&lt;1,0,IFERROR(LOOKUP(2,1/('Milho 1ª safra'!$E27:INDEX('Milho 1ª safra'!$E27:$Z27,MIN(S$6-$E$3,22))&lt;&gt;""),'Milho 1ª safra'!$E27:INDEX('Milho 1ª safra'!$E27:$Z27,MIN(S$6-$E$3,22))),0))-IF($G$2,0,IF((S$6-$G$3)&lt;1,0,IFERROR(LOOKUP(2,1/('Milho 1ª safra'!$E27:INDEX('Milho 1ª safra'!$E27:$Z27,MIN(S$6-$G$3,22))&lt;&gt;""),'Milho 1ª safra'!$E27:INDEX('Milho 1ª safra'!$E27:$Z27,MIN(S$6-$G$3,22))),0)))))</f>
        <v>0</v>
      </c>
      <c r="T29" s="27" t="n">
        <f aca="false">IF(COUNT('Milho 1ª safra'!$E27:$Z27)=0,0,MAX(0,IF((T$6-$E$3)&lt;1,0,IFERROR(LOOKUP(2,1/('Milho 1ª safra'!$E27:INDEX('Milho 1ª safra'!$E27:$Z27,MIN(T$6-$E$3,22))&lt;&gt;""),'Milho 1ª safra'!$E27:INDEX('Milho 1ª safra'!$E27:$Z27,MIN(T$6-$E$3,22))),0))-IF($G$2,0,IF((T$6-$G$3)&lt;1,0,IFERROR(LOOKUP(2,1/('Milho 1ª safra'!$E27:INDEX('Milho 1ª safra'!$E27:$Z27,MIN(T$6-$G$3,22))&lt;&gt;""),'Milho 1ª safra'!$E27:INDEX('Milho 1ª safra'!$E27:$Z27,MIN(T$6-$G$3,22))),0)))))</f>
        <v>0</v>
      </c>
      <c r="U29" s="27" t="n">
        <f aca="false">IF(COUNT('Milho 1ª safra'!$E27:$Z27)=0,0,MAX(0,IF((U$6-$E$3)&lt;1,0,IFERROR(LOOKUP(2,1/('Milho 1ª safra'!$E27:INDEX('Milho 1ª safra'!$E27:$Z27,MIN(U$6-$E$3,22))&lt;&gt;""),'Milho 1ª safra'!$E27:INDEX('Milho 1ª safra'!$E27:$Z27,MIN(U$6-$E$3,22))),0))-IF($G$2,0,IF((U$6-$G$3)&lt;1,0,IFERROR(LOOKUP(2,1/('Milho 1ª safra'!$E27:INDEX('Milho 1ª safra'!$E27:$Z27,MIN(U$6-$G$3,22))&lt;&gt;""),'Milho 1ª safra'!$E27:INDEX('Milho 1ª safra'!$E27:$Z27,MIN(U$6-$G$3,22))),0)))))</f>
        <v>0</v>
      </c>
      <c r="V29" s="27" t="n">
        <f aca="false">IF(COUNT('Milho 1ª safra'!$E27:$Z27)=0,0,MAX(0,IF((V$6-$E$3)&lt;1,0,IFERROR(LOOKUP(2,1/('Milho 1ª safra'!$E27:INDEX('Milho 1ª safra'!$E27:$Z27,MIN(V$6-$E$3,22))&lt;&gt;""),'Milho 1ª safra'!$E27:INDEX('Milho 1ª safra'!$E27:$Z27,MIN(V$6-$E$3,22))),0))-IF($G$2,0,IF((V$6-$G$3)&lt;1,0,IFERROR(LOOKUP(2,1/('Milho 1ª safra'!$E27:INDEX('Milho 1ª safra'!$E27:$Z27,MIN(V$6-$G$3,22))&lt;&gt;""),'Milho 1ª safra'!$E27:INDEX('Milho 1ª safra'!$E27:$Z27,MIN(V$6-$G$3,22))),0)))))</f>
        <v>0</v>
      </c>
      <c r="W29" s="27" t="n">
        <f aca="false">IF(COUNT('Milho 1ª safra'!$E27:$Z27)=0,0,MAX(0,IF((W$6-$E$3)&lt;1,0,IFERROR(LOOKUP(2,1/('Milho 1ª safra'!$E27:INDEX('Milho 1ª safra'!$E27:$Z27,MIN(W$6-$E$3,22))&lt;&gt;""),'Milho 1ª safra'!$E27:INDEX('Milho 1ª safra'!$E27:$Z27,MIN(W$6-$E$3,22))),0))-IF($G$2,0,IF((W$6-$G$3)&lt;1,0,IFERROR(LOOKUP(2,1/('Milho 1ª safra'!$E27:INDEX('Milho 1ª safra'!$E27:$Z27,MIN(W$6-$G$3,22))&lt;&gt;""),'Milho 1ª safra'!$E27:INDEX('Milho 1ª safra'!$E27:$Z27,MIN(W$6-$G$3,22))),0)))))</f>
        <v>0</v>
      </c>
      <c r="X29" s="27" t="n">
        <f aca="false">IF(COUNT('Milho 1ª safra'!$E27:$Z27)=0,0,MAX(0,IF((X$6-$E$3)&lt;1,0,IFERROR(LOOKUP(2,1/('Milho 1ª safra'!$E27:INDEX('Milho 1ª safra'!$E27:$Z27,MIN(X$6-$E$3,22))&lt;&gt;""),'Milho 1ª safra'!$E27:INDEX('Milho 1ª safra'!$E27:$Z27,MIN(X$6-$E$3,22))),0))-IF($G$2,0,IF((X$6-$G$3)&lt;1,0,IFERROR(LOOKUP(2,1/('Milho 1ª safra'!$E27:INDEX('Milho 1ª safra'!$E27:$Z27,MIN(X$6-$G$3,22))&lt;&gt;""),'Milho 1ª safra'!$E27:INDEX('Milho 1ª safra'!$E27:$Z27,MIN(X$6-$G$3,22))),0)))))</f>
        <v>0</v>
      </c>
      <c r="Y29" s="27" t="n">
        <f aca="false">IF(COUNT('Milho 1ª safra'!$E27:$Z27)=0,0,MAX(0,IF((Y$6-$E$3)&lt;1,0,IFERROR(LOOKUP(2,1/('Milho 1ª safra'!$E27:INDEX('Milho 1ª safra'!$E27:$Z27,MIN(Y$6-$E$3,22))&lt;&gt;""),'Milho 1ª safra'!$E27:INDEX('Milho 1ª safra'!$E27:$Z27,MIN(Y$6-$E$3,22))),0))-IF($G$2,0,IF((Y$6-$G$3)&lt;1,0,IFERROR(LOOKUP(2,1/('Milho 1ª safra'!$E27:INDEX('Milho 1ª safra'!$E27:$Z27,MIN(Y$6-$G$3,22))&lt;&gt;""),'Milho 1ª safra'!$E27:INDEX('Milho 1ª safra'!$E27:$Z27,MIN(Y$6-$G$3,22))),0)))))</f>
        <v>0</v>
      </c>
      <c r="Z29" s="27" t="n">
        <f aca="false">IF(COUNT('Milho 1ª safra'!$E27:$Z27)=0,0,MAX(0,IF((Z$6-$E$3)&lt;1,0,IFERROR(LOOKUP(2,1/('Milho 1ª safra'!$E27:INDEX('Milho 1ª safra'!$E27:$Z27,MIN(Z$6-$E$3,22))&lt;&gt;""),'Milho 1ª safra'!$E27:INDEX('Milho 1ª safra'!$E27:$Z27,MIN(Z$6-$E$3,22))),0))-IF($G$2,0,IF((Z$6-$G$3)&lt;1,0,IFERROR(LOOKUP(2,1/('Milho 1ª safra'!$E27:INDEX('Milho 1ª safra'!$E27:$Z27,MIN(Z$6-$G$3,22))&lt;&gt;""),'Milho 1ª safra'!$E27:INDEX('Milho 1ª safra'!$E27:$Z27,MIN(Z$6-$G$3,22))),0)))))</f>
        <v>0</v>
      </c>
      <c r="AA29" s="27" t="n">
        <f aca="false">IF(COUNT('Milho 1ª safra'!$E27:$Z27)=0,0,MAX(0,IF((AA$6-$E$3)&lt;1,0,IFERROR(LOOKUP(2,1/('Milho 1ª safra'!$E27:INDEX('Milho 1ª safra'!$E27:$Z27,MIN(AA$6-$E$3,22))&lt;&gt;""),'Milho 1ª safra'!$E27:INDEX('Milho 1ª safra'!$E27:$Z27,MIN(AA$6-$E$3,22))),0))-IF($G$2,0,IF((AA$6-$G$3)&lt;1,0,IFERROR(LOOKUP(2,1/('Milho 1ª safra'!$E27:INDEX('Milho 1ª safra'!$E27:$Z27,MIN(AA$6-$G$3,22))&lt;&gt;""),'Milho 1ª safra'!$E27:INDEX('Milho 1ª safra'!$E27:$Z27,MIN(AA$6-$G$3,22))),0)))))</f>
        <v>0</v>
      </c>
      <c r="AB29" s="27" t="n">
        <f aca="false">IF(COUNT('Milho 1ª safra'!$E27:$Z27)=0,0,MAX(0,IF((AB$6-$E$3)&lt;1,0,IFERROR(LOOKUP(2,1/('Milho 1ª safra'!$E27:INDEX('Milho 1ª safra'!$E27:$Z27,MIN(AB$6-$E$3,22))&lt;&gt;""),'Milho 1ª safra'!$E27:INDEX('Milho 1ª safra'!$E27:$Z27,MIN(AB$6-$E$3,22))),0))-IF($G$2,0,IF((AB$6-$G$3)&lt;1,0,IFERROR(LOOKUP(2,1/('Milho 1ª safra'!$E27:INDEX('Milho 1ª safra'!$E27:$Z27,MIN(AB$6-$G$3,22))&lt;&gt;""),'Milho 1ª safra'!$E27:INDEX('Milho 1ª safra'!$E27:$Z27,MIN(AB$6-$G$3,22))),0)))))</f>
        <v>0</v>
      </c>
      <c r="AC29" s="27" t="n">
        <f aca="false">IF(COUNT('Milho 1ª safra'!$E27:$Z27)=0,0,MAX(0,IF((AC$6-$E$3)&lt;1,0,IFERROR(LOOKUP(2,1/('Milho 1ª safra'!$E27:INDEX('Milho 1ª safra'!$E27:$Z27,MIN(AC$6-$E$3,22))&lt;&gt;""),'Milho 1ª safra'!$E27:INDEX('Milho 1ª safra'!$E27:$Z27,MIN(AC$6-$E$3,22))),0))-IF($G$2,0,IF((AC$6-$G$3)&lt;1,0,IFERROR(LOOKUP(2,1/('Milho 1ª safra'!$E27:INDEX('Milho 1ª safra'!$E27:$Z27,MIN(AC$6-$G$3,22))&lt;&gt;""),'Milho 1ª safra'!$E27:INDEX('Milho 1ª safra'!$E27:$Z27,MIN(AC$6-$G$3,22))),0)))))</f>
        <v>0</v>
      </c>
      <c r="AD29" s="27" t="n">
        <f aca="false">IF(COUNT('Milho 1ª safra'!$E27:$Z27)=0,0,MAX(0,IF((AD$6-$E$3)&lt;1,0,IFERROR(LOOKUP(2,1/('Milho 1ª safra'!$E27:INDEX('Milho 1ª safra'!$E27:$Z27,MIN(AD$6-$E$3,22))&lt;&gt;""),'Milho 1ª safra'!$E27:INDEX('Milho 1ª safra'!$E27:$Z27,MIN(AD$6-$E$3,22))),0))-IF($G$2,0,IF((AD$6-$G$3)&lt;1,0,IFERROR(LOOKUP(2,1/('Milho 1ª safra'!$E27:INDEX('Milho 1ª safra'!$E27:$Z27,MIN(AD$6-$G$3,22))&lt;&gt;""),'Milho 1ª safra'!$E27:INDEX('Milho 1ª safra'!$E27:$Z27,MIN(AD$6-$G$3,22))),0)))))</f>
        <v>0</v>
      </c>
      <c r="AE29" s="27" t="n">
        <f aca="false">IF(COUNT('Milho 1ª safra'!$E27:$Z27)=0,0,MAX(0,IF((AE$6-$E$3)&lt;1,0,IFERROR(LOOKUP(2,1/('Milho 1ª safra'!$E27:INDEX('Milho 1ª safra'!$E27:$Z27,MIN(AE$6-$E$3,22))&lt;&gt;""),'Milho 1ª safra'!$E27:INDEX('Milho 1ª safra'!$E27:$Z27,MIN(AE$6-$E$3,22))),0))-IF($G$2,0,IF((AE$6-$G$3)&lt;1,0,IFERROR(LOOKUP(2,1/('Milho 1ª safra'!$E27:INDEX('Milho 1ª safra'!$E27:$Z27,MIN(AE$6-$G$3,22))&lt;&gt;""),'Milho 1ª safra'!$E27:INDEX('Milho 1ª safra'!$E27:$Z27,MIN(AE$6-$G$3,22))),0)))))</f>
        <v>0</v>
      </c>
      <c r="AF29" s="27" t="n">
        <f aca="false">IF(COUNT('Milho 1ª safra'!$E27:$Z27)=0,0,MAX(0,IF((AF$6-$E$3)&lt;1,0,IFERROR(LOOKUP(2,1/('Milho 1ª safra'!$E27:INDEX('Milho 1ª safra'!$E27:$Z27,MIN(AF$6-$E$3,22))&lt;&gt;""),'Milho 1ª safra'!$E27:INDEX('Milho 1ª safra'!$E27:$Z27,MIN(AF$6-$E$3,22))),0))-IF($G$2,0,IF((AF$6-$G$3)&lt;1,0,IFERROR(LOOKUP(2,1/('Milho 1ª safra'!$E27:INDEX('Milho 1ª safra'!$E27:$Z27,MIN(AF$6-$G$3,22))&lt;&gt;""),'Milho 1ª safra'!$E27:INDEX('Milho 1ª safra'!$E27:$Z27,MIN(AF$6-$G$3,22))),0)))))</f>
        <v>0</v>
      </c>
      <c r="AG29" s="27" t="n">
        <f aca="false">IF(COUNT('Milho 1ª safra'!$E27:$Z27)=0,0,MAX(0,IF((AG$6-$E$3)&lt;1,0,IFERROR(LOOKUP(2,1/('Milho 1ª safra'!$E27:INDEX('Milho 1ª safra'!$E27:$Z27,MIN(AG$6-$E$3,22))&lt;&gt;""),'Milho 1ª safra'!$E27:INDEX('Milho 1ª safra'!$E27:$Z27,MIN(AG$6-$E$3,22))),0))-IF($G$2,0,IF((AG$6-$G$3)&lt;1,0,IFERROR(LOOKUP(2,1/('Milho 1ª safra'!$E27:INDEX('Milho 1ª safra'!$E27:$Z27,MIN(AG$6-$G$3,22))&lt;&gt;""),'Milho 1ª safra'!$E27:INDEX('Milho 1ª safra'!$E27:$Z27,MIN(AG$6-$G$3,22))),0)))))</f>
        <v>0</v>
      </c>
      <c r="AH29" s="27" t="n">
        <f aca="false">IF(COUNT('Milho 1ª safra'!$E27:$Z27)=0,0,MAX(0,IF((AH$6-$E$3)&lt;1,0,IFERROR(LOOKUP(2,1/('Milho 1ª safra'!$E27:INDEX('Milho 1ª safra'!$E27:$Z27,MIN(AH$6-$E$3,22))&lt;&gt;""),'Milho 1ª safra'!$E27:INDEX('Milho 1ª safra'!$E27:$Z27,MIN(AH$6-$E$3,22))),0))-IF($G$2,0,IF((AH$6-$G$3)&lt;1,0,IFERROR(LOOKUP(2,1/('Milho 1ª safra'!$E27:INDEX('Milho 1ª safra'!$E27:$Z27,MIN(AH$6-$G$3,22))&lt;&gt;""),'Milho 1ª safra'!$E27:INDEX('Milho 1ª safra'!$E27:$Z27,MIN(AH$6-$G$3,22))),0)))))</f>
        <v>0</v>
      </c>
      <c r="AI29" s="27" t="n">
        <f aca="false">IF(COUNT('Milho 1ª safra'!$E27:$Z27)=0,0,MAX(0,IF((AI$6-$E$3)&lt;1,0,IFERROR(LOOKUP(2,1/('Milho 1ª safra'!$E27:INDEX('Milho 1ª safra'!$E27:$Z27,MIN(AI$6-$E$3,22))&lt;&gt;""),'Milho 1ª safra'!$E27:INDEX('Milho 1ª safra'!$E27:$Z27,MIN(AI$6-$E$3,22))),0))-IF($G$2,0,IF((AI$6-$G$3)&lt;1,0,IFERROR(LOOKUP(2,1/('Milho 1ª safra'!$E27:INDEX('Milho 1ª safra'!$E27:$Z27,MIN(AI$6-$G$3,22))&lt;&gt;""),'Milho 1ª safra'!$E27:INDEX('Milho 1ª safra'!$E27:$Z27,MIN(AI$6-$G$3,22))),0)))))</f>
        <v>0</v>
      </c>
      <c r="AJ29" s="27" t="n">
        <f aca="false">IF(COUNT('Milho 1ª safra'!$E27:$Z27)=0,0,MAX(0,IF((AJ$6-$E$3)&lt;1,0,IFERROR(LOOKUP(2,1/('Milho 1ª safra'!$E27:INDEX('Milho 1ª safra'!$E27:$Z27,MIN(AJ$6-$E$3,22))&lt;&gt;""),'Milho 1ª safra'!$E27:INDEX('Milho 1ª safra'!$E27:$Z27,MIN(AJ$6-$E$3,22))),0))-IF($G$2,0,IF((AJ$6-$G$3)&lt;1,0,IFERROR(LOOKUP(2,1/('Milho 1ª safra'!$E27:INDEX('Milho 1ª safra'!$E27:$Z27,MIN(AJ$6-$G$3,22))&lt;&gt;""),'Milho 1ª safra'!$E27:INDEX('Milho 1ª safra'!$E27:$Z27,MIN(AJ$6-$G$3,22))),0)))))</f>
        <v>0</v>
      </c>
      <c r="AK29" s="27" t="n">
        <f aca="false">IF(COUNT('Milho 1ª safra'!$E27:$Z27)=0,0,MAX(0,IF((AK$6-$E$3)&lt;1,0,IFERROR(LOOKUP(2,1/('Milho 1ª safra'!$E27:INDEX('Milho 1ª safra'!$E27:$Z27,MIN(AK$6-$E$3,22))&lt;&gt;""),'Milho 1ª safra'!$E27:INDEX('Milho 1ª safra'!$E27:$Z27,MIN(AK$6-$E$3,22))),0))-IF($G$2,0,IF((AK$6-$G$3)&lt;1,0,IFERROR(LOOKUP(2,1/('Milho 1ª safra'!$E27:INDEX('Milho 1ª safra'!$E27:$Z27,MIN(AK$6-$G$3,22))&lt;&gt;""),'Milho 1ª safra'!$E27:INDEX('Milho 1ª safra'!$E27:$Z27,MIN(AK$6-$G$3,22))),0)))))</f>
        <v>0</v>
      </c>
      <c r="AL29" s="27" t="n">
        <f aca="false">IF(COUNT('Milho 1ª safra'!$E27:$Z27)=0,0,MAX(0,IF((AL$6-$E$3)&lt;1,0,IFERROR(LOOKUP(2,1/('Milho 1ª safra'!$E27:INDEX('Milho 1ª safra'!$E27:$Z27,MIN(AL$6-$E$3,22))&lt;&gt;""),'Milho 1ª safra'!$E27:INDEX('Milho 1ª safra'!$E27:$Z27,MIN(AL$6-$E$3,22))),0))-IF($G$2,0,IF((AL$6-$G$3)&lt;1,0,IFERROR(LOOKUP(2,1/('Milho 1ª safra'!$E27:INDEX('Milho 1ª safra'!$E27:$Z27,MIN(AL$6-$G$3,22))&lt;&gt;""),'Milho 1ª safra'!$E27:INDEX('Milho 1ª safra'!$E27:$Z27,MIN(AL$6-$G$3,22))),0)))))</f>
        <v>0</v>
      </c>
      <c r="AM29" s="27" t="n">
        <f aca="false">IF(COUNT('Milho 1ª safra'!$E27:$Z27)=0,0,MAX(0,IF((AM$6-$E$3)&lt;1,0,IFERROR(LOOKUP(2,1/('Milho 1ª safra'!$E27:INDEX('Milho 1ª safra'!$E27:$Z27,MIN(AM$6-$E$3,22))&lt;&gt;""),'Milho 1ª safra'!$E27:INDEX('Milho 1ª safra'!$E27:$Z27,MIN(AM$6-$E$3,22))),0))-IF($G$2,0,IF((AM$6-$G$3)&lt;1,0,IFERROR(LOOKUP(2,1/('Milho 1ª safra'!$E27:INDEX('Milho 1ª safra'!$E27:$Z27,MIN(AM$6-$G$3,22))&lt;&gt;""),'Milho 1ª safra'!$E27:INDEX('Milho 1ª safra'!$E27:$Z27,MIN(AM$6-$G$3,22))),0)))))</f>
        <v>0</v>
      </c>
      <c r="AN29" s="27" t="n">
        <f aca="false">IF(COUNT('Milho 1ª safra'!$E27:$Z27)=0,0,MAX(0,IF((AN$6-$E$3)&lt;1,0,IFERROR(LOOKUP(2,1/('Milho 1ª safra'!$E27:INDEX('Milho 1ª safra'!$E27:$Z27,MIN(AN$6-$E$3,22))&lt;&gt;""),'Milho 1ª safra'!$E27:INDEX('Milho 1ª safra'!$E27:$Z27,MIN(AN$6-$E$3,22))),0))-IF($G$2,0,IF((AN$6-$G$3)&lt;1,0,IFERROR(LOOKUP(2,1/('Milho 1ª safra'!$E27:INDEX('Milho 1ª safra'!$E27:$Z27,MIN(AN$6-$G$3,22))&lt;&gt;""),'Milho 1ª safra'!$E27:INDEX('Milho 1ª safra'!$E27:$Z27,MIN(AN$6-$G$3,22))),0)))))</f>
        <v>0</v>
      </c>
      <c r="AO29" s="27" t="n">
        <f aca="false">IF(COUNT('Milho 1ª safra'!$E27:$Z27)=0,0,MAX(0,IF((AO$6-$E$3)&lt;1,0,IFERROR(LOOKUP(2,1/('Milho 1ª safra'!$E27:INDEX('Milho 1ª safra'!$E27:$Z27,MIN(AO$6-$E$3,22))&lt;&gt;""),'Milho 1ª safra'!$E27:INDEX('Milho 1ª safra'!$E27:$Z27,MIN(AO$6-$E$3,22))),0))-IF($G$2,0,IF((AO$6-$G$3)&lt;1,0,IFERROR(LOOKUP(2,1/('Milho 1ª safra'!$E27:INDEX('Milho 1ª safra'!$E27:$Z27,MIN(AO$6-$G$3,22))&lt;&gt;""),'Milho 1ª safra'!$E27:INDEX('Milho 1ª safra'!$E27:$Z27,MIN(AO$6-$G$3,22))),0)))))</f>
        <v>0</v>
      </c>
      <c r="AP29" s="27" t="n">
        <f aca="false">IF(COUNT('Milho 1ª safra'!$E27:$Z27)=0,0,MAX(0,IF((AP$6-$E$3)&lt;1,0,IFERROR(LOOKUP(2,1/('Milho 1ª safra'!$E27:INDEX('Milho 1ª safra'!$E27:$Z27,MIN(AP$6-$E$3,22))&lt;&gt;""),'Milho 1ª safra'!$E27:INDEX('Milho 1ª safra'!$E27:$Z27,MIN(AP$6-$E$3,22))),0))-IF($G$2,0,IF((AP$6-$G$3)&lt;1,0,IFERROR(LOOKUP(2,1/('Milho 1ª safra'!$E27:INDEX('Milho 1ª safra'!$E27:$Z27,MIN(AP$6-$G$3,22))&lt;&gt;""),'Milho 1ª safra'!$E27:INDEX('Milho 1ª safra'!$E27:$Z27,MIN(AP$6-$G$3,22))),0)))))</f>
        <v>0</v>
      </c>
      <c r="AQ29" s="27" t="n">
        <f aca="false">IF(COUNT('Milho 1ª safra'!$E27:$Z27)=0,0,MAX(0,IF((AQ$6-$E$3)&lt;1,0,IFERROR(LOOKUP(2,1/('Milho 1ª safra'!$E27:INDEX('Milho 1ª safra'!$E27:$Z27,MIN(AQ$6-$E$3,22))&lt;&gt;""),'Milho 1ª safra'!$E27:INDEX('Milho 1ª safra'!$E27:$Z27,MIN(AQ$6-$E$3,22))),0))-IF($G$2,0,IF((AQ$6-$G$3)&lt;1,0,IFERROR(LOOKUP(2,1/('Milho 1ª safra'!$E27:INDEX('Milho 1ª safra'!$E27:$Z27,MIN(AQ$6-$G$3,22))&lt;&gt;""),'Milho 1ª safra'!$E27:INDEX('Milho 1ª safra'!$E27:$Z27,MIN(AQ$6-$G$3,22))),0)))))</f>
        <v>0</v>
      </c>
      <c r="AR29" s="27" t="n">
        <f aca="false">IF(COUNT('Milho 1ª safra'!$E27:$Z27)=0,0,MAX(0,IF((AR$6-$E$3)&lt;1,0,IFERROR(LOOKUP(2,1/('Milho 1ª safra'!$E27:INDEX('Milho 1ª safra'!$E27:$Z27,MIN(AR$6-$E$3,22))&lt;&gt;""),'Milho 1ª safra'!$E27:INDEX('Milho 1ª safra'!$E27:$Z27,MIN(AR$6-$E$3,22))),0))-IF($G$2,0,IF((AR$6-$G$3)&lt;1,0,IFERROR(LOOKUP(2,1/('Milho 1ª safra'!$E27:INDEX('Milho 1ª safra'!$E27:$Z27,MIN(AR$6-$G$3,22))&lt;&gt;""),'Milho 1ª safra'!$E27:INDEX('Milho 1ª safra'!$E27:$Z27,MIN(AR$6-$G$3,22))),0)))))</f>
        <v>0</v>
      </c>
      <c r="AS29" s="27" t="n">
        <f aca="false">IF(COUNT('Milho 1ª safra'!$E27:$Z27)=0,0,MAX(0,IF((AS$6-$E$3)&lt;1,0,IFERROR(LOOKUP(2,1/('Milho 1ª safra'!$E27:INDEX('Milho 1ª safra'!$E27:$Z27,MIN(AS$6-$E$3,22))&lt;&gt;""),'Milho 1ª safra'!$E27:INDEX('Milho 1ª safra'!$E27:$Z27,MIN(AS$6-$E$3,22))),0))-IF($G$2,0,IF((AS$6-$G$3)&lt;1,0,IFERROR(LOOKUP(2,1/('Milho 1ª safra'!$E27:INDEX('Milho 1ª safra'!$E27:$Z27,MIN(AS$6-$G$3,22))&lt;&gt;""),'Milho 1ª safra'!$E27:INDEX('Milho 1ª safra'!$E27:$Z27,MIN(AS$6-$G$3,22))),0)))))</f>
        <v>0</v>
      </c>
      <c r="AT29" s="27" t="n">
        <f aca="false">IF(COUNT('Milho 1ª safra'!$E27:$Z27)=0,0,MAX(0,IF((AT$6-$E$3)&lt;1,0,IFERROR(LOOKUP(2,1/('Milho 1ª safra'!$E27:INDEX('Milho 1ª safra'!$E27:$Z27,MIN(AT$6-$E$3,22))&lt;&gt;""),'Milho 1ª safra'!$E27:INDEX('Milho 1ª safra'!$E27:$Z27,MIN(AT$6-$E$3,22))),0))-IF($G$2,0,IF((AT$6-$G$3)&lt;1,0,IFERROR(LOOKUP(2,1/('Milho 1ª safra'!$E27:INDEX('Milho 1ª safra'!$E27:$Z27,MIN(AT$6-$G$3,22))&lt;&gt;""),'Milho 1ª safra'!$E27:INDEX('Milho 1ª safra'!$E27:$Z27,MIN(AT$6-$G$3,22))),0)))))</f>
        <v>0</v>
      </c>
      <c r="AU29" s="27" t="n">
        <f aca="false">IF(COUNT('Milho 1ª safra'!$E27:$Z27)=0,0,MAX(0,IF((AU$6-$E$3)&lt;1,0,IFERROR(LOOKUP(2,1/('Milho 1ª safra'!$E27:INDEX('Milho 1ª safra'!$E27:$Z27,MIN(AU$6-$E$3,22))&lt;&gt;""),'Milho 1ª safra'!$E27:INDEX('Milho 1ª safra'!$E27:$Z27,MIN(AU$6-$E$3,22))),0))-IF($G$2,0,IF((AU$6-$G$3)&lt;1,0,IFERROR(LOOKUP(2,1/('Milho 1ª safra'!$E27:INDEX('Milho 1ª safra'!$E27:$Z27,MIN(AU$6-$G$3,22))&lt;&gt;""),'Milho 1ª safra'!$E27:INDEX('Milho 1ª safra'!$E27:$Z27,MIN(AU$6-$G$3,22))),0)))))</f>
        <v>0</v>
      </c>
      <c r="AV29" s="27" t="n">
        <f aca="false">IF(COUNT('Milho 1ª safra'!$E27:$Z27)=0,0,MAX(0,IF((AV$6-$E$3)&lt;1,0,IFERROR(LOOKUP(2,1/('Milho 1ª safra'!$E27:INDEX('Milho 1ª safra'!$E27:$Z27,MIN(AV$6-$E$3,22))&lt;&gt;""),'Milho 1ª safra'!$E27:INDEX('Milho 1ª safra'!$E27:$Z27,MIN(AV$6-$E$3,22))),0))-IF($G$2,0,IF((AV$6-$G$3)&lt;1,0,IFERROR(LOOKUP(2,1/('Milho 1ª safra'!$E27:INDEX('Milho 1ª safra'!$E27:$Z27,MIN(AV$6-$G$3,22))&lt;&gt;""),'Milho 1ª safra'!$E27:INDEX('Milho 1ª safra'!$E27:$Z27,MIN(AV$6-$G$3,22))),0)))))</f>
        <v>0</v>
      </c>
      <c r="AW29" s="27" t="n">
        <f aca="false">IF(COUNT('Milho 1ª safra'!$E27:$Z27)=0,0,MAX(0,IF((AW$6-$E$3)&lt;1,0,IFERROR(LOOKUP(2,1/('Milho 1ª safra'!$E27:INDEX('Milho 1ª safra'!$E27:$Z27,MIN(AW$6-$E$3,22))&lt;&gt;""),'Milho 1ª safra'!$E27:INDEX('Milho 1ª safra'!$E27:$Z27,MIN(AW$6-$E$3,22))),0))-IF($G$2,0,IF((AW$6-$G$3)&lt;1,0,IFERROR(LOOKUP(2,1/('Milho 1ª safra'!$E27:INDEX('Milho 1ª safra'!$E27:$Z27,MIN(AW$6-$G$3,22))&lt;&gt;""),'Milho 1ª safra'!$E27:INDEX('Milho 1ª safra'!$E27:$Z27,MIN(AW$6-$G$3,22))),0)))))</f>
        <v>0</v>
      </c>
      <c r="AX29" s="27" t="n">
        <f aca="false">IF(COUNT('Milho 1ª safra'!$E27:$Z27)=0,0,MAX(0,IF((AX$6-$E$3)&lt;1,0,IFERROR(LOOKUP(2,1/('Milho 1ª safra'!$E27:INDEX('Milho 1ª safra'!$E27:$Z27,MIN(AX$6-$E$3,22))&lt;&gt;""),'Milho 1ª safra'!$E27:INDEX('Milho 1ª safra'!$E27:$Z27,MIN(AX$6-$E$3,22))),0))-IF($G$2,0,IF((AX$6-$G$3)&lt;1,0,IFERROR(LOOKUP(2,1/('Milho 1ª safra'!$E27:INDEX('Milho 1ª safra'!$E27:$Z27,MIN(AX$6-$G$3,22))&lt;&gt;""),'Milho 1ª safra'!$E27:INDEX('Milho 1ª safra'!$E27:$Z27,MIN(AX$6-$G$3,22))),0)))))</f>
        <v>0</v>
      </c>
      <c r="AY29" s="27" t="n">
        <f aca="false">IF(COUNT('Milho 1ª safra'!$E27:$Z27)=0,0,MAX(0,IF((AY$6-$E$3)&lt;1,0,IFERROR(LOOKUP(2,1/('Milho 1ª safra'!$E27:INDEX('Milho 1ª safra'!$E27:$Z27,MIN(AY$6-$E$3,22))&lt;&gt;""),'Milho 1ª safra'!$E27:INDEX('Milho 1ª safra'!$E27:$Z27,MIN(AY$6-$E$3,22))),0))-IF($G$2,0,IF((AY$6-$G$3)&lt;1,0,IFERROR(LOOKUP(2,1/('Milho 1ª safra'!$E27:INDEX('Milho 1ª safra'!$E27:$Z27,MIN(AY$6-$G$3,22))&lt;&gt;""),'Milho 1ª safra'!$E27:INDEX('Milho 1ª safra'!$E27:$Z27,MIN(AY$6-$G$3,22))),0)))))</f>
        <v>0</v>
      </c>
      <c r="AZ29" s="27" t="n">
        <f aca="false">IF(COUNT('Milho 1ª safra'!$E27:$Z27)=0,0,MAX(0,IF((AZ$6-$E$3)&lt;1,0,IFERROR(LOOKUP(2,1/('Milho 1ª safra'!$E27:INDEX('Milho 1ª safra'!$E27:$Z27,MIN(AZ$6-$E$3,22))&lt;&gt;""),'Milho 1ª safra'!$E27:INDEX('Milho 1ª safra'!$E27:$Z27,MIN(AZ$6-$E$3,22))),0))-IF($G$2,0,IF((AZ$6-$G$3)&lt;1,0,IFERROR(LOOKUP(2,1/('Milho 1ª safra'!$E27:INDEX('Milho 1ª safra'!$E27:$Z27,MIN(AZ$6-$G$3,22))&lt;&gt;""),'Milho 1ª safra'!$E27:INDEX('Milho 1ª safra'!$E27:$Z27,MIN(AZ$6-$G$3,22))),0)))))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IF(COUNT('Milho 1ª safra'!$E28:$Z28)&gt;0,N('Milho 1ª safra'!$D28),0)</f>
        <v>0</v>
      </c>
      <c r="E30" s="27" t="n">
        <f aca="false">IF(COUNT('Milho 1ª safra'!$E28:$Z28)=0,0,MAX(0,IF((E$6-$E$3)&lt;1,0,IFERROR(LOOKUP(2,1/('Milho 1ª safra'!$E28:INDEX('Milho 1ª safra'!$E28:$Z28,MIN(E$6-$E$3,22))&lt;&gt;""),'Milho 1ª safra'!$E28:INDEX('Milho 1ª safra'!$E28:$Z28,MIN(E$6-$E$3,22))),0))-IF($G$2,0,IF((E$6-$G$3)&lt;1,0,IFERROR(LOOKUP(2,1/('Milho 1ª safra'!$E28:INDEX('Milho 1ª safra'!$E28:$Z28,MIN(E$6-$G$3,22))&lt;&gt;""),'Milho 1ª safra'!$E28:INDEX('Milho 1ª safra'!$E28:$Z28,MIN(E$6-$G$3,22))),0)))))</f>
        <v>0</v>
      </c>
      <c r="F30" s="27" t="n">
        <f aca="false">IF(COUNT('Milho 1ª safra'!$E28:$Z28)=0,0,MAX(0,IF((F$6-$E$3)&lt;1,0,IFERROR(LOOKUP(2,1/('Milho 1ª safra'!$E28:INDEX('Milho 1ª safra'!$E28:$Z28,MIN(F$6-$E$3,22))&lt;&gt;""),'Milho 1ª safra'!$E28:INDEX('Milho 1ª safra'!$E28:$Z28,MIN(F$6-$E$3,22))),0))-IF($G$2,0,IF((F$6-$G$3)&lt;1,0,IFERROR(LOOKUP(2,1/('Milho 1ª safra'!$E28:INDEX('Milho 1ª safra'!$E28:$Z28,MIN(F$6-$G$3,22))&lt;&gt;""),'Milho 1ª safra'!$E28:INDEX('Milho 1ª safra'!$E28:$Z28,MIN(F$6-$G$3,22))),0)))))</f>
        <v>0</v>
      </c>
      <c r="G30" s="27" t="n">
        <f aca="false">IF(COUNT('Milho 1ª safra'!$E28:$Z28)=0,0,MAX(0,IF((G$6-$E$3)&lt;1,0,IFERROR(LOOKUP(2,1/('Milho 1ª safra'!$E28:INDEX('Milho 1ª safra'!$E28:$Z28,MIN(G$6-$E$3,22))&lt;&gt;""),'Milho 1ª safra'!$E28:INDEX('Milho 1ª safra'!$E28:$Z28,MIN(G$6-$E$3,22))),0))-IF($G$2,0,IF((G$6-$G$3)&lt;1,0,IFERROR(LOOKUP(2,1/('Milho 1ª safra'!$E28:INDEX('Milho 1ª safra'!$E28:$Z28,MIN(G$6-$G$3,22))&lt;&gt;""),'Milho 1ª safra'!$E28:INDEX('Milho 1ª safra'!$E28:$Z28,MIN(G$6-$G$3,22))),0)))))</f>
        <v>0</v>
      </c>
      <c r="H30" s="27" t="n">
        <f aca="false">IF(COUNT('Milho 1ª safra'!$E28:$Z28)=0,0,MAX(0,IF((H$6-$E$3)&lt;1,0,IFERROR(LOOKUP(2,1/('Milho 1ª safra'!$E28:INDEX('Milho 1ª safra'!$E28:$Z28,MIN(H$6-$E$3,22))&lt;&gt;""),'Milho 1ª safra'!$E28:INDEX('Milho 1ª safra'!$E28:$Z28,MIN(H$6-$E$3,22))),0))-IF($G$2,0,IF((H$6-$G$3)&lt;1,0,IFERROR(LOOKUP(2,1/('Milho 1ª safra'!$E28:INDEX('Milho 1ª safra'!$E28:$Z28,MIN(H$6-$G$3,22))&lt;&gt;""),'Milho 1ª safra'!$E28:INDEX('Milho 1ª safra'!$E28:$Z28,MIN(H$6-$G$3,22))),0)))))</f>
        <v>0</v>
      </c>
      <c r="I30" s="27" t="n">
        <f aca="false">IF(COUNT('Milho 1ª safra'!$E28:$Z28)=0,0,MAX(0,IF((I$6-$E$3)&lt;1,0,IFERROR(LOOKUP(2,1/('Milho 1ª safra'!$E28:INDEX('Milho 1ª safra'!$E28:$Z28,MIN(I$6-$E$3,22))&lt;&gt;""),'Milho 1ª safra'!$E28:INDEX('Milho 1ª safra'!$E28:$Z28,MIN(I$6-$E$3,22))),0))-IF($G$2,0,IF((I$6-$G$3)&lt;1,0,IFERROR(LOOKUP(2,1/('Milho 1ª safra'!$E28:INDEX('Milho 1ª safra'!$E28:$Z28,MIN(I$6-$G$3,22))&lt;&gt;""),'Milho 1ª safra'!$E28:INDEX('Milho 1ª safra'!$E28:$Z28,MIN(I$6-$G$3,22))),0)))))</f>
        <v>0</v>
      </c>
      <c r="J30" s="27" t="n">
        <f aca="false">IF(COUNT('Milho 1ª safra'!$E28:$Z28)=0,0,MAX(0,IF((J$6-$E$3)&lt;1,0,IFERROR(LOOKUP(2,1/('Milho 1ª safra'!$E28:INDEX('Milho 1ª safra'!$E28:$Z28,MIN(J$6-$E$3,22))&lt;&gt;""),'Milho 1ª safra'!$E28:INDEX('Milho 1ª safra'!$E28:$Z28,MIN(J$6-$E$3,22))),0))-IF($G$2,0,IF((J$6-$G$3)&lt;1,0,IFERROR(LOOKUP(2,1/('Milho 1ª safra'!$E28:INDEX('Milho 1ª safra'!$E28:$Z28,MIN(J$6-$G$3,22))&lt;&gt;""),'Milho 1ª safra'!$E28:INDEX('Milho 1ª safra'!$E28:$Z28,MIN(J$6-$G$3,22))),0)))))</f>
        <v>0</v>
      </c>
      <c r="K30" s="27" t="n">
        <f aca="false">IF(COUNT('Milho 1ª safra'!$E28:$Z28)=0,0,MAX(0,IF((K$6-$E$3)&lt;1,0,IFERROR(LOOKUP(2,1/('Milho 1ª safra'!$E28:INDEX('Milho 1ª safra'!$E28:$Z28,MIN(K$6-$E$3,22))&lt;&gt;""),'Milho 1ª safra'!$E28:INDEX('Milho 1ª safra'!$E28:$Z28,MIN(K$6-$E$3,22))),0))-IF($G$2,0,IF((K$6-$G$3)&lt;1,0,IFERROR(LOOKUP(2,1/('Milho 1ª safra'!$E28:INDEX('Milho 1ª safra'!$E28:$Z28,MIN(K$6-$G$3,22))&lt;&gt;""),'Milho 1ª safra'!$E28:INDEX('Milho 1ª safra'!$E28:$Z28,MIN(K$6-$G$3,22))),0)))))</f>
        <v>0</v>
      </c>
      <c r="L30" s="27" t="n">
        <f aca="false">IF(COUNT('Milho 1ª safra'!$E28:$Z28)=0,0,MAX(0,IF((L$6-$E$3)&lt;1,0,IFERROR(LOOKUP(2,1/('Milho 1ª safra'!$E28:INDEX('Milho 1ª safra'!$E28:$Z28,MIN(L$6-$E$3,22))&lt;&gt;""),'Milho 1ª safra'!$E28:INDEX('Milho 1ª safra'!$E28:$Z28,MIN(L$6-$E$3,22))),0))-IF($G$2,0,IF((L$6-$G$3)&lt;1,0,IFERROR(LOOKUP(2,1/('Milho 1ª safra'!$E28:INDEX('Milho 1ª safra'!$E28:$Z28,MIN(L$6-$G$3,22))&lt;&gt;""),'Milho 1ª safra'!$E28:INDEX('Milho 1ª safra'!$E28:$Z28,MIN(L$6-$G$3,22))),0)))))</f>
        <v>0</v>
      </c>
      <c r="M30" s="27" t="n">
        <f aca="false">IF(COUNT('Milho 1ª safra'!$E28:$Z28)=0,0,MAX(0,IF((M$6-$E$3)&lt;1,0,IFERROR(LOOKUP(2,1/('Milho 1ª safra'!$E28:INDEX('Milho 1ª safra'!$E28:$Z28,MIN(M$6-$E$3,22))&lt;&gt;""),'Milho 1ª safra'!$E28:INDEX('Milho 1ª safra'!$E28:$Z28,MIN(M$6-$E$3,22))),0))-IF($G$2,0,IF((M$6-$G$3)&lt;1,0,IFERROR(LOOKUP(2,1/('Milho 1ª safra'!$E28:INDEX('Milho 1ª safra'!$E28:$Z28,MIN(M$6-$G$3,22))&lt;&gt;""),'Milho 1ª safra'!$E28:INDEX('Milho 1ª safra'!$E28:$Z28,MIN(M$6-$G$3,22))),0)))))</f>
        <v>0</v>
      </c>
      <c r="N30" s="27" t="n">
        <f aca="false">IF(COUNT('Milho 1ª safra'!$E28:$Z28)=0,0,MAX(0,IF((N$6-$E$3)&lt;1,0,IFERROR(LOOKUP(2,1/('Milho 1ª safra'!$E28:INDEX('Milho 1ª safra'!$E28:$Z28,MIN(N$6-$E$3,22))&lt;&gt;""),'Milho 1ª safra'!$E28:INDEX('Milho 1ª safra'!$E28:$Z28,MIN(N$6-$E$3,22))),0))-IF($G$2,0,IF((N$6-$G$3)&lt;1,0,IFERROR(LOOKUP(2,1/('Milho 1ª safra'!$E28:INDEX('Milho 1ª safra'!$E28:$Z28,MIN(N$6-$G$3,22))&lt;&gt;""),'Milho 1ª safra'!$E28:INDEX('Milho 1ª safra'!$E28:$Z28,MIN(N$6-$G$3,22))),0)))))</f>
        <v>0</v>
      </c>
      <c r="O30" s="27" t="n">
        <f aca="false">IF(COUNT('Milho 1ª safra'!$E28:$Z28)=0,0,MAX(0,IF((O$6-$E$3)&lt;1,0,IFERROR(LOOKUP(2,1/('Milho 1ª safra'!$E28:INDEX('Milho 1ª safra'!$E28:$Z28,MIN(O$6-$E$3,22))&lt;&gt;""),'Milho 1ª safra'!$E28:INDEX('Milho 1ª safra'!$E28:$Z28,MIN(O$6-$E$3,22))),0))-IF($G$2,0,IF((O$6-$G$3)&lt;1,0,IFERROR(LOOKUP(2,1/('Milho 1ª safra'!$E28:INDEX('Milho 1ª safra'!$E28:$Z28,MIN(O$6-$G$3,22))&lt;&gt;""),'Milho 1ª safra'!$E28:INDEX('Milho 1ª safra'!$E28:$Z28,MIN(O$6-$G$3,22))),0)))))</f>
        <v>0</v>
      </c>
      <c r="P30" s="27" t="n">
        <f aca="false">IF(COUNT('Milho 1ª safra'!$E28:$Z28)=0,0,MAX(0,IF((P$6-$E$3)&lt;1,0,IFERROR(LOOKUP(2,1/('Milho 1ª safra'!$E28:INDEX('Milho 1ª safra'!$E28:$Z28,MIN(P$6-$E$3,22))&lt;&gt;""),'Milho 1ª safra'!$E28:INDEX('Milho 1ª safra'!$E28:$Z28,MIN(P$6-$E$3,22))),0))-IF($G$2,0,IF((P$6-$G$3)&lt;1,0,IFERROR(LOOKUP(2,1/('Milho 1ª safra'!$E28:INDEX('Milho 1ª safra'!$E28:$Z28,MIN(P$6-$G$3,22))&lt;&gt;""),'Milho 1ª safra'!$E28:INDEX('Milho 1ª safra'!$E28:$Z28,MIN(P$6-$G$3,22))),0)))))</f>
        <v>0</v>
      </c>
      <c r="Q30" s="27" t="n">
        <f aca="false">IF(COUNT('Milho 1ª safra'!$E28:$Z28)=0,0,MAX(0,IF((Q$6-$E$3)&lt;1,0,IFERROR(LOOKUP(2,1/('Milho 1ª safra'!$E28:INDEX('Milho 1ª safra'!$E28:$Z28,MIN(Q$6-$E$3,22))&lt;&gt;""),'Milho 1ª safra'!$E28:INDEX('Milho 1ª safra'!$E28:$Z28,MIN(Q$6-$E$3,22))),0))-IF($G$2,0,IF((Q$6-$G$3)&lt;1,0,IFERROR(LOOKUP(2,1/('Milho 1ª safra'!$E28:INDEX('Milho 1ª safra'!$E28:$Z28,MIN(Q$6-$G$3,22))&lt;&gt;""),'Milho 1ª safra'!$E28:INDEX('Milho 1ª safra'!$E28:$Z28,MIN(Q$6-$G$3,22))),0)))))</f>
        <v>0</v>
      </c>
      <c r="R30" s="27" t="n">
        <f aca="false">IF(COUNT('Milho 1ª safra'!$E28:$Z28)=0,0,MAX(0,IF((R$6-$E$3)&lt;1,0,IFERROR(LOOKUP(2,1/('Milho 1ª safra'!$E28:INDEX('Milho 1ª safra'!$E28:$Z28,MIN(R$6-$E$3,22))&lt;&gt;""),'Milho 1ª safra'!$E28:INDEX('Milho 1ª safra'!$E28:$Z28,MIN(R$6-$E$3,22))),0))-IF($G$2,0,IF((R$6-$G$3)&lt;1,0,IFERROR(LOOKUP(2,1/('Milho 1ª safra'!$E28:INDEX('Milho 1ª safra'!$E28:$Z28,MIN(R$6-$G$3,22))&lt;&gt;""),'Milho 1ª safra'!$E28:INDEX('Milho 1ª safra'!$E28:$Z28,MIN(R$6-$G$3,22))),0)))))</f>
        <v>0</v>
      </c>
      <c r="S30" s="27" t="n">
        <f aca="false">IF(COUNT('Milho 1ª safra'!$E28:$Z28)=0,0,MAX(0,IF((S$6-$E$3)&lt;1,0,IFERROR(LOOKUP(2,1/('Milho 1ª safra'!$E28:INDEX('Milho 1ª safra'!$E28:$Z28,MIN(S$6-$E$3,22))&lt;&gt;""),'Milho 1ª safra'!$E28:INDEX('Milho 1ª safra'!$E28:$Z28,MIN(S$6-$E$3,22))),0))-IF($G$2,0,IF((S$6-$G$3)&lt;1,0,IFERROR(LOOKUP(2,1/('Milho 1ª safra'!$E28:INDEX('Milho 1ª safra'!$E28:$Z28,MIN(S$6-$G$3,22))&lt;&gt;""),'Milho 1ª safra'!$E28:INDEX('Milho 1ª safra'!$E28:$Z28,MIN(S$6-$G$3,22))),0)))))</f>
        <v>0</v>
      </c>
      <c r="T30" s="27" t="n">
        <f aca="false">IF(COUNT('Milho 1ª safra'!$E28:$Z28)=0,0,MAX(0,IF((T$6-$E$3)&lt;1,0,IFERROR(LOOKUP(2,1/('Milho 1ª safra'!$E28:INDEX('Milho 1ª safra'!$E28:$Z28,MIN(T$6-$E$3,22))&lt;&gt;""),'Milho 1ª safra'!$E28:INDEX('Milho 1ª safra'!$E28:$Z28,MIN(T$6-$E$3,22))),0))-IF($G$2,0,IF((T$6-$G$3)&lt;1,0,IFERROR(LOOKUP(2,1/('Milho 1ª safra'!$E28:INDEX('Milho 1ª safra'!$E28:$Z28,MIN(T$6-$G$3,22))&lt;&gt;""),'Milho 1ª safra'!$E28:INDEX('Milho 1ª safra'!$E28:$Z28,MIN(T$6-$G$3,22))),0)))))</f>
        <v>0</v>
      </c>
      <c r="U30" s="27" t="n">
        <f aca="false">IF(COUNT('Milho 1ª safra'!$E28:$Z28)=0,0,MAX(0,IF((U$6-$E$3)&lt;1,0,IFERROR(LOOKUP(2,1/('Milho 1ª safra'!$E28:INDEX('Milho 1ª safra'!$E28:$Z28,MIN(U$6-$E$3,22))&lt;&gt;""),'Milho 1ª safra'!$E28:INDEX('Milho 1ª safra'!$E28:$Z28,MIN(U$6-$E$3,22))),0))-IF($G$2,0,IF((U$6-$G$3)&lt;1,0,IFERROR(LOOKUP(2,1/('Milho 1ª safra'!$E28:INDEX('Milho 1ª safra'!$E28:$Z28,MIN(U$6-$G$3,22))&lt;&gt;""),'Milho 1ª safra'!$E28:INDEX('Milho 1ª safra'!$E28:$Z28,MIN(U$6-$G$3,22))),0)))))</f>
        <v>0</v>
      </c>
      <c r="V30" s="27" t="n">
        <f aca="false">IF(COUNT('Milho 1ª safra'!$E28:$Z28)=0,0,MAX(0,IF((V$6-$E$3)&lt;1,0,IFERROR(LOOKUP(2,1/('Milho 1ª safra'!$E28:INDEX('Milho 1ª safra'!$E28:$Z28,MIN(V$6-$E$3,22))&lt;&gt;""),'Milho 1ª safra'!$E28:INDEX('Milho 1ª safra'!$E28:$Z28,MIN(V$6-$E$3,22))),0))-IF($G$2,0,IF((V$6-$G$3)&lt;1,0,IFERROR(LOOKUP(2,1/('Milho 1ª safra'!$E28:INDEX('Milho 1ª safra'!$E28:$Z28,MIN(V$6-$G$3,22))&lt;&gt;""),'Milho 1ª safra'!$E28:INDEX('Milho 1ª safra'!$E28:$Z28,MIN(V$6-$G$3,22))),0)))))</f>
        <v>0</v>
      </c>
      <c r="W30" s="27" t="n">
        <f aca="false">IF(COUNT('Milho 1ª safra'!$E28:$Z28)=0,0,MAX(0,IF((W$6-$E$3)&lt;1,0,IFERROR(LOOKUP(2,1/('Milho 1ª safra'!$E28:INDEX('Milho 1ª safra'!$E28:$Z28,MIN(W$6-$E$3,22))&lt;&gt;""),'Milho 1ª safra'!$E28:INDEX('Milho 1ª safra'!$E28:$Z28,MIN(W$6-$E$3,22))),0))-IF($G$2,0,IF((W$6-$G$3)&lt;1,0,IFERROR(LOOKUP(2,1/('Milho 1ª safra'!$E28:INDEX('Milho 1ª safra'!$E28:$Z28,MIN(W$6-$G$3,22))&lt;&gt;""),'Milho 1ª safra'!$E28:INDEX('Milho 1ª safra'!$E28:$Z28,MIN(W$6-$G$3,22))),0)))))</f>
        <v>0</v>
      </c>
      <c r="X30" s="27" t="n">
        <f aca="false">IF(COUNT('Milho 1ª safra'!$E28:$Z28)=0,0,MAX(0,IF((X$6-$E$3)&lt;1,0,IFERROR(LOOKUP(2,1/('Milho 1ª safra'!$E28:INDEX('Milho 1ª safra'!$E28:$Z28,MIN(X$6-$E$3,22))&lt;&gt;""),'Milho 1ª safra'!$E28:INDEX('Milho 1ª safra'!$E28:$Z28,MIN(X$6-$E$3,22))),0))-IF($G$2,0,IF((X$6-$G$3)&lt;1,0,IFERROR(LOOKUP(2,1/('Milho 1ª safra'!$E28:INDEX('Milho 1ª safra'!$E28:$Z28,MIN(X$6-$G$3,22))&lt;&gt;""),'Milho 1ª safra'!$E28:INDEX('Milho 1ª safra'!$E28:$Z28,MIN(X$6-$G$3,22))),0)))))</f>
        <v>0</v>
      </c>
      <c r="Y30" s="27" t="n">
        <f aca="false">IF(COUNT('Milho 1ª safra'!$E28:$Z28)=0,0,MAX(0,IF((Y$6-$E$3)&lt;1,0,IFERROR(LOOKUP(2,1/('Milho 1ª safra'!$E28:INDEX('Milho 1ª safra'!$E28:$Z28,MIN(Y$6-$E$3,22))&lt;&gt;""),'Milho 1ª safra'!$E28:INDEX('Milho 1ª safra'!$E28:$Z28,MIN(Y$6-$E$3,22))),0))-IF($G$2,0,IF((Y$6-$G$3)&lt;1,0,IFERROR(LOOKUP(2,1/('Milho 1ª safra'!$E28:INDEX('Milho 1ª safra'!$E28:$Z28,MIN(Y$6-$G$3,22))&lt;&gt;""),'Milho 1ª safra'!$E28:INDEX('Milho 1ª safra'!$E28:$Z28,MIN(Y$6-$G$3,22))),0)))))</f>
        <v>0</v>
      </c>
      <c r="Z30" s="27" t="n">
        <f aca="false">IF(COUNT('Milho 1ª safra'!$E28:$Z28)=0,0,MAX(0,IF((Z$6-$E$3)&lt;1,0,IFERROR(LOOKUP(2,1/('Milho 1ª safra'!$E28:INDEX('Milho 1ª safra'!$E28:$Z28,MIN(Z$6-$E$3,22))&lt;&gt;""),'Milho 1ª safra'!$E28:INDEX('Milho 1ª safra'!$E28:$Z28,MIN(Z$6-$E$3,22))),0))-IF($G$2,0,IF((Z$6-$G$3)&lt;1,0,IFERROR(LOOKUP(2,1/('Milho 1ª safra'!$E28:INDEX('Milho 1ª safra'!$E28:$Z28,MIN(Z$6-$G$3,22))&lt;&gt;""),'Milho 1ª safra'!$E28:INDEX('Milho 1ª safra'!$E28:$Z28,MIN(Z$6-$G$3,22))),0)))))</f>
        <v>0</v>
      </c>
      <c r="AA30" s="27" t="n">
        <f aca="false">IF(COUNT('Milho 1ª safra'!$E28:$Z28)=0,0,MAX(0,IF((AA$6-$E$3)&lt;1,0,IFERROR(LOOKUP(2,1/('Milho 1ª safra'!$E28:INDEX('Milho 1ª safra'!$E28:$Z28,MIN(AA$6-$E$3,22))&lt;&gt;""),'Milho 1ª safra'!$E28:INDEX('Milho 1ª safra'!$E28:$Z28,MIN(AA$6-$E$3,22))),0))-IF($G$2,0,IF((AA$6-$G$3)&lt;1,0,IFERROR(LOOKUP(2,1/('Milho 1ª safra'!$E28:INDEX('Milho 1ª safra'!$E28:$Z28,MIN(AA$6-$G$3,22))&lt;&gt;""),'Milho 1ª safra'!$E28:INDEX('Milho 1ª safra'!$E28:$Z28,MIN(AA$6-$G$3,22))),0)))))</f>
        <v>0</v>
      </c>
      <c r="AB30" s="27" t="n">
        <f aca="false">IF(COUNT('Milho 1ª safra'!$E28:$Z28)=0,0,MAX(0,IF((AB$6-$E$3)&lt;1,0,IFERROR(LOOKUP(2,1/('Milho 1ª safra'!$E28:INDEX('Milho 1ª safra'!$E28:$Z28,MIN(AB$6-$E$3,22))&lt;&gt;""),'Milho 1ª safra'!$E28:INDEX('Milho 1ª safra'!$E28:$Z28,MIN(AB$6-$E$3,22))),0))-IF($G$2,0,IF((AB$6-$G$3)&lt;1,0,IFERROR(LOOKUP(2,1/('Milho 1ª safra'!$E28:INDEX('Milho 1ª safra'!$E28:$Z28,MIN(AB$6-$G$3,22))&lt;&gt;""),'Milho 1ª safra'!$E28:INDEX('Milho 1ª safra'!$E28:$Z28,MIN(AB$6-$G$3,22))),0)))))</f>
        <v>0</v>
      </c>
      <c r="AC30" s="27" t="n">
        <f aca="false">IF(COUNT('Milho 1ª safra'!$E28:$Z28)=0,0,MAX(0,IF((AC$6-$E$3)&lt;1,0,IFERROR(LOOKUP(2,1/('Milho 1ª safra'!$E28:INDEX('Milho 1ª safra'!$E28:$Z28,MIN(AC$6-$E$3,22))&lt;&gt;""),'Milho 1ª safra'!$E28:INDEX('Milho 1ª safra'!$E28:$Z28,MIN(AC$6-$E$3,22))),0))-IF($G$2,0,IF((AC$6-$G$3)&lt;1,0,IFERROR(LOOKUP(2,1/('Milho 1ª safra'!$E28:INDEX('Milho 1ª safra'!$E28:$Z28,MIN(AC$6-$G$3,22))&lt;&gt;""),'Milho 1ª safra'!$E28:INDEX('Milho 1ª safra'!$E28:$Z28,MIN(AC$6-$G$3,22))),0)))))</f>
        <v>0</v>
      </c>
      <c r="AD30" s="27" t="n">
        <f aca="false">IF(COUNT('Milho 1ª safra'!$E28:$Z28)=0,0,MAX(0,IF((AD$6-$E$3)&lt;1,0,IFERROR(LOOKUP(2,1/('Milho 1ª safra'!$E28:INDEX('Milho 1ª safra'!$E28:$Z28,MIN(AD$6-$E$3,22))&lt;&gt;""),'Milho 1ª safra'!$E28:INDEX('Milho 1ª safra'!$E28:$Z28,MIN(AD$6-$E$3,22))),0))-IF($G$2,0,IF((AD$6-$G$3)&lt;1,0,IFERROR(LOOKUP(2,1/('Milho 1ª safra'!$E28:INDEX('Milho 1ª safra'!$E28:$Z28,MIN(AD$6-$G$3,22))&lt;&gt;""),'Milho 1ª safra'!$E28:INDEX('Milho 1ª safra'!$E28:$Z28,MIN(AD$6-$G$3,22))),0)))))</f>
        <v>0</v>
      </c>
      <c r="AE30" s="27" t="n">
        <f aca="false">IF(COUNT('Milho 1ª safra'!$E28:$Z28)=0,0,MAX(0,IF((AE$6-$E$3)&lt;1,0,IFERROR(LOOKUP(2,1/('Milho 1ª safra'!$E28:INDEX('Milho 1ª safra'!$E28:$Z28,MIN(AE$6-$E$3,22))&lt;&gt;""),'Milho 1ª safra'!$E28:INDEX('Milho 1ª safra'!$E28:$Z28,MIN(AE$6-$E$3,22))),0))-IF($G$2,0,IF((AE$6-$G$3)&lt;1,0,IFERROR(LOOKUP(2,1/('Milho 1ª safra'!$E28:INDEX('Milho 1ª safra'!$E28:$Z28,MIN(AE$6-$G$3,22))&lt;&gt;""),'Milho 1ª safra'!$E28:INDEX('Milho 1ª safra'!$E28:$Z28,MIN(AE$6-$G$3,22))),0)))))</f>
        <v>0</v>
      </c>
      <c r="AF30" s="27" t="n">
        <f aca="false">IF(COUNT('Milho 1ª safra'!$E28:$Z28)=0,0,MAX(0,IF((AF$6-$E$3)&lt;1,0,IFERROR(LOOKUP(2,1/('Milho 1ª safra'!$E28:INDEX('Milho 1ª safra'!$E28:$Z28,MIN(AF$6-$E$3,22))&lt;&gt;""),'Milho 1ª safra'!$E28:INDEX('Milho 1ª safra'!$E28:$Z28,MIN(AF$6-$E$3,22))),0))-IF($G$2,0,IF((AF$6-$G$3)&lt;1,0,IFERROR(LOOKUP(2,1/('Milho 1ª safra'!$E28:INDEX('Milho 1ª safra'!$E28:$Z28,MIN(AF$6-$G$3,22))&lt;&gt;""),'Milho 1ª safra'!$E28:INDEX('Milho 1ª safra'!$E28:$Z28,MIN(AF$6-$G$3,22))),0)))))</f>
        <v>0</v>
      </c>
      <c r="AG30" s="27" t="n">
        <f aca="false">IF(COUNT('Milho 1ª safra'!$E28:$Z28)=0,0,MAX(0,IF((AG$6-$E$3)&lt;1,0,IFERROR(LOOKUP(2,1/('Milho 1ª safra'!$E28:INDEX('Milho 1ª safra'!$E28:$Z28,MIN(AG$6-$E$3,22))&lt;&gt;""),'Milho 1ª safra'!$E28:INDEX('Milho 1ª safra'!$E28:$Z28,MIN(AG$6-$E$3,22))),0))-IF($G$2,0,IF((AG$6-$G$3)&lt;1,0,IFERROR(LOOKUP(2,1/('Milho 1ª safra'!$E28:INDEX('Milho 1ª safra'!$E28:$Z28,MIN(AG$6-$G$3,22))&lt;&gt;""),'Milho 1ª safra'!$E28:INDEX('Milho 1ª safra'!$E28:$Z28,MIN(AG$6-$G$3,22))),0)))))</f>
        <v>0</v>
      </c>
      <c r="AH30" s="27" t="n">
        <f aca="false">IF(COUNT('Milho 1ª safra'!$E28:$Z28)=0,0,MAX(0,IF((AH$6-$E$3)&lt;1,0,IFERROR(LOOKUP(2,1/('Milho 1ª safra'!$E28:INDEX('Milho 1ª safra'!$E28:$Z28,MIN(AH$6-$E$3,22))&lt;&gt;""),'Milho 1ª safra'!$E28:INDEX('Milho 1ª safra'!$E28:$Z28,MIN(AH$6-$E$3,22))),0))-IF($G$2,0,IF((AH$6-$G$3)&lt;1,0,IFERROR(LOOKUP(2,1/('Milho 1ª safra'!$E28:INDEX('Milho 1ª safra'!$E28:$Z28,MIN(AH$6-$G$3,22))&lt;&gt;""),'Milho 1ª safra'!$E28:INDEX('Milho 1ª safra'!$E28:$Z28,MIN(AH$6-$G$3,22))),0)))))</f>
        <v>0</v>
      </c>
      <c r="AI30" s="27" t="n">
        <f aca="false">IF(COUNT('Milho 1ª safra'!$E28:$Z28)=0,0,MAX(0,IF((AI$6-$E$3)&lt;1,0,IFERROR(LOOKUP(2,1/('Milho 1ª safra'!$E28:INDEX('Milho 1ª safra'!$E28:$Z28,MIN(AI$6-$E$3,22))&lt;&gt;""),'Milho 1ª safra'!$E28:INDEX('Milho 1ª safra'!$E28:$Z28,MIN(AI$6-$E$3,22))),0))-IF($G$2,0,IF((AI$6-$G$3)&lt;1,0,IFERROR(LOOKUP(2,1/('Milho 1ª safra'!$E28:INDEX('Milho 1ª safra'!$E28:$Z28,MIN(AI$6-$G$3,22))&lt;&gt;""),'Milho 1ª safra'!$E28:INDEX('Milho 1ª safra'!$E28:$Z28,MIN(AI$6-$G$3,22))),0)))))</f>
        <v>0</v>
      </c>
      <c r="AJ30" s="27" t="n">
        <f aca="false">IF(COUNT('Milho 1ª safra'!$E28:$Z28)=0,0,MAX(0,IF((AJ$6-$E$3)&lt;1,0,IFERROR(LOOKUP(2,1/('Milho 1ª safra'!$E28:INDEX('Milho 1ª safra'!$E28:$Z28,MIN(AJ$6-$E$3,22))&lt;&gt;""),'Milho 1ª safra'!$E28:INDEX('Milho 1ª safra'!$E28:$Z28,MIN(AJ$6-$E$3,22))),0))-IF($G$2,0,IF((AJ$6-$G$3)&lt;1,0,IFERROR(LOOKUP(2,1/('Milho 1ª safra'!$E28:INDEX('Milho 1ª safra'!$E28:$Z28,MIN(AJ$6-$G$3,22))&lt;&gt;""),'Milho 1ª safra'!$E28:INDEX('Milho 1ª safra'!$E28:$Z28,MIN(AJ$6-$G$3,22))),0)))))</f>
        <v>0</v>
      </c>
      <c r="AK30" s="27" t="n">
        <f aca="false">IF(COUNT('Milho 1ª safra'!$E28:$Z28)=0,0,MAX(0,IF((AK$6-$E$3)&lt;1,0,IFERROR(LOOKUP(2,1/('Milho 1ª safra'!$E28:INDEX('Milho 1ª safra'!$E28:$Z28,MIN(AK$6-$E$3,22))&lt;&gt;""),'Milho 1ª safra'!$E28:INDEX('Milho 1ª safra'!$E28:$Z28,MIN(AK$6-$E$3,22))),0))-IF($G$2,0,IF((AK$6-$G$3)&lt;1,0,IFERROR(LOOKUP(2,1/('Milho 1ª safra'!$E28:INDEX('Milho 1ª safra'!$E28:$Z28,MIN(AK$6-$G$3,22))&lt;&gt;""),'Milho 1ª safra'!$E28:INDEX('Milho 1ª safra'!$E28:$Z28,MIN(AK$6-$G$3,22))),0)))))</f>
        <v>0</v>
      </c>
      <c r="AL30" s="27" t="n">
        <f aca="false">IF(COUNT('Milho 1ª safra'!$E28:$Z28)=0,0,MAX(0,IF((AL$6-$E$3)&lt;1,0,IFERROR(LOOKUP(2,1/('Milho 1ª safra'!$E28:INDEX('Milho 1ª safra'!$E28:$Z28,MIN(AL$6-$E$3,22))&lt;&gt;""),'Milho 1ª safra'!$E28:INDEX('Milho 1ª safra'!$E28:$Z28,MIN(AL$6-$E$3,22))),0))-IF($G$2,0,IF((AL$6-$G$3)&lt;1,0,IFERROR(LOOKUP(2,1/('Milho 1ª safra'!$E28:INDEX('Milho 1ª safra'!$E28:$Z28,MIN(AL$6-$G$3,22))&lt;&gt;""),'Milho 1ª safra'!$E28:INDEX('Milho 1ª safra'!$E28:$Z28,MIN(AL$6-$G$3,22))),0)))))</f>
        <v>0</v>
      </c>
      <c r="AM30" s="27" t="n">
        <f aca="false">IF(COUNT('Milho 1ª safra'!$E28:$Z28)=0,0,MAX(0,IF((AM$6-$E$3)&lt;1,0,IFERROR(LOOKUP(2,1/('Milho 1ª safra'!$E28:INDEX('Milho 1ª safra'!$E28:$Z28,MIN(AM$6-$E$3,22))&lt;&gt;""),'Milho 1ª safra'!$E28:INDEX('Milho 1ª safra'!$E28:$Z28,MIN(AM$6-$E$3,22))),0))-IF($G$2,0,IF((AM$6-$G$3)&lt;1,0,IFERROR(LOOKUP(2,1/('Milho 1ª safra'!$E28:INDEX('Milho 1ª safra'!$E28:$Z28,MIN(AM$6-$G$3,22))&lt;&gt;""),'Milho 1ª safra'!$E28:INDEX('Milho 1ª safra'!$E28:$Z28,MIN(AM$6-$G$3,22))),0)))))</f>
        <v>0</v>
      </c>
      <c r="AN30" s="27" t="n">
        <f aca="false">IF(COUNT('Milho 1ª safra'!$E28:$Z28)=0,0,MAX(0,IF((AN$6-$E$3)&lt;1,0,IFERROR(LOOKUP(2,1/('Milho 1ª safra'!$E28:INDEX('Milho 1ª safra'!$E28:$Z28,MIN(AN$6-$E$3,22))&lt;&gt;""),'Milho 1ª safra'!$E28:INDEX('Milho 1ª safra'!$E28:$Z28,MIN(AN$6-$E$3,22))),0))-IF($G$2,0,IF((AN$6-$G$3)&lt;1,0,IFERROR(LOOKUP(2,1/('Milho 1ª safra'!$E28:INDEX('Milho 1ª safra'!$E28:$Z28,MIN(AN$6-$G$3,22))&lt;&gt;""),'Milho 1ª safra'!$E28:INDEX('Milho 1ª safra'!$E28:$Z28,MIN(AN$6-$G$3,22))),0)))))</f>
        <v>0</v>
      </c>
      <c r="AO30" s="27" t="n">
        <f aca="false">IF(COUNT('Milho 1ª safra'!$E28:$Z28)=0,0,MAX(0,IF((AO$6-$E$3)&lt;1,0,IFERROR(LOOKUP(2,1/('Milho 1ª safra'!$E28:INDEX('Milho 1ª safra'!$E28:$Z28,MIN(AO$6-$E$3,22))&lt;&gt;""),'Milho 1ª safra'!$E28:INDEX('Milho 1ª safra'!$E28:$Z28,MIN(AO$6-$E$3,22))),0))-IF($G$2,0,IF((AO$6-$G$3)&lt;1,0,IFERROR(LOOKUP(2,1/('Milho 1ª safra'!$E28:INDEX('Milho 1ª safra'!$E28:$Z28,MIN(AO$6-$G$3,22))&lt;&gt;""),'Milho 1ª safra'!$E28:INDEX('Milho 1ª safra'!$E28:$Z28,MIN(AO$6-$G$3,22))),0)))))</f>
        <v>0</v>
      </c>
      <c r="AP30" s="27" t="n">
        <f aca="false">IF(COUNT('Milho 1ª safra'!$E28:$Z28)=0,0,MAX(0,IF((AP$6-$E$3)&lt;1,0,IFERROR(LOOKUP(2,1/('Milho 1ª safra'!$E28:INDEX('Milho 1ª safra'!$E28:$Z28,MIN(AP$6-$E$3,22))&lt;&gt;""),'Milho 1ª safra'!$E28:INDEX('Milho 1ª safra'!$E28:$Z28,MIN(AP$6-$E$3,22))),0))-IF($G$2,0,IF((AP$6-$G$3)&lt;1,0,IFERROR(LOOKUP(2,1/('Milho 1ª safra'!$E28:INDEX('Milho 1ª safra'!$E28:$Z28,MIN(AP$6-$G$3,22))&lt;&gt;""),'Milho 1ª safra'!$E28:INDEX('Milho 1ª safra'!$E28:$Z28,MIN(AP$6-$G$3,22))),0)))))</f>
        <v>0</v>
      </c>
      <c r="AQ30" s="27" t="n">
        <f aca="false">IF(COUNT('Milho 1ª safra'!$E28:$Z28)=0,0,MAX(0,IF((AQ$6-$E$3)&lt;1,0,IFERROR(LOOKUP(2,1/('Milho 1ª safra'!$E28:INDEX('Milho 1ª safra'!$E28:$Z28,MIN(AQ$6-$E$3,22))&lt;&gt;""),'Milho 1ª safra'!$E28:INDEX('Milho 1ª safra'!$E28:$Z28,MIN(AQ$6-$E$3,22))),0))-IF($G$2,0,IF((AQ$6-$G$3)&lt;1,0,IFERROR(LOOKUP(2,1/('Milho 1ª safra'!$E28:INDEX('Milho 1ª safra'!$E28:$Z28,MIN(AQ$6-$G$3,22))&lt;&gt;""),'Milho 1ª safra'!$E28:INDEX('Milho 1ª safra'!$E28:$Z28,MIN(AQ$6-$G$3,22))),0)))))</f>
        <v>0</v>
      </c>
      <c r="AR30" s="27" t="n">
        <f aca="false">IF(COUNT('Milho 1ª safra'!$E28:$Z28)=0,0,MAX(0,IF((AR$6-$E$3)&lt;1,0,IFERROR(LOOKUP(2,1/('Milho 1ª safra'!$E28:INDEX('Milho 1ª safra'!$E28:$Z28,MIN(AR$6-$E$3,22))&lt;&gt;""),'Milho 1ª safra'!$E28:INDEX('Milho 1ª safra'!$E28:$Z28,MIN(AR$6-$E$3,22))),0))-IF($G$2,0,IF((AR$6-$G$3)&lt;1,0,IFERROR(LOOKUP(2,1/('Milho 1ª safra'!$E28:INDEX('Milho 1ª safra'!$E28:$Z28,MIN(AR$6-$G$3,22))&lt;&gt;""),'Milho 1ª safra'!$E28:INDEX('Milho 1ª safra'!$E28:$Z28,MIN(AR$6-$G$3,22))),0)))))</f>
        <v>0</v>
      </c>
      <c r="AS30" s="27" t="n">
        <f aca="false">IF(COUNT('Milho 1ª safra'!$E28:$Z28)=0,0,MAX(0,IF((AS$6-$E$3)&lt;1,0,IFERROR(LOOKUP(2,1/('Milho 1ª safra'!$E28:INDEX('Milho 1ª safra'!$E28:$Z28,MIN(AS$6-$E$3,22))&lt;&gt;""),'Milho 1ª safra'!$E28:INDEX('Milho 1ª safra'!$E28:$Z28,MIN(AS$6-$E$3,22))),0))-IF($G$2,0,IF((AS$6-$G$3)&lt;1,0,IFERROR(LOOKUP(2,1/('Milho 1ª safra'!$E28:INDEX('Milho 1ª safra'!$E28:$Z28,MIN(AS$6-$G$3,22))&lt;&gt;""),'Milho 1ª safra'!$E28:INDEX('Milho 1ª safra'!$E28:$Z28,MIN(AS$6-$G$3,22))),0)))))</f>
        <v>0</v>
      </c>
      <c r="AT30" s="27" t="n">
        <f aca="false">IF(COUNT('Milho 1ª safra'!$E28:$Z28)=0,0,MAX(0,IF((AT$6-$E$3)&lt;1,0,IFERROR(LOOKUP(2,1/('Milho 1ª safra'!$E28:INDEX('Milho 1ª safra'!$E28:$Z28,MIN(AT$6-$E$3,22))&lt;&gt;""),'Milho 1ª safra'!$E28:INDEX('Milho 1ª safra'!$E28:$Z28,MIN(AT$6-$E$3,22))),0))-IF($G$2,0,IF((AT$6-$G$3)&lt;1,0,IFERROR(LOOKUP(2,1/('Milho 1ª safra'!$E28:INDEX('Milho 1ª safra'!$E28:$Z28,MIN(AT$6-$G$3,22))&lt;&gt;""),'Milho 1ª safra'!$E28:INDEX('Milho 1ª safra'!$E28:$Z28,MIN(AT$6-$G$3,22))),0)))))</f>
        <v>0</v>
      </c>
      <c r="AU30" s="27" t="n">
        <f aca="false">IF(COUNT('Milho 1ª safra'!$E28:$Z28)=0,0,MAX(0,IF((AU$6-$E$3)&lt;1,0,IFERROR(LOOKUP(2,1/('Milho 1ª safra'!$E28:INDEX('Milho 1ª safra'!$E28:$Z28,MIN(AU$6-$E$3,22))&lt;&gt;""),'Milho 1ª safra'!$E28:INDEX('Milho 1ª safra'!$E28:$Z28,MIN(AU$6-$E$3,22))),0))-IF($G$2,0,IF((AU$6-$G$3)&lt;1,0,IFERROR(LOOKUP(2,1/('Milho 1ª safra'!$E28:INDEX('Milho 1ª safra'!$E28:$Z28,MIN(AU$6-$G$3,22))&lt;&gt;""),'Milho 1ª safra'!$E28:INDEX('Milho 1ª safra'!$E28:$Z28,MIN(AU$6-$G$3,22))),0)))))</f>
        <v>0</v>
      </c>
      <c r="AV30" s="27" t="n">
        <f aca="false">IF(COUNT('Milho 1ª safra'!$E28:$Z28)=0,0,MAX(0,IF((AV$6-$E$3)&lt;1,0,IFERROR(LOOKUP(2,1/('Milho 1ª safra'!$E28:INDEX('Milho 1ª safra'!$E28:$Z28,MIN(AV$6-$E$3,22))&lt;&gt;""),'Milho 1ª safra'!$E28:INDEX('Milho 1ª safra'!$E28:$Z28,MIN(AV$6-$E$3,22))),0))-IF($G$2,0,IF((AV$6-$G$3)&lt;1,0,IFERROR(LOOKUP(2,1/('Milho 1ª safra'!$E28:INDEX('Milho 1ª safra'!$E28:$Z28,MIN(AV$6-$G$3,22))&lt;&gt;""),'Milho 1ª safra'!$E28:INDEX('Milho 1ª safra'!$E28:$Z28,MIN(AV$6-$G$3,22))),0)))))</f>
        <v>0</v>
      </c>
      <c r="AW30" s="27" t="n">
        <f aca="false">IF(COUNT('Milho 1ª safra'!$E28:$Z28)=0,0,MAX(0,IF((AW$6-$E$3)&lt;1,0,IFERROR(LOOKUP(2,1/('Milho 1ª safra'!$E28:INDEX('Milho 1ª safra'!$E28:$Z28,MIN(AW$6-$E$3,22))&lt;&gt;""),'Milho 1ª safra'!$E28:INDEX('Milho 1ª safra'!$E28:$Z28,MIN(AW$6-$E$3,22))),0))-IF($G$2,0,IF((AW$6-$G$3)&lt;1,0,IFERROR(LOOKUP(2,1/('Milho 1ª safra'!$E28:INDEX('Milho 1ª safra'!$E28:$Z28,MIN(AW$6-$G$3,22))&lt;&gt;""),'Milho 1ª safra'!$E28:INDEX('Milho 1ª safra'!$E28:$Z28,MIN(AW$6-$G$3,22))),0)))))</f>
        <v>0</v>
      </c>
      <c r="AX30" s="27" t="n">
        <f aca="false">IF(COUNT('Milho 1ª safra'!$E28:$Z28)=0,0,MAX(0,IF((AX$6-$E$3)&lt;1,0,IFERROR(LOOKUP(2,1/('Milho 1ª safra'!$E28:INDEX('Milho 1ª safra'!$E28:$Z28,MIN(AX$6-$E$3,22))&lt;&gt;""),'Milho 1ª safra'!$E28:INDEX('Milho 1ª safra'!$E28:$Z28,MIN(AX$6-$E$3,22))),0))-IF($G$2,0,IF((AX$6-$G$3)&lt;1,0,IFERROR(LOOKUP(2,1/('Milho 1ª safra'!$E28:INDEX('Milho 1ª safra'!$E28:$Z28,MIN(AX$6-$G$3,22))&lt;&gt;""),'Milho 1ª safra'!$E28:INDEX('Milho 1ª safra'!$E28:$Z28,MIN(AX$6-$G$3,22))),0)))))</f>
        <v>0</v>
      </c>
      <c r="AY30" s="27" t="n">
        <f aca="false">IF(COUNT('Milho 1ª safra'!$E28:$Z28)=0,0,MAX(0,IF((AY$6-$E$3)&lt;1,0,IFERROR(LOOKUP(2,1/('Milho 1ª safra'!$E28:INDEX('Milho 1ª safra'!$E28:$Z28,MIN(AY$6-$E$3,22))&lt;&gt;""),'Milho 1ª safra'!$E28:INDEX('Milho 1ª safra'!$E28:$Z28,MIN(AY$6-$E$3,22))),0))-IF($G$2,0,IF((AY$6-$G$3)&lt;1,0,IFERROR(LOOKUP(2,1/('Milho 1ª safra'!$E28:INDEX('Milho 1ª safra'!$E28:$Z28,MIN(AY$6-$G$3,22))&lt;&gt;""),'Milho 1ª safra'!$E28:INDEX('Milho 1ª safra'!$E28:$Z28,MIN(AY$6-$G$3,22))),0)))))</f>
        <v>0</v>
      </c>
      <c r="AZ30" s="27" t="n">
        <f aca="false">IF(COUNT('Milho 1ª safra'!$E28:$Z28)=0,0,MAX(0,IF((AZ$6-$E$3)&lt;1,0,IFERROR(LOOKUP(2,1/('Milho 1ª safra'!$E28:INDEX('Milho 1ª safra'!$E28:$Z28,MIN(AZ$6-$E$3,22))&lt;&gt;""),'Milho 1ª safra'!$E28:INDEX('Milho 1ª safra'!$E28:$Z28,MIN(AZ$6-$E$3,22))),0))-IF($G$2,0,IF((AZ$6-$G$3)&lt;1,0,IFERROR(LOOKUP(2,1/('Milho 1ª safra'!$E28:INDEX('Milho 1ª safra'!$E28:$Z28,MIN(AZ$6-$G$3,22))&lt;&gt;""),'Milho 1ª safra'!$E28:INDEX('Milho 1ª safra'!$E28:$Z28,MIN(AZ$6-$G$3,22))),0)))))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IF(COUNT('Milho 1ª safra'!$E29:$Z29)&gt;0,N('Milho 1ª safra'!$D29),0)</f>
        <v>0</v>
      </c>
      <c r="E31" s="27" t="n">
        <f aca="false">IF(COUNT('Milho 1ª safra'!$E29:$Z29)=0,0,MAX(0,IF((E$6-$E$3)&lt;1,0,IFERROR(LOOKUP(2,1/('Milho 1ª safra'!$E29:INDEX('Milho 1ª safra'!$E29:$Z29,MIN(E$6-$E$3,22))&lt;&gt;""),'Milho 1ª safra'!$E29:INDEX('Milho 1ª safra'!$E29:$Z29,MIN(E$6-$E$3,22))),0))-IF($G$2,0,IF((E$6-$G$3)&lt;1,0,IFERROR(LOOKUP(2,1/('Milho 1ª safra'!$E29:INDEX('Milho 1ª safra'!$E29:$Z29,MIN(E$6-$G$3,22))&lt;&gt;""),'Milho 1ª safra'!$E29:INDEX('Milho 1ª safra'!$E29:$Z29,MIN(E$6-$G$3,22))),0)))))</f>
        <v>0</v>
      </c>
      <c r="F31" s="27" t="n">
        <f aca="false">IF(COUNT('Milho 1ª safra'!$E29:$Z29)=0,0,MAX(0,IF((F$6-$E$3)&lt;1,0,IFERROR(LOOKUP(2,1/('Milho 1ª safra'!$E29:INDEX('Milho 1ª safra'!$E29:$Z29,MIN(F$6-$E$3,22))&lt;&gt;""),'Milho 1ª safra'!$E29:INDEX('Milho 1ª safra'!$E29:$Z29,MIN(F$6-$E$3,22))),0))-IF($G$2,0,IF((F$6-$G$3)&lt;1,0,IFERROR(LOOKUP(2,1/('Milho 1ª safra'!$E29:INDEX('Milho 1ª safra'!$E29:$Z29,MIN(F$6-$G$3,22))&lt;&gt;""),'Milho 1ª safra'!$E29:INDEX('Milho 1ª safra'!$E29:$Z29,MIN(F$6-$G$3,22))),0)))))</f>
        <v>0</v>
      </c>
      <c r="G31" s="27" t="n">
        <f aca="false">IF(COUNT('Milho 1ª safra'!$E29:$Z29)=0,0,MAX(0,IF((G$6-$E$3)&lt;1,0,IFERROR(LOOKUP(2,1/('Milho 1ª safra'!$E29:INDEX('Milho 1ª safra'!$E29:$Z29,MIN(G$6-$E$3,22))&lt;&gt;""),'Milho 1ª safra'!$E29:INDEX('Milho 1ª safra'!$E29:$Z29,MIN(G$6-$E$3,22))),0))-IF($G$2,0,IF((G$6-$G$3)&lt;1,0,IFERROR(LOOKUP(2,1/('Milho 1ª safra'!$E29:INDEX('Milho 1ª safra'!$E29:$Z29,MIN(G$6-$G$3,22))&lt;&gt;""),'Milho 1ª safra'!$E29:INDEX('Milho 1ª safra'!$E29:$Z29,MIN(G$6-$G$3,22))),0)))))</f>
        <v>0</v>
      </c>
      <c r="H31" s="27" t="n">
        <f aca="false">IF(COUNT('Milho 1ª safra'!$E29:$Z29)=0,0,MAX(0,IF((H$6-$E$3)&lt;1,0,IFERROR(LOOKUP(2,1/('Milho 1ª safra'!$E29:INDEX('Milho 1ª safra'!$E29:$Z29,MIN(H$6-$E$3,22))&lt;&gt;""),'Milho 1ª safra'!$E29:INDEX('Milho 1ª safra'!$E29:$Z29,MIN(H$6-$E$3,22))),0))-IF($G$2,0,IF((H$6-$G$3)&lt;1,0,IFERROR(LOOKUP(2,1/('Milho 1ª safra'!$E29:INDEX('Milho 1ª safra'!$E29:$Z29,MIN(H$6-$G$3,22))&lt;&gt;""),'Milho 1ª safra'!$E29:INDEX('Milho 1ª safra'!$E29:$Z29,MIN(H$6-$G$3,22))),0)))))</f>
        <v>0</v>
      </c>
      <c r="I31" s="27" t="n">
        <f aca="false">IF(COUNT('Milho 1ª safra'!$E29:$Z29)=0,0,MAX(0,IF((I$6-$E$3)&lt;1,0,IFERROR(LOOKUP(2,1/('Milho 1ª safra'!$E29:INDEX('Milho 1ª safra'!$E29:$Z29,MIN(I$6-$E$3,22))&lt;&gt;""),'Milho 1ª safra'!$E29:INDEX('Milho 1ª safra'!$E29:$Z29,MIN(I$6-$E$3,22))),0))-IF($G$2,0,IF((I$6-$G$3)&lt;1,0,IFERROR(LOOKUP(2,1/('Milho 1ª safra'!$E29:INDEX('Milho 1ª safra'!$E29:$Z29,MIN(I$6-$G$3,22))&lt;&gt;""),'Milho 1ª safra'!$E29:INDEX('Milho 1ª safra'!$E29:$Z29,MIN(I$6-$G$3,22))),0)))))</f>
        <v>0</v>
      </c>
      <c r="J31" s="27" t="n">
        <f aca="false">IF(COUNT('Milho 1ª safra'!$E29:$Z29)=0,0,MAX(0,IF((J$6-$E$3)&lt;1,0,IFERROR(LOOKUP(2,1/('Milho 1ª safra'!$E29:INDEX('Milho 1ª safra'!$E29:$Z29,MIN(J$6-$E$3,22))&lt;&gt;""),'Milho 1ª safra'!$E29:INDEX('Milho 1ª safra'!$E29:$Z29,MIN(J$6-$E$3,22))),0))-IF($G$2,0,IF((J$6-$G$3)&lt;1,0,IFERROR(LOOKUP(2,1/('Milho 1ª safra'!$E29:INDEX('Milho 1ª safra'!$E29:$Z29,MIN(J$6-$G$3,22))&lt;&gt;""),'Milho 1ª safra'!$E29:INDEX('Milho 1ª safra'!$E29:$Z29,MIN(J$6-$G$3,22))),0)))))</f>
        <v>0</v>
      </c>
      <c r="K31" s="27" t="n">
        <f aca="false">IF(COUNT('Milho 1ª safra'!$E29:$Z29)=0,0,MAX(0,IF((K$6-$E$3)&lt;1,0,IFERROR(LOOKUP(2,1/('Milho 1ª safra'!$E29:INDEX('Milho 1ª safra'!$E29:$Z29,MIN(K$6-$E$3,22))&lt;&gt;""),'Milho 1ª safra'!$E29:INDEX('Milho 1ª safra'!$E29:$Z29,MIN(K$6-$E$3,22))),0))-IF($G$2,0,IF((K$6-$G$3)&lt;1,0,IFERROR(LOOKUP(2,1/('Milho 1ª safra'!$E29:INDEX('Milho 1ª safra'!$E29:$Z29,MIN(K$6-$G$3,22))&lt;&gt;""),'Milho 1ª safra'!$E29:INDEX('Milho 1ª safra'!$E29:$Z29,MIN(K$6-$G$3,22))),0)))))</f>
        <v>0</v>
      </c>
      <c r="L31" s="27" t="n">
        <f aca="false">IF(COUNT('Milho 1ª safra'!$E29:$Z29)=0,0,MAX(0,IF((L$6-$E$3)&lt;1,0,IFERROR(LOOKUP(2,1/('Milho 1ª safra'!$E29:INDEX('Milho 1ª safra'!$E29:$Z29,MIN(L$6-$E$3,22))&lt;&gt;""),'Milho 1ª safra'!$E29:INDEX('Milho 1ª safra'!$E29:$Z29,MIN(L$6-$E$3,22))),0))-IF($G$2,0,IF((L$6-$G$3)&lt;1,0,IFERROR(LOOKUP(2,1/('Milho 1ª safra'!$E29:INDEX('Milho 1ª safra'!$E29:$Z29,MIN(L$6-$G$3,22))&lt;&gt;""),'Milho 1ª safra'!$E29:INDEX('Milho 1ª safra'!$E29:$Z29,MIN(L$6-$G$3,22))),0)))))</f>
        <v>0</v>
      </c>
      <c r="M31" s="27" t="n">
        <f aca="false">IF(COUNT('Milho 1ª safra'!$E29:$Z29)=0,0,MAX(0,IF((M$6-$E$3)&lt;1,0,IFERROR(LOOKUP(2,1/('Milho 1ª safra'!$E29:INDEX('Milho 1ª safra'!$E29:$Z29,MIN(M$6-$E$3,22))&lt;&gt;""),'Milho 1ª safra'!$E29:INDEX('Milho 1ª safra'!$E29:$Z29,MIN(M$6-$E$3,22))),0))-IF($G$2,0,IF((M$6-$G$3)&lt;1,0,IFERROR(LOOKUP(2,1/('Milho 1ª safra'!$E29:INDEX('Milho 1ª safra'!$E29:$Z29,MIN(M$6-$G$3,22))&lt;&gt;""),'Milho 1ª safra'!$E29:INDEX('Milho 1ª safra'!$E29:$Z29,MIN(M$6-$G$3,22))),0)))))</f>
        <v>0</v>
      </c>
      <c r="N31" s="27" t="n">
        <f aca="false">IF(COUNT('Milho 1ª safra'!$E29:$Z29)=0,0,MAX(0,IF((N$6-$E$3)&lt;1,0,IFERROR(LOOKUP(2,1/('Milho 1ª safra'!$E29:INDEX('Milho 1ª safra'!$E29:$Z29,MIN(N$6-$E$3,22))&lt;&gt;""),'Milho 1ª safra'!$E29:INDEX('Milho 1ª safra'!$E29:$Z29,MIN(N$6-$E$3,22))),0))-IF($G$2,0,IF((N$6-$G$3)&lt;1,0,IFERROR(LOOKUP(2,1/('Milho 1ª safra'!$E29:INDEX('Milho 1ª safra'!$E29:$Z29,MIN(N$6-$G$3,22))&lt;&gt;""),'Milho 1ª safra'!$E29:INDEX('Milho 1ª safra'!$E29:$Z29,MIN(N$6-$G$3,22))),0)))))</f>
        <v>0</v>
      </c>
      <c r="O31" s="27" t="n">
        <f aca="false">IF(COUNT('Milho 1ª safra'!$E29:$Z29)=0,0,MAX(0,IF((O$6-$E$3)&lt;1,0,IFERROR(LOOKUP(2,1/('Milho 1ª safra'!$E29:INDEX('Milho 1ª safra'!$E29:$Z29,MIN(O$6-$E$3,22))&lt;&gt;""),'Milho 1ª safra'!$E29:INDEX('Milho 1ª safra'!$E29:$Z29,MIN(O$6-$E$3,22))),0))-IF($G$2,0,IF((O$6-$G$3)&lt;1,0,IFERROR(LOOKUP(2,1/('Milho 1ª safra'!$E29:INDEX('Milho 1ª safra'!$E29:$Z29,MIN(O$6-$G$3,22))&lt;&gt;""),'Milho 1ª safra'!$E29:INDEX('Milho 1ª safra'!$E29:$Z29,MIN(O$6-$G$3,22))),0)))))</f>
        <v>0</v>
      </c>
      <c r="P31" s="27" t="n">
        <f aca="false">IF(COUNT('Milho 1ª safra'!$E29:$Z29)=0,0,MAX(0,IF((P$6-$E$3)&lt;1,0,IFERROR(LOOKUP(2,1/('Milho 1ª safra'!$E29:INDEX('Milho 1ª safra'!$E29:$Z29,MIN(P$6-$E$3,22))&lt;&gt;""),'Milho 1ª safra'!$E29:INDEX('Milho 1ª safra'!$E29:$Z29,MIN(P$6-$E$3,22))),0))-IF($G$2,0,IF((P$6-$G$3)&lt;1,0,IFERROR(LOOKUP(2,1/('Milho 1ª safra'!$E29:INDEX('Milho 1ª safra'!$E29:$Z29,MIN(P$6-$G$3,22))&lt;&gt;""),'Milho 1ª safra'!$E29:INDEX('Milho 1ª safra'!$E29:$Z29,MIN(P$6-$G$3,22))),0)))))</f>
        <v>0</v>
      </c>
      <c r="Q31" s="27" t="n">
        <f aca="false">IF(COUNT('Milho 1ª safra'!$E29:$Z29)=0,0,MAX(0,IF((Q$6-$E$3)&lt;1,0,IFERROR(LOOKUP(2,1/('Milho 1ª safra'!$E29:INDEX('Milho 1ª safra'!$E29:$Z29,MIN(Q$6-$E$3,22))&lt;&gt;""),'Milho 1ª safra'!$E29:INDEX('Milho 1ª safra'!$E29:$Z29,MIN(Q$6-$E$3,22))),0))-IF($G$2,0,IF((Q$6-$G$3)&lt;1,0,IFERROR(LOOKUP(2,1/('Milho 1ª safra'!$E29:INDEX('Milho 1ª safra'!$E29:$Z29,MIN(Q$6-$G$3,22))&lt;&gt;""),'Milho 1ª safra'!$E29:INDEX('Milho 1ª safra'!$E29:$Z29,MIN(Q$6-$G$3,22))),0)))))</f>
        <v>0</v>
      </c>
      <c r="R31" s="27" t="n">
        <f aca="false">IF(COUNT('Milho 1ª safra'!$E29:$Z29)=0,0,MAX(0,IF((R$6-$E$3)&lt;1,0,IFERROR(LOOKUP(2,1/('Milho 1ª safra'!$E29:INDEX('Milho 1ª safra'!$E29:$Z29,MIN(R$6-$E$3,22))&lt;&gt;""),'Milho 1ª safra'!$E29:INDEX('Milho 1ª safra'!$E29:$Z29,MIN(R$6-$E$3,22))),0))-IF($G$2,0,IF((R$6-$G$3)&lt;1,0,IFERROR(LOOKUP(2,1/('Milho 1ª safra'!$E29:INDEX('Milho 1ª safra'!$E29:$Z29,MIN(R$6-$G$3,22))&lt;&gt;""),'Milho 1ª safra'!$E29:INDEX('Milho 1ª safra'!$E29:$Z29,MIN(R$6-$G$3,22))),0)))))</f>
        <v>0</v>
      </c>
      <c r="S31" s="27" t="n">
        <f aca="false">IF(COUNT('Milho 1ª safra'!$E29:$Z29)=0,0,MAX(0,IF((S$6-$E$3)&lt;1,0,IFERROR(LOOKUP(2,1/('Milho 1ª safra'!$E29:INDEX('Milho 1ª safra'!$E29:$Z29,MIN(S$6-$E$3,22))&lt;&gt;""),'Milho 1ª safra'!$E29:INDEX('Milho 1ª safra'!$E29:$Z29,MIN(S$6-$E$3,22))),0))-IF($G$2,0,IF((S$6-$G$3)&lt;1,0,IFERROR(LOOKUP(2,1/('Milho 1ª safra'!$E29:INDEX('Milho 1ª safra'!$E29:$Z29,MIN(S$6-$G$3,22))&lt;&gt;""),'Milho 1ª safra'!$E29:INDEX('Milho 1ª safra'!$E29:$Z29,MIN(S$6-$G$3,22))),0)))))</f>
        <v>0</v>
      </c>
      <c r="T31" s="27" t="n">
        <f aca="false">IF(COUNT('Milho 1ª safra'!$E29:$Z29)=0,0,MAX(0,IF((T$6-$E$3)&lt;1,0,IFERROR(LOOKUP(2,1/('Milho 1ª safra'!$E29:INDEX('Milho 1ª safra'!$E29:$Z29,MIN(T$6-$E$3,22))&lt;&gt;""),'Milho 1ª safra'!$E29:INDEX('Milho 1ª safra'!$E29:$Z29,MIN(T$6-$E$3,22))),0))-IF($G$2,0,IF((T$6-$G$3)&lt;1,0,IFERROR(LOOKUP(2,1/('Milho 1ª safra'!$E29:INDEX('Milho 1ª safra'!$E29:$Z29,MIN(T$6-$G$3,22))&lt;&gt;""),'Milho 1ª safra'!$E29:INDEX('Milho 1ª safra'!$E29:$Z29,MIN(T$6-$G$3,22))),0)))))</f>
        <v>0</v>
      </c>
      <c r="U31" s="27" t="n">
        <f aca="false">IF(COUNT('Milho 1ª safra'!$E29:$Z29)=0,0,MAX(0,IF((U$6-$E$3)&lt;1,0,IFERROR(LOOKUP(2,1/('Milho 1ª safra'!$E29:INDEX('Milho 1ª safra'!$E29:$Z29,MIN(U$6-$E$3,22))&lt;&gt;""),'Milho 1ª safra'!$E29:INDEX('Milho 1ª safra'!$E29:$Z29,MIN(U$6-$E$3,22))),0))-IF($G$2,0,IF((U$6-$G$3)&lt;1,0,IFERROR(LOOKUP(2,1/('Milho 1ª safra'!$E29:INDEX('Milho 1ª safra'!$E29:$Z29,MIN(U$6-$G$3,22))&lt;&gt;""),'Milho 1ª safra'!$E29:INDEX('Milho 1ª safra'!$E29:$Z29,MIN(U$6-$G$3,22))),0)))))</f>
        <v>0</v>
      </c>
      <c r="V31" s="27" t="n">
        <f aca="false">IF(COUNT('Milho 1ª safra'!$E29:$Z29)=0,0,MAX(0,IF((V$6-$E$3)&lt;1,0,IFERROR(LOOKUP(2,1/('Milho 1ª safra'!$E29:INDEX('Milho 1ª safra'!$E29:$Z29,MIN(V$6-$E$3,22))&lt;&gt;""),'Milho 1ª safra'!$E29:INDEX('Milho 1ª safra'!$E29:$Z29,MIN(V$6-$E$3,22))),0))-IF($G$2,0,IF((V$6-$G$3)&lt;1,0,IFERROR(LOOKUP(2,1/('Milho 1ª safra'!$E29:INDEX('Milho 1ª safra'!$E29:$Z29,MIN(V$6-$G$3,22))&lt;&gt;""),'Milho 1ª safra'!$E29:INDEX('Milho 1ª safra'!$E29:$Z29,MIN(V$6-$G$3,22))),0)))))</f>
        <v>0</v>
      </c>
      <c r="W31" s="27" t="n">
        <f aca="false">IF(COUNT('Milho 1ª safra'!$E29:$Z29)=0,0,MAX(0,IF((W$6-$E$3)&lt;1,0,IFERROR(LOOKUP(2,1/('Milho 1ª safra'!$E29:INDEX('Milho 1ª safra'!$E29:$Z29,MIN(W$6-$E$3,22))&lt;&gt;""),'Milho 1ª safra'!$E29:INDEX('Milho 1ª safra'!$E29:$Z29,MIN(W$6-$E$3,22))),0))-IF($G$2,0,IF((W$6-$G$3)&lt;1,0,IFERROR(LOOKUP(2,1/('Milho 1ª safra'!$E29:INDEX('Milho 1ª safra'!$E29:$Z29,MIN(W$6-$G$3,22))&lt;&gt;""),'Milho 1ª safra'!$E29:INDEX('Milho 1ª safra'!$E29:$Z29,MIN(W$6-$G$3,22))),0)))))</f>
        <v>0</v>
      </c>
      <c r="X31" s="27" t="n">
        <f aca="false">IF(COUNT('Milho 1ª safra'!$E29:$Z29)=0,0,MAX(0,IF((X$6-$E$3)&lt;1,0,IFERROR(LOOKUP(2,1/('Milho 1ª safra'!$E29:INDEX('Milho 1ª safra'!$E29:$Z29,MIN(X$6-$E$3,22))&lt;&gt;""),'Milho 1ª safra'!$E29:INDEX('Milho 1ª safra'!$E29:$Z29,MIN(X$6-$E$3,22))),0))-IF($G$2,0,IF((X$6-$G$3)&lt;1,0,IFERROR(LOOKUP(2,1/('Milho 1ª safra'!$E29:INDEX('Milho 1ª safra'!$E29:$Z29,MIN(X$6-$G$3,22))&lt;&gt;""),'Milho 1ª safra'!$E29:INDEX('Milho 1ª safra'!$E29:$Z29,MIN(X$6-$G$3,22))),0)))))</f>
        <v>0</v>
      </c>
      <c r="Y31" s="27" t="n">
        <f aca="false">IF(COUNT('Milho 1ª safra'!$E29:$Z29)=0,0,MAX(0,IF((Y$6-$E$3)&lt;1,0,IFERROR(LOOKUP(2,1/('Milho 1ª safra'!$E29:INDEX('Milho 1ª safra'!$E29:$Z29,MIN(Y$6-$E$3,22))&lt;&gt;""),'Milho 1ª safra'!$E29:INDEX('Milho 1ª safra'!$E29:$Z29,MIN(Y$6-$E$3,22))),0))-IF($G$2,0,IF((Y$6-$G$3)&lt;1,0,IFERROR(LOOKUP(2,1/('Milho 1ª safra'!$E29:INDEX('Milho 1ª safra'!$E29:$Z29,MIN(Y$6-$G$3,22))&lt;&gt;""),'Milho 1ª safra'!$E29:INDEX('Milho 1ª safra'!$E29:$Z29,MIN(Y$6-$G$3,22))),0)))))</f>
        <v>0</v>
      </c>
      <c r="Z31" s="27" t="n">
        <f aca="false">IF(COUNT('Milho 1ª safra'!$E29:$Z29)=0,0,MAX(0,IF((Z$6-$E$3)&lt;1,0,IFERROR(LOOKUP(2,1/('Milho 1ª safra'!$E29:INDEX('Milho 1ª safra'!$E29:$Z29,MIN(Z$6-$E$3,22))&lt;&gt;""),'Milho 1ª safra'!$E29:INDEX('Milho 1ª safra'!$E29:$Z29,MIN(Z$6-$E$3,22))),0))-IF($G$2,0,IF((Z$6-$G$3)&lt;1,0,IFERROR(LOOKUP(2,1/('Milho 1ª safra'!$E29:INDEX('Milho 1ª safra'!$E29:$Z29,MIN(Z$6-$G$3,22))&lt;&gt;""),'Milho 1ª safra'!$E29:INDEX('Milho 1ª safra'!$E29:$Z29,MIN(Z$6-$G$3,22))),0)))))</f>
        <v>0</v>
      </c>
      <c r="AA31" s="27" t="n">
        <f aca="false">IF(COUNT('Milho 1ª safra'!$E29:$Z29)=0,0,MAX(0,IF((AA$6-$E$3)&lt;1,0,IFERROR(LOOKUP(2,1/('Milho 1ª safra'!$E29:INDEX('Milho 1ª safra'!$E29:$Z29,MIN(AA$6-$E$3,22))&lt;&gt;""),'Milho 1ª safra'!$E29:INDEX('Milho 1ª safra'!$E29:$Z29,MIN(AA$6-$E$3,22))),0))-IF($G$2,0,IF((AA$6-$G$3)&lt;1,0,IFERROR(LOOKUP(2,1/('Milho 1ª safra'!$E29:INDEX('Milho 1ª safra'!$E29:$Z29,MIN(AA$6-$G$3,22))&lt;&gt;""),'Milho 1ª safra'!$E29:INDEX('Milho 1ª safra'!$E29:$Z29,MIN(AA$6-$G$3,22))),0)))))</f>
        <v>0</v>
      </c>
      <c r="AB31" s="27" t="n">
        <f aca="false">IF(COUNT('Milho 1ª safra'!$E29:$Z29)=0,0,MAX(0,IF((AB$6-$E$3)&lt;1,0,IFERROR(LOOKUP(2,1/('Milho 1ª safra'!$E29:INDEX('Milho 1ª safra'!$E29:$Z29,MIN(AB$6-$E$3,22))&lt;&gt;""),'Milho 1ª safra'!$E29:INDEX('Milho 1ª safra'!$E29:$Z29,MIN(AB$6-$E$3,22))),0))-IF($G$2,0,IF((AB$6-$G$3)&lt;1,0,IFERROR(LOOKUP(2,1/('Milho 1ª safra'!$E29:INDEX('Milho 1ª safra'!$E29:$Z29,MIN(AB$6-$G$3,22))&lt;&gt;""),'Milho 1ª safra'!$E29:INDEX('Milho 1ª safra'!$E29:$Z29,MIN(AB$6-$G$3,22))),0)))))</f>
        <v>0</v>
      </c>
      <c r="AC31" s="27" t="n">
        <f aca="false">IF(COUNT('Milho 1ª safra'!$E29:$Z29)=0,0,MAX(0,IF((AC$6-$E$3)&lt;1,0,IFERROR(LOOKUP(2,1/('Milho 1ª safra'!$E29:INDEX('Milho 1ª safra'!$E29:$Z29,MIN(AC$6-$E$3,22))&lt;&gt;""),'Milho 1ª safra'!$E29:INDEX('Milho 1ª safra'!$E29:$Z29,MIN(AC$6-$E$3,22))),0))-IF($G$2,0,IF((AC$6-$G$3)&lt;1,0,IFERROR(LOOKUP(2,1/('Milho 1ª safra'!$E29:INDEX('Milho 1ª safra'!$E29:$Z29,MIN(AC$6-$G$3,22))&lt;&gt;""),'Milho 1ª safra'!$E29:INDEX('Milho 1ª safra'!$E29:$Z29,MIN(AC$6-$G$3,22))),0)))))</f>
        <v>0</v>
      </c>
      <c r="AD31" s="27" t="n">
        <f aca="false">IF(COUNT('Milho 1ª safra'!$E29:$Z29)=0,0,MAX(0,IF((AD$6-$E$3)&lt;1,0,IFERROR(LOOKUP(2,1/('Milho 1ª safra'!$E29:INDEX('Milho 1ª safra'!$E29:$Z29,MIN(AD$6-$E$3,22))&lt;&gt;""),'Milho 1ª safra'!$E29:INDEX('Milho 1ª safra'!$E29:$Z29,MIN(AD$6-$E$3,22))),0))-IF($G$2,0,IF((AD$6-$G$3)&lt;1,0,IFERROR(LOOKUP(2,1/('Milho 1ª safra'!$E29:INDEX('Milho 1ª safra'!$E29:$Z29,MIN(AD$6-$G$3,22))&lt;&gt;""),'Milho 1ª safra'!$E29:INDEX('Milho 1ª safra'!$E29:$Z29,MIN(AD$6-$G$3,22))),0)))))</f>
        <v>0</v>
      </c>
      <c r="AE31" s="27" t="n">
        <f aca="false">IF(COUNT('Milho 1ª safra'!$E29:$Z29)=0,0,MAX(0,IF((AE$6-$E$3)&lt;1,0,IFERROR(LOOKUP(2,1/('Milho 1ª safra'!$E29:INDEX('Milho 1ª safra'!$E29:$Z29,MIN(AE$6-$E$3,22))&lt;&gt;""),'Milho 1ª safra'!$E29:INDEX('Milho 1ª safra'!$E29:$Z29,MIN(AE$6-$E$3,22))),0))-IF($G$2,0,IF((AE$6-$G$3)&lt;1,0,IFERROR(LOOKUP(2,1/('Milho 1ª safra'!$E29:INDEX('Milho 1ª safra'!$E29:$Z29,MIN(AE$6-$G$3,22))&lt;&gt;""),'Milho 1ª safra'!$E29:INDEX('Milho 1ª safra'!$E29:$Z29,MIN(AE$6-$G$3,22))),0)))))</f>
        <v>0</v>
      </c>
      <c r="AF31" s="27" t="n">
        <f aca="false">IF(COUNT('Milho 1ª safra'!$E29:$Z29)=0,0,MAX(0,IF((AF$6-$E$3)&lt;1,0,IFERROR(LOOKUP(2,1/('Milho 1ª safra'!$E29:INDEX('Milho 1ª safra'!$E29:$Z29,MIN(AF$6-$E$3,22))&lt;&gt;""),'Milho 1ª safra'!$E29:INDEX('Milho 1ª safra'!$E29:$Z29,MIN(AF$6-$E$3,22))),0))-IF($G$2,0,IF((AF$6-$G$3)&lt;1,0,IFERROR(LOOKUP(2,1/('Milho 1ª safra'!$E29:INDEX('Milho 1ª safra'!$E29:$Z29,MIN(AF$6-$G$3,22))&lt;&gt;""),'Milho 1ª safra'!$E29:INDEX('Milho 1ª safra'!$E29:$Z29,MIN(AF$6-$G$3,22))),0)))))</f>
        <v>0</v>
      </c>
      <c r="AG31" s="27" t="n">
        <f aca="false">IF(COUNT('Milho 1ª safra'!$E29:$Z29)=0,0,MAX(0,IF((AG$6-$E$3)&lt;1,0,IFERROR(LOOKUP(2,1/('Milho 1ª safra'!$E29:INDEX('Milho 1ª safra'!$E29:$Z29,MIN(AG$6-$E$3,22))&lt;&gt;""),'Milho 1ª safra'!$E29:INDEX('Milho 1ª safra'!$E29:$Z29,MIN(AG$6-$E$3,22))),0))-IF($G$2,0,IF((AG$6-$G$3)&lt;1,0,IFERROR(LOOKUP(2,1/('Milho 1ª safra'!$E29:INDEX('Milho 1ª safra'!$E29:$Z29,MIN(AG$6-$G$3,22))&lt;&gt;""),'Milho 1ª safra'!$E29:INDEX('Milho 1ª safra'!$E29:$Z29,MIN(AG$6-$G$3,22))),0)))))</f>
        <v>0</v>
      </c>
      <c r="AH31" s="27" t="n">
        <f aca="false">IF(COUNT('Milho 1ª safra'!$E29:$Z29)=0,0,MAX(0,IF((AH$6-$E$3)&lt;1,0,IFERROR(LOOKUP(2,1/('Milho 1ª safra'!$E29:INDEX('Milho 1ª safra'!$E29:$Z29,MIN(AH$6-$E$3,22))&lt;&gt;""),'Milho 1ª safra'!$E29:INDEX('Milho 1ª safra'!$E29:$Z29,MIN(AH$6-$E$3,22))),0))-IF($G$2,0,IF((AH$6-$G$3)&lt;1,0,IFERROR(LOOKUP(2,1/('Milho 1ª safra'!$E29:INDEX('Milho 1ª safra'!$E29:$Z29,MIN(AH$6-$G$3,22))&lt;&gt;""),'Milho 1ª safra'!$E29:INDEX('Milho 1ª safra'!$E29:$Z29,MIN(AH$6-$G$3,22))),0)))))</f>
        <v>0</v>
      </c>
      <c r="AI31" s="27" t="n">
        <f aca="false">IF(COUNT('Milho 1ª safra'!$E29:$Z29)=0,0,MAX(0,IF((AI$6-$E$3)&lt;1,0,IFERROR(LOOKUP(2,1/('Milho 1ª safra'!$E29:INDEX('Milho 1ª safra'!$E29:$Z29,MIN(AI$6-$E$3,22))&lt;&gt;""),'Milho 1ª safra'!$E29:INDEX('Milho 1ª safra'!$E29:$Z29,MIN(AI$6-$E$3,22))),0))-IF($G$2,0,IF((AI$6-$G$3)&lt;1,0,IFERROR(LOOKUP(2,1/('Milho 1ª safra'!$E29:INDEX('Milho 1ª safra'!$E29:$Z29,MIN(AI$6-$G$3,22))&lt;&gt;""),'Milho 1ª safra'!$E29:INDEX('Milho 1ª safra'!$E29:$Z29,MIN(AI$6-$G$3,22))),0)))))</f>
        <v>0</v>
      </c>
      <c r="AJ31" s="27" t="n">
        <f aca="false">IF(COUNT('Milho 1ª safra'!$E29:$Z29)=0,0,MAX(0,IF((AJ$6-$E$3)&lt;1,0,IFERROR(LOOKUP(2,1/('Milho 1ª safra'!$E29:INDEX('Milho 1ª safra'!$E29:$Z29,MIN(AJ$6-$E$3,22))&lt;&gt;""),'Milho 1ª safra'!$E29:INDEX('Milho 1ª safra'!$E29:$Z29,MIN(AJ$6-$E$3,22))),0))-IF($G$2,0,IF((AJ$6-$G$3)&lt;1,0,IFERROR(LOOKUP(2,1/('Milho 1ª safra'!$E29:INDEX('Milho 1ª safra'!$E29:$Z29,MIN(AJ$6-$G$3,22))&lt;&gt;""),'Milho 1ª safra'!$E29:INDEX('Milho 1ª safra'!$E29:$Z29,MIN(AJ$6-$G$3,22))),0)))))</f>
        <v>0</v>
      </c>
      <c r="AK31" s="27" t="n">
        <f aca="false">IF(COUNT('Milho 1ª safra'!$E29:$Z29)=0,0,MAX(0,IF((AK$6-$E$3)&lt;1,0,IFERROR(LOOKUP(2,1/('Milho 1ª safra'!$E29:INDEX('Milho 1ª safra'!$E29:$Z29,MIN(AK$6-$E$3,22))&lt;&gt;""),'Milho 1ª safra'!$E29:INDEX('Milho 1ª safra'!$E29:$Z29,MIN(AK$6-$E$3,22))),0))-IF($G$2,0,IF((AK$6-$G$3)&lt;1,0,IFERROR(LOOKUP(2,1/('Milho 1ª safra'!$E29:INDEX('Milho 1ª safra'!$E29:$Z29,MIN(AK$6-$G$3,22))&lt;&gt;""),'Milho 1ª safra'!$E29:INDEX('Milho 1ª safra'!$E29:$Z29,MIN(AK$6-$G$3,22))),0)))))</f>
        <v>0</v>
      </c>
      <c r="AL31" s="27" t="n">
        <f aca="false">IF(COUNT('Milho 1ª safra'!$E29:$Z29)=0,0,MAX(0,IF((AL$6-$E$3)&lt;1,0,IFERROR(LOOKUP(2,1/('Milho 1ª safra'!$E29:INDEX('Milho 1ª safra'!$E29:$Z29,MIN(AL$6-$E$3,22))&lt;&gt;""),'Milho 1ª safra'!$E29:INDEX('Milho 1ª safra'!$E29:$Z29,MIN(AL$6-$E$3,22))),0))-IF($G$2,0,IF((AL$6-$G$3)&lt;1,0,IFERROR(LOOKUP(2,1/('Milho 1ª safra'!$E29:INDEX('Milho 1ª safra'!$E29:$Z29,MIN(AL$6-$G$3,22))&lt;&gt;""),'Milho 1ª safra'!$E29:INDEX('Milho 1ª safra'!$E29:$Z29,MIN(AL$6-$G$3,22))),0)))))</f>
        <v>0</v>
      </c>
      <c r="AM31" s="27" t="n">
        <f aca="false">IF(COUNT('Milho 1ª safra'!$E29:$Z29)=0,0,MAX(0,IF((AM$6-$E$3)&lt;1,0,IFERROR(LOOKUP(2,1/('Milho 1ª safra'!$E29:INDEX('Milho 1ª safra'!$E29:$Z29,MIN(AM$6-$E$3,22))&lt;&gt;""),'Milho 1ª safra'!$E29:INDEX('Milho 1ª safra'!$E29:$Z29,MIN(AM$6-$E$3,22))),0))-IF($G$2,0,IF((AM$6-$G$3)&lt;1,0,IFERROR(LOOKUP(2,1/('Milho 1ª safra'!$E29:INDEX('Milho 1ª safra'!$E29:$Z29,MIN(AM$6-$G$3,22))&lt;&gt;""),'Milho 1ª safra'!$E29:INDEX('Milho 1ª safra'!$E29:$Z29,MIN(AM$6-$G$3,22))),0)))))</f>
        <v>0</v>
      </c>
      <c r="AN31" s="27" t="n">
        <f aca="false">IF(COUNT('Milho 1ª safra'!$E29:$Z29)=0,0,MAX(0,IF((AN$6-$E$3)&lt;1,0,IFERROR(LOOKUP(2,1/('Milho 1ª safra'!$E29:INDEX('Milho 1ª safra'!$E29:$Z29,MIN(AN$6-$E$3,22))&lt;&gt;""),'Milho 1ª safra'!$E29:INDEX('Milho 1ª safra'!$E29:$Z29,MIN(AN$6-$E$3,22))),0))-IF($G$2,0,IF((AN$6-$G$3)&lt;1,0,IFERROR(LOOKUP(2,1/('Milho 1ª safra'!$E29:INDEX('Milho 1ª safra'!$E29:$Z29,MIN(AN$6-$G$3,22))&lt;&gt;""),'Milho 1ª safra'!$E29:INDEX('Milho 1ª safra'!$E29:$Z29,MIN(AN$6-$G$3,22))),0)))))</f>
        <v>0</v>
      </c>
      <c r="AO31" s="27" t="n">
        <f aca="false">IF(COUNT('Milho 1ª safra'!$E29:$Z29)=0,0,MAX(0,IF((AO$6-$E$3)&lt;1,0,IFERROR(LOOKUP(2,1/('Milho 1ª safra'!$E29:INDEX('Milho 1ª safra'!$E29:$Z29,MIN(AO$6-$E$3,22))&lt;&gt;""),'Milho 1ª safra'!$E29:INDEX('Milho 1ª safra'!$E29:$Z29,MIN(AO$6-$E$3,22))),0))-IF($G$2,0,IF((AO$6-$G$3)&lt;1,0,IFERROR(LOOKUP(2,1/('Milho 1ª safra'!$E29:INDEX('Milho 1ª safra'!$E29:$Z29,MIN(AO$6-$G$3,22))&lt;&gt;""),'Milho 1ª safra'!$E29:INDEX('Milho 1ª safra'!$E29:$Z29,MIN(AO$6-$G$3,22))),0)))))</f>
        <v>0</v>
      </c>
      <c r="AP31" s="27" t="n">
        <f aca="false">IF(COUNT('Milho 1ª safra'!$E29:$Z29)=0,0,MAX(0,IF((AP$6-$E$3)&lt;1,0,IFERROR(LOOKUP(2,1/('Milho 1ª safra'!$E29:INDEX('Milho 1ª safra'!$E29:$Z29,MIN(AP$6-$E$3,22))&lt;&gt;""),'Milho 1ª safra'!$E29:INDEX('Milho 1ª safra'!$E29:$Z29,MIN(AP$6-$E$3,22))),0))-IF($G$2,0,IF((AP$6-$G$3)&lt;1,0,IFERROR(LOOKUP(2,1/('Milho 1ª safra'!$E29:INDEX('Milho 1ª safra'!$E29:$Z29,MIN(AP$6-$G$3,22))&lt;&gt;""),'Milho 1ª safra'!$E29:INDEX('Milho 1ª safra'!$E29:$Z29,MIN(AP$6-$G$3,22))),0)))))</f>
        <v>0</v>
      </c>
      <c r="AQ31" s="27" t="n">
        <f aca="false">IF(COUNT('Milho 1ª safra'!$E29:$Z29)=0,0,MAX(0,IF((AQ$6-$E$3)&lt;1,0,IFERROR(LOOKUP(2,1/('Milho 1ª safra'!$E29:INDEX('Milho 1ª safra'!$E29:$Z29,MIN(AQ$6-$E$3,22))&lt;&gt;""),'Milho 1ª safra'!$E29:INDEX('Milho 1ª safra'!$E29:$Z29,MIN(AQ$6-$E$3,22))),0))-IF($G$2,0,IF((AQ$6-$G$3)&lt;1,0,IFERROR(LOOKUP(2,1/('Milho 1ª safra'!$E29:INDEX('Milho 1ª safra'!$E29:$Z29,MIN(AQ$6-$G$3,22))&lt;&gt;""),'Milho 1ª safra'!$E29:INDEX('Milho 1ª safra'!$E29:$Z29,MIN(AQ$6-$G$3,22))),0)))))</f>
        <v>0</v>
      </c>
      <c r="AR31" s="27" t="n">
        <f aca="false">IF(COUNT('Milho 1ª safra'!$E29:$Z29)=0,0,MAX(0,IF((AR$6-$E$3)&lt;1,0,IFERROR(LOOKUP(2,1/('Milho 1ª safra'!$E29:INDEX('Milho 1ª safra'!$E29:$Z29,MIN(AR$6-$E$3,22))&lt;&gt;""),'Milho 1ª safra'!$E29:INDEX('Milho 1ª safra'!$E29:$Z29,MIN(AR$6-$E$3,22))),0))-IF($G$2,0,IF((AR$6-$G$3)&lt;1,0,IFERROR(LOOKUP(2,1/('Milho 1ª safra'!$E29:INDEX('Milho 1ª safra'!$E29:$Z29,MIN(AR$6-$G$3,22))&lt;&gt;""),'Milho 1ª safra'!$E29:INDEX('Milho 1ª safra'!$E29:$Z29,MIN(AR$6-$G$3,22))),0)))))</f>
        <v>0</v>
      </c>
      <c r="AS31" s="27" t="n">
        <f aca="false">IF(COUNT('Milho 1ª safra'!$E29:$Z29)=0,0,MAX(0,IF((AS$6-$E$3)&lt;1,0,IFERROR(LOOKUP(2,1/('Milho 1ª safra'!$E29:INDEX('Milho 1ª safra'!$E29:$Z29,MIN(AS$6-$E$3,22))&lt;&gt;""),'Milho 1ª safra'!$E29:INDEX('Milho 1ª safra'!$E29:$Z29,MIN(AS$6-$E$3,22))),0))-IF($G$2,0,IF((AS$6-$G$3)&lt;1,0,IFERROR(LOOKUP(2,1/('Milho 1ª safra'!$E29:INDEX('Milho 1ª safra'!$E29:$Z29,MIN(AS$6-$G$3,22))&lt;&gt;""),'Milho 1ª safra'!$E29:INDEX('Milho 1ª safra'!$E29:$Z29,MIN(AS$6-$G$3,22))),0)))))</f>
        <v>0</v>
      </c>
      <c r="AT31" s="27" t="n">
        <f aca="false">IF(COUNT('Milho 1ª safra'!$E29:$Z29)=0,0,MAX(0,IF((AT$6-$E$3)&lt;1,0,IFERROR(LOOKUP(2,1/('Milho 1ª safra'!$E29:INDEX('Milho 1ª safra'!$E29:$Z29,MIN(AT$6-$E$3,22))&lt;&gt;""),'Milho 1ª safra'!$E29:INDEX('Milho 1ª safra'!$E29:$Z29,MIN(AT$6-$E$3,22))),0))-IF($G$2,0,IF((AT$6-$G$3)&lt;1,0,IFERROR(LOOKUP(2,1/('Milho 1ª safra'!$E29:INDEX('Milho 1ª safra'!$E29:$Z29,MIN(AT$6-$G$3,22))&lt;&gt;""),'Milho 1ª safra'!$E29:INDEX('Milho 1ª safra'!$E29:$Z29,MIN(AT$6-$G$3,22))),0)))))</f>
        <v>0</v>
      </c>
      <c r="AU31" s="27" t="n">
        <f aca="false">IF(COUNT('Milho 1ª safra'!$E29:$Z29)=0,0,MAX(0,IF((AU$6-$E$3)&lt;1,0,IFERROR(LOOKUP(2,1/('Milho 1ª safra'!$E29:INDEX('Milho 1ª safra'!$E29:$Z29,MIN(AU$6-$E$3,22))&lt;&gt;""),'Milho 1ª safra'!$E29:INDEX('Milho 1ª safra'!$E29:$Z29,MIN(AU$6-$E$3,22))),0))-IF($G$2,0,IF((AU$6-$G$3)&lt;1,0,IFERROR(LOOKUP(2,1/('Milho 1ª safra'!$E29:INDEX('Milho 1ª safra'!$E29:$Z29,MIN(AU$6-$G$3,22))&lt;&gt;""),'Milho 1ª safra'!$E29:INDEX('Milho 1ª safra'!$E29:$Z29,MIN(AU$6-$G$3,22))),0)))))</f>
        <v>0</v>
      </c>
      <c r="AV31" s="27" t="n">
        <f aca="false">IF(COUNT('Milho 1ª safra'!$E29:$Z29)=0,0,MAX(0,IF((AV$6-$E$3)&lt;1,0,IFERROR(LOOKUP(2,1/('Milho 1ª safra'!$E29:INDEX('Milho 1ª safra'!$E29:$Z29,MIN(AV$6-$E$3,22))&lt;&gt;""),'Milho 1ª safra'!$E29:INDEX('Milho 1ª safra'!$E29:$Z29,MIN(AV$6-$E$3,22))),0))-IF($G$2,0,IF((AV$6-$G$3)&lt;1,0,IFERROR(LOOKUP(2,1/('Milho 1ª safra'!$E29:INDEX('Milho 1ª safra'!$E29:$Z29,MIN(AV$6-$G$3,22))&lt;&gt;""),'Milho 1ª safra'!$E29:INDEX('Milho 1ª safra'!$E29:$Z29,MIN(AV$6-$G$3,22))),0)))))</f>
        <v>0</v>
      </c>
      <c r="AW31" s="27" t="n">
        <f aca="false">IF(COUNT('Milho 1ª safra'!$E29:$Z29)=0,0,MAX(0,IF((AW$6-$E$3)&lt;1,0,IFERROR(LOOKUP(2,1/('Milho 1ª safra'!$E29:INDEX('Milho 1ª safra'!$E29:$Z29,MIN(AW$6-$E$3,22))&lt;&gt;""),'Milho 1ª safra'!$E29:INDEX('Milho 1ª safra'!$E29:$Z29,MIN(AW$6-$E$3,22))),0))-IF($G$2,0,IF((AW$6-$G$3)&lt;1,0,IFERROR(LOOKUP(2,1/('Milho 1ª safra'!$E29:INDEX('Milho 1ª safra'!$E29:$Z29,MIN(AW$6-$G$3,22))&lt;&gt;""),'Milho 1ª safra'!$E29:INDEX('Milho 1ª safra'!$E29:$Z29,MIN(AW$6-$G$3,22))),0)))))</f>
        <v>0</v>
      </c>
      <c r="AX31" s="27" t="n">
        <f aca="false">IF(COUNT('Milho 1ª safra'!$E29:$Z29)=0,0,MAX(0,IF((AX$6-$E$3)&lt;1,0,IFERROR(LOOKUP(2,1/('Milho 1ª safra'!$E29:INDEX('Milho 1ª safra'!$E29:$Z29,MIN(AX$6-$E$3,22))&lt;&gt;""),'Milho 1ª safra'!$E29:INDEX('Milho 1ª safra'!$E29:$Z29,MIN(AX$6-$E$3,22))),0))-IF($G$2,0,IF((AX$6-$G$3)&lt;1,0,IFERROR(LOOKUP(2,1/('Milho 1ª safra'!$E29:INDEX('Milho 1ª safra'!$E29:$Z29,MIN(AX$6-$G$3,22))&lt;&gt;""),'Milho 1ª safra'!$E29:INDEX('Milho 1ª safra'!$E29:$Z29,MIN(AX$6-$G$3,22))),0)))))</f>
        <v>0</v>
      </c>
      <c r="AY31" s="27" t="n">
        <f aca="false">IF(COUNT('Milho 1ª safra'!$E29:$Z29)=0,0,MAX(0,IF((AY$6-$E$3)&lt;1,0,IFERROR(LOOKUP(2,1/('Milho 1ª safra'!$E29:INDEX('Milho 1ª safra'!$E29:$Z29,MIN(AY$6-$E$3,22))&lt;&gt;""),'Milho 1ª safra'!$E29:INDEX('Milho 1ª safra'!$E29:$Z29,MIN(AY$6-$E$3,22))),0))-IF($G$2,0,IF((AY$6-$G$3)&lt;1,0,IFERROR(LOOKUP(2,1/('Milho 1ª safra'!$E29:INDEX('Milho 1ª safra'!$E29:$Z29,MIN(AY$6-$G$3,22))&lt;&gt;""),'Milho 1ª safra'!$E29:INDEX('Milho 1ª safra'!$E29:$Z29,MIN(AY$6-$G$3,22))),0)))))</f>
        <v>0</v>
      </c>
      <c r="AZ31" s="27" t="n">
        <f aca="false">IF(COUNT('Milho 1ª safra'!$E29:$Z29)=0,0,MAX(0,IF((AZ$6-$E$3)&lt;1,0,IFERROR(LOOKUP(2,1/('Milho 1ª safra'!$E29:INDEX('Milho 1ª safra'!$E29:$Z29,MIN(AZ$6-$E$3,22))&lt;&gt;""),'Milho 1ª safra'!$E29:INDEX('Milho 1ª safra'!$E29:$Z29,MIN(AZ$6-$E$3,22))),0))-IF($G$2,0,IF((AZ$6-$G$3)&lt;1,0,IFERROR(LOOKUP(2,1/('Milho 1ª safra'!$E29:INDEX('Milho 1ª safra'!$E29:$Z29,MIN(AZ$6-$G$3,22))&lt;&gt;""),'Milho 1ª safra'!$E29:INDEX('Milho 1ª safra'!$E29:$Z29,MIN(AZ$6-$G$3,22))),0)))))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IF(COUNT('Milho 1ª safra'!$E30:$Z30)&gt;0,N('Milho 1ª safra'!$D30),0)</f>
        <v>0</v>
      </c>
      <c r="E32" s="27" t="n">
        <f aca="false">IF(COUNT('Milho 1ª safra'!$E30:$Z30)=0,0,MAX(0,IF((E$6-$E$3)&lt;1,0,IFERROR(LOOKUP(2,1/('Milho 1ª safra'!$E30:INDEX('Milho 1ª safra'!$E30:$Z30,MIN(E$6-$E$3,22))&lt;&gt;""),'Milho 1ª safra'!$E30:INDEX('Milho 1ª safra'!$E30:$Z30,MIN(E$6-$E$3,22))),0))-IF($G$2,0,IF((E$6-$G$3)&lt;1,0,IFERROR(LOOKUP(2,1/('Milho 1ª safra'!$E30:INDEX('Milho 1ª safra'!$E30:$Z30,MIN(E$6-$G$3,22))&lt;&gt;""),'Milho 1ª safra'!$E30:INDEX('Milho 1ª safra'!$E30:$Z30,MIN(E$6-$G$3,22))),0)))))</f>
        <v>0</v>
      </c>
      <c r="F32" s="27" t="n">
        <f aca="false">IF(COUNT('Milho 1ª safra'!$E30:$Z30)=0,0,MAX(0,IF((F$6-$E$3)&lt;1,0,IFERROR(LOOKUP(2,1/('Milho 1ª safra'!$E30:INDEX('Milho 1ª safra'!$E30:$Z30,MIN(F$6-$E$3,22))&lt;&gt;""),'Milho 1ª safra'!$E30:INDEX('Milho 1ª safra'!$E30:$Z30,MIN(F$6-$E$3,22))),0))-IF($G$2,0,IF((F$6-$G$3)&lt;1,0,IFERROR(LOOKUP(2,1/('Milho 1ª safra'!$E30:INDEX('Milho 1ª safra'!$E30:$Z30,MIN(F$6-$G$3,22))&lt;&gt;""),'Milho 1ª safra'!$E30:INDEX('Milho 1ª safra'!$E30:$Z30,MIN(F$6-$G$3,22))),0)))))</f>
        <v>0</v>
      </c>
      <c r="G32" s="27" t="n">
        <f aca="false">IF(COUNT('Milho 1ª safra'!$E30:$Z30)=0,0,MAX(0,IF((G$6-$E$3)&lt;1,0,IFERROR(LOOKUP(2,1/('Milho 1ª safra'!$E30:INDEX('Milho 1ª safra'!$E30:$Z30,MIN(G$6-$E$3,22))&lt;&gt;""),'Milho 1ª safra'!$E30:INDEX('Milho 1ª safra'!$E30:$Z30,MIN(G$6-$E$3,22))),0))-IF($G$2,0,IF((G$6-$G$3)&lt;1,0,IFERROR(LOOKUP(2,1/('Milho 1ª safra'!$E30:INDEX('Milho 1ª safra'!$E30:$Z30,MIN(G$6-$G$3,22))&lt;&gt;""),'Milho 1ª safra'!$E30:INDEX('Milho 1ª safra'!$E30:$Z30,MIN(G$6-$G$3,22))),0)))))</f>
        <v>0</v>
      </c>
      <c r="H32" s="27" t="n">
        <f aca="false">IF(COUNT('Milho 1ª safra'!$E30:$Z30)=0,0,MAX(0,IF((H$6-$E$3)&lt;1,0,IFERROR(LOOKUP(2,1/('Milho 1ª safra'!$E30:INDEX('Milho 1ª safra'!$E30:$Z30,MIN(H$6-$E$3,22))&lt;&gt;""),'Milho 1ª safra'!$E30:INDEX('Milho 1ª safra'!$E30:$Z30,MIN(H$6-$E$3,22))),0))-IF($G$2,0,IF((H$6-$G$3)&lt;1,0,IFERROR(LOOKUP(2,1/('Milho 1ª safra'!$E30:INDEX('Milho 1ª safra'!$E30:$Z30,MIN(H$6-$G$3,22))&lt;&gt;""),'Milho 1ª safra'!$E30:INDEX('Milho 1ª safra'!$E30:$Z30,MIN(H$6-$G$3,22))),0)))))</f>
        <v>0</v>
      </c>
      <c r="I32" s="27" t="n">
        <f aca="false">IF(COUNT('Milho 1ª safra'!$E30:$Z30)=0,0,MAX(0,IF((I$6-$E$3)&lt;1,0,IFERROR(LOOKUP(2,1/('Milho 1ª safra'!$E30:INDEX('Milho 1ª safra'!$E30:$Z30,MIN(I$6-$E$3,22))&lt;&gt;""),'Milho 1ª safra'!$E30:INDEX('Milho 1ª safra'!$E30:$Z30,MIN(I$6-$E$3,22))),0))-IF($G$2,0,IF((I$6-$G$3)&lt;1,0,IFERROR(LOOKUP(2,1/('Milho 1ª safra'!$E30:INDEX('Milho 1ª safra'!$E30:$Z30,MIN(I$6-$G$3,22))&lt;&gt;""),'Milho 1ª safra'!$E30:INDEX('Milho 1ª safra'!$E30:$Z30,MIN(I$6-$G$3,22))),0)))))</f>
        <v>0</v>
      </c>
      <c r="J32" s="27" t="n">
        <f aca="false">IF(COUNT('Milho 1ª safra'!$E30:$Z30)=0,0,MAX(0,IF((J$6-$E$3)&lt;1,0,IFERROR(LOOKUP(2,1/('Milho 1ª safra'!$E30:INDEX('Milho 1ª safra'!$E30:$Z30,MIN(J$6-$E$3,22))&lt;&gt;""),'Milho 1ª safra'!$E30:INDEX('Milho 1ª safra'!$E30:$Z30,MIN(J$6-$E$3,22))),0))-IF($G$2,0,IF((J$6-$G$3)&lt;1,0,IFERROR(LOOKUP(2,1/('Milho 1ª safra'!$E30:INDEX('Milho 1ª safra'!$E30:$Z30,MIN(J$6-$G$3,22))&lt;&gt;""),'Milho 1ª safra'!$E30:INDEX('Milho 1ª safra'!$E30:$Z30,MIN(J$6-$G$3,22))),0)))))</f>
        <v>0</v>
      </c>
      <c r="K32" s="27" t="n">
        <f aca="false">IF(COUNT('Milho 1ª safra'!$E30:$Z30)=0,0,MAX(0,IF((K$6-$E$3)&lt;1,0,IFERROR(LOOKUP(2,1/('Milho 1ª safra'!$E30:INDEX('Milho 1ª safra'!$E30:$Z30,MIN(K$6-$E$3,22))&lt;&gt;""),'Milho 1ª safra'!$E30:INDEX('Milho 1ª safra'!$E30:$Z30,MIN(K$6-$E$3,22))),0))-IF($G$2,0,IF((K$6-$G$3)&lt;1,0,IFERROR(LOOKUP(2,1/('Milho 1ª safra'!$E30:INDEX('Milho 1ª safra'!$E30:$Z30,MIN(K$6-$G$3,22))&lt;&gt;""),'Milho 1ª safra'!$E30:INDEX('Milho 1ª safra'!$E30:$Z30,MIN(K$6-$G$3,22))),0)))))</f>
        <v>0</v>
      </c>
      <c r="L32" s="27" t="n">
        <f aca="false">IF(COUNT('Milho 1ª safra'!$E30:$Z30)=0,0,MAX(0,IF((L$6-$E$3)&lt;1,0,IFERROR(LOOKUP(2,1/('Milho 1ª safra'!$E30:INDEX('Milho 1ª safra'!$E30:$Z30,MIN(L$6-$E$3,22))&lt;&gt;""),'Milho 1ª safra'!$E30:INDEX('Milho 1ª safra'!$E30:$Z30,MIN(L$6-$E$3,22))),0))-IF($G$2,0,IF((L$6-$G$3)&lt;1,0,IFERROR(LOOKUP(2,1/('Milho 1ª safra'!$E30:INDEX('Milho 1ª safra'!$E30:$Z30,MIN(L$6-$G$3,22))&lt;&gt;""),'Milho 1ª safra'!$E30:INDEX('Milho 1ª safra'!$E30:$Z30,MIN(L$6-$G$3,22))),0)))))</f>
        <v>0</v>
      </c>
      <c r="M32" s="27" t="n">
        <f aca="false">IF(COUNT('Milho 1ª safra'!$E30:$Z30)=0,0,MAX(0,IF((M$6-$E$3)&lt;1,0,IFERROR(LOOKUP(2,1/('Milho 1ª safra'!$E30:INDEX('Milho 1ª safra'!$E30:$Z30,MIN(M$6-$E$3,22))&lt;&gt;""),'Milho 1ª safra'!$E30:INDEX('Milho 1ª safra'!$E30:$Z30,MIN(M$6-$E$3,22))),0))-IF($G$2,0,IF((M$6-$G$3)&lt;1,0,IFERROR(LOOKUP(2,1/('Milho 1ª safra'!$E30:INDEX('Milho 1ª safra'!$E30:$Z30,MIN(M$6-$G$3,22))&lt;&gt;""),'Milho 1ª safra'!$E30:INDEX('Milho 1ª safra'!$E30:$Z30,MIN(M$6-$G$3,22))),0)))))</f>
        <v>0</v>
      </c>
      <c r="N32" s="27" t="n">
        <f aca="false">IF(COUNT('Milho 1ª safra'!$E30:$Z30)=0,0,MAX(0,IF((N$6-$E$3)&lt;1,0,IFERROR(LOOKUP(2,1/('Milho 1ª safra'!$E30:INDEX('Milho 1ª safra'!$E30:$Z30,MIN(N$6-$E$3,22))&lt;&gt;""),'Milho 1ª safra'!$E30:INDEX('Milho 1ª safra'!$E30:$Z30,MIN(N$6-$E$3,22))),0))-IF($G$2,0,IF((N$6-$G$3)&lt;1,0,IFERROR(LOOKUP(2,1/('Milho 1ª safra'!$E30:INDEX('Milho 1ª safra'!$E30:$Z30,MIN(N$6-$G$3,22))&lt;&gt;""),'Milho 1ª safra'!$E30:INDEX('Milho 1ª safra'!$E30:$Z30,MIN(N$6-$G$3,22))),0)))))</f>
        <v>0</v>
      </c>
      <c r="O32" s="27" t="n">
        <f aca="false">IF(COUNT('Milho 1ª safra'!$E30:$Z30)=0,0,MAX(0,IF((O$6-$E$3)&lt;1,0,IFERROR(LOOKUP(2,1/('Milho 1ª safra'!$E30:INDEX('Milho 1ª safra'!$E30:$Z30,MIN(O$6-$E$3,22))&lt;&gt;""),'Milho 1ª safra'!$E30:INDEX('Milho 1ª safra'!$E30:$Z30,MIN(O$6-$E$3,22))),0))-IF($G$2,0,IF((O$6-$G$3)&lt;1,0,IFERROR(LOOKUP(2,1/('Milho 1ª safra'!$E30:INDEX('Milho 1ª safra'!$E30:$Z30,MIN(O$6-$G$3,22))&lt;&gt;""),'Milho 1ª safra'!$E30:INDEX('Milho 1ª safra'!$E30:$Z30,MIN(O$6-$G$3,22))),0)))))</f>
        <v>0</v>
      </c>
      <c r="P32" s="27" t="n">
        <f aca="false">IF(COUNT('Milho 1ª safra'!$E30:$Z30)=0,0,MAX(0,IF((P$6-$E$3)&lt;1,0,IFERROR(LOOKUP(2,1/('Milho 1ª safra'!$E30:INDEX('Milho 1ª safra'!$E30:$Z30,MIN(P$6-$E$3,22))&lt;&gt;""),'Milho 1ª safra'!$E30:INDEX('Milho 1ª safra'!$E30:$Z30,MIN(P$6-$E$3,22))),0))-IF($G$2,0,IF((P$6-$G$3)&lt;1,0,IFERROR(LOOKUP(2,1/('Milho 1ª safra'!$E30:INDEX('Milho 1ª safra'!$E30:$Z30,MIN(P$6-$G$3,22))&lt;&gt;""),'Milho 1ª safra'!$E30:INDEX('Milho 1ª safra'!$E30:$Z30,MIN(P$6-$G$3,22))),0)))))</f>
        <v>0</v>
      </c>
      <c r="Q32" s="27" t="n">
        <f aca="false">IF(COUNT('Milho 1ª safra'!$E30:$Z30)=0,0,MAX(0,IF((Q$6-$E$3)&lt;1,0,IFERROR(LOOKUP(2,1/('Milho 1ª safra'!$E30:INDEX('Milho 1ª safra'!$E30:$Z30,MIN(Q$6-$E$3,22))&lt;&gt;""),'Milho 1ª safra'!$E30:INDEX('Milho 1ª safra'!$E30:$Z30,MIN(Q$6-$E$3,22))),0))-IF($G$2,0,IF((Q$6-$G$3)&lt;1,0,IFERROR(LOOKUP(2,1/('Milho 1ª safra'!$E30:INDEX('Milho 1ª safra'!$E30:$Z30,MIN(Q$6-$G$3,22))&lt;&gt;""),'Milho 1ª safra'!$E30:INDEX('Milho 1ª safra'!$E30:$Z30,MIN(Q$6-$G$3,22))),0)))))</f>
        <v>0</v>
      </c>
      <c r="R32" s="27" t="n">
        <f aca="false">IF(COUNT('Milho 1ª safra'!$E30:$Z30)=0,0,MAX(0,IF((R$6-$E$3)&lt;1,0,IFERROR(LOOKUP(2,1/('Milho 1ª safra'!$E30:INDEX('Milho 1ª safra'!$E30:$Z30,MIN(R$6-$E$3,22))&lt;&gt;""),'Milho 1ª safra'!$E30:INDEX('Milho 1ª safra'!$E30:$Z30,MIN(R$6-$E$3,22))),0))-IF($G$2,0,IF((R$6-$G$3)&lt;1,0,IFERROR(LOOKUP(2,1/('Milho 1ª safra'!$E30:INDEX('Milho 1ª safra'!$E30:$Z30,MIN(R$6-$G$3,22))&lt;&gt;""),'Milho 1ª safra'!$E30:INDEX('Milho 1ª safra'!$E30:$Z30,MIN(R$6-$G$3,22))),0)))))</f>
        <v>0</v>
      </c>
      <c r="S32" s="27" t="n">
        <f aca="false">IF(COUNT('Milho 1ª safra'!$E30:$Z30)=0,0,MAX(0,IF((S$6-$E$3)&lt;1,0,IFERROR(LOOKUP(2,1/('Milho 1ª safra'!$E30:INDEX('Milho 1ª safra'!$E30:$Z30,MIN(S$6-$E$3,22))&lt;&gt;""),'Milho 1ª safra'!$E30:INDEX('Milho 1ª safra'!$E30:$Z30,MIN(S$6-$E$3,22))),0))-IF($G$2,0,IF((S$6-$G$3)&lt;1,0,IFERROR(LOOKUP(2,1/('Milho 1ª safra'!$E30:INDEX('Milho 1ª safra'!$E30:$Z30,MIN(S$6-$G$3,22))&lt;&gt;""),'Milho 1ª safra'!$E30:INDEX('Milho 1ª safra'!$E30:$Z30,MIN(S$6-$G$3,22))),0)))))</f>
        <v>0</v>
      </c>
      <c r="T32" s="27" t="n">
        <f aca="false">IF(COUNT('Milho 1ª safra'!$E30:$Z30)=0,0,MAX(0,IF((T$6-$E$3)&lt;1,0,IFERROR(LOOKUP(2,1/('Milho 1ª safra'!$E30:INDEX('Milho 1ª safra'!$E30:$Z30,MIN(T$6-$E$3,22))&lt;&gt;""),'Milho 1ª safra'!$E30:INDEX('Milho 1ª safra'!$E30:$Z30,MIN(T$6-$E$3,22))),0))-IF($G$2,0,IF((T$6-$G$3)&lt;1,0,IFERROR(LOOKUP(2,1/('Milho 1ª safra'!$E30:INDEX('Milho 1ª safra'!$E30:$Z30,MIN(T$6-$G$3,22))&lt;&gt;""),'Milho 1ª safra'!$E30:INDEX('Milho 1ª safra'!$E30:$Z30,MIN(T$6-$G$3,22))),0)))))</f>
        <v>0</v>
      </c>
      <c r="U32" s="27" t="n">
        <f aca="false">IF(COUNT('Milho 1ª safra'!$E30:$Z30)=0,0,MAX(0,IF((U$6-$E$3)&lt;1,0,IFERROR(LOOKUP(2,1/('Milho 1ª safra'!$E30:INDEX('Milho 1ª safra'!$E30:$Z30,MIN(U$6-$E$3,22))&lt;&gt;""),'Milho 1ª safra'!$E30:INDEX('Milho 1ª safra'!$E30:$Z30,MIN(U$6-$E$3,22))),0))-IF($G$2,0,IF((U$6-$G$3)&lt;1,0,IFERROR(LOOKUP(2,1/('Milho 1ª safra'!$E30:INDEX('Milho 1ª safra'!$E30:$Z30,MIN(U$6-$G$3,22))&lt;&gt;""),'Milho 1ª safra'!$E30:INDEX('Milho 1ª safra'!$E30:$Z30,MIN(U$6-$G$3,22))),0)))))</f>
        <v>0</v>
      </c>
      <c r="V32" s="27" t="n">
        <f aca="false">IF(COUNT('Milho 1ª safra'!$E30:$Z30)=0,0,MAX(0,IF((V$6-$E$3)&lt;1,0,IFERROR(LOOKUP(2,1/('Milho 1ª safra'!$E30:INDEX('Milho 1ª safra'!$E30:$Z30,MIN(V$6-$E$3,22))&lt;&gt;""),'Milho 1ª safra'!$E30:INDEX('Milho 1ª safra'!$E30:$Z30,MIN(V$6-$E$3,22))),0))-IF($G$2,0,IF((V$6-$G$3)&lt;1,0,IFERROR(LOOKUP(2,1/('Milho 1ª safra'!$E30:INDEX('Milho 1ª safra'!$E30:$Z30,MIN(V$6-$G$3,22))&lt;&gt;""),'Milho 1ª safra'!$E30:INDEX('Milho 1ª safra'!$E30:$Z30,MIN(V$6-$G$3,22))),0)))))</f>
        <v>0</v>
      </c>
      <c r="W32" s="27" t="n">
        <f aca="false">IF(COUNT('Milho 1ª safra'!$E30:$Z30)=0,0,MAX(0,IF((W$6-$E$3)&lt;1,0,IFERROR(LOOKUP(2,1/('Milho 1ª safra'!$E30:INDEX('Milho 1ª safra'!$E30:$Z30,MIN(W$6-$E$3,22))&lt;&gt;""),'Milho 1ª safra'!$E30:INDEX('Milho 1ª safra'!$E30:$Z30,MIN(W$6-$E$3,22))),0))-IF($G$2,0,IF((W$6-$G$3)&lt;1,0,IFERROR(LOOKUP(2,1/('Milho 1ª safra'!$E30:INDEX('Milho 1ª safra'!$E30:$Z30,MIN(W$6-$G$3,22))&lt;&gt;""),'Milho 1ª safra'!$E30:INDEX('Milho 1ª safra'!$E30:$Z30,MIN(W$6-$G$3,22))),0)))))</f>
        <v>0</v>
      </c>
      <c r="X32" s="27" t="n">
        <f aca="false">IF(COUNT('Milho 1ª safra'!$E30:$Z30)=0,0,MAX(0,IF((X$6-$E$3)&lt;1,0,IFERROR(LOOKUP(2,1/('Milho 1ª safra'!$E30:INDEX('Milho 1ª safra'!$E30:$Z30,MIN(X$6-$E$3,22))&lt;&gt;""),'Milho 1ª safra'!$E30:INDEX('Milho 1ª safra'!$E30:$Z30,MIN(X$6-$E$3,22))),0))-IF($G$2,0,IF((X$6-$G$3)&lt;1,0,IFERROR(LOOKUP(2,1/('Milho 1ª safra'!$E30:INDEX('Milho 1ª safra'!$E30:$Z30,MIN(X$6-$G$3,22))&lt;&gt;""),'Milho 1ª safra'!$E30:INDEX('Milho 1ª safra'!$E30:$Z30,MIN(X$6-$G$3,22))),0)))))</f>
        <v>0</v>
      </c>
      <c r="Y32" s="27" t="n">
        <f aca="false">IF(COUNT('Milho 1ª safra'!$E30:$Z30)=0,0,MAX(0,IF((Y$6-$E$3)&lt;1,0,IFERROR(LOOKUP(2,1/('Milho 1ª safra'!$E30:INDEX('Milho 1ª safra'!$E30:$Z30,MIN(Y$6-$E$3,22))&lt;&gt;""),'Milho 1ª safra'!$E30:INDEX('Milho 1ª safra'!$E30:$Z30,MIN(Y$6-$E$3,22))),0))-IF($G$2,0,IF((Y$6-$G$3)&lt;1,0,IFERROR(LOOKUP(2,1/('Milho 1ª safra'!$E30:INDEX('Milho 1ª safra'!$E30:$Z30,MIN(Y$6-$G$3,22))&lt;&gt;""),'Milho 1ª safra'!$E30:INDEX('Milho 1ª safra'!$E30:$Z30,MIN(Y$6-$G$3,22))),0)))))</f>
        <v>0</v>
      </c>
      <c r="Z32" s="27" t="n">
        <f aca="false">IF(COUNT('Milho 1ª safra'!$E30:$Z30)=0,0,MAX(0,IF((Z$6-$E$3)&lt;1,0,IFERROR(LOOKUP(2,1/('Milho 1ª safra'!$E30:INDEX('Milho 1ª safra'!$E30:$Z30,MIN(Z$6-$E$3,22))&lt;&gt;""),'Milho 1ª safra'!$E30:INDEX('Milho 1ª safra'!$E30:$Z30,MIN(Z$6-$E$3,22))),0))-IF($G$2,0,IF((Z$6-$G$3)&lt;1,0,IFERROR(LOOKUP(2,1/('Milho 1ª safra'!$E30:INDEX('Milho 1ª safra'!$E30:$Z30,MIN(Z$6-$G$3,22))&lt;&gt;""),'Milho 1ª safra'!$E30:INDEX('Milho 1ª safra'!$E30:$Z30,MIN(Z$6-$G$3,22))),0)))))</f>
        <v>0</v>
      </c>
      <c r="AA32" s="27" t="n">
        <f aca="false">IF(COUNT('Milho 1ª safra'!$E30:$Z30)=0,0,MAX(0,IF((AA$6-$E$3)&lt;1,0,IFERROR(LOOKUP(2,1/('Milho 1ª safra'!$E30:INDEX('Milho 1ª safra'!$E30:$Z30,MIN(AA$6-$E$3,22))&lt;&gt;""),'Milho 1ª safra'!$E30:INDEX('Milho 1ª safra'!$E30:$Z30,MIN(AA$6-$E$3,22))),0))-IF($G$2,0,IF((AA$6-$G$3)&lt;1,0,IFERROR(LOOKUP(2,1/('Milho 1ª safra'!$E30:INDEX('Milho 1ª safra'!$E30:$Z30,MIN(AA$6-$G$3,22))&lt;&gt;""),'Milho 1ª safra'!$E30:INDEX('Milho 1ª safra'!$E30:$Z30,MIN(AA$6-$G$3,22))),0)))))</f>
        <v>0</v>
      </c>
      <c r="AB32" s="27" t="n">
        <f aca="false">IF(COUNT('Milho 1ª safra'!$E30:$Z30)=0,0,MAX(0,IF((AB$6-$E$3)&lt;1,0,IFERROR(LOOKUP(2,1/('Milho 1ª safra'!$E30:INDEX('Milho 1ª safra'!$E30:$Z30,MIN(AB$6-$E$3,22))&lt;&gt;""),'Milho 1ª safra'!$E30:INDEX('Milho 1ª safra'!$E30:$Z30,MIN(AB$6-$E$3,22))),0))-IF($G$2,0,IF((AB$6-$G$3)&lt;1,0,IFERROR(LOOKUP(2,1/('Milho 1ª safra'!$E30:INDEX('Milho 1ª safra'!$E30:$Z30,MIN(AB$6-$G$3,22))&lt;&gt;""),'Milho 1ª safra'!$E30:INDEX('Milho 1ª safra'!$E30:$Z30,MIN(AB$6-$G$3,22))),0)))))</f>
        <v>0</v>
      </c>
      <c r="AC32" s="27" t="n">
        <f aca="false">IF(COUNT('Milho 1ª safra'!$E30:$Z30)=0,0,MAX(0,IF((AC$6-$E$3)&lt;1,0,IFERROR(LOOKUP(2,1/('Milho 1ª safra'!$E30:INDEX('Milho 1ª safra'!$E30:$Z30,MIN(AC$6-$E$3,22))&lt;&gt;""),'Milho 1ª safra'!$E30:INDEX('Milho 1ª safra'!$E30:$Z30,MIN(AC$6-$E$3,22))),0))-IF($G$2,0,IF((AC$6-$G$3)&lt;1,0,IFERROR(LOOKUP(2,1/('Milho 1ª safra'!$E30:INDEX('Milho 1ª safra'!$E30:$Z30,MIN(AC$6-$G$3,22))&lt;&gt;""),'Milho 1ª safra'!$E30:INDEX('Milho 1ª safra'!$E30:$Z30,MIN(AC$6-$G$3,22))),0)))))</f>
        <v>0</v>
      </c>
      <c r="AD32" s="27" t="n">
        <f aca="false">IF(COUNT('Milho 1ª safra'!$E30:$Z30)=0,0,MAX(0,IF((AD$6-$E$3)&lt;1,0,IFERROR(LOOKUP(2,1/('Milho 1ª safra'!$E30:INDEX('Milho 1ª safra'!$E30:$Z30,MIN(AD$6-$E$3,22))&lt;&gt;""),'Milho 1ª safra'!$E30:INDEX('Milho 1ª safra'!$E30:$Z30,MIN(AD$6-$E$3,22))),0))-IF($G$2,0,IF((AD$6-$G$3)&lt;1,0,IFERROR(LOOKUP(2,1/('Milho 1ª safra'!$E30:INDEX('Milho 1ª safra'!$E30:$Z30,MIN(AD$6-$G$3,22))&lt;&gt;""),'Milho 1ª safra'!$E30:INDEX('Milho 1ª safra'!$E30:$Z30,MIN(AD$6-$G$3,22))),0)))))</f>
        <v>0</v>
      </c>
      <c r="AE32" s="27" t="n">
        <f aca="false">IF(COUNT('Milho 1ª safra'!$E30:$Z30)=0,0,MAX(0,IF((AE$6-$E$3)&lt;1,0,IFERROR(LOOKUP(2,1/('Milho 1ª safra'!$E30:INDEX('Milho 1ª safra'!$E30:$Z30,MIN(AE$6-$E$3,22))&lt;&gt;""),'Milho 1ª safra'!$E30:INDEX('Milho 1ª safra'!$E30:$Z30,MIN(AE$6-$E$3,22))),0))-IF($G$2,0,IF((AE$6-$G$3)&lt;1,0,IFERROR(LOOKUP(2,1/('Milho 1ª safra'!$E30:INDEX('Milho 1ª safra'!$E30:$Z30,MIN(AE$6-$G$3,22))&lt;&gt;""),'Milho 1ª safra'!$E30:INDEX('Milho 1ª safra'!$E30:$Z30,MIN(AE$6-$G$3,22))),0)))))</f>
        <v>0</v>
      </c>
      <c r="AF32" s="27" t="n">
        <f aca="false">IF(COUNT('Milho 1ª safra'!$E30:$Z30)=0,0,MAX(0,IF((AF$6-$E$3)&lt;1,0,IFERROR(LOOKUP(2,1/('Milho 1ª safra'!$E30:INDEX('Milho 1ª safra'!$E30:$Z30,MIN(AF$6-$E$3,22))&lt;&gt;""),'Milho 1ª safra'!$E30:INDEX('Milho 1ª safra'!$E30:$Z30,MIN(AF$6-$E$3,22))),0))-IF($G$2,0,IF((AF$6-$G$3)&lt;1,0,IFERROR(LOOKUP(2,1/('Milho 1ª safra'!$E30:INDEX('Milho 1ª safra'!$E30:$Z30,MIN(AF$6-$G$3,22))&lt;&gt;""),'Milho 1ª safra'!$E30:INDEX('Milho 1ª safra'!$E30:$Z30,MIN(AF$6-$G$3,22))),0)))))</f>
        <v>0</v>
      </c>
      <c r="AG32" s="27" t="n">
        <f aca="false">IF(COUNT('Milho 1ª safra'!$E30:$Z30)=0,0,MAX(0,IF((AG$6-$E$3)&lt;1,0,IFERROR(LOOKUP(2,1/('Milho 1ª safra'!$E30:INDEX('Milho 1ª safra'!$E30:$Z30,MIN(AG$6-$E$3,22))&lt;&gt;""),'Milho 1ª safra'!$E30:INDEX('Milho 1ª safra'!$E30:$Z30,MIN(AG$6-$E$3,22))),0))-IF($G$2,0,IF((AG$6-$G$3)&lt;1,0,IFERROR(LOOKUP(2,1/('Milho 1ª safra'!$E30:INDEX('Milho 1ª safra'!$E30:$Z30,MIN(AG$6-$G$3,22))&lt;&gt;""),'Milho 1ª safra'!$E30:INDEX('Milho 1ª safra'!$E30:$Z30,MIN(AG$6-$G$3,22))),0)))))</f>
        <v>0</v>
      </c>
      <c r="AH32" s="27" t="n">
        <f aca="false">IF(COUNT('Milho 1ª safra'!$E30:$Z30)=0,0,MAX(0,IF((AH$6-$E$3)&lt;1,0,IFERROR(LOOKUP(2,1/('Milho 1ª safra'!$E30:INDEX('Milho 1ª safra'!$E30:$Z30,MIN(AH$6-$E$3,22))&lt;&gt;""),'Milho 1ª safra'!$E30:INDEX('Milho 1ª safra'!$E30:$Z30,MIN(AH$6-$E$3,22))),0))-IF($G$2,0,IF((AH$6-$G$3)&lt;1,0,IFERROR(LOOKUP(2,1/('Milho 1ª safra'!$E30:INDEX('Milho 1ª safra'!$E30:$Z30,MIN(AH$6-$G$3,22))&lt;&gt;""),'Milho 1ª safra'!$E30:INDEX('Milho 1ª safra'!$E30:$Z30,MIN(AH$6-$G$3,22))),0)))))</f>
        <v>0</v>
      </c>
      <c r="AI32" s="27" t="n">
        <f aca="false">IF(COUNT('Milho 1ª safra'!$E30:$Z30)=0,0,MAX(0,IF((AI$6-$E$3)&lt;1,0,IFERROR(LOOKUP(2,1/('Milho 1ª safra'!$E30:INDEX('Milho 1ª safra'!$E30:$Z30,MIN(AI$6-$E$3,22))&lt;&gt;""),'Milho 1ª safra'!$E30:INDEX('Milho 1ª safra'!$E30:$Z30,MIN(AI$6-$E$3,22))),0))-IF($G$2,0,IF((AI$6-$G$3)&lt;1,0,IFERROR(LOOKUP(2,1/('Milho 1ª safra'!$E30:INDEX('Milho 1ª safra'!$E30:$Z30,MIN(AI$6-$G$3,22))&lt;&gt;""),'Milho 1ª safra'!$E30:INDEX('Milho 1ª safra'!$E30:$Z30,MIN(AI$6-$G$3,22))),0)))))</f>
        <v>0</v>
      </c>
      <c r="AJ32" s="27" t="n">
        <f aca="false">IF(COUNT('Milho 1ª safra'!$E30:$Z30)=0,0,MAX(0,IF((AJ$6-$E$3)&lt;1,0,IFERROR(LOOKUP(2,1/('Milho 1ª safra'!$E30:INDEX('Milho 1ª safra'!$E30:$Z30,MIN(AJ$6-$E$3,22))&lt;&gt;""),'Milho 1ª safra'!$E30:INDEX('Milho 1ª safra'!$E30:$Z30,MIN(AJ$6-$E$3,22))),0))-IF($G$2,0,IF((AJ$6-$G$3)&lt;1,0,IFERROR(LOOKUP(2,1/('Milho 1ª safra'!$E30:INDEX('Milho 1ª safra'!$E30:$Z30,MIN(AJ$6-$G$3,22))&lt;&gt;""),'Milho 1ª safra'!$E30:INDEX('Milho 1ª safra'!$E30:$Z30,MIN(AJ$6-$G$3,22))),0)))))</f>
        <v>0</v>
      </c>
      <c r="AK32" s="27" t="n">
        <f aca="false">IF(COUNT('Milho 1ª safra'!$E30:$Z30)=0,0,MAX(0,IF((AK$6-$E$3)&lt;1,0,IFERROR(LOOKUP(2,1/('Milho 1ª safra'!$E30:INDEX('Milho 1ª safra'!$E30:$Z30,MIN(AK$6-$E$3,22))&lt;&gt;""),'Milho 1ª safra'!$E30:INDEX('Milho 1ª safra'!$E30:$Z30,MIN(AK$6-$E$3,22))),0))-IF($G$2,0,IF((AK$6-$G$3)&lt;1,0,IFERROR(LOOKUP(2,1/('Milho 1ª safra'!$E30:INDEX('Milho 1ª safra'!$E30:$Z30,MIN(AK$6-$G$3,22))&lt;&gt;""),'Milho 1ª safra'!$E30:INDEX('Milho 1ª safra'!$E30:$Z30,MIN(AK$6-$G$3,22))),0)))))</f>
        <v>0</v>
      </c>
      <c r="AL32" s="27" t="n">
        <f aca="false">IF(COUNT('Milho 1ª safra'!$E30:$Z30)=0,0,MAX(0,IF((AL$6-$E$3)&lt;1,0,IFERROR(LOOKUP(2,1/('Milho 1ª safra'!$E30:INDEX('Milho 1ª safra'!$E30:$Z30,MIN(AL$6-$E$3,22))&lt;&gt;""),'Milho 1ª safra'!$E30:INDEX('Milho 1ª safra'!$E30:$Z30,MIN(AL$6-$E$3,22))),0))-IF($G$2,0,IF((AL$6-$G$3)&lt;1,0,IFERROR(LOOKUP(2,1/('Milho 1ª safra'!$E30:INDEX('Milho 1ª safra'!$E30:$Z30,MIN(AL$6-$G$3,22))&lt;&gt;""),'Milho 1ª safra'!$E30:INDEX('Milho 1ª safra'!$E30:$Z30,MIN(AL$6-$G$3,22))),0)))))</f>
        <v>0</v>
      </c>
      <c r="AM32" s="27" t="n">
        <f aca="false">IF(COUNT('Milho 1ª safra'!$E30:$Z30)=0,0,MAX(0,IF((AM$6-$E$3)&lt;1,0,IFERROR(LOOKUP(2,1/('Milho 1ª safra'!$E30:INDEX('Milho 1ª safra'!$E30:$Z30,MIN(AM$6-$E$3,22))&lt;&gt;""),'Milho 1ª safra'!$E30:INDEX('Milho 1ª safra'!$E30:$Z30,MIN(AM$6-$E$3,22))),0))-IF($G$2,0,IF((AM$6-$G$3)&lt;1,0,IFERROR(LOOKUP(2,1/('Milho 1ª safra'!$E30:INDEX('Milho 1ª safra'!$E30:$Z30,MIN(AM$6-$G$3,22))&lt;&gt;""),'Milho 1ª safra'!$E30:INDEX('Milho 1ª safra'!$E30:$Z30,MIN(AM$6-$G$3,22))),0)))))</f>
        <v>0</v>
      </c>
      <c r="AN32" s="27" t="n">
        <f aca="false">IF(COUNT('Milho 1ª safra'!$E30:$Z30)=0,0,MAX(0,IF((AN$6-$E$3)&lt;1,0,IFERROR(LOOKUP(2,1/('Milho 1ª safra'!$E30:INDEX('Milho 1ª safra'!$E30:$Z30,MIN(AN$6-$E$3,22))&lt;&gt;""),'Milho 1ª safra'!$E30:INDEX('Milho 1ª safra'!$E30:$Z30,MIN(AN$6-$E$3,22))),0))-IF($G$2,0,IF((AN$6-$G$3)&lt;1,0,IFERROR(LOOKUP(2,1/('Milho 1ª safra'!$E30:INDEX('Milho 1ª safra'!$E30:$Z30,MIN(AN$6-$G$3,22))&lt;&gt;""),'Milho 1ª safra'!$E30:INDEX('Milho 1ª safra'!$E30:$Z30,MIN(AN$6-$G$3,22))),0)))))</f>
        <v>0</v>
      </c>
      <c r="AO32" s="27" t="n">
        <f aca="false">IF(COUNT('Milho 1ª safra'!$E30:$Z30)=0,0,MAX(0,IF((AO$6-$E$3)&lt;1,0,IFERROR(LOOKUP(2,1/('Milho 1ª safra'!$E30:INDEX('Milho 1ª safra'!$E30:$Z30,MIN(AO$6-$E$3,22))&lt;&gt;""),'Milho 1ª safra'!$E30:INDEX('Milho 1ª safra'!$E30:$Z30,MIN(AO$6-$E$3,22))),0))-IF($G$2,0,IF((AO$6-$G$3)&lt;1,0,IFERROR(LOOKUP(2,1/('Milho 1ª safra'!$E30:INDEX('Milho 1ª safra'!$E30:$Z30,MIN(AO$6-$G$3,22))&lt;&gt;""),'Milho 1ª safra'!$E30:INDEX('Milho 1ª safra'!$E30:$Z30,MIN(AO$6-$G$3,22))),0)))))</f>
        <v>0</v>
      </c>
      <c r="AP32" s="27" t="n">
        <f aca="false">IF(COUNT('Milho 1ª safra'!$E30:$Z30)=0,0,MAX(0,IF((AP$6-$E$3)&lt;1,0,IFERROR(LOOKUP(2,1/('Milho 1ª safra'!$E30:INDEX('Milho 1ª safra'!$E30:$Z30,MIN(AP$6-$E$3,22))&lt;&gt;""),'Milho 1ª safra'!$E30:INDEX('Milho 1ª safra'!$E30:$Z30,MIN(AP$6-$E$3,22))),0))-IF($G$2,0,IF((AP$6-$G$3)&lt;1,0,IFERROR(LOOKUP(2,1/('Milho 1ª safra'!$E30:INDEX('Milho 1ª safra'!$E30:$Z30,MIN(AP$6-$G$3,22))&lt;&gt;""),'Milho 1ª safra'!$E30:INDEX('Milho 1ª safra'!$E30:$Z30,MIN(AP$6-$G$3,22))),0)))))</f>
        <v>0</v>
      </c>
      <c r="AQ32" s="27" t="n">
        <f aca="false">IF(COUNT('Milho 1ª safra'!$E30:$Z30)=0,0,MAX(0,IF((AQ$6-$E$3)&lt;1,0,IFERROR(LOOKUP(2,1/('Milho 1ª safra'!$E30:INDEX('Milho 1ª safra'!$E30:$Z30,MIN(AQ$6-$E$3,22))&lt;&gt;""),'Milho 1ª safra'!$E30:INDEX('Milho 1ª safra'!$E30:$Z30,MIN(AQ$6-$E$3,22))),0))-IF($G$2,0,IF((AQ$6-$G$3)&lt;1,0,IFERROR(LOOKUP(2,1/('Milho 1ª safra'!$E30:INDEX('Milho 1ª safra'!$E30:$Z30,MIN(AQ$6-$G$3,22))&lt;&gt;""),'Milho 1ª safra'!$E30:INDEX('Milho 1ª safra'!$E30:$Z30,MIN(AQ$6-$G$3,22))),0)))))</f>
        <v>0</v>
      </c>
      <c r="AR32" s="27" t="n">
        <f aca="false">IF(COUNT('Milho 1ª safra'!$E30:$Z30)=0,0,MAX(0,IF((AR$6-$E$3)&lt;1,0,IFERROR(LOOKUP(2,1/('Milho 1ª safra'!$E30:INDEX('Milho 1ª safra'!$E30:$Z30,MIN(AR$6-$E$3,22))&lt;&gt;""),'Milho 1ª safra'!$E30:INDEX('Milho 1ª safra'!$E30:$Z30,MIN(AR$6-$E$3,22))),0))-IF($G$2,0,IF((AR$6-$G$3)&lt;1,0,IFERROR(LOOKUP(2,1/('Milho 1ª safra'!$E30:INDEX('Milho 1ª safra'!$E30:$Z30,MIN(AR$6-$G$3,22))&lt;&gt;""),'Milho 1ª safra'!$E30:INDEX('Milho 1ª safra'!$E30:$Z30,MIN(AR$6-$G$3,22))),0)))))</f>
        <v>0</v>
      </c>
      <c r="AS32" s="27" t="n">
        <f aca="false">IF(COUNT('Milho 1ª safra'!$E30:$Z30)=0,0,MAX(0,IF((AS$6-$E$3)&lt;1,0,IFERROR(LOOKUP(2,1/('Milho 1ª safra'!$E30:INDEX('Milho 1ª safra'!$E30:$Z30,MIN(AS$6-$E$3,22))&lt;&gt;""),'Milho 1ª safra'!$E30:INDEX('Milho 1ª safra'!$E30:$Z30,MIN(AS$6-$E$3,22))),0))-IF($G$2,0,IF((AS$6-$G$3)&lt;1,0,IFERROR(LOOKUP(2,1/('Milho 1ª safra'!$E30:INDEX('Milho 1ª safra'!$E30:$Z30,MIN(AS$6-$G$3,22))&lt;&gt;""),'Milho 1ª safra'!$E30:INDEX('Milho 1ª safra'!$E30:$Z30,MIN(AS$6-$G$3,22))),0)))))</f>
        <v>0</v>
      </c>
      <c r="AT32" s="27" t="n">
        <f aca="false">IF(COUNT('Milho 1ª safra'!$E30:$Z30)=0,0,MAX(0,IF((AT$6-$E$3)&lt;1,0,IFERROR(LOOKUP(2,1/('Milho 1ª safra'!$E30:INDEX('Milho 1ª safra'!$E30:$Z30,MIN(AT$6-$E$3,22))&lt;&gt;""),'Milho 1ª safra'!$E30:INDEX('Milho 1ª safra'!$E30:$Z30,MIN(AT$6-$E$3,22))),0))-IF($G$2,0,IF((AT$6-$G$3)&lt;1,0,IFERROR(LOOKUP(2,1/('Milho 1ª safra'!$E30:INDEX('Milho 1ª safra'!$E30:$Z30,MIN(AT$6-$G$3,22))&lt;&gt;""),'Milho 1ª safra'!$E30:INDEX('Milho 1ª safra'!$E30:$Z30,MIN(AT$6-$G$3,22))),0)))))</f>
        <v>0</v>
      </c>
      <c r="AU32" s="27" t="n">
        <f aca="false">IF(COUNT('Milho 1ª safra'!$E30:$Z30)=0,0,MAX(0,IF((AU$6-$E$3)&lt;1,0,IFERROR(LOOKUP(2,1/('Milho 1ª safra'!$E30:INDEX('Milho 1ª safra'!$E30:$Z30,MIN(AU$6-$E$3,22))&lt;&gt;""),'Milho 1ª safra'!$E30:INDEX('Milho 1ª safra'!$E30:$Z30,MIN(AU$6-$E$3,22))),0))-IF($G$2,0,IF((AU$6-$G$3)&lt;1,0,IFERROR(LOOKUP(2,1/('Milho 1ª safra'!$E30:INDEX('Milho 1ª safra'!$E30:$Z30,MIN(AU$6-$G$3,22))&lt;&gt;""),'Milho 1ª safra'!$E30:INDEX('Milho 1ª safra'!$E30:$Z30,MIN(AU$6-$G$3,22))),0)))))</f>
        <v>0</v>
      </c>
      <c r="AV32" s="27" t="n">
        <f aca="false">IF(COUNT('Milho 1ª safra'!$E30:$Z30)=0,0,MAX(0,IF((AV$6-$E$3)&lt;1,0,IFERROR(LOOKUP(2,1/('Milho 1ª safra'!$E30:INDEX('Milho 1ª safra'!$E30:$Z30,MIN(AV$6-$E$3,22))&lt;&gt;""),'Milho 1ª safra'!$E30:INDEX('Milho 1ª safra'!$E30:$Z30,MIN(AV$6-$E$3,22))),0))-IF($G$2,0,IF((AV$6-$G$3)&lt;1,0,IFERROR(LOOKUP(2,1/('Milho 1ª safra'!$E30:INDEX('Milho 1ª safra'!$E30:$Z30,MIN(AV$6-$G$3,22))&lt;&gt;""),'Milho 1ª safra'!$E30:INDEX('Milho 1ª safra'!$E30:$Z30,MIN(AV$6-$G$3,22))),0)))))</f>
        <v>0</v>
      </c>
      <c r="AW32" s="27" t="n">
        <f aca="false">IF(COUNT('Milho 1ª safra'!$E30:$Z30)=0,0,MAX(0,IF((AW$6-$E$3)&lt;1,0,IFERROR(LOOKUP(2,1/('Milho 1ª safra'!$E30:INDEX('Milho 1ª safra'!$E30:$Z30,MIN(AW$6-$E$3,22))&lt;&gt;""),'Milho 1ª safra'!$E30:INDEX('Milho 1ª safra'!$E30:$Z30,MIN(AW$6-$E$3,22))),0))-IF($G$2,0,IF((AW$6-$G$3)&lt;1,0,IFERROR(LOOKUP(2,1/('Milho 1ª safra'!$E30:INDEX('Milho 1ª safra'!$E30:$Z30,MIN(AW$6-$G$3,22))&lt;&gt;""),'Milho 1ª safra'!$E30:INDEX('Milho 1ª safra'!$E30:$Z30,MIN(AW$6-$G$3,22))),0)))))</f>
        <v>0</v>
      </c>
      <c r="AX32" s="27" t="n">
        <f aca="false">IF(COUNT('Milho 1ª safra'!$E30:$Z30)=0,0,MAX(0,IF((AX$6-$E$3)&lt;1,0,IFERROR(LOOKUP(2,1/('Milho 1ª safra'!$E30:INDEX('Milho 1ª safra'!$E30:$Z30,MIN(AX$6-$E$3,22))&lt;&gt;""),'Milho 1ª safra'!$E30:INDEX('Milho 1ª safra'!$E30:$Z30,MIN(AX$6-$E$3,22))),0))-IF($G$2,0,IF((AX$6-$G$3)&lt;1,0,IFERROR(LOOKUP(2,1/('Milho 1ª safra'!$E30:INDEX('Milho 1ª safra'!$E30:$Z30,MIN(AX$6-$G$3,22))&lt;&gt;""),'Milho 1ª safra'!$E30:INDEX('Milho 1ª safra'!$E30:$Z30,MIN(AX$6-$G$3,22))),0)))))</f>
        <v>0</v>
      </c>
      <c r="AY32" s="27" t="n">
        <f aca="false">IF(COUNT('Milho 1ª safra'!$E30:$Z30)=0,0,MAX(0,IF((AY$6-$E$3)&lt;1,0,IFERROR(LOOKUP(2,1/('Milho 1ª safra'!$E30:INDEX('Milho 1ª safra'!$E30:$Z30,MIN(AY$6-$E$3,22))&lt;&gt;""),'Milho 1ª safra'!$E30:INDEX('Milho 1ª safra'!$E30:$Z30,MIN(AY$6-$E$3,22))),0))-IF($G$2,0,IF((AY$6-$G$3)&lt;1,0,IFERROR(LOOKUP(2,1/('Milho 1ª safra'!$E30:INDEX('Milho 1ª safra'!$E30:$Z30,MIN(AY$6-$G$3,22))&lt;&gt;""),'Milho 1ª safra'!$E30:INDEX('Milho 1ª safra'!$E30:$Z30,MIN(AY$6-$G$3,22))),0)))))</f>
        <v>0</v>
      </c>
      <c r="AZ32" s="27" t="n">
        <f aca="false">IF(COUNT('Milho 1ª safra'!$E30:$Z30)=0,0,MAX(0,IF((AZ$6-$E$3)&lt;1,0,IFERROR(LOOKUP(2,1/('Milho 1ª safra'!$E30:INDEX('Milho 1ª safra'!$E30:$Z30,MIN(AZ$6-$E$3,22))&lt;&gt;""),'Milho 1ª safra'!$E30:INDEX('Milho 1ª safra'!$E30:$Z30,MIN(AZ$6-$E$3,22))),0))-IF($G$2,0,IF((AZ$6-$G$3)&lt;1,0,IFERROR(LOOKUP(2,1/('Milho 1ª safra'!$E30:INDEX('Milho 1ª safra'!$E30:$Z30,MIN(AZ$6-$G$3,22))&lt;&gt;""),'Milho 1ª safra'!$E30:INDEX('Milho 1ª safra'!$E30:$Z30,MIN(AZ$6-$G$3,22))),0)))))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IF(COUNT('Milho 1ª safra'!$E31:$Z31)&gt;0,N('Milho 1ª safra'!$D31),0)</f>
        <v>0</v>
      </c>
      <c r="E33" s="27" t="n">
        <f aca="false">IF(COUNT('Milho 1ª safra'!$E31:$Z31)=0,0,MAX(0,IF((E$6-$E$3)&lt;1,0,IFERROR(LOOKUP(2,1/('Milho 1ª safra'!$E31:INDEX('Milho 1ª safra'!$E31:$Z31,MIN(E$6-$E$3,22))&lt;&gt;""),'Milho 1ª safra'!$E31:INDEX('Milho 1ª safra'!$E31:$Z31,MIN(E$6-$E$3,22))),0))-IF($G$2,0,IF((E$6-$G$3)&lt;1,0,IFERROR(LOOKUP(2,1/('Milho 1ª safra'!$E31:INDEX('Milho 1ª safra'!$E31:$Z31,MIN(E$6-$G$3,22))&lt;&gt;""),'Milho 1ª safra'!$E31:INDEX('Milho 1ª safra'!$E31:$Z31,MIN(E$6-$G$3,22))),0)))))</f>
        <v>0</v>
      </c>
      <c r="F33" s="27" t="n">
        <f aca="false">IF(COUNT('Milho 1ª safra'!$E31:$Z31)=0,0,MAX(0,IF((F$6-$E$3)&lt;1,0,IFERROR(LOOKUP(2,1/('Milho 1ª safra'!$E31:INDEX('Milho 1ª safra'!$E31:$Z31,MIN(F$6-$E$3,22))&lt;&gt;""),'Milho 1ª safra'!$E31:INDEX('Milho 1ª safra'!$E31:$Z31,MIN(F$6-$E$3,22))),0))-IF($G$2,0,IF((F$6-$G$3)&lt;1,0,IFERROR(LOOKUP(2,1/('Milho 1ª safra'!$E31:INDEX('Milho 1ª safra'!$E31:$Z31,MIN(F$6-$G$3,22))&lt;&gt;""),'Milho 1ª safra'!$E31:INDEX('Milho 1ª safra'!$E31:$Z31,MIN(F$6-$G$3,22))),0)))))</f>
        <v>0</v>
      </c>
      <c r="G33" s="27" t="n">
        <f aca="false">IF(COUNT('Milho 1ª safra'!$E31:$Z31)=0,0,MAX(0,IF((G$6-$E$3)&lt;1,0,IFERROR(LOOKUP(2,1/('Milho 1ª safra'!$E31:INDEX('Milho 1ª safra'!$E31:$Z31,MIN(G$6-$E$3,22))&lt;&gt;""),'Milho 1ª safra'!$E31:INDEX('Milho 1ª safra'!$E31:$Z31,MIN(G$6-$E$3,22))),0))-IF($G$2,0,IF((G$6-$G$3)&lt;1,0,IFERROR(LOOKUP(2,1/('Milho 1ª safra'!$E31:INDEX('Milho 1ª safra'!$E31:$Z31,MIN(G$6-$G$3,22))&lt;&gt;""),'Milho 1ª safra'!$E31:INDEX('Milho 1ª safra'!$E31:$Z31,MIN(G$6-$G$3,22))),0)))))</f>
        <v>0</v>
      </c>
      <c r="H33" s="27" t="n">
        <f aca="false">IF(COUNT('Milho 1ª safra'!$E31:$Z31)=0,0,MAX(0,IF((H$6-$E$3)&lt;1,0,IFERROR(LOOKUP(2,1/('Milho 1ª safra'!$E31:INDEX('Milho 1ª safra'!$E31:$Z31,MIN(H$6-$E$3,22))&lt;&gt;""),'Milho 1ª safra'!$E31:INDEX('Milho 1ª safra'!$E31:$Z31,MIN(H$6-$E$3,22))),0))-IF($G$2,0,IF((H$6-$G$3)&lt;1,0,IFERROR(LOOKUP(2,1/('Milho 1ª safra'!$E31:INDEX('Milho 1ª safra'!$E31:$Z31,MIN(H$6-$G$3,22))&lt;&gt;""),'Milho 1ª safra'!$E31:INDEX('Milho 1ª safra'!$E31:$Z31,MIN(H$6-$G$3,22))),0)))))</f>
        <v>0</v>
      </c>
      <c r="I33" s="27" t="n">
        <f aca="false">IF(COUNT('Milho 1ª safra'!$E31:$Z31)=0,0,MAX(0,IF((I$6-$E$3)&lt;1,0,IFERROR(LOOKUP(2,1/('Milho 1ª safra'!$E31:INDEX('Milho 1ª safra'!$E31:$Z31,MIN(I$6-$E$3,22))&lt;&gt;""),'Milho 1ª safra'!$E31:INDEX('Milho 1ª safra'!$E31:$Z31,MIN(I$6-$E$3,22))),0))-IF($G$2,0,IF((I$6-$G$3)&lt;1,0,IFERROR(LOOKUP(2,1/('Milho 1ª safra'!$E31:INDEX('Milho 1ª safra'!$E31:$Z31,MIN(I$6-$G$3,22))&lt;&gt;""),'Milho 1ª safra'!$E31:INDEX('Milho 1ª safra'!$E31:$Z31,MIN(I$6-$G$3,22))),0)))))</f>
        <v>0</v>
      </c>
      <c r="J33" s="27" t="n">
        <f aca="false">IF(COUNT('Milho 1ª safra'!$E31:$Z31)=0,0,MAX(0,IF((J$6-$E$3)&lt;1,0,IFERROR(LOOKUP(2,1/('Milho 1ª safra'!$E31:INDEX('Milho 1ª safra'!$E31:$Z31,MIN(J$6-$E$3,22))&lt;&gt;""),'Milho 1ª safra'!$E31:INDEX('Milho 1ª safra'!$E31:$Z31,MIN(J$6-$E$3,22))),0))-IF($G$2,0,IF((J$6-$G$3)&lt;1,0,IFERROR(LOOKUP(2,1/('Milho 1ª safra'!$E31:INDEX('Milho 1ª safra'!$E31:$Z31,MIN(J$6-$G$3,22))&lt;&gt;""),'Milho 1ª safra'!$E31:INDEX('Milho 1ª safra'!$E31:$Z31,MIN(J$6-$G$3,22))),0)))))</f>
        <v>0</v>
      </c>
      <c r="K33" s="27" t="n">
        <f aca="false">IF(COUNT('Milho 1ª safra'!$E31:$Z31)=0,0,MAX(0,IF((K$6-$E$3)&lt;1,0,IFERROR(LOOKUP(2,1/('Milho 1ª safra'!$E31:INDEX('Milho 1ª safra'!$E31:$Z31,MIN(K$6-$E$3,22))&lt;&gt;""),'Milho 1ª safra'!$E31:INDEX('Milho 1ª safra'!$E31:$Z31,MIN(K$6-$E$3,22))),0))-IF($G$2,0,IF((K$6-$G$3)&lt;1,0,IFERROR(LOOKUP(2,1/('Milho 1ª safra'!$E31:INDEX('Milho 1ª safra'!$E31:$Z31,MIN(K$6-$G$3,22))&lt;&gt;""),'Milho 1ª safra'!$E31:INDEX('Milho 1ª safra'!$E31:$Z31,MIN(K$6-$G$3,22))),0)))))</f>
        <v>0</v>
      </c>
      <c r="L33" s="27" t="n">
        <f aca="false">IF(COUNT('Milho 1ª safra'!$E31:$Z31)=0,0,MAX(0,IF((L$6-$E$3)&lt;1,0,IFERROR(LOOKUP(2,1/('Milho 1ª safra'!$E31:INDEX('Milho 1ª safra'!$E31:$Z31,MIN(L$6-$E$3,22))&lt;&gt;""),'Milho 1ª safra'!$E31:INDEX('Milho 1ª safra'!$E31:$Z31,MIN(L$6-$E$3,22))),0))-IF($G$2,0,IF((L$6-$G$3)&lt;1,0,IFERROR(LOOKUP(2,1/('Milho 1ª safra'!$E31:INDEX('Milho 1ª safra'!$E31:$Z31,MIN(L$6-$G$3,22))&lt;&gt;""),'Milho 1ª safra'!$E31:INDEX('Milho 1ª safra'!$E31:$Z31,MIN(L$6-$G$3,22))),0)))))</f>
        <v>0</v>
      </c>
      <c r="M33" s="27" t="n">
        <f aca="false">IF(COUNT('Milho 1ª safra'!$E31:$Z31)=0,0,MAX(0,IF((M$6-$E$3)&lt;1,0,IFERROR(LOOKUP(2,1/('Milho 1ª safra'!$E31:INDEX('Milho 1ª safra'!$E31:$Z31,MIN(M$6-$E$3,22))&lt;&gt;""),'Milho 1ª safra'!$E31:INDEX('Milho 1ª safra'!$E31:$Z31,MIN(M$6-$E$3,22))),0))-IF($G$2,0,IF((M$6-$G$3)&lt;1,0,IFERROR(LOOKUP(2,1/('Milho 1ª safra'!$E31:INDEX('Milho 1ª safra'!$E31:$Z31,MIN(M$6-$G$3,22))&lt;&gt;""),'Milho 1ª safra'!$E31:INDEX('Milho 1ª safra'!$E31:$Z31,MIN(M$6-$G$3,22))),0)))))</f>
        <v>0</v>
      </c>
      <c r="N33" s="27" t="n">
        <f aca="false">IF(COUNT('Milho 1ª safra'!$E31:$Z31)=0,0,MAX(0,IF((N$6-$E$3)&lt;1,0,IFERROR(LOOKUP(2,1/('Milho 1ª safra'!$E31:INDEX('Milho 1ª safra'!$E31:$Z31,MIN(N$6-$E$3,22))&lt;&gt;""),'Milho 1ª safra'!$E31:INDEX('Milho 1ª safra'!$E31:$Z31,MIN(N$6-$E$3,22))),0))-IF($G$2,0,IF((N$6-$G$3)&lt;1,0,IFERROR(LOOKUP(2,1/('Milho 1ª safra'!$E31:INDEX('Milho 1ª safra'!$E31:$Z31,MIN(N$6-$G$3,22))&lt;&gt;""),'Milho 1ª safra'!$E31:INDEX('Milho 1ª safra'!$E31:$Z31,MIN(N$6-$G$3,22))),0)))))</f>
        <v>0</v>
      </c>
      <c r="O33" s="27" t="n">
        <f aca="false">IF(COUNT('Milho 1ª safra'!$E31:$Z31)=0,0,MAX(0,IF((O$6-$E$3)&lt;1,0,IFERROR(LOOKUP(2,1/('Milho 1ª safra'!$E31:INDEX('Milho 1ª safra'!$E31:$Z31,MIN(O$6-$E$3,22))&lt;&gt;""),'Milho 1ª safra'!$E31:INDEX('Milho 1ª safra'!$E31:$Z31,MIN(O$6-$E$3,22))),0))-IF($G$2,0,IF((O$6-$G$3)&lt;1,0,IFERROR(LOOKUP(2,1/('Milho 1ª safra'!$E31:INDEX('Milho 1ª safra'!$E31:$Z31,MIN(O$6-$G$3,22))&lt;&gt;""),'Milho 1ª safra'!$E31:INDEX('Milho 1ª safra'!$E31:$Z31,MIN(O$6-$G$3,22))),0)))))</f>
        <v>0</v>
      </c>
      <c r="P33" s="27" t="n">
        <f aca="false">IF(COUNT('Milho 1ª safra'!$E31:$Z31)=0,0,MAX(0,IF((P$6-$E$3)&lt;1,0,IFERROR(LOOKUP(2,1/('Milho 1ª safra'!$E31:INDEX('Milho 1ª safra'!$E31:$Z31,MIN(P$6-$E$3,22))&lt;&gt;""),'Milho 1ª safra'!$E31:INDEX('Milho 1ª safra'!$E31:$Z31,MIN(P$6-$E$3,22))),0))-IF($G$2,0,IF((P$6-$G$3)&lt;1,0,IFERROR(LOOKUP(2,1/('Milho 1ª safra'!$E31:INDEX('Milho 1ª safra'!$E31:$Z31,MIN(P$6-$G$3,22))&lt;&gt;""),'Milho 1ª safra'!$E31:INDEX('Milho 1ª safra'!$E31:$Z31,MIN(P$6-$G$3,22))),0)))))</f>
        <v>0</v>
      </c>
      <c r="Q33" s="27" t="n">
        <f aca="false">IF(COUNT('Milho 1ª safra'!$E31:$Z31)=0,0,MAX(0,IF((Q$6-$E$3)&lt;1,0,IFERROR(LOOKUP(2,1/('Milho 1ª safra'!$E31:INDEX('Milho 1ª safra'!$E31:$Z31,MIN(Q$6-$E$3,22))&lt;&gt;""),'Milho 1ª safra'!$E31:INDEX('Milho 1ª safra'!$E31:$Z31,MIN(Q$6-$E$3,22))),0))-IF($G$2,0,IF((Q$6-$G$3)&lt;1,0,IFERROR(LOOKUP(2,1/('Milho 1ª safra'!$E31:INDEX('Milho 1ª safra'!$E31:$Z31,MIN(Q$6-$G$3,22))&lt;&gt;""),'Milho 1ª safra'!$E31:INDEX('Milho 1ª safra'!$E31:$Z31,MIN(Q$6-$G$3,22))),0)))))</f>
        <v>0</v>
      </c>
      <c r="R33" s="27" t="n">
        <f aca="false">IF(COUNT('Milho 1ª safra'!$E31:$Z31)=0,0,MAX(0,IF((R$6-$E$3)&lt;1,0,IFERROR(LOOKUP(2,1/('Milho 1ª safra'!$E31:INDEX('Milho 1ª safra'!$E31:$Z31,MIN(R$6-$E$3,22))&lt;&gt;""),'Milho 1ª safra'!$E31:INDEX('Milho 1ª safra'!$E31:$Z31,MIN(R$6-$E$3,22))),0))-IF($G$2,0,IF((R$6-$G$3)&lt;1,0,IFERROR(LOOKUP(2,1/('Milho 1ª safra'!$E31:INDEX('Milho 1ª safra'!$E31:$Z31,MIN(R$6-$G$3,22))&lt;&gt;""),'Milho 1ª safra'!$E31:INDEX('Milho 1ª safra'!$E31:$Z31,MIN(R$6-$G$3,22))),0)))))</f>
        <v>0</v>
      </c>
      <c r="S33" s="27" t="n">
        <f aca="false">IF(COUNT('Milho 1ª safra'!$E31:$Z31)=0,0,MAX(0,IF((S$6-$E$3)&lt;1,0,IFERROR(LOOKUP(2,1/('Milho 1ª safra'!$E31:INDEX('Milho 1ª safra'!$E31:$Z31,MIN(S$6-$E$3,22))&lt;&gt;""),'Milho 1ª safra'!$E31:INDEX('Milho 1ª safra'!$E31:$Z31,MIN(S$6-$E$3,22))),0))-IF($G$2,0,IF((S$6-$G$3)&lt;1,0,IFERROR(LOOKUP(2,1/('Milho 1ª safra'!$E31:INDEX('Milho 1ª safra'!$E31:$Z31,MIN(S$6-$G$3,22))&lt;&gt;""),'Milho 1ª safra'!$E31:INDEX('Milho 1ª safra'!$E31:$Z31,MIN(S$6-$G$3,22))),0)))))</f>
        <v>0</v>
      </c>
      <c r="T33" s="27" t="n">
        <f aca="false">IF(COUNT('Milho 1ª safra'!$E31:$Z31)=0,0,MAX(0,IF((T$6-$E$3)&lt;1,0,IFERROR(LOOKUP(2,1/('Milho 1ª safra'!$E31:INDEX('Milho 1ª safra'!$E31:$Z31,MIN(T$6-$E$3,22))&lt;&gt;""),'Milho 1ª safra'!$E31:INDEX('Milho 1ª safra'!$E31:$Z31,MIN(T$6-$E$3,22))),0))-IF($G$2,0,IF((T$6-$G$3)&lt;1,0,IFERROR(LOOKUP(2,1/('Milho 1ª safra'!$E31:INDEX('Milho 1ª safra'!$E31:$Z31,MIN(T$6-$G$3,22))&lt;&gt;""),'Milho 1ª safra'!$E31:INDEX('Milho 1ª safra'!$E31:$Z31,MIN(T$6-$G$3,22))),0)))))</f>
        <v>0</v>
      </c>
      <c r="U33" s="27" t="n">
        <f aca="false">IF(COUNT('Milho 1ª safra'!$E31:$Z31)=0,0,MAX(0,IF((U$6-$E$3)&lt;1,0,IFERROR(LOOKUP(2,1/('Milho 1ª safra'!$E31:INDEX('Milho 1ª safra'!$E31:$Z31,MIN(U$6-$E$3,22))&lt;&gt;""),'Milho 1ª safra'!$E31:INDEX('Milho 1ª safra'!$E31:$Z31,MIN(U$6-$E$3,22))),0))-IF($G$2,0,IF((U$6-$G$3)&lt;1,0,IFERROR(LOOKUP(2,1/('Milho 1ª safra'!$E31:INDEX('Milho 1ª safra'!$E31:$Z31,MIN(U$6-$G$3,22))&lt;&gt;""),'Milho 1ª safra'!$E31:INDEX('Milho 1ª safra'!$E31:$Z31,MIN(U$6-$G$3,22))),0)))))</f>
        <v>0</v>
      </c>
      <c r="V33" s="27" t="n">
        <f aca="false">IF(COUNT('Milho 1ª safra'!$E31:$Z31)=0,0,MAX(0,IF((V$6-$E$3)&lt;1,0,IFERROR(LOOKUP(2,1/('Milho 1ª safra'!$E31:INDEX('Milho 1ª safra'!$E31:$Z31,MIN(V$6-$E$3,22))&lt;&gt;""),'Milho 1ª safra'!$E31:INDEX('Milho 1ª safra'!$E31:$Z31,MIN(V$6-$E$3,22))),0))-IF($G$2,0,IF((V$6-$G$3)&lt;1,0,IFERROR(LOOKUP(2,1/('Milho 1ª safra'!$E31:INDEX('Milho 1ª safra'!$E31:$Z31,MIN(V$6-$G$3,22))&lt;&gt;""),'Milho 1ª safra'!$E31:INDEX('Milho 1ª safra'!$E31:$Z31,MIN(V$6-$G$3,22))),0)))))</f>
        <v>0</v>
      </c>
      <c r="W33" s="27" t="n">
        <f aca="false">IF(COUNT('Milho 1ª safra'!$E31:$Z31)=0,0,MAX(0,IF((W$6-$E$3)&lt;1,0,IFERROR(LOOKUP(2,1/('Milho 1ª safra'!$E31:INDEX('Milho 1ª safra'!$E31:$Z31,MIN(W$6-$E$3,22))&lt;&gt;""),'Milho 1ª safra'!$E31:INDEX('Milho 1ª safra'!$E31:$Z31,MIN(W$6-$E$3,22))),0))-IF($G$2,0,IF((W$6-$G$3)&lt;1,0,IFERROR(LOOKUP(2,1/('Milho 1ª safra'!$E31:INDEX('Milho 1ª safra'!$E31:$Z31,MIN(W$6-$G$3,22))&lt;&gt;""),'Milho 1ª safra'!$E31:INDEX('Milho 1ª safra'!$E31:$Z31,MIN(W$6-$G$3,22))),0)))))</f>
        <v>0</v>
      </c>
      <c r="X33" s="27" t="n">
        <f aca="false">IF(COUNT('Milho 1ª safra'!$E31:$Z31)=0,0,MAX(0,IF((X$6-$E$3)&lt;1,0,IFERROR(LOOKUP(2,1/('Milho 1ª safra'!$E31:INDEX('Milho 1ª safra'!$E31:$Z31,MIN(X$6-$E$3,22))&lt;&gt;""),'Milho 1ª safra'!$E31:INDEX('Milho 1ª safra'!$E31:$Z31,MIN(X$6-$E$3,22))),0))-IF($G$2,0,IF((X$6-$G$3)&lt;1,0,IFERROR(LOOKUP(2,1/('Milho 1ª safra'!$E31:INDEX('Milho 1ª safra'!$E31:$Z31,MIN(X$6-$G$3,22))&lt;&gt;""),'Milho 1ª safra'!$E31:INDEX('Milho 1ª safra'!$E31:$Z31,MIN(X$6-$G$3,22))),0)))))</f>
        <v>0</v>
      </c>
      <c r="Y33" s="27" t="n">
        <f aca="false">IF(COUNT('Milho 1ª safra'!$E31:$Z31)=0,0,MAX(0,IF((Y$6-$E$3)&lt;1,0,IFERROR(LOOKUP(2,1/('Milho 1ª safra'!$E31:INDEX('Milho 1ª safra'!$E31:$Z31,MIN(Y$6-$E$3,22))&lt;&gt;""),'Milho 1ª safra'!$E31:INDEX('Milho 1ª safra'!$E31:$Z31,MIN(Y$6-$E$3,22))),0))-IF($G$2,0,IF((Y$6-$G$3)&lt;1,0,IFERROR(LOOKUP(2,1/('Milho 1ª safra'!$E31:INDEX('Milho 1ª safra'!$E31:$Z31,MIN(Y$6-$G$3,22))&lt;&gt;""),'Milho 1ª safra'!$E31:INDEX('Milho 1ª safra'!$E31:$Z31,MIN(Y$6-$G$3,22))),0)))))</f>
        <v>0</v>
      </c>
      <c r="Z33" s="27" t="n">
        <f aca="false">IF(COUNT('Milho 1ª safra'!$E31:$Z31)=0,0,MAX(0,IF((Z$6-$E$3)&lt;1,0,IFERROR(LOOKUP(2,1/('Milho 1ª safra'!$E31:INDEX('Milho 1ª safra'!$E31:$Z31,MIN(Z$6-$E$3,22))&lt;&gt;""),'Milho 1ª safra'!$E31:INDEX('Milho 1ª safra'!$E31:$Z31,MIN(Z$6-$E$3,22))),0))-IF($G$2,0,IF((Z$6-$G$3)&lt;1,0,IFERROR(LOOKUP(2,1/('Milho 1ª safra'!$E31:INDEX('Milho 1ª safra'!$E31:$Z31,MIN(Z$6-$G$3,22))&lt;&gt;""),'Milho 1ª safra'!$E31:INDEX('Milho 1ª safra'!$E31:$Z31,MIN(Z$6-$G$3,22))),0)))))</f>
        <v>0</v>
      </c>
      <c r="AA33" s="27" t="n">
        <f aca="false">IF(COUNT('Milho 1ª safra'!$E31:$Z31)=0,0,MAX(0,IF((AA$6-$E$3)&lt;1,0,IFERROR(LOOKUP(2,1/('Milho 1ª safra'!$E31:INDEX('Milho 1ª safra'!$E31:$Z31,MIN(AA$6-$E$3,22))&lt;&gt;""),'Milho 1ª safra'!$E31:INDEX('Milho 1ª safra'!$E31:$Z31,MIN(AA$6-$E$3,22))),0))-IF($G$2,0,IF((AA$6-$G$3)&lt;1,0,IFERROR(LOOKUP(2,1/('Milho 1ª safra'!$E31:INDEX('Milho 1ª safra'!$E31:$Z31,MIN(AA$6-$G$3,22))&lt;&gt;""),'Milho 1ª safra'!$E31:INDEX('Milho 1ª safra'!$E31:$Z31,MIN(AA$6-$G$3,22))),0)))))</f>
        <v>0</v>
      </c>
      <c r="AB33" s="27" t="n">
        <f aca="false">IF(COUNT('Milho 1ª safra'!$E31:$Z31)=0,0,MAX(0,IF((AB$6-$E$3)&lt;1,0,IFERROR(LOOKUP(2,1/('Milho 1ª safra'!$E31:INDEX('Milho 1ª safra'!$E31:$Z31,MIN(AB$6-$E$3,22))&lt;&gt;""),'Milho 1ª safra'!$E31:INDEX('Milho 1ª safra'!$E31:$Z31,MIN(AB$6-$E$3,22))),0))-IF($G$2,0,IF((AB$6-$G$3)&lt;1,0,IFERROR(LOOKUP(2,1/('Milho 1ª safra'!$E31:INDEX('Milho 1ª safra'!$E31:$Z31,MIN(AB$6-$G$3,22))&lt;&gt;""),'Milho 1ª safra'!$E31:INDEX('Milho 1ª safra'!$E31:$Z31,MIN(AB$6-$G$3,22))),0)))))</f>
        <v>0</v>
      </c>
      <c r="AC33" s="27" t="n">
        <f aca="false">IF(COUNT('Milho 1ª safra'!$E31:$Z31)=0,0,MAX(0,IF((AC$6-$E$3)&lt;1,0,IFERROR(LOOKUP(2,1/('Milho 1ª safra'!$E31:INDEX('Milho 1ª safra'!$E31:$Z31,MIN(AC$6-$E$3,22))&lt;&gt;""),'Milho 1ª safra'!$E31:INDEX('Milho 1ª safra'!$E31:$Z31,MIN(AC$6-$E$3,22))),0))-IF($G$2,0,IF((AC$6-$G$3)&lt;1,0,IFERROR(LOOKUP(2,1/('Milho 1ª safra'!$E31:INDEX('Milho 1ª safra'!$E31:$Z31,MIN(AC$6-$G$3,22))&lt;&gt;""),'Milho 1ª safra'!$E31:INDEX('Milho 1ª safra'!$E31:$Z31,MIN(AC$6-$G$3,22))),0)))))</f>
        <v>0</v>
      </c>
      <c r="AD33" s="27" t="n">
        <f aca="false">IF(COUNT('Milho 1ª safra'!$E31:$Z31)=0,0,MAX(0,IF((AD$6-$E$3)&lt;1,0,IFERROR(LOOKUP(2,1/('Milho 1ª safra'!$E31:INDEX('Milho 1ª safra'!$E31:$Z31,MIN(AD$6-$E$3,22))&lt;&gt;""),'Milho 1ª safra'!$E31:INDEX('Milho 1ª safra'!$E31:$Z31,MIN(AD$6-$E$3,22))),0))-IF($G$2,0,IF((AD$6-$G$3)&lt;1,0,IFERROR(LOOKUP(2,1/('Milho 1ª safra'!$E31:INDEX('Milho 1ª safra'!$E31:$Z31,MIN(AD$6-$G$3,22))&lt;&gt;""),'Milho 1ª safra'!$E31:INDEX('Milho 1ª safra'!$E31:$Z31,MIN(AD$6-$G$3,22))),0)))))</f>
        <v>0</v>
      </c>
      <c r="AE33" s="27" t="n">
        <f aca="false">IF(COUNT('Milho 1ª safra'!$E31:$Z31)=0,0,MAX(0,IF((AE$6-$E$3)&lt;1,0,IFERROR(LOOKUP(2,1/('Milho 1ª safra'!$E31:INDEX('Milho 1ª safra'!$E31:$Z31,MIN(AE$6-$E$3,22))&lt;&gt;""),'Milho 1ª safra'!$E31:INDEX('Milho 1ª safra'!$E31:$Z31,MIN(AE$6-$E$3,22))),0))-IF($G$2,0,IF((AE$6-$G$3)&lt;1,0,IFERROR(LOOKUP(2,1/('Milho 1ª safra'!$E31:INDEX('Milho 1ª safra'!$E31:$Z31,MIN(AE$6-$G$3,22))&lt;&gt;""),'Milho 1ª safra'!$E31:INDEX('Milho 1ª safra'!$E31:$Z31,MIN(AE$6-$G$3,22))),0)))))</f>
        <v>0</v>
      </c>
      <c r="AF33" s="27" t="n">
        <f aca="false">IF(COUNT('Milho 1ª safra'!$E31:$Z31)=0,0,MAX(0,IF((AF$6-$E$3)&lt;1,0,IFERROR(LOOKUP(2,1/('Milho 1ª safra'!$E31:INDEX('Milho 1ª safra'!$E31:$Z31,MIN(AF$6-$E$3,22))&lt;&gt;""),'Milho 1ª safra'!$E31:INDEX('Milho 1ª safra'!$E31:$Z31,MIN(AF$6-$E$3,22))),0))-IF($G$2,0,IF((AF$6-$G$3)&lt;1,0,IFERROR(LOOKUP(2,1/('Milho 1ª safra'!$E31:INDEX('Milho 1ª safra'!$E31:$Z31,MIN(AF$6-$G$3,22))&lt;&gt;""),'Milho 1ª safra'!$E31:INDEX('Milho 1ª safra'!$E31:$Z31,MIN(AF$6-$G$3,22))),0)))))</f>
        <v>0</v>
      </c>
      <c r="AG33" s="27" t="n">
        <f aca="false">IF(COUNT('Milho 1ª safra'!$E31:$Z31)=0,0,MAX(0,IF((AG$6-$E$3)&lt;1,0,IFERROR(LOOKUP(2,1/('Milho 1ª safra'!$E31:INDEX('Milho 1ª safra'!$E31:$Z31,MIN(AG$6-$E$3,22))&lt;&gt;""),'Milho 1ª safra'!$E31:INDEX('Milho 1ª safra'!$E31:$Z31,MIN(AG$6-$E$3,22))),0))-IF($G$2,0,IF((AG$6-$G$3)&lt;1,0,IFERROR(LOOKUP(2,1/('Milho 1ª safra'!$E31:INDEX('Milho 1ª safra'!$E31:$Z31,MIN(AG$6-$G$3,22))&lt;&gt;""),'Milho 1ª safra'!$E31:INDEX('Milho 1ª safra'!$E31:$Z31,MIN(AG$6-$G$3,22))),0)))))</f>
        <v>0</v>
      </c>
      <c r="AH33" s="27" t="n">
        <f aca="false">IF(COUNT('Milho 1ª safra'!$E31:$Z31)=0,0,MAX(0,IF((AH$6-$E$3)&lt;1,0,IFERROR(LOOKUP(2,1/('Milho 1ª safra'!$E31:INDEX('Milho 1ª safra'!$E31:$Z31,MIN(AH$6-$E$3,22))&lt;&gt;""),'Milho 1ª safra'!$E31:INDEX('Milho 1ª safra'!$E31:$Z31,MIN(AH$6-$E$3,22))),0))-IF($G$2,0,IF((AH$6-$G$3)&lt;1,0,IFERROR(LOOKUP(2,1/('Milho 1ª safra'!$E31:INDEX('Milho 1ª safra'!$E31:$Z31,MIN(AH$6-$G$3,22))&lt;&gt;""),'Milho 1ª safra'!$E31:INDEX('Milho 1ª safra'!$E31:$Z31,MIN(AH$6-$G$3,22))),0)))))</f>
        <v>0</v>
      </c>
      <c r="AI33" s="27" t="n">
        <f aca="false">IF(COUNT('Milho 1ª safra'!$E31:$Z31)=0,0,MAX(0,IF((AI$6-$E$3)&lt;1,0,IFERROR(LOOKUP(2,1/('Milho 1ª safra'!$E31:INDEX('Milho 1ª safra'!$E31:$Z31,MIN(AI$6-$E$3,22))&lt;&gt;""),'Milho 1ª safra'!$E31:INDEX('Milho 1ª safra'!$E31:$Z31,MIN(AI$6-$E$3,22))),0))-IF($G$2,0,IF((AI$6-$G$3)&lt;1,0,IFERROR(LOOKUP(2,1/('Milho 1ª safra'!$E31:INDEX('Milho 1ª safra'!$E31:$Z31,MIN(AI$6-$G$3,22))&lt;&gt;""),'Milho 1ª safra'!$E31:INDEX('Milho 1ª safra'!$E31:$Z31,MIN(AI$6-$G$3,22))),0)))))</f>
        <v>0</v>
      </c>
      <c r="AJ33" s="27" t="n">
        <f aca="false">IF(COUNT('Milho 1ª safra'!$E31:$Z31)=0,0,MAX(0,IF((AJ$6-$E$3)&lt;1,0,IFERROR(LOOKUP(2,1/('Milho 1ª safra'!$E31:INDEX('Milho 1ª safra'!$E31:$Z31,MIN(AJ$6-$E$3,22))&lt;&gt;""),'Milho 1ª safra'!$E31:INDEX('Milho 1ª safra'!$E31:$Z31,MIN(AJ$6-$E$3,22))),0))-IF($G$2,0,IF((AJ$6-$G$3)&lt;1,0,IFERROR(LOOKUP(2,1/('Milho 1ª safra'!$E31:INDEX('Milho 1ª safra'!$E31:$Z31,MIN(AJ$6-$G$3,22))&lt;&gt;""),'Milho 1ª safra'!$E31:INDEX('Milho 1ª safra'!$E31:$Z31,MIN(AJ$6-$G$3,22))),0)))))</f>
        <v>0</v>
      </c>
      <c r="AK33" s="27" t="n">
        <f aca="false">IF(COUNT('Milho 1ª safra'!$E31:$Z31)=0,0,MAX(0,IF((AK$6-$E$3)&lt;1,0,IFERROR(LOOKUP(2,1/('Milho 1ª safra'!$E31:INDEX('Milho 1ª safra'!$E31:$Z31,MIN(AK$6-$E$3,22))&lt;&gt;""),'Milho 1ª safra'!$E31:INDEX('Milho 1ª safra'!$E31:$Z31,MIN(AK$6-$E$3,22))),0))-IF($G$2,0,IF((AK$6-$G$3)&lt;1,0,IFERROR(LOOKUP(2,1/('Milho 1ª safra'!$E31:INDEX('Milho 1ª safra'!$E31:$Z31,MIN(AK$6-$G$3,22))&lt;&gt;""),'Milho 1ª safra'!$E31:INDEX('Milho 1ª safra'!$E31:$Z31,MIN(AK$6-$G$3,22))),0)))))</f>
        <v>0</v>
      </c>
      <c r="AL33" s="27" t="n">
        <f aca="false">IF(COUNT('Milho 1ª safra'!$E31:$Z31)=0,0,MAX(0,IF((AL$6-$E$3)&lt;1,0,IFERROR(LOOKUP(2,1/('Milho 1ª safra'!$E31:INDEX('Milho 1ª safra'!$E31:$Z31,MIN(AL$6-$E$3,22))&lt;&gt;""),'Milho 1ª safra'!$E31:INDEX('Milho 1ª safra'!$E31:$Z31,MIN(AL$6-$E$3,22))),0))-IF($G$2,0,IF((AL$6-$G$3)&lt;1,0,IFERROR(LOOKUP(2,1/('Milho 1ª safra'!$E31:INDEX('Milho 1ª safra'!$E31:$Z31,MIN(AL$6-$G$3,22))&lt;&gt;""),'Milho 1ª safra'!$E31:INDEX('Milho 1ª safra'!$E31:$Z31,MIN(AL$6-$G$3,22))),0)))))</f>
        <v>0</v>
      </c>
      <c r="AM33" s="27" t="n">
        <f aca="false">IF(COUNT('Milho 1ª safra'!$E31:$Z31)=0,0,MAX(0,IF((AM$6-$E$3)&lt;1,0,IFERROR(LOOKUP(2,1/('Milho 1ª safra'!$E31:INDEX('Milho 1ª safra'!$E31:$Z31,MIN(AM$6-$E$3,22))&lt;&gt;""),'Milho 1ª safra'!$E31:INDEX('Milho 1ª safra'!$E31:$Z31,MIN(AM$6-$E$3,22))),0))-IF($G$2,0,IF((AM$6-$G$3)&lt;1,0,IFERROR(LOOKUP(2,1/('Milho 1ª safra'!$E31:INDEX('Milho 1ª safra'!$E31:$Z31,MIN(AM$6-$G$3,22))&lt;&gt;""),'Milho 1ª safra'!$E31:INDEX('Milho 1ª safra'!$E31:$Z31,MIN(AM$6-$G$3,22))),0)))))</f>
        <v>0</v>
      </c>
      <c r="AN33" s="27" t="n">
        <f aca="false">IF(COUNT('Milho 1ª safra'!$E31:$Z31)=0,0,MAX(0,IF((AN$6-$E$3)&lt;1,0,IFERROR(LOOKUP(2,1/('Milho 1ª safra'!$E31:INDEX('Milho 1ª safra'!$E31:$Z31,MIN(AN$6-$E$3,22))&lt;&gt;""),'Milho 1ª safra'!$E31:INDEX('Milho 1ª safra'!$E31:$Z31,MIN(AN$6-$E$3,22))),0))-IF($G$2,0,IF((AN$6-$G$3)&lt;1,0,IFERROR(LOOKUP(2,1/('Milho 1ª safra'!$E31:INDEX('Milho 1ª safra'!$E31:$Z31,MIN(AN$6-$G$3,22))&lt;&gt;""),'Milho 1ª safra'!$E31:INDEX('Milho 1ª safra'!$E31:$Z31,MIN(AN$6-$G$3,22))),0)))))</f>
        <v>0</v>
      </c>
      <c r="AO33" s="27" t="n">
        <f aca="false">IF(COUNT('Milho 1ª safra'!$E31:$Z31)=0,0,MAX(0,IF((AO$6-$E$3)&lt;1,0,IFERROR(LOOKUP(2,1/('Milho 1ª safra'!$E31:INDEX('Milho 1ª safra'!$E31:$Z31,MIN(AO$6-$E$3,22))&lt;&gt;""),'Milho 1ª safra'!$E31:INDEX('Milho 1ª safra'!$E31:$Z31,MIN(AO$6-$E$3,22))),0))-IF($G$2,0,IF((AO$6-$G$3)&lt;1,0,IFERROR(LOOKUP(2,1/('Milho 1ª safra'!$E31:INDEX('Milho 1ª safra'!$E31:$Z31,MIN(AO$6-$G$3,22))&lt;&gt;""),'Milho 1ª safra'!$E31:INDEX('Milho 1ª safra'!$E31:$Z31,MIN(AO$6-$G$3,22))),0)))))</f>
        <v>0</v>
      </c>
      <c r="AP33" s="27" t="n">
        <f aca="false">IF(COUNT('Milho 1ª safra'!$E31:$Z31)=0,0,MAX(0,IF((AP$6-$E$3)&lt;1,0,IFERROR(LOOKUP(2,1/('Milho 1ª safra'!$E31:INDEX('Milho 1ª safra'!$E31:$Z31,MIN(AP$6-$E$3,22))&lt;&gt;""),'Milho 1ª safra'!$E31:INDEX('Milho 1ª safra'!$E31:$Z31,MIN(AP$6-$E$3,22))),0))-IF($G$2,0,IF((AP$6-$G$3)&lt;1,0,IFERROR(LOOKUP(2,1/('Milho 1ª safra'!$E31:INDEX('Milho 1ª safra'!$E31:$Z31,MIN(AP$6-$G$3,22))&lt;&gt;""),'Milho 1ª safra'!$E31:INDEX('Milho 1ª safra'!$E31:$Z31,MIN(AP$6-$G$3,22))),0)))))</f>
        <v>0</v>
      </c>
      <c r="AQ33" s="27" t="n">
        <f aca="false">IF(COUNT('Milho 1ª safra'!$E31:$Z31)=0,0,MAX(0,IF((AQ$6-$E$3)&lt;1,0,IFERROR(LOOKUP(2,1/('Milho 1ª safra'!$E31:INDEX('Milho 1ª safra'!$E31:$Z31,MIN(AQ$6-$E$3,22))&lt;&gt;""),'Milho 1ª safra'!$E31:INDEX('Milho 1ª safra'!$E31:$Z31,MIN(AQ$6-$E$3,22))),0))-IF($G$2,0,IF((AQ$6-$G$3)&lt;1,0,IFERROR(LOOKUP(2,1/('Milho 1ª safra'!$E31:INDEX('Milho 1ª safra'!$E31:$Z31,MIN(AQ$6-$G$3,22))&lt;&gt;""),'Milho 1ª safra'!$E31:INDEX('Milho 1ª safra'!$E31:$Z31,MIN(AQ$6-$G$3,22))),0)))))</f>
        <v>0</v>
      </c>
      <c r="AR33" s="27" t="n">
        <f aca="false">IF(COUNT('Milho 1ª safra'!$E31:$Z31)=0,0,MAX(0,IF((AR$6-$E$3)&lt;1,0,IFERROR(LOOKUP(2,1/('Milho 1ª safra'!$E31:INDEX('Milho 1ª safra'!$E31:$Z31,MIN(AR$6-$E$3,22))&lt;&gt;""),'Milho 1ª safra'!$E31:INDEX('Milho 1ª safra'!$E31:$Z31,MIN(AR$6-$E$3,22))),0))-IF($G$2,0,IF((AR$6-$G$3)&lt;1,0,IFERROR(LOOKUP(2,1/('Milho 1ª safra'!$E31:INDEX('Milho 1ª safra'!$E31:$Z31,MIN(AR$6-$G$3,22))&lt;&gt;""),'Milho 1ª safra'!$E31:INDEX('Milho 1ª safra'!$E31:$Z31,MIN(AR$6-$G$3,22))),0)))))</f>
        <v>0</v>
      </c>
      <c r="AS33" s="27" t="n">
        <f aca="false">IF(COUNT('Milho 1ª safra'!$E31:$Z31)=0,0,MAX(0,IF((AS$6-$E$3)&lt;1,0,IFERROR(LOOKUP(2,1/('Milho 1ª safra'!$E31:INDEX('Milho 1ª safra'!$E31:$Z31,MIN(AS$6-$E$3,22))&lt;&gt;""),'Milho 1ª safra'!$E31:INDEX('Milho 1ª safra'!$E31:$Z31,MIN(AS$6-$E$3,22))),0))-IF($G$2,0,IF((AS$6-$G$3)&lt;1,0,IFERROR(LOOKUP(2,1/('Milho 1ª safra'!$E31:INDEX('Milho 1ª safra'!$E31:$Z31,MIN(AS$6-$G$3,22))&lt;&gt;""),'Milho 1ª safra'!$E31:INDEX('Milho 1ª safra'!$E31:$Z31,MIN(AS$6-$G$3,22))),0)))))</f>
        <v>0</v>
      </c>
      <c r="AT33" s="27" t="n">
        <f aca="false">IF(COUNT('Milho 1ª safra'!$E31:$Z31)=0,0,MAX(0,IF((AT$6-$E$3)&lt;1,0,IFERROR(LOOKUP(2,1/('Milho 1ª safra'!$E31:INDEX('Milho 1ª safra'!$E31:$Z31,MIN(AT$6-$E$3,22))&lt;&gt;""),'Milho 1ª safra'!$E31:INDEX('Milho 1ª safra'!$E31:$Z31,MIN(AT$6-$E$3,22))),0))-IF($G$2,0,IF((AT$6-$G$3)&lt;1,0,IFERROR(LOOKUP(2,1/('Milho 1ª safra'!$E31:INDEX('Milho 1ª safra'!$E31:$Z31,MIN(AT$6-$G$3,22))&lt;&gt;""),'Milho 1ª safra'!$E31:INDEX('Milho 1ª safra'!$E31:$Z31,MIN(AT$6-$G$3,22))),0)))))</f>
        <v>0</v>
      </c>
      <c r="AU33" s="27" t="n">
        <f aca="false">IF(COUNT('Milho 1ª safra'!$E31:$Z31)=0,0,MAX(0,IF((AU$6-$E$3)&lt;1,0,IFERROR(LOOKUP(2,1/('Milho 1ª safra'!$E31:INDEX('Milho 1ª safra'!$E31:$Z31,MIN(AU$6-$E$3,22))&lt;&gt;""),'Milho 1ª safra'!$E31:INDEX('Milho 1ª safra'!$E31:$Z31,MIN(AU$6-$E$3,22))),0))-IF($G$2,0,IF((AU$6-$G$3)&lt;1,0,IFERROR(LOOKUP(2,1/('Milho 1ª safra'!$E31:INDEX('Milho 1ª safra'!$E31:$Z31,MIN(AU$6-$G$3,22))&lt;&gt;""),'Milho 1ª safra'!$E31:INDEX('Milho 1ª safra'!$E31:$Z31,MIN(AU$6-$G$3,22))),0)))))</f>
        <v>0</v>
      </c>
      <c r="AV33" s="27" t="n">
        <f aca="false">IF(COUNT('Milho 1ª safra'!$E31:$Z31)=0,0,MAX(0,IF((AV$6-$E$3)&lt;1,0,IFERROR(LOOKUP(2,1/('Milho 1ª safra'!$E31:INDEX('Milho 1ª safra'!$E31:$Z31,MIN(AV$6-$E$3,22))&lt;&gt;""),'Milho 1ª safra'!$E31:INDEX('Milho 1ª safra'!$E31:$Z31,MIN(AV$6-$E$3,22))),0))-IF($G$2,0,IF((AV$6-$G$3)&lt;1,0,IFERROR(LOOKUP(2,1/('Milho 1ª safra'!$E31:INDEX('Milho 1ª safra'!$E31:$Z31,MIN(AV$6-$G$3,22))&lt;&gt;""),'Milho 1ª safra'!$E31:INDEX('Milho 1ª safra'!$E31:$Z31,MIN(AV$6-$G$3,22))),0)))))</f>
        <v>0</v>
      </c>
      <c r="AW33" s="27" t="n">
        <f aca="false">IF(COUNT('Milho 1ª safra'!$E31:$Z31)=0,0,MAX(0,IF((AW$6-$E$3)&lt;1,0,IFERROR(LOOKUP(2,1/('Milho 1ª safra'!$E31:INDEX('Milho 1ª safra'!$E31:$Z31,MIN(AW$6-$E$3,22))&lt;&gt;""),'Milho 1ª safra'!$E31:INDEX('Milho 1ª safra'!$E31:$Z31,MIN(AW$6-$E$3,22))),0))-IF($G$2,0,IF((AW$6-$G$3)&lt;1,0,IFERROR(LOOKUP(2,1/('Milho 1ª safra'!$E31:INDEX('Milho 1ª safra'!$E31:$Z31,MIN(AW$6-$G$3,22))&lt;&gt;""),'Milho 1ª safra'!$E31:INDEX('Milho 1ª safra'!$E31:$Z31,MIN(AW$6-$G$3,22))),0)))))</f>
        <v>0</v>
      </c>
      <c r="AX33" s="27" t="n">
        <f aca="false">IF(COUNT('Milho 1ª safra'!$E31:$Z31)=0,0,MAX(0,IF((AX$6-$E$3)&lt;1,0,IFERROR(LOOKUP(2,1/('Milho 1ª safra'!$E31:INDEX('Milho 1ª safra'!$E31:$Z31,MIN(AX$6-$E$3,22))&lt;&gt;""),'Milho 1ª safra'!$E31:INDEX('Milho 1ª safra'!$E31:$Z31,MIN(AX$6-$E$3,22))),0))-IF($G$2,0,IF((AX$6-$G$3)&lt;1,0,IFERROR(LOOKUP(2,1/('Milho 1ª safra'!$E31:INDEX('Milho 1ª safra'!$E31:$Z31,MIN(AX$6-$G$3,22))&lt;&gt;""),'Milho 1ª safra'!$E31:INDEX('Milho 1ª safra'!$E31:$Z31,MIN(AX$6-$G$3,22))),0)))))</f>
        <v>0</v>
      </c>
      <c r="AY33" s="27" t="n">
        <f aca="false">IF(COUNT('Milho 1ª safra'!$E31:$Z31)=0,0,MAX(0,IF((AY$6-$E$3)&lt;1,0,IFERROR(LOOKUP(2,1/('Milho 1ª safra'!$E31:INDEX('Milho 1ª safra'!$E31:$Z31,MIN(AY$6-$E$3,22))&lt;&gt;""),'Milho 1ª safra'!$E31:INDEX('Milho 1ª safra'!$E31:$Z31,MIN(AY$6-$E$3,22))),0))-IF($G$2,0,IF((AY$6-$G$3)&lt;1,0,IFERROR(LOOKUP(2,1/('Milho 1ª safra'!$E31:INDEX('Milho 1ª safra'!$E31:$Z31,MIN(AY$6-$G$3,22))&lt;&gt;""),'Milho 1ª safra'!$E31:INDEX('Milho 1ª safra'!$E31:$Z31,MIN(AY$6-$G$3,22))),0)))))</f>
        <v>0</v>
      </c>
      <c r="AZ33" s="27" t="n">
        <f aca="false">IF(COUNT('Milho 1ª safra'!$E31:$Z31)=0,0,MAX(0,IF((AZ$6-$E$3)&lt;1,0,IFERROR(LOOKUP(2,1/('Milho 1ª safra'!$E31:INDEX('Milho 1ª safra'!$E31:$Z31,MIN(AZ$6-$E$3,22))&lt;&gt;""),'Milho 1ª safra'!$E31:INDEX('Milho 1ª safra'!$E31:$Z31,MIN(AZ$6-$E$3,22))),0))-IF($G$2,0,IF((AZ$6-$G$3)&lt;1,0,IFERROR(LOOKUP(2,1/('Milho 1ª safra'!$E31:INDEX('Milho 1ª safra'!$E31:$Z31,MIN(AZ$6-$G$3,22))&lt;&gt;""),'Milho 1ª safra'!$E31:INDEX('Milho 1ª safra'!$E31:$Z31,MIN(AZ$6-$G$3,22))),0)))))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IF(COUNT('Milho 1ª safra'!$E32:$Z32)&gt;0,N('Milho 1ª safra'!$D32),0)</f>
        <v>0</v>
      </c>
      <c r="E34" s="27" t="n">
        <f aca="false">IF(COUNT('Milho 1ª safra'!$E32:$Z32)=0,0,MAX(0,IF((E$6-$E$3)&lt;1,0,IFERROR(LOOKUP(2,1/('Milho 1ª safra'!$E32:INDEX('Milho 1ª safra'!$E32:$Z32,MIN(E$6-$E$3,22))&lt;&gt;""),'Milho 1ª safra'!$E32:INDEX('Milho 1ª safra'!$E32:$Z32,MIN(E$6-$E$3,22))),0))-IF($G$2,0,IF((E$6-$G$3)&lt;1,0,IFERROR(LOOKUP(2,1/('Milho 1ª safra'!$E32:INDEX('Milho 1ª safra'!$E32:$Z32,MIN(E$6-$G$3,22))&lt;&gt;""),'Milho 1ª safra'!$E32:INDEX('Milho 1ª safra'!$E32:$Z32,MIN(E$6-$G$3,22))),0)))))</f>
        <v>0</v>
      </c>
      <c r="F34" s="27" t="n">
        <f aca="false">IF(COUNT('Milho 1ª safra'!$E32:$Z32)=0,0,MAX(0,IF((F$6-$E$3)&lt;1,0,IFERROR(LOOKUP(2,1/('Milho 1ª safra'!$E32:INDEX('Milho 1ª safra'!$E32:$Z32,MIN(F$6-$E$3,22))&lt;&gt;""),'Milho 1ª safra'!$E32:INDEX('Milho 1ª safra'!$E32:$Z32,MIN(F$6-$E$3,22))),0))-IF($G$2,0,IF((F$6-$G$3)&lt;1,0,IFERROR(LOOKUP(2,1/('Milho 1ª safra'!$E32:INDEX('Milho 1ª safra'!$E32:$Z32,MIN(F$6-$G$3,22))&lt;&gt;""),'Milho 1ª safra'!$E32:INDEX('Milho 1ª safra'!$E32:$Z32,MIN(F$6-$G$3,22))),0)))))</f>
        <v>0</v>
      </c>
      <c r="G34" s="27" t="n">
        <f aca="false">IF(COUNT('Milho 1ª safra'!$E32:$Z32)=0,0,MAX(0,IF((G$6-$E$3)&lt;1,0,IFERROR(LOOKUP(2,1/('Milho 1ª safra'!$E32:INDEX('Milho 1ª safra'!$E32:$Z32,MIN(G$6-$E$3,22))&lt;&gt;""),'Milho 1ª safra'!$E32:INDEX('Milho 1ª safra'!$E32:$Z32,MIN(G$6-$E$3,22))),0))-IF($G$2,0,IF((G$6-$G$3)&lt;1,0,IFERROR(LOOKUP(2,1/('Milho 1ª safra'!$E32:INDEX('Milho 1ª safra'!$E32:$Z32,MIN(G$6-$G$3,22))&lt;&gt;""),'Milho 1ª safra'!$E32:INDEX('Milho 1ª safra'!$E32:$Z32,MIN(G$6-$G$3,22))),0)))))</f>
        <v>0</v>
      </c>
      <c r="H34" s="27" t="n">
        <f aca="false">IF(COUNT('Milho 1ª safra'!$E32:$Z32)=0,0,MAX(0,IF((H$6-$E$3)&lt;1,0,IFERROR(LOOKUP(2,1/('Milho 1ª safra'!$E32:INDEX('Milho 1ª safra'!$E32:$Z32,MIN(H$6-$E$3,22))&lt;&gt;""),'Milho 1ª safra'!$E32:INDEX('Milho 1ª safra'!$E32:$Z32,MIN(H$6-$E$3,22))),0))-IF($G$2,0,IF((H$6-$G$3)&lt;1,0,IFERROR(LOOKUP(2,1/('Milho 1ª safra'!$E32:INDEX('Milho 1ª safra'!$E32:$Z32,MIN(H$6-$G$3,22))&lt;&gt;""),'Milho 1ª safra'!$E32:INDEX('Milho 1ª safra'!$E32:$Z32,MIN(H$6-$G$3,22))),0)))))</f>
        <v>0</v>
      </c>
      <c r="I34" s="27" t="n">
        <f aca="false">IF(COUNT('Milho 1ª safra'!$E32:$Z32)=0,0,MAX(0,IF((I$6-$E$3)&lt;1,0,IFERROR(LOOKUP(2,1/('Milho 1ª safra'!$E32:INDEX('Milho 1ª safra'!$E32:$Z32,MIN(I$6-$E$3,22))&lt;&gt;""),'Milho 1ª safra'!$E32:INDEX('Milho 1ª safra'!$E32:$Z32,MIN(I$6-$E$3,22))),0))-IF($G$2,0,IF((I$6-$G$3)&lt;1,0,IFERROR(LOOKUP(2,1/('Milho 1ª safra'!$E32:INDEX('Milho 1ª safra'!$E32:$Z32,MIN(I$6-$G$3,22))&lt;&gt;""),'Milho 1ª safra'!$E32:INDEX('Milho 1ª safra'!$E32:$Z32,MIN(I$6-$G$3,22))),0)))))</f>
        <v>0</v>
      </c>
      <c r="J34" s="27" t="n">
        <f aca="false">IF(COUNT('Milho 1ª safra'!$E32:$Z32)=0,0,MAX(0,IF((J$6-$E$3)&lt;1,0,IFERROR(LOOKUP(2,1/('Milho 1ª safra'!$E32:INDEX('Milho 1ª safra'!$E32:$Z32,MIN(J$6-$E$3,22))&lt;&gt;""),'Milho 1ª safra'!$E32:INDEX('Milho 1ª safra'!$E32:$Z32,MIN(J$6-$E$3,22))),0))-IF($G$2,0,IF((J$6-$G$3)&lt;1,0,IFERROR(LOOKUP(2,1/('Milho 1ª safra'!$E32:INDEX('Milho 1ª safra'!$E32:$Z32,MIN(J$6-$G$3,22))&lt;&gt;""),'Milho 1ª safra'!$E32:INDEX('Milho 1ª safra'!$E32:$Z32,MIN(J$6-$G$3,22))),0)))))</f>
        <v>0</v>
      </c>
      <c r="K34" s="27" t="n">
        <f aca="false">IF(COUNT('Milho 1ª safra'!$E32:$Z32)=0,0,MAX(0,IF((K$6-$E$3)&lt;1,0,IFERROR(LOOKUP(2,1/('Milho 1ª safra'!$E32:INDEX('Milho 1ª safra'!$E32:$Z32,MIN(K$6-$E$3,22))&lt;&gt;""),'Milho 1ª safra'!$E32:INDEX('Milho 1ª safra'!$E32:$Z32,MIN(K$6-$E$3,22))),0))-IF($G$2,0,IF((K$6-$G$3)&lt;1,0,IFERROR(LOOKUP(2,1/('Milho 1ª safra'!$E32:INDEX('Milho 1ª safra'!$E32:$Z32,MIN(K$6-$G$3,22))&lt;&gt;""),'Milho 1ª safra'!$E32:INDEX('Milho 1ª safra'!$E32:$Z32,MIN(K$6-$G$3,22))),0)))))</f>
        <v>0</v>
      </c>
      <c r="L34" s="27" t="n">
        <f aca="false">IF(COUNT('Milho 1ª safra'!$E32:$Z32)=0,0,MAX(0,IF((L$6-$E$3)&lt;1,0,IFERROR(LOOKUP(2,1/('Milho 1ª safra'!$E32:INDEX('Milho 1ª safra'!$E32:$Z32,MIN(L$6-$E$3,22))&lt;&gt;""),'Milho 1ª safra'!$E32:INDEX('Milho 1ª safra'!$E32:$Z32,MIN(L$6-$E$3,22))),0))-IF($G$2,0,IF((L$6-$G$3)&lt;1,0,IFERROR(LOOKUP(2,1/('Milho 1ª safra'!$E32:INDEX('Milho 1ª safra'!$E32:$Z32,MIN(L$6-$G$3,22))&lt;&gt;""),'Milho 1ª safra'!$E32:INDEX('Milho 1ª safra'!$E32:$Z32,MIN(L$6-$G$3,22))),0)))))</f>
        <v>0</v>
      </c>
      <c r="M34" s="27" t="n">
        <f aca="false">IF(COUNT('Milho 1ª safra'!$E32:$Z32)=0,0,MAX(0,IF((M$6-$E$3)&lt;1,0,IFERROR(LOOKUP(2,1/('Milho 1ª safra'!$E32:INDEX('Milho 1ª safra'!$E32:$Z32,MIN(M$6-$E$3,22))&lt;&gt;""),'Milho 1ª safra'!$E32:INDEX('Milho 1ª safra'!$E32:$Z32,MIN(M$6-$E$3,22))),0))-IF($G$2,0,IF((M$6-$G$3)&lt;1,0,IFERROR(LOOKUP(2,1/('Milho 1ª safra'!$E32:INDEX('Milho 1ª safra'!$E32:$Z32,MIN(M$6-$G$3,22))&lt;&gt;""),'Milho 1ª safra'!$E32:INDEX('Milho 1ª safra'!$E32:$Z32,MIN(M$6-$G$3,22))),0)))))</f>
        <v>0</v>
      </c>
      <c r="N34" s="27" t="n">
        <f aca="false">IF(COUNT('Milho 1ª safra'!$E32:$Z32)=0,0,MAX(0,IF((N$6-$E$3)&lt;1,0,IFERROR(LOOKUP(2,1/('Milho 1ª safra'!$E32:INDEX('Milho 1ª safra'!$E32:$Z32,MIN(N$6-$E$3,22))&lt;&gt;""),'Milho 1ª safra'!$E32:INDEX('Milho 1ª safra'!$E32:$Z32,MIN(N$6-$E$3,22))),0))-IF($G$2,0,IF((N$6-$G$3)&lt;1,0,IFERROR(LOOKUP(2,1/('Milho 1ª safra'!$E32:INDEX('Milho 1ª safra'!$E32:$Z32,MIN(N$6-$G$3,22))&lt;&gt;""),'Milho 1ª safra'!$E32:INDEX('Milho 1ª safra'!$E32:$Z32,MIN(N$6-$G$3,22))),0)))))</f>
        <v>0</v>
      </c>
      <c r="O34" s="27" t="n">
        <f aca="false">IF(COUNT('Milho 1ª safra'!$E32:$Z32)=0,0,MAX(0,IF((O$6-$E$3)&lt;1,0,IFERROR(LOOKUP(2,1/('Milho 1ª safra'!$E32:INDEX('Milho 1ª safra'!$E32:$Z32,MIN(O$6-$E$3,22))&lt;&gt;""),'Milho 1ª safra'!$E32:INDEX('Milho 1ª safra'!$E32:$Z32,MIN(O$6-$E$3,22))),0))-IF($G$2,0,IF((O$6-$G$3)&lt;1,0,IFERROR(LOOKUP(2,1/('Milho 1ª safra'!$E32:INDEX('Milho 1ª safra'!$E32:$Z32,MIN(O$6-$G$3,22))&lt;&gt;""),'Milho 1ª safra'!$E32:INDEX('Milho 1ª safra'!$E32:$Z32,MIN(O$6-$G$3,22))),0)))))</f>
        <v>0</v>
      </c>
      <c r="P34" s="27" t="n">
        <f aca="false">IF(COUNT('Milho 1ª safra'!$E32:$Z32)=0,0,MAX(0,IF((P$6-$E$3)&lt;1,0,IFERROR(LOOKUP(2,1/('Milho 1ª safra'!$E32:INDEX('Milho 1ª safra'!$E32:$Z32,MIN(P$6-$E$3,22))&lt;&gt;""),'Milho 1ª safra'!$E32:INDEX('Milho 1ª safra'!$E32:$Z32,MIN(P$6-$E$3,22))),0))-IF($G$2,0,IF((P$6-$G$3)&lt;1,0,IFERROR(LOOKUP(2,1/('Milho 1ª safra'!$E32:INDEX('Milho 1ª safra'!$E32:$Z32,MIN(P$6-$G$3,22))&lt;&gt;""),'Milho 1ª safra'!$E32:INDEX('Milho 1ª safra'!$E32:$Z32,MIN(P$6-$G$3,22))),0)))))</f>
        <v>0</v>
      </c>
      <c r="Q34" s="27" t="n">
        <f aca="false">IF(COUNT('Milho 1ª safra'!$E32:$Z32)=0,0,MAX(0,IF((Q$6-$E$3)&lt;1,0,IFERROR(LOOKUP(2,1/('Milho 1ª safra'!$E32:INDEX('Milho 1ª safra'!$E32:$Z32,MIN(Q$6-$E$3,22))&lt;&gt;""),'Milho 1ª safra'!$E32:INDEX('Milho 1ª safra'!$E32:$Z32,MIN(Q$6-$E$3,22))),0))-IF($G$2,0,IF((Q$6-$G$3)&lt;1,0,IFERROR(LOOKUP(2,1/('Milho 1ª safra'!$E32:INDEX('Milho 1ª safra'!$E32:$Z32,MIN(Q$6-$G$3,22))&lt;&gt;""),'Milho 1ª safra'!$E32:INDEX('Milho 1ª safra'!$E32:$Z32,MIN(Q$6-$G$3,22))),0)))))</f>
        <v>0</v>
      </c>
      <c r="R34" s="27" t="n">
        <f aca="false">IF(COUNT('Milho 1ª safra'!$E32:$Z32)=0,0,MAX(0,IF((R$6-$E$3)&lt;1,0,IFERROR(LOOKUP(2,1/('Milho 1ª safra'!$E32:INDEX('Milho 1ª safra'!$E32:$Z32,MIN(R$6-$E$3,22))&lt;&gt;""),'Milho 1ª safra'!$E32:INDEX('Milho 1ª safra'!$E32:$Z32,MIN(R$6-$E$3,22))),0))-IF($G$2,0,IF((R$6-$G$3)&lt;1,0,IFERROR(LOOKUP(2,1/('Milho 1ª safra'!$E32:INDEX('Milho 1ª safra'!$E32:$Z32,MIN(R$6-$G$3,22))&lt;&gt;""),'Milho 1ª safra'!$E32:INDEX('Milho 1ª safra'!$E32:$Z32,MIN(R$6-$G$3,22))),0)))))</f>
        <v>0</v>
      </c>
      <c r="S34" s="27" t="n">
        <f aca="false">IF(COUNT('Milho 1ª safra'!$E32:$Z32)=0,0,MAX(0,IF((S$6-$E$3)&lt;1,0,IFERROR(LOOKUP(2,1/('Milho 1ª safra'!$E32:INDEX('Milho 1ª safra'!$E32:$Z32,MIN(S$6-$E$3,22))&lt;&gt;""),'Milho 1ª safra'!$E32:INDEX('Milho 1ª safra'!$E32:$Z32,MIN(S$6-$E$3,22))),0))-IF($G$2,0,IF((S$6-$G$3)&lt;1,0,IFERROR(LOOKUP(2,1/('Milho 1ª safra'!$E32:INDEX('Milho 1ª safra'!$E32:$Z32,MIN(S$6-$G$3,22))&lt;&gt;""),'Milho 1ª safra'!$E32:INDEX('Milho 1ª safra'!$E32:$Z32,MIN(S$6-$G$3,22))),0)))))</f>
        <v>0</v>
      </c>
      <c r="T34" s="27" t="n">
        <f aca="false">IF(COUNT('Milho 1ª safra'!$E32:$Z32)=0,0,MAX(0,IF((T$6-$E$3)&lt;1,0,IFERROR(LOOKUP(2,1/('Milho 1ª safra'!$E32:INDEX('Milho 1ª safra'!$E32:$Z32,MIN(T$6-$E$3,22))&lt;&gt;""),'Milho 1ª safra'!$E32:INDEX('Milho 1ª safra'!$E32:$Z32,MIN(T$6-$E$3,22))),0))-IF($G$2,0,IF((T$6-$G$3)&lt;1,0,IFERROR(LOOKUP(2,1/('Milho 1ª safra'!$E32:INDEX('Milho 1ª safra'!$E32:$Z32,MIN(T$6-$G$3,22))&lt;&gt;""),'Milho 1ª safra'!$E32:INDEX('Milho 1ª safra'!$E32:$Z32,MIN(T$6-$G$3,22))),0)))))</f>
        <v>0</v>
      </c>
      <c r="U34" s="27" t="n">
        <f aca="false">IF(COUNT('Milho 1ª safra'!$E32:$Z32)=0,0,MAX(0,IF((U$6-$E$3)&lt;1,0,IFERROR(LOOKUP(2,1/('Milho 1ª safra'!$E32:INDEX('Milho 1ª safra'!$E32:$Z32,MIN(U$6-$E$3,22))&lt;&gt;""),'Milho 1ª safra'!$E32:INDEX('Milho 1ª safra'!$E32:$Z32,MIN(U$6-$E$3,22))),0))-IF($G$2,0,IF((U$6-$G$3)&lt;1,0,IFERROR(LOOKUP(2,1/('Milho 1ª safra'!$E32:INDEX('Milho 1ª safra'!$E32:$Z32,MIN(U$6-$G$3,22))&lt;&gt;""),'Milho 1ª safra'!$E32:INDEX('Milho 1ª safra'!$E32:$Z32,MIN(U$6-$G$3,22))),0)))))</f>
        <v>0</v>
      </c>
      <c r="V34" s="27" t="n">
        <f aca="false">IF(COUNT('Milho 1ª safra'!$E32:$Z32)=0,0,MAX(0,IF((V$6-$E$3)&lt;1,0,IFERROR(LOOKUP(2,1/('Milho 1ª safra'!$E32:INDEX('Milho 1ª safra'!$E32:$Z32,MIN(V$6-$E$3,22))&lt;&gt;""),'Milho 1ª safra'!$E32:INDEX('Milho 1ª safra'!$E32:$Z32,MIN(V$6-$E$3,22))),0))-IF($G$2,0,IF((V$6-$G$3)&lt;1,0,IFERROR(LOOKUP(2,1/('Milho 1ª safra'!$E32:INDEX('Milho 1ª safra'!$E32:$Z32,MIN(V$6-$G$3,22))&lt;&gt;""),'Milho 1ª safra'!$E32:INDEX('Milho 1ª safra'!$E32:$Z32,MIN(V$6-$G$3,22))),0)))))</f>
        <v>0</v>
      </c>
      <c r="W34" s="27" t="n">
        <f aca="false">IF(COUNT('Milho 1ª safra'!$E32:$Z32)=0,0,MAX(0,IF((W$6-$E$3)&lt;1,0,IFERROR(LOOKUP(2,1/('Milho 1ª safra'!$E32:INDEX('Milho 1ª safra'!$E32:$Z32,MIN(W$6-$E$3,22))&lt;&gt;""),'Milho 1ª safra'!$E32:INDEX('Milho 1ª safra'!$E32:$Z32,MIN(W$6-$E$3,22))),0))-IF($G$2,0,IF((W$6-$G$3)&lt;1,0,IFERROR(LOOKUP(2,1/('Milho 1ª safra'!$E32:INDEX('Milho 1ª safra'!$E32:$Z32,MIN(W$6-$G$3,22))&lt;&gt;""),'Milho 1ª safra'!$E32:INDEX('Milho 1ª safra'!$E32:$Z32,MIN(W$6-$G$3,22))),0)))))</f>
        <v>0</v>
      </c>
      <c r="X34" s="27" t="n">
        <f aca="false">IF(COUNT('Milho 1ª safra'!$E32:$Z32)=0,0,MAX(0,IF((X$6-$E$3)&lt;1,0,IFERROR(LOOKUP(2,1/('Milho 1ª safra'!$E32:INDEX('Milho 1ª safra'!$E32:$Z32,MIN(X$6-$E$3,22))&lt;&gt;""),'Milho 1ª safra'!$E32:INDEX('Milho 1ª safra'!$E32:$Z32,MIN(X$6-$E$3,22))),0))-IF($G$2,0,IF((X$6-$G$3)&lt;1,0,IFERROR(LOOKUP(2,1/('Milho 1ª safra'!$E32:INDEX('Milho 1ª safra'!$E32:$Z32,MIN(X$6-$G$3,22))&lt;&gt;""),'Milho 1ª safra'!$E32:INDEX('Milho 1ª safra'!$E32:$Z32,MIN(X$6-$G$3,22))),0)))))</f>
        <v>0</v>
      </c>
      <c r="Y34" s="27" t="n">
        <f aca="false">IF(COUNT('Milho 1ª safra'!$E32:$Z32)=0,0,MAX(0,IF((Y$6-$E$3)&lt;1,0,IFERROR(LOOKUP(2,1/('Milho 1ª safra'!$E32:INDEX('Milho 1ª safra'!$E32:$Z32,MIN(Y$6-$E$3,22))&lt;&gt;""),'Milho 1ª safra'!$E32:INDEX('Milho 1ª safra'!$E32:$Z32,MIN(Y$6-$E$3,22))),0))-IF($G$2,0,IF((Y$6-$G$3)&lt;1,0,IFERROR(LOOKUP(2,1/('Milho 1ª safra'!$E32:INDEX('Milho 1ª safra'!$E32:$Z32,MIN(Y$6-$G$3,22))&lt;&gt;""),'Milho 1ª safra'!$E32:INDEX('Milho 1ª safra'!$E32:$Z32,MIN(Y$6-$G$3,22))),0)))))</f>
        <v>0</v>
      </c>
      <c r="Z34" s="27" t="n">
        <f aca="false">IF(COUNT('Milho 1ª safra'!$E32:$Z32)=0,0,MAX(0,IF((Z$6-$E$3)&lt;1,0,IFERROR(LOOKUP(2,1/('Milho 1ª safra'!$E32:INDEX('Milho 1ª safra'!$E32:$Z32,MIN(Z$6-$E$3,22))&lt;&gt;""),'Milho 1ª safra'!$E32:INDEX('Milho 1ª safra'!$E32:$Z32,MIN(Z$6-$E$3,22))),0))-IF($G$2,0,IF((Z$6-$G$3)&lt;1,0,IFERROR(LOOKUP(2,1/('Milho 1ª safra'!$E32:INDEX('Milho 1ª safra'!$E32:$Z32,MIN(Z$6-$G$3,22))&lt;&gt;""),'Milho 1ª safra'!$E32:INDEX('Milho 1ª safra'!$E32:$Z32,MIN(Z$6-$G$3,22))),0)))))</f>
        <v>0</v>
      </c>
      <c r="AA34" s="27" t="n">
        <f aca="false">IF(COUNT('Milho 1ª safra'!$E32:$Z32)=0,0,MAX(0,IF((AA$6-$E$3)&lt;1,0,IFERROR(LOOKUP(2,1/('Milho 1ª safra'!$E32:INDEX('Milho 1ª safra'!$E32:$Z32,MIN(AA$6-$E$3,22))&lt;&gt;""),'Milho 1ª safra'!$E32:INDEX('Milho 1ª safra'!$E32:$Z32,MIN(AA$6-$E$3,22))),0))-IF($G$2,0,IF((AA$6-$G$3)&lt;1,0,IFERROR(LOOKUP(2,1/('Milho 1ª safra'!$E32:INDEX('Milho 1ª safra'!$E32:$Z32,MIN(AA$6-$G$3,22))&lt;&gt;""),'Milho 1ª safra'!$E32:INDEX('Milho 1ª safra'!$E32:$Z32,MIN(AA$6-$G$3,22))),0)))))</f>
        <v>0</v>
      </c>
      <c r="AB34" s="27" t="n">
        <f aca="false">IF(COUNT('Milho 1ª safra'!$E32:$Z32)=0,0,MAX(0,IF((AB$6-$E$3)&lt;1,0,IFERROR(LOOKUP(2,1/('Milho 1ª safra'!$E32:INDEX('Milho 1ª safra'!$E32:$Z32,MIN(AB$6-$E$3,22))&lt;&gt;""),'Milho 1ª safra'!$E32:INDEX('Milho 1ª safra'!$E32:$Z32,MIN(AB$6-$E$3,22))),0))-IF($G$2,0,IF((AB$6-$G$3)&lt;1,0,IFERROR(LOOKUP(2,1/('Milho 1ª safra'!$E32:INDEX('Milho 1ª safra'!$E32:$Z32,MIN(AB$6-$G$3,22))&lt;&gt;""),'Milho 1ª safra'!$E32:INDEX('Milho 1ª safra'!$E32:$Z32,MIN(AB$6-$G$3,22))),0)))))</f>
        <v>0</v>
      </c>
      <c r="AC34" s="27" t="n">
        <f aca="false">IF(COUNT('Milho 1ª safra'!$E32:$Z32)=0,0,MAX(0,IF((AC$6-$E$3)&lt;1,0,IFERROR(LOOKUP(2,1/('Milho 1ª safra'!$E32:INDEX('Milho 1ª safra'!$E32:$Z32,MIN(AC$6-$E$3,22))&lt;&gt;""),'Milho 1ª safra'!$E32:INDEX('Milho 1ª safra'!$E32:$Z32,MIN(AC$6-$E$3,22))),0))-IF($G$2,0,IF((AC$6-$G$3)&lt;1,0,IFERROR(LOOKUP(2,1/('Milho 1ª safra'!$E32:INDEX('Milho 1ª safra'!$E32:$Z32,MIN(AC$6-$G$3,22))&lt;&gt;""),'Milho 1ª safra'!$E32:INDEX('Milho 1ª safra'!$E32:$Z32,MIN(AC$6-$G$3,22))),0)))))</f>
        <v>0</v>
      </c>
      <c r="AD34" s="27" t="n">
        <f aca="false">IF(COUNT('Milho 1ª safra'!$E32:$Z32)=0,0,MAX(0,IF((AD$6-$E$3)&lt;1,0,IFERROR(LOOKUP(2,1/('Milho 1ª safra'!$E32:INDEX('Milho 1ª safra'!$E32:$Z32,MIN(AD$6-$E$3,22))&lt;&gt;""),'Milho 1ª safra'!$E32:INDEX('Milho 1ª safra'!$E32:$Z32,MIN(AD$6-$E$3,22))),0))-IF($G$2,0,IF((AD$6-$G$3)&lt;1,0,IFERROR(LOOKUP(2,1/('Milho 1ª safra'!$E32:INDEX('Milho 1ª safra'!$E32:$Z32,MIN(AD$6-$G$3,22))&lt;&gt;""),'Milho 1ª safra'!$E32:INDEX('Milho 1ª safra'!$E32:$Z32,MIN(AD$6-$G$3,22))),0)))))</f>
        <v>0</v>
      </c>
      <c r="AE34" s="27" t="n">
        <f aca="false">IF(COUNT('Milho 1ª safra'!$E32:$Z32)=0,0,MAX(0,IF((AE$6-$E$3)&lt;1,0,IFERROR(LOOKUP(2,1/('Milho 1ª safra'!$E32:INDEX('Milho 1ª safra'!$E32:$Z32,MIN(AE$6-$E$3,22))&lt;&gt;""),'Milho 1ª safra'!$E32:INDEX('Milho 1ª safra'!$E32:$Z32,MIN(AE$6-$E$3,22))),0))-IF($G$2,0,IF((AE$6-$G$3)&lt;1,0,IFERROR(LOOKUP(2,1/('Milho 1ª safra'!$E32:INDEX('Milho 1ª safra'!$E32:$Z32,MIN(AE$6-$G$3,22))&lt;&gt;""),'Milho 1ª safra'!$E32:INDEX('Milho 1ª safra'!$E32:$Z32,MIN(AE$6-$G$3,22))),0)))))</f>
        <v>0</v>
      </c>
      <c r="AF34" s="27" t="n">
        <f aca="false">IF(COUNT('Milho 1ª safra'!$E32:$Z32)=0,0,MAX(0,IF((AF$6-$E$3)&lt;1,0,IFERROR(LOOKUP(2,1/('Milho 1ª safra'!$E32:INDEX('Milho 1ª safra'!$E32:$Z32,MIN(AF$6-$E$3,22))&lt;&gt;""),'Milho 1ª safra'!$E32:INDEX('Milho 1ª safra'!$E32:$Z32,MIN(AF$6-$E$3,22))),0))-IF($G$2,0,IF((AF$6-$G$3)&lt;1,0,IFERROR(LOOKUP(2,1/('Milho 1ª safra'!$E32:INDEX('Milho 1ª safra'!$E32:$Z32,MIN(AF$6-$G$3,22))&lt;&gt;""),'Milho 1ª safra'!$E32:INDEX('Milho 1ª safra'!$E32:$Z32,MIN(AF$6-$G$3,22))),0)))))</f>
        <v>0</v>
      </c>
      <c r="AG34" s="27" t="n">
        <f aca="false">IF(COUNT('Milho 1ª safra'!$E32:$Z32)=0,0,MAX(0,IF((AG$6-$E$3)&lt;1,0,IFERROR(LOOKUP(2,1/('Milho 1ª safra'!$E32:INDEX('Milho 1ª safra'!$E32:$Z32,MIN(AG$6-$E$3,22))&lt;&gt;""),'Milho 1ª safra'!$E32:INDEX('Milho 1ª safra'!$E32:$Z32,MIN(AG$6-$E$3,22))),0))-IF($G$2,0,IF((AG$6-$G$3)&lt;1,0,IFERROR(LOOKUP(2,1/('Milho 1ª safra'!$E32:INDEX('Milho 1ª safra'!$E32:$Z32,MIN(AG$6-$G$3,22))&lt;&gt;""),'Milho 1ª safra'!$E32:INDEX('Milho 1ª safra'!$E32:$Z32,MIN(AG$6-$G$3,22))),0)))))</f>
        <v>0</v>
      </c>
      <c r="AH34" s="27" t="n">
        <f aca="false">IF(COUNT('Milho 1ª safra'!$E32:$Z32)=0,0,MAX(0,IF((AH$6-$E$3)&lt;1,0,IFERROR(LOOKUP(2,1/('Milho 1ª safra'!$E32:INDEX('Milho 1ª safra'!$E32:$Z32,MIN(AH$6-$E$3,22))&lt;&gt;""),'Milho 1ª safra'!$E32:INDEX('Milho 1ª safra'!$E32:$Z32,MIN(AH$6-$E$3,22))),0))-IF($G$2,0,IF((AH$6-$G$3)&lt;1,0,IFERROR(LOOKUP(2,1/('Milho 1ª safra'!$E32:INDEX('Milho 1ª safra'!$E32:$Z32,MIN(AH$6-$G$3,22))&lt;&gt;""),'Milho 1ª safra'!$E32:INDEX('Milho 1ª safra'!$E32:$Z32,MIN(AH$6-$G$3,22))),0)))))</f>
        <v>0</v>
      </c>
      <c r="AI34" s="27" t="n">
        <f aca="false">IF(COUNT('Milho 1ª safra'!$E32:$Z32)=0,0,MAX(0,IF((AI$6-$E$3)&lt;1,0,IFERROR(LOOKUP(2,1/('Milho 1ª safra'!$E32:INDEX('Milho 1ª safra'!$E32:$Z32,MIN(AI$6-$E$3,22))&lt;&gt;""),'Milho 1ª safra'!$E32:INDEX('Milho 1ª safra'!$E32:$Z32,MIN(AI$6-$E$3,22))),0))-IF($G$2,0,IF((AI$6-$G$3)&lt;1,0,IFERROR(LOOKUP(2,1/('Milho 1ª safra'!$E32:INDEX('Milho 1ª safra'!$E32:$Z32,MIN(AI$6-$G$3,22))&lt;&gt;""),'Milho 1ª safra'!$E32:INDEX('Milho 1ª safra'!$E32:$Z32,MIN(AI$6-$G$3,22))),0)))))</f>
        <v>0</v>
      </c>
      <c r="AJ34" s="27" t="n">
        <f aca="false">IF(COUNT('Milho 1ª safra'!$E32:$Z32)=0,0,MAX(0,IF((AJ$6-$E$3)&lt;1,0,IFERROR(LOOKUP(2,1/('Milho 1ª safra'!$E32:INDEX('Milho 1ª safra'!$E32:$Z32,MIN(AJ$6-$E$3,22))&lt;&gt;""),'Milho 1ª safra'!$E32:INDEX('Milho 1ª safra'!$E32:$Z32,MIN(AJ$6-$E$3,22))),0))-IF($G$2,0,IF((AJ$6-$G$3)&lt;1,0,IFERROR(LOOKUP(2,1/('Milho 1ª safra'!$E32:INDEX('Milho 1ª safra'!$E32:$Z32,MIN(AJ$6-$G$3,22))&lt;&gt;""),'Milho 1ª safra'!$E32:INDEX('Milho 1ª safra'!$E32:$Z32,MIN(AJ$6-$G$3,22))),0)))))</f>
        <v>0</v>
      </c>
      <c r="AK34" s="27" t="n">
        <f aca="false">IF(COUNT('Milho 1ª safra'!$E32:$Z32)=0,0,MAX(0,IF((AK$6-$E$3)&lt;1,0,IFERROR(LOOKUP(2,1/('Milho 1ª safra'!$E32:INDEX('Milho 1ª safra'!$E32:$Z32,MIN(AK$6-$E$3,22))&lt;&gt;""),'Milho 1ª safra'!$E32:INDEX('Milho 1ª safra'!$E32:$Z32,MIN(AK$6-$E$3,22))),0))-IF($G$2,0,IF((AK$6-$G$3)&lt;1,0,IFERROR(LOOKUP(2,1/('Milho 1ª safra'!$E32:INDEX('Milho 1ª safra'!$E32:$Z32,MIN(AK$6-$G$3,22))&lt;&gt;""),'Milho 1ª safra'!$E32:INDEX('Milho 1ª safra'!$E32:$Z32,MIN(AK$6-$G$3,22))),0)))))</f>
        <v>0</v>
      </c>
      <c r="AL34" s="27" t="n">
        <f aca="false">IF(COUNT('Milho 1ª safra'!$E32:$Z32)=0,0,MAX(0,IF((AL$6-$E$3)&lt;1,0,IFERROR(LOOKUP(2,1/('Milho 1ª safra'!$E32:INDEX('Milho 1ª safra'!$E32:$Z32,MIN(AL$6-$E$3,22))&lt;&gt;""),'Milho 1ª safra'!$E32:INDEX('Milho 1ª safra'!$E32:$Z32,MIN(AL$6-$E$3,22))),0))-IF($G$2,0,IF((AL$6-$G$3)&lt;1,0,IFERROR(LOOKUP(2,1/('Milho 1ª safra'!$E32:INDEX('Milho 1ª safra'!$E32:$Z32,MIN(AL$6-$G$3,22))&lt;&gt;""),'Milho 1ª safra'!$E32:INDEX('Milho 1ª safra'!$E32:$Z32,MIN(AL$6-$G$3,22))),0)))))</f>
        <v>0</v>
      </c>
      <c r="AM34" s="27" t="n">
        <f aca="false">IF(COUNT('Milho 1ª safra'!$E32:$Z32)=0,0,MAX(0,IF((AM$6-$E$3)&lt;1,0,IFERROR(LOOKUP(2,1/('Milho 1ª safra'!$E32:INDEX('Milho 1ª safra'!$E32:$Z32,MIN(AM$6-$E$3,22))&lt;&gt;""),'Milho 1ª safra'!$E32:INDEX('Milho 1ª safra'!$E32:$Z32,MIN(AM$6-$E$3,22))),0))-IF($G$2,0,IF((AM$6-$G$3)&lt;1,0,IFERROR(LOOKUP(2,1/('Milho 1ª safra'!$E32:INDEX('Milho 1ª safra'!$E32:$Z32,MIN(AM$6-$G$3,22))&lt;&gt;""),'Milho 1ª safra'!$E32:INDEX('Milho 1ª safra'!$E32:$Z32,MIN(AM$6-$G$3,22))),0)))))</f>
        <v>0</v>
      </c>
      <c r="AN34" s="27" t="n">
        <f aca="false">IF(COUNT('Milho 1ª safra'!$E32:$Z32)=0,0,MAX(0,IF((AN$6-$E$3)&lt;1,0,IFERROR(LOOKUP(2,1/('Milho 1ª safra'!$E32:INDEX('Milho 1ª safra'!$E32:$Z32,MIN(AN$6-$E$3,22))&lt;&gt;""),'Milho 1ª safra'!$E32:INDEX('Milho 1ª safra'!$E32:$Z32,MIN(AN$6-$E$3,22))),0))-IF($G$2,0,IF((AN$6-$G$3)&lt;1,0,IFERROR(LOOKUP(2,1/('Milho 1ª safra'!$E32:INDEX('Milho 1ª safra'!$E32:$Z32,MIN(AN$6-$G$3,22))&lt;&gt;""),'Milho 1ª safra'!$E32:INDEX('Milho 1ª safra'!$E32:$Z32,MIN(AN$6-$G$3,22))),0)))))</f>
        <v>0</v>
      </c>
      <c r="AO34" s="27" t="n">
        <f aca="false">IF(COUNT('Milho 1ª safra'!$E32:$Z32)=0,0,MAX(0,IF((AO$6-$E$3)&lt;1,0,IFERROR(LOOKUP(2,1/('Milho 1ª safra'!$E32:INDEX('Milho 1ª safra'!$E32:$Z32,MIN(AO$6-$E$3,22))&lt;&gt;""),'Milho 1ª safra'!$E32:INDEX('Milho 1ª safra'!$E32:$Z32,MIN(AO$6-$E$3,22))),0))-IF($G$2,0,IF((AO$6-$G$3)&lt;1,0,IFERROR(LOOKUP(2,1/('Milho 1ª safra'!$E32:INDEX('Milho 1ª safra'!$E32:$Z32,MIN(AO$6-$G$3,22))&lt;&gt;""),'Milho 1ª safra'!$E32:INDEX('Milho 1ª safra'!$E32:$Z32,MIN(AO$6-$G$3,22))),0)))))</f>
        <v>0</v>
      </c>
      <c r="AP34" s="27" t="n">
        <f aca="false">IF(COUNT('Milho 1ª safra'!$E32:$Z32)=0,0,MAX(0,IF((AP$6-$E$3)&lt;1,0,IFERROR(LOOKUP(2,1/('Milho 1ª safra'!$E32:INDEX('Milho 1ª safra'!$E32:$Z32,MIN(AP$6-$E$3,22))&lt;&gt;""),'Milho 1ª safra'!$E32:INDEX('Milho 1ª safra'!$E32:$Z32,MIN(AP$6-$E$3,22))),0))-IF($G$2,0,IF((AP$6-$G$3)&lt;1,0,IFERROR(LOOKUP(2,1/('Milho 1ª safra'!$E32:INDEX('Milho 1ª safra'!$E32:$Z32,MIN(AP$6-$G$3,22))&lt;&gt;""),'Milho 1ª safra'!$E32:INDEX('Milho 1ª safra'!$E32:$Z32,MIN(AP$6-$G$3,22))),0)))))</f>
        <v>0</v>
      </c>
      <c r="AQ34" s="27" t="n">
        <f aca="false">IF(COUNT('Milho 1ª safra'!$E32:$Z32)=0,0,MAX(0,IF((AQ$6-$E$3)&lt;1,0,IFERROR(LOOKUP(2,1/('Milho 1ª safra'!$E32:INDEX('Milho 1ª safra'!$E32:$Z32,MIN(AQ$6-$E$3,22))&lt;&gt;""),'Milho 1ª safra'!$E32:INDEX('Milho 1ª safra'!$E32:$Z32,MIN(AQ$6-$E$3,22))),0))-IF($G$2,0,IF((AQ$6-$G$3)&lt;1,0,IFERROR(LOOKUP(2,1/('Milho 1ª safra'!$E32:INDEX('Milho 1ª safra'!$E32:$Z32,MIN(AQ$6-$G$3,22))&lt;&gt;""),'Milho 1ª safra'!$E32:INDEX('Milho 1ª safra'!$E32:$Z32,MIN(AQ$6-$G$3,22))),0)))))</f>
        <v>0</v>
      </c>
      <c r="AR34" s="27" t="n">
        <f aca="false">IF(COUNT('Milho 1ª safra'!$E32:$Z32)=0,0,MAX(0,IF((AR$6-$E$3)&lt;1,0,IFERROR(LOOKUP(2,1/('Milho 1ª safra'!$E32:INDEX('Milho 1ª safra'!$E32:$Z32,MIN(AR$6-$E$3,22))&lt;&gt;""),'Milho 1ª safra'!$E32:INDEX('Milho 1ª safra'!$E32:$Z32,MIN(AR$6-$E$3,22))),0))-IF($G$2,0,IF((AR$6-$G$3)&lt;1,0,IFERROR(LOOKUP(2,1/('Milho 1ª safra'!$E32:INDEX('Milho 1ª safra'!$E32:$Z32,MIN(AR$6-$G$3,22))&lt;&gt;""),'Milho 1ª safra'!$E32:INDEX('Milho 1ª safra'!$E32:$Z32,MIN(AR$6-$G$3,22))),0)))))</f>
        <v>0</v>
      </c>
      <c r="AS34" s="27" t="n">
        <f aca="false">IF(COUNT('Milho 1ª safra'!$E32:$Z32)=0,0,MAX(0,IF((AS$6-$E$3)&lt;1,0,IFERROR(LOOKUP(2,1/('Milho 1ª safra'!$E32:INDEX('Milho 1ª safra'!$E32:$Z32,MIN(AS$6-$E$3,22))&lt;&gt;""),'Milho 1ª safra'!$E32:INDEX('Milho 1ª safra'!$E32:$Z32,MIN(AS$6-$E$3,22))),0))-IF($G$2,0,IF((AS$6-$G$3)&lt;1,0,IFERROR(LOOKUP(2,1/('Milho 1ª safra'!$E32:INDEX('Milho 1ª safra'!$E32:$Z32,MIN(AS$6-$G$3,22))&lt;&gt;""),'Milho 1ª safra'!$E32:INDEX('Milho 1ª safra'!$E32:$Z32,MIN(AS$6-$G$3,22))),0)))))</f>
        <v>0</v>
      </c>
      <c r="AT34" s="27" t="n">
        <f aca="false">IF(COUNT('Milho 1ª safra'!$E32:$Z32)=0,0,MAX(0,IF((AT$6-$E$3)&lt;1,0,IFERROR(LOOKUP(2,1/('Milho 1ª safra'!$E32:INDEX('Milho 1ª safra'!$E32:$Z32,MIN(AT$6-$E$3,22))&lt;&gt;""),'Milho 1ª safra'!$E32:INDEX('Milho 1ª safra'!$E32:$Z32,MIN(AT$6-$E$3,22))),0))-IF($G$2,0,IF((AT$6-$G$3)&lt;1,0,IFERROR(LOOKUP(2,1/('Milho 1ª safra'!$E32:INDEX('Milho 1ª safra'!$E32:$Z32,MIN(AT$6-$G$3,22))&lt;&gt;""),'Milho 1ª safra'!$E32:INDEX('Milho 1ª safra'!$E32:$Z32,MIN(AT$6-$G$3,22))),0)))))</f>
        <v>0</v>
      </c>
      <c r="AU34" s="27" t="n">
        <f aca="false">IF(COUNT('Milho 1ª safra'!$E32:$Z32)=0,0,MAX(0,IF((AU$6-$E$3)&lt;1,0,IFERROR(LOOKUP(2,1/('Milho 1ª safra'!$E32:INDEX('Milho 1ª safra'!$E32:$Z32,MIN(AU$6-$E$3,22))&lt;&gt;""),'Milho 1ª safra'!$E32:INDEX('Milho 1ª safra'!$E32:$Z32,MIN(AU$6-$E$3,22))),0))-IF($G$2,0,IF((AU$6-$G$3)&lt;1,0,IFERROR(LOOKUP(2,1/('Milho 1ª safra'!$E32:INDEX('Milho 1ª safra'!$E32:$Z32,MIN(AU$6-$G$3,22))&lt;&gt;""),'Milho 1ª safra'!$E32:INDEX('Milho 1ª safra'!$E32:$Z32,MIN(AU$6-$G$3,22))),0)))))</f>
        <v>0</v>
      </c>
      <c r="AV34" s="27" t="n">
        <f aca="false">IF(COUNT('Milho 1ª safra'!$E32:$Z32)=0,0,MAX(0,IF((AV$6-$E$3)&lt;1,0,IFERROR(LOOKUP(2,1/('Milho 1ª safra'!$E32:INDEX('Milho 1ª safra'!$E32:$Z32,MIN(AV$6-$E$3,22))&lt;&gt;""),'Milho 1ª safra'!$E32:INDEX('Milho 1ª safra'!$E32:$Z32,MIN(AV$6-$E$3,22))),0))-IF($G$2,0,IF((AV$6-$G$3)&lt;1,0,IFERROR(LOOKUP(2,1/('Milho 1ª safra'!$E32:INDEX('Milho 1ª safra'!$E32:$Z32,MIN(AV$6-$G$3,22))&lt;&gt;""),'Milho 1ª safra'!$E32:INDEX('Milho 1ª safra'!$E32:$Z32,MIN(AV$6-$G$3,22))),0)))))</f>
        <v>0</v>
      </c>
      <c r="AW34" s="27" t="n">
        <f aca="false">IF(COUNT('Milho 1ª safra'!$E32:$Z32)=0,0,MAX(0,IF((AW$6-$E$3)&lt;1,0,IFERROR(LOOKUP(2,1/('Milho 1ª safra'!$E32:INDEX('Milho 1ª safra'!$E32:$Z32,MIN(AW$6-$E$3,22))&lt;&gt;""),'Milho 1ª safra'!$E32:INDEX('Milho 1ª safra'!$E32:$Z32,MIN(AW$6-$E$3,22))),0))-IF($G$2,0,IF((AW$6-$G$3)&lt;1,0,IFERROR(LOOKUP(2,1/('Milho 1ª safra'!$E32:INDEX('Milho 1ª safra'!$E32:$Z32,MIN(AW$6-$G$3,22))&lt;&gt;""),'Milho 1ª safra'!$E32:INDEX('Milho 1ª safra'!$E32:$Z32,MIN(AW$6-$G$3,22))),0)))))</f>
        <v>0</v>
      </c>
      <c r="AX34" s="27" t="n">
        <f aca="false">IF(COUNT('Milho 1ª safra'!$E32:$Z32)=0,0,MAX(0,IF((AX$6-$E$3)&lt;1,0,IFERROR(LOOKUP(2,1/('Milho 1ª safra'!$E32:INDEX('Milho 1ª safra'!$E32:$Z32,MIN(AX$6-$E$3,22))&lt;&gt;""),'Milho 1ª safra'!$E32:INDEX('Milho 1ª safra'!$E32:$Z32,MIN(AX$6-$E$3,22))),0))-IF($G$2,0,IF((AX$6-$G$3)&lt;1,0,IFERROR(LOOKUP(2,1/('Milho 1ª safra'!$E32:INDEX('Milho 1ª safra'!$E32:$Z32,MIN(AX$6-$G$3,22))&lt;&gt;""),'Milho 1ª safra'!$E32:INDEX('Milho 1ª safra'!$E32:$Z32,MIN(AX$6-$G$3,22))),0)))))</f>
        <v>0</v>
      </c>
      <c r="AY34" s="27" t="n">
        <f aca="false">IF(COUNT('Milho 1ª safra'!$E32:$Z32)=0,0,MAX(0,IF((AY$6-$E$3)&lt;1,0,IFERROR(LOOKUP(2,1/('Milho 1ª safra'!$E32:INDEX('Milho 1ª safra'!$E32:$Z32,MIN(AY$6-$E$3,22))&lt;&gt;""),'Milho 1ª safra'!$E32:INDEX('Milho 1ª safra'!$E32:$Z32,MIN(AY$6-$E$3,22))),0))-IF($G$2,0,IF((AY$6-$G$3)&lt;1,0,IFERROR(LOOKUP(2,1/('Milho 1ª safra'!$E32:INDEX('Milho 1ª safra'!$E32:$Z32,MIN(AY$6-$G$3,22))&lt;&gt;""),'Milho 1ª safra'!$E32:INDEX('Milho 1ª safra'!$E32:$Z32,MIN(AY$6-$G$3,22))),0)))))</f>
        <v>0</v>
      </c>
      <c r="AZ34" s="27" t="n">
        <f aca="false">IF(COUNT('Milho 1ª safra'!$E32:$Z32)=0,0,MAX(0,IF((AZ$6-$E$3)&lt;1,0,IFERROR(LOOKUP(2,1/('Milho 1ª safra'!$E32:INDEX('Milho 1ª safra'!$E32:$Z32,MIN(AZ$6-$E$3,22))&lt;&gt;""),'Milho 1ª safra'!$E32:INDEX('Milho 1ª safra'!$E32:$Z32,MIN(AZ$6-$E$3,22))),0))-IF($G$2,0,IF((AZ$6-$G$3)&lt;1,0,IFERROR(LOOKUP(2,1/('Milho 1ª safra'!$E32:INDEX('Milho 1ª safra'!$E32:$Z32,MIN(AZ$6-$G$3,22))&lt;&gt;""),'Milho 1ª safra'!$E32:INDEX('Milho 1ª safra'!$E32:$Z32,MIN(AZ$6-$G$3,22))),0)))))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IF(COUNT('Milho 1ª safra'!$E33:$Z33)&gt;0,N('Milho 1ª safra'!$D33),0)</f>
        <v>0</v>
      </c>
      <c r="E35" s="27" t="n">
        <f aca="false">IF(COUNT('Milho 1ª safra'!$E33:$Z33)=0,0,MAX(0,IF((E$6-$E$3)&lt;1,0,IFERROR(LOOKUP(2,1/('Milho 1ª safra'!$E33:INDEX('Milho 1ª safra'!$E33:$Z33,MIN(E$6-$E$3,22))&lt;&gt;""),'Milho 1ª safra'!$E33:INDEX('Milho 1ª safra'!$E33:$Z33,MIN(E$6-$E$3,22))),0))-IF($G$2,0,IF((E$6-$G$3)&lt;1,0,IFERROR(LOOKUP(2,1/('Milho 1ª safra'!$E33:INDEX('Milho 1ª safra'!$E33:$Z33,MIN(E$6-$G$3,22))&lt;&gt;""),'Milho 1ª safra'!$E33:INDEX('Milho 1ª safra'!$E33:$Z33,MIN(E$6-$G$3,22))),0)))))</f>
        <v>0</v>
      </c>
      <c r="F35" s="27" t="n">
        <f aca="false">IF(COUNT('Milho 1ª safra'!$E33:$Z33)=0,0,MAX(0,IF((F$6-$E$3)&lt;1,0,IFERROR(LOOKUP(2,1/('Milho 1ª safra'!$E33:INDEX('Milho 1ª safra'!$E33:$Z33,MIN(F$6-$E$3,22))&lt;&gt;""),'Milho 1ª safra'!$E33:INDEX('Milho 1ª safra'!$E33:$Z33,MIN(F$6-$E$3,22))),0))-IF($G$2,0,IF((F$6-$G$3)&lt;1,0,IFERROR(LOOKUP(2,1/('Milho 1ª safra'!$E33:INDEX('Milho 1ª safra'!$E33:$Z33,MIN(F$6-$G$3,22))&lt;&gt;""),'Milho 1ª safra'!$E33:INDEX('Milho 1ª safra'!$E33:$Z33,MIN(F$6-$G$3,22))),0)))))</f>
        <v>0</v>
      </c>
      <c r="G35" s="27" t="n">
        <f aca="false">IF(COUNT('Milho 1ª safra'!$E33:$Z33)=0,0,MAX(0,IF((G$6-$E$3)&lt;1,0,IFERROR(LOOKUP(2,1/('Milho 1ª safra'!$E33:INDEX('Milho 1ª safra'!$E33:$Z33,MIN(G$6-$E$3,22))&lt;&gt;""),'Milho 1ª safra'!$E33:INDEX('Milho 1ª safra'!$E33:$Z33,MIN(G$6-$E$3,22))),0))-IF($G$2,0,IF((G$6-$G$3)&lt;1,0,IFERROR(LOOKUP(2,1/('Milho 1ª safra'!$E33:INDEX('Milho 1ª safra'!$E33:$Z33,MIN(G$6-$G$3,22))&lt;&gt;""),'Milho 1ª safra'!$E33:INDEX('Milho 1ª safra'!$E33:$Z33,MIN(G$6-$G$3,22))),0)))))</f>
        <v>0</v>
      </c>
      <c r="H35" s="27" t="n">
        <f aca="false">IF(COUNT('Milho 1ª safra'!$E33:$Z33)=0,0,MAX(0,IF((H$6-$E$3)&lt;1,0,IFERROR(LOOKUP(2,1/('Milho 1ª safra'!$E33:INDEX('Milho 1ª safra'!$E33:$Z33,MIN(H$6-$E$3,22))&lt;&gt;""),'Milho 1ª safra'!$E33:INDEX('Milho 1ª safra'!$E33:$Z33,MIN(H$6-$E$3,22))),0))-IF($G$2,0,IF((H$6-$G$3)&lt;1,0,IFERROR(LOOKUP(2,1/('Milho 1ª safra'!$E33:INDEX('Milho 1ª safra'!$E33:$Z33,MIN(H$6-$G$3,22))&lt;&gt;""),'Milho 1ª safra'!$E33:INDEX('Milho 1ª safra'!$E33:$Z33,MIN(H$6-$G$3,22))),0)))))</f>
        <v>0</v>
      </c>
      <c r="I35" s="27" t="n">
        <f aca="false">IF(COUNT('Milho 1ª safra'!$E33:$Z33)=0,0,MAX(0,IF((I$6-$E$3)&lt;1,0,IFERROR(LOOKUP(2,1/('Milho 1ª safra'!$E33:INDEX('Milho 1ª safra'!$E33:$Z33,MIN(I$6-$E$3,22))&lt;&gt;""),'Milho 1ª safra'!$E33:INDEX('Milho 1ª safra'!$E33:$Z33,MIN(I$6-$E$3,22))),0))-IF($G$2,0,IF((I$6-$G$3)&lt;1,0,IFERROR(LOOKUP(2,1/('Milho 1ª safra'!$E33:INDEX('Milho 1ª safra'!$E33:$Z33,MIN(I$6-$G$3,22))&lt;&gt;""),'Milho 1ª safra'!$E33:INDEX('Milho 1ª safra'!$E33:$Z33,MIN(I$6-$G$3,22))),0)))))</f>
        <v>0</v>
      </c>
      <c r="J35" s="27" t="n">
        <f aca="false">IF(COUNT('Milho 1ª safra'!$E33:$Z33)=0,0,MAX(0,IF((J$6-$E$3)&lt;1,0,IFERROR(LOOKUP(2,1/('Milho 1ª safra'!$E33:INDEX('Milho 1ª safra'!$E33:$Z33,MIN(J$6-$E$3,22))&lt;&gt;""),'Milho 1ª safra'!$E33:INDEX('Milho 1ª safra'!$E33:$Z33,MIN(J$6-$E$3,22))),0))-IF($G$2,0,IF((J$6-$G$3)&lt;1,0,IFERROR(LOOKUP(2,1/('Milho 1ª safra'!$E33:INDEX('Milho 1ª safra'!$E33:$Z33,MIN(J$6-$G$3,22))&lt;&gt;""),'Milho 1ª safra'!$E33:INDEX('Milho 1ª safra'!$E33:$Z33,MIN(J$6-$G$3,22))),0)))))</f>
        <v>0</v>
      </c>
      <c r="K35" s="27" t="n">
        <f aca="false">IF(COUNT('Milho 1ª safra'!$E33:$Z33)=0,0,MAX(0,IF((K$6-$E$3)&lt;1,0,IFERROR(LOOKUP(2,1/('Milho 1ª safra'!$E33:INDEX('Milho 1ª safra'!$E33:$Z33,MIN(K$6-$E$3,22))&lt;&gt;""),'Milho 1ª safra'!$E33:INDEX('Milho 1ª safra'!$E33:$Z33,MIN(K$6-$E$3,22))),0))-IF($G$2,0,IF((K$6-$G$3)&lt;1,0,IFERROR(LOOKUP(2,1/('Milho 1ª safra'!$E33:INDEX('Milho 1ª safra'!$E33:$Z33,MIN(K$6-$G$3,22))&lt;&gt;""),'Milho 1ª safra'!$E33:INDEX('Milho 1ª safra'!$E33:$Z33,MIN(K$6-$G$3,22))),0)))))</f>
        <v>0</v>
      </c>
      <c r="L35" s="27" t="n">
        <f aca="false">IF(COUNT('Milho 1ª safra'!$E33:$Z33)=0,0,MAX(0,IF((L$6-$E$3)&lt;1,0,IFERROR(LOOKUP(2,1/('Milho 1ª safra'!$E33:INDEX('Milho 1ª safra'!$E33:$Z33,MIN(L$6-$E$3,22))&lt;&gt;""),'Milho 1ª safra'!$E33:INDEX('Milho 1ª safra'!$E33:$Z33,MIN(L$6-$E$3,22))),0))-IF($G$2,0,IF((L$6-$G$3)&lt;1,0,IFERROR(LOOKUP(2,1/('Milho 1ª safra'!$E33:INDEX('Milho 1ª safra'!$E33:$Z33,MIN(L$6-$G$3,22))&lt;&gt;""),'Milho 1ª safra'!$E33:INDEX('Milho 1ª safra'!$E33:$Z33,MIN(L$6-$G$3,22))),0)))))</f>
        <v>0</v>
      </c>
      <c r="M35" s="27" t="n">
        <f aca="false">IF(COUNT('Milho 1ª safra'!$E33:$Z33)=0,0,MAX(0,IF((M$6-$E$3)&lt;1,0,IFERROR(LOOKUP(2,1/('Milho 1ª safra'!$E33:INDEX('Milho 1ª safra'!$E33:$Z33,MIN(M$6-$E$3,22))&lt;&gt;""),'Milho 1ª safra'!$E33:INDEX('Milho 1ª safra'!$E33:$Z33,MIN(M$6-$E$3,22))),0))-IF($G$2,0,IF((M$6-$G$3)&lt;1,0,IFERROR(LOOKUP(2,1/('Milho 1ª safra'!$E33:INDEX('Milho 1ª safra'!$E33:$Z33,MIN(M$6-$G$3,22))&lt;&gt;""),'Milho 1ª safra'!$E33:INDEX('Milho 1ª safra'!$E33:$Z33,MIN(M$6-$G$3,22))),0)))))</f>
        <v>0</v>
      </c>
      <c r="N35" s="27" t="n">
        <f aca="false">IF(COUNT('Milho 1ª safra'!$E33:$Z33)=0,0,MAX(0,IF((N$6-$E$3)&lt;1,0,IFERROR(LOOKUP(2,1/('Milho 1ª safra'!$E33:INDEX('Milho 1ª safra'!$E33:$Z33,MIN(N$6-$E$3,22))&lt;&gt;""),'Milho 1ª safra'!$E33:INDEX('Milho 1ª safra'!$E33:$Z33,MIN(N$6-$E$3,22))),0))-IF($G$2,0,IF((N$6-$G$3)&lt;1,0,IFERROR(LOOKUP(2,1/('Milho 1ª safra'!$E33:INDEX('Milho 1ª safra'!$E33:$Z33,MIN(N$6-$G$3,22))&lt;&gt;""),'Milho 1ª safra'!$E33:INDEX('Milho 1ª safra'!$E33:$Z33,MIN(N$6-$G$3,22))),0)))))</f>
        <v>0</v>
      </c>
      <c r="O35" s="27" t="n">
        <f aca="false">IF(COUNT('Milho 1ª safra'!$E33:$Z33)=0,0,MAX(0,IF((O$6-$E$3)&lt;1,0,IFERROR(LOOKUP(2,1/('Milho 1ª safra'!$E33:INDEX('Milho 1ª safra'!$E33:$Z33,MIN(O$6-$E$3,22))&lt;&gt;""),'Milho 1ª safra'!$E33:INDEX('Milho 1ª safra'!$E33:$Z33,MIN(O$6-$E$3,22))),0))-IF($G$2,0,IF((O$6-$G$3)&lt;1,0,IFERROR(LOOKUP(2,1/('Milho 1ª safra'!$E33:INDEX('Milho 1ª safra'!$E33:$Z33,MIN(O$6-$G$3,22))&lt;&gt;""),'Milho 1ª safra'!$E33:INDEX('Milho 1ª safra'!$E33:$Z33,MIN(O$6-$G$3,22))),0)))))</f>
        <v>0</v>
      </c>
      <c r="P35" s="27" t="n">
        <f aca="false">IF(COUNT('Milho 1ª safra'!$E33:$Z33)=0,0,MAX(0,IF((P$6-$E$3)&lt;1,0,IFERROR(LOOKUP(2,1/('Milho 1ª safra'!$E33:INDEX('Milho 1ª safra'!$E33:$Z33,MIN(P$6-$E$3,22))&lt;&gt;""),'Milho 1ª safra'!$E33:INDEX('Milho 1ª safra'!$E33:$Z33,MIN(P$6-$E$3,22))),0))-IF($G$2,0,IF((P$6-$G$3)&lt;1,0,IFERROR(LOOKUP(2,1/('Milho 1ª safra'!$E33:INDEX('Milho 1ª safra'!$E33:$Z33,MIN(P$6-$G$3,22))&lt;&gt;""),'Milho 1ª safra'!$E33:INDEX('Milho 1ª safra'!$E33:$Z33,MIN(P$6-$G$3,22))),0)))))</f>
        <v>0</v>
      </c>
      <c r="Q35" s="27" t="n">
        <f aca="false">IF(COUNT('Milho 1ª safra'!$E33:$Z33)=0,0,MAX(0,IF((Q$6-$E$3)&lt;1,0,IFERROR(LOOKUP(2,1/('Milho 1ª safra'!$E33:INDEX('Milho 1ª safra'!$E33:$Z33,MIN(Q$6-$E$3,22))&lt;&gt;""),'Milho 1ª safra'!$E33:INDEX('Milho 1ª safra'!$E33:$Z33,MIN(Q$6-$E$3,22))),0))-IF($G$2,0,IF((Q$6-$G$3)&lt;1,0,IFERROR(LOOKUP(2,1/('Milho 1ª safra'!$E33:INDEX('Milho 1ª safra'!$E33:$Z33,MIN(Q$6-$G$3,22))&lt;&gt;""),'Milho 1ª safra'!$E33:INDEX('Milho 1ª safra'!$E33:$Z33,MIN(Q$6-$G$3,22))),0)))))</f>
        <v>0</v>
      </c>
      <c r="R35" s="27" t="n">
        <f aca="false">IF(COUNT('Milho 1ª safra'!$E33:$Z33)=0,0,MAX(0,IF((R$6-$E$3)&lt;1,0,IFERROR(LOOKUP(2,1/('Milho 1ª safra'!$E33:INDEX('Milho 1ª safra'!$E33:$Z33,MIN(R$6-$E$3,22))&lt;&gt;""),'Milho 1ª safra'!$E33:INDEX('Milho 1ª safra'!$E33:$Z33,MIN(R$6-$E$3,22))),0))-IF($G$2,0,IF((R$6-$G$3)&lt;1,0,IFERROR(LOOKUP(2,1/('Milho 1ª safra'!$E33:INDEX('Milho 1ª safra'!$E33:$Z33,MIN(R$6-$G$3,22))&lt;&gt;""),'Milho 1ª safra'!$E33:INDEX('Milho 1ª safra'!$E33:$Z33,MIN(R$6-$G$3,22))),0)))))</f>
        <v>0</v>
      </c>
      <c r="S35" s="27" t="n">
        <f aca="false">IF(COUNT('Milho 1ª safra'!$E33:$Z33)=0,0,MAX(0,IF((S$6-$E$3)&lt;1,0,IFERROR(LOOKUP(2,1/('Milho 1ª safra'!$E33:INDEX('Milho 1ª safra'!$E33:$Z33,MIN(S$6-$E$3,22))&lt;&gt;""),'Milho 1ª safra'!$E33:INDEX('Milho 1ª safra'!$E33:$Z33,MIN(S$6-$E$3,22))),0))-IF($G$2,0,IF((S$6-$G$3)&lt;1,0,IFERROR(LOOKUP(2,1/('Milho 1ª safra'!$E33:INDEX('Milho 1ª safra'!$E33:$Z33,MIN(S$6-$G$3,22))&lt;&gt;""),'Milho 1ª safra'!$E33:INDEX('Milho 1ª safra'!$E33:$Z33,MIN(S$6-$G$3,22))),0)))))</f>
        <v>0</v>
      </c>
      <c r="T35" s="27" t="n">
        <f aca="false">IF(COUNT('Milho 1ª safra'!$E33:$Z33)=0,0,MAX(0,IF((T$6-$E$3)&lt;1,0,IFERROR(LOOKUP(2,1/('Milho 1ª safra'!$E33:INDEX('Milho 1ª safra'!$E33:$Z33,MIN(T$6-$E$3,22))&lt;&gt;""),'Milho 1ª safra'!$E33:INDEX('Milho 1ª safra'!$E33:$Z33,MIN(T$6-$E$3,22))),0))-IF($G$2,0,IF((T$6-$G$3)&lt;1,0,IFERROR(LOOKUP(2,1/('Milho 1ª safra'!$E33:INDEX('Milho 1ª safra'!$E33:$Z33,MIN(T$6-$G$3,22))&lt;&gt;""),'Milho 1ª safra'!$E33:INDEX('Milho 1ª safra'!$E33:$Z33,MIN(T$6-$G$3,22))),0)))))</f>
        <v>0</v>
      </c>
      <c r="U35" s="27" t="n">
        <f aca="false">IF(COUNT('Milho 1ª safra'!$E33:$Z33)=0,0,MAX(0,IF((U$6-$E$3)&lt;1,0,IFERROR(LOOKUP(2,1/('Milho 1ª safra'!$E33:INDEX('Milho 1ª safra'!$E33:$Z33,MIN(U$6-$E$3,22))&lt;&gt;""),'Milho 1ª safra'!$E33:INDEX('Milho 1ª safra'!$E33:$Z33,MIN(U$6-$E$3,22))),0))-IF($G$2,0,IF((U$6-$G$3)&lt;1,0,IFERROR(LOOKUP(2,1/('Milho 1ª safra'!$E33:INDEX('Milho 1ª safra'!$E33:$Z33,MIN(U$6-$G$3,22))&lt;&gt;""),'Milho 1ª safra'!$E33:INDEX('Milho 1ª safra'!$E33:$Z33,MIN(U$6-$G$3,22))),0)))))</f>
        <v>0</v>
      </c>
      <c r="V35" s="27" t="n">
        <f aca="false">IF(COUNT('Milho 1ª safra'!$E33:$Z33)=0,0,MAX(0,IF((V$6-$E$3)&lt;1,0,IFERROR(LOOKUP(2,1/('Milho 1ª safra'!$E33:INDEX('Milho 1ª safra'!$E33:$Z33,MIN(V$6-$E$3,22))&lt;&gt;""),'Milho 1ª safra'!$E33:INDEX('Milho 1ª safra'!$E33:$Z33,MIN(V$6-$E$3,22))),0))-IF($G$2,0,IF((V$6-$G$3)&lt;1,0,IFERROR(LOOKUP(2,1/('Milho 1ª safra'!$E33:INDEX('Milho 1ª safra'!$E33:$Z33,MIN(V$6-$G$3,22))&lt;&gt;""),'Milho 1ª safra'!$E33:INDEX('Milho 1ª safra'!$E33:$Z33,MIN(V$6-$G$3,22))),0)))))</f>
        <v>0</v>
      </c>
      <c r="W35" s="27" t="n">
        <f aca="false">IF(COUNT('Milho 1ª safra'!$E33:$Z33)=0,0,MAX(0,IF((W$6-$E$3)&lt;1,0,IFERROR(LOOKUP(2,1/('Milho 1ª safra'!$E33:INDEX('Milho 1ª safra'!$E33:$Z33,MIN(W$6-$E$3,22))&lt;&gt;""),'Milho 1ª safra'!$E33:INDEX('Milho 1ª safra'!$E33:$Z33,MIN(W$6-$E$3,22))),0))-IF($G$2,0,IF((W$6-$G$3)&lt;1,0,IFERROR(LOOKUP(2,1/('Milho 1ª safra'!$E33:INDEX('Milho 1ª safra'!$E33:$Z33,MIN(W$6-$G$3,22))&lt;&gt;""),'Milho 1ª safra'!$E33:INDEX('Milho 1ª safra'!$E33:$Z33,MIN(W$6-$G$3,22))),0)))))</f>
        <v>0</v>
      </c>
      <c r="X35" s="27" t="n">
        <f aca="false">IF(COUNT('Milho 1ª safra'!$E33:$Z33)=0,0,MAX(0,IF((X$6-$E$3)&lt;1,0,IFERROR(LOOKUP(2,1/('Milho 1ª safra'!$E33:INDEX('Milho 1ª safra'!$E33:$Z33,MIN(X$6-$E$3,22))&lt;&gt;""),'Milho 1ª safra'!$E33:INDEX('Milho 1ª safra'!$E33:$Z33,MIN(X$6-$E$3,22))),0))-IF($G$2,0,IF((X$6-$G$3)&lt;1,0,IFERROR(LOOKUP(2,1/('Milho 1ª safra'!$E33:INDEX('Milho 1ª safra'!$E33:$Z33,MIN(X$6-$G$3,22))&lt;&gt;""),'Milho 1ª safra'!$E33:INDEX('Milho 1ª safra'!$E33:$Z33,MIN(X$6-$G$3,22))),0)))))</f>
        <v>0</v>
      </c>
      <c r="Y35" s="27" t="n">
        <f aca="false">IF(COUNT('Milho 1ª safra'!$E33:$Z33)=0,0,MAX(0,IF((Y$6-$E$3)&lt;1,0,IFERROR(LOOKUP(2,1/('Milho 1ª safra'!$E33:INDEX('Milho 1ª safra'!$E33:$Z33,MIN(Y$6-$E$3,22))&lt;&gt;""),'Milho 1ª safra'!$E33:INDEX('Milho 1ª safra'!$E33:$Z33,MIN(Y$6-$E$3,22))),0))-IF($G$2,0,IF((Y$6-$G$3)&lt;1,0,IFERROR(LOOKUP(2,1/('Milho 1ª safra'!$E33:INDEX('Milho 1ª safra'!$E33:$Z33,MIN(Y$6-$G$3,22))&lt;&gt;""),'Milho 1ª safra'!$E33:INDEX('Milho 1ª safra'!$E33:$Z33,MIN(Y$6-$G$3,22))),0)))))</f>
        <v>0</v>
      </c>
      <c r="Z35" s="27" t="n">
        <f aca="false">IF(COUNT('Milho 1ª safra'!$E33:$Z33)=0,0,MAX(0,IF((Z$6-$E$3)&lt;1,0,IFERROR(LOOKUP(2,1/('Milho 1ª safra'!$E33:INDEX('Milho 1ª safra'!$E33:$Z33,MIN(Z$6-$E$3,22))&lt;&gt;""),'Milho 1ª safra'!$E33:INDEX('Milho 1ª safra'!$E33:$Z33,MIN(Z$6-$E$3,22))),0))-IF($G$2,0,IF((Z$6-$G$3)&lt;1,0,IFERROR(LOOKUP(2,1/('Milho 1ª safra'!$E33:INDEX('Milho 1ª safra'!$E33:$Z33,MIN(Z$6-$G$3,22))&lt;&gt;""),'Milho 1ª safra'!$E33:INDEX('Milho 1ª safra'!$E33:$Z33,MIN(Z$6-$G$3,22))),0)))))</f>
        <v>0</v>
      </c>
      <c r="AA35" s="27" t="n">
        <f aca="false">IF(COUNT('Milho 1ª safra'!$E33:$Z33)=0,0,MAX(0,IF((AA$6-$E$3)&lt;1,0,IFERROR(LOOKUP(2,1/('Milho 1ª safra'!$E33:INDEX('Milho 1ª safra'!$E33:$Z33,MIN(AA$6-$E$3,22))&lt;&gt;""),'Milho 1ª safra'!$E33:INDEX('Milho 1ª safra'!$E33:$Z33,MIN(AA$6-$E$3,22))),0))-IF($G$2,0,IF((AA$6-$G$3)&lt;1,0,IFERROR(LOOKUP(2,1/('Milho 1ª safra'!$E33:INDEX('Milho 1ª safra'!$E33:$Z33,MIN(AA$6-$G$3,22))&lt;&gt;""),'Milho 1ª safra'!$E33:INDEX('Milho 1ª safra'!$E33:$Z33,MIN(AA$6-$G$3,22))),0)))))</f>
        <v>0</v>
      </c>
      <c r="AB35" s="27" t="n">
        <f aca="false">IF(COUNT('Milho 1ª safra'!$E33:$Z33)=0,0,MAX(0,IF((AB$6-$E$3)&lt;1,0,IFERROR(LOOKUP(2,1/('Milho 1ª safra'!$E33:INDEX('Milho 1ª safra'!$E33:$Z33,MIN(AB$6-$E$3,22))&lt;&gt;""),'Milho 1ª safra'!$E33:INDEX('Milho 1ª safra'!$E33:$Z33,MIN(AB$6-$E$3,22))),0))-IF($G$2,0,IF((AB$6-$G$3)&lt;1,0,IFERROR(LOOKUP(2,1/('Milho 1ª safra'!$E33:INDEX('Milho 1ª safra'!$E33:$Z33,MIN(AB$6-$G$3,22))&lt;&gt;""),'Milho 1ª safra'!$E33:INDEX('Milho 1ª safra'!$E33:$Z33,MIN(AB$6-$G$3,22))),0)))))</f>
        <v>0</v>
      </c>
      <c r="AC35" s="27" t="n">
        <f aca="false">IF(COUNT('Milho 1ª safra'!$E33:$Z33)=0,0,MAX(0,IF((AC$6-$E$3)&lt;1,0,IFERROR(LOOKUP(2,1/('Milho 1ª safra'!$E33:INDEX('Milho 1ª safra'!$E33:$Z33,MIN(AC$6-$E$3,22))&lt;&gt;""),'Milho 1ª safra'!$E33:INDEX('Milho 1ª safra'!$E33:$Z33,MIN(AC$6-$E$3,22))),0))-IF($G$2,0,IF((AC$6-$G$3)&lt;1,0,IFERROR(LOOKUP(2,1/('Milho 1ª safra'!$E33:INDEX('Milho 1ª safra'!$E33:$Z33,MIN(AC$6-$G$3,22))&lt;&gt;""),'Milho 1ª safra'!$E33:INDEX('Milho 1ª safra'!$E33:$Z33,MIN(AC$6-$G$3,22))),0)))))</f>
        <v>0</v>
      </c>
      <c r="AD35" s="27" t="n">
        <f aca="false">IF(COUNT('Milho 1ª safra'!$E33:$Z33)=0,0,MAX(0,IF((AD$6-$E$3)&lt;1,0,IFERROR(LOOKUP(2,1/('Milho 1ª safra'!$E33:INDEX('Milho 1ª safra'!$E33:$Z33,MIN(AD$6-$E$3,22))&lt;&gt;""),'Milho 1ª safra'!$E33:INDEX('Milho 1ª safra'!$E33:$Z33,MIN(AD$6-$E$3,22))),0))-IF($G$2,0,IF((AD$6-$G$3)&lt;1,0,IFERROR(LOOKUP(2,1/('Milho 1ª safra'!$E33:INDEX('Milho 1ª safra'!$E33:$Z33,MIN(AD$6-$G$3,22))&lt;&gt;""),'Milho 1ª safra'!$E33:INDEX('Milho 1ª safra'!$E33:$Z33,MIN(AD$6-$G$3,22))),0)))))</f>
        <v>0</v>
      </c>
      <c r="AE35" s="27" t="n">
        <f aca="false">IF(COUNT('Milho 1ª safra'!$E33:$Z33)=0,0,MAX(0,IF((AE$6-$E$3)&lt;1,0,IFERROR(LOOKUP(2,1/('Milho 1ª safra'!$E33:INDEX('Milho 1ª safra'!$E33:$Z33,MIN(AE$6-$E$3,22))&lt;&gt;""),'Milho 1ª safra'!$E33:INDEX('Milho 1ª safra'!$E33:$Z33,MIN(AE$6-$E$3,22))),0))-IF($G$2,0,IF((AE$6-$G$3)&lt;1,0,IFERROR(LOOKUP(2,1/('Milho 1ª safra'!$E33:INDEX('Milho 1ª safra'!$E33:$Z33,MIN(AE$6-$G$3,22))&lt;&gt;""),'Milho 1ª safra'!$E33:INDEX('Milho 1ª safra'!$E33:$Z33,MIN(AE$6-$G$3,22))),0)))))</f>
        <v>0</v>
      </c>
      <c r="AF35" s="27" t="n">
        <f aca="false">IF(COUNT('Milho 1ª safra'!$E33:$Z33)=0,0,MAX(0,IF((AF$6-$E$3)&lt;1,0,IFERROR(LOOKUP(2,1/('Milho 1ª safra'!$E33:INDEX('Milho 1ª safra'!$E33:$Z33,MIN(AF$6-$E$3,22))&lt;&gt;""),'Milho 1ª safra'!$E33:INDEX('Milho 1ª safra'!$E33:$Z33,MIN(AF$6-$E$3,22))),0))-IF($G$2,0,IF((AF$6-$G$3)&lt;1,0,IFERROR(LOOKUP(2,1/('Milho 1ª safra'!$E33:INDEX('Milho 1ª safra'!$E33:$Z33,MIN(AF$6-$G$3,22))&lt;&gt;""),'Milho 1ª safra'!$E33:INDEX('Milho 1ª safra'!$E33:$Z33,MIN(AF$6-$G$3,22))),0)))))</f>
        <v>0</v>
      </c>
      <c r="AG35" s="27" t="n">
        <f aca="false">IF(COUNT('Milho 1ª safra'!$E33:$Z33)=0,0,MAX(0,IF((AG$6-$E$3)&lt;1,0,IFERROR(LOOKUP(2,1/('Milho 1ª safra'!$E33:INDEX('Milho 1ª safra'!$E33:$Z33,MIN(AG$6-$E$3,22))&lt;&gt;""),'Milho 1ª safra'!$E33:INDEX('Milho 1ª safra'!$E33:$Z33,MIN(AG$6-$E$3,22))),0))-IF($G$2,0,IF((AG$6-$G$3)&lt;1,0,IFERROR(LOOKUP(2,1/('Milho 1ª safra'!$E33:INDEX('Milho 1ª safra'!$E33:$Z33,MIN(AG$6-$G$3,22))&lt;&gt;""),'Milho 1ª safra'!$E33:INDEX('Milho 1ª safra'!$E33:$Z33,MIN(AG$6-$G$3,22))),0)))))</f>
        <v>0</v>
      </c>
      <c r="AH35" s="27" t="n">
        <f aca="false">IF(COUNT('Milho 1ª safra'!$E33:$Z33)=0,0,MAX(0,IF((AH$6-$E$3)&lt;1,0,IFERROR(LOOKUP(2,1/('Milho 1ª safra'!$E33:INDEX('Milho 1ª safra'!$E33:$Z33,MIN(AH$6-$E$3,22))&lt;&gt;""),'Milho 1ª safra'!$E33:INDEX('Milho 1ª safra'!$E33:$Z33,MIN(AH$6-$E$3,22))),0))-IF($G$2,0,IF((AH$6-$G$3)&lt;1,0,IFERROR(LOOKUP(2,1/('Milho 1ª safra'!$E33:INDEX('Milho 1ª safra'!$E33:$Z33,MIN(AH$6-$G$3,22))&lt;&gt;""),'Milho 1ª safra'!$E33:INDEX('Milho 1ª safra'!$E33:$Z33,MIN(AH$6-$G$3,22))),0)))))</f>
        <v>0</v>
      </c>
      <c r="AI35" s="27" t="n">
        <f aca="false">IF(COUNT('Milho 1ª safra'!$E33:$Z33)=0,0,MAX(0,IF((AI$6-$E$3)&lt;1,0,IFERROR(LOOKUP(2,1/('Milho 1ª safra'!$E33:INDEX('Milho 1ª safra'!$E33:$Z33,MIN(AI$6-$E$3,22))&lt;&gt;""),'Milho 1ª safra'!$E33:INDEX('Milho 1ª safra'!$E33:$Z33,MIN(AI$6-$E$3,22))),0))-IF($G$2,0,IF((AI$6-$G$3)&lt;1,0,IFERROR(LOOKUP(2,1/('Milho 1ª safra'!$E33:INDEX('Milho 1ª safra'!$E33:$Z33,MIN(AI$6-$G$3,22))&lt;&gt;""),'Milho 1ª safra'!$E33:INDEX('Milho 1ª safra'!$E33:$Z33,MIN(AI$6-$G$3,22))),0)))))</f>
        <v>0</v>
      </c>
      <c r="AJ35" s="27" t="n">
        <f aca="false">IF(COUNT('Milho 1ª safra'!$E33:$Z33)=0,0,MAX(0,IF((AJ$6-$E$3)&lt;1,0,IFERROR(LOOKUP(2,1/('Milho 1ª safra'!$E33:INDEX('Milho 1ª safra'!$E33:$Z33,MIN(AJ$6-$E$3,22))&lt;&gt;""),'Milho 1ª safra'!$E33:INDEX('Milho 1ª safra'!$E33:$Z33,MIN(AJ$6-$E$3,22))),0))-IF($G$2,0,IF((AJ$6-$G$3)&lt;1,0,IFERROR(LOOKUP(2,1/('Milho 1ª safra'!$E33:INDEX('Milho 1ª safra'!$E33:$Z33,MIN(AJ$6-$G$3,22))&lt;&gt;""),'Milho 1ª safra'!$E33:INDEX('Milho 1ª safra'!$E33:$Z33,MIN(AJ$6-$G$3,22))),0)))))</f>
        <v>0</v>
      </c>
      <c r="AK35" s="27" t="n">
        <f aca="false">IF(COUNT('Milho 1ª safra'!$E33:$Z33)=0,0,MAX(0,IF((AK$6-$E$3)&lt;1,0,IFERROR(LOOKUP(2,1/('Milho 1ª safra'!$E33:INDEX('Milho 1ª safra'!$E33:$Z33,MIN(AK$6-$E$3,22))&lt;&gt;""),'Milho 1ª safra'!$E33:INDEX('Milho 1ª safra'!$E33:$Z33,MIN(AK$6-$E$3,22))),0))-IF($G$2,0,IF((AK$6-$G$3)&lt;1,0,IFERROR(LOOKUP(2,1/('Milho 1ª safra'!$E33:INDEX('Milho 1ª safra'!$E33:$Z33,MIN(AK$6-$G$3,22))&lt;&gt;""),'Milho 1ª safra'!$E33:INDEX('Milho 1ª safra'!$E33:$Z33,MIN(AK$6-$G$3,22))),0)))))</f>
        <v>0</v>
      </c>
      <c r="AL35" s="27" t="n">
        <f aca="false">IF(COUNT('Milho 1ª safra'!$E33:$Z33)=0,0,MAX(0,IF((AL$6-$E$3)&lt;1,0,IFERROR(LOOKUP(2,1/('Milho 1ª safra'!$E33:INDEX('Milho 1ª safra'!$E33:$Z33,MIN(AL$6-$E$3,22))&lt;&gt;""),'Milho 1ª safra'!$E33:INDEX('Milho 1ª safra'!$E33:$Z33,MIN(AL$6-$E$3,22))),0))-IF($G$2,0,IF((AL$6-$G$3)&lt;1,0,IFERROR(LOOKUP(2,1/('Milho 1ª safra'!$E33:INDEX('Milho 1ª safra'!$E33:$Z33,MIN(AL$6-$G$3,22))&lt;&gt;""),'Milho 1ª safra'!$E33:INDEX('Milho 1ª safra'!$E33:$Z33,MIN(AL$6-$G$3,22))),0)))))</f>
        <v>0</v>
      </c>
      <c r="AM35" s="27" t="n">
        <f aca="false">IF(COUNT('Milho 1ª safra'!$E33:$Z33)=0,0,MAX(0,IF((AM$6-$E$3)&lt;1,0,IFERROR(LOOKUP(2,1/('Milho 1ª safra'!$E33:INDEX('Milho 1ª safra'!$E33:$Z33,MIN(AM$6-$E$3,22))&lt;&gt;""),'Milho 1ª safra'!$E33:INDEX('Milho 1ª safra'!$E33:$Z33,MIN(AM$6-$E$3,22))),0))-IF($G$2,0,IF((AM$6-$G$3)&lt;1,0,IFERROR(LOOKUP(2,1/('Milho 1ª safra'!$E33:INDEX('Milho 1ª safra'!$E33:$Z33,MIN(AM$6-$G$3,22))&lt;&gt;""),'Milho 1ª safra'!$E33:INDEX('Milho 1ª safra'!$E33:$Z33,MIN(AM$6-$G$3,22))),0)))))</f>
        <v>0</v>
      </c>
      <c r="AN35" s="27" t="n">
        <f aca="false">IF(COUNT('Milho 1ª safra'!$E33:$Z33)=0,0,MAX(0,IF((AN$6-$E$3)&lt;1,0,IFERROR(LOOKUP(2,1/('Milho 1ª safra'!$E33:INDEX('Milho 1ª safra'!$E33:$Z33,MIN(AN$6-$E$3,22))&lt;&gt;""),'Milho 1ª safra'!$E33:INDEX('Milho 1ª safra'!$E33:$Z33,MIN(AN$6-$E$3,22))),0))-IF($G$2,0,IF((AN$6-$G$3)&lt;1,0,IFERROR(LOOKUP(2,1/('Milho 1ª safra'!$E33:INDEX('Milho 1ª safra'!$E33:$Z33,MIN(AN$6-$G$3,22))&lt;&gt;""),'Milho 1ª safra'!$E33:INDEX('Milho 1ª safra'!$E33:$Z33,MIN(AN$6-$G$3,22))),0)))))</f>
        <v>0</v>
      </c>
      <c r="AO35" s="27" t="n">
        <f aca="false">IF(COUNT('Milho 1ª safra'!$E33:$Z33)=0,0,MAX(0,IF((AO$6-$E$3)&lt;1,0,IFERROR(LOOKUP(2,1/('Milho 1ª safra'!$E33:INDEX('Milho 1ª safra'!$E33:$Z33,MIN(AO$6-$E$3,22))&lt;&gt;""),'Milho 1ª safra'!$E33:INDEX('Milho 1ª safra'!$E33:$Z33,MIN(AO$6-$E$3,22))),0))-IF($G$2,0,IF((AO$6-$G$3)&lt;1,0,IFERROR(LOOKUP(2,1/('Milho 1ª safra'!$E33:INDEX('Milho 1ª safra'!$E33:$Z33,MIN(AO$6-$G$3,22))&lt;&gt;""),'Milho 1ª safra'!$E33:INDEX('Milho 1ª safra'!$E33:$Z33,MIN(AO$6-$G$3,22))),0)))))</f>
        <v>0</v>
      </c>
      <c r="AP35" s="27" t="n">
        <f aca="false">IF(COUNT('Milho 1ª safra'!$E33:$Z33)=0,0,MAX(0,IF((AP$6-$E$3)&lt;1,0,IFERROR(LOOKUP(2,1/('Milho 1ª safra'!$E33:INDEX('Milho 1ª safra'!$E33:$Z33,MIN(AP$6-$E$3,22))&lt;&gt;""),'Milho 1ª safra'!$E33:INDEX('Milho 1ª safra'!$E33:$Z33,MIN(AP$6-$E$3,22))),0))-IF($G$2,0,IF((AP$6-$G$3)&lt;1,0,IFERROR(LOOKUP(2,1/('Milho 1ª safra'!$E33:INDEX('Milho 1ª safra'!$E33:$Z33,MIN(AP$6-$G$3,22))&lt;&gt;""),'Milho 1ª safra'!$E33:INDEX('Milho 1ª safra'!$E33:$Z33,MIN(AP$6-$G$3,22))),0)))))</f>
        <v>0</v>
      </c>
      <c r="AQ35" s="27" t="n">
        <f aca="false">IF(COUNT('Milho 1ª safra'!$E33:$Z33)=0,0,MAX(0,IF((AQ$6-$E$3)&lt;1,0,IFERROR(LOOKUP(2,1/('Milho 1ª safra'!$E33:INDEX('Milho 1ª safra'!$E33:$Z33,MIN(AQ$6-$E$3,22))&lt;&gt;""),'Milho 1ª safra'!$E33:INDEX('Milho 1ª safra'!$E33:$Z33,MIN(AQ$6-$E$3,22))),0))-IF($G$2,0,IF((AQ$6-$G$3)&lt;1,0,IFERROR(LOOKUP(2,1/('Milho 1ª safra'!$E33:INDEX('Milho 1ª safra'!$E33:$Z33,MIN(AQ$6-$G$3,22))&lt;&gt;""),'Milho 1ª safra'!$E33:INDEX('Milho 1ª safra'!$E33:$Z33,MIN(AQ$6-$G$3,22))),0)))))</f>
        <v>0</v>
      </c>
      <c r="AR35" s="27" t="n">
        <f aca="false">IF(COUNT('Milho 1ª safra'!$E33:$Z33)=0,0,MAX(0,IF((AR$6-$E$3)&lt;1,0,IFERROR(LOOKUP(2,1/('Milho 1ª safra'!$E33:INDEX('Milho 1ª safra'!$E33:$Z33,MIN(AR$6-$E$3,22))&lt;&gt;""),'Milho 1ª safra'!$E33:INDEX('Milho 1ª safra'!$E33:$Z33,MIN(AR$6-$E$3,22))),0))-IF($G$2,0,IF((AR$6-$G$3)&lt;1,0,IFERROR(LOOKUP(2,1/('Milho 1ª safra'!$E33:INDEX('Milho 1ª safra'!$E33:$Z33,MIN(AR$6-$G$3,22))&lt;&gt;""),'Milho 1ª safra'!$E33:INDEX('Milho 1ª safra'!$E33:$Z33,MIN(AR$6-$G$3,22))),0)))))</f>
        <v>0</v>
      </c>
      <c r="AS35" s="27" t="n">
        <f aca="false">IF(COUNT('Milho 1ª safra'!$E33:$Z33)=0,0,MAX(0,IF((AS$6-$E$3)&lt;1,0,IFERROR(LOOKUP(2,1/('Milho 1ª safra'!$E33:INDEX('Milho 1ª safra'!$E33:$Z33,MIN(AS$6-$E$3,22))&lt;&gt;""),'Milho 1ª safra'!$E33:INDEX('Milho 1ª safra'!$E33:$Z33,MIN(AS$6-$E$3,22))),0))-IF($G$2,0,IF((AS$6-$G$3)&lt;1,0,IFERROR(LOOKUP(2,1/('Milho 1ª safra'!$E33:INDEX('Milho 1ª safra'!$E33:$Z33,MIN(AS$6-$G$3,22))&lt;&gt;""),'Milho 1ª safra'!$E33:INDEX('Milho 1ª safra'!$E33:$Z33,MIN(AS$6-$G$3,22))),0)))))</f>
        <v>0</v>
      </c>
      <c r="AT35" s="27" t="n">
        <f aca="false">IF(COUNT('Milho 1ª safra'!$E33:$Z33)=0,0,MAX(0,IF((AT$6-$E$3)&lt;1,0,IFERROR(LOOKUP(2,1/('Milho 1ª safra'!$E33:INDEX('Milho 1ª safra'!$E33:$Z33,MIN(AT$6-$E$3,22))&lt;&gt;""),'Milho 1ª safra'!$E33:INDEX('Milho 1ª safra'!$E33:$Z33,MIN(AT$6-$E$3,22))),0))-IF($G$2,0,IF((AT$6-$G$3)&lt;1,0,IFERROR(LOOKUP(2,1/('Milho 1ª safra'!$E33:INDEX('Milho 1ª safra'!$E33:$Z33,MIN(AT$6-$G$3,22))&lt;&gt;""),'Milho 1ª safra'!$E33:INDEX('Milho 1ª safra'!$E33:$Z33,MIN(AT$6-$G$3,22))),0)))))</f>
        <v>0</v>
      </c>
      <c r="AU35" s="27" t="n">
        <f aca="false">IF(COUNT('Milho 1ª safra'!$E33:$Z33)=0,0,MAX(0,IF((AU$6-$E$3)&lt;1,0,IFERROR(LOOKUP(2,1/('Milho 1ª safra'!$E33:INDEX('Milho 1ª safra'!$E33:$Z33,MIN(AU$6-$E$3,22))&lt;&gt;""),'Milho 1ª safra'!$E33:INDEX('Milho 1ª safra'!$E33:$Z33,MIN(AU$6-$E$3,22))),0))-IF($G$2,0,IF((AU$6-$G$3)&lt;1,0,IFERROR(LOOKUP(2,1/('Milho 1ª safra'!$E33:INDEX('Milho 1ª safra'!$E33:$Z33,MIN(AU$6-$G$3,22))&lt;&gt;""),'Milho 1ª safra'!$E33:INDEX('Milho 1ª safra'!$E33:$Z33,MIN(AU$6-$G$3,22))),0)))))</f>
        <v>0</v>
      </c>
      <c r="AV35" s="27" t="n">
        <f aca="false">IF(COUNT('Milho 1ª safra'!$E33:$Z33)=0,0,MAX(0,IF((AV$6-$E$3)&lt;1,0,IFERROR(LOOKUP(2,1/('Milho 1ª safra'!$E33:INDEX('Milho 1ª safra'!$E33:$Z33,MIN(AV$6-$E$3,22))&lt;&gt;""),'Milho 1ª safra'!$E33:INDEX('Milho 1ª safra'!$E33:$Z33,MIN(AV$6-$E$3,22))),0))-IF($G$2,0,IF((AV$6-$G$3)&lt;1,0,IFERROR(LOOKUP(2,1/('Milho 1ª safra'!$E33:INDEX('Milho 1ª safra'!$E33:$Z33,MIN(AV$6-$G$3,22))&lt;&gt;""),'Milho 1ª safra'!$E33:INDEX('Milho 1ª safra'!$E33:$Z33,MIN(AV$6-$G$3,22))),0)))))</f>
        <v>0</v>
      </c>
      <c r="AW35" s="27" t="n">
        <f aca="false">IF(COUNT('Milho 1ª safra'!$E33:$Z33)=0,0,MAX(0,IF((AW$6-$E$3)&lt;1,0,IFERROR(LOOKUP(2,1/('Milho 1ª safra'!$E33:INDEX('Milho 1ª safra'!$E33:$Z33,MIN(AW$6-$E$3,22))&lt;&gt;""),'Milho 1ª safra'!$E33:INDEX('Milho 1ª safra'!$E33:$Z33,MIN(AW$6-$E$3,22))),0))-IF($G$2,0,IF((AW$6-$G$3)&lt;1,0,IFERROR(LOOKUP(2,1/('Milho 1ª safra'!$E33:INDEX('Milho 1ª safra'!$E33:$Z33,MIN(AW$6-$G$3,22))&lt;&gt;""),'Milho 1ª safra'!$E33:INDEX('Milho 1ª safra'!$E33:$Z33,MIN(AW$6-$G$3,22))),0)))))</f>
        <v>0</v>
      </c>
      <c r="AX35" s="27" t="n">
        <f aca="false">IF(COUNT('Milho 1ª safra'!$E33:$Z33)=0,0,MAX(0,IF((AX$6-$E$3)&lt;1,0,IFERROR(LOOKUP(2,1/('Milho 1ª safra'!$E33:INDEX('Milho 1ª safra'!$E33:$Z33,MIN(AX$6-$E$3,22))&lt;&gt;""),'Milho 1ª safra'!$E33:INDEX('Milho 1ª safra'!$E33:$Z33,MIN(AX$6-$E$3,22))),0))-IF($G$2,0,IF((AX$6-$G$3)&lt;1,0,IFERROR(LOOKUP(2,1/('Milho 1ª safra'!$E33:INDEX('Milho 1ª safra'!$E33:$Z33,MIN(AX$6-$G$3,22))&lt;&gt;""),'Milho 1ª safra'!$E33:INDEX('Milho 1ª safra'!$E33:$Z33,MIN(AX$6-$G$3,22))),0)))))</f>
        <v>0</v>
      </c>
      <c r="AY35" s="27" t="n">
        <f aca="false">IF(COUNT('Milho 1ª safra'!$E33:$Z33)=0,0,MAX(0,IF((AY$6-$E$3)&lt;1,0,IFERROR(LOOKUP(2,1/('Milho 1ª safra'!$E33:INDEX('Milho 1ª safra'!$E33:$Z33,MIN(AY$6-$E$3,22))&lt;&gt;""),'Milho 1ª safra'!$E33:INDEX('Milho 1ª safra'!$E33:$Z33,MIN(AY$6-$E$3,22))),0))-IF($G$2,0,IF((AY$6-$G$3)&lt;1,0,IFERROR(LOOKUP(2,1/('Milho 1ª safra'!$E33:INDEX('Milho 1ª safra'!$E33:$Z33,MIN(AY$6-$G$3,22))&lt;&gt;""),'Milho 1ª safra'!$E33:INDEX('Milho 1ª safra'!$E33:$Z33,MIN(AY$6-$G$3,22))),0)))))</f>
        <v>0</v>
      </c>
      <c r="AZ35" s="27" t="n">
        <f aca="false">IF(COUNT('Milho 1ª safra'!$E33:$Z33)=0,0,MAX(0,IF((AZ$6-$E$3)&lt;1,0,IFERROR(LOOKUP(2,1/('Milho 1ª safra'!$E33:INDEX('Milho 1ª safra'!$E33:$Z33,MIN(AZ$6-$E$3,22))&lt;&gt;""),'Milho 1ª safra'!$E33:INDEX('Milho 1ª safra'!$E33:$Z33,MIN(AZ$6-$E$3,22))),0))-IF($G$2,0,IF((AZ$6-$G$3)&lt;1,0,IFERROR(LOOKUP(2,1/('Milho 1ª safra'!$E33:INDEX('Milho 1ª safra'!$E33:$Z33,MIN(AZ$6-$G$3,22))&lt;&gt;""),'Milho 1ª safra'!$E33:INDEX('Milho 1ª safra'!$E33:$Z33,MIN(AZ$6-$G$3,22))),0)))))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IF(COUNT('Milho 1ª safra'!$E34:$Z34)&gt;0,N('Milho 1ª safra'!$D34),0)</f>
        <v>0</v>
      </c>
      <c r="E36" s="27" t="n">
        <f aca="false">IF(COUNT('Milho 1ª safra'!$E34:$Z34)=0,0,MAX(0,IF((E$6-$E$3)&lt;1,0,IFERROR(LOOKUP(2,1/('Milho 1ª safra'!$E34:INDEX('Milho 1ª safra'!$E34:$Z34,MIN(E$6-$E$3,22))&lt;&gt;""),'Milho 1ª safra'!$E34:INDEX('Milho 1ª safra'!$E34:$Z34,MIN(E$6-$E$3,22))),0))-IF($G$2,0,IF((E$6-$G$3)&lt;1,0,IFERROR(LOOKUP(2,1/('Milho 1ª safra'!$E34:INDEX('Milho 1ª safra'!$E34:$Z34,MIN(E$6-$G$3,22))&lt;&gt;""),'Milho 1ª safra'!$E34:INDEX('Milho 1ª safra'!$E34:$Z34,MIN(E$6-$G$3,22))),0)))))</f>
        <v>0</v>
      </c>
      <c r="F36" s="27" t="n">
        <f aca="false">IF(COUNT('Milho 1ª safra'!$E34:$Z34)=0,0,MAX(0,IF((F$6-$E$3)&lt;1,0,IFERROR(LOOKUP(2,1/('Milho 1ª safra'!$E34:INDEX('Milho 1ª safra'!$E34:$Z34,MIN(F$6-$E$3,22))&lt;&gt;""),'Milho 1ª safra'!$E34:INDEX('Milho 1ª safra'!$E34:$Z34,MIN(F$6-$E$3,22))),0))-IF($G$2,0,IF((F$6-$G$3)&lt;1,0,IFERROR(LOOKUP(2,1/('Milho 1ª safra'!$E34:INDEX('Milho 1ª safra'!$E34:$Z34,MIN(F$6-$G$3,22))&lt;&gt;""),'Milho 1ª safra'!$E34:INDEX('Milho 1ª safra'!$E34:$Z34,MIN(F$6-$G$3,22))),0)))))</f>
        <v>0</v>
      </c>
      <c r="G36" s="27" t="n">
        <f aca="false">IF(COUNT('Milho 1ª safra'!$E34:$Z34)=0,0,MAX(0,IF((G$6-$E$3)&lt;1,0,IFERROR(LOOKUP(2,1/('Milho 1ª safra'!$E34:INDEX('Milho 1ª safra'!$E34:$Z34,MIN(G$6-$E$3,22))&lt;&gt;""),'Milho 1ª safra'!$E34:INDEX('Milho 1ª safra'!$E34:$Z34,MIN(G$6-$E$3,22))),0))-IF($G$2,0,IF((G$6-$G$3)&lt;1,0,IFERROR(LOOKUP(2,1/('Milho 1ª safra'!$E34:INDEX('Milho 1ª safra'!$E34:$Z34,MIN(G$6-$G$3,22))&lt;&gt;""),'Milho 1ª safra'!$E34:INDEX('Milho 1ª safra'!$E34:$Z34,MIN(G$6-$G$3,22))),0)))))</f>
        <v>0</v>
      </c>
      <c r="H36" s="27" t="n">
        <f aca="false">IF(COUNT('Milho 1ª safra'!$E34:$Z34)=0,0,MAX(0,IF((H$6-$E$3)&lt;1,0,IFERROR(LOOKUP(2,1/('Milho 1ª safra'!$E34:INDEX('Milho 1ª safra'!$E34:$Z34,MIN(H$6-$E$3,22))&lt;&gt;""),'Milho 1ª safra'!$E34:INDEX('Milho 1ª safra'!$E34:$Z34,MIN(H$6-$E$3,22))),0))-IF($G$2,0,IF((H$6-$G$3)&lt;1,0,IFERROR(LOOKUP(2,1/('Milho 1ª safra'!$E34:INDEX('Milho 1ª safra'!$E34:$Z34,MIN(H$6-$G$3,22))&lt;&gt;""),'Milho 1ª safra'!$E34:INDEX('Milho 1ª safra'!$E34:$Z34,MIN(H$6-$G$3,22))),0)))))</f>
        <v>0</v>
      </c>
      <c r="I36" s="27" t="n">
        <f aca="false">IF(COUNT('Milho 1ª safra'!$E34:$Z34)=0,0,MAX(0,IF((I$6-$E$3)&lt;1,0,IFERROR(LOOKUP(2,1/('Milho 1ª safra'!$E34:INDEX('Milho 1ª safra'!$E34:$Z34,MIN(I$6-$E$3,22))&lt;&gt;""),'Milho 1ª safra'!$E34:INDEX('Milho 1ª safra'!$E34:$Z34,MIN(I$6-$E$3,22))),0))-IF($G$2,0,IF((I$6-$G$3)&lt;1,0,IFERROR(LOOKUP(2,1/('Milho 1ª safra'!$E34:INDEX('Milho 1ª safra'!$E34:$Z34,MIN(I$6-$G$3,22))&lt;&gt;""),'Milho 1ª safra'!$E34:INDEX('Milho 1ª safra'!$E34:$Z34,MIN(I$6-$G$3,22))),0)))))</f>
        <v>0</v>
      </c>
      <c r="J36" s="27" t="n">
        <f aca="false">IF(COUNT('Milho 1ª safra'!$E34:$Z34)=0,0,MAX(0,IF((J$6-$E$3)&lt;1,0,IFERROR(LOOKUP(2,1/('Milho 1ª safra'!$E34:INDEX('Milho 1ª safra'!$E34:$Z34,MIN(J$6-$E$3,22))&lt;&gt;""),'Milho 1ª safra'!$E34:INDEX('Milho 1ª safra'!$E34:$Z34,MIN(J$6-$E$3,22))),0))-IF($G$2,0,IF((J$6-$G$3)&lt;1,0,IFERROR(LOOKUP(2,1/('Milho 1ª safra'!$E34:INDEX('Milho 1ª safra'!$E34:$Z34,MIN(J$6-$G$3,22))&lt;&gt;""),'Milho 1ª safra'!$E34:INDEX('Milho 1ª safra'!$E34:$Z34,MIN(J$6-$G$3,22))),0)))))</f>
        <v>0</v>
      </c>
      <c r="K36" s="27" t="n">
        <f aca="false">IF(COUNT('Milho 1ª safra'!$E34:$Z34)=0,0,MAX(0,IF((K$6-$E$3)&lt;1,0,IFERROR(LOOKUP(2,1/('Milho 1ª safra'!$E34:INDEX('Milho 1ª safra'!$E34:$Z34,MIN(K$6-$E$3,22))&lt;&gt;""),'Milho 1ª safra'!$E34:INDEX('Milho 1ª safra'!$E34:$Z34,MIN(K$6-$E$3,22))),0))-IF($G$2,0,IF((K$6-$G$3)&lt;1,0,IFERROR(LOOKUP(2,1/('Milho 1ª safra'!$E34:INDEX('Milho 1ª safra'!$E34:$Z34,MIN(K$6-$G$3,22))&lt;&gt;""),'Milho 1ª safra'!$E34:INDEX('Milho 1ª safra'!$E34:$Z34,MIN(K$6-$G$3,22))),0)))))</f>
        <v>0</v>
      </c>
      <c r="L36" s="27" t="n">
        <f aca="false">IF(COUNT('Milho 1ª safra'!$E34:$Z34)=0,0,MAX(0,IF((L$6-$E$3)&lt;1,0,IFERROR(LOOKUP(2,1/('Milho 1ª safra'!$E34:INDEX('Milho 1ª safra'!$E34:$Z34,MIN(L$6-$E$3,22))&lt;&gt;""),'Milho 1ª safra'!$E34:INDEX('Milho 1ª safra'!$E34:$Z34,MIN(L$6-$E$3,22))),0))-IF($G$2,0,IF((L$6-$G$3)&lt;1,0,IFERROR(LOOKUP(2,1/('Milho 1ª safra'!$E34:INDEX('Milho 1ª safra'!$E34:$Z34,MIN(L$6-$G$3,22))&lt;&gt;""),'Milho 1ª safra'!$E34:INDEX('Milho 1ª safra'!$E34:$Z34,MIN(L$6-$G$3,22))),0)))))</f>
        <v>0</v>
      </c>
      <c r="M36" s="27" t="n">
        <f aca="false">IF(COUNT('Milho 1ª safra'!$E34:$Z34)=0,0,MAX(0,IF((M$6-$E$3)&lt;1,0,IFERROR(LOOKUP(2,1/('Milho 1ª safra'!$E34:INDEX('Milho 1ª safra'!$E34:$Z34,MIN(M$6-$E$3,22))&lt;&gt;""),'Milho 1ª safra'!$E34:INDEX('Milho 1ª safra'!$E34:$Z34,MIN(M$6-$E$3,22))),0))-IF($G$2,0,IF((M$6-$G$3)&lt;1,0,IFERROR(LOOKUP(2,1/('Milho 1ª safra'!$E34:INDEX('Milho 1ª safra'!$E34:$Z34,MIN(M$6-$G$3,22))&lt;&gt;""),'Milho 1ª safra'!$E34:INDEX('Milho 1ª safra'!$E34:$Z34,MIN(M$6-$G$3,22))),0)))))</f>
        <v>0</v>
      </c>
      <c r="N36" s="27" t="n">
        <f aca="false">IF(COUNT('Milho 1ª safra'!$E34:$Z34)=0,0,MAX(0,IF((N$6-$E$3)&lt;1,0,IFERROR(LOOKUP(2,1/('Milho 1ª safra'!$E34:INDEX('Milho 1ª safra'!$E34:$Z34,MIN(N$6-$E$3,22))&lt;&gt;""),'Milho 1ª safra'!$E34:INDEX('Milho 1ª safra'!$E34:$Z34,MIN(N$6-$E$3,22))),0))-IF($G$2,0,IF((N$6-$G$3)&lt;1,0,IFERROR(LOOKUP(2,1/('Milho 1ª safra'!$E34:INDEX('Milho 1ª safra'!$E34:$Z34,MIN(N$6-$G$3,22))&lt;&gt;""),'Milho 1ª safra'!$E34:INDEX('Milho 1ª safra'!$E34:$Z34,MIN(N$6-$G$3,22))),0)))))</f>
        <v>0</v>
      </c>
      <c r="O36" s="27" t="n">
        <f aca="false">IF(COUNT('Milho 1ª safra'!$E34:$Z34)=0,0,MAX(0,IF((O$6-$E$3)&lt;1,0,IFERROR(LOOKUP(2,1/('Milho 1ª safra'!$E34:INDEX('Milho 1ª safra'!$E34:$Z34,MIN(O$6-$E$3,22))&lt;&gt;""),'Milho 1ª safra'!$E34:INDEX('Milho 1ª safra'!$E34:$Z34,MIN(O$6-$E$3,22))),0))-IF($G$2,0,IF((O$6-$G$3)&lt;1,0,IFERROR(LOOKUP(2,1/('Milho 1ª safra'!$E34:INDEX('Milho 1ª safra'!$E34:$Z34,MIN(O$6-$G$3,22))&lt;&gt;""),'Milho 1ª safra'!$E34:INDEX('Milho 1ª safra'!$E34:$Z34,MIN(O$6-$G$3,22))),0)))))</f>
        <v>0</v>
      </c>
      <c r="P36" s="27" t="n">
        <f aca="false">IF(COUNT('Milho 1ª safra'!$E34:$Z34)=0,0,MAX(0,IF((P$6-$E$3)&lt;1,0,IFERROR(LOOKUP(2,1/('Milho 1ª safra'!$E34:INDEX('Milho 1ª safra'!$E34:$Z34,MIN(P$6-$E$3,22))&lt;&gt;""),'Milho 1ª safra'!$E34:INDEX('Milho 1ª safra'!$E34:$Z34,MIN(P$6-$E$3,22))),0))-IF($G$2,0,IF((P$6-$G$3)&lt;1,0,IFERROR(LOOKUP(2,1/('Milho 1ª safra'!$E34:INDEX('Milho 1ª safra'!$E34:$Z34,MIN(P$6-$G$3,22))&lt;&gt;""),'Milho 1ª safra'!$E34:INDEX('Milho 1ª safra'!$E34:$Z34,MIN(P$6-$G$3,22))),0)))))</f>
        <v>0</v>
      </c>
      <c r="Q36" s="27" t="n">
        <f aca="false">IF(COUNT('Milho 1ª safra'!$E34:$Z34)=0,0,MAX(0,IF((Q$6-$E$3)&lt;1,0,IFERROR(LOOKUP(2,1/('Milho 1ª safra'!$E34:INDEX('Milho 1ª safra'!$E34:$Z34,MIN(Q$6-$E$3,22))&lt;&gt;""),'Milho 1ª safra'!$E34:INDEX('Milho 1ª safra'!$E34:$Z34,MIN(Q$6-$E$3,22))),0))-IF($G$2,0,IF((Q$6-$G$3)&lt;1,0,IFERROR(LOOKUP(2,1/('Milho 1ª safra'!$E34:INDEX('Milho 1ª safra'!$E34:$Z34,MIN(Q$6-$G$3,22))&lt;&gt;""),'Milho 1ª safra'!$E34:INDEX('Milho 1ª safra'!$E34:$Z34,MIN(Q$6-$G$3,22))),0)))))</f>
        <v>0</v>
      </c>
      <c r="R36" s="27" t="n">
        <f aca="false">IF(COUNT('Milho 1ª safra'!$E34:$Z34)=0,0,MAX(0,IF((R$6-$E$3)&lt;1,0,IFERROR(LOOKUP(2,1/('Milho 1ª safra'!$E34:INDEX('Milho 1ª safra'!$E34:$Z34,MIN(R$6-$E$3,22))&lt;&gt;""),'Milho 1ª safra'!$E34:INDEX('Milho 1ª safra'!$E34:$Z34,MIN(R$6-$E$3,22))),0))-IF($G$2,0,IF((R$6-$G$3)&lt;1,0,IFERROR(LOOKUP(2,1/('Milho 1ª safra'!$E34:INDEX('Milho 1ª safra'!$E34:$Z34,MIN(R$6-$G$3,22))&lt;&gt;""),'Milho 1ª safra'!$E34:INDEX('Milho 1ª safra'!$E34:$Z34,MIN(R$6-$G$3,22))),0)))))</f>
        <v>0</v>
      </c>
      <c r="S36" s="27" t="n">
        <f aca="false">IF(COUNT('Milho 1ª safra'!$E34:$Z34)=0,0,MAX(0,IF((S$6-$E$3)&lt;1,0,IFERROR(LOOKUP(2,1/('Milho 1ª safra'!$E34:INDEX('Milho 1ª safra'!$E34:$Z34,MIN(S$6-$E$3,22))&lt;&gt;""),'Milho 1ª safra'!$E34:INDEX('Milho 1ª safra'!$E34:$Z34,MIN(S$6-$E$3,22))),0))-IF($G$2,0,IF((S$6-$G$3)&lt;1,0,IFERROR(LOOKUP(2,1/('Milho 1ª safra'!$E34:INDEX('Milho 1ª safra'!$E34:$Z34,MIN(S$6-$G$3,22))&lt;&gt;""),'Milho 1ª safra'!$E34:INDEX('Milho 1ª safra'!$E34:$Z34,MIN(S$6-$G$3,22))),0)))))</f>
        <v>0</v>
      </c>
      <c r="T36" s="27" t="n">
        <f aca="false">IF(COUNT('Milho 1ª safra'!$E34:$Z34)=0,0,MAX(0,IF((T$6-$E$3)&lt;1,0,IFERROR(LOOKUP(2,1/('Milho 1ª safra'!$E34:INDEX('Milho 1ª safra'!$E34:$Z34,MIN(T$6-$E$3,22))&lt;&gt;""),'Milho 1ª safra'!$E34:INDEX('Milho 1ª safra'!$E34:$Z34,MIN(T$6-$E$3,22))),0))-IF($G$2,0,IF((T$6-$G$3)&lt;1,0,IFERROR(LOOKUP(2,1/('Milho 1ª safra'!$E34:INDEX('Milho 1ª safra'!$E34:$Z34,MIN(T$6-$G$3,22))&lt;&gt;""),'Milho 1ª safra'!$E34:INDEX('Milho 1ª safra'!$E34:$Z34,MIN(T$6-$G$3,22))),0)))))</f>
        <v>0</v>
      </c>
      <c r="U36" s="27" t="n">
        <f aca="false">IF(COUNT('Milho 1ª safra'!$E34:$Z34)=0,0,MAX(0,IF((U$6-$E$3)&lt;1,0,IFERROR(LOOKUP(2,1/('Milho 1ª safra'!$E34:INDEX('Milho 1ª safra'!$E34:$Z34,MIN(U$6-$E$3,22))&lt;&gt;""),'Milho 1ª safra'!$E34:INDEX('Milho 1ª safra'!$E34:$Z34,MIN(U$6-$E$3,22))),0))-IF($G$2,0,IF((U$6-$G$3)&lt;1,0,IFERROR(LOOKUP(2,1/('Milho 1ª safra'!$E34:INDEX('Milho 1ª safra'!$E34:$Z34,MIN(U$6-$G$3,22))&lt;&gt;""),'Milho 1ª safra'!$E34:INDEX('Milho 1ª safra'!$E34:$Z34,MIN(U$6-$G$3,22))),0)))))</f>
        <v>0</v>
      </c>
      <c r="V36" s="27" t="n">
        <f aca="false">IF(COUNT('Milho 1ª safra'!$E34:$Z34)=0,0,MAX(0,IF((V$6-$E$3)&lt;1,0,IFERROR(LOOKUP(2,1/('Milho 1ª safra'!$E34:INDEX('Milho 1ª safra'!$E34:$Z34,MIN(V$6-$E$3,22))&lt;&gt;""),'Milho 1ª safra'!$E34:INDEX('Milho 1ª safra'!$E34:$Z34,MIN(V$6-$E$3,22))),0))-IF($G$2,0,IF((V$6-$G$3)&lt;1,0,IFERROR(LOOKUP(2,1/('Milho 1ª safra'!$E34:INDEX('Milho 1ª safra'!$E34:$Z34,MIN(V$6-$G$3,22))&lt;&gt;""),'Milho 1ª safra'!$E34:INDEX('Milho 1ª safra'!$E34:$Z34,MIN(V$6-$G$3,22))),0)))))</f>
        <v>0</v>
      </c>
      <c r="W36" s="27" t="n">
        <f aca="false">IF(COUNT('Milho 1ª safra'!$E34:$Z34)=0,0,MAX(0,IF((W$6-$E$3)&lt;1,0,IFERROR(LOOKUP(2,1/('Milho 1ª safra'!$E34:INDEX('Milho 1ª safra'!$E34:$Z34,MIN(W$6-$E$3,22))&lt;&gt;""),'Milho 1ª safra'!$E34:INDEX('Milho 1ª safra'!$E34:$Z34,MIN(W$6-$E$3,22))),0))-IF($G$2,0,IF((W$6-$G$3)&lt;1,0,IFERROR(LOOKUP(2,1/('Milho 1ª safra'!$E34:INDEX('Milho 1ª safra'!$E34:$Z34,MIN(W$6-$G$3,22))&lt;&gt;""),'Milho 1ª safra'!$E34:INDEX('Milho 1ª safra'!$E34:$Z34,MIN(W$6-$G$3,22))),0)))))</f>
        <v>0</v>
      </c>
      <c r="X36" s="27" t="n">
        <f aca="false">IF(COUNT('Milho 1ª safra'!$E34:$Z34)=0,0,MAX(0,IF((X$6-$E$3)&lt;1,0,IFERROR(LOOKUP(2,1/('Milho 1ª safra'!$E34:INDEX('Milho 1ª safra'!$E34:$Z34,MIN(X$6-$E$3,22))&lt;&gt;""),'Milho 1ª safra'!$E34:INDEX('Milho 1ª safra'!$E34:$Z34,MIN(X$6-$E$3,22))),0))-IF($G$2,0,IF((X$6-$G$3)&lt;1,0,IFERROR(LOOKUP(2,1/('Milho 1ª safra'!$E34:INDEX('Milho 1ª safra'!$E34:$Z34,MIN(X$6-$G$3,22))&lt;&gt;""),'Milho 1ª safra'!$E34:INDEX('Milho 1ª safra'!$E34:$Z34,MIN(X$6-$G$3,22))),0)))))</f>
        <v>0</v>
      </c>
      <c r="Y36" s="27" t="n">
        <f aca="false">IF(COUNT('Milho 1ª safra'!$E34:$Z34)=0,0,MAX(0,IF((Y$6-$E$3)&lt;1,0,IFERROR(LOOKUP(2,1/('Milho 1ª safra'!$E34:INDEX('Milho 1ª safra'!$E34:$Z34,MIN(Y$6-$E$3,22))&lt;&gt;""),'Milho 1ª safra'!$E34:INDEX('Milho 1ª safra'!$E34:$Z34,MIN(Y$6-$E$3,22))),0))-IF($G$2,0,IF((Y$6-$G$3)&lt;1,0,IFERROR(LOOKUP(2,1/('Milho 1ª safra'!$E34:INDEX('Milho 1ª safra'!$E34:$Z34,MIN(Y$6-$G$3,22))&lt;&gt;""),'Milho 1ª safra'!$E34:INDEX('Milho 1ª safra'!$E34:$Z34,MIN(Y$6-$G$3,22))),0)))))</f>
        <v>0</v>
      </c>
      <c r="Z36" s="27" t="n">
        <f aca="false">IF(COUNT('Milho 1ª safra'!$E34:$Z34)=0,0,MAX(0,IF((Z$6-$E$3)&lt;1,0,IFERROR(LOOKUP(2,1/('Milho 1ª safra'!$E34:INDEX('Milho 1ª safra'!$E34:$Z34,MIN(Z$6-$E$3,22))&lt;&gt;""),'Milho 1ª safra'!$E34:INDEX('Milho 1ª safra'!$E34:$Z34,MIN(Z$6-$E$3,22))),0))-IF($G$2,0,IF((Z$6-$G$3)&lt;1,0,IFERROR(LOOKUP(2,1/('Milho 1ª safra'!$E34:INDEX('Milho 1ª safra'!$E34:$Z34,MIN(Z$6-$G$3,22))&lt;&gt;""),'Milho 1ª safra'!$E34:INDEX('Milho 1ª safra'!$E34:$Z34,MIN(Z$6-$G$3,22))),0)))))</f>
        <v>0</v>
      </c>
      <c r="AA36" s="27" t="n">
        <f aca="false">IF(COUNT('Milho 1ª safra'!$E34:$Z34)=0,0,MAX(0,IF((AA$6-$E$3)&lt;1,0,IFERROR(LOOKUP(2,1/('Milho 1ª safra'!$E34:INDEX('Milho 1ª safra'!$E34:$Z34,MIN(AA$6-$E$3,22))&lt;&gt;""),'Milho 1ª safra'!$E34:INDEX('Milho 1ª safra'!$E34:$Z34,MIN(AA$6-$E$3,22))),0))-IF($G$2,0,IF((AA$6-$G$3)&lt;1,0,IFERROR(LOOKUP(2,1/('Milho 1ª safra'!$E34:INDEX('Milho 1ª safra'!$E34:$Z34,MIN(AA$6-$G$3,22))&lt;&gt;""),'Milho 1ª safra'!$E34:INDEX('Milho 1ª safra'!$E34:$Z34,MIN(AA$6-$G$3,22))),0)))))</f>
        <v>0</v>
      </c>
      <c r="AB36" s="27" t="n">
        <f aca="false">IF(COUNT('Milho 1ª safra'!$E34:$Z34)=0,0,MAX(0,IF((AB$6-$E$3)&lt;1,0,IFERROR(LOOKUP(2,1/('Milho 1ª safra'!$E34:INDEX('Milho 1ª safra'!$E34:$Z34,MIN(AB$6-$E$3,22))&lt;&gt;""),'Milho 1ª safra'!$E34:INDEX('Milho 1ª safra'!$E34:$Z34,MIN(AB$6-$E$3,22))),0))-IF($G$2,0,IF((AB$6-$G$3)&lt;1,0,IFERROR(LOOKUP(2,1/('Milho 1ª safra'!$E34:INDEX('Milho 1ª safra'!$E34:$Z34,MIN(AB$6-$G$3,22))&lt;&gt;""),'Milho 1ª safra'!$E34:INDEX('Milho 1ª safra'!$E34:$Z34,MIN(AB$6-$G$3,22))),0)))))</f>
        <v>0</v>
      </c>
      <c r="AC36" s="27" t="n">
        <f aca="false">IF(COUNT('Milho 1ª safra'!$E34:$Z34)=0,0,MAX(0,IF((AC$6-$E$3)&lt;1,0,IFERROR(LOOKUP(2,1/('Milho 1ª safra'!$E34:INDEX('Milho 1ª safra'!$E34:$Z34,MIN(AC$6-$E$3,22))&lt;&gt;""),'Milho 1ª safra'!$E34:INDEX('Milho 1ª safra'!$E34:$Z34,MIN(AC$6-$E$3,22))),0))-IF($G$2,0,IF((AC$6-$G$3)&lt;1,0,IFERROR(LOOKUP(2,1/('Milho 1ª safra'!$E34:INDEX('Milho 1ª safra'!$E34:$Z34,MIN(AC$6-$G$3,22))&lt;&gt;""),'Milho 1ª safra'!$E34:INDEX('Milho 1ª safra'!$E34:$Z34,MIN(AC$6-$G$3,22))),0)))))</f>
        <v>0</v>
      </c>
      <c r="AD36" s="27" t="n">
        <f aca="false">IF(COUNT('Milho 1ª safra'!$E34:$Z34)=0,0,MAX(0,IF((AD$6-$E$3)&lt;1,0,IFERROR(LOOKUP(2,1/('Milho 1ª safra'!$E34:INDEX('Milho 1ª safra'!$E34:$Z34,MIN(AD$6-$E$3,22))&lt;&gt;""),'Milho 1ª safra'!$E34:INDEX('Milho 1ª safra'!$E34:$Z34,MIN(AD$6-$E$3,22))),0))-IF($G$2,0,IF((AD$6-$G$3)&lt;1,0,IFERROR(LOOKUP(2,1/('Milho 1ª safra'!$E34:INDEX('Milho 1ª safra'!$E34:$Z34,MIN(AD$6-$G$3,22))&lt;&gt;""),'Milho 1ª safra'!$E34:INDEX('Milho 1ª safra'!$E34:$Z34,MIN(AD$6-$G$3,22))),0)))))</f>
        <v>0</v>
      </c>
      <c r="AE36" s="27" t="n">
        <f aca="false">IF(COUNT('Milho 1ª safra'!$E34:$Z34)=0,0,MAX(0,IF((AE$6-$E$3)&lt;1,0,IFERROR(LOOKUP(2,1/('Milho 1ª safra'!$E34:INDEX('Milho 1ª safra'!$E34:$Z34,MIN(AE$6-$E$3,22))&lt;&gt;""),'Milho 1ª safra'!$E34:INDEX('Milho 1ª safra'!$E34:$Z34,MIN(AE$6-$E$3,22))),0))-IF($G$2,0,IF((AE$6-$G$3)&lt;1,0,IFERROR(LOOKUP(2,1/('Milho 1ª safra'!$E34:INDEX('Milho 1ª safra'!$E34:$Z34,MIN(AE$6-$G$3,22))&lt;&gt;""),'Milho 1ª safra'!$E34:INDEX('Milho 1ª safra'!$E34:$Z34,MIN(AE$6-$G$3,22))),0)))))</f>
        <v>0</v>
      </c>
      <c r="AF36" s="27" t="n">
        <f aca="false">IF(COUNT('Milho 1ª safra'!$E34:$Z34)=0,0,MAX(0,IF((AF$6-$E$3)&lt;1,0,IFERROR(LOOKUP(2,1/('Milho 1ª safra'!$E34:INDEX('Milho 1ª safra'!$E34:$Z34,MIN(AF$6-$E$3,22))&lt;&gt;""),'Milho 1ª safra'!$E34:INDEX('Milho 1ª safra'!$E34:$Z34,MIN(AF$6-$E$3,22))),0))-IF($G$2,0,IF((AF$6-$G$3)&lt;1,0,IFERROR(LOOKUP(2,1/('Milho 1ª safra'!$E34:INDEX('Milho 1ª safra'!$E34:$Z34,MIN(AF$6-$G$3,22))&lt;&gt;""),'Milho 1ª safra'!$E34:INDEX('Milho 1ª safra'!$E34:$Z34,MIN(AF$6-$G$3,22))),0)))))</f>
        <v>0</v>
      </c>
      <c r="AG36" s="27" t="n">
        <f aca="false">IF(COUNT('Milho 1ª safra'!$E34:$Z34)=0,0,MAX(0,IF((AG$6-$E$3)&lt;1,0,IFERROR(LOOKUP(2,1/('Milho 1ª safra'!$E34:INDEX('Milho 1ª safra'!$E34:$Z34,MIN(AG$6-$E$3,22))&lt;&gt;""),'Milho 1ª safra'!$E34:INDEX('Milho 1ª safra'!$E34:$Z34,MIN(AG$6-$E$3,22))),0))-IF($G$2,0,IF((AG$6-$G$3)&lt;1,0,IFERROR(LOOKUP(2,1/('Milho 1ª safra'!$E34:INDEX('Milho 1ª safra'!$E34:$Z34,MIN(AG$6-$G$3,22))&lt;&gt;""),'Milho 1ª safra'!$E34:INDEX('Milho 1ª safra'!$E34:$Z34,MIN(AG$6-$G$3,22))),0)))))</f>
        <v>0</v>
      </c>
      <c r="AH36" s="27" t="n">
        <f aca="false">IF(COUNT('Milho 1ª safra'!$E34:$Z34)=0,0,MAX(0,IF((AH$6-$E$3)&lt;1,0,IFERROR(LOOKUP(2,1/('Milho 1ª safra'!$E34:INDEX('Milho 1ª safra'!$E34:$Z34,MIN(AH$6-$E$3,22))&lt;&gt;""),'Milho 1ª safra'!$E34:INDEX('Milho 1ª safra'!$E34:$Z34,MIN(AH$6-$E$3,22))),0))-IF($G$2,0,IF((AH$6-$G$3)&lt;1,0,IFERROR(LOOKUP(2,1/('Milho 1ª safra'!$E34:INDEX('Milho 1ª safra'!$E34:$Z34,MIN(AH$6-$G$3,22))&lt;&gt;""),'Milho 1ª safra'!$E34:INDEX('Milho 1ª safra'!$E34:$Z34,MIN(AH$6-$G$3,22))),0)))))</f>
        <v>0</v>
      </c>
      <c r="AI36" s="27" t="n">
        <f aca="false">IF(COUNT('Milho 1ª safra'!$E34:$Z34)=0,0,MAX(0,IF((AI$6-$E$3)&lt;1,0,IFERROR(LOOKUP(2,1/('Milho 1ª safra'!$E34:INDEX('Milho 1ª safra'!$E34:$Z34,MIN(AI$6-$E$3,22))&lt;&gt;""),'Milho 1ª safra'!$E34:INDEX('Milho 1ª safra'!$E34:$Z34,MIN(AI$6-$E$3,22))),0))-IF($G$2,0,IF((AI$6-$G$3)&lt;1,0,IFERROR(LOOKUP(2,1/('Milho 1ª safra'!$E34:INDEX('Milho 1ª safra'!$E34:$Z34,MIN(AI$6-$G$3,22))&lt;&gt;""),'Milho 1ª safra'!$E34:INDEX('Milho 1ª safra'!$E34:$Z34,MIN(AI$6-$G$3,22))),0)))))</f>
        <v>0</v>
      </c>
      <c r="AJ36" s="27" t="n">
        <f aca="false">IF(COUNT('Milho 1ª safra'!$E34:$Z34)=0,0,MAX(0,IF((AJ$6-$E$3)&lt;1,0,IFERROR(LOOKUP(2,1/('Milho 1ª safra'!$E34:INDEX('Milho 1ª safra'!$E34:$Z34,MIN(AJ$6-$E$3,22))&lt;&gt;""),'Milho 1ª safra'!$E34:INDEX('Milho 1ª safra'!$E34:$Z34,MIN(AJ$6-$E$3,22))),0))-IF($G$2,0,IF((AJ$6-$G$3)&lt;1,0,IFERROR(LOOKUP(2,1/('Milho 1ª safra'!$E34:INDEX('Milho 1ª safra'!$E34:$Z34,MIN(AJ$6-$G$3,22))&lt;&gt;""),'Milho 1ª safra'!$E34:INDEX('Milho 1ª safra'!$E34:$Z34,MIN(AJ$6-$G$3,22))),0)))))</f>
        <v>0</v>
      </c>
      <c r="AK36" s="27" t="n">
        <f aca="false">IF(COUNT('Milho 1ª safra'!$E34:$Z34)=0,0,MAX(0,IF((AK$6-$E$3)&lt;1,0,IFERROR(LOOKUP(2,1/('Milho 1ª safra'!$E34:INDEX('Milho 1ª safra'!$E34:$Z34,MIN(AK$6-$E$3,22))&lt;&gt;""),'Milho 1ª safra'!$E34:INDEX('Milho 1ª safra'!$E34:$Z34,MIN(AK$6-$E$3,22))),0))-IF($G$2,0,IF((AK$6-$G$3)&lt;1,0,IFERROR(LOOKUP(2,1/('Milho 1ª safra'!$E34:INDEX('Milho 1ª safra'!$E34:$Z34,MIN(AK$6-$G$3,22))&lt;&gt;""),'Milho 1ª safra'!$E34:INDEX('Milho 1ª safra'!$E34:$Z34,MIN(AK$6-$G$3,22))),0)))))</f>
        <v>0</v>
      </c>
      <c r="AL36" s="27" t="n">
        <f aca="false">IF(COUNT('Milho 1ª safra'!$E34:$Z34)=0,0,MAX(0,IF((AL$6-$E$3)&lt;1,0,IFERROR(LOOKUP(2,1/('Milho 1ª safra'!$E34:INDEX('Milho 1ª safra'!$E34:$Z34,MIN(AL$6-$E$3,22))&lt;&gt;""),'Milho 1ª safra'!$E34:INDEX('Milho 1ª safra'!$E34:$Z34,MIN(AL$6-$E$3,22))),0))-IF($G$2,0,IF((AL$6-$G$3)&lt;1,0,IFERROR(LOOKUP(2,1/('Milho 1ª safra'!$E34:INDEX('Milho 1ª safra'!$E34:$Z34,MIN(AL$6-$G$3,22))&lt;&gt;""),'Milho 1ª safra'!$E34:INDEX('Milho 1ª safra'!$E34:$Z34,MIN(AL$6-$G$3,22))),0)))))</f>
        <v>0</v>
      </c>
      <c r="AM36" s="27" t="n">
        <f aca="false">IF(COUNT('Milho 1ª safra'!$E34:$Z34)=0,0,MAX(0,IF((AM$6-$E$3)&lt;1,0,IFERROR(LOOKUP(2,1/('Milho 1ª safra'!$E34:INDEX('Milho 1ª safra'!$E34:$Z34,MIN(AM$6-$E$3,22))&lt;&gt;""),'Milho 1ª safra'!$E34:INDEX('Milho 1ª safra'!$E34:$Z34,MIN(AM$6-$E$3,22))),0))-IF($G$2,0,IF((AM$6-$G$3)&lt;1,0,IFERROR(LOOKUP(2,1/('Milho 1ª safra'!$E34:INDEX('Milho 1ª safra'!$E34:$Z34,MIN(AM$6-$G$3,22))&lt;&gt;""),'Milho 1ª safra'!$E34:INDEX('Milho 1ª safra'!$E34:$Z34,MIN(AM$6-$G$3,22))),0)))))</f>
        <v>0</v>
      </c>
      <c r="AN36" s="27" t="n">
        <f aca="false">IF(COUNT('Milho 1ª safra'!$E34:$Z34)=0,0,MAX(0,IF((AN$6-$E$3)&lt;1,0,IFERROR(LOOKUP(2,1/('Milho 1ª safra'!$E34:INDEX('Milho 1ª safra'!$E34:$Z34,MIN(AN$6-$E$3,22))&lt;&gt;""),'Milho 1ª safra'!$E34:INDEX('Milho 1ª safra'!$E34:$Z34,MIN(AN$6-$E$3,22))),0))-IF($G$2,0,IF((AN$6-$G$3)&lt;1,0,IFERROR(LOOKUP(2,1/('Milho 1ª safra'!$E34:INDEX('Milho 1ª safra'!$E34:$Z34,MIN(AN$6-$G$3,22))&lt;&gt;""),'Milho 1ª safra'!$E34:INDEX('Milho 1ª safra'!$E34:$Z34,MIN(AN$6-$G$3,22))),0)))))</f>
        <v>0</v>
      </c>
      <c r="AO36" s="27" t="n">
        <f aca="false">IF(COUNT('Milho 1ª safra'!$E34:$Z34)=0,0,MAX(0,IF((AO$6-$E$3)&lt;1,0,IFERROR(LOOKUP(2,1/('Milho 1ª safra'!$E34:INDEX('Milho 1ª safra'!$E34:$Z34,MIN(AO$6-$E$3,22))&lt;&gt;""),'Milho 1ª safra'!$E34:INDEX('Milho 1ª safra'!$E34:$Z34,MIN(AO$6-$E$3,22))),0))-IF($G$2,0,IF((AO$6-$G$3)&lt;1,0,IFERROR(LOOKUP(2,1/('Milho 1ª safra'!$E34:INDEX('Milho 1ª safra'!$E34:$Z34,MIN(AO$6-$G$3,22))&lt;&gt;""),'Milho 1ª safra'!$E34:INDEX('Milho 1ª safra'!$E34:$Z34,MIN(AO$6-$G$3,22))),0)))))</f>
        <v>0</v>
      </c>
      <c r="AP36" s="27" t="n">
        <f aca="false">IF(COUNT('Milho 1ª safra'!$E34:$Z34)=0,0,MAX(0,IF((AP$6-$E$3)&lt;1,0,IFERROR(LOOKUP(2,1/('Milho 1ª safra'!$E34:INDEX('Milho 1ª safra'!$E34:$Z34,MIN(AP$6-$E$3,22))&lt;&gt;""),'Milho 1ª safra'!$E34:INDEX('Milho 1ª safra'!$E34:$Z34,MIN(AP$6-$E$3,22))),0))-IF($G$2,0,IF((AP$6-$G$3)&lt;1,0,IFERROR(LOOKUP(2,1/('Milho 1ª safra'!$E34:INDEX('Milho 1ª safra'!$E34:$Z34,MIN(AP$6-$G$3,22))&lt;&gt;""),'Milho 1ª safra'!$E34:INDEX('Milho 1ª safra'!$E34:$Z34,MIN(AP$6-$G$3,22))),0)))))</f>
        <v>0</v>
      </c>
      <c r="AQ36" s="27" t="n">
        <f aca="false">IF(COUNT('Milho 1ª safra'!$E34:$Z34)=0,0,MAX(0,IF((AQ$6-$E$3)&lt;1,0,IFERROR(LOOKUP(2,1/('Milho 1ª safra'!$E34:INDEX('Milho 1ª safra'!$E34:$Z34,MIN(AQ$6-$E$3,22))&lt;&gt;""),'Milho 1ª safra'!$E34:INDEX('Milho 1ª safra'!$E34:$Z34,MIN(AQ$6-$E$3,22))),0))-IF($G$2,0,IF((AQ$6-$G$3)&lt;1,0,IFERROR(LOOKUP(2,1/('Milho 1ª safra'!$E34:INDEX('Milho 1ª safra'!$E34:$Z34,MIN(AQ$6-$G$3,22))&lt;&gt;""),'Milho 1ª safra'!$E34:INDEX('Milho 1ª safra'!$E34:$Z34,MIN(AQ$6-$G$3,22))),0)))))</f>
        <v>0</v>
      </c>
      <c r="AR36" s="27" t="n">
        <f aca="false">IF(COUNT('Milho 1ª safra'!$E34:$Z34)=0,0,MAX(0,IF((AR$6-$E$3)&lt;1,0,IFERROR(LOOKUP(2,1/('Milho 1ª safra'!$E34:INDEX('Milho 1ª safra'!$E34:$Z34,MIN(AR$6-$E$3,22))&lt;&gt;""),'Milho 1ª safra'!$E34:INDEX('Milho 1ª safra'!$E34:$Z34,MIN(AR$6-$E$3,22))),0))-IF($G$2,0,IF((AR$6-$G$3)&lt;1,0,IFERROR(LOOKUP(2,1/('Milho 1ª safra'!$E34:INDEX('Milho 1ª safra'!$E34:$Z34,MIN(AR$6-$G$3,22))&lt;&gt;""),'Milho 1ª safra'!$E34:INDEX('Milho 1ª safra'!$E34:$Z34,MIN(AR$6-$G$3,22))),0)))))</f>
        <v>0</v>
      </c>
      <c r="AS36" s="27" t="n">
        <f aca="false">IF(COUNT('Milho 1ª safra'!$E34:$Z34)=0,0,MAX(0,IF((AS$6-$E$3)&lt;1,0,IFERROR(LOOKUP(2,1/('Milho 1ª safra'!$E34:INDEX('Milho 1ª safra'!$E34:$Z34,MIN(AS$6-$E$3,22))&lt;&gt;""),'Milho 1ª safra'!$E34:INDEX('Milho 1ª safra'!$E34:$Z34,MIN(AS$6-$E$3,22))),0))-IF($G$2,0,IF((AS$6-$G$3)&lt;1,0,IFERROR(LOOKUP(2,1/('Milho 1ª safra'!$E34:INDEX('Milho 1ª safra'!$E34:$Z34,MIN(AS$6-$G$3,22))&lt;&gt;""),'Milho 1ª safra'!$E34:INDEX('Milho 1ª safra'!$E34:$Z34,MIN(AS$6-$G$3,22))),0)))))</f>
        <v>0</v>
      </c>
      <c r="AT36" s="27" t="n">
        <f aca="false">IF(COUNT('Milho 1ª safra'!$E34:$Z34)=0,0,MAX(0,IF((AT$6-$E$3)&lt;1,0,IFERROR(LOOKUP(2,1/('Milho 1ª safra'!$E34:INDEX('Milho 1ª safra'!$E34:$Z34,MIN(AT$6-$E$3,22))&lt;&gt;""),'Milho 1ª safra'!$E34:INDEX('Milho 1ª safra'!$E34:$Z34,MIN(AT$6-$E$3,22))),0))-IF($G$2,0,IF((AT$6-$G$3)&lt;1,0,IFERROR(LOOKUP(2,1/('Milho 1ª safra'!$E34:INDEX('Milho 1ª safra'!$E34:$Z34,MIN(AT$6-$G$3,22))&lt;&gt;""),'Milho 1ª safra'!$E34:INDEX('Milho 1ª safra'!$E34:$Z34,MIN(AT$6-$G$3,22))),0)))))</f>
        <v>0</v>
      </c>
      <c r="AU36" s="27" t="n">
        <f aca="false">IF(COUNT('Milho 1ª safra'!$E34:$Z34)=0,0,MAX(0,IF((AU$6-$E$3)&lt;1,0,IFERROR(LOOKUP(2,1/('Milho 1ª safra'!$E34:INDEX('Milho 1ª safra'!$E34:$Z34,MIN(AU$6-$E$3,22))&lt;&gt;""),'Milho 1ª safra'!$E34:INDEX('Milho 1ª safra'!$E34:$Z34,MIN(AU$6-$E$3,22))),0))-IF($G$2,0,IF((AU$6-$G$3)&lt;1,0,IFERROR(LOOKUP(2,1/('Milho 1ª safra'!$E34:INDEX('Milho 1ª safra'!$E34:$Z34,MIN(AU$6-$G$3,22))&lt;&gt;""),'Milho 1ª safra'!$E34:INDEX('Milho 1ª safra'!$E34:$Z34,MIN(AU$6-$G$3,22))),0)))))</f>
        <v>0</v>
      </c>
      <c r="AV36" s="27" t="n">
        <f aca="false">IF(COUNT('Milho 1ª safra'!$E34:$Z34)=0,0,MAX(0,IF((AV$6-$E$3)&lt;1,0,IFERROR(LOOKUP(2,1/('Milho 1ª safra'!$E34:INDEX('Milho 1ª safra'!$E34:$Z34,MIN(AV$6-$E$3,22))&lt;&gt;""),'Milho 1ª safra'!$E34:INDEX('Milho 1ª safra'!$E34:$Z34,MIN(AV$6-$E$3,22))),0))-IF($G$2,0,IF((AV$6-$G$3)&lt;1,0,IFERROR(LOOKUP(2,1/('Milho 1ª safra'!$E34:INDEX('Milho 1ª safra'!$E34:$Z34,MIN(AV$6-$G$3,22))&lt;&gt;""),'Milho 1ª safra'!$E34:INDEX('Milho 1ª safra'!$E34:$Z34,MIN(AV$6-$G$3,22))),0)))))</f>
        <v>0</v>
      </c>
      <c r="AW36" s="27" t="n">
        <f aca="false">IF(COUNT('Milho 1ª safra'!$E34:$Z34)=0,0,MAX(0,IF((AW$6-$E$3)&lt;1,0,IFERROR(LOOKUP(2,1/('Milho 1ª safra'!$E34:INDEX('Milho 1ª safra'!$E34:$Z34,MIN(AW$6-$E$3,22))&lt;&gt;""),'Milho 1ª safra'!$E34:INDEX('Milho 1ª safra'!$E34:$Z34,MIN(AW$6-$E$3,22))),0))-IF($G$2,0,IF((AW$6-$G$3)&lt;1,0,IFERROR(LOOKUP(2,1/('Milho 1ª safra'!$E34:INDEX('Milho 1ª safra'!$E34:$Z34,MIN(AW$6-$G$3,22))&lt;&gt;""),'Milho 1ª safra'!$E34:INDEX('Milho 1ª safra'!$E34:$Z34,MIN(AW$6-$G$3,22))),0)))))</f>
        <v>0</v>
      </c>
      <c r="AX36" s="27" t="n">
        <f aca="false">IF(COUNT('Milho 1ª safra'!$E34:$Z34)=0,0,MAX(0,IF((AX$6-$E$3)&lt;1,0,IFERROR(LOOKUP(2,1/('Milho 1ª safra'!$E34:INDEX('Milho 1ª safra'!$E34:$Z34,MIN(AX$6-$E$3,22))&lt;&gt;""),'Milho 1ª safra'!$E34:INDEX('Milho 1ª safra'!$E34:$Z34,MIN(AX$6-$E$3,22))),0))-IF($G$2,0,IF((AX$6-$G$3)&lt;1,0,IFERROR(LOOKUP(2,1/('Milho 1ª safra'!$E34:INDEX('Milho 1ª safra'!$E34:$Z34,MIN(AX$6-$G$3,22))&lt;&gt;""),'Milho 1ª safra'!$E34:INDEX('Milho 1ª safra'!$E34:$Z34,MIN(AX$6-$G$3,22))),0)))))</f>
        <v>0</v>
      </c>
      <c r="AY36" s="27" t="n">
        <f aca="false">IF(COUNT('Milho 1ª safra'!$E34:$Z34)=0,0,MAX(0,IF((AY$6-$E$3)&lt;1,0,IFERROR(LOOKUP(2,1/('Milho 1ª safra'!$E34:INDEX('Milho 1ª safra'!$E34:$Z34,MIN(AY$6-$E$3,22))&lt;&gt;""),'Milho 1ª safra'!$E34:INDEX('Milho 1ª safra'!$E34:$Z34,MIN(AY$6-$E$3,22))),0))-IF($G$2,0,IF((AY$6-$G$3)&lt;1,0,IFERROR(LOOKUP(2,1/('Milho 1ª safra'!$E34:INDEX('Milho 1ª safra'!$E34:$Z34,MIN(AY$6-$G$3,22))&lt;&gt;""),'Milho 1ª safra'!$E34:INDEX('Milho 1ª safra'!$E34:$Z34,MIN(AY$6-$G$3,22))),0)))))</f>
        <v>0</v>
      </c>
      <c r="AZ36" s="27" t="n">
        <f aca="false">IF(COUNT('Milho 1ª safra'!$E34:$Z34)=0,0,MAX(0,IF((AZ$6-$E$3)&lt;1,0,IFERROR(LOOKUP(2,1/('Milho 1ª safra'!$E34:INDEX('Milho 1ª safra'!$E34:$Z34,MIN(AZ$6-$E$3,22))&lt;&gt;""),'Milho 1ª safra'!$E34:INDEX('Milho 1ª safra'!$E34:$Z34,MIN(AZ$6-$E$3,22))),0))-IF($G$2,0,IF((AZ$6-$G$3)&lt;1,0,IFERROR(LOOKUP(2,1/('Milho 1ª safra'!$E34:INDEX('Milho 1ª safra'!$E34:$Z34,MIN(AZ$6-$G$3,22))&lt;&gt;""),'Milho 1ª safra'!$E34:INDEX('Milho 1ª safra'!$E34:$Z34,MIN(AZ$6-$G$3,22))),0)))))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IF(COUNT('Milho 1ª safra'!$E35:$Z35)&gt;0,N('Milho 1ª safra'!$D35),0)</f>
        <v>0</v>
      </c>
      <c r="E37" s="27" t="n">
        <f aca="false">IF(COUNT('Milho 1ª safra'!$E35:$Z35)=0,0,MAX(0,IF((E$6-$E$3)&lt;1,0,IFERROR(LOOKUP(2,1/('Milho 1ª safra'!$E35:INDEX('Milho 1ª safra'!$E35:$Z35,MIN(E$6-$E$3,22))&lt;&gt;""),'Milho 1ª safra'!$E35:INDEX('Milho 1ª safra'!$E35:$Z35,MIN(E$6-$E$3,22))),0))-IF($G$2,0,IF((E$6-$G$3)&lt;1,0,IFERROR(LOOKUP(2,1/('Milho 1ª safra'!$E35:INDEX('Milho 1ª safra'!$E35:$Z35,MIN(E$6-$G$3,22))&lt;&gt;""),'Milho 1ª safra'!$E35:INDEX('Milho 1ª safra'!$E35:$Z35,MIN(E$6-$G$3,22))),0)))))</f>
        <v>0</v>
      </c>
      <c r="F37" s="27" t="n">
        <f aca="false">IF(COUNT('Milho 1ª safra'!$E35:$Z35)=0,0,MAX(0,IF((F$6-$E$3)&lt;1,0,IFERROR(LOOKUP(2,1/('Milho 1ª safra'!$E35:INDEX('Milho 1ª safra'!$E35:$Z35,MIN(F$6-$E$3,22))&lt;&gt;""),'Milho 1ª safra'!$E35:INDEX('Milho 1ª safra'!$E35:$Z35,MIN(F$6-$E$3,22))),0))-IF($G$2,0,IF((F$6-$G$3)&lt;1,0,IFERROR(LOOKUP(2,1/('Milho 1ª safra'!$E35:INDEX('Milho 1ª safra'!$E35:$Z35,MIN(F$6-$G$3,22))&lt;&gt;""),'Milho 1ª safra'!$E35:INDEX('Milho 1ª safra'!$E35:$Z35,MIN(F$6-$G$3,22))),0)))))</f>
        <v>0</v>
      </c>
      <c r="G37" s="27" t="n">
        <f aca="false">IF(COUNT('Milho 1ª safra'!$E35:$Z35)=0,0,MAX(0,IF((G$6-$E$3)&lt;1,0,IFERROR(LOOKUP(2,1/('Milho 1ª safra'!$E35:INDEX('Milho 1ª safra'!$E35:$Z35,MIN(G$6-$E$3,22))&lt;&gt;""),'Milho 1ª safra'!$E35:INDEX('Milho 1ª safra'!$E35:$Z35,MIN(G$6-$E$3,22))),0))-IF($G$2,0,IF((G$6-$G$3)&lt;1,0,IFERROR(LOOKUP(2,1/('Milho 1ª safra'!$E35:INDEX('Milho 1ª safra'!$E35:$Z35,MIN(G$6-$G$3,22))&lt;&gt;""),'Milho 1ª safra'!$E35:INDEX('Milho 1ª safra'!$E35:$Z35,MIN(G$6-$G$3,22))),0)))))</f>
        <v>0</v>
      </c>
      <c r="H37" s="27" t="n">
        <f aca="false">IF(COUNT('Milho 1ª safra'!$E35:$Z35)=0,0,MAX(0,IF((H$6-$E$3)&lt;1,0,IFERROR(LOOKUP(2,1/('Milho 1ª safra'!$E35:INDEX('Milho 1ª safra'!$E35:$Z35,MIN(H$6-$E$3,22))&lt;&gt;""),'Milho 1ª safra'!$E35:INDEX('Milho 1ª safra'!$E35:$Z35,MIN(H$6-$E$3,22))),0))-IF($G$2,0,IF((H$6-$G$3)&lt;1,0,IFERROR(LOOKUP(2,1/('Milho 1ª safra'!$E35:INDEX('Milho 1ª safra'!$E35:$Z35,MIN(H$6-$G$3,22))&lt;&gt;""),'Milho 1ª safra'!$E35:INDEX('Milho 1ª safra'!$E35:$Z35,MIN(H$6-$G$3,22))),0)))))</f>
        <v>0</v>
      </c>
      <c r="I37" s="27" t="n">
        <f aca="false">IF(COUNT('Milho 1ª safra'!$E35:$Z35)=0,0,MAX(0,IF((I$6-$E$3)&lt;1,0,IFERROR(LOOKUP(2,1/('Milho 1ª safra'!$E35:INDEX('Milho 1ª safra'!$E35:$Z35,MIN(I$6-$E$3,22))&lt;&gt;""),'Milho 1ª safra'!$E35:INDEX('Milho 1ª safra'!$E35:$Z35,MIN(I$6-$E$3,22))),0))-IF($G$2,0,IF((I$6-$G$3)&lt;1,0,IFERROR(LOOKUP(2,1/('Milho 1ª safra'!$E35:INDEX('Milho 1ª safra'!$E35:$Z35,MIN(I$6-$G$3,22))&lt;&gt;""),'Milho 1ª safra'!$E35:INDEX('Milho 1ª safra'!$E35:$Z35,MIN(I$6-$G$3,22))),0)))))</f>
        <v>0</v>
      </c>
      <c r="J37" s="27" t="n">
        <f aca="false">IF(COUNT('Milho 1ª safra'!$E35:$Z35)=0,0,MAX(0,IF((J$6-$E$3)&lt;1,0,IFERROR(LOOKUP(2,1/('Milho 1ª safra'!$E35:INDEX('Milho 1ª safra'!$E35:$Z35,MIN(J$6-$E$3,22))&lt;&gt;""),'Milho 1ª safra'!$E35:INDEX('Milho 1ª safra'!$E35:$Z35,MIN(J$6-$E$3,22))),0))-IF($G$2,0,IF((J$6-$G$3)&lt;1,0,IFERROR(LOOKUP(2,1/('Milho 1ª safra'!$E35:INDEX('Milho 1ª safra'!$E35:$Z35,MIN(J$6-$G$3,22))&lt;&gt;""),'Milho 1ª safra'!$E35:INDEX('Milho 1ª safra'!$E35:$Z35,MIN(J$6-$G$3,22))),0)))))</f>
        <v>0</v>
      </c>
      <c r="K37" s="27" t="n">
        <f aca="false">IF(COUNT('Milho 1ª safra'!$E35:$Z35)=0,0,MAX(0,IF((K$6-$E$3)&lt;1,0,IFERROR(LOOKUP(2,1/('Milho 1ª safra'!$E35:INDEX('Milho 1ª safra'!$E35:$Z35,MIN(K$6-$E$3,22))&lt;&gt;""),'Milho 1ª safra'!$E35:INDEX('Milho 1ª safra'!$E35:$Z35,MIN(K$6-$E$3,22))),0))-IF($G$2,0,IF((K$6-$G$3)&lt;1,0,IFERROR(LOOKUP(2,1/('Milho 1ª safra'!$E35:INDEX('Milho 1ª safra'!$E35:$Z35,MIN(K$6-$G$3,22))&lt;&gt;""),'Milho 1ª safra'!$E35:INDEX('Milho 1ª safra'!$E35:$Z35,MIN(K$6-$G$3,22))),0)))))</f>
        <v>0</v>
      </c>
      <c r="L37" s="27" t="n">
        <f aca="false">IF(COUNT('Milho 1ª safra'!$E35:$Z35)=0,0,MAX(0,IF((L$6-$E$3)&lt;1,0,IFERROR(LOOKUP(2,1/('Milho 1ª safra'!$E35:INDEX('Milho 1ª safra'!$E35:$Z35,MIN(L$6-$E$3,22))&lt;&gt;""),'Milho 1ª safra'!$E35:INDEX('Milho 1ª safra'!$E35:$Z35,MIN(L$6-$E$3,22))),0))-IF($G$2,0,IF((L$6-$G$3)&lt;1,0,IFERROR(LOOKUP(2,1/('Milho 1ª safra'!$E35:INDEX('Milho 1ª safra'!$E35:$Z35,MIN(L$6-$G$3,22))&lt;&gt;""),'Milho 1ª safra'!$E35:INDEX('Milho 1ª safra'!$E35:$Z35,MIN(L$6-$G$3,22))),0)))))</f>
        <v>0</v>
      </c>
      <c r="M37" s="27" t="n">
        <f aca="false">IF(COUNT('Milho 1ª safra'!$E35:$Z35)=0,0,MAX(0,IF((M$6-$E$3)&lt;1,0,IFERROR(LOOKUP(2,1/('Milho 1ª safra'!$E35:INDEX('Milho 1ª safra'!$E35:$Z35,MIN(M$6-$E$3,22))&lt;&gt;""),'Milho 1ª safra'!$E35:INDEX('Milho 1ª safra'!$E35:$Z35,MIN(M$6-$E$3,22))),0))-IF($G$2,0,IF((M$6-$G$3)&lt;1,0,IFERROR(LOOKUP(2,1/('Milho 1ª safra'!$E35:INDEX('Milho 1ª safra'!$E35:$Z35,MIN(M$6-$G$3,22))&lt;&gt;""),'Milho 1ª safra'!$E35:INDEX('Milho 1ª safra'!$E35:$Z35,MIN(M$6-$G$3,22))),0)))))</f>
        <v>0</v>
      </c>
      <c r="N37" s="27" t="n">
        <f aca="false">IF(COUNT('Milho 1ª safra'!$E35:$Z35)=0,0,MAX(0,IF((N$6-$E$3)&lt;1,0,IFERROR(LOOKUP(2,1/('Milho 1ª safra'!$E35:INDEX('Milho 1ª safra'!$E35:$Z35,MIN(N$6-$E$3,22))&lt;&gt;""),'Milho 1ª safra'!$E35:INDEX('Milho 1ª safra'!$E35:$Z35,MIN(N$6-$E$3,22))),0))-IF($G$2,0,IF((N$6-$G$3)&lt;1,0,IFERROR(LOOKUP(2,1/('Milho 1ª safra'!$E35:INDEX('Milho 1ª safra'!$E35:$Z35,MIN(N$6-$G$3,22))&lt;&gt;""),'Milho 1ª safra'!$E35:INDEX('Milho 1ª safra'!$E35:$Z35,MIN(N$6-$G$3,22))),0)))))</f>
        <v>0</v>
      </c>
      <c r="O37" s="27" t="n">
        <f aca="false">IF(COUNT('Milho 1ª safra'!$E35:$Z35)=0,0,MAX(0,IF((O$6-$E$3)&lt;1,0,IFERROR(LOOKUP(2,1/('Milho 1ª safra'!$E35:INDEX('Milho 1ª safra'!$E35:$Z35,MIN(O$6-$E$3,22))&lt;&gt;""),'Milho 1ª safra'!$E35:INDEX('Milho 1ª safra'!$E35:$Z35,MIN(O$6-$E$3,22))),0))-IF($G$2,0,IF((O$6-$G$3)&lt;1,0,IFERROR(LOOKUP(2,1/('Milho 1ª safra'!$E35:INDEX('Milho 1ª safra'!$E35:$Z35,MIN(O$6-$G$3,22))&lt;&gt;""),'Milho 1ª safra'!$E35:INDEX('Milho 1ª safra'!$E35:$Z35,MIN(O$6-$G$3,22))),0)))))</f>
        <v>0</v>
      </c>
      <c r="P37" s="27" t="n">
        <f aca="false">IF(COUNT('Milho 1ª safra'!$E35:$Z35)=0,0,MAX(0,IF((P$6-$E$3)&lt;1,0,IFERROR(LOOKUP(2,1/('Milho 1ª safra'!$E35:INDEX('Milho 1ª safra'!$E35:$Z35,MIN(P$6-$E$3,22))&lt;&gt;""),'Milho 1ª safra'!$E35:INDEX('Milho 1ª safra'!$E35:$Z35,MIN(P$6-$E$3,22))),0))-IF($G$2,0,IF((P$6-$G$3)&lt;1,0,IFERROR(LOOKUP(2,1/('Milho 1ª safra'!$E35:INDEX('Milho 1ª safra'!$E35:$Z35,MIN(P$6-$G$3,22))&lt;&gt;""),'Milho 1ª safra'!$E35:INDEX('Milho 1ª safra'!$E35:$Z35,MIN(P$6-$G$3,22))),0)))))</f>
        <v>0</v>
      </c>
      <c r="Q37" s="27" t="n">
        <f aca="false">IF(COUNT('Milho 1ª safra'!$E35:$Z35)=0,0,MAX(0,IF((Q$6-$E$3)&lt;1,0,IFERROR(LOOKUP(2,1/('Milho 1ª safra'!$E35:INDEX('Milho 1ª safra'!$E35:$Z35,MIN(Q$6-$E$3,22))&lt;&gt;""),'Milho 1ª safra'!$E35:INDEX('Milho 1ª safra'!$E35:$Z35,MIN(Q$6-$E$3,22))),0))-IF($G$2,0,IF((Q$6-$G$3)&lt;1,0,IFERROR(LOOKUP(2,1/('Milho 1ª safra'!$E35:INDEX('Milho 1ª safra'!$E35:$Z35,MIN(Q$6-$G$3,22))&lt;&gt;""),'Milho 1ª safra'!$E35:INDEX('Milho 1ª safra'!$E35:$Z35,MIN(Q$6-$G$3,22))),0)))))</f>
        <v>0</v>
      </c>
      <c r="R37" s="27" t="n">
        <f aca="false">IF(COUNT('Milho 1ª safra'!$E35:$Z35)=0,0,MAX(0,IF((R$6-$E$3)&lt;1,0,IFERROR(LOOKUP(2,1/('Milho 1ª safra'!$E35:INDEX('Milho 1ª safra'!$E35:$Z35,MIN(R$6-$E$3,22))&lt;&gt;""),'Milho 1ª safra'!$E35:INDEX('Milho 1ª safra'!$E35:$Z35,MIN(R$6-$E$3,22))),0))-IF($G$2,0,IF((R$6-$G$3)&lt;1,0,IFERROR(LOOKUP(2,1/('Milho 1ª safra'!$E35:INDEX('Milho 1ª safra'!$E35:$Z35,MIN(R$6-$G$3,22))&lt;&gt;""),'Milho 1ª safra'!$E35:INDEX('Milho 1ª safra'!$E35:$Z35,MIN(R$6-$G$3,22))),0)))))</f>
        <v>0</v>
      </c>
      <c r="S37" s="27" t="n">
        <f aca="false">IF(COUNT('Milho 1ª safra'!$E35:$Z35)=0,0,MAX(0,IF((S$6-$E$3)&lt;1,0,IFERROR(LOOKUP(2,1/('Milho 1ª safra'!$E35:INDEX('Milho 1ª safra'!$E35:$Z35,MIN(S$6-$E$3,22))&lt;&gt;""),'Milho 1ª safra'!$E35:INDEX('Milho 1ª safra'!$E35:$Z35,MIN(S$6-$E$3,22))),0))-IF($G$2,0,IF((S$6-$G$3)&lt;1,0,IFERROR(LOOKUP(2,1/('Milho 1ª safra'!$E35:INDEX('Milho 1ª safra'!$E35:$Z35,MIN(S$6-$G$3,22))&lt;&gt;""),'Milho 1ª safra'!$E35:INDEX('Milho 1ª safra'!$E35:$Z35,MIN(S$6-$G$3,22))),0)))))</f>
        <v>0</v>
      </c>
      <c r="T37" s="27" t="n">
        <f aca="false">IF(COUNT('Milho 1ª safra'!$E35:$Z35)=0,0,MAX(0,IF((T$6-$E$3)&lt;1,0,IFERROR(LOOKUP(2,1/('Milho 1ª safra'!$E35:INDEX('Milho 1ª safra'!$E35:$Z35,MIN(T$6-$E$3,22))&lt;&gt;""),'Milho 1ª safra'!$E35:INDEX('Milho 1ª safra'!$E35:$Z35,MIN(T$6-$E$3,22))),0))-IF($G$2,0,IF((T$6-$G$3)&lt;1,0,IFERROR(LOOKUP(2,1/('Milho 1ª safra'!$E35:INDEX('Milho 1ª safra'!$E35:$Z35,MIN(T$6-$G$3,22))&lt;&gt;""),'Milho 1ª safra'!$E35:INDEX('Milho 1ª safra'!$E35:$Z35,MIN(T$6-$G$3,22))),0)))))</f>
        <v>0</v>
      </c>
      <c r="U37" s="27" t="n">
        <f aca="false">IF(COUNT('Milho 1ª safra'!$E35:$Z35)=0,0,MAX(0,IF((U$6-$E$3)&lt;1,0,IFERROR(LOOKUP(2,1/('Milho 1ª safra'!$E35:INDEX('Milho 1ª safra'!$E35:$Z35,MIN(U$6-$E$3,22))&lt;&gt;""),'Milho 1ª safra'!$E35:INDEX('Milho 1ª safra'!$E35:$Z35,MIN(U$6-$E$3,22))),0))-IF($G$2,0,IF((U$6-$G$3)&lt;1,0,IFERROR(LOOKUP(2,1/('Milho 1ª safra'!$E35:INDEX('Milho 1ª safra'!$E35:$Z35,MIN(U$6-$G$3,22))&lt;&gt;""),'Milho 1ª safra'!$E35:INDEX('Milho 1ª safra'!$E35:$Z35,MIN(U$6-$G$3,22))),0)))))</f>
        <v>0</v>
      </c>
      <c r="V37" s="27" t="n">
        <f aca="false">IF(COUNT('Milho 1ª safra'!$E35:$Z35)=0,0,MAX(0,IF((V$6-$E$3)&lt;1,0,IFERROR(LOOKUP(2,1/('Milho 1ª safra'!$E35:INDEX('Milho 1ª safra'!$E35:$Z35,MIN(V$6-$E$3,22))&lt;&gt;""),'Milho 1ª safra'!$E35:INDEX('Milho 1ª safra'!$E35:$Z35,MIN(V$6-$E$3,22))),0))-IF($G$2,0,IF((V$6-$G$3)&lt;1,0,IFERROR(LOOKUP(2,1/('Milho 1ª safra'!$E35:INDEX('Milho 1ª safra'!$E35:$Z35,MIN(V$6-$G$3,22))&lt;&gt;""),'Milho 1ª safra'!$E35:INDEX('Milho 1ª safra'!$E35:$Z35,MIN(V$6-$G$3,22))),0)))))</f>
        <v>0</v>
      </c>
      <c r="W37" s="27" t="n">
        <f aca="false">IF(COUNT('Milho 1ª safra'!$E35:$Z35)=0,0,MAX(0,IF((W$6-$E$3)&lt;1,0,IFERROR(LOOKUP(2,1/('Milho 1ª safra'!$E35:INDEX('Milho 1ª safra'!$E35:$Z35,MIN(W$6-$E$3,22))&lt;&gt;""),'Milho 1ª safra'!$E35:INDEX('Milho 1ª safra'!$E35:$Z35,MIN(W$6-$E$3,22))),0))-IF($G$2,0,IF((W$6-$G$3)&lt;1,0,IFERROR(LOOKUP(2,1/('Milho 1ª safra'!$E35:INDEX('Milho 1ª safra'!$E35:$Z35,MIN(W$6-$G$3,22))&lt;&gt;""),'Milho 1ª safra'!$E35:INDEX('Milho 1ª safra'!$E35:$Z35,MIN(W$6-$G$3,22))),0)))))</f>
        <v>0</v>
      </c>
      <c r="X37" s="27" t="n">
        <f aca="false">IF(COUNT('Milho 1ª safra'!$E35:$Z35)=0,0,MAX(0,IF((X$6-$E$3)&lt;1,0,IFERROR(LOOKUP(2,1/('Milho 1ª safra'!$E35:INDEX('Milho 1ª safra'!$E35:$Z35,MIN(X$6-$E$3,22))&lt;&gt;""),'Milho 1ª safra'!$E35:INDEX('Milho 1ª safra'!$E35:$Z35,MIN(X$6-$E$3,22))),0))-IF($G$2,0,IF((X$6-$G$3)&lt;1,0,IFERROR(LOOKUP(2,1/('Milho 1ª safra'!$E35:INDEX('Milho 1ª safra'!$E35:$Z35,MIN(X$6-$G$3,22))&lt;&gt;""),'Milho 1ª safra'!$E35:INDEX('Milho 1ª safra'!$E35:$Z35,MIN(X$6-$G$3,22))),0)))))</f>
        <v>0</v>
      </c>
      <c r="Y37" s="27" t="n">
        <f aca="false">IF(COUNT('Milho 1ª safra'!$E35:$Z35)=0,0,MAX(0,IF((Y$6-$E$3)&lt;1,0,IFERROR(LOOKUP(2,1/('Milho 1ª safra'!$E35:INDEX('Milho 1ª safra'!$E35:$Z35,MIN(Y$6-$E$3,22))&lt;&gt;""),'Milho 1ª safra'!$E35:INDEX('Milho 1ª safra'!$E35:$Z35,MIN(Y$6-$E$3,22))),0))-IF($G$2,0,IF((Y$6-$G$3)&lt;1,0,IFERROR(LOOKUP(2,1/('Milho 1ª safra'!$E35:INDEX('Milho 1ª safra'!$E35:$Z35,MIN(Y$6-$G$3,22))&lt;&gt;""),'Milho 1ª safra'!$E35:INDEX('Milho 1ª safra'!$E35:$Z35,MIN(Y$6-$G$3,22))),0)))))</f>
        <v>0</v>
      </c>
      <c r="Z37" s="27" t="n">
        <f aca="false">IF(COUNT('Milho 1ª safra'!$E35:$Z35)=0,0,MAX(0,IF((Z$6-$E$3)&lt;1,0,IFERROR(LOOKUP(2,1/('Milho 1ª safra'!$E35:INDEX('Milho 1ª safra'!$E35:$Z35,MIN(Z$6-$E$3,22))&lt;&gt;""),'Milho 1ª safra'!$E35:INDEX('Milho 1ª safra'!$E35:$Z35,MIN(Z$6-$E$3,22))),0))-IF($G$2,0,IF((Z$6-$G$3)&lt;1,0,IFERROR(LOOKUP(2,1/('Milho 1ª safra'!$E35:INDEX('Milho 1ª safra'!$E35:$Z35,MIN(Z$6-$G$3,22))&lt;&gt;""),'Milho 1ª safra'!$E35:INDEX('Milho 1ª safra'!$E35:$Z35,MIN(Z$6-$G$3,22))),0)))))</f>
        <v>0</v>
      </c>
      <c r="AA37" s="27" t="n">
        <f aca="false">IF(COUNT('Milho 1ª safra'!$E35:$Z35)=0,0,MAX(0,IF((AA$6-$E$3)&lt;1,0,IFERROR(LOOKUP(2,1/('Milho 1ª safra'!$E35:INDEX('Milho 1ª safra'!$E35:$Z35,MIN(AA$6-$E$3,22))&lt;&gt;""),'Milho 1ª safra'!$E35:INDEX('Milho 1ª safra'!$E35:$Z35,MIN(AA$6-$E$3,22))),0))-IF($G$2,0,IF((AA$6-$G$3)&lt;1,0,IFERROR(LOOKUP(2,1/('Milho 1ª safra'!$E35:INDEX('Milho 1ª safra'!$E35:$Z35,MIN(AA$6-$G$3,22))&lt;&gt;""),'Milho 1ª safra'!$E35:INDEX('Milho 1ª safra'!$E35:$Z35,MIN(AA$6-$G$3,22))),0)))))</f>
        <v>0</v>
      </c>
      <c r="AB37" s="27" t="n">
        <f aca="false">IF(COUNT('Milho 1ª safra'!$E35:$Z35)=0,0,MAX(0,IF((AB$6-$E$3)&lt;1,0,IFERROR(LOOKUP(2,1/('Milho 1ª safra'!$E35:INDEX('Milho 1ª safra'!$E35:$Z35,MIN(AB$6-$E$3,22))&lt;&gt;""),'Milho 1ª safra'!$E35:INDEX('Milho 1ª safra'!$E35:$Z35,MIN(AB$6-$E$3,22))),0))-IF($G$2,0,IF((AB$6-$G$3)&lt;1,0,IFERROR(LOOKUP(2,1/('Milho 1ª safra'!$E35:INDEX('Milho 1ª safra'!$E35:$Z35,MIN(AB$6-$G$3,22))&lt;&gt;""),'Milho 1ª safra'!$E35:INDEX('Milho 1ª safra'!$E35:$Z35,MIN(AB$6-$G$3,22))),0)))))</f>
        <v>0</v>
      </c>
      <c r="AC37" s="27" t="n">
        <f aca="false">IF(COUNT('Milho 1ª safra'!$E35:$Z35)=0,0,MAX(0,IF((AC$6-$E$3)&lt;1,0,IFERROR(LOOKUP(2,1/('Milho 1ª safra'!$E35:INDEX('Milho 1ª safra'!$E35:$Z35,MIN(AC$6-$E$3,22))&lt;&gt;""),'Milho 1ª safra'!$E35:INDEX('Milho 1ª safra'!$E35:$Z35,MIN(AC$6-$E$3,22))),0))-IF($G$2,0,IF((AC$6-$G$3)&lt;1,0,IFERROR(LOOKUP(2,1/('Milho 1ª safra'!$E35:INDEX('Milho 1ª safra'!$E35:$Z35,MIN(AC$6-$G$3,22))&lt;&gt;""),'Milho 1ª safra'!$E35:INDEX('Milho 1ª safra'!$E35:$Z35,MIN(AC$6-$G$3,22))),0)))))</f>
        <v>0</v>
      </c>
      <c r="AD37" s="27" t="n">
        <f aca="false">IF(COUNT('Milho 1ª safra'!$E35:$Z35)=0,0,MAX(0,IF((AD$6-$E$3)&lt;1,0,IFERROR(LOOKUP(2,1/('Milho 1ª safra'!$E35:INDEX('Milho 1ª safra'!$E35:$Z35,MIN(AD$6-$E$3,22))&lt;&gt;""),'Milho 1ª safra'!$E35:INDEX('Milho 1ª safra'!$E35:$Z35,MIN(AD$6-$E$3,22))),0))-IF($G$2,0,IF((AD$6-$G$3)&lt;1,0,IFERROR(LOOKUP(2,1/('Milho 1ª safra'!$E35:INDEX('Milho 1ª safra'!$E35:$Z35,MIN(AD$6-$G$3,22))&lt;&gt;""),'Milho 1ª safra'!$E35:INDEX('Milho 1ª safra'!$E35:$Z35,MIN(AD$6-$G$3,22))),0)))))</f>
        <v>0</v>
      </c>
      <c r="AE37" s="27" t="n">
        <f aca="false">IF(COUNT('Milho 1ª safra'!$E35:$Z35)=0,0,MAX(0,IF((AE$6-$E$3)&lt;1,0,IFERROR(LOOKUP(2,1/('Milho 1ª safra'!$E35:INDEX('Milho 1ª safra'!$E35:$Z35,MIN(AE$6-$E$3,22))&lt;&gt;""),'Milho 1ª safra'!$E35:INDEX('Milho 1ª safra'!$E35:$Z35,MIN(AE$6-$E$3,22))),0))-IF($G$2,0,IF((AE$6-$G$3)&lt;1,0,IFERROR(LOOKUP(2,1/('Milho 1ª safra'!$E35:INDEX('Milho 1ª safra'!$E35:$Z35,MIN(AE$6-$G$3,22))&lt;&gt;""),'Milho 1ª safra'!$E35:INDEX('Milho 1ª safra'!$E35:$Z35,MIN(AE$6-$G$3,22))),0)))))</f>
        <v>0</v>
      </c>
      <c r="AF37" s="27" t="n">
        <f aca="false">IF(COUNT('Milho 1ª safra'!$E35:$Z35)=0,0,MAX(0,IF((AF$6-$E$3)&lt;1,0,IFERROR(LOOKUP(2,1/('Milho 1ª safra'!$E35:INDEX('Milho 1ª safra'!$E35:$Z35,MIN(AF$6-$E$3,22))&lt;&gt;""),'Milho 1ª safra'!$E35:INDEX('Milho 1ª safra'!$E35:$Z35,MIN(AF$6-$E$3,22))),0))-IF($G$2,0,IF((AF$6-$G$3)&lt;1,0,IFERROR(LOOKUP(2,1/('Milho 1ª safra'!$E35:INDEX('Milho 1ª safra'!$E35:$Z35,MIN(AF$6-$G$3,22))&lt;&gt;""),'Milho 1ª safra'!$E35:INDEX('Milho 1ª safra'!$E35:$Z35,MIN(AF$6-$G$3,22))),0)))))</f>
        <v>0</v>
      </c>
      <c r="AG37" s="27" t="n">
        <f aca="false">IF(COUNT('Milho 1ª safra'!$E35:$Z35)=0,0,MAX(0,IF((AG$6-$E$3)&lt;1,0,IFERROR(LOOKUP(2,1/('Milho 1ª safra'!$E35:INDEX('Milho 1ª safra'!$E35:$Z35,MIN(AG$6-$E$3,22))&lt;&gt;""),'Milho 1ª safra'!$E35:INDEX('Milho 1ª safra'!$E35:$Z35,MIN(AG$6-$E$3,22))),0))-IF($G$2,0,IF((AG$6-$G$3)&lt;1,0,IFERROR(LOOKUP(2,1/('Milho 1ª safra'!$E35:INDEX('Milho 1ª safra'!$E35:$Z35,MIN(AG$6-$G$3,22))&lt;&gt;""),'Milho 1ª safra'!$E35:INDEX('Milho 1ª safra'!$E35:$Z35,MIN(AG$6-$G$3,22))),0)))))</f>
        <v>0</v>
      </c>
      <c r="AH37" s="27" t="n">
        <f aca="false">IF(COUNT('Milho 1ª safra'!$E35:$Z35)=0,0,MAX(0,IF((AH$6-$E$3)&lt;1,0,IFERROR(LOOKUP(2,1/('Milho 1ª safra'!$E35:INDEX('Milho 1ª safra'!$E35:$Z35,MIN(AH$6-$E$3,22))&lt;&gt;""),'Milho 1ª safra'!$E35:INDEX('Milho 1ª safra'!$E35:$Z35,MIN(AH$6-$E$3,22))),0))-IF($G$2,0,IF((AH$6-$G$3)&lt;1,0,IFERROR(LOOKUP(2,1/('Milho 1ª safra'!$E35:INDEX('Milho 1ª safra'!$E35:$Z35,MIN(AH$6-$G$3,22))&lt;&gt;""),'Milho 1ª safra'!$E35:INDEX('Milho 1ª safra'!$E35:$Z35,MIN(AH$6-$G$3,22))),0)))))</f>
        <v>0</v>
      </c>
      <c r="AI37" s="27" t="n">
        <f aca="false">IF(COUNT('Milho 1ª safra'!$E35:$Z35)=0,0,MAX(0,IF((AI$6-$E$3)&lt;1,0,IFERROR(LOOKUP(2,1/('Milho 1ª safra'!$E35:INDEX('Milho 1ª safra'!$E35:$Z35,MIN(AI$6-$E$3,22))&lt;&gt;""),'Milho 1ª safra'!$E35:INDEX('Milho 1ª safra'!$E35:$Z35,MIN(AI$6-$E$3,22))),0))-IF($G$2,0,IF((AI$6-$G$3)&lt;1,0,IFERROR(LOOKUP(2,1/('Milho 1ª safra'!$E35:INDEX('Milho 1ª safra'!$E35:$Z35,MIN(AI$6-$G$3,22))&lt;&gt;""),'Milho 1ª safra'!$E35:INDEX('Milho 1ª safra'!$E35:$Z35,MIN(AI$6-$G$3,22))),0)))))</f>
        <v>0</v>
      </c>
      <c r="AJ37" s="27" t="n">
        <f aca="false">IF(COUNT('Milho 1ª safra'!$E35:$Z35)=0,0,MAX(0,IF((AJ$6-$E$3)&lt;1,0,IFERROR(LOOKUP(2,1/('Milho 1ª safra'!$E35:INDEX('Milho 1ª safra'!$E35:$Z35,MIN(AJ$6-$E$3,22))&lt;&gt;""),'Milho 1ª safra'!$E35:INDEX('Milho 1ª safra'!$E35:$Z35,MIN(AJ$6-$E$3,22))),0))-IF($G$2,0,IF((AJ$6-$G$3)&lt;1,0,IFERROR(LOOKUP(2,1/('Milho 1ª safra'!$E35:INDEX('Milho 1ª safra'!$E35:$Z35,MIN(AJ$6-$G$3,22))&lt;&gt;""),'Milho 1ª safra'!$E35:INDEX('Milho 1ª safra'!$E35:$Z35,MIN(AJ$6-$G$3,22))),0)))))</f>
        <v>0</v>
      </c>
      <c r="AK37" s="27" t="n">
        <f aca="false">IF(COUNT('Milho 1ª safra'!$E35:$Z35)=0,0,MAX(0,IF((AK$6-$E$3)&lt;1,0,IFERROR(LOOKUP(2,1/('Milho 1ª safra'!$E35:INDEX('Milho 1ª safra'!$E35:$Z35,MIN(AK$6-$E$3,22))&lt;&gt;""),'Milho 1ª safra'!$E35:INDEX('Milho 1ª safra'!$E35:$Z35,MIN(AK$6-$E$3,22))),0))-IF($G$2,0,IF((AK$6-$G$3)&lt;1,0,IFERROR(LOOKUP(2,1/('Milho 1ª safra'!$E35:INDEX('Milho 1ª safra'!$E35:$Z35,MIN(AK$6-$G$3,22))&lt;&gt;""),'Milho 1ª safra'!$E35:INDEX('Milho 1ª safra'!$E35:$Z35,MIN(AK$6-$G$3,22))),0)))))</f>
        <v>0</v>
      </c>
      <c r="AL37" s="27" t="n">
        <f aca="false">IF(COUNT('Milho 1ª safra'!$E35:$Z35)=0,0,MAX(0,IF((AL$6-$E$3)&lt;1,0,IFERROR(LOOKUP(2,1/('Milho 1ª safra'!$E35:INDEX('Milho 1ª safra'!$E35:$Z35,MIN(AL$6-$E$3,22))&lt;&gt;""),'Milho 1ª safra'!$E35:INDEX('Milho 1ª safra'!$E35:$Z35,MIN(AL$6-$E$3,22))),0))-IF($G$2,0,IF((AL$6-$G$3)&lt;1,0,IFERROR(LOOKUP(2,1/('Milho 1ª safra'!$E35:INDEX('Milho 1ª safra'!$E35:$Z35,MIN(AL$6-$G$3,22))&lt;&gt;""),'Milho 1ª safra'!$E35:INDEX('Milho 1ª safra'!$E35:$Z35,MIN(AL$6-$G$3,22))),0)))))</f>
        <v>0</v>
      </c>
      <c r="AM37" s="27" t="n">
        <f aca="false">IF(COUNT('Milho 1ª safra'!$E35:$Z35)=0,0,MAX(0,IF((AM$6-$E$3)&lt;1,0,IFERROR(LOOKUP(2,1/('Milho 1ª safra'!$E35:INDEX('Milho 1ª safra'!$E35:$Z35,MIN(AM$6-$E$3,22))&lt;&gt;""),'Milho 1ª safra'!$E35:INDEX('Milho 1ª safra'!$E35:$Z35,MIN(AM$6-$E$3,22))),0))-IF($G$2,0,IF((AM$6-$G$3)&lt;1,0,IFERROR(LOOKUP(2,1/('Milho 1ª safra'!$E35:INDEX('Milho 1ª safra'!$E35:$Z35,MIN(AM$6-$G$3,22))&lt;&gt;""),'Milho 1ª safra'!$E35:INDEX('Milho 1ª safra'!$E35:$Z35,MIN(AM$6-$G$3,22))),0)))))</f>
        <v>0</v>
      </c>
      <c r="AN37" s="27" t="n">
        <f aca="false">IF(COUNT('Milho 1ª safra'!$E35:$Z35)=0,0,MAX(0,IF((AN$6-$E$3)&lt;1,0,IFERROR(LOOKUP(2,1/('Milho 1ª safra'!$E35:INDEX('Milho 1ª safra'!$E35:$Z35,MIN(AN$6-$E$3,22))&lt;&gt;""),'Milho 1ª safra'!$E35:INDEX('Milho 1ª safra'!$E35:$Z35,MIN(AN$6-$E$3,22))),0))-IF($G$2,0,IF((AN$6-$G$3)&lt;1,0,IFERROR(LOOKUP(2,1/('Milho 1ª safra'!$E35:INDEX('Milho 1ª safra'!$E35:$Z35,MIN(AN$6-$G$3,22))&lt;&gt;""),'Milho 1ª safra'!$E35:INDEX('Milho 1ª safra'!$E35:$Z35,MIN(AN$6-$G$3,22))),0)))))</f>
        <v>0</v>
      </c>
      <c r="AO37" s="27" t="n">
        <f aca="false">IF(COUNT('Milho 1ª safra'!$E35:$Z35)=0,0,MAX(0,IF((AO$6-$E$3)&lt;1,0,IFERROR(LOOKUP(2,1/('Milho 1ª safra'!$E35:INDEX('Milho 1ª safra'!$E35:$Z35,MIN(AO$6-$E$3,22))&lt;&gt;""),'Milho 1ª safra'!$E35:INDEX('Milho 1ª safra'!$E35:$Z35,MIN(AO$6-$E$3,22))),0))-IF($G$2,0,IF((AO$6-$G$3)&lt;1,0,IFERROR(LOOKUP(2,1/('Milho 1ª safra'!$E35:INDEX('Milho 1ª safra'!$E35:$Z35,MIN(AO$6-$G$3,22))&lt;&gt;""),'Milho 1ª safra'!$E35:INDEX('Milho 1ª safra'!$E35:$Z35,MIN(AO$6-$G$3,22))),0)))))</f>
        <v>0</v>
      </c>
      <c r="AP37" s="27" t="n">
        <f aca="false">IF(COUNT('Milho 1ª safra'!$E35:$Z35)=0,0,MAX(0,IF((AP$6-$E$3)&lt;1,0,IFERROR(LOOKUP(2,1/('Milho 1ª safra'!$E35:INDEX('Milho 1ª safra'!$E35:$Z35,MIN(AP$6-$E$3,22))&lt;&gt;""),'Milho 1ª safra'!$E35:INDEX('Milho 1ª safra'!$E35:$Z35,MIN(AP$6-$E$3,22))),0))-IF($G$2,0,IF((AP$6-$G$3)&lt;1,0,IFERROR(LOOKUP(2,1/('Milho 1ª safra'!$E35:INDEX('Milho 1ª safra'!$E35:$Z35,MIN(AP$6-$G$3,22))&lt;&gt;""),'Milho 1ª safra'!$E35:INDEX('Milho 1ª safra'!$E35:$Z35,MIN(AP$6-$G$3,22))),0)))))</f>
        <v>0</v>
      </c>
      <c r="AQ37" s="27" t="n">
        <f aca="false">IF(COUNT('Milho 1ª safra'!$E35:$Z35)=0,0,MAX(0,IF((AQ$6-$E$3)&lt;1,0,IFERROR(LOOKUP(2,1/('Milho 1ª safra'!$E35:INDEX('Milho 1ª safra'!$E35:$Z35,MIN(AQ$6-$E$3,22))&lt;&gt;""),'Milho 1ª safra'!$E35:INDEX('Milho 1ª safra'!$E35:$Z35,MIN(AQ$6-$E$3,22))),0))-IF($G$2,0,IF((AQ$6-$G$3)&lt;1,0,IFERROR(LOOKUP(2,1/('Milho 1ª safra'!$E35:INDEX('Milho 1ª safra'!$E35:$Z35,MIN(AQ$6-$G$3,22))&lt;&gt;""),'Milho 1ª safra'!$E35:INDEX('Milho 1ª safra'!$E35:$Z35,MIN(AQ$6-$G$3,22))),0)))))</f>
        <v>0</v>
      </c>
      <c r="AR37" s="27" t="n">
        <f aca="false">IF(COUNT('Milho 1ª safra'!$E35:$Z35)=0,0,MAX(0,IF((AR$6-$E$3)&lt;1,0,IFERROR(LOOKUP(2,1/('Milho 1ª safra'!$E35:INDEX('Milho 1ª safra'!$E35:$Z35,MIN(AR$6-$E$3,22))&lt;&gt;""),'Milho 1ª safra'!$E35:INDEX('Milho 1ª safra'!$E35:$Z35,MIN(AR$6-$E$3,22))),0))-IF($G$2,0,IF((AR$6-$G$3)&lt;1,0,IFERROR(LOOKUP(2,1/('Milho 1ª safra'!$E35:INDEX('Milho 1ª safra'!$E35:$Z35,MIN(AR$6-$G$3,22))&lt;&gt;""),'Milho 1ª safra'!$E35:INDEX('Milho 1ª safra'!$E35:$Z35,MIN(AR$6-$G$3,22))),0)))))</f>
        <v>0</v>
      </c>
      <c r="AS37" s="27" t="n">
        <f aca="false">IF(COUNT('Milho 1ª safra'!$E35:$Z35)=0,0,MAX(0,IF((AS$6-$E$3)&lt;1,0,IFERROR(LOOKUP(2,1/('Milho 1ª safra'!$E35:INDEX('Milho 1ª safra'!$E35:$Z35,MIN(AS$6-$E$3,22))&lt;&gt;""),'Milho 1ª safra'!$E35:INDEX('Milho 1ª safra'!$E35:$Z35,MIN(AS$6-$E$3,22))),0))-IF($G$2,0,IF((AS$6-$G$3)&lt;1,0,IFERROR(LOOKUP(2,1/('Milho 1ª safra'!$E35:INDEX('Milho 1ª safra'!$E35:$Z35,MIN(AS$6-$G$3,22))&lt;&gt;""),'Milho 1ª safra'!$E35:INDEX('Milho 1ª safra'!$E35:$Z35,MIN(AS$6-$G$3,22))),0)))))</f>
        <v>0</v>
      </c>
      <c r="AT37" s="27" t="n">
        <f aca="false">IF(COUNT('Milho 1ª safra'!$E35:$Z35)=0,0,MAX(0,IF((AT$6-$E$3)&lt;1,0,IFERROR(LOOKUP(2,1/('Milho 1ª safra'!$E35:INDEX('Milho 1ª safra'!$E35:$Z35,MIN(AT$6-$E$3,22))&lt;&gt;""),'Milho 1ª safra'!$E35:INDEX('Milho 1ª safra'!$E35:$Z35,MIN(AT$6-$E$3,22))),0))-IF($G$2,0,IF((AT$6-$G$3)&lt;1,0,IFERROR(LOOKUP(2,1/('Milho 1ª safra'!$E35:INDEX('Milho 1ª safra'!$E35:$Z35,MIN(AT$6-$G$3,22))&lt;&gt;""),'Milho 1ª safra'!$E35:INDEX('Milho 1ª safra'!$E35:$Z35,MIN(AT$6-$G$3,22))),0)))))</f>
        <v>0</v>
      </c>
      <c r="AU37" s="27" t="n">
        <f aca="false">IF(COUNT('Milho 1ª safra'!$E35:$Z35)=0,0,MAX(0,IF((AU$6-$E$3)&lt;1,0,IFERROR(LOOKUP(2,1/('Milho 1ª safra'!$E35:INDEX('Milho 1ª safra'!$E35:$Z35,MIN(AU$6-$E$3,22))&lt;&gt;""),'Milho 1ª safra'!$E35:INDEX('Milho 1ª safra'!$E35:$Z35,MIN(AU$6-$E$3,22))),0))-IF($G$2,0,IF((AU$6-$G$3)&lt;1,0,IFERROR(LOOKUP(2,1/('Milho 1ª safra'!$E35:INDEX('Milho 1ª safra'!$E35:$Z35,MIN(AU$6-$G$3,22))&lt;&gt;""),'Milho 1ª safra'!$E35:INDEX('Milho 1ª safra'!$E35:$Z35,MIN(AU$6-$G$3,22))),0)))))</f>
        <v>0</v>
      </c>
      <c r="AV37" s="27" t="n">
        <f aca="false">IF(COUNT('Milho 1ª safra'!$E35:$Z35)=0,0,MAX(0,IF((AV$6-$E$3)&lt;1,0,IFERROR(LOOKUP(2,1/('Milho 1ª safra'!$E35:INDEX('Milho 1ª safra'!$E35:$Z35,MIN(AV$6-$E$3,22))&lt;&gt;""),'Milho 1ª safra'!$E35:INDEX('Milho 1ª safra'!$E35:$Z35,MIN(AV$6-$E$3,22))),0))-IF($G$2,0,IF((AV$6-$G$3)&lt;1,0,IFERROR(LOOKUP(2,1/('Milho 1ª safra'!$E35:INDEX('Milho 1ª safra'!$E35:$Z35,MIN(AV$6-$G$3,22))&lt;&gt;""),'Milho 1ª safra'!$E35:INDEX('Milho 1ª safra'!$E35:$Z35,MIN(AV$6-$G$3,22))),0)))))</f>
        <v>0</v>
      </c>
      <c r="AW37" s="27" t="n">
        <f aca="false">IF(COUNT('Milho 1ª safra'!$E35:$Z35)=0,0,MAX(0,IF((AW$6-$E$3)&lt;1,0,IFERROR(LOOKUP(2,1/('Milho 1ª safra'!$E35:INDEX('Milho 1ª safra'!$E35:$Z35,MIN(AW$6-$E$3,22))&lt;&gt;""),'Milho 1ª safra'!$E35:INDEX('Milho 1ª safra'!$E35:$Z35,MIN(AW$6-$E$3,22))),0))-IF($G$2,0,IF((AW$6-$G$3)&lt;1,0,IFERROR(LOOKUP(2,1/('Milho 1ª safra'!$E35:INDEX('Milho 1ª safra'!$E35:$Z35,MIN(AW$6-$G$3,22))&lt;&gt;""),'Milho 1ª safra'!$E35:INDEX('Milho 1ª safra'!$E35:$Z35,MIN(AW$6-$G$3,22))),0)))))</f>
        <v>0</v>
      </c>
      <c r="AX37" s="27" t="n">
        <f aca="false">IF(COUNT('Milho 1ª safra'!$E35:$Z35)=0,0,MAX(0,IF((AX$6-$E$3)&lt;1,0,IFERROR(LOOKUP(2,1/('Milho 1ª safra'!$E35:INDEX('Milho 1ª safra'!$E35:$Z35,MIN(AX$6-$E$3,22))&lt;&gt;""),'Milho 1ª safra'!$E35:INDEX('Milho 1ª safra'!$E35:$Z35,MIN(AX$6-$E$3,22))),0))-IF($G$2,0,IF((AX$6-$G$3)&lt;1,0,IFERROR(LOOKUP(2,1/('Milho 1ª safra'!$E35:INDEX('Milho 1ª safra'!$E35:$Z35,MIN(AX$6-$G$3,22))&lt;&gt;""),'Milho 1ª safra'!$E35:INDEX('Milho 1ª safra'!$E35:$Z35,MIN(AX$6-$G$3,22))),0)))))</f>
        <v>0</v>
      </c>
      <c r="AY37" s="27" t="n">
        <f aca="false">IF(COUNT('Milho 1ª safra'!$E35:$Z35)=0,0,MAX(0,IF((AY$6-$E$3)&lt;1,0,IFERROR(LOOKUP(2,1/('Milho 1ª safra'!$E35:INDEX('Milho 1ª safra'!$E35:$Z35,MIN(AY$6-$E$3,22))&lt;&gt;""),'Milho 1ª safra'!$E35:INDEX('Milho 1ª safra'!$E35:$Z35,MIN(AY$6-$E$3,22))),0))-IF($G$2,0,IF((AY$6-$G$3)&lt;1,0,IFERROR(LOOKUP(2,1/('Milho 1ª safra'!$E35:INDEX('Milho 1ª safra'!$E35:$Z35,MIN(AY$6-$G$3,22))&lt;&gt;""),'Milho 1ª safra'!$E35:INDEX('Milho 1ª safra'!$E35:$Z35,MIN(AY$6-$G$3,22))),0)))))</f>
        <v>0</v>
      </c>
      <c r="AZ37" s="27" t="n">
        <f aca="false">IF(COUNT('Milho 1ª safra'!$E35:$Z35)=0,0,MAX(0,IF((AZ$6-$E$3)&lt;1,0,IFERROR(LOOKUP(2,1/('Milho 1ª safra'!$E35:INDEX('Milho 1ª safra'!$E35:$Z35,MIN(AZ$6-$E$3,22))&lt;&gt;""),'Milho 1ª safra'!$E35:INDEX('Milho 1ª safra'!$E35:$Z35,MIN(AZ$6-$E$3,22))),0))-IF($G$2,0,IF((AZ$6-$G$3)&lt;1,0,IFERROR(LOOKUP(2,1/('Milho 1ª safra'!$E35:INDEX('Milho 1ª safra'!$E35:$Z35,MIN(AZ$6-$G$3,22))&lt;&gt;""),'Milho 1ª safra'!$E35:INDEX('Milho 1ª safra'!$E35:$Z35,MIN(AZ$6-$G$3,22))),0)))))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IF(COUNT('Milho 1ª safra'!$E36:$Z36)&gt;0,N('Milho 1ª safra'!$D36),0)</f>
        <v>0</v>
      </c>
      <c r="E38" s="27" t="n">
        <f aca="false">IF(COUNT('Milho 1ª safra'!$E36:$Z36)=0,0,MAX(0,IF((E$6-$E$3)&lt;1,0,IFERROR(LOOKUP(2,1/('Milho 1ª safra'!$E36:INDEX('Milho 1ª safra'!$E36:$Z36,MIN(E$6-$E$3,22))&lt;&gt;""),'Milho 1ª safra'!$E36:INDEX('Milho 1ª safra'!$E36:$Z36,MIN(E$6-$E$3,22))),0))-IF($G$2,0,IF((E$6-$G$3)&lt;1,0,IFERROR(LOOKUP(2,1/('Milho 1ª safra'!$E36:INDEX('Milho 1ª safra'!$E36:$Z36,MIN(E$6-$G$3,22))&lt;&gt;""),'Milho 1ª safra'!$E36:INDEX('Milho 1ª safra'!$E36:$Z36,MIN(E$6-$G$3,22))),0)))))</f>
        <v>0</v>
      </c>
      <c r="F38" s="27" t="n">
        <f aca="false">IF(COUNT('Milho 1ª safra'!$E36:$Z36)=0,0,MAX(0,IF((F$6-$E$3)&lt;1,0,IFERROR(LOOKUP(2,1/('Milho 1ª safra'!$E36:INDEX('Milho 1ª safra'!$E36:$Z36,MIN(F$6-$E$3,22))&lt;&gt;""),'Milho 1ª safra'!$E36:INDEX('Milho 1ª safra'!$E36:$Z36,MIN(F$6-$E$3,22))),0))-IF($G$2,0,IF((F$6-$G$3)&lt;1,0,IFERROR(LOOKUP(2,1/('Milho 1ª safra'!$E36:INDEX('Milho 1ª safra'!$E36:$Z36,MIN(F$6-$G$3,22))&lt;&gt;""),'Milho 1ª safra'!$E36:INDEX('Milho 1ª safra'!$E36:$Z36,MIN(F$6-$G$3,22))),0)))))</f>
        <v>0</v>
      </c>
      <c r="G38" s="27" t="n">
        <f aca="false">IF(COUNT('Milho 1ª safra'!$E36:$Z36)=0,0,MAX(0,IF((G$6-$E$3)&lt;1,0,IFERROR(LOOKUP(2,1/('Milho 1ª safra'!$E36:INDEX('Milho 1ª safra'!$E36:$Z36,MIN(G$6-$E$3,22))&lt;&gt;""),'Milho 1ª safra'!$E36:INDEX('Milho 1ª safra'!$E36:$Z36,MIN(G$6-$E$3,22))),0))-IF($G$2,0,IF((G$6-$G$3)&lt;1,0,IFERROR(LOOKUP(2,1/('Milho 1ª safra'!$E36:INDEX('Milho 1ª safra'!$E36:$Z36,MIN(G$6-$G$3,22))&lt;&gt;""),'Milho 1ª safra'!$E36:INDEX('Milho 1ª safra'!$E36:$Z36,MIN(G$6-$G$3,22))),0)))))</f>
        <v>0</v>
      </c>
      <c r="H38" s="27" t="n">
        <f aca="false">IF(COUNT('Milho 1ª safra'!$E36:$Z36)=0,0,MAX(0,IF((H$6-$E$3)&lt;1,0,IFERROR(LOOKUP(2,1/('Milho 1ª safra'!$E36:INDEX('Milho 1ª safra'!$E36:$Z36,MIN(H$6-$E$3,22))&lt;&gt;""),'Milho 1ª safra'!$E36:INDEX('Milho 1ª safra'!$E36:$Z36,MIN(H$6-$E$3,22))),0))-IF($G$2,0,IF((H$6-$G$3)&lt;1,0,IFERROR(LOOKUP(2,1/('Milho 1ª safra'!$E36:INDEX('Milho 1ª safra'!$E36:$Z36,MIN(H$6-$G$3,22))&lt;&gt;""),'Milho 1ª safra'!$E36:INDEX('Milho 1ª safra'!$E36:$Z36,MIN(H$6-$G$3,22))),0)))))</f>
        <v>0</v>
      </c>
      <c r="I38" s="27" t="n">
        <f aca="false">IF(COUNT('Milho 1ª safra'!$E36:$Z36)=0,0,MAX(0,IF((I$6-$E$3)&lt;1,0,IFERROR(LOOKUP(2,1/('Milho 1ª safra'!$E36:INDEX('Milho 1ª safra'!$E36:$Z36,MIN(I$6-$E$3,22))&lt;&gt;""),'Milho 1ª safra'!$E36:INDEX('Milho 1ª safra'!$E36:$Z36,MIN(I$6-$E$3,22))),0))-IF($G$2,0,IF((I$6-$G$3)&lt;1,0,IFERROR(LOOKUP(2,1/('Milho 1ª safra'!$E36:INDEX('Milho 1ª safra'!$E36:$Z36,MIN(I$6-$G$3,22))&lt;&gt;""),'Milho 1ª safra'!$E36:INDEX('Milho 1ª safra'!$E36:$Z36,MIN(I$6-$G$3,22))),0)))))</f>
        <v>0</v>
      </c>
      <c r="J38" s="27" t="n">
        <f aca="false">IF(COUNT('Milho 1ª safra'!$E36:$Z36)=0,0,MAX(0,IF((J$6-$E$3)&lt;1,0,IFERROR(LOOKUP(2,1/('Milho 1ª safra'!$E36:INDEX('Milho 1ª safra'!$E36:$Z36,MIN(J$6-$E$3,22))&lt;&gt;""),'Milho 1ª safra'!$E36:INDEX('Milho 1ª safra'!$E36:$Z36,MIN(J$6-$E$3,22))),0))-IF($G$2,0,IF((J$6-$G$3)&lt;1,0,IFERROR(LOOKUP(2,1/('Milho 1ª safra'!$E36:INDEX('Milho 1ª safra'!$E36:$Z36,MIN(J$6-$G$3,22))&lt;&gt;""),'Milho 1ª safra'!$E36:INDEX('Milho 1ª safra'!$E36:$Z36,MIN(J$6-$G$3,22))),0)))))</f>
        <v>0</v>
      </c>
      <c r="K38" s="27" t="n">
        <f aca="false">IF(COUNT('Milho 1ª safra'!$E36:$Z36)=0,0,MAX(0,IF((K$6-$E$3)&lt;1,0,IFERROR(LOOKUP(2,1/('Milho 1ª safra'!$E36:INDEX('Milho 1ª safra'!$E36:$Z36,MIN(K$6-$E$3,22))&lt;&gt;""),'Milho 1ª safra'!$E36:INDEX('Milho 1ª safra'!$E36:$Z36,MIN(K$6-$E$3,22))),0))-IF($G$2,0,IF((K$6-$G$3)&lt;1,0,IFERROR(LOOKUP(2,1/('Milho 1ª safra'!$E36:INDEX('Milho 1ª safra'!$E36:$Z36,MIN(K$6-$G$3,22))&lt;&gt;""),'Milho 1ª safra'!$E36:INDEX('Milho 1ª safra'!$E36:$Z36,MIN(K$6-$G$3,22))),0)))))</f>
        <v>0</v>
      </c>
      <c r="L38" s="27" t="n">
        <f aca="false">IF(COUNT('Milho 1ª safra'!$E36:$Z36)=0,0,MAX(0,IF((L$6-$E$3)&lt;1,0,IFERROR(LOOKUP(2,1/('Milho 1ª safra'!$E36:INDEX('Milho 1ª safra'!$E36:$Z36,MIN(L$6-$E$3,22))&lt;&gt;""),'Milho 1ª safra'!$E36:INDEX('Milho 1ª safra'!$E36:$Z36,MIN(L$6-$E$3,22))),0))-IF($G$2,0,IF((L$6-$G$3)&lt;1,0,IFERROR(LOOKUP(2,1/('Milho 1ª safra'!$E36:INDEX('Milho 1ª safra'!$E36:$Z36,MIN(L$6-$G$3,22))&lt;&gt;""),'Milho 1ª safra'!$E36:INDEX('Milho 1ª safra'!$E36:$Z36,MIN(L$6-$G$3,22))),0)))))</f>
        <v>0</v>
      </c>
      <c r="M38" s="27" t="n">
        <f aca="false">IF(COUNT('Milho 1ª safra'!$E36:$Z36)=0,0,MAX(0,IF((M$6-$E$3)&lt;1,0,IFERROR(LOOKUP(2,1/('Milho 1ª safra'!$E36:INDEX('Milho 1ª safra'!$E36:$Z36,MIN(M$6-$E$3,22))&lt;&gt;""),'Milho 1ª safra'!$E36:INDEX('Milho 1ª safra'!$E36:$Z36,MIN(M$6-$E$3,22))),0))-IF($G$2,0,IF((M$6-$G$3)&lt;1,0,IFERROR(LOOKUP(2,1/('Milho 1ª safra'!$E36:INDEX('Milho 1ª safra'!$E36:$Z36,MIN(M$6-$G$3,22))&lt;&gt;""),'Milho 1ª safra'!$E36:INDEX('Milho 1ª safra'!$E36:$Z36,MIN(M$6-$G$3,22))),0)))))</f>
        <v>0</v>
      </c>
      <c r="N38" s="27" t="n">
        <f aca="false">IF(COUNT('Milho 1ª safra'!$E36:$Z36)=0,0,MAX(0,IF((N$6-$E$3)&lt;1,0,IFERROR(LOOKUP(2,1/('Milho 1ª safra'!$E36:INDEX('Milho 1ª safra'!$E36:$Z36,MIN(N$6-$E$3,22))&lt;&gt;""),'Milho 1ª safra'!$E36:INDEX('Milho 1ª safra'!$E36:$Z36,MIN(N$6-$E$3,22))),0))-IF($G$2,0,IF((N$6-$G$3)&lt;1,0,IFERROR(LOOKUP(2,1/('Milho 1ª safra'!$E36:INDEX('Milho 1ª safra'!$E36:$Z36,MIN(N$6-$G$3,22))&lt;&gt;""),'Milho 1ª safra'!$E36:INDEX('Milho 1ª safra'!$E36:$Z36,MIN(N$6-$G$3,22))),0)))))</f>
        <v>0</v>
      </c>
      <c r="O38" s="27" t="n">
        <f aca="false">IF(COUNT('Milho 1ª safra'!$E36:$Z36)=0,0,MAX(0,IF((O$6-$E$3)&lt;1,0,IFERROR(LOOKUP(2,1/('Milho 1ª safra'!$E36:INDEX('Milho 1ª safra'!$E36:$Z36,MIN(O$6-$E$3,22))&lt;&gt;""),'Milho 1ª safra'!$E36:INDEX('Milho 1ª safra'!$E36:$Z36,MIN(O$6-$E$3,22))),0))-IF($G$2,0,IF((O$6-$G$3)&lt;1,0,IFERROR(LOOKUP(2,1/('Milho 1ª safra'!$E36:INDEX('Milho 1ª safra'!$E36:$Z36,MIN(O$6-$G$3,22))&lt;&gt;""),'Milho 1ª safra'!$E36:INDEX('Milho 1ª safra'!$E36:$Z36,MIN(O$6-$G$3,22))),0)))))</f>
        <v>0</v>
      </c>
      <c r="P38" s="27" t="n">
        <f aca="false">IF(COUNT('Milho 1ª safra'!$E36:$Z36)=0,0,MAX(0,IF((P$6-$E$3)&lt;1,0,IFERROR(LOOKUP(2,1/('Milho 1ª safra'!$E36:INDEX('Milho 1ª safra'!$E36:$Z36,MIN(P$6-$E$3,22))&lt;&gt;""),'Milho 1ª safra'!$E36:INDEX('Milho 1ª safra'!$E36:$Z36,MIN(P$6-$E$3,22))),0))-IF($G$2,0,IF((P$6-$G$3)&lt;1,0,IFERROR(LOOKUP(2,1/('Milho 1ª safra'!$E36:INDEX('Milho 1ª safra'!$E36:$Z36,MIN(P$6-$G$3,22))&lt;&gt;""),'Milho 1ª safra'!$E36:INDEX('Milho 1ª safra'!$E36:$Z36,MIN(P$6-$G$3,22))),0)))))</f>
        <v>0</v>
      </c>
      <c r="Q38" s="27" t="n">
        <f aca="false">IF(COUNT('Milho 1ª safra'!$E36:$Z36)=0,0,MAX(0,IF((Q$6-$E$3)&lt;1,0,IFERROR(LOOKUP(2,1/('Milho 1ª safra'!$E36:INDEX('Milho 1ª safra'!$E36:$Z36,MIN(Q$6-$E$3,22))&lt;&gt;""),'Milho 1ª safra'!$E36:INDEX('Milho 1ª safra'!$E36:$Z36,MIN(Q$6-$E$3,22))),0))-IF($G$2,0,IF((Q$6-$G$3)&lt;1,0,IFERROR(LOOKUP(2,1/('Milho 1ª safra'!$E36:INDEX('Milho 1ª safra'!$E36:$Z36,MIN(Q$6-$G$3,22))&lt;&gt;""),'Milho 1ª safra'!$E36:INDEX('Milho 1ª safra'!$E36:$Z36,MIN(Q$6-$G$3,22))),0)))))</f>
        <v>0</v>
      </c>
      <c r="R38" s="27" t="n">
        <f aca="false">IF(COUNT('Milho 1ª safra'!$E36:$Z36)=0,0,MAX(0,IF((R$6-$E$3)&lt;1,0,IFERROR(LOOKUP(2,1/('Milho 1ª safra'!$E36:INDEX('Milho 1ª safra'!$E36:$Z36,MIN(R$6-$E$3,22))&lt;&gt;""),'Milho 1ª safra'!$E36:INDEX('Milho 1ª safra'!$E36:$Z36,MIN(R$6-$E$3,22))),0))-IF($G$2,0,IF((R$6-$G$3)&lt;1,0,IFERROR(LOOKUP(2,1/('Milho 1ª safra'!$E36:INDEX('Milho 1ª safra'!$E36:$Z36,MIN(R$6-$G$3,22))&lt;&gt;""),'Milho 1ª safra'!$E36:INDEX('Milho 1ª safra'!$E36:$Z36,MIN(R$6-$G$3,22))),0)))))</f>
        <v>0</v>
      </c>
      <c r="S38" s="27" t="n">
        <f aca="false">IF(COUNT('Milho 1ª safra'!$E36:$Z36)=0,0,MAX(0,IF((S$6-$E$3)&lt;1,0,IFERROR(LOOKUP(2,1/('Milho 1ª safra'!$E36:INDEX('Milho 1ª safra'!$E36:$Z36,MIN(S$6-$E$3,22))&lt;&gt;""),'Milho 1ª safra'!$E36:INDEX('Milho 1ª safra'!$E36:$Z36,MIN(S$6-$E$3,22))),0))-IF($G$2,0,IF((S$6-$G$3)&lt;1,0,IFERROR(LOOKUP(2,1/('Milho 1ª safra'!$E36:INDEX('Milho 1ª safra'!$E36:$Z36,MIN(S$6-$G$3,22))&lt;&gt;""),'Milho 1ª safra'!$E36:INDEX('Milho 1ª safra'!$E36:$Z36,MIN(S$6-$G$3,22))),0)))))</f>
        <v>0</v>
      </c>
      <c r="T38" s="27" t="n">
        <f aca="false">IF(COUNT('Milho 1ª safra'!$E36:$Z36)=0,0,MAX(0,IF((T$6-$E$3)&lt;1,0,IFERROR(LOOKUP(2,1/('Milho 1ª safra'!$E36:INDEX('Milho 1ª safra'!$E36:$Z36,MIN(T$6-$E$3,22))&lt;&gt;""),'Milho 1ª safra'!$E36:INDEX('Milho 1ª safra'!$E36:$Z36,MIN(T$6-$E$3,22))),0))-IF($G$2,0,IF((T$6-$G$3)&lt;1,0,IFERROR(LOOKUP(2,1/('Milho 1ª safra'!$E36:INDEX('Milho 1ª safra'!$E36:$Z36,MIN(T$6-$G$3,22))&lt;&gt;""),'Milho 1ª safra'!$E36:INDEX('Milho 1ª safra'!$E36:$Z36,MIN(T$6-$G$3,22))),0)))))</f>
        <v>0</v>
      </c>
      <c r="U38" s="27" t="n">
        <f aca="false">IF(COUNT('Milho 1ª safra'!$E36:$Z36)=0,0,MAX(0,IF((U$6-$E$3)&lt;1,0,IFERROR(LOOKUP(2,1/('Milho 1ª safra'!$E36:INDEX('Milho 1ª safra'!$E36:$Z36,MIN(U$6-$E$3,22))&lt;&gt;""),'Milho 1ª safra'!$E36:INDEX('Milho 1ª safra'!$E36:$Z36,MIN(U$6-$E$3,22))),0))-IF($G$2,0,IF((U$6-$G$3)&lt;1,0,IFERROR(LOOKUP(2,1/('Milho 1ª safra'!$E36:INDEX('Milho 1ª safra'!$E36:$Z36,MIN(U$6-$G$3,22))&lt;&gt;""),'Milho 1ª safra'!$E36:INDEX('Milho 1ª safra'!$E36:$Z36,MIN(U$6-$G$3,22))),0)))))</f>
        <v>0</v>
      </c>
      <c r="V38" s="27" t="n">
        <f aca="false">IF(COUNT('Milho 1ª safra'!$E36:$Z36)=0,0,MAX(0,IF((V$6-$E$3)&lt;1,0,IFERROR(LOOKUP(2,1/('Milho 1ª safra'!$E36:INDEX('Milho 1ª safra'!$E36:$Z36,MIN(V$6-$E$3,22))&lt;&gt;""),'Milho 1ª safra'!$E36:INDEX('Milho 1ª safra'!$E36:$Z36,MIN(V$6-$E$3,22))),0))-IF($G$2,0,IF((V$6-$G$3)&lt;1,0,IFERROR(LOOKUP(2,1/('Milho 1ª safra'!$E36:INDEX('Milho 1ª safra'!$E36:$Z36,MIN(V$6-$G$3,22))&lt;&gt;""),'Milho 1ª safra'!$E36:INDEX('Milho 1ª safra'!$E36:$Z36,MIN(V$6-$G$3,22))),0)))))</f>
        <v>0</v>
      </c>
      <c r="W38" s="27" t="n">
        <f aca="false">IF(COUNT('Milho 1ª safra'!$E36:$Z36)=0,0,MAX(0,IF((W$6-$E$3)&lt;1,0,IFERROR(LOOKUP(2,1/('Milho 1ª safra'!$E36:INDEX('Milho 1ª safra'!$E36:$Z36,MIN(W$6-$E$3,22))&lt;&gt;""),'Milho 1ª safra'!$E36:INDEX('Milho 1ª safra'!$E36:$Z36,MIN(W$6-$E$3,22))),0))-IF($G$2,0,IF((W$6-$G$3)&lt;1,0,IFERROR(LOOKUP(2,1/('Milho 1ª safra'!$E36:INDEX('Milho 1ª safra'!$E36:$Z36,MIN(W$6-$G$3,22))&lt;&gt;""),'Milho 1ª safra'!$E36:INDEX('Milho 1ª safra'!$E36:$Z36,MIN(W$6-$G$3,22))),0)))))</f>
        <v>0</v>
      </c>
      <c r="X38" s="27" t="n">
        <f aca="false">IF(COUNT('Milho 1ª safra'!$E36:$Z36)=0,0,MAX(0,IF((X$6-$E$3)&lt;1,0,IFERROR(LOOKUP(2,1/('Milho 1ª safra'!$E36:INDEX('Milho 1ª safra'!$E36:$Z36,MIN(X$6-$E$3,22))&lt;&gt;""),'Milho 1ª safra'!$E36:INDEX('Milho 1ª safra'!$E36:$Z36,MIN(X$6-$E$3,22))),0))-IF($G$2,0,IF((X$6-$G$3)&lt;1,0,IFERROR(LOOKUP(2,1/('Milho 1ª safra'!$E36:INDEX('Milho 1ª safra'!$E36:$Z36,MIN(X$6-$G$3,22))&lt;&gt;""),'Milho 1ª safra'!$E36:INDEX('Milho 1ª safra'!$E36:$Z36,MIN(X$6-$G$3,22))),0)))))</f>
        <v>0</v>
      </c>
      <c r="Y38" s="27" t="n">
        <f aca="false">IF(COUNT('Milho 1ª safra'!$E36:$Z36)=0,0,MAX(0,IF((Y$6-$E$3)&lt;1,0,IFERROR(LOOKUP(2,1/('Milho 1ª safra'!$E36:INDEX('Milho 1ª safra'!$E36:$Z36,MIN(Y$6-$E$3,22))&lt;&gt;""),'Milho 1ª safra'!$E36:INDEX('Milho 1ª safra'!$E36:$Z36,MIN(Y$6-$E$3,22))),0))-IF($G$2,0,IF((Y$6-$G$3)&lt;1,0,IFERROR(LOOKUP(2,1/('Milho 1ª safra'!$E36:INDEX('Milho 1ª safra'!$E36:$Z36,MIN(Y$6-$G$3,22))&lt;&gt;""),'Milho 1ª safra'!$E36:INDEX('Milho 1ª safra'!$E36:$Z36,MIN(Y$6-$G$3,22))),0)))))</f>
        <v>0</v>
      </c>
      <c r="Z38" s="27" t="n">
        <f aca="false">IF(COUNT('Milho 1ª safra'!$E36:$Z36)=0,0,MAX(0,IF((Z$6-$E$3)&lt;1,0,IFERROR(LOOKUP(2,1/('Milho 1ª safra'!$E36:INDEX('Milho 1ª safra'!$E36:$Z36,MIN(Z$6-$E$3,22))&lt;&gt;""),'Milho 1ª safra'!$E36:INDEX('Milho 1ª safra'!$E36:$Z36,MIN(Z$6-$E$3,22))),0))-IF($G$2,0,IF((Z$6-$G$3)&lt;1,0,IFERROR(LOOKUP(2,1/('Milho 1ª safra'!$E36:INDEX('Milho 1ª safra'!$E36:$Z36,MIN(Z$6-$G$3,22))&lt;&gt;""),'Milho 1ª safra'!$E36:INDEX('Milho 1ª safra'!$E36:$Z36,MIN(Z$6-$G$3,22))),0)))))</f>
        <v>0</v>
      </c>
      <c r="AA38" s="27" t="n">
        <f aca="false">IF(COUNT('Milho 1ª safra'!$E36:$Z36)=0,0,MAX(0,IF((AA$6-$E$3)&lt;1,0,IFERROR(LOOKUP(2,1/('Milho 1ª safra'!$E36:INDEX('Milho 1ª safra'!$E36:$Z36,MIN(AA$6-$E$3,22))&lt;&gt;""),'Milho 1ª safra'!$E36:INDEX('Milho 1ª safra'!$E36:$Z36,MIN(AA$6-$E$3,22))),0))-IF($G$2,0,IF((AA$6-$G$3)&lt;1,0,IFERROR(LOOKUP(2,1/('Milho 1ª safra'!$E36:INDEX('Milho 1ª safra'!$E36:$Z36,MIN(AA$6-$G$3,22))&lt;&gt;""),'Milho 1ª safra'!$E36:INDEX('Milho 1ª safra'!$E36:$Z36,MIN(AA$6-$G$3,22))),0)))))</f>
        <v>0</v>
      </c>
      <c r="AB38" s="27" t="n">
        <f aca="false">IF(COUNT('Milho 1ª safra'!$E36:$Z36)=0,0,MAX(0,IF((AB$6-$E$3)&lt;1,0,IFERROR(LOOKUP(2,1/('Milho 1ª safra'!$E36:INDEX('Milho 1ª safra'!$E36:$Z36,MIN(AB$6-$E$3,22))&lt;&gt;""),'Milho 1ª safra'!$E36:INDEX('Milho 1ª safra'!$E36:$Z36,MIN(AB$6-$E$3,22))),0))-IF($G$2,0,IF((AB$6-$G$3)&lt;1,0,IFERROR(LOOKUP(2,1/('Milho 1ª safra'!$E36:INDEX('Milho 1ª safra'!$E36:$Z36,MIN(AB$6-$G$3,22))&lt;&gt;""),'Milho 1ª safra'!$E36:INDEX('Milho 1ª safra'!$E36:$Z36,MIN(AB$6-$G$3,22))),0)))))</f>
        <v>0</v>
      </c>
      <c r="AC38" s="27" t="n">
        <f aca="false">IF(COUNT('Milho 1ª safra'!$E36:$Z36)=0,0,MAX(0,IF((AC$6-$E$3)&lt;1,0,IFERROR(LOOKUP(2,1/('Milho 1ª safra'!$E36:INDEX('Milho 1ª safra'!$E36:$Z36,MIN(AC$6-$E$3,22))&lt;&gt;""),'Milho 1ª safra'!$E36:INDEX('Milho 1ª safra'!$E36:$Z36,MIN(AC$6-$E$3,22))),0))-IF($G$2,0,IF((AC$6-$G$3)&lt;1,0,IFERROR(LOOKUP(2,1/('Milho 1ª safra'!$E36:INDEX('Milho 1ª safra'!$E36:$Z36,MIN(AC$6-$G$3,22))&lt;&gt;""),'Milho 1ª safra'!$E36:INDEX('Milho 1ª safra'!$E36:$Z36,MIN(AC$6-$G$3,22))),0)))))</f>
        <v>0</v>
      </c>
      <c r="AD38" s="27" t="n">
        <f aca="false">IF(COUNT('Milho 1ª safra'!$E36:$Z36)=0,0,MAX(0,IF((AD$6-$E$3)&lt;1,0,IFERROR(LOOKUP(2,1/('Milho 1ª safra'!$E36:INDEX('Milho 1ª safra'!$E36:$Z36,MIN(AD$6-$E$3,22))&lt;&gt;""),'Milho 1ª safra'!$E36:INDEX('Milho 1ª safra'!$E36:$Z36,MIN(AD$6-$E$3,22))),0))-IF($G$2,0,IF((AD$6-$G$3)&lt;1,0,IFERROR(LOOKUP(2,1/('Milho 1ª safra'!$E36:INDEX('Milho 1ª safra'!$E36:$Z36,MIN(AD$6-$G$3,22))&lt;&gt;""),'Milho 1ª safra'!$E36:INDEX('Milho 1ª safra'!$E36:$Z36,MIN(AD$6-$G$3,22))),0)))))</f>
        <v>0</v>
      </c>
      <c r="AE38" s="27" t="n">
        <f aca="false">IF(COUNT('Milho 1ª safra'!$E36:$Z36)=0,0,MAX(0,IF((AE$6-$E$3)&lt;1,0,IFERROR(LOOKUP(2,1/('Milho 1ª safra'!$E36:INDEX('Milho 1ª safra'!$E36:$Z36,MIN(AE$6-$E$3,22))&lt;&gt;""),'Milho 1ª safra'!$E36:INDEX('Milho 1ª safra'!$E36:$Z36,MIN(AE$6-$E$3,22))),0))-IF($G$2,0,IF((AE$6-$G$3)&lt;1,0,IFERROR(LOOKUP(2,1/('Milho 1ª safra'!$E36:INDEX('Milho 1ª safra'!$E36:$Z36,MIN(AE$6-$G$3,22))&lt;&gt;""),'Milho 1ª safra'!$E36:INDEX('Milho 1ª safra'!$E36:$Z36,MIN(AE$6-$G$3,22))),0)))))</f>
        <v>0</v>
      </c>
      <c r="AF38" s="27" t="n">
        <f aca="false">IF(COUNT('Milho 1ª safra'!$E36:$Z36)=0,0,MAX(0,IF((AF$6-$E$3)&lt;1,0,IFERROR(LOOKUP(2,1/('Milho 1ª safra'!$E36:INDEX('Milho 1ª safra'!$E36:$Z36,MIN(AF$6-$E$3,22))&lt;&gt;""),'Milho 1ª safra'!$E36:INDEX('Milho 1ª safra'!$E36:$Z36,MIN(AF$6-$E$3,22))),0))-IF($G$2,0,IF((AF$6-$G$3)&lt;1,0,IFERROR(LOOKUP(2,1/('Milho 1ª safra'!$E36:INDEX('Milho 1ª safra'!$E36:$Z36,MIN(AF$6-$G$3,22))&lt;&gt;""),'Milho 1ª safra'!$E36:INDEX('Milho 1ª safra'!$E36:$Z36,MIN(AF$6-$G$3,22))),0)))))</f>
        <v>0</v>
      </c>
      <c r="AG38" s="27" t="n">
        <f aca="false">IF(COUNT('Milho 1ª safra'!$E36:$Z36)=0,0,MAX(0,IF((AG$6-$E$3)&lt;1,0,IFERROR(LOOKUP(2,1/('Milho 1ª safra'!$E36:INDEX('Milho 1ª safra'!$E36:$Z36,MIN(AG$6-$E$3,22))&lt;&gt;""),'Milho 1ª safra'!$E36:INDEX('Milho 1ª safra'!$E36:$Z36,MIN(AG$6-$E$3,22))),0))-IF($G$2,0,IF((AG$6-$G$3)&lt;1,0,IFERROR(LOOKUP(2,1/('Milho 1ª safra'!$E36:INDEX('Milho 1ª safra'!$E36:$Z36,MIN(AG$6-$G$3,22))&lt;&gt;""),'Milho 1ª safra'!$E36:INDEX('Milho 1ª safra'!$E36:$Z36,MIN(AG$6-$G$3,22))),0)))))</f>
        <v>0</v>
      </c>
      <c r="AH38" s="27" t="n">
        <f aca="false">IF(COUNT('Milho 1ª safra'!$E36:$Z36)=0,0,MAX(0,IF((AH$6-$E$3)&lt;1,0,IFERROR(LOOKUP(2,1/('Milho 1ª safra'!$E36:INDEX('Milho 1ª safra'!$E36:$Z36,MIN(AH$6-$E$3,22))&lt;&gt;""),'Milho 1ª safra'!$E36:INDEX('Milho 1ª safra'!$E36:$Z36,MIN(AH$6-$E$3,22))),0))-IF($G$2,0,IF((AH$6-$G$3)&lt;1,0,IFERROR(LOOKUP(2,1/('Milho 1ª safra'!$E36:INDEX('Milho 1ª safra'!$E36:$Z36,MIN(AH$6-$G$3,22))&lt;&gt;""),'Milho 1ª safra'!$E36:INDEX('Milho 1ª safra'!$E36:$Z36,MIN(AH$6-$G$3,22))),0)))))</f>
        <v>0</v>
      </c>
      <c r="AI38" s="27" t="n">
        <f aca="false">IF(COUNT('Milho 1ª safra'!$E36:$Z36)=0,0,MAX(0,IF((AI$6-$E$3)&lt;1,0,IFERROR(LOOKUP(2,1/('Milho 1ª safra'!$E36:INDEX('Milho 1ª safra'!$E36:$Z36,MIN(AI$6-$E$3,22))&lt;&gt;""),'Milho 1ª safra'!$E36:INDEX('Milho 1ª safra'!$E36:$Z36,MIN(AI$6-$E$3,22))),0))-IF($G$2,0,IF((AI$6-$G$3)&lt;1,0,IFERROR(LOOKUP(2,1/('Milho 1ª safra'!$E36:INDEX('Milho 1ª safra'!$E36:$Z36,MIN(AI$6-$G$3,22))&lt;&gt;""),'Milho 1ª safra'!$E36:INDEX('Milho 1ª safra'!$E36:$Z36,MIN(AI$6-$G$3,22))),0)))))</f>
        <v>0</v>
      </c>
      <c r="AJ38" s="27" t="n">
        <f aca="false">IF(COUNT('Milho 1ª safra'!$E36:$Z36)=0,0,MAX(0,IF((AJ$6-$E$3)&lt;1,0,IFERROR(LOOKUP(2,1/('Milho 1ª safra'!$E36:INDEX('Milho 1ª safra'!$E36:$Z36,MIN(AJ$6-$E$3,22))&lt;&gt;""),'Milho 1ª safra'!$E36:INDEX('Milho 1ª safra'!$E36:$Z36,MIN(AJ$6-$E$3,22))),0))-IF($G$2,0,IF((AJ$6-$G$3)&lt;1,0,IFERROR(LOOKUP(2,1/('Milho 1ª safra'!$E36:INDEX('Milho 1ª safra'!$E36:$Z36,MIN(AJ$6-$G$3,22))&lt;&gt;""),'Milho 1ª safra'!$E36:INDEX('Milho 1ª safra'!$E36:$Z36,MIN(AJ$6-$G$3,22))),0)))))</f>
        <v>0</v>
      </c>
      <c r="AK38" s="27" t="n">
        <f aca="false">IF(COUNT('Milho 1ª safra'!$E36:$Z36)=0,0,MAX(0,IF((AK$6-$E$3)&lt;1,0,IFERROR(LOOKUP(2,1/('Milho 1ª safra'!$E36:INDEX('Milho 1ª safra'!$E36:$Z36,MIN(AK$6-$E$3,22))&lt;&gt;""),'Milho 1ª safra'!$E36:INDEX('Milho 1ª safra'!$E36:$Z36,MIN(AK$6-$E$3,22))),0))-IF($G$2,0,IF((AK$6-$G$3)&lt;1,0,IFERROR(LOOKUP(2,1/('Milho 1ª safra'!$E36:INDEX('Milho 1ª safra'!$E36:$Z36,MIN(AK$6-$G$3,22))&lt;&gt;""),'Milho 1ª safra'!$E36:INDEX('Milho 1ª safra'!$E36:$Z36,MIN(AK$6-$G$3,22))),0)))))</f>
        <v>0</v>
      </c>
      <c r="AL38" s="27" t="n">
        <f aca="false">IF(COUNT('Milho 1ª safra'!$E36:$Z36)=0,0,MAX(0,IF((AL$6-$E$3)&lt;1,0,IFERROR(LOOKUP(2,1/('Milho 1ª safra'!$E36:INDEX('Milho 1ª safra'!$E36:$Z36,MIN(AL$6-$E$3,22))&lt;&gt;""),'Milho 1ª safra'!$E36:INDEX('Milho 1ª safra'!$E36:$Z36,MIN(AL$6-$E$3,22))),0))-IF($G$2,0,IF((AL$6-$G$3)&lt;1,0,IFERROR(LOOKUP(2,1/('Milho 1ª safra'!$E36:INDEX('Milho 1ª safra'!$E36:$Z36,MIN(AL$6-$G$3,22))&lt;&gt;""),'Milho 1ª safra'!$E36:INDEX('Milho 1ª safra'!$E36:$Z36,MIN(AL$6-$G$3,22))),0)))))</f>
        <v>0</v>
      </c>
      <c r="AM38" s="27" t="n">
        <f aca="false">IF(COUNT('Milho 1ª safra'!$E36:$Z36)=0,0,MAX(0,IF((AM$6-$E$3)&lt;1,0,IFERROR(LOOKUP(2,1/('Milho 1ª safra'!$E36:INDEX('Milho 1ª safra'!$E36:$Z36,MIN(AM$6-$E$3,22))&lt;&gt;""),'Milho 1ª safra'!$E36:INDEX('Milho 1ª safra'!$E36:$Z36,MIN(AM$6-$E$3,22))),0))-IF($G$2,0,IF((AM$6-$G$3)&lt;1,0,IFERROR(LOOKUP(2,1/('Milho 1ª safra'!$E36:INDEX('Milho 1ª safra'!$E36:$Z36,MIN(AM$6-$G$3,22))&lt;&gt;""),'Milho 1ª safra'!$E36:INDEX('Milho 1ª safra'!$E36:$Z36,MIN(AM$6-$G$3,22))),0)))))</f>
        <v>0</v>
      </c>
      <c r="AN38" s="27" t="n">
        <f aca="false">IF(COUNT('Milho 1ª safra'!$E36:$Z36)=0,0,MAX(0,IF((AN$6-$E$3)&lt;1,0,IFERROR(LOOKUP(2,1/('Milho 1ª safra'!$E36:INDEX('Milho 1ª safra'!$E36:$Z36,MIN(AN$6-$E$3,22))&lt;&gt;""),'Milho 1ª safra'!$E36:INDEX('Milho 1ª safra'!$E36:$Z36,MIN(AN$6-$E$3,22))),0))-IF($G$2,0,IF((AN$6-$G$3)&lt;1,0,IFERROR(LOOKUP(2,1/('Milho 1ª safra'!$E36:INDEX('Milho 1ª safra'!$E36:$Z36,MIN(AN$6-$G$3,22))&lt;&gt;""),'Milho 1ª safra'!$E36:INDEX('Milho 1ª safra'!$E36:$Z36,MIN(AN$6-$G$3,22))),0)))))</f>
        <v>0</v>
      </c>
      <c r="AO38" s="27" t="n">
        <f aca="false">IF(COUNT('Milho 1ª safra'!$E36:$Z36)=0,0,MAX(0,IF((AO$6-$E$3)&lt;1,0,IFERROR(LOOKUP(2,1/('Milho 1ª safra'!$E36:INDEX('Milho 1ª safra'!$E36:$Z36,MIN(AO$6-$E$3,22))&lt;&gt;""),'Milho 1ª safra'!$E36:INDEX('Milho 1ª safra'!$E36:$Z36,MIN(AO$6-$E$3,22))),0))-IF($G$2,0,IF((AO$6-$G$3)&lt;1,0,IFERROR(LOOKUP(2,1/('Milho 1ª safra'!$E36:INDEX('Milho 1ª safra'!$E36:$Z36,MIN(AO$6-$G$3,22))&lt;&gt;""),'Milho 1ª safra'!$E36:INDEX('Milho 1ª safra'!$E36:$Z36,MIN(AO$6-$G$3,22))),0)))))</f>
        <v>0</v>
      </c>
      <c r="AP38" s="27" t="n">
        <f aca="false">IF(COUNT('Milho 1ª safra'!$E36:$Z36)=0,0,MAX(0,IF((AP$6-$E$3)&lt;1,0,IFERROR(LOOKUP(2,1/('Milho 1ª safra'!$E36:INDEX('Milho 1ª safra'!$E36:$Z36,MIN(AP$6-$E$3,22))&lt;&gt;""),'Milho 1ª safra'!$E36:INDEX('Milho 1ª safra'!$E36:$Z36,MIN(AP$6-$E$3,22))),0))-IF($G$2,0,IF((AP$6-$G$3)&lt;1,0,IFERROR(LOOKUP(2,1/('Milho 1ª safra'!$E36:INDEX('Milho 1ª safra'!$E36:$Z36,MIN(AP$6-$G$3,22))&lt;&gt;""),'Milho 1ª safra'!$E36:INDEX('Milho 1ª safra'!$E36:$Z36,MIN(AP$6-$G$3,22))),0)))))</f>
        <v>0</v>
      </c>
      <c r="AQ38" s="27" t="n">
        <f aca="false">IF(COUNT('Milho 1ª safra'!$E36:$Z36)=0,0,MAX(0,IF((AQ$6-$E$3)&lt;1,0,IFERROR(LOOKUP(2,1/('Milho 1ª safra'!$E36:INDEX('Milho 1ª safra'!$E36:$Z36,MIN(AQ$6-$E$3,22))&lt;&gt;""),'Milho 1ª safra'!$E36:INDEX('Milho 1ª safra'!$E36:$Z36,MIN(AQ$6-$E$3,22))),0))-IF($G$2,0,IF((AQ$6-$G$3)&lt;1,0,IFERROR(LOOKUP(2,1/('Milho 1ª safra'!$E36:INDEX('Milho 1ª safra'!$E36:$Z36,MIN(AQ$6-$G$3,22))&lt;&gt;""),'Milho 1ª safra'!$E36:INDEX('Milho 1ª safra'!$E36:$Z36,MIN(AQ$6-$G$3,22))),0)))))</f>
        <v>0</v>
      </c>
      <c r="AR38" s="27" t="n">
        <f aca="false">IF(COUNT('Milho 1ª safra'!$E36:$Z36)=0,0,MAX(0,IF((AR$6-$E$3)&lt;1,0,IFERROR(LOOKUP(2,1/('Milho 1ª safra'!$E36:INDEX('Milho 1ª safra'!$E36:$Z36,MIN(AR$6-$E$3,22))&lt;&gt;""),'Milho 1ª safra'!$E36:INDEX('Milho 1ª safra'!$E36:$Z36,MIN(AR$6-$E$3,22))),0))-IF($G$2,0,IF((AR$6-$G$3)&lt;1,0,IFERROR(LOOKUP(2,1/('Milho 1ª safra'!$E36:INDEX('Milho 1ª safra'!$E36:$Z36,MIN(AR$6-$G$3,22))&lt;&gt;""),'Milho 1ª safra'!$E36:INDEX('Milho 1ª safra'!$E36:$Z36,MIN(AR$6-$G$3,22))),0)))))</f>
        <v>0</v>
      </c>
      <c r="AS38" s="27" t="n">
        <f aca="false">IF(COUNT('Milho 1ª safra'!$E36:$Z36)=0,0,MAX(0,IF((AS$6-$E$3)&lt;1,0,IFERROR(LOOKUP(2,1/('Milho 1ª safra'!$E36:INDEX('Milho 1ª safra'!$E36:$Z36,MIN(AS$6-$E$3,22))&lt;&gt;""),'Milho 1ª safra'!$E36:INDEX('Milho 1ª safra'!$E36:$Z36,MIN(AS$6-$E$3,22))),0))-IF($G$2,0,IF((AS$6-$G$3)&lt;1,0,IFERROR(LOOKUP(2,1/('Milho 1ª safra'!$E36:INDEX('Milho 1ª safra'!$E36:$Z36,MIN(AS$6-$G$3,22))&lt;&gt;""),'Milho 1ª safra'!$E36:INDEX('Milho 1ª safra'!$E36:$Z36,MIN(AS$6-$G$3,22))),0)))))</f>
        <v>0</v>
      </c>
      <c r="AT38" s="27" t="n">
        <f aca="false">IF(COUNT('Milho 1ª safra'!$E36:$Z36)=0,0,MAX(0,IF((AT$6-$E$3)&lt;1,0,IFERROR(LOOKUP(2,1/('Milho 1ª safra'!$E36:INDEX('Milho 1ª safra'!$E36:$Z36,MIN(AT$6-$E$3,22))&lt;&gt;""),'Milho 1ª safra'!$E36:INDEX('Milho 1ª safra'!$E36:$Z36,MIN(AT$6-$E$3,22))),0))-IF($G$2,0,IF((AT$6-$G$3)&lt;1,0,IFERROR(LOOKUP(2,1/('Milho 1ª safra'!$E36:INDEX('Milho 1ª safra'!$E36:$Z36,MIN(AT$6-$G$3,22))&lt;&gt;""),'Milho 1ª safra'!$E36:INDEX('Milho 1ª safra'!$E36:$Z36,MIN(AT$6-$G$3,22))),0)))))</f>
        <v>0</v>
      </c>
      <c r="AU38" s="27" t="n">
        <f aca="false">IF(COUNT('Milho 1ª safra'!$E36:$Z36)=0,0,MAX(0,IF((AU$6-$E$3)&lt;1,0,IFERROR(LOOKUP(2,1/('Milho 1ª safra'!$E36:INDEX('Milho 1ª safra'!$E36:$Z36,MIN(AU$6-$E$3,22))&lt;&gt;""),'Milho 1ª safra'!$E36:INDEX('Milho 1ª safra'!$E36:$Z36,MIN(AU$6-$E$3,22))),0))-IF($G$2,0,IF((AU$6-$G$3)&lt;1,0,IFERROR(LOOKUP(2,1/('Milho 1ª safra'!$E36:INDEX('Milho 1ª safra'!$E36:$Z36,MIN(AU$6-$G$3,22))&lt;&gt;""),'Milho 1ª safra'!$E36:INDEX('Milho 1ª safra'!$E36:$Z36,MIN(AU$6-$G$3,22))),0)))))</f>
        <v>0</v>
      </c>
      <c r="AV38" s="27" t="n">
        <f aca="false">IF(COUNT('Milho 1ª safra'!$E36:$Z36)=0,0,MAX(0,IF((AV$6-$E$3)&lt;1,0,IFERROR(LOOKUP(2,1/('Milho 1ª safra'!$E36:INDEX('Milho 1ª safra'!$E36:$Z36,MIN(AV$6-$E$3,22))&lt;&gt;""),'Milho 1ª safra'!$E36:INDEX('Milho 1ª safra'!$E36:$Z36,MIN(AV$6-$E$3,22))),0))-IF($G$2,0,IF((AV$6-$G$3)&lt;1,0,IFERROR(LOOKUP(2,1/('Milho 1ª safra'!$E36:INDEX('Milho 1ª safra'!$E36:$Z36,MIN(AV$6-$G$3,22))&lt;&gt;""),'Milho 1ª safra'!$E36:INDEX('Milho 1ª safra'!$E36:$Z36,MIN(AV$6-$G$3,22))),0)))))</f>
        <v>0</v>
      </c>
      <c r="AW38" s="27" t="n">
        <f aca="false">IF(COUNT('Milho 1ª safra'!$E36:$Z36)=0,0,MAX(0,IF((AW$6-$E$3)&lt;1,0,IFERROR(LOOKUP(2,1/('Milho 1ª safra'!$E36:INDEX('Milho 1ª safra'!$E36:$Z36,MIN(AW$6-$E$3,22))&lt;&gt;""),'Milho 1ª safra'!$E36:INDEX('Milho 1ª safra'!$E36:$Z36,MIN(AW$6-$E$3,22))),0))-IF($G$2,0,IF((AW$6-$G$3)&lt;1,0,IFERROR(LOOKUP(2,1/('Milho 1ª safra'!$E36:INDEX('Milho 1ª safra'!$E36:$Z36,MIN(AW$6-$G$3,22))&lt;&gt;""),'Milho 1ª safra'!$E36:INDEX('Milho 1ª safra'!$E36:$Z36,MIN(AW$6-$G$3,22))),0)))))</f>
        <v>0</v>
      </c>
      <c r="AX38" s="27" t="n">
        <f aca="false">IF(COUNT('Milho 1ª safra'!$E36:$Z36)=0,0,MAX(0,IF((AX$6-$E$3)&lt;1,0,IFERROR(LOOKUP(2,1/('Milho 1ª safra'!$E36:INDEX('Milho 1ª safra'!$E36:$Z36,MIN(AX$6-$E$3,22))&lt;&gt;""),'Milho 1ª safra'!$E36:INDEX('Milho 1ª safra'!$E36:$Z36,MIN(AX$6-$E$3,22))),0))-IF($G$2,0,IF((AX$6-$G$3)&lt;1,0,IFERROR(LOOKUP(2,1/('Milho 1ª safra'!$E36:INDEX('Milho 1ª safra'!$E36:$Z36,MIN(AX$6-$G$3,22))&lt;&gt;""),'Milho 1ª safra'!$E36:INDEX('Milho 1ª safra'!$E36:$Z36,MIN(AX$6-$G$3,22))),0)))))</f>
        <v>0</v>
      </c>
      <c r="AY38" s="27" t="n">
        <f aca="false">IF(COUNT('Milho 1ª safra'!$E36:$Z36)=0,0,MAX(0,IF((AY$6-$E$3)&lt;1,0,IFERROR(LOOKUP(2,1/('Milho 1ª safra'!$E36:INDEX('Milho 1ª safra'!$E36:$Z36,MIN(AY$6-$E$3,22))&lt;&gt;""),'Milho 1ª safra'!$E36:INDEX('Milho 1ª safra'!$E36:$Z36,MIN(AY$6-$E$3,22))),0))-IF($G$2,0,IF((AY$6-$G$3)&lt;1,0,IFERROR(LOOKUP(2,1/('Milho 1ª safra'!$E36:INDEX('Milho 1ª safra'!$E36:$Z36,MIN(AY$6-$G$3,22))&lt;&gt;""),'Milho 1ª safra'!$E36:INDEX('Milho 1ª safra'!$E36:$Z36,MIN(AY$6-$G$3,22))),0)))))</f>
        <v>0</v>
      </c>
      <c r="AZ38" s="27" t="n">
        <f aca="false">IF(COUNT('Milho 1ª safra'!$E36:$Z36)=0,0,MAX(0,IF((AZ$6-$E$3)&lt;1,0,IFERROR(LOOKUP(2,1/('Milho 1ª safra'!$E36:INDEX('Milho 1ª safra'!$E36:$Z36,MIN(AZ$6-$E$3,22))&lt;&gt;""),'Milho 1ª safra'!$E36:INDEX('Milho 1ª safra'!$E36:$Z36,MIN(AZ$6-$E$3,22))),0))-IF($G$2,0,IF((AZ$6-$G$3)&lt;1,0,IFERROR(LOOKUP(2,1/('Milho 1ª safra'!$E36:INDEX('Milho 1ª safra'!$E36:$Z36,MIN(AZ$6-$G$3,22))&lt;&gt;""),'Milho 1ª safra'!$E36:INDEX('Milho 1ª safra'!$E36:$Z36,MIN(AZ$6-$G$3,22))),0)))))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IF(COUNT('Milho 1ª safra'!$E37:$Z37)&gt;0,N('Milho 1ª safra'!$D37),0)</f>
        <v>0</v>
      </c>
      <c r="E39" s="27" t="n">
        <f aca="false">IF(COUNT('Milho 1ª safra'!$E37:$Z37)=0,0,MAX(0,IF((E$6-$E$3)&lt;1,0,IFERROR(LOOKUP(2,1/('Milho 1ª safra'!$E37:INDEX('Milho 1ª safra'!$E37:$Z37,MIN(E$6-$E$3,22))&lt;&gt;""),'Milho 1ª safra'!$E37:INDEX('Milho 1ª safra'!$E37:$Z37,MIN(E$6-$E$3,22))),0))-IF($G$2,0,IF((E$6-$G$3)&lt;1,0,IFERROR(LOOKUP(2,1/('Milho 1ª safra'!$E37:INDEX('Milho 1ª safra'!$E37:$Z37,MIN(E$6-$G$3,22))&lt;&gt;""),'Milho 1ª safra'!$E37:INDEX('Milho 1ª safra'!$E37:$Z37,MIN(E$6-$G$3,22))),0)))))</f>
        <v>0</v>
      </c>
      <c r="F39" s="27" t="n">
        <f aca="false">IF(COUNT('Milho 1ª safra'!$E37:$Z37)=0,0,MAX(0,IF((F$6-$E$3)&lt;1,0,IFERROR(LOOKUP(2,1/('Milho 1ª safra'!$E37:INDEX('Milho 1ª safra'!$E37:$Z37,MIN(F$6-$E$3,22))&lt;&gt;""),'Milho 1ª safra'!$E37:INDEX('Milho 1ª safra'!$E37:$Z37,MIN(F$6-$E$3,22))),0))-IF($G$2,0,IF((F$6-$G$3)&lt;1,0,IFERROR(LOOKUP(2,1/('Milho 1ª safra'!$E37:INDEX('Milho 1ª safra'!$E37:$Z37,MIN(F$6-$G$3,22))&lt;&gt;""),'Milho 1ª safra'!$E37:INDEX('Milho 1ª safra'!$E37:$Z37,MIN(F$6-$G$3,22))),0)))))</f>
        <v>0</v>
      </c>
      <c r="G39" s="27" t="n">
        <f aca="false">IF(COUNT('Milho 1ª safra'!$E37:$Z37)=0,0,MAX(0,IF((G$6-$E$3)&lt;1,0,IFERROR(LOOKUP(2,1/('Milho 1ª safra'!$E37:INDEX('Milho 1ª safra'!$E37:$Z37,MIN(G$6-$E$3,22))&lt;&gt;""),'Milho 1ª safra'!$E37:INDEX('Milho 1ª safra'!$E37:$Z37,MIN(G$6-$E$3,22))),0))-IF($G$2,0,IF((G$6-$G$3)&lt;1,0,IFERROR(LOOKUP(2,1/('Milho 1ª safra'!$E37:INDEX('Milho 1ª safra'!$E37:$Z37,MIN(G$6-$G$3,22))&lt;&gt;""),'Milho 1ª safra'!$E37:INDEX('Milho 1ª safra'!$E37:$Z37,MIN(G$6-$G$3,22))),0)))))</f>
        <v>0</v>
      </c>
      <c r="H39" s="27" t="n">
        <f aca="false">IF(COUNT('Milho 1ª safra'!$E37:$Z37)=0,0,MAX(0,IF((H$6-$E$3)&lt;1,0,IFERROR(LOOKUP(2,1/('Milho 1ª safra'!$E37:INDEX('Milho 1ª safra'!$E37:$Z37,MIN(H$6-$E$3,22))&lt;&gt;""),'Milho 1ª safra'!$E37:INDEX('Milho 1ª safra'!$E37:$Z37,MIN(H$6-$E$3,22))),0))-IF($G$2,0,IF((H$6-$G$3)&lt;1,0,IFERROR(LOOKUP(2,1/('Milho 1ª safra'!$E37:INDEX('Milho 1ª safra'!$E37:$Z37,MIN(H$6-$G$3,22))&lt;&gt;""),'Milho 1ª safra'!$E37:INDEX('Milho 1ª safra'!$E37:$Z37,MIN(H$6-$G$3,22))),0)))))</f>
        <v>0</v>
      </c>
      <c r="I39" s="27" t="n">
        <f aca="false">IF(COUNT('Milho 1ª safra'!$E37:$Z37)=0,0,MAX(0,IF((I$6-$E$3)&lt;1,0,IFERROR(LOOKUP(2,1/('Milho 1ª safra'!$E37:INDEX('Milho 1ª safra'!$E37:$Z37,MIN(I$6-$E$3,22))&lt;&gt;""),'Milho 1ª safra'!$E37:INDEX('Milho 1ª safra'!$E37:$Z37,MIN(I$6-$E$3,22))),0))-IF($G$2,0,IF((I$6-$G$3)&lt;1,0,IFERROR(LOOKUP(2,1/('Milho 1ª safra'!$E37:INDEX('Milho 1ª safra'!$E37:$Z37,MIN(I$6-$G$3,22))&lt;&gt;""),'Milho 1ª safra'!$E37:INDEX('Milho 1ª safra'!$E37:$Z37,MIN(I$6-$G$3,22))),0)))))</f>
        <v>0</v>
      </c>
      <c r="J39" s="27" t="n">
        <f aca="false">IF(COUNT('Milho 1ª safra'!$E37:$Z37)=0,0,MAX(0,IF((J$6-$E$3)&lt;1,0,IFERROR(LOOKUP(2,1/('Milho 1ª safra'!$E37:INDEX('Milho 1ª safra'!$E37:$Z37,MIN(J$6-$E$3,22))&lt;&gt;""),'Milho 1ª safra'!$E37:INDEX('Milho 1ª safra'!$E37:$Z37,MIN(J$6-$E$3,22))),0))-IF($G$2,0,IF((J$6-$G$3)&lt;1,0,IFERROR(LOOKUP(2,1/('Milho 1ª safra'!$E37:INDEX('Milho 1ª safra'!$E37:$Z37,MIN(J$6-$G$3,22))&lt;&gt;""),'Milho 1ª safra'!$E37:INDEX('Milho 1ª safra'!$E37:$Z37,MIN(J$6-$G$3,22))),0)))))</f>
        <v>0</v>
      </c>
      <c r="K39" s="27" t="n">
        <f aca="false">IF(COUNT('Milho 1ª safra'!$E37:$Z37)=0,0,MAX(0,IF((K$6-$E$3)&lt;1,0,IFERROR(LOOKUP(2,1/('Milho 1ª safra'!$E37:INDEX('Milho 1ª safra'!$E37:$Z37,MIN(K$6-$E$3,22))&lt;&gt;""),'Milho 1ª safra'!$E37:INDEX('Milho 1ª safra'!$E37:$Z37,MIN(K$6-$E$3,22))),0))-IF($G$2,0,IF((K$6-$G$3)&lt;1,0,IFERROR(LOOKUP(2,1/('Milho 1ª safra'!$E37:INDEX('Milho 1ª safra'!$E37:$Z37,MIN(K$6-$G$3,22))&lt;&gt;""),'Milho 1ª safra'!$E37:INDEX('Milho 1ª safra'!$E37:$Z37,MIN(K$6-$G$3,22))),0)))))</f>
        <v>0</v>
      </c>
      <c r="L39" s="27" t="n">
        <f aca="false">IF(COUNT('Milho 1ª safra'!$E37:$Z37)=0,0,MAX(0,IF((L$6-$E$3)&lt;1,0,IFERROR(LOOKUP(2,1/('Milho 1ª safra'!$E37:INDEX('Milho 1ª safra'!$E37:$Z37,MIN(L$6-$E$3,22))&lt;&gt;""),'Milho 1ª safra'!$E37:INDEX('Milho 1ª safra'!$E37:$Z37,MIN(L$6-$E$3,22))),0))-IF($G$2,0,IF((L$6-$G$3)&lt;1,0,IFERROR(LOOKUP(2,1/('Milho 1ª safra'!$E37:INDEX('Milho 1ª safra'!$E37:$Z37,MIN(L$6-$G$3,22))&lt;&gt;""),'Milho 1ª safra'!$E37:INDEX('Milho 1ª safra'!$E37:$Z37,MIN(L$6-$G$3,22))),0)))))</f>
        <v>0</v>
      </c>
      <c r="M39" s="27" t="n">
        <f aca="false">IF(COUNT('Milho 1ª safra'!$E37:$Z37)=0,0,MAX(0,IF((M$6-$E$3)&lt;1,0,IFERROR(LOOKUP(2,1/('Milho 1ª safra'!$E37:INDEX('Milho 1ª safra'!$E37:$Z37,MIN(M$6-$E$3,22))&lt;&gt;""),'Milho 1ª safra'!$E37:INDEX('Milho 1ª safra'!$E37:$Z37,MIN(M$6-$E$3,22))),0))-IF($G$2,0,IF((M$6-$G$3)&lt;1,0,IFERROR(LOOKUP(2,1/('Milho 1ª safra'!$E37:INDEX('Milho 1ª safra'!$E37:$Z37,MIN(M$6-$G$3,22))&lt;&gt;""),'Milho 1ª safra'!$E37:INDEX('Milho 1ª safra'!$E37:$Z37,MIN(M$6-$G$3,22))),0)))))</f>
        <v>0</v>
      </c>
      <c r="N39" s="27" t="n">
        <f aca="false">IF(COUNT('Milho 1ª safra'!$E37:$Z37)=0,0,MAX(0,IF((N$6-$E$3)&lt;1,0,IFERROR(LOOKUP(2,1/('Milho 1ª safra'!$E37:INDEX('Milho 1ª safra'!$E37:$Z37,MIN(N$6-$E$3,22))&lt;&gt;""),'Milho 1ª safra'!$E37:INDEX('Milho 1ª safra'!$E37:$Z37,MIN(N$6-$E$3,22))),0))-IF($G$2,0,IF((N$6-$G$3)&lt;1,0,IFERROR(LOOKUP(2,1/('Milho 1ª safra'!$E37:INDEX('Milho 1ª safra'!$E37:$Z37,MIN(N$6-$G$3,22))&lt;&gt;""),'Milho 1ª safra'!$E37:INDEX('Milho 1ª safra'!$E37:$Z37,MIN(N$6-$G$3,22))),0)))))</f>
        <v>0</v>
      </c>
      <c r="O39" s="27" t="n">
        <f aca="false">IF(COUNT('Milho 1ª safra'!$E37:$Z37)=0,0,MAX(0,IF((O$6-$E$3)&lt;1,0,IFERROR(LOOKUP(2,1/('Milho 1ª safra'!$E37:INDEX('Milho 1ª safra'!$E37:$Z37,MIN(O$6-$E$3,22))&lt;&gt;""),'Milho 1ª safra'!$E37:INDEX('Milho 1ª safra'!$E37:$Z37,MIN(O$6-$E$3,22))),0))-IF($G$2,0,IF((O$6-$G$3)&lt;1,0,IFERROR(LOOKUP(2,1/('Milho 1ª safra'!$E37:INDEX('Milho 1ª safra'!$E37:$Z37,MIN(O$6-$G$3,22))&lt;&gt;""),'Milho 1ª safra'!$E37:INDEX('Milho 1ª safra'!$E37:$Z37,MIN(O$6-$G$3,22))),0)))))</f>
        <v>0</v>
      </c>
      <c r="P39" s="27" t="n">
        <f aca="false">IF(COUNT('Milho 1ª safra'!$E37:$Z37)=0,0,MAX(0,IF((P$6-$E$3)&lt;1,0,IFERROR(LOOKUP(2,1/('Milho 1ª safra'!$E37:INDEX('Milho 1ª safra'!$E37:$Z37,MIN(P$6-$E$3,22))&lt;&gt;""),'Milho 1ª safra'!$E37:INDEX('Milho 1ª safra'!$E37:$Z37,MIN(P$6-$E$3,22))),0))-IF($G$2,0,IF((P$6-$G$3)&lt;1,0,IFERROR(LOOKUP(2,1/('Milho 1ª safra'!$E37:INDEX('Milho 1ª safra'!$E37:$Z37,MIN(P$6-$G$3,22))&lt;&gt;""),'Milho 1ª safra'!$E37:INDEX('Milho 1ª safra'!$E37:$Z37,MIN(P$6-$G$3,22))),0)))))</f>
        <v>0</v>
      </c>
      <c r="Q39" s="27" t="n">
        <f aca="false">IF(COUNT('Milho 1ª safra'!$E37:$Z37)=0,0,MAX(0,IF((Q$6-$E$3)&lt;1,0,IFERROR(LOOKUP(2,1/('Milho 1ª safra'!$E37:INDEX('Milho 1ª safra'!$E37:$Z37,MIN(Q$6-$E$3,22))&lt;&gt;""),'Milho 1ª safra'!$E37:INDEX('Milho 1ª safra'!$E37:$Z37,MIN(Q$6-$E$3,22))),0))-IF($G$2,0,IF((Q$6-$G$3)&lt;1,0,IFERROR(LOOKUP(2,1/('Milho 1ª safra'!$E37:INDEX('Milho 1ª safra'!$E37:$Z37,MIN(Q$6-$G$3,22))&lt;&gt;""),'Milho 1ª safra'!$E37:INDEX('Milho 1ª safra'!$E37:$Z37,MIN(Q$6-$G$3,22))),0)))))</f>
        <v>0</v>
      </c>
      <c r="R39" s="27" t="n">
        <f aca="false">IF(COUNT('Milho 1ª safra'!$E37:$Z37)=0,0,MAX(0,IF((R$6-$E$3)&lt;1,0,IFERROR(LOOKUP(2,1/('Milho 1ª safra'!$E37:INDEX('Milho 1ª safra'!$E37:$Z37,MIN(R$6-$E$3,22))&lt;&gt;""),'Milho 1ª safra'!$E37:INDEX('Milho 1ª safra'!$E37:$Z37,MIN(R$6-$E$3,22))),0))-IF($G$2,0,IF((R$6-$G$3)&lt;1,0,IFERROR(LOOKUP(2,1/('Milho 1ª safra'!$E37:INDEX('Milho 1ª safra'!$E37:$Z37,MIN(R$6-$G$3,22))&lt;&gt;""),'Milho 1ª safra'!$E37:INDEX('Milho 1ª safra'!$E37:$Z37,MIN(R$6-$G$3,22))),0)))))</f>
        <v>0</v>
      </c>
      <c r="S39" s="27" t="n">
        <f aca="false">IF(COUNT('Milho 1ª safra'!$E37:$Z37)=0,0,MAX(0,IF((S$6-$E$3)&lt;1,0,IFERROR(LOOKUP(2,1/('Milho 1ª safra'!$E37:INDEX('Milho 1ª safra'!$E37:$Z37,MIN(S$6-$E$3,22))&lt;&gt;""),'Milho 1ª safra'!$E37:INDEX('Milho 1ª safra'!$E37:$Z37,MIN(S$6-$E$3,22))),0))-IF($G$2,0,IF((S$6-$G$3)&lt;1,0,IFERROR(LOOKUP(2,1/('Milho 1ª safra'!$E37:INDEX('Milho 1ª safra'!$E37:$Z37,MIN(S$6-$G$3,22))&lt;&gt;""),'Milho 1ª safra'!$E37:INDEX('Milho 1ª safra'!$E37:$Z37,MIN(S$6-$G$3,22))),0)))))</f>
        <v>0</v>
      </c>
      <c r="T39" s="27" t="n">
        <f aca="false">IF(COUNT('Milho 1ª safra'!$E37:$Z37)=0,0,MAX(0,IF((T$6-$E$3)&lt;1,0,IFERROR(LOOKUP(2,1/('Milho 1ª safra'!$E37:INDEX('Milho 1ª safra'!$E37:$Z37,MIN(T$6-$E$3,22))&lt;&gt;""),'Milho 1ª safra'!$E37:INDEX('Milho 1ª safra'!$E37:$Z37,MIN(T$6-$E$3,22))),0))-IF($G$2,0,IF((T$6-$G$3)&lt;1,0,IFERROR(LOOKUP(2,1/('Milho 1ª safra'!$E37:INDEX('Milho 1ª safra'!$E37:$Z37,MIN(T$6-$G$3,22))&lt;&gt;""),'Milho 1ª safra'!$E37:INDEX('Milho 1ª safra'!$E37:$Z37,MIN(T$6-$G$3,22))),0)))))</f>
        <v>0</v>
      </c>
      <c r="U39" s="27" t="n">
        <f aca="false">IF(COUNT('Milho 1ª safra'!$E37:$Z37)=0,0,MAX(0,IF((U$6-$E$3)&lt;1,0,IFERROR(LOOKUP(2,1/('Milho 1ª safra'!$E37:INDEX('Milho 1ª safra'!$E37:$Z37,MIN(U$6-$E$3,22))&lt;&gt;""),'Milho 1ª safra'!$E37:INDEX('Milho 1ª safra'!$E37:$Z37,MIN(U$6-$E$3,22))),0))-IF($G$2,0,IF((U$6-$G$3)&lt;1,0,IFERROR(LOOKUP(2,1/('Milho 1ª safra'!$E37:INDEX('Milho 1ª safra'!$E37:$Z37,MIN(U$6-$G$3,22))&lt;&gt;""),'Milho 1ª safra'!$E37:INDEX('Milho 1ª safra'!$E37:$Z37,MIN(U$6-$G$3,22))),0)))))</f>
        <v>0</v>
      </c>
      <c r="V39" s="27" t="n">
        <f aca="false">IF(COUNT('Milho 1ª safra'!$E37:$Z37)=0,0,MAX(0,IF((V$6-$E$3)&lt;1,0,IFERROR(LOOKUP(2,1/('Milho 1ª safra'!$E37:INDEX('Milho 1ª safra'!$E37:$Z37,MIN(V$6-$E$3,22))&lt;&gt;""),'Milho 1ª safra'!$E37:INDEX('Milho 1ª safra'!$E37:$Z37,MIN(V$6-$E$3,22))),0))-IF($G$2,0,IF((V$6-$G$3)&lt;1,0,IFERROR(LOOKUP(2,1/('Milho 1ª safra'!$E37:INDEX('Milho 1ª safra'!$E37:$Z37,MIN(V$6-$G$3,22))&lt;&gt;""),'Milho 1ª safra'!$E37:INDEX('Milho 1ª safra'!$E37:$Z37,MIN(V$6-$G$3,22))),0)))))</f>
        <v>0</v>
      </c>
      <c r="W39" s="27" t="n">
        <f aca="false">IF(COUNT('Milho 1ª safra'!$E37:$Z37)=0,0,MAX(0,IF((W$6-$E$3)&lt;1,0,IFERROR(LOOKUP(2,1/('Milho 1ª safra'!$E37:INDEX('Milho 1ª safra'!$E37:$Z37,MIN(W$6-$E$3,22))&lt;&gt;""),'Milho 1ª safra'!$E37:INDEX('Milho 1ª safra'!$E37:$Z37,MIN(W$6-$E$3,22))),0))-IF($G$2,0,IF((W$6-$G$3)&lt;1,0,IFERROR(LOOKUP(2,1/('Milho 1ª safra'!$E37:INDEX('Milho 1ª safra'!$E37:$Z37,MIN(W$6-$G$3,22))&lt;&gt;""),'Milho 1ª safra'!$E37:INDEX('Milho 1ª safra'!$E37:$Z37,MIN(W$6-$G$3,22))),0)))))</f>
        <v>0</v>
      </c>
      <c r="X39" s="27" t="n">
        <f aca="false">IF(COUNT('Milho 1ª safra'!$E37:$Z37)=0,0,MAX(0,IF((X$6-$E$3)&lt;1,0,IFERROR(LOOKUP(2,1/('Milho 1ª safra'!$E37:INDEX('Milho 1ª safra'!$E37:$Z37,MIN(X$6-$E$3,22))&lt;&gt;""),'Milho 1ª safra'!$E37:INDEX('Milho 1ª safra'!$E37:$Z37,MIN(X$6-$E$3,22))),0))-IF($G$2,0,IF((X$6-$G$3)&lt;1,0,IFERROR(LOOKUP(2,1/('Milho 1ª safra'!$E37:INDEX('Milho 1ª safra'!$E37:$Z37,MIN(X$6-$G$3,22))&lt;&gt;""),'Milho 1ª safra'!$E37:INDEX('Milho 1ª safra'!$E37:$Z37,MIN(X$6-$G$3,22))),0)))))</f>
        <v>0</v>
      </c>
      <c r="Y39" s="27" t="n">
        <f aca="false">IF(COUNT('Milho 1ª safra'!$E37:$Z37)=0,0,MAX(0,IF((Y$6-$E$3)&lt;1,0,IFERROR(LOOKUP(2,1/('Milho 1ª safra'!$E37:INDEX('Milho 1ª safra'!$E37:$Z37,MIN(Y$6-$E$3,22))&lt;&gt;""),'Milho 1ª safra'!$E37:INDEX('Milho 1ª safra'!$E37:$Z37,MIN(Y$6-$E$3,22))),0))-IF($G$2,0,IF((Y$6-$G$3)&lt;1,0,IFERROR(LOOKUP(2,1/('Milho 1ª safra'!$E37:INDEX('Milho 1ª safra'!$E37:$Z37,MIN(Y$6-$G$3,22))&lt;&gt;""),'Milho 1ª safra'!$E37:INDEX('Milho 1ª safra'!$E37:$Z37,MIN(Y$6-$G$3,22))),0)))))</f>
        <v>0</v>
      </c>
      <c r="Z39" s="27" t="n">
        <f aca="false">IF(COUNT('Milho 1ª safra'!$E37:$Z37)=0,0,MAX(0,IF((Z$6-$E$3)&lt;1,0,IFERROR(LOOKUP(2,1/('Milho 1ª safra'!$E37:INDEX('Milho 1ª safra'!$E37:$Z37,MIN(Z$6-$E$3,22))&lt;&gt;""),'Milho 1ª safra'!$E37:INDEX('Milho 1ª safra'!$E37:$Z37,MIN(Z$6-$E$3,22))),0))-IF($G$2,0,IF((Z$6-$G$3)&lt;1,0,IFERROR(LOOKUP(2,1/('Milho 1ª safra'!$E37:INDEX('Milho 1ª safra'!$E37:$Z37,MIN(Z$6-$G$3,22))&lt;&gt;""),'Milho 1ª safra'!$E37:INDEX('Milho 1ª safra'!$E37:$Z37,MIN(Z$6-$G$3,22))),0)))))</f>
        <v>0</v>
      </c>
      <c r="AA39" s="27" t="n">
        <f aca="false">IF(COUNT('Milho 1ª safra'!$E37:$Z37)=0,0,MAX(0,IF((AA$6-$E$3)&lt;1,0,IFERROR(LOOKUP(2,1/('Milho 1ª safra'!$E37:INDEX('Milho 1ª safra'!$E37:$Z37,MIN(AA$6-$E$3,22))&lt;&gt;""),'Milho 1ª safra'!$E37:INDEX('Milho 1ª safra'!$E37:$Z37,MIN(AA$6-$E$3,22))),0))-IF($G$2,0,IF((AA$6-$G$3)&lt;1,0,IFERROR(LOOKUP(2,1/('Milho 1ª safra'!$E37:INDEX('Milho 1ª safra'!$E37:$Z37,MIN(AA$6-$G$3,22))&lt;&gt;""),'Milho 1ª safra'!$E37:INDEX('Milho 1ª safra'!$E37:$Z37,MIN(AA$6-$G$3,22))),0)))))</f>
        <v>0</v>
      </c>
      <c r="AB39" s="27" t="n">
        <f aca="false">IF(COUNT('Milho 1ª safra'!$E37:$Z37)=0,0,MAX(0,IF((AB$6-$E$3)&lt;1,0,IFERROR(LOOKUP(2,1/('Milho 1ª safra'!$E37:INDEX('Milho 1ª safra'!$E37:$Z37,MIN(AB$6-$E$3,22))&lt;&gt;""),'Milho 1ª safra'!$E37:INDEX('Milho 1ª safra'!$E37:$Z37,MIN(AB$6-$E$3,22))),0))-IF($G$2,0,IF((AB$6-$G$3)&lt;1,0,IFERROR(LOOKUP(2,1/('Milho 1ª safra'!$E37:INDEX('Milho 1ª safra'!$E37:$Z37,MIN(AB$6-$G$3,22))&lt;&gt;""),'Milho 1ª safra'!$E37:INDEX('Milho 1ª safra'!$E37:$Z37,MIN(AB$6-$G$3,22))),0)))))</f>
        <v>0</v>
      </c>
      <c r="AC39" s="27" t="n">
        <f aca="false">IF(COUNT('Milho 1ª safra'!$E37:$Z37)=0,0,MAX(0,IF((AC$6-$E$3)&lt;1,0,IFERROR(LOOKUP(2,1/('Milho 1ª safra'!$E37:INDEX('Milho 1ª safra'!$E37:$Z37,MIN(AC$6-$E$3,22))&lt;&gt;""),'Milho 1ª safra'!$E37:INDEX('Milho 1ª safra'!$E37:$Z37,MIN(AC$6-$E$3,22))),0))-IF($G$2,0,IF((AC$6-$G$3)&lt;1,0,IFERROR(LOOKUP(2,1/('Milho 1ª safra'!$E37:INDEX('Milho 1ª safra'!$E37:$Z37,MIN(AC$6-$G$3,22))&lt;&gt;""),'Milho 1ª safra'!$E37:INDEX('Milho 1ª safra'!$E37:$Z37,MIN(AC$6-$G$3,22))),0)))))</f>
        <v>0</v>
      </c>
      <c r="AD39" s="27" t="n">
        <f aca="false">IF(COUNT('Milho 1ª safra'!$E37:$Z37)=0,0,MAX(0,IF((AD$6-$E$3)&lt;1,0,IFERROR(LOOKUP(2,1/('Milho 1ª safra'!$E37:INDEX('Milho 1ª safra'!$E37:$Z37,MIN(AD$6-$E$3,22))&lt;&gt;""),'Milho 1ª safra'!$E37:INDEX('Milho 1ª safra'!$E37:$Z37,MIN(AD$6-$E$3,22))),0))-IF($G$2,0,IF((AD$6-$G$3)&lt;1,0,IFERROR(LOOKUP(2,1/('Milho 1ª safra'!$E37:INDEX('Milho 1ª safra'!$E37:$Z37,MIN(AD$6-$G$3,22))&lt;&gt;""),'Milho 1ª safra'!$E37:INDEX('Milho 1ª safra'!$E37:$Z37,MIN(AD$6-$G$3,22))),0)))))</f>
        <v>0</v>
      </c>
      <c r="AE39" s="27" t="n">
        <f aca="false">IF(COUNT('Milho 1ª safra'!$E37:$Z37)=0,0,MAX(0,IF((AE$6-$E$3)&lt;1,0,IFERROR(LOOKUP(2,1/('Milho 1ª safra'!$E37:INDEX('Milho 1ª safra'!$E37:$Z37,MIN(AE$6-$E$3,22))&lt;&gt;""),'Milho 1ª safra'!$E37:INDEX('Milho 1ª safra'!$E37:$Z37,MIN(AE$6-$E$3,22))),0))-IF($G$2,0,IF((AE$6-$G$3)&lt;1,0,IFERROR(LOOKUP(2,1/('Milho 1ª safra'!$E37:INDEX('Milho 1ª safra'!$E37:$Z37,MIN(AE$6-$G$3,22))&lt;&gt;""),'Milho 1ª safra'!$E37:INDEX('Milho 1ª safra'!$E37:$Z37,MIN(AE$6-$G$3,22))),0)))))</f>
        <v>0</v>
      </c>
      <c r="AF39" s="27" t="n">
        <f aca="false">IF(COUNT('Milho 1ª safra'!$E37:$Z37)=0,0,MAX(0,IF((AF$6-$E$3)&lt;1,0,IFERROR(LOOKUP(2,1/('Milho 1ª safra'!$E37:INDEX('Milho 1ª safra'!$E37:$Z37,MIN(AF$6-$E$3,22))&lt;&gt;""),'Milho 1ª safra'!$E37:INDEX('Milho 1ª safra'!$E37:$Z37,MIN(AF$6-$E$3,22))),0))-IF($G$2,0,IF((AF$6-$G$3)&lt;1,0,IFERROR(LOOKUP(2,1/('Milho 1ª safra'!$E37:INDEX('Milho 1ª safra'!$E37:$Z37,MIN(AF$6-$G$3,22))&lt;&gt;""),'Milho 1ª safra'!$E37:INDEX('Milho 1ª safra'!$E37:$Z37,MIN(AF$6-$G$3,22))),0)))))</f>
        <v>0</v>
      </c>
      <c r="AG39" s="27" t="n">
        <f aca="false">IF(COUNT('Milho 1ª safra'!$E37:$Z37)=0,0,MAX(0,IF((AG$6-$E$3)&lt;1,0,IFERROR(LOOKUP(2,1/('Milho 1ª safra'!$E37:INDEX('Milho 1ª safra'!$E37:$Z37,MIN(AG$6-$E$3,22))&lt;&gt;""),'Milho 1ª safra'!$E37:INDEX('Milho 1ª safra'!$E37:$Z37,MIN(AG$6-$E$3,22))),0))-IF($G$2,0,IF((AG$6-$G$3)&lt;1,0,IFERROR(LOOKUP(2,1/('Milho 1ª safra'!$E37:INDEX('Milho 1ª safra'!$E37:$Z37,MIN(AG$6-$G$3,22))&lt;&gt;""),'Milho 1ª safra'!$E37:INDEX('Milho 1ª safra'!$E37:$Z37,MIN(AG$6-$G$3,22))),0)))))</f>
        <v>0</v>
      </c>
      <c r="AH39" s="27" t="n">
        <f aca="false">IF(COUNT('Milho 1ª safra'!$E37:$Z37)=0,0,MAX(0,IF((AH$6-$E$3)&lt;1,0,IFERROR(LOOKUP(2,1/('Milho 1ª safra'!$E37:INDEX('Milho 1ª safra'!$E37:$Z37,MIN(AH$6-$E$3,22))&lt;&gt;""),'Milho 1ª safra'!$E37:INDEX('Milho 1ª safra'!$E37:$Z37,MIN(AH$6-$E$3,22))),0))-IF($G$2,0,IF((AH$6-$G$3)&lt;1,0,IFERROR(LOOKUP(2,1/('Milho 1ª safra'!$E37:INDEX('Milho 1ª safra'!$E37:$Z37,MIN(AH$6-$G$3,22))&lt;&gt;""),'Milho 1ª safra'!$E37:INDEX('Milho 1ª safra'!$E37:$Z37,MIN(AH$6-$G$3,22))),0)))))</f>
        <v>0</v>
      </c>
      <c r="AI39" s="27" t="n">
        <f aca="false">IF(COUNT('Milho 1ª safra'!$E37:$Z37)=0,0,MAX(0,IF((AI$6-$E$3)&lt;1,0,IFERROR(LOOKUP(2,1/('Milho 1ª safra'!$E37:INDEX('Milho 1ª safra'!$E37:$Z37,MIN(AI$6-$E$3,22))&lt;&gt;""),'Milho 1ª safra'!$E37:INDEX('Milho 1ª safra'!$E37:$Z37,MIN(AI$6-$E$3,22))),0))-IF($G$2,0,IF((AI$6-$G$3)&lt;1,0,IFERROR(LOOKUP(2,1/('Milho 1ª safra'!$E37:INDEX('Milho 1ª safra'!$E37:$Z37,MIN(AI$6-$G$3,22))&lt;&gt;""),'Milho 1ª safra'!$E37:INDEX('Milho 1ª safra'!$E37:$Z37,MIN(AI$6-$G$3,22))),0)))))</f>
        <v>0</v>
      </c>
      <c r="AJ39" s="27" t="n">
        <f aca="false">IF(COUNT('Milho 1ª safra'!$E37:$Z37)=0,0,MAX(0,IF((AJ$6-$E$3)&lt;1,0,IFERROR(LOOKUP(2,1/('Milho 1ª safra'!$E37:INDEX('Milho 1ª safra'!$E37:$Z37,MIN(AJ$6-$E$3,22))&lt;&gt;""),'Milho 1ª safra'!$E37:INDEX('Milho 1ª safra'!$E37:$Z37,MIN(AJ$6-$E$3,22))),0))-IF($G$2,0,IF((AJ$6-$G$3)&lt;1,0,IFERROR(LOOKUP(2,1/('Milho 1ª safra'!$E37:INDEX('Milho 1ª safra'!$E37:$Z37,MIN(AJ$6-$G$3,22))&lt;&gt;""),'Milho 1ª safra'!$E37:INDEX('Milho 1ª safra'!$E37:$Z37,MIN(AJ$6-$G$3,22))),0)))))</f>
        <v>0</v>
      </c>
      <c r="AK39" s="27" t="n">
        <f aca="false">IF(COUNT('Milho 1ª safra'!$E37:$Z37)=0,0,MAX(0,IF((AK$6-$E$3)&lt;1,0,IFERROR(LOOKUP(2,1/('Milho 1ª safra'!$E37:INDEX('Milho 1ª safra'!$E37:$Z37,MIN(AK$6-$E$3,22))&lt;&gt;""),'Milho 1ª safra'!$E37:INDEX('Milho 1ª safra'!$E37:$Z37,MIN(AK$6-$E$3,22))),0))-IF($G$2,0,IF((AK$6-$G$3)&lt;1,0,IFERROR(LOOKUP(2,1/('Milho 1ª safra'!$E37:INDEX('Milho 1ª safra'!$E37:$Z37,MIN(AK$6-$G$3,22))&lt;&gt;""),'Milho 1ª safra'!$E37:INDEX('Milho 1ª safra'!$E37:$Z37,MIN(AK$6-$G$3,22))),0)))))</f>
        <v>0</v>
      </c>
      <c r="AL39" s="27" t="n">
        <f aca="false">IF(COUNT('Milho 1ª safra'!$E37:$Z37)=0,0,MAX(0,IF((AL$6-$E$3)&lt;1,0,IFERROR(LOOKUP(2,1/('Milho 1ª safra'!$E37:INDEX('Milho 1ª safra'!$E37:$Z37,MIN(AL$6-$E$3,22))&lt;&gt;""),'Milho 1ª safra'!$E37:INDEX('Milho 1ª safra'!$E37:$Z37,MIN(AL$6-$E$3,22))),0))-IF($G$2,0,IF((AL$6-$G$3)&lt;1,0,IFERROR(LOOKUP(2,1/('Milho 1ª safra'!$E37:INDEX('Milho 1ª safra'!$E37:$Z37,MIN(AL$6-$G$3,22))&lt;&gt;""),'Milho 1ª safra'!$E37:INDEX('Milho 1ª safra'!$E37:$Z37,MIN(AL$6-$G$3,22))),0)))))</f>
        <v>0</v>
      </c>
      <c r="AM39" s="27" t="n">
        <f aca="false">IF(COUNT('Milho 1ª safra'!$E37:$Z37)=0,0,MAX(0,IF((AM$6-$E$3)&lt;1,0,IFERROR(LOOKUP(2,1/('Milho 1ª safra'!$E37:INDEX('Milho 1ª safra'!$E37:$Z37,MIN(AM$6-$E$3,22))&lt;&gt;""),'Milho 1ª safra'!$E37:INDEX('Milho 1ª safra'!$E37:$Z37,MIN(AM$6-$E$3,22))),0))-IF($G$2,0,IF((AM$6-$G$3)&lt;1,0,IFERROR(LOOKUP(2,1/('Milho 1ª safra'!$E37:INDEX('Milho 1ª safra'!$E37:$Z37,MIN(AM$6-$G$3,22))&lt;&gt;""),'Milho 1ª safra'!$E37:INDEX('Milho 1ª safra'!$E37:$Z37,MIN(AM$6-$G$3,22))),0)))))</f>
        <v>0</v>
      </c>
      <c r="AN39" s="27" t="n">
        <f aca="false">IF(COUNT('Milho 1ª safra'!$E37:$Z37)=0,0,MAX(0,IF((AN$6-$E$3)&lt;1,0,IFERROR(LOOKUP(2,1/('Milho 1ª safra'!$E37:INDEX('Milho 1ª safra'!$E37:$Z37,MIN(AN$6-$E$3,22))&lt;&gt;""),'Milho 1ª safra'!$E37:INDEX('Milho 1ª safra'!$E37:$Z37,MIN(AN$6-$E$3,22))),0))-IF($G$2,0,IF((AN$6-$G$3)&lt;1,0,IFERROR(LOOKUP(2,1/('Milho 1ª safra'!$E37:INDEX('Milho 1ª safra'!$E37:$Z37,MIN(AN$6-$G$3,22))&lt;&gt;""),'Milho 1ª safra'!$E37:INDEX('Milho 1ª safra'!$E37:$Z37,MIN(AN$6-$G$3,22))),0)))))</f>
        <v>0</v>
      </c>
      <c r="AO39" s="27" t="n">
        <f aca="false">IF(COUNT('Milho 1ª safra'!$E37:$Z37)=0,0,MAX(0,IF((AO$6-$E$3)&lt;1,0,IFERROR(LOOKUP(2,1/('Milho 1ª safra'!$E37:INDEX('Milho 1ª safra'!$E37:$Z37,MIN(AO$6-$E$3,22))&lt;&gt;""),'Milho 1ª safra'!$E37:INDEX('Milho 1ª safra'!$E37:$Z37,MIN(AO$6-$E$3,22))),0))-IF($G$2,0,IF((AO$6-$G$3)&lt;1,0,IFERROR(LOOKUP(2,1/('Milho 1ª safra'!$E37:INDEX('Milho 1ª safra'!$E37:$Z37,MIN(AO$6-$G$3,22))&lt;&gt;""),'Milho 1ª safra'!$E37:INDEX('Milho 1ª safra'!$E37:$Z37,MIN(AO$6-$G$3,22))),0)))))</f>
        <v>0</v>
      </c>
      <c r="AP39" s="27" t="n">
        <f aca="false">IF(COUNT('Milho 1ª safra'!$E37:$Z37)=0,0,MAX(0,IF((AP$6-$E$3)&lt;1,0,IFERROR(LOOKUP(2,1/('Milho 1ª safra'!$E37:INDEX('Milho 1ª safra'!$E37:$Z37,MIN(AP$6-$E$3,22))&lt;&gt;""),'Milho 1ª safra'!$E37:INDEX('Milho 1ª safra'!$E37:$Z37,MIN(AP$6-$E$3,22))),0))-IF($G$2,0,IF((AP$6-$G$3)&lt;1,0,IFERROR(LOOKUP(2,1/('Milho 1ª safra'!$E37:INDEX('Milho 1ª safra'!$E37:$Z37,MIN(AP$6-$G$3,22))&lt;&gt;""),'Milho 1ª safra'!$E37:INDEX('Milho 1ª safra'!$E37:$Z37,MIN(AP$6-$G$3,22))),0)))))</f>
        <v>0</v>
      </c>
      <c r="AQ39" s="27" t="n">
        <f aca="false">IF(COUNT('Milho 1ª safra'!$E37:$Z37)=0,0,MAX(0,IF((AQ$6-$E$3)&lt;1,0,IFERROR(LOOKUP(2,1/('Milho 1ª safra'!$E37:INDEX('Milho 1ª safra'!$E37:$Z37,MIN(AQ$6-$E$3,22))&lt;&gt;""),'Milho 1ª safra'!$E37:INDEX('Milho 1ª safra'!$E37:$Z37,MIN(AQ$6-$E$3,22))),0))-IF($G$2,0,IF((AQ$6-$G$3)&lt;1,0,IFERROR(LOOKUP(2,1/('Milho 1ª safra'!$E37:INDEX('Milho 1ª safra'!$E37:$Z37,MIN(AQ$6-$G$3,22))&lt;&gt;""),'Milho 1ª safra'!$E37:INDEX('Milho 1ª safra'!$E37:$Z37,MIN(AQ$6-$G$3,22))),0)))))</f>
        <v>0</v>
      </c>
      <c r="AR39" s="27" t="n">
        <f aca="false">IF(COUNT('Milho 1ª safra'!$E37:$Z37)=0,0,MAX(0,IF((AR$6-$E$3)&lt;1,0,IFERROR(LOOKUP(2,1/('Milho 1ª safra'!$E37:INDEX('Milho 1ª safra'!$E37:$Z37,MIN(AR$6-$E$3,22))&lt;&gt;""),'Milho 1ª safra'!$E37:INDEX('Milho 1ª safra'!$E37:$Z37,MIN(AR$6-$E$3,22))),0))-IF($G$2,0,IF((AR$6-$G$3)&lt;1,0,IFERROR(LOOKUP(2,1/('Milho 1ª safra'!$E37:INDEX('Milho 1ª safra'!$E37:$Z37,MIN(AR$6-$G$3,22))&lt;&gt;""),'Milho 1ª safra'!$E37:INDEX('Milho 1ª safra'!$E37:$Z37,MIN(AR$6-$G$3,22))),0)))))</f>
        <v>0</v>
      </c>
      <c r="AS39" s="27" t="n">
        <f aca="false">IF(COUNT('Milho 1ª safra'!$E37:$Z37)=0,0,MAX(0,IF((AS$6-$E$3)&lt;1,0,IFERROR(LOOKUP(2,1/('Milho 1ª safra'!$E37:INDEX('Milho 1ª safra'!$E37:$Z37,MIN(AS$6-$E$3,22))&lt;&gt;""),'Milho 1ª safra'!$E37:INDEX('Milho 1ª safra'!$E37:$Z37,MIN(AS$6-$E$3,22))),0))-IF($G$2,0,IF((AS$6-$G$3)&lt;1,0,IFERROR(LOOKUP(2,1/('Milho 1ª safra'!$E37:INDEX('Milho 1ª safra'!$E37:$Z37,MIN(AS$6-$G$3,22))&lt;&gt;""),'Milho 1ª safra'!$E37:INDEX('Milho 1ª safra'!$E37:$Z37,MIN(AS$6-$G$3,22))),0)))))</f>
        <v>0</v>
      </c>
      <c r="AT39" s="27" t="n">
        <f aca="false">IF(COUNT('Milho 1ª safra'!$E37:$Z37)=0,0,MAX(0,IF((AT$6-$E$3)&lt;1,0,IFERROR(LOOKUP(2,1/('Milho 1ª safra'!$E37:INDEX('Milho 1ª safra'!$E37:$Z37,MIN(AT$6-$E$3,22))&lt;&gt;""),'Milho 1ª safra'!$E37:INDEX('Milho 1ª safra'!$E37:$Z37,MIN(AT$6-$E$3,22))),0))-IF($G$2,0,IF((AT$6-$G$3)&lt;1,0,IFERROR(LOOKUP(2,1/('Milho 1ª safra'!$E37:INDEX('Milho 1ª safra'!$E37:$Z37,MIN(AT$6-$G$3,22))&lt;&gt;""),'Milho 1ª safra'!$E37:INDEX('Milho 1ª safra'!$E37:$Z37,MIN(AT$6-$G$3,22))),0)))))</f>
        <v>0</v>
      </c>
      <c r="AU39" s="27" t="n">
        <f aca="false">IF(COUNT('Milho 1ª safra'!$E37:$Z37)=0,0,MAX(0,IF((AU$6-$E$3)&lt;1,0,IFERROR(LOOKUP(2,1/('Milho 1ª safra'!$E37:INDEX('Milho 1ª safra'!$E37:$Z37,MIN(AU$6-$E$3,22))&lt;&gt;""),'Milho 1ª safra'!$E37:INDEX('Milho 1ª safra'!$E37:$Z37,MIN(AU$6-$E$3,22))),0))-IF($G$2,0,IF((AU$6-$G$3)&lt;1,0,IFERROR(LOOKUP(2,1/('Milho 1ª safra'!$E37:INDEX('Milho 1ª safra'!$E37:$Z37,MIN(AU$6-$G$3,22))&lt;&gt;""),'Milho 1ª safra'!$E37:INDEX('Milho 1ª safra'!$E37:$Z37,MIN(AU$6-$G$3,22))),0)))))</f>
        <v>0</v>
      </c>
      <c r="AV39" s="27" t="n">
        <f aca="false">IF(COUNT('Milho 1ª safra'!$E37:$Z37)=0,0,MAX(0,IF((AV$6-$E$3)&lt;1,0,IFERROR(LOOKUP(2,1/('Milho 1ª safra'!$E37:INDEX('Milho 1ª safra'!$E37:$Z37,MIN(AV$6-$E$3,22))&lt;&gt;""),'Milho 1ª safra'!$E37:INDEX('Milho 1ª safra'!$E37:$Z37,MIN(AV$6-$E$3,22))),0))-IF($G$2,0,IF((AV$6-$G$3)&lt;1,0,IFERROR(LOOKUP(2,1/('Milho 1ª safra'!$E37:INDEX('Milho 1ª safra'!$E37:$Z37,MIN(AV$6-$G$3,22))&lt;&gt;""),'Milho 1ª safra'!$E37:INDEX('Milho 1ª safra'!$E37:$Z37,MIN(AV$6-$G$3,22))),0)))))</f>
        <v>0</v>
      </c>
      <c r="AW39" s="27" t="n">
        <f aca="false">IF(COUNT('Milho 1ª safra'!$E37:$Z37)=0,0,MAX(0,IF((AW$6-$E$3)&lt;1,0,IFERROR(LOOKUP(2,1/('Milho 1ª safra'!$E37:INDEX('Milho 1ª safra'!$E37:$Z37,MIN(AW$6-$E$3,22))&lt;&gt;""),'Milho 1ª safra'!$E37:INDEX('Milho 1ª safra'!$E37:$Z37,MIN(AW$6-$E$3,22))),0))-IF($G$2,0,IF((AW$6-$G$3)&lt;1,0,IFERROR(LOOKUP(2,1/('Milho 1ª safra'!$E37:INDEX('Milho 1ª safra'!$E37:$Z37,MIN(AW$6-$G$3,22))&lt;&gt;""),'Milho 1ª safra'!$E37:INDEX('Milho 1ª safra'!$E37:$Z37,MIN(AW$6-$G$3,22))),0)))))</f>
        <v>0</v>
      </c>
      <c r="AX39" s="27" t="n">
        <f aca="false">IF(COUNT('Milho 1ª safra'!$E37:$Z37)=0,0,MAX(0,IF((AX$6-$E$3)&lt;1,0,IFERROR(LOOKUP(2,1/('Milho 1ª safra'!$E37:INDEX('Milho 1ª safra'!$E37:$Z37,MIN(AX$6-$E$3,22))&lt;&gt;""),'Milho 1ª safra'!$E37:INDEX('Milho 1ª safra'!$E37:$Z37,MIN(AX$6-$E$3,22))),0))-IF($G$2,0,IF((AX$6-$G$3)&lt;1,0,IFERROR(LOOKUP(2,1/('Milho 1ª safra'!$E37:INDEX('Milho 1ª safra'!$E37:$Z37,MIN(AX$6-$G$3,22))&lt;&gt;""),'Milho 1ª safra'!$E37:INDEX('Milho 1ª safra'!$E37:$Z37,MIN(AX$6-$G$3,22))),0)))))</f>
        <v>0</v>
      </c>
      <c r="AY39" s="27" t="n">
        <f aca="false">IF(COUNT('Milho 1ª safra'!$E37:$Z37)=0,0,MAX(0,IF((AY$6-$E$3)&lt;1,0,IFERROR(LOOKUP(2,1/('Milho 1ª safra'!$E37:INDEX('Milho 1ª safra'!$E37:$Z37,MIN(AY$6-$E$3,22))&lt;&gt;""),'Milho 1ª safra'!$E37:INDEX('Milho 1ª safra'!$E37:$Z37,MIN(AY$6-$E$3,22))),0))-IF($G$2,0,IF((AY$6-$G$3)&lt;1,0,IFERROR(LOOKUP(2,1/('Milho 1ª safra'!$E37:INDEX('Milho 1ª safra'!$E37:$Z37,MIN(AY$6-$G$3,22))&lt;&gt;""),'Milho 1ª safra'!$E37:INDEX('Milho 1ª safra'!$E37:$Z37,MIN(AY$6-$G$3,22))),0)))))</f>
        <v>0</v>
      </c>
      <c r="AZ39" s="27" t="n">
        <f aca="false">IF(COUNT('Milho 1ª safra'!$E37:$Z37)=0,0,MAX(0,IF((AZ$6-$E$3)&lt;1,0,IFERROR(LOOKUP(2,1/('Milho 1ª safra'!$E37:INDEX('Milho 1ª safra'!$E37:$Z37,MIN(AZ$6-$E$3,22))&lt;&gt;""),'Milho 1ª safra'!$E37:INDEX('Milho 1ª safra'!$E37:$Z37,MIN(AZ$6-$E$3,22))),0))-IF($G$2,0,IF((AZ$6-$G$3)&lt;1,0,IFERROR(LOOKUP(2,1/('Milho 1ª safra'!$E37:INDEX('Milho 1ª safra'!$E37:$Z37,MIN(AZ$6-$G$3,22))&lt;&gt;""),'Milho 1ª safra'!$E37:INDEX('Milho 1ª safra'!$E37:$Z37,MIN(AZ$6-$G$3,22))),0)))))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IF(COUNT('Milho 1ª safra'!$E38:$Z38)&gt;0,N('Milho 1ª safra'!$D38),0)</f>
        <v>0</v>
      </c>
      <c r="E40" s="27" t="n">
        <f aca="false">IF(COUNT('Milho 1ª safra'!$E38:$Z38)=0,0,MAX(0,IF((E$6-$E$3)&lt;1,0,IFERROR(LOOKUP(2,1/('Milho 1ª safra'!$E38:INDEX('Milho 1ª safra'!$E38:$Z38,MIN(E$6-$E$3,22))&lt;&gt;""),'Milho 1ª safra'!$E38:INDEX('Milho 1ª safra'!$E38:$Z38,MIN(E$6-$E$3,22))),0))-IF($G$2,0,IF((E$6-$G$3)&lt;1,0,IFERROR(LOOKUP(2,1/('Milho 1ª safra'!$E38:INDEX('Milho 1ª safra'!$E38:$Z38,MIN(E$6-$G$3,22))&lt;&gt;""),'Milho 1ª safra'!$E38:INDEX('Milho 1ª safra'!$E38:$Z38,MIN(E$6-$G$3,22))),0)))))</f>
        <v>0</v>
      </c>
      <c r="F40" s="27" t="n">
        <f aca="false">IF(COUNT('Milho 1ª safra'!$E38:$Z38)=0,0,MAX(0,IF((F$6-$E$3)&lt;1,0,IFERROR(LOOKUP(2,1/('Milho 1ª safra'!$E38:INDEX('Milho 1ª safra'!$E38:$Z38,MIN(F$6-$E$3,22))&lt;&gt;""),'Milho 1ª safra'!$E38:INDEX('Milho 1ª safra'!$E38:$Z38,MIN(F$6-$E$3,22))),0))-IF($G$2,0,IF((F$6-$G$3)&lt;1,0,IFERROR(LOOKUP(2,1/('Milho 1ª safra'!$E38:INDEX('Milho 1ª safra'!$E38:$Z38,MIN(F$6-$G$3,22))&lt;&gt;""),'Milho 1ª safra'!$E38:INDEX('Milho 1ª safra'!$E38:$Z38,MIN(F$6-$G$3,22))),0)))))</f>
        <v>0</v>
      </c>
      <c r="G40" s="27" t="n">
        <f aca="false">IF(COUNT('Milho 1ª safra'!$E38:$Z38)=0,0,MAX(0,IF((G$6-$E$3)&lt;1,0,IFERROR(LOOKUP(2,1/('Milho 1ª safra'!$E38:INDEX('Milho 1ª safra'!$E38:$Z38,MIN(G$6-$E$3,22))&lt;&gt;""),'Milho 1ª safra'!$E38:INDEX('Milho 1ª safra'!$E38:$Z38,MIN(G$6-$E$3,22))),0))-IF($G$2,0,IF((G$6-$G$3)&lt;1,0,IFERROR(LOOKUP(2,1/('Milho 1ª safra'!$E38:INDEX('Milho 1ª safra'!$E38:$Z38,MIN(G$6-$G$3,22))&lt;&gt;""),'Milho 1ª safra'!$E38:INDEX('Milho 1ª safra'!$E38:$Z38,MIN(G$6-$G$3,22))),0)))))</f>
        <v>0</v>
      </c>
      <c r="H40" s="27" t="n">
        <f aca="false">IF(COUNT('Milho 1ª safra'!$E38:$Z38)=0,0,MAX(0,IF((H$6-$E$3)&lt;1,0,IFERROR(LOOKUP(2,1/('Milho 1ª safra'!$E38:INDEX('Milho 1ª safra'!$E38:$Z38,MIN(H$6-$E$3,22))&lt;&gt;""),'Milho 1ª safra'!$E38:INDEX('Milho 1ª safra'!$E38:$Z38,MIN(H$6-$E$3,22))),0))-IF($G$2,0,IF((H$6-$G$3)&lt;1,0,IFERROR(LOOKUP(2,1/('Milho 1ª safra'!$E38:INDEX('Milho 1ª safra'!$E38:$Z38,MIN(H$6-$G$3,22))&lt;&gt;""),'Milho 1ª safra'!$E38:INDEX('Milho 1ª safra'!$E38:$Z38,MIN(H$6-$G$3,22))),0)))))</f>
        <v>0</v>
      </c>
      <c r="I40" s="27" t="n">
        <f aca="false">IF(COUNT('Milho 1ª safra'!$E38:$Z38)=0,0,MAX(0,IF((I$6-$E$3)&lt;1,0,IFERROR(LOOKUP(2,1/('Milho 1ª safra'!$E38:INDEX('Milho 1ª safra'!$E38:$Z38,MIN(I$6-$E$3,22))&lt;&gt;""),'Milho 1ª safra'!$E38:INDEX('Milho 1ª safra'!$E38:$Z38,MIN(I$6-$E$3,22))),0))-IF($G$2,0,IF((I$6-$G$3)&lt;1,0,IFERROR(LOOKUP(2,1/('Milho 1ª safra'!$E38:INDEX('Milho 1ª safra'!$E38:$Z38,MIN(I$6-$G$3,22))&lt;&gt;""),'Milho 1ª safra'!$E38:INDEX('Milho 1ª safra'!$E38:$Z38,MIN(I$6-$G$3,22))),0)))))</f>
        <v>0</v>
      </c>
      <c r="J40" s="27" t="n">
        <f aca="false">IF(COUNT('Milho 1ª safra'!$E38:$Z38)=0,0,MAX(0,IF((J$6-$E$3)&lt;1,0,IFERROR(LOOKUP(2,1/('Milho 1ª safra'!$E38:INDEX('Milho 1ª safra'!$E38:$Z38,MIN(J$6-$E$3,22))&lt;&gt;""),'Milho 1ª safra'!$E38:INDEX('Milho 1ª safra'!$E38:$Z38,MIN(J$6-$E$3,22))),0))-IF($G$2,0,IF((J$6-$G$3)&lt;1,0,IFERROR(LOOKUP(2,1/('Milho 1ª safra'!$E38:INDEX('Milho 1ª safra'!$E38:$Z38,MIN(J$6-$G$3,22))&lt;&gt;""),'Milho 1ª safra'!$E38:INDEX('Milho 1ª safra'!$E38:$Z38,MIN(J$6-$G$3,22))),0)))))</f>
        <v>0</v>
      </c>
      <c r="K40" s="27" t="n">
        <f aca="false">IF(COUNT('Milho 1ª safra'!$E38:$Z38)=0,0,MAX(0,IF((K$6-$E$3)&lt;1,0,IFERROR(LOOKUP(2,1/('Milho 1ª safra'!$E38:INDEX('Milho 1ª safra'!$E38:$Z38,MIN(K$6-$E$3,22))&lt;&gt;""),'Milho 1ª safra'!$E38:INDEX('Milho 1ª safra'!$E38:$Z38,MIN(K$6-$E$3,22))),0))-IF($G$2,0,IF((K$6-$G$3)&lt;1,0,IFERROR(LOOKUP(2,1/('Milho 1ª safra'!$E38:INDEX('Milho 1ª safra'!$E38:$Z38,MIN(K$6-$G$3,22))&lt;&gt;""),'Milho 1ª safra'!$E38:INDEX('Milho 1ª safra'!$E38:$Z38,MIN(K$6-$G$3,22))),0)))))</f>
        <v>0</v>
      </c>
      <c r="L40" s="27" t="n">
        <f aca="false">IF(COUNT('Milho 1ª safra'!$E38:$Z38)=0,0,MAX(0,IF((L$6-$E$3)&lt;1,0,IFERROR(LOOKUP(2,1/('Milho 1ª safra'!$E38:INDEX('Milho 1ª safra'!$E38:$Z38,MIN(L$6-$E$3,22))&lt;&gt;""),'Milho 1ª safra'!$E38:INDEX('Milho 1ª safra'!$E38:$Z38,MIN(L$6-$E$3,22))),0))-IF($G$2,0,IF((L$6-$G$3)&lt;1,0,IFERROR(LOOKUP(2,1/('Milho 1ª safra'!$E38:INDEX('Milho 1ª safra'!$E38:$Z38,MIN(L$6-$G$3,22))&lt;&gt;""),'Milho 1ª safra'!$E38:INDEX('Milho 1ª safra'!$E38:$Z38,MIN(L$6-$G$3,22))),0)))))</f>
        <v>0</v>
      </c>
      <c r="M40" s="27" t="n">
        <f aca="false">IF(COUNT('Milho 1ª safra'!$E38:$Z38)=0,0,MAX(0,IF((M$6-$E$3)&lt;1,0,IFERROR(LOOKUP(2,1/('Milho 1ª safra'!$E38:INDEX('Milho 1ª safra'!$E38:$Z38,MIN(M$6-$E$3,22))&lt;&gt;""),'Milho 1ª safra'!$E38:INDEX('Milho 1ª safra'!$E38:$Z38,MIN(M$6-$E$3,22))),0))-IF($G$2,0,IF((M$6-$G$3)&lt;1,0,IFERROR(LOOKUP(2,1/('Milho 1ª safra'!$E38:INDEX('Milho 1ª safra'!$E38:$Z38,MIN(M$6-$G$3,22))&lt;&gt;""),'Milho 1ª safra'!$E38:INDEX('Milho 1ª safra'!$E38:$Z38,MIN(M$6-$G$3,22))),0)))))</f>
        <v>0</v>
      </c>
      <c r="N40" s="27" t="n">
        <f aca="false">IF(COUNT('Milho 1ª safra'!$E38:$Z38)=0,0,MAX(0,IF((N$6-$E$3)&lt;1,0,IFERROR(LOOKUP(2,1/('Milho 1ª safra'!$E38:INDEX('Milho 1ª safra'!$E38:$Z38,MIN(N$6-$E$3,22))&lt;&gt;""),'Milho 1ª safra'!$E38:INDEX('Milho 1ª safra'!$E38:$Z38,MIN(N$6-$E$3,22))),0))-IF($G$2,0,IF((N$6-$G$3)&lt;1,0,IFERROR(LOOKUP(2,1/('Milho 1ª safra'!$E38:INDEX('Milho 1ª safra'!$E38:$Z38,MIN(N$6-$G$3,22))&lt;&gt;""),'Milho 1ª safra'!$E38:INDEX('Milho 1ª safra'!$E38:$Z38,MIN(N$6-$G$3,22))),0)))))</f>
        <v>0</v>
      </c>
      <c r="O40" s="27" t="n">
        <f aca="false">IF(COUNT('Milho 1ª safra'!$E38:$Z38)=0,0,MAX(0,IF((O$6-$E$3)&lt;1,0,IFERROR(LOOKUP(2,1/('Milho 1ª safra'!$E38:INDEX('Milho 1ª safra'!$E38:$Z38,MIN(O$6-$E$3,22))&lt;&gt;""),'Milho 1ª safra'!$E38:INDEX('Milho 1ª safra'!$E38:$Z38,MIN(O$6-$E$3,22))),0))-IF($G$2,0,IF((O$6-$G$3)&lt;1,0,IFERROR(LOOKUP(2,1/('Milho 1ª safra'!$E38:INDEX('Milho 1ª safra'!$E38:$Z38,MIN(O$6-$G$3,22))&lt;&gt;""),'Milho 1ª safra'!$E38:INDEX('Milho 1ª safra'!$E38:$Z38,MIN(O$6-$G$3,22))),0)))))</f>
        <v>0</v>
      </c>
      <c r="P40" s="27" t="n">
        <f aca="false">IF(COUNT('Milho 1ª safra'!$E38:$Z38)=0,0,MAX(0,IF((P$6-$E$3)&lt;1,0,IFERROR(LOOKUP(2,1/('Milho 1ª safra'!$E38:INDEX('Milho 1ª safra'!$E38:$Z38,MIN(P$6-$E$3,22))&lt;&gt;""),'Milho 1ª safra'!$E38:INDEX('Milho 1ª safra'!$E38:$Z38,MIN(P$6-$E$3,22))),0))-IF($G$2,0,IF((P$6-$G$3)&lt;1,0,IFERROR(LOOKUP(2,1/('Milho 1ª safra'!$E38:INDEX('Milho 1ª safra'!$E38:$Z38,MIN(P$6-$G$3,22))&lt;&gt;""),'Milho 1ª safra'!$E38:INDEX('Milho 1ª safra'!$E38:$Z38,MIN(P$6-$G$3,22))),0)))))</f>
        <v>0</v>
      </c>
      <c r="Q40" s="27" t="n">
        <f aca="false">IF(COUNT('Milho 1ª safra'!$E38:$Z38)=0,0,MAX(0,IF((Q$6-$E$3)&lt;1,0,IFERROR(LOOKUP(2,1/('Milho 1ª safra'!$E38:INDEX('Milho 1ª safra'!$E38:$Z38,MIN(Q$6-$E$3,22))&lt;&gt;""),'Milho 1ª safra'!$E38:INDEX('Milho 1ª safra'!$E38:$Z38,MIN(Q$6-$E$3,22))),0))-IF($G$2,0,IF((Q$6-$G$3)&lt;1,0,IFERROR(LOOKUP(2,1/('Milho 1ª safra'!$E38:INDEX('Milho 1ª safra'!$E38:$Z38,MIN(Q$6-$G$3,22))&lt;&gt;""),'Milho 1ª safra'!$E38:INDEX('Milho 1ª safra'!$E38:$Z38,MIN(Q$6-$G$3,22))),0)))))</f>
        <v>0</v>
      </c>
      <c r="R40" s="27" t="n">
        <f aca="false">IF(COUNT('Milho 1ª safra'!$E38:$Z38)=0,0,MAX(0,IF((R$6-$E$3)&lt;1,0,IFERROR(LOOKUP(2,1/('Milho 1ª safra'!$E38:INDEX('Milho 1ª safra'!$E38:$Z38,MIN(R$6-$E$3,22))&lt;&gt;""),'Milho 1ª safra'!$E38:INDEX('Milho 1ª safra'!$E38:$Z38,MIN(R$6-$E$3,22))),0))-IF($G$2,0,IF((R$6-$G$3)&lt;1,0,IFERROR(LOOKUP(2,1/('Milho 1ª safra'!$E38:INDEX('Milho 1ª safra'!$E38:$Z38,MIN(R$6-$G$3,22))&lt;&gt;""),'Milho 1ª safra'!$E38:INDEX('Milho 1ª safra'!$E38:$Z38,MIN(R$6-$G$3,22))),0)))))</f>
        <v>0</v>
      </c>
      <c r="S40" s="27" t="n">
        <f aca="false">IF(COUNT('Milho 1ª safra'!$E38:$Z38)=0,0,MAX(0,IF((S$6-$E$3)&lt;1,0,IFERROR(LOOKUP(2,1/('Milho 1ª safra'!$E38:INDEX('Milho 1ª safra'!$E38:$Z38,MIN(S$6-$E$3,22))&lt;&gt;""),'Milho 1ª safra'!$E38:INDEX('Milho 1ª safra'!$E38:$Z38,MIN(S$6-$E$3,22))),0))-IF($G$2,0,IF((S$6-$G$3)&lt;1,0,IFERROR(LOOKUP(2,1/('Milho 1ª safra'!$E38:INDEX('Milho 1ª safra'!$E38:$Z38,MIN(S$6-$G$3,22))&lt;&gt;""),'Milho 1ª safra'!$E38:INDEX('Milho 1ª safra'!$E38:$Z38,MIN(S$6-$G$3,22))),0)))))</f>
        <v>0</v>
      </c>
      <c r="T40" s="27" t="n">
        <f aca="false">IF(COUNT('Milho 1ª safra'!$E38:$Z38)=0,0,MAX(0,IF((T$6-$E$3)&lt;1,0,IFERROR(LOOKUP(2,1/('Milho 1ª safra'!$E38:INDEX('Milho 1ª safra'!$E38:$Z38,MIN(T$6-$E$3,22))&lt;&gt;""),'Milho 1ª safra'!$E38:INDEX('Milho 1ª safra'!$E38:$Z38,MIN(T$6-$E$3,22))),0))-IF($G$2,0,IF((T$6-$G$3)&lt;1,0,IFERROR(LOOKUP(2,1/('Milho 1ª safra'!$E38:INDEX('Milho 1ª safra'!$E38:$Z38,MIN(T$6-$G$3,22))&lt;&gt;""),'Milho 1ª safra'!$E38:INDEX('Milho 1ª safra'!$E38:$Z38,MIN(T$6-$G$3,22))),0)))))</f>
        <v>0</v>
      </c>
      <c r="U40" s="27" t="n">
        <f aca="false">IF(COUNT('Milho 1ª safra'!$E38:$Z38)=0,0,MAX(0,IF((U$6-$E$3)&lt;1,0,IFERROR(LOOKUP(2,1/('Milho 1ª safra'!$E38:INDEX('Milho 1ª safra'!$E38:$Z38,MIN(U$6-$E$3,22))&lt;&gt;""),'Milho 1ª safra'!$E38:INDEX('Milho 1ª safra'!$E38:$Z38,MIN(U$6-$E$3,22))),0))-IF($G$2,0,IF((U$6-$G$3)&lt;1,0,IFERROR(LOOKUP(2,1/('Milho 1ª safra'!$E38:INDEX('Milho 1ª safra'!$E38:$Z38,MIN(U$6-$G$3,22))&lt;&gt;""),'Milho 1ª safra'!$E38:INDEX('Milho 1ª safra'!$E38:$Z38,MIN(U$6-$G$3,22))),0)))))</f>
        <v>0</v>
      </c>
      <c r="V40" s="27" t="n">
        <f aca="false">IF(COUNT('Milho 1ª safra'!$E38:$Z38)=0,0,MAX(0,IF((V$6-$E$3)&lt;1,0,IFERROR(LOOKUP(2,1/('Milho 1ª safra'!$E38:INDEX('Milho 1ª safra'!$E38:$Z38,MIN(V$6-$E$3,22))&lt;&gt;""),'Milho 1ª safra'!$E38:INDEX('Milho 1ª safra'!$E38:$Z38,MIN(V$6-$E$3,22))),0))-IF($G$2,0,IF((V$6-$G$3)&lt;1,0,IFERROR(LOOKUP(2,1/('Milho 1ª safra'!$E38:INDEX('Milho 1ª safra'!$E38:$Z38,MIN(V$6-$G$3,22))&lt;&gt;""),'Milho 1ª safra'!$E38:INDEX('Milho 1ª safra'!$E38:$Z38,MIN(V$6-$G$3,22))),0)))))</f>
        <v>0</v>
      </c>
      <c r="W40" s="27" t="n">
        <f aca="false">IF(COUNT('Milho 1ª safra'!$E38:$Z38)=0,0,MAX(0,IF((W$6-$E$3)&lt;1,0,IFERROR(LOOKUP(2,1/('Milho 1ª safra'!$E38:INDEX('Milho 1ª safra'!$E38:$Z38,MIN(W$6-$E$3,22))&lt;&gt;""),'Milho 1ª safra'!$E38:INDEX('Milho 1ª safra'!$E38:$Z38,MIN(W$6-$E$3,22))),0))-IF($G$2,0,IF((W$6-$G$3)&lt;1,0,IFERROR(LOOKUP(2,1/('Milho 1ª safra'!$E38:INDEX('Milho 1ª safra'!$E38:$Z38,MIN(W$6-$G$3,22))&lt;&gt;""),'Milho 1ª safra'!$E38:INDEX('Milho 1ª safra'!$E38:$Z38,MIN(W$6-$G$3,22))),0)))))</f>
        <v>0</v>
      </c>
      <c r="X40" s="27" t="n">
        <f aca="false">IF(COUNT('Milho 1ª safra'!$E38:$Z38)=0,0,MAX(0,IF((X$6-$E$3)&lt;1,0,IFERROR(LOOKUP(2,1/('Milho 1ª safra'!$E38:INDEX('Milho 1ª safra'!$E38:$Z38,MIN(X$6-$E$3,22))&lt;&gt;""),'Milho 1ª safra'!$E38:INDEX('Milho 1ª safra'!$E38:$Z38,MIN(X$6-$E$3,22))),0))-IF($G$2,0,IF((X$6-$G$3)&lt;1,0,IFERROR(LOOKUP(2,1/('Milho 1ª safra'!$E38:INDEX('Milho 1ª safra'!$E38:$Z38,MIN(X$6-$G$3,22))&lt;&gt;""),'Milho 1ª safra'!$E38:INDEX('Milho 1ª safra'!$E38:$Z38,MIN(X$6-$G$3,22))),0)))))</f>
        <v>0</v>
      </c>
      <c r="Y40" s="27" t="n">
        <f aca="false">IF(COUNT('Milho 1ª safra'!$E38:$Z38)=0,0,MAX(0,IF((Y$6-$E$3)&lt;1,0,IFERROR(LOOKUP(2,1/('Milho 1ª safra'!$E38:INDEX('Milho 1ª safra'!$E38:$Z38,MIN(Y$6-$E$3,22))&lt;&gt;""),'Milho 1ª safra'!$E38:INDEX('Milho 1ª safra'!$E38:$Z38,MIN(Y$6-$E$3,22))),0))-IF($G$2,0,IF((Y$6-$G$3)&lt;1,0,IFERROR(LOOKUP(2,1/('Milho 1ª safra'!$E38:INDEX('Milho 1ª safra'!$E38:$Z38,MIN(Y$6-$G$3,22))&lt;&gt;""),'Milho 1ª safra'!$E38:INDEX('Milho 1ª safra'!$E38:$Z38,MIN(Y$6-$G$3,22))),0)))))</f>
        <v>0</v>
      </c>
      <c r="Z40" s="27" t="n">
        <f aca="false">IF(COUNT('Milho 1ª safra'!$E38:$Z38)=0,0,MAX(0,IF((Z$6-$E$3)&lt;1,0,IFERROR(LOOKUP(2,1/('Milho 1ª safra'!$E38:INDEX('Milho 1ª safra'!$E38:$Z38,MIN(Z$6-$E$3,22))&lt;&gt;""),'Milho 1ª safra'!$E38:INDEX('Milho 1ª safra'!$E38:$Z38,MIN(Z$6-$E$3,22))),0))-IF($G$2,0,IF((Z$6-$G$3)&lt;1,0,IFERROR(LOOKUP(2,1/('Milho 1ª safra'!$E38:INDEX('Milho 1ª safra'!$E38:$Z38,MIN(Z$6-$G$3,22))&lt;&gt;""),'Milho 1ª safra'!$E38:INDEX('Milho 1ª safra'!$E38:$Z38,MIN(Z$6-$G$3,22))),0)))))</f>
        <v>0</v>
      </c>
      <c r="AA40" s="27" t="n">
        <f aca="false">IF(COUNT('Milho 1ª safra'!$E38:$Z38)=0,0,MAX(0,IF((AA$6-$E$3)&lt;1,0,IFERROR(LOOKUP(2,1/('Milho 1ª safra'!$E38:INDEX('Milho 1ª safra'!$E38:$Z38,MIN(AA$6-$E$3,22))&lt;&gt;""),'Milho 1ª safra'!$E38:INDEX('Milho 1ª safra'!$E38:$Z38,MIN(AA$6-$E$3,22))),0))-IF($G$2,0,IF((AA$6-$G$3)&lt;1,0,IFERROR(LOOKUP(2,1/('Milho 1ª safra'!$E38:INDEX('Milho 1ª safra'!$E38:$Z38,MIN(AA$6-$G$3,22))&lt;&gt;""),'Milho 1ª safra'!$E38:INDEX('Milho 1ª safra'!$E38:$Z38,MIN(AA$6-$G$3,22))),0)))))</f>
        <v>0</v>
      </c>
      <c r="AB40" s="27" t="n">
        <f aca="false">IF(COUNT('Milho 1ª safra'!$E38:$Z38)=0,0,MAX(0,IF((AB$6-$E$3)&lt;1,0,IFERROR(LOOKUP(2,1/('Milho 1ª safra'!$E38:INDEX('Milho 1ª safra'!$E38:$Z38,MIN(AB$6-$E$3,22))&lt;&gt;""),'Milho 1ª safra'!$E38:INDEX('Milho 1ª safra'!$E38:$Z38,MIN(AB$6-$E$3,22))),0))-IF($G$2,0,IF((AB$6-$G$3)&lt;1,0,IFERROR(LOOKUP(2,1/('Milho 1ª safra'!$E38:INDEX('Milho 1ª safra'!$E38:$Z38,MIN(AB$6-$G$3,22))&lt;&gt;""),'Milho 1ª safra'!$E38:INDEX('Milho 1ª safra'!$E38:$Z38,MIN(AB$6-$G$3,22))),0)))))</f>
        <v>0</v>
      </c>
      <c r="AC40" s="27" t="n">
        <f aca="false">IF(COUNT('Milho 1ª safra'!$E38:$Z38)=0,0,MAX(0,IF((AC$6-$E$3)&lt;1,0,IFERROR(LOOKUP(2,1/('Milho 1ª safra'!$E38:INDEX('Milho 1ª safra'!$E38:$Z38,MIN(AC$6-$E$3,22))&lt;&gt;""),'Milho 1ª safra'!$E38:INDEX('Milho 1ª safra'!$E38:$Z38,MIN(AC$6-$E$3,22))),0))-IF($G$2,0,IF((AC$6-$G$3)&lt;1,0,IFERROR(LOOKUP(2,1/('Milho 1ª safra'!$E38:INDEX('Milho 1ª safra'!$E38:$Z38,MIN(AC$6-$G$3,22))&lt;&gt;""),'Milho 1ª safra'!$E38:INDEX('Milho 1ª safra'!$E38:$Z38,MIN(AC$6-$G$3,22))),0)))))</f>
        <v>0</v>
      </c>
      <c r="AD40" s="27" t="n">
        <f aca="false">IF(COUNT('Milho 1ª safra'!$E38:$Z38)=0,0,MAX(0,IF((AD$6-$E$3)&lt;1,0,IFERROR(LOOKUP(2,1/('Milho 1ª safra'!$E38:INDEX('Milho 1ª safra'!$E38:$Z38,MIN(AD$6-$E$3,22))&lt;&gt;""),'Milho 1ª safra'!$E38:INDEX('Milho 1ª safra'!$E38:$Z38,MIN(AD$6-$E$3,22))),0))-IF($G$2,0,IF((AD$6-$G$3)&lt;1,0,IFERROR(LOOKUP(2,1/('Milho 1ª safra'!$E38:INDEX('Milho 1ª safra'!$E38:$Z38,MIN(AD$6-$G$3,22))&lt;&gt;""),'Milho 1ª safra'!$E38:INDEX('Milho 1ª safra'!$E38:$Z38,MIN(AD$6-$G$3,22))),0)))))</f>
        <v>0</v>
      </c>
      <c r="AE40" s="27" t="n">
        <f aca="false">IF(COUNT('Milho 1ª safra'!$E38:$Z38)=0,0,MAX(0,IF((AE$6-$E$3)&lt;1,0,IFERROR(LOOKUP(2,1/('Milho 1ª safra'!$E38:INDEX('Milho 1ª safra'!$E38:$Z38,MIN(AE$6-$E$3,22))&lt;&gt;""),'Milho 1ª safra'!$E38:INDEX('Milho 1ª safra'!$E38:$Z38,MIN(AE$6-$E$3,22))),0))-IF($G$2,0,IF((AE$6-$G$3)&lt;1,0,IFERROR(LOOKUP(2,1/('Milho 1ª safra'!$E38:INDEX('Milho 1ª safra'!$E38:$Z38,MIN(AE$6-$G$3,22))&lt;&gt;""),'Milho 1ª safra'!$E38:INDEX('Milho 1ª safra'!$E38:$Z38,MIN(AE$6-$G$3,22))),0)))))</f>
        <v>0</v>
      </c>
      <c r="AF40" s="27" t="n">
        <f aca="false">IF(COUNT('Milho 1ª safra'!$E38:$Z38)=0,0,MAX(0,IF((AF$6-$E$3)&lt;1,0,IFERROR(LOOKUP(2,1/('Milho 1ª safra'!$E38:INDEX('Milho 1ª safra'!$E38:$Z38,MIN(AF$6-$E$3,22))&lt;&gt;""),'Milho 1ª safra'!$E38:INDEX('Milho 1ª safra'!$E38:$Z38,MIN(AF$6-$E$3,22))),0))-IF($G$2,0,IF((AF$6-$G$3)&lt;1,0,IFERROR(LOOKUP(2,1/('Milho 1ª safra'!$E38:INDEX('Milho 1ª safra'!$E38:$Z38,MIN(AF$6-$G$3,22))&lt;&gt;""),'Milho 1ª safra'!$E38:INDEX('Milho 1ª safra'!$E38:$Z38,MIN(AF$6-$G$3,22))),0)))))</f>
        <v>0</v>
      </c>
      <c r="AG40" s="27" t="n">
        <f aca="false">IF(COUNT('Milho 1ª safra'!$E38:$Z38)=0,0,MAX(0,IF((AG$6-$E$3)&lt;1,0,IFERROR(LOOKUP(2,1/('Milho 1ª safra'!$E38:INDEX('Milho 1ª safra'!$E38:$Z38,MIN(AG$6-$E$3,22))&lt;&gt;""),'Milho 1ª safra'!$E38:INDEX('Milho 1ª safra'!$E38:$Z38,MIN(AG$6-$E$3,22))),0))-IF($G$2,0,IF((AG$6-$G$3)&lt;1,0,IFERROR(LOOKUP(2,1/('Milho 1ª safra'!$E38:INDEX('Milho 1ª safra'!$E38:$Z38,MIN(AG$6-$G$3,22))&lt;&gt;""),'Milho 1ª safra'!$E38:INDEX('Milho 1ª safra'!$E38:$Z38,MIN(AG$6-$G$3,22))),0)))))</f>
        <v>0</v>
      </c>
      <c r="AH40" s="27" t="n">
        <f aca="false">IF(COUNT('Milho 1ª safra'!$E38:$Z38)=0,0,MAX(0,IF((AH$6-$E$3)&lt;1,0,IFERROR(LOOKUP(2,1/('Milho 1ª safra'!$E38:INDEX('Milho 1ª safra'!$E38:$Z38,MIN(AH$6-$E$3,22))&lt;&gt;""),'Milho 1ª safra'!$E38:INDEX('Milho 1ª safra'!$E38:$Z38,MIN(AH$6-$E$3,22))),0))-IF($G$2,0,IF((AH$6-$G$3)&lt;1,0,IFERROR(LOOKUP(2,1/('Milho 1ª safra'!$E38:INDEX('Milho 1ª safra'!$E38:$Z38,MIN(AH$6-$G$3,22))&lt;&gt;""),'Milho 1ª safra'!$E38:INDEX('Milho 1ª safra'!$E38:$Z38,MIN(AH$6-$G$3,22))),0)))))</f>
        <v>0</v>
      </c>
      <c r="AI40" s="27" t="n">
        <f aca="false">IF(COUNT('Milho 1ª safra'!$E38:$Z38)=0,0,MAX(0,IF((AI$6-$E$3)&lt;1,0,IFERROR(LOOKUP(2,1/('Milho 1ª safra'!$E38:INDEX('Milho 1ª safra'!$E38:$Z38,MIN(AI$6-$E$3,22))&lt;&gt;""),'Milho 1ª safra'!$E38:INDEX('Milho 1ª safra'!$E38:$Z38,MIN(AI$6-$E$3,22))),0))-IF($G$2,0,IF((AI$6-$G$3)&lt;1,0,IFERROR(LOOKUP(2,1/('Milho 1ª safra'!$E38:INDEX('Milho 1ª safra'!$E38:$Z38,MIN(AI$6-$G$3,22))&lt;&gt;""),'Milho 1ª safra'!$E38:INDEX('Milho 1ª safra'!$E38:$Z38,MIN(AI$6-$G$3,22))),0)))))</f>
        <v>0</v>
      </c>
      <c r="AJ40" s="27" t="n">
        <f aca="false">IF(COUNT('Milho 1ª safra'!$E38:$Z38)=0,0,MAX(0,IF((AJ$6-$E$3)&lt;1,0,IFERROR(LOOKUP(2,1/('Milho 1ª safra'!$E38:INDEX('Milho 1ª safra'!$E38:$Z38,MIN(AJ$6-$E$3,22))&lt;&gt;""),'Milho 1ª safra'!$E38:INDEX('Milho 1ª safra'!$E38:$Z38,MIN(AJ$6-$E$3,22))),0))-IF($G$2,0,IF((AJ$6-$G$3)&lt;1,0,IFERROR(LOOKUP(2,1/('Milho 1ª safra'!$E38:INDEX('Milho 1ª safra'!$E38:$Z38,MIN(AJ$6-$G$3,22))&lt;&gt;""),'Milho 1ª safra'!$E38:INDEX('Milho 1ª safra'!$E38:$Z38,MIN(AJ$6-$G$3,22))),0)))))</f>
        <v>0</v>
      </c>
      <c r="AK40" s="27" t="n">
        <f aca="false">IF(COUNT('Milho 1ª safra'!$E38:$Z38)=0,0,MAX(0,IF((AK$6-$E$3)&lt;1,0,IFERROR(LOOKUP(2,1/('Milho 1ª safra'!$E38:INDEX('Milho 1ª safra'!$E38:$Z38,MIN(AK$6-$E$3,22))&lt;&gt;""),'Milho 1ª safra'!$E38:INDEX('Milho 1ª safra'!$E38:$Z38,MIN(AK$6-$E$3,22))),0))-IF($G$2,0,IF((AK$6-$G$3)&lt;1,0,IFERROR(LOOKUP(2,1/('Milho 1ª safra'!$E38:INDEX('Milho 1ª safra'!$E38:$Z38,MIN(AK$6-$G$3,22))&lt;&gt;""),'Milho 1ª safra'!$E38:INDEX('Milho 1ª safra'!$E38:$Z38,MIN(AK$6-$G$3,22))),0)))))</f>
        <v>0</v>
      </c>
      <c r="AL40" s="27" t="n">
        <f aca="false">IF(COUNT('Milho 1ª safra'!$E38:$Z38)=0,0,MAX(0,IF((AL$6-$E$3)&lt;1,0,IFERROR(LOOKUP(2,1/('Milho 1ª safra'!$E38:INDEX('Milho 1ª safra'!$E38:$Z38,MIN(AL$6-$E$3,22))&lt;&gt;""),'Milho 1ª safra'!$E38:INDEX('Milho 1ª safra'!$E38:$Z38,MIN(AL$6-$E$3,22))),0))-IF($G$2,0,IF((AL$6-$G$3)&lt;1,0,IFERROR(LOOKUP(2,1/('Milho 1ª safra'!$E38:INDEX('Milho 1ª safra'!$E38:$Z38,MIN(AL$6-$G$3,22))&lt;&gt;""),'Milho 1ª safra'!$E38:INDEX('Milho 1ª safra'!$E38:$Z38,MIN(AL$6-$G$3,22))),0)))))</f>
        <v>0</v>
      </c>
      <c r="AM40" s="27" t="n">
        <f aca="false">IF(COUNT('Milho 1ª safra'!$E38:$Z38)=0,0,MAX(0,IF((AM$6-$E$3)&lt;1,0,IFERROR(LOOKUP(2,1/('Milho 1ª safra'!$E38:INDEX('Milho 1ª safra'!$E38:$Z38,MIN(AM$6-$E$3,22))&lt;&gt;""),'Milho 1ª safra'!$E38:INDEX('Milho 1ª safra'!$E38:$Z38,MIN(AM$6-$E$3,22))),0))-IF($G$2,0,IF((AM$6-$G$3)&lt;1,0,IFERROR(LOOKUP(2,1/('Milho 1ª safra'!$E38:INDEX('Milho 1ª safra'!$E38:$Z38,MIN(AM$6-$G$3,22))&lt;&gt;""),'Milho 1ª safra'!$E38:INDEX('Milho 1ª safra'!$E38:$Z38,MIN(AM$6-$G$3,22))),0)))))</f>
        <v>0</v>
      </c>
      <c r="AN40" s="27" t="n">
        <f aca="false">IF(COUNT('Milho 1ª safra'!$E38:$Z38)=0,0,MAX(0,IF((AN$6-$E$3)&lt;1,0,IFERROR(LOOKUP(2,1/('Milho 1ª safra'!$E38:INDEX('Milho 1ª safra'!$E38:$Z38,MIN(AN$6-$E$3,22))&lt;&gt;""),'Milho 1ª safra'!$E38:INDEX('Milho 1ª safra'!$E38:$Z38,MIN(AN$6-$E$3,22))),0))-IF($G$2,0,IF((AN$6-$G$3)&lt;1,0,IFERROR(LOOKUP(2,1/('Milho 1ª safra'!$E38:INDEX('Milho 1ª safra'!$E38:$Z38,MIN(AN$6-$G$3,22))&lt;&gt;""),'Milho 1ª safra'!$E38:INDEX('Milho 1ª safra'!$E38:$Z38,MIN(AN$6-$G$3,22))),0)))))</f>
        <v>0</v>
      </c>
      <c r="AO40" s="27" t="n">
        <f aca="false">IF(COUNT('Milho 1ª safra'!$E38:$Z38)=0,0,MAX(0,IF((AO$6-$E$3)&lt;1,0,IFERROR(LOOKUP(2,1/('Milho 1ª safra'!$E38:INDEX('Milho 1ª safra'!$E38:$Z38,MIN(AO$6-$E$3,22))&lt;&gt;""),'Milho 1ª safra'!$E38:INDEX('Milho 1ª safra'!$E38:$Z38,MIN(AO$6-$E$3,22))),0))-IF($G$2,0,IF((AO$6-$G$3)&lt;1,0,IFERROR(LOOKUP(2,1/('Milho 1ª safra'!$E38:INDEX('Milho 1ª safra'!$E38:$Z38,MIN(AO$6-$G$3,22))&lt;&gt;""),'Milho 1ª safra'!$E38:INDEX('Milho 1ª safra'!$E38:$Z38,MIN(AO$6-$G$3,22))),0)))))</f>
        <v>0</v>
      </c>
      <c r="AP40" s="27" t="n">
        <f aca="false">IF(COUNT('Milho 1ª safra'!$E38:$Z38)=0,0,MAX(0,IF((AP$6-$E$3)&lt;1,0,IFERROR(LOOKUP(2,1/('Milho 1ª safra'!$E38:INDEX('Milho 1ª safra'!$E38:$Z38,MIN(AP$6-$E$3,22))&lt;&gt;""),'Milho 1ª safra'!$E38:INDEX('Milho 1ª safra'!$E38:$Z38,MIN(AP$6-$E$3,22))),0))-IF($G$2,0,IF((AP$6-$G$3)&lt;1,0,IFERROR(LOOKUP(2,1/('Milho 1ª safra'!$E38:INDEX('Milho 1ª safra'!$E38:$Z38,MIN(AP$6-$G$3,22))&lt;&gt;""),'Milho 1ª safra'!$E38:INDEX('Milho 1ª safra'!$E38:$Z38,MIN(AP$6-$G$3,22))),0)))))</f>
        <v>0</v>
      </c>
      <c r="AQ40" s="27" t="n">
        <f aca="false">IF(COUNT('Milho 1ª safra'!$E38:$Z38)=0,0,MAX(0,IF((AQ$6-$E$3)&lt;1,0,IFERROR(LOOKUP(2,1/('Milho 1ª safra'!$E38:INDEX('Milho 1ª safra'!$E38:$Z38,MIN(AQ$6-$E$3,22))&lt;&gt;""),'Milho 1ª safra'!$E38:INDEX('Milho 1ª safra'!$E38:$Z38,MIN(AQ$6-$E$3,22))),0))-IF($G$2,0,IF((AQ$6-$G$3)&lt;1,0,IFERROR(LOOKUP(2,1/('Milho 1ª safra'!$E38:INDEX('Milho 1ª safra'!$E38:$Z38,MIN(AQ$6-$G$3,22))&lt;&gt;""),'Milho 1ª safra'!$E38:INDEX('Milho 1ª safra'!$E38:$Z38,MIN(AQ$6-$G$3,22))),0)))))</f>
        <v>0</v>
      </c>
      <c r="AR40" s="27" t="n">
        <f aca="false">IF(COUNT('Milho 1ª safra'!$E38:$Z38)=0,0,MAX(0,IF((AR$6-$E$3)&lt;1,0,IFERROR(LOOKUP(2,1/('Milho 1ª safra'!$E38:INDEX('Milho 1ª safra'!$E38:$Z38,MIN(AR$6-$E$3,22))&lt;&gt;""),'Milho 1ª safra'!$E38:INDEX('Milho 1ª safra'!$E38:$Z38,MIN(AR$6-$E$3,22))),0))-IF($G$2,0,IF((AR$6-$G$3)&lt;1,0,IFERROR(LOOKUP(2,1/('Milho 1ª safra'!$E38:INDEX('Milho 1ª safra'!$E38:$Z38,MIN(AR$6-$G$3,22))&lt;&gt;""),'Milho 1ª safra'!$E38:INDEX('Milho 1ª safra'!$E38:$Z38,MIN(AR$6-$G$3,22))),0)))))</f>
        <v>0</v>
      </c>
      <c r="AS40" s="27" t="n">
        <f aca="false">IF(COUNT('Milho 1ª safra'!$E38:$Z38)=0,0,MAX(0,IF((AS$6-$E$3)&lt;1,0,IFERROR(LOOKUP(2,1/('Milho 1ª safra'!$E38:INDEX('Milho 1ª safra'!$E38:$Z38,MIN(AS$6-$E$3,22))&lt;&gt;""),'Milho 1ª safra'!$E38:INDEX('Milho 1ª safra'!$E38:$Z38,MIN(AS$6-$E$3,22))),0))-IF($G$2,0,IF((AS$6-$G$3)&lt;1,0,IFERROR(LOOKUP(2,1/('Milho 1ª safra'!$E38:INDEX('Milho 1ª safra'!$E38:$Z38,MIN(AS$6-$G$3,22))&lt;&gt;""),'Milho 1ª safra'!$E38:INDEX('Milho 1ª safra'!$E38:$Z38,MIN(AS$6-$G$3,22))),0)))))</f>
        <v>0</v>
      </c>
      <c r="AT40" s="27" t="n">
        <f aca="false">IF(COUNT('Milho 1ª safra'!$E38:$Z38)=0,0,MAX(0,IF((AT$6-$E$3)&lt;1,0,IFERROR(LOOKUP(2,1/('Milho 1ª safra'!$E38:INDEX('Milho 1ª safra'!$E38:$Z38,MIN(AT$6-$E$3,22))&lt;&gt;""),'Milho 1ª safra'!$E38:INDEX('Milho 1ª safra'!$E38:$Z38,MIN(AT$6-$E$3,22))),0))-IF($G$2,0,IF((AT$6-$G$3)&lt;1,0,IFERROR(LOOKUP(2,1/('Milho 1ª safra'!$E38:INDEX('Milho 1ª safra'!$E38:$Z38,MIN(AT$6-$G$3,22))&lt;&gt;""),'Milho 1ª safra'!$E38:INDEX('Milho 1ª safra'!$E38:$Z38,MIN(AT$6-$G$3,22))),0)))))</f>
        <v>0</v>
      </c>
      <c r="AU40" s="27" t="n">
        <f aca="false">IF(COUNT('Milho 1ª safra'!$E38:$Z38)=0,0,MAX(0,IF((AU$6-$E$3)&lt;1,0,IFERROR(LOOKUP(2,1/('Milho 1ª safra'!$E38:INDEX('Milho 1ª safra'!$E38:$Z38,MIN(AU$6-$E$3,22))&lt;&gt;""),'Milho 1ª safra'!$E38:INDEX('Milho 1ª safra'!$E38:$Z38,MIN(AU$6-$E$3,22))),0))-IF($G$2,0,IF((AU$6-$G$3)&lt;1,0,IFERROR(LOOKUP(2,1/('Milho 1ª safra'!$E38:INDEX('Milho 1ª safra'!$E38:$Z38,MIN(AU$6-$G$3,22))&lt;&gt;""),'Milho 1ª safra'!$E38:INDEX('Milho 1ª safra'!$E38:$Z38,MIN(AU$6-$G$3,22))),0)))))</f>
        <v>0</v>
      </c>
      <c r="AV40" s="27" t="n">
        <f aca="false">IF(COUNT('Milho 1ª safra'!$E38:$Z38)=0,0,MAX(0,IF((AV$6-$E$3)&lt;1,0,IFERROR(LOOKUP(2,1/('Milho 1ª safra'!$E38:INDEX('Milho 1ª safra'!$E38:$Z38,MIN(AV$6-$E$3,22))&lt;&gt;""),'Milho 1ª safra'!$E38:INDEX('Milho 1ª safra'!$E38:$Z38,MIN(AV$6-$E$3,22))),0))-IF($G$2,0,IF((AV$6-$G$3)&lt;1,0,IFERROR(LOOKUP(2,1/('Milho 1ª safra'!$E38:INDEX('Milho 1ª safra'!$E38:$Z38,MIN(AV$6-$G$3,22))&lt;&gt;""),'Milho 1ª safra'!$E38:INDEX('Milho 1ª safra'!$E38:$Z38,MIN(AV$6-$G$3,22))),0)))))</f>
        <v>0</v>
      </c>
      <c r="AW40" s="27" t="n">
        <f aca="false">IF(COUNT('Milho 1ª safra'!$E38:$Z38)=0,0,MAX(0,IF((AW$6-$E$3)&lt;1,0,IFERROR(LOOKUP(2,1/('Milho 1ª safra'!$E38:INDEX('Milho 1ª safra'!$E38:$Z38,MIN(AW$6-$E$3,22))&lt;&gt;""),'Milho 1ª safra'!$E38:INDEX('Milho 1ª safra'!$E38:$Z38,MIN(AW$6-$E$3,22))),0))-IF($G$2,0,IF((AW$6-$G$3)&lt;1,0,IFERROR(LOOKUP(2,1/('Milho 1ª safra'!$E38:INDEX('Milho 1ª safra'!$E38:$Z38,MIN(AW$6-$G$3,22))&lt;&gt;""),'Milho 1ª safra'!$E38:INDEX('Milho 1ª safra'!$E38:$Z38,MIN(AW$6-$G$3,22))),0)))))</f>
        <v>0</v>
      </c>
      <c r="AX40" s="27" t="n">
        <f aca="false">IF(COUNT('Milho 1ª safra'!$E38:$Z38)=0,0,MAX(0,IF((AX$6-$E$3)&lt;1,0,IFERROR(LOOKUP(2,1/('Milho 1ª safra'!$E38:INDEX('Milho 1ª safra'!$E38:$Z38,MIN(AX$6-$E$3,22))&lt;&gt;""),'Milho 1ª safra'!$E38:INDEX('Milho 1ª safra'!$E38:$Z38,MIN(AX$6-$E$3,22))),0))-IF($G$2,0,IF((AX$6-$G$3)&lt;1,0,IFERROR(LOOKUP(2,1/('Milho 1ª safra'!$E38:INDEX('Milho 1ª safra'!$E38:$Z38,MIN(AX$6-$G$3,22))&lt;&gt;""),'Milho 1ª safra'!$E38:INDEX('Milho 1ª safra'!$E38:$Z38,MIN(AX$6-$G$3,22))),0)))))</f>
        <v>0</v>
      </c>
      <c r="AY40" s="27" t="n">
        <f aca="false">IF(COUNT('Milho 1ª safra'!$E38:$Z38)=0,0,MAX(0,IF((AY$6-$E$3)&lt;1,0,IFERROR(LOOKUP(2,1/('Milho 1ª safra'!$E38:INDEX('Milho 1ª safra'!$E38:$Z38,MIN(AY$6-$E$3,22))&lt;&gt;""),'Milho 1ª safra'!$E38:INDEX('Milho 1ª safra'!$E38:$Z38,MIN(AY$6-$E$3,22))),0))-IF($G$2,0,IF((AY$6-$G$3)&lt;1,0,IFERROR(LOOKUP(2,1/('Milho 1ª safra'!$E38:INDEX('Milho 1ª safra'!$E38:$Z38,MIN(AY$6-$G$3,22))&lt;&gt;""),'Milho 1ª safra'!$E38:INDEX('Milho 1ª safra'!$E38:$Z38,MIN(AY$6-$G$3,22))),0)))))</f>
        <v>0</v>
      </c>
      <c r="AZ40" s="27" t="n">
        <f aca="false">IF(COUNT('Milho 1ª safra'!$E38:$Z38)=0,0,MAX(0,IF((AZ$6-$E$3)&lt;1,0,IFERROR(LOOKUP(2,1/('Milho 1ª safra'!$E38:INDEX('Milho 1ª safra'!$E38:$Z38,MIN(AZ$6-$E$3,22))&lt;&gt;""),'Milho 1ª safra'!$E38:INDEX('Milho 1ª safra'!$E38:$Z38,MIN(AZ$6-$E$3,22))),0))-IF($G$2,0,IF((AZ$6-$G$3)&lt;1,0,IFERROR(LOOKUP(2,1/('Milho 1ª safra'!$E38:INDEX('Milho 1ª safra'!$E38:$Z38,MIN(AZ$6-$G$3,22))&lt;&gt;""),'Milho 1ª safra'!$E38:INDEX('Milho 1ª safra'!$E38:$Z38,MIN(AZ$6-$G$3,22))),0)))))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IF(COUNT('Milho 1ª safra'!$E39:$Z39)&gt;0,N('Milho 1ª safra'!$D39),0)</f>
        <v>0</v>
      </c>
      <c r="E41" s="27" t="n">
        <f aca="false">IF(COUNT('Milho 1ª safra'!$E39:$Z39)=0,0,MAX(0,IF((E$6-$E$3)&lt;1,0,IFERROR(LOOKUP(2,1/('Milho 1ª safra'!$E39:INDEX('Milho 1ª safra'!$E39:$Z39,MIN(E$6-$E$3,22))&lt;&gt;""),'Milho 1ª safra'!$E39:INDEX('Milho 1ª safra'!$E39:$Z39,MIN(E$6-$E$3,22))),0))-IF($G$2,0,IF((E$6-$G$3)&lt;1,0,IFERROR(LOOKUP(2,1/('Milho 1ª safra'!$E39:INDEX('Milho 1ª safra'!$E39:$Z39,MIN(E$6-$G$3,22))&lt;&gt;""),'Milho 1ª safra'!$E39:INDEX('Milho 1ª safra'!$E39:$Z39,MIN(E$6-$G$3,22))),0)))))</f>
        <v>0</v>
      </c>
      <c r="F41" s="27" t="n">
        <f aca="false">IF(COUNT('Milho 1ª safra'!$E39:$Z39)=0,0,MAX(0,IF((F$6-$E$3)&lt;1,0,IFERROR(LOOKUP(2,1/('Milho 1ª safra'!$E39:INDEX('Milho 1ª safra'!$E39:$Z39,MIN(F$6-$E$3,22))&lt;&gt;""),'Milho 1ª safra'!$E39:INDEX('Milho 1ª safra'!$E39:$Z39,MIN(F$6-$E$3,22))),0))-IF($G$2,0,IF((F$6-$G$3)&lt;1,0,IFERROR(LOOKUP(2,1/('Milho 1ª safra'!$E39:INDEX('Milho 1ª safra'!$E39:$Z39,MIN(F$6-$G$3,22))&lt;&gt;""),'Milho 1ª safra'!$E39:INDEX('Milho 1ª safra'!$E39:$Z39,MIN(F$6-$G$3,22))),0)))))</f>
        <v>0</v>
      </c>
      <c r="G41" s="27" t="n">
        <f aca="false">IF(COUNT('Milho 1ª safra'!$E39:$Z39)=0,0,MAX(0,IF((G$6-$E$3)&lt;1,0,IFERROR(LOOKUP(2,1/('Milho 1ª safra'!$E39:INDEX('Milho 1ª safra'!$E39:$Z39,MIN(G$6-$E$3,22))&lt;&gt;""),'Milho 1ª safra'!$E39:INDEX('Milho 1ª safra'!$E39:$Z39,MIN(G$6-$E$3,22))),0))-IF($G$2,0,IF((G$6-$G$3)&lt;1,0,IFERROR(LOOKUP(2,1/('Milho 1ª safra'!$E39:INDEX('Milho 1ª safra'!$E39:$Z39,MIN(G$6-$G$3,22))&lt;&gt;""),'Milho 1ª safra'!$E39:INDEX('Milho 1ª safra'!$E39:$Z39,MIN(G$6-$G$3,22))),0)))))</f>
        <v>0</v>
      </c>
      <c r="H41" s="27" t="n">
        <f aca="false">IF(COUNT('Milho 1ª safra'!$E39:$Z39)=0,0,MAX(0,IF((H$6-$E$3)&lt;1,0,IFERROR(LOOKUP(2,1/('Milho 1ª safra'!$E39:INDEX('Milho 1ª safra'!$E39:$Z39,MIN(H$6-$E$3,22))&lt;&gt;""),'Milho 1ª safra'!$E39:INDEX('Milho 1ª safra'!$E39:$Z39,MIN(H$6-$E$3,22))),0))-IF($G$2,0,IF((H$6-$G$3)&lt;1,0,IFERROR(LOOKUP(2,1/('Milho 1ª safra'!$E39:INDEX('Milho 1ª safra'!$E39:$Z39,MIN(H$6-$G$3,22))&lt;&gt;""),'Milho 1ª safra'!$E39:INDEX('Milho 1ª safra'!$E39:$Z39,MIN(H$6-$G$3,22))),0)))))</f>
        <v>0</v>
      </c>
      <c r="I41" s="27" t="n">
        <f aca="false">IF(COUNT('Milho 1ª safra'!$E39:$Z39)=0,0,MAX(0,IF((I$6-$E$3)&lt;1,0,IFERROR(LOOKUP(2,1/('Milho 1ª safra'!$E39:INDEX('Milho 1ª safra'!$E39:$Z39,MIN(I$6-$E$3,22))&lt;&gt;""),'Milho 1ª safra'!$E39:INDEX('Milho 1ª safra'!$E39:$Z39,MIN(I$6-$E$3,22))),0))-IF($G$2,0,IF((I$6-$G$3)&lt;1,0,IFERROR(LOOKUP(2,1/('Milho 1ª safra'!$E39:INDEX('Milho 1ª safra'!$E39:$Z39,MIN(I$6-$G$3,22))&lt;&gt;""),'Milho 1ª safra'!$E39:INDEX('Milho 1ª safra'!$E39:$Z39,MIN(I$6-$G$3,22))),0)))))</f>
        <v>0</v>
      </c>
      <c r="J41" s="27" t="n">
        <f aca="false">IF(COUNT('Milho 1ª safra'!$E39:$Z39)=0,0,MAX(0,IF((J$6-$E$3)&lt;1,0,IFERROR(LOOKUP(2,1/('Milho 1ª safra'!$E39:INDEX('Milho 1ª safra'!$E39:$Z39,MIN(J$6-$E$3,22))&lt;&gt;""),'Milho 1ª safra'!$E39:INDEX('Milho 1ª safra'!$E39:$Z39,MIN(J$6-$E$3,22))),0))-IF($G$2,0,IF((J$6-$G$3)&lt;1,0,IFERROR(LOOKUP(2,1/('Milho 1ª safra'!$E39:INDEX('Milho 1ª safra'!$E39:$Z39,MIN(J$6-$G$3,22))&lt;&gt;""),'Milho 1ª safra'!$E39:INDEX('Milho 1ª safra'!$E39:$Z39,MIN(J$6-$G$3,22))),0)))))</f>
        <v>0</v>
      </c>
      <c r="K41" s="27" t="n">
        <f aca="false">IF(COUNT('Milho 1ª safra'!$E39:$Z39)=0,0,MAX(0,IF((K$6-$E$3)&lt;1,0,IFERROR(LOOKUP(2,1/('Milho 1ª safra'!$E39:INDEX('Milho 1ª safra'!$E39:$Z39,MIN(K$6-$E$3,22))&lt;&gt;""),'Milho 1ª safra'!$E39:INDEX('Milho 1ª safra'!$E39:$Z39,MIN(K$6-$E$3,22))),0))-IF($G$2,0,IF((K$6-$G$3)&lt;1,0,IFERROR(LOOKUP(2,1/('Milho 1ª safra'!$E39:INDEX('Milho 1ª safra'!$E39:$Z39,MIN(K$6-$G$3,22))&lt;&gt;""),'Milho 1ª safra'!$E39:INDEX('Milho 1ª safra'!$E39:$Z39,MIN(K$6-$G$3,22))),0)))))</f>
        <v>0</v>
      </c>
      <c r="L41" s="27" t="n">
        <f aca="false">IF(COUNT('Milho 1ª safra'!$E39:$Z39)=0,0,MAX(0,IF((L$6-$E$3)&lt;1,0,IFERROR(LOOKUP(2,1/('Milho 1ª safra'!$E39:INDEX('Milho 1ª safra'!$E39:$Z39,MIN(L$6-$E$3,22))&lt;&gt;""),'Milho 1ª safra'!$E39:INDEX('Milho 1ª safra'!$E39:$Z39,MIN(L$6-$E$3,22))),0))-IF($G$2,0,IF((L$6-$G$3)&lt;1,0,IFERROR(LOOKUP(2,1/('Milho 1ª safra'!$E39:INDEX('Milho 1ª safra'!$E39:$Z39,MIN(L$6-$G$3,22))&lt;&gt;""),'Milho 1ª safra'!$E39:INDEX('Milho 1ª safra'!$E39:$Z39,MIN(L$6-$G$3,22))),0)))))</f>
        <v>0</v>
      </c>
      <c r="M41" s="27" t="n">
        <f aca="false">IF(COUNT('Milho 1ª safra'!$E39:$Z39)=0,0,MAX(0,IF((M$6-$E$3)&lt;1,0,IFERROR(LOOKUP(2,1/('Milho 1ª safra'!$E39:INDEX('Milho 1ª safra'!$E39:$Z39,MIN(M$6-$E$3,22))&lt;&gt;""),'Milho 1ª safra'!$E39:INDEX('Milho 1ª safra'!$E39:$Z39,MIN(M$6-$E$3,22))),0))-IF($G$2,0,IF((M$6-$G$3)&lt;1,0,IFERROR(LOOKUP(2,1/('Milho 1ª safra'!$E39:INDEX('Milho 1ª safra'!$E39:$Z39,MIN(M$6-$G$3,22))&lt;&gt;""),'Milho 1ª safra'!$E39:INDEX('Milho 1ª safra'!$E39:$Z39,MIN(M$6-$G$3,22))),0)))))</f>
        <v>0</v>
      </c>
      <c r="N41" s="27" t="n">
        <f aca="false">IF(COUNT('Milho 1ª safra'!$E39:$Z39)=0,0,MAX(0,IF((N$6-$E$3)&lt;1,0,IFERROR(LOOKUP(2,1/('Milho 1ª safra'!$E39:INDEX('Milho 1ª safra'!$E39:$Z39,MIN(N$6-$E$3,22))&lt;&gt;""),'Milho 1ª safra'!$E39:INDEX('Milho 1ª safra'!$E39:$Z39,MIN(N$6-$E$3,22))),0))-IF($G$2,0,IF((N$6-$G$3)&lt;1,0,IFERROR(LOOKUP(2,1/('Milho 1ª safra'!$E39:INDEX('Milho 1ª safra'!$E39:$Z39,MIN(N$6-$G$3,22))&lt;&gt;""),'Milho 1ª safra'!$E39:INDEX('Milho 1ª safra'!$E39:$Z39,MIN(N$6-$G$3,22))),0)))))</f>
        <v>0</v>
      </c>
      <c r="O41" s="27" t="n">
        <f aca="false">IF(COUNT('Milho 1ª safra'!$E39:$Z39)=0,0,MAX(0,IF((O$6-$E$3)&lt;1,0,IFERROR(LOOKUP(2,1/('Milho 1ª safra'!$E39:INDEX('Milho 1ª safra'!$E39:$Z39,MIN(O$6-$E$3,22))&lt;&gt;""),'Milho 1ª safra'!$E39:INDEX('Milho 1ª safra'!$E39:$Z39,MIN(O$6-$E$3,22))),0))-IF($G$2,0,IF((O$6-$G$3)&lt;1,0,IFERROR(LOOKUP(2,1/('Milho 1ª safra'!$E39:INDEX('Milho 1ª safra'!$E39:$Z39,MIN(O$6-$G$3,22))&lt;&gt;""),'Milho 1ª safra'!$E39:INDEX('Milho 1ª safra'!$E39:$Z39,MIN(O$6-$G$3,22))),0)))))</f>
        <v>0</v>
      </c>
      <c r="P41" s="27" t="n">
        <f aca="false">IF(COUNT('Milho 1ª safra'!$E39:$Z39)=0,0,MAX(0,IF((P$6-$E$3)&lt;1,0,IFERROR(LOOKUP(2,1/('Milho 1ª safra'!$E39:INDEX('Milho 1ª safra'!$E39:$Z39,MIN(P$6-$E$3,22))&lt;&gt;""),'Milho 1ª safra'!$E39:INDEX('Milho 1ª safra'!$E39:$Z39,MIN(P$6-$E$3,22))),0))-IF($G$2,0,IF((P$6-$G$3)&lt;1,0,IFERROR(LOOKUP(2,1/('Milho 1ª safra'!$E39:INDEX('Milho 1ª safra'!$E39:$Z39,MIN(P$6-$G$3,22))&lt;&gt;""),'Milho 1ª safra'!$E39:INDEX('Milho 1ª safra'!$E39:$Z39,MIN(P$6-$G$3,22))),0)))))</f>
        <v>0</v>
      </c>
      <c r="Q41" s="27" t="n">
        <f aca="false">IF(COUNT('Milho 1ª safra'!$E39:$Z39)=0,0,MAX(0,IF((Q$6-$E$3)&lt;1,0,IFERROR(LOOKUP(2,1/('Milho 1ª safra'!$E39:INDEX('Milho 1ª safra'!$E39:$Z39,MIN(Q$6-$E$3,22))&lt;&gt;""),'Milho 1ª safra'!$E39:INDEX('Milho 1ª safra'!$E39:$Z39,MIN(Q$6-$E$3,22))),0))-IF($G$2,0,IF((Q$6-$G$3)&lt;1,0,IFERROR(LOOKUP(2,1/('Milho 1ª safra'!$E39:INDEX('Milho 1ª safra'!$E39:$Z39,MIN(Q$6-$G$3,22))&lt;&gt;""),'Milho 1ª safra'!$E39:INDEX('Milho 1ª safra'!$E39:$Z39,MIN(Q$6-$G$3,22))),0)))))</f>
        <v>0</v>
      </c>
      <c r="R41" s="27" t="n">
        <f aca="false">IF(COUNT('Milho 1ª safra'!$E39:$Z39)=0,0,MAX(0,IF((R$6-$E$3)&lt;1,0,IFERROR(LOOKUP(2,1/('Milho 1ª safra'!$E39:INDEX('Milho 1ª safra'!$E39:$Z39,MIN(R$6-$E$3,22))&lt;&gt;""),'Milho 1ª safra'!$E39:INDEX('Milho 1ª safra'!$E39:$Z39,MIN(R$6-$E$3,22))),0))-IF($G$2,0,IF((R$6-$G$3)&lt;1,0,IFERROR(LOOKUP(2,1/('Milho 1ª safra'!$E39:INDEX('Milho 1ª safra'!$E39:$Z39,MIN(R$6-$G$3,22))&lt;&gt;""),'Milho 1ª safra'!$E39:INDEX('Milho 1ª safra'!$E39:$Z39,MIN(R$6-$G$3,22))),0)))))</f>
        <v>0</v>
      </c>
      <c r="S41" s="27" t="n">
        <f aca="false">IF(COUNT('Milho 1ª safra'!$E39:$Z39)=0,0,MAX(0,IF((S$6-$E$3)&lt;1,0,IFERROR(LOOKUP(2,1/('Milho 1ª safra'!$E39:INDEX('Milho 1ª safra'!$E39:$Z39,MIN(S$6-$E$3,22))&lt;&gt;""),'Milho 1ª safra'!$E39:INDEX('Milho 1ª safra'!$E39:$Z39,MIN(S$6-$E$3,22))),0))-IF($G$2,0,IF((S$6-$G$3)&lt;1,0,IFERROR(LOOKUP(2,1/('Milho 1ª safra'!$E39:INDEX('Milho 1ª safra'!$E39:$Z39,MIN(S$6-$G$3,22))&lt;&gt;""),'Milho 1ª safra'!$E39:INDEX('Milho 1ª safra'!$E39:$Z39,MIN(S$6-$G$3,22))),0)))))</f>
        <v>0</v>
      </c>
      <c r="T41" s="27" t="n">
        <f aca="false">IF(COUNT('Milho 1ª safra'!$E39:$Z39)=0,0,MAX(0,IF((T$6-$E$3)&lt;1,0,IFERROR(LOOKUP(2,1/('Milho 1ª safra'!$E39:INDEX('Milho 1ª safra'!$E39:$Z39,MIN(T$6-$E$3,22))&lt;&gt;""),'Milho 1ª safra'!$E39:INDEX('Milho 1ª safra'!$E39:$Z39,MIN(T$6-$E$3,22))),0))-IF($G$2,0,IF((T$6-$G$3)&lt;1,0,IFERROR(LOOKUP(2,1/('Milho 1ª safra'!$E39:INDEX('Milho 1ª safra'!$E39:$Z39,MIN(T$6-$G$3,22))&lt;&gt;""),'Milho 1ª safra'!$E39:INDEX('Milho 1ª safra'!$E39:$Z39,MIN(T$6-$G$3,22))),0)))))</f>
        <v>0</v>
      </c>
      <c r="U41" s="27" t="n">
        <f aca="false">IF(COUNT('Milho 1ª safra'!$E39:$Z39)=0,0,MAX(0,IF((U$6-$E$3)&lt;1,0,IFERROR(LOOKUP(2,1/('Milho 1ª safra'!$E39:INDEX('Milho 1ª safra'!$E39:$Z39,MIN(U$6-$E$3,22))&lt;&gt;""),'Milho 1ª safra'!$E39:INDEX('Milho 1ª safra'!$E39:$Z39,MIN(U$6-$E$3,22))),0))-IF($G$2,0,IF((U$6-$G$3)&lt;1,0,IFERROR(LOOKUP(2,1/('Milho 1ª safra'!$E39:INDEX('Milho 1ª safra'!$E39:$Z39,MIN(U$6-$G$3,22))&lt;&gt;""),'Milho 1ª safra'!$E39:INDEX('Milho 1ª safra'!$E39:$Z39,MIN(U$6-$G$3,22))),0)))))</f>
        <v>0</v>
      </c>
      <c r="V41" s="27" t="n">
        <f aca="false">IF(COUNT('Milho 1ª safra'!$E39:$Z39)=0,0,MAX(0,IF((V$6-$E$3)&lt;1,0,IFERROR(LOOKUP(2,1/('Milho 1ª safra'!$E39:INDEX('Milho 1ª safra'!$E39:$Z39,MIN(V$6-$E$3,22))&lt;&gt;""),'Milho 1ª safra'!$E39:INDEX('Milho 1ª safra'!$E39:$Z39,MIN(V$6-$E$3,22))),0))-IF($G$2,0,IF((V$6-$G$3)&lt;1,0,IFERROR(LOOKUP(2,1/('Milho 1ª safra'!$E39:INDEX('Milho 1ª safra'!$E39:$Z39,MIN(V$6-$G$3,22))&lt;&gt;""),'Milho 1ª safra'!$E39:INDEX('Milho 1ª safra'!$E39:$Z39,MIN(V$6-$G$3,22))),0)))))</f>
        <v>0</v>
      </c>
      <c r="W41" s="27" t="n">
        <f aca="false">IF(COUNT('Milho 1ª safra'!$E39:$Z39)=0,0,MAX(0,IF((W$6-$E$3)&lt;1,0,IFERROR(LOOKUP(2,1/('Milho 1ª safra'!$E39:INDEX('Milho 1ª safra'!$E39:$Z39,MIN(W$6-$E$3,22))&lt;&gt;""),'Milho 1ª safra'!$E39:INDEX('Milho 1ª safra'!$E39:$Z39,MIN(W$6-$E$3,22))),0))-IF($G$2,0,IF((W$6-$G$3)&lt;1,0,IFERROR(LOOKUP(2,1/('Milho 1ª safra'!$E39:INDEX('Milho 1ª safra'!$E39:$Z39,MIN(W$6-$G$3,22))&lt;&gt;""),'Milho 1ª safra'!$E39:INDEX('Milho 1ª safra'!$E39:$Z39,MIN(W$6-$G$3,22))),0)))))</f>
        <v>0</v>
      </c>
      <c r="X41" s="27" t="n">
        <f aca="false">IF(COUNT('Milho 1ª safra'!$E39:$Z39)=0,0,MAX(0,IF((X$6-$E$3)&lt;1,0,IFERROR(LOOKUP(2,1/('Milho 1ª safra'!$E39:INDEX('Milho 1ª safra'!$E39:$Z39,MIN(X$6-$E$3,22))&lt;&gt;""),'Milho 1ª safra'!$E39:INDEX('Milho 1ª safra'!$E39:$Z39,MIN(X$6-$E$3,22))),0))-IF($G$2,0,IF((X$6-$G$3)&lt;1,0,IFERROR(LOOKUP(2,1/('Milho 1ª safra'!$E39:INDEX('Milho 1ª safra'!$E39:$Z39,MIN(X$6-$G$3,22))&lt;&gt;""),'Milho 1ª safra'!$E39:INDEX('Milho 1ª safra'!$E39:$Z39,MIN(X$6-$G$3,22))),0)))))</f>
        <v>0</v>
      </c>
      <c r="Y41" s="27" t="n">
        <f aca="false">IF(COUNT('Milho 1ª safra'!$E39:$Z39)=0,0,MAX(0,IF((Y$6-$E$3)&lt;1,0,IFERROR(LOOKUP(2,1/('Milho 1ª safra'!$E39:INDEX('Milho 1ª safra'!$E39:$Z39,MIN(Y$6-$E$3,22))&lt;&gt;""),'Milho 1ª safra'!$E39:INDEX('Milho 1ª safra'!$E39:$Z39,MIN(Y$6-$E$3,22))),0))-IF($G$2,0,IF((Y$6-$G$3)&lt;1,0,IFERROR(LOOKUP(2,1/('Milho 1ª safra'!$E39:INDEX('Milho 1ª safra'!$E39:$Z39,MIN(Y$6-$G$3,22))&lt;&gt;""),'Milho 1ª safra'!$E39:INDEX('Milho 1ª safra'!$E39:$Z39,MIN(Y$6-$G$3,22))),0)))))</f>
        <v>0</v>
      </c>
      <c r="Z41" s="27" t="n">
        <f aca="false">IF(COUNT('Milho 1ª safra'!$E39:$Z39)=0,0,MAX(0,IF((Z$6-$E$3)&lt;1,0,IFERROR(LOOKUP(2,1/('Milho 1ª safra'!$E39:INDEX('Milho 1ª safra'!$E39:$Z39,MIN(Z$6-$E$3,22))&lt;&gt;""),'Milho 1ª safra'!$E39:INDEX('Milho 1ª safra'!$E39:$Z39,MIN(Z$6-$E$3,22))),0))-IF($G$2,0,IF((Z$6-$G$3)&lt;1,0,IFERROR(LOOKUP(2,1/('Milho 1ª safra'!$E39:INDEX('Milho 1ª safra'!$E39:$Z39,MIN(Z$6-$G$3,22))&lt;&gt;""),'Milho 1ª safra'!$E39:INDEX('Milho 1ª safra'!$E39:$Z39,MIN(Z$6-$G$3,22))),0)))))</f>
        <v>0</v>
      </c>
      <c r="AA41" s="27" t="n">
        <f aca="false">IF(COUNT('Milho 1ª safra'!$E39:$Z39)=0,0,MAX(0,IF((AA$6-$E$3)&lt;1,0,IFERROR(LOOKUP(2,1/('Milho 1ª safra'!$E39:INDEX('Milho 1ª safra'!$E39:$Z39,MIN(AA$6-$E$3,22))&lt;&gt;""),'Milho 1ª safra'!$E39:INDEX('Milho 1ª safra'!$E39:$Z39,MIN(AA$6-$E$3,22))),0))-IF($G$2,0,IF((AA$6-$G$3)&lt;1,0,IFERROR(LOOKUP(2,1/('Milho 1ª safra'!$E39:INDEX('Milho 1ª safra'!$E39:$Z39,MIN(AA$6-$G$3,22))&lt;&gt;""),'Milho 1ª safra'!$E39:INDEX('Milho 1ª safra'!$E39:$Z39,MIN(AA$6-$G$3,22))),0)))))</f>
        <v>0</v>
      </c>
      <c r="AB41" s="27" t="n">
        <f aca="false">IF(COUNT('Milho 1ª safra'!$E39:$Z39)=0,0,MAX(0,IF((AB$6-$E$3)&lt;1,0,IFERROR(LOOKUP(2,1/('Milho 1ª safra'!$E39:INDEX('Milho 1ª safra'!$E39:$Z39,MIN(AB$6-$E$3,22))&lt;&gt;""),'Milho 1ª safra'!$E39:INDEX('Milho 1ª safra'!$E39:$Z39,MIN(AB$6-$E$3,22))),0))-IF($G$2,0,IF((AB$6-$G$3)&lt;1,0,IFERROR(LOOKUP(2,1/('Milho 1ª safra'!$E39:INDEX('Milho 1ª safra'!$E39:$Z39,MIN(AB$6-$G$3,22))&lt;&gt;""),'Milho 1ª safra'!$E39:INDEX('Milho 1ª safra'!$E39:$Z39,MIN(AB$6-$G$3,22))),0)))))</f>
        <v>0</v>
      </c>
      <c r="AC41" s="27" t="n">
        <f aca="false">IF(COUNT('Milho 1ª safra'!$E39:$Z39)=0,0,MAX(0,IF((AC$6-$E$3)&lt;1,0,IFERROR(LOOKUP(2,1/('Milho 1ª safra'!$E39:INDEX('Milho 1ª safra'!$E39:$Z39,MIN(AC$6-$E$3,22))&lt;&gt;""),'Milho 1ª safra'!$E39:INDEX('Milho 1ª safra'!$E39:$Z39,MIN(AC$6-$E$3,22))),0))-IF($G$2,0,IF((AC$6-$G$3)&lt;1,0,IFERROR(LOOKUP(2,1/('Milho 1ª safra'!$E39:INDEX('Milho 1ª safra'!$E39:$Z39,MIN(AC$6-$G$3,22))&lt;&gt;""),'Milho 1ª safra'!$E39:INDEX('Milho 1ª safra'!$E39:$Z39,MIN(AC$6-$G$3,22))),0)))))</f>
        <v>0</v>
      </c>
      <c r="AD41" s="27" t="n">
        <f aca="false">IF(COUNT('Milho 1ª safra'!$E39:$Z39)=0,0,MAX(0,IF((AD$6-$E$3)&lt;1,0,IFERROR(LOOKUP(2,1/('Milho 1ª safra'!$E39:INDEX('Milho 1ª safra'!$E39:$Z39,MIN(AD$6-$E$3,22))&lt;&gt;""),'Milho 1ª safra'!$E39:INDEX('Milho 1ª safra'!$E39:$Z39,MIN(AD$6-$E$3,22))),0))-IF($G$2,0,IF((AD$6-$G$3)&lt;1,0,IFERROR(LOOKUP(2,1/('Milho 1ª safra'!$E39:INDEX('Milho 1ª safra'!$E39:$Z39,MIN(AD$6-$G$3,22))&lt;&gt;""),'Milho 1ª safra'!$E39:INDEX('Milho 1ª safra'!$E39:$Z39,MIN(AD$6-$G$3,22))),0)))))</f>
        <v>0</v>
      </c>
      <c r="AE41" s="27" t="n">
        <f aca="false">IF(COUNT('Milho 1ª safra'!$E39:$Z39)=0,0,MAX(0,IF((AE$6-$E$3)&lt;1,0,IFERROR(LOOKUP(2,1/('Milho 1ª safra'!$E39:INDEX('Milho 1ª safra'!$E39:$Z39,MIN(AE$6-$E$3,22))&lt;&gt;""),'Milho 1ª safra'!$E39:INDEX('Milho 1ª safra'!$E39:$Z39,MIN(AE$6-$E$3,22))),0))-IF($G$2,0,IF((AE$6-$G$3)&lt;1,0,IFERROR(LOOKUP(2,1/('Milho 1ª safra'!$E39:INDEX('Milho 1ª safra'!$E39:$Z39,MIN(AE$6-$G$3,22))&lt;&gt;""),'Milho 1ª safra'!$E39:INDEX('Milho 1ª safra'!$E39:$Z39,MIN(AE$6-$G$3,22))),0)))))</f>
        <v>0</v>
      </c>
      <c r="AF41" s="27" t="n">
        <f aca="false">IF(COUNT('Milho 1ª safra'!$E39:$Z39)=0,0,MAX(0,IF((AF$6-$E$3)&lt;1,0,IFERROR(LOOKUP(2,1/('Milho 1ª safra'!$E39:INDEX('Milho 1ª safra'!$E39:$Z39,MIN(AF$6-$E$3,22))&lt;&gt;""),'Milho 1ª safra'!$E39:INDEX('Milho 1ª safra'!$E39:$Z39,MIN(AF$6-$E$3,22))),0))-IF($G$2,0,IF((AF$6-$G$3)&lt;1,0,IFERROR(LOOKUP(2,1/('Milho 1ª safra'!$E39:INDEX('Milho 1ª safra'!$E39:$Z39,MIN(AF$6-$G$3,22))&lt;&gt;""),'Milho 1ª safra'!$E39:INDEX('Milho 1ª safra'!$E39:$Z39,MIN(AF$6-$G$3,22))),0)))))</f>
        <v>0</v>
      </c>
      <c r="AG41" s="27" t="n">
        <f aca="false">IF(COUNT('Milho 1ª safra'!$E39:$Z39)=0,0,MAX(0,IF((AG$6-$E$3)&lt;1,0,IFERROR(LOOKUP(2,1/('Milho 1ª safra'!$E39:INDEX('Milho 1ª safra'!$E39:$Z39,MIN(AG$6-$E$3,22))&lt;&gt;""),'Milho 1ª safra'!$E39:INDEX('Milho 1ª safra'!$E39:$Z39,MIN(AG$6-$E$3,22))),0))-IF($G$2,0,IF((AG$6-$G$3)&lt;1,0,IFERROR(LOOKUP(2,1/('Milho 1ª safra'!$E39:INDEX('Milho 1ª safra'!$E39:$Z39,MIN(AG$6-$G$3,22))&lt;&gt;""),'Milho 1ª safra'!$E39:INDEX('Milho 1ª safra'!$E39:$Z39,MIN(AG$6-$G$3,22))),0)))))</f>
        <v>0</v>
      </c>
      <c r="AH41" s="27" t="n">
        <f aca="false">IF(COUNT('Milho 1ª safra'!$E39:$Z39)=0,0,MAX(0,IF((AH$6-$E$3)&lt;1,0,IFERROR(LOOKUP(2,1/('Milho 1ª safra'!$E39:INDEX('Milho 1ª safra'!$E39:$Z39,MIN(AH$6-$E$3,22))&lt;&gt;""),'Milho 1ª safra'!$E39:INDEX('Milho 1ª safra'!$E39:$Z39,MIN(AH$6-$E$3,22))),0))-IF($G$2,0,IF((AH$6-$G$3)&lt;1,0,IFERROR(LOOKUP(2,1/('Milho 1ª safra'!$E39:INDEX('Milho 1ª safra'!$E39:$Z39,MIN(AH$6-$G$3,22))&lt;&gt;""),'Milho 1ª safra'!$E39:INDEX('Milho 1ª safra'!$E39:$Z39,MIN(AH$6-$G$3,22))),0)))))</f>
        <v>0</v>
      </c>
      <c r="AI41" s="27" t="n">
        <f aca="false">IF(COUNT('Milho 1ª safra'!$E39:$Z39)=0,0,MAX(0,IF((AI$6-$E$3)&lt;1,0,IFERROR(LOOKUP(2,1/('Milho 1ª safra'!$E39:INDEX('Milho 1ª safra'!$E39:$Z39,MIN(AI$6-$E$3,22))&lt;&gt;""),'Milho 1ª safra'!$E39:INDEX('Milho 1ª safra'!$E39:$Z39,MIN(AI$6-$E$3,22))),0))-IF($G$2,0,IF((AI$6-$G$3)&lt;1,0,IFERROR(LOOKUP(2,1/('Milho 1ª safra'!$E39:INDEX('Milho 1ª safra'!$E39:$Z39,MIN(AI$6-$G$3,22))&lt;&gt;""),'Milho 1ª safra'!$E39:INDEX('Milho 1ª safra'!$E39:$Z39,MIN(AI$6-$G$3,22))),0)))))</f>
        <v>0</v>
      </c>
      <c r="AJ41" s="27" t="n">
        <f aca="false">IF(COUNT('Milho 1ª safra'!$E39:$Z39)=0,0,MAX(0,IF((AJ$6-$E$3)&lt;1,0,IFERROR(LOOKUP(2,1/('Milho 1ª safra'!$E39:INDEX('Milho 1ª safra'!$E39:$Z39,MIN(AJ$6-$E$3,22))&lt;&gt;""),'Milho 1ª safra'!$E39:INDEX('Milho 1ª safra'!$E39:$Z39,MIN(AJ$6-$E$3,22))),0))-IF($G$2,0,IF((AJ$6-$G$3)&lt;1,0,IFERROR(LOOKUP(2,1/('Milho 1ª safra'!$E39:INDEX('Milho 1ª safra'!$E39:$Z39,MIN(AJ$6-$G$3,22))&lt;&gt;""),'Milho 1ª safra'!$E39:INDEX('Milho 1ª safra'!$E39:$Z39,MIN(AJ$6-$G$3,22))),0)))))</f>
        <v>0</v>
      </c>
      <c r="AK41" s="27" t="n">
        <f aca="false">IF(COUNT('Milho 1ª safra'!$E39:$Z39)=0,0,MAX(0,IF((AK$6-$E$3)&lt;1,0,IFERROR(LOOKUP(2,1/('Milho 1ª safra'!$E39:INDEX('Milho 1ª safra'!$E39:$Z39,MIN(AK$6-$E$3,22))&lt;&gt;""),'Milho 1ª safra'!$E39:INDEX('Milho 1ª safra'!$E39:$Z39,MIN(AK$6-$E$3,22))),0))-IF($G$2,0,IF((AK$6-$G$3)&lt;1,0,IFERROR(LOOKUP(2,1/('Milho 1ª safra'!$E39:INDEX('Milho 1ª safra'!$E39:$Z39,MIN(AK$6-$G$3,22))&lt;&gt;""),'Milho 1ª safra'!$E39:INDEX('Milho 1ª safra'!$E39:$Z39,MIN(AK$6-$G$3,22))),0)))))</f>
        <v>0</v>
      </c>
      <c r="AL41" s="27" t="n">
        <f aca="false">IF(COUNT('Milho 1ª safra'!$E39:$Z39)=0,0,MAX(0,IF((AL$6-$E$3)&lt;1,0,IFERROR(LOOKUP(2,1/('Milho 1ª safra'!$E39:INDEX('Milho 1ª safra'!$E39:$Z39,MIN(AL$6-$E$3,22))&lt;&gt;""),'Milho 1ª safra'!$E39:INDEX('Milho 1ª safra'!$E39:$Z39,MIN(AL$6-$E$3,22))),0))-IF($G$2,0,IF((AL$6-$G$3)&lt;1,0,IFERROR(LOOKUP(2,1/('Milho 1ª safra'!$E39:INDEX('Milho 1ª safra'!$E39:$Z39,MIN(AL$6-$G$3,22))&lt;&gt;""),'Milho 1ª safra'!$E39:INDEX('Milho 1ª safra'!$E39:$Z39,MIN(AL$6-$G$3,22))),0)))))</f>
        <v>0</v>
      </c>
      <c r="AM41" s="27" t="n">
        <f aca="false">IF(COUNT('Milho 1ª safra'!$E39:$Z39)=0,0,MAX(0,IF((AM$6-$E$3)&lt;1,0,IFERROR(LOOKUP(2,1/('Milho 1ª safra'!$E39:INDEX('Milho 1ª safra'!$E39:$Z39,MIN(AM$6-$E$3,22))&lt;&gt;""),'Milho 1ª safra'!$E39:INDEX('Milho 1ª safra'!$E39:$Z39,MIN(AM$6-$E$3,22))),0))-IF($G$2,0,IF((AM$6-$G$3)&lt;1,0,IFERROR(LOOKUP(2,1/('Milho 1ª safra'!$E39:INDEX('Milho 1ª safra'!$E39:$Z39,MIN(AM$6-$G$3,22))&lt;&gt;""),'Milho 1ª safra'!$E39:INDEX('Milho 1ª safra'!$E39:$Z39,MIN(AM$6-$G$3,22))),0)))))</f>
        <v>0</v>
      </c>
      <c r="AN41" s="27" t="n">
        <f aca="false">IF(COUNT('Milho 1ª safra'!$E39:$Z39)=0,0,MAX(0,IF((AN$6-$E$3)&lt;1,0,IFERROR(LOOKUP(2,1/('Milho 1ª safra'!$E39:INDEX('Milho 1ª safra'!$E39:$Z39,MIN(AN$6-$E$3,22))&lt;&gt;""),'Milho 1ª safra'!$E39:INDEX('Milho 1ª safra'!$E39:$Z39,MIN(AN$6-$E$3,22))),0))-IF($G$2,0,IF((AN$6-$G$3)&lt;1,0,IFERROR(LOOKUP(2,1/('Milho 1ª safra'!$E39:INDEX('Milho 1ª safra'!$E39:$Z39,MIN(AN$6-$G$3,22))&lt;&gt;""),'Milho 1ª safra'!$E39:INDEX('Milho 1ª safra'!$E39:$Z39,MIN(AN$6-$G$3,22))),0)))))</f>
        <v>0</v>
      </c>
      <c r="AO41" s="27" t="n">
        <f aca="false">IF(COUNT('Milho 1ª safra'!$E39:$Z39)=0,0,MAX(0,IF((AO$6-$E$3)&lt;1,0,IFERROR(LOOKUP(2,1/('Milho 1ª safra'!$E39:INDEX('Milho 1ª safra'!$E39:$Z39,MIN(AO$6-$E$3,22))&lt;&gt;""),'Milho 1ª safra'!$E39:INDEX('Milho 1ª safra'!$E39:$Z39,MIN(AO$6-$E$3,22))),0))-IF($G$2,0,IF((AO$6-$G$3)&lt;1,0,IFERROR(LOOKUP(2,1/('Milho 1ª safra'!$E39:INDEX('Milho 1ª safra'!$E39:$Z39,MIN(AO$6-$G$3,22))&lt;&gt;""),'Milho 1ª safra'!$E39:INDEX('Milho 1ª safra'!$E39:$Z39,MIN(AO$6-$G$3,22))),0)))))</f>
        <v>0</v>
      </c>
      <c r="AP41" s="27" t="n">
        <f aca="false">IF(COUNT('Milho 1ª safra'!$E39:$Z39)=0,0,MAX(0,IF((AP$6-$E$3)&lt;1,0,IFERROR(LOOKUP(2,1/('Milho 1ª safra'!$E39:INDEX('Milho 1ª safra'!$E39:$Z39,MIN(AP$6-$E$3,22))&lt;&gt;""),'Milho 1ª safra'!$E39:INDEX('Milho 1ª safra'!$E39:$Z39,MIN(AP$6-$E$3,22))),0))-IF($G$2,0,IF((AP$6-$G$3)&lt;1,0,IFERROR(LOOKUP(2,1/('Milho 1ª safra'!$E39:INDEX('Milho 1ª safra'!$E39:$Z39,MIN(AP$6-$G$3,22))&lt;&gt;""),'Milho 1ª safra'!$E39:INDEX('Milho 1ª safra'!$E39:$Z39,MIN(AP$6-$G$3,22))),0)))))</f>
        <v>0</v>
      </c>
      <c r="AQ41" s="27" t="n">
        <f aca="false">IF(COUNT('Milho 1ª safra'!$E39:$Z39)=0,0,MAX(0,IF((AQ$6-$E$3)&lt;1,0,IFERROR(LOOKUP(2,1/('Milho 1ª safra'!$E39:INDEX('Milho 1ª safra'!$E39:$Z39,MIN(AQ$6-$E$3,22))&lt;&gt;""),'Milho 1ª safra'!$E39:INDEX('Milho 1ª safra'!$E39:$Z39,MIN(AQ$6-$E$3,22))),0))-IF($G$2,0,IF((AQ$6-$G$3)&lt;1,0,IFERROR(LOOKUP(2,1/('Milho 1ª safra'!$E39:INDEX('Milho 1ª safra'!$E39:$Z39,MIN(AQ$6-$G$3,22))&lt;&gt;""),'Milho 1ª safra'!$E39:INDEX('Milho 1ª safra'!$E39:$Z39,MIN(AQ$6-$G$3,22))),0)))))</f>
        <v>0</v>
      </c>
      <c r="AR41" s="27" t="n">
        <f aca="false">IF(COUNT('Milho 1ª safra'!$E39:$Z39)=0,0,MAX(0,IF((AR$6-$E$3)&lt;1,0,IFERROR(LOOKUP(2,1/('Milho 1ª safra'!$E39:INDEX('Milho 1ª safra'!$E39:$Z39,MIN(AR$6-$E$3,22))&lt;&gt;""),'Milho 1ª safra'!$E39:INDEX('Milho 1ª safra'!$E39:$Z39,MIN(AR$6-$E$3,22))),0))-IF($G$2,0,IF((AR$6-$G$3)&lt;1,0,IFERROR(LOOKUP(2,1/('Milho 1ª safra'!$E39:INDEX('Milho 1ª safra'!$E39:$Z39,MIN(AR$6-$G$3,22))&lt;&gt;""),'Milho 1ª safra'!$E39:INDEX('Milho 1ª safra'!$E39:$Z39,MIN(AR$6-$G$3,22))),0)))))</f>
        <v>0</v>
      </c>
      <c r="AS41" s="27" t="n">
        <f aca="false">IF(COUNT('Milho 1ª safra'!$E39:$Z39)=0,0,MAX(0,IF((AS$6-$E$3)&lt;1,0,IFERROR(LOOKUP(2,1/('Milho 1ª safra'!$E39:INDEX('Milho 1ª safra'!$E39:$Z39,MIN(AS$6-$E$3,22))&lt;&gt;""),'Milho 1ª safra'!$E39:INDEX('Milho 1ª safra'!$E39:$Z39,MIN(AS$6-$E$3,22))),0))-IF($G$2,0,IF((AS$6-$G$3)&lt;1,0,IFERROR(LOOKUP(2,1/('Milho 1ª safra'!$E39:INDEX('Milho 1ª safra'!$E39:$Z39,MIN(AS$6-$G$3,22))&lt;&gt;""),'Milho 1ª safra'!$E39:INDEX('Milho 1ª safra'!$E39:$Z39,MIN(AS$6-$G$3,22))),0)))))</f>
        <v>0</v>
      </c>
      <c r="AT41" s="27" t="n">
        <f aca="false">IF(COUNT('Milho 1ª safra'!$E39:$Z39)=0,0,MAX(0,IF((AT$6-$E$3)&lt;1,0,IFERROR(LOOKUP(2,1/('Milho 1ª safra'!$E39:INDEX('Milho 1ª safra'!$E39:$Z39,MIN(AT$6-$E$3,22))&lt;&gt;""),'Milho 1ª safra'!$E39:INDEX('Milho 1ª safra'!$E39:$Z39,MIN(AT$6-$E$3,22))),0))-IF($G$2,0,IF((AT$6-$G$3)&lt;1,0,IFERROR(LOOKUP(2,1/('Milho 1ª safra'!$E39:INDEX('Milho 1ª safra'!$E39:$Z39,MIN(AT$6-$G$3,22))&lt;&gt;""),'Milho 1ª safra'!$E39:INDEX('Milho 1ª safra'!$E39:$Z39,MIN(AT$6-$G$3,22))),0)))))</f>
        <v>0</v>
      </c>
      <c r="AU41" s="27" t="n">
        <f aca="false">IF(COUNT('Milho 1ª safra'!$E39:$Z39)=0,0,MAX(0,IF((AU$6-$E$3)&lt;1,0,IFERROR(LOOKUP(2,1/('Milho 1ª safra'!$E39:INDEX('Milho 1ª safra'!$E39:$Z39,MIN(AU$6-$E$3,22))&lt;&gt;""),'Milho 1ª safra'!$E39:INDEX('Milho 1ª safra'!$E39:$Z39,MIN(AU$6-$E$3,22))),0))-IF($G$2,0,IF((AU$6-$G$3)&lt;1,0,IFERROR(LOOKUP(2,1/('Milho 1ª safra'!$E39:INDEX('Milho 1ª safra'!$E39:$Z39,MIN(AU$6-$G$3,22))&lt;&gt;""),'Milho 1ª safra'!$E39:INDEX('Milho 1ª safra'!$E39:$Z39,MIN(AU$6-$G$3,22))),0)))))</f>
        <v>0</v>
      </c>
      <c r="AV41" s="27" t="n">
        <f aca="false">IF(COUNT('Milho 1ª safra'!$E39:$Z39)=0,0,MAX(0,IF((AV$6-$E$3)&lt;1,0,IFERROR(LOOKUP(2,1/('Milho 1ª safra'!$E39:INDEX('Milho 1ª safra'!$E39:$Z39,MIN(AV$6-$E$3,22))&lt;&gt;""),'Milho 1ª safra'!$E39:INDEX('Milho 1ª safra'!$E39:$Z39,MIN(AV$6-$E$3,22))),0))-IF($G$2,0,IF((AV$6-$G$3)&lt;1,0,IFERROR(LOOKUP(2,1/('Milho 1ª safra'!$E39:INDEX('Milho 1ª safra'!$E39:$Z39,MIN(AV$6-$G$3,22))&lt;&gt;""),'Milho 1ª safra'!$E39:INDEX('Milho 1ª safra'!$E39:$Z39,MIN(AV$6-$G$3,22))),0)))))</f>
        <v>0</v>
      </c>
      <c r="AW41" s="27" t="n">
        <f aca="false">IF(COUNT('Milho 1ª safra'!$E39:$Z39)=0,0,MAX(0,IF((AW$6-$E$3)&lt;1,0,IFERROR(LOOKUP(2,1/('Milho 1ª safra'!$E39:INDEX('Milho 1ª safra'!$E39:$Z39,MIN(AW$6-$E$3,22))&lt;&gt;""),'Milho 1ª safra'!$E39:INDEX('Milho 1ª safra'!$E39:$Z39,MIN(AW$6-$E$3,22))),0))-IF($G$2,0,IF((AW$6-$G$3)&lt;1,0,IFERROR(LOOKUP(2,1/('Milho 1ª safra'!$E39:INDEX('Milho 1ª safra'!$E39:$Z39,MIN(AW$6-$G$3,22))&lt;&gt;""),'Milho 1ª safra'!$E39:INDEX('Milho 1ª safra'!$E39:$Z39,MIN(AW$6-$G$3,22))),0)))))</f>
        <v>0</v>
      </c>
      <c r="AX41" s="27" t="n">
        <f aca="false">IF(COUNT('Milho 1ª safra'!$E39:$Z39)=0,0,MAX(0,IF((AX$6-$E$3)&lt;1,0,IFERROR(LOOKUP(2,1/('Milho 1ª safra'!$E39:INDEX('Milho 1ª safra'!$E39:$Z39,MIN(AX$6-$E$3,22))&lt;&gt;""),'Milho 1ª safra'!$E39:INDEX('Milho 1ª safra'!$E39:$Z39,MIN(AX$6-$E$3,22))),0))-IF($G$2,0,IF((AX$6-$G$3)&lt;1,0,IFERROR(LOOKUP(2,1/('Milho 1ª safra'!$E39:INDEX('Milho 1ª safra'!$E39:$Z39,MIN(AX$6-$G$3,22))&lt;&gt;""),'Milho 1ª safra'!$E39:INDEX('Milho 1ª safra'!$E39:$Z39,MIN(AX$6-$G$3,22))),0)))))</f>
        <v>0</v>
      </c>
      <c r="AY41" s="27" t="n">
        <f aca="false">IF(COUNT('Milho 1ª safra'!$E39:$Z39)=0,0,MAX(0,IF((AY$6-$E$3)&lt;1,0,IFERROR(LOOKUP(2,1/('Milho 1ª safra'!$E39:INDEX('Milho 1ª safra'!$E39:$Z39,MIN(AY$6-$E$3,22))&lt;&gt;""),'Milho 1ª safra'!$E39:INDEX('Milho 1ª safra'!$E39:$Z39,MIN(AY$6-$E$3,22))),0))-IF($G$2,0,IF((AY$6-$G$3)&lt;1,0,IFERROR(LOOKUP(2,1/('Milho 1ª safra'!$E39:INDEX('Milho 1ª safra'!$E39:$Z39,MIN(AY$6-$G$3,22))&lt;&gt;""),'Milho 1ª safra'!$E39:INDEX('Milho 1ª safra'!$E39:$Z39,MIN(AY$6-$G$3,22))),0)))))</f>
        <v>0</v>
      </c>
      <c r="AZ41" s="27" t="n">
        <f aca="false">IF(COUNT('Milho 1ª safra'!$E39:$Z39)=0,0,MAX(0,IF((AZ$6-$E$3)&lt;1,0,IFERROR(LOOKUP(2,1/('Milho 1ª safra'!$E39:INDEX('Milho 1ª safra'!$E39:$Z39,MIN(AZ$6-$E$3,22))&lt;&gt;""),'Milho 1ª safra'!$E39:INDEX('Milho 1ª safra'!$E39:$Z39,MIN(AZ$6-$E$3,22))),0))-IF($G$2,0,IF((AZ$6-$G$3)&lt;1,0,IFERROR(LOOKUP(2,1/('Milho 1ª safra'!$E39:INDEX('Milho 1ª safra'!$E39:$Z39,MIN(AZ$6-$G$3,22))&lt;&gt;""),'Milho 1ª safra'!$E39:INDEX('Milho 1ª safra'!$E39:$Z39,MIN(AZ$6-$G$3,22))),0)))))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IF(COUNT('Milho 1ª safra'!$E40:$Z40)&gt;0,N('Milho 1ª safra'!$D40),0)</f>
        <v>0</v>
      </c>
      <c r="E42" s="27" t="n">
        <f aca="false">IF(COUNT('Milho 1ª safra'!$E40:$Z40)=0,0,MAX(0,IF((E$6-$E$3)&lt;1,0,IFERROR(LOOKUP(2,1/('Milho 1ª safra'!$E40:INDEX('Milho 1ª safra'!$E40:$Z40,MIN(E$6-$E$3,22))&lt;&gt;""),'Milho 1ª safra'!$E40:INDEX('Milho 1ª safra'!$E40:$Z40,MIN(E$6-$E$3,22))),0))-IF($G$2,0,IF((E$6-$G$3)&lt;1,0,IFERROR(LOOKUP(2,1/('Milho 1ª safra'!$E40:INDEX('Milho 1ª safra'!$E40:$Z40,MIN(E$6-$G$3,22))&lt;&gt;""),'Milho 1ª safra'!$E40:INDEX('Milho 1ª safra'!$E40:$Z40,MIN(E$6-$G$3,22))),0)))))</f>
        <v>0</v>
      </c>
      <c r="F42" s="27" t="n">
        <f aca="false">IF(COUNT('Milho 1ª safra'!$E40:$Z40)=0,0,MAX(0,IF((F$6-$E$3)&lt;1,0,IFERROR(LOOKUP(2,1/('Milho 1ª safra'!$E40:INDEX('Milho 1ª safra'!$E40:$Z40,MIN(F$6-$E$3,22))&lt;&gt;""),'Milho 1ª safra'!$E40:INDEX('Milho 1ª safra'!$E40:$Z40,MIN(F$6-$E$3,22))),0))-IF($G$2,0,IF((F$6-$G$3)&lt;1,0,IFERROR(LOOKUP(2,1/('Milho 1ª safra'!$E40:INDEX('Milho 1ª safra'!$E40:$Z40,MIN(F$6-$G$3,22))&lt;&gt;""),'Milho 1ª safra'!$E40:INDEX('Milho 1ª safra'!$E40:$Z40,MIN(F$6-$G$3,22))),0)))))</f>
        <v>0</v>
      </c>
      <c r="G42" s="27" t="n">
        <f aca="false">IF(COUNT('Milho 1ª safra'!$E40:$Z40)=0,0,MAX(0,IF((G$6-$E$3)&lt;1,0,IFERROR(LOOKUP(2,1/('Milho 1ª safra'!$E40:INDEX('Milho 1ª safra'!$E40:$Z40,MIN(G$6-$E$3,22))&lt;&gt;""),'Milho 1ª safra'!$E40:INDEX('Milho 1ª safra'!$E40:$Z40,MIN(G$6-$E$3,22))),0))-IF($G$2,0,IF((G$6-$G$3)&lt;1,0,IFERROR(LOOKUP(2,1/('Milho 1ª safra'!$E40:INDEX('Milho 1ª safra'!$E40:$Z40,MIN(G$6-$G$3,22))&lt;&gt;""),'Milho 1ª safra'!$E40:INDEX('Milho 1ª safra'!$E40:$Z40,MIN(G$6-$G$3,22))),0)))))</f>
        <v>0</v>
      </c>
      <c r="H42" s="27" t="n">
        <f aca="false">IF(COUNT('Milho 1ª safra'!$E40:$Z40)=0,0,MAX(0,IF((H$6-$E$3)&lt;1,0,IFERROR(LOOKUP(2,1/('Milho 1ª safra'!$E40:INDEX('Milho 1ª safra'!$E40:$Z40,MIN(H$6-$E$3,22))&lt;&gt;""),'Milho 1ª safra'!$E40:INDEX('Milho 1ª safra'!$E40:$Z40,MIN(H$6-$E$3,22))),0))-IF($G$2,0,IF((H$6-$G$3)&lt;1,0,IFERROR(LOOKUP(2,1/('Milho 1ª safra'!$E40:INDEX('Milho 1ª safra'!$E40:$Z40,MIN(H$6-$G$3,22))&lt;&gt;""),'Milho 1ª safra'!$E40:INDEX('Milho 1ª safra'!$E40:$Z40,MIN(H$6-$G$3,22))),0)))))</f>
        <v>0</v>
      </c>
      <c r="I42" s="27" t="n">
        <f aca="false">IF(COUNT('Milho 1ª safra'!$E40:$Z40)=0,0,MAX(0,IF((I$6-$E$3)&lt;1,0,IFERROR(LOOKUP(2,1/('Milho 1ª safra'!$E40:INDEX('Milho 1ª safra'!$E40:$Z40,MIN(I$6-$E$3,22))&lt;&gt;""),'Milho 1ª safra'!$E40:INDEX('Milho 1ª safra'!$E40:$Z40,MIN(I$6-$E$3,22))),0))-IF($G$2,0,IF((I$6-$G$3)&lt;1,0,IFERROR(LOOKUP(2,1/('Milho 1ª safra'!$E40:INDEX('Milho 1ª safra'!$E40:$Z40,MIN(I$6-$G$3,22))&lt;&gt;""),'Milho 1ª safra'!$E40:INDEX('Milho 1ª safra'!$E40:$Z40,MIN(I$6-$G$3,22))),0)))))</f>
        <v>0</v>
      </c>
      <c r="J42" s="27" t="n">
        <f aca="false">IF(COUNT('Milho 1ª safra'!$E40:$Z40)=0,0,MAX(0,IF((J$6-$E$3)&lt;1,0,IFERROR(LOOKUP(2,1/('Milho 1ª safra'!$E40:INDEX('Milho 1ª safra'!$E40:$Z40,MIN(J$6-$E$3,22))&lt;&gt;""),'Milho 1ª safra'!$E40:INDEX('Milho 1ª safra'!$E40:$Z40,MIN(J$6-$E$3,22))),0))-IF($G$2,0,IF((J$6-$G$3)&lt;1,0,IFERROR(LOOKUP(2,1/('Milho 1ª safra'!$E40:INDEX('Milho 1ª safra'!$E40:$Z40,MIN(J$6-$G$3,22))&lt;&gt;""),'Milho 1ª safra'!$E40:INDEX('Milho 1ª safra'!$E40:$Z40,MIN(J$6-$G$3,22))),0)))))</f>
        <v>0</v>
      </c>
      <c r="K42" s="27" t="n">
        <f aca="false">IF(COUNT('Milho 1ª safra'!$E40:$Z40)=0,0,MAX(0,IF((K$6-$E$3)&lt;1,0,IFERROR(LOOKUP(2,1/('Milho 1ª safra'!$E40:INDEX('Milho 1ª safra'!$E40:$Z40,MIN(K$6-$E$3,22))&lt;&gt;""),'Milho 1ª safra'!$E40:INDEX('Milho 1ª safra'!$E40:$Z40,MIN(K$6-$E$3,22))),0))-IF($G$2,0,IF((K$6-$G$3)&lt;1,0,IFERROR(LOOKUP(2,1/('Milho 1ª safra'!$E40:INDEX('Milho 1ª safra'!$E40:$Z40,MIN(K$6-$G$3,22))&lt;&gt;""),'Milho 1ª safra'!$E40:INDEX('Milho 1ª safra'!$E40:$Z40,MIN(K$6-$G$3,22))),0)))))</f>
        <v>0</v>
      </c>
      <c r="L42" s="27" t="n">
        <f aca="false">IF(COUNT('Milho 1ª safra'!$E40:$Z40)=0,0,MAX(0,IF((L$6-$E$3)&lt;1,0,IFERROR(LOOKUP(2,1/('Milho 1ª safra'!$E40:INDEX('Milho 1ª safra'!$E40:$Z40,MIN(L$6-$E$3,22))&lt;&gt;""),'Milho 1ª safra'!$E40:INDEX('Milho 1ª safra'!$E40:$Z40,MIN(L$6-$E$3,22))),0))-IF($G$2,0,IF((L$6-$G$3)&lt;1,0,IFERROR(LOOKUP(2,1/('Milho 1ª safra'!$E40:INDEX('Milho 1ª safra'!$E40:$Z40,MIN(L$6-$G$3,22))&lt;&gt;""),'Milho 1ª safra'!$E40:INDEX('Milho 1ª safra'!$E40:$Z40,MIN(L$6-$G$3,22))),0)))))</f>
        <v>0</v>
      </c>
      <c r="M42" s="27" t="n">
        <f aca="false">IF(COUNT('Milho 1ª safra'!$E40:$Z40)=0,0,MAX(0,IF((M$6-$E$3)&lt;1,0,IFERROR(LOOKUP(2,1/('Milho 1ª safra'!$E40:INDEX('Milho 1ª safra'!$E40:$Z40,MIN(M$6-$E$3,22))&lt;&gt;""),'Milho 1ª safra'!$E40:INDEX('Milho 1ª safra'!$E40:$Z40,MIN(M$6-$E$3,22))),0))-IF($G$2,0,IF((M$6-$G$3)&lt;1,0,IFERROR(LOOKUP(2,1/('Milho 1ª safra'!$E40:INDEX('Milho 1ª safra'!$E40:$Z40,MIN(M$6-$G$3,22))&lt;&gt;""),'Milho 1ª safra'!$E40:INDEX('Milho 1ª safra'!$E40:$Z40,MIN(M$6-$G$3,22))),0)))))</f>
        <v>0</v>
      </c>
      <c r="N42" s="27" t="n">
        <f aca="false">IF(COUNT('Milho 1ª safra'!$E40:$Z40)=0,0,MAX(0,IF((N$6-$E$3)&lt;1,0,IFERROR(LOOKUP(2,1/('Milho 1ª safra'!$E40:INDEX('Milho 1ª safra'!$E40:$Z40,MIN(N$6-$E$3,22))&lt;&gt;""),'Milho 1ª safra'!$E40:INDEX('Milho 1ª safra'!$E40:$Z40,MIN(N$6-$E$3,22))),0))-IF($G$2,0,IF((N$6-$G$3)&lt;1,0,IFERROR(LOOKUP(2,1/('Milho 1ª safra'!$E40:INDEX('Milho 1ª safra'!$E40:$Z40,MIN(N$6-$G$3,22))&lt;&gt;""),'Milho 1ª safra'!$E40:INDEX('Milho 1ª safra'!$E40:$Z40,MIN(N$6-$G$3,22))),0)))))</f>
        <v>0</v>
      </c>
      <c r="O42" s="27" t="n">
        <f aca="false">IF(COUNT('Milho 1ª safra'!$E40:$Z40)=0,0,MAX(0,IF((O$6-$E$3)&lt;1,0,IFERROR(LOOKUP(2,1/('Milho 1ª safra'!$E40:INDEX('Milho 1ª safra'!$E40:$Z40,MIN(O$6-$E$3,22))&lt;&gt;""),'Milho 1ª safra'!$E40:INDEX('Milho 1ª safra'!$E40:$Z40,MIN(O$6-$E$3,22))),0))-IF($G$2,0,IF((O$6-$G$3)&lt;1,0,IFERROR(LOOKUP(2,1/('Milho 1ª safra'!$E40:INDEX('Milho 1ª safra'!$E40:$Z40,MIN(O$6-$G$3,22))&lt;&gt;""),'Milho 1ª safra'!$E40:INDEX('Milho 1ª safra'!$E40:$Z40,MIN(O$6-$G$3,22))),0)))))</f>
        <v>0</v>
      </c>
      <c r="P42" s="27" t="n">
        <f aca="false">IF(COUNT('Milho 1ª safra'!$E40:$Z40)=0,0,MAX(0,IF((P$6-$E$3)&lt;1,0,IFERROR(LOOKUP(2,1/('Milho 1ª safra'!$E40:INDEX('Milho 1ª safra'!$E40:$Z40,MIN(P$6-$E$3,22))&lt;&gt;""),'Milho 1ª safra'!$E40:INDEX('Milho 1ª safra'!$E40:$Z40,MIN(P$6-$E$3,22))),0))-IF($G$2,0,IF((P$6-$G$3)&lt;1,0,IFERROR(LOOKUP(2,1/('Milho 1ª safra'!$E40:INDEX('Milho 1ª safra'!$E40:$Z40,MIN(P$6-$G$3,22))&lt;&gt;""),'Milho 1ª safra'!$E40:INDEX('Milho 1ª safra'!$E40:$Z40,MIN(P$6-$G$3,22))),0)))))</f>
        <v>0</v>
      </c>
      <c r="Q42" s="27" t="n">
        <f aca="false">IF(COUNT('Milho 1ª safra'!$E40:$Z40)=0,0,MAX(0,IF((Q$6-$E$3)&lt;1,0,IFERROR(LOOKUP(2,1/('Milho 1ª safra'!$E40:INDEX('Milho 1ª safra'!$E40:$Z40,MIN(Q$6-$E$3,22))&lt;&gt;""),'Milho 1ª safra'!$E40:INDEX('Milho 1ª safra'!$E40:$Z40,MIN(Q$6-$E$3,22))),0))-IF($G$2,0,IF((Q$6-$G$3)&lt;1,0,IFERROR(LOOKUP(2,1/('Milho 1ª safra'!$E40:INDEX('Milho 1ª safra'!$E40:$Z40,MIN(Q$6-$G$3,22))&lt;&gt;""),'Milho 1ª safra'!$E40:INDEX('Milho 1ª safra'!$E40:$Z40,MIN(Q$6-$G$3,22))),0)))))</f>
        <v>0</v>
      </c>
      <c r="R42" s="27" t="n">
        <f aca="false">IF(COUNT('Milho 1ª safra'!$E40:$Z40)=0,0,MAX(0,IF((R$6-$E$3)&lt;1,0,IFERROR(LOOKUP(2,1/('Milho 1ª safra'!$E40:INDEX('Milho 1ª safra'!$E40:$Z40,MIN(R$6-$E$3,22))&lt;&gt;""),'Milho 1ª safra'!$E40:INDEX('Milho 1ª safra'!$E40:$Z40,MIN(R$6-$E$3,22))),0))-IF($G$2,0,IF((R$6-$G$3)&lt;1,0,IFERROR(LOOKUP(2,1/('Milho 1ª safra'!$E40:INDEX('Milho 1ª safra'!$E40:$Z40,MIN(R$6-$G$3,22))&lt;&gt;""),'Milho 1ª safra'!$E40:INDEX('Milho 1ª safra'!$E40:$Z40,MIN(R$6-$G$3,22))),0)))))</f>
        <v>0</v>
      </c>
      <c r="S42" s="27" t="n">
        <f aca="false">IF(COUNT('Milho 1ª safra'!$E40:$Z40)=0,0,MAX(0,IF((S$6-$E$3)&lt;1,0,IFERROR(LOOKUP(2,1/('Milho 1ª safra'!$E40:INDEX('Milho 1ª safra'!$E40:$Z40,MIN(S$6-$E$3,22))&lt;&gt;""),'Milho 1ª safra'!$E40:INDEX('Milho 1ª safra'!$E40:$Z40,MIN(S$6-$E$3,22))),0))-IF($G$2,0,IF((S$6-$G$3)&lt;1,0,IFERROR(LOOKUP(2,1/('Milho 1ª safra'!$E40:INDEX('Milho 1ª safra'!$E40:$Z40,MIN(S$6-$G$3,22))&lt;&gt;""),'Milho 1ª safra'!$E40:INDEX('Milho 1ª safra'!$E40:$Z40,MIN(S$6-$G$3,22))),0)))))</f>
        <v>0</v>
      </c>
      <c r="T42" s="27" t="n">
        <f aca="false">IF(COUNT('Milho 1ª safra'!$E40:$Z40)=0,0,MAX(0,IF((T$6-$E$3)&lt;1,0,IFERROR(LOOKUP(2,1/('Milho 1ª safra'!$E40:INDEX('Milho 1ª safra'!$E40:$Z40,MIN(T$6-$E$3,22))&lt;&gt;""),'Milho 1ª safra'!$E40:INDEX('Milho 1ª safra'!$E40:$Z40,MIN(T$6-$E$3,22))),0))-IF($G$2,0,IF((T$6-$G$3)&lt;1,0,IFERROR(LOOKUP(2,1/('Milho 1ª safra'!$E40:INDEX('Milho 1ª safra'!$E40:$Z40,MIN(T$6-$G$3,22))&lt;&gt;""),'Milho 1ª safra'!$E40:INDEX('Milho 1ª safra'!$E40:$Z40,MIN(T$6-$G$3,22))),0)))))</f>
        <v>0</v>
      </c>
      <c r="U42" s="27" t="n">
        <f aca="false">IF(COUNT('Milho 1ª safra'!$E40:$Z40)=0,0,MAX(0,IF((U$6-$E$3)&lt;1,0,IFERROR(LOOKUP(2,1/('Milho 1ª safra'!$E40:INDEX('Milho 1ª safra'!$E40:$Z40,MIN(U$6-$E$3,22))&lt;&gt;""),'Milho 1ª safra'!$E40:INDEX('Milho 1ª safra'!$E40:$Z40,MIN(U$6-$E$3,22))),0))-IF($G$2,0,IF((U$6-$G$3)&lt;1,0,IFERROR(LOOKUP(2,1/('Milho 1ª safra'!$E40:INDEX('Milho 1ª safra'!$E40:$Z40,MIN(U$6-$G$3,22))&lt;&gt;""),'Milho 1ª safra'!$E40:INDEX('Milho 1ª safra'!$E40:$Z40,MIN(U$6-$G$3,22))),0)))))</f>
        <v>0</v>
      </c>
      <c r="V42" s="27" t="n">
        <f aca="false">IF(COUNT('Milho 1ª safra'!$E40:$Z40)=0,0,MAX(0,IF((V$6-$E$3)&lt;1,0,IFERROR(LOOKUP(2,1/('Milho 1ª safra'!$E40:INDEX('Milho 1ª safra'!$E40:$Z40,MIN(V$6-$E$3,22))&lt;&gt;""),'Milho 1ª safra'!$E40:INDEX('Milho 1ª safra'!$E40:$Z40,MIN(V$6-$E$3,22))),0))-IF($G$2,0,IF((V$6-$G$3)&lt;1,0,IFERROR(LOOKUP(2,1/('Milho 1ª safra'!$E40:INDEX('Milho 1ª safra'!$E40:$Z40,MIN(V$6-$G$3,22))&lt;&gt;""),'Milho 1ª safra'!$E40:INDEX('Milho 1ª safra'!$E40:$Z40,MIN(V$6-$G$3,22))),0)))))</f>
        <v>0</v>
      </c>
      <c r="W42" s="27" t="n">
        <f aca="false">IF(COUNT('Milho 1ª safra'!$E40:$Z40)=0,0,MAX(0,IF((W$6-$E$3)&lt;1,0,IFERROR(LOOKUP(2,1/('Milho 1ª safra'!$E40:INDEX('Milho 1ª safra'!$E40:$Z40,MIN(W$6-$E$3,22))&lt;&gt;""),'Milho 1ª safra'!$E40:INDEX('Milho 1ª safra'!$E40:$Z40,MIN(W$6-$E$3,22))),0))-IF($G$2,0,IF((W$6-$G$3)&lt;1,0,IFERROR(LOOKUP(2,1/('Milho 1ª safra'!$E40:INDEX('Milho 1ª safra'!$E40:$Z40,MIN(W$6-$G$3,22))&lt;&gt;""),'Milho 1ª safra'!$E40:INDEX('Milho 1ª safra'!$E40:$Z40,MIN(W$6-$G$3,22))),0)))))</f>
        <v>0</v>
      </c>
      <c r="X42" s="27" t="n">
        <f aca="false">IF(COUNT('Milho 1ª safra'!$E40:$Z40)=0,0,MAX(0,IF((X$6-$E$3)&lt;1,0,IFERROR(LOOKUP(2,1/('Milho 1ª safra'!$E40:INDEX('Milho 1ª safra'!$E40:$Z40,MIN(X$6-$E$3,22))&lt;&gt;""),'Milho 1ª safra'!$E40:INDEX('Milho 1ª safra'!$E40:$Z40,MIN(X$6-$E$3,22))),0))-IF($G$2,0,IF((X$6-$G$3)&lt;1,0,IFERROR(LOOKUP(2,1/('Milho 1ª safra'!$E40:INDEX('Milho 1ª safra'!$E40:$Z40,MIN(X$6-$G$3,22))&lt;&gt;""),'Milho 1ª safra'!$E40:INDEX('Milho 1ª safra'!$E40:$Z40,MIN(X$6-$G$3,22))),0)))))</f>
        <v>0</v>
      </c>
      <c r="Y42" s="27" t="n">
        <f aca="false">IF(COUNT('Milho 1ª safra'!$E40:$Z40)=0,0,MAX(0,IF((Y$6-$E$3)&lt;1,0,IFERROR(LOOKUP(2,1/('Milho 1ª safra'!$E40:INDEX('Milho 1ª safra'!$E40:$Z40,MIN(Y$6-$E$3,22))&lt;&gt;""),'Milho 1ª safra'!$E40:INDEX('Milho 1ª safra'!$E40:$Z40,MIN(Y$6-$E$3,22))),0))-IF($G$2,0,IF((Y$6-$G$3)&lt;1,0,IFERROR(LOOKUP(2,1/('Milho 1ª safra'!$E40:INDEX('Milho 1ª safra'!$E40:$Z40,MIN(Y$6-$G$3,22))&lt;&gt;""),'Milho 1ª safra'!$E40:INDEX('Milho 1ª safra'!$E40:$Z40,MIN(Y$6-$G$3,22))),0)))))</f>
        <v>0</v>
      </c>
      <c r="Z42" s="27" t="n">
        <f aca="false">IF(COUNT('Milho 1ª safra'!$E40:$Z40)=0,0,MAX(0,IF((Z$6-$E$3)&lt;1,0,IFERROR(LOOKUP(2,1/('Milho 1ª safra'!$E40:INDEX('Milho 1ª safra'!$E40:$Z40,MIN(Z$6-$E$3,22))&lt;&gt;""),'Milho 1ª safra'!$E40:INDEX('Milho 1ª safra'!$E40:$Z40,MIN(Z$6-$E$3,22))),0))-IF($G$2,0,IF((Z$6-$G$3)&lt;1,0,IFERROR(LOOKUP(2,1/('Milho 1ª safra'!$E40:INDEX('Milho 1ª safra'!$E40:$Z40,MIN(Z$6-$G$3,22))&lt;&gt;""),'Milho 1ª safra'!$E40:INDEX('Milho 1ª safra'!$E40:$Z40,MIN(Z$6-$G$3,22))),0)))))</f>
        <v>0</v>
      </c>
      <c r="AA42" s="27" t="n">
        <f aca="false">IF(COUNT('Milho 1ª safra'!$E40:$Z40)=0,0,MAX(0,IF((AA$6-$E$3)&lt;1,0,IFERROR(LOOKUP(2,1/('Milho 1ª safra'!$E40:INDEX('Milho 1ª safra'!$E40:$Z40,MIN(AA$6-$E$3,22))&lt;&gt;""),'Milho 1ª safra'!$E40:INDEX('Milho 1ª safra'!$E40:$Z40,MIN(AA$6-$E$3,22))),0))-IF($G$2,0,IF((AA$6-$G$3)&lt;1,0,IFERROR(LOOKUP(2,1/('Milho 1ª safra'!$E40:INDEX('Milho 1ª safra'!$E40:$Z40,MIN(AA$6-$G$3,22))&lt;&gt;""),'Milho 1ª safra'!$E40:INDEX('Milho 1ª safra'!$E40:$Z40,MIN(AA$6-$G$3,22))),0)))))</f>
        <v>0</v>
      </c>
      <c r="AB42" s="27" t="n">
        <f aca="false">IF(COUNT('Milho 1ª safra'!$E40:$Z40)=0,0,MAX(0,IF((AB$6-$E$3)&lt;1,0,IFERROR(LOOKUP(2,1/('Milho 1ª safra'!$E40:INDEX('Milho 1ª safra'!$E40:$Z40,MIN(AB$6-$E$3,22))&lt;&gt;""),'Milho 1ª safra'!$E40:INDEX('Milho 1ª safra'!$E40:$Z40,MIN(AB$6-$E$3,22))),0))-IF($G$2,0,IF((AB$6-$G$3)&lt;1,0,IFERROR(LOOKUP(2,1/('Milho 1ª safra'!$E40:INDEX('Milho 1ª safra'!$E40:$Z40,MIN(AB$6-$G$3,22))&lt;&gt;""),'Milho 1ª safra'!$E40:INDEX('Milho 1ª safra'!$E40:$Z40,MIN(AB$6-$G$3,22))),0)))))</f>
        <v>0</v>
      </c>
      <c r="AC42" s="27" t="n">
        <f aca="false">IF(COUNT('Milho 1ª safra'!$E40:$Z40)=0,0,MAX(0,IF((AC$6-$E$3)&lt;1,0,IFERROR(LOOKUP(2,1/('Milho 1ª safra'!$E40:INDEX('Milho 1ª safra'!$E40:$Z40,MIN(AC$6-$E$3,22))&lt;&gt;""),'Milho 1ª safra'!$E40:INDEX('Milho 1ª safra'!$E40:$Z40,MIN(AC$6-$E$3,22))),0))-IF($G$2,0,IF((AC$6-$G$3)&lt;1,0,IFERROR(LOOKUP(2,1/('Milho 1ª safra'!$E40:INDEX('Milho 1ª safra'!$E40:$Z40,MIN(AC$6-$G$3,22))&lt;&gt;""),'Milho 1ª safra'!$E40:INDEX('Milho 1ª safra'!$E40:$Z40,MIN(AC$6-$G$3,22))),0)))))</f>
        <v>0</v>
      </c>
      <c r="AD42" s="27" t="n">
        <f aca="false">IF(COUNT('Milho 1ª safra'!$E40:$Z40)=0,0,MAX(0,IF((AD$6-$E$3)&lt;1,0,IFERROR(LOOKUP(2,1/('Milho 1ª safra'!$E40:INDEX('Milho 1ª safra'!$E40:$Z40,MIN(AD$6-$E$3,22))&lt;&gt;""),'Milho 1ª safra'!$E40:INDEX('Milho 1ª safra'!$E40:$Z40,MIN(AD$6-$E$3,22))),0))-IF($G$2,0,IF((AD$6-$G$3)&lt;1,0,IFERROR(LOOKUP(2,1/('Milho 1ª safra'!$E40:INDEX('Milho 1ª safra'!$E40:$Z40,MIN(AD$6-$G$3,22))&lt;&gt;""),'Milho 1ª safra'!$E40:INDEX('Milho 1ª safra'!$E40:$Z40,MIN(AD$6-$G$3,22))),0)))))</f>
        <v>0</v>
      </c>
      <c r="AE42" s="27" t="n">
        <f aca="false">IF(COUNT('Milho 1ª safra'!$E40:$Z40)=0,0,MAX(0,IF((AE$6-$E$3)&lt;1,0,IFERROR(LOOKUP(2,1/('Milho 1ª safra'!$E40:INDEX('Milho 1ª safra'!$E40:$Z40,MIN(AE$6-$E$3,22))&lt;&gt;""),'Milho 1ª safra'!$E40:INDEX('Milho 1ª safra'!$E40:$Z40,MIN(AE$6-$E$3,22))),0))-IF($G$2,0,IF((AE$6-$G$3)&lt;1,0,IFERROR(LOOKUP(2,1/('Milho 1ª safra'!$E40:INDEX('Milho 1ª safra'!$E40:$Z40,MIN(AE$6-$G$3,22))&lt;&gt;""),'Milho 1ª safra'!$E40:INDEX('Milho 1ª safra'!$E40:$Z40,MIN(AE$6-$G$3,22))),0)))))</f>
        <v>0</v>
      </c>
      <c r="AF42" s="27" t="n">
        <f aca="false">IF(COUNT('Milho 1ª safra'!$E40:$Z40)=0,0,MAX(0,IF((AF$6-$E$3)&lt;1,0,IFERROR(LOOKUP(2,1/('Milho 1ª safra'!$E40:INDEX('Milho 1ª safra'!$E40:$Z40,MIN(AF$6-$E$3,22))&lt;&gt;""),'Milho 1ª safra'!$E40:INDEX('Milho 1ª safra'!$E40:$Z40,MIN(AF$6-$E$3,22))),0))-IF($G$2,0,IF((AF$6-$G$3)&lt;1,0,IFERROR(LOOKUP(2,1/('Milho 1ª safra'!$E40:INDEX('Milho 1ª safra'!$E40:$Z40,MIN(AF$6-$G$3,22))&lt;&gt;""),'Milho 1ª safra'!$E40:INDEX('Milho 1ª safra'!$E40:$Z40,MIN(AF$6-$G$3,22))),0)))))</f>
        <v>0</v>
      </c>
      <c r="AG42" s="27" t="n">
        <f aca="false">IF(COUNT('Milho 1ª safra'!$E40:$Z40)=0,0,MAX(0,IF((AG$6-$E$3)&lt;1,0,IFERROR(LOOKUP(2,1/('Milho 1ª safra'!$E40:INDEX('Milho 1ª safra'!$E40:$Z40,MIN(AG$6-$E$3,22))&lt;&gt;""),'Milho 1ª safra'!$E40:INDEX('Milho 1ª safra'!$E40:$Z40,MIN(AG$6-$E$3,22))),0))-IF($G$2,0,IF((AG$6-$G$3)&lt;1,0,IFERROR(LOOKUP(2,1/('Milho 1ª safra'!$E40:INDEX('Milho 1ª safra'!$E40:$Z40,MIN(AG$6-$G$3,22))&lt;&gt;""),'Milho 1ª safra'!$E40:INDEX('Milho 1ª safra'!$E40:$Z40,MIN(AG$6-$G$3,22))),0)))))</f>
        <v>0</v>
      </c>
      <c r="AH42" s="27" t="n">
        <f aca="false">IF(COUNT('Milho 1ª safra'!$E40:$Z40)=0,0,MAX(0,IF((AH$6-$E$3)&lt;1,0,IFERROR(LOOKUP(2,1/('Milho 1ª safra'!$E40:INDEX('Milho 1ª safra'!$E40:$Z40,MIN(AH$6-$E$3,22))&lt;&gt;""),'Milho 1ª safra'!$E40:INDEX('Milho 1ª safra'!$E40:$Z40,MIN(AH$6-$E$3,22))),0))-IF($G$2,0,IF((AH$6-$G$3)&lt;1,0,IFERROR(LOOKUP(2,1/('Milho 1ª safra'!$E40:INDEX('Milho 1ª safra'!$E40:$Z40,MIN(AH$6-$G$3,22))&lt;&gt;""),'Milho 1ª safra'!$E40:INDEX('Milho 1ª safra'!$E40:$Z40,MIN(AH$6-$G$3,22))),0)))))</f>
        <v>0</v>
      </c>
      <c r="AI42" s="27" t="n">
        <f aca="false">IF(COUNT('Milho 1ª safra'!$E40:$Z40)=0,0,MAX(0,IF((AI$6-$E$3)&lt;1,0,IFERROR(LOOKUP(2,1/('Milho 1ª safra'!$E40:INDEX('Milho 1ª safra'!$E40:$Z40,MIN(AI$6-$E$3,22))&lt;&gt;""),'Milho 1ª safra'!$E40:INDEX('Milho 1ª safra'!$E40:$Z40,MIN(AI$6-$E$3,22))),0))-IF($G$2,0,IF((AI$6-$G$3)&lt;1,0,IFERROR(LOOKUP(2,1/('Milho 1ª safra'!$E40:INDEX('Milho 1ª safra'!$E40:$Z40,MIN(AI$6-$G$3,22))&lt;&gt;""),'Milho 1ª safra'!$E40:INDEX('Milho 1ª safra'!$E40:$Z40,MIN(AI$6-$G$3,22))),0)))))</f>
        <v>0</v>
      </c>
      <c r="AJ42" s="27" t="n">
        <f aca="false">IF(COUNT('Milho 1ª safra'!$E40:$Z40)=0,0,MAX(0,IF((AJ$6-$E$3)&lt;1,0,IFERROR(LOOKUP(2,1/('Milho 1ª safra'!$E40:INDEX('Milho 1ª safra'!$E40:$Z40,MIN(AJ$6-$E$3,22))&lt;&gt;""),'Milho 1ª safra'!$E40:INDEX('Milho 1ª safra'!$E40:$Z40,MIN(AJ$6-$E$3,22))),0))-IF($G$2,0,IF((AJ$6-$G$3)&lt;1,0,IFERROR(LOOKUP(2,1/('Milho 1ª safra'!$E40:INDEX('Milho 1ª safra'!$E40:$Z40,MIN(AJ$6-$G$3,22))&lt;&gt;""),'Milho 1ª safra'!$E40:INDEX('Milho 1ª safra'!$E40:$Z40,MIN(AJ$6-$G$3,22))),0)))))</f>
        <v>0</v>
      </c>
      <c r="AK42" s="27" t="n">
        <f aca="false">IF(COUNT('Milho 1ª safra'!$E40:$Z40)=0,0,MAX(0,IF((AK$6-$E$3)&lt;1,0,IFERROR(LOOKUP(2,1/('Milho 1ª safra'!$E40:INDEX('Milho 1ª safra'!$E40:$Z40,MIN(AK$6-$E$3,22))&lt;&gt;""),'Milho 1ª safra'!$E40:INDEX('Milho 1ª safra'!$E40:$Z40,MIN(AK$6-$E$3,22))),0))-IF($G$2,0,IF((AK$6-$G$3)&lt;1,0,IFERROR(LOOKUP(2,1/('Milho 1ª safra'!$E40:INDEX('Milho 1ª safra'!$E40:$Z40,MIN(AK$6-$G$3,22))&lt;&gt;""),'Milho 1ª safra'!$E40:INDEX('Milho 1ª safra'!$E40:$Z40,MIN(AK$6-$G$3,22))),0)))))</f>
        <v>0</v>
      </c>
      <c r="AL42" s="27" t="n">
        <f aca="false">IF(COUNT('Milho 1ª safra'!$E40:$Z40)=0,0,MAX(0,IF((AL$6-$E$3)&lt;1,0,IFERROR(LOOKUP(2,1/('Milho 1ª safra'!$E40:INDEX('Milho 1ª safra'!$E40:$Z40,MIN(AL$6-$E$3,22))&lt;&gt;""),'Milho 1ª safra'!$E40:INDEX('Milho 1ª safra'!$E40:$Z40,MIN(AL$6-$E$3,22))),0))-IF($G$2,0,IF((AL$6-$G$3)&lt;1,0,IFERROR(LOOKUP(2,1/('Milho 1ª safra'!$E40:INDEX('Milho 1ª safra'!$E40:$Z40,MIN(AL$6-$G$3,22))&lt;&gt;""),'Milho 1ª safra'!$E40:INDEX('Milho 1ª safra'!$E40:$Z40,MIN(AL$6-$G$3,22))),0)))))</f>
        <v>0</v>
      </c>
      <c r="AM42" s="27" t="n">
        <f aca="false">IF(COUNT('Milho 1ª safra'!$E40:$Z40)=0,0,MAX(0,IF((AM$6-$E$3)&lt;1,0,IFERROR(LOOKUP(2,1/('Milho 1ª safra'!$E40:INDEX('Milho 1ª safra'!$E40:$Z40,MIN(AM$6-$E$3,22))&lt;&gt;""),'Milho 1ª safra'!$E40:INDEX('Milho 1ª safra'!$E40:$Z40,MIN(AM$6-$E$3,22))),0))-IF($G$2,0,IF((AM$6-$G$3)&lt;1,0,IFERROR(LOOKUP(2,1/('Milho 1ª safra'!$E40:INDEX('Milho 1ª safra'!$E40:$Z40,MIN(AM$6-$G$3,22))&lt;&gt;""),'Milho 1ª safra'!$E40:INDEX('Milho 1ª safra'!$E40:$Z40,MIN(AM$6-$G$3,22))),0)))))</f>
        <v>0</v>
      </c>
      <c r="AN42" s="27" t="n">
        <f aca="false">IF(COUNT('Milho 1ª safra'!$E40:$Z40)=0,0,MAX(0,IF((AN$6-$E$3)&lt;1,0,IFERROR(LOOKUP(2,1/('Milho 1ª safra'!$E40:INDEX('Milho 1ª safra'!$E40:$Z40,MIN(AN$6-$E$3,22))&lt;&gt;""),'Milho 1ª safra'!$E40:INDEX('Milho 1ª safra'!$E40:$Z40,MIN(AN$6-$E$3,22))),0))-IF($G$2,0,IF((AN$6-$G$3)&lt;1,0,IFERROR(LOOKUP(2,1/('Milho 1ª safra'!$E40:INDEX('Milho 1ª safra'!$E40:$Z40,MIN(AN$6-$G$3,22))&lt;&gt;""),'Milho 1ª safra'!$E40:INDEX('Milho 1ª safra'!$E40:$Z40,MIN(AN$6-$G$3,22))),0)))))</f>
        <v>0</v>
      </c>
      <c r="AO42" s="27" t="n">
        <f aca="false">IF(COUNT('Milho 1ª safra'!$E40:$Z40)=0,0,MAX(0,IF((AO$6-$E$3)&lt;1,0,IFERROR(LOOKUP(2,1/('Milho 1ª safra'!$E40:INDEX('Milho 1ª safra'!$E40:$Z40,MIN(AO$6-$E$3,22))&lt;&gt;""),'Milho 1ª safra'!$E40:INDEX('Milho 1ª safra'!$E40:$Z40,MIN(AO$6-$E$3,22))),0))-IF($G$2,0,IF((AO$6-$G$3)&lt;1,0,IFERROR(LOOKUP(2,1/('Milho 1ª safra'!$E40:INDEX('Milho 1ª safra'!$E40:$Z40,MIN(AO$6-$G$3,22))&lt;&gt;""),'Milho 1ª safra'!$E40:INDEX('Milho 1ª safra'!$E40:$Z40,MIN(AO$6-$G$3,22))),0)))))</f>
        <v>0</v>
      </c>
      <c r="AP42" s="27" t="n">
        <f aca="false">IF(COUNT('Milho 1ª safra'!$E40:$Z40)=0,0,MAX(0,IF((AP$6-$E$3)&lt;1,0,IFERROR(LOOKUP(2,1/('Milho 1ª safra'!$E40:INDEX('Milho 1ª safra'!$E40:$Z40,MIN(AP$6-$E$3,22))&lt;&gt;""),'Milho 1ª safra'!$E40:INDEX('Milho 1ª safra'!$E40:$Z40,MIN(AP$6-$E$3,22))),0))-IF($G$2,0,IF((AP$6-$G$3)&lt;1,0,IFERROR(LOOKUP(2,1/('Milho 1ª safra'!$E40:INDEX('Milho 1ª safra'!$E40:$Z40,MIN(AP$6-$G$3,22))&lt;&gt;""),'Milho 1ª safra'!$E40:INDEX('Milho 1ª safra'!$E40:$Z40,MIN(AP$6-$G$3,22))),0)))))</f>
        <v>0</v>
      </c>
      <c r="AQ42" s="27" t="n">
        <f aca="false">IF(COUNT('Milho 1ª safra'!$E40:$Z40)=0,0,MAX(0,IF((AQ$6-$E$3)&lt;1,0,IFERROR(LOOKUP(2,1/('Milho 1ª safra'!$E40:INDEX('Milho 1ª safra'!$E40:$Z40,MIN(AQ$6-$E$3,22))&lt;&gt;""),'Milho 1ª safra'!$E40:INDEX('Milho 1ª safra'!$E40:$Z40,MIN(AQ$6-$E$3,22))),0))-IF($G$2,0,IF((AQ$6-$G$3)&lt;1,0,IFERROR(LOOKUP(2,1/('Milho 1ª safra'!$E40:INDEX('Milho 1ª safra'!$E40:$Z40,MIN(AQ$6-$G$3,22))&lt;&gt;""),'Milho 1ª safra'!$E40:INDEX('Milho 1ª safra'!$E40:$Z40,MIN(AQ$6-$G$3,22))),0)))))</f>
        <v>0</v>
      </c>
      <c r="AR42" s="27" t="n">
        <f aca="false">IF(COUNT('Milho 1ª safra'!$E40:$Z40)=0,0,MAX(0,IF((AR$6-$E$3)&lt;1,0,IFERROR(LOOKUP(2,1/('Milho 1ª safra'!$E40:INDEX('Milho 1ª safra'!$E40:$Z40,MIN(AR$6-$E$3,22))&lt;&gt;""),'Milho 1ª safra'!$E40:INDEX('Milho 1ª safra'!$E40:$Z40,MIN(AR$6-$E$3,22))),0))-IF($G$2,0,IF((AR$6-$G$3)&lt;1,0,IFERROR(LOOKUP(2,1/('Milho 1ª safra'!$E40:INDEX('Milho 1ª safra'!$E40:$Z40,MIN(AR$6-$G$3,22))&lt;&gt;""),'Milho 1ª safra'!$E40:INDEX('Milho 1ª safra'!$E40:$Z40,MIN(AR$6-$G$3,22))),0)))))</f>
        <v>0</v>
      </c>
      <c r="AS42" s="27" t="n">
        <f aca="false">IF(COUNT('Milho 1ª safra'!$E40:$Z40)=0,0,MAX(0,IF((AS$6-$E$3)&lt;1,0,IFERROR(LOOKUP(2,1/('Milho 1ª safra'!$E40:INDEX('Milho 1ª safra'!$E40:$Z40,MIN(AS$6-$E$3,22))&lt;&gt;""),'Milho 1ª safra'!$E40:INDEX('Milho 1ª safra'!$E40:$Z40,MIN(AS$6-$E$3,22))),0))-IF($G$2,0,IF((AS$6-$G$3)&lt;1,0,IFERROR(LOOKUP(2,1/('Milho 1ª safra'!$E40:INDEX('Milho 1ª safra'!$E40:$Z40,MIN(AS$6-$G$3,22))&lt;&gt;""),'Milho 1ª safra'!$E40:INDEX('Milho 1ª safra'!$E40:$Z40,MIN(AS$6-$G$3,22))),0)))))</f>
        <v>0</v>
      </c>
      <c r="AT42" s="27" t="n">
        <f aca="false">IF(COUNT('Milho 1ª safra'!$E40:$Z40)=0,0,MAX(0,IF((AT$6-$E$3)&lt;1,0,IFERROR(LOOKUP(2,1/('Milho 1ª safra'!$E40:INDEX('Milho 1ª safra'!$E40:$Z40,MIN(AT$6-$E$3,22))&lt;&gt;""),'Milho 1ª safra'!$E40:INDEX('Milho 1ª safra'!$E40:$Z40,MIN(AT$6-$E$3,22))),0))-IF($G$2,0,IF((AT$6-$G$3)&lt;1,0,IFERROR(LOOKUP(2,1/('Milho 1ª safra'!$E40:INDEX('Milho 1ª safra'!$E40:$Z40,MIN(AT$6-$G$3,22))&lt;&gt;""),'Milho 1ª safra'!$E40:INDEX('Milho 1ª safra'!$E40:$Z40,MIN(AT$6-$G$3,22))),0)))))</f>
        <v>0</v>
      </c>
      <c r="AU42" s="27" t="n">
        <f aca="false">IF(COUNT('Milho 1ª safra'!$E40:$Z40)=0,0,MAX(0,IF((AU$6-$E$3)&lt;1,0,IFERROR(LOOKUP(2,1/('Milho 1ª safra'!$E40:INDEX('Milho 1ª safra'!$E40:$Z40,MIN(AU$6-$E$3,22))&lt;&gt;""),'Milho 1ª safra'!$E40:INDEX('Milho 1ª safra'!$E40:$Z40,MIN(AU$6-$E$3,22))),0))-IF($G$2,0,IF((AU$6-$G$3)&lt;1,0,IFERROR(LOOKUP(2,1/('Milho 1ª safra'!$E40:INDEX('Milho 1ª safra'!$E40:$Z40,MIN(AU$6-$G$3,22))&lt;&gt;""),'Milho 1ª safra'!$E40:INDEX('Milho 1ª safra'!$E40:$Z40,MIN(AU$6-$G$3,22))),0)))))</f>
        <v>0</v>
      </c>
      <c r="AV42" s="27" t="n">
        <f aca="false">IF(COUNT('Milho 1ª safra'!$E40:$Z40)=0,0,MAX(0,IF((AV$6-$E$3)&lt;1,0,IFERROR(LOOKUP(2,1/('Milho 1ª safra'!$E40:INDEX('Milho 1ª safra'!$E40:$Z40,MIN(AV$6-$E$3,22))&lt;&gt;""),'Milho 1ª safra'!$E40:INDEX('Milho 1ª safra'!$E40:$Z40,MIN(AV$6-$E$3,22))),0))-IF($G$2,0,IF((AV$6-$G$3)&lt;1,0,IFERROR(LOOKUP(2,1/('Milho 1ª safra'!$E40:INDEX('Milho 1ª safra'!$E40:$Z40,MIN(AV$6-$G$3,22))&lt;&gt;""),'Milho 1ª safra'!$E40:INDEX('Milho 1ª safra'!$E40:$Z40,MIN(AV$6-$G$3,22))),0)))))</f>
        <v>0</v>
      </c>
      <c r="AW42" s="27" t="n">
        <f aca="false">IF(COUNT('Milho 1ª safra'!$E40:$Z40)=0,0,MAX(0,IF((AW$6-$E$3)&lt;1,0,IFERROR(LOOKUP(2,1/('Milho 1ª safra'!$E40:INDEX('Milho 1ª safra'!$E40:$Z40,MIN(AW$6-$E$3,22))&lt;&gt;""),'Milho 1ª safra'!$E40:INDEX('Milho 1ª safra'!$E40:$Z40,MIN(AW$6-$E$3,22))),0))-IF($G$2,0,IF((AW$6-$G$3)&lt;1,0,IFERROR(LOOKUP(2,1/('Milho 1ª safra'!$E40:INDEX('Milho 1ª safra'!$E40:$Z40,MIN(AW$6-$G$3,22))&lt;&gt;""),'Milho 1ª safra'!$E40:INDEX('Milho 1ª safra'!$E40:$Z40,MIN(AW$6-$G$3,22))),0)))))</f>
        <v>0</v>
      </c>
      <c r="AX42" s="27" t="n">
        <f aca="false">IF(COUNT('Milho 1ª safra'!$E40:$Z40)=0,0,MAX(0,IF((AX$6-$E$3)&lt;1,0,IFERROR(LOOKUP(2,1/('Milho 1ª safra'!$E40:INDEX('Milho 1ª safra'!$E40:$Z40,MIN(AX$6-$E$3,22))&lt;&gt;""),'Milho 1ª safra'!$E40:INDEX('Milho 1ª safra'!$E40:$Z40,MIN(AX$6-$E$3,22))),0))-IF($G$2,0,IF((AX$6-$G$3)&lt;1,0,IFERROR(LOOKUP(2,1/('Milho 1ª safra'!$E40:INDEX('Milho 1ª safra'!$E40:$Z40,MIN(AX$6-$G$3,22))&lt;&gt;""),'Milho 1ª safra'!$E40:INDEX('Milho 1ª safra'!$E40:$Z40,MIN(AX$6-$G$3,22))),0)))))</f>
        <v>0</v>
      </c>
      <c r="AY42" s="27" t="n">
        <f aca="false">IF(COUNT('Milho 1ª safra'!$E40:$Z40)=0,0,MAX(0,IF((AY$6-$E$3)&lt;1,0,IFERROR(LOOKUP(2,1/('Milho 1ª safra'!$E40:INDEX('Milho 1ª safra'!$E40:$Z40,MIN(AY$6-$E$3,22))&lt;&gt;""),'Milho 1ª safra'!$E40:INDEX('Milho 1ª safra'!$E40:$Z40,MIN(AY$6-$E$3,22))),0))-IF($G$2,0,IF((AY$6-$G$3)&lt;1,0,IFERROR(LOOKUP(2,1/('Milho 1ª safra'!$E40:INDEX('Milho 1ª safra'!$E40:$Z40,MIN(AY$6-$G$3,22))&lt;&gt;""),'Milho 1ª safra'!$E40:INDEX('Milho 1ª safra'!$E40:$Z40,MIN(AY$6-$G$3,22))),0)))))</f>
        <v>0</v>
      </c>
      <c r="AZ42" s="27" t="n">
        <f aca="false">IF(COUNT('Milho 1ª safra'!$E40:$Z40)=0,0,MAX(0,IF((AZ$6-$E$3)&lt;1,0,IFERROR(LOOKUP(2,1/('Milho 1ª safra'!$E40:INDEX('Milho 1ª safra'!$E40:$Z40,MIN(AZ$6-$E$3,22))&lt;&gt;""),'Milho 1ª safra'!$E40:INDEX('Milho 1ª safra'!$E40:$Z40,MIN(AZ$6-$E$3,22))),0))-IF($G$2,0,IF((AZ$6-$G$3)&lt;1,0,IFERROR(LOOKUP(2,1/('Milho 1ª safra'!$E40:INDEX('Milho 1ª safra'!$E40:$Z40,MIN(AZ$6-$G$3,22))&lt;&gt;""),'Milho 1ª safra'!$E40:INDEX('Milho 1ª safra'!$E40:$Z40,MIN(AZ$6-$G$3,22))),0)))))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IF(COUNT('Milho 1ª safra'!$E41:$Z41)&gt;0,N('Milho 1ª safra'!$D41),0)</f>
        <v>0</v>
      </c>
      <c r="E43" s="27" t="n">
        <f aca="false">IF(COUNT('Milho 1ª safra'!$E41:$Z41)=0,0,MAX(0,IF((E$6-$E$3)&lt;1,0,IFERROR(LOOKUP(2,1/('Milho 1ª safra'!$E41:INDEX('Milho 1ª safra'!$E41:$Z41,MIN(E$6-$E$3,22))&lt;&gt;""),'Milho 1ª safra'!$E41:INDEX('Milho 1ª safra'!$E41:$Z41,MIN(E$6-$E$3,22))),0))-IF($G$2,0,IF((E$6-$G$3)&lt;1,0,IFERROR(LOOKUP(2,1/('Milho 1ª safra'!$E41:INDEX('Milho 1ª safra'!$E41:$Z41,MIN(E$6-$G$3,22))&lt;&gt;""),'Milho 1ª safra'!$E41:INDEX('Milho 1ª safra'!$E41:$Z41,MIN(E$6-$G$3,22))),0)))))</f>
        <v>0</v>
      </c>
      <c r="F43" s="27" t="n">
        <f aca="false">IF(COUNT('Milho 1ª safra'!$E41:$Z41)=0,0,MAX(0,IF((F$6-$E$3)&lt;1,0,IFERROR(LOOKUP(2,1/('Milho 1ª safra'!$E41:INDEX('Milho 1ª safra'!$E41:$Z41,MIN(F$6-$E$3,22))&lt;&gt;""),'Milho 1ª safra'!$E41:INDEX('Milho 1ª safra'!$E41:$Z41,MIN(F$6-$E$3,22))),0))-IF($G$2,0,IF((F$6-$G$3)&lt;1,0,IFERROR(LOOKUP(2,1/('Milho 1ª safra'!$E41:INDEX('Milho 1ª safra'!$E41:$Z41,MIN(F$6-$G$3,22))&lt;&gt;""),'Milho 1ª safra'!$E41:INDEX('Milho 1ª safra'!$E41:$Z41,MIN(F$6-$G$3,22))),0)))))</f>
        <v>0</v>
      </c>
      <c r="G43" s="27" t="n">
        <f aca="false">IF(COUNT('Milho 1ª safra'!$E41:$Z41)=0,0,MAX(0,IF((G$6-$E$3)&lt;1,0,IFERROR(LOOKUP(2,1/('Milho 1ª safra'!$E41:INDEX('Milho 1ª safra'!$E41:$Z41,MIN(G$6-$E$3,22))&lt;&gt;""),'Milho 1ª safra'!$E41:INDEX('Milho 1ª safra'!$E41:$Z41,MIN(G$6-$E$3,22))),0))-IF($G$2,0,IF((G$6-$G$3)&lt;1,0,IFERROR(LOOKUP(2,1/('Milho 1ª safra'!$E41:INDEX('Milho 1ª safra'!$E41:$Z41,MIN(G$6-$G$3,22))&lt;&gt;""),'Milho 1ª safra'!$E41:INDEX('Milho 1ª safra'!$E41:$Z41,MIN(G$6-$G$3,22))),0)))))</f>
        <v>0</v>
      </c>
      <c r="H43" s="27" t="n">
        <f aca="false">IF(COUNT('Milho 1ª safra'!$E41:$Z41)=0,0,MAX(0,IF((H$6-$E$3)&lt;1,0,IFERROR(LOOKUP(2,1/('Milho 1ª safra'!$E41:INDEX('Milho 1ª safra'!$E41:$Z41,MIN(H$6-$E$3,22))&lt;&gt;""),'Milho 1ª safra'!$E41:INDEX('Milho 1ª safra'!$E41:$Z41,MIN(H$6-$E$3,22))),0))-IF($G$2,0,IF((H$6-$G$3)&lt;1,0,IFERROR(LOOKUP(2,1/('Milho 1ª safra'!$E41:INDEX('Milho 1ª safra'!$E41:$Z41,MIN(H$6-$G$3,22))&lt;&gt;""),'Milho 1ª safra'!$E41:INDEX('Milho 1ª safra'!$E41:$Z41,MIN(H$6-$G$3,22))),0)))))</f>
        <v>0</v>
      </c>
      <c r="I43" s="27" t="n">
        <f aca="false">IF(COUNT('Milho 1ª safra'!$E41:$Z41)=0,0,MAX(0,IF((I$6-$E$3)&lt;1,0,IFERROR(LOOKUP(2,1/('Milho 1ª safra'!$E41:INDEX('Milho 1ª safra'!$E41:$Z41,MIN(I$6-$E$3,22))&lt;&gt;""),'Milho 1ª safra'!$E41:INDEX('Milho 1ª safra'!$E41:$Z41,MIN(I$6-$E$3,22))),0))-IF($G$2,0,IF((I$6-$G$3)&lt;1,0,IFERROR(LOOKUP(2,1/('Milho 1ª safra'!$E41:INDEX('Milho 1ª safra'!$E41:$Z41,MIN(I$6-$G$3,22))&lt;&gt;""),'Milho 1ª safra'!$E41:INDEX('Milho 1ª safra'!$E41:$Z41,MIN(I$6-$G$3,22))),0)))))</f>
        <v>0</v>
      </c>
      <c r="J43" s="27" t="n">
        <f aca="false">IF(COUNT('Milho 1ª safra'!$E41:$Z41)=0,0,MAX(0,IF((J$6-$E$3)&lt;1,0,IFERROR(LOOKUP(2,1/('Milho 1ª safra'!$E41:INDEX('Milho 1ª safra'!$E41:$Z41,MIN(J$6-$E$3,22))&lt;&gt;""),'Milho 1ª safra'!$E41:INDEX('Milho 1ª safra'!$E41:$Z41,MIN(J$6-$E$3,22))),0))-IF($G$2,0,IF((J$6-$G$3)&lt;1,0,IFERROR(LOOKUP(2,1/('Milho 1ª safra'!$E41:INDEX('Milho 1ª safra'!$E41:$Z41,MIN(J$6-$G$3,22))&lt;&gt;""),'Milho 1ª safra'!$E41:INDEX('Milho 1ª safra'!$E41:$Z41,MIN(J$6-$G$3,22))),0)))))</f>
        <v>0</v>
      </c>
      <c r="K43" s="27" t="n">
        <f aca="false">IF(COUNT('Milho 1ª safra'!$E41:$Z41)=0,0,MAX(0,IF((K$6-$E$3)&lt;1,0,IFERROR(LOOKUP(2,1/('Milho 1ª safra'!$E41:INDEX('Milho 1ª safra'!$E41:$Z41,MIN(K$6-$E$3,22))&lt;&gt;""),'Milho 1ª safra'!$E41:INDEX('Milho 1ª safra'!$E41:$Z41,MIN(K$6-$E$3,22))),0))-IF($G$2,0,IF((K$6-$G$3)&lt;1,0,IFERROR(LOOKUP(2,1/('Milho 1ª safra'!$E41:INDEX('Milho 1ª safra'!$E41:$Z41,MIN(K$6-$G$3,22))&lt;&gt;""),'Milho 1ª safra'!$E41:INDEX('Milho 1ª safra'!$E41:$Z41,MIN(K$6-$G$3,22))),0)))))</f>
        <v>0</v>
      </c>
      <c r="L43" s="27" t="n">
        <f aca="false">IF(COUNT('Milho 1ª safra'!$E41:$Z41)=0,0,MAX(0,IF((L$6-$E$3)&lt;1,0,IFERROR(LOOKUP(2,1/('Milho 1ª safra'!$E41:INDEX('Milho 1ª safra'!$E41:$Z41,MIN(L$6-$E$3,22))&lt;&gt;""),'Milho 1ª safra'!$E41:INDEX('Milho 1ª safra'!$E41:$Z41,MIN(L$6-$E$3,22))),0))-IF($G$2,0,IF((L$6-$G$3)&lt;1,0,IFERROR(LOOKUP(2,1/('Milho 1ª safra'!$E41:INDEX('Milho 1ª safra'!$E41:$Z41,MIN(L$6-$G$3,22))&lt;&gt;""),'Milho 1ª safra'!$E41:INDEX('Milho 1ª safra'!$E41:$Z41,MIN(L$6-$G$3,22))),0)))))</f>
        <v>0</v>
      </c>
      <c r="M43" s="27" t="n">
        <f aca="false">IF(COUNT('Milho 1ª safra'!$E41:$Z41)=0,0,MAX(0,IF((M$6-$E$3)&lt;1,0,IFERROR(LOOKUP(2,1/('Milho 1ª safra'!$E41:INDEX('Milho 1ª safra'!$E41:$Z41,MIN(M$6-$E$3,22))&lt;&gt;""),'Milho 1ª safra'!$E41:INDEX('Milho 1ª safra'!$E41:$Z41,MIN(M$6-$E$3,22))),0))-IF($G$2,0,IF((M$6-$G$3)&lt;1,0,IFERROR(LOOKUP(2,1/('Milho 1ª safra'!$E41:INDEX('Milho 1ª safra'!$E41:$Z41,MIN(M$6-$G$3,22))&lt;&gt;""),'Milho 1ª safra'!$E41:INDEX('Milho 1ª safra'!$E41:$Z41,MIN(M$6-$G$3,22))),0)))))</f>
        <v>0</v>
      </c>
      <c r="N43" s="27" t="n">
        <f aca="false">IF(COUNT('Milho 1ª safra'!$E41:$Z41)=0,0,MAX(0,IF((N$6-$E$3)&lt;1,0,IFERROR(LOOKUP(2,1/('Milho 1ª safra'!$E41:INDEX('Milho 1ª safra'!$E41:$Z41,MIN(N$6-$E$3,22))&lt;&gt;""),'Milho 1ª safra'!$E41:INDEX('Milho 1ª safra'!$E41:$Z41,MIN(N$6-$E$3,22))),0))-IF($G$2,0,IF((N$6-$G$3)&lt;1,0,IFERROR(LOOKUP(2,1/('Milho 1ª safra'!$E41:INDEX('Milho 1ª safra'!$E41:$Z41,MIN(N$6-$G$3,22))&lt;&gt;""),'Milho 1ª safra'!$E41:INDEX('Milho 1ª safra'!$E41:$Z41,MIN(N$6-$G$3,22))),0)))))</f>
        <v>0</v>
      </c>
      <c r="O43" s="27" t="n">
        <f aca="false">IF(COUNT('Milho 1ª safra'!$E41:$Z41)=0,0,MAX(0,IF((O$6-$E$3)&lt;1,0,IFERROR(LOOKUP(2,1/('Milho 1ª safra'!$E41:INDEX('Milho 1ª safra'!$E41:$Z41,MIN(O$6-$E$3,22))&lt;&gt;""),'Milho 1ª safra'!$E41:INDEX('Milho 1ª safra'!$E41:$Z41,MIN(O$6-$E$3,22))),0))-IF($G$2,0,IF((O$6-$G$3)&lt;1,0,IFERROR(LOOKUP(2,1/('Milho 1ª safra'!$E41:INDEX('Milho 1ª safra'!$E41:$Z41,MIN(O$6-$G$3,22))&lt;&gt;""),'Milho 1ª safra'!$E41:INDEX('Milho 1ª safra'!$E41:$Z41,MIN(O$6-$G$3,22))),0)))))</f>
        <v>0</v>
      </c>
      <c r="P43" s="27" t="n">
        <f aca="false">IF(COUNT('Milho 1ª safra'!$E41:$Z41)=0,0,MAX(0,IF((P$6-$E$3)&lt;1,0,IFERROR(LOOKUP(2,1/('Milho 1ª safra'!$E41:INDEX('Milho 1ª safra'!$E41:$Z41,MIN(P$6-$E$3,22))&lt;&gt;""),'Milho 1ª safra'!$E41:INDEX('Milho 1ª safra'!$E41:$Z41,MIN(P$6-$E$3,22))),0))-IF($G$2,0,IF((P$6-$G$3)&lt;1,0,IFERROR(LOOKUP(2,1/('Milho 1ª safra'!$E41:INDEX('Milho 1ª safra'!$E41:$Z41,MIN(P$6-$G$3,22))&lt;&gt;""),'Milho 1ª safra'!$E41:INDEX('Milho 1ª safra'!$E41:$Z41,MIN(P$6-$G$3,22))),0)))))</f>
        <v>0</v>
      </c>
      <c r="Q43" s="27" t="n">
        <f aca="false">IF(COUNT('Milho 1ª safra'!$E41:$Z41)=0,0,MAX(0,IF((Q$6-$E$3)&lt;1,0,IFERROR(LOOKUP(2,1/('Milho 1ª safra'!$E41:INDEX('Milho 1ª safra'!$E41:$Z41,MIN(Q$6-$E$3,22))&lt;&gt;""),'Milho 1ª safra'!$E41:INDEX('Milho 1ª safra'!$E41:$Z41,MIN(Q$6-$E$3,22))),0))-IF($G$2,0,IF((Q$6-$G$3)&lt;1,0,IFERROR(LOOKUP(2,1/('Milho 1ª safra'!$E41:INDEX('Milho 1ª safra'!$E41:$Z41,MIN(Q$6-$G$3,22))&lt;&gt;""),'Milho 1ª safra'!$E41:INDEX('Milho 1ª safra'!$E41:$Z41,MIN(Q$6-$G$3,22))),0)))))</f>
        <v>0</v>
      </c>
      <c r="R43" s="27" t="n">
        <f aca="false">IF(COUNT('Milho 1ª safra'!$E41:$Z41)=0,0,MAX(0,IF((R$6-$E$3)&lt;1,0,IFERROR(LOOKUP(2,1/('Milho 1ª safra'!$E41:INDEX('Milho 1ª safra'!$E41:$Z41,MIN(R$6-$E$3,22))&lt;&gt;""),'Milho 1ª safra'!$E41:INDEX('Milho 1ª safra'!$E41:$Z41,MIN(R$6-$E$3,22))),0))-IF($G$2,0,IF((R$6-$G$3)&lt;1,0,IFERROR(LOOKUP(2,1/('Milho 1ª safra'!$E41:INDEX('Milho 1ª safra'!$E41:$Z41,MIN(R$6-$G$3,22))&lt;&gt;""),'Milho 1ª safra'!$E41:INDEX('Milho 1ª safra'!$E41:$Z41,MIN(R$6-$G$3,22))),0)))))</f>
        <v>0</v>
      </c>
      <c r="S43" s="27" t="n">
        <f aca="false">IF(COUNT('Milho 1ª safra'!$E41:$Z41)=0,0,MAX(0,IF((S$6-$E$3)&lt;1,0,IFERROR(LOOKUP(2,1/('Milho 1ª safra'!$E41:INDEX('Milho 1ª safra'!$E41:$Z41,MIN(S$6-$E$3,22))&lt;&gt;""),'Milho 1ª safra'!$E41:INDEX('Milho 1ª safra'!$E41:$Z41,MIN(S$6-$E$3,22))),0))-IF($G$2,0,IF((S$6-$G$3)&lt;1,0,IFERROR(LOOKUP(2,1/('Milho 1ª safra'!$E41:INDEX('Milho 1ª safra'!$E41:$Z41,MIN(S$6-$G$3,22))&lt;&gt;""),'Milho 1ª safra'!$E41:INDEX('Milho 1ª safra'!$E41:$Z41,MIN(S$6-$G$3,22))),0)))))</f>
        <v>0</v>
      </c>
      <c r="T43" s="27" t="n">
        <f aca="false">IF(COUNT('Milho 1ª safra'!$E41:$Z41)=0,0,MAX(0,IF((T$6-$E$3)&lt;1,0,IFERROR(LOOKUP(2,1/('Milho 1ª safra'!$E41:INDEX('Milho 1ª safra'!$E41:$Z41,MIN(T$6-$E$3,22))&lt;&gt;""),'Milho 1ª safra'!$E41:INDEX('Milho 1ª safra'!$E41:$Z41,MIN(T$6-$E$3,22))),0))-IF($G$2,0,IF((T$6-$G$3)&lt;1,0,IFERROR(LOOKUP(2,1/('Milho 1ª safra'!$E41:INDEX('Milho 1ª safra'!$E41:$Z41,MIN(T$6-$G$3,22))&lt;&gt;""),'Milho 1ª safra'!$E41:INDEX('Milho 1ª safra'!$E41:$Z41,MIN(T$6-$G$3,22))),0)))))</f>
        <v>0</v>
      </c>
      <c r="U43" s="27" t="n">
        <f aca="false">IF(COUNT('Milho 1ª safra'!$E41:$Z41)=0,0,MAX(0,IF((U$6-$E$3)&lt;1,0,IFERROR(LOOKUP(2,1/('Milho 1ª safra'!$E41:INDEX('Milho 1ª safra'!$E41:$Z41,MIN(U$6-$E$3,22))&lt;&gt;""),'Milho 1ª safra'!$E41:INDEX('Milho 1ª safra'!$E41:$Z41,MIN(U$6-$E$3,22))),0))-IF($G$2,0,IF((U$6-$G$3)&lt;1,0,IFERROR(LOOKUP(2,1/('Milho 1ª safra'!$E41:INDEX('Milho 1ª safra'!$E41:$Z41,MIN(U$6-$G$3,22))&lt;&gt;""),'Milho 1ª safra'!$E41:INDEX('Milho 1ª safra'!$E41:$Z41,MIN(U$6-$G$3,22))),0)))))</f>
        <v>0</v>
      </c>
      <c r="V43" s="27" t="n">
        <f aca="false">IF(COUNT('Milho 1ª safra'!$E41:$Z41)=0,0,MAX(0,IF((V$6-$E$3)&lt;1,0,IFERROR(LOOKUP(2,1/('Milho 1ª safra'!$E41:INDEX('Milho 1ª safra'!$E41:$Z41,MIN(V$6-$E$3,22))&lt;&gt;""),'Milho 1ª safra'!$E41:INDEX('Milho 1ª safra'!$E41:$Z41,MIN(V$6-$E$3,22))),0))-IF($G$2,0,IF((V$6-$G$3)&lt;1,0,IFERROR(LOOKUP(2,1/('Milho 1ª safra'!$E41:INDEX('Milho 1ª safra'!$E41:$Z41,MIN(V$6-$G$3,22))&lt;&gt;""),'Milho 1ª safra'!$E41:INDEX('Milho 1ª safra'!$E41:$Z41,MIN(V$6-$G$3,22))),0)))))</f>
        <v>0</v>
      </c>
      <c r="W43" s="27" t="n">
        <f aca="false">IF(COUNT('Milho 1ª safra'!$E41:$Z41)=0,0,MAX(0,IF((W$6-$E$3)&lt;1,0,IFERROR(LOOKUP(2,1/('Milho 1ª safra'!$E41:INDEX('Milho 1ª safra'!$E41:$Z41,MIN(W$6-$E$3,22))&lt;&gt;""),'Milho 1ª safra'!$E41:INDEX('Milho 1ª safra'!$E41:$Z41,MIN(W$6-$E$3,22))),0))-IF($G$2,0,IF((W$6-$G$3)&lt;1,0,IFERROR(LOOKUP(2,1/('Milho 1ª safra'!$E41:INDEX('Milho 1ª safra'!$E41:$Z41,MIN(W$6-$G$3,22))&lt;&gt;""),'Milho 1ª safra'!$E41:INDEX('Milho 1ª safra'!$E41:$Z41,MIN(W$6-$G$3,22))),0)))))</f>
        <v>0</v>
      </c>
      <c r="X43" s="27" t="n">
        <f aca="false">IF(COUNT('Milho 1ª safra'!$E41:$Z41)=0,0,MAX(0,IF((X$6-$E$3)&lt;1,0,IFERROR(LOOKUP(2,1/('Milho 1ª safra'!$E41:INDEX('Milho 1ª safra'!$E41:$Z41,MIN(X$6-$E$3,22))&lt;&gt;""),'Milho 1ª safra'!$E41:INDEX('Milho 1ª safra'!$E41:$Z41,MIN(X$6-$E$3,22))),0))-IF($G$2,0,IF((X$6-$G$3)&lt;1,0,IFERROR(LOOKUP(2,1/('Milho 1ª safra'!$E41:INDEX('Milho 1ª safra'!$E41:$Z41,MIN(X$6-$G$3,22))&lt;&gt;""),'Milho 1ª safra'!$E41:INDEX('Milho 1ª safra'!$E41:$Z41,MIN(X$6-$G$3,22))),0)))))</f>
        <v>0</v>
      </c>
      <c r="Y43" s="27" t="n">
        <f aca="false">IF(COUNT('Milho 1ª safra'!$E41:$Z41)=0,0,MAX(0,IF((Y$6-$E$3)&lt;1,0,IFERROR(LOOKUP(2,1/('Milho 1ª safra'!$E41:INDEX('Milho 1ª safra'!$E41:$Z41,MIN(Y$6-$E$3,22))&lt;&gt;""),'Milho 1ª safra'!$E41:INDEX('Milho 1ª safra'!$E41:$Z41,MIN(Y$6-$E$3,22))),0))-IF($G$2,0,IF((Y$6-$G$3)&lt;1,0,IFERROR(LOOKUP(2,1/('Milho 1ª safra'!$E41:INDEX('Milho 1ª safra'!$E41:$Z41,MIN(Y$6-$G$3,22))&lt;&gt;""),'Milho 1ª safra'!$E41:INDEX('Milho 1ª safra'!$E41:$Z41,MIN(Y$6-$G$3,22))),0)))))</f>
        <v>0</v>
      </c>
      <c r="Z43" s="27" t="n">
        <f aca="false">IF(COUNT('Milho 1ª safra'!$E41:$Z41)=0,0,MAX(0,IF((Z$6-$E$3)&lt;1,0,IFERROR(LOOKUP(2,1/('Milho 1ª safra'!$E41:INDEX('Milho 1ª safra'!$E41:$Z41,MIN(Z$6-$E$3,22))&lt;&gt;""),'Milho 1ª safra'!$E41:INDEX('Milho 1ª safra'!$E41:$Z41,MIN(Z$6-$E$3,22))),0))-IF($G$2,0,IF((Z$6-$G$3)&lt;1,0,IFERROR(LOOKUP(2,1/('Milho 1ª safra'!$E41:INDEX('Milho 1ª safra'!$E41:$Z41,MIN(Z$6-$G$3,22))&lt;&gt;""),'Milho 1ª safra'!$E41:INDEX('Milho 1ª safra'!$E41:$Z41,MIN(Z$6-$G$3,22))),0)))))</f>
        <v>0</v>
      </c>
      <c r="AA43" s="27" t="n">
        <f aca="false">IF(COUNT('Milho 1ª safra'!$E41:$Z41)=0,0,MAX(0,IF((AA$6-$E$3)&lt;1,0,IFERROR(LOOKUP(2,1/('Milho 1ª safra'!$E41:INDEX('Milho 1ª safra'!$E41:$Z41,MIN(AA$6-$E$3,22))&lt;&gt;""),'Milho 1ª safra'!$E41:INDEX('Milho 1ª safra'!$E41:$Z41,MIN(AA$6-$E$3,22))),0))-IF($G$2,0,IF((AA$6-$G$3)&lt;1,0,IFERROR(LOOKUP(2,1/('Milho 1ª safra'!$E41:INDEX('Milho 1ª safra'!$E41:$Z41,MIN(AA$6-$G$3,22))&lt;&gt;""),'Milho 1ª safra'!$E41:INDEX('Milho 1ª safra'!$E41:$Z41,MIN(AA$6-$G$3,22))),0)))))</f>
        <v>0</v>
      </c>
      <c r="AB43" s="27" t="n">
        <f aca="false">IF(COUNT('Milho 1ª safra'!$E41:$Z41)=0,0,MAX(0,IF((AB$6-$E$3)&lt;1,0,IFERROR(LOOKUP(2,1/('Milho 1ª safra'!$E41:INDEX('Milho 1ª safra'!$E41:$Z41,MIN(AB$6-$E$3,22))&lt;&gt;""),'Milho 1ª safra'!$E41:INDEX('Milho 1ª safra'!$E41:$Z41,MIN(AB$6-$E$3,22))),0))-IF($G$2,0,IF((AB$6-$G$3)&lt;1,0,IFERROR(LOOKUP(2,1/('Milho 1ª safra'!$E41:INDEX('Milho 1ª safra'!$E41:$Z41,MIN(AB$6-$G$3,22))&lt;&gt;""),'Milho 1ª safra'!$E41:INDEX('Milho 1ª safra'!$E41:$Z41,MIN(AB$6-$G$3,22))),0)))))</f>
        <v>0</v>
      </c>
      <c r="AC43" s="27" t="n">
        <f aca="false">IF(COUNT('Milho 1ª safra'!$E41:$Z41)=0,0,MAX(0,IF((AC$6-$E$3)&lt;1,0,IFERROR(LOOKUP(2,1/('Milho 1ª safra'!$E41:INDEX('Milho 1ª safra'!$E41:$Z41,MIN(AC$6-$E$3,22))&lt;&gt;""),'Milho 1ª safra'!$E41:INDEX('Milho 1ª safra'!$E41:$Z41,MIN(AC$6-$E$3,22))),0))-IF($G$2,0,IF((AC$6-$G$3)&lt;1,0,IFERROR(LOOKUP(2,1/('Milho 1ª safra'!$E41:INDEX('Milho 1ª safra'!$E41:$Z41,MIN(AC$6-$G$3,22))&lt;&gt;""),'Milho 1ª safra'!$E41:INDEX('Milho 1ª safra'!$E41:$Z41,MIN(AC$6-$G$3,22))),0)))))</f>
        <v>0</v>
      </c>
      <c r="AD43" s="27" t="n">
        <f aca="false">IF(COUNT('Milho 1ª safra'!$E41:$Z41)=0,0,MAX(0,IF((AD$6-$E$3)&lt;1,0,IFERROR(LOOKUP(2,1/('Milho 1ª safra'!$E41:INDEX('Milho 1ª safra'!$E41:$Z41,MIN(AD$6-$E$3,22))&lt;&gt;""),'Milho 1ª safra'!$E41:INDEX('Milho 1ª safra'!$E41:$Z41,MIN(AD$6-$E$3,22))),0))-IF($G$2,0,IF((AD$6-$G$3)&lt;1,0,IFERROR(LOOKUP(2,1/('Milho 1ª safra'!$E41:INDEX('Milho 1ª safra'!$E41:$Z41,MIN(AD$6-$G$3,22))&lt;&gt;""),'Milho 1ª safra'!$E41:INDEX('Milho 1ª safra'!$E41:$Z41,MIN(AD$6-$G$3,22))),0)))))</f>
        <v>0</v>
      </c>
      <c r="AE43" s="27" t="n">
        <f aca="false">IF(COUNT('Milho 1ª safra'!$E41:$Z41)=0,0,MAX(0,IF((AE$6-$E$3)&lt;1,0,IFERROR(LOOKUP(2,1/('Milho 1ª safra'!$E41:INDEX('Milho 1ª safra'!$E41:$Z41,MIN(AE$6-$E$3,22))&lt;&gt;""),'Milho 1ª safra'!$E41:INDEX('Milho 1ª safra'!$E41:$Z41,MIN(AE$6-$E$3,22))),0))-IF($G$2,0,IF((AE$6-$G$3)&lt;1,0,IFERROR(LOOKUP(2,1/('Milho 1ª safra'!$E41:INDEX('Milho 1ª safra'!$E41:$Z41,MIN(AE$6-$G$3,22))&lt;&gt;""),'Milho 1ª safra'!$E41:INDEX('Milho 1ª safra'!$E41:$Z41,MIN(AE$6-$G$3,22))),0)))))</f>
        <v>0</v>
      </c>
      <c r="AF43" s="27" t="n">
        <f aca="false">IF(COUNT('Milho 1ª safra'!$E41:$Z41)=0,0,MAX(0,IF((AF$6-$E$3)&lt;1,0,IFERROR(LOOKUP(2,1/('Milho 1ª safra'!$E41:INDEX('Milho 1ª safra'!$E41:$Z41,MIN(AF$6-$E$3,22))&lt;&gt;""),'Milho 1ª safra'!$E41:INDEX('Milho 1ª safra'!$E41:$Z41,MIN(AF$6-$E$3,22))),0))-IF($G$2,0,IF((AF$6-$G$3)&lt;1,0,IFERROR(LOOKUP(2,1/('Milho 1ª safra'!$E41:INDEX('Milho 1ª safra'!$E41:$Z41,MIN(AF$6-$G$3,22))&lt;&gt;""),'Milho 1ª safra'!$E41:INDEX('Milho 1ª safra'!$E41:$Z41,MIN(AF$6-$G$3,22))),0)))))</f>
        <v>0</v>
      </c>
      <c r="AG43" s="27" t="n">
        <f aca="false">IF(COUNT('Milho 1ª safra'!$E41:$Z41)=0,0,MAX(0,IF((AG$6-$E$3)&lt;1,0,IFERROR(LOOKUP(2,1/('Milho 1ª safra'!$E41:INDEX('Milho 1ª safra'!$E41:$Z41,MIN(AG$6-$E$3,22))&lt;&gt;""),'Milho 1ª safra'!$E41:INDEX('Milho 1ª safra'!$E41:$Z41,MIN(AG$6-$E$3,22))),0))-IF($G$2,0,IF((AG$6-$G$3)&lt;1,0,IFERROR(LOOKUP(2,1/('Milho 1ª safra'!$E41:INDEX('Milho 1ª safra'!$E41:$Z41,MIN(AG$6-$G$3,22))&lt;&gt;""),'Milho 1ª safra'!$E41:INDEX('Milho 1ª safra'!$E41:$Z41,MIN(AG$6-$G$3,22))),0)))))</f>
        <v>0</v>
      </c>
      <c r="AH43" s="27" t="n">
        <f aca="false">IF(COUNT('Milho 1ª safra'!$E41:$Z41)=0,0,MAX(0,IF((AH$6-$E$3)&lt;1,0,IFERROR(LOOKUP(2,1/('Milho 1ª safra'!$E41:INDEX('Milho 1ª safra'!$E41:$Z41,MIN(AH$6-$E$3,22))&lt;&gt;""),'Milho 1ª safra'!$E41:INDEX('Milho 1ª safra'!$E41:$Z41,MIN(AH$6-$E$3,22))),0))-IF($G$2,0,IF((AH$6-$G$3)&lt;1,0,IFERROR(LOOKUP(2,1/('Milho 1ª safra'!$E41:INDEX('Milho 1ª safra'!$E41:$Z41,MIN(AH$6-$G$3,22))&lt;&gt;""),'Milho 1ª safra'!$E41:INDEX('Milho 1ª safra'!$E41:$Z41,MIN(AH$6-$G$3,22))),0)))))</f>
        <v>0</v>
      </c>
      <c r="AI43" s="27" t="n">
        <f aca="false">IF(COUNT('Milho 1ª safra'!$E41:$Z41)=0,0,MAX(0,IF((AI$6-$E$3)&lt;1,0,IFERROR(LOOKUP(2,1/('Milho 1ª safra'!$E41:INDEX('Milho 1ª safra'!$E41:$Z41,MIN(AI$6-$E$3,22))&lt;&gt;""),'Milho 1ª safra'!$E41:INDEX('Milho 1ª safra'!$E41:$Z41,MIN(AI$6-$E$3,22))),0))-IF($G$2,0,IF((AI$6-$G$3)&lt;1,0,IFERROR(LOOKUP(2,1/('Milho 1ª safra'!$E41:INDEX('Milho 1ª safra'!$E41:$Z41,MIN(AI$6-$G$3,22))&lt;&gt;""),'Milho 1ª safra'!$E41:INDEX('Milho 1ª safra'!$E41:$Z41,MIN(AI$6-$G$3,22))),0)))))</f>
        <v>0</v>
      </c>
      <c r="AJ43" s="27" t="n">
        <f aca="false">IF(COUNT('Milho 1ª safra'!$E41:$Z41)=0,0,MAX(0,IF((AJ$6-$E$3)&lt;1,0,IFERROR(LOOKUP(2,1/('Milho 1ª safra'!$E41:INDEX('Milho 1ª safra'!$E41:$Z41,MIN(AJ$6-$E$3,22))&lt;&gt;""),'Milho 1ª safra'!$E41:INDEX('Milho 1ª safra'!$E41:$Z41,MIN(AJ$6-$E$3,22))),0))-IF($G$2,0,IF((AJ$6-$G$3)&lt;1,0,IFERROR(LOOKUP(2,1/('Milho 1ª safra'!$E41:INDEX('Milho 1ª safra'!$E41:$Z41,MIN(AJ$6-$G$3,22))&lt;&gt;""),'Milho 1ª safra'!$E41:INDEX('Milho 1ª safra'!$E41:$Z41,MIN(AJ$6-$G$3,22))),0)))))</f>
        <v>0</v>
      </c>
      <c r="AK43" s="27" t="n">
        <f aca="false">IF(COUNT('Milho 1ª safra'!$E41:$Z41)=0,0,MAX(0,IF((AK$6-$E$3)&lt;1,0,IFERROR(LOOKUP(2,1/('Milho 1ª safra'!$E41:INDEX('Milho 1ª safra'!$E41:$Z41,MIN(AK$6-$E$3,22))&lt;&gt;""),'Milho 1ª safra'!$E41:INDEX('Milho 1ª safra'!$E41:$Z41,MIN(AK$6-$E$3,22))),0))-IF($G$2,0,IF((AK$6-$G$3)&lt;1,0,IFERROR(LOOKUP(2,1/('Milho 1ª safra'!$E41:INDEX('Milho 1ª safra'!$E41:$Z41,MIN(AK$6-$G$3,22))&lt;&gt;""),'Milho 1ª safra'!$E41:INDEX('Milho 1ª safra'!$E41:$Z41,MIN(AK$6-$G$3,22))),0)))))</f>
        <v>0</v>
      </c>
      <c r="AL43" s="27" t="n">
        <f aca="false">IF(COUNT('Milho 1ª safra'!$E41:$Z41)=0,0,MAX(0,IF((AL$6-$E$3)&lt;1,0,IFERROR(LOOKUP(2,1/('Milho 1ª safra'!$E41:INDEX('Milho 1ª safra'!$E41:$Z41,MIN(AL$6-$E$3,22))&lt;&gt;""),'Milho 1ª safra'!$E41:INDEX('Milho 1ª safra'!$E41:$Z41,MIN(AL$6-$E$3,22))),0))-IF($G$2,0,IF((AL$6-$G$3)&lt;1,0,IFERROR(LOOKUP(2,1/('Milho 1ª safra'!$E41:INDEX('Milho 1ª safra'!$E41:$Z41,MIN(AL$6-$G$3,22))&lt;&gt;""),'Milho 1ª safra'!$E41:INDEX('Milho 1ª safra'!$E41:$Z41,MIN(AL$6-$G$3,22))),0)))))</f>
        <v>0</v>
      </c>
      <c r="AM43" s="27" t="n">
        <f aca="false">IF(COUNT('Milho 1ª safra'!$E41:$Z41)=0,0,MAX(0,IF((AM$6-$E$3)&lt;1,0,IFERROR(LOOKUP(2,1/('Milho 1ª safra'!$E41:INDEX('Milho 1ª safra'!$E41:$Z41,MIN(AM$6-$E$3,22))&lt;&gt;""),'Milho 1ª safra'!$E41:INDEX('Milho 1ª safra'!$E41:$Z41,MIN(AM$6-$E$3,22))),0))-IF($G$2,0,IF((AM$6-$G$3)&lt;1,0,IFERROR(LOOKUP(2,1/('Milho 1ª safra'!$E41:INDEX('Milho 1ª safra'!$E41:$Z41,MIN(AM$6-$G$3,22))&lt;&gt;""),'Milho 1ª safra'!$E41:INDEX('Milho 1ª safra'!$E41:$Z41,MIN(AM$6-$G$3,22))),0)))))</f>
        <v>0</v>
      </c>
      <c r="AN43" s="27" t="n">
        <f aca="false">IF(COUNT('Milho 1ª safra'!$E41:$Z41)=0,0,MAX(0,IF((AN$6-$E$3)&lt;1,0,IFERROR(LOOKUP(2,1/('Milho 1ª safra'!$E41:INDEX('Milho 1ª safra'!$E41:$Z41,MIN(AN$6-$E$3,22))&lt;&gt;""),'Milho 1ª safra'!$E41:INDEX('Milho 1ª safra'!$E41:$Z41,MIN(AN$6-$E$3,22))),0))-IF($G$2,0,IF((AN$6-$G$3)&lt;1,0,IFERROR(LOOKUP(2,1/('Milho 1ª safra'!$E41:INDEX('Milho 1ª safra'!$E41:$Z41,MIN(AN$6-$G$3,22))&lt;&gt;""),'Milho 1ª safra'!$E41:INDEX('Milho 1ª safra'!$E41:$Z41,MIN(AN$6-$G$3,22))),0)))))</f>
        <v>0</v>
      </c>
      <c r="AO43" s="27" t="n">
        <f aca="false">IF(COUNT('Milho 1ª safra'!$E41:$Z41)=0,0,MAX(0,IF((AO$6-$E$3)&lt;1,0,IFERROR(LOOKUP(2,1/('Milho 1ª safra'!$E41:INDEX('Milho 1ª safra'!$E41:$Z41,MIN(AO$6-$E$3,22))&lt;&gt;""),'Milho 1ª safra'!$E41:INDEX('Milho 1ª safra'!$E41:$Z41,MIN(AO$6-$E$3,22))),0))-IF($G$2,0,IF((AO$6-$G$3)&lt;1,0,IFERROR(LOOKUP(2,1/('Milho 1ª safra'!$E41:INDEX('Milho 1ª safra'!$E41:$Z41,MIN(AO$6-$G$3,22))&lt;&gt;""),'Milho 1ª safra'!$E41:INDEX('Milho 1ª safra'!$E41:$Z41,MIN(AO$6-$G$3,22))),0)))))</f>
        <v>0</v>
      </c>
      <c r="AP43" s="27" t="n">
        <f aca="false">IF(COUNT('Milho 1ª safra'!$E41:$Z41)=0,0,MAX(0,IF((AP$6-$E$3)&lt;1,0,IFERROR(LOOKUP(2,1/('Milho 1ª safra'!$E41:INDEX('Milho 1ª safra'!$E41:$Z41,MIN(AP$6-$E$3,22))&lt;&gt;""),'Milho 1ª safra'!$E41:INDEX('Milho 1ª safra'!$E41:$Z41,MIN(AP$6-$E$3,22))),0))-IF($G$2,0,IF((AP$6-$G$3)&lt;1,0,IFERROR(LOOKUP(2,1/('Milho 1ª safra'!$E41:INDEX('Milho 1ª safra'!$E41:$Z41,MIN(AP$6-$G$3,22))&lt;&gt;""),'Milho 1ª safra'!$E41:INDEX('Milho 1ª safra'!$E41:$Z41,MIN(AP$6-$G$3,22))),0)))))</f>
        <v>0</v>
      </c>
      <c r="AQ43" s="27" t="n">
        <f aca="false">IF(COUNT('Milho 1ª safra'!$E41:$Z41)=0,0,MAX(0,IF((AQ$6-$E$3)&lt;1,0,IFERROR(LOOKUP(2,1/('Milho 1ª safra'!$E41:INDEX('Milho 1ª safra'!$E41:$Z41,MIN(AQ$6-$E$3,22))&lt;&gt;""),'Milho 1ª safra'!$E41:INDEX('Milho 1ª safra'!$E41:$Z41,MIN(AQ$6-$E$3,22))),0))-IF($G$2,0,IF((AQ$6-$G$3)&lt;1,0,IFERROR(LOOKUP(2,1/('Milho 1ª safra'!$E41:INDEX('Milho 1ª safra'!$E41:$Z41,MIN(AQ$6-$G$3,22))&lt;&gt;""),'Milho 1ª safra'!$E41:INDEX('Milho 1ª safra'!$E41:$Z41,MIN(AQ$6-$G$3,22))),0)))))</f>
        <v>0</v>
      </c>
      <c r="AR43" s="27" t="n">
        <f aca="false">IF(COUNT('Milho 1ª safra'!$E41:$Z41)=0,0,MAX(0,IF((AR$6-$E$3)&lt;1,0,IFERROR(LOOKUP(2,1/('Milho 1ª safra'!$E41:INDEX('Milho 1ª safra'!$E41:$Z41,MIN(AR$6-$E$3,22))&lt;&gt;""),'Milho 1ª safra'!$E41:INDEX('Milho 1ª safra'!$E41:$Z41,MIN(AR$6-$E$3,22))),0))-IF($G$2,0,IF((AR$6-$G$3)&lt;1,0,IFERROR(LOOKUP(2,1/('Milho 1ª safra'!$E41:INDEX('Milho 1ª safra'!$E41:$Z41,MIN(AR$6-$G$3,22))&lt;&gt;""),'Milho 1ª safra'!$E41:INDEX('Milho 1ª safra'!$E41:$Z41,MIN(AR$6-$G$3,22))),0)))))</f>
        <v>0</v>
      </c>
      <c r="AS43" s="27" t="n">
        <f aca="false">IF(COUNT('Milho 1ª safra'!$E41:$Z41)=0,0,MAX(0,IF((AS$6-$E$3)&lt;1,0,IFERROR(LOOKUP(2,1/('Milho 1ª safra'!$E41:INDEX('Milho 1ª safra'!$E41:$Z41,MIN(AS$6-$E$3,22))&lt;&gt;""),'Milho 1ª safra'!$E41:INDEX('Milho 1ª safra'!$E41:$Z41,MIN(AS$6-$E$3,22))),0))-IF($G$2,0,IF((AS$6-$G$3)&lt;1,0,IFERROR(LOOKUP(2,1/('Milho 1ª safra'!$E41:INDEX('Milho 1ª safra'!$E41:$Z41,MIN(AS$6-$G$3,22))&lt;&gt;""),'Milho 1ª safra'!$E41:INDEX('Milho 1ª safra'!$E41:$Z41,MIN(AS$6-$G$3,22))),0)))))</f>
        <v>0</v>
      </c>
      <c r="AT43" s="27" t="n">
        <f aca="false">IF(COUNT('Milho 1ª safra'!$E41:$Z41)=0,0,MAX(0,IF((AT$6-$E$3)&lt;1,0,IFERROR(LOOKUP(2,1/('Milho 1ª safra'!$E41:INDEX('Milho 1ª safra'!$E41:$Z41,MIN(AT$6-$E$3,22))&lt;&gt;""),'Milho 1ª safra'!$E41:INDEX('Milho 1ª safra'!$E41:$Z41,MIN(AT$6-$E$3,22))),0))-IF($G$2,0,IF((AT$6-$G$3)&lt;1,0,IFERROR(LOOKUP(2,1/('Milho 1ª safra'!$E41:INDEX('Milho 1ª safra'!$E41:$Z41,MIN(AT$6-$G$3,22))&lt;&gt;""),'Milho 1ª safra'!$E41:INDEX('Milho 1ª safra'!$E41:$Z41,MIN(AT$6-$G$3,22))),0)))))</f>
        <v>0</v>
      </c>
      <c r="AU43" s="27" t="n">
        <f aca="false">IF(COUNT('Milho 1ª safra'!$E41:$Z41)=0,0,MAX(0,IF((AU$6-$E$3)&lt;1,0,IFERROR(LOOKUP(2,1/('Milho 1ª safra'!$E41:INDEX('Milho 1ª safra'!$E41:$Z41,MIN(AU$6-$E$3,22))&lt;&gt;""),'Milho 1ª safra'!$E41:INDEX('Milho 1ª safra'!$E41:$Z41,MIN(AU$6-$E$3,22))),0))-IF($G$2,0,IF((AU$6-$G$3)&lt;1,0,IFERROR(LOOKUP(2,1/('Milho 1ª safra'!$E41:INDEX('Milho 1ª safra'!$E41:$Z41,MIN(AU$6-$G$3,22))&lt;&gt;""),'Milho 1ª safra'!$E41:INDEX('Milho 1ª safra'!$E41:$Z41,MIN(AU$6-$G$3,22))),0)))))</f>
        <v>0</v>
      </c>
      <c r="AV43" s="27" t="n">
        <f aca="false">IF(COUNT('Milho 1ª safra'!$E41:$Z41)=0,0,MAX(0,IF((AV$6-$E$3)&lt;1,0,IFERROR(LOOKUP(2,1/('Milho 1ª safra'!$E41:INDEX('Milho 1ª safra'!$E41:$Z41,MIN(AV$6-$E$3,22))&lt;&gt;""),'Milho 1ª safra'!$E41:INDEX('Milho 1ª safra'!$E41:$Z41,MIN(AV$6-$E$3,22))),0))-IF($G$2,0,IF((AV$6-$G$3)&lt;1,0,IFERROR(LOOKUP(2,1/('Milho 1ª safra'!$E41:INDEX('Milho 1ª safra'!$E41:$Z41,MIN(AV$6-$G$3,22))&lt;&gt;""),'Milho 1ª safra'!$E41:INDEX('Milho 1ª safra'!$E41:$Z41,MIN(AV$6-$G$3,22))),0)))))</f>
        <v>0</v>
      </c>
      <c r="AW43" s="27" t="n">
        <f aca="false">IF(COUNT('Milho 1ª safra'!$E41:$Z41)=0,0,MAX(0,IF((AW$6-$E$3)&lt;1,0,IFERROR(LOOKUP(2,1/('Milho 1ª safra'!$E41:INDEX('Milho 1ª safra'!$E41:$Z41,MIN(AW$6-$E$3,22))&lt;&gt;""),'Milho 1ª safra'!$E41:INDEX('Milho 1ª safra'!$E41:$Z41,MIN(AW$6-$E$3,22))),0))-IF($G$2,0,IF((AW$6-$G$3)&lt;1,0,IFERROR(LOOKUP(2,1/('Milho 1ª safra'!$E41:INDEX('Milho 1ª safra'!$E41:$Z41,MIN(AW$6-$G$3,22))&lt;&gt;""),'Milho 1ª safra'!$E41:INDEX('Milho 1ª safra'!$E41:$Z41,MIN(AW$6-$G$3,22))),0)))))</f>
        <v>0</v>
      </c>
      <c r="AX43" s="27" t="n">
        <f aca="false">IF(COUNT('Milho 1ª safra'!$E41:$Z41)=0,0,MAX(0,IF((AX$6-$E$3)&lt;1,0,IFERROR(LOOKUP(2,1/('Milho 1ª safra'!$E41:INDEX('Milho 1ª safra'!$E41:$Z41,MIN(AX$6-$E$3,22))&lt;&gt;""),'Milho 1ª safra'!$E41:INDEX('Milho 1ª safra'!$E41:$Z41,MIN(AX$6-$E$3,22))),0))-IF($G$2,0,IF((AX$6-$G$3)&lt;1,0,IFERROR(LOOKUP(2,1/('Milho 1ª safra'!$E41:INDEX('Milho 1ª safra'!$E41:$Z41,MIN(AX$6-$G$3,22))&lt;&gt;""),'Milho 1ª safra'!$E41:INDEX('Milho 1ª safra'!$E41:$Z41,MIN(AX$6-$G$3,22))),0)))))</f>
        <v>0</v>
      </c>
      <c r="AY43" s="27" t="n">
        <f aca="false">IF(COUNT('Milho 1ª safra'!$E41:$Z41)=0,0,MAX(0,IF((AY$6-$E$3)&lt;1,0,IFERROR(LOOKUP(2,1/('Milho 1ª safra'!$E41:INDEX('Milho 1ª safra'!$E41:$Z41,MIN(AY$6-$E$3,22))&lt;&gt;""),'Milho 1ª safra'!$E41:INDEX('Milho 1ª safra'!$E41:$Z41,MIN(AY$6-$E$3,22))),0))-IF($G$2,0,IF((AY$6-$G$3)&lt;1,0,IFERROR(LOOKUP(2,1/('Milho 1ª safra'!$E41:INDEX('Milho 1ª safra'!$E41:$Z41,MIN(AY$6-$G$3,22))&lt;&gt;""),'Milho 1ª safra'!$E41:INDEX('Milho 1ª safra'!$E41:$Z41,MIN(AY$6-$G$3,22))),0)))))</f>
        <v>0</v>
      </c>
      <c r="AZ43" s="27" t="n">
        <f aca="false">IF(COUNT('Milho 1ª safra'!$E41:$Z41)=0,0,MAX(0,IF((AZ$6-$E$3)&lt;1,0,IFERROR(LOOKUP(2,1/('Milho 1ª safra'!$E41:INDEX('Milho 1ª safra'!$E41:$Z41,MIN(AZ$6-$E$3,22))&lt;&gt;""),'Milho 1ª safra'!$E41:INDEX('Milho 1ª safra'!$E41:$Z41,MIN(AZ$6-$E$3,22))),0))-IF($G$2,0,IF((AZ$6-$G$3)&lt;1,0,IFERROR(LOOKUP(2,1/('Milho 1ª safra'!$E41:INDEX('Milho 1ª safra'!$E41:$Z41,MIN(AZ$6-$G$3,22))&lt;&gt;""),'Milho 1ª safra'!$E41:INDEX('Milho 1ª safra'!$E41:$Z41,MIN(AZ$6-$G$3,22))),0)))))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IF(COUNT('Milho 1ª safra'!$E42:$Z42)&gt;0,N('Milho 1ª safra'!$D42),0)</f>
        <v>0</v>
      </c>
      <c r="E44" s="27" t="n">
        <f aca="false">IF(COUNT('Milho 1ª safra'!$E42:$Z42)=0,0,MAX(0,IF((E$6-$E$3)&lt;1,0,IFERROR(LOOKUP(2,1/('Milho 1ª safra'!$E42:INDEX('Milho 1ª safra'!$E42:$Z42,MIN(E$6-$E$3,22))&lt;&gt;""),'Milho 1ª safra'!$E42:INDEX('Milho 1ª safra'!$E42:$Z42,MIN(E$6-$E$3,22))),0))-IF($G$2,0,IF((E$6-$G$3)&lt;1,0,IFERROR(LOOKUP(2,1/('Milho 1ª safra'!$E42:INDEX('Milho 1ª safra'!$E42:$Z42,MIN(E$6-$G$3,22))&lt;&gt;""),'Milho 1ª safra'!$E42:INDEX('Milho 1ª safra'!$E42:$Z42,MIN(E$6-$G$3,22))),0)))))</f>
        <v>0</v>
      </c>
      <c r="F44" s="27" t="n">
        <f aca="false">IF(COUNT('Milho 1ª safra'!$E42:$Z42)=0,0,MAX(0,IF((F$6-$E$3)&lt;1,0,IFERROR(LOOKUP(2,1/('Milho 1ª safra'!$E42:INDEX('Milho 1ª safra'!$E42:$Z42,MIN(F$6-$E$3,22))&lt;&gt;""),'Milho 1ª safra'!$E42:INDEX('Milho 1ª safra'!$E42:$Z42,MIN(F$6-$E$3,22))),0))-IF($G$2,0,IF((F$6-$G$3)&lt;1,0,IFERROR(LOOKUP(2,1/('Milho 1ª safra'!$E42:INDEX('Milho 1ª safra'!$E42:$Z42,MIN(F$6-$G$3,22))&lt;&gt;""),'Milho 1ª safra'!$E42:INDEX('Milho 1ª safra'!$E42:$Z42,MIN(F$6-$G$3,22))),0)))))</f>
        <v>0</v>
      </c>
      <c r="G44" s="27" t="n">
        <f aca="false">IF(COUNT('Milho 1ª safra'!$E42:$Z42)=0,0,MAX(0,IF((G$6-$E$3)&lt;1,0,IFERROR(LOOKUP(2,1/('Milho 1ª safra'!$E42:INDEX('Milho 1ª safra'!$E42:$Z42,MIN(G$6-$E$3,22))&lt;&gt;""),'Milho 1ª safra'!$E42:INDEX('Milho 1ª safra'!$E42:$Z42,MIN(G$6-$E$3,22))),0))-IF($G$2,0,IF((G$6-$G$3)&lt;1,0,IFERROR(LOOKUP(2,1/('Milho 1ª safra'!$E42:INDEX('Milho 1ª safra'!$E42:$Z42,MIN(G$6-$G$3,22))&lt;&gt;""),'Milho 1ª safra'!$E42:INDEX('Milho 1ª safra'!$E42:$Z42,MIN(G$6-$G$3,22))),0)))))</f>
        <v>0</v>
      </c>
      <c r="H44" s="27" t="n">
        <f aca="false">IF(COUNT('Milho 1ª safra'!$E42:$Z42)=0,0,MAX(0,IF((H$6-$E$3)&lt;1,0,IFERROR(LOOKUP(2,1/('Milho 1ª safra'!$E42:INDEX('Milho 1ª safra'!$E42:$Z42,MIN(H$6-$E$3,22))&lt;&gt;""),'Milho 1ª safra'!$E42:INDEX('Milho 1ª safra'!$E42:$Z42,MIN(H$6-$E$3,22))),0))-IF($G$2,0,IF((H$6-$G$3)&lt;1,0,IFERROR(LOOKUP(2,1/('Milho 1ª safra'!$E42:INDEX('Milho 1ª safra'!$E42:$Z42,MIN(H$6-$G$3,22))&lt;&gt;""),'Milho 1ª safra'!$E42:INDEX('Milho 1ª safra'!$E42:$Z42,MIN(H$6-$G$3,22))),0)))))</f>
        <v>0</v>
      </c>
      <c r="I44" s="27" t="n">
        <f aca="false">IF(COUNT('Milho 1ª safra'!$E42:$Z42)=0,0,MAX(0,IF((I$6-$E$3)&lt;1,0,IFERROR(LOOKUP(2,1/('Milho 1ª safra'!$E42:INDEX('Milho 1ª safra'!$E42:$Z42,MIN(I$6-$E$3,22))&lt;&gt;""),'Milho 1ª safra'!$E42:INDEX('Milho 1ª safra'!$E42:$Z42,MIN(I$6-$E$3,22))),0))-IF($G$2,0,IF((I$6-$G$3)&lt;1,0,IFERROR(LOOKUP(2,1/('Milho 1ª safra'!$E42:INDEX('Milho 1ª safra'!$E42:$Z42,MIN(I$6-$G$3,22))&lt;&gt;""),'Milho 1ª safra'!$E42:INDEX('Milho 1ª safra'!$E42:$Z42,MIN(I$6-$G$3,22))),0)))))</f>
        <v>0</v>
      </c>
      <c r="J44" s="27" t="n">
        <f aca="false">IF(COUNT('Milho 1ª safra'!$E42:$Z42)=0,0,MAX(0,IF((J$6-$E$3)&lt;1,0,IFERROR(LOOKUP(2,1/('Milho 1ª safra'!$E42:INDEX('Milho 1ª safra'!$E42:$Z42,MIN(J$6-$E$3,22))&lt;&gt;""),'Milho 1ª safra'!$E42:INDEX('Milho 1ª safra'!$E42:$Z42,MIN(J$6-$E$3,22))),0))-IF($G$2,0,IF((J$6-$G$3)&lt;1,0,IFERROR(LOOKUP(2,1/('Milho 1ª safra'!$E42:INDEX('Milho 1ª safra'!$E42:$Z42,MIN(J$6-$G$3,22))&lt;&gt;""),'Milho 1ª safra'!$E42:INDEX('Milho 1ª safra'!$E42:$Z42,MIN(J$6-$G$3,22))),0)))))</f>
        <v>0</v>
      </c>
      <c r="K44" s="27" t="n">
        <f aca="false">IF(COUNT('Milho 1ª safra'!$E42:$Z42)=0,0,MAX(0,IF((K$6-$E$3)&lt;1,0,IFERROR(LOOKUP(2,1/('Milho 1ª safra'!$E42:INDEX('Milho 1ª safra'!$E42:$Z42,MIN(K$6-$E$3,22))&lt;&gt;""),'Milho 1ª safra'!$E42:INDEX('Milho 1ª safra'!$E42:$Z42,MIN(K$6-$E$3,22))),0))-IF($G$2,0,IF((K$6-$G$3)&lt;1,0,IFERROR(LOOKUP(2,1/('Milho 1ª safra'!$E42:INDEX('Milho 1ª safra'!$E42:$Z42,MIN(K$6-$G$3,22))&lt;&gt;""),'Milho 1ª safra'!$E42:INDEX('Milho 1ª safra'!$E42:$Z42,MIN(K$6-$G$3,22))),0)))))</f>
        <v>0</v>
      </c>
      <c r="L44" s="27" t="n">
        <f aca="false">IF(COUNT('Milho 1ª safra'!$E42:$Z42)=0,0,MAX(0,IF((L$6-$E$3)&lt;1,0,IFERROR(LOOKUP(2,1/('Milho 1ª safra'!$E42:INDEX('Milho 1ª safra'!$E42:$Z42,MIN(L$6-$E$3,22))&lt;&gt;""),'Milho 1ª safra'!$E42:INDEX('Milho 1ª safra'!$E42:$Z42,MIN(L$6-$E$3,22))),0))-IF($G$2,0,IF((L$6-$G$3)&lt;1,0,IFERROR(LOOKUP(2,1/('Milho 1ª safra'!$E42:INDEX('Milho 1ª safra'!$E42:$Z42,MIN(L$6-$G$3,22))&lt;&gt;""),'Milho 1ª safra'!$E42:INDEX('Milho 1ª safra'!$E42:$Z42,MIN(L$6-$G$3,22))),0)))))</f>
        <v>0</v>
      </c>
      <c r="M44" s="27" t="n">
        <f aca="false">IF(COUNT('Milho 1ª safra'!$E42:$Z42)=0,0,MAX(0,IF((M$6-$E$3)&lt;1,0,IFERROR(LOOKUP(2,1/('Milho 1ª safra'!$E42:INDEX('Milho 1ª safra'!$E42:$Z42,MIN(M$6-$E$3,22))&lt;&gt;""),'Milho 1ª safra'!$E42:INDEX('Milho 1ª safra'!$E42:$Z42,MIN(M$6-$E$3,22))),0))-IF($G$2,0,IF((M$6-$G$3)&lt;1,0,IFERROR(LOOKUP(2,1/('Milho 1ª safra'!$E42:INDEX('Milho 1ª safra'!$E42:$Z42,MIN(M$6-$G$3,22))&lt;&gt;""),'Milho 1ª safra'!$E42:INDEX('Milho 1ª safra'!$E42:$Z42,MIN(M$6-$G$3,22))),0)))))</f>
        <v>0</v>
      </c>
      <c r="N44" s="27" t="n">
        <f aca="false">IF(COUNT('Milho 1ª safra'!$E42:$Z42)=0,0,MAX(0,IF((N$6-$E$3)&lt;1,0,IFERROR(LOOKUP(2,1/('Milho 1ª safra'!$E42:INDEX('Milho 1ª safra'!$E42:$Z42,MIN(N$6-$E$3,22))&lt;&gt;""),'Milho 1ª safra'!$E42:INDEX('Milho 1ª safra'!$E42:$Z42,MIN(N$6-$E$3,22))),0))-IF($G$2,0,IF((N$6-$G$3)&lt;1,0,IFERROR(LOOKUP(2,1/('Milho 1ª safra'!$E42:INDEX('Milho 1ª safra'!$E42:$Z42,MIN(N$6-$G$3,22))&lt;&gt;""),'Milho 1ª safra'!$E42:INDEX('Milho 1ª safra'!$E42:$Z42,MIN(N$6-$G$3,22))),0)))))</f>
        <v>0</v>
      </c>
      <c r="O44" s="27" t="n">
        <f aca="false">IF(COUNT('Milho 1ª safra'!$E42:$Z42)=0,0,MAX(0,IF((O$6-$E$3)&lt;1,0,IFERROR(LOOKUP(2,1/('Milho 1ª safra'!$E42:INDEX('Milho 1ª safra'!$E42:$Z42,MIN(O$6-$E$3,22))&lt;&gt;""),'Milho 1ª safra'!$E42:INDEX('Milho 1ª safra'!$E42:$Z42,MIN(O$6-$E$3,22))),0))-IF($G$2,0,IF((O$6-$G$3)&lt;1,0,IFERROR(LOOKUP(2,1/('Milho 1ª safra'!$E42:INDEX('Milho 1ª safra'!$E42:$Z42,MIN(O$6-$G$3,22))&lt;&gt;""),'Milho 1ª safra'!$E42:INDEX('Milho 1ª safra'!$E42:$Z42,MIN(O$6-$G$3,22))),0)))))</f>
        <v>0</v>
      </c>
      <c r="P44" s="27" t="n">
        <f aca="false">IF(COUNT('Milho 1ª safra'!$E42:$Z42)=0,0,MAX(0,IF((P$6-$E$3)&lt;1,0,IFERROR(LOOKUP(2,1/('Milho 1ª safra'!$E42:INDEX('Milho 1ª safra'!$E42:$Z42,MIN(P$6-$E$3,22))&lt;&gt;""),'Milho 1ª safra'!$E42:INDEX('Milho 1ª safra'!$E42:$Z42,MIN(P$6-$E$3,22))),0))-IF($G$2,0,IF((P$6-$G$3)&lt;1,0,IFERROR(LOOKUP(2,1/('Milho 1ª safra'!$E42:INDEX('Milho 1ª safra'!$E42:$Z42,MIN(P$6-$G$3,22))&lt;&gt;""),'Milho 1ª safra'!$E42:INDEX('Milho 1ª safra'!$E42:$Z42,MIN(P$6-$G$3,22))),0)))))</f>
        <v>0</v>
      </c>
      <c r="Q44" s="27" t="n">
        <f aca="false">IF(COUNT('Milho 1ª safra'!$E42:$Z42)=0,0,MAX(0,IF((Q$6-$E$3)&lt;1,0,IFERROR(LOOKUP(2,1/('Milho 1ª safra'!$E42:INDEX('Milho 1ª safra'!$E42:$Z42,MIN(Q$6-$E$3,22))&lt;&gt;""),'Milho 1ª safra'!$E42:INDEX('Milho 1ª safra'!$E42:$Z42,MIN(Q$6-$E$3,22))),0))-IF($G$2,0,IF((Q$6-$G$3)&lt;1,0,IFERROR(LOOKUP(2,1/('Milho 1ª safra'!$E42:INDEX('Milho 1ª safra'!$E42:$Z42,MIN(Q$6-$G$3,22))&lt;&gt;""),'Milho 1ª safra'!$E42:INDEX('Milho 1ª safra'!$E42:$Z42,MIN(Q$6-$G$3,22))),0)))))</f>
        <v>0</v>
      </c>
      <c r="R44" s="27" t="n">
        <f aca="false">IF(COUNT('Milho 1ª safra'!$E42:$Z42)=0,0,MAX(0,IF((R$6-$E$3)&lt;1,0,IFERROR(LOOKUP(2,1/('Milho 1ª safra'!$E42:INDEX('Milho 1ª safra'!$E42:$Z42,MIN(R$6-$E$3,22))&lt;&gt;""),'Milho 1ª safra'!$E42:INDEX('Milho 1ª safra'!$E42:$Z42,MIN(R$6-$E$3,22))),0))-IF($G$2,0,IF((R$6-$G$3)&lt;1,0,IFERROR(LOOKUP(2,1/('Milho 1ª safra'!$E42:INDEX('Milho 1ª safra'!$E42:$Z42,MIN(R$6-$G$3,22))&lt;&gt;""),'Milho 1ª safra'!$E42:INDEX('Milho 1ª safra'!$E42:$Z42,MIN(R$6-$G$3,22))),0)))))</f>
        <v>0</v>
      </c>
      <c r="S44" s="27" t="n">
        <f aca="false">IF(COUNT('Milho 1ª safra'!$E42:$Z42)=0,0,MAX(0,IF((S$6-$E$3)&lt;1,0,IFERROR(LOOKUP(2,1/('Milho 1ª safra'!$E42:INDEX('Milho 1ª safra'!$E42:$Z42,MIN(S$6-$E$3,22))&lt;&gt;""),'Milho 1ª safra'!$E42:INDEX('Milho 1ª safra'!$E42:$Z42,MIN(S$6-$E$3,22))),0))-IF($G$2,0,IF((S$6-$G$3)&lt;1,0,IFERROR(LOOKUP(2,1/('Milho 1ª safra'!$E42:INDEX('Milho 1ª safra'!$E42:$Z42,MIN(S$6-$G$3,22))&lt;&gt;""),'Milho 1ª safra'!$E42:INDEX('Milho 1ª safra'!$E42:$Z42,MIN(S$6-$G$3,22))),0)))))</f>
        <v>0</v>
      </c>
      <c r="T44" s="27" t="n">
        <f aca="false">IF(COUNT('Milho 1ª safra'!$E42:$Z42)=0,0,MAX(0,IF((T$6-$E$3)&lt;1,0,IFERROR(LOOKUP(2,1/('Milho 1ª safra'!$E42:INDEX('Milho 1ª safra'!$E42:$Z42,MIN(T$6-$E$3,22))&lt;&gt;""),'Milho 1ª safra'!$E42:INDEX('Milho 1ª safra'!$E42:$Z42,MIN(T$6-$E$3,22))),0))-IF($G$2,0,IF((T$6-$G$3)&lt;1,0,IFERROR(LOOKUP(2,1/('Milho 1ª safra'!$E42:INDEX('Milho 1ª safra'!$E42:$Z42,MIN(T$6-$G$3,22))&lt;&gt;""),'Milho 1ª safra'!$E42:INDEX('Milho 1ª safra'!$E42:$Z42,MIN(T$6-$G$3,22))),0)))))</f>
        <v>0</v>
      </c>
      <c r="U44" s="27" t="n">
        <f aca="false">IF(COUNT('Milho 1ª safra'!$E42:$Z42)=0,0,MAX(0,IF((U$6-$E$3)&lt;1,0,IFERROR(LOOKUP(2,1/('Milho 1ª safra'!$E42:INDEX('Milho 1ª safra'!$E42:$Z42,MIN(U$6-$E$3,22))&lt;&gt;""),'Milho 1ª safra'!$E42:INDEX('Milho 1ª safra'!$E42:$Z42,MIN(U$6-$E$3,22))),0))-IF($G$2,0,IF((U$6-$G$3)&lt;1,0,IFERROR(LOOKUP(2,1/('Milho 1ª safra'!$E42:INDEX('Milho 1ª safra'!$E42:$Z42,MIN(U$6-$G$3,22))&lt;&gt;""),'Milho 1ª safra'!$E42:INDEX('Milho 1ª safra'!$E42:$Z42,MIN(U$6-$G$3,22))),0)))))</f>
        <v>0</v>
      </c>
      <c r="V44" s="27" t="n">
        <f aca="false">IF(COUNT('Milho 1ª safra'!$E42:$Z42)=0,0,MAX(0,IF((V$6-$E$3)&lt;1,0,IFERROR(LOOKUP(2,1/('Milho 1ª safra'!$E42:INDEX('Milho 1ª safra'!$E42:$Z42,MIN(V$6-$E$3,22))&lt;&gt;""),'Milho 1ª safra'!$E42:INDEX('Milho 1ª safra'!$E42:$Z42,MIN(V$6-$E$3,22))),0))-IF($G$2,0,IF((V$6-$G$3)&lt;1,0,IFERROR(LOOKUP(2,1/('Milho 1ª safra'!$E42:INDEX('Milho 1ª safra'!$E42:$Z42,MIN(V$6-$G$3,22))&lt;&gt;""),'Milho 1ª safra'!$E42:INDEX('Milho 1ª safra'!$E42:$Z42,MIN(V$6-$G$3,22))),0)))))</f>
        <v>0</v>
      </c>
      <c r="W44" s="27" t="n">
        <f aca="false">IF(COUNT('Milho 1ª safra'!$E42:$Z42)=0,0,MAX(0,IF((W$6-$E$3)&lt;1,0,IFERROR(LOOKUP(2,1/('Milho 1ª safra'!$E42:INDEX('Milho 1ª safra'!$E42:$Z42,MIN(W$6-$E$3,22))&lt;&gt;""),'Milho 1ª safra'!$E42:INDEX('Milho 1ª safra'!$E42:$Z42,MIN(W$6-$E$3,22))),0))-IF($G$2,0,IF((W$6-$G$3)&lt;1,0,IFERROR(LOOKUP(2,1/('Milho 1ª safra'!$E42:INDEX('Milho 1ª safra'!$E42:$Z42,MIN(W$6-$G$3,22))&lt;&gt;""),'Milho 1ª safra'!$E42:INDEX('Milho 1ª safra'!$E42:$Z42,MIN(W$6-$G$3,22))),0)))))</f>
        <v>0</v>
      </c>
      <c r="X44" s="27" t="n">
        <f aca="false">IF(COUNT('Milho 1ª safra'!$E42:$Z42)=0,0,MAX(0,IF((X$6-$E$3)&lt;1,0,IFERROR(LOOKUP(2,1/('Milho 1ª safra'!$E42:INDEX('Milho 1ª safra'!$E42:$Z42,MIN(X$6-$E$3,22))&lt;&gt;""),'Milho 1ª safra'!$E42:INDEX('Milho 1ª safra'!$E42:$Z42,MIN(X$6-$E$3,22))),0))-IF($G$2,0,IF((X$6-$G$3)&lt;1,0,IFERROR(LOOKUP(2,1/('Milho 1ª safra'!$E42:INDEX('Milho 1ª safra'!$E42:$Z42,MIN(X$6-$G$3,22))&lt;&gt;""),'Milho 1ª safra'!$E42:INDEX('Milho 1ª safra'!$E42:$Z42,MIN(X$6-$G$3,22))),0)))))</f>
        <v>0</v>
      </c>
      <c r="Y44" s="27" t="n">
        <f aca="false">IF(COUNT('Milho 1ª safra'!$E42:$Z42)=0,0,MAX(0,IF((Y$6-$E$3)&lt;1,0,IFERROR(LOOKUP(2,1/('Milho 1ª safra'!$E42:INDEX('Milho 1ª safra'!$E42:$Z42,MIN(Y$6-$E$3,22))&lt;&gt;""),'Milho 1ª safra'!$E42:INDEX('Milho 1ª safra'!$E42:$Z42,MIN(Y$6-$E$3,22))),0))-IF($G$2,0,IF((Y$6-$G$3)&lt;1,0,IFERROR(LOOKUP(2,1/('Milho 1ª safra'!$E42:INDEX('Milho 1ª safra'!$E42:$Z42,MIN(Y$6-$G$3,22))&lt;&gt;""),'Milho 1ª safra'!$E42:INDEX('Milho 1ª safra'!$E42:$Z42,MIN(Y$6-$G$3,22))),0)))))</f>
        <v>0</v>
      </c>
      <c r="Z44" s="27" t="n">
        <f aca="false">IF(COUNT('Milho 1ª safra'!$E42:$Z42)=0,0,MAX(0,IF((Z$6-$E$3)&lt;1,0,IFERROR(LOOKUP(2,1/('Milho 1ª safra'!$E42:INDEX('Milho 1ª safra'!$E42:$Z42,MIN(Z$6-$E$3,22))&lt;&gt;""),'Milho 1ª safra'!$E42:INDEX('Milho 1ª safra'!$E42:$Z42,MIN(Z$6-$E$3,22))),0))-IF($G$2,0,IF((Z$6-$G$3)&lt;1,0,IFERROR(LOOKUP(2,1/('Milho 1ª safra'!$E42:INDEX('Milho 1ª safra'!$E42:$Z42,MIN(Z$6-$G$3,22))&lt;&gt;""),'Milho 1ª safra'!$E42:INDEX('Milho 1ª safra'!$E42:$Z42,MIN(Z$6-$G$3,22))),0)))))</f>
        <v>0</v>
      </c>
      <c r="AA44" s="27" t="n">
        <f aca="false">IF(COUNT('Milho 1ª safra'!$E42:$Z42)=0,0,MAX(0,IF((AA$6-$E$3)&lt;1,0,IFERROR(LOOKUP(2,1/('Milho 1ª safra'!$E42:INDEX('Milho 1ª safra'!$E42:$Z42,MIN(AA$6-$E$3,22))&lt;&gt;""),'Milho 1ª safra'!$E42:INDEX('Milho 1ª safra'!$E42:$Z42,MIN(AA$6-$E$3,22))),0))-IF($G$2,0,IF((AA$6-$G$3)&lt;1,0,IFERROR(LOOKUP(2,1/('Milho 1ª safra'!$E42:INDEX('Milho 1ª safra'!$E42:$Z42,MIN(AA$6-$G$3,22))&lt;&gt;""),'Milho 1ª safra'!$E42:INDEX('Milho 1ª safra'!$E42:$Z42,MIN(AA$6-$G$3,22))),0)))))</f>
        <v>0</v>
      </c>
      <c r="AB44" s="27" t="n">
        <f aca="false">IF(COUNT('Milho 1ª safra'!$E42:$Z42)=0,0,MAX(0,IF((AB$6-$E$3)&lt;1,0,IFERROR(LOOKUP(2,1/('Milho 1ª safra'!$E42:INDEX('Milho 1ª safra'!$E42:$Z42,MIN(AB$6-$E$3,22))&lt;&gt;""),'Milho 1ª safra'!$E42:INDEX('Milho 1ª safra'!$E42:$Z42,MIN(AB$6-$E$3,22))),0))-IF($G$2,0,IF((AB$6-$G$3)&lt;1,0,IFERROR(LOOKUP(2,1/('Milho 1ª safra'!$E42:INDEX('Milho 1ª safra'!$E42:$Z42,MIN(AB$6-$G$3,22))&lt;&gt;""),'Milho 1ª safra'!$E42:INDEX('Milho 1ª safra'!$E42:$Z42,MIN(AB$6-$G$3,22))),0)))))</f>
        <v>0</v>
      </c>
      <c r="AC44" s="27" t="n">
        <f aca="false">IF(COUNT('Milho 1ª safra'!$E42:$Z42)=0,0,MAX(0,IF((AC$6-$E$3)&lt;1,0,IFERROR(LOOKUP(2,1/('Milho 1ª safra'!$E42:INDEX('Milho 1ª safra'!$E42:$Z42,MIN(AC$6-$E$3,22))&lt;&gt;""),'Milho 1ª safra'!$E42:INDEX('Milho 1ª safra'!$E42:$Z42,MIN(AC$6-$E$3,22))),0))-IF($G$2,0,IF((AC$6-$G$3)&lt;1,0,IFERROR(LOOKUP(2,1/('Milho 1ª safra'!$E42:INDEX('Milho 1ª safra'!$E42:$Z42,MIN(AC$6-$G$3,22))&lt;&gt;""),'Milho 1ª safra'!$E42:INDEX('Milho 1ª safra'!$E42:$Z42,MIN(AC$6-$G$3,22))),0)))))</f>
        <v>0</v>
      </c>
      <c r="AD44" s="27" t="n">
        <f aca="false">IF(COUNT('Milho 1ª safra'!$E42:$Z42)=0,0,MAX(0,IF((AD$6-$E$3)&lt;1,0,IFERROR(LOOKUP(2,1/('Milho 1ª safra'!$E42:INDEX('Milho 1ª safra'!$E42:$Z42,MIN(AD$6-$E$3,22))&lt;&gt;""),'Milho 1ª safra'!$E42:INDEX('Milho 1ª safra'!$E42:$Z42,MIN(AD$6-$E$3,22))),0))-IF($G$2,0,IF((AD$6-$G$3)&lt;1,0,IFERROR(LOOKUP(2,1/('Milho 1ª safra'!$E42:INDEX('Milho 1ª safra'!$E42:$Z42,MIN(AD$6-$G$3,22))&lt;&gt;""),'Milho 1ª safra'!$E42:INDEX('Milho 1ª safra'!$E42:$Z42,MIN(AD$6-$G$3,22))),0)))))</f>
        <v>0</v>
      </c>
      <c r="AE44" s="27" t="n">
        <f aca="false">IF(COUNT('Milho 1ª safra'!$E42:$Z42)=0,0,MAX(0,IF((AE$6-$E$3)&lt;1,0,IFERROR(LOOKUP(2,1/('Milho 1ª safra'!$E42:INDEX('Milho 1ª safra'!$E42:$Z42,MIN(AE$6-$E$3,22))&lt;&gt;""),'Milho 1ª safra'!$E42:INDEX('Milho 1ª safra'!$E42:$Z42,MIN(AE$6-$E$3,22))),0))-IF($G$2,0,IF((AE$6-$G$3)&lt;1,0,IFERROR(LOOKUP(2,1/('Milho 1ª safra'!$E42:INDEX('Milho 1ª safra'!$E42:$Z42,MIN(AE$6-$G$3,22))&lt;&gt;""),'Milho 1ª safra'!$E42:INDEX('Milho 1ª safra'!$E42:$Z42,MIN(AE$6-$G$3,22))),0)))))</f>
        <v>0</v>
      </c>
      <c r="AF44" s="27" t="n">
        <f aca="false">IF(COUNT('Milho 1ª safra'!$E42:$Z42)=0,0,MAX(0,IF((AF$6-$E$3)&lt;1,0,IFERROR(LOOKUP(2,1/('Milho 1ª safra'!$E42:INDEX('Milho 1ª safra'!$E42:$Z42,MIN(AF$6-$E$3,22))&lt;&gt;""),'Milho 1ª safra'!$E42:INDEX('Milho 1ª safra'!$E42:$Z42,MIN(AF$6-$E$3,22))),0))-IF($G$2,0,IF((AF$6-$G$3)&lt;1,0,IFERROR(LOOKUP(2,1/('Milho 1ª safra'!$E42:INDEX('Milho 1ª safra'!$E42:$Z42,MIN(AF$6-$G$3,22))&lt;&gt;""),'Milho 1ª safra'!$E42:INDEX('Milho 1ª safra'!$E42:$Z42,MIN(AF$6-$G$3,22))),0)))))</f>
        <v>0</v>
      </c>
      <c r="AG44" s="27" t="n">
        <f aca="false">IF(COUNT('Milho 1ª safra'!$E42:$Z42)=0,0,MAX(0,IF((AG$6-$E$3)&lt;1,0,IFERROR(LOOKUP(2,1/('Milho 1ª safra'!$E42:INDEX('Milho 1ª safra'!$E42:$Z42,MIN(AG$6-$E$3,22))&lt;&gt;""),'Milho 1ª safra'!$E42:INDEX('Milho 1ª safra'!$E42:$Z42,MIN(AG$6-$E$3,22))),0))-IF($G$2,0,IF((AG$6-$G$3)&lt;1,0,IFERROR(LOOKUP(2,1/('Milho 1ª safra'!$E42:INDEX('Milho 1ª safra'!$E42:$Z42,MIN(AG$6-$G$3,22))&lt;&gt;""),'Milho 1ª safra'!$E42:INDEX('Milho 1ª safra'!$E42:$Z42,MIN(AG$6-$G$3,22))),0)))))</f>
        <v>0</v>
      </c>
      <c r="AH44" s="27" t="n">
        <f aca="false">IF(COUNT('Milho 1ª safra'!$E42:$Z42)=0,0,MAX(0,IF((AH$6-$E$3)&lt;1,0,IFERROR(LOOKUP(2,1/('Milho 1ª safra'!$E42:INDEX('Milho 1ª safra'!$E42:$Z42,MIN(AH$6-$E$3,22))&lt;&gt;""),'Milho 1ª safra'!$E42:INDEX('Milho 1ª safra'!$E42:$Z42,MIN(AH$6-$E$3,22))),0))-IF($G$2,0,IF((AH$6-$G$3)&lt;1,0,IFERROR(LOOKUP(2,1/('Milho 1ª safra'!$E42:INDEX('Milho 1ª safra'!$E42:$Z42,MIN(AH$6-$G$3,22))&lt;&gt;""),'Milho 1ª safra'!$E42:INDEX('Milho 1ª safra'!$E42:$Z42,MIN(AH$6-$G$3,22))),0)))))</f>
        <v>0</v>
      </c>
      <c r="AI44" s="27" t="n">
        <f aca="false">IF(COUNT('Milho 1ª safra'!$E42:$Z42)=0,0,MAX(0,IF((AI$6-$E$3)&lt;1,0,IFERROR(LOOKUP(2,1/('Milho 1ª safra'!$E42:INDEX('Milho 1ª safra'!$E42:$Z42,MIN(AI$6-$E$3,22))&lt;&gt;""),'Milho 1ª safra'!$E42:INDEX('Milho 1ª safra'!$E42:$Z42,MIN(AI$6-$E$3,22))),0))-IF($G$2,0,IF((AI$6-$G$3)&lt;1,0,IFERROR(LOOKUP(2,1/('Milho 1ª safra'!$E42:INDEX('Milho 1ª safra'!$E42:$Z42,MIN(AI$6-$G$3,22))&lt;&gt;""),'Milho 1ª safra'!$E42:INDEX('Milho 1ª safra'!$E42:$Z42,MIN(AI$6-$G$3,22))),0)))))</f>
        <v>0</v>
      </c>
      <c r="AJ44" s="27" t="n">
        <f aca="false">IF(COUNT('Milho 1ª safra'!$E42:$Z42)=0,0,MAX(0,IF((AJ$6-$E$3)&lt;1,0,IFERROR(LOOKUP(2,1/('Milho 1ª safra'!$E42:INDEX('Milho 1ª safra'!$E42:$Z42,MIN(AJ$6-$E$3,22))&lt;&gt;""),'Milho 1ª safra'!$E42:INDEX('Milho 1ª safra'!$E42:$Z42,MIN(AJ$6-$E$3,22))),0))-IF($G$2,0,IF((AJ$6-$G$3)&lt;1,0,IFERROR(LOOKUP(2,1/('Milho 1ª safra'!$E42:INDEX('Milho 1ª safra'!$E42:$Z42,MIN(AJ$6-$G$3,22))&lt;&gt;""),'Milho 1ª safra'!$E42:INDEX('Milho 1ª safra'!$E42:$Z42,MIN(AJ$6-$G$3,22))),0)))))</f>
        <v>0</v>
      </c>
      <c r="AK44" s="27" t="n">
        <f aca="false">IF(COUNT('Milho 1ª safra'!$E42:$Z42)=0,0,MAX(0,IF((AK$6-$E$3)&lt;1,0,IFERROR(LOOKUP(2,1/('Milho 1ª safra'!$E42:INDEX('Milho 1ª safra'!$E42:$Z42,MIN(AK$6-$E$3,22))&lt;&gt;""),'Milho 1ª safra'!$E42:INDEX('Milho 1ª safra'!$E42:$Z42,MIN(AK$6-$E$3,22))),0))-IF($G$2,0,IF((AK$6-$G$3)&lt;1,0,IFERROR(LOOKUP(2,1/('Milho 1ª safra'!$E42:INDEX('Milho 1ª safra'!$E42:$Z42,MIN(AK$6-$G$3,22))&lt;&gt;""),'Milho 1ª safra'!$E42:INDEX('Milho 1ª safra'!$E42:$Z42,MIN(AK$6-$G$3,22))),0)))))</f>
        <v>0</v>
      </c>
      <c r="AL44" s="27" t="n">
        <f aca="false">IF(COUNT('Milho 1ª safra'!$E42:$Z42)=0,0,MAX(0,IF((AL$6-$E$3)&lt;1,0,IFERROR(LOOKUP(2,1/('Milho 1ª safra'!$E42:INDEX('Milho 1ª safra'!$E42:$Z42,MIN(AL$6-$E$3,22))&lt;&gt;""),'Milho 1ª safra'!$E42:INDEX('Milho 1ª safra'!$E42:$Z42,MIN(AL$6-$E$3,22))),0))-IF($G$2,0,IF((AL$6-$G$3)&lt;1,0,IFERROR(LOOKUP(2,1/('Milho 1ª safra'!$E42:INDEX('Milho 1ª safra'!$E42:$Z42,MIN(AL$6-$G$3,22))&lt;&gt;""),'Milho 1ª safra'!$E42:INDEX('Milho 1ª safra'!$E42:$Z42,MIN(AL$6-$G$3,22))),0)))))</f>
        <v>0</v>
      </c>
      <c r="AM44" s="27" t="n">
        <f aca="false">IF(COUNT('Milho 1ª safra'!$E42:$Z42)=0,0,MAX(0,IF((AM$6-$E$3)&lt;1,0,IFERROR(LOOKUP(2,1/('Milho 1ª safra'!$E42:INDEX('Milho 1ª safra'!$E42:$Z42,MIN(AM$6-$E$3,22))&lt;&gt;""),'Milho 1ª safra'!$E42:INDEX('Milho 1ª safra'!$E42:$Z42,MIN(AM$6-$E$3,22))),0))-IF($G$2,0,IF((AM$6-$G$3)&lt;1,0,IFERROR(LOOKUP(2,1/('Milho 1ª safra'!$E42:INDEX('Milho 1ª safra'!$E42:$Z42,MIN(AM$6-$G$3,22))&lt;&gt;""),'Milho 1ª safra'!$E42:INDEX('Milho 1ª safra'!$E42:$Z42,MIN(AM$6-$G$3,22))),0)))))</f>
        <v>0</v>
      </c>
      <c r="AN44" s="27" t="n">
        <f aca="false">IF(COUNT('Milho 1ª safra'!$E42:$Z42)=0,0,MAX(0,IF((AN$6-$E$3)&lt;1,0,IFERROR(LOOKUP(2,1/('Milho 1ª safra'!$E42:INDEX('Milho 1ª safra'!$E42:$Z42,MIN(AN$6-$E$3,22))&lt;&gt;""),'Milho 1ª safra'!$E42:INDEX('Milho 1ª safra'!$E42:$Z42,MIN(AN$6-$E$3,22))),0))-IF($G$2,0,IF((AN$6-$G$3)&lt;1,0,IFERROR(LOOKUP(2,1/('Milho 1ª safra'!$E42:INDEX('Milho 1ª safra'!$E42:$Z42,MIN(AN$6-$G$3,22))&lt;&gt;""),'Milho 1ª safra'!$E42:INDEX('Milho 1ª safra'!$E42:$Z42,MIN(AN$6-$G$3,22))),0)))))</f>
        <v>0</v>
      </c>
      <c r="AO44" s="27" t="n">
        <f aca="false">IF(COUNT('Milho 1ª safra'!$E42:$Z42)=0,0,MAX(0,IF((AO$6-$E$3)&lt;1,0,IFERROR(LOOKUP(2,1/('Milho 1ª safra'!$E42:INDEX('Milho 1ª safra'!$E42:$Z42,MIN(AO$6-$E$3,22))&lt;&gt;""),'Milho 1ª safra'!$E42:INDEX('Milho 1ª safra'!$E42:$Z42,MIN(AO$6-$E$3,22))),0))-IF($G$2,0,IF((AO$6-$G$3)&lt;1,0,IFERROR(LOOKUP(2,1/('Milho 1ª safra'!$E42:INDEX('Milho 1ª safra'!$E42:$Z42,MIN(AO$6-$G$3,22))&lt;&gt;""),'Milho 1ª safra'!$E42:INDEX('Milho 1ª safra'!$E42:$Z42,MIN(AO$6-$G$3,22))),0)))))</f>
        <v>0</v>
      </c>
      <c r="AP44" s="27" t="n">
        <f aca="false">IF(COUNT('Milho 1ª safra'!$E42:$Z42)=0,0,MAX(0,IF((AP$6-$E$3)&lt;1,0,IFERROR(LOOKUP(2,1/('Milho 1ª safra'!$E42:INDEX('Milho 1ª safra'!$E42:$Z42,MIN(AP$6-$E$3,22))&lt;&gt;""),'Milho 1ª safra'!$E42:INDEX('Milho 1ª safra'!$E42:$Z42,MIN(AP$6-$E$3,22))),0))-IF($G$2,0,IF((AP$6-$G$3)&lt;1,0,IFERROR(LOOKUP(2,1/('Milho 1ª safra'!$E42:INDEX('Milho 1ª safra'!$E42:$Z42,MIN(AP$6-$G$3,22))&lt;&gt;""),'Milho 1ª safra'!$E42:INDEX('Milho 1ª safra'!$E42:$Z42,MIN(AP$6-$G$3,22))),0)))))</f>
        <v>0</v>
      </c>
      <c r="AQ44" s="27" t="n">
        <f aca="false">IF(COUNT('Milho 1ª safra'!$E42:$Z42)=0,0,MAX(0,IF((AQ$6-$E$3)&lt;1,0,IFERROR(LOOKUP(2,1/('Milho 1ª safra'!$E42:INDEX('Milho 1ª safra'!$E42:$Z42,MIN(AQ$6-$E$3,22))&lt;&gt;""),'Milho 1ª safra'!$E42:INDEX('Milho 1ª safra'!$E42:$Z42,MIN(AQ$6-$E$3,22))),0))-IF($G$2,0,IF((AQ$6-$G$3)&lt;1,0,IFERROR(LOOKUP(2,1/('Milho 1ª safra'!$E42:INDEX('Milho 1ª safra'!$E42:$Z42,MIN(AQ$6-$G$3,22))&lt;&gt;""),'Milho 1ª safra'!$E42:INDEX('Milho 1ª safra'!$E42:$Z42,MIN(AQ$6-$G$3,22))),0)))))</f>
        <v>0</v>
      </c>
      <c r="AR44" s="27" t="n">
        <f aca="false">IF(COUNT('Milho 1ª safra'!$E42:$Z42)=0,0,MAX(0,IF((AR$6-$E$3)&lt;1,0,IFERROR(LOOKUP(2,1/('Milho 1ª safra'!$E42:INDEX('Milho 1ª safra'!$E42:$Z42,MIN(AR$6-$E$3,22))&lt;&gt;""),'Milho 1ª safra'!$E42:INDEX('Milho 1ª safra'!$E42:$Z42,MIN(AR$6-$E$3,22))),0))-IF($G$2,0,IF((AR$6-$G$3)&lt;1,0,IFERROR(LOOKUP(2,1/('Milho 1ª safra'!$E42:INDEX('Milho 1ª safra'!$E42:$Z42,MIN(AR$6-$G$3,22))&lt;&gt;""),'Milho 1ª safra'!$E42:INDEX('Milho 1ª safra'!$E42:$Z42,MIN(AR$6-$G$3,22))),0)))))</f>
        <v>0</v>
      </c>
      <c r="AS44" s="27" t="n">
        <f aca="false">IF(COUNT('Milho 1ª safra'!$E42:$Z42)=0,0,MAX(0,IF((AS$6-$E$3)&lt;1,0,IFERROR(LOOKUP(2,1/('Milho 1ª safra'!$E42:INDEX('Milho 1ª safra'!$E42:$Z42,MIN(AS$6-$E$3,22))&lt;&gt;""),'Milho 1ª safra'!$E42:INDEX('Milho 1ª safra'!$E42:$Z42,MIN(AS$6-$E$3,22))),0))-IF($G$2,0,IF((AS$6-$G$3)&lt;1,0,IFERROR(LOOKUP(2,1/('Milho 1ª safra'!$E42:INDEX('Milho 1ª safra'!$E42:$Z42,MIN(AS$6-$G$3,22))&lt;&gt;""),'Milho 1ª safra'!$E42:INDEX('Milho 1ª safra'!$E42:$Z42,MIN(AS$6-$G$3,22))),0)))))</f>
        <v>0</v>
      </c>
      <c r="AT44" s="27" t="n">
        <f aca="false">IF(COUNT('Milho 1ª safra'!$E42:$Z42)=0,0,MAX(0,IF((AT$6-$E$3)&lt;1,0,IFERROR(LOOKUP(2,1/('Milho 1ª safra'!$E42:INDEX('Milho 1ª safra'!$E42:$Z42,MIN(AT$6-$E$3,22))&lt;&gt;""),'Milho 1ª safra'!$E42:INDEX('Milho 1ª safra'!$E42:$Z42,MIN(AT$6-$E$3,22))),0))-IF($G$2,0,IF((AT$6-$G$3)&lt;1,0,IFERROR(LOOKUP(2,1/('Milho 1ª safra'!$E42:INDEX('Milho 1ª safra'!$E42:$Z42,MIN(AT$6-$G$3,22))&lt;&gt;""),'Milho 1ª safra'!$E42:INDEX('Milho 1ª safra'!$E42:$Z42,MIN(AT$6-$G$3,22))),0)))))</f>
        <v>0</v>
      </c>
      <c r="AU44" s="27" t="n">
        <f aca="false">IF(COUNT('Milho 1ª safra'!$E42:$Z42)=0,0,MAX(0,IF((AU$6-$E$3)&lt;1,0,IFERROR(LOOKUP(2,1/('Milho 1ª safra'!$E42:INDEX('Milho 1ª safra'!$E42:$Z42,MIN(AU$6-$E$3,22))&lt;&gt;""),'Milho 1ª safra'!$E42:INDEX('Milho 1ª safra'!$E42:$Z42,MIN(AU$6-$E$3,22))),0))-IF($G$2,0,IF((AU$6-$G$3)&lt;1,0,IFERROR(LOOKUP(2,1/('Milho 1ª safra'!$E42:INDEX('Milho 1ª safra'!$E42:$Z42,MIN(AU$6-$G$3,22))&lt;&gt;""),'Milho 1ª safra'!$E42:INDEX('Milho 1ª safra'!$E42:$Z42,MIN(AU$6-$G$3,22))),0)))))</f>
        <v>0</v>
      </c>
      <c r="AV44" s="27" t="n">
        <f aca="false">IF(COUNT('Milho 1ª safra'!$E42:$Z42)=0,0,MAX(0,IF((AV$6-$E$3)&lt;1,0,IFERROR(LOOKUP(2,1/('Milho 1ª safra'!$E42:INDEX('Milho 1ª safra'!$E42:$Z42,MIN(AV$6-$E$3,22))&lt;&gt;""),'Milho 1ª safra'!$E42:INDEX('Milho 1ª safra'!$E42:$Z42,MIN(AV$6-$E$3,22))),0))-IF($G$2,0,IF((AV$6-$G$3)&lt;1,0,IFERROR(LOOKUP(2,1/('Milho 1ª safra'!$E42:INDEX('Milho 1ª safra'!$E42:$Z42,MIN(AV$6-$G$3,22))&lt;&gt;""),'Milho 1ª safra'!$E42:INDEX('Milho 1ª safra'!$E42:$Z42,MIN(AV$6-$G$3,22))),0)))))</f>
        <v>0</v>
      </c>
      <c r="AW44" s="27" t="n">
        <f aca="false">IF(COUNT('Milho 1ª safra'!$E42:$Z42)=0,0,MAX(0,IF((AW$6-$E$3)&lt;1,0,IFERROR(LOOKUP(2,1/('Milho 1ª safra'!$E42:INDEX('Milho 1ª safra'!$E42:$Z42,MIN(AW$6-$E$3,22))&lt;&gt;""),'Milho 1ª safra'!$E42:INDEX('Milho 1ª safra'!$E42:$Z42,MIN(AW$6-$E$3,22))),0))-IF($G$2,0,IF((AW$6-$G$3)&lt;1,0,IFERROR(LOOKUP(2,1/('Milho 1ª safra'!$E42:INDEX('Milho 1ª safra'!$E42:$Z42,MIN(AW$6-$G$3,22))&lt;&gt;""),'Milho 1ª safra'!$E42:INDEX('Milho 1ª safra'!$E42:$Z42,MIN(AW$6-$G$3,22))),0)))))</f>
        <v>0</v>
      </c>
      <c r="AX44" s="27" t="n">
        <f aca="false">IF(COUNT('Milho 1ª safra'!$E42:$Z42)=0,0,MAX(0,IF((AX$6-$E$3)&lt;1,0,IFERROR(LOOKUP(2,1/('Milho 1ª safra'!$E42:INDEX('Milho 1ª safra'!$E42:$Z42,MIN(AX$6-$E$3,22))&lt;&gt;""),'Milho 1ª safra'!$E42:INDEX('Milho 1ª safra'!$E42:$Z42,MIN(AX$6-$E$3,22))),0))-IF($G$2,0,IF((AX$6-$G$3)&lt;1,0,IFERROR(LOOKUP(2,1/('Milho 1ª safra'!$E42:INDEX('Milho 1ª safra'!$E42:$Z42,MIN(AX$6-$G$3,22))&lt;&gt;""),'Milho 1ª safra'!$E42:INDEX('Milho 1ª safra'!$E42:$Z42,MIN(AX$6-$G$3,22))),0)))))</f>
        <v>0</v>
      </c>
      <c r="AY44" s="27" t="n">
        <f aca="false">IF(COUNT('Milho 1ª safra'!$E42:$Z42)=0,0,MAX(0,IF((AY$6-$E$3)&lt;1,0,IFERROR(LOOKUP(2,1/('Milho 1ª safra'!$E42:INDEX('Milho 1ª safra'!$E42:$Z42,MIN(AY$6-$E$3,22))&lt;&gt;""),'Milho 1ª safra'!$E42:INDEX('Milho 1ª safra'!$E42:$Z42,MIN(AY$6-$E$3,22))),0))-IF($G$2,0,IF((AY$6-$G$3)&lt;1,0,IFERROR(LOOKUP(2,1/('Milho 1ª safra'!$E42:INDEX('Milho 1ª safra'!$E42:$Z42,MIN(AY$6-$G$3,22))&lt;&gt;""),'Milho 1ª safra'!$E42:INDEX('Milho 1ª safra'!$E42:$Z42,MIN(AY$6-$G$3,22))),0)))))</f>
        <v>0</v>
      </c>
      <c r="AZ44" s="27" t="n">
        <f aca="false">IF(COUNT('Milho 1ª safra'!$E42:$Z42)=0,0,MAX(0,IF((AZ$6-$E$3)&lt;1,0,IFERROR(LOOKUP(2,1/('Milho 1ª safra'!$E42:INDEX('Milho 1ª safra'!$E42:$Z42,MIN(AZ$6-$E$3,22))&lt;&gt;""),'Milho 1ª safra'!$E42:INDEX('Milho 1ª safra'!$E42:$Z42,MIN(AZ$6-$E$3,22))),0))-IF($G$2,0,IF((AZ$6-$G$3)&lt;1,0,IFERROR(LOOKUP(2,1/('Milho 1ª safra'!$E42:INDEX('Milho 1ª safra'!$E42:$Z42,MIN(AZ$6-$G$3,22))&lt;&gt;""),'Milho 1ª safra'!$E42:INDEX('Milho 1ª safra'!$E42:$Z42,MIN(AZ$6-$G$3,22))),0)))))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IF(COUNT('Milho 1ª safra'!$E43:$Z43)&gt;0,N('Milho 1ª safra'!$D43),0)</f>
        <v>0</v>
      </c>
      <c r="E45" s="27" t="n">
        <f aca="false">IF(COUNT('Milho 1ª safra'!$E43:$Z43)=0,0,MAX(0,IF((E$6-$E$3)&lt;1,0,IFERROR(LOOKUP(2,1/('Milho 1ª safra'!$E43:INDEX('Milho 1ª safra'!$E43:$Z43,MIN(E$6-$E$3,22))&lt;&gt;""),'Milho 1ª safra'!$E43:INDEX('Milho 1ª safra'!$E43:$Z43,MIN(E$6-$E$3,22))),0))-IF($G$2,0,IF((E$6-$G$3)&lt;1,0,IFERROR(LOOKUP(2,1/('Milho 1ª safra'!$E43:INDEX('Milho 1ª safra'!$E43:$Z43,MIN(E$6-$G$3,22))&lt;&gt;""),'Milho 1ª safra'!$E43:INDEX('Milho 1ª safra'!$E43:$Z43,MIN(E$6-$G$3,22))),0)))))</f>
        <v>0</v>
      </c>
      <c r="F45" s="27" t="n">
        <f aca="false">IF(COUNT('Milho 1ª safra'!$E43:$Z43)=0,0,MAX(0,IF((F$6-$E$3)&lt;1,0,IFERROR(LOOKUP(2,1/('Milho 1ª safra'!$E43:INDEX('Milho 1ª safra'!$E43:$Z43,MIN(F$6-$E$3,22))&lt;&gt;""),'Milho 1ª safra'!$E43:INDEX('Milho 1ª safra'!$E43:$Z43,MIN(F$6-$E$3,22))),0))-IF($G$2,0,IF((F$6-$G$3)&lt;1,0,IFERROR(LOOKUP(2,1/('Milho 1ª safra'!$E43:INDEX('Milho 1ª safra'!$E43:$Z43,MIN(F$6-$G$3,22))&lt;&gt;""),'Milho 1ª safra'!$E43:INDEX('Milho 1ª safra'!$E43:$Z43,MIN(F$6-$G$3,22))),0)))))</f>
        <v>0</v>
      </c>
      <c r="G45" s="27" t="n">
        <f aca="false">IF(COUNT('Milho 1ª safra'!$E43:$Z43)=0,0,MAX(0,IF((G$6-$E$3)&lt;1,0,IFERROR(LOOKUP(2,1/('Milho 1ª safra'!$E43:INDEX('Milho 1ª safra'!$E43:$Z43,MIN(G$6-$E$3,22))&lt;&gt;""),'Milho 1ª safra'!$E43:INDEX('Milho 1ª safra'!$E43:$Z43,MIN(G$6-$E$3,22))),0))-IF($G$2,0,IF((G$6-$G$3)&lt;1,0,IFERROR(LOOKUP(2,1/('Milho 1ª safra'!$E43:INDEX('Milho 1ª safra'!$E43:$Z43,MIN(G$6-$G$3,22))&lt;&gt;""),'Milho 1ª safra'!$E43:INDEX('Milho 1ª safra'!$E43:$Z43,MIN(G$6-$G$3,22))),0)))))</f>
        <v>0</v>
      </c>
      <c r="H45" s="27" t="n">
        <f aca="false">IF(COUNT('Milho 1ª safra'!$E43:$Z43)=0,0,MAX(0,IF((H$6-$E$3)&lt;1,0,IFERROR(LOOKUP(2,1/('Milho 1ª safra'!$E43:INDEX('Milho 1ª safra'!$E43:$Z43,MIN(H$6-$E$3,22))&lt;&gt;""),'Milho 1ª safra'!$E43:INDEX('Milho 1ª safra'!$E43:$Z43,MIN(H$6-$E$3,22))),0))-IF($G$2,0,IF((H$6-$G$3)&lt;1,0,IFERROR(LOOKUP(2,1/('Milho 1ª safra'!$E43:INDEX('Milho 1ª safra'!$E43:$Z43,MIN(H$6-$G$3,22))&lt;&gt;""),'Milho 1ª safra'!$E43:INDEX('Milho 1ª safra'!$E43:$Z43,MIN(H$6-$G$3,22))),0)))))</f>
        <v>0</v>
      </c>
      <c r="I45" s="27" t="n">
        <f aca="false">IF(COUNT('Milho 1ª safra'!$E43:$Z43)=0,0,MAX(0,IF((I$6-$E$3)&lt;1,0,IFERROR(LOOKUP(2,1/('Milho 1ª safra'!$E43:INDEX('Milho 1ª safra'!$E43:$Z43,MIN(I$6-$E$3,22))&lt;&gt;""),'Milho 1ª safra'!$E43:INDEX('Milho 1ª safra'!$E43:$Z43,MIN(I$6-$E$3,22))),0))-IF($G$2,0,IF((I$6-$G$3)&lt;1,0,IFERROR(LOOKUP(2,1/('Milho 1ª safra'!$E43:INDEX('Milho 1ª safra'!$E43:$Z43,MIN(I$6-$G$3,22))&lt;&gt;""),'Milho 1ª safra'!$E43:INDEX('Milho 1ª safra'!$E43:$Z43,MIN(I$6-$G$3,22))),0)))))</f>
        <v>0</v>
      </c>
      <c r="J45" s="27" t="n">
        <f aca="false">IF(COUNT('Milho 1ª safra'!$E43:$Z43)=0,0,MAX(0,IF((J$6-$E$3)&lt;1,0,IFERROR(LOOKUP(2,1/('Milho 1ª safra'!$E43:INDEX('Milho 1ª safra'!$E43:$Z43,MIN(J$6-$E$3,22))&lt;&gt;""),'Milho 1ª safra'!$E43:INDEX('Milho 1ª safra'!$E43:$Z43,MIN(J$6-$E$3,22))),0))-IF($G$2,0,IF((J$6-$G$3)&lt;1,0,IFERROR(LOOKUP(2,1/('Milho 1ª safra'!$E43:INDEX('Milho 1ª safra'!$E43:$Z43,MIN(J$6-$G$3,22))&lt;&gt;""),'Milho 1ª safra'!$E43:INDEX('Milho 1ª safra'!$E43:$Z43,MIN(J$6-$G$3,22))),0)))))</f>
        <v>0</v>
      </c>
      <c r="K45" s="27" t="n">
        <f aca="false">IF(COUNT('Milho 1ª safra'!$E43:$Z43)=0,0,MAX(0,IF((K$6-$E$3)&lt;1,0,IFERROR(LOOKUP(2,1/('Milho 1ª safra'!$E43:INDEX('Milho 1ª safra'!$E43:$Z43,MIN(K$6-$E$3,22))&lt;&gt;""),'Milho 1ª safra'!$E43:INDEX('Milho 1ª safra'!$E43:$Z43,MIN(K$6-$E$3,22))),0))-IF($G$2,0,IF((K$6-$G$3)&lt;1,0,IFERROR(LOOKUP(2,1/('Milho 1ª safra'!$E43:INDEX('Milho 1ª safra'!$E43:$Z43,MIN(K$6-$G$3,22))&lt;&gt;""),'Milho 1ª safra'!$E43:INDEX('Milho 1ª safra'!$E43:$Z43,MIN(K$6-$G$3,22))),0)))))</f>
        <v>0</v>
      </c>
      <c r="L45" s="27" t="n">
        <f aca="false">IF(COUNT('Milho 1ª safra'!$E43:$Z43)=0,0,MAX(0,IF((L$6-$E$3)&lt;1,0,IFERROR(LOOKUP(2,1/('Milho 1ª safra'!$E43:INDEX('Milho 1ª safra'!$E43:$Z43,MIN(L$6-$E$3,22))&lt;&gt;""),'Milho 1ª safra'!$E43:INDEX('Milho 1ª safra'!$E43:$Z43,MIN(L$6-$E$3,22))),0))-IF($G$2,0,IF((L$6-$G$3)&lt;1,0,IFERROR(LOOKUP(2,1/('Milho 1ª safra'!$E43:INDEX('Milho 1ª safra'!$E43:$Z43,MIN(L$6-$G$3,22))&lt;&gt;""),'Milho 1ª safra'!$E43:INDEX('Milho 1ª safra'!$E43:$Z43,MIN(L$6-$G$3,22))),0)))))</f>
        <v>0</v>
      </c>
      <c r="M45" s="27" t="n">
        <f aca="false">IF(COUNT('Milho 1ª safra'!$E43:$Z43)=0,0,MAX(0,IF((M$6-$E$3)&lt;1,0,IFERROR(LOOKUP(2,1/('Milho 1ª safra'!$E43:INDEX('Milho 1ª safra'!$E43:$Z43,MIN(M$6-$E$3,22))&lt;&gt;""),'Milho 1ª safra'!$E43:INDEX('Milho 1ª safra'!$E43:$Z43,MIN(M$6-$E$3,22))),0))-IF($G$2,0,IF((M$6-$G$3)&lt;1,0,IFERROR(LOOKUP(2,1/('Milho 1ª safra'!$E43:INDEX('Milho 1ª safra'!$E43:$Z43,MIN(M$6-$G$3,22))&lt;&gt;""),'Milho 1ª safra'!$E43:INDEX('Milho 1ª safra'!$E43:$Z43,MIN(M$6-$G$3,22))),0)))))</f>
        <v>0</v>
      </c>
      <c r="N45" s="27" t="n">
        <f aca="false">IF(COUNT('Milho 1ª safra'!$E43:$Z43)=0,0,MAX(0,IF((N$6-$E$3)&lt;1,0,IFERROR(LOOKUP(2,1/('Milho 1ª safra'!$E43:INDEX('Milho 1ª safra'!$E43:$Z43,MIN(N$6-$E$3,22))&lt;&gt;""),'Milho 1ª safra'!$E43:INDEX('Milho 1ª safra'!$E43:$Z43,MIN(N$6-$E$3,22))),0))-IF($G$2,0,IF((N$6-$G$3)&lt;1,0,IFERROR(LOOKUP(2,1/('Milho 1ª safra'!$E43:INDEX('Milho 1ª safra'!$E43:$Z43,MIN(N$6-$G$3,22))&lt;&gt;""),'Milho 1ª safra'!$E43:INDEX('Milho 1ª safra'!$E43:$Z43,MIN(N$6-$G$3,22))),0)))))</f>
        <v>0</v>
      </c>
      <c r="O45" s="27" t="n">
        <f aca="false">IF(COUNT('Milho 1ª safra'!$E43:$Z43)=0,0,MAX(0,IF((O$6-$E$3)&lt;1,0,IFERROR(LOOKUP(2,1/('Milho 1ª safra'!$E43:INDEX('Milho 1ª safra'!$E43:$Z43,MIN(O$6-$E$3,22))&lt;&gt;""),'Milho 1ª safra'!$E43:INDEX('Milho 1ª safra'!$E43:$Z43,MIN(O$6-$E$3,22))),0))-IF($G$2,0,IF((O$6-$G$3)&lt;1,0,IFERROR(LOOKUP(2,1/('Milho 1ª safra'!$E43:INDEX('Milho 1ª safra'!$E43:$Z43,MIN(O$6-$G$3,22))&lt;&gt;""),'Milho 1ª safra'!$E43:INDEX('Milho 1ª safra'!$E43:$Z43,MIN(O$6-$G$3,22))),0)))))</f>
        <v>0</v>
      </c>
      <c r="P45" s="27" t="n">
        <f aca="false">IF(COUNT('Milho 1ª safra'!$E43:$Z43)=0,0,MAX(0,IF((P$6-$E$3)&lt;1,0,IFERROR(LOOKUP(2,1/('Milho 1ª safra'!$E43:INDEX('Milho 1ª safra'!$E43:$Z43,MIN(P$6-$E$3,22))&lt;&gt;""),'Milho 1ª safra'!$E43:INDEX('Milho 1ª safra'!$E43:$Z43,MIN(P$6-$E$3,22))),0))-IF($G$2,0,IF((P$6-$G$3)&lt;1,0,IFERROR(LOOKUP(2,1/('Milho 1ª safra'!$E43:INDEX('Milho 1ª safra'!$E43:$Z43,MIN(P$6-$G$3,22))&lt;&gt;""),'Milho 1ª safra'!$E43:INDEX('Milho 1ª safra'!$E43:$Z43,MIN(P$6-$G$3,22))),0)))))</f>
        <v>0</v>
      </c>
      <c r="Q45" s="27" t="n">
        <f aca="false">IF(COUNT('Milho 1ª safra'!$E43:$Z43)=0,0,MAX(0,IF((Q$6-$E$3)&lt;1,0,IFERROR(LOOKUP(2,1/('Milho 1ª safra'!$E43:INDEX('Milho 1ª safra'!$E43:$Z43,MIN(Q$6-$E$3,22))&lt;&gt;""),'Milho 1ª safra'!$E43:INDEX('Milho 1ª safra'!$E43:$Z43,MIN(Q$6-$E$3,22))),0))-IF($G$2,0,IF((Q$6-$G$3)&lt;1,0,IFERROR(LOOKUP(2,1/('Milho 1ª safra'!$E43:INDEX('Milho 1ª safra'!$E43:$Z43,MIN(Q$6-$G$3,22))&lt;&gt;""),'Milho 1ª safra'!$E43:INDEX('Milho 1ª safra'!$E43:$Z43,MIN(Q$6-$G$3,22))),0)))))</f>
        <v>0</v>
      </c>
      <c r="R45" s="27" t="n">
        <f aca="false">IF(COUNT('Milho 1ª safra'!$E43:$Z43)=0,0,MAX(0,IF((R$6-$E$3)&lt;1,0,IFERROR(LOOKUP(2,1/('Milho 1ª safra'!$E43:INDEX('Milho 1ª safra'!$E43:$Z43,MIN(R$6-$E$3,22))&lt;&gt;""),'Milho 1ª safra'!$E43:INDEX('Milho 1ª safra'!$E43:$Z43,MIN(R$6-$E$3,22))),0))-IF($G$2,0,IF((R$6-$G$3)&lt;1,0,IFERROR(LOOKUP(2,1/('Milho 1ª safra'!$E43:INDEX('Milho 1ª safra'!$E43:$Z43,MIN(R$6-$G$3,22))&lt;&gt;""),'Milho 1ª safra'!$E43:INDEX('Milho 1ª safra'!$E43:$Z43,MIN(R$6-$G$3,22))),0)))))</f>
        <v>0</v>
      </c>
      <c r="S45" s="27" t="n">
        <f aca="false">IF(COUNT('Milho 1ª safra'!$E43:$Z43)=0,0,MAX(0,IF((S$6-$E$3)&lt;1,0,IFERROR(LOOKUP(2,1/('Milho 1ª safra'!$E43:INDEX('Milho 1ª safra'!$E43:$Z43,MIN(S$6-$E$3,22))&lt;&gt;""),'Milho 1ª safra'!$E43:INDEX('Milho 1ª safra'!$E43:$Z43,MIN(S$6-$E$3,22))),0))-IF($G$2,0,IF((S$6-$G$3)&lt;1,0,IFERROR(LOOKUP(2,1/('Milho 1ª safra'!$E43:INDEX('Milho 1ª safra'!$E43:$Z43,MIN(S$6-$G$3,22))&lt;&gt;""),'Milho 1ª safra'!$E43:INDEX('Milho 1ª safra'!$E43:$Z43,MIN(S$6-$G$3,22))),0)))))</f>
        <v>0</v>
      </c>
      <c r="T45" s="27" t="n">
        <f aca="false">IF(COUNT('Milho 1ª safra'!$E43:$Z43)=0,0,MAX(0,IF((T$6-$E$3)&lt;1,0,IFERROR(LOOKUP(2,1/('Milho 1ª safra'!$E43:INDEX('Milho 1ª safra'!$E43:$Z43,MIN(T$6-$E$3,22))&lt;&gt;""),'Milho 1ª safra'!$E43:INDEX('Milho 1ª safra'!$E43:$Z43,MIN(T$6-$E$3,22))),0))-IF($G$2,0,IF((T$6-$G$3)&lt;1,0,IFERROR(LOOKUP(2,1/('Milho 1ª safra'!$E43:INDEX('Milho 1ª safra'!$E43:$Z43,MIN(T$6-$G$3,22))&lt;&gt;""),'Milho 1ª safra'!$E43:INDEX('Milho 1ª safra'!$E43:$Z43,MIN(T$6-$G$3,22))),0)))))</f>
        <v>0</v>
      </c>
      <c r="U45" s="27" t="n">
        <f aca="false">IF(COUNT('Milho 1ª safra'!$E43:$Z43)=0,0,MAX(0,IF((U$6-$E$3)&lt;1,0,IFERROR(LOOKUP(2,1/('Milho 1ª safra'!$E43:INDEX('Milho 1ª safra'!$E43:$Z43,MIN(U$6-$E$3,22))&lt;&gt;""),'Milho 1ª safra'!$E43:INDEX('Milho 1ª safra'!$E43:$Z43,MIN(U$6-$E$3,22))),0))-IF($G$2,0,IF((U$6-$G$3)&lt;1,0,IFERROR(LOOKUP(2,1/('Milho 1ª safra'!$E43:INDEX('Milho 1ª safra'!$E43:$Z43,MIN(U$6-$G$3,22))&lt;&gt;""),'Milho 1ª safra'!$E43:INDEX('Milho 1ª safra'!$E43:$Z43,MIN(U$6-$G$3,22))),0)))))</f>
        <v>0</v>
      </c>
      <c r="V45" s="27" t="n">
        <f aca="false">IF(COUNT('Milho 1ª safra'!$E43:$Z43)=0,0,MAX(0,IF((V$6-$E$3)&lt;1,0,IFERROR(LOOKUP(2,1/('Milho 1ª safra'!$E43:INDEX('Milho 1ª safra'!$E43:$Z43,MIN(V$6-$E$3,22))&lt;&gt;""),'Milho 1ª safra'!$E43:INDEX('Milho 1ª safra'!$E43:$Z43,MIN(V$6-$E$3,22))),0))-IF($G$2,0,IF((V$6-$G$3)&lt;1,0,IFERROR(LOOKUP(2,1/('Milho 1ª safra'!$E43:INDEX('Milho 1ª safra'!$E43:$Z43,MIN(V$6-$G$3,22))&lt;&gt;""),'Milho 1ª safra'!$E43:INDEX('Milho 1ª safra'!$E43:$Z43,MIN(V$6-$G$3,22))),0)))))</f>
        <v>0</v>
      </c>
      <c r="W45" s="27" t="n">
        <f aca="false">IF(COUNT('Milho 1ª safra'!$E43:$Z43)=0,0,MAX(0,IF((W$6-$E$3)&lt;1,0,IFERROR(LOOKUP(2,1/('Milho 1ª safra'!$E43:INDEX('Milho 1ª safra'!$E43:$Z43,MIN(W$6-$E$3,22))&lt;&gt;""),'Milho 1ª safra'!$E43:INDEX('Milho 1ª safra'!$E43:$Z43,MIN(W$6-$E$3,22))),0))-IF($G$2,0,IF((W$6-$G$3)&lt;1,0,IFERROR(LOOKUP(2,1/('Milho 1ª safra'!$E43:INDEX('Milho 1ª safra'!$E43:$Z43,MIN(W$6-$G$3,22))&lt;&gt;""),'Milho 1ª safra'!$E43:INDEX('Milho 1ª safra'!$E43:$Z43,MIN(W$6-$G$3,22))),0)))))</f>
        <v>0</v>
      </c>
      <c r="X45" s="27" t="n">
        <f aca="false">IF(COUNT('Milho 1ª safra'!$E43:$Z43)=0,0,MAX(0,IF((X$6-$E$3)&lt;1,0,IFERROR(LOOKUP(2,1/('Milho 1ª safra'!$E43:INDEX('Milho 1ª safra'!$E43:$Z43,MIN(X$6-$E$3,22))&lt;&gt;""),'Milho 1ª safra'!$E43:INDEX('Milho 1ª safra'!$E43:$Z43,MIN(X$6-$E$3,22))),0))-IF($G$2,0,IF((X$6-$G$3)&lt;1,0,IFERROR(LOOKUP(2,1/('Milho 1ª safra'!$E43:INDEX('Milho 1ª safra'!$E43:$Z43,MIN(X$6-$G$3,22))&lt;&gt;""),'Milho 1ª safra'!$E43:INDEX('Milho 1ª safra'!$E43:$Z43,MIN(X$6-$G$3,22))),0)))))</f>
        <v>0</v>
      </c>
      <c r="Y45" s="27" t="n">
        <f aca="false">IF(COUNT('Milho 1ª safra'!$E43:$Z43)=0,0,MAX(0,IF((Y$6-$E$3)&lt;1,0,IFERROR(LOOKUP(2,1/('Milho 1ª safra'!$E43:INDEX('Milho 1ª safra'!$E43:$Z43,MIN(Y$6-$E$3,22))&lt;&gt;""),'Milho 1ª safra'!$E43:INDEX('Milho 1ª safra'!$E43:$Z43,MIN(Y$6-$E$3,22))),0))-IF($G$2,0,IF((Y$6-$G$3)&lt;1,0,IFERROR(LOOKUP(2,1/('Milho 1ª safra'!$E43:INDEX('Milho 1ª safra'!$E43:$Z43,MIN(Y$6-$G$3,22))&lt;&gt;""),'Milho 1ª safra'!$E43:INDEX('Milho 1ª safra'!$E43:$Z43,MIN(Y$6-$G$3,22))),0)))))</f>
        <v>0</v>
      </c>
      <c r="Z45" s="27" t="n">
        <f aca="false">IF(COUNT('Milho 1ª safra'!$E43:$Z43)=0,0,MAX(0,IF((Z$6-$E$3)&lt;1,0,IFERROR(LOOKUP(2,1/('Milho 1ª safra'!$E43:INDEX('Milho 1ª safra'!$E43:$Z43,MIN(Z$6-$E$3,22))&lt;&gt;""),'Milho 1ª safra'!$E43:INDEX('Milho 1ª safra'!$E43:$Z43,MIN(Z$6-$E$3,22))),0))-IF($G$2,0,IF((Z$6-$G$3)&lt;1,0,IFERROR(LOOKUP(2,1/('Milho 1ª safra'!$E43:INDEX('Milho 1ª safra'!$E43:$Z43,MIN(Z$6-$G$3,22))&lt;&gt;""),'Milho 1ª safra'!$E43:INDEX('Milho 1ª safra'!$E43:$Z43,MIN(Z$6-$G$3,22))),0)))))</f>
        <v>0</v>
      </c>
      <c r="AA45" s="27" t="n">
        <f aca="false">IF(COUNT('Milho 1ª safra'!$E43:$Z43)=0,0,MAX(0,IF((AA$6-$E$3)&lt;1,0,IFERROR(LOOKUP(2,1/('Milho 1ª safra'!$E43:INDEX('Milho 1ª safra'!$E43:$Z43,MIN(AA$6-$E$3,22))&lt;&gt;""),'Milho 1ª safra'!$E43:INDEX('Milho 1ª safra'!$E43:$Z43,MIN(AA$6-$E$3,22))),0))-IF($G$2,0,IF((AA$6-$G$3)&lt;1,0,IFERROR(LOOKUP(2,1/('Milho 1ª safra'!$E43:INDEX('Milho 1ª safra'!$E43:$Z43,MIN(AA$6-$G$3,22))&lt;&gt;""),'Milho 1ª safra'!$E43:INDEX('Milho 1ª safra'!$E43:$Z43,MIN(AA$6-$G$3,22))),0)))))</f>
        <v>0</v>
      </c>
      <c r="AB45" s="27" t="n">
        <f aca="false">IF(COUNT('Milho 1ª safra'!$E43:$Z43)=0,0,MAX(0,IF((AB$6-$E$3)&lt;1,0,IFERROR(LOOKUP(2,1/('Milho 1ª safra'!$E43:INDEX('Milho 1ª safra'!$E43:$Z43,MIN(AB$6-$E$3,22))&lt;&gt;""),'Milho 1ª safra'!$E43:INDEX('Milho 1ª safra'!$E43:$Z43,MIN(AB$6-$E$3,22))),0))-IF($G$2,0,IF((AB$6-$G$3)&lt;1,0,IFERROR(LOOKUP(2,1/('Milho 1ª safra'!$E43:INDEX('Milho 1ª safra'!$E43:$Z43,MIN(AB$6-$G$3,22))&lt;&gt;""),'Milho 1ª safra'!$E43:INDEX('Milho 1ª safra'!$E43:$Z43,MIN(AB$6-$G$3,22))),0)))))</f>
        <v>0</v>
      </c>
      <c r="AC45" s="27" t="n">
        <f aca="false">IF(COUNT('Milho 1ª safra'!$E43:$Z43)=0,0,MAX(0,IF((AC$6-$E$3)&lt;1,0,IFERROR(LOOKUP(2,1/('Milho 1ª safra'!$E43:INDEX('Milho 1ª safra'!$E43:$Z43,MIN(AC$6-$E$3,22))&lt;&gt;""),'Milho 1ª safra'!$E43:INDEX('Milho 1ª safra'!$E43:$Z43,MIN(AC$6-$E$3,22))),0))-IF($G$2,0,IF((AC$6-$G$3)&lt;1,0,IFERROR(LOOKUP(2,1/('Milho 1ª safra'!$E43:INDEX('Milho 1ª safra'!$E43:$Z43,MIN(AC$6-$G$3,22))&lt;&gt;""),'Milho 1ª safra'!$E43:INDEX('Milho 1ª safra'!$E43:$Z43,MIN(AC$6-$G$3,22))),0)))))</f>
        <v>0</v>
      </c>
      <c r="AD45" s="27" t="n">
        <f aca="false">IF(COUNT('Milho 1ª safra'!$E43:$Z43)=0,0,MAX(0,IF((AD$6-$E$3)&lt;1,0,IFERROR(LOOKUP(2,1/('Milho 1ª safra'!$E43:INDEX('Milho 1ª safra'!$E43:$Z43,MIN(AD$6-$E$3,22))&lt;&gt;""),'Milho 1ª safra'!$E43:INDEX('Milho 1ª safra'!$E43:$Z43,MIN(AD$6-$E$3,22))),0))-IF($G$2,0,IF((AD$6-$G$3)&lt;1,0,IFERROR(LOOKUP(2,1/('Milho 1ª safra'!$E43:INDEX('Milho 1ª safra'!$E43:$Z43,MIN(AD$6-$G$3,22))&lt;&gt;""),'Milho 1ª safra'!$E43:INDEX('Milho 1ª safra'!$E43:$Z43,MIN(AD$6-$G$3,22))),0)))))</f>
        <v>0</v>
      </c>
      <c r="AE45" s="27" t="n">
        <f aca="false">IF(COUNT('Milho 1ª safra'!$E43:$Z43)=0,0,MAX(0,IF((AE$6-$E$3)&lt;1,0,IFERROR(LOOKUP(2,1/('Milho 1ª safra'!$E43:INDEX('Milho 1ª safra'!$E43:$Z43,MIN(AE$6-$E$3,22))&lt;&gt;""),'Milho 1ª safra'!$E43:INDEX('Milho 1ª safra'!$E43:$Z43,MIN(AE$6-$E$3,22))),0))-IF($G$2,0,IF((AE$6-$G$3)&lt;1,0,IFERROR(LOOKUP(2,1/('Milho 1ª safra'!$E43:INDEX('Milho 1ª safra'!$E43:$Z43,MIN(AE$6-$G$3,22))&lt;&gt;""),'Milho 1ª safra'!$E43:INDEX('Milho 1ª safra'!$E43:$Z43,MIN(AE$6-$G$3,22))),0)))))</f>
        <v>0</v>
      </c>
      <c r="AF45" s="27" t="n">
        <f aca="false">IF(COUNT('Milho 1ª safra'!$E43:$Z43)=0,0,MAX(0,IF((AF$6-$E$3)&lt;1,0,IFERROR(LOOKUP(2,1/('Milho 1ª safra'!$E43:INDEX('Milho 1ª safra'!$E43:$Z43,MIN(AF$6-$E$3,22))&lt;&gt;""),'Milho 1ª safra'!$E43:INDEX('Milho 1ª safra'!$E43:$Z43,MIN(AF$6-$E$3,22))),0))-IF($G$2,0,IF((AF$6-$G$3)&lt;1,0,IFERROR(LOOKUP(2,1/('Milho 1ª safra'!$E43:INDEX('Milho 1ª safra'!$E43:$Z43,MIN(AF$6-$G$3,22))&lt;&gt;""),'Milho 1ª safra'!$E43:INDEX('Milho 1ª safra'!$E43:$Z43,MIN(AF$6-$G$3,22))),0)))))</f>
        <v>0</v>
      </c>
      <c r="AG45" s="27" t="n">
        <f aca="false">IF(COUNT('Milho 1ª safra'!$E43:$Z43)=0,0,MAX(0,IF((AG$6-$E$3)&lt;1,0,IFERROR(LOOKUP(2,1/('Milho 1ª safra'!$E43:INDEX('Milho 1ª safra'!$E43:$Z43,MIN(AG$6-$E$3,22))&lt;&gt;""),'Milho 1ª safra'!$E43:INDEX('Milho 1ª safra'!$E43:$Z43,MIN(AG$6-$E$3,22))),0))-IF($G$2,0,IF((AG$6-$G$3)&lt;1,0,IFERROR(LOOKUP(2,1/('Milho 1ª safra'!$E43:INDEX('Milho 1ª safra'!$E43:$Z43,MIN(AG$6-$G$3,22))&lt;&gt;""),'Milho 1ª safra'!$E43:INDEX('Milho 1ª safra'!$E43:$Z43,MIN(AG$6-$G$3,22))),0)))))</f>
        <v>0</v>
      </c>
      <c r="AH45" s="27" t="n">
        <f aca="false">IF(COUNT('Milho 1ª safra'!$E43:$Z43)=0,0,MAX(0,IF((AH$6-$E$3)&lt;1,0,IFERROR(LOOKUP(2,1/('Milho 1ª safra'!$E43:INDEX('Milho 1ª safra'!$E43:$Z43,MIN(AH$6-$E$3,22))&lt;&gt;""),'Milho 1ª safra'!$E43:INDEX('Milho 1ª safra'!$E43:$Z43,MIN(AH$6-$E$3,22))),0))-IF($G$2,0,IF((AH$6-$G$3)&lt;1,0,IFERROR(LOOKUP(2,1/('Milho 1ª safra'!$E43:INDEX('Milho 1ª safra'!$E43:$Z43,MIN(AH$6-$G$3,22))&lt;&gt;""),'Milho 1ª safra'!$E43:INDEX('Milho 1ª safra'!$E43:$Z43,MIN(AH$6-$G$3,22))),0)))))</f>
        <v>0</v>
      </c>
      <c r="AI45" s="27" t="n">
        <f aca="false">IF(COUNT('Milho 1ª safra'!$E43:$Z43)=0,0,MAX(0,IF((AI$6-$E$3)&lt;1,0,IFERROR(LOOKUP(2,1/('Milho 1ª safra'!$E43:INDEX('Milho 1ª safra'!$E43:$Z43,MIN(AI$6-$E$3,22))&lt;&gt;""),'Milho 1ª safra'!$E43:INDEX('Milho 1ª safra'!$E43:$Z43,MIN(AI$6-$E$3,22))),0))-IF($G$2,0,IF((AI$6-$G$3)&lt;1,0,IFERROR(LOOKUP(2,1/('Milho 1ª safra'!$E43:INDEX('Milho 1ª safra'!$E43:$Z43,MIN(AI$6-$G$3,22))&lt;&gt;""),'Milho 1ª safra'!$E43:INDEX('Milho 1ª safra'!$E43:$Z43,MIN(AI$6-$G$3,22))),0)))))</f>
        <v>0</v>
      </c>
      <c r="AJ45" s="27" t="n">
        <f aca="false">IF(COUNT('Milho 1ª safra'!$E43:$Z43)=0,0,MAX(0,IF((AJ$6-$E$3)&lt;1,0,IFERROR(LOOKUP(2,1/('Milho 1ª safra'!$E43:INDEX('Milho 1ª safra'!$E43:$Z43,MIN(AJ$6-$E$3,22))&lt;&gt;""),'Milho 1ª safra'!$E43:INDEX('Milho 1ª safra'!$E43:$Z43,MIN(AJ$6-$E$3,22))),0))-IF($G$2,0,IF((AJ$6-$G$3)&lt;1,0,IFERROR(LOOKUP(2,1/('Milho 1ª safra'!$E43:INDEX('Milho 1ª safra'!$E43:$Z43,MIN(AJ$6-$G$3,22))&lt;&gt;""),'Milho 1ª safra'!$E43:INDEX('Milho 1ª safra'!$E43:$Z43,MIN(AJ$6-$G$3,22))),0)))))</f>
        <v>0</v>
      </c>
      <c r="AK45" s="27" t="n">
        <f aca="false">IF(COUNT('Milho 1ª safra'!$E43:$Z43)=0,0,MAX(0,IF((AK$6-$E$3)&lt;1,0,IFERROR(LOOKUP(2,1/('Milho 1ª safra'!$E43:INDEX('Milho 1ª safra'!$E43:$Z43,MIN(AK$6-$E$3,22))&lt;&gt;""),'Milho 1ª safra'!$E43:INDEX('Milho 1ª safra'!$E43:$Z43,MIN(AK$6-$E$3,22))),0))-IF($G$2,0,IF((AK$6-$G$3)&lt;1,0,IFERROR(LOOKUP(2,1/('Milho 1ª safra'!$E43:INDEX('Milho 1ª safra'!$E43:$Z43,MIN(AK$6-$G$3,22))&lt;&gt;""),'Milho 1ª safra'!$E43:INDEX('Milho 1ª safra'!$E43:$Z43,MIN(AK$6-$G$3,22))),0)))))</f>
        <v>0</v>
      </c>
      <c r="AL45" s="27" t="n">
        <f aca="false">IF(COUNT('Milho 1ª safra'!$E43:$Z43)=0,0,MAX(0,IF((AL$6-$E$3)&lt;1,0,IFERROR(LOOKUP(2,1/('Milho 1ª safra'!$E43:INDEX('Milho 1ª safra'!$E43:$Z43,MIN(AL$6-$E$3,22))&lt;&gt;""),'Milho 1ª safra'!$E43:INDEX('Milho 1ª safra'!$E43:$Z43,MIN(AL$6-$E$3,22))),0))-IF($G$2,0,IF((AL$6-$G$3)&lt;1,0,IFERROR(LOOKUP(2,1/('Milho 1ª safra'!$E43:INDEX('Milho 1ª safra'!$E43:$Z43,MIN(AL$6-$G$3,22))&lt;&gt;""),'Milho 1ª safra'!$E43:INDEX('Milho 1ª safra'!$E43:$Z43,MIN(AL$6-$G$3,22))),0)))))</f>
        <v>0</v>
      </c>
      <c r="AM45" s="27" t="n">
        <f aca="false">IF(COUNT('Milho 1ª safra'!$E43:$Z43)=0,0,MAX(0,IF((AM$6-$E$3)&lt;1,0,IFERROR(LOOKUP(2,1/('Milho 1ª safra'!$E43:INDEX('Milho 1ª safra'!$E43:$Z43,MIN(AM$6-$E$3,22))&lt;&gt;""),'Milho 1ª safra'!$E43:INDEX('Milho 1ª safra'!$E43:$Z43,MIN(AM$6-$E$3,22))),0))-IF($G$2,0,IF((AM$6-$G$3)&lt;1,0,IFERROR(LOOKUP(2,1/('Milho 1ª safra'!$E43:INDEX('Milho 1ª safra'!$E43:$Z43,MIN(AM$6-$G$3,22))&lt;&gt;""),'Milho 1ª safra'!$E43:INDEX('Milho 1ª safra'!$E43:$Z43,MIN(AM$6-$G$3,22))),0)))))</f>
        <v>0</v>
      </c>
      <c r="AN45" s="27" t="n">
        <f aca="false">IF(COUNT('Milho 1ª safra'!$E43:$Z43)=0,0,MAX(0,IF((AN$6-$E$3)&lt;1,0,IFERROR(LOOKUP(2,1/('Milho 1ª safra'!$E43:INDEX('Milho 1ª safra'!$E43:$Z43,MIN(AN$6-$E$3,22))&lt;&gt;""),'Milho 1ª safra'!$E43:INDEX('Milho 1ª safra'!$E43:$Z43,MIN(AN$6-$E$3,22))),0))-IF($G$2,0,IF((AN$6-$G$3)&lt;1,0,IFERROR(LOOKUP(2,1/('Milho 1ª safra'!$E43:INDEX('Milho 1ª safra'!$E43:$Z43,MIN(AN$6-$G$3,22))&lt;&gt;""),'Milho 1ª safra'!$E43:INDEX('Milho 1ª safra'!$E43:$Z43,MIN(AN$6-$G$3,22))),0)))))</f>
        <v>0</v>
      </c>
      <c r="AO45" s="27" t="n">
        <f aca="false">IF(COUNT('Milho 1ª safra'!$E43:$Z43)=0,0,MAX(0,IF((AO$6-$E$3)&lt;1,0,IFERROR(LOOKUP(2,1/('Milho 1ª safra'!$E43:INDEX('Milho 1ª safra'!$E43:$Z43,MIN(AO$6-$E$3,22))&lt;&gt;""),'Milho 1ª safra'!$E43:INDEX('Milho 1ª safra'!$E43:$Z43,MIN(AO$6-$E$3,22))),0))-IF($G$2,0,IF((AO$6-$G$3)&lt;1,0,IFERROR(LOOKUP(2,1/('Milho 1ª safra'!$E43:INDEX('Milho 1ª safra'!$E43:$Z43,MIN(AO$6-$G$3,22))&lt;&gt;""),'Milho 1ª safra'!$E43:INDEX('Milho 1ª safra'!$E43:$Z43,MIN(AO$6-$G$3,22))),0)))))</f>
        <v>0</v>
      </c>
      <c r="AP45" s="27" t="n">
        <f aca="false">IF(COUNT('Milho 1ª safra'!$E43:$Z43)=0,0,MAX(0,IF((AP$6-$E$3)&lt;1,0,IFERROR(LOOKUP(2,1/('Milho 1ª safra'!$E43:INDEX('Milho 1ª safra'!$E43:$Z43,MIN(AP$6-$E$3,22))&lt;&gt;""),'Milho 1ª safra'!$E43:INDEX('Milho 1ª safra'!$E43:$Z43,MIN(AP$6-$E$3,22))),0))-IF($G$2,0,IF((AP$6-$G$3)&lt;1,0,IFERROR(LOOKUP(2,1/('Milho 1ª safra'!$E43:INDEX('Milho 1ª safra'!$E43:$Z43,MIN(AP$6-$G$3,22))&lt;&gt;""),'Milho 1ª safra'!$E43:INDEX('Milho 1ª safra'!$E43:$Z43,MIN(AP$6-$G$3,22))),0)))))</f>
        <v>0</v>
      </c>
      <c r="AQ45" s="27" t="n">
        <f aca="false">IF(COUNT('Milho 1ª safra'!$E43:$Z43)=0,0,MAX(0,IF((AQ$6-$E$3)&lt;1,0,IFERROR(LOOKUP(2,1/('Milho 1ª safra'!$E43:INDEX('Milho 1ª safra'!$E43:$Z43,MIN(AQ$6-$E$3,22))&lt;&gt;""),'Milho 1ª safra'!$E43:INDEX('Milho 1ª safra'!$E43:$Z43,MIN(AQ$6-$E$3,22))),0))-IF($G$2,0,IF((AQ$6-$G$3)&lt;1,0,IFERROR(LOOKUP(2,1/('Milho 1ª safra'!$E43:INDEX('Milho 1ª safra'!$E43:$Z43,MIN(AQ$6-$G$3,22))&lt;&gt;""),'Milho 1ª safra'!$E43:INDEX('Milho 1ª safra'!$E43:$Z43,MIN(AQ$6-$G$3,22))),0)))))</f>
        <v>0</v>
      </c>
      <c r="AR45" s="27" t="n">
        <f aca="false">IF(COUNT('Milho 1ª safra'!$E43:$Z43)=0,0,MAX(0,IF((AR$6-$E$3)&lt;1,0,IFERROR(LOOKUP(2,1/('Milho 1ª safra'!$E43:INDEX('Milho 1ª safra'!$E43:$Z43,MIN(AR$6-$E$3,22))&lt;&gt;""),'Milho 1ª safra'!$E43:INDEX('Milho 1ª safra'!$E43:$Z43,MIN(AR$6-$E$3,22))),0))-IF($G$2,0,IF((AR$6-$G$3)&lt;1,0,IFERROR(LOOKUP(2,1/('Milho 1ª safra'!$E43:INDEX('Milho 1ª safra'!$E43:$Z43,MIN(AR$6-$G$3,22))&lt;&gt;""),'Milho 1ª safra'!$E43:INDEX('Milho 1ª safra'!$E43:$Z43,MIN(AR$6-$G$3,22))),0)))))</f>
        <v>0</v>
      </c>
      <c r="AS45" s="27" t="n">
        <f aca="false">IF(COUNT('Milho 1ª safra'!$E43:$Z43)=0,0,MAX(0,IF((AS$6-$E$3)&lt;1,0,IFERROR(LOOKUP(2,1/('Milho 1ª safra'!$E43:INDEX('Milho 1ª safra'!$E43:$Z43,MIN(AS$6-$E$3,22))&lt;&gt;""),'Milho 1ª safra'!$E43:INDEX('Milho 1ª safra'!$E43:$Z43,MIN(AS$6-$E$3,22))),0))-IF($G$2,0,IF((AS$6-$G$3)&lt;1,0,IFERROR(LOOKUP(2,1/('Milho 1ª safra'!$E43:INDEX('Milho 1ª safra'!$E43:$Z43,MIN(AS$6-$G$3,22))&lt;&gt;""),'Milho 1ª safra'!$E43:INDEX('Milho 1ª safra'!$E43:$Z43,MIN(AS$6-$G$3,22))),0)))))</f>
        <v>0</v>
      </c>
      <c r="AT45" s="27" t="n">
        <f aca="false">IF(COUNT('Milho 1ª safra'!$E43:$Z43)=0,0,MAX(0,IF((AT$6-$E$3)&lt;1,0,IFERROR(LOOKUP(2,1/('Milho 1ª safra'!$E43:INDEX('Milho 1ª safra'!$E43:$Z43,MIN(AT$6-$E$3,22))&lt;&gt;""),'Milho 1ª safra'!$E43:INDEX('Milho 1ª safra'!$E43:$Z43,MIN(AT$6-$E$3,22))),0))-IF($G$2,0,IF((AT$6-$G$3)&lt;1,0,IFERROR(LOOKUP(2,1/('Milho 1ª safra'!$E43:INDEX('Milho 1ª safra'!$E43:$Z43,MIN(AT$6-$G$3,22))&lt;&gt;""),'Milho 1ª safra'!$E43:INDEX('Milho 1ª safra'!$E43:$Z43,MIN(AT$6-$G$3,22))),0)))))</f>
        <v>0</v>
      </c>
      <c r="AU45" s="27" t="n">
        <f aca="false">IF(COUNT('Milho 1ª safra'!$E43:$Z43)=0,0,MAX(0,IF((AU$6-$E$3)&lt;1,0,IFERROR(LOOKUP(2,1/('Milho 1ª safra'!$E43:INDEX('Milho 1ª safra'!$E43:$Z43,MIN(AU$6-$E$3,22))&lt;&gt;""),'Milho 1ª safra'!$E43:INDEX('Milho 1ª safra'!$E43:$Z43,MIN(AU$6-$E$3,22))),0))-IF($G$2,0,IF((AU$6-$G$3)&lt;1,0,IFERROR(LOOKUP(2,1/('Milho 1ª safra'!$E43:INDEX('Milho 1ª safra'!$E43:$Z43,MIN(AU$6-$G$3,22))&lt;&gt;""),'Milho 1ª safra'!$E43:INDEX('Milho 1ª safra'!$E43:$Z43,MIN(AU$6-$G$3,22))),0)))))</f>
        <v>0</v>
      </c>
      <c r="AV45" s="27" t="n">
        <f aca="false">IF(COUNT('Milho 1ª safra'!$E43:$Z43)=0,0,MAX(0,IF((AV$6-$E$3)&lt;1,0,IFERROR(LOOKUP(2,1/('Milho 1ª safra'!$E43:INDEX('Milho 1ª safra'!$E43:$Z43,MIN(AV$6-$E$3,22))&lt;&gt;""),'Milho 1ª safra'!$E43:INDEX('Milho 1ª safra'!$E43:$Z43,MIN(AV$6-$E$3,22))),0))-IF($G$2,0,IF((AV$6-$G$3)&lt;1,0,IFERROR(LOOKUP(2,1/('Milho 1ª safra'!$E43:INDEX('Milho 1ª safra'!$E43:$Z43,MIN(AV$6-$G$3,22))&lt;&gt;""),'Milho 1ª safra'!$E43:INDEX('Milho 1ª safra'!$E43:$Z43,MIN(AV$6-$G$3,22))),0)))))</f>
        <v>0</v>
      </c>
      <c r="AW45" s="27" t="n">
        <f aca="false">IF(COUNT('Milho 1ª safra'!$E43:$Z43)=0,0,MAX(0,IF((AW$6-$E$3)&lt;1,0,IFERROR(LOOKUP(2,1/('Milho 1ª safra'!$E43:INDEX('Milho 1ª safra'!$E43:$Z43,MIN(AW$6-$E$3,22))&lt;&gt;""),'Milho 1ª safra'!$E43:INDEX('Milho 1ª safra'!$E43:$Z43,MIN(AW$6-$E$3,22))),0))-IF($G$2,0,IF((AW$6-$G$3)&lt;1,0,IFERROR(LOOKUP(2,1/('Milho 1ª safra'!$E43:INDEX('Milho 1ª safra'!$E43:$Z43,MIN(AW$6-$G$3,22))&lt;&gt;""),'Milho 1ª safra'!$E43:INDEX('Milho 1ª safra'!$E43:$Z43,MIN(AW$6-$G$3,22))),0)))))</f>
        <v>0</v>
      </c>
      <c r="AX45" s="27" t="n">
        <f aca="false">IF(COUNT('Milho 1ª safra'!$E43:$Z43)=0,0,MAX(0,IF((AX$6-$E$3)&lt;1,0,IFERROR(LOOKUP(2,1/('Milho 1ª safra'!$E43:INDEX('Milho 1ª safra'!$E43:$Z43,MIN(AX$6-$E$3,22))&lt;&gt;""),'Milho 1ª safra'!$E43:INDEX('Milho 1ª safra'!$E43:$Z43,MIN(AX$6-$E$3,22))),0))-IF($G$2,0,IF((AX$6-$G$3)&lt;1,0,IFERROR(LOOKUP(2,1/('Milho 1ª safra'!$E43:INDEX('Milho 1ª safra'!$E43:$Z43,MIN(AX$6-$G$3,22))&lt;&gt;""),'Milho 1ª safra'!$E43:INDEX('Milho 1ª safra'!$E43:$Z43,MIN(AX$6-$G$3,22))),0)))))</f>
        <v>0</v>
      </c>
      <c r="AY45" s="27" t="n">
        <f aca="false">IF(COUNT('Milho 1ª safra'!$E43:$Z43)=0,0,MAX(0,IF((AY$6-$E$3)&lt;1,0,IFERROR(LOOKUP(2,1/('Milho 1ª safra'!$E43:INDEX('Milho 1ª safra'!$E43:$Z43,MIN(AY$6-$E$3,22))&lt;&gt;""),'Milho 1ª safra'!$E43:INDEX('Milho 1ª safra'!$E43:$Z43,MIN(AY$6-$E$3,22))),0))-IF($G$2,0,IF((AY$6-$G$3)&lt;1,0,IFERROR(LOOKUP(2,1/('Milho 1ª safra'!$E43:INDEX('Milho 1ª safra'!$E43:$Z43,MIN(AY$6-$G$3,22))&lt;&gt;""),'Milho 1ª safra'!$E43:INDEX('Milho 1ª safra'!$E43:$Z43,MIN(AY$6-$G$3,22))),0)))))</f>
        <v>0</v>
      </c>
      <c r="AZ45" s="27" t="n">
        <f aca="false">IF(COUNT('Milho 1ª safra'!$E43:$Z43)=0,0,MAX(0,IF((AZ$6-$E$3)&lt;1,0,IFERROR(LOOKUP(2,1/('Milho 1ª safra'!$E43:INDEX('Milho 1ª safra'!$E43:$Z43,MIN(AZ$6-$E$3,22))&lt;&gt;""),'Milho 1ª safra'!$E43:INDEX('Milho 1ª safra'!$E43:$Z43,MIN(AZ$6-$E$3,22))),0))-IF($G$2,0,IF((AZ$6-$G$3)&lt;1,0,IFERROR(LOOKUP(2,1/('Milho 1ª safra'!$E43:INDEX('Milho 1ª safra'!$E43:$Z43,MIN(AZ$6-$G$3,22))&lt;&gt;""),'Milho 1ª safra'!$E43:INDEX('Milho 1ª safra'!$E43:$Z43,MIN(AZ$6-$G$3,22))),0)))))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IF(COUNT('Milho 1ª safra'!$E44:$Z44)&gt;0,N('Milho 1ª safra'!$D44),0)</f>
        <v>0</v>
      </c>
      <c r="E46" s="27" t="n">
        <f aca="false">IF(COUNT('Milho 1ª safra'!$E44:$Z44)=0,0,MAX(0,IF((E$6-$E$3)&lt;1,0,IFERROR(LOOKUP(2,1/('Milho 1ª safra'!$E44:INDEX('Milho 1ª safra'!$E44:$Z44,MIN(E$6-$E$3,22))&lt;&gt;""),'Milho 1ª safra'!$E44:INDEX('Milho 1ª safra'!$E44:$Z44,MIN(E$6-$E$3,22))),0))-IF($G$2,0,IF((E$6-$G$3)&lt;1,0,IFERROR(LOOKUP(2,1/('Milho 1ª safra'!$E44:INDEX('Milho 1ª safra'!$E44:$Z44,MIN(E$6-$G$3,22))&lt;&gt;""),'Milho 1ª safra'!$E44:INDEX('Milho 1ª safra'!$E44:$Z44,MIN(E$6-$G$3,22))),0)))))</f>
        <v>0</v>
      </c>
      <c r="F46" s="27" t="n">
        <f aca="false">IF(COUNT('Milho 1ª safra'!$E44:$Z44)=0,0,MAX(0,IF((F$6-$E$3)&lt;1,0,IFERROR(LOOKUP(2,1/('Milho 1ª safra'!$E44:INDEX('Milho 1ª safra'!$E44:$Z44,MIN(F$6-$E$3,22))&lt;&gt;""),'Milho 1ª safra'!$E44:INDEX('Milho 1ª safra'!$E44:$Z44,MIN(F$6-$E$3,22))),0))-IF($G$2,0,IF((F$6-$G$3)&lt;1,0,IFERROR(LOOKUP(2,1/('Milho 1ª safra'!$E44:INDEX('Milho 1ª safra'!$E44:$Z44,MIN(F$6-$G$3,22))&lt;&gt;""),'Milho 1ª safra'!$E44:INDEX('Milho 1ª safra'!$E44:$Z44,MIN(F$6-$G$3,22))),0)))))</f>
        <v>0</v>
      </c>
      <c r="G46" s="27" t="n">
        <f aca="false">IF(COUNT('Milho 1ª safra'!$E44:$Z44)=0,0,MAX(0,IF((G$6-$E$3)&lt;1,0,IFERROR(LOOKUP(2,1/('Milho 1ª safra'!$E44:INDEX('Milho 1ª safra'!$E44:$Z44,MIN(G$6-$E$3,22))&lt;&gt;""),'Milho 1ª safra'!$E44:INDEX('Milho 1ª safra'!$E44:$Z44,MIN(G$6-$E$3,22))),0))-IF($G$2,0,IF((G$6-$G$3)&lt;1,0,IFERROR(LOOKUP(2,1/('Milho 1ª safra'!$E44:INDEX('Milho 1ª safra'!$E44:$Z44,MIN(G$6-$G$3,22))&lt;&gt;""),'Milho 1ª safra'!$E44:INDEX('Milho 1ª safra'!$E44:$Z44,MIN(G$6-$G$3,22))),0)))))</f>
        <v>0</v>
      </c>
      <c r="H46" s="27" t="n">
        <f aca="false">IF(COUNT('Milho 1ª safra'!$E44:$Z44)=0,0,MAX(0,IF((H$6-$E$3)&lt;1,0,IFERROR(LOOKUP(2,1/('Milho 1ª safra'!$E44:INDEX('Milho 1ª safra'!$E44:$Z44,MIN(H$6-$E$3,22))&lt;&gt;""),'Milho 1ª safra'!$E44:INDEX('Milho 1ª safra'!$E44:$Z44,MIN(H$6-$E$3,22))),0))-IF($G$2,0,IF((H$6-$G$3)&lt;1,0,IFERROR(LOOKUP(2,1/('Milho 1ª safra'!$E44:INDEX('Milho 1ª safra'!$E44:$Z44,MIN(H$6-$G$3,22))&lt;&gt;""),'Milho 1ª safra'!$E44:INDEX('Milho 1ª safra'!$E44:$Z44,MIN(H$6-$G$3,22))),0)))))</f>
        <v>0</v>
      </c>
      <c r="I46" s="27" t="n">
        <f aca="false">IF(COUNT('Milho 1ª safra'!$E44:$Z44)=0,0,MAX(0,IF((I$6-$E$3)&lt;1,0,IFERROR(LOOKUP(2,1/('Milho 1ª safra'!$E44:INDEX('Milho 1ª safra'!$E44:$Z44,MIN(I$6-$E$3,22))&lt;&gt;""),'Milho 1ª safra'!$E44:INDEX('Milho 1ª safra'!$E44:$Z44,MIN(I$6-$E$3,22))),0))-IF($G$2,0,IF((I$6-$G$3)&lt;1,0,IFERROR(LOOKUP(2,1/('Milho 1ª safra'!$E44:INDEX('Milho 1ª safra'!$E44:$Z44,MIN(I$6-$G$3,22))&lt;&gt;""),'Milho 1ª safra'!$E44:INDEX('Milho 1ª safra'!$E44:$Z44,MIN(I$6-$G$3,22))),0)))))</f>
        <v>0</v>
      </c>
      <c r="J46" s="27" t="n">
        <f aca="false">IF(COUNT('Milho 1ª safra'!$E44:$Z44)=0,0,MAX(0,IF((J$6-$E$3)&lt;1,0,IFERROR(LOOKUP(2,1/('Milho 1ª safra'!$E44:INDEX('Milho 1ª safra'!$E44:$Z44,MIN(J$6-$E$3,22))&lt;&gt;""),'Milho 1ª safra'!$E44:INDEX('Milho 1ª safra'!$E44:$Z44,MIN(J$6-$E$3,22))),0))-IF($G$2,0,IF((J$6-$G$3)&lt;1,0,IFERROR(LOOKUP(2,1/('Milho 1ª safra'!$E44:INDEX('Milho 1ª safra'!$E44:$Z44,MIN(J$6-$G$3,22))&lt;&gt;""),'Milho 1ª safra'!$E44:INDEX('Milho 1ª safra'!$E44:$Z44,MIN(J$6-$G$3,22))),0)))))</f>
        <v>0</v>
      </c>
      <c r="K46" s="27" t="n">
        <f aca="false">IF(COUNT('Milho 1ª safra'!$E44:$Z44)=0,0,MAX(0,IF((K$6-$E$3)&lt;1,0,IFERROR(LOOKUP(2,1/('Milho 1ª safra'!$E44:INDEX('Milho 1ª safra'!$E44:$Z44,MIN(K$6-$E$3,22))&lt;&gt;""),'Milho 1ª safra'!$E44:INDEX('Milho 1ª safra'!$E44:$Z44,MIN(K$6-$E$3,22))),0))-IF($G$2,0,IF((K$6-$G$3)&lt;1,0,IFERROR(LOOKUP(2,1/('Milho 1ª safra'!$E44:INDEX('Milho 1ª safra'!$E44:$Z44,MIN(K$6-$G$3,22))&lt;&gt;""),'Milho 1ª safra'!$E44:INDEX('Milho 1ª safra'!$E44:$Z44,MIN(K$6-$G$3,22))),0)))))</f>
        <v>0</v>
      </c>
      <c r="L46" s="27" t="n">
        <f aca="false">IF(COUNT('Milho 1ª safra'!$E44:$Z44)=0,0,MAX(0,IF((L$6-$E$3)&lt;1,0,IFERROR(LOOKUP(2,1/('Milho 1ª safra'!$E44:INDEX('Milho 1ª safra'!$E44:$Z44,MIN(L$6-$E$3,22))&lt;&gt;""),'Milho 1ª safra'!$E44:INDEX('Milho 1ª safra'!$E44:$Z44,MIN(L$6-$E$3,22))),0))-IF($G$2,0,IF((L$6-$G$3)&lt;1,0,IFERROR(LOOKUP(2,1/('Milho 1ª safra'!$E44:INDEX('Milho 1ª safra'!$E44:$Z44,MIN(L$6-$G$3,22))&lt;&gt;""),'Milho 1ª safra'!$E44:INDEX('Milho 1ª safra'!$E44:$Z44,MIN(L$6-$G$3,22))),0)))))</f>
        <v>0</v>
      </c>
      <c r="M46" s="27" t="n">
        <f aca="false">IF(COUNT('Milho 1ª safra'!$E44:$Z44)=0,0,MAX(0,IF((M$6-$E$3)&lt;1,0,IFERROR(LOOKUP(2,1/('Milho 1ª safra'!$E44:INDEX('Milho 1ª safra'!$E44:$Z44,MIN(M$6-$E$3,22))&lt;&gt;""),'Milho 1ª safra'!$E44:INDEX('Milho 1ª safra'!$E44:$Z44,MIN(M$6-$E$3,22))),0))-IF($G$2,0,IF((M$6-$G$3)&lt;1,0,IFERROR(LOOKUP(2,1/('Milho 1ª safra'!$E44:INDEX('Milho 1ª safra'!$E44:$Z44,MIN(M$6-$G$3,22))&lt;&gt;""),'Milho 1ª safra'!$E44:INDEX('Milho 1ª safra'!$E44:$Z44,MIN(M$6-$G$3,22))),0)))))</f>
        <v>0</v>
      </c>
      <c r="N46" s="27" t="n">
        <f aca="false">IF(COUNT('Milho 1ª safra'!$E44:$Z44)=0,0,MAX(0,IF((N$6-$E$3)&lt;1,0,IFERROR(LOOKUP(2,1/('Milho 1ª safra'!$E44:INDEX('Milho 1ª safra'!$E44:$Z44,MIN(N$6-$E$3,22))&lt;&gt;""),'Milho 1ª safra'!$E44:INDEX('Milho 1ª safra'!$E44:$Z44,MIN(N$6-$E$3,22))),0))-IF($G$2,0,IF((N$6-$G$3)&lt;1,0,IFERROR(LOOKUP(2,1/('Milho 1ª safra'!$E44:INDEX('Milho 1ª safra'!$E44:$Z44,MIN(N$6-$G$3,22))&lt;&gt;""),'Milho 1ª safra'!$E44:INDEX('Milho 1ª safra'!$E44:$Z44,MIN(N$6-$G$3,22))),0)))))</f>
        <v>0</v>
      </c>
      <c r="O46" s="27" t="n">
        <f aca="false">IF(COUNT('Milho 1ª safra'!$E44:$Z44)=0,0,MAX(0,IF((O$6-$E$3)&lt;1,0,IFERROR(LOOKUP(2,1/('Milho 1ª safra'!$E44:INDEX('Milho 1ª safra'!$E44:$Z44,MIN(O$6-$E$3,22))&lt;&gt;""),'Milho 1ª safra'!$E44:INDEX('Milho 1ª safra'!$E44:$Z44,MIN(O$6-$E$3,22))),0))-IF($G$2,0,IF((O$6-$G$3)&lt;1,0,IFERROR(LOOKUP(2,1/('Milho 1ª safra'!$E44:INDEX('Milho 1ª safra'!$E44:$Z44,MIN(O$6-$G$3,22))&lt;&gt;""),'Milho 1ª safra'!$E44:INDEX('Milho 1ª safra'!$E44:$Z44,MIN(O$6-$G$3,22))),0)))))</f>
        <v>0</v>
      </c>
      <c r="P46" s="27" t="n">
        <f aca="false">IF(COUNT('Milho 1ª safra'!$E44:$Z44)=0,0,MAX(0,IF((P$6-$E$3)&lt;1,0,IFERROR(LOOKUP(2,1/('Milho 1ª safra'!$E44:INDEX('Milho 1ª safra'!$E44:$Z44,MIN(P$6-$E$3,22))&lt;&gt;""),'Milho 1ª safra'!$E44:INDEX('Milho 1ª safra'!$E44:$Z44,MIN(P$6-$E$3,22))),0))-IF($G$2,0,IF((P$6-$G$3)&lt;1,0,IFERROR(LOOKUP(2,1/('Milho 1ª safra'!$E44:INDEX('Milho 1ª safra'!$E44:$Z44,MIN(P$6-$G$3,22))&lt;&gt;""),'Milho 1ª safra'!$E44:INDEX('Milho 1ª safra'!$E44:$Z44,MIN(P$6-$G$3,22))),0)))))</f>
        <v>0</v>
      </c>
      <c r="Q46" s="27" t="n">
        <f aca="false">IF(COUNT('Milho 1ª safra'!$E44:$Z44)=0,0,MAX(0,IF((Q$6-$E$3)&lt;1,0,IFERROR(LOOKUP(2,1/('Milho 1ª safra'!$E44:INDEX('Milho 1ª safra'!$E44:$Z44,MIN(Q$6-$E$3,22))&lt;&gt;""),'Milho 1ª safra'!$E44:INDEX('Milho 1ª safra'!$E44:$Z44,MIN(Q$6-$E$3,22))),0))-IF($G$2,0,IF((Q$6-$G$3)&lt;1,0,IFERROR(LOOKUP(2,1/('Milho 1ª safra'!$E44:INDEX('Milho 1ª safra'!$E44:$Z44,MIN(Q$6-$G$3,22))&lt;&gt;""),'Milho 1ª safra'!$E44:INDEX('Milho 1ª safra'!$E44:$Z44,MIN(Q$6-$G$3,22))),0)))))</f>
        <v>0</v>
      </c>
      <c r="R46" s="27" t="n">
        <f aca="false">IF(COUNT('Milho 1ª safra'!$E44:$Z44)=0,0,MAX(0,IF((R$6-$E$3)&lt;1,0,IFERROR(LOOKUP(2,1/('Milho 1ª safra'!$E44:INDEX('Milho 1ª safra'!$E44:$Z44,MIN(R$6-$E$3,22))&lt;&gt;""),'Milho 1ª safra'!$E44:INDEX('Milho 1ª safra'!$E44:$Z44,MIN(R$6-$E$3,22))),0))-IF($G$2,0,IF((R$6-$G$3)&lt;1,0,IFERROR(LOOKUP(2,1/('Milho 1ª safra'!$E44:INDEX('Milho 1ª safra'!$E44:$Z44,MIN(R$6-$G$3,22))&lt;&gt;""),'Milho 1ª safra'!$E44:INDEX('Milho 1ª safra'!$E44:$Z44,MIN(R$6-$G$3,22))),0)))))</f>
        <v>0</v>
      </c>
      <c r="S46" s="27" t="n">
        <f aca="false">IF(COUNT('Milho 1ª safra'!$E44:$Z44)=0,0,MAX(0,IF((S$6-$E$3)&lt;1,0,IFERROR(LOOKUP(2,1/('Milho 1ª safra'!$E44:INDEX('Milho 1ª safra'!$E44:$Z44,MIN(S$6-$E$3,22))&lt;&gt;""),'Milho 1ª safra'!$E44:INDEX('Milho 1ª safra'!$E44:$Z44,MIN(S$6-$E$3,22))),0))-IF($G$2,0,IF((S$6-$G$3)&lt;1,0,IFERROR(LOOKUP(2,1/('Milho 1ª safra'!$E44:INDEX('Milho 1ª safra'!$E44:$Z44,MIN(S$6-$G$3,22))&lt;&gt;""),'Milho 1ª safra'!$E44:INDEX('Milho 1ª safra'!$E44:$Z44,MIN(S$6-$G$3,22))),0)))))</f>
        <v>0</v>
      </c>
      <c r="T46" s="27" t="n">
        <f aca="false">IF(COUNT('Milho 1ª safra'!$E44:$Z44)=0,0,MAX(0,IF((T$6-$E$3)&lt;1,0,IFERROR(LOOKUP(2,1/('Milho 1ª safra'!$E44:INDEX('Milho 1ª safra'!$E44:$Z44,MIN(T$6-$E$3,22))&lt;&gt;""),'Milho 1ª safra'!$E44:INDEX('Milho 1ª safra'!$E44:$Z44,MIN(T$6-$E$3,22))),0))-IF($G$2,0,IF((T$6-$G$3)&lt;1,0,IFERROR(LOOKUP(2,1/('Milho 1ª safra'!$E44:INDEX('Milho 1ª safra'!$E44:$Z44,MIN(T$6-$G$3,22))&lt;&gt;""),'Milho 1ª safra'!$E44:INDEX('Milho 1ª safra'!$E44:$Z44,MIN(T$6-$G$3,22))),0)))))</f>
        <v>0</v>
      </c>
      <c r="U46" s="27" t="n">
        <f aca="false">IF(COUNT('Milho 1ª safra'!$E44:$Z44)=0,0,MAX(0,IF((U$6-$E$3)&lt;1,0,IFERROR(LOOKUP(2,1/('Milho 1ª safra'!$E44:INDEX('Milho 1ª safra'!$E44:$Z44,MIN(U$6-$E$3,22))&lt;&gt;""),'Milho 1ª safra'!$E44:INDEX('Milho 1ª safra'!$E44:$Z44,MIN(U$6-$E$3,22))),0))-IF($G$2,0,IF((U$6-$G$3)&lt;1,0,IFERROR(LOOKUP(2,1/('Milho 1ª safra'!$E44:INDEX('Milho 1ª safra'!$E44:$Z44,MIN(U$6-$G$3,22))&lt;&gt;""),'Milho 1ª safra'!$E44:INDEX('Milho 1ª safra'!$E44:$Z44,MIN(U$6-$G$3,22))),0)))))</f>
        <v>0</v>
      </c>
      <c r="V46" s="27" t="n">
        <f aca="false">IF(COUNT('Milho 1ª safra'!$E44:$Z44)=0,0,MAX(0,IF((V$6-$E$3)&lt;1,0,IFERROR(LOOKUP(2,1/('Milho 1ª safra'!$E44:INDEX('Milho 1ª safra'!$E44:$Z44,MIN(V$6-$E$3,22))&lt;&gt;""),'Milho 1ª safra'!$E44:INDEX('Milho 1ª safra'!$E44:$Z44,MIN(V$6-$E$3,22))),0))-IF($G$2,0,IF((V$6-$G$3)&lt;1,0,IFERROR(LOOKUP(2,1/('Milho 1ª safra'!$E44:INDEX('Milho 1ª safra'!$E44:$Z44,MIN(V$6-$G$3,22))&lt;&gt;""),'Milho 1ª safra'!$E44:INDEX('Milho 1ª safra'!$E44:$Z44,MIN(V$6-$G$3,22))),0)))))</f>
        <v>0</v>
      </c>
      <c r="W46" s="27" t="n">
        <f aca="false">IF(COUNT('Milho 1ª safra'!$E44:$Z44)=0,0,MAX(0,IF((W$6-$E$3)&lt;1,0,IFERROR(LOOKUP(2,1/('Milho 1ª safra'!$E44:INDEX('Milho 1ª safra'!$E44:$Z44,MIN(W$6-$E$3,22))&lt;&gt;""),'Milho 1ª safra'!$E44:INDEX('Milho 1ª safra'!$E44:$Z44,MIN(W$6-$E$3,22))),0))-IF($G$2,0,IF((W$6-$G$3)&lt;1,0,IFERROR(LOOKUP(2,1/('Milho 1ª safra'!$E44:INDEX('Milho 1ª safra'!$E44:$Z44,MIN(W$6-$G$3,22))&lt;&gt;""),'Milho 1ª safra'!$E44:INDEX('Milho 1ª safra'!$E44:$Z44,MIN(W$6-$G$3,22))),0)))))</f>
        <v>0</v>
      </c>
      <c r="X46" s="27" t="n">
        <f aca="false">IF(COUNT('Milho 1ª safra'!$E44:$Z44)=0,0,MAX(0,IF((X$6-$E$3)&lt;1,0,IFERROR(LOOKUP(2,1/('Milho 1ª safra'!$E44:INDEX('Milho 1ª safra'!$E44:$Z44,MIN(X$6-$E$3,22))&lt;&gt;""),'Milho 1ª safra'!$E44:INDEX('Milho 1ª safra'!$E44:$Z44,MIN(X$6-$E$3,22))),0))-IF($G$2,0,IF((X$6-$G$3)&lt;1,0,IFERROR(LOOKUP(2,1/('Milho 1ª safra'!$E44:INDEX('Milho 1ª safra'!$E44:$Z44,MIN(X$6-$G$3,22))&lt;&gt;""),'Milho 1ª safra'!$E44:INDEX('Milho 1ª safra'!$E44:$Z44,MIN(X$6-$G$3,22))),0)))))</f>
        <v>0</v>
      </c>
      <c r="Y46" s="27" t="n">
        <f aca="false">IF(COUNT('Milho 1ª safra'!$E44:$Z44)=0,0,MAX(0,IF((Y$6-$E$3)&lt;1,0,IFERROR(LOOKUP(2,1/('Milho 1ª safra'!$E44:INDEX('Milho 1ª safra'!$E44:$Z44,MIN(Y$6-$E$3,22))&lt;&gt;""),'Milho 1ª safra'!$E44:INDEX('Milho 1ª safra'!$E44:$Z44,MIN(Y$6-$E$3,22))),0))-IF($G$2,0,IF((Y$6-$G$3)&lt;1,0,IFERROR(LOOKUP(2,1/('Milho 1ª safra'!$E44:INDEX('Milho 1ª safra'!$E44:$Z44,MIN(Y$6-$G$3,22))&lt;&gt;""),'Milho 1ª safra'!$E44:INDEX('Milho 1ª safra'!$E44:$Z44,MIN(Y$6-$G$3,22))),0)))))</f>
        <v>0</v>
      </c>
      <c r="Z46" s="27" t="n">
        <f aca="false">IF(COUNT('Milho 1ª safra'!$E44:$Z44)=0,0,MAX(0,IF((Z$6-$E$3)&lt;1,0,IFERROR(LOOKUP(2,1/('Milho 1ª safra'!$E44:INDEX('Milho 1ª safra'!$E44:$Z44,MIN(Z$6-$E$3,22))&lt;&gt;""),'Milho 1ª safra'!$E44:INDEX('Milho 1ª safra'!$E44:$Z44,MIN(Z$6-$E$3,22))),0))-IF($G$2,0,IF((Z$6-$G$3)&lt;1,0,IFERROR(LOOKUP(2,1/('Milho 1ª safra'!$E44:INDEX('Milho 1ª safra'!$E44:$Z44,MIN(Z$6-$G$3,22))&lt;&gt;""),'Milho 1ª safra'!$E44:INDEX('Milho 1ª safra'!$E44:$Z44,MIN(Z$6-$G$3,22))),0)))))</f>
        <v>0</v>
      </c>
      <c r="AA46" s="27" t="n">
        <f aca="false">IF(COUNT('Milho 1ª safra'!$E44:$Z44)=0,0,MAX(0,IF((AA$6-$E$3)&lt;1,0,IFERROR(LOOKUP(2,1/('Milho 1ª safra'!$E44:INDEX('Milho 1ª safra'!$E44:$Z44,MIN(AA$6-$E$3,22))&lt;&gt;""),'Milho 1ª safra'!$E44:INDEX('Milho 1ª safra'!$E44:$Z44,MIN(AA$6-$E$3,22))),0))-IF($G$2,0,IF((AA$6-$G$3)&lt;1,0,IFERROR(LOOKUP(2,1/('Milho 1ª safra'!$E44:INDEX('Milho 1ª safra'!$E44:$Z44,MIN(AA$6-$G$3,22))&lt;&gt;""),'Milho 1ª safra'!$E44:INDEX('Milho 1ª safra'!$E44:$Z44,MIN(AA$6-$G$3,22))),0)))))</f>
        <v>0</v>
      </c>
      <c r="AB46" s="27" t="n">
        <f aca="false">IF(COUNT('Milho 1ª safra'!$E44:$Z44)=0,0,MAX(0,IF((AB$6-$E$3)&lt;1,0,IFERROR(LOOKUP(2,1/('Milho 1ª safra'!$E44:INDEX('Milho 1ª safra'!$E44:$Z44,MIN(AB$6-$E$3,22))&lt;&gt;""),'Milho 1ª safra'!$E44:INDEX('Milho 1ª safra'!$E44:$Z44,MIN(AB$6-$E$3,22))),0))-IF($G$2,0,IF((AB$6-$G$3)&lt;1,0,IFERROR(LOOKUP(2,1/('Milho 1ª safra'!$E44:INDEX('Milho 1ª safra'!$E44:$Z44,MIN(AB$6-$G$3,22))&lt;&gt;""),'Milho 1ª safra'!$E44:INDEX('Milho 1ª safra'!$E44:$Z44,MIN(AB$6-$G$3,22))),0)))))</f>
        <v>0</v>
      </c>
      <c r="AC46" s="27" t="n">
        <f aca="false">IF(COUNT('Milho 1ª safra'!$E44:$Z44)=0,0,MAX(0,IF((AC$6-$E$3)&lt;1,0,IFERROR(LOOKUP(2,1/('Milho 1ª safra'!$E44:INDEX('Milho 1ª safra'!$E44:$Z44,MIN(AC$6-$E$3,22))&lt;&gt;""),'Milho 1ª safra'!$E44:INDEX('Milho 1ª safra'!$E44:$Z44,MIN(AC$6-$E$3,22))),0))-IF($G$2,0,IF((AC$6-$G$3)&lt;1,0,IFERROR(LOOKUP(2,1/('Milho 1ª safra'!$E44:INDEX('Milho 1ª safra'!$E44:$Z44,MIN(AC$6-$G$3,22))&lt;&gt;""),'Milho 1ª safra'!$E44:INDEX('Milho 1ª safra'!$E44:$Z44,MIN(AC$6-$G$3,22))),0)))))</f>
        <v>0</v>
      </c>
      <c r="AD46" s="27" t="n">
        <f aca="false">IF(COUNT('Milho 1ª safra'!$E44:$Z44)=0,0,MAX(0,IF((AD$6-$E$3)&lt;1,0,IFERROR(LOOKUP(2,1/('Milho 1ª safra'!$E44:INDEX('Milho 1ª safra'!$E44:$Z44,MIN(AD$6-$E$3,22))&lt;&gt;""),'Milho 1ª safra'!$E44:INDEX('Milho 1ª safra'!$E44:$Z44,MIN(AD$6-$E$3,22))),0))-IF($G$2,0,IF((AD$6-$G$3)&lt;1,0,IFERROR(LOOKUP(2,1/('Milho 1ª safra'!$E44:INDEX('Milho 1ª safra'!$E44:$Z44,MIN(AD$6-$G$3,22))&lt;&gt;""),'Milho 1ª safra'!$E44:INDEX('Milho 1ª safra'!$E44:$Z44,MIN(AD$6-$G$3,22))),0)))))</f>
        <v>0</v>
      </c>
      <c r="AE46" s="27" t="n">
        <f aca="false">IF(COUNT('Milho 1ª safra'!$E44:$Z44)=0,0,MAX(0,IF((AE$6-$E$3)&lt;1,0,IFERROR(LOOKUP(2,1/('Milho 1ª safra'!$E44:INDEX('Milho 1ª safra'!$E44:$Z44,MIN(AE$6-$E$3,22))&lt;&gt;""),'Milho 1ª safra'!$E44:INDEX('Milho 1ª safra'!$E44:$Z44,MIN(AE$6-$E$3,22))),0))-IF($G$2,0,IF((AE$6-$G$3)&lt;1,0,IFERROR(LOOKUP(2,1/('Milho 1ª safra'!$E44:INDEX('Milho 1ª safra'!$E44:$Z44,MIN(AE$6-$G$3,22))&lt;&gt;""),'Milho 1ª safra'!$E44:INDEX('Milho 1ª safra'!$E44:$Z44,MIN(AE$6-$G$3,22))),0)))))</f>
        <v>0</v>
      </c>
      <c r="AF46" s="27" t="n">
        <f aca="false">IF(COUNT('Milho 1ª safra'!$E44:$Z44)=0,0,MAX(0,IF((AF$6-$E$3)&lt;1,0,IFERROR(LOOKUP(2,1/('Milho 1ª safra'!$E44:INDEX('Milho 1ª safra'!$E44:$Z44,MIN(AF$6-$E$3,22))&lt;&gt;""),'Milho 1ª safra'!$E44:INDEX('Milho 1ª safra'!$E44:$Z44,MIN(AF$6-$E$3,22))),0))-IF($G$2,0,IF((AF$6-$G$3)&lt;1,0,IFERROR(LOOKUP(2,1/('Milho 1ª safra'!$E44:INDEX('Milho 1ª safra'!$E44:$Z44,MIN(AF$6-$G$3,22))&lt;&gt;""),'Milho 1ª safra'!$E44:INDEX('Milho 1ª safra'!$E44:$Z44,MIN(AF$6-$G$3,22))),0)))))</f>
        <v>0</v>
      </c>
      <c r="AG46" s="27" t="n">
        <f aca="false">IF(COUNT('Milho 1ª safra'!$E44:$Z44)=0,0,MAX(0,IF((AG$6-$E$3)&lt;1,0,IFERROR(LOOKUP(2,1/('Milho 1ª safra'!$E44:INDEX('Milho 1ª safra'!$E44:$Z44,MIN(AG$6-$E$3,22))&lt;&gt;""),'Milho 1ª safra'!$E44:INDEX('Milho 1ª safra'!$E44:$Z44,MIN(AG$6-$E$3,22))),0))-IF($G$2,0,IF((AG$6-$G$3)&lt;1,0,IFERROR(LOOKUP(2,1/('Milho 1ª safra'!$E44:INDEX('Milho 1ª safra'!$E44:$Z44,MIN(AG$6-$G$3,22))&lt;&gt;""),'Milho 1ª safra'!$E44:INDEX('Milho 1ª safra'!$E44:$Z44,MIN(AG$6-$G$3,22))),0)))))</f>
        <v>0</v>
      </c>
      <c r="AH46" s="27" t="n">
        <f aca="false">IF(COUNT('Milho 1ª safra'!$E44:$Z44)=0,0,MAX(0,IF((AH$6-$E$3)&lt;1,0,IFERROR(LOOKUP(2,1/('Milho 1ª safra'!$E44:INDEX('Milho 1ª safra'!$E44:$Z44,MIN(AH$6-$E$3,22))&lt;&gt;""),'Milho 1ª safra'!$E44:INDEX('Milho 1ª safra'!$E44:$Z44,MIN(AH$6-$E$3,22))),0))-IF($G$2,0,IF((AH$6-$G$3)&lt;1,0,IFERROR(LOOKUP(2,1/('Milho 1ª safra'!$E44:INDEX('Milho 1ª safra'!$E44:$Z44,MIN(AH$6-$G$3,22))&lt;&gt;""),'Milho 1ª safra'!$E44:INDEX('Milho 1ª safra'!$E44:$Z44,MIN(AH$6-$G$3,22))),0)))))</f>
        <v>0</v>
      </c>
      <c r="AI46" s="27" t="n">
        <f aca="false">IF(COUNT('Milho 1ª safra'!$E44:$Z44)=0,0,MAX(0,IF((AI$6-$E$3)&lt;1,0,IFERROR(LOOKUP(2,1/('Milho 1ª safra'!$E44:INDEX('Milho 1ª safra'!$E44:$Z44,MIN(AI$6-$E$3,22))&lt;&gt;""),'Milho 1ª safra'!$E44:INDEX('Milho 1ª safra'!$E44:$Z44,MIN(AI$6-$E$3,22))),0))-IF($G$2,0,IF((AI$6-$G$3)&lt;1,0,IFERROR(LOOKUP(2,1/('Milho 1ª safra'!$E44:INDEX('Milho 1ª safra'!$E44:$Z44,MIN(AI$6-$G$3,22))&lt;&gt;""),'Milho 1ª safra'!$E44:INDEX('Milho 1ª safra'!$E44:$Z44,MIN(AI$6-$G$3,22))),0)))))</f>
        <v>0</v>
      </c>
      <c r="AJ46" s="27" t="n">
        <f aca="false">IF(COUNT('Milho 1ª safra'!$E44:$Z44)=0,0,MAX(0,IF((AJ$6-$E$3)&lt;1,0,IFERROR(LOOKUP(2,1/('Milho 1ª safra'!$E44:INDEX('Milho 1ª safra'!$E44:$Z44,MIN(AJ$6-$E$3,22))&lt;&gt;""),'Milho 1ª safra'!$E44:INDEX('Milho 1ª safra'!$E44:$Z44,MIN(AJ$6-$E$3,22))),0))-IF($G$2,0,IF((AJ$6-$G$3)&lt;1,0,IFERROR(LOOKUP(2,1/('Milho 1ª safra'!$E44:INDEX('Milho 1ª safra'!$E44:$Z44,MIN(AJ$6-$G$3,22))&lt;&gt;""),'Milho 1ª safra'!$E44:INDEX('Milho 1ª safra'!$E44:$Z44,MIN(AJ$6-$G$3,22))),0)))))</f>
        <v>0</v>
      </c>
      <c r="AK46" s="27" t="n">
        <f aca="false">IF(COUNT('Milho 1ª safra'!$E44:$Z44)=0,0,MAX(0,IF((AK$6-$E$3)&lt;1,0,IFERROR(LOOKUP(2,1/('Milho 1ª safra'!$E44:INDEX('Milho 1ª safra'!$E44:$Z44,MIN(AK$6-$E$3,22))&lt;&gt;""),'Milho 1ª safra'!$E44:INDEX('Milho 1ª safra'!$E44:$Z44,MIN(AK$6-$E$3,22))),0))-IF($G$2,0,IF((AK$6-$G$3)&lt;1,0,IFERROR(LOOKUP(2,1/('Milho 1ª safra'!$E44:INDEX('Milho 1ª safra'!$E44:$Z44,MIN(AK$6-$G$3,22))&lt;&gt;""),'Milho 1ª safra'!$E44:INDEX('Milho 1ª safra'!$E44:$Z44,MIN(AK$6-$G$3,22))),0)))))</f>
        <v>0</v>
      </c>
      <c r="AL46" s="27" t="n">
        <f aca="false">IF(COUNT('Milho 1ª safra'!$E44:$Z44)=0,0,MAX(0,IF((AL$6-$E$3)&lt;1,0,IFERROR(LOOKUP(2,1/('Milho 1ª safra'!$E44:INDEX('Milho 1ª safra'!$E44:$Z44,MIN(AL$6-$E$3,22))&lt;&gt;""),'Milho 1ª safra'!$E44:INDEX('Milho 1ª safra'!$E44:$Z44,MIN(AL$6-$E$3,22))),0))-IF($G$2,0,IF((AL$6-$G$3)&lt;1,0,IFERROR(LOOKUP(2,1/('Milho 1ª safra'!$E44:INDEX('Milho 1ª safra'!$E44:$Z44,MIN(AL$6-$G$3,22))&lt;&gt;""),'Milho 1ª safra'!$E44:INDEX('Milho 1ª safra'!$E44:$Z44,MIN(AL$6-$G$3,22))),0)))))</f>
        <v>0</v>
      </c>
      <c r="AM46" s="27" t="n">
        <f aca="false">IF(COUNT('Milho 1ª safra'!$E44:$Z44)=0,0,MAX(0,IF((AM$6-$E$3)&lt;1,0,IFERROR(LOOKUP(2,1/('Milho 1ª safra'!$E44:INDEX('Milho 1ª safra'!$E44:$Z44,MIN(AM$6-$E$3,22))&lt;&gt;""),'Milho 1ª safra'!$E44:INDEX('Milho 1ª safra'!$E44:$Z44,MIN(AM$6-$E$3,22))),0))-IF($G$2,0,IF((AM$6-$G$3)&lt;1,0,IFERROR(LOOKUP(2,1/('Milho 1ª safra'!$E44:INDEX('Milho 1ª safra'!$E44:$Z44,MIN(AM$6-$G$3,22))&lt;&gt;""),'Milho 1ª safra'!$E44:INDEX('Milho 1ª safra'!$E44:$Z44,MIN(AM$6-$G$3,22))),0)))))</f>
        <v>0</v>
      </c>
      <c r="AN46" s="27" t="n">
        <f aca="false">IF(COUNT('Milho 1ª safra'!$E44:$Z44)=0,0,MAX(0,IF((AN$6-$E$3)&lt;1,0,IFERROR(LOOKUP(2,1/('Milho 1ª safra'!$E44:INDEX('Milho 1ª safra'!$E44:$Z44,MIN(AN$6-$E$3,22))&lt;&gt;""),'Milho 1ª safra'!$E44:INDEX('Milho 1ª safra'!$E44:$Z44,MIN(AN$6-$E$3,22))),0))-IF($G$2,0,IF((AN$6-$G$3)&lt;1,0,IFERROR(LOOKUP(2,1/('Milho 1ª safra'!$E44:INDEX('Milho 1ª safra'!$E44:$Z44,MIN(AN$6-$G$3,22))&lt;&gt;""),'Milho 1ª safra'!$E44:INDEX('Milho 1ª safra'!$E44:$Z44,MIN(AN$6-$G$3,22))),0)))))</f>
        <v>0</v>
      </c>
      <c r="AO46" s="27" t="n">
        <f aca="false">IF(COUNT('Milho 1ª safra'!$E44:$Z44)=0,0,MAX(0,IF((AO$6-$E$3)&lt;1,0,IFERROR(LOOKUP(2,1/('Milho 1ª safra'!$E44:INDEX('Milho 1ª safra'!$E44:$Z44,MIN(AO$6-$E$3,22))&lt;&gt;""),'Milho 1ª safra'!$E44:INDEX('Milho 1ª safra'!$E44:$Z44,MIN(AO$6-$E$3,22))),0))-IF($G$2,0,IF((AO$6-$G$3)&lt;1,0,IFERROR(LOOKUP(2,1/('Milho 1ª safra'!$E44:INDEX('Milho 1ª safra'!$E44:$Z44,MIN(AO$6-$G$3,22))&lt;&gt;""),'Milho 1ª safra'!$E44:INDEX('Milho 1ª safra'!$E44:$Z44,MIN(AO$6-$G$3,22))),0)))))</f>
        <v>0</v>
      </c>
      <c r="AP46" s="27" t="n">
        <f aca="false">IF(COUNT('Milho 1ª safra'!$E44:$Z44)=0,0,MAX(0,IF((AP$6-$E$3)&lt;1,0,IFERROR(LOOKUP(2,1/('Milho 1ª safra'!$E44:INDEX('Milho 1ª safra'!$E44:$Z44,MIN(AP$6-$E$3,22))&lt;&gt;""),'Milho 1ª safra'!$E44:INDEX('Milho 1ª safra'!$E44:$Z44,MIN(AP$6-$E$3,22))),0))-IF($G$2,0,IF((AP$6-$G$3)&lt;1,0,IFERROR(LOOKUP(2,1/('Milho 1ª safra'!$E44:INDEX('Milho 1ª safra'!$E44:$Z44,MIN(AP$6-$G$3,22))&lt;&gt;""),'Milho 1ª safra'!$E44:INDEX('Milho 1ª safra'!$E44:$Z44,MIN(AP$6-$G$3,22))),0)))))</f>
        <v>0</v>
      </c>
      <c r="AQ46" s="27" t="n">
        <f aca="false">IF(COUNT('Milho 1ª safra'!$E44:$Z44)=0,0,MAX(0,IF((AQ$6-$E$3)&lt;1,0,IFERROR(LOOKUP(2,1/('Milho 1ª safra'!$E44:INDEX('Milho 1ª safra'!$E44:$Z44,MIN(AQ$6-$E$3,22))&lt;&gt;""),'Milho 1ª safra'!$E44:INDEX('Milho 1ª safra'!$E44:$Z44,MIN(AQ$6-$E$3,22))),0))-IF($G$2,0,IF((AQ$6-$G$3)&lt;1,0,IFERROR(LOOKUP(2,1/('Milho 1ª safra'!$E44:INDEX('Milho 1ª safra'!$E44:$Z44,MIN(AQ$6-$G$3,22))&lt;&gt;""),'Milho 1ª safra'!$E44:INDEX('Milho 1ª safra'!$E44:$Z44,MIN(AQ$6-$G$3,22))),0)))))</f>
        <v>0</v>
      </c>
      <c r="AR46" s="27" t="n">
        <f aca="false">IF(COUNT('Milho 1ª safra'!$E44:$Z44)=0,0,MAX(0,IF((AR$6-$E$3)&lt;1,0,IFERROR(LOOKUP(2,1/('Milho 1ª safra'!$E44:INDEX('Milho 1ª safra'!$E44:$Z44,MIN(AR$6-$E$3,22))&lt;&gt;""),'Milho 1ª safra'!$E44:INDEX('Milho 1ª safra'!$E44:$Z44,MIN(AR$6-$E$3,22))),0))-IF($G$2,0,IF((AR$6-$G$3)&lt;1,0,IFERROR(LOOKUP(2,1/('Milho 1ª safra'!$E44:INDEX('Milho 1ª safra'!$E44:$Z44,MIN(AR$6-$G$3,22))&lt;&gt;""),'Milho 1ª safra'!$E44:INDEX('Milho 1ª safra'!$E44:$Z44,MIN(AR$6-$G$3,22))),0)))))</f>
        <v>0</v>
      </c>
      <c r="AS46" s="27" t="n">
        <f aca="false">IF(COUNT('Milho 1ª safra'!$E44:$Z44)=0,0,MAX(0,IF((AS$6-$E$3)&lt;1,0,IFERROR(LOOKUP(2,1/('Milho 1ª safra'!$E44:INDEX('Milho 1ª safra'!$E44:$Z44,MIN(AS$6-$E$3,22))&lt;&gt;""),'Milho 1ª safra'!$E44:INDEX('Milho 1ª safra'!$E44:$Z44,MIN(AS$6-$E$3,22))),0))-IF($G$2,0,IF((AS$6-$G$3)&lt;1,0,IFERROR(LOOKUP(2,1/('Milho 1ª safra'!$E44:INDEX('Milho 1ª safra'!$E44:$Z44,MIN(AS$6-$G$3,22))&lt;&gt;""),'Milho 1ª safra'!$E44:INDEX('Milho 1ª safra'!$E44:$Z44,MIN(AS$6-$G$3,22))),0)))))</f>
        <v>0</v>
      </c>
      <c r="AT46" s="27" t="n">
        <f aca="false">IF(COUNT('Milho 1ª safra'!$E44:$Z44)=0,0,MAX(0,IF((AT$6-$E$3)&lt;1,0,IFERROR(LOOKUP(2,1/('Milho 1ª safra'!$E44:INDEX('Milho 1ª safra'!$E44:$Z44,MIN(AT$6-$E$3,22))&lt;&gt;""),'Milho 1ª safra'!$E44:INDEX('Milho 1ª safra'!$E44:$Z44,MIN(AT$6-$E$3,22))),0))-IF($G$2,0,IF((AT$6-$G$3)&lt;1,0,IFERROR(LOOKUP(2,1/('Milho 1ª safra'!$E44:INDEX('Milho 1ª safra'!$E44:$Z44,MIN(AT$6-$G$3,22))&lt;&gt;""),'Milho 1ª safra'!$E44:INDEX('Milho 1ª safra'!$E44:$Z44,MIN(AT$6-$G$3,22))),0)))))</f>
        <v>0</v>
      </c>
      <c r="AU46" s="27" t="n">
        <f aca="false">IF(COUNT('Milho 1ª safra'!$E44:$Z44)=0,0,MAX(0,IF((AU$6-$E$3)&lt;1,0,IFERROR(LOOKUP(2,1/('Milho 1ª safra'!$E44:INDEX('Milho 1ª safra'!$E44:$Z44,MIN(AU$6-$E$3,22))&lt;&gt;""),'Milho 1ª safra'!$E44:INDEX('Milho 1ª safra'!$E44:$Z44,MIN(AU$6-$E$3,22))),0))-IF($G$2,0,IF((AU$6-$G$3)&lt;1,0,IFERROR(LOOKUP(2,1/('Milho 1ª safra'!$E44:INDEX('Milho 1ª safra'!$E44:$Z44,MIN(AU$6-$G$3,22))&lt;&gt;""),'Milho 1ª safra'!$E44:INDEX('Milho 1ª safra'!$E44:$Z44,MIN(AU$6-$G$3,22))),0)))))</f>
        <v>0</v>
      </c>
      <c r="AV46" s="27" t="n">
        <f aca="false">IF(COUNT('Milho 1ª safra'!$E44:$Z44)=0,0,MAX(0,IF((AV$6-$E$3)&lt;1,0,IFERROR(LOOKUP(2,1/('Milho 1ª safra'!$E44:INDEX('Milho 1ª safra'!$E44:$Z44,MIN(AV$6-$E$3,22))&lt;&gt;""),'Milho 1ª safra'!$E44:INDEX('Milho 1ª safra'!$E44:$Z44,MIN(AV$6-$E$3,22))),0))-IF($G$2,0,IF((AV$6-$G$3)&lt;1,0,IFERROR(LOOKUP(2,1/('Milho 1ª safra'!$E44:INDEX('Milho 1ª safra'!$E44:$Z44,MIN(AV$6-$G$3,22))&lt;&gt;""),'Milho 1ª safra'!$E44:INDEX('Milho 1ª safra'!$E44:$Z44,MIN(AV$6-$G$3,22))),0)))))</f>
        <v>0</v>
      </c>
      <c r="AW46" s="27" t="n">
        <f aca="false">IF(COUNT('Milho 1ª safra'!$E44:$Z44)=0,0,MAX(0,IF((AW$6-$E$3)&lt;1,0,IFERROR(LOOKUP(2,1/('Milho 1ª safra'!$E44:INDEX('Milho 1ª safra'!$E44:$Z44,MIN(AW$6-$E$3,22))&lt;&gt;""),'Milho 1ª safra'!$E44:INDEX('Milho 1ª safra'!$E44:$Z44,MIN(AW$6-$E$3,22))),0))-IF($G$2,0,IF((AW$6-$G$3)&lt;1,0,IFERROR(LOOKUP(2,1/('Milho 1ª safra'!$E44:INDEX('Milho 1ª safra'!$E44:$Z44,MIN(AW$6-$G$3,22))&lt;&gt;""),'Milho 1ª safra'!$E44:INDEX('Milho 1ª safra'!$E44:$Z44,MIN(AW$6-$G$3,22))),0)))))</f>
        <v>0</v>
      </c>
      <c r="AX46" s="27" t="n">
        <f aca="false">IF(COUNT('Milho 1ª safra'!$E44:$Z44)=0,0,MAX(0,IF((AX$6-$E$3)&lt;1,0,IFERROR(LOOKUP(2,1/('Milho 1ª safra'!$E44:INDEX('Milho 1ª safra'!$E44:$Z44,MIN(AX$6-$E$3,22))&lt;&gt;""),'Milho 1ª safra'!$E44:INDEX('Milho 1ª safra'!$E44:$Z44,MIN(AX$6-$E$3,22))),0))-IF($G$2,0,IF((AX$6-$G$3)&lt;1,0,IFERROR(LOOKUP(2,1/('Milho 1ª safra'!$E44:INDEX('Milho 1ª safra'!$E44:$Z44,MIN(AX$6-$G$3,22))&lt;&gt;""),'Milho 1ª safra'!$E44:INDEX('Milho 1ª safra'!$E44:$Z44,MIN(AX$6-$G$3,22))),0)))))</f>
        <v>0</v>
      </c>
      <c r="AY46" s="27" t="n">
        <f aca="false">IF(COUNT('Milho 1ª safra'!$E44:$Z44)=0,0,MAX(0,IF((AY$6-$E$3)&lt;1,0,IFERROR(LOOKUP(2,1/('Milho 1ª safra'!$E44:INDEX('Milho 1ª safra'!$E44:$Z44,MIN(AY$6-$E$3,22))&lt;&gt;""),'Milho 1ª safra'!$E44:INDEX('Milho 1ª safra'!$E44:$Z44,MIN(AY$6-$E$3,22))),0))-IF($G$2,0,IF((AY$6-$G$3)&lt;1,0,IFERROR(LOOKUP(2,1/('Milho 1ª safra'!$E44:INDEX('Milho 1ª safra'!$E44:$Z44,MIN(AY$6-$G$3,22))&lt;&gt;""),'Milho 1ª safra'!$E44:INDEX('Milho 1ª safra'!$E44:$Z44,MIN(AY$6-$G$3,22))),0)))))</f>
        <v>0</v>
      </c>
      <c r="AZ46" s="27" t="n">
        <f aca="false">IF(COUNT('Milho 1ª safra'!$E44:$Z44)=0,0,MAX(0,IF((AZ$6-$E$3)&lt;1,0,IFERROR(LOOKUP(2,1/('Milho 1ª safra'!$E44:INDEX('Milho 1ª safra'!$E44:$Z44,MIN(AZ$6-$E$3,22))&lt;&gt;""),'Milho 1ª safra'!$E44:INDEX('Milho 1ª safra'!$E44:$Z44,MIN(AZ$6-$E$3,22))),0))-IF($G$2,0,IF((AZ$6-$G$3)&lt;1,0,IFERROR(LOOKUP(2,1/('Milho 1ª safra'!$E44:INDEX('Milho 1ª safra'!$E44:$Z44,MIN(AZ$6-$G$3,22))&lt;&gt;""),'Milho 1ª safra'!$E44:INDEX('Milho 1ª safra'!$E44:$Z44,MIN(AZ$6-$G$3,22))),0)))))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IF(COUNT('Milho 1ª safra'!$E45:$Z45)&gt;0,N('Milho 1ª safra'!$D45),0)</f>
        <v>0</v>
      </c>
      <c r="E47" s="27" t="n">
        <f aca="false">IF(COUNT('Milho 1ª safra'!$E45:$Z45)=0,0,MAX(0,IF((E$6-$E$3)&lt;1,0,IFERROR(LOOKUP(2,1/('Milho 1ª safra'!$E45:INDEX('Milho 1ª safra'!$E45:$Z45,MIN(E$6-$E$3,22))&lt;&gt;""),'Milho 1ª safra'!$E45:INDEX('Milho 1ª safra'!$E45:$Z45,MIN(E$6-$E$3,22))),0))-IF($G$2,0,IF((E$6-$G$3)&lt;1,0,IFERROR(LOOKUP(2,1/('Milho 1ª safra'!$E45:INDEX('Milho 1ª safra'!$E45:$Z45,MIN(E$6-$G$3,22))&lt;&gt;""),'Milho 1ª safra'!$E45:INDEX('Milho 1ª safra'!$E45:$Z45,MIN(E$6-$G$3,22))),0)))))</f>
        <v>0</v>
      </c>
      <c r="F47" s="27" t="n">
        <f aca="false">IF(COUNT('Milho 1ª safra'!$E45:$Z45)=0,0,MAX(0,IF((F$6-$E$3)&lt;1,0,IFERROR(LOOKUP(2,1/('Milho 1ª safra'!$E45:INDEX('Milho 1ª safra'!$E45:$Z45,MIN(F$6-$E$3,22))&lt;&gt;""),'Milho 1ª safra'!$E45:INDEX('Milho 1ª safra'!$E45:$Z45,MIN(F$6-$E$3,22))),0))-IF($G$2,0,IF((F$6-$G$3)&lt;1,0,IFERROR(LOOKUP(2,1/('Milho 1ª safra'!$E45:INDEX('Milho 1ª safra'!$E45:$Z45,MIN(F$6-$G$3,22))&lt;&gt;""),'Milho 1ª safra'!$E45:INDEX('Milho 1ª safra'!$E45:$Z45,MIN(F$6-$G$3,22))),0)))))</f>
        <v>0</v>
      </c>
      <c r="G47" s="27" t="n">
        <f aca="false">IF(COUNT('Milho 1ª safra'!$E45:$Z45)=0,0,MAX(0,IF((G$6-$E$3)&lt;1,0,IFERROR(LOOKUP(2,1/('Milho 1ª safra'!$E45:INDEX('Milho 1ª safra'!$E45:$Z45,MIN(G$6-$E$3,22))&lt;&gt;""),'Milho 1ª safra'!$E45:INDEX('Milho 1ª safra'!$E45:$Z45,MIN(G$6-$E$3,22))),0))-IF($G$2,0,IF((G$6-$G$3)&lt;1,0,IFERROR(LOOKUP(2,1/('Milho 1ª safra'!$E45:INDEX('Milho 1ª safra'!$E45:$Z45,MIN(G$6-$G$3,22))&lt;&gt;""),'Milho 1ª safra'!$E45:INDEX('Milho 1ª safra'!$E45:$Z45,MIN(G$6-$G$3,22))),0)))))</f>
        <v>0</v>
      </c>
      <c r="H47" s="27" t="n">
        <f aca="false">IF(COUNT('Milho 1ª safra'!$E45:$Z45)=0,0,MAX(0,IF((H$6-$E$3)&lt;1,0,IFERROR(LOOKUP(2,1/('Milho 1ª safra'!$E45:INDEX('Milho 1ª safra'!$E45:$Z45,MIN(H$6-$E$3,22))&lt;&gt;""),'Milho 1ª safra'!$E45:INDEX('Milho 1ª safra'!$E45:$Z45,MIN(H$6-$E$3,22))),0))-IF($G$2,0,IF((H$6-$G$3)&lt;1,0,IFERROR(LOOKUP(2,1/('Milho 1ª safra'!$E45:INDEX('Milho 1ª safra'!$E45:$Z45,MIN(H$6-$G$3,22))&lt;&gt;""),'Milho 1ª safra'!$E45:INDEX('Milho 1ª safra'!$E45:$Z45,MIN(H$6-$G$3,22))),0)))))</f>
        <v>0</v>
      </c>
      <c r="I47" s="27" t="n">
        <f aca="false">IF(COUNT('Milho 1ª safra'!$E45:$Z45)=0,0,MAX(0,IF((I$6-$E$3)&lt;1,0,IFERROR(LOOKUP(2,1/('Milho 1ª safra'!$E45:INDEX('Milho 1ª safra'!$E45:$Z45,MIN(I$6-$E$3,22))&lt;&gt;""),'Milho 1ª safra'!$E45:INDEX('Milho 1ª safra'!$E45:$Z45,MIN(I$6-$E$3,22))),0))-IF($G$2,0,IF((I$6-$G$3)&lt;1,0,IFERROR(LOOKUP(2,1/('Milho 1ª safra'!$E45:INDEX('Milho 1ª safra'!$E45:$Z45,MIN(I$6-$G$3,22))&lt;&gt;""),'Milho 1ª safra'!$E45:INDEX('Milho 1ª safra'!$E45:$Z45,MIN(I$6-$G$3,22))),0)))))</f>
        <v>0</v>
      </c>
      <c r="J47" s="27" t="n">
        <f aca="false">IF(COUNT('Milho 1ª safra'!$E45:$Z45)=0,0,MAX(0,IF((J$6-$E$3)&lt;1,0,IFERROR(LOOKUP(2,1/('Milho 1ª safra'!$E45:INDEX('Milho 1ª safra'!$E45:$Z45,MIN(J$6-$E$3,22))&lt;&gt;""),'Milho 1ª safra'!$E45:INDEX('Milho 1ª safra'!$E45:$Z45,MIN(J$6-$E$3,22))),0))-IF($G$2,0,IF((J$6-$G$3)&lt;1,0,IFERROR(LOOKUP(2,1/('Milho 1ª safra'!$E45:INDEX('Milho 1ª safra'!$E45:$Z45,MIN(J$6-$G$3,22))&lt;&gt;""),'Milho 1ª safra'!$E45:INDEX('Milho 1ª safra'!$E45:$Z45,MIN(J$6-$G$3,22))),0)))))</f>
        <v>0</v>
      </c>
      <c r="K47" s="27" t="n">
        <f aca="false">IF(COUNT('Milho 1ª safra'!$E45:$Z45)=0,0,MAX(0,IF((K$6-$E$3)&lt;1,0,IFERROR(LOOKUP(2,1/('Milho 1ª safra'!$E45:INDEX('Milho 1ª safra'!$E45:$Z45,MIN(K$6-$E$3,22))&lt;&gt;""),'Milho 1ª safra'!$E45:INDEX('Milho 1ª safra'!$E45:$Z45,MIN(K$6-$E$3,22))),0))-IF($G$2,0,IF((K$6-$G$3)&lt;1,0,IFERROR(LOOKUP(2,1/('Milho 1ª safra'!$E45:INDEX('Milho 1ª safra'!$E45:$Z45,MIN(K$6-$G$3,22))&lt;&gt;""),'Milho 1ª safra'!$E45:INDEX('Milho 1ª safra'!$E45:$Z45,MIN(K$6-$G$3,22))),0)))))</f>
        <v>0</v>
      </c>
      <c r="L47" s="27" t="n">
        <f aca="false">IF(COUNT('Milho 1ª safra'!$E45:$Z45)=0,0,MAX(0,IF((L$6-$E$3)&lt;1,0,IFERROR(LOOKUP(2,1/('Milho 1ª safra'!$E45:INDEX('Milho 1ª safra'!$E45:$Z45,MIN(L$6-$E$3,22))&lt;&gt;""),'Milho 1ª safra'!$E45:INDEX('Milho 1ª safra'!$E45:$Z45,MIN(L$6-$E$3,22))),0))-IF($G$2,0,IF((L$6-$G$3)&lt;1,0,IFERROR(LOOKUP(2,1/('Milho 1ª safra'!$E45:INDEX('Milho 1ª safra'!$E45:$Z45,MIN(L$6-$G$3,22))&lt;&gt;""),'Milho 1ª safra'!$E45:INDEX('Milho 1ª safra'!$E45:$Z45,MIN(L$6-$G$3,22))),0)))))</f>
        <v>0</v>
      </c>
      <c r="M47" s="27" t="n">
        <f aca="false">IF(COUNT('Milho 1ª safra'!$E45:$Z45)=0,0,MAX(0,IF((M$6-$E$3)&lt;1,0,IFERROR(LOOKUP(2,1/('Milho 1ª safra'!$E45:INDEX('Milho 1ª safra'!$E45:$Z45,MIN(M$6-$E$3,22))&lt;&gt;""),'Milho 1ª safra'!$E45:INDEX('Milho 1ª safra'!$E45:$Z45,MIN(M$6-$E$3,22))),0))-IF($G$2,0,IF((M$6-$G$3)&lt;1,0,IFERROR(LOOKUP(2,1/('Milho 1ª safra'!$E45:INDEX('Milho 1ª safra'!$E45:$Z45,MIN(M$6-$G$3,22))&lt;&gt;""),'Milho 1ª safra'!$E45:INDEX('Milho 1ª safra'!$E45:$Z45,MIN(M$6-$G$3,22))),0)))))</f>
        <v>0</v>
      </c>
      <c r="N47" s="27" t="n">
        <f aca="false">IF(COUNT('Milho 1ª safra'!$E45:$Z45)=0,0,MAX(0,IF((N$6-$E$3)&lt;1,0,IFERROR(LOOKUP(2,1/('Milho 1ª safra'!$E45:INDEX('Milho 1ª safra'!$E45:$Z45,MIN(N$6-$E$3,22))&lt;&gt;""),'Milho 1ª safra'!$E45:INDEX('Milho 1ª safra'!$E45:$Z45,MIN(N$6-$E$3,22))),0))-IF($G$2,0,IF((N$6-$G$3)&lt;1,0,IFERROR(LOOKUP(2,1/('Milho 1ª safra'!$E45:INDEX('Milho 1ª safra'!$E45:$Z45,MIN(N$6-$G$3,22))&lt;&gt;""),'Milho 1ª safra'!$E45:INDEX('Milho 1ª safra'!$E45:$Z45,MIN(N$6-$G$3,22))),0)))))</f>
        <v>0</v>
      </c>
      <c r="O47" s="27" t="n">
        <f aca="false">IF(COUNT('Milho 1ª safra'!$E45:$Z45)=0,0,MAX(0,IF((O$6-$E$3)&lt;1,0,IFERROR(LOOKUP(2,1/('Milho 1ª safra'!$E45:INDEX('Milho 1ª safra'!$E45:$Z45,MIN(O$6-$E$3,22))&lt;&gt;""),'Milho 1ª safra'!$E45:INDEX('Milho 1ª safra'!$E45:$Z45,MIN(O$6-$E$3,22))),0))-IF($G$2,0,IF((O$6-$G$3)&lt;1,0,IFERROR(LOOKUP(2,1/('Milho 1ª safra'!$E45:INDEX('Milho 1ª safra'!$E45:$Z45,MIN(O$6-$G$3,22))&lt;&gt;""),'Milho 1ª safra'!$E45:INDEX('Milho 1ª safra'!$E45:$Z45,MIN(O$6-$G$3,22))),0)))))</f>
        <v>0</v>
      </c>
      <c r="P47" s="27" t="n">
        <f aca="false">IF(COUNT('Milho 1ª safra'!$E45:$Z45)=0,0,MAX(0,IF((P$6-$E$3)&lt;1,0,IFERROR(LOOKUP(2,1/('Milho 1ª safra'!$E45:INDEX('Milho 1ª safra'!$E45:$Z45,MIN(P$6-$E$3,22))&lt;&gt;""),'Milho 1ª safra'!$E45:INDEX('Milho 1ª safra'!$E45:$Z45,MIN(P$6-$E$3,22))),0))-IF($G$2,0,IF((P$6-$G$3)&lt;1,0,IFERROR(LOOKUP(2,1/('Milho 1ª safra'!$E45:INDEX('Milho 1ª safra'!$E45:$Z45,MIN(P$6-$G$3,22))&lt;&gt;""),'Milho 1ª safra'!$E45:INDEX('Milho 1ª safra'!$E45:$Z45,MIN(P$6-$G$3,22))),0)))))</f>
        <v>0</v>
      </c>
      <c r="Q47" s="27" t="n">
        <f aca="false">IF(COUNT('Milho 1ª safra'!$E45:$Z45)=0,0,MAX(0,IF((Q$6-$E$3)&lt;1,0,IFERROR(LOOKUP(2,1/('Milho 1ª safra'!$E45:INDEX('Milho 1ª safra'!$E45:$Z45,MIN(Q$6-$E$3,22))&lt;&gt;""),'Milho 1ª safra'!$E45:INDEX('Milho 1ª safra'!$E45:$Z45,MIN(Q$6-$E$3,22))),0))-IF($G$2,0,IF((Q$6-$G$3)&lt;1,0,IFERROR(LOOKUP(2,1/('Milho 1ª safra'!$E45:INDEX('Milho 1ª safra'!$E45:$Z45,MIN(Q$6-$G$3,22))&lt;&gt;""),'Milho 1ª safra'!$E45:INDEX('Milho 1ª safra'!$E45:$Z45,MIN(Q$6-$G$3,22))),0)))))</f>
        <v>0</v>
      </c>
      <c r="R47" s="27" t="n">
        <f aca="false">IF(COUNT('Milho 1ª safra'!$E45:$Z45)=0,0,MAX(0,IF((R$6-$E$3)&lt;1,0,IFERROR(LOOKUP(2,1/('Milho 1ª safra'!$E45:INDEX('Milho 1ª safra'!$E45:$Z45,MIN(R$6-$E$3,22))&lt;&gt;""),'Milho 1ª safra'!$E45:INDEX('Milho 1ª safra'!$E45:$Z45,MIN(R$6-$E$3,22))),0))-IF($G$2,0,IF((R$6-$G$3)&lt;1,0,IFERROR(LOOKUP(2,1/('Milho 1ª safra'!$E45:INDEX('Milho 1ª safra'!$E45:$Z45,MIN(R$6-$G$3,22))&lt;&gt;""),'Milho 1ª safra'!$E45:INDEX('Milho 1ª safra'!$E45:$Z45,MIN(R$6-$G$3,22))),0)))))</f>
        <v>0</v>
      </c>
      <c r="S47" s="27" t="n">
        <f aca="false">IF(COUNT('Milho 1ª safra'!$E45:$Z45)=0,0,MAX(0,IF((S$6-$E$3)&lt;1,0,IFERROR(LOOKUP(2,1/('Milho 1ª safra'!$E45:INDEX('Milho 1ª safra'!$E45:$Z45,MIN(S$6-$E$3,22))&lt;&gt;""),'Milho 1ª safra'!$E45:INDEX('Milho 1ª safra'!$E45:$Z45,MIN(S$6-$E$3,22))),0))-IF($G$2,0,IF((S$6-$G$3)&lt;1,0,IFERROR(LOOKUP(2,1/('Milho 1ª safra'!$E45:INDEX('Milho 1ª safra'!$E45:$Z45,MIN(S$6-$G$3,22))&lt;&gt;""),'Milho 1ª safra'!$E45:INDEX('Milho 1ª safra'!$E45:$Z45,MIN(S$6-$G$3,22))),0)))))</f>
        <v>0</v>
      </c>
      <c r="T47" s="27" t="n">
        <f aca="false">IF(COUNT('Milho 1ª safra'!$E45:$Z45)=0,0,MAX(0,IF((T$6-$E$3)&lt;1,0,IFERROR(LOOKUP(2,1/('Milho 1ª safra'!$E45:INDEX('Milho 1ª safra'!$E45:$Z45,MIN(T$6-$E$3,22))&lt;&gt;""),'Milho 1ª safra'!$E45:INDEX('Milho 1ª safra'!$E45:$Z45,MIN(T$6-$E$3,22))),0))-IF($G$2,0,IF((T$6-$G$3)&lt;1,0,IFERROR(LOOKUP(2,1/('Milho 1ª safra'!$E45:INDEX('Milho 1ª safra'!$E45:$Z45,MIN(T$6-$G$3,22))&lt;&gt;""),'Milho 1ª safra'!$E45:INDEX('Milho 1ª safra'!$E45:$Z45,MIN(T$6-$G$3,22))),0)))))</f>
        <v>0</v>
      </c>
      <c r="U47" s="27" t="n">
        <f aca="false">IF(COUNT('Milho 1ª safra'!$E45:$Z45)=0,0,MAX(0,IF((U$6-$E$3)&lt;1,0,IFERROR(LOOKUP(2,1/('Milho 1ª safra'!$E45:INDEX('Milho 1ª safra'!$E45:$Z45,MIN(U$6-$E$3,22))&lt;&gt;""),'Milho 1ª safra'!$E45:INDEX('Milho 1ª safra'!$E45:$Z45,MIN(U$6-$E$3,22))),0))-IF($G$2,0,IF((U$6-$G$3)&lt;1,0,IFERROR(LOOKUP(2,1/('Milho 1ª safra'!$E45:INDEX('Milho 1ª safra'!$E45:$Z45,MIN(U$6-$G$3,22))&lt;&gt;""),'Milho 1ª safra'!$E45:INDEX('Milho 1ª safra'!$E45:$Z45,MIN(U$6-$G$3,22))),0)))))</f>
        <v>0</v>
      </c>
      <c r="V47" s="27" t="n">
        <f aca="false">IF(COUNT('Milho 1ª safra'!$E45:$Z45)=0,0,MAX(0,IF((V$6-$E$3)&lt;1,0,IFERROR(LOOKUP(2,1/('Milho 1ª safra'!$E45:INDEX('Milho 1ª safra'!$E45:$Z45,MIN(V$6-$E$3,22))&lt;&gt;""),'Milho 1ª safra'!$E45:INDEX('Milho 1ª safra'!$E45:$Z45,MIN(V$6-$E$3,22))),0))-IF($G$2,0,IF((V$6-$G$3)&lt;1,0,IFERROR(LOOKUP(2,1/('Milho 1ª safra'!$E45:INDEX('Milho 1ª safra'!$E45:$Z45,MIN(V$6-$G$3,22))&lt;&gt;""),'Milho 1ª safra'!$E45:INDEX('Milho 1ª safra'!$E45:$Z45,MIN(V$6-$G$3,22))),0)))))</f>
        <v>0</v>
      </c>
      <c r="W47" s="27" t="n">
        <f aca="false">IF(COUNT('Milho 1ª safra'!$E45:$Z45)=0,0,MAX(0,IF((W$6-$E$3)&lt;1,0,IFERROR(LOOKUP(2,1/('Milho 1ª safra'!$E45:INDEX('Milho 1ª safra'!$E45:$Z45,MIN(W$6-$E$3,22))&lt;&gt;""),'Milho 1ª safra'!$E45:INDEX('Milho 1ª safra'!$E45:$Z45,MIN(W$6-$E$3,22))),0))-IF($G$2,0,IF((W$6-$G$3)&lt;1,0,IFERROR(LOOKUP(2,1/('Milho 1ª safra'!$E45:INDEX('Milho 1ª safra'!$E45:$Z45,MIN(W$6-$G$3,22))&lt;&gt;""),'Milho 1ª safra'!$E45:INDEX('Milho 1ª safra'!$E45:$Z45,MIN(W$6-$G$3,22))),0)))))</f>
        <v>0</v>
      </c>
      <c r="X47" s="27" t="n">
        <f aca="false">IF(COUNT('Milho 1ª safra'!$E45:$Z45)=0,0,MAX(0,IF((X$6-$E$3)&lt;1,0,IFERROR(LOOKUP(2,1/('Milho 1ª safra'!$E45:INDEX('Milho 1ª safra'!$E45:$Z45,MIN(X$6-$E$3,22))&lt;&gt;""),'Milho 1ª safra'!$E45:INDEX('Milho 1ª safra'!$E45:$Z45,MIN(X$6-$E$3,22))),0))-IF($G$2,0,IF((X$6-$G$3)&lt;1,0,IFERROR(LOOKUP(2,1/('Milho 1ª safra'!$E45:INDEX('Milho 1ª safra'!$E45:$Z45,MIN(X$6-$G$3,22))&lt;&gt;""),'Milho 1ª safra'!$E45:INDEX('Milho 1ª safra'!$E45:$Z45,MIN(X$6-$G$3,22))),0)))))</f>
        <v>0</v>
      </c>
      <c r="Y47" s="27" t="n">
        <f aca="false">IF(COUNT('Milho 1ª safra'!$E45:$Z45)=0,0,MAX(0,IF((Y$6-$E$3)&lt;1,0,IFERROR(LOOKUP(2,1/('Milho 1ª safra'!$E45:INDEX('Milho 1ª safra'!$E45:$Z45,MIN(Y$6-$E$3,22))&lt;&gt;""),'Milho 1ª safra'!$E45:INDEX('Milho 1ª safra'!$E45:$Z45,MIN(Y$6-$E$3,22))),0))-IF($G$2,0,IF((Y$6-$G$3)&lt;1,0,IFERROR(LOOKUP(2,1/('Milho 1ª safra'!$E45:INDEX('Milho 1ª safra'!$E45:$Z45,MIN(Y$6-$G$3,22))&lt;&gt;""),'Milho 1ª safra'!$E45:INDEX('Milho 1ª safra'!$E45:$Z45,MIN(Y$6-$G$3,22))),0)))))</f>
        <v>0</v>
      </c>
      <c r="Z47" s="27" t="n">
        <f aca="false">IF(COUNT('Milho 1ª safra'!$E45:$Z45)=0,0,MAX(0,IF((Z$6-$E$3)&lt;1,0,IFERROR(LOOKUP(2,1/('Milho 1ª safra'!$E45:INDEX('Milho 1ª safra'!$E45:$Z45,MIN(Z$6-$E$3,22))&lt;&gt;""),'Milho 1ª safra'!$E45:INDEX('Milho 1ª safra'!$E45:$Z45,MIN(Z$6-$E$3,22))),0))-IF($G$2,0,IF((Z$6-$G$3)&lt;1,0,IFERROR(LOOKUP(2,1/('Milho 1ª safra'!$E45:INDEX('Milho 1ª safra'!$E45:$Z45,MIN(Z$6-$G$3,22))&lt;&gt;""),'Milho 1ª safra'!$E45:INDEX('Milho 1ª safra'!$E45:$Z45,MIN(Z$6-$G$3,22))),0)))))</f>
        <v>0</v>
      </c>
      <c r="AA47" s="27" t="n">
        <f aca="false">IF(COUNT('Milho 1ª safra'!$E45:$Z45)=0,0,MAX(0,IF((AA$6-$E$3)&lt;1,0,IFERROR(LOOKUP(2,1/('Milho 1ª safra'!$E45:INDEX('Milho 1ª safra'!$E45:$Z45,MIN(AA$6-$E$3,22))&lt;&gt;""),'Milho 1ª safra'!$E45:INDEX('Milho 1ª safra'!$E45:$Z45,MIN(AA$6-$E$3,22))),0))-IF($G$2,0,IF((AA$6-$G$3)&lt;1,0,IFERROR(LOOKUP(2,1/('Milho 1ª safra'!$E45:INDEX('Milho 1ª safra'!$E45:$Z45,MIN(AA$6-$G$3,22))&lt;&gt;""),'Milho 1ª safra'!$E45:INDEX('Milho 1ª safra'!$E45:$Z45,MIN(AA$6-$G$3,22))),0)))))</f>
        <v>0</v>
      </c>
      <c r="AB47" s="27" t="n">
        <f aca="false">IF(COUNT('Milho 1ª safra'!$E45:$Z45)=0,0,MAX(0,IF((AB$6-$E$3)&lt;1,0,IFERROR(LOOKUP(2,1/('Milho 1ª safra'!$E45:INDEX('Milho 1ª safra'!$E45:$Z45,MIN(AB$6-$E$3,22))&lt;&gt;""),'Milho 1ª safra'!$E45:INDEX('Milho 1ª safra'!$E45:$Z45,MIN(AB$6-$E$3,22))),0))-IF($G$2,0,IF((AB$6-$G$3)&lt;1,0,IFERROR(LOOKUP(2,1/('Milho 1ª safra'!$E45:INDEX('Milho 1ª safra'!$E45:$Z45,MIN(AB$6-$G$3,22))&lt;&gt;""),'Milho 1ª safra'!$E45:INDEX('Milho 1ª safra'!$E45:$Z45,MIN(AB$6-$G$3,22))),0)))))</f>
        <v>0</v>
      </c>
      <c r="AC47" s="27" t="n">
        <f aca="false">IF(COUNT('Milho 1ª safra'!$E45:$Z45)=0,0,MAX(0,IF((AC$6-$E$3)&lt;1,0,IFERROR(LOOKUP(2,1/('Milho 1ª safra'!$E45:INDEX('Milho 1ª safra'!$E45:$Z45,MIN(AC$6-$E$3,22))&lt;&gt;""),'Milho 1ª safra'!$E45:INDEX('Milho 1ª safra'!$E45:$Z45,MIN(AC$6-$E$3,22))),0))-IF($G$2,0,IF((AC$6-$G$3)&lt;1,0,IFERROR(LOOKUP(2,1/('Milho 1ª safra'!$E45:INDEX('Milho 1ª safra'!$E45:$Z45,MIN(AC$6-$G$3,22))&lt;&gt;""),'Milho 1ª safra'!$E45:INDEX('Milho 1ª safra'!$E45:$Z45,MIN(AC$6-$G$3,22))),0)))))</f>
        <v>0</v>
      </c>
      <c r="AD47" s="27" t="n">
        <f aca="false">IF(COUNT('Milho 1ª safra'!$E45:$Z45)=0,0,MAX(0,IF((AD$6-$E$3)&lt;1,0,IFERROR(LOOKUP(2,1/('Milho 1ª safra'!$E45:INDEX('Milho 1ª safra'!$E45:$Z45,MIN(AD$6-$E$3,22))&lt;&gt;""),'Milho 1ª safra'!$E45:INDEX('Milho 1ª safra'!$E45:$Z45,MIN(AD$6-$E$3,22))),0))-IF($G$2,0,IF((AD$6-$G$3)&lt;1,0,IFERROR(LOOKUP(2,1/('Milho 1ª safra'!$E45:INDEX('Milho 1ª safra'!$E45:$Z45,MIN(AD$6-$G$3,22))&lt;&gt;""),'Milho 1ª safra'!$E45:INDEX('Milho 1ª safra'!$E45:$Z45,MIN(AD$6-$G$3,22))),0)))))</f>
        <v>0</v>
      </c>
      <c r="AE47" s="27" t="n">
        <f aca="false">IF(COUNT('Milho 1ª safra'!$E45:$Z45)=0,0,MAX(0,IF((AE$6-$E$3)&lt;1,0,IFERROR(LOOKUP(2,1/('Milho 1ª safra'!$E45:INDEX('Milho 1ª safra'!$E45:$Z45,MIN(AE$6-$E$3,22))&lt;&gt;""),'Milho 1ª safra'!$E45:INDEX('Milho 1ª safra'!$E45:$Z45,MIN(AE$6-$E$3,22))),0))-IF($G$2,0,IF((AE$6-$G$3)&lt;1,0,IFERROR(LOOKUP(2,1/('Milho 1ª safra'!$E45:INDEX('Milho 1ª safra'!$E45:$Z45,MIN(AE$6-$G$3,22))&lt;&gt;""),'Milho 1ª safra'!$E45:INDEX('Milho 1ª safra'!$E45:$Z45,MIN(AE$6-$G$3,22))),0)))))</f>
        <v>0</v>
      </c>
      <c r="AF47" s="27" t="n">
        <f aca="false">IF(COUNT('Milho 1ª safra'!$E45:$Z45)=0,0,MAX(0,IF((AF$6-$E$3)&lt;1,0,IFERROR(LOOKUP(2,1/('Milho 1ª safra'!$E45:INDEX('Milho 1ª safra'!$E45:$Z45,MIN(AF$6-$E$3,22))&lt;&gt;""),'Milho 1ª safra'!$E45:INDEX('Milho 1ª safra'!$E45:$Z45,MIN(AF$6-$E$3,22))),0))-IF($G$2,0,IF((AF$6-$G$3)&lt;1,0,IFERROR(LOOKUP(2,1/('Milho 1ª safra'!$E45:INDEX('Milho 1ª safra'!$E45:$Z45,MIN(AF$6-$G$3,22))&lt;&gt;""),'Milho 1ª safra'!$E45:INDEX('Milho 1ª safra'!$E45:$Z45,MIN(AF$6-$G$3,22))),0)))))</f>
        <v>0</v>
      </c>
      <c r="AG47" s="27" t="n">
        <f aca="false">IF(COUNT('Milho 1ª safra'!$E45:$Z45)=0,0,MAX(0,IF((AG$6-$E$3)&lt;1,0,IFERROR(LOOKUP(2,1/('Milho 1ª safra'!$E45:INDEX('Milho 1ª safra'!$E45:$Z45,MIN(AG$6-$E$3,22))&lt;&gt;""),'Milho 1ª safra'!$E45:INDEX('Milho 1ª safra'!$E45:$Z45,MIN(AG$6-$E$3,22))),0))-IF($G$2,0,IF((AG$6-$G$3)&lt;1,0,IFERROR(LOOKUP(2,1/('Milho 1ª safra'!$E45:INDEX('Milho 1ª safra'!$E45:$Z45,MIN(AG$6-$G$3,22))&lt;&gt;""),'Milho 1ª safra'!$E45:INDEX('Milho 1ª safra'!$E45:$Z45,MIN(AG$6-$G$3,22))),0)))))</f>
        <v>0</v>
      </c>
      <c r="AH47" s="27" t="n">
        <f aca="false">IF(COUNT('Milho 1ª safra'!$E45:$Z45)=0,0,MAX(0,IF((AH$6-$E$3)&lt;1,0,IFERROR(LOOKUP(2,1/('Milho 1ª safra'!$E45:INDEX('Milho 1ª safra'!$E45:$Z45,MIN(AH$6-$E$3,22))&lt;&gt;""),'Milho 1ª safra'!$E45:INDEX('Milho 1ª safra'!$E45:$Z45,MIN(AH$6-$E$3,22))),0))-IF($G$2,0,IF((AH$6-$G$3)&lt;1,0,IFERROR(LOOKUP(2,1/('Milho 1ª safra'!$E45:INDEX('Milho 1ª safra'!$E45:$Z45,MIN(AH$6-$G$3,22))&lt;&gt;""),'Milho 1ª safra'!$E45:INDEX('Milho 1ª safra'!$E45:$Z45,MIN(AH$6-$G$3,22))),0)))))</f>
        <v>0</v>
      </c>
      <c r="AI47" s="27" t="n">
        <f aca="false">IF(COUNT('Milho 1ª safra'!$E45:$Z45)=0,0,MAX(0,IF((AI$6-$E$3)&lt;1,0,IFERROR(LOOKUP(2,1/('Milho 1ª safra'!$E45:INDEX('Milho 1ª safra'!$E45:$Z45,MIN(AI$6-$E$3,22))&lt;&gt;""),'Milho 1ª safra'!$E45:INDEX('Milho 1ª safra'!$E45:$Z45,MIN(AI$6-$E$3,22))),0))-IF($G$2,0,IF((AI$6-$G$3)&lt;1,0,IFERROR(LOOKUP(2,1/('Milho 1ª safra'!$E45:INDEX('Milho 1ª safra'!$E45:$Z45,MIN(AI$6-$G$3,22))&lt;&gt;""),'Milho 1ª safra'!$E45:INDEX('Milho 1ª safra'!$E45:$Z45,MIN(AI$6-$G$3,22))),0)))))</f>
        <v>0</v>
      </c>
      <c r="AJ47" s="27" t="n">
        <f aca="false">IF(COUNT('Milho 1ª safra'!$E45:$Z45)=0,0,MAX(0,IF((AJ$6-$E$3)&lt;1,0,IFERROR(LOOKUP(2,1/('Milho 1ª safra'!$E45:INDEX('Milho 1ª safra'!$E45:$Z45,MIN(AJ$6-$E$3,22))&lt;&gt;""),'Milho 1ª safra'!$E45:INDEX('Milho 1ª safra'!$E45:$Z45,MIN(AJ$6-$E$3,22))),0))-IF($G$2,0,IF((AJ$6-$G$3)&lt;1,0,IFERROR(LOOKUP(2,1/('Milho 1ª safra'!$E45:INDEX('Milho 1ª safra'!$E45:$Z45,MIN(AJ$6-$G$3,22))&lt;&gt;""),'Milho 1ª safra'!$E45:INDEX('Milho 1ª safra'!$E45:$Z45,MIN(AJ$6-$G$3,22))),0)))))</f>
        <v>0</v>
      </c>
      <c r="AK47" s="27" t="n">
        <f aca="false">IF(COUNT('Milho 1ª safra'!$E45:$Z45)=0,0,MAX(0,IF((AK$6-$E$3)&lt;1,0,IFERROR(LOOKUP(2,1/('Milho 1ª safra'!$E45:INDEX('Milho 1ª safra'!$E45:$Z45,MIN(AK$6-$E$3,22))&lt;&gt;""),'Milho 1ª safra'!$E45:INDEX('Milho 1ª safra'!$E45:$Z45,MIN(AK$6-$E$3,22))),0))-IF($G$2,0,IF((AK$6-$G$3)&lt;1,0,IFERROR(LOOKUP(2,1/('Milho 1ª safra'!$E45:INDEX('Milho 1ª safra'!$E45:$Z45,MIN(AK$6-$G$3,22))&lt;&gt;""),'Milho 1ª safra'!$E45:INDEX('Milho 1ª safra'!$E45:$Z45,MIN(AK$6-$G$3,22))),0)))))</f>
        <v>0</v>
      </c>
      <c r="AL47" s="27" t="n">
        <f aca="false">IF(COUNT('Milho 1ª safra'!$E45:$Z45)=0,0,MAX(0,IF((AL$6-$E$3)&lt;1,0,IFERROR(LOOKUP(2,1/('Milho 1ª safra'!$E45:INDEX('Milho 1ª safra'!$E45:$Z45,MIN(AL$6-$E$3,22))&lt;&gt;""),'Milho 1ª safra'!$E45:INDEX('Milho 1ª safra'!$E45:$Z45,MIN(AL$6-$E$3,22))),0))-IF($G$2,0,IF((AL$6-$G$3)&lt;1,0,IFERROR(LOOKUP(2,1/('Milho 1ª safra'!$E45:INDEX('Milho 1ª safra'!$E45:$Z45,MIN(AL$6-$G$3,22))&lt;&gt;""),'Milho 1ª safra'!$E45:INDEX('Milho 1ª safra'!$E45:$Z45,MIN(AL$6-$G$3,22))),0)))))</f>
        <v>0</v>
      </c>
      <c r="AM47" s="27" t="n">
        <f aca="false">IF(COUNT('Milho 1ª safra'!$E45:$Z45)=0,0,MAX(0,IF((AM$6-$E$3)&lt;1,0,IFERROR(LOOKUP(2,1/('Milho 1ª safra'!$E45:INDEX('Milho 1ª safra'!$E45:$Z45,MIN(AM$6-$E$3,22))&lt;&gt;""),'Milho 1ª safra'!$E45:INDEX('Milho 1ª safra'!$E45:$Z45,MIN(AM$6-$E$3,22))),0))-IF($G$2,0,IF((AM$6-$G$3)&lt;1,0,IFERROR(LOOKUP(2,1/('Milho 1ª safra'!$E45:INDEX('Milho 1ª safra'!$E45:$Z45,MIN(AM$6-$G$3,22))&lt;&gt;""),'Milho 1ª safra'!$E45:INDEX('Milho 1ª safra'!$E45:$Z45,MIN(AM$6-$G$3,22))),0)))))</f>
        <v>0</v>
      </c>
      <c r="AN47" s="27" t="n">
        <f aca="false">IF(COUNT('Milho 1ª safra'!$E45:$Z45)=0,0,MAX(0,IF((AN$6-$E$3)&lt;1,0,IFERROR(LOOKUP(2,1/('Milho 1ª safra'!$E45:INDEX('Milho 1ª safra'!$E45:$Z45,MIN(AN$6-$E$3,22))&lt;&gt;""),'Milho 1ª safra'!$E45:INDEX('Milho 1ª safra'!$E45:$Z45,MIN(AN$6-$E$3,22))),0))-IF($G$2,0,IF((AN$6-$G$3)&lt;1,0,IFERROR(LOOKUP(2,1/('Milho 1ª safra'!$E45:INDEX('Milho 1ª safra'!$E45:$Z45,MIN(AN$6-$G$3,22))&lt;&gt;""),'Milho 1ª safra'!$E45:INDEX('Milho 1ª safra'!$E45:$Z45,MIN(AN$6-$G$3,22))),0)))))</f>
        <v>0</v>
      </c>
      <c r="AO47" s="27" t="n">
        <f aca="false">IF(COUNT('Milho 1ª safra'!$E45:$Z45)=0,0,MAX(0,IF((AO$6-$E$3)&lt;1,0,IFERROR(LOOKUP(2,1/('Milho 1ª safra'!$E45:INDEX('Milho 1ª safra'!$E45:$Z45,MIN(AO$6-$E$3,22))&lt;&gt;""),'Milho 1ª safra'!$E45:INDEX('Milho 1ª safra'!$E45:$Z45,MIN(AO$6-$E$3,22))),0))-IF($G$2,0,IF((AO$6-$G$3)&lt;1,0,IFERROR(LOOKUP(2,1/('Milho 1ª safra'!$E45:INDEX('Milho 1ª safra'!$E45:$Z45,MIN(AO$6-$G$3,22))&lt;&gt;""),'Milho 1ª safra'!$E45:INDEX('Milho 1ª safra'!$E45:$Z45,MIN(AO$6-$G$3,22))),0)))))</f>
        <v>0</v>
      </c>
      <c r="AP47" s="27" t="n">
        <f aca="false">IF(COUNT('Milho 1ª safra'!$E45:$Z45)=0,0,MAX(0,IF((AP$6-$E$3)&lt;1,0,IFERROR(LOOKUP(2,1/('Milho 1ª safra'!$E45:INDEX('Milho 1ª safra'!$E45:$Z45,MIN(AP$6-$E$3,22))&lt;&gt;""),'Milho 1ª safra'!$E45:INDEX('Milho 1ª safra'!$E45:$Z45,MIN(AP$6-$E$3,22))),0))-IF($G$2,0,IF((AP$6-$G$3)&lt;1,0,IFERROR(LOOKUP(2,1/('Milho 1ª safra'!$E45:INDEX('Milho 1ª safra'!$E45:$Z45,MIN(AP$6-$G$3,22))&lt;&gt;""),'Milho 1ª safra'!$E45:INDEX('Milho 1ª safra'!$E45:$Z45,MIN(AP$6-$G$3,22))),0)))))</f>
        <v>0</v>
      </c>
      <c r="AQ47" s="27" t="n">
        <f aca="false">IF(COUNT('Milho 1ª safra'!$E45:$Z45)=0,0,MAX(0,IF((AQ$6-$E$3)&lt;1,0,IFERROR(LOOKUP(2,1/('Milho 1ª safra'!$E45:INDEX('Milho 1ª safra'!$E45:$Z45,MIN(AQ$6-$E$3,22))&lt;&gt;""),'Milho 1ª safra'!$E45:INDEX('Milho 1ª safra'!$E45:$Z45,MIN(AQ$6-$E$3,22))),0))-IF($G$2,0,IF((AQ$6-$G$3)&lt;1,0,IFERROR(LOOKUP(2,1/('Milho 1ª safra'!$E45:INDEX('Milho 1ª safra'!$E45:$Z45,MIN(AQ$6-$G$3,22))&lt;&gt;""),'Milho 1ª safra'!$E45:INDEX('Milho 1ª safra'!$E45:$Z45,MIN(AQ$6-$G$3,22))),0)))))</f>
        <v>0</v>
      </c>
      <c r="AR47" s="27" t="n">
        <f aca="false">IF(COUNT('Milho 1ª safra'!$E45:$Z45)=0,0,MAX(0,IF((AR$6-$E$3)&lt;1,0,IFERROR(LOOKUP(2,1/('Milho 1ª safra'!$E45:INDEX('Milho 1ª safra'!$E45:$Z45,MIN(AR$6-$E$3,22))&lt;&gt;""),'Milho 1ª safra'!$E45:INDEX('Milho 1ª safra'!$E45:$Z45,MIN(AR$6-$E$3,22))),0))-IF($G$2,0,IF((AR$6-$G$3)&lt;1,0,IFERROR(LOOKUP(2,1/('Milho 1ª safra'!$E45:INDEX('Milho 1ª safra'!$E45:$Z45,MIN(AR$6-$G$3,22))&lt;&gt;""),'Milho 1ª safra'!$E45:INDEX('Milho 1ª safra'!$E45:$Z45,MIN(AR$6-$G$3,22))),0)))))</f>
        <v>0</v>
      </c>
      <c r="AS47" s="27" t="n">
        <f aca="false">IF(COUNT('Milho 1ª safra'!$E45:$Z45)=0,0,MAX(0,IF((AS$6-$E$3)&lt;1,0,IFERROR(LOOKUP(2,1/('Milho 1ª safra'!$E45:INDEX('Milho 1ª safra'!$E45:$Z45,MIN(AS$6-$E$3,22))&lt;&gt;""),'Milho 1ª safra'!$E45:INDEX('Milho 1ª safra'!$E45:$Z45,MIN(AS$6-$E$3,22))),0))-IF($G$2,0,IF((AS$6-$G$3)&lt;1,0,IFERROR(LOOKUP(2,1/('Milho 1ª safra'!$E45:INDEX('Milho 1ª safra'!$E45:$Z45,MIN(AS$6-$G$3,22))&lt;&gt;""),'Milho 1ª safra'!$E45:INDEX('Milho 1ª safra'!$E45:$Z45,MIN(AS$6-$G$3,22))),0)))))</f>
        <v>0</v>
      </c>
      <c r="AT47" s="27" t="n">
        <f aca="false">IF(COUNT('Milho 1ª safra'!$E45:$Z45)=0,0,MAX(0,IF((AT$6-$E$3)&lt;1,0,IFERROR(LOOKUP(2,1/('Milho 1ª safra'!$E45:INDEX('Milho 1ª safra'!$E45:$Z45,MIN(AT$6-$E$3,22))&lt;&gt;""),'Milho 1ª safra'!$E45:INDEX('Milho 1ª safra'!$E45:$Z45,MIN(AT$6-$E$3,22))),0))-IF($G$2,0,IF((AT$6-$G$3)&lt;1,0,IFERROR(LOOKUP(2,1/('Milho 1ª safra'!$E45:INDEX('Milho 1ª safra'!$E45:$Z45,MIN(AT$6-$G$3,22))&lt;&gt;""),'Milho 1ª safra'!$E45:INDEX('Milho 1ª safra'!$E45:$Z45,MIN(AT$6-$G$3,22))),0)))))</f>
        <v>0</v>
      </c>
      <c r="AU47" s="27" t="n">
        <f aca="false">IF(COUNT('Milho 1ª safra'!$E45:$Z45)=0,0,MAX(0,IF((AU$6-$E$3)&lt;1,0,IFERROR(LOOKUP(2,1/('Milho 1ª safra'!$E45:INDEX('Milho 1ª safra'!$E45:$Z45,MIN(AU$6-$E$3,22))&lt;&gt;""),'Milho 1ª safra'!$E45:INDEX('Milho 1ª safra'!$E45:$Z45,MIN(AU$6-$E$3,22))),0))-IF($G$2,0,IF((AU$6-$G$3)&lt;1,0,IFERROR(LOOKUP(2,1/('Milho 1ª safra'!$E45:INDEX('Milho 1ª safra'!$E45:$Z45,MIN(AU$6-$G$3,22))&lt;&gt;""),'Milho 1ª safra'!$E45:INDEX('Milho 1ª safra'!$E45:$Z45,MIN(AU$6-$G$3,22))),0)))))</f>
        <v>0</v>
      </c>
      <c r="AV47" s="27" t="n">
        <f aca="false">IF(COUNT('Milho 1ª safra'!$E45:$Z45)=0,0,MAX(0,IF((AV$6-$E$3)&lt;1,0,IFERROR(LOOKUP(2,1/('Milho 1ª safra'!$E45:INDEX('Milho 1ª safra'!$E45:$Z45,MIN(AV$6-$E$3,22))&lt;&gt;""),'Milho 1ª safra'!$E45:INDEX('Milho 1ª safra'!$E45:$Z45,MIN(AV$6-$E$3,22))),0))-IF($G$2,0,IF((AV$6-$G$3)&lt;1,0,IFERROR(LOOKUP(2,1/('Milho 1ª safra'!$E45:INDEX('Milho 1ª safra'!$E45:$Z45,MIN(AV$6-$G$3,22))&lt;&gt;""),'Milho 1ª safra'!$E45:INDEX('Milho 1ª safra'!$E45:$Z45,MIN(AV$6-$G$3,22))),0)))))</f>
        <v>0</v>
      </c>
      <c r="AW47" s="27" t="n">
        <f aca="false">IF(COUNT('Milho 1ª safra'!$E45:$Z45)=0,0,MAX(0,IF((AW$6-$E$3)&lt;1,0,IFERROR(LOOKUP(2,1/('Milho 1ª safra'!$E45:INDEX('Milho 1ª safra'!$E45:$Z45,MIN(AW$6-$E$3,22))&lt;&gt;""),'Milho 1ª safra'!$E45:INDEX('Milho 1ª safra'!$E45:$Z45,MIN(AW$6-$E$3,22))),0))-IF($G$2,0,IF((AW$6-$G$3)&lt;1,0,IFERROR(LOOKUP(2,1/('Milho 1ª safra'!$E45:INDEX('Milho 1ª safra'!$E45:$Z45,MIN(AW$6-$G$3,22))&lt;&gt;""),'Milho 1ª safra'!$E45:INDEX('Milho 1ª safra'!$E45:$Z45,MIN(AW$6-$G$3,22))),0)))))</f>
        <v>0</v>
      </c>
      <c r="AX47" s="27" t="n">
        <f aca="false">IF(COUNT('Milho 1ª safra'!$E45:$Z45)=0,0,MAX(0,IF((AX$6-$E$3)&lt;1,0,IFERROR(LOOKUP(2,1/('Milho 1ª safra'!$E45:INDEX('Milho 1ª safra'!$E45:$Z45,MIN(AX$6-$E$3,22))&lt;&gt;""),'Milho 1ª safra'!$E45:INDEX('Milho 1ª safra'!$E45:$Z45,MIN(AX$6-$E$3,22))),0))-IF($G$2,0,IF((AX$6-$G$3)&lt;1,0,IFERROR(LOOKUP(2,1/('Milho 1ª safra'!$E45:INDEX('Milho 1ª safra'!$E45:$Z45,MIN(AX$6-$G$3,22))&lt;&gt;""),'Milho 1ª safra'!$E45:INDEX('Milho 1ª safra'!$E45:$Z45,MIN(AX$6-$G$3,22))),0)))))</f>
        <v>0</v>
      </c>
      <c r="AY47" s="27" t="n">
        <f aca="false">IF(COUNT('Milho 1ª safra'!$E45:$Z45)=0,0,MAX(0,IF((AY$6-$E$3)&lt;1,0,IFERROR(LOOKUP(2,1/('Milho 1ª safra'!$E45:INDEX('Milho 1ª safra'!$E45:$Z45,MIN(AY$6-$E$3,22))&lt;&gt;""),'Milho 1ª safra'!$E45:INDEX('Milho 1ª safra'!$E45:$Z45,MIN(AY$6-$E$3,22))),0))-IF($G$2,0,IF((AY$6-$G$3)&lt;1,0,IFERROR(LOOKUP(2,1/('Milho 1ª safra'!$E45:INDEX('Milho 1ª safra'!$E45:$Z45,MIN(AY$6-$G$3,22))&lt;&gt;""),'Milho 1ª safra'!$E45:INDEX('Milho 1ª safra'!$E45:$Z45,MIN(AY$6-$G$3,22))),0)))))</f>
        <v>0</v>
      </c>
      <c r="AZ47" s="27" t="n">
        <f aca="false">IF(COUNT('Milho 1ª safra'!$E45:$Z45)=0,0,MAX(0,IF((AZ$6-$E$3)&lt;1,0,IFERROR(LOOKUP(2,1/('Milho 1ª safra'!$E45:INDEX('Milho 1ª safra'!$E45:$Z45,MIN(AZ$6-$E$3,22))&lt;&gt;""),'Milho 1ª safra'!$E45:INDEX('Milho 1ª safra'!$E45:$Z45,MIN(AZ$6-$E$3,22))),0))-IF($G$2,0,IF((AZ$6-$G$3)&lt;1,0,IFERROR(LOOKUP(2,1/('Milho 1ª safra'!$E45:INDEX('Milho 1ª safra'!$E45:$Z45,MIN(AZ$6-$G$3,22))&lt;&gt;""),'Milho 1ª safra'!$E45:INDEX('Milho 1ª safra'!$E45:$Z45,MIN(AZ$6-$G$3,22))),0)))))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IF(COUNT('Milho 1ª safra'!$E46:$Z46)&gt;0,N('Milho 1ª safra'!$D46),0)</f>
        <v>0</v>
      </c>
      <c r="E48" s="27" t="n">
        <f aca="false">IF(COUNT('Milho 1ª safra'!$E46:$Z46)=0,0,MAX(0,IF((E$6-$E$3)&lt;1,0,IFERROR(LOOKUP(2,1/('Milho 1ª safra'!$E46:INDEX('Milho 1ª safra'!$E46:$Z46,MIN(E$6-$E$3,22))&lt;&gt;""),'Milho 1ª safra'!$E46:INDEX('Milho 1ª safra'!$E46:$Z46,MIN(E$6-$E$3,22))),0))-IF($G$2,0,IF((E$6-$G$3)&lt;1,0,IFERROR(LOOKUP(2,1/('Milho 1ª safra'!$E46:INDEX('Milho 1ª safra'!$E46:$Z46,MIN(E$6-$G$3,22))&lt;&gt;""),'Milho 1ª safra'!$E46:INDEX('Milho 1ª safra'!$E46:$Z46,MIN(E$6-$G$3,22))),0)))))</f>
        <v>0</v>
      </c>
      <c r="F48" s="27" t="n">
        <f aca="false">IF(COUNT('Milho 1ª safra'!$E46:$Z46)=0,0,MAX(0,IF((F$6-$E$3)&lt;1,0,IFERROR(LOOKUP(2,1/('Milho 1ª safra'!$E46:INDEX('Milho 1ª safra'!$E46:$Z46,MIN(F$6-$E$3,22))&lt;&gt;""),'Milho 1ª safra'!$E46:INDEX('Milho 1ª safra'!$E46:$Z46,MIN(F$6-$E$3,22))),0))-IF($G$2,0,IF((F$6-$G$3)&lt;1,0,IFERROR(LOOKUP(2,1/('Milho 1ª safra'!$E46:INDEX('Milho 1ª safra'!$E46:$Z46,MIN(F$6-$G$3,22))&lt;&gt;""),'Milho 1ª safra'!$E46:INDEX('Milho 1ª safra'!$E46:$Z46,MIN(F$6-$G$3,22))),0)))))</f>
        <v>0</v>
      </c>
      <c r="G48" s="27" t="n">
        <f aca="false">IF(COUNT('Milho 1ª safra'!$E46:$Z46)=0,0,MAX(0,IF((G$6-$E$3)&lt;1,0,IFERROR(LOOKUP(2,1/('Milho 1ª safra'!$E46:INDEX('Milho 1ª safra'!$E46:$Z46,MIN(G$6-$E$3,22))&lt;&gt;""),'Milho 1ª safra'!$E46:INDEX('Milho 1ª safra'!$E46:$Z46,MIN(G$6-$E$3,22))),0))-IF($G$2,0,IF((G$6-$G$3)&lt;1,0,IFERROR(LOOKUP(2,1/('Milho 1ª safra'!$E46:INDEX('Milho 1ª safra'!$E46:$Z46,MIN(G$6-$G$3,22))&lt;&gt;""),'Milho 1ª safra'!$E46:INDEX('Milho 1ª safra'!$E46:$Z46,MIN(G$6-$G$3,22))),0)))))</f>
        <v>0</v>
      </c>
      <c r="H48" s="27" t="n">
        <f aca="false">IF(COUNT('Milho 1ª safra'!$E46:$Z46)=0,0,MAX(0,IF((H$6-$E$3)&lt;1,0,IFERROR(LOOKUP(2,1/('Milho 1ª safra'!$E46:INDEX('Milho 1ª safra'!$E46:$Z46,MIN(H$6-$E$3,22))&lt;&gt;""),'Milho 1ª safra'!$E46:INDEX('Milho 1ª safra'!$E46:$Z46,MIN(H$6-$E$3,22))),0))-IF($G$2,0,IF((H$6-$G$3)&lt;1,0,IFERROR(LOOKUP(2,1/('Milho 1ª safra'!$E46:INDEX('Milho 1ª safra'!$E46:$Z46,MIN(H$6-$G$3,22))&lt;&gt;""),'Milho 1ª safra'!$E46:INDEX('Milho 1ª safra'!$E46:$Z46,MIN(H$6-$G$3,22))),0)))))</f>
        <v>0</v>
      </c>
      <c r="I48" s="27" t="n">
        <f aca="false">IF(COUNT('Milho 1ª safra'!$E46:$Z46)=0,0,MAX(0,IF((I$6-$E$3)&lt;1,0,IFERROR(LOOKUP(2,1/('Milho 1ª safra'!$E46:INDEX('Milho 1ª safra'!$E46:$Z46,MIN(I$6-$E$3,22))&lt;&gt;""),'Milho 1ª safra'!$E46:INDEX('Milho 1ª safra'!$E46:$Z46,MIN(I$6-$E$3,22))),0))-IF($G$2,0,IF((I$6-$G$3)&lt;1,0,IFERROR(LOOKUP(2,1/('Milho 1ª safra'!$E46:INDEX('Milho 1ª safra'!$E46:$Z46,MIN(I$6-$G$3,22))&lt;&gt;""),'Milho 1ª safra'!$E46:INDEX('Milho 1ª safra'!$E46:$Z46,MIN(I$6-$G$3,22))),0)))))</f>
        <v>0</v>
      </c>
      <c r="J48" s="27" t="n">
        <f aca="false">IF(COUNT('Milho 1ª safra'!$E46:$Z46)=0,0,MAX(0,IF((J$6-$E$3)&lt;1,0,IFERROR(LOOKUP(2,1/('Milho 1ª safra'!$E46:INDEX('Milho 1ª safra'!$E46:$Z46,MIN(J$6-$E$3,22))&lt;&gt;""),'Milho 1ª safra'!$E46:INDEX('Milho 1ª safra'!$E46:$Z46,MIN(J$6-$E$3,22))),0))-IF($G$2,0,IF((J$6-$G$3)&lt;1,0,IFERROR(LOOKUP(2,1/('Milho 1ª safra'!$E46:INDEX('Milho 1ª safra'!$E46:$Z46,MIN(J$6-$G$3,22))&lt;&gt;""),'Milho 1ª safra'!$E46:INDEX('Milho 1ª safra'!$E46:$Z46,MIN(J$6-$G$3,22))),0)))))</f>
        <v>0</v>
      </c>
      <c r="K48" s="27" t="n">
        <f aca="false">IF(COUNT('Milho 1ª safra'!$E46:$Z46)=0,0,MAX(0,IF((K$6-$E$3)&lt;1,0,IFERROR(LOOKUP(2,1/('Milho 1ª safra'!$E46:INDEX('Milho 1ª safra'!$E46:$Z46,MIN(K$6-$E$3,22))&lt;&gt;""),'Milho 1ª safra'!$E46:INDEX('Milho 1ª safra'!$E46:$Z46,MIN(K$6-$E$3,22))),0))-IF($G$2,0,IF((K$6-$G$3)&lt;1,0,IFERROR(LOOKUP(2,1/('Milho 1ª safra'!$E46:INDEX('Milho 1ª safra'!$E46:$Z46,MIN(K$6-$G$3,22))&lt;&gt;""),'Milho 1ª safra'!$E46:INDEX('Milho 1ª safra'!$E46:$Z46,MIN(K$6-$G$3,22))),0)))))</f>
        <v>0</v>
      </c>
      <c r="L48" s="27" t="n">
        <f aca="false">IF(COUNT('Milho 1ª safra'!$E46:$Z46)=0,0,MAX(0,IF((L$6-$E$3)&lt;1,0,IFERROR(LOOKUP(2,1/('Milho 1ª safra'!$E46:INDEX('Milho 1ª safra'!$E46:$Z46,MIN(L$6-$E$3,22))&lt;&gt;""),'Milho 1ª safra'!$E46:INDEX('Milho 1ª safra'!$E46:$Z46,MIN(L$6-$E$3,22))),0))-IF($G$2,0,IF((L$6-$G$3)&lt;1,0,IFERROR(LOOKUP(2,1/('Milho 1ª safra'!$E46:INDEX('Milho 1ª safra'!$E46:$Z46,MIN(L$6-$G$3,22))&lt;&gt;""),'Milho 1ª safra'!$E46:INDEX('Milho 1ª safra'!$E46:$Z46,MIN(L$6-$G$3,22))),0)))))</f>
        <v>0</v>
      </c>
      <c r="M48" s="27" t="n">
        <f aca="false">IF(COUNT('Milho 1ª safra'!$E46:$Z46)=0,0,MAX(0,IF((M$6-$E$3)&lt;1,0,IFERROR(LOOKUP(2,1/('Milho 1ª safra'!$E46:INDEX('Milho 1ª safra'!$E46:$Z46,MIN(M$6-$E$3,22))&lt;&gt;""),'Milho 1ª safra'!$E46:INDEX('Milho 1ª safra'!$E46:$Z46,MIN(M$6-$E$3,22))),0))-IF($G$2,0,IF((M$6-$G$3)&lt;1,0,IFERROR(LOOKUP(2,1/('Milho 1ª safra'!$E46:INDEX('Milho 1ª safra'!$E46:$Z46,MIN(M$6-$G$3,22))&lt;&gt;""),'Milho 1ª safra'!$E46:INDEX('Milho 1ª safra'!$E46:$Z46,MIN(M$6-$G$3,22))),0)))))</f>
        <v>0</v>
      </c>
      <c r="N48" s="27" t="n">
        <f aca="false">IF(COUNT('Milho 1ª safra'!$E46:$Z46)=0,0,MAX(0,IF((N$6-$E$3)&lt;1,0,IFERROR(LOOKUP(2,1/('Milho 1ª safra'!$E46:INDEX('Milho 1ª safra'!$E46:$Z46,MIN(N$6-$E$3,22))&lt;&gt;""),'Milho 1ª safra'!$E46:INDEX('Milho 1ª safra'!$E46:$Z46,MIN(N$6-$E$3,22))),0))-IF($G$2,0,IF((N$6-$G$3)&lt;1,0,IFERROR(LOOKUP(2,1/('Milho 1ª safra'!$E46:INDEX('Milho 1ª safra'!$E46:$Z46,MIN(N$6-$G$3,22))&lt;&gt;""),'Milho 1ª safra'!$E46:INDEX('Milho 1ª safra'!$E46:$Z46,MIN(N$6-$G$3,22))),0)))))</f>
        <v>0</v>
      </c>
      <c r="O48" s="27" t="n">
        <f aca="false">IF(COUNT('Milho 1ª safra'!$E46:$Z46)=0,0,MAX(0,IF((O$6-$E$3)&lt;1,0,IFERROR(LOOKUP(2,1/('Milho 1ª safra'!$E46:INDEX('Milho 1ª safra'!$E46:$Z46,MIN(O$6-$E$3,22))&lt;&gt;""),'Milho 1ª safra'!$E46:INDEX('Milho 1ª safra'!$E46:$Z46,MIN(O$6-$E$3,22))),0))-IF($G$2,0,IF((O$6-$G$3)&lt;1,0,IFERROR(LOOKUP(2,1/('Milho 1ª safra'!$E46:INDEX('Milho 1ª safra'!$E46:$Z46,MIN(O$6-$G$3,22))&lt;&gt;""),'Milho 1ª safra'!$E46:INDEX('Milho 1ª safra'!$E46:$Z46,MIN(O$6-$G$3,22))),0)))))</f>
        <v>0</v>
      </c>
      <c r="P48" s="27" t="n">
        <f aca="false">IF(COUNT('Milho 1ª safra'!$E46:$Z46)=0,0,MAX(0,IF((P$6-$E$3)&lt;1,0,IFERROR(LOOKUP(2,1/('Milho 1ª safra'!$E46:INDEX('Milho 1ª safra'!$E46:$Z46,MIN(P$6-$E$3,22))&lt;&gt;""),'Milho 1ª safra'!$E46:INDEX('Milho 1ª safra'!$E46:$Z46,MIN(P$6-$E$3,22))),0))-IF($G$2,0,IF((P$6-$G$3)&lt;1,0,IFERROR(LOOKUP(2,1/('Milho 1ª safra'!$E46:INDEX('Milho 1ª safra'!$E46:$Z46,MIN(P$6-$G$3,22))&lt;&gt;""),'Milho 1ª safra'!$E46:INDEX('Milho 1ª safra'!$E46:$Z46,MIN(P$6-$G$3,22))),0)))))</f>
        <v>0</v>
      </c>
      <c r="Q48" s="27" t="n">
        <f aca="false">IF(COUNT('Milho 1ª safra'!$E46:$Z46)=0,0,MAX(0,IF((Q$6-$E$3)&lt;1,0,IFERROR(LOOKUP(2,1/('Milho 1ª safra'!$E46:INDEX('Milho 1ª safra'!$E46:$Z46,MIN(Q$6-$E$3,22))&lt;&gt;""),'Milho 1ª safra'!$E46:INDEX('Milho 1ª safra'!$E46:$Z46,MIN(Q$6-$E$3,22))),0))-IF($G$2,0,IF((Q$6-$G$3)&lt;1,0,IFERROR(LOOKUP(2,1/('Milho 1ª safra'!$E46:INDEX('Milho 1ª safra'!$E46:$Z46,MIN(Q$6-$G$3,22))&lt;&gt;""),'Milho 1ª safra'!$E46:INDEX('Milho 1ª safra'!$E46:$Z46,MIN(Q$6-$G$3,22))),0)))))</f>
        <v>0</v>
      </c>
      <c r="R48" s="27" t="n">
        <f aca="false">IF(COUNT('Milho 1ª safra'!$E46:$Z46)=0,0,MAX(0,IF((R$6-$E$3)&lt;1,0,IFERROR(LOOKUP(2,1/('Milho 1ª safra'!$E46:INDEX('Milho 1ª safra'!$E46:$Z46,MIN(R$6-$E$3,22))&lt;&gt;""),'Milho 1ª safra'!$E46:INDEX('Milho 1ª safra'!$E46:$Z46,MIN(R$6-$E$3,22))),0))-IF($G$2,0,IF((R$6-$G$3)&lt;1,0,IFERROR(LOOKUP(2,1/('Milho 1ª safra'!$E46:INDEX('Milho 1ª safra'!$E46:$Z46,MIN(R$6-$G$3,22))&lt;&gt;""),'Milho 1ª safra'!$E46:INDEX('Milho 1ª safra'!$E46:$Z46,MIN(R$6-$G$3,22))),0)))))</f>
        <v>0</v>
      </c>
      <c r="S48" s="27" t="n">
        <f aca="false">IF(COUNT('Milho 1ª safra'!$E46:$Z46)=0,0,MAX(0,IF((S$6-$E$3)&lt;1,0,IFERROR(LOOKUP(2,1/('Milho 1ª safra'!$E46:INDEX('Milho 1ª safra'!$E46:$Z46,MIN(S$6-$E$3,22))&lt;&gt;""),'Milho 1ª safra'!$E46:INDEX('Milho 1ª safra'!$E46:$Z46,MIN(S$6-$E$3,22))),0))-IF($G$2,0,IF((S$6-$G$3)&lt;1,0,IFERROR(LOOKUP(2,1/('Milho 1ª safra'!$E46:INDEX('Milho 1ª safra'!$E46:$Z46,MIN(S$6-$G$3,22))&lt;&gt;""),'Milho 1ª safra'!$E46:INDEX('Milho 1ª safra'!$E46:$Z46,MIN(S$6-$G$3,22))),0)))))</f>
        <v>0</v>
      </c>
      <c r="T48" s="27" t="n">
        <f aca="false">IF(COUNT('Milho 1ª safra'!$E46:$Z46)=0,0,MAX(0,IF((T$6-$E$3)&lt;1,0,IFERROR(LOOKUP(2,1/('Milho 1ª safra'!$E46:INDEX('Milho 1ª safra'!$E46:$Z46,MIN(T$6-$E$3,22))&lt;&gt;""),'Milho 1ª safra'!$E46:INDEX('Milho 1ª safra'!$E46:$Z46,MIN(T$6-$E$3,22))),0))-IF($G$2,0,IF((T$6-$G$3)&lt;1,0,IFERROR(LOOKUP(2,1/('Milho 1ª safra'!$E46:INDEX('Milho 1ª safra'!$E46:$Z46,MIN(T$6-$G$3,22))&lt;&gt;""),'Milho 1ª safra'!$E46:INDEX('Milho 1ª safra'!$E46:$Z46,MIN(T$6-$G$3,22))),0)))))</f>
        <v>0</v>
      </c>
      <c r="U48" s="27" t="n">
        <f aca="false">IF(COUNT('Milho 1ª safra'!$E46:$Z46)=0,0,MAX(0,IF((U$6-$E$3)&lt;1,0,IFERROR(LOOKUP(2,1/('Milho 1ª safra'!$E46:INDEX('Milho 1ª safra'!$E46:$Z46,MIN(U$6-$E$3,22))&lt;&gt;""),'Milho 1ª safra'!$E46:INDEX('Milho 1ª safra'!$E46:$Z46,MIN(U$6-$E$3,22))),0))-IF($G$2,0,IF((U$6-$G$3)&lt;1,0,IFERROR(LOOKUP(2,1/('Milho 1ª safra'!$E46:INDEX('Milho 1ª safra'!$E46:$Z46,MIN(U$6-$G$3,22))&lt;&gt;""),'Milho 1ª safra'!$E46:INDEX('Milho 1ª safra'!$E46:$Z46,MIN(U$6-$G$3,22))),0)))))</f>
        <v>0</v>
      </c>
      <c r="V48" s="27" t="n">
        <f aca="false">IF(COUNT('Milho 1ª safra'!$E46:$Z46)=0,0,MAX(0,IF((V$6-$E$3)&lt;1,0,IFERROR(LOOKUP(2,1/('Milho 1ª safra'!$E46:INDEX('Milho 1ª safra'!$E46:$Z46,MIN(V$6-$E$3,22))&lt;&gt;""),'Milho 1ª safra'!$E46:INDEX('Milho 1ª safra'!$E46:$Z46,MIN(V$6-$E$3,22))),0))-IF($G$2,0,IF((V$6-$G$3)&lt;1,0,IFERROR(LOOKUP(2,1/('Milho 1ª safra'!$E46:INDEX('Milho 1ª safra'!$E46:$Z46,MIN(V$6-$G$3,22))&lt;&gt;""),'Milho 1ª safra'!$E46:INDEX('Milho 1ª safra'!$E46:$Z46,MIN(V$6-$G$3,22))),0)))))</f>
        <v>0</v>
      </c>
      <c r="W48" s="27" t="n">
        <f aca="false">IF(COUNT('Milho 1ª safra'!$E46:$Z46)=0,0,MAX(0,IF((W$6-$E$3)&lt;1,0,IFERROR(LOOKUP(2,1/('Milho 1ª safra'!$E46:INDEX('Milho 1ª safra'!$E46:$Z46,MIN(W$6-$E$3,22))&lt;&gt;""),'Milho 1ª safra'!$E46:INDEX('Milho 1ª safra'!$E46:$Z46,MIN(W$6-$E$3,22))),0))-IF($G$2,0,IF((W$6-$G$3)&lt;1,0,IFERROR(LOOKUP(2,1/('Milho 1ª safra'!$E46:INDEX('Milho 1ª safra'!$E46:$Z46,MIN(W$6-$G$3,22))&lt;&gt;""),'Milho 1ª safra'!$E46:INDEX('Milho 1ª safra'!$E46:$Z46,MIN(W$6-$G$3,22))),0)))))</f>
        <v>0</v>
      </c>
      <c r="X48" s="27" t="n">
        <f aca="false">IF(COUNT('Milho 1ª safra'!$E46:$Z46)=0,0,MAX(0,IF((X$6-$E$3)&lt;1,0,IFERROR(LOOKUP(2,1/('Milho 1ª safra'!$E46:INDEX('Milho 1ª safra'!$E46:$Z46,MIN(X$6-$E$3,22))&lt;&gt;""),'Milho 1ª safra'!$E46:INDEX('Milho 1ª safra'!$E46:$Z46,MIN(X$6-$E$3,22))),0))-IF($G$2,0,IF((X$6-$G$3)&lt;1,0,IFERROR(LOOKUP(2,1/('Milho 1ª safra'!$E46:INDEX('Milho 1ª safra'!$E46:$Z46,MIN(X$6-$G$3,22))&lt;&gt;""),'Milho 1ª safra'!$E46:INDEX('Milho 1ª safra'!$E46:$Z46,MIN(X$6-$G$3,22))),0)))))</f>
        <v>0</v>
      </c>
      <c r="Y48" s="27" t="n">
        <f aca="false">IF(COUNT('Milho 1ª safra'!$E46:$Z46)=0,0,MAX(0,IF((Y$6-$E$3)&lt;1,0,IFERROR(LOOKUP(2,1/('Milho 1ª safra'!$E46:INDEX('Milho 1ª safra'!$E46:$Z46,MIN(Y$6-$E$3,22))&lt;&gt;""),'Milho 1ª safra'!$E46:INDEX('Milho 1ª safra'!$E46:$Z46,MIN(Y$6-$E$3,22))),0))-IF($G$2,0,IF((Y$6-$G$3)&lt;1,0,IFERROR(LOOKUP(2,1/('Milho 1ª safra'!$E46:INDEX('Milho 1ª safra'!$E46:$Z46,MIN(Y$6-$G$3,22))&lt;&gt;""),'Milho 1ª safra'!$E46:INDEX('Milho 1ª safra'!$E46:$Z46,MIN(Y$6-$G$3,22))),0)))))</f>
        <v>0</v>
      </c>
      <c r="Z48" s="27" t="n">
        <f aca="false">IF(COUNT('Milho 1ª safra'!$E46:$Z46)=0,0,MAX(0,IF((Z$6-$E$3)&lt;1,0,IFERROR(LOOKUP(2,1/('Milho 1ª safra'!$E46:INDEX('Milho 1ª safra'!$E46:$Z46,MIN(Z$6-$E$3,22))&lt;&gt;""),'Milho 1ª safra'!$E46:INDEX('Milho 1ª safra'!$E46:$Z46,MIN(Z$6-$E$3,22))),0))-IF($G$2,0,IF((Z$6-$G$3)&lt;1,0,IFERROR(LOOKUP(2,1/('Milho 1ª safra'!$E46:INDEX('Milho 1ª safra'!$E46:$Z46,MIN(Z$6-$G$3,22))&lt;&gt;""),'Milho 1ª safra'!$E46:INDEX('Milho 1ª safra'!$E46:$Z46,MIN(Z$6-$G$3,22))),0)))))</f>
        <v>0</v>
      </c>
      <c r="AA48" s="27" t="n">
        <f aca="false">IF(COUNT('Milho 1ª safra'!$E46:$Z46)=0,0,MAX(0,IF((AA$6-$E$3)&lt;1,0,IFERROR(LOOKUP(2,1/('Milho 1ª safra'!$E46:INDEX('Milho 1ª safra'!$E46:$Z46,MIN(AA$6-$E$3,22))&lt;&gt;""),'Milho 1ª safra'!$E46:INDEX('Milho 1ª safra'!$E46:$Z46,MIN(AA$6-$E$3,22))),0))-IF($G$2,0,IF((AA$6-$G$3)&lt;1,0,IFERROR(LOOKUP(2,1/('Milho 1ª safra'!$E46:INDEX('Milho 1ª safra'!$E46:$Z46,MIN(AA$6-$G$3,22))&lt;&gt;""),'Milho 1ª safra'!$E46:INDEX('Milho 1ª safra'!$E46:$Z46,MIN(AA$6-$G$3,22))),0)))))</f>
        <v>0</v>
      </c>
      <c r="AB48" s="27" t="n">
        <f aca="false">IF(COUNT('Milho 1ª safra'!$E46:$Z46)=0,0,MAX(0,IF((AB$6-$E$3)&lt;1,0,IFERROR(LOOKUP(2,1/('Milho 1ª safra'!$E46:INDEX('Milho 1ª safra'!$E46:$Z46,MIN(AB$6-$E$3,22))&lt;&gt;""),'Milho 1ª safra'!$E46:INDEX('Milho 1ª safra'!$E46:$Z46,MIN(AB$6-$E$3,22))),0))-IF($G$2,0,IF((AB$6-$G$3)&lt;1,0,IFERROR(LOOKUP(2,1/('Milho 1ª safra'!$E46:INDEX('Milho 1ª safra'!$E46:$Z46,MIN(AB$6-$G$3,22))&lt;&gt;""),'Milho 1ª safra'!$E46:INDEX('Milho 1ª safra'!$E46:$Z46,MIN(AB$6-$G$3,22))),0)))))</f>
        <v>0</v>
      </c>
      <c r="AC48" s="27" t="n">
        <f aca="false">IF(COUNT('Milho 1ª safra'!$E46:$Z46)=0,0,MAX(0,IF((AC$6-$E$3)&lt;1,0,IFERROR(LOOKUP(2,1/('Milho 1ª safra'!$E46:INDEX('Milho 1ª safra'!$E46:$Z46,MIN(AC$6-$E$3,22))&lt;&gt;""),'Milho 1ª safra'!$E46:INDEX('Milho 1ª safra'!$E46:$Z46,MIN(AC$6-$E$3,22))),0))-IF($G$2,0,IF((AC$6-$G$3)&lt;1,0,IFERROR(LOOKUP(2,1/('Milho 1ª safra'!$E46:INDEX('Milho 1ª safra'!$E46:$Z46,MIN(AC$6-$G$3,22))&lt;&gt;""),'Milho 1ª safra'!$E46:INDEX('Milho 1ª safra'!$E46:$Z46,MIN(AC$6-$G$3,22))),0)))))</f>
        <v>0</v>
      </c>
      <c r="AD48" s="27" t="n">
        <f aca="false">IF(COUNT('Milho 1ª safra'!$E46:$Z46)=0,0,MAX(0,IF((AD$6-$E$3)&lt;1,0,IFERROR(LOOKUP(2,1/('Milho 1ª safra'!$E46:INDEX('Milho 1ª safra'!$E46:$Z46,MIN(AD$6-$E$3,22))&lt;&gt;""),'Milho 1ª safra'!$E46:INDEX('Milho 1ª safra'!$E46:$Z46,MIN(AD$6-$E$3,22))),0))-IF($G$2,0,IF((AD$6-$G$3)&lt;1,0,IFERROR(LOOKUP(2,1/('Milho 1ª safra'!$E46:INDEX('Milho 1ª safra'!$E46:$Z46,MIN(AD$6-$G$3,22))&lt;&gt;""),'Milho 1ª safra'!$E46:INDEX('Milho 1ª safra'!$E46:$Z46,MIN(AD$6-$G$3,22))),0)))))</f>
        <v>0</v>
      </c>
      <c r="AE48" s="27" t="n">
        <f aca="false">IF(COUNT('Milho 1ª safra'!$E46:$Z46)=0,0,MAX(0,IF((AE$6-$E$3)&lt;1,0,IFERROR(LOOKUP(2,1/('Milho 1ª safra'!$E46:INDEX('Milho 1ª safra'!$E46:$Z46,MIN(AE$6-$E$3,22))&lt;&gt;""),'Milho 1ª safra'!$E46:INDEX('Milho 1ª safra'!$E46:$Z46,MIN(AE$6-$E$3,22))),0))-IF($G$2,0,IF((AE$6-$G$3)&lt;1,0,IFERROR(LOOKUP(2,1/('Milho 1ª safra'!$E46:INDEX('Milho 1ª safra'!$E46:$Z46,MIN(AE$6-$G$3,22))&lt;&gt;""),'Milho 1ª safra'!$E46:INDEX('Milho 1ª safra'!$E46:$Z46,MIN(AE$6-$G$3,22))),0)))))</f>
        <v>0</v>
      </c>
      <c r="AF48" s="27" t="n">
        <f aca="false">IF(COUNT('Milho 1ª safra'!$E46:$Z46)=0,0,MAX(0,IF((AF$6-$E$3)&lt;1,0,IFERROR(LOOKUP(2,1/('Milho 1ª safra'!$E46:INDEX('Milho 1ª safra'!$E46:$Z46,MIN(AF$6-$E$3,22))&lt;&gt;""),'Milho 1ª safra'!$E46:INDEX('Milho 1ª safra'!$E46:$Z46,MIN(AF$6-$E$3,22))),0))-IF($G$2,0,IF((AF$6-$G$3)&lt;1,0,IFERROR(LOOKUP(2,1/('Milho 1ª safra'!$E46:INDEX('Milho 1ª safra'!$E46:$Z46,MIN(AF$6-$G$3,22))&lt;&gt;""),'Milho 1ª safra'!$E46:INDEX('Milho 1ª safra'!$E46:$Z46,MIN(AF$6-$G$3,22))),0)))))</f>
        <v>0</v>
      </c>
      <c r="AG48" s="27" t="n">
        <f aca="false">IF(COUNT('Milho 1ª safra'!$E46:$Z46)=0,0,MAX(0,IF((AG$6-$E$3)&lt;1,0,IFERROR(LOOKUP(2,1/('Milho 1ª safra'!$E46:INDEX('Milho 1ª safra'!$E46:$Z46,MIN(AG$6-$E$3,22))&lt;&gt;""),'Milho 1ª safra'!$E46:INDEX('Milho 1ª safra'!$E46:$Z46,MIN(AG$6-$E$3,22))),0))-IF($G$2,0,IF((AG$6-$G$3)&lt;1,0,IFERROR(LOOKUP(2,1/('Milho 1ª safra'!$E46:INDEX('Milho 1ª safra'!$E46:$Z46,MIN(AG$6-$G$3,22))&lt;&gt;""),'Milho 1ª safra'!$E46:INDEX('Milho 1ª safra'!$E46:$Z46,MIN(AG$6-$G$3,22))),0)))))</f>
        <v>0</v>
      </c>
      <c r="AH48" s="27" t="n">
        <f aca="false">IF(COUNT('Milho 1ª safra'!$E46:$Z46)=0,0,MAX(0,IF((AH$6-$E$3)&lt;1,0,IFERROR(LOOKUP(2,1/('Milho 1ª safra'!$E46:INDEX('Milho 1ª safra'!$E46:$Z46,MIN(AH$6-$E$3,22))&lt;&gt;""),'Milho 1ª safra'!$E46:INDEX('Milho 1ª safra'!$E46:$Z46,MIN(AH$6-$E$3,22))),0))-IF($G$2,0,IF((AH$6-$G$3)&lt;1,0,IFERROR(LOOKUP(2,1/('Milho 1ª safra'!$E46:INDEX('Milho 1ª safra'!$E46:$Z46,MIN(AH$6-$G$3,22))&lt;&gt;""),'Milho 1ª safra'!$E46:INDEX('Milho 1ª safra'!$E46:$Z46,MIN(AH$6-$G$3,22))),0)))))</f>
        <v>0</v>
      </c>
      <c r="AI48" s="27" t="n">
        <f aca="false">IF(COUNT('Milho 1ª safra'!$E46:$Z46)=0,0,MAX(0,IF((AI$6-$E$3)&lt;1,0,IFERROR(LOOKUP(2,1/('Milho 1ª safra'!$E46:INDEX('Milho 1ª safra'!$E46:$Z46,MIN(AI$6-$E$3,22))&lt;&gt;""),'Milho 1ª safra'!$E46:INDEX('Milho 1ª safra'!$E46:$Z46,MIN(AI$6-$E$3,22))),0))-IF($G$2,0,IF((AI$6-$G$3)&lt;1,0,IFERROR(LOOKUP(2,1/('Milho 1ª safra'!$E46:INDEX('Milho 1ª safra'!$E46:$Z46,MIN(AI$6-$G$3,22))&lt;&gt;""),'Milho 1ª safra'!$E46:INDEX('Milho 1ª safra'!$E46:$Z46,MIN(AI$6-$G$3,22))),0)))))</f>
        <v>0</v>
      </c>
      <c r="AJ48" s="27" t="n">
        <f aca="false">IF(COUNT('Milho 1ª safra'!$E46:$Z46)=0,0,MAX(0,IF((AJ$6-$E$3)&lt;1,0,IFERROR(LOOKUP(2,1/('Milho 1ª safra'!$E46:INDEX('Milho 1ª safra'!$E46:$Z46,MIN(AJ$6-$E$3,22))&lt;&gt;""),'Milho 1ª safra'!$E46:INDEX('Milho 1ª safra'!$E46:$Z46,MIN(AJ$6-$E$3,22))),0))-IF($G$2,0,IF((AJ$6-$G$3)&lt;1,0,IFERROR(LOOKUP(2,1/('Milho 1ª safra'!$E46:INDEX('Milho 1ª safra'!$E46:$Z46,MIN(AJ$6-$G$3,22))&lt;&gt;""),'Milho 1ª safra'!$E46:INDEX('Milho 1ª safra'!$E46:$Z46,MIN(AJ$6-$G$3,22))),0)))))</f>
        <v>0</v>
      </c>
      <c r="AK48" s="27" t="n">
        <f aca="false">IF(COUNT('Milho 1ª safra'!$E46:$Z46)=0,0,MAX(0,IF((AK$6-$E$3)&lt;1,0,IFERROR(LOOKUP(2,1/('Milho 1ª safra'!$E46:INDEX('Milho 1ª safra'!$E46:$Z46,MIN(AK$6-$E$3,22))&lt;&gt;""),'Milho 1ª safra'!$E46:INDEX('Milho 1ª safra'!$E46:$Z46,MIN(AK$6-$E$3,22))),0))-IF($G$2,0,IF((AK$6-$G$3)&lt;1,0,IFERROR(LOOKUP(2,1/('Milho 1ª safra'!$E46:INDEX('Milho 1ª safra'!$E46:$Z46,MIN(AK$6-$G$3,22))&lt;&gt;""),'Milho 1ª safra'!$E46:INDEX('Milho 1ª safra'!$E46:$Z46,MIN(AK$6-$G$3,22))),0)))))</f>
        <v>0</v>
      </c>
      <c r="AL48" s="27" t="n">
        <f aca="false">IF(COUNT('Milho 1ª safra'!$E46:$Z46)=0,0,MAX(0,IF((AL$6-$E$3)&lt;1,0,IFERROR(LOOKUP(2,1/('Milho 1ª safra'!$E46:INDEX('Milho 1ª safra'!$E46:$Z46,MIN(AL$6-$E$3,22))&lt;&gt;""),'Milho 1ª safra'!$E46:INDEX('Milho 1ª safra'!$E46:$Z46,MIN(AL$6-$E$3,22))),0))-IF($G$2,0,IF((AL$6-$G$3)&lt;1,0,IFERROR(LOOKUP(2,1/('Milho 1ª safra'!$E46:INDEX('Milho 1ª safra'!$E46:$Z46,MIN(AL$6-$G$3,22))&lt;&gt;""),'Milho 1ª safra'!$E46:INDEX('Milho 1ª safra'!$E46:$Z46,MIN(AL$6-$G$3,22))),0)))))</f>
        <v>0</v>
      </c>
      <c r="AM48" s="27" t="n">
        <f aca="false">IF(COUNT('Milho 1ª safra'!$E46:$Z46)=0,0,MAX(0,IF((AM$6-$E$3)&lt;1,0,IFERROR(LOOKUP(2,1/('Milho 1ª safra'!$E46:INDEX('Milho 1ª safra'!$E46:$Z46,MIN(AM$6-$E$3,22))&lt;&gt;""),'Milho 1ª safra'!$E46:INDEX('Milho 1ª safra'!$E46:$Z46,MIN(AM$6-$E$3,22))),0))-IF($G$2,0,IF((AM$6-$G$3)&lt;1,0,IFERROR(LOOKUP(2,1/('Milho 1ª safra'!$E46:INDEX('Milho 1ª safra'!$E46:$Z46,MIN(AM$6-$G$3,22))&lt;&gt;""),'Milho 1ª safra'!$E46:INDEX('Milho 1ª safra'!$E46:$Z46,MIN(AM$6-$G$3,22))),0)))))</f>
        <v>0</v>
      </c>
      <c r="AN48" s="27" t="n">
        <f aca="false">IF(COUNT('Milho 1ª safra'!$E46:$Z46)=0,0,MAX(0,IF((AN$6-$E$3)&lt;1,0,IFERROR(LOOKUP(2,1/('Milho 1ª safra'!$E46:INDEX('Milho 1ª safra'!$E46:$Z46,MIN(AN$6-$E$3,22))&lt;&gt;""),'Milho 1ª safra'!$E46:INDEX('Milho 1ª safra'!$E46:$Z46,MIN(AN$6-$E$3,22))),0))-IF($G$2,0,IF((AN$6-$G$3)&lt;1,0,IFERROR(LOOKUP(2,1/('Milho 1ª safra'!$E46:INDEX('Milho 1ª safra'!$E46:$Z46,MIN(AN$6-$G$3,22))&lt;&gt;""),'Milho 1ª safra'!$E46:INDEX('Milho 1ª safra'!$E46:$Z46,MIN(AN$6-$G$3,22))),0)))))</f>
        <v>0</v>
      </c>
      <c r="AO48" s="27" t="n">
        <f aca="false">IF(COUNT('Milho 1ª safra'!$E46:$Z46)=0,0,MAX(0,IF((AO$6-$E$3)&lt;1,0,IFERROR(LOOKUP(2,1/('Milho 1ª safra'!$E46:INDEX('Milho 1ª safra'!$E46:$Z46,MIN(AO$6-$E$3,22))&lt;&gt;""),'Milho 1ª safra'!$E46:INDEX('Milho 1ª safra'!$E46:$Z46,MIN(AO$6-$E$3,22))),0))-IF($G$2,0,IF((AO$6-$G$3)&lt;1,0,IFERROR(LOOKUP(2,1/('Milho 1ª safra'!$E46:INDEX('Milho 1ª safra'!$E46:$Z46,MIN(AO$6-$G$3,22))&lt;&gt;""),'Milho 1ª safra'!$E46:INDEX('Milho 1ª safra'!$E46:$Z46,MIN(AO$6-$G$3,22))),0)))))</f>
        <v>0</v>
      </c>
      <c r="AP48" s="27" t="n">
        <f aca="false">IF(COUNT('Milho 1ª safra'!$E46:$Z46)=0,0,MAX(0,IF((AP$6-$E$3)&lt;1,0,IFERROR(LOOKUP(2,1/('Milho 1ª safra'!$E46:INDEX('Milho 1ª safra'!$E46:$Z46,MIN(AP$6-$E$3,22))&lt;&gt;""),'Milho 1ª safra'!$E46:INDEX('Milho 1ª safra'!$E46:$Z46,MIN(AP$6-$E$3,22))),0))-IF($G$2,0,IF((AP$6-$G$3)&lt;1,0,IFERROR(LOOKUP(2,1/('Milho 1ª safra'!$E46:INDEX('Milho 1ª safra'!$E46:$Z46,MIN(AP$6-$G$3,22))&lt;&gt;""),'Milho 1ª safra'!$E46:INDEX('Milho 1ª safra'!$E46:$Z46,MIN(AP$6-$G$3,22))),0)))))</f>
        <v>0</v>
      </c>
      <c r="AQ48" s="27" t="n">
        <f aca="false">IF(COUNT('Milho 1ª safra'!$E46:$Z46)=0,0,MAX(0,IF((AQ$6-$E$3)&lt;1,0,IFERROR(LOOKUP(2,1/('Milho 1ª safra'!$E46:INDEX('Milho 1ª safra'!$E46:$Z46,MIN(AQ$6-$E$3,22))&lt;&gt;""),'Milho 1ª safra'!$E46:INDEX('Milho 1ª safra'!$E46:$Z46,MIN(AQ$6-$E$3,22))),0))-IF($G$2,0,IF((AQ$6-$G$3)&lt;1,0,IFERROR(LOOKUP(2,1/('Milho 1ª safra'!$E46:INDEX('Milho 1ª safra'!$E46:$Z46,MIN(AQ$6-$G$3,22))&lt;&gt;""),'Milho 1ª safra'!$E46:INDEX('Milho 1ª safra'!$E46:$Z46,MIN(AQ$6-$G$3,22))),0)))))</f>
        <v>0</v>
      </c>
      <c r="AR48" s="27" t="n">
        <f aca="false">IF(COUNT('Milho 1ª safra'!$E46:$Z46)=0,0,MAX(0,IF((AR$6-$E$3)&lt;1,0,IFERROR(LOOKUP(2,1/('Milho 1ª safra'!$E46:INDEX('Milho 1ª safra'!$E46:$Z46,MIN(AR$6-$E$3,22))&lt;&gt;""),'Milho 1ª safra'!$E46:INDEX('Milho 1ª safra'!$E46:$Z46,MIN(AR$6-$E$3,22))),0))-IF($G$2,0,IF((AR$6-$G$3)&lt;1,0,IFERROR(LOOKUP(2,1/('Milho 1ª safra'!$E46:INDEX('Milho 1ª safra'!$E46:$Z46,MIN(AR$6-$G$3,22))&lt;&gt;""),'Milho 1ª safra'!$E46:INDEX('Milho 1ª safra'!$E46:$Z46,MIN(AR$6-$G$3,22))),0)))))</f>
        <v>0</v>
      </c>
      <c r="AS48" s="27" t="n">
        <f aca="false">IF(COUNT('Milho 1ª safra'!$E46:$Z46)=0,0,MAX(0,IF((AS$6-$E$3)&lt;1,0,IFERROR(LOOKUP(2,1/('Milho 1ª safra'!$E46:INDEX('Milho 1ª safra'!$E46:$Z46,MIN(AS$6-$E$3,22))&lt;&gt;""),'Milho 1ª safra'!$E46:INDEX('Milho 1ª safra'!$E46:$Z46,MIN(AS$6-$E$3,22))),0))-IF($G$2,0,IF((AS$6-$G$3)&lt;1,0,IFERROR(LOOKUP(2,1/('Milho 1ª safra'!$E46:INDEX('Milho 1ª safra'!$E46:$Z46,MIN(AS$6-$G$3,22))&lt;&gt;""),'Milho 1ª safra'!$E46:INDEX('Milho 1ª safra'!$E46:$Z46,MIN(AS$6-$G$3,22))),0)))))</f>
        <v>0</v>
      </c>
      <c r="AT48" s="27" t="n">
        <f aca="false">IF(COUNT('Milho 1ª safra'!$E46:$Z46)=0,0,MAX(0,IF((AT$6-$E$3)&lt;1,0,IFERROR(LOOKUP(2,1/('Milho 1ª safra'!$E46:INDEX('Milho 1ª safra'!$E46:$Z46,MIN(AT$6-$E$3,22))&lt;&gt;""),'Milho 1ª safra'!$E46:INDEX('Milho 1ª safra'!$E46:$Z46,MIN(AT$6-$E$3,22))),0))-IF($G$2,0,IF((AT$6-$G$3)&lt;1,0,IFERROR(LOOKUP(2,1/('Milho 1ª safra'!$E46:INDEX('Milho 1ª safra'!$E46:$Z46,MIN(AT$6-$G$3,22))&lt;&gt;""),'Milho 1ª safra'!$E46:INDEX('Milho 1ª safra'!$E46:$Z46,MIN(AT$6-$G$3,22))),0)))))</f>
        <v>0</v>
      </c>
      <c r="AU48" s="27" t="n">
        <f aca="false">IF(COUNT('Milho 1ª safra'!$E46:$Z46)=0,0,MAX(0,IF((AU$6-$E$3)&lt;1,0,IFERROR(LOOKUP(2,1/('Milho 1ª safra'!$E46:INDEX('Milho 1ª safra'!$E46:$Z46,MIN(AU$6-$E$3,22))&lt;&gt;""),'Milho 1ª safra'!$E46:INDEX('Milho 1ª safra'!$E46:$Z46,MIN(AU$6-$E$3,22))),0))-IF($G$2,0,IF((AU$6-$G$3)&lt;1,0,IFERROR(LOOKUP(2,1/('Milho 1ª safra'!$E46:INDEX('Milho 1ª safra'!$E46:$Z46,MIN(AU$6-$G$3,22))&lt;&gt;""),'Milho 1ª safra'!$E46:INDEX('Milho 1ª safra'!$E46:$Z46,MIN(AU$6-$G$3,22))),0)))))</f>
        <v>0</v>
      </c>
      <c r="AV48" s="27" t="n">
        <f aca="false">IF(COUNT('Milho 1ª safra'!$E46:$Z46)=0,0,MAX(0,IF((AV$6-$E$3)&lt;1,0,IFERROR(LOOKUP(2,1/('Milho 1ª safra'!$E46:INDEX('Milho 1ª safra'!$E46:$Z46,MIN(AV$6-$E$3,22))&lt;&gt;""),'Milho 1ª safra'!$E46:INDEX('Milho 1ª safra'!$E46:$Z46,MIN(AV$6-$E$3,22))),0))-IF($G$2,0,IF((AV$6-$G$3)&lt;1,0,IFERROR(LOOKUP(2,1/('Milho 1ª safra'!$E46:INDEX('Milho 1ª safra'!$E46:$Z46,MIN(AV$6-$G$3,22))&lt;&gt;""),'Milho 1ª safra'!$E46:INDEX('Milho 1ª safra'!$E46:$Z46,MIN(AV$6-$G$3,22))),0)))))</f>
        <v>0</v>
      </c>
      <c r="AW48" s="27" t="n">
        <f aca="false">IF(COUNT('Milho 1ª safra'!$E46:$Z46)=0,0,MAX(0,IF((AW$6-$E$3)&lt;1,0,IFERROR(LOOKUP(2,1/('Milho 1ª safra'!$E46:INDEX('Milho 1ª safra'!$E46:$Z46,MIN(AW$6-$E$3,22))&lt;&gt;""),'Milho 1ª safra'!$E46:INDEX('Milho 1ª safra'!$E46:$Z46,MIN(AW$6-$E$3,22))),0))-IF($G$2,0,IF((AW$6-$G$3)&lt;1,0,IFERROR(LOOKUP(2,1/('Milho 1ª safra'!$E46:INDEX('Milho 1ª safra'!$E46:$Z46,MIN(AW$6-$G$3,22))&lt;&gt;""),'Milho 1ª safra'!$E46:INDEX('Milho 1ª safra'!$E46:$Z46,MIN(AW$6-$G$3,22))),0)))))</f>
        <v>0</v>
      </c>
      <c r="AX48" s="27" t="n">
        <f aca="false">IF(COUNT('Milho 1ª safra'!$E46:$Z46)=0,0,MAX(0,IF((AX$6-$E$3)&lt;1,0,IFERROR(LOOKUP(2,1/('Milho 1ª safra'!$E46:INDEX('Milho 1ª safra'!$E46:$Z46,MIN(AX$6-$E$3,22))&lt;&gt;""),'Milho 1ª safra'!$E46:INDEX('Milho 1ª safra'!$E46:$Z46,MIN(AX$6-$E$3,22))),0))-IF($G$2,0,IF((AX$6-$G$3)&lt;1,0,IFERROR(LOOKUP(2,1/('Milho 1ª safra'!$E46:INDEX('Milho 1ª safra'!$E46:$Z46,MIN(AX$6-$G$3,22))&lt;&gt;""),'Milho 1ª safra'!$E46:INDEX('Milho 1ª safra'!$E46:$Z46,MIN(AX$6-$G$3,22))),0)))))</f>
        <v>0</v>
      </c>
      <c r="AY48" s="27" t="n">
        <f aca="false">IF(COUNT('Milho 1ª safra'!$E46:$Z46)=0,0,MAX(0,IF((AY$6-$E$3)&lt;1,0,IFERROR(LOOKUP(2,1/('Milho 1ª safra'!$E46:INDEX('Milho 1ª safra'!$E46:$Z46,MIN(AY$6-$E$3,22))&lt;&gt;""),'Milho 1ª safra'!$E46:INDEX('Milho 1ª safra'!$E46:$Z46,MIN(AY$6-$E$3,22))),0))-IF($G$2,0,IF((AY$6-$G$3)&lt;1,0,IFERROR(LOOKUP(2,1/('Milho 1ª safra'!$E46:INDEX('Milho 1ª safra'!$E46:$Z46,MIN(AY$6-$G$3,22))&lt;&gt;""),'Milho 1ª safra'!$E46:INDEX('Milho 1ª safra'!$E46:$Z46,MIN(AY$6-$G$3,22))),0)))))</f>
        <v>0</v>
      </c>
      <c r="AZ48" s="27" t="n">
        <f aca="false">IF(COUNT('Milho 1ª safra'!$E46:$Z46)=0,0,MAX(0,IF((AZ$6-$E$3)&lt;1,0,IFERROR(LOOKUP(2,1/('Milho 1ª safra'!$E46:INDEX('Milho 1ª safra'!$E46:$Z46,MIN(AZ$6-$E$3,22))&lt;&gt;""),'Milho 1ª safra'!$E46:INDEX('Milho 1ª safra'!$E46:$Z46,MIN(AZ$6-$E$3,22))),0))-IF($G$2,0,IF((AZ$6-$G$3)&lt;1,0,IFERROR(LOOKUP(2,1/('Milho 1ª safra'!$E46:INDEX('Milho 1ª safra'!$E46:$Z46,MIN(AZ$6-$G$3,22))&lt;&gt;""),'Milho 1ª safra'!$E46:INDEX('Milho 1ª safra'!$E46:$Z46,MIN(AZ$6-$G$3,22))),0)))))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IF(COUNT('Milho 1ª safra'!$E47:$Z47)&gt;0,N('Milho 1ª safra'!$D47),0)</f>
        <v>0</v>
      </c>
      <c r="E49" s="27" t="n">
        <f aca="false">IF(COUNT('Milho 1ª safra'!$E47:$Z47)=0,0,MAX(0,IF((E$6-$E$3)&lt;1,0,IFERROR(LOOKUP(2,1/('Milho 1ª safra'!$E47:INDEX('Milho 1ª safra'!$E47:$Z47,MIN(E$6-$E$3,22))&lt;&gt;""),'Milho 1ª safra'!$E47:INDEX('Milho 1ª safra'!$E47:$Z47,MIN(E$6-$E$3,22))),0))-IF($G$2,0,IF((E$6-$G$3)&lt;1,0,IFERROR(LOOKUP(2,1/('Milho 1ª safra'!$E47:INDEX('Milho 1ª safra'!$E47:$Z47,MIN(E$6-$G$3,22))&lt;&gt;""),'Milho 1ª safra'!$E47:INDEX('Milho 1ª safra'!$E47:$Z47,MIN(E$6-$G$3,22))),0)))))</f>
        <v>0</v>
      </c>
      <c r="F49" s="27" t="n">
        <f aca="false">IF(COUNT('Milho 1ª safra'!$E47:$Z47)=0,0,MAX(0,IF((F$6-$E$3)&lt;1,0,IFERROR(LOOKUP(2,1/('Milho 1ª safra'!$E47:INDEX('Milho 1ª safra'!$E47:$Z47,MIN(F$6-$E$3,22))&lt;&gt;""),'Milho 1ª safra'!$E47:INDEX('Milho 1ª safra'!$E47:$Z47,MIN(F$6-$E$3,22))),0))-IF($G$2,0,IF((F$6-$G$3)&lt;1,0,IFERROR(LOOKUP(2,1/('Milho 1ª safra'!$E47:INDEX('Milho 1ª safra'!$E47:$Z47,MIN(F$6-$G$3,22))&lt;&gt;""),'Milho 1ª safra'!$E47:INDEX('Milho 1ª safra'!$E47:$Z47,MIN(F$6-$G$3,22))),0)))))</f>
        <v>0</v>
      </c>
      <c r="G49" s="27" t="n">
        <f aca="false">IF(COUNT('Milho 1ª safra'!$E47:$Z47)=0,0,MAX(0,IF((G$6-$E$3)&lt;1,0,IFERROR(LOOKUP(2,1/('Milho 1ª safra'!$E47:INDEX('Milho 1ª safra'!$E47:$Z47,MIN(G$6-$E$3,22))&lt;&gt;""),'Milho 1ª safra'!$E47:INDEX('Milho 1ª safra'!$E47:$Z47,MIN(G$6-$E$3,22))),0))-IF($G$2,0,IF((G$6-$G$3)&lt;1,0,IFERROR(LOOKUP(2,1/('Milho 1ª safra'!$E47:INDEX('Milho 1ª safra'!$E47:$Z47,MIN(G$6-$G$3,22))&lt;&gt;""),'Milho 1ª safra'!$E47:INDEX('Milho 1ª safra'!$E47:$Z47,MIN(G$6-$G$3,22))),0)))))</f>
        <v>0</v>
      </c>
      <c r="H49" s="27" t="n">
        <f aca="false">IF(COUNT('Milho 1ª safra'!$E47:$Z47)=0,0,MAX(0,IF((H$6-$E$3)&lt;1,0,IFERROR(LOOKUP(2,1/('Milho 1ª safra'!$E47:INDEX('Milho 1ª safra'!$E47:$Z47,MIN(H$6-$E$3,22))&lt;&gt;""),'Milho 1ª safra'!$E47:INDEX('Milho 1ª safra'!$E47:$Z47,MIN(H$6-$E$3,22))),0))-IF($G$2,0,IF((H$6-$G$3)&lt;1,0,IFERROR(LOOKUP(2,1/('Milho 1ª safra'!$E47:INDEX('Milho 1ª safra'!$E47:$Z47,MIN(H$6-$G$3,22))&lt;&gt;""),'Milho 1ª safra'!$E47:INDEX('Milho 1ª safra'!$E47:$Z47,MIN(H$6-$G$3,22))),0)))))</f>
        <v>0</v>
      </c>
      <c r="I49" s="27" t="n">
        <f aca="false">IF(COUNT('Milho 1ª safra'!$E47:$Z47)=0,0,MAX(0,IF((I$6-$E$3)&lt;1,0,IFERROR(LOOKUP(2,1/('Milho 1ª safra'!$E47:INDEX('Milho 1ª safra'!$E47:$Z47,MIN(I$6-$E$3,22))&lt;&gt;""),'Milho 1ª safra'!$E47:INDEX('Milho 1ª safra'!$E47:$Z47,MIN(I$6-$E$3,22))),0))-IF($G$2,0,IF((I$6-$G$3)&lt;1,0,IFERROR(LOOKUP(2,1/('Milho 1ª safra'!$E47:INDEX('Milho 1ª safra'!$E47:$Z47,MIN(I$6-$G$3,22))&lt;&gt;""),'Milho 1ª safra'!$E47:INDEX('Milho 1ª safra'!$E47:$Z47,MIN(I$6-$G$3,22))),0)))))</f>
        <v>0</v>
      </c>
      <c r="J49" s="27" t="n">
        <f aca="false">IF(COUNT('Milho 1ª safra'!$E47:$Z47)=0,0,MAX(0,IF((J$6-$E$3)&lt;1,0,IFERROR(LOOKUP(2,1/('Milho 1ª safra'!$E47:INDEX('Milho 1ª safra'!$E47:$Z47,MIN(J$6-$E$3,22))&lt;&gt;""),'Milho 1ª safra'!$E47:INDEX('Milho 1ª safra'!$E47:$Z47,MIN(J$6-$E$3,22))),0))-IF($G$2,0,IF((J$6-$G$3)&lt;1,0,IFERROR(LOOKUP(2,1/('Milho 1ª safra'!$E47:INDEX('Milho 1ª safra'!$E47:$Z47,MIN(J$6-$G$3,22))&lt;&gt;""),'Milho 1ª safra'!$E47:INDEX('Milho 1ª safra'!$E47:$Z47,MIN(J$6-$G$3,22))),0)))))</f>
        <v>0</v>
      </c>
      <c r="K49" s="27" t="n">
        <f aca="false">IF(COUNT('Milho 1ª safra'!$E47:$Z47)=0,0,MAX(0,IF((K$6-$E$3)&lt;1,0,IFERROR(LOOKUP(2,1/('Milho 1ª safra'!$E47:INDEX('Milho 1ª safra'!$E47:$Z47,MIN(K$6-$E$3,22))&lt;&gt;""),'Milho 1ª safra'!$E47:INDEX('Milho 1ª safra'!$E47:$Z47,MIN(K$6-$E$3,22))),0))-IF($G$2,0,IF((K$6-$G$3)&lt;1,0,IFERROR(LOOKUP(2,1/('Milho 1ª safra'!$E47:INDEX('Milho 1ª safra'!$E47:$Z47,MIN(K$6-$G$3,22))&lt;&gt;""),'Milho 1ª safra'!$E47:INDEX('Milho 1ª safra'!$E47:$Z47,MIN(K$6-$G$3,22))),0)))))</f>
        <v>0</v>
      </c>
      <c r="L49" s="27" t="n">
        <f aca="false">IF(COUNT('Milho 1ª safra'!$E47:$Z47)=0,0,MAX(0,IF((L$6-$E$3)&lt;1,0,IFERROR(LOOKUP(2,1/('Milho 1ª safra'!$E47:INDEX('Milho 1ª safra'!$E47:$Z47,MIN(L$6-$E$3,22))&lt;&gt;""),'Milho 1ª safra'!$E47:INDEX('Milho 1ª safra'!$E47:$Z47,MIN(L$6-$E$3,22))),0))-IF($G$2,0,IF((L$6-$G$3)&lt;1,0,IFERROR(LOOKUP(2,1/('Milho 1ª safra'!$E47:INDEX('Milho 1ª safra'!$E47:$Z47,MIN(L$6-$G$3,22))&lt;&gt;""),'Milho 1ª safra'!$E47:INDEX('Milho 1ª safra'!$E47:$Z47,MIN(L$6-$G$3,22))),0)))))</f>
        <v>0</v>
      </c>
      <c r="M49" s="27" t="n">
        <f aca="false">IF(COUNT('Milho 1ª safra'!$E47:$Z47)=0,0,MAX(0,IF((M$6-$E$3)&lt;1,0,IFERROR(LOOKUP(2,1/('Milho 1ª safra'!$E47:INDEX('Milho 1ª safra'!$E47:$Z47,MIN(M$6-$E$3,22))&lt;&gt;""),'Milho 1ª safra'!$E47:INDEX('Milho 1ª safra'!$E47:$Z47,MIN(M$6-$E$3,22))),0))-IF($G$2,0,IF((M$6-$G$3)&lt;1,0,IFERROR(LOOKUP(2,1/('Milho 1ª safra'!$E47:INDEX('Milho 1ª safra'!$E47:$Z47,MIN(M$6-$G$3,22))&lt;&gt;""),'Milho 1ª safra'!$E47:INDEX('Milho 1ª safra'!$E47:$Z47,MIN(M$6-$G$3,22))),0)))))</f>
        <v>0</v>
      </c>
      <c r="N49" s="27" t="n">
        <f aca="false">IF(COUNT('Milho 1ª safra'!$E47:$Z47)=0,0,MAX(0,IF((N$6-$E$3)&lt;1,0,IFERROR(LOOKUP(2,1/('Milho 1ª safra'!$E47:INDEX('Milho 1ª safra'!$E47:$Z47,MIN(N$6-$E$3,22))&lt;&gt;""),'Milho 1ª safra'!$E47:INDEX('Milho 1ª safra'!$E47:$Z47,MIN(N$6-$E$3,22))),0))-IF($G$2,0,IF((N$6-$G$3)&lt;1,0,IFERROR(LOOKUP(2,1/('Milho 1ª safra'!$E47:INDEX('Milho 1ª safra'!$E47:$Z47,MIN(N$6-$G$3,22))&lt;&gt;""),'Milho 1ª safra'!$E47:INDEX('Milho 1ª safra'!$E47:$Z47,MIN(N$6-$G$3,22))),0)))))</f>
        <v>0</v>
      </c>
      <c r="O49" s="27" t="n">
        <f aca="false">IF(COUNT('Milho 1ª safra'!$E47:$Z47)=0,0,MAX(0,IF((O$6-$E$3)&lt;1,0,IFERROR(LOOKUP(2,1/('Milho 1ª safra'!$E47:INDEX('Milho 1ª safra'!$E47:$Z47,MIN(O$6-$E$3,22))&lt;&gt;""),'Milho 1ª safra'!$E47:INDEX('Milho 1ª safra'!$E47:$Z47,MIN(O$6-$E$3,22))),0))-IF($G$2,0,IF((O$6-$G$3)&lt;1,0,IFERROR(LOOKUP(2,1/('Milho 1ª safra'!$E47:INDEX('Milho 1ª safra'!$E47:$Z47,MIN(O$6-$G$3,22))&lt;&gt;""),'Milho 1ª safra'!$E47:INDEX('Milho 1ª safra'!$E47:$Z47,MIN(O$6-$G$3,22))),0)))))</f>
        <v>0</v>
      </c>
      <c r="P49" s="27" t="n">
        <f aca="false">IF(COUNT('Milho 1ª safra'!$E47:$Z47)=0,0,MAX(0,IF((P$6-$E$3)&lt;1,0,IFERROR(LOOKUP(2,1/('Milho 1ª safra'!$E47:INDEX('Milho 1ª safra'!$E47:$Z47,MIN(P$6-$E$3,22))&lt;&gt;""),'Milho 1ª safra'!$E47:INDEX('Milho 1ª safra'!$E47:$Z47,MIN(P$6-$E$3,22))),0))-IF($G$2,0,IF((P$6-$G$3)&lt;1,0,IFERROR(LOOKUP(2,1/('Milho 1ª safra'!$E47:INDEX('Milho 1ª safra'!$E47:$Z47,MIN(P$6-$G$3,22))&lt;&gt;""),'Milho 1ª safra'!$E47:INDEX('Milho 1ª safra'!$E47:$Z47,MIN(P$6-$G$3,22))),0)))))</f>
        <v>0</v>
      </c>
      <c r="Q49" s="27" t="n">
        <f aca="false">IF(COUNT('Milho 1ª safra'!$E47:$Z47)=0,0,MAX(0,IF((Q$6-$E$3)&lt;1,0,IFERROR(LOOKUP(2,1/('Milho 1ª safra'!$E47:INDEX('Milho 1ª safra'!$E47:$Z47,MIN(Q$6-$E$3,22))&lt;&gt;""),'Milho 1ª safra'!$E47:INDEX('Milho 1ª safra'!$E47:$Z47,MIN(Q$6-$E$3,22))),0))-IF($G$2,0,IF((Q$6-$G$3)&lt;1,0,IFERROR(LOOKUP(2,1/('Milho 1ª safra'!$E47:INDEX('Milho 1ª safra'!$E47:$Z47,MIN(Q$6-$G$3,22))&lt;&gt;""),'Milho 1ª safra'!$E47:INDEX('Milho 1ª safra'!$E47:$Z47,MIN(Q$6-$G$3,22))),0)))))</f>
        <v>0</v>
      </c>
      <c r="R49" s="27" t="n">
        <f aca="false">IF(COUNT('Milho 1ª safra'!$E47:$Z47)=0,0,MAX(0,IF((R$6-$E$3)&lt;1,0,IFERROR(LOOKUP(2,1/('Milho 1ª safra'!$E47:INDEX('Milho 1ª safra'!$E47:$Z47,MIN(R$6-$E$3,22))&lt;&gt;""),'Milho 1ª safra'!$E47:INDEX('Milho 1ª safra'!$E47:$Z47,MIN(R$6-$E$3,22))),0))-IF($G$2,0,IF((R$6-$G$3)&lt;1,0,IFERROR(LOOKUP(2,1/('Milho 1ª safra'!$E47:INDEX('Milho 1ª safra'!$E47:$Z47,MIN(R$6-$G$3,22))&lt;&gt;""),'Milho 1ª safra'!$E47:INDEX('Milho 1ª safra'!$E47:$Z47,MIN(R$6-$G$3,22))),0)))))</f>
        <v>0</v>
      </c>
      <c r="S49" s="27" t="n">
        <f aca="false">IF(COUNT('Milho 1ª safra'!$E47:$Z47)=0,0,MAX(0,IF((S$6-$E$3)&lt;1,0,IFERROR(LOOKUP(2,1/('Milho 1ª safra'!$E47:INDEX('Milho 1ª safra'!$E47:$Z47,MIN(S$6-$E$3,22))&lt;&gt;""),'Milho 1ª safra'!$E47:INDEX('Milho 1ª safra'!$E47:$Z47,MIN(S$6-$E$3,22))),0))-IF($G$2,0,IF((S$6-$G$3)&lt;1,0,IFERROR(LOOKUP(2,1/('Milho 1ª safra'!$E47:INDEX('Milho 1ª safra'!$E47:$Z47,MIN(S$6-$G$3,22))&lt;&gt;""),'Milho 1ª safra'!$E47:INDEX('Milho 1ª safra'!$E47:$Z47,MIN(S$6-$G$3,22))),0)))))</f>
        <v>0</v>
      </c>
      <c r="T49" s="27" t="n">
        <f aca="false">IF(COUNT('Milho 1ª safra'!$E47:$Z47)=0,0,MAX(0,IF((T$6-$E$3)&lt;1,0,IFERROR(LOOKUP(2,1/('Milho 1ª safra'!$E47:INDEX('Milho 1ª safra'!$E47:$Z47,MIN(T$6-$E$3,22))&lt;&gt;""),'Milho 1ª safra'!$E47:INDEX('Milho 1ª safra'!$E47:$Z47,MIN(T$6-$E$3,22))),0))-IF($G$2,0,IF((T$6-$G$3)&lt;1,0,IFERROR(LOOKUP(2,1/('Milho 1ª safra'!$E47:INDEX('Milho 1ª safra'!$E47:$Z47,MIN(T$6-$G$3,22))&lt;&gt;""),'Milho 1ª safra'!$E47:INDEX('Milho 1ª safra'!$E47:$Z47,MIN(T$6-$G$3,22))),0)))))</f>
        <v>0</v>
      </c>
      <c r="U49" s="27" t="n">
        <f aca="false">IF(COUNT('Milho 1ª safra'!$E47:$Z47)=0,0,MAX(0,IF((U$6-$E$3)&lt;1,0,IFERROR(LOOKUP(2,1/('Milho 1ª safra'!$E47:INDEX('Milho 1ª safra'!$E47:$Z47,MIN(U$6-$E$3,22))&lt;&gt;""),'Milho 1ª safra'!$E47:INDEX('Milho 1ª safra'!$E47:$Z47,MIN(U$6-$E$3,22))),0))-IF($G$2,0,IF((U$6-$G$3)&lt;1,0,IFERROR(LOOKUP(2,1/('Milho 1ª safra'!$E47:INDEX('Milho 1ª safra'!$E47:$Z47,MIN(U$6-$G$3,22))&lt;&gt;""),'Milho 1ª safra'!$E47:INDEX('Milho 1ª safra'!$E47:$Z47,MIN(U$6-$G$3,22))),0)))))</f>
        <v>0</v>
      </c>
      <c r="V49" s="27" t="n">
        <f aca="false">IF(COUNT('Milho 1ª safra'!$E47:$Z47)=0,0,MAX(0,IF((V$6-$E$3)&lt;1,0,IFERROR(LOOKUP(2,1/('Milho 1ª safra'!$E47:INDEX('Milho 1ª safra'!$E47:$Z47,MIN(V$6-$E$3,22))&lt;&gt;""),'Milho 1ª safra'!$E47:INDEX('Milho 1ª safra'!$E47:$Z47,MIN(V$6-$E$3,22))),0))-IF($G$2,0,IF((V$6-$G$3)&lt;1,0,IFERROR(LOOKUP(2,1/('Milho 1ª safra'!$E47:INDEX('Milho 1ª safra'!$E47:$Z47,MIN(V$6-$G$3,22))&lt;&gt;""),'Milho 1ª safra'!$E47:INDEX('Milho 1ª safra'!$E47:$Z47,MIN(V$6-$G$3,22))),0)))))</f>
        <v>0</v>
      </c>
      <c r="W49" s="27" t="n">
        <f aca="false">IF(COUNT('Milho 1ª safra'!$E47:$Z47)=0,0,MAX(0,IF((W$6-$E$3)&lt;1,0,IFERROR(LOOKUP(2,1/('Milho 1ª safra'!$E47:INDEX('Milho 1ª safra'!$E47:$Z47,MIN(W$6-$E$3,22))&lt;&gt;""),'Milho 1ª safra'!$E47:INDEX('Milho 1ª safra'!$E47:$Z47,MIN(W$6-$E$3,22))),0))-IF($G$2,0,IF((W$6-$G$3)&lt;1,0,IFERROR(LOOKUP(2,1/('Milho 1ª safra'!$E47:INDEX('Milho 1ª safra'!$E47:$Z47,MIN(W$6-$G$3,22))&lt;&gt;""),'Milho 1ª safra'!$E47:INDEX('Milho 1ª safra'!$E47:$Z47,MIN(W$6-$G$3,22))),0)))))</f>
        <v>0</v>
      </c>
      <c r="X49" s="27" t="n">
        <f aca="false">IF(COUNT('Milho 1ª safra'!$E47:$Z47)=0,0,MAX(0,IF((X$6-$E$3)&lt;1,0,IFERROR(LOOKUP(2,1/('Milho 1ª safra'!$E47:INDEX('Milho 1ª safra'!$E47:$Z47,MIN(X$6-$E$3,22))&lt;&gt;""),'Milho 1ª safra'!$E47:INDEX('Milho 1ª safra'!$E47:$Z47,MIN(X$6-$E$3,22))),0))-IF($G$2,0,IF((X$6-$G$3)&lt;1,0,IFERROR(LOOKUP(2,1/('Milho 1ª safra'!$E47:INDEX('Milho 1ª safra'!$E47:$Z47,MIN(X$6-$G$3,22))&lt;&gt;""),'Milho 1ª safra'!$E47:INDEX('Milho 1ª safra'!$E47:$Z47,MIN(X$6-$G$3,22))),0)))))</f>
        <v>0</v>
      </c>
      <c r="Y49" s="27" t="n">
        <f aca="false">IF(COUNT('Milho 1ª safra'!$E47:$Z47)=0,0,MAX(0,IF((Y$6-$E$3)&lt;1,0,IFERROR(LOOKUP(2,1/('Milho 1ª safra'!$E47:INDEX('Milho 1ª safra'!$E47:$Z47,MIN(Y$6-$E$3,22))&lt;&gt;""),'Milho 1ª safra'!$E47:INDEX('Milho 1ª safra'!$E47:$Z47,MIN(Y$6-$E$3,22))),0))-IF($G$2,0,IF((Y$6-$G$3)&lt;1,0,IFERROR(LOOKUP(2,1/('Milho 1ª safra'!$E47:INDEX('Milho 1ª safra'!$E47:$Z47,MIN(Y$6-$G$3,22))&lt;&gt;""),'Milho 1ª safra'!$E47:INDEX('Milho 1ª safra'!$E47:$Z47,MIN(Y$6-$G$3,22))),0)))))</f>
        <v>0</v>
      </c>
      <c r="Z49" s="27" t="n">
        <f aca="false">IF(COUNT('Milho 1ª safra'!$E47:$Z47)=0,0,MAX(0,IF((Z$6-$E$3)&lt;1,0,IFERROR(LOOKUP(2,1/('Milho 1ª safra'!$E47:INDEX('Milho 1ª safra'!$E47:$Z47,MIN(Z$6-$E$3,22))&lt;&gt;""),'Milho 1ª safra'!$E47:INDEX('Milho 1ª safra'!$E47:$Z47,MIN(Z$6-$E$3,22))),0))-IF($G$2,0,IF((Z$6-$G$3)&lt;1,0,IFERROR(LOOKUP(2,1/('Milho 1ª safra'!$E47:INDEX('Milho 1ª safra'!$E47:$Z47,MIN(Z$6-$G$3,22))&lt;&gt;""),'Milho 1ª safra'!$E47:INDEX('Milho 1ª safra'!$E47:$Z47,MIN(Z$6-$G$3,22))),0)))))</f>
        <v>0</v>
      </c>
      <c r="AA49" s="27" t="n">
        <f aca="false">IF(COUNT('Milho 1ª safra'!$E47:$Z47)=0,0,MAX(0,IF((AA$6-$E$3)&lt;1,0,IFERROR(LOOKUP(2,1/('Milho 1ª safra'!$E47:INDEX('Milho 1ª safra'!$E47:$Z47,MIN(AA$6-$E$3,22))&lt;&gt;""),'Milho 1ª safra'!$E47:INDEX('Milho 1ª safra'!$E47:$Z47,MIN(AA$6-$E$3,22))),0))-IF($G$2,0,IF((AA$6-$G$3)&lt;1,0,IFERROR(LOOKUP(2,1/('Milho 1ª safra'!$E47:INDEX('Milho 1ª safra'!$E47:$Z47,MIN(AA$6-$G$3,22))&lt;&gt;""),'Milho 1ª safra'!$E47:INDEX('Milho 1ª safra'!$E47:$Z47,MIN(AA$6-$G$3,22))),0)))))</f>
        <v>0</v>
      </c>
      <c r="AB49" s="27" t="n">
        <f aca="false">IF(COUNT('Milho 1ª safra'!$E47:$Z47)=0,0,MAX(0,IF((AB$6-$E$3)&lt;1,0,IFERROR(LOOKUP(2,1/('Milho 1ª safra'!$E47:INDEX('Milho 1ª safra'!$E47:$Z47,MIN(AB$6-$E$3,22))&lt;&gt;""),'Milho 1ª safra'!$E47:INDEX('Milho 1ª safra'!$E47:$Z47,MIN(AB$6-$E$3,22))),0))-IF($G$2,0,IF((AB$6-$G$3)&lt;1,0,IFERROR(LOOKUP(2,1/('Milho 1ª safra'!$E47:INDEX('Milho 1ª safra'!$E47:$Z47,MIN(AB$6-$G$3,22))&lt;&gt;""),'Milho 1ª safra'!$E47:INDEX('Milho 1ª safra'!$E47:$Z47,MIN(AB$6-$G$3,22))),0)))))</f>
        <v>0</v>
      </c>
      <c r="AC49" s="27" t="n">
        <f aca="false">IF(COUNT('Milho 1ª safra'!$E47:$Z47)=0,0,MAX(0,IF((AC$6-$E$3)&lt;1,0,IFERROR(LOOKUP(2,1/('Milho 1ª safra'!$E47:INDEX('Milho 1ª safra'!$E47:$Z47,MIN(AC$6-$E$3,22))&lt;&gt;""),'Milho 1ª safra'!$E47:INDEX('Milho 1ª safra'!$E47:$Z47,MIN(AC$6-$E$3,22))),0))-IF($G$2,0,IF((AC$6-$G$3)&lt;1,0,IFERROR(LOOKUP(2,1/('Milho 1ª safra'!$E47:INDEX('Milho 1ª safra'!$E47:$Z47,MIN(AC$6-$G$3,22))&lt;&gt;""),'Milho 1ª safra'!$E47:INDEX('Milho 1ª safra'!$E47:$Z47,MIN(AC$6-$G$3,22))),0)))))</f>
        <v>0</v>
      </c>
      <c r="AD49" s="27" t="n">
        <f aca="false">IF(COUNT('Milho 1ª safra'!$E47:$Z47)=0,0,MAX(0,IF((AD$6-$E$3)&lt;1,0,IFERROR(LOOKUP(2,1/('Milho 1ª safra'!$E47:INDEX('Milho 1ª safra'!$E47:$Z47,MIN(AD$6-$E$3,22))&lt;&gt;""),'Milho 1ª safra'!$E47:INDEX('Milho 1ª safra'!$E47:$Z47,MIN(AD$6-$E$3,22))),0))-IF($G$2,0,IF((AD$6-$G$3)&lt;1,0,IFERROR(LOOKUP(2,1/('Milho 1ª safra'!$E47:INDEX('Milho 1ª safra'!$E47:$Z47,MIN(AD$6-$G$3,22))&lt;&gt;""),'Milho 1ª safra'!$E47:INDEX('Milho 1ª safra'!$E47:$Z47,MIN(AD$6-$G$3,22))),0)))))</f>
        <v>0</v>
      </c>
      <c r="AE49" s="27" t="n">
        <f aca="false">IF(COUNT('Milho 1ª safra'!$E47:$Z47)=0,0,MAX(0,IF((AE$6-$E$3)&lt;1,0,IFERROR(LOOKUP(2,1/('Milho 1ª safra'!$E47:INDEX('Milho 1ª safra'!$E47:$Z47,MIN(AE$6-$E$3,22))&lt;&gt;""),'Milho 1ª safra'!$E47:INDEX('Milho 1ª safra'!$E47:$Z47,MIN(AE$6-$E$3,22))),0))-IF($G$2,0,IF((AE$6-$G$3)&lt;1,0,IFERROR(LOOKUP(2,1/('Milho 1ª safra'!$E47:INDEX('Milho 1ª safra'!$E47:$Z47,MIN(AE$6-$G$3,22))&lt;&gt;""),'Milho 1ª safra'!$E47:INDEX('Milho 1ª safra'!$E47:$Z47,MIN(AE$6-$G$3,22))),0)))))</f>
        <v>0</v>
      </c>
      <c r="AF49" s="27" t="n">
        <f aca="false">IF(COUNT('Milho 1ª safra'!$E47:$Z47)=0,0,MAX(0,IF((AF$6-$E$3)&lt;1,0,IFERROR(LOOKUP(2,1/('Milho 1ª safra'!$E47:INDEX('Milho 1ª safra'!$E47:$Z47,MIN(AF$6-$E$3,22))&lt;&gt;""),'Milho 1ª safra'!$E47:INDEX('Milho 1ª safra'!$E47:$Z47,MIN(AF$6-$E$3,22))),0))-IF($G$2,0,IF((AF$6-$G$3)&lt;1,0,IFERROR(LOOKUP(2,1/('Milho 1ª safra'!$E47:INDEX('Milho 1ª safra'!$E47:$Z47,MIN(AF$6-$G$3,22))&lt;&gt;""),'Milho 1ª safra'!$E47:INDEX('Milho 1ª safra'!$E47:$Z47,MIN(AF$6-$G$3,22))),0)))))</f>
        <v>0</v>
      </c>
      <c r="AG49" s="27" t="n">
        <f aca="false">IF(COUNT('Milho 1ª safra'!$E47:$Z47)=0,0,MAX(0,IF((AG$6-$E$3)&lt;1,0,IFERROR(LOOKUP(2,1/('Milho 1ª safra'!$E47:INDEX('Milho 1ª safra'!$E47:$Z47,MIN(AG$6-$E$3,22))&lt;&gt;""),'Milho 1ª safra'!$E47:INDEX('Milho 1ª safra'!$E47:$Z47,MIN(AG$6-$E$3,22))),0))-IF($G$2,0,IF((AG$6-$G$3)&lt;1,0,IFERROR(LOOKUP(2,1/('Milho 1ª safra'!$E47:INDEX('Milho 1ª safra'!$E47:$Z47,MIN(AG$6-$G$3,22))&lt;&gt;""),'Milho 1ª safra'!$E47:INDEX('Milho 1ª safra'!$E47:$Z47,MIN(AG$6-$G$3,22))),0)))))</f>
        <v>0</v>
      </c>
      <c r="AH49" s="27" t="n">
        <f aca="false">IF(COUNT('Milho 1ª safra'!$E47:$Z47)=0,0,MAX(0,IF((AH$6-$E$3)&lt;1,0,IFERROR(LOOKUP(2,1/('Milho 1ª safra'!$E47:INDEX('Milho 1ª safra'!$E47:$Z47,MIN(AH$6-$E$3,22))&lt;&gt;""),'Milho 1ª safra'!$E47:INDEX('Milho 1ª safra'!$E47:$Z47,MIN(AH$6-$E$3,22))),0))-IF($G$2,0,IF((AH$6-$G$3)&lt;1,0,IFERROR(LOOKUP(2,1/('Milho 1ª safra'!$E47:INDEX('Milho 1ª safra'!$E47:$Z47,MIN(AH$6-$G$3,22))&lt;&gt;""),'Milho 1ª safra'!$E47:INDEX('Milho 1ª safra'!$E47:$Z47,MIN(AH$6-$G$3,22))),0)))))</f>
        <v>0</v>
      </c>
      <c r="AI49" s="27" t="n">
        <f aca="false">IF(COUNT('Milho 1ª safra'!$E47:$Z47)=0,0,MAX(0,IF((AI$6-$E$3)&lt;1,0,IFERROR(LOOKUP(2,1/('Milho 1ª safra'!$E47:INDEX('Milho 1ª safra'!$E47:$Z47,MIN(AI$6-$E$3,22))&lt;&gt;""),'Milho 1ª safra'!$E47:INDEX('Milho 1ª safra'!$E47:$Z47,MIN(AI$6-$E$3,22))),0))-IF($G$2,0,IF((AI$6-$G$3)&lt;1,0,IFERROR(LOOKUP(2,1/('Milho 1ª safra'!$E47:INDEX('Milho 1ª safra'!$E47:$Z47,MIN(AI$6-$G$3,22))&lt;&gt;""),'Milho 1ª safra'!$E47:INDEX('Milho 1ª safra'!$E47:$Z47,MIN(AI$6-$G$3,22))),0)))))</f>
        <v>0</v>
      </c>
      <c r="AJ49" s="27" t="n">
        <f aca="false">IF(COUNT('Milho 1ª safra'!$E47:$Z47)=0,0,MAX(0,IF((AJ$6-$E$3)&lt;1,0,IFERROR(LOOKUP(2,1/('Milho 1ª safra'!$E47:INDEX('Milho 1ª safra'!$E47:$Z47,MIN(AJ$6-$E$3,22))&lt;&gt;""),'Milho 1ª safra'!$E47:INDEX('Milho 1ª safra'!$E47:$Z47,MIN(AJ$6-$E$3,22))),0))-IF($G$2,0,IF((AJ$6-$G$3)&lt;1,0,IFERROR(LOOKUP(2,1/('Milho 1ª safra'!$E47:INDEX('Milho 1ª safra'!$E47:$Z47,MIN(AJ$6-$G$3,22))&lt;&gt;""),'Milho 1ª safra'!$E47:INDEX('Milho 1ª safra'!$E47:$Z47,MIN(AJ$6-$G$3,22))),0)))))</f>
        <v>0</v>
      </c>
      <c r="AK49" s="27" t="n">
        <f aca="false">IF(COUNT('Milho 1ª safra'!$E47:$Z47)=0,0,MAX(0,IF((AK$6-$E$3)&lt;1,0,IFERROR(LOOKUP(2,1/('Milho 1ª safra'!$E47:INDEX('Milho 1ª safra'!$E47:$Z47,MIN(AK$6-$E$3,22))&lt;&gt;""),'Milho 1ª safra'!$E47:INDEX('Milho 1ª safra'!$E47:$Z47,MIN(AK$6-$E$3,22))),0))-IF($G$2,0,IF((AK$6-$G$3)&lt;1,0,IFERROR(LOOKUP(2,1/('Milho 1ª safra'!$E47:INDEX('Milho 1ª safra'!$E47:$Z47,MIN(AK$6-$G$3,22))&lt;&gt;""),'Milho 1ª safra'!$E47:INDEX('Milho 1ª safra'!$E47:$Z47,MIN(AK$6-$G$3,22))),0)))))</f>
        <v>0</v>
      </c>
      <c r="AL49" s="27" t="n">
        <f aca="false">IF(COUNT('Milho 1ª safra'!$E47:$Z47)=0,0,MAX(0,IF((AL$6-$E$3)&lt;1,0,IFERROR(LOOKUP(2,1/('Milho 1ª safra'!$E47:INDEX('Milho 1ª safra'!$E47:$Z47,MIN(AL$6-$E$3,22))&lt;&gt;""),'Milho 1ª safra'!$E47:INDEX('Milho 1ª safra'!$E47:$Z47,MIN(AL$6-$E$3,22))),0))-IF($G$2,0,IF((AL$6-$G$3)&lt;1,0,IFERROR(LOOKUP(2,1/('Milho 1ª safra'!$E47:INDEX('Milho 1ª safra'!$E47:$Z47,MIN(AL$6-$G$3,22))&lt;&gt;""),'Milho 1ª safra'!$E47:INDEX('Milho 1ª safra'!$E47:$Z47,MIN(AL$6-$G$3,22))),0)))))</f>
        <v>0</v>
      </c>
      <c r="AM49" s="27" t="n">
        <f aca="false">IF(COUNT('Milho 1ª safra'!$E47:$Z47)=0,0,MAX(0,IF((AM$6-$E$3)&lt;1,0,IFERROR(LOOKUP(2,1/('Milho 1ª safra'!$E47:INDEX('Milho 1ª safra'!$E47:$Z47,MIN(AM$6-$E$3,22))&lt;&gt;""),'Milho 1ª safra'!$E47:INDEX('Milho 1ª safra'!$E47:$Z47,MIN(AM$6-$E$3,22))),0))-IF($G$2,0,IF((AM$6-$G$3)&lt;1,0,IFERROR(LOOKUP(2,1/('Milho 1ª safra'!$E47:INDEX('Milho 1ª safra'!$E47:$Z47,MIN(AM$6-$G$3,22))&lt;&gt;""),'Milho 1ª safra'!$E47:INDEX('Milho 1ª safra'!$E47:$Z47,MIN(AM$6-$G$3,22))),0)))))</f>
        <v>0</v>
      </c>
      <c r="AN49" s="27" t="n">
        <f aca="false">IF(COUNT('Milho 1ª safra'!$E47:$Z47)=0,0,MAX(0,IF((AN$6-$E$3)&lt;1,0,IFERROR(LOOKUP(2,1/('Milho 1ª safra'!$E47:INDEX('Milho 1ª safra'!$E47:$Z47,MIN(AN$6-$E$3,22))&lt;&gt;""),'Milho 1ª safra'!$E47:INDEX('Milho 1ª safra'!$E47:$Z47,MIN(AN$6-$E$3,22))),0))-IF($G$2,0,IF((AN$6-$G$3)&lt;1,0,IFERROR(LOOKUP(2,1/('Milho 1ª safra'!$E47:INDEX('Milho 1ª safra'!$E47:$Z47,MIN(AN$6-$G$3,22))&lt;&gt;""),'Milho 1ª safra'!$E47:INDEX('Milho 1ª safra'!$E47:$Z47,MIN(AN$6-$G$3,22))),0)))))</f>
        <v>0</v>
      </c>
      <c r="AO49" s="27" t="n">
        <f aca="false">IF(COUNT('Milho 1ª safra'!$E47:$Z47)=0,0,MAX(0,IF((AO$6-$E$3)&lt;1,0,IFERROR(LOOKUP(2,1/('Milho 1ª safra'!$E47:INDEX('Milho 1ª safra'!$E47:$Z47,MIN(AO$6-$E$3,22))&lt;&gt;""),'Milho 1ª safra'!$E47:INDEX('Milho 1ª safra'!$E47:$Z47,MIN(AO$6-$E$3,22))),0))-IF($G$2,0,IF((AO$6-$G$3)&lt;1,0,IFERROR(LOOKUP(2,1/('Milho 1ª safra'!$E47:INDEX('Milho 1ª safra'!$E47:$Z47,MIN(AO$6-$G$3,22))&lt;&gt;""),'Milho 1ª safra'!$E47:INDEX('Milho 1ª safra'!$E47:$Z47,MIN(AO$6-$G$3,22))),0)))))</f>
        <v>0</v>
      </c>
      <c r="AP49" s="27" t="n">
        <f aca="false">IF(COUNT('Milho 1ª safra'!$E47:$Z47)=0,0,MAX(0,IF((AP$6-$E$3)&lt;1,0,IFERROR(LOOKUP(2,1/('Milho 1ª safra'!$E47:INDEX('Milho 1ª safra'!$E47:$Z47,MIN(AP$6-$E$3,22))&lt;&gt;""),'Milho 1ª safra'!$E47:INDEX('Milho 1ª safra'!$E47:$Z47,MIN(AP$6-$E$3,22))),0))-IF($G$2,0,IF((AP$6-$G$3)&lt;1,0,IFERROR(LOOKUP(2,1/('Milho 1ª safra'!$E47:INDEX('Milho 1ª safra'!$E47:$Z47,MIN(AP$6-$G$3,22))&lt;&gt;""),'Milho 1ª safra'!$E47:INDEX('Milho 1ª safra'!$E47:$Z47,MIN(AP$6-$G$3,22))),0)))))</f>
        <v>0</v>
      </c>
      <c r="AQ49" s="27" t="n">
        <f aca="false">IF(COUNT('Milho 1ª safra'!$E47:$Z47)=0,0,MAX(0,IF((AQ$6-$E$3)&lt;1,0,IFERROR(LOOKUP(2,1/('Milho 1ª safra'!$E47:INDEX('Milho 1ª safra'!$E47:$Z47,MIN(AQ$6-$E$3,22))&lt;&gt;""),'Milho 1ª safra'!$E47:INDEX('Milho 1ª safra'!$E47:$Z47,MIN(AQ$6-$E$3,22))),0))-IF($G$2,0,IF((AQ$6-$G$3)&lt;1,0,IFERROR(LOOKUP(2,1/('Milho 1ª safra'!$E47:INDEX('Milho 1ª safra'!$E47:$Z47,MIN(AQ$6-$G$3,22))&lt;&gt;""),'Milho 1ª safra'!$E47:INDEX('Milho 1ª safra'!$E47:$Z47,MIN(AQ$6-$G$3,22))),0)))))</f>
        <v>0</v>
      </c>
      <c r="AR49" s="27" t="n">
        <f aca="false">IF(COUNT('Milho 1ª safra'!$E47:$Z47)=0,0,MAX(0,IF((AR$6-$E$3)&lt;1,0,IFERROR(LOOKUP(2,1/('Milho 1ª safra'!$E47:INDEX('Milho 1ª safra'!$E47:$Z47,MIN(AR$6-$E$3,22))&lt;&gt;""),'Milho 1ª safra'!$E47:INDEX('Milho 1ª safra'!$E47:$Z47,MIN(AR$6-$E$3,22))),0))-IF($G$2,0,IF((AR$6-$G$3)&lt;1,0,IFERROR(LOOKUP(2,1/('Milho 1ª safra'!$E47:INDEX('Milho 1ª safra'!$E47:$Z47,MIN(AR$6-$G$3,22))&lt;&gt;""),'Milho 1ª safra'!$E47:INDEX('Milho 1ª safra'!$E47:$Z47,MIN(AR$6-$G$3,22))),0)))))</f>
        <v>0</v>
      </c>
      <c r="AS49" s="27" t="n">
        <f aca="false">IF(COUNT('Milho 1ª safra'!$E47:$Z47)=0,0,MAX(0,IF((AS$6-$E$3)&lt;1,0,IFERROR(LOOKUP(2,1/('Milho 1ª safra'!$E47:INDEX('Milho 1ª safra'!$E47:$Z47,MIN(AS$6-$E$3,22))&lt;&gt;""),'Milho 1ª safra'!$E47:INDEX('Milho 1ª safra'!$E47:$Z47,MIN(AS$6-$E$3,22))),0))-IF($G$2,0,IF((AS$6-$G$3)&lt;1,0,IFERROR(LOOKUP(2,1/('Milho 1ª safra'!$E47:INDEX('Milho 1ª safra'!$E47:$Z47,MIN(AS$6-$G$3,22))&lt;&gt;""),'Milho 1ª safra'!$E47:INDEX('Milho 1ª safra'!$E47:$Z47,MIN(AS$6-$G$3,22))),0)))))</f>
        <v>0</v>
      </c>
      <c r="AT49" s="27" t="n">
        <f aca="false">IF(COUNT('Milho 1ª safra'!$E47:$Z47)=0,0,MAX(0,IF((AT$6-$E$3)&lt;1,0,IFERROR(LOOKUP(2,1/('Milho 1ª safra'!$E47:INDEX('Milho 1ª safra'!$E47:$Z47,MIN(AT$6-$E$3,22))&lt;&gt;""),'Milho 1ª safra'!$E47:INDEX('Milho 1ª safra'!$E47:$Z47,MIN(AT$6-$E$3,22))),0))-IF($G$2,0,IF((AT$6-$G$3)&lt;1,0,IFERROR(LOOKUP(2,1/('Milho 1ª safra'!$E47:INDEX('Milho 1ª safra'!$E47:$Z47,MIN(AT$6-$G$3,22))&lt;&gt;""),'Milho 1ª safra'!$E47:INDEX('Milho 1ª safra'!$E47:$Z47,MIN(AT$6-$G$3,22))),0)))))</f>
        <v>0</v>
      </c>
      <c r="AU49" s="27" t="n">
        <f aca="false">IF(COUNT('Milho 1ª safra'!$E47:$Z47)=0,0,MAX(0,IF((AU$6-$E$3)&lt;1,0,IFERROR(LOOKUP(2,1/('Milho 1ª safra'!$E47:INDEX('Milho 1ª safra'!$E47:$Z47,MIN(AU$6-$E$3,22))&lt;&gt;""),'Milho 1ª safra'!$E47:INDEX('Milho 1ª safra'!$E47:$Z47,MIN(AU$6-$E$3,22))),0))-IF($G$2,0,IF((AU$6-$G$3)&lt;1,0,IFERROR(LOOKUP(2,1/('Milho 1ª safra'!$E47:INDEX('Milho 1ª safra'!$E47:$Z47,MIN(AU$6-$G$3,22))&lt;&gt;""),'Milho 1ª safra'!$E47:INDEX('Milho 1ª safra'!$E47:$Z47,MIN(AU$6-$G$3,22))),0)))))</f>
        <v>0</v>
      </c>
      <c r="AV49" s="27" t="n">
        <f aca="false">IF(COUNT('Milho 1ª safra'!$E47:$Z47)=0,0,MAX(0,IF((AV$6-$E$3)&lt;1,0,IFERROR(LOOKUP(2,1/('Milho 1ª safra'!$E47:INDEX('Milho 1ª safra'!$E47:$Z47,MIN(AV$6-$E$3,22))&lt;&gt;""),'Milho 1ª safra'!$E47:INDEX('Milho 1ª safra'!$E47:$Z47,MIN(AV$6-$E$3,22))),0))-IF($G$2,0,IF((AV$6-$G$3)&lt;1,0,IFERROR(LOOKUP(2,1/('Milho 1ª safra'!$E47:INDEX('Milho 1ª safra'!$E47:$Z47,MIN(AV$6-$G$3,22))&lt;&gt;""),'Milho 1ª safra'!$E47:INDEX('Milho 1ª safra'!$E47:$Z47,MIN(AV$6-$G$3,22))),0)))))</f>
        <v>0</v>
      </c>
      <c r="AW49" s="27" t="n">
        <f aca="false">IF(COUNT('Milho 1ª safra'!$E47:$Z47)=0,0,MAX(0,IF((AW$6-$E$3)&lt;1,0,IFERROR(LOOKUP(2,1/('Milho 1ª safra'!$E47:INDEX('Milho 1ª safra'!$E47:$Z47,MIN(AW$6-$E$3,22))&lt;&gt;""),'Milho 1ª safra'!$E47:INDEX('Milho 1ª safra'!$E47:$Z47,MIN(AW$6-$E$3,22))),0))-IF($G$2,0,IF((AW$6-$G$3)&lt;1,0,IFERROR(LOOKUP(2,1/('Milho 1ª safra'!$E47:INDEX('Milho 1ª safra'!$E47:$Z47,MIN(AW$6-$G$3,22))&lt;&gt;""),'Milho 1ª safra'!$E47:INDEX('Milho 1ª safra'!$E47:$Z47,MIN(AW$6-$G$3,22))),0)))))</f>
        <v>0</v>
      </c>
      <c r="AX49" s="27" t="n">
        <f aca="false">IF(COUNT('Milho 1ª safra'!$E47:$Z47)=0,0,MAX(0,IF((AX$6-$E$3)&lt;1,0,IFERROR(LOOKUP(2,1/('Milho 1ª safra'!$E47:INDEX('Milho 1ª safra'!$E47:$Z47,MIN(AX$6-$E$3,22))&lt;&gt;""),'Milho 1ª safra'!$E47:INDEX('Milho 1ª safra'!$E47:$Z47,MIN(AX$6-$E$3,22))),0))-IF($G$2,0,IF((AX$6-$G$3)&lt;1,0,IFERROR(LOOKUP(2,1/('Milho 1ª safra'!$E47:INDEX('Milho 1ª safra'!$E47:$Z47,MIN(AX$6-$G$3,22))&lt;&gt;""),'Milho 1ª safra'!$E47:INDEX('Milho 1ª safra'!$E47:$Z47,MIN(AX$6-$G$3,22))),0)))))</f>
        <v>0</v>
      </c>
      <c r="AY49" s="27" t="n">
        <f aca="false">IF(COUNT('Milho 1ª safra'!$E47:$Z47)=0,0,MAX(0,IF((AY$6-$E$3)&lt;1,0,IFERROR(LOOKUP(2,1/('Milho 1ª safra'!$E47:INDEX('Milho 1ª safra'!$E47:$Z47,MIN(AY$6-$E$3,22))&lt;&gt;""),'Milho 1ª safra'!$E47:INDEX('Milho 1ª safra'!$E47:$Z47,MIN(AY$6-$E$3,22))),0))-IF($G$2,0,IF((AY$6-$G$3)&lt;1,0,IFERROR(LOOKUP(2,1/('Milho 1ª safra'!$E47:INDEX('Milho 1ª safra'!$E47:$Z47,MIN(AY$6-$G$3,22))&lt;&gt;""),'Milho 1ª safra'!$E47:INDEX('Milho 1ª safra'!$E47:$Z47,MIN(AY$6-$G$3,22))),0)))))</f>
        <v>0</v>
      </c>
      <c r="AZ49" s="27" t="n">
        <f aca="false">IF(COUNT('Milho 1ª safra'!$E47:$Z47)=0,0,MAX(0,IF((AZ$6-$E$3)&lt;1,0,IFERROR(LOOKUP(2,1/('Milho 1ª safra'!$E47:INDEX('Milho 1ª safra'!$E47:$Z47,MIN(AZ$6-$E$3,22))&lt;&gt;""),'Milho 1ª safra'!$E47:INDEX('Milho 1ª safra'!$E47:$Z47,MIN(AZ$6-$E$3,22))),0))-IF($G$2,0,IF((AZ$6-$G$3)&lt;1,0,IFERROR(LOOKUP(2,1/('Milho 1ª safra'!$E47:INDEX('Milho 1ª safra'!$E47:$Z47,MIN(AZ$6-$G$3,22))&lt;&gt;""),'Milho 1ª safra'!$E47:INDEX('Milho 1ª safra'!$E47:$Z47,MIN(AZ$6-$G$3,22))),0)))))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IF(COUNT('Milho 1ª safra'!$E48:$Z48)&gt;0,N('Milho 1ª safra'!$D48),0)</f>
        <v>0</v>
      </c>
      <c r="E50" s="27" t="n">
        <f aca="false">IF(COUNT('Milho 1ª safra'!$E48:$Z48)=0,0,MAX(0,IF((E$6-$E$3)&lt;1,0,IFERROR(LOOKUP(2,1/('Milho 1ª safra'!$E48:INDEX('Milho 1ª safra'!$E48:$Z48,MIN(E$6-$E$3,22))&lt;&gt;""),'Milho 1ª safra'!$E48:INDEX('Milho 1ª safra'!$E48:$Z48,MIN(E$6-$E$3,22))),0))-IF($G$2,0,IF((E$6-$G$3)&lt;1,0,IFERROR(LOOKUP(2,1/('Milho 1ª safra'!$E48:INDEX('Milho 1ª safra'!$E48:$Z48,MIN(E$6-$G$3,22))&lt;&gt;""),'Milho 1ª safra'!$E48:INDEX('Milho 1ª safra'!$E48:$Z48,MIN(E$6-$G$3,22))),0)))))</f>
        <v>0</v>
      </c>
      <c r="F50" s="27" t="n">
        <f aca="false">IF(COUNT('Milho 1ª safra'!$E48:$Z48)=0,0,MAX(0,IF((F$6-$E$3)&lt;1,0,IFERROR(LOOKUP(2,1/('Milho 1ª safra'!$E48:INDEX('Milho 1ª safra'!$E48:$Z48,MIN(F$6-$E$3,22))&lt;&gt;""),'Milho 1ª safra'!$E48:INDEX('Milho 1ª safra'!$E48:$Z48,MIN(F$6-$E$3,22))),0))-IF($G$2,0,IF((F$6-$G$3)&lt;1,0,IFERROR(LOOKUP(2,1/('Milho 1ª safra'!$E48:INDEX('Milho 1ª safra'!$E48:$Z48,MIN(F$6-$G$3,22))&lt;&gt;""),'Milho 1ª safra'!$E48:INDEX('Milho 1ª safra'!$E48:$Z48,MIN(F$6-$G$3,22))),0)))))</f>
        <v>0</v>
      </c>
      <c r="G50" s="27" t="n">
        <f aca="false">IF(COUNT('Milho 1ª safra'!$E48:$Z48)=0,0,MAX(0,IF((G$6-$E$3)&lt;1,0,IFERROR(LOOKUP(2,1/('Milho 1ª safra'!$E48:INDEX('Milho 1ª safra'!$E48:$Z48,MIN(G$6-$E$3,22))&lt;&gt;""),'Milho 1ª safra'!$E48:INDEX('Milho 1ª safra'!$E48:$Z48,MIN(G$6-$E$3,22))),0))-IF($G$2,0,IF((G$6-$G$3)&lt;1,0,IFERROR(LOOKUP(2,1/('Milho 1ª safra'!$E48:INDEX('Milho 1ª safra'!$E48:$Z48,MIN(G$6-$G$3,22))&lt;&gt;""),'Milho 1ª safra'!$E48:INDEX('Milho 1ª safra'!$E48:$Z48,MIN(G$6-$G$3,22))),0)))))</f>
        <v>0</v>
      </c>
      <c r="H50" s="27" t="n">
        <f aca="false">IF(COUNT('Milho 1ª safra'!$E48:$Z48)=0,0,MAX(0,IF((H$6-$E$3)&lt;1,0,IFERROR(LOOKUP(2,1/('Milho 1ª safra'!$E48:INDEX('Milho 1ª safra'!$E48:$Z48,MIN(H$6-$E$3,22))&lt;&gt;""),'Milho 1ª safra'!$E48:INDEX('Milho 1ª safra'!$E48:$Z48,MIN(H$6-$E$3,22))),0))-IF($G$2,0,IF((H$6-$G$3)&lt;1,0,IFERROR(LOOKUP(2,1/('Milho 1ª safra'!$E48:INDEX('Milho 1ª safra'!$E48:$Z48,MIN(H$6-$G$3,22))&lt;&gt;""),'Milho 1ª safra'!$E48:INDEX('Milho 1ª safra'!$E48:$Z48,MIN(H$6-$G$3,22))),0)))))</f>
        <v>0</v>
      </c>
      <c r="I50" s="27" t="n">
        <f aca="false">IF(COUNT('Milho 1ª safra'!$E48:$Z48)=0,0,MAX(0,IF((I$6-$E$3)&lt;1,0,IFERROR(LOOKUP(2,1/('Milho 1ª safra'!$E48:INDEX('Milho 1ª safra'!$E48:$Z48,MIN(I$6-$E$3,22))&lt;&gt;""),'Milho 1ª safra'!$E48:INDEX('Milho 1ª safra'!$E48:$Z48,MIN(I$6-$E$3,22))),0))-IF($G$2,0,IF((I$6-$G$3)&lt;1,0,IFERROR(LOOKUP(2,1/('Milho 1ª safra'!$E48:INDEX('Milho 1ª safra'!$E48:$Z48,MIN(I$6-$G$3,22))&lt;&gt;""),'Milho 1ª safra'!$E48:INDEX('Milho 1ª safra'!$E48:$Z48,MIN(I$6-$G$3,22))),0)))))</f>
        <v>0</v>
      </c>
      <c r="J50" s="27" t="n">
        <f aca="false">IF(COUNT('Milho 1ª safra'!$E48:$Z48)=0,0,MAX(0,IF((J$6-$E$3)&lt;1,0,IFERROR(LOOKUP(2,1/('Milho 1ª safra'!$E48:INDEX('Milho 1ª safra'!$E48:$Z48,MIN(J$6-$E$3,22))&lt;&gt;""),'Milho 1ª safra'!$E48:INDEX('Milho 1ª safra'!$E48:$Z48,MIN(J$6-$E$3,22))),0))-IF($G$2,0,IF((J$6-$G$3)&lt;1,0,IFERROR(LOOKUP(2,1/('Milho 1ª safra'!$E48:INDEX('Milho 1ª safra'!$E48:$Z48,MIN(J$6-$G$3,22))&lt;&gt;""),'Milho 1ª safra'!$E48:INDEX('Milho 1ª safra'!$E48:$Z48,MIN(J$6-$G$3,22))),0)))))</f>
        <v>0</v>
      </c>
      <c r="K50" s="27" t="n">
        <f aca="false">IF(COUNT('Milho 1ª safra'!$E48:$Z48)=0,0,MAX(0,IF((K$6-$E$3)&lt;1,0,IFERROR(LOOKUP(2,1/('Milho 1ª safra'!$E48:INDEX('Milho 1ª safra'!$E48:$Z48,MIN(K$6-$E$3,22))&lt;&gt;""),'Milho 1ª safra'!$E48:INDEX('Milho 1ª safra'!$E48:$Z48,MIN(K$6-$E$3,22))),0))-IF($G$2,0,IF((K$6-$G$3)&lt;1,0,IFERROR(LOOKUP(2,1/('Milho 1ª safra'!$E48:INDEX('Milho 1ª safra'!$E48:$Z48,MIN(K$6-$G$3,22))&lt;&gt;""),'Milho 1ª safra'!$E48:INDEX('Milho 1ª safra'!$E48:$Z48,MIN(K$6-$G$3,22))),0)))))</f>
        <v>0</v>
      </c>
      <c r="L50" s="27" t="n">
        <f aca="false">IF(COUNT('Milho 1ª safra'!$E48:$Z48)=0,0,MAX(0,IF((L$6-$E$3)&lt;1,0,IFERROR(LOOKUP(2,1/('Milho 1ª safra'!$E48:INDEX('Milho 1ª safra'!$E48:$Z48,MIN(L$6-$E$3,22))&lt;&gt;""),'Milho 1ª safra'!$E48:INDEX('Milho 1ª safra'!$E48:$Z48,MIN(L$6-$E$3,22))),0))-IF($G$2,0,IF((L$6-$G$3)&lt;1,0,IFERROR(LOOKUP(2,1/('Milho 1ª safra'!$E48:INDEX('Milho 1ª safra'!$E48:$Z48,MIN(L$6-$G$3,22))&lt;&gt;""),'Milho 1ª safra'!$E48:INDEX('Milho 1ª safra'!$E48:$Z48,MIN(L$6-$G$3,22))),0)))))</f>
        <v>0</v>
      </c>
      <c r="M50" s="27" t="n">
        <f aca="false">IF(COUNT('Milho 1ª safra'!$E48:$Z48)=0,0,MAX(0,IF((M$6-$E$3)&lt;1,0,IFERROR(LOOKUP(2,1/('Milho 1ª safra'!$E48:INDEX('Milho 1ª safra'!$E48:$Z48,MIN(M$6-$E$3,22))&lt;&gt;""),'Milho 1ª safra'!$E48:INDEX('Milho 1ª safra'!$E48:$Z48,MIN(M$6-$E$3,22))),0))-IF($G$2,0,IF((M$6-$G$3)&lt;1,0,IFERROR(LOOKUP(2,1/('Milho 1ª safra'!$E48:INDEX('Milho 1ª safra'!$E48:$Z48,MIN(M$6-$G$3,22))&lt;&gt;""),'Milho 1ª safra'!$E48:INDEX('Milho 1ª safra'!$E48:$Z48,MIN(M$6-$G$3,22))),0)))))</f>
        <v>0</v>
      </c>
      <c r="N50" s="27" t="n">
        <f aca="false">IF(COUNT('Milho 1ª safra'!$E48:$Z48)=0,0,MAX(0,IF((N$6-$E$3)&lt;1,0,IFERROR(LOOKUP(2,1/('Milho 1ª safra'!$E48:INDEX('Milho 1ª safra'!$E48:$Z48,MIN(N$6-$E$3,22))&lt;&gt;""),'Milho 1ª safra'!$E48:INDEX('Milho 1ª safra'!$E48:$Z48,MIN(N$6-$E$3,22))),0))-IF($G$2,0,IF((N$6-$G$3)&lt;1,0,IFERROR(LOOKUP(2,1/('Milho 1ª safra'!$E48:INDEX('Milho 1ª safra'!$E48:$Z48,MIN(N$6-$G$3,22))&lt;&gt;""),'Milho 1ª safra'!$E48:INDEX('Milho 1ª safra'!$E48:$Z48,MIN(N$6-$G$3,22))),0)))))</f>
        <v>0</v>
      </c>
      <c r="O50" s="27" t="n">
        <f aca="false">IF(COUNT('Milho 1ª safra'!$E48:$Z48)=0,0,MAX(0,IF((O$6-$E$3)&lt;1,0,IFERROR(LOOKUP(2,1/('Milho 1ª safra'!$E48:INDEX('Milho 1ª safra'!$E48:$Z48,MIN(O$6-$E$3,22))&lt;&gt;""),'Milho 1ª safra'!$E48:INDEX('Milho 1ª safra'!$E48:$Z48,MIN(O$6-$E$3,22))),0))-IF($G$2,0,IF((O$6-$G$3)&lt;1,0,IFERROR(LOOKUP(2,1/('Milho 1ª safra'!$E48:INDEX('Milho 1ª safra'!$E48:$Z48,MIN(O$6-$G$3,22))&lt;&gt;""),'Milho 1ª safra'!$E48:INDEX('Milho 1ª safra'!$E48:$Z48,MIN(O$6-$G$3,22))),0)))))</f>
        <v>0</v>
      </c>
      <c r="P50" s="27" t="n">
        <f aca="false">IF(COUNT('Milho 1ª safra'!$E48:$Z48)=0,0,MAX(0,IF((P$6-$E$3)&lt;1,0,IFERROR(LOOKUP(2,1/('Milho 1ª safra'!$E48:INDEX('Milho 1ª safra'!$E48:$Z48,MIN(P$6-$E$3,22))&lt;&gt;""),'Milho 1ª safra'!$E48:INDEX('Milho 1ª safra'!$E48:$Z48,MIN(P$6-$E$3,22))),0))-IF($G$2,0,IF((P$6-$G$3)&lt;1,0,IFERROR(LOOKUP(2,1/('Milho 1ª safra'!$E48:INDEX('Milho 1ª safra'!$E48:$Z48,MIN(P$6-$G$3,22))&lt;&gt;""),'Milho 1ª safra'!$E48:INDEX('Milho 1ª safra'!$E48:$Z48,MIN(P$6-$G$3,22))),0)))))</f>
        <v>0</v>
      </c>
      <c r="Q50" s="27" t="n">
        <f aca="false">IF(COUNT('Milho 1ª safra'!$E48:$Z48)=0,0,MAX(0,IF((Q$6-$E$3)&lt;1,0,IFERROR(LOOKUP(2,1/('Milho 1ª safra'!$E48:INDEX('Milho 1ª safra'!$E48:$Z48,MIN(Q$6-$E$3,22))&lt;&gt;""),'Milho 1ª safra'!$E48:INDEX('Milho 1ª safra'!$E48:$Z48,MIN(Q$6-$E$3,22))),0))-IF($G$2,0,IF((Q$6-$G$3)&lt;1,0,IFERROR(LOOKUP(2,1/('Milho 1ª safra'!$E48:INDEX('Milho 1ª safra'!$E48:$Z48,MIN(Q$6-$G$3,22))&lt;&gt;""),'Milho 1ª safra'!$E48:INDEX('Milho 1ª safra'!$E48:$Z48,MIN(Q$6-$G$3,22))),0)))))</f>
        <v>0</v>
      </c>
      <c r="R50" s="27" t="n">
        <f aca="false">IF(COUNT('Milho 1ª safra'!$E48:$Z48)=0,0,MAX(0,IF((R$6-$E$3)&lt;1,0,IFERROR(LOOKUP(2,1/('Milho 1ª safra'!$E48:INDEX('Milho 1ª safra'!$E48:$Z48,MIN(R$6-$E$3,22))&lt;&gt;""),'Milho 1ª safra'!$E48:INDEX('Milho 1ª safra'!$E48:$Z48,MIN(R$6-$E$3,22))),0))-IF($G$2,0,IF((R$6-$G$3)&lt;1,0,IFERROR(LOOKUP(2,1/('Milho 1ª safra'!$E48:INDEX('Milho 1ª safra'!$E48:$Z48,MIN(R$6-$G$3,22))&lt;&gt;""),'Milho 1ª safra'!$E48:INDEX('Milho 1ª safra'!$E48:$Z48,MIN(R$6-$G$3,22))),0)))))</f>
        <v>0</v>
      </c>
      <c r="S50" s="27" t="n">
        <f aca="false">IF(COUNT('Milho 1ª safra'!$E48:$Z48)=0,0,MAX(0,IF((S$6-$E$3)&lt;1,0,IFERROR(LOOKUP(2,1/('Milho 1ª safra'!$E48:INDEX('Milho 1ª safra'!$E48:$Z48,MIN(S$6-$E$3,22))&lt;&gt;""),'Milho 1ª safra'!$E48:INDEX('Milho 1ª safra'!$E48:$Z48,MIN(S$6-$E$3,22))),0))-IF($G$2,0,IF((S$6-$G$3)&lt;1,0,IFERROR(LOOKUP(2,1/('Milho 1ª safra'!$E48:INDEX('Milho 1ª safra'!$E48:$Z48,MIN(S$6-$G$3,22))&lt;&gt;""),'Milho 1ª safra'!$E48:INDEX('Milho 1ª safra'!$E48:$Z48,MIN(S$6-$G$3,22))),0)))))</f>
        <v>0</v>
      </c>
      <c r="T50" s="27" t="n">
        <f aca="false">IF(COUNT('Milho 1ª safra'!$E48:$Z48)=0,0,MAX(0,IF((T$6-$E$3)&lt;1,0,IFERROR(LOOKUP(2,1/('Milho 1ª safra'!$E48:INDEX('Milho 1ª safra'!$E48:$Z48,MIN(T$6-$E$3,22))&lt;&gt;""),'Milho 1ª safra'!$E48:INDEX('Milho 1ª safra'!$E48:$Z48,MIN(T$6-$E$3,22))),0))-IF($G$2,0,IF((T$6-$G$3)&lt;1,0,IFERROR(LOOKUP(2,1/('Milho 1ª safra'!$E48:INDEX('Milho 1ª safra'!$E48:$Z48,MIN(T$6-$G$3,22))&lt;&gt;""),'Milho 1ª safra'!$E48:INDEX('Milho 1ª safra'!$E48:$Z48,MIN(T$6-$G$3,22))),0)))))</f>
        <v>0</v>
      </c>
      <c r="U50" s="27" t="n">
        <f aca="false">IF(COUNT('Milho 1ª safra'!$E48:$Z48)=0,0,MAX(0,IF((U$6-$E$3)&lt;1,0,IFERROR(LOOKUP(2,1/('Milho 1ª safra'!$E48:INDEX('Milho 1ª safra'!$E48:$Z48,MIN(U$6-$E$3,22))&lt;&gt;""),'Milho 1ª safra'!$E48:INDEX('Milho 1ª safra'!$E48:$Z48,MIN(U$6-$E$3,22))),0))-IF($G$2,0,IF((U$6-$G$3)&lt;1,0,IFERROR(LOOKUP(2,1/('Milho 1ª safra'!$E48:INDEX('Milho 1ª safra'!$E48:$Z48,MIN(U$6-$G$3,22))&lt;&gt;""),'Milho 1ª safra'!$E48:INDEX('Milho 1ª safra'!$E48:$Z48,MIN(U$6-$G$3,22))),0)))))</f>
        <v>0</v>
      </c>
      <c r="V50" s="27" t="n">
        <f aca="false">IF(COUNT('Milho 1ª safra'!$E48:$Z48)=0,0,MAX(0,IF((V$6-$E$3)&lt;1,0,IFERROR(LOOKUP(2,1/('Milho 1ª safra'!$E48:INDEX('Milho 1ª safra'!$E48:$Z48,MIN(V$6-$E$3,22))&lt;&gt;""),'Milho 1ª safra'!$E48:INDEX('Milho 1ª safra'!$E48:$Z48,MIN(V$6-$E$3,22))),0))-IF($G$2,0,IF((V$6-$G$3)&lt;1,0,IFERROR(LOOKUP(2,1/('Milho 1ª safra'!$E48:INDEX('Milho 1ª safra'!$E48:$Z48,MIN(V$6-$G$3,22))&lt;&gt;""),'Milho 1ª safra'!$E48:INDEX('Milho 1ª safra'!$E48:$Z48,MIN(V$6-$G$3,22))),0)))))</f>
        <v>0</v>
      </c>
      <c r="W50" s="27" t="n">
        <f aca="false">IF(COUNT('Milho 1ª safra'!$E48:$Z48)=0,0,MAX(0,IF((W$6-$E$3)&lt;1,0,IFERROR(LOOKUP(2,1/('Milho 1ª safra'!$E48:INDEX('Milho 1ª safra'!$E48:$Z48,MIN(W$6-$E$3,22))&lt;&gt;""),'Milho 1ª safra'!$E48:INDEX('Milho 1ª safra'!$E48:$Z48,MIN(W$6-$E$3,22))),0))-IF($G$2,0,IF((W$6-$G$3)&lt;1,0,IFERROR(LOOKUP(2,1/('Milho 1ª safra'!$E48:INDEX('Milho 1ª safra'!$E48:$Z48,MIN(W$6-$G$3,22))&lt;&gt;""),'Milho 1ª safra'!$E48:INDEX('Milho 1ª safra'!$E48:$Z48,MIN(W$6-$G$3,22))),0)))))</f>
        <v>0</v>
      </c>
      <c r="X50" s="27" t="n">
        <f aca="false">IF(COUNT('Milho 1ª safra'!$E48:$Z48)=0,0,MAX(0,IF((X$6-$E$3)&lt;1,0,IFERROR(LOOKUP(2,1/('Milho 1ª safra'!$E48:INDEX('Milho 1ª safra'!$E48:$Z48,MIN(X$6-$E$3,22))&lt;&gt;""),'Milho 1ª safra'!$E48:INDEX('Milho 1ª safra'!$E48:$Z48,MIN(X$6-$E$3,22))),0))-IF($G$2,0,IF((X$6-$G$3)&lt;1,0,IFERROR(LOOKUP(2,1/('Milho 1ª safra'!$E48:INDEX('Milho 1ª safra'!$E48:$Z48,MIN(X$6-$G$3,22))&lt;&gt;""),'Milho 1ª safra'!$E48:INDEX('Milho 1ª safra'!$E48:$Z48,MIN(X$6-$G$3,22))),0)))))</f>
        <v>0</v>
      </c>
      <c r="Y50" s="27" t="n">
        <f aca="false">IF(COUNT('Milho 1ª safra'!$E48:$Z48)=0,0,MAX(0,IF((Y$6-$E$3)&lt;1,0,IFERROR(LOOKUP(2,1/('Milho 1ª safra'!$E48:INDEX('Milho 1ª safra'!$E48:$Z48,MIN(Y$6-$E$3,22))&lt;&gt;""),'Milho 1ª safra'!$E48:INDEX('Milho 1ª safra'!$E48:$Z48,MIN(Y$6-$E$3,22))),0))-IF($G$2,0,IF((Y$6-$G$3)&lt;1,0,IFERROR(LOOKUP(2,1/('Milho 1ª safra'!$E48:INDEX('Milho 1ª safra'!$E48:$Z48,MIN(Y$6-$G$3,22))&lt;&gt;""),'Milho 1ª safra'!$E48:INDEX('Milho 1ª safra'!$E48:$Z48,MIN(Y$6-$G$3,22))),0)))))</f>
        <v>0</v>
      </c>
      <c r="Z50" s="27" t="n">
        <f aca="false">IF(COUNT('Milho 1ª safra'!$E48:$Z48)=0,0,MAX(0,IF((Z$6-$E$3)&lt;1,0,IFERROR(LOOKUP(2,1/('Milho 1ª safra'!$E48:INDEX('Milho 1ª safra'!$E48:$Z48,MIN(Z$6-$E$3,22))&lt;&gt;""),'Milho 1ª safra'!$E48:INDEX('Milho 1ª safra'!$E48:$Z48,MIN(Z$6-$E$3,22))),0))-IF($G$2,0,IF((Z$6-$G$3)&lt;1,0,IFERROR(LOOKUP(2,1/('Milho 1ª safra'!$E48:INDEX('Milho 1ª safra'!$E48:$Z48,MIN(Z$6-$G$3,22))&lt;&gt;""),'Milho 1ª safra'!$E48:INDEX('Milho 1ª safra'!$E48:$Z48,MIN(Z$6-$G$3,22))),0)))))</f>
        <v>0</v>
      </c>
      <c r="AA50" s="27" t="n">
        <f aca="false">IF(COUNT('Milho 1ª safra'!$E48:$Z48)=0,0,MAX(0,IF((AA$6-$E$3)&lt;1,0,IFERROR(LOOKUP(2,1/('Milho 1ª safra'!$E48:INDEX('Milho 1ª safra'!$E48:$Z48,MIN(AA$6-$E$3,22))&lt;&gt;""),'Milho 1ª safra'!$E48:INDEX('Milho 1ª safra'!$E48:$Z48,MIN(AA$6-$E$3,22))),0))-IF($G$2,0,IF((AA$6-$G$3)&lt;1,0,IFERROR(LOOKUP(2,1/('Milho 1ª safra'!$E48:INDEX('Milho 1ª safra'!$E48:$Z48,MIN(AA$6-$G$3,22))&lt;&gt;""),'Milho 1ª safra'!$E48:INDEX('Milho 1ª safra'!$E48:$Z48,MIN(AA$6-$G$3,22))),0)))))</f>
        <v>0</v>
      </c>
      <c r="AB50" s="27" t="n">
        <f aca="false">IF(COUNT('Milho 1ª safra'!$E48:$Z48)=0,0,MAX(0,IF((AB$6-$E$3)&lt;1,0,IFERROR(LOOKUP(2,1/('Milho 1ª safra'!$E48:INDEX('Milho 1ª safra'!$E48:$Z48,MIN(AB$6-$E$3,22))&lt;&gt;""),'Milho 1ª safra'!$E48:INDEX('Milho 1ª safra'!$E48:$Z48,MIN(AB$6-$E$3,22))),0))-IF($G$2,0,IF((AB$6-$G$3)&lt;1,0,IFERROR(LOOKUP(2,1/('Milho 1ª safra'!$E48:INDEX('Milho 1ª safra'!$E48:$Z48,MIN(AB$6-$G$3,22))&lt;&gt;""),'Milho 1ª safra'!$E48:INDEX('Milho 1ª safra'!$E48:$Z48,MIN(AB$6-$G$3,22))),0)))))</f>
        <v>0</v>
      </c>
      <c r="AC50" s="27" t="n">
        <f aca="false">IF(COUNT('Milho 1ª safra'!$E48:$Z48)=0,0,MAX(0,IF((AC$6-$E$3)&lt;1,0,IFERROR(LOOKUP(2,1/('Milho 1ª safra'!$E48:INDEX('Milho 1ª safra'!$E48:$Z48,MIN(AC$6-$E$3,22))&lt;&gt;""),'Milho 1ª safra'!$E48:INDEX('Milho 1ª safra'!$E48:$Z48,MIN(AC$6-$E$3,22))),0))-IF($G$2,0,IF((AC$6-$G$3)&lt;1,0,IFERROR(LOOKUP(2,1/('Milho 1ª safra'!$E48:INDEX('Milho 1ª safra'!$E48:$Z48,MIN(AC$6-$G$3,22))&lt;&gt;""),'Milho 1ª safra'!$E48:INDEX('Milho 1ª safra'!$E48:$Z48,MIN(AC$6-$G$3,22))),0)))))</f>
        <v>0</v>
      </c>
      <c r="AD50" s="27" t="n">
        <f aca="false">IF(COUNT('Milho 1ª safra'!$E48:$Z48)=0,0,MAX(0,IF((AD$6-$E$3)&lt;1,0,IFERROR(LOOKUP(2,1/('Milho 1ª safra'!$E48:INDEX('Milho 1ª safra'!$E48:$Z48,MIN(AD$6-$E$3,22))&lt;&gt;""),'Milho 1ª safra'!$E48:INDEX('Milho 1ª safra'!$E48:$Z48,MIN(AD$6-$E$3,22))),0))-IF($G$2,0,IF((AD$6-$G$3)&lt;1,0,IFERROR(LOOKUP(2,1/('Milho 1ª safra'!$E48:INDEX('Milho 1ª safra'!$E48:$Z48,MIN(AD$6-$G$3,22))&lt;&gt;""),'Milho 1ª safra'!$E48:INDEX('Milho 1ª safra'!$E48:$Z48,MIN(AD$6-$G$3,22))),0)))))</f>
        <v>0</v>
      </c>
      <c r="AE50" s="27" t="n">
        <f aca="false">IF(COUNT('Milho 1ª safra'!$E48:$Z48)=0,0,MAX(0,IF((AE$6-$E$3)&lt;1,0,IFERROR(LOOKUP(2,1/('Milho 1ª safra'!$E48:INDEX('Milho 1ª safra'!$E48:$Z48,MIN(AE$6-$E$3,22))&lt;&gt;""),'Milho 1ª safra'!$E48:INDEX('Milho 1ª safra'!$E48:$Z48,MIN(AE$6-$E$3,22))),0))-IF($G$2,0,IF((AE$6-$G$3)&lt;1,0,IFERROR(LOOKUP(2,1/('Milho 1ª safra'!$E48:INDEX('Milho 1ª safra'!$E48:$Z48,MIN(AE$6-$G$3,22))&lt;&gt;""),'Milho 1ª safra'!$E48:INDEX('Milho 1ª safra'!$E48:$Z48,MIN(AE$6-$G$3,22))),0)))))</f>
        <v>0</v>
      </c>
      <c r="AF50" s="27" t="n">
        <f aca="false">IF(COUNT('Milho 1ª safra'!$E48:$Z48)=0,0,MAX(0,IF((AF$6-$E$3)&lt;1,0,IFERROR(LOOKUP(2,1/('Milho 1ª safra'!$E48:INDEX('Milho 1ª safra'!$E48:$Z48,MIN(AF$6-$E$3,22))&lt;&gt;""),'Milho 1ª safra'!$E48:INDEX('Milho 1ª safra'!$E48:$Z48,MIN(AF$6-$E$3,22))),0))-IF($G$2,0,IF((AF$6-$G$3)&lt;1,0,IFERROR(LOOKUP(2,1/('Milho 1ª safra'!$E48:INDEX('Milho 1ª safra'!$E48:$Z48,MIN(AF$6-$G$3,22))&lt;&gt;""),'Milho 1ª safra'!$E48:INDEX('Milho 1ª safra'!$E48:$Z48,MIN(AF$6-$G$3,22))),0)))))</f>
        <v>0</v>
      </c>
      <c r="AG50" s="27" t="n">
        <f aca="false">IF(COUNT('Milho 1ª safra'!$E48:$Z48)=0,0,MAX(0,IF((AG$6-$E$3)&lt;1,0,IFERROR(LOOKUP(2,1/('Milho 1ª safra'!$E48:INDEX('Milho 1ª safra'!$E48:$Z48,MIN(AG$6-$E$3,22))&lt;&gt;""),'Milho 1ª safra'!$E48:INDEX('Milho 1ª safra'!$E48:$Z48,MIN(AG$6-$E$3,22))),0))-IF($G$2,0,IF((AG$6-$G$3)&lt;1,0,IFERROR(LOOKUP(2,1/('Milho 1ª safra'!$E48:INDEX('Milho 1ª safra'!$E48:$Z48,MIN(AG$6-$G$3,22))&lt;&gt;""),'Milho 1ª safra'!$E48:INDEX('Milho 1ª safra'!$E48:$Z48,MIN(AG$6-$G$3,22))),0)))))</f>
        <v>0</v>
      </c>
      <c r="AH50" s="27" t="n">
        <f aca="false">IF(COUNT('Milho 1ª safra'!$E48:$Z48)=0,0,MAX(0,IF((AH$6-$E$3)&lt;1,0,IFERROR(LOOKUP(2,1/('Milho 1ª safra'!$E48:INDEX('Milho 1ª safra'!$E48:$Z48,MIN(AH$6-$E$3,22))&lt;&gt;""),'Milho 1ª safra'!$E48:INDEX('Milho 1ª safra'!$E48:$Z48,MIN(AH$6-$E$3,22))),0))-IF($G$2,0,IF((AH$6-$G$3)&lt;1,0,IFERROR(LOOKUP(2,1/('Milho 1ª safra'!$E48:INDEX('Milho 1ª safra'!$E48:$Z48,MIN(AH$6-$G$3,22))&lt;&gt;""),'Milho 1ª safra'!$E48:INDEX('Milho 1ª safra'!$E48:$Z48,MIN(AH$6-$G$3,22))),0)))))</f>
        <v>0</v>
      </c>
      <c r="AI50" s="27" t="n">
        <f aca="false">IF(COUNT('Milho 1ª safra'!$E48:$Z48)=0,0,MAX(0,IF((AI$6-$E$3)&lt;1,0,IFERROR(LOOKUP(2,1/('Milho 1ª safra'!$E48:INDEX('Milho 1ª safra'!$E48:$Z48,MIN(AI$6-$E$3,22))&lt;&gt;""),'Milho 1ª safra'!$E48:INDEX('Milho 1ª safra'!$E48:$Z48,MIN(AI$6-$E$3,22))),0))-IF($G$2,0,IF((AI$6-$G$3)&lt;1,0,IFERROR(LOOKUP(2,1/('Milho 1ª safra'!$E48:INDEX('Milho 1ª safra'!$E48:$Z48,MIN(AI$6-$G$3,22))&lt;&gt;""),'Milho 1ª safra'!$E48:INDEX('Milho 1ª safra'!$E48:$Z48,MIN(AI$6-$G$3,22))),0)))))</f>
        <v>0</v>
      </c>
      <c r="AJ50" s="27" t="n">
        <f aca="false">IF(COUNT('Milho 1ª safra'!$E48:$Z48)=0,0,MAX(0,IF((AJ$6-$E$3)&lt;1,0,IFERROR(LOOKUP(2,1/('Milho 1ª safra'!$E48:INDEX('Milho 1ª safra'!$E48:$Z48,MIN(AJ$6-$E$3,22))&lt;&gt;""),'Milho 1ª safra'!$E48:INDEX('Milho 1ª safra'!$E48:$Z48,MIN(AJ$6-$E$3,22))),0))-IF($G$2,0,IF((AJ$6-$G$3)&lt;1,0,IFERROR(LOOKUP(2,1/('Milho 1ª safra'!$E48:INDEX('Milho 1ª safra'!$E48:$Z48,MIN(AJ$6-$G$3,22))&lt;&gt;""),'Milho 1ª safra'!$E48:INDEX('Milho 1ª safra'!$E48:$Z48,MIN(AJ$6-$G$3,22))),0)))))</f>
        <v>0</v>
      </c>
      <c r="AK50" s="27" t="n">
        <f aca="false">IF(COUNT('Milho 1ª safra'!$E48:$Z48)=0,0,MAX(0,IF((AK$6-$E$3)&lt;1,0,IFERROR(LOOKUP(2,1/('Milho 1ª safra'!$E48:INDEX('Milho 1ª safra'!$E48:$Z48,MIN(AK$6-$E$3,22))&lt;&gt;""),'Milho 1ª safra'!$E48:INDEX('Milho 1ª safra'!$E48:$Z48,MIN(AK$6-$E$3,22))),0))-IF($G$2,0,IF((AK$6-$G$3)&lt;1,0,IFERROR(LOOKUP(2,1/('Milho 1ª safra'!$E48:INDEX('Milho 1ª safra'!$E48:$Z48,MIN(AK$6-$G$3,22))&lt;&gt;""),'Milho 1ª safra'!$E48:INDEX('Milho 1ª safra'!$E48:$Z48,MIN(AK$6-$G$3,22))),0)))))</f>
        <v>0</v>
      </c>
      <c r="AL50" s="27" t="n">
        <f aca="false">IF(COUNT('Milho 1ª safra'!$E48:$Z48)=0,0,MAX(0,IF((AL$6-$E$3)&lt;1,0,IFERROR(LOOKUP(2,1/('Milho 1ª safra'!$E48:INDEX('Milho 1ª safra'!$E48:$Z48,MIN(AL$6-$E$3,22))&lt;&gt;""),'Milho 1ª safra'!$E48:INDEX('Milho 1ª safra'!$E48:$Z48,MIN(AL$6-$E$3,22))),0))-IF($G$2,0,IF((AL$6-$G$3)&lt;1,0,IFERROR(LOOKUP(2,1/('Milho 1ª safra'!$E48:INDEX('Milho 1ª safra'!$E48:$Z48,MIN(AL$6-$G$3,22))&lt;&gt;""),'Milho 1ª safra'!$E48:INDEX('Milho 1ª safra'!$E48:$Z48,MIN(AL$6-$G$3,22))),0)))))</f>
        <v>0</v>
      </c>
      <c r="AM50" s="27" t="n">
        <f aca="false">IF(COUNT('Milho 1ª safra'!$E48:$Z48)=0,0,MAX(0,IF((AM$6-$E$3)&lt;1,0,IFERROR(LOOKUP(2,1/('Milho 1ª safra'!$E48:INDEX('Milho 1ª safra'!$E48:$Z48,MIN(AM$6-$E$3,22))&lt;&gt;""),'Milho 1ª safra'!$E48:INDEX('Milho 1ª safra'!$E48:$Z48,MIN(AM$6-$E$3,22))),0))-IF($G$2,0,IF((AM$6-$G$3)&lt;1,0,IFERROR(LOOKUP(2,1/('Milho 1ª safra'!$E48:INDEX('Milho 1ª safra'!$E48:$Z48,MIN(AM$6-$G$3,22))&lt;&gt;""),'Milho 1ª safra'!$E48:INDEX('Milho 1ª safra'!$E48:$Z48,MIN(AM$6-$G$3,22))),0)))))</f>
        <v>0</v>
      </c>
      <c r="AN50" s="27" t="n">
        <f aca="false">IF(COUNT('Milho 1ª safra'!$E48:$Z48)=0,0,MAX(0,IF((AN$6-$E$3)&lt;1,0,IFERROR(LOOKUP(2,1/('Milho 1ª safra'!$E48:INDEX('Milho 1ª safra'!$E48:$Z48,MIN(AN$6-$E$3,22))&lt;&gt;""),'Milho 1ª safra'!$E48:INDEX('Milho 1ª safra'!$E48:$Z48,MIN(AN$6-$E$3,22))),0))-IF($G$2,0,IF((AN$6-$G$3)&lt;1,0,IFERROR(LOOKUP(2,1/('Milho 1ª safra'!$E48:INDEX('Milho 1ª safra'!$E48:$Z48,MIN(AN$6-$G$3,22))&lt;&gt;""),'Milho 1ª safra'!$E48:INDEX('Milho 1ª safra'!$E48:$Z48,MIN(AN$6-$G$3,22))),0)))))</f>
        <v>0</v>
      </c>
      <c r="AO50" s="27" t="n">
        <f aca="false">IF(COUNT('Milho 1ª safra'!$E48:$Z48)=0,0,MAX(0,IF((AO$6-$E$3)&lt;1,0,IFERROR(LOOKUP(2,1/('Milho 1ª safra'!$E48:INDEX('Milho 1ª safra'!$E48:$Z48,MIN(AO$6-$E$3,22))&lt;&gt;""),'Milho 1ª safra'!$E48:INDEX('Milho 1ª safra'!$E48:$Z48,MIN(AO$6-$E$3,22))),0))-IF($G$2,0,IF((AO$6-$G$3)&lt;1,0,IFERROR(LOOKUP(2,1/('Milho 1ª safra'!$E48:INDEX('Milho 1ª safra'!$E48:$Z48,MIN(AO$6-$G$3,22))&lt;&gt;""),'Milho 1ª safra'!$E48:INDEX('Milho 1ª safra'!$E48:$Z48,MIN(AO$6-$G$3,22))),0)))))</f>
        <v>0</v>
      </c>
      <c r="AP50" s="27" t="n">
        <f aca="false">IF(COUNT('Milho 1ª safra'!$E48:$Z48)=0,0,MAX(0,IF((AP$6-$E$3)&lt;1,0,IFERROR(LOOKUP(2,1/('Milho 1ª safra'!$E48:INDEX('Milho 1ª safra'!$E48:$Z48,MIN(AP$6-$E$3,22))&lt;&gt;""),'Milho 1ª safra'!$E48:INDEX('Milho 1ª safra'!$E48:$Z48,MIN(AP$6-$E$3,22))),0))-IF($G$2,0,IF((AP$6-$G$3)&lt;1,0,IFERROR(LOOKUP(2,1/('Milho 1ª safra'!$E48:INDEX('Milho 1ª safra'!$E48:$Z48,MIN(AP$6-$G$3,22))&lt;&gt;""),'Milho 1ª safra'!$E48:INDEX('Milho 1ª safra'!$E48:$Z48,MIN(AP$6-$G$3,22))),0)))))</f>
        <v>0</v>
      </c>
      <c r="AQ50" s="27" t="n">
        <f aca="false">IF(COUNT('Milho 1ª safra'!$E48:$Z48)=0,0,MAX(0,IF((AQ$6-$E$3)&lt;1,0,IFERROR(LOOKUP(2,1/('Milho 1ª safra'!$E48:INDEX('Milho 1ª safra'!$E48:$Z48,MIN(AQ$6-$E$3,22))&lt;&gt;""),'Milho 1ª safra'!$E48:INDEX('Milho 1ª safra'!$E48:$Z48,MIN(AQ$6-$E$3,22))),0))-IF($G$2,0,IF((AQ$6-$G$3)&lt;1,0,IFERROR(LOOKUP(2,1/('Milho 1ª safra'!$E48:INDEX('Milho 1ª safra'!$E48:$Z48,MIN(AQ$6-$G$3,22))&lt;&gt;""),'Milho 1ª safra'!$E48:INDEX('Milho 1ª safra'!$E48:$Z48,MIN(AQ$6-$G$3,22))),0)))))</f>
        <v>0</v>
      </c>
      <c r="AR50" s="27" t="n">
        <f aca="false">IF(COUNT('Milho 1ª safra'!$E48:$Z48)=0,0,MAX(0,IF((AR$6-$E$3)&lt;1,0,IFERROR(LOOKUP(2,1/('Milho 1ª safra'!$E48:INDEX('Milho 1ª safra'!$E48:$Z48,MIN(AR$6-$E$3,22))&lt;&gt;""),'Milho 1ª safra'!$E48:INDEX('Milho 1ª safra'!$E48:$Z48,MIN(AR$6-$E$3,22))),0))-IF($G$2,0,IF((AR$6-$G$3)&lt;1,0,IFERROR(LOOKUP(2,1/('Milho 1ª safra'!$E48:INDEX('Milho 1ª safra'!$E48:$Z48,MIN(AR$6-$G$3,22))&lt;&gt;""),'Milho 1ª safra'!$E48:INDEX('Milho 1ª safra'!$E48:$Z48,MIN(AR$6-$G$3,22))),0)))))</f>
        <v>0</v>
      </c>
      <c r="AS50" s="27" t="n">
        <f aca="false">IF(COUNT('Milho 1ª safra'!$E48:$Z48)=0,0,MAX(0,IF((AS$6-$E$3)&lt;1,0,IFERROR(LOOKUP(2,1/('Milho 1ª safra'!$E48:INDEX('Milho 1ª safra'!$E48:$Z48,MIN(AS$6-$E$3,22))&lt;&gt;""),'Milho 1ª safra'!$E48:INDEX('Milho 1ª safra'!$E48:$Z48,MIN(AS$6-$E$3,22))),0))-IF($G$2,0,IF((AS$6-$G$3)&lt;1,0,IFERROR(LOOKUP(2,1/('Milho 1ª safra'!$E48:INDEX('Milho 1ª safra'!$E48:$Z48,MIN(AS$6-$G$3,22))&lt;&gt;""),'Milho 1ª safra'!$E48:INDEX('Milho 1ª safra'!$E48:$Z48,MIN(AS$6-$G$3,22))),0)))))</f>
        <v>0</v>
      </c>
      <c r="AT50" s="27" t="n">
        <f aca="false">IF(COUNT('Milho 1ª safra'!$E48:$Z48)=0,0,MAX(0,IF((AT$6-$E$3)&lt;1,0,IFERROR(LOOKUP(2,1/('Milho 1ª safra'!$E48:INDEX('Milho 1ª safra'!$E48:$Z48,MIN(AT$6-$E$3,22))&lt;&gt;""),'Milho 1ª safra'!$E48:INDEX('Milho 1ª safra'!$E48:$Z48,MIN(AT$6-$E$3,22))),0))-IF($G$2,0,IF((AT$6-$G$3)&lt;1,0,IFERROR(LOOKUP(2,1/('Milho 1ª safra'!$E48:INDEX('Milho 1ª safra'!$E48:$Z48,MIN(AT$6-$G$3,22))&lt;&gt;""),'Milho 1ª safra'!$E48:INDEX('Milho 1ª safra'!$E48:$Z48,MIN(AT$6-$G$3,22))),0)))))</f>
        <v>0</v>
      </c>
      <c r="AU50" s="27" t="n">
        <f aca="false">IF(COUNT('Milho 1ª safra'!$E48:$Z48)=0,0,MAX(0,IF((AU$6-$E$3)&lt;1,0,IFERROR(LOOKUP(2,1/('Milho 1ª safra'!$E48:INDEX('Milho 1ª safra'!$E48:$Z48,MIN(AU$6-$E$3,22))&lt;&gt;""),'Milho 1ª safra'!$E48:INDEX('Milho 1ª safra'!$E48:$Z48,MIN(AU$6-$E$3,22))),0))-IF($G$2,0,IF((AU$6-$G$3)&lt;1,0,IFERROR(LOOKUP(2,1/('Milho 1ª safra'!$E48:INDEX('Milho 1ª safra'!$E48:$Z48,MIN(AU$6-$G$3,22))&lt;&gt;""),'Milho 1ª safra'!$E48:INDEX('Milho 1ª safra'!$E48:$Z48,MIN(AU$6-$G$3,22))),0)))))</f>
        <v>0</v>
      </c>
      <c r="AV50" s="27" t="n">
        <f aca="false">IF(COUNT('Milho 1ª safra'!$E48:$Z48)=0,0,MAX(0,IF((AV$6-$E$3)&lt;1,0,IFERROR(LOOKUP(2,1/('Milho 1ª safra'!$E48:INDEX('Milho 1ª safra'!$E48:$Z48,MIN(AV$6-$E$3,22))&lt;&gt;""),'Milho 1ª safra'!$E48:INDEX('Milho 1ª safra'!$E48:$Z48,MIN(AV$6-$E$3,22))),0))-IF($G$2,0,IF((AV$6-$G$3)&lt;1,0,IFERROR(LOOKUP(2,1/('Milho 1ª safra'!$E48:INDEX('Milho 1ª safra'!$E48:$Z48,MIN(AV$6-$G$3,22))&lt;&gt;""),'Milho 1ª safra'!$E48:INDEX('Milho 1ª safra'!$E48:$Z48,MIN(AV$6-$G$3,22))),0)))))</f>
        <v>0</v>
      </c>
      <c r="AW50" s="27" t="n">
        <f aca="false">IF(COUNT('Milho 1ª safra'!$E48:$Z48)=0,0,MAX(0,IF((AW$6-$E$3)&lt;1,0,IFERROR(LOOKUP(2,1/('Milho 1ª safra'!$E48:INDEX('Milho 1ª safra'!$E48:$Z48,MIN(AW$6-$E$3,22))&lt;&gt;""),'Milho 1ª safra'!$E48:INDEX('Milho 1ª safra'!$E48:$Z48,MIN(AW$6-$E$3,22))),0))-IF($G$2,0,IF((AW$6-$G$3)&lt;1,0,IFERROR(LOOKUP(2,1/('Milho 1ª safra'!$E48:INDEX('Milho 1ª safra'!$E48:$Z48,MIN(AW$6-$G$3,22))&lt;&gt;""),'Milho 1ª safra'!$E48:INDEX('Milho 1ª safra'!$E48:$Z48,MIN(AW$6-$G$3,22))),0)))))</f>
        <v>0</v>
      </c>
      <c r="AX50" s="27" t="n">
        <f aca="false">IF(COUNT('Milho 1ª safra'!$E48:$Z48)=0,0,MAX(0,IF((AX$6-$E$3)&lt;1,0,IFERROR(LOOKUP(2,1/('Milho 1ª safra'!$E48:INDEX('Milho 1ª safra'!$E48:$Z48,MIN(AX$6-$E$3,22))&lt;&gt;""),'Milho 1ª safra'!$E48:INDEX('Milho 1ª safra'!$E48:$Z48,MIN(AX$6-$E$3,22))),0))-IF($G$2,0,IF((AX$6-$G$3)&lt;1,0,IFERROR(LOOKUP(2,1/('Milho 1ª safra'!$E48:INDEX('Milho 1ª safra'!$E48:$Z48,MIN(AX$6-$G$3,22))&lt;&gt;""),'Milho 1ª safra'!$E48:INDEX('Milho 1ª safra'!$E48:$Z48,MIN(AX$6-$G$3,22))),0)))))</f>
        <v>0</v>
      </c>
      <c r="AY50" s="27" t="n">
        <f aca="false">IF(COUNT('Milho 1ª safra'!$E48:$Z48)=0,0,MAX(0,IF((AY$6-$E$3)&lt;1,0,IFERROR(LOOKUP(2,1/('Milho 1ª safra'!$E48:INDEX('Milho 1ª safra'!$E48:$Z48,MIN(AY$6-$E$3,22))&lt;&gt;""),'Milho 1ª safra'!$E48:INDEX('Milho 1ª safra'!$E48:$Z48,MIN(AY$6-$E$3,22))),0))-IF($G$2,0,IF((AY$6-$G$3)&lt;1,0,IFERROR(LOOKUP(2,1/('Milho 1ª safra'!$E48:INDEX('Milho 1ª safra'!$E48:$Z48,MIN(AY$6-$G$3,22))&lt;&gt;""),'Milho 1ª safra'!$E48:INDEX('Milho 1ª safra'!$E48:$Z48,MIN(AY$6-$G$3,22))),0)))))</f>
        <v>0</v>
      </c>
      <c r="AZ50" s="27" t="n">
        <f aca="false">IF(COUNT('Milho 1ª safra'!$E48:$Z48)=0,0,MAX(0,IF((AZ$6-$E$3)&lt;1,0,IFERROR(LOOKUP(2,1/('Milho 1ª safra'!$E48:INDEX('Milho 1ª safra'!$E48:$Z48,MIN(AZ$6-$E$3,22))&lt;&gt;""),'Milho 1ª safra'!$E48:INDEX('Milho 1ª safra'!$E48:$Z48,MIN(AZ$6-$E$3,22))),0))-IF($G$2,0,IF((AZ$6-$G$3)&lt;1,0,IFERROR(LOOKUP(2,1/('Milho 1ª safra'!$E48:INDEX('Milho 1ª safra'!$E48:$Z48,MIN(AZ$6-$G$3,22))&lt;&gt;""),'Milho 1ª safra'!$E48:INDEX('Milho 1ª safra'!$E48:$Z48,MIN(AZ$6-$G$3,22))),0)))))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IF(COUNT('Milho 1ª safra'!$E49:$Z49)&gt;0,N('Milho 1ª safra'!$D49),0)</f>
        <v>0</v>
      </c>
      <c r="E51" s="27" t="n">
        <f aca="false">IF(COUNT('Milho 1ª safra'!$E49:$Z49)=0,0,MAX(0,IF((E$6-$E$3)&lt;1,0,IFERROR(LOOKUP(2,1/('Milho 1ª safra'!$E49:INDEX('Milho 1ª safra'!$E49:$Z49,MIN(E$6-$E$3,22))&lt;&gt;""),'Milho 1ª safra'!$E49:INDEX('Milho 1ª safra'!$E49:$Z49,MIN(E$6-$E$3,22))),0))-IF($G$2,0,IF((E$6-$G$3)&lt;1,0,IFERROR(LOOKUP(2,1/('Milho 1ª safra'!$E49:INDEX('Milho 1ª safra'!$E49:$Z49,MIN(E$6-$G$3,22))&lt;&gt;""),'Milho 1ª safra'!$E49:INDEX('Milho 1ª safra'!$E49:$Z49,MIN(E$6-$G$3,22))),0)))))</f>
        <v>0</v>
      </c>
      <c r="F51" s="27" t="n">
        <f aca="false">IF(COUNT('Milho 1ª safra'!$E49:$Z49)=0,0,MAX(0,IF((F$6-$E$3)&lt;1,0,IFERROR(LOOKUP(2,1/('Milho 1ª safra'!$E49:INDEX('Milho 1ª safra'!$E49:$Z49,MIN(F$6-$E$3,22))&lt;&gt;""),'Milho 1ª safra'!$E49:INDEX('Milho 1ª safra'!$E49:$Z49,MIN(F$6-$E$3,22))),0))-IF($G$2,0,IF((F$6-$G$3)&lt;1,0,IFERROR(LOOKUP(2,1/('Milho 1ª safra'!$E49:INDEX('Milho 1ª safra'!$E49:$Z49,MIN(F$6-$G$3,22))&lt;&gt;""),'Milho 1ª safra'!$E49:INDEX('Milho 1ª safra'!$E49:$Z49,MIN(F$6-$G$3,22))),0)))))</f>
        <v>0</v>
      </c>
      <c r="G51" s="27" t="n">
        <f aca="false">IF(COUNT('Milho 1ª safra'!$E49:$Z49)=0,0,MAX(0,IF((G$6-$E$3)&lt;1,0,IFERROR(LOOKUP(2,1/('Milho 1ª safra'!$E49:INDEX('Milho 1ª safra'!$E49:$Z49,MIN(G$6-$E$3,22))&lt;&gt;""),'Milho 1ª safra'!$E49:INDEX('Milho 1ª safra'!$E49:$Z49,MIN(G$6-$E$3,22))),0))-IF($G$2,0,IF((G$6-$G$3)&lt;1,0,IFERROR(LOOKUP(2,1/('Milho 1ª safra'!$E49:INDEX('Milho 1ª safra'!$E49:$Z49,MIN(G$6-$G$3,22))&lt;&gt;""),'Milho 1ª safra'!$E49:INDEX('Milho 1ª safra'!$E49:$Z49,MIN(G$6-$G$3,22))),0)))))</f>
        <v>0</v>
      </c>
      <c r="H51" s="27" t="n">
        <f aca="false">IF(COUNT('Milho 1ª safra'!$E49:$Z49)=0,0,MAX(0,IF((H$6-$E$3)&lt;1,0,IFERROR(LOOKUP(2,1/('Milho 1ª safra'!$E49:INDEX('Milho 1ª safra'!$E49:$Z49,MIN(H$6-$E$3,22))&lt;&gt;""),'Milho 1ª safra'!$E49:INDEX('Milho 1ª safra'!$E49:$Z49,MIN(H$6-$E$3,22))),0))-IF($G$2,0,IF((H$6-$G$3)&lt;1,0,IFERROR(LOOKUP(2,1/('Milho 1ª safra'!$E49:INDEX('Milho 1ª safra'!$E49:$Z49,MIN(H$6-$G$3,22))&lt;&gt;""),'Milho 1ª safra'!$E49:INDEX('Milho 1ª safra'!$E49:$Z49,MIN(H$6-$G$3,22))),0)))))</f>
        <v>0</v>
      </c>
      <c r="I51" s="27" t="n">
        <f aca="false">IF(COUNT('Milho 1ª safra'!$E49:$Z49)=0,0,MAX(0,IF((I$6-$E$3)&lt;1,0,IFERROR(LOOKUP(2,1/('Milho 1ª safra'!$E49:INDEX('Milho 1ª safra'!$E49:$Z49,MIN(I$6-$E$3,22))&lt;&gt;""),'Milho 1ª safra'!$E49:INDEX('Milho 1ª safra'!$E49:$Z49,MIN(I$6-$E$3,22))),0))-IF($G$2,0,IF((I$6-$G$3)&lt;1,0,IFERROR(LOOKUP(2,1/('Milho 1ª safra'!$E49:INDEX('Milho 1ª safra'!$E49:$Z49,MIN(I$6-$G$3,22))&lt;&gt;""),'Milho 1ª safra'!$E49:INDEX('Milho 1ª safra'!$E49:$Z49,MIN(I$6-$G$3,22))),0)))))</f>
        <v>0</v>
      </c>
      <c r="J51" s="27" t="n">
        <f aca="false">IF(COUNT('Milho 1ª safra'!$E49:$Z49)=0,0,MAX(0,IF((J$6-$E$3)&lt;1,0,IFERROR(LOOKUP(2,1/('Milho 1ª safra'!$E49:INDEX('Milho 1ª safra'!$E49:$Z49,MIN(J$6-$E$3,22))&lt;&gt;""),'Milho 1ª safra'!$E49:INDEX('Milho 1ª safra'!$E49:$Z49,MIN(J$6-$E$3,22))),0))-IF($G$2,0,IF((J$6-$G$3)&lt;1,0,IFERROR(LOOKUP(2,1/('Milho 1ª safra'!$E49:INDEX('Milho 1ª safra'!$E49:$Z49,MIN(J$6-$G$3,22))&lt;&gt;""),'Milho 1ª safra'!$E49:INDEX('Milho 1ª safra'!$E49:$Z49,MIN(J$6-$G$3,22))),0)))))</f>
        <v>0</v>
      </c>
      <c r="K51" s="27" t="n">
        <f aca="false">IF(COUNT('Milho 1ª safra'!$E49:$Z49)=0,0,MAX(0,IF((K$6-$E$3)&lt;1,0,IFERROR(LOOKUP(2,1/('Milho 1ª safra'!$E49:INDEX('Milho 1ª safra'!$E49:$Z49,MIN(K$6-$E$3,22))&lt;&gt;""),'Milho 1ª safra'!$E49:INDEX('Milho 1ª safra'!$E49:$Z49,MIN(K$6-$E$3,22))),0))-IF($G$2,0,IF((K$6-$G$3)&lt;1,0,IFERROR(LOOKUP(2,1/('Milho 1ª safra'!$E49:INDEX('Milho 1ª safra'!$E49:$Z49,MIN(K$6-$G$3,22))&lt;&gt;""),'Milho 1ª safra'!$E49:INDEX('Milho 1ª safra'!$E49:$Z49,MIN(K$6-$G$3,22))),0)))))</f>
        <v>0</v>
      </c>
      <c r="L51" s="27" t="n">
        <f aca="false">IF(COUNT('Milho 1ª safra'!$E49:$Z49)=0,0,MAX(0,IF((L$6-$E$3)&lt;1,0,IFERROR(LOOKUP(2,1/('Milho 1ª safra'!$E49:INDEX('Milho 1ª safra'!$E49:$Z49,MIN(L$6-$E$3,22))&lt;&gt;""),'Milho 1ª safra'!$E49:INDEX('Milho 1ª safra'!$E49:$Z49,MIN(L$6-$E$3,22))),0))-IF($G$2,0,IF((L$6-$G$3)&lt;1,0,IFERROR(LOOKUP(2,1/('Milho 1ª safra'!$E49:INDEX('Milho 1ª safra'!$E49:$Z49,MIN(L$6-$G$3,22))&lt;&gt;""),'Milho 1ª safra'!$E49:INDEX('Milho 1ª safra'!$E49:$Z49,MIN(L$6-$G$3,22))),0)))))</f>
        <v>0</v>
      </c>
      <c r="M51" s="27" t="n">
        <f aca="false">IF(COUNT('Milho 1ª safra'!$E49:$Z49)=0,0,MAX(0,IF((M$6-$E$3)&lt;1,0,IFERROR(LOOKUP(2,1/('Milho 1ª safra'!$E49:INDEX('Milho 1ª safra'!$E49:$Z49,MIN(M$6-$E$3,22))&lt;&gt;""),'Milho 1ª safra'!$E49:INDEX('Milho 1ª safra'!$E49:$Z49,MIN(M$6-$E$3,22))),0))-IF($G$2,0,IF((M$6-$G$3)&lt;1,0,IFERROR(LOOKUP(2,1/('Milho 1ª safra'!$E49:INDEX('Milho 1ª safra'!$E49:$Z49,MIN(M$6-$G$3,22))&lt;&gt;""),'Milho 1ª safra'!$E49:INDEX('Milho 1ª safra'!$E49:$Z49,MIN(M$6-$G$3,22))),0)))))</f>
        <v>0</v>
      </c>
      <c r="N51" s="27" t="n">
        <f aca="false">IF(COUNT('Milho 1ª safra'!$E49:$Z49)=0,0,MAX(0,IF((N$6-$E$3)&lt;1,0,IFERROR(LOOKUP(2,1/('Milho 1ª safra'!$E49:INDEX('Milho 1ª safra'!$E49:$Z49,MIN(N$6-$E$3,22))&lt;&gt;""),'Milho 1ª safra'!$E49:INDEX('Milho 1ª safra'!$E49:$Z49,MIN(N$6-$E$3,22))),0))-IF($G$2,0,IF((N$6-$G$3)&lt;1,0,IFERROR(LOOKUP(2,1/('Milho 1ª safra'!$E49:INDEX('Milho 1ª safra'!$E49:$Z49,MIN(N$6-$G$3,22))&lt;&gt;""),'Milho 1ª safra'!$E49:INDEX('Milho 1ª safra'!$E49:$Z49,MIN(N$6-$G$3,22))),0)))))</f>
        <v>0</v>
      </c>
      <c r="O51" s="27" t="n">
        <f aca="false">IF(COUNT('Milho 1ª safra'!$E49:$Z49)=0,0,MAX(0,IF((O$6-$E$3)&lt;1,0,IFERROR(LOOKUP(2,1/('Milho 1ª safra'!$E49:INDEX('Milho 1ª safra'!$E49:$Z49,MIN(O$6-$E$3,22))&lt;&gt;""),'Milho 1ª safra'!$E49:INDEX('Milho 1ª safra'!$E49:$Z49,MIN(O$6-$E$3,22))),0))-IF($G$2,0,IF((O$6-$G$3)&lt;1,0,IFERROR(LOOKUP(2,1/('Milho 1ª safra'!$E49:INDEX('Milho 1ª safra'!$E49:$Z49,MIN(O$6-$G$3,22))&lt;&gt;""),'Milho 1ª safra'!$E49:INDEX('Milho 1ª safra'!$E49:$Z49,MIN(O$6-$G$3,22))),0)))))</f>
        <v>0</v>
      </c>
      <c r="P51" s="27" t="n">
        <f aca="false">IF(COUNT('Milho 1ª safra'!$E49:$Z49)=0,0,MAX(0,IF((P$6-$E$3)&lt;1,0,IFERROR(LOOKUP(2,1/('Milho 1ª safra'!$E49:INDEX('Milho 1ª safra'!$E49:$Z49,MIN(P$6-$E$3,22))&lt;&gt;""),'Milho 1ª safra'!$E49:INDEX('Milho 1ª safra'!$E49:$Z49,MIN(P$6-$E$3,22))),0))-IF($G$2,0,IF((P$6-$G$3)&lt;1,0,IFERROR(LOOKUP(2,1/('Milho 1ª safra'!$E49:INDEX('Milho 1ª safra'!$E49:$Z49,MIN(P$6-$G$3,22))&lt;&gt;""),'Milho 1ª safra'!$E49:INDEX('Milho 1ª safra'!$E49:$Z49,MIN(P$6-$G$3,22))),0)))))</f>
        <v>0</v>
      </c>
      <c r="Q51" s="27" t="n">
        <f aca="false">IF(COUNT('Milho 1ª safra'!$E49:$Z49)=0,0,MAX(0,IF((Q$6-$E$3)&lt;1,0,IFERROR(LOOKUP(2,1/('Milho 1ª safra'!$E49:INDEX('Milho 1ª safra'!$E49:$Z49,MIN(Q$6-$E$3,22))&lt;&gt;""),'Milho 1ª safra'!$E49:INDEX('Milho 1ª safra'!$E49:$Z49,MIN(Q$6-$E$3,22))),0))-IF($G$2,0,IF((Q$6-$G$3)&lt;1,0,IFERROR(LOOKUP(2,1/('Milho 1ª safra'!$E49:INDEX('Milho 1ª safra'!$E49:$Z49,MIN(Q$6-$G$3,22))&lt;&gt;""),'Milho 1ª safra'!$E49:INDEX('Milho 1ª safra'!$E49:$Z49,MIN(Q$6-$G$3,22))),0)))))</f>
        <v>0</v>
      </c>
      <c r="R51" s="27" t="n">
        <f aca="false">IF(COUNT('Milho 1ª safra'!$E49:$Z49)=0,0,MAX(0,IF((R$6-$E$3)&lt;1,0,IFERROR(LOOKUP(2,1/('Milho 1ª safra'!$E49:INDEX('Milho 1ª safra'!$E49:$Z49,MIN(R$6-$E$3,22))&lt;&gt;""),'Milho 1ª safra'!$E49:INDEX('Milho 1ª safra'!$E49:$Z49,MIN(R$6-$E$3,22))),0))-IF($G$2,0,IF((R$6-$G$3)&lt;1,0,IFERROR(LOOKUP(2,1/('Milho 1ª safra'!$E49:INDEX('Milho 1ª safra'!$E49:$Z49,MIN(R$6-$G$3,22))&lt;&gt;""),'Milho 1ª safra'!$E49:INDEX('Milho 1ª safra'!$E49:$Z49,MIN(R$6-$G$3,22))),0)))))</f>
        <v>0</v>
      </c>
      <c r="S51" s="27" t="n">
        <f aca="false">IF(COUNT('Milho 1ª safra'!$E49:$Z49)=0,0,MAX(0,IF((S$6-$E$3)&lt;1,0,IFERROR(LOOKUP(2,1/('Milho 1ª safra'!$E49:INDEX('Milho 1ª safra'!$E49:$Z49,MIN(S$6-$E$3,22))&lt;&gt;""),'Milho 1ª safra'!$E49:INDEX('Milho 1ª safra'!$E49:$Z49,MIN(S$6-$E$3,22))),0))-IF($G$2,0,IF((S$6-$G$3)&lt;1,0,IFERROR(LOOKUP(2,1/('Milho 1ª safra'!$E49:INDEX('Milho 1ª safra'!$E49:$Z49,MIN(S$6-$G$3,22))&lt;&gt;""),'Milho 1ª safra'!$E49:INDEX('Milho 1ª safra'!$E49:$Z49,MIN(S$6-$G$3,22))),0)))))</f>
        <v>0</v>
      </c>
      <c r="T51" s="27" t="n">
        <f aca="false">IF(COUNT('Milho 1ª safra'!$E49:$Z49)=0,0,MAX(0,IF((T$6-$E$3)&lt;1,0,IFERROR(LOOKUP(2,1/('Milho 1ª safra'!$E49:INDEX('Milho 1ª safra'!$E49:$Z49,MIN(T$6-$E$3,22))&lt;&gt;""),'Milho 1ª safra'!$E49:INDEX('Milho 1ª safra'!$E49:$Z49,MIN(T$6-$E$3,22))),0))-IF($G$2,0,IF((T$6-$G$3)&lt;1,0,IFERROR(LOOKUP(2,1/('Milho 1ª safra'!$E49:INDEX('Milho 1ª safra'!$E49:$Z49,MIN(T$6-$G$3,22))&lt;&gt;""),'Milho 1ª safra'!$E49:INDEX('Milho 1ª safra'!$E49:$Z49,MIN(T$6-$G$3,22))),0)))))</f>
        <v>0</v>
      </c>
      <c r="U51" s="27" t="n">
        <f aca="false">IF(COUNT('Milho 1ª safra'!$E49:$Z49)=0,0,MAX(0,IF((U$6-$E$3)&lt;1,0,IFERROR(LOOKUP(2,1/('Milho 1ª safra'!$E49:INDEX('Milho 1ª safra'!$E49:$Z49,MIN(U$6-$E$3,22))&lt;&gt;""),'Milho 1ª safra'!$E49:INDEX('Milho 1ª safra'!$E49:$Z49,MIN(U$6-$E$3,22))),0))-IF($G$2,0,IF((U$6-$G$3)&lt;1,0,IFERROR(LOOKUP(2,1/('Milho 1ª safra'!$E49:INDEX('Milho 1ª safra'!$E49:$Z49,MIN(U$6-$G$3,22))&lt;&gt;""),'Milho 1ª safra'!$E49:INDEX('Milho 1ª safra'!$E49:$Z49,MIN(U$6-$G$3,22))),0)))))</f>
        <v>0</v>
      </c>
      <c r="V51" s="27" t="n">
        <f aca="false">IF(COUNT('Milho 1ª safra'!$E49:$Z49)=0,0,MAX(0,IF((V$6-$E$3)&lt;1,0,IFERROR(LOOKUP(2,1/('Milho 1ª safra'!$E49:INDEX('Milho 1ª safra'!$E49:$Z49,MIN(V$6-$E$3,22))&lt;&gt;""),'Milho 1ª safra'!$E49:INDEX('Milho 1ª safra'!$E49:$Z49,MIN(V$6-$E$3,22))),0))-IF($G$2,0,IF((V$6-$G$3)&lt;1,0,IFERROR(LOOKUP(2,1/('Milho 1ª safra'!$E49:INDEX('Milho 1ª safra'!$E49:$Z49,MIN(V$6-$G$3,22))&lt;&gt;""),'Milho 1ª safra'!$E49:INDEX('Milho 1ª safra'!$E49:$Z49,MIN(V$6-$G$3,22))),0)))))</f>
        <v>0</v>
      </c>
      <c r="W51" s="27" t="n">
        <f aca="false">IF(COUNT('Milho 1ª safra'!$E49:$Z49)=0,0,MAX(0,IF((W$6-$E$3)&lt;1,0,IFERROR(LOOKUP(2,1/('Milho 1ª safra'!$E49:INDEX('Milho 1ª safra'!$E49:$Z49,MIN(W$6-$E$3,22))&lt;&gt;""),'Milho 1ª safra'!$E49:INDEX('Milho 1ª safra'!$E49:$Z49,MIN(W$6-$E$3,22))),0))-IF($G$2,0,IF((W$6-$G$3)&lt;1,0,IFERROR(LOOKUP(2,1/('Milho 1ª safra'!$E49:INDEX('Milho 1ª safra'!$E49:$Z49,MIN(W$6-$G$3,22))&lt;&gt;""),'Milho 1ª safra'!$E49:INDEX('Milho 1ª safra'!$E49:$Z49,MIN(W$6-$G$3,22))),0)))))</f>
        <v>0</v>
      </c>
      <c r="X51" s="27" t="n">
        <f aca="false">IF(COUNT('Milho 1ª safra'!$E49:$Z49)=0,0,MAX(0,IF((X$6-$E$3)&lt;1,0,IFERROR(LOOKUP(2,1/('Milho 1ª safra'!$E49:INDEX('Milho 1ª safra'!$E49:$Z49,MIN(X$6-$E$3,22))&lt;&gt;""),'Milho 1ª safra'!$E49:INDEX('Milho 1ª safra'!$E49:$Z49,MIN(X$6-$E$3,22))),0))-IF($G$2,0,IF((X$6-$G$3)&lt;1,0,IFERROR(LOOKUP(2,1/('Milho 1ª safra'!$E49:INDEX('Milho 1ª safra'!$E49:$Z49,MIN(X$6-$G$3,22))&lt;&gt;""),'Milho 1ª safra'!$E49:INDEX('Milho 1ª safra'!$E49:$Z49,MIN(X$6-$G$3,22))),0)))))</f>
        <v>0</v>
      </c>
      <c r="Y51" s="27" t="n">
        <f aca="false">IF(COUNT('Milho 1ª safra'!$E49:$Z49)=0,0,MAX(0,IF((Y$6-$E$3)&lt;1,0,IFERROR(LOOKUP(2,1/('Milho 1ª safra'!$E49:INDEX('Milho 1ª safra'!$E49:$Z49,MIN(Y$6-$E$3,22))&lt;&gt;""),'Milho 1ª safra'!$E49:INDEX('Milho 1ª safra'!$E49:$Z49,MIN(Y$6-$E$3,22))),0))-IF($G$2,0,IF((Y$6-$G$3)&lt;1,0,IFERROR(LOOKUP(2,1/('Milho 1ª safra'!$E49:INDEX('Milho 1ª safra'!$E49:$Z49,MIN(Y$6-$G$3,22))&lt;&gt;""),'Milho 1ª safra'!$E49:INDEX('Milho 1ª safra'!$E49:$Z49,MIN(Y$6-$G$3,22))),0)))))</f>
        <v>0</v>
      </c>
      <c r="Z51" s="27" t="n">
        <f aca="false">IF(COUNT('Milho 1ª safra'!$E49:$Z49)=0,0,MAX(0,IF((Z$6-$E$3)&lt;1,0,IFERROR(LOOKUP(2,1/('Milho 1ª safra'!$E49:INDEX('Milho 1ª safra'!$E49:$Z49,MIN(Z$6-$E$3,22))&lt;&gt;""),'Milho 1ª safra'!$E49:INDEX('Milho 1ª safra'!$E49:$Z49,MIN(Z$6-$E$3,22))),0))-IF($G$2,0,IF((Z$6-$G$3)&lt;1,0,IFERROR(LOOKUP(2,1/('Milho 1ª safra'!$E49:INDEX('Milho 1ª safra'!$E49:$Z49,MIN(Z$6-$G$3,22))&lt;&gt;""),'Milho 1ª safra'!$E49:INDEX('Milho 1ª safra'!$E49:$Z49,MIN(Z$6-$G$3,22))),0)))))</f>
        <v>0</v>
      </c>
      <c r="AA51" s="27" t="n">
        <f aca="false">IF(COUNT('Milho 1ª safra'!$E49:$Z49)=0,0,MAX(0,IF((AA$6-$E$3)&lt;1,0,IFERROR(LOOKUP(2,1/('Milho 1ª safra'!$E49:INDEX('Milho 1ª safra'!$E49:$Z49,MIN(AA$6-$E$3,22))&lt;&gt;""),'Milho 1ª safra'!$E49:INDEX('Milho 1ª safra'!$E49:$Z49,MIN(AA$6-$E$3,22))),0))-IF($G$2,0,IF((AA$6-$G$3)&lt;1,0,IFERROR(LOOKUP(2,1/('Milho 1ª safra'!$E49:INDEX('Milho 1ª safra'!$E49:$Z49,MIN(AA$6-$G$3,22))&lt;&gt;""),'Milho 1ª safra'!$E49:INDEX('Milho 1ª safra'!$E49:$Z49,MIN(AA$6-$G$3,22))),0)))))</f>
        <v>0</v>
      </c>
      <c r="AB51" s="27" t="n">
        <f aca="false">IF(COUNT('Milho 1ª safra'!$E49:$Z49)=0,0,MAX(0,IF((AB$6-$E$3)&lt;1,0,IFERROR(LOOKUP(2,1/('Milho 1ª safra'!$E49:INDEX('Milho 1ª safra'!$E49:$Z49,MIN(AB$6-$E$3,22))&lt;&gt;""),'Milho 1ª safra'!$E49:INDEX('Milho 1ª safra'!$E49:$Z49,MIN(AB$6-$E$3,22))),0))-IF($G$2,0,IF((AB$6-$G$3)&lt;1,0,IFERROR(LOOKUP(2,1/('Milho 1ª safra'!$E49:INDEX('Milho 1ª safra'!$E49:$Z49,MIN(AB$6-$G$3,22))&lt;&gt;""),'Milho 1ª safra'!$E49:INDEX('Milho 1ª safra'!$E49:$Z49,MIN(AB$6-$G$3,22))),0)))))</f>
        <v>0</v>
      </c>
      <c r="AC51" s="27" t="n">
        <f aca="false">IF(COUNT('Milho 1ª safra'!$E49:$Z49)=0,0,MAX(0,IF((AC$6-$E$3)&lt;1,0,IFERROR(LOOKUP(2,1/('Milho 1ª safra'!$E49:INDEX('Milho 1ª safra'!$E49:$Z49,MIN(AC$6-$E$3,22))&lt;&gt;""),'Milho 1ª safra'!$E49:INDEX('Milho 1ª safra'!$E49:$Z49,MIN(AC$6-$E$3,22))),0))-IF($G$2,0,IF((AC$6-$G$3)&lt;1,0,IFERROR(LOOKUP(2,1/('Milho 1ª safra'!$E49:INDEX('Milho 1ª safra'!$E49:$Z49,MIN(AC$6-$G$3,22))&lt;&gt;""),'Milho 1ª safra'!$E49:INDEX('Milho 1ª safra'!$E49:$Z49,MIN(AC$6-$G$3,22))),0)))))</f>
        <v>0</v>
      </c>
      <c r="AD51" s="27" t="n">
        <f aca="false">IF(COUNT('Milho 1ª safra'!$E49:$Z49)=0,0,MAX(0,IF((AD$6-$E$3)&lt;1,0,IFERROR(LOOKUP(2,1/('Milho 1ª safra'!$E49:INDEX('Milho 1ª safra'!$E49:$Z49,MIN(AD$6-$E$3,22))&lt;&gt;""),'Milho 1ª safra'!$E49:INDEX('Milho 1ª safra'!$E49:$Z49,MIN(AD$6-$E$3,22))),0))-IF($G$2,0,IF((AD$6-$G$3)&lt;1,0,IFERROR(LOOKUP(2,1/('Milho 1ª safra'!$E49:INDEX('Milho 1ª safra'!$E49:$Z49,MIN(AD$6-$G$3,22))&lt;&gt;""),'Milho 1ª safra'!$E49:INDEX('Milho 1ª safra'!$E49:$Z49,MIN(AD$6-$G$3,22))),0)))))</f>
        <v>0</v>
      </c>
      <c r="AE51" s="27" t="n">
        <f aca="false">IF(COUNT('Milho 1ª safra'!$E49:$Z49)=0,0,MAX(0,IF((AE$6-$E$3)&lt;1,0,IFERROR(LOOKUP(2,1/('Milho 1ª safra'!$E49:INDEX('Milho 1ª safra'!$E49:$Z49,MIN(AE$6-$E$3,22))&lt;&gt;""),'Milho 1ª safra'!$E49:INDEX('Milho 1ª safra'!$E49:$Z49,MIN(AE$6-$E$3,22))),0))-IF($G$2,0,IF((AE$6-$G$3)&lt;1,0,IFERROR(LOOKUP(2,1/('Milho 1ª safra'!$E49:INDEX('Milho 1ª safra'!$E49:$Z49,MIN(AE$6-$G$3,22))&lt;&gt;""),'Milho 1ª safra'!$E49:INDEX('Milho 1ª safra'!$E49:$Z49,MIN(AE$6-$G$3,22))),0)))))</f>
        <v>0</v>
      </c>
      <c r="AF51" s="27" t="n">
        <f aca="false">IF(COUNT('Milho 1ª safra'!$E49:$Z49)=0,0,MAX(0,IF((AF$6-$E$3)&lt;1,0,IFERROR(LOOKUP(2,1/('Milho 1ª safra'!$E49:INDEX('Milho 1ª safra'!$E49:$Z49,MIN(AF$6-$E$3,22))&lt;&gt;""),'Milho 1ª safra'!$E49:INDEX('Milho 1ª safra'!$E49:$Z49,MIN(AF$6-$E$3,22))),0))-IF($G$2,0,IF((AF$6-$G$3)&lt;1,0,IFERROR(LOOKUP(2,1/('Milho 1ª safra'!$E49:INDEX('Milho 1ª safra'!$E49:$Z49,MIN(AF$6-$G$3,22))&lt;&gt;""),'Milho 1ª safra'!$E49:INDEX('Milho 1ª safra'!$E49:$Z49,MIN(AF$6-$G$3,22))),0)))))</f>
        <v>0</v>
      </c>
      <c r="AG51" s="27" t="n">
        <f aca="false">IF(COUNT('Milho 1ª safra'!$E49:$Z49)=0,0,MAX(0,IF((AG$6-$E$3)&lt;1,0,IFERROR(LOOKUP(2,1/('Milho 1ª safra'!$E49:INDEX('Milho 1ª safra'!$E49:$Z49,MIN(AG$6-$E$3,22))&lt;&gt;""),'Milho 1ª safra'!$E49:INDEX('Milho 1ª safra'!$E49:$Z49,MIN(AG$6-$E$3,22))),0))-IF($G$2,0,IF((AG$6-$G$3)&lt;1,0,IFERROR(LOOKUP(2,1/('Milho 1ª safra'!$E49:INDEX('Milho 1ª safra'!$E49:$Z49,MIN(AG$6-$G$3,22))&lt;&gt;""),'Milho 1ª safra'!$E49:INDEX('Milho 1ª safra'!$E49:$Z49,MIN(AG$6-$G$3,22))),0)))))</f>
        <v>0</v>
      </c>
      <c r="AH51" s="27" t="n">
        <f aca="false">IF(COUNT('Milho 1ª safra'!$E49:$Z49)=0,0,MAX(0,IF((AH$6-$E$3)&lt;1,0,IFERROR(LOOKUP(2,1/('Milho 1ª safra'!$E49:INDEX('Milho 1ª safra'!$E49:$Z49,MIN(AH$6-$E$3,22))&lt;&gt;""),'Milho 1ª safra'!$E49:INDEX('Milho 1ª safra'!$E49:$Z49,MIN(AH$6-$E$3,22))),0))-IF($G$2,0,IF((AH$6-$G$3)&lt;1,0,IFERROR(LOOKUP(2,1/('Milho 1ª safra'!$E49:INDEX('Milho 1ª safra'!$E49:$Z49,MIN(AH$6-$G$3,22))&lt;&gt;""),'Milho 1ª safra'!$E49:INDEX('Milho 1ª safra'!$E49:$Z49,MIN(AH$6-$G$3,22))),0)))))</f>
        <v>0</v>
      </c>
      <c r="AI51" s="27" t="n">
        <f aca="false">IF(COUNT('Milho 1ª safra'!$E49:$Z49)=0,0,MAX(0,IF((AI$6-$E$3)&lt;1,0,IFERROR(LOOKUP(2,1/('Milho 1ª safra'!$E49:INDEX('Milho 1ª safra'!$E49:$Z49,MIN(AI$6-$E$3,22))&lt;&gt;""),'Milho 1ª safra'!$E49:INDEX('Milho 1ª safra'!$E49:$Z49,MIN(AI$6-$E$3,22))),0))-IF($G$2,0,IF((AI$6-$G$3)&lt;1,0,IFERROR(LOOKUP(2,1/('Milho 1ª safra'!$E49:INDEX('Milho 1ª safra'!$E49:$Z49,MIN(AI$6-$G$3,22))&lt;&gt;""),'Milho 1ª safra'!$E49:INDEX('Milho 1ª safra'!$E49:$Z49,MIN(AI$6-$G$3,22))),0)))))</f>
        <v>0</v>
      </c>
      <c r="AJ51" s="27" t="n">
        <f aca="false">IF(COUNT('Milho 1ª safra'!$E49:$Z49)=0,0,MAX(0,IF((AJ$6-$E$3)&lt;1,0,IFERROR(LOOKUP(2,1/('Milho 1ª safra'!$E49:INDEX('Milho 1ª safra'!$E49:$Z49,MIN(AJ$6-$E$3,22))&lt;&gt;""),'Milho 1ª safra'!$E49:INDEX('Milho 1ª safra'!$E49:$Z49,MIN(AJ$6-$E$3,22))),0))-IF($G$2,0,IF((AJ$6-$G$3)&lt;1,0,IFERROR(LOOKUP(2,1/('Milho 1ª safra'!$E49:INDEX('Milho 1ª safra'!$E49:$Z49,MIN(AJ$6-$G$3,22))&lt;&gt;""),'Milho 1ª safra'!$E49:INDEX('Milho 1ª safra'!$E49:$Z49,MIN(AJ$6-$G$3,22))),0)))))</f>
        <v>0</v>
      </c>
      <c r="AK51" s="27" t="n">
        <f aca="false">IF(COUNT('Milho 1ª safra'!$E49:$Z49)=0,0,MAX(0,IF((AK$6-$E$3)&lt;1,0,IFERROR(LOOKUP(2,1/('Milho 1ª safra'!$E49:INDEX('Milho 1ª safra'!$E49:$Z49,MIN(AK$6-$E$3,22))&lt;&gt;""),'Milho 1ª safra'!$E49:INDEX('Milho 1ª safra'!$E49:$Z49,MIN(AK$6-$E$3,22))),0))-IF($G$2,0,IF((AK$6-$G$3)&lt;1,0,IFERROR(LOOKUP(2,1/('Milho 1ª safra'!$E49:INDEX('Milho 1ª safra'!$E49:$Z49,MIN(AK$6-$G$3,22))&lt;&gt;""),'Milho 1ª safra'!$E49:INDEX('Milho 1ª safra'!$E49:$Z49,MIN(AK$6-$G$3,22))),0)))))</f>
        <v>0</v>
      </c>
      <c r="AL51" s="27" t="n">
        <f aca="false">IF(COUNT('Milho 1ª safra'!$E49:$Z49)=0,0,MAX(0,IF((AL$6-$E$3)&lt;1,0,IFERROR(LOOKUP(2,1/('Milho 1ª safra'!$E49:INDEX('Milho 1ª safra'!$E49:$Z49,MIN(AL$6-$E$3,22))&lt;&gt;""),'Milho 1ª safra'!$E49:INDEX('Milho 1ª safra'!$E49:$Z49,MIN(AL$6-$E$3,22))),0))-IF($G$2,0,IF((AL$6-$G$3)&lt;1,0,IFERROR(LOOKUP(2,1/('Milho 1ª safra'!$E49:INDEX('Milho 1ª safra'!$E49:$Z49,MIN(AL$6-$G$3,22))&lt;&gt;""),'Milho 1ª safra'!$E49:INDEX('Milho 1ª safra'!$E49:$Z49,MIN(AL$6-$G$3,22))),0)))))</f>
        <v>0</v>
      </c>
      <c r="AM51" s="27" t="n">
        <f aca="false">IF(COUNT('Milho 1ª safra'!$E49:$Z49)=0,0,MAX(0,IF((AM$6-$E$3)&lt;1,0,IFERROR(LOOKUP(2,1/('Milho 1ª safra'!$E49:INDEX('Milho 1ª safra'!$E49:$Z49,MIN(AM$6-$E$3,22))&lt;&gt;""),'Milho 1ª safra'!$E49:INDEX('Milho 1ª safra'!$E49:$Z49,MIN(AM$6-$E$3,22))),0))-IF($G$2,0,IF((AM$6-$G$3)&lt;1,0,IFERROR(LOOKUP(2,1/('Milho 1ª safra'!$E49:INDEX('Milho 1ª safra'!$E49:$Z49,MIN(AM$6-$G$3,22))&lt;&gt;""),'Milho 1ª safra'!$E49:INDEX('Milho 1ª safra'!$E49:$Z49,MIN(AM$6-$G$3,22))),0)))))</f>
        <v>0</v>
      </c>
      <c r="AN51" s="27" t="n">
        <f aca="false">IF(COUNT('Milho 1ª safra'!$E49:$Z49)=0,0,MAX(0,IF((AN$6-$E$3)&lt;1,0,IFERROR(LOOKUP(2,1/('Milho 1ª safra'!$E49:INDEX('Milho 1ª safra'!$E49:$Z49,MIN(AN$6-$E$3,22))&lt;&gt;""),'Milho 1ª safra'!$E49:INDEX('Milho 1ª safra'!$E49:$Z49,MIN(AN$6-$E$3,22))),0))-IF($G$2,0,IF((AN$6-$G$3)&lt;1,0,IFERROR(LOOKUP(2,1/('Milho 1ª safra'!$E49:INDEX('Milho 1ª safra'!$E49:$Z49,MIN(AN$6-$G$3,22))&lt;&gt;""),'Milho 1ª safra'!$E49:INDEX('Milho 1ª safra'!$E49:$Z49,MIN(AN$6-$G$3,22))),0)))))</f>
        <v>0</v>
      </c>
      <c r="AO51" s="27" t="n">
        <f aca="false">IF(COUNT('Milho 1ª safra'!$E49:$Z49)=0,0,MAX(0,IF((AO$6-$E$3)&lt;1,0,IFERROR(LOOKUP(2,1/('Milho 1ª safra'!$E49:INDEX('Milho 1ª safra'!$E49:$Z49,MIN(AO$6-$E$3,22))&lt;&gt;""),'Milho 1ª safra'!$E49:INDEX('Milho 1ª safra'!$E49:$Z49,MIN(AO$6-$E$3,22))),0))-IF($G$2,0,IF((AO$6-$G$3)&lt;1,0,IFERROR(LOOKUP(2,1/('Milho 1ª safra'!$E49:INDEX('Milho 1ª safra'!$E49:$Z49,MIN(AO$6-$G$3,22))&lt;&gt;""),'Milho 1ª safra'!$E49:INDEX('Milho 1ª safra'!$E49:$Z49,MIN(AO$6-$G$3,22))),0)))))</f>
        <v>0</v>
      </c>
      <c r="AP51" s="27" t="n">
        <f aca="false">IF(COUNT('Milho 1ª safra'!$E49:$Z49)=0,0,MAX(0,IF((AP$6-$E$3)&lt;1,0,IFERROR(LOOKUP(2,1/('Milho 1ª safra'!$E49:INDEX('Milho 1ª safra'!$E49:$Z49,MIN(AP$6-$E$3,22))&lt;&gt;""),'Milho 1ª safra'!$E49:INDEX('Milho 1ª safra'!$E49:$Z49,MIN(AP$6-$E$3,22))),0))-IF($G$2,0,IF((AP$6-$G$3)&lt;1,0,IFERROR(LOOKUP(2,1/('Milho 1ª safra'!$E49:INDEX('Milho 1ª safra'!$E49:$Z49,MIN(AP$6-$G$3,22))&lt;&gt;""),'Milho 1ª safra'!$E49:INDEX('Milho 1ª safra'!$E49:$Z49,MIN(AP$6-$G$3,22))),0)))))</f>
        <v>0</v>
      </c>
      <c r="AQ51" s="27" t="n">
        <f aca="false">IF(COUNT('Milho 1ª safra'!$E49:$Z49)=0,0,MAX(0,IF((AQ$6-$E$3)&lt;1,0,IFERROR(LOOKUP(2,1/('Milho 1ª safra'!$E49:INDEX('Milho 1ª safra'!$E49:$Z49,MIN(AQ$6-$E$3,22))&lt;&gt;""),'Milho 1ª safra'!$E49:INDEX('Milho 1ª safra'!$E49:$Z49,MIN(AQ$6-$E$3,22))),0))-IF($G$2,0,IF((AQ$6-$G$3)&lt;1,0,IFERROR(LOOKUP(2,1/('Milho 1ª safra'!$E49:INDEX('Milho 1ª safra'!$E49:$Z49,MIN(AQ$6-$G$3,22))&lt;&gt;""),'Milho 1ª safra'!$E49:INDEX('Milho 1ª safra'!$E49:$Z49,MIN(AQ$6-$G$3,22))),0)))))</f>
        <v>0</v>
      </c>
      <c r="AR51" s="27" t="n">
        <f aca="false">IF(COUNT('Milho 1ª safra'!$E49:$Z49)=0,0,MAX(0,IF((AR$6-$E$3)&lt;1,0,IFERROR(LOOKUP(2,1/('Milho 1ª safra'!$E49:INDEX('Milho 1ª safra'!$E49:$Z49,MIN(AR$6-$E$3,22))&lt;&gt;""),'Milho 1ª safra'!$E49:INDEX('Milho 1ª safra'!$E49:$Z49,MIN(AR$6-$E$3,22))),0))-IF($G$2,0,IF((AR$6-$G$3)&lt;1,0,IFERROR(LOOKUP(2,1/('Milho 1ª safra'!$E49:INDEX('Milho 1ª safra'!$E49:$Z49,MIN(AR$6-$G$3,22))&lt;&gt;""),'Milho 1ª safra'!$E49:INDEX('Milho 1ª safra'!$E49:$Z49,MIN(AR$6-$G$3,22))),0)))))</f>
        <v>0</v>
      </c>
      <c r="AS51" s="27" t="n">
        <f aca="false">IF(COUNT('Milho 1ª safra'!$E49:$Z49)=0,0,MAX(0,IF((AS$6-$E$3)&lt;1,0,IFERROR(LOOKUP(2,1/('Milho 1ª safra'!$E49:INDEX('Milho 1ª safra'!$E49:$Z49,MIN(AS$6-$E$3,22))&lt;&gt;""),'Milho 1ª safra'!$E49:INDEX('Milho 1ª safra'!$E49:$Z49,MIN(AS$6-$E$3,22))),0))-IF($G$2,0,IF((AS$6-$G$3)&lt;1,0,IFERROR(LOOKUP(2,1/('Milho 1ª safra'!$E49:INDEX('Milho 1ª safra'!$E49:$Z49,MIN(AS$6-$G$3,22))&lt;&gt;""),'Milho 1ª safra'!$E49:INDEX('Milho 1ª safra'!$E49:$Z49,MIN(AS$6-$G$3,22))),0)))))</f>
        <v>0</v>
      </c>
      <c r="AT51" s="27" t="n">
        <f aca="false">IF(COUNT('Milho 1ª safra'!$E49:$Z49)=0,0,MAX(0,IF((AT$6-$E$3)&lt;1,0,IFERROR(LOOKUP(2,1/('Milho 1ª safra'!$E49:INDEX('Milho 1ª safra'!$E49:$Z49,MIN(AT$6-$E$3,22))&lt;&gt;""),'Milho 1ª safra'!$E49:INDEX('Milho 1ª safra'!$E49:$Z49,MIN(AT$6-$E$3,22))),0))-IF($G$2,0,IF((AT$6-$G$3)&lt;1,0,IFERROR(LOOKUP(2,1/('Milho 1ª safra'!$E49:INDEX('Milho 1ª safra'!$E49:$Z49,MIN(AT$6-$G$3,22))&lt;&gt;""),'Milho 1ª safra'!$E49:INDEX('Milho 1ª safra'!$E49:$Z49,MIN(AT$6-$G$3,22))),0)))))</f>
        <v>0</v>
      </c>
      <c r="AU51" s="27" t="n">
        <f aca="false">IF(COUNT('Milho 1ª safra'!$E49:$Z49)=0,0,MAX(0,IF((AU$6-$E$3)&lt;1,0,IFERROR(LOOKUP(2,1/('Milho 1ª safra'!$E49:INDEX('Milho 1ª safra'!$E49:$Z49,MIN(AU$6-$E$3,22))&lt;&gt;""),'Milho 1ª safra'!$E49:INDEX('Milho 1ª safra'!$E49:$Z49,MIN(AU$6-$E$3,22))),0))-IF($G$2,0,IF((AU$6-$G$3)&lt;1,0,IFERROR(LOOKUP(2,1/('Milho 1ª safra'!$E49:INDEX('Milho 1ª safra'!$E49:$Z49,MIN(AU$6-$G$3,22))&lt;&gt;""),'Milho 1ª safra'!$E49:INDEX('Milho 1ª safra'!$E49:$Z49,MIN(AU$6-$G$3,22))),0)))))</f>
        <v>0</v>
      </c>
      <c r="AV51" s="27" t="n">
        <f aca="false">IF(COUNT('Milho 1ª safra'!$E49:$Z49)=0,0,MAX(0,IF((AV$6-$E$3)&lt;1,0,IFERROR(LOOKUP(2,1/('Milho 1ª safra'!$E49:INDEX('Milho 1ª safra'!$E49:$Z49,MIN(AV$6-$E$3,22))&lt;&gt;""),'Milho 1ª safra'!$E49:INDEX('Milho 1ª safra'!$E49:$Z49,MIN(AV$6-$E$3,22))),0))-IF($G$2,0,IF((AV$6-$G$3)&lt;1,0,IFERROR(LOOKUP(2,1/('Milho 1ª safra'!$E49:INDEX('Milho 1ª safra'!$E49:$Z49,MIN(AV$6-$G$3,22))&lt;&gt;""),'Milho 1ª safra'!$E49:INDEX('Milho 1ª safra'!$E49:$Z49,MIN(AV$6-$G$3,22))),0)))))</f>
        <v>0</v>
      </c>
      <c r="AW51" s="27" t="n">
        <f aca="false">IF(COUNT('Milho 1ª safra'!$E49:$Z49)=0,0,MAX(0,IF((AW$6-$E$3)&lt;1,0,IFERROR(LOOKUP(2,1/('Milho 1ª safra'!$E49:INDEX('Milho 1ª safra'!$E49:$Z49,MIN(AW$6-$E$3,22))&lt;&gt;""),'Milho 1ª safra'!$E49:INDEX('Milho 1ª safra'!$E49:$Z49,MIN(AW$6-$E$3,22))),0))-IF($G$2,0,IF((AW$6-$G$3)&lt;1,0,IFERROR(LOOKUP(2,1/('Milho 1ª safra'!$E49:INDEX('Milho 1ª safra'!$E49:$Z49,MIN(AW$6-$G$3,22))&lt;&gt;""),'Milho 1ª safra'!$E49:INDEX('Milho 1ª safra'!$E49:$Z49,MIN(AW$6-$G$3,22))),0)))))</f>
        <v>0</v>
      </c>
      <c r="AX51" s="27" t="n">
        <f aca="false">IF(COUNT('Milho 1ª safra'!$E49:$Z49)=0,0,MAX(0,IF((AX$6-$E$3)&lt;1,0,IFERROR(LOOKUP(2,1/('Milho 1ª safra'!$E49:INDEX('Milho 1ª safra'!$E49:$Z49,MIN(AX$6-$E$3,22))&lt;&gt;""),'Milho 1ª safra'!$E49:INDEX('Milho 1ª safra'!$E49:$Z49,MIN(AX$6-$E$3,22))),0))-IF($G$2,0,IF((AX$6-$G$3)&lt;1,0,IFERROR(LOOKUP(2,1/('Milho 1ª safra'!$E49:INDEX('Milho 1ª safra'!$E49:$Z49,MIN(AX$6-$G$3,22))&lt;&gt;""),'Milho 1ª safra'!$E49:INDEX('Milho 1ª safra'!$E49:$Z49,MIN(AX$6-$G$3,22))),0)))))</f>
        <v>0</v>
      </c>
      <c r="AY51" s="27" t="n">
        <f aca="false">IF(COUNT('Milho 1ª safra'!$E49:$Z49)=0,0,MAX(0,IF((AY$6-$E$3)&lt;1,0,IFERROR(LOOKUP(2,1/('Milho 1ª safra'!$E49:INDEX('Milho 1ª safra'!$E49:$Z49,MIN(AY$6-$E$3,22))&lt;&gt;""),'Milho 1ª safra'!$E49:INDEX('Milho 1ª safra'!$E49:$Z49,MIN(AY$6-$E$3,22))),0))-IF($G$2,0,IF((AY$6-$G$3)&lt;1,0,IFERROR(LOOKUP(2,1/('Milho 1ª safra'!$E49:INDEX('Milho 1ª safra'!$E49:$Z49,MIN(AY$6-$G$3,22))&lt;&gt;""),'Milho 1ª safra'!$E49:INDEX('Milho 1ª safra'!$E49:$Z49,MIN(AY$6-$G$3,22))),0)))))</f>
        <v>0</v>
      </c>
      <c r="AZ51" s="27" t="n">
        <f aca="false">IF(COUNT('Milho 1ª safra'!$E49:$Z49)=0,0,MAX(0,IF((AZ$6-$E$3)&lt;1,0,IFERROR(LOOKUP(2,1/('Milho 1ª safra'!$E49:INDEX('Milho 1ª safra'!$E49:$Z49,MIN(AZ$6-$E$3,22))&lt;&gt;""),'Milho 1ª safra'!$E49:INDEX('Milho 1ª safra'!$E49:$Z49,MIN(AZ$6-$E$3,22))),0))-IF($G$2,0,IF((AZ$6-$G$3)&lt;1,0,IFERROR(LOOKUP(2,1/('Milho 1ª safra'!$E49:INDEX('Milho 1ª safra'!$E49:$Z49,MIN(AZ$6-$G$3,22))&lt;&gt;""),'Milho 1ª safra'!$E49:INDEX('Milho 1ª safra'!$E49:$Z49,MIN(AZ$6-$G$3,22))),0)))))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IF(COUNT('Milho 1ª safra'!$E50:$Z50)&gt;0,N('Milho 1ª safra'!$D50),0)</f>
        <v>0</v>
      </c>
      <c r="E52" s="27" t="n">
        <f aca="false">IF(COUNT('Milho 1ª safra'!$E50:$Z50)=0,0,MAX(0,IF((E$6-$E$3)&lt;1,0,IFERROR(LOOKUP(2,1/('Milho 1ª safra'!$E50:INDEX('Milho 1ª safra'!$E50:$Z50,MIN(E$6-$E$3,22))&lt;&gt;""),'Milho 1ª safra'!$E50:INDEX('Milho 1ª safra'!$E50:$Z50,MIN(E$6-$E$3,22))),0))-IF($G$2,0,IF((E$6-$G$3)&lt;1,0,IFERROR(LOOKUP(2,1/('Milho 1ª safra'!$E50:INDEX('Milho 1ª safra'!$E50:$Z50,MIN(E$6-$G$3,22))&lt;&gt;""),'Milho 1ª safra'!$E50:INDEX('Milho 1ª safra'!$E50:$Z50,MIN(E$6-$G$3,22))),0)))))</f>
        <v>0</v>
      </c>
      <c r="F52" s="27" t="n">
        <f aca="false">IF(COUNT('Milho 1ª safra'!$E50:$Z50)=0,0,MAX(0,IF((F$6-$E$3)&lt;1,0,IFERROR(LOOKUP(2,1/('Milho 1ª safra'!$E50:INDEX('Milho 1ª safra'!$E50:$Z50,MIN(F$6-$E$3,22))&lt;&gt;""),'Milho 1ª safra'!$E50:INDEX('Milho 1ª safra'!$E50:$Z50,MIN(F$6-$E$3,22))),0))-IF($G$2,0,IF((F$6-$G$3)&lt;1,0,IFERROR(LOOKUP(2,1/('Milho 1ª safra'!$E50:INDEX('Milho 1ª safra'!$E50:$Z50,MIN(F$6-$G$3,22))&lt;&gt;""),'Milho 1ª safra'!$E50:INDEX('Milho 1ª safra'!$E50:$Z50,MIN(F$6-$G$3,22))),0)))))</f>
        <v>0</v>
      </c>
      <c r="G52" s="27" t="n">
        <f aca="false">IF(COUNT('Milho 1ª safra'!$E50:$Z50)=0,0,MAX(0,IF((G$6-$E$3)&lt;1,0,IFERROR(LOOKUP(2,1/('Milho 1ª safra'!$E50:INDEX('Milho 1ª safra'!$E50:$Z50,MIN(G$6-$E$3,22))&lt;&gt;""),'Milho 1ª safra'!$E50:INDEX('Milho 1ª safra'!$E50:$Z50,MIN(G$6-$E$3,22))),0))-IF($G$2,0,IF((G$6-$G$3)&lt;1,0,IFERROR(LOOKUP(2,1/('Milho 1ª safra'!$E50:INDEX('Milho 1ª safra'!$E50:$Z50,MIN(G$6-$G$3,22))&lt;&gt;""),'Milho 1ª safra'!$E50:INDEX('Milho 1ª safra'!$E50:$Z50,MIN(G$6-$G$3,22))),0)))))</f>
        <v>0</v>
      </c>
      <c r="H52" s="27" t="n">
        <f aca="false">IF(COUNT('Milho 1ª safra'!$E50:$Z50)=0,0,MAX(0,IF((H$6-$E$3)&lt;1,0,IFERROR(LOOKUP(2,1/('Milho 1ª safra'!$E50:INDEX('Milho 1ª safra'!$E50:$Z50,MIN(H$6-$E$3,22))&lt;&gt;""),'Milho 1ª safra'!$E50:INDEX('Milho 1ª safra'!$E50:$Z50,MIN(H$6-$E$3,22))),0))-IF($G$2,0,IF((H$6-$G$3)&lt;1,0,IFERROR(LOOKUP(2,1/('Milho 1ª safra'!$E50:INDEX('Milho 1ª safra'!$E50:$Z50,MIN(H$6-$G$3,22))&lt;&gt;""),'Milho 1ª safra'!$E50:INDEX('Milho 1ª safra'!$E50:$Z50,MIN(H$6-$G$3,22))),0)))))</f>
        <v>0</v>
      </c>
      <c r="I52" s="27" t="n">
        <f aca="false">IF(COUNT('Milho 1ª safra'!$E50:$Z50)=0,0,MAX(0,IF((I$6-$E$3)&lt;1,0,IFERROR(LOOKUP(2,1/('Milho 1ª safra'!$E50:INDEX('Milho 1ª safra'!$E50:$Z50,MIN(I$6-$E$3,22))&lt;&gt;""),'Milho 1ª safra'!$E50:INDEX('Milho 1ª safra'!$E50:$Z50,MIN(I$6-$E$3,22))),0))-IF($G$2,0,IF((I$6-$G$3)&lt;1,0,IFERROR(LOOKUP(2,1/('Milho 1ª safra'!$E50:INDEX('Milho 1ª safra'!$E50:$Z50,MIN(I$6-$G$3,22))&lt;&gt;""),'Milho 1ª safra'!$E50:INDEX('Milho 1ª safra'!$E50:$Z50,MIN(I$6-$G$3,22))),0)))))</f>
        <v>0</v>
      </c>
      <c r="J52" s="27" t="n">
        <f aca="false">IF(COUNT('Milho 1ª safra'!$E50:$Z50)=0,0,MAX(0,IF((J$6-$E$3)&lt;1,0,IFERROR(LOOKUP(2,1/('Milho 1ª safra'!$E50:INDEX('Milho 1ª safra'!$E50:$Z50,MIN(J$6-$E$3,22))&lt;&gt;""),'Milho 1ª safra'!$E50:INDEX('Milho 1ª safra'!$E50:$Z50,MIN(J$6-$E$3,22))),0))-IF($G$2,0,IF((J$6-$G$3)&lt;1,0,IFERROR(LOOKUP(2,1/('Milho 1ª safra'!$E50:INDEX('Milho 1ª safra'!$E50:$Z50,MIN(J$6-$G$3,22))&lt;&gt;""),'Milho 1ª safra'!$E50:INDEX('Milho 1ª safra'!$E50:$Z50,MIN(J$6-$G$3,22))),0)))))</f>
        <v>0</v>
      </c>
      <c r="K52" s="27" t="n">
        <f aca="false">IF(COUNT('Milho 1ª safra'!$E50:$Z50)=0,0,MAX(0,IF((K$6-$E$3)&lt;1,0,IFERROR(LOOKUP(2,1/('Milho 1ª safra'!$E50:INDEX('Milho 1ª safra'!$E50:$Z50,MIN(K$6-$E$3,22))&lt;&gt;""),'Milho 1ª safra'!$E50:INDEX('Milho 1ª safra'!$E50:$Z50,MIN(K$6-$E$3,22))),0))-IF($G$2,0,IF((K$6-$G$3)&lt;1,0,IFERROR(LOOKUP(2,1/('Milho 1ª safra'!$E50:INDEX('Milho 1ª safra'!$E50:$Z50,MIN(K$6-$G$3,22))&lt;&gt;""),'Milho 1ª safra'!$E50:INDEX('Milho 1ª safra'!$E50:$Z50,MIN(K$6-$G$3,22))),0)))))</f>
        <v>0</v>
      </c>
      <c r="L52" s="27" t="n">
        <f aca="false">IF(COUNT('Milho 1ª safra'!$E50:$Z50)=0,0,MAX(0,IF((L$6-$E$3)&lt;1,0,IFERROR(LOOKUP(2,1/('Milho 1ª safra'!$E50:INDEX('Milho 1ª safra'!$E50:$Z50,MIN(L$6-$E$3,22))&lt;&gt;""),'Milho 1ª safra'!$E50:INDEX('Milho 1ª safra'!$E50:$Z50,MIN(L$6-$E$3,22))),0))-IF($G$2,0,IF((L$6-$G$3)&lt;1,0,IFERROR(LOOKUP(2,1/('Milho 1ª safra'!$E50:INDEX('Milho 1ª safra'!$E50:$Z50,MIN(L$6-$G$3,22))&lt;&gt;""),'Milho 1ª safra'!$E50:INDEX('Milho 1ª safra'!$E50:$Z50,MIN(L$6-$G$3,22))),0)))))</f>
        <v>0</v>
      </c>
      <c r="M52" s="27" t="n">
        <f aca="false">IF(COUNT('Milho 1ª safra'!$E50:$Z50)=0,0,MAX(0,IF((M$6-$E$3)&lt;1,0,IFERROR(LOOKUP(2,1/('Milho 1ª safra'!$E50:INDEX('Milho 1ª safra'!$E50:$Z50,MIN(M$6-$E$3,22))&lt;&gt;""),'Milho 1ª safra'!$E50:INDEX('Milho 1ª safra'!$E50:$Z50,MIN(M$6-$E$3,22))),0))-IF($G$2,0,IF((M$6-$G$3)&lt;1,0,IFERROR(LOOKUP(2,1/('Milho 1ª safra'!$E50:INDEX('Milho 1ª safra'!$E50:$Z50,MIN(M$6-$G$3,22))&lt;&gt;""),'Milho 1ª safra'!$E50:INDEX('Milho 1ª safra'!$E50:$Z50,MIN(M$6-$G$3,22))),0)))))</f>
        <v>0</v>
      </c>
      <c r="N52" s="27" t="n">
        <f aca="false">IF(COUNT('Milho 1ª safra'!$E50:$Z50)=0,0,MAX(0,IF((N$6-$E$3)&lt;1,0,IFERROR(LOOKUP(2,1/('Milho 1ª safra'!$E50:INDEX('Milho 1ª safra'!$E50:$Z50,MIN(N$6-$E$3,22))&lt;&gt;""),'Milho 1ª safra'!$E50:INDEX('Milho 1ª safra'!$E50:$Z50,MIN(N$6-$E$3,22))),0))-IF($G$2,0,IF((N$6-$G$3)&lt;1,0,IFERROR(LOOKUP(2,1/('Milho 1ª safra'!$E50:INDEX('Milho 1ª safra'!$E50:$Z50,MIN(N$6-$G$3,22))&lt;&gt;""),'Milho 1ª safra'!$E50:INDEX('Milho 1ª safra'!$E50:$Z50,MIN(N$6-$G$3,22))),0)))))</f>
        <v>0</v>
      </c>
      <c r="O52" s="27" t="n">
        <f aca="false">IF(COUNT('Milho 1ª safra'!$E50:$Z50)=0,0,MAX(0,IF((O$6-$E$3)&lt;1,0,IFERROR(LOOKUP(2,1/('Milho 1ª safra'!$E50:INDEX('Milho 1ª safra'!$E50:$Z50,MIN(O$6-$E$3,22))&lt;&gt;""),'Milho 1ª safra'!$E50:INDEX('Milho 1ª safra'!$E50:$Z50,MIN(O$6-$E$3,22))),0))-IF($G$2,0,IF((O$6-$G$3)&lt;1,0,IFERROR(LOOKUP(2,1/('Milho 1ª safra'!$E50:INDEX('Milho 1ª safra'!$E50:$Z50,MIN(O$6-$G$3,22))&lt;&gt;""),'Milho 1ª safra'!$E50:INDEX('Milho 1ª safra'!$E50:$Z50,MIN(O$6-$G$3,22))),0)))))</f>
        <v>0</v>
      </c>
      <c r="P52" s="27" t="n">
        <f aca="false">IF(COUNT('Milho 1ª safra'!$E50:$Z50)=0,0,MAX(0,IF((P$6-$E$3)&lt;1,0,IFERROR(LOOKUP(2,1/('Milho 1ª safra'!$E50:INDEX('Milho 1ª safra'!$E50:$Z50,MIN(P$6-$E$3,22))&lt;&gt;""),'Milho 1ª safra'!$E50:INDEX('Milho 1ª safra'!$E50:$Z50,MIN(P$6-$E$3,22))),0))-IF($G$2,0,IF((P$6-$G$3)&lt;1,0,IFERROR(LOOKUP(2,1/('Milho 1ª safra'!$E50:INDEX('Milho 1ª safra'!$E50:$Z50,MIN(P$6-$G$3,22))&lt;&gt;""),'Milho 1ª safra'!$E50:INDEX('Milho 1ª safra'!$E50:$Z50,MIN(P$6-$G$3,22))),0)))))</f>
        <v>0</v>
      </c>
      <c r="Q52" s="27" t="n">
        <f aca="false">IF(COUNT('Milho 1ª safra'!$E50:$Z50)=0,0,MAX(0,IF((Q$6-$E$3)&lt;1,0,IFERROR(LOOKUP(2,1/('Milho 1ª safra'!$E50:INDEX('Milho 1ª safra'!$E50:$Z50,MIN(Q$6-$E$3,22))&lt;&gt;""),'Milho 1ª safra'!$E50:INDEX('Milho 1ª safra'!$E50:$Z50,MIN(Q$6-$E$3,22))),0))-IF($G$2,0,IF((Q$6-$G$3)&lt;1,0,IFERROR(LOOKUP(2,1/('Milho 1ª safra'!$E50:INDEX('Milho 1ª safra'!$E50:$Z50,MIN(Q$6-$G$3,22))&lt;&gt;""),'Milho 1ª safra'!$E50:INDEX('Milho 1ª safra'!$E50:$Z50,MIN(Q$6-$G$3,22))),0)))))</f>
        <v>0</v>
      </c>
      <c r="R52" s="27" t="n">
        <f aca="false">IF(COUNT('Milho 1ª safra'!$E50:$Z50)=0,0,MAX(0,IF((R$6-$E$3)&lt;1,0,IFERROR(LOOKUP(2,1/('Milho 1ª safra'!$E50:INDEX('Milho 1ª safra'!$E50:$Z50,MIN(R$6-$E$3,22))&lt;&gt;""),'Milho 1ª safra'!$E50:INDEX('Milho 1ª safra'!$E50:$Z50,MIN(R$6-$E$3,22))),0))-IF($G$2,0,IF((R$6-$G$3)&lt;1,0,IFERROR(LOOKUP(2,1/('Milho 1ª safra'!$E50:INDEX('Milho 1ª safra'!$E50:$Z50,MIN(R$6-$G$3,22))&lt;&gt;""),'Milho 1ª safra'!$E50:INDEX('Milho 1ª safra'!$E50:$Z50,MIN(R$6-$G$3,22))),0)))))</f>
        <v>0</v>
      </c>
      <c r="S52" s="27" t="n">
        <f aca="false">IF(COUNT('Milho 1ª safra'!$E50:$Z50)=0,0,MAX(0,IF((S$6-$E$3)&lt;1,0,IFERROR(LOOKUP(2,1/('Milho 1ª safra'!$E50:INDEX('Milho 1ª safra'!$E50:$Z50,MIN(S$6-$E$3,22))&lt;&gt;""),'Milho 1ª safra'!$E50:INDEX('Milho 1ª safra'!$E50:$Z50,MIN(S$6-$E$3,22))),0))-IF($G$2,0,IF((S$6-$G$3)&lt;1,0,IFERROR(LOOKUP(2,1/('Milho 1ª safra'!$E50:INDEX('Milho 1ª safra'!$E50:$Z50,MIN(S$6-$G$3,22))&lt;&gt;""),'Milho 1ª safra'!$E50:INDEX('Milho 1ª safra'!$E50:$Z50,MIN(S$6-$G$3,22))),0)))))</f>
        <v>0</v>
      </c>
      <c r="T52" s="27" t="n">
        <f aca="false">IF(COUNT('Milho 1ª safra'!$E50:$Z50)=0,0,MAX(0,IF((T$6-$E$3)&lt;1,0,IFERROR(LOOKUP(2,1/('Milho 1ª safra'!$E50:INDEX('Milho 1ª safra'!$E50:$Z50,MIN(T$6-$E$3,22))&lt;&gt;""),'Milho 1ª safra'!$E50:INDEX('Milho 1ª safra'!$E50:$Z50,MIN(T$6-$E$3,22))),0))-IF($G$2,0,IF((T$6-$G$3)&lt;1,0,IFERROR(LOOKUP(2,1/('Milho 1ª safra'!$E50:INDEX('Milho 1ª safra'!$E50:$Z50,MIN(T$6-$G$3,22))&lt;&gt;""),'Milho 1ª safra'!$E50:INDEX('Milho 1ª safra'!$E50:$Z50,MIN(T$6-$G$3,22))),0)))))</f>
        <v>0</v>
      </c>
      <c r="U52" s="27" t="n">
        <f aca="false">IF(COUNT('Milho 1ª safra'!$E50:$Z50)=0,0,MAX(0,IF((U$6-$E$3)&lt;1,0,IFERROR(LOOKUP(2,1/('Milho 1ª safra'!$E50:INDEX('Milho 1ª safra'!$E50:$Z50,MIN(U$6-$E$3,22))&lt;&gt;""),'Milho 1ª safra'!$E50:INDEX('Milho 1ª safra'!$E50:$Z50,MIN(U$6-$E$3,22))),0))-IF($G$2,0,IF((U$6-$G$3)&lt;1,0,IFERROR(LOOKUP(2,1/('Milho 1ª safra'!$E50:INDEX('Milho 1ª safra'!$E50:$Z50,MIN(U$6-$G$3,22))&lt;&gt;""),'Milho 1ª safra'!$E50:INDEX('Milho 1ª safra'!$E50:$Z50,MIN(U$6-$G$3,22))),0)))))</f>
        <v>0</v>
      </c>
      <c r="V52" s="27" t="n">
        <f aca="false">IF(COUNT('Milho 1ª safra'!$E50:$Z50)=0,0,MAX(0,IF((V$6-$E$3)&lt;1,0,IFERROR(LOOKUP(2,1/('Milho 1ª safra'!$E50:INDEX('Milho 1ª safra'!$E50:$Z50,MIN(V$6-$E$3,22))&lt;&gt;""),'Milho 1ª safra'!$E50:INDEX('Milho 1ª safra'!$E50:$Z50,MIN(V$6-$E$3,22))),0))-IF($G$2,0,IF((V$6-$G$3)&lt;1,0,IFERROR(LOOKUP(2,1/('Milho 1ª safra'!$E50:INDEX('Milho 1ª safra'!$E50:$Z50,MIN(V$6-$G$3,22))&lt;&gt;""),'Milho 1ª safra'!$E50:INDEX('Milho 1ª safra'!$E50:$Z50,MIN(V$6-$G$3,22))),0)))))</f>
        <v>0</v>
      </c>
      <c r="W52" s="27" t="n">
        <f aca="false">IF(COUNT('Milho 1ª safra'!$E50:$Z50)=0,0,MAX(0,IF((W$6-$E$3)&lt;1,0,IFERROR(LOOKUP(2,1/('Milho 1ª safra'!$E50:INDEX('Milho 1ª safra'!$E50:$Z50,MIN(W$6-$E$3,22))&lt;&gt;""),'Milho 1ª safra'!$E50:INDEX('Milho 1ª safra'!$E50:$Z50,MIN(W$6-$E$3,22))),0))-IF($G$2,0,IF((W$6-$G$3)&lt;1,0,IFERROR(LOOKUP(2,1/('Milho 1ª safra'!$E50:INDEX('Milho 1ª safra'!$E50:$Z50,MIN(W$6-$G$3,22))&lt;&gt;""),'Milho 1ª safra'!$E50:INDEX('Milho 1ª safra'!$E50:$Z50,MIN(W$6-$G$3,22))),0)))))</f>
        <v>0</v>
      </c>
      <c r="X52" s="27" t="n">
        <f aca="false">IF(COUNT('Milho 1ª safra'!$E50:$Z50)=0,0,MAX(0,IF((X$6-$E$3)&lt;1,0,IFERROR(LOOKUP(2,1/('Milho 1ª safra'!$E50:INDEX('Milho 1ª safra'!$E50:$Z50,MIN(X$6-$E$3,22))&lt;&gt;""),'Milho 1ª safra'!$E50:INDEX('Milho 1ª safra'!$E50:$Z50,MIN(X$6-$E$3,22))),0))-IF($G$2,0,IF((X$6-$G$3)&lt;1,0,IFERROR(LOOKUP(2,1/('Milho 1ª safra'!$E50:INDEX('Milho 1ª safra'!$E50:$Z50,MIN(X$6-$G$3,22))&lt;&gt;""),'Milho 1ª safra'!$E50:INDEX('Milho 1ª safra'!$E50:$Z50,MIN(X$6-$G$3,22))),0)))))</f>
        <v>0</v>
      </c>
      <c r="Y52" s="27" t="n">
        <f aca="false">IF(COUNT('Milho 1ª safra'!$E50:$Z50)=0,0,MAX(0,IF((Y$6-$E$3)&lt;1,0,IFERROR(LOOKUP(2,1/('Milho 1ª safra'!$E50:INDEX('Milho 1ª safra'!$E50:$Z50,MIN(Y$6-$E$3,22))&lt;&gt;""),'Milho 1ª safra'!$E50:INDEX('Milho 1ª safra'!$E50:$Z50,MIN(Y$6-$E$3,22))),0))-IF($G$2,0,IF((Y$6-$G$3)&lt;1,0,IFERROR(LOOKUP(2,1/('Milho 1ª safra'!$E50:INDEX('Milho 1ª safra'!$E50:$Z50,MIN(Y$6-$G$3,22))&lt;&gt;""),'Milho 1ª safra'!$E50:INDEX('Milho 1ª safra'!$E50:$Z50,MIN(Y$6-$G$3,22))),0)))))</f>
        <v>0</v>
      </c>
      <c r="Z52" s="27" t="n">
        <f aca="false">IF(COUNT('Milho 1ª safra'!$E50:$Z50)=0,0,MAX(0,IF((Z$6-$E$3)&lt;1,0,IFERROR(LOOKUP(2,1/('Milho 1ª safra'!$E50:INDEX('Milho 1ª safra'!$E50:$Z50,MIN(Z$6-$E$3,22))&lt;&gt;""),'Milho 1ª safra'!$E50:INDEX('Milho 1ª safra'!$E50:$Z50,MIN(Z$6-$E$3,22))),0))-IF($G$2,0,IF((Z$6-$G$3)&lt;1,0,IFERROR(LOOKUP(2,1/('Milho 1ª safra'!$E50:INDEX('Milho 1ª safra'!$E50:$Z50,MIN(Z$6-$G$3,22))&lt;&gt;""),'Milho 1ª safra'!$E50:INDEX('Milho 1ª safra'!$E50:$Z50,MIN(Z$6-$G$3,22))),0)))))</f>
        <v>0</v>
      </c>
      <c r="AA52" s="27" t="n">
        <f aca="false">IF(COUNT('Milho 1ª safra'!$E50:$Z50)=0,0,MAX(0,IF((AA$6-$E$3)&lt;1,0,IFERROR(LOOKUP(2,1/('Milho 1ª safra'!$E50:INDEX('Milho 1ª safra'!$E50:$Z50,MIN(AA$6-$E$3,22))&lt;&gt;""),'Milho 1ª safra'!$E50:INDEX('Milho 1ª safra'!$E50:$Z50,MIN(AA$6-$E$3,22))),0))-IF($G$2,0,IF((AA$6-$G$3)&lt;1,0,IFERROR(LOOKUP(2,1/('Milho 1ª safra'!$E50:INDEX('Milho 1ª safra'!$E50:$Z50,MIN(AA$6-$G$3,22))&lt;&gt;""),'Milho 1ª safra'!$E50:INDEX('Milho 1ª safra'!$E50:$Z50,MIN(AA$6-$G$3,22))),0)))))</f>
        <v>0</v>
      </c>
      <c r="AB52" s="27" t="n">
        <f aca="false">IF(COUNT('Milho 1ª safra'!$E50:$Z50)=0,0,MAX(0,IF((AB$6-$E$3)&lt;1,0,IFERROR(LOOKUP(2,1/('Milho 1ª safra'!$E50:INDEX('Milho 1ª safra'!$E50:$Z50,MIN(AB$6-$E$3,22))&lt;&gt;""),'Milho 1ª safra'!$E50:INDEX('Milho 1ª safra'!$E50:$Z50,MIN(AB$6-$E$3,22))),0))-IF($G$2,0,IF((AB$6-$G$3)&lt;1,0,IFERROR(LOOKUP(2,1/('Milho 1ª safra'!$E50:INDEX('Milho 1ª safra'!$E50:$Z50,MIN(AB$6-$G$3,22))&lt;&gt;""),'Milho 1ª safra'!$E50:INDEX('Milho 1ª safra'!$E50:$Z50,MIN(AB$6-$G$3,22))),0)))))</f>
        <v>0</v>
      </c>
      <c r="AC52" s="27" t="n">
        <f aca="false">IF(COUNT('Milho 1ª safra'!$E50:$Z50)=0,0,MAX(0,IF((AC$6-$E$3)&lt;1,0,IFERROR(LOOKUP(2,1/('Milho 1ª safra'!$E50:INDEX('Milho 1ª safra'!$E50:$Z50,MIN(AC$6-$E$3,22))&lt;&gt;""),'Milho 1ª safra'!$E50:INDEX('Milho 1ª safra'!$E50:$Z50,MIN(AC$6-$E$3,22))),0))-IF($G$2,0,IF((AC$6-$G$3)&lt;1,0,IFERROR(LOOKUP(2,1/('Milho 1ª safra'!$E50:INDEX('Milho 1ª safra'!$E50:$Z50,MIN(AC$6-$G$3,22))&lt;&gt;""),'Milho 1ª safra'!$E50:INDEX('Milho 1ª safra'!$E50:$Z50,MIN(AC$6-$G$3,22))),0)))))</f>
        <v>0</v>
      </c>
      <c r="AD52" s="27" t="n">
        <f aca="false">IF(COUNT('Milho 1ª safra'!$E50:$Z50)=0,0,MAX(0,IF((AD$6-$E$3)&lt;1,0,IFERROR(LOOKUP(2,1/('Milho 1ª safra'!$E50:INDEX('Milho 1ª safra'!$E50:$Z50,MIN(AD$6-$E$3,22))&lt;&gt;""),'Milho 1ª safra'!$E50:INDEX('Milho 1ª safra'!$E50:$Z50,MIN(AD$6-$E$3,22))),0))-IF($G$2,0,IF((AD$6-$G$3)&lt;1,0,IFERROR(LOOKUP(2,1/('Milho 1ª safra'!$E50:INDEX('Milho 1ª safra'!$E50:$Z50,MIN(AD$6-$G$3,22))&lt;&gt;""),'Milho 1ª safra'!$E50:INDEX('Milho 1ª safra'!$E50:$Z50,MIN(AD$6-$G$3,22))),0)))))</f>
        <v>0</v>
      </c>
      <c r="AE52" s="27" t="n">
        <f aca="false">IF(COUNT('Milho 1ª safra'!$E50:$Z50)=0,0,MAX(0,IF((AE$6-$E$3)&lt;1,0,IFERROR(LOOKUP(2,1/('Milho 1ª safra'!$E50:INDEX('Milho 1ª safra'!$E50:$Z50,MIN(AE$6-$E$3,22))&lt;&gt;""),'Milho 1ª safra'!$E50:INDEX('Milho 1ª safra'!$E50:$Z50,MIN(AE$6-$E$3,22))),0))-IF($G$2,0,IF((AE$6-$G$3)&lt;1,0,IFERROR(LOOKUP(2,1/('Milho 1ª safra'!$E50:INDEX('Milho 1ª safra'!$E50:$Z50,MIN(AE$6-$G$3,22))&lt;&gt;""),'Milho 1ª safra'!$E50:INDEX('Milho 1ª safra'!$E50:$Z50,MIN(AE$6-$G$3,22))),0)))))</f>
        <v>0</v>
      </c>
      <c r="AF52" s="27" t="n">
        <f aca="false">IF(COUNT('Milho 1ª safra'!$E50:$Z50)=0,0,MAX(0,IF((AF$6-$E$3)&lt;1,0,IFERROR(LOOKUP(2,1/('Milho 1ª safra'!$E50:INDEX('Milho 1ª safra'!$E50:$Z50,MIN(AF$6-$E$3,22))&lt;&gt;""),'Milho 1ª safra'!$E50:INDEX('Milho 1ª safra'!$E50:$Z50,MIN(AF$6-$E$3,22))),0))-IF($G$2,0,IF((AF$6-$G$3)&lt;1,0,IFERROR(LOOKUP(2,1/('Milho 1ª safra'!$E50:INDEX('Milho 1ª safra'!$E50:$Z50,MIN(AF$6-$G$3,22))&lt;&gt;""),'Milho 1ª safra'!$E50:INDEX('Milho 1ª safra'!$E50:$Z50,MIN(AF$6-$G$3,22))),0)))))</f>
        <v>0</v>
      </c>
      <c r="AG52" s="27" t="n">
        <f aca="false">IF(COUNT('Milho 1ª safra'!$E50:$Z50)=0,0,MAX(0,IF((AG$6-$E$3)&lt;1,0,IFERROR(LOOKUP(2,1/('Milho 1ª safra'!$E50:INDEX('Milho 1ª safra'!$E50:$Z50,MIN(AG$6-$E$3,22))&lt;&gt;""),'Milho 1ª safra'!$E50:INDEX('Milho 1ª safra'!$E50:$Z50,MIN(AG$6-$E$3,22))),0))-IF($G$2,0,IF((AG$6-$G$3)&lt;1,0,IFERROR(LOOKUP(2,1/('Milho 1ª safra'!$E50:INDEX('Milho 1ª safra'!$E50:$Z50,MIN(AG$6-$G$3,22))&lt;&gt;""),'Milho 1ª safra'!$E50:INDEX('Milho 1ª safra'!$E50:$Z50,MIN(AG$6-$G$3,22))),0)))))</f>
        <v>0</v>
      </c>
      <c r="AH52" s="27" t="n">
        <f aca="false">IF(COUNT('Milho 1ª safra'!$E50:$Z50)=0,0,MAX(0,IF((AH$6-$E$3)&lt;1,0,IFERROR(LOOKUP(2,1/('Milho 1ª safra'!$E50:INDEX('Milho 1ª safra'!$E50:$Z50,MIN(AH$6-$E$3,22))&lt;&gt;""),'Milho 1ª safra'!$E50:INDEX('Milho 1ª safra'!$E50:$Z50,MIN(AH$6-$E$3,22))),0))-IF($G$2,0,IF((AH$6-$G$3)&lt;1,0,IFERROR(LOOKUP(2,1/('Milho 1ª safra'!$E50:INDEX('Milho 1ª safra'!$E50:$Z50,MIN(AH$6-$G$3,22))&lt;&gt;""),'Milho 1ª safra'!$E50:INDEX('Milho 1ª safra'!$E50:$Z50,MIN(AH$6-$G$3,22))),0)))))</f>
        <v>0</v>
      </c>
      <c r="AI52" s="27" t="n">
        <f aca="false">IF(COUNT('Milho 1ª safra'!$E50:$Z50)=0,0,MAX(0,IF((AI$6-$E$3)&lt;1,0,IFERROR(LOOKUP(2,1/('Milho 1ª safra'!$E50:INDEX('Milho 1ª safra'!$E50:$Z50,MIN(AI$6-$E$3,22))&lt;&gt;""),'Milho 1ª safra'!$E50:INDEX('Milho 1ª safra'!$E50:$Z50,MIN(AI$6-$E$3,22))),0))-IF($G$2,0,IF((AI$6-$G$3)&lt;1,0,IFERROR(LOOKUP(2,1/('Milho 1ª safra'!$E50:INDEX('Milho 1ª safra'!$E50:$Z50,MIN(AI$6-$G$3,22))&lt;&gt;""),'Milho 1ª safra'!$E50:INDEX('Milho 1ª safra'!$E50:$Z50,MIN(AI$6-$G$3,22))),0)))))</f>
        <v>0</v>
      </c>
      <c r="AJ52" s="27" t="n">
        <f aca="false">IF(COUNT('Milho 1ª safra'!$E50:$Z50)=0,0,MAX(0,IF((AJ$6-$E$3)&lt;1,0,IFERROR(LOOKUP(2,1/('Milho 1ª safra'!$E50:INDEX('Milho 1ª safra'!$E50:$Z50,MIN(AJ$6-$E$3,22))&lt;&gt;""),'Milho 1ª safra'!$E50:INDEX('Milho 1ª safra'!$E50:$Z50,MIN(AJ$6-$E$3,22))),0))-IF($G$2,0,IF((AJ$6-$G$3)&lt;1,0,IFERROR(LOOKUP(2,1/('Milho 1ª safra'!$E50:INDEX('Milho 1ª safra'!$E50:$Z50,MIN(AJ$6-$G$3,22))&lt;&gt;""),'Milho 1ª safra'!$E50:INDEX('Milho 1ª safra'!$E50:$Z50,MIN(AJ$6-$G$3,22))),0)))))</f>
        <v>0</v>
      </c>
      <c r="AK52" s="27" t="n">
        <f aca="false">IF(COUNT('Milho 1ª safra'!$E50:$Z50)=0,0,MAX(0,IF((AK$6-$E$3)&lt;1,0,IFERROR(LOOKUP(2,1/('Milho 1ª safra'!$E50:INDEX('Milho 1ª safra'!$E50:$Z50,MIN(AK$6-$E$3,22))&lt;&gt;""),'Milho 1ª safra'!$E50:INDEX('Milho 1ª safra'!$E50:$Z50,MIN(AK$6-$E$3,22))),0))-IF($G$2,0,IF((AK$6-$G$3)&lt;1,0,IFERROR(LOOKUP(2,1/('Milho 1ª safra'!$E50:INDEX('Milho 1ª safra'!$E50:$Z50,MIN(AK$6-$G$3,22))&lt;&gt;""),'Milho 1ª safra'!$E50:INDEX('Milho 1ª safra'!$E50:$Z50,MIN(AK$6-$G$3,22))),0)))))</f>
        <v>0</v>
      </c>
      <c r="AL52" s="27" t="n">
        <f aca="false">IF(COUNT('Milho 1ª safra'!$E50:$Z50)=0,0,MAX(0,IF((AL$6-$E$3)&lt;1,0,IFERROR(LOOKUP(2,1/('Milho 1ª safra'!$E50:INDEX('Milho 1ª safra'!$E50:$Z50,MIN(AL$6-$E$3,22))&lt;&gt;""),'Milho 1ª safra'!$E50:INDEX('Milho 1ª safra'!$E50:$Z50,MIN(AL$6-$E$3,22))),0))-IF($G$2,0,IF((AL$6-$G$3)&lt;1,0,IFERROR(LOOKUP(2,1/('Milho 1ª safra'!$E50:INDEX('Milho 1ª safra'!$E50:$Z50,MIN(AL$6-$G$3,22))&lt;&gt;""),'Milho 1ª safra'!$E50:INDEX('Milho 1ª safra'!$E50:$Z50,MIN(AL$6-$G$3,22))),0)))))</f>
        <v>0</v>
      </c>
      <c r="AM52" s="27" t="n">
        <f aca="false">IF(COUNT('Milho 1ª safra'!$E50:$Z50)=0,0,MAX(0,IF((AM$6-$E$3)&lt;1,0,IFERROR(LOOKUP(2,1/('Milho 1ª safra'!$E50:INDEX('Milho 1ª safra'!$E50:$Z50,MIN(AM$6-$E$3,22))&lt;&gt;""),'Milho 1ª safra'!$E50:INDEX('Milho 1ª safra'!$E50:$Z50,MIN(AM$6-$E$3,22))),0))-IF($G$2,0,IF((AM$6-$G$3)&lt;1,0,IFERROR(LOOKUP(2,1/('Milho 1ª safra'!$E50:INDEX('Milho 1ª safra'!$E50:$Z50,MIN(AM$6-$G$3,22))&lt;&gt;""),'Milho 1ª safra'!$E50:INDEX('Milho 1ª safra'!$E50:$Z50,MIN(AM$6-$G$3,22))),0)))))</f>
        <v>0</v>
      </c>
      <c r="AN52" s="27" t="n">
        <f aca="false">IF(COUNT('Milho 1ª safra'!$E50:$Z50)=0,0,MAX(0,IF((AN$6-$E$3)&lt;1,0,IFERROR(LOOKUP(2,1/('Milho 1ª safra'!$E50:INDEX('Milho 1ª safra'!$E50:$Z50,MIN(AN$6-$E$3,22))&lt;&gt;""),'Milho 1ª safra'!$E50:INDEX('Milho 1ª safra'!$E50:$Z50,MIN(AN$6-$E$3,22))),0))-IF($G$2,0,IF((AN$6-$G$3)&lt;1,0,IFERROR(LOOKUP(2,1/('Milho 1ª safra'!$E50:INDEX('Milho 1ª safra'!$E50:$Z50,MIN(AN$6-$G$3,22))&lt;&gt;""),'Milho 1ª safra'!$E50:INDEX('Milho 1ª safra'!$E50:$Z50,MIN(AN$6-$G$3,22))),0)))))</f>
        <v>0</v>
      </c>
      <c r="AO52" s="27" t="n">
        <f aca="false">IF(COUNT('Milho 1ª safra'!$E50:$Z50)=0,0,MAX(0,IF((AO$6-$E$3)&lt;1,0,IFERROR(LOOKUP(2,1/('Milho 1ª safra'!$E50:INDEX('Milho 1ª safra'!$E50:$Z50,MIN(AO$6-$E$3,22))&lt;&gt;""),'Milho 1ª safra'!$E50:INDEX('Milho 1ª safra'!$E50:$Z50,MIN(AO$6-$E$3,22))),0))-IF($G$2,0,IF((AO$6-$G$3)&lt;1,0,IFERROR(LOOKUP(2,1/('Milho 1ª safra'!$E50:INDEX('Milho 1ª safra'!$E50:$Z50,MIN(AO$6-$G$3,22))&lt;&gt;""),'Milho 1ª safra'!$E50:INDEX('Milho 1ª safra'!$E50:$Z50,MIN(AO$6-$G$3,22))),0)))))</f>
        <v>0</v>
      </c>
      <c r="AP52" s="27" t="n">
        <f aca="false">IF(COUNT('Milho 1ª safra'!$E50:$Z50)=0,0,MAX(0,IF((AP$6-$E$3)&lt;1,0,IFERROR(LOOKUP(2,1/('Milho 1ª safra'!$E50:INDEX('Milho 1ª safra'!$E50:$Z50,MIN(AP$6-$E$3,22))&lt;&gt;""),'Milho 1ª safra'!$E50:INDEX('Milho 1ª safra'!$E50:$Z50,MIN(AP$6-$E$3,22))),0))-IF($G$2,0,IF((AP$6-$G$3)&lt;1,0,IFERROR(LOOKUP(2,1/('Milho 1ª safra'!$E50:INDEX('Milho 1ª safra'!$E50:$Z50,MIN(AP$6-$G$3,22))&lt;&gt;""),'Milho 1ª safra'!$E50:INDEX('Milho 1ª safra'!$E50:$Z50,MIN(AP$6-$G$3,22))),0)))))</f>
        <v>0</v>
      </c>
      <c r="AQ52" s="27" t="n">
        <f aca="false">IF(COUNT('Milho 1ª safra'!$E50:$Z50)=0,0,MAX(0,IF((AQ$6-$E$3)&lt;1,0,IFERROR(LOOKUP(2,1/('Milho 1ª safra'!$E50:INDEX('Milho 1ª safra'!$E50:$Z50,MIN(AQ$6-$E$3,22))&lt;&gt;""),'Milho 1ª safra'!$E50:INDEX('Milho 1ª safra'!$E50:$Z50,MIN(AQ$6-$E$3,22))),0))-IF($G$2,0,IF((AQ$6-$G$3)&lt;1,0,IFERROR(LOOKUP(2,1/('Milho 1ª safra'!$E50:INDEX('Milho 1ª safra'!$E50:$Z50,MIN(AQ$6-$G$3,22))&lt;&gt;""),'Milho 1ª safra'!$E50:INDEX('Milho 1ª safra'!$E50:$Z50,MIN(AQ$6-$G$3,22))),0)))))</f>
        <v>0</v>
      </c>
      <c r="AR52" s="27" t="n">
        <f aca="false">IF(COUNT('Milho 1ª safra'!$E50:$Z50)=0,0,MAX(0,IF((AR$6-$E$3)&lt;1,0,IFERROR(LOOKUP(2,1/('Milho 1ª safra'!$E50:INDEX('Milho 1ª safra'!$E50:$Z50,MIN(AR$6-$E$3,22))&lt;&gt;""),'Milho 1ª safra'!$E50:INDEX('Milho 1ª safra'!$E50:$Z50,MIN(AR$6-$E$3,22))),0))-IF($G$2,0,IF((AR$6-$G$3)&lt;1,0,IFERROR(LOOKUP(2,1/('Milho 1ª safra'!$E50:INDEX('Milho 1ª safra'!$E50:$Z50,MIN(AR$6-$G$3,22))&lt;&gt;""),'Milho 1ª safra'!$E50:INDEX('Milho 1ª safra'!$E50:$Z50,MIN(AR$6-$G$3,22))),0)))))</f>
        <v>0</v>
      </c>
      <c r="AS52" s="27" t="n">
        <f aca="false">IF(COUNT('Milho 1ª safra'!$E50:$Z50)=0,0,MAX(0,IF((AS$6-$E$3)&lt;1,0,IFERROR(LOOKUP(2,1/('Milho 1ª safra'!$E50:INDEX('Milho 1ª safra'!$E50:$Z50,MIN(AS$6-$E$3,22))&lt;&gt;""),'Milho 1ª safra'!$E50:INDEX('Milho 1ª safra'!$E50:$Z50,MIN(AS$6-$E$3,22))),0))-IF($G$2,0,IF((AS$6-$G$3)&lt;1,0,IFERROR(LOOKUP(2,1/('Milho 1ª safra'!$E50:INDEX('Milho 1ª safra'!$E50:$Z50,MIN(AS$6-$G$3,22))&lt;&gt;""),'Milho 1ª safra'!$E50:INDEX('Milho 1ª safra'!$E50:$Z50,MIN(AS$6-$G$3,22))),0)))))</f>
        <v>0</v>
      </c>
      <c r="AT52" s="27" t="n">
        <f aca="false">IF(COUNT('Milho 1ª safra'!$E50:$Z50)=0,0,MAX(0,IF((AT$6-$E$3)&lt;1,0,IFERROR(LOOKUP(2,1/('Milho 1ª safra'!$E50:INDEX('Milho 1ª safra'!$E50:$Z50,MIN(AT$6-$E$3,22))&lt;&gt;""),'Milho 1ª safra'!$E50:INDEX('Milho 1ª safra'!$E50:$Z50,MIN(AT$6-$E$3,22))),0))-IF($G$2,0,IF((AT$6-$G$3)&lt;1,0,IFERROR(LOOKUP(2,1/('Milho 1ª safra'!$E50:INDEX('Milho 1ª safra'!$E50:$Z50,MIN(AT$6-$G$3,22))&lt;&gt;""),'Milho 1ª safra'!$E50:INDEX('Milho 1ª safra'!$E50:$Z50,MIN(AT$6-$G$3,22))),0)))))</f>
        <v>0</v>
      </c>
      <c r="AU52" s="27" t="n">
        <f aca="false">IF(COUNT('Milho 1ª safra'!$E50:$Z50)=0,0,MAX(0,IF((AU$6-$E$3)&lt;1,0,IFERROR(LOOKUP(2,1/('Milho 1ª safra'!$E50:INDEX('Milho 1ª safra'!$E50:$Z50,MIN(AU$6-$E$3,22))&lt;&gt;""),'Milho 1ª safra'!$E50:INDEX('Milho 1ª safra'!$E50:$Z50,MIN(AU$6-$E$3,22))),0))-IF($G$2,0,IF((AU$6-$G$3)&lt;1,0,IFERROR(LOOKUP(2,1/('Milho 1ª safra'!$E50:INDEX('Milho 1ª safra'!$E50:$Z50,MIN(AU$6-$G$3,22))&lt;&gt;""),'Milho 1ª safra'!$E50:INDEX('Milho 1ª safra'!$E50:$Z50,MIN(AU$6-$G$3,22))),0)))))</f>
        <v>0</v>
      </c>
      <c r="AV52" s="27" t="n">
        <f aca="false">IF(COUNT('Milho 1ª safra'!$E50:$Z50)=0,0,MAX(0,IF((AV$6-$E$3)&lt;1,0,IFERROR(LOOKUP(2,1/('Milho 1ª safra'!$E50:INDEX('Milho 1ª safra'!$E50:$Z50,MIN(AV$6-$E$3,22))&lt;&gt;""),'Milho 1ª safra'!$E50:INDEX('Milho 1ª safra'!$E50:$Z50,MIN(AV$6-$E$3,22))),0))-IF($G$2,0,IF((AV$6-$G$3)&lt;1,0,IFERROR(LOOKUP(2,1/('Milho 1ª safra'!$E50:INDEX('Milho 1ª safra'!$E50:$Z50,MIN(AV$6-$G$3,22))&lt;&gt;""),'Milho 1ª safra'!$E50:INDEX('Milho 1ª safra'!$E50:$Z50,MIN(AV$6-$G$3,22))),0)))))</f>
        <v>0</v>
      </c>
      <c r="AW52" s="27" t="n">
        <f aca="false">IF(COUNT('Milho 1ª safra'!$E50:$Z50)=0,0,MAX(0,IF((AW$6-$E$3)&lt;1,0,IFERROR(LOOKUP(2,1/('Milho 1ª safra'!$E50:INDEX('Milho 1ª safra'!$E50:$Z50,MIN(AW$6-$E$3,22))&lt;&gt;""),'Milho 1ª safra'!$E50:INDEX('Milho 1ª safra'!$E50:$Z50,MIN(AW$6-$E$3,22))),0))-IF($G$2,0,IF((AW$6-$G$3)&lt;1,0,IFERROR(LOOKUP(2,1/('Milho 1ª safra'!$E50:INDEX('Milho 1ª safra'!$E50:$Z50,MIN(AW$6-$G$3,22))&lt;&gt;""),'Milho 1ª safra'!$E50:INDEX('Milho 1ª safra'!$E50:$Z50,MIN(AW$6-$G$3,22))),0)))))</f>
        <v>0</v>
      </c>
      <c r="AX52" s="27" t="n">
        <f aca="false">IF(COUNT('Milho 1ª safra'!$E50:$Z50)=0,0,MAX(0,IF((AX$6-$E$3)&lt;1,0,IFERROR(LOOKUP(2,1/('Milho 1ª safra'!$E50:INDEX('Milho 1ª safra'!$E50:$Z50,MIN(AX$6-$E$3,22))&lt;&gt;""),'Milho 1ª safra'!$E50:INDEX('Milho 1ª safra'!$E50:$Z50,MIN(AX$6-$E$3,22))),0))-IF($G$2,0,IF((AX$6-$G$3)&lt;1,0,IFERROR(LOOKUP(2,1/('Milho 1ª safra'!$E50:INDEX('Milho 1ª safra'!$E50:$Z50,MIN(AX$6-$G$3,22))&lt;&gt;""),'Milho 1ª safra'!$E50:INDEX('Milho 1ª safra'!$E50:$Z50,MIN(AX$6-$G$3,22))),0)))))</f>
        <v>0</v>
      </c>
      <c r="AY52" s="27" t="n">
        <f aca="false">IF(COUNT('Milho 1ª safra'!$E50:$Z50)=0,0,MAX(0,IF((AY$6-$E$3)&lt;1,0,IFERROR(LOOKUP(2,1/('Milho 1ª safra'!$E50:INDEX('Milho 1ª safra'!$E50:$Z50,MIN(AY$6-$E$3,22))&lt;&gt;""),'Milho 1ª safra'!$E50:INDEX('Milho 1ª safra'!$E50:$Z50,MIN(AY$6-$E$3,22))),0))-IF($G$2,0,IF((AY$6-$G$3)&lt;1,0,IFERROR(LOOKUP(2,1/('Milho 1ª safra'!$E50:INDEX('Milho 1ª safra'!$E50:$Z50,MIN(AY$6-$G$3,22))&lt;&gt;""),'Milho 1ª safra'!$E50:INDEX('Milho 1ª safra'!$E50:$Z50,MIN(AY$6-$G$3,22))),0)))))</f>
        <v>0</v>
      </c>
      <c r="AZ52" s="27" t="n">
        <f aca="false">IF(COUNT('Milho 1ª safra'!$E50:$Z50)=0,0,MAX(0,IF((AZ$6-$E$3)&lt;1,0,IFERROR(LOOKUP(2,1/('Milho 1ª safra'!$E50:INDEX('Milho 1ª safra'!$E50:$Z50,MIN(AZ$6-$E$3,22))&lt;&gt;""),'Milho 1ª safra'!$E50:INDEX('Milho 1ª safra'!$E50:$Z50,MIN(AZ$6-$E$3,22))),0))-IF($G$2,0,IF((AZ$6-$G$3)&lt;1,0,IFERROR(LOOKUP(2,1/('Milho 1ª safra'!$E50:INDEX('Milho 1ª safra'!$E50:$Z50,MIN(AZ$6-$G$3,22))&lt;&gt;""),'Milho 1ª safra'!$E50:INDEX('Milho 1ª safra'!$E50:$Z50,MIN(AZ$6-$G$3,22))),0)))))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IF(COUNT('Milho 1ª safra'!$E51:$Z51)&gt;0,N('Milho 1ª safra'!$D51),0)</f>
        <v>0</v>
      </c>
      <c r="E53" s="27" t="n">
        <f aca="false">IF(COUNT('Milho 1ª safra'!$E51:$Z51)=0,0,MAX(0,IF((E$6-$E$3)&lt;1,0,IFERROR(LOOKUP(2,1/('Milho 1ª safra'!$E51:INDEX('Milho 1ª safra'!$E51:$Z51,MIN(E$6-$E$3,22))&lt;&gt;""),'Milho 1ª safra'!$E51:INDEX('Milho 1ª safra'!$E51:$Z51,MIN(E$6-$E$3,22))),0))-IF($G$2,0,IF((E$6-$G$3)&lt;1,0,IFERROR(LOOKUP(2,1/('Milho 1ª safra'!$E51:INDEX('Milho 1ª safra'!$E51:$Z51,MIN(E$6-$G$3,22))&lt;&gt;""),'Milho 1ª safra'!$E51:INDEX('Milho 1ª safra'!$E51:$Z51,MIN(E$6-$G$3,22))),0)))))</f>
        <v>0</v>
      </c>
      <c r="F53" s="27" t="n">
        <f aca="false">IF(COUNT('Milho 1ª safra'!$E51:$Z51)=0,0,MAX(0,IF((F$6-$E$3)&lt;1,0,IFERROR(LOOKUP(2,1/('Milho 1ª safra'!$E51:INDEX('Milho 1ª safra'!$E51:$Z51,MIN(F$6-$E$3,22))&lt;&gt;""),'Milho 1ª safra'!$E51:INDEX('Milho 1ª safra'!$E51:$Z51,MIN(F$6-$E$3,22))),0))-IF($G$2,0,IF((F$6-$G$3)&lt;1,0,IFERROR(LOOKUP(2,1/('Milho 1ª safra'!$E51:INDEX('Milho 1ª safra'!$E51:$Z51,MIN(F$6-$G$3,22))&lt;&gt;""),'Milho 1ª safra'!$E51:INDEX('Milho 1ª safra'!$E51:$Z51,MIN(F$6-$G$3,22))),0)))))</f>
        <v>0</v>
      </c>
      <c r="G53" s="27" t="n">
        <f aca="false">IF(COUNT('Milho 1ª safra'!$E51:$Z51)=0,0,MAX(0,IF((G$6-$E$3)&lt;1,0,IFERROR(LOOKUP(2,1/('Milho 1ª safra'!$E51:INDEX('Milho 1ª safra'!$E51:$Z51,MIN(G$6-$E$3,22))&lt;&gt;""),'Milho 1ª safra'!$E51:INDEX('Milho 1ª safra'!$E51:$Z51,MIN(G$6-$E$3,22))),0))-IF($G$2,0,IF((G$6-$G$3)&lt;1,0,IFERROR(LOOKUP(2,1/('Milho 1ª safra'!$E51:INDEX('Milho 1ª safra'!$E51:$Z51,MIN(G$6-$G$3,22))&lt;&gt;""),'Milho 1ª safra'!$E51:INDEX('Milho 1ª safra'!$E51:$Z51,MIN(G$6-$G$3,22))),0)))))</f>
        <v>0</v>
      </c>
      <c r="H53" s="27" t="n">
        <f aca="false">IF(COUNT('Milho 1ª safra'!$E51:$Z51)=0,0,MAX(0,IF((H$6-$E$3)&lt;1,0,IFERROR(LOOKUP(2,1/('Milho 1ª safra'!$E51:INDEX('Milho 1ª safra'!$E51:$Z51,MIN(H$6-$E$3,22))&lt;&gt;""),'Milho 1ª safra'!$E51:INDEX('Milho 1ª safra'!$E51:$Z51,MIN(H$6-$E$3,22))),0))-IF($G$2,0,IF((H$6-$G$3)&lt;1,0,IFERROR(LOOKUP(2,1/('Milho 1ª safra'!$E51:INDEX('Milho 1ª safra'!$E51:$Z51,MIN(H$6-$G$3,22))&lt;&gt;""),'Milho 1ª safra'!$E51:INDEX('Milho 1ª safra'!$E51:$Z51,MIN(H$6-$G$3,22))),0)))))</f>
        <v>0</v>
      </c>
      <c r="I53" s="27" t="n">
        <f aca="false">IF(COUNT('Milho 1ª safra'!$E51:$Z51)=0,0,MAX(0,IF((I$6-$E$3)&lt;1,0,IFERROR(LOOKUP(2,1/('Milho 1ª safra'!$E51:INDEX('Milho 1ª safra'!$E51:$Z51,MIN(I$6-$E$3,22))&lt;&gt;""),'Milho 1ª safra'!$E51:INDEX('Milho 1ª safra'!$E51:$Z51,MIN(I$6-$E$3,22))),0))-IF($G$2,0,IF((I$6-$G$3)&lt;1,0,IFERROR(LOOKUP(2,1/('Milho 1ª safra'!$E51:INDEX('Milho 1ª safra'!$E51:$Z51,MIN(I$6-$G$3,22))&lt;&gt;""),'Milho 1ª safra'!$E51:INDEX('Milho 1ª safra'!$E51:$Z51,MIN(I$6-$G$3,22))),0)))))</f>
        <v>0</v>
      </c>
      <c r="J53" s="27" t="n">
        <f aca="false">IF(COUNT('Milho 1ª safra'!$E51:$Z51)=0,0,MAX(0,IF((J$6-$E$3)&lt;1,0,IFERROR(LOOKUP(2,1/('Milho 1ª safra'!$E51:INDEX('Milho 1ª safra'!$E51:$Z51,MIN(J$6-$E$3,22))&lt;&gt;""),'Milho 1ª safra'!$E51:INDEX('Milho 1ª safra'!$E51:$Z51,MIN(J$6-$E$3,22))),0))-IF($G$2,0,IF((J$6-$G$3)&lt;1,0,IFERROR(LOOKUP(2,1/('Milho 1ª safra'!$E51:INDEX('Milho 1ª safra'!$E51:$Z51,MIN(J$6-$G$3,22))&lt;&gt;""),'Milho 1ª safra'!$E51:INDEX('Milho 1ª safra'!$E51:$Z51,MIN(J$6-$G$3,22))),0)))))</f>
        <v>0</v>
      </c>
      <c r="K53" s="27" t="n">
        <f aca="false">IF(COUNT('Milho 1ª safra'!$E51:$Z51)=0,0,MAX(0,IF((K$6-$E$3)&lt;1,0,IFERROR(LOOKUP(2,1/('Milho 1ª safra'!$E51:INDEX('Milho 1ª safra'!$E51:$Z51,MIN(K$6-$E$3,22))&lt;&gt;""),'Milho 1ª safra'!$E51:INDEX('Milho 1ª safra'!$E51:$Z51,MIN(K$6-$E$3,22))),0))-IF($G$2,0,IF((K$6-$G$3)&lt;1,0,IFERROR(LOOKUP(2,1/('Milho 1ª safra'!$E51:INDEX('Milho 1ª safra'!$E51:$Z51,MIN(K$6-$G$3,22))&lt;&gt;""),'Milho 1ª safra'!$E51:INDEX('Milho 1ª safra'!$E51:$Z51,MIN(K$6-$G$3,22))),0)))))</f>
        <v>0</v>
      </c>
      <c r="L53" s="27" t="n">
        <f aca="false">IF(COUNT('Milho 1ª safra'!$E51:$Z51)=0,0,MAX(0,IF((L$6-$E$3)&lt;1,0,IFERROR(LOOKUP(2,1/('Milho 1ª safra'!$E51:INDEX('Milho 1ª safra'!$E51:$Z51,MIN(L$6-$E$3,22))&lt;&gt;""),'Milho 1ª safra'!$E51:INDEX('Milho 1ª safra'!$E51:$Z51,MIN(L$6-$E$3,22))),0))-IF($G$2,0,IF((L$6-$G$3)&lt;1,0,IFERROR(LOOKUP(2,1/('Milho 1ª safra'!$E51:INDEX('Milho 1ª safra'!$E51:$Z51,MIN(L$6-$G$3,22))&lt;&gt;""),'Milho 1ª safra'!$E51:INDEX('Milho 1ª safra'!$E51:$Z51,MIN(L$6-$G$3,22))),0)))))</f>
        <v>0</v>
      </c>
      <c r="M53" s="27" t="n">
        <f aca="false">IF(COUNT('Milho 1ª safra'!$E51:$Z51)=0,0,MAX(0,IF((M$6-$E$3)&lt;1,0,IFERROR(LOOKUP(2,1/('Milho 1ª safra'!$E51:INDEX('Milho 1ª safra'!$E51:$Z51,MIN(M$6-$E$3,22))&lt;&gt;""),'Milho 1ª safra'!$E51:INDEX('Milho 1ª safra'!$E51:$Z51,MIN(M$6-$E$3,22))),0))-IF($G$2,0,IF((M$6-$G$3)&lt;1,0,IFERROR(LOOKUP(2,1/('Milho 1ª safra'!$E51:INDEX('Milho 1ª safra'!$E51:$Z51,MIN(M$6-$G$3,22))&lt;&gt;""),'Milho 1ª safra'!$E51:INDEX('Milho 1ª safra'!$E51:$Z51,MIN(M$6-$G$3,22))),0)))))</f>
        <v>0</v>
      </c>
      <c r="N53" s="27" t="n">
        <f aca="false">IF(COUNT('Milho 1ª safra'!$E51:$Z51)=0,0,MAX(0,IF((N$6-$E$3)&lt;1,0,IFERROR(LOOKUP(2,1/('Milho 1ª safra'!$E51:INDEX('Milho 1ª safra'!$E51:$Z51,MIN(N$6-$E$3,22))&lt;&gt;""),'Milho 1ª safra'!$E51:INDEX('Milho 1ª safra'!$E51:$Z51,MIN(N$6-$E$3,22))),0))-IF($G$2,0,IF((N$6-$G$3)&lt;1,0,IFERROR(LOOKUP(2,1/('Milho 1ª safra'!$E51:INDEX('Milho 1ª safra'!$E51:$Z51,MIN(N$6-$G$3,22))&lt;&gt;""),'Milho 1ª safra'!$E51:INDEX('Milho 1ª safra'!$E51:$Z51,MIN(N$6-$G$3,22))),0)))))</f>
        <v>0</v>
      </c>
      <c r="O53" s="27" t="n">
        <f aca="false">IF(COUNT('Milho 1ª safra'!$E51:$Z51)=0,0,MAX(0,IF((O$6-$E$3)&lt;1,0,IFERROR(LOOKUP(2,1/('Milho 1ª safra'!$E51:INDEX('Milho 1ª safra'!$E51:$Z51,MIN(O$6-$E$3,22))&lt;&gt;""),'Milho 1ª safra'!$E51:INDEX('Milho 1ª safra'!$E51:$Z51,MIN(O$6-$E$3,22))),0))-IF($G$2,0,IF((O$6-$G$3)&lt;1,0,IFERROR(LOOKUP(2,1/('Milho 1ª safra'!$E51:INDEX('Milho 1ª safra'!$E51:$Z51,MIN(O$6-$G$3,22))&lt;&gt;""),'Milho 1ª safra'!$E51:INDEX('Milho 1ª safra'!$E51:$Z51,MIN(O$6-$G$3,22))),0)))))</f>
        <v>0</v>
      </c>
      <c r="P53" s="27" t="n">
        <f aca="false">IF(COUNT('Milho 1ª safra'!$E51:$Z51)=0,0,MAX(0,IF((P$6-$E$3)&lt;1,0,IFERROR(LOOKUP(2,1/('Milho 1ª safra'!$E51:INDEX('Milho 1ª safra'!$E51:$Z51,MIN(P$6-$E$3,22))&lt;&gt;""),'Milho 1ª safra'!$E51:INDEX('Milho 1ª safra'!$E51:$Z51,MIN(P$6-$E$3,22))),0))-IF($G$2,0,IF((P$6-$G$3)&lt;1,0,IFERROR(LOOKUP(2,1/('Milho 1ª safra'!$E51:INDEX('Milho 1ª safra'!$E51:$Z51,MIN(P$6-$G$3,22))&lt;&gt;""),'Milho 1ª safra'!$E51:INDEX('Milho 1ª safra'!$E51:$Z51,MIN(P$6-$G$3,22))),0)))))</f>
        <v>0</v>
      </c>
      <c r="Q53" s="27" t="n">
        <f aca="false">IF(COUNT('Milho 1ª safra'!$E51:$Z51)=0,0,MAX(0,IF((Q$6-$E$3)&lt;1,0,IFERROR(LOOKUP(2,1/('Milho 1ª safra'!$E51:INDEX('Milho 1ª safra'!$E51:$Z51,MIN(Q$6-$E$3,22))&lt;&gt;""),'Milho 1ª safra'!$E51:INDEX('Milho 1ª safra'!$E51:$Z51,MIN(Q$6-$E$3,22))),0))-IF($G$2,0,IF((Q$6-$G$3)&lt;1,0,IFERROR(LOOKUP(2,1/('Milho 1ª safra'!$E51:INDEX('Milho 1ª safra'!$E51:$Z51,MIN(Q$6-$G$3,22))&lt;&gt;""),'Milho 1ª safra'!$E51:INDEX('Milho 1ª safra'!$E51:$Z51,MIN(Q$6-$G$3,22))),0)))))</f>
        <v>0</v>
      </c>
      <c r="R53" s="27" t="n">
        <f aca="false">IF(COUNT('Milho 1ª safra'!$E51:$Z51)=0,0,MAX(0,IF((R$6-$E$3)&lt;1,0,IFERROR(LOOKUP(2,1/('Milho 1ª safra'!$E51:INDEX('Milho 1ª safra'!$E51:$Z51,MIN(R$6-$E$3,22))&lt;&gt;""),'Milho 1ª safra'!$E51:INDEX('Milho 1ª safra'!$E51:$Z51,MIN(R$6-$E$3,22))),0))-IF($G$2,0,IF((R$6-$G$3)&lt;1,0,IFERROR(LOOKUP(2,1/('Milho 1ª safra'!$E51:INDEX('Milho 1ª safra'!$E51:$Z51,MIN(R$6-$G$3,22))&lt;&gt;""),'Milho 1ª safra'!$E51:INDEX('Milho 1ª safra'!$E51:$Z51,MIN(R$6-$G$3,22))),0)))))</f>
        <v>0</v>
      </c>
      <c r="S53" s="27" t="n">
        <f aca="false">IF(COUNT('Milho 1ª safra'!$E51:$Z51)=0,0,MAX(0,IF((S$6-$E$3)&lt;1,0,IFERROR(LOOKUP(2,1/('Milho 1ª safra'!$E51:INDEX('Milho 1ª safra'!$E51:$Z51,MIN(S$6-$E$3,22))&lt;&gt;""),'Milho 1ª safra'!$E51:INDEX('Milho 1ª safra'!$E51:$Z51,MIN(S$6-$E$3,22))),0))-IF($G$2,0,IF((S$6-$G$3)&lt;1,0,IFERROR(LOOKUP(2,1/('Milho 1ª safra'!$E51:INDEX('Milho 1ª safra'!$E51:$Z51,MIN(S$6-$G$3,22))&lt;&gt;""),'Milho 1ª safra'!$E51:INDEX('Milho 1ª safra'!$E51:$Z51,MIN(S$6-$G$3,22))),0)))))</f>
        <v>0</v>
      </c>
      <c r="T53" s="27" t="n">
        <f aca="false">IF(COUNT('Milho 1ª safra'!$E51:$Z51)=0,0,MAX(0,IF((T$6-$E$3)&lt;1,0,IFERROR(LOOKUP(2,1/('Milho 1ª safra'!$E51:INDEX('Milho 1ª safra'!$E51:$Z51,MIN(T$6-$E$3,22))&lt;&gt;""),'Milho 1ª safra'!$E51:INDEX('Milho 1ª safra'!$E51:$Z51,MIN(T$6-$E$3,22))),0))-IF($G$2,0,IF((T$6-$G$3)&lt;1,0,IFERROR(LOOKUP(2,1/('Milho 1ª safra'!$E51:INDEX('Milho 1ª safra'!$E51:$Z51,MIN(T$6-$G$3,22))&lt;&gt;""),'Milho 1ª safra'!$E51:INDEX('Milho 1ª safra'!$E51:$Z51,MIN(T$6-$G$3,22))),0)))))</f>
        <v>0</v>
      </c>
      <c r="U53" s="27" t="n">
        <f aca="false">IF(COUNT('Milho 1ª safra'!$E51:$Z51)=0,0,MAX(0,IF((U$6-$E$3)&lt;1,0,IFERROR(LOOKUP(2,1/('Milho 1ª safra'!$E51:INDEX('Milho 1ª safra'!$E51:$Z51,MIN(U$6-$E$3,22))&lt;&gt;""),'Milho 1ª safra'!$E51:INDEX('Milho 1ª safra'!$E51:$Z51,MIN(U$6-$E$3,22))),0))-IF($G$2,0,IF((U$6-$G$3)&lt;1,0,IFERROR(LOOKUP(2,1/('Milho 1ª safra'!$E51:INDEX('Milho 1ª safra'!$E51:$Z51,MIN(U$6-$G$3,22))&lt;&gt;""),'Milho 1ª safra'!$E51:INDEX('Milho 1ª safra'!$E51:$Z51,MIN(U$6-$G$3,22))),0)))))</f>
        <v>0</v>
      </c>
      <c r="V53" s="27" t="n">
        <f aca="false">IF(COUNT('Milho 1ª safra'!$E51:$Z51)=0,0,MAX(0,IF((V$6-$E$3)&lt;1,0,IFERROR(LOOKUP(2,1/('Milho 1ª safra'!$E51:INDEX('Milho 1ª safra'!$E51:$Z51,MIN(V$6-$E$3,22))&lt;&gt;""),'Milho 1ª safra'!$E51:INDEX('Milho 1ª safra'!$E51:$Z51,MIN(V$6-$E$3,22))),0))-IF($G$2,0,IF((V$6-$G$3)&lt;1,0,IFERROR(LOOKUP(2,1/('Milho 1ª safra'!$E51:INDEX('Milho 1ª safra'!$E51:$Z51,MIN(V$6-$G$3,22))&lt;&gt;""),'Milho 1ª safra'!$E51:INDEX('Milho 1ª safra'!$E51:$Z51,MIN(V$6-$G$3,22))),0)))))</f>
        <v>0</v>
      </c>
      <c r="W53" s="27" t="n">
        <f aca="false">IF(COUNT('Milho 1ª safra'!$E51:$Z51)=0,0,MAX(0,IF((W$6-$E$3)&lt;1,0,IFERROR(LOOKUP(2,1/('Milho 1ª safra'!$E51:INDEX('Milho 1ª safra'!$E51:$Z51,MIN(W$6-$E$3,22))&lt;&gt;""),'Milho 1ª safra'!$E51:INDEX('Milho 1ª safra'!$E51:$Z51,MIN(W$6-$E$3,22))),0))-IF($G$2,0,IF((W$6-$G$3)&lt;1,0,IFERROR(LOOKUP(2,1/('Milho 1ª safra'!$E51:INDEX('Milho 1ª safra'!$E51:$Z51,MIN(W$6-$G$3,22))&lt;&gt;""),'Milho 1ª safra'!$E51:INDEX('Milho 1ª safra'!$E51:$Z51,MIN(W$6-$G$3,22))),0)))))</f>
        <v>0</v>
      </c>
      <c r="X53" s="27" t="n">
        <f aca="false">IF(COUNT('Milho 1ª safra'!$E51:$Z51)=0,0,MAX(0,IF((X$6-$E$3)&lt;1,0,IFERROR(LOOKUP(2,1/('Milho 1ª safra'!$E51:INDEX('Milho 1ª safra'!$E51:$Z51,MIN(X$6-$E$3,22))&lt;&gt;""),'Milho 1ª safra'!$E51:INDEX('Milho 1ª safra'!$E51:$Z51,MIN(X$6-$E$3,22))),0))-IF($G$2,0,IF((X$6-$G$3)&lt;1,0,IFERROR(LOOKUP(2,1/('Milho 1ª safra'!$E51:INDEX('Milho 1ª safra'!$E51:$Z51,MIN(X$6-$G$3,22))&lt;&gt;""),'Milho 1ª safra'!$E51:INDEX('Milho 1ª safra'!$E51:$Z51,MIN(X$6-$G$3,22))),0)))))</f>
        <v>0</v>
      </c>
      <c r="Y53" s="27" t="n">
        <f aca="false">IF(COUNT('Milho 1ª safra'!$E51:$Z51)=0,0,MAX(0,IF((Y$6-$E$3)&lt;1,0,IFERROR(LOOKUP(2,1/('Milho 1ª safra'!$E51:INDEX('Milho 1ª safra'!$E51:$Z51,MIN(Y$6-$E$3,22))&lt;&gt;""),'Milho 1ª safra'!$E51:INDEX('Milho 1ª safra'!$E51:$Z51,MIN(Y$6-$E$3,22))),0))-IF($G$2,0,IF((Y$6-$G$3)&lt;1,0,IFERROR(LOOKUP(2,1/('Milho 1ª safra'!$E51:INDEX('Milho 1ª safra'!$E51:$Z51,MIN(Y$6-$G$3,22))&lt;&gt;""),'Milho 1ª safra'!$E51:INDEX('Milho 1ª safra'!$E51:$Z51,MIN(Y$6-$G$3,22))),0)))))</f>
        <v>0</v>
      </c>
      <c r="Z53" s="27" t="n">
        <f aca="false">IF(COUNT('Milho 1ª safra'!$E51:$Z51)=0,0,MAX(0,IF((Z$6-$E$3)&lt;1,0,IFERROR(LOOKUP(2,1/('Milho 1ª safra'!$E51:INDEX('Milho 1ª safra'!$E51:$Z51,MIN(Z$6-$E$3,22))&lt;&gt;""),'Milho 1ª safra'!$E51:INDEX('Milho 1ª safra'!$E51:$Z51,MIN(Z$6-$E$3,22))),0))-IF($G$2,0,IF((Z$6-$G$3)&lt;1,0,IFERROR(LOOKUP(2,1/('Milho 1ª safra'!$E51:INDEX('Milho 1ª safra'!$E51:$Z51,MIN(Z$6-$G$3,22))&lt;&gt;""),'Milho 1ª safra'!$E51:INDEX('Milho 1ª safra'!$E51:$Z51,MIN(Z$6-$G$3,22))),0)))))</f>
        <v>0</v>
      </c>
      <c r="AA53" s="27" t="n">
        <f aca="false">IF(COUNT('Milho 1ª safra'!$E51:$Z51)=0,0,MAX(0,IF((AA$6-$E$3)&lt;1,0,IFERROR(LOOKUP(2,1/('Milho 1ª safra'!$E51:INDEX('Milho 1ª safra'!$E51:$Z51,MIN(AA$6-$E$3,22))&lt;&gt;""),'Milho 1ª safra'!$E51:INDEX('Milho 1ª safra'!$E51:$Z51,MIN(AA$6-$E$3,22))),0))-IF($G$2,0,IF((AA$6-$G$3)&lt;1,0,IFERROR(LOOKUP(2,1/('Milho 1ª safra'!$E51:INDEX('Milho 1ª safra'!$E51:$Z51,MIN(AA$6-$G$3,22))&lt;&gt;""),'Milho 1ª safra'!$E51:INDEX('Milho 1ª safra'!$E51:$Z51,MIN(AA$6-$G$3,22))),0)))))</f>
        <v>0</v>
      </c>
      <c r="AB53" s="27" t="n">
        <f aca="false">IF(COUNT('Milho 1ª safra'!$E51:$Z51)=0,0,MAX(0,IF((AB$6-$E$3)&lt;1,0,IFERROR(LOOKUP(2,1/('Milho 1ª safra'!$E51:INDEX('Milho 1ª safra'!$E51:$Z51,MIN(AB$6-$E$3,22))&lt;&gt;""),'Milho 1ª safra'!$E51:INDEX('Milho 1ª safra'!$E51:$Z51,MIN(AB$6-$E$3,22))),0))-IF($G$2,0,IF((AB$6-$G$3)&lt;1,0,IFERROR(LOOKUP(2,1/('Milho 1ª safra'!$E51:INDEX('Milho 1ª safra'!$E51:$Z51,MIN(AB$6-$G$3,22))&lt;&gt;""),'Milho 1ª safra'!$E51:INDEX('Milho 1ª safra'!$E51:$Z51,MIN(AB$6-$G$3,22))),0)))))</f>
        <v>0</v>
      </c>
      <c r="AC53" s="27" t="n">
        <f aca="false">IF(COUNT('Milho 1ª safra'!$E51:$Z51)=0,0,MAX(0,IF((AC$6-$E$3)&lt;1,0,IFERROR(LOOKUP(2,1/('Milho 1ª safra'!$E51:INDEX('Milho 1ª safra'!$E51:$Z51,MIN(AC$6-$E$3,22))&lt;&gt;""),'Milho 1ª safra'!$E51:INDEX('Milho 1ª safra'!$E51:$Z51,MIN(AC$6-$E$3,22))),0))-IF($G$2,0,IF((AC$6-$G$3)&lt;1,0,IFERROR(LOOKUP(2,1/('Milho 1ª safra'!$E51:INDEX('Milho 1ª safra'!$E51:$Z51,MIN(AC$6-$G$3,22))&lt;&gt;""),'Milho 1ª safra'!$E51:INDEX('Milho 1ª safra'!$E51:$Z51,MIN(AC$6-$G$3,22))),0)))))</f>
        <v>0</v>
      </c>
      <c r="AD53" s="27" t="n">
        <f aca="false">IF(COUNT('Milho 1ª safra'!$E51:$Z51)=0,0,MAX(0,IF((AD$6-$E$3)&lt;1,0,IFERROR(LOOKUP(2,1/('Milho 1ª safra'!$E51:INDEX('Milho 1ª safra'!$E51:$Z51,MIN(AD$6-$E$3,22))&lt;&gt;""),'Milho 1ª safra'!$E51:INDEX('Milho 1ª safra'!$E51:$Z51,MIN(AD$6-$E$3,22))),0))-IF($G$2,0,IF((AD$6-$G$3)&lt;1,0,IFERROR(LOOKUP(2,1/('Milho 1ª safra'!$E51:INDEX('Milho 1ª safra'!$E51:$Z51,MIN(AD$6-$G$3,22))&lt;&gt;""),'Milho 1ª safra'!$E51:INDEX('Milho 1ª safra'!$E51:$Z51,MIN(AD$6-$G$3,22))),0)))))</f>
        <v>0</v>
      </c>
      <c r="AE53" s="27" t="n">
        <f aca="false">IF(COUNT('Milho 1ª safra'!$E51:$Z51)=0,0,MAX(0,IF((AE$6-$E$3)&lt;1,0,IFERROR(LOOKUP(2,1/('Milho 1ª safra'!$E51:INDEX('Milho 1ª safra'!$E51:$Z51,MIN(AE$6-$E$3,22))&lt;&gt;""),'Milho 1ª safra'!$E51:INDEX('Milho 1ª safra'!$E51:$Z51,MIN(AE$6-$E$3,22))),0))-IF($G$2,0,IF((AE$6-$G$3)&lt;1,0,IFERROR(LOOKUP(2,1/('Milho 1ª safra'!$E51:INDEX('Milho 1ª safra'!$E51:$Z51,MIN(AE$6-$G$3,22))&lt;&gt;""),'Milho 1ª safra'!$E51:INDEX('Milho 1ª safra'!$E51:$Z51,MIN(AE$6-$G$3,22))),0)))))</f>
        <v>0</v>
      </c>
      <c r="AF53" s="27" t="n">
        <f aca="false">IF(COUNT('Milho 1ª safra'!$E51:$Z51)=0,0,MAX(0,IF((AF$6-$E$3)&lt;1,0,IFERROR(LOOKUP(2,1/('Milho 1ª safra'!$E51:INDEX('Milho 1ª safra'!$E51:$Z51,MIN(AF$6-$E$3,22))&lt;&gt;""),'Milho 1ª safra'!$E51:INDEX('Milho 1ª safra'!$E51:$Z51,MIN(AF$6-$E$3,22))),0))-IF($G$2,0,IF((AF$6-$G$3)&lt;1,0,IFERROR(LOOKUP(2,1/('Milho 1ª safra'!$E51:INDEX('Milho 1ª safra'!$E51:$Z51,MIN(AF$6-$G$3,22))&lt;&gt;""),'Milho 1ª safra'!$E51:INDEX('Milho 1ª safra'!$E51:$Z51,MIN(AF$6-$G$3,22))),0)))))</f>
        <v>0</v>
      </c>
      <c r="AG53" s="27" t="n">
        <f aca="false">IF(COUNT('Milho 1ª safra'!$E51:$Z51)=0,0,MAX(0,IF((AG$6-$E$3)&lt;1,0,IFERROR(LOOKUP(2,1/('Milho 1ª safra'!$E51:INDEX('Milho 1ª safra'!$E51:$Z51,MIN(AG$6-$E$3,22))&lt;&gt;""),'Milho 1ª safra'!$E51:INDEX('Milho 1ª safra'!$E51:$Z51,MIN(AG$6-$E$3,22))),0))-IF($G$2,0,IF((AG$6-$G$3)&lt;1,0,IFERROR(LOOKUP(2,1/('Milho 1ª safra'!$E51:INDEX('Milho 1ª safra'!$E51:$Z51,MIN(AG$6-$G$3,22))&lt;&gt;""),'Milho 1ª safra'!$E51:INDEX('Milho 1ª safra'!$E51:$Z51,MIN(AG$6-$G$3,22))),0)))))</f>
        <v>0</v>
      </c>
      <c r="AH53" s="27" t="n">
        <f aca="false">IF(COUNT('Milho 1ª safra'!$E51:$Z51)=0,0,MAX(0,IF((AH$6-$E$3)&lt;1,0,IFERROR(LOOKUP(2,1/('Milho 1ª safra'!$E51:INDEX('Milho 1ª safra'!$E51:$Z51,MIN(AH$6-$E$3,22))&lt;&gt;""),'Milho 1ª safra'!$E51:INDEX('Milho 1ª safra'!$E51:$Z51,MIN(AH$6-$E$3,22))),0))-IF($G$2,0,IF((AH$6-$G$3)&lt;1,0,IFERROR(LOOKUP(2,1/('Milho 1ª safra'!$E51:INDEX('Milho 1ª safra'!$E51:$Z51,MIN(AH$6-$G$3,22))&lt;&gt;""),'Milho 1ª safra'!$E51:INDEX('Milho 1ª safra'!$E51:$Z51,MIN(AH$6-$G$3,22))),0)))))</f>
        <v>0</v>
      </c>
      <c r="AI53" s="27" t="n">
        <f aca="false">IF(COUNT('Milho 1ª safra'!$E51:$Z51)=0,0,MAX(0,IF((AI$6-$E$3)&lt;1,0,IFERROR(LOOKUP(2,1/('Milho 1ª safra'!$E51:INDEX('Milho 1ª safra'!$E51:$Z51,MIN(AI$6-$E$3,22))&lt;&gt;""),'Milho 1ª safra'!$E51:INDEX('Milho 1ª safra'!$E51:$Z51,MIN(AI$6-$E$3,22))),0))-IF($G$2,0,IF((AI$6-$G$3)&lt;1,0,IFERROR(LOOKUP(2,1/('Milho 1ª safra'!$E51:INDEX('Milho 1ª safra'!$E51:$Z51,MIN(AI$6-$G$3,22))&lt;&gt;""),'Milho 1ª safra'!$E51:INDEX('Milho 1ª safra'!$E51:$Z51,MIN(AI$6-$G$3,22))),0)))))</f>
        <v>0</v>
      </c>
      <c r="AJ53" s="27" t="n">
        <f aca="false">IF(COUNT('Milho 1ª safra'!$E51:$Z51)=0,0,MAX(0,IF((AJ$6-$E$3)&lt;1,0,IFERROR(LOOKUP(2,1/('Milho 1ª safra'!$E51:INDEX('Milho 1ª safra'!$E51:$Z51,MIN(AJ$6-$E$3,22))&lt;&gt;""),'Milho 1ª safra'!$E51:INDEX('Milho 1ª safra'!$E51:$Z51,MIN(AJ$6-$E$3,22))),0))-IF($G$2,0,IF((AJ$6-$G$3)&lt;1,0,IFERROR(LOOKUP(2,1/('Milho 1ª safra'!$E51:INDEX('Milho 1ª safra'!$E51:$Z51,MIN(AJ$6-$G$3,22))&lt;&gt;""),'Milho 1ª safra'!$E51:INDEX('Milho 1ª safra'!$E51:$Z51,MIN(AJ$6-$G$3,22))),0)))))</f>
        <v>0</v>
      </c>
      <c r="AK53" s="27" t="n">
        <f aca="false">IF(COUNT('Milho 1ª safra'!$E51:$Z51)=0,0,MAX(0,IF((AK$6-$E$3)&lt;1,0,IFERROR(LOOKUP(2,1/('Milho 1ª safra'!$E51:INDEX('Milho 1ª safra'!$E51:$Z51,MIN(AK$6-$E$3,22))&lt;&gt;""),'Milho 1ª safra'!$E51:INDEX('Milho 1ª safra'!$E51:$Z51,MIN(AK$6-$E$3,22))),0))-IF($G$2,0,IF((AK$6-$G$3)&lt;1,0,IFERROR(LOOKUP(2,1/('Milho 1ª safra'!$E51:INDEX('Milho 1ª safra'!$E51:$Z51,MIN(AK$6-$G$3,22))&lt;&gt;""),'Milho 1ª safra'!$E51:INDEX('Milho 1ª safra'!$E51:$Z51,MIN(AK$6-$G$3,22))),0)))))</f>
        <v>0</v>
      </c>
      <c r="AL53" s="27" t="n">
        <f aca="false">IF(COUNT('Milho 1ª safra'!$E51:$Z51)=0,0,MAX(0,IF((AL$6-$E$3)&lt;1,0,IFERROR(LOOKUP(2,1/('Milho 1ª safra'!$E51:INDEX('Milho 1ª safra'!$E51:$Z51,MIN(AL$6-$E$3,22))&lt;&gt;""),'Milho 1ª safra'!$E51:INDEX('Milho 1ª safra'!$E51:$Z51,MIN(AL$6-$E$3,22))),0))-IF($G$2,0,IF((AL$6-$G$3)&lt;1,0,IFERROR(LOOKUP(2,1/('Milho 1ª safra'!$E51:INDEX('Milho 1ª safra'!$E51:$Z51,MIN(AL$6-$G$3,22))&lt;&gt;""),'Milho 1ª safra'!$E51:INDEX('Milho 1ª safra'!$E51:$Z51,MIN(AL$6-$G$3,22))),0)))))</f>
        <v>0</v>
      </c>
      <c r="AM53" s="27" t="n">
        <f aca="false">IF(COUNT('Milho 1ª safra'!$E51:$Z51)=0,0,MAX(0,IF((AM$6-$E$3)&lt;1,0,IFERROR(LOOKUP(2,1/('Milho 1ª safra'!$E51:INDEX('Milho 1ª safra'!$E51:$Z51,MIN(AM$6-$E$3,22))&lt;&gt;""),'Milho 1ª safra'!$E51:INDEX('Milho 1ª safra'!$E51:$Z51,MIN(AM$6-$E$3,22))),0))-IF($G$2,0,IF((AM$6-$G$3)&lt;1,0,IFERROR(LOOKUP(2,1/('Milho 1ª safra'!$E51:INDEX('Milho 1ª safra'!$E51:$Z51,MIN(AM$6-$G$3,22))&lt;&gt;""),'Milho 1ª safra'!$E51:INDEX('Milho 1ª safra'!$E51:$Z51,MIN(AM$6-$G$3,22))),0)))))</f>
        <v>0</v>
      </c>
      <c r="AN53" s="27" t="n">
        <f aca="false">IF(COUNT('Milho 1ª safra'!$E51:$Z51)=0,0,MAX(0,IF((AN$6-$E$3)&lt;1,0,IFERROR(LOOKUP(2,1/('Milho 1ª safra'!$E51:INDEX('Milho 1ª safra'!$E51:$Z51,MIN(AN$6-$E$3,22))&lt;&gt;""),'Milho 1ª safra'!$E51:INDEX('Milho 1ª safra'!$E51:$Z51,MIN(AN$6-$E$3,22))),0))-IF($G$2,0,IF((AN$6-$G$3)&lt;1,0,IFERROR(LOOKUP(2,1/('Milho 1ª safra'!$E51:INDEX('Milho 1ª safra'!$E51:$Z51,MIN(AN$6-$G$3,22))&lt;&gt;""),'Milho 1ª safra'!$E51:INDEX('Milho 1ª safra'!$E51:$Z51,MIN(AN$6-$G$3,22))),0)))))</f>
        <v>0</v>
      </c>
      <c r="AO53" s="27" t="n">
        <f aca="false">IF(COUNT('Milho 1ª safra'!$E51:$Z51)=0,0,MAX(0,IF((AO$6-$E$3)&lt;1,0,IFERROR(LOOKUP(2,1/('Milho 1ª safra'!$E51:INDEX('Milho 1ª safra'!$E51:$Z51,MIN(AO$6-$E$3,22))&lt;&gt;""),'Milho 1ª safra'!$E51:INDEX('Milho 1ª safra'!$E51:$Z51,MIN(AO$6-$E$3,22))),0))-IF($G$2,0,IF((AO$6-$G$3)&lt;1,0,IFERROR(LOOKUP(2,1/('Milho 1ª safra'!$E51:INDEX('Milho 1ª safra'!$E51:$Z51,MIN(AO$6-$G$3,22))&lt;&gt;""),'Milho 1ª safra'!$E51:INDEX('Milho 1ª safra'!$E51:$Z51,MIN(AO$6-$G$3,22))),0)))))</f>
        <v>0</v>
      </c>
      <c r="AP53" s="27" t="n">
        <f aca="false">IF(COUNT('Milho 1ª safra'!$E51:$Z51)=0,0,MAX(0,IF((AP$6-$E$3)&lt;1,0,IFERROR(LOOKUP(2,1/('Milho 1ª safra'!$E51:INDEX('Milho 1ª safra'!$E51:$Z51,MIN(AP$6-$E$3,22))&lt;&gt;""),'Milho 1ª safra'!$E51:INDEX('Milho 1ª safra'!$E51:$Z51,MIN(AP$6-$E$3,22))),0))-IF($G$2,0,IF((AP$6-$G$3)&lt;1,0,IFERROR(LOOKUP(2,1/('Milho 1ª safra'!$E51:INDEX('Milho 1ª safra'!$E51:$Z51,MIN(AP$6-$G$3,22))&lt;&gt;""),'Milho 1ª safra'!$E51:INDEX('Milho 1ª safra'!$E51:$Z51,MIN(AP$6-$G$3,22))),0)))))</f>
        <v>0</v>
      </c>
      <c r="AQ53" s="27" t="n">
        <f aca="false">IF(COUNT('Milho 1ª safra'!$E51:$Z51)=0,0,MAX(0,IF((AQ$6-$E$3)&lt;1,0,IFERROR(LOOKUP(2,1/('Milho 1ª safra'!$E51:INDEX('Milho 1ª safra'!$E51:$Z51,MIN(AQ$6-$E$3,22))&lt;&gt;""),'Milho 1ª safra'!$E51:INDEX('Milho 1ª safra'!$E51:$Z51,MIN(AQ$6-$E$3,22))),0))-IF($G$2,0,IF((AQ$6-$G$3)&lt;1,0,IFERROR(LOOKUP(2,1/('Milho 1ª safra'!$E51:INDEX('Milho 1ª safra'!$E51:$Z51,MIN(AQ$6-$G$3,22))&lt;&gt;""),'Milho 1ª safra'!$E51:INDEX('Milho 1ª safra'!$E51:$Z51,MIN(AQ$6-$G$3,22))),0)))))</f>
        <v>0</v>
      </c>
      <c r="AR53" s="27" t="n">
        <f aca="false">IF(COUNT('Milho 1ª safra'!$E51:$Z51)=0,0,MAX(0,IF((AR$6-$E$3)&lt;1,0,IFERROR(LOOKUP(2,1/('Milho 1ª safra'!$E51:INDEX('Milho 1ª safra'!$E51:$Z51,MIN(AR$6-$E$3,22))&lt;&gt;""),'Milho 1ª safra'!$E51:INDEX('Milho 1ª safra'!$E51:$Z51,MIN(AR$6-$E$3,22))),0))-IF($G$2,0,IF((AR$6-$G$3)&lt;1,0,IFERROR(LOOKUP(2,1/('Milho 1ª safra'!$E51:INDEX('Milho 1ª safra'!$E51:$Z51,MIN(AR$6-$G$3,22))&lt;&gt;""),'Milho 1ª safra'!$E51:INDEX('Milho 1ª safra'!$E51:$Z51,MIN(AR$6-$G$3,22))),0)))))</f>
        <v>0</v>
      </c>
      <c r="AS53" s="27" t="n">
        <f aca="false">IF(COUNT('Milho 1ª safra'!$E51:$Z51)=0,0,MAX(0,IF((AS$6-$E$3)&lt;1,0,IFERROR(LOOKUP(2,1/('Milho 1ª safra'!$E51:INDEX('Milho 1ª safra'!$E51:$Z51,MIN(AS$6-$E$3,22))&lt;&gt;""),'Milho 1ª safra'!$E51:INDEX('Milho 1ª safra'!$E51:$Z51,MIN(AS$6-$E$3,22))),0))-IF($G$2,0,IF((AS$6-$G$3)&lt;1,0,IFERROR(LOOKUP(2,1/('Milho 1ª safra'!$E51:INDEX('Milho 1ª safra'!$E51:$Z51,MIN(AS$6-$G$3,22))&lt;&gt;""),'Milho 1ª safra'!$E51:INDEX('Milho 1ª safra'!$E51:$Z51,MIN(AS$6-$G$3,22))),0)))))</f>
        <v>0</v>
      </c>
      <c r="AT53" s="27" t="n">
        <f aca="false">IF(COUNT('Milho 1ª safra'!$E51:$Z51)=0,0,MAX(0,IF((AT$6-$E$3)&lt;1,0,IFERROR(LOOKUP(2,1/('Milho 1ª safra'!$E51:INDEX('Milho 1ª safra'!$E51:$Z51,MIN(AT$6-$E$3,22))&lt;&gt;""),'Milho 1ª safra'!$E51:INDEX('Milho 1ª safra'!$E51:$Z51,MIN(AT$6-$E$3,22))),0))-IF($G$2,0,IF((AT$6-$G$3)&lt;1,0,IFERROR(LOOKUP(2,1/('Milho 1ª safra'!$E51:INDEX('Milho 1ª safra'!$E51:$Z51,MIN(AT$6-$G$3,22))&lt;&gt;""),'Milho 1ª safra'!$E51:INDEX('Milho 1ª safra'!$E51:$Z51,MIN(AT$6-$G$3,22))),0)))))</f>
        <v>0</v>
      </c>
      <c r="AU53" s="27" t="n">
        <f aca="false">IF(COUNT('Milho 1ª safra'!$E51:$Z51)=0,0,MAX(0,IF((AU$6-$E$3)&lt;1,0,IFERROR(LOOKUP(2,1/('Milho 1ª safra'!$E51:INDEX('Milho 1ª safra'!$E51:$Z51,MIN(AU$6-$E$3,22))&lt;&gt;""),'Milho 1ª safra'!$E51:INDEX('Milho 1ª safra'!$E51:$Z51,MIN(AU$6-$E$3,22))),0))-IF($G$2,0,IF((AU$6-$G$3)&lt;1,0,IFERROR(LOOKUP(2,1/('Milho 1ª safra'!$E51:INDEX('Milho 1ª safra'!$E51:$Z51,MIN(AU$6-$G$3,22))&lt;&gt;""),'Milho 1ª safra'!$E51:INDEX('Milho 1ª safra'!$E51:$Z51,MIN(AU$6-$G$3,22))),0)))))</f>
        <v>0</v>
      </c>
      <c r="AV53" s="27" t="n">
        <f aca="false">IF(COUNT('Milho 1ª safra'!$E51:$Z51)=0,0,MAX(0,IF((AV$6-$E$3)&lt;1,0,IFERROR(LOOKUP(2,1/('Milho 1ª safra'!$E51:INDEX('Milho 1ª safra'!$E51:$Z51,MIN(AV$6-$E$3,22))&lt;&gt;""),'Milho 1ª safra'!$E51:INDEX('Milho 1ª safra'!$E51:$Z51,MIN(AV$6-$E$3,22))),0))-IF($G$2,0,IF((AV$6-$G$3)&lt;1,0,IFERROR(LOOKUP(2,1/('Milho 1ª safra'!$E51:INDEX('Milho 1ª safra'!$E51:$Z51,MIN(AV$6-$G$3,22))&lt;&gt;""),'Milho 1ª safra'!$E51:INDEX('Milho 1ª safra'!$E51:$Z51,MIN(AV$6-$G$3,22))),0)))))</f>
        <v>0</v>
      </c>
      <c r="AW53" s="27" t="n">
        <f aca="false">IF(COUNT('Milho 1ª safra'!$E51:$Z51)=0,0,MAX(0,IF((AW$6-$E$3)&lt;1,0,IFERROR(LOOKUP(2,1/('Milho 1ª safra'!$E51:INDEX('Milho 1ª safra'!$E51:$Z51,MIN(AW$6-$E$3,22))&lt;&gt;""),'Milho 1ª safra'!$E51:INDEX('Milho 1ª safra'!$E51:$Z51,MIN(AW$6-$E$3,22))),0))-IF($G$2,0,IF((AW$6-$G$3)&lt;1,0,IFERROR(LOOKUP(2,1/('Milho 1ª safra'!$E51:INDEX('Milho 1ª safra'!$E51:$Z51,MIN(AW$6-$G$3,22))&lt;&gt;""),'Milho 1ª safra'!$E51:INDEX('Milho 1ª safra'!$E51:$Z51,MIN(AW$6-$G$3,22))),0)))))</f>
        <v>0</v>
      </c>
      <c r="AX53" s="27" t="n">
        <f aca="false">IF(COUNT('Milho 1ª safra'!$E51:$Z51)=0,0,MAX(0,IF((AX$6-$E$3)&lt;1,0,IFERROR(LOOKUP(2,1/('Milho 1ª safra'!$E51:INDEX('Milho 1ª safra'!$E51:$Z51,MIN(AX$6-$E$3,22))&lt;&gt;""),'Milho 1ª safra'!$E51:INDEX('Milho 1ª safra'!$E51:$Z51,MIN(AX$6-$E$3,22))),0))-IF($G$2,0,IF((AX$6-$G$3)&lt;1,0,IFERROR(LOOKUP(2,1/('Milho 1ª safra'!$E51:INDEX('Milho 1ª safra'!$E51:$Z51,MIN(AX$6-$G$3,22))&lt;&gt;""),'Milho 1ª safra'!$E51:INDEX('Milho 1ª safra'!$E51:$Z51,MIN(AX$6-$G$3,22))),0)))))</f>
        <v>0</v>
      </c>
      <c r="AY53" s="27" t="n">
        <f aca="false">IF(COUNT('Milho 1ª safra'!$E51:$Z51)=0,0,MAX(0,IF((AY$6-$E$3)&lt;1,0,IFERROR(LOOKUP(2,1/('Milho 1ª safra'!$E51:INDEX('Milho 1ª safra'!$E51:$Z51,MIN(AY$6-$E$3,22))&lt;&gt;""),'Milho 1ª safra'!$E51:INDEX('Milho 1ª safra'!$E51:$Z51,MIN(AY$6-$E$3,22))),0))-IF($G$2,0,IF((AY$6-$G$3)&lt;1,0,IFERROR(LOOKUP(2,1/('Milho 1ª safra'!$E51:INDEX('Milho 1ª safra'!$E51:$Z51,MIN(AY$6-$G$3,22))&lt;&gt;""),'Milho 1ª safra'!$E51:INDEX('Milho 1ª safra'!$E51:$Z51,MIN(AY$6-$G$3,22))),0)))))</f>
        <v>0</v>
      </c>
      <c r="AZ53" s="27" t="n">
        <f aca="false">IF(COUNT('Milho 1ª safra'!$E51:$Z51)=0,0,MAX(0,IF((AZ$6-$E$3)&lt;1,0,IFERROR(LOOKUP(2,1/('Milho 1ª safra'!$E51:INDEX('Milho 1ª safra'!$E51:$Z51,MIN(AZ$6-$E$3,22))&lt;&gt;""),'Milho 1ª safra'!$E51:INDEX('Milho 1ª safra'!$E51:$Z51,MIN(AZ$6-$E$3,22))),0))-IF($G$2,0,IF((AZ$6-$G$3)&lt;1,0,IFERROR(LOOKUP(2,1/('Milho 1ª safra'!$E51:INDEX('Milho 1ª safra'!$E51:$Z51,MIN(AZ$6-$G$3,22))&lt;&gt;""),'Milho 1ª safra'!$E51:INDEX('Milho 1ª safra'!$E51:$Z51,MIN(AZ$6-$G$3,22))),0)))))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IF(COUNT('Milho 1ª safra'!$E52:$Z52)&gt;0,N('Milho 1ª safra'!$D52),0)</f>
        <v>0</v>
      </c>
      <c r="E54" s="27" t="n">
        <f aca="false">IF(COUNT('Milho 1ª safra'!$E52:$Z52)=0,0,MAX(0,IF((E$6-$E$3)&lt;1,0,IFERROR(LOOKUP(2,1/('Milho 1ª safra'!$E52:INDEX('Milho 1ª safra'!$E52:$Z52,MIN(E$6-$E$3,22))&lt;&gt;""),'Milho 1ª safra'!$E52:INDEX('Milho 1ª safra'!$E52:$Z52,MIN(E$6-$E$3,22))),0))-IF($G$2,0,IF((E$6-$G$3)&lt;1,0,IFERROR(LOOKUP(2,1/('Milho 1ª safra'!$E52:INDEX('Milho 1ª safra'!$E52:$Z52,MIN(E$6-$G$3,22))&lt;&gt;""),'Milho 1ª safra'!$E52:INDEX('Milho 1ª safra'!$E52:$Z52,MIN(E$6-$G$3,22))),0)))))</f>
        <v>0</v>
      </c>
      <c r="F54" s="27" t="n">
        <f aca="false">IF(COUNT('Milho 1ª safra'!$E52:$Z52)=0,0,MAX(0,IF((F$6-$E$3)&lt;1,0,IFERROR(LOOKUP(2,1/('Milho 1ª safra'!$E52:INDEX('Milho 1ª safra'!$E52:$Z52,MIN(F$6-$E$3,22))&lt;&gt;""),'Milho 1ª safra'!$E52:INDEX('Milho 1ª safra'!$E52:$Z52,MIN(F$6-$E$3,22))),0))-IF($G$2,0,IF((F$6-$G$3)&lt;1,0,IFERROR(LOOKUP(2,1/('Milho 1ª safra'!$E52:INDEX('Milho 1ª safra'!$E52:$Z52,MIN(F$6-$G$3,22))&lt;&gt;""),'Milho 1ª safra'!$E52:INDEX('Milho 1ª safra'!$E52:$Z52,MIN(F$6-$G$3,22))),0)))))</f>
        <v>0</v>
      </c>
      <c r="G54" s="27" t="n">
        <f aca="false">IF(COUNT('Milho 1ª safra'!$E52:$Z52)=0,0,MAX(0,IF((G$6-$E$3)&lt;1,0,IFERROR(LOOKUP(2,1/('Milho 1ª safra'!$E52:INDEX('Milho 1ª safra'!$E52:$Z52,MIN(G$6-$E$3,22))&lt;&gt;""),'Milho 1ª safra'!$E52:INDEX('Milho 1ª safra'!$E52:$Z52,MIN(G$6-$E$3,22))),0))-IF($G$2,0,IF((G$6-$G$3)&lt;1,0,IFERROR(LOOKUP(2,1/('Milho 1ª safra'!$E52:INDEX('Milho 1ª safra'!$E52:$Z52,MIN(G$6-$G$3,22))&lt;&gt;""),'Milho 1ª safra'!$E52:INDEX('Milho 1ª safra'!$E52:$Z52,MIN(G$6-$G$3,22))),0)))))</f>
        <v>0</v>
      </c>
      <c r="H54" s="27" t="n">
        <f aca="false">IF(COUNT('Milho 1ª safra'!$E52:$Z52)=0,0,MAX(0,IF((H$6-$E$3)&lt;1,0,IFERROR(LOOKUP(2,1/('Milho 1ª safra'!$E52:INDEX('Milho 1ª safra'!$E52:$Z52,MIN(H$6-$E$3,22))&lt;&gt;""),'Milho 1ª safra'!$E52:INDEX('Milho 1ª safra'!$E52:$Z52,MIN(H$6-$E$3,22))),0))-IF($G$2,0,IF((H$6-$G$3)&lt;1,0,IFERROR(LOOKUP(2,1/('Milho 1ª safra'!$E52:INDEX('Milho 1ª safra'!$E52:$Z52,MIN(H$6-$G$3,22))&lt;&gt;""),'Milho 1ª safra'!$E52:INDEX('Milho 1ª safra'!$E52:$Z52,MIN(H$6-$G$3,22))),0)))))</f>
        <v>0</v>
      </c>
      <c r="I54" s="27" t="n">
        <f aca="false">IF(COUNT('Milho 1ª safra'!$E52:$Z52)=0,0,MAX(0,IF((I$6-$E$3)&lt;1,0,IFERROR(LOOKUP(2,1/('Milho 1ª safra'!$E52:INDEX('Milho 1ª safra'!$E52:$Z52,MIN(I$6-$E$3,22))&lt;&gt;""),'Milho 1ª safra'!$E52:INDEX('Milho 1ª safra'!$E52:$Z52,MIN(I$6-$E$3,22))),0))-IF($G$2,0,IF((I$6-$G$3)&lt;1,0,IFERROR(LOOKUP(2,1/('Milho 1ª safra'!$E52:INDEX('Milho 1ª safra'!$E52:$Z52,MIN(I$6-$G$3,22))&lt;&gt;""),'Milho 1ª safra'!$E52:INDEX('Milho 1ª safra'!$E52:$Z52,MIN(I$6-$G$3,22))),0)))))</f>
        <v>0</v>
      </c>
      <c r="J54" s="27" t="n">
        <f aca="false">IF(COUNT('Milho 1ª safra'!$E52:$Z52)=0,0,MAX(0,IF((J$6-$E$3)&lt;1,0,IFERROR(LOOKUP(2,1/('Milho 1ª safra'!$E52:INDEX('Milho 1ª safra'!$E52:$Z52,MIN(J$6-$E$3,22))&lt;&gt;""),'Milho 1ª safra'!$E52:INDEX('Milho 1ª safra'!$E52:$Z52,MIN(J$6-$E$3,22))),0))-IF($G$2,0,IF((J$6-$G$3)&lt;1,0,IFERROR(LOOKUP(2,1/('Milho 1ª safra'!$E52:INDEX('Milho 1ª safra'!$E52:$Z52,MIN(J$6-$G$3,22))&lt;&gt;""),'Milho 1ª safra'!$E52:INDEX('Milho 1ª safra'!$E52:$Z52,MIN(J$6-$G$3,22))),0)))))</f>
        <v>0</v>
      </c>
      <c r="K54" s="27" t="n">
        <f aca="false">IF(COUNT('Milho 1ª safra'!$E52:$Z52)=0,0,MAX(0,IF((K$6-$E$3)&lt;1,0,IFERROR(LOOKUP(2,1/('Milho 1ª safra'!$E52:INDEX('Milho 1ª safra'!$E52:$Z52,MIN(K$6-$E$3,22))&lt;&gt;""),'Milho 1ª safra'!$E52:INDEX('Milho 1ª safra'!$E52:$Z52,MIN(K$6-$E$3,22))),0))-IF($G$2,0,IF((K$6-$G$3)&lt;1,0,IFERROR(LOOKUP(2,1/('Milho 1ª safra'!$E52:INDEX('Milho 1ª safra'!$E52:$Z52,MIN(K$6-$G$3,22))&lt;&gt;""),'Milho 1ª safra'!$E52:INDEX('Milho 1ª safra'!$E52:$Z52,MIN(K$6-$G$3,22))),0)))))</f>
        <v>0</v>
      </c>
      <c r="L54" s="27" t="n">
        <f aca="false">IF(COUNT('Milho 1ª safra'!$E52:$Z52)=0,0,MAX(0,IF((L$6-$E$3)&lt;1,0,IFERROR(LOOKUP(2,1/('Milho 1ª safra'!$E52:INDEX('Milho 1ª safra'!$E52:$Z52,MIN(L$6-$E$3,22))&lt;&gt;""),'Milho 1ª safra'!$E52:INDEX('Milho 1ª safra'!$E52:$Z52,MIN(L$6-$E$3,22))),0))-IF($G$2,0,IF((L$6-$G$3)&lt;1,0,IFERROR(LOOKUP(2,1/('Milho 1ª safra'!$E52:INDEX('Milho 1ª safra'!$E52:$Z52,MIN(L$6-$G$3,22))&lt;&gt;""),'Milho 1ª safra'!$E52:INDEX('Milho 1ª safra'!$E52:$Z52,MIN(L$6-$G$3,22))),0)))))</f>
        <v>0</v>
      </c>
      <c r="M54" s="27" t="n">
        <f aca="false">IF(COUNT('Milho 1ª safra'!$E52:$Z52)=0,0,MAX(0,IF((M$6-$E$3)&lt;1,0,IFERROR(LOOKUP(2,1/('Milho 1ª safra'!$E52:INDEX('Milho 1ª safra'!$E52:$Z52,MIN(M$6-$E$3,22))&lt;&gt;""),'Milho 1ª safra'!$E52:INDEX('Milho 1ª safra'!$E52:$Z52,MIN(M$6-$E$3,22))),0))-IF($G$2,0,IF((M$6-$G$3)&lt;1,0,IFERROR(LOOKUP(2,1/('Milho 1ª safra'!$E52:INDEX('Milho 1ª safra'!$E52:$Z52,MIN(M$6-$G$3,22))&lt;&gt;""),'Milho 1ª safra'!$E52:INDEX('Milho 1ª safra'!$E52:$Z52,MIN(M$6-$G$3,22))),0)))))</f>
        <v>0</v>
      </c>
      <c r="N54" s="27" t="n">
        <f aca="false">IF(COUNT('Milho 1ª safra'!$E52:$Z52)=0,0,MAX(0,IF((N$6-$E$3)&lt;1,0,IFERROR(LOOKUP(2,1/('Milho 1ª safra'!$E52:INDEX('Milho 1ª safra'!$E52:$Z52,MIN(N$6-$E$3,22))&lt;&gt;""),'Milho 1ª safra'!$E52:INDEX('Milho 1ª safra'!$E52:$Z52,MIN(N$6-$E$3,22))),0))-IF($G$2,0,IF((N$6-$G$3)&lt;1,0,IFERROR(LOOKUP(2,1/('Milho 1ª safra'!$E52:INDEX('Milho 1ª safra'!$E52:$Z52,MIN(N$6-$G$3,22))&lt;&gt;""),'Milho 1ª safra'!$E52:INDEX('Milho 1ª safra'!$E52:$Z52,MIN(N$6-$G$3,22))),0)))))</f>
        <v>0</v>
      </c>
      <c r="O54" s="27" t="n">
        <f aca="false">IF(COUNT('Milho 1ª safra'!$E52:$Z52)=0,0,MAX(0,IF((O$6-$E$3)&lt;1,0,IFERROR(LOOKUP(2,1/('Milho 1ª safra'!$E52:INDEX('Milho 1ª safra'!$E52:$Z52,MIN(O$6-$E$3,22))&lt;&gt;""),'Milho 1ª safra'!$E52:INDEX('Milho 1ª safra'!$E52:$Z52,MIN(O$6-$E$3,22))),0))-IF($G$2,0,IF((O$6-$G$3)&lt;1,0,IFERROR(LOOKUP(2,1/('Milho 1ª safra'!$E52:INDEX('Milho 1ª safra'!$E52:$Z52,MIN(O$6-$G$3,22))&lt;&gt;""),'Milho 1ª safra'!$E52:INDEX('Milho 1ª safra'!$E52:$Z52,MIN(O$6-$G$3,22))),0)))))</f>
        <v>0</v>
      </c>
      <c r="P54" s="27" t="n">
        <f aca="false">IF(COUNT('Milho 1ª safra'!$E52:$Z52)=0,0,MAX(0,IF((P$6-$E$3)&lt;1,0,IFERROR(LOOKUP(2,1/('Milho 1ª safra'!$E52:INDEX('Milho 1ª safra'!$E52:$Z52,MIN(P$6-$E$3,22))&lt;&gt;""),'Milho 1ª safra'!$E52:INDEX('Milho 1ª safra'!$E52:$Z52,MIN(P$6-$E$3,22))),0))-IF($G$2,0,IF((P$6-$G$3)&lt;1,0,IFERROR(LOOKUP(2,1/('Milho 1ª safra'!$E52:INDEX('Milho 1ª safra'!$E52:$Z52,MIN(P$6-$G$3,22))&lt;&gt;""),'Milho 1ª safra'!$E52:INDEX('Milho 1ª safra'!$E52:$Z52,MIN(P$6-$G$3,22))),0)))))</f>
        <v>0</v>
      </c>
      <c r="Q54" s="27" t="n">
        <f aca="false">IF(COUNT('Milho 1ª safra'!$E52:$Z52)=0,0,MAX(0,IF((Q$6-$E$3)&lt;1,0,IFERROR(LOOKUP(2,1/('Milho 1ª safra'!$E52:INDEX('Milho 1ª safra'!$E52:$Z52,MIN(Q$6-$E$3,22))&lt;&gt;""),'Milho 1ª safra'!$E52:INDEX('Milho 1ª safra'!$E52:$Z52,MIN(Q$6-$E$3,22))),0))-IF($G$2,0,IF((Q$6-$G$3)&lt;1,0,IFERROR(LOOKUP(2,1/('Milho 1ª safra'!$E52:INDEX('Milho 1ª safra'!$E52:$Z52,MIN(Q$6-$G$3,22))&lt;&gt;""),'Milho 1ª safra'!$E52:INDEX('Milho 1ª safra'!$E52:$Z52,MIN(Q$6-$G$3,22))),0)))))</f>
        <v>0</v>
      </c>
      <c r="R54" s="27" t="n">
        <f aca="false">IF(COUNT('Milho 1ª safra'!$E52:$Z52)=0,0,MAX(0,IF((R$6-$E$3)&lt;1,0,IFERROR(LOOKUP(2,1/('Milho 1ª safra'!$E52:INDEX('Milho 1ª safra'!$E52:$Z52,MIN(R$6-$E$3,22))&lt;&gt;""),'Milho 1ª safra'!$E52:INDEX('Milho 1ª safra'!$E52:$Z52,MIN(R$6-$E$3,22))),0))-IF($G$2,0,IF((R$6-$G$3)&lt;1,0,IFERROR(LOOKUP(2,1/('Milho 1ª safra'!$E52:INDEX('Milho 1ª safra'!$E52:$Z52,MIN(R$6-$G$3,22))&lt;&gt;""),'Milho 1ª safra'!$E52:INDEX('Milho 1ª safra'!$E52:$Z52,MIN(R$6-$G$3,22))),0)))))</f>
        <v>0</v>
      </c>
      <c r="S54" s="27" t="n">
        <f aca="false">IF(COUNT('Milho 1ª safra'!$E52:$Z52)=0,0,MAX(0,IF((S$6-$E$3)&lt;1,0,IFERROR(LOOKUP(2,1/('Milho 1ª safra'!$E52:INDEX('Milho 1ª safra'!$E52:$Z52,MIN(S$6-$E$3,22))&lt;&gt;""),'Milho 1ª safra'!$E52:INDEX('Milho 1ª safra'!$E52:$Z52,MIN(S$6-$E$3,22))),0))-IF($G$2,0,IF((S$6-$G$3)&lt;1,0,IFERROR(LOOKUP(2,1/('Milho 1ª safra'!$E52:INDEX('Milho 1ª safra'!$E52:$Z52,MIN(S$6-$G$3,22))&lt;&gt;""),'Milho 1ª safra'!$E52:INDEX('Milho 1ª safra'!$E52:$Z52,MIN(S$6-$G$3,22))),0)))))</f>
        <v>0</v>
      </c>
      <c r="T54" s="27" t="n">
        <f aca="false">IF(COUNT('Milho 1ª safra'!$E52:$Z52)=0,0,MAX(0,IF((T$6-$E$3)&lt;1,0,IFERROR(LOOKUP(2,1/('Milho 1ª safra'!$E52:INDEX('Milho 1ª safra'!$E52:$Z52,MIN(T$6-$E$3,22))&lt;&gt;""),'Milho 1ª safra'!$E52:INDEX('Milho 1ª safra'!$E52:$Z52,MIN(T$6-$E$3,22))),0))-IF($G$2,0,IF((T$6-$G$3)&lt;1,0,IFERROR(LOOKUP(2,1/('Milho 1ª safra'!$E52:INDEX('Milho 1ª safra'!$E52:$Z52,MIN(T$6-$G$3,22))&lt;&gt;""),'Milho 1ª safra'!$E52:INDEX('Milho 1ª safra'!$E52:$Z52,MIN(T$6-$G$3,22))),0)))))</f>
        <v>0</v>
      </c>
      <c r="U54" s="27" t="n">
        <f aca="false">IF(COUNT('Milho 1ª safra'!$E52:$Z52)=0,0,MAX(0,IF((U$6-$E$3)&lt;1,0,IFERROR(LOOKUP(2,1/('Milho 1ª safra'!$E52:INDEX('Milho 1ª safra'!$E52:$Z52,MIN(U$6-$E$3,22))&lt;&gt;""),'Milho 1ª safra'!$E52:INDEX('Milho 1ª safra'!$E52:$Z52,MIN(U$6-$E$3,22))),0))-IF($G$2,0,IF((U$6-$G$3)&lt;1,0,IFERROR(LOOKUP(2,1/('Milho 1ª safra'!$E52:INDEX('Milho 1ª safra'!$E52:$Z52,MIN(U$6-$G$3,22))&lt;&gt;""),'Milho 1ª safra'!$E52:INDEX('Milho 1ª safra'!$E52:$Z52,MIN(U$6-$G$3,22))),0)))))</f>
        <v>0</v>
      </c>
      <c r="V54" s="27" t="n">
        <f aca="false">IF(COUNT('Milho 1ª safra'!$E52:$Z52)=0,0,MAX(0,IF((V$6-$E$3)&lt;1,0,IFERROR(LOOKUP(2,1/('Milho 1ª safra'!$E52:INDEX('Milho 1ª safra'!$E52:$Z52,MIN(V$6-$E$3,22))&lt;&gt;""),'Milho 1ª safra'!$E52:INDEX('Milho 1ª safra'!$E52:$Z52,MIN(V$6-$E$3,22))),0))-IF($G$2,0,IF((V$6-$G$3)&lt;1,0,IFERROR(LOOKUP(2,1/('Milho 1ª safra'!$E52:INDEX('Milho 1ª safra'!$E52:$Z52,MIN(V$6-$G$3,22))&lt;&gt;""),'Milho 1ª safra'!$E52:INDEX('Milho 1ª safra'!$E52:$Z52,MIN(V$6-$G$3,22))),0)))))</f>
        <v>0</v>
      </c>
      <c r="W54" s="27" t="n">
        <f aca="false">IF(COUNT('Milho 1ª safra'!$E52:$Z52)=0,0,MAX(0,IF((W$6-$E$3)&lt;1,0,IFERROR(LOOKUP(2,1/('Milho 1ª safra'!$E52:INDEX('Milho 1ª safra'!$E52:$Z52,MIN(W$6-$E$3,22))&lt;&gt;""),'Milho 1ª safra'!$E52:INDEX('Milho 1ª safra'!$E52:$Z52,MIN(W$6-$E$3,22))),0))-IF($G$2,0,IF((W$6-$G$3)&lt;1,0,IFERROR(LOOKUP(2,1/('Milho 1ª safra'!$E52:INDEX('Milho 1ª safra'!$E52:$Z52,MIN(W$6-$G$3,22))&lt;&gt;""),'Milho 1ª safra'!$E52:INDEX('Milho 1ª safra'!$E52:$Z52,MIN(W$6-$G$3,22))),0)))))</f>
        <v>0</v>
      </c>
      <c r="X54" s="27" t="n">
        <f aca="false">IF(COUNT('Milho 1ª safra'!$E52:$Z52)=0,0,MAX(0,IF((X$6-$E$3)&lt;1,0,IFERROR(LOOKUP(2,1/('Milho 1ª safra'!$E52:INDEX('Milho 1ª safra'!$E52:$Z52,MIN(X$6-$E$3,22))&lt;&gt;""),'Milho 1ª safra'!$E52:INDEX('Milho 1ª safra'!$E52:$Z52,MIN(X$6-$E$3,22))),0))-IF($G$2,0,IF((X$6-$G$3)&lt;1,0,IFERROR(LOOKUP(2,1/('Milho 1ª safra'!$E52:INDEX('Milho 1ª safra'!$E52:$Z52,MIN(X$6-$G$3,22))&lt;&gt;""),'Milho 1ª safra'!$E52:INDEX('Milho 1ª safra'!$E52:$Z52,MIN(X$6-$G$3,22))),0)))))</f>
        <v>0</v>
      </c>
      <c r="Y54" s="27" t="n">
        <f aca="false">IF(COUNT('Milho 1ª safra'!$E52:$Z52)=0,0,MAX(0,IF((Y$6-$E$3)&lt;1,0,IFERROR(LOOKUP(2,1/('Milho 1ª safra'!$E52:INDEX('Milho 1ª safra'!$E52:$Z52,MIN(Y$6-$E$3,22))&lt;&gt;""),'Milho 1ª safra'!$E52:INDEX('Milho 1ª safra'!$E52:$Z52,MIN(Y$6-$E$3,22))),0))-IF($G$2,0,IF((Y$6-$G$3)&lt;1,0,IFERROR(LOOKUP(2,1/('Milho 1ª safra'!$E52:INDEX('Milho 1ª safra'!$E52:$Z52,MIN(Y$6-$G$3,22))&lt;&gt;""),'Milho 1ª safra'!$E52:INDEX('Milho 1ª safra'!$E52:$Z52,MIN(Y$6-$G$3,22))),0)))))</f>
        <v>0</v>
      </c>
      <c r="Z54" s="27" t="n">
        <f aca="false">IF(COUNT('Milho 1ª safra'!$E52:$Z52)=0,0,MAX(0,IF((Z$6-$E$3)&lt;1,0,IFERROR(LOOKUP(2,1/('Milho 1ª safra'!$E52:INDEX('Milho 1ª safra'!$E52:$Z52,MIN(Z$6-$E$3,22))&lt;&gt;""),'Milho 1ª safra'!$E52:INDEX('Milho 1ª safra'!$E52:$Z52,MIN(Z$6-$E$3,22))),0))-IF($G$2,0,IF((Z$6-$G$3)&lt;1,0,IFERROR(LOOKUP(2,1/('Milho 1ª safra'!$E52:INDEX('Milho 1ª safra'!$E52:$Z52,MIN(Z$6-$G$3,22))&lt;&gt;""),'Milho 1ª safra'!$E52:INDEX('Milho 1ª safra'!$E52:$Z52,MIN(Z$6-$G$3,22))),0)))))</f>
        <v>0</v>
      </c>
      <c r="AA54" s="27" t="n">
        <f aca="false">IF(COUNT('Milho 1ª safra'!$E52:$Z52)=0,0,MAX(0,IF((AA$6-$E$3)&lt;1,0,IFERROR(LOOKUP(2,1/('Milho 1ª safra'!$E52:INDEX('Milho 1ª safra'!$E52:$Z52,MIN(AA$6-$E$3,22))&lt;&gt;""),'Milho 1ª safra'!$E52:INDEX('Milho 1ª safra'!$E52:$Z52,MIN(AA$6-$E$3,22))),0))-IF($G$2,0,IF((AA$6-$G$3)&lt;1,0,IFERROR(LOOKUP(2,1/('Milho 1ª safra'!$E52:INDEX('Milho 1ª safra'!$E52:$Z52,MIN(AA$6-$G$3,22))&lt;&gt;""),'Milho 1ª safra'!$E52:INDEX('Milho 1ª safra'!$E52:$Z52,MIN(AA$6-$G$3,22))),0)))))</f>
        <v>0</v>
      </c>
      <c r="AB54" s="27" t="n">
        <f aca="false">IF(COUNT('Milho 1ª safra'!$E52:$Z52)=0,0,MAX(0,IF((AB$6-$E$3)&lt;1,0,IFERROR(LOOKUP(2,1/('Milho 1ª safra'!$E52:INDEX('Milho 1ª safra'!$E52:$Z52,MIN(AB$6-$E$3,22))&lt;&gt;""),'Milho 1ª safra'!$E52:INDEX('Milho 1ª safra'!$E52:$Z52,MIN(AB$6-$E$3,22))),0))-IF($G$2,0,IF((AB$6-$G$3)&lt;1,0,IFERROR(LOOKUP(2,1/('Milho 1ª safra'!$E52:INDEX('Milho 1ª safra'!$E52:$Z52,MIN(AB$6-$G$3,22))&lt;&gt;""),'Milho 1ª safra'!$E52:INDEX('Milho 1ª safra'!$E52:$Z52,MIN(AB$6-$G$3,22))),0)))))</f>
        <v>0</v>
      </c>
      <c r="AC54" s="27" t="n">
        <f aca="false">IF(COUNT('Milho 1ª safra'!$E52:$Z52)=0,0,MAX(0,IF((AC$6-$E$3)&lt;1,0,IFERROR(LOOKUP(2,1/('Milho 1ª safra'!$E52:INDEX('Milho 1ª safra'!$E52:$Z52,MIN(AC$6-$E$3,22))&lt;&gt;""),'Milho 1ª safra'!$E52:INDEX('Milho 1ª safra'!$E52:$Z52,MIN(AC$6-$E$3,22))),0))-IF($G$2,0,IF((AC$6-$G$3)&lt;1,0,IFERROR(LOOKUP(2,1/('Milho 1ª safra'!$E52:INDEX('Milho 1ª safra'!$E52:$Z52,MIN(AC$6-$G$3,22))&lt;&gt;""),'Milho 1ª safra'!$E52:INDEX('Milho 1ª safra'!$E52:$Z52,MIN(AC$6-$G$3,22))),0)))))</f>
        <v>0</v>
      </c>
      <c r="AD54" s="27" t="n">
        <f aca="false">IF(COUNT('Milho 1ª safra'!$E52:$Z52)=0,0,MAX(0,IF((AD$6-$E$3)&lt;1,0,IFERROR(LOOKUP(2,1/('Milho 1ª safra'!$E52:INDEX('Milho 1ª safra'!$E52:$Z52,MIN(AD$6-$E$3,22))&lt;&gt;""),'Milho 1ª safra'!$E52:INDEX('Milho 1ª safra'!$E52:$Z52,MIN(AD$6-$E$3,22))),0))-IF($G$2,0,IF((AD$6-$G$3)&lt;1,0,IFERROR(LOOKUP(2,1/('Milho 1ª safra'!$E52:INDEX('Milho 1ª safra'!$E52:$Z52,MIN(AD$6-$G$3,22))&lt;&gt;""),'Milho 1ª safra'!$E52:INDEX('Milho 1ª safra'!$E52:$Z52,MIN(AD$6-$G$3,22))),0)))))</f>
        <v>0</v>
      </c>
      <c r="AE54" s="27" t="n">
        <f aca="false">IF(COUNT('Milho 1ª safra'!$E52:$Z52)=0,0,MAX(0,IF((AE$6-$E$3)&lt;1,0,IFERROR(LOOKUP(2,1/('Milho 1ª safra'!$E52:INDEX('Milho 1ª safra'!$E52:$Z52,MIN(AE$6-$E$3,22))&lt;&gt;""),'Milho 1ª safra'!$E52:INDEX('Milho 1ª safra'!$E52:$Z52,MIN(AE$6-$E$3,22))),0))-IF($G$2,0,IF((AE$6-$G$3)&lt;1,0,IFERROR(LOOKUP(2,1/('Milho 1ª safra'!$E52:INDEX('Milho 1ª safra'!$E52:$Z52,MIN(AE$6-$G$3,22))&lt;&gt;""),'Milho 1ª safra'!$E52:INDEX('Milho 1ª safra'!$E52:$Z52,MIN(AE$6-$G$3,22))),0)))))</f>
        <v>0</v>
      </c>
      <c r="AF54" s="27" t="n">
        <f aca="false">IF(COUNT('Milho 1ª safra'!$E52:$Z52)=0,0,MAX(0,IF((AF$6-$E$3)&lt;1,0,IFERROR(LOOKUP(2,1/('Milho 1ª safra'!$E52:INDEX('Milho 1ª safra'!$E52:$Z52,MIN(AF$6-$E$3,22))&lt;&gt;""),'Milho 1ª safra'!$E52:INDEX('Milho 1ª safra'!$E52:$Z52,MIN(AF$6-$E$3,22))),0))-IF($G$2,0,IF((AF$6-$G$3)&lt;1,0,IFERROR(LOOKUP(2,1/('Milho 1ª safra'!$E52:INDEX('Milho 1ª safra'!$E52:$Z52,MIN(AF$6-$G$3,22))&lt;&gt;""),'Milho 1ª safra'!$E52:INDEX('Milho 1ª safra'!$E52:$Z52,MIN(AF$6-$G$3,22))),0)))))</f>
        <v>0</v>
      </c>
      <c r="AG54" s="27" t="n">
        <f aca="false">IF(COUNT('Milho 1ª safra'!$E52:$Z52)=0,0,MAX(0,IF((AG$6-$E$3)&lt;1,0,IFERROR(LOOKUP(2,1/('Milho 1ª safra'!$E52:INDEX('Milho 1ª safra'!$E52:$Z52,MIN(AG$6-$E$3,22))&lt;&gt;""),'Milho 1ª safra'!$E52:INDEX('Milho 1ª safra'!$E52:$Z52,MIN(AG$6-$E$3,22))),0))-IF($G$2,0,IF((AG$6-$G$3)&lt;1,0,IFERROR(LOOKUP(2,1/('Milho 1ª safra'!$E52:INDEX('Milho 1ª safra'!$E52:$Z52,MIN(AG$6-$G$3,22))&lt;&gt;""),'Milho 1ª safra'!$E52:INDEX('Milho 1ª safra'!$E52:$Z52,MIN(AG$6-$G$3,22))),0)))))</f>
        <v>0</v>
      </c>
      <c r="AH54" s="27" t="n">
        <f aca="false">IF(COUNT('Milho 1ª safra'!$E52:$Z52)=0,0,MAX(0,IF((AH$6-$E$3)&lt;1,0,IFERROR(LOOKUP(2,1/('Milho 1ª safra'!$E52:INDEX('Milho 1ª safra'!$E52:$Z52,MIN(AH$6-$E$3,22))&lt;&gt;""),'Milho 1ª safra'!$E52:INDEX('Milho 1ª safra'!$E52:$Z52,MIN(AH$6-$E$3,22))),0))-IF($G$2,0,IF((AH$6-$G$3)&lt;1,0,IFERROR(LOOKUP(2,1/('Milho 1ª safra'!$E52:INDEX('Milho 1ª safra'!$E52:$Z52,MIN(AH$6-$G$3,22))&lt;&gt;""),'Milho 1ª safra'!$E52:INDEX('Milho 1ª safra'!$E52:$Z52,MIN(AH$6-$G$3,22))),0)))))</f>
        <v>0</v>
      </c>
      <c r="AI54" s="27" t="n">
        <f aca="false">IF(COUNT('Milho 1ª safra'!$E52:$Z52)=0,0,MAX(0,IF((AI$6-$E$3)&lt;1,0,IFERROR(LOOKUP(2,1/('Milho 1ª safra'!$E52:INDEX('Milho 1ª safra'!$E52:$Z52,MIN(AI$6-$E$3,22))&lt;&gt;""),'Milho 1ª safra'!$E52:INDEX('Milho 1ª safra'!$E52:$Z52,MIN(AI$6-$E$3,22))),0))-IF($G$2,0,IF((AI$6-$G$3)&lt;1,0,IFERROR(LOOKUP(2,1/('Milho 1ª safra'!$E52:INDEX('Milho 1ª safra'!$E52:$Z52,MIN(AI$6-$G$3,22))&lt;&gt;""),'Milho 1ª safra'!$E52:INDEX('Milho 1ª safra'!$E52:$Z52,MIN(AI$6-$G$3,22))),0)))))</f>
        <v>0</v>
      </c>
      <c r="AJ54" s="27" t="n">
        <f aca="false">IF(COUNT('Milho 1ª safra'!$E52:$Z52)=0,0,MAX(0,IF((AJ$6-$E$3)&lt;1,0,IFERROR(LOOKUP(2,1/('Milho 1ª safra'!$E52:INDEX('Milho 1ª safra'!$E52:$Z52,MIN(AJ$6-$E$3,22))&lt;&gt;""),'Milho 1ª safra'!$E52:INDEX('Milho 1ª safra'!$E52:$Z52,MIN(AJ$6-$E$3,22))),0))-IF($G$2,0,IF((AJ$6-$G$3)&lt;1,0,IFERROR(LOOKUP(2,1/('Milho 1ª safra'!$E52:INDEX('Milho 1ª safra'!$E52:$Z52,MIN(AJ$6-$G$3,22))&lt;&gt;""),'Milho 1ª safra'!$E52:INDEX('Milho 1ª safra'!$E52:$Z52,MIN(AJ$6-$G$3,22))),0)))))</f>
        <v>0</v>
      </c>
      <c r="AK54" s="27" t="n">
        <f aca="false">IF(COUNT('Milho 1ª safra'!$E52:$Z52)=0,0,MAX(0,IF((AK$6-$E$3)&lt;1,0,IFERROR(LOOKUP(2,1/('Milho 1ª safra'!$E52:INDEX('Milho 1ª safra'!$E52:$Z52,MIN(AK$6-$E$3,22))&lt;&gt;""),'Milho 1ª safra'!$E52:INDEX('Milho 1ª safra'!$E52:$Z52,MIN(AK$6-$E$3,22))),0))-IF($G$2,0,IF((AK$6-$G$3)&lt;1,0,IFERROR(LOOKUP(2,1/('Milho 1ª safra'!$E52:INDEX('Milho 1ª safra'!$E52:$Z52,MIN(AK$6-$G$3,22))&lt;&gt;""),'Milho 1ª safra'!$E52:INDEX('Milho 1ª safra'!$E52:$Z52,MIN(AK$6-$G$3,22))),0)))))</f>
        <v>0</v>
      </c>
      <c r="AL54" s="27" t="n">
        <f aca="false">IF(COUNT('Milho 1ª safra'!$E52:$Z52)=0,0,MAX(0,IF((AL$6-$E$3)&lt;1,0,IFERROR(LOOKUP(2,1/('Milho 1ª safra'!$E52:INDEX('Milho 1ª safra'!$E52:$Z52,MIN(AL$6-$E$3,22))&lt;&gt;""),'Milho 1ª safra'!$E52:INDEX('Milho 1ª safra'!$E52:$Z52,MIN(AL$6-$E$3,22))),0))-IF($G$2,0,IF((AL$6-$G$3)&lt;1,0,IFERROR(LOOKUP(2,1/('Milho 1ª safra'!$E52:INDEX('Milho 1ª safra'!$E52:$Z52,MIN(AL$6-$G$3,22))&lt;&gt;""),'Milho 1ª safra'!$E52:INDEX('Milho 1ª safra'!$E52:$Z52,MIN(AL$6-$G$3,22))),0)))))</f>
        <v>0</v>
      </c>
      <c r="AM54" s="27" t="n">
        <f aca="false">IF(COUNT('Milho 1ª safra'!$E52:$Z52)=0,0,MAX(0,IF((AM$6-$E$3)&lt;1,0,IFERROR(LOOKUP(2,1/('Milho 1ª safra'!$E52:INDEX('Milho 1ª safra'!$E52:$Z52,MIN(AM$6-$E$3,22))&lt;&gt;""),'Milho 1ª safra'!$E52:INDEX('Milho 1ª safra'!$E52:$Z52,MIN(AM$6-$E$3,22))),0))-IF($G$2,0,IF((AM$6-$G$3)&lt;1,0,IFERROR(LOOKUP(2,1/('Milho 1ª safra'!$E52:INDEX('Milho 1ª safra'!$E52:$Z52,MIN(AM$6-$G$3,22))&lt;&gt;""),'Milho 1ª safra'!$E52:INDEX('Milho 1ª safra'!$E52:$Z52,MIN(AM$6-$G$3,22))),0)))))</f>
        <v>0</v>
      </c>
      <c r="AN54" s="27" t="n">
        <f aca="false">IF(COUNT('Milho 1ª safra'!$E52:$Z52)=0,0,MAX(0,IF((AN$6-$E$3)&lt;1,0,IFERROR(LOOKUP(2,1/('Milho 1ª safra'!$E52:INDEX('Milho 1ª safra'!$E52:$Z52,MIN(AN$6-$E$3,22))&lt;&gt;""),'Milho 1ª safra'!$E52:INDEX('Milho 1ª safra'!$E52:$Z52,MIN(AN$6-$E$3,22))),0))-IF($G$2,0,IF((AN$6-$G$3)&lt;1,0,IFERROR(LOOKUP(2,1/('Milho 1ª safra'!$E52:INDEX('Milho 1ª safra'!$E52:$Z52,MIN(AN$6-$G$3,22))&lt;&gt;""),'Milho 1ª safra'!$E52:INDEX('Milho 1ª safra'!$E52:$Z52,MIN(AN$6-$G$3,22))),0)))))</f>
        <v>0</v>
      </c>
      <c r="AO54" s="27" t="n">
        <f aca="false">IF(COUNT('Milho 1ª safra'!$E52:$Z52)=0,0,MAX(0,IF((AO$6-$E$3)&lt;1,0,IFERROR(LOOKUP(2,1/('Milho 1ª safra'!$E52:INDEX('Milho 1ª safra'!$E52:$Z52,MIN(AO$6-$E$3,22))&lt;&gt;""),'Milho 1ª safra'!$E52:INDEX('Milho 1ª safra'!$E52:$Z52,MIN(AO$6-$E$3,22))),0))-IF($G$2,0,IF((AO$6-$G$3)&lt;1,0,IFERROR(LOOKUP(2,1/('Milho 1ª safra'!$E52:INDEX('Milho 1ª safra'!$E52:$Z52,MIN(AO$6-$G$3,22))&lt;&gt;""),'Milho 1ª safra'!$E52:INDEX('Milho 1ª safra'!$E52:$Z52,MIN(AO$6-$G$3,22))),0)))))</f>
        <v>0</v>
      </c>
      <c r="AP54" s="27" t="n">
        <f aca="false">IF(COUNT('Milho 1ª safra'!$E52:$Z52)=0,0,MAX(0,IF((AP$6-$E$3)&lt;1,0,IFERROR(LOOKUP(2,1/('Milho 1ª safra'!$E52:INDEX('Milho 1ª safra'!$E52:$Z52,MIN(AP$6-$E$3,22))&lt;&gt;""),'Milho 1ª safra'!$E52:INDEX('Milho 1ª safra'!$E52:$Z52,MIN(AP$6-$E$3,22))),0))-IF($G$2,0,IF((AP$6-$G$3)&lt;1,0,IFERROR(LOOKUP(2,1/('Milho 1ª safra'!$E52:INDEX('Milho 1ª safra'!$E52:$Z52,MIN(AP$6-$G$3,22))&lt;&gt;""),'Milho 1ª safra'!$E52:INDEX('Milho 1ª safra'!$E52:$Z52,MIN(AP$6-$G$3,22))),0)))))</f>
        <v>0</v>
      </c>
      <c r="AQ54" s="27" t="n">
        <f aca="false">IF(COUNT('Milho 1ª safra'!$E52:$Z52)=0,0,MAX(0,IF((AQ$6-$E$3)&lt;1,0,IFERROR(LOOKUP(2,1/('Milho 1ª safra'!$E52:INDEX('Milho 1ª safra'!$E52:$Z52,MIN(AQ$6-$E$3,22))&lt;&gt;""),'Milho 1ª safra'!$E52:INDEX('Milho 1ª safra'!$E52:$Z52,MIN(AQ$6-$E$3,22))),0))-IF($G$2,0,IF((AQ$6-$G$3)&lt;1,0,IFERROR(LOOKUP(2,1/('Milho 1ª safra'!$E52:INDEX('Milho 1ª safra'!$E52:$Z52,MIN(AQ$6-$G$3,22))&lt;&gt;""),'Milho 1ª safra'!$E52:INDEX('Milho 1ª safra'!$E52:$Z52,MIN(AQ$6-$G$3,22))),0)))))</f>
        <v>0</v>
      </c>
      <c r="AR54" s="27" t="n">
        <f aca="false">IF(COUNT('Milho 1ª safra'!$E52:$Z52)=0,0,MAX(0,IF((AR$6-$E$3)&lt;1,0,IFERROR(LOOKUP(2,1/('Milho 1ª safra'!$E52:INDEX('Milho 1ª safra'!$E52:$Z52,MIN(AR$6-$E$3,22))&lt;&gt;""),'Milho 1ª safra'!$E52:INDEX('Milho 1ª safra'!$E52:$Z52,MIN(AR$6-$E$3,22))),0))-IF($G$2,0,IF((AR$6-$G$3)&lt;1,0,IFERROR(LOOKUP(2,1/('Milho 1ª safra'!$E52:INDEX('Milho 1ª safra'!$E52:$Z52,MIN(AR$6-$G$3,22))&lt;&gt;""),'Milho 1ª safra'!$E52:INDEX('Milho 1ª safra'!$E52:$Z52,MIN(AR$6-$G$3,22))),0)))))</f>
        <v>0</v>
      </c>
      <c r="AS54" s="27" t="n">
        <f aca="false">IF(COUNT('Milho 1ª safra'!$E52:$Z52)=0,0,MAX(0,IF((AS$6-$E$3)&lt;1,0,IFERROR(LOOKUP(2,1/('Milho 1ª safra'!$E52:INDEX('Milho 1ª safra'!$E52:$Z52,MIN(AS$6-$E$3,22))&lt;&gt;""),'Milho 1ª safra'!$E52:INDEX('Milho 1ª safra'!$E52:$Z52,MIN(AS$6-$E$3,22))),0))-IF($G$2,0,IF((AS$6-$G$3)&lt;1,0,IFERROR(LOOKUP(2,1/('Milho 1ª safra'!$E52:INDEX('Milho 1ª safra'!$E52:$Z52,MIN(AS$6-$G$3,22))&lt;&gt;""),'Milho 1ª safra'!$E52:INDEX('Milho 1ª safra'!$E52:$Z52,MIN(AS$6-$G$3,22))),0)))))</f>
        <v>0</v>
      </c>
      <c r="AT54" s="27" t="n">
        <f aca="false">IF(COUNT('Milho 1ª safra'!$E52:$Z52)=0,0,MAX(0,IF((AT$6-$E$3)&lt;1,0,IFERROR(LOOKUP(2,1/('Milho 1ª safra'!$E52:INDEX('Milho 1ª safra'!$E52:$Z52,MIN(AT$6-$E$3,22))&lt;&gt;""),'Milho 1ª safra'!$E52:INDEX('Milho 1ª safra'!$E52:$Z52,MIN(AT$6-$E$3,22))),0))-IF($G$2,0,IF((AT$6-$G$3)&lt;1,0,IFERROR(LOOKUP(2,1/('Milho 1ª safra'!$E52:INDEX('Milho 1ª safra'!$E52:$Z52,MIN(AT$6-$G$3,22))&lt;&gt;""),'Milho 1ª safra'!$E52:INDEX('Milho 1ª safra'!$E52:$Z52,MIN(AT$6-$G$3,22))),0)))))</f>
        <v>0</v>
      </c>
      <c r="AU54" s="27" t="n">
        <f aca="false">IF(COUNT('Milho 1ª safra'!$E52:$Z52)=0,0,MAX(0,IF((AU$6-$E$3)&lt;1,0,IFERROR(LOOKUP(2,1/('Milho 1ª safra'!$E52:INDEX('Milho 1ª safra'!$E52:$Z52,MIN(AU$6-$E$3,22))&lt;&gt;""),'Milho 1ª safra'!$E52:INDEX('Milho 1ª safra'!$E52:$Z52,MIN(AU$6-$E$3,22))),0))-IF($G$2,0,IF((AU$6-$G$3)&lt;1,0,IFERROR(LOOKUP(2,1/('Milho 1ª safra'!$E52:INDEX('Milho 1ª safra'!$E52:$Z52,MIN(AU$6-$G$3,22))&lt;&gt;""),'Milho 1ª safra'!$E52:INDEX('Milho 1ª safra'!$E52:$Z52,MIN(AU$6-$G$3,22))),0)))))</f>
        <v>0</v>
      </c>
      <c r="AV54" s="27" t="n">
        <f aca="false">IF(COUNT('Milho 1ª safra'!$E52:$Z52)=0,0,MAX(0,IF((AV$6-$E$3)&lt;1,0,IFERROR(LOOKUP(2,1/('Milho 1ª safra'!$E52:INDEX('Milho 1ª safra'!$E52:$Z52,MIN(AV$6-$E$3,22))&lt;&gt;""),'Milho 1ª safra'!$E52:INDEX('Milho 1ª safra'!$E52:$Z52,MIN(AV$6-$E$3,22))),0))-IF($G$2,0,IF((AV$6-$G$3)&lt;1,0,IFERROR(LOOKUP(2,1/('Milho 1ª safra'!$E52:INDEX('Milho 1ª safra'!$E52:$Z52,MIN(AV$6-$G$3,22))&lt;&gt;""),'Milho 1ª safra'!$E52:INDEX('Milho 1ª safra'!$E52:$Z52,MIN(AV$6-$G$3,22))),0)))))</f>
        <v>0</v>
      </c>
      <c r="AW54" s="27" t="n">
        <f aca="false">IF(COUNT('Milho 1ª safra'!$E52:$Z52)=0,0,MAX(0,IF((AW$6-$E$3)&lt;1,0,IFERROR(LOOKUP(2,1/('Milho 1ª safra'!$E52:INDEX('Milho 1ª safra'!$E52:$Z52,MIN(AW$6-$E$3,22))&lt;&gt;""),'Milho 1ª safra'!$E52:INDEX('Milho 1ª safra'!$E52:$Z52,MIN(AW$6-$E$3,22))),0))-IF($G$2,0,IF((AW$6-$G$3)&lt;1,0,IFERROR(LOOKUP(2,1/('Milho 1ª safra'!$E52:INDEX('Milho 1ª safra'!$E52:$Z52,MIN(AW$6-$G$3,22))&lt;&gt;""),'Milho 1ª safra'!$E52:INDEX('Milho 1ª safra'!$E52:$Z52,MIN(AW$6-$G$3,22))),0)))))</f>
        <v>0</v>
      </c>
      <c r="AX54" s="27" t="n">
        <f aca="false">IF(COUNT('Milho 1ª safra'!$E52:$Z52)=0,0,MAX(0,IF((AX$6-$E$3)&lt;1,0,IFERROR(LOOKUP(2,1/('Milho 1ª safra'!$E52:INDEX('Milho 1ª safra'!$E52:$Z52,MIN(AX$6-$E$3,22))&lt;&gt;""),'Milho 1ª safra'!$E52:INDEX('Milho 1ª safra'!$E52:$Z52,MIN(AX$6-$E$3,22))),0))-IF($G$2,0,IF((AX$6-$G$3)&lt;1,0,IFERROR(LOOKUP(2,1/('Milho 1ª safra'!$E52:INDEX('Milho 1ª safra'!$E52:$Z52,MIN(AX$6-$G$3,22))&lt;&gt;""),'Milho 1ª safra'!$E52:INDEX('Milho 1ª safra'!$E52:$Z52,MIN(AX$6-$G$3,22))),0)))))</f>
        <v>0</v>
      </c>
      <c r="AY54" s="27" t="n">
        <f aca="false">IF(COUNT('Milho 1ª safra'!$E52:$Z52)=0,0,MAX(0,IF((AY$6-$E$3)&lt;1,0,IFERROR(LOOKUP(2,1/('Milho 1ª safra'!$E52:INDEX('Milho 1ª safra'!$E52:$Z52,MIN(AY$6-$E$3,22))&lt;&gt;""),'Milho 1ª safra'!$E52:INDEX('Milho 1ª safra'!$E52:$Z52,MIN(AY$6-$E$3,22))),0))-IF($G$2,0,IF((AY$6-$G$3)&lt;1,0,IFERROR(LOOKUP(2,1/('Milho 1ª safra'!$E52:INDEX('Milho 1ª safra'!$E52:$Z52,MIN(AY$6-$G$3,22))&lt;&gt;""),'Milho 1ª safra'!$E52:INDEX('Milho 1ª safra'!$E52:$Z52,MIN(AY$6-$G$3,22))),0)))))</f>
        <v>0</v>
      </c>
      <c r="AZ54" s="27" t="n">
        <f aca="false">IF(COUNT('Milho 1ª safra'!$E52:$Z52)=0,0,MAX(0,IF((AZ$6-$E$3)&lt;1,0,IFERROR(LOOKUP(2,1/('Milho 1ª safra'!$E52:INDEX('Milho 1ª safra'!$E52:$Z52,MIN(AZ$6-$E$3,22))&lt;&gt;""),'Milho 1ª safra'!$E52:INDEX('Milho 1ª safra'!$E52:$Z52,MIN(AZ$6-$E$3,22))),0))-IF($G$2,0,IF((AZ$6-$G$3)&lt;1,0,IFERROR(LOOKUP(2,1/('Milho 1ª safra'!$E52:INDEX('Milho 1ª safra'!$E52:$Z52,MIN(AZ$6-$G$3,22))&lt;&gt;""),'Milho 1ª safra'!$E52:INDEX('Milho 1ª safra'!$E52:$Z52,MIN(AZ$6-$G$3,22))),0)))))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IF(COUNT('Milho 1ª safra'!$E53:$Z53)&gt;0,N('Milho 1ª safra'!$D53),0)</f>
        <v>0</v>
      </c>
      <c r="E55" s="27" t="n">
        <f aca="false">IF(COUNT('Milho 1ª safra'!$E53:$Z53)=0,0,MAX(0,IF((E$6-$E$3)&lt;1,0,IFERROR(LOOKUP(2,1/('Milho 1ª safra'!$E53:INDEX('Milho 1ª safra'!$E53:$Z53,MIN(E$6-$E$3,22))&lt;&gt;""),'Milho 1ª safra'!$E53:INDEX('Milho 1ª safra'!$E53:$Z53,MIN(E$6-$E$3,22))),0))-IF($G$2,0,IF((E$6-$G$3)&lt;1,0,IFERROR(LOOKUP(2,1/('Milho 1ª safra'!$E53:INDEX('Milho 1ª safra'!$E53:$Z53,MIN(E$6-$G$3,22))&lt;&gt;""),'Milho 1ª safra'!$E53:INDEX('Milho 1ª safra'!$E53:$Z53,MIN(E$6-$G$3,22))),0)))))</f>
        <v>0</v>
      </c>
      <c r="F55" s="27" t="n">
        <f aca="false">IF(COUNT('Milho 1ª safra'!$E53:$Z53)=0,0,MAX(0,IF((F$6-$E$3)&lt;1,0,IFERROR(LOOKUP(2,1/('Milho 1ª safra'!$E53:INDEX('Milho 1ª safra'!$E53:$Z53,MIN(F$6-$E$3,22))&lt;&gt;""),'Milho 1ª safra'!$E53:INDEX('Milho 1ª safra'!$E53:$Z53,MIN(F$6-$E$3,22))),0))-IF($G$2,0,IF((F$6-$G$3)&lt;1,0,IFERROR(LOOKUP(2,1/('Milho 1ª safra'!$E53:INDEX('Milho 1ª safra'!$E53:$Z53,MIN(F$6-$G$3,22))&lt;&gt;""),'Milho 1ª safra'!$E53:INDEX('Milho 1ª safra'!$E53:$Z53,MIN(F$6-$G$3,22))),0)))))</f>
        <v>0</v>
      </c>
      <c r="G55" s="27" t="n">
        <f aca="false">IF(COUNT('Milho 1ª safra'!$E53:$Z53)=0,0,MAX(0,IF((G$6-$E$3)&lt;1,0,IFERROR(LOOKUP(2,1/('Milho 1ª safra'!$E53:INDEX('Milho 1ª safra'!$E53:$Z53,MIN(G$6-$E$3,22))&lt;&gt;""),'Milho 1ª safra'!$E53:INDEX('Milho 1ª safra'!$E53:$Z53,MIN(G$6-$E$3,22))),0))-IF($G$2,0,IF((G$6-$G$3)&lt;1,0,IFERROR(LOOKUP(2,1/('Milho 1ª safra'!$E53:INDEX('Milho 1ª safra'!$E53:$Z53,MIN(G$6-$G$3,22))&lt;&gt;""),'Milho 1ª safra'!$E53:INDEX('Milho 1ª safra'!$E53:$Z53,MIN(G$6-$G$3,22))),0)))))</f>
        <v>0</v>
      </c>
      <c r="H55" s="27" t="n">
        <f aca="false">IF(COUNT('Milho 1ª safra'!$E53:$Z53)=0,0,MAX(0,IF((H$6-$E$3)&lt;1,0,IFERROR(LOOKUP(2,1/('Milho 1ª safra'!$E53:INDEX('Milho 1ª safra'!$E53:$Z53,MIN(H$6-$E$3,22))&lt;&gt;""),'Milho 1ª safra'!$E53:INDEX('Milho 1ª safra'!$E53:$Z53,MIN(H$6-$E$3,22))),0))-IF($G$2,0,IF((H$6-$G$3)&lt;1,0,IFERROR(LOOKUP(2,1/('Milho 1ª safra'!$E53:INDEX('Milho 1ª safra'!$E53:$Z53,MIN(H$6-$G$3,22))&lt;&gt;""),'Milho 1ª safra'!$E53:INDEX('Milho 1ª safra'!$E53:$Z53,MIN(H$6-$G$3,22))),0)))))</f>
        <v>0</v>
      </c>
      <c r="I55" s="27" t="n">
        <f aca="false">IF(COUNT('Milho 1ª safra'!$E53:$Z53)=0,0,MAX(0,IF((I$6-$E$3)&lt;1,0,IFERROR(LOOKUP(2,1/('Milho 1ª safra'!$E53:INDEX('Milho 1ª safra'!$E53:$Z53,MIN(I$6-$E$3,22))&lt;&gt;""),'Milho 1ª safra'!$E53:INDEX('Milho 1ª safra'!$E53:$Z53,MIN(I$6-$E$3,22))),0))-IF($G$2,0,IF((I$6-$G$3)&lt;1,0,IFERROR(LOOKUP(2,1/('Milho 1ª safra'!$E53:INDEX('Milho 1ª safra'!$E53:$Z53,MIN(I$6-$G$3,22))&lt;&gt;""),'Milho 1ª safra'!$E53:INDEX('Milho 1ª safra'!$E53:$Z53,MIN(I$6-$G$3,22))),0)))))</f>
        <v>0</v>
      </c>
      <c r="J55" s="27" t="n">
        <f aca="false">IF(COUNT('Milho 1ª safra'!$E53:$Z53)=0,0,MAX(0,IF((J$6-$E$3)&lt;1,0,IFERROR(LOOKUP(2,1/('Milho 1ª safra'!$E53:INDEX('Milho 1ª safra'!$E53:$Z53,MIN(J$6-$E$3,22))&lt;&gt;""),'Milho 1ª safra'!$E53:INDEX('Milho 1ª safra'!$E53:$Z53,MIN(J$6-$E$3,22))),0))-IF($G$2,0,IF((J$6-$G$3)&lt;1,0,IFERROR(LOOKUP(2,1/('Milho 1ª safra'!$E53:INDEX('Milho 1ª safra'!$E53:$Z53,MIN(J$6-$G$3,22))&lt;&gt;""),'Milho 1ª safra'!$E53:INDEX('Milho 1ª safra'!$E53:$Z53,MIN(J$6-$G$3,22))),0)))))</f>
        <v>0</v>
      </c>
      <c r="K55" s="27" t="n">
        <f aca="false">IF(COUNT('Milho 1ª safra'!$E53:$Z53)=0,0,MAX(0,IF((K$6-$E$3)&lt;1,0,IFERROR(LOOKUP(2,1/('Milho 1ª safra'!$E53:INDEX('Milho 1ª safra'!$E53:$Z53,MIN(K$6-$E$3,22))&lt;&gt;""),'Milho 1ª safra'!$E53:INDEX('Milho 1ª safra'!$E53:$Z53,MIN(K$6-$E$3,22))),0))-IF($G$2,0,IF((K$6-$G$3)&lt;1,0,IFERROR(LOOKUP(2,1/('Milho 1ª safra'!$E53:INDEX('Milho 1ª safra'!$E53:$Z53,MIN(K$6-$G$3,22))&lt;&gt;""),'Milho 1ª safra'!$E53:INDEX('Milho 1ª safra'!$E53:$Z53,MIN(K$6-$G$3,22))),0)))))</f>
        <v>0</v>
      </c>
      <c r="L55" s="27" t="n">
        <f aca="false">IF(COUNT('Milho 1ª safra'!$E53:$Z53)=0,0,MAX(0,IF((L$6-$E$3)&lt;1,0,IFERROR(LOOKUP(2,1/('Milho 1ª safra'!$E53:INDEX('Milho 1ª safra'!$E53:$Z53,MIN(L$6-$E$3,22))&lt;&gt;""),'Milho 1ª safra'!$E53:INDEX('Milho 1ª safra'!$E53:$Z53,MIN(L$6-$E$3,22))),0))-IF($G$2,0,IF((L$6-$G$3)&lt;1,0,IFERROR(LOOKUP(2,1/('Milho 1ª safra'!$E53:INDEX('Milho 1ª safra'!$E53:$Z53,MIN(L$6-$G$3,22))&lt;&gt;""),'Milho 1ª safra'!$E53:INDEX('Milho 1ª safra'!$E53:$Z53,MIN(L$6-$G$3,22))),0)))))</f>
        <v>0</v>
      </c>
      <c r="M55" s="27" t="n">
        <f aca="false">IF(COUNT('Milho 1ª safra'!$E53:$Z53)=0,0,MAX(0,IF((M$6-$E$3)&lt;1,0,IFERROR(LOOKUP(2,1/('Milho 1ª safra'!$E53:INDEX('Milho 1ª safra'!$E53:$Z53,MIN(M$6-$E$3,22))&lt;&gt;""),'Milho 1ª safra'!$E53:INDEX('Milho 1ª safra'!$E53:$Z53,MIN(M$6-$E$3,22))),0))-IF($G$2,0,IF((M$6-$G$3)&lt;1,0,IFERROR(LOOKUP(2,1/('Milho 1ª safra'!$E53:INDEX('Milho 1ª safra'!$E53:$Z53,MIN(M$6-$G$3,22))&lt;&gt;""),'Milho 1ª safra'!$E53:INDEX('Milho 1ª safra'!$E53:$Z53,MIN(M$6-$G$3,22))),0)))))</f>
        <v>0</v>
      </c>
      <c r="N55" s="27" t="n">
        <f aca="false">IF(COUNT('Milho 1ª safra'!$E53:$Z53)=0,0,MAX(0,IF((N$6-$E$3)&lt;1,0,IFERROR(LOOKUP(2,1/('Milho 1ª safra'!$E53:INDEX('Milho 1ª safra'!$E53:$Z53,MIN(N$6-$E$3,22))&lt;&gt;""),'Milho 1ª safra'!$E53:INDEX('Milho 1ª safra'!$E53:$Z53,MIN(N$6-$E$3,22))),0))-IF($G$2,0,IF((N$6-$G$3)&lt;1,0,IFERROR(LOOKUP(2,1/('Milho 1ª safra'!$E53:INDEX('Milho 1ª safra'!$E53:$Z53,MIN(N$6-$G$3,22))&lt;&gt;""),'Milho 1ª safra'!$E53:INDEX('Milho 1ª safra'!$E53:$Z53,MIN(N$6-$G$3,22))),0)))))</f>
        <v>0</v>
      </c>
      <c r="O55" s="27" t="n">
        <f aca="false">IF(COUNT('Milho 1ª safra'!$E53:$Z53)=0,0,MAX(0,IF((O$6-$E$3)&lt;1,0,IFERROR(LOOKUP(2,1/('Milho 1ª safra'!$E53:INDEX('Milho 1ª safra'!$E53:$Z53,MIN(O$6-$E$3,22))&lt;&gt;""),'Milho 1ª safra'!$E53:INDEX('Milho 1ª safra'!$E53:$Z53,MIN(O$6-$E$3,22))),0))-IF($G$2,0,IF((O$6-$G$3)&lt;1,0,IFERROR(LOOKUP(2,1/('Milho 1ª safra'!$E53:INDEX('Milho 1ª safra'!$E53:$Z53,MIN(O$6-$G$3,22))&lt;&gt;""),'Milho 1ª safra'!$E53:INDEX('Milho 1ª safra'!$E53:$Z53,MIN(O$6-$G$3,22))),0)))))</f>
        <v>0</v>
      </c>
      <c r="P55" s="27" t="n">
        <f aca="false">IF(COUNT('Milho 1ª safra'!$E53:$Z53)=0,0,MAX(0,IF((P$6-$E$3)&lt;1,0,IFERROR(LOOKUP(2,1/('Milho 1ª safra'!$E53:INDEX('Milho 1ª safra'!$E53:$Z53,MIN(P$6-$E$3,22))&lt;&gt;""),'Milho 1ª safra'!$E53:INDEX('Milho 1ª safra'!$E53:$Z53,MIN(P$6-$E$3,22))),0))-IF($G$2,0,IF((P$6-$G$3)&lt;1,0,IFERROR(LOOKUP(2,1/('Milho 1ª safra'!$E53:INDEX('Milho 1ª safra'!$E53:$Z53,MIN(P$6-$G$3,22))&lt;&gt;""),'Milho 1ª safra'!$E53:INDEX('Milho 1ª safra'!$E53:$Z53,MIN(P$6-$G$3,22))),0)))))</f>
        <v>0</v>
      </c>
      <c r="Q55" s="27" t="n">
        <f aca="false">IF(COUNT('Milho 1ª safra'!$E53:$Z53)=0,0,MAX(0,IF((Q$6-$E$3)&lt;1,0,IFERROR(LOOKUP(2,1/('Milho 1ª safra'!$E53:INDEX('Milho 1ª safra'!$E53:$Z53,MIN(Q$6-$E$3,22))&lt;&gt;""),'Milho 1ª safra'!$E53:INDEX('Milho 1ª safra'!$E53:$Z53,MIN(Q$6-$E$3,22))),0))-IF($G$2,0,IF((Q$6-$G$3)&lt;1,0,IFERROR(LOOKUP(2,1/('Milho 1ª safra'!$E53:INDEX('Milho 1ª safra'!$E53:$Z53,MIN(Q$6-$G$3,22))&lt;&gt;""),'Milho 1ª safra'!$E53:INDEX('Milho 1ª safra'!$E53:$Z53,MIN(Q$6-$G$3,22))),0)))))</f>
        <v>0</v>
      </c>
      <c r="R55" s="27" t="n">
        <f aca="false">IF(COUNT('Milho 1ª safra'!$E53:$Z53)=0,0,MAX(0,IF((R$6-$E$3)&lt;1,0,IFERROR(LOOKUP(2,1/('Milho 1ª safra'!$E53:INDEX('Milho 1ª safra'!$E53:$Z53,MIN(R$6-$E$3,22))&lt;&gt;""),'Milho 1ª safra'!$E53:INDEX('Milho 1ª safra'!$E53:$Z53,MIN(R$6-$E$3,22))),0))-IF($G$2,0,IF((R$6-$G$3)&lt;1,0,IFERROR(LOOKUP(2,1/('Milho 1ª safra'!$E53:INDEX('Milho 1ª safra'!$E53:$Z53,MIN(R$6-$G$3,22))&lt;&gt;""),'Milho 1ª safra'!$E53:INDEX('Milho 1ª safra'!$E53:$Z53,MIN(R$6-$G$3,22))),0)))))</f>
        <v>0</v>
      </c>
      <c r="S55" s="27" t="n">
        <f aca="false">IF(COUNT('Milho 1ª safra'!$E53:$Z53)=0,0,MAX(0,IF((S$6-$E$3)&lt;1,0,IFERROR(LOOKUP(2,1/('Milho 1ª safra'!$E53:INDEX('Milho 1ª safra'!$E53:$Z53,MIN(S$6-$E$3,22))&lt;&gt;""),'Milho 1ª safra'!$E53:INDEX('Milho 1ª safra'!$E53:$Z53,MIN(S$6-$E$3,22))),0))-IF($G$2,0,IF((S$6-$G$3)&lt;1,0,IFERROR(LOOKUP(2,1/('Milho 1ª safra'!$E53:INDEX('Milho 1ª safra'!$E53:$Z53,MIN(S$6-$G$3,22))&lt;&gt;""),'Milho 1ª safra'!$E53:INDEX('Milho 1ª safra'!$E53:$Z53,MIN(S$6-$G$3,22))),0)))))</f>
        <v>0</v>
      </c>
      <c r="T55" s="27" t="n">
        <f aca="false">IF(COUNT('Milho 1ª safra'!$E53:$Z53)=0,0,MAX(0,IF((T$6-$E$3)&lt;1,0,IFERROR(LOOKUP(2,1/('Milho 1ª safra'!$E53:INDEX('Milho 1ª safra'!$E53:$Z53,MIN(T$6-$E$3,22))&lt;&gt;""),'Milho 1ª safra'!$E53:INDEX('Milho 1ª safra'!$E53:$Z53,MIN(T$6-$E$3,22))),0))-IF($G$2,0,IF((T$6-$G$3)&lt;1,0,IFERROR(LOOKUP(2,1/('Milho 1ª safra'!$E53:INDEX('Milho 1ª safra'!$E53:$Z53,MIN(T$6-$G$3,22))&lt;&gt;""),'Milho 1ª safra'!$E53:INDEX('Milho 1ª safra'!$E53:$Z53,MIN(T$6-$G$3,22))),0)))))</f>
        <v>0</v>
      </c>
      <c r="U55" s="27" t="n">
        <f aca="false">IF(COUNT('Milho 1ª safra'!$E53:$Z53)=0,0,MAX(0,IF((U$6-$E$3)&lt;1,0,IFERROR(LOOKUP(2,1/('Milho 1ª safra'!$E53:INDEX('Milho 1ª safra'!$E53:$Z53,MIN(U$6-$E$3,22))&lt;&gt;""),'Milho 1ª safra'!$E53:INDEX('Milho 1ª safra'!$E53:$Z53,MIN(U$6-$E$3,22))),0))-IF($G$2,0,IF((U$6-$G$3)&lt;1,0,IFERROR(LOOKUP(2,1/('Milho 1ª safra'!$E53:INDEX('Milho 1ª safra'!$E53:$Z53,MIN(U$6-$G$3,22))&lt;&gt;""),'Milho 1ª safra'!$E53:INDEX('Milho 1ª safra'!$E53:$Z53,MIN(U$6-$G$3,22))),0)))))</f>
        <v>0</v>
      </c>
      <c r="V55" s="27" t="n">
        <f aca="false">IF(COUNT('Milho 1ª safra'!$E53:$Z53)=0,0,MAX(0,IF((V$6-$E$3)&lt;1,0,IFERROR(LOOKUP(2,1/('Milho 1ª safra'!$E53:INDEX('Milho 1ª safra'!$E53:$Z53,MIN(V$6-$E$3,22))&lt;&gt;""),'Milho 1ª safra'!$E53:INDEX('Milho 1ª safra'!$E53:$Z53,MIN(V$6-$E$3,22))),0))-IF($G$2,0,IF((V$6-$G$3)&lt;1,0,IFERROR(LOOKUP(2,1/('Milho 1ª safra'!$E53:INDEX('Milho 1ª safra'!$E53:$Z53,MIN(V$6-$G$3,22))&lt;&gt;""),'Milho 1ª safra'!$E53:INDEX('Milho 1ª safra'!$E53:$Z53,MIN(V$6-$G$3,22))),0)))))</f>
        <v>0</v>
      </c>
      <c r="W55" s="27" t="n">
        <f aca="false">IF(COUNT('Milho 1ª safra'!$E53:$Z53)=0,0,MAX(0,IF((W$6-$E$3)&lt;1,0,IFERROR(LOOKUP(2,1/('Milho 1ª safra'!$E53:INDEX('Milho 1ª safra'!$E53:$Z53,MIN(W$6-$E$3,22))&lt;&gt;""),'Milho 1ª safra'!$E53:INDEX('Milho 1ª safra'!$E53:$Z53,MIN(W$6-$E$3,22))),0))-IF($G$2,0,IF((W$6-$G$3)&lt;1,0,IFERROR(LOOKUP(2,1/('Milho 1ª safra'!$E53:INDEX('Milho 1ª safra'!$E53:$Z53,MIN(W$6-$G$3,22))&lt;&gt;""),'Milho 1ª safra'!$E53:INDEX('Milho 1ª safra'!$E53:$Z53,MIN(W$6-$G$3,22))),0)))))</f>
        <v>0</v>
      </c>
      <c r="X55" s="27" t="n">
        <f aca="false">IF(COUNT('Milho 1ª safra'!$E53:$Z53)=0,0,MAX(0,IF((X$6-$E$3)&lt;1,0,IFERROR(LOOKUP(2,1/('Milho 1ª safra'!$E53:INDEX('Milho 1ª safra'!$E53:$Z53,MIN(X$6-$E$3,22))&lt;&gt;""),'Milho 1ª safra'!$E53:INDEX('Milho 1ª safra'!$E53:$Z53,MIN(X$6-$E$3,22))),0))-IF($G$2,0,IF((X$6-$G$3)&lt;1,0,IFERROR(LOOKUP(2,1/('Milho 1ª safra'!$E53:INDEX('Milho 1ª safra'!$E53:$Z53,MIN(X$6-$G$3,22))&lt;&gt;""),'Milho 1ª safra'!$E53:INDEX('Milho 1ª safra'!$E53:$Z53,MIN(X$6-$G$3,22))),0)))))</f>
        <v>0</v>
      </c>
      <c r="Y55" s="27" t="n">
        <f aca="false">IF(COUNT('Milho 1ª safra'!$E53:$Z53)=0,0,MAX(0,IF((Y$6-$E$3)&lt;1,0,IFERROR(LOOKUP(2,1/('Milho 1ª safra'!$E53:INDEX('Milho 1ª safra'!$E53:$Z53,MIN(Y$6-$E$3,22))&lt;&gt;""),'Milho 1ª safra'!$E53:INDEX('Milho 1ª safra'!$E53:$Z53,MIN(Y$6-$E$3,22))),0))-IF($G$2,0,IF((Y$6-$G$3)&lt;1,0,IFERROR(LOOKUP(2,1/('Milho 1ª safra'!$E53:INDEX('Milho 1ª safra'!$E53:$Z53,MIN(Y$6-$G$3,22))&lt;&gt;""),'Milho 1ª safra'!$E53:INDEX('Milho 1ª safra'!$E53:$Z53,MIN(Y$6-$G$3,22))),0)))))</f>
        <v>0</v>
      </c>
      <c r="Z55" s="27" t="n">
        <f aca="false">IF(COUNT('Milho 1ª safra'!$E53:$Z53)=0,0,MAX(0,IF((Z$6-$E$3)&lt;1,0,IFERROR(LOOKUP(2,1/('Milho 1ª safra'!$E53:INDEX('Milho 1ª safra'!$E53:$Z53,MIN(Z$6-$E$3,22))&lt;&gt;""),'Milho 1ª safra'!$E53:INDEX('Milho 1ª safra'!$E53:$Z53,MIN(Z$6-$E$3,22))),0))-IF($G$2,0,IF((Z$6-$G$3)&lt;1,0,IFERROR(LOOKUP(2,1/('Milho 1ª safra'!$E53:INDEX('Milho 1ª safra'!$E53:$Z53,MIN(Z$6-$G$3,22))&lt;&gt;""),'Milho 1ª safra'!$E53:INDEX('Milho 1ª safra'!$E53:$Z53,MIN(Z$6-$G$3,22))),0)))))</f>
        <v>0</v>
      </c>
      <c r="AA55" s="27" t="n">
        <f aca="false">IF(COUNT('Milho 1ª safra'!$E53:$Z53)=0,0,MAX(0,IF((AA$6-$E$3)&lt;1,0,IFERROR(LOOKUP(2,1/('Milho 1ª safra'!$E53:INDEX('Milho 1ª safra'!$E53:$Z53,MIN(AA$6-$E$3,22))&lt;&gt;""),'Milho 1ª safra'!$E53:INDEX('Milho 1ª safra'!$E53:$Z53,MIN(AA$6-$E$3,22))),0))-IF($G$2,0,IF((AA$6-$G$3)&lt;1,0,IFERROR(LOOKUP(2,1/('Milho 1ª safra'!$E53:INDEX('Milho 1ª safra'!$E53:$Z53,MIN(AA$6-$G$3,22))&lt;&gt;""),'Milho 1ª safra'!$E53:INDEX('Milho 1ª safra'!$E53:$Z53,MIN(AA$6-$G$3,22))),0)))))</f>
        <v>0</v>
      </c>
      <c r="AB55" s="27" t="n">
        <f aca="false">IF(COUNT('Milho 1ª safra'!$E53:$Z53)=0,0,MAX(0,IF((AB$6-$E$3)&lt;1,0,IFERROR(LOOKUP(2,1/('Milho 1ª safra'!$E53:INDEX('Milho 1ª safra'!$E53:$Z53,MIN(AB$6-$E$3,22))&lt;&gt;""),'Milho 1ª safra'!$E53:INDEX('Milho 1ª safra'!$E53:$Z53,MIN(AB$6-$E$3,22))),0))-IF($G$2,0,IF((AB$6-$G$3)&lt;1,0,IFERROR(LOOKUP(2,1/('Milho 1ª safra'!$E53:INDEX('Milho 1ª safra'!$E53:$Z53,MIN(AB$6-$G$3,22))&lt;&gt;""),'Milho 1ª safra'!$E53:INDEX('Milho 1ª safra'!$E53:$Z53,MIN(AB$6-$G$3,22))),0)))))</f>
        <v>0</v>
      </c>
      <c r="AC55" s="27" t="n">
        <f aca="false">IF(COUNT('Milho 1ª safra'!$E53:$Z53)=0,0,MAX(0,IF((AC$6-$E$3)&lt;1,0,IFERROR(LOOKUP(2,1/('Milho 1ª safra'!$E53:INDEX('Milho 1ª safra'!$E53:$Z53,MIN(AC$6-$E$3,22))&lt;&gt;""),'Milho 1ª safra'!$E53:INDEX('Milho 1ª safra'!$E53:$Z53,MIN(AC$6-$E$3,22))),0))-IF($G$2,0,IF((AC$6-$G$3)&lt;1,0,IFERROR(LOOKUP(2,1/('Milho 1ª safra'!$E53:INDEX('Milho 1ª safra'!$E53:$Z53,MIN(AC$6-$G$3,22))&lt;&gt;""),'Milho 1ª safra'!$E53:INDEX('Milho 1ª safra'!$E53:$Z53,MIN(AC$6-$G$3,22))),0)))))</f>
        <v>0</v>
      </c>
      <c r="AD55" s="27" t="n">
        <f aca="false">IF(COUNT('Milho 1ª safra'!$E53:$Z53)=0,0,MAX(0,IF((AD$6-$E$3)&lt;1,0,IFERROR(LOOKUP(2,1/('Milho 1ª safra'!$E53:INDEX('Milho 1ª safra'!$E53:$Z53,MIN(AD$6-$E$3,22))&lt;&gt;""),'Milho 1ª safra'!$E53:INDEX('Milho 1ª safra'!$E53:$Z53,MIN(AD$6-$E$3,22))),0))-IF($G$2,0,IF((AD$6-$G$3)&lt;1,0,IFERROR(LOOKUP(2,1/('Milho 1ª safra'!$E53:INDEX('Milho 1ª safra'!$E53:$Z53,MIN(AD$6-$G$3,22))&lt;&gt;""),'Milho 1ª safra'!$E53:INDEX('Milho 1ª safra'!$E53:$Z53,MIN(AD$6-$G$3,22))),0)))))</f>
        <v>0</v>
      </c>
      <c r="AE55" s="27" t="n">
        <f aca="false">IF(COUNT('Milho 1ª safra'!$E53:$Z53)=0,0,MAX(0,IF((AE$6-$E$3)&lt;1,0,IFERROR(LOOKUP(2,1/('Milho 1ª safra'!$E53:INDEX('Milho 1ª safra'!$E53:$Z53,MIN(AE$6-$E$3,22))&lt;&gt;""),'Milho 1ª safra'!$E53:INDEX('Milho 1ª safra'!$E53:$Z53,MIN(AE$6-$E$3,22))),0))-IF($G$2,0,IF((AE$6-$G$3)&lt;1,0,IFERROR(LOOKUP(2,1/('Milho 1ª safra'!$E53:INDEX('Milho 1ª safra'!$E53:$Z53,MIN(AE$6-$G$3,22))&lt;&gt;""),'Milho 1ª safra'!$E53:INDEX('Milho 1ª safra'!$E53:$Z53,MIN(AE$6-$G$3,22))),0)))))</f>
        <v>0</v>
      </c>
      <c r="AF55" s="27" t="n">
        <f aca="false">IF(COUNT('Milho 1ª safra'!$E53:$Z53)=0,0,MAX(0,IF((AF$6-$E$3)&lt;1,0,IFERROR(LOOKUP(2,1/('Milho 1ª safra'!$E53:INDEX('Milho 1ª safra'!$E53:$Z53,MIN(AF$6-$E$3,22))&lt;&gt;""),'Milho 1ª safra'!$E53:INDEX('Milho 1ª safra'!$E53:$Z53,MIN(AF$6-$E$3,22))),0))-IF($G$2,0,IF((AF$6-$G$3)&lt;1,0,IFERROR(LOOKUP(2,1/('Milho 1ª safra'!$E53:INDEX('Milho 1ª safra'!$E53:$Z53,MIN(AF$6-$G$3,22))&lt;&gt;""),'Milho 1ª safra'!$E53:INDEX('Milho 1ª safra'!$E53:$Z53,MIN(AF$6-$G$3,22))),0)))))</f>
        <v>0</v>
      </c>
      <c r="AG55" s="27" t="n">
        <f aca="false">IF(COUNT('Milho 1ª safra'!$E53:$Z53)=0,0,MAX(0,IF((AG$6-$E$3)&lt;1,0,IFERROR(LOOKUP(2,1/('Milho 1ª safra'!$E53:INDEX('Milho 1ª safra'!$E53:$Z53,MIN(AG$6-$E$3,22))&lt;&gt;""),'Milho 1ª safra'!$E53:INDEX('Milho 1ª safra'!$E53:$Z53,MIN(AG$6-$E$3,22))),0))-IF($G$2,0,IF((AG$6-$G$3)&lt;1,0,IFERROR(LOOKUP(2,1/('Milho 1ª safra'!$E53:INDEX('Milho 1ª safra'!$E53:$Z53,MIN(AG$6-$G$3,22))&lt;&gt;""),'Milho 1ª safra'!$E53:INDEX('Milho 1ª safra'!$E53:$Z53,MIN(AG$6-$G$3,22))),0)))))</f>
        <v>0</v>
      </c>
      <c r="AH55" s="27" t="n">
        <f aca="false">IF(COUNT('Milho 1ª safra'!$E53:$Z53)=0,0,MAX(0,IF((AH$6-$E$3)&lt;1,0,IFERROR(LOOKUP(2,1/('Milho 1ª safra'!$E53:INDEX('Milho 1ª safra'!$E53:$Z53,MIN(AH$6-$E$3,22))&lt;&gt;""),'Milho 1ª safra'!$E53:INDEX('Milho 1ª safra'!$E53:$Z53,MIN(AH$6-$E$3,22))),0))-IF($G$2,0,IF((AH$6-$G$3)&lt;1,0,IFERROR(LOOKUP(2,1/('Milho 1ª safra'!$E53:INDEX('Milho 1ª safra'!$E53:$Z53,MIN(AH$6-$G$3,22))&lt;&gt;""),'Milho 1ª safra'!$E53:INDEX('Milho 1ª safra'!$E53:$Z53,MIN(AH$6-$G$3,22))),0)))))</f>
        <v>0</v>
      </c>
      <c r="AI55" s="27" t="n">
        <f aca="false">IF(COUNT('Milho 1ª safra'!$E53:$Z53)=0,0,MAX(0,IF((AI$6-$E$3)&lt;1,0,IFERROR(LOOKUP(2,1/('Milho 1ª safra'!$E53:INDEX('Milho 1ª safra'!$E53:$Z53,MIN(AI$6-$E$3,22))&lt;&gt;""),'Milho 1ª safra'!$E53:INDEX('Milho 1ª safra'!$E53:$Z53,MIN(AI$6-$E$3,22))),0))-IF($G$2,0,IF((AI$6-$G$3)&lt;1,0,IFERROR(LOOKUP(2,1/('Milho 1ª safra'!$E53:INDEX('Milho 1ª safra'!$E53:$Z53,MIN(AI$6-$G$3,22))&lt;&gt;""),'Milho 1ª safra'!$E53:INDEX('Milho 1ª safra'!$E53:$Z53,MIN(AI$6-$G$3,22))),0)))))</f>
        <v>0</v>
      </c>
      <c r="AJ55" s="27" t="n">
        <f aca="false">IF(COUNT('Milho 1ª safra'!$E53:$Z53)=0,0,MAX(0,IF((AJ$6-$E$3)&lt;1,0,IFERROR(LOOKUP(2,1/('Milho 1ª safra'!$E53:INDEX('Milho 1ª safra'!$E53:$Z53,MIN(AJ$6-$E$3,22))&lt;&gt;""),'Milho 1ª safra'!$E53:INDEX('Milho 1ª safra'!$E53:$Z53,MIN(AJ$6-$E$3,22))),0))-IF($G$2,0,IF((AJ$6-$G$3)&lt;1,0,IFERROR(LOOKUP(2,1/('Milho 1ª safra'!$E53:INDEX('Milho 1ª safra'!$E53:$Z53,MIN(AJ$6-$G$3,22))&lt;&gt;""),'Milho 1ª safra'!$E53:INDEX('Milho 1ª safra'!$E53:$Z53,MIN(AJ$6-$G$3,22))),0)))))</f>
        <v>0</v>
      </c>
      <c r="AK55" s="27" t="n">
        <f aca="false">IF(COUNT('Milho 1ª safra'!$E53:$Z53)=0,0,MAX(0,IF((AK$6-$E$3)&lt;1,0,IFERROR(LOOKUP(2,1/('Milho 1ª safra'!$E53:INDEX('Milho 1ª safra'!$E53:$Z53,MIN(AK$6-$E$3,22))&lt;&gt;""),'Milho 1ª safra'!$E53:INDEX('Milho 1ª safra'!$E53:$Z53,MIN(AK$6-$E$3,22))),0))-IF($G$2,0,IF((AK$6-$G$3)&lt;1,0,IFERROR(LOOKUP(2,1/('Milho 1ª safra'!$E53:INDEX('Milho 1ª safra'!$E53:$Z53,MIN(AK$6-$G$3,22))&lt;&gt;""),'Milho 1ª safra'!$E53:INDEX('Milho 1ª safra'!$E53:$Z53,MIN(AK$6-$G$3,22))),0)))))</f>
        <v>0</v>
      </c>
      <c r="AL55" s="27" t="n">
        <f aca="false">IF(COUNT('Milho 1ª safra'!$E53:$Z53)=0,0,MAX(0,IF((AL$6-$E$3)&lt;1,0,IFERROR(LOOKUP(2,1/('Milho 1ª safra'!$E53:INDEX('Milho 1ª safra'!$E53:$Z53,MIN(AL$6-$E$3,22))&lt;&gt;""),'Milho 1ª safra'!$E53:INDEX('Milho 1ª safra'!$E53:$Z53,MIN(AL$6-$E$3,22))),0))-IF($G$2,0,IF((AL$6-$G$3)&lt;1,0,IFERROR(LOOKUP(2,1/('Milho 1ª safra'!$E53:INDEX('Milho 1ª safra'!$E53:$Z53,MIN(AL$6-$G$3,22))&lt;&gt;""),'Milho 1ª safra'!$E53:INDEX('Milho 1ª safra'!$E53:$Z53,MIN(AL$6-$G$3,22))),0)))))</f>
        <v>0</v>
      </c>
      <c r="AM55" s="27" t="n">
        <f aca="false">IF(COUNT('Milho 1ª safra'!$E53:$Z53)=0,0,MAX(0,IF((AM$6-$E$3)&lt;1,0,IFERROR(LOOKUP(2,1/('Milho 1ª safra'!$E53:INDEX('Milho 1ª safra'!$E53:$Z53,MIN(AM$6-$E$3,22))&lt;&gt;""),'Milho 1ª safra'!$E53:INDEX('Milho 1ª safra'!$E53:$Z53,MIN(AM$6-$E$3,22))),0))-IF($G$2,0,IF((AM$6-$G$3)&lt;1,0,IFERROR(LOOKUP(2,1/('Milho 1ª safra'!$E53:INDEX('Milho 1ª safra'!$E53:$Z53,MIN(AM$6-$G$3,22))&lt;&gt;""),'Milho 1ª safra'!$E53:INDEX('Milho 1ª safra'!$E53:$Z53,MIN(AM$6-$G$3,22))),0)))))</f>
        <v>0</v>
      </c>
      <c r="AN55" s="27" t="n">
        <f aca="false">IF(COUNT('Milho 1ª safra'!$E53:$Z53)=0,0,MAX(0,IF((AN$6-$E$3)&lt;1,0,IFERROR(LOOKUP(2,1/('Milho 1ª safra'!$E53:INDEX('Milho 1ª safra'!$E53:$Z53,MIN(AN$6-$E$3,22))&lt;&gt;""),'Milho 1ª safra'!$E53:INDEX('Milho 1ª safra'!$E53:$Z53,MIN(AN$6-$E$3,22))),0))-IF($G$2,0,IF((AN$6-$G$3)&lt;1,0,IFERROR(LOOKUP(2,1/('Milho 1ª safra'!$E53:INDEX('Milho 1ª safra'!$E53:$Z53,MIN(AN$6-$G$3,22))&lt;&gt;""),'Milho 1ª safra'!$E53:INDEX('Milho 1ª safra'!$E53:$Z53,MIN(AN$6-$G$3,22))),0)))))</f>
        <v>0</v>
      </c>
      <c r="AO55" s="27" t="n">
        <f aca="false">IF(COUNT('Milho 1ª safra'!$E53:$Z53)=0,0,MAX(0,IF((AO$6-$E$3)&lt;1,0,IFERROR(LOOKUP(2,1/('Milho 1ª safra'!$E53:INDEX('Milho 1ª safra'!$E53:$Z53,MIN(AO$6-$E$3,22))&lt;&gt;""),'Milho 1ª safra'!$E53:INDEX('Milho 1ª safra'!$E53:$Z53,MIN(AO$6-$E$3,22))),0))-IF($G$2,0,IF((AO$6-$G$3)&lt;1,0,IFERROR(LOOKUP(2,1/('Milho 1ª safra'!$E53:INDEX('Milho 1ª safra'!$E53:$Z53,MIN(AO$6-$G$3,22))&lt;&gt;""),'Milho 1ª safra'!$E53:INDEX('Milho 1ª safra'!$E53:$Z53,MIN(AO$6-$G$3,22))),0)))))</f>
        <v>0</v>
      </c>
      <c r="AP55" s="27" t="n">
        <f aca="false">IF(COUNT('Milho 1ª safra'!$E53:$Z53)=0,0,MAX(0,IF((AP$6-$E$3)&lt;1,0,IFERROR(LOOKUP(2,1/('Milho 1ª safra'!$E53:INDEX('Milho 1ª safra'!$E53:$Z53,MIN(AP$6-$E$3,22))&lt;&gt;""),'Milho 1ª safra'!$E53:INDEX('Milho 1ª safra'!$E53:$Z53,MIN(AP$6-$E$3,22))),0))-IF($G$2,0,IF((AP$6-$G$3)&lt;1,0,IFERROR(LOOKUP(2,1/('Milho 1ª safra'!$E53:INDEX('Milho 1ª safra'!$E53:$Z53,MIN(AP$6-$G$3,22))&lt;&gt;""),'Milho 1ª safra'!$E53:INDEX('Milho 1ª safra'!$E53:$Z53,MIN(AP$6-$G$3,22))),0)))))</f>
        <v>0</v>
      </c>
      <c r="AQ55" s="27" t="n">
        <f aca="false">IF(COUNT('Milho 1ª safra'!$E53:$Z53)=0,0,MAX(0,IF((AQ$6-$E$3)&lt;1,0,IFERROR(LOOKUP(2,1/('Milho 1ª safra'!$E53:INDEX('Milho 1ª safra'!$E53:$Z53,MIN(AQ$6-$E$3,22))&lt;&gt;""),'Milho 1ª safra'!$E53:INDEX('Milho 1ª safra'!$E53:$Z53,MIN(AQ$6-$E$3,22))),0))-IF($G$2,0,IF((AQ$6-$G$3)&lt;1,0,IFERROR(LOOKUP(2,1/('Milho 1ª safra'!$E53:INDEX('Milho 1ª safra'!$E53:$Z53,MIN(AQ$6-$G$3,22))&lt;&gt;""),'Milho 1ª safra'!$E53:INDEX('Milho 1ª safra'!$E53:$Z53,MIN(AQ$6-$G$3,22))),0)))))</f>
        <v>0</v>
      </c>
      <c r="AR55" s="27" t="n">
        <f aca="false">IF(COUNT('Milho 1ª safra'!$E53:$Z53)=0,0,MAX(0,IF((AR$6-$E$3)&lt;1,0,IFERROR(LOOKUP(2,1/('Milho 1ª safra'!$E53:INDEX('Milho 1ª safra'!$E53:$Z53,MIN(AR$6-$E$3,22))&lt;&gt;""),'Milho 1ª safra'!$E53:INDEX('Milho 1ª safra'!$E53:$Z53,MIN(AR$6-$E$3,22))),0))-IF($G$2,0,IF((AR$6-$G$3)&lt;1,0,IFERROR(LOOKUP(2,1/('Milho 1ª safra'!$E53:INDEX('Milho 1ª safra'!$E53:$Z53,MIN(AR$6-$G$3,22))&lt;&gt;""),'Milho 1ª safra'!$E53:INDEX('Milho 1ª safra'!$E53:$Z53,MIN(AR$6-$G$3,22))),0)))))</f>
        <v>0</v>
      </c>
      <c r="AS55" s="27" t="n">
        <f aca="false">IF(COUNT('Milho 1ª safra'!$E53:$Z53)=0,0,MAX(0,IF((AS$6-$E$3)&lt;1,0,IFERROR(LOOKUP(2,1/('Milho 1ª safra'!$E53:INDEX('Milho 1ª safra'!$E53:$Z53,MIN(AS$6-$E$3,22))&lt;&gt;""),'Milho 1ª safra'!$E53:INDEX('Milho 1ª safra'!$E53:$Z53,MIN(AS$6-$E$3,22))),0))-IF($G$2,0,IF((AS$6-$G$3)&lt;1,0,IFERROR(LOOKUP(2,1/('Milho 1ª safra'!$E53:INDEX('Milho 1ª safra'!$E53:$Z53,MIN(AS$6-$G$3,22))&lt;&gt;""),'Milho 1ª safra'!$E53:INDEX('Milho 1ª safra'!$E53:$Z53,MIN(AS$6-$G$3,22))),0)))))</f>
        <v>0</v>
      </c>
      <c r="AT55" s="27" t="n">
        <f aca="false">IF(COUNT('Milho 1ª safra'!$E53:$Z53)=0,0,MAX(0,IF((AT$6-$E$3)&lt;1,0,IFERROR(LOOKUP(2,1/('Milho 1ª safra'!$E53:INDEX('Milho 1ª safra'!$E53:$Z53,MIN(AT$6-$E$3,22))&lt;&gt;""),'Milho 1ª safra'!$E53:INDEX('Milho 1ª safra'!$E53:$Z53,MIN(AT$6-$E$3,22))),0))-IF($G$2,0,IF((AT$6-$G$3)&lt;1,0,IFERROR(LOOKUP(2,1/('Milho 1ª safra'!$E53:INDEX('Milho 1ª safra'!$E53:$Z53,MIN(AT$6-$G$3,22))&lt;&gt;""),'Milho 1ª safra'!$E53:INDEX('Milho 1ª safra'!$E53:$Z53,MIN(AT$6-$G$3,22))),0)))))</f>
        <v>0</v>
      </c>
      <c r="AU55" s="27" t="n">
        <f aca="false">IF(COUNT('Milho 1ª safra'!$E53:$Z53)=0,0,MAX(0,IF((AU$6-$E$3)&lt;1,0,IFERROR(LOOKUP(2,1/('Milho 1ª safra'!$E53:INDEX('Milho 1ª safra'!$E53:$Z53,MIN(AU$6-$E$3,22))&lt;&gt;""),'Milho 1ª safra'!$E53:INDEX('Milho 1ª safra'!$E53:$Z53,MIN(AU$6-$E$3,22))),0))-IF($G$2,0,IF((AU$6-$G$3)&lt;1,0,IFERROR(LOOKUP(2,1/('Milho 1ª safra'!$E53:INDEX('Milho 1ª safra'!$E53:$Z53,MIN(AU$6-$G$3,22))&lt;&gt;""),'Milho 1ª safra'!$E53:INDEX('Milho 1ª safra'!$E53:$Z53,MIN(AU$6-$G$3,22))),0)))))</f>
        <v>0</v>
      </c>
      <c r="AV55" s="27" t="n">
        <f aca="false">IF(COUNT('Milho 1ª safra'!$E53:$Z53)=0,0,MAX(0,IF((AV$6-$E$3)&lt;1,0,IFERROR(LOOKUP(2,1/('Milho 1ª safra'!$E53:INDEX('Milho 1ª safra'!$E53:$Z53,MIN(AV$6-$E$3,22))&lt;&gt;""),'Milho 1ª safra'!$E53:INDEX('Milho 1ª safra'!$E53:$Z53,MIN(AV$6-$E$3,22))),0))-IF($G$2,0,IF((AV$6-$G$3)&lt;1,0,IFERROR(LOOKUP(2,1/('Milho 1ª safra'!$E53:INDEX('Milho 1ª safra'!$E53:$Z53,MIN(AV$6-$G$3,22))&lt;&gt;""),'Milho 1ª safra'!$E53:INDEX('Milho 1ª safra'!$E53:$Z53,MIN(AV$6-$G$3,22))),0)))))</f>
        <v>0</v>
      </c>
      <c r="AW55" s="27" t="n">
        <f aca="false">IF(COUNT('Milho 1ª safra'!$E53:$Z53)=0,0,MAX(0,IF((AW$6-$E$3)&lt;1,0,IFERROR(LOOKUP(2,1/('Milho 1ª safra'!$E53:INDEX('Milho 1ª safra'!$E53:$Z53,MIN(AW$6-$E$3,22))&lt;&gt;""),'Milho 1ª safra'!$E53:INDEX('Milho 1ª safra'!$E53:$Z53,MIN(AW$6-$E$3,22))),0))-IF($G$2,0,IF((AW$6-$G$3)&lt;1,0,IFERROR(LOOKUP(2,1/('Milho 1ª safra'!$E53:INDEX('Milho 1ª safra'!$E53:$Z53,MIN(AW$6-$G$3,22))&lt;&gt;""),'Milho 1ª safra'!$E53:INDEX('Milho 1ª safra'!$E53:$Z53,MIN(AW$6-$G$3,22))),0)))))</f>
        <v>0</v>
      </c>
      <c r="AX55" s="27" t="n">
        <f aca="false">IF(COUNT('Milho 1ª safra'!$E53:$Z53)=0,0,MAX(0,IF((AX$6-$E$3)&lt;1,0,IFERROR(LOOKUP(2,1/('Milho 1ª safra'!$E53:INDEX('Milho 1ª safra'!$E53:$Z53,MIN(AX$6-$E$3,22))&lt;&gt;""),'Milho 1ª safra'!$E53:INDEX('Milho 1ª safra'!$E53:$Z53,MIN(AX$6-$E$3,22))),0))-IF($G$2,0,IF((AX$6-$G$3)&lt;1,0,IFERROR(LOOKUP(2,1/('Milho 1ª safra'!$E53:INDEX('Milho 1ª safra'!$E53:$Z53,MIN(AX$6-$G$3,22))&lt;&gt;""),'Milho 1ª safra'!$E53:INDEX('Milho 1ª safra'!$E53:$Z53,MIN(AX$6-$G$3,22))),0)))))</f>
        <v>0</v>
      </c>
      <c r="AY55" s="27" t="n">
        <f aca="false">IF(COUNT('Milho 1ª safra'!$E53:$Z53)=0,0,MAX(0,IF((AY$6-$E$3)&lt;1,0,IFERROR(LOOKUP(2,1/('Milho 1ª safra'!$E53:INDEX('Milho 1ª safra'!$E53:$Z53,MIN(AY$6-$E$3,22))&lt;&gt;""),'Milho 1ª safra'!$E53:INDEX('Milho 1ª safra'!$E53:$Z53,MIN(AY$6-$E$3,22))),0))-IF($G$2,0,IF((AY$6-$G$3)&lt;1,0,IFERROR(LOOKUP(2,1/('Milho 1ª safra'!$E53:INDEX('Milho 1ª safra'!$E53:$Z53,MIN(AY$6-$G$3,22))&lt;&gt;""),'Milho 1ª safra'!$E53:INDEX('Milho 1ª safra'!$E53:$Z53,MIN(AY$6-$G$3,22))),0)))))</f>
        <v>0</v>
      </c>
      <c r="AZ55" s="27" t="n">
        <f aca="false">IF(COUNT('Milho 1ª safra'!$E53:$Z53)=0,0,MAX(0,IF((AZ$6-$E$3)&lt;1,0,IFERROR(LOOKUP(2,1/('Milho 1ª safra'!$E53:INDEX('Milho 1ª safra'!$E53:$Z53,MIN(AZ$6-$E$3,22))&lt;&gt;""),'Milho 1ª safra'!$E53:INDEX('Milho 1ª safra'!$E53:$Z53,MIN(AZ$6-$E$3,22))),0))-IF($G$2,0,IF((AZ$6-$G$3)&lt;1,0,IFERROR(LOOKUP(2,1/('Milho 1ª safra'!$E53:INDEX('Milho 1ª safra'!$E53:$Z53,MIN(AZ$6-$G$3,22))&lt;&gt;""),'Milho 1ª safra'!$E53:INDEX('Milho 1ª safra'!$E53:$Z53,MIN(AZ$6-$G$3,22))),0)))))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IF(COUNT('Milho 1ª safra'!$E54:$Z54)&gt;0,N('Milho 1ª safra'!$D54),0)</f>
        <v>0</v>
      </c>
      <c r="E56" s="27" t="n">
        <f aca="false">IF(COUNT('Milho 1ª safra'!$E54:$Z54)=0,0,MAX(0,IF((E$6-$E$3)&lt;1,0,IFERROR(LOOKUP(2,1/('Milho 1ª safra'!$E54:INDEX('Milho 1ª safra'!$E54:$Z54,MIN(E$6-$E$3,22))&lt;&gt;""),'Milho 1ª safra'!$E54:INDEX('Milho 1ª safra'!$E54:$Z54,MIN(E$6-$E$3,22))),0))-IF($G$2,0,IF((E$6-$G$3)&lt;1,0,IFERROR(LOOKUP(2,1/('Milho 1ª safra'!$E54:INDEX('Milho 1ª safra'!$E54:$Z54,MIN(E$6-$G$3,22))&lt;&gt;""),'Milho 1ª safra'!$E54:INDEX('Milho 1ª safra'!$E54:$Z54,MIN(E$6-$G$3,22))),0)))))</f>
        <v>0</v>
      </c>
      <c r="F56" s="27" t="n">
        <f aca="false">IF(COUNT('Milho 1ª safra'!$E54:$Z54)=0,0,MAX(0,IF((F$6-$E$3)&lt;1,0,IFERROR(LOOKUP(2,1/('Milho 1ª safra'!$E54:INDEX('Milho 1ª safra'!$E54:$Z54,MIN(F$6-$E$3,22))&lt;&gt;""),'Milho 1ª safra'!$E54:INDEX('Milho 1ª safra'!$E54:$Z54,MIN(F$6-$E$3,22))),0))-IF($G$2,0,IF((F$6-$G$3)&lt;1,0,IFERROR(LOOKUP(2,1/('Milho 1ª safra'!$E54:INDEX('Milho 1ª safra'!$E54:$Z54,MIN(F$6-$G$3,22))&lt;&gt;""),'Milho 1ª safra'!$E54:INDEX('Milho 1ª safra'!$E54:$Z54,MIN(F$6-$G$3,22))),0)))))</f>
        <v>0</v>
      </c>
      <c r="G56" s="27" t="n">
        <f aca="false">IF(COUNT('Milho 1ª safra'!$E54:$Z54)=0,0,MAX(0,IF((G$6-$E$3)&lt;1,0,IFERROR(LOOKUP(2,1/('Milho 1ª safra'!$E54:INDEX('Milho 1ª safra'!$E54:$Z54,MIN(G$6-$E$3,22))&lt;&gt;""),'Milho 1ª safra'!$E54:INDEX('Milho 1ª safra'!$E54:$Z54,MIN(G$6-$E$3,22))),0))-IF($G$2,0,IF((G$6-$G$3)&lt;1,0,IFERROR(LOOKUP(2,1/('Milho 1ª safra'!$E54:INDEX('Milho 1ª safra'!$E54:$Z54,MIN(G$6-$G$3,22))&lt;&gt;""),'Milho 1ª safra'!$E54:INDEX('Milho 1ª safra'!$E54:$Z54,MIN(G$6-$G$3,22))),0)))))</f>
        <v>0</v>
      </c>
      <c r="H56" s="27" t="n">
        <f aca="false">IF(COUNT('Milho 1ª safra'!$E54:$Z54)=0,0,MAX(0,IF((H$6-$E$3)&lt;1,0,IFERROR(LOOKUP(2,1/('Milho 1ª safra'!$E54:INDEX('Milho 1ª safra'!$E54:$Z54,MIN(H$6-$E$3,22))&lt;&gt;""),'Milho 1ª safra'!$E54:INDEX('Milho 1ª safra'!$E54:$Z54,MIN(H$6-$E$3,22))),0))-IF($G$2,0,IF((H$6-$G$3)&lt;1,0,IFERROR(LOOKUP(2,1/('Milho 1ª safra'!$E54:INDEX('Milho 1ª safra'!$E54:$Z54,MIN(H$6-$G$3,22))&lt;&gt;""),'Milho 1ª safra'!$E54:INDEX('Milho 1ª safra'!$E54:$Z54,MIN(H$6-$G$3,22))),0)))))</f>
        <v>0</v>
      </c>
      <c r="I56" s="27" t="n">
        <f aca="false">IF(COUNT('Milho 1ª safra'!$E54:$Z54)=0,0,MAX(0,IF((I$6-$E$3)&lt;1,0,IFERROR(LOOKUP(2,1/('Milho 1ª safra'!$E54:INDEX('Milho 1ª safra'!$E54:$Z54,MIN(I$6-$E$3,22))&lt;&gt;""),'Milho 1ª safra'!$E54:INDEX('Milho 1ª safra'!$E54:$Z54,MIN(I$6-$E$3,22))),0))-IF($G$2,0,IF((I$6-$G$3)&lt;1,0,IFERROR(LOOKUP(2,1/('Milho 1ª safra'!$E54:INDEX('Milho 1ª safra'!$E54:$Z54,MIN(I$6-$G$3,22))&lt;&gt;""),'Milho 1ª safra'!$E54:INDEX('Milho 1ª safra'!$E54:$Z54,MIN(I$6-$G$3,22))),0)))))</f>
        <v>0</v>
      </c>
      <c r="J56" s="27" t="n">
        <f aca="false">IF(COUNT('Milho 1ª safra'!$E54:$Z54)=0,0,MAX(0,IF((J$6-$E$3)&lt;1,0,IFERROR(LOOKUP(2,1/('Milho 1ª safra'!$E54:INDEX('Milho 1ª safra'!$E54:$Z54,MIN(J$6-$E$3,22))&lt;&gt;""),'Milho 1ª safra'!$E54:INDEX('Milho 1ª safra'!$E54:$Z54,MIN(J$6-$E$3,22))),0))-IF($G$2,0,IF((J$6-$G$3)&lt;1,0,IFERROR(LOOKUP(2,1/('Milho 1ª safra'!$E54:INDEX('Milho 1ª safra'!$E54:$Z54,MIN(J$6-$G$3,22))&lt;&gt;""),'Milho 1ª safra'!$E54:INDEX('Milho 1ª safra'!$E54:$Z54,MIN(J$6-$G$3,22))),0)))))</f>
        <v>0</v>
      </c>
      <c r="K56" s="27" t="n">
        <f aca="false">IF(COUNT('Milho 1ª safra'!$E54:$Z54)=0,0,MAX(0,IF((K$6-$E$3)&lt;1,0,IFERROR(LOOKUP(2,1/('Milho 1ª safra'!$E54:INDEX('Milho 1ª safra'!$E54:$Z54,MIN(K$6-$E$3,22))&lt;&gt;""),'Milho 1ª safra'!$E54:INDEX('Milho 1ª safra'!$E54:$Z54,MIN(K$6-$E$3,22))),0))-IF($G$2,0,IF((K$6-$G$3)&lt;1,0,IFERROR(LOOKUP(2,1/('Milho 1ª safra'!$E54:INDEX('Milho 1ª safra'!$E54:$Z54,MIN(K$6-$G$3,22))&lt;&gt;""),'Milho 1ª safra'!$E54:INDEX('Milho 1ª safra'!$E54:$Z54,MIN(K$6-$G$3,22))),0)))))</f>
        <v>0</v>
      </c>
      <c r="L56" s="27" t="n">
        <f aca="false">IF(COUNT('Milho 1ª safra'!$E54:$Z54)=0,0,MAX(0,IF((L$6-$E$3)&lt;1,0,IFERROR(LOOKUP(2,1/('Milho 1ª safra'!$E54:INDEX('Milho 1ª safra'!$E54:$Z54,MIN(L$6-$E$3,22))&lt;&gt;""),'Milho 1ª safra'!$E54:INDEX('Milho 1ª safra'!$E54:$Z54,MIN(L$6-$E$3,22))),0))-IF($G$2,0,IF((L$6-$G$3)&lt;1,0,IFERROR(LOOKUP(2,1/('Milho 1ª safra'!$E54:INDEX('Milho 1ª safra'!$E54:$Z54,MIN(L$6-$G$3,22))&lt;&gt;""),'Milho 1ª safra'!$E54:INDEX('Milho 1ª safra'!$E54:$Z54,MIN(L$6-$G$3,22))),0)))))</f>
        <v>0</v>
      </c>
      <c r="M56" s="27" t="n">
        <f aca="false">IF(COUNT('Milho 1ª safra'!$E54:$Z54)=0,0,MAX(0,IF((M$6-$E$3)&lt;1,0,IFERROR(LOOKUP(2,1/('Milho 1ª safra'!$E54:INDEX('Milho 1ª safra'!$E54:$Z54,MIN(M$6-$E$3,22))&lt;&gt;""),'Milho 1ª safra'!$E54:INDEX('Milho 1ª safra'!$E54:$Z54,MIN(M$6-$E$3,22))),0))-IF($G$2,0,IF((M$6-$G$3)&lt;1,0,IFERROR(LOOKUP(2,1/('Milho 1ª safra'!$E54:INDEX('Milho 1ª safra'!$E54:$Z54,MIN(M$6-$G$3,22))&lt;&gt;""),'Milho 1ª safra'!$E54:INDEX('Milho 1ª safra'!$E54:$Z54,MIN(M$6-$G$3,22))),0)))))</f>
        <v>0</v>
      </c>
      <c r="N56" s="27" t="n">
        <f aca="false">IF(COUNT('Milho 1ª safra'!$E54:$Z54)=0,0,MAX(0,IF((N$6-$E$3)&lt;1,0,IFERROR(LOOKUP(2,1/('Milho 1ª safra'!$E54:INDEX('Milho 1ª safra'!$E54:$Z54,MIN(N$6-$E$3,22))&lt;&gt;""),'Milho 1ª safra'!$E54:INDEX('Milho 1ª safra'!$E54:$Z54,MIN(N$6-$E$3,22))),0))-IF($G$2,0,IF((N$6-$G$3)&lt;1,0,IFERROR(LOOKUP(2,1/('Milho 1ª safra'!$E54:INDEX('Milho 1ª safra'!$E54:$Z54,MIN(N$6-$G$3,22))&lt;&gt;""),'Milho 1ª safra'!$E54:INDEX('Milho 1ª safra'!$E54:$Z54,MIN(N$6-$G$3,22))),0)))))</f>
        <v>0</v>
      </c>
      <c r="O56" s="27" t="n">
        <f aca="false">IF(COUNT('Milho 1ª safra'!$E54:$Z54)=0,0,MAX(0,IF((O$6-$E$3)&lt;1,0,IFERROR(LOOKUP(2,1/('Milho 1ª safra'!$E54:INDEX('Milho 1ª safra'!$E54:$Z54,MIN(O$6-$E$3,22))&lt;&gt;""),'Milho 1ª safra'!$E54:INDEX('Milho 1ª safra'!$E54:$Z54,MIN(O$6-$E$3,22))),0))-IF($G$2,0,IF((O$6-$G$3)&lt;1,0,IFERROR(LOOKUP(2,1/('Milho 1ª safra'!$E54:INDEX('Milho 1ª safra'!$E54:$Z54,MIN(O$6-$G$3,22))&lt;&gt;""),'Milho 1ª safra'!$E54:INDEX('Milho 1ª safra'!$E54:$Z54,MIN(O$6-$G$3,22))),0)))))</f>
        <v>0</v>
      </c>
      <c r="P56" s="27" t="n">
        <f aca="false">IF(COUNT('Milho 1ª safra'!$E54:$Z54)=0,0,MAX(0,IF((P$6-$E$3)&lt;1,0,IFERROR(LOOKUP(2,1/('Milho 1ª safra'!$E54:INDEX('Milho 1ª safra'!$E54:$Z54,MIN(P$6-$E$3,22))&lt;&gt;""),'Milho 1ª safra'!$E54:INDEX('Milho 1ª safra'!$E54:$Z54,MIN(P$6-$E$3,22))),0))-IF($G$2,0,IF((P$6-$G$3)&lt;1,0,IFERROR(LOOKUP(2,1/('Milho 1ª safra'!$E54:INDEX('Milho 1ª safra'!$E54:$Z54,MIN(P$6-$G$3,22))&lt;&gt;""),'Milho 1ª safra'!$E54:INDEX('Milho 1ª safra'!$E54:$Z54,MIN(P$6-$G$3,22))),0)))))</f>
        <v>0</v>
      </c>
      <c r="Q56" s="27" t="n">
        <f aca="false">IF(COUNT('Milho 1ª safra'!$E54:$Z54)=0,0,MAX(0,IF((Q$6-$E$3)&lt;1,0,IFERROR(LOOKUP(2,1/('Milho 1ª safra'!$E54:INDEX('Milho 1ª safra'!$E54:$Z54,MIN(Q$6-$E$3,22))&lt;&gt;""),'Milho 1ª safra'!$E54:INDEX('Milho 1ª safra'!$E54:$Z54,MIN(Q$6-$E$3,22))),0))-IF($G$2,0,IF((Q$6-$G$3)&lt;1,0,IFERROR(LOOKUP(2,1/('Milho 1ª safra'!$E54:INDEX('Milho 1ª safra'!$E54:$Z54,MIN(Q$6-$G$3,22))&lt;&gt;""),'Milho 1ª safra'!$E54:INDEX('Milho 1ª safra'!$E54:$Z54,MIN(Q$6-$G$3,22))),0)))))</f>
        <v>0</v>
      </c>
      <c r="R56" s="27" t="n">
        <f aca="false">IF(COUNT('Milho 1ª safra'!$E54:$Z54)=0,0,MAX(0,IF((R$6-$E$3)&lt;1,0,IFERROR(LOOKUP(2,1/('Milho 1ª safra'!$E54:INDEX('Milho 1ª safra'!$E54:$Z54,MIN(R$6-$E$3,22))&lt;&gt;""),'Milho 1ª safra'!$E54:INDEX('Milho 1ª safra'!$E54:$Z54,MIN(R$6-$E$3,22))),0))-IF($G$2,0,IF((R$6-$G$3)&lt;1,0,IFERROR(LOOKUP(2,1/('Milho 1ª safra'!$E54:INDEX('Milho 1ª safra'!$E54:$Z54,MIN(R$6-$G$3,22))&lt;&gt;""),'Milho 1ª safra'!$E54:INDEX('Milho 1ª safra'!$E54:$Z54,MIN(R$6-$G$3,22))),0)))))</f>
        <v>0</v>
      </c>
      <c r="S56" s="27" t="n">
        <f aca="false">IF(COUNT('Milho 1ª safra'!$E54:$Z54)=0,0,MAX(0,IF((S$6-$E$3)&lt;1,0,IFERROR(LOOKUP(2,1/('Milho 1ª safra'!$E54:INDEX('Milho 1ª safra'!$E54:$Z54,MIN(S$6-$E$3,22))&lt;&gt;""),'Milho 1ª safra'!$E54:INDEX('Milho 1ª safra'!$E54:$Z54,MIN(S$6-$E$3,22))),0))-IF($G$2,0,IF((S$6-$G$3)&lt;1,0,IFERROR(LOOKUP(2,1/('Milho 1ª safra'!$E54:INDEX('Milho 1ª safra'!$E54:$Z54,MIN(S$6-$G$3,22))&lt;&gt;""),'Milho 1ª safra'!$E54:INDEX('Milho 1ª safra'!$E54:$Z54,MIN(S$6-$G$3,22))),0)))))</f>
        <v>0</v>
      </c>
      <c r="T56" s="27" t="n">
        <f aca="false">IF(COUNT('Milho 1ª safra'!$E54:$Z54)=0,0,MAX(0,IF((T$6-$E$3)&lt;1,0,IFERROR(LOOKUP(2,1/('Milho 1ª safra'!$E54:INDEX('Milho 1ª safra'!$E54:$Z54,MIN(T$6-$E$3,22))&lt;&gt;""),'Milho 1ª safra'!$E54:INDEX('Milho 1ª safra'!$E54:$Z54,MIN(T$6-$E$3,22))),0))-IF($G$2,0,IF((T$6-$G$3)&lt;1,0,IFERROR(LOOKUP(2,1/('Milho 1ª safra'!$E54:INDEX('Milho 1ª safra'!$E54:$Z54,MIN(T$6-$G$3,22))&lt;&gt;""),'Milho 1ª safra'!$E54:INDEX('Milho 1ª safra'!$E54:$Z54,MIN(T$6-$G$3,22))),0)))))</f>
        <v>0</v>
      </c>
      <c r="U56" s="27" t="n">
        <f aca="false">IF(COUNT('Milho 1ª safra'!$E54:$Z54)=0,0,MAX(0,IF((U$6-$E$3)&lt;1,0,IFERROR(LOOKUP(2,1/('Milho 1ª safra'!$E54:INDEX('Milho 1ª safra'!$E54:$Z54,MIN(U$6-$E$3,22))&lt;&gt;""),'Milho 1ª safra'!$E54:INDEX('Milho 1ª safra'!$E54:$Z54,MIN(U$6-$E$3,22))),0))-IF($G$2,0,IF((U$6-$G$3)&lt;1,0,IFERROR(LOOKUP(2,1/('Milho 1ª safra'!$E54:INDEX('Milho 1ª safra'!$E54:$Z54,MIN(U$6-$G$3,22))&lt;&gt;""),'Milho 1ª safra'!$E54:INDEX('Milho 1ª safra'!$E54:$Z54,MIN(U$6-$G$3,22))),0)))))</f>
        <v>0</v>
      </c>
      <c r="V56" s="27" t="n">
        <f aca="false">IF(COUNT('Milho 1ª safra'!$E54:$Z54)=0,0,MAX(0,IF((V$6-$E$3)&lt;1,0,IFERROR(LOOKUP(2,1/('Milho 1ª safra'!$E54:INDEX('Milho 1ª safra'!$E54:$Z54,MIN(V$6-$E$3,22))&lt;&gt;""),'Milho 1ª safra'!$E54:INDEX('Milho 1ª safra'!$E54:$Z54,MIN(V$6-$E$3,22))),0))-IF($G$2,0,IF((V$6-$G$3)&lt;1,0,IFERROR(LOOKUP(2,1/('Milho 1ª safra'!$E54:INDEX('Milho 1ª safra'!$E54:$Z54,MIN(V$6-$G$3,22))&lt;&gt;""),'Milho 1ª safra'!$E54:INDEX('Milho 1ª safra'!$E54:$Z54,MIN(V$6-$G$3,22))),0)))))</f>
        <v>0</v>
      </c>
      <c r="W56" s="27" t="n">
        <f aca="false">IF(COUNT('Milho 1ª safra'!$E54:$Z54)=0,0,MAX(0,IF((W$6-$E$3)&lt;1,0,IFERROR(LOOKUP(2,1/('Milho 1ª safra'!$E54:INDEX('Milho 1ª safra'!$E54:$Z54,MIN(W$6-$E$3,22))&lt;&gt;""),'Milho 1ª safra'!$E54:INDEX('Milho 1ª safra'!$E54:$Z54,MIN(W$6-$E$3,22))),0))-IF($G$2,0,IF((W$6-$G$3)&lt;1,0,IFERROR(LOOKUP(2,1/('Milho 1ª safra'!$E54:INDEX('Milho 1ª safra'!$E54:$Z54,MIN(W$6-$G$3,22))&lt;&gt;""),'Milho 1ª safra'!$E54:INDEX('Milho 1ª safra'!$E54:$Z54,MIN(W$6-$G$3,22))),0)))))</f>
        <v>0</v>
      </c>
      <c r="X56" s="27" t="n">
        <f aca="false">IF(COUNT('Milho 1ª safra'!$E54:$Z54)=0,0,MAX(0,IF((X$6-$E$3)&lt;1,0,IFERROR(LOOKUP(2,1/('Milho 1ª safra'!$E54:INDEX('Milho 1ª safra'!$E54:$Z54,MIN(X$6-$E$3,22))&lt;&gt;""),'Milho 1ª safra'!$E54:INDEX('Milho 1ª safra'!$E54:$Z54,MIN(X$6-$E$3,22))),0))-IF($G$2,0,IF((X$6-$G$3)&lt;1,0,IFERROR(LOOKUP(2,1/('Milho 1ª safra'!$E54:INDEX('Milho 1ª safra'!$E54:$Z54,MIN(X$6-$G$3,22))&lt;&gt;""),'Milho 1ª safra'!$E54:INDEX('Milho 1ª safra'!$E54:$Z54,MIN(X$6-$G$3,22))),0)))))</f>
        <v>0</v>
      </c>
      <c r="Y56" s="27" t="n">
        <f aca="false">IF(COUNT('Milho 1ª safra'!$E54:$Z54)=0,0,MAX(0,IF((Y$6-$E$3)&lt;1,0,IFERROR(LOOKUP(2,1/('Milho 1ª safra'!$E54:INDEX('Milho 1ª safra'!$E54:$Z54,MIN(Y$6-$E$3,22))&lt;&gt;""),'Milho 1ª safra'!$E54:INDEX('Milho 1ª safra'!$E54:$Z54,MIN(Y$6-$E$3,22))),0))-IF($G$2,0,IF((Y$6-$G$3)&lt;1,0,IFERROR(LOOKUP(2,1/('Milho 1ª safra'!$E54:INDEX('Milho 1ª safra'!$E54:$Z54,MIN(Y$6-$G$3,22))&lt;&gt;""),'Milho 1ª safra'!$E54:INDEX('Milho 1ª safra'!$E54:$Z54,MIN(Y$6-$G$3,22))),0)))))</f>
        <v>0</v>
      </c>
      <c r="Z56" s="27" t="n">
        <f aca="false">IF(COUNT('Milho 1ª safra'!$E54:$Z54)=0,0,MAX(0,IF((Z$6-$E$3)&lt;1,0,IFERROR(LOOKUP(2,1/('Milho 1ª safra'!$E54:INDEX('Milho 1ª safra'!$E54:$Z54,MIN(Z$6-$E$3,22))&lt;&gt;""),'Milho 1ª safra'!$E54:INDEX('Milho 1ª safra'!$E54:$Z54,MIN(Z$6-$E$3,22))),0))-IF($G$2,0,IF((Z$6-$G$3)&lt;1,0,IFERROR(LOOKUP(2,1/('Milho 1ª safra'!$E54:INDEX('Milho 1ª safra'!$E54:$Z54,MIN(Z$6-$G$3,22))&lt;&gt;""),'Milho 1ª safra'!$E54:INDEX('Milho 1ª safra'!$E54:$Z54,MIN(Z$6-$G$3,22))),0)))))</f>
        <v>0</v>
      </c>
      <c r="AA56" s="27" t="n">
        <f aca="false">IF(COUNT('Milho 1ª safra'!$E54:$Z54)=0,0,MAX(0,IF((AA$6-$E$3)&lt;1,0,IFERROR(LOOKUP(2,1/('Milho 1ª safra'!$E54:INDEX('Milho 1ª safra'!$E54:$Z54,MIN(AA$6-$E$3,22))&lt;&gt;""),'Milho 1ª safra'!$E54:INDEX('Milho 1ª safra'!$E54:$Z54,MIN(AA$6-$E$3,22))),0))-IF($G$2,0,IF((AA$6-$G$3)&lt;1,0,IFERROR(LOOKUP(2,1/('Milho 1ª safra'!$E54:INDEX('Milho 1ª safra'!$E54:$Z54,MIN(AA$6-$G$3,22))&lt;&gt;""),'Milho 1ª safra'!$E54:INDEX('Milho 1ª safra'!$E54:$Z54,MIN(AA$6-$G$3,22))),0)))))</f>
        <v>0</v>
      </c>
      <c r="AB56" s="27" t="n">
        <f aca="false">IF(COUNT('Milho 1ª safra'!$E54:$Z54)=0,0,MAX(0,IF((AB$6-$E$3)&lt;1,0,IFERROR(LOOKUP(2,1/('Milho 1ª safra'!$E54:INDEX('Milho 1ª safra'!$E54:$Z54,MIN(AB$6-$E$3,22))&lt;&gt;""),'Milho 1ª safra'!$E54:INDEX('Milho 1ª safra'!$E54:$Z54,MIN(AB$6-$E$3,22))),0))-IF($G$2,0,IF((AB$6-$G$3)&lt;1,0,IFERROR(LOOKUP(2,1/('Milho 1ª safra'!$E54:INDEX('Milho 1ª safra'!$E54:$Z54,MIN(AB$6-$G$3,22))&lt;&gt;""),'Milho 1ª safra'!$E54:INDEX('Milho 1ª safra'!$E54:$Z54,MIN(AB$6-$G$3,22))),0)))))</f>
        <v>0</v>
      </c>
      <c r="AC56" s="27" t="n">
        <f aca="false">IF(COUNT('Milho 1ª safra'!$E54:$Z54)=0,0,MAX(0,IF((AC$6-$E$3)&lt;1,0,IFERROR(LOOKUP(2,1/('Milho 1ª safra'!$E54:INDEX('Milho 1ª safra'!$E54:$Z54,MIN(AC$6-$E$3,22))&lt;&gt;""),'Milho 1ª safra'!$E54:INDEX('Milho 1ª safra'!$E54:$Z54,MIN(AC$6-$E$3,22))),0))-IF($G$2,0,IF((AC$6-$G$3)&lt;1,0,IFERROR(LOOKUP(2,1/('Milho 1ª safra'!$E54:INDEX('Milho 1ª safra'!$E54:$Z54,MIN(AC$6-$G$3,22))&lt;&gt;""),'Milho 1ª safra'!$E54:INDEX('Milho 1ª safra'!$E54:$Z54,MIN(AC$6-$G$3,22))),0)))))</f>
        <v>0</v>
      </c>
      <c r="AD56" s="27" t="n">
        <f aca="false">IF(COUNT('Milho 1ª safra'!$E54:$Z54)=0,0,MAX(0,IF((AD$6-$E$3)&lt;1,0,IFERROR(LOOKUP(2,1/('Milho 1ª safra'!$E54:INDEX('Milho 1ª safra'!$E54:$Z54,MIN(AD$6-$E$3,22))&lt;&gt;""),'Milho 1ª safra'!$E54:INDEX('Milho 1ª safra'!$E54:$Z54,MIN(AD$6-$E$3,22))),0))-IF($G$2,0,IF((AD$6-$G$3)&lt;1,0,IFERROR(LOOKUP(2,1/('Milho 1ª safra'!$E54:INDEX('Milho 1ª safra'!$E54:$Z54,MIN(AD$6-$G$3,22))&lt;&gt;""),'Milho 1ª safra'!$E54:INDEX('Milho 1ª safra'!$E54:$Z54,MIN(AD$6-$G$3,22))),0)))))</f>
        <v>0</v>
      </c>
      <c r="AE56" s="27" t="n">
        <f aca="false">IF(COUNT('Milho 1ª safra'!$E54:$Z54)=0,0,MAX(0,IF((AE$6-$E$3)&lt;1,0,IFERROR(LOOKUP(2,1/('Milho 1ª safra'!$E54:INDEX('Milho 1ª safra'!$E54:$Z54,MIN(AE$6-$E$3,22))&lt;&gt;""),'Milho 1ª safra'!$E54:INDEX('Milho 1ª safra'!$E54:$Z54,MIN(AE$6-$E$3,22))),0))-IF($G$2,0,IF((AE$6-$G$3)&lt;1,0,IFERROR(LOOKUP(2,1/('Milho 1ª safra'!$E54:INDEX('Milho 1ª safra'!$E54:$Z54,MIN(AE$6-$G$3,22))&lt;&gt;""),'Milho 1ª safra'!$E54:INDEX('Milho 1ª safra'!$E54:$Z54,MIN(AE$6-$G$3,22))),0)))))</f>
        <v>0</v>
      </c>
      <c r="AF56" s="27" t="n">
        <f aca="false">IF(COUNT('Milho 1ª safra'!$E54:$Z54)=0,0,MAX(0,IF((AF$6-$E$3)&lt;1,0,IFERROR(LOOKUP(2,1/('Milho 1ª safra'!$E54:INDEX('Milho 1ª safra'!$E54:$Z54,MIN(AF$6-$E$3,22))&lt;&gt;""),'Milho 1ª safra'!$E54:INDEX('Milho 1ª safra'!$E54:$Z54,MIN(AF$6-$E$3,22))),0))-IF($G$2,0,IF((AF$6-$G$3)&lt;1,0,IFERROR(LOOKUP(2,1/('Milho 1ª safra'!$E54:INDEX('Milho 1ª safra'!$E54:$Z54,MIN(AF$6-$G$3,22))&lt;&gt;""),'Milho 1ª safra'!$E54:INDEX('Milho 1ª safra'!$E54:$Z54,MIN(AF$6-$G$3,22))),0)))))</f>
        <v>0</v>
      </c>
      <c r="AG56" s="27" t="n">
        <f aca="false">IF(COUNT('Milho 1ª safra'!$E54:$Z54)=0,0,MAX(0,IF((AG$6-$E$3)&lt;1,0,IFERROR(LOOKUP(2,1/('Milho 1ª safra'!$E54:INDEX('Milho 1ª safra'!$E54:$Z54,MIN(AG$6-$E$3,22))&lt;&gt;""),'Milho 1ª safra'!$E54:INDEX('Milho 1ª safra'!$E54:$Z54,MIN(AG$6-$E$3,22))),0))-IF($G$2,0,IF((AG$6-$G$3)&lt;1,0,IFERROR(LOOKUP(2,1/('Milho 1ª safra'!$E54:INDEX('Milho 1ª safra'!$E54:$Z54,MIN(AG$6-$G$3,22))&lt;&gt;""),'Milho 1ª safra'!$E54:INDEX('Milho 1ª safra'!$E54:$Z54,MIN(AG$6-$G$3,22))),0)))))</f>
        <v>0</v>
      </c>
      <c r="AH56" s="27" t="n">
        <f aca="false">IF(COUNT('Milho 1ª safra'!$E54:$Z54)=0,0,MAX(0,IF((AH$6-$E$3)&lt;1,0,IFERROR(LOOKUP(2,1/('Milho 1ª safra'!$E54:INDEX('Milho 1ª safra'!$E54:$Z54,MIN(AH$6-$E$3,22))&lt;&gt;""),'Milho 1ª safra'!$E54:INDEX('Milho 1ª safra'!$E54:$Z54,MIN(AH$6-$E$3,22))),0))-IF($G$2,0,IF((AH$6-$G$3)&lt;1,0,IFERROR(LOOKUP(2,1/('Milho 1ª safra'!$E54:INDEX('Milho 1ª safra'!$E54:$Z54,MIN(AH$6-$G$3,22))&lt;&gt;""),'Milho 1ª safra'!$E54:INDEX('Milho 1ª safra'!$E54:$Z54,MIN(AH$6-$G$3,22))),0)))))</f>
        <v>0</v>
      </c>
      <c r="AI56" s="27" t="n">
        <f aca="false">IF(COUNT('Milho 1ª safra'!$E54:$Z54)=0,0,MAX(0,IF((AI$6-$E$3)&lt;1,0,IFERROR(LOOKUP(2,1/('Milho 1ª safra'!$E54:INDEX('Milho 1ª safra'!$E54:$Z54,MIN(AI$6-$E$3,22))&lt;&gt;""),'Milho 1ª safra'!$E54:INDEX('Milho 1ª safra'!$E54:$Z54,MIN(AI$6-$E$3,22))),0))-IF($G$2,0,IF((AI$6-$G$3)&lt;1,0,IFERROR(LOOKUP(2,1/('Milho 1ª safra'!$E54:INDEX('Milho 1ª safra'!$E54:$Z54,MIN(AI$6-$G$3,22))&lt;&gt;""),'Milho 1ª safra'!$E54:INDEX('Milho 1ª safra'!$E54:$Z54,MIN(AI$6-$G$3,22))),0)))))</f>
        <v>0</v>
      </c>
      <c r="AJ56" s="27" t="n">
        <f aca="false">IF(COUNT('Milho 1ª safra'!$E54:$Z54)=0,0,MAX(0,IF((AJ$6-$E$3)&lt;1,0,IFERROR(LOOKUP(2,1/('Milho 1ª safra'!$E54:INDEX('Milho 1ª safra'!$E54:$Z54,MIN(AJ$6-$E$3,22))&lt;&gt;""),'Milho 1ª safra'!$E54:INDEX('Milho 1ª safra'!$E54:$Z54,MIN(AJ$6-$E$3,22))),0))-IF($G$2,0,IF((AJ$6-$G$3)&lt;1,0,IFERROR(LOOKUP(2,1/('Milho 1ª safra'!$E54:INDEX('Milho 1ª safra'!$E54:$Z54,MIN(AJ$6-$G$3,22))&lt;&gt;""),'Milho 1ª safra'!$E54:INDEX('Milho 1ª safra'!$E54:$Z54,MIN(AJ$6-$G$3,22))),0)))))</f>
        <v>0</v>
      </c>
      <c r="AK56" s="27" t="n">
        <f aca="false">IF(COUNT('Milho 1ª safra'!$E54:$Z54)=0,0,MAX(0,IF((AK$6-$E$3)&lt;1,0,IFERROR(LOOKUP(2,1/('Milho 1ª safra'!$E54:INDEX('Milho 1ª safra'!$E54:$Z54,MIN(AK$6-$E$3,22))&lt;&gt;""),'Milho 1ª safra'!$E54:INDEX('Milho 1ª safra'!$E54:$Z54,MIN(AK$6-$E$3,22))),0))-IF($G$2,0,IF((AK$6-$G$3)&lt;1,0,IFERROR(LOOKUP(2,1/('Milho 1ª safra'!$E54:INDEX('Milho 1ª safra'!$E54:$Z54,MIN(AK$6-$G$3,22))&lt;&gt;""),'Milho 1ª safra'!$E54:INDEX('Milho 1ª safra'!$E54:$Z54,MIN(AK$6-$G$3,22))),0)))))</f>
        <v>0</v>
      </c>
      <c r="AL56" s="27" t="n">
        <f aca="false">IF(COUNT('Milho 1ª safra'!$E54:$Z54)=0,0,MAX(0,IF((AL$6-$E$3)&lt;1,0,IFERROR(LOOKUP(2,1/('Milho 1ª safra'!$E54:INDEX('Milho 1ª safra'!$E54:$Z54,MIN(AL$6-$E$3,22))&lt;&gt;""),'Milho 1ª safra'!$E54:INDEX('Milho 1ª safra'!$E54:$Z54,MIN(AL$6-$E$3,22))),0))-IF($G$2,0,IF((AL$6-$G$3)&lt;1,0,IFERROR(LOOKUP(2,1/('Milho 1ª safra'!$E54:INDEX('Milho 1ª safra'!$E54:$Z54,MIN(AL$6-$G$3,22))&lt;&gt;""),'Milho 1ª safra'!$E54:INDEX('Milho 1ª safra'!$E54:$Z54,MIN(AL$6-$G$3,22))),0)))))</f>
        <v>0</v>
      </c>
      <c r="AM56" s="27" t="n">
        <f aca="false">IF(COUNT('Milho 1ª safra'!$E54:$Z54)=0,0,MAX(0,IF((AM$6-$E$3)&lt;1,0,IFERROR(LOOKUP(2,1/('Milho 1ª safra'!$E54:INDEX('Milho 1ª safra'!$E54:$Z54,MIN(AM$6-$E$3,22))&lt;&gt;""),'Milho 1ª safra'!$E54:INDEX('Milho 1ª safra'!$E54:$Z54,MIN(AM$6-$E$3,22))),0))-IF($G$2,0,IF((AM$6-$G$3)&lt;1,0,IFERROR(LOOKUP(2,1/('Milho 1ª safra'!$E54:INDEX('Milho 1ª safra'!$E54:$Z54,MIN(AM$6-$G$3,22))&lt;&gt;""),'Milho 1ª safra'!$E54:INDEX('Milho 1ª safra'!$E54:$Z54,MIN(AM$6-$G$3,22))),0)))))</f>
        <v>0</v>
      </c>
      <c r="AN56" s="27" t="n">
        <f aca="false">IF(COUNT('Milho 1ª safra'!$E54:$Z54)=0,0,MAX(0,IF((AN$6-$E$3)&lt;1,0,IFERROR(LOOKUP(2,1/('Milho 1ª safra'!$E54:INDEX('Milho 1ª safra'!$E54:$Z54,MIN(AN$6-$E$3,22))&lt;&gt;""),'Milho 1ª safra'!$E54:INDEX('Milho 1ª safra'!$E54:$Z54,MIN(AN$6-$E$3,22))),0))-IF($G$2,0,IF((AN$6-$G$3)&lt;1,0,IFERROR(LOOKUP(2,1/('Milho 1ª safra'!$E54:INDEX('Milho 1ª safra'!$E54:$Z54,MIN(AN$6-$G$3,22))&lt;&gt;""),'Milho 1ª safra'!$E54:INDEX('Milho 1ª safra'!$E54:$Z54,MIN(AN$6-$G$3,22))),0)))))</f>
        <v>0</v>
      </c>
      <c r="AO56" s="27" t="n">
        <f aca="false">IF(COUNT('Milho 1ª safra'!$E54:$Z54)=0,0,MAX(0,IF((AO$6-$E$3)&lt;1,0,IFERROR(LOOKUP(2,1/('Milho 1ª safra'!$E54:INDEX('Milho 1ª safra'!$E54:$Z54,MIN(AO$6-$E$3,22))&lt;&gt;""),'Milho 1ª safra'!$E54:INDEX('Milho 1ª safra'!$E54:$Z54,MIN(AO$6-$E$3,22))),0))-IF($G$2,0,IF((AO$6-$G$3)&lt;1,0,IFERROR(LOOKUP(2,1/('Milho 1ª safra'!$E54:INDEX('Milho 1ª safra'!$E54:$Z54,MIN(AO$6-$G$3,22))&lt;&gt;""),'Milho 1ª safra'!$E54:INDEX('Milho 1ª safra'!$E54:$Z54,MIN(AO$6-$G$3,22))),0)))))</f>
        <v>0</v>
      </c>
      <c r="AP56" s="27" t="n">
        <f aca="false">IF(COUNT('Milho 1ª safra'!$E54:$Z54)=0,0,MAX(0,IF((AP$6-$E$3)&lt;1,0,IFERROR(LOOKUP(2,1/('Milho 1ª safra'!$E54:INDEX('Milho 1ª safra'!$E54:$Z54,MIN(AP$6-$E$3,22))&lt;&gt;""),'Milho 1ª safra'!$E54:INDEX('Milho 1ª safra'!$E54:$Z54,MIN(AP$6-$E$3,22))),0))-IF($G$2,0,IF((AP$6-$G$3)&lt;1,0,IFERROR(LOOKUP(2,1/('Milho 1ª safra'!$E54:INDEX('Milho 1ª safra'!$E54:$Z54,MIN(AP$6-$G$3,22))&lt;&gt;""),'Milho 1ª safra'!$E54:INDEX('Milho 1ª safra'!$E54:$Z54,MIN(AP$6-$G$3,22))),0)))))</f>
        <v>0</v>
      </c>
      <c r="AQ56" s="27" t="n">
        <f aca="false">IF(COUNT('Milho 1ª safra'!$E54:$Z54)=0,0,MAX(0,IF((AQ$6-$E$3)&lt;1,0,IFERROR(LOOKUP(2,1/('Milho 1ª safra'!$E54:INDEX('Milho 1ª safra'!$E54:$Z54,MIN(AQ$6-$E$3,22))&lt;&gt;""),'Milho 1ª safra'!$E54:INDEX('Milho 1ª safra'!$E54:$Z54,MIN(AQ$6-$E$3,22))),0))-IF($G$2,0,IF((AQ$6-$G$3)&lt;1,0,IFERROR(LOOKUP(2,1/('Milho 1ª safra'!$E54:INDEX('Milho 1ª safra'!$E54:$Z54,MIN(AQ$6-$G$3,22))&lt;&gt;""),'Milho 1ª safra'!$E54:INDEX('Milho 1ª safra'!$E54:$Z54,MIN(AQ$6-$G$3,22))),0)))))</f>
        <v>0</v>
      </c>
      <c r="AR56" s="27" t="n">
        <f aca="false">IF(COUNT('Milho 1ª safra'!$E54:$Z54)=0,0,MAX(0,IF((AR$6-$E$3)&lt;1,0,IFERROR(LOOKUP(2,1/('Milho 1ª safra'!$E54:INDEX('Milho 1ª safra'!$E54:$Z54,MIN(AR$6-$E$3,22))&lt;&gt;""),'Milho 1ª safra'!$E54:INDEX('Milho 1ª safra'!$E54:$Z54,MIN(AR$6-$E$3,22))),0))-IF($G$2,0,IF((AR$6-$G$3)&lt;1,0,IFERROR(LOOKUP(2,1/('Milho 1ª safra'!$E54:INDEX('Milho 1ª safra'!$E54:$Z54,MIN(AR$6-$G$3,22))&lt;&gt;""),'Milho 1ª safra'!$E54:INDEX('Milho 1ª safra'!$E54:$Z54,MIN(AR$6-$G$3,22))),0)))))</f>
        <v>0</v>
      </c>
      <c r="AS56" s="27" t="n">
        <f aca="false">IF(COUNT('Milho 1ª safra'!$E54:$Z54)=0,0,MAX(0,IF((AS$6-$E$3)&lt;1,0,IFERROR(LOOKUP(2,1/('Milho 1ª safra'!$E54:INDEX('Milho 1ª safra'!$E54:$Z54,MIN(AS$6-$E$3,22))&lt;&gt;""),'Milho 1ª safra'!$E54:INDEX('Milho 1ª safra'!$E54:$Z54,MIN(AS$6-$E$3,22))),0))-IF($G$2,0,IF((AS$6-$G$3)&lt;1,0,IFERROR(LOOKUP(2,1/('Milho 1ª safra'!$E54:INDEX('Milho 1ª safra'!$E54:$Z54,MIN(AS$6-$G$3,22))&lt;&gt;""),'Milho 1ª safra'!$E54:INDEX('Milho 1ª safra'!$E54:$Z54,MIN(AS$6-$G$3,22))),0)))))</f>
        <v>0</v>
      </c>
      <c r="AT56" s="27" t="n">
        <f aca="false">IF(COUNT('Milho 1ª safra'!$E54:$Z54)=0,0,MAX(0,IF((AT$6-$E$3)&lt;1,0,IFERROR(LOOKUP(2,1/('Milho 1ª safra'!$E54:INDEX('Milho 1ª safra'!$E54:$Z54,MIN(AT$6-$E$3,22))&lt;&gt;""),'Milho 1ª safra'!$E54:INDEX('Milho 1ª safra'!$E54:$Z54,MIN(AT$6-$E$3,22))),0))-IF($G$2,0,IF((AT$6-$G$3)&lt;1,0,IFERROR(LOOKUP(2,1/('Milho 1ª safra'!$E54:INDEX('Milho 1ª safra'!$E54:$Z54,MIN(AT$6-$G$3,22))&lt;&gt;""),'Milho 1ª safra'!$E54:INDEX('Milho 1ª safra'!$E54:$Z54,MIN(AT$6-$G$3,22))),0)))))</f>
        <v>0</v>
      </c>
      <c r="AU56" s="27" t="n">
        <f aca="false">IF(COUNT('Milho 1ª safra'!$E54:$Z54)=0,0,MAX(0,IF((AU$6-$E$3)&lt;1,0,IFERROR(LOOKUP(2,1/('Milho 1ª safra'!$E54:INDEX('Milho 1ª safra'!$E54:$Z54,MIN(AU$6-$E$3,22))&lt;&gt;""),'Milho 1ª safra'!$E54:INDEX('Milho 1ª safra'!$E54:$Z54,MIN(AU$6-$E$3,22))),0))-IF($G$2,0,IF((AU$6-$G$3)&lt;1,0,IFERROR(LOOKUP(2,1/('Milho 1ª safra'!$E54:INDEX('Milho 1ª safra'!$E54:$Z54,MIN(AU$6-$G$3,22))&lt;&gt;""),'Milho 1ª safra'!$E54:INDEX('Milho 1ª safra'!$E54:$Z54,MIN(AU$6-$G$3,22))),0)))))</f>
        <v>0</v>
      </c>
      <c r="AV56" s="27" t="n">
        <f aca="false">IF(COUNT('Milho 1ª safra'!$E54:$Z54)=0,0,MAX(0,IF((AV$6-$E$3)&lt;1,0,IFERROR(LOOKUP(2,1/('Milho 1ª safra'!$E54:INDEX('Milho 1ª safra'!$E54:$Z54,MIN(AV$6-$E$3,22))&lt;&gt;""),'Milho 1ª safra'!$E54:INDEX('Milho 1ª safra'!$E54:$Z54,MIN(AV$6-$E$3,22))),0))-IF($G$2,0,IF((AV$6-$G$3)&lt;1,0,IFERROR(LOOKUP(2,1/('Milho 1ª safra'!$E54:INDEX('Milho 1ª safra'!$E54:$Z54,MIN(AV$6-$G$3,22))&lt;&gt;""),'Milho 1ª safra'!$E54:INDEX('Milho 1ª safra'!$E54:$Z54,MIN(AV$6-$G$3,22))),0)))))</f>
        <v>0</v>
      </c>
      <c r="AW56" s="27" t="n">
        <f aca="false">IF(COUNT('Milho 1ª safra'!$E54:$Z54)=0,0,MAX(0,IF((AW$6-$E$3)&lt;1,0,IFERROR(LOOKUP(2,1/('Milho 1ª safra'!$E54:INDEX('Milho 1ª safra'!$E54:$Z54,MIN(AW$6-$E$3,22))&lt;&gt;""),'Milho 1ª safra'!$E54:INDEX('Milho 1ª safra'!$E54:$Z54,MIN(AW$6-$E$3,22))),0))-IF($G$2,0,IF((AW$6-$G$3)&lt;1,0,IFERROR(LOOKUP(2,1/('Milho 1ª safra'!$E54:INDEX('Milho 1ª safra'!$E54:$Z54,MIN(AW$6-$G$3,22))&lt;&gt;""),'Milho 1ª safra'!$E54:INDEX('Milho 1ª safra'!$E54:$Z54,MIN(AW$6-$G$3,22))),0)))))</f>
        <v>0</v>
      </c>
      <c r="AX56" s="27" t="n">
        <f aca="false">IF(COUNT('Milho 1ª safra'!$E54:$Z54)=0,0,MAX(0,IF((AX$6-$E$3)&lt;1,0,IFERROR(LOOKUP(2,1/('Milho 1ª safra'!$E54:INDEX('Milho 1ª safra'!$E54:$Z54,MIN(AX$6-$E$3,22))&lt;&gt;""),'Milho 1ª safra'!$E54:INDEX('Milho 1ª safra'!$E54:$Z54,MIN(AX$6-$E$3,22))),0))-IF($G$2,0,IF((AX$6-$G$3)&lt;1,0,IFERROR(LOOKUP(2,1/('Milho 1ª safra'!$E54:INDEX('Milho 1ª safra'!$E54:$Z54,MIN(AX$6-$G$3,22))&lt;&gt;""),'Milho 1ª safra'!$E54:INDEX('Milho 1ª safra'!$E54:$Z54,MIN(AX$6-$G$3,22))),0)))))</f>
        <v>0</v>
      </c>
      <c r="AY56" s="27" t="n">
        <f aca="false">IF(COUNT('Milho 1ª safra'!$E54:$Z54)=0,0,MAX(0,IF((AY$6-$E$3)&lt;1,0,IFERROR(LOOKUP(2,1/('Milho 1ª safra'!$E54:INDEX('Milho 1ª safra'!$E54:$Z54,MIN(AY$6-$E$3,22))&lt;&gt;""),'Milho 1ª safra'!$E54:INDEX('Milho 1ª safra'!$E54:$Z54,MIN(AY$6-$E$3,22))),0))-IF($G$2,0,IF((AY$6-$G$3)&lt;1,0,IFERROR(LOOKUP(2,1/('Milho 1ª safra'!$E54:INDEX('Milho 1ª safra'!$E54:$Z54,MIN(AY$6-$G$3,22))&lt;&gt;""),'Milho 1ª safra'!$E54:INDEX('Milho 1ª safra'!$E54:$Z54,MIN(AY$6-$G$3,22))),0)))))</f>
        <v>0</v>
      </c>
      <c r="AZ56" s="27" t="n">
        <f aca="false">IF(COUNT('Milho 1ª safra'!$E54:$Z54)=0,0,MAX(0,IF((AZ$6-$E$3)&lt;1,0,IFERROR(LOOKUP(2,1/('Milho 1ª safra'!$E54:INDEX('Milho 1ª safra'!$E54:$Z54,MIN(AZ$6-$E$3,22))&lt;&gt;""),'Milho 1ª safra'!$E54:INDEX('Milho 1ª safra'!$E54:$Z54,MIN(AZ$6-$E$3,22))),0))-IF($G$2,0,IF((AZ$6-$G$3)&lt;1,0,IFERROR(LOOKUP(2,1/('Milho 1ª safra'!$E54:INDEX('Milho 1ª safra'!$E54:$Z54,MIN(AZ$6-$G$3,22))&lt;&gt;""),'Milho 1ª safra'!$E54:INDEX('Milho 1ª safra'!$E54:$Z54,MIN(AZ$6-$G$3,22))),0)))))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IF(COUNT('Milho 1ª safra'!$E55:$Z55)&gt;0,N('Milho 1ª safra'!$D55),0)</f>
        <v>0</v>
      </c>
      <c r="E57" s="27" t="n">
        <f aca="false">IF(COUNT('Milho 1ª safra'!$E55:$Z55)=0,0,MAX(0,IF((E$6-$E$3)&lt;1,0,IFERROR(LOOKUP(2,1/('Milho 1ª safra'!$E55:INDEX('Milho 1ª safra'!$E55:$Z55,MIN(E$6-$E$3,22))&lt;&gt;""),'Milho 1ª safra'!$E55:INDEX('Milho 1ª safra'!$E55:$Z55,MIN(E$6-$E$3,22))),0))-IF($G$2,0,IF((E$6-$G$3)&lt;1,0,IFERROR(LOOKUP(2,1/('Milho 1ª safra'!$E55:INDEX('Milho 1ª safra'!$E55:$Z55,MIN(E$6-$G$3,22))&lt;&gt;""),'Milho 1ª safra'!$E55:INDEX('Milho 1ª safra'!$E55:$Z55,MIN(E$6-$G$3,22))),0)))))</f>
        <v>0</v>
      </c>
      <c r="F57" s="27" t="n">
        <f aca="false">IF(COUNT('Milho 1ª safra'!$E55:$Z55)=0,0,MAX(0,IF((F$6-$E$3)&lt;1,0,IFERROR(LOOKUP(2,1/('Milho 1ª safra'!$E55:INDEX('Milho 1ª safra'!$E55:$Z55,MIN(F$6-$E$3,22))&lt;&gt;""),'Milho 1ª safra'!$E55:INDEX('Milho 1ª safra'!$E55:$Z55,MIN(F$6-$E$3,22))),0))-IF($G$2,0,IF((F$6-$G$3)&lt;1,0,IFERROR(LOOKUP(2,1/('Milho 1ª safra'!$E55:INDEX('Milho 1ª safra'!$E55:$Z55,MIN(F$6-$G$3,22))&lt;&gt;""),'Milho 1ª safra'!$E55:INDEX('Milho 1ª safra'!$E55:$Z55,MIN(F$6-$G$3,22))),0)))))</f>
        <v>0</v>
      </c>
      <c r="G57" s="27" t="n">
        <f aca="false">IF(COUNT('Milho 1ª safra'!$E55:$Z55)=0,0,MAX(0,IF((G$6-$E$3)&lt;1,0,IFERROR(LOOKUP(2,1/('Milho 1ª safra'!$E55:INDEX('Milho 1ª safra'!$E55:$Z55,MIN(G$6-$E$3,22))&lt;&gt;""),'Milho 1ª safra'!$E55:INDEX('Milho 1ª safra'!$E55:$Z55,MIN(G$6-$E$3,22))),0))-IF($G$2,0,IF((G$6-$G$3)&lt;1,0,IFERROR(LOOKUP(2,1/('Milho 1ª safra'!$E55:INDEX('Milho 1ª safra'!$E55:$Z55,MIN(G$6-$G$3,22))&lt;&gt;""),'Milho 1ª safra'!$E55:INDEX('Milho 1ª safra'!$E55:$Z55,MIN(G$6-$G$3,22))),0)))))</f>
        <v>0</v>
      </c>
      <c r="H57" s="27" t="n">
        <f aca="false">IF(COUNT('Milho 1ª safra'!$E55:$Z55)=0,0,MAX(0,IF((H$6-$E$3)&lt;1,0,IFERROR(LOOKUP(2,1/('Milho 1ª safra'!$E55:INDEX('Milho 1ª safra'!$E55:$Z55,MIN(H$6-$E$3,22))&lt;&gt;""),'Milho 1ª safra'!$E55:INDEX('Milho 1ª safra'!$E55:$Z55,MIN(H$6-$E$3,22))),0))-IF($G$2,0,IF((H$6-$G$3)&lt;1,0,IFERROR(LOOKUP(2,1/('Milho 1ª safra'!$E55:INDEX('Milho 1ª safra'!$E55:$Z55,MIN(H$6-$G$3,22))&lt;&gt;""),'Milho 1ª safra'!$E55:INDEX('Milho 1ª safra'!$E55:$Z55,MIN(H$6-$G$3,22))),0)))))</f>
        <v>0</v>
      </c>
      <c r="I57" s="27" t="n">
        <f aca="false">IF(COUNT('Milho 1ª safra'!$E55:$Z55)=0,0,MAX(0,IF((I$6-$E$3)&lt;1,0,IFERROR(LOOKUP(2,1/('Milho 1ª safra'!$E55:INDEX('Milho 1ª safra'!$E55:$Z55,MIN(I$6-$E$3,22))&lt;&gt;""),'Milho 1ª safra'!$E55:INDEX('Milho 1ª safra'!$E55:$Z55,MIN(I$6-$E$3,22))),0))-IF($G$2,0,IF((I$6-$G$3)&lt;1,0,IFERROR(LOOKUP(2,1/('Milho 1ª safra'!$E55:INDEX('Milho 1ª safra'!$E55:$Z55,MIN(I$6-$G$3,22))&lt;&gt;""),'Milho 1ª safra'!$E55:INDEX('Milho 1ª safra'!$E55:$Z55,MIN(I$6-$G$3,22))),0)))))</f>
        <v>0</v>
      </c>
      <c r="J57" s="27" t="n">
        <f aca="false">IF(COUNT('Milho 1ª safra'!$E55:$Z55)=0,0,MAX(0,IF((J$6-$E$3)&lt;1,0,IFERROR(LOOKUP(2,1/('Milho 1ª safra'!$E55:INDEX('Milho 1ª safra'!$E55:$Z55,MIN(J$6-$E$3,22))&lt;&gt;""),'Milho 1ª safra'!$E55:INDEX('Milho 1ª safra'!$E55:$Z55,MIN(J$6-$E$3,22))),0))-IF($G$2,0,IF((J$6-$G$3)&lt;1,0,IFERROR(LOOKUP(2,1/('Milho 1ª safra'!$E55:INDEX('Milho 1ª safra'!$E55:$Z55,MIN(J$6-$G$3,22))&lt;&gt;""),'Milho 1ª safra'!$E55:INDEX('Milho 1ª safra'!$E55:$Z55,MIN(J$6-$G$3,22))),0)))))</f>
        <v>0</v>
      </c>
      <c r="K57" s="27" t="n">
        <f aca="false">IF(COUNT('Milho 1ª safra'!$E55:$Z55)=0,0,MAX(0,IF((K$6-$E$3)&lt;1,0,IFERROR(LOOKUP(2,1/('Milho 1ª safra'!$E55:INDEX('Milho 1ª safra'!$E55:$Z55,MIN(K$6-$E$3,22))&lt;&gt;""),'Milho 1ª safra'!$E55:INDEX('Milho 1ª safra'!$E55:$Z55,MIN(K$6-$E$3,22))),0))-IF($G$2,0,IF((K$6-$G$3)&lt;1,0,IFERROR(LOOKUP(2,1/('Milho 1ª safra'!$E55:INDEX('Milho 1ª safra'!$E55:$Z55,MIN(K$6-$G$3,22))&lt;&gt;""),'Milho 1ª safra'!$E55:INDEX('Milho 1ª safra'!$E55:$Z55,MIN(K$6-$G$3,22))),0)))))</f>
        <v>0</v>
      </c>
      <c r="L57" s="27" t="n">
        <f aca="false">IF(COUNT('Milho 1ª safra'!$E55:$Z55)=0,0,MAX(0,IF((L$6-$E$3)&lt;1,0,IFERROR(LOOKUP(2,1/('Milho 1ª safra'!$E55:INDEX('Milho 1ª safra'!$E55:$Z55,MIN(L$6-$E$3,22))&lt;&gt;""),'Milho 1ª safra'!$E55:INDEX('Milho 1ª safra'!$E55:$Z55,MIN(L$6-$E$3,22))),0))-IF($G$2,0,IF((L$6-$G$3)&lt;1,0,IFERROR(LOOKUP(2,1/('Milho 1ª safra'!$E55:INDEX('Milho 1ª safra'!$E55:$Z55,MIN(L$6-$G$3,22))&lt;&gt;""),'Milho 1ª safra'!$E55:INDEX('Milho 1ª safra'!$E55:$Z55,MIN(L$6-$G$3,22))),0)))))</f>
        <v>0</v>
      </c>
      <c r="M57" s="27" t="n">
        <f aca="false">IF(COUNT('Milho 1ª safra'!$E55:$Z55)=0,0,MAX(0,IF((M$6-$E$3)&lt;1,0,IFERROR(LOOKUP(2,1/('Milho 1ª safra'!$E55:INDEX('Milho 1ª safra'!$E55:$Z55,MIN(M$6-$E$3,22))&lt;&gt;""),'Milho 1ª safra'!$E55:INDEX('Milho 1ª safra'!$E55:$Z55,MIN(M$6-$E$3,22))),0))-IF($G$2,0,IF((M$6-$G$3)&lt;1,0,IFERROR(LOOKUP(2,1/('Milho 1ª safra'!$E55:INDEX('Milho 1ª safra'!$E55:$Z55,MIN(M$6-$G$3,22))&lt;&gt;""),'Milho 1ª safra'!$E55:INDEX('Milho 1ª safra'!$E55:$Z55,MIN(M$6-$G$3,22))),0)))))</f>
        <v>0</v>
      </c>
      <c r="N57" s="27" t="n">
        <f aca="false">IF(COUNT('Milho 1ª safra'!$E55:$Z55)=0,0,MAX(0,IF((N$6-$E$3)&lt;1,0,IFERROR(LOOKUP(2,1/('Milho 1ª safra'!$E55:INDEX('Milho 1ª safra'!$E55:$Z55,MIN(N$6-$E$3,22))&lt;&gt;""),'Milho 1ª safra'!$E55:INDEX('Milho 1ª safra'!$E55:$Z55,MIN(N$6-$E$3,22))),0))-IF($G$2,0,IF((N$6-$G$3)&lt;1,0,IFERROR(LOOKUP(2,1/('Milho 1ª safra'!$E55:INDEX('Milho 1ª safra'!$E55:$Z55,MIN(N$6-$G$3,22))&lt;&gt;""),'Milho 1ª safra'!$E55:INDEX('Milho 1ª safra'!$E55:$Z55,MIN(N$6-$G$3,22))),0)))))</f>
        <v>0</v>
      </c>
      <c r="O57" s="27" t="n">
        <f aca="false">IF(COUNT('Milho 1ª safra'!$E55:$Z55)=0,0,MAX(0,IF((O$6-$E$3)&lt;1,0,IFERROR(LOOKUP(2,1/('Milho 1ª safra'!$E55:INDEX('Milho 1ª safra'!$E55:$Z55,MIN(O$6-$E$3,22))&lt;&gt;""),'Milho 1ª safra'!$E55:INDEX('Milho 1ª safra'!$E55:$Z55,MIN(O$6-$E$3,22))),0))-IF($G$2,0,IF((O$6-$G$3)&lt;1,0,IFERROR(LOOKUP(2,1/('Milho 1ª safra'!$E55:INDEX('Milho 1ª safra'!$E55:$Z55,MIN(O$6-$G$3,22))&lt;&gt;""),'Milho 1ª safra'!$E55:INDEX('Milho 1ª safra'!$E55:$Z55,MIN(O$6-$G$3,22))),0)))))</f>
        <v>0</v>
      </c>
      <c r="P57" s="27" t="n">
        <f aca="false">IF(COUNT('Milho 1ª safra'!$E55:$Z55)=0,0,MAX(0,IF((P$6-$E$3)&lt;1,0,IFERROR(LOOKUP(2,1/('Milho 1ª safra'!$E55:INDEX('Milho 1ª safra'!$E55:$Z55,MIN(P$6-$E$3,22))&lt;&gt;""),'Milho 1ª safra'!$E55:INDEX('Milho 1ª safra'!$E55:$Z55,MIN(P$6-$E$3,22))),0))-IF($G$2,0,IF((P$6-$G$3)&lt;1,0,IFERROR(LOOKUP(2,1/('Milho 1ª safra'!$E55:INDEX('Milho 1ª safra'!$E55:$Z55,MIN(P$6-$G$3,22))&lt;&gt;""),'Milho 1ª safra'!$E55:INDEX('Milho 1ª safra'!$E55:$Z55,MIN(P$6-$G$3,22))),0)))))</f>
        <v>0</v>
      </c>
      <c r="Q57" s="27" t="n">
        <f aca="false">IF(COUNT('Milho 1ª safra'!$E55:$Z55)=0,0,MAX(0,IF((Q$6-$E$3)&lt;1,0,IFERROR(LOOKUP(2,1/('Milho 1ª safra'!$E55:INDEX('Milho 1ª safra'!$E55:$Z55,MIN(Q$6-$E$3,22))&lt;&gt;""),'Milho 1ª safra'!$E55:INDEX('Milho 1ª safra'!$E55:$Z55,MIN(Q$6-$E$3,22))),0))-IF($G$2,0,IF((Q$6-$G$3)&lt;1,0,IFERROR(LOOKUP(2,1/('Milho 1ª safra'!$E55:INDEX('Milho 1ª safra'!$E55:$Z55,MIN(Q$6-$G$3,22))&lt;&gt;""),'Milho 1ª safra'!$E55:INDEX('Milho 1ª safra'!$E55:$Z55,MIN(Q$6-$G$3,22))),0)))))</f>
        <v>0</v>
      </c>
      <c r="R57" s="27" t="n">
        <f aca="false">IF(COUNT('Milho 1ª safra'!$E55:$Z55)=0,0,MAX(0,IF((R$6-$E$3)&lt;1,0,IFERROR(LOOKUP(2,1/('Milho 1ª safra'!$E55:INDEX('Milho 1ª safra'!$E55:$Z55,MIN(R$6-$E$3,22))&lt;&gt;""),'Milho 1ª safra'!$E55:INDEX('Milho 1ª safra'!$E55:$Z55,MIN(R$6-$E$3,22))),0))-IF($G$2,0,IF((R$6-$G$3)&lt;1,0,IFERROR(LOOKUP(2,1/('Milho 1ª safra'!$E55:INDEX('Milho 1ª safra'!$E55:$Z55,MIN(R$6-$G$3,22))&lt;&gt;""),'Milho 1ª safra'!$E55:INDEX('Milho 1ª safra'!$E55:$Z55,MIN(R$6-$G$3,22))),0)))))</f>
        <v>0</v>
      </c>
      <c r="S57" s="27" t="n">
        <f aca="false">IF(COUNT('Milho 1ª safra'!$E55:$Z55)=0,0,MAX(0,IF((S$6-$E$3)&lt;1,0,IFERROR(LOOKUP(2,1/('Milho 1ª safra'!$E55:INDEX('Milho 1ª safra'!$E55:$Z55,MIN(S$6-$E$3,22))&lt;&gt;""),'Milho 1ª safra'!$E55:INDEX('Milho 1ª safra'!$E55:$Z55,MIN(S$6-$E$3,22))),0))-IF($G$2,0,IF((S$6-$G$3)&lt;1,0,IFERROR(LOOKUP(2,1/('Milho 1ª safra'!$E55:INDEX('Milho 1ª safra'!$E55:$Z55,MIN(S$6-$G$3,22))&lt;&gt;""),'Milho 1ª safra'!$E55:INDEX('Milho 1ª safra'!$E55:$Z55,MIN(S$6-$G$3,22))),0)))))</f>
        <v>0</v>
      </c>
      <c r="T57" s="27" t="n">
        <f aca="false">IF(COUNT('Milho 1ª safra'!$E55:$Z55)=0,0,MAX(0,IF((T$6-$E$3)&lt;1,0,IFERROR(LOOKUP(2,1/('Milho 1ª safra'!$E55:INDEX('Milho 1ª safra'!$E55:$Z55,MIN(T$6-$E$3,22))&lt;&gt;""),'Milho 1ª safra'!$E55:INDEX('Milho 1ª safra'!$E55:$Z55,MIN(T$6-$E$3,22))),0))-IF($G$2,0,IF((T$6-$G$3)&lt;1,0,IFERROR(LOOKUP(2,1/('Milho 1ª safra'!$E55:INDEX('Milho 1ª safra'!$E55:$Z55,MIN(T$6-$G$3,22))&lt;&gt;""),'Milho 1ª safra'!$E55:INDEX('Milho 1ª safra'!$E55:$Z55,MIN(T$6-$G$3,22))),0)))))</f>
        <v>0</v>
      </c>
      <c r="U57" s="27" t="n">
        <f aca="false">IF(COUNT('Milho 1ª safra'!$E55:$Z55)=0,0,MAX(0,IF((U$6-$E$3)&lt;1,0,IFERROR(LOOKUP(2,1/('Milho 1ª safra'!$E55:INDEX('Milho 1ª safra'!$E55:$Z55,MIN(U$6-$E$3,22))&lt;&gt;""),'Milho 1ª safra'!$E55:INDEX('Milho 1ª safra'!$E55:$Z55,MIN(U$6-$E$3,22))),0))-IF($G$2,0,IF((U$6-$G$3)&lt;1,0,IFERROR(LOOKUP(2,1/('Milho 1ª safra'!$E55:INDEX('Milho 1ª safra'!$E55:$Z55,MIN(U$6-$G$3,22))&lt;&gt;""),'Milho 1ª safra'!$E55:INDEX('Milho 1ª safra'!$E55:$Z55,MIN(U$6-$G$3,22))),0)))))</f>
        <v>0</v>
      </c>
      <c r="V57" s="27" t="n">
        <f aca="false">IF(COUNT('Milho 1ª safra'!$E55:$Z55)=0,0,MAX(0,IF((V$6-$E$3)&lt;1,0,IFERROR(LOOKUP(2,1/('Milho 1ª safra'!$E55:INDEX('Milho 1ª safra'!$E55:$Z55,MIN(V$6-$E$3,22))&lt;&gt;""),'Milho 1ª safra'!$E55:INDEX('Milho 1ª safra'!$E55:$Z55,MIN(V$6-$E$3,22))),0))-IF($G$2,0,IF((V$6-$G$3)&lt;1,0,IFERROR(LOOKUP(2,1/('Milho 1ª safra'!$E55:INDEX('Milho 1ª safra'!$E55:$Z55,MIN(V$6-$G$3,22))&lt;&gt;""),'Milho 1ª safra'!$E55:INDEX('Milho 1ª safra'!$E55:$Z55,MIN(V$6-$G$3,22))),0)))))</f>
        <v>0</v>
      </c>
      <c r="W57" s="27" t="n">
        <f aca="false">IF(COUNT('Milho 1ª safra'!$E55:$Z55)=0,0,MAX(0,IF((W$6-$E$3)&lt;1,0,IFERROR(LOOKUP(2,1/('Milho 1ª safra'!$E55:INDEX('Milho 1ª safra'!$E55:$Z55,MIN(W$6-$E$3,22))&lt;&gt;""),'Milho 1ª safra'!$E55:INDEX('Milho 1ª safra'!$E55:$Z55,MIN(W$6-$E$3,22))),0))-IF($G$2,0,IF((W$6-$G$3)&lt;1,0,IFERROR(LOOKUP(2,1/('Milho 1ª safra'!$E55:INDEX('Milho 1ª safra'!$E55:$Z55,MIN(W$6-$G$3,22))&lt;&gt;""),'Milho 1ª safra'!$E55:INDEX('Milho 1ª safra'!$E55:$Z55,MIN(W$6-$G$3,22))),0)))))</f>
        <v>0</v>
      </c>
      <c r="X57" s="27" t="n">
        <f aca="false">IF(COUNT('Milho 1ª safra'!$E55:$Z55)=0,0,MAX(0,IF((X$6-$E$3)&lt;1,0,IFERROR(LOOKUP(2,1/('Milho 1ª safra'!$E55:INDEX('Milho 1ª safra'!$E55:$Z55,MIN(X$6-$E$3,22))&lt;&gt;""),'Milho 1ª safra'!$E55:INDEX('Milho 1ª safra'!$E55:$Z55,MIN(X$6-$E$3,22))),0))-IF($G$2,0,IF((X$6-$G$3)&lt;1,0,IFERROR(LOOKUP(2,1/('Milho 1ª safra'!$E55:INDEX('Milho 1ª safra'!$E55:$Z55,MIN(X$6-$G$3,22))&lt;&gt;""),'Milho 1ª safra'!$E55:INDEX('Milho 1ª safra'!$E55:$Z55,MIN(X$6-$G$3,22))),0)))))</f>
        <v>0</v>
      </c>
      <c r="Y57" s="27" t="n">
        <f aca="false">IF(COUNT('Milho 1ª safra'!$E55:$Z55)=0,0,MAX(0,IF((Y$6-$E$3)&lt;1,0,IFERROR(LOOKUP(2,1/('Milho 1ª safra'!$E55:INDEX('Milho 1ª safra'!$E55:$Z55,MIN(Y$6-$E$3,22))&lt;&gt;""),'Milho 1ª safra'!$E55:INDEX('Milho 1ª safra'!$E55:$Z55,MIN(Y$6-$E$3,22))),0))-IF($G$2,0,IF((Y$6-$G$3)&lt;1,0,IFERROR(LOOKUP(2,1/('Milho 1ª safra'!$E55:INDEX('Milho 1ª safra'!$E55:$Z55,MIN(Y$6-$G$3,22))&lt;&gt;""),'Milho 1ª safra'!$E55:INDEX('Milho 1ª safra'!$E55:$Z55,MIN(Y$6-$G$3,22))),0)))))</f>
        <v>0</v>
      </c>
      <c r="Z57" s="27" t="n">
        <f aca="false">IF(COUNT('Milho 1ª safra'!$E55:$Z55)=0,0,MAX(0,IF((Z$6-$E$3)&lt;1,0,IFERROR(LOOKUP(2,1/('Milho 1ª safra'!$E55:INDEX('Milho 1ª safra'!$E55:$Z55,MIN(Z$6-$E$3,22))&lt;&gt;""),'Milho 1ª safra'!$E55:INDEX('Milho 1ª safra'!$E55:$Z55,MIN(Z$6-$E$3,22))),0))-IF($G$2,0,IF((Z$6-$G$3)&lt;1,0,IFERROR(LOOKUP(2,1/('Milho 1ª safra'!$E55:INDEX('Milho 1ª safra'!$E55:$Z55,MIN(Z$6-$G$3,22))&lt;&gt;""),'Milho 1ª safra'!$E55:INDEX('Milho 1ª safra'!$E55:$Z55,MIN(Z$6-$G$3,22))),0)))))</f>
        <v>0</v>
      </c>
      <c r="AA57" s="27" t="n">
        <f aca="false">IF(COUNT('Milho 1ª safra'!$E55:$Z55)=0,0,MAX(0,IF((AA$6-$E$3)&lt;1,0,IFERROR(LOOKUP(2,1/('Milho 1ª safra'!$E55:INDEX('Milho 1ª safra'!$E55:$Z55,MIN(AA$6-$E$3,22))&lt;&gt;""),'Milho 1ª safra'!$E55:INDEX('Milho 1ª safra'!$E55:$Z55,MIN(AA$6-$E$3,22))),0))-IF($G$2,0,IF((AA$6-$G$3)&lt;1,0,IFERROR(LOOKUP(2,1/('Milho 1ª safra'!$E55:INDEX('Milho 1ª safra'!$E55:$Z55,MIN(AA$6-$G$3,22))&lt;&gt;""),'Milho 1ª safra'!$E55:INDEX('Milho 1ª safra'!$E55:$Z55,MIN(AA$6-$G$3,22))),0)))))</f>
        <v>0</v>
      </c>
      <c r="AB57" s="27" t="n">
        <f aca="false">IF(COUNT('Milho 1ª safra'!$E55:$Z55)=0,0,MAX(0,IF((AB$6-$E$3)&lt;1,0,IFERROR(LOOKUP(2,1/('Milho 1ª safra'!$E55:INDEX('Milho 1ª safra'!$E55:$Z55,MIN(AB$6-$E$3,22))&lt;&gt;""),'Milho 1ª safra'!$E55:INDEX('Milho 1ª safra'!$E55:$Z55,MIN(AB$6-$E$3,22))),0))-IF($G$2,0,IF((AB$6-$G$3)&lt;1,0,IFERROR(LOOKUP(2,1/('Milho 1ª safra'!$E55:INDEX('Milho 1ª safra'!$E55:$Z55,MIN(AB$6-$G$3,22))&lt;&gt;""),'Milho 1ª safra'!$E55:INDEX('Milho 1ª safra'!$E55:$Z55,MIN(AB$6-$G$3,22))),0)))))</f>
        <v>0</v>
      </c>
      <c r="AC57" s="27" t="n">
        <f aca="false">IF(COUNT('Milho 1ª safra'!$E55:$Z55)=0,0,MAX(0,IF((AC$6-$E$3)&lt;1,0,IFERROR(LOOKUP(2,1/('Milho 1ª safra'!$E55:INDEX('Milho 1ª safra'!$E55:$Z55,MIN(AC$6-$E$3,22))&lt;&gt;""),'Milho 1ª safra'!$E55:INDEX('Milho 1ª safra'!$E55:$Z55,MIN(AC$6-$E$3,22))),0))-IF($G$2,0,IF((AC$6-$G$3)&lt;1,0,IFERROR(LOOKUP(2,1/('Milho 1ª safra'!$E55:INDEX('Milho 1ª safra'!$E55:$Z55,MIN(AC$6-$G$3,22))&lt;&gt;""),'Milho 1ª safra'!$E55:INDEX('Milho 1ª safra'!$E55:$Z55,MIN(AC$6-$G$3,22))),0)))))</f>
        <v>0</v>
      </c>
      <c r="AD57" s="27" t="n">
        <f aca="false">IF(COUNT('Milho 1ª safra'!$E55:$Z55)=0,0,MAX(0,IF((AD$6-$E$3)&lt;1,0,IFERROR(LOOKUP(2,1/('Milho 1ª safra'!$E55:INDEX('Milho 1ª safra'!$E55:$Z55,MIN(AD$6-$E$3,22))&lt;&gt;""),'Milho 1ª safra'!$E55:INDEX('Milho 1ª safra'!$E55:$Z55,MIN(AD$6-$E$3,22))),0))-IF($G$2,0,IF((AD$6-$G$3)&lt;1,0,IFERROR(LOOKUP(2,1/('Milho 1ª safra'!$E55:INDEX('Milho 1ª safra'!$E55:$Z55,MIN(AD$6-$G$3,22))&lt;&gt;""),'Milho 1ª safra'!$E55:INDEX('Milho 1ª safra'!$E55:$Z55,MIN(AD$6-$G$3,22))),0)))))</f>
        <v>0</v>
      </c>
      <c r="AE57" s="27" t="n">
        <f aca="false">IF(COUNT('Milho 1ª safra'!$E55:$Z55)=0,0,MAX(0,IF((AE$6-$E$3)&lt;1,0,IFERROR(LOOKUP(2,1/('Milho 1ª safra'!$E55:INDEX('Milho 1ª safra'!$E55:$Z55,MIN(AE$6-$E$3,22))&lt;&gt;""),'Milho 1ª safra'!$E55:INDEX('Milho 1ª safra'!$E55:$Z55,MIN(AE$6-$E$3,22))),0))-IF($G$2,0,IF((AE$6-$G$3)&lt;1,0,IFERROR(LOOKUP(2,1/('Milho 1ª safra'!$E55:INDEX('Milho 1ª safra'!$E55:$Z55,MIN(AE$6-$G$3,22))&lt;&gt;""),'Milho 1ª safra'!$E55:INDEX('Milho 1ª safra'!$E55:$Z55,MIN(AE$6-$G$3,22))),0)))))</f>
        <v>0</v>
      </c>
      <c r="AF57" s="27" t="n">
        <f aca="false">IF(COUNT('Milho 1ª safra'!$E55:$Z55)=0,0,MAX(0,IF((AF$6-$E$3)&lt;1,0,IFERROR(LOOKUP(2,1/('Milho 1ª safra'!$E55:INDEX('Milho 1ª safra'!$E55:$Z55,MIN(AF$6-$E$3,22))&lt;&gt;""),'Milho 1ª safra'!$E55:INDEX('Milho 1ª safra'!$E55:$Z55,MIN(AF$6-$E$3,22))),0))-IF($G$2,0,IF((AF$6-$G$3)&lt;1,0,IFERROR(LOOKUP(2,1/('Milho 1ª safra'!$E55:INDEX('Milho 1ª safra'!$E55:$Z55,MIN(AF$6-$G$3,22))&lt;&gt;""),'Milho 1ª safra'!$E55:INDEX('Milho 1ª safra'!$E55:$Z55,MIN(AF$6-$G$3,22))),0)))))</f>
        <v>0</v>
      </c>
      <c r="AG57" s="27" t="n">
        <f aca="false">IF(COUNT('Milho 1ª safra'!$E55:$Z55)=0,0,MAX(0,IF((AG$6-$E$3)&lt;1,0,IFERROR(LOOKUP(2,1/('Milho 1ª safra'!$E55:INDEX('Milho 1ª safra'!$E55:$Z55,MIN(AG$6-$E$3,22))&lt;&gt;""),'Milho 1ª safra'!$E55:INDEX('Milho 1ª safra'!$E55:$Z55,MIN(AG$6-$E$3,22))),0))-IF($G$2,0,IF((AG$6-$G$3)&lt;1,0,IFERROR(LOOKUP(2,1/('Milho 1ª safra'!$E55:INDEX('Milho 1ª safra'!$E55:$Z55,MIN(AG$6-$G$3,22))&lt;&gt;""),'Milho 1ª safra'!$E55:INDEX('Milho 1ª safra'!$E55:$Z55,MIN(AG$6-$G$3,22))),0)))))</f>
        <v>0</v>
      </c>
      <c r="AH57" s="27" t="n">
        <f aca="false">IF(COUNT('Milho 1ª safra'!$E55:$Z55)=0,0,MAX(0,IF((AH$6-$E$3)&lt;1,0,IFERROR(LOOKUP(2,1/('Milho 1ª safra'!$E55:INDEX('Milho 1ª safra'!$E55:$Z55,MIN(AH$6-$E$3,22))&lt;&gt;""),'Milho 1ª safra'!$E55:INDEX('Milho 1ª safra'!$E55:$Z55,MIN(AH$6-$E$3,22))),0))-IF($G$2,0,IF((AH$6-$G$3)&lt;1,0,IFERROR(LOOKUP(2,1/('Milho 1ª safra'!$E55:INDEX('Milho 1ª safra'!$E55:$Z55,MIN(AH$6-$G$3,22))&lt;&gt;""),'Milho 1ª safra'!$E55:INDEX('Milho 1ª safra'!$E55:$Z55,MIN(AH$6-$G$3,22))),0)))))</f>
        <v>0</v>
      </c>
      <c r="AI57" s="27" t="n">
        <f aca="false">IF(COUNT('Milho 1ª safra'!$E55:$Z55)=0,0,MAX(0,IF((AI$6-$E$3)&lt;1,0,IFERROR(LOOKUP(2,1/('Milho 1ª safra'!$E55:INDEX('Milho 1ª safra'!$E55:$Z55,MIN(AI$6-$E$3,22))&lt;&gt;""),'Milho 1ª safra'!$E55:INDEX('Milho 1ª safra'!$E55:$Z55,MIN(AI$6-$E$3,22))),0))-IF($G$2,0,IF((AI$6-$G$3)&lt;1,0,IFERROR(LOOKUP(2,1/('Milho 1ª safra'!$E55:INDEX('Milho 1ª safra'!$E55:$Z55,MIN(AI$6-$G$3,22))&lt;&gt;""),'Milho 1ª safra'!$E55:INDEX('Milho 1ª safra'!$E55:$Z55,MIN(AI$6-$G$3,22))),0)))))</f>
        <v>0</v>
      </c>
      <c r="AJ57" s="27" t="n">
        <f aca="false">IF(COUNT('Milho 1ª safra'!$E55:$Z55)=0,0,MAX(0,IF((AJ$6-$E$3)&lt;1,0,IFERROR(LOOKUP(2,1/('Milho 1ª safra'!$E55:INDEX('Milho 1ª safra'!$E55:$Z55,MIN(AJ$6-$E$3,22))&lt;&gt;""),'Milho 1ª safra'!$E55:INDEX('Milho 1ª safra'!$E55:$Z55,MIN(AJ$6-$E$3,22))),0))-IF($G$2,0,IF((AJ$6-$G$3)&lt;1,0,IFERROR(LOOKUP(2,1/('Milho 1ª safra'!$E55:INDEX('Milho 1ª safra'!$E55:$Z55,MIN(AJ$6-$G$3,22))&lt;&gt;""),'Milho 1ª safra'!$E55:INDEX('Milho 1ª safra'!$E55:$Z55,MIN(AJ$6-$G$3,22))),0)))))</f>
        <v>0</v>
      </c>
      <c r="AK57" s="27" t="n">
        <f aca="false">IF(COUNT('Milho 1ª safra'!$E55:$Z55)=0,0,MAX(0,IF((AK$6-$E$3)&lt;1,0,IFERROR(LOOKUP(2,1/('Milho 1ª safra'!$E55:INDEX('Milho 1ª safra'!$E55:$Z55,MIN(AK$6-$E$3,22))&lt;&gt;""),'Milho 1ª safra'!$E55:INDEX('Milho 1ª safra'!$E55:$Z55,MIN(AK$6-$E$3,22))),0))-IF($G$2,0,IF((AK$6-$G$3)&lt;1,0,IFERROR(LOOKUP(2,1/('Milho 1ª safra'!$E55:INDEX('Milho 1ª safra'!$E55:$Z55,MIN(AK$6-$G$3,22))&lt;&gt;""),'Milho 1ª safra'!$E55:INDEX('Milho 1ª safra'!$E55:$Z55,MIN(AK$6-$G$3,22))),0)))))</f>
        <v>0</v>
      </c>
      <c r="AL57" s="27" t="n">
        <f aca="false">IF(COUNT('Milho 1ª safra'!$E55:$Z55)=0,0,MAX(0,IF((AL$6-$E$3)&lt;1,0,IFERROR(LOOKUP(2,1/('Milho 1ª safra'!$E55:INDEX('Milho 1ª safra'!$E55:$Z55,MIN(AL$6-$E$3,22))&lt;&gt;""),'Milho 1ª safra'!$E55:INDEX('Milho 1ª safra'!$E55:$Z55,MIN(AL$6-$E$3,22))),0))-IF($G$2,0,IF((AL$6-$G$3)&lt;1,0,IFERROR(LOOKUP(2,1/('Milho 1ª safra'!$E55:INDEX('Milho 1ª safra'!$E55:$Z55,MIN(AL$6-$G$3,22))&lt;&gt;""),'Milho 1ª safra'!$E55:INDEX('Milho 1ª safra'!$E55:$Z55,MIN(AL$6-$G$3,22))),0)))))</f>
        <v>0</v>
      </c>
      <c r="AM57" s="27" t="n">
        <f aca="false">IF(COUNT('Milho 1ª safra'!$E55:$Z55)=0,0,MAX(0,IF((AM$6-$E$3)&lt;1,0,IFERROR(LOOKUP(2,1/('Milho 1ª safra'!$E55:INDEX('Milho 1ª safra'!$E55:$Z55,MIN(AM$6-$E$3,22))&lt;&gt;""),'Milho 1ª safra'!$E55:INDEX('Milho 1ª safra'!$E55:$Z55,MIN(AM$6-$E$3,22))),0))-IF($G$2,0,IF((AM$6-$G$3)&lt;1,0,IFERROR(LOOKUP(2,1/('Milho 1ª safra'!$E55:INDEX('Milho 1ª safra'!$E55:$Z55,MIN(AM$6-$G$3,22))&lt;&gt;""),'Milho 1ª safra'!$E55:INDEX('Milho 1ª safra'!$E55:$Z55,MIN(AM$6-$G$3,22))),0)))))</f>
        <v>0</v>
      </c>
      <c r="AN57" s="27" t="n">
        <f aca="false">IF(COUNT('Milho 1ª safra'!$E55:$Z55)=0,0,MAX(0,IF((AN$6-$E$3)&lt;1,0,IFERROR(LOOKUP(2,1/('Milho 1ª safra'!$E55:INDEX('Milho 1ª safra'!$E55:$Z55,MIN(AN$6-$E$3,22))&lt;&gt;""),'Milho 1ª safra'!$E55:INDEX('Milho 1ª safra'!$E55:$Z55,MIN(AN$6-$E$3,22))),0))-IF($G$2,0,IF((AN$6-$G$3)&lt;1,0,IFERROR(LOOKUP(2,1/('Milho 1ª safra'!$E55:INDEX('Milho 1ª safra'!$E55:$Z55,MIN(AN$6-$G$3,22))&lt;&gt;""),'Milho 1ª safra'!$E55:INDEX('Milho 1ª safra'!$E55:$Z55,MIN(AN$6-$G$3,22))),0)))))</f>
        <v>0</v>
      </c>
      <c r="AO57" s="27" t="n">
        <f aca="false">IF(COUNT('Milho 1ª safra'!$E55:$Z55)=0,0,MAX(0,IF((AO$6-$E$3)&lt;1,0,IFERROR(LOOKUP(2,1/('Milho 1ª safra'!$E55:INDEX('Milho 1ª safra'!$E55:$Z55,MIN(AO$6-$E$3,22))&lt;&gt;""),'Milho 1ª safra'!$E55:INDEX('Milho 1ª safra'!$E55:$Z55,MIN(AO$6-$E$3,22))),0))-IF($G$2,0,IF((AO$6-$G$3)&lt;1,0,IFERROR(LOOKUP(2,1/('Milho 1ª safra'!$E55:INDEX('Milho 1ª safra'!$E55:$Z55,MIN(AO$6-$G$3,22))&lt;&gt;""),'Milho 1ª safra'!$E55:INDEX('Milho 1ª safra'!$E55:$Z55,MIN(AO$6-$G$3,22))),0)))))</f>
        <v>0</v>
      </c>
      <c r="AP57" s="27" t="n">
        <f aca="false">IF(COUNT('Milho 1ª safra'!$E55:$Z55)=0,0,MAX(0,IF((AP$6-$E$3)&lt;1,0,IFERROR(LOOKUP(2,1/('Milho 1ª safra'!$E55:INDEX('Milho 1ª safra'!$E55:$Z55,MIN(AP$6-$E$3,22))&lt;&gt;""),'Milho 1ª safra'!$E55:INDEX('Milho 1ª safra'!$E55:$Z55,MIN(AP$6-$E$3,22))),0))-IF($G$2,0,IF((AP$6-$G$3)&lt;1,0,IFERROR(LOOKUP(2,1/('Milho 1ª safra'!$E55:INDEX('Milho 1ª safra'!$E55:$Z55,MIN(AP$6-$G$3,22))&lt;&gt;""),'Milho 1ª safra'!$E55:INDEX('Milho 1ª safra'!$E55:$Z55,MIN(AP$6-$G$3,22))),0)))))</f>
        <v>0</v>
      </c>
      <c r="AQ57" s="27" t="n">
        <f aca="false">IF(COUNT('Milho 1ª safra'!$E55:$Z55)=0,0,MAX(0,IF((AQ$6-$E$3)&lt;1,0,IFERROR(LOOKUP(2,1/('Milho 1ª safra'!$E55:INDEX('Milho 1ª safra'!$E55:$Z55,MIN(AQ$6-$E$3,22))&lt;&gt;""),'Milho 1ª safra'!$E55:INDEX('Milho 1ª safra'!$E55:$Z55,MIN(AQ$6-$E$3,22))),0))-IF($G$2,0,IF((AQ$6-$G$3)&lt;1,0,IFERROR(LOOKUP(2,1/('Milho 1ª safra'!$E55:INDEX('Milho 1ª safra'!$E55:$Z55,MIN(AQ$6-$G$3,22))&lt;&gt;""),'Milho 1ª safra'!$E55:INDEX('Milho 1ª safra'!$E55:$Z55,MIN(AQ$6-$G$3,22))),0)))))</f>
        <v>0</v>
      </c>
      <c r="AR57" s="27" t="n">
        <f aca="false">IF(COUNT('Milho 1ª safra'!$E55:$Z55)=0,0,MAX(0,IF((AR$6-$E$3)&lt;1,0,IFERROR(LOOKUP(2,1/('Milho 1ª safra'!$E55:INDEX('Milho 1ª safra'!$E55:$Z55,MIN(AR$6-$E$3,22))&lt;&gt;""),'Milho 1ª safra'!$E55:INDEX('Milho 1ª safra'!$E55:$Z55,MIN(AR$6-$E$3,22))),0))-IF($G$2,0,IF((AR$6-$G$3)&lt;1,0,IFERROR(LOOKUP(2,1/('Milho 1ª safra'!$E55:INDEX('Milho 1ª safra'!$E55:$Z55,MIN(AR$6-$G$3,22))&lt;&gt;""),'Milho 1ª safra'!$E55:INDEX('Milho 1ª safra'!$E55:$Z55,MIN(AR$6-$G$3,22))),0)))))</f>
        <v>0</v>
      </c>
      <c r="AS57" s="27" t="n">
        <f aca="false">IF(COUNT('Milho 1ª safra'!$E55:$Z55)=0,0,MAX(0,IF((AS$6-$E$3)&lt;1,0,IFERROR(LOOKUP(2,1/('Milho 1ª safra'!$E55:INDEX('Milho 1ª safra'!$E55:$Z55,MIN(AS$6-$E$3,22))&lt;&gt;""),'Milho 1ª safra'!$E55:INDEX('Milho 1ª safra'!$E55:$Z55,MIN(AS$6-$E$3,22))),0))-IF($G$2,0,IF((AS$6-$G$3)&lt;1,0,IFERROR(LOOKUP(2,1/('Milho 1ª safra'!$E55:INDEX('Milho 1ª safra'!$E55:$Z55,MIN(AS$6-$G$3,22))&lt;&gt;""),'Milho 1ª safra'!$E55:INDEX('Milho 1ª safra'!$E55:$Z55,MIN(AS$6-$G$3,22))),0)))))</f>
        <v>0</v>
      </c>
      <c r="AT57" s="27" t="n">
        <f aca="false">IF(COUNT('Milho 1ª safra'!$E55:$Z55)=0,0,MAX(0,IF((AT$6-$E$3)&lt;1,0,IFERROR(LOOKUP(2,1/('Milho 1ª safra'!$E55:INDEX('Milho 1ª safra'!$E55:$Z55,MIN(AT$6-$E$3,22))&lt;&gt;""),'Milho 1ª safra'!$E55:INDEX('Milho 1ª safra'!$E55:$Z55,MIN(AT$6-$E$3,22))),0))-IF($G$2,0,IF((AT$6-$G$3)&lt;1,0,IFERROR(LOOKUP(2,1/('Milho 1ª safra'!$E55:INDEX('Milho 1ª safra'!$E55:$Z55,MIN(AT$6-$G$3,22))&lt;&gt;""),'Milho 1ª safra'!$E55:INDEX('Milho 1ª safra'!$E55:$Z55,MIN(AT$6-$G$3,22))),0)))))</f>
        <v>0</v>
      </c>
      <c r="AU57" s="27" t="n">
        <f aca="false">IF(COUNT('Milho 1ª safra'!$E55:$Z55)=0,0,MAX(0,IF((AU$6-$E$3)&lt;1,0,IFERROR(LOOKUP(2,1/('Milho 1ª safra'!$E55:INDEX('Milho 1ª safra'!$E55:$Z55,MIN(AU$6-$E$3,22))&lt;&gt;""),'Milho 1ª safra'!$E55:INDEX('Milho 1ª safra'!$E55:$Z55,MIN(AU$6-$E$3,22))),0))-IF($G$2,0,IF((AU$6-$G$3)&lt;1,0,IFERROR(LOOKUP(2,1/('Milho 1ª safra'!$E55:INDEX('Milho 1ª safra'!$E55:$Z55,MIN(AU$6-$G$3,22))&lt;&gt;""),'Milho 1ª safra'!$E55:INDEX('Milho 1ª safra'!$E55:$Z55,MIN(AU$6-$G$3,22))),0)))))</f>
        <v>0</v>
      </c>
      <c r="AV57" s="27" t="n">
        <f aca="false">IF(COUNT('Milho 1ª safra'!$E55:$Z55)=0,0,MAX(0,IF((AV$6-$E$3)&lt;1,0,IFERROR(LOOKUP(2,1/('Milho 1ª safra'!$E55:INDEX('Milho 1ª safra'!$E55:$Z55,MIN(AV$6-$E$3,22))&lt;&gt;""),'Milho 1ª safra'!$E55:INDEX('Milho 1ª safra'!$E55:$Z55,MIN(AV$6-$E$3,22))),0))-IF($G$2,0,IF((AV$6-$G$3)&lt;1,0,IFERROR(LOOKUP(2,1/('Milho 1ª safra'!$E55:INDEX('Milho 1ª safra'!$E55:$Z55,MIN(AV$6-$G$3,22))&lt;&gt;""),'Milho 1ª safra'!$E55:INDEX('Milho 1ª safra'!$E55:$Z55,MIN(AV$6-$G$3,22))),0)))))</f>
        <v>0</v>
      </c>
      <c r="AW57" s="27" t="n">
        <f aca="false">IF(COUNT('Milho 1ª safra'!$E55:$Z55)=0,0,MAX(0,IF((AW$6-$E$3)&lt;1,0,IFERROR(LOOKUP(2,1/('Milho 1ª safra'!$E55:INDEX('Milho 1ª safra'!$E55:$Z55,MIN(AW$6-$E$3,22))&lt;&gt;""),'Milho 1ª safra'!$E55:INDEX('Milho 1ª safra'!$E55:$Z55,MIN(AW$6-$E$3,22))),0))-IF($G$2,0,IF((AW$6-$G$3)&lt;1,0,IFERROR(LOOKUP(2,1/('Milho 1ª safra'!$E55:INDEX('Milho 1ª safra'!$E55:$Z55,MIN(AW$6-$G$3,22))&lt;&gt;""),'Milho 1ª safra'!$E55:INDEX('Milho 1ª safra'!$E55:$Z55,MIN(AW$6-$G$3,22))),0)))))</f>
        <v>0</v>
      </c>
      <c r="AX57" s="27" t="n">
        <f aca="false">IF(COUNT('Milho 1ª safra'!$E55:$Z55)=0,0,MAX(0,IF((AX$6-$E$3)&lt;1,0,IFERROR(LOOKUP(2,1/('Milho 1ª safra'!$E55:INDEX('Milho 1ª safra'!$E55:$Z55,MIN(AX$6-$E$3,22))&lt;&gt;""),'Milho 1ª safra'!$E55:INDEX('Milho 1ª safra'!$E55:$Z55,MIN(AX$6-$E$3,22))),0))-IF($G$2,0,IF((AX$6-$G$3)&lt;1,0,IFERROR(LOOKUP(2,1/('Milho 1ª safra'!$E55:INDEX('Milho 1ª safra'!$E55:$Z55,MIN(AX$6-$G$3,22))&lt;&gt;""),'Milho 1ª safra'!$E55:INDEX('Milho 1ª safra'!$E55:$Z55,MIN(AX$6-$G$3,22))),0)))))</f>
        <v>0</v>
      </c>
      <c r="AY57" s="27" t="n">
        <f aca="false">IF(COUNT('Milho 1ª safra'!$E55:$Z55)=0,0,MAX(0,IF((AY$6-$E$3)&lt;1,0,IFERROR(LOOKUP(2,1/('Milho 1ª safra'!$E55:INDEX('Milho 1ª safra'!$E55:$Z55,MIN(AY$6-$E$3,22))&lt;&gt;""),'Milho 1ª safra'!$E55:INDEX('Milho 1ª safra'!$E55:$Z55,MIN(AY$6-$E$3,22))),0))-IF($G$2,0,IF((AY$6-$G$3)&lt;1,0,IFERROR(LOOKUP(2,1/('Milho 1ª safra'!$E55:INDEX('Milho 1ª safra'!$E55:$Z55,MIN(AY$6-$G$3,22))&lt;&gt;""),'Milho 1ª safra'!$E55:INDEX('Milho 1ª safra'!$E55:$Z55,MIN(AY$6-$G$3,22))),0)))))</f>
        <v>0</v>
      </c>
      <c r="AZ57" s="27" t="n">
        <f aca="false">IF(COUNT('Milho 1ª safra'!$E55:$Z55)=0,0,MAX(0,IF((AZ$6-$E$3)&lt;1,0,IFERROR(LOOKUP(2,1/('Milho 1ª safra'!$E55:INDEX('Milho 1ª safra'!$E55:$Z55,MIN(AZ$6-$E$3,22))&lt;&gt;""),'Milho 1ª safra'!$E55:INDEX('Milho 1ª safra'!$E55:$Z55,MIN(AZ$6-$E$3,22))),0))-IF($G$2,0,IF((AZ$6-$G$3)&lt;1,0,IFERROR(LOOKUP(2,1/('Milho 1ª safra'!$E55:INDEX('Milho 1ª safra'!$E55:$Z55,MIN(AZ$6-$G$3,22))&lt;&gt;""),'Milho 1ª safra'!$E55:INDEX('Milho 1ª safra'!$E55:$Z55,MIN(AZ$6-$G$3,22))),0)))))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IF(COUNT('Milho 1ª safra'!$E56:$Z56)&gt;0,N('Milho 1ª safra'!$D56),0)</f>
        <v>0</v>
      </c>
      <c r="E58" s="27" t="n">
        <f aca="false">IF(COUNT('Milho 1ª safra'!$E56:$Z56)=0,0,MAX(0,IF((E$6-$E$3)&lt;1,0,IFERROR(LOOKUP(2,1/('Milho 1ª safra'!$E56:INDEX('Milho 1ª safra'!$E56:$Z56,MIN(E$6-$E$3,22))&lt;&gt;""),'Milho 1ª safra'!$E56:INDEX('Milho 1ª safra'!$E56:$Z56,MIN(E$6-$E$3,22))),0))-IF($G$2,0,IF((E$6-$G$3)&lt;1,0,IFERROR(LOOKUP(2,1/('Milho 1ª safra'!$E56:INDEX('Milho 1ª safra'!$E56:$Z56,MIN(E$6-$G$3,22))&lt;&gt;""),'Milho 1ª safra'!$E56:INDEX('Milho 1ª safra'!$E56:$Z56,MIN(E$6-$G$3,22))),0)))))</f>
        <v>0</v>
      </c>
      <c r="F58" s="27" t="n">
        <f aca="false">IF(COUNT('Milho 1ª safra'!$E56:$Z56)=0,0,MAX(0,IF((F$6-$E$3)&lt;1,0,IFERROR(LOOKUP(2,1/('Milho 1ª safra'!$E56:INDEX('Milho 1ª safra'!$E56:$Z56,MIN(F$6-$E$3,22))&lt;&gt;""),'Milho 1ª safra'!$E56:INDEX('Milho 1ª safra'!$E56:$Z56,MIN(F$6-$E$3,22))),0))-IF($G$2,0,IF((F$6-$G$3)&lt;1,0,IFERROR(LOOKUP(2,1/('Milho 1ª safra'!$E56:INDEX('Milho 1ª safra'!$E56:$Z56,MIN(F$6-$G$3,22))&lt;&gt;""),'Milho 1ª safra'!$E56:INDEX('Milho 1ª safra'!$E56:$Z56,MIN(F$6-$G$3,22))),0)))))</f>
        <v>0</v>
      </c>
      <c r="G58" s="27" t="n">
        <f aca="false">IF(COUNT('Milho 1ª safra'!$E56:$Z56)=0,0,MAX(0,IF((G$6-$E$3)&lt;1,0,IFERROR(LOOKUP(2,1/('Milho 1ª safra'!$E56:INDEX('Milho 1ª safra'!$E56:$Z56,MIN(G$6-$E$3,22))&lt;&gt;""),'Milho 1ª safra'!$E56:INDEX('Milho 1ª safra'!$E56:$Z56,MIN(G$6-$E$3,22))),0))-IF($G$2,0,IF((G$6-$G$3)&lt;1,0,IFERROR(LOOKUP(2,1/('Milho 1ª safra'!$E56:INDEX('Milho 1ª safra'!$E56:$Z56,MIN(G$6-$G$3,22))&lt;&gt;""),'Milho 1ª safra'!$E56:INDEX('Milho 1ª safra'!$E56:$Z56,MIN(G$6-$G$3,22))),0)))))</f>
        <v>0</v>
      </c>
      <c r="H58" s="27" t="n">
        <f aca="false">IF(COUNT('Milho 1ª safra'!$E56:$Z56)=0,0,MAX(0,IF((H$6-$E$3)&lt;1,0,IFERROR(LOOKUP(2,1/('Milho 1ª safra'!$E56:INDEX('Milho 1ª safra'!$E56:$Z56,MIN(H$6-$E$3,22))&lt;&gt;""),'Milho 1ª safra'!$E56:INDEX('Milho 1ª safra'!$E56:$Z56,MIN(H$6-$E$3,22))),0))-IF($G$2,0,IF((H$6-$G$3)&lt;1,0,IFERROR(LOOKUP(2,1/('Milho 1ª safra'!$E56:INDEX('Milho 1ª safra'!$E56:$Z56,MIN(H$6-$G$3,22))&lt;&gt;""),'Milho 1ª safra'!$E56:INDEX('Milho 1ª safra'!$E56:$Z56,MIN(H$6-$G$3,22))),0)))))</f>
        <v>0</v>
      </c>
      <c r="I58" s="27" t="n">
        <f aca="false">IF(COUNT('Milho 1ª safra'!$E56:$Z56)=0,0,MAX(0,IF((I$6-$E$3)&lt;1,0,IFERROR(LOOKUP(2,1/('Milho 1ª safra'!$E56:INDEX('Milho 1ª safra'!$E56:$Z56,MIN(I$6-$E$3,22))&lt;&gt;""),'Milho 1ª safra'!$E56:INDEX('Milho 1ª safra'!$E56:$Z56,MIN(I$6-$E$3,22))),0))-IF($G$2,0,IF((I$6-$G$3)&lt;1,0,IFERROR(LOOKUP(2,1/('Milho 1ª safra'!$E56:INDEX('Milho 1ª safra'!$E56:$Z56,MIN(I$6-$G$3,22))&lt;&gt;""),'Milho 1ª safra'!$E56:INDEX('Milho 1ª safra'!$E56:$Z56,MIN(I$6-$G$3,22))),0)))))</f>
        <v>0</v>
      </c>
      <c r="J58" s="27" t="n">
        <f aca="false">IF(COUNT('Milho 1ª safra'!$E56:$Z56)=0,0,MAX(0,IF((J$6-$E$3)&lt;1,0,IFERROR(LOOKUP(2,1/('Milho 1ª safra'!$E56:INDEX('Milho 1ª safra'!$E56:$Z56,MIN(J$6-$E$3,22))&lt;&gt;""),'Milho 1ª safra'!$E56:INDEX('Milho 1ª safra'!$E56:$Z56,MIN(J$6-$E$3,22))),0))-IF($G$2,0,IF((J$6-$G$3)&lt;1,0,IFERROR(LOOKUP(2,1/('Milho 1ª safra'!$E56:INDEX('Milho 1ª safra'!$E56:$Z56,MIN(J$6-$G$3,22))&lt;&gt;""),'Milho 1ª safra'!$E56:INDEX('Milho 1ª safra'!$E56:$Z56,MIN(J$6-$G$3,22))),0)))))</f>
        <v>0</v>
      </c>
      <c r="K58" s="27" t="n">
        <f aca="false">IF(COUNT('Milho 1ª safra'!$E56:$Z56)=0,0,MAX(0,IF((K$6-$E$3)&lt;1,0,IFERROR(LOOKUP(2,1/('Milho 1ª safra'!$E56:INDEX('Milho 1ª safra'!$E56:$Z56,MIN(K$6-$E$3,22))&lt;&gt;""),'Milho 1ª safra'!$E56:INDEX('Milho 1ª safra'!$E56:$Z56,MIN(K$6-$E$3,22))),0))-IF($G$2,0,IF((K$6-$G$3)&lt;1,0,IFERROR(LOOKUP(2,1/('Milho 1ª safra'!$E56:INDEX('Milho 1ª safra'!$E56:$Z56,MIN(K$6-$G$3,22))&lt;&gt;""),'Milho 1ª safra'!$E56:INDEX('Milho 1ª safra'!$E56:$Z56,MIN(K$6-$G$3,22))),0)))))</f>
        <v>0</v>
      </c>
      <c r="L58" s="27" t="n">
        <f aca="false">IF(COUNT('Milho 1ª safra'!$E56:$Z56)=0,0,MAX(0,IF((L$6-$E$3)&lt;1,0,IFERROR(LOOKUP(2,1/('Milho 1ª safra'!$E56:INDEX('Milho 1ª safra'!$E56:$Z56,MIN(L$6-$E$3,22))&lt;&gt;""),'Milho 1ª safra'!$E56:INDEX('Milho 1ª safra'!$E56:$Z56,MIN(L$6-$E$3,22))),0))-IF($G$2,0,IF((L$6-$G$3)&lt;1,0,IFERROR(LOOKUP(2,1/('Milho 1ª safra'!$E56:INDEX('Milho 1ª safra'!$E56:$Z56,MIN(L$6-$G$3,22))&lt;&gt;""),'Milho 1ª safra'!$E56:INDEX('Milho 1ª safra'!$E56:$Z56,MIN(L$6-$G$3,22))),0)))))</f>
        <v>0</v>
      </c>
      <c r="M58" s="27" t="n">
        <f aca="false">IF(COUNT('Milho 1ª safra'!$E56:$Z56)=0,0,MAX(0,IF((M$6-$E$3)&lt;1,0,IFERROR(LOOKUP(2,1/('Milho 1ª safra'!$E56:INDEX('Milho 1ª safra'!$E56:$Z56,MIN(M$6-$E$3,22))&lt;&gt;""),'Milho 1ª safra'!$E56:INDEX('Milho 1ª safra'!$E56:$Z56,MIN(M$6-$E$3,22))),0))-IF($G$2,0,IF((M$6-$G$3)&lt;1,0,IFERROR(LOOKUP(2,1/('Milho 1ª safra'!$E56:INDEX('Milho 1ª safra'!$E56:$Z56,MIN(M$6-$G$3,22))&lt;&gt;""),'Milho 1ª safra'!$E56:INDEX('Milho 1ª safra'!$E56:$Z56,MIN(M$6-$G$3,22))),0)))))</f>
        <v>0</v>
      </c>
      <c r="N58" s="27" t="n">
        <f aca="false">IF(COUNT('Milho 1ª safra'!$E56:$Z56)=0,0,MAX(0,IF((N$6-$E$3)&lt;1,0,IFERROR(LOOKUP(2,1/('Milho 1ª safra'!$E56:INDEX('Milho 1ª safra'!$E56:$Z56,MIN(N$6-$E$3,22))&lt;&gt;""),'Milho 1ª safra'!$E56:INDEX('Milho 1ª safra'!$E56:$Z56,MIN(N$6-$E$3,22))),0))-IF($G$2,0,IF((N$6-$G$3)&lt;1,0,IFERROR(LOOKUP(2,1/('Milho 1ª safra'!$E56:INDEX('Milho 1ª safra'!$E56:$Z56,MIN(N$6-$G$3,22))&lt;&gt;""),'Milho 1ª safra'!$E56:INDEX('Milho 1ª safra'!$E56:$Z56,MIN(N$6-$G$3,22))),0)))))</f>
        <v>0</v>
      </c>
      <c r="O58" s="27" t="n">
        <f aca="false">IF(COUNT('Milho 1ª safra'!$E56:$Z56)=0,0,MAX(0,IF((O$6-$E$3)&lt;1,0,IFERROR(LOOKUP(2,1/('Milho 1ª safra'!$E56:INDEX('Milho 1ª safra'!$E56:$Z56,MIN(O$6-$E$3,22))&lt;&gt;""),'Milho 1ª safra'!$E56:INDEX('Milho 1ª safra'!$E56:$Z56,MIN(O$6-$E$3,22))),0))-IF($G$2,0,IF((O$6-$G$3)&lt;1,0,IFERROR(LOOKUP(2,1/('Milho 1ª safra'!$E56:INDEX('Milho 1ª safra'!$E56:$Z56,MIN(O$6-$G$3,22))&lt;&gt;""),'Milho 1ª safra'!$E56:INDEX('Milho 1ª safra'!$E56:$Z56,MIN(O$6-$G$3,22))),0)))))</f>
        <v>0</v>
      </c>
      <c r="P58" s="27" t="n">
        <f aca="false">IF(COUNT('Milho 1ª safra'!$E56:$Z56)=0,0,MAX(0,IF((P$6-$E$3)&lt;1,0,IFERROR(LOOKUP(2,1/('Milho 1ª safra'!$E56:INDEX('Milho 1ª safra'!$E56:$Z56,MIN(P$6-$E$3,22))&lt;&gt;""),'Milho 1ª safra'!$E56:INDEX('Milho 1ª safra'!$E56:$Z56,MIN(P$6-$E$3,22))),0))-IF($G$2,0,IF((P$6-$G$3)&lt;1,0,IFERROR(LOOKUP(2,1/('Milho 1ª safra'!$E56:INDEX('Milho 1ª safra'!$E56:$Z56,MIN(P$6-$G$3,22))&lt;&gt;""),'Milho 1ª safra'!$E56:INDEX('Milho 1ª safra'!$E56:$Z56,MIN(P$6-$G$3,22))),0)))))</f>
        <v>0</v>
      </c>
      <c r="Q58" s="27" t="n">
        <f aca="false">IF(COUNT('Milho 1ª safra'!$E56:$Z56)=0,0,MAX(0,IF((Q$6-$E$3)&lt;1,0,IFERROR(LOOKUP(2,1/('Milho 1ª safra'!$E56:INDEX('Milho 1ª safra'!$E56:$Z56,MIN(Q$6-$E$3,22))&lt;&gt;""),'Milho 1ª safra'!$E56:INDEX('Milho 1ª safra'!$E56:$Z56,MIN(Q$6-$E$3,22))),0))-IF($G$2,0,IF((Q$6-$G$3)&lt;1,0,IFERROR(LOOKUP(2,1/('Milho 1ª safra'!$E56:INDEX('Milho 1ª safra'!$E56:$Z56,MIN(Q$6-$G$3,22))&lt;&gt;""),'Milho 1ª safra'!$E56:INDEX('Milho 1ª safra'!$E56:$Z56,MIN(Q$6-$G$3,22))),0)))))</f>
        <v>0</v>
      </c>
      <c r="R58" s="27" t="n">
        <f aca="false">IF(COUNT('Milho 1ª safra'!$E56:$Z56)=0,0,MAX(0,IF((R$6-$E$3)&lt;1,0,IFERROR(LOOKUP(2,1/('Milho 1ª safra'!$E56:INDEX('Milho 1ª safra'!$E56:$Z56,MIN(R$6-$E$3,22))&lt;&gt;""),'Milho 1ª safra'!$E56:INDEX('Milho 1ª safra'!$E56:$Z56,MIN(R$6-$E$3,22))),0))-IF($G$2,0,IF((R$6-$G$3)&lt;1,0,IFERROR(LOOKUP(2,1/('Milho 1ª safra'!$E56:INDEX('Milho 1ª safra'!$E56:$Z56,MIN(R$6-$G$3,22))&lt;&gt;""),'Milho 1ª safra'!$E56:INDEX('Milho 1ª safra'!$E56:$Z56,MIN(R$6-$G$3,22))),0)))))</f>
        <v>0</v>
      </c>
      <c r="S58" s="27" t="n">
        <f aca="false">IF(COUNT('Milho 1ª safra'!$E56:$Z56)=0,0,MAX(0,IF((S$6-$E$3)&lt;1,0,IFERROR(LOOKUP(2,1/('Milho 1ª safra'!$E56:INDEX('Milho 1ª safra'!$E56:$Z56,MIN(S$6-$E$3,22))&lt;&gt;""),'Milho 1ª safra'!$E56:INDEX('Milho 1ª safra'!$E56:$Z56,MIN(S$6-$E$3,22))),0))-IF($G$2,0,IF((S$6-$G$3)&lt;1,0,IFERROR(LOOKUP(2,1/('Milho 1ª safra'!$E56:INDEX('Milho 1ª safra'!$E56:$Z56,MIN(S$6-$G$3,22))&lt;&gt;""),'Milho 1ª safra'!$E56:INDEX('Milho 1ª safra'!$E56:$Z56,MIN(S$6-$G$3,22))),0)))))</f>
        <v>0</v>
      </c>
      <c r="T58" s="27" t="n">
        <f aca="false">IF(COUNT('Milho 1ª safra'!$E56:$Z56)=0,0,MAX(0,IF((T$6-$E$3)&lt;1,0,IFERROR(LOOKUP(2,1/('Milho 1ª safra'!$E56:INDEX('Milho 1ª safra'!$E56:$Z56,MIN(T$6-$E$3,22))&lt;&gt;""),'Milho 1ª safra'!$E56:INDEX('Milho 1ª safra'!$E56:$Z56,MIN(T$6-$E$3,22))),0))-IF($G$2,0,IF((T$6-$G$3)&lt;1,0,IFERROR(LOOKUP(2,1/('Milho 1ª safra'!$E56:INDEX('Milho 1ª safra'!$E56:$Z56,MIN(T$6-$G$3,22))&lt;&gt;""),'Milho 1ª safra'!$E56:INDEX('Milho 1ª safra'!$E56:$Z56,MIN(T$6-$G$3,22))),0)))))</f>
        <v>0</v>
      </c>
      <c r="U58" s="27" t="n">
        <f aca="false">IF(COUNT('Milho 1ª safra'!$E56:$Z56)=0,0,MAX(0,IF((U$6-$E$3)&lt;1,0,IFERROR(LOOKUP(2,1/('Milho 1ª safra'!$E56:INDEX('Milho 1ª safra'!$E56:$Z56,MIN(U$6-$E$3,22))&lt;&gt;""),'Milho 1ª safra'!$E56:INDEX('Milho 1ª safra'!$E56:$Z56,MIN(U$6-$E$3,22))),0))-IF($G$2,0,IF((U$6-$G$3)&lt;1,0,IFERROR(LOOKUP(2,1/('Milho 1ª safra'!$E56:INDEX('Milho 1ª safra'!$E56:$Z56,MIN(U$6-$G$3,22))&lt;&gt;""),'Milho 1ª safra'!$E56:INDEX('Milho 1ª safra'!$E56:$Z56,MIN(U$6-$G$3,22))),0)))))</f>
        <v>0</v>
      </c>
      <c r="V58" s="27" t="n">
        <f aca="false">IF(COUNT('Milho 1ª safra'!$E56:$Z56)=0,0,MAX(0,IF((V$6-$E$3)&lt;1,0,IFERROR(LOOKUP(2,1/('Milho 1ª safra'!$E56:INDEX('Milho 1ª safra'!$E56:$Z56,MIN(V$6-$E$3,22))&lt;&gt;""),'Milho 1ª safra'!$E56:INDEX('Milho 1ª safra'!$E56:$Z56,MIN(V$6-$E$3,22))),0))-IF($G$2,0,IF((V$6-$G$3)&lt;1,0,IFERROR(LOOKUP(2,1/('Milho 1ª safra'!$E56:INDEX('Milho 1ª safra'!$E56:$Z56,MIN(V$6-$G$3,22))&lt;&gt;""),'Milho 1ª safra'!$E56:INDEX('Milho 1ª safra'!$E56:$Z56,MIN(V$6-$G$3,22))),0)))))</f>
        <v>0</v>
      </c>
      <c r="W58" s="27" t="n">
        <f aca="false">IF(COUNT('Milho 1ª safra'!$E56:$Z56)=0,0,MAX(0,IF((W$6-$E$3)&lt;1,0,IFERROR(LOOKUP(2,1/('Milho 1ª safra'!$E56:INDEX('Milho 1ª safra'!$E56:$Z56,MIN(W$6-$E$3,22))&lt;&gt;""),'Milho 1ª safra'!$E56:INDEX('Milho 1ª safra'!$E56:$Z56,MIN(W$6-$E$3,22))),0))-IF($G$2,0,IF((W$6-$G$3)&lt;1,0,IFERROR(LOOKUP(2,1/('Milho 1ª safra'!$E56:INDEX('Milho 1ª safra'!$E56:$Z56,MIN(W$6-$G$3,22))&lt;&gt;""),'Milho 1ª safra'!$E56:INDEX('Milho 1ª safra'!$E56:$Z56,MIN(W$6-$G$3,22))),0)))))</f>
        <v>0</v>
      </c>
      <c r="X58" s="27" t="n">
        <f aca="false">IF(COUNT('Milho 1ª safra'!$E56:$Z56)=0,0,MAX(0,IF((X$6-$E$3)&lt;1,0,IFERROR(LOOKUP(2,1/('Milho 1ª safra'!$E56:INDEX('Milho 1ª safra'!$E56:$Z56,MIN(X$6-$E$3,22))&lt;&gt;""),'Milho 1ª safra'!$E56:INDEX('Milho 1ª safra'!$E56:$Z56,MIN(X$6-$E$3,22))),0))-IF($G$2,0,IF((X$6-$G$3)&lt;1,0,IFERROR(LOOKUP(2,1/('Milho 1ª safra'!$E56:INDEX('Milho 1ª safra'!$E56:$Z56,MIN(X$6-$G$3,22))&lt;&gt;""),'Milho 1ª safra'!$E56:INDEX('Milho 1ª safra'!$E56:$Z56,MIN(X$6-$G$3,22))),0)))))</f>
        <v>0</v>
      </c>
      <c r="Y58" s="27" t="n">
        <f aca="false">IF(COUNT('Milho 1ª safra'!$E56:$Z56)=0,0,MAX(0,IF((Y$6-$E$3)&lt;1,0,IFERROR(LOOKUP(2,1/('Milho 1ª safra'!$E56:INDEX('Milho 1ª safra'!$E56:$Z56,MIN(Y$6-$E$3,22))&lt;&gt;""),'Milho 1ª safra'!$E56:INDEX('Milho 1ª safra'!$E56:$Z56,MIN(Y$6-$E$3,22))),0))-IF($G$2,0,IF((Y$6-$G$3)&lt;1,0,IFERROR(LOOKUP(2,1/('Milho 1ª safra'!$E56:INDEX('Milho 1ª safra'!$E56:$Z56,MIN(Y$6-$G$3,22))&lt;&gt;""),'Milho 1ª safra'!$E56:INDEX('Milho 1ª safra'!$E56:$Z56,MIN(Y$6-$G$3,22))),0)))))</f>
        <v>0</v>
      </c>
      <c r="Z58" s="27" t="n">
        <f aca="false">IF(COUNT('Milho 1ª safra'!$E56:$Z56)=0,0,MAX(0,IF((Z$6-$E$3)&lt;1,0,IFERROR(LOOKUP(2,1/('Milho 1ª safra'!$E56:INDEX('Milho 1ª safra'!$E56:$Z56,MIN(Z$6-$E$3,22))&lt;&gt;""),'Milho 1ª safra'!$E56:INDEX('Milho 1ª safra'!$E56:$Z56,MIN(Z$6-$E$3,22))),0))-IF($G$2,0,IF((Z$6-$G$3)&lt;1,0,IFERROR(LOOKUP(2,1/('Milho 1ª safra'!$E56:INDEX('Milho 1ª safra'!$E56:$Z56,MIN(Z$6-$G$3,22))&lt;&gt;""),'Milho 1ª safra'!$E56:INDEX('Milho 1ª safra'!$E56:$Z56,MIN(Z$6-$G$3,22))),0)))))</f>
        <v>0</v>
      </c>
      <c r="AA58" s="27" t="n">
        <f aca="false">IF(COUNT('Milho 1ª safra'!$E56:$Z56)=0,0,MAX(0,IF((AA$6-$E$3)&lt;1,0,IFERROR(LOOKUP(2,1/('Milho 1ª safra'!$E56:INDEX('Milho 1ª safra'!$E56:$Z56,MIN(AA$6-$E$3,22))&lt;&gt;""),'Milho 1ª safra'!$E56:INDEX('Milho 1ª safra'!$E56:$Z56,MIN(AA$6-$E$3,22))),0))-IF($G$2,0,IF((AA$6-$G$3)&lt;1,0,IFERROR(LOOKUP(2,1/('Milho 1ª safra'!$E56:INDEX('Milho 1ª safra'!$E56:$Z56,MIN(AA$6-$G$3,22))&lt;&gt;""),'Milho 1ª safra'!$E56:INDEX('Milho 1ª safra'!$E56:$Z56,MIN(AA$6-$G$3,22))),0)))))</f>
        <v>0</v>
      </c>
      <c r="AB58" s="27" t="n">
        <f aca="false">IF(COUNT('Milho 1ª safra'!$E56:$Z56)=0,0,MAX(0,IF((AB$6-$E$3)&lt;1,0,IFERROR(LOOKUP(2,1/('Milho 1ª safra'!$E56:INDEX('Milho 1ª safra'!$E56:$Z56,MIN(AB$6-$E$3,22))&lt;&gt;""),'Milho 1ª safra'!$E56:INDEX('Milho 1ª safra'!$E56:$Z56,MIN(AB$6-$E$3,22))),0))-IF($G$2,0,IF((AB$6-$G$3)&lt;1,0,IFERROR(LOOKUP(2,1/('Milho 1ª safra'!$E56:INDEX('Milho 1ª safra'!$E56:$Z56,MIN(AB$6-$G$3,22))&lt;&gt;""),'Milho 1ª safra'!$E56:INDEX('Milho 1ª safra'!$E56:$Z56,MIN(AB$6-$G$3,22))),0)))))</f>
        <v>0</v>
      </c>
      <c r="AC58" s="27" t="n">
        <f aca="false">IF(COUNT('Milho 1ª safra'!$E56:$Z56)=0,0,MAX(0,IF((AC$6-$E$3)&lt;1,0,IFERROR(LOOKUP(2,1/('Milho 1ª safra'!$E56:INDEX('Milho 1ª safra'!$E56:$Z56,MIN(AC$6-$E$3,22))&lt;&gt;""),'Milho 1ª safra'!$E56:INDEX('Milho 1ª safra'!$E56:$Z56,MIN(AC$6-$E$3,22))),0))-IF($G$2,0,IF((AC$6-$G$3)&lt;1,0,IFERROR(LOOKUP(2,1/('Milho 1ª safra'!$E56:INDEX('Milho 1ª safra'!$E56:$Z56,MIN(AC$6-$G$3,22))&lt;&gt;""),'Milho 1ª safra'!$E56:INDEX('Milho 1ª safra'!$E56:$Z56,MIN(AC$6-$G$3,22))),0)))))</f>
        <v>0</v>
      </c>
      <c r="AD58" s="27" t="n">
        <f aca="false">IF(COUNT('Milho 1ª safra'!$E56:$Z56)=0,0,MAX(0,IF((AD$6-$E$3)&lt;1,0,IFERROR(LOOKUP(2,1/('Milho 1ª safra'!$E56:INDEX('Milho 1ª safra'!$E56:$Z56,MIN(AD$6-$E$3,22))&lt;&gt;""),'Milho 1ª safra'!$E56:INDEX('Milho 1ª safra'!$E56:$Z56,MIN(AD$6-$E$3,22))),0))-IF($G$2,0,IF((AD$6-$G$3)&lt;1,0,IFERROR(LOOKUP(2,1/('Milho 1ª safra'!$E56:INDEX('Milho 1ª safra'!$E56:$Z56,MIN(AD$6-$G$3,22))&lt;&gt;""),'Milho 1ª safra'!$E56:INDEX('Milho 1ª safra'!$E56:$Z56,MIN(AD$6-$G$3,22))),0)))))</f>
        <v>0</v>
      </c>
      <c r="AE58" s="27" t="n">
        <f aca="false">IF(COUNT('Milho 1ª safra'!$E56:$Z56)=0,0,MAX(0,IF((AE$6-$E$3)&lt;1,0,IFERROR(LOOKUP(2,1/('Milho 1ª safra'!$E56:INDEX('Milho 1ª safra'!$E56:$Z56,MIN(AE$6-$E$3,22))&lt;&gt;""),'Milho 1ª safra'!$E56:INDEX('Milho 1ª safra'!$E56:$Z56,MIN(AE$6-$E$3,22))),0))-IF($G$2,0,IF((AE$6-$G$3)&lt;1,0,IFERROR(LOOKUP(2,1/('Milho 1ª safra'!$E56:INDEX('Milho 1ª safra'!$E56:$Z56,MIN(AE$6-$G$3,22))&lt;&gt;""),'Milho 1ª safra'!$E56:INDEX('Milho 1ª safra'!$E56:$Z56,MIN(AE$6-$G$3,22))),0)))))</f>
        <v>0</v>
      </c>
      <c r="AF58" s="27" t="n">
        <f aca="false">IF(COUNT('Milho 1ª safra'!$E56:$Z56)=0,0,MAX(0,IF((AF$6-$E$3)&lt;1,0,IFERROR(LOOKUP(2,1/('Milho 1ª safra'!$E56:INDEX('Milho 1ª safra'!$E56:$Z56,MIN(AF$6-$E$3,22))&lt;&gt;""),'Milho 1ª safra'!$E56:INDEX('Milho 1ª safra'!$E56:$Z56,MIN(AF$6-$E$3,22))),0))-IF($G$2,0,IF((AF$6-$G$3)&lt;1,0,IFERROR(LOOKUP(2,1/('Milho 1ª safra'!$E56:INDEX('Milho 1ª safra'!$E56:$Z56,MIN(AF$6-$G$3,22))&lt;&gt;""),'Milho 1ª safra'!$E56:INDEX('Milho 1ª safra'!$E56:$Z56,MIN(AF$6-$G$3,22))),0)))))</f>
        <v>0</v>
      </c>
      <c r="AG58" s="27" t="n">
        <f aca="false">IF(COUNT('Milho 1ª safra'!$E56:$Z56)=0,0,MAX(0,IF((AG$6-$E$3)&lt;1,0,IFERROR(LOOKUP(2,1/('Milho 1ª safra'!$E56:INDEX('Milho 1ª safra'!$E56:$Z56,MIN(AG$6-$E$3,22))&lt;&gt;""),'Milho 1ª safra'!$E56:INDEX('Milho 1ª safra'!$E56:$Z56,MIN(AG$6-$E$3,22))),0))-IF($G$2,0,IF((AG$6-$G$3)&lt;1,0,IFERROR(LOOKUP(2,1/('Milho 1ª safra'!$E56:INDEX('Milho 1ª safra'!$E56:$Z56,MIN(AG$6-$G$3,22))&lt;&gt;""),'Milho 1ª safra'!$E56:INDEX('Milho 1ª safra'!$E56:$Z56,MIN(AG$6-$G$3,22))),0)))))</f>
        <v>0</v>
      </c>
      <c r="AH58" s="27" t="n">
        <f aca="false">IF(COUNT('Milho 1ª safra'!$E56:$Z56)=0,0,MAX(0,IF((AH$6-$E$3)&lt;1,0,IFERROR(LOOKUP(2,1/('Milho 1ª safra'!$E56:INDEX('Milho 1ª safra'!$E56:$Z56,MIN(AH$6-$E$3,22))&lt;&gt;""),'Milho 1ª safra'!$E56:INDEX('Milho 1ª safra'!$E56:$Z56,MIN(AH$6-$E$3,22))),0))-IF($G$2,0,IF((AH$6-$G$3)&lt;1,0,IFERROR(LOOKUP(2,1/('Milho 1ª safra'!$E56:INDEX('Milho 1ª safra'!$E56:$Z56,MIN(AH$6-$G$3,22))&lt;&gt;""),'Milho 1ª safra'!$E56:INDEX('Milho 1ª safra'!$E56:$Z56,MIN(AH$6-$G$3,22))),0)))))</f>
        <v>0</v>
      </c>
      <c r="AI58" s="27" t="n">
        <f aca="false">IF(COUNT('Milho 1ª safra'!$E56:$Z56)=0,0,MAX(0,IF((AI$6-$E$3)&lt;1,0,IFERROR(LOOKUP(2,1/('Milho 1ª safra'!$E56:INDEX('Milho 1ª safra'!$E56:$Z56,MIN(AI$6-$E$3,22))&lt;&gt;""),'Milho 1ª safra'!$E56:INDEX('Milho 1ª safra'!$E56:$Z56,MIN(AI$6-$E$3,22))),0))-IF($G$2,0,IF((AI$6-$G$3)&lt;1,0,IFERROR(LOOKUP(2,1/('Milho 1ª safra'!$E56:INDEX('Milho 1ª safra'!$E56:$Z56,MIN(AI$6-$G$3,22))&lt;&gt;""),'Milho 1ª safra'!$E56:INDEX('Milho 1ª safra'!$E56:$Z56,MIN(AI$6-$G$3,22))),0)))))</f>
        <v>0</v>
      </c>
      <c r="AJ58" s="27" t="n">
        <f aca="false">IF(COUNT('Milho 1ª safra'!$E56:$Z56)=0,0,MAX(0,IF((AJ$6-$E$3)&lt;1,0,IFERROR(LOOKUP(2,1/('Milho 1ª safra'!$E56:INDEX('Milho 1ª safra'!$E56:$Z56,MIN(AJ$6-$E$3,22))&lt;&gt;""),'Milho 1ª safra'!$E56:INDEX('Milho 1ª safra'!$E56:$Z56,MIN(AJ$6-$E$3,22))),0))-IF($G$2,0,IF((AJ$6-$G$3)&lt;1,0,IFERROR(LOOKUP(2,1/('Milho 1ª safra'!$E56:INDEX('Milho 1ª safra'!$E56:$Z56,MIN(AJ$6-$G$3,22))&lt;&gt;""),'Milho 1ª safra'!$E56:INDEX('Milho 1ª safra'!$E56:$Z56,MIN(AJ$6-$G$3,22))),0)))))</f>
        <v>0</v>
      </c>
      <c r="AK58" s="27" t="n">
        <f aca="false">IF(COUNT('Milho 1ª safra'!$E56:$Z56)=0,0,MAX(0,IF((AK$6-$E$3)&lt;1,0,IFERROR(LOOKUP(2,1/('Milho 1ª safra'!$E56:INDEX('Milho 1ª safra'!$E56:$Z56,MIN(AK$6-$E$3,22))&lt;&gt;""),'Milho 1ª safra'!$E56:INDEX('Milho 1ª safra'!$E56:$Z56,MIN(AK$6-$E$3,22))),0))-IF($G$2,0,IF((AK$6-$G$3)&lt;1,0,IFERROR(LOOKUP(2,1/('Milho 1ª safra'!$E56:INDEX('Milho 1ª safra'!$E56:$Z56,MIN(AK$6-$G$3,22))&lt;&gt;""),'Milho 1ª safra'!$E56:INDEX('Milho 1ª safra'!$E56:$Z56,MIN(AK$6-$G$3,22))),0)))))</f>
        <v>0</v>
      </c>
      <c r="AL58" s="27" t="n">
        <f aca="false">IF(COUNT('Milho 1ª safra'!$E56:$Z56)=0,0,MAX(0,IF((AL$6-$E$3)&lt;1,0,IFERROR(LOOKUP(2,1/('Milho 1ª safra'!$E56:INDEX('Milho 1ª safra'!$E56:$Z56,MIN(AL$6-$E$3,22))&lt;&gt;""),'Milho 1ª safra'!$E56:INDEX('Milho 1ª safra'!$E56:$Z56,MIN(AL$6-$E$3,22))),0))-IF($G$2,0,IF((AL$6-$G$3)&lt;1,0,IFERROR(LOOKUP(2,1/('Milho 1ª safra'!$E56:INDEX('Milho 1ª safra'!$E56:$Z56,MIN(AL$6-$G$3,22))&lt;&gt;""),'Milho 1ª safra'!$E56:INDEX('Milho 1ª safra'!$E56:$Z56,MIN(AL$6-$G$3,22))),0)))))</f>
        <v>0</v>
      </c>
      <c r="AM58" s="27" t="n">
        <f aca="false">IF(COUNT('Milho 1ª safra'!$E56:$Z56)=0,0,MAX(0,IF((AM$6-$E$3)&lt;1,0,IFERROR(LOOKUP(2,1/('Milho 1ª safra'!$E56:INDEX('Milho 1ª safra'!$E56:$Z56,MIN(AM$6-$E$3,22))&lt;&gt;""),'Milho 1ª safra'!$E56:INDEX('Milho 1ª safra'!$E56:$Z56,MIN(AM$6-$E$3,22))),0))-IF($G$2,0,IF((AM$6-$G$3)&lt;1,0,IFERROR(LOOKUP(2,1/('Milho 1ª safra'!$E56:INDEX('Milho 1ª safra'!$E56:$Z56,MIN(AM$6-$G$3,22))&lt;&gt;""),'Milho 1ª safra'!$E56:INDEX('Milho 1ª safra'!$E56:$Z56,MIN(AM$6-$G$3,22))),0)))))</f>
        <v>0</v>
      </c>
      <c r="AN58" s="27" t="n">
        <f aca="false">IF(COUNT('Milho 1ª safra'!$E56:$Z56)=0,0,MAX(0,IF((AN$6-$E$3)&lt;1,0,IFERROR(LOOKUP(2,1/('Milho 1ª safra'!$E56:INDEX('Milho 1ª safra'!$E56:$Z56,MIN(AN$6-$E$3,22))&lt;&gt;""),'Milho 1ª safra'!$E56:INDEX('Milho 1ª safra'!$E56:$Z56,MIN(AN$6-$E$3,22))),0))-IF($G$2,0,IF((AN$6-$G$3)&lt;1,0,IFERROR(LOOKUP(2,1/('Milho 1ª safra'!$E56:INDEX('Milho 1ª safra'!$E56:$Z56,MIN(AN$6-$G$3,22))&lt;&gt;""),'Milho 1ª safra'!$E56:INDEX('Milho 1ª safra'!$E56:$Z56,MIN(AN$6-$G$3,22))),0)))))</f>
        <v>0</v>
      </c>
      <c r="AO58" s="27" t="n">
        <f aca="false">IF(COUNT('Milho 1ª safra'!$E56:$Z56)=0,0,MAX(0,IF((AO$6-$E$3)&lt;1,0,IFERROR(LOOKUP(2,1/('Milho 1ª safra'!$E56:INDEX('Milho 1ª safra'!$E56:$Z56,MIN(AO$6-$E$3,22))&lt;&gt;""),'Milho 1ª safra'!$E56:INDEX('Milho 1ª safra'!$E56:$Z56,MIN(AO$6-$E$3,22))),0))-IF($G$2,0,IF((AO$6-$G$3)&lt;1,0,IFERROR(LOOKUP(2,1/('Milho 1ª safra'!$E56:INDEX('Milho 1ª safra'!$E56:$Z56,MIN(AO$6-$G$3,22))&lt;&gt;""),'Milho 1ª safra'!$E56:INDEX('Milho 1ª safra'!$E56:$Z56,MIN(AO$6-$G$3,22))),0)))))</f>
        <v>0</v>
      </c>
      <c r="AP58" s="27" t="n">
        <f aca="false">IF(COUNT('Milho 1ª safra'!$E56:$Z56)=0,0,MAX(0,IF((AP$6-$E$3)&lt;1,0,IFERROR(LOOKUP(2,1/('Milho 1ª safra'!$E56:INDEX('Milho 1ª safra'!$E56:$Z56,MIN(AP$6-$E$3,22))&lt;&gt;""),'Milho 1ª safra'!$E56:INDEX('Milho 1ª safra'!$E56:$Z56,MIN(AP$6-$E$3,22))),0))-IF($G$2,0,IF((AP$6-$G$3)&lt;1,0,IFERROR(LOOKUP(2,1/('Milho 1ª safra'!$E56:INDEX('Milho 1ª safra'!$E56:$Z56,MIN(AP$6-$G$3,22))&lt;&gt;""),'Milho 1ª safra'!$E56:INDEX('Milho 1ª safra'!$E56:$Z56,MIN(AP$6-$G$3,22))),0)))))</f>
        <v>0</v>
      </c>
      <c r="AQ58" s="27" t="n">
        <f aca="false">IF(COUNT('Milho 1ª safra'!$E56:$Z56)=0,0,MAX(0,IF((AQ$6-$E$3)&lt;1,0,IFERROR(LOOKUP(2,1/('Milho 1ª safra'!$E56:INDEX('Milho 1ª safra'!$E56:$Z56,MIN(AQ$6-$E$3,22))&lt;&gt;""),'Milho 1ª safra'!$E56:INDEX('Milho 1ª safra'!$E56:$Z56,MIN(AQ$6-$E$3,22))),0))-IF($G$2,0,IF((AQ$6-$G$3)&lt;1,0,IFERROR(LOOKUP(2,1/('Milho 1ª safra'!$E56:INDEX('Milho 1ª safra'!$E56:$Z56,MIN(AQ$6-$G$3,22))&lt;&gt;""),'Milho 1ª safra'!$E56:INDEX('Milho 1ª safra'!$E56:$Z56,MIN(AQ$6-$G$3,22))),0)))))</f>
        <v>0</v>
      </c>
      <c r="AR58" s="27" t="n">
        <f aca="false">IF(COUNT('Milho 1ª safra'!$E56:$Z56)=0,0,MAX(0,IF((AR$6-$E$3)&lt;1,0,IFERROR(LOOKUP(2,1/('Milho 1ª safra'!$E56:INDEX('Milho 1ª safra'!$E56:$Z56,MIN(AR$6-$E$3,22))&lt;&gt;""),'Milho 1ª safra'!$E56:INDEX('Milho 1ª safra'!$E56:$Z56,MIN(AR$6-$E$3,22))),0))-IF($G$2,0,IF((AR$6-$G$3)&lt;1,0,IFERROR(LOOKUP(2,1/('Milho 1ª safra'!$E56:INDEX('Milho 1ª safra'!$E56:$Z56,MIN(AR$6-$G$3,22))&lt;&gt;""),'Milho 1ª safra'!$E56:INDEX('Milho 1ª safra'!$E56:$Z56,MIN(AR$6-$G$3,22))),0)))))</f>
        <v>0</v>
      </c>
      <c r="AS58" s="27" t="n">
        <f aca="false">IF(COUNT('Milho 1ª safra'!$E56:$Z56)=0,0,MAX(0,IF((AS$6-$E$3)&lt;1,0,IFERROR(LOOKUP(2,1/('Milho 1ª safra'!$E56:INDEX('Milho 1ª safra'!$E56:$Z56,MIN(AS$6-$E$3,22))&lt;&gt;""),'Milho 1ª safra'!$E56:INDEX('Milho 1ª safra'!$E56:$Z56,MIN(AS$6-$E$3,22))),0))-IF($G$2,0,IF((AS$6-$G$3)&lt;1,0,IFERROR(LOOKUP(2,1/('Milho 1ª safra'!$E56:INDEX('Milho 1ª safra'!$E56:$Z56,MIN(AS$6-$G$3,22))&lt;&gt;""),'Milho 1ª safra'!$E56:INDEX('Milho 1ª safra'!$E56:$Z56,MIN(AS$6-$G$3,22))),0)))))</f>
        <v>0</v>
      </c>
      <c r="AT58" s="27" t="n">
        <f aca="false">IF(COUNT('Milho 1ª safra'!$E56:$Z56)=0,0,MAX(0,IF((AT$6-$E$3)&lt;1,0,IFERROR(LOOKUP(2,1/('Milho 1ª safra'!$E56:INDEX('Milho 1ª safra'!$E56:$Z56,MIN(AT$6-$E$3,22))&lt;&gt;""),'Milho 1ª safra'!$E56:INDEX('Milho 1ª safra'!$E56:$Z56,MIN(AT$6-$E$3,22))),0))-IF($G$2,0,IF((AT$6-$G$3)&lt;1,0,IFERROR(LOOKUP(2,1/('Milho 1ª safra'!$E56:INDEX('Milho 1ª safra'!$E56:$Z56,MIN(AT$6-$G$3,22))&lt;&gt;""),'Milho 1ª safra'!$E56:INDEX('Milho 1ª safra'!$E56:$Z56,MIN(AT$6-$G$3,22))),0)))))</f>
        <v>0</v>
      </c>
      <c r="AU58" s="27" t="n">
        <f aca="false">IF(COUNT('Milho 1ª safra'!$E56:$Z56)=0,0,MAX(0,IF((AU$6-$E$3)&lt;1,0,IFERROR(LOOKUP(2,1/('Milho 1ª safra'!$E56:INDEX('Milho 1ª safra'!$E56:$Z56,MIN(AU$6-$E$3,22))&lt;&gt;""),'Milho 1ª safra'!$E56:INDEX('Milho 1ª safra'!$E56:$Z56,MIN(AU$6-$E$3,22))),0))-IF($G$2,0,IF((AU$6-$G$3)&lt;1,0,IFERROR(LOOKUP(2,1/('Milho 1ª safra'!$E56:INDEX('Milho 1ª safra'!$E56:$Z56,MIN(AU$6-$G$3,22))&lt;&gt;""),'Milho 1ª safra'!$E56:INDEX('Milho 1ª safra'!$E56:$Z56,MIN(AU$6-$G$3,22))),0)))))</f>
        <v>0</v>
      </c>
      <c r="AV58" s="27" t="n">
        <f aca="false">IF(COUNT('Milho 1ª safra'!$E56:$Z56)=0,0,MAX(0,IF((AV$6-$E$3)&lt;1,0,IFERROR(LOOKUP(2,1/('Milho 1ª safra'!$E56:INDEX('Milho 1ª safra'!$E56:$Z56,MIN(AV$6-$E$3,22))&lt;&gt;""),'Milho 1ª safra'!$E56:INDEX('Milho 1ª safra'!$E56:$Z56,MIN(AV$6-$E$3,22))),0))-IF($G$2,0,IF((AV$6-$G$3)&lt;1,0,IFERROR(LOOKUP(2,1/('Milho 1ª safra'!$E56:INDEX('Milho 1ª safra'!$E56:$Z56,MIN(AV$6-$G$3,22))&lt;&gt;""),'Milho 1ª safra'!$E56:INDEX('Milho 1ª safra'!$E56:$Z56,MIN(AV$6-$G$3,22))),0)))))</f>
        <v>0</v>
      </c>
      <c r="AW58" s="27" t="n">
        <f aca="false">IF(COUNT('Milho 1ª safra'!$E56:$Z56)=0,0,MAX(0,IF((AW$6-$E$3)&lt;1,0,IFERROR(LOOKUP(2,1/('Milho 1ª safra'!$E56:INDEX('Milho 1ª safra'!$E56:$Z56,MIN(AW$6-$E$3,22))&lt;&gt;""),'Milho 1ª safra'!$E56:INDEX('Milho 1ª safra'!$E56:$Z56,MIN(AW$6-$E$3,22))),0))-IF($G$2,0,IF((AW$6-$G$3)&lt;1,0,IFERROR(LOOKUP(2,1/('Milho 1ª safra'!$E56:INDEX('Milho 1ª safra'!$E56:$Z56,MIN(AW$6-$G$3,22))&lt;&gt;""),'Milho 1ª safra'!$E56:INDEX('Milho 1ª safra'!$E56:$Z56,MIN(AW$6-$G$3,22))),0)))))</f>
        <v>0</v>
      </c>
      <c r="AX58" s="27" t="n">
        <f aca="false">IF(COUNT('Milho 1ª safra'!$E56:$Z56)=0,0,MAX(0,IF((AX$6-$E$3)&lt;1,0,IFERROR(LOOKUP(2,1/('Milho 1ª safra'!$E56:INDEX('Milho 1ª safra'!$E56:$Z56,MIN(AX$6-$E$3,22))&lt;&gt;""),'Milho 1ª safra'!$E56:INDEX('Milho 1ª safra'!$E56:$Z56,MIN(AX$6-$E$3,22))),0))-IF($G$2,0,IF((AX$6-$G$3)&lt;1,0,IFERROR(LOOKUP(2,1/('Milho 1ª safra'!$E56:INDEX('Milho 1ª safra'!$E56:$Z56,MIN(AX$6-$G$3,22))&lt;&gt;""),'Milho 1ª safra'!$E56:INDEX('Milho 1ª safra'!$E56:$Z56,MIN(AX$6-$G$3,22))),0)))))</f>
        <v>0</v>
      </c>
      <c r="AY58" s="27" t="n">
        <f aca="false">IF(COUNT('Milho 1ª safra'!$E56:$Z56)=0,0,MAX(0,IF((AY$6-$E$3)&lt;1,0,IFERROR(LOOKUP(2,1/('Milho 1ª safra'!$E56:INDEX('Milho 1ª safra'!$E56:$Z56,MIN(AY$6-$E$3,22))&lt;&gt;""),'Milho 1ª safra'!$E56:INDEX('Milho 1ª safra'!$E56:$Z56,MIN(AY$6-$E$3,22))),0))-IF($G$2,0,IF((AY$6-$G$3)&lt;1,0,IFERROR(LOOKUP(2,1/('Milho 1ª safra'!$E56:INDEX('Milho 1ª safra'!$E56:$Z56,MIN(AY$6-$G$3,22))&lt;&gt;""),'Milho 1ª safra'!$E56:INDEX('Milho 1ª safra'!$E56:$Z56,MIN(AY$6-$G$3,22))),0)))))</f>
        <v>0</v>
      </c>
      <c r="AZ58" s="27" t="n">
        <f aca="false">IF(COUNT('Milho 1ª safra'!$E56:$Z56)=0,0,MAX(0,IF((AZ$6-$E$3)&lt;1,0,IFERROR(LOOKUP(2,1/('Milho 1ª safra'!$E56:INDEX('Milho 1ª safra'!$E56:$Z56,MIN(AZ$6-$E$3,22))&lt;&gt;""),'Milho 1ª safra'!$E56:INDEX('Milho 1ª safra'!$E56:$Z56,MIN(AZ$6-$E$3,22))),0))-IF($G$2,0,IF((AZ$6-$G$3)&lt;1,0,IFERROR(LOOKUP(2,1/('Milho 1ª safra'!$E56:INDEX('Milho 1ª safra'!$E56:$Z56,MIN(AZ$6-$G$3,22))&lt;&gt;""),'Milho 1ª safra'!$E56:INDEX('Milho 1ª safra'!$E56:$Z56,MIN(AZ$6-$G$3,22))),0)))))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IF(COUNT('Milho 1ª safra'!$E57:$Z57)&gt;0,N('Milho 1ª safra'!$D57),0)</f>
        <v>0</v>
      </c>
      <c r="E59" s="27" t="n">
        <f aca="false">IF(COUNT('Milho 1ª safra'!$E57:$Z57)=0,0,MAX(0,IF((E$6-$E$3)&lt;1,0,IFERROR(LOOKUP(2,1/('Milho 1ª safra'!$E57:INDEX('Milho 1ª safra'!$E57:$Z57,MIN(E$6-$E$3,22))&lt;&gt;""),'Milho 1ª safra'!$E57:INDEX('Milho 1ª safra'!$E57:$Z57,MIN(E$6-$E$3,22))),0))-IF($G$2,0,IF((E$6-$G$3)&lt;1,0,IFERROR(LOOKUP(2,1/('Milho 1ª safra'!$E57:INDEX('Milho 1ª safra'!$E57:$Z57,MIN(E$6-$G$3,22))&lt;&gt;""),'Milho 1ª safra'!$E57:INDEX('Milho 1ª safra'!$E57:$Z57,MIN(E$6-$G$3,22))),0)))))</f>
        <v>0</v>
      </c>
      <c r="F59" s="27" t="n">
        <f aca="false">IF(COUNT('Milho 1ª safra'!$E57:$Z57)=0,0,MAX(0,IF((F$6-$E$3)&lt;1,0,IFERROR(LOOKUP(2,1/('Milho 1ª safra'!$E57:INDEX('Milho 1ª safra'!$E57:$Z57,MIN(F$6-$E$3,22))&lt;&gt;""),'Milho 1ª safra'!$E57:INDEX('Milho 1ª safra'!$E57:$Z57,MIN(F$6-$E$3,22))),0))-IF($G$2,0,IF((F$6-$G$3)&lt;1,0,IFERROR(LOOKUP(2,1/('Milho 1ª safra'!$E57:INDEX('Milho 1ª safra'!$E57:$Z57,MIN(F$6-$G$3,22))&lt;&gt;""),'Milho 1ª safra'!$E57:INDEX('Milho 1ª safra'!$E57:$Z57,MIN(F$6-$G$3,22))),0)))))</f>
        <v>0</v>
      </c>
      <c r="G59" s="27" t="n">
        <f aca="false">IF(COUNT('Milho 1ª safra'!$E57:$Z57)=0,0,MAX(0,IF((G$6-$E$3)&lt;1,0,IFERROR(LOOKUP(2,1/('Milho 1ª safra'!$E57:INDEX('Milho 1ª safra'!$E57:$Z57,MIN(G$6-$E$3,22))&lt;&gt;""),'Milho 1ª safra'!$E57:INDEX('Milho 1ª safra'!$E57:$Z57,MIN(G$6-$E$3,22))),0))-IF($G$2,0,IF((G$6-$G$3)&lt;1,0,IFERROR(LOOKUP(2,1/('Milho 1ª safra'!$E57:INDEX('Milho 1ª safra'!$E57:$Z57,MIN(G$6-$G$3,22))&lt;&gt;""),'Milho 1ª safra'!$E57:INDEX('Milho 1ª safra'!$E57:$Z57,MIN(G$6-$G$3,22))),0)))))</f>
        <v>0</v>
      </c>
      <c r="H59" s="27" t="n">
        <f aca="false">IF(COUNT('Milho 1ª safra'!$E57:$Z57)=0,0,MAX(0,IF((H$6-$E$3)&lt;1,0,IFERROR(LOOKUP(2,1/('Milho 1ª safra'!$E57:INDEX('Milho 1ª safra'!$E57:$Z57,MIN(H$6-$E$3,22))&lt;&gt;""),'Milho 1ª safra'!$E57:INDEX('Milho 1ª safra'!$E57:$Z57,MIN(H$6-$E$3,22))),0))-IF($G$2,0,IF((H$6-$G$3)&lt;1,0,IFERROR(LOOKUP(2,1/('Milho 1ª safra'!$E57:INDEX('Milho 1ª safra'!$E57:$Z57,MIN(H$6-$G$3,22))&lt;&gt;""),'Milho 1ª safra'!$E57:INDEX('Milho 1ª safra'!$E57:$Z57,MIN(H$6-$G$3,22))),0)))))</f>
        <v>0</v>
      </c>
      <c r="I59" s="27" t="n">
        <f aca="false">IF(COUNT('Milho 1ª safra'!$E57:$Z57)=0,0,MAX(0,IF((I$6-$E$3)&lt;1,0,IFERROR(LOOKUP(2,1/('Milho 1ª safra'!$E57:INDEX('Milho 1ª safra'!$E57:$Z57,MIN(I$6-$E$3,22))&lt;&gt;""),'Milho 1ª safra'!$E57:INDEX('Milho 1ª safra'!$E57:$Z57,MIN(I$6-$E$3,22))),0))-IF($G$2,0,IF((I$6-$G$3)&lt;1,0,IFERROR(LOOKUP(2,1/('Milho 1ª safra'!$E57:INDEX('Milho 1ª safra'!$E57:$Z57,MIN(I$6-$G$3,22))&lt;&gt;""),'Milho 1ª safra'!$E57:INDEX('Milho 1ª safra'!$E57:$Z57,MIN(I$6-$G$3,22))),0)))))</f>
        <v>0</v>
      </c>
      <c r="J59" s="27" t="n">
        <f aca="false">IF(COUNT('Milho 1ª safra'!$E57:$Z57)=0,0,MAX(0,IF((J$6-$E$3)&lt;1,0,IFERROR(LOOKUP(2,1/('Milho 1ª safra'!$E57:INDEX('Milho 1ª safra'!$E57:$Z57,MIN(J$6-$E$3,22))&lt;&gt;""),'Milho 1ª safra'!$E57:INDEX('Milho 1ª safra'!$E57:$Z57,MIN(J$6-$E$3,22))),0))-IF($G$2,0,IF((J$6-$G$3)&lt;1,0,IFERROR(LOOKUP(2,1/('Milho 1ª safra'!$E57:INDEX('Milho 1ª safra'!$E57:$Z57,MIN(J$6-$G$3,22))&lt;&gt;""),'Milho 1ª safra'!$E57:INDEX('Milho 1ª safra'!$E57:$Z57,MIN(J$6-$G$3,22))),0)))))</f>
        <v>0</v>
      </c>
      <c r="K59" s="27" t="n">
        <f aca="false">IF(COUNT('Milho 1ª safra'!$E57:$Z57)=0,0,MAX(0,IF((K$6-$E$3)&lt;1,0,IFERROR(LOOKUP(2,1/('Milho 1ª safra'!$E57:INDEX('Milho 1ª safra'!$E57:$Z57,MIN(K$6-$E$3,22))&lt;&gt;""),'Milho 1ª safra'!$E57:INDEX('Milho 1ª safra'!$E57:$Z57,MIN(K$6-$E$3,22))),0))-IF($G$2,0,IF((K$6-$G$3)&lt;1,0,IFERROR(LOOKUP(2,1/('Milho 1ª safra'!$E57:INDEX('Milho 1ª safra'!$E57:$Z57,MIN(K$6-$G$3,22))&lt;&gt;""),'Milho 1ª safra'!$E57:INDEX('Milho 1ª safra'!$E57:$Z57,MIN(K$6-$G$3,22))),0)))))</f>
        <v>0</v>
      </c>
      <c r="L59" s="27" t="n">
        <f aca="false">IF(COUNT('Milho 1ª safra'!$E57:$Z57)=0,0,MAX(0,IF((L$6-$E$3)&lt;1,0,IFERROR(LOOKUP(2,1/('Milho 1ª safra'!$E57:INDEX('Milho 1ª safra'!$E57:$Z57,MIN(L$6-$E$3,22))&lt;&gt;""),'Milho 1ª safra'!$E57:INDEX('Milho 1ª safra'!$E57:$Z57,MIN(L$6-$E$3,22))),0))-IF($G$2,0,IF((L$6-$G$3)&lt;1,0,IFERROR(LOOKUP(2,1/('Milho 1ª safra'!$E57:INDEX('Milho 1ª safra'!$E57:$Z57,MIN(L$6-$G$3,22))&lt;&gt;""),'Milho 1ª safra'!$E57:INDEX('Milho 1ª safra'!$E57:$Z57,MIN(L$6-$G$3,22))),0)))))</f>
        <v>0</v>
      </c>
      <c r="M59" s="27" t="n">
        <f aca="false">IF(COUNT('Milho 1ª safra'!$E57:$Z57)=0,0,MAX(0,IF((M$6-$E$3)&lt;1,0,IFERROR(LOOKUP(2,1/('Milho 1ª safra'!$E57:INDEX('Milho 1ª safra'!$E57:$Z57,MIN(M$6-$E$3,22))&lt;&gt;""),'Milho 1ª safra'!$E57:INDEX('Milho 1ª safra'!$E57:$Z57,MIN(M$6-$E$3,22))),0))-IF($G$2,0,IF((M$6-$G$3)&lt;1,0,IFERROR(LOOKUP(2,1/('Milho 1ª safra'!$E57:INDEX('Milho 1ª safra'!$E57:$Z57,MIN(M$6-$G$3,22))&lt;&gt;""),'Milho 1ª safra'!$E57:INDEX('Milho 1ª safra'!$E57:$Z57,MIN(M$6-$G$3,22))),0)))))</f>
        <v>0</v>
      </c>
      <c r="N59" s="27" t="n">
        <f aca="false">IF(COUNT('Milho 1ª safra'!$E57:$Z57)=0,0,MAX(0,IF((N$6-$E$3)&lt;1,0,IFERROR(LOOKUP(2,1/('Milho 1ª safra'!$E57:INDEX('Milho 1ª safra'!$E57:$Z57,MIN(N$6-$E$3,22))&lt;&gt;""),'Milho 1ª safra'!$E57:INDEX('Milho 1ª safra'!$E57:$Z57,MIN(N$6-$E$3,22))),0))-IF($G$2,0,IF((N$6-$G$3)&lt;1,0,IFERROR(LOOKUP(2,1/('Milho 1ª safra'!$E57:INDEX('Milho 1ª safra'!$E57:$Z57,MIN(N$6-$G$3,22))&lt;&gt;""),'Milho 1ª safra'!$E57:INDEX('Milho 1ª safra'!$E57:$Z57,MIN(N$6-$G$3,22))),0)))))</f>
        <v>0</v>
      </c>
      <c r="O59" s="27" t="n">
        <f aca="false">IF(COUNT('Milho 1ª safra'!$E57:$Z57)=0,0,MAX(0,IF((O$6-$E$3)&lt;1,0,IFERROR(LOOKUP(2,1/('Milho 1ª safra'!$E57:INDEX('Milho 1ª safra'!$E57:$Z57,MIN(O$6-$E$3,22))&lt;&gt;""),'Milho 1ª safra'!$E57:INDEX('Milho 1ª safra'!$E57:$Z57,MIN(O$6-$E$3,22))),0))-IF($G$2,0,IF((O$6-$G$3)&lt;1,0,IFERROR(LOOKUP(2,1/('Milho 1ª safra'!$E57:INDEX('Milho 1ª safra'!$E57:$Z57,MIN(O$6-$G$3,22))&lt;&gt;""),'Milho 1ª safra'!$E57:INDEX('Milho 1ª safra'!$E57:$Z57,MIN(O$6-$G$3,22))),0)))))</f>
        <v>0</v>
      </c>
      <c r="P59" s="27" t="n">
        <f aca="false">IF(COUNT('Milho 1ª safra'!$E57:$Z57)=0,0,MAX(0,IF((P$6-$E$3)&lt;1,0,IFERROR(LOOKUP(2,1/('Milho 1ª safra'!$E57:INDEX('Milho 1ª safra'!$E57:$Z57,MIN(P$6-$E$3,22))&lt;&gt;""),'Milho 1ª safra'!$E57:INDEX('Milho 1ª safra'!$E57:$Z57,MIN(P$6-$E$3,22))),0))-IF($G$2,0,IF((P$6-$G$3)&lt;1,0,IFERROR(LOOKUP(2,1/('Milho 1ª safra'!$E57:INDEX('Milho 1ª safra'!$E57:$Z57,MIN(P$6-$G$3,22))&lt;&gt;""),'Milho 1ª safra'!$E57:INDEX('Milho 1ª safra'!$E57:$Z57,MIN(P$6-$G$3,22))),0)))))</f>
        <v>0</v>
      </c>
      <c r="Q59" s="27" t="n">
        <f aca="false">IF(COUNT('Milho 1ª safra'!$E57:$Z57)=0,0,MAX(0,IF((Q$6-$E$3)&lt;1,0,IFERROR(LOOKUP(2,1/('Milho 1ª safra'!$E57:INDEX('Milho 1ª safra'!$E57:$Z57,MIN(Q$6-$E$3,22))&lt;&gt;""),'Milho 1ª safra'!$E57:INDEX('Milho 1ª safra'!$E57:$Z57,MIN(Q$6-$E$3,22))),0))-IF($G$2,0,IF((Q$6-$G$3)&lt;1,0,IFERROR(LOOKUP(2,1/('Milho 1ª safra'!$E57:INDEX('Milho 1ª safra'!$E57:$Z57,MIN(Q$6-$G$3,22))&lt;&gt;""),'Milho 1ª safra'!$E57:INDEX('Milho 1ª safra'!$E57:$Z57,MIN(Q$6-$G$3,22))),0)))))</f>
        <v>0</v>
      </c>
      <c r="R59" s="27" t="n">
        <f aca="false">IF(COUNT('Milho 1ª safra'!$E57:$Z57)=0,0,MAX(0,IF((R$6-$E$3)&lt;1,0,IFERROR(LOOKUP(2,1/('Milho 1ª safra'!$E57:INDEX('Milho 1ª safra'!$E57:$Z57,MIN(R$6-$E$3,22))&lt;&gt;""),'Milho 1ª safra'!$E57:INDEX('Milho 1ª safra'!$E57:$Z57,MIN(R$6-$E$3,22))),0))-IF($G$2,0,IF((R$6-$G$3)&lt;1,0,IFERROR(LOOKUP(2,1/('Milho 1ª safra'!$E57:INDEX('Milho 1ª safra'!$E57:$Z57,MIN(R$6-$G$3,22))&lt;&gt;""),'Milho 1ª safra'!$E57:INDEX('Milho 1ª safra'!$E57:$Z57,MIN(R$6-$G$3,22))),0)))))</f>
        <v>0</v>
      </c>
      <c r="S59" s="27" t="n">
        <f aca="false">IF(COUNT('Milho 1ª safra'!$E57:$Z57)=0,0,MAX(0,IF((S$6-$E$3)&lt;1,0,IFERROR(LOOKUP(2,1/('Milho 1ª safra'!$E57:INDEX('Milho 1ª safra'!$E57:$Z57,MIN(S$6-$E$3,22))&lt;&gt;""),'Milho 1ª safra'!$E57:INDEX('Milho 1ª safra'!$E57:$Z57,MIN(S$6-$E$3,22))),0))-IF($G$2,0,IF((S$6-$G$3)&lt;1,0,IFERROR(LOOKUP(2,1/('Milho 1ª safra'!$E57:INDEX('Milho 1ª safra'!$E57:$Z57,MIN(S$6-$G$3,22))&lt;&gt;""),'Milho 1ª safra'!$E57:INDEX('Milho 1ª safra'!$E57:$Z57,MIN(S$6-$G$3,22))),0)))))</f>
        <v>0</v>
      </c>
      <c r="T59" s="27" t="n">
        <f aca="false">IF(COUNT('Milho 1ª safra'!$E57:$Z57)=0,0,MAX(0,IF((T$6-$E$3)&lt;1,0,IFERROR(LOOKUP(2,1/('Milho 1ª safra'!$E57:INDEX('Milho 1ª safra'!$E57:$Z57,MIN(T$6-$E$3,22))&lt;&gt;""),'Milho 1ª safra'!$E57:INDEX('Milho 1ª safra'!$E57:$Z57,MIN(T$6-$E$3,22))),0))-IF($G$2,0,IF((T$6-$G$3)&lt;1,0,IFERROR(LOOKUP(2,1/('Milho 1ª safra'!$E57:INDEX('Milho 1ª safra'!$E57:$Z57,MIN(T$6-$G$3,22))&lt;&gt;""),'Milho 1ª safra'!$E57:INDEX('Milho 1ª safra'!$E57:$Z57,MIN(T$6-$G$3,22))),0)))))</f>
        <v>0</v>
      </c>
      <c r="U59" s="27" t="n">
        <f aca="false">IF(COUNT('Milho 1ª safra'!$E57:$Z57)=0,0,MAX(0,IF((U$6-$E$3)&lt;1,0,IFERROR(LOOKUP(2,1/('Milho 1ª safra'!$E57:INDEX('Milho 1ª safra'!$E57:$Z57,MIN(U$6-$E$3,22))&lt;&gt;""),'Milho 1ª safra'!$E57:INDEX('Milho 1ª safra'!$E57:$Z57,MIN(U$6-$E$3,22))),0))-IF($G$2,0,IF((U$6-$G$3)&lt;1,0,IFERROR(LOOKUP(2,1/('Milho 1ª safra'!$E57:INDEX('Milho 1ª safra'!$E57:$Z57,MIN(U$6-$G$3,22))&lt;&gt;""),'Milho 1ª safra'!$E57:INDEX('Milho 1ª safra'!$E57:$Z57,MIN(U$6-$G$3,22))),0)))))</f>
        <v>0</v>
      </c>
      <c r="V59" s="27" t="n">
        <f aca="false">IF(COUNT('Milho 1ª safra'!$E57:$Z57)=0,0,MAX(0,IF((V$6-$E$3)&lt;1,0,IFERROR(LOOKUP(2,1/('Milho 1ª safra'!$E57:INDEX('Milho 1ª safra'!$E57:$Z57,MIN(V$6-$E$3,22))&lt;&gt;""),'Milho 1ª safra'!$E57:INDEX('Milho 1ª safra'!$E57:$Z57,MIN(V$6-$E$3,22))),0))-IF($G$2,0,IF((V$6-$G$3)&lt;1,0,IFERROR(LOOKUP(2,1/('Milho 1ª safra'!$E57:INDEX('Milho 1ª safra'!$E57:$Z57,MIN(V$6-$G$3,22))&lt;&gt;""),'Milho 1ª safra'!$E57:INDEX('Milho 1ª safra'!$E57:$Z57,MIN(V$6-$G$3,22))),0)))))</f>
        <v>0</v>
      </c>
      <c r="W59" s="27" t="n">
        <f aca="false">IF(COUNT('Milho 1ª safra'!$E57:$Z57)=0,0,MAX(0,IF((W$6-$E$3)&lt;1,0,IFERROR(LOOKUP(2,1/('Milho 1ª safra'!$E57:INDEX('Milho 1ª safra'!$E57:$Z57,MIN(W$6-$E$3,22))&lt;&gt;""),'Milho 1ª safra'!$E57:INDEX('Milho 1ª safra'!$E57:$Z57,MIN(W$6-$E$3,22))),0))-IF($G$2,0,IF((W$6-$G$3)&lt;1,0,IFERROR(LOOKUP(2,1/('Milho 1ª safra'!$E57:INDEX('Milho 1ª safra'!$E57:$Z57,MIN(W$6-$G$3,22))&lt;&gt;""),'Milho 1ª safra'!$E57:INDEX('Milho 1ª safra'!$E57:$Z57,MIN(W$6-$G$3,22))),0)))))</f>
        <v>0</v>
      </c>
      <c r="X59" s="27" t="n">
        <f aca="false">IF(COUNT('Milho 1ª safra'!$E57:$Z57)=0,0,MAX(0,IF((X$6-$E$3)&lt;1,0,IFERROR(LOOKUP(2,1/('Milho 1ª safra'!$E57:INDEX('Milho 1ª safra'!$E57:$Z57,MIN(X$6-$E$3,22))&lt;&gt;""),'Milho 1ª safra'!$E57:INDEX('Milho 1ª safra'!$E57:$Z57,MIN(X$6-$E$3,22))),0))-IF($G$2,0,IF((X$6-$G$3)&lt;1,0,IFERROR(LOOKUP(2,1/('Milho 1ª safra'!$E57:INDEX('Milho 1ª safra'!$E57:$Z57,MIN(X$6-$G$3,22))&lt;&gt;""),'Milho 1ª safra'!$E57:INDEX('Milho 1ª safra'!$E57:$Z57,MIN(X$6-$G$3,22))),0)))))</f>
        <v>0</v>
      </c>
      <c r="Y59" s="27" t="n">
        <f aca="false">IF(COUNT('Milho 1ª safra'!$E57:$Z57)=0,0,MAX(0,IF((Y$6-$E$3)&lt;1,0,IFERROR(LOOKUP(2,1/('Milho 1ª safra'!$E57:INDEX('Milho 1ª safra'!$E57:$Z57,MIN(Y$6-$E$3,22))&lt;&gt;""),'Milho 1ª safra'!$E57:INDEX('Milho 1ª safra'!$E57:$Z57,MIN(Y$6-$E$3,22))),0))-IF($G$2,0,IF((Y$6-$G$3)&lt;1,0,IFERROR(LOOKUP(2,1/('Milho 1ª safra'!$E57:INDEX('Milho 1ª safra'!$E57:$Z57,MIN(Y$6-$G$3,22))&lt;&gt;""),'Milho 1ª safra'!$E57:INDEX('Milho 1ª safra'!$E57:$Z57,MIN(Y$6-$G$3,22))),0)))))</f>
        <v>0</v>
      </c>
      <c r="Z59" s="27" t="n">
        <f aca="false">IF(COUNT('Milho 1ª safra'!$E57:$Z57)=0,0,MAX(0,IF((Z$6-$E$3)&lt;1,0,IFERROR(LOOKUP(2,1/('Milho 1ª safra'!$E57:INDEX('Milho 1ª safra'!$E57:$Z57,MIN(Z$6-$E$3,22))&lt;&gt;""),'Milho 1ª safra'!$E57:INDEX('Milho 1ª safra'!$E57:$Z57,MIN(Z$6-$E$3,22))),0))-IF($G$2,0,IF((Z$6-$G$3)&lt;1,0,IFERROR(LOOKUP(2,1/('Milho 1ª safra'!$E57:INDEX('Milho 1ª safra'!$E57:$Z57,MIN(Z$6-$G$3,22))&lt;&gt;""),'Milho 1ª safra'!$E57:INDEX('Milho 1ª safra'!$E57:$Z57,MIN(Z$6-$G$3,22))),0)))))</f>
        <v>0</v>
      </c>
      <c r="AA59" s="27" t="n">
        <f aca="false">IF(COUNT('Milho 1ª safra'!$E57:$Z57)=0,0,MAX(0,IF((AA$6-$E$3)&lt;1,0,IFERROR(LOOKUP(2,1/('Milho 1ª safra'!$E57:INDEX('Milho 1ª safra'!$E57:$Z57,MIN(AA$6-$E$3,22))&lt;&gt;""),'Milho 1ª safra'!$E57:INDEX('Milho 1ª safra'!$E57:$Z57,MIN(AA$6-$E$3,22))),0))-IF($G$2,0,IF((AA$6-$G$3)&lt;1,0,IFERROR(LOOKUP(2,1/('Milho 1ª safra'!$E57:INDEX('Milho 1ª safra'!$E57:$Z57,MIN(AA$6-$G$3,22))&lt;&gt;""),'Milho 1ª safra'!$E57:INDEX('Milho 1ª safra'!$E57:$Z57,MIN(AA$6-$G$3,22))),0)))))</f>
        <v>0</v>
      </c>
      <c r="AB59" s="27" t="n">
        <f aca="false">IF(COUNT('Milho 1ª safra'!$E57:$Z57)=0,0,MAX(0,IF((AB$6-$E$3)&lt;1,0,IFERROR(LOOKUP(2,1/('Milho 1ª safra'!$E57:INDEX('Milho 1ª safra'!$E57:$Z57,MIN(AB$6-$E$3,22))&lt;&gt;""),'Milho 1ª safra'!$E57:INDEX('Milho 1ª safra'!$E57:$Z57,MIN(AB$6-$E$3,22))),0))-IF($G$2,0,IF((AB$6-$G$3)&lt;1,0,IFERROR(LOOKUP(2,1/('Milho 1ª safra'!$E57:INDEX('Milho 1ª safra'!$E57:$Z57,MIN(AB$6-$G$3,22))&lt;&gt;""),'Milho 1ª safra'!$E57:INDEX('Milho 1ª safra'!$E57:$Z57,MIN(AB$6-$G$3,22))),0)))))</f>
        <v>0</v>
      </c>
      <c r="AC59" s="27" t="n">
        <f aca="false">IF(COUNT('Milho 1ª safra'!$E57:$Z57)=0,0,MAX(0,IF((AC$6-$E$3)&lt;1,0,IFERROR(LOOKUP(2,1/('Milho 1ª safra'!$E57:INDEX('Milho 1ª safra'!$E57:$Z57,MIN(AC$6-$E$3,22))&lt;&gt;""),'Milho 1ª safra'!$E57:INDEX('Milho 1ª safra'!$E57:$Z57,MIN(AC$6-$E$3,22))),0))-IF($G$2,0,IF((AC$6-$G$3)&lt;1,0,IFERROR(LOOKUP(2,1/('Milho 1ª safra'!$E57:INDEX('Milho 1ª safra'!$E57:$Z57,MIN(AC$6-$G$3,22))&lt;&gt;""),'Milho 1ª safra'!$E57:INDEX('Milho 1ª safra'!$E57:$Z57,MIN(AC$6-$G$3,22))),0)))))</f>
        <v>0</v>
      </c>
      <c r="AD59" s="27" t="n">
        <f aca="false">IF(COUNT('Milho 1ª safra'!$E57:$Z57)=0,0,MAX(0,IF((AD$6-$E$3)&lt;1,0,IFERROR(LOOKUP(2,1/('Milho 1ª safra'!$E57:INDEX('Milho 1ª safra'!$E57:$Z57,MIN(AD$6-$E$3,22))&lt;&gt;""),'Milho 1ª safra'!$E57:INDEX('Milho 1ª safra'!$E57:$Z57,MIN(AD$6-$E$3,22))),0))-IF($G$2,0,IF((AD$6-$G$3)&lt;1,0,IFERROR(LOOKUP(2,1/('Milho 1ª safra'!$E57:INDEX('Milho 1ª safra'!$E57:$Z57,MIN(AD$6-$G$3,22))&lt;&gt;""),'Milho 1ª safra'!$E57:INDEX('Milho 1ª safra'!$E57:$Z57,MIN(AD$6-$G$3,22))),0)))))</f>
        <v>0</v>
      </c>
      <c r="AE59" s="27" t="n">
        <f aca="false">IF(COUNT('Milho 1ª safra'!$E57:$Z57)=0,0,MAX(0,IF((AE$6-$E$3)&lt;1,0,IFERROR(LOOKUP(2,1/('Milho 1ª safra'!$E57:INDEX('Milho 1ª safra'!$E57:$Z57,MIN(AE$6-$E$3,22))&lt;&gt;""),'Milho 1ª safra'!$E57:INDEX('Milho 1ª safra'!$E57:$Z57,MIN(AE$6-$E$3,22))),0))-IF($G$2,0,IF((AE$6-$G$3)&lt;1,0,IFERROR(LOOKUP(2,1/('Milho 1ª safra'!$E57:INDEX('Milho 1ª safra'!$E57:$Z57,MIN(AE$6-$G$3,22))&lt;&gt;""),'Milho 1ª safra'!$E57:INDEX('Milho 1ª safra'!$E57:$Z57,MIN(AE$6-$G$3,22))),0)))))</f>
        <v>0</v>
      </c>
      <c r="AF59" s="27" t="n">
        <f aca="false">IF(COUNT('Milho 1ª safra'!$E57:$Z57)=0,0,MAX(0,IF((AF$6-$E$3)&lt;1,0,IFERROR(LOOKUP(2,1/('Milho 1ª safra'!$E57:INDEX('Milho 1ª safra'!$E57:$Z57,MIN(AF$6-$E$3,22))&lt;&gt;""),'Milho 1ª safra'!$E57:INDEX('Milho 1ª safra'!$E57:$Z57,MIN(AF$6-$E$3,22))),0))-IF($G$2,0,IF((AF$6-$G$3)&lt;1,0,IFERROR(LOOKUP(2,1/('Milho 1ª safra'!$E57:INDEX('Milho 1ª safra'!$E57:$Z57,MIN(AF$6-$G$3,22))&lt;&gt;""),'Milho 1ª safra'!$E57:INDEX('Milho 1ª safra'!$E57:$Z57,MIN(AF$6-$G$3,22))),0)))))</f>
        <v>0</v>
      </c>
      <c r="AG59" s="27" t="n">
        <f aca="false">IF(COUNT('Milho 1ª safra'!$E57:$Z57)=0,0,MAX(0,IF((AG$6-$E$3)&lt;1,0,IFERROR(LOOKUP(2,1/('Milho 1ª safra'!$E57:INDEX('Milho 1ª safra'!$E57:$Z57,MIN(AG$6-$E$3,22))&lt;&gt;""),'Milho 1ª safra'!$E57:INDEX('Milho 1ª safra'!$E57:$Z57,MIN(AG$6-$E$3,22))),0))-IF($G$2,0,IF((AG$6-$G$3)&lt;1,0,IFERROR(LOOKUP(2,1/('Milho 1ª safra'!$E57:INDEX('Milho 1ª safra'!$E57:$Z57,MIN(AG$6-$G$3,22))&lt;&gt;""),'Milho 1ª safra'!$E57:INDEX('Milho 1ª safra'!$E57:$Z57,MIN(AG$6-$G$3,22))),0)))))</f>
        <v>0</v>
      </c>
      <c r="AH59" s="27" t="n">
        <f aca="false">IF(COUNT('Milho 1ª safra'!$E57:$Z57)=0,0,MAX(0,IF((AH$6-$E$3)&lt;1,0,IFERROR(LOOKUP(2,1/('Milho 1ª safra'!$E57:INDEX('Milho 1ª safra'!$E57:$Z57,MIN(AH$6-$E$3,22))&lt;&gt;""),'Milho 1ª safra'!$E57:INDEX('Milho 1ª safra'!$E57:$Z57,MIN(AH$6-$E$3,22))),0))-IF($G$2,0,IF((AH$6-$G$3)&lt;1,0,IFERROR(LOOKUP(2,1/('Milho 1ª safra'!$E57:INDEX('Milho 1ª safra'!$E57:$Z57,MIN(AH$6-$G$3,22))&lt;&gt;""),'Milho 1ª safra'!$E57:INDEX('Milho 1ª safra'!$E57:$Z57,MIN(AH$6-$G$3,22))),0)))))</f>
        <v>0</v>
      </c>
      <c r="AI59" s="27" t="n">
        <f aca="false">IF(COUNT('Milho 1ª safra'!$E57:$Z57)=0,0,MAX(0,IF((AI$6-$E$3)&lt;1,0,IFERROR(LOOKUP(2,1/('Milho 1ª safra'!$E57:INDEX('Milho 1ª safra'!$E57:$Z57,MIN(AI$6-$E$3,22))&lt;&gt;""),'Milho 1ª safra'!$E57:INDEX('Milho 1ª safra'!$E57:$Z57,MIN(AI$6-$E$3,22))),0))-IF($G$2,0,IF((AI$6-$G$3)&lt;1,0,IFERROR(LOOKUP(2,1/('Milho 1ª safra'!$E57:INDEX('Milho 1ª safra'!$E57:$Z57,MIN(AI$6-$G$3,22))&lt;&gt;""),'Milho 1ª safra'!$E57:INDEX('Milho 1ª safra'!$E57:$Z57,MIN(AI$6-$G$3,22))),0)))))</f>
        <v>0</v>
      </c>
      <c r="AJ59" s="27" t="n">
        <f aca="false">IF(COUNT('Milho 1ª safra'!$E57:$Z57)=0,0,MAX(0,IF((AJ$6-$E$3)&lt;1,0,IFERROR(LOOKUP(2,1/('Milho 1ª safra'!$E57:INDEX('Milho 1ª safra'!$E57:$Z57,MIN(AJ$6-$E$3,22))&lt;&gt;""),'Milho 1ª safra'!$E57:INDEX('Milho 1ª safra'!$E57:$Z57,MIN(AJ$6-$E$3,22))),0))-IF($G$2,0,IF((AJ$6-$G$3)&lt;1,0,IFERROR(LOOKUP(2,1/('Milho 1ª safra'!$E57:INDEX('Milho 1ª safra'!$E57:$Z57,MIN(AJ$6-$G$3,22))&lt;&gt;""),'Milho 1ª safra'!$E57:INDEX('Milho 1ª safra'!$E57:$Z57,MIN(AJ$6-$G$3,22))),0)))))</f>
        <v>0</v>
      </c>
      <c r="AK59" s="27" t="n">
        <f aca="false">IF(COUNT('Milho 1ª safra'!$E57:$Z57)=0,0,MAX(0,IF((AK$6-$E$3)&lt;1,0,IFERROR(LOOKUP(2,1/('Milho 1ª safra'!$E57:INDEX('Milho 1ª safra'!$E57:$Z57,MIN(AK$6-$E$3,22))&lt;&gt;""),'Milho 1ª safra'!$E57:INDEX('Milho 1ª safra'!$E57:$Z57,MIN(AK$6-$E$3,22))),0))-IF($G$2,0,IF((AK$6-$G$3)&lt;1,0,IFERROR(LOOKUP(2,1/('Milho 1ª safra'!$E57:INDEX('Milho 1ª safra'!$E57:$Z57,MIN(AK$6-$G$3,22))&lt;&gt;""),'Milho 1ª safra'!$E57:INDEX('Milho 1ª safra'!$E57:$Z57,MIN(AK$6-$G$3,22))),0)))))</f>
        <v>0</v>
      </c>
      <c r="AL59" s="27" t="n">
        <f aca="false">IF(COUNT('Milho 1ª safra'!$E57:$Z57)=0,0,MAX(0,IF((AL$6-$E$3)&lt;1,0,IFERROR(LOOKUP(2,1/('Milho 1ª safra'!$E57:INDEX('Milho 1ª safra'!$E57:$Z57,MIN(AL$6-$E$3,22))&lt;&gt;""),'Milho 1ª safra'!$E57:INDEX('Milho 1ª safra'!$E57:$Z57,MIN(AL$6-$E$3,22))),0))-IF($G$2,0,IF((AL$6-$G$3)&lt;1,0,IFERROR(LOOKUP(2,1/('Milho 1ª safra'!$E57:INDEX('Milho 1ª safra'!$E57:$Z57,MIN(AL$6-$G$3,22))&lt;&gt;""),'Milho 1ª safra'!$E57:INDEX('Milho 1ª safra'!$E57:$Z57,MIN(AL$6-$G$3,22))),0)))))</f>
        <v>0</v>
      </c>
      <c r="AM59" s="27" t="n">
        <f aca="false">IF(COUNT('Milho 1ª safra'!$E57:$Z57)=0,0,MAX(0,IF((AM$6-$E$3)&lt;1,0,IFERROR(LOOKUP(2,1/('Milho 1ª safra'!$E57:INDEX('Milho 1ª safra'!$E57:$Z57,MIN(AM$6-$E$3,22))&lt;&gt;""),'Milho 1ª safra'!$E57:INDEX('Milho 1ª safra'!$E57:$Z57,MIN(AM$6-$E$3,22))),0))-IF($G$2,0,IF((AM$6-$G$3)&lt;1,0,IFERROR(LOOKUP(2,1/('Milho 1ª safra'!$E57:INDEX('Milho 1ª safra'!$E57:$Z57,MIN(AM$6-$G$3,22))&lt;&gt;""),'Milho 1ª safra'!$E57:INDEX('Milho 1ª safra'!$E57:$Z57,MIN(AM$6-$G$3,22))),0)))))</f>
        <v>0</v>
      </c>
      <c r="AN59" s="27" t="n">
        <f aca="false">IF(COUNT('Milho 1ª safra'!$E57:$Z57)=0,0,MAX(0,IF((AN$6-$E$3)&lt;1,0,IFERROR(LOOKUP(2,1/('Milho 1ª safra'!$E57:INDEX('Milho 1ª safra'!$E57:$Z57,MIN(AN$6-$E$3,22))&lt;&gt;""),'Milho 1ª safra'!$E57:INDEX('Milho 1ª safra'!$E57:$Z57,MIN(AN$6-$E$3,22))),0))-IF($G$2,0,IF((AN$6-$G$3)&lt;1,0,IFERROR(LOOKUP(2,1/('Milho 1ª safra'!$E57:INDEX('Milho 1ª safra'!$E57:$Z57,MIN(AN$6-$G$3,22))&lt;&gt;""),'Milho 1ª safra'!$E57:INDEX('Milho 1ª safra'!$E57:$Z57,MIN(AN$6-$G$3,22))),0)))))</f>
        <v>0</v>
      </c>
      <c r="AO59" s="27" t="n">
        <f aca="false">IF(COUNT('Milho 1ª safra'!$E57:$Z57)=0,0,MAX(0,IF((AO$6-$E$3)&lt;1,0,IFERROR(LOOKUP(2,1/('Milho 1ª safra'!$E57:INDEX('Milho 1ª safra'!$E57:$Z57,MIN(AO$6-$E$3,22))&lt;&gt;""),'Milho 1ª safra'!$E57:INDEX('Milho 1ª safra'!$E57:$Z57,MIN(AO$6-$E$3,22))),0))-IF($G$2,0,IF((AO$6-$G$3)&lt;1,0,IFERROR(LOOKUP(2,1/('Milho 1ª safra'!$E57:INDEX('Milho 1ª safra'!$E57:$Z57,MIN(AO$6-$G$3,22))&lt;&gt;""),'Milho 1ª safra'!$E57:INDEX('Milho 1ª safra'!$E57:$Z57,MIN(AO$6-$G$3,22))),0)))))</f>
        <v>0</v>
      </c>
      <c r="AP59" s="27" t="n">
        <f aca="false">IF(COUNT('Milho 1ª safra'!$E57:$Z57)=0,0,MAX(0,IF((AP$6-$E$3)&lt;1,0,IFERROR(LOOKUP(2,1/('Milho 1ª safra'!$E57:INDEX('Milho 1ª safra'!$E57:$Z57,MIN(AP$6-$E$3,22))&lt;&gt;""),'Milho 1ª safra'!$E57:INDEX('Milho 1ª safra'!$E57:$Z57,MIN(AP$6-$E$3,22))),0))-IF($G$2,0,IF((AP$6-$G$3)&lt;1,0,IFERROR(LOOKUP(2,1/('Milho 1ª safra'!$E57:INDEX('Milho 1ª safra'!$E57:$Z57,MIN(AP$6-$G$3,22))&lt;&gt;""),'Milho 1ª safra'!$E57:INDEX('Milho 1ª safra'!$E57:$Z57,MIN(AP$6-$G$3,22))),0)))))</f>
        <v>0</v>
      </c>
      <c r="AQ59" s="27" t="n">
        <f aca="false">IF(COUNT('Milho 1ª safra'!$E57:$Z57)=0,0,MAX(0,IF((AQ$6-$E$3)&lt;1,0,IFERROR(LOOKUP(2,1/('Milho 1ª safra'!$E57:INDEX('Milho 1ª safra'!$E57:$Z57,MIN(AQ$6-$E$3,22))&lt;&gt;""),'Milho 1ª safra'!$E57:INDEX('Milho 1ª safra'!$E57:$Z57,MIN(AQ$6-$E$3,22))),0))-IF($G$2,0,IF((AQ$6-$G$3)&lt;1,0,IFERROR(LOOKUP(2,1/('Milho 1ª safra'!$E57:INDEX('Milho 1ª safra'!$E57:$Z57,MIN(AQ$6-$G$3,22))&lt;&gt;""),'Milho 1ª safra'!$E57:INDEX('Milho 1ª safra'!$E57:$Z57,MIN(AQ$6-$G$3,22))),0)))))</f>
        <v>0</v>
      </c>
      <c r="AR59" s="27" t="n">
        <f aca="false">IF(COUNT('Milho 1ª safra'!$E57:$Z57)=0,0,MAX(0,IF((AR$6-$E$3)&lt;1,0,IFERROR(LOOKUP(2,1/('Milho 1ª safra'!$E57:INDEX('Milho 1ª safra'!$E57:$Z57,MIN(AR$6-$E$3,22))&lt;&gt;""),'Milho 1ª safra'!$E57:INDEX('Milho 1ª safra'!$E57:$Z57,MIN(AR$6-$E$3,22))),0))-IF($G$2,0,IF((AR$6-$G$3)&lt;1,0,IFERROR(LOOKUP(2,1/('Milho 1ª safra'!$E57:INDEX('Milho 1ª safra'!$E57:$Z57,MIN(AR$6-$G$3,22))&lt;&gt;""),'Milho 1ª safra'!$E57:INDEX('Milho 1ª safra'!$E57:$Z57,MIN(AR$6-$G$3,22))),0)))))</f>
        <v>0</v>
      </c>
      <c r="AS59" s="27" t="n">
        <f aca="false">IF(COUNT('Milho 1ª safra'!$E57:$Z57)=0,0,MAX(0,IF((AS$6-$E$3)&lt;1,0,IFERROR(LOOKUP(2,1/('Milho 1ª safra'!$E57:INDEX('Milho 1ª safra'!$E57:$Z57,MIN(AS$6-$E$3,22))&lt;&gt;""),'Milho 1ª safra'!$E57:INDEX('Milho 1ª safra'!$E57:$Z57,MIN(AS$6-$E$3,22))),0))-IF($G$2,0,IF((AS$6-$G$3)&lt;1,0,IFERROR(LOOKUP(2,1/('Milho 1ª safra'!$E57:INDEX('Milho 1ª safra'!$E57:$Z57,MIN(AS$6-$G$3,22))&lt;&gt;""),'Milho 1ª safra'!$E57:INDEX('Milho 1ª safra'!$E57:$Z57,MIN(AS$6-$G$3,22))),0)))))</f>
        <v>0</v>
      </c>
      <c r="AT59" s="27" t="n">
        <f aca="false">IF(COUNT('Milho 1ª safra'!$E57:$Z57)=0,0,MAX(0,IF((AT$6-$E$3)&lt;1,0,IFERROR(LOOKUP(2,1/('Milho 1ª safra'!$E57:INDEX('Milho 1ª safra'!$E57:$Z57,MIN(AT$6-$E$3,22))&lt;&gt;""),'Milho 1ª safra'!$E57:INDEX('Milho 1ª safra'!$E57:$Z57,MIN(AT$6-$E$3,22))),0))-IF($G$2,0,IF((AT$6-$G$3)&lt;1,0,IFERROR(LOOKUP(2,1/('Milho 1ª safra'!$E57:INDEX('Milho 1ª safra'!$E57:$Z57,MIN(AT$6-$G$3,22))&lt;&gt;""),'Milho 1ª safra'!$E57:INDEX('Milho 1ª safra'!$E57:$Z57,MIN(AT$6-$G$3,22))),0)))))</f>
        <v>0</v>
      </c>
      <c r="AU59" s="27" t="n">
        <f aca="false">IF(COUNT('Milho 1ª safra'!$E57:$Z57)=0,0,MAX(0,IF((AU$6-$E$3)&lt;1,0,IFERROR(LOOKUP(2,1/('Milho 1ª safra'!$E57:INDEX('Milho 1ª safra'!$E57:$Z57,MIN(AU$6-$E$3,22))&lt;&gt;""),'Milho 1ª safra'!$E57:INDEX('Milho 1ª safra'!$E57:$Z57,MIN(AU$6-$E$3,22))),0))-IF($G$2,0,IF((AU$6-$G$3)&lt;1,0,IFERROR(LOOKUP(2,1/('Milho 1ª safra'!$E57:INDEX('Milho 1ª safra'!$E57:$Z57,MIN(AU$6-$G$3,22))&lt;&gt;""),'Milho 1ª safra'!$E57:INDEX('Milho 1ª safra'!$E57:$Z57,MIN(AU$6-$G$3,22))),0)))))</f>
        <v>0</v>
      </c>
      <c r="AV59" s="27" t="n">
        <f aca="false">IF(COUNT('Milho 1ª safra'!$E57:$Z57)=0,0,MAX(0,IF((AV$6-$E$3)&lt;1,0,IFERROR(LOOKUP(2,1/('Milho 1ª safra'!$E57:INDEX('Milho 1ª safra'!$E57:$Z57,MIN(AV$6-$E$3,22))&lt;&gt;""),'Milho 1ª safra'!$E57:INDEX('Milho 1ª safra'!$E57:$Z57,MIN(AV$6-$E$3,22))),0))-IF($G$2,0,IF((AV$6-$G$3)&lt;1,0,IFERROR(LOOKUP(2,1/('Milho 1ª safra'!$E57:INDEX('Milho 1ª safra'!$E57:$Z57,MIN(AV$6-$G$3,22))&lt;&gt;""),'Milho 1ª safra'!$E57:INDEX('Milho 1ª safra'!$E57:$Z57,MIN(AV$6-$G$3,22))),0)))))</f>
        <v>0</v>
      </c>
      <c r="AW59" s="27" t="n">
        <f aca="false">IF(COUNT('Milho 1ª safra'!$E57:$Z57)=0,0,MAX(0,IF((AW$6-$E$3)&lt;1,0,IFERROR(LOOKUP(2,1/('Milho 1ª safra'!$E57:INDEX('Milho 1ª safra'!$E57:$Z57,MIN(AW$6-$E$3,22))&lt;&gt;""),'Milho 1ª safra'!$E57:INDEX('Milho 1ª safra'!$E57:$Z57,MIN(AW$6-$E$3,22))),0))-IF($G$2,0,IF((AW$6-$G$3)&lt;1,0,IFERROR(LOOKUP(2,1/('Milho 1ª safra'!$E57:INDEX('Milho 1ª safra'!$E57:$Z57,MIN(AW$6-$G$3,22))&lt;&gt;""),'Milho 1ª safra'!$E57:INDEX('Milho 1ª safra'!$E57:$Z57,MIN(AW$6-$G$3,22))),0)))))</f>
        <v>0</v>
      </c>
      <c r="AX59" s="27" t="n">
        <f aca="false">IF(COUNT('Milho 1ª safra'!$E57:$Z57)=0,0,MAX(0,IF((AX$6-$E$3)&lt;1,0,IFERROR(LOOKUP(2,1/('Milho 1ª safra'!$E57:INDEX('Milho 1ª safra'!$E57:$Z57,MIN(AX$6-$E$3,22))&lt;&gt;""),'Milho 1ª safra'!$E57:INDEX('Milho 1ª safra'!$E57:$Z57,MIN(AX$6-$E$3,22))),0))-IF($G$2,0,IF((AX$6-$G$3)&lt;1,0,IFERROR(LOOKUP(2,1/('Milho 1ª safra'!$E57:INDEX('Milho 1ª safra'!$E57:$Z57,MIN(AX$6-$G$3,22))&lt;&gt;""),'Milho 1ª safra'!$E57:INDEX('Milho 1ª safra'!$E57:$Z57,MIN(AX$6-$G$3,22))),0)))))</f>
        <v>0</v>
      </c>
      <c r="AY59" s="27" t="n">
        <f aca="false">IF(COUNT('Milho 1ª safra'!$E57:$Z57)=0,0,MAX(0,IF((AY$6-$E$3)&lt;1,0,IFERROR(LOOKUP(2,1/('Milho 1ª safra'!$E57:INDEX('Milho 1ª safra'!$E57:$Z57,MIN(AY$6-$E$3,22))&lt;&gt;""),'Milho 1ª safra'!$E57:INDEX('Milho 1ª safra'!$E57:$Z57,MIN(AY$6-$E$3,22))),0))-IF($G$2,0,IF((AY$6-$G$3)&lt;1,0,IFERROR(LOOKUP(2,1/('Milho 1ª safra'!$E57:INDEX('Milho 1ª safra'!$E57:$Z57,MIN(AY$6-$G$3,22))&lt;&gt;""),'Milho 1ª safra'!$E57:INDEX('Milho 1ª safra'!$E57:$Z57,MIN(AY$6-$G$3,22))),0)))))</f>
        <v>0</v>
      </c>
      <c r="AZ59" s="27" t="n">
        <f aca="false">IF(COUNT('Milho 1ª safra'!$E57:$Z57)=0,0,MAX(0,IF((AZ$6-$E$3)&lt;1,0,IFERROR(LOOKUP(2,1/('Milho 1ª safra'!$E57:INDEX('Milho 1ª safra'!$E57:$Z57,MIN(AZ$6-$E$3,22))&lt;&gt;""),'Milho 1ª safra'!$E57:INDEX('Milho 1ª safra'!$E57:$Z57,MIN(AZ$6-$E$3,22))),0))-IF($G$2,0,IF((AZ$6-$G$3)&lt;1,0,IFERROR(LOOKUP(2,1/('Milho 1ª safra'!$E57:INDEX('Milho 1ª safra'!$E57:$Z57,MIN(AZ$6-$G$3,22))&lt;&gt;""),'Milho 1ª safra'!$E57:INDEX('Milho 1ª safra'!$E57:$Z57,MIN(AZ$6-$G$3,22))),0)))))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IF(COUNT('Milho 1ª safra'!$E58:$Z58)&gt;0,N('Milho 1ª safra'!$D58),0)</f>
        <v>0</v>
      </c>
      <c r="E60" s="27" t="n">
        <f aca="false">IF(COUNT('Milho 1ª safra'!$E58:$Z58)=0,0,MAX(0,IF((E$6-$E$3)&lt;1,0,IFERROR(LOOKUP(2,1/('Milho 1ª safra'!$E58:INDEX('Milho 1ª safra'!$E58:$Z58,MIN(E$6-$E$3,22))&lt;&gt;""),'Milho 1ª safra'!$E58:INDEX('Milho 1ª safra'!$E58:$Z58,MIN(E$6-$E$3,22))),0))-IF($G$2,0,IF((E$6-$G$3)&lt;1,0,IFERROR(LOOKUP(2,1/('Milho 1ª safra'!$E58:INDEX('Milho 1ª safra'!$E58:$Z58,MIN(E$6-$G$3,22))&lt;&gt;""),'Milho 1ª safra'!$E58:INDEX('Milho 1ª safra'!$E58:$Z58,MIN(E$6-$G$3,22))),0)))))</f>
        <v>0</v>
      </c>
      <c r="F60" s="27" t="n">
        <f aca="false">IF(COUNT('Milho 1ª safra'!$E58:$Z58)=0,0,MAX(0,IF((F$6-$E$3)&lt;1,0,IFERROR(LOOKUP(2,1/('Milho 1ª safra'!$E58:INDEX('Milho 1ª safra'!$E58:$Z58,MIN(F$6-$E$3,22))&lt;&gt;""),'Milho 1ª safra'!$E58:INDEX('Milho 1ª safra'!$E58:$Z58,MIN(F$6-$E$3,22))),0))-IF($G$2,0,IF((F$6-$G$3)&lt;1,0,IFERROR(LOOKUP(2,1/('Milho 1ª safra'!$E58:INDEX('Milho 1ª safra'!$E58:$Z58,MIN(F$6-$G$3,22))&lt;&gt;""),'Milho 1ª safra'!$E58:INDEX('Milho 1ª safra'!$E58:$Z58,MIN(F$6-$G$3,22))),0)))))</f>
        <v>0</v>
      </c>
      <c r="G60" s="27" t="n">
        <f aca="false">IF(COUNT('Milho 1ª safra'!$E58:$Z58)=0,0,MAX(0,IF((G$6-$E$3)&lt;1,0,IFERROR(LOOKUP(2,1/('Milho 1ª safra'!$E58:INDEX('Milho 1ª safra'!$E58:$Z58,MIN(G$6-$E$3,22))&lt;&gt;""),'Milho 1ª safra'!$E58:INDEX('Milho 1ª safra'!$E58:$Z58,MIN(G$6-$E$3,22))),0))-IF($G$2,0,IF((G$6-$G$3)&lt;1,0,IFERROR(LOOKUP(2,1/('Milho 1ª safra'!$E58:INDEX('Milho 1ª safra'!$E58:$Z58,MIN(G$6-$G$3,22))&lt;&gt;""),'Milho 1ª safra'!$E58:INDEX('Milho 1ª safra'!$E58:$Z58,MIN(G$6-$G$3,22))),0)))))</f>
        <v>0</v>
      </c>
      <c r="H60" s="27" t="n">
        <f aca="false">IF(COUNT('Milho 1ª safra'!$E58:$Z58)=0,0,MAX(0,IF((H$6-$E$3)&lt;1,0,IFERROR(LOOKUP(2,1/('Milho 1ª safra'!$E58:INDEX('Milho 1ª safra'!$E58:$Z58,MIN(H$6-$E$3,22))&lt;&gt;""),'Milho 1ª safra'!$E58:INDEX('Milho 1ª safra'!$E58:$Z58,MIN(H$6-$E$3,22))),0))-IF($G$2,0,IF((H$6-$G$3)&lt;1,0,IFERROR(LOOKUP(2,1/('Milho 1ª safra'!$E58:INDEX('Milho 1ª safra'!$E58:$Z58,MIN(H$6-$G$3,22))&lt;&gt;""),'Milho 1ª safra'!$E58:INDEX('Milho 1ª safra'!$E58:$Z58,MIN(H$6-$G$3,22))),0)))))</f>
        <v>0</v>
      </c>
      <c r="I60" s="27" t="n">
        <f aca="false">IF(COUNT('Milho 1ª safra'!$E58:$Z58)=0,0,MAX(0,IF((I$6-$E$3)&lt;1,0,IFERROR(LOOKUP(2,1/('Milho 1ª safra'!$E58:INDEX('Milho 1ª safra'!$E58:$Z58,MIN(I$6-$E$3,22))&lt;&gt;""),'Milho 1ª safra'!$E58:INDEX('Milho 1ª safra'!$E58:$Z58,MIN(I$6-$E$3,22))),0))-IF($G$2,0,IF((I$6-$G$3)&lt;1,0,IFERROR(LOOKUP(2,1/('Milho 1ª safra'!$E58:INDEX('Milho 1ª safra'!$E58:$Z58,MIN(I$6-$G$3,22))&lt;&gt;""),'Milho 1ª safra'!$E58:INDEX('Milho 1ª safra'!$E58:$Z58,MIN(I$6-$G$3,22))),0)))))</f>
        <v>0</v>
      </c>
      <c r="J60" s="27" t="n">
        <f aca="false">IF(COUNT('Milho 1ª safra'!$E58:$Z58)=0,0,MAX(0,IF((J$6-$E$3)&lt;1,0,IFERROR(LOOKUP(2,1/('Milho 1ª safra'!$E58:INDEX('Milho 1ª safra'!$E58:$Z58,MIN(J$6-$E$3,22))&lt;&gt;""),'Milho 1ª safra'!$E58:INDEX('Milho 1ª safra'!$E58:$Z58,MIN(J$6-$E$3,22))),0))-IF($G$2,0,IF((J$6-$G$3)&lt;1,0,IFERROR(LOOKUP(2,1/('Milho 1ª safra'!$E58:INDEX('Milho 1ª safra'!$E58:$Z58,MIN(J$6-$G$3,22))&lt;&gt;""),'Milho 1ª safra'!$E58:INDEX('Milho 1ª safra'!$E58:$Z58,MIN(J$6-$G$3,22))),0)))))</f>
        <v>0</v>
      </c>
      <c r="K60" s="27" t="n">
        <f aca="false">IF(COUNT('Milho 1ª safra'!$E58:$Z58)=0,0,MAX(0,IF((K$6-$E$3)&lt;1,0,IFERROR(LOOKUP(2,1/('Milho 1ª safra'!$E58:INDEX('Milho 1ª safra'!$E58:$Z58,MIN(K$6-$E$3,22))&lt;&gt;""),'Milho 1ª safra'!$E58:INDEX('Milho 1ª safra'!$E58:$Z58,MIN(K$6-$E$3,22))),0))-IF($G$2,0,IF((K$6-$G$3)&lt;1,0,IFERROR(LOOKUP(2,1/('Milho 1ª safra'!$E58:INDEX('Milho 1ª safra'!$E58:$Z58,MIN(K$6-$G$3,22))&lt;&gt;""),'Milho 1ª safra'!$E58:INDEX('Milho 1ª safra'!$E58:$Z58,MIN(K$6-$G$3,22))),0)))))</f>
        <v>0</v>
      </c>
      <c r="L60" s="27" t="n">
        <f aca="false">IF(COUNT('Milho 1ª safra'!$E58:$Z58)=0,0,MAX(0,IF((L$6-$E$3)&lt;1,0,IFERROR(LOOKUP(2,1/('Milho 1ª safra'!$E58:INDEX('Milho 1ª safra'!$E58:$Z58,MIN(L$6-$E$3,22))&lt;&gt;""),'Milho 1ª safra'!$E58:INDEX('Milho 1ª safra'!$E58:$Z58,MIN(L$6-$E$3,22))),0))-IF($G$2,0,IF((L$6-$G$3)&lt;1,0,IFERROR(LOOKUP(2,1/('Milho 1ª safra'!$E58:INDEX('Milho 1ª safra'!$E58:$Z58,MIN(L$6-$G$3,22))&lt;&gt;""),'Milho 1ª safra'!$E58:INDEX('Milho 1ª safra'!$E58:$Z58,MIN(L$6-$G$3,22))),0)))))</f>
        <v>0</v>
      </c>
      <c r="M60" s="27" t="n">
        <f aca="false">IF(COUNT('Milho 1ª safra'!$E58:$Z58)=0,0,MAX(0,IF((M$6-$E$3)&lt;1,0,IFERROR(LOOKUP(2,1/('Milho 1ª safra'!$E58:INDEX('Milho 1ª safra'!$E58:$Z58,MIN(M$6-$E$3,22))&lt;&gt;""),'Milho 1ª safra'!$E58:INDEX('Milho 1ª safra'!$E58:$Z58,MIN(M$6-$E$3,22))),0))-IF($G$2,0,IF((M$6-$G$3)&lt;1,0,IFERROR(LOOKUP(2,1/('Milho 1ª safra'!$E58:INDEX('Milho 1ª safra'!$E58:$Z58,MIN(M$6-$G$3,22))&lt;&gt;""),'Milho 1ª safra'!$E58:INDEX('Milho 1ª safra'!$E58:$Z58,MIN(M$6-$G$3,22))),0)))))</f>
        <v>0</v>
      </c>
      <c r="N60" s="27" t="n">
        <f aca="false">IF(COUNT('Milho 1ª safra'!$E58:$Z58)=0,0,MAX(0,IF((N$6-$E$3)&lt;1,0,IFERROR(LOOKUP(2,1/('Milho 1ª safra'!$E58:INDEX('Milho 1ª safra'!$E58:$Z58,MIN(N$6-$E$3,22))&lt;&gt;""),'Milho 1ª safra'!$E58:INDEX('Milho 1ª safra'!$E58:$Z58,MIN(N$6-$E$3,22))),0))-IF($G$2,0,IF((N$6-$G$3)&lt;1,0,IFERROR(LOOKUP(2,1/('Milho 1ª safra'!$E58:INDEX('Milho 1ª safra'!$E58:$Z58,MIN(N$6-$G$3,22))&lt;&gt;""),'Milho 1ª safra'!$E58:INDEX('Milho 1ª safra'!$E58:$Z58,MIN(N$6-$G$3,22))),0)))))</f>
        <v>0</v>
      </c>
      <c r="O60" s="27" t="n">
        <f aca="false">IF(COUNT('Milho 1ª safra'!$E58:$Z58)=0,0,MAX(0,IF((O$6-$E$3)&lt;1,0,IFERROR(LOOKUP(2,1/('Milho 1ª safra'!$E58:INDEX('Milho 1ª safra'!$E58:$Z58,MIN(O$6-$E$3,22))&lt;&gt;""),'Milho 1ª safra'!$E58:INDEX('Milho 1ª safra'!$E58:$Z58,MIN(O$6-$E$3,22))),0))-IF($G$2,0,IF((O$6-$G$3)&lt;1,0,IFERROR(LOOKUP(2,1/('Milho 1ª safra'!$E58:INDEX('Milho 1ª safra'!$E58:$Z58,MIN(O$6-$G$3,22))&lt;&gt;""),'Milho 1ª safra'!$E58:INDEX('Milho 1ª safra'!$E58:$Z58,MIN(O$6-$G$3,22))),0)))))</f>
        <v>0</v>
      </c>
      <c r="P60" s="27" t="n">
        <f aca="false">IF(COUNT('Milho 1ª safra'!$E58:$Z58)=0,0,MAX(0,IF((P$6-$E$3)&lt;1,0,IFERROR(LOOKUP(2,1/('Milho 1ª safra'!$E58:INDEX('Milho 1ª safra'!$E58:$Z58,MIN(P$6-$E$3,22))&lt;&gt;""),'Milho 1ª safra'!$E58:INDEX('Milho 1ª safra'!$E58:$Z58,MIN(P$6-$E$3,22))),0))-IF($G$2,0,IF((P$6-$G$3)&lt;1,0,IFERROR(LOOKUP(2,1/('Milho 1ª safra'!$E58:INDEX('Milho 1ª safra'!$E58:$Z58,MIN(P$6-$G$3,22))&lt;&gt;""),'Milho 1ª safra'!$E58:INDEX('Milho 1ª safra'!$E58:$Z58,MIN(P$6-$G$3,22))),0)))))</f>
        <v>0</v>
      </c>
      <c r="Q60" s="27" t="n">
        <f aca="false">IF(COUNT('Milho 1ª safra'!$E58:$Z58)=0,0,MAX(0,IF((Q$6-$E$3)&lt;1,0,IFERROR(LOOKUP(2,1/('Milho 1ª safra'!$E58:INDEX('Milho 1ª safra'!$E58:$Z58,MIN(Q$6-$E$3,22))&lt;&gt;""),'Milho 1ª safra'!$E58:INDEX('Milho 1ª safra'!$E58:$Z58,MIN(Q$6-$E$3,22))),0))-IF($G$2,0,IF((Q$6-$G$3)&lt;1,0,IFERROR(LOOKUP(2,1/('Milho 1ª safra'!$E58:INDEX('Milho 1ª safra'!$E58:$Z58,MIN(Q$6-$G$3,22))&lt;&gt;""),'Milho 1ª safra'!$E58:INDEX('Milho 1ª safra'!$E58:$Z58,MIN(Q$6-$G$3,22))),0)))))</f>
        <v>0</v>
      </c>
      <c r="R60" s="27" t="n">
        <f aca="false">IF(COUNT('Milho 1ª safra'!$E58:$Z58)=0,0,MAX(0,IF((R$6-$E$3)&lt;1,0,IFERROR(LOOKUP(2,1/('Milho 1ª safra'!$E58:INDEX('Milho 1ª safra'!$E58:$Z58,MIN(R$6-$E$3,22))&lt;&gt;""),'Milho 1ª safra'!$E58:INDEX('Milho 1ª safra'!$E58:$Z58,MIN(R$6-$E$3,22))),0))-IF($G$2,0,IF((R$6-$G$3)&lt;1,0,IFERROR(LOOKUP(2,1/('Milho 1ª safra'!$E58:INDEX('Milho 1ª safra'!$E58:$Z58,MIN(R$6-$G$3,22))&lt;&gt;""),'Milho 1ª safra'!$E58:INDEX('Milho 1ª safra'!$E58:$Z58,MIN(R$6-$G$3,22))),0)))))</f>
        <v>0</v>
      </c>
      <c r="S60" s="27" t="n">
        <f aca="false">IF(COUNT('Milho 1ª safra'!$E58:$Z58)=0,0,MAX(0,IF((S$6-$E$3)&lt;1,0,IFERROR(LOOKUP(2,1/('Milho 1ª safra'!$E58:INDEX('Milho 1ª safra'!$E58:$Z58,MIN(S$6-$E$3,22))&lt;&gt;""),'Milho 1ª safra'!$E58:INDEX('Milho 1ª safra'!$E58:$Z58,MIN(S$6-$E$3,22))),0))-IF($G$2,0,IF((S$6-$G$3)&lt;1,0,IFERROR(LOOKUP(2,1/('Milho 1ª safra'!$E58:INDEX('Milho 1ª safra'!$E58:$Z58,MIN(S$6-$G$3,22))&lt;&gt;""),'Milho 1ª safra'!$E58:INDEX('Milho 1ª safra'!$E58:$Z58,MIN(S$6-$G$3,22))),0)))))</f>
        <v>0</v>
      </c>
      <c r="T60" s="27" t="n">
        <f aca="false">IF(COUNT('Milho 1ª safra'!$E58:$Z58)=0,0,MAX(0,IF((T$6-$E$3)&lt;1,0,IFERROR(LOOKUP(2,1/('Milho 1ª safra'!$E58:INDEX('Milho 1ª safra'!$E58:$Z58,MIN(T$6-$E$3,22))&lt;&gt;""),'Milho 1ª safra'!$E58:INDEX('Milho 1ª safra'!$E58:$Z58,MIN(T$6-$E$3,22))),0))-IF($G$2,0,IF((T$6-$G$3)&lt;1,0,IFERROR(LOOKUP(2,1/('Milho 1ª safra'!$E58:INDEX('Milho 1ª safra'!$E58:$Z58,MIN(T$6-$G$3,22))&lt;&gt;""),'Milho 1ª safra'!$E58:INDEX('Milho 1ª safra'!$E58:$Z58,MIN(T$6-$G$3,22))),0)))))</f>
        <v>0</v>
      </c>
      <c r="U60" s="27" t="n">
        <f aca="false">IF(COUNT('Milho 1ª safra'!$E58:$Z58)=0,0,MAX(0,IF((U$6-$E$3)&lt;1,0,IFERROR(LOOKUP(2,1/('Milho 1ª safra'!$E58:INDEX('Milho 1ª safra'!$E58:$Z58,MIN(U$6-$E$3,22))&lt;&gt;""),'Milho 1ª safra'!$E58:INDEX('Milho 1ª safra'!$E58:$Z58,MIN(U$6-$E$3,22))),0))-IF($G$2,0,IF((U$6-$G$3)&lt;1,0,IFERROR(LOOKUP(2,1/('Milho 1ª safra'!$E58:INDEX('Milho 1ª safra'!$E58:$Z58,MIN(U$6-$G$3,22))&lt;&gt;""),'Milho 1ª safra'!$E58:INDEX('Milho 1ª safra'!$E58:$Z58,MIN(U$6-$G$3,22))),0)))))</f>
        <v>0</v>
      </c>
      <c r="V60" s="27" t="n">
        <f aca="false">IF(COUNT('Milho 1ª safra'!$E58:$Z58)=0,0,MAX(0,IF((V$6-$E$3)&lt;1,0,IFERROR(LOOKUP(2,1/('Milho 1ª safra'!$E58:INDEX('Milho 1ª safra'!$E58:$Z58,MIN(V$6-$E$3,22))&lt;&gt;""),'Milho 1ª safra'!$E58:INDEX('Milho 1ª safra'!$E58:$Z58,MIN(V$6-$E$3,22))),0))-IF($G$2,0,IF((V$6-$G$3)&lt;1,0,IFERROR(LOOKUP(2,1/('Milho 1ª safra'!$E58:INDEX('Milho 1ª safra'!$E58:$Z58,MIN(V$6-$G$3,22))&lt;&gt;""),'Milho 1ª safra'!$E58:INDEX('Milho 1ª safra'!$E58:$Z58,MIN(V$6-$G$3,22))),0)))))</f>
        <v>0</v>
      </c>
      <c r="W60" s="27" t="n">
        <f aca="false">IF(COUNT('Milho 1ª safra'!$E58:$Z58)=0,0,MAX(0,IF((W$6-$E$3)&lt;1,0,IFERROR(LOOKUP(2,1/('Milho 1ª safra'!$E58:INDEX('Milho 1ª safra'!$E58:$Z58,MIN(W$6-$E$3,22))&lt;&gt;""),'Milho 1ª safra'!$E58:INDEX('Milho 1ª safra'!$E58:$Z58,MIN(W$6-$E$3,22))),0))-IF($G$2,0,IF((W$6-$G$3)&lt;1,0,IFERROR(LOOKUP(2,1/('Milho 1ª safra'!$E58:INDEX('Milho 1ª safra'!$E58:$Z58,MIN(W$6-$G$3,22))&lt;&gt;""),'Milho 1ª safra'!$E58:INDEX('Milho 1ª safra'!$E58:$Z58,MIN(W$6-$G$3,22))),0)))))</f>
        <v>0</v>
      </c>
      <c r="X60" s="27" t="n">
        <f aca="false">IF(COUNT('Milho 1ª safra'!$E58:$Z58)=0,0,MAX(0,IF((X$6-$E$3)&lt;1,0,IFERROR(LOOKUP(2,1/('Milho 1ª safra'!$E58:INDEX('Milho 1ª safra'!$E58:$Z58,MIN(X$6-$E$3,22))&lt;&gt;""),'Milho 1ª safra'!$E58:INDEX('Milho 1ª safra'!$E58:$Z58,MIN(X$6-$E$3,22))),0))-IF($G$2,0,IF((X$6-$G$3)&lt;1,0,IFERROR(LOOKUP(2,1/('Milho 1ª safra'!$E58:INDEX('Milho 1ª safra'!$E58:$Z58,MIN(X$6-$G$3,22))&lt;&gt;""),'Milho 1ª safra'!$E58:INDEX('Milho 1ª safra'!$E58:$Z58,MIN(X$6-$G$3,22))),0)))))</f>
        <v>0</v>
      </c>
      <c r="Y60" s="27" t="n">
        <f aca="false">IF(COUNT('Milho 1ª safra'!$E58:$Z58)=0,0,MAX(0,IF((Y$6-$E$3)&lt;1,0,IFERROR(LOOKUP(2,1/('Milho 1ª safra'!$E58:INDEX('Milho 1ª safra'!$E58:$Z58,MIN(Y$6-$E$3,22))&lt;&gt;""),'Milho 1ª safra'!$E58:INDEX('Milho 1ª safra'!$E58:$Z58,MIN(Y$6-$E$3,22))),0))-IF($G$2,0,IF((Y$6-$G$3)&lt;1,0,IFERROR(LOOKUP(2,1/('Milho 1ª safra'!$E58:INDEX('Milho 1ª safra'!$E58:$Z58,MIN(Y$6-$G$3,22))&lt;&gt;""),'Milho 1ª safra'!$E58:INDEX('Milho 1ª safra'!$E58:$Z58,MIN(Y$6-$G$3,22))),0)))))</f>
        <v>0</v>
      </c>
      <c r="Z60" s="27" t="n">
        <f aca="false">IF(COUNT('Milho 1ª safra'!$E58:$Z58)=0,0,MAX(0,IF((Z$6-$E$3)&lt;1,0,IFERROR(LOOKUP(2,1/('Milho 1ª safra'!$E58:INDEX('Milho 1ª safra'!$E58:$Z58,MIN(Z$6-$E$3,22))&lt;&gt;""),'Milho 1ª safra'!$E58:INDEX('Milho 1ª safra'!$E58:$Z58,MIN(Z$6-$E$3,22))),0))-IF($G$2,0,IF((Z$6-$G$3)&lt;1,0,IFERROR(LOOKUP(2,1/('Milho 1ª safra'!$E58:INDEX('Milho 1ª safra'!$E58:$Z58,MIN(Z$6-$G$3,22))&lt;&gt;""),'Milho 1ª safra'!$E58:INDEX('Milho 1ª safra'!$E58:$Z58,MIN(Z$6-$G$3,22))),0)))))</f>
        <v>0</v>
      </c>
      <c r="AA60" s="27" t="n">
        <f aca="false">IF(COUNT('Milho 1ª safra'!$E58:$Z58)=0,0,MAX(0,IF((AA$6-$E$3)&lt;1,0,IFERROR(LOOKUP(2,1/('Milho 1ª safra'!$E58:INDEX('Milho 1ª safra'!$E58:$Z58,MIN(AA$6-$E$3,22))&lt;&gt;""),'Milho 1ª safra'!$E58:INDEX('Milho 1ª safra'!$E58:$Z58,MIN(AA$6-$E$3,22))),0))-IF($G$2,0,IF((AA$6-$G$3)&lt;1,0,IFERROR(LOOKUP(2,1/('Milho 1ª safra'!$E58:INDEX('Milho 1ª safra'!$E58:$Z58,MIN(AA$6-$G$3,22))&lt;&gt;""),'Milho 1ª safra'!$E58:INDEX('Milho 1ª safra'!$E58:$Z58,MIN(AA$6-$G$3,22))),0)))))</f>
        <v>0</v>
      </c>
      <c r="AB60" s="27" t="n">
        <f aca="false">IF(COUNT('Milho 1ª safra'!$E58:$Z58)=0,0,MAX(0,IF((AB$6-$E$3)&lt;1,0,IFERROR(LOOKUP(2,1/('Milho 1ª safra'!$E58:INDEX('Milho 1ª safra'!$E58:$Z58,MIN(AB$6-$E$3,22))&lt;&gt;""),'Milho 1ª safra'!$E58:INDEX('Milho 1ª safra'!$E58:$Z58,MIN(AB$6-$E$3,22))),0))-IF($G$2,0,IF((AB$6-$G$3)&lt;1,0,IFERROR(LOOKUP(2,1/('Milho 1ª safra'!$E58:INDEX('Milho 1ª safra'!$E58:$Z58,MIN(AB$6-$G$3,22))&lt;&gt;""),'Milho 1ª safra'!$E58:INDEX('Milho 1ª safra'!$E58:$Z58,MIN(AB$6-$G$3,22))),0)))))</f>
        <v>0</v>
      </c>
      <c r="AC60" s="27" t="n">
        <f aca="false">IF(COUNT('Milho 1ª safra'!$E58:$Z58)=0,0,MAX(0,IF((AC$6-$E$3)&lt;1,0,IFERROR(LOOKUP(2,1/('Milho 1ª safra'!$E58:INDEX('Milho 1ª safra'!$E58:$Z58,MIN(AC$6-$E$3,22))&lt;&gt;""),'Milho 1ª safra'!$E58:INDEX('Milho 1ª safra'!$E58:$Z58,MIN(AC$6-$E$3,22))),0))-IF($G$2,0,IF((AC$6-$G$3)&lt;1,0,IFERROR(LOOKUP(2,1/('Milho 1ª safra'!$E58:INDEX('Milho 1ª safra'!$E58:$Z58,MIN(AC$6-$G$3,22))&lt;&gt;""),'Milho 1ª safra'!$E58:INDEX('Milho 1ª safra'!$E58:$Z58,MIN(AC$6-$G$3,22))),0)))))</f>
        <v>0</v>
      </c>
      <c r="AD60" s="27" t="n">
        <f aca="false">IF(COUNT('Milho 1ª safra'!$E58:$Z58)=0,0,MAX(0,IF((AD$6-$E$3)&lt;1,0,IFERROR(LOOKUP(2,1/('Milho 1ª safra'!$E58:INDEX('Milho 1ª safra'!$E58:$Z58,MIN(AD$6-$E$3,22))&lt;&gt;""),'Milho 1ª safra'!$E58:INDEX('Milho 1ª safra'!$E58:$Z58,MIN(AD$6-$E$3,22))),0))-IF($G$2,0,IF((AD$6-$G$3)&lt;1,0,IFERROR(LOOKUP(2,1/('Milho 1ª safra'!$E58:INDEX('Milho 1ª safra'!$E58:$Z58,MIN(AD$6-$G$3,22))&lt;&gt;""),'Milho 1ª safra'!$E58:INDEX('Milho 1ª safra'!$E58:$Z58,MIN(AD$6-$G$3,22))),0)))))</f>
        <v>0</v>
      </c>
      <c r="AE60" s="27" t="n">
        <f aca="false">IF(COUNT('Milho 1ª safra'!$E58:$Z58)=0,0,MAX(0,IF((AE$6-$E$3)&lt;1,0,IFERROR(LOOKUP(2,1/('Milho 1ª safra'!$E58:INDEX('Milho 1ª safra'!$E58:$Z58,MIN(AE$6-$E$3,22))&lt;&gt;""),'Milho 1ª safra'!$E58:INDEX('Milho 1ª safra'!$E58:$Z58,MIN(AE$6-$E$3,22))),0))-IF($G$2,0,IF((AE$6-$G$3)&lt;1,0,IFERROR(LOOKUP(2,1/('Milho 1ª safra'!$E58:INDEX('Milho 1ª safra'!$E58:$Z58,MIN(AE$6-$G$3,22))&lt;&gt;""),'Milho 1ª safra'!$E58:INDEX('Milho 1ª safra'!$E58:$Z58,MIN(AE$6-$G$3,22))),0)))))</f>
        <v>0</v>
      </c>
      <c r="AF60" s="27" t="n">
        <f aca="false">IF(COUNT('Milho 1ª safra'!$E58:$Z58)=0,0,MAX(0,IF((AF$6-$E$3)&lt;1,0,IFERROR(LOOKUP(2,1/('Milho 1ª safra'!$E58:INDEX('Milho 1ª safra'!$E58:$Z58,MIN(AF$6-$E$3,22))&lt;&gt;""),'Milho 1ª safra'!$E58:INDEX('Milho 1ª safra'!$E58:$Z58,MIN(AF$6-$E$3,22))),0))-IF($G$2,0,IF((AF$6-$G$3)&lt;1,0,IFERROR(LOOKUP(2,1/('Milho 1ª safra'!$E58:INDEX('Milho 1ª safra'!$E58:$Z58,MIN(AF$6-$G$3,22))&lt;&gt;""),'Milho 1ª safra'!$E58:INDEX('Milho 1ª safra'!$E58:$Z58,MIN(AF$6-$G$3,22))),0)))))</f>
        <v>0</v>
      </c>
      <c r="AG60" s="27" t="n">
        <f aca="false">IF(COUNT('Milho 1ª safra'!$E58:$Z58)=0,0,MAX(0,IF((AG$6-$E$3)&lt;1,0,IFERROR(LOOKUP(2,1/('Milho 1ª safra'!$E58:INDEX('Milho 1ª safra'!$E58:$Z58,MIN(AG$6-$E$3,22))&lt;&gt;""),'Milho 1ª safra'!$E58:INDEX('Milho 1ª safra'!$E58:$Z58,MIN(AG$6-$E$3,22))),0))-IF($G$2,0,IF((AG$6-$G$3)&lt;1,0,IFERROR(LOOKUP(2,1/('Milho 1ª safra'!$E58:INDEX('Milho 1ª safra'!$E58:$Z58,MIN(AG$6-$G$3,22))&lt;&gt;""),'Milho 1ª safra'!$E58:INDEX('Milho 1ª safra'!$E58:$Z58,MIN(AG$6-$G$3,22))),0)))))</f>
        <v>0</v>
      </c>
      <c r="AH60" s="27" t="n">
        <f aca="false">IF(COUNT('Milho 1ª safra'!$E58:$Z58)=0,0,MAX(0,IF((AH$6-$E$3)&lt;1,0,IFERROR(LOOKUP(2,1/('Milho 1ª safra'!$E58:INDEX('Milho 1ª safra'!$E58:$Z58,MIN(AH$6-$E$3,22))&lt;&gt;""),'Milho 1ª safra'!$E58:INDEX('Milho 1ª safra'!$E58:$Z58,MIN(AH$6-$E$3,22))),0))-IF($G$2,0,IF((AH$6-$G$3)&lt;1,0,IFERROR(LOOKUP(2,1/('Milho 1ª safra'!$E58:INDEX('Milho 1ª safra'!$E58:$Z58,MIN(AH$6-$G$3,22))&lt;&gt;""),'Milho 1ª safra'!$E58:INDEX('Milho 1ª safra'!$E58:$Z58,MIN(AH$6-$G$3,22))),0)))))</f>
        <v>0</v>
      </c>
      <c r="AI60" s="27" t="n">
        <f aca="false">IF(COUNT('Milho 1ª safra'!$E58:$Z58)=0,0,MAX(0,IF((AI$6-$E$3)&lt;1,0,IFERROR(LOOKUP(2,1/('Milho 1ª safra'!$E58:INDEX('Milho 1ª safra'!$E58:$Z58,MIN(AI$6-$E$3,22))&lt;&gt;""),'Milho 1ª safra'!$E58:INDEX('Milho 1ª safra'!$E58:$Z58,MIN(AI$6-$E$3,22))),0))-IF($G$2,0,IF((AI$6-$G$3)&lt;1,0,IFERROR(LOOKUP(2,1/('Milho 1ª safra'!$E58:INDEX('Milho 1ª safra'!$E58:$Z58,MIN(AI$6-$G$3,22))&lt;&gt;""),'Milho 1ª safra'!$E58:INDEX('Milho 1ª safra'!$E58:$Z58,MIN(AI$6-$G$3,22))),0)))))</f>
        <v>0</v>
      </c>
      <c r="AJ60" s="27" t="n">
        <f aca="false">IF(COUNT('Milho 1ª safra'!$E58:$Z58)=0,0,MAX(0,IF((AJ$6-$E$3)&lt;1,0,IFERROR(LOOKUP(2,1/('Milho 1ª safra'!$E58:INDEX('Milho 1ª safra'!$E58:$Z58,MIN(AJ$6-$E$3,22))&lt;&gt;""),'Milho 1ª safra'!$E58:INDEX('Milho 1ª safra'!$E58:$Z58,MIN(AJ$6-$E$3,22))),0))-IF($G$2,0,IF((AJ$6-$G$3)&lt;1,0,IFERROR(LOOKUP(2,1/('Milho 1ª safra'!$E58:INDEX('Milho 1ª safra'!$E58:$Z58,MIN(AJ$6-$G$3,22))&lt;&gt;""),'Milho 1ª safra'!$E58:INDEX('Milho 1ª safra'!$E58:$Z58,MIN(AJ$6-$G$3,22))),0)))))</f>
        <v>0</v>
      </c>
      <c r="AK60" s="27" t="n">
        <f aca="false">IF(COUNT('Milho 1ª safra'!$E58:$Z58)=0,0,MAX(0,IF((AK$6-$E$3)&lt;1,0,IFERROR(LOOKUP(2,1/('Milho 1ª safra'!$E58:INDEX('Milho 1ª safra'!$E58:$Z58,MIN(AK$6-$E$3,22))&lt;&gt;""),'Milho 1ª safra'!$E58:INDEX('Milho 1ª safra'!$E58:$Z58,MIN(AK$6-$E$3,22))),0))-IF($G$2,0,IF((AK$6-$G$3)&lt;1,0,IFERROR(LOOKUP(2,1/('Milho 1ª safra'!$E58:INDEX('Milho 1ª safra'!$E58:$Z58,MIN(AK$6-$G$3,22))&lt;&gt;""),'Milho 1ª safra'!$E58:INDEX('Milho 1ª safra'!$E58:$Z58,MIN(AK$6-$G$3,22))),0)))))</f>
        <v>0</v>
      </c>
      <c r="AL60" s="27" t="n">
        <f aca="false">IF(COUNT('Milho 1ª safra'!$E58:$Z58)=0,0,MAX(0,IF((AL$6-$E$3)&lt;1,0,IFERROR(LOOKUP(2,1/('Milho 1ª safra'!$E58:INDEX('Milho 1ª safra'!$E58:$Z58,MIN(AL$6-$E$3,22))&lt;&gt;""),'Milho 1ª safra'!$E58:INDEX('Milho 1ª safra'!$E58:$Z58,MIN(AL$6-$E$3,22))),0))-IF($G$2,0,IF((AL$6-$G$3)&lt;1,0,IFERROR(LOOKUP(2,1/('Milho 1ª safra'!$E58:INDEX('Milho 1ª safra'!$E58:$Z58,MIN(AL$6-$G$3,22))&lt;&gt;""),'Milho 1ª safra'!$E58:INDEX('Milho 1ª safra'!$E58:$Z58,MIN(AL$6-$G$3,22))),0)))))</f>
        <v>0</v>
      </c>
      <c r="AM60" s="27" t="n">
        <f aca="false">IF(COUNT('Milho 1ª safra'!$E58:$Z58)=0,0,MAX(0,IF((AM$6-$E$3)&lt;1,0,IFERROR(LOOKUP(2,1/('Milho 1ª safra'!$E58:INDEX('Milho 1ª safra'!$E58:$Z58,MIN(AM$6-$E$3,22))&lt;&gt;""),'Milho 1ª safra'!$E58:INDEX('Milho 1ª safra'!$E58:$Z58,MIN(AM$6-$E$3,22))),0))-IF($G$2,0,IF((AM$6-$G$3)&lt;1,0,IFERROR(LOOKUP(2,1/('Milho 1ª safra'!$E58:INDEX('Milho 1ª safra'!$E58:$Z58,MIN(AM$6-$G$3,22))&lt;&gt;""),'Milho 1ª safra'!$E58:INDEX('Milho 1ª safra'!$E58:$Z58,MIN(AM$6-$G$3,22))),0)))))</f>
        <v>0</v>
      </c>
      <c r="AN60" s="27" t="n">
        <f aca="false">IF(COUNT('Milho 1ª safra'!$E58:$Z58)=0,0,MAX(0,IF((AN$6-$E$3)&lt;1,0,IFERROR(LOOKUP(2,1/('Milho 1ª safra'!$E58:INDEX('Milho 1ª safra'!$E58:$Z58,MIN(AN$6-$E$3,22))&lt;&gt;""),'Milho 1ª safra'!$E58:INDEX('Milho 1ª safra'!$E58:$Z58,MIN(AN$6-$E$3,22))),0))-IF($G$2,0,IF((AN$6-$G$3)&lt;1,0,IFERROR(LOOKUP(2,1/('Milho 1ª safra'!$E58:INDEX('Milho 1ª safra'!$E58:$Z58,MIN(AN$6-$G$3,22))&lt;&gt;""),'Milho 1ª safra'!$E58:INDEX('Milho 1ª safra'!$E58:$Z58,MIN(AN$6-$G$3,22))),0)))))</f>
        <v>0</v>
      </c>
      <c r="AO60" s="27" t="n">
        <f aca="false">IF(COUNT('Milho 1ª safra'!$E58:$Z58)=0,0,MAX(0,IF((AO$6-$E$3)&lt;1,0,IFERROR(LOOKUP(2,1/('Milho 1ª safra'!$E58:INDEX('Milho 1ª safra'!$E58:$Z58,MIN(AO$6-$E$3,22))&lt;&gt;""),'Milho 1ª safra'!$E58:INDEX('Milho 1ª safra'!$E58:$Z58,MIN(AO$6-$E$3,22))),0))-IF($G$2,0,IF((AO$6-$G$3)&lt;1,0,IFERROR(LOOKUP(2,1/('Milho 1ª safra'!$E58:INDEX('Milho 1ª safra'!$E58:$Z58,MIN(AO$6-$G$3,22))&lt;&gt;""),'Milho 1ª safra'!$E58:INDEX('Milho 1ª safra'!$E58:$Z58,MIN(AO$6-$G$3,22))),0)))))</f>
        <v>0</v>
      </c>
      <c r="AP60" s="27" t="n">
        <f aca="false">IF(COUNT('Milho 1ª safra'!$E58:$Z58)=0,0,MAX(0,IF((AP$6-$E$3)&lt;1,0,IFERROR(LOOKUP(2,1/('Milho 1ª safra'!$E58:INDEX('Milho 1ª safra'!$E58:$Z58,MIN(AP$6-$E$3,22))&lt;&gt;""),'Milho 1ª safra'!$E58:INDEX('Milho 1ª safra'!$E58:$Z58,MIN(AP$6-$E$3,22))),0))-IF($G$2,0,IF((AP$6-$G$3)&lt;1,0,IFERROR(LOOKUP(2,1/('Milho 1ª safra'!$E58:INDEX('Milho 1ª safra'!$E58:$Z58,MIN(AP$6-$G$3,22))&lt;&gt;""),'Milho 1ª safra'!$E58:INDEX('Milho 1ª safra'!$E58:$Z58,MIN(AP$6-$G$3,22))),0)))))</f>
        <v>0</v>
      </c>
      <c r="AQ60" s="27" t="n">
        <f aca="false">IF(COUNT('Milho 1ª safra'!$E58:$Z58)=0,0,MAX(0,IF((AQ$6-$E$3)&lt;1,0,IFERROR(LOOKUP(2,1/('Milho 1ª safra'!$E58:INDEX('Milho 1ª safra'!$E58:$Z58,MIN(AQ$6-$E$3,22))&lt;&gt;""),'Milho 1ª safra'!$E58:INDEX('Milho 1ª safra'!$E58:$Z58,MIN(AQ$6-$E$3,22))),0))-IF($G$2,0,IF((AQ$6-$G$3)&lt;1,0,IFERROR(LOOKUP(2,1/('Milho 1ª safra'!$E58:INDEX('Milho 1ª safra'!$E58:$Z58,MIN(AQ$6-$G$3,22))&lt;&gt;""),'Milho 1ª safra'!$E58:INDEX('Milho 1ª safra'!$E58:$Z58,MIN(AQ$6-$G$3,22))),0)))))</f>
        <v>0</v>
      </c>
      <c r="AR60" s="27" t="n">
        <f aca="false">IF(COUNT('Milho 1ª safra'!$E58:$Z58)=0,0,MAX(0,IF((AR$6-$E$3)&lt;1,0,IFERROR(LOOKUP(2,1/('Milho 1ª safra'!$E58:INDEX('Milho 1ª safra'!$E58:$Z58,MIN(AR$6-$E$3,22))&lt;&gt;""),'Milho 1ª safra'!$E58:INDEX('Milho 1ª safra'!$E58:$Z58,MIN(AR$6-$E$3,22))),0))-IF($G$2,0,IF((AR$6-$G$3)&lt;1,0,IFERROR(LOOKUP(2,1/('Milho 1ª safra'!$E58:INDEX('Milho 1ª safra'!$E58:$Z58,MIN(AR$6-$G$3,22))&lt;&gt;""),'Milho 1ª safra'!$E58:INDEX('Milho 1ª safra'!$E58:$Z58,MIN(AR$6-$G$3,22))),0)))))</f>
        <v>0</v>
      </c>
      <c r="AS60" s="27" t="n">
        <f aca="false">IF(COUNT('Milho 1ª safra'!$E58:$Z58)=0,0,MAX(0,IF((AS$6-$E$3)&lt;1,0,IFERROR(LOOKUP(2,1/('Milho 1ª safra'!$E58:INDEX('Milho 1ª safra'!$E58:$Z58,MIN(AS$6-$E$3,22))&lt;&gt;""),'Milho 1ª safra'!$E58:INDEX('Milho 1ª safra'!$E58:$Z58,MIN(AS$6-$E$3,22))),0))-IF($G$2,0,IF((AS$6-$G$3)&lt;1,0,IFERROR(LOOKUP(2,1/('Milho 1ª safra'!$E58:INDEX('Milho 1ª safra'!$E58:$Z58,MIN(AS$6-$G$3,22))&lt;&gt;""),'Milho 1ª safra'!$E58:INDEX('Milho 1ª safra'!$E58:$Z58,MIN(AS$6-$G$3,22))),0)))))</f>
        <v>0</v>
      </c>
      <c r="AT60" s="27" t="n">
        <f aca="false">IF(COUNT('Milho 1ª safra'!$E58:$Z58)=0,0,MAX(0,IF((AT$6-$E$3)&lt;1,0,IFERROR(LOOKUP(2,1/('Milho 1ª safra'!$E58:INDEX('Milho 1ª safra'!$E58:$Z58,MIN(AT$6-$E$3,22))&lt;&gt;""),'Milho 1ª safra'!$E58:INDEX('Milho 1ª safra'!$E58:$Z58,MIN(AT$6-$E$3,22))),0))-IF($G$2,0,IF((AT$6-$G$3)&lt;1,0,IFERROR(LOOKUP(2,1/('Milho 1ª safra'!$E58:INDEX('Milho 1ª safra'!$E58:$Z58,MIN(AT$6-$G$3,22))&lt;&gt;""),'Milho 1ª safra'!$E58:INDEX('Milho 1ª safra'!$E58:$Z58,MIN(AT$6-$G$3,22))),0)))))</f>
        <v>0</v>
      </c>
      <c r="AU60" s="27" t="n">
        <f aca="false">IF(COUNT('Milho 1ª safra'!$E58:$Z58)=0,0,MAX(0,IF((AU$6-$E$3)&lt;1,0,IFERROR(LOOKUP(2,1/('Milho 1ª safra'!$E58:INDEX('Milho 1ª safra'!$E58:$Z58,MIN(AU$6-$E$3,22))&lt;&gt;""),'Milho 1ª safra'!$E58:INDEX('Milho 1ª safra'!$E58:$Z58,MIN(AU$6-$E$3,22))),0))-IF($G$2,0,IF((AU$6-$G$3)&lt;1,0,IFERROR(LOOKUP(2,1/('Milho 1ª safra'!$E58:INDEX('Milho 1ª safra'!$E58:$Z58,MIN(AU$6-$G$3,22))&lt;&gt;""),'Milho 1ª safra'!$E58:INDEX('Milho 1ª safra'!$E58:$Z58,MIN(AU$6-$G$3,22))),0)))))</f>
        <v>0</v>
      </c>
      <c r="AV60" s="27" t="n">
        <f aca="false">IF(COUNT('Milho 1ª safra'!$E58:$Z58)=0,0,MAX(0,IF((AV$6-$E$3)&lt;1,0,IFERROR(LOOKUP(2,1/('Milho 1ª safra'!$E58:INDEX('Milho 1ª safra'!$E58:$Z58,MIN(AV$6-$E$3,22))&lt;&gt;""),'Milho 1ª safra'!$E58:INDEX('Milho 1ª safra'!$E58:$Z58,MIN(AV$6-$E$3,22))),0))-IF($G$2,0,IF((AV$6-$G$3)&lt;1,0,IFERROR(LOOKUP(2,1/('Milho 1ª safra'!$E58:INDEX('Milho 1ª safra'!$E58:$Z58,MIN(AV$6-$G$3,22))&lt;&gt;""),'Milho 1ª safra'!$E58:INDEX('Milho 1ª safra'!$E58:$Z58,MIN(AV$6-$G$3,22))),0)))))</f>
        <v>0</v>
      </c>
      <c r="AW60" s="27" t="n">
        <f aca="false">IF(COUNT('Milho 1ª safra'!$E58:$Z58)=0,0,MAX(0,IF((AW$6-$E$3)&lt;1,0,IFERROR(LOOKUP(2,1/('Milho 1ª safra'!$E58:INDEX('Milho 1ª safra'!$E58:$Z58,MIN(AW$6-$E$3,22))&lt;&gt;""),'Milho 1ª safra'!$E58:INDEX('Milho 1ª safra'!$E58:$Z58,MIN(AW$6-$E$3,22))),0))-IF($G$2,0,IF((AW$6-$G$3)&lt;1,0,IFERROR(LOOKUP(2,1/('Milho 1ª safra'!$E58:INDEX('Milho 1ª safra'!$E58:$Z58,MIN(AW$6-$G$3,22))&lt;&gt;""),'Milho 1ª safra'!$E58:INDEX('Milho 1ª safra'!$E58:$Z58,MIN(AW$6-$G$3,22))),0)))))</f>
        <v>0</v>
      </c>
      <c r="AX60" s="27" t="n">
        <f aca="false">IF(COUNT('Milho 1ª safra'!$E58:$Z58)=0,0,MAX(0,IF((AX$6-$E$3)&lt;1,0,IFERROR(LOOKUP(2,1/('Milho 1ª safra'!$E58:INDEX('Milho 1ª safra'!$E58:$Z58,MIN(AX$6-$E$3,22))&lt;&gt;""),'Milho 1ª safra'!$E58:INDEX('Milho 1ª safra'!$E58:$Z58,MIN(AX$6-$E$3,22))),0))-IF($G$2,0,IF((AX$6-$G$3)&lt;1,0,IFERROR(LOOKUP(2,1/('Milho 1ª safra'!$E58:INDEX('Milho 1ª safra'!$E58:$Z58,MIN(AX$6-$G$3,22))&lt;&gt;""),'Milho 1ª safra'!$E58:INDEX('Milho 1ª safra'!$E58:$Z58,MIN(AX$6-$G$3,22))),0)))))</f>
        <v>0</v>
      </c>
      <c r="AY60" s="27" t="n">
        <f aca="false">IF(COUNT('Milho 1ª safra'!$E58:$Z58)=0,0,MAX(0,IF((AY$6-$E$3)&lt;1,0,IFERROR(LOOKUP(2,1/('Milho 1ª safra'!$E58:INDEX('Milho 1ª safra'!$E58:$Z58,MIN(AY$6-$E$3,22))&lt;&gt;""),'Milho 1ª safra'!$E58:INDEX('Milho 1ª safra'!$E58:$Z58,MIN(AY$6-$E$3,22))),0))-IF($G$2,0,IF((AY$6-$G$3)&lt;1,0,IFERROR(LOOKUP(2,1/('Milho 1ª safra'!$E58:INDEX('Milho 1ª safra'!$E58:$Z58,MIN(AY$6-$G$3,22))&lt;&gt;""),'Milho 1ª safra'!$E58:INDEX('Milho 1ª safra'!$E58:$Z58,MIN(AY$6-$G$3,22))),0)))))</f>
        <v>0</v>
      </c>
      <c r="AZ60" s="27" t="n">
        <f aca="false">IF(COUNT('Milho 1ª safra'!$E58:$Z58)=0,0,MAX(0,IF((AZ$6-$E$3)&lt;1,0,IFERROR(LOOKUP(2,1/('Milho 1ª safra'!$E58:INDEX('Milho 1ª safra'!$E58:$Z58,MIN(AZ$6-$E$3,22))&lt;&gt;""),'Milho 1ª safra'!$E58:INDEX('Milho 1ª safra'!$E58:$Z58,MIN(AZ$6-$E$3,22))),0))-IF($G$2,0,IF((AZ$6-$G$3)&lt;1,0,IFERROR(LOOKUP(2,1/('Milho 1ª safra'!$E58:INDEX('Milho 1ª safra'!$E58:$Z58,MIN(AZ$6-$G$3,22))&lt;&gt;""),'Milho 1ª safra'!$E58:INDEX('Milho 1ª safra'!$E58:$Z58,MIN(AZ$6-$G$3,22))),0)))))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IF(COUNT('Milho 1ª safra'!$E59:$Z59)&gt;0,N('Milho 1ª safra'!$D59),0)</f>
        <v>0</v>
      </c>
      <c r="E61" s="27" t="n">
        <f aca="false">IF(COUNT('Milho 1ª safra'!$E59:$Z59)=0,0,MAX(0,IF((E$6-$E$3)&lt;1,0,IFERROR(LOOKUP(2,1/('Milho 1ª safra'!$E59:INDEX('Milho 1ª safra'!$E59:$Z59,MIN(E$6-$E$3,22))&lt;&gt;""),'Milho 1ª safra'!$E59:INDEX('Milho 1ª safra'!$E59:$Z59,MIN(E$6-$E$3,22))),0))-IF($G$2,0,IF((E$6-$G$3)&lt;1,0,IFERROR(LOOKUP(2,1/('Milho 1ª safra'!$E59:INDEX('Milho 1ª safra'!$E59:$Z59,MIN(E$6-$G$3,22))&lt;&gt;""),'Milho 1ª safra'!$E59:INDEX('Milho 1ª safra'!$E59:$Z59,MIN(E$6-$G$3,22))),0)))))</f>
        <v>0</v>
      </c>
      <c r="F61" s="27" t="n">
        <f aca="false">IF(COUNT('Milho 1ª safra'!$E59:$Z59)=0,0,MAX(0,IF((F$6-$E$3)&lt;1,0,IFERROR(LOOKUP(2,1/('Milho 1ª safra'!$E59:INDEX('Milho 1ª safra'!$E59:$Z59,MIN(F$6-$E$3,22))&lt;&gt;""),'Milho 1ª safra'!$E59:INDEX('Milho 1ª safra'!$E59:$Z59,MIN(F$6-$E$3,22))),0))-IF($G$2,0,IF((F$6-$G$3)&lt;1,0,IFERROR(LOOKUP(2,1/('Milho 1ª safra'!$E59:INDEX('Milho 1ª safra'!$E59:$Z59,MIN(F$6-$G$3,22))&lt;&gt;""),'Milho 1ª safra'!$E59:INDEX('Milho 1ª safra'!$E59:$Z59,MIN(F$6-$G$3,22))),0)))))</f>
        <v>0</v>
      </c>
      <c r="G61" s="27" t="n">
        <f aca="false">IF(COUNT('Milho 1ª safra'!$E59:$Z59)=0,0,MAX(0,IF((G$6-$E$3)&lt;1,0,IFERROR(LOOKUP(2,1/('Milho 1ª safra'!$E59:INDEX('Milho 1ª safra'!$E59:$Z59,MIN(G$6-$E$3,22))&lt;&gt;""),'Milho 1ª safra'!$E59:INDEX('Milho 1ª safra'!$E59:$Z59,MIN(G$6-$E$3,22))),0))-IF($G$2,0,IF((G$6-$G$3)&lt;1,0,IFERROR(LOOKUP(2,1/('Milho 1ª safra'!$E59:INDEX('Milho 1ª safra'!$E59:$Z59,MIN(G$6-$G$3,22))&lt;&gt;""),'Milho 1ª safra'!$E59:INDEX('Milho 1ª safra'!$E59:$Z59,MIN(G$6-$G$3,22))),0)))))</f>
        <v>0</v>
      </c>
      <c r="H61" s="27" t="n">
        <f aca="false">IF(COUNT('Milho 1ª safra'!$E59:$Z59)=0,0,MAX(0,IF((H$6-$E$3)&lt;1,0,IFERROR(LOOKUP(2,1/('Milho 1ª safra'!$E59:INDEX('Milho 1ª safra'!$E59:$Z59,MIN(H$6-$E$3,22))&lt;&gt;""),'Milho 1ª safra'!$E59:INDEX('Milho 1ª safra'!$E59:$Z59,MIN(H$6-$E$3,22))),0))-IF($G$2,0,IF((H$6-$G$3)&lt;1,0,IFERROR(LOOKUP(2,1/('Milho 1ª safra'!$E59:INDEX('Milho 1ª safra'!$E59:$Z59,MIN(H$6-$G$3,22))&lt;&gt;""),'Milho 1ª safra'!$E59:INDEX('Milho 1ª safra'!$E59:$Z59,MIN(H$6-$G$3,22))),0)))))</f>
        <v>0</v>
      </c>
      <c r="I61" s="27" t="n">
        <f aca="false">IF(COUNT('Milho 1ª safra'!$E59:$Z59)=0,0,MAX(0,IF((I$6-$E$3)&lt;1,0,IFERROR(LOOKUP(2,1/('Milho 1ª safra'!$E59:INDEX('Milho 1ª safra'!$E59:$Z59,MIN(I$6-$E$3,22))&lt;&gt;""),'Milho 1ª safra'!$E59:INDEX('Milho 1ª safra'!$E59:$Z59,MIN(I$6-$E$3,22))),0))-IF($G$2,0,IF((I$6-$G$3)&lt;1,0,IFERROR(LOOKUP(2,1/('Milho 1ª safra'!$E59:INDEX('Milho 1ª safra'!$E59:$Z59,MIN(I$6-$G$3,22))&lt;&gt;""),'Milho 1ª safra'!$E59:INDEX('Milho 1ª safra'!$E59:$Z59,MIN(I$6-$G$3,22))),0)))))</f>
        <v>0</v>
      </c>
      <c r="J61" s="27" t="n">
        <f aca="false">IF(COUNT('Milho 1ª safra'!$E59:$Z59)=0,0,MAX(0,IF((J$6-$E$3)&lt;1,0,IFERROR(LOOKUP(2,1/('Milho 1ª safra'!$E59:INDEX('Milho 1ª safra'!$E59:$Z59,MIN(J$6-$E$3,22))&lt;&gt;""),'Milho 1ª safra'!$E59:INDEX('Milho 1ª safra'!$E59:$Z59,MIN(J$6-$E$3,22))),0))-IF($G$2,0,IF((J$6-$G$3)&lt;1,0,IFERROR(LOOKUP(2,1/('Milho 1ª safra'!$E59:INDEX('Milho 1ª safra'!$E59:$Z59,MIN(J$6-$G$3,22))&lt;&gt;""),'Milho 1ª safra'!$E59:INDEX('Milho 1ª safra'!$E59:$Z59,MIN(J$6-$G$3,22))),0)))))</f>
        <v>0</v>
      </c>
      <c r="K61" s="27" t="n">
        <f aca="false">IF(COUNT('Milho 1ª safra'!$E59:$Z59)=0,0,MAX(0,IF((K$6-$E$3)&lt;1,0,IFERROR(LOOKUP(2,1/('Milho 1ª safra'!$E59:INDEX('Milho 1ª safra'!$E59:$Z59,MIN(K$6-$E$3,22))&lt;&gt;""),'Milho 1ª safra'!$E59:INDEX('Milho 1ª safra'!$E59:$Z59,MIN(K$6-$E$3,22))),0))-IF($G$2,0,IF((K$6-$G$3)&lt;1,0,IFERROR(LOOKUP(2,1/('Milho 1ª safra'!$E59:INDEX('Milho 1ª safra'!$E59:$Z59,MIN(K$6-$G$3,22))&lt;&gt;""),'Milho 1ª safra'!$E59:INDEX('Milho 1ª safra'!$E59:$Z59,MIN(K$6-$G$3,22))),0)))))</f>
        <v>0</v>
      </c>
      <c r="L61" s="27" t="n">
        <f aca="false">IF(COUNT('Milho 1ª safra'!$E59:$Z59)=0,0,MAX(0,IF((L$6-$E$3)&lt;1,0,IFERROR(LOOKUP(2,1/('Milho 1ª safra'!$E59:INDEX('Milho 1ª safra'!$E59:$Z59,MIN(L$6-$E$3,22))&lt;&gt;""),'Milho 1ª safra'!$E59:INDEX('Milho 1ª safra'!$E59:$Z59,MIN(L$6-$E$3,22))),0))-IF($G$2,0,IF((L$6-$G$3)&lt;1,0,IFERROR(LOOKUP(2,1/('Milho 1ª safra'!$E59:INDEX('Milho 1ª safra'!$E59:$Z59,MIN(L$6-$G$3,22))&lt;&gt;""),'Milho 1ª safra'!$E59:INDEX('Milho 1ª safra'!$E59:$Z59,MIN(L$6-$G$3,22))),0)))))</f>
        <v>0</v>
      </c>
      <c r="M61" s="27" t="n">
        <f aca="false">IF(COUNT('Milho 1ª safra'!$E59:$Z59)=0,0,MAX(0,IF((M$6-$E$3)&lt;1,0,IFERROR(LOOKUP(2,1/('Milho 1ª safra'!$E59:INDEX('Milho 1ª safra'!$E59:$Z59,MIN(M$6-$E$3,22))&lt;&gt;""),'Milho 1ª safra'!$E59:INDEX('Milho 1ª safra'!$E59:$Z59,MIN(M$6-$E$3,22))),0))-IF($G$2,0,IF((M$6-$G$3)&lt;1,0,IFERROR(LOOKUP(2,1/('Milho 1ª safra'!$E59:INDEX('Milho 1ª safra'!$E59:$Z59,MIN(M$6-$G$3,22))&lt;&gt;""),'Milho 1ª safra'!$E59:INDEX('Milho 1ª safra'!$E59:$Z59,MIN(M$6-$G$3,22))),0)))))</f>
        <v>0</v>
      </c>
      <c r="N61" s="27" t="n">
        <f aca="false">IF(COUNT('Milho 1ª safra'!$E59:$Z59)=0,0,MAX(0,IF((N$6-$E$3)&lt;1,0,IFERROR(LOOKUP(2,1/('Milho 1ª safra'!$E59:INDEX('Milho 1ª safra'!$E59:$Z59,MIN(N$6-$E$3,22))&lt;&gt;""),'Milho 1ª safra'!$E59:INDEX('Milho 1ª safra'!$E59:$Z59,MIN(N$6-$E$3,22))),0))-IF($G$2,0,IF((N$6-$G$3)&lt;1,0,IFERROR(LOOKUP(2,1/('Milho 1ª safra'!$E59:INDEX('Milho 1ª safra'!$E59:$Z59,MIN(N$6-$G$3,22))&lt;&gt;""),'Milho 1ª safra'!$E59:INDEX('Milho 1ª safra'!$E59:$Z59,MIN(N$6-$G$3,22))),0)))))</f>
        <v>0</v>
      </c>
      <c r="O61" s="27" t="n">
        <f aca="false">IF(COUNT('Milho 1ª safra'!$E59:$Z59)=0,0,MAX(0,IF((O$6-$E$3)&lt;1,0,IFERROR(LOOKUP(2,1/('Milho 1ª safra'!$E59:INDEX('Milho 1ª safra'!$E59:$Z59,MIN(O$6-$E$3,22))&lt;&gt;""),'Milho 1ª safra'!$E59:INDEX('Milho 1ª safra'!$E59:$Z59,MIN(O$6-$E$3,22))),0))-IF($G$2,0,IF((O$6-$G$3)&lt;1,0,IFERROR(LOOKUP(2,1/('Milho 1ª safra'!$E59:INDEX('Milho 1ª safra'!$E59:$Z59,MIN(O$6-$G$3,22))&lt;&gt;""),'Milho 1ª safra'!$E59:INDEX('Milho 1ª safra'!$E59:$Z59,MIN(O$6-$G$3,22))),0)))))</f>
        <v>0</v>
      </c>
      <c r="P61" s="27" t="n">
        <f aca="false">IF(COUNT('Milho 1ª safra'!$E59:$Z59)=0,0,MAX(0,IF((P$6-$E$3)&lt;1,0,IFERROR(LOOKUP(2,1/('Milho 1ª safra'!$E59:INDEX('Milho 1ª safra'!$E59:$Z59,MIN(P$6-$E$3,22))&lt;&gt;""),'Milho 1ª safra'!$E59:INDEX('Milho 1ª safra'!$E59:$Z59,MIN(P$6-$E$3,22))),0))-IF($G$2,0,IF((P$6-$G$3)&lt;1,0,IFERROR(LOOKUP(2,1/('Milho 1ª safra'!$E59:INDEX('Milho 1ª safra'!$E59:$Z59,MIN(P$6-$G$3,22))&lt;&gt;""),'Milho 1ª safra'!$E59:INDEX('Milho 1ª safra'!$E59:$Z59,MIN(P$6-$G$3,22))),0)))))</f>
        <v>0</v>
      </c>
      <c r="Q61" s="27" t="n">
        <f aca="false">IF(COUNT('Milho 1ª safra'!$E59:$Z59)=0,0,MAX(0,IF((Q$6-$E$3)&lt;1,0,IFERROR(LOOKUP(2,1/('Milho 1ª safra'!$E59:INDEX('Milho 1ª safra'!$E59:$Z59,MIN(Q$6-$E$3,22))&lt;&gt;""),'Milho 1ª safra'!$E59:INDEX('Milho 1ª safra'!$E59:$Z59,MIN(Q$6-$E$3,22))),0))-IF($G$2,0,IF((Q$6-$G$3)&lt;1,0,IFERROR(LOOKUP(2,1/('Milho 1ª safra'!$E59:INDEX('Milho 1ª safra'!$E59:$Z59,MIN(Q$6-$G$3,22))&lt;&gt;""),'Milho 1ª safra'!$E59:INDEX('Milho 1ª safra'!$E59:$Z59,MIN(Q$6-$G$3,22))),0)))))</f>
        <v>0</v>
      </c>
      <c r="R61" s="27" t="n">
        <f aca="false">IF(COUNT('Milho 1ª safra'!$E59:$Z59)=0,0,MAX(0,IF((R$6-$E$3)&lt;1,0,IFERROR(LOOKUP(2,1/('Milho 1ª safra'!$E59:INDEX('Milho 1ª safra'!$E59:$Z59,MIN(R$6-$E$3,22))&lt;&gt;""),'Milho 1ª safra'!$E59:INDEX('Milho 1ª safra'!$E59:$Z59,MIN(R$6-$E$3,22))),0))-IF($G$2,0,IF((R$6-$G$3)&lt;1,0,IFERROR(LOOKUP(2,1/('Milho 1ª safra'!$E59:INDEX('Milho 1ª safra'!$E59:$Z59,MIN(R$6-$G$3,22))&lt;&gt;""),'Milho 1ª safra'!$E59:INDEX('Milho 1ª safra'!$E59:$Z59,MIN(R$6-$G$3,22))),0)))))</f>
        <v>0</v>
      </c>
      <c r="S61" s="27" t="n">
        <f aca="false">IF(COUNT('Milho 1ª safra'!$E59:$Z59)=0,0,MAX(0,IF((S$6-$E$3)&lt;1,0,IFERROR(LOOKUP(2,1/('Milho 1ª safra'!$E59:INDEX('Milho 1ª safra'!$E59:$Z59,MIN(S$6-$E$3,22))&lt;&gt;""),'Milho 1ª safra'!$E59:INDEX('Milho 1ª safra'!$E59:$Z59,MIN(S$6-$E$3,22))),0))-IF($G$2,0,IF((S$6-$G$3)&lt;1,0,IFERROR(LOOKUP(2,1/('Milho 1ª safra'!$E59:INDEX('Milho 1ª safra'!$E59:$Z59,MIN(S$6-$G$3,22))&lt;&gt;""),'Milho 1ª safra'!$E59:INDEX('Milho 1ª safra'!$E59:$Z59,MIN(S$6-$G$3,22))),0)))))</f>
        <v>0</v>
      </c>
      <c r="T61" s="27" t="n">
        <f aca="false">IF(COUNT('Milho 1ª safra'!$E59:$Z59)=0,0,MAX(0,IF((T$6-$E$3)&lt;1,0,IFERROR(LOOKUP(2,1/('Milho 1ª safra'!$E59:INDEX('Milho 1ª safra'!$E59:$Z59,MIN(T$6-$E$3,22))&lt;&gt;""),'Milho 1ª safra'!$E59:INDEX('Milho 1ª safra'!$E59:$Z59,MIN(T$6-$E$3,22))),0))-IF($G$2,0,IF((T$6-$G$3)&lt;1,0,IFERROR(LOOKUP(2,1/('Milho 1ª safra'!$E59:INDEX('Milho 1ª safra'!$E59:$Z59,MIN(T$6-$G$3,22))&lt;&gt;""),'Milho 1ª safra'!$E59:INDEX('Milho 1ª safra'!$E59:$Z59,MIN(T$6-$G$3,22))),0)))))</f>
        <v>0</v>
      </c>
      <c r="U61" s="27" t="n">
        <f aca="false">IF(COUNT('Milho 1ª safra'!$E59:$Z59)=0,0,MAX(0,IF((U$6-$E$3)&lt;1,0,IFERROR(LOOKUP(2,1/('Milho 1ª safra'!$E59:INDEX('Milho 1ª safra'!$E59:$Z59,MIN(U$6-$E$3,22))&lt;&gt;""),'Milho 1ª safra'!$E59:INDEX('Milho 1ª safra'!$E59:$Z59,MIN(U$6-$E$3,22))),0))-IF($G$2,0,IF((U$6-$G$3)&lt;1,0,IFERROR(LOOKUP(2,1/('Milho 1ª safra'!$E59:INDEX('Milho 1ª safra'!$E59:$Z59,MIN(U$6-$G$3,22))&lt;&gt;""),'Milho 1ª safra'!$E59:INDEX('Milho 1ª safra'!$E59:$Z59,MIN(U$6-$G$3,22))),0)))))</f>
        <v>0</v>
      </c>
      <c r="V61" s="27" t="n">
        <f aca="false">IF(COUNT('Milho 1ª safra'!$E59:$Z59)=0,0,MAX(0,IF((V$6-$E$3)&lt;1,0,IFERROR(LOOKUP(2,1/('Milho 1ª safra'!$E59:INDEX('Milho 1ª safra'!$E59:$Z59,MIN(V$6-$E$3,22))&lt;&gt;""),'Milho 1ª safra'!$E59:INDEX('Milho 1ª safra'!$E59:$Z59,MIN(V$6-$E$3,22))),0))-IF($G$2,0,IF((V$6-$G$3)&lt;1,0,IFERROR(LOOKUP(2,1/('Milho 1ª safra'!$E59:INDEX('Milho 1ª safra'!$E59:$Z59,MIN(V$6-$G$3,22))&lt;&gt;""),'Milho 1ª safra'!$E59:INDEX('Milho 1ª safra'!$E59:$Z59,MIN(V$6-$G$3,22))),0)))))</f>
        <v>0</v>
      </c>
      <c r="W61" s="27" t="n">
        <f aca="false">IF(COUNT('Milho 1ª safra'!$E59:$Z59)=0,0,MAX(0,IF((W$6-$E$3)&lt;1,0,IFERROR(LOOKUP(2,1/('Milho 1ª safra'!$E59:INDEX('Milho 1ª safra'!$E59:$Z59,MIN(W$6-$E$3,22))&lt;&gt;""),'Milho 1ª safra'!$E59:INDEX('Milho 1ª safra'!$E59:$Z59,MIN(W$6-$E$3,22))),0))-IF($G$2,0,IF((W$6-$G$3)&lt;1,0,IFERROR(LOOKUP(2,1/('Milho 1ª safra'!$E59:INDEX('Milho 1ª safra'!$E59:$Z59,MIN(W$6-$G$3,22))&lt;&gt;""),'Milho 1ª safra'!$E59:INDEX('Milho 1ª safra'!$E59:$Z59,MIN(W$6-$G$3,22))),0)))))</f>
        <v>0</v>
      </c>
      <c r="X61" s="27" t="n">
        <f aca="false">IF(COUNT('Milho 1ª safra'!$E59:$Z59)=0,0,MAX(0,IF((X$6-$E$3)&lt;1,0,IFERROR(LOOKUP(2,1/('Milho 1ª safra'!$E59:INDEX('Milho 1ª safra'!$E59:$Z59,MIN(X$6-$E$3,22))&lt;&gt;""),'Milho 1ª safra'!$E59:INDEX('Milho 1ª safra'!$E59:$Z59,MIN(X$6-$E$3,22))),0))-IF($G$2,0,IF((X$6-$G$3)&lt;1,0,IFERROR(LOOKUP(2,1/('Milho 1ª safra'!$E59:INDEX('Milho 1ª safra'!$E59:$Z59,MIN(X$6-$G$3,22))&lt;&gt;""),'Milho 1ª safra'!$E59:INDEX('Milho 1ª safra'!$E59:$Z59,MIN(X$6-$G$3,22))),0)))))</f>
        <v>0</v>
      </c>
      <c r="Y61" s="27" t="n">
        <f aca="false">IF(COUNT('Milho 1ª safra'!$E59:$Z59)=0,0,MAX(0,IF((Y$6-$E$3)&lt;1,0,IFERROR(LOOKUP(2,1/('Milho 1ª safra'!$E59:INDEX('Milho 1ª safra'!$E59:$Z59,MIN(Y$6-$E$3,22))&lt;&gt;""),'Milho 1ª safra'!$E59:INDEX('Milho 1ª safra'!$E59:$Z59,MIN(Y$6-$E$3,22))),0))-IF($G$2,0,IF((Y$6-$G$3)&lt;1,0,IFERROR(LOOKUP(2,1/('Milho 1ª safra'!$E59:INDEX('Milho 1ª safra'!$E59:$Z59,MIN(Y$6-$G$3,22))&lt;&gt;""),'Milho 1ª safra'!$E59:INDEX('Milho 1ª safra'!$E59:$Z59,MIN(Y$6-$G$3,22))),0)))))</f>
        <v>0</v>
      </c>
      <c r="Z61" s="27" t="n">
        <f aca="false">IF(COUNT('Milho 1ª safra'!$E59:$Z59)=0,0,MAX(0,IF((Z$6-$E$3)&lt;1,0,IFERROR(LOOKUP(2,1/('Milho 1ª safra'!$E59:INDEX('Milho 1ª safra'!$E59:$Z59,MIN(Z$6-$E$3,22))&lt;&gt;""),'Milho 1ª safra'!$E59:INDEX('Milho 1ª safra'!$E59:$Z59,MIN(Z$6-$E$3,22))),0))-IF($G$2,0,IF((Z$6-$G$3)&lt;1,0,IFERROR(LOOKUP(2,1/('Milho 1ª safra'!$E59:INDEX('Milho 1ª safra'!$E59:$Z59,MIN(Z$6-$G$3,22))&lt;&gt;""),'Milho 1ª safra'!$E59:INDEX('Milho 1ª safra'!$E59:$Z59,MIN(Z$6-$G$3,22))),0)))))</f>
        <v>0</v>
      </c>
      <c r="AA61" s="27" t="n">
        <f aca="false">IF(COUNT('Milho 1ª safra'!$E59:$Z59)=0,0,MAX(0,IF((AA$6-$E$3)&lt;1,0,IFERROR(LOOKUP(2,1/('Milho 1ª safra'!$E59:INDEX('Milho 1ª safra'!$E59:$Z59,MIN(AA$6-$E$3,22))&lt;&gt;""),'Milho 1ª safra'!$E59:INDEX('Milho 1ª safra'!$E59:$Z59,MIN(AA$6-$E$3,22))),0))-IF($G$2,0,IF((AA$6-$G$3)&lt;1,0,IFERROR(LOOKUP(2,1/('Milho 1ª safra'!$E59:INDEX('Milho 1ª safra'!$E59:$Z59,MIN(AA$6-$G$3,22))&lt;&gt;""),'Milho 1ª safra'!$E59:INDEX('Milho 1ª safra'!$E59:$Z59,MIN(AA$6-$G$3,22))),0)))))</f>
        <v>0</v>
      </c>
      <c r="AB61" s="27" t="n">
        <f aca="false">IF(COUNT('Milho 1ª safra'!$E59:$Z59)=0,0,MAX(0,IF((AB$6-$E$3)&lt;1,0,IFERROR(LOOKUP(2,1/('Milho 1ª safra'!$E59:INDEX('Milho 1ª safra'!$E59:$Z59,MIN(AB$6-$E$3,22))&lt;&gt;""),'Milho 1ª safra'!$E59:INDEX('Milho 1ª safra'!$E59:$Z59,MIN(AB$6-$E$3,22))),0))-IF($G$2,0,IF((AB$6-$G$3)&lt;1,0,IFERROR(LOOKUP(2,1/('Milho 1ª safra'!$E59:INDEX('Milho 1ª safra'!$E59:$Z59,MIN(AB$6-$G$3,22))&lt;&gt;""),'Milho 1ª safra'!$E59:INDEX('Milho 1ª safra'!$E59:$Z59,MIN(AB$6-$G$3,22))),0)))))</f>
        <v>0</v>
      </c>
      <c r="AC61" s="27" t="n">
        <f aca="false">IF(COUNT('Milho 1ª safra'!$E59:$Z59)=0,0,MAX(0,IF((AC$6-$E$3)&lt;1,0,IFERROR(LOOKUP(2,1/('Milho 1ª safra'!$E59:INDEX('Milho 1ª safra'!$E59:$Z59,MIN(AC$6-$E$3,22))&lt;&gt;""),'Milho 1ª safra'!$E59:INDEX('Milho 1ª safra'!$E59:$Z59,MIN(AC$6-$E$3,22))),0))-IF($G$2,0,IF((AC$6-$G$3)&lt;1,0,IFERROR(LOOKUP(2,1/('Milho 1ª safra'!$E59:INDEX('Milho 1ª safra'!$E59:$Z59,MIN(AC$6-$G$3,22))&lt;&gt;""),'Milho 1ª safra'!$E59:INDEX('Milho 1ª safra'!$E59:$Z59,MIN(AC$6-$G$3,22))),0)))))</f>
        <v>0</v>
      </c>
      <c r="AD61" s="27" t="n">
        <f aca="false">IF(COUNT('Milho 1ª safra'!$E59:$Z59)=0,0,MAX(0,IF((AD$6-$E$3)&lt;1,0,IFERROR(LOOKUP(2,1/('Milho 1ª safra'!$E59:INDEX('Milho 1ª safra'!$E59:$Z59,MIN(AD$6-$E$3,22))&lt;&gt;""),'Milho 1ª safra'!$E59:INDEX('Milho 1ª safra'!$E59:$Z59,MIN(AD$6-$E$3,22))),0))-IF($G$2,0,IF((AD$6-$G$3)&lt;1,0,IFERROR(LOOKUP(2,1/('Milho 1ª safra'!$E59:INDEX('Milho 1ª safra'!$E59:$Z59,MIN(AD$6-$G$3,22))&lt;&gt;""),'Milho 1ª safra'!$E59:INDEX('Milho 1ª safra'!$E59:$Z59,MIN(AD$6-$G$3,22))),0)))))</f>
        <v>0</v>
      </c>
      <c r="AE61" s="27" t="n">
        <f aca="false">IF(COUNT('Milho 1ª safra'!$E59:$Z59)=0,0,MAX(0,IF((AE$6-$E$3)&lt;1,0,IFERROR(LOOKUP(2,1/('Milho 1ª safra'!$E59:INDEX('Milho 1ª safra'!$E59:$Z59,MIN(AE$6-$E$3,22))&lt;&gt;""),'Milho 1ª safra'!$E59:INDEX('Milho 1ª safra'!$E59:$Z59,MIN(AE$6-$E$3,22))),0))-IF($G$2,0,IF((AE$6-$G$3)&lt;1,0,IFERROR(LOOKUP(2,1/('Milho 1ª safra'!$E59:INDEX('Milho 1ª safra'!$E59:$Z59,MIN(AE$6-$G$3,22))&lt;&gt;""),'Milho 1ª safra'!$E59:INDEX('Milho 1ª safra'!$E59:$Z59,MIN(AE$6-$G$3,22))),0)))))</f>
        <v>0</v>
      </c>
      <c r="AF61" s="27" t="n">
        <f aca="false">IF(COUNT('Milho 1ª safra'!$E59:$Z59)=0,0,MAX(0,IF((AF$6-$E$3)&lt;1,0,IFERROR(LOOKUP(2,1/('Milho 1ª safra'!$E59:INDEX('Milho 1ª safra'!$E59:$Z59,MIN(AF$6-$E$3,22))&lt;&gt;""),'Milho 1ª safra'!$E59:INDEX('Milho 1ª safra'!$E59:$Z59,MIN(AF$6-$E$3,22))),0))-IF($G$2,0,IF((AF$6-$G$3)&lt;1,0,IFERROR(LOOKUP(2,1/('Milho 1ª safra'!$E59:INDEX('Milho 1ª safra'!$E59:$Z59,MIN(AF$6-$G$3,22))&lt;&gt;""),'Milho 1ª safra'!$E59:INDEX('Milho 1ª safra'!$E59:$Z59,MIN(AF$6-$G$3,22))),0)))))</f>
        <v>0</v>
      </c>
      <c r="AG61" s="27" t="n">
        <f aca="false">IF(COUNT('Milho 1ª safra'!$E59:$Z59)=0,0,MAX(0,IF((AG$6-$E$3)&lt;1,0,IFERROR(LOOKUP(2,1/('Milho 1ª safra'!$E59:INDEX('Milho 1ª safra'!$E59:$Z59,MIN(AG$6-$E$3,22))&lt;&gt;""),'Milho 1ª safra'!$E59:INDEX('Milho 1ª safra'!$E59:$Z59,MIN(AG$6-$E$3,22))),0))-IF($G$2,0,IF((AG$6-$G$3)&lt;1,0,IFERROR(LOOKUP(2,1/('Milho 1ª safra'!$E59:INDEX('Milho 1ª safra'!$E59:$Z59,MIN(AG$6-$G$3,22))&lt;&gt;""),'Milho 1ª safra'!$E59:INDEX('Milho 1ª safra'!$E59:$Z59,MIN(AG$6-$G$3,22))),0)))))</f>
        <v>0</v>
      </c>
      <c r="AH61" s="27" t="n">
        <f aca="false">IF(COUNT('Milho 1ª safra'!$E59:$Z59)=0,0,MAX(0,IF((AH$6-$E$3)&lt;1,0,IFERROR(LOOKUP(2,1/('Milho 1ª safra'!$E59:INDEX('Milho 1ª safra'!$E59:$Z59,MIN(AH$6-$E$3,22))&lt;&gt;""),'Milho 1ª safra'!$E59:INDEX('Milho 1ª safra'!$E59:$Z59,MIN(AH$6-$E$3,22))),0))-IF($G$2,0,IF((AH$6-$G$3)&lt;1,0,IFERROR(LOOKUP(2,1/('Milho 1ª safra'!$E59:INDEX('Milho 1ª safra'!$E59:$Z59,MIN(AH$6-$G$3,22))&lt;&gt;""),'Milho 1ª safra'!$E59:INDEX('Milho 1ª safra'!$E59:$Z59,MIN(AH$6-$G$3,22))),0)))))</f>
        <v>0</v>
      </c>
      <c r="AI61" s="27" t="n">
        <f aca="false">IF(COUNT('Milho 1ª safra'!$E59:$Z59)=0,0,MAX(0,IF((AI$6-$E$3)&lt;1,0,IFERROR(LOOKUP(2,1/('Milho 1ª safra'!$E59:INDEX('Milho 1ª safra'!$E59:$Z59,MIN(AI$6-$E$3,22))&lt;&gt;""),'Milho 1ª safra'!$E59:INDEX('Milho 1ª safra'!$E59:$Z59,MIN(AI$6-$E$3,22))),0))-IF($G$2,0,IF((AI$6-$G$3)&lt;1,0,IFERROR(LOOKUP(2,1/('Milho 1ª safra'!$E59:INDEX('Milho 1ª safra'!$E59:$Z59,MIN(AI$6-$G$3,22))&lt;&gt;""),'Milho 1ª safra'!$E59:INDEX('Milho 1ª safra'!$E59:$Z59,MIN(AI$6-$G$3,22))),0)))))</f>
        <v>0</v>
      </c>
      <c r="AJ61" s="27" t="n">
        <f aca="false">IF(COUNT('Milho 1ª safra'!$E59:$Z59)=0,0,MAX(0,IF((AJ$6-$E$3)&lt;1,0,IFERROR(LOOKUP(2,1/('Milho 1ª safra'!$E59:INDEX('Milho 1ª safra'!$E59:$Z59,MIN(AJ$6-$E$3,22))&lt;&gt;""),'Milho 1ª safra'!$E59:INDEX('Milho 1ª safra'!$E59:$Z59,MIN(AJ$6-$E$3,22))),0))-IF($G$2,0,IF((AJ$6-$G$3)&lt;1,0,IFERROR(LOOKUP(2,1/('Milho 1ª safra'!$E59:INDEX('Milho 1ª safra'!$E59:$Z59,MIN(AJ$6-$G$3,22))&lt;&gt;""),'Milho 1ª safra'!$E59:INDEX('Milho 1ª safra'!$E59:$Z59,MIN(AJ$6-$G$3,22))),0)))))</f>
        <v>0</v>
      </c>
      <c r="AK61" s="27" t="n">
        <f aca="false">IF(COUNT('Milho 1ª safra'!$E59:$Z59)=0,0,MAX(0,IF((AK$6-$E$3)&lt;1,0,IFERROR(LOOKUP(2,1/('Milho 1ª safra'!$E59:INDEX('Milho 1ª safra'!$E59:$Z59,MIN(AK$6-$E$3,22))&lt;&gt;""),'Milho 1ª safra'!$E59:INDEX('Milho 1ª safra'!$E59:$Z59,MIN(AK$6-$E$3,22))),0))-IF($G$2,0,IF((AK$6-$G$3)&lt;1,0,IFERROR(LOOKUP(2,1/('Milho 1ª safra'!$E59:INDEX('Milho 1ª safra'!$E59:$Z59,MIN(AK$6-$G$3,22))&lt;&gt;""),'Milho 1ª safra'!$E59:INDEX('Milho 1ª safra'!$E59:$Z59,MIN(AK$6-$G$3,22))),0)))))</f>
        <v>0</v>
      </c>
      <c r="AL61" s="27" t="n">
        <f aca="false">IF(COUNT('Milho 1ª safra'!$E59:$Z59)=0,0,MAX(0,IF((AL$6-$E$3)&lt;1,0,IFERROR(LOOKUP(2,1/('Milho 1ª safra'!$E59:INDEX('Milho 1ª safra'!$E59:$Z59,MIN(AL$6-$E$3,22))&lt;&gt;""),'Milho 1ª safra'!$E59:INDEX('Milho 1ª safra'!$E59:$Z59,MIN(AL$6-$E$3,22))),0))-IF($G$2,0,IF((AL$6-$G$3)&lt;1,0,IFERROR(LOOKUP(2,1/('Milho 1ª safra'!$E59:INDEX('Milho 1ª safra'!$E59:$Z59,MIN(AL$6-$G$3,22))&lt;&gt;""),'Milho 1ª safra'!$E59:INDEX('Milho 1ª safra'!$E59:$Z59,MIN(AL$6-$G$3,22))),0)))))</f>
        <v>0</v>
      </c>
      <c r="AM61" s="27" t="n">
        <f aca="false">IF(COUNT('Milho 1ª safra'!$E59:$Z59)=0,0,MAX(0,IF((AM$6-$E$3)&lt;1,0,IFERROR(LOOKUP(2,1/('Milho 1ª safra'!$E59:INDEX('Milho 1ª safra'!$E59:$Z59,MIN(AM$6-$E$3,22))&lt;&gt;""),'Milho 1ª safra'!$E59:INDEX('Milho 1ª safra'!$E59:$Z59,MIN(AM$6-$E$3,22))),0))-IF($G$2,0,IF((AM$6-$G$3)&lt;1,0,IFERROR(LOOKUP(2,1/('Milho 1ª safra'!$E59:INDEX('Milho 1ª safra'!$E59:$Z59,MIN(AM$6-$G$3,22))&lt;&gt;""),'Milho 1ª safra'!$E59:INDEX('Milho 1ª safra'!$E59:$Z59,MIN(AM$6-$G$3,22))),0)))))</f>
        <v>0</v>
      </c>
      <c r="AN61" s="27" t="n">
        <f aca="false">IF(COUNT('Milho 1ª safra'!$E59:$Z59)=0,0,MAX(0,IF((AN$6-$E$3)&lt;1,0,IFERROR(LOOKUP(2,1/('Milho 1ª safra'!$E59:INDEX('Milho 1ª safra'!$E59:$Z59,MIN(AN$6-$E$3,22))&lt;&gt;""),'Milho 1ª safra'!$E59:INDEX('Milho 1ª safra'!$E59:$Z59,MIN(AN$6-$E$3,22))),0))-IF($G$2,0,IF((AN$6-$G$3)&lt;1,0,IFERROR(LOOKUP(2,1/('Milho 1ª safra'!$E59:INDEX('Milho 1ª safra'!$E59:$Z59,MIN(AN$6-$G$3,22))&lt;&gt;""),'Milho 1ª safra'!$E59:INDEX('Milho 1ª safra'!$E59:$Z59,MIN(AN$6-$G$3,22))),0)))))</f>
        <v>0</v>
      </c>
      <c r="AO61" s="27" t="n">
        <f aca="false">IF(COUNT('Milho 1ª safra'!$E59:$Z59)=0,0,MAX(0,IF((AO$6-$E$3)&lt;1,0,IFERROR(LOOKUP(2,1/('Milho 1ª safra'!$E59:INDEX('Milho 1ª safra'!$E59:$Z59,MIN(AO$6-$E$3,22))&lt;&gt;""),'Milho 1ª safra'!$E59:INDEX('Milho 1ª safra'!$E59:$Z59,MIN(AO$6-$E$3,22))),0))-IF($G$2,0,IF((AO$6-$G$3)&lt;1,0,IFERROR(LOOKUP(2,1/('Milho 1ª safra'!$E59:INDEX('Milho 1ª safra'!$E59:$Z59,MIN(AO$6-$G$3,22))&lt;&gt;""),'Milho 1ª safra'!$E59:INDEX('Milho 1ª safra'!$E59:$Z59,MIN(AO$6-$G$3,22))),0)))))</f>
        <v>0</v>
      </c>
      <c r="AP61" s="27" t="n">
        <f aca="false">IF(COUNT('Milho 1ª safra'!$E59:$Z59)=0,0,MAX(0,IF((AP$6-$E$3)&lt;1,0,IFERROR(LOOKUP(2,1/('Milho 1ª safra'!$E59:INDEX('Milho 1ª safra'!$E59:$Z59,MIN(AP$6-$E$3,22))&lt;&gt;""),'Milho 1ª safra'!$E59:INDEX('Milho 1ª safra'!$E59:$Z59,MIN(AP$6-$E$3,22))),0))-IF($G$2,0,IF((AP$6-$G$3)&lt;1,0,IFERROR(LOOKUP(2,1/('Milho 1ª safra'!$E59:INDEX('Milho 1ª safra'!$E59:$Z59,MIN(AP$6-$G$3,22))&lt;&gt;""),'Milho 1ª safra'!$E59:INDEX('Milho 1ª safra'!$E59:$Z59,MIN(AP$6-$G$3,22))),0)))))</f>
        <v>0</v>
      </c>
      <c r="AQ61" s="27" t="n">
        <f aca="false">IF(COUNT('Milho 1ª safra'!$E59:$Z59)=0,0,MAX(0,IF((AQ$6-$E$3)&lt;1,0,IFERROR(LOOKUP(2,1/('Milho 1ª safra'!$E59:INDEX('Milho 1ª safra'!$E59:$Z59,MIN(AQ$6-$E$3,22))&lt;&gt;""),'Milho 1ª safra'!$E59:INDEX('Milho 1ª safra'!$E59:$Z59,MIN(AQ$6-$E$3,22))),0))-IF($G$2,0,IF((AQ$6-$G$3)&lt;1,0,IFERROR(LOOKUP(2,1/('Milho 1ª safra'!$E59:INDEX('Milho 1ª safra'!$E59:$Z59,MIN(AQ$6-$G$3,22))&lt;&gt;""),'Milho 1ª safra'!$E59:INDEX('Milho 1ª safra'!$E59:$Z59,MIN(AQ$6-$G$3,22))),0)))))</f>
        <v>0</v>
      </c>
      <c r="AR61" s="27" t="n">
        <f aca="false">IF(COUNT('Milho 1ª safra'!$E59:$Z59)=0,0,MAX(0,IF((AR$6-$E$3)&lt;1,0,IFERROR(LOOKUP(2,1/('Milho 1ª safra'!$E59:INDEX('Milho 1ª safra'!$E59:$Z59,MIN(AR$6-$E$3,22))&lt;&gt;""),'Milho 1ª safra'!$E59:INDEX('Milho 1ª safra'!$E59:$Z59,MIN(AR$6-$E$3,22))),0))-IF($G$2,0,IF((AR$6-$G$3)&lt;1,0,IFERROR(LOOKUP(2,1/('Milho 1ª safra'!$E59:INDEX('Milho 1ª safra'!$E59:$Z59,MIN(AR$6-$G$3,22))&lt;&gt;""),'Milho 1ª safra'!$E59:INDEX('Milho 1ª safra'!$E59:$Z59,MIN(AR$6-$G$3,22))),0)))))</f>
        <v>0</v>
      </c>
      <c r="AS61" s="27" t="n">
        <f aca="false">IF(COUNT('Milho 1ª safra'!$E59:$Z59)=0,0,MAX(0,IF((AS$6-$E$3)&lt;1,0,IFERROR(LOOKUP(2,1/('Milho 1ª safra'!$E59:INDEX('Milho 1ª safra'!$E59:$Z59,MIN(AS$6-$E$3,22))&lt;&gt;""),'Milho 1ª safra'!$E59:INDEX('Milho 1ª safra'!$E59:$Z59,MIN(AS$6-$E$3,22))),0))-IF($G$2,0,IF((AS$6-$G$3)&lt;1,0,IFERROR(LOOKUP(2,1/('Milho 1ª safra'!$E59:INDEX('Milho 1ª safra'!$E59:$Z59,MIN(AS$6-$G$3,22))&lt;&gt;""),'Milho 1ª safra'!$E59:INDEX('Milho 1ª safra'!$E59:$Z59,MIN(AS$6-$G$3,22))),0)))))</f>
        <v>0</v>
      </c>
      <c r="AT61" s="27" t="n">
        <f aca="false">IF(COUNT('Milho 1ª safra'!$E59:$Z59)=0,0,MAX(0,IF((AT$6-$E$3)&lt;1,0,IFERROR(LOOKUP(2,1/('Milho 1ª safra'!$E59:INDEX('Milho 1ª safra'!$E59:$Z59,MIN(AT$6-$E$3,22))&lt;&gt;""),'Milho 1ª safra'!$E59:INDEX('Milho 1ª safra'!$E59:$Z59,MIN(AT$6-$E$3,22))),0))-IF($G$2,0,IF((AT$6-$G$3)&lt;1,0,IFERROR(LOOKUP(2,1/('Milho 1ª safra'!$E59:INDEX('Milho 1ª safra'!$E59:$Z59,MIN(AT$6-$G$3,22))&lt;&gt;""),'Milho 1ª safra'!$E59:INDEX('Milho 1ª safra'!$E59:$Z59,MIN(AT$6-$G$3,22))),0)))))</f>
        <v>0</v>
      </c>
      <c r="AU61" s="27" t="n">
        <f aca="false">IF(COUNT('Milho 1ª safra'!$E59:$Z59)=0,0,MAX(0,IF((AU$6-$E$3)&lt;1,0,IFERROR(LOOKUP(2,1/('Milho 1ª safra'!$E59:INDEX('Milho 1ª safra'!$E59:$Z59,MIN(AU$6-$E$3,22))&lt;&gt;""),'Milho 1ª safra'!$E59:INDEX('Milho 1ª safra'!$E59:$Z59,MIN(AU$6-$E$3,22))),0))-IF($G$2,0,IF((AU$6-$G$3)&lt;1,0,IFERROR(LOOKUP(2,1/('Milho 1ª safra'!$E59:INDEX('Milho 1ª safra'!$E59:$Z59,MIN(AU$6-$G$3,22))&lt;&gt;""),'Milho 1ª safra'!$E59:INDEX('Milho 1ª safra'!$E59:$Z59,MIN(AU$6-$G$3,22))),0)))))</f>
        <v>0</v>
      </c>
      <c r="AV61" s="27" t="n">
        <f aca="false">IF(COUNT('Milho 1ª safra'!$E59:$Z59)=0,0,MAX(0,IF((AV$6-$E$3)&lt;1,0,IFERROR(LOOKUP(2,1/('Milho 1ª safra'!$E59:INDEX('Milho 1ª safra'!$E59:$Z59,MIN(AV$6-$E$3,22))&lt;&gt;""),'Milho 1ª safra'!$E59:INDEX('Milho 1ª safra'!$E59:$Z59,MIN(AV$6-$E$3,22))),0))-IF($G$2,0,IF((AV$6-$G$3)&lt;1,0,IFERROR(LOOKUP(2,1/('Milho 1ª safra'!$E59:INDEX('Milho 1ª safra'!$E59:$Z59,MIN(AV$6-$G$3,22))&lt;&gt;""),'Milho 1ª safra'!$E59:INDEX('Milho 1ª safra'!$E59:$Z59,MIN(AV$6-$G$3,22))),0)))))</f>
        <v>0</v>
      </c>
      <c r="AW61" s="27" t="n">
        <f aca="false">IF(COUNT('Milho 1ª safra'!$E59:$Z59)=0,0,MAX(0,IF((AW$6-$E$3)&lt;1,0,IFERROR(LOOKUP(2,1/('Milho 1ª safra'!$E59:INDEX('Milho 1ª safra'!$E59:$Z59,MIN(AW$6-$E$3,22))&lt;&gt;""),'Milho 1ª safra'!$E59:INDEX('Milho 1ª safra'!$E59:$Z59,MIN(AW$6-$E$3,22))),0))-IF($G$2,0,IF((AW$6-$G$3)&lt;1,0,IFERROR(LOOKUP(2,1/('Milho 1ª safra'!$E59:INDEX('Milho 1ª safra'!$E59:$Z59,MIN(AW$6-$G$3,22))&lt;&gt;""),'Milho 1ª safra'!$E59:INDEX('Milho 1ª safra'!$E59:$Z59,MIN(AW$6-$G$3,22))),0)))))</f>
        <v>0</v>
      </c>
      <c r="AX61" s="27" t="n">
        <f aca="false">IF(COUNT('Milho 1ª safra'!$E59:$Z59)=0,0,MAX(0,IF((AX$6-$E$3)&lt;1,0,IFERROR(LOOKUP(2,1/('Milho 1ª safra'!$E59:INDEX('Milho 1ª safra'!$E59:$Z59,MIN(AX$6-$E$3,22))&lt;&gt;""),'Milho 1ª safra'!$E59:INDEX('Milho 1ª safra'!$E59:$Z59,MIN(AX$6-$E$3,22))),0))-IF($G$2,0,IF((AX$6-$G$3)&lt;1,0,IFERROR(LOOKUP(2,1/('Milho 1ª safra'!$E59:INDEX('Milho 1ª safra'!$E59:$Z59,MIN(AX$6-$G$3,22))&lt;&gt;""),'Milho 1ª safra'!$E59:INDEX('Milho 1ª safra'!$E59:$Z59,MIN(AX$6-$G$3,22))),0)))))</f>
        <v>0</v>
      </c>
      <c r="AY61" s="27" t="n">
        <f aca="false">IF(COUNT('Milho 1ª safra'!$E59:$Z59)=0,0,MAX(0,IF((AY$6-$E$3)&lt;1,0,IFERROR(LOOKUP(2,1/('Milho 1ª safra'!$E59:INDEX('Milho 1ª safra'!$E59:$Z59,MIN(AY$6-$E$3,22))&lt;&gt;""),'Milho 1ª safra'!$E59:INDEX('Milho 1ª safra'!$E59:$Z59,MIN(AY$6-$E$3,22))),0))-IF($G$2,0,IF((AY$6-$G$3)&lt;1,0,IFERROR(LOOKUP(2,1/('Milho 1ª safra'!$E59:INDEX('Milho 1ª safra'!$E59:$Z59,MIN(AY$6-$G$3,22))&lt;&gt;""),'Milho 1ª safra'!$E59:INDEX('Milho 1ª safra'!$E59:$Z59,MIN(AY$6-$G$3,22))),0)))))</f>
        <v>0</v>
      </c>
      <c r="AZ61" s="27" t="n">
        <f aca="false">IF(COUNT('Milho 1ª safra'!$E59:$Z59)=0,0,MAX(0,IF((AZ$6-$E$3)&lt;1,0,IFERROR(LOOKUP(2,1/('Milho 1ª safra'!$E59:INDEX('Milho 1ª safra'!$E59:$Z59,MIN(AZ$6-$E$3,22))&lt;&gt;""),'Milho 1ª safra'!$E59:INDEX('Milho 1ª safra'!$E59:$Z59,MIN(AZ$6-$E$3,22))),0))-IF($G$2,0,IF((AZ$6-$G$3)&lt;1,0,IFERROR(LOOKUP(2,1/('Milho 1ª safra'!$E59:INDEX('Milho 1ª safra'!$E59:$Z59,MIN(AZ$6-$G$3,22))&lt;&gt;""),'Milho 1ª safra'!$E59:INDEX('Milho 1ª safra'!$E59:$Z59,MIN(AZ$6-$G$3,22))),0)))))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IF(COUNT('Milho 1ª safra'!$E60:$Z60)&gt;0,N('Milho 1ª safra'!$D60),0)</f>
        <v>0</v>
      </c>
      <c r="E62" s="27" t="n">
        <f aca="false">IF(COUNT('Milho 1ª safra'!$E60:$Z60)=0,0,MAX(0,IF((E$6-$E$3)&lt;1,0,IFERROR(LOOKUP(2,1/('Milho 1ª safra'!$E60:INDEX('Milho 1ª safra'!$E60:$Z60,MIN(E$6-$E$3,22))&lt;&gt;""),'Milho 1ª safra'!$E60:INDEX('Milho 1ª safra'!$E60:$Z60,MIN(E$6-$E$3,22))),0))-IF($G$2,0,IF((E$6-$G$3)&lt;1,0,IFERROR(LOOKUP(2,1/('Milho 1ª safra'!$E60:INDEX('Milho 1ª safra'!$E60:$Z60,MIN(E$6-$G$3,22))&lt;&gt;""),'Milho 1ª safra'!$E60:INDEX('Milho 1ª safra'!$E60:$Z60,MIN(E$6-$G$3,22))),0)))))</f>
        <v>0</v>
      </c>
      <c r="F62" s="27" t="n">
        <f aca="false">IF(COUNT('Milho 1ª safra'!$E60:$Z60)=0,0,MAX(0,IF((F$6-$E$3)&lt;1,0,IFERROR(LOOKUP(2,1/('Milho 1ª safra'!$E60:INDEX('Milho 1ª safra'!$E60:$Z60,MIN(F$6-$E$3,22))&lt;&gt;""),'Milho 1ª safra'!$E60:INDEX('Milho 1ª safra'!$E60:$Z60,MIN(F$6-$E$3,22))),0))-IF($G$2,0,IF((F$6-$G$3)&lt;1,0,IFERROR(LOOKUP(2,1/('Milho 1ª safra'!$E60:INDEX('Milho 1ª safra'!$E60:$Z60,MIN(F$6-$G$3,22))&lt;&gt;""),'Milho 1ª safra'!$E60:INDEX('Milho 1ª safra'!$E60:$Z60,MIN(F$6-$G$3,22))),0)))))</f>
        <v>0</v>
      </c>
      <c r="G62" s="27" t="n">
        <f aca="false">IF(COUNT('Milho 1ª safra'!$E60:$Z60)=0,0,MAX(0,IF((G$6-$E$3)&lt;1,0,IFERROR(LOOKUP(2,1/('Milho 1ª safra'!$E60:INDEX('Milho 1ª safra'!$E60:$Z60,MIN(G$6-$E$3,22))&lt;&gt;""),'Milho 1ª safra'!$E60:INDEX('Milho 1ª safra'!$E60:$Z60,MIN(G$6-$E$3,22))),0))-IF($G$2,0,IF((G$6-$G$3)&lt;1,0,IFERROR(LOOKUP(2,1/('Milho 1ª safra'!$E60:INDEX('Milho 1ª safra'!$E60:$Z60,MIN(G$6-$G$3,22))&lt;&gt;""),'Milho 1ª safra'!$E60:INDEX('Milho 1ª safra'!$E60:$Z60,MIN(G$6-$G$3,22))),0)))))</f>
        <v>0</v>
      </c>
      <c r="H62" s="27" t="n">
        <f aca="false">IF(COUNT('Milho 1ª safra'!$E60:$Z60)=0,0,MAX(0,IF((H$6-$E$3)&lt;1,0,IFERROR(LOOKUP(2,1/('Milho 1ª safra'!$E60:INDEX('Milho 1ª safra'!$E60:$Z60,MIN(H$6-$E$3,22))&lt;&gt;""),'Milho 1ª safra'!$E60:INDEX('Milho 1ª safra'!$E60:$Z60,MIN(H$6-$E$3,22))),0))-IF($G$2,0,IF((H$6-$G$3)&lt;1,0,IFERROR(LOOKUP(2,1/('Milho 1ª safra'!$E60:INDEX('Milho 1ª safra'!$E60:$Z60,MIN(H$6-$G$3,22))&lt;&gt;""),'Milho 1ª safra'!$E60:INDEX('Milho 1ª safra'!$E60:$Z60,MIN(H$6-$G$3,22))),0)))))</f>
        <v>0</v>
      </c>
      <c r="I62" s="27" t="n">
        <f aca="false">IF(COUNT('Milho 1ª safra'!$E60:$Z60)=0,0,MAX(0,IF((I$6-$E$3)&lt;1,0,IFERROR(LOOKUP(2,1/('Milho 1ª safra'!$E60:INDEX('Milho 1ª safra'!$E60:$Z60,MIN(I$6-$E$3,22))&lt;&gt;""),'Milho 1ª safra'!$E60:INDEX('Milho 1ª safra'!$E60:$Z60,MIN(I$6-$E$3,22))),0))-IF($G$2,0,IF((I$6-$G$3)&lt;1,0,IFERROR(LOOKUP(2,1/('Milho 1ª safra'!$E60:INDEX('Milho 1ª safra'!$E60:$Z60,MIN(I$6-$G$3,22))&lt;&gt;""),'Milho 1ª safra'!$E60:INDEX('Milho 1ª safra'!$E60:$Z60,MIN(I$6-$G$3,22))),0)))))</f>
        <v>0</v>
      </c>
      <c r="J62" s="27" t="n">
        <f aca="false">IF(COUNT('Milho 1ª safra'!$E60:$Z60)=0,0,MAX(0,IF((J$6-$E$3)&lt;1,0,IFERROR(LOOKUP(2,1/('Milho 1ª safra'!$E60:INDEX('Milho 1ª safra'!$E60:$Z60,MIN(J$6-$E$3,22))&lt;&gt;""),'Milho 1ª safra'!$E60:INDEX('Milho 1ª safra'!$E60:$Z60,MIN(J$6-$E$3,22))),0))-IF($G$2,0,IF((J$6-$G$3)&lt;1,0,IFERROR(LOOKUP(2,1/('Milho 1ª safra'!$E60:INDEX('Milho 1ª safra'!$E60:$Z60,MIN(J$6-$G$3,22))&lt;&gt;""),'Milho 1ª safra'!$E60:INDEX('Milho 1ª safra'!$E60:$Z60,MIN(J$6-$G$3,22))),0)))))</f>
        <v>0</v>
      </c>
      <c r="K62" s="27" t="n">
        <f aca="false">IF(COUNT('Milho 1ª safra'!$E60:$Z60)=0,0,MAX(0,IF((K$6-$E$3)&lt;1,0,IFERROR(LOOKUP(2,1/('Milho 1ª safra'!$E60:INDEX('Milho 1ª safra'!$E60:$Z60,MIN(K$6-$E$3,22))&lt;&gt;""),'Milho 1ª safra'!$E60:INDEX('Milho 1ª safra'!$E60:$Z60,MIN(K$6-$E$3,22))),0))-IF($G$2,0,IF((K$6-$G$3)&lt;1,0,IFERROR(LOOKUP(2,1/('Milho 1ª safra'!$E60:INDEX('Milho 1ª safra'!$E60:$Z60,MIN(K$6-$G$3,22))&lt;&gt;""),'Milho 1ª safra'!$E60:INDEX('Milho 1ª safra'!$E60:$Z60,MIN(K$6-$G$3,22))),0)))))</f>
        <v>0</v>
      </c>
      <c r="L62" s="27" t="n">
        <f aca="false">IF(COUNT('Milho 1ª safra'!$E60:$Z60)=0,0,MAX(0,IF((L$6-$E$3)&lt;1,0,IFERROR(LOOKUP(2,1/('Milho 1ª safra'!$E60:INDEX('Milho 1ª safra'!$E60:$Z60,MIN(L$6-$E$3,22))&lt;&gt;""),'Milho 1ª safra'!$E60:INDEX('Milho 1ª safra'!$E60:$Z60,MIN(L$6-$E$3,22))),0))-IF($G$2,0,IF((L$6-$G$3)&lt;1,0,IFERROR(LOOKUP(2,1/('Milho 1ª safra'!$E60:INDEX('Milho 1ª safra'!$E60:$Z60,MIN(L$6-$G$3,22))&lt;&gt;""),'Milho 1ª safra'!$E60:INDEX('Milho 1ª safra'!$E60:$Z60,MIN(L$6-$G$3,22))),0)))))</f>
        <v>0</v>
      </c>
      <c r="M62" s="27" t="n">
        <f aca="false">IF(COUNT('Milho 1ª safra'!$E60:$Z60)=0,0,MAX(0,IF((M$6-$E$3)&lt;1,0,IFERROR(LOOKUP(2,1/('Milho 1ª safra'!$E60:INDEX('Milho 1ª safra'!$E60:$Z60,MIN(M$6-$E$3,22))&lt;&gt;""),'Milho 1ª safra'!$E60:INDEX('Milho 1ª safra'!$E60:$Z60,MIN(M$6-$E$3,22))),0))-IF($G$2,0,IF((M$6-$G$3)&lt;1,0,IFERROR(LOOKUP(2,1/('Milho 1ª safra'!$E60:INDEX('Milho 1ª safra'!$E60:$Z60,MIN(M$6-$G$3,22))&lt;&gt;""),'Milho 1ª safra'!$E60:INDEX('Milho 1ª safra'!$E60:$Z60,MIN(M$6-$G$3,22))),0)))))</f>
        <v>0</v>
      </c>
      <c r="N62" s="27" t="n">
        <f aca="false">IF(COUNT('Milho 1ª safra'!$E60:$Z60)=0,0,MAX(0,IF((N$6-$E$3)&lt;1,0,IFERROR(LOOKUP(2,1/('Milho 1ª safra'!$E60:INDEX('Milho 1ª safra'!$E60:$Z60,MIN(N$6-$E$3,22))&lt;&gt;""),'Milho 1ª safra'!$E60:INDEX('Milho 1ª safra'!$E60:$Z60,MIN(N$6-$E$3,22))),0))-IF($G$2,0,IF((N$6-$G$3)&lt;1,0,IFERROR(LOOKUP(2,1/('Milho 1ª safra'!$E60:INDEX('Milho 1ª safra'!$E60:$Z60,MIN(N$6-$G$3,22))&lt;&gt;""),'Milho 1ª safra'!$E60:INDEX('Milho 1ª safra'!$E60:$Z60,MIN(N$6-$G$3,22))),0)))))</f>
        <v>0</v>
      </c>
      <c r="O62" s="27" t="n">
        <f aca="false">IF(COUNT('Milho 1ª safra'!$E60:$Z60)=0,0,MAX(0,IF((O$6-$E$3)&lt;1,0,IFERROR(LOOKUP(2,1/('Milho 1ª safra'!$E60:INDEX('Milho 1ª safra'!$E60:$Z60,MIN(O$6-$E$3,22))&lt;&gt;""),'Milho 1ª safra'!$E60:INDEX('Milho 1ª safra'!$E60:$Z60,MIN(O$6-$E$3,22))),0))-IF($G$2,0,IF((O$6-$G$3)&lt;1,0,IFERROR(LOOKUP(2,1/('Milho 1ª safra'!$E60:INDEX('Milho 1ª safra'!$E60:$Z60,MIN(O$6-$G$3,22))&lt;&gt;""),'Milho 1ª safra'!$E60:INDEX('Milho 1ª safra'!$E60:$Z60,MIN(O$6-$G$3,22))),0)))))</f>
        <v>0</v>
      </c>
      <c r="P62" s="27" t="n">
        <f aca="false">IF(COUNT('Milho 1ª safra'!$E60:$Z60)=0,0,MAX(0,IF((P$6-$E$3)&lt;1,0,IFERROR(LOOKUP(2,1/('Milho 1ª safra'!$E60:INDEX('Milho 1ª safra'!$E60:$Z60,MIN(P$6-$E$3,22))&lt;&gt;""),'Milho 1ª safra'!$E60:INDEX('Milho 1ª safra'!$E60:$Z60,MIN(P$6-$E$3,22))),0))-IF($G$2,0,IF((P$6-$G$3)&lt;1,0,IFERROR(LOOKUP(2,1/('Milho 1ª safra'!$E60:INDEX('Milho 1ª safra'!$E60:$Z60,MIN(P$6-$G$3,22))&lt;&gt;""),'Milho 1ª safra'!$E60:INDEX('Milho 1ª safra'!$E60:$Z60,MIN(P$6-$G$3,22))),0)))))</f>
        <v>0</v>
      </c>
      <c r="Q62" s="27" t="n">
        <f aca="false">IF(COUNT('Milho 1ª safra'!$E60:$Z60)=0,0,MAX(0,IF((Q$6-$E$3)&lt;1,0,IFERROR(LOOKUP(2,1/('Milho 1ª safra'!$E60:INDEX('Milho 1ª safra'!$E60:$Z60,MIN(Q$6-$E$3,22))&lt;&gt;""),'Milho 1ª safra'!$E60:INDEX('Milho 1ª safra'!$E60:$Z60,MIN(Q$6-$E$3,22))),0))-IF($G$2,0,IF((Q$6-$G$3)&lt;1,0,IFERROR(LOOKUP(2,1/('Milho 1ª safra'!$E60:INDEX('Milho 1ª safra'!$E60:$Z60,MIN(Q$6-$G$3,22))&lt;&gt;""),'Milho 1ª safra'!$E60:INDEX('Milho 1ª safra'!$E60:$Z60,MIN(Q$6-$G$3,22))),0)))))</f>
        <v>0</v>
      </c>
      <c r="R62" s="27" t="n">
        <f aca="false">IF(COUNT('Milho 1ª safra'!$E60:$Z60)=0,0,MAX(0,IF((R$6-$E$3)&lt;1,0,IFERROR(LOOKUP(2,1/('Milho 1ª safra'!$E60:INDEX('Milho 1ª safra'!$E60:$Z60,MIN(R$6-$E$3,22))&lt;&gt;""),'Milho 1ª safra'!$E60:INDEX('Milho 1ª safra'!$E60:$Z60,MIN(R$6-$E$3,22))),0))-IF($G$2,0,IF((R$6-$G$3)&lt;1,0,IFERROR(LOOKUP(2,1/('Milho 1ª safra'!$E60:INDEX('Milho 1ª safra'!$E60:$Z60,MIN(R$6-$G$3,22))&lt;&gt;""),'Milho 1ª safra'!$E60:INDEX('Milho 1ª safra'!$E60:$Z60,MIN(R$6-$G$3,22))),0)))))</f>
        <v>0</v>
      </c>
      <c r="S62" s="27" t="n">
        <f aca="false">IF(COUNT('Milho 1ª safra'!$E60:$Z60)=0,0,MAX(0,IF((S$6-$E$3)&lt;1,0,IFERROR(LOOKUP(2,1/('Milho 1ª safra'!$E60:INDEX('Milho 1ª safra'!$E60:$Z60,MIN(S$6-$E$3,22))&lt;&gt;""),'Milho 1ª safra'!$E60:INDEX('Milho 1ª safra'!$E60:$Z60,MIN(S$6-$E$3,22))),0))-IF($G$2,0,IF((S$6-$G$3)&lt;1,0,IFERROR(LOOKUP(2,1/('Milho 1ª safra'!$E60:INDEX('Milho 1ª safra'!$E60:$Z60,MIN(S$6-$G$3,22))&lt;&gt;""),'Milho 1ª safra'!$E60:INDEX('Milho 1ª safra'!$E60:$Z60,MIN(S$6-$G$3,22))),0)))))</f>
        <v>0</v>
      </c>
      <c r="T62" s="27" t="n">
        <f aca="false">IF(COUNT('Milho 1ª safra'!$E60:$Z60)=0,0,MAX(0,IF((T$6-$E$3)&lt;1,0,IFERROR(LOOKUP(2,1/('Milho 1ª safra'!$E60:INDEX('Milho 1ª safra'!$E60:$Z60,MIN(T$6-$E$3,22))&lt;&gt;""),'Milho 1ª safra'!$E60:INDEX('Milho 1ª safra'!$E60:$Z60,MIN(T$6-$E$3,22))),0))-IF($G$2,0,IF((T$6-$G$3)&lt;1,0,IFERROR(LOOKUP(2,1/('Milho 1ª safra'!$E60:INDEX('Milho 1ª safra'!$E60:$Z60,MIN(T$6-$G$3,22))&lt;&gt;""),'Milho 1ª safra'!$E60:INDEX('Milho 1ª safra'!$E60:$Z60,MIN(T$6-$G$3,22))),0)))))</f>
        <v>0</v>
      </c>
      <c r="U62" s="27" t="n">
        <f aca="false">IF(COUNT('Milho 1ª safra'!$E60:$Z60)=0,0,MAX(0,IF((U$6-$E$3)&lt;1,0,IFERROR(LOOKUP(2,1/('Milho 1ª safra'!$E60:INDEX('Milho 1ª safra'!$E60:$Z60,MIN(U$6-$E$3,22))&lt;&gt;""),'Milho 1ª safra'!$E60:INDEX('Milho 1ª safra'!$E60:$Z60,MIN(U$6-$E$3,22))),0))-IF($G$2,0,IF((U$6-$G$3)&lt;1,0,IFERROR(LOOKUP(2,1/('Milho 1ª safra'!$E60:INDEX('Milho 1ª safra'!$E60:$Z60,MIN(U$6-$G$3,22))&lt;&gt;""),'Milho 1ª safra'!$E60:INDEX('Milho 1ª safra'!$E60:$Z60,MIN(U$6-$G$3,22))),0)))))</f>
        <v>0</v>
      </c>
      <c r="V62" s="27" t="n">
        <f aca="false">IF(COUNT('Milho 1ª safra'!$E60:$Z60)=0,0,MAX(0,IF((V$6-$E$3)&lt;1,0,IFERROR(LOOKUP(2,1/('Milho 1ª safra'!$E60:INDEX('Milho 1ª safra'!$E60:$Z60,MIN(V$6-$E$3,22))&lt;&gt;""),'Milho 1ª safra'!$E60:INDEX('Milho 1ª safra'!$E60:$Z60,MIN(V$6-$E$3,22))),0))-IF($G$2,0,IF((V$6-$G$3)&lt;1,0,IFERROR(LOOKUP(2,1/('Milho 1ª safra'!$E60:INDEX('Milho 1ª safra'!$E60:$Z60,MIN(V$6-$G$3,22))&lt;&gt;""),'Milho 1ª safra'!$E60:INDEX('Milho 1ª safra'!$E60:$Z60,MIN(V$6-$G$3,22))),0)))))</f>
        <v>0</v>
      </c>
      <c r="W62" s="27" t="n">
        <f aca="false">IF(COUNT('Milho 1ª safra'!$E60:$Z60)=0,0,MAX(0,IF((W$6-$E$3)&lt;1,0,IFERROR(LOOKUP(2,1/('Milho 1ª safra'!$E60:INDEX('Milho 1ª safra'!$E60:$Z60,MIN(W$6-$E$3,22))&lt;&gt;""),'Milho 1ª safra'!$E60:INDEX('Milho 1ª safra'!$E60:$Z60,MIN(W$6-$E$3,22))),0))-IF($G$2,0,IF((W$6-$G$3)&lt;1,0,IFERROR(LOOKUP(2,1/('Milho 1ª safra'!$E60:INDEX('Milho 1ª safra'!$E60:$Z60,MIN(W$6-$G$3,22))&lt;&gt;""),'Milho 1ª safra'!$E60:INDEX('Milho 1ª safra'!$E60:$Z60,MIN(W$6-$G$3,22))),0)))))</f>
        <v>0</v>
      </c>
      <c r="X62" s="27" t="n">
        <f aca="false">IF(COUNT('Milho 1ª safra'!$E60:$Z60)=0,0,MAX(0,IF((X$6-$E$3)&lt;1,0,IFERROR(LOOKUP(2,1/('Milho 1ª safra'!$E60:INDEX('Milho 1ª safra'!$E60:$Z60,MIN(X$6-$E$3,22))&lt;&gt;""),'Milho 1ª safra'!$E60:INDEX('Milho 1ª safra'!$E60:$Z60,MIN(X$6-$E$3,22))),0))-IF($G$2,0,IF((X$6-$G$3)&lt;1,0,IFERROR(LOOKUP(2,1/('Milho 1ª safra'!$E60:INDEX('Milho 1ª safra'!$E60:$Z60,MIN(X$6-$G$3,22))&lt;&gt;""),'Milho 1ª safra'!$E60:INDEX('Milho 1ª safra'!$E60:$Z60,MIN(X$6-$G$3,22))),0)))))</f>
        <v>0</v>
      </c>
      <c r="Y62" s="27" t="n">
        <f aca="false">IF(COUNT('Milho 1ª safra'!$E60:$Z60)=0,0,MAX(0,IF((Y$6-$E$3)&lt;1,0,IFERROR(LOOKUP(2,1/('Milho 1ª safra'!$E60:INDEX('Milho 1ª safra'!$E60:$Z60,MIN(Y$6-$E$3,22))&lt;&gt;""),'Milho 1ª safra'!$E60:INDEX('Milho 1ª safra'!$E60:$Z60,MIN(Y$6-$E$3,22))),0))-IF($G$2,0,IF((Y$6-$G$3)&lt;1,0,IFERROR(LOOKUP(2,1/('Milho 1ª safra'!$E60:INDEX('Milho 1ª safra'!$E60:$Z60,MIN(Y$6-$G$3,22))&lt;&gt;""),'Milho 1ª safra'!$E60:INDEX('Milho 1ª safra'!$E60:$Z60,MIN(Y$6-$G$3,22))),0)))))</f>
        <v>0</v>
      </c>
      <c r="Z62" s="27" t="n">
        <f aca="false">IF(COUNT('Milho 1ª safra'!$E60:$Z60)=0,0,MAX(0,IF((Z$6-$E$3)&lt;1,0,IFERROR(LOOKUP(2,1/('Milho 1ª safra'!$E60:INDEX('Milho 1ª safra'!$E60:$Z60,MIN(Z$6-$E$3,22))&lt;&gt;""),'Milho 1ª safra'!$E60:INDEX('Milho 1ª safra'!$E60:$Z60,MIN(Z$6-$E$3,22))),0))-IF($G$2,0,IF((Z$6-$G$3)&lt;1,0,IFERROR(LOOKUP(2,1/('Milho 1ª safra'!$E60:INDEX('Milho 1ª safra'!$E60:$Z60,MIN(Z$6-$G$3,22))&lt;&gt;""),'Milho 1ª safra'!$E60:INDEX('Milho 1ª safra'!$E60:$Z60,MIN(Z$6-$G$3,22))),0)))))</f>
        <v>0</v>
      </c>
      <c r="AA62" s="27" t="n">
        <f aca="false">IF(COUNT('Milho 1ª safra'!$E60:$Z60)=0,0,MAX(0,IF((AA$6-$E$3)&lt;1,0,IFERROR(LOOKUP(2,1/('Milho 1ª safra'!$E60:INDEX('Milho 1ª safra'!$E60:$Z60,MIN(AA$6-$E$3,22))&lt;&gt;""),'Milho 1ª safra'!$E60:INDEX('Milho 1ª safra'!$E60:$Z60,MIN(AA$6-$E$3,22))),0))-IF($G$2,0,IF((AA$6-$G$3)&lt;1,0,IFERROR(LOOKUP(2,1/('Milho 1ª safra'!$E60:INDEX('Milho 1ª safra'!$E60:$Z60,MIN(AA$6-$G$3,22))&lt;&gt;""),'Milho 1ª safra'!$E60:INDEX('Milho 1ª safra'!$E60:$Z60,MIN(AA$6-$G$3,22))),0)))))</f>
        <v>0</v>
      </c>
      <c r="AB62" s="27" t="n">
        <f aca="false">IF(COUNT('Milho 1ª safra'!$E60:$Z60)=0,0,MAX(0,IF((AB$6-$E$3)&lt;1,0,IFERROR(LOOKUP(2,1/('Milho 1ª safra'!$E60:INDEX('Milho 1ª safra'!$E60:$Z60,MIN(AB$6-$E$3,22))&lt;&gt;""),'Milho 1ª safra'!$E60:INDEX('Milho 1ª safra'!$E60:$Z60,MIN(AB$6-$E$3,22))),0))-IF($G$2,0,IF((AB$6-$G$3)&lt;1,0,IFERROR(LOOKUP(2,1/('Milho 1ª safra'!$E60:INDEX('Milho 1ª safra'!$E60:$Z60,MIN(AB$6-$G$3,22))&lt;&gt;""),'Milho 1ª safra'!$E60:INDEX('Milho 1ª safra'!$E60:$Z60,MIN(AB$6-$G$3,22))),0)))))</f>
        <v>0</v>
      </c>
      <c r="AC62" s="27" t="n">
        <f aca="false">IF(COUNT('Milho 1ª safra'!$E60:$Z60)=0,0,MAX(0,IF((AC$6-$E$3)&lt;1,0,IFERROR(LOOKUP(2,1/('Milho 1ª safra'!$E60:INDEX('Milho 1ª safra'!$E60:$Z60,MIN(AC$6-$E$3,22))&lt;&gt;""),'Milho 1ª safra'!$E60:INDEX('Milho 1ª safra'!$E60:$Z60,MIN(AC$6-$E$3,22))),0))-IF($G$2,0,IF((AC$6-$G$3)&lt;1,0,IFERROR(LOOKUP(2,1/('Milho 1ª safra'!$E60:INDEX('Milho 1ª safra'!$E60:$Z60,MIN(AC$6-$G$3,22))&lt;&gt;""),'Milho 1ª safra'!$E60:INDEX('Milho 1ª safra'!$E60:$Z60,MIN(AC$6-$G$3,22))),0)))))</f>
        <v>0</v>
      </c>
      <c r="AD62" s="27" t="n">
        <f aca="false">IF(COUNT('Milho 1ª safra'!$E60:$Z60)=0,0,MAX(0,IF((AD$6-$E$3)&lt;1,0,IFERROR(LOOKUP(2,1/('Milho 1ª safra'!$E60:INDEX('Milho 1ª safra'!$E60:$Z60,MIN(AD$6-$E$3,22))&lt;&gt;""),'Milho 1ª safra'!$E60:INDEX('Milho 1ª safra'!$E60:$Z60,MIN(AD$6-$E$3,22))),0))-IF($G$2,0,IF((AD$6-$G$3)&lt;1,0,IFERROR(LOOKUP(2,1/('Milho 1ª safra'!$E60:INDEX('Milho 1ª safra'!$E60:$Z60,MIN(AD$6-$G$3,22))&lt;&gt;""),'Milho 1ª safra'!$E60:INDEX('Milho 1ª safra'!$E60:$Z60,MIN(AD$6-$G$3,22))),0)))))</f>
        <v>0</v>
      </c>
      <c r="AE62" s="27" t="n">
        <f aca="false">IF(COUNT('Milho 1ª safra'!$E60:$Z60)=0,0,MAX(0,IF((AE$6-$E$3)&lt;1,0,IFERROR(LOOKUP(2,1/('Milho 1ª safra'!$E60:INDEX('Milho 1ª safra'!$E60:$Z60,MIN(AE$6-$E$3,22))&lt;&gt;""),'Milho 1ª safra'!$E60:INDEX('Milho 1ª safra'!$E60:$Z60,MIN(AE$6-$E$3,22))),0))-IF($G$2,0,IF((AE$6-$G$3)&lt;1,0,IFERROR(LOOKUP(2,1/('Milho 1ª safra'!$E60:INDEX('Milho 1ª safra'!$E60:$Z60,MIN(AE$6-$G$3,22))&lt;&gt;""),'Milho 1ª safra'!$E60:INDEX('Milho 1ª safra'!$E60:$Z60,MIN(AE$6-$G$3,22))),0)))))</f>
        <v>0</v>
      </c>
      <c r="AF62" s="27" t="n">
        <f aca="false">IF(COUNT('Milho 1ª safra'!$E60:$Z60)=0,0,MAX(0,IF((AF$6-$E$3)&lt;1,0,IFERROR(LOOKUP(2,1/('Milho 1ª safra'!$E60:INDEX('Milho 1ª safra'!$E60:$Z60,MIN(AF$6-$E$3,22))&lt;&gt;""),'Milho 1ª safra'!$E60:INDEX('Milho 1ª safra'!$E60:$Z60,MIN(AF$6-$E$3,22))),0))-IF($G$2,0,IF((AF$6-$G$3)&lt;1,0,IFERROR(LOOKUP(2,1/('Milho 1ª safra'!$E60:INDEX('Milho 1ª safra'!$E60:$Z60,MIN(AF$6-$G$3,22))&lt;&gt;""),'Milho 1ª safra'!$E60:INDEX('Milho 1ª safra'!$E60:$Z60,MIN(AF$6-$G$3,22))),0)))))</f>
        <v>0</v>
      </c>
      <c r="AG62" s="27" t="n">
        <f aca="false">IF(COUNT('Milho 1ª safra'!$E60:$Z60)=0,0,MAX(0,IF((AG$6-$E$3)&lt;1,0,IFERROR(LOOKUP(2,1/('Milho 1ª safra'!$E60:INDEX('Milho 1ª safra'!$E60:$Z60,MIN(AG$6-$E$3,22))&lt;&gt;""),'Milho 1ª safra'!$E60:INDEX('Milho 1ª safra'!$E60:$Z60,MIN(AG$6-$E$3,22))),0))-IF($G$2,0,IF((AG$6-$G$3)&lt;1,0,IFERROR(LOOKUP(2,1/('Milho 1ª safra'!$E60:INDEX('Milho 1ª safra'!$E60:$Z60,MIN(AG$6-$G$3,22))&lt;&gt;""),'Milho 1ª safra'!$E60:INDEX('Milho 1ª safra'!$E60:$Z60,MIN(AG$6-$G$3,22))),0)))))</f>
        <v>0</v>
      </c>
      <c r="AH62" s="27" t="n">
        <f aca="false">IF(COUNT('Milho 1ª safra'!$E60:$Z60)=0,0,MAX(0,IF((AH$6-$E$3)&lt;1,0,IFERROR(LOOKUP(2,1/('Milho 1ª safra'!$E60:INDEX('Milho 1ª safra'!$E60:$Z60,MIN(AH$6-$E$3,22))&lt;&gt;""),'Milho 1ª safra'!$E60:INDEX('Milho 1ª safra'!$E60:$Z60,MIN(AH$6-$E$3,22))),0))-IF($G$2,0,IF((AH$6-$G$3)&lt;1,0,IFERROR(LOOKUP(2,1/('Milho 1ª safra'!$E60:INDEX('Milho 1ª safra'!$E60:$Z60,MIN(AH$6-$G$3,22))&lt;&gt;""),'Milho 1ª safra'!$E60:INDEX('Milho 1ª safra'!$E60:$Z60,MIN(AH$6-$G$3,22))),0)))))</f>
        <v>0</v>
      </c>
      <c r="AI62" s="27" t="n">
        <f aca="false">IF(COUNT('Milho 1ª safra'!$E60:$Z60)=0,0,MAX(0,IF((AI$6-$E$3)&lt;1,0,IFERROR(LOOKUP(2,1/('Milho 1ª safra'!$E60:INDEX('Milho 1ª safra'!$E60:$Z60,MIN(AI$6-$E$3,22))&lt;&gt;""),'Milho 1ª safra'!$E60:INDEX('Milho 1ª safra'!$E60:$Z60,MIN(AI$6-$E$3,22))),0))-IF($G$2,0,IF((AI$6-$G$3)&lt;1,0,IFERROR(LOOKUP(2,1/('Milho 1ª safra'!$E60:INDEX('Milho 1ª safra'!$E60:$Z60,MIN(AI$6-$G$3,22))&lt;&gt;""),'Milho 1ª safra'!$E60:INDEX('Milho 1ª safra'!$E60:$Z60,MIN(AI$6-$G$3,22))),0)))))</f>
        <v>0</v>
      </c>
      <c r="AJ62" s="27" t="n">
        <f aca="false">IF(COUNT('Milho 1ª safra'!$E60:$Z60)=0,0,MAX(0,IF((AJ$6-$E$3)&lt;1,0,IFERROR(LOOKUP(2,1/('Milho 1ª safra'!$E60:INDEX('Milho 1ª safra'!$E60:$Z60,MIN(AJ$6-$E$3,22))&lt;&gt;""),'Milho 1ª safra'!$E60:INDEX('Milho 1ª safra'!$E60:$Z60,MIN(AJ$6-$E$3,22))),0))-IF($G$2,0,IF((AJ$6-$G$3)&lt;1,0,IFERROR(LOOKUP(2,1/('Milho 1ª safra'!$E60:INDEX('Milho 1ª safra'!$E60:$Z60,MIN(AJ$6-$G$3,22))&lt;&gt;""),'Milho 1ª safra'!$E60:INDEX('Milho 1ª safra'!$E60:$Z60,MIN(AJ$6-$G$3,22))),0)))))</f>
        <v>0</v>
      </c>
      <c r="AK62" s="27" t="n">
        <f aca="false">IF(COUNT('Milho 1ª safra'!$E60:$Z60)=0,0,MAX(0,IF((AK$6-$E$3)&lt;1,0,IFERROR(LOOKUP(2,1/('Milho 1ª safra'!$E60:INDEX('Milho 1ª safra'!$E60:$Z60,MIN(AK$6-$E$3,22))&lt;&gt;""),'Milho 1ª safra'!$E60:INDEX('Milho 1ª safra'!$E60:$Z60,MIN(AK$6-$E$3,22))),0))-IF($G$2,0,IF((AK$6-$G$3)&lt;1,0,IFERROR(LOOKUP(2,1/('Milho 1ª safra'!$E60:INDEX('Milho 1ª safra'!$E60:$Z60,MIN(AK$6-$G$3,22))&lt;&gt;""),'Milho 1ª safra'!$E60:INDEX('Milho 1ª safra'!$E60:$Z60,MIN(AK$6-$G$3,22))),0)))))</f>
        <v>0</v>
      </c>
      <c r="AL62" s="27" t="n">
        <f aca="false">IF(COUNT('Milho 1ª safra'!$E60:$Z60)=0,0,MAX(0,IF((AL$6-$E$3)&lt;1,0,IFERROR(LOOKUP(2,1/('Milho 1ª safra'!$E60:INDEX('Milho 1ª safra'!$E60:$Z60,MIN(AL$6-$E$3,22))&lt;&gt;""),'Milho 1ª safra'!$E60:INDEX('Milho 1ª safra'!$E60:$Z60,MIN(AL$6-$E$3,22))),0))-IF($G$2,0,IF((AL$6-$G$3)&lt;1,0,IFERROR(LOOKUP(2,1/('Milho 1ª safra'!$E60:INDEX('Milho 1ª safra'!$E60:$Z60,MIN(AL$6-$G$3,22))&lt;&gt;""),'Milho 1ª safra'!$E60:INDEX('Milho 1ª safra'!$E60:$Z60,MIN(AL$6-$G$3,22))),0)))))</f>
        <v>0</v>
      </c>
      <c r="AM62" s="27" t="n">
        <f aca="false">IF(COUNT('Milho 1ª safra'!$E60:$Z60)=0,0,MAX(0,IF((AM$6-$E$3)&lt;1,0,IFERROR(LOOKUP(2,1/('Milho 1ª safra'!$E60:INDEX('Milho 1ª safra'!$E60:$Z60,MIN(AM$6-$E$3,22))&lt;&gt;""),'Milho 1ª safra'!$E60:INDEX('Milho 1ª safra'!$E60:$Z60,MIN(AM$6-$E$3,22))),0))-IF($G$2,0,IF((AM$6-$G$3)&lt;1,0,IFERROR(LOOKUP(2,1/('Milho 1ª safra'!$E60:INDEX('Milho 1ª safra'!$E60:$Z60,MIN(AM$6-$G$3,22))&lt;&gt;""),'Milho 1ª safra'!$E60:INDEX('Milho 1ª safra'!$E60:$Z60,MIN(AM$6-$G$3,22))),0)))))</f>
        <v>0</v>
      </c>
      <c r="AN62" s="27" t="n">
        <f aca="false">IF(COUNT('Milho 1ª safra'!$E60:$Z60)=0,0,MAX(0,IF((AN$6-$E$3)&lt;1,0,IFERROR(LOOKUP(2,1/('Milho 1ª safra'!$E60:INDEX('Milho 1ª safra'!$E60:$Z60,MIN(AN$6-$E$3,22))&lt;&gt;""),'Milho 1ª safra'!$E60:INDEX('Milho 1ª safra'!$E60:$Z60,MIN(AN$6-$E$3,22))),0))-IF($G$2,0,IF((AN$6-$G$3)&lt;1,0,IFERROR(LOOKUP(2,1/('Milho 1ª safra'!$E60:INDEX('Milho 1ª safra'!$E60:$Z60,MIN(AN$6-$G$3,22))&lt;&gt;""),'Milho 1ª safra'!$E60:INDEX('Milho 1ª safra'!$E60:$Z60,MIN(AN$6-$G$3,22))),0)))))</f>
        <v>0</v>
      </c>
      <c r="AO62" s="27" t="n">
        <f aca="false">IF(COUNT('Milho 1ª safra'!$E60:$Z60)=0,0,MAX(0,IF((AO$6-$E$3)&lt;1,0,IFERROR(LOOKUP(2,1/('Milho 1ª safra'!$E60:INDEX('Milho 1ª safra'!$E60:$Z60,MIN(AO$6-$E$3,22))&lt;&gt;""),'Milho 1ª safra'!$E60:INDEX('Milho 1ª safra'!$E60:$Z60,MIN(AO$6-$E$3,22))),0))-IF($G$2,0,IF((AO$6-$G$3)&lt;1,0,IFERROR(LOOKUP(2,1/('Milho 1ª safra'!$E60:INDEX('Milho 1ª safra'!$E60:$Z60,MIN(AO$6-$G$3,22))&lt;&gt;""),'Milho 1ª safra'!$E60:INDEX('Milho 1ª safra'!$E60:$Z60,MIN(AO$6-$G$3,22))),0)))))</f>
        <v>0</v>
      </c>
      <c r="AP62" s="27" t="n">
        <f aca="false">IF(COUNT('Milho 1ª safra'!$E60:$Z60)=0,0,MAX(0,IF((AP$6-$E$3)&lt;1,0,IFERROR(LOOKUP(2,1/('Milho 1ª safra'!$E60:INDEX('Milho 1ª safra'!$E60:$Z60,MIN(AP$6-$E$3,22))&lt;&gt;""),'Milho 1ª safra'!$E60:INDEX('Milho 1ª safra'!$E60:$Z60,MIN(AP$6-$E$3,22))),0))-IF($G$2,0,IF((AP$6-$G$3)&lt;1,0,IFERROR(LOOKUP(2,1/('Milho 1ª safra'!$E60:INDEX('Milho 1ª safra'!$E60:$Z60,MIN(AP$6-$G$3,22))&lt;&gt;""),'Milho 1ª safra'!$E60:INDEX('Milho 1ª safra'!$E60:$Z60,MIN(AP$6-$G$3,22))),0)))))</f>
        <v>0</v>
      </c>
      <c r="AQ62" s="27" t="n">
        <f aca="false">IF(COUNT('Milho 1ª safra'!$E60:$Z60)=0,0,MAX(0,IF((AQ$6-$E$3)&lt;1,0,IFERROR(LOOKUP(2,1/('Milho 1ª safra'!$E60:INDEX('Milho 1ª safra'!$E60:$Z60,MIN(AQ$6-$E$3,22))&lt;&gt;""),'Milho 1ª safra'!$E60:INDEX('Milho 1ª safra'!$E60:$Z60,MIN(AQ$6-$E$3,22))),0))-IF($G$2,0,IF((AQ$6-$G$3)&lt;1,0,IFERROR(LOOKUP(2,1/('Milho 1ª safra'!$E60:INDEX('Milho 1ª safra'!$E60:$Z60,MIN(AQ$6-$G$3,22))&lt;&gt;""),'Milho 1ª safra'!$E60:INDEX('Milho 1ª safra'!$E60:$Z60,MIN(AQ$6-$G$3,22))),0)))))</f>
        <v>0</v>
      </c>
      <c r="AR62" s="27" t="n">
        <f aca="false">IF(COUNT('Milho 1ª safra'!$E60:$Z60)=0,0,MAX(0,IF((AR$6-$E$3)&lt;1,0,IFERROR(LOOKUP(2,1/('Milho 1ª safra'!$E60:INDEX('Milho 1ª safra'!$E60:$Z60,MIN(AR$6-$E$3,22))&lt;&gt;""),'Milho 1ª safra'!$E60:INDEX('Milho 1ª safra'!$E60:$Z60,MIN(AR$6-$E$3,22))),0))-IF($G$2,0,IF((AR$6-$G$3)&lt;1,0,IFERROR(LOOKUP(2,1/('Milho 1ª safra'!$E60:INDEX('Milho 1ª safra'!$E60:$Z60,MIN(AR$6-$G$3,22))&lt;&gt;""),'Milho 1ª safra'!$E60:INDEX('Milho 1ª safra'!$E60:$Z60,MIN(AR$6-$G$3,22))),0)))))</f>
        <v>0</v>
      </c>
      <c r="AS62" s="27" t="n">
        <f aca="false">IF(COUNT('Milho 1ª safra'!$E60:$Z60)=0,0,MAX(0,IF((AS$6-$E$3)&lt;1,0,IFERROR(LOOKUP(2,1/('Milho 1ª safra'!$E60:INDEX('Milho 1ª safra'!$E60:$Z60,MIN(AS$6-$E$3,22))&lt;&gt;""),'Milho 1ª safra'!$E60:INDEX('Milho 1ª safra'!$E60:$Z60,MIN(AS$6-$E$3,22))),0))-IF($G$2,0,IF((AS$6-$G$3)&lt;1,0,IFERROR(LOOKUP(2,1/('Milho 1ª safra'!$E60:INDEX('Milho 1ª safra'!$E60:$Z60,MIN(AS$6-$G$3,22))&lt;&gt;""),'Milho 1ª safra'!$E60:INDEX('Milho 1ª safra'!$E60:$Z60,MIN(AS$6-$G$3,22))),0)))))</f>
        <v>0</v>
      </c>
      <c r="AT62" s="27" t="n">
        <f aca="false">IF(COUNT('Milho 1ª safra'!$E60:$Z60)=0,0,MAX(0,IF((AT$6-$E$3)&lt;1,0,IFERROR(LOOKUP(2,1/('Milho 1ª safra'!$E60:INDEX('Milho 1ª safra'!$E60:$Z60,MIN(AT$6-$E$3,22))&lt;&gt;""),'Milho 1ª safra'!$E60:INDEX('Milho 1ª safra'!$E60:$Z60,MIN(AT$6-$E$3,22))),0))-IF($G$2,0,IF((AT$6-$G$3)&lt;1,0,IFERROR(LOOKUP(2,1/('Milho 1ª safra'!$E60:INDEX('Milho 1ª safra'!$E60:$Z60,MIN(AT$6-$G$3,22))&lt;&gt;""),'Milho 1ª safra'!$E60:INDEX('Milho 1ª safra'!$E60:$Z60,MIN(AT$6-$G$3,22))),0)))))</f>
        <v>0</v>
      </c>
      <c r="AU62" s="27" t="n">
        <f aca="false">IF(COUNT('Milho 1ª safra'!$E60:$Z60)=0,0,MAX(0,IF((AU$6-$E$3)&lt;1,0,IFERROR(LOOKUP(2,1/('Milho 1ª safra'!$E60:INDEX('Milho 1ª safra'!$E60:$Z60,MIN(AU$6-$E$3,22))&lt;&gt;""),'Milho 1ª safra'!$E60:INDEX('Milho 1ª safra'!$E60:$Z60,MIN(AU$6-$E$3,22))),0))-IF($G$2,0,IF((AU$6-$G$3)&lt;1,0,IFERROR(LOOKUP(2,1/('Milho 1ª safra'!$E60:INDEX('Milho 1ª safra'!$E60:$Z60,MIN(AU$6-$G$3,22))&lt;&gt;""),'Milho 1ª safra'!$E60:INDEX('Milho 1ª safra'!$E60:$Z60,MIN(AU$6-$G$3,22))),0)))))</f>
        <v>0</v>
      </c>
      <c r="AV62" s="27" t="n">
        <f aca="false">IF(COUNT('Milho 1ª safra'!$E60:$Z60)=0,0,MAX(0,IF((AV$6-$E$3)&lt;1,0,IFERROR(LOOKUP(2,1/('Milho 1ª safra'!$E60:INDEX('Milho 1ª safra'!$E60:$Z60,MIN(AV$6-$E$3,22))&lt;&gt;""),'Milho 1ª safra'!$E60:INDEX('Milho 1ª safra'!$E60:$Z60,MIN(AV$6-$E$3,22))),0))-IF($G$2,0,IF((AV$6-$G$3)&lt;1,0,IFERROR(LOOKUP(2,1/('Milho 1ª safra'!$E60:INDEX('Milho 1ª safra'!$E60:$Z60,MIN(AV$6-$G$3,22))&lt;&gt;""),'Milho 1ª safra'!$E60:INDEX('Milho 1ª safra'!$E60:$Z60,MIN(AV$6-$G$3,22))),0)))))</f>
        <v>0</v>
      </c>
      <c r="AW62" s="27" t="n">
        <f aca="false">IF(COUNT('Milho 1ª safra'!$E60:$Z60)=0,0,MAX(0,IF((AW$6-$E$3)&lt;1,0,IFERROR(LOOKUP(2,1/('Milho 1ª safra'!$E60:INDEX('Milho 1ª safra'!$E60:$Z60,MIN(AW$6-$E$3,22))&lt;&gt;""),'Milho 1ª safra'!$E60:INDEX('Milho 1ª safra'!$E60:$Z60,MIN(AW$6-$E$3,22))),0))-IF($G$2,0,IF((AW$6-$G$3)&lt;1,0,IFERROR(LOOKUP(2,1/('Milho 1ª safra'!$E60:INDEX('Milho 1ª safra'!$E60:$Z60,MIN(AW$6-$G$3,22))&lt;&gt;""),'Milho 1ª safra'!$E60:INDEX('Milho 1ª safra'!$E60:$Z60,MIN(AW$6-$G$3,22))),0)))))</f>
        <v>0</v>
      </c>
      <c r="AX62" s="27" t="n">
        <f aca="false">IF(COUNT('Milho 1ª safra'!$E60:$Z60)=0,0,MAX(0,IF((AX$6-$E$3)&lt;1,0,IFERROR(LOOKUP(2,1/('Milho 1ª safra'!$E60:INDEX('Milho 1ª safra'!$E60:$Z60,MIN(AX$6-$E$3,22))&lt;&gt;""),'Milho 1ª safra'!$E60:INDEX('Milho 1ª safra'!$E60:$Z60,MIN(AX$6-$E$3,22))),0))-IF($G$2,0,IF((AX$6-$G$3)&lt;1,0,IFERROR(LOOKUP(2,1/('Milho 1ª safra'!$E60:INDEX('Milho 1ª safra'!$E60:$Z60,MIN(AX$6-$G$3,22))&lt;&gt;""),'Milho 1ª safra'!$E60:INDEX('Milho 1ª safra'!$E60:$Z60,MIN(AX$6-$G$3,22))),0)))))</f>
        <v>0</v>
      </c>
      <c r="AY62" s="27" t="n">
        <f aca="false">IF(COUNT('Milho 1ª safra'!$E60:$Z60)=0,0,MAX(0,IF((AY$6-$E$3)&lt;1,0,IFERROR(LOOKUP(2,1/('Milho 1ª safra'!$E60:INDEX('Milho 1ª safra'!$E60:$Z60,MIN(AY$6-$E$3,22))&lt;&gt;""),'Milho 1ª safra'!$E60:INDEX('Milho 1ª safra'!$E60:$Z60,MIN(AY$6-$E$3,22))),0))-IF($G$2,0,IF((AY$6-$G$3)&lt;1,0,IFERROR(LOOKUP(2,1/('Milho 1ª safra'!$E60:INDEX('Milho 1ª safra'!$E60:$Z60,MIN(AY$6-$G$3,22))&lt;&gt;""),'Milho 1ª safra'!$E60:INDEX('Milho 1ª safra'!$E60:$Z60,MIN(AY$6-$G$3,22))),0)))))</f>
        <v>0</v>
      </c>
      <c r="AZ62" s="27" t="n">
        <f aca="false">IF(COUNT('Milho 1ª safra'!$E60:$Z60)=0,0,MAX(0,IF((AZ$6-$E$3)&lt;1,0,IFERROR(LOOKUP(2,1/('Milho 1ª safra'!$E60:INDEX('Milho 1ª safra'!$E60:$Z60,MIN(AZ$6-$E$3,22))&lt;&gt;""),'Milho 1ª safra'!$E60:INDEX('Milho 1ª safra'!$E60:$Z60,MIN(AZ$6-$E$3,22))),0))-IF($G$2,0,IF((AZ$6-$G$3)&lt;1,0,IFERROR(LOOKUP(2,1/('Milho 1ª safra'!$E60:INDEX('Milho 1ª safra'!$E60:$Z60,MIN(AZ$6-$G$3,22))&lt;&gt;""),'Milho 1ª safra'!$E60:INDEX('Milho 1ª safra'!$E60:$Z60,MIN(AZ$6-$G$3,22))),0)))))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IF(COUNT('Milho 1ª safra'!$E61:$Z61)&gt;0,N('Milho 1ª safra'!$D61),0)</f>
        <v>0</v>
      </c>
      <c r="E63" s="27" t="n">
        <f aca="false">IF(COUNT('Milho 1ª safra'!$E61:$Z61)=0,0,MAX(0,IF((E$6-$E$3)&lt;1,0,IFERROR(LOOKUP(2,1/('Milho 1ª safra'!$E61:INDEX('Milho 1ª safra'!$E61:$Z61,MIN(E$6-$E$3,22))&lt;&gt;""),'Milho 1ª safra'!$E61:INDEX('Milho 1ª safra'!$E61:$Z61,MIN(E$6-$E$3,22))),0))-IF($G$2,0,IF((E$6-$G$3)&lt;1,0,IFERROR(LOOKUP(2,1/('Milho 1ª safra'!$E61:INDEX('Milho 1ª safra'!$E61:$Z61,MIN(E$6-$G$3,22))&lt;&gt;""),'Milho 1ª safra'!$E61:INDEX('Milho 1ª safra'!$E61:$Z61,MIN(E$6-$G$3,22))),0)))))</f>
        <v>0</v>
      </c>
      <c r="F63" s="27" t="n">
        <f aca="false">IF(COUNT('Milho 1ª safra'!$E61:$Z61)=0,0,MAX(0,IF((F$6-$E$3)&lt;1,0,IFERROR(LOOKUP(2,1/('Milho 1ª safra'!$E61:INDEX('Milho 1ª safra'!$E61:$Z61,MIN(F$6-$E$3,22))&lt;&gt;""),'Milho 1ª safra'!$E61:INDEX('Milho 1ª safra'!$E61:$Z61,MIN(F$6-$E$3,22))),0))-IF($G$2,0,IF((F$6-$G$3)&lt;1,0,IFERROR(LOOKUP(2,1/('Milho 1ª safra'!$E61:INDEX('Milho 1ª safra'!$E61:$Z61,MIN(F$6-$G$3,22))&lt;&gt;""),'Milho 1ª safra'!$E61:INDEX('Milho 1ª safra'!$E61:$Z61,MIN(F$6-$G$3,22))),0)))))</f>
        <v>0</v>
      </c>
      <c r="G63" s="27" t="n">
        <f aca="false">IF(COUNT('Milho 1ª safra'!$E61:$Z61)=0,0,MAX(0,IF((G$6-$E$3)&lt;1,0,IFERROR(LOOKUP(2,1/('Milho 1ª safra'!$E61:INDEX('Milho 1ª safra'!$E61:$Z61,MIN(G$6-$E$3,22))&lt;&gt;""),'Milho 1ª safra'!$E61:INDEX('Milho 1ª safra'!$E61:$Z61,MIN(G$6-$E$3,22))),0))-IF($G$2,0,IF((G$6-$G$3)&lt;1,0,IFERROR(LOOKUP(2,1/('Milho 1ª safra'!$E61:INDEX('Milho 1ª safra'!$E61:$Z61,MIN(G$6-$G$3,22))&lt;&gt;""),'Milho 1ª safra'!$E61:INDEX('Milho 1ª safra'!$E61:$Z61,MIN(G$6-$G$3,22))),0)))))</f>
        <v>0</v>
      </c>
      <c r="H63" s="27" t="n">
        <f aca="false">IF(COUNT('Milho 1ª safra'!$E61:$Z61)=0,0,MAX(0,IF((H$6-$E$3)&lt;1,0,IFERROR(LOOKUP(2,1/('Milho 1ª safra'!$E61:INDEX('Milho 1ª safra'!$E61:$Z61,MIN(H$6-$E$3,22))&lt;&gt;""),'Milho 1ª safra'!$E61:INDEX('Milho 1ª safra'!$E61:$Z61,MIN(H$6-$E$3,22))),0))-IF($G$2,0,IF((H$6-$G$3)&lt;1,0,IFERROR(LOOKUP(2,1/('Milho 1ª safra'!$E61:INDEX('Milho 1ª safra'!$E61:$Z61,MIN(H$6-$G$3,22))&lt;&gt;""),'Milho 1ª safra'!$E61:INDEX('Milho 1ª safra'!$E61:$Z61,MIN(H$6-$G$3,22))),0)))))</f>
        <v>0</v>
      </c>
      <c r="I63" s="27" t="n">
        <f aca="false">IF(COUNT('Milho 1ª safra'!$E61:$Z61)=0,0,MAX(0,IF((I$6-$E$3)&lt;1,0,IFERROR(LOOKUP(2,1/('Milho 1ª safra'!$E61:INDEX('Milho 1ª safra'!$E61:$Z61,MIN(I$6-$E$3,22))&lt;&gt;""),'Milho 1ª safra'!$E61:INDEX('Milho 1ª safra'!$E61:$Z61,MIN(I$6-$E$3,22))),0))-IF($G$2,0,IF((I$6-$G$3)&lt;1,0,IFERROR(LOOKUP(2,1/('Milho 1ª safra'!$E61:INDEX('Milho 1ª safra'!$E61:$Z61,MIN(I$6-$G$3,22))&lt;&gt;""),'Milho 1ª safra'!$E61:INDEX('Milho 1ª safra'!$E61:$Z61,MIN(I$6-$G$3,22))),0)))))</f>
        <v>0</v>
      </c>
      <c r="J63" s="27" t="n">
        <f aca="false">IF(COUNT('Milho 1ª safra'!$E61:$Z61)=0,0,MAX(0,IF((J$6-$E$3)&lt;1,0,IFERROR(LOOKUP(2,1/('Milho 1ª safra'!$E61:INDEX('Milho 1ª safra'!$E61:$Z61,MIN(J$6-$E$3,22))&lt;&gt;""),'Milho 1ª safra'!$E61:INDEX('Milho 1ª safra'!$E61:$Z61,MIN(J$6-$E$3,22))),0))-IF($G$2,0,IF((J$6-$G$3)&lt;1,0,IFERROR(LOOKUP(2,1/('Milho 1ª safra'!$E61:INDEX('Milho 1ª safra'!$E61:$Z61,MIN(J$6-$G$3,22))&lt;&gt;""),'Milho 1ª safra'!$E61:INDEX('Milho 1ª safra'!$E61:$Z61,MIN(J$6-$G$3,22))),0)))))</f>
        <v>0</v>
      </c>
      <c r="K63" s="27" t="n">
        <f aca="false">IF(COUNT('Milho 1ª safra'!$E61:$Z61)=0,0,MAX(0,IF((K$6-$E$3)&lt;1,0,IFERROR(LOOKUP(2,1/('Milho 1ª safra'!$E61:INDEX('Milho 1ª safra'!$E61:$Z61,MIN(K$6-$E$3,22))&lt;&gt;""),'Milho 1ª safra'!$E61:INDEX('Milho 1ª safra'!$E61:$Z61,MIN(K$6-$E$3,22))),0))-IF($G$2,0,IF((K$6-$G$3)&lt;1,0,IFERROR(LOOKUP(2,1/('Milho 1ª safra'!$E61:INDEX('Milho 1ª safra'!$E61:$Z61,MIN(K$6-$G$3,22))&lt;&gt;""),'Milho 1ª safra'!$E61:INDEX('Milho 1ª safra'!$E61:$Z61,MIN(K$6-$G$3,22))),0)))))</f>
        <v>0</v>
      </c>
      <c r="L63" s="27" t="n">
        <f aca="false">IF(COUNT('Milho 1ª safra'!$E61:$Z61)=0,0,MAX(0,IF((L$6-$E$3)&lt;1,0,IFERROR(LOOKUP(2,1/('Milho 1ª safra'!$E61:INDEX('Milho 1ª safra'!$E61:$Z61,MIN(L$6-$E$3,22))&lt;&gt;""),'Milho 1ª safra'!$E61:INDEX('Milho 1ª safra'!$E61:$Z61,MIN(L$6-$E$3,22))),0))-IF($G$2,0,IF((L$6-$G$3)&lt;1,0,IFERROR(LOOKUP(2,1/('Milho 1ª safra'!$E61:INDEX('Milho 1ª safra'!$E61:$Z61,MIN(L$6-$G$3,22))&lt;&gt;""),'Milho 1ª safra'!$E61:INDEX('Milho 1ª safra'!$E61:$Z61,MIN(L$6-$G$3,22))),0)))))</f>
        <v>0</v>
      </c>
      <c r="M63" s="27" t="n">
        <f aca="false">IF(COUNT('Milho 1ª safra'!$E61:$Z61)=0,0,MAX(0,IF((M$6-$E$3)&lt;1,0,IFERROR(LOOKUP(2,1/('Milho 1ª safra'!$E61:INDEX('Milho 1ª safra'!$E61:$Z61,MIN(M$6-$E$3,22))&lt;&gt;""),'Milho 1ª safra'!$E61:INDEX('Milho 1ª safra'!$E61:$Z61,MIN(M$6-$E$3,22))),0))-IF($G$2,0,IF((M$6-$G$3)&lt;1,0,IFERROR(LOOKUP(2,1/('Milho 1ª safra'!$E61:INDEX('Milho 1ª safra'!$E61:$Z61,MIN(M$6-$G$3,22))&lt;&gt;""),'Milho 1ª safra'!$E61:INDEX('Milho 1ª safra'!$E61:$Z61,MIN(M$6-$G$3,22))),0)))))</f>
        <v>0</v>
      </c>
      <c r="N63" s="27" t="n">
        <f aca="false">IF(COUNT('Milho 1ª safra'!$E61:$Z61)=0,0,MAX(0,IF((N$6-$E$3)&lt;1,0,IFERROR(LOOKUP(2,1/('Milho 1ª safra'!$E61:INDEX('Milho 1ª safra'!$E61:$Z61,MIN(N$6-$E$3,22))&lt;&gt;""),'Milho 1ª safra'!$E61:INDEX('Milho 1ª safra'!$E61:$Z61,MIN(N$6-$E$3,22))),0))-IF($G$2,0,IF((N$6-$G$3)&lt;1,0,IFERROR(LOOKUP(2,1/('Milho 1ª safra'!$E61:INDEX('Milho 1ª safra'!$E61:$Z61,MIN(N$6-$G$3,22))&lt;&gt;""),'Milho 1ª safra'!$E61:INDEX('Milho 1ª safra'!$E61:$Z61,MIN(N$6-$G$3,22))),0)))))</f>
        <v>0</v>
      </c>
      <c r="O63" s="27" t="n">
        <f aca="false">IF(COUNT('Milho 1ª safra'!$E61:$Z61)=0,0,MAX(0,IF((O$6-$E$3)&lt;1,0,IFERROR(LOOKUP(2,1/('Milho 1ª safra'!$E61:INDEX('Milho 1ª safra'!$E61:$Z61,MIN(O$6-$E$3,22))&lt;&gt;""),'Milho 1ª safra'!$E61:INDEX('Milho 1ª safra'!$E61:$Z61,MIN(O$6-$E$3,22))),0))-IF($G$2,0,IF((O$6-$G$3)&lt;1,0,IFERROR(LOOKUP(2,1/('Milho 1ª safra'!$E61:INDEX('Milho 1ª safra'!$E61:$Z61,MIN(O$6-$G$3,22))&lt;&gt;""),'Milho 1ª safra'!$E61:INDEX('Milho 1ª safra'!$E61:$Z61,MIN(O$6-$G$3,22))),0)))))</f>
        <v>0</v>
      </c>
      <c r="P63" s="27" t="n">
        <f aca="false">IF(COUNT('Milho 1ª safra'!$E61:$Z61)=0,0,MAX(0,IF((P$6-$E$3)&lt;1,0,IFERROR(LOOKUP(2,1/('Milho 1ª safra'!$E61:INDEX('Milho 1ª safra'!$E61:$Z61,MIN(P$6-$E$3,22))&lt;&gt;""),'Milho 1ª safra'!$E61:INDEX('Milho 1ª safra'!$E61:$Z61,MIN(P$6-$E$3,22))),0))-IF($G$2,0,IF((P$6-$G$3)&lt;1,0,IFERROR(LOOKUP(2,1/('Milho 1ª safra'!$E61:INDEX('Milho 1ª safra'!$E61:$Z61,MIN(P$6-$G$3,22))&lt;&gt;""),'Milho 1ª safra'!$E61:INDEX('Milho 1ª safra'!$E61:$Z61,MIN(P$6-$G$3,22))),0)))))</f>
        <v>0</v>
      </c>
      <c r="Q63" s="27" t="n">
        <f aca="false">IF(COUNT('Milho 1ª safra'!$E61:$Z61)=0,0,MAX(0,IF((Q$6-$E$3)&lt;1,0,IFERROR(LOOKUP(2,1/('Milho 1ª safra'!$E61:INDEX('Milho 1ª safra'!$E61:$Z61,MIN(Q$6-$E$3,22))&lt;&gt;""),'Milho 1ª safra'!$E61:INDEX('Milho 1ª safra'!$E61:$Z61,MIN(Q$6-$E$3,22))),0))-IF($G$2,0,IF((Q$6-$G$3)&lt;1,0,IFERROR(LOOKUP(2,1/('Milho 1ª safra'!$E61:INDEX('Milho 1ª safra'!$E61:$Z61,MIN(Q$6-$G$3,22))&lt;&gt;""),'Milho 1ª safra'!$E61:INDEX('Milho 1ª safra'!$E61:$Z61,MIN(Q$6-$G$3,22))),0)))))</f>
        <v>0</v>
      </c>
      <c r="R63" s="27" t="n">
        <f aca="false">IF(COUNT('Milho 1ª safra'!$E61:$Z61)=0,0,MAX(0,IF((R$6-$E$3)&lt;1,0,IFERROR(LOOKUP(2,1/('Milho 1ª safra'!$E61:INDEX('Milho 1ª safra'!$E61:$Z61,MIN(R$6-$E$3,22))&lt;&gt;""),'Milho 1ª safra'!$E61:INDEX('Milho 1ª safra'!$E61:$Z61,MIN(R$6-$E$3,22))),0))-IF($G$2,0,IF((R$6-$G$3)&lt;1,0,IFERROR(LOOKUP(2,1/('Milho 1ª safra'!$E61:INDEX('Milho 1ª safra'!$E61:$Z61,MIN(R$6-$G$3,22))&lt;&gt;""),'Milho 1ª safra'!$E61:INDEX('Milho 1ª safra'!$E61:$Z61,MIN(R$6-$G$3,22))),0)))))</f>
        <v>0</v>
      </c>
      <c r="S63" s="27" t="n">
        <f aca="false">IF(COUNT('Milho 1ª safra'!$E61:$Z61)=0,0,MAX(0,IF((S$6-$E$3)&lt;1,0,IFERROR(LOOKUP(2,1/('Milho 1ª safra'!$E61:INDEX('Milho 1ª safra'!$E61:$Z61,MIN(S$6-$E$3,22))&lt;&gt;""),'Milho 1ª safra'!$E61:INDEX('Milho 1ª safra'!$E61:$Z61,MIN(S$6-$E$3,22))),0))-IF($G$2,0,IF((S$6-$G$3)&lt;1,0,IFERROR(LOOKUP(2,1/('Milho 1ª safra'!$E61:INDEX('Milho 1ª safra'!$E61:$Z61,MIN(S$6-$G$3,22))&lt;&gt;""),'Milho 1ª safra'!$E61:INDEX('Milho 1ª safra'!$E61:$Z61,MIN(S$6-$G$3,22))),0)))))</f>
        <v>0</v>
      </c>
      <c r="T63" s="27" t="n">
        <f aca="false">IF(COUNT('Milho 1ª safra'!$E61:$Z61)=0,0,MAX(0,IF((T$6-$E$3)&lt;1,0,IFERROR(LOOKUP(2,1/('Milho 1ª safra'!$E61:INDEX('Milho 1ª safra'!$E61:$Z61,MIN(T$6-$E$3,22))&lt;&gt;""),'Milho 1ª safra'!$E61:INDEX('Milho 1ª safra'!$E61:$Z61,MIN(T$6-$E$3,22))),0))-IF($G$2,0,IF((T$6-$G$3)&lt;1,0,IFERROR(LOOKUP(2,1/('Milho 1ª safra'!$E61:INDEX('Milho 1ª safra'!$E61:$Z61,MIN(T$6-$G$3,22))&lt;&gt;""),'Milho 1ª safra'!$E61:INDEX('Milho 1ª safra'!$E61:$Z61,MIN(T$6-$G$3,22))),0)))))</f>
        <v>0</v>
      </c>
      <c r="U63" s="27" t="n">
        <f aca="false">IF(COUNT('Milho 1ª safra'!$E61:$Z61)=0,0,MAX(0,IF((U$6-$E$3)&lt;1,0,IFERROR(LOOKUP(2,1/('Milho 1ª safra'!$E61:INDEX('Milho 1ª safra'!$E61:$Z61,MIN(U$6-$E$3,22))&lt;&gt;""),'Milho 1ª safra'!$E61:INDEX('Milho 1ª safra'!$E61:$Z61,MIN(U$6-$E$3,22))),0))-IF($G$2,0,IF((U$6-$G$3)&lt;1,0,IFERROR(LOOKUP(2,1/('Milho 1ª safra'!$E61:INDEX('Milho 1ª safra'!$E61:$Z61,MIN(U$6-$G$3,22))&lt;&gt;""),'Milho 1ª safra'!$E61:INDEX('Milho 1ª safra'!$E61:$Z61,MIN(U$6-$G$3,22))),0)))))</f>
        <v>0</v>
      </c>
      <c r="V63" s="27" t="n">
        <f aca="false">IF(COUNT('Milho 1ª safra'!$E61:$Z61)=0,0,MAX(0,IF((V$6-$E$3)&lt;1,0,IFERROR(LOOKUP(2,1/('Milho 1ª safra'!$E61:INDEX('Milho 1ª safra'!$E61:$Z61,MIN(V$6-$E$3,22))&lt;&gt;""),'Milho 1ª safra'!$E61:INDEX('Milho 1ª safra'!$E61:$Z61,MIN(V$6-$E$3,22))),0))-IF($G$2,0,IF((V$6-$G$3)&lt;1,0,IFERROR(LOOKUP(2,1/('Milho 1ª safra'!$E61:INDEX('Milho 1ª safra'!$E61:$Z61,MIN(V$6-$G$3,22))&lt;&gt;""),'Milho 1ª safra'!$E61:INDEX('Milho 1ª safra'!$E61:$Z61,MIN(V$6-$G$3,22))),0)))))</f>
        <v>0</v>
      </c>
      <c r="W63" s="27" t="n">
        <f aca="false">IF(COUNT('Milho 1ª safra'!$E61:$Z61)=0,0,MAX(0,IF((W$6-$E$3)&lt;1,0,IFERROR(LOOKUP(2,1/('Milho 1ª safra'!$E61:INDEX('Milho 1ª safra'!$E61:$Z61,MIN(W$6-$E$3,22))&lt;&gt;""),'Milho 1ª safra'!$E61:INDEX('Milho 1ª safra'!$E61:$Z61,MIN(W$6-$E$3,22))),0))-IF($G$2,0,IF((W$6-$G$3)&lt;1,0,IFERROR(LOOKUP(2,1/('Milho 1ª safra'!$E61:INDEX('Milho 1ª safra'!$E61:$Z61,MIN(W$6-$G$3,22))&lt;&gt;""),'Milho 1ª safra'!$E61:INDEX('Milho 1ª safra'!$E61:$Z61,MIN(W$6-$G$3,22))),0)))))</f>
        <v>0</v>
      </c>
      <c r="X63" s="27" t="n">
        <f aca="false">IF(COUNT('Milho 1ª safra'!$E61:$Z61)=0,0,MAX(0,IF((X$6-$E$3)&lt;1,0,IFERROR(LOOKUP(2,1/('Milho 1ª safra'!$E61:INDEX('Milho 1ª safra'!$E61:$Z61,MIN(X$6-$E$3,22))&lt;&gt;""),'Milho 1ª safra'!$E61:INDEX('Milho 1ª safra'!$E61:$Z61,MIN(X$6-$E$3,22))),0))-IF($G$2,0,IF((X$6-$G$3)&lt;1,0,IFERROR(LOOKUP(2,1/('Milho 1ª safra'!$E61:INDEX('Milho 1ª safra'!$E61:$Z61,MIN(X$6-$G$3,22))&lt;&gt;""),'Milho 1ª safra'!$E61:INDEX('Milho 1ª safra'!$E61:$Z61,MIN(X$6-$G$3,22))),0)))))</f>
        <v>0</v>
      </c>
      <c r="Y63" s="27" t="n">
        <f aca="false">IF(COUNT('Milho 1ª safra'!$E61:$Z61)=0,0,MAX(0,IF((Y$6-$E$3)&lt;1,0,IFERROR(LOOKUP(2,1/('Milho 1ª safra'!$E61:INDEX('Milho 1ª safra'!$E61:$Z61,MIN(Y$6-$E$3,22))&lt;&gt;""),'Milho 1ª safra'!$E61:INDEX('Milho 1ª safra'!$E61:$Z61,MIN(Y$6-$E$3,22))),0))-IF($G$2,0,IF((Y$6-$G$3)&lt;1,0,IFERROR(LOOKUP(2,1/('Milho 1ª safra'!$E61:INDEX('Milho 1ª safra'!$E61:$Z61,MIN(Y$6-$G$3,22))&lt;&gt;""),'Milho 1ª safra'!$E61:INDEX('Milho 1ª safra'!$E61:$Z61,MIN(Y$6-$G$3,22))),0)))))</f>
        <v>0</v>
      </c>
      <c r="Z63" s="27" t="n">
        <f aca="false">IF(COUNT('Milho 1ª safra'!$E61:$Z61)=0,0,MAX(0,IF((Z$6-$E$3)&lt;1,0,IFERROR(LOOKUP(2,1/('Milho 1ª safra'!$E61:INDEX('Milho 1ª safra'!$E61:$Z61,MIN(Z$6-$E$3,22))&lt;&gt;""),'Milho 1ª safra'!$E61:INDEX('Milho 1ª safra'!$E61:$Z61,MIN(Z$6-$E$3,22))),0))-IF($G$2,0,IF((Z$6-$G$3)&lt;1,0,IFERROR(LOOKUP(2,1/('Milho 1ª safra'!$E61:INDEX('Milho 1ª safra'!$E61:$Z61,MIN(Z$6-$G$3,22))&lt;&gt;""),'Milho 1ª safra'!$E61:INDEX('Milho 1ª safra'!$E61:$Z61,MIN(Z$6-$G$3,22))),0)))))</f>
        <v>0</v>
      </c>
      <c r="AA63" s="27" t="n">
        <f aca="false">IF(COUNT('Milho 1ª safra'!$E61:$Z61)=0,0,MAX(0,IF((AA$6-$E$3)&lt;1,0,IFERROR(LOOKUP(2,1/('Milho 1ª safra'!$E61:INDEX('Milho 1ª safra'!$E61:$Z61,MIN(AA$6-$E$3,22))&lt;&gt;""),'Milho 1ª safra'!$E61:INDEX('Milho 1ª safra'!$E61:$Z61,MIN(AA$6-$E$3,22))),0))-IF($G$2,0,IF((AA$6-$G$3)&lt;1,0,IFERROR(LOOKUP(2,1/('Milho 1ª safra'!$E61:INDEX('Milho 1ª safra'!$E61:$Z61,MIN(AA$6-$G$3,22))&lt;&gt;""),'Milho 1ª safra'!$E61:INDEX('Milho 1ª safra'!$E61:$Z61,MIN(AA$6-$G$3,22))),0)))))</f>
        <v>0</v>
      </c>
      <c r="AB63" s="27" t="n">
        <f aca="false">IF(COUNT('Milho 1ª safra'!$E61:$Z61)=0,0,MAX(0,IF((AB$6-$E$3)&lt;1,0,IFERROR(LOOKUP(2,1/('Milho 1ª safra'!$E61:INDEX('Milho 1ª safra'!$E61:$Z61,MIN(AB$6-$E$3,22))&lt;&gt;""),'Milho 1ª safra'!$E61:INDEX('Milho 1ª safra'!$E61:$Z61,MIN(AB$6-$E$3,22))),0))-IF($G$2,0,IF((AB$6-$G$3)&lt;1,0,IFERROR(LOOKUP(2,1/('Milho 1ª safra'!$E61:INDEX('Milho 1ª safra'!$E61:$Z61,MIN(AB$6-$G$3,22))&lt;&gt;""),'Milho 1ª safra'!$E61:INDEX('Milho 1ª safra'!$E61:$Z61,MIN(AB$6-$G$3,22))),0)))))</f>
        <v>0</v>
      </c>
      <c r="AC63" s="27" t="n">
        <f aca="false">IF(COUNT('Milho 1ª safra'!$E61:$Z61)=0,0,MAX(0,IF((AC$6-$E$3)&lt;1,0,IFERROR(LOOKUP(2,1/('Milho 1ª safra'!$E61:INDEX('Milho 1ª safra'!$E61:$Z61,MIN(AC$6-$E$3,22))&lt;&gt;""),'Milho 1ª safra'!$E61:INDEX('Milho 1ª safra'!$E61:$Z61,MIN(AC$6-$E$3,22))),0))-IF($G$2,0,IF((AC$6-$G$3)&lt;1,0,IFERROR(LOOKUP(2,1/('Milho 1ª safra'!$E61:INDEX('Milho 1ª safra'!$E61:$Z61,MIN(AC$6-$G$3,22))&lt;&gt;""),'Milho 1ª safra'!$E61:INDEX('Milho 1ª safra'!$E61:$Z61,MIN(AC$6-$G$3,22))),0)))))</f>
        <v>0</v>
      </c>
      <c r="AD63" s="27" t="n">
        <f aca="false">IF(COUNT('Milho 1ª safra'!$E61:$Z61)=0,0,MAX(0,IF((AD$6-$E$3)&lt;1,0,IFERROR(LOOKUP(2,1/('Milho 1ª safra'!$E61:INDEX('Milho 1ª safra'!$E61:$Z61,MIN(AD$6-$E$3,22))&lt;&gt;""),'Milho 1ª safra'!$E61:INDEX('Milho 1ª safra'!$E61:$Z61,MIN(AD$6-$E$3,22))),0))-IF($G$2,0,IF((AD$6-$G$3)&lt;1,0,IFERROR(LOOKUP(2,1/('Milho 1ª safra'!$E61:INDEX('Milho 1ª safra'!$E61:$Z61,MIN(AD$6-$G$3,22))&lt;&gt;""),'Milho 1ª safra'!$E61:INDEX('Milho 1ª safra'!$E61:$Z61,MIN(AD$6-$G$3,22))),0)))))</f>
        <v>0</v>
      </c>
      <c r="AE63" s="27" t="n">
        <f aca="false">IF(COUNT('Milho 1ª safra'!$E61:$Z61)=0,0,MAX(0,IF((AE$6-$E$3)&lt;1,0,IFERROR(LOOKUP(2,1/('Milho 1ª safra'!$E61:INDEX('Milho 1ª safra'!$E61:$Z61,MIN(AE$6-$E$3,22))&lt;&gt;""),'Milho 1ª safra'!$E61:INDEX('Milho 1ª safra'!$E61:$Z61,MIN(AE$6-$E$3,22))),0))-IF($G$2,0,IF((AE$6-$G$3)&lt;1,0,IFERROR(LOOKUP(2,1/('Milho 1ª safra'!$E61:INDEX('Milho 1ª safra'!$E61:$Z61,MIN(AE$6-$G$3,22))&lt;&gt;""),'Milho 1ª safra'!$E61:INDEX('Milho 1ª safra'!$E61:$Z61,MIN(AE$6-$G$3,22))),0)))))</f>
        <v>0</v>
      </c>
      <c r="AF63" s="27" t="n">
        <f aca="false">IF(COUNT('Milho 1ª safra'!$E61:$Z61)=0,0,MAX(0,IF((AF$6-$E$3)&lt;1,0,IFERROR(LOOKUP(2,1/('Milho 1ª safra'!$E61:INDEX('Milho 1ª safra'!$E61:$Z61,MIN(AF$6-$E$3,22))&lt;&gt;""),'Milho 1ª safra'!$E61:INDEX('Milho 1ª safra'!$E61:$Z61,MIN(AF$6-$E$3,22))),0))-IF($G$2,0,IF((AF$6-$G$3)&lt;1,0,IFERROR(LOOKUP(2,1/('Milho 1ª safra'!$E61:INDEX('Milho 1ª safra'!$E61:$Z61,MIN(AF$6-$G$3,22))&lt;&gt;""),'Milho 1ª safra'!$E61:INDEX('Milho 1ª safra'!$E61:$Z61,MIN(AF$6-$G$3,22))),0)))))</f>
        <v>0</v>
      </c>
      <c r="AG63" s="27" t="n">
        <f aca="false">IF(COUNT('Milho 1ª safra'!$E61:$Z61)=0,0,MAX(0,IF((AG$6-$E$3)&lt;1,0,IFERROR(LOOKUP(2,1/('Milho 1ª safra'!$E61:INDEX('Milho 1ª safra'!$E61:$Z61,MIN(AG$6-$E$3,22))&lt;&gt;""),'Milho 1ª safra'!$E61:INDEX('Milho 1ª safra'!$E61:$Z61,MIN(AG$6-$E$3,22))),0))-IF($G$2,0,IF((AG$6-$G$3)&lt;1,0,IFERROR(LOOKUP(2,1/('Milho 1ª safra'!$E61:INDEX('Milho 1ª safra'!$E61:$Z61,MIN(AG$6-$G$3,22))&lt;&gt;""),'Milho 1ª safra'!$E61:INDEX('Milho 1ª safra'!$E61:$Z61,MIN(AG$6-$G$3,22))),0)))))</f>
        <v>0</v>
      </c>
      <c r="AH63" s="27" t="n">
        <f aca="false">IF(COUNT('Milho 1ª safra'!$E61:$Z61)=0,0,MAX(0,IF((AH$6-$E$3)&lt;1,0,IFERROR(LOOKUP(2,1/('Milho 1ª safra'!$E61:INDEX('Milho 1ª safra'!$E61:$Z61,MIN(AH$6-$E$3,22))&lt;&gt;""),'Milho 1ª safra'!$E61:INDEX('Milho 1ª safra'!$E61:$Z61,MIN(AH$6-$E$3,22))),0))-IF($G$2,0,IF((AH$6-$G$3)&lt;1,0,IFERROR(LOOKUP(2,1/('Milho 1ª safra'!$E61:INDEX('Milho 1ª safra'!$E61:$Z61,MIN(AH$6-$G$3,22))&lt;&gt;""),'Milho 1ª safra'!$E61:INDEX('Milho 1ª safra'!$E61:$Z61,MIN(AH$6-$G$3,22))),0)))))</f>
        <v>0</v>
      </c>
      <c r="AI63" s="27" t="n">
        <f aca="false">IF(COUNT('Milho 1ª safra'!$E61:$Z61)=0,0,MAX(0,IF((AI$6-$E$3)&lt;1,0,IFERROR(LOOKUP(2,1/('Milho 1ª safra'!$E61:INDEX('Milho 1ª safra'!$E61:$Z61,MIN(AI$6-$E$3,22))&lt;&gt;""),'Milho 1ª safra'!$E61:INDEX('Milho 1ª safra'!$E61:$Z61,MIN(AI$6-$E$3,22))),0))-IF($G$2,0,IF((AI$6-$G$3)&lt;1,0,IFERROR(LOOKUP(2,1/('Milho 1ª safra'!$E61:INDEX('Milho 1ª safra'!$E61:$Z61,MIN(AI$6-$G$3,22))&lt;&gt;""),'Milho 1ª safra'!$E61:INDEX('Milho 1ª safra'!$E61:$Z61,MIN(AI$6-$G$3,22))),0)))))</f>
        <v>0</v>
      </c>
      <c r="AJ63" s="27" t="n">
        <f aca="false">IF(COUNT('Milho 1ª safra'!$E61:$Z61)=0,0,MAX(0,IF((AJ$6-$E$3)&lt;1,0,IFERROR(LOOKUP(2,1/('Milho 1ª safra'!$E61:INDEX('Milho 1ª safra'!$E61:$Z61,MIN(AJ$6-$E$3,22))&lt;&gt;""),'Milho 1ª safra'!$E61:INDEX('Milho 1ª safra'!$E61:$Z61,MIN(AJ$6-$E$3,22))),0))-IF($G$2,0,IF((AJ$6-$G$3)&lt;1,0,IFERROR(LOOKUP(2,1/('Milho 1ª safra'!$E61:INDEX('Milho 1ª safra'!$E61:$Z61,MIN(AJ$6-$G$3,22))&lt;&gt;""),'Milho 1ª safra'!$E61:INDEX('Milho 1ª safra'!$E61:$Z61,MIN(AJ$6-$G$3,22))),0)))))</f>
        <v>0</v>
      </c>
      <c r="AK63" s="27" t="n">
        <f aca="false">IF(COUNT('Milho 1ª safra'!$E61:$Z61)=0,0,MAX(0,IF((AK$6-$E$3)&lt;1,0,IFERROR(LOOKUP(2,1/('Milho 1ª safra'!$E61:INDEX('Milho 1ª safra'!$E61:$Z61,MIN(AK$6-$E$3,22))&lt;&gt;""),'Milho 1ª safra'!$E61:INDEX('Milho 1ª safra'!$E61:$Z61,MIN(AK$6-$E$3,22))),0))-IF($G$2,0,IF((AK$6-$G$3)&lt;1,0,IFERROR(LOOKUP(2,1/('Milho 1ª safra'!$E61:INDEX('Milho 1ª safra'!$E61:$Z61,MIN(AK$6-$G$3,22))&lt;&gt;""),'Milho 1ª safra'!$E61:INDEX('Milho 1ª safra'!$E61:$Z61,MIN(AK$6-$G$3,22))),0)))))</f>
        <v>0</v>
      </c>
      <c r="AL63" s="27" t="n">
        <f aca="false">IF(COUNT('Milho 1ª safra'!$E61:$Z61)=0,0,MAX(0,IF((AL$6-$E$3)&lt;1,0,IFERROR(LOOKUP(2,1/('Milho 1ª safra'!$E61:INDEX('Milho 1ª safra'!$E61:$Z61,MIN(AL$6-$E$3,22))&lt;&gt;""),'Milho 1ª safra'!$E61:INDEX('Milho 1ª safra'!$E61:$Z61,MIN(AL$6-$E$3,22))),0))-IF($G$2,0,IF((AL$6-$G$3)&lt;1,0,IFERROR(LOOKUP(2,1/('Milho 1ª safra'!$E61:INDEX('Milho 1ª safra'!$E61:$Z61,MIN(AL$6-$G$3,22))&lt;&gt;""),'Milho 1ª safra'!$E61:INDEX('Milho 1ª safra'!$E61:$Z61,MIN(AL$6-$G$3,22))),0)))))</f>
        <v>0</v>
      </c>
      <c r="AM63" s="27" t="n">
        <f aca="false">IF(COUNT('Milho 1ª safra'!$E61:$Z61)=0,0,MAX(0,IF((AM$6-$E$3)&lt;1,0,IFERROR(LOOKUP(2,1/('Milho 1ª safra'!$E61:INDEX('Milho 1ª safra'!$E61:$Z61,MIN(AM$6-$E$3,22))&lt;&gt;""),'Milho 1ª safra'!$E61:INDEX('Milho 1ª safra'!$E61:$Z61,MIN(AM$6-$E$3,22))),0))-IF($G$2,0,IF((AM$6-$G$3)&lt;1,0,IFERROR(LOOKUP(2,1/('Milho 1ª safra'!$E61:INDEX('Milho 1ª safra'!$E61:$Z61,MIN(AM$6-$G$3,22))&lt;&gt;""),'Milho 1ª safra'!$E61:INDEX('Milho 1ª safra'!$E61:$Z61,MIN(AM$6-$G$3,22))),0)))))</f>
        <v>0</v>
      </c>
      <c r="AN63" s="27" t="n">
        <f aca="false">IF(COUNT('Milho 1ª safra'!$E61:$Z61)=0,0,MAX(0,IF((AN$6-$E$3)&lt;1,0,IFERROR(LOOKUP(2,1/('Milho 1ª safra'!$E61:INDEX('Milho 1ª safra'!$E61:$Z61,MIN(AN$6-$E$3,22))&lt;&gt;""),'Milho 1ª safra'!$E61:INDEX('Milho 1ª safra'!$E61:$Z61,MIN(AN$6-$E$3,22))),0))-IF($G$2,0,IF((AN$6-$G$3)&lt;1,0,IFERROR(LOOKUP(2,1/('Milho 1ª safra'!$E61:INDEX('Milho 1ª safra'!$E61:$Z61,MIN(AN$6-$G$3,22))&lt;&gt;""),'Milho 1ª safra'!$E61:INDEX('Milho 1ª safra'!$E61:$Z61,MIN(AN$6-$G$3,22))),0)))))</f>
        <v>0</v>
      </c>
      <c r="AO63" s="27" t="n">
        <f aca="false">IF(COUNT('Milho 1ª safra'!$E61:$Z61)=0,0,MAX(0,IF((AO$6-$E$3)&lt;1,0,IFERROR(LOOKUP(2,1/('Milho 1ª safra'!$E61:INDEX('Milho 1ª safra'!$E61:$Z61,MIN(AO$6-$E$3,22))&lt;&gt;""),'Milho 1ª safra'!$E61:INDEX('Milho 1ª safra'!$E61:$Z61,MIN(AO$6-$E$3,22))),0))-IF($G$2,0,IF((AO$6-$G$3)&lt;1,0,IFERROR(LOOKUP(2,1/('Milho 1ª safra'!$E61:INDEX('Milho 1ª safra'!$E61:$Z61,MIN(AO$6-$G$3,22))&lt;&gt;""),'Milho 1ª safra'!$E61:INDEX('Milho 1ª safra'!$E61:$Z61,MIN(AO$6-$G$3,22))),0)))))</f>
        <v>0</v>
      </c>
      <c r="AP63" s="27" t="n">
        <f aca="false">IF(COUNT('Milho 1ª safra'!$E61:$Z61)=0,0,MAX(0,IF((AP$6-$E$3)&lt;1,0,IFERROR(LOOKUP(2,1/('Milho 1ª safra'!$E61:INDEX('Milho 1ª safra'!$E61:$Z61,MIN(AP$6-$E$3,22))&lt;&gt;""),'Milho 1ª safra'!$E61:INDEX('Milho 1ª safra'!$E61:$Z61,MIN(AP$6-$E$3,22))),0))-IF($G$2,0,IF((AP$6-$G$3)&lt;1,0,IFERROR(LOOKUP(2,1/('Milho 1ª safra'!$E61:INDEX('Milho 1ª safra'!$E61:$Z61,MIN(AP$6-$G$3,22))&lt;&gt;""),'Milho 1ª safra'!$E61:INDEX('Milho 1ª safra'!$E61:$Z61,MIN(AP$6-$G$3,22))),0)))))</f>
        <v>0</v>
      </c>
      <c r="AQ63" s="27" t="n">
        <f aca="false">IF(COUNT('Milho 1ª safra'!$E61:$Z61)=0,0,MAX(0,IF((AQ$6-$E$3)&lt;1,0,IFERROR(LOOKUP(2,1/('Milho 1ª safra'!$E61:INDEX('Milho 1ª safra'!$E61:$Z61,MIN(AQ$6-$E$3,22))&lt;&gt;""),'Milho 1ª safra'!$E61:INDEX('Milho 1ª safra'!$E61:$Z61,MIN(AQ$6-$E$3,22))),0))-IF($G$2,0,IF((AQ$6-$G$3)&lt;1,0,IFERROR(LOOKUP(2,1/('Milho 1ª safra'!$E61:INDEX('Milho 1ª safra'!$E61:$Z61,MIN(AQ$6-$G$3,22))&lt;&gt;""),'Milho 1ª safra'!$E61:INDEX('Milho 1ª safra'!$E61:$Z61,MIN(AQ$6-$G$3,22))),0)))))</f>
        <v>0</v>
      </c>
      <c r="AR63" s="27" t="n">
        <f aca="false">IF(COUNT('Milho 1ª safra'!$E61:$Z61)=0,0,MAX(0,IF((AR$6-$E$3)&lt;1,0,IFERROR(LOOKUP(2,1/('Milho 1ª safra'!$E61:INDEX('Milho 1ª safra'!$E61:$Z61,MIN(AR$6-$E$3,22))&lt;&gt;""),'Milho 1ª safra'!$E61:INDEX('Milho 1ª safra'!$E61:$Z61,MIN(AR$6-$E$3,22))),0))-IF($G$2,0,IF((AR$6-$G$3)&lt;1,0,IFERROR(LOOKUP(2,1/('Milho 1ª safra'!$E61:INDEX('Milho 1ª safra'!$E61:$Z61,MIN(AR$6-$G$3,22))&lt;&gt;""),'Milho 1ª safra'!$E61:INDEX('Milho 1ª safra'!$E61:$Z61,MIN(AR$6-$G$3,22))),0)))))</f>
        <v>0</v>
      </c>
      <c r="AS63" s="27" t="n">
        <f aca="false">IF(COUNT('Milho 1ª safra'!$E61:$Z61)=0,0,MAX(0,IF((AS$6-$E$3)&lt;1,0,IFERROR(LOOKUP(2,1/('Milho 1ª safra'!$E61:INDEX('Milho 1ª safra'!$E61:$Z61,MIN(AS$6-$E$3,22))&lt;&gt;""),'Milho 1ª safra'!$E61:INDEX('Milho 1ª safra'!$E61:$Z61,MIN(AS$6-$E$3,22))),0))-IF($G$2,0,IF((AS$6-$G$3)&lt;1,0,IFERROR(LOOKUP(2,1/('Milho 1ª safra'!$E61:INDEX('Milho 1ª safra'!$E61:$Z61,MIN(AS$6-$G$3,22))&lt;&gt;""),'Milho 1ª safra'!$E61:INDEX('Milho 1ª safra'!$E61:$Z61,MIN(AS$6-$G$3,22))),0)))))</f>
        <v>0</v>
      </c>
      <c r="AT63" s="27" t="n">
        <f aca="false">IF(COUNT('Milho 1ª safra'!$E61:$Z61)=0,0,MAX(0,IF((AT$6-$E$3)&lt;1,0,IFERROR(LOOKUP(2,1/('Milho 1ª safra'!$E61:INDEX('Milho 1ª safra'!$E61:$Z61,MIN(AT$6-$E$3,22))&lt;&gt;""),'Milho 1ª safra'!$E61:INDEX('Milho 1ª safra'!$E61:$Z61,MIN(AT$6-$E$3,22))),0))-IF($G$2,0,IF((AT$6-$G$3)&lt;1,0,IFERROR(LOOKUP(2,1/('Milho 1ª safra'!$E61:INDEX('Milho 1ª safra'!$E61:$Z61,MIN(AT$6-$G$3,22))&lt;&gt;""),'Milho 1ª safra'!$E61:INDEX('Milho 1ª safra'!$E61:$Z61,MIN(AT$6-$G$3,22))),0)))))</f>
        <v>0</v>
      </c>
      <c r="AU63" s="27" t="n">
        <f aca="false">IF(COUNT('Milho 1ª safra'!$E61:$Z61)=0,0,MAX(0,IF((AU$6-$E$3)&lt;1,0,IFERROR(LOOKUP(2,1/('Milho 1ª safra'!$E61:INDEX('Milho 1ª safra'!$E61:$Z61,MIN(AU$6-$E$3,22))&lt;&gt;""),'Milho 1ª safra'!$E61:INDEX('Milho 1ª safra'!$E61:$Z61,MIN(AU$6-$E$3,22))),0))-IF($G$2,0,IF((AU$6-$G$3)&lt;1,0,IFERROR(LOOKUP(2,1/('Milho 1ª safra'!$E61:INDEX('Milho 1ª safra'!$E61:$Z61,MIN(AU$6-$G$3,22))&lt;&gt;""),'Milho 1ª safra'!$E61:INDEX('Milho 1ª safra'!$E61:$Z61,MIN(AU$6-$G$3,22))),0)))))</f>
        <v>0</v>
      </c>
      <c r="AV63" s="27" t="n">
        <f aca="false">IF(COUNT('Milho 1ª safra'!$E61:$Z61)=0,0,MAX(0,IF((AV$6-$E$3)&lt;1,0,IFERROR(LOOKUP(2,1/('Milho 1ª safra'!$E61:INDEX('Milho 1ª safra'!$E61:$Z61,MIN(AV$6-$E$3,22))&lt;&gt;""),'Milho 1ª safra'!$E61:INDEX('Milho 1ª safra'!$E61:$Z61,MIN(AV$6-$E$3,22))),0))-IF($G$2,0,IF((AV$6-$G$3)&lt;1,0,IFERROR(LOOKUP(2,1/('Milho 1ª safra'!$E61:INDEX('Milho 1ª safra'!$E61:$Z61,MIN(AV$6-$G$3,22))&lt;&gt;""),'Milho 1ª safra'!$E61:INDEX('Milho 1ª safra'!$E61:$Z61,MIN(AV$6-$G$3,22))),0)))))</f>
        <v>0</v>
      </c>
      <c r="AW63" s="27" t="n">
        <f aca="false">IF(COUNT('Milho 1ª safra'!$E61:$Z61)=0,0,MAX(0,IF((AW$6-$E$3)&lt;1,0,IFERROR(LOOKUP(2,1/('Milho 1ª safra'!$E61:INDEX('Milho 1ª safra'!$E61:$Z61,MIN(AW$6-$E$3,22))&lt;&gt;""),'Milho 1ª safra'!$E61:INDEX('Milho 1ª safra'!$E61:$Z61,MIN(AW$6-$E$3,22))),0))-IF($G$2,0,IF((AW$6-$G$3)&lt;1,0,IFERROR(LOOKUP(2,1/('Milho 1ª safra'!$E61:INDEX('Milho 1ª safra'!$E61:$Z61,MIN(AW$6-$G$3,22))&lt;&gt;""),'Milho 1ª safra'!$E61:INDEX('Milho 1ª safra'!$E61:$Z61,MIN(AW$6-$G$3,22))),0)))))</f>
        <v>0</v>
      </c>
      <c r="AX63" s="27" t="n">
        <f aca="false">IF(COUNT('Milho 1ª safra'!$E61:$Z61)=0,0,MAX(0,IF((AX$6-$E$3)&lt;1,0,IFERROR(LOOKUP(2,1/('Milho 1ª safra'!$E61:INDEX('Milho 1ª safra'!$E61:$Z61,MIN(AX$6-$E$3,22))&lt;&gt;""),'Milho 1ª safra'!$E61:INDEX('Milho 1ª safra'!$E61:$Z61,MIN(AX$6-$E$3,22))),0))-IF($G$2,0,IF((AX$6-$G$3)&lt;1,0,IFERROR(LOOKUP(2,1/('Milho 1ª safra'!$E61:INDEX('Milho 1ª safra'!$E61:$Z61,MIN(AX$6-$G$3,22))&lt;&gt;""),'Milho 1ª safra'!$E61:INDEX('Milho 1ª safra'!$E61:$Z61,MIN(AX$6-$G$3,22))),0)))))</f>
        <v>0</v>
      </c>
      <c r="AY63" s="27" t="n">
        <f aca="false">IF(COUNT('Milho 1ª safra'!$E61:$Z61)=0,0,MAX(0,IF((AY$6-$E$3)&lt;1,0,IFERROR(LOOKUP(2,1/('Milho 1ª safra'!$E61:INDEX('Milho 1ª safra'!$E61:$Z61,MIN(AY$6-$E$3,22))&lt;&gt;""),'Milho 1ª safra'!$E61:INDEX('Milho 1ª safra'!$E61:$Z61,MIN(AY$6-$E$3,22))),0))-IF($G$2,0,IF((AY$6-$G$3)&lt;1,0,IFERROR(LOOKUP(2,1/('Milho 1ª safra'!$E61:INDEX('Milho 1ª safra'!$E61:$Z61,MIN(AY$6-$G$3,22))&lt;&gt;""),'Milho 1ª safra'!$E61:INDEX('Milho 1ª safra'!$E61:$Z61,MIN(AY$6-$G$3,22))),0)))))</f>
        <v>0</v>
      </c>
      <c r="AZ63" s="27" t="n">
        <f aca="false">IF(COUNT('Milho 1ª safra'!$E61:$Z61)=0,0,MAX(0,IF((AZ$6-$E$3)&lt;1,0,IFERROR(LOOKUP(2,1/('Milho 1ª safra'!$E61:INDEX('Milho 1ª safra'!$E61:$Z61,MIN(AZ$6-$E$3,22))&lt;&gt;""),'Milho 1ª safra'!$E61:INDEX('Milho 1ª safra'!$E61:$Z61,MIN(AZ$6-$E$3,22))),0))-IF($G$2,0,IF((AZ$6-$G$3)&lt;1,0,IFERROR(LOOKUP(2,1/('Milho 1ª safra'!$E61:INDEX('Milho 1ª safra'!$E61:$Z61,MIN(AZ$6-$G$3,22))&lt;&gt;""),'Milho 1ª safra'!$E61:INDEX('Milho 1ª safra'!$E61:$Z61,MIN(AZ$6-$G$3,22))),0)))))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IF(COUNT('Milho 1ª safra'!$E62:$Z62)&gt;0,N('Milho 1ª safra'!$D62),0)</f>
        <v>0</v>
      </c>
      <c r="E64" s="27" t="n">
        <f aca="false">IF(COUNT('Milho 1ª safra'!$E62:$Z62)=0,0,MAX(0,IF((E$6-$E$3)&lt;1,0,IFERROR(LOOKUP(2,1/('Milho 1ª safra'!$E62:INDEX('Milho 1ª safra'!$E62:$Z62,MIN(E$6-$E$3,22))&lt;&gt;""),'Milho 1ª safra'!$E62:INDEX('Milho 1ª safra'!$E62:$Z62,MIN(E$6-$E$3,22))),0))-IF($G$2,0,IF((E$6-$G$3)&lt;1,0,IFERROR(LOOKUP(2,1/('Milho 1ª safra'!$E62:INDEX('Milho 1ª safra'!$E62:$Z62,MIN(E$6-$G$3,22))&lt;&gt;""),'Milho 1ª safra'!$E62:INDEX('Milho 1ª safra'!$E62:$Z62,MIN(E$6-$G$3,22))),0)))))</f>
        <v>0</v>
      </c>
      <c r="F64" s="27" t="n">
        <f aca="false">IF(COUNT('Milho 1ª safra'!$E62:$Z62)=0,0,MAX(0,IF((F$6-$E$3)&lt;1,0,IFERROR(LOOKUP(2,1/('Milho 1ª safra'!$E62:INDEX('Milho 1ª safra'!$E62:$Z62,MIN(F$6-$E$3,22))&lt;&gt;""),'Milho 1ª safra'!$E62:INDEX('Milho 1ª safra'!$E62:$Z62,MIN(F$6-$E$3,22))),0))-IF($G$2,0,IF((F$6-$G$3)&lt;1,0,IFERROR(LOOKUP(2,1/('Milho 1ª safra'!$E62:INDEX('Milho 1ª safra'!$E62:$Z62,MIN(F$6-$G$3,22))&lt;&gt;""),'Milho 1ª safra'!$E62:INDEX('Milho 1ª safra'!$E62:$Z62,MIN(F$6-$G$3,22))),0)))))</f>
        <v>0</v>
      </c>
      <c r="G64" s="27" t="n">
        <f aca="false">IF(COUNT('Milho 1ª safra'!$E62:$Z62)=0,0,MAX(0,IF((G$6-$E$3)&lt;1,0,IFERROR(LOOKUP(2,1/('Milho 1ª safra'!$E62:INDEX('Milho 1ª safra'!$E62:$Z62,MIN(G$6-$E$3,22))&lt;&gt;""),'Milho 1ª safra'!$E62:INDEX('Milho 1ª safra'!$E62:$Z62,MIN(G$6-$E$3,22))),0))-IF($G$2,0,IF((G$6-$G$3)&lt;1,0,IFERROR(LOOKUP(2,1/('Milho 1ª safra'!$E62:INDEX('Milho 1ª safra'!$E62:$Z62,MIN(G$6-$G$3,22))&lt;&gt;""),'Milho 1ª safra'!$E62:INDEX('Milho 1ª safra'!$E62:$Z62,MIN(G$6-$G$3,22))),0)))))</f>
        <v>0</v>
      </c>
      <c r="H64" s="27" t="n">
        <f aca="false">IF(COUNT('Milho 1ª safra'!$E62:$Z62)=0,0,MAX(0,IF((H$6-$E$3)&lt;1,0,IFERROR(LOOKUP(2,1/('Milho 1ª safra'!$E62:INDEX('Milho 1ª safra'!$E62:$Z62,MIN(H$6-$E$3,22))&lt;&gt;""),'Milho 1ª safra'!$E62:INDEX('Milho 1ª safra'!$E62:$Z62,MIN(H$6-$E$3,22))),0))-IF($G$2,0,IF((H$6-$G$3)&lt;1,0,IFERROR(LOOKUP(2,1/('Milho 1ª safra'!$E62:INDEX('Milho 1ª safra'!$E62:$Z62,MIN(H$6-$G$3,22))&lt;&gt;""),'Milho 1ª safra'!$E62:INDEX('Milho 1ª safra'!$E62:$Z62,MIN(H$6-$G$3,22))),0)))))</f>
        <v>0</v>
      </c>
      <c r="I64" s="27" t="n">
        <f aca="false">IF(COUNT('Milho 1ª safra'!$E62:$Z62)=0,0,MAX(0,IF((I$6-$E$3)&lt;1,0,IFERROR(LOOKUP(2,1/('Milho 1ª safra'!$E62:INDEX('Milho 1ª safra'!$E62:$Z62,MIN(I$6-$E$3,22))&lt;&gt;""),'Milho 1ª safra'!$E62:INDEX('Milho 1ª safra'!$E62:$Z62,MIN(I$6-$E$3,22))),0))-IF($G$2,0,IF((I$6-$G$3)&lt;1,0,IFERROR(LOOKUP(2,1/('Milho 1ª safra'!$E62:INDEX('Milho 1ª safra'!$E62:$Z62,MIN(I$6-$G$3,22))&lt;&gt;""),'Milho 1ª safra'!$E62:INDEX('Milho 1ª safra'!$E62:$Z62,MIN(I$6-$G$3,22))),0)))))</f>
        <v>0</v>
      </c>
      <c r="J64" s="27" t="n">
        <f aca="false">IF(COUNT('Milho 1ª safra'!$E62:$Z62)=0,0,MAX(0,IF((J$6-$E$3)&lt;1,0,IFERROR(LOOKUP(2,1/('Milho 1ª safra'!$E62:INDEX('Milho 1ª safra'!$E62:$Z62,MIN(J$6-$E$3,22))&lt;&gt;""),'Milho 1ª safra'!$E62:INDEX('Milho 1ª safra'!$E62:$Z62,MIN(J$6-$E$3,22))),0))-IF($G$2,0,IF((J$6-$G$3)&lt;1,0,IFERROR(LOOKUP(2,1/('Milho 1ª safra'!$E62:INDEX('Milho 1ª safra'!$E62:$Z62,MIN(J$6-$G$3,22))&lt;&gt;""),'Milho 1ª safra'!$E62:INDEX('Milho 1ª safra'!$E62:$Z62,MIN(J$6-$G$3,22))),0)))))</f>
        <v>0</v>
      </c>
      <c r="K64" s="27" t="n">
        <f aca="false">IF(COUNT('Milho 1ª safra'!$E62:$Z62)=0,0,MAX(0,IF((K$6-$E$3)&lt;1,0,IFERROR(LOOKUP(2,1/('Milho 1ª safra'!$E62:INDEX('Milho 1ª safra'!$E62:$Z62,MIN(K$6-$E$3,22))&lt;&gt;""),'Milho 1ª safra'!$E62:INDEX('Milho 1ª safra'!$E62:$Z62,MIN(K$6-$E$3,22))),0))-IF($G$2,0,IF((K$6-$G$3)&lt;1,0,IFERROR(LOOKUP(2,1/('Milho 1ª safra'!$E62:INDEX('Milho 1ª safra'!$E62:$Z62,MIN(K$6-$G$3,22))&lt;&gt;""),'Milho 1ª safra'!$E62:INDEX('Milho 1ª safra'!$E62:$Z62,MIN(K$6-$G$3,22))),0)))))</f>
        <v>0</v>
      </c>
      <c r="L64" s="27" t="n">
        <f aca="false">IF(COUNT('Milho 1ª safra'!$E62:$Z62)=0,0,MAX(0,IF((L$6-$E$3)&lt;1,0,IFERROR(LOOKUP(2,1/('Milho 1ª safra'!$E62:INDEX('Milho 1ª safra'!$E62:$Z62,MIN(L$6-$E$3,22))&lt;&gt;""),'Milho 1ª safra'!$E62:INDEX('Milho 1ª safra'!$E62:$Z62,MIN(L$6-$E$3,22))),0))-IF($G$2,0,IF((L$6-$G$3)&lt;1,0,IFERROR(LOOKUP(2,1/('Milho 1ª safra'!$E62:INDEX('Milho 1ª safra'!$E62:$Z62,MIN(L$6-$G$3,22))&lt;&gt;""),'Milho 1ª safra'!$E62:INDEX('Milho 1ª safra'!$E62:$Z62,MIN(L$6-$G$3,22))),0)))))</f>
        <v>0</v>
      </c>
      <c r="M64" s="27" t="n">
        <f aca="false">IF(COUNT('Milho 1ª safra'!$E62:$Z62)=0,0,MAX(0,IF((M$6-$E$3)&lt;1,0,IFERROR(LOOKUP(2,1/('Milho 1ª safra'!$E62:INDEX('Milho 1ª safra'!$E62:$Z62,MIN(M$6-$E$3,22))&lt;&gt;""),'Milho 1ª safra'!$E62:INDEX('Milho 1ª safra'!$E62:$Z62,MIN(M$6-$E$3,22))),0))-IF($G$2,0,IF((M$6-$G$3)&lt;1,0,IFERROR(LOOKUP(2,1/('Milho 1ª safra'!$E62:INDEX('Milho 1ª safra'!$E62:$Z62,MIN(M$6-$G$3,22))&lt;&gt;""),'Milho 1ª safra'!$E62:INDEX('Milho 1ª safra'!$E62:$Z62,MIN(M$6-$G$3,22))),0)))))</f>
        <v>0</v>
      </c>
      <c r="N64" s="27" t="n">
        <f aca="false">IF(COUNT('Milho 1ª safra'!$E62:$Z62)=0,0,MAX(0,IF((N$6-$E$3)&lt;1,0,IFERROR(LOOKUP(2,1/('Milho 1ª safra'!$E62:INDEX('Milho 1ª safra'!$E62:$Z62,MIN(N$6-$E$3,22))&lt;&gt;""),'Milho 1ª safra'!$E62:INDEX('Milho 1ª safra'!$E62:$Z62,MIN(N$6-$E$3,22))),0))-IF($G$2,0,IF((N$6-$G$3)&lt;1,0,IFERROR(LOOKUP(2,1/('Milho 1ª safra'!$E62:INDEX('Milho 1ª safra'!$E62:$Z62,MIN(N$6-$G$3,22))&lt;&gt;""),'Milho 1ª safra'!$E62:INDEX('Milho 1ª safra'!$E62:$Z62,MIN(N$6-$G$3,22))),0)))))</f>
        <v>0</v>
      </c>
      <c r="O64" s="27" t="n">
        <f aca="false">IF(COUNT('Milho 1ª safra'!$E62:$Z62)=0,0,MAX(0,IF((O$6-$E$3)&lt;1,0,IFERROR(LOOKUP(2,1/('Milho 1ª safra'!$E62:INDEX('Milho 1ª safra'!$E62:$Z62,MIN(O$6-$E$3,22))&lt;&gt;""),'Milho 1ª safra'!$E62:INDEX('Milho 1ª safra'!$E62:$Z62,MIN(O$6-$E$3,22))),0))-IF($G$2,0,IF((O$6-$G$3)&lt;1,0,IFERROR(LOOKUP(2,1/('Milho 1ª safra'!$E62:INDEX('Milho 1ª safra'!$E62:$Z62,MIN(O$6-$G$3,22))&lt;&gt;""),'Milho 1ª safra'!$E62:INDEX('Milho 1ª safra'!$E62:$Z62,MIN(O$6-$G$3,22))),0)))))</f>
        <v>0</v>
      </c>
      <c r="P64" s="27" t="n">
        <f aca="false">IF(COUNT('Milho 1ª safra'!$E62:$Z62)=0,0,MAX(0,IF((P$6-$E$3)&lt;1,0,IFERROR(LOOKUP(2,1/('Milho 1ª safra'!$E62:INDEX('Milho 1ª safra'!$E62:$Z62,MIN(P$6-$E$3,22))&lt;&gt;""),'Milho 1ª safra'!$E62:INDEX('Milho 1ª safra'!$E62:$Z62,MIN(P$6-$E$3,22))),0))-IF($G$2,0,IF((P$6-$G$3)&lt;1,0,IFERROR(LOOKUP(2,1/('Milho 1ª safra'!$E62:INDEX('Milho 1ª safra'!$E62:$Z62,MIN(P$6-$G$3,22))&lt;&gt;""),'Milho 1ª safra'!$E62:INDEX('Milho 1ª safra'!$E62:$Z62,MIN(P$6-$G$3,22))),0)))))</f>
        <v>0</v>
      </c>
      <c r="Q64" s="27" t="n">
        <f aca="false">IF(COUNT('Milho 1ª safra'!$E62:$Z62)=0,0,MAX(0,IF((Q$6-$E$3)&lt;1,0,IFERROR(LOOKUP(2,1/('Milho 1ª safra'!$E62:INDEX('Milho 1ª safra'!$E62:$Z62,MIN(Q$6-$E$3,22))&lt;&gt;""),'Milho 1ª safra'!$E62:INDEX('Milho 1ª safra'!$E62:$Z62,MIN(Q$6-$E$3,22))),0))-IF($G$2,0,IF((Q$6-$G$3)&lt;1,0,IFERROR(LOOKUP(2,1/('Milho 1ª safra'!$E62:INDEX('Milho 1ª safra'!$E62:$Z62,MIN(Q$6-$G$3,22))&lt;&gt;""),'Milho 1ª safra'!$E62:INDEX('Milho 1ª safra'!$E62:$Z62,MIN(Q$6-$G$3,22))),0)))))</f>
        <v>0</v>
      </c>
      <c r="R64" s="27" t="n">
        <f aca="false">IF(COUNT('Milho 1ª safra'!$E62:$Z62)=0,0,MAX(0,IF((R$6-$E$3)&lt;1,0,IFERROR(LOOKUP(2,1/('Milho 1ª safra'!$E62:INDEX('Milho 1ª safra'!$E62:$Z62,MIN(R$6-$E$3,22))&lt;&gt;""),'Milho 1ª safra'!$E62:INDEX('Milho 1ª safra'!$E62:$Z62,MIN(R$6-$E$3,22))),0))-IF($G$2,0,IF((R$6-$G$3)&lt;1,0,IFERROR(LOOKUP(2,1/('Milho 1ª safra'!$E62:INDEX('Milho 1ª safra'!$E62:$Z62,MIN(R$6-$G$3,22))&lt;&gt;""),'Milho 1ª safra'!$E62:INDEX('Milho 1ª safra'!$E62:$Z62,MIN(R$6-$G$3,22))),0)))))</f>
        <v>0</v>
      </c>
      <c r="S64" s="27" t="n">
        <f aca="false">IF(COUNT('Milho 1ª safra'!$E62:$Z62)=0,0,MAX(0,IF((S$6-$E$3)&lt;1,0,IFERROR(LOOKUP(2,1/('Milho 1ª safra'!$E62:INDEX('Milho 1ª safra'!$E62:$Z62,MIN(S$6-$E$3,22))&lt;&gt;""),'Milho 1ª safra'!$E62:INDEX('Milho 1ª safra'!$E62:$Z62,MIN(S$6-$E$3,22))),0))-IF($G$2,0,IF((S$6-$G$3)&lt;1,0,IFERROR(LOOKUP(2,1/('Milho 1ª safra'!$E62:INDEX('Milho 1ª safra'!$E62:$Z62,MIN(S$6-$G$3,22))&lt;&gt;""),'Milho 1ª safra'!$E62:INDEX('Milho 1ª safra'!$E62:$Z62,MIN(S$6-$G$3,22))),0)))))</f>
        <v>0</v>
      </c>
      <c r="T64" s="27" t="n">
        <f aca="false">IF(COUNT('Milho 1ª safra'!$E62:$Z62)=0,0,MAX(0,IF((T$6-$E$3)&lt;1,0,IFERROR(LOOKUP(2,1/('Milho 1ª safra'!$E62:INDEX('Milho 1ª safra'!$E62:$Z62,MIN(T$6-$E$3,22))&lt;&gt;""),'Milho 1ª safra'!$E62:INDEX('Milho 1ª safra'!$E62:$Z62,MIN(T$6-$E$3,22))),0))-IF($G$2,0,IF((T$6-$G$3)&lt;1,0,IFERROR(LOOKUP(2,1/('Milho 1ª safra'!$E62:INDEX('Milho 1ª safra'!$E62:$Z62,MIN(T$6-$G$3,22))&lt;&gt;""),'Milho 1ª safra'!$E62:INDEX('Milho 1ª safra'!$E62:$Z62,MIN(T$6-$G$3,22))),0)))))</f>
        <v>0</v>
      </c>
      <c r="U64" s="27" t="n">
        <f aca="false">IF(COUNT('Milho 1ª safra'!$E62:$Z62)=0,0,MAX(0,IF((U$6-$E$3)&lt;1,0,IFERROR(LOOKUP(2,1/('Milho 1ª safra'!$E62:INDEX('Milho 1ª safra'!$E62:$Z62,MIN(U$6-$E$3,22))&lt;&gt;""),'Milho 1ª safra'!$E62:INDEX('Milho 1ª safra'!$E62:$Z62,MIN(U$6-$E$3,22))),0))-IF($G$2,0,IF((U$6-$G$3)&lt;1,0,IFERROR(LOOKUP(2,1/('Milho 1ª safra'!$E62:INDEX('Milho 1ª safra'!$E62:$Z62,MIN(U$6-$G$3,22))&lt;&gt;""),'Milho 1ª safra'!$E62:INDEX('Milho 1ª safra'!$E62:$Z62,MIN(U$6-$G$3,22))),0)))))</f>
        <v>0</v>
      </c>
      <c r="V64" s="27" t="n">
        <f aca="false">IF(COUNT('Milho 1ª safra'!$E62:$Z62)=0,0,MAX(0,IF((V$6-$E$3)&lt;1,0,IFERROR(LOOKUP(2,1/('Milho 1ª safra'!$E62:INDEX('Milho 1ª safra'!$E62:$Z62,MIN(V$6-$E$3,22))&lt;&gt;""),'Milho 1ª safra'!$E62:INDEX('Milho 1ª safra'!$E62:$Z62,MIN(V$6-$E$3,22))),0))-IF($G$2,0,IF((V$6-$G$3)&lt;1,0,IFERROR(LOOKUP(2,1/('Milho 1ª safra'!$E62:INDEX('Milho 1ª safra'!$E62:$Z62,MIN(V$6-$G$3,22))&lt;&gt;""),'Milho 1ª safra'!$E62:INDEX('Milho 1ª safra'!$E62:$Z62,MIN(V$6-$G$3,22))),0)))))</f>
        <v>0</v>
      </c>
      <c r="W64" s="27" t="n">
        <f aca="false">IF(COUNT('Milho 1ª safra'!$E62:$Z62)=0,0,MAX(0,IF((W$6-$E$3)&lt;1,0,IFERROR(LOOKUP(2,1/('Milho 1ª safra'!$E62:INDEX('Milho 1ª safra'!$E62:$Z62,MIN(W$6-$E$3,22))&lt;&gt;""),'Milho 1ª safra'!$E62:INDEX('Milho 1ª safra'!$E62:$Z62,MIN(W$6-$E$3,22))),0))-IF($G$2,0,IF((W$6-$G$3)&lt;1,0,IFERROR(LOOKUP(2,1/('Milho 1ª safra'!$E62:INDEX('Milho 1ª safra'!$E62:$Z62,MIN(W$6-$G$3,22))&lt;&gt;""),'Milho 1ª safra'!$E62:INDEX('Milho 1ª safra'!$E62:$Z62,MIN(W$6-$G$3,22))),0)))))</f>
        <v>0</v>
      </c>
      <c r="X64" s="27" t="n">
        <f aca="false">IF(COUNT('Milho 1ª safra'!$E62:$Z62)=0,0,MAX(0,IF((X$6-$E$3)&lt;1,0,IFERROR(LOOKUP(2,1/('Milho 1ª safra'!$E62:INDEX('Milho 1ª safra'!$E62:$Z62,MIN(X$6-$E$3,22))&lt;&gt;""),'Milho 1ª safra'!$E62:INDEX('Milho 1ª safra'!$E62:$Z62,MIN(X$6-$E$3,22))),0))-IF($G$2,0,IF((X$6-$G$3)&lt;1,0,IFERROR(LOOKUP(2,1/('Milho 1ª safra'!$E62:INDEX('Milho 1ª safra'!$E62:$Z62,MIN(X$6-$G$3,22))&lt;&gt;""),'Milho 1ª safra'!$E62:INDEX('Milho 1ª safra'!$E62:$Z62,MIN(X$6-$G$3,22))),0)))))</f>
        <v>0</v>
      </c>
      <c r="Y64" s="27" t="n">
        <f aca="false">IF(COUNT('Milho 1ª safra'!$E62:$Z62)=0,0,MAX(0,IF((Y$6-$E$3)&lt;1,0,IFERROR(LOOKUP(2,1/('Milho 1ª safra'!$E62:INDEX('Milho 1ª safra'!$E62:$Z62,MIN(Y$6-$E$3,22))&lt;&gt;""),'Milho 1ª safra'!$E62:INDEX('Milho 1ª safra'!$E62:$Z62,MIN(Y$6-$E$3,22))),0))-IF($G$2,0,IF((Y$6-$G$3)&lt;1,0,IFERROR(LOOKUP(2,1/('Milho 1ª safra'!$E62:INDEX('Milho 1ª safra'!$E62:$Z62,MIN(Y$6-$G$3,22))&lt;&gt;""),'Milho 1ª safra'!$E62:INDEX('Milho 1ª safra'!$E62:$Z62,MIN(Y$6-$G$3,22))),0)))))</f>
        <v>0</v>
      </c>
      <c r="Z64" s="27" t="n">
        <f aca="false">IF(COUNT('Milho 1ª safra'!$E62:$Z62)=0,0,MAX(0,IF((Z$6-$E$3)&lt;1,0,IFERROR(LOOKUP(2,1/('Milho 1ª safra'!$E62:INDEX('Milho 1ª safra'!$E62:$Z62,MIN(Z$6-$E$3,22))&lt;&gt;""),'Milho 1ª safra'!$E62:INDEX('Milho 1ª safra'!$E62:$Z62,MIN(Z$6-$E$3,22))),0))-IF($G$2,0,IF((Z$6-$G$3)&lt;1,0,IFERROR(LOOKUP(2,1/('Milho 1ª safra'!$E62:INDEX('Milho 1ª safra'!$E62:$Z62,MIN(Z$6-$G$3,22))&lt;&gt;""),'Milho 1ª safra'!$E62:INDEX('Milho 1ª safra'!$E62:$Z62,MIN(Z$6-$G$3,22))),0)))))</f>
        <v>0</v>
      </c>
      <c r="AA64" s="27" t="n">
        <f aca="false">IF(COUNT('Milho 1ª safra'!$E62:$Z62)=0,0,MAX(0,IF((AA$6-$E$3)&lt;1,0,IFERROR(LOOKUP(2,1/('Milho 1ª safra'!$E62:INDEX('Milho 1ª safra'!$E62:$Z62,MIN(AA$6-$E$3,22))&lt;&gt;""),'Milho 1ª safra'!$E62:INDEX('Milho 1ª safra'!$E62:$Z62,MIN(AA$6-$E$3,22))),0))-IF($G$2,0,IF((AA$6-$G$3)&lt;1,0,IFERROR(LOOKUP(2,1/('Milho 1ª safra'!$E62:INDEX('Milho 1ª safra'!$E62:$Z62,MIN(AA$6-$G$3,22))&lt;&gt;""),'Milho 1ª safra'!$E62:INDEX('Milho 1ª safra'!$E62:$Z62,MIN(AA$6-$G$3,22))),0)))))</f>
        <v>0</v>
      </c>
      <c r="AB64" s="27" t="n">
        <f aca="false">IF(COUNT('Milho 1ª safra'!$E62:$Z62)=0,0,MAX(0,IF((AB$6-$E$3)&lt;1,0,IFERROR(LOOKUP(2,1/('Milho 1ª safra'!$E62:INDEX('Milho 1ª safra'!$E62:$Z62,MIN(AB$6-$E$3,22))&lt;&gt;""),'Milho 1ª safra'!$E62:INDEX('Milho 1ª safra'!$E62:$Z62,MIN(AB$6-$E$3,22))),0))-IF($G$2,0,IF((AB$6-$G$3)&lt;1,0,IFERROR(LOOKUP(2,1/('Milho 1ª safra'!$E62:INDEX('Milho 1ª safra'!$E62:$Z62,MIN(AB$6-$G$3,22))&lt;&gt;""),'Milho 1ª safra'!$E62:INDEX('Milho 1ª safra'!$E62:$Z62,MIN(AB$6-$G$3,22))),0)))))</f>
        <v>0</v>
      </c>
      <c r="AC64" s="27" t="n">
        <f aca="false">IF(COUNT('Milho 1ª safra'!$E62:$Z62)=0,0,MAX(0,IF((AC$6-$E$3)&lt;1,0,IFERROR(LOOKUP(2,1/('Milho 1ª safra'!$E62:INDEX('Milho 1ª safra'!$E62:$Z62,MIN(AC$6-$E$3,22))&lt;&gt;""),'Milho 1ª safra'!$E62:INDEX('Milho 1ª safra'!$E62:$Z62,MIN(AC$6-$E$3,22))),0))-IF($G$2,0,IF((AC$6-$G$3)&lt;1,0,IFERROR(LOOKUP(2,1/('Milho 1ª safra'!$E62:INDEX('Milho 1ª safra'!$E62:$Z62,MIN(AC$6-$G$3,22))&lt;&gt;""),'Milho 1ª safra'!$E62:INDEX('Milho 1ª safra'!$E62:$Z62,MIN(AC$6-$G$3,22))),0)))))</f>
        <v>0</v>
      </c>
      <c r="AD64" s="27" t="n">
        <f aca="false">IF(COUNT('Milho 1ª safra'!$E62:$Z62)=0,0,MAX(0,IF((AD$6-$E$3)&lt;1,0,IFERROR(LOOKUP(2,1/('Milho 1ª safra'!$E62:INDEX('Milho 1ª safra'!$E62:$Z62,MIN(AD$6-$E$3,22))&lt;&gt;""),'Milho 1ª safra'!$E62:INDEX('Milho 1ª safra'!$E62:$Z62,MIN(AD$6-$E$3,22))),0))-IF($G$2,0,IF((AD$6-$G$3)&lt;1,0,IFERROR(LOOKUP(2,1/('Milho 1ª safra'!$E62:INDEX('Milho 1ª safra'!$E62:$Z62,MIN(AD$6-$G$3,22))&lt;&gt;""),'Milho 1ª safra'!$E62:INDEX('Milho 1ª safra'!$E62:$Z62,MIN(AD$6-$G$3,22))),0)))))</f>
        <v>0</v>
      </c>
      <c r="AE64" s="27" t="n">
        <f aca="false">IF(COUNT('Milho 1ª safra'!$E62:$Z62)=0,0,MAX(0,IF((AE$6-$E$3)&lt;1,0,IFERROR(LOOKUP(2,1/('Milho 1ª safra'!$E62:INDEX('Milho 1ª safra'!$E62:$Z62,MIN(AE$6-$E$3,22))&lt;&gt;""),'Milho 1ª safra'!$E62:INDEX('Milho 1ª safra'!$E62:$Z62,MIN(AE$6-$E$3,22))),0))-IF($G$2,0,IF((AE$6-$G$3)&lt;1,0,IFERROR(LOOKUP(2,1/('Milho 1ª safra'!$E62:INDEX('Milho 1ª safra'!$E62:$Z62,MIN(AE$6-$G$3,22))&lt;&gt;""),'Milho 1ª safra'!$E62:INDEX('Milho 1ª safra'!$E62:$Z62,MIN(AE$6-$G$3,22))),0)))))</f>
        <v>0</v>
      </c>
      <c r="AF64" s="27" t="n">
        <f aca="false">IF(COUNT('Milho 1ª safra'!$E62:$Z62)=0,0,MAX(0,IF((AF$6-$E$3)&lt;1,0,IFERROR(LOOKUP(2,1/('Milho 1ª safra'!$E62:INDEX('Milho 1ª safra'!$E62:$Z62,MIN(AF$6-$E$3,22))&lt;&gt;""),'Milho 1ª safra'!$E62:INDEX('Milho 1ª safra'!$E62:$Z62,MIN(AF$6-$E$3,22))),0))-IF($G$2,0,IF((AF$6-$G$3)&lt;1,0,IFERROR(LOOKUP(2,1/('Milho 1ª safra'!$E62:INDEX('Milho 1ª safra'!$E62:$Z62,MIN(AF$6-$G$3,22))&lt;&gt;""),'Milho 1ª safra'!$E62:INDEX('Milho 1ª safra'!$E62:$Z62,MIN(AF$6-$G$3,22))),0)))))</f>
        <v>0</v>
      </c>
      <c r="AG64" s="27" t="n">
        <f aca="false">IF(COUNT('Milho 1ª safra'!$E62:$Z62)=0,0,MAX(0,IF((AG$6-$E$3)&lt;1,0,IFERROR(LOOKUP(2,1/('Milho 1ª safra'!$E62:INDEX('Milho 1ª safra'!$E62:$Z62,MIN(AG$6-$E$3,22))&lt;&gt;""),'Milho 1ª safra'!$E62:INDEX('Milho 1ª safra'!$E62:$Z62,MIN(AG$6-$E$3,22))),0))-IF($G$2,0,IF((AG$6-$G$3)&lt;1,0,IFERROR(LOOKUP(2,1/('Milho 1ª safra'!$E62:INDEX('Milho 1ª safra'!$E62:$Z62,MIN(AG$6-$G$3,22))&lt;&gt;""),'Milho 1ª safra'!$E62:INDEX('Milho 1ª safra'!$E62:$Z62,MIN(AG$6-$G$3,22))),0)))))</f>
        <v>0</v>
      </c>
      <c r="AH64" s="27" t="n">
        <f aca="false">IF(COUNT('Milho 1ª safra'!$E62:$Z62)=0,0,MAX(0,IF((AH$6-$E$3)&lt;1,0,IFERROR(LOOKUP(2,1/('Milho 1ª safra'!$E62:INDEX('Milho 1ª safra'!$E62:$Z62,MIN(AH$6-$E$3,22))&lt;&gt;""),'Milho 1ª safra'!$E62:INDEX('Milho 1ª safra'!$E62:$Z62,MIN(AH$6-$E$3,22))),0))-IF($G$2,0,IF((AH$6-$G$3)&lt;1,0,IFERROR(LOOKUP(2,1/('Milho 1ª safra'!$E62:INDEX('Milho 1ª safra'!$E62:$Z62,MIN(AH$6-$G$3,22))&lt;&gt;""),'Milho 1ª safra'!$E62:INDEX('Milho 1ª safra'!$E62:$Z62,MIN(AH$6-$G$3,22))),0)))))</f>
        <v>0</v>
      </c>
      <c r="AI64" s="27" t="n">
        <f aca="false">IF(COUNT('Milho 1ª safra'!$E62:$Z62)=0,0,MAX(0,IF((AI$6-$E$3)&lt;1,0,IFERROR(LOOKUP(2,1/('Milho 1ª safra'!$E62:INDEX('Milho 1ª safra'!$E62:$Z62,MIN(AI$6-$E$3,22))&lt;&gt;""),'Milho 1ª safra'!$E62:INDEX('Milho 1ª safra'!$E62:$Z62,MIN(AI$6-$E$3,22))),0))-IF($G$2,0,IF((AI$6-$G$3)&lt;1,0,IFERROR(LOOKUP(2,1/('Milho 1ª safra'!$E62:INDEX('Milho 1ª safra'!$E62:$Z62,MIN(AI$6-$G$3,22))&lt;&gt;""),'Milho 1ª safra'!$E62:INDEX('Milho 1ª safra'!$E62:$Z62,MIN(AI$6-$G$3,22))),0)))))</f>
        <v>0</v>
      </c>
      <c r="AJ64" s="27" t="n">
        <f aca="false">IF(COUNT('Milho 1ª safra'!$E62:$Z62)=0,0,MAX(0,IF((AJ$6-$E$3)&lt;1,0,IFERROR(LOOKUP(2,1/('Milho 1ª safra'!$E62:INDEX('Milho 1ª safra'!$E62:$Z62,MIN(AJ$6-$E$3,22))&lt;&gt;""),'Milho 1ª safra'!$E62:INDEX('Milho 1ª safra'!$E62:$Z62,MIN(AJ$6-$E$3,22))),0))-IF($G$2,0,IF((AJ$6-$G$3)&lt;1,0,IFERROR(LOOKUP(2,1/('Milho 1ª safra'!$E62:INDEX('Milho 1ª safra'!$E62:$Z62,MIN(AJ$6-$G$3,22))&lt;&gt;""),'Milho 1ª safra'!$E62:INDEX('Milho 1ª safra'!$E62:$Z62,MIN(AJ$6-$G$3,22))),0)))))</f>
        <v>0</v>
      </c>
      <c r="AK64" s="27" t="n">
        <f aca="false">IF(COUNT('Milho 1ª safra'!$E62:$Z62)=0,0,MAX(0,IF((AK$6-$E$3)&lt;1,0,IFERROR(LOOKUP(2,1/('Milho 1ª safra'!$E62:INDEX('Milho 1ª safra'!$E62:$Z62,MIN(AK$6-$E$3,22))&lt;&gt;""),'Milho 1ª safra'!$E62:INDEX('Milho 1ª safra'!$E62:$Z62,MIN(AK$6-$E$3,22))),0))-IF($G$2,0,IF((AK$6-$G$3)&lt;1,0,IFERROR(LOOKUP(2,1/('Milho 1ª safra'!$E62:INDEX('Milho 1ª safra'!$E62:$Z62,MIN(AK$6-$G$3,22))&lt;&gt;""),'Milho 1ª safra'!$E62:INDEX('Milho 1ª safra'!$E62:$Z62,MIN(AK$6-$G$3,22))),0)))))</f>
        <v>0</v>
      </c>
      <c r="AL64" s="27" t="n">
        <f aca="false">IF(COUNT('Milho 1ª safra'!$E62:$Z62)=0,0,MAX(0,IF((AL$6-$E$3)&lt;1,0,IFERROR(LOOKUP(2,1/('Milho 1ª safra'!$E62:INDEX('Milho 1ª safra'!$E62:$Z62,MIN(AL$6-$E$3,22))&lt;&gt;""),'Milho 1ª safra'!$E62:INDEX('Milho 1ª safra'!$E62:$Z62,MIN(AL$6-$E$3,22))),0))-IF($G$2,0,IF((AL$6-$G$3)&lt;1,0,IFERROR(LOOKUP(2,1/('Milho 1ª safra'!$E62:INDEX('Milho 1ª safra'!$E62:$Z62,MIN(AL$6-$G$3,22))&lt;&gt;""),'Milho 1ª safra'!$E62:INDEX('Milho 1ª safra'!$E62:$Z62,MIN(AL$6-$G$3,22))),0)))))</f>
        <v>0</v>
      </c>
      <c r="AM64" s="27" t="n">
        <f aca="false">IF(COUNT('Milho 1ª safra'!$E62:$Z62)=0,0,MAX(0,IF((AM$6-$E$3)&lt;1,0,IFERROR(LOOKUP(2,1/('Milho 1ª safra'!$E62:INDEX('Milho 1ª safra'!$E62:$Z62,MIN(AM$6-$E$3,22))&lt;&gt;""),'Milho 1ª safra'!$E62:INDEX('Milho 1ª safra'!$E62:$Z62,MIN(AM$6-$E$3,22))),0))-IF($G$2,0,IF((AM$6-$G$3)&lt;1,0,IFERROR(LOOKUP(2,1/('Milho 1ª safra'!$E62:INDEX('Milho 1ª safra'!$E62:$Z62,MIN(AM$6-$G$3,22))&lt;&gt;""),'Milho 1ª safra'!$E62:INDEX('Milho 1ª safra'!$E62:$Z62,MIN(AM$6-$G$3,22))),0)))))</f>
        <v>0</v>
      </c>
      <c r="AN64" s="27" t="n">
        <f aca="false">IF(COUNT('Milho 1ª safra'!$E62:$Z62)=0,0,MAX(0,IF((AN$6-$E$3)&lt;1,0,IFERROR(LOOKUP(2,1/('Milho 1ª safra'!$E62:INDEX('Milho 1ª safra'!$E62:$Z62,MIN(AN$6-$E$3,22))&lt;&gt;""),'Milho 1ª safra'!$E62:INDEX('Milho 1ª safra'!$E62:$Z62,MIN(AN$6-$E$3,22))),0))-IF($G$2,0,IF((AN$6-$G$3)&lt;1,0,IFERROR(LOOKUP(2,1/('Milho 1ª safra'!$E62:INDEX('Milho 1ª safra'!$E62:$Z62,MIN(AN$6-$G$3,22))&lt;&gt;""),'Milho 1ª safra'!$E62:INDEX('Milho 1ª safra'!$E62:$Z62,MIN(AN$6-$G$3,22))),0)))))</f>
        <v>0</v>
      </c>
      <c r="AO64" s="27" t="n">
        <f aca="false">IF(COUNT('Milho 1ª safra'!$E62:$Z62)=0,0,MAX(0,IF((AO$6-$E$3)&lt;1,0,IFERROR(LOOKUP(2,1/('Milho 1ª safra'!$E62:INDEX('Milho 1ª safra'!$E62:$Z62,MIN(AO$6-$E$3,22))&lt;&gt;""),'Milho 1ª safra'!$E62:INDEX('Milho 1ª safra'!$E62:$Z62,MIN(AO$6-$E$3,22))),0))-IF($G$2,0,IF((AO$6-$G$3)&lt;1,0,IFERROR(LOOKUP(2,1/('Milho 1ª safra'!$E62:INDEX('Milho 1ª safra'!$E62:$Z62,MIN(AO$6-$G$3,22))&lt;&gt;""),'Milho 1ª safra'!$E62:INDEX('Milho 1ª safra'!$E62:$Z62,MIN(AO$6-$G$3,22))),0)))))</f>
        <v>0</v>
      </c>
      <c r="AP64" s="27" t="n">
        <f aca="false">IF(COUNT('Milho 1ª safra'!$E62:$Z62)=0,0,MAX(0,IF((AP$6-$E$3)&lt;1,0,IFERROR(LOOKUP(2,1/('Milho 1ª safra'!$E62:INDEX('Milho 1ª safra'!$E62:$Z62,MIN(AP$6-$E$3,22))&lt;&gt;""),'Milho 1ª safra'!$E62:INDEX('Milho 1ª safra'!$E62:$Z62,MIN(AP$6-$E$3,22))),0))-IF($G$2,0,IF((AP$6-$G$3)&lt;1,0,IFERROR(LOOKUP(2,1/('Milho 1ª safra'!$E62:INDEX('Milho 1ª safra'!$E62:$Z62,MIN(AP$6-$G$3,22))&lt;&gt;""),'Milho 1ª safra'!$E62:INDEX('Milho 1ª safra'!$E62:$Z62,MIN(AP$6-$G$3,22))),0)))))</f>
        <v>0</v>
      </c>
      <c r="AQ64" s="27" t="n">
        <f aca="false">IF(COUNT('Milho 1ª safra'!$E62:$Z62)=0,0,MAX(0,IF((AQ$6-$E$3)&lt;1,0,IFERROR(LOOKUP(2,1/('Milho 1ª safra'!$E62:INDEX('Milho 1ª safra'!$E62:$Z62,MIN(AQ$6-$E$3,22))&lt;&gt;""),'Milho 1ª safra'!$E62:INDEX('Milho 1ª safra'!$E62:$Z62,MIN(AQ$6-$E$3,22))),0))-IF($G$2,0,IF((AQ$6-$G$3)&lt;1,0,IFERROR(LOOKUP(2,1/('Milho 1ª safra'!$E62:INDEX('Milho 1ª safra'!$E62:$Z62,MIN(AQ$6-$G$3,22))&lt;&gt;""),'Milho 1ª safra'!$E62:INDEX('Milho 1ª safra'!$E62:$Z62,MIN(AQ$6-$G$3,22))),0)))))</f>
        <v>0</v>
      </c>
      <c r="AR64" s="27" t="n">
        <f aca="false">IF(COUNT('Milho 1ª safra'!$E62:$Z62)=0,0,MAX(0,IF((AR$6-$E$3)&lt;1,0,IFERROR(LOOKUP(2,1/('Milho 1ª safra'!$E62:INDEX('Milho 1ª safra'!$E62:$Z62,MIN(AR$6-$E$3,22))&lt;&gt;""),'Milho 1ª safra'!$E62:INDEX('Milho 1ª safra'!$E62:$Z62,MIN(AR$6-$E$3,22))),0))-IF($G$2,0,IF((AR$6-$G$3)&lt;1,0,IFERROR(LOOKUP(2,1/('Milho 1ª safra'!$E62:INDEX('Milho 1ª safra'!$E62:$Z62,MIN(AR$6-$G$3,22))&lt;&gt;""),'Milho 1ª safra'!$E62:INDEX('Milho 1ª safra'!$E62:$Z62,MIN(AR$6-$G$3,22))),0)))))</f>
        <v>0</v>
      </c>
      <c r="AS64" s="27" t="n">
        <f aca="false">IF(COUNT('Milho 1ª safra'!$E62:$Z62)=0,0,MAX(0,IF((AS$6-$E$3)&lt;1,0,IFERROR(LOOKUP(2,1/('Milho 1ª safra'!$E62:INDEX('Milho 1ª safra'!$E62:$Z62,MIN(AS$6-$E$3,22))&lt;&gt;""),'Milho 1ª safra'!$E62:INDEX('Milho 1ª safra'!$E62:$Z62,MIN(AS$6-$E$3,22))),0))-IF($G$2,0,IF((AS$6-$G$3)&lt;1,0,IFERROR(LOOKUP(2,1/('Milho 1ª safra'!$E62:INDEX('Milho 1ª safra'!$E62:$Z62,MIN(AS$6-$G$3,22))&lt;&gt;""),'Milho 1ª safra'!$E62:INDEX('Milho 1ª safra'!$E62:$Z62,MIN(AS$6-$G$3,22))),0)))))</f>
        <v>0</v>
      </c>
      <c r="AT64" s="27" t="n">
        <f aca="false">IF(COUNT('Milho 1ª safra'!$E62:$Z62)=0,0,MAX(0,IF((AT$6-$E$3)&lt;1,0,IFERROR(LOOKUP(2,1/('Milho 1ª safra'!$E62:INDEX('Milho 1ª safra'!$E62:$Z62,MIN(AT$6-$E$3,22))&lt;&gt;""),'Milho 1ª safra'!$E62:INDEX('Milho 1ª safra'!$E62:$Z62,MIN(AT$6-$E$3,22))),0))-IF($G$2,0,IF((AT$6-$G$3)&lt;1,0,IFERROR(LOOKUP(2,1/('Milho 1ª safra'!$E62:INDEX('Milho 1ª safra'!$E62:$Z62,MIN(AT$6-$G$3,22))&lt;&gt;""),'Milho 1ª safra'!$E62:INDEX('Milho 1ª safra'!$E62:$Z62,MIN(AT$6-$G$3,22))),0)))))</f>
        <v>0</v>
      </c>
      <c r="AU64" s="27" t="n">
        <f aca="false">IF(COUNT('Milho 1ª safra'!$E62:$Z62)=0,0,MAX(0,IF((AU$6-$E$3)&lt;1,0,IFERROR(LOOKUP(2,1/('Milho 1ª safra'!$E62:INDEX('Milho 1ª safra'!$E62:$Z62,MIN(AU$6-$E$3,22))&lt;&gt;""),'Milho 1ª safra'!$E62:INDEX('Milho 1ª safra'!$E62:$Z62,MIN(AU$6-$E$3,22))),0))-IF($G$2,0,IF((AU$6-$G$3)&lt;1,0,IFERROR(LOOKUP(2,1/('Milho 1ª safra'!$E62:INDEX('Milho 1ª safra'!$E62:$Z62,MIN(AU$6-$G$3,22))&lt;&gt;""),'Milho 1ª safra'!$E62:INDEX('Milho 1ª safra'!$E62:$Z62,MIN(AU$6-$G$3,22))),0)))))</f>
        <v>0</v>
      </c>
      <c r="AV64" s="27" t="n">
        <f aca="false">IF(COUNT('Milho 1ª safra'!$E62:$Z62)=0,0,MAX(0,IF((AV$6-$E$3)&lt;1,0,IFERROR(LOOKUP(2,1/('Milho 1ª safra'!$E62:INDEX('Milho 1ª safra'!$E62:$Z62,MIN(AV$6-$E$3,22))&lt;&gt;""),'Milho 1ª safra'!$E62:INDEX('Milho 1ª safra'!$E62:$Z62,MIN(AV$6-$E$3,22))),0))-IF($G$2,0,IF((AV$6-$G$3)&lt;1,0,IFERROR(LOOKUP(2,1/('Milho 1ª safra'!$E62:INDEX('Milho 1ª safra'!$E62:$Z62,MIN(AV$6-$G$3,22))&lt;&gt;""),'Milho 1ª safra'!$E62:INDEX('Milho 1ª safra'!$E62:$Z62,MIN(AV$6-$G$3,22))),0)))))</f>
        <v>0</v>
      </c>
      <c r="AW64" s="27" t="n">
        <f aca="false">IF(COUNT('Milho 1ª safra'!$E62:$Z62)=0,0,MAX(0,IF((AW$6-$E$3)&lt;1,0,IFERROR(LOOKUP(2,1/('Milho 1ª safra'!$E62:INDEX('Milho 1ª safra'!$E62:$Z62,MIN(AW$6-$E$3,22))&lt;&gt;""),'Milho 1ª safra'!$E62:INDEX('Milho 1ª safra'!$E62:$Z62,MIN(AW$6-$E$3,22))),0))-IF($G$2,0,IF((AW$6-$G$3)&lt;1,0,IFERROR(LOOKUP(2,1/('Milho 1ª safra'!$E62:INDEX('Milho 1ª safra'!$E62:$Z62,MIN(AW$6-$G$3,22))&lt;&gt;""),'Milho 1ª safra'!$E62:INDEX('Milho 1ª safra'!$E62:$Z62,MIN(AW$6-$G$3,22))),0)))))</f>
        <v>0</v>
      </c>
      <c r="AX64" s="27" t="n">
        <f aca="false">IF(COUNT('Milho 1ª safra'!$E62:$Z62)=0,0,MAX(0,IF((AX$6-$E$3)&lt;1,0,IFERROR(LOOKUP(2,1/('Milho 1ª safra'!$E62:INDEX('Milho 1ª safra'!$E62:$Z62,MIN(AX$6-$E$3,22))&lt;&gt;""),'Milho 1ª safra'!$E62:INDEX('Milho 1ª safra'!$E62:$Z62,MIN(AX$6-$E$3,22))),0))-IF($G$2,0,IF((AX$6-$G$3)&lt;1,0,IFERROR(LOOKUP(2,1/('Milho 1ª safra'!$E62:INDEX('Milho 1ª safra'!$E62:$Z62,MIN(AX$6-$G$3,22))&lt;&gt;""),'Milho 1ª safra'!$E62:INDEX('Milho 1ª safra'!$E62:$Z62,MIN(AX$6-$G$3,22))),0)))))</f>
        <v>0</v>
      </c>
      <c r="AY64" s="27" t="n">
        <f aca="false">IF(COUNT('Milho 1ª safra'!$E62:$Z62)=0,0,MAX(0,IF((AY$6-$E$3)&lt;1,0,IFERROR(LOOKUP(2,1/('Milho 1ª safra'!$E62:INDEX('Milho 1ª safra'!$E62:$Z62,MIN(AY$6-$E$3,22))&lt;&gt;""),'Milho 1ª safra'!$E62:INDEX('Milho 1ª safra'!$E62:$Z62,MIN(AY$6-$E$3,22))),0))-IF($G$2,0,IF((AY$6-$G$3)&lt;1,0,IFERROR(LOOKUP(2,1/('Milho 1ª safra'!$E62:INDEX('Milho 1ª safra'!$E62:$Z62,MIN(AY$6-$G$3,22))&lt;&gt;""),'Milho 1ª safra'!$E62:INDEX('Milho 1ª safra'!$E62:$Z62,MIN(AY$6-$G$3,22))),0)))))</f>
        <v>0</v>
      </c>
      <c r="AZ64" s="27" t="n">
        <f aca="false">IF(COUNT('Milho 1ª safra'!$E62:$Z62)=0,0,MAX(0,IF((AZ$6-$E$3)&lt;1,0,IFERROR(LOOKUP(2,1/('Milho 1ª safra'!$E62:INDEX('Milho 1ª safra'!$E62:$Z62,MIN(AZ$6-$E$3,22))&lt;&gt;""),'Milho 1ª safra'!$E62:INDEX('Milho 1ª safra'!$E62:$Z62,MIN(AZ$6-$E$3,22))),0))-IF($G$2,0,IF((AZ$6-$G$3)&lt;1,0,IFERROR(LOOKUP(2,1/('Milho 1ª safra'!$E62:INDEX('Milho 1ª safra'!$E62:$Z62,MIN(AZ$6-$G$3,22))&lt;&gt;""),'Milho 1ª safra'!$E62:INDEX('Milho 1ª safra'!$E62:$Z62,MIN(AZ$6-$G$3,22))),0)))))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IF(COUNT('Milho 1ª safra'!$E63:$Z63)&gt;0,N('Milho 1ª safra'!$D63),0)</f>
        <v>0</v>
      </c>
      <c r="E65" s="27" t="n">
        <f aca="false">IF(COUNT('Milho 1ª safra'!$E63:$Z63)=0,0,MAX(0,IF((E$6-$E$3)&lt;1,0,IFERROR(LOOKUP(2,1/('Milho 1ª safra'!$E63:INDEX('Milho 1ª safra'!$E63:$Z63,MIN(E$6-$E$3,22))&lt;&gt;""),'Milho 1ª safra'!$E63:INDEX('Milho 1ª safra'!$E63:$Z63,MIN(E$6-$E$3,22))),0))-IF($G$2,0,IF((E$6-$G$3)&lt;1,0,IFERROR(LOOKUP(2,1/('Milho 1ª safra'!$E63:INDEX('Milho 1ª safra'!$E63:$Z63,MIN(E$6-$G$3,22))&lt;&gt;""),'Milho 1ª safra'!$E63:INDEX('Milho 1ª safra'!$E63:$Z63,MIN(E$6-$G$3,22))),0)))))</f>
        <v>0</v>
      </c>
      <c r="F65" s="27" t="n">
        <f aca="false">IF(COUNT('Milho 1ª safra'!$E63:$Z63)=0,0,MAX(0,IF((F$6-$E$3)&lt;1,0,IFERROR(LOOKUP(2,1/('Milho 1ª safra'!$E63:INDEX('Milho 1ª safra'!$E63:$Z63,MIN(F$6-$E$3,22))&lt;&gt;""),'Milho 1ª safra'!$E63:INDEX('Milho 1ª safra'!$E63:$Z63,MIN(F$6-$E$3,22))),0))-IF($G$2,0,IF((F$6-$G$3)&lt;1,0,IFERROR(LOOKUP(2,1/('Milho 1ª safra'!$E63:INDEX('Milho 1ª safra'!$E63:$Z63,MIN(F$6-$G$3,22))&lt;&gt;""),'Milho 1ª safra'!$E63:INDEX('Milho 1ª safra'!$E63:$Z63,MIN(F$6-$G$3,22))),0)))))</f>
        <v>0</v>
      </c>
      <c r="G65" s="27" t="n">
        <f aca="false">IF(COUNT('Milho 1ª safra'!$E63:$Z63)=0,0,MAX(0,IF((G$6-$E$3)&lt;1,0,IFERROR(LOOKUP(2,1/('Milho 1ª safra'!$E63:INDEX('Milho 1ª safra'!$E63:$Z63,MIN(G$6-$E$3,22))&lt;&gt;""),'Milho 1ª safra'!$E63:INDEX('Milho 1ª safra'!$E63:$Z63,MIN(G$6-$E$3,22))),0))-IF($G$2,0,IF((G$6-$G$3)&lt;1,0,IFERROR(LOOKUP(2,1/('Milho 1ª safra'!$E63:INDEX('Milho 1ª safra'!$E63:$Z63,MIN(G$6-$G$3,22))&lt;&gt;""),'Milho 1ª safra'!$E63:INDEX('Milho 1ª safra'!$E63:$Z63,MIN(G$6-$G$3,22))),0)))))</f>
        <v>0</v>
      </c>
      <c r="H65" s="27" t="n">
        <f aca="false">IF(COUNT('Milho 1ª safra'!$E63:$Z63)=0,0,MAX(0,IF((H$6-$E$3)&lt;1,0,IFERROR(LOOKUP(2,1/('Milho 1ª safra'!$E63:INDEX('Milho 1ª safra'!$E63:$Z63,MIN(H$6-$E$3,22))&lt;&gt;""),'Milho 1ª safra'!$E63:INDEX('Milho 1ª safra'!$E63:$Z63,MIN(H$6-$E$3,22))),0))-IF($G$2,0,IF((H$6-$G$3)&lt;1,0,IFERROR(LOOKUP(2,1/('Milho 1ª safra'!$E63:INDEX('Milho 1ª safra'!$E63:$Z63,MIN(H$6-$G$3,22))&lt;&gt;""),'Milho 1ª safra'!$E63:INDEX('Milho 1ª safra'!$E63:$Z63,MIN(H$6-$G$3,22))),0)))))</f>
        <v>0</v>
      </c>
      <c r="I65" s="27" t="n">
        <f aca="false">IF(COUNT('Milho 1ª safra'!$E63:$Z63)=0,0,MAX(0,IF((I$6-$E$3)&lt;1,0,IFERROR(LOOKUP(2,1/('Milho 1ª safra'!$E63:INDEX('Milho 1ª safra'!$E63:$Z63,MIN(I$6-$E$3,22))&lt;&gt;""),'Milho 1ª safra'!$E63:INDEX('Milho 1ª safra'!$E63:$Z63,MIN(I$6-$E$3,22))),0))-IF($G$2,0,IF((I$6-$G$3)&lt;1,0,IFERROR(LOOKUP(2,1/('Milho 1ª safra'!$E63:INDEX('Milho 1ª safra'!$E63:$Z63,MIN(I$6-$G$3,22))&lt;&gt;""),'Milho 1ª safra'!$E63:INDEX('Milho 1ª safra'!$E63:$Z63,MIN(I$6-$G$3,22))),0)))))</f>
        <v>0</v>
      </c>
      <c r="J65" s="27" t="n">
        <f aca="false">IF(COUNT('Milho 1ª safra'!$E63:$Z63)=0,0,MAX(0,IF((J$6-$E$3)&lt;1,0,IFERROR(LOOKUP(2,1/('Milho 1ª safra'!$E63:INDEX('Milho 1ª safra'!$E63:$Z63,MIN(J$6-$E$3,22))&lt;&gt;""),'Milho 1ª safra'!$E63:INDEX('Milho 1ª safra'!$E63:$Z63,MIN(J$6-$E$3,22))),0))-IF($G$2,0,IF((J$6-$G$3)&lt;1,0,IFERROR(LOOKUP(2,1/('Milho 1ª safra'!$E63:INDEX('Milho 1ª safra'!$E63:$Z63,MIN(J$6-$G$3,22))&lt;&gt;""),'Milho 1ª safra'!$E63:INDEX('Milho 1ª safra'!$E63:$Z63,MIN(J$6-$G$3,22))),0)))))</f>
        <v>0</v>
      </c>
      <c r="K65" s="27" t="n">
        <f aca="false">IF(COUNT('Milho 1ª safra'!$E63:$Z63)=0,0,MAX(0,IF((K$6-$E$3)&lt;1,0,IFERROR(LOOKUP(2,1/('Milho 1ª safra'!$E63:INDEX('Milho 1ª safra'!$E63:$Z63,MIN(K$6-$E$3,22))&lt;&gt;""),'Milho 1ª safra'!$E63:INDEX('Milho 1ª safra'!$E63:$Z63,MIN(K$6-$E$3,22))),0))-IF($G$2,0,IF((K$6-$G$3)&lt;1,0,IFERROR(LOOKUP(2,1/('Milho 1ª safra'!$E63:INDEX('Milho 1ª safra'!$E63:$Z63,MIN(K$6-$G$3,22))&lt;&gt;""),'Milho 1ª safra'!$E63:INDEX('Milho 1ª safra'!$E63:$Z63,MIN(K$6-$G$3,22))),0)))))</f>
        <v>0</v>
      </c>
      <c r="L65" s="27" t="n">
        <f aca="false">IF(COUNT('Milho 1ª safra'!$E63:$Z63)=0,0,MAX(0,IF((L$6-$E$3)&lt;1,0,IFERROR(LOOKUP(2,1/('Milho 1ª safra'!$E63:INDEX('Milho 1ª safra'!$E63:$Z63,MIN(L$6-$E$3,22))&lt;&gt;""),'Milho 1ª safra'!$E63:INDEX('Milho 1ª safra'!$E63:$Z63,MIN(L$6-$E$3,22))),0))-IF($G$2,0,IF((L$6-$G$3)&lt;1,0,IFERROR(LOOKUP(2,1/('Milho 1ª safra'!$E63:INDEX('Milho 1ª safra'!$E63:$Z63,MIN(L$6-$G$3,22))&lt;&gt;""),'Milho 1ª safra'!$E63:INDEX('Milho 1ª safra'!$E63:$Z63,MIN(L$6-$G$3,22))),0)))))</f>
        <v>0</v>
      </c>
      <c r="M65" s="27" t="n">
        <f aca="false">IF(COUNT('Milho 1ª safra'!$E63:$Z63)=0,0,MAX(0,IF((M$6-$E$3)&lt;1,0,IFERROR(LOOKUP(2,1/('Milho 1ª safra'!$E63:INDEX('Milho 1ª safra'!$E63:$Z63,MIN(M$6-$E$3,22))&lt;&gt;""),'Milho 1ª safra'!$E63:INDEX('Milho 1ª safra'!$E63:$Z63,MIN(M$6-$E$3,22))),0))-IF($G$2,0,IF((M$6-$G$3)&lt;1,0,IFERROR(LOOKUP(2,1/('Milho 1ª safra'!$E63:INDEX('Milho 1ª safra'!$E63:$Z63,MIN(M$6-$G$3,22))&lt;&gt;""),'Milho 1ª safra'!$E63:INDEX('Milho 1ª safra'!$E63:$Z63,MIN(M$6-$G$3,22))),0)))))</f>
        <v>0</v>
      </c>
      <c r="N65" s="27" t="n">
        <f aca="false">IF(COUNT('Milho 1ª safra'!$E63:$Z63)=0,0,MAX(0,IF((N$6-$E$3)&lt;1,0,IFERROR(LOOKUP(2,1/('Milho 1ª safra'!$E63:INDEX('Milho 1ª safra'!$E63:$Z63,MIN(N$6-$E$3,22))&lt;&gt;""),'Milho 1ª safra'!$E63:INDEX('Milho 1ª safra'!$E63:$Z63,MIN(N$6-$E$3,22))),0))-IF($G$2,0,IF((N$6-$G$3)&lt;1,0,IFERROR(LOOKUP(2,1/('Milho 1ª safra'!$E63:INDEX('Milho 1ª safra'!$E63:$Z63,MIN(N$6-$G$3,22))&lt;&gt;""),'Milho 1ª safra'!$E63:INDEX('Milho 1ª safra'!$E63:$Z63,MIN(N$6-$G$3,22))),0)))))</f>
        <v>0</v>
      </c>
      <c r="O65" s="27" t="n">
        <f aca="false">IF(COUNT('Milho 1ª safra'!$E63:$Z63)=0,0,MAX(0,IF((O$6-$E$3)&lt;1,0,IFERROR(LOOKUP(2,1/('Milho 1ª safra'!$E63:INDEX('Milho 1ª safra'!$E63:$Z63,MIN(O$6-$E$3,22))&lt;&gt;""),'Milho 1ª safra'!$E63:INDEX('Milho 1ª safra'!$E63:$Z63,MIN(O$6-$E$3,22))),0))-IF($G$2,0,IF((O$6-$G$3)&lt;1,0,IFERROR(LOOKUP(2,1/('Milho 1ª safra'!$E63:INDEX('Milho 1ª safra'!$E63:$Z63,MIN(O$6-$G$3,22))&lt;&gt;""),'Milho 1ª safra'!$E63:INDEX('Milho 1ª safra'!$E63:$Z63,MIN(O$6-$G$3,22))),0)))))</f>
        <v>0</v>
      </c>
      <c r="P65" s="27" t="n">
        <f aca="false">IF(COUNT('Milho 1ª safra'!$E63:$Z63)=0,0,MAX(0,IF((P$6-$E$3)&lt;1,0,IFERROR(LOOKUP(2,1/('Milho 1ª safra'!$E63:INDEX('Milho 1ª safra'!$E63:$Z63,MIN(P$6-$E$3,22))&lt;&gt;""),'Milho 1ª safra'!$E63:INDEX('Milho 1ª safra'!$E63:$Z63,MIN(P$6-$E$3,22))),0))-IF($G$2,0,IF((P$6-$G$3)&lt;1,0,IFERROR(LOOKUP(2,1/('Milho 1ª safra'!$E63:INDEX('Milho 1ª safra'!$E63:$Z63,MIN(P$6-$G$3,22))&lt;&gt;""),'Milho 1ª safra'!$E63:INDEX('Milho 1ª safra'!$E63:$Z63,MIN(P$6-$G$3,22))),0)))))</f>
        <v>0</v>
      </c>
      <c r="Q65" s="27" t="n">
        <f aca="false">IF(COUNT('Milho 1ª safra'!$E63:$Z63)=0,0,MAX(0,IF((Q$6-$E$3)&lt;1,0,IFERROR(LOOKUP(2,1/('Milho 1ª safra'!$E63:INDEX('Milho 1ª safra'!$E63:$Z63,MIN(Q$6-$E$3,22))&lt;&gt;""),'Milho 1ª safra'!$E63:INDEX('Milho 1ª safra'!$E63:$Z63,MIN(Q$6-$E$3,22))),0))-IF($G$2,0,IF((Q$6-$G$3)&lt;1,0,IFERROR(LOOKUP(2,1/('Milho 1ª safra'!$E63:INDEX('Milho 1ª safra'!$E63:$Z63,MIN(Q$6-$G$3,22))&lt;&gt;""),'Milho 1ª safra'!$E63:INDEX('Milho 1ª safra'!$E63:$Z63,MIN(Q$6-$G$3,22))),0)))))</f>
        <v>0</v>
      </c>
      <c r="R65" s="27" t="n">
        <f aca="false">IF(COUNT('Milho 1ª safra'!$E63:$Z63)=0,0,MAX(0,IF((R$6-$E$3)&lt;1,0,IFERROR(LOOKUP(2,1/('Milho 1ª safra'!$E63:INDEX('Milho 1ª safra'!$E63:$Z63,MIN(R$6-$E$3,22))&lt;&gt;""),'Milho 1ª safra'!$E63:INDEX('Milho 1ª safra'!$E63:$Z63,MIN(R$6-$E$3,22))),0))-IF($G$2,0,IF((R$6-$G$3)&lt;1,0,IFERROR(LOOKUP(2,1/('Milho 1ª safra'!$E63:INDEX('Milho 1ª safra'!$E63:$Z63,MIN(R$6-$G$3,22))&lt;&gt;""),'Milho 1ª safra'!$E63:INDEX('Milho 1ª safra'!$E63:$Z63,MIN(R$6-$G$3,22))),0)))))</f>
        <v>0</v>
      </c>
      <c r="S65" s="27" t="n">
        <f aca="false">IF(COUNT('Milho 1ª safra'!$E63:$Z63)=0,0,MAX(0,IF((S$6-$E$3)&lt;1,0,IFERROR(LOOKUP(2,1/('Milho 1ª safra'!$E63:INDEX('Milho 1ª safra'!$E63:$Z63,MIN(S$6-$E$3,22))&lt;&gt;""),'Milho 1ª safra'!$E63:INDEX('Milho 1ª safra'!$E63:$Z63,MIN(S$6-$E$3,22))),0))-IF($G$2,0,IF((S$6-$G$3)&lt;1,0,IFERROR(LOOKUP(2,1/('Milho 1ª safra'!$E63:INDEX('Milho 1ª safra'!$E63:$Z63,MIN(S$6-$G$3,22))&lt;&gt;""),'Milho 1ª safra'!$E63:INDEX('Milho 1ª safra'!$E63:$Z63,MIN(S$6-$G$3,22))),0)))))</f>
        <v>0</v>
      </c>
      <c r="T65" s="27" t="n">
        <f aca="false">IF(COUNT('Milho 1ª safra'!$E63:$Z63)=0,0,MAX(0,IF((T$6-$E$3)&lt;1,0,IFERROR(LOOKUP(2,1/('Milho 1ª safra'!$E63:INDEX('Milho 1ª safra'!$E63:$Z63,MIN(T$6-$E$3,22))&lt;&gt;""),'Milho 1ª safra'!$E63:INDEX('Milho 1ª safra'!$E63:$Z63,MIN(T$6-$E$3,22))),0))-IF($G$2,0,IF((T$6-$G$3)&lt;1,0,IFERROR(LOOKUP(2,1/('Milho 1ª safra'!$E63:INDEX('Milho 1ª safra'!$E63:$Z63,MIN(T$6-$G$3,22))&lt;&gt;""),'Milho 1ª safra'!$E63:INDEX('Milho 1ª safra'!$E63:$Z63,MIN(T$6-$G$3,22))),0)))))</f>
        <v>0</v>
      </c>
      <c r="U65" s="27" t="n">
        <f aca="false">IF(COUNT('Milho 1ª safra'!$E63:$Z63)=0,0,MAX(0,IF((U$6-$E$3)&lt;1,0,IFERROR(LOOKUP(2,1/('Milho 1ª safra'!$E63:INDEX('Milho 1ª safra'!$E63:$Z63,MIN(U$6-$E$3,22))&lt;&gt;""),'Milho 1ª safra'!$E63:INDEX('Milho 1ª safra'!$E63:$Z63,MIN(U$6-$E$3,22))),0))-IF($G$2,0,IF((U$6-$G$3)&lt;1,0,IFERROR(LOOKUP(2,1/('Milho 1ª safra'!$E63:INDEX('Milho 1ª safra'!$E63:$Z63,MIN(U$6-$G$3,22))&lt;&gt;""),'Milho 1ª safra'!$E63:INDEX('Milho 1ª safra'!$E63:$Z63,MIN(U$6-$G$3,22))),0)))))</f>
        <v>0</v>
      </c>
      <c r="V65" s="27" t="n">
        <f aca="false">IF(COUNT('Milho 1ª safra'!$E63:$Z63)=0,0,MAX(0,IF((V$6-$E$3)&lt;1,0,IFERROR(LOOKUP(2,1/('Milho 1ª safra'!$E63:INDEX('Milho 1ª safra'!$E63:$Z63,MIN(V$6-$E$3,22))&lt;&gt;""),'Milho 1ª safra'!$E63:INDEX('Milho 1ª safra'!$E63:$Z63,MIN(V$6-$E$3,22))),0))-IF($G$2,0,IF((V$6-$G$3)&lt;1,0,IFERROR(LOOKUP(2,1/('Milho 1ª safra'!$E63:INDEX('Milho 1ª safra'!$E63:$Z63,MIN(V$6-$G$3,22))&lt;&gt;""),'Milho 1ª safra'!$E63:INDEX('Milho 1ª safra'!$E63:$Z63,MIN(V$6-$G$3,22))),0)))))</f>
        <v>0</v>
      </c>
      <c r="W65" s="27" t="n">
        <f aca="false">IF(COUNT('Milho 1ª safra'!$E63:$Z63)=0,0,MAX(0,IF((W$6-$E$3)&lt;1,0,IFERROR(LOOKUP(2,1/('Milho 1ª safra'!$E63:INDEX('Milho 1ª safra'!$E63:$Z63,MIN(W$6-$E$3,22))&lt;&gt;""),'Milho 1ª safra'!$E63:INDEX('Milho 1ª safra'!$E63:$Z63,MIN(W$6-$E$3,22))),0))-IF($G$2,0,IF((W$6-$G$3)&lt;1,0,IFERROR(LOOKUP(2,1/('Milho 1ª safra'!$E63:INDEX('Milho 1ª safra'!$E63:$Z63,MIN(W$6-$G$3,22))&lt;&gt;""),'Milho 1ª safra'!$E63:INDEX('Milho 1ª safra'!$E63:$Z63,MIN(W$6-$G$3,22))),0)))))</f>
        <v>0</v>
      </c>
      <c r="X65" s="27" t="n">
        <f aca="false">IF(COUNT('Milho 1ª safra'!$E63:$Z63)=0,0,MAX(0,IF((X$6-$E$3)&lt;1,0,IFERROR(LOOKUP(2,1/('Milho 1ª safra'!$E63:INDEX('Milho 1ª safra'!$E63:$Z63,MIN(X$6-$E$3,22))&lt;&gt;""),'Milho 1ª safra'!$E63:INDEX('Milho 1ª safra'!$E63:$Z63,MIN(X$6-$E$3,22))),0))-IF($G$2,0,IF((X$6-$G$3)&lt;1,0,IFERROR(LOOKUP(2,1/('Milho 1ª safra'!$E63:INDEX('Milho 1ª safra'!$E63:$Z63,MIN(X$6-$G$3,22))&lt;&gt;""),'Milho 1ª safra'!$E63:INDEX('Milho 1ª safra'!$E63:$Z63,MIN(X$6-$G$3,22))),0)))))</f>
        <v>0</v>
      </c>
      <c r="Y65" s="27" t="n">
        <f aca="false">IF(COUNT('Milho 1ª safra'!$E63:$Z63)=0,0,MAX(0,IF((Y$6-$E$3)&lt;1,0,IFERROR(LOOKUP(2,1/('Milho 1ª safra'!$E63:INDEX('Milho 1ª safra'!$E63:$Z63,MIN(Y$6-$E$3,22))&lt;&gt;""),'Milho 1ª safra'!$E63:INDEX('Milho 1ª safra'!$E63:$Z63,MIN(Y$6-$E$3,22))),0))-IF($G$2,0,IF((Y$6-$G$3)&lt;1,0,IFERROR(LOOKUP(2,1/('Milho 1ª safra'!$E63:INDEX('Milho 1ª safra'!$E63:$Z63,MIN(Y$6-$G$3,22))&lt;&gt;""),'Milho 1ª safra'!$E63:INDEX('Milho 1ª safra'!$E63:$Z63,MIN(Y$6-$G$3,22))),0)))))</f>
        <v>0</v>
      </c>
      <c r="Z65" s="27" t="n">
        <f aca="false">IF(COUNT('Milho 1ª safra'!$E63:$Z63)=0,0,MAX(0,IF((Z$6-$E$3)&lt;1,0,IFERROR(LOOKUP(2,1/('Milho 1ª safra'!$E63:INDEX('Milho 1ª safra'!$E63:$Z63,MIN(Z$6-$E$3,22))&lt;&gt;""),'Milho 1ª safra'!$E63:INDEX('Milho 1ª safra'!$E63:$Z63,MIN(Z$6-$E$3,22))),0))-IF($G$2,0,IF((Z$6-$G$3)&lt;1,0,IFERROR(LOOKUP(2,1/('Milho 1ª safra'!$E63:INDEX('Milho 1ª safra'!$E63:$Z63,MIN(Z$6-$G$3,22))&lt;&gt;""),'Milho 1ª safra'!$E63:INDEX('Milho 1ª safra'!$E63:$Z63,MIN(Z$6-$G$3,22))),0)))))</f>
        <v>0</v>
      </c>
      <c r="AA65" s="27" t="n">
        <f aca="false">IF(COUNT('Milho 1ª safra'!$E63:$Z63)=0,0,MAX(0,IF((AA$6-$E$3)&lt;1,0,IFERROR(LOOKUP(2,1/('Milho 1ª safra'!$E63:INDEX('Milho 1ª safra'!$E63:$Z63,MIN(AA$6-$E$3,22))&lt;&gt;""),'Milho 1ª safra'!$E63:INDEX('Milho 1ª safra'!$E63:$Z63,MIN(AA$6-$E$3,22))),0))-IF($G$2,0,IF((AA$6-$G$3)&lt;1,0,IFERROR(LOOKUP(2,1/('Milho 1ª safra'!$E63:INDEX('Milho 1ª safra'!$E63:$Z63,MIN(AA$6-$G$3,22))&lt;&gt;""),'Milho 1ª safra'!$E63:INDEX('Milho 1ª safra'!$E63:$Z63,MIN(AA$6-$G$3,22))),0)))))</f>
        <v>0</v>
      </c>
      <c r="AB65" s="27" t="n">
        <f aca="false">IF(COUNT('Milho 1ª safra'!$E63:$Z63)=0,0,MAX(0,IF((AB$6-$E$3)&lt;1,0,IFERROR(LOOKUP(2,1/('Milho 1ª safra'!$E63:INDEX('Milho 1ª safra'!$E63:$Z63,MIN(AB$6-$E$3,22))&lt;&gt;""),'Milho 1ª safra'!$E63:INDEX('Milho 1ª safra'!$E63:$Z63,MIN(AB$6-$E$3,22))),0))-IF($G$2,0,IF((AB$6-$G$3)&lt;1,0,IFERROR(LOOKUP(2,1/('Milho 1ª safra'!$E63:INDEX('Milho 1ª safra'!$E63:$Z63,MIN(AB$6-$G$3,22))&lt;&gt;""),'Milho 1ª safra'!$E63:INDEX('Milho 1ª safra'!$E63:$Z63,MIN(AB$6-$G$3,22))),0)))))</f>
        <v>0</v>
      </c>
      <c r="AC65" s="27" t="n">
        <f aca="false">IF(COUNT('Milho 1ª safra'!$E63:$Z63)=0,0,MAX(0,IF((AC$6-$E$3)&lt;1,0,IFERROR(LOOKUP(2,1/('Milho 1ª safra'!$E63:INDEX('Milho 1ª safra'!$E63:$Z63,MIN(AC$6-$E$3,22))&lt;&gt;""),'Milho 1ª safra'!$E63:INDEX('Milho 1ª safra'!$E63:$Z63,MIN(AC$6-$E$3,22))),0))-IF($G$2,0,IF((AC$6-$G$3)&lt;1,0,IFERROR(LOOKUP(2,1/('Milho 1ª safra'!$E63:INDEX('Milho 1ª safra'!$E63:$Z63,MIN(AC$6-$G$3,22))&lt;&gt;""),'Milho 1ª safra'!$E63:INDEX('Milho 1ª safra'!$E63:$Z63,MIN(AC$6-$G$3,22))),0)))))</f>
        <v>0</v>
      </c>
      <c r="AD65" s="27" t="n">
        <f aca="false">IF(COUNT('Milho 1ª safra'!$E63:$Z63)=0,0,MAX(0,IF((AD$6-$E$3)&lt;1,0,IFERROR(LOOKUP(2,1/('Milho 1ª safra'!$E63:INDEX('Milho 1ª safra'!$E63:$Z63,MIN(AD$6-$E$3,22))&lt;&gt;""),'Milho 1ª safra'!$E63:INDEX('Milho 1ª safra'!$E63:$Z63,MIN(AD$6-$E$3,22))),0))-IF($G$2,0,IF((AD$6-$G$3)&lt;1,0,IFERROR(LOOKUP(2,1/('Milho 1ª safra'!$E63:INDEX('Milho 1ª safra'!$E63:$Z63,MIN(AD$6-$G$3,22))&lt;&gt;""),'Milho 1ª safra'!$E63:INDEX('Milho 1ª safra'!$E63:$Z63,MIN(AD$6-$G$3,22))),0)))))</f>
        <v>0</v>
      </c>
      <c r="AE65" s="27" t="n">
        <f aca="false">IF(COUNT('Milho 1ª safra'!$E63:$Z63)=0,0,MAX(0,IF((AE$6-$E$3)&lt;1,0,IFERROR(LOOKUP(2,1/('Milho 1ª safra'!$E63:INDEX('Milho 1ª safra'!$E63:$Z63,MIN(AE$6-$E$3,22))&lt;&gt;""),'Milho 1ª safra'!$E63:INDEX('Milho 1ª safra'!$E63:$Z63,MIN(AE$6-$E$3,22))),0))-IF($G$2,0,IF((AE$6-$G$3)&lt;1,0,IFERROR(LOOKUP(2,1/('Milho 1ª safra'!$E63:INDEX('Milho 1ª safra'!$E63:$Z63,MIN(AE$6-$G$3,22))&lt;&gt;""),'Milho 1ª safra'!$E63:INDEX('Milho 1ª safra'!$E63:$Z63,MIN(AE$6-$G$3,22))),0)))))</f>
        <v>0</v>
      </c>
      <c r="AF65" s="27" t="n">
        <f aca="false">IF(COUNT('Milho 1ª safra'!$E63:$Z63)=0,0,MAX(0,IF((AF$6-$E$3)&lt;1,0,IFERROR(LOOKUP(2,1/('Milho 1ª safra'!$E63:INDEX('Milho 1ª safra'!$E63:$Z63,MIN(AF$6-$E$3,22))&lt;&gt;""),'Milho 1ª safra'!$E63:INDEX('Milho 1ª safra'!$E63:$Z63,MIN(AF$6-$E$3,22))),0))-IF($G$2,0,IF((AF$6-$G$3)&lt;1,0,IFERROR(LOOKUP(2,1/('Milho 1ª safra'!$E63:INDEX('Milho 1ª safra'!$E63:$Z63,MIN(AF$6-$G$3,22))&lt;&gt;""),'Milho 1ª safra'!$E63:INDEX('Milho 1ª safra'!$E63:$Z63,MIN(AF$6-$G$3,22))),0)))))</f>
        <v>0</v>
      </c>
      <c r="AG65" s="27" t="n">
        <f aca="false">IF(COUNT('Milho 1ª safra'!$E63:$Z63)=0,0,MAX(0,IF((AG$6-$E$3)&lt;1,0,IFERROR(LOOKUP(2,1/('Milho 1ª safra'!$E63:INDEX('Milho 1ª safra'!$E63:$Z63,MIN(AG$6-$E$3,22))&lt;&gt;""),'Milho 1ª safra'!$E63:INDEX('Milho 1ª safra'!$E63:$Z63,MIN(AG$6-$E$3,22))),0))-IF($G$2,0,IF((AG$6-$G$3)&lt;1,0,IFERROR(LOOKUP(2,1/('Milho 1ª safra'!$E63:INDEX('Milho 1ª safra'!$E63:$Z63,MIN(AG$6-$G$3,22))&lt;&gt;""),'Milho 1ª safra'!$E63:INDEX('Milho 1ª safra'!$E63:$Z63,MIN(AG$6-$G$3,22))),0)))))</f>
        <v>0</v>
      </c>
      <c r="AH65" s="27" t="n">
        <f aca="false">IF(COUNT('Milho 1ª safra'!$E63:$Z63)=0,0,MAX(0,IF((AH$6-$E$3)&lt;1,0,IFERROR(LOOKUP(2,1/('Milho 1ª safra'!$E63:INDEX('Milho 1ª safra'!$E63:$Z63,MIN(AH$6-$E$3,22))&lt;&gt;""),'Milho 1ª safra'!$E63:INDEX('Milho 1ª safra'!$E63:$Z63,MIN(AH$6-$E$3,22))),0))-IF($G$2,0,IF((AH$6-$G$3)&lt;1,0,IFERROR(LOOKUP(2,1/('Milho 1ª safra'!$E63:INDEX('Milho 1ª safra'!$E63:$Z63,MIN(AH$6-$G$3,22))&lt;&gt;""),'Milho 1ª safra'!$E63:INDEX('Milho 1ª safra'!$E63:$Z63,MIN(AH$6-$G$3,22))),0)))))</f>
        <v>0</v>
      </c>
      <c r="AI65" s="27" t="n">
        <f aca="false">IF(COUNT('Milho 1ª safra'!$E63:$Z63)=0,0,MAX(0,IF((AI$6-$E$3)&lt;1,0,IFERROR(LOOKUP(2,1/('Milho 1ª safra'!$E63:INDEX('Milho 1ª safra'!$E63:$Z63,MIN(AI$6-$E$3,22))&lt;&gt;""),'Milho 1ª safra'!$E63:INDEX('Milho 1ª safra'!$E63:$Z63,MIN(AI$6-$E$3,22))),0))-IF($G$2,0,IF((AI$6-$G$3)&lt;1,0,IFERROR(LOOKUP(2,1/('Milho 1ª safra'!$E63:INDEX('Milho 1ª safra'!$E63:$Z63,MIN(AI$6-$G$3,22))&lt;&gt;""),'Milho 1ª safra'!$E63:INDEX('Milho 1ª safra'!$E63:$Z63,MIN(AI$6-$G$3,22))),0)))))</f>
        <v>0</v>
      </c>
      <c r="AJ65" s="27" t="n">
        <f aca="false">IF(COUNT('Milho 1ª safra'!$E63:$Z63)=0,0,MAX(0,IF((AJ$6-$E$3)&lt;1,0,IFERROR(LOOKUP(2,1/('Milho 1ª safra'!$E63:INDEX('Milho 1ª safra'!$E63:$Z63,MIN(AJ$6-$E$3,22))&lt;&gt;""),'Milho 1ª safra'!$E63:INDEX('Milho 1ª safra'!$E63:$Z63,MIN(AJ$6-$E$3,22))),0))-IF($G$2,0,IF((AJ$6-$G$3)&lt;1,0,IFERROR(LOOKUP(2,1/('Milho 1ª safra'!$E63:INDEX('Milho 1ª safra'!$E63:$Z63,MIN(AJ$6-$G$3,22))&lt;&gt;""),'Milho 1ª safra'!$E63:INDEX('Milho 1ª safra'!$E63:$Z63,MIN(AJ$6-$G$3,22))),0)))))</f>
        <v>0</v>
      </c>
      <c r="AK65" s="27" t="n">
        <f aca="false">IF(COUNT('Milho 1ª safra'!$E63:$Z63)=0,0,MAX(0,IF((AK$6-$E$3)&lt;1,0,IFERROR(LOOKUP(2,1/('Milho 1ª safra'!$E63:INDEX('Milho 1ª safra'!$E63:$Z63,MIN(AK$6-$E$3,22))&lt;&gt;""),'Milho 1ª safra'!$E63:INDEX('Milho 1ª safra'!$E63:$Z63,MIN(AK$6-$E$3,22))),0))-IF($G$2,0,IF((AK$6-$G$3)&lt;1,0,IFERROR(LOOKUP(2,1/('Milho 1ª safra'!$E63:INDEX('Milho 1ª safra'!$E63:$Z63,MIN(AK$6-$G$3,22))&lt;&gt;""),'Milho 1ª safra'!$E63:INDEX('Milho 1ª safra'!$E63:$Z63,MIN(AK$6-$G$3,22))),0)))))</f>
        <v>0</v>
      </c>
      <c r="AL65" s="27" t="n">
        <f aca="false">IF(COUNT('Milho 1ª safra'!$E63:$Z63)=0,0,MAX(0,IF((AL$6-$E$3)&lt;1,0,IFERROR(LOOKUP(2,1/('Milho 1ª safra'!$E63:INDEX('Milho 1ª safra'!$E63:$Z63,MIN(AL$6-$E$3,22))&lt;&gt;""),'Milho 1ª safra'!$E63:INDEX('Milho 1ª safra'!$E63:$Z63,MIN(AL$6-$E$3,22))),0))-IF($G$2,0,IF((AL$6-$G$3)&lt;1,0,IFERROR(LOOKUP(2,1/('Milho 1ª safra'!$E63:INDEX('Milho 1ª safra'!$E63:$Z63,MIN(AL$6-$G$3,22))&lt;&gt;""),'Milho 1ª safra'!$E63:INDEX('Milho 1ª safra'!$E63:$Z63,MIN(AL$6-$G$3,22))),0)))))</f>
        <v>0</v>
      </c>
      <c r="AM65" s="27" t="n">
        <f aca="false">IF(COUNT('Milho 1ª safra'!$E63:$Z63)=0,0,MAX(0,IF((AM$6-$E$3)&lt;1,0,IFERROR(LOOKUP(2,1/('Milho 1ª safra'!$E63:INDEX('Milho 1ª safra'!$E63:$Z63,MIN(AM$6-$E$3,22))&lt;&gt;""),'Milho 1ª safra'!$E63:INDEX('Milho 1ª safra'!$E63:$Z63,MIN(AM$6-$E$3,22))),0))-IF($G$2,0,IF((AM$6-$G$3)&lt;1,0,IFERROR(LOOKUP(2,1/('Milho 1ª safra'!$E63:INDEX('Milho 1ª safra'!$E63:$Z63,MIN(AM$6-$G$3,22))&lt;&gt;""),'Milho 1ª safra'!$E63:INDEX('Milho 1ª safra'!$E63:$Z63,MIN(AM$6-$G$3,22))),0)))))</f>
        <v>0</v>
      </c>
      <c r="AN65" s="27" t="n">
        <f aca="false">IF(COUNT('Milho 1ª safra'!$E63:$Z63)=0,0,MAX(0,IF((AN$6-$E$3)&lt;1,0,IFERROR(LOOKUP(2,1/('Milho 1ª safra'!$E63:INDEX('Milho 1ª safra'!$E63:$Z63,MIN(AN$6-$E$3,22))&lt;&gt;""),'Milho 1ª safra'!$E63:INDEX('Milho 1ª safra'!$E63:$Z63,MIN(AN$6-$E$3,22))),0))-IF($G$2,0,IF((AN$6-$G$3)&lt;1,0,IFERROR(LOOKUP(2,1/('Milho 1ª safra'!$E63:INDEX('Milho 1ª safra'!$E63:$Z63,MIN(AN$6-$G$3,22))&lt;&gt;""),'Milho 1ª safra'!$E63:INDEX('Milho 1ª safra'!$E63:$Z63,MIN(AN$6-$G$3,22))),0)))))</f>
        <v>0</v>
      </c>
      <c r="AO65" s="27" t="n">
        <f aca="false">IF(COUNT('Milho 1ª safra'!$E63:$Z63)=0,0,MAX(0,IF((AO$6-$E$3)&lt;1,0,IFERROR(LOOKUP(2,1/('Milho 1ª safra'!$E63:INDEX('Milho 1ª safra'!$E63:$Z63,MIN(AO$6-$E$3,22))&lt;&gt;""),'Milho 1ª safra'!$E63:INDEX('Milho 1ª safra'!$E63:$Z63,MIN(AO$6-$E$3,22))),0))-IF($G$2,0,IF((AO$6-$G$3)&lt;1,0,IFERROR(LOOKUP(2,1/('Milho 1ª safra'!$E63:INDEX('Milho 1ª safra'!$E63:$Z63,MIN(AO$6-$G$3,22))&lt;&gt;""),'Milho 1ª safra'!$E63:INDEX('Milho 1ª safra'!$E63:$Z63,MIN(AO$6-$G$3,22))),0)))))</f>
        <v>0</v>
      </c>
      <c r="AP65" s="27" t="n">
        <f aca="false">IF(COUNT('Milho 1ª safra'!$E63:$Z63)=0,0,MAX(0,IF((AP$6-$E$3)&lt;1,0,IFERROR(LOOKUP(2,1/('Milho 1ª safra'!$E63:INDEX('Milho 1ª safra'!$E63:$Z63,MIN(AP$6-$E$3,22))&lt;&gt;""),'Milho 1ª safra'!$E63:INDEX('Milho 1ª safra'!$E63:$Z63,MIN(AP$6-$E$3,22))),0))-IF($G$2,0,IF((AP$6-$G$3)&lt;1,0,IFERROR(LOOKUP(2,1/('Milho 1ª safra'!$E63:INDEX('Milho 1ª safra'!$E63:$Z63,MIN(AP$6-$G$3,22))&lt;&gt;""),'Milho 1ª safra'!$E63:INDEX('Milho 1ª safra'!$E63:$Z63,MIN(AP$6-$G$3,22))),0)))))</f>
        <v>0</v>
      </c>
      <c r="AQ65" s="27" t="n">
        <f aca="false">IF(COUNT('Milho 1ª safra'!$E63:$Z63)=0,0,MAX(0,IF((AQ$6-$E$3)&lt;1,0,IFERROR(LOOKUP(2,1/('Milho 1ª safra'!$E63:INDEX('Milho 1ª safra'!$E63:$Z63,MIN(AQ$6-$E$3,22))&lt;&gt;""),'Milho 1ª safra'!$E63:INDEX('Milho 1ª safra'!$E63:$Z63,MIN(AQ$6-$E$3,22))),0))-IF($G$2,0,IF((AQ$6-$G$3)&lt;1,0,IFERROR(LOOKUP(2,1/('Milho 1ª safra'!$E63:INDEX('Milho 1ª safra'!$E63:$Z63,MIN(AQ$6-$G$3,22))&lt;&gt;""),'Milho 1ª safra'!$E63:INDEX('Milho 1ª safra'!$E63:$Z63,MIN(AQ$6-$G$3,22))),0)))))</f>
        <v>0</v>
      </c>
      <c r="AR65" s="27" t="n">
        <f aca="false">IF(COUNT('Milho 1ª safra'!$E63:$Z63)=0,0,MAX(0,IF((AR$6-$E$3)&lt;1,0,IFERROR(LOOKUP(2,1/('Milho 1ª safra'!$E63:INDEX('Milho 1ª safra'!$E63:$Z63,MIN(AR$6-$E$3,22))&lt;&gt;""),'Milho 1ª safra'!$E63:INDEX('Milho 1ª safra'!$E63:$Z63,MIN(AR$6-$E$3,22))),0))-IF($G$2,0,IF((AR$6-$G$3)&lt;1,0,IFERROR(LOOKUP(2,1/('Milho 1ª safra'!$E63:INDEX('Milho 1ª safra'!$E63:$Z63,MIN(AR$6-$G$3,22))&lt;&gt;""),'Milho 1ª safra'!$E63:INDEX('Milho 1ª safra'!$E63:$Z63,MIN(AR$6-$G$3,22))),0)))))</f>
        <v>0</v>
      </c>
      <c r="AS65" s="27" t="n">
        <f aca="false">IF(COUNT('Milho 1ª safra'!$E63:$Z63)=0,0,MAX(0,IF((AS$6-$E$3)&lt;1,0,IFERROR(LOOKUP(2,1/('Milho 1ª safra'!$E63:INDEX('Milho 1ª safra'!$E63:$Z63,MIN(AS$6-$E$3,22))&lt;&gt;""),'Milho 1ª safra'!$E63:INDEX('Milho 1ª safra'!$E63:$Z63,MIN(AS$6-$E$3,22))),0))-IF($G$2,0,IF((AS$6-$G$3)&lt;1,0,IFERROR(LOOKUP(2,1/('Milho 1ª safra'!$E63:INDEX('Milho 1ª safra'!$E63:$Z63,MIN(AS$6-$G$3,22))&lt;&gt;""),'Milho 1ª safra'!$E63:INDEX('Milho 1ª safra'!$E63:$Z63,MIN(AS$6-$G$3,22))),0)))))</f>
        <v>0</v>
      </c>
      <c r="AT65" s="27" t="n">
        <f aca="false">IF(COUNT('Milho 1ª safra'!$E63:$Z63)=0,0,MAX(0,IF((AT$6-$E$3)&lt;1,0,IFERROR(LOOKUP(2,1/('Milho 1ª safra'!$E63:INDEX('Milho 1ª safra'!$E63:$Z63,MIN(AT$6-$E$3,22))&lt;&gt;""),'Milho 1ª safra'!$E63:INDEX('Milho 1ª safra'!$E63:$Z63,MIN(AT$6-$E$3,22))),0))-IF($G$2,0,IF((AT$6-$G$3)&lt;1,0,IFERROR(LOOKUP(2,1/('Milho 1ª safra'!$E63:INDEX('Milho 1ª safra'!$E63:$Z63,MIN(AT$6-$G$3,22))&lt;&gt;""),'Milho 1ª safra'!$E63:INDEX('Milho 1ª safra'!$E63:$Z63,MIN(AT$6-$G$3,22))),0)))))</f>
        <v>0</v>
      </c>
      <c r="AU65" s="27" t="n">
        <f aca="false">IF(COUNT('Milho 1ª safra'!$E63:$Z63)=0,0,MAX(0,IF((AU$6-$E$3)&lt;1,0,IFERROR(LOOKUP(2,1/('Milho 1ª safra'!$E63:INDEX('Milho 1ª safra'!$E63:$Z63,MIN(AU$6-$E$3,22))&lt;&gt;""),'Milho 1ª safra'!$E63:INDEX('Milho 1ª safra'!$E63:$Z63,MIN(AU$6-$E$3,22))),0))-IF($G$2,0,IF((AU$6-$G$3)&lt;1,0,IFERROR(LOOKUP(2,1/('Milho 1ª safra'!$E63:INDEX('Milho 1ª safra'!$E63:$Z63,MIN(AU$6-$G$3,22))&lt;&gt;""),'Milho 1ª safra'!$E63:INDEX('Milho 1ª safra'!$E63:$Z63,MIN(AU$6-$G$3,22))),0)))))</f>
        <v>0</v>
      </c>
      <c r="AV65" s="27" t="n">
        <f aca="false">IF(COUNT('Milho 1ª safra'!$E63:$Z63)=0,0,MAX(0,IF((AV$6-$E$3)&lt;1,0,IFERROR(LOOKUP(2,1/('Milho 1ª safra'!$E63:INDEX('Milho 1ª safra'!$E63:$Z63,MIN(AV$6-$E$3,22))&lt;&gt;""),'Milho 1ª safra'!$E63:INDEX('Milho 1ª safra'!$E63:$Z63,MIN(AV$6-$E$3,22))),0))-IF($G$2,0,IF((AV$6-$G$3)&lt;1,0,IFERROR(LOOKUP(2,1/('Milho 1ª safra'!$E63:INDEX('Milho 1ª safra'!$E63:$Z63,MIN(AV$6-$G$3,22))&lt;&gt;""),'Milho 1ª safra'!$E63:INDEX('Milho 1ª safra'!$E63:$Z63,MIN(AV$6-$G$3,22))),0)))))</f>
        <v>0</v>
      </c>
      <c r="AW65" s="27" t="n">
        <f aca="false">IF(COUNT('Milho 1ª safra'!$E63:$Z63)=0,0,MAX(0,IF((AW$6-$E$3)&lt;1,0,IFERROR(LOOKUP(2,1/('Milho 1ª safra'!$E63:INDEX('Milho 1ª safra'!$E63:$Z63,MIN(AW$6-$E$3,22))&lt;&gt;""),'Milho 1ª safra'!$E63:INDEX('Milho 1ª safra'!$E63:$Z63,MIN(AW$6-$E$3,22))),0))-IF($G$2,0,IF((AW$6-$G$3)&lt;1,0,IFERROR(LOOKUP(2,1/('Milho 1ª safra'!$E63:INDEX('Milho 1ª safra'!$E63:$Z63,MIN(AW$6-$G$3,22))&lt;&gt;""),'Milho 1ª safra'!$E63:INDEX('Milho 1ª safra'!$E63:$Z63,MIN(AW$6-$G$3,22))),0)))))</f>
        <v>0</v>
      </c>
      <c r="AX65" s="27" t="n">
        <f aca="false">IF(COUNT('Milho 1ª safra'!$E63:$Z63)=0,0,MAX(0,IF((AX$6-$E$3)&lt;1,0,IFERROR(LOOKUP(2,1/('Milho 1ª safra'!$E63:INDEX('Milho 1ª safra'!$E63:$Z63,MIN(AX$6-$E$3,22))&lt;&gt;""),'Milho 1ª safra'!$E63:INDEX('Milho 1ª safra'!$E63:$Z63,MIN(AX$6-$E$3,22))),0))-IF($G$2,0,IF((AX$6-$G$3)&lt;1,0,IFERROR(LOOKUP(2,1/('Milho 1ª safra'!$E63:INDEX('Milho 1ª safra'!$E63:$Z63,MIN(AX$6-$G$3,22))&lt;&gt;""),'Milho 1ª safra'!$E63:INDEX('Milho 1ª safra'!$E63:$Z63,MIN(AX$6-$G$3,22))),0)))))</f>
        <v>0</v>
      </c>
      <c r="AY65" s="27" t="n">
        <f aca="false">IF(COUNT('Milho 1ª safra'!$E63:$Z63)=0,0,MAX(0,IF((AY$6-$E$3)&lt;1,0,IFERROR(LOOKUP(2,1/('Milho 1ª safra'!$E63:INDEX('Milho 1ª safra'!$E63:$Z63,MIN(AY$6-$E$3,22))&lt;&gt;""),'Milho 1ª safra'!$E63:INDEX('Milho 1ª safra'!$E63:$Z63,MIN(AY$6-$E$3,22))),0))-IF($G$2,0,IF((AY$6-$G$3)&lt;1,0,IFERROR(LOOKUP(2,1/('Milho 1ª safra'!$E63:INDEX('Milho 1ª safra'!$E63:$Z63,MIN(AY$6-$G$3,22))&lt;&gt;""),'Milho 1ª safra'!$E63:INDEX('Milho 1ª safra'!$E63:$Z63,MIN(AY$6-$G$3,22))),0)))))</f>
        <v>0</v>
      </c>
      <c r="AZ65" s="27" t="n">
        <f aca="false">IF(COUNT('Milho 1ª safra'!$E63:$Z63)=0,0,MAX(0,IF((AZ$6-$E$3)&lt;1,0,IFERROR(LOOKUP(2,1/('Milho 1ª safra'!$E63:INDEX('Milho 1ª safra'!$E63:$Z63,MIN(AZ$6-$E$3,22))&lt;&gt;""),'Milho 1ª safra'!$E63:INDEX('Milho 1ª safra'!$E63:$Z63,MIN(AZ$6-$E$3,22))),0))-IF($G$2,0,IF((AZ$6-$G$3)&lt;1,0,IFERROR(LOOKUP(2,1/('Milho 1ª safra'!$E63:INDEX('Milho 1ª safra'!$E63:$Z63,MIN(AZ$6-$G$3,22))&lt;&gt;""),'Milho 1ª safra'!$E63:INDEX('Milho 1ª safra'!$E63:$Z63,MIN(AZ$6-$G$3,22))),0)))))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IF(COUNT('Milho 1ª safra'!$E64:$Z64)&gt;0,N('Milho 1ª safra'!$D64),0)</f>
        <v>0</v>
      </c>
      <c r="E66" s="27" t="n">
        <f aca="false">IF(COUNT('Milho 1ª safra'!$E64:$Z64)=0,0,MAX(0,IF((E$6-$E$3)&lt;1,0,IFERROR(LOOKUP(2,1/('Milho 1ª safra'!$E64:INDEX('Milho 1ª safra'!$E64:$Z64,MIN(E$6-$E$3,22))&lt;&gt;""),'Milho 1ª safra'!$E64:INDEX('Milho 1ª safra'!$E64:$Z64,MIN(E$6-$E$3,22))),0))-IF($G$2,0,IF((E$6-$G$3)&lt;1,0,IFERROR(LOOKUP(2,1/('Milho 1ª safra'!$E64:INDEX('Milho 1ª safra'!$E64:$Z64,MIN(E$6-$G$3,22))&lt;&gt;""),'Milho 1ª safra'!$E64:INDEX('Milho 1ª safra'!$E64:$Z64,MIN(E$6-$G$3,22))),0)))))</f>
        <v>0</v>
      </c>
      <c r="F66" s="27" t="n">
        <f aca="false">IF(COUNT('Milho 1ª safra'!$E64:$Z64)=0,0,MAX(0,IF((F$6-$E$3)&lt;1,0,IFERROR(LOOKUP(2,1/('Milho 1ª safra'!$E64:INDEX('Milho 1ª safra'!$E64:$Z64,MIN(F$6-$E$3,22))&lt;&gt;""),'Milho 1ª safra'!$E64:INDEX('Milho 1ª safra'!$E64:$Z64,MIN(F$6-$E$3,22))),0))-IF($G$2,0,IF((F$6-$G$3)&lt;1,0,IFERROR(LOOKUP(2,1/('Milho 1ª safra'!$E64:INDEX('Milho 1ª safra'!$E64:$Z64,MIN(F$6-$G$3,22))&lt;&gt;""),'Milho 1ª safra'!$E64:INDEX('Milho 1ª safra'!$E64:$Z64,MIN(F$6-$G$3,22))),0)))))</f>
        <v>0</v>
      </c>
      <c r="G66" s="27" t="n">
        <f aca="false">IF(COUNT('Milho 1ª safra'!$E64:$Z64)=0,0,MAX(0,IF((G$6-$E$3)&lt;1,0,IFERROR(LOOKUP(2,1/('Milho 1ª safra'!$E64:INDEX('Milho 1ª safra'!$E64:$Z64,MIN(G$6-$E$3,22))&lt;&gt;""),'Milho 1ª safra'!$E64:INDEX('Milho 1ª safra'!$E64:$Z64,MIN(G$6-$E$3,22))),0))-IF($G$2,0,IF((G$6-$G$3)&lt;1,0,IFERROR(LOOKUP(2,1/('Milho 1ª safra'!$E64:INDEX('Milho 1ª safra'!$E64:$Z64,MIN(G$6-$G$3,22))&lt;&gt;""),'Milho 1ª safra'!$E64:INDEX('Milho 1ª safra'!$E64:$Z64,MIN(G$6-$G$3,22))),0)))))</f>
        <v>0</v>
      </c>
      <c r="H66" s="27" t="n">
        <f aca="false">IF(COUNT('Milho 1ª safra'!$E64:$Z64)=0,0,MAX(0,IF((H$6-$E$3)&lt;1,0,IFERROR(LOOKUP(2,1/('Milho 1ª safra'!$E64:INDEX('Milho 1ª safra'!$E64:$Z64,MIN(H$6-$E$3,22))&lt;&gt;""),'Milho 1ª safra'!$E64:INDEX('Milho 1ª safra'!$E64:$Z64,MIN(H$6-$E$3,22))),0))-IF($G$2,0,IF((H$6-$G$3)&lt;1,0,IFERROR(LOOKUP(2,1/('Milho 1ª safra'!$E64:INDEX('Milho 1ª safra'!$E64:$Z64,MIN(H$6-$G$3,22))&lt;&gt;""),'Milho 1ª safra'!$E64:INDEX('Milho 1ª safra'!$E64:$Z64,MIN(H$6-$G$3,22))),0)))))</f>
        <v>0</v>
      </c>
      <c r="I66" s="27" t="n">
        <f aca="false">IF(COUNT('Milho 1ª safra'!$E64:$Z64)=0,0,MAX(0,IF((I$6-$E$3)&lt;1,0,IFERROR(LOOKUP(2,1/('Milho 1ª safra'!$E64:INDEX('Milho 1ª safra'!$E64:$Z64,MIN(I$6-$E$3,22))&lt;&gt;""),'Milho 1ª safra'!$E64:INDEX('Milho 1ª safra'!$E64:$Z64,MIN(I$6-$E$3,22))),0))-IF($G$2,0,IF((I$6-$G$3)&lt;1,0,IFERROR(LOOKUP(2,1/('Milho 1ª safra'!$E64:INDEX('Milho 1ª safra'!$E64:$Z64,MIN(I$6-$G$3,22))&lt;&gt;""),'Milho 1ª safra'!$E64:INDEX('Milho 1ª safra'!$E64:$Z64,MIN(I$6-$G$3,22))),0)))))</f>
        <v>0</v>
      </c>
      <c r="J66" s="27" t="n">
        <f aca="false">IF(COUNT('Milho 1ª safra'!$E64:$Z64)=0,0,MAX(0,IF((J$6-$E$3)&lt;1,0,IFERROR(LOOKUP(2,1/('Milho 1ª safra'!$E64:INDEX('Milho 1ª safra'!$E64:$Z64,MIN(J$6-$E$3,22))&lt;&gt;""),'Milho 1ª safra'!$E64:INDEX('Milho 1ª safra'!$E64:$Z64,MIN(J$6-$E$3,22))),0))-IF($G$2,0,IF((J$6-$G$3)&lt;1,0,IFERROR(LOOKUP(2,1/('Milho 1ª safra'!$E64:INDEX('Milho 1ª safra'!$E64:$Z64,MIN(J$6-$G$3,22))&lt;&gt;""),'Milho 1ª safra'!$E64:INDEX('Milho 1ª safra'!$E64:$Z64,MIN(J$6-$G$3,22))),0)))))</f>
        <v>0</v>
      </c>
      <c r="K66" s="27" t="n">
        <f aca="false">IF(COUNT('Milho 1ª safra'!$E64:$Z64)=0,0,MAX(0,IF((K$6-$E$3)&lt;1,0,IFERROR(LOOKUP(2,1/('Milho 1ª safra'!$E64:INDEX('Milho 1ª safra'!$E64:$Z64,MIN(K$6-$E$3,22))&lt;&gt;""),'Milho 1ª safra'!$E64:INDEX('Milho 1ª safra'!$E64:$Z64,MIN(K$6-$E$3,22))),0))-IF($G$2,0,IF((K$6-$G$3)&lt;1,0,IFERROR(LOOKUP(2,1/('Milho 1ª safra'!$E64:INDEX('Milho 1ª safra'!$E64:$Z64,MIN(K$6-$G$3,22))&lt;&gt;""),'Milho 1ª safra'!$E64:INDEX('Milho 1ª safra'!$E64:$Z64,MIN(K$6-$G$3,22))),0)))))</f>
        <v>0</v>
      </c>
      <c r="L66" s="27" t="n">
        <f aca="false">IF(COUNT('Milho 1ª safra'!$E64:$Z64)=0,0,MAX(0,IF((L$6-$E$3)&lt;1,0,IFERROR(LOOKUP(2,1/('Milho 1ª safra'!$E64:INDEX('Milho 1ª safra'!$E64:$Z64,MIN(L$6-$E$3,22))&lt;&gt;""),'Milho 1ª safra'!$E64:INDEX('Milho 1ª safra'!$E64:$Z64,MIN(L$6-$E$3,22))),0))-IF($G$2,0,IF((L$6-$G$3)&lt;1,0,IFERROR(LOOKUP(2,1/('Milho 1ª safra'!$E64:INDEX('Milho 1ª safra'!$E64:$Z64,MIN(L$6-$G$3,22))&lt;&gt;""),'Milho 1ª safra'!$E64:INDEX('Milho 1ª safra'!$E64:$Z64,MIN(L$6-$G$3,22))),0)))))</f>
        <v>0</v>
      </c>
      <c r="M66" s="27" t="n">
        <f aca="false">IF(COUNT('Milho 1ª safra'!$E64:$Z64)=0,0,MAX(0,IF((M$6-$E$3)&lt;1,0,IFERROR(LOOKUP(2,1/('Milho 1ª safra'!$E64:INDEX('Milho 1ª safra'!$E64:$Z64,MIN(M$6-$E$3,22))&lt;&gt;""),'Milho 1ª safra'!$E64:INDEX('Milho 1ª safra'!$E64:$Z64,MIN(M$6-$E$3,22))),0))-IF($G$2,0,IF((M$6-$G$3)&lt;1,0,IFERROR(LOOKUP(2,1/('Milho 1ª safra'!$E64:INDEX('Milho 1ª safra'!$E64:$Z64,MIN(M$6-$G$3,22))&lt;&gt;""),'Milho 1ª safra'!$E64:INDEX('Milho 1ª safra'!$E64:$Z64,MIN(M$6-$G$3,22))),0)))))</f>
        <v>0</v>
      </c>
      <c r="N66" s="27" t="n">
        <f aca="false">IF(COUNT('Milho 1ª safra'!$E64:$Z64)=0,0,MAX(0,IF((N$6-$E$3)&lt;1,0,IFERROR(LOOKUP(2,1/('Milho 1ª safra'!$E64:INDEX('Milho 1ª safra'!$E64:$Z64,MIN(N$6-$E$3,22))&lt;&gt;""),'Milho 1ª safra'!$E64:INDEX('Milho 1ª safra'!$E64:$Z64,MIN(N$6-$E$3,22))),0))-IF($G$2,0,IF((N$6-$G$3)&lt;1,0,IFERROR(LOOKUP(2,1/('Milho 1ª safra'!$E64:INDEX('Milho 1ª safra'!$E64:$Z64,MIN(N$6-$G$3,22))&lt;&gt;""),'Milho 1ª safra'!$E64:INDEX('Milho 1ª safra'!$E64:$Z64,MIN(N$6-$G$3,22))),0)))))</f>
        <v>0</v>
      </c>
      <c r="O66" s="27" t="n">
        <f aca="false">IF(COUNT('Milho 1ª safra'!$E64:$Z64)=0,0,MAX(0,IF((O$6-$E$3)&lt;1,0,IFERROR(LOOKUP(2,1/('Milho 1ª safra'!$E64:INDEX('Milho 1ª safra'!$E64:$Z64,MIN(O$6-$E$3,22))&lt;&gt;""),'Milho 1ª safra'!$E64:INDEX('Milho 1ª safra'!$E64:$Z64,MIN(O$6-$E$3,22))),0))-IF($G$2,0,IF((O$6-$G$3)&lt;1,0,IFERROR(LOOKUP(2,1/('Milho 1ª safra'!$E64:INDEX('Milho 1ª safra'!$E64:$Z64,MIN(O$6-$G$3,22))&lt;&gt;""),'Milho 1ª safra'!$E64:INDEX('Milho 1ª safra'!$E64:$Z64,MIN(O$6-$G$3,22))),0)))))</f>
        <v>0</v>
      </c>
      <c r="P66" s="27" t="n">
        <f aca="false">IF(COUNT('Milho 1ª safra'!$E64:$Z64)=0,0,MAX(0,IF((P$6-$E$3)&lt;1,0,IFERROR(LOOKUP(2,1/('Milho 1ª safra'!$E64:INDEX('Milho 1ª safra'!$E64:$Z64,MIN(P$6-$E$3,22))&lt;&gt;""),'Milho 1ª safra'!$E64:INDEX('Milho 1ª safra'!$E64:$Z64,MIN(P$6-$E$3,22))),0))-IF($G$2,0,IF((P$6-$G$3)&lt;1,0,IFERROR(LOOKUP(2,1/('Milho 1ª safra'!$E64:INDEX('Milho 1ª safra'!$E64:$Z64,MIN(P$6-$G$3,22))&lt;&gt;""),'Milho 1ª safra'!$E64:INDEX('Milho 1ª safra'!$E64:$Z64,MIN(P$6-$G$3,22))),0)))))</f>
        <v>0</v>
      </c>
      <c r="Q66" s="27" t="n">
        <f aca="false">IF(COUNT('Milho 1ª safra'!$E64:$Z64)=0,0,MAX(0,IF((Q$6-$E$3)&lt;1,0,IFERROR(LOOKUP(2,1/('Milho 1ª safra'!$E64:INDEX('Milho 1ª safra'!$E64:$Z64,MIN(Q$6-$E$3,22))&lt;&gt;""),'Milho 1ª safra'!$E64:INDEX('Milho 1ª safra'!$E64:$Z64,MIN(Q$6-$E$3,22))),0))-IF($G$2,0,IF((Q$6-$G$3)&lt;1,0,IFERROR(LOOKUP(2,1/('Milho 1ª safra'!$E64:INDEX('Milho 1ª safra'!$E64:$Z64,MIN(Q$6-$G$3,22))&lt;&gt;""),'Milho 1ª safra'!$E64:INDEX('Milho 1ª safra'!$E64:$Z64,MIN(Q$6-$G$3,22))),0)))))</f>
        <v>0</v>
      </c>
      <c r="R66" s="27" t="n">
        <f aca="false">IF(COUNT('Milho 1ª safra'!$E64:$Z64)=0,0,MAX(0,IF((R$6-$E$3)&lt;1,0,IFERROR(LOOKUP(2,1/('Milho 1ª safra'!$E64:INDEX('Milho 1ª safra'!$E64:$Z64,MIN(R$6-$E$3,22))&lt;&gt;""),'Milho 1ª safra'!$E64:INDEX('Milho 1ª safra'!$E64:$Z64,MIN(R$6-$E$3,22))),0))-IF($G$2,0,IF((R$6-$G$3)&lt;1,0,IFERROR(LOOKUP(2,1/('Milho 1ª safra'!$E64:INDEX('Milho 1ª safra'!$E64:$Z64,MIN(R$6-$G$3,22))&lt;&gt;""),'Milho 1ª safra'!$E64:INDEX('Milho 1ª safra'!$E64:$Z64,MIN(R$6-$G$3,22))),0)))))</f>
        <v>0</v>
      </c>
      <c r="S66" s="27" t="n">
        <f aca="false">IF(COUNT('Milho 1ª safra'!$E64:$Z64)=0,0,MAX(0,IF((S$6-$E$3)&lt;1,0,IFERROR(LOOKUP(2,1/('Milho 1ª safra'!$E64:INDEX('Milho 1ª safra'!$E64:$Z64,MIN(S$6-$E$3,22))&lt;&gt;""),'Milho 1ª safra'!$E64:INDEX('Milho 1ª safra'!$E64:$Z64,MIN(S$6-$E$3,22))),0))-IF($G$2,0,IF((S$6-$G$3)&lt;1,0,IFERROR(LOOKUP(2,1/('Milho 1ª safra'!$E64:INDEX('Milho 1ª safra'!$E64:$Z64,MIN(S$6-$G$3,22))&lt;&gt;""),'Milho 1ª safra'!$E64:INDEX('Milho 1ª safra'!$E64:$Z64,MIN(S$6-$G$3,22))),0)))))</f>
        <v>0</v>
      </c>
      <c r="T66" s="27" t="n">
        <f aca="false">IF(COUNT('Milho 1ª safra'!$E64:$Z64)=0,0,MAX(0,IF((T$6-$E$3)&lt;1,0,IFERROR(LOOKUP(2,1/('Milho 1ª safra'!$E64:INDEX('Milho 1ª safra'!$E64:$Z64,MIN(T$6-$E$3,22))&lt;&gt;""),'Milho 1ª safra'!$E64:INDEX('Milho 1ª safra'!$E64:$Z64,MIN(T$6-$E$3,22))),0))-IF($G$2,0,IF((T$6-$G$3)&lt;1,0,IFERROR(LOOKUP(2,1/('Milho 1ª safra'!$E64:INDEX('Milho 1ª safra'!$E64:$Z64,MIN(T$6-$G$3,22))&lt;&gt;""),'Milho 1ª safra'!$E64:INDEX('Milho 1ª safra'!$E64:$Z64,MIN(T$6-$G$3,22))),0)))))</f>
        <v>0</v>
      </c>
      <c r="U66" s="27" t="n">
        <f aca="false">IF(COUNT('Milho 1ª safra'!$E64:$Z64)=0,0,MAX(0,IF((U$6-$E$3)&lt;1,0,IFERROR(LOOKUP(2,1/('Milho 1ª safra'!$E64:INDEX('Milho 1ª safra'!$E64:$Z64,MIN(U$6-$E$3,22))&lt;&gt;""),'Milho 1ª safra'!$E64:INDEX('Milho 1ª safra'!$E64:$Z64,MIN(U$6-$E$3,22))),0))-IF($G$2,0,IF((U$6-$G$3)&lt;1,0,IFERROR(LOOKUP(2,1/('Milho 1ª safra'!$E64:INDEX('Milho 1ª safra'!$E64:$Z64,MIN(U$6-$G$3,22))&lt;&gt;""),'Milho 1ª safra'!$E64:INDEX('Milho 1ª safra'!$E64:$Z64,MIN(U$6-$G$3,22))),0)))))</f>
        <v>0</v>
      </c>
      <c r="V66" s="27" t="n">
        <f aca="false">IF(COUNT('Milho 1ª safra'!$E64:$Z64)=0,0,MAX(0,IF((V$6-$E$3)&lt;1,0,IFERROR(LOOKUP(2,1/('Milho 1ª safra'!$E64:INDEX('Milho 1ª safra'!$E64:$Z64,MIN(V$6-$E$3,22))&lt;&gt;""),'Milho 1ª safra'!$E64:INDEX('Milho 1ª safra'!$E64:$Z64,MIN(V$6-$E$3,22))),0))-IF($G$2,0,IF((V$6-$G$3)&lt;1,0,IFERROR(LOOKUP(2,1/('Milho 1ª safra'!$E64:INDEX('Milho 1ª safra'!$E64:$Z64,MIN(V$6-$G$3,22))&lt;&gt;""),'Milho 1ª safra'!$E64:INDEX('Milho 1ª safra'!$E64:$Z64,MIN(V$6-$G$3,22))),0)))))</f>
        <v>0</v>
      </c>
      <c r="W66" s="27" t="n">
        <f aca="false">IF(COUNT('Milho 1ª safra'!$E64:$Z64)=0,0,MAX(0,IF((W$6-$E$3)&lt;1,0,IFERROR(LOOKUP(2,1/('Milho 1ª safra'!$E64:INDEX('Milho 1ª safra'!$E64:$Z64,MIN(W$6-$E$3,22))&lt;&gt;""),'Milho 1ª safra'!$E64:INDEX('Milho 1ª safra'!$E64:$Z64,MIN(W$6-$E$3,22))),0))-IF($G$2,0,IF((W$6-$G$3)&lt;1,0,IFERROR(LOOKUP(2,1/('Milho 1ª safra'!$E64:INDEX('Milho 1ª safra'!$E64:$Z64,MIN(W$6-$G$3,22))&lt;&gt;""),'Milho 1ª safra'!$E64:INDEX('Milho 1ª safra'!$E64:$Z64,MIN(W$6-$G$3,22))),0)))))</f>
        <v>0</v>
      </c>
      <c r="X66" s="27" t="n">
        <f aca="false">IF(COUNT('Milho 1ª safra'!$E64:$Z64)=0,0,MAX(0,IF((X$6-$E$3)&lt;1,0,IFERROR(LOOKUP(2,1/('Milho 1ª safra'!$E64:INDEX('Milho 1ª safra'!$E64:$Z64,MIN(X$6-$E$3,22))&lt;&gt;""),'Milho 1ª safra'!$E64:INDEX('Milho 1ª safra'!$E64:$Z64,MIN(X$6-$E$3,22))),0))-IF($G$2,0,IF((X$6-$G$3)&lt;1,0,IFERROR(LOOKUP(2,1/('Milho 1ª safra'!$E64:INDEX('Milho 1ª safra'!$E64:$Z64,MIN(X$6-$G$3,22))&lt;&gt;""),'Milho 1ª safra'!$E64:INDEX('Milho 1ª safra'!$E64:$Z64,MIN(X$6-$G$3,22))),0)))))</f>
        <v>0</v>
      </c>
      <c r="Y66" s="27" t="n">
        <f aca="false">IF(COUNT('Milho 1ª safra'!$E64:$Z64)=0,0,MAX(0,IF((Y$6-$E$3)&lt;1,0,IFERROR(LOOKUP(2,1/('Milho 1ª safra'!$E64:INDEX('Milho 1ª safra'!$E64:$Z64,MIN(Y$6-$E$3,22))&lt;&gt;""),'Milho 1ª safra'!$E64:INDEX('Milho 1ª safra'!$E64:$Z64,MIN(Y$6-$E$3,22))),0))-IF($G$2,0,IF((Y$6-$G$3)&lt;1,0,IFERROR(LOOKUP(2,1/('Milho 1ª safra'!$E64:INDEX('Milho 1ª safra'!$E64:$Z64,MIN(Y$6-$G$3,22))&lt;&gt;""),'Milho 1ª safra'!$E64:INDEX('Milho 1ª safra'!$E64:$Z64,MIN(Y$6-$G$3,22))),0)))))</f>
        <v>0</v>
      </c>
      <c r="Z66" s="27" t="n">
        <f aca="false">IF(COUNT('Milho 1ª safra'!$E64:$Z64)=0,0,MAX(0,IF((Z$6-$E$3)&lt;1,0,IFERROR(LOOKUP(2,1/('Milho 1ª safra'!$E64:INDEX('Milho 1ª safra'!$E64:$Z64,MIN(Z$6-$E$3,22))&lt;&gt;""),'Milho 1ª safra'!$E64:INDEX('Milho 1ª safra'!$E64:$Z64,MIN(Z$6-$E$3,22))),0))-IF($G$2,0,IF((Z$6-$G$3)&lt;1,0,IFERROR(LOOKUP(2,1/('Milho 1ª safra'!$E64:INDEX('Milho 1ª safra'!$E64:$Z64,MIN(Z$6-$G$3,22))&lt;&gt;""),'Milho 1ª safra'!$E64:INDEX('Milho 1ª safra'!$E64:$Z64,MIN(Z$6-$G$3,22))),0)))))</f>
        <v>0</v>
      </c>
      <c r="AA66" s="27" t="n">
        <f aca="false">IF(COUNT('Milho 1ª safra'!$E64:$Z64)=0,0,MAX(0,IF((AA$6-$E$3)&lt;1,0,IFERROR(LOOKUP(2,1/('Milho 1ª safra'!$E64:INDEX('Milho 1ª safra'!$E64:$Z64,MIN(AA$6-$E$3,22))&lt;&gt;""),'Milho 1ª safra'!$E64:INDEX('Milho 1ª safra'!$E64:$Z64,MIN(AA$6-$E$3,22))),0))-IF($G$2,0,IF((AA$6-$G$3)&lt;1,0,IFERROR(LOOKUP(2,1/('Milho 1ª safra'!$E64:INDEX('Milho 1ª safra'!$E64:$Z64,MIN(AA$6-$G$3,22))&lt;&gt;""),'Milho 1ª safra'!$E64:INDEX('Milho 1ª safra'!$E64:$Z64,MIN(AA$6-$G$3,22))),0)))))</f>
        <v>0</v>
      </c>
      <c r="AB66" s="27" t="n">
        <f aca="false">IF(COUNT('Milho 1ª safra'!$E64:$Z64)=0,0,MAX(0,IF((AB$6-$E$3)&lt;1,0,IFERROR(LOOKUP(2,1/('Milho 1ª safra'!$E64:INDEX('Milho 1ª safra'!$E64:$Z64,MIN(AB$6-$E$3,22))&lt;&gt;""),'Milho 1ª safra'!$E64:INDEX('Milho 1ª safra'!$E64:$Z64,MIN(AB$6-$E$3,22))),0))-IF($G$2,0,IF((AB$6-$G$3)&lt;1,0,IFERROR(LOOKUP(2,1/('Milho 1ª safra'!$E64:INDEX('Milho 1ª safra'!$E64:$Z64,MIN(AB$6-$G$3,22))&lt;&gt;""),'Milho 1ª safra'!$E64:INDEX('Milho 1ª safra'!$E64:$Z64,MIN(AB$6-$G$3,22))),0)))))</f>
        <v>0</v>
      </c>
      <c r="AC66" s="27" t="n">
        <f aca="false">IF(COUNT('Milho 1ª safra'!$E64:$Z64)=0,0,MAX(0,IF((AC$6-$E$3)&lt;1,0,IFERROR(LOOKUP(2,1/('Milho 1ª safra'!$E64:INDEX('Milho 1ª safra'!$E64:$Z64,MIN(AC$6-$E$3,22))&lt;&gt;""),'Milho 1ª safra'!$E64:INDEX('Milho 1ª safra'!$E64:$Z64,MIN(AC$6-$E$3,22))),0))-IF($G$2,0,IF((AC$6-$G$3)&lt;1,0,IFERROR(LOOKUP(2,1/('Milho 1ª safra'!$E64:INDEX('Milho 1ª safra'!$E64:$Z64,MIN(AC$6-$G$3,22))&lt;&gt;""),'Milho 1ª safra'!$E64:INDEX('Milho 1ª safra'!$E64:$Z64,MIN(AC$6-$G$3,22))),0)))))</f>
        <v>0</v>
      </c>
      <c r="AD66" s="27" t="n">
        <f aca="false">IF(COUNT('Milho 1ª safra'!$E64:$Z64)=0,0,MAX(0,IF((AD$6-$E$3)&lt;1,0,IFERROR(LOOKUP(2,1/('Milho 1ª safra'!$E64:INDEX('Milho 1ª safra'!$E64:$Z64,MIN(AD$6-$E$3,22))&lt;&gt;""),'Milho 1ª safra'!$E64:INDEX('Milho 1ª safra'!$E64:$Z64,MIN(AD$6-$E$3,22))),0))-IF($G$2,0,IF((AD$6-$G$3)&lt;1,0,IFERROR(LOOKUP(2,1/('Milho 1ª safra'!$E64:INDEX('Milho 1ª safra'!$E64:$Z64,MIN(AD$6-$G$3,22))&lt;&gt;""),'Milho 1ª safra'!$E64:INDEX('Milho 1ª safra'!$E64:$Z64,MIN(AD$6-$G$3,22))),0)))))</f>
        <v>0</v>
      </c>
      <c r="AE66" s="27" t="n">
        <f aca="false">IF(COUNT('Milho 1ª safra'!$E64:$Z64)=0,0,MAX(0,IF((AE$6-$E$3)&lt;1,0,IFERROR(LOOKUP(2,1/('Milho 1ª safra'!$E64:INDEX('Milho 1ª safra'!$E64:$Z64,MIN(AE$6-$E$3,22))&lt;&gt;""),'Milho 1ª safra'!$E64:INDEX('Milho 1ª safra'!$E64:$Z64,MIN(AE$6-$E$3,22))),0))-IF($G$2,0,IF((AE$6-$G$3)&lt;1,0,IFERROR(LOOKUP(2,1/('Milho 1ª safra'!$E64:INDEX('Milho 1ª safra'!$E64:$Z64,MIN(AE$6-$G$3,22))&lt;&gt;""),'Milho 1ª safra'!$E64:INDEX('Milho 1ª safra'!$E64:$Z64,MIN(AE$6-$G$3,22))),0)))))</f>
        <v>0</v>
      </c>
      <c r="AF66" s="27" t="n">
        <f aca="false">IF(COUNT('Milho 1ª safra'!$E64:$Z64)=0,0,MAX(0,IF((AF$6-$E$3)&lt;1,0,IFERROR(LOOKUP(2,1/('Milho 1ª safra'!$E64:INDEX('Milho 1ª safra'!$E64:$Z64,MIN(AF$6-$E$3,22))&lt;&gt;""),'Milho 1ª safra'!$E64:INDEX('Milho 1ª safra'!$E64:$Z64,MIN(AF$6-$E$3,22))),0))-IF($G$2,0,IF((AF$6-$G$3)&lt;1,0,IFERROR(LOOKUP(2,1/('Milho 1ª safra'!$E64:INDEX('Milho 1ª safra'!$E64:$Z64,MIN(AF$6-$G$3,22))&lt;&gt;""),'Milho 1ª safra'!$E64:INDEX('Milho 1ª safra'!$E64:$Z64,MIN(AF$6-$G$3,22))),0)))))</f>
        <v>0</v>
      </c>
      <c r="AG66" s="27" t="n">
        <f aca="false">IF(COUNT('Milho 1ª safra'!$E64:$Z64)=0,0,MAX(0,IF((AG$6-$E$3)&lt;1,0,IFERROR(LOOKUP(2,1/('Milho 1ª safra'!$E64:INDEX('Milho 1ª safra'!$E64:$Z64,MIN(AG$6-$E$3,22))&lt;&gt;""),'Milho 1ª safra'!$E64:INDEX('Milho 1ª safra'!$E64:$Z64,MIN(AG$6-$E$3,22))),0))-IF($G$2,0,IF((AG$6-$G$3)&lt;1,0,IFERROR(LOOKUP(2,1/('Milho 1ª safra'!$E64:INDEX('Milho 1ª safra'!$E64:$Z64,MIN(AG$6-$G$3,22))&lt;&gt;""),'Milho 1ª safra'!$E64:INDEX('Milho 1ª safra'!$E64:$Z64,MIN(AG$6-$G$3,22))),0)))))</f>
        <v>0</v>
      </c>
      <c r="AH66" s="27" t="n">
        <f aca="false">IF(COUNT('Milho 1ª safra'!$E64:$Z64)=0,0,MAX(0,IF((AH$6-$E$3)&lt;1,0,IFERROR(LOOKUP(2,1/('Milho 1ª safra'!$E64:INDEX('Milho 1ª safra'!$E64:$Z64,MIN(AH$6-$E$3,22))&lt;&gt;""),'Milho 1ª safra'!$E64:INDEX('Milho 1ª safra'!$E64:$Z64,MIN(AH$6-$E$3,22))),0))-IF($G$2,0,IF((AH$6-$G$3)&lt;1,0,IFERROR(LOOKUP(2,1/('Milho 1ª safra'!$E64:INDEX('Milho 1ª safra'!$E64:$Z64,MIN(AH$6-$G$3,22))&lt;&gt;""),'Milho 1ª safra'!$E64:INDEX('Milho 1ª safra'!$E64:$Z64,MIN(AH$6-$G$3,22))),0)))))</f>
        <v>0</v>
      </c>
      <c r="AI66" s="27" t="n">
        <f aca="false">IF(COUNT('Milho 1ª safra'!$E64:$Z64)=0,0,MAX(0,IF((AI$6-$E$3)&lt;1,0,IFERROR(LOOKUP(2,1/('Milho 1ª safra'!$E64:INDEX('Milho 1ª safra'!$E64:$Z64,MIN(AI$6-$E$3,22))&lt;&gt;""),'Milho 1ª safra'!$E64:INDEX('Milho 1ª safra'!$E64:$Z64,MIN(AI$6-$E$3,22))),0))-IF($G$2,0,IF((AI$6-$G$3)&lt;1,0,IFERROR(LOOKUP(2,1/('Milho 1ª safra'!$E64:INDEX('Milho 1ª safra'!$E64:$Z64,MIN(AI$6-$G$3,22))&lt;&gt;""),'Milho 1ª safra'!$E64:INDEX('Milho 1ª safra'!$E64:$Z64,MIN(AI$6-$G$3,22))),0)))))</f>
        <v>0</v>
      </c>
      <c r="AJ66" s="27" t="n">
        <f aca="false">IF(COUNT('Milho 1ª safra'!$E64:$Z64)=0,0,MAX(0,IF((AJ$6-$E$3)&lt;1,0,IFERROR(LOOKUP(2,1/('Milho 1ª safra'!$E64:INDEX('Milho 1ª safra'!$E64:$Z64,MIN(AJ$6-$E$3,22))&lt;&gt;""),'Milho 1ª safra'!$E64:INDEX('Milho 1ª safra'!$E64:$Z64,MIN(AJ$6-$E$3,22))),0))-IF($G$2,0,IF((AJ$6-$G$3)&lt;1,0,IFERROR(LOOKUP(2,1/('Milho 1ª safra'!$E64:INDEX('Milho 1ª safra'!$E64:$Z64,MIN(AJ$6-$G$3,22))&lt;&gt;""),'Milho 1ª safra'!$E64:INDEX('Milho 1ª safra'!$E64:$Z64,MIN(AJ$6-$G$3,22))),0)))))</f>
        <v>0</v>
      </c>
      <c r="AK66" s="27" t="n">
        <f aca="false">IF(COUNT('Milho 1ª safra'!$E64:$Z64)=0,0,MAX(0,IF((AK$6-$E$3)&lt;1,0,IFERROR(LOOKUP(2,1/('Milho 1ª safra'!$E64:INDEX('Milho 1ª safra'!$E64:$Z64,MIN(AK$6-$E$3,22))&lt;&gt;""),'Milho 1ª safra'!$E64:INDEX('Milho 1ª safra'!$E64:$Z64,MIN(AK$6-$E$3,22))),0))-IF($G$2,0,IF((AK$6-$G$3)&lt;1,0,IFERROR(LOOKUP(2,1/('Milho 1ª safra'!$E64:INDEX('Milho 1ª safra'!$E64:$Z64,MIN(AK$6-$G$3,22))&lt;&gt;""),'Milho 1ª safra'!$E64:INDEX('Milho 1ª safra'!$E64:$Z64,MIN(AK$6-$G$3,22))),0)))))</f>
        <v>0</v>
      </c>
      <c r="AL66" s="27" t="n">
        <f aca="false">IF(COUNT('Milho 1ª safra'!$E64:$Z64)=0,0,MAX(0,IF((AL$6-$E$3)&lt;1,0,IFERROR(LOOKUP(2,1/('Milho 1ª safra'!$E64:INDEX('Milho 1ª safra'!$E64:$Z64,MIN(AL$6-$E$3,22))&lt;&gt;""),'Milho 1ª safra'!$E64:INDEX('Milho 1ª safra'!$E64:$Z64,MIN(AL$6-$E$3,22))),0))-IF($G$2,0,IF((AL$6-$G$3)&lt;1,0,IFERROR(LOOKUP(2,1/('Milho 1ª safra'!$E64:INDEX('Milho 1ª safra'!$E64:$Z64,MIN(AL$6-$G$3,22))&lt;&gt;""),'Milho 1ª safra'!$E64:INDEX('Milho 1ª safra'!$E64:$Z64,MIN(AL$6-$G$3,22))),0)))))</f>
        <v>0</v>
      </c>
      <c r="AM66" s="27" t="n">
        <f aca="false">IF(COUNT('Milho 1ª safra'!$E64:$Z64)=0,0,MAX(0,IF((AM$6-$E$3)&lt;1,0,IFERROR(LOOKUP(2,1/('Milho 1ª safra'!$E64:INDEX('Milho 1ª safra'!$E64:$Z64,MIN(AM$6-$E$3,22))&lt;&gt;""),'Milho 1ª safra'!$E64:INDEX('Milho 1ª safra'!$E64:$Z64,MIN(AM$6-$E$3,22))),0))-IF($G$2,0,IF((AM$6-$G$3)&lt;1,0,IFERROR(LOOKUP(2,1/('Milho 1ª safra'!$E64:INDEX('Milho 1ª safra'!$E64:$Z64,MIN(AM$6-$G$3,22))&lt;&gt;""),'Milho 1ª safra'!$E64:INDEX('Milho 1ª safra'!$E64:$Z64,MIN(AM$6-$G$3,22))),0)))))</f>
        <v>0</v>
      </c>
      <c r="AN66" s="27" t="n">
        <f aca="false">IF(COUNT('Milho 1ª safra'!$E64:$Z64)=0,0,MAX(0,IF((AN$6-$E$3)&lt;1,0,IFERROR(LOOKUP(2,1/('Milho 1ª safra'!$E64:INDEX('Milho 1ª safra'!$E64:$Z64,MIN(AN$6-$E$3,22))&lt;&gt;""),'Milho 1ª safra'!$E64:INDEX('Milho 1ª safra'!$E64:$Z64,MIN(AN$6-$E$3,22))),0))-IF($G$2,0,IF((AN$6-$G$3)&lt;1,0,IFERROR(LOOKUP(2,1/('Milho 1ª safra'!$E64:INDEX('Milho 1ª safra'!$E64:$Z64,MIN(AN$6-$G$3,22))&lt;&gt;""),'Milho 1ª safra'!$E64:INDEX('Milho 1ª safra'!$E64:$Z64,MIN(AN$6-$G$3,22))),0)))))</f>
        <v>0</v>
      </c>
      <c r="AO66" s="27" t="n">
        <f aca="false">IF(COUNT('Milho 1ª safra'!$E64:$Z64)=0,0,MAX(0,IF((AO$6-$E$3)&lt;1,0,IFERROR(LOOKUP(2,1/('Milho 1ª safra'!$E64:INDEX('Milho 1ª safra'!$E64:$Z64,MIN(AO$6-$E$3,22))&lt;&gt;""),'Milho 1ª safra'!$E64:INDEX('Milho 1ª safra'!$E64:$Z64,MIN(AO$6-$E$3,22))),0))-IF($G$2,0,IF((AO$6-$G$3)&lt;1,0,IFERROR(LOOKUP(2,1/('Milho 1ª safra'!$E64:INDEX('Milho 1ª safra'!$E64:$Z64,MIN(AO$6-$G$3,22))&lt;&gt;""),'Milho 1ª safra'!$E64:INDEX('Milho 1ª safra'!$E64:$Z64,MIN(AO$6-$G$3,22))),0)))))</f>
        <v>0</v>
      </c>
      <c r="AP66" s="27" t="n">
        <f aca="false">IF(COUNT('Milho 1ª safra'!$E64:$Z64)=0,0,MAX(0,IF((AP$6-$E$3)&lt;1,0,IFERROR(LOOKUP(2,1/('Milho 1ª safra'!$E64:INDEX('Milho 1ª safra'!$E64:$Z64,MIN(AP$6-$E$3,22))&lt;&gt;""),'Milho 1ª safra'!$E64:INDEX('Milho 1ª safra'!$E64:$Z64,MIN(AP$6-$E$3,22))),0))-IF($G$2,0,IF((AP$6-$G$3)&lt;1,0,IFERROR(LOOKUP(2,1/('Milho 1ª safra'!$E64:INDEX('Milho 1ª safra'!$E64:$Z64,MIN(AP$6-$G$3,22))&lt;&gt;""),'Milho 1ª safra'!$E64:INDEX('Milho 1ª safra'!$E64:$Z64,MIN(AP$6-$G$3,22))),0)))))</f>
        <v>0</v>
      </c>
      <c r="AQ66" s="27" t="n">
        <f aca="false">IF(COUNT('Milho 1ª safra'!$E64:$Z64)=0,0,MAX(0,IF((AQ$6-$E$3)&lt;1,0,IFERROR(LOOKUP(2,1/('Milho 1ª safra'!$E64:INDEX('Milho 1ª safra'!$E64:$Z64,MIN(AQ$6-$E$3,22))&lt;&gt;""),'Milho 1ª safra'!$E64:INDEX('Milho 1ª safra'!$E64:$Z64,MIN(AQ$6-$E$3,22))),0))-IF($G$2,0,IF((AQ$6-$G$3)&lt;1,0,IFERROR(LOOKUP(2,1/('Milho 1ª safra'!$E64:INDEX('Milho 1ª safra'!$E64:$Z64,MIN(AQ$6-$G$3,22))&lt;&gt;""),'Milho 1ª safra'!$E64:INDEX('Milho 1ª safra'!$E64:$Z64,MIN(AQ$6-$G$3,22))),0)))))</f>
        <v>0</v>
      </c>
      <c r="AR66" s="27" t="n">
        <f aca="false">IF(COUNT('Milho 1ª safra'!$E64:$Z64)=0,0,MAX(0,IF((AR$6-$E$3)&lt;1,0,IFERROR(LOOKUP(2,1/('Milho 1ª safra'!$E64:INDEX('Milho 1ª safra'!$E64:$Z64,MIN(AR$6-$E$3,22))&lt;&gt;""),'Milho 1ª safra'!$E64:INDEX('Milho 1ª safra'!$E64:$Z64,MIN(AR$6-$E$3,22))),0))-IF($G$2,0,IF((AR$6-$G$3)&lt;1,0,IFERROR(LOOKUP(2,1/('Milho 1ª safra'!$E64:INDEX('Milho 1ª safra'!$E64:$Z64,MIN(AR$6-$G$3,22))&lt;&gt;""),'Milho 1ª safra'!$E64:INDEX('Milho 1ª safra'!$E64:$Z64,MIN(AR$6-$G$3,22))),0)))))</f>
        <v>0</v>
      </c>
      <c r="AS66" s="27" t="n">
        <f aca="false">IF(COUNT('Milho 1ª safra'!$E64:$Z64)=0,0,MAX(0,IF((AS$6-$E$3)&lt;1,0,IFERROR(LOOKUP(2,1/('Milho 1ª safra'!$E64:INDEX('Milho 1ª safra'!$E64:$Z64,MIN(AS$6-$E$3,22))&lt;&gt;""),'Milho 1ª safra'!$E64:INDEX('Milho 1ª safra'!$E64:$Z64,MIN(AS$6-$E$3,22))),0))-IF($G$2,0,IF((AS$6-$G$3)&lt;1,0,IFERROR(LOOKUP(2,1/('Milho 1ª safra'!$E64:INDEX('Milho 1ª safra'!$E64:$Z64,MIN(AS$6-$G$3,22))&lt;&gt;""),'Milho 1ª safra'!$E64:INDEX('Milho 1ª safra'!$E64:$Z64,MIN(AS$6-$G$3,22))),0)))))</f>
        <v>0</v>
      </c>
      <c r="AT66" s="27" t="n">
        <f aca="false">IF(COUNT('Milho 1ª safra'!$E64:$Z64)=0,0,MAX(0,IF((AT$6-$E$3)&lt;1,0,IFERROR(LOOKUP(2,1/('Milho 1ª safra'!$E64:INDEX('Milho 1ª safra'!$E64:$Z64,MIN(AT$6-$E$3,22))&lt;&gt;""),'Milho 1ª safra'!$E64:INDEX('Milho 1ª safra'!$E64:$Z64,MIN(AT$6-$E$3,22))),0))-IF($G$2,0,IF((AT$6-$G$3)&lt;1,0,IFERROR(LOOKUP(2,1/('Milho 1ª safra'!$E64:INDEX('Milho 1ª safra'!$E64:$Z64,MIN(AT$6-$G$3,22))&lt;&gt;""),'Milho 1ª safra'!$E64:INDEX('Milho 1ª safra'!$E64:$Z64,MIN(AT$6-$G$3,22))),0)))))</f>
        <v>0</v>
      </c>
      <c r="AU66" s="27" t="n">
        <f aca="false">IF(COUNT('Milho 1ª safra'!$E64:$Z64)=0,0,MAX(0,IF((AU$6-$E$3)&lt;1,0,IFERROR(LOOKUP(2,1/('Milho 1ª safra'!$E64:INDEX('Milho 1ª safra'!$E64:$Z64,MIN(AU$6-$E$3,22))&lt;&gt;""),'Milho 1ª safra'!$E64:INDEX('Milho 1ª safra'!$E64:$Z64,MIN(AU$6-$E$3,22))),0))-IF($G$2,0,IF((AU$6-$G$3)&lt;1,0,IFERROR(LOOKUP(2,1/('Milho 1ª safra'!$E64:INDEX('Milho 1ª safra'!$E64:$Z64,MIN(AU$6-$G$3,22))&lt;&gt;""),'Milho 1ª safra'!$E64:INDEX('Milho 1ª safra'!$E64:$Z64,MIN(AU$6-$G$3,22))),0)))))</f>
        <v>0</v>
      </c>
      <c r="AV66" s="27" t="n">
        <f aca="false">IF(COUNT('Milho 1ª safra'!$E64:$Z64)=0,0,MAX(0,IF((AV$6-$E$3)&lt;1,0,IFERROR(LOOKUP(2,1/('Milho 1ª safra'!$E64:INDEX('Milho 1ª safra'!$E64:$Z64,MIN(AV$6-$E$3,22))&lt;&gt;""),'Milho 1ª safra'!$E64:INDEX('Milho 1ª safra'!$E64:$Z64,MIN(AV$6-$E$3,22))),0))-IF($G$2,0,IF((AV$6-$G$3)&lt;1,0,IFERROR(LOOKUP(2,1/('Milho 1ª safra'!$E64:INDEX('Milho 1ª safra'!$E64:$Z64,MIN(AV$6-$G$3,22))&lt;&gt;""),'Milho 1ª safra'!$E64:INDEX('Milho 1ª safra'!$E64:$Z64,MIN(AV$6-$G$3,22))),0)))))</f>
        <v>0</v>
      </c>
      <c r="AW66" s="27" t="n">
        <f aca="false">IF(COUNT('Milho 1ª safra'!$E64:$Z64)=0,0,MAX(0,IF((AW$6-$E$3)&lt;1,0,IFERROR(LOOKUP(2,1/('Milho 1ª safra'!$E64:INDEX('Milho 1ª safra'!$E64:$Z64,MIN(AW$6-$E$3,22))&lt;&gt;""),'Milho 1ª safra'!$E64:INDEX('Milho 1ª safra'!$E64:$Z64,MIN(AW$6-$E$3,22))),0))-IF($G$2,0,IF((AW$6-$G$3)&lt;1,0,IFERROR(LOOKUP(2,1/('Milho 1ª safra'!$E64:INDEX('Milho 1ª safra'!$E64:$Z64,MIN(AW$6-$G$3,22))&lt;&gt;""),'Milho 1ª safra'!$E64:INDEX('Milho 1ª safra'!$E64:$Z64,MIN(AW$6-$G$3,22))),0)))))</f>
        <v>0</v>
      </c>
      <c r="AX66" s="27" t="n">
        <f aca="false">IF(COUNT('Milho 1ª safra'!$E64:$Z64)=0,0,MAX(0,IF((AX$6-$E$3)&lt;1,0,IFERROR(LOOKUP(2,1/('Milho 1ª safra'!$E64:INDEX('Milho 1ª safra'!$E64:$Z64,MIN(AX$6-$E$3,22))&lt;&gt;""),'Milho 1ª safra'!$E64:INDEX('Milho 1ª safra'!$E64:$Z64,MIN(AX$6-$E$3,22))),0))-IF($G$2,0,IF((AX$6-$G$3)&lt;1,0,IFERROR(LOOKUP(2,1/('Milho 1ª safra'!$E64:INDEX('Milho 1ª safra'!$E64:$Z64,MIN(AX$6-$G$3,22))&lt;&gt;""),'Milho 1ª safra'!$E64:INDEX('Milho 1ª safra'!$E64:$Z64,MIN(AX$6-$G$3,22))),0)))))</f>
        <v>0</v>
      </c>
      <c r="AY66" s="27" t="n">
        <f aca="false">IF(COUNT('Milho 1ª safra'!$E64:$Z64)=0,0,MAX(0,IF((AY$6-$E$3)&lt;1,0,IFERROR(LOOKUP(2,1/('Milho 1ª safra'!$E64:INDEX('Milho 1ª safra'!$E64:$Z64,MIN(AY$6-$E$3,22))&lt;&gt;""),'Milho 1ª safra'!$E64:INDEX('Milho 1ª safra'!$E64:$Z64,MIN(AY$6-$E$3,22))),0))-IF($G$2,0,IF((AY$6-$G$3)&lt;1,0,IFERROR(LOOKUP(2,1/('Milho 1ª safra'!$E64:INDEX('Milho 1ª safra'!$E64:$Z64,MIN(AY$6-$G$3,22))&lt;&gt;""),'Milho 1ª safra'!$E64:INDEX('Milho 1ª safra'!$E64:$Z64,MIN(AY$6-$G$3,22))),0)))))</f>
        <v>0</v>
      </c>
      <c r="AZ66" s="27" t="n">
        <f aca="false">IF(COUNT('Milho 1ª safra'!$E64:$Z64)=0,0,MAX(0,IF((AZ$6-$E$3)&lt;1,0,IFERROR(LOOKUP(2,1/('Milho 1ª safra'!$E64:INDEX('Milho 1ª safra'!$E64:$Z64,MIN(AZ$6-$E$3,22))&lt;&gt;""),'Milho 1ª safra'!$E64:INDEX('Milho 1ª safra'!$E64:$Z64,MIN(AZ$6-$E$3,22))),0))-IF($G$2,0,IF((AZ$6-$G$3)&lt;1,0,IFERROR(LOOKUP(2,1/('Milho 1ª safra'!$E64:INDEX('Milho 1ª safra'!$E64:$Z64,MIN(AZ$6-$G$3,22))&lt;&gt;""),'Milho 1ª safra'!$E64:INDEX('Milho 1ª safra'!$E64:$Z64,MIN(AZ$6-$G$3,22))),0)))))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IF(COUNT('Milho 1ª safra'!$E65:$Z65)&gt;0,N('Milho 1ª safra'!$D65),0)</f>
        <v>0</v>
      </c>
      <c r="E67" s="27" t="n">
        <f aca="false">IF(COUNT('Milho 1ª safra'!$E65:$Z65)=0,0,MAX(0,IF((E$6-$E$3)&lt;1,0,IFERROR(LOOKUP(2,1/('Milho 1ª safra'!$E65:INDEX('Milho 1ª safra'!$E65:$Z65,MIN(E$6-$E$3,22))&lt;&gt;""),'Milho 1ª safra'!$E65:INDEX('Milho 1ª safra'!$E65:$Z65,MIN(E$6-$E$3,22))),0))-IF($G$2,0,IF((E$6-$G$3)&lt;1,0,IFERROR(LOOKUP(2,1/('Milho 1ª safra'!$E65:INDEX('Milho 1ª safra'!$E65:$Z65,MIN(E$6-$G$3,22))&lt;&gt;""),'Milho 1ª safra'!$E65:INDEX('Milho 1ª safra'!$E65:$Z65,MIN(E$6-$G$3,22))),0)))))</f>
        <v>0</v>
      </c>
      <c r="F67" s="27" t="n">
        <f aca="false">IF(COUNT('Milho 1ª safra'!$E65:$Z65)=0,0,MAX(0,IF((F$6-$E$3)&lt;1,0,IFERROR(LOOKUP(2,1/('Milho 1ª safra'!$E65:INDEX('Milho 1ª safra'!$E65:$Z65,MIN(F$6-$E$3,22))&lt;&gt;""),'Milho 1ª safra'!$E65:INDEX('Milho 1ª safra'!$E65:$Z65,MIN(F$6-$E$3,22))),0))-IF($G$2,0,IF((F$6-$G$3)&lt;1,0,IFERROR(LOOKUP(2,1/('Milho 1ª safra'!$E65:INDEX('Milho 1ª safra'!$E65:$Z65,MIN(F$6-$G$3,22))&lt;&gt;""),'Milho 1ª safra'!$E65:INDEX('Milho 1ª safra'!$E65:$Z65,MIN(F$6-$G$3,22))),0)))))</f>
        <v>0</v>
      </c>
      <c r="G67" s="27" t="n">
        <f aca="false">IF(COUNT('Milho 1ª safra'!$E65:$Z65)=0,0,MAX(0,IF((G$6-$E$3)&lt;1,0,IFERROR(LOOKUP(2,1/('Milho 1ª safra'!$E65:INDEX('Milho 1ª safra'!$E65:$Z65,MIN(G$6-$E$3,22))&lt;&gt;""),'Milho 1ª safra'!$E65:INDEX('Milho 1ª safra'!$E65:$Z65,MIN(G$6-$E$3,22))),0))-IF($G$2,0,IF((G$6-$G$3)&lt;1,0,IFERROR(LOOKUP(2,1/('Milho 1ª safra'!$E65:INDEX('Milho 1ª safra'!$E65:$Z65,MIN(G$6-$G$3,22))&lt;&gt;""),'Milho 1ª safra'!$E65:INDEX('Milho 1ª safra'!$E65:$Z65,MIN(G$6-$G$3,22))),0)))))</f>
        <v>0</v>
      </c>
      <c r="H67" s="27" t="n">
        <f aca="false">IF(COUNT('Milho 1ª safra'!$E65:$Z65)=0,0,MAX(0,IF((H$6-$E$3)&lt;1,0,IFERROR(LOOKUP(2,1/('Milho 1ª safra'!$E65:INDEX('Milho 1ª safra'!$E65:$Z65,MIN(H$6-$E$3,22))&lt;&gt;""),'Milho 1ª safra'!$E65:INDEX('Milho 1ª safra'!$E65:$Z65,MIN(H$6-$E$3,22))),0))-IF($G$2,0,IF((H$6-$G$3)&lt;1,0,IFERROR(LOOKUP(2,1/('Milho 1ª safra'!$E65:INDEX('Milho 1ª safra'!$E65:$Z65,MIN(H$6-$G$3,22))&lt;&gt;""),'Milho 1ª safra'!$E65:INDEX('Milho 1ª safra'!$E65:$Z65,MIN(H$6-$G$3,22))),0)))))</f>
        <v>0</v>
      </c>
      <c r="I67" s="27" t="n">
        <f aca="false">IF(COUNT('Milho 1ª safra'!$E65:$Z65)=0,0,MAX(0,IF((I$6-$E$3)&lt;1,0,IFERROR(LOOKUP(2,1/('Milho 1ª safra'!$E65:INDEX('Milho 1ª safra'!$E65:$Z65,MIN(I$6-$E$3,22))&lt;&gt;""),'Milho 1ª safra'!$E65:INDEX('Milho 1ª safra'!$E65:$Z65,MIN(I$6-$E$3,22))),0))-IF($G$2,0,IF((I$6-$G$3)&lt;1,0,IFERROR(LOOKUP(2,1/('Milho 1ª safra'!$E65:INDEX('Milho 1ª safra'!$E65:$Z65,MIN(I$6-$G$3,22))&lt;&gt;""),'Milho 1ª safra'!$E65:INDEX('Milho 1ª safra'!$E65:$Z65,MIN(I$6-$G$3,22))),0)))))</f>
        <v>0</v>
      </c>
      <c r="J67" s="27" t="n">
        <f aca="false">IF(COUNT('Milho 1ª safra'!$E65:$Z65)=0,0,MAX(0,IF((J$6-$E$3)&lt;1,0,IFERROR(LOOKUP(2,1/('Milho 1ª safra'!$E65:INDEX('Milho 1ª safra'!$E65:$Z65,MIN(J$6-$E$3,22))&lt;&gt;""),'Milho 1ª safra'!$E65:INDEX('Milho 1ª safra'!$E65:$Z65,MIN(J$6-$E$3,22))),0))-IF($G$2,0,IF((J$6-$G$3)&lt;1,0,IFERROR(LOOKUP(2,1/('Milho 1ª safra'!$E65:INDEX('Milho 1ª safra'!$E65:$Z65,MIN(J$6-$G$3,22))&lt;&gt;""),'Milho 1ª safra'!$E65:INDEX('Milho 1ª safra'!$E65:$Z65,MIN(J$6-$G$3,22))),0)))))</f>
        <v>0</v>
      </c>
      <c r="K67" s="27" t="n">
        <f aca="false">IF(COUNT('Milho 1ª safra'!$E65:$Z65)=0,0,MAX(0,IF((K$6-$E$3)&lt;1,0,IFERROR(LOOKUP(2,1/('Milho 1ª safra'!$E65:INDEX('Milho 1ª safra'!$E65:$Z65,MIN(K$6-$E$3,22))&lt;&gt;""),'Milho 1ª safra'!$E65:INDEX('Milho 1ª safra'!$E65:$Z65,MIN(K$6-$E$3,22))),0))-IF($G$2,0,IF((K$6-$G$3)&lt;1,0,IFERROR(LOOKUP(2,1/('Milho 1ª safra'!$E65:INDEX('Milho 1ª safra'!$E65:$Z65,MIN(K$6-$G$3,22))&lt;&gt;""),'Milho 1ª safra'!$E65:INDEX('Milho 1ª safra'!$E65:$Z65,MIN(K$6-$G$3,22))),0)))))</f>
        <v>0</v>
      </c>
      <c r="L67" s="27" t="n">
        <f aca="false">IF(COUNT('Milho 1ª safra'!$E65:$Z65)=0,0,MAX(0,IF((L$6-$E$3)&lt;1,0,IFERROR(LOOKUP(2,1/('Milho 1ª safra'!$E65:INDEX('Milho 1ª safra'!$E65:$Z65,MIN(L$6-$E$3,22))&lt;&gt;""),'Milho 1ª safra'!$E65:INDEX('Milho 1ª safra'!$E65:$Z65,MIN(L$6-$E$3,22))),0))-IF($G$2,0,IF((L$6-$G$3)&lt;1,0,IFERROR(LOOKUP(2,1/('Milho 1ª safra'!$E65:INDEX('Milho 1ª safra'!$E65:$Z65,MIN(L$6-$G$3,22))&lt;&gt;""),'Milho 1ª safra'!$E65:INDEX('Milho 1ª safra'!$E65:$Z65,MIN(L$6-$G$3,22))),0)))))</f>
        <v>0</v>
      </c>
      <c r="M67" s="27" t="n">
        <f aca="false">IF(COUNT('Milho 1ª safra'!$E65:$Z65)=0,0,MAX(0,IF((M$6-$E$3)&lt;1,0,IFERROR(LOOKUP(2,1/('Milho 1ª safra'!$E65:INDEX('Milho 1ª safra'!$E65:$Z65,MIN(M$6-$E$3,22))&lt;&gt;""),'Milho 1ª safra'!$E65:INDEX('Milho 1ª safra'!$E65:$Z65,MIN(M$6-$E$3,22))),0))-IF($G$2,0,IF((M$6-$G$3)&lt;1,0,IFERROR(LOOKUP(2,1/('Milho 1ª safra'!$E65:INDEX('Milho 1ª safra'!$E65:$Z65,MIN(M$6-$G$3,22))&lt;&gt;""),'Milho 1ª safra'!$E65:INDEX('Milho 1ª safra'!$E65:$Z65,MIN(M$6-$G$3,22))),0)))))</f>
        <v>0</v>
      </c>
      <c r="N67" s="27" t="n">
        <f aca="false">IF(COUNT('Milho 1ª safra'!$E65:$Z65)=0,0,MAX(0,IF((N$6-$E$3)&lt;1,0,IFERROR(LOOKUP(2,1/('Milho 1ª safra'!$E65:INDEX('Milho 1ª safra'!$E65:$Z65,MIN(N$6-$E$3,22))&lt;&gt;""),'Milho 1ª safra'!$E65:INDEX('Milho 1ª safra'!$E65:$Z65,MIN(N$6-$E$3,22))),0))-IF($G$2,0,IF((N$6-$G$3)&lt;1,0,IFERROR(LOOKUP(2,1/('Milho 1ª safra'!$E65:INDEX('Milho 1ª safra'!$E65:$Z65,MIN(N$6-$G$3,22))&lt;&gt;""),'Milho 1ª safra'!$E65:INDEX('Milho 1ª safra'!$E65:$Z65,MIN(N$6-$G$3,22))),0)))))</f>
        <v>0</v>
      </c>
      <c r="O67" s="27" t="n">
        <f aca="false">IF(COUNT('Milho 1ª safra'!$E65:$Z65)=0,0,MAX(0,IF((O$6-$E$3)&lt;1,0,IFERROR(LOOKUP(2,1/('Milho 1ª safra'!$E65:INDEX('Milho 1ª safra'!$E65:$Z65,MIN(O$6-$E$3,22))&lt;&gt;""),'Milho 1ª safra'!$E65:INDEX('Milho 1ª safra'!$E65:$Z65,MIN(O$6-$E$3,22))),0))-IF($G$2,0,IF((O$6-$G$3)&lt;1,0,IFERROR(LOOKUP(2,1/('Milho 1ª safra'!$E65:INDEX('Milho 1ª safra'!$E65:$Z65,MIN(O$6-$G$3,22))&lt;&gt;""),'Milho 1ª safra'!$E65:INDEX('Milho 1ª safra'!$E65:$Z65,MIN(O$6-$G$3,22))),0)))))</f>
        <v>0</v>
      </c>
      <c r="P67" s="27" t="n">
        <f aca="false">IF(COUNT('Milho 1ª safra'!$E65:$Z65)=0,0,MAX(0,IF((P$6-$E$3)&lt;1,0,IFERROR(LOOKUP(2,1/('Milho 1ª safra'!$E65:INDEX('Milho 1ª safra'!$E65:$Z65,MIN(P$6-$E$3,22))&lt;&gt;""),'Milho 1ª safra'!$E65:INDEX('Milho 1ª safra'!$E65:$Z65,MIN(P$6-$E$3,22))),0))-IF($G$2,0,IF((P$6-$G$3)&lt;1,0,IFERROR(LOOKUP(2,1/('Milho 1ª safra'!$E65:INDEX('Milho 1ª safra'!$E65:$Z65,MIN(P$6-$G$3,22))&lt;&gt;""),'Milho 1ª safra'!$E65:INDEX('Milho 1ª safra'!$E65:$Z65,MIN(P$6-$G$3,22))),0)))))</f>
        <v>0</v>
      </c>
      <c r="Q67" s="27" t="n">
        <f aca="false">IF(COUNT('Milho 1ª safra'!$E65:$Z65)=0,0,MAX(0,IF((Q$6-$E$3)&lt;1,0,IFERROR(LOOKUP(2,1/('Milho 1ª safra'!$E65:INDEX('Milho 1ª safra'!$E65:$Z65,MIN(Q$6-$E$3,22))&lt;&gt;""),'Milho 1ª safra'!$E65:INDEX('Milho 1ª safra'!$E65:$Z65,MIN(Q$6-$E$3,22))),0))-IF($G$2,0,IF((Q$6-$G$3)&lt;1,0,IFERROR(LOOKUP(2,1/('Milho 1ª safra'!$E65:INDEX('Milho 1ª safra'!$E65:$Z65,MIN(Q$6-$G$3,22))&lt;&gt;""),'Milho 1ª safra'!$E65:INDEX('Milho 1ª safra'!$E65:$Z65,MIN(Q$6-$G$3,22))),0)))))</f>
        <v>0</v>
      </c>
      <c r="R67" s="27" t="n">
        <f aca="false">IF(COUNT('Milho 1ª safra'!$E65:$Z65)=0,0,MAX(0,IF((R$6-$E$3)&lt;1,0,IFERROR(LOOKUP(2,1/('Milho 1ª safra'!$E65:INDEX('Milho 1ª safra'!$E65:$Z65,MIN(R$6-$E$3,22))&lt;&gt;""),'Milho 1ª safra'!$E65:INDEX('Milho 1ª safra'!$E65:$Z65,MIN(R$6-$E$3,22))),0))-IF($G$2,0,IF((R$6-$G$3)&lt;1,0,IFERROR(LOOKUP(2,1/('Milho 1ª safra'!$E65:INDEX('Milho 1ª safra'!$E65:$Z65,MIN(R$6-$G$3,22))&lt;&gt;""),'Milho 1ª safra'!$E65:INDEX('Milho 1ª safra'!$E65:$Z65,MIN(R$6-$G$3,22))),0)))))</f>
        <v>0</v>
      </c>
      <c r="S67" s="27" t="n">
        <f aca="false">IF(COUNT('Milho 1ª safra'!$E65:$Z65)=0,0,MAX(0,IF((S$6-$E$3)&lt;1,0,IFERROR(LOOKUP(2,1/('Milho 1ª safra'!$E65:INDEX('Milho 1ª safra'!$E65:$Z65,MIN(S$6-$E$3,22))&lt;&gt;""),'Milho 1ª safra'!$E65:INDEX('Milho 1ª safra'!$E65:$Z65,MIN(S$6-$E$3,22))),0))-IF($G$2,0,IF((S$6-$G$3)&lt;1,0,IFERROR(LOOKUP(2,1/('Milho 1ª safra'!$E65:INDEX('Milho 1ª safra'!$E65:$Z65,MIN(S$6-$G$3,22))&lt;&gt;""),'Milho 1ª safra'!$E65:INDEX('Milho 1ª safra'!$E65:$Z65,MIN(S$6-$G$3,22))),0)))))</f>
        <v>0</v>
      </c>
      <c r="T67" s="27" t="n">
        <f aca="false">IF(COUNT('Milho 1ª safra'!$E65:$Z65)=0,0,MAX(0,IF((T$6-$E$3)&lt;1,0,IFERROR(LOOKUP(2,1/('Milho 1ª safra'!$E65:INDEX('Milho 1ª safra'!$E65:$Z65,MIN(T$6-$E$3,22))&lt;&gt;""),'Milho 1ª safra'!$E65:INDEX('Milho 1ª safra'!$E65:$Z65,MIN(T$6-$E$3,22))),0))-IF($G$2,0,IF((T$6-$G$3)&lt;1,0,IFERROR(LOOKUP(2,1/('Milho 1ª safra'!$E65:INDEX('Milho 1ª safra'!$E65:$Z65,MIN(T$6-$G$3,22))&lt;&gt;""),'Milho 1ª safra'!$E65:INDEX('Milho 1ª safra'!$E65:$Z65,MIN(T$6-$G$3,22))),0)))))</f>
        <v>0</v>
      </c>
      <c r="U67" s="27" t="n">
        <f aca="false">IF(COUNT('Milho 1ª safra'!$E65:$Z65)=0,0,MAX(0,IF((U$6-$E$3)&lt;1,0,IFERROR(LOOKUP(2,1/('Milho 1ª safra'!$E65:INDEX('Milho 1ª safra'!$E65:$Z65,MIN(U$6-$E$3,22))&lt;&gt;""),'Milho 1ª safra'!$E65:INDEX('Milho 1ª safra'!$E65:$Z65,MIN(U$6-$E$3,22))),0))-IF($G$2,0,IF((U$6-$G$3)&lt;1,0,IFERROR(LOOKUP(2,1/('Milho 1ª safra'!$E65:INDEX('Milho 1ª safra'!$E65:$Z65,MIN(U$6-$G$3,22))&lt;&gt;""),'Milho 1ª safra'!$E65:INDEX('Milho 1ª safra'!$E65:$Z65,MIN(U$6-$G$3,22))),0)))))</f>
        <v>0</v>
      </c>
      <c r="V67" s="27" t="n">
        <f aca="false">IF(COUNT('Milho 1ª safra'!$E65:$Z65)=0,0,MAX(0,IF((V$6-$E$3)&lt;1,0,IFERROR(LOOKUP(2,1/('Milho 1ª safra'!$E65:INDEX('Milho 1ª safra'!$E65:$Z65,MIN(V$6-$E$3,22))&lt;&gt;""),'Milho 1ª safra'!$E65:INDEX('Milho 1ª safra'!$E65:$Z65,MIN(V$6-$E$3,22))),0))-IF($G$2,0,IF((V$6-$G$3)&lt;1,0,IFERROR(LOOKUP(2,1/('Milho 1ª safra'!$E65:INDEX('Milho 1ª safra'!$E65:$Z65,MIN(V$6-$G$3,22))&lt;&gt;""),'Milho 1ª safra'!$E65:INDEX('Milho 1ª safra'!$E65:$Z65,MIN(V$6-$G$3,22))),0)))))</f>
        <v>0</v>
      </c>
      <c r="W67" s="27" t="n">
        <f aca="false">IF(COUNT('Milho 1ª safra'!$E65:$Z65)=0,0,MAX(0,IF((W$6-$E$3)&lt;1,0,IFERROR(LOOKUP(2,1/('Milho 1ª safra'!$E65:INDEX('Milho 1ª safra'!$E65:$Z65,MIN(W$6-$E$3,22))&lt;&gt;""),'Milho 1ª safra'!$E65:INDEX('Milho 1ª safra'!$E65:$Z65,MIN(W$6-$E$3,22))),0))-IF($G$2,0,IF((W$6-$G$3)&lt;1,0,IFERROR(LOOKUP(2,1/('Milho 1ª safra'!$E65:INDEX('Milho 1ª safra'!$E65:$Z65,MIN(W$6-$G$3,22))&lt;&gt;""),'Milho 1ª safra'!$E65:INDEX('Milho 1ª safra'!$E65:$Z65,MIN(W$6-$G$3,22))),0)))))</f>
        <v>0</v>
      </c>
      <c r="X67" s="27" t="n">
        <f aca="false">IF(COUNT('Milho 1ª safra'!$E65:$Z65)=0,0,MAX(0,IF((X$6-$E$3)&lt;1,0,IFERROR(LOOKUP(2,1/('Milho 1ª safra'!$E65:INDEX('Milho 1ª safra'!$E65:$Z65,MIN(X$6-$E$3,22))&lt;&gt;""),'Milho 1ª safra'!$E65:INDEX('Milho 1ª safra'!$E65:$Z65,MIN(X$6-$E$3,22))),0))-IF($G$2,0,IF((X$6-$G$3)&lt;1,0,IFERROR(LOOKUP(2,1/('Milho 1ª safra'!$E65:INDEX('Milho 1ª safra'!$E65:$Z65,MIN(X$6-$G$3,22))&lt;&gt;""),'Milho 1ª safra'!$E65:INDEX('Milho 1ª safra'!$E65:$Z65,MIN(X$6-$G$3,22))),0)))))</f>
        <v>0</v>
      </c>
      <c r="Y67" s="27" t="n">
        <f aca="false">IF(COUNT('Milho 1ª safra'!$E65:$Z65)=0,0,MAX(0,IF((Y$6-$E$3)&lt;1,0,IFERROR(LOOKUP(2,1/('Milho 1ª safra'!$E65:INDEX('Milho 1ª safra'!$E65:$Z65,MIN(Y$6-$E$3,22))&lt;&gt;""),'Milho 1ª safra'!$E65:INDEX('Milho 1ª safra'!$E65:$Z65,MIN(Y$6-$E$3,22))),0))-IF($G$2,0,IF((Y$6-$G$3)&lt;1,0,IFERROR(LOOKUP(2,1/('Milho 1ª safra'!$E65:INDEX('Milho 1ª safra'!$E65:$Z65,MIN(Y$6-$G$3,22))&lt;&gt;""),'Milho 1ª safra'!$E65:INDEX('Milho 1ª safra'!$E65:$Z65,MIN(Y$6-$G$3,22))),0)))))</f>
        <v>0</v>
      </c>
      <c r="Z67" s="27" t="n">
        <f aca="false">IF(COUNT('Milho 1ª safra'!$E65:$Z65)=0,0,MAX(0,IF((Z$6-$E$3)&lt;1,0,IFERROR(LOOKUP(2,1/('Milho 1ª safra'!$E65:INDEX('Milho 1ª safra'!$E65:$Z65,MIN(Z$6-$E$3,22))&lt;&gt;""),'Milho 1ª safra'!$E65:INDEX('Milho 1ª safra'!$E65:$Z65,MIN(Z$6-$E$3,22))),0))-IF($G$2,0,IF((Z$6-$G$3)&lt;1,0,IFERROR(LOOKUP(2,1/('Milho 1ª safra'!$E65:INDEX('Milho 1ª safra'!$E65:$Z65,MIN(Z$6-$G$3,22))&lt;&gt;""),'Milho 1ª safra'!$E65:INDEX('Milho 1ª safra'!$E65:$Z65,MIN(Z$6-$G$3,22))),0)))))</f>
        <v>0</v>
      </c>
      <c r="AA67" s="27" t="n">
        <f aca="false">IF(COUNT('Milho 1ª safra'!$E65:$Z65)=0,0,MAX(0,IF((AA$6-$E$3)&lt;1,0,IFERROR(LOOKUP(2,1/('Milho 1ª safra'!$E65:INDEX('Milho 1ª safra'!$E65:$Z65,MIN(AA$6-$E$3,22))&lt;&gt;""),'Milho 1ª safra'!$E65:INDEX('Milho 1ª safra'!$E65:$Z65,MIN(AA$6-$E$3,22))),0))-IF($G$2,0,IF((AA$6-$G$3)&lt;1,0,IFERROR(LOOKUP(2,1/('Milho 1ª safra'!$E65:INDEX('Milho 1ª safra'!$E65:$Z65,MIN(AA$6-$G$3,22))&lt;&gt;""),'Milho 1ª safra'!$E65:INDEX('Milho 1ª safra'!$E65:$Z65,MIN(AA$6-$G$3,22))),0)))))</f>
        <v>0</v>
      </c>
      <c r="AB67" s="27" t="n">
        <f aca="false">IF(COUNT('Milho 1ª safra'!$E65:$Z65)=0,0,MAX(0,IF((AB$6-$E$3)&lt;1,0,IFERROR(LOOKUP(2,1/('Milho 1ª safra'!$E65:INDEX('Milho 1ª safra'!$E65:$Z65,MIN(AB$6-$E$3,22))&lt;&gt;""),'Milho 1ª safra'!$E65:INDEX('Milho 1ª safra'!$E65:$Z65,MIN(AB$6-$E$3,22))),0))-IF($G$2,0,IF((AB$6-$G$3)&lt;1,0,IFERROR(LOOKUP(2,1/('Milho 1ª safra'!$E65:INDEX('Milho 1ª safra'!$E65:$Z65,MIN(AB$6-$G$3,22))&lt;&gt;""),'Milho 1ª safra'!$E65:INDEX('Milho 1ª safra'!$E65:$Z65,MIN(AB$6-$G$3,22))),0)))))</f>
        <v>0</v>
      </c>
      <c r="AC67" s="27" t="n">
        <f aca="false">IF(COUNT('Milho 1ª safra'!$E65:$Z65)=0,0,MAX(0,IF((AC$6-$E$3)&lt;1,0,IFERROR(LOOKUP(2,1/('Milho 1ª safra'!$E65:INDEX('Milho 1ª safra'!$E65:$Z65,MIN(AC$6-$E$3,22))&lt;&gt;""),'Milho 1ª safra'!$E65:INDEX('Milho 1ª safra'!$E65:$Z65,MIN(AC$6-$E$3,22))),0))-IF($G$2,0,IF((AC$6-$G$3)&lt;1,0,IFERROR(LOOKUP(2,1/('Milho 1ª safra'!$E65:INDEX('Milho 1ª safra'!$E65:$Z65,MIN(AC$6-$G$3,22))&lt;&gt;""),'Milho 1ª safra'!$E65:INDEX('Milho 1ª safra'!$E65:$Z65,MIN(AC$6-$G$3,22))),0)))))</f>
        <v>0</v>
      </c>
      <c r="AD67" s="27" t="n">
        <f aca="false">IF(COUNT('Milho 1ª safra'!$E65:$Z65)=0,0,MAX(0,IF((AD$6-$E$3)&lt;1,0,IFERROR(LOOKUP(2,1/('Milho 1ª safra'!$E65:INDEX('Milho 1ª safra'!$E65:$Z65,MIN(AD$6-$E$3,22))&lt;&gt;""),'Milho 1ª safra'!$E65:INDEX('Milho 1ª safra'!$E65:$Z65,MIN(AD$6-$E$3,22))),0))-IF($G$2,0,IF((AD$6-$G$3)&lt;1,0,IFERROR(LOOKUP(2,1/('Milho 1ª safra'!$E65:INDEX('Milho 1ª safra'!$E65:$Z65,MIN(AD$6-$G$3,22))&lt;&gt;""),'Milho 1ª safra'!$E65:INDEX('Milho 1ª safra'!$E65:$Z65,MIN(AD$6-$G$3,22))),0)))))</f>
        <v>0</v>
      </c>
      <c r="AE67" s="27" t="n">
        <f aca="false">IF(COUNT('Milho 1ª safra'!$E65:$Z65)=0,0,MAX(0,IF((AE$6-$E$3)&lt;1,0,IFERROR(LOOKUP(2,1/('Milho 1ª safra'!$E65:INDEX('Milho 1ª safra'!$E65:$Z65,MIN(AE$6-$E$3,22))&lt;&gt;""),'Milho 1ª safra'!$E65:INDEX('Milho 1ª safra'!$E65:$Z65,MIN(AE$6-$E$3,22))),0))-IF($G$2,0,IF((AE$6-$G$3)&lt;1,0,IFERROR(LOOKUP(2,1/('Milho 1ª safra'!$E65:INDEX('Milho 1ª safra'!$E65:$Z65,MIN(AE$6-$G$3,22))&lt;&gt;""),'Milho 1ª safra'!$E65:INDEX('Milho 1ª safra'!$E65:$Z65,MIN(AE$6-$G$3,22))),0)))))</f>
        <v>0</v>
      </c>
      <c r="AF67" s="27" t="n">
        <f aca="false">IF(COUNT('Milho 1ª safra'!$E65:$Z65)=0,0,MAX(0,IF((AF$6-$E$3)&lt;1,0,IFERROR(LOOKUP(2,1/('Milho 1ª safra'!$E65:INDEX('Milho 1ª safra'!$E65:$Z65,MIN(AF$6-$E$3,22))&lt;&gt;""),'Milho 1ª safra'!$E65:INDEX('Milho 1ª safra'!$E65:$Z65,MIN(AF$6-$E$3,22))),0))-IF($G$2,0,IF((AF$6-$G$3)&lt;1,0,IFERROR(LOOKUP(2,1/('Milho 1ª safra'!$E65:INDEX('Milho 1ª safra'!$E65:$Z65,MIN(AF$6-$G$3,22))&lt;&gt;""),'Milho 1ª safra'!$E65:INDEX('Milho 1ª safra'!$E65:$Z65,MIN(AF$6-$G$3,22))),0)))))</f>
        <v>0</v>
      </c>
      <c r="AG67" s="27" t="n">
        <f aca="false">IF(COUNT('Milho 1ª safra'!$E65:$Z65)=0,0,MAX(0,IF((AG$6-$E$3)&lt;1,0,IFERROR(LOOKUP(2,1/('Milho 1ª safra'!$E65:INDEX('Milho 1ª safra'!$E65:$Z65,MIN(AG$6-$E$3,22))&lt;&gt;""),'Milho 1ª safra'!$E65:INDEX('Milho 1ª safra'!$E65:$Z65,MIN(AG$6-$E$3,22))),0))-IF($G$2,0,IF((AG$6-$G$3)&lt;1,0,IFERROR(LOOKUP(2,1/('Milho 1ª safra'!$E65:INDEX('Milho 1ª safra'!$E65:$Z65,MIN(AG$6-$G$3,22))&lt;&gt;""),'Milho 1ª safra'!$E65:INDEX('Milho 1ª safra'!$E65:$Z65,MIN(AG$6-$G$3,22))),0)))))</f>
        <v>0</v>
      </c>
      <c r="AH67" s="27" t="n">
        <f aca="false">IF(COUNT('Milho 1ª safra'!$E65:$Z65)=0,0,MAX(0,IF((AH$6-$E$3)&lt;1,0,IFERROR(LOOKUP(2,1/('Milho 1ª safra'!$E65:INDEX('Milho 1ª safra'!$E65:$Z65,MIN(AH$6-$E$3,22))&lt;&gt;""),'Milho 1ª safra'!$E65:INDEX('Milho 1ª safra'!$E65:$Z65,MIN(AH$6-$E$3,22))),0))-IF($G$2,0,IF((AH$6-$G$3)&lt;1,0,IFERROR(LOOKUP(2,1/('Milho 1ª safra'!$E65:INDEX('Milho 1ª safra'!$E65:$Z65,MIN(AH$6-$G$3,22))&lt;&gt;""),'Milho 1ª safra'!$E65:INDEX('Milho 1ª safra'!$E65:$Z65,MIN(AH$6-$G$3,22))),0)))))</f>
        <v>0</v>
      </c>
      <c r="AI67" s="27" t="n">
        <f aca="false">IF(COUNT('Milho 1ª safra'!$E65:$Z65)=0,0,MAX(0,IF((AI$6-$E$3)&lt;1,0,IFERROR(LOOKUP(2,1/('Milho 1ª safra'!$E65:INDEX('Milho 1ª safra'!$E65:$Z65,MIN(AI$6-$E$3,22))&lt;&gt;""),'Milho 1ª safra'!$E65:INDEX('Milho 1ª safra'!$E65:$Z65,MIN(AI$6-$E$3,22))),0))-IF($G$2,0,IF((AI$6-$G$3)&lt;1,0,IFERROR(LOOKUP(2,1/('Milho 1ª safra'!$E65:INDEX('Milho 1ª safra'!$E65:$Z65,MIN(AI$6-$G$3,22))&lt;&gt;""),'Milho 1ª safra'!$E65:INDEX('Milho 1ª safra'!$E65:$Z65,MIN(AI$6-$G$3,22))),0)))))</f>
        <v>0</v>
      </c>
      <c r="AJ67" s="27" t="n">
        <f aca="false">IF(COUNT('Milho 1ª safra'!$E65:$Z65)=0,0,MAX(0,IF((AJ$6-$E$3)&lt;1,0,IFERROR(LOOKUP(2,1/('Milho 1ª safra'!$E65:INDEX('Milho 1ª safra'!$E65:$Z65,MIN(AJ$6-$E$3,22))&lt;&gt;""),'Milho 1ª safra'!$E65:INDEX('Milho 1ª safra'!$E65:$Z65,MIN(AJ$6-$E$3,22))),0))-IF($G$2,0,IF((AJ$6-$G$3)&lt;1,0,IFERROR(LOOKUP(2,1/('Milho 1ª safra'!$E65:INDEX('Milho 1ª safra'!$E65:$Z65,MIN(AJ$6-$G$3,22))&lt;&gt;""),'Milho 1ª safra'!$E65:INDEX('Milho 1ª safra'!$E65:$Z65,MIN(AJ$6-$G$3,22))),0)))))</f>
        <v>0</v>
      </c>
      <c r="AK67" s="27" t="n">
        <f aca="false">IF(COUNT('Milho 1ª safra'!$E65:$Z65)=0,0,MAX(0,IF((AK$6-$E$3)&lt;1,0,IFERROR(LOOKUP(2,1/('Milho 1ª safra'!$E65:INDEX('Milho 1ª safra'!$E65:$Z65,MIN(AK$6-$E$3,22))&lt;&gt;""),'Milho 1ª safra'!$E65:INDEX('Milho 1ª safra'!$E65:$Z65,MIN(AK$6-$E$3,22))),0))-IF($G$2,0,IF((AK$6-$G$3)&lt;1,0,IFERROR(LOOKUP(2,1/('Milho 1ª safra'!$E65:INDEX('Milho 1ª safra'!$E65:$Z65,MIN(AK$6-$G$3,22))&lt;&gt;""),'Milho 1ª safra'!$E65:INDEX('Milho 1ª safra'!$E65:$Z65,MIN(AK$6-$G$3,22))),0)))))</f>
        <v>0</v>
      </c>
      <c r="AL67" s="27" t="n">
        <f aca="false">IF(COUNT('Milho 1ª safra'!$E65:$Z65)=0,0,MAX(0,IF((AL$6-$E$3)&lt;1,0,IFERROR(LOOKUP(2,1/('Milho 1ª safra'!$E65:INDEX('Milho 1ª safra'!$E65:$Z65,MIN(AL$6-$E$3,22))&lt;&gt;""),'Milho 1ª safra'!$E65:INDEX('Milho 1ª safra'!$E65:$Z65,MIN(AL$6-$E$3,22))),0))-IF($G$2,0,IF((AL$6-$G$3)&lt;1,0,IFERROR(LOOKUP(2,1/('Milho 1ª safra'!$E65:INDEX('Milho 1ª safra'!$E65:$Z65,MIN(AL$6-$G$3,22))&lt;&gt;""),'Milho 1ª safra'!$E65:INDEX('Milho 1ª safra'!$E65:$Z65,MIN(AL$6-$G$3,22))),0)))))</f>
        <v>0</v>
      </c>
      <c r="AM67" s="27" t="n">
        <f aca="false">IF(COUNT('Milho 1ª safra'!$E65:$Z65)=0,0,MAX(0,IF((AM$6-$E$3)&lt;1,0,IFERROR(LOOKUP(2,1/('Milho 1ª safra'!$E65:INDEX('Milho 1ª safra'!$E65:$Z65,MIN(AM$6-$E$3,22))&lt;&gt;""),'Milho 1ª safra'!$E65:INDEX('Milho 1ª safra'!$E65:$Z65,MIN(AM$6-$E$3,22))),0))-IF($G$2,0,IF((AM$6-$G$3)&lt;1,0,IFERROR(LOOKUP(2,1/('Milho 1ª safra'!$E65:INDEX('Milho 1ª safra'!$E65:$Z65,MIN(AM$6-$G$3,22))&lt;&gt;""),'Milho 1ª safra'!$E65:INDEX('Milho 1ª safra'!$E65:$Z65,MIN(AM$6-$G$3,22))),0)))))</f>
        <v>0</v>
      </c>
      <c r="AN67" s="27" t="n">
        <f aca="false">IF(COUNT('Milho 1ª safra'!$E65:$Z65)=0,0,MAX(0,IF((AN$6-$E$3)&lt;1,0,IFERROR(LOOKUP(2,1/('Milho 1ª safra'!$E65:INDEX('Milho 1ª safra'!$E65:$Z65,MIN(AN$6-$E$3,22))&lt;&gt;""),'Milho 1ª safra'!$E65:INDEX('Milho 1ª safra'!$E65:$Z65,MIN(AN$6-$E$3,22))),0))-IF($G$2,0,IF((AN$6-$G$3)&lt;1,0,IFERROR(LOOKUP(2,1/('Milho 1ª safra'!$E65:INDEX('Milho 1ª safra'!$E65:$Z65,MIN(AN$6-$G$3,22))&lt;&gt;""),'Milho 1ª safra'!$E65:INDEX('Milho 1ª safra'!$E65:$Z65,MIN(AN$6-$G$3,22))),0)))))</f>
        <v>0</v>
      </c>
      <c r="AO67" s="27" t="n">
        <f aca="false">IF(COUNT('Milho 1ª safra'!$E65:$Z65)=0,0,MAX(0,IF((AO$6-$E$3)&lt;1,0,IFERROR(LOOKUP(2,1/('Milho 1ª safra'!$E65:INDEX('Milho 1ª safra'!$E65:$Z65,MIN(AO$6-$E$3,22))&lt;&gt;""),'Milho 1ª safra'!$E65:INDEX('Milho 1ª safra'!$E65:$Z65,MIN(AO$6-$E$3,22))),0))-IF($G$2,0,IF((AO$6-$G$3)&lt;1,0,IFERROR(LOOKUP(2,1/('Milho 1ª safra'!$E65:INDEX('Milho 1ª safra'!$E65:$Z65,MIN(AO$6-$G$3,22))&lt;&gt;""),'Milho 1ª safra'!$E65:INDEX('Milho 1ª safra'!$E65:$Z65,MIN(AO$6-$G$3,22))),0)))))</f>
        <v>0</v>
      </c>
      <c r="AP67" s="27" t="n">
        <f aca="false">IF(COUNT('Milho 1ª safra'!$E65:$Z65)=0,0,MAX(0,IF((AP$6-$E$3)&lt;1,0,IFERROR(LOOKUP(2,1/('Milho 1ª safra'!$E65:INDEX('Milho 1ª safra'!$E65:$Z65,MIN(AP$6-$E$3,22))&lt;&gt;""),'Milho 1ª safra'!$E65:INDEX('Milho 1ª safra'!$E65:$Z65,MIN(AP$6-$E$3,22))),0))-IF($G$2,0,IF((AP$6-$G$3)&lt;1,0,IFERROR(LOOKUP(2,1/('Milho 1ª safra'!$E65:INDEX('Milho 1ª safra'!$E65:$Z65,MIN(AP$6-$G$3,22))&lt;&gt;""),'Milho 1ª safra'!$E65:INDEX('Milho 1ª safra'!$E65:$Z65,MIN(AP$6-$G$3,22))),0)))))</f>
        <v>0</v>
      </c>
      <c r="AQ67" s="27" t="n">
        <f aca="false">IF(COUNT('Milho 1ª safra'!$E65:$Z65)=0,0,MAX(0,IF((AQ$6-$E$3)&lt;1,0,IFERROR(LOOKUP(2,1/('Milho 1ª safra'!$E65:INDEX('Milho 1ª safra'!$E65:$Z65,MIN(AQ$6-$E$3,22))&lt;&gt;""),'Milho 1ª safra'!$E65:INDEX('Milho 1ª safra'!$E65:$Z65,MIN(AQ$6-$E$3,22))),0))-IF($G$2,0,IF((AQ$6-$G$3)&lt;1,0,IFERROR(LOOKUP(2,1/('Milho 1ª safra'!$E65:INDEX('Milho 1ª safra'!$E65:$Z65,MIN(AQ$6-$G$3,22))&lt;&gt;""),'Milho 1ª safra'!$E65:INDEX('Milho 1ª safra'!$E65:$Z65,MIN(AQ$6-$G$3,22))),0)))))</f>
        <v>0</v>
      </c>
      <c r="AR67" s="27" t="n">
        <f aca="false">IF(COUNT('Milho 1ª safra'!$E65:$Z65)=0,0,MAX(0,IF((AR$6-$E$3)&lt;1,0,IFERROR(LOOKUP(2,1/('Milho 1ª safra'!$E65:INDEX('Milho 1ª safra'!$E65:$Z65,MIN(AR$6-$E$3,22))&lt;&gt;""),'Milho 1ª safra'!$E65:INDEX('Milho 1ª safra'!$E65:$Z65,MIN(AR$6-$E$3,22))),0))-IF($G$2,0,IF((AR$6-$G$3)&lt;1,0,IFERROR(LOOKUP(2,1/('Milho 1ª safra'!$E65:INDEX('Milho 1ª safra'!$E65:$Z65,MIN(AR$6-$G$3,22))&lt;&gt;""),'Milho 1ª safra'!$E65:INDEX('Milho 1ª safra'!$E65:$Z65,MIN(AR$6-$G$3,22))),0)))))</f>
        <v>0</v>
      </c>
      <c r="AS67" s="27" t="n">
        <f aca="false">IF(COUNT('Milho 1ª safra'!$E65:$Z65)=0,0,MAX(0,IF((AS$6-$E$3)&lt;1,0,IFERROR(LOOKUP(2,1/('Milho 1ª safra'!$E65:INDEX('Milho 1ª safra'!$E65:$Z65,MIN(AS$6-$E$3,22))&lt;&gt;""),'Milho 1ª safra'!$E65:INDEX('Milho 1ª safra'!$E65:$Z65,MIN(AS$6-$E$3,22))),0))-IF($G$2,0,IF((AS$6-$G$3)&lt;1,0,IFERROR(LOOKUP(2,1/('Milho 1ª safra'!$E65:INDEX('Milho 1ª safra'!$E65:$Z65,MIN(AS$6-$G$3,22))&lt;&gt;""),'Milho 1ª safra'!$E65:INDEX('Milho 1ª safra'!$E65:$Z65,MIN(AS$6-$G$3,22))),0)))))</f>
        <v>0</v>
      </c>
      <c r="AT67" s="27" t="n">
        <f aca="false">IF(COUNT('Milho 1ª safra'!$E65:$Z65)=0,0,MAX(0,IF((AT$6-$E$3)&lt;1,0,IFERROR(LOOKUP(2,1/('Milho 1ª safra'!$E65:INDEX('Milho 1ª safra'!$E65:$Z65,MIN(AT$6-$E$3,22))&lt;&gt;""),'Milho 1ª safra'!$E65:INDEX('Milho 1ª safra'!$E65:$Z65,MIN(AT$6-$E$3,22))),0))-IF($G$2,0,IF((AT$6-$G$3)&lt;1,0,IFERROR(LOOKUP(2,1/('Milho 1ª safra'!$E65:INDEX('Milho 1ª safra'!$E65:$Z65,MIN(AT$6-$G$3,22))&lt;&gt;""),'Milho 1ª safra'!$E65:INDEX('Milho 1ª safra'!$E65:$Z65,MIN(AT$6-$G$3,22))),0)))))</f>
        <v>0</v>
      </c>
      <c r="AU67" s="27" t="n">
        <f aca="false">IF(COUNT('Milho 1ª safra'!$E65:$Z65)=0,0,MAX(0,IF((AU$6-$E$3)&lt;1,0,IFERROR(LOOKUP(2,1/('Milho 1ª safra'!$E65:INDEX('Milho 1ª safra'!$E65:$Z65,MIN(AU$6-$E$3,22))&lt;&gt;""),'Milho 1ª safra'!$E65:INDEX('Milho 1ª safra'!$E65:$Z65,MIN(AU$6-$E$3,22))),0))-IF($G$2,0,IF((AU$6-$G$3)&lt;1,0,IFERROR(LOOKUP(2,1/('Milho 1ª safra'!$E65:INDEX('Milho 1ª safra'!$E65:$Z65,MIN(AU$6-$G$3,22))&lt;&gt;""),'Milho 1ª safra'!$E65:INDEX('Milho 1ª safra'!$E65:$Z65,MIN(AU$6-$G$3,22))),0)))))</f>
        <v>0</v>
      </c>
      <c r="AV67" s="27" t="n">
        <f aca="false">IF(COUNT('Milho 1ª safra'!$E65:$Z65)=0,0,MAX(0,IF((AV$6-$E$3)&lt;1,0,IFERROR(LOOKUP(2,1/('Milho 1ª safra'!$E65:INDEX('Milho 1ª safra'!$E65:$Z65,MIN(AV$6-$E$3,22))&lt;&gt;""),'Milho 1ª safra'!$E65:INDEX('Milho 1ª safra'!$E65:$Z65,MIN(AV$6-$E$3,22))),0))-IF($G$2,0,IF((AV$6-$G$3)&lt;1,0,IFERROR(LOOKUP(2,1/('Milho 1ª safra'!$E65:INDEX('Milho 1ª safra'!$E65:$Z65,MIN(AV$6-$G$3,22))&lt;&gt;""),'Milho 1ª safra'!$E65:INDEX('Milho 1ª safra'!$E65:$Z65,MIN(AV$6-$G$3,22))),0)))))</f>
        <v>0</v>
      </c>
      <c r="AW67" s="27" t="n">
        <f aca="false">IF(COUNT('Milho 1ª safra'!$E65:$Z65)=0,0,MAX(0,IF((AW$6-$E$3)&lt;1,0,IFERROR(LOOKUP(2,1/('Milho 1ª safra'!$E65:INDEX('Milho 1ª safra'!$E65:$Z65,MIN(AW$6-$E$3,22))&lt;&gt;""),'Milho 1ª safra'!$E65:INDEX('Milho 1ª safra'!$E65:$Z65,MIN(AW$6-$E$3,22))),0))-IF($G$2,0,IF((AW$6-$G$3)&lt;1,0,IFERROR(LOOKUP(2,1/('Milho 1ª safra'!$E65:INDEX('Milho 1ª safra'!$E65:$Z65,MIN(AW$6-$G$3,22))&lt;&gt;""),'Milho 1ª safra'!$E65:INDEX('Milho 1ª safra'!$E65:$Z65,MIN(AW$6-$G$3,22))),0)))))</f>
        <v>0</v>
      </c>
      <c r="AX67" s="27" t="n">
        <f aca="false">IF(COUNT('Milho 1ª safra'!$E65:$Z65)=0,0,MAX(0,IF((AX$6-$E$3)&lt;1,0,IFERROR(LOOKUP(2,1/('Milho 1ª safra'!$E65:INDEX('Milho 1ª safra'!$E65:$Z65,MIN(AX$6-$E$3,22))&lt;&gt;""),'Milho 1ª safra'!$E65:INDEX('Milho 1ª safra'!$E65:$Z65,MIN(AX$6-$E$3,22))),0))-IF($G$2,0,IF((AX$6-$G$3)&lt;1,0,IFERROR(LOOKUP(2,1/('Milho 1ª safra'!$E65:INDEX('Milho 1ª safra'!$E65:$Z65,MIN(AX$6-$G$3,22))&lt;&gt;""),'Milho 1ª safra'!$E65:INDEX('Milho 1ª safra'!$E65:$Z65,MIN(AX$6-$G$3,22))),0)))))</f>
        <v>0</v>
      </c>
      <c r="AY67" s="27" t="n">
        <f aca="false">IF(COUNT('Milho 1ª safra'!$E65:$Z65)=0,0,MAX(0,IF((AY$6-$E$3)&lt;1,0,IFERROR(LOOKUP(2,1/('Milho 1ª safra'!$E65:INDEX('Milho 1ª safra'!$E65:$Z65,MIN(AY$6-$E$3,22))&lt;&gt;""),'Milho 1ª safra'!$E65:INDEX('Milho 1ª safra'!$E65:$Z65,MIN(AY$6-$E$3,22))),0))-IF($G$2,0,IF((AY$6-$G$3)&lt;1,0,IFERROR(LOOKUP(2,1/('Milho 1ª safra'!$E65:INDEX('Milho 1ª safra'!$E65:$Z65,MIN(AY$6-$G$3,22))&lt;&gt;""),'Milho 1ª safra'!$E65:INDEX('Milho 1ª safra'!$E65:$Z65,MIN(AY$6-$G$3,22))),0)))))</f>
        <v>0</v>
      </c>
      <c r="AZ67" s="27" t="n">
        <f aca="false">IF(COUNT('Milho 1ª safra'!$E65:$Z65)=0,0,MAX(0,IF((AZ$6-$E$3)&lt;1,0,IFERROR(LOOKUP(2,1/('Milho 1ª safra'!$E65:INDEX('Milho 1ª safra'!$E65:$Z65,MIN(AZ$6-$E$3,22))&lt;&gt;""),'Milho 1ª safra'!$E65:INDEX('Milho 1ª safra'!$E65:$Z65,MIN(AZ$6-$E$3,22))),0))-IF($G$2,0,IF((AZ$6-$G$3)&lt;1,0,IFERROR(LOOKUP(2,1/('Milho 1ª safra'!$E65:INDEX('Milho 1ª safra'!$E65:$Z65,MIN(AZ$6-$G$3,22))&lt;&gt;""),'Milho 1ª safra'!$E65:INDEX('Milho 1ª safra'!$E65:$Z65,MIN(AZ$6-$G$3,22))),0)))))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IF(COUNT('Milho 1ª safra'!$E66:$Z66)&gt;0,N('Milho 1ª safra'!$D66),0)</f>
        <v>0</v>
      </c>
      <c r="E68" s="27" t="n">
        <f aca="false">IF(COUNT('Milho 1ª safra'!$E66:$Z66)=0,0,MAX(0,IF((E$6-$E$3)&lt;1,0,IFERROR(LOOKUP(2,1/('Milho 1ª safra'!$E66:INDEX('Milho 1ª safra'!$E66:$Z66,MIN(E$6-$E$3,22))&lt;&gt;""),'Milho 1ª safra'!$E66:INDEX('Milho 1ª safra'!$E66:$Z66,MIN(E$6-$E$3,22))),0))-IF($G$2,0,IF((E$6-$G$3)&lt;1,0,IFERROR(LOOKUP(2,1/('Milho 1ª safra'!$E66:INDEX('Milho 1ª safra'!$E66:$Z66,MIN(E$6-$G$3,22))&lt;&gt;""),'Milho 1ª safra'!$E66:INDEX('Milho 1ª safra'!$E66:$Z66,MIN(E$6-$G$3,22))),0)))))</f>
        <v>0</v>
      </c>
      <c r="F68" s="27" t="n">
        <f aca="false">IF(COUNT('Milho 1ª safra'!$E66:$Z66)=0,0,MAX(0,IF((F$6-$E$3)&lt;1,0,IFERROR(LOOKUP(2,1/('Milho 1ª safra'!$E66:INDEX('Milho 1ª safra'!$E66:$Z66,MIN(F$6-$E$3,22))&lt;&gt;""),'Milho 1ª safra'!$E66:INDEX('Milho 1ª safra'!$E66:$Z66,MIN(F$6-$E$3,22))),0))-IF($G$2,0,IF((F$6-$G$3)&lt;1,0,IFERROR(LOOKUP(2,1/('Milho 1ª safra'!$E66:INDEX('Milho 1ª safra'!$E66:$Z66,MIN(F$6-$G$3,22))&lt;&gt;""),'Milho 1ª safra'!$E66:INDEX('Milho 1ª safra'!$E66:$Z66,MIN(F$6-$G$3,22))),0)))))</f>
        <v>0</v>
      </c>
      <c r="G68" s="27" t="n">
        <f aca="false">IF(COUNT('Milho 1ª safra'!$E66:$Z66)=0,0,MAX(0,IF((G$6-$E$3)&lt;1,0,IFERROR(LOOKUP(2,1/('Milho 1ª safra'!$E66:INDEX('Milho 1ª safra'!$E66:$Z66,MIN(G$6-$E$3,22))&lt;&gt;""),'Milho 1ª safra'!$E66:INDEX('Milho 1ª safra'!$E66:$Z66,MIN(G$6-$E$3,22))),0))-IF($G$2,0,IF((G$6-$G$3)&lt;1,0,IFERROR(LOOKUP(2,1/('Milho 1ª safra'!$E66:INDEX('Milho 1ª safra'!$E66:$Z66,MIN(G$6-$G$3,22))&lt;&gt;""),'Milho 1ª safra'!$E66:INDEX('Milho 1ª safra'!$E66:$Z66,MIN(G$6-$G$3,22))),0)))))</f>
        <v>0</v>
      </c>
      <c r="H68" s="27" t="n">
        <f aca="false">IF(COUNT('Milho 1ª safra'!$E66:$Z66)=0,0,MAX(0,IF((H$6-$E$3)&lt;1,0,IFERROR(LOOKUP(2,1/('Milho 1ª safra'!$E66:INDEX('Milho 1ª safra'!$E66:$Z66,MIN(H$6-$E$3,22))&lt;&gt;""),'Milho 1ª safra'!$E66:INDEX('Milho 1ª safra'!$E66:$Z66,MIN(H$6-$E$3,22))),0))-IF($G$2,0,IF((H$6-$G$3)&lt;1,0,IFERROR(LOOKUP(2,1/('Milho 1ª safra'!$E66:INDEX('Milho 1ª safra'!$E66:$Z66,MIN(H$6-$G$3,22))&lt;&gt;""),'Milho 1ª safra'!$E66:INDEX('Milho 1ª safra'!$E66:$Z66,MIN(H$6-$G$3,22))),0)))))</f>
        <v>0</v>
      </c>
      <c r="I68" s="27" t="n">
        <f aca="false">IF(COUNT('Milho 1ª safra'!$E66:$Z66)=0,0,MAX(0,IF((I$6-$E$3)&lt;1,0,IFERROR(LOOKUP(2,1/('Milho 1ª safra'!$E66:INDEX('Milho 1ª safra'!$E66:$Z66,MIN(I$6-$E$3,22))&lt;&gt;""),'Milho 1ª safra'!$E66:INDEX('Milho 1ª safra'!$E66:$Z66,MIN(I$6-$E$3,22))),0))-IF($G$2,0,IF((I$6-$G$3)&lt;1,0,IFERROR(LOOKUP(2,1/('Milho 1ª safra'!$E66:INDEX('Milho 1ª safra'!$E66:$Z66,MIN(I$6-$G$3,22))&lt;&gt;""),'Milho 1ª safra'!$E66:INDEX('Milho 1ª safra'!$E66:$Z66,MIN(I$6-$G$3,22))),0)))))</f>
        <v>0</v>
      </c>
      <c r="J68" s="27" t="n">
        <f aca="false">IF(COUNT('Milho 1ª safra'!$E66:$Z66)=0,0,MAX(0,IF((J$6-$E$3)&lt;1,0,IFERROR(LOOKUP(2,1/('Milho 1ª safra'!$E66:INDEX('Milho 1ª safra'!$E66:$Z66,MIN(J$6-$E$3,22))&lt;&gt;""),'Milho 1ª safra'!$E66:INDEX('Milho 1ª safra'!$E66:$Z66,MIN(J$6-$E$3,22))),0))-IF($G$2,0,IF((J$6-$G$3)&lt;1,0,IFERROR(LOOKUP(2,1/('Milho 1ª safra'!$E66:INDEX('Milho 1ª safra'!$E66:$Z66,MIN(J$6-$G$3,22))&lt;&gt;""),'Milho 1ª safra'!$E66:INDEX('Milho 1ª safra'!$E66:$Z66,MIN(J$6-$G$3,22))),0)))))</f>
        <v>0</v>
      </c>
      <c r="K68" s="27" t="n">
        <f aca="false">IF(COUNT('Milho 1ª safra'!$E66:$Z66)=0,0,MAX(0,IF((K$6-$E$3)&lt;1,0,IFERROR(LOOKUP(2,1/('Milho 1ª safra'!$E66:INDEX('Milho 1ª safra'!$E66:$Z66,MIN(K$6-$E$3,22))&lt;&gt;""),'Milho 1ª safra'!$E66:INDEX('Milho 1ª safra'!$E66:$Z66,MIN(K$6-$E$3,22))),0))-IF($G$2,0,IF((K$6-$G$3)&lt;1,0,IFERROR(LOOKUP(2,1/('Milho 1ª safra'!$E66:INDEX('Milho 1ª safra'!$E66:$Z66,MIN(K$6-$G$3,22))&lt;&gt;""),'Milho 1ª safra'!$E66:INDEX('Milho 1ª safra'!$E66:$Z66,MIN(K$6-$G$3,22))),0)))))</f>
        <v>0</v>
      </c>
      <c r="L68" s="27" t="n">
        <f aca="false">IF(COUNT('Milho 1ª safra'!$E66:$Z66)=0,0,MAX(0,IF((L$6-$E$3)&lt;1,0,IFERROR(LOOKUP(2,1/('Milho 1ª safra'!$E66:INDEX('Milho 1ª safra'!$E66:$Z66,MIN(L$6-$E$3,22))&lt;&gt;""),'Milho 1ª safra'!$E66:INDEX('Milho 1ª safra'!$E66:$Z66,MIN(L$6-$E$3,22))),0))-IF($G$2,0,IF((L$6-$G$3)&lt;1,0,IFERROR(LOOKUP(2,1/('Milho 1ª safra'!$E66:INDEX('Milho 1ª safra'!$E66:$Z66,MIN(L$6-$G$3,22))&lt;&gt;""),'Milho 1ª safra'!$E66:INDEX('Milho 1ª safra'!$E66:$Z66,MIN(L$6-$G$3,22))),0)))))</f>
        <v>0</v>
      </c>
      <c r="M68" s="27" t="n">
        <f aca="false">IF(COUNT('Milho 1ª safra'!$E66:$Z66)=0,0,MAX(0,IF((M$6-$E$3)&lt;1,0,IFERROR(LOOKUP(2,1/('Milho 1ª safra'!$E66:INDEX('Milho 1ª safra'!$E66:$Z66,MIN(M$6-$E$3,22))&lt;&gt;""),'Milho 1ª safra'!$E66:INDEX('Milho 1ª safra'!$E66:$Z66,MIN(M$6-$E$3,22))),0))-IF($G$2,0,IF((M$6-$G$3)&lt;1,0,IFERROR(LOOKUP(2,1/('Milho 1ª safra'!$E66:INDEX('Milho 1ª safra'!$E66:$Z66,MIN(M$6-$G$3,22))&lt;&gt;""),'Milho 1ª safra'!$E66:INDEX('Milho 1ª safra'!$E66:$Z66,MIN(M$6-$G$3,22))),0)))))</f>
        <v>0</v>
      </c>
      <c r="N68" s="27" t="n">
        <f aca="false">IF(COUNT('Milho 1ª safra'!$E66:$Z66)=0,0,MAX(0,IF((N$6-$E$3)&lt;1,0,IFERROR(LOOKUP(2,1/('Milho 1ª safra'!$E66:INDEX('Milho 1ª safra'!$E66:$Z66,MIN(N$6-$E$3,22))&lt;&gt;""),'Milho 1ª safra'!$E66:INDEX('Milho 1ª safra'!$E66:$Z66,MIN(N$6-$E$3,22))),0))-IF($G$2,0,IF((N$6-$G$3)&lt;1,0,IFERROR(LOOKUP(2,1/('Milho 1ª safra'!$E66:INDEX('Milho 1ª safra'!$E66:$Z66,MIN(N$6-$G$3,22))&lt;&gt;""),'Milho 1ª safra'!$E66:INDEX('Milho 1ª safra'!$E66:$Z66,MIN(N$6-$G$3,22))),0)))))</f>
        <v>0</v>
      </c>
      <c r="O68" s="27" t="n">
        <f aca="false">IF(COUNT('Milho 1ª safra'!$E66:$Z66)=0,0,MAX(0,IF((O$6-$E$3)&lt;1,0,IFERROR(LOOKUP(2,1/('Milho 1ª safra'!$E66:INDEX('Milho 1ª safra'!$E66:$Z66,MIN(O$6-$E$3,22))&lt;&gt;""),'Milho 1ª safra'!$E66:INDEX('Milho 1ª safra'!$E66:$Z66,MIN(O$6-$E$3,22))),0))-IF($G$2,0,IF((O$6-$G$3)&lt;1,0,IFERROR(LOOKUP(2,1/('Milho 1ª safra'!$E66:INDEX('Milho 1ª safra'!$E66:$Z66,MIN(O$6-$G$3,22))&lt;&gt;""),'Milho 1ª safra'!$E66:INDEX('Milho 1ª safra'!$E66:$Z66,MIN(O$6-$G$3,22))),0)))))</f>
        <v>0</v>
      </c>
      <c r="P68" s="27" t="n">
        <f aca="false">IF(COUNT('Milho 1ª safra'!$E66:$Z66)=0,0,MAX(0,IF((P$6-$E$3)&lt;1,0,IFERROR(LOOKUP(2,1/('Milho 1ª safra'!$E66:INDEX('Milho 1ª safra'!$E66:$Z66,MIN(P$6-$E$3,22))&lt;&gt;""),'Milho 1ª safra'!$E66:INDEX('Milho 1ª safra'!$E66:$Z66,MIN(P$6-$E$3,22))),0))-IF($G$2,0,IF((P$6-$G$3)&lt;1,0,IFERROR(LOOKUP(2,1/('Milho 1ª safra'!$E66:INDEX('Milho 1ª safra'!$E66:$Z66,MIN(P$6-$G$3,22))&lt;&gt;""),'Milho 1ª safra'!$E66:INDEX('Milho 1ª safra'!$E66:$Z66,MIN(P$6-$G$3,22))),0)))))</f>
        <v>0</v>
      </c>
      <c r="Q68" s="27" t="n">
        <f aca="false">IF(COUNT('Milho 1ª safra'!$E66:$Z66)=0,0,MAX(0,IF((Q$6-$E$3)&lt;1,0,IFERROR(LOOKUP(2,1/('Milho 1ª safra'!$E66:INDEX('Milho 1ª safra'!$E66:$Z66,MIN(Q$6-$E$3,22))&lt;&gt;""),'Milho 1ª safra'!$E66:INDEX('Milho 1ª safra'!$E66:$Z66,MIN(Q$6-$E$3,22))),0))-IF($G$2,0,IF((Q$6-$G$3)&lt;1,0,IFERROR(LOOKUP(2,1/('Milho 1ª safra'!$E66:INDEX('Milho 1ª safra'!$E66:$Z66,MIN(Q$6-$G$3,22))&lt;&gt;""),'Milho 1ª safra'!$E66:INDEX('Milho 1ª safra'!$E66:$Z66,MIN(Q$6-$G$3,22))),0)))))</f>
        <v>0</v>
      </c>
      <c r="R68" s="27" t="n">
        <f aca="false">IF(COUNT('Milho 1ª safra'!$E66:$Z66)=0,0,MAX(0,IF((R$6-$E$3)&lt;1,0,IFERROR(LOOKUP(2,1/('Milho 1ª safra'!$E66:INDEX('Milho 1ª safra'!$E66:$Z66,MIN(R$6-$E$3,22))&lt;&gt;""),'Milho 1ª safra'!$E66:INDEX('Milho 1ª safra'!$E66:$Z66,MIN(R$6-$E$3,22))),0))-IF($G$2,0,IF((R$6-$G$3)&lt;1,0,IFERROR(LOOKUP(2,1/('Milho 1ª safra'!$E66:INDEX('Milho 1ª safra'!$E66:$Z66,MIN(R$6-$G$3,22))&lt;&gt;""),'Milho 1ª safra'!$E66:INDEX('Milho 1ª safra'!$E66:$Z66,MIN(R$6-$G$3,22))),0)))))</f>
        <v>0</v>
      </c>
      <c r="S68" s="27" t="n">
        <f aca="false">IF(COUNT('Milho 1ª safra'!$E66:$Z66)=0,0,MAX(0,IF((S$6-$E$3)&lt;1,0,IFERROR(LOOKUP(2,1/('Milho 1ª safra'!$E66:INDEX('Milho 1ª safra'!$E66:$Z66,MIN(S$6-$E$3,22))&lt;&gt;""),'Milho 1ª safra'!$E66:INDEX('Milho 1ª safra'!$E66:$Z66,MIN(S$6-$E$3,22))),0))-IF($G$2,0,IF((S$6-$G$3)&lt;1,0,IFERROR(LOOKUP(2,1/('Milho 1ª safra'!$E66:INDEX('Milho 1ª safra'!$E66:$Z66,MIN(S$6-$G$3,22))&lt;&gt;""),'Milho 1ª safra'!$E66:INDEX('Milho 1ª safra'!$E66:$Z66,MIN(S$6-$G$3,22))),0)))))</f>
        <v>0</v>
      </c>
      <c r="T68" s="27" t="n">
        <f aca="false">IF(COUNT('Milho 1ª safra'!$E66:$Z66)=0,0,MAX(0,IF((T$6-$E$3)&lt;1,0,IFERROR(LOOKUP(2,1/('Milho 1ª safra'!$E66:INDEX('Milho 1ª safra'!$E66:$Z66,MIN(T$6-$E$3,22))&lt;&gt;""),'Milho 1ª safra'!$E66:INDEX('Milho 1ª safra'!$E66:$Z66,MIN(T$6-$E$3,22))),0))-IF($G$2,0,IF((T$6-$G$3)&lt;1,0,IFERROR(LOOKUP(2,1/('Milho 1ª safra'!$E66:INDEX('Milho 1ª safra'!$E66:$Z66,MIN(T$6-$G$3,22))&lt;&gt;""),'Milho 1ª safra'!$E66:INDEX('Milho 1ª safra'!$E66:$Z66,MIN(T$6-$G$3,22))),0)))))</f>
        <v>0</v>
      </c>
      <c r="U68" s="27" t="n">
        <f aca="false">IF(COUNT('Milho 1ª safra'!$E66:$Z66)=0,0,MAX(0,IF((U$6-$E$3)&lt;1,0,IFERROR(LOOKUP(2,1/('Milho 1ª safra'!$E66:INDEX('Milho 1ª safra'!$E66:$Z66,MIN(U$6-$E$3,22))&lt;&gt;""),'Milho 1ª safra'!$E66:INDEX('Milho 1ª safra'!$E66:$Z66,MIN(U$6-$E$3,22))),0))-IF($G$2,0,IF((U$6-$G$3)&lt;1,0,IFERROR(LOOKUP(2,1/('Milho 1ª safra'!$E66:INDEX('Milho 1ª safra'!$E66:$Z66,MIN(U$6-$G$3,22))&lt;&gt;""),'Milho 1ª safra'!$E66:INDEX('Milho 1ª safra'!$E66:$Z66,MIN(U$6-$G$3,22))),0)))))</f>
        <v>0</v>
      </c>
      <c r="V68" s="27" t="n">
        <f aca="false">IF(COUNT('Milho 1ª safra'!$E66:$Z66)=0,0,MAX(0,IF((V$6-$E$3)&lt;1,0,IFERROR(LOOKUP(2,1/('Milho 1ª safra'!$E66:INDEX('Milho 1ª safra'!$E66:$Z66,MIN(V$6-$E$3,22))&lt;&gt;""),'Milho 1ª safra'!$E66:INDEX('Milho 1ª safra'!$E66:$Z66,MIN(V$6-$E$3,22))),0))-IF($G$2,0,IF((V$6-$G$3)&lt;1,0,IFERROR(LOOKUP(2,1/('Milho 1ª safra'!$E66:INDEX('Milho 1ª safra'!$E66:$Z66,MIN(V$6-$G$3,22))&lt;&gt;""),'Milho 1ª safra'!$E66:INDEX('Milho 1ª safra'!$E66:$Z66,MIN(V$6-$G$3,22))),0)))))</f>
        <v>0</v>
      </c>
      <c r="W68" s="27" t="n">
        <f aca="false">IF(COUNT('Milho 1ª safra'!$E66:$Z66)=0,0,MAX(0,IF((W$6-$E$3)&lt;1,0,IFERROR(LOOKUP(2,1/('Milho 1ª safra'!$E66:INDEX('Milho 1ª safra'!$E66:$Z66,MIN(W$6-$E$3,22))&lt;&gt;""),'Milho 1ª safra'!$E66:INDEX('Milho 1ª safra'!$E66:$Z66,MIN(W$6-$E$3,22))),0))-IF($G$2,0,IF((W$6-$G$3)&lt;1,0,IFERROR(LOOKUP(2,1/('Milho 1ª safra'!$E66:INDEX('Milho 1ª safra'!$E66:$Z66,MIN(W$6-$G$3,22))&lt;&gt;""),'Milho 1ª safra'!$E66:INDEX('Milho 1ª safra'!$E66:$Z66,MIN(W$6-$G$3,22))),0)))))</f>
        <v>0</v>
      </c>
      <c r="X68" s="27" t="n">
        <f aca="false">IF(COUNT('Milho 1ª safra'!$E66:$Z66)=0,0,MAX(0,IF((X$6-$E$3)&lt;1,0,IFERROR(LOOKUP(2,1/('Milho 1ª safra'!$E66:INDEX('Milho 1ª safra'!$E66:$Z66,MIN(X$6-$E$3,22))&lt;&gt;""),'Milho 1ª safra'!$E66:INDEX('Milho 1ª safra'!$E66:$Z66,MIN(X$6-$E$3,22))),0))-IF($G$2,0,IF((X$6-$G$3)&lt;1,0,IFERROR(LOOKUP(2,1/('Milho 1ª safra'!$E66:INDEX('Milho 1ª safra'!$E66:$Z66,MIN(X$6-$G$3,22))&lt;&gt;""),'Milho 1ª safra'!$E66:INDEX('Milho 1ª safra'!$E66:$Z66,MIN(X$6-$G$3,22))),0)))))</f>
        <v>0</v>
      </c>
      <c r="Y68" s="27" t="n">
        <f aca="false">IF(COUNT('Milho 1ª safra'!$E66:$Z66)=0,0,MAX(0,IF((Y$6-$E$3)&lt;1,0,IFERROR(LOOKUP(2,1/('Milho 1ª safra'!$E66:INDEX('Milho 1ª safra'!$E66:$Z66,MIN(Y$6-$E$3,22))&lt;&gt;""),'Milho 1ª safra'!$E66:INDEX('Milho 1ª safra'!$E66:$Z66,MIN(Y$6-$E$3,22))),0))-IF($G$2,0,IF((Y$6-$G$3)&lt;1,0,IFERROR(LOOKUP(2,1/('Milho 1ª safra'!$E66:INDEX('Milho 1ª safra'!$E66:$Z66,MIN(Y$6-$G$3,22))&lt;&gt;""),'Milho 1ª safra'!$E66:INDEX('Milho 1ª safra'!$E66:$Z66,MIN(Y$6-$G$3,22))),0)))))</f>
        <v>0</v>
      </c>
      <c r="Z68" s="27" t="n">
        <f aca="false">IF(COUNT('Milho 1ª safra'!$E66:$Z66)=0,0,MAX(0,IF((Z$6-$E$3)&lt;1,0,IFERROR(LOOKUP(2,1/('Milho 1ª safra'!$E66:INDEX('Milho 1ª safra'!$E66:$Z66,MIN(Z$6-$E$3,22))&lt;&gt;""),'Milho 1ª safra'!$E66:INDEX('Milho 1ª safra'!$E66:$Z66,MIN(Z$6-$E$3,22))),0))-IF($G$2,0,IF((Z$6-$G$3)&lt;1,0,IFERROR(LOOKUP(2,1/('Milho 1ª safra'!$E66:INDEX('Milho 1ª safra'!$E66:$Z66,MIN(Z$6-$G$3,22))&lt;&gt;""),'Milho 1ª safra'!$E66:INDEX('Milho 1ª safra'!$E66:$Z66,MIN(Z$6-$G$3,22))),0)))))</f>
        <v>0</v>
      </c>
      <c r="AA68" s="27" t="n">
        <f aca="false">IF(COUNT('Milho 1ª safra'!$E66:$Z66)=0,0,MAX(0,IF((AA$6-$E$3)&lt;1,0,IFERROR(LOOKUP(2,1/('Milho 1ª safra'!$E66:INDEX('Milho 1ª safra'!$E66:$Z66,MIN(AA$6-$E$3,22))&lt;&gt;""),'Milho 1ª safra'!$E66:INDEX('Milho 1ª safra'!$E66:$Z66,MIN(AA$6-$E$3,22))),0))-IF($G$2,0,IF((AA$6-$G$3)&lt;1,0,IFERROR(LOOKUP(2,1/('Milho 1ª safra'!$E66:INDEX('Milho 1ª safra'!$E66:$Z66,MIN(AA$6-$G$3,22))&lt;&gt;""),'Milho 1ª safra'!$E66:INDEX('Milho 1ª safra'!$E66:$Z66,MIN(AA$6-$G$3,22))),0)))))</f>
        <v>0</v>
      </c>
      <c r="AB68" s="27" t="n">
        <f aca="false">IF(COUNT('Milho 1ª safra'!$E66:$Z66)=0,0,MAX(0,IF((AB$6-$E$3)&lt;1,0,IFERROR(LOOKUP(2,1/('Milho 1ª safra'!$E66:INDEX('Milho 1ª safra'!$E66:$Z66,MIN(AB$6-$E$3,22))&lt;&gt;""),'Milho 1ª safra'!$E66:INDEX('Milho 1ª safra'!$E66:$Z66,MIN(AB$6-$E$3,22))),0))-IF($G$2,0,IF((AB$6-$G$3)&lt;1,0,IFERROR(LOOKUP(2,1/('Milho 1ª safra'!$E66:INDEX('Milho 1ª safra'!$E66:$Z66,MIN(AB$6-$G$3,22))&lt;&gt;""),'Milho 1ª safra'!$E66:INDEX('Milho 1ª safra'!$E66:$Z66,MIN(AB$6-$G$3,22))),0)))))</f>
        <v>0</v>
      </c>
      <c r="AC68" s="27" t="n">
        <f aca="false">IF(COUNT('Milho 1ª safra'!$E66:$Z66)=0,0,MAX(0,IF((AC$6-$E$3)&lt;1,0,IFERROR(LOOKUP(2,1/('Milho 1ª safra'!$E66:INDEX('Milho 1ª safra'!$E66:$Z66,MIN(AC$6-$E$3,22))&lt;&gt;""),'Milho 1ª safra'!$E66:INDEX('Milho 1ª safra'!$E66:$Z66,MIN(AC$6-$E$3,22))),0))-IF($G$2,0,IF((AC$6-$G$3)&lt;1,0,IFERROR(LOOKUP(2,1/('Milho 1ª safra'!$E66:INDEX('Milho 1ª safra'!$E66:$Z66,MIN(AC$6-$G$3,22))&lt;&gt;""),'Milho 1ª safra'!$E66:INDEX('Milho 1ª safra'!$E66:$Z66,MIN(AC$6-$G$3,22))),0)))))</f>
        <v>0</v>
      </c>
      <c r="AD68" s="27" t="n">
        <f aca="false">IF(COUNT('Milho 1ª safra'!$E66:$Z66)=0,0,MAX(0,IF((AD$6-$E$3)&lt;1,0,IFERROR(LOOKUP(2,1/('Milho 1ª safra'!$E66:INDEX('Milho 1ª safra'!$E66:$Z66,MIN(AD$6-$E$3,22))&lt;&gt;""),'Milho 1ª safra'!$E66:INDEX('Milho 1ª safra'!$E66:$Z66,MIN(AD$6-$E$3,22))),0))-IF($G$2,0,IF((AD$6-$G$3)&lt;1,0,IFERROR(LOOKUP(2,1/('Milho 1ª safra'!$E66:INDEX('Milho 1ª safra'!$E66:$Z66,MIN(AD$6-$G$3,22))&lt;&gt;""),'Milho 1ª safra'!$E66:INDEX('Milho 1ª safra'!$E66:$Z66,MIN(AD$6-$G$3,22))),0)))))</f>
        <v>0</v>
      </c>
      <c r="AE68" s="27" t="n">
        <f aca="false">IF(COUNT('Milho 1ª safra'!$E66:$Z66)=0,0,MAX(0,IF((AE$6-$E$3)&lt;1,0,IFERROR(LOOKUP(2,1/('Milho 1ª safra'!$E66:INDEX('Milho 1ª safra'!$E66:$Z66,MIN(AE$6-$E$3,22))&lt;&gt;""),'Milho 1ª safra'!$E66:INDEX('Milho 1ª safra'!$E66:$Z66,MIN(AE$6-$E$3,22))),0))-IF($G$2,0,IF((AE$6-$G$3)&lt;1,0,IFERROR(LOOKUP(2,1/('Milho 1ª safra'!$E66:INDEX('Milho 1ª safra'!$E66:$Z66,MIN(AE$6-$G$3,22))&lt;&gt;""),'Milho 1ª safra'!$E66:INDEX('Milho 1ª safra'!$E66:$Z66,MIN(AE$6-$G$3,22))),0)))))</f>
        <v>0</v>
      </c>
      <c r="AF68" s="27" t="n">
        <f aca="false">IF(COUNT('Milho 1ª safra'!$E66:$Z66)=0,0,MAX(0,IF((AF$6-$E$3)&lt;1,0,IFERROR(LOOKUP(2,1/('Milho 1ª safra'!$E66:INDEX('Milho 1ª safra'!$E66:$Z66,MIN(AF$6-$E$3,22))&lt;&gt;""),'Milho 1ª safra'!$E66:INDEX('Milho 1ª safra'!$E66:$Z66,MIN(AF$6-$E$3,22))),0))-IF($G$2,0,IF((AF$6-$G$3)&lt;1,0,IFERROR(LOOKUP(2,1/('Milho 1ª safra'!$E66:INDEX('Milho 1ª safra'!$E66:$Z66,MIN(AF$6-$G$3,22))&lt;&gt;""),'Milho 1ª safra'!$E66:INDEX('Milho 1ª safra'!$E66:$Z66,MIN(AF$6-$G$3,22))),0)))))</f>
        <v>0</v>
      </c>
      <c r="AG68" s="27" t="n">
        <f aca="false">IF(COUNT('Milho 1ª safra'!$E66:$Z66)=0,0,MAX(0,IF((AG$6-$E$3)&lt;1,0,IFERROR(LOOKUP(2,1/('Milho 1ª safra'!$E66:INDEX('Milho 1ª safra'!$E66:$Z66,MIN(AG$6-$E$3,22))&lt;&gt;""),'Milho 1ª safra'!$E66:INDEX('Milho 1ª safra'!$E66:$Z66,MIN(AG$6-$E$3,22))),0))-IF($G$2,0,IF((AG$6-$G$3)&lt;1,0,IFERROR(LOOKUP(2,1/('Milho 1ª safra'!$E66:INDEX('Milho 1ª safra'!$E66:$Z66,MIN(AG$6-$G$3,22))&lt;&gt;""),'Milho 1ª safra'!$E66:INDEX('Milho 1ª safra'!$E66:$Z66,MIN(AG$6-$G$3,22))),0)))))</f>
        <v>0</v>
      </c>
      <c r="AH68" s="27" t="n">
        <f aca="false">IF(COUNT('Milho 1ª safra'!$E66:$Z66)=0,0,MAX(0,IF((AH$6-$E$3)&lt;1,0,IFERROR(LOOKUP(2,1/('Milho 1ª safra'!$E66:INDEX('Milho 1ª safra'!$E66:$Z66,MIN(AH$6-$E$3,22))&lt;&gt;""),'Milho 1ª safra'!$E66:INDEX('Milho 1ª safra'!$E66:$Z66,MIN(AH$6-$E$3,22))),0))-IF($G$2,0,IF((AH$6-$G$3)&lt;1,0,IFERROR(LOOKUP(2,1/('Milho 1ª safra'!$E66:INDEX('Milho 1ª safra'!$E66:$Z66,MIN(AH$6-$G$3,22))&lt;&gt;""),'Milho 1ª safra'!$E66:INDEX('Milho 1ª safra'!$E66:$Z66,MIN(AH$6-$G$3,22))),0)))))</f>
        <v>0</v>
      </c>
      <c r="AI68" s="27" t="n">
        <f aca="false">IF(COUNT('Milho 1ª safra'!$E66:$Z66)=0,0,MAX(0,IF((AI$6-$E$3)&lt;1,0,IFERROR(LOOKUP(2,1/('Milho 1ª safra'!$E66:INDEX('Milho 1ª safra'!$E66:$Z66,MIN(AI$6-$E$3,22))&lt;&gt;""),'Milho 1ª safra'!$E66:INDEX('Milho 1ª safra'!$E66:$Z66,MIN(AI$6-$E$3,22))),0))-IF($G$2,0,IF((AI$6-$G$3)&lt;1,0,IFERROR(LOOKUP(2,1/('Milho 1ª safra'!$E66:INDEX('Milho 1ª safra'!$E66:$Z66,MIN(AI$6-$G$3,22))&lt;&gt;""),'Milho 1ª safra'!$E66:INDEX('Milho 1ª safra'!$E66:$Z66,MIN(AI$6-$G$3,22))),0)))))</f>
        <v>0</v>
      </c>
      <c r="AJ68" s="27" t="n">
        <f aca="false">IF(COUNT('Milho 1ª safra'!$E66:$Z66)=0,0,MAX(0,IF((AJ$6-$E$3)&lt;1,0,IFERROR(LOOKUP(2,1/('Milho 1ª safra'!$E66:INDEX('Milho 1ª safra'!$E66:$Z66,MIN(AJ$6-$E$3,22))&lt;&gt;""),'Milho 1ª safra'!$E66:INDEX('Milho 1ª safra'!$E66:$Z66,MIN(AJ$6-$E$3,22))),0))-IF($G$2,0,IF((AJ$6-$G$3)&lt;1,0,IFERROR(LOOKUP(2,1/('Milho 1ª safra'!$E66:INDEX('Milho 1ª safra'!$E66:$Z66,MIN(AJ$6-$G$3,22))&lt;&gt;""),'Milho 1ª safra'!$E66:INDEX('Milho 1ª safra'!$E66:$Z66,MIN(AJ$6-$G$3,22))),0)))))</f>
        <v>0</v>
      </c>
      <c r="AK68" s="27" t="n">
        <f aca="false">IF(COUNT('Milho 1ª safra'!$E66:$Z66)=0,0,MAX(0,IF((AK$6-$E$3)&lt;1,0,IFERROR(LOOKUP(2,1/('Milho 1ª safra'!$E66:INDEX('Milho 1ª safra'!$E66:$Z66,MIN(AK$6-$E$3,22))&lt;&gt;""),'Milho 1ª safra'!$E66:INDEX('Milho 1ª safra'!$E66:$Z66,MIN(AK$6-$E$3,22))),0))-IF($G$2,0,IF((AK$6-$G$3)&lt;1,0,IFERROR(LOOKUP(2,1/('Milho 1ª safra'!$E66:INDEX('Milho 1ª safra'!$E66:$Z66,MIN(AK$6-$G$3,22))&lt;&gt;""),'Milho 1ª safra'!$E66:INDEX('Milho 1ª safra'!$E66:$Z66,MIN(AK$6-$G$3,22))),0)))))</f>
        <v>0</v>
      </c>
      <c r="AL68" s="27" t="n">
        <f aca="false">IF(COUNT('Milho 1ª safra'!$E66:$Z66)=0,0,MAX(0,IF((AL$6-$E$3)&lt;1,0,IFERROR(LOOKUP(2,1/('Milho 1ª safra'!$E66:INDEX('Milho 1ª safra'!$E66:$Z66,MIN(AL$6-$E$3,22))&lt;&gt;""),'Milho 1ª safra'!$E66:INDEX('Milho 1ª safra'!$E66:$Z66,MIN(AL$6-$E$3,22))),0))-IF($G$2,0,IF((AL$6-$G$3)&lt;1,0,IFERROR(LOOKUP(2,1/('Milho 1ª safra'!$E66:INDEX('Milho 1ª safra'!$E66:$Z66,MIN(AL$6-$G$3,22))&lt;&gt;""),'Milho 1ª safra'!$E66:INDEX('Milho 1ª safra'!$E66:$Z66,MIN(AL$6-$G$3,22))),0)))))</f>
        <v>0</v>
      </c>
      <c r="AM68" s="27" t="n">
        <f aca="false">IF(COUNT('Milho 1ª safra'!$E66:$Z66)=0,0,MAX(0,IF((AM$6-$E$3)&lt;1,0,IFERROR(LOOKUP(2,1/('Milho 1ª safra'!$E66:INDEX('Milho 1ª safra'!$E66:$Z66,MIN(AM$6-$E$3,22))&lt;&gt;""),'Milho 1ª safra'!$E66:INDEX('Milho 1ª safra'!$E66:$Z66,MIN(AM$6-$E$3,22))),0))-IF($G$2,0,IF((AM$6-$G$3)&lt;1,0,IFERROR(LOOKUP(2,1/('Milho 1ª safra'!$E66:INDEX('Milho 1ª safra'!$E66:$Z66,MIN(AM$6-$G$3,22))&lt;&gt;""),'Milho 1ª safra'!$E66:INDEX('Milho 1ª safra'!$E66:$Z66,MIN(AM$6-$G$3,22))),0)))))</f>
        <v>0</v>
      </c>
      <c r="AN68" s="27" t="n">
        <f aca="false">IF(COUNT('Milho 1ª safra'!$E66:$Z66)=0,0,MAX(0,IF((AN$6-$E$3)&lt;1,0,IFERROR(LOOKUP(2,1/('Milho 1ª safra'!$E66:INDEX('Milho 1ª safra'!$E66:$Z66,MIN(AN$6-$E$3,22))&lt;&gt;""),'Milho 1ª safra'!$E66:INDEX('Milho 1ª safra'!$E66:$Z66,MIN(AN$6-$E$3,22))),0))-IF($G$2,0,IF((AN$6-$G$3)&lt;1,0,IFERROR(LOOKUP(2,1/('Milho 1ª safra'!$E66:INDEX('Milho 1ª safra'!$E66:$Z66,MIN(AN$6-$G$3,22))&lt;&gt;""),'Milho 1ª safra'!$E66:INDEX('Milho 1ª safra'!$E66:$Z66,MIN(AN$6-$G$3,22))),0)))))</f>
        <v>0</v>
      </c>
      <c r="AO68" s="27" t="n">
        <f aca="false">IF(COUNT('Milho 1ª safra'!$E66:$Z66)=0,0,MAX(0,IF((AO$6-$E$3)&lt;1,0,IFERROR(LOOKUP(2,1/('Milho 1ª safra'!$E66:INDEX('Milho 1ª safra'!$E66:$Z66,MIN(AO$6-$E$3,22))&lt;&gt;""),'Milho 1ª safra'!$E66:INDEX('Milho 1ª safra'!$E66:$Z66,MIN(AO$6-$E$3,22))),0))-IF($G$2,0,IF((AO$6-$G$3)&lt;1,0,IFERROR(LOOKUP(2,1/('Milho 1ª safra'!$E66:INDEX('Milho 1ª safra'!$E66:$Z66,MIN(AO$6-$G$3,22))&lt;&gt;""),'Milho 1ª safra'!$E66:INDEX('Milho 1ª safra'!$E66:$Z66,MIN(AO$6-$G$3,22))),0)))))</f>
        <v>0</v>
      </c>
      <c r="AP68" s="27" t="n">
        <f aca="false">IF(COUNT('Milho 1ª safra'!$E66:$Z66)=0,0,MAX(0,IF((AP$6-$E$3)&lt;1,0,IFERROR(LOOKUP(2,1/('Milho 1ª safra'!$E66:INDEX('Milho 1ª safra'!$E66:$Z66,MIN(AP$6-$E$3,22))&lt;&gt;""),'Milho 1ª safra'!$E66:INDEX('Milho 1ª safra'!$E66:$Z66,MIN(AP$6-$E$3,22))),0))-IF($G$2,0,IF((AP$6-$G$3)&lt;1,0,IFERROR(LOOKUP(2,1/('Milho 1ª safra'!$E66:INDEX('Milho 1ª safra'!$E66:$Z66,MIN(AP$6-$G$3,22))&lt;&gt;""),'Milho 1ª safra'!$E66:INDEX('Milho 1ª safra'!$E66:$Z66,MIN(AP$6-$G$3,22))),0)))))</f>
        <v>0</v>
      </c>
      <c r="AQ68" s="27" t="n">
        <f aca="false">IF(COUNT('Milho 1ª safra'!$E66:$Z66)=0,0,MAX(0,IF((AQ$6-$E$3)&lt;1,0,IFERROR(LOOKUP(2,1/('Milho 1ª safra'!$E66:INDEX('Milho 1ª safra'!$E66:$Z66,MIN(AQ$6-$E$3,22))&lt;&gt;""),'Milho 1ª safra'!$E66:INDEX('Milho 1ª safra'!$E66:$Z66,MIN(AQ$6-$E$3,22))),0))-IF($G$2,0,IF((AQ$6-$G$3)&lt;1,0,IFERROR(LOOKUP(2,1/('Milho 1ª safra'!$E66:INDEX('Milho 1ª safra'!$E66:$Z66,MIN(AQ$6-$G$3,22))&lt;&gt;""),'Milho 1ª safra'!$E66:INDEX('Milho 1ª safra'!$E66:$Z66,MIN(AQ$6-$G$3,22))),0)))))</f>
        <v>0</v>
      </c>
      <c r="AR68" s="27" t="n">
        <f aca="false">IF(COUNT('Milho 1ª safra'!$E66:$Z66)=0,0,MAX(0,IF((AR$6-$E$3)&lt;1,0,IFERROR(LOOKUP(2,1/('Milho 1ª safra'!$E66:INDEX('Milho 1ª safra'!$E66:$Z66,MIN(AR$6-$E$3,22))&lt;&gt;""),'Milho 1ª safra'!$E66:INDEX('Milho 1ª safra'!$E66:$Z66,MIN(AR$6-$E$3,22))),0))-IF($G$2,0,IF((AR$6-$G$3)&lt;1,0,IFERROR(LOOKUP(2,1/('Milho 1ª safra'!$E66:INDEX('Milho 1ª safra'!$E66:$Z66,MIN(AR$6-$G$3,22))&lt;&gt;""),'Milho 1ª safra'!$E66:INDEX('Milho 1ª safra'!$E66:$Z66,MIN(AR$6-$G$3,22))),0)))))</f>
        <v>0</v>
      </c>
      <c r="AS68" s="27" t="n">
        <f aca="false">IF(COUNT('Milho 1ª safra'!$E66:$Z66)=0,0,MAX(0,IF((AS$6-$E$3)&lt;1,0,IFERROR(LOOKUP(2,1/('Milho 1ª safra'!$E66:INDEX('Milho 1ª safra'!$E66:$Z66,MIN(AS$6-$E$3,22))&lt;&gt;""),'Milho 1ª safra'!$E66:INDEX('Milho 1ª safra'!$E66:$Z66,MIN(AS$6-$E$3,22))),0))-IF($G$2,0,IF((AS$6-$G$3)&lt;1,0,IFERROR(LOOKUP(2,1/('Milho 1ª safra'!$E66:INDEX('Milho 1ª safra'!$E66:$Z66,MIN(AS$6-$G$3,22))&lt;&gt;""),'Milho 1ª safra'!$E66:INDEX('Milho 1ª safra'!$E66:$Z66,MIN(AS$6-$G$3,22))),0)))))</f>
        <v>0</v>
      </c>
      <c r="AT68" s="27" t="n">
        <f aca="false">IF(COUNT('Milho 1ª safra'!$E66:$Z66)=0,0,MAX(0,IF((AT$6-$E$3)&lt;1,0,IFERROR(LOOKUP(2,1/('Milho 1ª safra'!$E66:INDEX('Milho 1ª safra'!$E66:$Z66,MIN(AT$6-$E$3,22))&lt;&gt;""),'Milho 1ª safra'!$E66:INDEX('Milho 1ª safra'!$E66:$Z66,MIN(AT$6-$E$3,22))),0))-IF($G$2,0,IF((AT$6-$G$3)&lt;1,0,IFERROR(LOOKUP(2,1/('Milho 1ª safra'!$E66:INDEX('Milho 1ª safra'!$E66:$Z66,MIN(AT$6-$G$3,22))&lt;&gt;""),'Milho 1ª safra'!$E66:INDEX('Milho 1ª safra'!$E66:$Z66,MIN(AT$6-$G$3,22))),0)))))</f>
        <v>0</v>
      </c>
      <c r="AU68" s="27" t="n">
        <f aca="false">IF(COUNT('Milho 1ª safra'!$E66:$Z66)=0,0,MAX(0,IF((AU$6-$E$3)&lt;1,0,IFERROR(LOOKUP(2,1/('Milho 1ª safra'!$E66:INDEX('Milho 1ª safra'!$E66:$Z66,MIN(AU$6-$E$3,22))&lt;&gt;""),'Milho 1ª safra'!$E66:INDEX('Milho 1ª safra'!$E66:$Z66,MIN(AU$6-$E$3,22))),0))-IF($G$2,0,IF((AU$6-$G$3)&lt;1,0,IFERROR(LOOKUP(2,1/('Milho 1ª safra'!$E66:INDEX('Milho 1ª safra'!$E66:$Z66,MIN(AU$6-$G$3,22))&lt;&gt;""),'Milho 1ª safra'!$E66:INDEX('Milho 1ª safra'!$E66:$Z66,MIN(AU$6-$G$3,22))),0)))))</f>
        <v>0</v>
      </c>
      <c r="AV68" s="27" t="n">
        <f aca="false">IF(COUNT('Milho 1ª safra'!$E66:$Z66)=0,0,MAX(0,IF((AV$6-$E$3)&lt;1,0,IFERROR(LOOKUP(2,1/('Milho 1ª safra'!$E66:INDEX('Milho 1ª safra'!$E66:$Z66,MIN(AV$6-$E$3,22))&lt;&gt;""),'Milho 1ª safra'!$E66:INDEX('Milho 1ª safra'!$E66:$Z66,MIN(AV$6-$E$3,22))),0))-IF($G$2,0,IF((AV$6-$G$3)&lt;1,0,IFERROR(LOOKUP(2,1/('Milho 1ª safra'!$E66:INDEX('Milho 1ª safra'!$E66:$Z66,MIN(AV$6-$G$3,22))&lt;&gt;""),'Milho 1ª safra'!$E66:INDEX('Milho 1ª safra'!$E66:$Z66,MIN(AV$6-$G$3,22))),0)))))</f>
        <v>0</v>
      </c>
      <c r="AW68" s="27" t="n">
        <f aca="false">IF(COUNT('Milho 1ª safra'!$E66:$Z66)=0,0,MAX(0,IF((AW$6-$E$3)&lt;1,0,IFERROR(LOOKUP(2,1/('Milho 1ª safra'!$E66:INDEX('Milho 1ª safra'!$E66:$Z66,MIN(AW$6-$E$3,22))&lt;&gt;""),'Milho 1ª safra'!$E66:INDEX('Milho 1ª safra'!$E66:$Z66,MIN(AW$6-$E$3,22))),0))-IF($G$2,0,IF((AW$6-$G$3)&lt;1,0,IFERROR(LOOKUP(2,1/('Milho 1ª safra'!$E66:INDEX('Milho 1ª safra'!$E66:$Z66,MIN(AW$6-$G$3,22))&lt;&gt;""),'Milho 1ª safra'!$E66:INDEX('Milho 1ª safra'!$E66:$Z66,MIN(AW$6-$G$3,22))),0)))))</f>
        <v>0</v>
      </c>
      <c r="AX68" s="27" t="n">
        <f aca="false">IF(COUNT('Milho 1ª safra'!$E66:$Z66)=0,0,MAX(0,IF((AX$6-$E$3)&lt;1,0,IFERROR(LOOKUP(2,1/('Milho 1ª safra'!$E66:INDEX('Milho 1ª safra'!$E66:$Z66,MIN(AX$6-$E$3,22))&lt;&gt;""),'Milho 1ª safra'!$E66:INDEX('Milho 1ª safra'!$E66:$Z66,MIN(AX$6-$E$3,22))),0))-IF($G$2,0,IF((AX$6-$G$3)&lt;1,0,IFERROR(LOOKUP(2,1/('Milho 1ª safra'!$E66:INDEX('Milho 1ª safra'!$E66:$Z66,MIN(AX$6-$G$3,22))&lt;&gt;""),'Milho 1ª safra'!$E66:INDEX('Milho 1ª safra'!$E66:$Z66,MIN(AX$6-$G$3,22))),0)))))</f>
        <v>0</v>
      </c>
      <c r="AY68" s="27" t="n">
        <f aca="false">IF(COUNT('Milho 1ª safra'!$E66:$Z66)=0,0,MAX(0,IF((AY$6-$E$3)&lt;1,0,IFERROR(LOOKUP(2,1/('Milho 1ª safra'!$E66:INDEX('Milho 1ª safra'!$E66:$Z66,MIN(AY$6-$E$3,22))&lt;&gt;""),'Milho 1ª safra'!$E66:INDEX('Milho 1ª safra'!$E66:$Z66,MIN(AY$6-$E$3,22))),0))-IF($G$2,0,IF((AY$6-$G$3)&lt;1,0,IFERROR(LOOKUP(2,1/('Milho 1ª safra'!$E66:INDEX('Milho 1ª safra'!$E66:$Z66,MIN(AY$6-$G$3,22))&lt;&gt;""),'Milho 1ª safra'!$E66:INDEX('Milho 1ª safra'!$E66:$Z66,MIN(AY$6-$G$3,22))),0)))))</f>
        <v>0</v>
      </c>
      <c r="AZ68" s="27" t="n">
        <f aca="false">IF(COUNT('Milho 1ª safra'!$E66:$Z66)=0,0,MAX(0,IF((AZ$6-$E$3)&lt;1,0,IFERROR(LOOKUP(2,1/('Milho 1ª safra'!$E66:INDEX('Milho 1ª safra'!$E66:$Z66,MIN(AZ$6-$E$3,22))&lt;&gt;""),'Milho 1ª safra'!$E66:INDEX('Milho 1ª safra'!$E66:$Z66,MIN(AZ$6-$E$3,22))),0))-IF($G$2,0,IF((AZ$6-$G$3)&lt;1,0,IFERROR(LOOKUP(2,1/('Milho 1ª safra'!$E66:INDEX('Milho 1ª safra'!$E66:$Z66,MIN(AZ$6-$G$3,22))&lt;&gt;""),'Milho 1ª safra'!$E66:INDEX('Milho 1ª safra'!$E66:$Z66,MIN(AZ$6-$G$3,22))),0)))))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IF(COUNT('Milho 1ª safra'!$E67:$Z67)&gt;0,N('Milho 1ª safra'!$D67),0)</f>
        <v>0</v>
      </c>
      <c r="E69" s="27" t="n">
        <f aca="false">IF(COUNT('Milho 1ª safra'!$E67:$Z67)=0,0,MAX(0,IF((E$6-$E$3)&lt;1,0,IFERROR(LOOKUP(2,1/('Milho 1ª safra'!$E67:INDEX('Milho 1ª safra'!$E67:$Z67,MIN(E$6-$E$3,22))&lt;&gt;""),'Milho 1ª safra'!$E67:INDEX('Milho 1ª safra'!$E67:$Z67,MIN(E$6-$E$3,22))),0))-IF($G$2,0,IF((E$6-$G$3)&lt;1,0,IFERROR(LOOKUP(2,1/('Milho 1ª safra'!$E67:INDEX('Milho 1ª safra'!$E67:$Z67,MIN(E$6-$G$3,22))&lt;&gt;""),'Milho 1ª safra'!$E67:INDEX('Milho 1ª safra'!$E67:$Z67,MIN(E$6-$G$3,22))),0)))))</f>
        <v>0</v>
      </c>
      <c r="F69" s="27" t="n">
        <f aca="false">IF(COUNT('Milho 1ª safra'!$E67:$Z67)=0,0,MAX(0,IF((F$6-$E$3)&lt;1,0,IFERROR(LOOKUP(2,1/('Milho 1ª safra'!$E67:INDEX('Milho 1ª safra'!$E67:$Z67,MIN(F$6-$E$3,22))&lt;&gt;""),'Milho 1ª safra'!$E67:INDEX('Milho 1ª safra'!$E67:$Z67,MIN(F$6-$E$3,22))),0))-IF($G$2,0,IF((F$6-$G$3)&lt;1,0,IFERROR(LOOKUP(2,1/('Milho 1ª safra'!$E67:INDEX('Milho 1ª safra'!$E67:$Z67,MIN(F$6-$G$3,22))&lt;&gt;""),'Milho 1ª safra'!$E67:INDEX('Milho 1ª safra'!$E67:$Z67,MIN(F$6-$G$3,22))),0)))))</f>
        <v>0</v>
      </c>
      <c r="G69" s="27" t="n">
        <f aca="false">IF(COUNT('Milho 1ª safra'!$E67:$Z67)=0,0,MAX(0,IF((G$6-$E$3)&lt;1,0,IFERROR(LOOKUP(2,1/('Milho 1ª safra'!$E67:INDEX('Milho 1ª safra'!$E67:$Z67,MIN(G$6-$E$3,22))&lt;&gt;""),'Milho 1ª safra'!$E67:INDEX('Milho 1ª safra'!$E67:$Z67,MIN(G$6-$E$3,22))),0))-IF($G$2,0,IF((G$6-$G$3)&lt;1,0,IFERROR(LOOKUP(2,1/('Milho 1ª safra'!$E67:INDEX('Milho 1ª safra'!$E67:$Z67,MIN(G$6-$G$3,22))&lt;&gt;""),'Milho 1ª safra'!$E67:INDEX('Milho 1ª safra'!$E67:$Z67,MIN(G$6-$G$3,22))),0)))))</f>
        <v>0</v>
      </c>
      <c r="H69" s="27" t="n">
        <f aca="false">IF(COUNT('Milho 1ª safra'!$E67:$Z67)=0,0,MAX(0,IF((H$6-$E$3)&lt;1,0,IFERROR(LOOKUP(2,1/('Milho 1ª safra'!$E67:INDEX('Milho 1ª safra'!$E67:$Z67,MIN(H$6-$E$3,22))&lt;&gt;""),'Milho 1ª safra'!$E67:INDEX('Milho 1ª safra'!$E67:$Z67,MIN(H$6-$E$3,22))),0))-IF($G$2,0,IF((H$6-$G$3)&lt;1,0,IFERROR(LOOKUP(2,1/('Milho 1ª safra'!$E67:INDEX('Milho 1ª safra'!$E67:$Z67,MIN(H$6-$G$3,22))&lt;&gt;""),'Milho 1ª safra'!$E67:INDEX('Milho 1ª safra'!$E67:$Z67,MIN(H$6-$G$3,22))),0)))))</f>
        <v>0</v>
      </c>
      <c r="I69" s="27" t="n">
        <f aca="false">IF(COUNT('Milho 1ª safra'!$E67:$Z67)=0,0,MAX(0,IF((I$6-$E$3)&lt;1,0,IFERROR(LOOKUP(2,1/('Milho 1ª safra'!$E67:INDEX('Milho 1ª safra'!$E67:$Z67,MIN(I$6-$E$3,22))&lt;&gt;""),'Milho 1ª safra'!$E67:INDEX('Milho 1ª safra'!$E67:$Z67,MIN(I$6-$E$3,22))),0))-IF($G$2,0,IF((I$6-$G$3)&lt;1,0,IFERROR(LOOKUP(2,1/('Milho 1ª safra'!$E67:INDEX('Milho 1ª safra'!$E67:$Z67,MIN(I$6-$G$3,22))&lt;&gt;""),'Milho 1ª safra'!$E67:INDEX('Milho 1ª safra'!$E67:$Z67,MIN(I$6-$G$3,22))),0)))))</f>
        <v>0</v>
      </c>
      <c r="J69" s="27" t="n">
        <f aca="false">IF(COUNT('Milho 1ª safra'!$E67:$Z67)=0,0,MAX(0,IF((J$6-$E$3)&lt;1,0,IFERROR(LOOKUP(2,1/('Milho 1ª safra'!$E67:INDEX('Milho 1ª safra'!$E67:$Z67,MIN(J$6-$E$3,22))&lt;&gt;""),'Milho 1ª safra'!$E67:INDEX('Milho 1ª safra'!$E67:$Z67,MIN(J$6-$E$3,22))),0))-IF($G$2,0,IF((J$6-$G$3)&lt;1,0,IFERROR(LOOKUP(2,1/('Milho 1ª safra'!$E67:INDEX('Milho 1ª safra'!$E67:$Z67,MIN(J$6-$G$3,22))&lt;&gt;""),'Milho 1ª safra'!$E67:INDEX('Milho 1ª safra'!$E67:$Z67,MIN(J$6-$G$3,22))),0)))))</f>
        <v>0</v>
      </c>
      <c r="K69" s="27" t="n">
        <f aca="false">IF(COUNT('Milho 1ª safra'!$E67:$Z67)=0,0,MAX(0,IF((K$6-$E$3)&lt;1,0,IFERROR(LOOKUP(2,1/('Milho 1ª safra'!$E67:INDEX('Milho 1ª safra'!$E67:$Z67,MIN(K$6-$E$3,22))&lt;&gt;""),'Milho 1ª safra'!$E67:INDEX('Milho 1ª safra'!$E67:$Z67,MIN(K$6-$E$3,22))),0))-IF($G$2,0,IF((K$6-$G$3)&lt;1,0,IFERROR(LOOKUP(2,1/('Milho 1ª safra'!$E67:INDEX('Milho 1ª safra'!$E67:$Z67,MIN(K$6-$G$3,22))&lt;&gt;""),'Milho 1ª safra'!$E67:INDEX('Milho 1ª safra'!$E67:$Z67,MIN(K$6-$G$3,22))),0)))))</f>
        <v>0</v>
      </c>
      <c r="L69" s="27" t="n">
        <f aca="false">IF(COUNT('Milho 1ª safra'!$E67:$Z67)=0,0,MAX(0,IF((L$6-$E$3)&lt;1,0,IFERROR(LOOKUP(2,1/('Milho 1ª safra'!$E67:INDEX('Milho 1ª safra'!$E67:$Z67,MIN(L$6-$E$3,22))&lt;&gt;""),'Milho 1ª safra'!$E67:INDEX('Milho 1ª safra'!$E67:$Z67,MIN(L$6-$E$3,22))),0))-IF($G$2,0,IF((L$6-$G$3)&lt;1,0,IFERROR(LOOKUP(2,1/('Milho 1ª safra'!$E67:INDEX('Milho 1ª safra'!$E67:$Z67,MIN(L$6-$G$3,22))&lt;&gt;""),'Milho 1ª safra'!$E67:INDEX('Milho 1ª safra'!$E67:$Z67,MIN(L$6-$G$3,22))),0)))))</f>
        <v>0</v>
      </c>
      <c r="M69" s="27" t="n">
        <f aca="false">IF(COUNT('Milho 1ª safra'!$E67:$Z67)=0,0,MAX(0,IF((M$6-$E$3)&lt;1,0,IFERROR(LOOKUP(2,1/('Milho 1ª safra'!$E67:INDEX('Milho 1ª safra'!$E67:$Z67,MIN(M$6-$E$3,22))&lt;&gt;""),'Milho 1ª safra'!$E67:INDEX('Milho 1ª safra'!$E67:$Z67,MIN(M$6-$E$3,22))),0))-IF($G$2,0,IF((M$6-$G$3)&lt;1,0,IFERROR(LOOKUP(2,1/('Milho 1ª safra'!$E67:INDEX('Milho 1ª safra'!$E67:$Z67,MIN(M$6-$G$3,22))&lt;&gt;""),'Milho 1ª safra'!$E67:INDEX('Milho 1ª safra'!$E67:$Z67,MIN(M$6-$G$3,22))),0)))))</f>
        <v>0</v>
      </c>
      <c r="N69" s="27" t="n">
        <f aca="false">IF(COUNT('Milho 1ª safra'!$E67:$Z67)=0,0,MAX(0,IF((N$6-$E$3)&lt;1,0,IFERROR(LOOKUP(2,1/('Milho 1ª safra'!$E67:INDEX('Milho 1ª safra'!$E67:$Z67,MIN(N$6-$E$3,22))&lt;&gt;""),'Milho 1ª safra'!$E67:INDEX('Milho 1ª safra'!$E67:$Z67,MIN(N$6-$E$3,22))),0))-IF($G$2,0,IF((N$6-$G$3)&lt;1,0,IFERROR(LOOKUP(2,1/('Milho 1ª safra'!$E67:INDEX('Milho 1ª safra'!$E67:$Z67,MIN(N$6-$G$3,22))&lt;&gt;""),'Milho 1ª safra'!$E67:INDEX('Milho 1ª safra'!$E67:$Z67,MIN(N$6-$G$3,22))),0)))))</f>
        <v>0</v>
      </c>
      <c r="O69" s="27" t="n">
        <f aca="false">IF(COUNT('Milho 1ª safra'!$E67:$Z67)=0,0,MAX(0,IF((O$6-$E$3)&lt;1,0,IFERROR(LOOKUP(2,1/('Milho 1ª safra'!$E67:INDEX('Milho 1ª safra'!$E67:$Z67,MIN(O$6-$E$3,22))&lt;&gt;""),'Milho 1ª safra'!$E67:INDEX('Milho 1ª safra'!$E67:$Z67,MIN(O$6-$E$3,22))),0))-IF($G$2,0,IF((O$6-$G$3)&lt;1,0,IFERROR(LOOKUP(2,1/('Milho 1ª safra'!$E67:INDEX('Milho 1ª safra'!$E67:$Z67,MIN(O$6-$G$3,22))&lt;&gt;""),'Milho 1ª safra'!$E67:INDEX('Milho 1ª safra'!$E67:$Z67,MIN(O$6-$G$3,22))),0)))))</f>
        <v>0</v>
      </c>
      <c r="P69" s="27" t="n">
        <f aca="false">IF(COUNT('Milho 1ª safra'!$E67:$Z67)=0,0,MAX(0,IF((P$6-$E$3)&lt;1,0,IFERROR(LOOKUP(2,1/('Milho 1ª safra'!$E67:INDEX('Milho 1ª safra'!$E67:$Z67,MIN(P$6-$E$3,22))&lt;&gt;""),'Milho 1ª safra'!$E67:INDEX('Milho 1ª safra'!$E67:$Z67,MIN(P$6-$E$3,22))),0))-IF($G$2,0,IF((P$6-$G$3)&lt;1,0,IFERROR(LOOKUP(2,1/('Milho 1ª safra'!$E67:INDEX('Milho 1ª safra'!$E67:$Z67,MIN(P$6-$G$3,22))&lt;&gt;""),'Milho 1ª safra'!$E67:INDEX('Milho 1ª safra'!$E67:$Z67,MIN(P$6-$G$3,22))),0)))))</f>
        <v>0</v>
      </c>
      <c r="Q69" s="27" t="n">
        <f aca="false">IF(COUNT('Milho 1ª safra'!$E67:$Z67)=0,0,MAX(0,IF((Q$6-$E$3)&lt;1,0,IFERROR(LOOKUP(2,1/('Milho 1ª safra'!$E67:INDEX('Milho 1ª safra'!$E67:$Z67,MIN(Q$6-$E$3,22))&lt;&gt;""),'Milho 1ª safra'!$E67:INDEX('Milho 1ª safra'!$E67:$Z67,MIN(Q$6-$E$3,22))),0))-IF($G$2,0,IF((Q$6-$G$3)&lt;1,0,IFERROR(LOOKUP(2,1/('Milho 1ª safra'!$E67:INDEX('Milho 1ª safra'!$E67:$Z67,MIN(Q$6-$G$3,22))&lt;&gt;""),'Milho 1ª safra'!$E67:INDEX('Milho 1ª safra'!$E67:$Z67,MIN(Q$6-$G$3,22))),0)))))</f>
        <v>0</v>
      </c>
      <c r="R69" s="27" t="n">
        <f aca="false">IF(COUNT('Milho 1ª safra'!$E67:$Z67)=0,0,MAX(0,IF((R$6-$E$3)&lt;1,0,IFERROR(LOOKUP(2,1/('Milho 1ª safra'!$E67:INDEX('Milho 1ª safra'!$E67:$Z67,MIN(R$6-$E$3,22))&lt;&gt;""),'Milho 1ª safra'!$E67:INDEX('Milho 1ª safra'!$E67:$Z67,MIN(R$6-$E$3,22))),0))-IF($G$2,0,IF((R$6-$G$3)&lt;1,0,IFERROR(LOOKUP(2,1/('Milho 1ª safra'!$E67:INDEX('Milho 1ª safra'!$E67:$Z67,MIN(R$6-$G$3,22))&lt;&gt;""),'Milho 1ª safra'!$E67:INDEX('Milho 1ª safra'!$E67:$Z67,MIN(R$6-$G$3,22))),0)))))</f>
        <v>0</v>
      </c>
      <c r="S69" s="27" t="n">
        <f aca="false">IF(COUNT('Milho 1ª safra'!$E67:$Z67)=0,0,MAX(0,IF((S$6-$E$3)&lt;1,0,IFERROR(LOOKUP(2,1/('Milho 1ª safra'!$E67:INDEX('Milho 1ª safra'!$E67:$Z67,MIN(S$6-$E$3,22))&lt;&gt;""),'Milho 1ª safra'!$E67:INDEX('Milho 1ª safra'!$E67:$Z67,MIN(S$6-$E$3,22))),0))-IF($G$2,0,IF((S$6-$G$3)&lt;1,0,IFERROR(LOOKUP(2,1/('Milho 1ª safra'!$E67:INDEX('Milho 1ª safra'!$E67:$Z67,MIN(S$6-$G$3,22))&lt;&gt;""),'Milho 1ª safra'!$E67:INDEX('Milho 1ª safra'!$E67:$Z67,MIN(S$6-$G$3,22))),0)))))</f>
        <v>0</v>
      </c>
      <c r="T69" s="27" t="n">
        <f aca="false">IF(COUNT('Milho 1ª safra'!$E67:$Z67)=0,0,MAX(0,IF((T$6-$E$3)&lt;1,0,IFERROR(LOOKUP(2,1/('Milho 1ª safra'!$E67:INDEX('Milho 1ª safra'!$E67:$Z67,MIN(T$6-$E$3,22))&lt;&gt;""),'Milho 1ª safra'!$E67:INDEX('Milho 1ª safra'!$E67:$Z67,MIN(T$6-$E$3,22))),0))-IF($G$2,0,IF((T$6-$G$3)&lt;1,0,IFERROR(LOOKUP(2,1/('Milho 1ª safra'!$E67:INDEX('Milho 1ª safra'!$E67:$Z67,MIN(T$6-$G$3,22))&lt;&gt;""),'Milho 1ª safra'!$E67:INDEX('Milho 1ª safra'!$E67:$Z67,MIN(T$6-$G$3,22))),0)))))</f>
        <v>0</v>
      </c>
      <c r="U69" s="27" t="n">
        <f aca="false">IF(COUNT('Milho 1ª safra'!$E67:$Z67)=0,0,MAX(0,IF((U$6-$E$3)&lt;1,0,IFERROR(LOOKUP(2,1/('Milho 1ª safra'!$E67:INDEX('Milho 1ª safra'!$E67:$Z67,MIN(U$6-$E$3,22))&lt;&gt;""),'Milho 1ª safra'!$E67:INDEX('Milho 1ª safra'!$E67:$Z67,MIN(U$6-$E$3,22))),0))-IF($G$2,0,IF((U$6-$G$3)&lt;1,0,IFERROR(LOOKUP(2,1/('Milho 1ª safra'!$E67:INDEX('Milho 1ª safra'!$E67:$Z67,MIN(U$6-$G$3,22))&lt;&gt;""),'Milho 1ª safra'!$E67:INDEX('Milho 1ª safra'!$E67:$Z67,MIN(U$6-$G$3,22))),0)))))</f>
        <v>0</v>
      </c>
      <c r="V69" s="27" t="n">
        <f aca="false">IF(COUNT('Milho 1ª safra'!$E67:$Z67)=0,0,MAX(0,IF((V$6-$E$3)&lt;1,0,IFERROR(LOOKUP(2,1/('Milho 1ª safra'!$E67:INDEX('Milho 1ª safra'!$E67:$Z67,MIN(V$6-$E$3,22))&lt;&gt;""),'Milho 1ª safra'!$E67:INDEX('Milho 1ª safra'!$E67:$Z67,MIN(V$6-$E$3,22))),0))-IF($G$2,0,IF((V$6-$G$3)&lt;1,0,IFERROR(LOOKUP(2,1/('Milho 1ª safra'!$E67:INDEX('Milho 1ª safra'!$E67:$Z67,MIN(V$6-$G$3,22))&lt;&gt;""),'Milho 1ª safra'!$E67:INDEX('Milho 1ª safra'!$E67:$Z67,MIN(V$6-$G$3,22))),0)))))</f>
        <v>0</v>
      </c>
      <c r="W69" s="27" t="n">
        <f aca="false">IF(COUNT('Milho 1ª safra'!$E67:$Z67)=0,0,MAX(0,IF((W$6-$E$3)&lt;1,0,IFERROR(LOOKUP(2,1/('Milho 1ª safra'!$E67:INDEX('Milho 1ª safra'!$E67:$Z67,MIN(W$6-$E$3,22))&lt;&gt;""),'Milho 1ª safra'!$E67:INDEX('Milho 1ª safra'!$E67:$Z67,MIN(W$6-$E$3,22))),0))-IF($G$2,0,IF((W$6-$G$3)&lt;1,0,IFERROR(LOOKUP(2,1/('Milho 1ª safra'!$E67:INDEX('Milho 1ª safra'!$E67:$Z67,MIN(W$6-$G$3,22))&lt;&gt;""),'Milho 1ª safra'!$E67:INDEX('Milho 1ª safra'!$E67:$Z67,MIN(W$6-$G$3,22))),0)))))</f>
        <v>0</v>
      </c>
      <c r="X69" s="27" t="n">
        <f aca="false">IF(COUNT('Milho 1ª safra'!$E67:$Z67)=0,0,MAX(0,IF((X$6-$E$3)&lt;1,0,IFERROR(LOOKUP(2,1/('Milho 1ª safra'!$E67:INDEX('Milho 1ª safra'!$E67:$Z67,MIN(X$6-$E$3,22))&lt;&gt;""),'Milho 1ª safra'!$E67:INDEX('Milho 1ª safra'!$E67:$Z67,MIN(X$6-$E$3,22))),0))-IF($G$2,0,IF((X$6-$G$3)&lt;1,0,IFERROR(LOOKUP(2,1/('Milho 1ª safra'!$E67:INDEX('Milho 1ª safra'!$E67:$Z67,MIN(X$6-$G$3,22))&lt;&gt;""),'Milho 1ª safra'!$E67:INDEX('Milho 1ª safra'!$E67:$Z67,MIN(X$6-$G$3,22))),0)))))</f>
        <v>0</v>
      </c>
      <c r="Y69" s="27" t="n">
        <f aca="false">IF(COUNT('Milho 1ª safra'!$E67:$Z67)=0,0,MAX(0,IF((Y$6-$E$3)&lt;1,0,IFERROR(LOOKUP(2,1/('Milho 1ª safra'!$E67:INDEX('Milho 1ª safra'!$E67:$Z67,MIN(Y$6-$E$3,22))&lt;&gt;""),'Milho 1ª safra'!$E67:INDEX('Milho 1ª safra'!$E67:$Z67,MIN(Y$6-$E$3,22))),0))-IF($G$2,0,IF((Y$6-$G$3)&lt;1,0,IFERROR(LOOKUP(2,1/('Milho 1ª safra'!$E67:INDEX('Milho 1ª safra'!$E67:$Z67,MIN(Y$6-$G$3,22))&lt;&gt;""),'Milho 1ª safra'!$E67:INDEX('Milho 1ª safra'!$E67:$Z67,MIN(Y$6-$G$3,22))),0)))))</f>
        <v>0</v>
      </c>
      <c r="Z69" s="27" t="n">
        <f aca="false">IF(COUNT('Milho 1ª safra'!$E67:$Z67)=0,0,MAX(0,IF((Z$6-$E$3)&lt;1,0,IFERROR(LOOKUP(2,1/('Milho 1ª safra'!$E67:INDEX('Milho 1ª safra'!$E67:$Z67,MIN(Z$6-$E$3,22))&lt;&gt;""),'Milho 1ª safra'!$E67:INDEX('Milho 1ª safra'!$E67:$Z67,MIN(Z$6-$E$3,22))),0))-IF($G$2,0,IF((Z$6-$G$3)&lt;1,0,IFERROR(LOOKUP(2,1/('Milho 1ª safra'!$E67:INDEX('Milho 1ª safra'!$E67:$Z67,MIN(Z$6-$G$3,22))&lt;&gt;""),'Milho 1ª safra'!$E67:INDEX('Milho 1ª safra'!$E67:$Z67,MIN(Z$6-$G$3,22))),0)))))</f>
        <v>0</v>
      </c>
      <c r="AA69" s="27" t="n">
        <f aca="false">IF(COUNT('Milho 1ª safra'!$E67:$Z67)=0,0,MAX(0,IF((AA$6-$E$3)&lt;1,0,IFERROR(LOOKUP(2,1/('Milho 1ª safra'!$E67:INDEX('Milho 1ª safra'!$E67:$Z67,MIN(AA$6-$E$3,22))&lt;&gt;""),'Milho 1ª safra'!$E67:INDEX('Milho 1ª safra'!$E67:$Z67,MIN(AA$6-$E$3,22))),0))-IF($G$2,0,IF((AA$6-$G$3)&lt;1,0,IFERROR(LOOKUP(2,1/('Milho 1ª safra'!$E67:INDEX('Milho 1ª safra'!$E67:$Z67,MIN(AA$6-$G$3,22))&lt;&gt;""),'Milho 1ª safra'!$E67:INDEX('Milho 1ª safra'!$E67:$Z67,MIN(AA$6-$G$3,22))),0)))))</f>
        <v>0</v>
      </c>
      <c r="AB69" s="27" t="n">
        <f aca="false">IF(COUNT('Milho 1ª safra'!$E67:$Z67)=0,0,MAX(0,IF((AB$6-$E$3)&lt;1,0,IFERROR(LOOKUP(2,1/('Milho 1ª safra'!$E67:INDEX('Milho 1ª safra'!$E67:$Z67,MIN(AB$6-$E$3,22))&lt;&gt;""),'Milho 1ª safra'!$E67:INDEX('Milho 1ª safra'!$E67:$Z67,MIN(AB$6-$E$3,22))),0))-IF($G$2,0,IF((AB$6-$G$3)&lt;1,0,IFERROR(LOOKUP(2,1/('Milho 1ª safra'!$E67:INDEX('Milho 1ª safra'!$E67:$Z67,MIN(AB$6-$G$3,22))&lt;&gt;""),'Milho 1ª safra'!$E67:INDEX('Milho 1ª safra'!$E67:$Z67,MIN(AB$6-$G$3,22))),0)))))</f>
        <v>0</v>
      </c>
      <c r="AC69" s="27" t="n">
        <f aca="false">IF(COUNT('Milho 1ª safra'!$E67:$Z67)=0,0,MAX(0,IF((AC$6-$E$3)&lt;1,0,IFERROR(LOOKUP(2,1/('Milho 1ª safra'!$E67:INDEX('Milho 1ª safra'!$E67:$Z67,MIN(AC$6-$E$3,22))&lt;&gt;""),'Milho 1ª safra'!$E67:INDEX('Milho 1ª safra'!$E67:$Z67,MIN(AC$6-$E$3,22))),0))-IF($G$2,0,IF((AC$6-$G$3)&lt;1,0,IFERROR(LOOKUP(2,1/('Milho 1ª safra'!$E67:INDEX('Milho 1ª safra'!$E67:$Z67,MIN(AC$6-$G$3,22))&lt;&gt;""),'Milho 1ª safra'!$E67:INDEX('Milho 1ª safra'!$E67:$Z67,MIN(AC$6-$G$3,22))),0)))))</f>
        <v>0</v>
      </c>
      <c r="AD69" s="27" t="n">
        <f aca="false">IF(COUNT('Milho 1ª safra'!$E67:$Z67)=0,0,MAX(0,IF((AD$6-$E$3)&lt;1,0,IFERROR(LOOKUP(2,1/('Milho 1ª safra'!$E67:INDEX('Milho 1ª safra'!$E67:$Z67,MIN(AD$6-$E$3,22))&lt;&gt;""),'Milho 1ª safra'!$E67:INDEX('Milho 1ª safra'!$E67:$Z67,MIN(AD$6-$E$3,22))),0))-IF($G$2,0,IF((AD$6-$G$3)&lt;1,0,IFERROR(LOOKUP(2,1/('Milho 1ª safra'!$E67:INDEX('Milho 1ª safra'!$E67:$Z67,MIN(AD$6-$G$3,22))&lt;&gt;""),'Milho 1ª safra'!$E67:INDEX('Milho 1ª safra'!$E67:$Z67,MIN(AD$6-$G$3,22))),0)))))</f>
        <v>0</v>
      </c>
      <c r="AE69" s="27" t="n">
        <f aca="false">IF(COUNT('Milho 1ª safra'!$E67:$Z67)=0,0,MAX(0,IF((AE$6-$E$3)&lt;1,0,IFERROR(LOOKUP(2,1/('Milho 1ª safra'!$E67:INDEX('Milho 1ª safra'!$E67:$Z67,MIN(AE$6-$E$3,22))&lt;&gt;""),'Milho 1ª safra'!$E67:INDEX('Milho 1ª safra'!$E67:$Z67,MIN(AE$6-$E$3,22))),0))-IF($G$2,0,IF((AE$6-$G$3)&lt;1,0,IFERROR(LOOKUP(2,1/('Milho 1ª safra'!$E67:INDEX('Milho 1ª safra'!$E67:$Z67,MIN(AE$6-$G$3,22))&lt;&gt;""),'Milho 1ª safra'!$E67:INDEX('Milho 1ª safra'!$E67:$Z67,MIN(AE$6-$G$3,22))),0)))))</f>
        <v>0</v>
      </c>
      <c r="AF69" s="27" t="n">
        <f aca="false">IF(COUNT('Milho 1ª safra'!$E67:$Z67)=0,0,MAX(0,IF((AF$6-$E$3)&lt;1,0,IFERROR(LOOKUP(2,1/('Milho 1ª safra'!$E67:INDEX('Milho 1ª safra'!$E67:$Z67,MIN(AF$6-$E$3,22))&lt;&gt;""),'Milho 1ª safra'!$E67:INDEX('Milho 1ª safra'!$E67:$Z67,MIN(AF$6-$E$3,22))),0))-IF($G$2,0,IF((AF$6-$G$3)&lt;1,0,IFERROR(LOOKUP(2,1/('Milho 1ª safra'!$E67:INDEX('Milho 1ª safra'!$E67:$Z67,MIN(AF$6-$G$3,22))&lt;&gt;""),'Milho 1ª safra'!$E67:INDEX('Milho 1ª safra'!$E67:$Z67,MIN(AF$6-$G$3,22))),0)))))</f>
        <v>0</v>
      </c>
      <c r="AG69" s="27" t="n">
        <f aca="false">IF(COUNT('Milho 1ª safra'!$E67:$Z67)=0,0,MAX(0,IF((AG$6-$E$3)&lt;1,0,IFERROR(LOOKUP(2,1/('Milho 1ª safra'!$E67:INDEX('Milho 1ª safra'!$E67:$Z67,MIN(AG$6-$E$3,22))&lt;&gt;""),'Milho 1ª safra'!$E67:INDEX('Milho 1ª safra'!$E67:$Z67,MIN(AG$6-$E$3,22))),0))-IF($G$2,0,IF((AG$6-$G$3)&lt;1,0,IFERROR(LOOKUP(2,1/('Milho 1ª safra'!$E67:INDEX('Milho 1ª safra'!$E67:$Z67,MIN(AG$6-$G$3,22))&lt;&gt;""),'Milho 1ª safra'!$E67:INDEX('Milho 1ª safra'!$E67:$Z67,MIN(AG$6-$G$3,22))),0)))))</f>
        <v>0</v>
      </c>
      <c r="AH69" s="27" t="n">
        <f aca="false">IF(COUNT('Milho 1ª safra'!$E67:$Z67)=0,0,MAX(0,IF((AH$6-$E$3)&lt;1,0,IFERROR(LOOKUP(2,1/('Milho 1ª safra'!$E67:INDEX('Milho 1ª safra'!$E67:$Z67,MIN(AH$6-$E$3,22))&lt;&gt;""),'Milho 1ª safra'!$E67:INDEX('Milho 1ª safra'!$E67:$Z67,MIN(AH$6-$E$3,22))),0))-IF($G$2,0,IF((AH$6-$G$3)&lt;1,0,IFERROR(LOOKUP(2,1/('Milho 1ª safra'!$E67:INDEX('Milho 1ª safra'!$E67:$Z67,MIN(AH$6-$G$3,22))&lt;&gt;""),'Milho 1ª safra'!$E67:INDEX('Milho 1ª safra'!$E67:$Z67,MIN(AH$6-$G$3,22))),0)))))</f>
        <v>0</v>
      </c>
      <c r="AI69" s="27" t="n">
        <f aca="false">IF(COUNT('Milho 1ª safra'!$E67:$Z67)=0,0,MAX(0,IF((AI$6-$E$3)&lt;1,0,IFERROR(LOOKUP(2,1/('Milho 1ª safra'!$E67:INDEX('Milho 1ª safra'!$E67:$Z67,MIN(AI$6-$E$3,22))&lt;&gt;""),'Milho 1ª safra'!$E67:INDEX('Milho 1ª safra'!$E67:$Z67,MIN(AI$6-$E$3,22))),0))-IF($G$2,0,IF((AI$6-$G$3)&lt;1,0,IFERROR(LOOKUP(2,1/('Milho 1ª safra'!$E67:INDEX('Milho 1ª safra'!$E67:$Z67,MIN(AI$6-$G$3,22))&lt;&gt;""),'Milho 1ª safra'!$E67:INDEX('Milho 1ª safra'!$E67:$Z67,MIN(AI$6-$G$3,22))),0)))))</f>
        <v>0</v>
      </c>
      <c r="AJ69" s="27" t="n">
        <f aca="false">IF(COUNT('Milho 1ª safra'!$E67:$Z67)=0,0,MAX(0,IF((AJ$6-$E$3)&lt;1,0,IFERROR(LOOKUP(2,1/('Milho 1ª safra'!$E67:INDEX('Milho 1ª safra'!$E67:$Z67,MIN(AJ$6-$E$3,22))&lt;&gt;""),'Milho 1ª safra'!$E67:INDEX('Milho 1ª safra'!$E67:$Z67,MIN(AJ$6-$E$3,22))),0))-IF($G$2,0,IF((AJ$6-$G$3)&lt;1,0,IFERROR(LOOKUP(2,1/('Milho 1ª safra'!$E67:INDEX('Milho 1ª safra'!$E67:$Z67,MIN(AJ$6-$G$3,22))&lt;&gt;""),'Milho 1ª safra'!$E67:INDEX('Milho 1ª safra'!$E67:$Z67,MIN(AJ$6-$G$3,22))),0)))))</f>
        <v>0</v>
      </c>
      <c r="AK69" s="27" t="n">
        <f aca="false">IF(COUNT('Milho 1ª safra'!$E67:$Z67)=0,0,MAX(0,IF((AK$6-$E$3)&lt;1,0,IFERROR(LOOKUP(2,1/('Milho 1ª safra'!$E67:INDEX('Milho 1ª safra'!$E67:$Z67,MIN(AK$6-$E$3,22))&lt;&gt;""),'Milho 1ª safra'!$E67:INDEX('Milho 1ª safra'!$E67:$Z67,MIN(AK$6-$E$3,22))),0))-IF($G$2,0,IF((AK$6-$G$3)&lt;1,0,IFERROR(LOOKUP(2,1/('Milho 1ª safra'!$E67:INDEX('Milho 1ª safra'!$E67:$Z67,MIN(AK$6-$G$3,22))&lt;&gt;""),'Milho 1ª safra'!$E67:INDEX('Milho 1ª safra'!$E67:$Z67,MIN(AK$6-$G$3,22))),0)))))</f>
        <v>0</v>
      </c>
      <c r="AL69" s="27" t="n">
        <f aca="false">IF(COUNT('Milho 1ª safra'!$E67:$Z67)=0,0,MAX(0,IF((AL$6-$E$3)&lt;1,0,IFERROR(LOOKUP(2,1/('Milho 1ª safra'!$E67:INDEX('Milho 1ª safra'!$E67:$Z67,MIN(AL$6-$E$3,22))&lt;&gt;""),'Milho 1ª safra'!$E67:INDEX('Milho 1ª safra'!$E67:$Z67,MIN(AL$6-$E$3,22))),0))-IF($G$2,0,IF((AL$6-$G$3)&lt;1,0,IFERROR(LOOKUP(2,1/('Milho 1ª safra'!$E67:INDEX('Milho 1ª safra'!$E67:$Z67,MIN(AL$6-$G$3,22))&lt;&gt;""),'Milho 1ª safra'!$E67:INDEX('Milho 1ª safra'!$E67:$Z67,MIN(AL$6-$G$3,22))),0)))))</f>
        <v>0</v>
      </c>
      <c r="AM69" s="27" t="n">
        <f aca="false">IF(COUNT('Milho 1ª safra'!$E67:$Z67)=0,0,MAX(0,IF((AM$6-$E$3)&lt;1,0,IFERROR(LOOKUP(2,1/('Milho 1ª safra'!$E67:INDEX('Milho 1ª safra'!$E67:$Z67,MIN(AM$6-$E$3,22))&lt;&gt;""),'Milho 1ª safra'!$E67:INDEX('Milho 1ª safra'!$E67:$Z67,MIN(AM$6-$E$3,22))),0))-IF($G$2,0,IF((AM$6-$G$3)&lt;1,0,IFERROR(LOOKUP(2,1/('Milho 1ª safra'!$E67:INDEX('Milho 1ª safra'!$E67:$Z67,MIN(AM$6-$G$3,22))&lt;&gt;""),'Milho 1ª safra'!$E67:INDEX('Milho 1ª safra'!$E67:$Z67,MIN(AM$6-$G$3,22))),0)))))</f>
        <v>0</v>
      </c>
      <c r="AN69" s="27" t="n">
        <f aca="false">IF(COUNT('Milho 1ª safra'!$E67:$Z67)=0,0,MAX(0,IF((AN$6-$E$3)&lt;1,0,IFERROR(LOOKUP(2,1/('Milho 1ª safra'!$E67:INDEX('Milho 1ª safra'!$E67:$Z67,MIN(AN$6-$E$3,22))&lt;&gt;""),'Milho 1ª safra'!$E67:INDEX('Milho 1ª safra'!$E67:$Z67,MIN(AN$6-$E$3,22))),0))-IF($G$2,0,IF((AN$6-$G$3)&lt;1,0,IFERROR(LOOKUP(2,1/('Milho 1ª safra'!$E67:INDEX('Milho 1ª safra'!$E67:$Z67,MIN(AN$6-$G$3,22))&lt;&gt;""),'Milho 1ª safra'!$E67:INDEX('Milho 1ª safra'!$E67:$Z67,MIN(AN$6-$G$3,22))),0)))))</f>
        <v>0</v>
      </c>
      <c r="AO69" s="27" t="n">
        <f aca="false">IF(COUNT('Milho 1ª safra'!$E67:$Z67)=0,0,MAX(0,IF((AO$6-$E$3)&lt;1,0,IFERROR(LOOKUP(2,1/('Milho 1ª safra'!$E67:INDEX('Milho 1ª safra'!$E67:$Z67,MIN(AO$6-$E$3,22))&lt;&gt;""),'Milho 1ª safra'!$E67:INDEX('Milho 1ª safra'!$E67:$Z67,MIN(AO$6-$E$3,22))),0))-IF($G$2,0,IF((AO$6-$G$3)&lt;1,0,IFERROR(LOOKUP(2,1/('Milho 1ª safra'!$E67:INDEX('Milho 1ª safra'!$E67:$Z67,MIN(AO$6-$G$3,22))&lt;&gt;""),'Milho 1ª safra'!$E67:INDEX('Milho 1ª safra'!$E67:$Z67,MIN(AO$6-$G$3,22))),0)))))</f>
        <v>0</v>
      </c>
      <c r="AP69" s="27" t="n">
        <f aca="false">IF(COUNT('Milho 1ª safra'!$E67:$Z67)=0,0,MAX(0,IF((AP$6-$E$3)&lt;1,0,IFERROR(LOOKUP(2,1/('Milho 1ª safra'!$E67:INDEX('Milho 1ª safra'!$E67:$Z67,MIN(AP$6-$E$3,22))&lt;&gt;""),'Milho 1ª safra'!$E67:INDEX('Milho 1ª safra'!$E67:$Z67,MIN(AP$6-$E$3,22))),0))-IF($G$2,0,IF((AP$6-$G$3)&lt;1,0,IFERROR(LOOKUP(2,1/('Milho 1ª safra'!$E67:INDEX('Milho 1ª safra'!$E67:$Z67,MIN(AP$6-$G$3,22))&lt;&gt;""),'Milho 1ª safra'!$E67:INDEX('Milho 1ª safra'!$E67:$Z67,MIN(AP$6-$G$3,22))),0)))))</f>
        <v>0</v>
      </c>
      <c r="AQ69" s="27" t="n">
        <f aca="false">IF(COUNT('Milho 1ª safra'!$E67:$Z67)=0,0,MAX(0,IF((AQ$6-$E$3)&lt;1,0,IFERROR(LOOKUP(2,1/('Milho 1ª safra'!$E67:INDEX('Milho 1ª safra'!$E67:$Z67,MIN(AQ$6-$E$3,22))&lt;&gt;""),'Milho 1ª safra'!$E67:INDEX('Milho 1ª safra'!$E67:$Z67,MIN(AQ$6-$E$3,22))),0))-IF($G$2,0,IF((AQ$6-$G$3)&lt;1,0,IFERROR(LOOKUP(2,1/('Milho 1ª safra'!$E67:INDEX('Milho 1ª safra'!$E67:$Z67,MIN(AQ$6-$G$3,22))&lt;&gt;""),'Milho 1ª safra'!$E67:INDEX('Milho 1ª safra'!$E67:$Z67,MIN(AQ$6-$G$3,22))),0)))))</f>
        <v>0</v>
      </c>
      <c r="AR69" s="27" t="n">
        <f aca="false">IF(COUNT('Milho 1ª safra'!$E67:$Z67)=0,0,MAX(0,IF((AR$6-$E$3)&lt;1,0,IFERROR(LOOKUP(2,1/('Milho 1ª safra'!$E67:INDEX('Milho 1ª safra'!$E67:$Z67,MIN(AR$6-$E$3,22))&lt;&gt;""),'Milho 1ª safra'!$E67:INDEX('Milho 1ª safra'!$E67:$Z67,MIN(AR$6-$E$3,22))),0))-IF($G$2,0,IF((AR$6-$G$3)&lt;1,0,IFERROR(LOOKUP(2,1/('Milho 1ª safra'!$E67:INDEX('Milho 1ª safra'!$E67:$Z67,MIN(AR$6-$G$3,22))&lt;&gt;""),'Milho 1ª safra'!$E67:INDEX('Milho 1ª safra'!$E67:$Z67,MIN(AR$6-$G$3,22))),0)))))</f>
        <v>0</v>
      </c>
      <c r="AS69" s="27" t="n">
        <f aca="false">IF(COUNT('Milho 1ª safra'!$E67:$Z67)=0,0,MAX(0,IF((AS$6-$E$3)&lt;1,0,IFERROR(LOOKUP(2,1/('Milho 1ª safra'!$E67:INDEX('Milho 1ª safra'!$E67:$Z67,MIN(AS$6-$E$3,22))&lt;&gt;""),'Milho 1ª safra'!$E67:INDEX('Milho 1ª safra'!$E67:$Z67,MIN(AS$6-$E$3,22))),0))-IF($G$2,0,IF((AS$6-$G$3)&lt;1,0,IFERROR(LOOKUP(2,1/('Milho 1ª safra'!$E67:INDEX('Milho 1ª safra'!$E67:$Z67,MIN(AS$6-$G$3,22))&lt;&gt;""),'Milho 1ª safra'!$E67:INDEX('Milho 1ª safra'!$E67:$Z67,MIN(AS$6-$G$3,22))),0)))))</f>
        <v>0</v>
      </c>
      <c r="AT69" s="27" t="n">
        <f aca="false">IF(COUNT('Milho 1ª safra'!$E67:$Z67)=0,0,MAX(0,IF((AT$6-$E$3)&lt;1,0,IFERROR(LOOKUP(2,1/('Milho 1ª safra'!$E67:INDEX('Milho 1ª safra'!$E67:$Z67,MIN(AT$6-$E$3,22))&lt;&gt;""),'Milho 1ª safra'!$E67:INDEX('Milho 1ª safra'!$E67:$Z67,MIN(AT$6-$E$3,22))),0))-IF($G$2,0,IF((AT$6-$G$3)&lt;1,0,IFERROR(LOOKUP(2,1/('Milho 1ª safra'!$E67:INDEX('Milho 1ª safra'!$E67:$Z67,MIN(AT$6-$G$3,22))&lt;&gt;""),'Milho 1ª safra'!$E67:INDEX('Milho 1ª safra'!$E67:$Z67,MIN(AT$6-$G$3,22))),0)))))</f>
        <v>0</v>
      </c>
      <c r="AU69" s="27" t="n">
        <f aca="false">IF(COUNT('Milho 1ª safra'!$E67:$Z67)=0,0,MAX(0,IF((AU$6-$E$3)&lt;1,0,IFERROR(LOOKUP(2,1/('Milho 1ª safra'!$E67:INDEX('Milho 1ª safra'!$E67:$Z67,MIN(AU$6-$E$3,22))&lt;&gt;""),'Milho 1ª safra'!$E67:INDEX('Milho 1ª safra'!$E67:$Z67,MIN(AU$6-$E$3,22))),0))-IF($G$2,0,IF((AU$6-$G$3)&lt;1,0,IFERROR(LOOKUP(2,1/('Milho 1ª safra'!$E67:INDEX('Milho 1ª safra'!$E67:$Z67,MIN(AU$6-$G$3,22))&lt;&gt;""),'Milho 1ª safra'!$E67:INDEX('Milho 1ª safra'!$E67:$Z67,MIN(AU$6-$G$3,22))),0)))))</f>
        <v>0</v>
      </c>
      <c r="AV69" s="27" t="n">
        <f aca="false">IF(COUNT('Milho 1ª safra'!$E67:$Z67)=0,0,MAX(0,IF((AV$6-$E$3)&lt;1,0,IFERROR(LOOKUP(2,1/('Milho 1ª safra'!$E67:INDEX('Milho 1ª safra'!$E67:$Z67,MIN(AV$6-$E$3,22))&lt;&gt;""),'Milho 1ª safra'!$E67:INDEX('Milho 1ª safra'!$E67:$Z67,MIN(AV$6-$E$3,22))),0))-IF($G$2,0,IF((AV$6-$G$3)&lt;1,0,IFERROR(LOOKUP(2,1/('Milho 1ª safra'!$E67:INDEX('Milho 1ª safra'!$E67:$Z67,MIN(AV$6-$G$3,22))&lt;&gt;""),'Milho 1ª safra'!$E67:INDEX('Milho 1ª safra'!$E67:$Z67,MIN(AV$6-$G$3,22))),0)))))</f>
        <v>0</v>
      </c>
      <c r="AW69" s="27" t="n">
        <f aca="false">IF(COUNT('Milho 1ª safra'!$E67:$Z67)=0,0,MAX(0,IF((AW$6-$E$3)&lt;1,0,IFERROR(LOOKUP(2,1/('Milho 1ª safra'!$E67:INDEX('Milho 1ª safra'!$E67:$Z67,MIN(AW$6-$E$3,22))&lt;&gt;""),'Milho 1ª safra'!$E67:INDEX('Milho 1ª safra'!$E67:$Z67,MIN(AW$6-$E$3,22))),0))-IF($G$2,0,IF((AW$6-$G$3)&lt;1,0,IFERROR(LOOKUP(2,1/('Milho 1ª safra'!$E67:INDEX('Milho 1ª safra'!$E67:$Z67,MIN(AW$6-$G$3,22))&lt;&gt;""),'Milho 1ª safra'!$E67:INDEX('Milho 1ª safra'!$E67:$Z67,MIN(AW$6-$G$3,22))),0)))))</f>
        <v>0</v>
      </c>
      <c r="AX69" s="27" t="n">
        <f aca="false">IF(COUNT('Milho 1ª safra'!$E67:$Z67)=0,0,MAX(0,IF((AX$6-$E$3)&lt;1,0,IFERROR(LOOKUP(2,1/('Milho 1ª safra'!$E67:INDEX('Milho 1ª safra'!$E67:$Z67,MIN(AX$6-$E$3,22))&lt;&gt;""),'Milho 1ª safra'!$E67:INDEX('Milho 1ª safra'!$E67:$Z67,MIN(AX$6-$E$3,22))),0))-IF($G$2,0,IF((AX$6-$G$3)&lt;1,0,IFERROR(LOOKUP(2,1/('Milho 1ª safra'!$E67:INDEX('Milho 1ª safra'!$E67:$Z67,MIN(AX$6-$G$3,22))&lt;&gt;""),'Milho 1ª safra'!$E67:INDEX('Milho 1ª safra'!$E67:$Z67,MIN(AX$6-$G$3,22))),0)))))</f>
        <v>0</v>
      </c>
      <c r="AY69" s="27" t="n">
        <f aca="false">IF(COUNT('Milho 1ª safra'!$E67:$Z67)=0,0,MAX(0,IF((AY$6-$E$3)&lt;1,0,IFERROR(LOOKUP(2,1/('Milho 1ª safra'!$E67:INDEX('Milho 1ª safra'!$E67:$Z67,MIN(AY$6-$E$3,22))&lt;&gt;""),'Milho 1ª safra'!$E67:INDEX('Milho 1ª safra'!$E67:$Z67,MIN(AY$6-$E$3,22))),0))-IF($G$2,0,IF((AY$6-$G$3)&lt;1,0,IFERROR(LOOKUP(2,1/('Milho 1ª safra'!$E67:INDEX('Milho 1ª safra'!$E67:$Z67,MIN(AY$6-$G$3,22))&lt;&gt;""),'Milho 1ª safra'!$E67:INDEX('Milho 1ª safra'!$E67:$Z67,MIN(AY$6-$G$3,22))),0)))))</f>
        <v>0</v>
      </c>
      <c r="AZ69" s="27" t="n">
        <f aca="false">IF(COUNT('Milho 1ª safra'!$E67:$Z67)=0,0,MAX(0,IF((AZ$6-$E$3)&lt;1,0,IFERROR(LOOKUP(2,1/('Milho 1ª safra'!$E67:INDEX('Milho 1ª safra'!$E67:$Z67,MIN(AZ$6-$E$3,22))&lt;&gt;""),'Milho 1ª safra'!$E67:INDEX('Milho 1ª safra'!$E67:$Z67,MIN(AZ$6-$E$3,22))),0))-IF($G$2,0,IF((AZ$6-$G$3)&lt;1,0,IFERROR(LOOKUP(2,1/('Milho 1ª safra'!$E67:INDEX('Milho 1ª safra'!$E67:$Z67,MIN(AZ$6-$G$3,22))&lt;&gt;""),'Milho 1ª safra'!$E67:INDEX('Milho 1ª safra'!$E67:$Z67,MIN(AZ$6-$G$3,22))),0)))))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IF(COUNT('Milho 1ª safra'!$E68:$Z68)&gt;0,N('Milho 1ª safra'!$D68),0)</f>
        <v>0</v>
      </c>
      <c r="E70" s="27" t="n">
        <f aca="false">IF(COUNT('Milho 1ª safra'!$E68:$Z68)=0,0,MAX(0,IF((E$6-$E$3)&lt;1,0,IFERROR(LOOKUP(2,1/('Milho 1ª safra'!$E68:INDEX('Milho 1ª safra'!$E68:$Z68,MIN(E$6-$E$3,22))&lt;&gt;""),'Milho 1ª safra'!$E68:INDEX('Milho 1ª safra'!$E68:$Z68,MIN(E$6-$E$3,22))),0))-IF($G$2,0,IF((E$6-$G$3)&lt;1,0,IFERROR(LOOKUP(2,1/('Milho 1ª safra'!$E68:INDEX('Milho 1ª safra'!$E68:$Z68,MIN(E$6-$G$3,22))&lt;&gt;""),'Milho 1ª safra'!$E68:INDEX('Milho 1ª safra'!$E68:$Z68,MIN(E$6-$G$3,22))),0)))))</f>
        <v>0</v>
      </c>
      <c r="F70" s="27" t="n">
        <f aca="false">IF(COUNT('Milho 1ª safra'!$E68:$Z68)=0,0,MAX(0,IF((F$6-$E$3)&lt;1,0,IFERROR(LOOKUP(2,1/('Milho 1ª safra'!$E68:INDEX('Milho 1ª safra'!$E68:$Z68,MIN(F$6-$E$3,22))&lt;&gt;""),'Milho 1ª safra'!$E68:INDEX('Milho 1ª safra'!$E68:$Z68,MIN(F$6-$E$3,22))),0))-IF($G$2,0,IF((F$6-$G$3)&lt;1,0,IFERROR(LOOKUP(2,1/('Milho 1ª safra'!$E68:INDEX('Milho 1ª safra'!$E68:$Z68,MIN(F$6-$G$3,22))&lt;&gt;""),'Milho 1ª safra'!$E68:INDEX('Milho 1ª safra'!$E68:$Z68,MIN(F$6-$G$3,22))),0)))))</f>
        <v>0</v>
      </c>
      <c r="G70" s="27" t="n">
        <f aca="false">IF(COUNT('Milho 1ª safra'!$E68:$Z68)=0,0,MAX(0,IF((G$6-$E$3)&lt;1,0,IFERROR(LOOKUP(2,1/('Milho 1ª safra'!$E68:INDEX('Milho 1ª safra'!$E68:$Z68,MIN(G$6-$E$3,22))&lt;&gt;""),'Milho 1ª safra'!$E68:INDEX('Milho 1ª safra'!$E68:$Z68,MIN(G$6-$E$3,22))),0))-IF($G$2,0,IF((G$6-$G$3)&lt;1,0,IFERROR(LOOKUP(2,1/('Milho 1ª safra'!$E68:INDEX('Milho 1ª safra'!$E68:$Z68,MIN(G$6-$G$3,22))&lt;&gt;""),'Milho 1ª safra'!$E68:INDEX('Milho 1ª safra'!$E68:$Z68,MIN(G$6-$G$3,22))),0)))))</f>
        <v>0</v>
      </c>
      <c r="H70" s="27" t="n">
        <f aca="false">IF(COUNT('Milho 1ª safra'!$E68:$Z68)=0,0,MAX(0,IF((H$6-$E$3)&lt;1,0,IFERROR(LOOKUP(2,1/('Milho 1ª safra'!$E68:INDEX('Milho 1ª safra'!$E68:$Z68,MIN(H$6-$E$3,22))&lt;&gt;""),'Milho 1ª safra'!$E68:INDEX('Milho 1ª safra'!$E68:$Z68,MIN(H$6-$E$3,22))),0))-IF($G$2,0,IF((H$6-$G$3)&lt;1,0,IFERROR(LOOKUP(2,1/('Milho 1ª safra'!$E68:INDEX('Milho 1ª safra'!$E68:$Z68,MIN(H$6-$G$3,22))&lt;&gt;""),'Milho 1ª safra'!$E68:INDEX('Milho 1ª safra'!$E68:$Z68,MIN(H$6-$G$3,22))),0)))))</f>
        <v>0</v>
      </c>
      <c r="I70" s="27" t="n">
        <f aca="false">IF(COUNT('Milho 1ª safra'!$E68:$Z68)=0,0,MAX(0,IF((I$6-$E$3)&lt;1,0,IFERROR(LOOKUP(2,1/('Milho 1ª safra'!$E68:INDEX('Milho 1ª safra'!$E68:$Z68,MIN(I$6-$E$3,22))&lt;&gt;""),'Milho 1ª safra'!$E68:INDEX('Milho 1ª safra'!$E68:$Z68,MIN(I$6-$E$3,22))),0))-IF($G$2,0,IF((I$6-$G$3)&lt;1,0,IFERROR(LOOKUP(2,1/('Milho 1ª safra'!$E68:INDEX('Milho 1ª safra'!$E68:$Z68,MIN(I$6-$G$3,22))&lt;&gt;""),'Milho 1ª safra'!$E68:INDEX('Milho 1ª safra'!$E68:$Z68,MIN(I$6-$G$3,22))),0)))))</f>
        <v>0</v>
      </c>
      <c r="J70" s="27" t="n">
        <f aca="false">IF(COUNT('Milho 1ª safra'!$E68:$Z68)=0,0,MAX(0,IF((J$6-$E$3)&lt;1,0,IFERROR(LOOKUP(2,1/('Milho 1ª safra'!$E68:INDEX('Milho 1ª safra'!$E68:$Z68,MIN(J$6-$E$3,22))&lt;&gt;""),'Milho 1ª safra'!$E68:INDEX('Milho 1ª safra'!$E68:$Z68,MIN(J$6-$E$3,22))),0))-IF($G$2,0,IF((J$6-$G$3)&lt;1,0,IFERROR(LOOKUP(2,1/('Milho 1ª safra'!$E68:INDEX('Milho 1ª safra'!$E68:$Z68,MIN(J$6-$G$3,22))&lt;&gt;""),'Milho 1ª safra'!$E68:INDEX('Milho 1ª safra'!$E68:$Z68,MIN(J$6-$G$3,22))),0)))))</f>
        <v>0</v>
      </c>
      <c r="K70" s="27" t="n">
        <f aca="false">IF(COUNT('Milho 1ª safra'!$E68:$Z68)=0,0,MAX(0,IF((K$6-$E$3)&lt;1,0,IFERROR(LOOKUP(2,1/('Milho 1ª safra'!$E68:INDEX('Milho 1ª safra'!$E68:$Z68,MIN(K$6-$E$3,22))&lt;&gt;""),'Milho 1ª safra'!$E68:INDEX('Milho 1ª safra'!$E68:$Z68,MIN(K$6-$E$3,22))),0))-IF($G$2,0,IF((K$6-$G$3)&lt;1,0,IFERROR(LOOKUP(2,1/('Milho 1ª safra'!$E68:INDEX('Milho 1ª safra'!$E68:$Z68,MIN(K$6-$G$3,22))&lt;&gt;""),'Milho 1ª safra'!$E68:INDEX('Milho 1ª safra'!$E68:$Z68,MIN(K$6-$G$3,22))),0)))))</f>
        <v>0</v>
      </c>
      <c r="L70" s="27" t="n">
        <f aca="false">IF(COUNT('Milho 1ª safra'!$E68:$Z68)=0,0,MAX(0,IF((L$6-$E$3)&lt;1,0,IFERROR(LOOKUP(2,1/('Milho 1ª safra'!$E68:INDEX('Milho 1ª safra'!$E68:$Z68,MIN(L$6-$E$3,22))&lt;&gt;""),'Milho 1ª safra'!$E68:INDEX('Milho 1ª safra'!$E68:$Z68,MIN(L$6-$E$3,22))),0))-IF($G$2,0,IF((L$6-$G$3)&lt;1,0,IFERROR(LOOKUP(2,1/('Milho 1ª safra'!$E68:INDEX('Milho 1ª safra'!$E68:$Z68,MIN(L$6-$G$3,22))&lt;&gt;""),'Milho 1ª safra'!$E68:INDEX('Milho 1ª safra'!$E68:$Z68,MIN(L$6-$G$3,22))),0)))))</f>
        <v>0</v>
      </c>
      <c r="M70" s="27" t="n">
        <f aca="false">IF(COUNT('Milho 1ª safra'!$E68:$Z68)=0,0,MAX(0,IF((M$6-$E$3)&lt;1,0,IFERROR(LOOKUP(2,1/('Milho 1ª safra'!$E68:INDEX('Milho 1ª safra'!$E68:$Z68,MIN(M$6-$E$3,22))&lt;&gt;""),'Milho 1ª safra'!$E68:INDEX('Milho 1ª safra'!$E68:$Z68,MIN(M$6-$E$3,22))),0))-IF($G$2,0,IF((M$6-$G$3)&lt;1,0,IFERROR(LOOKUP(2,1/('Milho 1ª safra'!$E68:INDEX('Milho 1ª safra'!$E68:$Z68,MIN(M$6-$G$3,22))&lt;&gt;""),'Milho 1ª safra'!$E68:INDEX('Milho 1ª safra'!$E68:$Z68,MIN(M$6-$G$3,22))),0)))))</f>
        <v>0</v>
      </c>
      <c r="N70" s="27" t="n">
        <f aca="false">IF(COUNT('Milho 1ª safra'!$E68:$Z68)=0,0,MAX(0,IF((N$6-$E$3)&lt;1,0,IFERROR(LOOKUP(2,1/('Milho 1ª safra'!$E68:INDEX('Milho 1ª safra'!$E68:$Z68,MIN(N$6-$E$3,22))&lt;&gt;""),'Milho 1ª safra'!$E68:INDEX('Milho 1ª safra'!$E68:$Z68,MIN(N$6-$E$3,22))),0))-IF($G$2,0,IF((N$6-$G$3)&lt;1,0,IFERROR(LOOKUP(2,1/('Milho 1ª safra'!$E68:INDEX('Milho 1ª safra'!$E68:$Z68,MIN(N$6-$G$3,22))&lt;&gt;""),'Milho 1ª safra'!$E68:INDEX('Milho 1ª safra'!$E68:$Z68,MIN(N$6-$G$3,22))),0)))))</f>
        <v>0</v>
      </c>
      <c r="O70" s="27" t="n">
        <f aca="false">IF(COUNT('Milho 1ª safra'!$E68:$Z68)=0,0,MAX(0,IF((O$6-$E$3)&lt;1,0,IFERROR(LOOKUP(2,1/('Milho 1ª safra'!$E68:INDEX('Milho 1ª safra'!$E68:$Z68,MIN(O$6-$E$3,22))&lt;&gt;""),'Milho 1ª safra'!$E68:INDEX('Milho 1ª safra'!$E68:$Z68,MIN(O$6-$E$3,22))),0))-IF($G$2,0,IF((O$6-$G$3)&lt;1,0,IFERROR(LOOKUP(2,1/('Milho 1ª safra'!$E68:INDEX('Milho 1ª safra'!$E68:$Z68,MIN(O$6-$G$3,22))&lt;&gt;""),'Milho 1ª safra'!$E68:INDEX('Milho 1ª safra'!$E68:$Z68,MIN(O$6-$G$3,22))),0)))))</f>
        <v>0</v>
      </c>
      <c r="P70" s="27" t="n">
        <f aca="false">IF(COUNT('Milho 1ª safra'!$E68:$Z68)=0,0,MAX(0,IF((P$6-$E$3)&lt;1,0,IFERROR(LOOKUP(2,1/('Milho 1ª safra'!$E68:INDEX('Milho 1ª safra'!$E68:$Z68,MIN(P$6-$E$3,22))&lt;&gt;""),'Milho 1ª safra'!$E68:INDEX('Milho 1ª safra'!$E68:$Z68,MIN(P$6-$E$3,22))),0))-IF($G$2,0,IF((P$6-$G$3)&lt;1,0,IFERROR(LOOKUP(2,1/('Milho 1ª safra'!$E68:INDEX('Milho 1ª safra'!$E68:$Z68,MIN(P$6-$G$3,22))&lt;&gt;""),'Milho 1ª safra'!$E68:INDEX('Milho 1ª safra'!$E68:$Z68,MIN(P$6-$G$3,22))),0)))))</f>
        <v>0</v>
      </c>
      <c r="Q70" s="27" t="n">
        <f aca="false">IF(COUNT('Milho 1ª safra'!$E68:$Z68)=0,0,MAX(0,IF((Q$6-$E$3)&lt;1,0,IFERROR(LOOKUP(2,1/('Milho 1ª safra'!$E68:INDEX('Milho 1ª safra'!$E68:$Z68,MIN(Q$6-$E$3,22))&lt;&gt;""),'Milho 1ª safra'!$E68:INDEX('Milho 1ª safra'!$E68:$Z68,MIN(Q$6-$E$3,22))),0))-IF($G$2,0,IF((Q$6-$G$3)&lt;1,0,IFERROR(LOOKUP(2,1/('Milho 1ª safra'!$E68:INDEX('Milho 1ª safra'!$E68:$Z68,MIN(Q$6-$G$3,22))&lt;&gt;""),'Milho 1ª safra'!$E68:INDEX('Milho 1ª safra'!$E68:$Z68,MIN(Q$6-$G$3,22))),0)))))</f>
        <v>0</v>
      </c>
      <c r="R70" s="27" t="n">
        <f aca="false">IF(COUNT('Milho 1ª safra'!$E68:$Z68)=0,0,MAX(0,IF((R$6-$E$3)&lt;1,0,IFERROR(LOOKUP(2,1/('Milho 1ª safra'!$E68:INDEX('Milho 1ª safra'!$E68:$Z68,MIN(R$6-$E$3,22))&lt;&gt;""),'Milho 1ª safra'!$E68:INDEX('Milho 1ª safra'!$E68:$Z68,MIN(R$6-$E$3,22))),0))-IF($G$2,0,IF((R$6-$G$3)&lt;1,0,IFERROR(LOOKUP(2,1/('Milho 1ª safra'!$E68:INDEX('Milho 1ª safra'!$E68:$Z68,MIN(R$6-$G$3,22))&lt;&gt;""),'Milho 1ª safra'!$E68:INDEX('Milho 1ª safra'!$E68:$Z68,MIN(R$6-$G$3,22))),0)))))</f>
        <v>0</v>
      </c>
      <c r="S70" s="27" t="n">
        <f aca="false">IF(COUNT('Milho 1ª safra'!$E68:$Z68)=0,0,MAX(0,IF((S$6-$E$3)&lt;1,0,IFERROR(LOOKUP(2,1/('Milho 1ª safra'!$E68:INDEX('Milho 1ª safra'!$E68:$Z68,MIN(S$6-$E$3,22))&lt;&gt;""),'Milho 1ª safra'!$E68:INDEX('Milho 1ª safra'!$E68:$Z68,MIN(S$6-$E$3,22))),0))-IF($G$2,0,IF((S$6-$G$3)&lt;1,0,IFERROR(LOOKUP(2,1/('Milho 1ª safra'!$E68:INDEX('Milho 1ª safra'!$E68:$Z68,MIN(S$6-$G$3,22))&lt;&gt;""),'Milho 1ª safra'!$E68:INDEX('Milho 1ª safra'!$E68:$Z68,MIN(S$6-$G$3,22))),0)))))</f>
        <v>0</v>
      </c>
      <c r="T70" s="27" t="n">
        <f aca="false">IF(COUNT('Milho 1ª safra'!$E68:$Z68)=0,0,MAX(0,IF((T$6-$E$3)&lt;1,0,IFERROR(LOOKUP(2,1/('Milho 1ª safra'!$E68:INDEX('Milho 1ª safra'!$E68:$Z68,MIN(T$6-$E$3,22))&lt;&gt;""),'Milho 1ª safra'!$E68:INDEX('Milho 1ª safra'!$E68:$Z68,MIN(T$6-$E$3,22))),0))-IF($G$2,0,IF((T$6-$G$3)&lt;1,0,IFERROR(LOOKUP(2,1/('Milho 1ª safra'!$E68:INDEX('Milho 1ª safra'!$E68:$Z68,MIN(T$6-$G$3,22))&lt;&gt;""),'Milho 1ª safra'!$E68:INDEX('Milho 1ª safra'!$E68:$Z68,MIN(T$6-$G$3,22))),0)))))</f>
        <v>0</v>
      </c>
      <c r="U70" s="27" t="n">
        <f aca="false">IF(COUNT('Milho 1ª safra'!$E68:$Z68)=0,0,MAX(0,IF((U$6-$E$3)&lt;1,0,IFERROR(LOOKUP(2,1/('Milho 1ª safra'!$E68:INDEX('Milho 1ª safra'!$E68:$Z68,MIN(U$6-$E$3,22))&lt;&gt;""),'Milho 1ª safra'!$E68:INDEX('Milho 1ª safra'!$E68:$Z68,MIN(U$6-$E$3,22))),0))-IF($G$2,0,IF((U$6-$G$3)&lt;1,0,IFERROR(LOOKUP(2,1/('Milho 1ª safra'!$E68:INDEX('Milho 1ª safra'!$E68:$Z68,MIN(U$6-$G$3,22))&lt;&gt;""),'Milho 1ª safra'!$E68:INDEX('Milho 1ª safra'!$E68:$Z68,MIN(U$6-$G$3,22))),0)))))</f>
        <v>0</v>
      </c>
      <c r="V70" s="27" t="n">
        <f aca="false">IF(COUNT('Milho 1ª safra'!$E68:$Z68)=0,0,MAX(0,IF((V$6-$E$3)&lt;1,0,IFERROR(LOOKUP(2,1/('Milho 1ª safra'!$E68:INDEX('Milho 1ª safra'!$E68:$Z68,MIN(V$6-$E$3,22))&lt;&gt;""),'Milho 1ª safra'!$E68:INDEX('Milho 1ª safra'!$E68:$Z68,MIN(V$6-$E$3,22))),0))-IF($G$2,0,IF((V$6-$G$3)&lt;1,0,IFERROR(LOOKUP(2,1/('Milho 1ª safra'!$E68:INDEX('Milho 1ª safra'!$E68:$Z68,MIN(V$6-$G$3,22))&lt;&gt;""),'Milho 1ª safra'!$E68:INDEX('Milho 1ª safra'!$E68:$Z68,MIN(V$6-$G$3,22))),0)))))</f>
        <v>0</v>
      </c>
      <c r="W70" s="27" t="n">
        <f aca="false">IF(COUNT('Milho 1ª safra'!$E68:$Z68)=0,0,MAX(0,IF((W$6-$E$3)&lt;1,0,IFERROR(LOOKUP(2,1/('Milho 1ª safra'!$E68:INDEX('Milho 1ª safra'!$E68:$Z68,MIN(W$6-$E$3,22))&lt;&gt;""),'Milho 1ª safra'!$E68:INDEX('Milho 1ª safra'!$E68:$Z68,MIN(W$6-$E$3,22))),0))-IF($G$2,0,IF((W$6-$G$3)&lt;1,0,IFERROR(LOOKUP(2,1/('Milho 1ª safra'!$E68:INDEX('Milho 1ª safra'!$E68:$Z68,MIN(W$6-$G$3,22))&lt;&gt;""),'Milho 1ª safra'!$E68:INDEX('Milho 1ª safra'!$E68:$Z68,MIN(W$6-$G$3,22))),0)))))</f>
        <v>0</v>
      </c>
      <c r="X70" s="27" t="n">
        <f aca="false">IF(COUNT('Milho 1ª safra'!$E68:$Z68)=0,0,MAX(0,IF((X$6-$E$3)&lt;1,0,IFERROR(LOOKUP(2,1/('Milho 1ª safra'!$E68:INDEX('Milho 1ª safra'!$E68:$Z68,MIN(X$6-$E$3,22))&lt;&gt;""),'Milho 1ª safra'!$E68:INDEX('Milho 1ª safra'!$E68:$Z68,MIN(X$6-$E$3,22))),0))-IF($G$2,0,IF((X$6-$G$3)&lt;1,0,IFERROR(LOOKUP(2,1/('Milho 1ª safra'!$E68:INDEX('Milho 1ª safra'!$E68:$Z68,MIN(X$6-$G$3,22))&lt;&gt;""),'Milho 1ª safra'!$E68:INDEX('Milho 1ª safra'!$E68:$Z68,MIN(X$6-$G$3,22))),0)))))</f>
        <v>0</v>
      </c>
      <c r="Y70" s="27" t="n">
        <f aca="false">IF(COUNT('Milho 1ª safra'!$E68:$Z68)=0,0,MAX(0,IF((Y$6-$E$3)&lt;1,0,IFERROR(LOOKUP(2,1/('Milho 1ª safra'!$E68:INDEX('Milho 1ª safra'!$E68:$Z68,MIN(Y$6-$E$3,22))&lt;&gt;""),'Milho 1ª safra'!$E68:INDEX('Milho 1ª safra'!$E68:$Z68,MIN(Y$6-$E$3,22))),0))-IF($G$2,0,IF((Y$6-$G$3)&lt;1,0,IFERROR(LOOKUP(2,1/('Milho 1ª safra'!$E68:INDEX('Milho 1ª safra'!$E68:$Z68,MIN(Y$6-$G$3,22))&lt;&gt;""),'Milho 1ª safra'!$E68:INDEX('Milho 1ª safra'!$E68:$Z68,MIN(Y$6-$G$3,22))),0)))))</f>
        <v>0</v>
      </c>
      <c r="Z70" s="27" t="n">
        <f aca="false">IF(COUNT('Milho 1ª safra'!$E68:$Z68)=0,0,MAX(0,IF((Z$6-$E$3)&lt;1,0,IFERROR(LOOKUP(2,1/('Milho 1ª safra'!$E68:INDEX('Milho 1ª safra'!$E68:$Z68,MIN(Z$6-$E$3,22))&lt;&gt;""),'Milho 1ª safra'!$E68:INDEX('Milho 1ª safra'!$E68:$Z68,MIN(Z$6-$E$3,22))),0))-IF($G$2,0,IF((Z$6-$G$3)&lt;1,0,IFERROR(LOOKUP(2,1/('Milho 1ª safra'!$E68:INDEX('Milho 1ª safra'!$E68:$Z68,MIN(Z$6-$G$3,22))&lt;&gt;""),'Milho 1ª safra'!$E68:INDEX('Milho 1ª safra'!$E68:$Z68,MIN(Z$6-$G$3,22))),0)))))</f>
        <v>0</v>
      </c>
      <c r="AA70" s="27" t="n">
        <f aca="false">IF(COUNT('Milho 1ª safra'!$E68:$Z68)=0,0,MAX(0,IF((AA$6-$E$3)&lt;1,0,IFERROR(LOOKUP(2,1/('Milho 1ª safra'!$E68:INDEX('Milho 1ª safra'!$E68:$Z68,MIN(AA$6-$E$3,22))&lt;&gt;""),'Milho 1ª safra'!$E68:INDEX('Milho 1ª safra'!$E68:$Z68,MIN(AA$6-$E$3,22))),0))-IF($G$2,0,IF((AA$6-$G$3)&lt;1,0,IFERROR(LOOKUP(2,1/('Milho 1ª safra'!$E68:INDEX('Milho 1ª safra'!$E68:$Z68,MIN(AA$6-$G$3,22))&lt;&gt;""),'Milho 1ª safra'!$E68:INDEX('Milho 1ª safra'!$E68:$Z68,MIN(AA$6-$G$3,22))),0)))))</f>
        <v>0</v>
      </c>
      <c r="AB70" s="27" t="n">
        <f aca="false">IF(COUNT('Milho 1ª safra'!$E68:$Z68)=0,0,MAX(0,IF((AB$6-$E$3)&lt;1,0,IFERROR(LOOKUP(2,1/('Milho 1ª safra'!$E68:INDEX('Milho 1ª safra'!$E68:$Z68,MIN(AB$6-$E$3,22))&lt;&gt;""),'Milho 1ª safra'!$E68:INDEX('Milho 1ª safra'!$E68:$Z68,MIN(AB$6-$E$3,22))),0))-IF($G$2,0,IF((AB$6-$G$3)&lt;1,0,IFERROR(LOOKUP(2,1/('Milho 1ª safra'!$E68:INDEX('Milho 1ª safra'!$E68:$Z68,MIN(AB$6-$G$3,22))&lt;&gt;""),'Milho 1ª safra'!$E68:INDEX('Milho 1ª safra'!$E68:$Z68,MIN(AB$6-$G$3,22))),0)))))</f>
        <v>0</v>
      </c>
      <c r="AC70" s="27" t="n">
        <f aca="false">IF(COUNT('Milho 1ª safra'!$E68:$Z68)=0,0,MAX(0,IF((AC$6-$E$3)&lt;1,0,IFERROR(LOOKUP(2,1/('Milho 1ª safra'!$E68:INDEX('Milho 1ª safra'!$E68:$Z68,MIN(AC$6-$E$3,22))&lt;&gt;""),'Milho 1ª safra'!$E68:INDEX('Milho 1ª safra'!$E68:$Z68,MIN(AC$6-$E$3,22))),0))-IF($G$2,0,IF((AC$6-$G$3)&lt;1,0,IFERROR(LOOKUP(2,1/('Milho 1ª safra'!$E68:INDEX('Milho 1ª safra'!$E68:$Z68,MIN(AC$6-$G$3,22))&lt;&gt;""),'Milho 1ª safra'!$E68:INDEX('Milho 1ª safra'!$E68:$Z68,MIN(AC$6-$G$3,22))),0)))))</f>
        <v>0</v>
      </c>
      <c r="AD70" s="27" t="n">
        <f aca="false">IF(COUNT('Milho 1ª safra'!$E68:$Z68)=0,0,MAX(0,IF((AD$6-$E$3)&lt;1,0,IFERROR(LOOKUP(2,1/('Milho 1ª safra'!$E68:INDEX('Milho 1ª safra'!$E68:$Z68,MIN(AD$6-$E$3,22))&lt;&gt;""),'Milho 1ª safra'!$E68:INDEX('Milho 1ª safra'!$E68:$Z68,MIN(AD$6-$E$3,22))),0))-IF($G$2,0,IF((AD$6-$G$3)&lt;1,0,IFERROR(LOOKUP(2,1/('Milho 1ª safra'!$E68:INDEX('Milho 1ª safra'!$E68:$Z68,MIN(AD$6-$G$3,22))&lt;&gt;""),'Milho 1ª safra'!$E68:INDEX('Milho 1ª safra'!$E68:$Z68,MIN(AD$6-$G$3,22))),0)))))</f>
        <v>0</v>
      </c>
      <c r="AE70" s="27" t="n">
        <f aca="false">IF(COUNT('Milho 1ª safra'!$E68:$Z68)=0,0,MAX(0,IF((AE$6-$E$3)&lt;1,0,IFERROR(LOOKUP(2,1/('Milho 1ª safra'!$E68:INDEX('Milho 1ª safra'!$E68:$Z68,MIN(AE$6-$E$3,22))&lt;&gt;""),'Milho 1ª safra'!$E68:INDEX('Milho 1ª safra'!$E68:$Z68,MIN(AE$6-$E$3,22))),0))-IF($G$2,0,IF((AE$6-$G$3)&lt;1,0,IFERROR(LOOKUP(2,1/('Milho 1ª safra'!$E68:INDEX('Milho 1ª safra'!$E68:$Z68,MIN(AE$6-$G$3,22))&lt;&gt;""),'Milho 1ª safra'!$E68:INDEX('Milho 1ª safra'!$E68:$Z68,MIN(AE$6-$G$3,22))),0)))))</f>
        <v>0</v>
      </c>
      <c r="AF70" s="27" t="n">
        <f aca="false">IF(COUNT('Milho 1ª safra'!$E68:$Z68)=0,0,MAX(0,IF((AF$6-$E$3)&lt;1,0,IFERROR(LOOKUP(2,1/('Milho 1ª safra'!$E68:INDEX('Milho 1ª safra'!$E68:$Z68,MIN(AF$6-$E$3,22))&lt;&gt;""),'Milho 1ª safra'!$E68:INDEX('Milho 1ª safra'!$E68:$Z68,MIN(AF$6-$E$3,22))),0))-IF($G$2,0,IF((AF$6-$G$3)&lt;1,0,IFERROR(LOOKUP(2,1/('Milho 1ª safra'!$E68:INDEX('Milho 1ª safra'!$E68:$Z68,MIN(AF$6-$G$3,22))&lt;&gt;""),'Milho 1ª safra'!$E68:INDEX('Milho 1ª safra'!$E68:$Z68,MIN(AF$6-$G$3,22))),0)))))</f>
        <v>0</v>
      </c>
      <c r="AG70" s="27" t="n">
        <f aca="false">IF(COUNT('Milho 1ª safra'!$E68:$Z68)=0,0,MAX(0,IF((AG$6-$E$3)&lt;1,0,IFERROR(LOOKUP(2,1/('Milho 1ª safra'!$E68:INDEX('Milho 1ª safra'!$E68:$Z68,MIN(AG$6-$E$3,22))&lt;&gt;""),'Milho 1ª safra'!$E68:INDEX('Milho 1ª safra'!$E68:$Z68,MIN(AG$6-$E$3,22))),0))-IF($G$2,0,IF((AG$6-$G$3)&lt;1,0,IFERROR(LOOKUP(2,1/('Milho 1ª safra'!$E68:INDEX('Milho 1ª safra'!$E68:$Z68,MIN(AG$6-$G$3,22))&lt;&gt;""),'Milho 1ª safra'!$E68:INDEX('Milho 1ª safra'!$E68:$Z68,MIN(AG$6-$G$3,22))),0)))))</f>
        <v>0</v>
      </c>
      <c r="AH70" s="27" t="n">
        <f aca="false">IF(COUNT('Milho 1ª safra'!$E68:$Z68)=0,0,MAX(0,IF((AH$6-$E$3)&lt;1,0,IFERROR(LOOKUP(2,1/('Milho 1ª safra'!$E68:INDEX('Milho 1ª safra'!$E68:$Z68,MIN(AH$6-$E$3,22))&lt;&gt;""),'Milho 1ª safra'!$E68:INDEX('Milho 1ª safra'!$E68:$Z68,MIN(AH$6-$E$3,22))),0))-IF($G$2,0,IF((AH$6-$G$3)&lt;1,0,IFERROR(LOOKUP(2,1/('Milho 1ª safra'!$E68:INDEX('Milho 1ª safra'!$E68:$Z68,MIN(AH$6-$G$3,22))&lt;&gt;""),'Milho 1ª safra'!$E68:INDEX('Milho 1ª safra'!$E68:$Z68,MIN(AH$6-$G$3,22))),0)))))</f>
        <v>0</v>
      </c>
      <c r="AI70" s="27" t="n">
        <f aca="false">IF(COUNT('Milho 1ª safra'!$E68:$Z68)=0,0,MAX(0,IF((AI$6-$E$3)&lt;1,0,IFERROR(LOOKUP(2,1/('Milho 1ª safra'!$E68:INDEX('Milho 1ª safra'!$E68:$Z68,MIN(AI$6-$E$3,22))&lt;&gt;""),'Milho 1ª safra'!$E68:INDEX('Milho 1ª safra'!$E68:$Z68,MIN(AI$6-$E$3,22))),0))-IF($G$2,0,IF((AI$6-$G$3)&lt;1,0,IFERROR(LOOKUP(2,1/('Milho 1ª safra'!$E68:INDEX('Milho 1ª safra'!$E68:$Z68,MIN(AI$6-$G$3,22))&lt;&gt;""),'Milho 1ª safra'!$E68:INDEX('Milho 1ª safra'!$E68:$Z68,MIN(AI$6-$G$3,22))),0)))))</f>
        <v>0</v>
      </c>
      <c r="AJ70" s="27" t="n">
        <f aca="false">IF(COUNT('Milho 1ª safra'!$E68:$Z68)=0,0,MAX(0,IF((AJ$6-$E$3)&lt;1,0,IFERROR(LOOKUP(2,1/('Milho 1ª safra'!$E68:INDEX('Milho 1ª safra'!$E68:$Z68,MIN(AJ$6-$E$3,22))&lt;&gt;""),'Milho 1ª safra'!$E68:INDEX('Milho 1ª safra'!$E68:$Z68,MIN(AJ$6-$E$3,22))),0))-IF($G$2,0,IF((AJ$6-$G$3)&lt;1,0,IFERROR(LOOKUP(2,1/('Milho 1ª safra'!$E68:INDEX('Milho 1ª safra'!$E68:$Z68,MIN(AJ$6-$G$3,22))&lt;&gt;""),'Milho 1ª safra'!$E68:INDEX('Milho 1ª safra'!$E68:$Z68,MIN(AJ$6-$G$3,22))),0)))))</f>
        <v>0</v>
      </c>
      <c r="AK70" s="27" t="n">
        <f aca="false">IF(COUNT('Milho 1ª safra'!$E68:$Z68)=0,0,MAX(0,IF((AK$6-$E$3)&lt;1,0,IFERROR(LOOKUP(2,1/('Milho 1ª safra'!$E68:INDEX('Milho 1ª safra'!$E68:$Z68,MIN(AK$6-$E$3,22))&lt;&gt;""),'Milho 1ª safra'!$E68:INDEX('Milho 1ª safra'!$E68:$Z68,MIN(AK$6-$E$3,22))),0))-IF($G$2,0,IF((AK$6-$G$3)&lt;1,0,IFERROR(LOOKUP(2,1/('Milho 1ª safra'!$E68:INDEX('Milho 1ª safra'!$E68:$Z68,MIN(AK$6-$G$3,22))&lt;&gt;""),'Milho 1ª safra'!$E68:INDEX('Milho 1ª safra'!$E68:$Z68,MIN(AK$6-$G$3,22))),0)))))</f>
        <v>0</v>
      </c>
      <c r="AL70" s="27" t="n">
        <f aca="false">IF(COUNT('Milho 1ª safra'!$E68:$Z68)=0,0,MAX(0,IF((AL$6-$E$3)&lt;1,0,IFERROR(LOOKUP(2,1/('Milho 1ª safra'!$E68:INDEX('Milho 1ª safra'!$E68:$Z68,MIN(AL$6-$E$3,22))&lt;&gt;""),'Milho 1ª safra'!$E68:INDEX('Milho 1ª safra'!$E68:$Z68,MIN(AL$6-$E$3,22))),0))-IF($G$2,0,IF((AL$6-$G$3)&lt;1,0,IFERROR(LOOKUP(2,1/('Milho 1ª safra'!$E68:INDEX('Milho 1ª safra'!$E68:$Z68,MIN(AL$6-$G$3,22))&lt;&gt;""),'Milho 1ª safra'!$E68:INDEX('Milho 1ª safra'!$E68:$Z68,MIN(AL$6-$G$3,22))),0)))))</f>
        <v>0</v>
      </c>
      <c r="AM70" s="27" t="n">
        <f aca="false">IF(COUNT('Milho 1ª safra'!$E68:$Z68)=0,0,MAX(0,IF((AM$6-$E$3)&lt;1,0,IFERROR(LOOKUP(2,1/('Milho 1ª safra'!$E68:INDEX('Milho 1ª safra'!$E68:$Z68,MIN(AM$6-$E$3,22))&lt;&gt;""),'Milho 1ª safra'!$E68:INDEX('Milho 1ª safra'!$E68:$Z68,MIN(AM$6-$E$3,22))),0))-IF($G$2,0,IF((AM$6-$G$3)&lt;1,0,IFERROR(LOOKUP(2,1/('Milho 1ª safra'!$E68:INDEX('Milho 1ª safra'!$E68:$Z68,MIN(AM$6-$G$3,22))&lt;&gt;""),'Milho 1ª safra'!$E68:INDEX('Milho 1ª safra'!$E68:$Z68,MIN(AM$6-$G$3,22))),0)))))</f>
        <v>0</v>
      </c>
      <c r="AN70" s="27" t="n">
        <f aca="false">IF(COUNT('Milho 1ª safra'!$E68:$Z68)=0,0,MAX(0,IF((AN$6-$E$3)&lt;1,0,IFERROR(LOOKUP(2,1/('Milho 1ª safra'!$E68:INDEX('Milho 1ª safra'!$E68:$Z68,MIN(AN$6-$E$3,22))&lt;&gt;""),'Milho 1ª safra'!$E68:INDEX('Milho 1ª safra'!$E68:$Z68,MIN(AN$6-$E$3,22))),0))-IF($G$2,0,IF((AN$6-$G$3)&lt;1,0,IFERROR(LOOKUP(2,1/('Milho 1ª safra'!$E68:INDEX('Milho 1ª safra'!$E68:$Z68,MIN(AN$6-$G$3,22))&lt;&gt;""),'Milho 1ª safra'!$E68:INDEX('Milho 1ª safra'!$E68:$Z68,MIN(AN$6-$G$3,22))),0)))))</f>
        <v>0</v>
      </c>
      <c r="AO70" s="27" t="n">
        <f aca="false">IF(COUNT('Milho 1ª safra'!$E68:$Z68)=0,0,MAX(0,IF((AO$6-$E$3)&lt;1,0,IFERROR(LOOKUP(2,1/('Milho 1ª safra'!$E68:INDEX('Milho 1ª safra'!$E68:$Z68,MIN(AO$6-$E$3,22))&lt;&gt;""),'Milho 1ª safra'!$E68:INDEX('Milho 1ª safra'!$E68:$Z68,MIN(AO$6-$E$3,22))),0))-IF($G$2,0,IF((AO$6-$G$3)&lt;1,0,IFERROR(LOOKUP(2,1/('Milho 1ª safra'!$E68:INDEX('Milho 1ª safra'!$E68:$Z68,MIN(AO$6-$G$3,22))&lt;&gt;""),'Milho 1ª safra'!$E68:INDEX('Milho 1ª safra'!$E68:$Z68,MIN(AO$6-$G$3,22))),0)))))</f>
        <v>0</v>
      </c>
      <c r="AP70" s="27" t="n">
        <f aca="false">IF(COUNT('Milho 1ª safra'!$E68:$Z68)=0,0,MAX(0,IF((AP$6-$E$3)&lt;1,0,IFERROR(LOOKUP(2,1/('Milho 1ª safra'!$E68:INDEX('Milho 1ª safra'!$E68:$Z68,MIN(AP$6-$E$3,22))&lt;&gt;""),'Milho 1ª safra'!$E68:INDEX('Milho 1ª safra'!$E68:$Z68,MIN(AP$6-$E$3,22))),0))-IF($G$2,0,IF((AP$6-$G$3)&lt;1,0,IFERROR(LOOKUP(2,1/('Milho 1ª safra'!$E68:INDEX('Milho 1ª safra'!$E68:$Z68,MIN(AP$6-$G$3,22))&lt;&gt;""),'Milho 1ª safra'!$E68:INDEX('Milho 1ª safra'!$E68:$Z68,MIN(AP$6-$G$3,22))),0)))))</f>
        <v>0</v>
      </c>
      <c r="AQ70" s="27" t="n">
        <f aca="false">IF(COUNT('Milho 1ª safra'!$E68:$Z68)=0,0,MAX(0,IF((AQ$6-$E$3)&lt;1,0,IFERROR(LOOKUP(2,1/('Milho 1ª safra'!$E68:INDEX('Milho 1ª safra'!$E68:$Z68,MIN(AQ$6-$E$3,22))&lt;&gt;""),'Milho 1ª safra'!$E68:INDEX('Milho 1ª safra'!$E68:$Z68,MIN(AQ$6-$E$3,22))),0))-IF($G$2,0,IF((AQ$6-$G$3)&lt;1,0,IFERROR(LOOKUP(2,1/('Milho 1ª safra'!$E68:INDEX('Milho 1ª safra'!$E68:$Z68,MIN(AQ$6-$G$3,22))&lt;&gt;""),'Milho 1ª safra'!$E68:INDEX('Milho 1ª safra'!$E68:$Z68,MIN(AQ$6-$G$3,22))),0)))))</f>
        <v>0</v>
      </c>
      <c r="AR70" s="27" t="n">
        <f aca="false">IF(COUNT('Milho 1ª safra'!$E68:$Z68)=0,0,MAX(0,IF((AR$6-$E$3)&lt;1,0,IFERROR(LOOKUP(2,1/('Milho 1ª safra'!$E68:INDEX('Milho 1ª safra'!$E68:$Z68,MIN(AR$6-$E$3,22))&lt;&gt;""),'Milho 1ª safra'!$E68:INDEX('Milho 1ª safra'!$E68:$Z68,MIN(AR$6-$E$3,22))),0))-IF($G$2,0,IF((AR$6-$G$3)&lt;1,0,IFERROR(LOOKUP(2,1/('Milho 1ª safra'!$E68:INDEX('Milho 1ª safra'!$E68:$Z68,MIN(AR$6-$G$3,22))&lt;&gt;""),'Milho 1ª safra'!$E68:INDEX('Milho 1ª safra'!$E68:$Z68,MIN(AR$6-$G$3,22))),0)))))</f>
        <v>0</v>
      </c>
      <c r="AS70" s="27" t="n">
        <f aca="false">IF(COUNT('Milho 1ª safra'!$E68:$Z68)=0,0,MAX(0,IF((AS$6-$E$3)&lt;1,0,IFERROR(LOOKUP(2,1/('Milho 1ª safra'!$E68:INDEX('Milho 1ª safra'!$E68:$Z68,MIN(AS$6-$E$3,22))&lt;&gt;""),'Milho 1ª safra'!$E68:INDEX('Milho 1ª safra'!$E68:$Z68,MIN(AS$6-$E$3,22))),0))-IF($G$2,0,IF((AS$6-$G$3)&lt;1,0,IFERROR(LOOKUP(2,1/('Milho 1ª safra'!$E68:INDEX('Milho 1ª safra'!$E68:$Z68,MIN(AS$6-$G$3,22))&lt;&gt;""),'Milho 1ª safra'!$E68:INDEX('Milho 1ª safra'!$E68:$Z68,MIN(AS$6-$G$3,22))),0)))))</f>
        <v>0</v>
      </c>
      <c r="AT70" s="27" t="n">
        <f aca="false">IF(COUNT('Milho 1ª safra'!$E68:$Z68)=0,0,MAX(0,IF((AT$6-$E$3)&lt;1,0,IFERROR(LOOKUP(2,1/('Milho 1ª safra'!$E68:INDEX('Milho 1ª safra'!$E68:$Z68,MIN(AT$6-$E$3,22))&lt;&gt;""),'Milho 1ª safra'!$E68:INDEX('Milho 1ª safra'!$E68:$Z68,MIN(AT$6-$E$3,22))),0))-IF($G$2,0,IF((AT$6-$G$3)&lt;1,0,IFERROR(LOOKUP(2,1/('Milho 1ª safra'!$E68:INDEX('Milho 1ª safra'!$E68:$Z68,MIN(AT$6-$G$3,22))&lt;&gt;""),'Milho 1ª safra'!$E68:INDEX('Milho 1ª safra'!$E68:$Z68,MIN(AT$6-$G$3,22))),0)))))</f>
        <v>0</v>
      </c>
      <c r="AU70" s="27" t="n">
        <f aca="false">IF(COUNT('Milho 1ª safra'!$E68:$Z68)=0,0,MAX(0,IF((AU$6-$E$3)&lt;1,0,IFERROR(LOOKUP(2,1/('Milho 1ª safra'!$E68:INDEX('Milho 1ª safra'!$E68:$Z68,MIN(AU$6-$E$3,22))&lt;&gt;""),'Milho 1ª safra'!$E68:INDEX('Milho 1ª safra'!$E68:$Z68,MIN(AU$6-$E$3,22))),0))-IF($G$2,0,IF((AU$6-$G$3)&lt;1,0,IFERROR(LOOKUP(2,1/('Milho 1ª safra'!$E68:INDEX('Milho 1ª safra'!$E68:$Z68,MIN(AU$6-$G$3,22))&lt;&gt;""),'Milho 1ª safra'!$E68:INDEX('Milho 1ª safra'!$E68:$Z68,MIN(AU$6-$G$3,22))),0)))))</f>
        <v>0</v>
      </c>
      <c r="AV70" s="27" t="n">
        <f aca="false">IF(COUNT('Milho 1ª safra'!$E68:$Z68)=0,0,MAX(0,IF((AV$6-$E$3)&lt;1,0,IFERROR(LOOKUP(2,1/('Milho 1ª safra'!$E68:INDEX('Milho 1ª safra'!$E68:$Z68,MIN(AV$6-$E$3,22))&lt;&gt;""),'Milho 1ª safra'!$E68:INDEX('Milho 1ª safra'!$E68:$Z68,MIN(AV$6-$E$3,22))),0))-IF($G$2,0,IF((AV$6-$G$3)&lt;1,0,IFERROR(LOOKUP(2,1/('Milho 1ª safra'!$E68:INDEX('Milho 1ª safra'!$E68:$Z68,MIN(AV$6-$G$3,22))&lt;&gt;""),'Milho 1ª safra'!$E68:INDEX('Milho 1ª safra'!$E68:$Z68,MIN(AV$6-$G$3,22))),0)))))</f>
        <v>0</v>
      </c>
      <c r="AW70" s="27" t="n">
        <f aca="false">IF(COUNT('Milho 1ª safra'!$E68:$Z68)=0,0,MAX(0,IF((AW$6-$E$3)&lt;1,0,IFERROR(LOOKUP(2,1/('Milho 1ª safra'!$E68:INDEX('Milho 1ª safra'!$E68:$Z68,MIN(AW$6-$E$3,22))&lt;&gt;""),'Milho 1ª safra'!$E68:INDEX('Milho 1ª safra'!$E68:$Z68,MIN(AW$6-$E$3,22))),0))-IF($G$2,0,IF((AW$6-$G$3)&lt;1,0,IFERROR(LOOKUP(2,1/('Milho 1ª safra'!$E68:INDEX('Milho 1ª safra'!$E68:$Z68,MIN(AW$6-$G$3,22))&lt;&gt;""),'Milho 1ª safra'!$E68:INDEX('Milho 1ª safra'!$E68:$Z68,MIN(AW$6-$G$3,22))),0)))))</f>
        <v>0</v>
      </c>
      <c r="AX70" s="27" t="n">
        <f aca="false">IF(COUNT('Milho 1ª safra'!$E68:$Z68)=0,0,MAX(0,IF((AX$6-$E$3)&lt;1,0,IFERROR(LOOKUP(2,1/('Milho 1ª safra'!$E68:INDEX('Milho 1ª safra'!$E68:$Z68,MIN(AX$6-$E$3,22))&lt;&gt;""),'Milho 1ª safra'!$E68:INDEX('Milho 1ª safra'!$E68:$Z68,MIN(AX$6-$E$3,22))),0))-IF($G$2,0,IF((AX$6-$G$3)&lt;1,0,IFERROR(LOOKUP(2,1/('Milho 1ª safra'!$E68:INDEX('Milho 1ª safra'!$E68:$Z68,MIN(AX$6-$G$3,22))&lt;&gt;""),'Milho 1ª safra'!$E68:INDEX('Milho 1ª safra'!$E68:$Z68,MIN(AX$6-$G$3,22))),0)))))</f>
        <v>0</v>
      </c>
      <c r="AY70" s="27" t="n">
        <f aca="false">IF(COUNT('Milho 1ª safra'!$E68:$Z68)=0,0,MAX(0,IF((AY$6-$E$3)&lt;1,0,IFERROR(LOOKUP(2,1/('Milho 1ª safra'!$E68:INDEX('Milho 1ª safra'!$E68:$Z68,MIN(AY$6-$E$3,22))&lt;&gt;""),'Milho 1ª safra'!$E68:INDEX('Milho 1ª safra'!$E68:$Z68,MIN(AY$6-$E$3,22))),0))-IF($G$2,0,IF((AY$6-$G$3)&lt;1,0,IFERROR(LOOKUP(2,1/('Milho 1ª safra'!$E68:INDEX('Milho 1ª safra'!$E68:$Z68,MIN(AY$6-$G$3,22))&lt;&gt;""),'Milho 1ª safra'!$E68:INDEX('Milho 1ª safra'!$E68:$Z68,MIN(AY$6-$G$3,22))),0)))))</f>
        <v>0</v>
      </c>
      <c r="AZ70" s="27" t="n">
        <f aca="false">IF(COUNT('Milho 1ª safra'!$E68:$Z68)=0,0,MAX(0,IF((AZ$6-$E$3)&lt;1,0,IFERROR(LOOKUP(2,1/('Milho 1ª safra'!$E68:INDEX('Milho 1ª safra'!$E68:$Z68,MIN(AZ$6-$E$3,22))&lt;&gt;""),'Milho 1ª safra'!$E68:INDEX('Milho 1ª safra'!$E68:$Z68,MIN(AZ$6-$E$3,22))),0))-IF($G$2,0,IF((AZ$6-$G$3)&lt;1,0,IFERROR(LOOKUP(2,1/('Milho 1ª safra'!$E68:INDEX('Milho 1ª safra'!$E68:$Z68,MIN(AZ$6-$G$3,22))&lt;&gt;""),'Milho 1ª safra'!$E68:INDEX('Milho 1ª safra'!$E68:$Z68,MIN(AZ$6-$G$3,22))),0)))))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IF(COUNT('Milho 1ª safra'!$E69:$Z69)&gt;0,N('Milho 1ª safra'!$D69),0)</f>
        <v>0</v>
      </c>
      <c r="E71" s="27" t="n">
        <f aca="false">IF(COUNT('Milho 1ª safra'!$E69:$Z69)=0,0,MAX(0,IF((E$6-$E$3)&lt;1,0,IFERROR(LOOKUP(2,1/('Milho 1ª safra'!$E69:INDEX('Milho 1ª safra'!$E69:$Z69,MIN(E$6-$E$3,22))&lt;&gt;""),'Milho 1ª safra'!$E69:INDEX('Milho 1ª safra'!$E69:$Z69,MIN(E$6-$E$3,22))),0))-IF($G$2,0,IF((E$6-$G$3)&lt;1,0,IFERROR(LOOKUP(2,1/('Milho 1ª safra'!$E69:INDEX('Milho 1ª safra'!$E69:$Z69,MIN(E$6-$G$3,22))&lt;&gt;""),'Milho 1ª safra'!$E69:INDEX('Milho 1ª safra'!$E69:$Z69,MIN(E$6-$G$3,22))),0)))))</f>
        <v>0</v>
      </c>
      <c r="F71" s="27" t="n">
        <f aca="false">IF(COUNT('Milho 1ª safra'!$E69:$Z69)=0,0,MAX(0,IF((F$6-$E$3)&lt;1,0,IFERROR(LOOKUP(2,1/('Milho 1ª safra'!$E69:INDEX('Milho 1ª safra'!$E69:$Z69,MIN(F$6-$E$3,22))&lt;&gt;""),'Milho 1ª safra'!$E69:INDEX('Milho 1ª safra'!$E69:$Z69,MIN(F$6-$E$3,22))),0))-IF($G$2,0,IF((F$6-$G$3)&lt;1,0,IFERROR(LOOKUP(2,1/('Milho 1ª safra'!$E69:INDEX('Milho 1ª safra'!$E69:$Z69,MIN(F$6-$G$3,22))&lt;&gt;""),'Milho 1ª safra'!$E69:INDEX('Milho 1ª safra'!$E69:$Z69,MIN(F$6-$G$3,22))),0)))))</f>
        <v>0</v>
      </c>
      <c r="G71" s="27" t="n">
        <f aca="false">IF(COUNT('Milho 1ª safra'!$E69:$Z69)=0,0,MAX(0,IF((G$6-$E$3)&lt;1,0,IFERROR(LOOKUP(2,1/('Milho 1ª safra'!$E69:INDEX('Milho 1ª safra'!$E69:$Z69,MIN(G$6-$E$3,22))&lt;&gt;""),'Milho 1ª safra'!$E69:INDEX('Milho 1ª safra'!$E69:$Z69,MIN(G$6-$E$3,22))),0))-IF($G$2,0,IF((G$6-$G$3)&lt;1,0,IFERROR(LOOKUP(2,1/('Milho 1ª safra'!$E69:INDEX('Milho 1ª safra'!$E69:$Z69,MIN(G$6-$G$3,22))&lt;&gt;""),'Milho 1ª safra'!$E69:INDEX('Milho 1ª safra'!$E69:$Z69,MIN(G$6-$G$3,22))),0)))))</f>
        <v>0</v>
      </c>
      <c r="H71" s="27" t="n">
        <f aca="false">IF(COUNT('Milho 1ª safra'!$E69:$Z69)=0,0,MAX(0,IF((H$6-$E$3)&lt;1,0,IFERROR(LOOKUP(2,1/('Milho 1ª safra'!$E69:INDEX('Milho 1ª safra'!$E69:$Z69,MIN(H$6-$E$3,22))&lt;&gt;""),'Milho 1ª safra'!$E69:INDEX('Milho 1ª safra'!$E69:$Z69,MIN(H$6-$E$3,22))),0))-IF($G$2,0,IF((H$6-$G$3)&lt;1,0,IFERROR(LOOKUP(2,1/('Milho 1ª safra'!$E69:INDEX('Milho 1ª safra'!$E69:$Z69,MIN(H$6-$G$3,22))&lt;&gt;""),'Milho 1ª safra'!$E69:INDEX('Milho 1ª safra'!$E69:$Z69,MIN(H$6-$G$3,22))),0)))))</f>
        <v>0</v>
      </c>
      <c r="I71" s="27" t="n">
        <f aca="false">IF(COUNT('Milho 1ª safra'!$E69:$Z69)=0,0,MAX(0,IF((I$6-$E$3)&lt;1,0,IFERROR(LOOKUP(2,1/('Milho 1ª safra'!$E69:INDEX('Milho 1ª safra'!$E69:$Z69,MIN(I$6-$E$3,22))&lt;&gt;""),'Milho 1ª safra'!$E69:INDEX('Milho 1ª safra'!$E69:$Z69,MIN(I$6-$E$3,22))),0))-IF($G$2,0,IF((I$6-$G$3)&lt;1,0,IFERROR(LOOKUP(2,1/('Milho 1ª safra'!$E69:INDEX('Milho 1ª safra'!$E69:$Z69,MIN(I$6-$G$3,22))&lt;&gt;""),'Milho 1ª safra'!$E69:INDEX('Milho 1ª safra'!$E69:$Z69,MIN(I$6-$G$3,22))),0)))))</f>
        <v>0</v>
      </c>
      <c r="J71" s="27" t="n">
        <f aca="false">IF(COUNT('Milho 1ª safra'!$E69:$Z69)=0,0,MAX(0,IF((J$6-$E$3)&lt;1,0,IFERROR(LOOKUP(2,1/('Milho 1ª safra'!$E69:INDEX('Milho 1ª safra'!$E69:$Z69,MIN(J$6-$E$3,22))&lt;&gt;""),'Milho 1ª safra'!$E69:INDEX('Milho 1ª safra'!$E69:$Z69,MIN(J$6-$E$3,22))),0))-IF($G$2,0,IF((J$6-$G$3)&lt;1,0,IFERROR(LOOKUP(2,1/('Milho 1ª safra'!$E69:INDEX('Milho 1ª safra'!$E69:$Z69,MIN(J$6-$G$3,22))&lt;&gt;""),'Milho 1ª safra'!$E69:INDEX('Milho 1ª safra'!$E69:$Z69,MIN(J$6-$G$3,22))),0)))))</f>
        <v>0</v>
      </c>
      <c r="K71" s="27" t="n">
        <f aca="false">IF(COUNT('Milho 1ª safra'!$E69:$Z69)=0,0,MAX(0,IF((K$6-$E$3)&lt;1,0,IFERROR(LOOKUP(2,1/('Milho 1ª safra'!$E69:INDEX('Milho 1ª safra'!$E69:$Z69,MIN(K$6-$E$3,22))&lt;&gt;""),'Milho 1ª safra'!$E69:INDEX('Milho 1ª safra'!$E69:$Z69,MIN(K$6-$E$3,22))),0))-IF($G$2,0,IF((K$6-$G$3)&lt;1,0,IFERROR(LOOKUP(2,1/('Milho 1ª safra'!$E69:INDEX('Milho 1ª safra'!$E69:$Z69,MIN(K$6-$G$3,22))&lt;&gt;""),'Milho 1ª safra'!$E69:INDEX('Milho 1ª safra'!$E69:$Z69,MIN(K$6-$G$3,22))),0)))))</f>
        <v>0</v>
      </c>
      <c r="L71" s="27" t="n">
        <f aca="false">IF(COUNT('Milho 1ª safra'!$E69:$Z69)=0,0,MAX(0,IF((L$6-$E$3)&lt;1,0,IFERROR(LOOKUP(2,1/('Milho 1ª safra'!$E69:INDEX('Milho 1ª safra'!$E69:$Z69,MIN(L$6-$E$3,22))&lt;&gt;""),'Milho 1ª safra'!$E69:INDEX('Milho 1ª safra'!$E69:$Z69,MIN(L$6-$E$3,22))),0))-IF($G$2,0,IF((L$6-$G$3)&lt;1,0,IFERROR(LOOKUP(2,1/('Milho 1ª safra'!$E69:INDEX('Milho 1ª safra'!$E69:$Z69,MIN(L$6-$G$3,22))&lt;&gt;""),'Milho 1ª safra'!$E69:INDEX('Milho 1ª safra'!$E69:$Z69,MIN(L$6-$G$3,22))),0)))))</f>
        <v>0</v>
      </c>
      <c r="M71" s="27" t="n">
        <f aca="false">IF(COUNT('Milho 1ª safra'!$E69:$Z69)=0,0,MAX(0,IF((M$6-$E$3)&lt;1,0,IFERROR(LOOKUP(2,1/('Milho 1ª safra'!$E69:INDEX('Milho 1ª safra'!$E69:$Z69,MIN(M$6-$E$3,22))&lt;&gt;""),'Milho 1ª safra'!$E69:INDEX('Milho 1ª safra'!$E69:$Z69,MIN(M$6-$E$3,22))),0))-IF($G$2,0,IF((M$6-$G$3)&lt;1,0,IFERROR(LOOKUP(2,1/('Milho 1ª safra'!$E69:INDEX('Milho 1ª safra'!$E69:$Z69,MIN(M$6-$G$3,22))&lt;&gt;""),'Milho 1ª safra'!$E69:INDEX('Milho 1ª safra'!$E69:$Z69,MIN(M$6-$G$3,22))),0)))))</f>
        <v>0</v>
      </c>
      <c r="N71" s="27" t="n">
        <f aca="false">IF(COUNT('Milho 1ª safra'!$E69:$Z69)=0,0,MAX(0,IF((N$6-$E$3)&lt;1,0,IFERROR(LOOKUP(2,1/('Milho 1ª safra'!$E69:INDEX('Milho 1ª safra'!$E69:$Z69,MIN(N$6-$E$3,22))&lt;&gt;""),'Milho 1ª safra'!$E69:INDEX('Milho 1ª safra'!$E69:$Z69,MIN(N$6-$E$3,22))),0))-IF($G$2,0,IF((N$6-$G$3)&lt;1,0,IFERROR(LOOKUP(2,1/('Milho 1ª safra'!$E69:INDEX('Milho 1ª safra'!$E69:$Z69,MIN(N$6-$G$3,22))&lt;&gt;""),'Milho 1ª safra'!$E69:INDEX('Milho 1ª safra'!$E69:$Z69,MIN(N$6-$G$3,22))),0)))))</f>
        <v>0</v>
      </c>
      <c r="O71" s="27" t="n">
        <f aca="false">IF(COUNT('Milho 1ª safra'!$E69:$Z69)=0,0,MAX(0,IF((O$6-$E$3)&lt;1,0,IFERROR(LOOKUP(2,1/('Milho 1ª safra'!$E69:INDEX('Milho 1ª safra'!$E69:$Z69,MIN(O$6-$E$3,22))&lt;&gt;""),'Milho 1ª safra'!$E69:INDEX('Milho 1ª safra'!$E69:$Z69,MIN(O$6-$E$3,22))),0))-IF($G$2,0,IF((O$6-$G$3)&lt;1,0,IFERROR(LOOKUP(2,1/('Milho 1ª safra'!$E69:INDEX('Milho 1ª safra'!$E69:$Z69,MIN(O$6-$G$3,22))&lt;&gt;""),'Milho 1ª safra'!$E69:INDEX('Milho 1ª safra'!$E69:$Z69,MIN(O$6-$G$3,22))),0)))))</f>
        <v>0</v>
      </c>
      <c r="P71" s="27" t="n">
        <f aca="false">IF(COUNT('Milho 1ª safra'!$E69:$Z69)=0,0,MAX(0,IF((P$6-$E$3)&lt;1,0,IFERROR(LOOKUP(2,1/('Milho 1ª safra'!$E69:INDEX('Milho 1ª safra'!$E69:$Z69,MIN(P$6-$E$3,22))&lt;&gt;""),'Milho 1ª safra'!$E69:INDEX('Milho 1ª safra'!$E69:$Z69,MIN(P$6-$E$3,22))),0))-IF($G$2,0,IF((P$6-$G$3)&lt;1,0,IFERROR(LOOKUP(2,1/('Milho 1ª safra'!$E69:INDEX('Milho 1ª safra'!$E69:$Z69,MIN(P$6-$G$3,22))&lt;&gt;""),'Milho 1ª safra'!$E69:INDEX('Milho 1ª safra'!$E69:$Z69,MIN(P$6-$G$3,22))),0)))))</f>
        <v>0</v>
      </c>
      <c r="Q71" s="27" t="n">
        <f aca="false">IF(COUNT('Milho 1ª safra'!$E69:$Z69)=0,0,MAX(0,IF((Q$6-$E$3)&lt;1,0,IFERROR(LOOKUP(2,1/('Milho 1ª safra'!$E69:INDEX('Milho 1ª safra'!$E69:$Z69,MIN(Q$6-$E$3,22))&lt;&gt;""),'Milho 1ª safra'!$E69:INDEX('Milho 1ª safra'!$E69:$Z69,MIN(Q$6-$E$3,22))),0))-IF($G$2,0,IF((Q$6-$G$3)&lt;1,0,IFERROR(LOOKUP(2,1/('Milho 1ª safra'!$E69:INDEX('Milho 1ª safra'!$E69:$Z69,MIN(Q$6-$G$3,22))&lt;&gt;""),'Milho 1ª safra'!$E69:INDEX('Milho 1ª safra'!$E69:$Z69,MIN(Q$6-$G$3,22))),0)))))</f>
        <v>0</v>
      </c>
      <c r="R71" s="27" t="n">
        <f aca="false">IF(COUNT('Milho 1ª safra'!$E69:$Z69)=0,0,MAX(0,IF((R$6-$E$3)&lt;1,0,IFERROR(LOOKUP(2,1/('Milho 1ª safra'!$E69:INDEX('Milho 1ª safra'!$E69:$Z69,MIN(R$6-$E$3,22))&lt;&gt;""),'Milho 1ª safra'!$E69:INDEX('Milho 1ª safra'!$E69:$Z69,MIN(R$6-$E$3,22))),0))-IF($G$2,0,IF((R$6-$G$3)&lt;1,0,IFERROR(LOOKUP(2,1/('Milho 1ª safra'!$E69:INDEX('Milho 1ª safra'!$E69:$Z69,MIN(R$6-$G$3,22))&lt;&gt;""),'Milho 1ª safra'!$E69:INDEX('Milho 1ª safra'!$E69:$Z69,MIN(R$6-$G$3,22))),0)))))</f>
        <v>0</v>
      </c>
      <c r="S71" s="27" t="n">
        <f aca="false">IF(COUNT('Milho 1ª safra'!$E69:$Z69)=0,0,MAX(0,IF((S$6-$E$3)&lt;1,0,IFERROR(LOOKUP(2,1/('Milho 1ª safra'!$E69:INDEX('Milho 1ª safra'!$E69:$Z69,MIN(S$6-$E$3,22))&lt;&gt;""),'Milho 1ª safra'!$E69:INDEX('Milho 1ª safra'!$E69:$Z69,MIN(S$6-$E$3,22))),0))-IF($G$2,0,IF((S$6-$G$3)&lt;1,0,IFERROR(LOOKUP(2,1/('Milho 1ª safra'!$E69:INDEX('Milho 1ª safra'!$E69:$Z69,MIN(S$6-$G$3,22))&lt;&gt;""),'Milho 1ª safra'!$E69:INDEX('Milho 1ª safra'!$E69:$Z69,MIN(S$6-$G$3,22))),0)))))</f>
        <v>0</v>
      </c>
      <c r="T71" s="27" t="n">
        <f aca="false">IF(COUNT('Milho 1ª safra'!$E69:$Z69)=0,0,MAX(0,IF((T$6-$E$3)&lt;1,0,IFERROR(LOOKUP(2,1/('Milho 1ª safra'!$E69:INDEX('Milho 1ª safra'!$E69:$Z69,MIN(T$6-$E$3,22))&lt;&gt;""),'Milho 1ª safra'!$E69:INDEX('Milho 1ª safra'!$E69:$Z69,MIN(T$6-$E$3,22))),0))-IF($G$2,0,IF((T$6-$G$3)&lt;1,0,IFERROR(LOOKUP(2,1/('Milho 1ª safra'!$E69:INDEX('Milho 1ª safra'!$E69:$Z69,MIN(T$6-$G$3,22))&lt;&gt;""),'Milho 1ª safra'!$E69:INDEX('Milho 1ª safra'!$E69:$Z69,MIN(T$6-$G$3,22))),0)))))</f>
        <v>0</v>
      </c>
      <c r="U71" s="27" t="n">
        <f aca="false">IF(COUNT('Milho 1ª safra'!$E69:$Z69)=0,0,MAX(0,IF((U$6-$E$3)&lt;1,0,IFERROR(LOOKUP(2,1/('Milho 1ª safra'!$E69:INDEX('Milho 1ª safra'!$E69:$Z69,MIN(U$6-$E$3,22))&lt;&gt;""),'Milho 1ª safra'!$E69:INDEX('Milho 1ª safra'!$E69:$Z69,MIN(U$6-$E$3,22))),0))-IF($G$2,0,IF((U$6-$G$3)&lt;1,0,IFERROR(LOOKUP(2,1/('Milho 1ª safra'!$E69:INDEX('Milho 1ª safra'!$E69:$Z69,MIN(U$6-$G$3,22))&lt;&gt;""),'Milho 1ª safra'!$E69:INDEX('Milho 1ª safra'!$E69:$Z69,MIN(U$6-$G$3,22))),0)))))</f>
        <v>0</v>
      </c>
      <c r="V71" s="27" t="n">
        <f aca="false">IF(COUNT('Milho 1ª safra'!$E69:$Z69)=0,0,MAX(0,IF((V$6-$E$3)&lt;1,0,IFERROR(LOOKUP(2,1/('Milho 1ª safra'!$E69:INDEX('Milho 1ª safra'!$E69:$Z69,MIN(V$6-$E$3,22))&lt;&gt;""),'Milho 1ª safra'!$E69:INDEX('Milho 1ª safra'!$E69:$Z69,MIN(V$6-$E$3,22))),0))-IF($G$2,0,IF((V$6-$G$3)&lt;1,0,IFERROR(LOOKUP(2,1/('Milho 1ª safra'!$E69:INDEX('Milho 1ª safra'!$E69:$Z69,MIN(V$6-$G$3,22))&lt;&gt;""),'Milho 1ª safra'!$E69:INDEX('Milho 1ª safra'!$E69:$Z69,MIN(V$6-$G$3,22))),0)))))</f>
        <v>0</v>
      </c>
      <c r="W71" s="27" t="n">
        <f aca="false">IF(COUNT('Milho 1ª safra'!$E69:$Z69)=0,0,MAX(0,IF((W$6-$E$3)&lt;1,0,IFERROR(LOOKUP(2,1/('Milho 1ª safra'!$E69:INDEX('Milho 1ª safra'!$E69:$Z69,MIN(W$6-$E$3,22))&lt;&gt;""),'Milho 1ª safra'!$E69:INDEX('Milho 1ª safra'!$E69:$Z69,MIN(W$6-$E$3,22))),0))-IF($G$2,0,IF((W$6-$G$3)&lt;1,0,IFERROR(LOOKUP(2,1/('Milho 1ª safra'!$E69:INDEX('Milho 1ª safra'!$E69:$Z69,MIN(W$6-$G$3,22))&lt;&gt;""),'Milho 1ª safra'!$E69:INDEX('Milho 1ª safra'!$E69:$Z69,MIN(W$6-$G$3,22))),0)))))</f>
        <v>0</v>
      </c>
      <c r="X71" s="27" t="n">
        <f aca="false">IF(COUNT('Milho 1ª safra'!$E69:$Z69)=0,0,MAX(0,IF((X$6-$E$3)&lt;1,0,IFERROR(LOOKUP(2,1/('Milho 1ª safra'!$E69:INDEX('Milho 1ª safra'!$E69:$Z69,MIN(X$6-$E$3,22))&lt;&gt;""),'Milho 1ª safra'!$E69:INDEX('Milho 1ª safra'!$E69:$Z69,MIN(X$6-$E$3,22))),0))-IF($G$2,0,IF((X$6-$G$3)&lt;1,0,IFERROR(LOOKUP(2,1/('Milho 1ª safra'!$E69:INDEX('Milho 1ª safra'!$E69:$Z69,MIN(X$6-$G$3,22))&lt;&gt;""),'Milho 1ª safra'!$E69:INDEX('Milho 1ª safra'!$E69:$Z69,MIN(X$6-$G$3,22))),0)))))</f>
        <v>0</v>
      </c>
      <c r="Y71" s="27" t="n">
        <f aca="false">IF(COUNT('Milho 1ª safra'!$E69:$Z69)=0,0,MAX(0,IF((Y$6-$E$3)&lt;1,0,IFERROR(LOOKUP(2,1/('Milho 1ª safra'!$E69:INDEX('Milho 1ª safra'!$E69:$Z69,MIN(Y$6-$E$3,22))&lt;&gt;""),'Milho 1ª safra'!$E69:INDEX('Milho 1ª safra'!$E69:$Z69,MIN(Y$6-$E$3,22))),0))-IF($G$2,0,IF((Y$6-$G$3)&lt;1,0,IFERROR(LOOKUP(2,1/('Milho 1ª safra'!$E69:INDEX('Milho 1ª safra'!$E69:$Z69,MIN(Y$6-$G$3,22))&lt;&gt;""),'Milho 1ª safra'!$E69:INDEX('Milho 1ª safra'!$E69:$Z69,MIN(Y$6-$G$3,22))),0)))))</f>
        <v>0</v>
      </c>
      <c r="Z71" s="27" t="n">
        <f aca="false">IF(COUNT('Milho 1ª safra'!$E69:$Z69)=0,0,MAX(0,IF((Z$6-$E$3)&lt;1,0,IFERROR(LOOKUP(2,1/('Milho 1ª safra'!$E69:INDEX('Milho 1ª safra'!$E69:$Z69,MIN(Z$6-$E$3,22))&lt;&gt;""),'Milho 1ª safra'!$E69:INDEX('Milho 1ª safra'!$E69:$Z69,MIN(Z$6-$E$3,22))),0))-IF($G$2,0,IF((Z$6-$G$3)&lt;1,0,IFERROR(LOOKUP(2,1/('Milho 1ª safra'!$E69:INDEX('Milho 1ª safra'!$E69:$Z69,MIN(Z$6-$G$3,22))&lt;&gt;""),'Milho 1ª safra'!$E69:INDEX('Milho 1ª safra'!$E69:$Z69,MIN(Z$6-$G$3,22))),0)))))</f>
        <v>0</v>
      </c>
      <c r="AA71" s="27" t="n">
        <f aca="false">IF(COUNT('Milho 1ª safra'!$E69:$Z69)=0,0,MAX(0,IF((AA$6-$E$3)&lt;1,0,IFERROR(LOOKUP(2,1/('Milho 1ª safra'!$E69:INDEX('Milho 1ª safra'!$E69:$Z69,MIN(AA$6-$E$3,22))&lt;&gt;""),'Milho 1ª safra'!$E69:INDEX('Milho 1ª safra'!$E69:$Z69,MIN(AA$6-$E$3,22))),0))-IF($G$2,0,IF((AA$6-$G$3)&lt;1,0,IFERROR(LOOKUP(2,1/('Milho 1ª safra'!$E69:INDEX('Milho 1ª safra'!$E69:$Z69,MIN(AA$6-$G$3,22))&lt;&gt;""),'Milho 1ª safra'!$E69:INDEX('Milho 1ª safra'!$E69:$Z69,MIN(AA$6-$G$3,22))),0)))))</f>
        <v>0</v>
      </c>
      <c r="AB71" s="27" t="n">
        <f aca="false">IF(COUNT('Milho 1ª safra'!$E69:$Z69)=0,0,MAX(0,IF((AB$6-$E$3)&lt;1,0,IFERROR(LOOKUP(2,1/('Milho 1ª safra'!$E69:INDEX('Milho 1ª safra'!$E69:$Z69,MIN(AB$6-$E$3,22))&lt;&gt;""),'Milho 1ª safra'!$E69:INDEX('Milho 1ª safra'!$E69:$Z69,MIN(AB$6-$E$3,22))),0))-IF($G$2,0,IF((AB$6-$G$3)&lt;1,0,IFERROR(LOOKUP(2,1/('Milho 1ª safra'!$E69:INDEX('Milho 1ª safra'!$E69:$Z69,MIN(AB$6-$G$3,22))&lt;&gt;""),'Milho 1ª safra'!$E69:INDEX('Milho 1ª safra'!$E69:$Z69,MIN(AB$6-$G$3,22))),0)))))</f>
        <v>0</v>
      </c>
      <c r="AC71" s="27" t="n">
        <f aca="false">IF(COUNT('Milho 1ª safra'!$E69:$Z69)=0,0,MAX(0,IF((AC$6-$E$3)&lt;1,0,IFERROR(LOOKUP(2,1/('Milho 1ª safra'!$E69:INDEX('Milho 1ª safra'!$E69:$Z69,MIN(AC$6-$E$3,22))&lt;&gt;""),'Milho 1ª safra'!$E69:INDEX('Milho 1ª safra'!$E69:$Z69,MIN(AC$6-$E$3,22))),0))-IF($G$2,0,IF((AC$6-$G$3)&lt;1,0,IFERROR(LOOKUP(2,1/('Milho 1ª safra'!$E69:INDEX('Milho 1ª safra'!$E69:$Z69,MIN(AC$6-$G$3,22))&lt;&gt;""),'Milho 1ª safra'!$E69:INDEX('Milho 1ª safra'!$E69:$Z69,MIN(AC$6-$G$3,22))),0)))))</f>
        <v>0</v>
      </c>
      <c r="AD71" s="27" t="n">
        <f aca="false">IF(COUNT('Milho 1ª safra'!$E69:$Z69)=0,0,MAX(0,IF((AD$6-$E$3)&lt;1,0,IFERROR(LOOKUP(2,1/('Milho 1ª safra'!$E69:INDEX('Milho 1ª safra'!$E69:$Z69,MIN(AD$6-$E$3,22))&lt;&gt;""),'Milho 1ª safra'!$E69:INDEX('Milho 1ª safra'!$E69:$Z69,MIN(AD$6-$E$3,22))),0))-IF($G$2,0,IF((AD$6-$G$3)&lt;1,0,IFERROR(LOOKUP(2,1/('Milho 1ª safra'!$E69:INDEX('Milho 1ª safra'!$E69:$Z69,MIN(AD$6-$G$3,22))&lt;&gt;""),'Milho 1ª safra'!$E69:INDEX('Milho 1ª safra'!$E69:$Z69,MIN(AD$6-$G$3,22))),0)))))</f>
        <v>0</v>
      </c>
      <c r="AE71" s="27" t="n">
        <f aca="false">IF(COUNT('Milho 1ª safra'!$E69:$Z69)=0,0,MAX(0,IF((AE$6-$E$3)&lt;1,0,IFERROR(LOOKUP(2,1/('Milho 1ª safra'!$E69:INDEX('Milho 1ª safra'!$E69:$Z69,MIN(AE$6-$E$3,22))&lt;&gt;""),'Milho 1ª safra'!$E69:INDEX('Milho 1ª safra'!$E69:$Z69,MIN(AE$6-$E$3,22))),0))-IF($G$2,0,IF((AE$6-$G$3)&lt;1,0,IFERROR(LOOKUP(2,1/('Milho 1ª safra'!$E69:INDEX('Milho 1ª safra'!$E69:$Z69,MIN(AE$6-$G$3,22))&lt;&gt;""),'Milho 1ª safra'!$E69:INDEX('Milho 1ª safra'!$E69:$Z69,MIN(AE$6-$G$3,22))),0)))))</f>
        <v>0</v>
      </c>
      <c r="AF71" s="27" t="n">
        <f aca="false">IF(COUNT('Milho 1ª safra'!$E69:$Z69)=0,0,MAX(0,IF((AF$6-$E$3)&lt;1,0,IFERROR(LOOKUP(2,1/('Milho 1ª safra'!$E69:INDEX('Milho 1ª safra'!$E69:$Z69,MIN(AF$6-$E$3,22))&lt;&gt;""),'Milho 1ª safra'!$E69:INDEX('Milho 1ª safra'!$E69:$Z69,MIN(AF$6-$E$3,22))),0))-IF($G$2,0,IF((AF$6-$G$3)&lt;1,0,IFERROR(LOOKUP(2,1/('Milho 1ª safra'!$E69:INDEX('Milho 1ª safra'!$E69:$Z69,MIN(AF$6-$G$3,22))&lt;&gt;""),'Milho 1ª safra'!$E69:INDEX('Milho 1ª safra'!$E69:$Z69,MIN(AF$6-$G$3,22))),0)))))</f>
        <v>0</v>
      </c>
      <c r="AG71" s="27" t="n">
        <f aca="false">IF(COUNT('Milho 1ª safra'!$E69:$Z69)=0,0,MAX(0,IF((AG$6-$E$3)&lt;1,0,IFERROR(LOOKUP(2,1/('Milho 1ª safra'!$E69:INDEX('Milho 1ª safra'!$E69:$Z69,MIN(AG$6-$E$3,22))&lt;&gt;""),'Milho 1ª safra'!$E69:INDEX('Milho 1ª safra'!$E69:$Z69,MIN(AG$6-$E$3,22))),0))-IF($G$2,0,IF((AG$6-$G$3)&lt;1,0,IFERROR(LOOKUP(2,1/('Milho 1ª safra'!$E69:INDEX('Milho 1ª safra'!$E69:$Z69,MIN(AG$6-$G$3,22))&lt;&gt;""),'Milho 1ª safra'!$E69:INDEX('Milho 1ª safra'!$E69:$Z69,MIN(AG$6-$G$3,22))),0)))))</f>
        <v>0</v>
      </c>
      <c r="AH71" s="27" t="n">
        <f aca="false">IF(COUNT('Milho 1ª safra'!$E69:$Z69)=0,0,MAX(0,IF((AH$6-$E$3)&lt;1,0,IFERROR(LOOKUP(2,1/('Milho 1ª safra'!$E69:INDEX('Milho 1ª safra'!$E69:$Z69,MIN(AH$6-$E$3,22))&lt;&gt;""),'Milho 1ª safra'!$E69:INDEX('Milho 1ª safra'!$E69:$Z69,MIN(AH$6-$E$3,22))),0))-IF($G$2,0,IF((AH$6-$G$3)&lt;1,0,IFERROR(LOOKUP(2,1/('Milho 1ª safra'!$E69:INDEX('Milho 1ª safra'!$E69:$Z69,MIN(AH$6-$G$3,22))&lt;&gt;""),'Milho 1ª safra'!$E69:INDEX('Milho 1ª safra'!$E69:$Z69,MIN(AH$6-$G$3,22))),0)))))</f>
        <v>0</v>
      </c>
      <c r="AI71" s="27" t="n">
        <f aca="false">IF(COUNT('Milho 1ª safra'!$E69:$Z69)=0,0,MAX(0,IF((AI$6-$E$3)&lt;1,0,IFERROR(LOOKUP(2,1/('Milho 1ª safra'!$E69:INDEX('Milho 1ª safra'!$E69:$Z69,MIN(AI$6-$E$3,22))&lt;&gt;""),'Milho 1ª safra'!$E69:INDEX('Milho 1ª safra'!$E69:$Z69,MIN(AI$6-$E$3,22))),0))-IF($G$2,0,IF((AI$6-$G$3)&lt;1,0,IFERROR(LOOKUP(2,1/('Milho 1ª safra'!$E69:INDEX('Milho 1ª safra'!$E69:$Z69,MIN(AI$6-$G$3,22))&lt;&gt;""),'Milho 1ª safra'!$E69:INDEX('Milho 1ª safra'!$E69:$Z69,MIN(AI$6-$G$3,22))),0)))))</f>
        <v>0</v>
      </c>
      <c r="AJ71" s="27" t="n">
        <f aca="false">IF(COUNT('Milho 1ª safra'!$E69:$Z69)=0,0,MAX(0,IF((AJ$6-$E$3)&lt;1,0,IFERROR(LOOKUP(2,1/('Milho 1ª safra'!$E69:INDEX('Milho 1ª safra'!$E69:$Z69,MIN(AJ$6-$E$3,22))&lt;&gt;""),'Milho 1ª safra'!$E69:INDEX('Milho 1ª safra'!$E69:$Z69,MIN(AJ$6-$E$3,22))),0))-IF($G$2,0,IF((AJ$6-$G$3)&lt;1,0,IFERROR(LOOKUP(2,1/('Milho 1ª safra'!$E69:INDEX('Milho 1ª safra'!$E69:$Z69,MIN(AJ$6-$G$3,22))&lt;&gt;""),'Milho 1ª safra'!$E69:INDEX('Milho 1ª safra'!$E69:$Z69,MIN(AJ$6-$G$3,22))),0)))))</f>
        <v>0</v>
      </c>
      <c r="AK71" s="27" t="n">
        <f aca="false">IF(COUNT('Milho 1ª safra'!$E69:$Z69)=0,0,MAX(0,IF((AK$6-$E$3)&lt;1,0,IFERROR(LOOKUP(2,1/('Milho 1ª safra'!$E69:INDEX('Milho 1ª safra'!$E69:$Z69,MIN(AK$6-$E$3,22))&lt;&gt;""),'Milho 1ª safra'!$E69:INDEX('Milho 1ª safra'!$E69:$Z69,MIN(AK$6-$E$3,22))),0))-IF($G$2,0,IF((AK$6-$G$3)&lt;1,0,IFERROR(LOOKUP(2,1/('Milho 1ª safra'!$E69:INDEX('Milho 1ª safra'!$E69:$Z69,MIN(AK$6-$G$3,22))&lt;&gt;""),'Milho 1ª safra'!$E69:INDEX('Milho 1ª safra'!$E69:$Z69,MIN(AK$6-$G$3,22))),0)))))</f>
        <v>0</v>
      </c>
      <c r="AL71" s="27" t="n">
        <f aca="false">IF(COUNT('Milho 1ª safra'!$E69:$Z69)=0,0,MAX(0,IF((AL$6-$E$3)&lt;1,0,IFERROR(LOOKUP(2,1/('Milho 1ª safra'!$E69:INDEX('Milho 1ª safra'!$E69:$Z69,MIN(AL$6-$E$3,22))&lt;&gt;""),'Milho 1ª safra'!$E69:INDEX('Milho 1ª safra'!$E69:$Z69,MIN(AL$6-$E$3,22))),0))-IF($G$2,0,IF((AL$6-$G$3)&lt;1,0,IFERROR(LOOKUP(2,1/('Milho 1ª safra'!$E69:INDEX('Milho 1ª safra'!$E69:$Z69,MIN(AL$6-$G$3,22))&lt;&gt;""),'Milho 1ª safra'!$E69:INDEX('Milho 1ª safra'!$E69:$Z69,MIN(AL$6-$G$3,22))),0)))))</f>
        <v>0</v>
      </c>
      <c r="AM71" s="27" t="n">
        <f aca="false">IF(COUNT('Milho 1ª safra'!$E69:$Z69)=0,0,MAX(0,IF((AM$6-$E$3)&lt;1,0,IFERROR(LOOKUP(2,1/('Milho 1ª safra'!$E69:INDEX('Milho 1ª safra'!$E69:$Z69,MIN(AM$6-$E$3,22))&lt;&gt;""),'Milho 1ª safra'!$E69:INDEX('Milho 1ª safra'!$E69:$Z69,MIN(AM$6-$E$3,22))),0))-IF($G$2,0,IF((AM$6-$G$3)&lt;1,0,IFERROR(LOOKUP(2,1/('Milho 1ª safra'!$E69:INDEX('Milho 1ª safra'!$E69:$Z69,MIN(AM$6-$G$3,22))&lt;&gt;""),'Milho 1ª safra'!$E69:INDEX('Milho 1ª safra'!$E69:$Z69,MIN(AM$6-$G$3,22))),0)))))</f>
        <v>0</v>
      </c>
      <c r="AN71" s="27" t="n">
        <f aca="false">IF(COUNT('Milho 1ª safra'!$E69:$Z69)=0,0,MAX(0,IF((AN$6-$E$3)&lt;1,0,IFERROR(LOOKUP(2,1/('Milho 1ª safra'!$E69:INDEX('Milho 1ª safra'!$E69:$Z69,MIN(AN$6-$E$3,22))&lt;&gt;""),'Milho 1ª safra'!$E69:INDEX('Milho 1ª safra'!$E69:$Z69,MIN(AN$6-$E$3,22))),0))-IF($G$2,0,IF((AN$6-$G$3)&lt;1,0,IFERROR(LOOKUP(2,1/('Milho 1ª safra'!$E69:INDEX('Milho 1ª safra'!$E69:$Z69,MIN(AN$6-$G$3,22))&lt;&gt;""),'Milho 1ª safra'!$E69:INDEX('Milho 1ª safra'!$E69:$Z69,MIN(AN$6-$G$3,22))),0)))))</f>
        <v>0</v>
      </c>
      <c r="AO71" s="27" t="n">
        <f aca="false">IF(COUNT('Milho 1ª safra'!$E69:$Z69)=0,0,MAX(0,IF((AO$6-$E$3)&lt;1,0,IFERROR(LOOKUP(2,1/('Milho 1ª safra'!$E69:INDEX('Milho 1ª safra'!$E69:$Z69,MIN(AO$6-$E$3,22))&lt;&gt;""),'Milho 1ª safra'!$E69:INDEX('Milho 1ª safra'!$E69:$Z69,MIN(AO$6-$E$3,22))),0))-IF($G$2,0,IF((AO$6-$G$3)&lt;1,0,IFERROR(LOOKUP(2,1/('Milho 1ª safra'!$E69:INDEX('Milho 1ª safra'!$E69:$Z69,MIN(AO$6-$G$3,22))&lt;&gt;""),'Milho 1ª safra'!$E69:INDEX('Milho 1ª safra'!$E69:$Z69,MIN(AO$6-$G$3,22))),0)))))</f>
        <v>0</v>
      </c>
      <c r="AP71" s="27" t="n">
        <f aca="false">IF(COUNT('Milho 1ª safra'!$E69:$Z69)=0,0,MAX(0,IF((AP$6-$E$3)&lt;1,0,IFERROR(LOOKUP(2,1/('Milho 1ª safra'!$E69:INDEX('Milho 1ª safra'!$E69:$Z69,MIN(AP$6-$E$3,22))&lt;&gt;""),'Milho 1ª safra'!$E69:INDEX('Milho 1ª safra'!$E69:$Z69,MIN(AP$6-$E$3,22))),0))-IF($G$2,0,IF((AP$6-$G$3)&lt;1,0,IFERROR(LOOKUP(2,1/('Milho 1ª safra'!$E69:INDEX('Milho 1ª safra'!$E69:$Z69,MIN(AP$6-$G$3,22))&lt;&gt;""),'Milho 1ª safra'!$E69:INDEX('Milho 1ª safra'!$E69:$Z69,MIN(AP$6-$G$3,22))),0)))))</f>
        <v>0</v>
      </c>
      <c r="AQ71" s="27" t="n">
        <f aca="false">IF(COUNT('Milho 1ª safra'!$E69:$Z69)=0,0,MAX(0,IF((AQ$6-$E$3)&lt;1,0,IFERROR(LOOKUP(2,1/('Milho 1ª safra'!$E69:INDEX('Milho 1ª safra'!$E69:$Z69,MIN(AQ$6-$E$3,22))&lt;&gt;""),'Milho 1ª safra'!$E69:INDEX('Milho 1ª safra'!$E69:$Z69,MIN(AQ$6-$E$3,22))),0))-IF($G$2,0,IF((AQ$6-$G$3)&lt;1,0,IFERROR(LOOKUP(2,1/('Milho 1ª safra'!$E69:INDEX('Milho 1ª safra'!$E69:$Z69,MIN(AQ$6-$G$3,22))&lt;&gt;""),'Milho 1ª safra'!$E69:INDEX('Milho 1ª safra'!$E69:$Z69,MIN(AQ$6-$G$3,22))),0)))))</f>
        <v>0</v>
      </c>
      <c r="AR71" s="27" t="n">
        <f aca="false">IF(COUNT('Milho 1ª safra'!$E69:$Z69)=0,0,MAX(0,IF((AR$6-$E$3)&lt;1,0,IFERROR(LOOKUP(2,1/('Milho 1ª safra'!$E69:INDEX('Milho 1ª safra'!$E69:$Z69,MIN(AR$6-$E$3,22))&lt;&gt;""),'Milho 1ª safra'!$E69:INDEX('Milho 1ª safra'!$E69:$Z69,MIN(AR$6-$E$3,22))),0))-IF($G$2,0,IF((AR$6-$G$3)&lt;1,0,IFERROR(LOOKUP(2,1/('Milho 1ª safra'!$E69:INDEX('Milho 1ª safra'!$E69:$Z69,MIN(AR$6-$G$3,22))&lt;&gt;""),'Milho 1ª safra'!$E69:INDEX('Milho 1ª safra'!$E69:$Z69,MIN(AR$6-$G$3,22))),0)))))</f>
        <v>0</v>
      </c>
      <c r="AS71" s="27" t="n">
        <f aca="false">IF(COUNT('Milho 1ª safra'!$E69:$Z69)=0,0,MAX(0,IF((AS$6-$E$3)&lt;1,0,IFERROR(LOOKUP(2,1/('Milho 1ª safra'!$E69:INDEX('Milho 1ª safra'!$E69:$Z69,MIN(AS$6-$E$3,22))&lt;&gt;""),'Milho 1ª safra'!$E69:INDEX('Milho 1ª safra'!$E69:$Z69,MIN(AS$6-$E$3,22))),0))-IF($G$2,0,IF((AS$6-$G$3)&lt;1,0,IFERROR(LOOKUP(2,1/('Milho 1ª safra'!$E69:INDEX('Milho 1ª safra'!$E69:$Z69,MIN(AS$6-$G$3,22))&lt;&gt;""),'Milho 1ª safra'!$E69:INDEX('Milho 1ª safra'!$E69:$Z69,MIN(AS$6-$G$3,22))),0)))))</f>
        <v>0</v>
      </c>
      <c r="AT71" s="27" t="n">
        <f aca="false">IF(COUNT('Milho 1ª safra'!$E69:$Z69)=0,0,MAX(0,IF((AT$6-$E$3)&lt;1,0,IFERROR(LOOKUP(2,1/('Milho 1ª safra'!$E69:INDEX('Milho 1ª safra'!$E69:$Z69,MIN(AT$6-$E$3,22))&lt;&gt;""),'Milho 1ª safra'!$E69:INDEX('Milho 1ª safra'!$E69:$Z69,MIN(AT$6-$E$3,22))),0))-IF($G$2,0,IF((AT$6-$G$3)&lt;1,0,IFERROR(LOOKUP(2,1/('Milho 1ª safra'!$E69:INDEX('Milho 1ª safra'!$E69:$Z69,MIN(AT$6-$G$3,22))&lt;&gt;""),'Milho 1ª safra'!$E69:INDEX('Milho 1ª safra'!$E69:$Z69,MIN(AT$6-$G$3,22))),0)))))</f>
        <v>0</v>
      </c>
      <c r="AU71" s="27" t="n">
        <f aca="false">IF(COUNT('Milho 1ª safra'!$E69:$Z69)=0,0,MAX(0,IF((AU$6-$E$3)&lt;1,0,IFERROR(LOOKUP(2,1/('Milho 1ª safra'!$E69:INDEX('Milho 1ª safra'!$E69:$Z69,MIN(AU$6-$E$3,22))&lt;&gt;""),'Milho 1ª safra'!$E69:INDEX('Milho 1ª safra'!$E69:$Z69,MIN(AU$6-$E$3,22))),0))-IF($G$2,0,IF((AU$6-$G$3)&lt;1,0,IFERROR(LOOKUP(2,1/('Milho 1ª safra'!$E69:INDEX('Milho 1ª safra'!$E69:$Z69,MIN(AU$6-$G$3,22))&lt;&gt;""),'Milho 1ª safra'!$E69:INDEX('Milho 1ª safra'!$E69:$Z69,MIN(AU$6-$G$3,22))),0)))))</f>
        <v>0</v>
      </c>
      <c r="AV71" s="27" t="n">
        <f aca="false">IF(COUNT('Milho 1ª safra'!$E69:$Z69)=0,0,MAX(0,IF((AV$6-$E$3)&lt;1,0,IFERROR(LOOKUP(2,1/('Milho 1ª safra'!$E69:INDEX('Milho 1ª safra'!$E69:$Z69,MIN(AV$6-$E$3,22))&lt;&gt;""),'Milho 1ª safra'!$E69:INDEX('Milho 1ª safra'!$E69:$Z69,MIN(AV$6-$E$3,22))),0))-IF($G$2,0,IF((AV$6-$G$3)&lt;1,0,IFERROR(LOOKUP(2,1/('Milho 1ª safra'!$E69:INDEX('Milho 1ª safra'!$E69:$Z69,MIN(AV$6-$G$3,22))&lt;&gt;""),'Milho 1ª safra'!$E69:INDEX('Milho 1ª safra'!$E69:$Z69,MIN(AV$6-$G$3,22))),0)))))</f>
        <v>0</v>
      </c>
      <c r="AW71" s="27" t="n">
        <f aca="false">IF(COUNT('Milho 1ª safra'!$E69:$Z69)=0,0,MAX(0,IF((AW$6-$E$3)&lt;1,0,IFERROR(LOOKUP(2,1/('Milho 1ª safra'!$E69:INDEX('Milho 1ª safra'!$E69:$Z69,MIN(AW$6-$E$3,22))&lt;&gt;""),'Milho 1ª safra'!$E69:INDEX('Milho 1ª safra'!$E69:$Z69,MIN(AW$6-$E$3,22))),0))-IF($G$2,0,IF((AW$6-$G$3)&lt;1,0,IFERROR(LOOKUP(2,1/('Milho 1ª safra'!$E69:INDEX('Milho 1ª safra'!$E69:$Z69,MIN(AW$6-$G$3,22))&lt;&gt;""),'Milho 1ª safra'!$E69:INDEX('Milho 1ª safra'!$E69:$Z69,MIN(AW$6-$G$3,22))),0)))))</f>
        <v>0</v>
      </c>
      <c r="AX71" s="27" t="n">
        <f aca="false">IF(COUNT('Milho 1ª safra'!$E69:$Z69)=0,0,MAX(0,IF((AX$6-$E$3)&lt;1,0,IFERROR(LOOKUP(2,1/('Milho 1ª safra'!$E69:INDEX('Milho 1ª safra'!$E69:$Z69,MIN(AX$6-$E$3,22))&lt;&gt;""),'Milho 1ª safra'!$E69:INDEX('Milho 1ª safra'!$E69:$Z69,MIN(AX$6-$E$3,22))),0))-IF($G$2,0,IF((AX$6-$G$3)&lt;1,0,IFERROR(LOOKUP(2,1/('Milho 1ª safra'!$E69:INDEX('Milho 1ª safra'!$E69:$Z69,MIN(AX$6-$G$3,22))&lt;&gt;""),'Milho 1ª safra'!$E69:INDEX('Milho 1ª safra'!$E69:$Z69,MIN(AX$6-$G$3,22))),0)))))</f>
        <v>0</v>
      </c>
      <c r="AY71" s="27" t="n">
        <f aca="false">IF(COUNT('Milho 1ª safra'!$E69:$Z69)=0,0,MAX(0,IF((AY$6-$E$3)&lt;1,0,IFERROR(LOOKUP(2,1/('Milho 1ª safra'!$E69:INDEX('Milho 1ª safra'!$E69:$Z69,MIN(AY$6-$E$3,22))&lt;&gt;""),'Milho 1ª safra'!$E69:INDEX('Milho 1ª safra'!$E69:$Z69,MIN(AY$6-$E$3,22))),0))-IF($G$2,0,IF((AY$6-$G$3)&lt;1,0,IFERROR(LOOKUP(2,1/('Milho 1ª safra'!$E69:INDEX('Milho 1ª safra'!$E69:$Z69,MIN(AY$6-$G$3,22))&lt;&gt;""),'Milho 1ª safra'!$E69:INDEX('Milho 1ª safra'!$E69:$Z69,MIN(AY$6-$G$3,22))),0)))))</f>
        <v>0</v>
      </c>
      <c r="AZ71" s="27" t="n">
        <f aca="false">IF(COUNT('Milho 1ª safra'!$E69:$Z69)=0,0,MAX(0,IF((AZ$6-$E$3)&lt;1,0,IFERROR(LOOKUP(2,1/('Milho 1ª safra'!$E69:INDEX('Milho 1ª safra'!$E69:$Z69,MIN(AZ$6-$E$3,22))&lt;&gt;""),'Milho 1ª safra'!$E69:INDEX('Milho 1ª safra'!$E69:$Z69,MIN(AZ$6-$E$3,22))),0))-IF($G$2,0,IF((AZ$6-$G$3)&lt;1,0,IFERROR(LOOKUP(2,1/('Milho 1ª safra'!$E69:INDEX('Milho 1ª safra'!$E69:$Z69,MIN(AZ$6-$G$3,22))&lt;&gt;""),'Milho 1ª safra'!$E69:INDEX('Milho 1ª safra'!$E69:$Z69,MIN(AZ$6-$G$3,22))),0)))))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IF(COUNT('Milho 1ª safra'!$E70:$Z70)&gt;0,N('Milho 1ª safra'!$D70),0)</f>
        <v>0</v>
      </c>
      <c r="E72" s="27" t="n">
        <f aca="false">IF(COUNT('Milho 1ª safra'!$E70:$Z70)=0,0,MAX(0,IF((E$6-$E$3)&lt;1,0,IFERROR(LOOKUP(2,1/('Milho 1ª safra'!$E70:INDEX('Milho 1ª safra'!$E70:$Z70,MIN(E$6-$E$3,22))&lt;&gt;""),'Milho 1ª safra'!$E70:INDEX('Milho 1ª safra'!$E70:$Z70,MIN(E$6-$E$3,22))),0))-IF($G$2,0,IF((E$6-$G$3)&lt;1,0,IFERROR(LOOKUP(2,1/('Milho 1ª safra'!$E70:INDEX('Milho 1ª safra'!$E70:$Z70,MIN(E$6-$G$3,22))&lt;&gt;""),'Milho 1ª safra'!$E70:INDEX('Milho 1ª safra'!$E70:$Z70,MIN(E$6-$G$3,22))),0)))))</f>
        <v>0</v>
      </c>
      <c r="F72" s="27" t="n">
        <f aca="false">IF(COUNT('Milho 1ª safra'!$E70:$Z70)=0,0,MAX(0,IF((F$6-$E$3)&lt;1,0,IFERROR(LOOKUP(2,1/('Milho 1ª safra'!$E70:INDEX('Milho 1ª safra'!$E70:$Z70,MIN(F$6-$E$3,22))&lt;&gt;""),'Milho 1ª safra'!$E70:INDEX('Milho 1ª safra'!$E70:$Z70,MIN(F$6-$E$3,22))),0))-IF($G$2,0,IF((F$6-$G$3)&lt;1,0,IFERROR(LOOKUP(2,1/('Milho 1ª safra'!$E70:INDEX('Milho 1ª safra'!$E70:$Z70,MIN(F$6-$G$3,22))&lt;&gt;""),'Milho 1ª safra'!$E70:INDEX('Milho 1ª safra'!$E70:$Z70,MIN(F$6-$G$3,22))),0)))))</f>
        <v>0</v>
      </c>
      <c r="G72" s="27" t="n">
        <f aca="false">IF(COUNT('Milho 1ª safra'!$E70:$Z70)=0,0,MAX(0,IF((G$6-$E$3)&lt;1,0,IFERROR(LOOKUP(2,1/('Milho 1ª safra'!$E70:INDEX('Milho 1ª safra'!$E70:$Z70,MIN(G$6-$E$3,22))&lt;&gt;""),'Milho 1ª safra'!$E70:INDEX('Milho 1ª safra'!$E70:$Z70,MIN(G$6-$E$3,22))),0))-IF($G$2,0,IF((G$6-$G$3)&lt;1,0,IFERROR(LOOKUP(2,1/('Milho 1ª safra'!$E70:INDEX('Milho 1ª safra'!$E70:$Z70,MIN(G$6-$G$3,22))&lt;&gt;""),'Milho 1ª safra'!$E70:INDEX('Milho 1ª safra'!$E70:$Z70,MIN(G$6-$G$3,22))),0)))))</f>
        <v>0</v>
      </c>
      <c r="H72" s="27" t="n">
        <f aca="false">IF(COUNT('Milho 1ª safra'!$E70:$Z70)=0,0,MAX(0,IF((H$6-$E$3)&lt;1,0,IFERROR(LOOKUP(2,1/('Milho 1ª safra'!$E70:INDEX('Milho 1ª safra'!$E70:$Z70,MIN(H$6-$E$3,22))&lt;&gt;""),'Milho 1ª safra'!$E70:INDEX('Milho 1ª safra'!$E70:$Z70,MIN(H$6-$E$3,22))),0))-IF($G$2,0,IF((H$6-$G$3)&lt;1,0,IFERROR(LOOKUP(2,1/('Milho 1ª safra'!$E70:INDEX('Milho 1ª safra'!$E70:$Z70,MIN(H$6-$G$3,22))&lt;&gt;""),'Milho 1ª safra'!$E70:INDEX('Milho 1ª safra'!$E70:$Z70,MIN(H$6-$G$3,22))),0)))))</f>
        <v>0</v>
      </c>
      <c r="I72" s="27" t="n">
        <f aca="false">IF(COUNT('Milho 1ª safra'!$E70:$Z70)=0,0,MAX(0,IF((I$6-$E$3)&lt;1,0,IFERROR(LOOKUP(2,1/('Milho 1ª safra'!$E70:INDEX('Milho 1ª safra'!$E70:$Z70,MIN(I$6-$E$3,22))&lt;&gt;""),'Milho 1ª safra'!$E70:INDEX('Milho 1ª safra'!$E70:$Z70,MIN(I$6-$E$3,22))),0))-IF($G$2,0,IF((I$6-$G$3)&lt;1,0,IFERROR(LOOKUP(2,1/('Milho 1ª safra'!$E70:INDEX('Milho 1ª safra'!$E70:$Z70,MIN(I$6-$G$3,22))&lt;&gt;""),'Milho 1ª safra'!$E70:INDEX('Milho 1ª safra'!$E70:$Z70,MIN(I$6-$G$3,22))),0)))))</f>
        <v>0</v>
      </c>
      <c r="J72" s="27" t="n">
        <f aca="false">IF(COUNT('Milho 1ª safra'!$E70:$Z70)=0,0,MAX(0,IF((J$6-$E$3)&lt;1,0,IFERROR(LOOKUP(2,1/('Milho 1ª safra'!$E70:INDEX('Milho 1ª safra'!$E70:$Z70,MIN(J$6-$E$3,22))&lt;&gt;""),'Milho 1ª safra'!$E70:INDEX('Milho 1ª safra'!$E70:$Z70,MIN(J$6-$E$3,22))),0))-IF($G$2,0,IF((J$6-$G$3)&lt;1,0,IFERROR(LOOKUP(2,1/('Milho 1ª safra'!$E70:INDEX('Milho 1ª safra'!$E70:$Z70,MIN(J$6-$G$3,22))&lt;&gt;""),'Milho 1ª safra'!$E70:INDEX('Milho 1ª safra'!$E70:$Z70,MIN(J$6-$G$3,22))),0)))))</f>
        <v>0</v>
      </c>
      <c r="K72" s="27" t="n">
        <f aca="false">IF(COUNT('Milho 1ª safra'!$E70:$Z70)=0,0,MAX(0,IF((K$6-$E$3)&lt;1,0,IFERROR(LOOKUP(2,1/('Milho 1ª safra'!$E70:INDEX('Milho 1ª safra'!$E70:$Z70,MIN(K$6-$E$3,22))&lt;&gt;""),'Milho 1ª safra'!$E70:INDEX('Milho 1ª safra'!$E70:$Z70,MIN(K$6-$E$3,22))),0))-IF($G$2,0,IF((K$6-$G$3)&lt;1,0,IFERROR(LOOKUP(2,1/('Milho 1ª safra'!$E70:INDEX('Milho 1ª safra'!$E70:$Z70,MIN(K$6-$G$3,22))&lt;&gt;""),'Milho 1ª safra'!$E70:INDEX('Milho 1ª safra'!$E70:$Z70,MIN(K$6-$G$3,22))),0)))))</f>
        <v>0</v>
      </c>
      <c r="L72" s="27" t="n">
        <f aca="false">IF(COUNT('Milho 1ª safra'!$E70:$Z70)=0,0,MAX(0,IF((L$6-$E$3)&lt;1,0,IFERROR(LOOKUP(2,1/('Milho 1ª safra'!$E70:INDEX('Milho 1ª safra'!$E70:$Z70,MIN(L$6-$E$3,22))&lt;&gt;""),'Milho 1ª safra'!$E70:INDEX('Milho 1ª safra'!$E70:$Z70,MIN(L$6-$E$3,22))),0))-IF($G$2,0,IF((L$6-$G$3)&lt;1,0,IFERROR(LOOKUP(2,1/('Milho 1ª safra'!$E70:INDEX('Milho 1ª safra'!$E70:$Z70,MIN(L$6-$G$3,22))&lt;&gt;""),'Milho 1ª safra'!$E70:INDEX('Milho 1ª safra'!$E70:$Z70,MIN(L$6-$G$3,22))),0)))))</f>
        <v>0</v>
      </c>
      <c r="M72" s="27" t="n">
        <f aca="false">IF(COUNT('Milho 1ª safra'!$E70:$Z70)=0,0,MAX(0,IF((M$6-$E$3)&lt;1,0,IFERROR(LOOKUP(2,1/('Milho 1ª safra'!$E70:INDEX('Milho 1ª safra'!$E70:$Z70,MIN(M$6-$E$3,22))&lt;&gt;""),'Milho 1ª safra'!$E70:INDEX('Milho 1ª safra'!$E70:$Z70,MIN(M$6-$E$3,22))),0))-IF($G$2,0,IF((M$6-$G$3)&lt;1,0,IFERROR(LOOKUP(2,1/('Milho 1ª safra'!$E70:INDEX('Milho 1ª safra'!$E70:$Z70,MIN(M$6-$G$3,22))&lt;&gt;""),'Milho 1ª safra'!$E70:INDEX('Milho 1ª safra'!$E70:$Z70,MIN(M$6-$G$3,22))),0)))))</f>
        <v>0</v>
      </c>
      <c r="N72" s="27" t="n">
        <f aca="false">IF(COUNT('Milho 1ª safra'!$E70:$Z70)=0,0,MAX(0,IF((N$6-$E$3)&lt;1,0,IFERROR(LOOKUP(2,1/('Milho 1ª safra'!$E70:INDEX('Milho 1ª safra'!$E70:$Z70,MIN(N$6-$E$3,22))&lt;&gt;""),'Milho 1ª safra'!$E70:INDEX('Milho 1ª safra'!$E70:$Z70,MIN(N$6-$E$3,22))),0))-IF($G$2,0,IF((N$6-$G$3)&lt;1,0,IFERROR(LOOKUP(2,1/('Milho 1ª safra'!$E70:INDEX('Milho 1ª safra'!$E70:$Z70,MIN(N$6-$G$3,22))&lt;&gt;""),'Milho 1ª safra'!$E70:INDEX('Milho 1ª safra'!$E70:$Z70,MIN(N$6-$G$3,22))),0)))))</f>
        <v>0</v>
      </c>
      <c r="O72" s="27" t="n">
        <f aca="false">IF(COUNT('Milho 1ª safra'!$E70:$Z70)=0,0,MAX(0,IF((O$6-$E$3)&lt;1,0,IFERROR(LOOKUP(2,1/('Milho 1ª safra'!$E70:INDEX('Milho 1ª safra'!$E70:$Z70,MIN(O$6-$E$3,22))&lt;&gt;""),'Milho 1ª safra'!$E70:INDEX('Milho 1ª safra'!$E70:$Z70,MIN(O$6-$E$3,22))),0))-IF($G$2,0,IF((O$6-$G$3)&lt;1,0,IFERROR(LOOKUP(2,1/('Milho 1ª safra'!$E70:INDEX('Milho 1ª safra'!$E70:$Z70,MIN(O$6-$G$3,22))&lt;&gt;""),'Milho 1ª safra'!$E70:INDEX('Milho 1ª safra'!$E70:$Z70,MIN(O$6-$G$3,22))),0)))))</f>
        <v>0</v>
      </c>
      <c r="P72" s="27" t="n">
        <f aca="false">IF(COUNT('Milho 1ª safra'!$E70:$Z70)=0,0,MAX(0,IF((P$6-$E$3)&lt;1,0,IFERROR(LOOKUP(2,1/('Milho 1ª safra'!$E70:INDEX('Milho 1ª safra'!$E70:$Z70,MIN(P$6-$E$3,22))&lt;&gt;""),'Milho 1ª safra'!$E70:INDEX('Milho 1ª safra'!$E70:$Z70,MIN(P$6-$E$3,22))),0))-IF($G$2,0,IF((P$6-$G$3)&lt;1,0,IFERROR(LOOKUP(2,1/('Milho 1ª safra'!$E70:INDEX('Milho 1ª safra'!$E70:$Z70,MIN(P$6-$G$3,22))&lt;&gt;""),'Milho 1ª safra'!$E70:INDEX('Milho 1ª safra'!$E70:$Z70,MIN(P$6-$G$3,22))),0)))))</f>
        <v>0</v>
      </c>
      <c r="Q72" s="27" t="n">
        <f aca="false">IF(COUNT('Milho 1ª safra'!$E70:$Z70)=0,0,MAX(0,IF((Q$6-$E$3)&lt;1,0,IFERROR(LOOKUP(2,1/('Milho 1ª safra'!$E70:INDEX('Milho 1ª safra'!$E70:$Z70,MIN(Q$6-$E$3,22))&lt;&gt;""),'Milho 1ª safra'!$E70:INDEX('Milho 1ª safra'!$E70:$Z70,MIN(Q$6-$E$3,22))),0))-IF($G$2,0,IF((Q$6-$G$3)&lt;1,0,IFERROR(LOOKUP(2,1/('Milho 1ª safra'!$E70:INDEX('Milho 1ª safra'!$E70:$Z70,MIN(Q$6-$G$3,22))&lt;&gt;""),'Milho 1ª safra'!$E70:INDEX('Milho 1ª safra'!$E70:$Z70,MIN(Q$6-$G$3,22))),0)))))</f>
        <v>0</v>
      </c>
      <c r="R72" s="27" t="n">
        <f aca="false">IF(COUNT('Milho 1ª safra'!$E70:$Z70)=0,0,MAX(0,IF((R$6-$E$3)&lt;1,0,IFERROR(LOOKUP(2,1/('Milho 1ª safra'!$E70:INDEX('Milho 1ª safra'!$E70:$Z70,MIN(R$6-$E$3,22))&lt;&gt;""),'Milho 1ª safra'!$E70:INDEX('Milho 1ª safra'!$E70:$Z70,MIN(R$6-$E$3,22))),0))-IF($G$2,0,IF((R$6-$G$3)&lt;1,0,IFERROR(LOOKUP(2,1/('Milho 1ª safra'!$E70:INDEX('Milho 1ª safra'!$E70:$Z70,MIN(R$6-$G$3,22))&lt;&gt;""),'Milho 1ª safra'!$E70:INDEX('Milho 1ª safra'!$E70:$Z70,MIN(R$6-$G$3,22))),0)))))</f>
        <v>0</v>
      </c>
      <c r="S72" s="27" t="n">
        <f aca="false">IF(COUNT('Milho 1ª safra'!$E70:$Z70)=0,0,MAX(0,IF((S$6-$E$3)&lt;1,0,IFERROR(LOOKUP(2,1/('Milho 1ª safra'!$E70:INDEX('Milho 1ª safra'!$E70:$Z70,MIN(S$6-$E$3,22))&lt;&gt;""),'Milho 1ª safra'!$E70:INDEX('Milho 1ª safra'!$E70:$Z70,MIN(S$6-$E$3,22))),0))-IF($G$2,0,IF((S$6-$G$3)&lt;1,0,IFERROR(LOOKUP(2,1/('Milho 1ª safra'!$E70:INDEX('Milho 1ª safra'!$E70:$Z70,MIN(S$6-$G$3,22))&lt;&gt;""),'Milho 1ª safra'!$E70:INDEX('Milho 1ª safra'!$E70:$Z70,MIN(S$6-$G$3,22))),0)))))</f>
        <v>0</v>
      </c>
      <c r="T72" s="27" t="n">
        <f aca="false">IF(COUNT('Milho 1ª safra'!$E70:$Z70)=0,0,MAX(0,IF((T$6-$E$3)&lt;1,0,IFERROR(LOOKUP(2,1/('Milho 1ª safra'!$E70:INDEX('Milho 1ª safra'!$E70:$Z70,MIN(T$6-$E$3,22))&lt;&gt;""),'Milho 1ª safra'!$E70:INDEX('Milho 1ª safra'!$E70:$Z70,MIN(T$6-$E$3,22))),0))-IF($G$2,0,IF((T$6-$G$3)&lt;1,0,IFERROR(LOOKUP(2,1/('Milho 1ª safra'!$E70:INDEX('Milho 1ª safra'!$E70:$Z70,MIN(T$6-$G$3,22))&lt;&gt;""),'Milho 1ª safra'!$E70:INDEX('Milho 1ª safra'!$E70:$Z70,MIN(T$6-$G$3,22))),0)))))</f>
        <v>0</v>
      </c>
      <c r="U72" s="27" t="n">
        <f aca="false">IF(COUNT('Milho 1ª safra'!$E70:$Z70)=0,0,MAX(0,IF((U$6-$E$3)&lt;1,0,IFERROR(LOOKUP(2,1/('Milho 1ª safra'!$E70:INDEX('Milho 1ª safra'!$E70:$Z70,MIN(U$6-$E$3,22))&lt;&gt;""),'Milho 1ª safra'!$E70:INDEX('Milho 1ª safra'!$E70:$Z70,MIN(U$6-$E$3,22))),0))-IF($G$2,0,IF((U$6-$G$3)&lt;1,0,IFERROR(LOOKUP(2,1/('Milho 1ª safra'!$E70:INDEX('Milho 1ª safra'!$E70:$Z70,MIN(U$6-$G$3,22))&lt;&gt;""),'Milho 1ª safra'!$E70:INDEX('Milho 1ª safra'!$E70:$Z70,MIN(U$6-$G$3,22))),0)))))</f>
        <v>0</v>
      </c>
      <c r="V72" s="27" t="n">
        <f aca="false">IF(COUNT('Milho 1ª safra'!$E70:$Z70)=0,0,MAX(0,IF((V$6-$E$3)&lt;1,0,IFERROR(LOOKUP(2,1/('Milho 1ª safra'!$E70:INDEX('Milho 1ª safra'!$E70:$Z70,MIN(V$6-$E$3,22))&lt;&gt;""),'Milho 1ª safra'!$E70:INDEX('Milho 1ª safra'!$E70:$Z70,MIN(V$6-$E$3,22))),0))-IF($G$2,0,IF((V$6-$G$3)&lt;1,0,IFERROR(LOOKUP(2,1/('Milho 1ª safra'!$E70:INDEX('Milho 1ª safra'!$E70:$Z70,MIN(V$6-$G$3,22))&lt;&gt;""),'Milho 1ª safra'!$E70:INDEX('Milho 1ª safra'!$E70:$Z70,MIN(V$6-$G$3,22))),0)))))</f>
        <v>0</v>
      </c>
      <c r="W72" s="27" t="n">
        <f aca="false">IF(COUNT('Milho 1ª safra'!$E70:$Z70)=0,0,MAX(0,IF((W$6-$E$3)&lt;1,0,IFERROR(LOOKUP(2,1/('Milho 1ª safra'!$E70:INDEX('Milho 1ª safra'!$E70:$Z70,MIN(W$6-$E$3,22))&lt;&gt;""),'Milho 1ª safra'!$E70:INDEX('Milho 1ª safra'!$E70:$Z70,MIN(W$6-$E$3,22))),0))-IF($G$2,0,IF((W$6-$G$3)&lt;1,0,IFERROR(LOOKUP(2,1/('Milho 1ª safra'!$E70:INDEX('Milho 1ª safra'!$E70:$Z70,MIN(W$6-$G$3,22))&lt;&gt;""),'Milho 1ª safra'!$E70:INDEX('Milho 1ª safra'!$E70:$Z70,MIN(W$6-$G$3,22))),0)))))</f>
        <v>0</v>
      </c>
      <c r="X72" s="27" t="n">
        <f aca="false">IF(COUNT('Milho 1ª safra'!$E70:$Z70)=0,0,MAX(0,IF((X$6-$E$3)&lt;1,0,IFERROR(LOOKUP(2,1/('Milho 1ª safra'!$E70:INDEX('Milho 1ª safra'!$E70:$Z70,MIN(X$6-$E$3,22))&lt;&gt;""),'Milho 1ª safra'!$E70:INDEX('Milho 1ª safra'!$E70:$Z70,MIN(X$6-$E$3,22))),0))-IF($G$2,0,IF((X$6-$G$3)&lt;1,0,IFERROR(LOOKUP(2,1/('Milho 1ª safra'!$E70:INDEX('Milho 1ª safra'!$E70:$Z70,MIN(X$6-$G$3,22))&lt;&gt;""),'Milho 1ª safra'!$E70:INDEX('Milho 1ª safra'!$E70:$Z70,MIN(X$6-$G$3,22))),0)))))</f>
        <v>0</v>
      </c>
      <c r="Y72" s="27" t="n">
        <f aca="false">IF(COUNT('Milho 1ª safra'!$E70:$Z70)=0,0,MAX(0,IF((Y$6-$E$3)&lt;1,0,IFERROR(LOOKUP(2,1/('Milho 1ª safra'!$E70:INDEX('Milho 1ª safra'!$E70:$Z70,MIN(Y$6-$E$3,22))&lt;&gt;""),'Milho 1ª safra'!$E70:INDEX('Milho 1ª safra'!$E70:$Z70,MIN(Y$6-$E$3,22))),0))-IF($G$2,0,IF((Y$6-$G$3)&lt;1,0,IFERROR(LOOKUP(2,1/('Milho 1ª safra'!$E70:INDEX('Milho 1ª safra'!$E70:$Z70,MIN(Y$6-$G$3,22))&lt;&gt;""),'Milho 1ª safra'!$E70:INDEX('Milho 1ª safra'!$E70:$Z70,MIN(Y$6-$G$3,22))),0)))))</f>
        <v>0</v>
      </c>
      <c r="Z72" s="27" t="n">
        <f aca="false">IF(COUNT('Milho 1ª safra'!$E70:$Z70)=0,0,MAX(0,IF((Z$6-$E$3)&lt;1,0,IFERROR(LOOKUP(2,1/('Milho 1ª safra'!$E70:INDEX('Milho 1ª safra'!$E70:$Z70,MIN(Z$6-$E$3,22))&lt;&gt;""),'Milho 1ª safra'!$E70:INDEX('Milho 1ª safra'!$E70:$Z70,MIN(Z$6-$E$3,22))),0))-IF($G$2,0,IF((Z$6-$G$3)&lt;1,0,IFERROR(LOOKUP(2,1/('Milho 1ª safra'!$E70:INDEX('Milho 1ª safra'!$E70:$Z70,MIN(Z$6-$G$3,22))&lt;&gt;""),'Milho 1ª safra'!$E70:INDEX('Milho 1ª safra'!$E70:$Z70,MIN(Z$6-$G$3,22))),0)))))</f>
        <v>0</v>
      </c>
      <c r="AA72" s="27" t="n">
        <f aca="false">IF(COUNT('Milho 1ª safra'!$E70:$Z70)=0,0,MAX(0,IF((AA$6-$E$3)&lt;1,0,IFERROR(LOOKUP(2,1/('Milho 1ª safra'!$E70:INDEX('Milho 1ª safra'!$E70:$Z70,MIN(AA$6-$E$3,22))&lt;&gt;""),'Milho 1ª safra'!$E70:INDEX('Milho 1ª safra'!$E70:$Z70,MIN(AA$6-$E$3,22))),0))-IF($G$2,0,IF((AA$6-$G$3)&lt;1,0,IFERROR(LOOKUP(2,1/('Milho 1ª safra'!$E70:INDEX('Milho 1ª safra'!$E70:$Z70,MIN(AA$6-$G$3,22))&lt;&gt;""),'Milho 1ª safra'!$E70:INDEX('Milho 1ª safra'!$E70:$Z70,MIN(AA$6-$G$3,22))),0)))))</f>
        <v>0</v>
      </c>
      <c r="AB72" s="27" t="n">
        <f aca="false">IF(COUNT('Milho 1ª safra'!$E70:$Z70)=0,0,MAX(0,IF((AB$6-$E$3)&lt;1,0,IFERROR(LOOKUP(2,1/('Milho 1ª safra'!$E70:INDEX('Milho 1ª safra'!$E70:$Z70,MIN(AB$6-$E$3,22))&lt;&gt;""),'Milho 1ª safra'!$E70:INDEX('Milho 1ª safra'!$E70:$Z70,MIN(AB$6-$E$3,22))),0))-IF($G$2,0,IF((AB$6-$G$3)&lt;1,0,IFERROR(LOOKUP(2,1/('Milho 1ª safra'!$E70:INDEX('Milho 1ª safra'!$E70:$Z70,MIN(AB$6-$G$3,22))&lt;&gt;""),'Milho 1ª safra'!$E70:INDEX('Milho 1ª safra'!$E70:$Z70,MIN(AB$6-$G$3,22))),0)))))</f>
        <v>0</v>
      </c>
      <c r="AC72" s="27" t="n">
        <f aca="false">IF(COUNT('Milho 1ª safra'!$E70:$Z70)=0,0,MAX(0,IF((AC$6-$E$3)&lt;1,0,IFERROR(LOOKUP(2,1/('Milho 1ª safra'!$E70:INDEX('Milho 1ª safra'!$E70:$Z70,MIN(AC$6-$E$3,22))&lt;&gt;""),'Milho 1ª safra'!$E70:INDEX('Milho 1ª safra'!$E70:$Z70,MIN(AC$6-$E$3,22))),0))-IF($G$2,0,IF((AC$6-$G$3)&lt;1,0,IFERROR(LOOKUP(2,1/('Milho 1ª safra'!$E70:INDEX('Milho 1ª safra'!$E70:$Z70,MIN(AC$6-$G$3,22))&lt;&gt;""),'Milho 1ª safra'!$E70:INDEX('Milho 1ª safra'!$E70:$Z70,MIN(AC$6-$G$3,22))),0)))))</f>
        <v>0</v>
      </c>
      <c r="AD72" s="27" t="n">
        <f aca="false">IF(COUNT('Milho 1ª safra'!$E70:$Z70)=0,0,MAX(0,IF((AD$6-$E$3)&lt;1,0,IFERROR(LOOKUP(2,1/('Milho 1ª safra'!$E70:INDEX('Milho 1ª safra'!$E70:$Z70,MIN(AD$6-$E$3,22))&lt;&gt;""),'Milho 1ª safra'!$E70:INDEX('Milho 1ª safra'!$E70:$Z70,MIN(AD$6-$E$3,22))),0))-IF($G$2,0,IF((AD$6-$G$3)&lt;1,0,IFERROR(LOOKUP(2,1/('Milho 1ª safra'!$E70:INDEX('Milho 1ª safra'!$E70:$Z70,MIN(AD$6-$G$3,22))&lt;&gt;""),'Milho 1ª safra'!$E70:INDEX('Milho 1ª safra'!$E70:$Z70,MIN(AD$6-$G$3,22))),0)))))</f>
        <v>0</v>
      </c>
      <c r="AE72" s="27" t="n">
        <f aca="false">IF(COUNT('Milho 1ª safra'!$E70:$Z70)=0,0,MAX(0,IF((AE$6-$E$3)&lt;1,0,IFERROR(LOOKUP(2,1/('Milho 1ª safra'!$E70:INDEX('Milho 1ª safra'!$E70:$Z70,MIN(AE$6-$E$3,22))&lt;&gt;""),'Milho 1ª safra'!$E70:INDEX('Milho 1ª safra'!$E70:$Z70,MIN(AE$6-$E$3,22))),0))-IF($G$2,0,IF((AE$6-$G$3)&lt;1,0,IFERROR(LOOKUP(2,1/('Milho 1ª safra'!$E70:INDEX('Milho 1ª safra'!$E70:$Z70,MIN(AE$6-$G$3,22))&lt;&gt;""),'Milho 1ª safra'!$E70:INDEX('Milho 1ª safra'!$E70:$Z70,MIN(AE$6-$G$3,22))),0)))))</f>
        <v>0</v>
      </c>
      <c r="AF72" s="27" t="n">
        <f aca="false">IF(COUNT('Milho 1ª safra'!$E70:$Z70)=0,0,MAX(0,IF((AF$6-$E$3)&lt;1,0,IFERROR(LOOKUP(2,1/('Milho 1ª safra'!$E70:INDEX('Milho 1ª safra'!$E70:$Z70,MIN(AF$6-$E$3,22))&lt;&gt;""),'Milho 1ª safra'!$E70:INDEX('Milho 1ª safra'!$E70:$Z70,MIN(AF$6-$E$3,22))),0))-IF($G$2,0,IF((AF$6-$G$3)&lt;1,0,IFERROR(LOOKUP(2,1/('Milho 1ª safra'!$E70:INDEX('Milho 1ª safra'!$E70:$Z70,MIN(AF$6-$G$3,22))&lt;&gt;""),'Milho 1ª safra'!$E70:INDEX('Milho 1ª safra'!$E70:$Z70,MIN(AF$6-$G$3,22))),0)))))</f>
        <v>0</v>
      </c>
      <c r="AG72" s="27" t="n">
        <f aca="false">IF(COUNT('Milho 1ª safra'!$E70:$Z70)=0,0,MAX(0,IF((AG$6-$E$3)&lt;1,0,IFERROR(LOOKUP(2,1/('Milho 1ª safra'!$E70:INDEX('Milho 1ª safra'!$E70:$Z70,MIN(AG$6-$E$3,22))&lt;&gt;""),'Milho 1ª safra'!$E70:INDEX('Milho 1ª safra'!$E70:$Z70,MIN(AG$6-$E$3,22))),0))-IF($G$2,0,IF((AG$6-$G$3)&lt;1,0,IFERROR(LOOKUP(2,1/('Milho 1ª safra'!$E70:INDEX('Milho 1ª safra'!$E70:$Z70,MIN(AG$6-$G$3,22))&lt;&gt;""),'Milho 1ª safra'!$E70:INDEX('Milho 1ª safra'!$E70:$Z70,MIN(AG$6-$G$3,22))),0)))))</f>
        <v>0</v>
      </c>
      <c r="AH72" s="27" t="n">
        <f aca="false">IF(COUNT('Milho 1ª safra'!$E70:$Z70)=0,0,MAX(0,IF((AH$6-$E$3)&lt;1,0,IFERROR(LOOKUP(2,1/('Milho 1ª safra'!$E70:INDEX('Milho 1ª safra'!$E70:$Z70,MIN(AH$6-$E$3,22))&lt;&gt;""),'Milho 1ª safra'!$E70:INDEX('Milho 1ª safra'!$E70:$Z70,MIN(AH$6-$E$3,22))),0))-IF($G$2,0,IF((AH$6-$G$3)&lt;1,0,IFERROR(LOOKUP(2,1/('Milho 1ª safra'!$E70:INDEX('Milho 1ª safra'!$E70:$Z70,MIN(AH$6-$G$3,22))&lt;&gt;""),'Milho 1ª safra'!$E70:INDEX('Milho 1ª safra'!$E70:$Z70,MIN(AH$6-$G$3,22))),0)))))</f>
        <v>0</v>
      </c>
      <c r="AI72" s="27" t="n">
        <f aca="false">IF(COUNT('Milho 1ª safra'!$E70:$Z70)=0,0,MAX(0,IF((AI$6-$E$3)&lt;1,0,IFERROR(LOOKUP(2,1/('Milho 1ª safra'!$E70:INDEX('Milho 1ª safra'!$E70:$Z70,MIN(AI$6-$E$3,22))&lt;&gt;""),'Milho 1ª safra'!$E70:INDEX('Milho 1ª safra'!$E70:$Z70,MIN(AI$6-$E$3,22))),0))-IF($G$2,0,IF((AI$6-$G$3)&lt;1,0,IFERROR(LOOKUP(2,1/('Milho 1ª safra'!$E70:INDEX('Milho 1ª safra'!$E70:$Z70,MIN(AI$6-$G$3,22))&lt;&gt;""),'Milho 1ª safra'!$E70:INDEX('Milho 1ª safra'!$E70:$Z70,MIN(AI$6-$G$3,22))),0)))))</f>
        <v>0</v>
      </c>
      <c r="AJ72" s="27" t="n">
        <f aca="false">IF(COUNT('Milho 1ª safra'!$E70:$Z70)=0,0,MAX(0,IF((AJ$6-$E$3)&lt;1,0,IFERROR(LOOKUP(2,1/('Milho 1ª safra'!$E70:INDEX('Milho 1ª safra'!$E70:$Z70,MIN(AJ$6-$E$3,22))&lt;&gt;""),'Milho 1ª safra'!$E70:INDEX('Milho 1ª safra'!$E70:$Z70,MIN(AJ$6-$E$3,22))),0))-IF($G$2,0,IF((AJ$6-$G$3)&lt;1,0,IFERROR(LOOKUP(2,1/('Milho 1ª safra'!$E70:INDEX('Milho 1ª safra'!$E70:$Z70,MIN(AJ$6-$G$3,22))&lt;&gt;""),'Milho 1ª safra'!$E70:INDEX('Milho 1ª safra'!$E70:$Z70,MIN(AJ$6-$G$3,22))),0)))))</f>
        <v>0</v>
      </c>
      <c r="AK72" s="27" t="n">
        <f aca="false">IF(COUNT('Milho 1ª safra'!$E70:$Z70)=0,0,MAX(0,IF((AK$6-$E$3)&lt;1,0,IFERROR(LOOKUP(2,1/('Milho 1ª safra'!$E70:INDEX('Milho 1ª safra'!$E70:$Z70,MIN(AK$6-$E$3,22))&lt;&gt;""),'Milho 1ª safra'!$E70:INDEX('Milho 1ª safra'!$E70:$Z70,MIN(AK$6-$E$3,22))),0))-IF($G$2,0,IF((AK$6-$G$3)&lt;1,0,IFERROR(LOOKUP(2,1/('Milho 1ª safra'!$E70:INDEX('Milho 1ª safra'!$E70:$Z70,MIN(AK$6-$G$3,22))&lt;&gt;""),'Milho 1ª safra'!$E70:INDEX('Milho 1ª safra'!$E70:$Z70,MIN(AK$6-$G$3,22))),0)))))</f>
        <v>0</v>
      </c>
      <c r="AL72" s="27" t="n">
        <f aca="false">IF(COUNT('Milho 1ª safra'!$E70:$Z70)=0,0,MAX(0,IF((AL$6-$E$3)&lt;1,0,IFERROR(LOOKUP(2,1/('Milho 1ª safra'!$E70:INDEX('Milho 1ª safra'!$E70:$Z70,MIN(AL$6-$E$3,22))&lt;&gt;""),'Milho 1ª safra'!$E70:INDEX('Milho 1ª safra'!$E70:$Z70,MIN(AL$6-$E$3,22))),0))-IF($G$2,0,IF((AL$6-$G$3)&lt;1,0,IFERROR(LOOKUP(2,1/('Milho 1ª safra'!$E70:INDEX('Milho 1ª safra'!$E70:$Z70,MIN(AL$6-$G$3,22))&lt;&gt;""),'Milho 1ª safra'!$E70:INDEX('Milho 1ª safra'!$E70:$Z70,MIN(AL$6-$G$3,22))),0)))))</f>
        <v>0</v>
      </c>
      <c r="AM72" s="27" t="n">
        <f aca="false">IF(COUNT('Milho 1ª safra'!$E70:$Z70)=0,0,MAX(0,IF((AM$6-$E$3)&lt;1,0,IFERROR(LOOKUP(2,1/('Milho 1ª safra'!$E70:INDEX('Milho 1ª safra'!$E70:$Z70,MIN(AM$6-$E$3,22))&lt;&gt;""),'Milho 1ª safra'!$E70:INDEX('Milho 1ª safra'!$E70:$Z70,MIN(AM$6-$E$3,22))),0))-IF($G$2,0,IF((AM$6-$G$3)&lt;1,0,IFERROR(LOOKUP(2,1/('Milho 1ª safra'!$E70:INDEX('Milho 1ª safra'!$E70:$Z70,MIN(AM$6-$G$3,22))&lt;&gt;""),'Milho 1ª safra'!$E70:INDEX('Milho 1ª safra'!$E70:$Z70,MIN(AM$6-$G$3,22))),0)))))</f>
        <v>0</v>
      </c>
      <c r="AN72" s="27" t="n">
        <f aca="false">IF(COUNT('Milho 1ª safra'!$E70:$Z70)=0,0,MAX(0,IF((AN$6-$E$3)&lt;1,0,IFERROR(LOOKUP(2,1/('Milho 1ª safra'!$E70:INDEX('Milho 1ª safra'!$E70:$Z70,MIN(AN$6-$E$3,22))&lt;&gt;""),'Milho 1ª safra'!$E70:INDEX('Milho 1ª safra'!$E70:$Z70,MIN(AN$6-$E$3,22))),0))-IF($G$2,0,IF((AN$6-$G$3)&lt;1,0,IFERROR(LOOKUP(2,1/('Milho 1ª safra'!$E70:INDEX('Milho 1ª safra'!$E70:$Z70,MIN(AN$6-$G$3,22))&lt;&gt;""),'Milho 1ª safra'!$E70:INDEX('Milho 1ª safra'!$E70:$Z70,MIN(AN$6-$G$3,22))),0)))))</f>
        <v>0</v>
      </c>
      <c r="AO72" s="27" t="n">
        <f aca="false">IF(COUNT('Milho 1ª safra'!$E70:$Z70)=0,0,MAX(0,IF((AO$6-$E$3)&lt;1,0,IFERROR(LOOKUP(2,1/('Milho 1ª safra'!$E70:INDEX('Milho 1ª safra'!$E70:$Z70,MIN(AO$6-$E$3,22))&lt;&gt;""),'Milho 1ª safra'!$E70:INDEX('Milho 1ª safra'!$E70:$Z70,MIN(AO$6-$E$3,22))),0))-IF($G$2,0,IF((AO$6-$G$3)&lt;1,0,IFERROR(LOOKUP(2,1/('Milho 1ª safra'!$E70:INDEX('Milho 1ª safra'!$E70:$Z70,MIN(AO$6-$G$3,22))&lt;&gt;""),'Milho 1ª safra'!$E70:INDEX('Milho 1ª safra'!$E70:$Z70,MIN(AO$6-$G$3,22))),0)))))</f>
        <v>0</v>
      </c>
      <c r="AP72" s="27" t="n">
        <f aca="false">IF(COUNT('Milho 1ª safra'!$E70:$Z70)=0,0,MAX(0,IF((AP$6-$E$3)&lt;1,0,IFERROR(LOOKUP(2,1/('Milho 1ª safra'!$E70:INDEX('Milho 1ª safra'!$E70:$Z70,MIN(AP$6-$E$3,22))&lt;&gt;""),'Milho 1ª safra'!$E70:INDEX('Milho 1ª safra'!$E70:$Z70,MIN(AP$6-$E$3,22))),0))-IF($G$2,0,IF((AP$6-$G$3)&lt;1,0,IFERROR(LOOKUP(2,1/('Milho 1ª safra'!$E70:INDEX('Milho 1ª safra'!$E70:$Z70,MIN(AP$6-$G$3,22))&lt;&gt;""),'Milho 1ª safra'!$E70:INDEX('Milho 1ª safra'!$E70:$Z70,MIN(AP$6-$G$3,22))),0)))))</f>
        <v>0</v>
      </c>
      <c r="AQ72" s="27" t="n">
        <f aca="false">IF(COUNT('Milho 1ª safra'!$E70:$Z70)=0,0,MAX(0,IF((AQ$6-$E$3)&lt;1,0,IFERROR(LOOKUP(2,1/('Milho 1ª safra'!$E70:INDEX('Milho 1ª safra'!$E70:$Z70,MIN(AQ$6-$E$3,22))&lt;&gt;""),'Milho 1ª safra'!$E70:INDEX('Milho 1ª safra'!$E70:$Z70,MIN(AQ$6-$E$3,22))),0))-IF($G$2,0,IF((AQ$6-$G$3)&lt;1,0,IFERROR(LOOKUP(2,1/('Milho 1ª safra'!$E70:INDEX('Milho 1ª safra'!$E70:$Z70,MIN(AQ$6-$G$3,22))&lt;&gt;""),'Milho 1ª safra'!$E70:INDEX('Milho 1ª safra'!$E70:$Z70,MIN(AQ$6-$G$3,22))),0)))))</f>
        <v>0</v>
      </c>
      <c r="AR72" s="27" t="n">
        <f aca="false">IF(COUNT('Milho 1ª safra'!$E70:$Z70)=0,0,MAX(0,IF((AR$6-$E$3)&lt;1,0,IFERROR(LOOKUP(2,1/('Milho 1ª safra'!$E70:INDEX('Milho 1ª safra'!$E70:$Z70,MIN(AR$6-$E$3,22))&lt;&gt;""),'Milho 1ª safra'!$E70:INDEX('Milho 1ª safra'!$E70:$Z70,MIN(AR$6-$E$3,22))),0))-IF($G$2,0,IF((AR$6-$G$3)&lt;1,0,IFERROR(LOOKUP(2,1/('Milho 1ª safra'!$E70:INDEX('Milho 1ª safra'!$E70:$Z70,MIN(AR$6-$G$3,22))&lt;&gt;""),'Milho 1ª safra'!$E70:INDEX('Milho 1ª safra'!$E70:$Z70,MIN(AR$6-$G$3,22))),0)))))</f>
        <v>0</v>
      </c>
      <c r="AS72" s="27" t="n">
        <f aca="false">IF(COUNT('Milho 1ª safra'!$E70:$Z70)=0,0,MAX(0,IF((AS$6-$E$3)&lt;1,0,IFERROR(LOOKUP(2,1/('Milho 1ª safra'!$E70:INDEX('Milho 1ª safra'!$E70:$Z70,MIN(AS$6-$E$3,22))&lt;&gt;""),'Milho 1ª safra'!$E70:INDEX('Milho 1ª safra'!$E70:$Z70,MIN(AS$6-$E$3,22))),0))-IF($G$2,0,IF((AS$6-$G$3)&lt;1,0,IFERROR(LOOKUP(2,1/('Milho 1ª safra'!$E70:INDEX('Milho 1ª safra'!$E70:$Z70,MIN(AS$6-$G$3,22))&lt;&gt;""),'Milho 1ª safra'!$E70:INDEX('Milho 1ª safra'!$E70:$Z70,MIN(AS$6-$G$3,22))),0)))))</f>
        <v>0</v>
      </c>
      <c r="AT72" s="27" t="n">
        <f aca="false">IF(COUNT('Milho 1ª safra'!$E70:$Z70)=0,0,MAX(0,IF((AT$6-$E$3)&lt;1,0,IFERROR(LOOKUP(2,1/('Milho 1ª safra'!$E70:INDEX('Milho 1ª safra'!$E70:$Z70,MIN(AT$6-$E$3,22))&lt;&gt;""),'Milho 1ª safra'!$E70:INDEX('Milho 1ª safra'!$E70:$Z70,MIN(AT$6-$E$3,22))),0))-IF($G$2,0,IF((AT$6-$G$3)&lt;1,0,IFERROR(LOOKUP(2,1/('Milho 1ª safra'!$E70:INDEX('Milho 1ª safra'!$E70:$Z70,MIN(AT$6-$G$3,22))&lt;&gt;""),'Milho 1ª safra'!$E70:INDEX('Milho 1ª safra'!$E70:$Z70,MIN(AT$6-$G$3,22))),0)))))</f>
        <v>0</v>
      </c>
      <c r="AU72" s="27" t="n">
        <f aca="false">IF(COUNT('Milho 1ª safra'!$E70:$Z70)=0,0,MAX(0,IF((AU$6-$E$3)&lt;1,0,IFERROR(LOOKUP(2,1/('Milho 1ª safra'!$E70:INDEX('Milho 1ª safra'!$E70:$Z70,MIN(AU$6-$E$3,22))&lt;&gt;""),'Milho 1ª safra'!$E70:INDEX('Milho 1ª safra'!$E70:$Z70,MIN(AU$6-$E$3,22))),0))-IF($G$2,0,IF((AU$6-$G$3)&lt;1,0,IFERROR(LOOKUP(2,1/('Milho 1ª safra'!$E70:INDEX('Milho 1ª safra'!$E70:$Z70,MIN(AU$6-$G$3,22))&lt;&gt;""),'Milho 1ª safra'!$E70:INDEX('Milho 1ª safra'!$E70:$Z70,MIN(AU$6-$G$3,22))),0)))))</f>
        <v>0</v>
      </c>
      <c r="AV72" s="27" t="n">
        <f aca="false">IF(COUNT('Milho 1ª safra'!$E70:$Z70)=0,0,MAX(0,IF((AV$6-$E$3)&lt;1,0,IFERROR(LOOKUP(2,1/('Milho 1ª safra'!$E70:INDEX('Milho 1ª safra'!$E70:$Z70,MIN(AV$6-$E$3,22))&lt;&gt;""),'Milho 1ª safra'!$E70:INDEX('Milho 1ª safra'!$E70:$Z70,MIN(AV$6-$E$3,22))),0))-IF($G$2,0,IF((AV$6-$G$3)&lt;1,0,IFERROR(LOOKUP(2,1/('Milho 1ª safra'!$E70:INDEX('Milho 1ª safra'!$E70:$Z70,MIN(AV$6-$G$3,22))&lt;&gt;""),'Milho 1ª safra'!$E70:INDEX('Milho 1ª safra'!$E70:$Z70,MIN(AV$6-$G$3,22))),0)))))</f>
        <v>0</v>
      </c>
      <c r="AW72" s="27" t="n">
        <f aca="false">IF(COUNT('Milho 1ª safra'!$E70:$Z70)=0,0,MAX(0,IF((AW$6-$E$3)&lt;1,0,IFERROR(LOOKUP(2,1/('Milho 1ª safra'!$E70:INDEX('Milho 1ª safra'!$E70:$Z70,MIN(AW$6-$E$3,22))&lt;&gt;""),'Milho 1ª safra'!$E70:INDEX('Milho 1ª safra'!$E70:$Z70,MIN(AW$6-$E$3,22))),0))-IF($G$2,0,IF((AW$6-$G$3)&lt;1,0,IFERROR(LOOKUP(2,1/('Milho 1ª safra'!$E70:INDEX('Milho 1ª safra'!$E70:$Z70,MIN(AW$6-$G$3,22))&lt;&gt;""),'Milho 1ª safra'!$E70:INDEX('Milho 1ª safra'!$E70:$Z70,MIN(AW$6-$G$3,22))),0)))))</f>
        <v>0</v>
      </c>
      <c r="AX72" s="27" t="n">
        <f aca="false">IF(COUNT('Milho 1ª safra'!$E70:$Z70)=0,0,MAX(0,IF((AX$6-$E$3)&lt;1,0,IFERROR(LOOKUP(2,1/('Milho 1ª safra'!$E70:INDEX('Milho 1ª safra'!$E70:$Z70,MIN(AX$6-$E$3,22))&lt;&gt;""),'Milho 1ª safra'!$E70:INDEX('Milho 1ª safra'!$E70:$Z70,MIN(AX$6-$E$3,22))),0))-IF($G$2,0,IF((AX$6-$G$3)&lt;1,0,IFERROR(LOOKUP(2,1/('Milho 1ª safra'!$E70:INDEX('Milho 1ª safra'!$E70:$Z70,MIN(AX$6-$G$3,22))&lt;&gt;""),'Milho 1ª safra'!$E70:INDEX('Milho 1ª safra'!$E70:$Z70,MIN(AX$6-$G$3,22))),0)))))</f>
        <v>0</v>
      </c>
      <c r="AY72" s="27" t="n">
        <f aca="false">IF(COUNT('Milho 1ª safra'!$E70:$Z70)=0,0,MAX(0,IF((AY$6-$E$3)&lt;1,0,IFERROR(LOOKUP(2,1/('Milho 1ª safra'!$E70:INDEX('Milho 1ª safra'!$E70:$Z70,MIN(AY$6-$E$3,22))&lt;&gt;""),'Milho 1ª safra'!$E70:INDEX('Milho 1ª safra'!$E70:$Z70,MIN(AY$6-$E$3,22))),0))-IF($G$2,0,IF((AY$6-$G$3)&lt;1,0,IFERROR(LOOKUP(2,1/('Milho 1ª safra'!$E70:INDEX('Milho 1ª safra'!$E70:$Z70,MIN(AY$6-$G$3,22))&lt;&gt;""),'Milho 1ª safra'!$E70:INDEX('Milho 1ª safra'!$E70:$Z70,MIN(AY$6-$G$3,22))),0)))))</f>
        <v>0</v>
      </c>
      <c r="AZ72" s="27" t="n">
        <f aca="false">IF(COUNT('Milho 1ª safra'!$E70:$Z70)=0,0,MAX(0,IF((AZ$6-$E$3)&lt;1,0,IFERROR(LOOKUP(2,1/('Milho 1ª safra'!$E70:INDEX('Milho 1ª safra'!$E70:$Z70,MIN(AZ$6-$E$3,22))&lt;&gt;""),'Milho 1ª safra'!$E70:INDEX('Milho 1ª safra'!$E70:$Z70,MIN(AZ$6-$E$3,22))),0))-IF($G$2,0,IF((AZ$6-$G$3)&lt;1,0,IFERROR(LOOKUP(2,1/('Milho 1ª safra'!$E70:INDEX('Milho 1ª safra'!$E70:$Z70,MIN(AZ$6-$G$3,22))&lt;&gt;""),'Milho 1ª safra'!$E70:INDEX('Milho 1ª safra'!$E70:$Z70,MIN(AZ$6-$G$3,22))),0)))))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IF(COUNT('Milho 1ª safra'!$E71:$Z71)&gt;0,N('Milho 1ª safra'!$D71),0)</f>
        <v>0</v>
      </c>
      <c r="E73" s="27" t="n">
        <f aca="false">IF(COUNT('Milho 1ª safra'!$E71:$Z71)=0,0,MAX(0,IF((E$6-$E$3)&lt;1,0,IFERROR(LOOKUP(2,1/('Milho 1ª safra'!$E71:INDEX('Milho 1ª safra'!$E71:$Z71,MIN(E$6-$E$3,22))&lt;&gt;""),'Milho 1ª safra'!$E71:INDEX('Milho 1ª safra'!$E71:$Z71,MIN(E$6-$E$3,22))),0))-IF($G$2,0,IF((E$6-$G$3)&lt;1,0,IFERROR(LOOKUP(2,1/('Milho 1ª safra'!$E71:INDEX('Milho 1ª safra'!$E71:$Z71,MIN(E$6-$G$3,22))&lt;&gt;""),'Milho 1ª safra'!$E71:INDEX('Milho 1ª safra'!$E71:$Z71,MIN(E$6-$G$3,22))),0)))))</f>
        <v>0</v>
      </c>
      <c r="F73" s="27" t="n">
        <f aca="false">IF(COUNT('Milho 1ª safra'!$E71:$Z71)=0,0,MAX(0,IF((F$6-$E$3)&lt;1,0,IFERROR(LOOKUP(2,1/('Milho 1ª safra'!$E71:INDEX('Milho 1ª safra'!$E71:$Z71,MIN(F$6-$E$3,22))&lt;&gt;""),'Milho 1ª safra'!$E71:INDEX('Milho 1ª safra'!$E71:$Z71,MIN(F$6-$E$3,22))),0))-IF($G$2,0,IF((F$6-$G$3)&lt;1,0,IFERROR(LOOKUP(2,1/('Milho 1ª safra'!$E71:INDEX('Milho 1ª safra'!$E71:$Z71,MIN(F$6-$G$3,22))&lt;&gt;""),'Milho 1ª safra'!$E71:INDEX('Milho 1ª safra'!$E71:$Z71,MIN(F$6-$G$3,22))),0)))))</f>
        <v>0</v>
      </c>
      <c r="G73" s="27" t="n">
        <f aca="false">IF(COUNT('Milho 1ª safra'!$E71:$Z71)=0,0,MAX(0,IF((G$6-$E$3)&lt;1,0,IFERROR(LOOKUP(2,1/('Milho 1ª safra'!$E71:INDEX('Milho 1ª safra'!$E71:$Z71,MIN(G$6-$E$3,22))&lt;&gt;""),'Milho 1ª safra'!$E71:INDEX('Milho 1ª safra'!$E71:$Z71,MIN(G$6-$E$3,22))),0))-IF($G$2,0,IF((G$6-$G$3)&lt;1,0,IFERROR(LOOKUP(2,1/('Milho 1ª safra'!$E71:INDEX('Milho 1ª safra'!$E71:$Z71,MIN(G$6-$G$3,22))&lt;&gt;""),'Milho 1ª safra'!$E71:INDEX('Milho 1ª safra'!$E71:$Z71,MIN(G$6-$G$3,22))),0)))))</f>
        <v>0</v>
      </c>
      <c r="H73" s="27" t="n">
        <f aca="false">IF(COUNT('Milho 1ª safra'!$E71:$Z71)=0,0,MAX(0,IF((H$6-$E$3)&lt;1,0,IFERROR(LOOKUP(2,1/('Milho 1ª safra'!$E71:INDEX('Milho 1ª safra'!$E71:$Z71,MIN(H$6-$E$3,22))&lt;&gt;""),'Milho 1ª safra'!$E71:INDEX('Milho 1ª safra'!$E71:$Z71,MIN(H$6-$E$3,22))),0))-IF($G$2,0,IF((H$6-$G$3)&lt;1,0,IFERROR(LOOKUP(2,1/('Milho 1ª safra'!$E71:INDEX('Milho 1ª safra'!$E71:$Z71,MIN(H$6-$G$3,22))&lt;&gt;""),'Milho 1ª safra'!$E71:INDEX('Milho 1ª safra'!$E71:$Z71,MIN(H$6-$G$3,22))),0)))))</f>
        <v>0</v>
      </c>
      <c r="I73" s="27" t="n">
        <f aca="false">IF(COUNT('Milho 1ª safra'!$E71:$Z71)=0,0,MAX(0,IF((I$6-$E$3)&lt;1,0,IFERROR(LOOKUP(2,1/('Milho 1ª safra'!$E71:INDEX('Milho 1ª safra'!$E71:$Z71,MIN(I$6-$E$3,22))&lt;&gt;""),'Milho 1ª safra'!$E71:INDEX('Milho 1ª safra'!$E71:$Z71,MIN(I$6-$E$3,22))),0))-IF($G$2,0,IF((I$6-$G$3)&lt;1,0,IFERROR(LOOKUP(2,1/('Milho 1ª safra'!$E71:INDEX('Milho 1ª safra'!$E71:$Z71,MIN(I$6-$G$3,22))&lt;&gt;""),'Milho 1ª safra'!$E71:INDEX('Milho 1ª safra'!$E71:$Z71,MIN(I$6-$G$3,22))),0)))))</f>
        <v>0</v>
      </c>
      <c r="J73" s="27" t="n">
        <f aca="false">IF(COUNT('Milho 1ª safra'!$E71:$Z71)=0,0,MAX(0,IF((J$6-$E$3)&lt;1,0,IFERROR(LOOKUP(2,1/('Milho 1ª safra'!$E71:INDEX('Milho 1ª safra'!$E71:$Z71,MIN(J$6-$E$3,22))&lt;&gt;""),'Milho 1ª safra'!$E71:INDEX('Milho 1ª safra'!$E71:$Z71,MIN(J$6-$E$3,22))),0))-IF($G$2,0,IF((J$6-$G$3)&lt;1,0,IFERROR(LOOKUP(2,1/('Milho 1ª safra'!$E71:INDEX('Milho 1ª safra'!$E71:$Z71,MIN(J$6-$G$3,22))&lt;&gt;""),'Milho 1ª safra'!$E71:INDEX('Milho 1ª safra'!$E71:$Z71,MIN(J$6-$G$3,22))),0)))))</f>
        <v>0</v>
      </c>
      <c r="K73" s="27" t="n">
        <f aca="false">IF(COUNT('Milho 1ª safra'!$E71:$Z71)=0,0,MAX(0,IF((K$6-$E$3)&lt;1,0,IFERROR(LOOKUP(2,1/('Milho 1ª safra'!$E71:INDEX('Milho 1ª safra'!$E71:$Z71,MIN(K$6-$E$3,22))&lt;&gt;""),'Milho 1ª safra'!$E71:INDEX('Milho 1ª safra'!$E71:$Z71,MIN(K$6-$E$3,22))),0))-IF($G$2,0,IF((K$6-$G$3)&lt;1,0,IFERROR(LOOKUP(2,1/('Milho 1ª safra'!$E71:INDEX('Milho 1ª safra'!$E71:$Z71,MIN(K$6-$G$3,22))&lt;&gt;""),'Milho 1ª safra'!$E71:INDEX('Milho 1ª safra'!$E71:$Z71,MIN(K$6-$G$3,22))),0)))))</f>
        <v>0</v>
      </c>
      <c r="L73" s="27" t="n">
        <f aca="false">IF(COUNT('Milho 1ª safra'!$E71:$Z71)=0,0,MAX(0,IF((L$6-$E$3)&lt;1,0,IFERROR(LOOKUP(2,1/('Milho 1ª safra'!$E71:INDEX('Milho 1ª safra'!$E71:$Z71,MIN(L$6-$E$3,22))&lt;&gt;""),'Milho 1ª safra'!$E71:INDEX('Milho 1ª safra'!$E71:$Z71,MIN(L$6-$E$3,22))),0))-IF($G$2,0,IF((L$6-$G$3)&lt;1,0,IFERROR(LOOKUP(2,1/('Milho 1ª safra'!$E71:INDEX('Milho 1ª safra'!$E71:$Z71,MIN(L$6-$G$3,22))&lt;&gt;""),'Milho 1ª safra'!$E71:INDEX('Milho 1ª safra'!$E71:$Z71,MIN(L$6-$G$3,22))),0)))))</f>
        <v>0</v>
      </c>
      <c r="M73" s="27" t="n">
        <f aca="false">IF(COUNT('Milho 1ª safra'!$E71:$Z71)=0,0,MAX(0,IF((M$6-$E$3)&lt;1,0,IFERROR(LOOKUP(2,1/('Milho 1ª safra'!$E71:INDEX('Milho 1ª safra'!$E71:$Z71,MIN(M$6-$E$3,22))&lt;&gt;""),'Milho 1ª safra'!$E71:INDEX('Milho 1ª safra'!$E71:$Z71,MIN(M$6-$E$3,22))),0))-IF($G$2,0,IF((M$6-$G$3)&lt;1,0,IFERROR(LOOKUP(2,1/('Milho 1ª safra'!$E71:INDEX('Milho 1ª safra'!$E71:$Z71,MIN(M$6-$G$3,22))&lt;&gt;""),'Milho 1ª safra'!$E71:INDEX('Milho 1ª safra'!$E71:$Z71,MIN(M$6-$G$3,22))),0)))))</f>
        <v>0</v>
      </c>
      <c r="N73" s="27" t="n">
        <f aca="false">IF(COUNT('Milho 1ª safra'!$E71:$Z71)=0,0,MAX(0,IF((N$6-$E$3)&lt;1,0,IFERROR(LOOKUP(2,1/('Milho 1ª safra'!$E71:INDEX('Milho 1ª safra'!$E71:$Z71,MIN(N$6-$E$3,22))&lt;&gt;""),'Milho 1ª safra'!$E71:INDEX('Milho 1ª safra'!$E71:$Z71,MIN(N$6-$E$3,22))),0))-IF($G$2,0,IF((N$6-$G$3)&lt;1,0,IFERROR(LOOKUP(2,1/('Milho 1ª safra'!$E71:INDEX('Milho 1ª safra'!$E71:$Z71,MIN(N$6-$G$3,22))&lt;&gt;""),'Milho 1ª safra'!$E71:INDEX('Milho 1ª safra'!$E71:$Z71,MIN(N$6-$G$3,22))),0)))))</f>
        <v>0</v>
      </c>
      <c r="O73" s="27" t="n">
        <f aca="false">IF(COUNT('Milho 1ª safra'!$E71:$Z71)=0,0,MAX(0,IF((O$6-$E$3)&lt;1,0,IFERROR(LOOKUP(2,1/('Milho 1ª safra'!$E71:INDEX('Milho 1ª safra'!$E71:$Z71,MIN(O$6-$E$3,22))&lt;&gt;""),'Milho 1ª safra'!$E71:INDEX('Milho 1ª safra'!$E71:$Z71,MIN(O$6-$E$3,22))),0))-IF($G$2,0,IF((O$6-$G$3)&lt;1,0,IFERROR(LOOKUP(2,1/('Milho 1ª safra'!$E71:INDEX('Milho 1ª safra'!$E71:$Z71,MIN(O$6-$G$3,22))&lt;&gt;""),'Milho 1ª safra'!$E71:INDEX('Milho 1ª safra'!$E71:$Z71,MIN(O$6-$G$3,22))),0)))))</f>
        <v>0</v>
      </c>
      <c r="P73" s="27" t="n">
        <f aca="false">IF(COUNT('Milho 1ª safra'!$E71:$Z71)=0,0,MAX(0,IF((P$6-$E$3)&lt;1,0,IFERROR(LOOKUP(2,1/('Milho 1ª safra'!$E71:INDEX('Milho 1ª safra'!$E71:$Z71,MIN(P$6-$E$3,22))&lt;&gt;""),'Milho 1ª safra'!$E71:INDEX('Milho 1ª safra'!$E71:$Z71,MIN(P$6-$E$3,22))),0))-IF($G$2,0,IF((P$6-$G$3)&lt;1,0,IFERROR(LOOKUP(2,1/('Milho 1ª safra'!$E71:INDEX('Milho 1ª safra'!$E71:$Z71,MIN(P$6-$G$3,22))&lt;&gt;""),'Milho 1ª safra'!$E71:INDEX('Milho 1ª safra'!$E71:$Z71,MIN(P$6-$G$3,22))),0)))))</f>
        <v>0</v>
      </c>
      <c r="Q73" s="27" t="n">
        <f aca="false">IF(COUNT('Milho 1ª safra'!$E71:$Z71)=0,0,MAX(0,IF((Q$6-$E$3)&lt;1,0,IFERROR(LOOKUP(2,1/('Milho 1ª safra'!$E71:INDEX('Milho 1ª safra'!$E71:$Z71,MIN(Q$6-$E$3,22))&lt;&gt;""),'Milho 1ª safra'!$E71:INDEX('Milho 1ª safra'!$E71:$Z71,MIN(Q$6-$E$3,22))),0))-IF($G$2,0,IF((Q$6-$G$3)&lt;1,0,IFERROR(LOOKUP(2,1/('Milho 1ª safra'!$E71:INDEX('Milho 1ª safra'!$E71:$Z71,MIN(Q$6-$G$3,22))&lt;&gt;""),'Milho 1ª safra'!$E71:INDEX('Milho 1ª safra'!$E71:$Z71,MIN(Q$6-$G$3,22))),0)))))</f>
        <v>0</v>
      </c>
      <c r="R73" s="27" t="n">
        <f aca="false">IF(COUNT('Milho 1ª safra'!$E71:$Z71)=0,0,MAX(0,IF((R$6-$E$3)&lt;1,0,IFERROR(LOOKUP(2,1/('Milho 1ª safra'!$E71:INDEX('Milho 1ª safra'!$E71:$Z71,MIN(R$6-$E$3,22))&lt;&gt;""),'Milho 1ª safra'!$E71:INDEX('Milho 1ª safra'!$E71:$Z71,MIN(R$6-$E$3,22))),0))-IF($G$2,0,IF((R$6-$G$3)&lt;1,0,IFERROR(LOOKUP(2,1/('Milho 1ª safra'!$E71:INDEX('Milho 1ª safra'!$E71:$Z71,MIN(R$6-$G$3,22))&lt;&gt;""),'Milho 1ª safra'!$E71:INDEX('Milho 1ª safra'!$E71:$Z71,MIN(R$6-$G$3,22))),0)))))</f>
        <v>0</v>
      </c>
      <c r="S73" s="27" t="n">
        <f aca="false">IF(COUNT('Milho 1ª safra'!$E71:$Z71)=0,0,MAX(0,IF((S$6-$E$3)&lt;1,0,IFERROR(LOOKUP(2,1/('Milho 1ª safra'!$E71:INDEX('Milho 1ª safra'!$E71:$Z71,MIN(S$6-$E$3,22))&lt;&gt;""),'Milho 1ª safra'!$E71:INDEX('Milho 1ª safra'!$E71:$Z71,MIN(S$6-$E$3,22))),0))-IF($G$2,0,IF((S$6-$G$3)&lt;1,0,IFERROR(LOOKUP(2,1/('Milho 1ª safra'!$E71:INDEX('Milho 1ª safra'!$E71:$Z71,MIN(S$6-$G$3,22))&lt;&gt;""),'Milho 1ª safra'!$E71:INDEX('Milho 1ª safra'!$E71:$Z71,MIN(S$6-$G$3,22))),0)))))</f>
        <v>0</v>
      </c>
      <c r="T73" s="27" t="n">
        <f aca="false">IF(COUNT('Milho 1ª safra'!$E71:$Z71)=0,0,MAX(0,IF((T$6-$E$3)&lt;1,0,IFERROR(LOOKUP(2,1/('Milho 1ª safra'!$E71:INDEX('Milho 1ª safra'!$E71:$Z71,MIN(T$6-$E$3,22))&lt;&gt;""),'Milho 1ª safra'!$E71:INDEX('Milho 1ª safra'!$E71:$Z71,MIN(T$6-$E$3,22))),0))-IF($G$2,0,IF((T$6-$G$3)&lt;1,0,IFERROR(LOOKUP(2,1/('Milho 1ª safra'!$E71:INDEX('Milho 1ª safra'!$E71:$Z71,MIN(T$6-$G$3,22))&lt;&gt;""),'Milho 1ª safra'!$E71:INDEX('Milho 1ª safra'!$E71:$Z71,MIN(T$6-$G$3,22))),0)))))</f>
        <v>0</v>
      </c>
      <c r="U73" s="27" t="n">
        <f aca="false">IF(COUNT('Milho 1ª safra'!$E71:$Z71)=0,0,MAX(0,IF((U$6-$E$3)&lt;1,0,IFERROR(LOOKUP(2,1/('Milho 1ª safra'!$E71:INDEX('Milho 1ª safra'!$E71:$Z71,MIN(U$6-$E$3,22))&lt;&gt;""),'Milho 1ª safra'!$E71:INDEX('Milho 1ª safra'!$E71:$Z71,MIN(U$6-$E$3,22))),0))-IF($G$2,0,IF((U$6-$G$3)&lt;1,0,IFERROR(LOOKUP(2,1/('Milho 1ª safra'!$E71:INDEX('Milho 1ª safra'!$E71:$Z71,MIN(U$6-$G$3,22))&lt;&gt;""),'Milho 1ª safra'!$E71:INDEX('Milho 1ª safra'!$E71:$Z71,MIN(U$6-$G$3,22))),0)))))</f>
        <v>0</v>
      </c>
      <c r="V73" s="27" t="n">
        <f aca="false">IF(COUNT('Milho 1ª safra'!$E71:$Z71)=0,0,MAX(0,IF((V$6-$E$3)&lt;1,0,IFERROR(LOOKUP(2,1/('Milho 1ª safra'!$E71:INDEX('Milho 1ª safra'!$E71:$Z71,MIN(V$6-$E$3,22))&lt;&gt;""),'Milho 1ª safra'!$E71:INDEX('Milho 1ª safra'!$E71:$Z71,MIN(V$6-$E$3,22))),0))-IF($G$2,0,IF((V$6-$G$3)&lt;1,0,IFERROR(LOOKUP(2,1/('Milho 1ª safra'!$E71:INDEX('Milho 1ª safra'!$E71:$Z71,MIN(V$6-$G$3,22))&lt;&gt;""),'Milho 1ª safra'!$E71:INDEX('Milho 1ª safra'!$E71:$Z71,MIN(V$6-$G$3,22))),0)))))</f>
        <v>0</v>
      </c>
      <c r="W73" s="27" t="n">
        <f aca="false">IF(COUNT('Milho 1ª safra'!$E71:$Z71)=0,0,MAX(0,IF((W$6-$E$3)&lt;1,0,IFERROR(LOOKUP(2,1/('Milho 1ª safra'!$E71:INDEX('Milho 1ª safra'!$E71:$Z71,MIN(W$6-$E$3,22))&lt;&gt;""),'Milho 1ª safra'!$E71:INDEX('Milho 1ª safra'!$E71:$Z71,MIN(W$6-$E$3,22))),0))-IF($G$2,0,IF((W$6-$G$3)&lt;1,0,IFERROR(LOOKUP(2,1/('Milho 1ª safra'!$E71:INDEX('Milho 1ª safra'!$E71:$Z71,MIN(W$6-$G$3,22))&lt;&gt;""),'Milho 1ª safra'!$E71:INDEX('Milho 1ª safra'!$E71:$Z71,MIN(W$6-$G$3,22))),0)))))</f>
        <v>0</v>
      </c>
      <c r="X73" s="27" t="n">
        <f aca="false">IF(COUNT('Milho 1ª safra'!$E71:$Z71)=0,0,MAX(0,IF((X$6-$E$3)&lt;1,0,IFERROR(LOOKUP(2,1/('Milho 1ª safra'!$E71:INDEX('Milho 1ª safra'!$E71:$Z71,MIN(X$6-$E$3,22))&lt;&gt;""),'Milho 1ª safra'!$E71:INDEX('Milho 1ª safra'!$E71:$Z71,MIN(X$6-$E$3,22))),0))-IF($G$2,0,IF((X$6-$G$3)&lt;1,0,IFERROR(LOOKUP(2,1/('Milho 1ª safra'!$E71:INDEX('Milho 1ª safra'!$E71:$Z71,MIN(X$6-$G$3,22))&lt;&gt;""),'Milho 1ª safra'!$E71:INDEX('Milho 1ª safra'!$E71:$Z71,MIN(X$6-$G$3,22))),0)))))</f>
        <v>0</v>
      </c>
      <c r="Y73" s="27" t="n">
        <f aca="false">IF(COUNT('Milho 1ª safra'!$E71:$Z71)=0,0,MAX(0,IF((Y$6-$E$3)&lt;1,0,IFERROR(LOOKUP(2,1/('Milho 1ª safra'!$E71:INDEX('Milho 1ª safra'!$E71:$Z71,MIN(Y$6-$E$3,22))&lt;&gt;""),'Milho 1ª safra'!$E71:INDEX('Milho 1ª safra'!$E71:$Z71,MIN(Y$6-$E$3,22))),0))-IF($G$2,0,IF((Y$6-$G$3)&lt;1,0,IFERROR(LOOKUP(2,1/('Milho 1ª safra'!$E71:INDEX('Milho 1ª safra'!$E71:$Z71,MIN(Y$6-$G$3,22))&lt;&gt;""),'Milho 1ª safra'!$E71:INDEX('Milho 1ª safra'!$E71:$Z71,MIN(Y$6-$G$3,22))),0)))))</f>
        <v>0</v>
      </c>
      <c r="Z73" s="27" t="n">
        <f aca="false">IF(COUNT('Milho 1ª safra'!$E71:$Z71)=0,0,MAX(0,IF((Z$6-$E$3)&lt;1,0,IFERROR(LOOKUP(2,1/('Milho 1ª safra'!$E71:INDEX('Milho 1ª safra'!$E71:$Z71,MIN(Z$6-$E$3,22))&lt;&gt;""),'Milho 1ª safra'!$E71:INDEX('Milho 1ª safra'!$E71:$Z71,MIN(Z$6-$E$3,22))),0))-IF($G$2,0,IF((Z$6-$G$3)&lt;1,0,IFERROR(LOOKUP(2,1/('Milho 1ª safra'!$E71:INDEX('Milho 1ª safra'!$E71:$Z71,MIN(Z$6-$G$3,22))&lt;&gt;""),'Milho 1ª safra'!$E71:INDEX('Milho 1ª safra'!$E71:$Z71,MIN(Z$6-$G$3,22))),0)))))</f>
        <v>0</v>
      </c>
      <c r="AA73" s="27" t="n">
        <f aca="false">IF(COUNT('Milho 1ª safra'!$E71:$Z71)=0,0,MAX(0,IF((AA$6-$E$3)&lt;1,0,IFERROR(LOOKUP(2,1/('Milho 1ª safra'!$E71:INDEX('Milho 1ª safra'!$E71:$Z71,MIN(AA$6-$E$3,22))&lt;&gt;""),'Milho 1ª safra'!$E71:INDEX('Milho 1ª safra'!$E71:$Z71,MIN(AA$6-$E$3,22))),0))-IF($G$2,0,IF((AA$6-$G$3)&lt;1,0,IFERROR(LOOKUP(2,1/('Milho 1ª safra'!$E71:INDEX('Milho 1ª safra'!$E71:$Z71,MIN(AA$6-$G$3,22))&lt;&gt;""),'Milho 1ª safra'!$E71:INDEX('Milho 1ª safra'!$E71:$Z71,MIN(AA$6-$G$3,22))),0)))))</f>
        <v>0</v>
      </c>
      <c r="AB73" s="27" t="n">
        <f aca="false">IF(COUNT('Milho 1ª safra'!$E71:$Z71)=0,0,MAX(0,IF((AB$6-$E$3)&lt;1,0,IFERROR(LOOKUP(2,1/('Milho 1ª safra'!$E71:INDEX('Milho 1ª safra'!$E71:$Z71,MIN(AB$6-$E$3,22))&lt;&gt;""),'Milho 1ª safra'!$E71:INDEX('Milho 1ª safra'!$E71:$Z71,MIN(AB$6-$E$3,22))),0))-IF($G$2,0,IF((AB$6-$G$3)&lt;1,0,IFERROR(LOOKUP(2,1/('Milho 1ª safra'!$E71:INDEX('Milho 1ª safra'!$E71:$Z71,MIN(AB$6-$G$3,22))&lt;&gt;""),'Milho 1ª safra'!$E71:INDEX('Milho 1ª safra'!$E71:$Z71,MIN(AB$6-$G$3,22))),0)))))</f>
        <v>0</v>
      </c>
      <c r="AC73" s="27" t="n">
        <f aca="false">IF(COUNT('Milho 1ª safra'!$E71:$Z71)=0,0,MAX(0,IF((AC$6-$E$3)&lt;1,0,IFERROR(LOOKUP(2,1/('Milho 1ª safra'!$E71:INDEX('Milho 1ª safra'!$E71:$Z71,MIN(AC$6-$E$3,22))&lt;&gt;""),'Milho 1ª safra'!$E71:INDEX('Milho 1ª safra'!$E71:$Z71,MIN(AC$6-$E$3,22))),0))-IF($G$2,0,IF((AC$6-$G$3)&lt;1,0,IFERROR(LOOKUP(2,1/('Milho 1ª safra'!$E71:INDEX('Milho 1ª safra'!$E71:$Z71,MIN(AC$6-$G$3,22))&lt;&gt;""),'Milho 1ª safra'!$E71:INDEX('Milho 1ª safra'!$E71:$Z71,MIN(AC$6-$G$3,22))),0)))))</f>
        <v>0</v>
      </c>
      <c r="AD73" s="27" t="n">
        <f aca="false">IF(COUNT('Milho 1ª safra'!$E71:$Z71)=0,0,MAX(0,IF((AD$6-$E$3)&lt;1,0,IFERROR(LOOKUP(2,1/('Milho 1ª safra'!$E71:INDEX('Milho 1ª safra'!$E71:$Z71,MIN(AD$6-$E$3,22))&lt;&gt;""),'Milho 1ª safra'!$E71:INDEX('Milho 1ª safra'!$E71:$Z71,MIN(AD$6-$E$3,22))),0))-IF($G$2,0,IF((AD$6-$G$3)&lt;1,0,IFERROR(LOOKUP(2,1/('Milho 1ª safra'!$E71:INDEX('Milho 1ª safra'!$E71:$Z71,MIN(AD$6-$G$3,22))&lt;&gt;""),'Milho 1ª safra'!$E71:INDEX('Milho 1ª safra'!$E71:$Z71,MIN(AD$6-$G$3,22))),0)))))</f>
        <v>0</v>
      </c>
      <c r="AE73" s="27" t="n">
        <f aca="false">IF(COUNT('Milho 1ª safra'!$E71:$Z71)=0,0,MAX(0,IF((AE$6-$E$3)&lt;1,0,IFERROR(LOOKUP(2,1/('Milho 1ª safra'!$E71:INDEX('Milho 1ª safra'!$E71:$Z71,MIN(AE$6-$E$3,22))&lt;&gt;""),'Milho 1ª safra'!$E71:INDEX('Milho 1ª safra'!$E71:$Z71,MIN(AE$6-$E$3,22))),0))-IF($G$2,0,IF((AE$6-$G$3)&lt;1,0,IFERROR(LOOKUP(2,1/('Milho 1ª safra'!$E71:INDEX('Milho 1ª safra'!$E71:$Z71,MIN(AE$6-$G$3,22))&lt;&gt;""),'Milho 1ª safra'!$E71:INDEX('Milho 1ª safra'!$E71:$Z71,MIN(AE$6-$G$3,22))),0)))))</f>
        <v>0</v>
      </c>
      <c r="AF73" s="27" t="n">
        <f aca="false">IF(COUNT('Milho 1ª safra'!$E71:$Z71)=0,0,MAX(0,IF((AF$6-$E$3)&lt;1,0,IFERROR(LOOKUP(2,1/('Milho 1ª safra'!$E71:INDEX('Milho 1ª safra'!$E71:$Z71,MIN(AF$6-$E$3,22))&lt;&gt;""),'Milho 1ª safra'!$E71:INDEX('Milho 1ª safra'!$E71:$Z71,MIN(AF$6-$E$3,22))),0))-IF($G$2,0,IF((AF$6-$G$3)&lt;1,0,IFERROR(LOOKUP(2,1/('Milho 1ª safra'!$E71:INDEX('Milho 1ª safra'!$E71:$Z71,MIN(AF$6-$G$3,22))&lt;&gt;""),'Milho 1ª safra'!$E71:INDEX('Milho 1ª safra'!$E71:$Z71,MIN(AF$6-$G$3,22))),0)))))</f>
        <v>0</v>
      </c>
      <c r="AG73" s="27" t="n">
        <f aca="false">IF(COUNT('Milho 1ª safra'!$E71:$Z71)=0,0,MAX(0,IF((AG$6-$E$3)&lt;1,0,IFERROR(LOOKUP(2,1/('Milho 1ª safra'!$E71:INDEX('Milho 1ª safra'!$E71:$Z71,MIN(AG$6-$E$3,22))&lt;&gt;""),'Milho 1ª safra'!$E71:INDEX('Milho 1ª safra'!$E71:$Z71,MIN(AG$6-$E$3,22))),0))-IF($G$2,0,IF((AG$6-$G$3)&lt;1,0,IFERROR(LOOKUP(2,1/('Milho 1ª safra'!$E71:INDEX('Milho 1ª safra'!$E71:$Z71,MIN(AG$6-$G$3,22))&lt;&gt;""),'Milho 1ª safra'!$E71:INDEX('Milho 1ª safra'!$E71:$Z71,MIN(AG$6-$G$3,22))),0)))))</f>
        <v>0</v>
      </c>
      <c r="AH73" s="27" t="n">
        <f aca="false">IF(COUNT('Milho 1ª safra'!$E71:$Z71)=0,0,MAX(0,IF((AH$6-$E$3)&lt;1,0,IFERROR(LOOKUP(2,1/('Milho 1ª safra'!$E71:INDEX('Milho 1ª safra'!$E71:$Z71,MIN(AH$6-$E$3,22))&lt;&gt;""),'Milho 1ª safra'!$E71:INDEX('Milho 1ª safra'!$E71:$Z71,MIN(AH$6-$E$3,22))),0))-IF($G$2,0,IF((AH$6-$G$3)&lt;1,0,IFERROR(LOOKUP(2,1/('Milho 1ª safra'!$E71:INDEX('Milho 1ª safra'!$E71:$Z71,MIN(AH$6-$G$3,22))&lt;&gt;""),'Milho 1ª safra'!$E71:INDEX('Milho 1ª safra'!$E71:$Z71,MIN(AH$6-$G$3,22))),0)))))</f>
        <v>0</v>
      </c>
      <c r="AI73" s="27" t="n">
        <f aca="false">IF(COUNT('Milho 1ª safra'!$E71:$Z71)=0,0,MAX(0,IF((AI$6-$E$3)&lt;1,0,IFERROR(LOOKUP(2,1/('Milho 1ª safra'!$E71:INDEX('Milho 1ª safra'!$E71:$Z71,MIN(AI$6-$E$3,22))&lt;&gt;""),'Milho 1ª safra'!$E71:INDEX('Milho 1ª safra'!$E71:$Z71,MIN(AI$6-$E$3,22))),0))-IF($G$2,0,IF((AI$6-$G$3)&lt;1,0,IFERROR(LOOKUP(2,1/('Milho 1ª safra'!$E71:INDEX('Milho 1ª safra'!$E71:$Z71,MIN(AI$6-$G$3,22))&lt;&gt;""),'Milho 1ª safra'!$E71:INDEX('Milho 1ª safra'!$E71:$Z71,MIN(AI$6-$G$3,22))),0)))))</f>
        <v>0</v>
      </c>
      <c r="AJ73" s="27" t="n">
        <f aca="false">IF(COUNT('Milho 1ª safra'!$E71:$Z71)=0,0,MAX(0,IF((AJ$6-$E$3)&lt;1,0,IFERROR(LOOKUP(2,1/('Milho 1ª safra'!$E71:INDEX('Milho 1ª safra'!$E71:$Z71,MIN(AJ$6-$E$3,22))&lt;&gt;""),'Milho 1ª safra'!$E71:INDEX('Milho 1ª safra'!$E71:$Z71,MIN(AJ$6-$E$3,22))),0))-IF($G$2,0,IF((AJ$6-$G$3)&lt;1,0,IFERROR(LOOKUP(2,1/('Milho 1ª safra'!$E71:INDEX('Milho 1ª safra'!$E71:$Z71,MIN(AJ$6-$G$3,22))&lt;&gt;""),'Milho 1ª safra'!$E71:INDEX('Milho 1ª safra'!$E71:$Z71,MIN(AJ$6-$G$3,22))),0)))))</f>
        <v>0</v>
      </c>
      <c r="AK73" s="27" t="n">
        <f aca="false">IF(COUNT('Milho 1ª safra'!$E71:$Z71)=0,0,MAX(0,IF((AK$6-$E$3)&lt;1,0,IFERROR(LOOKUP(2,1/('Milho 1ª safra'!$E71:INDEX('Milho 1ª safra'!$E71:$Z71,MIN(AK$6-$E$3,22))&lt;&gt;""),'Milho 1ª safra'!$E71:INDEX('Milho 1ª safra'!$E71:$Z71,MIN(AK$6-$E$3,22))),0))-IF($G$2,0,IF((AK$6-$G$3)&lt;1,0,IFERROR(LOOKUP(2,1/('Milho 1ª safra'!$E71:INDEX('Milho 1ª safra'!$E71:$Z71,MIN(AK$6-$G$3,22))&lt;&gt;""),'Milho 1ª safra'!$E71:INDEX('Milho 1ª safra'!$E71:$Z71,MIN(AK$6-$G$3,22))),0)))))</f>
        <v>0</v>
      </c>
      <c r="AL73" s="27" t="n">
        <f aca="false">IF(COUNT('Milho 1ª safra'!$E71:$Z71)=0,0,MAX(0,IF((AL$6-$E$3)&lt;1,0,IFERROR(LOOKUP(2,1/('Milho 1ª safra'!$E71:INDEX('Milho 1ª safra'!$E71:$Z71,MIN(AL$6-$E$3,22))&lt;&gt;""),'Milho 1ª safra'!$E71:INDEX('Milho 1ª safra'!$E71:$Z71,MIN(AL$6-$E$3,22))),0))-IF($G$2,0,IF((AL$6-$G$3)&lt;1,0,IFERROR(LOOKUP(2,1/('Milho 1ª safra'!$E71:INDEX('Milho 1ª safra'!$E71:$Z71,MIN(AL$6-$G$3,22))&lt;&gt;""),'Milho 1ª safra'!$E71:INDEX('Milho 1ª safra'!$E71:$Z71,MIN(AL$6-$G$3,22))),0)))))</f>
        <v>0</v>
      </c>
      <c r="AM73" s="27" t="n">
        <f aca="false">IF(COUNT('Milho 1ª safra'!$E71:$Z71)=0,0,MAX(0,IF((AM$6-$E$3)&lt;1,0,IFERROR(LOOKUP(2,1/('Milho 1ª safra'!$E71:INDEX('Milho 1ª safra'!$E71:$Z71,MIN(AM$6-$E$3,22))&lt;&gt;""),'Milho 1ª safra'!$E71:INDEX('Milho 1ª safra'!$E71:$Z71,MIN(AM$6-$E$3,22))),0))-IF($G$2,0,IF((AM$6-$G$3)&lt;1,0,IFERROR(LOOKUP(2,1/('Milho 1ª safra'!$E71:INDEX('Milho 1ª safra'!$E71:$Z71,MIN(AM$6-$G$3,22))&lt;&gt;""),'Milho 1ª safra'!$E71:INDEX('Milho 1ª safra'!$E71:$Z71,MIN(AM$6-$G$3,22))),0)))))</f>
        <v>0</v>
      </c>
      <c r="AN73" s="27" t="n">
        <f aca="false">IF(COUNT('Milho 1ª safra'!$E71:$Z71)=0,0,MAX(0,IF((AN$6-$E$3)&lt;1,0,IFERROR(LOOKUP(2,1/('Milho 1ª safra'!$E71:INDEX('Milho 1ª safra'!$E71:$Z71,MIN(AN$6-$E$3,22))&lt;&gt;""),'Milho 1ª safra'!$E71:INDEX('Milho 1ª safra'!$E71:$Z71,MIN(AN$6-$E$3,22))),0))-IF($G$2,0,IF((AN$6-$G$3)&lt;1,0,IFERROR(LOOKUP(2,1/('Milho 1ª safra'!$E71:INDEX('Milho 1ª safra'!$E71:$Z71,MIN(AN$6-$G$3,22))&lt;&gt;""),'Milho 1ª safra'!$E71:INDEX('Milho 1ª safra'!$E71:$Z71,MIN(AN$6-$G$3,22))),0)))))</f>
        <v>0</v>
      </c>
      <c r="AO73" s="27" t="n">
        <f aca="false">IF(COUNT('Milho 1ª safra'!$E71:$Z71)=0,0,MAX(0,IF((AO$6-$E$3)&lt;1,0,IFERROR(LOOKUP(2,1/('Milho 1ª safra'!$E71:INDEX('Milho 1ª safra'!$E71:$Z71,MIN(AO$6-$E$3,22))&lt;&gt;""),'Milho 1ª safra'!$E71:INDEX('Milho 1ª safra'!$E71:$Z71,MIN(AO$6-$E$3,22))),0))-IF($G$2,0,IF((AO$6-$G$3)&lt;1,0,IFERROR(LOOKUP(2,1/('Milho 1ª safra'!$E71:INDEX('Milho 1ª safra'!$E71:$Z71,MIN(AO$6-$G$3,22))&lt;&gt;""),'Milho 1ª safra'!$E71:INDEX('Milho 1ª safra'!$E71:$Z71,MIN(AO$6-$G$3,22))),0)))))</f>
        <v>0</v>
      </c>
      <c r="AP73" s="27" t="n">
        <f aca="false">IF(COUNT('Milho 1ª safra'!$E71:$Z71)=0,0,MAX(0,IF((AP$6-$E$3)&lt;1,0,IFERROR(LOOKUP(2,1/('Milho 1ª safra'!$E71:INDEX('Milho 1ª safra'!$E71:$Z71,MIN(AP$6-$E$3,22))&lt;&gt;""),'Milho 1ª safra'!$E71:INDEX('Milho 1ª safra'!$E71:$Z71,MIN(AP$6-$E$3,22))),0))-IF($G$2,0,IF((AP$6-$G$3)&lt;1,0,IFERROR(LOOKUP(2,1/('Milho 1ª safra'!$E71:INDEX('Milho 1ª safra'!$E71:$Z71,MIN(AP$6-$G$3,22))&lt;&gt;""),'Milho 1ª safra'!$E71:INDEX('Milho 1ª safra'!$E71:$Z71,MIN(AP$6-$G$3,22))),0)))))</f>
        <v>0</v>
      </c>
      <c r="AQ73" s="27" t="n">
        <f aca="false">IF(COUNT('Milho 1ª safra'!$E71:$Z71)=0,0,MAX(0,IF((AQ$6-$E$3)&lt;1,0,IFERROR(LOOKUP(2,1/('Milho 1ª safra'!$E71:INDEX('Milho 1ª safra'!$E71:$Z71,MIN(AQ$6-$E$3,22))&lt;&gt;""),'Milho 1ª safra'!$E71:INDEX('Milho 1ª safra'!$E71:$Z71,MIN(AQ$6-$E$3,22))),0))-IF($G$2,0,IF((AQ$6-$G$3)&lt;1,0,IFERROR(LOOKUP(2,1/('Milho 1ª safra'!$E71:INDEX('Milho 1ª safra'!$E71:$Z71,MIN(AQ$6-$G$3,22))&lt;&gt;""),'Milho 1ª safra'!$E71:INDEX('Milho 1ª safra'!$E71:$Z71,MIN(AQ$6-$G$3,22))),0)))))</f>
        <v>0</v>
      </c>
      <c r="AR73" s="27" t="n">
        <f aca="false">IF(COUNT('Milho 1ª safra'!$E71:$Z71)=0,0,MAX(0,IF((AR$6-$E$3)&lt;1,0,IFERROR(LOOKUP(2,1/('Milho 1ª safra'!$E71:INDEX('Milho 1ª safra'!$E71:$Z71,MIN(AR$6-$E$3,22))&lt;&gt;""),'Milho 1ª safra'!$E71:INDEX('Milho 1ª safra'!$E71:$Z71,MIN(AR$6-$E$3,22))),0))-IF($G$2,0,IF((AR$6-$G$3)&lt;1,0,IFERROR(LOOKUP(2,1/('Milho 1ª safra'!$E71:INDEX('Milho 1ª safra'!$E71:$Z71,MIN(AR$6-$G$3,22))&lt;&gt;""),'Milho 1ª safra'!$E71:INDEX('Milho 1ª safra'!$E71:$Z71,MIN(AR$6-$G$3,22))),0)))))</f>
        <v>0</v>
      </c>
      <c r="AS73" s="27" t="n">
        <f aca="false">IF(COUNT('Milho 1ª safra'!$E71:$Z71)=0,0,MAX(0,IF((AS$6-$E$3)&lt;1,0,IFERROR(LOOKUP(2,1/('Milho 1ª safra'!$E71:INDEX('Milho 1ª safra'!$E71:$Z71,MIN(AS$6-$E$3,22))&lt;&gt;""),'Milho 1ª safra'!$E71:INDEX('Milho 1ª safra'!$E71:$Z71,MIN(AS$6-$E$3,22))),0))-IF($G$2,0,IF((AS$6-$G$3)&lt;1,0,IFERROR(LOOKUP(2,1/('Milho 1ª safra'!$E71:INDEX('Milho 1ª safra'!$E71:$Z71,MIN(AS$6-$G$3,22))&lt;&gt;""),'Milho 1ª safra'!$E71:INDEX('Milho 1ª safra'!$E71:$Z71,MIN(AS$6-$G$3,22))),0)))))</f>
        <v>0</v>
      </c>
      <c r="AT73" s="27" t="n">
        <f aca="false">IF(COUNT('Milho 1ª safra'!$E71:$Z71)=0,0,MAX(0,IF((AT$6-$E$3)&lt;1,0,IFERROR(LOOKUP(2,1/('Milho 1ª safra'!$E71:INDEX('Milho 1ª safra'!$E71:$Z71,MIN(AT$6-$E$3,22))&lt;&gt;""),'Milho 1ª safra'!$E71:INDEX('Milho 1ª safra'!$E71:$Z71,MIN(AT$6-$E$3,22))),0))-IF($G$2,0,IF((AT$6-$G$3)&lt;1,0,IFERROR(LOOKUP(2,1/('Milho 1ª safra'!$E71:INDEX('Milho 1ª safra'!$E71:$Z71,MIN(AT$6-$G$3,22))&lt;&gt;""),'Milho 1ª safra'!$E71:INDEX('Milho 1ª safra'!$E71:$Z71,MIN(AT$6-$G$3,22))),0)))))</f>
        <v>0</v>
      </c>
      <c r="AU73" s="27" t="n">
        <f aca="false">IF(COUNT('Milho 1ª safra'!$E71:$Z71)=0,0,MAX(0,IF((AU$6-$E$3)&lt;1,0,IFERROR(LOOKUP(2,1/('Milho 1ª safra'!$E71:INDEX('Milho 1ª safra'!$E71:$Z71,MIN(AU$6-$E$3,22))&lt;&gt;""),'Milho 1ª safra'!$E71:INDEX('Milho 1ª safra'!$E71:$Z71,MIN(AU$6-$E$3,22))),0))-IF($G$2,0,IF((AU$6-$G$3)&lt;1,0,IFERROR(LOOKUP(2,1/('Milho 1ª safra'!$E71:INDEX('Milho 1ª safra'!$E71:$Z71,MIN(AU$6-$G$3,22))&lt;&gt;""),'Milho 1ª safra'!$E71:INDEX('Milho 1ª safra'!$E71:$Z71,MIN(AU$6-$G$3,22))),0)))))</f>
        <v>0</v>
      </c>
      <c r="AV73" s="27" t="n">
        <f aca="false">IF(COUNT('Milho 1ª safra'!$E71:$Z71)=0,0,MAX(0,IF((AV$6-$E$3)&lt;1,0,IFERROR(LOOKUP(2,1/('Milho 1ª safra'!$E71:INDEX('Milho 1ª safra'!$E71:$Z71,MIN(AV$6-$E$3,22))&lt;&gt;""),'Milho 1ª safra'!$E71:INDEX('Milho 1ª safra'!$E71:$Z71,MIN(AV$6-$E$3,22))),0))-IF($G$2,0,IF((AV$6-$G$3)&lt;1,0,IFERROR(LOOKUP(2,1/('Milho 1ª safra'!$E71:INDEX('Milho 1ª safra'!$E71:$Z71,MIN(AV$6-$G$3,22))&lt;&gt;""),'Milho 1ª safra'!$E71:INDEX('Milho 1ª safra'!$E71:$Z71,MIN(AV$6-$G$3,22))),0)))))</f>
        <v>0</v>
      </c>
      <c r="AW73" s="27" t="n">
        <f aca="false">IF(COUNT('Milho 1ª safra'!$E71:$Z71)=0,0,MAX(0,IF((AW$6-$E$3)&lt;1,0,IFERROR(LOOKUP(2,1/('Milho 1ª safra'!$E71:INDEX('Milho 1ª safra'!$E71:$Z71,MIN(AW$6-$E$3,22))&lt;&gt;""),'Milho 1ª safra'!$E71:INDEX('Milho 1ª safra'!$E71:$Z71,MIN(AW$6-$E$3,22))),0))-IF($G$2,0,IF((AW$6-$G$3)&lt;1,0,IFERROR(LOOKUP(2,1/('Milho 1ª safra'!$E71:INDEX('Milho 1ª safra'!$E71:$Z71,MIN(AW$6-$G$3,22))&lt;&gt;""),'Milho 1ª safra'!$E71:INDEX('Milho 1ª safra'!$E71:$Z71,MIN(AW$6-$G$3,22))),0)))))</f>
        <v>0</v>
      </c>
      <c r="AX73" s="27" t="n">
        <f aca="false">IF(COUNT('Milho 1ª safra'!$E71:$Z71)=0,0,MAX(0,IF((AX$6-$E$3)&lt;1,0,IFERROR(LOOKUP(2,1/('Milho 1ª safra'!$E71:INDEX('Milho 1ª safra'!$E71:$Z71,MIN(AX$6-$E$3,22))&lt;&gt;""),'Milho 1ª safra'!$E71:INDEX('Milho 1ª safra'!$E71:$Z71,MIN(AX$6-$E$3,22))),0))-IF($G$2,0,IF((AX$6-$G$3)&lt;1,0,IFERROR(LOOKUP(2,1/('Milho 1ª safra'!$E71:INDEX('Milho 1ª safra'!$E71:$Z71,MIN(AX$6-$G$3,22))&lt;&gt;""),'Milho 1ª safra'!$E71:INDEX('Milho 1ª safra'!$E71:$Z71,MIN(AX$6-$G$3,22))),0)))))</f>
        <v>0</v>
      </c>
      <c r="AY73" s="27" t="n">
        <f aca="false">IF(COUNT('Milho 1ª safra'!$E71:$Z71)=0,0,MAX(0,IF((AY$6-$E$3)&lt;1,0,IFERROR(LOOKUP(2,1/('Milho 1ª safra'!$E71:INDEX('Milho 1ª safra'!$E71:$Z71,MIN(AY$6-$E$3,22))&lt;&gt;""),'Milho 1ª safra'!$E71:INDEX('Milho 1ª safra'!$E71:$Z71,MIN(AY$6-$E$3,22))),0))-IF($G$2,0,IF((AY$6-$G$3)&lt;1,0,IFERROR(LOOKUP(2,1/('Milho 1ª safra'!$E71:INDEX('Milho 1ª safra'!$E71:$Z71,MIN(AY$6-$G$3,22))&lt;&gt;""),'Milho 1ª safra'!$E71:INDEX('Milho 1ª safra'!$E71:$Z71,MIN(AY$6-$G$3,22))),0)))))</f>
        <v>0</v>
      </c>
      <c r="AZ73" s="27" t="n">
        <f aca="false">IF(COUNT('Milho 1ª safra'!$E71:$Z71)=0,0,MAX(0,IF((AZ$6-$E$3)&lt;1,0,IFERROR(LOOKUP(2,1/('Milho 1ª safra'!$E71:INDEX('Milho 1ª safra'!$E71:$Z71,MIN(AZ$6-$E$3,22))&lt;&gt;""),'Milho 1ª safra'!$E71:INDEX('Milho 1ª safra'!$E71:$Z71,MIN(AZ$6-$E$3,22))),0))-IF($G$2,0,IF((AZ$6-$G$3)&lt;1,0,IFERROR(LOOKUP(2,1/('Milho 1ª safra'!$E71:INDEX('Milho 1ª safra'!$E71:$Z71,MIN(AZ$6-$G$3,22))&lt;&gt;""),'Milho 1ª safra'!$E71:INDEX('Milho 1ª safra'!$E71:$Z71,MIN(AZ$6-$G$3,22))),0)))))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IF(COUNT('Milho 1ª safra'!$E72:$Z72)&gt;0,N('Milho 1ª safra'!$D72),0)</f>
        <v>0</v>
      </c>
      <c r="E74" s="27" t="n">
        <f aca="false">IF(COUNT('Milho 1ª safra'!$E72:$Z72)=0,0,MAX(0,IF((E$6-$E$3)&lt;1,0,IFERROR(LOOKUP(2,1/('Milho 1ª safra'!$E72:INDEX('Milho 1ª safra'!$E72:$Z72,MIN(E$6-$E$3,22))&lt;&gt;""),'Milho 1ª safra'!$E72:INDEX('Milho 1ª safra'!$E72:$Z72,MIN(E$6-$E$3,22))),0))-IF($G$2,0,IF((E$6-$G$3)&lt;1,0,IFERROR(LOOKUP(2,1/('Milho 1ª safra'!$E72:INDEX('Milho 1ª safra'!$E72:$Z72,MIN(E$6-$G$3,22))&lt;&gt;""),'Milho 1ª safra'!$E72:INDEX('Milho 1ª safra'!$E72:$Z72,MIN(E$6-$G$3,22))),0)))))</f>
        <v>0</v>
      </c>
      <c r="F74" s="27" t="n">
        <f aca="false">IF(COUNT('Milho 1ª safra'!$E72:$Z72)=0,0,MAX(0,IF((F$6-$E$3)&lt;1,0,IFERROR(LOOKUP(2,1/('Milho 1ª safra'!$E72:INDEX('Milho 1ª safra'!$E72:$Z72,MIN(F$6-$E$3,22))&lt;&gt;""),'Milho 1ª safra'!$E72:INDEX('Milho 1ª safra'!$E72:$Z72,MIN(F$6-$E$3,22))),0))-IF($G$2,0,IF((F$6-$G$3)&lt;1,0,IFERROR(LOOKUP(2,1/('Milho 1ª safra'!$E72:INDEX('Milho 1ª safra'!$E72:$Z72,MIN(F$6-$G$3,22))&lt;&gt;""),'Milho 1ª safra'!$E72:INDEX('Milho 1ª safra'!$E72:$Z72,MIN(F$6-$G$3,22))),0)))))</f>
        <v>0</v>
      </c>
      <c r="G74" s="27" t="n">
        <f aca="false">IF(COUNT('Milho 1ª safra'!$E72:$Z72)=0,0,MAX(0,IF((G$6-$E$3)&lt;1,0,IFERROR(LOOKUP(2,1/('Milho 1ª safra'!$E72:INDEX('Milho 1ª safra'!$E72:$Z72,MIN(G$6-$E$3,22))&lt;&gt;""),'Milho 1ª safra'!$E72:INDEX('Milho 1ª safra'!$E72:$Z72,MIN(G$6-$E$3,22))),0))-IF($G$2,0,IF((G$6-$G$3)&lt;1,0,IFERROR(LOOKUP(2,1/('Milho 1ª safra'!$E72:INDEX('Milho 1ª safra'!$E72:$Z72,MIN(G$6-$G$3,22))&lt;&gt;""),'Milho 1ª safra'!$E72:INDEX('Milho 1ª safra'!$E72:$Z72,MIN(G$6-$G$3,22))),0)))))</f>
        <v>0</v>
      </c>
      <c r="H74" s="27" t="n">
        <f aca="false">IF(COUNT('Milho 1ª safra'!$E72:$Z72)=0,0,MAX(0,IF((H$6-$E$3)&lt;1,0,IFERROR(LOOKUP(2,1/('Milho 1ª safra'!$E72:INDEX('Milho 1ª safra'!$E72:$Z72,MIN(H$6-$E$3,22))&lt;&gt;""),'Milho 1ª safra'!$E72:INDEX('Milho 1ª safra'!$E72:$Z72,MIN(H$6-$E$3,22))),0))-IF($G$2,0,IF((H$6-$G$3)&lt;1,0,IFERROR(LOOKUP(2,1/('Milho 1ª safra'!$E72:INDEX('Milho 1ª safra'!$E72:$Z72,MIN(H$6-$G$3,22))&lt;&gt;""),'Milho 1ª safra'!$E72:INDEX('Milho 1ª safra'!$E72:$Z72,MIN(H$6-$G$3,22))),0)))))</f>
        <v>0</v>
      </c>
      <c r="I74" s="27" t="n">
        <f aca="false">IF(COUNT('Milho 1ª safra'!$E72:$Z72)=0,0,MAX(0,IF((I$6-$E$3)&lt;1,0,IFERROR(LOOKUP(2,1/('Milho 1ª safra'!$E72:INDEX('Milho 1ª safra'!$E72:$Z72,MIN(I$6-$E$3,22))&lt;&gt;""),'Milho 1ª safra'!$E72:INDEX('Milho 1ª safra'!$E72:$Z72,MIN(I$6-$E$3,22))),0))-IF($G$2,0,IF((I$6-$G$3)&lt;1,0,IFERROR(LOOKUP(2,1/('Milho 1ª safra'!$E72:INDEX('Milho 1ª safra'!$E72:$Z72,MIN(I$6-$G$3,22))&lt;&gt;""),'Milho 1ª safra'!$E72:INDEX('Milho 1ª safra'!$E72:$Z72,MIN(I$6-$G$3,22))),0)))))</f>
        <v>0</v>
      </c>
      <c r="J74" s="27" t="n">
        <f aca="false">IF(COUNT('Milho 1ª safra'!$E72:$Z72)=0,0,MAX(0,IF((J$6-$E$3)&lt;1,0,IFERROR(LOOKUP(2,1/('Milho 1ª safra'!$E72:INDEX('Milho 1ª safra'!$E72:$Z72,MIN(J$6-$E$3,22))&lt;&gt;""),'Milho 1ª safra'!$E72:INDEX('Milho 1ª safra'!$E72:$Z72,MIN(J$6-$E$3,22))),0))-IF($G$2,0,IF((J$6-$G$3)&lt;1,0,IFERROR(LOOKUP(2,1/('Milho 1ª safra'!$E72:INDEX('Milho 1ª safra'!$E72:$Z72,MIN(J$6-$G$3,22))&lt;&gt;""),'Milho 1ª safra'!$E72:INDEX('Milho 1ª safra'!$E72:$Z72,MIN(J$6-$G$3,22))),0)))))</f>
        <v>0</v>
      </c>
      <c r="K74" s="27" t="n">
        <f aca="false">IF(COUNT('Milho 1ª safra'!$E72:$Z72)=0,0,MAX(0,IF((K$6-$E$3)&lt;1,0,IFERROR(LOOKUP(2,1/('Milho 1ª safra'!$E72:INDEX('Milho 1ª safra'!$E72:$Z72,MIN(K$6-$E$3,22))&lt;&gt;""),'Milho 1ª safra'!$E72:INDEX('Milho 1ª safra'!$E72:$Z72,MIN(K$6-$E$3,22))),0))-IF($G$2,0,IF((K$6-$G$3)&lt;1,0,IFERROR(LOOKUP(2,1/('Milho 1ª safra'!$E72:INDEX('Milho 1ª safra'!$E72:$Z72,MIN(K$6-$G$3,22))&lt;&gt;""),'Milho 1ª safra'!$E72:INDEX('Milho 1ª safra'!$E72:$Z72,MIN(K$6-$G$3,22))),0)))))</f>
        <v>0</v>
      </c>
      <c r="L74" s="27" t="n">
        <f aca="false">IF(COUNT('Milho 1ª safra'!$E72:$Z72)=0,0,MAX(0,IF((L$6-$E$3)&lt;1,0,IFERROR(LOOKUP(2,1/('Milho 1ª safra'!$E72:INDEX('Milho 1ª safra'!$E72:$Z72,MIN(L$6-$E$3,22))&lt;&gt;""),'Milho 1ª safra'!$E72:INDEX('Milho 1ª safra'!$E72:$Z72,MIN(L$6-$E$3,22))),0))-IF($G$2,0,IF((L$6-$G$3)&lt;1,0,IFERROR(LOOKUP(2,1/('Milho 1ª safra'!$E72:INDEX('Milho 1ª safra'!$E72:$Z72,MIN(L$6-$G$3,22))&lt;&gt;""),'Milho 1ª safra'!$E72:INDEX('Milho 1ª safra'!$E72:$Z72,MIN(L$6-$G$3,22))),0)))))</f>
        <v>0</v>
      </c>
      <c r="M74" s="27" t="n">
        <f aca="false">IF(COUNT('Milho 1ª safra'!$E72:$Z72)=0,0,MAX(0,IF((M$6-$E$3)&lt;1,0,IFERROR(LOOKUP(2,1/('Milho 1ª safra'!$E72:INDEX('Milho 1ª safra'!$E72:$Z72,MIN(M$6-$E$3,22))&lt;&gt;""),'Milho 1ª safra'!$E72:INDEX('Milho 1ª safra'!$E72:$Z72,MIN(M$6-$E$3,22))),0))-IF($G$2,0,IF((M$6-$G$3)&lt;1,0,IFERROR(LOOKUP(2,1/('Milho 1ª safra'!$E72:INDEX('Milho 1ª safra'!$E72:$Z72,MIN(M$6-$G$3,22))&lt;&gt;""),'Milho 1ª safra'!$E72:INDEX('Milho 1ª safra'!$E72:$Z72,MIN(M$6-$G$3,22))),0)))))</f>
        <v>0</v>
      </c>
      <c r="N74" s="27" t="n">
        <f aca="false">IF(COUNT('Milho 1ª safra'!$E72:$Z72)=0,0,MAX(0,IF((N$6-$E$3)&lt;1,0,IFERROR(LOOKUP(2,1/('Milho 1ª safra'!$E72:INDEX('Milho 1ª safra'!$E72:$Z72,MIN(N$6-$E$3,22))&lt;&gt;""),'Milho 1ª safra'!$E72:INDEX('Milho 1ª safra'!$E72:$Z72,MIN(N$6-$E$3,22))),0))-IF($G$2,0,IF((N$6-$G$3)&lt;1,0,IFERROR(LOOKUP(2,1/('Milho 1ª safra'!$E72:INDEX('Milho 1ª safra'!$E72:$Z72,MIN(N$6-$G$3,22))&lt;&gt;""),'Milho 1ª safra'!$E72:INDEX('Milho 1ª safra'!$E72:$Z72,MIN(N$6-$G$3,22))),0)))))</f>
        <v>0</v>
      </c>
      <c r="O74" s="27" t="n">
        <f aca="false">IF(COUNT('Milho 1ª safra'!$E72:$Z72)=0,0,MAX(0,IF((O$6-$E$3)&lt;1,0,IFERROR(LOOKUP(2,1/('Milho 1ª safra'!$E72:INDEX('Milho 1ª safra'!$E72:$Z72,MIN(O$6-$E$3,22))&lt;&gt;""),'Milho 1ª safra'!$E72:INDEX('Milho 1ª safra'!$E72:$Z72,MIN(O$6-$E$3,22))),0))-IF($G$2,0,IF((O$6-$G$3)&lt;1,0,IFERROR(LOOKUP(2,1/('Milho 1ª safra'!$E72:INDEX('Milho 1ª safra'!$E72:$Z72,MIN(O$6-$G$3,22))&lt;&gt;""),'Milho 1ª safra'!$E72:INDEX('Milho 1ª safra'!$E72:$Z72,MIN(O$6-$G$3,22))),0)))))</f>
        <v>0</v>
      </c>
      <c r="P74" s="27" t="n">
        <f aca="false">IF(COUNT('Milho 1ª safra'!$E72:$Z72)=0,0,MAX(0,IF((P$6-$E$3)&lt;1,0,IFERROR(LOOKUP(2,1/('Milho 1ª safra'!$E72:INDEX('Milho 1ª safra'!$E72:$Z72,MIN(P$6-$E$3,22))&lt;&gt;""),'Milho 1ª safra'!$E72:INDEX('Milho 1ª safra'!$E72:$Z72,MIN(P$6-$E$3,22))),0))-IF($G$2,0,IF((P$6-$G$3)&lt;1,0,IFERROR(LOOKUP(2,1/('Milho 1ª safra'!$E72:INDEX('Milho 1ª safra'!$E72:$Z72,MIN(P$6-$G$3,22))&lt;&gt;""),'Milho 1ª safra'!$E72:INDEX('Milho 1ª safra'!$E72:$Z72,MIN(P$6-$G$3,22))),0)))))</f>
        <v>0</v>
      </c>
      <c r="Q74" s="27" t="n">
        <f aca="false">IF(COUNT('Milho 1ª safra'!$E72:$Z72)=0,0,MAX(0,IF((Q$6-$E$3)&lt;1,0,IFERROR(LOOKUP(2,1/('Milho 1ª safra'!$E72:INDEX('Milho 1ª safra'!$E72:$Z72,MIN(Q$6-$E$3,22))&lt;&gt;""),'Milho 1ª safra'!$E72:INDEX('Milho 1ª safra'!$E72:$Z72,MIN(Q$6-$E$3,22))),0))-IF($G$2,0,IF((Q$6-$G$3)&lt;1,0,IFERROR(LOOKUP(2,1/('Milho 1ª safra'!$E72:INDEX('Milho 1ª safra'!$E72:$Z72,MIN(Q$6-$G$3,22))&lt;&gt;""),'Milho 1ª safra'!$E72:INDEX('Milho 1ª safra'!$E72:$Z72,MIN(Q$6-$G$3,22))),0)))))</f>
        <v>0</v>
      </c>
      <c r="R74" s="27" t="n">
        <f aca="false">IF(COUNT('Milho 1ª safra'!$E72:$Z72)=0,0,MAX(0,IF((R$6-$E$3)&lt;1,0,IFERROR(LOOKUP(2,1/('Milho 1ª safra'!$E72:INDEX('Milho 1ª safra'!$E72:$Z72,MIN(R$6-$E$3,22))&lt;&gt;""),'Milho 1ª safra'!$E72:INDEX('Milho 1ª safra'!$E72:$Z72,MIN(R$6-$E$3,22))),0))-IF($G$2,0,IF((R$6-$G$3)&lt;1,0,IFERROR(LOOKUP(2,1/('Milho 1ª safra'!$E72:INDEX('Milho 1ª safra'!$E72:$Z72,MIN(R$6-$G$3,22))&lt;&gt;""),'Milho 1ª safra'!$E72:INDEX('Milho 1ª safra'!$E72:$Z72,MIN(R$6-$G$3,22))),0)))))</f>
        <v>0</v>
      </c>
      <c r="S74" s="27" t="n">
        <f aca="false">IF(COUNT('Milho 1ª safra'!$E72:$Z72)=0,0,MAX(0,IF((S$6-$E$3)&lt;1,0,IFERROR(LOOKUP(2,1/('Milho 1ª safra'!$E72:INDEX('Milho 1ª safra'!$E72:$Z72,MIN(S$6-$E$3,22))&lt;&gt;""),'Milho 1ª safra'!$E72:INDEX('Milho 1ª safra'!$E72:$Z72,MIN(S$6-$E$3,22))),0))-IF($G$2,0,IF((S$6-$G$3)&lt;1,0,IFERROR(LOOKUP(2,1/('Milho 1ª safra'!$E72:INDEX('Milho 1ª safra'!$E72:$Z72,MIN(S$6-$G$3,22))&lt;&gt;""),'Milho 1ª safra'!$E72:INDEX('Milho 1ª safra'!$E72:$Z72,MIN(S$6-$G$3,22))),0)))))</f>
        <v>0</v>
      </c>
      <c r="T74" s="27" t="n">
        <f aca="false">IF(COUNT('Milho 1ª safra'!$E72:$Z72)=0,0,MAX(0,IF((T$6-$E$3)&lt;1,0,IFERROR(LOOKUP(2,1/('Milho 1ª safra'!$E72:INDEX('Milho 1ª safra'!$E72:$Z72,MIN(T$6-$E$3,22))&lt;&gt;""),'Milho 1ª safra'!$E72:INDEX('Milho 1ª safra'!$E72:$Z72,MIN(T$6-$E$3,22))),0))-IF($G$2,0,IF((T$6-$G$3)&lt;1,0,IFERROR(LOOKUP(2,1/('Milho 1ª safra'!$E72:INDEX('Milho 1ª safra'!$E72:$Z72,MIN(T$6-$G$3,22))&lt;&gt;""),'Milho 1ª safra'!$E72:INDEX('Milho 1ª safra'!$E72:$Z72,MIN(T$6-$G$3,22))),0)))))</f>
        <v>0</v>
      </c>
      <c r="U74" s="27" t="n">
        <f aca="false">IF(COUNT('Milho 1ª safra'!$E72:$Z72)=0,0,MAX(0,IF((U$6-$E$3)&lt;1,0,IFERROR(LOOKUP(2,1/('Milho 1ª safra'!$E72:INDEX('Milho 1ª safra'!$E72:$Z72,MIN(U$6-$E$3,22))&lt;&gt;""),'Milho 1ª safra'!$E72:INDEX('Milho 1ª safra'!$E72:$Z72,MIN(U$6-$E$3,22))),0))-IF($G$2,0,IF((U$6-$G$3)&lt;1,0,IFERROR(LOOKUP(2,1/('Milho 1ª safra'!$E72:INDEX('Milho 1ª safra'!$E72:$Z72,MIN(U$6-$G$3,22))&lt;&gt;""),'Milho 1ª safra'!$E72:INDEX('Milho 1ª safra'!$E72:$Z72,MIN(U$6-$G$3,22))),0)))))</f>
        <v>0</v>
      </c>
      <c r="V74" s="27" t="n">
        <f aca="false">IF(COUNT('Milho 1ª safra'!$E72:$Z72)=0,0,MAX(0,IF((V$6-$E$3)&lt;1,0,IFERROR(LOOKUP(2,1/('Milho 1ª safra'!$E72:INDEX('Milho 1ª safra'!$E72:$Z72,MIN(V$6-$E$3,22))&lt;&gt;""),'Milho 1ª safra'!$E72:INDEX('Milho 1ª safra'!$E72:$Z72,MIN(V$6-$E$3,22))),0))-IF($G$2,0,IF((V$6-$G$3)&lt;1,0,IFERROR(LOOKUP(2,1/('Milho 1ª safra'!$E72:INDEX('Milho 1ª safra'!$E72:$Z72,MIN(V$6-$G$3,22))&lt;&gt;""),'Milho 1ª safra'!$E72:INDEX('Milho 1ª safra'!$E72:$Z72,MIN(V$6-$G$3,22))),0)))))</f>
        <v>0</v>
      </c>
      <c r="W74" s="27" t="n">
        <f aca="false">IF(COUNT('Milho 1ª safra'!$E72:$Z72)=0,0,MAX(0,IF((W$6-$E$3)&lt;1,0,IFERROR(LOOKUP(2,1/('Milho 1ª safra'!$E72:INDEX('Milho 1ª safra'!$E72:$Z72,MIN(W$6-$E$3,22))&lt;&gt;""),'Milho 1ª safra'!$E72:INDEX('Milho 1ª safra'!$E72:$Z72,MIN(W$6-$E$3,22))),0))-IF($G$2,0,IF((W$6-$G$3)&lt;1,0,IFERROR(LOOKUP(2,1/('Milho 1ª safra'!$E72:INDEX('Milho 1ª safra'!$E72:$Z72,MIN(W$6-$G$3,22))&lt;&gt;""),'Milho 1ª safra'!$E72:INDEX('Milho 1ª safra'!$E72:$Z72,MIN(W$6-$G$3,22))),0)))))</f>
        <v>0</v>
      </c>
      <c r="X74" s="27" t="n">
        <f aca="false">IF(COUNT('Milho 1ª safra'!$E72:$Z72)=0,0,MAX(0,IF((X$6-$E$3)&lt;1,0,IFERROR(LOOKUP(2,1/('Milho 1ª safra'!$E72:INDEX('Milho 1ª safra'!$E72:$Z72,MIN(X$6-$E$3,22))&lt;&gt;""),'Milho 1ª safra'!$E72:INDEX('Milho 1ª safra'!$E72:$Z72,MIN(X$6-$E$3,22))),0))-IF($G$2,0,IF((X$6-$G$3)&lt;1,0,IFERROR(LOOKUP(2,1/('Milho 1ª safra'!$E72:INDEX('Milho 1ª safra'!$E72:$Z72,MIN(X$6-$G$3,22))&lt;&gt;""),'Milho 1ª safra'!$E72:INDEX('Milho 1ª safra'!$E72:$Z72,MIN(X$6-$G$3,22))),0)))))</f>
        <v>0</v>
      </c>
      <c r="Y74" s="27" t="n">
        <f aca="false">IF(COUNT('Milho 1ª safra'!$E72:$Z72)=0,0,MAX(0,IF((Y$6-$E$3)&lt;1,0,IFERROR(LOOKUP(2,1/('Milho 1ª safra'!$E72:INDEX('Milho 1ª safra'!$E72:$Z72,MIN(Y$6-$E$3,22))&lt;&gt;""),'Milho 1ª safra'!$E72:INDEX('Milho 1ª safra'!$E72:$Z72,MIN(Y$6-$E$3,22))),0))-IF($G$2,0,IF((Y$6-$G$3)&lt;1,0,IFERROR(LOOKUP(2,1/('Milho 1ª safra'!$E72:INDEX('Milho 1ª safra'!$E72:$Z72,MIN(Y$6-$G$3,22))&lt;&gt;""),'Milho 1ª safra'!$E72:INDEX('Milho 1ª safra'!$E72:$Z72,MIN(Y$6-$G$3,22))),0)))))</f>
        <v>0</v>
      </c>
      <c r="Z74" s="27" t="n">
        <f aca="false">IF(COUNT('Milho 1ª safra'!$E72:$Z72)=0,0,MAX(0,IF((Z$6-$E$3)&lt;1,0,IFERROR(LOOKUP(2,1/('Milho 1ª safra'!$E72:INDEX('Milho 1ª safra'!$E72:$Z72,MIN(Z$6-$E$3,22))&lt;&gt;""),'Milho 1ª safra'!$E72:INDEX('Milho 1ª safra'!$E72:$Z72,MIN(Z$6-$E$3,22))),0))-IF($G$2,0,IF((Z$6-$G$3)&lt;1,0,IFERROR(LOOKUP(2,1/('Milho 1ª safra'!$E72:INDEX('Milho 1ª safra'!$E72:$Z72,MIN(Z$6-$G$3,22))&lt;&gt;""),'Milho 1ª safra'!$E72:INDEX('Milho 1ª safra'!$E72:$Z72,MIN(Z$6-$G$3,22))),0)))))</f>
        <v>0</v>
      </c>
      <c r="AA74" s="27" t="n">
        <f aca="false">IF(COUNT('Milho 1ª safra'!$E72:$Z72)=0,0,MAX(0,IF((AA$6-$E$3)&lt;1,0,IFERROR(LOOKUP(2,1/('Milho 1ª safra'!$E72:INDEX('Milho 1ª safra'!$E72:$Z72,MIN(AA$6-$E$3,22))&lt;&gt;""),'Milho 1ª safra'!$E72:INDEX('Milho 1ª safra'!$E72:$Z72,MIN(AA$6-$E$3,22))),0))-IF($G$2,0,IF((AA$6-$G$3)&lt;1,0,IFERROR(LOOKUP(2,1/('Milho 1ª safra'!$E72:INDEX('Milho 1ª safra'!$E72:$Z72,MIN(AA$6-$G$3,22))&lt;&gt;""),'Milho 1ª safra'!$E72:INDEX('Milho 1ª safra'!$E72:$Z72,MIN(AA$6-$G$3,22))),0)))))</f>
        <v>0</v>
      </c>
      <c r="AB74" s="27" t="n">
        <f aca="false">IF(COUNT('Milho 1ª safra'!$E72:$Z72)=0,0,MAX(0,IF((AB$6-$E$3)&lt;1,0,IFERROR(LOOKUP(2,1/('Milho 1ª safra'!$E72:INDEX('Milho 1ª safra'!$E72:$Z72,MIN(AB$6-$E$3,22))&lt;&gt;""),'Milho 1ª safra'!$E72:INDEX('Milho 1ª safra'!$E72:$Z72,MIN(AB$6-$E$3,22))),0))-IF($G$2,0,IF((AB$6-$G$3)&lt;1,0,IFERROR(LOOKUP(2,1/('Milho 1ª safra'!$E72:INDEX('Milho 1ª safra'!$E72:$Z72,MIN(AB$6-$G$3,22))&lt;&gt;""),'Milho 1ª safra'!$E72:INDEX('Milho 1ª safra'!$E72:$Z72,MIN(AB$6-$G$3,22))),0)))))</f>
        <v>0</v>
      </c>
      <c r="AC74" s="27" t="n">
        <f aca="false">IF(COUNT('Milho 1ª safra'!$E72:$Z72)=0,0,MAX(0,IF((AC$6-$E$3)&lt;1,0,IFERROR(LOOKUP(2,1/('Milho 1ª safra'!$E72:INDEX('Milho 1ª safra'!$E72:$Z72,MIN(AC$6-$E$3,22))&lt;&gt;""),'Milho 1ª safra'!$E72:INDEX('Milho 1ª safra'!$E72:$Z72,MIN(AC$6-$E$3,22))),0))-IF($G$2,0,IF((AC$6-$G$3)&lt;1,0,IFERROR(LOOKUP(2,1/('Milho 1ª safra'!$E72:INDEX('Milho 1ª safra'!$E72:$Z72,MIN(AC$6-$G$3,22))&lt;&gt;""),'Milho 1ª safra'!$E72:INDEX('Milho 1ª safra'!$E72:$Z72,MIN(AC$6-$G$3,22))),0)))))</f>
        <v>0</v>
      </c>
      <c r="AD74" s="27" t="n">
        <f aca="false">IF(COUNT('Milho 1ª safra'!$E72:$Z72)=0,0,MAX(0,IF((AD$6-$E$3)&lt;1,0,IFERROR(LOOKUP(2,1/('Milho 1ª safra'!$E72:INDEX('Milho 1ª safra'!$E72:$Z72,MIN(AD$6-$E$3,22))&lt;&gt;""),'Milho 1ª safra'!$E72:INDEX('Milho 1ª safra'!$E72:$Z72,MIN(AD$6-$E$3,22))),0))-IF($G$2,0,IF((AD$6-$G$3)&lt;1,0,IFERROR(LOOKUP(2,1/('Milho 1ª safra'!$E72:INDEX('Milho 1ª safra'!$E72:$Z72,MIN(AD$6-$G$3,22))&lt;&gt;""),'Milho 1ª safra'!$E72:INDEX('Milho 1ª safra'!$E72:$Z72,MIN(AD$6-$G$3,22))),0)))))</f>
        <v>0</v>
      </c>
      <c r="AE74" s="27" t="n">
        <f aca="false">IF(COUNT('Milho 1ª safra'!$E72:$Z72)=0,0,MAX(0,IF((AE$6-$E$3)&lt;1,0,IFERROR(LOOKUP(2,1/('Milho 1ª safra'!$E72:INDEX('Milho 1ª safra'!$E72:$Z72,MIN(AE$6-$E$3,22))&lt;&gt;""),'Milho 1ª safra'!$E72:INDEX('Milho 1ª safra'!$E72:$Z72,MIN(AE$6-$E$3,22))),0))-IF($G$2,0,IF((AE$6-$G$3)&lt;1,0,IFERROR(LOOKUP(2,1/('Milho 1ª safra'!$E72:INDEX('Milho 1ª safra'!$E72:$Z72,MIN(AE$6-$G$3,22))&lt;&gt;""),'Milho 1ª safra'!$E72:INDEX('Milho 1ª safra'!$E72:$Z72,MIN(AE$6-$G$3,22))),0)))))</f>
        <v>0</v>
      </c>
      <c r="AF74" s="27" t="n">
        <f aca="false">IF(COUNT('Milho 1ª safra'!$E72:$Z72)=0,0,MAX(0,IF((AF$6-$E$3)&lt;1,0,IFERROR(LOOKUP(2,1/('Milho 1ª safra'!$E72:INDEX('Milho 1ª safra'!$E72:$Z72,MIN(AF$6-$E$3,22))&lt;&gt;""),'Milho 1ª safra'!$E72:INDEX('Milho 1ª safra'!$E72:$Z72,MIN(AF$6-$E$3,22))),0))-IF($G$2,0,IF((AF$6-$G$3)&lt;1,0,IFERROR(LOOKUP(2,1/('Milho 1ª safra'!$E72:INDEX('Milho 1ª safra'!$E72:$Z72,MIN(AF$6-$G$3,22))&lt;&gt;""),'Milho 1ª safra'!$E72:INDEX('Milho 1ª safra'!$E72:$Z72,MIN(AF$6-$G$3,22))),0)))))</f>
        <v>0</v>
      </c>
      <c r="AG74" s="27" t="n">
        <f aca="false">IF(COUNT('Milho 1ª safra'!$E72:$Z72)=0,0,MAX(0,IF((AG$6-$E$3)&lt;1,0,IFERROR(LOOKUP(2,1/('Milho 1ª safra'!$E72:INDEX('Milho 1ª safra'!$E72:$Z72,MIN(AG$6-$E$3,22))&lt;&gt;""),'Milho 1ª safra'!$E72:INDEX('Milho 1ª safra'!$E72:$Z72,MIN(AG$6-$E$3,22))),0))-IF($G$2,0,IF((AG$6-$G$3)&lt;1,0,IFERROR(LOOKUP(2,1/('Milho 1ª safra'!$E72:INDEX('Milho 1ª safra'!$E72:$Z72,MIN(AG$6-$G$3,22))&lt;&gt;""),'Milho 1ª safra'!$E72:INDEX('Milho 1ª safra'!$E72:$Z72,MIN(AG$6-$G$3,22))),0)))))</f>
        <v>0</v>
      </c>
      <c r="AH74" s="27" t="n">
        <f aca="false">IF(COUNT('Milho 1ª safra'!$E72:$Z72)=0,0,MAX(0,IF((AH$6-$E$3)&lt;1,0,IFERROR(LOOKUP(2,1/('Milho 1ª safra'!$E72:INDEX('Milho 1ª safra'!$E72:$Z72,MIN(AH$6-$E$3,22))&lt;&gt;""),'Milho 1ª safra'!$E72:INDEX('Milho 1ª safra'!$E72:$Z72,MIN(AH$6-$E$3,22))),0))-IF($G$2,0,IF((AH$6-$G$3)&lt;1,0,IFERROR(LOOKUP(2,1/('Milho 1ª safra'!$E72:INDEX('Milho 1ª safra'!$E72:$Z72,MIN(AH$6-$G$3,22))&lt;&gt;""),'Milho 1ª safra'!$E72:INDEX('Milho 1ª safra'!$E72:$Z72,MIN(AH$6-$G$3,22))),0)))))</f>
        <v>0</v>
      </c>
      <c r="AI74" s="27" t="n">
        <f aca="false">IF(COUNT('Milho 1ª safra'!$E72:$Z72)=0,0,MAX(0,IF((AI$6-$E$3)&lt;1,0,IFERROR(LOOKUP(2,1/('Milho 1ª safra'!$E72:INDEX('Milho 1ª safra'!$E72:$Z72,MIN(AI$6-$E$3,22))&lt;&gt;""),'Milho 1ª safra'!$E72:INDEX('Milho 1ª safra'!$E72:$Z72,MIN(AI$6-$E$3,22))),0))-IF($G$2,0,IF((AI$6-$G$3)&lt;1,0,IFERROR(LOOKUP(2,1/('Milho 1ª safra'!$E72:INDEX('Milho 1ª safra'!$E72:$Z72,MIN(AI$6-$G$3,22))&lt;&gt;""),'Milho 1ª safra'!$E72:INDEX('Milho 1ª safra'!$E72:$Z72,MIN(AI$6-$G$3,22))),0)))))</f>
        <v>0</v>
      </c>
      <c r="AJ74" s="27" t="n">
        <f aca="false">IF(COUNT('Milho 1ª safra'!$E72:$Z72)=0,0,MAX(0,IF((AJ$6-$E$3)&lt;1,0,IFERROR(LOOKUP(2,1/('Milho 1ª safra'!$E72:INDEX('Milho 1ª safra'!$E72:$Z72,MIN(AJ$6-$E$3,22))&lt;&gt;""),'Milho 1ª safra'!$E72:INDEX('Milho 1ª safra'!$E72:$Z72,MIN(AJ$6-$E$3,22))),0))-IF($G$2,0,IF((AJ$6-$G$3)&lt;1,0,IFERROR(LOOKUP(2,1/('Milho 1ª safra'!$E72:INDEX('Milho 1ª safra'!$E72:$Z72,MIN(AJ$6-$G$3,22))&lt;&gt;""),'Milho 1ª safra'!$E72:INDEX('Milho 1ª safra'!$E72:$Z72,MIN(AJ$6-$G$3,22))),0)))))</f>
        <v>0</v>
      </c>
      <c r="AK74" s="27" t="n">
        <f aca="false">IF(COUNT('Milho 1ª safra'!$E72:$Z72)=0,0,MAX(0,IF((AK$6-$E$3)&lt;1,0,IFERROR(LOOKUP(2,1/('Milho 1ª safra'!$E72:INDEX('Milho 1ª safra'!$E72:$Z72,MIN(AK$6-$E$3,22))&lt;&gt;""),'Milho 1ª safra'!$E72:INDEX('Milho 1ª safra'!$E72:$Z72,MIN(AK$6-$E$3,22))),0))-IF($G$2,0,IF((AK$6-$G$3)&lt;1,0,IFERROR(LOOKUP(2,1/('Milho 1ª safra'!$E72:INDEX('Milho 1ª safra'!$E72:$Z72,MIN(AK$6-$G$3,22))&lt;&gt;""),'Milho 1ª safra'!$E72:INDEX('Milho 1ª safra'!$E72:$Z72,MIN(AK$6-$G$3,22))),0)))))</f>
        <v>0</v>
      </c>
      <c r="AL74" s="27" t="n">
        <f aca="false">IF(COUNT('Milho 1ª safra'!$E72:$Z72)=0,0,MAX(0,IF((AL$6-$E$3)&lt;1,0,IFERROR(LOOKUP(2,1/('Milho 1ª safra'!$E72:INDEX('Milho 1ª safra'!$E72:$Z72,MIN(AL$6-$E$3,22))&lt;&gt;""),'Milho 1ª safra'!$E72:INDEX('Milho 1ª safra'!$E72:$Z72,MIN(AL$6-$E$3,22))),0))-IF($G$2,0,IF((AL$6-$G$3)&lt;1,0,IFERROR(LOOKUP(2,1/('Milho 1ª safra'!$E72:INDEX('Milho 1ª safra'!$E72:$Z72,MIN(AL$6-$G$3,22))&lt;&gt;""),'Milho 1ª safra'!$E72:INDEX('Milho 1ª safra'!$E72:$Z72,MIN(AL$6-$G$3,22))),0)))))</f>
        <v>0</v>
      </c>
      <c r="AM74" s="27" t="n">
        <f aca="false">IF(COUNT('Milho 1ª safra'!$E72:$Z72)=0,0,MAX(0,IF((AM$6-$E$3)&lt;1,0,IFERROR(LOOKUP(2,1/('Milho 1ª safra'!$E72:INDEX('Milho 1ª safra'!$E72:$Z72,MIN(AM$6-$E$3,22))&lt;&gt;""),'Milho 1ª safra'!$E72:INDEX('Milho 1ª safra'!$E72:$Z72,MIN(AM$6-$E$3,22))),0))-IF($G$2,0,IF((AM$6-$G$3)&lt;1,0,IFERROR(LOOKUP(2,1/('Milho 1ª safra'!$E72:INDEX('Milho 1ª safra'!$E72:$Z72,MIN(AM$6-$G$3,22))&lt;&gt;""),'Milho 1ª safra'!$E72:INDEX('Milho 1ª safra'!$E72:$Z72,MIN(AM$6-$G$3,22))),0)))))</f>
        <v>0</v>
      </c>
      <c r="AN74" s="27" t="n">
        <f aca="false">IF(COUNT('Milho 1ª safra'!$E72:$Z72)=0,0,MAX(0,IF((AN$6-$E$3)&lt;1,0,IFERROR(LOOKUP(2,1/('Milho 1ª safra'!$E72:INDEX('Milho 1ª safra'!$E72:$Z72,MIN(AN$6-$E$3,22))&lt;&gt;""),'Milho 1ª safra'!$E72:INDEX('Milho 1ª safra'!$E72:$Z72,MIN(AN$6-$E$3,22))),0))-IF($G$2,0,IF((AN$6-$G$3)&lt;1,0,IFERROR(LOOKUP(2,1/('Milho 1ª safra'!$E72:INDEX('Milho 1ª safra'!$E72:$Z72,MIN(AN$6-$G$3,22))&lt;&gt;""),'Milho 1ª safra'!$E72:INDEX('Milho 1ª safra'!$E72:$Z72,MIN(AN$6-$G$3,22))),0)))))</f>
        <v>0</v>
      </c>
      <c r="AO74" s="27" t="n">
        <f aca="false">IF(COUNT('Milho 1ª safra'!$E72:$Z72)=0,0,MAX(0,IF((AO$6-$E$3)&lt;1,0,IFERROR(LOOKUP(2,1/('Milho 1ª safra'!$E72:INDEX('Milho 1ª safra'!$E72:$Z72,MIN(AO$6-$E$3,22))&lt;&gt;""),'Milho 1ª safra'!$E72:INDEX('Milho 1ª safra'!$E72:$Z72,MIN(AO$6-$E$3,22))),0))-IF($G$2,0,IF((AO$6-$G$3)&lt;1,0,IFERROR(LOOKUP(2,1/('Milho 1ª safra'!$E72:INDEX('Milho 1ª safra'!$E72:$Z72,MIN(AO$6-$G$3,22))&lt;&gt;""),'Milho 1ª safra'!$E72:INDEX('Milho 1ª safra'!$E72:$Z72,MIN(AO$6-$G$3,22))),0)))))</f>
        <v>0</v>
      </c>
      <c r="AP74" s="27" t="n">
        <f aca="false">IF(COUNT('Milho 1ª safra'!$E72:$Z72)=0,0,MAX(0,IF((AP$6-$E$3)&lt;1,0,IFERROR(LOOKUP(2,1/('Milho 1ª safra'!$E72:INDEX('Milho 1ª safra'!$E72:$Z72,MIN(AP$6-$E$3,22))&lt;&gt;""),'Milho 1ª safra'!$E72:INDEX('Milho 1ª safra'!$E72:$Z72,MIN(AP$6-$E$3,22))),0))-IF($G$2,0,IF((AP$6-$G$3)&lt;1,0,IFERROR(LOOKUP(2,1/('Milho 1ª safra'!$E72:INDEX('Milho 1ª safra'!$E72:$Z72,MIN(AP$6-$G$3,22))&lt;&gt;""),'Milho 1ª safra'!$E72:INDEX('Milho 1ª safra'!$E72:$Z72,MIN(AP$6-$G$3,22))),0)))))</f>
        <v>0</v>
      </c>
      <c r="AQ74" s="27" t="n">
        <f aca="false">IF(COUNT('Milho 1ª safra'!$E72:$Z72)=0,0,MAX(0,IF((AQ$6-$E$3)&lt;1,0,IFERROR(LOOKUP(2,1/('Milho 1ª safra'!$E72:INDEX('Milho 1ª safra'!$E72:$Z72,MIN(AQ$6-$E$3,22))&lt;&gt;""),'Milho 1ª safra'!$E72:INDEX('Milho 1ª safra'!$E72:$Z72,MIN(AQ$6-$E$3,22))),0))-IF($G$2,0,IF((AQ$6-$G$3)&lt;1,0,IFERROR(LOOKUP(2,1/('Milho 1ª safra'!$E72:INDEX('Milho 1ª safra'!$E72:$Z72,MIN(AQ$6-$G$3,22))&lt;&gt;""),'Milho 1ª safra'!$E72:INDEX('Milho 1ª safra'!$E72:$Z72,MIN(AQ$6-$G$3,22))),0)))))</f>
        <v>0</v>
      </c>
      <c r="AR74" s="27" t="n">
        <f aca="false">IF(COUNT('Milho 1ª safra'!$E72:$Z72)=0,0,MAX(0,IF((AR$6-$E$3)&lt;1,0,IFERROR(LOOKUP(2,1/('Milho 1ª safra'!$E72:INDEX('Milho 1ª safra'!$E72:$Z72,MIN(AR$6-$E$3,22))&lt;&gt;""),'Milho 1ª safra'!$E72:INDEX('Milho 1ª safra'!$E72:$Z72,MIN(AR$6-$E$3,22))),0))-IF($G$2,0,IF((AR$6-$G$3)&lt;1,0,IFERROR(LOOKUP(2,1/('Milho 1ª safra'!$E72:INDEX('Milho 1ª safra'!$E72:$Z72,MIN(AR$6-$G$3,22))&lt;&gt;""),'Milho 1ª safra'!$E72:INDEX('Milho 1ª safra'!$E72:$Z72,MIN(AR$6-$G$3,22))),0)))))</f>
        <v>0</v>
      </c>
      <c r="AS74" s="27" t="n">
        <f aca="false">IF(COUNT('Milho 1ª safra'!$E72:$Z72)=0,0,MAX(0,IF((AS$6-$E$3)&lt;1,0,IFERROR(LOOKUP(2,1/('Milho 1ª safra'!$E72:INDEX('Milho 1ª safra'!$E72:$Z72,MIN(AS$6-$E$3,22))&lt;&gt;""),'Milho 1ª safra'!$E72:INDEX('Milho 1ª safra'!$E72:$Z72,MIN(AS$6-$E$3,22))),0))-IF($G$2,0,IF((AS$6-$G$3)&lt;1,0,IFERROR(LOOKUP(2,1/('Milho 1ª safra'!$E72:INDEX('Milho 1ª safra'!$E72:$Z72,MIN(AS$6-$G$3,22))&lt;&gt;""),'Milho 1ª safra'!$E72:INDEX('Milho 1ª safra'!$E72:$Z72,MIN(AS$6-$G$3,22))),0)))))</f>
        <v>0</v>
      </c>
      <c r="AT74" s="27" t="n">
        <f aca="false">IF(COUNT('Milho 1ª safra'!$E72:$Z72)=0,0,MAX(0,IF((AT$6-$E$3)&lt;1,0,IFERROR(LOOKUP(2,1/('Milho 1ª safra'!$E72:INDEX('Milho 1ª safra'!$E72:$Z72,MIN(AT$6-$E$3,22))&lt;&gt;""),'Milho 1ª safra'!$E72:INDEX('Milho 1ª safra'!$E72:$Z72,MIN(AT$6-$E$3,22))),0))-IF($G$2,0,IF((AT$6-$G$3)&lt;1,0,IFERROR(LOOKUP(2,1/('Milho 1ª safra'!$E72:INDEX('Milho 1ª safra'!$E72:$Z72,MIN(AT$6-$G$3,22))&lt;&gt;""),'Milho 1ª safra'!$E72:INDEX('Milho 1ª safra'!$E72:$Z72,MIN(AT$6-$G$3,22))),0)))))</f>
        <v>0</v>
      </c>
      <c r="AU74" s="27" t="n">
        <f aca="false">IF(COUNT('Milho 1ª safra'!$E72:$Z72)=0,0,MAX(0,IF((AU$6-$E$3)&lt;1,0,IFERROR(LOOKUP(2,1/('Milho 1ª safra'!$E72:INDEX('Milho 1ª safra'!$E72:$Z72,MIN(AU$6-$E$3,22))&lt;&gt;""),'Milho 1ª safra'!$E72:INDEX('Milho 1ª safra'!$E72:$Z72,MIN(AU$6-$E$3,22))),0))-IF($G$2,0,IF((AU$6-$G$3)&lt;1,0,IFERROR(LOOKUP(2,1/('Milho 1ª safra'!$E72:INDEX('Milho 1ª safra'!$E72:$Z72,MIN(AU$6-$G$3,22))&lt;&gt;""),'Milho 1ª safra'!$E72:INDEX('Milho 1ª safra'!$E72:$Z72,MIN(AU$6-$G$3,22))),0)))))</f>
        <v>0</v>
      </c>
      <c r="AV74" s="27" t="n">
        <f aca="false">IF(COUNT('Milho 1ª safra'!$E72:$Z72)=0,0,MAX(0,IF((AV$6-$E$3)&lt;1,0,IFERROR(LOOKUP(2,1/('Milho 1ª safra'!$E72:INDEX('Milho 1ª safra'!$E72:$Z72,MIN(AV$6-$E$3,22))&lt;&gt;""),'Milho 1ª safra'!$E72:INDEX('Milho 1ª safra'!$E72:$Z72,MIN(AV$6-$E$3,22))),0))-IF($G$2,0,IF((AV$6-$G$3)&lt;1,0,IFERROR(LOOKUP(2,1/('Milho 1ª safra'!$E72:INDEX('Milho 1ª safra'!$E72:$Z72,MIN(AV$6-$G$3,22))&lt;&gt;""),'Milho 1ª safra'!$E72:INDEX('Milho 1ª safra'!$E72:$Z72,MIN(AV$6-$G$3,22))),0)))))</f>
        <v>0</v>
      </c>
      <c r="AW74" s="27" t="n">
        <f aca="false">IF(COUNT('Milho 1ª safra'!$E72:$Z72)=0,0,MAX(0,IF((AW$6-$E$3)&lt;1,0,IFERROR(LOOKUP(2,1/('Milho 1ª safra'!$E72:INDEX('Milho 1ª safra'!$E72:$Z72,MIN(AW$6-$E$3,22))&lt;&gt;""),'Milho 1ª safra'!$E72:INDEX('Milho 1ª safra'!$E72:$Z72,MIN(AW$6-$E$3,22))),0))-IF($G$2,0,IF((AW$6-$G$3)&lt;1,0,IFERROR(LOOKUP(2,1/('Milho 1ª safra'!$E72:INDEX('Milho 1ª safra'!$E72:$Z72,MIN(AW$6-$G$3,22))&lt;&gt;""),'Milho 1ª safra'!$E72:INDEX('Milho 1ª safra'!$E72:$Z72,MIN(AW$6-$G$3,22))),0)))))</f>
        <v>0</v>
      </c>
      <c r="AX74" s="27" t="n">
        <f aca="false">IF(COUNT('Milho 1ª safra'!$E72:$Z72)=0,0,MAX(0,IF((AX$6-$E$3)&lt;1,0,IFERROR(LOOKUP(2,1/('Milho 1ª safra'!$E72:INDEX('Milho 1ª safra'!$E72:$Z72,MIN(AX$6-$E$3,22))&lt;&gt;""),'Milho 1ª safra'!$E72:INDEX('Milho 1ª safra'!$E72:$Z72,MIN(AX$6-$E$3,22))),0))-IF($G$2,0,IF((AX$6-$G$3)&lt;1,0,IFERROR(LOOKUP(2,1/('Milho 1ª safra'!$E72:INDEX('Milho 1ª safra'!$E72:$Z72,MIN(AX$6-$G$3,22))&lt;&gt;""),'Milho 1ª safra'!$E72:INDEX('Milho 1ª safra'!$E72:$Z72,MIN(AX$6-$G$3,22))),0)))))</f>
        <v>0</v>
      </c>
      <c r="AY74" s="27" t="n">
        <f aca="false">IF(COUNT('Milho 1ª safra'!$E72:$Z72)=0,0,MAX(0,IF((AY$6-$E$3)&lt;1,0,IFERROR(LOOKUP(2,1/('Milho 1ª safra'!$E72:INDEX('Milho 1ª safra'!$E72:$Z72,MIN(AY$6-$E$3,22))&lt;&gt;""),'Milho 1ª safra'!$E72:INDEX('Milho 1ª safra'!$E72:$Z72,MIN(AY$6-$E$3,22))),0))-IF($G$2,0,IF((AY$6-$G$3)&lt;1,0,IFERROR(LOOKUP(2,1/('Milho 1ª safra'!$E72:INDEX('Milho 1ª safra'!$E72:$Z72,MIN(AY$6-$G$3,22))&lt;&gt;""),'Milho 1ª safra'!$E72:INDEX('Milho 1ª safra'!$E72:$Z72,MIN(AY$6-$G$3,22))),0)))))</f>
        <v>0</v>
      </c>
      <c r="AZ74" s="27" t="n">
        <f aca="false">IF(COUNT('Milho 1ª safra'!$E72:$Z72)=0,0,MAX(0,IF((AZ$6-$E$3)&lt;1,0,IFERROR(LOOKUP(2,1/('Milho 1ª safra'!$E72:INDEX('Milho 1ª safra'!$E72:$Z72,MIN(AZ$6-$E$3,22))&lt;&gt;""),'Milho 1ª safra'!$E72:INDEX('Milho 1ª safra'!$E72:$Z72,MIN(AZ$6-$E$3,22))),0))-IF($G$2,0,IF((AZ$6-$G$3)&lt;1,0,IFERROR(LOOKUP(2,1/('Milho 1ª safra'!$E72:INDEX('Milho 1ª safra'!$E72:$Z72,MIN(AZ$6-$G$3,22))&lt;&gt;""),'Milho 1ª safra'!$E72:INDEX('Milho 1ª safra'!$E72:$Z72,MIN(AZ$6-$G$3,22))),0)))))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IF(COUNT('Milho 1ª safra'!$E73:$Z73)&gt;0,N('Milho 1ª safra'!$D73),0)</f>
        <v>0</v>
      </c>
      <c r="E75" s="27" t="n">
        <f aca="false">IF(COUNT('Milho 1ª safra'!$E73:$Z73)=0,0,MAX(0,IF((E$6-$E$3)&lt;1,0,IFERROR(LOOKUP(2,1/('Milho 1ª safra'!$E73:INDEX('Milho 1ª safra'!$E73:$Z73,MIN(E$6-$E$3,22))&lt;&gt;""),'Milho 1ª safra'!$E73:INDEX('Milho 1ª safra'!$E73:$Z73,MIN(E$6-$E$3,22))),0))-IF($G$2,0,IF((E$6-$G$3)&lt;1,0,IFERROR(LOOKUP(2,1/('Milho 1ª safra'!$E73:INDEX('Milho 1ª safra'!$E73:$Z73,MIN(E$6-$G$3,22))&lt;&gt;""),'Milho 1ª safra'!$E73:INDEX('Milho 1ª safra'!$E73:$Z73,MIN(E$6-$G$3,22))),0)))))</f>
        <v>0</v>
      </c>
      <c r="F75" s="27" t="n">
        <f aca="false">IF(COUNT('Milho 1ª safra'!$E73:$Z73)=0,0,MAX(0,IF((F$6-$E$3)&lt;1,0,IFERROR(LOOKUP(2,1/('Milho 1ª safra'!$E73:INDEX('Milho 1ª safra'!$E73:$Z73,MIN(F$6-$E$3,22))&lt;&gt;""),'Milho 1ª safra'!$E73:INDEX('Milho 1ª safra'!$E73:$Z73,MIN(F$6-$E$3,22))),0))-IF($G$2,0,IF((F$6-$G$3)&lt;1,0,IFERROR(LOOKUP(2,1/('Milho 1ª safra'!$E73:INDEX('Milho 1ª safra'!$E73:$Z73,MIN(F$6-$G$3,22))&lt;&gt;""),'Milho 1ª safra'!$E73:INDEX('Milho 1ª safra'!$E73:$Z73,MIN(F$6-$G$3,22))),0)))))</f>
        <v>0</v>
      </c>
      <c r="G75" s="27" t="n">
        <f aca="false">IF(COUNT('Milho 1ª safra'!$E73:$Z73)=0,0,MAX(0,IF((G$6-$E$3)&lt;1,0,IFERROR(LOOKUP(2,1/('Milho 1ª safra'!$E73:INDEX('Milho 1ª safra'!$E73:$Z73,MIN(G$6-$E$3,22))&lt;&gt;""),'Milho 1ª safra'!$E73:INDEX('Milho 1ª safra'!$E73:$Z73,MIN(G$6-$E$3,22))),0))-IF($G$2,0,IF((G$6-$G$3)&lt;1,0,IFERROR(LOOKUP(2,1/('Milho 1ª safra'!$E73:INDEX('Milho 1ª safra'!$E73:$Z73,MIN(G$6-$G$3,22))&lt;&gt;""),'Milho 1ª safra'!$E73:INDEX('Milho 1ª safra'!$E73:$Z73,MIN(G$6-$G$3,22))),0)))))</f>
        <v>0</v>
      </c>
      <c r="H75" s="27" t="n">
        <f aca="false">IF(COUNT('Milho 1ª safra'!$E73:$Z73)=0,0,MAX(0,IF((H$6-$E$3)&lt;1,0,IFERROR(LOOKUP(2,1/('Milho 1ª safra'!$E73:INDEX('Milho 1ª safra'!$E73:$Z73,MIN(H$6-$E$3,22))&lt;&gt;""),'Milho 1ª safra'!$E73:INDEX('Milho 1ª safra'!$E73:$Z73,MIN(H$6-$E$3,22))),0))-IF($G$2,0,IF((H$6-$G$3)&lt;1,0,IFERROR(LOOKUP(2,1/('Milho 1ª safra'!$E73:INDEX('Milho 1ª safra'!$E73:$Z73,MIN(H$6-$G$3,22))&lt;&gt;""),'Milho 1ª safra'!$E73:INDEX('Milho 1ª safra'!$E73:$Z73,MIN(H$6-$G$3,22))),0)))))</f>
        <v>0</v>
      </c>
      <c r="I75" s="27" t="n">
        <f aca="false">IF(COUNT('Milho 1ª safra'!$E73:$Z73)=0,0,MAX(0,IF((I$6-$E$3)&lt;1,0,IFERROR(LOOKUP(2,1/('Milho 1ª safra'!$E73:INDEX('Milho 1ª safra'!$E73:$Z73,MIN(I$6-$E$3,22))&lt;&gt;""),'Milho 1ª safra'!$E73:INDEX('Milho 1ª safra'!$E73:$Z73,MIN(I$6-$E$3,22))),0))-IF($G$2,0,IF((I$6-$G$3)&lt;1,0,IFERROR(LOOKUP(2,1/('Milho 1ª safra'!$E73:INDEX('Milho 1ª safra'!$E73:$Z73,MIN(I$6-$G$3,22))&lt;&gt;""),'Milho 1ª safra'!$E73:INDEX('Milho 1ª safra'!$E73:$Z73,MIN(I$6-$G$3,22))),0)))))</f>
        <v>0</v>
      </c>
      <c r="J75" s="27" t="n">
        <f aca="false">IF(COUNT('Milho 1ª safra'!$E73:$Z73)=0,0,MAX(0,IF((J$6-$E$3)&lt;1,0,IFERROR(LOOKUP(2,1/('Milho 1ª safra'!$E73:INDEX('Milho 1ª safra'!$E73:$Z73,MIN(J$6-$E$3,22))&lt;&gt;""),'Milho 1ª safra'!$E73:INDEX('Milho 1ª safra'!$E73:$Z73,MIN(J$6-$E$3,22))),0))-IF($G$2,0,IF((J$6-$G$3)&lt;1,0,IFERROR(LOOKUP(2,1/('Milho 1ª safra'!$E73:INDEX('Milho 1ª safra'!$E73:$Z73,MIN(J$6-$G$3,22))&lt;&gt;""),'Milho 1ª safra'!$E73:INDEX('Milho 1ª safra'!$E73:$Z73,MIN(J$6-$G$3,22))),0)))))</f>
        <v>0</v>
      </c>
      <c r="K75" s="27" t="n">
        <f aca="false">IF(COUNT('Milho 1ª safra'!$E73:$Z73)=0,0,MAX(0,IF((K$6-$E$3)&lt;1,0,IFERROR(LOOKUP(2,1/('Milho 1ª safra'!$E73:INDEX('Milho 1ª safra'!$E73:$Z73,MIN(K$6-$E$3,22))&lt;&gt;""),'Milho 1ª safra'!$E73:INDEX('Milho 1ª safra'!$E73:$Z73,MIN(K$6-$E$3,22))),0))-IF($G$2,0,IF((K$6-$G$3)&lt;1,0,IFERROR(LOOKUP(2,1/('Milho 1ª safra'!$E73:INDEX('Milho 1ª safra'!$E73:$Z73,MIN(K$6-$G$3,22))&lt;&gt;""),'Milho 1ª safra'!$E73:INDEX('Milho 1ª safra'!$E73:$Z73,MIN(K$6-$G$3,22))),0)))))</f>
        <v>0</v>
      </c>
      <c r="L75" s="27" t="n">
        <f aca="false">IF(COUNT('Milho 1ª safra'!$E73:$Z73)=0,0,MAX(0,IF((L$6-$E$3)&lt;1,0,IFERROR(LOOKUP(2,1/('Milho 1ª safra'!$E73:INDEX('Milho 1ª safra'!$E73:$Z73,MIN(L$6-$E$3,22))&lt;&gt;""),'Milho 1ª safra'!$E73:INDEX('Milho 1ª safra'!$E73:$Z73,MIN(L$6-$E$3,22))),0))-IF($G$2,0,IF((L$6-$G$3)&lt;1,0,IFERROR(LOOKUP(2,1/('Milho 1ª safra'!$E73:INDEX('Milho 1ª safra'!$E73:$Z73,MIN(L$6-$G$3,22))&lt;&gt;""),'Milho 1ª safra'!$E73:INDEX('Milho 1ª safra'!$E73:$Z73,MIN(L$6-$G$3,22))),0)))))</f>
        <v>0</v>
      </c>
      <c r="M75" s="27" t="n">
        <f aca="false">IF(COUNT('Milho 1ª safra'!$E73:$Z73)=0,0,MAX(0,IF((M$6-$E$3)&lt;1,0,IFERROR(LOOKUP(2,1/('Milho 1ª safra'!$E73:INDEX('Milho 1ª safra'!$E73:$Z73,MIN(M$6-$E$3,22))&lt;&gt;""),'Milho 1ª safra'!$E73:INDEX('Milho 1ª safra'!$E73:$Z73,MIN(M$6-$E$3,22))),0))-IF($G$2,0,IF((M$6-$G$3)&lt;1,0,IFERROR(LOOKUP(2,1/('Milho 1ª safra'!$E73:INDEX('Milho 1ª safra'!$E73:$Z73,MIN(M$6-$G$3,22))&lt;&gt;""),'Milho 1ª safra'!$E73:INDEX('Milho 1ª safra'!$E73:$Z73,MIN(M$6-$G$3,22))),0)))))</f>
        <v>0</v>
      </c>
      <c r="N75" s="27" t="n">
        <f aca="false">IF(COUNT('Milho 1ª safra'!$E73:$Z73)=0,0,MAX(0,IF((N$6-$E$3)&lt;1,0,IFERROR(LOOKUP(2,1/('Milho 1ª safra'!$E73:INDEX('Milho 1ª safra'!$E73:$Z73,MIN(N$6-$E$3,22))&lt;&gt;""),'Milho 1ª safra'!$E73:INDEX('Milho 1ª safra'!$E73:$Z73,MIN(N$6-$E$3,22))),0))-IF($G$2,0,IF((N$6-$G$3)&lt;1,0,IFERROR(LOOKUP(2,1/('Milho 1ª safra'!$E73:INDEX('Milho 1ª safra'!$E73:$Z73,MIN(N$6-$G$3,22))&lt;&gt;""),'Milho 1ª safra'!$E73:INDEX('Milho 1ª safra'!$E73:$Z73,MIN(N$6-$G$3,22))),0)))))</f>
        <v>0</v>
      </c>
      <c r="O75" s="27" t="n">
        <f aca="false">IF(COUNT('Milho 1ª safra'!$E73:$Z73)=0,0,MAX(0,IF((O$6-$E$3)&lt;1,0,IFERROR(LOOKUP(2,1/('Milho 1ª safra'!$E73:INDEX('Milho 1ª safra'!$E73:$Z73,MIN(O$6-$E$3,22))&lt;&gt;""),'Milho 1ª safra'!$E73:INDEX('Milho 1ª safra'!$E73:$Z73,MIN(O$6-$E$3,22))),0))-IF($G$2,0,IF((O$6-$G$3)&lt;1,0,IFERROR(LOOKUP(2,1/('Milho 1ª safra'!$E73:INDEX('Milho 1ª safra'!$E73:$Z73,MIN(O$6-$G$3,22))&lt;&gt;""),'Milho 1ª safra'!$E73:INDEX('Milho 1ª safra'!$E73:$Z73,MIN(O$6-$G$3,22))),0)))))</f>
        <v>0</v>
      </c>
      <c r="P75" s="27" t="n">
        <f aca="false">IF(COUNT('Milho 1ª safra'!$E73:$Z73)=0,0,MAX(0,IF((P$6-$E$3)&lt;1,0,IFERROR(LOOKUP(2,1/('Milho 1ª safra'!$E73:INDEX('Milho 1ª safra'!$E73:$Z73,MIN(P$6-$E$3,22))&lt;&gt;""),'Milho 1ª safra'!$E73:INDEX('Milho 1ª safra'!$E73:$Z73,MIN(P$6-$E$3,22))),0))-IF($G$2,0,IF((P$6-$G$3)&lt;1,0,IFERROR(LOOKUP(2,1/('Milho 1ª safra'!$E73:INDEX('Milho 1ª safra'!$E73:$Z73,MIN(P$6-$G$3,22))&lt;&gt;""),'Milho 1ª safra'!$E73:INDEX('Milho 1ª safra'!$E73:$Z73,MIN(P$6-$G$3,22))),0)))))</f>
        <v>0</v>
      </c>
      <c r="Q75" s="27" t="n">
        <f aca="false">IF(COUNT('Milho 1ª safra'!$E73:$Z73)=0,0,MAX(0,IF((Q$6-$E$3)&lt;1,0,IFERROR(LOOKUP(2,1/('Milho 1ª safra'!$E73:INDEX('Milho 1ª safra'!$E73:$Z73,MIN(Q$6-$E$3,22))&lt;&gt;""),'Milho 1ª safra'!$E73:INDEX('Milho 1ª safra'!$E73:$Z73,MIN(Q$6-$E$3,22))),0))-IF($G$2,0,IF((Q$6-$G$3)&lt;1,0,IFERROR(LOOKUP(2,1/('Milho 1ª safra'!$E73:INDEX('Milho 1ª safra'!$E73:$Z73,MIN(Q$6-$G$3,22))&lt;&gt;""),'Milho 1ª safra'!$E73:INDEX('Milho 1ª safra'!$E73:$Z73,MIN(Q$6-$G$3,22))),0)))))</f>
        <v>0</v>
      </c>
      <c r="R75" s="27" t="n">
        <f aca="false">IF(COUNT('Milho 1ª safra'!$E73:$Z73)=0,0,MAX(0,IF((R$6-$E$3)&lt;1,0,IFERROR(LOOKUP(2,1/('Milho 1ª safra'!$E73:INDEX('Milho 1ª safra'!$E73:$Z73,MIN(R$6-$E$3,22))&lt;&gt;""),'Milho 1ª safra'!$E73:INDEX('Milho 1ª safra'!$E73:$Z73,MIN(R$6-$E$3,22))),0))-IF($G$2,0,IF((R$6-$G$3)&lt;1,0,IFERROR(LOOKUP(2,1/('Milho 1ª safra'!$E73:INDEX('Milho 1ª safra'!$E73:$Z73,MIN(R$6-$G$3,22))&lt;&gt;""),'Milho 1ª safra'!$E73:INDEX('Milho 1ª safra'!$E73:$Z73,MIN(R$6-$G$3,22))),0)))))</f>
        <v>0</v>
      </c>
      <c r="S75" s="27" t="n">
        <f aca="false">IF(COUNT('Milho 1ª safra'!$E73:$Z73)=0,0,MAX(0,IF((S$6-$E$3)&lt;1,0,IFERROR(LOOKUP(2,1/('Milho 1ª safra'!$E73:INDEX('Milho 1ª safra'!$E73:$Z73,MIN(S$6-$E$3,22))&lt;&gt;""),'Milho 1ª safra'!$E73:INDEX('Milho 1ª safra'!$E73:$Z73,MIN(S$6-$E$3,22))),0))-IF($G$2,0,IF((S$6-$G$3)&lt;1,0,IFERROR(LOOKUP(2,1/('Milho 1ª safra'!$E73:INDEX('Milho 1ª safra'!$E73:$Z73,MIN(S$6-$G$3,22))&lt;&gt;""),'Milho 1ª safra'!$E73:INDEX('Milho 1ª safra'!$E73:$Z73,MIN(S$6-$G$3,22))),0)))))</f>
        <v>0</v>
      </c>
      <c r="T75" s="27" t="n">
        <f aca="false">IF(COUNT('Milho 1ª safra'!$E73:$Z73)=0,0,MAX(0,IF((T$6-$E$3)&lt;1,0,IFERROR(LOOKUP(2,1/('Milho 1ª safra'!$E73:INDEX('Milho 1ª safra'!$E73:$Z73,MIN(T$6-$E$3,22))&lt;&gt;""),'Milho 1ª safra'!$E73:INDEX('Milho 1ª safra'!$E73:$Z73,MIN(T$6-$E$3,22))),0))-IF($G$2,0,IF((T$6-$G$3)&lt;1,0,IFERROR(LOOKUP(2,1/('Milho 1ª safra'!$E73:INDEX('Milho 1ª safra'!$E73:$Z73,MIN(T$6-$G$3,22))&lt;&gt;""),'Milho 1ª safra'!$E73:INDEX('Milho 1ª safra'!$E73:$Z73,MIN(T$6-$G$3,22))),0)))))</f>
        <v>0</v>
      </c>
      <c r="U75" s="27" t="n">
        <f aca="false">IF(COUNT('Milho 1ª safra'!$E73:$Z73)=0,0,MAX(0,IF((U$6-$E$3)&lt;1,0,IFERROR(LOOKUP(2,1/('Milho 1ª safra'!$E73:INDEX('Milho 1ª safra'!$E73:$Z73,MIN(U$6-$E$3,22))&lt;&gt;""),'Milho 1ª safra'!$E73:INDEX('Milho 1ª safra'!$E73:$Z73,MIN(U$6-$E$3,22))),0))-IF($G$2,0,IF((U$6-$G$3)&lt;1,0,IFERROR(LOOKUP(2,1/('Milho 1ª safra'!$E73:INDEX('Milho 1ª safra'!$E73:$Z73,MIN(U$6-$G$3,22))&lt;&gt;""),'Milho 1ª safra'!$E73:INDEX('Milho 1ª safra'!$E73:$Z73,MIN(U$6-$G$3,22))),0)))))</f>
        <v>0</v>
      </c>
      <c r="V75" s="27" t="n">
        <f aca="false">IF(COUNT('Milho 1ª safra'!$E73:$Z73)=0,0,MAX(0,IF((V$6-$E$3)&lt;1,0,IFERROR(LOOKUP(2,1/('Milho 1ª safra'!$E73:INDEX('Milho 1ª safra'!$E73:$Z73,MIN(V$6-$E$3,22))&lt;&gt;""),'Milho 1ª safra'!$E73:INDEX('Milho 1ª safra'!$E73:$Z73,MIN(V$6-$E$3,22))),0))-IF($G$2,0,IF((V$6-$G$3)&lt;1,0,IFERROR(LOOKUP(2,1/('Milho 1ª safra'!$E73:INDEX('Milho 1ª safra'!$E73:$Z73,MIN(V$6-$G$3,22))&lt;&gt;""),'Milho 1ª safra'!$E73:INDEX('Milho 1ª safra'!$E73:$Z73,MIN(V$6-$G$3,22))),0)))))</f>
        <v>0</v>
      </c>
      <c r="W75" s="27" t="n">
        <f aca="false">IF(COUNT('Milho 1ª safra'!$E73:$Z73)=0,0,MAX(0,IF((W$6-$E$3)&lt;1,0,IFERROR(LOOKUP(2,1/('Milho 1ª safra'!$E73:INDEX('Milho 1ª safra'!$E73:$Z73,MIN(W$6-$E$3,22))&lt;&gt;""),'Milho 1ª safra'!$E73:INDEX('Milho 1ª safra'!$E73:$Z73,MIN(W$6-$E$3,22))),0))-IF($G$2,0,IF((W$6-$G$3)&lt;1,0,IFERROR(LOOKUP(2,1/('Milho 1ª safra'!$E73:INDEX('Milho 1ª safra'!$E73:$Z73,MIN(W$6-$G$3,22))&lt;&gt;""),'Milho 1ª safra'!$E73:INDEX('Milho 1ª safra'!$E73:$Z73,MIN(W$6-$G$3,22))),0)))))</f>
        <v>0</v>
      </c>
      <c r="X75" s="27" t="n">
        <f aca="false">IF(COUNT('Milho 1ª safra'!$E73:$Z73)=0,0,MAX(0,IF((X$6-$E$3)&lt;1,0,IFERROR(LOOKUP(2,1/('Milho 1ª safra'!$E73:INDEX('Milho 1ª safra'!$E73:$Z73,MIN(X$6-$E$3,22))&lt;&gt;""),'Milho 1ª safra'!$E73:INDEX('Milho 1ª safra'!$E73:$Z73,MIN(X$6-$E$3,22))),0))-IF($G$2,0,IF((X$6-$G$3)&lt;1,0,IFERROR(LOOKUP(2,1/('Milho 1ª safra'!$E73:INDEX('Milho 1ª safra'!$E73:$Z73,MIN(X$6-$G$3,22))&lt;&gt;""),'Milho 1ª safra'!$E73:INDEX('Milho 1ª safra'!$E73:$Z73,MIN(X$6-$G$3,22))),0)))))</f>
        <v>0</v>
      </c>
      <c r="Y75" s="27" t="n">
        <f aca="false">IF(COUNT('Milho 1ª safra'!$E73:$Z73)=0,0,MAX(0,IF((Y$6-$E$3)&lt;1,0,IFERROR(LOOKUP(2,1/('Milho 1ª safra'!$E73:INDEX('Milho 1ª safra'!$E73:$Z73,MIN(Y$6-$E$3,22))&lt;&gt;""),'Milho 1ª safra'!$E73:INDEX('Milho 1ª safra'!$E73:$Z73,MIN(Y$6-$E$3,22))),0))-IF($G$2,0,IF((Y$6-$G$3)&lt;1,0,IFERROR(LOOKUP(2,1/('Milho 1ª safra'!$E73:INDEX('Milho 1ª safra'!$E73:$Z73,MIN(Y$6-$G$3,22))&lt;&gt;""),'Milho 1ª safra'!$E73:INDEX('Milho 1ª safra'!$E73:$Z73,MIN(Y$6-$G$3,22))),0)))))</f>
        <v>0</v>
      </c>
      <c r="Z75" s="27" t="n">
        <f aca="false">IF(COUNT('Milho 1ª safra'!$E73:$Z73)=0,0,MAX(0,IF((Z$6-$E$3)&lt;1,0,IFERROR(LOOKUP(2,1/('Milho 1ª safra'!$E73:INDEX('Milho 1ª safra'!$E73:$Z73,MIN(Z$6-$E$3,22))&lt;&gt;""),'Milho 1ª safra'!$E73:INDEX('Milho 1ª safra'!$E73:$Z73,MIN(Z$6-$E$3,22))),0))-IF($G$2,0,IF((Z$6-$G$3)&lt;1,0,IFERROR(LOOKUP(2,1/('Milho 1ª safra'!$E73:INDEX('Milho 1ª safra'!$E73:$Z73,MIN(Z$6-$G$3,22))&lt;&gt;""),'Milho 1ª safra'!$E73:INDEX('Milho 1ª safra'!$E73:$Z73,MIN(Z$6-$G$3,22))),0)))))</f>
        <v>0</v>
      </c>
      <c r="AA75" s="27" t="n">
        <f aca="false">IF(COUNT('Milho 1ª safra'!$E73:$Z73)=0,0,MAX(0,IF((AA$6-$E$3)&lt;1,0,IFERROR(LOOKUP(2,1/('Milho 1ª safra'!$E73:INDEX('Milho 1ª safra'!$E73:$Z73,MIN(AA$6-$E$3,22))&lt;&gt;""),'Milho 1ª safra'!$E73:INDEX('Milho 1ª safra'!$E73:$Z73,MIN(AA$6-$E$3,22))),0))-IF($G$2,0,IF((AA$6-$G$3)&lt;1,0,IFERROR(LOOKUP(2,1/('Milho 1ª safra'!$E73:INDEX('Milho 1ª safra'!$E73:$Z73,MIN(AA$6-$G$3,22))&lt;&gt;""),'Milho 1ª safra'!$E73:INDEX('Milho 1ª safra'!$E73:$Z73,MIN(AA$6-$G$3,22))),0)))))</f>
        <v>0</v>
      </c>
      <c r="AB75" s="27" t="n">
        <f aca="false">IF(COUNT('Milho 1ª safra'!$E73:$Z73)=0,0,MAX(0,IF((AB$6-$E$3)&lt;1,0,IFERROR(LOOKUP(2,1/('Milho 1ª safra'!$E73:INDEX('Milho 1ª safra'!$E73:$Z73,MIN(AB$6-$E$3,22))&lt;&gt;""),'Milho 1ª safra'!$E73:INDEX('Milho 1ª safra'!$E73:$Z73,MIN(AB$6-$E$3,22))),0))-IF($G$2,0,IF((AB$6-$G$3)&lt;1,0,IFERROR(LOOKUP(2,1/('Milho 1ª safra'!$E73:INDEX('Milho 1ª safra'!$E73:$Z73,MIN(AB$6-$G$3,22))&lt;&gt;""),'Milho 1ª safra'!$E73:INDEX('Milho 1ª safra'!$E73:$Z73,MIN(AB$6-$G$3,22))),0)))))</f>
        <v>0</v>
      </c>
      <c r="AC75" s="27" t="n">
        <f aca="false">IF(COUNT('Milho 1ª safra'!$E73:$Z73)=0,0,MAX(0,IF((AC$6-$E$3)&lt;1,0,IFERROR(LOOKUP(2,1/('Milho 1ª safra'!$E73:INDEX('Milho 1ª safra'!$E73:$Z73,MIN(AC$6-$E$3,22))&lt;&gt;""),'Milho 1ª safra'!$E73:INDEX('Milho 1ª safra'!$E73:$Z73,MIN(AC$6-$E$3,22))),0))-IF($G$2,0,IF((AC$6-$G$3)&lt;1,0,IFERROR(LOOKUP(2,1/('Milho 1ª safra'!$E73:INDEX('Milho 1ª safra'!$E73:$Z73,MIN(AC$6-$G$3,22))&lt;&gt;""),'Milho 1ª safra'!$E73:INDEX('Milho 1ª safra'!$E73:$Z73,MIN(AC$6-$G$3,22))),0)))))</f>
        <v>0</v>
      </c>
      <c r="AD75" s="27" t="n">
        <f aca="false">IF(COUNT('Milho 1ª safra'!$E73:$Z73)=0,0,MAX(0,IF((AD$6-$E$3)&lt;1,0,IFERROR(LOOKUP(2,1/('Milho 1ª safra'!$E73:INDEX('Milho 1ª safra'!$E73:$Z73,MIN(AD$6-$E$3,22))&lt;&gt;""),'Milho 1ª safra'!$E73:INDEX('Milho 1ª safra'!$E73:$Z73,MIN(AD$6-$E$3,22))),0))-IF($G$2,0,IF((AD$6-$G$3)&lt;1,0,IFERROR(LOOKUP(2,1/('Milho 1ª safra'!$E73:INDEX('Milho 1ª safra'!$E73:$Z73,MIN(AD$6-$G$3,22))&lt;&gt;""),'Milho 1ª safra'!$E73:INDEX('Milho 1ª safra'!$E73:$Z73,MIN(AD$6-$G$3,22))),0)))))</f>
        <v>0</v>
      </c>
      <c r="AE75" s="27" t="n">
        <f aca="false">IF(COUNT('Milho 1ª safra'!$E73:$Z73)=0,0,MAX(0,IF((AE$6-$E$3)&lt;1,0,IFERROR(LOOKUP(2,1/('Milho 1ª safra'!$E73:INDEX('Milho 1ª safra'!$E73:$Z73,MIN(AE$6-$E$3,22))&lt;&gt;""),'Milho 1ª safra'!$E73:INDEX('Milho 1ª safra'!$E73:$Z73,MIN(AE$6-$E$3,22))),0))-IF($G$2,0,IF((AE$6-$G$3)&lt;1,0,IFERROR(LOOKUP(2,1/('Milho 1ª safra'!$E73:INDEX('Milho 1ª safra'!$E73:$Z73,MIN(AE$6-$G$3,22))&lt;&gt;""),'Milho 1ª safra'!$E73:INDEX('Milho 1ª safra'!$E73:$Z73,MIN(AE$6-$G$3,22))),0)))))</f>
        <v>0</v>
      </c>
      <c r="AF75" s="27" t="n">
        <f aca="false">IF(COUNT('Milho 1ª safra'!$E73:$Z73)=0,0,MAX(0,IF((AF$6-$E$3)&lt;1,0,IFERROR(LOOKUP(2,1/('Milho 1ª safra'!$E73:INDEX('Milho 1ª safra'!$E73:$Z73,MIN(AF$6-$E$3,22))&lt;&gt;""),'Milho 1ª safra'!$E73:INDEX('Milho 1ª safra'!$E73:$Z73,MIN(AF$6-$E$3,22))),0))-IF($G$2,0,IF((AF$6-$G$3)&lt;1,0,IFERROR(LOOKUP(2,1/('Milho 1ª safra'!$E73:INDEX('Milho 1ª safra'!$E73:$Z73,MIN(AF$6-$G$3,22))&lt;&gt;""),'Milho 1ª safra'!$E73:INDEX('Milho 1ª safra'!$E73:$Z73,MIN(AF$6-$G$3,22))),0)))))</f>
        <v>0</v>
      </c>
      <c r="AG75" s="27" t="n">
        <f aca="false">IF(COUNT('Milho 1ª safra'!$E73:$Z73)=0,0,MAX(0,IF((AG$6-$E$3)&lt;1,0,IFERROR(LOOKUP(2,1/('Milho 1ª safra'!$E73:INDEX('Milho 1ª safra'!$E73:$Z73,MIN(AG$6-$E$3,22))&lt;&gt;""),'Milho 1ª safra'!$E73:INDEX('Milho 1ª safra'!$E73:$Z73,MIN(AG$6-$E$3,22))),0))-IF($G$2,0,IF((AG$6-$G$3)&lt;1,0,IFERROR(LOOKUP(2,1/('Milho 1ª safra'!$E73:INDEX('Milho 1ª safra'!$E73:$Z73,MIN(AG$6-$G$3,22))&lt;&gt;""),'Milho 1ª safra'!$E73:INDEX('Milho 1ª safra'!$E73:$Z73,MIN(AG$6-$G$3,22))),0)))))</f>
        <v>0</v>
      </c>
      <c r="AH75" s="27" t="n">
        <f aca="false">IF(COUNT('Milho 1ª safra'!$E73:$Z73)=0,0,MAX(0,IF((AH$6-$E$3)&lt;1,0,IFERROR(LOOKUP(2,1/('Milho 1ª safra'!$E73:INDEX('Milho 1ª safra'!$E73:$Z73,MIN(AH$6-$E$3,22))&lt;&gt;""),'Milho 1ª safra'!$E73:INDEX('Milho 1ª safra'!$E73:$Z73,MIN(AH$6-$E$3,22))),0))-IF($G$2,0,IF((AH$6-$G$3)&lt;1,0,IFERROR(LOOKUP(2,1/('Milho 1ª safra'!$E73:INDEX('Milho 1ª safra'!$E73:$Z73,MIN(AH$6-$G$3,22))&lt;&gt;""),'Milho 1ª safra'!$E73:INDEX('Milho 1ª safra'!$E73:$Z73,MIN(AH$6-$G$3,22))),0)))))</f>
        <v>0</v>
      </c>
      <c r="AI75" s="27" t="n">
        <f aca="false">IF(COUNT('Milho 1ª safra'!$E73:$Z73)=0,0,MAX(0,IF((AI$6-$E$3)&lt;1,0,IFERROR(LOOKUP(2,1/('Milho 1ª safra'!$E73:INDEX('Milho 1ª safra'!$E73:$Z73,MIN(AI$6-$E$3,22))&lt;&gt;""),'Milho 1ª safra'!$E73:INDEX('Milho 1ª safra'!$E73:$Z73,MIN(AI$6-$E$3,22))),0))-IF($G$2,0,IF((AI$6-$G$3)&lt;1,0,IFERROR(LOOKUP(2,1/('Milho 1ª safra'!$E73:INDEX('Milho 1ª safra'!$E73:$Z73,MIN(AI$6-$G$3,22))&lt;&gt;""),'Milho 1ª safra'!$E73:INDEX('Milho 1ª safra'!$E73:$Z73,MIN(AI$6-$G$3,22))),0)))))</f>
        <v>0</v>
      </c>
      <c r="AJ75" s="27" t="n">
        <f aca="false">IF(COUNT('Milho 1ª safra'!$E73:$Z73)=0,0,MAX(0,IF((AJ$6-$E$3)&lt;1,0,IFERROR(LOOKUP(2,1/('Milho 1ª safra'!$E73:INDEX('Milho 1ª safra'!$E73:$Z73,MIN(AJ$6-$E$3,22))&lt;&gt;""),'Milho 1ª safra'!$E73:INDEX('Milho 1ª safra'!$E73:$Z73,MIN(AJ$6-$E$3,22))),0))-IF($G$2,0,IF((AJ$6-$G$3)&lt;1,0,IFERROR(LOOKUP(2,1/('Milho 1ª safra'!$E73:INDEX('Milho 1ª safra'!$E73:$Z73,MIN(AJ$6-$G$3,22))&lt;&gt;""),'Milho 1ª safra'!$E73:INDEX('Milho 1ª safra'!$E73:$Z73,MIN(AJ$6-$G$3,22))),0)))))</f>
        <v>0</v>
      </c>
      <c r="AK75" s="27" t="n">
        <f aca="false">IF(COUNT('Milho 1ª safra'!$E73:$Z73)=0,0,MAX(0,IF((AK$6-$E$3)&lt;1,0,IFERROR(LOOKUP(2,1/('Milho 1ª safra'!$E73:INDEX('Milho 1ª safra'!$E73:$Z73,MIN(AK$6-$E$3,22))&lt;&gt;""),'Milho 1ª safra'!$E73:INDEX('Milho 1ª safra'!$E73:$Z73,MIN(AK$6-$E$3,22))),0))-IF($G$2,0,IF((AK$6-$G$3)&lt;1,0,IFERROR(LOOKUP(2,1/('Milho 1ª safra'!$E73:INDEX('Milho 1ª safra'!$E73:$Z73,MIN(AK$6-$G$3,22))&lt;&gt;""),'Milho 1ª safra'!$E73:INDEX('Milho 1ª safra'!$E73:$Z73,MIN(AK$6-$G$3,22))),0)))))</f>
        <v>0</v>
      </c>
      <c r="AL75" s="27" t="n">
        <f aca="false">IF(COUNT('Milho 1ª safra'!$E73:$Z73)=0,0,MAX(0,IF((AL$6-$E$3)&lt;1,0,IFERROR(LOOKUP(2,1/('Milho 1ª safra'!$E73:INDEX('Milho 1ª safra'!$E73:$Z73,MIN(AL$6-$E$3,22))&lt;&gt;""),'Milho 1ª safra'!$E73:INDEX('Milho 1ª safra'!$E73:$Z73,MIN(AL$6-$E$3,22))),0))-IF($G$2,0,IF((AL$6-$G$3)&lt;1,0,IFERROR(LOOKUP(2,1/('Milho 1ª safra'!$E73:INDEX('Milho 1ª safra'!$E73:$Z73,MIN(AL$6-$G$3,22))&lt;&gt;""),'Milho 1ª safra'!$E73:INDEX('Milho 1ª safra'!$E73:$Z73,MIN(AL$6-$G$3,22))),0)))))</f>
        <v>0</v>
      </c>
      <c r="AM75" s="27" t="n">
        <f aca="false">IF(COUNT('Milho 1ª safra'!$E73:$Z73)=0,0,MAX(0,IF((AM$6-$E$3)&lt;1,0,IFERROR(LOOKUP(2,1/('Milho 1ª safra'!$E73:INDEX('Milho 1ª safra'!$E73:$Z73,MIN(AM$6-$E$3,22))&lt;&gt;""),'Milho 1ª safra'!$E73:INDEX('Milho 1ª safra'!$E73:$Z73,MIN(AM$6-$E$3,22))),0))-IF($G$2,0,IF((AM$6-$G$3)&lt;1,0,IFERROR(LOOKUP(2,1/('Milho 1ª safra'!$E73:INDEX('Milho 1ª safra'!$E73:$Z73,MIN(AM$6-$G$3,22))&lt;&gt;""),'Milho 1ª safra'!$E73:INDEX('Milho 1ª safra'!$E73:$Z73,MIN(AM$6-$G$3,22))),0)))))</f>
        <v>0</v>
      </c>
      <c r="AN75" s="27" t="n">
        <f aca="false">IF(COUNT('Milho 1ª safra'!$E73:$Z73)=0,0,MAX(0,IF((AN$6-$E$3)&lt;1,0,IFERROR(LOOKUP(2,1/('Milho 1ª safra'!$E73:INDEX('Milho 1ª safra'!$E73:$Z73,MIN(AN$6-$E$3,22))&lt;&gt;""),'Milho 1ª safra'!$E73:INDEX('Milho 1ª safra'!$E73:$Z73,MIN(AN$6-$E$3,22))),0))-IF($G$2,0,IF((AN$6-$G$3)&lt;1,0,IFERROR(LOOKUP(2,1/('Milho 1ª safra'!$E73:INDEX('Milho 1ª safra'!$E73:$Z73,MIN(AN$6-$G$3,22))&lt;&gt;""),'Milho 1ª safra'!$E73:INDEX('Milho 1ª safra'!$E73:$Z73,MIN(AN$6-$G$3,22))),0)))))</f>
        <v>0</v>
      </c>
      <c r="AO75" s="27" t="n">
        <f aca="false">IF(COUNT('Milho 1ª safra'!$E73:$Z73)=0,0,MAX(0,IF((AO$6-$E$3)&lt;1,0,IFERROR(LOOKUP(2,1/('Milho 1ª safra'!$E73:INDEX('Milho 1ª safra'!$E73:$Z73,MIN(AO$6-$E$3,22))&lt;&gt;""),'Milho 1ª safra'!$E73:INDEX('Milho 1ª safra'!$E73:$Z73,MIN(AO$6-$E$3,22))),0))-IF($G$2,0,IF((AO$6-$G$3)&lt;1,0,IFERROR(LOOKUP(2,1/('Milho 1ª safra'!$E73:INDEX('Milho 1ª safra'!$E73:$Z73,MIN(AO$6-$G$3,22))&lt;&gt;""),'Milho 1ª safra'!$E73:INDEX('Milho 1ª safra'!$E73:$Z73,MIN(AO$6-$G$3,22))),0)))))</f>
        <v>0</v>
      </c>
      <c r="AP75" s="27" t="n">
        <f aca="false">IF(COUNT('Milho 1ª safra'!$E73:$Z73)=0,0,MAX(0,IF((AP$6-$E$3)&lt;1,0,IFERROR(LOOKUP(2,1/('Milho 1ª safra'!$E73:INDEX('Milho 1ª safra'!$E73:$Z73,MIN(AP$6-$E$3,22))&lt;&gt;""),'Milho 1ª safra'!$E73:INDEX('Milho 1ª safra'!$E73:$Z73,MIN(AP$6-$E$3,22))),0))-IF($G$2,0,IF((AP$6-$G$3)&lt;1,0,IFERROR(LOOKUP(2,1/('Milho 1ª safra'!$E73:INDEX('Milho 1ª safra'!$E73:$Z73,MIN(AP$6-$G$3,22))&lt;&gt;""),'Milho 1ª safra'!$E73:INDEX('Milho 1ª safra'!$E73:$Z73,MIN(AP$6-$G$3,22))),0)))))</f>
        <v>0</v>
      </c>
      <c r="AQ75" s="27" t="n">
        <f aca="false">IF(COUNT('Milho 1ª safra'!$E73:$Z73)=0,0,MAX(0,IF((AQ$6-$E$3)&lt;1,0,IFERROR(LOOKUP(2,1/('Milho 1ª safra'!$E73:INDEX('Milho 1ª safra'!$E73:$Z73,MIN(AQ$6-$E$3,22))&lt;&gt;""),'Milho 1ª safra'!$E73:INDEX('Milho 1ª safra'!$E73:$Z73,MIN(AQ$6-$E$3,22))),0))-IF($G$2,0,IF((AQ$6-$G$3)&lt;1,0,IFERROR(LOOKUP(2,1/('Milho 1ª safra'!$E73:INDEX('Milho 1ª safra'!$E73:$Z73,MIN(AQ$6-$G$3,22))&lt;&gt;""),'Milho 1ª safra'!$E73:INDEX('Milho 1ª safra'!$E73:$Z73,MIN(AQ$6-$G$3,22))),0)))))</f>
        <v>0</v>
      </c>
      <c r="AR75" s="27" t="n">
        <f aca="false">IF(COUNT('Milho 1ª safra'!$E73:$Z73)=0,0,MAX(0,IF((AR$6-$E$3)&lt;1,0,IFERROR(LOOKUP(2,1/('Milho 1ª safra'!$E73:INDEX('Milho 1ª safra'!$E73:$Z73,MIN(AR$6-$E$3,22))&lt;&gt;""),'Milho 1ª safra'!$E73:INDEX('Milho 1ª safra'!$E73:$Z73,MIN(AR$6-$E$3,22))),0))-IF($G$2,0,IF((AR$6-$G$3)&lt;1,0,IFERROR(LOOKUP(2,1/('Milho 1ª safra'!$E73:INDEX('Milho 1ª safra'!$E73:$Z73,MIN(AR$6-$G$3,22))&lt;&gt;""),'Milho 1ª safra'!$E73:INDEX('Milho 1ª safra'!$E73:$Z73,MIN(AR$6-$G$3,22))),0)))))</f>
        <v>0</v>
      </c>
      <c r="AS75" s="27" t="n">
        <f aca="false">IF(COUNT('Milho 1ª safra'!$E73:$Z73)=0,0,MAX(0,IF((AS$6-$E$3)&lt;1,0,IFERROR(LOOKUP(2,1/('Milho 1ª safra'!$E73:INDEX('Milho 1ª safra'!$E73:$Z73,MIN(AS$6-$E$3,22))&lt;&gt;""),'Milho 1ª safra'!$E73:INDEX('Milho 1ª safra'!$E73:$Z73,MIN(AS$6-$E$3,22))),0))-IF($G$2,0,IF((AS$6-$G$3)&lt;1,0,IFERROR(LOOKUP(2,1/('Milho 1ª safra'!$E73:INDEX('Milho 1ª safra'!$E73:$Z73,MIN(AS$6-$G$3,22))&lt;&gt;""),'Milho 1ª safra'!$E73:INDEX('Milho 1ª safra'!$E73:$Z73,MIN(AS$6-$G$3,22))),0)))))</f>
        <v>0</v>
      </c>
      <c r="AT75" s="27" t="n">
        <f aca="false">IF(COUNT('Milho 1ª safra'!$E73:$Z73)=0,0,MAX(0,IF((AT$6-$E$3)&lt;1,0,IFERROR(LOOKUP(2,1/('Milho 1ª safra'!$E73:INDEX('Milho 1ª safra'!$E73:$Z73,MIN(AT$6-$E$3,22))&lt;&gt;""),'Milho 1ª safra'!$E73:INDEX('Milho 1ª safra'!$E73:$Z73,MIN(AT$6-$E$3,22))),0))-IF($G$2,0,IF((AT$6-$G$3)&lt;1,0,IFERROR(LOOKUP(2,1/('Milho 1ª safra'!$E73:INDEX('Milho 1ª safra'!$E73:$Z73,MIN(AT$6-$G$3,22))&lt;&gt;""),'Milho 1ª safra'!$E73:INDEX('Milho 1ª safra'!$E73:$Z73,MIN(AT$6-$G$3,22))),0)))))</f>
        <v>0</v>
      </c>
      <c r="AU75" s="27" t="n">
        <f aca="false">IF(COUNT('Milho 1ª safra'!$E73:$Z73)=0,0,MAX(0,IF((AU$6-$E$3)&lt;1,0,IFERROR(LOOKUP(2,1/('Milho 1ª safra'!$E73:INDEX('Milho 1ª safra'!$E73:$Z73,MIN(AU$6-$E$3,22))&lt;&gt;""),'Milho 1ª safra'!$E73:INDEX('Milho 1ª safra'!$E73:$Z73,MIN(AU$6-$E$3,22))),0))-IF($G$2,0,IF((AU$6-$G$3)&lt;1,0,IFERROR(LOOKUP(2,1/('Milho 1ª safra'!$E73:INDEX('Milho 1ª safra'!$E73:$Z73,MIN(AU$6-$G$3,22))&lt;&gt;""),'Milho 1ª safra'!$E73:INDEX('Milho 1ª safra'!$E73:$Z73,MIN(AU$6-$G$3,22))),0)))))</f>
        <v>0</v>
      </c>
      <c r="AV75" s="27" t="n">
        <f aca="false">IF(COUNT('Milho 1ª safra'!$E73:$Z73)=0,0,MAX(0,IF((AV$6-$E$3)&lt;1,0,IFERROR(LOOKUP(2,1/('Milho 1ª safra'!$E73:INDEX('Milho 1ª safra'!$E73:$Z73,MIN(AV$6-$E$3,22))&lt;&gt;""),'Milho 1ª safra'!$E73:INDEX('Milho 1ª safra'!$E73:$Z73,MIN(AV$6-$E$3,22))),0))-IF($G$2,0,IF((AV$6-$G$3)&lt;1,0,IFERROR(LOOKUP(2,1/('Milho 1ª safra'!$E73:INDEX('Milho 1ª safra'!$E73:$Z73,MIN(AV$6-$G$3,22))&lt;&gt;""),'Milho 1ª safra'!$E73:INDEX('Milho 1ª safra'!$E73:$Z73,MIN(AV$6-$G$3,22))),0)))))</f>
        <v>0</v>
      </c>
      <c r="AW75" s="27" t="n">
        <f aca="false">IF(COUNT('Milho 1ª safra'!$E73:$Z73)=0,0,MAX(0,IF((AW$6-$E$3)&lt;1,0,IFERROR(LOOKUP(2,1/('Milho 1ª safra'!$E73:INDEX('Milho 1ª safra'!$E73:$Z73,MIN(AW$6-$E$3,22))&lt;&gt;""),'Milho 1ª safra'!$E73:INDEX('Milho 1ª safra'!$E73:$Z73,MIN(AW$6-$E$3,22))),0))-IF($G$2,0,IF((AW$6-$G$3)&lt;1,0,IFERROR(LOOKUP(2,1/('Milho 1ª safra'!$E73:INDEX('Milho 1ª safra'!$E73:$Z73,MIN(AW$6-$G$3,22))&lt;&gt;""),'Milho 1ª safra'!$E73:INDEX('Milho 1ª safra'!$E73:$Z73,MIN(AW$6-$G$3,22))),0)))))</f>
        <v>0</v>
      </c>
      <c r="AX75" s="27" t="n">
        <f aca="false">IF(COUNT('Milho 1ª safra'!$E73:$Z73)=0,0,MAX(0,IF((AX$6-$E$3)&lt;1,0,IFERROR(LOOKUP(2,1/('Milho 1ª safra'!$E73:INDEX('Milho 1ª safra'!$E73:$Z73,MIN(AX$6-$E$3,22))&lt;&gt;""),'Milho 1ª safra'!$E73:INDEX('Milho 1ª safra'!$E73:$Z73,MIN(AX$6-$E$3,22))),0))-IF($G$2,0,IF((AX$6-$G$3)&lt;1,0,IFERROR(LOOKUP(2,1/('Milho 1ª safra'!$E73:INDEX('Milho 1ª safra'!$E73:$Z73,MIN(AX$6-$G$3,22))&lt;&gt;""),'Milho 1ª safra'!$E73:INDEX('Milho 1ª safra'!$E73:$Z73,MIN(AX$6-$G$3,22))),0)))))</f>
        <v>0</v>
      </c>
      <c r="AY75" s="27" t="n">
        <f aca="false">IF(COUNT('Milho 1ª safra'!$E73:$Z73)=0,0,MAX(0,IF((AY$6-$E$3)&lt;1,0,IFERROR(LOOKUP(2,1/('Milho 1ª safra'!$E73:INDEX('Milho 1ª safra'!$E73:$Z73,MIN(AY$6-$E$3,22))&lt;&gt;""),'Milho 1ª safra'!$E73:INDEX('Milho 1ª safra'!$E73:$Z73,MIN(AY$6-$E$3,22))),0))-IF($G$2,0,IF((AY$6-$G$3)&lt;1,0,IFERROR(LOOKUP(2,1/('Milho 1ª safra'!$E73:INDEX('Milho 1ª safra'!$E73:$Z73,MIN(AY$6-$G$3,22))&lt;&gt;""),'Milho 1ª safra'!$E73:INDEX('Milho 1ª safra'!$E73:$Z73,MIN(AY$6-$G$3,22))),0)))))</f>
        <v>0</v>
      </c>
      <c r="AZ75" s="27" t="n">
        <f aca="false">IF(COUNT('Milho 1ª safra'!$E73:$Z73)=0,0,MAX(0,IF((AZ$6-$E$3)&lt;1,0,IFERROR(LOOKUP(2,1/('Milho 1ª safra'!$E73:INDEX('Milho 1ª safra'!$E73:$Z73,MIN(AZ$6-$E$3,22))&lt;&gt;""),'Milho 1ª safra'!$E73:INDEX('Milho 1ª safra'!$E73:$Z73,MIN(AZ$6-$E$3,22))),0))-IF($G$2,0,IF((AZ$6-$G$3)&lt;1,0,IFERROR(LOOKUP(2,1/('Milho 1ª safra'!$E73:INDEX('Milho 1ª safra'!$E73:$Z73,MIN(AZ$6-$G$3,22))&lt;&gt;""),'Milho 1ª safra'!$E73:INDEX('Milho 1ª safra'!$E73:$Z73,MIN(AZ$6-$G$3,22))),0)))))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IF(COUNT('Milho 1ª safra'!$E74:$Z74)&gt;0,N('Milho 1ª safra'!$D74),0)</f>
        <v>0</v>
      </c>
      <c r="E76" s="27" t="n">
        <f aca="false">IF(COUNT('Milho 1ª safra'!$E74:$Z74)=0,0,MAX(0,IF((E$6-$E$3)&lt;1,0,IFERROR(LOOKUP(2,1/('Milho 1ª safra'!$E74:INDEX('Milho 1ª safra'!$E74:$Z74,MIN(E$6-$E$3,22))&lt;&gt;""),'Milho 1ª safra'!$E74:INDEX('Milho 1ª safra'!$E74:$Z74,MIN(E$6-$E$3,22))),0))-IF($G$2,0,IF((E$6-$G$3)&lt;1,0,IFERROR(LOOKUP(2,1/('Milho 1ª safra'!$E74:INDEX('Milho 1ª safra'!$E74:$Z74,MIN(E$6-$G$3,22))&lt;&gt;""),'Milho 1ª safra'!$E74:INDEX('Milho 1ª safra'!$E74:$Z74,MIN(E$6-$G$3,22))),0)))))</f>
        <v>0</v>
      </c>
      <c r="F76" s="27" t="n">
        <f aca="false">IF(COUNT('Milho 1ª safra'!$E74:$Z74)=0,0,MAX(0,IF((F$6-$E$3)&lt;1,0,IFERROR(LOOKUP(2,1/('Milho 1ª safra'!$E74:INDEX('Milho 1ª safra'!$E74:$Z74,MIN(F$6-$E$3,22))&lt;&gt;""),'Milho 1ª safra'!$E74:INDEX('Milho 1ª safra'!$E74:$Z74,MIN(F$6-$E$3,22))),0))-IF($G$2,0,IF((F$6-$G$3)&lt;1,0,IFERROR(LOOKUP(2,1/('Milho 1ª safra'!$E74:INDEX('Milho 1ª safra'!$E74:$Z74,MIN(F$6-$G$3,22))&lt;&gt;""),'Milho 1ª safra'!$E74:INDEX('Milho 1ª safra'!$E74:$Z74,MIN(F$6-$G$3,22))),0)))))</f>
        <v>0</v>
      </c>
      <c r="G76" s="27" t="n">
        <f aca="false">IF(COUNT('Milho 1ª safra'!$E74:$Z74)=0,0,MAX(0,IF((G$6-$E$3)&lt;1,0,IFERROR(LOOKUP(2,1/('Milho 1ª safra'!$E74:INDEX('Milho 1ª safra'!$E74:$Z74,MIN(G$6-$E$3,22))&lt;&gt;""),'Milho 1ª safra'!$E74:INDEX('Milho 1ª safra'!$E74:$Z74,MIN(G$6-$E$3,22))),0))-IF($G$2,0,IF((G$6-$G$3)&lt;1,0,IFERROR(LOOKUP(2,1/('Milho 1ª safra'!$E74:INDEX('Milho 1ª safra'!$E74:$Z74,MIN(G$6-$G$3,22))&lt;&gt;""),'Milho 1ª safra'!$E74:INDEX('Milho 1ª safra'!$E74:$Z74,MIN(G$6-$G$3,22))),0)))))</f>
        <v>0</v>
      </c>
      <c r="H76" s="27" t="n">
        <f aca="false">IF(COUNT('Milho 1ª safra'!$E74:$Z74)=0,0,MAX(0,IF((H$6-$E$3)&lt;1,0,IFERROR(LOOKUP(2,1/('Milho 1ª safra'!$E74:INDEX('Milho 1ª safra'!$E74:$Z74,MIN(H$6-$E$3,22))&lt;&gt;""),'Milho 1ª safra'!$E74:INDEX('Milho 1ª safra'!$E74:$Z74,MIN(H$6-$E$3,22))),0))-IF($G$2,0,IF((H$6-$G$3)&lt;1,0,IFERROR(LOOKUP(2,1/('Milho 1ª safra'!$E74:INDEX('Milho 1ª safra'!$E74:$Z74,MIN(H$6-$G$3,22))&lt;&gt;""),'Milho 1ª safra'!$E74:INDEX('Milho 1ª safra'!$E74:$Z74,MIN(H$6-$G$3,22))),0)))))</f>
        <v>0</v>
      </c>
      <c r="I76" s="27" t="n">
        <f aca="false">IF(COUNT('Milho 1ª safra'!$E74:$Z74)=0,0,MAX(0,IF((I$6-$E$3)&lt;1,0,IFERROR(LOOKUP(2,1/('Milho 1ª safra'!$E74:INDEX('Milho 1ª safra'!$E74:$Z74,MIN(I$6-$E$3,22))&lt;&gt;""),'Milho 1ª safra'!$E74:INDEX('Milho 1ª safra'!$E74:$Z74,MIN(I$6-$E$3,22))),0))-IF($G$2,0,IF((I$6-$G$3)&lt;1,0,IFERROR(LOOKUP(2,1/('Milho 1ª safra'!$E74:INDEX('Milho 1ª safra'!$E74:$Z74,MIN(I$6-$G$3,22))&lt;&gt;""),'Milho 1ª safra'!$E74:INDEX('Milho 1ª safra'!$E74:$Z74,MIN(I$6-$G$3,22))),0)))))</f>
        <v>0</v>
      </c>
      <c r="J76" s="27" t="n">
        <f aca="false">IF(COUNT('Milho 1ª safra'!$E74:$Z74)=0,0,MAX(0,IF((J$6-$E$3)&lt;1,0,IFERROR(LOOKUP(2,1/('Milho 1ª safra'!$E74:INDEX('Milho 1ª safra'!$E74:$Z74,MIN(J$6-$E$3,22))&lt;&gt;""),'Milho 1ª safra'!$E74:INDEX('Milho 1ª safra'!$E74:$Z74,MIN(J$6-$E$3,22))),0))-IF($G$2,0,IF((J$6-$G$3)&lt;1,0,IFERROR(LOOKUP(2,1/('Milho 1ª safra'!$E74:INDEX('Milho 1ª safra'!$E74:$Z74,MIN(J$6-$G$3,22))&lt;&gt;""),'Milho 1ª safra'!$E74:INDEX('Milho 1ª safra'!$E74:$Z74,MIN(J$6-$G$3,22))),0)))))</f>
        <v>0</v>
      </c>
      <c r="K76" s="27" t="n">
        <f aca="false">IF(COUNT('Milho 1ª safra'!$E74:$Z74)=0,0,MAX(0,IF((K$6-$E$3)&lt;1,0,IFERROR(LOOKUP(2,1/('Milho 1ª safra'!$E74:INDEX('Milho 1ª safra'!$E74:$Z74,MIN(K$6-$E$3,22))&lt;&gt;""),'Milho 1ª safra'!$E74:INDEX('Milho 1ª safra'!$E74:$Z74,MIN(K$6-$E$3,22))),0))-IF($G$2,0,IF((K$6-$G$3)&lt;1,0,IFERROR(LOOKUP(2,1/('Milho 1ª safra'!$E74:INDEX('Milho 1ª safra'!$E74:$Z74,MIN(K$6-$G$3,22))&lt;&gt;""),'Milho 1ª safra'!$E74:INDEX('Milho 1ª safra'!$E74:$Z74,MIN(K$6-$G$3,22))),0)))))</f>
        <v>0</v>
      </c>
      <c r="L76" s="27" t="n">
        <f aca="false">IF(COUNT('Milho 1ª safra'!$E74:$Z74)=0,0,MAX(0,IF((L$6-$E$3)&lt;1,0,IFERROR(LOOKUP(2,1/('Milho 1ª safra'!$E74:INDEX('Milho 1ª safra'!$E74:$Z74,MIN(L$6-$E$3,22))&lt;&gt;""),'Milho 1ª safra'!$E74:INDEX('Milho 1ª safra'!$E74:$Z74,MIN(L$6-$E$3,22))),0))-IF($G$2,0,IF((L$6-$G$3)&lt;1,0,IFERROR(LOOKUP(2,1/('Milho 1ª safra'!$E74:INDEX('Milho 1ª safra'!$E74:$Z74,MIN(L$6-$G$3,22))&lt;&gt;""),'Milho 1ª safra'!$E74:INDEX('Milho 1ª safra'!$E74:$Z74,MIN(L$6-$G$3,22))),0)))))</f>
        <v>0</v>
      </c>
      <c r="M76" s="27" t="n">
        <f aca="false">IF(COUNT('Milho 1ª safra'!$E74:$Z74)=0,0,MAX(0,IF((M$6-$E$3)&lt;1,0,IFERROR(LOOKUP(2,1/('Milho 1ª safra'!$E74:INDEX('Milho 1ª safra'!$E74:$Z74,MIN(M$6-$E$3,22))&lt;&gt;""),'Milho 1ª safra'!$E74:INDEX('Milho 1ª safra'!$E74:$Z74,MIN(M$6-$E$3,22))),0))-IF($G$2,0,IF((M$6-$G$3)&lt;1,0,IFERROR(LOOKUP(2,1/('Milho 1ª safra'!$E74:INDEX('Milho 1ª safra'!$E74:$Z74,MIN(M$6-$G$3,22))&lt;&gt;""),'Milho 1ª safra'!$E74:INDEX('Milho 1ª safra'!$E74:$Z74,MIN(M$6-$G$3,22))),0)))))</f>
        <v>0</v>
      </c>
      <c r="N76" s="27" t="n">
        <f aca="false">IF(COUNT('Milho 1ª safra'!$E74:$Z74)=0,0,MAX(0,IF((N$6-$E$3)&lt;1,0,IFERROR(LOOKUP(2,1/('Milho 1ª safra'!$E74:INDEX('Milho 1ª safra'!$E74:$Z74,MIN(N$6-$E$3,22))&lt;&gt;""),'Milho 1ª safra'!$E74:INDEX('Milho 1ª safra'!$E74:$Z74,MIN(N$6-$E$3,22))),0))-IF($G$2,0,IF((N$6-$G$3)&lt;1,0,IFERROR(LOOKUP(2,1/('Milho 1ª safra'!$E74:INDEX('Milho 1ª safra'!$E74:$Z74,MIN(N$6-$G$3,22))&lt;&gt;""),'Milho 1ª safra'!$E74:INDEX('Milho 1ª safra'!$E74:$Z74,MIN(N$6-$G$3,22))),0)))))</f>
        <v>0</v>
      </c>
      <c r="O76" s="27" t="n">
        <f aca="false">IF(COUNT('Milho 1ª safra'!$E74:$Z74)=0,0,MAX(0,IF((O$6-$E$3)&lt;1,0,IFERROR(LOOKUP(2,1/('Milho 1ª safra'!$E74:INDEX('Milho 1ª safra'!$E74:$Z74,MIN(O$6-$E$3,22))&lt;&gt;""),'Milho 1ª safra'!$E74:INDEX('Milho 1ª safra'!$E74:$Z74,MIN(O$6-$E$3,22))),0))-IF($G$2,0,IF((O$6-$G$3)&lt;1,0,IFERROR(LOOKUP(2,1/('Milho 1ª safra'!$E74:INDEX('Milho 1ª safra'!$E74:$Z74,MIN(O$6-$G$3,22))&lt;&gt;""),'Milho 1ª safra'!$E74:INDEX('Milho 1ª safra'!$E74:$Z74,MIN(O$6-$G$3,22))),0)))))</f>
        <v>0</v>
      </c>
      <c r="P76" s="27" t="n">
        <f aca="false">IF(COUNT('Milho 1ª safra'!$E74:$Z74)=0,0,MAX(0,IF((P$6-$E$3)&lt;1,0,IFERROR(LOOKUP(2,1/('Milho 1ª safra'!$E74:INDEX('Milho 1ª safra'!$E74:$Z74,MIN(P$6-$E$3,22))&lt;&gt;""),'Milho 1ª safra'!$E74:INDEX('Milho 1ª safra'!$E74:$Z74,MIN(P$6-$E$3,22))),0))-IF($G$2,0,IF((P$6-$G$3)&lt;1,0,IFERROR(LOOKUP(2,1/('Milho 1ª safra'!$E74:INDEX('Milho 1ª safra'!$E74:$Z74,MIN(P$6-$G$3,22))&lt;&gt;""),'Milho 1ª safra'!$E74:INDEX('Milho 1ª safra'!$E74:$Z74,MIN(P$6-$G$3,22))),0)))))</f>
        <v>0</v>
      </c>
      <c r="Q76" s="27" t="n">
        <f aca="false">IF(COUNT('Milho 1ª safra'!$E74:$Z74)=0,0,MAX(0,IF((Q$6-$E$3)&lt;1,0,IFERROR(LOOKUP(2,1/('Milho 1ª safra'!$E74:INDEX('Milho 1ª safra'!$E74:$Z74,MIN(Q$6-$E$3,22))&lt;&gt;""),'Milho 1ª safra'!$E74:INDEX('Milho 1ª safra'!$E74:$Z74,MIN(Q$6-$E$3,22))),0))-IF($G$2,0,IF((Q$6-$G$3)&lt;1,0,IFERROR(LOOKUP(2,1/('Milho 1ª safra'!$E74:INDEX('Milho 1ª safra'!$E74:$Z74,MIN(Q$6-$G$3,22))&lt;&gt;""),'Milho 1ª safra'!$E74:INDEX('Milho 1ª safra'!$E74:$Z74,MIN(Q$6-$G$3,22))),0)))))</f>
        <v>0</v>
      </c>
      <c r="R76" s="27" t="n">
        <f aca="false">IF(COUNT('Milho 1ª safra'!$E74:$Z74)=0,0,MAX(0,IF((R$6-$E$3)&lt;1,0,IFERROR(LOOKUP(2,1/('Milho 1ª safra'!$E74:INDEX('Milho 1ª safra'!$E74:$Z74,MIN(R$6-$E$3,22))&lt;&gt;""),'Milho 1ª safra'!$E74:INDEX('Milho 1ª safra'!$E74:$Z74,MIN(R$6-$E$3,22))),0))-IF($G$2,0,IF((R$6-$G$3)&lt;1,0,IFERROR(LOOKUP(2,1/('Milho 1ª safra'!$E74:INDEX('Milho 1ª safra'!$E74:$Z74,MIN(R$6-$G$3,22))&lt;&gt;""),'Milho 1ª safra'!$E74:INDEX('Milho 1ª safra'!$E74:$Z74,MIN(R$6-$G$3,22))),0)))))</f>
        <v>0</v>
      </c>
      <c r="S76" s="27" t="n">
        <f aca="false">IF(COUNT('Milho 1ª safra'!$E74:$Z74)=0,0,MAX(0,IF((S$6-$E$3)&lt;1,0,IFERROR(LOOKUP(2,1/('Milho 1ª safra'!$E74:INDEX('Milho 1ª safra'!$E74:$Z74,MIN(S$6-$E$3,22))&lt;&gt;""),'Milho 1ª safra'!$E74:INDEX('Milho 1ª safra'!$E74:$Z74,MIN(S$6-$E$3,22))),0))-IF($G$2,0,IF((S$6-$G$3)&lt;1,0,IFERROR(LOOKUP(2,1/('Milho 1ª safra'!$E74:INDEX('Milho 1ª safra'!$E74:$Z74,MIN(S$6-$G$3,22))&lt;&gt;""),'Milho 1ª safra'!$E74:INDEX('Milho 1ª safra'!$E74:$Z74,MIN(S$6-$G$3,22))),0)))))</f>
        <v>0</v>
      </c>
      <c r="T76" s="27" t="n">
        <f aca="false">IF(COUNT('Milho 1ª safra'!$E74:$Z74)=0,0,MAX(0,IF((T$6-$E$3)&lt;1,0,IFERROR(LOOKUP(2,1/('Milho 1ª safra'!$E74:INDEX('Milho 1ª safra'!$E74:$Z74,MIN(T$6-$E$3,22))&lt;&gt;""),'Milho 1ª safra'!$E74:INDEX('Milho 1ª safra'!$E74:$Z74,MIN(T$6-$E$3,22))),0))-IF($G$2,0,IF((T$6-$G$3)&lt;1,0,IFERROR(LOOKUP(2,1/('Milho 1ª safra'!$E74:INDEX('Milho 1ª safra'!$E74:$Z74,MIN(T$6-$G$3,22))&lt;&gt;""),'Milho 1ª safra'!$E74:INDEX('Milho 1ª safra'!$E74:$Z74,MIN(T$6-$G$3,22))),0)))))</f>
        <v>0</v>
      </c>
      <c r="U76" s="27" t="n">
        <f aca="false">IF(COUNT('Milho 1ª safra'!$E74:$Z74)=0,0,MAX(0,IF((U$6-$E$3)&lt;1,0,IFERROR(LOOKUP(2,1/('Milho 1ª safra'!$E74:INDEX('Milho 1ª safra'!$E74:$Z74,MIN(U$6-$E$3,22))&lt;&gt;""),'Milho 1ª safra'!$E74:INDEX('Milho 1ª safra'!$E74:$Z74,MIN(U$6-$E$3,22))),0))-IF($G$2,0,IF((U$6-$G$3)&lt;1,0,IFERROR(LOOKUP(2,1/('Milho 1ª safra'!$E74:INDEX('Milho 1ª safra'!$E74:$Z74,MIN(U$6-$G$3,22))&lt;&gt;""),'Milho 1ª safra'!$E74:INDEX('Milho 1ª safra'!$E74:$Z74,MIN(U$6-$G$3,22))),0)))))</f>
        <v>0</v>
      </c>
      <c r="V76" s="27" t="n">
        <f aca="false">IF(COUNT('Milho 1ª safra'!$E74:$Z74)=0,0,MAX(0,IF((V$6-$E$3)&lt;1,0,IFERROR(LOOKUP(2,1/('Milho 1ª safra'!$E74:INDEX('Milho 1ª safra'!$E74:$Z74,MIN(V$6-$E$3,22))&lt;&gt;""),'Milho 1ª safra'!$E74:INDEX('Milho 1ª safra'!$E74:$Z74,MIN(V$6-$E$3,22))),0))-IF($G$2,0,IF((V$6-$G$3)&lt;1,0,IFERROR(LOOKUP(2,1/('Milho 1ª safra'!$E74:INDEX('Milho 1ª safra'!$E74:$Z74,MIN(V$6-$G$3,22))&lt;&gt;""),'Milho 1ª safra'!$E74:INDEX('Milho 1ª safra'!$E74:$Z74,MIN(V$6-$G$3,22))),0)))))</f>
        <v>0</v>
      </c>
      <c r="W76" s="27" t="n">
        <f aca="false">IF(COUNT('Milho 1ª safra'!$E74:$Z74)=0,0,MAX(0,IF((W$6-$E$3)&lt;1,0,IFERROR(LOOKUP(2,1/('Milho 1ª safra'!$E74:INDEX('Milho 1ª safra'!$E74:$Z74,MIN(W$6-$E$3,22))&lt;&gt;""),'Milho 1ª safra'!$E74:INDEX('Milho 1ª safra'!$E74:$Z74,MIN(W$6-$E$3,22))),0))-IF($G$2,0,IF((W$6-$G$3)&lt;1,0,IFERROR(LOOKUP(2,1/('Milho 1ª safra'!$E74:INDEX('Milho 1ª safra'!$E74:$Z74,MIN(W$6-$G$3,22))&lt;&gt;""),'Milho 1ª safra'!$E74:INDEX('Milho 1ª safra'!$E74:$Z74,MIN(W$6-$G$3,22))),0)))))</f>
        <v>0</v>
      </c>
      <c r="X76" s="27" t="n">
        <f aca="false">IF(COUNT('Milho 1ª safra'!$E74:$Z74)=0,0,MAX(0,IF((X$6-$E$3)&lt;1,0,IFERROR(LOOKUP(2,1/('Milho 1ª safra'!$E74:INDEX('Milho 1ª safra'!$E74:$Z74,MIN(X$6-$E$3,22))&lt;&gt;""),'Milho 1ª safra'!$E74:INDEX('Milho 1ª safra'!$E74:$Z74,MIN(X$6-$E$3,22))),0))-IF($G$2,0,IF((X$6-$G$3)&lt;1,0,IFERROR(LOOKUP(2,1/('Milho 1ª safra'!$E74:INDEX('Milho 1ª safra'!$E74:$Z74,MIN(X$6-$G$3,22))&lt;&gt;""),'Milho 1ª safra'!$E74:INDEX('Milho 1ª safra'!$E74:$Z74,MIN(X$6-$G$3,22))),0)))))</f>
        <v>0</v>
      </c>
      <c r="Y76" s="27" t="n">
        <f aca="false">IF(COUNT('Milho 1ª safra'!$E74:$Z74)=0,0,MAX(0,IF((Y$6-$E$3)&lt;1,0,IFERROR(LOOKUP(2,1/('Milho 1ª safra'!$E74:INDEX('Milho 1ª safra'!$E74:$Z74,MIN(Y$6-$E$3,22))&lt;&gt;""),'Milho 1ª safra'!$E74:INDEX('Milho 1ª safra'!$E74:$Z74,MIN(Y$6-$E$3,22))),0))-IF($G$2,0,IF((Y$6-$G$3)&lt;1,0,IFERROR(LOOKUP(2,1/('Milho 1ª safra'!$E74:INDEX('Milho 1ª safra'!$E74:$Z74,MIN(Y$6-$G$3,22))&lt;&gt;""),'Milho 1ª safra'!$E74:INDEX('Milho 1ª safra'!$E74:$Z74,MIN(Y$6-$G$3,22))),0)))))</f>
        <v>0</v>
      </c>
      <c r="Z76" s="27" t="n">
        <f aca="false">IF(COUNT('Milho 1ª safra'!$E74:$Z74)=0,0,MAX(0,IF((Z$6-$E$3)&lt;1,0,IFERROR(LOOKUP(2,1/('Milho 1ª safra'!$E74:INDEX('Milho 1ª safra'!$E74:$Z74,MIN(Z$6-$E$3,22))&lt;&gt;""),'Milho 1ª safra'!$E74:INDEX('Milho 1ª safra'!$E74:$Z74,MIN(Z$6-$E$3,22))),0))-IF($G$2,0,IF((Z$6-$G$3)&lt;1,0,IFERROR(LOOKUP(2,1/('Milho 1ª safra'!$E74:INDEX('Milho 1ª safra'!$E74:$Z74,MIN(Z$6-$G$3,22))&lt;&gt;""),'Milho 1ª safra'!$E74:INDEX('Milho 1ª safra'!$E74:$Z74,MIN(Z$6-$G$3,22))),0)))))</f>
        <v>0</v>
      </c>
      <c r="AA76" s="27" t="n">
        <f aca="false">IF(COUNT('Milho 1ª safra'!$E74:$Z74)=0,0,MAX(0,IF((AA$6-$E$3)&lt;1,0,IFERROR(LOOKUP(2,1/('Milho 1ª safra'!$E74:INDEX('Milho 1ª safra'!$E74:$Z74,MIN(AA$6-$E$3,22))&lt;&gt;""),'Milho 1ª safra'!$E74:INDEX('Milho 1ª safra'!$E74:$Z74,MIN(AA$6-$E$3,22))),0))-IF($G$2,0,IF((AA$6-$G$3)&lt;1,0,IFERROR(LOOKUP(2,1/('Milho 1ª safra'!$E74:INDEX('Milho 1ª safra'!$E74:$Z74,MIN(AA$6-$G$3,22))&lt;&gt;""),'Milho 1ª safra'!$E74:INDEX('Milho 1ª safra'!$E74:$Z74,MIN(AA$6-$G$3,22))),0)))))</f>
        <v>0</v>
      </c>
      <c r="AB76" s="27" t="n">
        <f aca="false">IF(COUNT('Milho 1ª safra'!$E74:$Z74)=0,0,MAX(0,IF((AB$6-$E$3)&lt;1,0,IFERROR(LOOKUP(2,1/('Milho 1ª safra'!$E74:INDEX('Milho 1ª safra'!$E74:$Z74,MIN(AB$6-$E$3,22))&lt;&gt;""),'Milho 1ª safra'!$E74:INDEX('Milho 1ª safra'!$E74:$Z74,MIN(AB$6-$E$3,22))),0))-IF($G$2,0,IF((AB$6-$G$3)&lt;1,0,IFERROR(LOOKUP(2,1/('Milho 1ª safra'!$E74:INDEX('Milho 1ª safra'!$E74:$Z74,MIN(AB$6-$G$3,22))&lt;&gt;""),'Milho 1ª safra'!$E74:INDEX('Milho 1ª safra'!$E74:$Z74,MIN(AB$6-$G$3,22))),0)))))</f>
        <v>0</v>
      </c>
      <c r="AC76" s="27" t="n">
        <f aca="false">IF(COUNT('Milho 1ª safra'!$E74:$Z74)=0,0,MAX(0,IF((AC$6-$E$3)&lt;1,0,IFERROR(LOOKUP(2,1/('Milho 1ª safra'!$E74:INDEX('Milho 1ª safra'!$E74:$Z74,MIN(AC$6-$E$3,22))&lt;&gt;""),'Milho 1ª safra'!$E74:INDEX('Milho 1ª safra'!$E74:$Z74,MIN(AC$6-$E$3,22))),0))-IF($G$2,0,IF((AC$6-$G$3)&lt;1,0,IFERROR(LOOKUP(2,1/('Milho 1ª safra'!$E74:INDEX('Milho 1ª safra'!$E74:$Z74,MIN(AC$6-$G$3,22))&lt;&gt;""),'Milho 1ª safra'!$E74:INDEX('Milho 1ª safra'!$E74:$Z74,MIN(AC$6-$G$3,22))),0)))))</f>
        <v>0</v>
      </c>
      <c r="AD76" s="27" t="n">
        <f aca="false">IF(COUNT('Milho 1ª safra'!$E74:$Z74)=0,0,MAX(0,IF((AD$6-$E$3)&lt;1,0,IFERROR(LOOKUP(2,1/('Milho 1ª safra'!$E74:INDEX('Milho 1ª safra'!$E74:$Z74,MIN(AD$6-$E$3,22))&lt;&gt;""),'Milho 1ª safra'!$E74:INDEX('Milho 1ª safra'!$E74:$Z74,MIN(AD$6-$E$3,22))),0))-IF($G$2,0,IF((AD$6-$G$3)&lt;1,0,IFERROR(LOOKUP(2,1/('Milho 1ª safra'!$E74:INDEX('Milho 1ª safra'!$E74:$Z74,MIN(AD$6-$G$3,22))&lt;&gt;""),'Milho 1ª safra'!$E74:INDEX('Milho 1ª safra'!$E74:$Z74,MIN(AD$6-$G$3,22))),0)))))</f>
        <v>0</v>
      </c>
      <c r="AE76" s="27" t="n">
        <f aca="false">IF(COUNT('Milho 1ª safra'!$E74:$Z74)=0,0,MAX(0,IF((AE$6-$E$3)&lt;1,0,IFERROR(LOOKUP(2,1/('Milho 1ª safra'!$E74:INDEX('Milho 1ª safra'!$E74:$Z74,MIN(AE$6-$E$3,22))&lt;&gt;""),'Milho 1ª safra'!$E74:INDEX('Milho 1ª safra'!$E74:$Z74,MIN(AE$6-$E$3,22))),0))-IF($G$2,0,IF((AE$6-$G$3)&lt;1,0,IFERROR(LOOKUP(2,1/('Milho 1ª safra'!$E74:INDEX('Milho 1ª safra'!$E74:$Z74,MIN(AE$6-$G$3,22))&lt;&gt;""),'Milho 1ª safra'!$E74:INDEX('Milho 1ª safra'!$E74:$Z74,MIN(AE$6-$G$3,22))),0)))))</f>
        <v>0</v>
      </c>
      <c r="AF76" s="27" t="n">
        <f aca="false">IF(COUNT('Milho 1ª safra'!$E74:$Z74)=0,0,MAX(0,IF((AF$6-$E$3)&lt;1,0,IFERROR(LOOKUP(2,1/('Milho 1ª safra'!$E74:INDEX('Milho 1ª safra'!$E74:$Z74,MIN(AF$6-$E$3,22))&lt;&gt;""),'Milho 1ª safra'!$E74:INDEX('Milho 1ª safra'!$E74:$Z74,MIN(AF$6-$E$3,22))),0))-IF($G$2,0,IF((AF$6-$G$3)&lt;1,0,IFERROR(LOOKUP(2,1/('Milho 1ª safra'!$E74:INDEX('Milho 1ª safra'!$E74:$Z74,MIN(AF$6-$G$3,22))&lt;&gt;""),'Milho 1ª safra'!$E74:INDEX('Milho 1ª safra'!$E74:$Z74,MIN(AF$6-$G$3,22))),0)))))</f>
        <v>0</v>
      </c>
      <c r="AG76" s="27" t="n">
        <f aca="false">IF(COUNT('Milho 1ª safra'!$E74:$Z74)=0,0,MAX(0,IF((AG$6-$E$3)&lt;1,0,IFERROR(LOOKUP(2,1/('Milho 1ª safra'!$E74:INDEX('Milho 1ª safra'!$E74:$Z74,MIN(AG$6-$E$3,22))&lt;&gt;""),'Milho 1ª safra'!$E74:INDEX('Milho 1ª safra'!$E74:$Z74,MIN(AG$6-$E$3,22))),0))-IF($G$2,0,IF((AG$6-$G$3)&lt;1,0,IFERROR(LOOKUP(2,1/('Milho 1ª safra'!$E74:INDEX('Milho 1ª safra'!$E74:$Z74,MIN(AG$6-$G$3,22))&lt;&gt;""),'Milho 1ª safra'!$E74:INDEX('Milho 1ª safra'!$E74:$Z74,MIN(AG$6-$G$3,22))),0)))))</f>
        <v>0</v>
      </c>
      <c r="AH76" s="27" t="n">
        <f aca="false">IF(COUNT('Milho 1ª safra'!$E74:$Z74)=0,0,MAX(0,IF((AH$6-$E$3)&lt;1,0,IFERROR(LOOKUP(2,1/('Milho 1ª safra'!$E74:INDEX('Milho 1ª safra'!$E74:$Z74,MIN(AH$6-$E$3,22))&lt;&gt;""),'Milho 1ª safra'!$E74:INDEX('Milho 1ª safra'!$E74:$Z74,MIN(AH$6-$E$3,22))),0))-IF($G$2,0,IF((AH$6-$G$3)&lt;1,0,IFERROR(LOOKUP(2,1/('Milho 1ª safra'!$E74:INDEX('Milho 1ª safra'!$E74:$Z74,MIN(AH$6-$G$3,22))&lt;&gt;""),'Milho 1ª safra'!$E74:INDEX('Milho 1ª safra'!$E74:$Z74,MIN(AH$6-$G$3,22))),0)))))</f>
        <v>0</v>
      </c>
      <c r="AI76" s="27" t="n">
        <f aca="false">IF(COUNT('Milho 1ª safra'!$E74:$Z74)=0,0,MAX(0,IF((AI$6-$E$3)&lt;1,0,IFERROR(LOOKUP(2,1/('Milho 1ª safra'!$E74:INDEX('Milho 1ª safra'!$E74:$Z74,MIN(AI$6-$E$3,22))&lt;&gt;""),'Milho 1ª safra'!$E74:INDEX('Milho 1ª safra'!$E74:$Z74,MIN(AI$6-$E$3,22))),0))-IF($G$2,0,IF((AI$6-$G$3)&lt;1,0,IFERROR(LOOKUP(2,1/('Milho 1ª safra'!$E74:INDEX('Milho 1ª safra'!$E74:$Z74,MIN(AI$6-$G$3,22))&lt;&gt;""),'Milho 1ª safra'!$E74:INDEX('Milho 1ª safra'!$E74:$Z74,MIN(AI$6-$G$3,22))),0)))))</f>
        <v>0</v>
      </c>
      <c r="AJ76" s="27" t="n">
        <f aca="false">IF(COUNT('Milho 1ª safra'!$E74:$Z74)=0,0,MAX(0,IF((AJ$6-$E$3)&lt;1,0,IFERROR(LOOKUP(2,1/('Milho 1ª safra'!$E74:INDEX('Milho 1ª safra'!$E74:$Z74,MIN(AJ$6-$E$3,22))&lt;&gt;""),'Milho 1ª safra'!$E74:INDEX('Milho 1ª safra'!$E74:$Z74,MIN(AJ$6-$E$3,22))),0))-IF($G$2,0,IF((AJ$6-$G$3)&lt;1,0,IFERROR(LOOKUP(2,1/('Milho 1ª safra'!$E74:INDEX('Milho 1ª safra'!$E74:$Z74,MIN(AJ$6-$G$3,22))&lt;&gt;""),'Milho 1ª safra'!$E74:INDEX('Milho 1ª safra'!$E74:$Z74,MIN(AJ$6-$G$3,22))),0)))))</f>
        <v>0</v>
      </c>
      <c r="AK76" s="27" t="n">
        <f aca="false">IF(COUNT('Milho 1ª safra'!$E74:$Z74)=0,0,MAX(0,IF((AK$6-$E$3)&lt;1,0,IFERROR(LOOKUP(2,1/('Milho 1ª safra'!$E74:INDEX('Milho 1ª safra'!$E74:$Z74,MIN(AK$6-$E$3,22))&lt;&gt;""),'Milho 1ª safra'!$E74:INDEX('Milho 1ª safra'!$E74:$Z74,MIN(AK$6-$E$3,22))),0))-IF($G$2,0,IF((AK$6-$G$3)&lt;1,0,IFERROR(LOOKUP(2,1/('Milho 1ª safra'!$E74:INDEX('Milho 1ª safra'!$E74:$Z74,MIN(AK$6-$G$3,22))&lt;&gt;""),'Milho 1ª safra'!$E74:INDEX('Milho 1ª safra'!$E74:$Z74,MIN(AK$6-$G$3,22))),0)))))</f>
        <v>0</v>
      </c>
      <c r="AL76" s="27" t="n">
        <f aca="false">IF(COUNT('Milho 1ª safra'!$E74:$Z74)=0,0,MAX(0,IF((AL$6-$E$3)&lt;1,0,IFERROR(LOOKUP(2,1/('Milho 1ª safra'!$E74:INDEX('Milho 1ª safra'!$E74:$Z74,MIN(AL$6-$E$3,22))&lt;&gt;""),'Milho 1ª safra'!$E74:INDEX('Milho 1ª safra'!$E74:$Z74,MIN(AL$6-$E$3,22))),0))-IF($G$2,0,IF((AL$6-$G$3)&lt;1,0,IFERROR(LOOKUP(2,1/('Milho 1ª safra'!$E74:INDEX('Milho 1ª safra'!$E74:$Z74,MIN(AL$6-$G$3,22))&lt;&gt;""),'Milho 1ª safra'!$E74:INDEX('Milho 1ª safra'!$E74:$Z74,MIN(AL$6-$G$3,22))),0)))))</f>
        <v>0</v>
      </c>
      <c r="AM76" s="27" t="n">
        <f aca="false">IF(COUNT('Milho 1ª safra'!$E74:$Z74)=0,0,MAX(0,IF((AM$6-$E$3)&lt;1,0,IFERROR(LOOKUP(2,1/('Milho 1ª safra'!$E74:INDEX('Milho 1ª safra'!$E74:$Z74,MIN(AM$6-$E$3,22))&lt;&gt;""),'Milho 1ª safra'!$E74:INDEX('Milho 1ª safra'!$E74:$Z74,MIN(AM$6-$E$3,22))),0))-IF($G$2,0,IF((AM$6-$G$3)&lt;1,0,IFERROR(LOOKUP(2,1/('Milho 1ª safra'!$E74:INDEX('Milho 1ª safra'!$E74:$Z74,MIN(AM$6-$G$3,22))&lt;&gt;""),'Milho 1ª safra'!$E74:INDEX('Milho 1ª safra'!$E74:$Z74,MIN(AM$6-$G$3,22))),0)))))</f>
        <v>0</v>
      </c>
      <c r="AN76" s="27" t="n">
        <f aca="false">IF(COUNT('Milho 1ª safra'!$E74:$Z74)=0,0,MAX(0,IF((AN$6-$E$3)&lt;1,0,IFERROR(LOOKUP(2,1/('Milho 1ª safra'!$E74:INDEX('Milho 1ª safra'!$E74:$Z74,MIN(AN$6-$E$3,22))&lt;&gt;""),'Milho 1ª safra'!$E74:INDEX('Milho 1ª safra'!$E74:$Z74,MIN(AN$6-$E$3,22))),0))-IF($G$2,0,IF((AN$6-$G$3)&lt;1,0,IFERROR(LOOKUP(2,1/('Milho 1ª safra'!$E74:INDEX('Milho 1ª safra'!$E74:$Z74,MIN(AN$6-$G$3,22))&lt;&gt;""),'Milho 1ª safra'!$E74:INDEX('Milho 1ª safra'!$E74:$Z74,MIN(AN$6-$G$3,22))),0)))))</f>
        <v>0</v>
      </c>
      <c r="AO76" s="27" t="n">
        <f aca="false">IF(COUNT('Milho 1ª safra'!$E74:$Z74)=0,0,MAX(0,IF((AO$6-$E$3)&lt;1,0,IFERROR(LOOKUP(2,1/('Milho 1ª safra'!$E74:INDEX('Milho 1ª safra'!$E74:$Z74,MIN(AO$6-$E$3,22))&lt;&gt;""),'Milho 1ª safra'!$E74:INDEX('Milho 1ª safra'!$E74:$Z74,MIN(AO$6-$E$3,22))),0))-IF($G$2,0,IF((AO$6-$G$3)&lt;1,0,IFERROR(LOOKUP(2,1/('Milho 1ª safra'!$E74:INDEX('Milho 1ª safra'!$E74:$Z74,MIN(AO$6-$G$3,22))&lt;&gt;""),'Milho 1ª safra'!$E74:INDEX('Milho 1ª safra'!$E74:$Z74,MIN(AO$6-$G$3,22))),0)))))</f>
        <v>0</v>
      </c>
      <c r="AP76" s="27" t="n">
        <f aca="false">IF(COUNT('Milho 1ª safra'!$E74:$Z74)=0,0,MAX(0,IF((AP$6-$E$3)&lt;1,0,IFERROR(LOOKUP(2,1/('Milho 1ª safra'!$E74:INDEX('Milho 1ª safra'!$E74:$Z74,MIN(AP$6-$E$3,22))&lt;&gt;""),'Milho 1ª safra'!$E74:INDEX('Milho 1ª safra'!$E74:$Z74,MIN(AP$6-$E$3,22))),0))-IF($G$2,0,IF((AP$6-$G$3)&lt;1,0,IFERROR(LOOKUP(2,1/('Milho 1ª safra'!$E74:INDEX('Milho 1ª safra'!$E74:$Z74,MIN(AP$6-$G$3,22))&lt;&gt;""),'Milho 1ª safra'!$E74:INDEX('Milho 1ª safra'!$E74:$Z74,MIN(AP$6-$G$3,22))),0)))))</f>
        <v>0</v>
      </c>
      <c r="AQ76" s="27" t="n">
        <f aca="false">IF(COUNT('Milho 1ª safra'!$E74:$Z74)=0,0,MAX(0,IF((AQ$6-$E$3)&lt;1,0,IFERROR(LOOKUP(2,1/('Milho 1ª safra'!$E74:INDEX('Milho 1ª safra'!$E74:$Z74,MIN(AQ$6-$E$3,22))&lt;&gt;""),'Milho 1ª safra'!$E74:INDEX('Milho 1ª safra'!$E74:$Z74,MIN(AQ$6-$E$3,22))),0))-IF($G$2,0,IF((AQ$6-$G$3)&lt;1,0,IFERROR(LOOKUP(2,1/('Milho 1ª safra'!$E74:INDEX('Milho 1ª safra'!$E74:$Z74,MIN(AQ$6-$G$3,22))&lt;&gt;""),'Milho 1ª safra'!$E74:INDEX('Milho 1ª safra'!$E74:$Z74,MIN(AQ$6-$G$3,22))),0)))))</f>
        <v>0</v>
      </c>
      <c r="AR76" s="27" t="n">
        <f aca="false">IF(COUNT('Milho 1ª safra'!$E74:$Z74)=0,0,MAX(0,IF((AR$6-$E$3)&lt;1,0,IFERROR(LOOKUP(2,1/('Milho 1ª safra'!$E74:INDEX('Milho 1ª safra'!$E74:$Z74,MIN(AR$6-$E$3,22))&lt;&gt;""),'Milho 1ª safra'!$E74:INDEX('Milho 1ª safra'!$E74:$Z74,MIN(AR$6-$E$3,22))),0))-IF($G$2,0,IF((AR$6-$G$3)&lt;1,0,IFERROR(LOOKUP(2,1/('Milho 1ª safra'!$E74:INDEX('Milho 1ª safra'!$E74:$Z74,MIN(AR$6-$G$3,22))&lt;&gt;""),'Milho 1ª safra'!$E74:INDEX('Milho 1ª safra'!$E74:$Z74,MIN(AR$6-$G$3,22))),0)))))</f>
        <v>0</v>
      </c>
      <c r="AS76" s="27" t="n">
        <f aca="false">IF(COUNT('Milho 1ª safra'!$E74:$Z74)=0,0,MAX(0,IF((AS$6-$E$3)&lt;1,0,IFERROR(LOOKUP(2,1/('Milho 1ª safra'!$E74:INDEX('Milho 1ª safra'!$E74:$Z74,MIN(AS$6-$E$3,22))&lt;&gt;""),'Milho 1ª safra'!$E74:INDEX('Milho 1ª safra'!$E74:$Z74,MIN(AS$6-$E$3,22))),0))-IF($G$2,0,IF((AS$6-$G$3)&lt;1,0,IFERROR(LOOKUP(2,1/('Milho 1ª safra'!$E74:INDEX('Milho 1ª safra'!$E74:$Z74,MIN(AS$6-$G$3,22))&lt;&gt;""),'Milho 1ª safra'!$E74:INDEX('Milho 1ª safra'!$E74:$Z74,MIN(AS$6-$G$3,22))),0)))))</f>
        <v>0</v>
      </c>
      <c r="AT76" s="27" t="n">
        <f aca="false">IF(COUNT('Milho 1ª safra'!$E74:$Z74)=0,0,MAX(0,IF((AT$6-$E$3)&lt;1,0,IFERROR(LOOKUP(2,1/('Milho 1ª safra'!$E74:INDEX('Milho 1ª safra'!$E74:$Z74,MIN(AT$6-$E$3,22))&lt;&gt;""),'Milho 1ª safra'!$E74:INDEX('Milho 1ª safra'!$E74:$Z74,MIN(AT$6-$E$3,22))),0))-IF($G$2,0,IF((AT$6-$G$3)&lt;1,0,IFERROR(LOOKUP(2,1/('Milho 1ª safra'!$E74:INDEX('Milho 1ª safra'!$E74:$Z74,MIN(AT$6-$G$3,22))&lt;&gt;""),'Milho 1ª safra'!$E74:INDEX('Milho 1ª safra'!$E74:$Z74,MIN(AT$6-$G$3,22))),0)))))</f>
        <v>0</v>
      </c>
      <c r="AU76" s="27" t="n">
        <f aca="false">IF(COUNT('Milho 1ª safra'!$E74:$Z74)=0,0,MAX(0,IF((AU$6-$E$3)&lt;1,0,IFERROR(LOOKUP(2,1/('Milho 1ª safra'!$E74:INDEX('Milho 1ª safra'!$E74:$Z74,MIN(AU$6-$E$3,22))&lt;&gt;""),'Milho 1ª safra'!$E74:INDEX('Milho 1ª safra'!$E74:$Z74,MIN(AU$6-$E$3,22))),0))-IF($G$2,0,IF((AU$6-$G$3)&lt;1,0,IFERROR(LOOKUP(2,1/('Milho 1ª safra'!$E74:INDEX('Milho 1ª safra'!$E74:$Z74,MIN(AU$6-$G$3,22))&lt;&gt;""),'Milho 1ª safra'!$E74:INDEX('Milho 1ª safra'!$E74:$Z74,MIN(AU$6-$G$3,22))),0)))))</f>
        <v>0</v>
      </c>
      <c r="AV76" s="27" t="n">
        <f aca="false">IF(COUNT('Milho 1ª safra'!$E74:$Z74)=0,0,MAX(0,IF((AV$6-$E$3)&lt;1,0,IFERROR(LOOKUP(2,1/('Milho 1ª safra'!$E74:INDEX('Milho 1ª safra'!$E74:$Z74,MIN(AV$6-$E$3,22))&lt;&gt;""),'Milho 1ª safra'!$E74:INDEX('Milho 1ª safra'!$E74:$Z74,MIN(AV$6-$E$3,22))),0))-IF($G$2,0,IF((AV$6-$G$3)&lt;1,0,IFERROR(LOOKUP(2,1/('Milho 1ª safra'!$E74:INDEX('Milho 1ª safra'!$E74:$Z74,MIN(AV$6-$G$3,22))&lt;&gt;""),'Milho 1ª safra'!$E74:INDEX('Milho 1ª safra'!$E74:$Z74,MIN(AV$6-$G$3,22))),0)))))</f>
        <v>0</v>
      </c>
      <c r="AW76" s="27" t="n">
        <f aca="false">IF(COUNT('Milho 1ª safra'!$E74:$Z74)=0,0,MAX(0,IF((AW$6-$E$3)&lt;1,0,IFERROR(LOOKUP(2,1/('Milho 1ª safra'!$E74:INDEX('Milho 1ª safra'!$E74:$Z74,MIN(AW$6-$E$3,22))&lt;&gt;""),'Milho 1ª safra'!$E74:INDEX('Milho 1ª safra'!$E74:$Z74,MIN(AW$6-$E$3,22))),0))-IF($G$2,0,IF((AW$6-$G$3)&lt;1,0,IFERROR(LOOKUP(2,1/('Milho 1ª safra'!$E74:INDEX('Milho 1ª safra'!$E74:$Z74,MIN(AW$6-$G$3,22))&lt;&gt;""),'Milho 1ª safra'!$E74:INDEX('Milho 1ª safra'!$E74:$Z74,MIN(AW$6-$G$3,22))),0)))))</f>
        <v>0</v>
      </c>
      <c r="AX76" s="27" t="n">
        <f aca="false">IF(COUNT('Milho 1ª safra'!$E74:$Z74)=0,0,MAX(0,IF((AX$6-$E$3)&lt;1,0,IFERROR(LOOKUP(2,1/('Milho 1ª safra'!$E74:INDEX('Milho 1ª safra'!$E74:$Z74,MIN(AX$6-$E$3,22))&lt;&gt;""),'Milho 1ª safra'!$E74:INDEX('Milho 1ª safra'!$E74:$Z74,MIN(AX$6-$E$3,22))),0))-IF($G$2,0,IF((AX$6-$G$3)&lt;1,0,IFERROR(LOOKUP(2,1/('Milho 1ª safra'!$E74:INDEX('Milho 1ª safra'!$E74:$Z74,MIN(AX$6-$G$3,22))&lt;&gt;""),'Milho 1ª safra'!$E74:INDEX('Milho 1ª safra'!$E74:$Z74,MIN(AX$6-$G$3,22))),0)))))</f>
        <v>0</v>
      </c>
      <c r="AY76" s="27" t="n">
        <f aca="false">IF(COUNT('Milho 1ª safra'!$E74:$Z74)=0,0,MAX(0,IF((AY$6-$E$3)&lt;1,0,IFERROR(LOOKUP(2,1/('Milho 1ª safra'!$E74:INDEX('Milho 1ª safra'!$E74:$Z74,MIN(AY$6-$E$3,22))&lt;&gt;""),'Milho 1ª safra'!$E74:INDEX('Milho 1ª safra'!$E74:$Z74,MIN(AY$6-$E$3,22))),0))-IF($G$2,0,IF((AY$6-$G$3)&lt;1,0,IFERROR(LOOKUP(2,1/('Milho 1ª safra'!$E74:INDEX('Milho 1ª safra'!$E74:$Z74,MIN(AY$6-$G$3,22))&lt;&gt;""),'Milho 1ª safra'!$E74:INDEX('Milho 1ª safra'!$E74:$Z74,MIN(AY$6-$G$3,22))),0)))))</f>
        <v>0</v>
      </c>
      <c r="AZ76" s="27" t="n">
        <f aca="false">IF(COUNT('Milho 1ª safra'!$E74:$Z74)=0,0,MAX(0,IF((AZ$6-$E$3)&lt;1,0,IFERROR(LOOKUP(2,1/('Milho 1ª safra'!$E74:INDEX('Milho 1ª safra'!$E74:$Z74,MIN(AZ$6-$E$3,22))&lt;&gt;""),'Milho 1ª safra'!$E74:INDEX('Milho 1ª safra'!$E74:$Z74,MIN(AZ$6-$E$3,22))),0))-IF($G$2,0,IF((AZ$6-$G$3)&lt;1,0,IFERROR(LOOKUP(2,1/('Milho 1ª safra'!$E74:INDEX('Milho 1ª safra'!$E74:$Z74,MIN(AZ$6-$G$3,22))&lt;&gt;""),'Milho 1ª safra'!$E74:INDEX('Milho 1ª safra'!$E74:$Z74,MIN(AZ$6-$G$3,22))),0)))))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IF(COUNT('Milho 1ª safra'!$E75:$Z75)&gt;0,N('Milho 1ª safra'!$D75),0)</f>
        <v>0</v>
      </c>
      <c r="E77" s="27" t="n">
        <f aca="false">IF(COUNT('Milho 1ª safra'!$E75:$Z75)=0,0,MAX(0,IF((E$6-$E$3)&lt;1,0,IFERROR(LOOKUP(2,1/('Milho 1ª safra'!$E75:INDEX('Milho 1ª safra'!$E75:$Z75,MIN(E$6-$E$3,22))&lt;&gt;""),'Milho 1ª safra'!$E75:INDEX('Milho 1ª safra'!$E75:$Z75,MIN(E$6-$E$3,22))),0))-IF($G$2,0,IF((E$6-$G$3)&lt;1,0,IFERROR(LOOKUP(2,1/('Milho 1ª safra'!$E75:INDEX('Milho 1ª safra'!$E75:$Z75,MIN(E$6-$G$3,22))&lt;&gt;""),'Milho 1ª safra'!$E75:INDEX('Milho 1ª safra'!$E75:$Z75,MIN(E$6-$G$3,22))),0)))))</f>
        <v>0</v>
      </c>
      <c r="F77" s="27" t="n">
        <f aca="false">IF(COUNT('Milho 1ª safra'!$E75:$Z75)=0,0,MAX(0,IF((F$6-$E$3)&lt;1,0,IFERROR(LOOKUP(2,1/('Milho 1ª safra'!$E75:INDEX('Milho 1ª safra'!$E75:$Z75,MIN(F$6-$E$3,22))&lt;&gt;""),'Milho 1ª safra'!$E75:INDEX('Milho 1ª safra'!$E75:$Z75,MIN(F$6-$E$3,22))),0))-IF($G$2,0,IF((F$6-$G$3)&lt;1,0,IFERROR(LOOKUP(2,1/('Milho 1ª safra'!$E75:INDEX('Milho 1ª safra'!$E75:$Z75,MIN(F$6-$G$3,22))&lt;&gt;""),'Milho 1ª safra'!$E75:INDEX('Milho 1ª safra'!$E75:$Z75,MIN(F$6-$G$3,22))),0)))))</f>
        <v>0</v>
      </c>
      <c r="G77" s="27" t="n">
        <f aca="false">IF(COUNT('Milho 1ª safra'!$E75:$Z75)=0,0,MAX(0,IF((G$6-$E$3)&lt;1,0,IFERROR(LOOKUP(2,1/('Milho 1ª safra'!$E75:INDEX('Milho 1ª safra'!$E75:$Z75,MIN(G$6-$E$3,22))&lt;&gt;""),'Milho 1ª safra'!$E75:INDEX('Milho 1ª safra'!$E75:$Z75,MIN(G$6-$E$3,22))),0))-IF($G$2,0,IF((G$6-$G$3)&lt;1,0,IFERROR(LOOKUP(2,1/('Milho 1ª safra'!$E75:INDEX('Milho 1ª safra'!$E75:$Z75,MIN(G$6-$G$3,22))&lt;&gt;""),'Milho 1ª safra'!$E75:INDEX('Milho 1ª safra'!$E75:$Z75,MIN(G$6-$G$3,22))),0)))))</f>
        <v>0</v>
      </c>
      <c r="H77" s="27" t="n">
        <f aca="false">IF(COUNT('Milho 1ª safra'!$E75:$Z75)=0,0,MAX(0,IF((H$6-$E$3)&lt;1,0,IFERROR(LOOKUP(2,1/('Milho 1ª safra'!$E75:INDEX('Milho 1ª safra'!$E75:$Z75,MIN(H$6-$E$3,22))&lt;&gt;""),'Milho 1ª safra'!$E75:INDEX('Milho 1ª safra'!$E75:$Z75,MIN(H$6-$E$3,22))),0))-IF($G$2,0,IF((H$6-$G$3)&lt;1,0,IFERROR(LOOKUP(2,1/('Milho 1ª safra'!$E75:INDEX('Milho 1ª safra'!$E75:$Z75,MIN(H$6-$G$3,22))&lt;&gt;""),'Milho 1ª safra'!$E75:INDEX('Milho 1ª safra'!$E75:$Z75,MIN(H$6-$G$3,22))),0)))))</f>
        <v>0</v>
      </c>
      <c r="I77" s="27" t="n">
        <f aca="false">IF(COUNT('Milho 1ª safra'!$E75:$Z75)=0,0,MAX(0,IF((I$6-$E$3)&lt;1,0,IFERROR(LOOKUP(2,1/('Milho 1ª safra'!$E75:INDEX('Milho 1ª safra'!$E75:$Z75,MIN(I$6-$E$3,22))&lt;&gt;""),'Milho 1ª safra'!$E75:INDEX('Milho 1ª safra'!$E75:$Z75,MIN(I$6-$E$3,22))),0))-IF($G$2,0,IF((I$6-$G$3)&lt;1,0,IFERROR(LOOKUP(2,1/('Milho 1ª safra'!$E75:INDEX('Milho 1ª safra'!$E75:$Z75,MIN(I$6-$G$3,22))&lt;&gt;""),'Milho 1ª safra'!$E75:INDEX('Milho 1ª safra'!$E75:$Z75,MIN(I$6-$G$3,22))),0)))))</f>
        <v>0</v>
      </c>
      <c r="J77" s="27" t="n">
        <f aca="false">IF(COUNT('Milho 1ª safra'!$E75:$Z75)=0,0,MAX(0,IF((J$6-$E$3)&lt;1,0,IFERROR(LOOKUP(2,1/('Milho 1ª safra'!$E75:INDEX('Milho 1ª safra'!$E75:$Z75,MIN(J$6-$E$3,22))&lt;&gt;""),'Milho 1ª safra'!$E75:INDEX('Milho 1ª safra'!$E75:$Z75,MIN(J$6-$E$3,22))),0))-IF($G$2,0,IF((J$6-$G$3)&lt;1,0,IFERROR(LOOKUP(2,1/('Milho 1ª safra'!$E75:INDEX('Milho 1ª safra'!$E75:$Z75,MIN(J$6-$G$3,22))&lt;&gt;""),'Milho 1ª safra'!$E75:INDEX('Milho 1ª safra'!$E75:$Z75,MIN(J$6-$G$3,22))),0)))))</f>
        <v>0</v>
      </c>
      <c r="K77" s="27" t="n">
        <f aca="false">IF(COUNT('Milho 1ª safra'!$E75:$Z75)=0,0,MAX(0,IF((K$6-$E$3)&lt;1,0,IFERROR(LOOKUP(2,1/('Milho 1ª safra'!$E75:INDEX('Milho 1ª safra'!$E75:$Z75,MIN(K$6-$E$3,22))&lt;&gt;""),'Milho 1ª safra'!$E75:INDEX('Milho 1ª safra'!$E75:$Z75,MIN(K$6-$E$3,22))),0))-IF($G$2,0,IF((K$6-$G$3)&lt;1,0,IFERROR(LOOKUP(2,1/('Milho 1ª safra'!$E75:INDEX('Milho 1ª safra'!$E75:$Z75,MIN(K$6-$G$3,22))&lt;&gt;""),'Milho 1ª safra'!$E75:INDEX('Milho 1ª safra'!$E75:$Z75,MIN(K$6-$G$3,22))),0)))))</f>
        <v>0</v>
      </c>
      <c r="L77" s="27" t="n">
        <f aca="false">IF(COUNT('Milho 1ª safra'!$E75:$Z75)=0,0,MAX(0,IF((L$6-$E$3)&lt;1,0,IFERROR(LOOKUP(2,1/('Milho 1ª safra'!$E75:INDEX('Milho 1ª safra'!$E75:$Z75,MIN(L$6-$E$3,22))&lt;&gt;""),'Milho 1ª safra'!$E75:INDEX('Milho 1ª safra'!$E75:$Z75,MIN(L$6-$E$3,22))),0))-IF($G$2,0,IF((L$6-$G$3)&lt;1,0,IFERROR(LOOKUP(2,1/('Milho 1ª safra'!$E75:INDEX('Milho 1ª safra'!$E75:$Z75,MIN(L$6-$G$3,22))&lt;&gt;""),'Milho 1ª safra'!$E75:INDEX('Milho 1ª safra'!$E75:$Z75,MIN(L$6-$G$3,22))),0)))))</f>
        <v>0</v>
      </c>
      <c r="M77" s="27" t="n">
        <f aca="false">IF(COUNT('Milho 1ª safra'!$E75:$Z75)=0,0,MAX(0,IF((M$6-$E$3)&lt;1,0,IFERROR(LOOKUP(2,1/('Milho 1ª safra'!$E75:INDEX('Milho 1ª safra'!$E75:$Z75,MIN(M$6-$E$3,22))&lt;&gt;""),'Milho 1ª safra'!$E75:INDEX('Milho 1ª safra'!$E75:$Z75,MIN(M$6-$E$3,22))),0))-IF($G$2,0,IF((M$6-$G$3)&lt;1,0,IFERROR(LOOKUP(2,1/('Milho 1ª safra'!$E75:INDEX('Milho 1ª safra'!$E75:$Z75,MIN(M$6-$G$3,22))&lt;&gt;""),'Milho 1ª safra'!$E75:INDEX('Milho 1ª safra'!$E75:$Z75,MIN(M$6-$G$3,22))),0)))))</f>
        <v>0</v>
      </c>
      <c r="N77" s="27" t="n">
        <f aca="false">IF(COUNT('Milho 1ª safra'!$E75:$Z75)=0,0,MAX(0,IF((N$6-$E$3)&lt;1,0,IFERROR(LOOKUP(2,1/('Milho 1ª safra'!$E75:INDEX('Milho 1ª safra'!$E75:$Z75,MIN(N$6-$E$3,22))&lt;&gt;""),'Milho 1ª safra'!$E75:INDEX('Milho 1ª safra'!$E75:$Z75,MIN(N$6-$E$3,22))),0))-IF($G$2,0,IF((N$6-$G$3)&lt;1,0,IFERROR(LOOKUP(2,1/('Milho 1ª safra'!$E75:INDEX('Milho 1ª safra'!$E75:$Z75,MIN(N$6-$G$3,22))&lt;&gt;""),'Milho 1ª safra'!$E75:INDEX('Milho 1ª safra'!$E75:$Z75,MIN(N$6-$G$3,22))),0)))))</f>
        <v>0</v>
      </c>
      <c r="O77" s="27" t="n">
        <f aca="false">IF(COUNT('Milho 1ª safra'!$E75:$Z75)=0,0,MAX(0,IF((O$6-$E$3)&lt;1,0,IFERROR(LOOKUP(2,1/('Milho 1ª safra'!$E75:INDEX('Milho 1ª safra'!$E75:$Z75,MIN(O$6-$E$3,22))&lt;&gt;""),'Milho 1ª safra'!$E75:INDEX('Milho 1ª safra'!$E75:$Z75,MIN(O$6-$E$3,22))),0))-IF($G$2,0,IF((O$6-$G$3)&lt;1,0,IFERROR(LOOKUP(2,1/('Milho 1ª safra'!$E75:INDEX('Milho 1ª safra'!$E75:$Z75,MIN(O$6-$G$3,22))&lt;&gt;""),'Milho 1ª safra'!$E75:INDEX('Milho 1ª safra'!$E75:$Z75,MIN(O$6-$G$3,22))),0)))))</f>
        <v>0</v>
      </c>
      <c r="P77" s="27" t="n">
        <f aca="false">IF(COUNT('Milho 1ª safra'!$E75:$Z75)=0,0,MAX(0,IF((P$6-$E$3)&lt;1,0,IFERROR(LOOKUP(2,1/('Milho 1ª safra'!$E75:INDEX('Milho 1ª safra'!$E75:$Z75,MIN(P$6-$E$3,22))&lt;&gt;""),'Milho 1ª safra'!$E75:INDEX('Milho 1ª safra'!$E75:$Z75,MIN(P$6-$E$3,22))),0))-IF($G$2,0,IF((P$6-$G$3)&lt;1,0,IFERROR(LOOKUP(2,1/('Milho 1ª safra'!$E75:INDEX('Milho 1ª safra'!$E75:$Z75,MIN(P$6-$G$3,22))&lt;&gt;""),'Milho 1ª safra'!$E75:INDEX('Milho 1ª safra'!$E75:$Z75,MIN(P$6-$G$3,22))),0)))))</f>
        <v>0</v>
      </c>
      <c r="Q77" s="27" t="n">
        <f aca="false">IF(COUNT('Milho 1ª safra'!$E75:$Z75)=0,0,MAX(0,IF((Q$6-$E$3)&lt;1,0,IFERROR(LOOKUP(2,1/('Milho 1ª safra'!$E75:INDEX('Milho 1ª safra'!$E75:$Z75,MIN(Q$6-$E$3,22))&lt;&gt;""),'Milho 1ª safra'!$E75:INDEX('Milho 1ª safra'!$E75:$Z75,MIN(Q$6-$E$3,22))),0))-IF($G$2,0,IF((Q$6-$G$3)&lt;1,0,IFERROR(LOOKUP(2,1/('Milho 1ª safra'!$E75:INDEX('Milho 1ª safra'!$E75:$Z75,MIN(Q$6-$G$3,22))&lt;&gt;""),'Milho 1ª safra'!$E75:INDEX('Milho 1ª safra'!$E75:$Z75,MIN(Q$6-$G$3,22))),0)))))</f>
        <v>0</v>
      </c>
      <c r="R77" s="27" t="n">
        <f aca="false">IF(COUNT('Milho 1ª safra'!$E75:$Z75)=0,0,MAX(0,IF((R$6-$E$3)&lt;1,0,IFERROR(LOOKUP(2,1/('Milho 1ª safra'!$E75:INDEX('Milho 1ª safra'!$E75:$Z75,MIN(R$6-$E$3,22))&lt;&gt;""),'Milho 1ª safra'!$E75:INDEX('Milho 1ª safra'!$E75:$Z75,MIN(R$6-$E$3,22))),0))-IF($G$2,0,IF((R$6-$G$3)&lt;1,0,IFERROR(LOOKUP(2,1/('Milho 1ª safra'!$E75:INDEX('Milho 1ª safra'!$E75:$Z75,MIN(R$6-$G$3,22))&lt;&gt;""),'Milho 1ª safra'!$E75:INDEX('Milho 1ª safra'!$E75:$Z75,MIN(R$6-$G$3,22))),0)))))</f>
        <v>0</v>
      </c>
      <c r="S77" s="27" t="n">
        <f aca="false">IF(COUNT('Milho 1ª safra'!$E75:$Z75)=0,0,MAX(0,IF((S$6-$E$3)&lt;1,0,IFERROR(LOOKUP(2,1/('Milho 1ª safra'!$E75:INDEX('Milho 1ª safra'!$E75:$Z75,MIN(S$6-$E$3,22))&lt;&gt;""),'Milho 1ª safra'!$E75:INDEX('Milho 1ª safra'!$E75:$Z75,MIN(S$6-$E$3,22))),0))-IF($G$2,0,IF((S$6-$G$3)&lt;1,0,IFERROR(LOOKUP(2,1/('Milho 1ª safra'!$E75:INDEX('Milho 1ª safra'!$E75:$Z75,MIN(S$6-$G$3,22))&lt;&gt;""),'Milho 1ª safra'!$E75:INDEX('Milho 1ª safra'!$E75:$Z75,MIN(S$6-$G$3,22))),0)))))</f>
        <v>0</v>
      </c>
      <c r="T77" s="27" t="n">
        <f aca="false">IF(COUNT('Milho 1ª safra'!$E75:$Z75)=0,0,MAX(0,IF((T$6-$E$3)&lt;1,0,IFERROR(LOOKUP(2,1/('Milho 1ª safra'!$E75:INDEX('Milho 1ª safra'!$E75:$Z75,MIN(T$6-$E$3,22))&lt;&gt;""),'Milho 1ª safra'!$E75:INDEX('Milho 1ª safra'!$E75:$Z75,MIN(T$6-$E$3,22))),0))-IF($G$2,0,IF((T$6-$G$3)&lt;1,0,IFERROR(LOOKUP(2,1/('Milho 1ª safra'!$E75:INDEX('Milho 1ª safra'!$E75:$Z75,MIN(T$6-$G$3,22))&lt;&gt;""),'Milho 1ª safra'!$E75:INDEX('Milho 1ª safra'!$E75:$Z75,MIN(T$6-$G$3,22))),0)))))</f>
        <v>0</v>
      </c>
      <c r="U77" s="27" t="n">
        <f aca="false">IF(COUNT('Milho 1ª safra'!$E75:$Z75)=0,0,MAX(0,IF((U$6-$E$3)&lt;1,0,IFERROR(LOOKUP(2,1/('Milho 1ª safra'!$E75:INDEX('Milho 1ª safra'!$E75:$Z75,MIN(U$6-$E$3,22))&lt;&gt;""),'Milho 1ª safra'!$E75:INDEX('Milho 1ª safra'!$E75:$Z75,MIN(U$6-$E$3,22))),0))-IF($G$2,0,IF((U$6-$G$3)&lt;1,0,IFERROR(LOOKUP(2,1/('Milho 1ª safra'!$E75:INDEX('Milho 1ª safra'!$E75:$Z75,MIN(U$6-$G$3,22))&lt;&gt;""),'Milho 1ª safra'!$E75:INDEX('Milho 1ª safra'!$E75:$Z75,MIN(U$6-$G$3,22))),0)))))</f>
        <v>0</v>
      </c>
      <c r="V77" s="27" t="n">
        <f aca="false">IF(COUNT('Milho 1ª safra'!$E75:$Z75)=0,0,MAX(0,IF((V$6-$E$3)&lt;1,0,IFERROR(LOOKUP(2,1/('Milho 1ª safra'!$E75:INDEX('Milho 1ª safra'!$E75:$Z75,MIN(V$6-$E$3,22))&lt;&gt;""),'Milho 1ª safra'!$E75:INDEX('Milho 1ª safra'!$E75:$Z75,MIN(V$6-$E$3,22))),0))-IF($G$2,0,IF((V$6-$G$3)&lt;1,0,IFERROR(LOOKUP(2,1/('Milho 1ª safra'!$E75:INDEX('Milho 1ª safra'!$E75:$Z75,MIN(V$6-$G$3,22))&lt;&gt;""),'Milho 1ª safra'!$E75:INDEX('Milho 1ª safra'!$E75:$Z75,MIN(V$6-$G$3,22))),0)))))</f>
        <v>0</v>
      </c>
      <c r="W77" s="27" t="n">
        <f aca="false">IF(COUNT('Milho 1ª safra'!$E75:$Z75)=0,0,MAX(0,IF((W$6-$E$3)&lt;1,0,IFERROR(LOOKUP(2,1/('Milho 1ª safra'!$E75:INDEX('Milho 1ª safra'!$E75:$Z75,MIN(W$6-$E$3,22))&lt;&gt;""),'Milho 1ª safra'!$E75:INDEX('Milho 1ª safra'!$E75:$Z75,MIN(W$6-$E$3,22))),0))-IF($G$2,0,IF((W$6-$G$3)&lt;1,0,IFERROR(LOOKUP(2,1/('Milho 1ª safra'!$E75:INDEX('Milho 1ª safra'!$E75:$Z75,MIN(W$6-$G$3,22))&lt;&gt;""),'Milho 1ª safra'!$E75:INDEX('Milho 1ª safra'!$E75:$Z75,MIN(W$6-$G$3,22))),0)))))</f>
        <v>0</v>
      </c>
      <c r="X77" s="27" t="n">
        <f aca="false">IF(COUNT('Milho 1ª safra'!$E75:$Z75)=0,0,MAX(0,IF((X$6-$E$3)&lt;1,0,IFERROR(LOOKUP(2,1/('Milho 1ª safra'!$E75:INDEX('Milho 1ª safra'!$E75:$Z75,MIN(X$6-$E$3,22))&lt;&gt;""),'Milho 1ª safra'!$E75:INDEX('Milho 1ª safra'!$E75:$Z75,MIN(X$6-$E$3,22))),0))-IF($G$2,0,IF((X$6-$G$3)&lt;1,0,IFERROR(LOOKUP(2,1/('Milho 1ª safra'!$E75:INDEX('Milho 1ª safra'!$E75:$Z75,MIN(X$6-$G$3,22))&lt;&gt;""),'Milho 1ª safra'!$E75:INDEX('Milho 1ª safra'!$E75:$Z75,MIN(X$6-$G$3,22))),0)))))</f>
        <v>0</v>
      </c>
      <c r="Y77" s="27" t="n">
        <f aca="false">IF(COUNT('Milho 1ª safra'!$E75:$Z75)=0,0,MAX(0,IF((Y$6-$E$3)&lt;1,0,IFERROR(LOOKUP(2,1/('Milho 1ª safra'!$E75:INDEX('Milho 1ª safra'!$E75:$Z75,MIN(Y$6-$E$3,22))&lt;&gt;""),'Milho 1ª safra'!$E75:INDEX('Milho 1ª safra'!$E75:$Z75,MIN(Y$6-$E$3,22))),0))-IF($G$2,0,IF((Y$6-$G$3)&lt;1,0,IFERROR(LOOKUP(2,1/('Milho 1ª safra'!$E75:INDEX('Milho 1ª safra'!$E75:$Z75,MIN(Y$6-$G$3,22))&lt;&gt;""),'Milho 1ª safra'!$E75:INDEX('Milho 1ª safra'!$E75:$Z75,MIN(Y$6-$G$3,22))),0)))))</f>
        <v>0</v>
      </c>
      <c r="Z77" s="27" t="n">
        <f aca="false">IF(COUNT('Milho 1ª safra'!$E75:$Z75)=0,0,MAX(0,IF((Z$6-$E$3)&lt;1,0,IFERROR(LOOKUP(2,1/('Milho 1ª safra'!$E75:INDEX('Milho 1ª safra'!$E75:$Z75,MIN(Z$6-$E$3,22))&lt;&gt;""),'Milho 1ª safra'!$E75:INDEX('Milho 1ª safra'!$E75:$Z75,MIN(Z$6-$E$3,22))),0))-IF($G$2,0,IF((Z$6-$G$3)&lt;1,0,IFERROR(LOOKUP(2,1/('Milho 1ª safra'!$E75:INDEX('Milho 1ª safra'!$E75:$Z75,MIN(Z$6-$G$3,22))&lt;&gt;""),'Milho 1ª safra'!$E75:INDEX('Milho 1ª safra'!$E75:$Z75,MIN(Z$6-$G$3,22))),0)))))</f>
        <v>0</v>
      </c>
      <c r="AA77" s="27" t="n">
        <f aca="false">IF(COUNT('Milho 1ª safra'!$E75:$Z75)=0,0,MAX(0,IF((AA$6-$E$3)&lt;1,0,IFERROR(LOOKUP(2,1/('Milho 1ª safra'!$E75:INDEX('Milho 1ª safra'!$E75:$Z75,MIN(AA$6-$E$3,22))&lt;&gt;""),'Milho 1ª safra'!$E75:INDEX('Milho 1ª safra'!$E75:$Z75,MIN(AA$6-$E$3,22))),0))-IF($G$2,0,IF((AA$6-$G$3)&lt;1,0,IFERROR(LOOKUP(2,1/('Milho 1ª safra'!$E75:INDEX('Milho 1ª safra'!$E75:$Z75,MIN(AA$6-$G$3,22))&lt;&gt;""),'Milho 1ª safra'!$E75:INDEX('Milho 1ª safra'!$E75:$Z75,MIN(AA$6-$G$3,22))),0)))))</f>
        <v>0</v>
      </c>
      <c r="AB77" s="27" t="n">
        <f aca="false">IF(COUNT('Milho 1ª safra'!$E75:$Z75)=0,0,MAX(0,IF((AB$6-$E$3)&lt;1,0,IFERROR(LOOKUP(2,1/('Milho 1ª safra'!$E75:INDEX('Milho 1ª safra'!$E75:$Z75,MIN(AB$6-$E$3,22))&lt;&gt;""),'Milho 1ª safra'!$E75:INDEX('Milho 1ª safra'!$E75:$Z75,MIN(AB$6-$E$3,22))),0))-IF($G$2,0,IF((AB$6-$G$3)&lt;1,0,IFERROR(LOOKUP(2,1/('Milho 1ª safra'!$E75:INDEX('Milho 1ª safra'!$E75:$Z75,MIN(AB$6-$G$3,22))&lt;&gt;""),'Milho 1ª safra'!$E75:INDEX('Milho 1ª safra'!$E75:$Z75,MIN(AB$6-$G$3,22))),0)))))</f>
        <v>0</v>
      </c>
      <c r="AC77" s="27" t="n">
        <f aca="false">IF(COUNT('Milho 1ª safra'!$E75:$Z75)=0,0,MAX(0,IF((AC$6-$E$3)&lt;1,0,IFERROR(LOOKUP(2,1/('Milho 1ª safra'!$E75:INDEX('Milho 1ª safra'!$E75:$Z75,MIN(AC$6-$E$3,22))&lt;&gt;""),'Milho 1ª safra'!$E75:INDEX('Milho 1ª safra'!$E75:$Z75,MIN(AC$6-$E$3,22))),0))-IF($G$2,0,IF((AC$6-$G$3)&lt;1,0,IFERROR(LOOKUP(2,1/('Milho 1ª safra'!$E75:INDEX('Milho 1ª safra'!$E75:$Z75,MIN(AC$6-$G$3,22))&lt;&gt;""),'Milho 1ª safra'!$E75:INDEX('Milho 1ª safra'!$E75:$Z75,MIN(AC$6-$G$3,22))),0)))))</f>
        <v>0</v>
      </c>
      <c r="AD77" s="27" t="n">
        <f aca="false">IF(COUNT('Milho 1ª safra'!$E75:$Z75)=0,0,MAX(0,IF((AD$6-$E$3)&lt;1,0,IFERROR(LOOKUP(2,1/('Milho 1ª safra'!$E75:INDEX('Milho 1ª safra'!$E75:$Z75,MIN(AD$6-$E$3,22))&lt;&gt;""),'Milho 1ª safra'!$E75:INDEX('Milho 1ª safra'!$E75:$Z75,MIN(AD$6-$E$3,22))),0))-IF($G$2,0,IF((AD$6-$G$3)&lt;1,0,IFERROR(LOOKUP(2,1/('Milho 1ª safra'!$E75:INDEX('Milho 1ª safra'!$E75:$Z75,MIN(AD$6-$G$3,22))&lt;&gt;""),'Milho 1ª safra'!$E75:INDEX('Milho 1ª safra'!$E75:$Z75,MIN(AD$6-$G$3,22))),0)))))</f>
        <v>0</v>
      </c>
      <c r="AE77" s="27" t="n">
        <f aca="false">IF(COUNT('Milho 1ª safra'!$E75:$Z75)=0,0,MAX(0,IF((AE$6-$E$3)&lt;1,0,IFERROR(LOOKUP(2,1/('Milho 1ª safra'!$E75:INDEX('Milho 1ª safra'!$E75:$Z75,MIN(AE$6-$E$3,22))&lt;&gt;""),'Milho 1ª safra'!$E75:INDEX('Milho 1ª safra'!$E75:$Z75,MIN(AE$6-$E$3,22))),0))-IF($G$2,0,IF((AE$6-$G$3)&lt;1,0,IFERROR(LOOKUP(2,1/('Milho 1ª safra'!$E75:INDEX('Milho 1ª safra'!$E75:$Z75,MIN(AE$6-$G$3,22))&lt;&gt;""),'Milho 1ª safra'!$E75:INDEX('Milho 1ª safra'!$E75:$Z75,MIN(AE$6-$G$3,22))),0)))))</f>
        <v>0</v>
      </c>
      <c r="AF77" s="27" t="n">
        <f aca="false">IF(COUNT('Milho 1ª safra'!$E75:$Z75)=0,0,MAX(0,IF((AF$6-$E$3)&lt;1,0,IFERROR(LOOKUP(2,1/('Milho 1ª safra'!$E75:INDEX('Milho 1ª safra'!$E75:$Z75,MIN(AF$6-$E$3,22))&lt;&gt;""),'Milho 1ª safra'!$E75:INDEX('Milho 1ª safra'!$E75:$Z75,MIN(AF$6-$E$3,22))),0))-IF($G$2,0,IF((AF$6-$G$3)&lt;1,0,IFERROR(LOOKUP(2,1/('Milho 1ª safra'!$E75:INDEX('Milho 1ª safra'!$E75:$Z75,MIN(AF$6-$G$3,22))&lt;&gt;""),'Milho 1ª safra'!$E75:INDEX('Milho 1ª safra'!$E75:$Z75,MIN(AF$6-$G$3,22))),0)))))</f>
        <v>0</v>
      </c>
      <c r="AG77" s="27" t="n">
        <f aca="false">IF(COUNT('Milho 1ª safra'!$E75:$Z75)=0,0,MAX(0,IF((AG$6-$E$3)&lt;1,0,IFERROR(LOOKUP(2,1/('Milho 1ª safra'!$E75:INDEX('Milho 1ª safra'!$E75:$Z75,MIN(AG$6-$E$3,22))&lt;&gt;""),'Milho 1ª safra'!$E75:INDEX('Milho 1ª safra'!$E75:$Z75,MIN(AG$6-$E$3,22))),0))-IF($G$2,0,IF((AG$6-$G$3)&lt;1,0,IFERROR(LOOKUP(2,1/('Milho 1ª safra'!$E75:INDEX('Milho 1ª safra'!$E75:$Z75,MIN(AG$6-$G$3,22))&lt;&gt;""),'Milho 1ª safra'!$E75:INDEX('Milho 1ª safra'!$E75:$Z75,MIN(AG$6-$G$3,22))),0)))))</f>
        <v>0</v>
      </c>
      <c r="AH77" s="27" t="n">
        <f aca="false">IF(COUNT('Milho 1ª safra'!$E75:$Z75)=0,0,MAX(0,IF((AH$6-$E$3)&lt;1,0,IFERROR(LOOKUP(2,1/('Milho 1ª safra'!$E75:INDEX('Milho 1ª safra'!$E75:$Z75,MIN(AH$6-$E$3,22))&lt;&gt;""),'Milho 1ª safra'!$E75:INDEX('Milho 1ª safra'!$E75:$Z75,MIN(AH$6-$E$3,22))),0))-IF($G$2,0,IF((AH$6-$G$3)&lt;1,0,IFERROR(LOOKUP(2,1/('Milho 1ª safra'!$E75:INDEX('Milho 1ª safra'!$E75:$Z75,MIN(AH$6-$G$3,22))&lt;&gt;""),'Milho 1ª safra'!$E75:INDEX('Milho 1ª safra'!$E75:$Z75,MIN(AH$6-$G$3,22))),0)))))</f>
        <v>0</v>
      </c>
      <c r="AI77" s="27" t="n">
        <f aca="false">IF(COUNT('Milho 1ª safra'!$E75:$Z75)=0,0,MAX(0,IF((AI$6-$E$3)&lt;1,0,IFERROR(LOOKUP(2,1/('Milho 1ª safra'!$E75:INDEX('Milho 1ª safra'!$E75:$Z75,MIN(AI$6-$E$3,22))&lt;&gt;""),'Milho 1ª safra'!$E75:INDEX('Milho 1ª safra'!$E75:$Z75,MIN(AI$6-$E$3,22))),0))-IF($G$2,0,IF((AI$6-$G$3)&lt;1,0,IFERROR(LOOKUP(2,1/('Milho 1ª safra'!$E75:INDEX('Milho 1ª safra'!$E75:$Z75,MIN(AI$6-$G$3,22))&lt;&gt;""),'Milho 1ª safra'!$E75:INDEX('Milho 1ª safra'!$E75:$Z75,MIN(AI$6-$G$3,22))),0)))))</f>
        <v>0</v>
      </c>
      <c r="AJ77" s="27" t="n">
        <f aca="false">IF(COUNT('Milho 1ª safra'!$E75:$Z75)=0,0,MAX(0,IF((AJ$6-$E$3)&lt;1,0,IFERROR(LOOKUP(2,1/('Milho 1ª safra'!$E75:INDEX('Milho 1ª safra'!$E75:$Z75,MIN(AJ$6-$E$3,22))&lt;&gt;""),'Milho 1ª safra'!$E75:INDEX('Milho 1ª safra'!$E75:$Z75,MIN(AJ$6-$E$3,22))),0))-IF($G$2,0,IF((AJ$6-$G$3)&lt;1,0,IFERROR(LOOKUP(2,1/('Milho 1ª safra'!$E75:INDEX('Milho 1ª safra'!$E75:$Z75,MIN(AJ$6-$G$3,22))&lt;&gt;""),'Milho 1ª safra'!$E75:INDEX('Milho 1ª safra'!$E75:$Z75,MIN(AJ$6-$G$3,22))),0)))))</f>
        <v>0</v>
      </c>
      <c r="AK77" s="27" t="n">
        <f aca="false">IF(COUNT('Milho 1ª safra'!$E75:$Z75)=0,0,MAX(0,IF((AK$6-$E$3)&lt;1,0,IFERROR(LOOKUP(2,1/('Milho 1ª safra'!$E75:INDEX('Milho 1ª safra'!$E75:$Z75,MIN(AK$6-$E$3,22))&lt;&gt;""),'Milho 1ª safra'!$E75:INDEX('Milho 1ª safra'!$E75:$Z75,MIN(AK$6-$E$3,22))),0))-IF($G$2,0,IF((AK$6-$G$3)&lt;1,0,IFERROR(LOOKUP(2,1/('Milho 1ª safra'!$E75:INDEX('Milho 1ª safra'!$E75:$Z75,MIN(AK$6-$G$3,22))&lt;&gt;""),'Milho 1ª safra'!$E75:INDEX('Milho 1ª safra'!$E75:$Z75,MIN(AK$6-$G$3,22))),0)))))</f>
        <v>0</v>
      </c>
      <c r="AL77" s="27" t="n">
        <f aca="false">IF(COUNT('Milho 1ª safra'!$E75:$Z75)=0,0,MAX(0,IF((AL$6-$E$3)&lt;1,0,IFERROR(LOOKUP(2,1/('Milho 1ª safra'!$E75:INDEX('Milho 1ª safra'!$E75:$Z75,MIN(AL$6-$E$3,22))&lt;&gt;""),'Milho 1ª safra'!$E75:INDEX('Milho 1ª safra'!$E75:$Z75,MIN(AL$6-$E$3,22))),0))-IF($G$2,0,IF((AL$6-$G$3)&lt;1,0,IFERROR(LOOKUP(2,1/('Milho 1ª safra'!$E75:INDEX('Milho 1ª safra'!$E75:$Z75,MIN(AL$6-$G$3,22))&lt;&gt;""),'Milho 1ª safra'!$E75:INDEX('Milho 1ª safra'!$E75:$Z75,MIN(AL$6-$G$3,22))),0)))))</f>
        <v>0</v>
      </c>
      <c r="AM77" s="27" t="n">
        <f aca="false">IF(COUNT('Milho 1ª safra'!$E75:$Z75)=0,0,MAX(0,IF((AM$6-$E$3)&lt;1,0,IFERROR(LOOKUP(2,1/('Milho 1ª safra'!$E75:INDEX('Milho 1ª safra'!$E75:$Z75,MIN(AM$6-$E$3,22))&lt;&gt;""),'Milho 1ª safra'!$E75:INDEX('Milho 1ª safra'!$E75:$Z75,MIN(AM$6-$E$3,22))),0))-IF($G$2,0,IF((AM$6-$G$3)&lt;1,0,IFERROR(LOOKUP(2,1/('Milho 1ª safra'!$E75:INDEX('Milho 1ª safra'!$E75:$Z75,MIN(AM$6-$G$3,22))&lt;&gt;""),'Milho 1ª safra'!$E75:INDEX('Milho 1ª safra'!$E75:$Z75,MIN(AM$6-$G$3,22))),0)))))</f>
        <v>0</v>
      </c>
      <c r="AN77" s="27" t="n">
        <f aca="false">IF(COUNT('Milho 1ª safra'!$E75:$Z75)=0,0,MAX(0,IF((AN$6-$E$3)&lt;1,0,IFERROR(LOOKUP(2,1/('Milho 1ª safra'!$E75:INDEX('Milho 1ª safra'!$E75:$Z75,MIN(AN$6-$E$3,22))&lt;&gt;""),'Milho 1ª safra'!$E75:INDEX('Milho 1ª safra'!$E75:$Z75,MIN(AN$6-$E$3,22))),0))-IF($G$2,0,IF((AN$6-$G$3)&lt;1,0,IFERROR(LOOKUP(2,1/('Milho 1ª safra'!$E75:INDEX('Milho 1ª safra'!$E75:$Z75,MIN(AN$6-$G$3,22))&lt;&gt;""),'Milho 1ª safra'!$E75:INDEX('Milho 1ª safra'!$E75:$Z75,MIN(AN$6-$G$3,22))),0)))))</f>
        <v>0</v>
      </c>
      <c r="AO77" s="27" t="n">
        <f aca="false">IF(COUNT('Milho 1ª safra'!$E75:$Z75)=0,0,MAX(0,IF((AO$6-$E$3)&lt;1,0,IFERROR(LOOKUP(2,1/('Milho 1ª safra'!$E75:INDEX('Milho 1ª safra'!$E75:$Z75,MIN(AO$6-$E$3,22))&lt;&gt;""),'Milho 1ª safra'!$E75:INDEX('Milho 1ª safra'!$E75:$Z75,MIN(AO$6-$E$3,22))),0))-IF($G$2,0,IF((AO$6-$G$3)&lt;1,0,IFERROR(LOOKUP(2,1/('Milho 1ª safra'!$E75:INDEX('Milho 1ª safra'!$E75:$Z75,MIN(AO$6-$G$3,22))&lt;&gt;""),'Milho 1ª safra'!$E75:INDEX('Milho 1ª safra'!$E75:$Z75,MIN(AO$6-$G$3,22))),0)))))</f>
        <v>0</v>
      </c>
      <c r="AP77" s="27" t="n">
        <f aca="false">IF(COUNT('Milho 1ª safra'!$E75:$Z75)=0,0,MAX(0,IF((AP$6-$E$3)&lt;1,0,IFERROR(LOOKUP(2,1/('Milho 1ª safra'!$E75:INDEX('Milho 1ª safra'!$E75:$Z75,MIN(AP$6-$E$3,22))&lt;&gt;""),'Milho 1ª safra'!$E75:INDEX('Milho 1ª safra'!$E75:$Z75,MIN(AP$6-$E$3,22))),0))-IF($G$2,0,IF((AP$6-$G$3)&lt;1,0,IFERROR(LOOKUP(2,1/('Milho 1ª safra'!$E75:INDEX('Milho 1ª safra'!$E75:$Z75,MIN(AP$6-$G$3,22))&lt;&gt;""),'Milho 1ª safra'!$E75:INDEX('Milho 1ª safra'!$E75:$Z75,MIN(AP$6-$G$3,22))),0)))))</f>
        <v>0</v>
      </c>
      <c r="AQ77" s="27" t="n">
        <f aca="false">IF(COUNT('Milho 1ª safra'!$E75:$Z75)=0,0,MAX(0,IF((AQ$6-$E$3)&lt;1,0,IFERROR(LOOKUP(2,1/('Milho 1ª safra'!$E75:INDEX('Milho 1ª safra'!$E75:$Z75,MIN(AQ$6-$E$3,22))&lt;&gt;""),'Milho 1ª safra'!$E75:INDEX('Milho 1ª safra'!$E75:$Z75,MIN(AQ$6-$E$3,22))),0))-IF($G$2,0,IF((AQ$6-$G$3)&lt;1,0,IFERROR(LOOKUP(2,1/('Milho 1ª safra'!$E75:INDEX('Milho 1ª safra'!$E75:$Z75,MIN(AQ$6-$G$3,22))&lt;&gt;""),'Milho 1ª safra'!$E75:INDEX('Milho 1ª safra'!$E75:$Z75,MIN(AQ$6-$G$3,22))),0)))))</f>
        <v>0</v>
      </c>
      <c r="AR77" s="27" t="n">
        <f aca="false">IF(COUNT('Milho 1ª safra'!$E75:$Z75)=0,0,MAX(0,IF((AR$6-$E$3)&lt;1,0,IFERROR(LOOKUP(2,1/('Milho 1ª safra'!$E75:INDEX('Milho 1ª safra'!$E75:$Z75,MIN(AR$6-$E$3,22))&lt;&gt;""),'Milho 1ª safra'!$E75:INDEX('Milho 1ª safra'!$E75:$Z75,MIN(AR$6-$E$3,22))),0))-IF($G$2,0,IF((AR$6-$G$3)&lt;1,0,IFERROR(LOOKUP(2,1/('Milho 1ª safra'!$E75:INDEX('Milho 1ª safra'!$E75:$Z75,MIN(AR$6-$G$3,22))&lt;&gt;""),'Milho 1ª safra'!$E75:INDEX('Milho 1ª safra'!$E75:$Z75,MIN(AR$6-$G$3,22))),0)))))</f>
        <v>0</v>
      </c>
      <c r="AS77" s="27" t="n">
        <f aca="false">IF(COUNT('Milho 1ª safra'!$E75:$Z75)=0,0,MAX(0,IF((AS$6-$E$3)&lt;1,0,IFERROR(LOOKUP(2,1/('Milho 1ª safra'!$E75:INDEX('Milho 1ª safra'!$E75:$Z75,MIN(AS$6-$E$3,22))&lt;&gt;""),'Milho 1ª safra'!$E75:INDEX('Milho 1ª safra'!$E75:$Z75,MIN(AS$6-$E$3,22))),0))-IF($G$2,0,IF((AS$6-$G$3)&lt;1,0,IFERROR(LOOKUP(2,1/('Milho 1ª safra'!$E75:INDEX('Milho 1ª safra'!$E75:$Z75,MIN(AS$6-$G$3,22))&lt;&gt;""),'Milho 1ª safra'!$E75:INDEX('Milho 1ª safra'!$E75:$Z75,MIN(AS$6-$G$3,22))),0)))))</f>
        <v>0</v>
      </c>
      <c r="AT77" s="27" t="n">
        <f aca="false">IF(COUNT('Milho 1ª safra'!$E75:$Z75)=0,0,MAX(0,IF((AT$6-$E$3)&lt;1,0,IFERROR(LOOKUP(2,1/('Milho 1ª safra'!$E75:INDEX('Milho 1ª safra'!$E75:$Z75,MIN(AT$6-$E$3,22))&lt;&gt;""),'Milho 1ª safra'!$E75:INDEX('Milho 1ª safra'!$E75:$Z75,MIN(AT$6-$E$3,22))),0))-IF($G$2,0,IF((AT$6-$G$3)&lt;1,0,IFERROR(LOOKUP(2,1/('Milho 1ª safra'!$E75:INDEX('Milho 1ª safra'!$E75:$Z75,MIN(AT$6-$G$3,22))&lt;&gt;""),'Milho 1ª safra'!$E75:INDEX('Milho 1ª safra'!$E75:$Z75,MIN(AT$6-$G$3,22))),0)))))</f>
        <v>0</v>
      </c>
      <c r="AU77" s="27" t="n">
        <f aca="false">IF(COUNT('Milho 1ª safra'!$E75:$Z75)=0,0,MAX(0,IF((AU$6-$E$3)&lt;1,0,IFERROR(LOOKUP(2,1/('Milho 1ª safra'!$E75:INDEX('Milho 1ª safra'!$E75:$Z75,MIN(AU$6-$E$3,22))&lt;&gt;""),'Milho 1ª safra'!$E75:INDEX('Milho 1ª safra'!$E75:$Z75,MIN(AU$6-$E$3,22))),0))-IF($G$2,0,IF((AU$6-$G$3)&lt;1,0,IFERROR(LOOKUP(2,1/('Milho 1ª safra'!$E75:INDEX('Milho 1ª safra'!$E75:$Z75,MIN(AU$6-$G$3,22))&lt;&gt;""),'Milho 1ª safra'!$E75:INDEX('Milho 1ª safra'!$E75:$Z75,MIN(AU$6-$G$3,22))),0)))))</f>
        <v>0</v>
      </c>
      <c r="AV77" s="27" t="n">
        <f aca="false">IF(COUNT('Milho 1ª safra'!$E75:$Z75)=0,0,MAX(0,IF((AV$6-$E$3)&lt;1,0,IFERROR(LOOKUP(2,1/('Milho 1ª safra'!$E75:INDEX('Milho 1ª safra'!$E75:$Z75,MIN(AV$6-$E$3,22))&lt;&gt;""),'Milho 1ª safra'!$E75:INDEX('Milho 1ª safra'!$E75:$Z75,MIN(AV$6-$E$3,22))),0))-IF($G$2,0,IF((AV$6-$G$3)&lt;1,0,IFERROR(LOOKUP(2,1/('Milho 1ª safra'!$E75:INDEX('Milho 1ª safra'!$E75:$Z75,MIN(AV$6-$G$3,22))&lt;&gt;""),'Milho 1ª safra'!$E75:INDEX('Milho 1ª safra'!$E75:$Z75,MIN(AV$6-$G$3,22))),0)))))</f>
        <v>0</v>
      </c>
      <c r="AW77" s="27" t="n">
        <f aca="false">IF(COUNT('Milho 1ª safra'!$E75:$Z75)=0,0,MAX(0,IF((AW$6-$E$3)&lt;1,0,IFERROR(LOOKUP(2,1/('Milho 1ª safra'!$E75:INDEX('Milho 1ª safra'!$E75:$Z75,MIN(AW$6-$E$3,22))&lt;&gt;""),'Milho 1ª safra'!$E75:INDEX('Milho 1ª safra'!$E75:$Z75,MIN(AW$6-$E$3,22))),0))-IF($G$2,0,IF((AW$6-$G$3)&lt;1,0,IFERROR(LOOKUP(2,1/('Milho 1ª safra'!$E75:INDEX('Milho 1ª safra'!$E75:$Z75,MIN(AW$6-$G$3,22))&lt;&gt;""),'Milho 1ª safra'!$E75:INDEX('Milho 1ª safra'!$E75:$Z75,MIN(AW$6-$G$3,22))),0)))))</f>
        <v>0</v>
      </c>
      <c r="AX77" s="27" t="n">
        <f aca="false">IF(COUNT('Milho 1ª safra'!$E75:$Z75)=0,0,MAX(0,IF((AX$6-$E$3)&lt;1,0,IFERROR(LOOKUP(2,1/('Milho 1ª safra'!$E75:INDEX('Milho 1ª safra'!$E75:$Z75,MIN(AX$6-$E$3,22))&lt;&gt;""),'Milho 1ª safra'!$E75:INDEX('Milho 1ª safra'!$E75:$Z75,MIN(AX$6-$E$3,22))),0))-IF($G$2,0,IF((AX$6-$G$3)&lt;1,0,IFERROR(LOOKUP(2,1/('Milho 1ª safra'!$E75:INDEX('Milho 1ª safra'!$E75:$Z75,MIN(AX$6-$G$3,22))&lt;&gt;""),'Milho 1ª safra'!$E75:INDEX('Milho 1ª safra'!$E75:$Z75,MIN(AX$6-$G$3,22))),0)))))</f>
        <v>0</v>
      </c>
      <c r="AY77" s="27" t="n">
        <f aca="false">IF(COUNT('Milho 1ª safra'!$E75:$Z75)=0,0,MAX(0,IF((AY$6-$E$3)&lt;1,0,IFERROR(LOOKUP(2,1/('Milho 1ª safra'!$E75:INDEX('Milho 1ª safra'!$E75:$Z75,MIN(AY$6-$E$3,22))&lt;&gt;""),'Milho 1ª safra'!$E75:INDEX('Milho 1ª safra'!$E75:$Z75,MIN(AY$6-$E$3,22))),0))-IF($G$2,0,IF((AY$6-$G$3)&lt;1,0,IFERROR(LOOKUP(2,1/('Milho 1ª safra'!$E75:INDEX('Milho 1ª safra'!$E75:$Z75,MIN(AY$6-$G$3,22))&lt;&gt;""),'Milho 1ª safra'!$E75:INDEX('Milho 1ª safra'!$E75:$Z75,MIN(AY$6-$G$3,22))),0)))))</f>
        <v>0</v>
      </c>
      <c r="AZ77" s="27" t="n">
        <f aca="false">IF(COUNT('Milho 1ª safra'!$E75:$Z75)=0,0,MAX(0,IF((AZ$6-$E$3)&lt;1,0,IFERROR(LOOKUP(2,1/('Milho 1ª safra'!$E75:INDEX('Milho 1ª safra'!$E75:$Z75,MIN(AZ$6-$E$3,22))&lt;&gt;""),'Milho 1ª safra'!$E75:INDEX('Milho 1ª safra'!$E75:$Z75,MIN(AZ$6-$E$3,22))),0))-IF($G$2,0,IF((AZ$6-$G$3)&lt;1,0,IFERROR(LOOKUP(2,1/('Milho 1ª safra'!$E75:INDEX('Milho 1ª safra'!$E75:$Z75,MIN(AZ$6-$G$3,22))&lt;&gt;""),'Milho 1ª safra'!$E75:INDEX('Milho 1ª safra'!$E75:$Z75,MIN(AZ$6-$G$3,22))),0)))))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IF(COUNT('Milho 1ª safra'!$E76:$Z76)&gt;0,N('Milho 1ª safra'!$D76),0)</f>
        <v>0</v>
      </c>
      <c r="E78" s="27" t="n">
        <f aca="false">IF(COUNT('Milho 1ª safra'!$E76:$Z76)=0,0,MAX(0,IF((E$6-$E$3)&lt;1,0,IFERROR(LOOKUP(2,1/('Milho 1ª safra'!$E76:INDEX('Milho 1ª safra'!$E76:$Z76,MIN(E$6-$E$3,22))&lt;&gt;""),'Milho 1ª safra'!$E76:INDEX('Milho 1ª safra'!$E76:$Z76,MIN(E$6-$E$3,22))),0))-IF($G$2,0,IF((E$6-$G$3)&lt;1,0,IFERROR(LOOKUP(2,1/('Milho 1ª safra'!$E76:INDEX('Milho 1ª safra'!$E76:$Z76,MIN(E$6-$G$3,22))&lt;&gt;""),'Milho 1ª safra'!$E76:INDEX('Milho 1ª safra'!$E76:$Z76,MIN(E$6-$G$3,22))),0)))))</f>
        <v>0</v>
      </c>
      <c r="F78" s="27" t="n">
        <f aca="false">IF(COUNT('Milho 1ª safra'!$E76:$Z76)=0,0,MAX(0,IF((F$6-$E$3)&lt;1,0,IFERROR(LOOKUP(2,1/('Milho 1ª safra'!$E76:INDEX('Milho 1ª safra'!$E76:$Z76,MIN(F$6-$E$3,22))&lt;&gt;""),'Milho 1ª safra'!$E76:INDEX('Milho 1ª safra'!$E76:$Z76,MIN(F$6-$E$3,22))),0))-IF($G$2,0,IF((F$6-$G$3)&lt;1,0,IFERROR(LOOKUP(2,1/('Milho 1ª safra'!$E76:INDEX('Milho 1ª safra'!$E76:$Z76,MIN(F$6-$G$3,22))&lt;&gt;""),'Milho 1ª safra'!$E76:INDEX('Milho 1ª safra'!$E76:$Z76,MIN(F$6-$G$3,22))),0)))))</f>
        <v>0</v>
      </c>
      <c r="G78" s="27" t="n">
        <f aca="false">IF(COUNT('Milho 1ª safra'!$E76:$Z76)=0,0,MAX(0,IF((G$6-$E$3)&lt;1,0,IFERROR(LOOKUP(2,1/('Milho 1ª safra'!$E76:INDEX('Milho 1ª safra'!$E76:$Z76,MIN(G$6-$E$3,22))&lt;&gt;""),'Milho 1ª safra'!$E76:INDEX('Milho 1ª safra'!$E76:$Z76,MIN(G$6-$E$3,22))),0))-IF($G$2,0,IF((G$6-$G$3)&lt;1,0,IFERROR(LOOKUP(2,1/('Milho 1ª safra'!$E76:INDEX('Milho 1ª safra'!$E76:$Z76,MIN(G$6-$G$3,22))&lt;&gt;""),'Milho 1ª safra'!$E76:INDEX('Milho 1ª safra'!$E76:$Z76,MIN(G$6-$G$3,22))),0)))))</f>
        <v>0</v>
      </c>
      <c r="H78" s="27" t="n">
        <f aca="false">IF(COUNT('Milho 1ª safra'!$E76:$Z76)=0,0,MAX(0,IF((H$6-$E$3)&lt;1,0,IFERROR(LOOKUP(2,1/('Milho 1ª safra'!$E76:INDEX('Milho 1ª safra'!$E76:$Z76,MIN(H$6-$E$3,22))&lt;&gt;""),'Milho 1ª safra'!$E76:INDEX('Milho 1ª safra'!$E76:$Z76,MIN(H$6-$E$3,22))),0))-IF($G$2,0,IF((H$6-$G$3)&lt;1,0,IFERROR(LOOKUP(2,1/('Milho 1ª safra'!$E76:INDEX('Milho 1ª safra'!$E76:$Z76,MIN(H$6-$G$3,22))&lt;&gt;""),'Milho 1ª safra'!$E76:INDEX('Milho 1ª safra'!$E76:$Z76,MIN(H$6-$G$3,22))),0)))))</f>
        <v>0</v>
      </c>
      <c r="I78" s="27" t="n">
        <f aca="false">IF(COUNT('Milho 1ª safra'!$E76:$Z76)=0,0,MAX(0,IF((I$6-$E$3)&lt;1,0,IFERROR(LOOKUP(2,1/('Milho 1ª safra'!$E76:INDEX('Milho 1ª safra'!$E76:$Z76,MIN(I$6-$E$3,22))&lt;&gt;""),'Milho 1ª safra'!$E76:INDEX('Milho 1ª safra'!$E76:$Z76,MIN(I$6-$E$3,22))),0))-IF($G$2,0,IF((I$6-$G$3)&lt;1,0,IFERROR(LOOKUP(2,1/('Milho 1ª safra'!$E76:INDEX('Milho 1ª safra'!$E76:$Z76,MIN(I$6-$G$3,22))&lt;&gt;""),'Milho 1ª safra'!$E76:INDEX('Milho 1ª safra'!$E76:$Z76,MIN(I$6-$G$3,22))),0)))))</f>
        <v>0</v>
      </c>
      <c r="J78" s="27" t="n">
        <f aca="false">IF(COUNT('Milho 1ª safra'!$E76:$Z76)=0,0,MAX(0,IF((J$6-$E$3)&lt;1,0,IFERROR(LOOKUP(2,1/('Milho 1ª safra'!$E76:INDEX('Milho 1ª safra'!$E76:$Z76,MIN(J$6-$E$3,22))&lt;&gt;""),'Milho 1ª safra'!$E76:INDEX('Milho 1ª safra'!$E76:$Z76,MIN(J$6-$E$3,22))),0))-IF($G$2,0,IF((J$6-$G$3)&lt;1,0,IFERROR(LOOKUP(2,1/('Milho 1ª safra'!$E76:INDEX('Milho 1ª safra'!$E76:$Z76,MIN(J$6-$G$3,22))&lt;&gt;""),'Milho 1ª safra'!$E76:INDEX('Milho 1ª safra'!$E76:$Z76,MIN(J$6-$G$3,22))),0)))))</f>
        <v>0</v>
      </c>
      <c r="K78" s="27" t="n">
        <f aca="false">IF(COUNT('Milho 1ª safra'!$E76:$Z76)=0,0,MAX(0,IF((K$6-$E$3)&lt;1,0,IFERROR(LOOKUP(2,1/('Milho 1ª safra'!$E76:INDEX('Milho 1ª safra'!$E76:$Z76,MIN(K$6-$E$3,22))&lt;&gt;""),'Milho 1ª safra'!$E76:INDEX('Milho 1ª safra'!$E76:$Z76,MIN(K$6-$E$3,22))),0))-IF($G$2,0,IF((K$6-$G$3)&lt;1,0,IFERROR(LOOKUP(2,1/('Milho 1ª safra'!$E76:INDEX('Milho 1ª safra'!$E76:$Z76,MIN(K$6-$G$3,22))&lt;&gt;""),'Milho 1ª safra'!$E76:INDEX('Milho 1ª safra'!$E76:$Z76,MIN(K$6-$G$3,22))),0)))))</f>
        <v>0</v>
      </c>
      <c r="L78" s="27" t="n">
        <f aca="false">IF(COUNT('Milho 1ª safra'!$E76:$Z76)=0,0,MAX(0,IF((L$6-$E$3)&lt;1,0,IFERROR(LOOKUP(2,1/('Milho 1ª safra'!$E76:INDEX('Milho 1ª safra'!$E76:$Z76,MIN(L$6-$E$3,22))&lt;&gt;""),'Milho 1ª safra'!$E76:INDEX('Milho 1ª safra'!$E76:$Z76,MIN(L$6-$E$3,22))),0))-IF($G$2,0,IF((L$6-$G$3)&lt;1,0,IFERROR(LOOKUP(2,1/('Milho 1ª safra'!$E76:INDEX('Milho 1ª safra'!$E76:$Z76,MIN(L$6-$G$3,22))&lt;&gt;""),'Milho 1ª safra'!$E76:INDEX('Milho 1ª safra'!$E76:$Z76,MIN(L$6-$G$3,22))),0)))))</f>
        <v>0</v>
      </c>
      <c r="M78" s="27" t="n">
        <f aca="false">IF(COUNT('Milho 1ª safra'!$E76:$Z76)=0,0,MAX(0,IF((M$6-$E$3)&lt;1,0,IFERROR(LOOKUP(2,1/('Milho 1ª safra'!$E76:INDEX('Milho 1ª safra'!$E76:$Z76,MIN(M$6-$E$3,22))&lt;&gt;""),'Milho 1ª safra'!$E76:INDEX('Milho 1ª safra'!$E76:$Z76,MIN(M$6-$E$3,22))),0))-IF($G$2,0,IF((M$6-$G$3)&lt;1,0,IFERROR(LOOKUP(2,1/('Milho 1ª safra'!$E76:INDEX('Milho 1ª safra'!$E76:$Z76,MIN(M$6-$G$3,22))&lt;&gt;""),'Milho 1ª safra'!$E76:INDEX('Milho 1ª safra'!$E76:$Z76,MIN(M$6-$G$3,22))),0)))))</f>
        <v>0</v>
      </c>
      <c r="N78" s="27" t="n">
        <f aca="false">IF(COUNT('Milho 1ª safra'!$E76:$Z76)=0,0,MAX(0,IF((N$6-$E$3)&lt;1,0,IFERROR(LOOKUP(2,1/('Milho 1ª safra'!$E76:INDEX('Milho 1ª safra'!$E76:$Z76,MIN(N$6-$E$3,22))&lt;&gt;""),'Milho 1ª safra'!$E76:INDEX('Milho 1ª safra'!$E76:$Z76,MIN(N$6-$E$3,22))),0))-IF($G$2,0,IF((N$6-$G$3)&lt;1,0,IFERROR(LOOKUP(2,1/('Milho 1ª safra'!$E76:INDEX('Milho 1ª safra'!$E76:$Z76,MIN(N$6-$G$3,22))&lt;&gt;""),'Milho 1ª safra'!$E76:INDEX('Milho 1ª safra'!$E76:$Z76,MIN(N$6-$G$3,22))),0)))))</f>
        <v>0</v>
      </c>
      <c r="O78" s="27" t="n">
        <f aca="false">IF(COUNT('Milho 1ª safra'!$E76:$Z76)=0,0,MAX(0,IF((O$6-$E$3)&lt;1,0,IFERROR(LOOKUP(2,1/('Milho 1ª safra'!$E76:INDEX('Milho 1ª safra'!$E76:$Z76,MIN(O$6-$E$3,22))&lt;&gt;""),'Milho 1ª safra'!$E76:INDEX('Milho 1ª safra'!$E76:$Z76,MIN(O$6-$E$3,22))),0))-IF($G$2,0,IF((O$6-$G$3)&lt;1,0,IFERROR(LOOKUP(2,1/('Milho 1ª safra'!$E76:INDEX('Milho 1ª safra'!$E76:$Z76,MIN(O$6-$G$3,22))&lt;&gt;""),'Milho 1ª safra'!$E76:INDEX('Milho 1ª safra'!$E76:$Z76,MIN(O$6-$G$3,22))),0)))))</f>
        <v>0</v>
      </c>
      <c r="P78" s="27" t="n">
        <f aca="false">IF(COUNT('Milho 1ª safra'!$E76:$Z76)=0,0,MAX(0,IF((P$6-$E$3)&lt;1,0,IFERROR(LOOKUP(2,1/('Milho 1ª safra'!$E76:INDEX('Milho 1ª safra'!$E76:$Z76,MIN(P$6-$E$3,22))&lt;&gt;""),'Milho 1ª safra'!$E76:INDEX('Milho 1ª safra'!$E76:$Z76,MIN(P$6-$E$3,22))),0))-IF($G$2,0,IF((P$6-$G$3)&lt;1,0,IFERROR(LOOKUP(2,1/('Milho 1ª safra'!$E76:INDEX('Milho 1ª safra'!$E76:$Z76,MIN(P$6-$G$3,22))&lt;&gt;""),'Milho 1ª safra'!$E76:INDEX('Milho 1ª safra'!$E76:$Z76,MIN(P$6-$G$3,22))),0)))))</f>
        <v>0</v>
      </c>
      <c r="Q78" s="27" t="n">
        <f aca="false">IF(COUNT('Milho 1ª safra'!$E76:$Z76)=0,0,MAX(0,IF((Q$6-$E$3)&lt;1,0,IFERROR(LOOKUP(2,1/('Milho 1ª safra'!$E76:INDEX('Milho 1ª safra'!$E76:$Z76,MIN(Q$6-$E$3,22))&lt;&gt;""),'Milho 1ª safra'!$E76:INDEX('Milho 1ª safra'!$E76:$Z76,MIN(Q$6-$E$3,22))),0))-IF($G$2,0,IF((Q$6-$G$3)&lt;1,0,IFERROR(LOOKUP(2,1/('Milho 1ª safra'!$E76:INDEX('Milho 1ª safra'!$E76:$Z76,MIN(Q$6-$G$3,22))&lt;&gt;""),'Milho 1ª safra'!$E76:INDEX('Milho 1ª safra'!$E76:$Z76,MIN(Q$6-$G$3,22))),0)))))</f>
        <v>0</v>
      </c>
      <c r="R78" s="27" t="n">
        <f aca="false">IF(COUNT('Milho 1ª safra'!$E76:$Z76)=0,0,MAX(0,IF((R$6-$E$3)&lt;1,0,IFERROR(LOOKUP(2,1/('Milho 1ª safra'!$E76:INDEX('Milho 1ª safra'!$E76:$Z76,MIN(R$6-$E$3,22))&lt;&gt;""),'Milho 1ª safra'!$E76:INDEX('Milho 1ª safra'!$E76:$Z76,MIN(R$6-$E$3,22))),0))-IF($G$2,0,IF((R$6-$G$3)&lt;1,0,IFERROR(LOOKUP(2,1/('Milho 1ª safra'!$E76:INDEX('Milho 1ª safra'!$E76:$Z76,MIN(R$6-$G$3,22))&lt;&gt;""),'Milho 1ª safra'!$E76:INDEX('Milho 1ª safra'!$E76:$Z76,MIN(R$6-$G$3,22))),0)))))</f>
        <v>0</v>
      </c>
      <c r="S78" s="27" t="n">
        <f aca="false">IF(COUNT('Milho 1ª safra'!$E76:$Z76)=0,0,MAX(0,IF((S$6-$E$3)&lt;1,0,IFERROR(LOOKUP(2,1/('Milho 1ª safra'!$E76:INDEX('Milho 1ª safra'!$E76:$Z76,MIN(S$6-$E$3,22))&lt;&gt;""),'Milho 1ª safra'!$E76:INDEX('Milho 1ª safra'!$E76:$Z76,MIN(S$6-$E$3,22))),0))-IF($G$2,0,IF((S$6-$G$3)&lt;1,0,IFERROR(LOOKUP(2,1/('Milho 1ª safra'!$E76:INDEX('Milho 1ª safra'!$E76:$Z76,MIN(S$6-$G$3,22))&lt;&gt;""),'Milho 1ª safra'!$E76:INDEX('Milho 1ª safra'!$E76:$Z76,MIN(S$6-$G$3,22))),0)))))</f>
        <v>0</v>
      </c>
      <c r="T78" s="27" t="n">
        <f aca="false">IF(COUNT('Milho 1ª safra'!$E76:$Z76)=0,0,MAX(0,IF((T$6-$E$3)&lt;1,0,IFERROR(LOOKUP(2,1/('Milho 1ª safra'!$E76:INDEX('Milho 1ª safra'!$E76:$Z76,MIN(T$6-$E$3,22))&lt;&gt;""),'Milho 1ª safra'!$E76:INDEX('Milho 1ª safra'!$E76:$Z76,MIN(T$6-$E$3,22))),0))-IF($G$2,0,IF((T$6-$G$3)&lt;1,0,IFERROR(LOOKUP(2,1/('Milho 1ª safra'!$E76:INDEX('Milho 1ª safra'!$E76:$Z76,MIN(T$6-$G$3,22))&lt;&gt;""),'Milho 1ª safra'!$E76:INDEX('Milho 1ª safra'!$E76:$Z76,MIN(T$6-$G$3,22))),0)))))</f>
        <v>0</v>
      </c>
      <c r="U78" s="27" t="n">
        <f aca="false">IF(COUNT('Milho 1ª safra'!$E76:$Z76)=0,0,MAX(0,IF((U$6-$E$3)&lt;1,0,IFERROR(LOOKUP(2,1/('Milho 1ª safra'!$E76:INDEX('Milho 1ª safra'!$E76:$Z76,MIN(U$6-$E$3,22))&lt;&gt;""),'Milho 1ª safra'!$E76:INDEX('Milho 1ª safra'!$E76:$Z76,MIN(U$6-$E$3,22))),0))-IF($G$2,0,IF((U$6-$G$3)&lt;1,0,IFERROR(LOOKUP(2,1/('Milho 1ª safra'!$E76:INDEX('Milho 1ª safra'!$E76:$Z76,MIN(U$6-$G$3,22))&lt;&gt;""),'Milho 1ª safra'!$E76:INDEX('Milho 1ª safra'!$E76:$Z76,MIN(U$6-$G$3,22))),0)))))</f>
        <v>0</v>
      </c>
      <c r="V78" s="27" t="n">
        <f aca="false">IF(COUNT('Milho 1ª safra'!$E76:$Z76)=0,0,MAX(0,IF((V$6-$E$3)&lt;1,0,IFERROR(LOOKUP(2,1/('Milho 1ª safra'!$E76:INDEX('Milho 1ª safra'!$E76:$Z76,MIN(V$6-$E$3,22))&lt;&gt;""),'Milho 1ª safra'!$E76:INDEX('Milho 1ª safra'!$E76:$Z76,MIN(V$6-$E$3,22))),0))-IF($G$2,0,IF((V$6-$G$3)&lt;1,0,IFERROR(LOOKUP(2,1/('Milho 1ª safra'!$E76:INDEX('Milho 1ª safra'!$E76:$Z76,MIN(V$6-$G$3,22))&lt;&gt;""),'Milho 1ª safra'!$E76:INDEX('Milho 1ª safra'!$E76:$Z76,MIN(V$6-$G$3,22))),0)))))</f>
        <v>0</v>
      </c>
      <c r="W78" s="27" t="n">
        <f aca="false">IF(COUNT('Milho 1ª safra'!$E76:$Z76)=0,0,MAX(0,IF((W$6-$E$3)&lt;1,0,IFERROR(LOOKUP(2,1/('Milho 1ª safra'!$E76:INDEX('Milho 1ª safra'!$E76:$Z76,MIN(W$6-$E$3,22))&lt;&gt;""),'Milho 1ª safra'!$E76:INDEX('Milho 1ª safra'!$E76:$Z76,MIN(W$6-$E$3,22))),0))-IF($G$2,0,IF((W$6-$G$3)&lt;1,0,IFERROR(LOOKUP(2,1/('Milho 1ª safra'!$E76:INDEX('Milho 1ª safra'!$E76:$Z76,MIN(W$6-$G$3,22))&lt;&gt;""),'Milho 1ª safra'!$E76:INDEX('Milho 1ª safra'!$E76:$Z76,MIN(W$6-$G$3,22))),0)))))</f>
        <v>0</v>
      </c>
      <c r="X78" s="27" t="n">
        <f aca="false">IF(COUNT('Milho 1ª safra'!$E76:$Z76)=0,0,MAX(0,IF((X$6-$E$3)&lt;1,0,IFERROR(LOOKUP(2,1/('Milho 1ª safra'!$E76:INDEX('Milho 1ª safra'!$E76:$Z76,MIN(X$6-$E$3,22))&lt;&gt;""),'Milho 1ª safra'!$E76:INDEX('Milho 1ª safra'!$E76:$Z76,MIN(X$6-$E$3,22))),0))-IF($G$2,0,IF((X$6-$G$3)&lt;1,0,IFERROR(LOOKUP(2,1/('Milho 1ª safra'!$E76:INDEX('Milho 1ª safra'!$E76:$Z76,MIN(X$6-$G$3,22))&lt;&gt;""),'Milho 1ª safra'!$E76:INDEX('Milho 1ª safra'!$E76:$Z76,MIN(X$6-$G$3,22))),0)))))</f>
        <v>0</v>
      </c>
      <c r="Y78" s="27" t="n">
        <f aca="false">IF(COUNT('Milho 1ª safra'!$E76:$Z76)=0,0,MAX(0,IF((Y$6-$E$3)&lt;1,0,IFERROR(LOOKUP(2,1/('Milho 1ª safra'!$E76:INDEX('Milho 1ª safra'!$E76:$Z76,MIN(Y$6-$E$3,22))&lt;&gt;""),'Milho 1ª safra'!$E76:INDEX('Milho 1ª safra'!$E76:$Z76,MIN(Y$6-$E$3,22))),0))-IF($G$2,0,IF((Y$6-$G$3)&lt;1,0,IFERROR(LOOKUP(2,1/('Milho 1ª safra'!$E76:INDEX('Milho 1ª safra'!$E76:$Z76,MIN(Y$6-$G$3,22))&lt;&gt;""),'Milho 1ª safra'!$E76:INDEX('Milho 1ª safra'!$E76:$Z76,MIN(Y$6-$G$3,22))),0)))))</f>
        <v>0</v>
      </c>
      <c r="Z78" s="27" t="n">
        <f aca="false">IF(COUNT('Milho 1ª safra'!$E76:$Z76)=0,0,MAX(0,IF((Z$6-$E$3)&lt;1,0,IFERROR(LOOKUP(2,1/('Milho 1ª safra'!$E76:INDEX('Milho 1ª safra'!$E76:$Z76,MIN(Z$6-$E$3,22))&lt;&gt;""),'Milho 1ª safra'!$E76:INDEX('Milho 1ª safra'!$E76:$Z76,MIN(Z$6-$E$3,22))),0))-IF($G$2,0,IF((Z$6-$G$3)&lt;1,0,IFERROR(LOOKUP(2,1/('Milho 1ª safra'!$E76:INDEX('Milho 1ª safra'!$E76:$Z76,MIN(Z$6-$G$3,22))&lt;&gt;""),'Milho 1ª safra'!$E76:INDEX('Milho 1ª safra'!$E76:$Z76,MIN(Z$6-$G$3,22))),0)))))</f>
        <v>0</v>
      </c>
      <c r="AA78" s="27" t="n">
        <f aca="false">IF(COUNT('Milho 1ª safra'!$E76:$Z76)=0,0,MAX(0,IF((AA$6-$E$3)&lt;1,0,IFERROR(LOOKUP(2,1/('Milho 1ª safra'!$E76:INDEX('Milho 1ª safra'!$E76:$Z76,MIN(AA$6-$E$3,22))&lt;&gt;""),'Milho 1ª safra'!$E76:INDEX('Milho 1ª safra'!$E76:$Z76,MIN(AA$6-$E$3,22))),0))-IF($G$2,0,IF((AA$6-$G$3)&lt;1,0,IFERROR(LOOKUP(2,1/('Milho 1ª safra'!$E76:INDEX('Milho 1ª safra'!$E76:$Z76,MIN(AA$6-$G$3,22))&lt;&gt;""),'Milho 1ª safra'!$E76:INDEX('Milho 1ª safra'!$E76:$Z76,MIN(AA$6-$G$3,22))),0)))))</f>
        <v>0</v>
      </c>
      <c r="AB78" s="27" t="n">
        <f aca="false">IF(COUNT('Milho 1ª safra'!$E76:$Z76)=0,0,MAX(0,IF((AB$6-$E$3)&lt;1,0,IFERROR(LOOKUP(2,1/('Milho 1ª safra'!$E76:INDEX('Milho 1ª safra'!$E76:$Z76,MIN(AB$6-$E$3,22))&lt;&gt;""),'Milho 1ª safra'!$E76:INDEX('Milho 1ª safra'!$E76:$Z76,MIN(AB$6-$E$3,22))),0))-IF($G$2,0,IF((AB$6-$G$3)&lt;1,0,IFERROR(LOOKUP(2,1/('Milho 1ª safra'!$E76:INDEX('Milho 1ª safra'!$E76:$Z76,MIN(AB$6-$G$3,22))&lt;&gt;""),'Milho 1ª safra'!$E76:INDEX('Milho 1ª safra'!$E76:$Z76,MIN(AB$6-$G$3,22))),0)))))</f>
        <v>0</v>
      </c>
      <c r="AC78" s="27" t="n">
        <f aca="false">IF(COUNT('Milho 1ª safra'!$E76:$Z76)=0,0,MAX(0,IF((AC$6-$E$3)&lt;1,0,IFERROR(LOOKUP(2,1/('Milho 1ª safra'!$E76:INDEX('Milho 1ª safra'!$E76:$Z76,MIN(AC$6-$E$3,22))&lt;&gt;""),'Milho 1ª safra'!$E76:INDEX('Milho 1ª safra'!$E76:$Z76,MIN(AC$6-$E$3,22))),0))-IF($G$2,0,IF((AC$6-$G$3)&lt;1,0,IFERROR(LOOKUP(2,1/('Milho 1ª safra'!$E76:INDEX('Milho 1ª safra'!$E76:$Z76,MIN(AC$6-$G$3,22))&lt;&gt;""),'Milho 1ª safra'!$E76:INDEX('Milho 1ª safra'!$E76:$Z76,MIN(AC$6-$G$3,22))),0)))))</f>
        <v>0</v>
      </c>
      <c r="AD78" s="27" t="n">
        <f aca="false">IF(COUNT('Milho 1ª safra'!$E76:$Z76)=0,0,MAX(0,IF((AD$6-$E$3)&lt;1,0,IFERROR(LOOKUP(2,1/('Milho 1ª safra'!$E76:INDEX('Milho 1ª safra'!$E76:$Z76,MIN(AD$6-$E$3,22))&lt;&gt;""),'Milho 1ª safra'!$E76:INDEX('Milho 1ª safra'!$E76:$Z76,MIN(AD$6-$E$3,22))),0))-IF($G$2,0,IF((AD$6-$G$3)&lt;1,0,IFERROR(LOOKUP(2,1/('Milho 1ª safra'!$E76:INDEX('Milho 1ª safra'!$E76:$Z76,MIN(AD$6-$G$3,22))&lt;&gt;""),'Milho 1ª safra'!$E76:INDEX('Milho 1ª safra'!$E76:$Z76,MIN(AD$6-$G$3,22))),0)))))</f>
        <v>0</v>
      </c>
      <c r="AE78" s="27" t="n">
        <f aca="false">IF(COUNT('Milho 1ª safra'!$E76:$Z76)=0,0,MAX(0,IF((AE$6-$E$3)&lt;1,0,IFERROR(LOOKUP(2,1/('Milho 1ª safra'!$E76:INDEX('Milho 1ª safra'!$E76:$Z76,MIN(AE$6-$E$3,22))&lt;&gt;""),'Milho 1ª safra'!$E76:INDEX('Milho 1ª safra'!$E76:$Z76,MIN(AE$6-$E$3,22))),0))-IF($G$2,0,IF((AE$6-$G$3)&lt;1,0,IFERROR(LOOKUP(2,1/('Milho 1ª safra'!$E76:INDEX('Milho 1ª safra'!$E76:$Z76,MIN(AE$6-$G$3,22))&lt;&gt;""),'Milho 1ª safra'!$E76:INDEX('Milho 1ª safra'!$E76:$Z76,MIN(AE$6-$G$3,22))),0)))))</f>
        <v>0</v>
      </c>
      <c r="AF78" s="27" t="n">
        <f aca="false">IF(COUNT('Milho 1ª safra'!$E76:$Z76)=0,0,MAX(0,IF((AF$6-$E$3)&lt;1,0,IFERROR(LOOKUP(2,1/('Milho 1ª safra'!$E76:INDEX('Milho 1ª safra'!$E76:$Z76,MIN(AF$6-$E$3,22))&lt;&gt;""),'Milho 1ª safra'!$E76:INDEX('Milho 1ª safra'!$E76:$Z76,MIN(AF$6-$E$3,22))),0))-IF($G$2,0,IF((AF$6-$G$3)&lt;1,0,IFERROR(LOOKUP(2,1/('Milho 1ª safra'!$E76:INDEX('Milho 1ª safra'!$E76:$Z76,MIN(AF$6-$G$3,22))&lt;&gt;""),'Milho 1ª safra'!$E76:INDEX('Milho 1ª safra'!$E76:$Z76,MIN(AF$6-$G$3,22))),0)))))</f>
        <v>0</v>
      </c>
      <c r="AG78" s="27" t="n">
        <f aca="false">IF(COUNT('Milho 1ª safra'!$E76:$Z76)=0,0,MAX(0,IF((AG$6-$E$3)&lt;1,0,IFERROR(LOOKUP(2,1/('Milho 1ª safra'!$E76:INDEX('Milho 1ª safra'!$E76:$Z76,MIN(AG$6-$E$3,22))&lt;&gt;""),'Milho 1ª safra'!$E76:INDEX('Milho 1ª safra'!$E76:$Z76,MIN(AG$6-$E$3,22))),0))-IF($G$2,0,IF((AG$6-$G$3)&lt;1,0,IFERROR(LOOKUP(2,1/('Milho 1ª safra'!$E76:INDEX('Milho 1ª safra'!$E76:$Z76,MIN(AG$6-$G$3,22))&lt;&gt;""),'Milho 1ª safra'!$E76:INDEX('Milho 1ª safra'!$E76:$Z76,MIN(AG$6-$G$3,22))),0)))))</f>
        <v>0</v>
      </c>
      <c r="AH78" s="27" t="n">
        <f aca="false">IF(COUNT('Milho 1ª safra'!$E76:$Z76)=0,0,MAX(0,IF((AH$6-$E$3)&lt;1,0,IFERROR(LOOKUP(2,1/('Milho 1ª safra'!$E76:INDEX('Milho 1ª safra'!$E76:$Z76,MIN(AH$6-$E$3,22))&lt;&gt;""),'Milho 1ª safra'!$E76:INDEX('Milho 1ª safra'!$E76:$Z76,MIN(AH$6-$E$3,22))),0))-IF($G$2,0,IF((AH$6-$G$3)&lt;1,0,IFERROR(LOOKUP(2,1/('Milho 1ª safra'!$E76:INDEX('Milho 1ª safra'!$E76:$Z76,MIN(AH$6-$G$3,22))&lt;&gt;""),'Milho 1ª safra'!$E76:INDEX('Milho 1ª safra'!$E76:$Z76,MIN(AH$6-$G$3,22))),0)))))</f>
        <v>0</v>
      </c>
      <c r="AI78" s="27" t="n">
        <f aca="false">IF(COUNT('Milho 1ª safra'!$E76:$Z76)=0,0,MAX(0,IF((AI$6-$E$3)&lt;1,0,IFERROR(LOOKUP(2,1/('Milho 1ª safra'!$E76:INDEX('Milho 1ª safra'!$E76:$Z76,MIN(AI$6-$E$3,22))&lt;&gt;""),'Milho 1ª safra'!$E76:INDEX('Milho 1ª safra'!$E76:$Z76,MIN(AI$6-$E$3,22))),0))-IF($G$2,0,IF((AI$6-$G$3)&lt;1,0,IFERROR(LOOKUP(2,1/('Milho 1ª safra'!$E76:INDEX('Milho 1ª safra'!$E76:$Z76,MIN(AI$6-$G$3,22))&lt;&gt;""),'Milho 1ª safra'!$E76:INDEX('Milho 1ª safra'!$E76:$Z76,MIN(AI$6-$G$3,22))),0)))))</f>
        <v>0</v>
      </c>
      <c r="AJ78" s="27" t="n">
        <f aca="false">IF(COUNT('Milho 1ª safra'!$E76:$Z76)=0,0,MAX(0,IF((AJ$6-$E$3)&lt;1,0,IFERROR(LOOKUP(2,1/('Milho 1ª safra'!$E76:INDEX('Milho 1ª safra'!$E76:$Z76,MIN(AJ$6-$E$3,22))&lt;&gt;""),'Milho 1ª safra'!$E76:INDEX('Milho 1ª safra'!$E76:$Z76,MIN(AJ$6-$E$3,22))),0))-IF($G$2,0,IF((AJ$6-$G$3)&lt;1,0,IFERROR(LOOKUP(2,1/('Milho 1ª safra'!$E76:INDEX('Milho 1ª safra'!$E76:$Z76,MIN(AJ$6-$G$3,22))&lt;&gt;""),'Milho 1ª safra'!$E76:INDEX('Milho 1ª safra'!$E76:$Z76,MIN(AJ$6-$G$3,22))),0)))))</f>
        <v>0</v>
      </c>
      <c r="AK78" s="27" t="n">
        <f aca="false">IF(COUNT('Milho 1ª safra'!$E76:$Z76)=0,0,MAX(0,IF((AK$6-$E$3)&lt;1,0,IFERROR(LOOKUP(2,1/('Milho 1ª safra'!$E76:INDEX('Milho 1ª safra'!$E76:$Z76,MIN(AK$6-$E$3,22))&lt;&gt;""),'Milho 1ª safra'!$E76:INDEX('Milho 1ª safra'!$E76:$Z76,MIN(AK$6-$E$3,22))),0))-IF($G$2,0,IF((AK$6-$G$3)&lt;1,0,IFERROR(LOOKUP(2,1/('Milho 1ª safra'!$E76:INDEX('Milho 1ª safra'!$E76:$Z76,MIN(AK$6-$G$3,22))&lt;&gt;""),'Milho 1ª safra'!$E76:INDEX('Milho 1ª safra'!$E76:$Z76,MIN(AK$6-$G$3,22))),0)))))</f>
        <v>0</v>
      </c>
      <c r="AL78" s="27" t="n">
        <f aca="false">IF(COUNT('Milho 1ª safra'!$E76:$Z76)=0,0,MAX(0,IF((AL$6-$E$3)&lt;1,0,IFERROR(LOOKUP(2,1/('Milho 1ª safra'!$E76:INDEX('Milho 1ª safra'!$E76:$Z76,MIN(AL$6-$E$3,22))&lt;&gt;""),'Milho 1ª safra'!$E76:INDEX('Milho 1ª safra'!$E76:$Z76,MIN(AL$6-$E$3,22))),0))-IF($G$2,0,IF((AL$6-$G$3)&lt;1,0,IFERROR(LOOKUP(2,1/('Milho 1ª safra'!$E76:INDEX('Milho 1ª safra'!$E76:$Z76,MIN(AL$6-$G$3,22))&lt;&gt;""),'Milho 1ª safra'!$E76:INDEX('Milho 1ª safra'!$E76:$Z76,MIN(AL$6-$G$3,22))),0)))))</f>
        <v>0</v>
      </c>
      <c r="AM78" s="27" t="n">
        <f aca="false">IF(COUNT('Milho 1ª safra'!$E76:$Z76)=0,0,MAX(0,IF((AM$6-$E$3)&lt;1,0,IFERROR(LOOKUP(2,1/('Milho 1ª safra'!$E76:INDEX('Milho 1ª safra'!$E76:$Z76,MIN(AM$6-$E$3,22))&lt;&gt;""),'Milho 1ª safra'!$E76:INDEX('Milho 1ª safra'!$E76:$Z76,MIN(AM$6-$E$3,22))),0))-IF($G$2,0,IF((AM$6-$G$3)&lt;1,0,IFERROR(LOOKUP(2,1/('Milho 1ª safra'!$E76:INDEX('Milho 1ª safra'!$E76:$Z76,MIN(AM$6-$G$3,22))&lt;&gt;""),'Milho 1ª safra'!$E76:INDEX('Milho 1ª safra'!$E76:$Z76,MIN(AM$6-$G$3,22))),0)))))</f>
        <v>0</v>
      </c>
      <c r="AN78" s="27" t="n">
        <f aca="false">IF(COUNT('Milho 1ª safra'!$E76:$Z76)=0,0,MAX(0,IF((AN$6-$E$3)&lt;1,0,IFERROR(LOOKUP(2,1/('Milho 1ª safra'!$E76:INDEX('Milho 1ª safra'!$E76:$Z76,MIN(AN$6-$E$3,22))&lt;&gt;""),'Milho 1ª safra'!$E76:INDEX('Milho 1ª safra'!$E76:$Z76,MIN(AN$6-$E$3,22))),0))-IF($G$2,0,IF((AN$6-$G$3)&lt;1,0,IFERROR(LOOKUP(2,1/('Milho 1ª safra'!$E76:INDEX('Milho 1ª safra'!$E76:$Z76,MIN(AN$6-$G$3,22))&lt;&gt;""),'Milho 1ª safra'!$E76:INDEX('Milho 1ª safra'!$E76:$Z76,MIN(AN$6-$G$3,22))),0)))))</f>
        <v>0</v>
      </c>
      <c r="AO78" s="27" t="n">
        <f aca="false">IF(COUNT('Milho 1ª safra'!$E76:$Z76)=0,0,MAX(0,IF((AO$6-$E$3)&lt;1,0,IFERROR(LOOKUP(2,1/('Milho 1ª safra'!$E76:INDEX('Milho 1ª safra'!$E76:$Z76,MIN(AO$6-$E$3,22))&lt;&gt;""),'Milho 1ª safra'!$E76:INDEX('Milho 1ª safra'!$E76:$Z76,MIN(AO$6-$E$3,22))),0))-IF($G$2,0,IF((AO$6-$G$3)&lt;1,0,IFERROR(LOOKUP(2,1/('Milho 1ª safra'!$E76:INDEX('Milho 1ª safra'!$E76:$Z76,MIN(AO$6-$G$3,22))&lt;&gt;""),'Milho 1ª safra'!$E76:INDEX('Milho 1ª safra'!$E76:$Z76,MIN(AO$6-$G$3,22))),0)))))</f>
        <v>0</v>
      </c>
      <c r="AP78" s="27" t="n">
        <f aca="false">IF(COUNT('Milho 1ª safra'!$E76:$Z76)=0,0,MAX(0,IF((AP$6-$E$3)&lt;1,0,IFERROR(LOOKUP(2,1/('Milho 1ª safra'!$E76:INDEX('Milho 1ª safra'!$E76:$Z76,MIN(AP$6-$E$3,22))&lt;&gt;""),'Milho 1ª safra'!$E76:INDEX('Milho 1ª safra'!$E76:$Z76,MIN(AP$6-$E$3,22))),0))-IF($G$2,0,IF((AP$6-$G$3)&lt;1,0,IFERROR(LOOKUP(2,1/('Milho 1ª safra'!$E76:INDEX('Milho 1ª safra'!$E76:$Z76,MIN(AP$6-$G$3,22))&lt;&gt;""),'Milho 1ª safra'!$E76:INDEX('Milho 1ª safra'!$E76:$Z76,MIN(AP$6-$G$3,22))),0)))))</f>
        <v>0</v>
      </c>
      <c r="AQ78" s="27" t="n">
        <f aca="false">IF(COUNT('Milho 1ª safra'!$E76:$Z76)=0,0,MAX(0,IF((AQ$6-$E$3)&lt;1,0,IFERROR(LOOKUP(2,1/('Milho 1ª safra'!$E76:INDEX('Milho 1ª safra'!$E76:$Z76,MIN(AQ$6-$E$3,22))&lt;&gt;""),'Milho 1ª safra'!$E76:INDEX('Milho 1ª safra'!$E76:$Z76,MIN(AQ$6-$E$3,22))),0))-IF($G$2,0,IF((AQ$6-$G$3)&lt;1,0,IFERROR(LOOKUP(2,1/('Milho 1ª safra'!$E76:INDEX('Milho 1ª safra'!$E76:$Z76,MIN(AQ$6-$G$3,22))&lt;&gt;""),'Milho 1ª safra'!$E76:INDEX('Milho 1ª safra'!$E76:$Z76,MIN(AQ$6-$G$3,22))),0)))))</f>
        <v>0</v>
      </c>
      <c r="AR78" s="27" t="n">
        <f aca="false">IF(COUNT('Milho 1ª safra'!$E76:$Z76)=0,0,MAX(0,IF((AR$6-$E$3)&lt;1,0,IFERROR(LOOKUP(2,1/('Milho 1ª safra'!$E76:INDEX('Milho 1ª safra'!$E76:$Z76,MIN(AR$6-$E$3,22))&lt;&gt;""),'Milho 1ª safra'!$E76:INDEX('Milho 1ª safra'!$E76:$Z76,MIN(AR$6-$E$3,22))),0))-IF($G$2,0,IF((AR$6-$G$3)&lt;1,0,IFERROR(LOOKUP(2,1/('Milho 1ª safra'!$E76:INDEX('Milho 1ª safra'!$E76:$Z76,MIN(AR$6-$G$3,22))&lt;&gt;""),'Milho 1ª safra'!$E76:INDEX('Milho 1ª safra'!$E76:$Z76,MIN(AR$6-$G$3,22))),0)))))</f>
        <v>0</v>
      </c>
      <c r="AS78" s="27" t="n">
        <f aca="false">IF(COUNT('Milho 1ª safra'!$E76:$Z76)=0,0,MAX(0,IF((AS$6-$E$3)&lt;1,0,IFERROR(LOOKUP(2,1/('Milho 1ª safra'!$E76:INDEX('Milho 1ª safra'!$E76:$Z76,MIN(AS$6-$E$3,22))&lt;&gt;""),'Milho 1ª safra'!$E76:INDEX('Milho 1ª safra'!$E76:$Z76,MIN(AS$6-$E$3,22))),0))-IF($G$2,0,IF((AS$6-$G$3)&lt;1,0,IFERROR(LOOKUP(2,1/('Milho 1ª safra'!$E76:INDEX('Milho 1ª safra'!$E76:$Z76,MIN(AS$6-$G$3,22))&lt;&gt;""),'Milho 1ª safra'!$E76:INDEX('Milho 1ª safra'!$E76:$Z76,MIN(AS$6-$G$3,22))),0)))))</f>
        <v>0</v>
      </c>
      <c r="AT78" s="27" t="n">
        <f aca="false">IF(COUNT('Milho 1ª safra'!$E76:$Z76)=0,0,MAX(0,IF((AT$6-$E$3)&lt;1,0,IFERROR(LOOKUP(2,1/('Milho 1ª safra'!$E76:INDEX('Milho 1ª safra'!$E76:$Z76,MIN(AT$6-$E$3,22))&lt;&gt;""),'Milho 1ª safra'!$E76:INDEX('Milho 1ª safra'!$E76:$Z76,MIN(AT$6-$E$3,22))),0))-IF($G$2,0,IF((AT$6-$G$3)&lt;1,0,IFERROR(LOOKUP(2,1/('Milho 1ª safra'!$E76:INDEX('Milho 1ª safra'!$E76:$Z76,MIN(AT$6-$G$3,22))&lt;&gt;""),'Milho 1ª safra'!$E76:INDEX('Milho 1ª safra'!$E76:$Z76,MIN(AT$6-$G$3,22))),0)))))</f>
        <v>0</v>
      </c>
      <c r="AU78" s="27" t="n">
        <f aca="false">IF(COUNT('Milho 1ª safra'!$E76:$Z76)=0,0,MAX(0,IF((AU$6-$E$3)&lt;1,0,IFERROR(LOOKUP(2,1/('Milho 1ª safra'!$E76:INDEX('Milho 1ª safra'!$E76:$Z76,MIN(AU$6-$E$3,22))&lt;&gt;""),'Milho 1ª safra'!$E76:INDEX('Milho 1ª safra'!$E76:$Z76,MIN(AU$6-$E$3,22))),0))-IF($G$2,0,IF((AU$6-$G$3)&lt;1,0,IFERROR(LOOKUP(2,1/('Milho 1ª safra'!$E76:INDEX('Milho 1ª safra'!$E76:$Z76,MIN(AU$6-$G$3,22))&lt;&gt;""),'Milho 1ª safra'!$E76:INDEX('Milho 1ª safra'!$E76:$Z76,MIN(AU$6-$G$3,22))),0)))))</f>
        <v>0</v>
      </c>
      <c r="AV78" s="27" t="n">
        <f aca="false">IF(COUNT('Milho 1ª safra'!$E76:$Z76)=0,0,MAX(0,IF((AV$6-$E$3)&lt;1,0,IFERROR(LOOKUP(2,1/('Milho 1ª safra'!$E76:INDEX('Milho 1ª safra'!$E76:$Z76,MIN(AV$6-$E$3,22))&lt;&gt;""),'Milho 1ª safra'!$E76:INDEX('Milho 1ª safra'!$E76:$Z76,MIN(AV$6-$E$3,22))),0))-IF($G$2,0,IF((AV$6-$G$3)&lt;1,0,IFERROR(LOOKUP(2,1/('Milho 1ª safra'!$E76:INDEX('Milho 1ª safra'!$E76:$Z76,MIN(AV$6-$G$3,22))&lt;&gt;""),'Milho 1ª safra'!$E76:INDEX('Milho 1ª safra'!$E76:$Z76,MIN(AV$6-$G$3,22))),0)))))</f>
        <v>0</v>
      </c>
      <c r="AW78" s="27" t="n">
        <f aca="false">IF(COUNT('Milho 1ª safra'!$E76:$Z76)=0,0,MAX(0,IF((AW$6-$E$3)&lt;1,0,IFERROR(LOOKUP(2,1/('Milho 1ª safra'!$E76:INDEX('Milho 1ª safra'!$E76:$Z76,MIN(AW$6-$E$3,22))&lt;&gt;""),'Milho 1ª safra'!$E76:INDEX('Milho 1ª safra'!$E76:$Z76,MIN(AW$6-$E$3,22))),0))-IF($G$2,0,IF((AW$6-$G$3)&lt;1,0,IFERROR(LOOKUP(2,1/('Milho 1ª safra'!$E76:INDEX('Milho 1ª safra'!$E76:$Z76,MIN(AW$6-$G$3,22))&lt;&gt;""),'Milho 1ª safra'!$E76:INDEX('Milho 1ª safra'!$E76:$Z76,MIN(AW$6-$G$3,22))),0)))))</f>
        <v>0</v>
      </c>
      <c r="AX78" s="27" t="n">
        <f aca="false">IF(COUNT('Milho 1ª safra'!$E76:$Z76)=0,0,MAX(0,IF((AX$6-$E$3)&lt;1,0,IFERROR(LOOKUP(2,1/('Milho 1ª safra'!$E76:INDEX('Milho 1ª safra'!$E76:$Z76,MIN(AX$6-$E$3,22))&lt;&gt;""),'Milho 1ª safra'!$E76:INDEX('Milho 1ª safra'!$E76:$Z76,MIN(AX$6-$E$3,22))),0))-IF($G$2,0,IF((AX$6-$G$3)&lt;1,0,IFERROR(LOOKUP(2,1/('Milho 1ª safra'!$E76:INDEX('Milho 1ª safra'!$E76:$Z76,MIN(AX$6-$G$3,22))&lt;&gt;""),'Milho 1ª safra'!$E76:INDEX('Milho 1ª safra'!$E76:$Z76,MIN(AX$6-$G$3,22))),0)))))</f>
        <v>0</v>
      </c>
      <c r="AY78" s="27" t="n">
        <f aca="false">IF(COUNT('Milho 1ª safra'!$E76:$Z76)=0,0,MAX(0,IF((AY$6-$E$3)&lt;1,0,IFERROR(LOOKUP(2,1/('Milho 1ª safra'!$E76:INDEX('Milho 1ª safra'!$E76:$Z76,MIN(AY$6-$E$3,22))&lt;&gt;""),'Milho 1ª safra'!$E76:INDEX('Milho 1ª safra'!$E76:$Z76,MIN(AY$6-$E$3,22))),0))-IF($G$2,0,IF((AY$6-$G$3)&lt;1,0,IFERROR(LOOKUP(2,1/('Milho 1ª safra'!$E76:INDEX('Milho 1ª safra'!$E76:$Z76,MIN(AY$6-$G$3,22))&lt;&gt;""),'Milho 1ª safra'!$E76:INDEX('Milho 1ª safra'!$E76:$Z76,MIN(AY$6-$G$3,22))),0)))))</f>
        <v>0</v>
      </c>
      <c r="AZ78" s="27" t="n">
        <f aca="false">IF(COUNT('Milho 1ª safra'!$E76:$Z76)=0,0,MAX(0,IF((AZ$6-$E$3)&lt;1,0,IFERROR(LOOKUP(2,1/('Milho 1ª safra'!$E76:INDEX('Milho 1ª safra'!$E76:$Z76,MIN(AZ$6-$E$3,22))&lt;&gt;""),'Milho 1ª safra'!$E76:INDEX('Milho 1ª safra'!$E76:$Z76,MIN(AZ$6-$E$3,22))),0))-IF($G$2,0,IF((AZ$6-$G$3)&lt;1,0,IFERROR(LOOKUP(2,1/('Milho 1ª safra'!$E76:INDEX('Milho 1ª safra'!$E76:$Z76,MIN(AZ$6-$G$3,22))&lt;&gt;""),'Milho 1ª safra'!$E76:INDEX('Milho 1ª safra'!$E76:$Z76,MIN(AZ$6-$G$3,22))),0)))))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IF(COUNT('Milho 1ª safra'!$E77:$Z77)&gt;0,N('Milho 1ª safra'!$D77),0)</f>
        <v>0</v>
      </c>
      <c r="E79" s="27" t="n">
        <f aca="false">IF(COUNT('Milho 1ª safra'!$E77:$Z77)=0,0,MAX(0,IF((E$6-$E$3)&lt;1,0,IFERROR(LOOKUP(2,1/('Milho 1ª safra'!$E77:INDEX('Milho 1ª safra'!$E77:$Z77,MIN(E$6-$E$3,22))&lt;&gt;""),'Milho 1ª safra'!$E77:INDEX('Milho 1ª safra'!$E77:$Z77,MIN(E$6-$E$3,22))),0))-IF($G$2,0,IF((E$6-$G$3)&lt;1,0,IFERROR(LOOKUP(2,1/('Milho 1ª safra'!$E77:INDEX('Milho 1ª safra'!$E77:$Z77,MIN(E$6-$G$3,22))&lt;&gt;""),'Milho 1ª safra'!$E77:INDEX('Milho 1ª safra'!$E77:$Z77,MIN(E$6-$G$3,22))),0)))))</f>
        <v>0</v>
      </c>
      <c r="F79" s="27" t="n">
        <f aca="false">IF(COUNT('Milho 1ª safra'!$E77:$Z77)=0,0,MAX(0,IF((F$6-$E$3)&lt;1,0,IFERROR(LOOKUP(2,1/('Milho 1ª safra'!$E77:INDEX('Milho 1ª safra'!$E77:$Z77,MIN(F$6-$E$3,22))&lt;&gt;""),'Milho 1ª safra'!$E77:INDEX('Milho 1ª safra'!$E77:$Z77,MIN(F$6-$E$3,22))),0))-IF($G$2,0,IF((F$6-$G$3)&lt;1,0,IFERROR(LOOKUP(2,1/('Milho 1ª safra'!$E77:INDEX('Milho 1ª safra'!$E77:$Z77,MIN(F$6-$G$3,22))&lt;&gt;""),'Milho 1ª safra'!$E77:INDEX('Milho 1ª safra'!$E77:$Z77,MIN(F$6-$G$3,22))),0)))))</f>
        <v>0</v>
      </c>
      <c r="G79" s="27" t="n">
        <f aca="false">IF(COUNT('Milho 1ª safra'!$E77:$Z77)=0,0,MAX(0,IF((G$6-$E$3)&lt;1,0,IFERROR(LOOKUP(2,1/('Milho 1ª safra'!$E77:INDEX('Milho 1ª safra'!$E77:$Z77,MIN(G$6-$E$3,22))&lt;&gt;""),'Milho 1ª safra'!$E77:INDEX('Milho 1ª safra'!$E77:$Z77,MIN(G$6-$E$3,22))),0))-IF($G$2,0,IF((G$6-$G$3)&lt;1,0,IFERROR(LOOKUP(2,1/('Milho 1ª safra'!$E77:INDEX('Milho 1ª safra'!$E77:$Z77,MIN(G$6-$G$3,22))&lt;&gt;""),'Milho 1ª safra'!$E77:INDEX('Milho 1ª safra'!$E77:$Z77,MIN(G$6-$G$3,22))),0)))))</f>
        <v>0</v>
      </c>
      <c r="H79" s="27" t="n">
        <f aca="false">IF(COUNT('Milho 1ª safra'!$E77:$Z77)=0,0,MAX(0,IF((H$6-$E$3)&lt;1,0,IFERROR(LOOKUP(2,1/('Milho 1ª safra'!$E77:INDEX('Milho 1ª safra'!$E77:$Z77,MIN(H$6-$E$3,22))&lt;&gt;""),'Milho 1ª safra'!$E77:INDEX('Milho 1ª safra'!$E77:$Z77,MIN(H$6-$E$3,22))),0))-IF($G$2,0,IF((H$6-$G$3)&lt;1,0,IFERROR(LOOKUP(2,1/('Milho 1ª safra'!$E77:INDEX('Milho 1ª safra'!$E77:$Z77,MIN(H$6-$G$3,22))&lt;&gt;""),'Milho 1ª safra'!$E77:INDEX('Milho 1ª safra'!$E77:$Z77,MIN(H$6-$G$3,22))),0)))))</f>
        <v>0</v>
      </c>
      <c r="I79" s="27" t="n">
        <f aca="false">IF(COUNT('Milho 1ª safra'!$E77:$Z77)=0,0,MAX(0,IF((I$6-$E$3)&lt;1,0,IFERROR(LOOKUP(2,1/('Milho 1ª safra'!$E77:INDEX('Milho 1ª safra'!$E77:$Z77,MIN(I$6-$E$3,22))&lt;&gt;""),'Milho 1ª safra'!$E77:INDEX('Milho 1ª safra'!$E77:$Z77,MIN(I$6-$E$3,22))),0))-IF($G$2,0,IF((I$6-$G$3)&lt;1,0,IFERROR(LOOKUP(2,1/('Milho 1ª safra'!$E77:INDEX('Milho 1ª safra'!$E77:$Z77,MIN(I$6-$G$3,22))&lt;&gt;""),'Milho 1ª safra'!$E77:INDEX('Milho 1ª safra'!$E77:$Z77,MIN(I$6-$G$3,22))),0)))))</f>
        <v>0</v>
      </c>
      <c r="J79" s="27" t="n">
        <f aca="false">IF(COUNT('Milho 1ª safra'!$E77:$Z77)=0,0,MAX(0,IF((J$6-$E$3)&lt;1,0,IFERROR(LOOKUP(2,1/('Milho 1ª safra'!$E77:INDEX('Milho 1ª safra'!$E77:$Z77,MIN(J$6-$E$3,22))&lt;&gt;""),'Milho 1ª safra'!$E77:INDEX('Milho 1ª safra'!$E77:$Z77,MIN(J$6-$E$3,22))),0))-IF($G$2,0,IF((J$6-$G$3)&lt;1,0,IFERROR(LOOKUP(2,1/('Milho 1ª safra'!$E77:INDEX('Milho 1ª safra'!$E77:$Z77,MIN(J$6-$G$3,22))&lt;&gt;""),'Milho 1ª safra'!$E77:INDEX('Milho 1ª safra'!$E77:$Z77,MIN(J$6-$G$3,22))),0)))))</f>
        <v>0</v>
      </c>
      <c r="K79" s="27" t="n">
        <f aca="false">IF(COUNT('Milho 1ª safra'!$E77:$Z77)=0,0,MAX(0,IF((K$6-$E$3)&lt;1,0,IFERROR(LOOKUP(2,1/('Milho 1ª safra'!$E77:INDEX('Milho 1ª safra'!$E77:$Z77,MIN(K$6-$E$3,22))&lt;&gt;""),'Milho 1ª safra'!$E77:INDEX('Milho 1ª safra'!$E77:$Z77,MIN(K$6-$E$3,22))),0))-IF($G$2,0,IF((K$6-$G$3)&lt;1,0,IFERROR(LOOKUP(2,1/('Milho 1ª safra'!$E77:INDEX('Milho 1ª safra'!$E77:$Z77,MIN(K$6-$G$3,22))&lt;&gt;""),'Milho 1ª safra'!$E77:INDEX('Milho 1ª safra'!$E77:$Z77,MIN(K$6-$G$3,22))),0)))))</f>
        <v>0</v>
      </c>
      <c r="L79" s="27" t="n">
        <f aca="false">IF(COUNT('Milho 1ª safra'!$E77:$Z77)=0,0,MAX(0,IF((L$6-$E$3)&lt;1,0,IFERROR(LOOKUP(2,1/('Milho 1ª safra'!$E77:INDEX('Milho 1ª safra'!$E77:$Z77,MIN(L$6-$E$3,22))&lt;&gt;""),'Milho 1ª safra'!$E77:INDEX('Milho 1ª safra'!$E77:$Z77,MIN(L$6-$E$3,22))),0))-IF($G$2,0,IF((L$6-$G$3)&lt;1,0,IFERROR(LOOKUP(2,1/('Milho 1ª safra'!$E77:INDEX('Milho 1ª safra'!$E77:$Z77,MIN(L$6-$G$3,22))&lt;&gt;""),'Milho 1ª safra'!$E77:INDEX('Milho 1ª safra'!$E77:$Z77,MIN(L$6-$G$3,22))),0)))))</f>
        <v>0</v>
      </c>
      <c r="M79" s="27" t="n">
        <f aca="false">IF(COUNT('Milho 1ª safra'!$E77:$Z77)=0,0,MAX(0,IF((M$6-$E$3)&lt;1,0,IFERROR(LOOKUP(2,1/('Milho 1ª safra'!$E77:INDEX('Milho 1ª safra'!$E77:$Z77,MIN(M$6-$E$3,22))&lt;&gt;""),'Milho 1ª safra'!$E77:INDEX('Milho 1ª safra'!$E77:$Z77,MIN(M$6-$E$3,22))),0))-IF($G$2,0,IF((M$6-$G$3)&lt;1,0,IFERROR(LOOKUP(2,1/('Milho 1ª safra'!$E77:INDEX('Milho 1ª safra'!$E77:$Z77,MIN(M$6-$G$3,22))&lt;&gt;""),'Milho 1ª safra'!$E77:INDEX('Milho 1ª safra'!$E77:$Z77,MIN(M$6-$G$3,22))),0)))))</f>
        <v>0</v>
      </c>
      <c r="N79" s="27" t="n">
        <f aca="false">IF(COUNT('Milho 1ª safra'!$E77:$Z77)=0,0,MAX(0,IF((N$6-$E$3)&lt;1,0,IFERROR(LOOKUP(2,1/('Milho 1ª safra'!$E77:INDEX('Milho 1ª safra'!$E77:$Z77,MIN(N$6-$E$3,22))&lt;&gt;""),'Milho 1ª safra'!$E77:INDEX('Milho 1ª safra'!$E77:$Z77,MIN(N$6-$E$3,22))),0))-IF($G$2,0,IF((N$6-$G$3)&lt;1,0,IFERROR(LOOKUP(2,1/('Milho 1ª safra'!$E77:INDEX('Milho 1ª safra'!$E77:$Z77,MIN(N$6-$G$3,22))&lt;&gt;""),'Milho 1ª safra'!$E77:INDEX('Milho 1ª safra'!$E77:$Z77,MIN(N$6-$G$3,22))),0)))))</f>
        <v>0</v>
      </c>
      <c r="O79" s="27" t="n">
        <f aca="false">IF(COUNT('Milho 1ª safra'!$E77:$Z77)=0,0,MAX(0,IF((O$6-$E$3)&lt;1,0,IFERROR(LOOKUP(2,1/('Milho 1ª safra'!$E77:INDEX('Milho 1ª safra'!$E77:$Z77,MIN(O$6-$E$3,22))&lt;&gt;""),'Milho 1ª safra'!$E77:INDEX('Milho 1ª safra'!$E77:$Z77,MIN(O$6-$E$3,22))),0))-IF($G$2,0,IF((O$6-$G$3)&lt;1,0,IFERROR(LOOKUP(2,1/('Milho 1ª safra'!$E77:INDEX('Milho 1ª safra'!$E77:$Z77,MIN(O$6-$G$3,22))&lt;&gt;""),'Milho 1ª safra'!$E77:INDEX('Milho 1ª safra'!$E77:$Z77,MIN(O$6-$G$3,22))),0)))))</f>
        <v>0</v>
      </c>
      <c r="P79" s="27" t="n">
        <f aca="false">IF(COUNT('Milho 1ª safra'!$E77:$Z77)=0,0,MAX(0,IF((P$6-$E$3)&lt;1,0,IFERROR(LOOKUP(2,1/('Milho 1ª safra'!$E77:INDEX('Milho 1ª safra'!$E77:$Z77,MIN(P$6-$E$3,22))&lt;&gt;""),'Milho 1ª safra'!$E77:INDEX('Milho 1ª safra'!$E77:$Z77,MIN(P$6-$E$3,22))),0))-IF($G$2,0,IF((P$6-$G$3)&lt;1,0,IFERROR(LOOKUP(2,1/('Milho 1ª safra'!$E77:INDEX('Milho 1ª safra'!$E77:$Z77,MIN(P$6-$G$3,22))&lt;&gt;""),'Milho 1ª safra'!$E77:INDEX('Milho 1ª safra'!$E77:$Z77,MIN(P$6-$G$3,22))),0)))))</f>
        <v>0</v>
      </c>
      <c r="Q79" s="27" t="n">
        <f aca="false">IF(COUNT('Milho 1ª safra'!$E77:$Z77)=0,0,MAX(0,IF((Q$6-$E$3)&lt;1,0,IFERROR(LOOKUP(2,1/('Milho 1ª safra'!$E77:INDEX('Milho 1ª safra'!$E77:$Z77,MIN(Q$6-$E$3,22))&lt;&gt;""),'Milho 1ª safra'!$E77:INDEX('Milho 1ª safra'!$E77:$Z77,MIN(Q$6-$E$3,22))),0))-IF($G$2,0,IF((Q$6-$G$3)&lt;1,0,IFERROR(LOOKUP(2,1/('Milho 1ª safra'!$E77:INDEX('Milho 1ª safra'!$E77:$Z77,MIN(Q$6-$G$3,22))&lt;&gt;""),'Milho 1ª safra'!$E77:INDEX('Milho 1ª safra'!$E77:$Z77,MIN(Q$6-$G$3,22))),0)))))</f>
        <v>0</v>
      </c>
      <c r="R79" s="27" t="n">
        <f aca="false">IF(COUNT('Milho 1ª safra'!$E77:$Z77)=0,0,MAX(0,IF((R$6-$E$3)&lt;1,0,IFERROR(LOOKUP(2,1/('Milho 1ª safra'!$E77:INDEX('Milho 1ª safra'!$E77:$Z77,MIN(R$6-$E$3,22))&lt;&gt;""),'Milho 1ª safra'!$E77:INDEX('Milho 1ª safra'!$E77:$Z77,MIN(R$6-$E$3,22))),0))-IF($G$2,0,IF((R$6-$G$3)&lt;1,0,IFERROR(LOOKUP(2,1/('Milho 1ª safra'!$E77:INDEX('Milho 1ª safra'!$E77:$Z77,MIN(R$6-$G$3,22))&lt;&gt;""),'Milho 1ª safra'!$E77:INDEX('Milho 1ª safra'!$E77:$Z77,MIN(R$6-$G$3,22))),0)))))</f>
        <v>0</v>
      </c>
      <c r="S79" s="27" t="n">
        <f aca="false">IF(COUNT('Milho 1ª safra'!$E77:$Z77)=0,0,MAX(0,IF((S$6-$E$3)&lt;1,0,IFERROR(LOOKUP(2,1/('Milho 1ª safra'!$E77:INDEX('Milho 1ª safra'!$E77:$Z77,MIN(S$6-$E$3,22))&lt;&gt;""),'Milho 1ª safra'!$E77:INDEX('Milho 1ª safra'!$E77:$Z77,MIN(S$6-$E$3,22))),0))-IF($G$2,0,IF((S$6-$G$3)&lt;1,0,IFERROR(LOOKUP(2,1/('Milho 1ª safra'!$E77:INDEX('Milho 1ª safra'!$E77:$Z77,MIN(S$6-$G$3,22))&lt;&gt;""),'Milho 1ª safra'!$E77:INDEX('Milho 1ª safra'!$E77:$Z77,MIN(S$6-$G$3,22))),0)))))</f>
        <v>0</v>
      </c>
      <c r="T79" s="27" t="n">
        <f aca="false">IF(COUNT('Milho 1ª safra'!$E77:$Z77)=0,0,MAX(0,IF((T$6-$E$3)&lt;1,0,IFERROR(LOOKUP(2,1/('Milho 1ª safra'!$E77:INDEX('Milho 1ª safra'!$E77:$Z77,MIN(T$6-$E$3,22))&lt;&gt;""),'Milho 1ª safra'!$E77:INDEX('Milho 1ª safra'!$E77:$Z77,MIN(T$6-$E$3,22))),0))-IF($G$2,0,IF((T$6-$G$3)&lt;1,0,IFERROR(LOOKUP(2,1/('Milho 1ª safra'!$E77:INDEX('Milho 1ª safra'!$E77:$Z77,MIN(T$6-$G$3,22))&lt;&gt;""),'Milho 1ª safra'!$E77:INDEX('Milho 1ª safra'!$E77:$Z77,MIN(T$6-$G$3,22))),0)))))</f>
        <v>0</v>
      </c>
      <c r="U79" s="27" t="n">
        <f aca="false">IF(COUNT('Milho 1ª safra'!$E77:$Z77)=0,0,MAX(0,IF((U$6-$E$3)&lt;1,0,IFERROR(LOOKUP(2,1/('Milho 1ª safra'!$E77:INDEX('Milho 1ª safra'!$E77:$Z77,MIN(U$6-$E$3,22))&lt;&gt;""),'Milho 1ª safra'!$E77:INDEX('Milho 1ª safra'!$E77:$Z77,MIN(U$6-$E$3,22))),0))-IF($G$2,0,IF((U$6-$G$3)&lt;1,0,IFERROR(LOOKUP(2,1/('Milho 1ª safra'!$E77:INDEX('Milho 1ª safra'!$E77:$Z77,MIN(U$6-$G$3,22))&lt;&gt;""),'Milho 1ª safra'!$E77:INDEX('Milho 1ª safra'!$E77:$Z77,MIN(U$6-$G$3,22))),0)))))</f>
        <v>0</v>
      </c>
      <c r="V79" s="27" t="n">
        <f aca="false">IF(COUNT('Milho 1ª safra'!$E77:$Z77)=0,0,MAX(0,IF((V$6-$E$3)&lt;1,0,IFERROR(LOOKUP(2,1/('Milho 1ª safra'!$E77:INDEX('Milho 1ª safra'!$E77:$Z77,MIN(V$6-$E$3,22))&lt;&gt;""),'Milho 1ª safra'!$E77:INDEX('Milho 1ª safra'!$E77:$Z77,MIN(V$6-$E$3,22))),0))-IF($G$2,0,IF((V$6-$G$3)&lt;1,0,IFERROR(LOOKUP(2,1/('Milho 1ª safra'!$E77:INDEX('Milho 1ª safra'!$E77:$Z77,MIN(V$6-$G$3,22))&lt;&gt;""),'Milho 1ª safra'!$E77:INDEX('Milho 1ª safra'!$E77:$Z77,MIN(V$6-$G$3,22))),0)))))</f>
        <v>0</v>
      </c>
      <c r="W79" s="27" t="n">
        <f aca="false">IF(COUNT('Milho 1ª safra'!$E77:$Z77)=0,0,MAX(0,IF((W$6-$E$3)&lt;1,0,IFERROR(LOOKUP(2,1/('Milho 1ª safra'!$E77:INDEX('Milho 1ª safra'!$E77:$Z77,MIN(W$6-$E$3,22))&lt;&gt;""),'Milho 1ª safra'!$E77:INDEX('Milho 1ª safra'!$E77:$Z77,MIN(W$6-$E$3,22))),0))-IF($G$2,0,IF((W$6-$G$3)&lt;1,0,IFERROR(LOOKUP(2,1/('Milho 1ª safra'!$E77:INDEX('Milho 1ª safra'!$E77:$Z77,MIN(W$6-$G$3,22))&lt;&gt;""),'Milho 1ª safra'!$E77:INDEX('Milho 1ª safra'!$E77:$Z77,MIN(W$6-$G$3,22))),0)))))</f>
        <v>0</v>
      </c>
      <c r="X79" s="27" t="n">
        <f aca="false">IF(COUNT('Milho 1ª safra'!$E77:$Z77)=0,0,MAX(0,IF((X$6-$E$3)&lt;1,0,IFERROR(LOOKUP(2,1/('Milho 1ª safra'!$E77:INDEX('Milho 1ª safra'!$E77:$Z77,MIN(X$6-$E$3,22))&lt;&gt;""),'Milho 1ª safra'!$E77:INDEX('Milho 1ª safra'!$E77:$Z77,MIN(X$6-$E$3,22))),0))-IF($G$2,0,IF((X$6-$G$3)&lt;1,0,IFERROR(LOOKUP(2,1/('Milho 1ª safra'!$E77:INDEX('Milho 1ª safra'!$E77:$Z77,MIN(X$6-$G$3,22))&lt;&gt;""),'Milho 1ª safra'!$E77:INDEX('Milho 1ª safra'!$E77:$Z77,MIN(X$6-$G$3,22))),0)))))</f>
        <v>0</v>
      </c>
      <c r="Y79" s="27" t="n">
        <f aca="false">IF(COUNT('Milho 1ª safra'!$E77:$Z77)=0,0,MAX(0,IF((Y$6-$E$3)&lt;1,0,IFERROR(LOOKUP(2,1/('Milho 1ª safra'!$E77:INDEX('Milho 1ª safra'!$E77:$Z77,MIN(Y$6-$E$3,22))&lt;&gt;""),'Milho 1ª safra'!$E77:INDEX('Milho 1ª safra'!$E77:$Z77,MIN(Y$6-$E$3,22))),0))-IF($G$2,0,IF((Y$6-$G$3)&lt;1,0,IFERROR(LOOKUP(2,1/('Milho 1ª safra'!$E77:INDEX('Milho 1ª safra'!$E77:$Z77,MIN(Y$6-$G$3,22))&lt;&gt;""),'Milho 1ª safra'!$E77:INDEX('Milho 1ª safra'!$E77:$Z77,MIN(Y$6-$G$3,22))),0)))))</f>
        <v>0</v>
      </c>
      <c r="Z79" s="27" t="n">
        <f aca="false">IF(COUNT('Milho 1ª safra'!$E77:$Z77)=0,0,MAX(0,IF((Z$6-$E$3)&lt;1,0,IFERROR(LOOKUP(2,1/('Milho 1ª safra'!$E77:INDEX('Milho 1ª safra'!$E77:$Z77,MIN(Z$6-$E$3,22))&lt;&gt;""),'Milho 1ª safra'!$E77:INDEX('Milho 1ª safra'!$E77:$Z77,MIN(Z$6-$E$3,22))),0))-IF($G$2,0,IF((Z$6-$G$3)&lt;1,0,IFERROR(LOOKUP(2,1/('Milho 1ª safra'!$E77:INDEX('Milho 1ª safra'!$E77:$Z77,MIN(Z$6-$G$3,22))&lt;&gt;""),'Milho 1ª safra'!$E77:INDEX('Milho 1ª safra'!$E77:$Z77,MIN(Z$6-$G$3,22))),0)))))</f>
        <v>0</v>
      </c>
      <c r="AA79" s="27" t="n">
        <f aca="false">IF(COUNT('Milho 1ª safra'!$E77:$Z77)=0,0,MAX(0,IF((AA$6-$E$3)&lt;1,0,IFERROR(LOOKUP(2,1/('Milho 1ª safra'!$E77:INDEX('Milho 1ª safra'!$E77:$Z77,MIN(AA$6-$E$3,22))&lt;&gt;""),'Milho 1ª safra'!$E77:INDEX('Milho 1ª safra'!$E77:$Z77,MIN(AA$6-$E$3,22))),0))-IF($G$2,0,IF((AA$6-$G$3)&lt;1,0,IFERROR(LOOKUP(2,1/('Milho 1ª safra'!$E77:INDEX('Milho 1ª safra'!$E77:$Z77,MIN(AA$6-$G$3,22))&lt;&gt;""),'Milho 1ª safra'!$E77:INDEX('Milho 1ª safra'!$E77:$Z77,MIN(AA$6-$G$3,22))),0)))))</f>
        <v>0</v>
      </c>
      <c r="AB79" s="27" t="n">
        <f aca="false">IF(COUNT('Milho 1ª safra'!$E77:$Z77)=0,0,MAX(0,IF((AB$6-$E$3)&lt;1,0,IFERROR(LOOKUP(2,1/('Milho 1ª safra'!$E77:INDEX('Milho 1ª safra'!$E77:$Z77,MIN(AB$6-$E$3,22))&lt;&gt;""),'Milho 1ª safra'!$E77:INDEX('Milho 1ª safra'!$E77:$Z77,MIN(AB$6-$E$3,22))),0))-IF($G$2,0,IF((AB$6-$G$3)&lt;1,0,IFERROR(LOOKUP(2,1/('Milho 1ª safra'!$E77:INDEX('Milho 1ª safra'!$E77:$Z77,MIN(AB$6-$G$3,22))&lt;&gt;""),'Milho 1ª safra'!$E77:INDEX('Milho 1ª safra'!$E77:$Z77,MIN(AB$6-$G$3,22))),0)))))</f>
        <v>0</v>
      </c>
      <c r="AC79" s="27" t="n">
        <f aca="false">IF(COUNT('Milho 1ª safra'!$E77:$Z77)=0,0,MAX(0,IF((AC$6-$E$3)&lt;1,0,IFERROR(LOOKUP(2,1/('Milho 1ª safra'!$E77:INDEX('Milho 1ª safra'!$E77:$Z77,MIN(AC$6-$E$3,22))&lt;&gt;""),'Milho 1ª safra'!$E77:INDEX('Milho 1ª safra'!$E77:$Z77,MIN(AC$6-$E$3,22))),0))-IF($G$2,0,IF((AC$6-$G$3)&lt;1,0,IFERROR(LOOKUP(2,1/('Milho 1ª safra'!$E77:INDEX('Milho 1ª safra'!$E77:$Z77,MIN(AC$6-$G$3,22))&lt;&gt;""),'Milho 1ª safra'!$E77:INDEX('Milho 1ª safra'!$E77:$Z77,MIN(AC$6-$G$3,22))),0)))))</f>
        <v>0</v>
      </c>
      <c r="AD79" s="27" t="n">
        <f aca="false">IF(COUNT('Milho 1ª safra'!$E77:$Z77)=0,0,MAX(0,IF((AD$6-$E$3)&lt;1,0,IFERROR(LOOKUP(2,1/('Milho 1ª safra'!$E77:INDEX('Milho 1ª safra'!$E77:$Z77,MIN(AD$6-$E$3,22))&lt;&gt;""),'Milho 1ª safra'!$E77:INDEX('Milho 1ª safra'!$E77:$Z77,MIN(AD$6-$E$3,22))),0))-IF($G$2,0,IF((AD$6-$G$3)&lt;1,0,IFERROR(LOOKUP(2,1/('Milho 1ª safra'!$E77:INDEX('Milho 1ª safra'!$E77:$Z77,MIN(AD$6-$G$3,22))&lt;&gt;""),'Milho 1ª safra'!$E77:INDEX('Milho 1ª safra'!$E77:$Z77,MIN(AD$6-$G$3,22))),0)))))</f>
        <v>0</v>
      </c>
      <c r="AE79" s="27" t="n">
        <f aca="false">IF(COUNT('Milho 1ª safra'!$E77:$Z77)=0,0,MAX(0,IF((AE$6-$E$3)&lt;1,0,IFERROR(LOOKUP(2,1/('Milho 1ª safra'!$E77:INDEX('Milho 1ª safra'!$E77:$Z77,MIN(AE$6-$E$3,22))&lt;&gt;""),'Milho 1ª safra'!$E77:INDEX('Milho 1ª safra'!$E77:$Z77,MIN(AE$6-$E$3,22))),0))-IF($G$2,0,IF((AE$6-$G$3)&lt;1,0,IFERROR(LOOKUP(2,1/('Milho 1ª safra'!$E77:INDEX('Milho 1ª safra'!$E77:$Z77,MIN(AE$6-$G$3,22))&lt;&gt;""),'Milho 1ª safra'!$E77:INDEX('Milho 1ª safra'!$E77:$Z77,MIN(AE$6-$G$3,22))),0)))))</f>
        <v>0</v>
      </c>
      <c r="AF79" s="27" t="n">
        <f aca="false">IF(COUNT('Milho 1ª safra'!$E77:$Z77)=0,0,MAX(0,IF((AF$6-$E$3)&lt;1,0,IFERROR(LOOKUP(2,1/('Milho 1ª safra'!$E77:INDEX('Milho 1ª safra'!$E77:$Z77,MIN(AF$6-$E$3,22))&lt;&gt;""),'Milho 1ª safra'!$E77:INDEX('Milho 1ª safra'!$E77:$Z77,MIN(AF$6-$E$3,22))),0))-IF($G$2,0,IF((AF$6-$G$3)&lt;1,0,IFERROR(LOOKUP(2,1/('Milho 1ª safra'!$E77:INDEX('Milho 1ª safra'!$E77:$Z77,MIN(AF$6-$G$3,22))&lt;&gt;""),'Milho 1ª safra'!$E77:INDEX('Milho 1ª safra'!$E77:$Z77,MIN(AF$6-$G$3,22))),0)))))</f>
        <v>0</v>
      </c>
      <c r="AG79" s="27" t="n">
        <f aca="false">IF(COUNT('Milho 1ª safra'!$E77:$Z77)=0,0,MAX(0,IF((AG$6-$E$3)&lt;1,0,IFERROR(LOOKUP(2,1/('Milho 1ª safra'!$E77:INDEX('Milho 1ª safra'!$E77:$Z77,MIN(AG$6-$E$3,22))&lt;&gt;""),'Milho 1ª safra'!$E77:INDEX('Milho 1ª safra'!$E77:$Z77,MIN(AG$6-$E$3,22))),0))-IF($G$2,0,IF((AG$6-$G$3)&lt;1,0,IFERROR(LOOKUP(2,1/('Milho 1ª safra'!$E77:INDEX('Milho 1ª safra'!$E77:$Z77,MIN(AG$6-$G$3,22))&lt;&gt;""),'Milho 1ª safra'!$E77:INDEX('Milho 1ª safra'!$E77:$Z77,MIN(AG$6-$G$3,22))),0)))))</f>
        <v>0</v>
      </c>
      <c r="AH79" s="27" t="n">
        <f aca="false">IF(COUNT('Milho 1ª safra'!$E77:$Z77)=0,0,MAX(0,IF((AH$6-$E$3)&lt;1,0,IFERROR(LOOKUP(2,1/('Milho 1ª safra'!$E77:INDEX('Milho 1ª safra'!$E77:$Z77,MIN(AH$6-$E$3,22))&lt;&gt;""),'Milho 1ª safra'!$E77:INDEX('Milho 1ª safra'!$E77:$Z77,MIN(AH$6-$E$3,22))),0))-IF($G$2,0,IF((AH$6-$G$3)&lt;1,0,IFERROR(LOOKUP(2,1/('Milho 1ª safra'!$E77:INDEX('Milho 1ª safra'!$E77:$Z77,MIN(AH$6-$G$3,22))&lt;&gt;""),'Milho 1ª safra'!$E77:INDEX('Milho 1ª safra'!$E77:$Z77,MIN(AH$6-$G$3,22))),0)))))</f>
        <v>0</v>
      </c>
      <c r="AI79" s="27" t="n">
        <f aca="false">IF(COUNT('Milho 1ª safra'!$E77:$Z77)=0,0,MAX(0,IF((AI$6-$E$3)&lt;1,0,IFERROR(LOOKUP(2,1/('Milho 1ª safra'!$E77:INDEX('Milho 1ª safra'!$E77:$Z77,MIN(AI$6-$E$3,22))&lt;&gt;""),'Milho 1ª safra'!$E77:INDEX('Milho 1ª safra'!$E77:$Z77,MIN(AI$6-$E$3,22))),0))-IF($G$2,0,IF((AI$6-$G$3)&lt;1,0,IFERROR(LOOKUP(2,1/('Milho 1ª safra'!$E77:INDEX('Milho 1ª safra'!$E77:$Z77,MIN(AI$6-$G$3,22))&lt;&gt;""),'Milho 1ª safra'!$E77:INDEX('Milho 1ª safra'!$E77:$Z77,MIN(AI$6-$G$3,22))),0)))))</f>
        <v>0</v>
      </c>
      <c r="AJ79" s="27" t="n">
        <f aca="false">IF(COUNT('Milho 1ª safra'!$E77:$Z77)=0,0,MAX(0,IF((AJ$6-$E$3)&lt;1,0,IFERROR(LOOKUP(2,1/('Milho 1ª safra'!$E77:INDEX('Milho 1ª safra'!$E77:$Z77,MIN(AJ$6-$E$3,22))&lt;&gt;""),'Milho 1ª safra'!$E77:INDEX('Milho 1ª safra'!$E77:$Z77,MIN(AJ$6-$E$3,22))),0))-IF($G$2,0,IF((AJ$6-$G$3)&lt;1,0,IFERROR(LOOKUP(2,1/('Milho 1ª safra'!$E77:INDEX('Milho 1ª safra'!$E77:$Z77,MIN(AJ$6-$G$3,22))&lt;&gt;""),'Milho 1ª safra'!$E77:INDEX('Milho 1ª safra'!$E77:$Z77,MIN(AJ$6-$G$3,22))),0)))))</f>
        <v>0</v>
      </c>
      <c r="AK79" s="27" t="n">
        <f aca="false">IF(COUNT('Milho 1ª safra'!$E77:$Z77)=0,0,MAX(0,IF((AK$6-$E$3)&lt;1,0,IFERROR(LOOKUP(2,1/('Milho 1ª safra'!$E77:INDEX('Milho 1ª safra'!$E77:$Z77,MIN(AK$6-$E$3,22))&lt;&gt;""),'Milho 1ª safra'!$E77:INDEX('Milho 1ª safra'!$E77:$Z77,MIN(AK$6-$E$3,22))),0))-IF($G$2,0,IF((AK$6-$G$3)&lt;1,0,IFERROR(LOOKUP(2,1/('Milho 1ª safra'!$E77:INDEX('Milho 1ª safra'!$E77:$Z77,MIN(AK$6-$G$3,22))&lt;&gt;""),'Milho 1ª safra'!$E77:INDEX('Milho 1ª safra'!$E77:$Z77,MIN(AK$6-$G$3,22))),0)))))</f>
        <v>0</v>
      </c>
      <c r="AL79" s="27" t="n">
        <f aca="false">IF(COUNT('Milho 1ª safra'!$E77:$Z77)=0,0,MAX(0,IF((AL$6-$E$3)&lt;1,0,IFERROR(LOOKUP(2,1/('Milho 1ª safra'!$E77:INDEX('Milho 1ª safra'!$E77:$Z77,MIN(AL$6-$E$3,22))&lt;&gt;""),'Milho 1ª safra'!$E77:INDEX('Milho 1ª safra'!$E77:$Z77,MIN(AL$6-$E$3,22))),0))-IF($G$2,0,IF((AL$6-$G$3)&lt;1,0,IFERROR(LOOKUP(2,1/('Milho 1ª safra'!$E77:INDEX('Milho 1ª safra'!$E77:$Z77,MIN(AL$6-$G$3,22))&lt;&gt;""),'Milho 1ª safra'!$E77:INDEX('Milho 1ª safra'!$E77:$Z77,MIN(AL$6-$G$3,22))),0)))))</f>
        <v>0</v>
      </c>
      <c r="AM79" s="27" t="n">
        <f aca="false">IF(COUNT('Milho 1ª safra'!$E77:$Z77)=0,0,MAX(0,IF((AM$6-$E$3)&lt;1,0,IFERROR(LOOKUP(2,1/('Milho 1ª safra'!$E77:INDEX('Milho 1ª safra'!$E77:$Z77,MIN(AM$6-$E$3,22))&lt;&gt;""),'Milho 1ª safra'!$E77:INDEX('Milho 1ª safra'!$E77:$Z77,MIN(AM$6-$E$3,22))),0))-IF($G$2,0,IF((AM$6-$G$3)&lt;1,0,IFERROR(LOOKUP(2,1/('Milho 1ª safra'!$E77:INDEX('Milho 1ª safra'!$E77:$Z77,MIN(AM$6-$G$3,22))&lt;&gt;""),'Milho 1ª safra'!$E77:INDEX('Milho 1ª safra'!$E77:$Z77,MIN(AM$6-$G$3,22))),0)))))</f>
        <v>0</v>
      </c>
      <c r="AN79" s="27" t="n">
        <f aca="false">IF(COUNT('Milho 1ª safra'!$E77:$Z77)=0,0,MAX(0,IF((AN$6-$E$3)&lt;1,0,IFERROR(LOOKUP(2,1/('Milho 1ª safra'!$E77:INDEX('Milho 1ª safra'!$E77:$Z77,MIN(AN$6-$E$3,22))&lt;&gt;""),'Milho 1ª safra'!$E77:INDEX('Milho 1ª safra'!$E77:$Z77,MIN(AN$6-$E$3,22))),0))-IF($G$2,0,IF((AN$6-$G$3)&lt;1,0,IFERROR(LOOKUP(2,1/('Milho 1ª safra'!$E77:INDEX('Milho 1ª safra'!$E77:$Z77,MIN(AN$6-$G$3,22))&lt;&gt;""),'Milho 1ª safra'!$E77:INDEX('Milho 1ª safra'!$E77:$Z77,MIN(AN$6-$G$3,22))),0)))))</f>
        <v>0</v>
      </c>
      <c r="AO79" s="27" t="n">
        <f aca="false">IF(COUNT('Milho 1ª safra'!$E77:$Z77)=0,0,MAX(0,IF((AO$6-$E$3)&lt;1,0,IFERROR(LOOKUP(2,1/('Milho 1ª safra'!$E77:INDEX('Milho 1ª safra'!$E77:$Z77,MIN(AO$6-$E$3,22))&lt;&gt;""),'Milho 1ª safra'!$E77:INDEX('Milho 1ª safra'!$E77:$Z77,MIN(AO$6-$E$3,22))),0))-IF($G$2,0,IF((AO$6-$G$3)&lt;1,0,IFERROR(LOOKUP(2,1/('Milho 1ª safra'!$E77:INDEX('Milho 1ª safra'!$E77:$Z77,MIN(AO$6-$G$3,22))&lt;&gt;""),'Milho 1ª safra'!$E77:INDEX('Milho 1ª safra'!$E77:$Z77,MIN(AO$6-$G$3,22))),0)))))</f>
        <v>0</v>
      </c>
      <c r="AP79" s="27" t="n">
        <f aca="false">IF(COUNT('Milho 1ª safra'!$E77:$Z77)=0,0,MAX(0,IF((AP$6-$E$3)&lt;1,0,IFERROR(LOOKUP(2,1/('Milho 1ª safra'!$E77:INDEX('Milho 1ª safra'!$E77:$Z77,MIN(AP$6-$E$3,22))&lt;&gt;""),'Milho 1ª safra'!$E77:INDEX('Milho 1ª safra'!$E77:$Z77,MIN(AP$6-$E$3,22))),0))-IF($G$2,0,IF((AP$6-$G$3)&lt;1,0,IFERROR(LOOKUP(2,1/('Milho 1ª safra'!$E77:INDEX('Milho 1ª safra'!$E77:$Z77,MIN(AP$6-$G$3,22))&lt;&gt;""),'Milho 1ª safra'!$E77:INDEX('Milho 1ª safra'!$E77:$Z77,MIN(AP$6-$G$3,22))),0)))))</f>
        <v>0</v>
      </c>
      <c r="AQ79" s="27" t="n">
        <f aca="false">IF(COUNT('Milho 1ª safra'!$E77:$Z77)=0,0,MAX(0,IF((AQ$6-$E$3)&lt;1,0,IFERROR(LOOKUP(2,1/('Milho 1ª safra'!$E77:INDEX('Milho 1ª safra'!$E77:$Z77,MIN(AQ$6-$E$3,22))&lt;&gt;""),'Milho 1ª safra'!$E77:INDEX('Milho 1ª safra'!$E77:$Z77,MIN(AQ$6-$E$3,22))),0))-IF($G$2,0,IF((AQ$6-$G$3)&lt;1,0,IFERROR(LOOKUP(2,1/('Milho 1ª safra'!$E77:INDEX('Milho 1ª safra'!$E77:$Z77,MIN(AQ$6-$G$3,22))&lt;&gt;""),'Milho 1ª safra'!$E77:INDEX('Milho 1ª safra'!$E77:$Z77,MIN(AQ$6-$G$3,22))),0)))))</f>
        <v>0</v>
      </c>
      <c r="AR79" s="27" t="n">
        <f aca="false">IF(COUNT('Milho 1ª safra'!$E77:$Z77)=0,0,MAX(0,IF((AR$6-$E$3)&lt;1,0,IFERROR(LOOKUP(2,1/('Milho 1ª safra'!$E77:INDEX('Milho 1ª safra'!$E77:$Z77,MIN(AR$6-$E$3,22))&lt;&gt;""),'Milho 1ª safra'!$E77:INDEX('Milho 1ª safra'!$E77:$Z77,MIN(AR$6-$E$3,22))),0))-IF($G$2,0,IF((AR$6-$G$3)&lt;1,0,IFERROR(LOOKUP(2,1/('Milho 1ª safra'!$E77:INDEX('Milho 1ª safra'!$E77:$Z77,MIN(AR$6-$G$3,22))&lt;&gt;""),'Milho 1ª safra'!$E77:INDEX('Milho 1ª safra'!$E77:$Z77,MIN(AR$6-$G$3,22))),0)))))</f>
        <v>0</v>
      </c>
      <c r="AS79" s="27" t="n">
        <f aca="false">IF(COUNT('Milho 1ª safra'!$E77:$Z77)=0,0,MAX(0,IF((AS$6-$E$3)&lt;1,0,IFERROR(LOOKUP(2,1/('Milho 1ª safra'!$E77:INDEX('Milho 1ª safra'!$E77:$Z77,MIN(AS$6-$E$3,22))&lt;&gt;""),'Milho 1ª safra'!$E77:INDEX('Milho 1ª safra'!$E77:$Z77,MIN(AS$6-$E$3,22))),0))-IF($G$2,0,IF((AS$6-$G$3)&lt;1,0,IFERROR(LOOKUP(2,1/('Milho 1ª safra'!$E77:INDEX('Milho 1ª safra'!$E77:$Z77,MIN(AS$6-$G$3,22))&lt;&gt;""),'Milho 1ª safra'!$E77:INDEX('Milho 1ª safra'!$E77:$Z77,MIN(AS$6-$G$3,22))),0)))))</f>
        <v>0</v>
      </c>
      <c r="AT79" s="27" t="n">
        <f aca="false">IF(COUNT('Milho 1ª safra'!$E77:$Z77)=0,0,MAX(0,IF((AT$6-$E$3)&lt;1,0,IFERROR(LOOKUP(2,1/('Milho 1ª safra'!$E77:INDEX('Milho 1ª safra'!$E77:$Z77,MIN(AT$6-$E$3,22))&lt;&gt;""),'Milho 1ª safra'!$E77:INDEX('Milho 1ª safra'!$E77:$Z77,MIN(AT$6-$E$3,22))),0))-IF($G$2,0,IF((AT$6-$G$3)&lt;1,0,IFERROR(LOOKUP(2,1/('Milho 1ª safra'!$E77:INDEX('Milho 1ª safra'!$E77:$Z77,MIN(AT$6-$G$3,22))&lt;&gt;""),'Milho 1ª safra'!$E77:INDEX('Milho 1ª safra'!$E77:$Z77,MIN(AT$6-$G$3,22))),0)))))</f>
        <v>0</v>
      </c>
      <c r="AU79" s="27" t="n">
        <f aca="false">IF(COUNT('Milho 1ª safra'!$E77:$Z77)=0,0,MAX(0,IF((AU$6-$E$3)&lt;1,0,IFERROR(LOOKUP(2,1/('Milho 1ª safra'!$E77:INDEX('Milho 1ª safra'!$E77:$Z77,MIN(AU$6-$E$3,22))&lt;&gt;""),'Milho 1ª safra'!$E77:INDEX('Milho 1ª safra'!$E77:$Z77,MIN(AU$6-$E$3,22))),0))-IF($G$2,0,IF((AU$6-$G$3)&lt;1,0,IFERROR(LOOKUP(2,1/('Milho 1ª safra'!$E77:INDEX('Milho 1ª safra'!$E77:$Z77,MIN(AU$6-$G$3,22))&lt;&gt;""),'Milho 1ª safra'!$E77:INDEX('Milho 1ª safra'!$E77:$Z77,MIN(AU$6-$G$3,22))),0)))))</f>
        <v>0</v>
      </c>
      <c r="AV79" s="27" t="n">
        <f aca="false">IF(COUNT('Milho 1ª safra'!$E77:$Z77)=0,0,MAX(0,IF((AV$6-$E$3)&lt;1,0,IFERROR(LOOKUP(2,1/('Milho 1ª safra'!$E77:INDEX('Milho 1ª safra'!$E77:$Z77,MIN(AV$6-$E$3,22))&lt;&gt;""),'Milho 1ª safra'!$E77:INDEX('Milho 1ª safra'!$E77:$Z77,MIN(AV$6-$E$3,22))),0))-IF($G$2,0,IF((AV$6-$G$3)&lt;1,0,IFERROR(LOOKUP(2,1/('Milho 1ª safra'!$E77:INDEX('Milho 1ª safra'!$E77:$Z77,MIN(AV$6-$G$3,22))&lt;&gt;""),'Milho 1ª safra'!$E77:INDEX('Milho 1ª safra'!$E77:$Z77,MIN(AV$6-$G$3,22))),0)))))</f>
        <v>0</v>
      </c>
      <c r="AW79" s="27" t="n">
        <f aca="false">IF(COUNT('Milho 1ª safra'!$E77:$Z77)=0,0,MAX(0,IF((AW$6-$E$3)&lt;1,0,IFERROR(LOOKUP(2,1/('Milho 1ª safra'!$E77:INDEX('Milho 1ª safra'!$E77:$Z77,MIN(AW$6-$E$3,22))&lt;&gt;""),'Milho 1ª safra'!$E77:INDEX('Milho 1ª safra'!$E77:$Z77,MIN(AW$6-$E$3,22))),0))-IF($G$2,0,IF((AW$6-$G$3)&lt;1,0,IFERROR(LOOKUP(2,1/('Milho 1ª safra'!$E77:INDEX('Milho 1ª safra'!$E77:$Z77,MIN(AW$6-$G$3,22))&lt;&gt;""),'Milho 1ª safra'!$E77:INDEX('Milho 1ª safra'!$E77:$Z77,MIN(AW$6-$G$3,22))),0)))))</f>
        <v>0</v>
      </c>
      <c r="AX79" s="27" t="n">
        <f aca="false">IF(COUNT('Milho 1ª safra'!$E77:$Z77)=0,0,MAX(0,IF((AX$6-$E$3)&lt;1,0,IFERROR(LOOKUP(2,1/('Milho 1ª safra'!$E77:INDEX('Milho 1ª safra'!$E77:$Z77,MIN(AX$6-$E$3,22))&lt;&gt;""),'Milho 1ª safra'!$E77:INDEX('Milho 1ª safra'!$E77:$Z77,MIN(AX$6-$E$3,22))),0))-IF($G$2,0,IF((AX$6-$G$3)&lt;1,0,IFERROR(LOOKUP(2,1/('Milho 1ª safra'!$E77:INDEX('Milho 1ª safra'!$E77:$Z77,MIN(AX$6-$G$3,22))&lt;&gt;""),'Milho 1ª safra'!$E77:INDEX('Milho 1ª safra'!$E77:$Z77,MIN(AX$6-$G$3,22))),0)))))</f>
        <v>0</v>
      </c>
      <c r="AY79" s="27" t="n">
        <f aca="false">IF(COUNT('Milho 1ª safra'!$E77:$Z77)=0,0,MAX(0,IF((AY$6-$E$3)&lt;1,0,IFERROR(LOOKUP(2,1/('Milho 1ª safra'!$E77:INDEX('Milho 1ª safra'!$E77:$Z77,MIN(AY$6-$E$3,22))&lt;&gt;""),'Milho 1ª safra'!$E77:INDEX('Milho 1ª safra'!$E77:$Z77,MIN(AY$6-$E$3,22))),0))-IF($G$2,0,IF((AY$6-$G$3)&lt;1,0,IFERROR(LOOKUP(2,1/('Milho 1ª safra'!$E77:INDEX('Milho 1ª safra'!$E77:$Z77,MIN(AY$6-$G$3,22))&lt;&gt;""),'Milho 1ª safra'!$E77:INDEX('Milho 1ª safra'!$E77:$Z77,MIN(AY$6-$G$3,22))),0)))))</f>
        <v>0</v>
      </c>
      <c r="AZ79" s="27" t="n">
        <f aca="false">IF(COUNT('Milho 1ª safra'!$E77:$Z77)=0,0,MAX(0,IF((AZ$6-$E$3)&lt;1,0,IFERROR(LOOKUP(2,1/('Milho 1ª safra'!$E77:INDEX('Milho 1ª safra'!$E77:$Z77,MIN(AZ$6-$E$3,22))&lt;&gt;""),'Milho 1ª safra'!$E77:INDEX('Milho 1ª safra'!$E77:$Z77,MIN(AZ$6-$E$3,22))),0))-IF($G$2,0,IF((AZ$6-$G$3)&lt;1,0,IFERROR(LOOKUP(2,1/('Milho 1ª safra'!$E77:INDEX('Milho 1ª safra'!$E77:$Z77,MIN(AZ$6-$G$3,22))&lt;&gt;""),'Milho 1ª safra'!$E77:INDEX('Milho 1ª safra'!$E77:$Z77,MIN(AZ$6-$G$3,22))),0)))))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IF(COUNT('Milho 1ª safra'!$E78:$Z78)&gt;0,N('Milho 1ª safra'!$D78),0)</f>
        <v>0</v>
      </c>
      <c r="E80" s="27" t="n">
        <f aca="false">IF(COUNT('Milho 1ª safra'!$E78:$Z78)=0,0,MAX(0,IF((E$6-$E$3)&lt;1,0,IFERROR(LOOKUP(2,1/('Milho 1ª safra'!$E78:INDEX('Milho 1ª safra'!$E78:$Z78,MIN(E$6-$E$3,22))&lt;&gt;""),'Milho 1ª safra'!$E78:INDEX('Milho 1ª safra'!$E78:$Z78,MIN(E$6-$E$3,22))),0))-IF($G$2,0,IF((E$6-$G$3)&lt;1,0,IFERROR(LOOKUP(2,1/('Milho 1ª safra'!$E78:INDEX('Milho 1ª safra'!$E78:$Z78,MIN(E$6-$G$3,22))&lt;&gt;""),'Milho 1ª safra'!$E78:INDEX('Milho 1ª safra'!$E78:$Z78,MIN(E$6-$G$3,22))),0)))))</f>
        <v>0</v>
      </c>
      <c r="F80" s="27" t="n">
        <f aca="false">IF(COUNT('Milho 1ª safra'!$E78:$Z78)=0,0,MAX(0,IF((F$6-$E$3)&lt;1,0,IFERROR(LOOKUP(2,1/('Milho 1ª safra'!$E78:INDEX('Milho 1ª safra'!$E78:$Z78,MIN(F$6-$E$3,22))&lt;&gt;""),'Milho 1ª safra'!$E78:INDEX('Milho 1ª safra'!$E78:$Z78,MIN(F$6-$E$3,22))),0))-IF($G$2,0,IF((F$6-$G$3)&lt;1,0,IFERROR(LOOKUP(2,1/('Milho 1ª safra'!$E78:INDEX('Milho 1ª safra'!$E78:$Z78,MIN(F$6-$G$3,22))&lt;&gt;""),'Milho 1ª safra'!$E78:INDEX('Milho 1ª safra'!$E78:$Z78,MIN(F$6-$G$3,22))),0)))))</f>
        <v>0</v>
      </c>
      <c r="G80" s="27" t="n">
        <f aca="false">IF(COUNT('Milho 1ª safra'!$E78:$Z78)=0,0,MAX(0,IF((G$6-$E$3)&lt;1,0,IFERROR(LOOKUP(2,1/('Milho 1ª safra'!$E78:INDEX('Milho 1ª safra'!$E78:$Z78,MIN(G$6-$E$3,22))&lt;&gt;""),'Milho 1ª safra'!$E78:INDEX('Milho 1ª safra'!$E78:$Z78,MIN(G$6-$E$3,22))),0))-IF($G$2,0,IF((G$6-$G$3)&lt;1,0,IFERROR(LOOKUP(2,1/('Milho 1ª safra'!$E78:INDEX('Milho 1ª safra'!$E78:$Z78,MIN(G$6-$G$3,22))&lt;&gt;""),'Milho 1ª safra'!$E78:INDEX('Milho 1ª safra'!$E78:$Z78,MIN(G$6-$G$3,22))),0)))))</f>
        <v>0</v>
      </c>
      <c r="H80" s="27" t="n">
        <f aca="false">IF(COUNT('Milho 1ª safra'!$E78:$Z78)=0,0,MAX(0,IF((H$6-$E$3)&lt;1,0,IFERROR(LOOKUP(2,1/('Milho 1ª safra'!$E78:INDEX('Milho 1ª safra'!$E78:$Z78,MIN(H$6-$E$3,22))&lt;&gt;""),'Milho 1ª safra'!$E78:INDEX('Milho 1ª safra'!$E78:$Z78,MIN(H$6-$E$3,22))),0))-IF($G$2,0,IF((H$6-$G$3)&lt;1,0,IFERROR(LOOKUP(2,1/('Milho 1ª safra'!$E78:INDEX('Milho 1ª safra'!$E78:$Z78,MIN(H$6-$G$3,22))&lt;&gt;""),'Milho 1ª safra'!$E78:INDEX('Milho 1ª safra'!$E78:$Z78,MIN(H$6-$G$3,22))),0)))))</f>
        <v>0</v>
      </c>
      <c r="I80" s="27" t="n">
        <f aca="false">IF(COUNT('Milho 1ª safra'!$E78:$Z78)=0,0,MAX(0,IF((I$6-$E$3)&lt;1,0,IFERROR(LOOKUP(2,1/('Milho 1ª safra'!$E78:INDEX('Milho 1ª safra'!$E78:$Z78,MIN(I$6-$E$3,22))&lt;&gt;""),'Milho 1ª safra'!$E78:INDEX('Milho 1ª safra'!$E78:$Z78,MIN(I$6-$E$3,22))),0))-IF($G$2,0,IF((I$6-$G$3)&lt;1,0,IFERROR(LOOKUP(2,1/('Milho 1ª safra'!$E78:INDEX('Milho 1ª safra'!$E78:$Z78,MIN(I$6-$G$3,22))&lt;&gt;""),'Milho 1ª safra'!$E78:INDEX('Milho 1ª safra'!$E78:$Z78,MIN(I$6-$G$3,22))),0)))))</f>
        <v>0</v>
      </c>
      <c r="J80" s="27" t="n">
        <f aca="false">IF(COUNT('Milho 1ª safra'!$E78:$Z78)=0,0,MAX(0,IF((J$6-$E$3)&lt;1,0,IFERROR(LOOKUP(2,1/('Milho 1ª safra'!$E78:INDEX('Milho 1ª safra'!$E78:$Z78,MIN(J$6-$E$3,22))&lt;&gt;""),'Milho 1ª safra'!$E78:INDEX('Milho 1ª safra'!$E78:$Z78,MIN(J$6-$E$3,22))),0))-IF($G$2,0,IF((J$6-$G$3)&lt;1,0,IFERROR(LOOKUP(2,1/('Milho 1ª safra'!$E78:INDEX('Milho 1ª safra'!$E78:$Z78,MIN(J$6-$G$3,22))&lt;&gt;""),'Milho 1ª safra'!$E78:INDEX('Milho 1ª safra'!$E78:$Z78,MIN(J$6-$G$3,22))),0)))))</f>
        <v>0</v>
      </c>
      <c r="K80" s="27" t="n">
        <f aca="false">IF(COUNT('Milho 1ª safra'!$E78:$Z78)=0,0,MAX(0,IF((K$6-$E$3)&lt;1,0,IFERROR(LOOKUP(2,1/('Milho 1ª safra'!$E78:INDEX('Milho 1ª safra'!$E78:$Z78,MIN(K$6-$E$3,22))&lt;&gt;""),'Milho 1ª safra'!$E78:INDEX('Milho 1ª safra'!$E78:$Z78,MIN(K$6-$E$3,22))),0))-IF($G$2,0,IF((K$6-$G$3)&lt;1,0,IFERROR(LOOKUP(2,1/('Milho 1ª safra'!$E78:INDEX('Milho 1ª safra'!$E78:$Z78,MIN(K$6-$G$3,22))&lt;&gt;""),'Milho 1ª safra'!$E78:INDEX('Milho 1ª safra'!$E78:$Z78,MIN(K$6-$G$3,22))),0)))))</f>
        <v>0</v>
      </c>
      <c r="L80" s="27" t="n">
        <f aca="false">IF(COUNT('Milho 1ª safra'!$E78:$Z78)=0,0,MAX(0,IF((L$6-$E$3)&lt;1,0,IFERROR(LOOKUP(2,1/('Milho 1ª safra'!$E78:INDEX('Milho 1ª safra'!$E78:$Z78,MIN(L$6-$E$3,22))&lt;&gt;""),'Milho 1ª safra'!$E78:INDEX('Milho 1ª safra'!$E78:$Z78,MIN(L$6-$E$3,22))),0))-IF($G$2,0,IF((L$6-$G$3)&lt;1,0,IFERROR(LOOKUP(2,1/('Milho 1ª safra'!$E78:INDEX('Milho 1ª safra'!$E78:$Z78,MIN(L$6-$G$3,22))&lt;&gt;""),'Milho 1ª safra'!$E78:INDEX('Milho 1ª safra'!$E78:$Z78,MIN(L$6-$G$3,22))),0)))))</f>
        <v>0</v>
      </c>
      <c r="M80" s="27" t="n">
        <f aca="false">IF(COUNT('Milho 1ª safra'!$E78:$Z78)=0,0,MAX(0,IF((M$6-$E$3)&lt;1,0,IFERROR(LOOKUP(2,1/('Milho 1ª safra'!$E78:INDEX('Milho 1ª safra'!$E78:$Z78,MIN(M$6-$E$3,22))&lt;&gt;""),'Milho 1ª safra'!$E78:INDEX('Milho 1ª safra'!$E78:$Z78,MIN(M$6-$E$3,22))),0))-IF($G$2,0,IF((M$6-$G$3)&lt;1,0,IFERROR(LOOKUP(2,1/('Milho 1ª safra'!$E78:INDEX('Milho 1ª safra'!$E78:$Z78,MIN(M$6-$G$3,22))&lt;&gt;""),'Milho 1ª safra'!$E78:INDEX('Milho 1ª safra'!$E78:$Z78,MIN(M$6-$G$3,22))),0)))))</f>
        <v>0</v>
      </c>
      <c r="N80" s="27" t="n">
        <f aca="false">IF(COUNT('Milho 1ª safra'!$E78:$Z78)=0,0,MAX(0,IF((N$6-$E$3)&lt;1,0,IFERROR(LOOKUP(2,1/('Milho 1ª safra'!$E78:INDEX('Milho 1ª safra'!$E78:$Z78,MIN(N$6-$E$3,22))&lt;&gt;""),'Milho 1ª safra'!$E78:INDEX('Milho 1ª safra'!$E78:$Z78,MIN(N$6-$E$3,22))),0))-IF($G$2,0,IF((N$6-$G$3)&lt;1,0,IFERROR(LOOKUP(2,1/('Milho 1ª safra'!$E78:INDEX('Milho 1ª safra'!$E78:$Z78,MIN(N$6-$G$3,22))&lt;&gt;""),'Milho 1ª safra'!$E78:INDEX('Milho 1ª safra'!$E78:$Z78,MIN(N$6-$G$3,22))),0)))))</f>
        <v>0</v>
      </c>
      <c r="O80" s="27" t="n">
        <f aca="false">IF(COUNT('Milho 1ª safra'!$E78:$Z78)=0,0,MAX(0,IF((O$6-$E$3)&lt;1,0,IFERROR(LOOKUP(2,1/('Milho 1ª safra'!$E78:INDEX('Milho 1ª safra'!$E78:$Z78,MIN(O$6-$E$3,22))&lt;&gt;""),'Milho 1ª safra'!$E78:INDEX('Milho 1ª safra'!$E78:$Z78,MIN(O$6-$E$3,22))),0))-IF($G$2,0,IF((O$6-$G$3)&lt;1,0,IFERROR(LOOKUP(2,1/('Milho 1ª safra'!$E78:INDEX('Milho 1ª safra'!$E78:$Z78,MIN(O$6-$G$3,22))&lt;&gt;""),'Milho 1ª safra'!$E78:INDEX('Milho 1ª safra'!$E78:$Z78,MIN(O$6-$G$3,22))),0)))))</f>
        <v>0</v>
      </c>
      <c r="P80" s="27" t="n">
        <f aca="false">IF(COUNT('Milho 1ª safra'!$E78:$Z78)=0,0,MAX(0,IF((P$6-$E$3)&lt;1,0,IFERROR(LOOKUP(2,1/('Milho 1ª safra'!$E78:INDEX('Milho 1ª safra'!$E78:$Z78,MIN(P$6-$E$3,22))&lt;&gt;""),'Milho 1ª safra'!$E78:INDEX('Milho 1ª safra'!$E78:$Z78,MIN(P$6-$E$3,22))),0))-IF($G$2,0,IF((P$6-$G$3)&lt;1,0,IFERROR(LOOKUP(2,1/('Milho 1ª safra'!$E78:INDEX('Milho 1ª safra'!$E78:$Z78,MIN(P$6-$G$3,22))&lt;&gt;""),'Milho 1ª safra'!$E78:INDEX('Milho 1ª safra'!$E78:$Z78,MIN(P$6-$G$3,22))),0)))))</f>
        <v>0</v>
      </c>
      <c r="Q80" s="27" t="n">
        <f aca="false">IF(COUNT('Milho 1ª safra'!$E78:$Z78)=0,0,MAX(0,IF((Q$6-$E$3)&lt;1,0,IFERROR(LOOKUP(2,1/('Milho 1ª safra'!$E78:INDEX('Milho 1ª safra'!$E78:$Z78,MIN(Q$6-$E$3,22))&lt;&gt;""),'Milho 1ª safra'!$E78:INDEX('Milho 1ª safra'!$E78:$Z78,MIN(Q$6-$E$3,22))),0))-IF($G$2,0,IF((Q$6-$G$3)&lt;1,0,IFERROR(LOOKUP(2,1/('Milho 1ª safra'!$E78:INDEX('Milho 1ª safra'!$E78:$Z78,MIN(Q$6-$G$3,22))&lt;&gt;""),'Milho 1ª safra'!$E78:INDEX('Milho 1ª safra'!$E78:$Z78,MIN(Q$6-$G$3,22))),0)))))</f>
        <v>0</v>
      </c>
      <c r="R80" s="27" t="n">
        <f aca="false">IF(COUNT('Milho 1ª safra'!$E78:$Z78)=0,0,MAX(0,IF((R$6-$E$3)&lt;1,0,IFERROR(LOOKUP(2,1/('Milho 1ª safra'!$E78:INDEX('Milho 1ª safra'!$E78:$Z78,MIN(R$6-$E$3,22))&lt;&gt;""),'Milho 1ª safra'!$E78:INDEX('Milho 1ª safra'!$E78:$Z78,MIN(R$6-$E$3,22))),0))-IF($G$2,0,IF((R$6-$G$3)&lt;1,0,IFERROR(LOOKUP(2,1/('Milho 1ª safra'!$E78:INDEX('Milho 1ª safra'!$E78:$Z78,MIN(R$6-$G$3,22))&lt;&gt;""),'Milho 1ª safra'!$E78:INDEX('Milho 1ª safra'!$E78:$Z78,MIN(R$6-$G$3,22))),0)))))</f>
        <v>0</v>
      </c>
      <c r="S80" s="27" t="n">
        <f aca="false">IF(COUNT('Milho 1ª safra'!$E78:$Z78)=0,0,MAX(0,IF((S$6-$E$3)&lt;1,0,IFERROR(LOOKUP(2,1/('Milho 1ª safra'!$E78:INDEX('Milho 1ª safra'!$E78:$Z78,MIN(S$6-$E$3,22))&lt;&gt;""),'Milho 1ª safra'!$E78:INDEX('Milho 1ª safra'!$E78:$Z78,MIN(S$6-$E$3,22))),0))-IF($G$2,0,IF((S$6-$G$3)&lt;1,0,IFERROR(LOOKUP(2,1/('Milho 1ª safra'!$E78:INDEX('Milho 1ª safra'!$E78:$Z78,MIN(S$6-$G$3,22))&lt;&gt;""),'Milho 1ª safra'!$E78:INDEX('Milho 1ª safra'!$E78:$Z78,MIN(S$6-$G$3,22))),0)))))</f>
        <v>0</v>
      </c>
      <c r="T80" s="27" t="n">
        <f aca="false">IF(COUNT('Milho 1ª safra'!$E78:$Z78)=0,0,MAX(0,IF((T$6-$E$3)&lt;1,0,IFERROR(LOOKUP(2,1/('Milho 1ª safra'!$E78:INDEX('Milho 1ª safra'!$E78:$Z78,MIN(T$6-$E$3,22))&lt;&gt;""),'Milho 1ª safra'!$E78:INDEX('Milho 1ª safra'!$E78:$Z78,MIN(T$6-$E$3,22))),0))-IF($G$2,0,IF((T$6-$G$3)&lt;1,0,IFERROR(LOOKUP(2,1/('Milho 1ª safra'!$E78:INDEX('Milho 1ª safra'!$E78:$Z78,MIN(T$6-$G$3,22))&lt;&gt;""),'Milho 1ª safra'!$E78:INDEX('Milho 1ª safra'!$E78:$Z78,MIN(T$6-$G$3,22))),0)))))</f>
        <v>0</v>
      </c>
      <c r="U80" s="27" t="n">
        <f aca="false">IF(COUNT('Milho 1ª safra'!$E78:$Z78)=0,0,MAX(0,IF((U$6-$E$3)&lt;1,0,IFERROR(LOOKUP(2,1/('Milho 1ª safra'!$E78:INDEX('Milho 1ª safra'!$E78:$Z78,MIN(U$6-$E$3,22))&lt;&gt;""),'Milho 1ª safra'!$E78:INDEX('Milho 1ª safra'!$E78:$Z78,MIN(U$6-$E$3,22))),0))-IF($G$2,0,IF((U$6-$G$3)&lt;1,0,IFERROR(LOOKUP(2,1/('Milho 1ª safra'!$E78:INDEX('Milho 1ª safra'!$E78:$Z78,MIN(U$6-$G$3,22))&lt;&gt;""),'Milho 1ª safra'!$E78:INDEX('Milho 1ª safra'!$E78:$Z78,MIN(U$6-$G$3,22))),0)))))</f>
        <v>0</v>
      </c>
      <c r="V80" s="27" t="n">
        <f aca="false">IF(COUNT('Milho 1ª safra'!$E78:$Z78)=0,0,MAX(0,IF((V$6-$E$3)&lt;1,0,IFERROR(LOOKUP(2,1/('Milho 1ª safra'!$E78:INDEX('Milho 1ª safra'!$E78:$Z78,MIN(V$6-$E$3,22))&lt;&gt;""),'Milho 1ª safra'!$E78:INDEX('Milho 1ª safra'!$E78:$Z78,MIN(V$6-$E$3,22))),0))-IF($G$2,0,IF((V$6-$G$3)&lt;1,0,IFERROR(LOOKUP(2,1/('Milho 1ª safra'!$E78:INDEX('Milho 1ª safra'!$E78:$Z78,MIN(V$6-$G$3,22))&lt;&gt;""),'Milho 1ª safra'!$E78:INDEX('Milho 1ª safra'!$E78:$Z78,MIN(V$6-$G$3,22))),0)))))</f>
        <v>0</v>
      </c>
      <c r="W80" s="27" t="n">
        <f aca="false">IF(COUNT('Milho 1ª safra'!$E78:$Z78)=0,0,MAX(0,IF((W$6-$E$3)&lt;1,0,IFERROR(LOOKUP(2,1/('Milho 1ª safra'!$E78:INDEX('Milho 1ª safra'!$E78:$Z78,MIN(W$6-$E$3,22))&lt;&gt;""),'Milho 1ª safra'!$E78:INDEX('Milho 1ª safra'!$E78:$Z78,MIN(W$6-$E$3,22))),0))-IF($G$2,0,IF((W$6-$G$3)&lt;1,0,IFERROR(LOOKUP(2,1/('Milho 1ª safra'!$E78:INDEX('Milho 1ª safra'!$E78:$Z78,MIN(W$6-$G$3,22))&lt;&gt;""),'Milho 1ª safra'!$E78:INDEX('Milho 1ª safra'!$E78:$Z78,MIN(W$6-$G$3,22))),0)))))</f>
        <v>0</v>
      </c>
      <c r="X80" s="27" t="n">
        <f aca="false">IF(COUNT('Milho 1ª safra'!$E78:$Z78)=0,0,MAX(0,IF((X$6-$E$3)&lt;1,0,IFERROR(LOOKUP(2,1/('Milho 1ª safra'!$E78:INDEX('Milho 1ª safra'!$E78:$Z78,MIN(X$6-$E$3,22))&lt;&gt;""),'Milho 1ª safra'!$E78:INDEX('Milho 1ª safra'!$E78:$Z78,MIN(X$6-$E$3,22))),0))-IF($G$2,0,IF((X$6-$G$3)&lt;1,0,IFERROR(LOOKUP(2,1/('Milho 1ª safra'!$E78:INDEX('Milho 1ª safra'!$E78:$Z78,MIN(X$6-$G$3,22))&lt;&gt;""),'Milho 1ª safra'!$E78:INDEX('Milho 1ª safra'!$E78:$Z78,MIN(X$6-$G$3,22))),0)))))</f>
        <v>0</v>
      </c>
      <c r="Y80" s="27" t="n">
        <f aca="false">IF(COUNT('Milho 1ª safra'!$E78:$Z78)=0,0,MAX(0,IF((Y$6-$E$3)&lt;1,0,IFERROR(LOOKUP(2,1/('Milho 1ª safra'!$E78:INDEX('Milho 1ª safra'!$E78:$Z78,MIN(Y$6-$E$3,22))&lt;&gt;""),'Milho 1ª safra'!$E78:INDEX('Milho 1ª safra'!$E78:$Z78,MIN(Y$6-$E$3,22))),0))-IF($G$2,0,IF((Y$6-$G$3)&lt;1,0,IFERROR(LOOKUP(2,1/('Milho 1ª safra'!$E78:INDEX('Milho 1ª safra'!$E78:$Z78,MIN(Y$6-$G$3,22))&lt;&gt;""),'Milho 1ª safra'!$E78:INDEX('Milho 1ª safra'!$E78:$Z78,MIN(Y$6-$G$3,22))),0)))))</f>
        <v>0</v>
      </c>
      <c r="Z80" s="27" t="n">
        <f aca="false">IF(COUNT('Milho 1ª safra'!$E78:$Z78)=0,0,MAX(0,IF((Z$6-$E$3)&lt;1,0,IFERROR(LOOKUP(2,1/('Milho 1ª safra'!$E78:INDEX('Milho 1ª safra'!$E78:$Z78,MIN(Z$6-$E$3,22))&lt;&gt;""),'Milho 1ª safra'!$E78:INDEX('Milho 1ª safra'!$E78:$Z78,MIN(Z$6-$E$3,22))),0))-IF($G$2,0,IF((Z$6-$G$3)&lt;1,0,IFERROR(LOOKUP(2,1/('Milho 1ª safra'!$E78:INDEX('Milho 1ª safra'!$E78:$Z78,MIN(Z$6-$G$3,22))&lt;&gt;""),'Milho 1ª safra'!$E78:INDEX('Milho 1ª safra'!$E78:$Z78,MIN(Z$6-$G$3,22))),0)))))</f>
        <v>0</v>
      </c>
      <c r="AA80" s="27" t="n">
        <f aca="false">IF(COUNT('Milho 1ª safra'!$E78:$Z78)=0,0,MAX(0,IF((AA$6-$E$3)&lt;1,0,IFERROR(LOOKUP(2,1/('Milho 1ª safra'!$E78:INDEX('Milho 1ª safra'!$E78:$Z78,MIN(AA$6-$E$3,22))&lt;&gt;""),'Milho 1ª safra'!$E78:INDEX('Milho 1ª safra'!$E78:$Z78,MIN(AA$6-$E$3,22))),0))-IF($G$2,0,IF((AA$6-$G$3)&lt;1,0,IFERROR(LOOKUP(2,1/('Milho 1ª safra'!$E78:INDEX('Milho 1ª safra'!$E78:$Z78,MIN(AA$6-$G$3,22))&lt;&gt;""),'Milho 1ª safra'!$E78:INDEX('Milho 1ª safra'!$E78:$Z78,MIN(AA$6-$G$3,22))),0)))))</f>
        <v>0</v>
      </c>
      <c r="AB80" s="27" t="n">
        <f aca="false">IF(COUNT('Milho 1ª safra'!$E78:$Z78)=0,0,MAX(0,IF((AB$6-$E$3)&lt;1,0,IFERROR(LOOKUP(2,1/('Milho 1ª safra'!$E78:INDEX('Milho 1ª safra'!$E78:$Z78,MIN(AB$6-$E$3,22))&lt;&gt;""),'Milho 1ª safra'!$E78:INDEX('Milho 1ª safra'!$E78:$Z78,MIN(AB$6-$E$3,22))),0))-IF($G$2,0,IF((AB$6-$G$3)&lt;1,0,IFERROR(LOOKUP(2,1/('Milho 1ª safra'!$E78:INDEX('Milho 1ª safra'!$E78:$Z78,MIN(AB$6-$G$3,22))&lt;&gt;""),'Milho 1ª safra'!$E78:INDEX('Milho 1ª safra'!$E78:$Z78,MIN(AB$6-$G$3,22))),0)))))</f>
        <v>0</v>
      </c>
      <c r="AC80" s="27" t="n">
        <f aca="false">IF(COUNT('Milho 1ª safra'!$E78:$Z78)=0,0,MAX(0,IF((AC$6-$E$3)&lt;1,0,IFERROR(LOOKUP(2,1/('Milho 1ª safra'!$E78:INDEX('Milho 1ª safra'!$E78:$Z78,MIN(AC$6-$E$3,22))&lt;&gt;""),'Milho 1ª safra'!$E78:INDEX('Milho 1ª safra'!$E78:$Z78,MIN(AC$6-$E$3,22))),0))-IF($G$2,0,IF((AC$6-$G$3)&lt;1,0,IFERROR(LOOKUP(2,1/('Milho 1ª safra'!$E78:INDEX('Milho 1ª safra'!$E78:$Z78,MIN(AC$6-$G$3,22))&lt;&gt;""),'Milho 1ª safra'!$E78:INDEX('Milho 1ª safra'!$E78:$Z78,MIN(AC$6-$G$3,22))),0)))))</f>
        <v>0</v>
      </c>
      <c r="AD80" s="27" t="n">
        <f aca="false">IF(COUNT('Milho 1ª safra'!$E78:$Z78)=0,0,MAX(0,IF((AD$6-$E$3)&lt;1,0,IFERROR(LOOKUP(2,1/('Milho 1ª safra'!$E78:INDEX('Milho 1ª safra'!$E78:$Z78,MIN(AD$6-$E$3,22))&lt;&gt;""),'Milho 1ª safra'!$E78:INDEX('Milho 1ª safra'!$E78:$Z78,MIN(AD$6-$E$3,22))),0))-IF($G$2,0,IF((AD$6-$G$3)&lt;1,0,IFERROR(LOOKUP(2,1/('Milho 1ª safra'!$E78:INDEX('Milho 1ª safra'!$E78:$Z78,MIN(AD$6-$G$3,22))&lt;&gt;""),'Milho 1ª safra'!$E78:INDEX('Milho 1ª safra'!$E78:$Z78,MIN(AD$6-$G$3,22))),0)))))</f>
        <v>0</v>
      </c>
      <c r="AE80" s="27" t="n">
        <f aca="false">IF(COUNT('Milho 1ª safra'!$E78:$Z78)=0,0,MAX(0,IF((AE$6-$E$3)&lt;1,0,IFERROR(LOOKUP(2,1/('Milho 1ª safra'!$E78:INDEX('Milho 1ª safra'!$E78:$Z78,MIN(AE$6-$E$3,22))&lt;&gt;""),'Milho 1ª safra'!$E78:INDEX('Milho 1ª safra'!$E78:$Z78,MIN(AE$6-$E$3,22))),0))-IF($G$2,0,IF((AE$6-$G$3)&lt;1,0,IFERROR(LOOKUP(2,1/('Milho 1ª safra'!$E78:INDEX('Milho 1ª safra'!$E78:$Z78,MIN(AE$6-$G$3,22))&lt;&gt;""),'Milho 1ª safra'!$E78:INDEX('Milho 1ª safra'!$E78:$Z78,MIN(AE$6-$G$3,22))),0)))))</f>
        <v>0</v>
      </c>
      <c r="AF80" s="27" t="n">
        <f aca="false">IF(COUNT('Milho 1ª safra'!$E78:$Z78)=0,0,MAX(0,IF((AF$6-$E$3)&lt;1,0,IFERROR(LOOKUP(2,1/('Milho 1ª safra'!$E78:INDEX('Milho 1ª safra'!$E78:$Z78,MIN(AF$6-$E$3,22))&lt;&gt;""),'Milho 1ª safra'!$E78:INDEX('Milho 1ª safra'!$E78:$Z78,MIN(AF$6-$E$3,22))),0))-IF($G$2,0,IF((AF$6-$G$3)&lt;1,0,IFERROR(LOOKUP(2,1/('Milho 1ª safra'!$E78:INDEX('Milho 1ª safra'!$E78:$Z78,MIN(AF$6-$G$3,22))&lt;&gt;""),'Milho 1ª safra'!$E78:INDEX('Milho 1ª safra'!$E78:$Z78,MIN(AF$6-$G$3,22))),0)))))</f>
        <v>0</v>
      </c>
      <c r="AG80" s="27" t="n">
        <f aca="false">IF(COUNT('Milho 1ª safra'!$E78:$Z78)=0,0,MAX(0,IF((AG$6-$E$3)&lt;1,0,IFERROR(LOOKUP(2,1/('Milho 1ª safra'!$E78:INDEX('Milho 1ª safra'!$E78:$Z78,MIN(AG$6-$E$3,22))&lt;&gt;""),'Milho 1ª safra'!$E78:INDEX('Milho 1ª safra'!$E78:$Z78,MIN(AG$6-$E$3,22))),0))-IF($G$2,0,IF((AG$6-$G$3)&lt;1,0,IFERROR(LOOKUP(2,1/('Milho 1ª safra'!$E78:INDEX('Milho 1ª safra'!$E78:$Z78,MIN(AG$6-$G$3,22))&lt;&gt;""),'Milho 1ª safra'!$E78:INDEX('Milho 1ª safra'!$E78:$Z78,MIN(AG$6-$G$3,22))),0)))))</f>
        <v>0</v>
      </c>
      <c r="AH80" s="27" t="n">
        <f aca="false">IF(COUNT('Milho 1ª safra'!$E78:$Z78)=0,0,MAX(0,IF((AH$6-$E$3)&lt;1,0,IFERROR(LOOKUP(2,1/('Milho 1ª safra'!$E78:INDEX('Milho 1ª safra'!$E78:$Z78,MIN(AH$6-$E$3,22))&lt;&gt;""),'Milho 1ª safra'!$E78:INDEX('Milho 1ª safra'!$E78:$Z78,MIN(AH$6-$E$3,22))),0))-IF($G$2,0,IF((AH$6-$G$3)&lt;1,0,IFERROR(LOOKUP(2,1/('Milho 1ª safra'!$E78:INDEX('Milho 1ª safra'!$E78:$Z78,MIN(AH$6-$G$3,22))&lt;&gt;""),'Milho 1ª safra'!$E78:INDEX('Milho 1ª safra'!$E78:$Z78,MIN(AH$6-$G$3,22))),0)))))</f>
        <v>0</v>
      </c>
      <c r="AI80" s="27" t="n">
        <f aca="false">IF(COUNT('Milho 1ª safra'!$E78:$Z78)=0,0,MAX(0,IF((AI$6-$E$3)&lt;1,0,IFERROR(LOOKUP(2,1/('Milho 1ª safra'!$E78:INDEX('Milho 1ª safra'!$E78:$Z78,MIN(AI$6-$E$3,22))&lt;&gt;""),'Milho 1ª safra'!$E78:INDEX('Milho 1ª safra'!$E78:$Z78,MIN(AI$6-$E$3,22))),0))-IF($G$2,0,IF((AI$6-$G$3)&lt;1,0,IFERROR(LOOKUP(2,1/('Milho 1ª safra'!$E78:INDEX('Milho 1ª safra'!$E78:$Z78,MIN(AI$6-$G$3,22))&lt;&gt;""),'Milho 1ª safra'!$E78:INDEX('Milho 1ª safra'!$E78:$Z78,MIN(AI$6-$G$3,22))),0)))))</f>
        <v>0</v>
      </c>
      <c r="AJ80" s="27" t="n">
        <f aca="false">IF(COUNT('Milho 1ª safra'!$E78:$Z78)=0,0,MAX(0,IF((AJ$6-$E$3)&lt;1,0,IFERROR(LOOKUP(2,1/('Milho 1ª safra'!$E78:INDEX('Milho 1ª safra'!$E78:$Z78,MIN(AJ$6-$E$3,22))&lt;&gt;""),'Milho 1ª safra'!$E78:INDEX('Milho 1ª safra'!$E78:$Z78,MIN(AJ$6-$E$3,22))),0))-IF($G$2,0,IF((AJ$6-$G$3)&lt;1,0,IFERROR(LOOKUP(2,1/('Milho 1ª safra'!$E78:INDEX('Milho 1ª safra'!$E78:$Z78,MIN(AJ$6-$G$3,22))&lt;&gt;""),'Milho 1ª safra'!$E78:INDEX('Milho 1ª safra'!$E78:$Z78,MIN(AJ$6-$G$3,22))),0)))))</f>
        <v>0</v>
      </c>
      <c r="AK80" s="27" t="n">
        <f aca="false">IF(COUNT('Milho 1ª safra'!$E78:$Z78)=0,0,MAX(0,IF((AK$6-$E$3)&lt;1,0,IFERROR(LOOKUP(2,1/('Milho 1ª safra'!$E78:INDEX('Milho 1ª safra'!$E78:$Z78,MIN(AK$6-$E$3,22))&lt;&gt;""),'Milho 1ª safra'!$E78:INDEX('Milho 1ª safra'!$E78:$Z78,MIN(AK$6-$E$3,22))),0))-IF($G$2,0,IF((AK$6-$G$3)&lt;1,0,IFERROR(LOOKUP(2,1/('Milho 1ª safra'!$E78:INDEX('Milho 1ª safra'!$E78:$Z78,MIN(AK$6-$G$3,22))&lt;&gt;""),'Milho 1ª safra'!$E78:INDEX('Milho 1ª safra'!$E78:$Z78,MIN(AK$6-$G$3,22))),0)))))</f>
        <v>0</v>
      </c>
      <c r="AL80" s="27" t="n">
        <f aca="false">IF(COUNT('Milho 1ª safra'!$E78:$Z78)=0,0,MAX(0,IF((AL$6-$E$3)&lt;1,0,IFERROR(LOOKUP(2,1/('Milho 1ª safra'!$E78:INDEX('Milho 1ª safra'!$E78:$Z78,MIN(AL$6-$E$3,22))&lt;&gt;""),'Milho 1ª safra'!$E78:INDEX('Milho 1ª safra'!$E78:$Z78,MIN(AL$6-$E$3,22))),0))-IF($G$2,0,IF((AL$6-$G$3)&lt;1,0,IFERROR(LOOKUP(2,1/('Milho 1ª safra'!$E78:INDEX('Milho 1ª safra'!$E78:$Z78,MIN(AL$6-$G$3,22))&lt;&gt;""),'Milho 1ª safra'!$E78:INDEX('Milho 1ª safra'!$E78:$Z78,MIN(AL$6-$G$3,22))),0)))))</f>
        <v>0</v>
      </c>
      <c r="AM80" s="27" t="n">
        <f aca="false">IF(COUNT('Milho 1ª safra'!$E78:$Z78)=0,0,MAX(0,IF((AM$6-$E$3)&lt;1,0,IFERROR(LOOKUP(2,1/('Milho 1ª safra'!$E78:INDEX('Milho 1ª safra'!$E78:$Z78,MIN(AM$6-$E$3,22))&lt;&gt;""),'Milho 1ª safra'!$E78:INDEX('Milho 1ª safra'!$E78:$Z78,MIN(AM$6-$E$3,22))),0))-IF($G$2,0,IF((AM$6-$G$3)&lt;1,0,IFERROR(LOOKUP(2,1/('Milho 1ª safra'!$E78:INDEX('Milho 1ª safra'!$E78:$Z78,MIN(AM$6-$G$3,22))&lt;&gt;""),'Milho 1ª safra'!$E78:INDEX('Milho 1ª safra'!$E78:$Z78,MIN(AM$6-$G$3,22))),0)))))</f>
        <v>0</v>
      </c>
      <c r="AN80" s="27" t="n">
        <f aca="false">IF(COUNT('Milho 1ª safra'!$E78:$Z78)=0,0,MAX(0,IF((AN$6-$E$3)&lt;1,0,IFERROR(LOOKUP(2,1/('Milho 1ª safra'!$E78:INDEX('Milho 1ª safra'!$E78:$Z78,MIN(AN$6-$E$3,22))&lt;&gt;""),'Milho 1ª safra'!$E78:INDEX('Milho 1ª safra'!$E78:$Z78,MIN(AN$6-$E$3,22))),0))-IF($G$2,0,IF((AN$6-$G$3)&lt;1,0,IFERROR(LOOKUP(2,1/('Milho 1ª safra'!$E78:INDEX('Milho 1ª safra'!$E78:$Z78,MIN(AN$6-$G$3,22))&lt;&gt;""),'Milho 1ª safra'!$E78:INDEX('Milho 1ª safra'!$E78:$Z78,MIN(AN$6-$G$3,22))),0)))))</f>
        <v>0</v>
      </c>
      <c r="AO80" s="27" t="n">
        <f aca="false">IF(COUNT('Milho 1ª safra'!$E78:$Z78)=0,0,MAX(0,IF((AO$6-$E$3)&lt;1,0,IFERROR(LOOKUP(2,1/('Milho 1ª safra'!$E78:INDEX('Milho 1ª safra'!$E78:$Z78,MIN(AO$6-$E$3,22))&lt;&gt;""),'Milho 1ª safra'!$E78:INDEX('Milho 1ª safra'!$E78:$Z78,MIN(AO$6-$E$3,22))),0))-IF($G$2,0,IF((AO$6-$G$3)&lt;1,0,IFERROR(LOOKUP(2,1/('Milho 1ª safra'!$E78:INDEX('Milho 1ª safra'!$E78:$Z78,MIN(AO$6-$G$3,22))&lt;&gt;""),'Milho 1ª safra'!$E78:INDEX('Milho 1ª safra'!$E78:$Z78,MIN(AO$6-$G$3,22))),0)))))</f>
        <v>0</v>
      </c>
      <c r="AP80" s="27" t="n">
        <f aca="false">IF(COUNT('Milho 1ª safra'!$E78:$Z78)=0,0,MAX(0,IF((AP$6-$E$3)&lt;1,0,IFERROR(LOOKUP(2,1/('Milho 1ª safra'!$E78:INDEX('Milho 1ª safra'!$E78:$Z78,MIN(AP$6-$E$3,22))&lt;&gt;""),'Milho 1ª safra'!$E78:INDEX('Milho 1ª safra'!$E78:$Z78,MIN(AP$6-$E$3,22))),0))-IF($G$2,0,IF((AP$6-$G$3)&lt;1,0,IFERROR(LOOKUP(2,1/('Milho 1ª safra'!$E78:INDEX('Milho 1ª safra'!$E78:$Z78,MIN(AP$6-$G$3,22))&lt;&gt;""),'Milho 1ª safra'!$E78:INDEX('Milho 1ª safra'!$E78:$Z78,MIN(AP$6-$G$3,22))),0)))))</f>
        <v>0</v>
      </c>
      <c r="AQ80" s="27" t="n">
        <f aca="false">IF(COUNT('Milho 1ª safra'!$E78:$Z78)=0,0,MAX(0,IF((AQ$6-$E$3)&lt;1,0,IFERROR(LOOKUP(2,1/('Milho 1ª safra'!$E78:INDEX('Milho 1ª safra'!$E78:$Z78,MIN(AQ$6-$E$3,22))&lt;&gt;""),'Milho 1ª safra'!$E78:INDEX('Milho 1ª safra'!$E78:$Z78,MIN(AQ$6-$E$3,22))),0))-IF($G$2,0,IF((AQ$6-$G$3)&lt;1,0,IFERROR(LOOKUP(2,1/('Milho 1ª safra'!$E78:INDEX('Milho 1ª safra'!$E78:$Z78,MIN(AQ$6-$G$3,22))&lt;&gt;""),'Milho 1ª safra'!$E78:INDEX('Milho 1ª safra'!$E78:$Z78,MIN(AQ$6-$G$3,22))),0)))))</f>
        <v>0</v>
      </c>
      <c r="AR80" s="27" t="n">
        <f aca="false">IF(COUNT('Milho 1ª safra'!$E78:$Z78)=0,0,MAX(0,IF((AR$6-$E$3)&lt;1,0,IFERROR(LOOKUP(2,1/('Milho 1ª safra'!$E78:INDEX('Milho 1ª safra'!$E78:$Z78,MIN(AR$6-$E$3,22))&lt;&gt;""),'Milho 1ª safra'!$E78:INDEX('Milho 1ª safra'!$E78:$Z78,MIN(AR$6-$E$3,22))),0))-IF($G$2,0,IF((AR$6-$G$3)&lt;1,0,IFERROR(LOOKUP(2,1/('Milho 1ª safra'!$E78:INDEX('Milho 1ª safra'!$E78:$Z78,MIN(AR$6-$G$3,22))&lt;&gt;""),'Milho 1ª safra'!$E78:INDEX('Milho 1ª safra'!$E78:$Z78,MIN(AR$6-$G$3,22))),0)))))</f>
        <v>0</v>
      </c>
      <c r="AS80" s="27" t="n">
        <f aca="false">IF(COUNT('Milho 1ª safra'!$E78:$Z78)=0,0,MAX(0,IF((AS$6-$E$3)&lt;1,0,IFERROR(LOOKUP(2,1/('Milho 1ª safra'!$E78:INDEX('Milho 1ª safra'!$E78:$Z78,MIN(AS$6-$E$3,22))&lt;&gt;""),'Milho 1ª safra'!$E78:INDEX('Milho 1ª safra'!$E78:$Z78,MIN(AS$6-$E$3,22))),0))-IF($G$2,0,IF((AS$6-$G$3)&lt;1,0,IFERROR(LOOKUP(2,1/('Milho 1ª safra'!$E78:INDEX('Milho 1ª safra'!$E78:$Z78,MIN(AS$6-$G$3,22))&lt;&gt;""),'Milho 1ª safra'!$E78:INDEX('Milho 1ª safra'!$E78:$Z78,MIN(AS$6-$G$3,22))),0)))))</f>
        <v>0</v>
      </c>
      <c r="AT80" s="27" t="n">
        <f aca="false">IF(COUNT('Milho 1ª safra'!$E78:$Z78)=0,0,MAX(0,IF((AT$6-$E$3)&lt;1,0,IFERROR(LOOKUP(2,1/('Milho 1ª safra'!$E78:INDEX('Milho 1ª safra'!$E78:$Z78,MIN(AT$6-$E$3,22))&lt;&gt;""),'Milho 1ª safra'!$E78:INDEX('Milho 1ª safra'!$E78:$Z78,MIN(AT$6-$E$3,22))),0))-IF($G$2,0,IF((AT$6-$G$3)&lt;1,0,IFERROR(LOOKUP(2,1/('Milho 1ª safra'!$E78:INDEX('Milho 1ª safra'!$E78:$Z78,MIN(AT$6-$G$3,22))&lt;&gt;""),'Milho 1ª safra'!$E78:INDEX('Milho 1ª safra'!$E78:$Z78,MIN(AT$6-$G$3,22))),0)))))</f>
        <v>0</v>
      </c>
      <c r="AU80" s="27" t="n">
        <f aca="false">IF(COUNT('Milho 1ª safra'!$E78:$Z78)=0,0,MAX(0,IF((AU$6-$E$3)&lt;1,0,IFERROR(LOOKUP(2,1/('Milho 1ª safra'!$E78:INDEX('Milho 1ª safra'!$E78:$Z78,MIN(AU$6-$E$3,22))&lt;&gt;""),'Milho 1ª safra'!$E78:INDEX('Milho 1ª safra'!$E78:$Z78,MIN(AU$6-$E$3,22))),0))-IF($G$2,0,IF((AU$6-$G$3)&lt;1,0,IFERROR(LOOKUP(2,1/('Milho 1ª safra'!$E78:INDEX('Milho 1ª safra'!$E78:$Z78,MIN(AU$6-$G$3,22))&lt;&gt;""),'Milho 1ª safra'!$E78:INDEX('Milho 1ª safra'!$E78:$Z78,MIN(AU$6-$G$3,22))),0)))))</f>
        <v>0</v>
      </c>
      <c r="AV80" s="27" t="n">
        <f aca="false">IF(COUNT('Milho 1ª safra'!$E78:$Z78)=0,0,MAX(0,IF((AV$6-$E$3)&lt;1,0,IFERROR(LOOKUP(2,1/('Milho 1ª safra'!$E78:INDEX('Milho 1ª safra'!$E78:$Z78,MIN(AV$6-$E$3,22))&lt;&gt;""),'Milho 1ª safra'!$E78:INDEX('Milho 1ª safra'!$E78:$Z78,MIN(AV$6-$E$3,22))),0))-IF($G$2,0,IF((AV$6-$G$3)&lt;1,0,IFERROR(LOOKUP(2,1/('Milho 1ª safra'!$E78:INDEX('Milho 1ª safra'!$E78:$Z78,MIN(AV$6-$G$3,22))&lt;&gt;""),'Milho 1ª safra'!$E78:INDEX('Milho 1ª safra'!$E78:$Z78,MIN(AV$6-$G$3,22))),0)))))</f>
        <v>0</v>
      </c>
      <c r="AW80" s="27" t="n">
        <f aca="false">IF(COUNT('Milho 1ª safra'!$E78:$Z78)=0,0,MAX(0,IF((AW$6-$E$3)&lt;1,0,IFERROR(LOOKUP(2,1/('Milho 1ª safra'!$E78:INDEX('Milho 1ª safra'!$E78:$Z78,MIN(AW$6-$E$3,22))&lt;&gt;""),'Milho 1ª safra'!$E78:INDEX('Milho 1ª safra'!$E78:$Z78,MIN(AW$6-$E$3,22))),0))-IF($G$2,0,IF((AW$6-$G$3)&lt;1,0,IFERROR(LOOKUP(2,1/('Milho 1ª safra'!$E78:INDEX('Milho 1ª safra'!$E78:$Z78,MIN(AW$6-$G$3,22))&lt;&gt;""),'Milho 1ª safra'!$E78:INDEX('Milho 1ª safra'!$E78:$Z78,MIN(AW$6-$G$3,22))),0)))))</f>
        <v>0</v>
      </c>
      <c r="AX80" s="27" t="n">
        <f aca="false">IF(COUNT('Milho 1ª safra'!$E78:$Z78)=0,0,MAX(0,IF((AX$6-$E$3)&lt;1,0,IFERROR(LOOKUP(2,1/('Milho 1ª safra'!$E78:INDEX('Milho 1ª safra'!$E78:$Z78,MIN(AX$6-$E$3,22))&lt;&gt;""),'Milho 1ª safra'!$E78:INDEX('Milho 1ª safra'!$E78:$Z78,MIN(AX$6-$E$3,22))),0))-IF($G$2,0,IF((AX$6-$G$3)&lt;1,0,IFERROR(LOOKUP(2,1/('Milho 1ª safra'!$E78:INDEX('Milho 1ª safra'!$E78:$Z78,MIN(AX$6-$G$3,22))&lt;&gt;""),'Milho 1ª safra'!$E78:INDEX('Milho 1ª safra'!$E78:$Z78,MIN(AX$6-$G$3,22))),0)))))</f>
        <v>0</v>
      </c>
      <c r="AY80" s="27" t="n">
        <f aca="false">IF(COUNT('Milho 1ª safra'!$E78:$Z78)=0,0,MAX(0,IF((AY$6-$E$3)&lt;1,0,IFERROR(LOOKUP(2,1/('Milho 1ª safra'!$E78:INDEX('Milho 1ª safra'!$E78:$Z78,MIN(AY$6-$E$3,22))&lt;&gt;""),'Milho 1ª safra'!$E78:INDEX('Milho 1ª safra'!$E78:$Z78,MIN(AY$6-$E$3,22))),0))-IF($G$2,0,IF((AY$6-$G$3)&lt;1,0,IFERROR(LOOKUP(2,1/('Milho 1ª safra'!$E78:INDEX('Milho 1ª safra'!$E78:$Z78,MIN(AY$6-$G$3,22))&lt;&gt;""),'Milho 1ª safra'!$E78:INDEX('Milho 1ª safra'!$E78:$Z78,MIN(AY$6-$G$3,22))),0)))))</f>
        <v>0</v>
      </c>
      <c r="AZ80" s="27" t="n">
        <f aca="false">IF(COUNT('Milho 1ª safra'!$E78:$Z78)=0,0,MAX(0,IF((AZ$6-$E$3)&lt;1,0,IFERROR(LOOKUP(2,1/('Milho 1ª safra'!$E78:INDEX('Milho 1ª safra'!$E78:$Z78,MIN(AZ$6-$E$3,22))&lt;&gt;""),'Milho 1ª safra'!$E78:INDEX('Milho 1ª safra'!$E78:$Z78,MIN(AZ$6-$E$3,22))),0))-IF($G$2,0,IF((AZ$6-$G$3)&lt;1,0,IFERROR(LOOKUP(2,1/('Milho 1ª safra'!$E78:INDEX('Milho 1ª safra'!$E78:$Z78,MIN(AZ$6-$G$3,22))&lt;&gt;""),'Milho 1ª safra'!$E78:INDEX('Milho 1ª safra'!$E78:$Z78,MIN(AZ$6-$G$3,22))),0)))))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IF(COUNT('Milho 1ª safra'!$E79:$Z79)&gt;0,N('Milho 1ª safra'!$D79),0)</f>
        <v>0</v>
      </c>
      <c r="E81" s="27" t="n">
        <f aca="false">IF(COUNT('Milho 1ª safra'!$E79:$Z79)=0,0,MAX(0,IF((E$6-$E$3)&lt;1,0,IFERROR(LOOKUP(2,1/('Milho 1ª safra'!$E79:INDEX('Milho 1ª safra'!$E79:$Z79,MIN(E$6-$E$3,22))&lt;&gt;""),'Milho 1ª safra'!$E79:INDEX('Milho 1ª safra'!$E79:$Z79,MIN(E$6-$E$3,22))),0))-IF($G$2,0,IF((E$6-$G$3)&lt;1,0,IFERROR(LOOKUP(2,1/('Milho 1ª safra'!$E79:INDEX('Milho 1ª safra'!$E79:$Z79,MIN(E$6-$G$3,22))&lt;&gt;""),'Milho 1ª safra'!$E79:INDEX('Milho 1ª safra'!$E79:$Z79,MIN(E$6-$G$3,22))),0)))))</f>
        <v>0</v>
      </c>
      <c r="F81" s="27" t="n">
        <f aca="false">IF(COUNT('Milho 1ª safra'!$E79:$Z79)=0,0,MAX(0,IF((F$6-$E$3)&lt;1,0,IFERROR(LOOKUP(2,1/('Milho 1ª safra'!$E79:INDEX('Milho 1ª safra'!$E79:$Z79,MIN(F$6-$E$3,22))&lt;&gt;""),'Milho 1ª safra'!$E79:INDEX('Milho 1ª safra'!$E79:$Z79,MIN(F$6-$E$3,22))),0))-IF($G$2,0,IF((F$6-$G$3)&lt;1,0,IFERROR(LOOKUP(2,1/('Milho 1ª safra'!$E79:INDEX('Milho 1ª safra'!$E79:$Z79,MIN(F$6-$G$3,22))&lt;&gt;""),'Milho 1ª safra'!$E79:INDEX('Milho 1ª safra'!$E79:$Z79,MIN(F$6-$G$3,22))),0)))))</f>
        <v>0</v>
      </c>
      <c r="G81" s="27" t="n">
        <f aca="false">IF(COUNT('Milho 1ª safra'!$E79:$Z79)=0,0,MAX(0,IF((G$6-$E$3)&lt;1,0,IFERROR(LOOKUP(2,1/('Milho 1ª safra'!$E79:INDEX('Milho 1ª safra'!$E79:$Z79,MIN(G$6-$E$3,22))&lt;&gt;""),'Milho 1ª safra'!$E79:INDEX('Milho 1ª safra'!$E79:$Z79,MIN(G$6-$E$3,22))),0))-IF($G$2,0,IF((G$6-$G$3)&lt;1,0,IFERROR(LOOKUP(2,1/('Milho 1ª safra'!$E79:INDEX('Milho 1ª safra'!$E79:$Z79,MIN(G$6-$G$3,22))&lt;&gt;""),'Milho 1ª safra'!$E79:INDEX('Milho 1ª safra'!$E79:$Z79,MIN(G$6-$G$3,22))),0)))))</f>
        <v>0</v>
      </c>
      <c r="H81" s="27" t="n">
        <f aca="false">IF(COUNT('Milho 1ª safra'!$E79:$Z79)=0,0,MAX(0,IF((H$6-$E$3)&lt;1,0,IFERROR(LOOKUP(2,1/('Milho 1ª safra'!$E79:INDEX('Milho 1ª safra'!$E79:$Z79,MIN(H$6-$E$3,22))&lt;&gt;""),'Milho 1ª safra'!$E79:INDEX('Milho 1ª safra'!$E79:$Z79,MIN(H$6-$E$3,22))),0))-IF($G$2,0,IF((H$6-$G$3)&lt;1,0,IFERROR(LOOKUP(2,1/('Milho 1ª safra'!$E79:INDEX('Milho 1ª safra'!$E79:$Z79,MIN(H$6-$G$3,22))&lt;&gt;""),'Milho 1ª safra'!$E79:INDEX('Milho 1ª safra'!$E79:$Z79,MIN(H$6-$G$3,22))),0)))))</f>
        <v>0</v>
      </c>
      <c r="I81" s="27" t="n">
        <f aca="false">IF(COUNT('Milho 1ª safra'!$E79:$Z79)=0,0,MAX(0,IF((I$6-$E$3)&lt;1,0,IFERROR(LOOKUP(2,1/('Milho 1ª safra'!$E79:INDEX('Milho 1ª safra'!$E79:$Z79,MIN(I$6-$E$3,22))&lt;&gt;""),'Milho 1ª safra'!$E79:INDEX('Milho 1ª safra'!$E79:$Z79,MIN(I$6-$E$3,22))),0))-IF($G$2,0,IF((I$6-$G$3)&lt;1,0,IFERROR(LOOKUP(2,1/('Milho 1ª safra'!$E79:INDEX('Milho 1ª safra'!$E79:$Z79,MIN(I$6-$G$3,22))&lt;&gt;""),'Milho 1ª safra'!$E79:INDEX('Milho 1ª safra'!$E79:$Z79,MIN(I$6-$G$3,22))),0)))))</f>
        <v>0</v>
      </c>
      <c r="J81" s="27" t="n">
        <f aca="false">IF(COUNT('Milho 1ª safra'!$E79:$Z79)=0,0,MAX(0,IF((J$6-$E$3)&lt;1,0,IFERROR(LOOKUP(2,1/('Milho 1ª safra'!$E79:INDEX('Milho 1ª safra'!$E79:$Z79,MIN(J$6-$E$3,22))&lt;&gt;""),'Milho 1ª safra'!$E79:INDEX('Milho 1ª safra'!$E79:$Z79,MIN(J$6-$E$3,22))),0))-IF($G$2,0,IF((J$6-$G$3)&lt;1,0,IFERROR(LOOKUP(2,1/('Milho 1ª safra'!$E79:INDEX('Milho 1ª safra'!$E79:$Z79,MIN(J$6-$G$3,22))&lt;&gt;""),'Milho 1ª safra'!$E79:INDEX('Milho 1ª safra'!$E79:$Z79,MIN(J$6-$G$3,22))),0)))))</f>
        <v>0</v>
      </c>
      <c r="K81" s="27" t="n">
        <f aca="false">IF(COUNT('Milho 1ª safra'!$E79:$Z79)=0,0,MAX(0,IF((K$6-$E$3)&lt;1,0,IFERROR(LOOKUP(2,1/('Milho 1ª safra'!$E79:INDEX('Milho 1ª safra'!$E79:$Z79,MIN(K$6-$E$3,22))&lt;&gt;""),'Milho 1ª safra'!$E79:INDEX('Milho 1ª safra'!$E79:$Z79,MIN(K$6-$E$3,22))),0))-IF($G$2,0,IF((K$6-$G$3)&lt;1,0,IFERROR(LOOKUP(2,1/('Milho 1ª safra'!$E79:INDEX('Milho 1ª safra'!$E79:$Z79,MIN(K$6-$G$3,22))&lt;&gt;""),'Milho 1ª safra'!$E79:INDEX('Milho 1ª safra'!$E79:$Z79,MIN(K$6-$G$3,22))),0)))))</f>
        <v>0</v>
      </c>
      <c r="L81" s="27" t="n">
        <f aca="false">IF(COUNT('Milho 1ª safra'!$E79:$Z79)=0,0,MAX(0,IF((L$6-$E$3)&lt;1,0,IFERROR(LOOKUP(2,1/('Milho 1ª safra'!$E79:INDEX('Milho 1ª safra'!$E79:$Z79,MIN(L$6-$E$3,22))&lt;&gt;""),'Milho 1ª safra'!$E79:INDEX('Milho 1ª safra'!$E79:$Z79,MIN(L$6-$E$3,22))),0))-IF($G$2,0,IF((L$6-$G$3)&lt;1,0,IFERROR(LOOKUP(2,1/('Milho 1ª safra'!$E79:INDEX('Milho 1ª safra'!$E79:$Z79,MIN(L$6-$G$3,22))&lt;&gt;""),'Milho 1ª safra'!$E79:INDEX('Milho 1ª safra'!$E79:$Z79,MIN(L$6-$G$3,22))),0)))))</f>
        <v>0</v>
      </c>
      <c r="M81" s="27" t="n">
        <f aca="false">IF(COUNT('Milho 1ª safra'!$E79:$Z79)=0,0,MAX(0,IF((M$6-$E$3)&lt;1,0,IFERROR(LOOKUP(2,1/('Milho 1ª safra'!$E79:INDEX('Milho 1ª safra'!$E79:$Z79,MIN(M$6-$E$3,22))&lt;&gt;""),'Milho 1ª safra'!$E79:INDEX('Milho 1ª safra'!$E79:$Z79,MIN(M$6-$E$3,22))),0))-IF($G$2,0,IF((M$6-$G$3)&lt;1,0,IFERROR(LOOKUP(2,1/('Milho 1ª safra'!$E79:INDEX('Milho 1ª safra'!$E79:$Z79,MIN(M$6-$G$3,22))&lt;&gt;""),'Milho 1ª safra'!$E79:INDEX('Milho 1ª safra'!$E79:$Z79,MIN(M$6-$G$3,22))),0)))))</f>
        <v>0</v>
      </c>
      <c r="N81" s="27" t="n">
        <f aca="false">IF(COUNT('Milho 1ª safra'!$E79:$Z79)=0,0,MAX(0,IF((N$6-$E$3)&lt;1,0,IFERROR(LOOKUP(2,1/('Milho 1ª safra'!$E79:INDEX('Milho 1ª safra'!$E79:$Z79,MIN(N$6-$E$3,22))&lt;&gt;""),'Milho 1ª safra'!$E79:INDEX('Milho 1ª safra'!$E79:$Z79,MIN(N$6-$E$3,22))),0))-IF($G$2,0,IF((N$6-$G$3)&lt;1,0,IFERROR(LOOKUP(2,1/('Milho 1ª safra'!$E79:INDEX('Milho 1ª safra'!$E79:$Z79,MIN(N$6-$G$3,22))&lt;&gt;""),'Milho 1ª safra'!$E79:INDEX('Milho 1ª safra'!$E79:$Z79,MIN(N$6-$G$3,22))),0)))))</f>
        <v>0</v>
      </c>
      <c r="O81" s="27" t="n">
        <f aca="false">IF(COUNT('Milho 1ª safra'!$E79:$Z79)=0,0,MAX(0,IF((O$6-$E$3)&lt;1,0,IFERROR(LOOKUP(2,1/('Milho 1ª safra'!$E79:INDEX('Milho 1ª safra'!$E79:$Z79,MIN(O$6-$E$3,22))&lt;&gt;""),'Milho 1ª safra'!$E79:INDEX('Milho 1ª safra'!$E79:$Z79,MIN(O$6-$E$3,22))),0))-IF($G$2,0,IF((O$6-$G$3)&lt;1,0,IFERROR(LOOKUP(2,1/('Milho 1ª safra'!$E79:INDEX('Milho 1ª safra'!$E79:$Z79,MIN(O$6-$G$3,22))&lt;&gt;""),'Milho 1ª safra'!$E79:INDEX('Milho 1ª safra'!$E79:$Z79,MIN(O$6-$G$3,22))),0)))))</f>
        <v>0</v>
      </c>
      <c r="P81" s="27" t="n">
        <f aca="false">IF(COUNT('Milho 1ª safra'!$E79:$Z79)=0,0,MAX(0,IF((P$6-$E$3)&lt;1,0,IFERROR(LOOKUP(2,1/('Milho 1ª safra'!$E79:INDEX('Milho 1ª safra'!$E79:$Z79,MIN(P$6-$E$3,22))&lt;&gt;""),'Milho 1ª safra'!$E79:INDEX('Milho 1ª safra'!$E79:$Z79,MIN(P$6-$E$3,22))),0))-IF($G$2,0,IF((P$6-$G$3)&lt;1,0,IFERROR(LOOKUP(2,1/('Milho 1ª safra'!$E79:INDEX('Milho 1ª safra'!$E79:$Z79,MIN(P$6-$G$3,22))&lt;&gt;""),'Milho 1ª safra'!$E79:INDEX('Milho 1ª safra'!$E79:$Z79,MIN(P$6-$G$3,22))),0)))))</f>
        <v>0</v>
      </c>
      <c r="Q81" s="27" t="n">
        <f aca="false">IF(COUNT('Milho 1ª safra'!$E79:$Z79)=0,0,MAX(0,IF((Q$6-$E$3)&lt;1,0,IFERROR(LOOKUP(2,1/('Milho 1ª safra'!$E79:INDEX('Milho 1ª safra'!$E79:$Z79,MIN(Q$6-$E$3,22))&lt;&gt;""),'Milho 1ª safra'!$E79:INDEX('Milho 1ª safra'!$E79:$Z79,MIN(Q$6-$E$3,22))),0))-IF($G$2,0,IF((Q$6-$G$3)&lt;1,0,IFERROR(LOOKUP(2,1/('Milho 1ª safra'!$E79:INDEX('Milho 1ª safra'!$E79:$Z79,MIN(Q$6-$G$3,22))&lt;&gt;""),'Milho 1ª safra'!$E79:INDEX('Milho 1ª safra'!$E79:$Z79,MIN(Q$6-$G$3,22))),0)))))</f>
        <v>0</v>
      </c>
      <c r="R81" s="27" t="n">
        <f aca="false">IF(COUNT('Milho 1ª safra'!$E79:$Z79)=0,0,MAX(0,IF((R$6-$E$3)&lt;1,0,IFERROR(LOOKUP(2,1/('Milho 1ª safra'!$E79:INDEX('Milho 1ª safra'!$E79:$Z79,MIN(R$6-$E$3,22))&lt;&gt;""),'Milho 1ª safra'!$E79:INDEX('Milho 1ª safra'!$E79:$Z79,MIN(R$6-$E$3,22))),0))-IF($G$2,0,IF((R$6-$G$3)&lt;1,0,IFERROR(LOOKUP(2,1/('Milho 1ª safra'!$E79:INDEX('Milho 1ª safra'!$E79:$Z79,MIN(R$6-$G$3,22))&lt;&gt;""),'Milho 1ª safra'!$E79:INDEX('Milho 1ª safra'!$E79:$Z79,MIN(R$6-$G$3,22))),0)))))</f>
        <v>0</v>
      </c>
      <c r="S81" s="27" t="n">
        <f aca="false">IF(COUNT('Milho 1ª safra'!$E79:$Z79)=0,0,MAX(0,IF((S$6-$E$3)&lt;1,0,IFERROR(LOOKUP(2,1/('Milho 1ª safra'!$E79:INDEX('Milho 1ª safra'!$E79:$Z79,MIN(S$6-$E$3,22))&lt;&gt;""),'Milho 1ª safra'!$E79:INDEX('Milho 1ª safra'!$E79:$Z79,MIN(S$6-$E$3,22))),0))-IF($G$2,0,IF((S$6-$G$3)&lt;1,0,IFERROR(LOOKUP(2,1/('Milho 1ª safra'!$E79:INDEX('Milho 1ª safra'!$E79:$Z79,MIN(S$6-$G$3,22))&lt;&gt;""),'Milho 1ª safra'!$E79:INDEX('Milho 1ª safra'!$E79:$Z79,MIN(S$6-$G$3,22))),0)))))</f>
        <v>0</v>
      </c>
      <c r="T81" s="27" t="n">
        <f aca="false">IF(COUNT('Milho 1ª safra'!$E79:$Z79)=0,0,MAX(0,IF((T$6-$E$3)&lt;1,0,IFERROR(LOOKUP(2,1/('Milho 1ª safra'!$E79:INDEX('Milho 1ª safra'!$E79:$Z79,MIN(T$6-$E$3,22))&lt;&gt;""),'Milho 1ª safra'!$E79:INDEX('Milho 1ª safra'!$E79:$Z79,MIN(T$6-$E$3,22))),0))-IF($G$2,0,IF((T$6-$G$3)&lt;1,0,IFERROR(LOOKUP(2,1/('Milho 1ª safra'!$E79:INDEX('Milho 1ª safra'!$E79:$Z79,MIN(T$6-$G$3,22))&lt;&gt;""),'Milho 1ª safra'!$E79:INDEX('Milho 1ª safra'!$E79:$Z79,MIN(T$6-$G$3,22))),0)))))</f>
        <v>0</v>
      </c>
      <c r="U81" s="27" t="n">
        <f aca="false">IF(COUNT('Milho 1ª safra'!$E79:$Z79)=0,0,MAX(0,IF((U$6-$E$3)&lt;1,0,IFERROR(LOOKUP(2,1/('Milho 1ª safra'!$E79:INDEX('Milho 1ª safra'!$E79:$Z79,MIN(U$6-$E$3,22))&lt;&gt;""),'Milho 1ª safra'!$E79:INDEX('Milho 1ª safra'!$E79:$Z79,MIN(U$6-$E$3,22))),0))-IF($G$2,0,IF((U$6-$G$3)&lt;1,0,IFERROR(LOOKUP(2,1/('Milho 1ª safra'!$E79:INDEX('Milho 1ª safra'!$E79:$Z79,MIN(U$6-$G$3,22))&lt;&gt;""),'Milho 1ª safra'!$E79:INDEX('Milho 1ª safra'!$E79:$Z79,MIN(U$6-$G$3,22))),0)))))</f>
        <v>0</v>
      </c>
      <c r="V81" s="27" t="n">
        <f aca="false">IF(COUNT('Milho 1ª safra'!$E79:$Z79)=0,0,MAX(0,IF((V$6-$E$3)&lt;1,0,IFERROR(LOOKUP(2,1/('Milho 1ª safra'!$E79:INDEX('Milho 1ª safra'!$E79:$Z79,MIN(V$6-$E$3,22))&lt;&gt;""),'Milho 1ª safra'!$E79:INDEX('Milho 1ª safra'!$E79:$Z79,MIN(V$6-$E$3,22))),0))-IF($G$2,0,IF((V$6-$G$3)&lt;1,0,IFERROR(LOOKUP(2,1/('Milho 1ª safra'!$E79:INDEX('Milho 1ª safra'!$E79:$Z79,MIN(V$6-$G$3,22))&lt;&gt;""),'Milho 1ª safra'!$E79:INDEX('Milho 1ª safra'!$E79:$Z79,MIN(V$6-$G$3,22))),0)))))</f>
        <v>0</v>
      </c>
      <c r="W81" s="27" t="n">
        <f aca="false">IF(COUNT('Milho 1ª safra'!$E79:$Z79)=0,0,MAX(0,IF((W$6-$E$3)&lt;1,0,IFERROR(LOOKUP(2,1/('Milho 1ª safra'!$E79:INDEX('Milho 1ª safra'!$E79:$Z79,MIN(W$6-$E$3,22))&lt;&gt;""),'Milho 1ª safra'!$E79:INDEX('Milho 1ª safra'!$E79:$Z79,MIN(W$6-$E$3,22))),0))-IF($G$2,0,IF((W$6-$G$3)&lt;1,0,IFERROR(LOOKUP(2,1/('Milho 1ª safra'!$E79:INDEX('Milho 1ª safra'!$E79:$Z79,MIN(W$6-$G$3,22))&lt;&gt;""),'Milho 1ª safra'!$E79:INDEX('Milho 1ª safra'!$E79:$Z79,MIN(W$6-$G$3,22))),0)))))</f>
        <v>0</v>
      </c>
      <c r="X81" s="27" t="n">
        <f aca="false">IF(COUNT('Milho 1ª safra'!$E79:$Z79)=0,0,MAX(0,IF((X$6-$E$3)&lt;1,0,IFERROR(LOOKUP(2,1/('Milho 1ª safra'!$E79:INDEX('Milho 1ª safra'!$E79:$Z79,MIN(X$6-$E$3,22))&lt;&gt;""),'Milho 1ª safra'!$E79:INDEX('Milho 1ª safra'!$E79:$Z79,MIN(X$6-$E$3,22))),0))-IF($G$2,0,IF((X$6-$G$3)&lt;1,0,IFERROR(LOOKUP(2,1/('Milho 1ª safra'!$E79:INDEX('Milho 1ª safra'!$E79:$Z79,MIN(X$6-$G$3,22))&lt;&gt;""),'Milho 1ª safra'!$E79:INDEX('Milho 1ª safra'!$E79:$Z79,MIN(X$6-$G$3,22))),0)))))</f>
        <v>0</v>
      </c>
      <c r="Y81" s="27" t="n">
        <f aca="false">IF(COUNT('Milho 1ª safra'!$E79:$Z79)=0,0,MAX(0,IF((Y$6-$E$3)&lt;1,0,IFERROR(LOOKUP(2,1/('Milho 1ª safra'!$E79:INDEX('Milho 1ª safra'!$E79:$Z79,MIN(Y$6-$E$3,22))&lt;&gt;""),'Milho 1ª safra'!$E79:INDEX('Milho 1ª safra'!$E79:$Z79,MIN(Y$6-$E$3,22))),0))-IF($G$2,0,IF((Y$6-$G$3)&lt;1,0,IFERROR(LOOKUP(2,1/('Milho 1ª safra'!$E79:INDEX('Milho 1ª safra'!$E79:$Z79,MIN(Y$6-$G$3,22))&lt;&gt;""),'Milho 1ª safra'!$E79:INDEX('Milho 1ª safra'!$E79:$Z79,MIN(Y$6-$G$3,22))),0)))))</f>
        <v>0</v>
      </c>
      <c r="Z81" s="27" t="n">
        <f aca="false">IF(COUNT('Milho 1ª safra'!$E79:$Z79)=0,0,MAX(0,IF((Z$6-$E$3)&lt;1,0,IFERROR(LOOKUP(2,1/('Milho 1ª safra'!$E79:INDEX('Milho 1ª safra'!$E79:$Z79,MIN(Z$6-$E$3,22))&lt;&gt;""),'Milho 1ª safra'!$E79:INDEX('Milho 1ª safra'!$E79:$Z79,MIN(Z$6-$E$3,22))),0))-IF($G$2,0,IF((Z$6-$G$3)&lt;1,0,IFERROR(LOOKUP(2,1/('Milho 1ª safra'!$E79:INDEX('Milho 1ª safra'!$E79:$Z79,MIN(Z$6-$G$3,22))&lt;&gt;""),'Milho 1ª safra'!$E79:INDEX('Milho 1ª safra'!$E79:$Z79,MIN(Z$6-$G$3,22))),0)))))</f>
        <v>0</v>
      </c>
      <c r="AA81" s="27" t="n">
        <f aca="false">IF(COUNT('Milho 1ª safra'!$E79:$Z79)=0,0,MAX(0,IF((AA$6-$E$3)&lt;1,0,IFERROR(LOOKUP(2,1/('Milho 1ª safra'!$E79:INDEX('Milho 1ª safra'!$E79:$Z79,MIN(AA$6-$E$3,22))&lt;&gt;""),'Milho 1ª safra'!$E79:INDEX('Milho 1ª safra'!$E79:$Z79,MIN(AA$6-$E$3,22))),0))-IF($G$2,0,IF((AA$6-$G$3)&lt;1,0,IFERROR(LOOKUP(2,1/('Milho 1ª safra'!$E79:INDEX('Milho 1ª safra'!$E79:$Z79,MIN(AA$6-$G$3,22))&lt;&gt;""),'Milho 1ª safra'!$E79:INDEX('Milho 1ª safra'!$E79:$Z79,MIN(AA$6-$G$3,22))),0)))))</f>
        <v>0</v>
      </c>
      <c r="AB81" s="27" t="n">
        <f aca="false">IF(COUNT('Milho 1ª safra'!$E79:$Z79)=0,0,MAX(0,IF((AB$6-$E$3)&lt;1,0,IFERROR(LOOKUP(2,1/('Milho 1ª safra'!$E79:INDEX('Milho 1ª safra'!$E79:$Z79,MIN(AB$6-$E$3,22))&lt;&gt;""),'Milho 1ª safra'!$E79:INDEX('Milho 1ª safra'!$E79:$Z79,MIN(AB$6-$E$3,22))),0))-IF($G$2,0,IF((AB$6-$G$3)&lt;1,0,IFERROR(LOOKUP(2,1/('Milho 1ª safra'!$E79:INDEX('Milho 1ª safra'!$E79:$Z79,MIN(AB$6-$G$3,22))&lt;&gt;""),'Milho 1ª safra'!$E79:INDEX('Milho 1ª safra'!$E79:$Z79,MIN(AB$6-$G$3,22))),0)))))</f>
        <v>0</v>
      </c>
      <c r="AC81" s="27" t="n">
        <f aca="false">IF(COUNT('Milho 1ª safra'!$E79:$Z79)=0,0,MAX(0,IF((AC$6-$E$3)&lt;1,0,IFERROR(LOOKUP(2,1/('Milho 1ª safra'!$E79:INDEX('Milho 1ª safra'!$E79:$Z79,MIN(AC$6-$E$3,22))&lt;&gt;""),'Milho 1ª safra'!$E79:INDEX('Milho 1ª safra'!$E79:$Z79,MIN(AC$6-$E$3,22))),0))-IF($G$2,0,IF((AC$6-$G$3)&lt;1,0,IFERROR(LOOKUP(2,1/('Milho 1ª safra'!$E79:INDEX('Milho 1ª safra'!$E79:$Z79,MIN(AC$6-$G$3,22))&lt;&gt;""),'Milho 1ª safra'!$E79:INDEX('Milho 1ª safra'!$E79:$Z79,MIN(AC$6-$G$3,22))),0)))))</f>
        <v>0</v>
      </c>
      <c r="AD81" s="27" t="n">
        <f aca="false">IF(COUNT('Milho 1ª safra'!$E79:$Z79)=0,0,MAX(0,IF((AD$6-$E$3)&lt;1,0,IFERROR(LOOKUP(2,1/('Milho 1ª safra'!$E79:INDEX('Milho 1ª safra'!$E79:$Z79,MIN(AD$6-$E$3,22))&lt;&gt;""),'Milho 1ª safra'!$E79:INDEX('Milho 1ª safra'!$E79:$Z79,MIN(AD$6-$E$3,22))),0))-IF($G$2,0,IF((AD$6-$G$3)&lt;1,0,IFERROR(LOOKUP(2,1/('Milho 1ª safra'!$E79:INDEX('Milho 1ª safra'!$E79:$Z79,MIN(AD$6-$G$3,22))&lt;&gt;""),'Milho 1ª safra'!$E79:INDEX('Milho 1ª safra'!$E79:$Z79,MIN(AD$6-$G$3,22))),0)))))</f>
        <v>0</v>
      </c>
      <c r="AE81" s="27" t="n">
        <f aca="false">IF(COUNT('Milho 1ª safra'!$E79:$Z79)=0,0,MAX(0,IF((AE$6-$E$3)&lt;1,0,IFERROR(LOOKUP(2,1/('Milho 1ª safra'!$E79:INDEX('Milho 1ª safra'!$E79:$Z79,MIN(AE$6-$E$3,22))&lt;&gt;""),'Milho 1ª safra'!$E79:INDEX('Milho 1ª safra'!$E79:$Z79,MIN(AE$6-$E$3,22))),0))-IF($G$2,0,IF((AE$6-$G$3)&lt;1,0,IFERROR(LOOKUP(2,1/('Milho 1ª safra'!$E79:INDEX('Milho 1ª safra'!$E79:$Z79,MIN(AE$6-$G$3,22))&lt;&gt;""),'Milho 1ª safra'!$E79:INDEX('Milho 1ª safra'!$E79:$Z79,MIN(AE$6-$G$3,22))),0)))))</f>
        <v>0</v>
      </c>
      <c r="AF81" s="27" t="n">
        <f aca="false">IF(COUNT('Milho 1ª safra'!$E79:$Z79)=0,0,MAX(0,IF((AF$6-$E$3)&lt;1,0,IFERROR(LOOKUP(2,1/('Milho 1ª safra'!$E79:INDEX('Milho 1ª safra'!$E79:$Z79,MIN(AF$6-$E$3,22))&lt;&gt;""),'Milho 1ª safra'!$E79:INDEX('Milho 1ª safra'!$E79:$Z79,MIN(AF$6-$E$3,22))),0))-IF($G$2,0,IF((AF$6-$G$3)&lt;1,0,IFERROR(LOOKUP(2,1/('Milho 1ª safra'!$E79:INDEX('Milho 1ª safra'!$E79:$Z79,MIN(AF$6-$G$3,22))&lt;&gt;""),'Milho 1ª safra'!$E79:INDEX('Milho 1ª safra'!$E79:$Z79,MIN(AF$6-$G$3,22))),0)))))</f>
        <v>0</v>
      </c>
      <c r="AG81" s="27" t="n">
        <f aca="false">IF(COUNT('Milho 1ª safra'!$E79:$Z79)=0,0,MAX(0,IF((AG$6-$E$3)&lt;1,0,IFERROR(LOOKUP(2,1/('Milho 1ª safra'!$E79:INDEX('Milho 1ª safra'!$E79:$Z79,MIN(AG$6-$E$3,22))&lt;&gt;""),'Milho 1ª safra'!$E79:INDEX('Milho 1ª safra'!$E79:$Z79,MIN(AG$6-$E$3,22))),0))-IF($G$2,0,IF((AG$6-$G$3)&lt;1,0,IFERROR(LOOKUP(2,1/('Milho 1ª safra'!$E79:INDEX('Milho 1ª safra'!$E79:$Z79,MIN(AG$6-$G$3,22))&lt;&gt;""),'Milho 1ª safra'!$E79:INDEX('Milho 1ª safra'!$E79:$Z79,MIN(AG$6-$G$3,22))),0)))))</f>
        <v>0</v>
      </c>
      <c r="AH81" s="27" t="n">
        <f aca="false">IF(COUNT('Milho 1ª safra'!$E79:$Z79)=0,0,MAX(0,IF((AH$6-$E$3)&lt;1,0,IFERROR(LOOKUP(2,1/('Milho 1ª safra'!$E79:INDEX('Milho 1ª safra'!$E79:$Z79,MIN(AH$6-$E$3,22))&lt;&gt;""),'Milho 1ª safra'!$E79:INDEX('Milho 1ª safra'!$E79:$Z79,MIN(AH$6-$E$3,22))),0))-IF($G$2,0,IF((AH$6-$G$3)&lt;1,0,IFERROR(LOOKUP(2,1/('Milho 1ª safra'!$E79:INDEX('Milho 1ª safra'!$E79:$Z79,MIN(AH$6-$G$3,22))&lt;&gt;""),'Milho 1ª safra'!$E79:INDEX('Milho 1ª safra'!$E79:$Z79,MIN(AH$6-$G$3,22))),0)))))</f>
        <v>0</v>
      </c>
      <c r="AI81" s="27" t="n">
        <f aca="false">IF(COUNT('Milho 1ª safra'!$E79:$Z79)=0,0,MAX(0,IF((AI$6-$E$3)&lt;1,0,IFERROR(LOOKUP(2,1/('Milho 1ª safra'!$E79:INDEX('Milho 1ª safra'!$E79:$Z79,MIN(AI$6-$E$3,22))&lt;&gt;""),'Milho 1ª safra'!$E79:INDEX('Milho 1ª safra'!$E79:$Z79,MIN(AI$6-$E$3,22))),0))-IF($G$2,0,IF((AI$6-$G$3)&lt;1,0,IFERROR(LOOKUP(2,1/('Milho 1ª safra'!$E79:INDEX('Milho 1ª safra'!$E79:$Z79,MIN(AI$6-$G$3,22))&lt;&gt;""),'Milho 1ª safra'!$E79:INDEX('Milho 1ª safra'!$E79:$Z79,MIN(AI$6-$G$3,22))),0)))))</f>
        <v>0</v>
      </c>
      <c r="AJ81" s="27" t="n">
        <f aca="false">IF(COUNT('Milho 1ª safra'!$E79:$Z79)=0,0,MAX(0,IF((AJ$6-$E$3)&lt;1,0,IFERROR(LOOKUP(2,1/('Milho 1ª safra'!$E79:INDEX('Milho 1ª safra'!$E79:$Z79,MIN(AJ$6-$E$3,22))&lt;&gt;""),'Milho 1ª safra'!$E79:INDEX('Milho 1ª safra'!$E79:$Z79,MIN(AJ$6-$E$3,22))),0))-IF($G$2,0,IF((AJ$6-$G$3)&lt;1,0,IFERROR(LOOKUP(2,1/('Milho 1ª safra'!$E79:INDEX('Milho 1ª safra'!$E79:$Z79,MIN(AJ$6-$G$3,22))&lt;&gt;""),'Milho 1ª safra'!$E79:INDEX('Milho 1ª safra'!$E79:$Z79,MIN(AJ$6-$G$3,22))),0)))))</f>
        <v>0</v>
      </c>
      <c r="AK81" s="27" t="n">
        <f aca="false">IF(COUNT('Milho 1ª safra'!$E79:$Z79)=0,0,MAX(0,IF((AK$6-$E$3)&lt;1,0,IFERROR(LOOKUP(2,1/('Milho 1ª safra'!$E79:INDEX('Milho 1ª safra'!$E79:$Z79,MIN(AK$6-$E$3,22))&lt;&gt;""),'Milho 1ª safra'!$E79:INDEX('Milho 1ª safra'!$E79:$Z79,MIN(AK$6-$E$3,22))),0))-IF($G$2,0,IF((AK$6-$G$3)&lt;1,0,IFERROR(LOOKUP(2,1/('Milho 1ª safra'!$E79:INDEX('Milho 1ª safra'!$E79:$Z79,MIN(AK$6-$G$3,22))&lt;&gt;""),'Milho 1ª safra'!$E79:INDEX('Milho 1ª safra'!$E79:$Z79,MIN(AK$6-$G$3,22))),0)))))</f>
        <v>0</v>
      </c>
      <c r="AL81" s="27" t="n">
        <f aca="false">IF(COUNT('Milho 1ª safra'!$E79:$Z79)=0,0,MAX(0,IF((AL$6-$E$3)&lt;1,0,IFERROR(LOOKUP(2,1/('Milho 1ª safra'!$E79:INDEX('Milho 1ª safra'!$E79:$Z79,MIN(AL$6-$E$3,22))&lt;&gt;""),'Milho 1ª safra'!$E79:INDEX('Milho 1ª safra'!$E79:$Z79,MIN(AL$6-$E$3,22))),0))-IF($G$2,0,IF((AL$6-$G$3)&lt;1,0,IFERROR(LOOKUP(2,1/('Milho 1ª safra'!$E79:INDEX('Milho 1ª safra'!$E79:$Z79,MIN(AL$6-$G$3,22))&lt;&gt;""),'Milho 1ª safra'!$E79:INDEX('Milho 1ª safra'!$E79:$Z79,MIN(AL$6-$G$3,22))),0)))))</f>
        <v>0</v>
      </c>
      <c r="AM81" s="27" t="n">
        <f aca="false">IF(COUNT('Milho 1ª safra'!$E79:$Z79)=0,0,MAX(0,IF((AM$6-$E$3)&lt;1,0,IFERROR(LOOKUP(2,1/('Milho 1ª safra'!$E79:INDEX('Milho 1ª safra'!$E79:$Z79,MIN(AM$6-$E$3,22))&lt;&gt;""),'Milho 1ª safra'!$E79:INDEX('Milho 1ª safra'!$E79:$Z79,MIN(AM$6-$E$3,22))),0))-IF($G$2,0,IF((AM$6-$G$3)&lt;1,0,IFERROR(LOOKUP(2,1/('Milho 1ª safra'!$E79:INDEX('Milho 1ª safra'!$E79:$Z79,MIN(AM$6-$G$3,22))&lt;&gt;""),'Milho 1ª safra'!$E79:INDEX('Milho 1ª safra'!$E79:$Z79,MIN(AM$6-$G$3,22))),0)))))</f>
        <v>0</v>
      </c>
      <c r="AN81" s="27" t="n">
        <f aca="false">IF(COUNT('Milho 1ª safra'!$E79:$Z79)=0,0,MAX(0,IF((AN$6-$E$3)&lt;1,0,IFERROR(LOOKUP(2,1/('Milho 1ª safra'!$E79:INDEX('Milho 1ª safra'!$E79:$Z79,MIN(AN$6-$E$3,22))&lt;&gt;""),'Milho 1ª safra'!$E79:INDEX('Milho 1ª safra'!$E79:$Z79,MIN(AN$6-$E$3,22))),0))-IF($G$2,0,IF((AN$6-$G$3)&lt;1,0,IFERROR(LOOKUP(2,1/('Milho 1ª safra'!$E79:INDEX('Milho 1ª safra'!$E79:$Z79,MIN(AN$6-$G$3,22))&lt;&gt;""),'Milho 1ª safra'!$E79:INDEX('Milho 1ª safra'!$E79:$Z79,MIN(AN$6-$G$3,22))),0)))))</f>
        <v>0</v>
      </c>
      <c r="AO81" s="27" t="n">
        <f aca="false">IF(COUNT('Milho 1ª safra'!$E79:$Z79)=0,0,MAX(0,IF((AO$6-$E$3)&lt;1,0,IFERROR(LOOKUP(2,1/('Milho 1ª safra'!$E79:INDEX('Milho 1ª safra'!$E79:$Z79,MIN(AO$6-$E$3,22))&lt;&gt;""),'Milho 1ª safra'!$E79:INDEX('Milho 1ª safra'!$E79:$Z79,MIN(AO$6-$E$3,22))),0))-IF($G$2,0,IF((AO$6-$G$3)&lt;1,0,IFERROR(LOOKUP(2,1/('Milho 1ª safra'!$E79:INDEX('Milho 1ª safra'!$E79:$Z79,MIN(AO$6-$G$3,22))&lt;&gt;""),'Milho 1ª safra'!$E79:INDEX('Milho 1ª safra'!$E79:$Z79,MIN(AO$6-$G$3,22))),0)))))</f>
        <v>0</v>
      </c>
      <c r="AP81" s="27" t="n">
        <f aca="false">IF(COUNT('Milho 1ª safra'!$E79:$Z79)=0,0,MAX(0,IF((AP$6-$E$3)&lt;1,0,IFERROR(LOOKUP(2,1/('Milho 1ª safra'!$E79:INDEX('Milho 1ª safra'!$E79:$Z79,MIN(AP$6-$E$3,22))&lt;&gt;""),'Milho 1ª safra'!$E79:INDEX('Milho 1ª safra'!$E79:$Z79,MIN(AP$6-$E$3,22))),0))-IF($G$2,0,IF((AP$6-$G$3)&lt;1,0,IFERROR(LOOKUP(2,1/('Milho 1ª safra'!$E79:INDEX('Milho 1ª safra'!$E79:$Z79,MIN(AP$6-$G$3,22))&lt;&gt;""),'Milho 1ª safra'!$E79:INDEX('Milho 1ª safra'!$E79:$Z79,MIN(AP$6-$G$3,22))),0)))))</f>
        <v>0</v>
      </c>
      <c r="AQ81" s="27" t="n">
        <f aca="false">IF(COUNT('Milho 1ª safra'!$E79:$Z79)=0,0,MAX(0,IF((AQ$6-$E$3)&lt;1,0,IFERROR(LOOKUP(2,1/('Milho 1ª safra'!$E79:INDEX('Milho 1ª safra'!$E79:$Z79,MIN(AQ$6-$E$3,22))&lt;&gt;""),'Milho 1ª safra'!$E79:INDEX('Milho 1ª safra'!$E79:$Z79,MIN(AQ$6-$E$3,22))),0))-IF($G$2,0,IF((AQ$6-$G$3)&lt;1,0,IFERROR(LOOKUP(2,1/('Milho 1ª safra'!$E79:INDEX('Milho 1ª safra'!$E79:$Z79,MIN(AQ$6-$G$3,22))&lt;&gt;""),'Milho 1ª safra'!$E79:INDEX('Milho 1ª safra'!$E79:$Z79,MIN(AQ$6-$G$3,22))),0)))))</f>
        <v>0</v>
      </c>
      <c r="AR81" s="27" t="n">
        <f aca="false">IF(COUNT('Milho 1ª safra'!$E79:$Z79)=0,0,MAX(0,IF((AR$6-$E$3)&lt;1,0,IFERROR(LOOKUP(2,1/('Milho 1ª safra'!$E79:INDEX('Milho 1ª safra'!$E79:$Z79,MIN(AR$6-$E$3,22))&lt;&gt;""),'Milho 1ª safra'!$E79:INDEX('Milho 1ª safra'!$E79:$Z79,MIN(AR$6-$E$3,22))),0))-IF($G$2,0,IF((AR$6-$G$3)&lt;1,0,IFERROR(LOOKUP(2,1/('Milho 1ª safra'!$E79:INDEX('Milho 1ª safra'!$E79:$Z79,MIN(AR$6-$G$3,22))&lt;&gt;""),'Milho 1ª safra'!$E79:INDEX('Milho 1ª safra'!$E79:$Z79,MIN(AR$6-$G$3,22))),0)))))</f>
        <v>0</v>
      </c>
      <c r="AS81" s="27" t="n">
        <f aca="false">IF(COUNT('Milho 1ª safra'!$E79:$Z79)=0,0,MAX(0,IF((AS$6-$E$3)&lt;1,0,IFERROR(LOOKUP(2,1/('Milho 1ª safra'!$E79:INDEX('Milho 1ª safra'!$E79:$Z79,MIN(AS$6-$E$3,22))&lt;&gt;""),'Milho 1ª safra'!$E79:INDEX('Milho 1ª safra'!$E79:$Z79,MIN(AS$6-$E$3,22))),0))-IF($G$2,0,IF((AS$6-$G$3)&lt;1,0,IFERROR(LOOKUP(2,1/('Milho 1ª safra'!$E79:INDEX('Milho 1ª safra'!$E79:$Z79,MIN(AS$6-$G$3,22))&lt;&gt;""),'Milho 1ª safra'!$E79:INDEX('Milho 1ª safra'!$E79:$Z79,MIN(AS$6-$G$3,22))),0)))))</f>
        <v>0</v>
      </c>
      <c r="AT81" s="27" t="n">
        <f aca="false">IF(COUNT('Milho 1ª safra'!$E79:$Z79)=0,0,MAX(0,IF((AT$6-$E$3)&lt;1,0,IFERROR(LOOKUP(2,1/('Milho 1ª safra'!$E79:INDEX('Milho 1ª safra'!$E79:$Z79,MIN(AT$6-$E$3,22))&lt;&gt;""),'Milho 1ª safra'!$E79:INDEX('Milho 1ª safra'!$E79:$Z79,MIN(AT$6-$E$3,22))),0))-IF($G$2,0,IF((AT$6-$G$3)&lt;1,0,IFERROR(LOOKUP(2,1/('Milho 1ª safra'!$E79:INDEX('Milho 1ª safra'!$E79:$Z79,MIN(AT$6-$G$3,22))&lt;&gt;""),'Milho 1ª safra'!$E79:INDEX('Milho 1ª safra'!$E79:$Z79,MIN(AT$6-$G$3,22))),0)))))</f>
        <v>0</v>
      </c>
      <c r="AU81" s="27" t="n">
        <f aca="false">IF(COUNT('Milho 1ª safra'!$E79:$Z79)=0,0,MAX(0,IF((AU$6-$E$3)&lt;1,0,IFERROR(LOOKUP(2,1/('Milho 1ª safra'!$E79:INDEX('Milho 1ª safra'!$E79:$Z79,MIN(AU$6-$E$3,22))&lt;&gt;""),'Milho 1ª safra'!$E79:INDEX('Milho 1ª safra'!$E79:$Z79,MIN(AU$6-$E$3,22))),0))-IF($G$2,0,IF((AU$6-$G$3)&lt;1,0,IFERROR(LOOKUP(2,1/('Milho 1ª safra'!$E79:INDEX('Milho 1ª safra'!$E79:$Z79,MIN(AU$6-$G$3,22))&lt;&gt;""),'Milho 1ª safra'!$E79:INDEX('Milho 1ª safra'!$E79:$Z79,MIN(AU$6-$G$3,22))),0)))))</f>
        <v>0</v>
      </c>
      <c r="AV81" s="27" t="n">
        <f aca="false">IF(COUNT('Milho 1ª safra'!$E79:$Z79)=0,0,MAX(0,IF((AV$6-$E$3)&lt;1,0,IFERROR(LOOKUP(2,1/('Milho 1ª safra'!$E79:INDEX('Milho 1ª safra'!$E79:$Z79,MIN(AV$6-$E$3,22))&lt;&gt;""),'Milho 1ª safra'!$E79:INDEX('Milho 1ª safra'!$E79:$Z79,MIN(AV$6-$E$3,22))),0))-IF($G$2,0,IF((AV$6-$G$3)&lt;1,0,IFERROR(LOOKUP(2,1/('Milho 1ª safra'!$E79:INDEX('Milho 1ª safra'!$E79:$Z79,MIN(AV$6-$G$3,22))&lt;&gt;""),'Milho 1ª safra'!$E79:INDEX('Milho 1ª safra'!$E79:$Z79,MIN(AV$6-$G$3,22))),0)))))</f>
        <v>0</v>
      </c>
      <c r="AW81" s="27" t="n">
        <f aca="false">IF(COUNT('Milho 1ª safra'!$E79:$Z79)=0,0,MAX(0,IF((AW$6-$E$3)&lt;1,0,IFERROR(LOOKUP(2,1/('Milho 1ª safra'!$E79:INDEX('Milho 1ª safra'!$E79:$Z79,MIN(AW$6-$E$3,22))&lt;&gt;""),'Milho 1ª safra'!$E79:INDEX('Milho 1ª safra'!$E79:$Z79,MIN(AW$6-$E$3,22))),0))-IF($G$2,0,IF((AW$6-$G$3)&lt;1,0,IFERROR(LOOKUP(2,1/('Milho 1ª safra'!$E79:INDEX('Milho 1ª safra'!$E79:$Z79,MIN(AW$6-$G$3,22))&lt;&gt;""),'Milho 1ª safra'!$E79:INDEX('Milho 1ª safra'!$E79:$Z79,MIN(AW$6-$G$3,22))),0)))))</f>
        <v>0</v>
      </c>
      <c r="AX81" s="27" t="n">
        <f aca="false">IF(COUNT('Milho 1ª safra'!$E79:$Z79)=0,0,MAX(0,IF((AX$6-$E$3)&lt;1,0,IFERROR(LOOKUP(2,1/('Milho 1ª safra'!$E79:INDEX('Milho 1ª safra'!$E79:$Z79,MIN(AX$6-$E$3,22))&lt;&gt;""),'Milho 1ª safra'!$E79:INDEX('Milho 1ª safra'!$E79:$Z79,MIN(AX$6-$E$3,22))),0))-IF($G$2,0,IF((AX$6-$G$3)&lt;1,0,IFERROR(LOOKUP(2,1/('Milho 1ª safra'!$E79:INDEX('Milho 1ª safra'!$E79:$Z79,MIN(AX$6-$G$3,22))&lt;&gt;""),'Milho 1ª safra'!$E79:INDEX('Milho 1ª safra'!$E79:$Z79,MIN(AX$6-$G$3,22))),0)))))</f>
        <v>0</v>
      </c>
      <c r="AY81" s="27" t="n">
        <f aca="false">IF(COUNT('Milho 1ª safra'!$E79:$Z79)=0,0,MAX(0,IF((AY$6-$E$3)&lt;1,0,IFERROR(LOOKUP(2,1/('Milho 1ª safra'!$E79:INDEX('Milho 1ª safra'!$E79:$Z79,MIN(AY$6-$E$3,22))&lt;&gt;""),'Milho 1ª safra'!$E79:INDEX('Milho 1ª safra'!$E79:$Z79,MIN(AY$6-$E$3,22))),0))-IF($G$2,0,IF((AY$6-$G$3)&lt;1,0,IFERROR(LOOKUP(2,1/('Milho 1ª safra'!$E79:INDEX('Milho 1ª safra'!$E79:$Z79,MIN(AY$6-$G$3,22))&lt;&gt;""),'Milho 1ª safra'!$E79:INDEX('Milho 1ª safra'!$E79:$Z79,MIN(AY$6-$G$3,22))),0)))))</f>
        <v>0</v>
      </c>
      <c r="AZ81" s="27" t="n">
        <f aca="false">IF(COUNT('Milho 1ª safra'!$E79:$Z79)=0,0,MAX(0,IF((AZ$6-$E$3)&lt;1,0,IFERROR(LOOKUP(2,1/('Milho 1ª safra'!$E79:INDEX('Milho 1ª safra'!$E79:$Z79,MIN(AZ$6-$E$3,22))&lt;&gt;""),'Milho 1ª safra'!$E79:INDEX('Milho 1ª safra'!$E79:$Z79,MIN(AZ$6-$E$3,22))),0))-IF($G$2,0,IF((AZ$6-$G$3)&lt;1,0,IFERROR(LOOKUP(2,1/('Milho 1ª safra'!$E79:INDEX('Milho 1ª safra'!$E79:$Z79,MIN(AZ$6-$G$3,22))&lt;&gt;""),'Milho 1ª safra'!$E79:INDEX('Milho 1ª safra'!$E79:$Z79,MIN(AZ$6-$G$3,22))),0)))))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IF(COUNT('Milho 1ª safra'!$E80:$Z80)&gt;0,N('Milho 1ª safra'!$D80),0)</f>
        <v>0</v>
      </c>
      <c r="E82" s="27" t="n">
        <f aca="false">IF(COUNT('Milho 1ª safra'!$E80:$Z80)=0,0,MAX(0,IF((E$6-$E$3)&lt;1,0,IFERROR(LOOKUP(2,1/('Milho 1ª safra'!$E80:INDEX('Milho 1ª safra'!$E80:$Z80,MIN(E$6-$E$3,22))&lt;&gt;""),'Milho 1ª safra'!$E80:INDEX('Milho 1ª safra'!$E80:$Z80,MIN(E$6-$E$3,22))),0))-IF($G$2,0,IF((E$6-$G$3)&lt;1,0,IFERROR(LOOKUP(2,1/('Milho 1ª safra'!$E80:INDEX('Milho 1ª safra'!$E80:$Z80,MIN(E$6-$G$3,22))&lt;&gt;""),'Milho 1ª safra'!$E80:INDEX('Milho 1ª safra'!$E80:$Z80,MIN(E$6-$G$3,22))),0)))))</f>
        <v>0</v>
      </c>
      <c r="F82" s="27" t="n">
        <f aca="false">IF(COUNT('Milho 1ª safra'!$E80:$Z80)=0,0,MAX(0,IF((F$6-$E$3)&lt;1,0,IFERROR(LOOKUP(2,1/('Milho 1ª safra'!$E80:INDEX('Milho 1ª safra'!$E80:$Z80,MIN(F$6-$E$3,22))&lt;&gt;""),'Milho 1ª safra'!$E80:INDEX('Milho 1ª safra'!$E80:$Z80,MIN(F$6-$E$3,22))),0))-IF($G$2,0,IF((F$6-$G$3)&lt;1,0,IFERROR(LOOKUP(2,1/('Milho 1ª safra'!$E80:INDEX('Milho 1ª safra'!$E80:$Z80,MIN(F$6-$G$3,22))&lt;&gt;""),'Milho 1ª safra'!$E80:INDEX('Milho 1ª safra'!$E80:$Z80,MIN(F$6-$G$3,22))),0)))))</f>
        <v>0</v>
      </c>
      <c r="G82" s="27" t="n">
        <f aca="false">IF(COUNT('Milho 1ª safra'!$E80:$Z80)=0,0,MAX(0,IF((G$6-$E$3)&lt;1,0,IFERROR(LOOKUP(2,1/('Milho 1ª safra'!$E80:INDEX('Milho 1ª safra'!$E80:$Z80,MIN(G$6-$E$3,22))&lt;&gt;""),'Milho 1ª safra'!$E80:INDEX('Milho 1ª safra'!$E80:$Z80,MIN(G$6-$E$3,22))),0))-IF($G$2,0,IF((G$6-$G$3)&lt;1,0,IFERROR(LOOKUP(2,1/('Milho 1ª safra'!$E80:INDEX('Milho 1ª safra'!$E80:$Z80,MIN(G$6-$G$3,22))&lt;&gt;""),'Milho 1ª safra'!$E80:INDEX('Milho 1ª safra'!$E80:$Z80,MIN(G$6-$G$3,22))),0)))))</f>
        <v>0</v>
      </c>
      <c r="H82" s="27" t="n">
        <f aca="false">IF(COUNT('Milho 1ª safra'!$E80:$Z80)=0,0,MAX(0,IF((H$6-$E$3)&lt;1,0,IFERROR(LOOKUP(2,1/('Milho 1ª safra'!$E80:INDEX('Milho 1ª safra'!$E80:$Z80,MIN(H$6-$E$3,22))&lt;&gt;""),'Milho 1ª safra'!$E80:INDEX('Milho 1ª safra'!$E80:$Z80,MIN(H$6-$E$3,22))),0))-IF($G$2,0,IF((H$6-$G$3)&lt;1,0,IFERROR(LOOKUP(2,1/('Milho 1ª safra'!$E80:INDEX('Milho 1ª safra'!$E80:$Z80,MIN(H$6-$G$3,22))&lt;&gt;""),'Milho 1ª safra'!$E80:INDEX('Milho 1ª safra'!$E80:$Z80,MIN(H$6-$G$3,22))),0)))))</f>
        <v>0</v>
      </c>
      <c r="I82" s="27" t="n">
        <f aca="false">IF(COUNT('Milho 1ª safra'!$E80:$Z80)=0,0,MAX(0,IF((I$6-$E$3)&lt;1,0,IFERROR(LOOKUP(2,1/('Milho 1ª safra'!$E80:INDEX('Milho 1ª safra'!$E80:$Z80,MIN(I$6-$E$3,22))&lt;&gt;""),'Milho 1ª safra'!$E80:INDEX('Milho 1ª safra'!$E80:$Z80,MIN(I$6-$E$3,22))),0))-IF($G$2,0,IF((I$6-$G$3)&lt;1,0,IFERROR(LOOKUP(2,1/('Milho 1ª safra'!$E80:INDEX('Milho 1ª safra'!$E80:$Z80,MIN(I$6-$G$3,22))&lt;&gt;""),'Milho 1ª safra'!$E80:INDEX('Milho 1ª safra'!$E80:$Z80,MIN(I$6-$G$3,22))),0)))))</f>
        <v>0</v>
      </c>
      <c r="J82" s="27" t="n">
        <f aca="false">IF(COUNT('Milho 1ª safra'!$E80:$Z80)=0,0,MAX(0,IF((J$6-$E$3)&lt;1,0,IFERROR(LOOKUP(2,1/('Milho 1ª safra'!$E80:INDEX('Milho 1ª safra'!$E80:$Z80,MIN(J$6-$E$3,22))&lt;&gt;""),'Milho 1ª safra'!$E80:INDEX('Milho 1ª safra'!$E80:$Z80,MIN(J$6-$E$3,22))),0))-IF($G$2,0,IF((J$6-$G$3)&lt;1,0,IFERROR(LOOKUP(2,1/('Milho 1ª safra'!$E80:INDEX('Milho 1ª safra'!$E80:$Z80,MIN(J$6-$G$3,22))&lt;&gt;""),'Milho 1ª safra'!$E80:INDEX('Milho 1ª safra'!$E80:$Z80,MIN(J$6-$G$3,22))),0)))))</f>
        <v>0</v>
      </c>
      <c r="K82" s="27" t="n">
        <f aca="false">IF(COUNT('Milho 1ª safra'!$E80:$Z80)=0,0,MAX(0,IF((K$6-$E$3)&lt;1,0,IFERROR(LOOKUP(2,1/('Milho 1ª safra'!$E80:INDEX('Milho 1ª safra'!$E80:$Z80,MIN(K$6-$E$3,22))&lt;&gt;""),'Milho 1ª safra'!$E80:INDEX('Milho 1ª safra'!$E80:$Z80,MIN(K$6-$E$3,22))),0))-IF($G$2,0,IF((K$6-$G$3)&lt;1,0,IFERROR(LOOKUP(2,1/('Milho 1ª safra'!$E80:INDEX('Milho 1ª safra'!$E80:$Z80,MIN(K$6-$G$3,22))&lt;&gt;""),'Milho 1ª safra'!$E80:INDEX('Milho 1ª safra'!$E80:$Z80,MIN(K$6-$G$3,22))),0)))))</f>
        <v>0</v>
      </c>
      <c r="L82" s="27" t="n">
        <f aca="false">IF(COUNT('Milho 1ª safra'!$E80:$Z80)=0,0,MAX(0,IF((L$6-$E$3)&lt;1,0,IFERROR(LOOKUP(2,1/('Milho 1ª safra'!$E80:INDEX('Milho 1ª safra'!$E80:$Z80,MIN(L$6-$E$3,22))&lt;&gt;""),'Milho 1ª safra'!$E80:INDEX('Milho 1ª safra'!$E80:$Z80,MIN(L$6-$E$3,22))),0))-IF($G$2,0,IF((L$6-$G$3)&lt;1,0,IFERROR(LOOKUP(2,1/('Milho 1ª safra'!$E80:INDEX('Milho 1ª safra'!$E80:$Z80,MIN(L$6-$G$3,22))&lt;&gt;""),'Milho 1ª safra'!$E80:INDEX('Milho 1ª safra'!$E80:$Z80,MIN(L$6-$G$3,22))),0)))))</f>
        <v>0</v>
      </c>
      <c r="M82" s="27" t="n">
        <f aca="false">IF(COUNT('Milho 1ª safra'!$E80:$Z80)=0,0,MAX(0,IF((M$6-$E$3)&lt;1,0,IFERROR(LOOKUP(2,1/('Milho 1ª safra'!$E80:INDEX('Milho 1ª safra'!$E80:$Z80,MIN(M$6-$E$3,22))&lt;&gt;""),'Milho 1ª safra'!$E80:INDEX('Milho 1ª safra'!$E80:$Z80,MIN(M$6-$E$3,22))),0))-IF($G$2,0,IF((M$6-$G$3)&lt;1,0,IFERROR(LOOKUP(2,1/('Milho 1ª safra'!$E80:INDEX('Milho 1ª safra'!$E80:$Z80,MIN(M$6-$G$3,22))&lt;&gt;""),'Milho 1ª safra'!$E80:INDEX('Milho 1ª safra'!$E80:$Z80,MIN(M$6-$G$3,22))),0)))))</f>
        <v>0</v>
      </c>
      <c r="N82" s="27" t="n">
        <f aca="false">IF(COUNT('Milho 1ª safra'!$E80:$Z80)=0,0,MAX(0,IF((N$6-$E$3)&lt;1,0,IFERROR(LOOKUP(2,1/('Milho 1ª safra'!$E80:INDEX('Milho 1ª safra'!$E80:$Z80,MIN(N$6-$E$3,22))&lt;&gt;""),'Milho 1ª safra'!$E80:INDEX('Milho 1ª safra'!$E80:$Z80,MIN(N$6-$E$3,22))),0))-IF($G$2,0,IF((N$6-$G$3)&lt;1,0,IFERROR(LOOKUP(2,1/('Milho 1ª safra'!$E80:INDEX('Milho 1ª safra'!$E80:$Z80,MIN(N$6-$G$3,22))&lt;&gt;""),'Milho 1ª safra'!$E80:INDEX('Milho 1ª safra'!$E80:$Z80,MIN(N$6-$G$3,22))),0)))))</f>
        <v>0</v>
      </c>
      <c r="O82" s="27" t="n">
        <f aca="false">IF(COUNT('Milho 1ª safra'!$E80:$Z80)=0,0,MAX(0,IF((O$6-$E$3)&lt;1,0,IFERROR(LOOKUP(2,1/('Milho 1ª safra'!$E80:INDEX('Milho 1ª safra'!$E80:$Z80,MIN(O$6-$E$3,22))&lt;&gt;""),'Milho 1ª safra'!$E80:INDEX('Milho 1ª safra'!$E80:$Z80,MIN(O$6-$E$3,22))),0))-IF($G$2,0,IF((O$6-$G$3)&lt;1,0,IFERROR(LOOKUP(2,1/('Milho 1ª safra'!$E80:INDEX('Milho 1ª safra'!$E80:$Z80,MIN(O$6-$G$3,22))&lt;&gt;""),'Milho 1ª safra'!$E80:INDEX('Milho 1ª safra'!$E80:$Z80,MIN(O$6-$G$3,22))),0)))))</f>
        <v>0</v>
      </c>
      <c r="P82" s="27" t="n">
        <f aca="false">IF(COUNT('Milho 1ª safra'!$E80:$Z80)=0,0,MAX(0,IF((P$6-$E$3)&lt;1,0,IFERROR(LOOKUP(2,1/('Milho 1ª safra'!$E80:INDEX('Milho 1ª safra'!$E80:$Z80,MIN(P$6-$E$3,22))&lt;&gt;""),'Milho 1ª safra'!$E80:INDEX('Milho 1ª safra'!$E80:$Z80,MIN(P$6-$E$3,22))),0))-IF($G$2,0,IF((P$6-$G$3)&lt;1,0,IFERROR(LOOKUP(2,1/('Milho 1ª safra'!$E80:INDEX('Milho 1ª safra'!$E80:$Z80,MIN(P$6-$G$3,22))&lt;&gt;""),'Milho 1ª safra'!$E80:INDEX('Milho 1ª safra'!$E80:$Z80,MIN(P$6-$G$3,22))),0)))))</f>
        <v>0</v>
      </c>
      <c r="Q82" s="27" t="n">
        <f aca="false">IF(COUNT('Milho 1ª safra'!$E80:$Z80)=0,0,MAX(0,IF((Q$6-$E$3)&lt;1,0,IFERROR(LOOKUP(2,1/('Milho 1ª safra'!$E80:INDEX('Milho 1ª safra'!$E80:$Z80,MIN(Q$6-$E$3,22))&lt;&gt;""),'Milho 1ª safra'!$E80:INDEX('Milho 1ª safra'!$E80:$Z80,MIN(Q$6-$E$3,22))),0))-IF($G$2,0,IF((Q$6-$G$3)&lt;1,0,IFERROR(LOOKUP(2,1/('Milho 1ª safra'!$E80:INDEX('Milho 1ª safra'!$E80:$Z80,MIN(Q$6-$G$3,22))&lt;&gt;""),'Milho 1ª safra'!$E80:INDEX('Milho 1ª safra'!$E80:$Z80,MIN(Q$6-$G$3,22))),0)))))</f>
        <v>0</v>
      </c>
      <c r="R82" s="27" t="n">
        <f aca="false">IF(COUNT('Milho 1ª safra'!$E80:$Z80)=0,0,MAX(0,IF((R$6-$E$3)&lt;1,0,IFERROR(LOOKUP(2,1/('Milho 1ª safra'!$E80:INDEX('Milho 1ª safra'!$E80:$Z80,MIN(R$6-$E$3,22))&lt;&gt;""),'Milho 1ª safra'!$E80:INDEX('Milho 1ª safra'!$E80:$Z80,MIN(R$6-$E$3,22))),0))-IF($G$2,0,IF((R$6-$G$3)&lt;1,0,IFERROR(LOOKUP(2,1/('Milho 1ª safra'!$E80:INDEX('Milho 1ª safra'!$E80:$Z80,MIN(R$6-$G$3,22))&lt;&gt;""),'Milho 1ª safra'!$E80:INDEX('Milho 1ª safra'!$E80:$Z80,MIN(R$6-$G$3,22))),0)))))</f>
        <v>0</v>
      </c>
      <c r="S82" s="27" t="n">
        <f aca="false">IF(COUNT('Milho 1ª safra'!$E80:$Z80)=0,0,MAX(0,IF((S$6-$E$3)&lt;1,0,IFERROR(LOOKUP(2,1/('Milho 1ª safra'!$E80:INDEX('Milho 1ª safra'!$E80:$Z80,MIN(S$6-$E$3,22))&lt;&gt;""),'Milho 1ª safra'!$E80:INDEX('Milho 1ª safra'!$E80:$Z80,MIN(S$6-$E$3,22))),0))-IF($G$2,0,IF((S$6-$G$3)&lt;1,0,IFERROR(LOOKUP(2,1/('Milho 1ª safra'!$E80:INDEX('Milho 1ª safra'!$E80:$Z80,MIN(S$6-$G$3,22))&lt;&gt;""),'Milho 1ª safra'!$E80:INDEX('Milho 1ª safra'!$E80:$Z80,MIN(S$6-$G$3,22))),0)))))</f>
        <v>0</v>
      </c>
      <c r="T82" s="27" t="n">
        <f aca="false">IF(COUNT('Milho 1ª safra'!$E80:$Z80)=0,0,MAX(0,IF((T$6-$E$3)&lt;1,0,IFERROR(LOOKUP(2,1/('Milho 1ª safra'!$E80:INDEX('Milho 1ª safra'!$E80:$Z80,MIN(T$6-$E$3,22))&lt;&gt;""),'Milho 1ª safra'!$E80:INDEX('Milho 1ª safra'!$E80:$Z80,MIN(T$6-$E$3,22))),0))-IF($G$2,0,IF((T$6-$G$3)&lt;1,0,IFERROR(LOOKUP(2,1/('Milho 1ª safra'!$E80:INDEX('Milho 1ª safra'!$E80:$Z80,MIN(T$6-$G$3,22))&lt;&gt;""),'Milho 1ª safra'!$E80:INDEX('Milho 1ª safra'!$E80:$Z80,MIN(T$6-$G$3,22))),0)))))</f>
        <v>0</v>
      </c>
      <c r="U82" s="27" t="n">
        <f aca="false">IF(COUNT('Milho 1ª safra'!$E80:$Z80)=0,0,MAX(0,IF((U$6-$E$3)&lt;1,0,IFERROR(LOOKUP(2,1/('Milho 1ª safra'!$E80:INDEX('Milho 1ª safra'!$E80:$Z80,MIN(U$6-$E$3,22))&lt;&gt;""),'Milho 1ª safra'!$E80:INDEX('Milho 1ª safra'!$E80:$Z80,MIN(U$6-$E$3,22))),0))-IF($G$2,0,IF((U$6-$G$3)&lt;1,0,IFERROR(LOOKUP(2,1/('Milho 1ª safra'!$E80:INDEX('Milho 1ª safra'!$E80:$Z80,MIN(U$6-$G$3,22))&lt;&gt;""),'Milho 1ª safra'!$E80:INDEX('Milho 1ª safra'!$E80:$Z80,MIN(U$6-$G$3,22))),0)))))</f>
        <v>0</v>
      </c>
      <c r="V82" s="27" t="n">
        <f aca="false">IF(COUNT('Milho 1ª safra'!$E80:$Z80)=0,0,MAX(0,IF((V$6-$E$3)&lt;1,0,IFERROR(LOOKUP(2,1/('Milho 1ª safra'!$E80:INDEX('Milho 1ª safra'!$E80:$Z80,MIN(V$6-$E$3,22))&lt;&gt;""),'Milho 1ª safra'!$E80:INDEX('Milho 1ª safra'!$E80:$Z80,MIN(V$6-$E$3,22))),0))-IF($G$2,0,IF((V$6-$G$3)&lt;1,0,IFERROR(LOOKUP(2,1/('Milho 1ª safra'!$E80:INDEX('Milho 1ª safra'!$E80:$Z80,MIN(V$6-$G$3,22))&lt;&gt;""),'Milho 1ª safra'!$E80:INDEX('Milho 1ª safra'!$E80:$Z80,MIN(V$6-$G$3,22))),0)))))</f>
        <v>0</v>
      </c>
      <c r="W82" s="27" t="n">
        <f aca="false">IF(COUNT('Milho 1ª safra'!$E80:$Z80)=0,0,MAX(0,IF((W$6-$E$3)&lt;1,0,IFERROR(LOOKUP(2,1/('Milho 1ª safra'!$E80:INDEX('Milho 1ª safra'!$E80:$Z80,MIN(W$6-$E$3,22))&lt;&gt;""),'Milho 1ª safra'!$E80:INDEX('Milho 1ª safra'!$E80:$Z80,MIN(W$6-$E$3,22))),0))-IF($G$2,0,IF((W$6-$G$3)&lt;1,0,IFERROR(LOOKUP(2,1/('Milho 1ª safra'!$E80:INDEX('Milho 1ª safra'!$E80:$Z80,MIN(W$6-$G$3,22))&lt;&gt;""),'Milho 1ª safra'!$E80:INDEX('Milho 1ª safra'!$E80:$Z80,MIN(W$6-$G$3,22))),0)))))</f>
        <v>0</v>
      </c>
      <c r="X82" s="27" t="n">
        <f aca="false">IF(COUNT('Milho 1ª safra'!$E80:$Z80)=0,0,MAX(0,IF((X$6-$E$3)&lt;1,0,IFERROR(LOOKUP(2,1/('Milho 1ª safra'!$E80:INDEX('Milho 1ª safra'!$E80:$Z80,MIN(X$6-$E$3,22))&lt;&gt;""),'Milho 1ª safra'!$E80:INDEX('Milho 1ª safra'!$E80:$Z80,MIN(X$6-$E$3,22))),0))-IF($G$2,0,IF((X$6-$G$3)&lt;1,0,IFERROR(LOOKUP(2,1/('Milho 1ª safra'!$E80:INDEX('Milho 1ª safra'!$E80:$Z80,MIN(X$6-$G$3,22))&lt;&gt;""),'Milho 1ª safra'!$E80:INDEX('Milho 1ª safra'!$E80:$Z80,MIN(X$6-$G$3,22))),0)))))</f>
        <v>0</v>
      </c>
      <c r="Y82" s="27" t="n">
        <f aca="false">IF(COUNT('Milho 1ª safra'!$E80:$Z80)=0,0,MAX(0,IF((Y$6-$E$3)&lt;1,0,IFERROR(LOOKUP(2,1/('Milho 1ª safra'!$E80:INDEX('Milho 1ª safra'!$E80:$Z80,MIN(Y$6-$E$3,22))&lt;&gt;""),'Milho 1ª safra'!$E80:INDEX('Milho 1ª safra'!$E80:$Z80,MIN(Y$6-$E$3,22))),0))-IF($G$2,0,IF((Y$6-$G$3)&lt;1,0,IFERROR(LOOKUP(2,1/('Milho 1ª safra'!$E80:INDEX('Milho 1ª safra'!$E80:$Z80,MIN(Y$6-$G$3,22))&lt;&gt;""),'Milho 1ª safra'!$E80:INDEX('Milho 1ª safra'!$E80:$Z80,MIN(Y$6-$G$3,22))),0)))))</f>
        <v>0</v>
      </c>
      <c r="Z82" s="27" t="n">
        <f aca="false">IF(COUNT('Milho 1ª safra'!$E80:$Z80)=0,0,MAX(0,IF((Z$6-$E$3)&lt;1,0,IFERROR(LOOKUP(2,1/('Milho 1ª safra'!$E80:INDEX('Milho 1ª safra'!$E80:$Z80,MIN(Z$6-$E$3,22))&lt;&gt;""),'Milho 1ª safra'!$E80:INDEX('Milho 1ª safra'!$E80:$Z80,MIN(Z$6-$E$3,22))),0))-IF($G$2,0,IF((Z$6-$G$3)&lt;1,0,IFERROR(LOOKUP(2,1/('Milho 1ª safra'!$E80:INDEX('Milho 1ª safra'!$E80:$Z80,MIN(Z$6-$G$3,22))&lt;&gt;""),'Milho 1ª safra'!$E80:INDEX('Milho 1ª safra'!$E80:$Z80,MIN(Z$6-$G$3,22))),0)))))</f>
        <v>0</v>
      </c>
      <c r="AA82" s="27" t="n">
        <f aca="false">IF(COUNT('Milho 1ª safra'!$E80:$Z80)=0,0,MAX(0,IF((AA$6-$E$3)&lt;1,0,IFERROR(LOOKUP(2,1/('Milho 1ª safra'!$E80:INDEX('Milho 1ª safra'!$E80:$Z80,MIN(AA$6-$E$3,22))&lt;&gt;""),'Milho 1ª safra'!$E80:INDEX('Milho 1ª safra'!$E80:$Z80,MIN(AA$6-$E$3,22))),0))-IF($G$2,0,IF((AA$6-$G$3)&lt;1,0,IFERROR(LOOKUP(2,1/('Milho 1ª safra'!$E80:INDEX('Milho 1ª safra'!$E80:$Z80,MIN(AA$6-$G$3,22))&lt;&gt;""),'Milho 1ª safra'!$E80:INDEX('Milho 1ª safra'!$E80:$Z80,MIN(AA$6-$G$3,22))),0)))))</f>
        <v>0</v>
      </c>
      <c r="AB82" s="27" t="n">
        <f aca="false">IF(COUNT('Milho 1ª safra'!$E80:$Z80)=0,0,MAX(0,IF((AB$6-$E$3)&lt;1,0,IFERROR(LOOKUP(2,1/('Milho 1ª safra'!$E80:INDEX('Milho 1ª safra'!$E80:$Z80,MIN(AB$6-$E$3,22))&lt;&gt;""),'Milho 1ª safra'!$E80:INDEX('Milho 1ª safra'!$E80:$Z80,MIN(AB$6-$E$3,22))),0))-IF($G$2,0,IF((AB$6-$G$3)&lt;1,0,IFERROR(LOOKUP(2,1/('Milho 1ª safra'!$E80:INDEX('Milho 1ª safra'!$E80:$Z80,MIN(AB$6-$G$3,22))&lt;&gt;""),'Milho 1ª safra'!$E80:INDEX('Milho 1ª safra'!$E80:$Z80,MIN(AB$6-$G$3,22))),0)))))</f>
        <v>0</v>
      </c>
      <c r="AC82" s="27" t="n">
        <f aca="false">IF(COUNT('Milho 1ª safra'!$E80:$Z80)=0,0,MAX(0,IF((AC$6-$E$3)&lt;1,0,IFERROR(LOOKUP(2,1/('Milho 1ª safra'!$E80:INDEX('Milho 1ª safra'!$E80:$Z80,MIN(AC$6-$E$3,22))&lt;&gt;""),'Milho 1ª safra'!$E80:INDEX('Milho 1ª safra'!$E80:$Z80,MIN(AC$6-$E$3,22))),0))-IF($G$2,0,IF((AC$6-$G$3)&lt;1,0,IFERROR(LOOKUP(2,1/('Milho 1ª safra'!$E80:INDEX('Milho 1ª safra'!$E80:$Z80,MIN(AC$6-$G$3,22))&lt;&gt;""),'Milho 1ª safra'!$E80:INDEX('Milho 1ª safra'!$E80:$Z80,MIN(AC$6-$G$3,22))),0)))))</f>
        <v>0</v>
      </c>
      <c r="AD82" s="27" t="n">
        <f aca="false">IF(COUNT('Milho 1ª safra'!$E80:$Z80)=0,0,MAX(0,IF((AD$6-$E$3)&lt;1,0,IFERROR(LOOKUP(2,1/('Milho 1ª safra'!$E80:INDEX('Milho 1ª safra'!$E80:$Z80,MIN(AD$6-$E$3,22))&lt;&gt;""),'Milho 1ª safra'!$E80:INDEX('Milho 1ª safra'!$E80:$Z80,MIN(AD$6-$E$3,22))),0))-IF($G$2,0,IF((AD$6-$G$3)&lt;1,0,IFERROR(LOOKUP(2,1/('Milho 1ª safra'!$E80:INDEX('Milho 1ª safra'!$E80:$Z80,MIN(AD$6-$G$3,22))&lt;&gt;""),'Milho 1ª safra'!$E80:INDEX('Milho 1ª safra'!$E80:$Z80,MIN(AD$6-$G$3,22))),0)))))</f>
        <v>0</v>
      </c>
      <c r="AE82" s="27" t="n">
        <f aca="false">IF(COUNT('Milho 1ª safra'!$E80:$Z80)=0,0,MAX(0,IF((AE$6-$E$3)&lt;1,0,IFERROR(LOOKUP(2,1/('Milho 1ª safra'!$E80:INDEX('Milho 1ª safra'!$E80:$Z80,MIN(AE$6-$E$3,22))&lt;&gt;""),'Milho 1ª safra'!$E80:INDEX('Milho 1ª safra'!$E80:$Z80,MIN(AE$6-$E$3,22))),0))-IF($G$2,0,IF((AE$6-$G$3)&lt;1,0,IFERROR(LOOKUP(2,1/('Milho 1ª safra'!$E80:INDEX('Milho 1ª safra'!$E80:$Z80,MIN(AE$6-$G$3,22))&lt;&gt;""),'Milho 1ª safra'!$E80:INDEX('Milho 1ª safra'!$E80:$Z80,MIN(AE$6-$G$3,22))),0)))))</f>
        <v>0</v>
      </c>
      <c r="AF82" s="27" t="n">
        <f aca="false">IF(COUNT('Milho 1ª safra'!$E80:$Z80)=0,0,MAX(0,IF((AF$6-$E$3)&lt;1,0,IFERROR(LOOKUP(2,1/('Milho 1ª safra'!$E80:INDEX('Milho 1ª safra'!$E80:$Z80,MIN(AF$6-$E$3,22))&lt;&gt;""),'Milho 1ª safra'!$E80:INDEX('Milho 1ª safra'!$E80:$Z80,MIN(AF$6-$E$3,22))),0))-IF($G$2,0,IF((AF$6-$G$3)&lt;1,0,IFERROR(LOOKUP(2,1/('Milho 1ª safra'!$E80:INDEX('Milho 1ª safra'!$E80:$Z80,MIN(AF$6-$G$3,22))&lt;&gt;""),'Milho 1ª safra'!$E80:INDEX('Milho 1ª safra'!$E80:$Z80,MIN(AF$6-$G$3,22))),0)))))</f>
        <v>0</v>
      </c>
      <c r="AG82" s="27" t="n">
        <f aca="false">IF(COUNT('Milho 1ª safra'!$E80:$Z80)=0,0,MAX(0,IF((AG$6-$E$3)&lt;1,0,IFERROR(LOOKUP(2,1/('Milho 1ª safra'!$E80:INDEX('Milho 1ª safra'!$E80:$Z80,MIN(AG$6-$E$3,22))&lt;&gt;""),'Milho 1ª safra'!$E80:INDEX('Milho 1ª safra'!$E80:$Z80,MIN(AG$6-$E$3,22))),0))-IF($G$2,0,IF((AG$6-$G$3)&lt;1,0,IFERROR(LOOKUP(2,1/('Milho 1ª safra'!$E80:INDEX('Milho 1ª safra'!$E80:$Z80,MIN(AG$6-$G$3,22))&lt;&gt;""),'Milho 1ª safra'!$E80:INDEX('Milho 1ª safra'!$E80:$Z80,MIN(AG$6-$G$3,22))),0)))))</f>
        <v>0</v>
      </c>
      <c r="AH82" s="27" t="n">
        <f aca="false">IF(COUNT('Milho 1ª safra'!$E80:$Z80)=0,0,MAX(0,IF((AH$6-$E$3)&lt;1,0,IFERROR(LOOKUP(2,1/('Milho 1ª safra'!$E80:INDEX('Milho 1ª safra'!$E80:$Z80,MIN(AH$6-$E$3,22))&lt;&gt;""),'Milho 1ª safra'!$E80:INDEX('Milho 1ª safra'!$E80:$Z80,MIN(AH$6-$E$3,22))),0))-IF($G$2,0,IF((AH$6-$G$3)&lt;1,0,IFERROR(LOOKUP(2,1/('Milho 1ª safra'!$E80:INDEX('Milho 1ª safra'!$E80:$Z80,MIN(AH$6-$G$3,22))&lt;&gt;""),'Milho 1ª safra'!$E80:INDEX('Milho 1ª safra'!$E80:$Z80,MIN(AH$6-$G$3,22))),0)))))</f>
        <v>0</v>
      </c>
      <c r="AI82" s="27" t="n">
        <f aca="false">IF(COUNT('Milho 1ª safra'!$E80:$Z80)=0,0,MAX(0,IF((AI$6-$E$3)&lt;1,0,IFERROR(LOOKUP(2,1/('Milho 1ª safra'!$E80:INDEX('Milho 1ª safra'!$E80:$Z80,MIN(AI$6-$E$3,22))&lt;&gt;""),'Milho 1ª safra'!$E80:INDEX('Milho 1ª safra'!$E80:$Z80,MIN(AI$6-$E$3,22))),0))-IF($G$2,0,IF((AI$6-$G$3)&lt;1,0,IFERROR(LOOKUP(2,1/('Milho 1ª safra'!$E80:INDEX('Milho 1ª safra'!$E80:$Z80,MIN(AI$6-$G$3,22))&lt;&gt;""),'Milho 1ª safra'!$E80:INDEX('Milho 1ª safra'!$E80:$Z80,MIN(AI$6-$G$3,22))),0)))))</f>
        <v>0</v>
      </c>
      <c r="AJ82" s="27" t="n">
        <f aca="false">IF(COUNT('Milho 1ª safra'!$E80:$Z80)=0,0,MAX(0,IF((AJ$6-$E$3)&lt;1,0,IFERROR(LOOKUP(2,1/('Milho 1ª safra'!$E80:INDEX('Milho 1ª safra'!$E80:$Z80,MIN(AJ$6-$E$3,22))&lt;&gt;""),'Milho 1ª safra'!$E80:INDEX('Milho 1ª safra'!$E80:$Z80,MIN(AJ$6-$E$3,22))),0))-IF($G$2,0,IF((AJ$6-$G$3)&lt;1,0,IFERROR(LOOKUP(2,1/('Milho 1ª safra'!$E80:INDEX('Milho 1ª safra'!$E80:$Z80,MIN(AJ$6-$G$3,22))&lt;&gt;""),'Milho 1ª safra'!$E80:INDEX('Milho 1ª safra'!$E80:$Z80,MIN(AJ$6-$G$3,22))),0)))))</f>
        <v>0</v>
      </c>
      <c r="AK82" s="27" t="n">
        <f aca="false">IF(COUNT('Milho 1ª safra'!$E80:$Z80)=0,0,MAX(0,IF((AK$6-$E$3)&lt;1,0,IFERROR(LOOKUP(2,1/('Milho 1ª safra'!$E80:INDEX('Milho 1ª safra'!$E80:$Z80,MIN(AK$6-$E$3,22))&lt;&gt;""),'Milho 1ª safra'!$E80:INDEX('Milho 1ª safra'!$E80:$Z80,MIN(AK$6-$E$3,22))),0))-IF($G$2,0,IF((AK$6-$G$3)&lt;1,0,IFERROR(LOOKUP(2,1/('Milho 1ª safra'!$E80:INDEX('Milho 1ª safra'!$E80:$Z80,MIN(AK$6-$G$3,22))&lt;&gt;""),'Milho 1ª safra'!$E80:INDEX('Milho 1ª safra'!$E80:$Z80,MIN(AK$6-$G$3,22))),0)))))</f>
        <v>0</v>
      </c>
      <c r="AL82" s="27" t="n">
        <f aca="false">IF(COUNT('Milho 1ª safra'!$E80:$Z80)=0,0,MAX(0,IF((AL$6-$E$3)&lt;1,0,IFERROR(LOOKUP(2,1/('Milho 1ª safra'!$E80:INDEX('Milho 1ª safra'!$E80:$Z80,MIN(AL$6-$E$3,22))&lt;&gt;""),'Milho 1ª safra'!$E80:INDEX('Milho 1ª safra'!$E80:$Z80,MIN(AL$6-$E$3,22))),0))-IF($G$2,0,IF((AL$6-$G$3)&lt;1,0,IFERROR(LOOKUP(2,1/('Milho 1ª safra'!$E80:INDEX('Milho 1ª safra'!$E80:$Z80,MIN(AL$6-$G$3,22))&lt;&gt;""),'Milho 1ª safra'!$E80:INDEX('Milho 1ª safra'!$E80:$Z80,MIN(AL$6-$G$3,22))),0)))))</f>
        <v>0</v>
      </c>
      <c r="AM82" s="27" t="n">
        <f aca="false">IF(COUNT('Milho 1ª safra'!$E80:$Z80)=0,0,MAX(0,IF((AM$6-$E$3)&lt;1,0,IFERROR(LOOKUP(2,1/('Milho 1ª safra'!$E80:INDEX('Milho 1ª safra'!$E80:$Z80,MIN(AM$6-$E$3,22))&lt;&gt;""),'Milho 1ª safra'!$E80:INDEX('Milho 1ª safra'!$E80:$Z80,MIN(AM$6-$E$3,22))),0))-IF($G$2,0,IF((AM$6-$G$3)&lt;1,0,IFERROR(LOOKUP(2,1/('Milho 1ª safra'!$E80:INDEX('Milho 1ª safra'!$E80:$Z80,MIN(AM$6-$G$3,22))&lt;&gt;""),'Milho 1ª safra'!$E80:INDEX('Milho 1ª safra'!$E80:$Z80,MIN(AM$6-$G$3,22))),0)))))</f>
        <v>0</v>
      </c>
      <c r="AN82" s="27" t="n">
        <f aca="false">IF(COUNT('Milho 1ª safra'!$E80:$Z80)=0,0,MAX(0,IF((AN$6-$E$3)&lt;1,0,IFERROR(LOOKUP(2,1/('Milho 1ª safra'!$E80:INDEX('Milho 1ª safra'!$E80:$Z80,MIN(AN$6-$E$3,22))&lt;&gt;""),'Milho 1ª safra'!$E80:INDEX('Milho 1ª safra'!$E80:$Z80,MIN(AN$6-$E$3,22))),0))-IF($G$2,0,IF((AN$6-$G$3)&lt;1,0,IFERROR(LOOKUP(2,1/('Milho 1ª safra'!$E80:INDEX('Milho 1ª safra'!$E80:$Z80,MIN(AN$6-$G$3,22))&lt;&gt;""),'Milho 1ª safra'!$E80:INDEX('Milho 1ª safra'!$E80:$Z80,MIN(AN$6-$G$3,22))),0)))))</f>
        <v>0</v>
      </c>
      <c r="AO82" s="27" t="n">
        <f aca="false">IF(COUNT('Milho 1ª safra'!$E80:$Z80)=0,0,MAX(0,IF((AO$6-$E$3)&lt;1,0,IFERROR(LOOKUP(2,1/('Milho 1ª safra'!$E80:INDEX('Milho 1ª safra'!$E80:$Z80,MIN(AO$6-$E$3,22))&lt;&gt;""),'Milho 1ª safra'!$E80:INDEX('Milho 1ª safra'!$E80:$Z80,MIN(AO$6-$E$3,22))),0))-IF($G$2,0,IF((AO$6-$G$3)&lt;1,0,IFERROR(LOOKUP(2,1/('Milho 1ª safra'!$E80:INDEX('Milho 1ª safra'!$E80:$Z80,MIN(AO$6-$G$3,22))&lt;&gt;""),'Milho 1ª safra'!$E80:INDEX('Milho 1ª safra'!$E80:$Z80,MIN(AO$6-$G$3,22))),0)))))</f>
        <v>0</v>
      </c>
      <c r="AP82" s="27" t="n">
        <f aca="false">IF(COUNT('Milho 1ª safra'!$E80:$Z80)=0,0,MAX(0,IF((AP$6-$E$3)&lt;1,0,IFERROR(LOOKUP(2,1/('Milho 1ª safra'!$E80:INDEX('Milho 1ª safra'!$E80:$Z80,MIN(AP$6-$E$3,22))&lt;&gt;""),'Milho 1ª safra'!$E80:INDEX('Milho 1ª safra'!$E80:$Z80,MIN(AP$6-$E$3,22))),0))-IF($G$2,0,IF((AP$6-$G$3)&lt;1,0,IFERROR(LOOKUP(2,1/('Milho 1ª safra'!$E80:INDEX('Milho 1ª safra'!$E80:$Z80,MIN(AP$6-$G$3,22))&lt;&gt;""),'Milho 1ª safra'!$E80:INDEX('Milho 1ª safra'!$E80:$Z80,MIN(AP$6-$G$3,22))),0)))))</f>
        <v>0</v>
      </c>
      <c r="AQ82" s="27" t="n">
        <f aca="false">IF(COUNT('Milho 1ª safra'!$E80:$Z80)=0,0,MAX(0,IF((AQ$6-$E$3)&lt;1,0,IFERROR(LOOKUP(2,1/('Milho 1ª safra'!$E80:INDEX('Milho 1ª safra'!$E80:$Z80,MIN(AQ$6-$E$3,22))&lt;&gt;""),'Milho 1ª safra'!$E80:INDEX('Milho 1ª safra'!$E80:$Z80,MIN(AQ$6-$E$3,22))),0))-IF($G$2,0,IF((AQ$6-$G$3)&lt;1,0,IFERROR(LOOKUP(2,1/('Milho 1ª safra'!$E80:INDEX('Milho 1ª safra'!$E80:$Z80,MIN(AQ$6-$G$3,22))&lt;&gt;""),'Milho 1ª safra'!$E80:INDEX('Milho 1ª safra'!$E80:$Z80,MIN(AQ$6-$G$3,22))),0)))))</f>
        <v>0</v>
      </c>
      <c r="AR82" s="27" t="n">
        <f aca="false">IF(COUNT('Milho 1ª safra'!$E80:$Z80)=0,0,MAX(0,IF((AR$6-$E$3)&lt;1,0,IFERROR(LOOKUP(2,1/('Milho 1ª safra'!$E80:INDEX('Milho 1ª safra'!$E80:$Z80,MIN(AR$6-$E$3,22))&lt;&gt;""),'Milho 1ª safra'!$E80:INDEX('Milho 1ª safra'!$E80:$Z80,MIN(AR$6-$E$3,22))),0))-IF($G$2,0,IF((AR$6-$G$3)&lt;1,0,IFERROR(LOOKUP(2,1/('Milho 1ª safra'!$E80:INDEX('Milho 1ª safra'!$E80:$Z80,MIN(AR$6-$G$3,22))&lt;&gt;""),'Milho 1ª safra'!$E80:INDEX('Milho 1ª safra'!$E80:$Z80,MIN(AR$6-$G$3,22))),0)))))</f>
        <v>0</v>
      </c>
      <c r="AS82" s="27" t="n">
        <f aca="false">IF(COUNT('Milho 1ª safra'!$E80:$Z80)=0,0,MAX(0,IF((AS$6-$E$3)&lt;1,0,IFERROR(LOOKUP(2,1/('Milho 1ª safra'!$E80:INDEX('Milho 1ª safra'!$E80:$Z80,MIN(AS$6-$E$3,22))&lt;&gt;""),'Milho 1ª safra'!$E80:INDEX('Milho 1ª safra'!$E80:$Z80,MIN(AS$6-$E$3,22))),0))-IF($G$2,0,IF((AS$6-$G$3)&lt;1,0,IFERROR(LOOKUP(2,1/('Milho 1ª safra'!$E80:INDEX('Milho 1ª safra'!$E80:$Z80,MIN(AS$6-$G$3,22))&lt;&gt;""),'Milho 1ª safra'!$E80:INDEX('Milho 1ª safra'!$E80:$Z80,MIN(AS$6-$G$3,22))),0)))))</f>
        <v>0</v>
      </c>
      <c r="AT82" s="27" t="n">
        <f aca="false">IF(COUNT('Milho 1ª safra'!$E80:$Z80)=0,0,MAX(0,IF((AT$6-$E$3)&lt;1,0,IFERROR(LOOKUP(2,1/('Milho 1ª safra'!$E80:INDEX('Milho 1ª safra'!$E80:$Z80,MIN(AT$6-$E$3,22))&lt;&gt;""),'Milho 1ª safra'!$E80:INDEX('Milho 1ª safra'!$E80:$Z80,MIN(AT$6-$E$3,22))),0))-IF($G$2,0,IF((AT$6-$G$3)&lt;1,0,IFERROR(LOOKUP(2,1/('Milho 1ª safra'!$E80:INDEX('Milho 1ª safra'!$E80:$Z80,MIN(AT$6-$G$3,22))&lt;&gt;""),'Milho 1ª safra'!$E80:INDEX('Milho 1ª safra'!$E80:$Z80,MIN(AT$6-$G$3,22))),0)))))</f>
        <v>0</v>
      </c>
      <c r="AU82" s="27" t="n">
        <f aca="false">IF(COUNT('Milho 1ª safra'!$E80:$Z80)=0,0,MAX(0,IF((AU$6-$E$3)&lt;1,0,IFERROR(LOOKUP(2,1/('Milho 1ª safra'!$E80:INDEX('Milho 1ª safra'!$E80:$Z80,MIN(AU$6-$E$3,22))&lt;&gt;""),'Milho 1ª safra'!$E80:INDEX('Milho 1ª safra'!$E80:$Z80,MIN(AU$6-$E$3,22))),0))-IF($G$2,0,IF((AU$6-$G$3)&lt;1,0,IFERROR(LOOKUP(2,1/('Milho 1ª safra'!$E80:INDEX('Milho 1ª safra'!$E80:$Z80,MIN(AU$6-$G$3,22))&lt;&gt;""),'Milho 1ª safra'!$E80:INDEX('Milho 1ª safra'!$E80:$Z80,MIN(AU$6-$G$3,22))),0)))))</f>
        <v>0</v>
      </c>
      <c r="AV82" s="27" t="n">
        <f aca="false">IF(COUNT('Milho 1ª safra'!$E80:$Z80)=0,0,MAX(0,IF((AV$6-$E$3)&lt;1,0,IFERROR(LOOKUP(2,1/('Milho 1ª safra'!$E80:INDEX('Milho 1ª safra'!$E80:$Z80,MIN(AV$6-$E$3,22))&lt;&gt;""),'Milho 1ª safra'!$E80:INDEX('Milho 1ª safra'!$E80:$Z80,MIN(AV$6-$E$3,22))),0))-IF($G$2,0,IF((AV$6-$G$3)&lt;1,0,IFERROR(LOOKUP(2,1/('Milho 1ª safra'!$E80:INDEX('Milho 1ª safra'!$E80:$Z80,MIN(AV$6-$G$3,22))&lt;&gt;""),'Milho 1ª safra'!$E80:INDEX('Milho 1ª safra'!$E80:$Z80,MIN(AV$6-$G$3,22))),0)))))</f>
        <v>0</v>
      </c>
      <c r="AW82" s="27" t="n">
        <f aca="false">IF(COUNT('Milho 1ª safra'!$E80:$Z80)=0,0,MAX(0,IF((AW$6-$E$3)&lt;1,0,IFERROR(LOOKUP(2,1/('Milho 1ª safra'!$E80:INDEX('Milho 1ª safra'!$E80:$Z80,MIN(AW$6-$E$3,22))&lt;&gt;""),'Milho 1ª safra'!$E80:INDEX('Milho 1ª safra'!$E80:$Z80,MIN(AW$6-$E$3,22))),0))-IF($G$2,0,IF((AW$6-$G$3)&lt;1,0,IFERROR(LOOKUP(2,1/('Milho 1ª safra'!$E80:INDEX('Milho 1ª safra'!$E80:$Z80,MIN(AW$6-$G$3,22))&lt;&gt;""),'Milho 1ª safra'!$E80:INDEX('Milho 1ª safra'!$E80:$Z80,MIN(AW$6-$G$3,22))),0)))))</f>
        <v>0</v>
      </c>
      <c r="AX82" s="27" t="n">
        <f aca="false">IF(COUNT('Milho 1ª safra'!$E80:$Z80)=0,0,MAX(0,IF((AX$6-$E$3)&lt;1,0,IFERROR(LOOKUP(2,1/('Milho 1ª safra'!$E80:INDEX('Milho 1ª safra'!$E80:$Z80,MIN(AX$6-$E$3,22))&lt;&gt;""),'Milho 1ª safra'!$E80:INDEX('Milho 1ª safra'!$E80:$Z80,MIN(AX$6-$E$3,22))),0))-IF($G$2,0,IF((AX$6-$G$3)&lt;1,0,IFERROR(LOOKUP(2,1/('Milho 1ª safra'!$E80:INDEX('Milho 1ª safra'!$E80:$Z80,MIN(AX$6-$G$3,22))&lt;&gt;""),'Milho 1ª safra'!$E80:INDEX('Milho 1ª safra'!$E80:$Z80,MIN(AX$6-$G$3,22))),0)))))</f>
        <v>0</v>
      </c>
      <c r="AY82" s="27" t="n">
        <f aca="false">IF(COUNT('Milho 1ª safra'!$E80:$Z80)=0,0,MAX(0,IF((AY$6-$E$3)&lt;1,0,IFERROR(LOOKUP(2,1/('Milho 1ª safra'!$E80:INDEX('Milho 1ª safra'!$E80:$Z80,MIN(AY$6-$E$3,22))&lt;&gt;""),'Milho 1ª safra'!$E80:INDEX('Milho 1ª safra'!$E80:$Z80,MIN(AY$6-$E$3,22))),0))-IF($G$2,0,IF((AY$6-$G$3)&lt;1,0,IFERROR(LOOKUP(2,1/('Milho 1ª safra'!$E80:INDEX('Milho 1ª safra'!$E80:$Z80,MIN(AY$6-$G$3,22))&lt;&gt;""),'Milho 1ª safra'!$E80:INDEX('Milho 1ª safra'!$E80:$Z80,MIN(AY$6-$G$3,22))),0)))))</f>
        <v>0</v>
      </c>
      <c r="AZ82" s="27" t="n">
        <f aca="false">IF(COUNT('Milho 1ª safra'!$E80:$Z80)=0,0,MAX(0,IF((AZ$6-$E$3)&lt;1,0,IFERROR(LOOKUP(2,1/('Milho 1ª safra'!$E80:INDEX('Milho 1ª safra'!$E80:$Z80,MIN(AZ$6-$E$3,22))&lt;&gt;""),'Milho 1ª safra'!$E80:INDEX('Milho 1ª safra'!$E80:$Z80,MIN(AZ$6-$E$3,22))),0))-IF($G$2,0,IF((AZ$6-$G$3)&lt;1,0,IFERROR(LOOKUP(2,1/('Milho 1ª safra'!$E80:INDEX('Milho 1ª safra'!$E80:$Z80,MIN(AZ$6-$G$3,22))&lt;&gt;""),'Milho 1ª safra'!$E80:INDEX('Milho 1ª safra'!$E80:$Z80,MIN(AZ$6-$G$3,22))),0)))))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IF(COUNT('Milho 1ª safra'!$E81:$Z81)&gt;0,N('Milho 1ª safra'!$D81),0)</f>
        <v>0</v>
      </c>
      <c r="E83" s="27" t="n">
        <f aca="false">IF(COUNT('Milho 1ª safra'!$E81:$Z81)=0,0,MAX(0,IF((E$6-$E$3)&lt;1,0,IFERROR(LOOKUP(2,1/('Milho 1ª safra'!$E81:INDEX('Milho 1ª safra'!$E81:$Z81,MIN(E$6-$E$3,22))&lt;&gt;""),'Milho 1ª safra'!$E81:INDEX('Milho 1ª safra'!$E81:$Z81,MIN(E$6-$E$3,22))),0))-IF($G$2,0,IF((E$6-$G$3)&lt;1,0,IFERROR(LOOKUP(2,1/('Milho 1ª safra'!$E81:INDEX('Milho 1ª safra'!$E81:$Z81,MIN(E$6-$G$3,22))&lt;&gt;""),'Milho 1ª safra'!$E81:INDEX('Milho 1ª safra'!$E81:$Z81,MIN(E$6-$G$3,22))),0)))))</f>
        <v>0</v>
      </c>
      <c r="F83" s="27" t="n">
        <f aca="false">IF(COUNT('Milho 1ª safra'!$E81:$Z81)=0,0,MAX(0,IF((F$6-$E$3)&lt;1,0,IFERROR(LOOKUP(2,1/('Milho 1ª safra'!$E81:INDEX('Milho 1ª safra'!$E81:$Z81,MIN(F$6-$E$3,22))&lt;&gt;""),'Milho 1ª safra'!$E81:INDEX('Milho 1ª safra'!$E81:$Z81,MIN(F$6-$E$3,22))),0))-IF($G$2,0,IF((F$6-$G$3)&lt;1,0,IFERROR(LOOKUP(2,1/('Milho 1ª safra'!$E81:INDEX('Milho 1ª safra'!$E81:$Z81,MIN(F$6-$G$3,22))&lt;&gt;""),'Milho 1ª safra'!$E81:INDEX('Milho 1ª safra'!$E81:$Z81,MIN(F$6-$G$3,22))),0)))))</f>
        <v>0</v>
      </c>
      <c r="G83" s="27" t="n">
        <f aca="false">IF(COUNT('Milho 1ª safra'!$E81:$Z81)=0,0,MAX(0,IF((G$6-$E$3)&lt;1,0,IFERROR(LOOKUP(2,1/('Milho 1ª safra'!$E81:INDEX('Milho 1ª safra'!$E81:$Z81,MIN(G$6-$E$3,22))&lt;&gt;""),'Milho 1ª safra'!$E81:INDEX('Milho 1ª safra'!$E81:$Z81,MIN(G$6-$E$3,22))),0))-IF($G$2,0,IF((G$6-$G$3)&lt;1,0,IFERROR(LOOKUP(2,1/('Milho 1ª safra'!$E81:INDEX('Milho 1ª safra'!$E81:$Z81,MIN(G$6-$G$3,22))&lt;&gt;""),'Milho 1ª safra'!$E81:INDEX('Milho 1ª safra'!$E81:$Z81,MIN(G$6-$G$3,22))),0)))))</f>
        <v>0</v>
      </c>
      <c r="H83" s="27" t="n">
        <f aca="false">IF(COUNT('Milho 1ª safra'!$E81:$Z81)=0,0,MAX(0,IF((H$6-$E$3)&lt;1,0,IFERROR(LOOKUP(2,1/('Milho 1ª safra'!$E81:INDEX('Milho 1ª safra'!$E81:$Z81,MIN(H$6-$E$3,22))&lt;&gt;""),'Milho 1ª safra'!$E81:INDEX('Milho 1ª safra'!$E81:$Z81,MIN(H$6-$E$3,22))),0))-IF($G$2,0,IF((H$6-$G$3)&lt;1,0,IFERROR(LOOKUP(2,1/('Milho 1ª safra'!$E81:INDEX('Milho 1ª safra'!$E81:$Z81,MIN(H$6-$G$3,22))&lt;&gt;""),'Milho 1ª safra'!$E81:INDEX('Milho 1ª safra'!$E81:$Z81,MIN(H$6-$G$3,22))),0)))))</f>
        <v>0</v>
      </c>
      <c r="I83" s="27" t="n">
        <f aca="false">IF(COUNT('Milho 1ª safra'!$E81:$Z81)=0,0,MAX(0,IF((I$6-$E$3)&lt;1,0,IFERROR(LOOKUP(2,1/('Milho 1ª safra'!$E81:INDEX('Milho 1ª safra'!$E81:$Z81,MIN(I$6-$E$3,22))&lt;&gt;""),'Milho 1ª safra'!$E81:INDEX('Milho 1ª safra'!$E81:$Z81,MIN(I$6-$E$3,22))),0))-IF($G$2,0,IF((I$6-$G$3)&lt;1,0,IFERROR(LOOKUP(2,1/('Milho 1ª safra'!$E81:INDEX('Milho 1ª safra'!$E81:$Z81,MIN(I$6-$G$3,22))&lt;&gt;""),'Milho 1ª safra'!$E81:INDEX('Milho 1ª safra'!$E81:$Z81,MIN(I$6-$G$3,22))),0)))))</f>
        <v>0</v>
      </c>
      <c r="J83" s="27" t="n">
        <f aca="false">IF(COUNT('Milho 1ª safra'!$E81:$Z81)=0,0,MAX(0,IF((J$6-$E$3)&lt;1,0,IFERROR(LOOKUP(2,1/('Milho 1ª safra'!$E81:INDEX('Milho 1ª safra'!$E81:$Z81,MIN(J$6-$E$3,22))&lt;&gt;""),'Milho 1ª safra'!$E81:INDEX('Milho 1ª safra'!$E81:$Z81,MIN(J$6-$E$3,22))),0))-IF($G$2,0,IF((J$6-$G$3)&lt;1,0,IFERROR(LOOKUP(2,1/('Milho 1ª safra'!$E81:INDEX('Milho 1ª safra'!$E81:$Z81,MIN(J$6-$G$3,22))&lt;&gt;""),'Milho 1ª safra'!$E81:INDEX('Milho 1ª safra'!$E81:$Z81,MIN(J$6-$G$3,22))),0)))))</f>
        <v>0</v>
      </c>
      <c r="K83" s="27" t="n">
        <f aca="false">IF(COUNT('Milho 1ª safra'!$E81:$Z81)=0,0,MAX(0,IF((K$6-$E$3)&lt;1,0,IFERROR(LOOKUP(2,1/('Milho 1ª safra'!$E81:INDEX('Milho 1ª safra'!$E81:$Z81,MIN(K$6-$E$3,22))&lt;&gt;""),'Milho 1ª safra'!$E81:INDEX('Milho 1ª safra'!$E81:$Z81,MIN(K$6-$E$3,22))),0))-IF($G$2,0,IF((K$6-$G$3)&lt;1,0,IFERROR(LOOKUP(2,1/('Milho 1ª safra'!$E81:INDEX('Milho 1ª safra'!$E81:$Z81,MIN(K$6-$G$3,22))&lt;&gt;""),'Milho 1ª safra'!$E81:INDEX('Milho 1ª safra'!$E81:$Z81,MIN(K$6-$G$3,22))),0)))))</f>
        <v>0</v>
      </c>
      <c r="L83" s="27" t="n">
        <f aca="false">IF(COUNT('Milho 1ª safra'!$E81:$Z81)=0,0,MAX(0,IF((L$6-$E$3)&lt;1,0,IFERROR(LOOKUP(2,1/('Milho 1ª safra'!$E81:INDEX('Milho 1ª safra'!$E81:$Z81,MIN(L$6-$E$3,22))&lt;&gt;""),'Milho 1ª safra'!$E81:INDEX('Milho 1ª safra'!$E81:$Z81,MIN(L$6-$E$3,22))),0))-IF($G$2,0,IF((L$6-$G$3)&lt;1,0,IFERROR(LOOKUP(2,1/('Milho 1ª safra'!$E81:INDEX('Milho 1ª safra'!$E81:$Z81,MIN(L$6-$G$3,22))&lt;&gt;""),'Milho 1ª safra'!$E81:INDEX('Milho 1ª safra'!$E81:$Z81,MIN(L$6-$G$3,22))),0)))))</f>
        <v>0</v>
      </c>
      <c r="M83" s="27" t="n">
        <f aca="false">IF(COUNT('Milho 1ª safra'!$E81:$Z81)=0,0,MAX(0,IF((M$6-$E$3)&lt;1,0,IFERROR(LOOKUP(2,1/('Milho 1ª safra'!$E81:INDEX('Milho 1ª safra'!$E81:$Z81,MIN(M$6-$E$3,22))&lt;&gt;""),'Milho 1ª safra'!$E81:INDEX('Milho 1ª safra'!$E81:$Z81,MIN(M$6-$E$3,22))),0))-IF($G$2,0,IF((M$6-$G$3)&lt;1,0,IFERROR(LOOKUP(2,1/('Milho 1ª safra'!$E81:INDEX('Milho 1ª safra'!$E81:$Z81,MIN(M$6-$G$3,22))&lt;&gt;""),'Milho 1ª safra'!$E81:INDEX('Milho 1ª safra'!$E81:$Z81,MIN(M$6-$G$3,22))),0)))))</f>
        <v>0</v>
      </c>
      <c r="N83" s="27" t="n">
        <f aca="false">IF(COUNT('Milho 1ª safra'!$E81:$Z81)=0,0,MAX(0,IF((N$6-$E$3)&lt;1,0,IFERROR(LOOKUP(2,1/('Milho 1ª safra'!$E81:INDEX('Milho 1ª safra'!$E81:$Z81,MIN(N$6-$E$3,22))&lt;&gt;""),'Milho 1ª safra'!$E81:INDEX('Milho 1ª safra'!$E81:$Z81,MIN(N$6-$E$3,22))),0))-IF($G$2,0,IF((N$6-$G$3)&lt;1,0,IFERROR(LOOKUP(2,1/('Milho 1ª safra'!$E81:INDEX('Milho 1ª safra'!$E81:$Z81,MIN(N$6-$G$3,22))&lt;&gt;""),'Milho 1ª safra'!$E81:INDEX('Milho 1ª safra'!$E81:$Z81,MIN(N$6-$G$3,22))),0)))))</f>
        <v>0</v>
      </c>
      <c r="O83" s="27" t="n">
        <f aca="false">IF(COUNT('Milho 1ª safra'!$E81:$Z81)=0,0,MAX(0,IF((O$6-$E$3)&lt;1,0,IFERROR(LOOKUP(2,1/('Milho 1ª safra'!$E81:INDEX('Milho 1ª safra'!$E81:$Z81,MIN(O$6-$E$3,22))&lt;&gt;""),'Milho 1ª safra'!$E81:INDEX('Milho 1ª safra'!$E81:$Z81,MIN(O$6-$E$3,22))),0))-IF($G$2,0,IF((O$6-$G$3)&lt;1,0,IFERROR(LOOKUP(2,1/('Milho 1ª safra'!$E81:INDEX('Milho 1ª safra'!$E81:$Z81,MIN(O$6-$G$3,22))&lt;&gt;""),'Milho 1ª safra'!$E81:INDEX('Milho 1ª safra'!$E81:$Z81,MIN(O$6-$G$3,22))),0)))))</f>
        <v>0</v>
      </c>
      <c r="P83" s="27" t="n">
        <f aca="false">IF(COUNT('Milho 1ª safra'!$E81:$Z81)=0,0,MAX(0,IF((P$6-$E$3)&lt;1,0,IFERROR(LOOKUP(2,1/('Milho 1ª safra'!$E81:INDEX('Milho 1ª safra'!$E81:$Z81,MIN(P$6-$E$3,22))&lt;&gt;""),'Milho 1ª safra'!$E81:INDEX('Milho 1ª safra'!$E81:$Z81,MIN(P$6-$E$3,22))),0))-IF($G$2,0,IF((P$6-$G$3)&lt;1,0,IFERROR(LOOKUP(2,1/('Milho 1ª safra'!$E81:INDEX('Milho 1ª safra'!$E81:$Z81,MIN(P$6-$G$3,22))&lt;&gt;""),'Milho 1ª safra'!$E81:INDEX('Milho 1ª safra'!$E81:$Z81,MIN(P$6-$G$3,22))),0)))))</f>
        <v>0</v>
      </c>
      <c r="Q83" s="27" t="n">
        <f aca="false">IF(COUNT('Milho 1ª safra'!$E81:$Z81)=0,0,MAX(0,IF((Q$6-$E$3)&lt;1,0,IFERROR(LOOKUP(2,1/('Milho 1ª safra'!$E81:INDEX('Milho 1ª safra'!$E81:$Z81,MIN(Q$6-$E$3,22))&lt;&gt;""),'Milho 1ª safra'!$E81:INDEX('Milho 1ª safra'!$E81:$Z81,MIN(Q$6-$E$3,22))),0))-IF($G$2,0,IF((Q$6-$G$3)&lt;1,0,IFERROR(LOOKUP(2,1/('Milho 1ª safra'!$E81:INDEX('Milho 1ª safra'!$E81:$Z81,MIN(Q$6-$G$3,22))&lt;&gt;""),'Milho 1ª safra'!$E81:INDEX('Milho 1ª safra'!$E81:$Z81,MIN(Q$6-$G$3,22))),0)))))</f>
        <v>0</v>
      </c>
      <c r="R83" s="27" t="n">
        <f aca="false">IF(COUNT('Milho 1ª safra'!$E81:$Z81)=0,0,MAX(0,IF((R$6-$E$3)&lt;1,0,IFERROR(LOOKUP(2,1/('Milho 1ª safra'!$E81:INDEX('Milho 1ª safra'!$E81:$Z81,MIN(R$6-$E$3,22))&lt;&gt;""),'Milho 1ª safra'!$E81:INDEX('Milho 1ª safra'!$E81:$Z81,MIN(R$6-$E$3,22))),0))-IF($G$2,0,IF((R$6-$G$3)&lt;1,0,IFERROR(LOOKUP(2,1/('Milho 1ª safra'!$E81:INDEX('Milho 1ª safra'!$E81:$Z81,MIN(R$6-$G$3,22))&lt;&gt;""),'Milho 1ª safra'!$E81:INDEX('Milho 1ª safra'!$E81:$Z81,MIN(R$6-$G$3,22))),0)))))</f>
        <v>0</v>
      </c>
      <c r="S83" s="27" t="n">
        <f aca="false">IF(COUNT('Milho 1ª safra'!$E81:$Z81)=0,0,MAX(0,IF((S$6-$E$3)&lt;1,0,IFERROR(LOOKUP(2,1/('Milho 1ª safra'!$E81:INDEX('Milho 1ª safra'!$E81:$Z81,MIN(S$6-$E$3,22))&lt;&gt;""),'Milho 1ª safra'!$E81:INDEX('Milho 1ª safra'!$E81:$Z81,MIN(S$6-$E$3,22))),0))-IF($G$2,0,IF((S$6-$G$3)&lt;1,0,IFERROR(LOOKUP(2,1/('Milho 1ª safra'!$E81:INDEX('Milho 1ª safra'!$E81:$Z81,MIN(S$6-$G$3,22))&lt;&gt;""),'Milho 1ª safra'!$E81:INDEX('Milho 1ª safra'!$E81:$Z81,MIN(S$6-$G$3,22))),0)))))</f>
        <v>0</v>
      </c>
      <c r="T83" s="27" t="n">
        <f aca="false">IF(COUNT('Milho 1ª safra'!$E81:$Z81)=0,0,MAX(0,IF((T$6-$E$3)&lt;1,0,IFERROR(LOOKUP(2,1/('Milho 1ª safra'!$E81:INDEX('Milho 1ª safra'!$E81:$Z81,MIN(T$6-$E$3,22))&lt;&gt;""),'Milho 1ª safra'!$E81:INDEX('Milho 1ª safra'!$E81:$Z81,MIN(T$6-$E$3,22))),0))-IF($G$2,0,IF((T$6-$G$3)&lt;1,0,IFERROR(LOOKUP(2,1/('Milho 1ª safra'!$E81:INDEX('Milho 1ª safra'!$E81:$Z81,MIN(T$6-$G$3,22))&lt;&gt;""),'Milho 1ª safra'!$E81:INDEX('Milho 1ª safra'!$E81:$Z81,MIN(T$6-$G$3,22))),0)))))</f>
        <v>0</v>
      </c>
      <c r="U83" s="27" t="n">
        <f aca="false">IF(COUNT('Milho 1ª safra'!$E81:$Z81)=0,0,MAX(0,IF((U$6-$E$3)&lt;1,0,IFERROR(LOOKUP(2,1/('Milho 1ª safra'!$E81:INDEX('Milho 1ª safra'!$E81:$Z81,MIN(U$6-$E$3,22))&lt;&gt;""),'Milho 1ª safra'!$E81:INDEX('Milho 1ª safra'!$E81:$Z81,MIN(U$6-$E$3,22))),0))-IF($G$2,0,IF((U$6-$G$3)&lt;1,0,IFERROR(LOOKUP(2,1/('Milho 1ª safra'!$E81:INDEX('Milho 1ª safra'!$E81:$Z81,MIN(U$6-$G$3,22))&lt;&gt;""),'Milho 1ª safra'!$E81:INDEX('Milho 1ª safra'!$E81:$Z81,MIN(U$6-$G$3,22))),0)))))</f>
        <v>0</v>
      </c>
      <c r="V83" s="27" t="n">
        <f aca="false">IF(COUNT('Milho 1ª safra'!$E81:$Z81)=0,0,MAX(0,IF((V$6-$E$3)&lt;1,0,IFERROR(LOOKUP(2,1/('Milho 1ª safra'!$E81:INDEX('Milho 1ª safra'!$E81:$Z81,MIN(V$6-$E$3,22))&lt;&gt;""),'Milho 1ª safra'!$E81:INDEX('Milho 1ª safra'!$E81:$Z81,MIN(V$6-$E$3,22))),0))-IF($G$2,0,IF((V$6-$G$3)&lt;1,0,IFERROR(LOOKUP(2,1/('Milho 1ª safra'!$E81:INDEX('Milho 1ª safra'!$E81:$Z81,MIN(V$6-$G$3,22))&lt;&gt;""),'Milho 1ª safra'!$E81:INDEX('Milho 1ª safra'!$E81:$Z81,MIN(V$6-$G$3,22))),0)))))</f>
        <v>0</v>
      </c>
      <c r="W83" s="27" t="n">
        <f aca="false">IF(COUNT('Milho 1ª safra'!$E81:$Z81)=0,0,MAX(0,IF((W$6-$E$3)&lt;1,0,IFERROR(LOOKUP(2,1/('Milho 1ª safra'!$E81:INDEX('Milho 1ª safra'!$E81:$Z81,MIN(W$6-$E$3,22))&lt;&gt;""),'Milho 1ª safra'!$E81:INDEX('Milho 1ª safra'!$E81:$Z81,MIN(W$6-$E$3,22))),0))-IF($G$2,0,IF((W$6-$G$3)&lt;1,0,IFERROR(LOOKUP(2,1/('Milho 1ª safra'!$E81:INDEX('Milho 1ª safra'!$E81:$Z81,MIN(W$6-$G$3,22))&lt;&gt;""),'Milho 1ª safra'!$E81:INDEX('Milho 1ª safra'!$E81:$Z81,MIN(W$6-$G$3,22))),0)))))</f>
        <v>0</v>
      </c>
      <c r="X83" s="27" t="n">
        <f aca="false">IF(COUNT('Milho 1ª safra'!$E81:$Z81)=0,0,MAX(0,IF((X$6-$E$3)&lt;1,0,IFERROR(LOOKUP(2,1/('Milho 1ª safra'!$E81:INDEX('Milho 1ª safra'!$E81:$Z81,MIN(X$6-$E$3,22))&lt;&gt;""),'Milho 1ª safra'!$E81:INDEX('Milho 1ª safra'!$E81:$Z81,MIN(X$6-$E$3,22))),0))-IF($G$2,0,IF((X$6-$G$3)&lt;1,0,IFERROR(LOOKUP(2,1/('Milho 1ª safra'!$E81:INDEX('Milho 1ª safra'!$E81:$Z81,MIN(X$6-$G$3,22))&lt;&gt;""),'Milho 1ª safra'!$E81:INDEX('Milho 1ª safra'!$E81:$Z81,MIN(X$6-$G$3,22))),0)))))</f>
        <v>0</v>
      </c>
      <c r="Y83" s="27" t="n">
        <f aca="false">IF(COUNT('Milho 1ª safra'!$E81:$Z81)=0,0,MAX(0,IF((Y$6-$E$3)&lt;1,0,IFERROR(LOOKUP(2,1/('Milho 1ª safra'!$E81:INDEX('Milho 1ª safra'!$E81:$Z81,MIN(Y$6-$E$3,22))&lt;&gt;""),'Milho 1ª safra'!$E81:INDEX('Milho 1ª safra'!$E81:$Z81,MIN(Y$6-$E$3,22))),0))-IF($G$2,0,IF((Y$6-$G$3)&lt;1,0,IFERROR(LOOKUP(2,1/('Milho 1ª safra'!$E81:INDEX('Milho 1ª safra'!$E81:$Z81,MIN(Y$6-$G$3,22))&lt;&gt;""),'Milho 1ª safra'!$E81:INDEX('Milho 1ª safra'!$E81:$Z81,MIN(Y$6-$G$3,22))),0)))))</f>
        <v>0</v>
      </c>
      <c r="Z83" s="27" t="n">
        <f aca="false">IF(COUNT('Milho 1ª safra'!$E81:$Z81)=0,0,MAX(0,IF((Z$6-$E$3)&lt;1,0,IFERROR(LOOKUP(2,1/('Milho 1ª safra'!$E81:INDEX('Milho 1ª safra'!$E81:$Z81,MIN(Z$6-$E$3,22))&lt;&gt;""),'Milho 1ª safra'!$E81:INDEX('Milho 1ª safra'!$E81:$Z81,MIN(Z$6-$E$3,22))),0))-IF($G$2,0,IF((Z$6-$G$3)&lt;1,0,IFERROR(LOOKUP(2,1/('Milho 1ª safra'!$E81:INDEX('Milho 1ª safra'!$E81:$Z81,MIN(Z$6-$G$3,22))&lt;&gt;""),'Milho 1ª safra'!$E81:INDEX('Milho 1ª safra'!$E81:$Z81,MIN(Z$6-$G$3,22))),0)))))</f>
        <v>0</v>
      </c>
      <c r="AA83" s="27" t="n">
        <f aca="false">IF(COUNT('Milho 1ª safra'!$E81:$Z81)=0,0,MAX(0,IF((AA$6-$E$3)&lt;1,0,IFERROR(LOOKUP(2,1/('Milho 1ª safra'!$E81:INDEX('Milho 1ª safra'!$E81:$Z81,MIN(AA$6-$E$3,22))&lt;&gt;""),'Milho 1ª safra'!$E81:INDEX('Milho 1ª safra'!$E81:$Z81,MIN(AA$6-$E$3,22))),0))-IF($G$2,0,IF((AA$6-$G$3)&lt;1,0,IFERROR(LOOKUP(2,1/('Milho 1ª safra'!$E81:INDEX('Milho 1ª safra'!$E81:$Z81,MIN(AA$6-$G$3,22))&lt;&gt;""),'Milho 1ª safra'!$E81:INDEX('Milho 1ª safra'!$E81:$Z81,MIN(AA$6-$G$3,22))),0)))))</f>
        <v>0</v>
      </c>
      <c r="AB83" s="27" t="n">
        <f aca="false">IF(COUNT('Milho 1ª safra'!$E81:$Z81)=0,0,MAX(0,IF((AB$6-$E$3)&lt;1,0,IFERROR(LOOKUP(2,1/('Milho 1ª safra'!$E81:INDEX('Milho 1ª safra'!$E81:$Z81,MIN(AB$6-$E$3,22))&lt;&gt;""),'Milho 1ª safra'!$E81:INDEX('Milho 1ª safra'!$E81:$Z81,MIN(AB$6-$E$3,22))),0))-IF($G$2,0,IF((AB$6-$G$3)&lt;1,0,IFERROR(LOOKUP(2,1/('Milho 1ª safra'!$E81:INDEX('Milho 1ª safra'!$E81:$Z81,MIN(AB$6-$G$3,22))&lt;&gt;""),'Milho 1ª safra'!$E81:INDEX('Milho 1ª safra'!$E81:$Z81,MIN(AB$6-$G$3,22))),0)))))</f>
        <v>0</v>
      </c>
      <c r="AC83" s="27" t="n">
        <f aca="false">IF(COUNT('Milho 1ª safra'!$E81:$Z81)=0,0,MAX(0,IF((AC$6-$E$3)&lt;1,0,IFERROR(LOOKUP(2,1/('Milho 1ª safra'!$E81:INDEX('Milho 1ª safra'!$E81:$Z81,MIN(AC$6-$E$3,22))&lt;&gt;""),'Milho 1ª safra'!$E81:INDEX('Milho 1ª safra'!$E81:$Z81,MIN(AC$6-$E$3,22))),0))-IF($G$2,0,IF((AC$6-$G$3)&lt;1,0,IFERROR(LOOKUP(2,1/('Milho 1ª safra'!$E81:INDEX('Milho 1ª safra'!$E81:$Z81,MIN(AC$6-$G$3,22))&lt;&gt;""),'Milho 1ª safra'!$E81:INDEX('Milho 1ª safra'!$E81:$Z81,MIN(AC$6-$G$3,22))),0)))))</f>
        <v>0</v>
      </c>
      <c r="AD83" s="27" t="n">
        <f aca="false">IF(COUNT('Milho 1ª safra'!$E81:$Z81)=0,0,MAX(0,IF((AD$6-$E$3)&lt;1,0,IFERROR(LOOKUP(2,1/('Milho 1ª safra'!$E81:INDEX('Milho 1ª safra'!$E81:$Z81,MIN(AD$6-$E$3,22))&lt;&gt;""),'Milho 1ª safra'!$E81:INDEX('Milho 1ª safra'!$E81:$Z81,MIN(AD$6-$E$3,22))),0))-IF($G$2,0,IF((AD$6-$G$3)&lt;1,0,IFERROR(LOOKUP(2,1/('Milho 1ª safra'!$E81:INDEX('Milho 1ª safra'!$E81:$Z81,MIN(AD$6-$G$3,22))&lt;&gt;""),'Milho 1ª safra'!$E81:INDEX('Milho 1ª safra'!$E81:$Z81,MIN(AD$6-$G$3,22))),0)))))</f>
        <v>0</v>
      </c>
      <c r="AE83" s="27" t="n">
        <f aca="false">IF(COUNT('Milho 1ª safra'!$E81:$Z81)=0,0,MAX(0,IF((AE$6-$E$3)&lt;1,0,IFERROR(LOOKUP(2,1/('Milho 1ª safra'!$E81:INDEX('Milho 1ª safra'!$E81:$Z81,MIN(AE$6-$E$3,22))&lt;&gt;""),'Milho 1ª safra'!$E81:INDEX('Milho 1ª safra'!$E81:$Z81,MIN(AE$6-$E$3,22))),0))-IF($G$2,0,IF((AE$6-$G$3)&lt;1,0,IFERROR(LOOKUP(2,1/('Milho 1ª safra'!$E81:INDEX('Milho 1ª safra'!$E81:$Z81,MIN(AE$6-$G$3,22))&lt;&gt;""),'Milho 1ª safra'!$E81:INDEX('Milho 1ª safra'!$E81:$Z81,MIN(AE$6-$G$3,22))),0)))))</f>
        <v>0</v>
      </c>
      <c r="AF83" s="27" t="n">
        <f aca="false">IF(COUNT('Milho 1ª safra'!$E81:$Z81)=0,0,MAX(0,IF((AF$6-$E$3)&lt;1,0,IFERROR(LOOKUP(2,1/('Milho 1ª safra'!$E81:INDEX('Milho 1ª safra'!$E81:$Z81,MIN(AF$6-$E$3,22))&lt;&gt;""),'Milho 1ª safra'!$E81:INDEX('Milho 1ª safra'!$E81:$Z81,MIN(AF$6-$E$3,22))),0))-IF($G$2,0,IF((AF$6-$G$3)&lt;1,0,IFERROR(LOOKUP(2,1/('Milho 1ª safra'!$E81:INDEX('Milho 1ª safra'!$E81:$Z81,MIN(AF$6-$G$3,22))&lt;&gt;""),'Milho 1ª safra'!$E81:INDEX('Milho 1ª safra'!$E81:$Z81,MIN(AF$6-$G$3,22))),0)))))</f>
        <v>0</v>
      </c>
      <c r="AG83" s="27" t="n">
        <f aca="false">IF(COUNT('Milho 1ª safra'!$E81:$Z81)=0,0,MAX(0,IF((AG$6-$E$3)&lt;1,0,IFERROR(LOOKUP(2,1/('Milho 1ª safra'!$E81:INDEX('Milho 1ª safra'!$E81:$Z81,MIN(AG$6-$E$3,22))&lt;&gt;""),'Milho 1ª safra'!$E81:INDEX('Milho 1ª safra'!$E81:$Z81,MIN(AG$6-$E$3,22))),0))-IF($G$2,0,IF((AG$6-$G$3)&lt;1,0,IFERROR(LOOKUP(2,1/('Milho 1ª safra'!$E81:INDEX('Milho 1ª safra'!$E81:$Z81,MIN(AG$6-$G$3,22))&lt;&gt;""),'Milho 1ª safra'!$E81:INDEX('Milho 1ª safra'!$E81:$Z81,MIN(AG$6-$G$3,22))),0)))))</f>
        <v>0</v>
      </c>
      <c r="AH83" s="27" t="n">
        <f aca="false">IF(COUNT('Milho 1ª safra'!$E81:$Z81)=0,0,MAX(0,IF((AH$6-$E$3)&lt;1,0,IFERROR(LOOKUP(2,1/('Milho 1ª safra'!$E81:INDEX('Milho 1ª safra'!$E81:$Z81,MIN(AH$6-$E$3,22))&lt;&gt;""),'Milho 1ª safra'!$E81:INDEX('Milho 1ª safra'!$E81:$Z81,MIN(AH$6-$E$3,22))),0))-IF($G$2,0,IF((AH$6-$G$3)&lt;1,0,IFERROR(LOOKUP(2,1/('Milho 1ª safra'!$E81:INDEX('Milho 1ª safra'!$E81:$Z81,MIN(AH$6-$G$3,22))&lt;&gt;""),'Milho 1ª safra'!$E81:INDEX('Milho 1ª safra'!$E81:$Z81,MIN(AH$6-$G$3,22))),0)))))</f>
        <v>0</v>
      </c>
      <c r="AI83" s="27" t="n">
        <f aca="false">IF(COUNT('Milho 1ª safra'!$E81:$Z81)=0,0,MAX(0,IF((AI$6-$E$3)&lt;1,0,IFERROR(LOOKUP(2,1/('Milho 1ª safra'!$E81:INDEX('Milho 1ª safra'!$E81:$Z81,MIN(AI$6-$E$3,22))&lt;&gt;""),'Milho 1ª safra'!$E81:INDEX('Milho 1ª safra'!$E81:$Z81,MIN(AI$6-$E$3,22))),0))-IF($G$2,0,IF((AI$6-$G$3)&lt;1,0,IFERROR(LOOKUP(2,1/('Milho 1ª safra'!$E81:INDEX('Milho 1ª safra'!$E81:$Z81,MIN(AI$6-$G$3,22))&lt;&gt;""),'Milho 1ª safra'!$E81:INDEX('Milho 1ª safra'!$E81:$Z81,MIN(AI$6-$G$3,22))),0)))))</f>
        <v>0</v>
      </c>
      <c r="AJ83" s="27" t="n">
        <f aca="false">IF(COUNT('Milho 1ª safra'!$E81:$Z81)=0,0,MAX(0,IF((AJ$6-$E$3)&lt;1,0,IFERROR(LOOKUP(2,1/('Milho 1ª safra'!$E81:INDEX('Milho 1ª safra'!$E81:$Z81,MIN(AJ$6-$E$3,22))&lt;&gt;""),'Milho 1ª safra'!$E81:INDEX('Milho 1ª safra'!$E81:$Z81,MIN(AJ$6-$E$3,22))),0))-IF($G$2,0,IF((AJ$6-$G$3)&lt;1,0,IFERROR(LOOKUP(2,1/('Milho 1ª safra'!$E81:INDEX('Milho 1ª safra'!$E81:$Z81,MIN(AJ$6-$G$3,22))&lt;&gt;""),'Milho 1ª safra'!$E81:INDEX('Milho 1ª safra'!$E81:$Z81,MIN(AJ$6-$G$3,22))),0)))))</f>
        <v>0</v>
      </c>
      <c r="AK83" s="27" t="n">
        <f aca="false">IF(COUNT('Milho 1ª safra'!$E81:$Z81)=0,0,MAX(0,IF((AK$6-$E$3)&lt;1,0,IFERROR(LOOKUP(2,1/('Milho 1ª safra'!$E81:INDEX('Milho 1ª safra'!$E81:$Z81,MIN(AK$6-$E$3,22))&lt;&gt;""),'Milho 1ª safra'!$E81:INDEX('Milho 1ª safra'!$E81:$Z81,MIN(AK$6-$E$3,22))),0))-IF($G$2,0,IF((AK$6-$G$3)&lt;1,0,IFERROR(LOOKUP(2,1/('Milho 1ª safra'!$E81:INDEX('Milho 1ª safra'!$E81:$Z81,MIN(AK$6-$G$3,22))&lt;&gt;""),'Milho 1ª safra'!$E81:INDEX('Milho 1ª safra'!$E81:$Z81,MIN(AK$6-$G$3,22))),0)))))</f>
        <v>0</v>
      </c>
      <c r="AL83" s="27" t="n">
        <f aca="false">IF(COUNT('Milho 1ª safra'!$E81:$Z81)=0,0,MAX(0,IF((AL$6-$E$3)&lt;1,0,IFERROR(LOOKUP(2,1/('Milho 1ª safra'!$E81:INDEX('Milho 1ª safra'!$E81:$Z81,MIN(AL$6-$E$3,22))&lt;&gt;""),'Milho 1ª safra'!$E81:INDEX('Milho 1ª safra'!$E81:$Z81,MIN(AL$6-$E$3,22))),0))-IF($G$2,0,IF((AL$6-$G$3)&lt;1,0,IFERROR(LOOKUP(2,1/('Milho 1ª safra'!$E81:INDEX('Milho 1ª safra'!$E81:$Z81,MIN(AL$6-$G$3,22))&lt;&gt;""),'Milho 1ª safra'!$E81:INDEX('Milho 1ª safra'!$E81:$Z81,MIN(AL$6-$G$3,22))),0)))))</f>
        <v>0</v>
      </c>
      <c r="AM83" s="27" t="n">
        <f aca="false">IF(COUNT('Milho 1ª safra'!$E81:$Z81)=0,0,MAX(0,IF((AM$6-$E$3)&lt;1,0,IFERROR(LOOKUP(2,1/('Milho 1ª safra'!$E81:INDEX('Milho 1ª safra'!$E81:$Z81,MIN(AM$6-$E$3,22))&lt;&gt;""),'Milho 1ª safra'!$E81:INDEX('Milho 1ª safra'!$E81:$Z81,MIN(AM$6-$E$3,22))),0))-IF($G$2,0,IF((AM$6-$G$3)&lt;1,0,IFERROR(LOOKUP(2,1/('Milho 1ª safra'!$E81:INDEX('Milho 1ª safra'!$E81:$Z81,MIN(AM$6-$G$3,22))&lt;&gt;""),'Milho 1ª safra'!$E81:INDEX('Milho 1ª safra'!$E81:$Z81,MIN(AM$6-$G$3,22))),0)))))</f>
        <v>0</v>
      </c>
      <c r="AN83" s="27" t="n">
        <f aca="false">IF(COUNT('Milho 1ª safra'!$E81:$Z81)=0,0,MAX(0,IF((AN$6-$E$3)&lt;1,0,IFERROR(LOOKUP(2,1/('Milho 1ª safra'!$E81:INDEX('Milho 1ª safra'!$E81:$Z81,MIN(AN$6-$E$3,22))&lt;&gt;""),'Milho 1ª safra'!$E81:INDEX('Milho 1ª safra'!$E81:$Z81,MIN(AN$6-$E$3,22))),0))-IF($G$2,0,IF((AN$6-$G$3)&lt;1,0,IFERROR(LOOKUP(2,1/('Milho 1ª safra'!$E81:INDEX('Milho 1ª safra'!$E81:$Z81,MIN(AN$6-$G$3,22))&lt;&gt;""),'Milho 1ª safra'!$E81:INDEX('Milho 1ª safra'!$E81:$Z81,MIN(AN$6-$G$3,22))),0)))))</f>
        <v>0</v>
      </c>
      <c r="AO83" s="27" t="n">
        <f aca="false">IF(COUNT('Milho 1ª safra'!$E81:$Z81)=0,0,MAX(0,IF((AO$6-$E$3)&lt;1,0,IFERROR(LOOKUP(2,1/('Milho 1ª safra'!$E81:INDEX('Milho 1ª safra'!$E81:$Z81,MIN(AO$6-$E$3,22))&lt;&gt;""),'Milho 1ª safra'!$E81:INDEX('Milho 1ª safra'!$E81:$Z81,MIN(AO$6-$E$3,22))),0))-IF($G$2,0,IF((AO$6-$G$3)&lt;1,0,IFERROR(LOOKUP(2,1/('Milho 1ª safra'!$E81:INDEX('Milho 1ª safra'!$E81:$Z81,MIN(AO$6-$G$3,22))&lt;&gt;""),'Milho 1ª safra'!$E81:INDEX('Milho 1ª safra'!$E81:$Z81,MIN(AO$6-$G$3,22))),0)))))</f>
        <v>0</v>
      </c>
      <c r="AP83" s="27" t="n">
        <f aca="false">IF(COUNT('Milho 1ª safra'!$E81:$Z81)=0,0,MAX(0,IF((AP$6-$E$3)&lt;1,0,IFERROR(LOOKUP(2,1/('Milho 1ª safra'!$E81:INDEX('Milho 1ª safra'!$E81:$Z81,MIN(AP$6-$E$3,22))&lt;&gt;""),'Milho 1ª safra'!$E81:INDEX('Milho 1ª safra'!$E81:$Z81,MIN(AP$6-$E$3,22))),0))-IF($G$2,0,IF((AP$6-$G$3)&lt;1,0,IFERROR(LOOKUP(2,1/('Milho 1ª safra'!$E81:INDEX('Milho 1ª safra'!$E81:$Z81,MIN(AP$6-$G$3,22))&lt;&gt;""),'Milho 1ª safra'!$E81:INDEX('Milho 1ª safra'!$E81:$Z81,MIN(AP$6-$G$3,22))),0)))))</f>
        <v>0</v>
      </c>
      <c r="AQ83" s="27" t="n">
        <f aca="false">IF(COUNT('Milho 1ª safra'!$E81:$Z81)=0,0,MAX(0,IF((AQ$6-$E$3)&lt;1,0,IFERROR(LOOKUP(2,1/('Milho 1ª safra'!$E81:INDEX('Milho 1ª safra'!$E81:$Z81,MIN(AQ$6-$E$3,22))&lt;&gt;""),'Milho 1ª safra'!$E81:INDEX('Milho 1ª safra'!$E81:$Z81,MIN(AQ$6-$E$3,22))),0))-IF($G$2,0,IF((AQ$6-$G$3)&lt;1,0,IFERROR(LOOKUP(2,1/('Milho 1ª safra'!$E81:INDEX('Milho 1ª safra'!$E81:$Z81,MIN(AQ$6-$G$3,22))&lt;&gt;""),'Milho 1ª safra'!$E81:INDEX('Milho 1ª safra'!$E81:$Z81,MIN(AQ$6-$G$3,22))),0)))))</f>
        <v>0</v>
      </c>
      <c r="AR83" s="27" t="n">
        <f aca="false">IF(COUNT('Milho 1ª safra'!$E81:$Z81)=0,0,MAX(0,IF((AR$6-$E$3)&lt;1,0,IFERROR(LOOKUP(2,1/('Milho 1ª safra'!$E81:INDEX('Milho 1ª safra'!$E81:$Z81,MIN(AR$6-$E$3,22))&lt;&gt;""),'Milho 1ª safra'!$E81:INDEX('Milho 1ª safra'!$E81:$Z81,MIN(AR$6-$E$3,22))),0))-IF($G$2,0,IF((AR$6-$G$3)&lt;1,0,IFERROR(LOOKUP(2,1/('Milho 1ª safra'!$E81:INDEX('Milho 1ª safra'!$E81:$Z81,MIN(AR$6-$G$3,22))&lt;&gt;""),'Milho 1ª safra'!$E81:INDEX('Milho 1ª safra'!$E81:$Z81,MIN(AR$6-$G$3,22))),0)))))</f>
        <v>0</v>
      </c>
      <c r="AS83" s="27" t="n">
        <f aca="false">IF(COUNT('Milho 1ª safra'!$E81:$Z81)=0,0,MAX(0,IF((AS$6-$E$3)&lt;1,0,IFERROR(LOOKUP(2,1/('Milho 1ª safra'!$E81:INDEX('Milho 1ª safra'!$E81:$Z81,MIN(AS$6-$E$3,22))&lt;&gt;""),'Milho 1ª safra'!$E81:INDEX('Milho 1ª safra'!$E81:$Z81,MIN(AS$6-$E$3,22))),0))-IF($G$2,0,IF((AS$6-$G$3)&lt;1,0,IFERROR(LOOKUP(2,1/('Milho 1ª safra'!$E81:INDEX('Milho 1ª safra'!$E81:$Z81,MIN(AS$6-$G$3,22))&lt;&gt;""),'Milho 1ª safra'!$E81:INDEX('Milho 1ª safra'!$E81:$Z81,MIN(AS$6-$G$3,22))),0)))))</f>
        <v>0</v>
      </c>
      <c r="AT83" s="27" t="n">
        <f aca="false">IF(COUNT('Milho 1ª safra'!$E81:$Z81)=0,0,MAX(0,IF((AT$6-$E$3)&lt;1,0,IFERROR(LOOKUP(2,1/('Milho 1ª safra'!$E81:INDEX('Milho 1ª safra'!$E81:$Z81,MIN(AT$6-$E$3,22))&lt;&gt;""),'Milho 1ª safra'!$E81:INDEX('Milho 1ª safra'!$E81:$Z81,MIN(AT$6-$E$3,22))),0))-IF($G$2,0,IF((AT$6-$G$3)&lt;1,0,IFERROR(LOOKUP(2,1/('Milho 1ª safra'!$E81:INDEX('Milho 1ª safra'!$E81:$Z81,MIN(AT$6-$G$3,22))&lt;&gt;""),'Milho 1ª safra'!$E81:INDEX('Milho 1ª safra'!$E81:$Z81,MIN(AT$6-$G$3,22))),0)))))</f>
        <v>0</v>
      </c>
      <c r="AU83" s="27" t="n">
        <f aca="false">IF(COUNT('Milho 1ª safra'!$E81:$Z81)=0,0,MAX(0,IF((AU$6-$E$3)&lt;1,0,IFERROR(LOOKUP(2,1/('Milho 1ª safra'!$E81:INDEX('Milho 1ª safra'!$E81:$Z81,MIN(AU$6-$E$3,22))&lt;&gt;""),'Milho 1ª safra'!$E81:INDEX('Milho 1ª safra'!$E81:$Z81,MIN(AU$6-$E$3,22))),0))-IF($G$2,0,IF((AU$6-$G$3)&lt;1,0,IFERROR(LOOKUP(2,1/('Milho 1ª safra'!$E81:INDEX('Milho 1ª safra'!$E81:$Z81,MIN(AU$6-$G$3,22))&lt;&gt;""),'Milho 1ª safra'!$E81:INDEX('Milho 1ª safra'!$E81:$Z81,MIN(AU$6-$G$3,22))),0)))))</f>
        <v>0</v>
      </c>
      <c r="AV83" s="27" t="n">
        <f aca="false">IF(COUNT('Milho 1ª safra'!$E81:$Z81)=0,0,MAX(0,IF((AV$6-$E$3)&lt;1,0,IFERROR(LOOKUP(2,1/('Milho 1ª safra'!$E81:INDEX('Milho 1ª safra'!$E81:$Z81,MIN(AV$6-$E$3,22))&lt;&gt;""),'Milho 1ª safra'!$E81:INDEX('Milho 1ª safra'!$E81:$Z81,MIN(AV$6-$E$3,22))),0))-IF($G$2,0,IF((AV$6-$G$3)&lt;1,0,IFERROR(LOOKUP(2,1/('Milho 1ª safra'!$E81:INDEX('Milho 1ª safra'!$E81:$Z81,MIN(AV$6-$G$3,22))&lt;&gt;""),'Milho 1ª safra'!$E81:INDEX('Milho 1ª safra'!$E81:$Z81,MIN(AV$6-$G$3,22))),0)))))</f>
        <v>0</v>
      </c>
      <c r="AW83" s="27" t="n">
        <f aca="false">IF(COUNT('Milho 1ª safra'!$E81:$Z81)=0,0,MAX(0,IF((AW$6-$E$3)&lt;1,0,IFERROR(LOOKUP(2,1/('Milho 1ª safra'!$E81:INDEX('Milho 1ª safra'!$E81:$Z81,MIN(AW$6-$E$3,22))&lt;&gt;""),'Milho 1ª safra'!$E81:INDEX('Milho 1ª safra'!$E81:$Z81,MIN(AW$6-$E$3,22))),0))-IF($G$2,0,IF((AW$6-$G$3)&lt;1,0,IFERROR(LOOKUP(2,1/('Milho 1ª safra'!$E81:INDEX('Milho 1ª safra'!$E81:$Z81,MIN(AW$6-$G$3,22))&lt;&gt;""),'Milho 1ª safra'!$E81:INDEX('Milho 1ª safra'!$E81:$Z81,MIN(AW$6-$G$3,22))),0)))))</f>
        <v>0</v>
      </c>
      <c r="AX83" s="27" t="n">
        <f aca="false">IF(COUNT('Milho 1ª safra'!$E81:$Z81)=0,0,MAX(0,IF((AX$6-$E$3)&lt;1,0,IFERROR(LOOKUP(2,1/('Milho 1ª safra'!$E81:INDEX('Milho 1ª safra'!$E81:$Z81,MIN(AX$6-$E$3,22))&lt;&gt;""),'Milho 1ª safra'!$E81:INDEX('Milho 1ª safra'!$E81:$Z81,MIN(AX$6-$E$3,22))),0))-IF($G$2,0,IF((AX$6-$G$3)&lt;1,0,IFERROR(LOOKUP(2,1/('Milho 1ª safra'!$E81:INDEX('Milho 1ª safra'!$E81:$Z81,MIN(AX$6-$G$3,22))&lt;&gt;""),'Milho 1ª safra'!$E81:INDEX('Milho 1ª safra'!$E81:$Z81,MIN(AX$6-$G$3,22))),0)))))</f>
        <v>0</v>
      </c>
      <c r="AY83" s="27" t="n">
        <f aca="false">IF(COUNT('Milho 1ª safra'!$E81:$Z81)=0,0,MAX(0,IF((AY$6-$E$3)&lt;1,0,IFERROR(LOOKUP(2,1/('Milho 1ª safra'!$E81:INDEX('Milho 1ª safra'!$E81:$Z81,MIN(AY$6-$E$3,22))&lt;&gt;""),'Milho 1ª safra'!$E81:INDEX('Milho 1ª safra'!$E81:$Z81,MIN(AY$6-$E$3,22))),0))-IF($G$2,0,IF((AY$6-$G$3)&lt;1,0,IFERROR(LOOKUP(2,1/('Milho 1ª safra'!$E81:INDEX('Milho 1ª safra'!$E81:$Z81,MIN(AY$6-$G$3,22))&lt;&gt;""),'Milho 1ª safra'!$E81:INDEX('Milho 1ª safra'!$E81:$Z81,MIN(AY$6-$G$3,22))),0)))))</f>
        <v>0</v>
      </c>
      <c r="AZ83" s="27" t="n">
        <f aca="false">IF(COUNT('Milho 1ª safra'!$E81:$Z81)=0,0,MAX(0,IF((AZ$6-$E$3)&lt;1,0,IFERROR(LOOKUP(2,1/('Milho 1ª safra'!$E81:INDEX('Milho 1ª safra'!$E81:$Z81,MIN(AZ$6-$E$3,22))&lt;&gt;""),'Milho 1ª safra'!$E81:INDEX('Milho 1ª safra'!$E81:$Z81,MIN(AZ$6-$E$3,22))),0))-IF($G$2,0,IF((AZ$6-$G$3)&lt;1,0,IFERROR(LOOKUP(2,1/('Milho 1ª safra'!$E81:INDEX('Milho 1ª safra'!$E81:$Z81,MIN(AZ$6-$G$3,22))&lt;&gt;""),'Milho 1ª safra'!$E81:INDEX('Milho 1ª safra'!$E81:$Z81,MIN(AZ$6-$G$3,22))),0)))))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IF(COUNT('Milho 1ª safra'!$E82:$Z82)&gt;0,N('Milho 1ª safra'!$D82),0)</f>
        <v>0</v>
      </c>
      <c r="E84" s="27" t="n">
        <f aca="false">IF(COUNT('Milho 1ª safra'!$E82:$Z82)=0,0,MAX(0,IF((E$6-$E$3)&lt;1,0,IFERROR(LOOKUP(2,1/('Milho 1ª safra'!$E82:INDEX('Milho 1ª safra'!$E82:$Z82,MIN(E$6-$E$3,22))&lt;&gt;""),'Milho 1ª safra'!$E82:INDEX('Milho 1ª safra'!$E82:$Z82,MIN(E$6-$E$3,22))),0))-IF($G$2,0,IF((E$6-$G$3)&lt;1,0,IFERROR(LOOKUP(2,1/('Milho 1ª safra'!$E82:INDEX('Milho 1ª safra'!$E82:$Z82,MIN(E$6-$G$3,22))&lt;&gt;""),'Milho 1ª safra'!$E82:INDEX('Milho 1ª safra'!$E82:$Z82,MIN(E$6-$G$3,22))),0)))))</f>
        <v>0</v>
      </c>
      <c r="F84" s="27" t="n">
        <f aca="false">IF(COUNT('Milho 1ª safra'!$E82:$Z82)=0,0,MAX(0,IF((F$6-$E$3)&lt;1,0,IFERROR(LOOKUP(2,1/('Milho 1ª safra'!$E82:INDEX('Milho 1ª safra'!$E82:$Z82,MIN(F$6-$E$3,22))&lt;&gt;""),'Milho 1ª safra'!$E82:INDEX('Milho 1ª safra'!$E82:$Z82,MIN(F$6-$E$3,22))),0))-IF($G$2,0,IF((F$6-$G$3)&lt;1,0,IFERROR(LOOKUP(2,1/('Milho 1ª safra'!$E82:INDEX('Milho 1ª safra'!$E82:$Z82,MIN(F$6-$G$3,22))&lt;&gt;""),'Milho 1ª safra'!$E82:INDEX('Milho 1ª safra'!$E82:$Z82,MIN(F$6-$G$3,22))),0)))))</f>
        <v>0</v>
      </c>
      <c r="G84" s="27" t="n">
        <f aca="false">IF(COUNT('Milho 1ª safra'!$E82:$Z82)=0,0,MAX(0,IF((G$6-$E$3)&lt;1,0,IFERROR(LOOKUP(2,1/('Milho 1ª safra'!$E82:INDEX('Milho 1ª safra'!$E82:$Z82,MIN(G$6-$E$3,22))&lt;&gt;""),'Milho 1ª safra'!$E82:INDEX('Milho 1ª safra'!$E82:$Z82,MIN(G$6-$E$3,22))),0))-IF($G$2,0,IF((G$6-$G$3)&lt;1,0,IFERROR(LOOKUP(2,1/('Milho 1ª safra'!$E82:INDEX('Milho 1ª safra'!$E82:$Z82,MIN(G$6-$G$3,22))&lt;&gt;""),'Milho 1ª safra'!$E82:INDEX('Milho 1ª safra'!$E82:$Z82,MIN(G$6-$G$3,22))),0)))))</f>
        <v>0</v>
      </c>
      <c r="H84" s="27" t="n">
        <f aca="false">IF(COUNT('Milho 1ª safra'!$E82:$Z82)=0,0,MAX(0,IF((H$6-$E$3)&lt;1,0,IFERROR(LOOKUP(2,1/('Milho 1ª safra'!$E82:INDEX('Milho 1ª safra'!$E82:$Z82,MIN(H$6-$E$3,22))&lt;&gt;""),'Milho 1ª safra'!$E82:INDEX('Milho 1ª safra'!$E82:$Z82,MIN(H$6-$E$3,22))),0))-IF($G$2,0,IF((H$6-$G$3)&lt;1,0,IFERROR(LOOKUP(2,1/('Milho 1ª safra'!$E82:INDEX('Milho 1ª safra'!$E82:$Z82,MIN(H$6-$G$3,22))&lt;&gt;""),'Milho 1ª safra'!$E82:INDEX('Milho 1ª safra'!$E82:$Z82,MIN(H$6-$G$3,22))),0)))))</f>
        <v>0</v>
      </c>
      <c r="I84" s="27" t="n">
        <f aca="false">IF(COUNT('Milho 1ª safra'!$E82:$Z82)=0,0,MAX(0,IF((I$6-$E$3)&lt;1,0,IFERROR(LOOKUP(2,1/('Milho 1ª safra'!$E82:INDEX('Milho 1ª safra'!$E82:$Z82,MIN(I$6-$E$3,22))&lt;&gt;""),'Milho 1ª safra'!$E82:INDEX('Milho 1ª safra'!$E82:$Z82,MIN(I$6-$E$3,22))),0))-IF($G$2,0,IF((I$6-$G$3)&lt;1,0,IFERROR(LOOKUP(2,1/('Milho 1ª safra'!$E82:INDEX('Milho 1ª safra'!$E82:$Z82,MIN(I$6-$G$3,22))&lt;&gt;""),'Milho 1ª safra'!$E82:INDEX('Milho 1ª safra'!$E82:$Z82,MIN(I$6-$G$3,22))),0)))))</f>
        <v>0</v>
      </c>
      <c r="J84" s="27" t="n">
        <f aca="false">IF(COUNT('Milho 1ª safra'!$E82:$Z82)=0,0,MAX(0,IF((J$6-$E$3)&lt;1,0,IFERROR(LOOKUP(2,1/('Milho 1ª safra'!$E82:INDEX('Milho 1ª safra'!$E82:$Z82,MIN(J$6-$E$3,22))&lt;&gt;""),'Milho 1ª safra'!$E82:INDEX('Milho 1ª safra'!$E82:$Z82,MIN(J$6-$E$3,22))),0))-IF($G$2,0,IF((J$6-$G$3)&lt;1,0,IFERROR(LOOKUP(2,1/('Milho 1ª safra'!$E82:INDEX('Milho 1ª safra'!$E82:$Z82,MIN(J$6-$G$3,22))&lt;&gt;""),'Milho 1ª safra'!$E82:INDEX('Milho 1ª safra'!$E82:$Z82,MIN(J$6-$G$3,22))),0)))))</f>
        <v>0</v>
      </c>
      <c r="K84" s="27" t="n">
        <f aca="false">IF(COUNT('Milho 1ª safra'!$E82:$Z82)=0,0,MAX(0,IF((K$6-$E$3)&lt;1,0,IFERROR(LOOKUP(2,1/('Milho 1ª safra'!$E82:INDEX('Milho 1ª safra'!$E82:$Z82,MIN(K$6-$E$3,22))&lt;&gt;""),'Milho 1ª safra'!$E82:INDEX('Milho 1ª safra'!$E82:$Z82,MIN(K$6-$E$3,22))),0))-IF($G$2,0,IF((K$6-$G$3)&lt;1,0,IFERROR(LOOKUP(2,1/('Milho 1ª safra'!$E82:INDEX('Milho 1ª safra'!$E82:$Z82,MIN(K$6-$G$3,22))&lt;&gt;""),'Milho 1ª safra'!$E82:INDEX('Milho 1ª safra'!$E82:$Z82,MIN(K$6-$G$3,22))),0)))))</f>
        <v>0</v>
      </c>
      <c r="L84" s="27" t="n">
        <f aca="false">IF(COUNT('Milho 1ª safra'!$E82:$Z82)=0,0,MAX(0,IF((L$6-$E$3)&lt;1,0,IFERROR(LOOKUP(2,1/('Milho 1ª safra'!$E82:INDEX('Milho 1ª safra'!$E82:$Z82,MIN(L$6-$E$3,22))&lt;&gt;""),'Milho 1ª safra'!$E82:INDEX('Milho 1ª safra'!$E82:$Z82,MIN(L$6-$E$3,22))),0))-IF($G$2,0,IF((L$6-$G$3)&lt;1,0,IFERROR(LOOKUP(2,1/('Milho 1ª safra'!$E82:INDEX('Milho 1ª safra'!$E82:$Z82,MIN(L$6-$G$3,22))&lt;&gt;""),'Milho 1ª safra'!$E82:INDEX('Milho 1ª safra'!$E82:$Z82,MIN(L$6-$G$3,22))),0)))))</f>
        <v>0</v>
      </c>
      <c r="M84" s="27" t="n">
        <f aca="false">IF(COUNT('Milho 1ª safra'!$E82:$Z82)=0,0,MAX(0,IF((M$6-$E$3)&lt;1,0,IFERROR(LOOKUP(2,1/('Milho 1ª safra'!$E82:INDEX('Milho 1ª safra'!$E82:$Z82,MIN(M$6-$E$3,22))&lt;&gt;""),'Milho 1ª safra'!$E82:INDEX('Milho 1ª safra'!$E82:$Z82,MIN(M$6-$E$3,22))),0))-IF($G$2,0,IF((M$6-$G$3)&lt;1,0,IFERROR(LOOKUP(2,1/('Milho 1ª safra'!$E82:INDEX('Milho 1ª safra'!$E82:$Z82,MIN(M$6-$G$3,22))&lt;&gt;""),'Milho 1ª safra'!$E82:INDEX('Milho 1ª safra'!$E82:$Z82,MIN(M$6-$G$3,22))),0)))))</f>
        <v>0</v>
      </c>
      <c r="N84" s="27" t="n">
        <f aca="false">IF(COUNT('Milho 1ª safra'!$E82:$Z82)=0,0,MAX(0,IF((N$6-$E$3)&lt;1,0,IFERROR(LOOKUP(2,1/('Milho 1ª safra'!$E82:INDEX('Milho 1ª safra'!$E82:$Z82,MIN(N$6-$E$3,22))&lt;&gt;""),'Milho 1ª safra'!$E82:INDEX('Milho 1ª safra'!$E82:$Z82,MIN(N$6-$E$3,22))),0))-IF($G$2,0,IF((N$6-$G$3)&lt;1,0,IFERROR(LOOKUP(2,1/('Milho 1ª safra'!$E82:INDEX('Milho 1ª safra'!$E82:$Z82,MIN(N$6-$G$3,22))&lt;&gt;""),'Milho 1ª safra'!$E82:INDEX('Milho 1ª safra'!$E82:$Z82,MIN(N$6-$G$3,22))),0)))))</f>
        <v>0</v>
      </c>
      <c r="O84" s="27" t="n">
        <f aca="false">IF(COUNT('Milho 1ª safra'!$E82:$Z82)=0,0,MAX(0,IF((O$6-$E$3)&lt;1,0,IFERROR(LOOKUP(2,1/('Milho 1ª safra'!$E82:INDEX('Milho 1ª safra'!$E82:$Z82,MIN(O$6-$E$3,22))&lt;&gt;""),'Milho 1ª safra'!$E82:INDEX('Milho 1ª safra'!$E82:$Z82,MIN(O$6-$E$3,22))),0))-IF($G$2,0,IF((O$6-$G$3)&lt;1,0,IFERROR(LOOKUP(2,1/('Milho 1ª safra'!$E82:INDEX('Milho 1ª safra'!$E82:$Z82,MIN(O$6-$G$3,22))&lt;&gt;""),'Milho 1ª safra'!$E82:INDEX('Milho 1ª safra'!$E82:$Z82,MIN(O$6-$G$3,22))),0)))))</f>
        <v>0</v>
      </c>
      <c r="P84" s="27" t="n">
        <f aca="false">IF(COUNT('Milho 1ª safra'!$E82:$Z82)=0,0,MAX(0,IF((P$6-$E$3)&lt;1,0,IFERROR(LOOKUP(2,1/('Milho 1ª safra'!$E82:INDEX('Milho 1ª safra'!$E82:$Z82,MIN(P$6-$E$3,22))&lt;&gt;""),'Milho 1ª safra'!$E82:INDEX('Milho 1ª safra'!$E82:$Z82,MIN(P$6-$E$3,22))),0))-IF($G$2,0,IF((P$6-$G$3)&lt;1,0,IFERROR(LOOKUP(2,1/('Milho 1ª safra'!$E82:INDEX('Milho 1ª safra'!$E82:$Z82,MIN(P$6-$G$3,22))&lt;&gt;""),'Milho 1ª safra'!$E82:INDEX('Milho 1ª safra'!$E82:$Z82,MIN(P$6-$G$3,22))),0)))))</f>
        <v>0</v>
      </c>
      <c r="Q84" s="27" t="n">
        <f aca="false">IF(COUNT('Milho 1ª safra'!$E82:$Z82)=0,0,MAX(0,IF((Q$6-$E$3)&lt;1,0,IFERROR(LOOKUP(2,1/('Milho 1ª safra'!$E82:INDEX('Milho 1ª safra'!$E82:$Z82,MIN(Q$6-$E$3,22))&lt;&gt;""),'Milho 1ª safra'!$E82:INDEX('Milho 1ª safra'!$E82:$Z82,MIN(Q$6-$E$3,22))),0))-IF($G$2,0,IF((Q$6-$G$3)&lt;1,0,IFERROR(LOOKUP(2,1/('Milho 1ª safra'!$E82:INDEX('Milho 1ª safra'!$E82:$Z82,MIN(Q$6-$G$3,22))&lt;&gt;""),'Milho 1ª safra'!$E82:INDEX('Milho 1ª safra'!$E82:$Z82,MIN(Q$6-$G$3,22))),0)))))</f>
        <v>0</v>
      </c>
      <c r="R84" s="27" t="n">
        <f aca="false">IF(COUNT('Milho 1ª safra'!$E82:$Z82)=0,0,MAX(0,IF((R$6-$E$3)&lt;1,0,IFERROR(LOOKUP(2,1/('Milho 1ª safra'!$E82:INDEX('Milho 1ª safra'!$E82:$Z82,MIN(R$6-$E$3,22))&lt;&gt;""),'Milho 1ª safra'!$E82:INDEX('Milho 1ª safra'!$E82:$Z82,MIN(R$6-$E$3,22))),0))-IF($G$2,0,IF((R$6-$G$3)&lt;1,0,IFERROR(LOOKUP(2,1/('Milho 1ª safra'!$E82:INDEX('Milho 1ª safra'!$E82:$Z82,MIN(R$6-$G$3,22))&lt;&gt;""),'Milho 1ª safra'!$E82:INDEX('Milho 1ª safra'!$E82:$Z82,MIN(R$6-$G$3,22))),0)))))</f>
        <v>0</v>
      </c>
      <c r="S84" s="27" t="n">
        <f aca="false">IF(COUNT('Milho 1ª safra'!$E82:$Z82)=0,0,MAX(0,IF((S$6-$E$3)&lt;1,0,IFERROR(LOOKUP(2,1/('Milho 1ª safra'!$E82:INDEX('Milho 1ª safra'!$E82:$Z82,MIN(S$6-$E$3,22))&lt;&gt;""),'Milho 1ª safra'!$E82:INDEX('Milho 1ª safra'!$E82:$Z82,MIN(S$6-$E$3,22))),0))-IF($G$2,0,IF((S$6-$G$3)&lt;1,0,IFERROR(LOOKUP(2,1/('Milho 1ª safra'!$E82:INDEX('Milho 1ª safra'!$E82:$Z82,MIN(S$6-$G$3,22))&lt;&gt;""),'Milho 1ª safra'!$E82:INDEX('Milho 1ª safra'!$E82:$Z82,MIN(S$6-$G$3,22))),0)))))</f>
        <v>0</v>
      </c>
      <c r="T84" s="27" t="n">
        <f aca="false">IF(COUNT('Milho 1ª safra'!$E82:$Z82)=0,0,MAX(0,IF((T$6-$E$3)&lt;1,0,IFERROR(LOOKUP(2,1/('Milho 1ª safra'!$E82:INDEX('Milho 1ª safra'!$E82:$Z82,MIN(T$6-$E$3,22))&lt;&gt;""),'Milho 1ª safra'!$E82:INDEX('Milho 1ª safra'!$E82:$Z82,MIN(T$6-$E$3,22))),0))-IF($G$2,0,IF((T$6-$G$3)&lt;1,0,IFERROR(LOOKUP(2,1/('Milho 1ª safra'!$E82:INDEX('Milho 1ª safra'!$E82:$Z82,MIN(T$6-$G$3,22))&lt;&gt;""),'Milho 1ª safra'!$E82:INDEX('Milho 1ª safra'!$E82:$Z82,MIN(T$6-$G$3,22))),0)))))</f>
        <v>0</v>
      </c>
      <c r="U84" s="27" t="n">
        <f aca="false">IF(COUNT('Milho 1ª safra'!$E82:$Z82)=0,0,MAX(0,IF((U$6-$E$3)&lt;1,0,IFERROR(LOOKUP(2,1/('Milho 1ª safra'!$E82:INDEX('Milho 1ª safra'!$E82:$Z82,MIN(U$6-$E$3,22))&lt;&gt;""),'Milho 1ª safra'!$E82:INDEX('Milho 1ª safra'!$E82:$Z82,MIN(U$6-$E$3,22))),0))-IF($G$2,0,IF((U$6-$G$3)&lt;1,0,IFERROR(LOOKUP(2,1/('Milho 1ª safra'!$E82:INDEX('Milho 1ª safra'!$E82:$Z82,MIN(U$6-$G$3,22))&lt;&gt;""),'Milho 1ª safra'!$E82:INDEX('Milho 1ª safra'!$E82:$Z82,MIN(U$6-$G$3,22))),0)))))</f>
        <v>0</v>
      </c>
      <c r="V84" s="27" t="n">
        <f aca="false">IF(COUNT('Milho 1ª safra'!$E82:$Z82)=0,0,MAX(0,IF((V$6-$E$3)&lt;1,0,IFERROR(LOOKUP(2,1/('Milho 1ª safra'!$E82:INDEX('Milho 1ª safra'!$E82:$Z82,MIN(V$6-$E$3,22))&lt;&gt;""),'Milho 1ª safra'!$E82:INDEX('Milho 1ª safra'!$E82:$Z82,MIN(V$6-$E$3,22))),0))-IF($G$2,0,IF((V$6-$G$3)&lt;1,0,IFERROR(LOOKUP(2,1/('Milho 1ª safra'!$E82:INDEX('Milho 1ª safra'!$E82:$Z82,MIN(V$6-$G$3,22))&lt;&gt;""),'Milho 1ª safra'!$E82:INDEX('Milho 1ª safra'!$E82:$Z82,MIN(V$6-$G$3,22))),0)))))</f>
        <v>0</v>
      </c>
      <c r="W84" s="27" t="n">
        <f aca="false">IF(COUNT('Milho 1ª safra'!$E82:$Z82)=0,0,MAX(0,IF((W$6-$E$3)&lt;1,0,IFERROR(LOOKUP(2,1/('Milho 1ª safra'!$E82:INDEX('Milho 1ª safra'!$E82:$Z82,MIN(W$6-$E$3,22))&lt;&gt;""),'Milho 1ª safra'!$E82:INDEX('Milho 1ª safra'!$E82:$Z82,MIN(W$6-$E$3,22))),0))-IF($G$2,0,IF((W$6-$G$3)&lt;1,0,IFERROR(LOOKUP(2,1/('Milho 1ª safra'!$E82:INDEX('Milho 1ª safra'!$E82:$Z82,MIN(W$6-$G$3,22))&lt;&gt;""),'Milho 1ª safra'!$E82:INDEX('Milho 1ª safra'!$E82:$Z82,MIN(W$6-$G$3,22))),0)))))</f>
        <v>0</v>
      </c>
      <c r="X84" s="27" t="n">
        <f aca="false">IF(COUNT('Milho 1ª safra'!$E82:$Z82)=0,0,MAX(0,IF((X$6-$E$3)&lt;1,0,IFERROR(LOOKUP(2,1/('Milho 1ª safra'!$E82:INDEX('Milho 1ª safra'!$E82:$Z82,MIN(X$6-$E$3,22))&lt;&gt;""),'Milho 1ª safra'!$E82:INDEX('Milho 1ª safra'!$E82:$Z82,MIN(X$6-$E$3,22))),0))-IF($G$2,0,IF((X$6-$G$3)&lt;1,0,IFERROR(LOOKUP(2,1/('Milho 1ª safra'!$E82:INDEX('Milho 1ª safra'!$E82:$Z82,MIN(X$6-$G$3,22))&lt;&gt;""),'Milho 1ª safra'!$E82:INDEX('Milho 1ª safra'!$E82:$Z82,MIN(X$6-$G$3,22))),0)))))</f>
        <v>0</v>
      </c>
      <c r="Y84" s="27" t="n">
        <f aca="false">IF(COUNT('Milho 1ª safra'!$E82:$Z82)=0,0,MAX(0,IF((Y$6-$E$3)&lt;1,0,IFERROR(LOOKUP(2,1/('Milho 1ª safra'!$E82:INDEX('Milho 1ª safra'!$E82:$Z82,MIN(Y$6-$E$3,22))&lt;&gt;""),'Milho 1ª safra'!$E82:INDEX('Milho 1ª safra'!$E82:$Z82,MIN(Y$6-$E$3,22))),0))-IF($G$2,0,IF((Y$6-$G$3)&lt;1,0,IFERROR(LOOKUP(2,1/('Milho 1ª safra'!$E82:INDEX('Milho 1ª safra'!$E82:$Z82,MIN(Y$6-$G$3,22))&lt;&gt;""),'Milho 1ª safra'!$E82:INDEX('Milho 1ª safra'!$E82:$Z82,MIN(Y$6-$G$3,22))),0)))))</f>
        <v>0</v>
      </c>
      <c r="Z84" s="27" t="n">
        <f aca="false">IF(COUNT('Milho 1ª safra'!$E82:$Z82)=0,0,MAX(0,IF((Z$6-$E$3)&lt;1,0,IFERROR(LOOKUP(2,1/('Milho 1ª safra'!$E82:INDEX('Milho 1ª safra'!$E82:$Z82,MIN(Z$6-$E$3,22))&lt;&gt;""),'Milho 1ª safra'!$E82:INDEX('Milho 1ª safra'!$E82:$Z82,MIN(Z$6-$E$3,22))),0))-IF($G$2,0,IF((Z$6-$G$3)&lt;1,0,IFERROR(LOOKUP(2,1/('Milho 1ª safra'!$E82:INDEX('Milho 1ª safra'!$E82:$Z82,MIN(Z$6-$G$3,22))&lt;&gt;""),'Milho 1ª safra'!$E82:INDEX('Milho 1ª safra'!$E82:$Z82,MIN(Z$6-$G$3,22))),0)))))</f>
        <v>0</v>
      </c>
      <c r="AA84" s="27" t="n">
        <f aca="false">IF(COUNT('Milho 1ª safra'!$E82:$Z82)=0,0,MAX(0,IF((AA$6-$E$3)&lt;1,0,IFERROR(LOOKUP(2,1/('Milho 1ª safra'!$E82:INDEX('Milho 1ª safra'!$E82:$Z82,MIN(AA$6-$E$3,22))&lt;&gt;""),'Milho 1ª safra'!$E82:INDEX('Milho 1ª safra'!$E82:$Z82,MIN(AA$6-$E$3,22))),0))-IF($G$2,0,IF((AA$6-$G$3)&lt;1,0,IFERROR(LOOKUP(2,1/('Milho 1ª safra'!$E82:INDEX('Milho 1ª safra'!$E82:$Z82,MIN(AA$6-$G$3,22))&lt;&gt;""),'Milho 1ª safra'!$E82:INDEX('Milho 1ª safra'!$E82:$Z82,MIN(AA$6-$G$3,22))),0)))))</f>
        <v>0</v>
      </c>
      <c r="AB84" s="27" t="n">
        <f aca="false">IF(COUNT('Milho 1ª safra'!$E82:$Z82)=0,0,MAX(0,IF((AB$6-$E$3)&lt;1,0,IFERROR(LOOKUP(2,1/('Milho 1ª safra'!$E82:INDEX('Milho 1ª safra'!$E82:$Z82,MIN(AB$6-$E$3,22))&lt;&gt;""),'Milho 1ª safra'!$E82:INDEX('Milho 1ª safra'!$E82:$Z82,MIN(AB$6-$E$3,22))),0))-IF($G$2,0,IF((AB$6-$G$3)&lt;1,0,IFERROR(LOOKUP(2,1/('Milho 1ª safra'!$E82:INDEX('Milho 1ª safra'!$E82:$Z82,MIN(AB$6-$G$3,22))&lt;&gt;""),'Milho 1ª safra'!$E82:INDEX('Milho 1ª safra'!$E82:$Z82,MIN(AB$6-$G$3,22))),0)))))</f>
        <v>0</v>
      </c>
      <c r="AC84" s="27" t="n">
        <f aca="false">IF(COUNT('Milho 1ª safra'!$E82:$Z82)=0,0,MAX(0,IF((AC$6-$E$3)&lt;1,0,IFERROR(LOOKUP(2,1/('Milho 1ª safra'!$E82:INDEX('Milho 1ª safra'!$E82:$Z82,MIN(AC$6-$E$3,22))&lt;&gt;""),'Milho 1ª safra'!$E82:INDEX('Milho 1ª safra'!$E82:$Z82,MIN(AC$6-$E$3,22))),0))-IF($G$2,0,IF((AC$6-$G$3)&lt;1,0,IFERROR(LOOKUP(2,1/('Milho 1ª safra'!$E82:INDEX('Milho 1ª safra'!$E82:$Z82,MIN(AC$6-$G$3,22))&lt;&gt;""),'Milho 1ª safra'!$E82:INDEX('Milho 1ª safra'!$E82:$Z82,MIN(AC$6-$G$3,22))),0)))))</f>
        <v>0</v>
      </c>
      <c r="AD84" s="27" t="n">
        <f aca="false">IF(COUNT('Milho 1ª safra'!$E82:$Z82)=0,0,MAX(0,IF((AD$6-$E$3)&lt;1,0,IFERROR(LOOKUP(2,1/('Milho 1ª safra'!$E82:INDEX('Milho 1ª safra'!$E82:$Z82,MIN(AD$6-$E$3,22))&lt;&gt;""),'Milho 1ª safra'!$E82:INDEX('Milho 1ª safra'!$E82:$Z82,MIN(AD$6-$E$3,22))),0))-IF($G$2,0,IF((AD$6-$G$3)&lt;1,0,IFERROR(LOOKUP(2,1/('Milho 1ª safra'!$E82:INDEX('Milho 1ª safra'!$E82:$Z82,MIN(AD$6-$G$3,22))&lt;&gt;""),'Milho 1ª safra'!$E82:INDEX('Milho 1ª safra'!$E82:$Z82,MIN(AD$6-$G$3,22))),0)))))</f>
        <v>0</v>
      </c>
      <c r="AE84" s="27" t="n">
        <f aca="false">IF(COUNT('Milho 1ª safra'!$E82:$Z82)=0,0,MAX(0,IF((AE$6-$E$3)&lt;1,0,IFERROR(LOOKUP(2,1/('Milho 1ª safra'!$E82:INDEX('Milho 1ª safra'!$E82:$Z82,MIN(AE$6-$E$3,22))&lt;&gt;""),'Milho 1ª safra'!$E82:INDEX('Milho 1ª safra'!$E82:$Z82,MIN(AE$6-$E$3,22))),0))-IF($G$2,0,IF((AE$6-$G$3)&lt;1,0,IFERROR(LOOKUP(2,1/('Milho 1ª safra'!$E82:INDEX('Milho 1ª safra'!$E82:$Z82,MIN(AE$6-$G$3,22))&lt;&gt;""),'Milho 1ª safra'!$E82:INDEX('Milho 1ª safra'!$E82:$Z82,MIN(AE$6-$G$3,22))),0)))))</f>
        <v>0</v>
      </c>
      <c r="AF84" s="27" t="n">
        <f aca="false">IF(COUNT('Milho 1ª safra'!$E82:$Z82)=0,0,MAX(0,IF((AF$6-$E$3)&lt;1,0,IFERROR(LOOKUP(2,1/('Milho 1ª safra'!$E82:INDEX('Milho 1ª safra'!$E82:$Z82,MIN(AF$6-$E$3,22))&lt;&gt;""),'Milho 1ª safra'!$E82:INDEX('Milho 1ª safra'!$E82:$Z82,MIN(AF$6-$E$3,22))),0))-IF($G$2,0,IF((AF$6-$G$3)&lt;1,0,IFERROR(LOOKUP(2,1/('Milho 1ª safra'!$E82:INDEX('Milho 1ª safra'!$E82:$Z82,MIN(AF$6-$G$3,22))&lt;&gt;""),'Milho 1ª safra'!$E82:INDEX('Milho 1ª safra'!$E82:$Z82,MIN(AF$6-$G$3,22))),0)))))</f>
        <v>0</v>
      </c>
      <c r="AG84" s="27" t="n">
        <f aca="false">IF(COUNT('Milho 1ª safra'!$E82:$Z82)=0,0,MAX(0,IF((AG$6-$E$3)&lt;1,0,IFERROR(LOOKUP(2,1/('Milho 1ª safra'!$E82:INDEX('Milho 1ª safra'!$E82:$Z82,MIN(AG$6-$E$3,22))&lt;&gt;""),'Milho 1ª safra'!$E82:INDEX('Milho 1ª safra'!$E82:$Z82,MIN(AG$6-$E$3,22))),0))-IF($G$2,0,IF((AG$6-$G$3)&lt;1,0,IFERROR(LOOKUP(2,1/('Milho 1ª safra'!$E82:INDEX('Milho 1ª safra'!$E82:$Z82,MIN(AG$6-$G$3,22))&lt;&gt;""),'Milho 1ª safra'!$E82:INDEX('Milho 1ª safra'!$E82:$Z82,MIN(AG$6-$G$3,22))),0)))))</f>
        <v>0</v>
      </c>
      <c r="AH84" s="27" t="n">
        <f aca="false">IF(COUNT('Milho 1ª safra'!$E82:$Z82)=0,0,MAX(0,IF((AH$6-$E$3)&lt;1,0,IFERROR(LOOKUP(2,1/('Milho 1ª safra'!$E82:INDEX('Milho 1ª safra'!$E82:$Z82,MIN(AH$6-$E$3,22))&lt;&gt;""),'Milho 1ª safra'!$E82:INDEX('Milho 1ª safra'!$E82:$Z82,MIN(AH$6-$E$3,22))),0))-IF($G$2,0,IF((AH$6-$G$3)&lt;1,0,IFERROR(LOOKUP(2,1/('Milho 1ª safra'!$E82:INDEX('Milho 1ª safra'!$E82:$Z82,MIN(AH$6-$G$3,22))&lt;&gt;""),'Milho 1ª safra'!$E82:INDEX('Milho 1ª safra'!$E82:$Z82,MIN(AH$6-$G$3,22))),0)))))</f>
        <v>0</v>
      </c>
      <c r="AI84" s="27" t="n">
        <f aca="false">IF(COUNT('Milho 1ª safra'!$E82:$Z82)=0,0,MAX(0,IF((AI$6-$E$3)&lt;1,0,IFERROR(LOOKUP(2,1/('Milho 1ª safra'!$E82:INDEX('Milho 1ª safra'!$E82:$Z82,MIN(AI$6-$E$3,22))&lt;&gt;""),'Milho 1ª safra'!$E82:INDEX('Milho 1ª safra'!$E82:$Z82,MIN(AI$6-$E$3,22))),0))-IF($G$2,0,IF((AI$6-$G$3)&lt;1,0,IFERROR(LOOKUP(2,1/('Milho 1ª safra'!$E82:INDEX('Milho 1ª safra'!$E82:$Z82,MIN(AI$6-$G$3,22))&lt;&gt;""),'Milho 1ª safra'!$E82:INDEX('Milho 1ª safra'!$E82:$Z82,MIN(AI$6-$G$3,22))),0)))))</f>
        <v>0</v>
      </c>
      <c r="AJ84" s="27" t="n">
        <f aca="false">IF(COUNT('Milho 1ª safra'!$E82:$Z82)=0,0,MAX(0,IF((AJ$6-$E$3)&lt;1,0,IFERROR(LOOKUP(2,1/('Milho 1ª safra'!$E82:INDEX('Milho 1ª safra'!$E82:$Z82,MIN(AJ$6-$E$3,22))&lt;&gt;""),'Milho 1ª safra'!$E82:INDEX('Milho 1ª safra'!$E82:$Z82,MIN(AJ$6-$E$3,22))),0))-IF($G$2,0,IF((AJ$6-$G$3)&lt;1,0,IFERROR(LOOKUP(2,1/('Milho 1ª safra'!$E82:INDEX('Milho 1ª safra'!$E82:$Z82,MIN(AJ$6-$G$3,22))&lt;&gt;""),'Milho 1ª safra'!$E82:INDEX('Milho 1ª safra'!$E82:$Z82,MIN(AJ$6-$G$3,22))),0)))))</f>
        <v>0</v>
      </c>
      <c r="AK84" s="27" t="n">
        <f aca="false">IF(COUNT('Milho 1ª safra'!$E82:$Z82)=0,0,MAX(0,IF((AK$6-$E$3)&lt;1,0,IFERROR(LOOKUP(2,1/('Milho 1ª safra'!$E82:INDEX('Milho 1ª safra'!$E82:$Z82,MIN(AK$6-$E$3,22))&lt;&gt;""),'Milho 1ª safra'!$E82:INDEX('Milho 1ª safra'!$E82:$Z82,MIN(AK$6-$E$3,22))),0))-IF($G$2,0,IF((AK$6-$G$3)&lt;1,0,IFERROR(LOOKUP(2,1/('Milho 1ª safra'!$E82:INDEX('Milho 1ª safra'!$E82:$Z82,MIN(AK$6-$G$3,22))&lt;&gt;""),'Milho 1ª safra'!$E82:INDEX('Milho 1ª safra'!$E82:$Z82,MIN(AK$6-$G$3,22))),0)))))</f>
        <v>0</v>
      </c>
      <c r="AL84" s="27" t="n">
        <f aca="false">IF(COUNT('Milho 1ª safra'!$E82:$Z82)=0,0,MAX(0,IF((AL$6-$E$3)&lt;1,0,IFERROR(LOOKUP(2,1/('Milho 1ª safra'!$E82:INDEX('Milho 1ª safra'!$E82:$Z82,MIN(AL$6-$E$3,22))&lt;&gt;""),'Milho 1ª safra'!$E82:INDEX('Milho 1ª safra'!$E82:$Z82,MIN(AL$6-$E$3,22))),0))-IF($G$2,0,IF((AL$6-$G$3)&lt;1,0,IFERROR(LOOKUP(2,1/('Milho 1ª safra'!$E82:INDEX('Milho 1ª safra'!$E82:$Z82,MIN(AL$6-$G$3,22))&lt;&gt;""),'Milho 1ª safra'!$E82:INDEX('Milho 1ª safra'!$E82:$Z82,MIN(AL$6-$G$3,22))),0)))))</f>
        <v>0</v>
      </c>
      <c r="AM84" s="27" t="n">
        <f aca="false">IF(COUNT('Milho 1ª safra'!$E82:$Z82)=0,0,MAX(0,IF((AM$6-$E$3)&lt;1,0,IFERROR(LOOKUP(2,1/('Milho 1ª safra'!$E82:INDEX('Milho 1ª safra'!$E82:$Z82,MIN(AM$6-$E$3,22))&lt;&gt;""),'Milho 1ª safra'!$E82:INDEX('Milho 1ª safra'!$E82:$Z82,MIN(AM$6-$E$3,22))),0))-IF($G$2,0,IF((AM$6-$G$3)&lt;1,0,IFERROR(LOOKUP(2,1/('Milho 1ª safra'!$E82:INDEX('Milho 1ª safra'!$E82:$Z82,MIN(AM$6-$G$3,22))&lt;&gt;""),'Milho 1ª safra'!$E82:INDEX('Milho 1ª safra'!$E82:$Z82,MIN(AM$6-$G$3,22))),0)))))</f>
        <v>0</v>
      </c>
      <c r="AN84" s="27" t="n">
        <f aca="false">IF(COUNT('Milho 1ª safra'!$E82:$Z82)=0,0,MAX(0,IF((AN$6-$E$3)&lt;1,0,IFERROR(LOOKUP(2,1/('Milho 1ª safra'!$E82:INDEX('Milho 1ª safra'!$E82:$Z82,MIN(AN$6-$E$3,22))&lt;&gt;""),'Milho 1ª safra'!$E82:INDEX('Milho 1ª safra'!$E82:$Z82,MIN(AN$6-$E$3,22))),0))-IF($G$2,0,IF((AN$6-$G$3)&lt;1,0,IFERROR(LOOKUP(2,1/('Milho 1ª safra'!$E82:INDEX('Milho 1ª safra'!$E82:$Z82,MIN(AN$6-$G$3,22))&lt;&gt;""),'Milho 1ª safra'!$E82:INDEX('Milho 1ª safra'!$E82:$Z82,MIN(AN$6-$G$3,22))),0)))))</f>
        <v>0</v>
      </c>
      <c r="AO84" s="27" t="n">
        <f aca="false">IF(COUNT('Milho 1ª safra'!$E82:$Z82)=0,0,MAX(0,IF((AO$6-$E$3)&lt;1,0,IFERROR(LOOKUP(2,1/('Milho 1ª safra'!$E82:INDEX('Milho 1ª safra'!$E82:$Z82,MIN(AO$6-$E$3,22))&lt;&gt;""),'Milho 1ª safra'!$E82:INDEX('Milho 1ª safra'!$E82:$Z82,MIN(AO$6-$E$3,22))),0))-IF($G$2,0,IF((AO$6-$G$3)&lt;1,0,IFERROR(LOOKUP(2,1/('Milho 1ª safra'!$E82:INDEX('Milho 1ª safra'!$E82:$Z82,MIN(AO$6-$G$3,22))&lt;&gt;""),'Milho 1ª safra'!$E82:INDEX('Milho 1ª safra'!$E82:$Z82,MIN(AO$6-$G$3,22))),0)))))</f>
        <v>0</v>
      </c>
      <c r="AP84" s="27" t="n">
        <f aca="false">IF(COUNT('Milho 1ª safra'!$E82:$Z82)=0,0,MAX(0,IF((AP$6-$E$3)&lt;1,0,IFERROR(LOOKUP(2,1/('Milho 1ª safra'!$E82:INDEX('Milho 1ª safra'!$E82:$Z82,MIN(AP$6-$E$3,22))&lt;&gt;""),'Milho 1ª safra'!$E82:INDEX('Milho 1ª safra'!$E82:$Z82,MIN(AP$6-$E$3,22))),0))-IF($G$2,0,IF((AP$6-$G$3)&lt;1,0,IFERROR(LOOKUP(2,1/('Milho 1ª safra'!$E82:INDEX('Milho 1ª safra'!$E82:$Z82,MIN(AP$6-$G$3,22))&lt;&gt;""),'Milho 1ª safra'!$E82:INDEX('Milho 1ª safra'!$E82:$Z82,MIN(AP$6-$G$3,22))),0)))))</f>
        <v>0</v>
      </c>
      <c r="AQ84" s="27" t="n">
        <f aca="false">IF(COUNT('Milho 1ª safra'!$E82:$Z82)=0,0,MAX(0,IF((AQ$6-$E$3)&lt;1,0,IFERROR(LOOKUP(2,1/('Milho 1ª safra'!$E82:INDEX('Milho 1ª safra'!$E82:$Z82,MIN(AQ$6-$E$3,22))&lt;&gt;""),'Milho 1ª safra'!$E82:INDEX('Milho 1ª safra'!$E82:$Z82,MIN(AQ$6-$E$3,22))),0))-IF($G$2,0,IF((AQ$6-$G$3)&lt;1,0,IFERROR(LOOKUP(2,1/('Milho 1ª safra'!$E82:INDEX('Milho 1ª safra'!$E82:$Z82,MIN(AQ$6-$G$3,22))&lt;&gt;""),'Milho 1ª safra'!$E82:INDEX('Milho 1ª safra'!$E82:$Z82,MIN(AQ$6-$G$3,22))),0)))))</f>
        <v>0</v>
      </c>
      <c r="AR84" s="27" t="n">
        <f aca="false">IF(COUNT('Milho 1ª safra'!$E82:$Z82)=0,0,MAX(0,IF((AR$6-$E$3)&lt;1,0,IFERROR(LOOKUP(2,1/('Milho 1ª safra'!$E82:INDEX('Milho 1ª safra'!$E82:$Z82,MIN(AR$6-$E$3,22))&lt;&gt;""),'Milho 1ª safra'!$E82:INDEX('Milho 1ª safra'!$E82:$Z82,MIN(AR$6-$E$3,22))),0))-IF($G$2,0,IF((AR$6-$G$3)&lt;1,0,IFERROR(LOOKUP(2,1/('Milho 1ª safra'!$E82:INDEX('Milho 1ª safra'!$E82:$Z82,MIN(AR$6-$G$3,22))&lt;&gt;""),'Milho 1ª safra'!$E82:INDEX('Milho 1ª safra'!$E82:$Z82,MIN(AR$6-$G$3,22))),0)))))</f>
        <v>0</v>
      </c>
      <c r="AS84" s="27" t="n">
        <f aca="false">IF(COUNT('Milho 1ª safra'!$E82:$Z82)=0,0,MAX(0,IF((AS$6-$E$3)&lt;1,0,IFERROR(LOOKUP(2,1/('Milho 1ª safra'!$E82:INDEX('Milho 1ª safra'!$E82:$Z82,MIN(AS$6-$E$3,22))&lt;&gt;""),'Milho 1ª safra'!$E82:INDEX('Milho 1ª safra'!$E82:$Z82,MIN(AS$6-$E$3,22))),0))-IF($G$2,0,IF((AS$6-$G$3)&lt;1,0,IFERROR(LOOKUP(2,1/('Milho 1ª safra'!$E82:INDEX('Milho 1ª safra'!$E82:$Z82,MIN(AS$6-$G$3,22))&lt;&gt;""),'Milho 1ª safra'!$E82:INDEX('Milho 1ª safra'!$E82:$Z82,MIN(AS$6-$G$3,22))),0)))))</f>
        <v>0</v>
      </c>
      <c r="AT84" s="27" t="n">
        <f aca="false">IF(COUNT('Milho 1ª safra'!$E82:$Z82)=0,0,MAX(0,IF((AT$6-$E$3)&lt;1,0,IFERROR(LOOKUP(2,1/('Milho 1ª safra'!$E82:INDEX('Milho 1ª safra'!$E82:$Z82,MIN(AT$6-$E$3,22))&lt;&gt;""),'Milho 1ª safra'!$E82:INDEX('Milho 1ª safra'!$E82:$Z82,MIN(AT$6-$E$3,22))),0))-IF($G$2,0,IF((AT$6-$G$3)&lt;1,0,IFERROR(LOOKUP(2,1/('Milho 1ª safra'!$E82:INDEX('Milho 1ª safra'!$E82:$Z82,MIN(AT$6-$G$3,22))&lt;&gt;""),'Milho 1ª safra'!$E82:INDEX('Milho 1ª safra'!$E82:$Z82,MIN(AT$6-$G$3,22))),0)))))</f>
        <v>0</v>
      </c>
      <c r="AU84" s="27" t="n">
        <f aca="false">IF(COUNT('Milho 1ª safra'!$E82:$Z82)=0,0,MAX(0,IF((AU$6-$E$3)&lt;1,0,IFERROR(LOOKUP(2,1/('Milho 1ª safra'!$E82:INDEX('Milho 1ª safra'!$E82:$Z82,MIN(AU$6-$E$3,22))&lt;&gt;""),'Milho 1ª safra'!$E82:INDEX('Milho 1ª safra'!$E82:$Z82,MIN(AU$6-$E$3,22))),0))-IF($G$2,0,IF((AU$6-$G$3)&lt;1,0,IFERROR(LOOKUP(2,1/('Milho 1ª safra'!$E82:INDEX('Milho 1ª safra'!$E82:$Z82,MIN(AU$6-$G$3,22))&lt;&gt;""),'Milho 1ª safra'!$E82:INDEX('Milho 1ª safra'!$E82:$Z82,MIN(AU$6-$G$3,22))),0)))))</f>
        <v>0</v>
      </c>
      <c r="AV84" s="27" t="n">
        <f aca="false">IF(COUNT('Milho 1ª safra'!$E82:$Z82)=0,0,MAX(0,IF((AV$6-$E$3)&lt;1,0,IFERROR(LOOKUP(2,1/('Milho 1ª safra'!$E82:INDEX('Milho 1ª safra'!$E82:$Z82,MIN(AV$6-$E$3,22))&lt;&gt;""),'Milho 1ª safra'!$E82:INDEX('Milho 1ª safra'!$E82:$Z82,MIN(AV$6-$E$3,22))),0))-IF($G$2,0,IF((AV$6-$G$3)&lt;1,0,IFERROR(LOOKUP(2,1/('Milho 1ª safra'!$E82:INDEX('Milho 1ª safra'!$E82:$Z82,MIN(AV$6-$G$3,22))&lt;&gt;""),'Milho 1ª safra'!$E82:INDEX('Milho 1ª safra'!$E82:$Z82,MIN(AV$6-$G$3,22))),0)))))</f>
        <v>0</v>
      </c>
      <c r="AW84" s="27" t="n">
        <f aca="false">IF(COUNT('Milho 1ª safra'!$E82:$Z82)=0,0,MAX(0,IF((AW$6-$E$3)&lt;1,0,IFERROR(LOOKUP(2,1/('Milho 1ª safra'!$E82:INDEX('Milho 1ª safra'!$E82:$Z82,MIN(AW$6-$E$3,22))&lt;&gt;""),'Milho 1ª safra'!$E82:INDEX('Milho 1ª safra'!$E82:$Z82,MIN(AW$6-$E$3,22))),0))-IF($G$2,0,IF((AW$6-$G$3)&lt;1,0,IFERROR(LOOKUP(2,1/('Milho 1ª safra'!$E82:INDEX('Milho 1ª safra'!$E82:$Z82,MIN(AW$6-$G$3,22))&lt;&gt;""),'Milho 1ª safra'!$E82:INDEX('Milho 1ª safra'!$E82:$Z82,MIN(AW$6-$G$3,22))),0)))))</f>
        <v>0</v>
      </c>
      <c r="AX84" s="27" t="n">
        <f aca="false">IF(COUNT('Milho 1ª safra'!$E82:$Z82)=0,0,MAX(0,IF((AX$6-$E$3)&lt;1,0,IFERROR(LOOKUP(2,1/('Milho 1ª safra'!$E82:INDEX('Milho 1ª safra'!$E82:$Z82,MIN(AX$6-$E$3,22))&lt;&gt;""),'Milho 1ª safra'!$E82:INDEX('Milho 1ª safra'!$E82:$Z82,MIN(AX$6-$E$3,22))),0))-IF($G$2,0,IF((AX$6-$G$3)&lt;1,0,IFERROR(LOOKUP(2,1/('Milho 1ª safra'!$E82:INDEX('Milho 1ª safra'!$E82:$Z82,MIN(AX$6-$G$3,22))&lt;&gt;""),'Milho 1ª safra'!$E82:INDEX('Milho 1ª safra'!$E82:$Z82,MIN(AX$6-$G$3,22))),0)))))</f>
        <v>0</v>
      </c>
      <c r="AY84" s="27" t="n">
        <f aca="false">IF(COUNT('Milho 1ª safra'!$E82:$Z82)=0,0,MAX(0,IF((AY$6-$E$3)&lt;1,0,IFERROR(LOOKUP(2,1/('Milho 1ª safra'!$E82:INDEX('Milho 1ª safra'!$E82:$Z82,MIN(AY$6-$E$3,22))&lt;&gt;""),'Milho 1ª safra'!$E82:INDEX('Milho 1ª safra'!$E82:$Z82,MIN(AY$6-$E$3,22))),0))-IF($G$2,0,IF((AY$6-$G$3)&lt;1,0,IFERROR(LOOKUP(2,1/('Milho 1ª safra'!$E82:INDEX('Milho 1ª safra'!$E82:$Z82,MIN(AY$6-$G$3,22))&lt;&gt;""),'Milho 1ª safra'!$E82:INDEX('Milho 1ª safra'!$E82:$Z82,MIN(AY$6-$G$3,22))),0)))))</f>
        <v>0</v>
      </c>
      <c r="AZ84" s="27" t="n">
        <f aca="false">IF(COUNT('Milho 1ª safra'!$E82:$Z82)=0,0,MAX(0,IF((AZ$6-$E$3)&lt;1,0,IFERROR(LOOKUP(2,1/('Milho 1ª safra'!$E82:INDEX('Milho 1ª safra'!$E82:$Z82,MIN(AZ$6-$E$3,22))&lt;&gt;""),'Milho 1ª safra'!$E82:INDEX('Milho 1ª safra'!$E82:$Z82,MIN(AZ$6-$E$3,22))),0))-IF($G$2,0,IF((AZ$6-$G$3)&lt;1,0,IFERROR(LOOKUP(2,1/('Milho 1ª safra'!$E82:INDEX('Milho 1ª safra'!$E82:$Z82,MIN(AZ$6-$G$3,22))&lt;&gt;""),'Milho 1ª safra'!$E82:INDEX('Milho 1ª safra'!$E82:$Z82,MIN(AZ$6-$G$3,22))),0)))))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IF(COUNT('Milho 1ª safra'!$E83:$Z83)&gt;0,N('Milho 1ª safra'!$D83),0)</f>
        <v>0</v>
      </c>
      <c r="E85" s="27" t="n">
        <f aca="false">IF(COUNT('Milho 1ª safra'!$E83:$Z83)=0,0,MAX(0,IF((E$6-$E$3)&lt;1,0,IFERROR(LOOKUP(2,1/('Milho 1ª safra'!$E83:INDEX('Milho 1ª safra'!$E83:$Z83,MIN(E$6-$E$3,22))&lt;&gt;""),'Milho 1ª safra'!$E83:INDEX('Milho 1ª safra'!$E83:$Z83,MIN(E$6-$E$3,22))),0))-IF($G$2,0,IF((E$6-$G$3)&lt;1,0,IFERROR(LOOKUP(2,1/('Milho 1ª safra'!$E83:INDEX('Milho 1ª safra'!$E83:$Z83,MIN(E$6-$G$3,22))&lt;&gt;""),'Milho 1ª safra'!$E83:INDEX('Milho 1ª safra'!$E83:$Z83,MIN(E$6-$G$3,22))),0)))))</f>
        <v>0</v>
      </c>
      <c r="F85" s="27" t="n">
        <f aca="false">IF(COUNT('Milho 1ª safra'!$E83:$Z83)=0,0,MAX(0,IF((F$6-$E$3)&lt;1,0,IFERROR(LOOKUP(2,1/('Milho 1ª safra'!$E83:INDEX('Milho 1ª safra'!$E83:$Z83,MIN(F$6-$E$3,22))&lt;&gt;""),'Milho 1ª safra'!$E83:INDEX('Milho 1ª safra'!$E83:$Z83,MIN(F$6-$E$3,22))),0))-IF($G$2,0,IF((F$6-$G$3)&lt;1,0,IFERROR(LOOKUP(2,1/('Milho 1ª safra'!$E83:INDEX('Milho 1ª safra'!$E83:$Z83,MIN(F$6-$G$3,22))&lt;&gt;""),'Milho 1ª safra'!$E83:INDEX('Milho 1ª safra'!$E83:$Z83,MIN(F$6-$G$3,22))),0)))))</f>
        <v>0</v>
      </c>
      <c r="G85" s="27" t="n">
        <f aca="false">IF(COUNT('Milho 1ª safra'!$E83:$Z83)=0,0,MAX(0,IF((G$6-$E$3)&lt;1,0,IFERROR(LOOKUP(2,1/('Milho 1ª safra'!$E83:INDEX('Milho 1ª safra'!$E83:$Z83,MIN(G$6-$E$3,22))&lt;&gt;""),'Milho 1ª safra'!$E83:INDEX('Milho 1ª safra'!$E83:$Z83,MIN(G$6-$E$3,22))),0))-IF($G$2,0,IF((G$6-$G$3)&lt;1,0,IFERROR(LOOKUP(2,1/('Milho 1ª safra'!$E83:INDEX('Milho 1ª safra'!$E83:$Z83,MIN(G$6-$G$3,22))&lt;&gt;""),'Milho 1ª safra'!$E83:INDEX('Milho 1ª safra'!$E83:$Z83,MIN(G$6-$G$3,22))),0)))))</f>
        <v>0</v>
      </c>
      <c r="H85" s="27" t="n">
        <f aca="false">IF(COUNT('Milho 1ª safra'!$E83:$Z83)=0,0,MAX(0,IF((H$6-$E$3)&lt;1,0,IFERROR(LOOKUP(2,1/('Milho 1ª safra'!$E83:INDEX('Milho 1ª safra'!$E83:$Z83,MIN(H$6-$E$3,22))&lt;&gt;""),'Milho 1ª safra'!$E83:INDEX('Milho 1ª safra'!$E83:$Z83,MIN(H$6-$E$3,22))),0))-IF($G$2,0,IF((H$6-$G$3)&lt;1,0,IFERROR(LOOKUP(2,1/('Milho 1ª safra'!$E83:INDEX('Milho 1ª safra'!$E83:$Z83,MIN(H$6-$G$3,22))&lt;&gt;""),'Milho 1ª safra'!$E83:INDEX('Milho 1ª safra'!$E83:$Z83,MIN(H$6-$G$3,22))),0)))))</f>
        <v>0</v>
      </c>
      <c r="I85" s="27" t="n">
        <f aca="false">IF(COUNT('Milho 1ª safra'!$E83:$Z83)=0,0,MAX(0,IF((I$6-$E$3)&lt;1,0,IFERROR(LOOKUP(2,1/('Milho 1ª safra'!$E83:INDEX('Milho 1ª safra'!$E83:$Z83,MIN(I$6-$E$3,22))&lt;&gt;""),'Milho 1ª safra'!$E83:INDEX('Milho 1ª safra'!$E83:$Z83,MIN(I$6-$E$3,22))),0))-IF($G$2,0,IF((I$6-$G$3)&lt;1,0,IFERROR(LOOKUP(2,1/('Milho 1ª safra'!$E83:INDEX('Milho 1ª safra'!$E83:$Z83,MIN(I$6-$G$3,22))&lt;&gt;""),'Milho 1ª safra'!$E83:INDEX('Milho 1ª safra'!$E83:$Z83,MIN(I$6-$G$3,22))),0)))))</f>
        <v>0</v>
      </c>
      <c r="J85" s="27" t="n">
        <f aca="false">IF(COUNT('Milho 1ª safra'!$E83:$Z83)=0,0,MAX(0,IF((J$6-$E$3)&lt;1,0,IFERROR(LOOKUP(2,1/('Milho 1ª safra'!$E83:INDEX('Milho 1ª safra'!$E83:$Z83,MIN(J$6-$E$3,22))&lt;&gt;""),'Milho 1ª safra'!$E83:INDEX('Milho 1ª safra'!$E83:$Z83,MIN(J$6-$E$3,22))),0))-IF($G$2,0,IF((J$6-$G$3)&lt;1,0,IFERROR(LOOKUP(2,1/('Milho 1ª safra'!$E83:INDEX('Milho 1ª safra'!$E83:$Z83,MIN(J$6-$G$3,22))&lt;&gt;""),'Milho 1ª safra'!$E83:INDEX('Milho 1ª safra'!$E83:$Z83,MIN(J$6-$G$3,22))),0)))))</f>
        <v>0</v>
      </c>
      <c r="K85" s="27" t="n">
        <f aca="false">IF(COUNT('Milho 1ª safra'!$E83:$Z83)=0,0,MAX(0,IF((K$6-$E$3)&lt;1,0,IFERROR(LOOKUP(2,1/('Milho 1ª safra'!$E83:INDEX('Milho 1ª safra'!$E83:$Z83,MIN(K$6-$E$3,22))&lt;&gt;""),'Milho 1ª safra'!$E83:INDEX('Milho 1ª safra'!$E83:$Z83,MIN(K$6-$E$3,22))),0))-IF($G$2,0,IF((K$6-$G$3)&lt;1,0,IFERROR(LOOKUP(2,1/('Milho 1ª safra'!$E83:INDEX('Milho 1ª safra'!$E83:$Z83,MIN(K$6-$G$3,22))&lt;&gt;""),'Milho 1ª safra'!$E83:INDEX('Milho 1ª safra'!$E83:$Z83,MIN(K$6-$G$3,22))),0)))))</f>
        <v>0</v>
      </c>
      <c r="L85" s="27" t="n">
        <f aca="false">IF(COUNT('Milho 1ª safra'!$E83:$Z83)=0,0,MAX(0,IF((L$6-$E$3)&lt;1,0,IFERROR(LOOKUP(2,1/('Milho 1ª safra'!$E83:INDEX('Milho 1ª safra'!$E83:$Z83,MIN(L$6-$E$3,22))&lt;&gt;""),'Milho 1ª safra'!$E83:INDEX('Milho 1ª safra'!$E83:$Z83,MIN(L$6-$E$3,22))),0))-IF($G$2,0,IF((L$6-$G$3)&lt;1,0,IFERROR(LOOKUP(2,1/('Milho 1ª safra'!$E83:INDEX('Milho 1ª safra'!$E83:$Z83,MIN(L$6-$G$3,22))&lt;&gt;""),'Milho 1ª safra'!$E83:INDEX('Milho 1ª safra'!$E83:$Z83,MIN(L$6-$G$3,22))),0)))))</f>
        <v>0</v>
      </c>
      <c r="M85" s="27" t="n">
        <f aca="false">IF(COUNT('Milho 1ª safra'!$E83:$Z83)=0,0,MAX(0,IF((M$6-$E$3)&lt;1,0,IFERROR(LOOKUP(2,1/('Milho 1ª safra'!$E83:INDEX('Milho 1ª safra'!$E83:$Z83,MIN(M$6-$E$3,22))&lt;&gt;""),'Milho 1ª safra'!$E83:INDEX('Milho 1ª safra'!$E83:$Z83,MIN(M$6-$E$3,22))),0))-IF($G$2,0,IF((M$6-$G$3)&lt;1,0,IFERROR(LOOKUP(2,1/('Milho 1ª safra'!$E83:INDEX('Milho 1ª safra'!$E83:$Z83,MIN(M$6-$G$3,22))&lt;&gt;""),'Milho 1ª safra'!$E83:INDEX('Milho 1ª safra'!$E83:$Z83,MIN(M$6-$G$3,22))),0)))))</f>
        <v>0</v>
      </c>
      <c r="N85" s="27" t="n">
        <f aca="false">IF(COUNT('Milho 1ª safra'!$E83:$Z83)=0,0,MAX(0,IF((N$6-$E$3)&lt;1,0,IFERROR(LOOKUP(2,1/('Milho 1ª safra'!$E83:INDEX('Milho 1ª safra'!$E83:$Z83,MIN(N$6-$E$3,22))&lt;&gt;""),'Milho 1ª safra'!$E83:INDEX('Milho 1ª safra'!$E83:$Z83,MIN(N$6-$E$3,22))),0))-IF($G$2,0,IF((N$6-$G$3)&lt;1,0,IFERROR(LOOKUP(2,1/('Milho 1ª safra'!$E83:INDEX('Milho 1ª safra'!$E83:$Z83,MIN(N$6-$G$3,22))&lt;&gt;""),'Milho 1ª safra'!$E83:INDEX('Milho 1ª safra'!$E83:$Z83,MIN(N$6-$G$3,22))),0)))))</f>
        <v>0</v>
      </c>
      <c r="O85" s="27" t="n">
        <f aca="false">IF(COUNT('Milho 1ª safra'!$E83:$Z83)=0,0,MAX(0,IF((O$6-$E$3)&lt;1,0,IFERROR(LOOKUP(2,1/('Milho 1ª safra'!$E83:INDEX('Milho 1ª safra'!$E83:$Z83,MIN(O$6-$E$3,22))&lt;&gt;""),'Milho 1ª safra'!$E83:INDEX('Milho 1ª safra'!$E83:$Z83,MIN(O$6-$E$3,22))),0))-IF($G$2,0,IF((O$6-$G$3)&lt;1,0,IFERROR(LOOKUP(2,1/('Milho 1ª safra'!$E83:INDEX('Milho 1ª safra'!$E83:$Z83,MIN(O$6-$G$3,22))&lt;&gt;""),'Milho 1ª safra'!$E83:INDEX('Milho 1ª safra'!$E83:$Z83,MIN(O$6-$G$3,22))),0)))))</f>
        <v>0</v>
      </c>
      <c r="P85" s="27" t="n">
        <f aca="false">IF(COUNT('Milho 1ª safra'!$E83:$Z83)=0,0,MAX(0,IF((P$6-$E$3)&lt;1,0,IFERROR(LOOKUP(2,1/('Milho 1ª safra'!$E83:INDEX('Milho 1ª safra'!$E83:$Z83,MIN(P$6-$E$3,22))&lt;&gt;""),'Milho 1ª safra'!$E83:INDEX('Milho 1ª safra'!$E83:$Z83,MIN(P$6-$E$3,22))),0))-IF($G$2,0,IF((P$6-$G$3)&lt;1,0,IFERROR(LOOKUP(2,1/('Milho 1ª safra'!$E83:INDEX('Milho 1ª safra'!$E83:$Z83,MIN(P$6-$G$3,22))&lt;&gt;""),'Milho 1ª safra'!$E83:INDEX('Milho 1ª safra'!$E83:$Z83,MIN(P$6-$G$3,22))),0)))))</f>
        <v>0</v>
      </c>
      <c r="Q85" s="27" t="n">
        <f aca="false">IF(COUNT('Milho 1ª safra'!$E83:$Z83)=0,0,MAX(0,IF((Q$6-$E$3)&lt;1,0,IFERROR(LOOKUP(2,1/('Milho 1ª safra'!$E83:INDEX('Milho 1ª safra'!$E83:$Z83,MIN(Q$6-$E$3,22))&lt;&gt;""),'Milho 1ª safra'!$E83:INDEX('Milho 1ª safra'!$E83:$Z83,MIN(Q$6-$E$3,22))),0))-IF($G$2,0,IF((Q$6-$G$3)&lt;1,0,IFERROR(LOOKUP(2,1/('Milho 1ª safra'!$E83:INDEX('Milho 1ª safra'!$E83:$Z83,MIN(Q$6-$G$3,22))&lt;&gt;""),'Milho 1ª safra'!$E83:INDEX('Milho 1ª safra'!$E83:$Z83,MIN(Q$6-$G$3,22))),0)))))</f>
        <v>0</v>
      </c>
      <c r="R85" s="27" t="n">
        <f aca="false">IF(COUNT('Milho 1ª safra'!$E83:$Z83)=0,0,MAX(0,IF((R$6-$E$3)&lt;1,0,IFERROR(LOOKUP(2,1/('Milho 1ª safra'!$E83:INDEX('Milho 1ª safra'!$E83:$Z83,MIN(R$6-$E$3,22))&lt;&gt;""),'Milho 1ª safra'!$E83:INDEX('Milho 1ª safra'!$E83:$Z83,MIN(R$6-$E$3,22))),0))-IF($G$2,0,IF((R$6-$G$3)&lt;1,0,IFERROR(LOOKUP(2,1/('Milho 1ª safra'!$E83:INDEX('Milho 1ª safra'!$E83:$Z83,MIN(R$6-$G$3,22))&lt;&gt;""),'Milho 1ª safra'!$E83:INDEX('Milho 1ª safra'!$E83:$Z83,MIN(R$6-$G$3,22))),0)))))</f>
        <v>0</v>
      </c>
      <c r="S85" s="27" t="n">
        <f aca="false">IF(COUNT('Milho 1ª safra'!$E83:$Z83)=0,0,MAX(0,IF((S$6-$E$3)&lt;1,0,IFERROR(LOOKUP(2,1/('Milho 1ª safra'!$E83:INDEX('Milho 1ª safra'!$E83:$Z83,MIN(S$6-$E$3,22))&lt;&gt;""),'Milho 1ª safra'!$E83:INDEX('Milho 1ª safra'!$E83:$Z83,MIN(S$6-$E$3,22))),0))-IF($G$2,0,IF((S$6-$G$3)&lt;1,0,IFERROR(LOOKUP(2,1/('Milho 1ª safra'!$E83:INDEX('Milho 1ª safra'!$E83:$Z83,MIN(S$6-$G$3,22))&lt;&gt;""),'Milho 1ª safra'!$E83:INDEX('Milho 1ª safra'!$E83:$Z83,MIN(S$6-$G$3,22))),0)))))</f>
        <v>0</v>
      </c>
      <c r="T85" s="27" t="n">
        <f aca="false">IF(COUNT('Milho 1ª safra'!$E83:$Z83)=0,0,MAX(0,IF((T$6-$E$3)&lt;1,0,IFERROR(LOOKUP(2,1/('Milho 1ª safra'!$E83:INDEX('Milho 1ª safra'!$E83:$Z83,MIN(T$6-$E$3,22))&lt;&gt;""),'Milho 1ª safra'!$E83:INDEX('Milho 1ª safra'!$E83:$Z83,MIN(T$6-$E$3,22))),0))-IF($G$2,0,IF((T$6-$G$3)&lt;1,0,IFERROR(LOOKUP(2,1/('Milho 1ª safra'!$E83:INDEX('Milho 1ª safra'!$E83:$Z83,MIN(T$6-$G$3,22))&lt;&gt;""),'Milho 1ª safra'!$E83:INDEX('Milho 1ª safra'!$E83:$Z83,MIN(T$6-$G$3,22))),0)))))</f>
        <v>0</v>
      </c>
      <c r="U85" s="27" t="n">
        <f aca="false">IF(COUNT('Milho 1ª safra'!$E83:$Z83)=0,0,MAX(0,IF((U$6-$E$3)&lt;1,0,IFERROR(LOOKUP(2,1/('Milho 1ª safra'!$E83:INDEX('Milho 1ª safra'!$E83:$Z83,MIN(U$6-$E$3,22))&lt;&gt;""),'Milho 1ª safra'!$E83:INDEX('Milho 1ª safra'!$E83:$Z83,MIN(U$6-$E$3,22))),0))-IF($G$2,0,IF((U$6-$G$3)&lt;1,0,IFERROR(LOOKUP(2,1/('Milho 1ª safra'!$E83:INDEX('Milho 1ª safra'!$E83:$Z83,MIN(U$6-$G$3,22))&lt;&gt;""),'Milho 1ª safra'!$E83:INDEX('Milho 1ª safra'!$E83:$Z83,MIN(U$6-$G$3,22))),0)))))</f>
        <v>0</v>
      </c>
      <c r="V85" s="27" t="n">
        <f aca="false">IF(COUNT('Milho 1ª safra'!$E83:$Z83)=0,0,MAX(0,IF((V$6-$E$3)&lt;1,0,IFERROR(LOOKUP(2,1/('Milho 1ª safra'!$E83:INDEX('Milho 1ª safra'!$E83:$Z83,MIN(V$6-$E$3,22))&lt;&gt;""),'Milho 1ª safra'!$E83:INDEX('Milho 1ª safra'!$E83:$Z83,MIN(V$6-$E$3,22))),0))-IF($G$2,0,IF((V$6-$G$3)&lt;1,0,IFERROR(LOOKUP(2,1/('Milho 1ª safra'!$E83:INDEX('Milho 1ª safra'!$E83:$Z83,MIN(V$6-$G$3,22))&lt;&gt;""),'Milho 1ª safra'!$E83:INDEX('Milho 1ª safra'!$E83:$Z83,MIN(V$6-$G$3,22))),0)))))</f>
        <v>0</v>
      </c>
      <c r="W85" s="27" t="n">
        <f aca="false">IF(COUNT('Milho 1ª safra'!$E83:$Z83)=0,0,MAX(0,IF((W$6-$E$3)&lt;1,0,IFERROR(LOOKUP(2,1/('Milho 1ª safra'!$E83:INDEX('Milho 1ª safra'!$E83:$Z83,MIN(W$6-$E$3,22))&lt;&gt;""),'Milho 1ª safra'!$E83:INDEX('Milho 1ª safra'!$E83:$Z83,MIN(W$6-$E$3,22))),0))-IF($G$2,0,IF((W$6-$G$3)&lt;1,0,IFERROR(LOOKUP(2,1/('Milho 1ª safra'!$E83:INDEX('Milho 1ª safra'!$E83:$Z83,MIN(W$6-$G$3,22))&lt;&gt;""),'Milho 1ª safra'!$E83:INDEX('Milho 1ª safra'!$E83:$Z83,MIN(W$6-$G$3,22))),0)))))</f>
        <v>0</v>
      </c>
      <c r="X85" s="27" t="n">
        <f aca="false">IF(COUNT('Milho 1ª safra'!$E83:$Z83)=0,0,MAX(0,IF((X$6-$E$3)&lt;1,0,IFERROR(LOOKUP(2,1/('Milho 1ª safra'!$E83:INDEX('Milho 1ª safra'!$E83:$Z83,MIN(X$6-$E$3,22))&lt;&gt;""),'Milho 1ª safra'!$E83:INDEX('Milho 1ª safra'!$E83:$Z83,MIN(X$6-$E$3,22))),0))-IF($G$2,0,IF((X$6-$G$3)&lt;1,0,IFERROR(LOOKUP(2,1/('Milho 1ª safra'!$E83:INDEX('Milho 1ª safra'!$E83:$Z83,MIN(X$6-$G$3,22))&lt;&gt;""),'Milho 1ª safra'!$E83:INDEX('Milho 1ª safra'!$E83:$Z83,MIN(X$6-$G$3,22))),0)))))</f>
        <v>0</v>
      </c>
      <c r="Y85" s="27" t="n">
        <f aca="false">IF(COUNT('Milho 1ª safra'!$E83:$Z83)=0,0,MAX(0,IF((Y$6-$E$3)&lt;1,0,IFERROR(LOOKUP(2,1/('Milho 1ª safra'!$E83:INDEX('Milho 1ª safra'!$E83:$Z83,MIN(Y$6-$E$3,22))&lt;&gt;""),'Milho 1ª safra'!$E83:INDEX('Milho 1ª safra'!$E83:$Z83,MIN(Y$6-$E$3,22))),0))-IF($G$2,0,IF((Y$6-$G$3)&lt;1,0,IFERROR(LOOKUP(2,1/('Milho 1ª safra'!$E83:INDEX('Milho 1ª safra'!$E83:$Z83,MIN(Y$6-$G$3,22))&lt;&gt;""),'Milho 1ª safra'!$E83:INDEX('Milho 1ª safra'!$E83:$Z83,MIN(Y$6-$G$3,22))),0)))))</f>
        <v>0</v>
      </c>
      <c r="Z85" s="27" t="n">
        <f aca="false">IF(COUNT('Milho 1ª safra'!$E83:$Z83)=0,0,MAX(0,IF((Z$6-$E$3)&lt;1,0,IFERROR(LOOKUP(2,1/('Milho 1ª safra'!$E83:INDEX('Milho 1ª safra'!$E83:$Z83,MIN(Z$6-$E$3,22))&lt;&gt;""),'Milho 1ª safra'!$E83:INDEX('Milho 1ª safra'!$E83:$Z83,MIN(Z$6-$E$3,22))),0))-IF($G$2,0,IF((Z$6-$G$3)&lt;1,0,IFERROR(LOOKUP(2,1/('Milho 1ª safra'!$E83:INDEX('Milho 1ª safra'!$E83:$Z83,MIN(Z$6-$G$3,22))&lt;&gt;""),'Milho 1ª safra'!$E83:INDEX('Milho 1ª safra'!$E83:$Z83,MIN(Z$6-$G$3,22))),0)))))</f>
        <v>0</v>
      </c>
      <c r="AA85" s="27" t="n">
        <f aca="false">IF(COUNT('Milho 1ª safra'!$E83:$Z83)=0,0,MAX(0,IF((AA$6-$E$3)&lt;1,0,IFERROR(LOOKUP(2,1/('Milho 1ª safra'!$E83:INDEX('Milho 1ª safra'!$E83:$Z83,MIN(AA$6-$E$3,22))&lt;&gt;""),'Milho 1ª safra'!$E83:INDEX('Milho 1ª safra'!$E83:$Z83,MIN(AA$6-$E$3,22))),0))-IF($G$2,0,IF((AA$6-$G$3)&lt;1,0,IFERROR(LOOKUP(2,1/('Milho 1ª safra'!$E83:INDEX('Milho 1ª safra'!$E83:$Z83,MIN(AA$6-$G$3,22))&lt;&gt;""),'Milho 1ª safra'!$E83:INDEX('Milho 1ª safra'!$E83:$Z83,MIN(AA$6-$G$3,22))),0)))))</f>
        <v>0</v>
      </c>
      <c r="AB85" s="27" t="n">
        <f aca="false">IF(COUNT('Milho 1ª safra'!$E83:$Z83)=0,0,MAX(0,IF((AB$6-$E$3)&lt;1,0,IFERROR(LOOKUP(2,1/('Milho 1ª safra'!$E83:INDEX('Milho 1ª safra'!$E83:$Z83,MIN(AB$6-$E$3,22))&lt;&gt;""),'Milho 1ª safra'!$E83:INDEX('Milho 1ª safra'!$E83:$Z83,MIN(AB$6-$E$3,22))),0))-IF($G$2,0,IF((AB$6-$G$3)&lt;1,0,IFERROR(LOOKUP(2,1/('Milho 1ª safra'!$E83:INDEX('Milho 1ª safra'!$E83:$Z83,MIN(AB$6-$G$3,22))&lt;&gt;""),'Milho 1ª safra'!$E83:INDEX('Milho 1ª safra'!$E83:$Z83,MIN(AB$6-$G$3,22))),0)))))</f>
        <v>0</v>
      </c>
      <c r="AC85" s="27" t="n">
        <f aca="false">IF(COUNT('Milho 1ª safra'!$E83:$Z83)=0,0,MAX(0,IF((AC$6-$E$3)&lt;1,0,IFERROR(LOOKUP(2,1/('Milho 1ª safra'!$E83:INDEX('Milho 1ª safra'!$E83:$Z83,MIN(AC$6-$E$3,22))&lt;&gt;""),'Milho 1ª safra'!$E83:INDEX('Milho 1ª safra'!$E83:$Z83,MIN(AC$6-$E$3,22))),0))-IF($G$2,0,IF((AC$6-$G$3)&lt;1,0,IFERROR(LOOKUP(2,1/('Milho 1ª safra'!$E83:INDEX('Milho 1ª safra'!$E83:$Z83,MIN(AC$6-$G$3,22))&lt;&gt;""),'Milho 1ª safra'!$E83:INDEX('Milho 1ª safra'!$E83:$Z83,MIN(AC$6-$G$3,22))),0)))))</f>
        <v>0</v>
      </c>
      <c r="AD85" s="27" t="n">
        <f aca="false">IF(COUNT('Milho 1ª safra'!$E83:$Z83)=0,0,MAX(0,IF((AD$6-$E$3)&lt;1,0,IFERROR(LOOKUP(2,1/('Milho 1ª safra'!$E83:INDEX('Milho 1ª safra'!$E83:$Z83,MIN(AD$6-$E$3,22))&lt;&gt;""),'Milho 1ª safra'!$E83:INDEX('Milho 1ª safra'!$E83:$Z83,MIN(AD$6-$E$3,22))),0))-IF($G$2,0,IF((AD$6-$G$3)&lt;1,0,IFERROR(LOOKUP(2,1/('Milho 1ª safra'!$E83:INDEX('Milho 1ª safra'!$E83:$Z83,MIN(AD$6-$G$3,22))&lt;&gt;""),'Milho 1ª safra'!$E83:INDEX('Milho 1ª safra'!$E83:$Z83,MIN(AD$6-$G$3,22))),0)))))</f>
        <v>0</v>
      </c>
      <c r="AE85" s="27" t="n">
        <f aca="false">IF(COUNT('Milho 1ª safra'!$E83:$Z83)=0,0,MAX(0,IF((AE$6-$E$3)&lt;1,0,IFERROR(LOOKUP(2,1/('Milho 1ª safra'!$E83:INDEX('Milho 1ª safra'!$E83:$Z83,MIN(AE$6-$E$3,22))&lt;&gt;""),'Milho 1ª safra'!$E83:INDEX('Milho 1ª safra'!$E83:$Z83,MIN(AE$6-$E$3,22))),0))-IF($G$2,0,IF((AE$6-$G$3)&lt;1,0,IFERROR(LOOKUP(2,1/('Milho 1ª safra'!$E83:INDEX('Milho 1ª safra'!$E83:$Z83,MIN(AE$6-$G$3,22))&lt;&gt;""),'Milho 1ª safra'!$E83:INDEX('Milho 1ª safra'!$E83:$Z83,MIN(AE$6-$G$3,22))),0)))))</f>
        <v>0</v>
      </c>
      <c r="AF85" s="27" t="n">
        <f aca="false">IF(COUNT('Milho 1ª safra'!$E83:$Z83)=0,0,MAX(0,IF((AF$6-$E$3)&lt;1,0,IFERROR(LOOKUP(2,1/('Milho 1ª safra'!$E83:INDEX('Milho 1ª safra'!$E83:$Z83,MIN(AF$6-$E$3,22))&lt;&gt;""),'Milho 1ª safra'!$E83:INDEX('Milho 1ª safra'!$E83:$Z83,MIN(AF$6-$E$3,22))),0))-IF($G$2,0,IF((AF$6-$G$3)&lt;1,0,IFERROR(LOOKUP(2,1/('Milho 1ª safra'!$E83:INDEX('Milho 1ª safra'!$E83:$Z83,MIN(AF$6-$G$3,22))&lt;&gt;""),'Milho 1ª safra'!$E83:INDEX('Milho 1ª safra'!$E83:$Z83,MIN(AF$6-$G$3,22))),0)))))</f>
        <v>0</v>
      </c>
      <c r="AG85" s="27" t="n">
        <f aca="false">IF(COUNT('Milho 1ª safra'!$E83:$Z83)=0,0,MAX(0,IF((AG$6-$E$3)&lt;1,0,IFERROR(LOOKUP(2,1/('Milho 1ª safra'!$E83:INDEX('Milho 1ª safra'!$E83:$Z83,MIN(AG$6-$E$3,22))&lt;&gt;""),'Milho 1ª safra'!$E83:INDEX('Milho 1ª safra'!$E83:$Z83,MIN(AG$6-$E$3,22))),0))-IF($G$2,0,IF((AG$6-$G$3)&lt;1,0,IFERROR(LOOKUP(2,1/('Milho 1ª safra'!$E83:INDEX('Milho 1ª safra'!$E83:$Z83,MIN(AG$6-$G$3,22))&lt;&gt;""),'Milho 1ª safra'!$E83:INDEX('Milho 1ª safra'!$E83:$Z83,MIN(AG$6-$G$3,22))),0)))))</f>
        <v>0</v>
      </c>
      <c r="AH85" s="27" t="n">
        <f aca="false">IF(COUNT('Milho 1ª safra'!$E83:$Z83)=0,0,MAX(0,IF((AH$6-$E$3)&lt;1,0,IFERROR(LOOKUP(2,1/('Milho 1ª safra'!$E83:INDEX('Milho 1ª safra'!$E83:$Z83,MIN(AH$6-$E$3,22))&lt;&gt;""),'Milho 1ª safra'!$E83:INDEX('Milho 1ª safra'!$E83:$Z83,MIN(AH$6-$E$3,22))),0))-IF($G$2,0,IF((AH$6-$G$3)&lt;1,0,IFERROR(LOOKUP(2,1/('Milho 1ª safra'!$E83:INDEX('Milho 1ª safra'!$E83:$Z83,MIN(AH$6-$G$3,22))&lt;&gt;""),'Milho 1ª safra'!$E83:INDEX('Milho 1ª safra'!$E83:$Z83,MIN(AH$6-$G$3,22))),0)))))</f>
        <v>0</v>
      </c>
      <c r="AI85" s="27" t="n">
        <f aca="false">IF(COUNT('Milho 1ª safra'!$E83:$Z83)=0,0,MAX(0,IF((AI$6-$E$3)&lt;1,0,IFERROR(LOOKUP(2,1/('Milho 1ª safra'!$E83:INDEX('Milho 1ª safra'!$E83:$Z83,MIN(AI$6-$E$3,22))&lt;&gt;""),'Milho 1ª safra'!$E83:INDEX('Milho 1ª safra'!$E83:$Z83,MIN(AI$6-$E$3,22))),0))-IF($G$2,0,IF((AI$6-$G$3)&lt;1,0,IFERROR(LOOKUP(2,1/('Milho 1ª safra'!$E83:INDEX('Milho 1ª safra'!$E83:$Z83,MIN(AI$6-$G$3,22))&lt;&gt;""),'Milho 1ª safra'!$E83:INDEX('Milho 1ª safra'!$E83:$Z83,MIN(AI$6-$G$3,22))),0)))))</f>
        <v>0</v>
      </c>
      <c r="AJ85" s="27" t="n">
        <f aca="false">IF(COUNT('Milho 1ª safra'!$E83:$Z83)=0,0,MAX(0,IF((AJ$6-$E$3)&lt;1,0,IFERROR(LOOKUP(2,1/('Milho 1ª safra'!$E83:INDEX('Milho 1ª safra'!$E83:$Z83,MIN(AJ$6-$E$3,22))&lt;&gt;""),'Milho 1ª safra'!$E83:INDEX('Milho 1ª safra'!$E83:$Z83,MIN(AJ$6-$E$3,22))),0))-IF($G$2,0,IF((AJ$6-$G$3)&lt;1,0,IFERROR(LOOKUP(2,1/('Milho 1ª safra'!$E83:INDEX('Milho 1ª safra'!$E83:$Z83,MIN(AJ$6-$G$3,22))&lt;&gt;""),'Milho 1ª safra'!$E83:INDEX('Milho 1ª safra'!$E83:$Z83,MIN(AJ$6-$G$3,22))),0)))))</f>
        <v>0</v>
      </c>
      <c r="AK85" s="27" t="n">
        <f aca="false">IF(COUNT('Milho 1ª safra'!$E83:$Z83)=0,0,MAX(0,IF((AK$6-$E$3)&lt;1,0,IFERROR(LOOKUP(2,1/('Milho 1ª safra'!$E83:INDEX('Milho 1ª safra'!$E83:$Z83,MIN(AK$6-$E$3,22))&lt;&gt;""),'Milho 1ª safra'!$E83:INDEX('Milho 1ª safra'!$E83:$Z83,MIN(AK$6-$E$3,22))),0))-IF($G$2,0,IF((AK$6-$G$3)&lt;1,0,IFERROR(LOOKUP(2,1/('Milho 1ª safra'!$E83:INDEX('Milho 1ª safra'!$E83:$Z83,MIN(AK$6-$G$3,22))&lt;&gt;""),'Milho 1ª safra'!$E83:INDEX('Milho 1ª safra'!$E83:$Z83,MIN(AK$6-$G$3,22))),0)))))</f>
        <v>0</v>
      </c>
      <c r="AL85" s="27" t="n">
        <f aca="false">IF(COUNT('Milho 1ª safra'!$E83:$Z83)=0,0,MAX(0,IF((AL$6-$E$3)&lt;1,0,IFERROR(LOOKUP(2,1/('Milho 1ª safra'!$E83:INDEX('Milho 1ª safra'!$E83:$Z83,MIN(AL$6-$E$3,22))&lt;&gt;""),'Milho 1ª safra'!$E83:INDEX('Milho 1ª safra'!$E83:$Z83,MIN(AL$6-$E$3,22))),0))-IF($G$2,0,IF((AL$6-$G$3)&lt;1,0,IFERROR(LOOKUP(2,1/('Milho 1ª safra'!$E83:INDEX('Milho 1ª safra'!$E83:$Z83,MIN(AL$6-$G$3,22))&lt;&gt;""),'Milho 1ª safra'!$E83:INDEX('Milho 1ª safra'!$E83:$Z83,MIN(AL$6-$G$3,22))),0)))))</f>
        <v>0</v>
      </c>
      <c r="AM85" s="27" t="n">
        <f aca="false">IF(COUNT('Milho 1ª safra'!$E83:$Z83)=0,0,MAX(0,IF((AM$6-$E$3)&lt;1,0,IFERROR(LOOKUP(2,1/('Milho 1ª safra'!$E83:INDEX('Milho 1ª safra'!$E83:$Z83,MIN(AM$6-$E$3,22))&lt;&gt;""),'Milho 1ª safra'!$E83:INDEX('Milho 1ª safra'!$E83:$Z83,MIN(AM$6-$E$3,22))),0))-IF($G$2,0,IF((AM$6-$G$3)&lt;1,0,IFERROR(LOOKUP(2,1/('Milho 1ª safra'!$E83:INDEX('Milho 1ª safra'!$E83:$Z83,MIN(AM$6-$G$3,22))&lt;&gt;""),'Milho 1ª safra'!$E83:INDEX('Milho 1ª safra'!$E83:$Z83,MIN(AM$6-$G$3,22))),0)))))</f>
        <v>0</v>
      </c>
      <c r="AN85" s="27" t="n">
        <f aca="false">IF(COUNT('Milho 1ª safra'!$E83:$Z83)=0,0,MAX(0,IF((AN$6-$E$3)&lt;1,0,IFERROR(LOOKUP(2,1/('Milho 1ª safra'!$E83:INDEX('Milho 1ª safra'!$E83:$Z83,MIN(AN$6-$E$3,22))&lt;&gt;""),'Milho 1ª safra'!$E83:INDEX('Milho 1ª safra'!$E83:$Z83,MIN(AN$6-$E$3,22))),0))-IF($G$2,0,IF((AN$6-$G$3)&lt;1,0,IFERROR(LOOKUP(2,1/('Milho 1ª safra'!$E83:INDEX('Milho 1ª safra'!$E83:$Z83,MIN(AN$6-$G$3,22))&lt;&gt;""),'Milho 1ª safra'!$E83:INDEX('Milho 1ª safra'!$E83:$Z83,MIN(AN$6-$G$3,22))),0)))))</f>
        <v>0</v>
      </c>
      <c r="AO85" s="27" t="n">
        <f aca="false">IF(COUNT('Milho 1ª safra'!$E83:$Z83)=0,0,MAX(0,IF((AO$6-$E$3)&lt;1,0,IFERROR(LOOKUP(2,1/('Milho 1ª safra'!$E83:INDEX('Milho 1ª safra'!$E83:$Z83,MIN(AO$6-$E$3,22))&lt;&gt;""),'Milho 1ª safra'!$E83:INDEX('Milho 1ª safra'!$E83:$Z83,MIN(AO$6-$E$3,22))),0))-IF($G$2,0,IF((AO$6-$G$3)&lt;1,0,IFERROR(LOOKUP(2,1/('Milho 1ª safra'!$E83:INDEX('Milho 1ª safra'!$E83:$Z83,MIN(AO$6-$G$3,22))&lt;&gt;""),'Milho 1ª safra'!$E83:INDEX('Milho 1ª safra'!$E83:$Z83,MIN(AO$6-$G$3,22))),0)))))</f>
        <v>0</v>
      </c>
      <c r="AP85" s="27" t="n">
        <f aca="false">IF(COUNT('Milho 1ª safra'!$E83:$Z83)=0,0,MAX(0,IF((AP$6-$E$3)&lt;1,0,IFERROR(LOOKUP(2,1/('Milho 1ª safra'!$E83:INDEX('Milho 1ª safra'!$E83:$Z83,MIN(AP$6-$E$3,22))&lt;&gt;""),'Milho 1ª safra'!$E83:INDEX('Milho 1ª safra'!$E83:$Z83,MIN(AP$6-$E$3,22))),0))-IF($G$2,0,IF((AP$6-$G$3)&lt;1,0,IFERROR(LOOKUP(2,1/('Milho 1ª safra'!$E83:INDEX('Milho 1ª safra'!$E83:$Z83,MIN(AP$6-$G$3,22))&lt;&gt;""),'Milho 1ª safra'!$E83:INDEX('Milho 1ª safra'!$E83:$Z83,MIN(AP$6-$G$3,22))),0)))))</f>
        <v>0</v>
      </c>
      <c r="AQ85" s="27" t="n">
        <f aca="false">IF(COUNT('Milho 1ª safra'!$E83:$Z83)=0,0,MAX(0,IF((AQ$6-$E$3)&lt;1,0,IFERROR(LOOKUP(2,1/('Milho 1ª safra'!$E83:INDEX('Milho 1ª safra'!$E83:$Z83,MIN(AQ$6-$E$3,22))&lt;&gt;""),'Milho 1ª safra'!$E83:INDEX('Milho 1ª safra'!$E83:$Z83,MIN(AQ$6-$E$3,22))),0))-IF($G$2,0,IF((AQ$6-$G$3)&lt;1,0,IFERROR(LOOKUP(2,1/('Milho 1ª safra'!$E83:INDEX('Milho 1ª safra'!$E83:$Z83,MIN(AQ$6-$G$3,22))&lt;&gt;""),'Milho 1ª safra'!$E83:INDEX('Milho 1ª safra'!$E83:$Z83,MIN(AQ$6-$G$3,22))),0)))))</f>
        <v>0</v>
      </c>
      <c r="AR85" s="27" t="n">
        <f aca="false">IF(COUNT('Milho 1ª safra'!$E83:$Z83)=0,0,MAX(0,IF((AR$6-$E$3)&lt;1,0,IFERROR(LOOKUP(2,1/('Milho 1ª safra'!$E83:INDEX('Milho 1ª safra'!$E83:$Z83,MIN(AR$6-$E$3,22))&lt;&gt;""),'Milho 1ª safra'!$E83:INDEX('Milho 1ª safra'!$E83:$Z83,MIN(AR$6-$E$3,22))),0))-IF($G$2,0,IF((AR$6-$G$3)&lt;1,0,IFERROR(LOOKUP(2,1/('Milho 1ª safra'!$E83:INDEX('Milho 1ª safra'!$E83:$Z83,MIN(AR$6-$G$3,22))&lt;&gt;""),'Milho 1ª safra'!$E83:INDEX('Milho 1ª safra'!$E83:$Z83,MIN(AR$6-$G$3,22))),0)))))</f>
        <v>0</v>
      </c>
      <c r="AS85" s="27" t="n">
        <f aca="false">IF(COUNT('Milho 1ª safra'!$E83:$Z83)=0,0,MAX(0,IF((AS$6-$E$3)&lt;1,0,IFERROR(LOOKUP(2,1/('Milho 1ª safra'!$E83:INDEX('Milho 1ª safra'!$E83:$Z83,MIN(AS$6-$E$3,22))&lt;&gt;""),'Milho 1ª safra'!$E83:INDEX('Milho 1ª safra'!$E83:$Z83,MIN(AS$6-$E$3,22))),0))-IF($G$2,0,IF((AS$6-$G$3)&lt;1,0,IFERROR(LOOKUP(2,1/('Milho 1ª safra'!$E83:INDEX('Milho 1ª safra'!$E83:$Z83,MIN(AS$6-$G$3,22))&lt;&gt;""),'Milho 1ª safra'!$E83:INDEX('Milho 1ª safra'!$E83:$Z83,MIN(AS$6-$G$3,22))),0)))))</f>
        <v>0</v>
      </c>
      <c r="AT85" s="27" t="n">
        <f aca="false">IF(COUNT('Milho 1ª safra'!$E83:$Z83)=0,0,MAX(0,IF((AT$6-$E$3)&lt;1,0,IFERROR(LOOKUP(2,1/('Milho 1ª safra'!$E83:INDEX('Milho 1ª safra'!$E83:$Z83,MIN(AT$6-$E$3,22))&lt;&gt;""),'Milho 1ª safra'!$E83:INDEX('Milho 1ª safra'!$E83:$Z83,MIN(AT$6-$E$3,22))),0))-IF($G$2,0,IF((AT$6-$G$3)&lt;1,0,IFERROR(LOOKUP(2,1/('Milho 1ª safra'!$E83:INDEX('Milho 1ª safra'!$E83:$Z83,MIN(AT$6-$G$3,22))&lt;&gt;""),'Milho 1ª safra'!$E83:INDEX('Milho 1ª safra'!$E83:$Z83,MIN(AT$6-$G$3,22))),0)))))</f>
        <v>0</v>
      </c>
      <c r="AU85" s="27" t="n">
        <f aca="false">IF(COUNT('Milho 1ª safra'!$E83:$Z83)=0,0,MAX(0,IF((AU$6-$E$3)&lt;1,0,IFERROR(LOOKUP(2,1/('Milho 1ª safra'!$E83:INDEX('Milho 1ª safra'!$E83:$Z83,MIN(AU$6-$E$3,22))&lt;&gt;""),'Milho 1ª safra'!$E83:INDEX('Milho 1ª safra'!$E83:$Z83,MIN(AU$6-$E$3,22))),0))-IF($G$2,0,IF((AU$6-$G$3)&lt;1,0,IFERROR(LOOKUP(2,1/('Milho 1ª safra'!$E83:INDEX('Milho 1ª safra'!$E83:$Z83,MIN(AU$6-$G$3,22))&lt;&gt;""),'Milho 1ª safra'!$E83:INDEX('Milho 1ª safra'!$E83:$Z83,MIN(AU$6-$G$3,22))),0)))))</f>
        <v>0</v>
      </c>
      <c r="AV85" s="27" t="n">
        <f aca="false">IF(COUNT('Milho 1ª safra'!$E83:$Z83)=0,0,MAX(0,IF((AV$6-$E$3)&lt;1,0,IFERROR(LOOKUP(2,1/('Milho 1ª safra'!$E83:INDEX('Milho 1ª safra'!$E83:$Z83,MIN(AV$6-$E$3,22))&lt;&gt;""),'Milho 1ª safra'!$E83:INDEX('Milho 1ª safra'!$E83:$Z83,MIN(AV$6-$E$3,22))),0))-IF($G$2,0,IF((AV$6-$G$3)&lt;1,0,IFERROR(LOOKUP(2,1/('Milho 1ª safra'!$E83:INDEX('Milho 1ª safra'!$E83:$Z83,MIN(AV$6-$G$3,22))&lt;&gt;""),'Milho 1ª safra'!$E83:INDEX('Milho 1ª safra'!$E83:$Z83,MIN(AV$6-$G$3,22))),0)))))</f>
        <v>0</v>
      </c>
      <c r="AW85" s="27" t="n">
        <f aca="false">IF(COUNT('Milho 1ª safra'!$E83:$Z83)=0,0,MAX(0,IF((AW$6-$E$3)&lt;1,0,IFERROR(LOOKUP(2,1/('Milho 1ª safra'!$E83:INDEX('Milho 1ª safra'!$E83:$Z83,MIN(AW$6-$E$3,22))&lt;&gt;""),'Milho 1ª safra'!$E83:INDEX('Milho 1ª safra'!$E83:$Z83,MIN(AW$6-$E$3,22))),0))-IF($G$2,0,IF((AW$6-$G$3)&lt;1,0,IFERROR(LOOKUP(2,1/('Milho 1ª safra'!$E83:INDEX('Milho 1ª safra'!$E83:$Z83,MIN(AW$6-$G$3,22))&lt;&gt;""),'Milho 1ª safra'!$E83:INDEX('Milho 1ª safra'!$E83:$Z83,MIN(AW$6-$G$3,22))),0)))))</f>
        <v>0</v>
      </c>
      <c r="AX85" s="27" t="n">
        <f aca="false">IF(COUNT('Milho 1ª safra'!$E83:$Z83)=0,0,MAX(0,IF((AX$6-$E$3)&lt;1,0,IFERROR(LOOKUP(2,1/('Milho 1ª safra'!$E83:INDEX('Milho 1ª safra'!$E83:$Z83,MIN(AX$6-$E$3,22))&lt;&gt;""),'Milho 1ª safra'!$E83:INDEX('Milho 1ª safra'!$E83:$Z83,MIN(AX$6-$E$3,22))),0))-IF($G$2,0,IF((AX$6-$G$3)&lt;1,0,IFERROR(LOOKUP(2,1/('Milho 1ª safra'!$E83:INDEX('Milho 1ª safra'!$E83:$Z83,MIN(AX$6-$G$3,22))&lt;&gt;""),'Milho 1ª safra'!$E83:INDEX('Milho 1ª safra'!$E83:$Z83,MIN(AX$6-$G$3,22))),0)))))</f>
        <v>0</v>
      </c>
      <c r="AY85" s="27" t="n">
        <f aca="false">IF(COUNT('Milho 1ª safra'!$E83:$Z83)=0,0,MAX(0,IF((AY$6-$E$3)&lt;1,0,IFERROR(LOOKUP(2,1/('Milho 1ª safra'!$E83:INDEX('Milho 1ª safra'!$E83:$Z83,MIN(AY$6-$E$3,22))&lt;&gt;""),'Milho 1ª safra'!$E83:INDEX('Milho 1ª safra'!$E83:$Z83,MIN(AY$6-$E$3,22))),0))-IF($G$2,0,IF((AY$6-$G$3)&lt;1,0,IFERROR(LOOKUP(2,1/('Milho 1ª safra'!$E83:INDEX('Milho 1ª safra'!$E83:$Z83,MIN(AY$6-$G$3,22))&lt;&gt;""),'Milho 1ª safra'!$E83:INDEX('Milho 1ª safra'!$E83:$Z83,MIN(AY$6-$G$3,22))),0)))))</f>
        <v>0</v>
      </c>
      <c r="AZ85" s="27" t="n">
        <f aca="false">IF(COUNT('Milho 1ª safra'!$E83:$Z83)=0,0,MAX(0,IF((AZ$6-$E$3)&lt;1,0,IFERROR(LOOKUP(2,1/('Milho 1ª safra'!$E83:INDEX('Milho 1ª safra'!$E83:$Z83,MIN(AZ$6-$E$3,22))&lt;&gt;""),'Milho 1ª safra'!$E83:INDEX('Milho 1ª safra'!$E83:$Z83,MIN(AZ$6-$E$3,22))),0))-IF($G$2,0,IF((AZ$6-$G$3)&lt;1,0,IFERROR(LOOKUP(2,1/('Milho 1ª safra'!$E83:INDEX('Milho 1ª safra'!$E83:$Z83,MIN(AZ$6-$G$3,22))&lt;&gt;""),'Milho 1ª safra'!$E83:INDEX('Milho 1ª safra'!$E83:$Z83,MIN(AZ$6-$G$3,22))),0)))))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IF(COUNT('Milho 1ª safra'!$E84:$Z84)&gt;0,N('Milho 1ª safra'!$D84),0)</f>
        <v>0</v>
      </c>
      <c r="E86" s="27" t="n">
        <f aca="false">IF(COUNT('Milho 1ª safra'!$E84:$Z84)=0,0,MAX(0,IF((E$6-$E$3)&lt;1,0,IFERROR(LOOKUP(2,1/('Milho 1ª safra'!$E84:INDEX('Milho 1ª safra'!$E84:$Z84,MIN(E$6-$E$3,22))&lt;&gt;""),'Milho 1ª safra'!$E84:INDEX('Milho 1ª safra'!$E84:$Z84,MIN(E$6-$E$3,22))),0))-IF($G$2,0,IF((E$6-$G$3)&lt;1,0,IFERROR(LOOKUP(2,1/('Milho 1ª safra'!$E84:INDEX('Milho 1ª safra'!$E84:$Z84,MIN(E$6-$G$3,22))&lt;&gt;""),'Milho 1ª safra'!$E84:INDEX('Milho 1ª safra'!$E84:$Z84,MIN(E$6-$G$3,22))),0)))))</f>
        <v>0</v>
      </c>
      <c r="F86" s="27" t="n">
        <f aca="false">IF(COUNT('Milho 1ª safra'!$E84:$Z84)=0,0,MAX(0,IF((F$6-$E$3)&lt;1,0,IFERROR(LOOKUP(2,1/('Milho 1ª safra'!$E84:INDEX('Milho 1ª safra'!$E84:$Z84,MIN(F$6-$E$3,22))&lt;&gt;""),'Milho 1ª safra'!$E84:INDEX('Milho 1ª safra'!$E84:$Z84,MIN(F$6-$E$3,22))),0))-IF($G$2,0,IF((F$6-$G$3)&lt;1,0,IFERROR(LOOKUP(2,1/('Milho 1ª safra'!$E84:INDEX('Milho 1ª safra'!$E84:$Z84,MIN(F$6-$G$3,22))&lt;&gt;""),'Milho 1ª safra'!$E84:INDEX('Milho 1ª safra'!$E84:$Z84,MIN(F$6-$G$3,22))),0)))))</f>
        <v>0</v>
      </c>
      <c r="G86" s="27" t="n">
        <f aca="false">IF(COUNT('Milho 1ª safra'!$E84:$Z84)=0,0,MAX(0,IF((G$6-$E$3)&lt;1,0,IFERROR(LOOKUP(2,1/('Milho 1ª safra'!$E84:INDEX('Milho 1ª safra'!$E84:$Z84,MIN(G$6-$E$3,22))&lt;&gt;""),'Milho 1ª safra'!$E84:INDEX('Milho 1ª safra'!$E84:$Z84,MIN(G$6-$E$3,22))),0))-IF($G$2,0,IF((G$6-$G$3)&lt;1,0,IFERROR(LOOKUP(2,1/('Milho 1ª safra'!$E84:INDEX('Milho 1ª safra'!$E84:$Z84,MIN(G$6-$G$3,22))&lt;&gt;""),'Milho 1ª safra'!$E84:INDEX('Milho 1ª safra'!$E84:$Z84,MIN(G$6-$G$3,22))),0)))))</f>
        <v>0</v>
      </c>
      <c r="H86" s="27" t="n">
        <f aca="false">IF(COUNT('Milho 1ª safra'!$E84:$Z84)=0,0,MAX(0,IF((H$6-$E$3)&lt;1,0,IFERROR(LOOKUP(2,1/('Milho 1ª safra'!$E84:INDEX('Milho 1ª safra'!$E84:$Z84,MIN(H$6-$E$3,22))&lt;&gt;""),'Milho 1ª safra'!$E84:INDEX('Milho 1ª safra'!$E84:$Z84,MIN(H$6-$E$3,22))),0))-IF($G$2,0,IF((H$6-$G$3)&lt;1,0,IFERROR(LOOKUP(2,1/('Milho 1ª safra'!$E84:INDEX('Milho 1ª safra'!$E84:$Z84,MIN(H$6-$G$3,22))&lt;&gt;""),'Milho 1ª safra'!$E84:INDEX('Milho 1ª safra'!$E84:$Z84,MIN(H$6-$G$3,22))),0)))))</f>
        <v>0</v>
      </c>
      <c r="I86" s="27" t="n">
        <f aca="false">IF(COUNT('Milho 1ª safra'!$E84:$Z84)=0,0,MAX(0,IF((I$6-$E$3)&lt;1,0,IFERROR(LOOKUP(2,1/('Milho 1ª safra'!$E84:INDEX('Milho 1ª safra'!$E84:$Z84,MIN(I$6-$E$3,22))&lt;&gt;""),'Milho 1ª safra'!$E84:INDEX('Milho 1ª safra'!$E84:$Z84,MIN(I$6-$E$3,22))),0))-IF($G$2,0,IF((I$6-$G$3)&lt;1,0,IFERROR(LOOKUP(2,1/('Milho 1ª safra'!$E84:INDEX('Milho 1ª safra'!$E84:$Z84,MIN(I$6-$G$3,22))&lt;&gt;""),'Milho 1ª safra'!$E84:INDEX('Milho 1ª safra'!$E84:$Z84,MIN(I$6-$G$3,22))),0)))))</f>
        <v>0</v>
      </c>
      <c r="J86" s="27" t="n">
        <f aca="false">IF(COUNT('Milho 1ª safra'!$E84:$Z84)=0,0,MAX(0,IF((J$6-$E$3)&lt;1,0,IFERROR(LOOKUP(2,1/('Milho 1ª safra'!$E84:INDEX('Milho 1ª safra'!$E84:$Z84,MIN(J$6-$E$3,22))&lt;&gt;""),'Milho 1ª safra'!$E84:INDEX('Milho 1ª safra'!$E84:$Z84,MIN(J$6-$E$3,22))),0))-IF($G$2,0,IF((J$6-$G$3)&lt;1,0,IFERROR(LOOKUP(2,1/('Milho 1ª safra'!$E84:INDEX('Milho 1ª safra'!$E84:$Z84,MIN(J$6-$G$3,22))&lt;&gt;""),'Milho 1ª safra'!$E84:INDEX('Milho 1ª safra'!$E84:$Z84,MIN(J$6-$G$3,22))),0)))))</f>
        <v>0</v>
      </c>
      <c r="K86" s="27" t="n">
        <f aca="false">IF(COUNT('Milho 1ª safra'!$E84:$Z84)=0,0,MAX(0,IF((K$6-$E$3)&lt;1,0,IFERROR(LOOKUP(2,1/('Milho 1ª safra'!$E84:INDEX('Milho 1ª safra'!$E84:$Z84,MIN(K$6-$E$3,22))&lt;&gt;""),'Milho 1ª safra'!$E84:INDEX('Milho 1ª safra'!$E84:$Z84,MIN(K$6-$E$3,22))),0))-IF($G$2,0,IF((K$6-$G$3)&lt;1,0,IFERROR(LOOKUP(2,1/('Milho 1ª safra'!$E84:INDEX('Milho 1ª safra'!$E84:$Z84,MIN(K$6-$G$3,22))&lt;&gt;""),'Milho 1ª safra'!$E84:INDEX('Milho 1ª safra'!$E84:$Z84,MIN(K$6-$G$3,22))),0)))))</f>
        <v>0</v>
      </c>
      <c r="L86" s="27" t="n">
        <f aca="false">IF(COUNT('Milho 1ª safra'!$E84:$Z84)=0,0,MAX(0,IF((L$6-$E$3)&lt;1,0,IFERROR(LOOKUP(2,1/('Milho 1ª safra'!$E84:INDEX('Milho 1ª safra'!$E84:$Z84,MIN(L$6-$E$3,22))&lt;&gt;""),'Milho 1ª safra'!$E84:INDEX('Milho 1ª safra'!$E84:$Z84,MIN(L$6-$E$3,22))),0))-IF($G$2,0,IF((L$6-$G$3)&lt;1,0,IFERROR(LOOKUP(2,1/('Milho 1ª safra'!$E84:INDEX('Milho 1ª safra'!$E84:$Z84,MIN(L$6-$G$3,22))&lt;&gt;""),'Milho 1ª safra'!$E84:INDEX('Milho 1ª safra'!$E84:$Z84,MIN(L$6-$G$3,22))),0)))))</f>
        <v>0</v>
      </c>
      <c r="M86" s="27" t="n">
        <f aca="false">IF(COUNT('Milho 1ª safra'!$E84:$Z84)=0,0,MAX(0,IF((M$6-$E$3)&lt;1,0,IFERROR(LOOKUP(2,1/('Milho 1ª safra'!$E84:INDEX('Milho 1ª safra'!$E84:$Z84,MIN(M$6-$E$3,22))&lt;&gt;""),'Milho 1ª safra'!$E84:INDEX('Milho 1ª safra'!$E84:$Z84,MIN(M$6-$E$3,22))),0))-IF($G$2,0,IF((M$6-$G$3)&lt;1,0,IFERROR(LOOKUP(2,1/('Milho 1ª safra'!$E84:INDEX('Milho 1ª safra'!$E84:$Z84,MIN(M$6-$G$3,22))&lt;&gt;""),'Milho 1ª safra'!$E84:INDEX('Milho 1ª safra'!$E84:$Z84,MIN(M$6-$G$3,22))),0)))))</f>
        <v>0</v>
      </c>
      <c r="N86" s="27" t="n">
        <f aca="false">IF(COUNT('Milho 1ª safra'!$E84:$Z84)=0,0,MAX(0,IF((N$6-$E$3)&lt;1,0,IFERROR(LOOKUP(2,1/('Milho 1ª safra'!$E84:INDEX('Milho 1ª safra'!$E84:$Z84,MIN(N$6-$E$3,22))&lt;&gt;""),'Milho 1ª safra'!$E84:INDEX('Milho 1ª safra'!$E84:$Z84,MIN(N$6-$E$3,22))),0))-IF($G$2,0,IF((N$6-$G$3)&lt;1,0,IFERROR(LOOKUP(2,1/('Milho 1ª safra'!$E84:INDEX('Milho 1ª safra'!$E84:$Z84,MIN(N$6-$G$3,22))&lt;&gt;""),'Milho 1ª safra'!$E84:INDEX('Milho 1ª safra'!$E84:$Z84,MIN(N$6-$G$3,22))),0)))))</f>
        <v>0</v>
      </c>
      <c r="O86" s="27" t="n">
        <f aca="false">IF(COUNT('Milho 1ª safra'!$E84:$Z84)=0,0,MAX(0,IF((O$6-$E$3)&lt;1,0,IFERROR(LOOKUP(2,1/('Milho 1ª safra'!$E84:INDEX('Milho 1ª safra'!$E84:$Z84,MIN(O$6-$E$3,22))&lt;&gt;""),'Milho 1ª safra'!$E84:INDEX('Milho 1ª safra'!$E84:$Z84,MIN(O$6-$E$3,22))),0))-IF($G$2,0,IF((O$6-$G$3)&lt;1,0,IFERROR(LOOKUP(2,1/('Milho 1ª safra'!$E84:INDEX('Milho 1ª safra'!$E84:$Z84,MIN(O$6-$G$3,22))&lt;&gt;""),'Milho 1ª safra'!$E84:INDEX('Milho 1ª safra'!$E84:$Z84,MIN(O$6-$G$3,22))),0)))))</f>
        <v>0</v>
      </c>
      <c r="P86" s="27" t="n">
        <f aca="false">IF(COUNT('Milho 1ª safra'!$E84:$Z84)=0,0,MAX(0,IF((P$6-$E$3)&lt;1,0,IFERROR(LOOKUP(2,1/('Milho 1ª safra'!$E84:INDEX('Milho 1ª safra'!$E84:$Z84,MIN(P$6-$E$3,22))&lt;&gt;""),'Milho 1ª safra'!$E84:INDEX('Milho 1ª safra'!$E84:$Z84,MIN(P$6-$E$3,22))),0))-IF($G$2,0,IF((P$6-$G$3)&lt;1,0,IFERROR(LOOKUP(2,1/('Milho 1ª safra'!$E84:INDEX('Milho 1ª safra'!$E84:$Z84,MIN(P$6-$G$3,22))&lt;&gt;""),'Milho 1ª safra'!$E84:INDEX('Milho 1ª safra'!$E84:$Z84,MIN(P$6-$G$3,22))),0)))))</f>
        <v>0</v>
      </c>
      <c r="Q86" s="27" t="n">
        <f aca="false">IF(COUNT('Milho 1ª safra'!$E84:$Z84)=0,0,MAX(0,IF((Q$6-$E$3)&lt;1,0,IFERROR(LOOKUP(2,1/('Milho 1ª safra'!$E84:INDEX('Milho 1ª safra'!$E84:$Z84,MIN(Q$6-$E$3,22))&lt;&gt;""),'Milho 1ª safra'!$E84:INDEX('Milho 1ª safra'!$E84:$Z84,MIN(Q$6-$E$3,22))),0))-IF($G$2,0,IF((Q$6-$G$3)&lt;1,0,IFERROR(LOOKUP(2,1/('Milho 1ª safra'!$E84:INDEX('Milho 1ª safra'!$E84:$Z84,MIN(Q$6-$G$3,22))&lt;&gt;""),'Milho 1ª safra'!$E84:INDEX('Milho 1ª safra'!$E84:$Z84,MIN(Q$6-$G$3,22))),0)))))</f>
        <v>0</v>
      </c>
      <c r="R86" s="27" t="n">
        <f aca="false">IF(COUNT('Milho 1ª safra'!$E84:$Z84)=0,0,MAX(0,IF((R$6-$E$3)&lt;1,0,IFERROR(LOOKUP(2,1/('Milho 1ª safra'!$E84:INDEX('Milho 1ª safra'!$E84:$Z84,MIN(R$6-$E$3,22))&lt;&gt;""),'Milho 1ª safra'!$E84:INDEX('Milho 1ª safra'!$E84:$Z84,MIN(R$6-$E$3,22))),0))-IF($G$2,0,IF((R$6-$G$3)&lt;1,0,IFERROR(LOOKUP(2,1/('Milho 1ª safra'!$E84:INDEX('Milho 1ª safra'!$E84:$Z84,MIN(R$6-$G$3,22))&lt;&gt;""),'Milho 1ª safra'!$E84:INDEX('Milho 1ª safra'!$E84:$Z84,MIN(R$6-$G$3,22))),0)))))</f>
        <v>0</v>
      </c>
      <c r="S86" s="27" t="n">
        <f aca="false">IF(COUNT('Milho 1ª safra'!$E84:$Z84)=0,0,MAX(0,IF((S$6-$E$3)&lt;1,0,IFERROR(LOOKUP(2,1/('Milho 1ª safra'!$E84:INDEX('Milho 1ª safra'!$E84:$Z84,MIN(S$6-$E$3,22))&lt;&gt;""),'Milho 1ª safra'!$E84:INDEX('Milho 1ª safra'!$E84:$Z84,MIN(S$6-$E$3,22))),0))-IF($G$2,0,IF((S$6-$G$3)&lt;1,0,IFERROR(LOOKUP(2,1/('Milho 1ª safra'!$E84:INDEX('Milho 1ª safra'!$E84:$Z84,MIN(S$6-$G$3,22))&lt;&gt;""),'Milho 1ª safra'!$E84:INDEX('Milho 1ª safra'!$E84:$Z84,MIN(S$6-$G$3,22))),0)))))</f>
        <v>0</v>
      </c>
      <c r="T86" s="27" t="n">
        <f aca="false">IF(COUNT('Milho 1ª safra'!$E84:$Z84)=0,0,MAX(0,IF((T$6-$E$3)&lt;1,0,IFERROR(LOOKUP(2,1/('Milho 1ª safra'!$E84:INDEX('Milho 1ª safra'!$E84:$Z84,MIN(T$6-$E$3,22))&lt;&gt;""),'Milho 1ª safra'!$E84:INDEX('Milho 1ª safra'!$E84:$Z84,MIN(T$6-$E$3,22))),0))-IF($G$2,0,IF((T$6-$G$3)&lt;1,0,IFERROR(LOOKUP(2,1/('Milho 1ª safra'!$E84:INDEX('Milho 1ª safra'!$E84:$Z84,MIN(T$6-$G$3,22))&lt;&gt;""),'Milho 1ª safra'!$E84:INDEX('Milho 1ª safra'!$E84:$Z84,MIN(T$6-$G$3,22))),0)))))</f>
        <v>0</v>
      </c>
      <c r="U86" s="27" t="n">
        <f aca="false">IF(COUNT('Milho 1ª safra'!$E84:$Z84)=0,0,MAX(0,IF((U$6-$E$3)&lt;1,0,IFERROR(LOOKUP(2,1/('Milho 1ª safra'!$E84:INDEX('Milho 1ª safra'!$E84:$Z84,MIN(U$6-$E$3,22))&lt;&gt;""),'Milho 1ª safra'!$E84:INDEX('Milho 1ª safra'!$E84:$Z84,MIN(U$6-$E$3,22))),0))-IF($G$2,0,IF((U$6-$G$3)&lt;1,0,IFERROR(LOOKUP(2,1/('Milho 1ª safra'!$E84:INDEX('Milho 1ª safra'!$E84:$Z84,MIN(U$6-$G$3,22))&lt;&gt;""),'Milho 1ª safra'!$E84:INDEX('Milho 1ª safra'!$E84:$Z84,MIN(U$6-$G$3,22))),0)))))</f>
        <v>0</v>
      </c>
      <c r="V86" s="27" t="n">
        <f aca="false">IF(COUNT('Milho 1ª safra'!$E84:$Z84)=0,0,MAX(0,IF((V$6-$E$3)&lt;1,0,IFERROR(LOOKUP(2,1/('Milho 1ª safra'!$E84:INDEX('Milho 1ª safra'!$E84:$Z84,MIN(V$6-$E$3,22))&lt;&gt;""),'Milho 1ª safra'!$E84:INDEX('Milho 1ª safra'!$E84:$Z84,MIN(V$6-$E$3,22))),0))-IF($G$2,0,IF((V$6-$G$3)&lt;1,0,IFERROR(LOOKUP(2,1/('Milho 1ª safra'!$E84:INDEX('Milho 1ª safra'!$E84:$Z84,MIN(V$6-$G$3,22))&lt;&gt;""),'Milho 1ª safra'!$E84:INDEX('Milho 1ª safra'!$E84:$Z84,MIN(V$6-$G$3,22))),0)))))</f>
        <v>0</v>
      </c>
      <c r="W86" s="27" t="n">
        <f aca="false">IF(COUNT('Milho 1ª safra'!$E84:$Z84)=0,0,MAX(0,IF((W$6-$E$3)&lt;1,0,IFERROR(LOOKUP(2,1/('Milho 1ª safra'!$E84:INDEX('Milho 1ª safra'!$E84:$Z84,MIN(W$6-$E$3,22))&lt;&gt;""),'Milho 1ª safra'!$E84:INDEX('Milho 1ª safra'!$E84:$Z84,MIN(W$6-$E$3,22))),0))-IF($G$2,0,IF((W$6-$G$3)&lt;1,0,IFERROR(LOOKUP(2,1/('Milho 1ª safra'!$E84:INDEX('Milho 1ª safra'!$E84:$Z84,MIN(W$6-$G$3,22))&lt;&gt;""),'Milho 1ª safra'!$E84:INDEX('Milho 1ª safra'!$E84:$Z84,MIN(W$6-$G$3,22))),0)))))</f>
        <v>0</v>
      </c>
      <c r="X86" s="27" t="n">
        <f aca="false">IF(COUNT('Milho 1ª safra'!$E84:$Z84)=0,0,MAX(0,IF((X$6-$E$3)&lt;1,0,IFERROR(LOOKUP(2,1/('Milho 1ª safra'!$E84:INDEX('Milho 1ª safra'!$E84:$Z84,MIN(X$6-$E$3,22))&lt;&gt;""),'Milho 1ª safra'!$E84:INDEX('Milho 1ª safra'!$E84:$Z84,MIN(X$6-$E$3,22))),0))-IF($G$2,0,IF((X$6-$G$3)&lt;1,0,IFERROR(LOOKUP(2,1/('Milho 1ª safra'!$E84:INDEX('Milho 1ª safra'!$E84:$Z84,MIN(X$6-$G$3,22))&lt;&gt;""),'Milho 1ª safra'!$E84:INDEX('Milho 1ª safra'!$E84:$Z84,MIN(X$6-$G$3,22))),0)))))</f>
        <v>0</v>
      </c>
      <c r="Y86" s="27" t="n">
        <f aca="false">IF(COUNT('Milho 1ª safra'!$E84:$Z84)=0,0,MAX(0,IF((Y$6-$E$3)&lt;1,0,IFERROR(LOOKUP(2,1/('Milho 1ª safra'!$E84:INDEX('Milho 1ª safra'!$E84:$Z84,MIN(Y$6-$E$3,22))&lt;&gt;""),'Milho 1ª safra'!$E84:INDEX('Milho 1ª safra'!$E84:$Z84,MIN(Y$6-$E$3,22))),0))-IF($G$2,0,IF((Y$6-$G$3)&lt;1,0,IFERROR(LOOKUP(2,1/('Milho 1ª safra'!$E84:INDEX('Milho 1ª safra'!$E84:$Z84,MIN(Y$6-$G$3,22))&lt;&gt;""),'Milho 1ª safra'!$E84:INDEX('Milho 1ª safra'!$E84:$Z84,MIN(Y$6-$G$3,22))),0)))))</f>
        <v>0</v>
      </c>
      <c r="Z86" s="27" t="n">
        <f aca="false">IF(COUNT('Milho 1ª safra'!$E84:$Z84)=0,0,MAX(0,IF((Z$6-$E$3)&lt;1,0,IFERROR(LOOKUP(2,1/('Milho 1ª safra'!$E84:INDEX('Milho 1ª safra'!$E84:$Z84,MIN(Z$6-$E$3,22))&lt;&gt;""),'Milho 1ª safra'!$E84:INDEX('Milho 1ª safra'!$E84:$Z84,MIN(Z$6-$E$3,22))),0))-IF($G$2,0,IF((Z$6-$G$3)&lt;1,0,IFERROR(LOOKUP(2,1/('Milho 1ª safra'!$E84:INDEX('Milho 1ª safra'!$E84:$Z84,MIN(Z$6-$G$3,22))&lt;&gt;""),'Milho 1ª safra'!$E84:INDEX('Milho 1ª safra'!$E84:$Z84,MIN(Z$6-$G$3,22))),0)))))</f>
        <v>0</v>
      </c>
      <c r="AA86" s="27" t="n">
        <f aca="false">IF(COUNT('Milho 1ª safra'!$E84:$Z84)=0,0,MAX(0,IF((AA$6-$E$3)&lt;1,0,IFERROR(LOOKUP(2,1/('Milho 1ª safra'!$E84:INDEX('Milho 1ª safra'!$E84:$Z84,MIN(AA$6-$E$3,22))&lt;&gt;""),'Milho 1ª safra'!$E84:INDEX('Milho 1ª safra'!$E84:$Z84,MIN(AA$6-$E$3,22))),0))-IF($G$2,0,IF((AA$6-$G$3)&lt;1,0,IFERROR(LOOKUP(2,1/('Milho 1ª safra'!$E84:INDEX('Milho 1ª safra'!$E84:$Z84,MIN(AA$6-$G$3,22))&lt;&gt;""),'Milho 1ª safra'!$E84:INDEX('Milho 1ª safra'!$E84:$Z84,MIN(AA$6-$G$3,22))),0)))))</f>
        <v>0</v>
      </c>
      <c r="AB86" s="27" t="n">
        <f aca="false">IF(COUNT('Milho 1ª safra'!$E84:$Z84)=0,0,MAX(0,IF((AB$6-$E$3)&lt;1,0,IFERROR(LOOKUP(2,1/('Milho 1ª safra'!$E84:INDEX('Milho 1ª safra'!$E84:$Z84,MIN(AB$6-$E$3,22))&lt;&gt;""),'Milho 1ª safra'!$E84:INDEX('Milho 1ª safra'!$E84:$Z84,MIN(AB$6-$E$3,22))),0))-IF($G$2,0,IF((AB$6-$G$3)&lt;1,0,IFERROR(LOOKUP(2,1/('Milho 1ª safra'!$E84:INDEX('Milho 1ª safra'!$E84:$Z84,MIN(AB$6-$G$3,22))&lt;&gt;""),'Milho 1ª safra'!$E84:INDEX('Milho 1ª safra'!$E84:$Z84,MIN(AB$6-$G$3,22))),0)))))</f>
        <v>0</v>
      </c>
      <c r="AC86" s="27" t="n">
        <f aca="false">IF(COUNT('Milho 1ª safra'!$E84:$Z84)=0,0,MAX(0,IF((AC$6-$E$3)&lt;1,0,IFERROR(LOOKUP(2,1/('Milho 1ª safra'!$E84:INDEX('Milho 1ª safra'!$E84:$Z84,MIN(AC$6-$E$3,22))&lt;&gt;""),'Milho 1ª safra'!$E84:INDEX('Milho 1ª safra'!$E84:$Z84,MIN(AC$6-$E$3,22))),0))-IF($G$2,0,IF((AC$6-$G$3)&lt;1,0,IFERROR(LOOKUP(2,1/('Milho 1ª safra'!$E84:INDEX('Milho 1ª safra'!$E84:$Z84,MIN(AC$6-$G$3,22))&lt;&gt;""),'Milho 1ª safra'!$E84:INDEX('Milho 1ª safra'!$E84:$Z84,MIN(AC$6-$G$3,22))),0)))))</f>
        <v>0</v>
      </c>
      <c r="AD86" s="27" t="n">
        <f aca="false">IF(COUNT('Milho 1ª safra'!$E84:$Z84)=0,0,MAX(0,IF((AD$6-$E$3)&lt;1,0,IFERROR(LOOKUP(2,1/('Milho 1ª safra'!$E84:INDEX('Milho 1ª safra'!$E84:$Z84,MIN(AD$6-$E$3,22))&lt;&gt;""),'Milho 1ª safra'!$E84:INDEX('Milho 1ª safra'!$E84:$Z84,MIN(AD$6-$E$3,22))),0))-IF($G$2,0,IF((AD$6-$G$3)&lt;1,0,IFERROR(LOOKUP(2,1/('Milho 1ª safra'!$E84:INDEX('Milho 1ª safra'!$E84:$Z84,MIN(AD$6-$G$3,22))&lt;&gt;""),'Milho 1ª safra'!$E84:INDEX('Milho 1ª safra'!$E84:$Z84,MIN(AD$6-$G$3,22))),0)))))</f>
        <v>0</v>
      </c>
      <c r="AE86" s="27" t="n">
        <f aca="false">IF(COUNT('Milho 1ª safra'!$E84:$Z84)=0,0,MAX(0,IF((AE$6-$E$3)&lt;1,0,IFERROR(LOOKUP(2,1/('Milho 1ª safra'!$E84:INDEX('Milho 1ª safra'!$E84:$Z84,MIN(AE$6-$E$3,22))&lt;&gt;""),'Milho 1ª safra'!$E84:INDEX('Milho 1ª safra'!$E84:$Z84,MIN(AE$6-$E$3,22))),0))-IF($G$2,0,IF((AE$6-$G$3)&lt;1,0,IFERROR(LOOKUP(2,1/('Milho 1ª safra'!$E84:INDEX('Milho 1ª safra'!$E84:$Z84,MIN(AE$6-$G$3,22))&lt;&gt;""),'Milho 1ª safra'!$E84:INDEX('Milho 1ª safra'!$E84:$Z84,MIN(AE$6-$G$3,22))),0)))))</f>
        <v>0</v>
      </c>
      <c r="AF86" s="27" t="n">
        <f aca="false">IF(COUNT('Milho 1ª safra'!$E84:$Z84)=0,0,MAX(0,IF((AF$6-$E$3)&lt;1,0,IFERROR(LOOKUP(2,1/('Milho 1ª safra'!$E84:INDEX('Milho 1ª safra'!$E84:$Z84,MIN(AF$6-$E$3,22))&lt;&gt;""),'Milho 1ª safra'!$E84:INDEX('Milho 1ª safra'!$E84:$Z84,MIN(AF$6-$E$3,22))),0))-IF($G$2,0,IF((AF$6-$G$3)&lt;1,0,IFERROR(LOOKUP(2,1/('Milho 1ª safra'!$E84:INDEX('Milho 1ª safra'!$E84:$Z84,MIN(AF$6-$G$3,22))&lt;&gt;""),'Milho 1ª safra'!$E84:INDEX('Milho 1ª safra'!$E84:$Z84,MIN(AF$6-$G$3,22))),0)))))</f>
        <v>0</v>
      </c>
      <c r="AG86" s="27" t="n">
        <f aca="false">IF(COUNT('Milho 1ª safra'!$E84:$Z84)=0,0,MAX(0,IF((AG$6-$E$3)&lt;1,0,IFERROR(LOOKUP(2,1/('Milho 1ª safra'!$E84:INDEX('Milho 1ª safra'!$E84:$Z84,MIN(AG$6-$E$3,22))&lt;&gt;""),'Milho 1ª safra'!$E84:INDEX('Milho 1ª safra'!$E84:$Z84,MIN(AG$6-$E$3,22))),0))-IF($G$2,0,IF((AG$6-$G$3)&lt;1,0,IFERROR(LOOKUP(2,1/('Milho 1ª safra'!$E84:INDEX('Milho 1ª safra'!$E84:$Z84,MIN(AG$6-$G$3,22))&lt;&gt;""),'Milho 1ª safra'!$E84:INDEX('Milho 1ª safra'!$E84:$Z84,MIN(AG$6-$G$3,22))),0)))))</f>
        <v>0</v>
      </c>
      <c r="AH86" s="27" t="n">
        <f aca="false">IF(COUNT('Milho 1ª safra'!$E84:$Z84)=0,0,MAX(0,IF((AH$6-$E$3)&lt;1,0,IFERROR(LOOKUP(2,1/('Milho 1ª safra'!$E84:INDEX('Milho 1ª safra'!$E84:$Z84,MIN(AH$6-$E$3,22))&lt;&gt;""),'Milho 1ª safra'!$E84:INDEX('Milho 1ª safra'!$E84:$Z84,MIN(AH$6-$E$3,22))),0))-IF($G$2,0,IF((AH$6-$G$3)&lt;1,0,IFERROR(LOOKUP(2,1/('Milho 1ª safra'!$E84:INDEX('Milho 1ª safra'!$E84:$Z84,MIN(AH$6-$G$3,22))&lt;&gt;""),'Milho 1ª safra'!$E84:INDEX('Milho 1ª safra'!$E84:$Z84,MIN(AH$6-$G$3,22))),0)))))</f>
        <v>0</v>
      </c>
      <c r="AI86" s="27" t="n">
        <f aca="false">IF(COUNT('Milho 1ª safra'!$E84:$Z84)=0,0,MAX(0,IF((AI$6-$E$3)&lt;1,0,IFERROR(LOOKUP(2,1/('Milho 1ª safra'!$E84:INDEX('Milho 1ª safra'!$E84:$Z84,MIN(AI$6-$E$3,22))&lt;&gt;""),'Milho 1ª safra'!$E84:INDEX('Milho 1ª safra'!$E84:$Z84,MIN(AI$6-$E$3,22))),0))-IF($G$2,0,IF((AI$6-$G$3)&lt;1,0,IFERROR(LOOKUP(2,1/('Milho 1ª safra'!$E84:INDEX('Milho 1ª safra'!$E84:$Z84,MIN(AI$6-$G$3,22))&lt;&gt;""),'Milho 1ª safra'!$E84:INDEX('Milho 1ª safra'!$E84:$Z84,MIN(AI$6-$G$3,22))),0)))))</f>
        <v>0</v>
      </c>
      <c r="AJ86" s="27" t="n">
        <f aca="false">IF(COUNT('Milho 1ª safra'!$E84:$Z84)=0,0,MAX(0,IF((AJ$6-$E$3)&lt;1,0,IFERROR(LOOKUP(2,1/('Milho 1ª safra'!$E84:INDEX('Milho 1ª safra'!$E84:$Z84,MIN(AJ$6-$E$3,22))&lt;&gt;""),'Milho 1ª safra'!$E84:INDEX('Milho 1ª safra'!$E84:$Z84,MIN(AJ$6-$E$3,22))),0))-IF($G$2,0,IF((AJ$6-$G$3)&lt;1,0,IFERROR(LOOKUP(2,1/('Milho 1ª safra'!$E84:INDEX('Milho 1ª safra'!$E84:$Z84,MIN(AJ$6-$G$3,22))&lt;&gt;""),'Milho 1ª safra'!$E84:INDEX('Milho 1ª safra'!$E84:$Z84,MIN(AJ$6-$G$3,22))),0)))))</f>
        <v>0</v>
      </c>
      <c r="AK86" s="27" t="n">
        <f aca="false">IF(COUNT('Milho 1ª safra'!$E84:$Z84)=0,0,MAX(0,IF((AK$6-$E$3)&lt;1,0,IFERROR(LOOKUP(2,1/('Milho 1ª safra'!$E84:INDEX('Milho 1ª safra'!$E84:$Z84,MIN(AK$6-$E$3,22))&lt;&gt;""),'Milho 1ª safra'!$E84:INDEX('Milho 1ª safra'!$E84:$Z84,MIN(AK$6-$E$3,22))),0))-IF($G$2,0,IF((AK$6-$G$3)&lt;1,0,IFERROR(LOOKUP(2,1/('Milho 1ª safra'!$E84:INDEX('Milho 1ª safra'!$E84:$Z84,MIN(AK$6-$G$3,22))&lt;&gt;""),'Milho 1ª safra'!$E84:INDEX('Milho 1ª safra'!$E84:$Z84,MIN(AK$6-$G$3,22))),0)))))</f>
        <v>0</v>
      </c>
      <c r="AL86" s="27" t="n">
        <f aca="false">IF(COUNT('Milho 1ª safra'!$E84:$Z84)=0,0,MAX(0,IF((AL$6-$E$3)&lt;1,0,IFERROR(LOOKUP(2,1/('Milho 1ª safra'!$E84:INDEX('Milho 1ª safra'!$E84:$Z84,MIN(AL$6-$E$3,22))&lt;&gt;""),'Milho 1ª safra'!$E84:INDEX('Milho 1ª safra'!$E84:$Z84,MIN(AL$6-$E$3,22))),0))-IF($G$2,0,IF((AL$6-$G$3)&lt;1,0,IFERROR(LOOKUP(2,1/('Milho 1ª safra'!$E84:INDEX('Milho 1ª safra'!$E84:$Z84,MIN(AL$6-$G$3,22))&lt;&gt;""),'Milho 1ª safra'!$E84:INDEX('Milho 1ª safra'!$E84:$Z84,MIN(AL$6-$G$3,22))),0)))))</f>
        <v>0</v>
      </c>
      <c r="AM86" s="27" t="n">
        <f aca="false">IF(COUNT('Milho 1ª safra'!$E84:$Z84)=0,0,MAX(0,IF((AM$6-$E$3)&lt;1,0,IFERROR(LOOKUP(2,1/('Milho 1ª safra'!$E84:INDEX('Milho 1ª safra'!$E84:$Z84,MIN(AM$6-$E$3,22))&lt;&gt;""),'Milho 1ª safra'!$E84:INDEX('Milho 1ª safra'!$E84:$Z84,MIN(AM$6-$E$3,22))),0))-IF($G$2,0,IF((AM$6-$G$3)&lt;1,0,IFERROR(LOOKUP(2,1/('Milho 1ª safra'!$E84:INDEX('Milho 1ª safra'!$E84:$Z84,MIN(AM$6-$G$3,22))&lt;&gt;""),'Milho 1ª safra'!$E84:INDEX('Milho 1ª safra'!$E84:$Z84,MIN(AM$6-$G$3,22))),0)))))</f>
        <v>0</v>
      </c>
      <c r="AN86" s="27" t="n">
        <f aca="false">IF(COUNT('Milho 1ª safra'!$E84:$Z84)=0,0,MAX(0,IF((AN$6-$E$3)&lt;1,0,IFERROR(LOOKUP(2,1/('Milho 1ª safra'!$E84:INDEX('Milho 1ª safra'!$E84:$Z84,MIN(AN$6-$E$3,22))&lt;&gt;""),'Milho 1ª safra'!$E84:INDEX('Milho 1ª safra'!$E84:$Z84,MIN(AN$6-$E$3,22))),0))-IF($G$2,0,IF((AN$6-$G$3)&lt;1,0,IFERROR(LOOKUP(2,1/('Milho 1ª safra'!$E84:INDEX('Milho 1ª safra'!$E84:$Z84,MIN(AN$6-$G$3,22))&lt;&gt;""),'Milho 1ª safra'!$E84:INDEX('Milho 1ª safra'!$E84:$Z84,MIN(AN$6-$G$3,22))),0)))))</f>
        <v>0</v>
      </c>
      <c r="AO86" s="27" t="n">
        <f aca="false">IF(COUNT('Milho 1ª safra'!$E84:$Z84)=0,0,MAX(0,IF((AO$6-$E$3)&lt;1,0,IFERROR(LOOKUP(2,1/('Milho 1ª safra'!$E84:INDEX('Milho 1ª safra'!$E84:$Z84,MIN(AO$6-$E$3,22))&lt;&gt;""),'Milho 1ª safra'!$E84:INDEX('Milho 1ª safra'!$E84:$Z84,MIN(AO$6-$E$3,22))),0))-IF($G$2,0,IF((AO$6-$G$3)&lt;1,0,IFERROR(LOOKUP(2,1/('Milho 1ª safra'!$E84:INDEX('Milho 1ª safra'!$E84:$Z84,MIN(AO$6-$G$3,22))&lt;&gt;""),'Milho 1ª safra'!$E84:INDEX('Milho 1ª safra'!$E84:$Z84,MIN(AO$6-$G$3,22))),0)))))</f>
        <v>0</v>
      </c>
      <c r="AP86" s="27" t="n">
        <f aca="false">IF(COUNT('Milho 1ª safra'!$E84:$Z84)=0,0,MAX(0,IF((AP$6-$E$3)&lt;1,0,IFERROR(LOOKUP(2,1/('Milho 1ª safra'!$E84:INDEX('Milho 1ª safra'!$E84:$Z84,MIN(AP$6-$E$3,22))&lt;&gt;""),'Milho 1ª safra'!$E84:INDEX('Milho 1ª safra'!$E84:$Z84,MIN(AP$6-$E$3,22))),0))-IF($G$2,0,IF((AP$6-$G$3)&lt;1,0,IFERROR(LOOKUP(2,1/('Milho 1ª safra'!$E84:INDEX('Milho 1ª safra'!$E84:$Z84,MIN(AP$6-$G$3,22))&lt;&gt;""),'Milho 1ª safra'!$E84:INDEX('Milho 1ª safra'!$E84:$Z84,MIN(AP$6-$G$3,22))),0)))))</f>
        <v>0</v>
      </c>
      <c r="AQ86" s="27" t="n">
        <f aca="false">IF(COUNT('Milho 1ª safra'!$E84:$Z84)=0,0,MAX(0,IF((AQ$6-$E$3)&lt;1,0,IFERROR(LOOKUP(2,1/('Milho 1ª safra'!$E84:INDEX('Milho 1ª safra'!$E84:$Z84,MIN(AQ$6-$E$3,22))&lt;&gt;""),'Milho 1ª safra'!$E84:INDEX('Milho 1ª safra'!$E84:$Z84,MIN(AQ$6-$E$3,22))),0))-IF($G$2,0,IF((AQ$6-$G$3)&lt;1,0,IFERROR(LOOKUP(2,1/('Milho 1ª safra'!$E84:INDEX('Milho 1ª safra'!$E84:$Z84,MIN(AQ$6-$G$3,22))&lt;&gt;""),'Milho 1ª safra'!$E84:INDEX('Milho 1ª safra'!$E84:$Z84,MIN(AQ$6-$G$3,22))),0)))))</f>
        <v>0</v>
      </c>
      <c r="AR86" s="27" t="n">
        <f aca="false">IF(COUNT('Milho 1ª safra'!$E84:$Z84)=0,0,MAX(0,IF((AR$6-$E$3)&lt;1,0,IFERROR(LOOKUP(2,1/('Milho 1ª safra'!$E84:INDEX('Milho 1ª safra'!$E84:$Z84,MIN(AR$6-$E$3,22))&lt;&gt;""),'Milho 1ª safra'!$E84:INDEX('Milho 1ª safra'!$E84:$Z84,MIN(AR$6-$E$3,22))),0))-IF($G$2,0,IF((AR$6-$G$3)&lt;1,0,IFERROR(LOOKUP(2,1/('Milho 1ª safra'!$E84:INDEX('Milho 1ª safra'!$E84:$Z84,MIN(AR$6-$G$3,22))&lt;&gt;""),'Milho 1ª safra'!$E84:INDEX('Milho 1ª safra'!$E84:$Z84,MIN(AR$6-$G$3,22))),0)))))</f>
        <v>0</v>
      </c>
      <c r="AS86" s="27" t="n">
        <f aca="false">IF(COUNT('Milho 1ª safra'!$E84:$Z84)=0,0,MAX(0,IF((AS$6-$E$3)&lt;1,0,IFERROR(LOOKUP(2,1/('Milho 1ª safra'!$E84:INDEX('Milho 1ª safra'!$E84:$Z84,MIN(AS$6-$E$3,22))&lt;&gt;""),'Milho 1ª safra'!$E84:INDEX('Milho 1ª safra'!$E84:$Z84,MIN(AS$6-$E$3,22))),0))-IF($G$2,0,IF((AS$6-$G$3)&lt;1,0,IFERROR(LOOKUP(2,1/('Milho 1ª safra'!$E84:INDEX('Milho 1ª safra'!$E84:$Z84,MIN(AS$6-$G$3,22))&lt;&gt;""),'Milho 1ª safra'!$E84:INDEX('Milho 1ª safra'!$E84:$Z84,MIN(AS$6-$G$3,22))),0)))))</f>
        <v>0</v>
      </c>
      <c r="AT86" s="27" t="n">
        <f aca="false">IF(COUNT('Milho 1ª safra'!$E84:$Z84)=0,0,MAX(0,IF((AT$6-$E$3)&lt;1,0,IFERROR(LOOKUP(2,1/('Milho 1ª safra'!$E84:INDEX('Milho 1ª safra'!$E84:$Z84,MIN(AT$6-$E$3,22))&lt;&gt;""),'Milho 1ª safra'!$E84:INDEX('Milho 1ª safra'!$E84:$Z84,MIN(AT$6-$E$3,22))),0))-IF($G$2,0,IF((AT$6-$G$3)&lt;1,0,IFERROR(LOOKUP(2,1/('Milho 1ª safra'!$E84:INDEX('Milho 1ª safra'!$E84:$Z84,MIN(AT$6-$G$3,22))&lt;&gt;""),'Milho 1ª safra'!$E84:INDEX('Milho 1ª safra'!$E84:$Z84,MIN(AT$6-$G$3,22))),0)))))</f>
        <v>0</v>
      </c>
      <c r="AU86" s="27" t="n">
        <f aca="false">IF(COUNT('Milho 1ª safra'!$E84:$Z84)=0,0,MAX(0,IF((AU$6-$E$3)&lt;1,0,IFERROR(LOOKUP(2,1/('Milho 1ª safra'!$E84:INDEX('Milho 1ª safra'!$E84:$Z84,MIN(AU$6-$E$3,22))&lt;&gt;""),'Milho 1ª safra'!$E84:INDEX('Milho 1ª safra'!$E84:$Z84,MIN(AU$6-$E$3,22))),0))-IF($G$2,0,IF((AU$6-$G$3)&lt;1,0,IFERROR(LOOKUP(2,1/('Milho 1ª safra'!$E84:INDEX('Milho 1ª safra'!$E84:$Z84,MIN(AU$6-$G$3,22))&lt;&gt;""),'Milho 1ª safra'!$E84:INDEX('Milho 1ª safra'!$E84:$Z84,MIN(AU$6-$G$3,22))),0)))))</f>
        <v>0</v>
      </c>
      <c r="AV86" s="27" t="n">
        <f aca="false">IF(COUNT('Milho 1ª safra'!$E84:$Z84)=0,0,MAX(0,IF((AV$6-$E$3)&lt;1,0,IFERROR(LOOKUP(2,1/('Milho 1ª safra'!$E84:INDEX('Milho 1ª safra'!$E84:$Z84,MIN(AV$6-$E$3,22))&lt;&gt;""),'Milho 1ª safra'!$E84:INDEX('Milho 1ª safra'!$E84:$Z84,MIN(AV$6-$E$3,22))),0))-IF($G$2,0,IF((AV$6-$G$3)&lt;1,0,IFERROR(LOOKUP(2,1/('Milho 1ª safra'!$E84:INDEX('Milho 1ª safra'!$E84:$Z84,MIN(AV$6-$G$3,22))&lt;&gt;""),'Milho 1ª safra'!$E84:INDEX('Milho 1ª safra'!$E84:$Z84,MIN(AV$6-$G$3,22))),0)))))</f>
        <v>0</v>
      </c>
      <c r="AW86" s="27" t="n">
        <f aca="false">IF(COUNT('Milho 1ª safra'!$E84:$Z84)=0,0,MAX(0,IF((AW$6-$E$3)&lt;1,0,IFERROR(LOOKUP(2,1/('Milho 1ª safra'!$E84:INDEX('Milho 1ª safra'!$E84:$Z84,MIN(AW$6-$E$3,22))&lt;&gt;""),'Milho 1ª safra'!$E84:INDEX('Milho 1ª safra'!$E84:$Z84,MIN(AW$6-$E$3,22))),0))-IF($G$2,0,IF((AW$6-$G$3)&lt;1,0,IFERROR(LOOKUP(2,1/('Milho 1ª safra'!$E84:INDEX('Milho 1ª safra'!$E84:$Z84,MIN(AW$6-$G$3,22))&lt;&gt;""),'Milho 1ª safra'!$E84:INDEX('Milho 1ª safra'!$E84:$Z84,MIN(AW$6-$G$3,22))),0)))))</f>
        <v>0</v>
      </c>
      <c r="AX86" s="27" t="n">
        <f aca="false">IF(COUNT('Milho 1ª safra'!$E84:$Z84)=0,0,MAX(0,IF((AX$6-$E$3)&lt;1,0,IFERROR(LOOKUP(2,1/('Milho 1ª safra'!$E84:INDEX('Milho 1ª safra'!$E84:$Z84,MIN(AX$6-$E$3,22))&lt;&gt;""),'Milho 1ª safra'!$E84:INDEX('Milho 1ª safra'!$E84:$Z84,MIN(AX$6-$E$3,22))),0))-IF($G$2,0,IF((AX$6-$G$3)&lt;1,0,IFERROR(LOOKUP(2,1/('Milho 1ª safra'!$E84:INDEX('Milho 1ª safra'!$E84:$Z84,MIN(AX$6-$G$3,22))&lt;&gt;""),'Milho 1ª safra'!$E84:INDEX('Milho 1ª safra'!$E84:$Z84,MIN(AX$6-$G$3,22))),0)))))</f>
        <v>0</v>
      </c>
      <c r="AY86" s="27" t="n">
        <f aca="false">IF(COUNT('Milho 1ª safra'!$E84:$Z84)=0,0,MAX(0,IF((AY$6-$E$3)&lt;1,0,IFERROR(LOOKUP(2,1/('Milho 1ª safra'!$E84:INDEX('Milho 1ª safra'!$E84:$Z84,MIN(AY$6-$E$3,22))&lt;&gt;""),'Milho 1ª safra'!$E84:INDEX('Milho 1ª safra'!$E84:$Z84,MIN(AY$6-$E$3,22))),0))-IF($G$2,0,IF((AY$6-$G$3)&lt;1,0,IFERROR(LOOKUP(2,1/('Milho 1ª safra'!$E84:INDEX('Milho 1ª safra'!$E84:$Z84,MIN(AY$6-$G$3,22))&lt;&gt;""),'Milho 1ª safra'!$E84:INDEX('Milho 1ª safra'!$E84:$Z84,MIN(AY$6-$G$3,22))),0)))))</f>
        <v>0</v>
      </c>
      <c r="AZ86" s="27" t="n">
        <f aca="false">IF(COUNT('Milho 1ª safra'!$E84:$Z84)=0,0,MAX(0,IF((AZ$6-$E$3)&lt;1,0,IFERROR(LOOKUP(2,1/('Milho 1ª safra'!$E84:INDEX('Milho 1ª safra'!$E84:$Z84,MIN(AZ$6-$E$3,22))&lt;&gt;""),'Milho 1ª safra'!$E84:INDEX('Milho 1ª safra'!$E84:$Z84,MIN(AZ$6-$E$3,22))),0))-IF($G$2,0,IF((AZ$6-$G$3)&lt;1,0,IFERROR(LOOKUP(2,1/('Milho 1ª safra'!$E84:INDEX('Milho 1ª safra'!$E84:$Z84,MIN(AZ$6-$G$3,22))&lt;&gt;""),'Milho 1ª safra'!$E84:INDEX('Milho 1ª safra'!$E84:$Z84,MIN(AZ$6-$G$3,22))),0)))))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Parâmetros!$C$11:$C$17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302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Parâmetros!$J$6</f>
        <v>46396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46396</v>
      </c>
      <c r="F5" s="17" t="n">
        <f aca="false">$B$3+7</f>
        <v>46403</v>
      </c>
      <c r="G5" s="17" t="n">
        <f aca="false">$B$3+14</f>
        <v>46410</v>
      </c>
      <c r="H5" s="17" t="n">
        <f aca="false">$B$3+21</f>
        <v>46417</v>
      </c>
      <c r="I5" s="17" t="n">
        <f aca="false">$B$3+28</f>
        <v>46424</v>
      </c>
      <c r="J5" s="17" t="n">
        <f aca="false">$B$3+35</f>
        <v>46431</v>
      </c>
      <c r="K5" s="17" t="n">
        <f aca="false">$B$3+42</f>
        <v>46438</v>
      </c>
      <c r="L5" s="17" t="n">
        <f aca="false">$B$3+49</f>
        <v>46445</v>
      </c>
      <c r="M5" s="17" t="n">
        <f aca="false">$B$3+56</f>
        <v>46452</v>
      </c>
      <c r="N5" s="17" t="n">
        <f aca="false">$B$3+63</f>
        <v>46459</v>
      </c>
      <c r="O5" s="17" t="n">
        <f aca="false">$B$3+70</f>
        <v>46466</v>
      </c>
      <c r="P5" s="17" t="n">
        <f aca="false">$B$3+77</f>
        <v>46473</v>
      </c>
      <c r="Q5" s="17" t="n">
        <f aca="false">$B$3+84</f>
        <v>46480</v>
      </c>
      <c r="R5" s="17" t="n">
        <f aca="false">$B$3+91</f>
        <v>46487</v>
      </c>
      <c r="S5" s="17" t="n">
        <f aca="false">$B$3+98</f>
        <v>46494</v>
      </c>
      <c r="T5" s="17" t="n">
        <f aca="false">$B$3+105</f>
        <v>46501</v>
      </c>
      <c r="U5" s="17" t="n">
        <f aca="false">$B$3+112</f>
        <v>46508</v>
      </c>
      <c r="V5" s="17" t="n">
        <f aca="false">$B$3+119</f>
        <v>46515</v>
      </c>
      <c r="W5" s="17" t="n">
        <f aca="false">$B$3+126</f>
        <v>46522</v>
      </c>
      <c r="X5" s="17" t="n">
        <f aca="false">$B$3+133</f>
        <v>46529</v>
      </c>
      <c r="Y5" s="17" t="n">
        <f aca="false">$B$3+140</f>
        <v>46536</v>
      </c>
      <c r="Z5" s="17" t="n">
        <f aca="false">$B$3+147</f>
        <v>46543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303</v>
      </c>
    </row>
    <row r="2" customFormat="false" ht="15" hidden="false" customHeight="false" outlineLevel="0" collapsed="false">
      <c r="D2" s="21" t="s">
        <v>293</v>
      </c>
      <c r="E2" s="21" t="n">
        <f aca="false">MATCH("Milho 2ª safra|"&amp;$B$3,Parâmetros!$G$4:$G$83,0)+3</f>
        <v>21</v>
      </c>
      <c r="F2" s="21" t="s">
        <v>294</v>
      </c>
      <c r="G2" s="22" t="b">
        <f aca="false">INDEX(Parâmetros!$A$1:$A$84,$E$2+1)&lt;&gt;"Milho 2ª safra"</f>
        <v>0</v>
      </c>
    </row>
    <row r="3" customFormat="false" ht="15" hidden="false" customHeight="false" outlineLevel="0" collapsed="false">
      <c r="A3" s="13" t="s">
        <v>295</v>
      </c>
      <c r="B3" s="9" t="s">
        <v>61</v>
      </c>
      <c r="D3" s="21" t="s">
        <v>296</v>
      </c>
      <c r="E3" s="21" t="n">
        <f aca="false">ROUND(INDEX(Parâmetros!$D$1:$D$83,$E$2)/7,0)</f>
        <v>9</v>
      </c>
      <c r="F3" s="21" t="s">
        <v>297</v>
      </c>
      <c r="G3" s="21" t="n">
        <f aca="false">IF($G$2,999,ROUND(INDEX(Parâmetros!$D$1:$D$84,$E$2+1)/7,0))</f>
        <v>10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Seca e calor; fim das chuvas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'Milho 2ª safra'!$B$3+0</f>
        <v>46396</v>
      </c>
      <c r="F7" s="17" t="n">
        <f aca="false">'Milho 2ª safra'!$B$3+7</f>
        <v>46403</v>
      </c>
      <c r="G7" s="17" t="n">
        <f aca="false">'Milho 2ª safra'!$B$3+14</f>
        <v>46410</v>
      </c>
      <c r="H7" s="17" t="n">
        <f aca="false">'Milho 2ª safra'!$B$3+21</f>
        <v>46417</v>
      </c>
      <c r="I7" s="17" t="n">
        <f aca="false">'Milho 2ª safra'!$B$3+28</f>
        <v>46424</v>
      </c>
      <c r="J7" s="17" t="n">
        <f aca="false">'Milho 2ª safra'!$B$3+35</f>
        <v>46431</v>
      </c>
      <c r="K7" s="17" t="n">
        <f aca="false">'Milho 2ª safra'!$B$3+42</f>
        <v>46438</v>
      </c>
      <c r="L7" s="17" t="n">
        <f aca="false">'Milho 2ª safra'!$B$3+49</f>
        <v>46445</v>
      </c>
      <c r="M7" s="17" t="n">
        <f aca="false">'Milho 2ª safra'!$B$3+56</f>
        <v>46452</v>
      </c>
      <c r="N7" s="17" t="n">
        <f aca="false">'Milho 2ª safra'!$B$3+63</f>
        <v>46459</v>
      </c>
      <c r="O7" s="17" t="n">
        <f aca="false">'Milho 2ª safra'!$B$3+70</f>
        <v>46466</v>
      </c>
      <c r="P7" s="17" t="n">
        <f aca="false">'Milho 2ª safra'!$B$3+77</f>
        <v>46473</v>
      </c>
      <c r="Q7" s="17" t="n">
        <f aca="false">'Milho 2ª safra'!$B$3+84</f>
        <v>46480</v>
      </c>
      <c r="R7" s="17" t="n">
        <f aca="false">'Milho 2ª safra'!$B$3+91</f>
        <v>46487</v>
      </c>
      <c r="S7" s="17" t="n">
        <f aca="false">'Milho 2ª safra'!$B$3+98</f>
        <v>46494</v>
      </c>
      <c r="T7" s="17" t="n">
        <f aca="false">'Milho 2ª safra'!$B$3+105</f>
        <v>46501</v>
      </c>
      <c r="U7" s="17" t="n">
        <f aca="false">'Milho 2ª safra'!$B$3+112</f>
        <v>46508</v>
      </c>
      <c r="V7" s="17" t="n">
        <f aca="false">'Milho 2ª safra'!$B$3+119</f>
        <v>46515</v>
      </c>
      <c r="W7" s="17" t="n">
        <f aca="false">'Milho 2ª safra'!$B$3+126</f>
        <v>46522</v>
      </c>
      <c r="X7" s="17" t="n">
        <f aca="false">'Milho 2ª safra'!$B$3+133</f>
        <v>46529</v>
      </c>
      <c r="Y7" s="17" t="n">
        <f aca="false">'Milho 2ª safra'!$B$3+140</f>
        <v>46536</v>
      </c>
      <c r="Z7" s="17" t="n">
        <f aca="false">'Milho 2ª safra'!$B$3+147</f>
        <v>46543</v>
      </c>
      <c r="AA7" s="17" t="n">
        <f aca="false">'Milho 2ª safra'!$B$3+154</f>
        <v>46550</v>
      </c>
      <c r="AB7" s="17" t="n">
        <f aca="false">'Milho 2ª safra'!$B$3+161</f>
        <v>46557</v>
      </c>
      <c r="AC7" s="17" t="n">
        <f aca="false">'Milho 2ª safra'!$B$3+168</f>
        <v>46564</v>
      </c>
      <c r="AD7" s="17" t="n">
        <f aca="false">'Milho 2ª safra'!$B$3+175</f>
        <v>46571</v>
      </c>
      <c r="AE7" s="17" t="n">
        <f aca="false">'Milho 2ª safra'!$B$3+182</f>
        <v>46578</v>
      </c>
      <c r="AF7" s="17" t="n">
        <f aca="false">'Milho 2ª safra'!$B$3+189</f>
        <v>46585</v>
      </c>
      <c r="AG7" s="17" t="n">
        <f aca="false">'Milho 2ª safra'!$B$3+196</f>
        <v>46592</v>
      </c>
      <c r="AH7" s="17" t="n">
        <f aca="false">'Milho 2ª safra'!$B$3+203</f>
        <v>46599</v>
      </c>
      <c r="AI7" s="17" t="n">
        <f aca="false">'Milho 2ª safra'!$B$3+210</f>
        <v>46606</v>
      </c>
      <c r="AJ7" s="17" t="n">
        <f aca="false">'Milho 2ª safra'!$B$3+217</f>
        <v>46613</v>
      </c>
      <c r="AK7" s="17" t="n">
        <f aca="false">'Milho 2ª safra'!$B$3+224</f>
        <v>46620</v>
      </c>
      <c r="AL7" s="17" t="n">
        <f aca="false">'Milho 2ª safra'!$B$3+231</f>
        <v>46627</v>
      </c>
      <c r="AM7" s="17" t="n">
        <f aca="false">'Milho 2ª safra'!$B$3+238</f>
        <v>46634</v>
      </c>
      <c r="AN7" s="17" t="n">
        <f aca="false">'Milho 2ª safra'!$B$3+245</f>
        <v>46641</v>
      </c>
      <c r="AO7" s="17" t="n">
        <f aca="false">'Milho 2ª safra'!$B$3+252</f>
        <v>46648</v>
      </c>
      <c r="AP7" s="17" t="n">
        <f aca="false">'Milho 2ª safra'!$B$3+259</f>
        <v>46655</v>
      </c>
      <c r="AQ7" s="17" t="n">
        <f aca="false">'Milho 2ª safra'!$B$3+266</f>
        <v>46662</v>
      </c>
      <c r="AR7" s="17" t="n">
        <f aca="false">'Milho 2ª safra'!$B$3+273</f>
        <v>46669</v>
      </c>
      <c r="AS7" s="17" t="n">
        <f aca="false">'Milho 2ª safra'!$B$3+280</f>
        <v>46676</v>
      </c>
      <c r="AT7" s="17" t="n">
        <f aca="false">'Milho 2ª safra'!$B$3+287</f>
        <v>46683</v>
      </c>
      <c r="AU7" s="17" t="n">
        <f aca="false">'Milho 2ª safra'!$B$3+294</f>
        <v>46690</v>
      </c>
      <c r="AV7" s="17" t="n">
        <f aca="false">'Milho 2ª safra'!$B$3+301</f>
        <v>46697</v>
      </c>
      <c r="AW7" s="17" t="n">
        <f aca="false">'Milho 2ª safra'!$B$3+308</f>
        <v>46704</v>
      </c>
      <c r="AX7" s="17" t="n">
        <f aca="false">'Milho 2ª safra'!$B$3+315</f>
        <v>46711</v>
      </c>
      <c r="AY7" s="17" t="n">
        <f aca="false">'Milho 2ª safra'!$B$3+322</f>
        <v>46718</v>
      </c>
      <c r="AZ7" s="17" t="n">
        <f aca="false">'Milho 2ª safra'!$B$3+329</f>
        <v>46725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IF(COUNT('Milho 2ª safra'!$E6:$Z6)&gt;0,N('Milho 2ª safra'!$D6),0)</f>
        <v>0</v>
      </c>
      <c r="E8" s="27" t="n">
        <f aca="false">IF(COUNT('Milho 2ª safra'!$E6:$Z6)=0,0,MAX(0,IF((E$6-$E$3)&lt;1,0,IFERROR(LOOKUP(2,1/('Milho 2ª safra'!$E6:INDEX('Milho 2ª safra'!$E6:$Z6,MIN(E$6-$E$3,22))&lt;&gt;""),'Milho 2ª safra'!$E6:INDEX('Milho 2ª safra'!$E6:$Z6,MIN(E$6-$E$3,22))),0))-IF($G$2,0,IF((E$6-$G$3)&lt;1,0,IFERROR(LOOKUP(2,1/('Milho 2ª safra'!$E6:INDEX('Milho 2ª safra'!$E6:$Z6,MIN(E$6-$G$3,22))&lt;&gt;""),'Milho 2ª safra'!$E6:INDEX('Milho 2ª safra'!$E6:$Z6,MIN(E$6-$G$3,22))),0)))))</f>
        <v>0</v>
      </c>
      <c r="F8" s="27" t="n">
        <f aca="false">IF(COUNT('Milho 2ª safra'!$E6:$Z6)=0,0,MAX(0,IF((F$6-$E$3)&lt;1,0,IFERROR(LOOKUP(2,1/('Milho 2ª safra'!$E6:INDEX('Milho 2ª safra'!$E6:$Z6,MIN(F$6-$E$3,22))&lt;&gt;""),'Milho 2ª safra'!$E6:INDEX('Milho 2ª safra'!$E6:$Z6,MIN(F$6-$E$3,22))),0))-IF($G$2,0,IF((F$6-$G$3)&lt;1,0,IFERROR(LOOKUP(2,1/('Milho 2ª safra'!$E6:INDEX('Milho 2ª safra'!$E6:$Z6,MIN(F$6-$G$3,22))&lt;&gt;""),'Milho 2ª safra'!$E6:INDEX('Milho 2ª safra'!$E6:$Z6,MIN(F$6-$G$3,22))),0)))))</f>
        <v>0</v>
      </c>
      <c r="G8" s="27" t="n">
        <f aca="false">IF(COUNT('Milho 2ª safra'!$E6:$Z6)=0,0,MAX(0,IF((G$6-$E$3)&lt;1,0,IFERROR(LOOKUP(2,1/('Milho 2ª safra'!$E6:INDEX('Milho 2ª safra'!$E6:$Z6,MIN(G$6-$E$3,22))&lt;&gt;""),'Milho 2ª safra'!$E6:INDEX('Milho 2ª safra'!$E6:$Z6,MIN(G$6-$E$3,22))),0))-IF($G$2,0,IF((G$6-$G$3)&lt;1,0,IFERROR(LOOKUP(2,1/('Milho 2ª safra'!$E6:INDEX('Milho 2ª safra'!$E6:$Z6,MIN(G$6-$G$3,22))&lt;&gt;""),'Milho 2ª safra'!$E6:INDEX('Milho 2ª safra'!$E6:$Z6,MIN(G$6-$G$3,22))),0)))))</f>
        <v>0</v>
      </c>
      <c r="H8" s="27" t="n">
        <f aca="false">IF(COUNT('Milho 2ª safra'!$E6:$Z6)=0,0,MAX(0,IF((H$6-$E$3)&lt;1,0,IFERROR(LOOKUP(2,1/('Milho 2ª safra'!$E6:INDEX('Milho 2ª safra'!$E6:$Z6,MIN(H$6-$E$3,22))&lt;&gt;""),'Milho 2ª safra'!$E6:INDEX('Milho 2ª safra'!$E6:$Z6,MIN(H$6-$E$3,22))),0))-IF($G$2,0,IF((H$6-$G$3)&lt;1,0,IFERROR(LOOKUP(2,1/('Milho 2ª safra'!$E6:INDEX('Milho 2ª safra'!$E6:$Z6,MIN(H$6-$G$3,22))&lt;&gt;""),'Milho 2ª safra'!$E6:INDEX('Milho 2ª safra'!$E6:$Z6,MIN(H$6-$G$3,22))),0)))))</f>
        <v>0</v>
      </c>
      <c r="I8" s="27" t="n">
        <f aca="false">IF(COUNT('Milho 2ª safra'!$E6:$Z6)=0,0,MAX(0,IF((I$6-$E$3)&lt;1,0,IFERROR(LOOKUP(2,1/('Milho 2ª safra'!$E6:INDEX('Milho 2ª safra'!$E6:$Z6,MIN(I$6-$E$3,22))&lt;&gt;""),'Milho 2ª safra'!$E6:INDEX('Milho 2ª safra'!$E6:$Z6,MIN(I$6-$E$3,22))),0))-IF($G$2,0,IF((I$6-$G$3)&lt;1,0,IFERROR(LOOKUP(2,1/('Milho 2ª safra'!$E6:INDEX('Milho 2ª safra'!$E6:$Z6,MIN(I$6-$G$3,22))&lt;&gt;""),'Milho 2ª safra'!$E6:INDEX('Milho 2ª safra'!$E6:$Z6,MIN(I$6-$G$3,22))),0)))))</f>
        <v>0</v>
      </c>
      <c r="J8" s="27" t="n">
        <f aca="false">IF(COUNT('Milho 2ª safra'!$E6:$Z6)=0,0,MAX(0,IF((J$6-$E$3)&lt;1,0,IFERROR(LOOKUP(2,1/('Milho 2ª safra'!$E6:INDEX('Milho 2ª safra'!$E6:$Z6,MIN(J$6-$E$3,22))&lt;&gt;""),'Milho 2ª safra'!$E6:INDEX('Milho 2ª safra'!$E6:$Z6,MIN(J$6-$E$3,22))),0))-IF($G$2,0,IF((J$6-$G$3)&lt;1,0,IFERROR(LOOKUP(2,1/('Milho 2ª safra'!$E6:INDEX('Milho 2ª safra'!$E6:$Z6,MIN(J$6-$G$3,22))&lt;&gt;""),'Milho 2ª safra'!$E6:INDEX('Milho 2ª safra'!$E6:$Z6,MIN(J$6-$G$3,22))),0)))))</f>
        <v>0</v>
      </c>
      <c r="K8" s="27" t="n">
        <f aca="false">IF(COUNT('Milho 2ª safra'!$E6:$Z6)=0,0,MAX(0,IF((K$6-$E$3)&lt;1,0,IFERROR(LOOKUP(2,1/('Milho 2ª safra'!$E6:INDEX('Milho 2ª safra'!$E6:$Z6,MIN(K$6-$E$3,22))&lt;&gt;""),'Milho 2ª safra'!$E6:INDEX('Milho 2ª safra'!$E6:$Z6,MIN(K$6-$E$3,22))),0))-IF($G$2,0,IF((K$6-$G$3)&lt;1,0,IFERROR(LOOKUP(2,1/('Milho 2ª safra'!$E6:INDEX('Milho 2ª safra'!$E6:$Z6,MIN(K$6-$G$3,22))&lt;&gt;""),'Milho 2ª safra'!$E6:INDEX('Milho 2ª safra'!$E6:$Z6,MIN(K$6-$G$3,22))),0)))))</f>
        <v>0</v>
      </c>
      <c r="L8" s="27" t="n">
        <f aca="false">IF(COUNT('Milho 2ª safra'!$E6:$Z6)=0,0,MAX(0,IF((L$6-$E$3)&lt;1,0,IFERROR(LOOKUP(2,1/('Milho 2ª safra'!$E6:INDEX('Milho 2ª safra'!$E6:$Z6,MIN(L$6-$E$3,22))&lt;&gt;""),'Milho 2ª safra'!$E6:INDEX('Milho 2ª safra'!$E6:$Z6,MIN(L$6-$E$3,22))),0))-IF($G$2,0,IF((L$6-$G$3)&lt;1,0,IFERROR(LOOKUP(2,1/('Milho 2ª safra'!$E6:INDEX('Milho 2ª safra'!$E6:$Z6,MIN(L$6-$G$3,22))&lt;&gt;""),'Milho 2ª safra'!$E6:INDEX('Milho 2ª safra'!$E6:$Z6,MIN(L$6-$G$3,22))),0)))))</f>
        <v>0</v>
      </c>
      <c r="M8" s="27" t="n">
        <f aca="false">IF(COUNT('Milho 2ª safra'!$E6:$Z6)=0,0,MAX(0,IF((M$6-$E$3)&lt;1,0,IFERROR(LOOKUP(2,1/('Milho 2ª safra'!$E6:INDEX('Milho 2ª safra'!$E6:$Z6,MIN(M$6-$E$3,22))&lt;&gt;""),'Milho 2ª safra'!$E6:INDEX('Milho 2ª safra'!$E6:$Z6,MIN(M$6-$E$3,22))),0))-IF($G$2,0,IF((M$6-$G$3)&lt;1,0,IFERROR(LOOKUP(2,1/('Milho 2ª safra'!$E6:INDEX('Milho 2ª safra'!$E6:$Z6,MIN(M$6-$G$3,22))&lt;&gt;""),'Milho 2ª safra'!$E6:INDEX('Milho 2ª safra'!$E6:$Z6,MIN(M$6-$G$3,22))),0)))))</f>
        <v>0</v>
      </c>
      <c r="N8" s="27" t="n">
        <f aca="false">IF(COUNT('Milho 2ª safra'!$E6:$Z6)=0,0,MAX(0,IF((N$6-$E$3)&lt;1,0,IFERROR(LOOKUP(2,1/('Milho 2ª safra'!$E6:INDEX('Milho 2ª safra'!$E6:$Z6,MIN(N$6-$E$3,22))&lt;&gt;""),'Milho 2ª safra'!$E6:INDEX('Milho 2ª safra'!$E6:$Z6,MIN(N$6-$E$3,22))),0))-IF($G$2,0,IF((N$6-$G$3)&lt;1,0,IFERROR(LOOKUP(2,1/('Milho 2ª safra'!$E6:INDEX('Milho 2ª safra'!$E6:$Z6,MIN(N$6-$G$3,22))&lt;&gt;""),'Milho 2ª safra'!$E6:INDEX('Milho 2ª safra'!$E6:$Z6,MIN(N$6-$G$3,22))),0)))))</f>
        <v>0</v>
      </c>
      <c r="O8" s="27" t="n">
        <f aca="false">IF(COUNT('Milho 2ª safra'!$E6:$Z6)=0,0,MAX(0,IF((O$6-$E$3)&lt;1,0,IFERROR(LOOKUP(2,1/('Milho 2ª safra'!$E6:INDEX('Milho 2ª safra'!$E6:$Z6,MIN(O$6-$E$3,22))&lt;&gt;""),'Milho 2ª safra'!$E6:INDEX('Milho 2ª safra'!$E6:$Z6,MIN(O$6-$E$3,22))),0))-IF($G$2,0,IF((O$6-$G$3)&lt;1,0,IFERROR(LOOKUP(2,1/('Milho 2ª safra'!$E6:INDEX('Milho 2ª safra'!$E6:$Z6,MIN(O$6-$G$3,22))&lt;&gt;""),'Milho 2ª safra'!$E6:INDEX('Milho 2ª safra'!$E6:$Z6,MIN(O$6-$G$3,22))),0)))))</f>
        <v>0</v>
      </c>
      <c r="P8" s="27" t="n">
        <f aca="false">IF(COUNT('Milho 2ª safra'!$E6:$Z6)=0,0,MAX(0,IF((P$6-$E$3)&lt;1,0,IFERROR(LOOKUP(2,1/('Milho 2ª safra'!$E6:INDEX('Milho 2ª safra'!$E6:$Z6,MIN(P$6-$E$3,22))&lt;&gt;""),'Milho 2ª safra'!$E6:INDEX('Milho 2ª safra'!$E6:$Z6,MIN(P$6-$E$3,22))),0))-IF($G$2,0,IF((P$6-$G$3)&lt;1,0,IFERROR(LOOKUP(2,1/('Milho 2ª safra'!$E6:INDEX('Milho 2ª safra'!$E6:$Z6,MIN(P$6-$G$3,22))&lt;&gt;""),'Milho 2ª safra'!$E6:INDEX('Milho 2ª safra'!$E6:$Z6,MIN(P$6-$G$3,22))),0)))))</f>
        <v>0</v>
      </c>
      <c r="Q8" s="27" t="n">
        <f aca="false">IF(COUNT('Milho 2ª safra'!$E6:$Z6)=0,0,MAX(0,IF((Q$6-$E$3)&lt;1,0,IFERROR(LOOKUP(2,1/('Milho 2ª safra'!$E6:INDEX('Milho 2ª safra'!$E6:$Z6,MIN(Q$6-$E$3,22))&lt;&gt;""),'Milho 2ª safra'!$E6:INDEX('Milho 2ª safra'!$E6:$Z6,MIN(Q$6-$E$3,22))),0))-IF($G$2,0,IF((Q$6-$G$3)&lt;1,0,IFERROR(LOOKUP(2,1/('Milho 2ª safra'!$E6:INDEX('Milho 2ª safra'!$E6:$Z6,MIN(Q$6-$G$3,22))&lt;&gt;""),'Milho 2ª safra'!$E6:INDEX('Milho 2ª safra'!$E6:$Z6,MIN(Q$6-$G$3,22))),0)))))</f>
        <v>0</v>
      </c>
      <c r="R8" s="27" t="n">
        <f aca="false">IF(COUNT('Milho 2ª safra'!$E6:$Z6)=0,0,MAX(0,IF((R$6-$E$3)&lt;1,0,IFERROR(LOOKUP(2,1/('Milho 2ª safra'!$E6:INDEX('Milho 2ª safra'!$E6:$Z6,MIN(R$6-$E$3,22))&lt;&gt;""),'Milho 2ª safra'!$E6:INDEX('Milho 2ª safra'!$E6:$Z6,MIN(R$6-$E$3,22))),0))-IF($G$2,0,IF((R$6-$G$3)&lt;1,0,IFERROR(LOOKUP(2,1/('Milho 2ª safra'!$E6:INDEX('Milho 2ª safra'!$E6:$Z6,MIN(R$6-$G$3,22))&lt;&gt;""),'Milho 2ª safra'!$E6:INDEX('Milho 2ª safra'!$E6:$Z6,MIN(R$6-$G$3,22))),0)))))</f>
        <v>0</v>
      </c>
      <c r="S8" s="27" t="n">
        <f aca="false">IF(COUNT('Milho 2ª safra'!$E6:$Z6)=0,0,MAX(0,IF((S$6-$E$3)&lt;1,0,IFERROR(LOOKUP(2,1/('Milho 2ª safra'!$E6:INDEX('Milho 2ª safra'!$E6:$Z6,MIN(S$6-$E$3,22))&lt;&gt;""),'Milho 2ª safra'!$E6:INDEX('Milho 2ª safra'!$E6:$Z6,MIN(S$6-$E$3,22))),0))-IF($G$2,0,IF((S$6-$G$3)&lt;1,0,IFERROR(LOOKUP(2,1/('Milho 2ª safra'!$E6:INDEX('Milho 2ª safra'!$E6:$Z6,MIN(S$6-$G$3,22))&lt;&gt;""),'Milho 2ª safra'!$E6:INDEX('Milho 2ª safra'!$E6:$Z6,MIN(S$6-$G$3,22))),0)))))</f>
        <v>0</v>
      </c>
      <c r="T8" s="27" t="n">
        <f aca="false">IF(COUNT('Milho 2ª safra'!$E6:$Z6)=0,0,MAX(0,IF((T$6-$E$3)&lt;1,0,IFERROR(LOOKUP(2,1/('Milho 2ª safra'!$E6:INDEX('Milho 2ª safra'!$E6:$Z6,MIN(T$6-$E$3,22))&lt;&gt;""),'Milho 2ª safra'!$E6:INDEX('Milho 2ª safra'!$E6:$Z6,MIN(T$6-$E$3,22))),0))-IF($G$2,0,IF((T$6-$G$3)&lt;1,0,IFERROR(LOOKUP(2,1/('Milho 2ª safra'!$E6:INDEX('Milho 2ª safra'!$E6:$Z6,MIN(T$6-$G$3,22))&lt;&gt;""),'Milho 2ª safra'!$E6:INDEX('Milho 2ª safra'!$E6:$Z6,MIN(T$6-$G$3,22))),0)))))</f>
        <v>0</v>
      </c>
      <c r="U8" s="27" t="n">
        <f aca="false">IF(COUNT('Milho 2ª safra'!$E6:$Z6)=0,0,MAX(0,IF((U$6-$E$3)&lt;1,0,IFERROR(LOOKUP(2,1/('Milho 2ª safra'!$E6:INDEX('Milho 2ª safra'!$E6:$Z6,MIN(U$6-$E$3,22))&lt;&gt;""),'Milho 2ª safra'!$E6:INDEX('Milho 2ª safra'!$E6:$Z6,MIN(U$6-$E$3,22))),0))-IF($G$2,0,IF((U$6-$G$3)&lt;1,0,IFERROR(LOOKUP(2,1/('Milho 2ª safra'!$E6:INDEX('Milho 2ª safra'!$E6:$Z6,MIN(U$6-$G$3,22))&lt;&gt;""),'Milho 2ª safra'!$E6:INDEX('Milho 2ª safra'!$E6:$Z6,MIN(U$6-$G$3,22))),0)))))</f>
        <v>0</v>
      </c>
      <c r="V8" s="27" t="n">
        <f aca="false">IF(COUNT('Milho 2ª safra'!$E6:$Z6)=0,0,MAX(0,IF((V$6-$E$3)&lt;1,0,IFERROR(LOOKUP(2,1/('Milho 2ª safra'!$E6:INDEX('Milho 2ª safra'!$E6:$Z6,MIN(V$6-$E$3,22))&lt;&gt;""),'Milho 2ª safra'!$E6:INDEX('Milho 2ª safra'!$E6:$Z6,MIN(V$6-$E$3,22))),0))-IF($G$2,0,IF((V$6-$G$3)&lt;1,0,IFERROR(LOOKUP(2,1/('Milho 2ª safra'!$E6:INDEX('Milho 2ª safra'!$E6:$Z6,MIN(V$6-$G$3,22))&lt;&gt;""),'Milho 2ª safra'!$E6:INDEX('Milho 2ª safra'!$E6:$Z6,MIN(V$6-$G$3,22))),0)))))</f>
        <v>0</v>
      </c>
      <c r="W8" s="27" t="n">
        <f aca="false">IF(COUNT('Milho 2ª safra'!$E6:$Z6)=0,0,MAX(0,IF((W$6-$E$3)&lt;1,0,IFERROR(LOOKUP(2,1/('Milho 2ª safra'!$E6:INDEX('Milho 2ª safra'!$E6:$Z6,MIN(W$6-$E$3,22))&lt;&gt;""),'Milho 2ª safra'!$E6:INDEX('Milho 2ª safra'!$E6:$Z6,MIN(W$6-$E$3,22))),0))-IF($G$2,0,IF((W$6-$G$3)&lt;1,0,IFERROR(LOOKUP(2,1/('Milho 2ª safra'!$E6:INDEX('Milho 2ª safra'!$E6:$Z6,MIN(W$6-$G$3,22))&lt;&gt;""),'Milho 2ª safra'!$E6:INDEX('Milho 2ª safra'!$E6:$Z6,MIN(W$6-$G$3,22))),0)))))</f>
        <v>0</v>
      </c>
      <c r="X8" s="27" t="n">
        <f aca="false">IF(COUNT('Milho 2ª safra'!$E6:$Z6)=0,0,MAX(0,IF((X$6-$E$3)&lt;1,0,IFERROR(LOOKUP(2,1/('Milho 2ª safra'!$E6:INDEX('Milho 2ª safra'!$E6:$Z6,MIN(X$6-$E$3,22))&lt;&gt;""),'Milho 2ª safra'!$E6:INDEX('Milho 2ª safra'!$E6:$Z6,MIN(X$6-$E$3,22))),0))-IF($G$2,0,IF((X$6-$G$3)&lt;1,0,IFERROR(LOOKUP(2,1/('Milho 2ª safra'!$E6:INDEX('Milho 2ª safra'!$E6:$Z6,MIN(X$6-$G$3,22))&lt;&gt;""),'Milho 2ª safra'!$E6:INDEX('Milho 2ª safra'!$E6:$Z6,MIN(X$6-$G$3,22))),0)))))</f>
        <v>0</v>
      </c>
      <c r="Y8" s="27" t="n">
        <f aca="false">IF(COUNT('Milho 2ª safra'!$E6:$Z6)=0,0,MAX(0,IF((Y$6-$E$3)&lt;1,0,IFERROR(LOOKUP(2,1/('Milho 2ª safra'!$E6:INDEX('Milho 2ª safra'!$E6:$Z6,MIN(Y$6-$E$3,22))&lt;&gt;""),'Milho 2ª safra'!$E6:INDEX('Milho 2ª safra'!$E6:$Z6,MIN(Y$6-$E$3,22))),0))-IF($G$2,0,IF((Y$6-$G$3)&lt;1,0,IFERROR(LOOKUP(2,1/('Milho 2ª safra'!$E6:INDEX('Milho 2ª safra'!$E6:$Z6,MIN(Y$6-$G$3,22))&lt;&gt;""),'Milho 2ª safra'!$E6:INDEX('Milho 2ª safra'!$E6:$Z6,MIN(Y$6-$G$3,22))),0)))))</f>
        <v>0</v>
      </c>
      <c r="Z8" s="27" t="n">
        <f aca="false">IF(COUNT('Milho 2ª safra'!$E6:$Z6)=0,0,MAX(0,IF((Z$6-$E$3)&lt;1,0,IFERROR(LOOKUP(2,1/('Milho 2ª safra'!$E6:INDEX('Milho 2ª safra'!$E6:$Z6,MIN(Z$6-$E$3,22))&lt;&gt;""),'Milho 2ª safra'!$E6:INDEX('Milho 2ª safra'!$E6:$Z6,MIN(Z$6-$E$3,22))),0))-IF($G$2,0,IF((Z$6-$G$3)&lt;1,0,IFERROR(LOOKUP(2,1/('Milho 2ª safra'!$E6:INDEX('Milho 2ª safra'!$E6:$Z6,MIN(Z$6-$G$3,22))&lt;&gt;""),'Milho 2ª safra'!$E6:INDEX('Milho 2ª safra'!$E6:$Z6,MIN(Z$6-$G$3,22))),0)))))</f>
        <v>0</v>
      </c>
      <c r="AA8" s="27" t="n">
        <f aca="false">IF(COUNT('Milho 2ª safra'!$E6:$Z6)=0,0,MAX(0,IF((AA$6-$E$3)&lt;1,0,IFERROR(LOOKUP(2,1/('Milho 2ª safra'!$E6:INDEX('Milho 2ª safra'!$E6:$Z6,MIN(AA$6-$E$3,22))&lt;&gt;""),'Milho 2ª safra'!$E6:INDEX('Milho 2ª safra'!$E6:$Z6,MIN(AA$6-$E$3,22))),0))-IF($G$2,0,IF((AA$6-$G$3)&lt;1,0,IFERROR(LOOKUP(2,1/('Milho 2ª safra'!$E6:INDEX('Milho 2ª safra'!$E6:$Z6,MIN(AA$6-$G$3,22))&lt;&gt;""),'Milho 2ª safra'!$E6:INDEX('Milho 2ª safra'!$E6:$Z6,MIN(AA$6-$G$3,22))),0)))))</f>
        <v>0</v>
      </c>
      <c r="AB8" s="27" t="n">
        <f aca="false">IF(COUNT('Milho 2ª safra'!$E6:$Z6)=0,0,MAX(0,IF((AB$6-$E$3)&lt;1,0,IFERROR(LOOKUP(2,1/('Milho 2ª safra'!$E6:INDEX('Milho 2ª safra'!$E6:$Z6,MIN(AB$6-$E$3,22))&lt;&gt;""),'Milho 2ª safra'!$E6:INDEX('Milho 2ª safra'!$E6:$Z6,MIN(AB$6-$E$3,22))),0))-IF($G$2,0,IF((AB$6-$G$3)&lt;1,0,IFERROR(LOOKUP(2,1/('Milho 2ª safra'!$E6:INDEX('Milho 2ª safra'!$E6:$Z6,MIN(AB$6-$G$3,22))&lt;&gt;""),'Milho 2ª safra'!$E6:INDEX('Milho 2ª safra'!$E6:$Z6,MIN(AB$6-$G$3,22))),0)))))</f>
        <v>0</v>
      </c>
      <c r="AC8" s="27" t="n">
        <f aca="false">IF(COUNT('Milho 2ª safra'!$E6:$Z6)=0,0,MAX(0,IF((AC$6-$E$3)&lt;1,0,IFERROR(LOOKUP(2,1/('Milho 2ª safra'!$E6:INDEX('Milho 2ª safra'!$E6:$Z6,MIN(AC$6-$E$3,22))&lt;&gt;""),'Milho 2ª safra'!$E6:INDEX('Milho 2ª safra'!$E6:$Z6,MIN(AC$6-$E$3,22))),0))-IF($G$2,0,IF((AC$6-$G$3)&lt;1,0,IFERROR(LOOKUP(2,1/('Milho 2ª safra'!$E6:INDEX('Milho 2ª safra'!$E6:$Z6,MIN(AC$6-$G$3,22))&lt;&gt;""),'Milho 2ª safra'!$E6:INDEX('Milho 2ª safra'!$E6:$Z6,MIN(AC$6-$G$3,22))),0)))))</f>
        <v>0</v>
      </c>
      <c r="AD8" s="27" t="n">
        <f aca="false">IF(COUNT('Milho 2ª safra'!$E6:$Z6)=0,0,MAX(0,IF((AD$6-$E$3)&lt;1,0,IFERROR(LOOKUP(2,1/('Milho 2ª safra'!$E6:INDEX('Milho 2ª safra'!$E6:$Z6,MIN(AD$6-$E$3,22))&lt;&gt;""),'Milho 2ª safra'!$E6:INDEX('Milho 2ª safra'!$E6:$Z6,MIN(AD$6-$E$3,22))),0))-IF($G$2,0,IF((AD$6-$G$3)&lt;1,0,IFERROR(LOOKUP(2,1/('Milho 2ª safra'!$E6:INDEX('Milho 2ª safra'!$E6:$Z6,MIN(AD$6-$G$3,22))&lt;&gt;""),'Milho 2ª safra'!$E6:INDEX('Milho 2ª safra'!$E6:$Z6,MIN(AD$6-$G$3,22))),0)))))</f>
        <v>0</v>
      </c>
      <c r="AE8" s="27" t="n">
        <f aca="false">IF(COUNT('Milho 2ª safra'!$E6:$Z6)=0,0,MAX(0,IF((AE$6-$E$3)&lt;1,0,IFERROR(LOOKUP(2,1/('Milho 2ª safra'!$E6:INDEX('Milho 2ª safra'!$E6:$Z6,MIN(AE$6-$E$3,22))&lt;&gt;""),'Milho 2ª safra'!$E6:INDEX('Milho 2ª safra'!$E6:$Z6,MIN(AE$6-$E$3,22))),0))-IF($G$2,0,IF((AE$6-$G$3)&lt;1,0,IFERROR(LOOKUP(2,1/('Milho 2ª safra'!$E6:INDEX('Milho 2ª safra'!$E6:$Z6,MIN(AE$6-$G$3,22))&lt;&gt;""),'Milho 2ª safra'!$E6:INDEX('Milho 2ª safra'!$E6:$Z6,MIN(AE$6-$G$3,22))),0)))))</f>
        <v>0</v>
      </c>
      <c r="AF8" s="27" t="n">
        <f aca="false">IF(COUNT('Milho 2ª safra'!$E6:$Z6)=0,0,MAX(0,IF((AF$6-$E$3)&lt;1,0,IFERROR(LOOKUP(2,1/('Milho 2ª safra'!$E6:INDEX('Milho 2ª safra'!$E6:$Z6,MIN(AF$6-$E$3,22))&lt;&gt;""),'Milho 2ª safra'!$E6:INDEX('Milho 2ª safra'!$E6:$Z6,MIN(AF$6-$E$3,22))),0))-IF($G$2,0,IF((AF$6-$G$3)&lt;1,0,IFERROR(LOOKUP(2,1/('Milho 2ª safra'!$E6:INDEX('Milho 2ª safra'!$E6:$Z6,MIN(AF$6-$G$3,22))&lt;&gt;""),'Milho 2ª safra'!$E6:INDEX('Milho 2ª safra'!$E6:$Z6,MIN(AF$6-$G$3,22))),0)))))</f>
        <v>0</v>
      </c>
      <c r="AG8" s="27" t="n">
        <f aca="false">IF(COUNT('Milho 2ª safra'!$E6:$Z6)=0,0,MAX(0,IF((AG$6-$E$3)&lt;1,0,IFERROR(LOOKUP(2,1/('Milho 2ª safra'!$E6:INDEX('Milho 2ª safra'!$E6:$Z6,MIN(AG$6-$E$3,22))&lt;&gt;""),'Milho 2ª safra'!$E6:INDEX('Milho 2ª safra'!$E6:$Z6,MIN(AG$6-$E$3,22))),0))-IF($G$2,0,IF((AG$6-$G$3)&lt;1,0,IFERROR(LOOKUP(2,1/('Milho 2ª safra'!$E6:INDEX('Milho 2ª safra'!$E6:$Z6,MIN(AG$6-$G$3,22))&lt;&gt;""),'Milho 2ª safra'!$E6:INDEX('Milho 2ª safra'!$E6:$Z6,MIN(AG$6-$G$3,22))),0)))))</f>
        <v>0</v>
      </c>
      <c r="AH8" s="27" t="n">
        <f aca="false">IF(COUNT('Milho 2ª safra'!$E6:$Z6)=0,0,MAX(0,IF((AH$6-$E$3)&lt;1,0,IFERROR(LOOKUP(2,1/('Milho 2ª safra'!$E6:INDEX('Milho 2ª safra'!$E6:$Z6,MIN(AH$6-$E$3,22))&lt;&gt;""),'Milho 2ª safra'!$E6:INDEX('Milho 2ª safra'!$E6:$Z6,MIN(AH$6-$E$3,22))),0))-IF($G$2,0,IF((AH$6-$G$3)&lt;1,0,IFERROR(LOOKUP(2,1/('Milho 2ª safra'!$E6:INDEX('Milho 2ª safra'!$E6:$Z6,MIN(AH$6-$G$3,22))&lt;&gt;""),'Milho 2ª safra'!$E6:INDEX('Milho 2ª safra'!$E6:$Z6,MIN(AH$6-$G$3,22))),0)))))</f>
        <v>0</v>
      </c>
      <c r="AI8" s="27" t="n">
        <f aca="false">IF(COUNT('Milho 2ª safra'!$E6:$Z6)=0,0,MAX(0,IF((AI$6-$E$3)&lt;1,0,IFERROR(LOOKUP(2,1/('Milho 2ª safra'!$E6:INDEX('Milho 2ª safra'!$E6:$Z6,MIN(AI$6-$E$3,22))&lt;&gt;""),'Milho 2ª safra'!$E6:INDEX('Milho 2ª safra'!$E6:$Z6,MIN(AI$6-$E$3,22))),0))-IF($G$2,0,IF((AI$6-$G$3)&lt;1,0,IFERROR(LOOKUP(2,1/('Milho 2ª safra'!$E6:INDEX('Milho 2ª safra'!$E6:$Z6,MIN(AI$6-$G$3,22))&lt;&gt;""),'Milho 2ª safra'!$E6:INDEX('Milho 2ª safra'!$E6:$Z6,MIN(AI$6-$G$3,22))),0)))))</f>
        <v>0</v>
      </c>
      <c r="AJ8" s="27" t="n">
        <f aca="false">IF(COUNT('Milho 2ª safra'!$E6:$Z6)=0,0,MAX(0,IF((AJ$6-$E$3)&lt;1,0,IFERROR(LOOKUP(2,1/('Milho 2ª safra'!$E6:INDEX('Milho 2ª safra'!$E6:$Z6,MIN(AJ$6-$E$3,22))&lt;&gt;""),'Milho 2ª safra'!$E6:INDEX('Milho 2ª safra'!$E6:$Z6,MIN(AJ$6-$E$3,22))),0))-IF($G$2,0,IF((AJ$6-$G$3)&lt;1,0,IFERROR(LOOKUP(2,1/('Milho 2ª safra'!$E6:INDEX('Milho 2ª safra'!$E6:$Z6,MIN(AJ$6-$G$3,22))&lt;&gt;""),'Milho 2ª safra'!$E6:INDEX('Milho 2ª safra'!$E6:$Z6,MIN(AJ$6-$G$3,22))),0)))))</f>
        <v>0</v>
      </c>
      <c r="AK8" s="27" t="n">
        <f aca="false">IF(COUNT('Milho 2ª safra'!$E6:$Z6)=0,0,MAX(0,IF((AK$6-$E$3)&lt;1,0,IFERROR(LOOKUP(2,1/('Milho 2ª safra'!$E6:INDEX('Milho 2ª safra'!$E6:$Z6,MIN(AK$6-$E$3,22))&lt;&gt;""),'Milho 2ª safra'!$E6:INDEX('Milho 2ª safra'!$E6:$Z6,MIN(AK$6-$E$3,22))),0))-IF($G$2,0,IF((AK$6-$G$3)&lt;1,0,IFERROR(LOOKUP(2,1/('Milho 2ª safra'!$E6:INDEX('Milho 2ª safra'!$E6:$Z6,MIN(AK$6-$G$3,22))&lt;&gt;""),'Milho 2ª safra'!$E6:INDEX('Milho 2ª safra'!$E6:$Z6,MIN(AK$6-$G$3,22))),0)))))</f>
        <v>0</v>
      </c>
      <c r="AL8" s="27" t="n">
        <f aca="false">IF(COUNT('Milho 2ª safra'!$E6:$Z6)=0,0,MAX(0,IF((AL$6-$E$3)&lt;1,0,IFERROR(LOOKUP(2,1/('Milho 2ª safra'!$E6:INDEX('Milho 2ª safra'!$E6:$Z6,MIN(AL$6-$E$3,22))&lt;&gt;""),'Milho 2ª safra'!$E6:INDEX('Milho 2ª safra'!$E6:$Z6,MIN(AL$6-$E$3,22))),0))-IF($G$2,0,IF((AL$6-$G$3)&lt;1,0,IFERROR(LOOKUP(2,1/('Milho 2ª safra'!$E6:INDEX('Milho 2ª safra'!$E6:$Z6,MIN(AL$6-$G$3,22))&lt;&gt;""),'Milho 2ª safra'!$E6:INDEX('Milho 2ª safra'!$E6:$Z6,MIN(AL$6-$G$3,22))),0)))))</f>
        <v>0</v>
      </c>
      <c r="AM8" s="27" t="n">
        <f aca="false">IF(COUNT('Milho 2ª safra'!$E6:$Z6)=0,0,MAX(0,IF((AM$6-$E$3)&lt;1,0,IFERROR(LOOKUP(2,1/('Milho 2ª safra'!$E6:INDEX('Milho 2ª safra'!$E6:$Z6,MIN(AM$6-$E$3,22))&lt;&gt;""),'Milho 2ª safra'!$E6:INDEX('Milho 2ª safra'!$E6:$Z6,MIN(AM$6-$E$3,22))),0))-IF($G$2,0,IF((AM$6-$G$3)&lt;1,0,IFERROR(LOOKUP(2,1/('Milho 2ª safra'!$E6:INDEX('Milho 2ª safra'!$E6:$Z6,MIN(AM$6-$G$3,22))&lt;&gt;""),'Milho 2ª safra'!$E6:INDEX('Milho 2ª safra'!$E6:$Z6,MIN(AM$6-$G$3,22))),0)))))</f>
        <v>0</v>
      </c>
      <c r="AN8" s="27" t="n">
        <f aca="false">IF(COUNT('Milho 2ª safra'!$E6:$Z6)=0,0,MAX(0,IF((AN$6-$E$3)&lt;1,0,IFERROR(LOOKUP(2,1/('Milho 2ª safra'!$E6:INDEX('Milho 2ª safra'!$E6:$Z6,MIN(AN$6-$E$3,22))&lt;&gt;""),'Milho 2ª safra'!$E6:INDEX('Milho 2ª safra'!$E6:$Z6,MIN(AN$6-$E$3,22))),0))-IF($G$2,0,IF((AN$6-$G$3)&lt;1,0,IFERROR(LOOKUP(2,1/('Milho 2ª safra'!$E6:INDEX('Milho 2ª safra'!$E6:$Z6,MIN(AN$6-$G$3,22))&lt;&gt;""),'Milho 2ª safra'!$E6:INDEX('Milho 2ª safra'!$E6:$Z6,MIN(AN$6-$G$3,22))),0)))))</f>
        <v>0</v>
      </c>
      <c r="AO8" s="27" t="n">
        <f aca="false">IF(COUNT('Milho 2ª safra'!$E6:$Z6)=0,0,MAX(0,IF((AO$6-$E$3)&lt;1,0,IFERROR(LOOKUP(2,1/('Milho 2ª safra'!$E6:INDEX('Milho 2ª safra'!$E6:$Z6,MIN(AO$6-$E$3,22))&lt;&gt;""),'Milho 2ª safra'!$E6:INDEX('Milho 2ª safra'!$E6:$Z6,MIN(AO$6-$E$3,22))),0))-IF($G$2,0,IF((AO$6-$G$3)&lt;1,0,IFERROR(LOOKUP(2,1/('Milho 2ª safra'!$E6:INDEX('Milho 2ª safra'!$E6:$Z6,MIN(AO$6-$G$3,22))&lt;&gt;""),'Milho 2ª safra'!$E6:INDEX('Milho 2ª safra'!$E6:$Z6,MIN(AO$6-$G$3,22))),0)))))</f>
        <v>0</v>
      </c>
      <c r="AP8" s="27" t="n">
        <f aca="false">IF(COUNT('Milho 2ª safra'!$E6:$Z6)=0,0,MAX(0,IF((AP$6-$E$3)&lt;1,0,IFERROR(LOOKUP(2,1/('Milho 2ª safra'!$E6:INDEX('Milho 2ª safra'!$E6:$Z6,MIN(AP$6-$E$3,22))&lt;&gt;""),'Milho 2ª safra'!$E6:INDEX('Milho 2ª safra'!$E6:$Z6,MIN(AP$6-$E$3,22))),0))-IF($G$2,0,IF((AP$6-$G$3)&lt;1,0,IFERROR(LOOKUP(2,1/('Milho 2ª safra'!$E6:INDEX('Milho 2ª safra'!$E6:$Z6,MIN(AP$6-$G$3,22))&lt;&gt;""),'Milho 2ª safra'!$E6:INDEX('Milho 2ª safra'!$E6:$Z6,MIN(AP$6-$G$3,22))),0)))))</f>
        <v>0</v>
      </c>
      <c r="AQ8" s="27" t="n">
        <f aca="false">IF(COUNT('Milho 2ª safra'!$E6:$Z6)=0,0,MAX(0,IF((AQ$6-$E$3)&lt;1,0,IFERROR(LOOKUP(2,1/('Milho 2ª safra'!$E6:INDEX('Milho 2ª safra'!$E6:$Z6,MIN(AQ$6-$E$3,22))&lt;&gt;""),'Milho 2ª safra'!$E6:INDEX('Milho 2ª safra'!$E6:$Z6,MIN(AQ$6-$E$3,22))),0))-IF($G$2,0,IF((AQ$6-$G$3)&lt;1,0,IFERROR(LOOKUP(2,1/('Milho 2ª safra'!$E6:INDEX('Milho 2ª safra'!$E6:$Z6,MIN(AQ$6-$G$3,22))&lt;&gt;""),'Milho 2ª safra'!$E6:INDEX('Milho 2ª safra'!$E6:$Z6,MIN(AQ$6-$G$3,22))),0)))))</f>
        <v>0</v>
      </c>
      <c r="AR8" s="27" t="n">
        <f aca="false">IF(COUNT('Milho 2ª safra'!$E6:$Z6)=0,0,MAX(0,IF((AR$6-$E$3)&lt;1,0,IFERROR(LOOKUP(2,1/('Milho 2ª safra'!$E6:INDEX('Milho 2ª safra'!$E6:$Z6,MIN(AR$6-$E$3,22))&lt;&gt;""),'Milho 2ª safra'!$E6:INDEX('Milho 2ª safra'!$E6:$Z6,MIN(AR$6-$E$3,22))),0))-IF($G$2,0,IF((AR$6-$G$3)&lt;1,0,IFERROR(LOOKUP(2,1/('Milho 2ª safra'!$E6:INDEX('Milho 2ª safra'!$E6:$Z6,MIN(AR$6-$G$3,22))&lt;&gt;""),'Milho 2ª safra'!$E6:INDEX('Milho 2ª safra'!$E6:$Z6,MIN(AR$6-$G$3,22))),0)))))</f>
        <v>0</v>
      </c>
      <c r="AS8" s="27" t="n">
        <f aca="false">IF(COUNT('Milho 2ª safra'!$E6:$Z6)=0,0,MAX(0,IF((AS$6-$E$3)&lt;1,0,IFERROR(LOOKUP(2,1/('Milho 2ª safra'!$E6:INDEX('Milho 2ª safra'!$E6:$Z6,MIN(AS$6-$E$3,22))&lt;&gt;""),'Milho 2ª safra'!$E6:INDEX('Milho 2ª safra'!$E6:$Z6,MIN(AS$6-$E$3,22))),0))-IF($G$2,0,IF((AS$6-$G$3)&lt;1,0,IFERROR(LOOKUP(2,1/('Milho 2ª safra'!$E6:INDEX('Milho 2ª safra'!$E6:$Z6,MIN(AS$6-$G$3,22))&lt;&gt;""),'Milho 2ª safra'!$E6:INDEX('Milho 2ª safra'!$E6:$Z6,MIN(AS$6-$G$3,22))),0)))))</f>
        <v>0</v>
      </c>
      <c r="AT8" s="27" t="n">
        <f aca="false">IF(COUNT('Milho 2ª safra'!$E6:$Z6)=0,0,MAX(0,IF((AT$6-$E$3)&lt;1,0,IFERROR(LOOKUP(2,1/('Milho 2ª safra'!$E6:INDEX('Milho 2ª safra'!$E6:$Z6,MIN(AT$6-$E$3,22))&lt;&gt;""),'Milho 2ª safra'!$E6:INDEX('Milho 2ª safra'!$E6:$Z6,MIN(AT$6-$E$3,22))),0))-IF($G$2,0,IF((AT$6-$G$3)&lt;1,0,IFERROR(LOOKUP(2,1/('Milho 2ª safra'!$E6:INDEX('Milho 2ª safra'!$E6:$Z6,MIN(AT$6-$G$3,22))&lt;&gt;""),'Milho 2ª safra'!$E6:INDEX('Milho 2ª safra'!$E6:$Z6,MIN(AT$6-$G$3,22))),0)))))</f>
        <v>0</v>
      </c>
      <c r="AU8" s="27" t="n">
        <f aca="false">IF(COUNT('Milho 2ª safra'!$E6:$Z6)=0,0,MAX(0,IF((AU$6-$E$3)&lt;1,0,IFERROR(LOOKUP(2,1/('Milho 2ª safra'!$E6:INDEX('Milho 2ª safra'!$E6:$Z6,MIN(AU$6-$E$3,22))&lt;&gt;""),'Milho 2ª safra'!$E6:INDEX('Milho 2ª safra'!$E6:$Z6,MIN(AU$6-$E$3,22))),0))-IF($G$2,0,IF((AU$6-$G$3)&lt;1,0,IFERROR(LOOKUP(2,1/('Milho 2ª safra'!$E6:INDEX('Milho 2ª safra'!$E6:$Z6,MIN(AU$6-$G$3,22))&lt;&gt;""),'Milho 2ª safra'!$E6:INDEX('Milho 2ª safra'!$E6:$Z6,MIN(AU$6-$G$3,22))),0)))))</f>
        <v>0</v>
      </c>
      <c r="AV8" s="27" t="n">
        <f aca="false">IF(COUNT('Milho 2ª safra'!$E6:$Z6)=0,0,MAX(0,IF((AV$6-$E$3)&lt;1,0,IFERROR(LOOKUP(2,1/('Milho 2ª safra'!$E6:INDEX('Milho 2ª safra'!$E6:$Z6,MIN(AV$6-$E$3,22))&lt;&gt;""),'Milho 2ª safra'!$E6:INDEX('Milho 2ª safra'!$E6:$Z6,MIN(AV$6-$E$3,22))),0))-IF($G$2,0,IF((AV$6-$G$3)&lt;1,0,IFERROR(LOOKUP(2,1/('Milho 2ª safra'!$E6:INDEX('Milho 2ª safra'!$E6:$Z6,MIN(AV$6-$G$3,22))&lt;&gt;""),'Milho 2ª safra'!$E6:INDEX('Milho 2ª safra'!$E6:$Z6,MIN(AV$6-$G$3,22))),0)))))</f>
        <v>0</v>
      </c>
      <c r="AW8" s="27" t="n">
        <f aca="false">IF(COUNT('Milho 2ª safra'!$E6:$Z6)=0,0,MAX(0,IF((AW$6-$E$3)&lt;1,0,IFERROR(LOOKUP(2,1/('Milho 2ª safra'!$E6:INDEX('Milho 2ª safra'!$E6:$Z6,MIN(AW$6-$E$3,22))&lt;&gt;""),'Milho 2ª safra'!$E6:INDEX('Milho 2ª safra'!$E6:$Z6,MIN(AW$6-$E$3,22))),0))-IF($G$2,0,IF((AW$6-$G$3)&lt;1,0,IFERROR(LOOKUP(2,1/('Milho 2ª safra'!$E6:INDEX('Milho 2ª safra'!$E6:$Z6,MIN(AW$6-$G$3,22))&lt;&gt;""),'Milho 2ª safra'!$E6:INDEX('Milho 2ª safra'!$E6:$Z6,MIN(AW$6-$G$3,22))),0)))))</f>
        <v>0</v>
      </c>
      <c r="AX8" s="27" t="n">
        <f aca="false">IF(COUNT('Milho 2ª safra'!$E6:$Z6)=0,0,MAX(0,IF((AX$6-$E$3)&lt;1,0,IFERROR(LOOKUP(2,1/('Milho 2ª safra'!$E6:INDEX('Milho 2ª safra'!$E6:$Z6,MIN(AX$6-$E$3,22))&lt;&gt;""),'Milho 2ª safra'!$E6:INDEX('Milho 2ª safra'!$E6:$Z6,MIN(AX$6-$E$3,22))),0))-IF($G$2,0,IF((AX$6-$G$3)&lt;1,0,IFERROR(LOOKUP(2,1/('Milho 2ª safra'!$E6:INDEX('Milho 2ª safra'!$E6:$Z6,MIN(AX$6-$G$3,22))&lt;&gt;""),'Milho 2ª safra'!$E6:INDEX('Milho 2ª safra'!$E6:$Z6,MIN(AX$6-$G$3,22))),0)))))</f>
        <v>0</v>
      </c>
      <c r="AY8" s="27" t="n">
        <f aca="false">IF(COUNT('Milho 2ª safra'!$E6:$Z6)=0,0,MAX(0,IF((AY$6-$E$3)&lt;1,0,IFERROR(LOOKUP(2,1/('Milho 2ª safra'!$E6:INDEX('Milho 2ª safra'!$E6:$Z6,MIN(AY$6-$E$3,22))&lt;&gt;""),'Milho 2ª safra'!$E6:INDEX('Milho 2ª safra'!$E6:$Z6,MIN(AY$6-$E$3,22))),0))-IF($G$2,0,IF((AY$6-$G$3)&lt;1,0,IFERROR(LOOKUP(2,1/('Milho 2ª safra'!$E6:INDEX('Milho 2ª safra'!$E6:$Z6,MIN(AY$6-$G$3,22))&lt;&gt;""),'Milho 2ª safra'!$E6:INDEX('Milho 2ª safra'!$E6:$Z6,MIN(AY$6-$G$3,22))),0)))))</f>
        <v>0</v>
      </c>
      <c r="AZ8" s="27" t="n">
        <f aca="false">IF(COUNT('Milho 2ª safra'!$E6:$Z6)=0,0,MAX(0,IF((AZ$6-$E$3)&lt;1,0,IFERROR(LOOKUP(2,1/('Milho 2ª safra'!$E6:INDEX('Milho 2ª safra'!$E6:$Z6,MIN(AZ$6-$E$3,22))&lt;&gt;""),'Milho 2ª safra'!$E6:INDEX('Milho 2ª safra'!$E6:$Z6,MIN(AZ$6-$E$3,22))),0))-IF($G$2,0,IF((AZ$6-$G$3)&lt;1,0,IFERROR(LOOKUP(2,1/('Milho 2ª safra'!$E6:INDEX('Milho 2ª safra'!$E6:$Z6,MIN(AZ$6-$G$3,22))&lt;&gt;""),'Milho 2ª safra'!$E6:INDEX('Milho 2ª safra'!$E6:$Z6,MIN(AZ$6-$G$3,22))),0)))))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IF(COUNT('Milho 2ª safra'!$E7:$Z7)&gt;0,N('Milho 2ª safra'!$D7),0)</f>
        <v>0</v>
      </c>
      <c r="E9" s="27" t="n">
        <f aca="false">IF(COUNT('Milho 2ª safra'!$E7:$Z7)=0,0,MAX(0,IF((E$6-$E$3)&lt;1,0,IFERROR(LOOKUP(2,1/('Milho 2ª safra'!$E7:INDEX('Milho 2ª safra'!$E7:$Z7,MIN(E$6-$E$3,22))&lt;&gt;""),'Milho 2ª safra'!$E7:INDEX('Milho 2ª safra'!$E7:$Z7,MIN(E$6-$E$3,22))),0))-IF($G$2,0,IF((E$6-$G$3)&lt;1,0,IFERROR(LOOKUP(2,1/('Milho 2ª safra'!$E7:INDEX('Milho 2ª safra'!$E7:$Z7,MIN(E$6-$G$3,22))&lt;&gt;""),'Milho 2ª safra'!$E7:INDEX('Milho 2ª safra'!$E7:$Z7,MIN(E$6-$G$3,22))),0)))))</f>
        <v>0</v>
      </c>
      <c r="F9" s="27" t="n">
        <f aca="false">IF(COUNT('Milho 2ª safra'!$E7:$Z7)=0,0,MAX(0,IF((F$6-$E$3)&lt;1,0,IFERROR(LOOKUP(2,1/('Milho 2ª safra'!$E7:INDEX('Milho 2ª safra'!$E7:$Z7,MIN(F$6-$E$3,22))&lt;&gt;""),'Milho 2ª safra'!$E7:INDEX('Milho 2ª safra'!$E7:$Z7,MIN(F$6-$E$3,22))),0))-IF($G$2,0,IF((F$6-$G$3)&lt;1,0,IFERROR(LOOKUP(2,1/('Milho 2ª safra'!$E7:INDEX('Milho 2ª safra'!$E7:$Z7,MIN(F$6-$G$3,22))&lt;&gt;""),'Milho 2ª safra'!$E7:INDEX('Milho 2ª safra'!$E7:$Z7,MIN(F$6-$G$3,22))),0)))))</f>
        <v>0</v>
      </c>
      <c r="G9" s="27" t="n">
        <f aca="false">IF(COUNT('Milho 2ª safra'!$E7:$Z7)=0,0,MAX(0,IF((G$6-$E$3)&lt;1,0,IFERROR(LOOKUP(2,1/('Milho 2ª safra'!$E7:INDEX('Milho 2ª safra'!$E7:$Z7,MIN(G$6-$E$3,22))&lt;&gt;""),'Milho 2ª safra'!$E7:INDEX('Milho 2ª safra'!$E7:$Z7,MIN(G$6-$E$3,22))),0))-IF($G$2,0,IF((G$6-$G$3)&lt;1,0,IFERROR(LOOKUP(2,1/('Milho 2ª safra'!$E7:INDEX('Milho 2ª safra'!$E7:$Z7,MIN(G$6-$G$3,22))&lt;&gt;""),'Milho 2ª safra'!$E7:INDEX('Milho 2ª safra'!$E7:$Z7,MIN(G$6-$G$3,22))),0)))))</f>
        <v>0</v>
      </c>
      <c r="H9" s="27" t="n">
        <f aca="false">IF(COUNT('Milho 2ª safra'!$E7:$Z7)=0,0,MAX(0,IF((H$6-$E$3)&lt;1,0,IFERROR(LOOKUP(2,1/('Milho 2ª safra'!$E7:INDEX('Milho 2ª safra'!$E7:$Z7,MIN(H$6-$E$3,22))&lt;&gt;""),'Milho 2ª safra'!$E7:INDEX('Milho 2ª safra'!$E7:$Z7,MIN(H$6-$E$3,22))),0))-IF($G$2,0,IF((H$6-$G$3)&lt;1,0,IFERROR(LOOKUP(2,1/('Milho 2ª safra'!$E7:INDEX('Milho 2ª safra'!$E7:$Z7,MIN(H$6-$G$3,22))&lt;&gt;""),'Milho 2ª safra'!$E7:INDEX('Milho 2ª safra'!$E7:$Z7,MIN(H$6-$G$3,22))),0)))))</f>
        <v>0</v>
      </c>
      <c r="I9" s="27" t="n">
        <f aca="false">IF(COUNT('Milho 2ª safra'!$E7:$Z7)=0,0,MAX(0,IF((I$6-$E$3)&lt;1,0,IFERROR(LOOKUP(2,1/('Milho 2ª safra'!$E7:INDEX('Milho 2ª safra'!$E7:$Z7,MIN(I$6-$E$3,22))&lt;&gt;""),'Milho 2ª safra'!$E7:INDEX('Milho 2ª safra'!$E7:$Z7,MIN(I$6-$E$3,22))),0))-IF($G$2,0,IF((I$6-$G$3)&lt;1,0,IFERROR(LOOKUP(2,1/('Milho 2ª safra'!$E7:INDEX('Milho 2ª safra'!$E7:$Z7,MIN(I$6-$G$3,22))&lt;&gt;""),'Milho 2ª safra'!$E7:INDEX('Milho 2ª safra'!$E7:$Z7,MIN(I$6-$G$3,22))),0)))))</f>
        <v>0</v>
      </c>
      <c r="J9" s="27" t="n">
        <f aca="false">IF(COUNT('Milho 2ª safra'!$E7:$Z7)=0,0,MAX(0,IF((J$6-$E$3)&lt;1,0,IFERROR(LOOKUP(2,1/('Milho 2ª safra'!$E7:INDEX('Milho 2ª safra'!$E7:$Z7,MIN(J$6-$E$3,22))&lt;&gt;""),'Milho 2ª safra'!$E7:INDEX('Milho 2ª safra'!$E7:$Z7,MIN(J$6-$E$3,22))),0))-IF($G$2,0,IF((J$6-$G$3)&lt;1,0,IFERROR(LOOKUP(2,1/('Milho 2ª safra'!$E7:INDEX('Milho 2ª safra'!$E7:$Z7,MIN(J$6-$G$3,22))&lt;&gt;""),'Milho 2ª safra'!$E7:INDEX('Milho 2ª safra'!$E7:$Z7,MIN(J$6-$G$3,22))),0)))))</f>
        <v>0</v>
      </c>
      <c r="K9" s="27" t="n">
        <f aca="false">IF(COUNT('Milho 2ª safra'!$E7:$Z7)=0,0,MAX(0,IF((K$6-$E$3)&lt;1,0,IFERROR(LOOKUP(2,1/('Milho 2ª safra'!$E7:INDEX('Milho 2ª safra'!$E7:$Z7,MIN(K$6-$E$3,22))&lt;&gt;""),'Milho 2ª safra'!$E7:INDEX('Milho 2ª safra'!$E7:$Z7,MIN(K$6-$E$3,22))),0))-IF($G$2,0,IF((K$6-$G$3)&lt;1,0,IFERROR(LOOKUP(2,1/('Milho 2ª safra'!$E7:INDEX('Milho 2ª safra'!$E7:$Z7,MIN(K$6-$G$3,22))&lt;&gt;""),'Milho 2ª safra'!$E7:INDEX('Milho 2ª safra'!$E7:$Z7,MIN(K$6-$G$3,22))),0)))))</f>
        <v>0</v>
      </c>
      <c r="L9" s="27" t="n">
        <f aca="false">IF(COUNT('Milho 2ª safra'!$E7:$Z7)=0,0,MAX(0,IF((L$6-$E$3)&lt;1,0,IFERROR(LOOKUP(2,1/('Milho 2ª safra'!$E7:INDEX('Milho 2ª safra'!$E7:$Z7,MIN(L$6-$E$3,22))&lt;&gt;""),'Milho 2ª safra'!$E7:INDEX('Milho 2ª safra'!$E7:$Z7,MIN(L$6-$E$3,22))),0))-IF($G$2,0,IF((L$6-$G$3)&lt;1,0,IFERROR(LOOKUP(2,1/('Milho 2ª safra'!$E7:INDEX('Milho 2ª safra'!$E7:$Z7,MIN(L$6-$G$3,22))&lt;&gt;""),'Milho 2ª safra'!$E7:INDEX('Milho 2ª safra'!$E7:$Z7,MIN(L$6-$G$3,22))),0)))))</f>
        <v>0</v>
      </c>
      <c r="M9" s="27" t="n">
        <f aca="false">IF(COUNT('Milho 2ª safra'!$E7:$Z7)=0,0,MAX(0,IF((M$6-$E$3)&lt;1,0,IFERROR(LOOKUP(2,1/('Milho 2ª safra'!$E7:INDEX('Milho 2ª safra'!$E7:$Z7,MIN(M$6-$E$3,22))&lt;&gt;""),'Milho 2ª safra'!$E7:INDEX('Milho 2ª safra'!$E7:$Z7,MIN(M$6-$E$3,22))),0))-IF($G$2,0,IF((M$6-$G$3)&lt;1,0,IFERROR(LOOKUP(2,1/('Milho 2ª safra'!$E7:INDEX('Milho 2ª safra'!$E7:$Z7,MIN(M$6-$G$3,22))&lt;&gt;""),'Milho 2ª safra'!$E7:INDEX('Milho 2ª safra'!$E7:$Z7,MIN(M$6-$G$3,22))),0)))))</f>
        <v>0</v>
      </c>
      <c r="N9" s="27" t="n">
        <f aca="false">IF(COUNT('Milho 2ª safra'!$E7:$Z7)=0,0,MAX(0,IF((N$6-$E$3)&lt;1,0,IFERROR(LOOKUP(2,1/('Milho 2ª safra'!$E7:INDEX('Milho 2ª safra'!$E7:$Z7,MIN(N$6-$E$3,22))&lt;&gt;""),'Milho 2ª safra'!$E7:INDEX('Milho 2ª safra'!$E7:$Z7,MIN(N$6-$E$3,22))),0))-IF($G$2,0,IF((N$6-$G$3)&lt;1,0,IFERROR(LOOKUP(2,1/('Milho 2ª safra'!$E7:INDEX('Milho 2ª safra'!$E7:$Z7,MIN(N$6-$G$3,22))&lt;&gt;""),'Milho 2ª safra'!$E7:INDEX('Milho 2ª safra'!$E7:$Z7,MIN(N$6-$G$3,22))),0)))))</f>
        <v>0</v>
      </c>
      <c r="O9" s="27" t="n">
        <f aca="false">IF(COUNT('Milho 2ª safra'!$E7:$Z7)=0,0,MAX(0,IF((O$6-$E$3)&lt;1,0,IFERROR(LOOKUP(2,1/('Milho 2ª safra'!$E7:INDEX('Milho 2ª safra'!$E7:$Z7,MIN(O$6-$E$3,22))&lt;&gt;""),'Milho 2ª safra'!$E7:INDEX('Milho 2ª safra'!$E7:$Z7,MIN(O$6-$E$3,22))),0))-IF($G$2,0,IF((O$6-$G$3)&lt;1,0,IFERROR(LOOKUP(2,1/('Milho 2ª safra'!$E7:INDEX('Milho 2ª safra'!$E7:$Z7,MIN(O$6-$G$3,22))&lt;&gt;""),'Milho 2ª safra'!$E7:INDEX('Milho 2ª safra'!$E7:$Z7,MIN(O$6-$G$3,22))),0)))))</f>
        <v>0</v>
      </c>
      <c r="P9" s="27" t="n">
        <f aca="false">IF(COUNT('Milho 2ª safra'!$E7:$Z7)=0,0,MAX(0,IF((P$6-$E$3)&lt;1,0,IFERROR(LOOKUP(2,1/('Milho 2ª safra'!$E7:INDEX('Milho 2ª safra'!$E7:$Z7,MIN(P$6-$E$3,22))&lt;&gt;""),'Milho 2ª safra'!$E7:INDEX('Milho 2ª safra'!$E7:$Z7,MIN(P$6-$E$3,22))),0))-IF($G$2,0,IF((P$6-$G$3)&lt;1,0,IFERROR(LOOKUP(2,1/('Milho 2ª safra'!$E7:INDEX('Milho 2ª safra'!$E7:$Z7,MIN(P$6-$G$3,22))&lt;&gt;""),'Milho 2ª safra'!$E7:INDEX('Milho 2ª safra'!$E7:$Z7,MIN(P$6-$G$3,22))),0)))))</f>
        <v>0</v>
      </c>
      <c r="Q9" s="27" t="n">
        <f aca="false">IF(COUNT('Milho 2ª safra'!$E7:$Z7)=0,0,MAX(0,IF((Q$6-$E$3)&lt;1,0,IFERROR(LOOKUP(2,1/('Milho 2ª safra'!$E7:INDEX('Milho 2ª safra'!$E7:$Z7,MIN(Q$6-$E$3,22))&lt;&gt;""),'Milho 2ª safra'!$E7:INDEX('Milho 2ª safra'!$E7:$Z7,MIN(Q$6-$E$3,22))),0))-IF($G$2,0,IF((Q$6-$G$3)&lt;1,0,IFERROR(LOOKUP(2,1/('Milho 2ª safra'!$E7:INDEX('Milho 2ª safra'!$E7:$Z7,MIN(Q$6-$G$3,22))&lt;&gt;""),'Milho 2ª safra'!$E7:INDEX('Milho 2ª safra'!$E7:$Z7,MIN(Q$6-$G$3,22))),0)))))</f>
        <v>0</v>
      </c>
      <c r="R9" s="27" t="n">
        <f aca="false">IF(COUNT('Milho 2ª safra'!$E7:$Z7)=0,0,MAX(0,IF((R$6-$E$3)&lt;1,0,IFERROR(LOOKUP(2,1/('Milho 2ª safra'!$E7:INDEX('Milho 2ª safra'!$E7:$Z7,MIN(R$6-$E$3,22))&lt;&gt;""),'Milho 2ª safra'!$E7:INDEX('Milho 2ª safra'!$E7:$Z7,MIN(R$6-$E$3,22))),0))-IF($G$2,0,IF((R$6-$G$3)&lt;1,0,IFERROR(LOOKUP(2,1/('Milho 2ª safra'!$E7:INDEX('Milho 2ª safra'!$E7:$Z7,MIN(R$6-$G$3,22))&lt;&gt;""),'Milho 2ª safra'!$E7:INDEX('Milho 2ª safra'!$E7:$Z7,MIN(R$6-$G$3,22))),0)))))</f>
        <v>0</v>
      </c>
      <c r="S9" s="27" t="n">
        <f aca="false">IF(COUNT('Milho 2ª safra'!$E7:$Z7)=0,0,MAX(0,IF((S$6-$E$3)&lt;1,0,IFERROR(LOOKUP(2,1/('Milho 2ª safra'!$E7:INDEX('Milho 2ª safra'!$E7:$Z7,MIN(S$6-$E$3,22))&lt;&gt;""),'Milho 2ª safra'!$E7:INDEX('Milho 2ª safra'!$E7:$Z7,MIN(S$6-$E$3,22))),0))-IF($G$2,0,IF((S$6-$G$3)&lt;1,0,IFERROR(LOOKUP(2,1/('Milho 2ª safra'!$E7:INDEX('Milho 2ª safra'!$E7:$Z7,MIN(S$6-$G$3,22))&lt;&gt;""),'Milho 2ª safra'!$E7:INDEX('Milho 2ª safra'!$E7:$Z7,MIN(S$6-$G$3,22))),0)))))</f>
        <v>0</v>
      </c>
      <c r="T9" s="27" t="n">
        <f aca="false">IF(COUNT('Milho 2ª safra'!$E7:$Z7)=0,0,MAX(0,IF((T$6-$E$3)&lt;1,0,IFERROR(LOOKUP(2,1/('Milho 2ª safra'!$E7:INDEX('Milho 2ª safra'!$E7:$Z7,MIN(T$6-$E$3,22))&lt;&gt;""),'Milho 2ª safra'!$E7:INDEX('Milho 2ª safra'!$E7:$Z7,MIN(T$6-$E$3,22))),0))-IF($G$2,0,IF((T$6-$G$3)&lt;1,0,IFERROR(LOOKUP(2,1/('Milho 2ª safra'!$E7:INDEX('Milho 2ª safra'!$E7:$Z7,MIN(T$6-$G$3,22))&lt;&gt;""),'Milho 2ª safra'!$E7:INDEX('Milho 2ª safra'!$E7:$Z7,MIN(T$6-$G$3,22))),0)))))</f>
        <v>0</v>
      </c>
      <c r="U9" s="27" t="n">
        <f aca="false">IF(COUNT('Milho 2ª safra'!$E7:$Z7)=0,0,MAX(0,IF((U$6-$E$3)&lt;1,0,IFERROR(LOOKUP(2,1/('Milho 2ª safra'!$E7:INDEX('Milho 2ª safra'!$E7:$Z7,MIN(U$6-$E$3,22))&lt;&gt;""),'Milho 2ª safra'!$E7:INDEX('Milho 2ª safra'!$E7:$Z7,MIN(U$6-$E$3,22))),0))-IF($G$2,0,IF((U$6-$G$3)&lt;1,0,IFERROR(LOOKUP(2,1/('Milho 2ª safra'!$E7:INDEX('Milho 2ª safra'!$E7:$Z7,MIN(U$6-$G$3,22))&lt;&gt;""),'Milho 2ª safra'!$E7:INDEX('Milho 2ª safra'!$E7:$Z7,MIN(U$6-$G$3,22))),0)))))</f>
        <v>0</v>
      </c>
      <c r="V9" s="27" t="n">
        <f aca="false">IF(COUNT('Milho 2ª safra'!$E7:$Z7)=0,0,MAX(0,IF((V$6-$E$3)&lt;1,0,IFERROR(LOOKUP(2,1/('Milho 2ª safra'!$E7:INDEX('Milho 2ª safra'!$E7:$Z7,MIN(V$6-$E$3,22))&lt;&gt;""),'Milho 2ª safra'!$E7:INDEX('Milho 2ª safra'!$E7:$Z7,MIN(V$6-$E$3,22))),0))-IF($G$2,0,IF((V$6-$G$3)&lt;1,0,IFERROR(LOOKUP(2,1/('Milho 2ª safra'!$E7:INDEX('Milho 2ª safra'!$E7:$Z7,MIN(V$6-$G$3,22))&lt;&gt;""),'Milho 2ª safra'!$E7:INDEX('Milho 2ª safra'!$E7:$Z7,MIN(V$6-$G$3,22))),0)))))</f>
        <v>0</v>
      </c>
      <c r="W9" s="27" t="n">
        <f aca="false">IF(COUNT('Milho 2ª safra'!$E7:$Z7)=0,0,MAX(0,IF((W$6-$E$3)&lt;1,0,IFERROR(LOOKUP(2,1/('Milho 2ª safra'!$E7:INDEX('Milho 2ª safra'!$E7:$Z7,MIN(W$6-$E$3,22))&lt;&gt;""),'Milho 2ª safra'!$E7:INDEX('Milho 2ª safra'!$E7:$Z7,MIN(W$6-$E$3,22))),0))-IF($G$2,0,IF((W$6-$G$3)&lt;1,0,IFERROR(LOOKUP(2,1/('Milho 2ª safra'!$E7:INDEX('Milho 2ª safra'!$E7:$Z7,MIN(W$6-$G$3,22))&lt;&gt;""),'Milho 2ª safra'!$E7:INDEX('Milho 2ª safra'!$E7:$Z7,MIN(W$6-$G$3,22))),0)))))</f>
        <v>0</v>
      </c>
      <c r="X9" s="27" t="n">
        <f aca="false">IF(COUNT('Milho 2ª safra'!$E7:$Z7)=0,0,MAX(0,IF((X$6-$E$3)&lt;1,0,IFERROR(LOOKUP(2,1/('Milho 2ª safra'!$E7:INDEX('Milho 2ª safra'!$E7:$Z7,MIN(X$6-$E$3,22))&lt;&gt;""),'Milho 2ª safra'!$E7:INDEX('Milho 2ª safra'!$E7:$Z7,MIN(X$6-$E$3,22))),0))-IF($G$2,0,IF((X$6-$G$3)&lt;1,0,IFERROR(LOOKUP(2,1/('Milho 2ª safra'!$E7:INDEX('Milho 2ª safra'!$E7:$Z7,MIN(X$6-$G$3,22))&lt;&gt;""),'Milho 2ª safra'!$E7:INDEX('Milho 2ª safra'!$E7:$Z7,MIN(X$6-$G$3,22))),0)))))</f>
        <v>0</v>
      </c>
      <c r="Y9" s="27" t="n">
        <f aca="false">IF(COUNT('Milho 2ª safra'!$E7:$Z7)=0,0,MAX(0,IF((Y$6-$E$3)&lt;1,0,IFERROR(LOOKUP(2,1/('Milho 2ª safra'!$E7:INDEX('Milho 2ª safra'!$E7:$Z7,MIN(Y$6-$E$3,22))&lt;&gt;""),'Milho 2ª safra'!$E7:INDEX('Milho 2ª safra'!$E7:$Z7,MIN(Y$6-$E$3,22))),0))-IF($G$2,0,IF((Y$6-$G$3)&lt;1,0,IFERROR(LOOKUP(2,1/('Milho 2ª safra'!$E7:INDEX('Milho 2ª safra'!$E7:$Z7,MIN(Y$6-$G$3,22))&lt;&gt;""),'Milho 2ª safra'!$E7:INDEX('Milho 2ª safra'!$E7:$Z7,MIN(Y$6-$G$3,22))),0)))))</f>
        <v>0</v>
      </c>
      <c r="Z9" s="27" t="n">
        <f aca="false">IF(COUNT('Milho 2ª safra'!$E7:$Z7)=0,0,MAX(0,IF((Z$6-$E$3)&lt;1,0,IFERROR(LOOKUP(2,1/('Milho 2ª safra'!$E7:INDEX('Milho 2ª safra'!$E7:$Z7,MIN(Z$6-$E$3,22))&lt;&gt;""),'Milho 2ª safra'!$E7:INDEX('Milho 2ª safra'!$E7:$Z7,MIN(Z$6-$E$3,22))),0))-IF($G$2,0,IF((Z$6-$G$3)&lt;1,0,IFERROR(LOOKUP(2,1/('Milho 2ª safra'!$E7:INDEX('Milho 2ª safra'!$E7:$Z7,MIN(Z$6-$G$3,22))&lt;&gt;""),'Milho 2ª safra'!$E7:INDEX('Milho 2ª safra'!$E7:$Z7,MIN(Z$6-$G$3,22))),0)))))</f>
        <v>0</v>
      </c>
      <c r="AA9" s="27" t="n">
        <f aca="false">IF(COUNT('Milho 2ª safra'!$E7:$Z7)=0,0,MAX(0,IF((AA$6-$E$3)&lt;1,0,IFERROR(LOOKUP(2,1/('Milho 2ª safra'!$E7:INDEX('Milho 2ª safra'!$E7:$Z7,MIN(AA$6-$E$3,22))&lt;&gt;""),'Milho 2ª safra'!$E7:INDEX('Milho 2ª safra'!$E7:$Z7,MIN(AA$6-$E$3,22))),0))-IF($G$2,0,IF((AA$6-$G$3)&lt;1,0,IFERROR(LOOKUP(2,1/('Milho 2ª safra'!$E7:INDEX('Milho 2ª safra'!$E7:$Z7,MIN(AA$6-$G$3,22))&lt;&gt;""),'Milho 2ª safra'!$E7:INDEX('Milho 2ª safra'!$E7:$Z7,MIN(AA$6-$G$3,22))),0)))))</f>
        <v>0</v>
      </c>
      <c r="AB9" s="27" t="n">
        <f aca="false">IF(COUNT('Milho 2ª safra'!$E7:$Z7)=0,0,MAX(0,IF((AB$6-$E$3)&lt;1,0,IFERROR(LOOKUP(2,1/('Milho 2ª safra'!$E7:INDEX('Milho 2ª safra'!$E7:$Z7,MIN(AB$6-$E$3,22))&lt;&gt;""),'Milho 2ª safra'!$E7:INDEX('Milho 2ª safra'!$E7:$Z7,MIN(AB$6-$E$3,22))),0))-IF($G$2,0,IF((AB$6-$G$3)&lt;1,0,IFERROR(LOOKUP(2,1/('Milho 2ª safra'!$E7:INDEX('Milho 2ª safra'!$E7:$Z7,MIN(AB$6-$G$3,22))&lt;&gt;""),'Milho 2ª safra'!$E7:INDEX('Milho 2ª safra'!$E7:$Z7,MIN(AB$6-$G$3,22))),0)))))</f>
        <v>0</v>
      </c>
      <c r="AC9" s="27" t="n">
        <f aca="false">IF(COUNT('Milho 2ª safra'!$E7:$Z7)=0,0,MAX(0,IF((AC$6-$E$3)&lt;1,0,IFERROR(LOOKUP(2,1/('Milho 2ª safra'!$E7:INDEX('Milho 2ª safra'!$E7:$Z7,MIN(AC$6-$E$3,22))&lt;&gt;""),'Milho 2ª safra'!$E7:INDEX('Milho 2ª safra'!$E7:$Z7,MIN(AC$6-$E$3,22))),0))-IF($G$2,0,IF((AC$6-$G$3)&lt;1,0,IFERROR(LOOKUP(2,1/('Milho 2ª safra'!$E7:INDEX('Milho 2ª safra'!$E7:$Z7,MIN(AC$6-$G$3,22))&lt;&gt;""),'Milho 2ª safra'!$E7:INDEX('Milho 2ª safra'!$E7:$Z7,MIN(AC$6-$G$3,22))),0)))))</f>
        <v>0</v>
      </c>
      <c r="AD9" s="27" t="n">
        <f aca="false">IF(COUNT('Milho 2ª safra'!$E7:$Z7)=0,0,MAX(0,IF((AD$6-$E$3)&lt;1,0,IFERROR(LOOKUP(2,1/('Milho 2ª safra'!$E7:INDEX('Milho 2ª safra'!$E7:$Z7,MIN(AD$6-$E$3,22))&lt;&gt;""),'Milho 2ª safra'!$E7:INDEX('Milho 2ª safra'!$E7:$Z7,MIN(AD$6-$E$3,22))),0))-IF($G$2,0,IF((AD$6-$G$3)&lt;1,0,IFERROR(LOOKUP(2,1/('Milho 2ª safra'!$E7:INDEX('Milho 2ª safra'!$E7:$Z7,MIN(AD$6-$G$3,22))&lt;&gt;""),'Milho 2ª safra'!$E7:INDEX('Milho 2ª safra'!$E7:$Z7,MIN(AD$6-$G$3,22))),0)))))</f>
        <v>0</v>
      </c>
      <c r="AE9" s="27" t="n">
        <f aca="false">IF(COUNT('Milho 2ª safra'!$E7:$Z7)=0,0,MAX(0,IF((AE$6-$E$3)&lt;1,0,IFERROR(LOOKUP(2,1/('Milho 2ª safra'!$E7:INDEX('Milho 2ª safra'!$E7:$Z7,MIN(AE$6-$E$3,22))&lt;&gt;""),'Milho 2ª safra'!$E7:INDEX('Milho 2ª safra'!$E7:$Z7,MIN(AE$6-$E$3,22))),0))-IF($G$2,0,IF((AE$6-$G$3)&lt;1,0,IFERROR(LOOKUP(2,1/('Milho 2ª safra'!$E7:INDEX('Milho 2ª safra'!$E7:$Z7,MIN(AE$6-$G$3,22))&lt;&gt;""),'Milho 2ª safra'!$E7:INDEX('Milho 2ª safra'!$E7:$Z7,MIN(AE$6-$G$3,22))),0)))))</f>
        <v>0</v>
      </c>
      <c r="AF9" s="27" t="n">
        <f aca="false">IF(COUNT('Milho 2ª safra'!$E7:$Z7)=0,0,MAX(0,IF((AF$6-$E$3)&lt;1,0,IFERROR(LOOKUP(2,1/('Milho 2ª safra'!$E7:INDEX('Milho 2ª safra'!$E7:$Z7,MIN(AF$6-$E$3,22))&lt;&gt;""),'Milho 2ª safra'!$E7:INDEX('Milho 2ª safra'!$E7:$Z7,MIN(AF$6-$E$3,22))),0))-IF($G$2,0,IF((AF$6-$G$3)&lt;1,0,IFERROR(LOOKUP(2,1/('Milho 2ª safra'!$E7:INDEX('Milho 2ª safra'!$E7:$Z7,MIN(AF$6-$G$3,22))&lt;&gt;""),'Milho 2ª safra'!$E7:INDEX('Milho 2ª safra'!$E7:$Z7,MIN(AF$6-$G$3,22))),0)))))</f>
        <v>0</v>
      </c>
      <c r="AG9" s="27" t="n">
        <f aca="false">IF(COUNT('Milho 2ª safra'!$E7:$Z7)=0,0,MAX(0,IF((AG$6-$E$3)&lt;1,0,IFERROR(LOOKUP(2,1/('Milho 2ª safra'!$E7:INDEX('Milho 2ª safra'!$E7:$Z7,MIN(AG$6-$E$3,22))&lt;&gt;""),'Milho 2ª safra'!$E7:INDEX('Milho 2ª safra'!$E7:$Z7,MIN(AG$6-$E$3,22))),0))-IF($G$2,0,IF((AG$6-$G$3)&lt;1,0,IFERROR(LOOKUP(2,1/('Milho 2ª safra'!$E7:INDEX('Milho 2ª safra'!$E7:$Z7,MIN(AG$6-$G$3,22))&lt;&gt;""),'Milho 2ª safra'!$E7:INDEX('Milho 2ª safra'!$E7:$Z7,MIN(AG$6-$G$3,22))),0)))))</f>
        <v>0</v>
      </c>
      <c r="AH9" s="27" t="n">
        <f aca="false">IF(COUNT('Milho 2ª safra'!$E7:$Z7)=0,0,MAX(0,IF((AH$6-$E$3)&lt;1,0,IFERROR(LOOKUP(2,1/('Milho 2ª safra'!$E7:INDEX('Milho 2ª safra'!$E7:$Z7,MIN(AH$6-$E$3,22))&lt;&gt;""),'Milho 2ª safra'!$E7:INDEX('Milho 2ª safra'!$E7:$Z7,MIN(AH$6-$E$3,22))),0))-IF($G$2,0,IF((AH$6-$G$3)&lt;1,0,IFERROR(LOOKUP(2,1/('Milho 2ª safra'!$E7:INDEX('Milho 2ª safra'!$E7:$Z7,MIN(AH$6-$G$3,22))&lt;&gt;""),'Milho 2ª safra'!$E7:INDEX('Milho 2ª safra'!$E7:$Z7,MIN(AH$6-$G$3,22))),0)))))</f>
        <v>0</v>
      </c>
      <c r="AI9" s="27" t="n">
        <f aca="false">IF(COUNT('Milho 2ª safra'!$E7:$Z7)=0,0,MAX(0,IF((AI$6-$E$3)&lt;1,0,IFERROR(LOOKUP(2,1/('Milho 2ª safra'!$E7:INDEX('Milho 2ª safra'!$E7:$Z7,MIN(AI$6-$E$3,22))&lt;&gt;""),'Milho 2ª safra'!$E7:INDEX('Milho 2ª safra'!$E7:$Z7,MIN(AI$6-$E$3,22))),0))-IF($G$2,0,IF((AI$6-$G$3)&lt;1,0,IFERROR(LOOKUP(2,1/('Milho 2ª safra'!$E7:INDEX('Milho 2ª safra'!$E7:$Z7,MIN(AI$6-$G$3,22))&lt;&gt;""),'Milho 2ª safra'!$E7:INDEX('Milho 2ª safra'!$E7:$Z7,MIN(AI$6-$G$3,22))),0)))))</f>
        <v>0</v>
      </c>
      <c r="AJ9" s="27" t="n">
        <f aca="false">IF(COUNT('Milho 2ª safra'!$E7:$Z7)=0,0,MAX(0,IF((AJ$6-$E$3)&lt;1,0,IFERROR(LOOKUP(2,1/('Milho 2ª safra'!$E7:INDEX('Milho 2ª safra'!$E7:$Z7,MIN(AJ$6-$E$3,22))&lt;&gt;""),'Milho 2ª safra'!$E7:INDEX('Milho 2ª safra'!$E7:$Z7,MIN(AJ$6-$E$3,22))),0))-IF($G$2,0,IF((AJ$6-$G$3)&lt;1,0,IFERROR(LOOKUP(2,1/('Milho 2ª safra'!$E7:INDEX('Milho 2ª safra'!$E7:$Z7,MIN(AJ$6-$G$3,22))&lt;&gt;""),'Milho 2ª safra'!$E7:INDEX('Milho 2ª safra'!$E7:$Z7,MIN(AJ$6-$G$3,22))),0)))))</f>
        <v>0</v>
      </c>
      <c r="AK9" s="27" t="n">
        <f aca="false">IF(COUNT('Milho 2ª safra'!$E7:$Z7)=0,0,MAX(0,IF((AK$6-$E$3)&lt;1,0,IFERROR(LOOKUP(2,1/('Milho 2ª safra'!$E7:INDEX('Milho 2ª safra'!$E7:$Z7,MIN(AK$6-$E$3,22))&lt;&gt;""),'Milho 2ª safra'!$E7:INDEX('Milho 2ª safra'!$E7:$Z7,MIN(AK$6-$E$3,22))),0))-IF($G$2,0,IF((AK$6-$G$3)&lt;1,0,IFERROR(LOOKUP(2,1/('Milho 2ª safra'!$E7:INDEX('Milho 2ª safra'!$E7:$Z7,MIN(AK$6-$G$3,22))&lt;&gt;""),'Milho 2ª safra'!$E7:INDEX('Milho 2ª safra'!$E7:$Z7,MIN(AK$6-$G$3,22))),0)))))</f>
        <v>0</v>
      </c>
      <c r="AL9" s="27" t="n">
        <f aca="false">IF(COUNT('Milho 2ª safra'!$E7:$Z7)=0,0,MAX(0,IF((AL$6-$E$3)&lt;1,0,IFERROR(LOOKUP(2,1/('Milho 2ª safra'!$E7:INDEX('Milho 2ª safra'!$E7:$Z7,MIN(AL$6-$E$3,22))&lt;&gt;""),'Milho 2ª safra'!$E7:INDEX('Milho 2ª safra'!$E7:$Z7,MIN(AL$6-$E$3,22))),0))-IF($G$2,0,IF((AL$6-$G$3)&lt;1,0,IFERROR(LOOKUP(2,1/('Milho 2ª safra'!$E7:INDEX('Milho 2ª safra'!$E7:$Z7,MIN(AL$6-$G$3,22))&lt;&gt;""),'Milho 2ª safra'!$E7:INDEX('Milho 2ª safra'!$E7:$Z7,MIN(AL$6-$G$3,22))),0)))))</f>
        <v>0</v>
      </c>
      <c r="AM9" s="27" t="n">
        <f aca="false">IF(COUNT('Milho 2ª safra'!$E7:$Z7)=0,0,MAX(0,IF((AM$6-$E$3)&lt;1,0,IFERROR(LOOKUP(2,1/('Milho 2ª safra'!$E7:INDEX('Milho 2ª safra'!$E7:$Z7,MIN(AM$6-$E$3,22))&lt;&gt;""),'Milho 2ª safra'!$E7:INDEX('Milho 2ª safra'!$E7:$Z7,MIN(AM$6-$E$3,22))),0))-IF($G$2,0,IF((AM$6-$G$3)&lt;1,0,IFERROR(LOOKUP(2,1/('Milho 2ª safra'!$E7:INDEX('Milho 2ª safra'!$E7:$Z7,MIN(AM$6-$G$3,22))&lt;&gt;""),'Milho 2ª safra'!$E7:INDEX('Milho 2ª safra'!$E7:$Z7,MIN(AM$6-$G$3,22))),0)))))</f>
        <v>0</v>
      </c>
      <c r="AN9" s="27" t="n">
        <f aca="false">IF(COUNT('Milho 2ª safra'!$E7:$Z7)=0,0,MAX(0,IF((AN$6-$E$3)&lt;1,0,IFERROR(LOOKUP(2,1/('Milho 2ª safra'!$E7:INDEX('Milho 2ª safra'!$E7:$Z7,MIN(AN$6-$E$3,22))&lt;&gt;""),'Milho 2ª safra'!$E7:INDEX('Milho 2ª safra'!$E7:$Z7,MIN(AN$6-$E$3,22))),0))-IF($G$2,0,IF((AN$6-$G$3)&lt;1,0,IFERROR(LOOKUP(2,1/('Milho 2ª safra'!$E7:INDEX('Milho 2ª safra'!$E7:$Z7,MIN(AN$6-$G$3,22))&lt;&gt;""),'Milho 2ª safra'!$E7:INDEX('Milho 2ª safra'!$E7:$Z7,MIN(AN$6-$G$3,22))),0)))))</f>
        <v>0</v>
      </c>
      <c r="AO9" s="27" t="n">
        <f aca="false">IF(COUNT('Milho 2ª safra'!$E7:$Z7)=0,0,MAX(0,IF((AO$6-$E$3)&lt;1,0,IFERROR(LOOKUP(2,1/('Milho 2ª safra'!$E7:INDEX('Milho 2ª safra'!$E7:$Z7,MIN(AO$6-$E$3,22))&lt;&gt;""),'Milho 2ª safra'!$E7:INDEX('Milho 2ª safra'!$E7:$Z7,MIN(AO$6-$E$3,22))),0))-IF($G$2,0,IF((AO$6-$G$3)&lt;1,0,IFERROR(LOOKUP(2,1/('Milho 2ª safra'!$E7:INDEX('Milho 2ª safra'!$E7:$Z7,MIN(AO$6-$G$3,22))&lt;&gt;""),'Milho 2ª safra'!$E7:INDEX('Milho 2ª safra'!$E7:$Z7,MIN(AO$6-$G$3,22))),0)))))</f>
        <v>0</v>
      </c>
      <c r="AP9" s="27" t="n">
        <f aca="false">IF(COUNT('Milho 2ª safra'!$E7:$Z7)=0,0,MAX(0,IF((AP$6-$E$3)&lt;1,0,IFERROR(LOOKUP(2,1/('Milho 2ª safra'!$E7:INDEX('Milho 2ª safra'!$E7:$Z7,MIN(AP$6-$E$3,22))&lt;&gt;""),'Milho 2ª safra'!$E7:INDEX('Milho 2ª safra'!$E7:$Z7,MIN(AP$6-$E$3,22))),0))-IF($G$2,0,IF((AP$6-$G$3)&lt;1,0,IFERROR(LOOKUP(2,1/('Milho 2ª safra'!$E7:INDEX('Milho 2ª safra'!$E7:$Z7,MIN(AP$6-$G$3,22))&lt;&gt;""),'Milho 2ª safra'!$E7:INDEX('Milho 2ª safra'!$E7:$Z7,MIN(AP$6-$G$3,22))),0)))))</f>
        <v>0</v>
      </c>
      <c r="AQ9" s="27" t="n">
        <f aca="false">IF(COUNT('Milho 2ª safra'!$E7:$Z7)=0,0,MAX(0,IF((AQ$6-$E$3)&lt;1,0,IFERROR(LOOKUP(2,1/('Milho 2ª safra'!$E7:INDEX('Milho 2ª safra'!$E7:$Z7,MIN(AQ$6-$E$3,22))&lt;&gt;""),'Milho 2ª safra'!$E7:INDEX('Milho 2ª safra'!$E7:$Z7,MIN(AQ$6-$E$3,22))),0))-IF($G$2,0,IF((AQ$6-$G$3)&lt;1,0,IFERROR(LOOKUP(2,1/('Milho 2ª safra'!$E7:INDEX('Milho 2ª safra'!$E7:$Z7,MIN(AQ$6-$G$3,22))&lt;&gt;""),'Milho 2ª safra'!$E7:INDEX('Milho 2ª safra'!$E7:$Z7,MIN(AQ$6-$G$3,22))),0)))))</f>
        <v>0</v>
      </c>
      <c r="AR9" s="27" t="n">
        <f aca="false">IF(COUNT('Milho 2ª safra'!$E7:$Z7)=0,0,MAX(0,IF((AR$6-$E$3)&lt;1,0,IFERROR(LOOKUP(2,1/('Milho 2ª safra'!$E7:INDEX('Milho 2ª safra'!$E7:$Z7,MIN(AR$6-$E$3,22))&lt;&gt;""),'Milho 2ª safra'!$E7:INDEX('Milho 2ª safra'!$E7:$Z7,MIN(AR$6-$E$3,22))),0))-IF($G$2,0,IF((AR$6-$G$3)&lt;1,0,IFERROR(LOOKUP(2,1/('Milho 2ª safra'!$E7:INDEX('Milho 2ª safra'!$E7:$Z7,MIN(AR$6-$G$3,22))&lt;&gt;""),'Milho 2ª safra'!$E7:INDEX('Milho 2ª safra'!$E7:$Z7,MIN(AR$6-$G$3,22))),0)))))</f>
        <v>0</v>
      </c>
      <c r="AS9" s="27" t="n">
        <f aca="false">IF(COUNT('Milho 2ª safra'!$E7:$Z7)=0,0,MAX(0,IF((AS$6-$E$3)&lt;1,0,IFERROR(LOOKUP(2,1/('Milho 2ª safra'!$E7:INDEX('Milho 2ª safra'!$E7:$Z7,MIN(AS$6-$E$3,22))&lt;&gt;""),'Milho 2ª safra'!$E7:INDEX('Milho 2ª safra'!$E7:$Z7,MIN(AS$6-$E$3,22))),0))-IF($G$2,0,IF((AS$6-$G$3)&lt;1,0,IFERROR(LOOKUP(2,1/('Milho 2ª safra'!$E7:INDEX('Milho 2ª safra'!$E7:$Z7,MIN(AS$6-$G$3,22))&lt;&gt;""),'Milho 2ª safra'!$E7:INDEX('Milho 2ª safra'!$E7:$Z7,MIN(AS$6-$G$3,22))),0)))))</f>
        <v>0</v>
      </c>
      <c r="AT9" s="27" t="n">
        <f aca="false">IF(COUNT('Milho 2ª safra'!$E7:$Z7)=0,0,MAX(0,IF((AT$6-$E$3)&lt;1,0,IFERROR(LOOKUP(2,1/('Milho 2ª safra'!$E7:INDEX('Milho 2ª safra'!$E7:$Z7,MIN(AT$6-$E$3,22))&lt;&gt;""),'Milho 2ª safra'!$E7:INDEX('Milho 2ª safra'!$E7:$Z7,MIN(AT$6-$E$3,22))),0))-IF($G$2,0,IF((AT$6-$G$3)&lt;1,0,IFERROR(LOOKUP(2,1/('Milho 2ª safra'!$E7:INDEX('Milho 2ª safra'!$E7:$Z7,MIN(AT$6-$G$3,22))&lt;&gt;""),'Milho 2ª safra'!$E7:INDEX('Milho 2ª safra'!$E7:$Z7,MIN(AT$6-$G$3,22))),0)))))</f>
        <v>0</v>
      </c>
      <c r="AU9" s="27" t="n">
        <f aca="false">IF(COUNT('Milho 2ª safra'!$E7:$Z7)=0,0,MAX(0,IF((AU$6-$E$3)&lt;1,0,IFERROR(LOOKUP(2,1/('Milho 2ª safra'!$E7:INDEX('Milho 2ª safra'!$E7:$Z7,MIN(AU$6-$E$3,22))&lt;&gt;""),'Milho 2ª safra'!$E7:INDEX('Milho 2ª safra'!$E7:$Z7,MIN(AU$6-$E$3,22))),0))-IF($G$2,0,IF((AU$6-$G$3)&lt;1,0,IFERROR(LOOKUP(2,1/('Milho 2ª safra'!$E7:INDEX('Milho 2ª safra'!$E7:$Z7,MIN(AU$6-$G$3,22))&lt;&gt;""),'Milho 2ª safra'!$E7:INDEX('Milho 2ª safra'!$E7:$Z7,MIN(AU$6-$G$3,22))),0)))))</f>
        <v>0</v>
      </c>
      <c r="AV9" s="27" t="n">
        <f aca="false">IF(COUNT('Milho 2ª safra'!$E7:$Z7)=0,0,MAX(0,IF((AV$6-$E$3)&lt;1,0,IFERROR(LOOKUP(2,1/('Milho 2ª safra'!$E7:INDEX('Milho 2ª safra'!$E7:$Z7,MIN(AV$6-$E$3,22))&lt;&gt;""),'Milho 2ª safra'!$E7:INDEX('Milho 2ª safra'!$E7:$Z7,MIN(AV$6-$E$3,22))),0))-IF($G$2,0,IF((AV$6-$G$3)&lt;1,0,IFERROR(LOOKUP(2,1/('Milho 2ª safra'!$E7:INDEX('Milho 2ª safra'!$E7:$Z7,MIN(AV$6-$G$3,22))&lt;&gt;""),'Milho 2ª safra'!$E7:INDEX('Milho 2ª safra'!$E7:$Z7,MIN(AV$6-$G$3,22))),0)))))</f>
        <v>0</v>
      </c>
      <c r="AW9" s="27" t="n">
        <f aca="false">IF(COUNT('Milho 2ª safra'!$E7:$Z7)=0,0,MAX(0,IF((AW$6-$E$3)&lt;1,0,IFERROR(LOOKUP(2,1/('Milho 2ª safra'!$E7:INDEX('Milho 2ª safra'!$E7:$Z7,MIN(AW$6-$E$3,22))&lt;&gt;""),'Milho 2ª safra'!$E7:INDEX('Milho 2ª safra'!$E7:$Z7,MIN(AW$6-$E$3,22))),0))-IF($G$2,0,IF((AW$6-$G$3)&lt;1,0,IFERROR(LOOKUP(2,1/('Milho 2ª safra'!$E7:INDEX('Milho 2ª safra'!$E7:$Z7,MIN(AW$6-$G$3,22))&lt;&gt;""),'Milho 2ª safra'!$E7:INDEX('Milho 2ª safra'!$E7:$Z7,MIN(AW$6-$G$3,22))),0)))))</f>
        <v>0</v>
      </c>
      <c r="AX9" s="27" t="n">
        <f aca="false">IF(COUNT('Milho 2ª safra'!$E7:$Z7)=0,0,MAX(0,IF((AX$6-$E$3)&lt;1,0,IFERROR(LOOKUP(2,1/('Milho 2ª safra'!$E7:INDEX('Milho 2ª safra'!$E7:$Z7,MIN(AX$6-$E$3,22))&lt;&gt;""),'Milho 2ª safra'!$E7:INDEX('Milho 2ª safra'!$E7:$Z7,MIN(AX$6-$E$3,22))),0))-IF($G$2,0,IF((AX$6-$G$3)&lt;1,0,IFERROR(LOOKUP(2,1/('Milho 2ª safra'!$E7:INDEX('Milho 2ª safra'!$E7:$Z7,MIN(AX$6-$G$3,22))&lt;&gt;""),'Milho 2ª safra'!$E7:INDEX('Milho 2ª safra'!$E7:$Z7,MIN(AX$6-$G$3,22))),0)))))</f>
        <v>0</v>
      </c>
      <c r="AY9" s="27" t="n">
        <f aca="false">IF(COUNT('Milho 2ª safra'!$E7:$Z7)=0,0,MAX(0,IF((AY$6-$E$3)&lt;1,0,IFERROR(LOOKUP(2,1/('Milho 2ª safra'!$E7:INDEX('Milho 2ª safra'!$E7:$Z7,MIN(AY$6-$E$3,22))&lt;&gt;""),'Milho 2ª safra'!$E7:INDEX('Milho 2ª safra'!$E7:$Z7,MIN(AY$6-$E$3,22))),0))-IF($G$2,0,IF((AY$6-$G$3)&lt;1,0,IFERROR(LOOKUP(2,1/('Milho 2ª safra'!$E7:INDEX('Milho 2ª safra'!$E7:$Z7,MIN(AY$6-$G$3,22))&lt;&gt;""),'Milho 2ª safra'!$E7:INDEX('Milho 2ª safra'!$E7:$Z7,MIN(AY$6-$G$3,22))),0)))))</f>
        <v>0</v>
      </c>
      <c r="AZ9" s="27" t="n">
        <f aca="false">IF(COUNT('Milho 2ª safra'!$E7:$Z7)=0,0,MAX(0,IF((AZ$6-$E$3)&lt;1,0,IFERROR(LOOKUP(2,1/('Milho 2ª safra'!$E7:INDEX('Milho 2ª safra'!$E7:$Z7,MIN(AZ$6-$E$3,22))&lt;&gt;""),'Milho 2ª safra'!$E7:INDEX('Milho 2ª safra'!$E7:$Z7,MIN(AZ$6-$E$3,22))),0))-IF($G$2,0,IF((AZ$6-$G$3)&lt;1,0,IFERROR(LOOKUP(2,1/('Milho 2ª safra'!$E7:INDEX('Milho 2ª safra'!$E7:$Z7,MIN(AZ$6-$G$3,22))&lt;&gt;""),'Milho 2ª safra'!$E7:INDEX('Milho 2ª safra'!$E7:$Z7,MIN(AZ$6-$G$3,22))),0)))))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IF(COUNT('Milho 2ª safra'!$E8:$Z8)&gt;0,N('Milho 2ª safra'!$D8),0)</f>
        <v>0</v>
      </c>
      <c r="E10" s="27" t="n">
        <f aca="false">IF(COUNT('Milho 2ª safra'!$E8:$Z8)=0,0,MAX(0,IF((E$6-$E$3)&lt;1,0,IFERROR(LOOKUP(2,1/('Milho 2ª safra'!$E8:INDEX('Milho 2ª safra'!$E8:$Z8,MIN(E$6-$E$3,22))&lt;&gt;""),'Milho 2ª safra'!$E8:INDEX('Milho 2ª safra'!$E8:$Z8,MIN(E$6-$E$3,22))),0))-IF($G$2,0,IF((E$6-$G$3)&lt;1,0,IFERROR(LOOKUP(2,1/('Milho 2ª safra'!$E8:INDEX('Milho 2ª safra'!$E8:$Z8,MIN(E$6-$G$3,22))&lt;&gt;""),'Milho 2ª safra'!$E8:INDEX('Milho 2ª safra'!$E8:$Z8,MIN(E$6-$G$3,22))),0)))))</f>
        <v>0</v>
      </c>
      <c r="F10" s="27" t="n">
        <f aca="false">IF(COUNT('Milho 2ª safra'!$E8:$Z8)=0,0,MAX(0,IF((F$6-$E$3)&lt;1,0,IFERROR(LOOKUP(2,1/('Milho 2ª safra'!$E8:INDEX('Milho 2ª safra'!$E8:$Z8,MIN(F$6-$E$3,22))&lt;&gt;""),'Milho 2ª safra'!$E8:INDEX('Milho 2ª safra'!$E8:$Z8,MIN(F$6-$E$3,22))),0))-IF($G$2,0,IF((F$6-$G$3)&lt;1,0,IFERROR(LOOKUP(2,1/('Milho 2ª safra'!$E8:INDEX('Milho 2ª safra'!$E8:$Z8,MIN(F$6-$G$3,22))&lt;&gt;""),'Milho 2ª safra'!$E8:INDEX('Milho 2ª safra'!$E8:$Z8,MIN(F$6-$G$3,22))),0)))))</f>
        <v>0</v>
      </c>
      <c r="G10" s="27" t="n">
        <f aca="false">IF(COUNT('Milho 2ª safra'!$E8:$Z8)=0,0,MAX(0,IF((G$6-$E$3)&lt;1,0,IFERROR(LOOKUP(2,1/('Milho 2ª safra'!$E8:INDEX('Milho 2ª safra'!$E8:$Z8,MIN(G$6-$E$3,22))&lt;&gt;""),'Milho 2ª safra'!$E8:INDEX('Milho 2ª safra'!$E8:$Z8,MIN(G$6-$E$3,22))),0))-IF($G$2,0,IF((G$6-$G$3)&lt;1,0,IFERROR(LOOKUP(2,1/('Milho 2ª safra'!$E8:INDEX('Milho 2ª safra'!$E8:$Z8,MIN(G$6-$G$3,22))&lt;&gt;""),'Milho 2ª safra'!$E8:INDEX('Milho 2ª safra'!$E8:$Z8,MIN(G$6-$G$3,22))),0)))))</f>
        <v>0</v>
      </c>
      <c r="H10" s="27" t="n">
        <f aca="false">IF(COUNT('Milho 2ª safra'!$E8:$Z8)=0,0,MAX(0,IF((H$6-$E$3)&lt;1,0,IFERROR(LOOKUP(2,1/('Milho 2ª safra'!$E8:INDEX('Milho 2ª safra'!$E8:$Z8,MIN(H$6-$E$3,22))&lt;&gt;""),'Milho 2ª safra'!$E8:INDEX('Milho 2ª safra'!$E8:$Z8,MIN(H$6-$E$3,22))),0))-IF($G$2,0,IF((H$6-$G$3)&lt;1,0,IFERROR(LOOKUP(2,1/('Milho 2ª safra'!$E8:INDEX('Milho 2ª safra'!$E8:$Z8,MIN(H$6-$G$3,22))&lt;&gt;""),'Milho 2ª safra'!$E8:INDEX('Milho 2ª safra'!$E8:$Z8,MIN(H$6-$G$3,22))),0)))))</f>
        <v>0</v>
      </c>
      <c r="I10" s="27" t="n">
        <f aca="false">IF(COUNT('Milho 2ª safra'!$E8:$Z8)=0,0,MAX(0,IF((I$6-$E$3)&lt;1,0,IFERROR(LOOKUP(2,1/('Milho 2ª safra'!$E8:INDEX('Milho 2ª safra'!$E8:$Z8,MIN(I$6-$E$3,22))&lt;&gt;""),'Milho 2ª safra'!$E8:INDEX('Milho 2ª safra'!$E8:$Z8,MIN(I$6-$E$3,22))),0))-IF($G$2,0,IF((I$6-$G$3)&lt;1,0,IFERROR(LOOKUP(2,1/('Milho 2ª safra'!$E8:INDEX('Milho 2ª safra'!$E8:$Z8,MIN(I$6-$G$3,22))&lt;&gt;""),'Milho 2ª safra'!$E8:INDEX('Milho 2ª safra'!$E8:$Z8,MIN(I$6-$G$3,22))),0)))))</f>
        <v>0</v>
      </c>
      <c r="J10" s="27" t="n">
        <f aca="false">IF(COUNT('Milho 2ª safra'!$E8:$Z8)=0,0,MAX(0,IF((J$6-$E$3)&lt;1,0,IFERROR(LOOKUP(2,1/('Milho 2ª safra'!$E8:INDEX('Milho 2ª safra'!$E8:$Z8,MIN(J$6-$E$3,22))&lt;&gt;""),'Milho 2ª safra'!$E8:INDEX('Milho 2ª safra'!$E8:$Z8,MIN(J$6-$E$3,22))),0))-IF($G$2,0,IF((J$6-$G$3)&lt;1,0,IFERROR(LOOKUP(2,1/('Milho 2ª safra'!$E8:INDEX('Milho 2ª safra'!$E8:$Z8,MIN(J$6-$G$3,22))&lt;&gt;""),'Milho 2ª safra'!$E8:INDEX('Milho 2ª safra'!$E8:$Z8,MIN(J$6-$G$3,22))),0)))))</f>
        <v>0</v>
      </c>
      <c r="K10" s="27" t="n">
        <f aca="false">IF(COUNT('Milho 2ª safra'!$E8:$Z8)=0,0,MAX(0,IF((K$6-$E$3)&lt;1,0,IFERROR(LOOKUP(2,1/('Milho 2ª safra'!$E8:INDEX('Milho 2ª safra'!$E8:$Z8,MIN(K$6-$E$3,22))&lt;&gt;""),'Milho 2ª safra'!$E8:INDEX('Milho 2ª safra'!$E8:$Z8,MIN(K$6-$E$3,22))),0))-IF($G$2,0,IF((K$6-$G$3)&lt;1,0,IFERROR(LOOKUP(2,1/('Milho 2ª safra'!$E8:INDEX('Milho 2ª safra'!$E8:$Z8,MIN(K$6-$G$3,22))&lt;&gt;""),'Milho 2ª safra'!$E8:INDEX('Milho 2ª safra'!$E8:$Z8,MIN(K$6-$G$3,22))),0)))))</f>
        <v>0</v>
      </c>
      <c r="L10" s="27" t="n">
        <f aca="false">IF(COUNT('Milho 2ª safra'!$E8:$Z8)=0,0,MAX(0,IF((L$6-$E$3)&lt;1,0,IFERROR(LOOKUP(2,1/('Milho 2ª safra'!$E8:INDEX('Milho 2ª safra'!$E8:$Z8,MIN(L$6-$E$3,22))&lt;&gt;""),'Milho 2ª safra'!$E8:INDEX('Milho 2ª safra'!$E8:$Z8,MIN(L$6-$E$3,22))),0))-IF($G$2,0,IF((L$6-$G$3)&lt;1,0,IFERROR(LOOKUP(2,1/('Milho 2ª safra'!$E8:INDEX('Milho 2ª safra'!$E8:$Z8,MIN(L$6-$G$3,22))&lt;&gt;""),'Milho 2ª safra'!$E8:INDEX('Milho 2ª safra'!$E8:$Z8,MIN(L$6-$G$3,22))),0)))))</f>
        <v>0</v>
      </c>
      <c r="M10" s="27" t="n">
        <f aca="false">IF(COUNT('Milho 2ª safra'!$E8:$Z8)=0,0,MAX(0,IF((M$6-$E$3)&lt;1,0,IFERROR(LOOKUP(2,1/('Milho 2ª safra'!$E8:INDEX('Milho 2ª safra'!$E8:$Z8,MIN(M$6-$E$3,22))&lt;&gt;""),'Milho 2ª safra'!$E8:INDEX('Milho 2ª safra'!$E8:$Z8,MIN(M$6-$E$3,22))),0))-IF($G$2,0,IF((M$6-$G$3)&lt;1,0,IFERROR(LOOKUP(2,1/('Milho 2ª safra'!$E8:INDEX('Milho 2ª safra'!$E8:$Z8,MIN(M$6-$G$3,22))&lt;&gt;""),'Milho 2ª safra'!$E8:INDEX('Milho 2ª safra'!$E8:$Z8,MIN(M$6-$G$3,22))),0)))))</f>
        <v>0</v>
      </c>
      <c r="N10" s="27" t="n">
        <f aca="false">IF(COUNT('Milho 2ª safra'!$E8:$Z8)=0,0,MAX(0,IF((N$6-$E$3)&lt;1,0,IFERROR(LOOKUP(2,1/('Milho 2ª safra'!$E8:INDEX('Milho 2ª safra'!$E8:$Z8,MIN(N$6-$E$3,22))&lt;&gt;""),'Milho 2ª safra'!$E8:INDEX('Milho 2ª safra'!$E8:$Z8,MIN(N$6-$E$3,22))),0))-IF($G$2,0,IF((N$6-$G$3)&lt;1,0,IFERROR(LOOKUP(2,1/('Milho 2ª safra'!$E8:INDEX('Milho 2ª safra'!$E8:$Z8,MIN(N$6-$G$3,22))&lt;&gt;""),'Milho 2ª safra'!$E8:INDEX('Milho 2ª safra'!$E8:$Z8,MIN(N$6-$G$3,22))),0)))))</f>
        <v>0</v>
      </c>
      <c r="O10" s="27" t="n">
        <f aca="false">IF(COUNT('Milho 2ª safra'!$E8:$Z8)=0,0,MAX(0,IF((O$6-$E$3)&lt;1,0,IFERROR(LOOKUP(2,1/('Milho 2ª safra'!$E8:INDEX('Milho 2ª safra'!$E8:$Z8,MIN(O$6-$E$3,22))&lt;&gt;""),'Milho 2ª safra'!$E8:INDEX('Milho 2ª safra'!$E8:$Z8,MIN(O$6-$E$3,22))),0))-IF($G$2,0,IF((O$6-$G$3)&lt;1,0,IFERROR(LOOKUP(2,1/('Milho 2ª safra'!$E8:INDEX('Milho 2ª safra'!$E8:$Z8,MIN(O$6-$G$3,22))&lt;&gt;""),'Milho 2ª safra'!$E8:INDEX('Milho 2ª safra'!$E8:$Z8,MIN(O$6-$G$3,22))),0)))))</f>
        <v>0</v>
      </c>
      <c r="P10" s="27" t="n">
        <f aca="false">IF(COUNT('Milho 2ª safra'!$E8:$Z8)=0,0,MAX(0,IF((P$6-$E$3)&lt;1,0,IFERROR(LOOKUP(2,1/('Milho 2ª safra'!$E8:INDEX('Milho 2ª safra'!$E8:$Z8,MIN(P$6-$E$3,22))&lt;&gt;""),'Milho 2ª safra'!$E8:INDEX('Milho 2ª safra'!$E8:$Z8,MIN(P$6-$E$3,22))),0))-IF($G$2,0,IF((P$6-$G$3)&lt;1,0,IFERROR(LOOKUP(2,1/('Milho 2ª safra'!$E8:INDEX('Milho 2ª safra'!$E8:$Z8,MIN(P$6-$G$3,22))&lt;&gt;""),'Milho 2ª safra'!$E8:INDEX('Milho 2ª safra'!$E8:$Z8,MIN(P$6-$G$3,22))),0)))))</f>
        <v>0</v>
      </c>
      <c r="Q10" s="27" t="n">
        <f aca="false">IF(COUNT('Milho 2ª safra'!$E8:$Z8)=0,0,MAX(0,IF((Q$6-$E$3)&lt;1,0,IFERROR(LOOKUP(2,1/('Milho 2ª safra'!$E8:INDEX('Milho 2ª safra'!$E8:$Z8,MIN(Q$6-$E$3,22))&lt;&gt;""),'Milho 2ª safra'!$E8:INDEX('Milho 2ª safra'!$E8:$Z8,MIN(Q$6-$E$3,22))),0))-IF($G$2,0,IF((Q$6-$G$3)&lt;1,0,IFERROR(LOOKUP(2,1/('Milho 2ª safra'!$E8:INDEX('Milho 2ª safra'!$E8:$Z8,MIN(Q$6-$G$3,22))&lt;&gt;""),'Milho 2ª safra'!$E8:INDEX('Milho 2ª safra'!$E8:$Z8,MIN(Q$6-$G$3,22))),0)))))</f>
        <v>0</v>
      </c>
      <c r="R10" s="27" t="n">
        <f aca="false">IF(COUNT('Milho 2ª safra'!$E8:$Z8)=0,0,MAX(0,IF((R$6-$E$3)&lt;1,0,IFERROR(LOOKUP(2,1/('Milho 2ª safra'!$E8:INDEX('Milho 2ª safra'!$E8:$Z8,MIN(R$6-$E$3,22))&lt;&gt;""),'Milho 2ª safra'!$E8:INDEX('Milho 2ª safra'!$E8:$Z8,MIN(R$6-$E$3,22))),0))-IF($G$2,0,IF((R$6-$G$3)&lt;1,0,IFERROR(LOOKUP(2,1/('Milho 2ª safra'!$E8:INDEX('Milho 2ª safra'!$E8:$Z8,MIN(R$6-$G$3,22))&lt;&gt;""),'Milho 2ª safra'!$E8:INDEX('Milho 2ª safra'!$E8:$Z8,MIN(R$6-$G$3,22))),0)))))</f>
        <v>0</v>
      </c>
      <c r="S10" s="27" t="n">
        <f aca="false">IF(COUNT('Milho 2ª safra'!$E8:$Z8)=0,0,MAX(0,IF((S$6-$E$3)&lt;1,0,IFERROR(LOOKUP(2,1/('Milho 2ª safra'!$E8:INDEX('Milho 2ª safra'!$E8:$Z8,MIN(S$6-$E$3,22))&lt;&gt;""),'Milho 2ª safra'!$E8:INDEX('Milho 2ª safra'!$E8:$Z8,MIN(S$6-$E$3,22))),0))-IF($G$2,0,IF((S$6-$G$3)&lt;1,0,IFERROR(LOOKUP(2,1/('Milho 2ª safra'!$E8:INDEX('Milho 2ª safra'!$E8:$Z8,MIN(S$6-$G$3,22))&lt;&gt;""),'Milho 2ª safra'!$E8:INDEX('Milho 2ª safra'!$E8:$Z8,MIN(S$6-$G$3,22))),0)))))</f>
        <v>0</v>
      </c>
      <c r="T10" s="27" t="n">
        <f aca="false">IF(COUNT('Milho 2ª safra'!$E8:$Z8)=0,0,MAX(0,IF((T$6-$E$3)&lt;1,0,IFERROR(LOOKUP(2,1/('Milho 2ª safra'!$E8:INDEX('Milho 2ª safra'!$E8:$Z8,MIN(T$6-$E$3,22))&lt;&gt;""),'Milho 2ª safra'!$E8:INDEX('Milho 2ª safra'!$E8:$Z8,MIN(T$6-$E$3,22))),0))-IF($G$2,0,IF((T$6-$G$3)&lt;1,0,IFERROR(LOOKUP(2,1/('Milho 2ª safra'!$E8:INDEX('Milho 2ª safra'!$E8:$Z8,MIN(T$6-$G$3,22))&lt;&gt;""),'Milho 2ª safra'!$E8:INDEX('Milho 2ª safra'!$E8:$Z8,MIN(T$6-$G$3,22))),0)))))</f>
        <v>0</v>
      </c>
      <c r="U10" s="27" t="n">
        <f aca="false">IF(COUNT('Milho 2ª safra'!$E8:$Z8)=0,0,MAX(0,IF((U$6-$E$3)&lt;1,0,IFERROR(LOOKUP(2,1/('Milho 2ª safra'!$E8:INDEX('Milho 2ª safra'!$E8:$Z8,MIN(U$6-$E$3,22))&lt;&gt;""),'Milho 2ª safra'!$E8:INDEX('Milho 2ª safra'!$E8:$Z8,MIN(U$6-$E$3,22))),0))-IF($G$2,0,IF((U$6-$G$3)&lt;1,0,IFERROR(LOOKUP(2,1/('Milho 2ª safra'!$E8:INDEX('Milho 2ª safra'!$E8:$Z8,MIN(U$6-$G$3,22))&lt;&gt;""),'Milho 2ª safra'!$E8:INDEX('Milho 2ª safra'!$E8:$Z8,MIN(U$6-$G$3,22))),0)))))</f>
        <v>0</v>
      </c>
      <c r="V10" s="27" t="n">
        <f aca="false">IF(COUNT('Milho 2ª safra'!$E8:$Z8)=0,0,MAX(0,IF((V$6-$E$3)&lt;1,0,IFERROR(LOOKUP(2,1/('Milho 2ª safra'!$E8:INDEX('Milho 2ª safra'!$E8:$Z8,MIN(V$6-$E$3,22))&lt;&gt;""),'Milho 2ª safra'!$E8:INDEX('Milho 2ª safra'!$E8:$Z8,MIN(V$6-$E$3,22))),0))-IF($G$2,0,IF((V$6-$G$3)&lt;1,0,IFERROR(LOOKUP(2,1/('Milho 2ª safra'!$E8:INDEX('Milho 2ª safra'!$E8:$Z8,MIN(V$6-$G$3,22))&lt;&gt;""),'Milho 2ª safra'!$E8:INDEX('Milho 2ª safra'!$E8:$Z8,MIN(V$6-$G$3,22))),0)))))</f>
        <v>0</v>
      </c>
      <c r="W10" s="27" t="n">
        <f aca="false">IF(COUNT('Milho 2ª safra'!$E8:$Z8)=0,0,MAX(0,IF((W$6-$E$3)&lt;1,0,IFERROR(LOOKUP(2,1/('Milho 2ª safra'!$E8:INDEX('Milho 2ª safra'!$E8:$Z8,MIN(W$6-$E$3,22))&lt;&gt;""),'Milho 2ª safra'!$E8:INDEX('Milho 2ª safra'!$E8:$Z8,MIN(W$6-$E$3,22))),0))-IF($G$2,0,IF((W$6-$G$3)&lt;1,0,IFERROR(LOOKUP(2,1/('Milho 2ª safra'!$E8:INDEX('Milho 2ª safra'!$E8:$Z8,MIN(W$6-$G$3,22))&lt;&gt;""),'Milho 2ª safra'!$E8:INDEX('Milho 2ª safra'!$E8:$Z8,MIN(W$6-$G$3,22))),0)))))</f>
        <v>0</v>
      </c>
      <c r="X10" s="27" t="n">
        <f aca="false">IF(COUNT('Milho 2ª safra'!$E8:$Z8)=0,0,MAX(0,IF((X$6-$E$3)&lt;1,0,IFERROR(LOOKUP(2,1/('Milho 2ª safra'!$E8:INDEX('Milho 2ª safra'!$E8:$Z8,MIN(X$6-$E$3,22))&lt;&gt;""),'Milho 2ª safra'!$E8:INDEX('Milho 2ª safra'!$E8:$Z8,MIN(X$6-$E$3,22))),0))-IF($G$2,0,IF((X$6-$G$3)&lt;1,0,IFERROR(LOOKUP(2,1/('Milho 2ª safra'!$E8:INDEX('Milho 2ª safra'!$E8:$Z8,MIN(X$6-$G$3,22))&lt;&gt;""),'Milho 2ª safra'!$E8:INDEX('Milho 2ª safra'!$E8:$Z8,MIN(X$6-$G$3,22))),0)))))</f>
        <v>0</v>
      </c>
      <c r="Y10" s="27" t="n">
        <f aca="false">IF(COUNT('Milho 2ª safra'!$E8:$Z8)=0,0,MAX(0,IF((Y$6-$E$3)&lt;1,0,IFERROR(LOOKUP(2,1/('Milho 2ª safra'!$E8:INDEX('Milho 2ª safra'!$E8:$Z8,MIN(Y$6-$E$3,22))&lt;&gt;""),'Milho 2ª safra'!$E8:INDEX('Milho 2ª safra'!$E8:$Z8,MIN(Y$6-$E$3,22))),0))-IF($G$2,0,IF((Y$6-$G$3)&lt;1,0,IFERROR(LOOKUP(2,1/('Milho 2ª safra'!$E8:INDEX('Milho 2ª safra'!$E8:$Z8,MIN(Y$6-$G$3,22))&lt;&gt;""),'Milho 2ª safra'!$E8:INDEX('Milho 2ª safra'!$E8:$Z8,MIN(Y$6-$G$3,22))),0)))))</f>
        <v>0</v>
      </c>
      <c r="Z10" s="27" t="n">
        <f aca="false">IF(COUNT('Milho 2ª safra'!$E8:$Z8)=0,0,MAX(0,IF((Z$6-$E$3)&lt;1,0,IFERROR(LOOKUP(2,1/('Milho 2ª safra'!$E8:INDEX('Milho 2ª safra'!$E8:$Z8,MIN(Z$6-$E$3,22))&lt;&gt;""),'Milho 2ª safra'!$E8:INDEX('Milho 2ª safra'!$E8:$Z8,MIN(Z$6-$E$3,22))),0))-IF($G$2,0,IF((Z$6-$G$3)&lt;1,0,IFERROR(LOOKUP(2,1/('Milho 2ª safra'!$E8:INDEX('Milho 2ª safra'!$E8:$Z8,MIN(Z$6-$G$3,22))&lt;&gt;""),'Milho 2ª safra'!$E8:INDEX('Milho 2ª safra'!$E8:$Z8,MIN(Z$6-$G$3,22))),0)))))</f>
        <v>0</v>
      </c>
      <c r="AA10" s="27" t="n">
        <f aca="false">IF(COUNT('Milho 2ª safra'!$E8:$Z8)=0,0,MAX(0,IF((AA$6-$E$3)&lt;1,0,IFERROR(LOOKUP(2,1/('Milho 2ª safra'!$E8:INDEX('Milho 2ª safra'!$E8:$Z8,MIN(AA$6-$E$3,22))&lt;&gt;""),'Milho 2ª safra'!$E8:INDEX('Milho 2ª safra'!$E8:$Z8,MIN(AA$6-$E$3,22))),0))-IF($G$2,0,IF((AA$6-$G$3)&lt;1,0,IFERROR(LOOKUP(2,1/('Milho 2ª safra'!$E8:INDEX('Milho 2ª safra'!$E8:$Z8,MIN(AA$6-$G$3,22))&lt;&gt;""),'Milho 2ª safra'!$E8:INDEX('Milho 2ª safra'!$E8:$Z8,MIN(AA$6-$G$3,22))),0)))))</f>
        <v>0</v>
      </c>
      <c r="AB10" s="27" t="n">
        <f aca="false">IF(COUNT('Milho 2ª safra'!$E8:$Z8)=0,0,MAX(0,IF((AB$6-$E$3)&lt;1,0,IFERROR(LOOKUP(2,1/('Milho 2ª safra'!$E8:INDEX('Milho 2ª safra'!$E8:$Z8,MIN(AB$6-$E$3,22))&lt;&gt;""),'Milho 2ª safra'!$E8:INDEX('Milho 2ª safra'!$E8:$Z8,MIN(AB$6-$E$3,22))),0))-IF($G$2,0,IF((AB$6-$G$3)&lt;1,0,IFERROR(LOOKUP(2,1/('Milho 2ª safra'!$E8:INDEX('Milho 2ª safra'!$E8:$Z8,MIN(AB$6-$G$3,22))&lt;&gt;""),'Milho 2ª safra'!$E8:INDEX('Milho 2ª safra'!$E8:$Z8,MIN(AB$6-$G$3,22))),0)))))</f>
        <v>0</v>
      </c>
      <c r="AC10" s="27" t="n">
        <f aca="false">IF(COUNT('Milho 2ª safra'!$E8:$Z8)=0,0,MAX(0,IF((AC$6-$E$3)&lt;1,0,IFERROR(LOOKUP(2,1/('Milho 2ª safra'!$E8:INDEX('Milho 2ª safra'!$E8:$Z8,MIN(AC$6-$E$3,22))&lt;&gt;""),'Milho 2ª safra'!$E8:INDEX('Milho 2ª safra'!$E8:$Z8,MIN(AC$6-$E$3,22))),0))-IF($G$2,0,IF((AC$6-$G$3)&lt;1,0,IFERROR(LOOKUP(2,1/('Milho 2ª safra'!$E8:INDEX('Milho 2ª safra'!$E8:$Z8,MIN(AC$6-$G$3,22))&lt;&gt;""),'Milho 2ª safra'!$E8:INDEX('Milho 2ª safra'!$E8:$Z8,MIN(AC$6-$G$3,22))),0)))))</f>
        <v>0</v>
      </c>
      <c r="AD10" s="27" t="n">
        <f aca="false">IF(COUNT('Milho 2ª safra'!$E8:$Z8)=0,0,MAX(0,IF((AD$6-$E$3)&lt;1,0,IFERROR(LOOKUP(2,1/('Milho 2ª safra'!$E8:INDEX('Milho 2ª safra'!$E8:$Z8,MIN(AD$6-$E$3,22))&lt;&gt;""),'Milho 2ª safra'!$E8:INDEX('Milho 2ª safra'!$E8:$Z8,MIN(AD$6-$E$3,22))),0))-IF($G$2,0,IF((AD$6-$G$3)&lt;1,0,IFERROR(LOOKUP(2,1/('Milho 2ª safra'!$E8:INDEX('Milho 2ª safra'!$E8:$Z8,MIN(AD$6-$G$3,22))&lt;&gt;""),'Milho 2ª safra'!$E8:INDEX('Milho 2ª safra'!$E8:$Z8,MIN(AD$6-$G$3,22))),0)))))</f>
        <v>0</v>
      </c>
      <c r="AE10" s="27" t="n">
        <f aca="false">IF(COUNT('Milho 2ª safra'!$E8:$Z8)=0,0,MAX(0,IF((AE$6-$E$3)&lt;1,0,IFERROR(LOOKUP(2,1/('Milho 2ª safra'!$E8:INDEX('Milho 2ª safra'!$E8:$Z8,MIN(AE$6-$E$3,22))&lt;&gt;""),'Milho 2ª safra'!$E8:INDEX('Milho 2ª safra'!$E8:$Z8,MIN(AE$6-$E$3,22))),0))-IF($G$2,0,IF((AE$6-$G$3)&lt;1,0,IFERROR(LOOKUP(2,1/('Milho 2ª safra'!$E8:INDEX('Milho 2ª safra'!$E8:$Z8,MIN(AE$6-$G$3,22))&lt;&gt;""),'Milho 2ª safra'!$E8:INDEX('Milho 2ª safra'!$E8:$Z8,MIN(AE$6-$G$3,22))),0)))))</f>
        <v>0</v>
      </c>
      <c r="AF10" s="27" t="n">
        <f aca="false">IF(COUNT('Milho 2ª safra'!$E8:$Z8)=0,0,MAX(0,IF((AF$6-$E$3)&lt;1,0,IFERROR(LOOKUP(2,1/('Milho 2ª safra'!$E8:INDEX('Milho 2ª safra'!$E8:$Z8,MIN(AF$6-$E$3,22))&lt;&gt;""),'Milho 2ª safra'!$E8:INDEX('Milho 2ª safra'!$E8:$Z8,MIN(AF$6-$E$3,22))),0))-IF($G$2,0,IF((AF$6-$G$3)&lt;1,0,IFERROR(LOOKUP(2,1/('Milho 2ª safra'!$E8:INDEX('Milho 2ª safra'!$E8:$Z8,MIN(AF$6-$G$3,22))&lt;&gt;""),'Milho 2ª safra'!$E8:INDEX('Milho 2ª safra'!$E8:$Z8,MIN(AF$6-$G$3,22))),0)))))</f>
        <v>0</v>
      </c>
      <c r="AG10" s="27" t="n">
        <f aca="false">IF(COUNT('Milho 2ª safra'!$E8:$Z8)=0,0,MAX(0,IF((AG$6-$E$3)&lt;1,0,IFERROR(LOOKUP(2,1/('Milho 2ª safra'!$E8:INDEX('Milho 2ª safra'!$E8:$Z8,MIN(AG$6-$E$3,22))&lt;&gt;""),'Milho 2ª safra'!$E8:INDEX('Milho 2ª safra'!$E8:$Z8,MIN(AG$6-$E$3,22))),0))-IF($G$2,0,IF((AG$6-$G$3)&lt;1,0,IFERROR(LOOKUP(2,1/('Milho 2ª safra'!$E8:INDEX('Milho 2ª safra'!$E8:$Z8,MIN(AG$6-$G$3,22))&lt;&gt;""),'Milho 2ª safra'!$E8:INDEX('Milho 2ª safra'!$E8:$Z8,MIN(AG$6-$G$3,22))),0)))))</f>
        <v>0</v>
      </c>
      <c r="AH10" s="27" t="n">
        <f aca="false">IF(COUNT('Milho 2ª safra'!$E8:$Z8)=0,0,MAX(0,IF((AH$6-$E$3)&lt;1,0,IFERROR(LOOKUP(2,1/('Milho 2ª safra'!$E8:INDEX('Milho 2ª safra'!$E8:$Z8,MIN(AH$6-$E$3,22))&lt;&gt;""),'Milho 2ª safra'!$E8:INDEX('Milho 2ª safra'!$E8:$Z8,MIN(AH$6-$E$3,22))),0))-IF($G$2,0,IF((AH$6-$G$3)&lt;1,0,IFERROR(LOOKUP(2,1/('Milho 2ª safra'!$E8:INDEX('Milho 2ª safra'!$E8:$Z8,MIN(AH$6-$G$3,22))&lt;&gt;""),'Milho 2ª safra'!$E8:INDEX('Milho 2ª safra'!$E8:$Z8,MIN(AH$6-$G$3,22))),0)))))</f>
        <v>0</v>
      </c>
      <c r="AI10" s="27" t="n">
        <f aca="false">IF(COUNT('Milho 2ª safra'!$E8:$Z8)=0,0,MAX(0,IF((AI$6-$E$3)&lt;1,0,IFERROR(LOOKUP(2,1/('Milho 2ª safra'!$E8:INDEX('Milho 2ª safra'!$E8:$Z8,MIN(AI$6-$E$3,22))&lt;&gt;""),'Milho 2ª safra'!$E8:INDEX('Milho 2ª safra'!$E8:$Z8,MIN(AI$6-$E$3,22))),0))-IF($G$2,0,IF((AI$6-$G$3)&lt;1,0,IFERROR(LOOKUP(2,1/('Milho 2ª safra'!$E8:INDEX('Milho 2ª safra'!$E8:$Z8,MIN(AI$6-$G$3,22))&lt;&gt;""),'Milho 2ª safra'!$E8:INDEX('Milho 2ª safra'!$E8:$Z8,MIN(AI$6-$G$3,22))),0)))))</f>
        <v>0</v>
      </c>
      <c r="AJ10" s="27" t="n">
        <f aca="false">IF(COUNT('Milho 2ª safra'!$E8:$Z8)=0,0,MAX(0,IF((AJ$6-$E$3)&lt;1,0,IFERROR(LOOKUP(2,1/('Milho 2ª safra'!$E8:INDEX('Milho 2ª safra'!$E8:$Z8,MIN(AJ$6-$E$3,22))&lt;&gt;""),'Milho 2ª safra'!$E8:INDEX('Milho 2ª safra'!$E8:$Z8,MIN(AJ$6-$E$3,22))),0))-IF($G$2,0,IF((AJ$6-$G$3)&lt;1,0,IFERROR(LOOKUP(2,1/('Milho 2ª safra'!$E8:INDEX('Milho 2ª safra'!$E8:$Z8,MIN(AJ$6-$G$3,22))&lt;&gt;""),'Milho 2ª safra'!$E8:INDEX('Milho 2ª safra'!$E8:$Z8,MIN(AJ$6-$G$3,22))),0)))))</f>
        <v>0</v>
      </c>
      <c r="AK10" s="27" t="n">
        <f aca="false">IF(COUNT('Milho 2ª safra'!$E8:$Z8)=0,0,MAX(0,IF((AK$6-$E$3)&lt;1,0,IFERROR(LOOKUP(2,1/('Milho 2ª safra'!$E8:INDEX('Milho 2ª safra'!$E8:$Z8,MIN(AK$6-$E$3,22))&lt;&gt;""),'Milho 2ª safra'!$E8:INDEX('Milho 2ª safra'!$E8:$Z8,MIN(AK$6-$E$3,22))),0))-IF($G$2,0,IF((AK$6-$G$3)&lt;1,0,IFERROR(LOOKUP(2,1/('Milho 2ª safra'!$E8:INDEX('Milho 2ª safra'!$E8:$Z8,MIN(AK$6-$G$3,22))&lt;&gt;""),'Milho 2ª safra'!$E8:INDEX('Milho 2ª safra'!$E8:$Z8,MIN(AK$6-$G$3,22))),0)))))</f>
        <v>0</v>
      </c>
      <c r="AL10" s="27" t="n">
        <f aca="false">IF(COUNT('Milho 2ª safra'!$E8:$Z8)=0,0,MAX(0,IF((AL$6-$E$3)&lt;1,0,IFERROR(LOOKUP(2,1/('Milho 2ª safra'!$E8:INDEX('Milho 2ª safra'!$E8:$Z8,MIN(AL$6-$E$3,22))&lt;&gt;""),'Milho 2ª safra'!$E8:INDEX('Milho 2ª safra'!$E8:$Z8,MIN(AL$6-$E$3,22))),0))-IF($G$2,0,IF((AL$6-$G$3)&lt;1,0,IFERROR(LOOKUP(2,1/('Milho 2ª safra'!$E8:INDEX('Milho 2ª safra'!$E8:$Z8,MIN(AL$6-$G$3,22))&lt;&gt;""),'Milho 2ª safra'!$E8:INDEX('Milho 2ª safra'!$E8:$Z8,MIN(AL$6-$G$3,22))),0)))))</f>
        <v>0</v>
      </c>
      <c r="AM10" s="27" t="n">
        <f aca="false">IF(COUNT('Milho 2ª safra'!$E8:$Z8)=0,0,MAX(0,IF((AM$6-$E$3)&lt;1,0,IFERROR(LOOKUP(2,1/('Milho 2ª safra'!$E8:INDEX('Milho 2ª safra'!$E8:$Z8,MIN(AM$6-$E$3,22))&lt;&gt;""),'Milho 2ª safra'!$E8:INDEX('Milho 2ª safra'!$E8:$Z8,MIN(AM$6-$E$3,22))),0))-IF($G$2,0,IF((AM$6-$G$3)&lt;1,0,IFERROR(LOOKUP(2,1/('Milho 2ª safra'!$E8:INDEX('Milho 2ª safra'!$E8:$Z8,MIN(AM$6-$G$3,22))&lt;&gt;""),'Milho 2ª safra'!$E8:INDEX('Milho 2ª safra'!$E8:$Z8,MIN(AM$6-$G$3,22))),0)))))</f>
        <v>0</v>
      </c>
      <c r="AN10" s="27" t="n">
        <f aca="false">IF(COUNT('Milho 2ª safra'!$E8:$Z8)=0,0,MAX(0,IF((AN$6-$E$3)&lt;1,0,IFERROR(LOOKUP(2,1/('Milho 2ª safra'!$E8:INDEX('Milho 2ª safra'!$E8:$Z8,MIN(AN$6-$E$3,22))&lt;&gt;""),'Milho 2ª safra'!$E8:INDEX('Milho 2ª safra'!$E8:$Z8,MIN(AN$6-$E$3,22))),0))-IF($G$2,0,IF((AN$6-$G$3)&lt;1,0,IFERROR(LOOKUP(2,1/('Milho 2ª safra'!$E8:INDEX('Milho 2ª safra'!$E8:$Z8,MIN(AN$6-$G$3,22))&lt;&gt;""),'Milho 2ª safra'!$E8:INDEX('Milho 2ª safra'!$E8:$Z8,MIN(AN$6-$G$3,22))),0)))))</f>
        <v>0</v>
      </c>
      <c r="AO10" s="27" t="n">
        <f aca="false">IF(COUNT('Milho 2ª safra'!$E8:$Z8)=0,0,MAX(0,IF((AO$6-$E$3)&lt;1,0,IFERROR(LOOKUP(2,1/('Milho 2ª safra'!$E8:INDEX('Milho 2ª safra'!$E8:$Z8,MIN(AO$6-$E$3,22))&lt;&gt;""),'Milho 2ª safra'!$E8:INDEX('Milho 2ª safra'!$E8:$Z8,MIN(AO$6-$E$3,22))),0))-IF($G$2,0,IF((AO$6-$G$3)&lt;1,0,IFERROR(LOOKUP(2,1/('Milho 2ª safra'!$E8:INDEX('Milho 2ª safra'!$E8:$Z8,MIN(AO$6-$G$3,22))&lt;&gt;""),'Milho 2ª safra'!$E8:INDEX('Milho 2ª safra'!$E8:$Z8,MIN(AO$6-$G$3,22))),0)))))</f>
        <v>0</v>
      </c>
      <c r="AP10" s="27" t="n">
        <f aca="false">IF(COUNT('Milho 2ª safra'!$E8:$Z8)=0,0,MAX(0,IF((AP$6-$E$3)&lt;1,0,IFERROR(LOOKUP(2,1/('Milho 2ª safra'!$E8:INDEX('Milho 2ª safra'!$E8:$Z8,MIN(AP$6-$E$3,22))&lt;&gt;""),'Milho 2ª safra'!$E8:INDEX('Milho 2ª safra'!$E8:$Z8,MIN(AP$6-$E$3,22))),0))-IF($G$2,0,IF((AP$6-$G$3)&lt;1,0,IFERROR(LOOKUP(2,1/('Milho 2ª safra'!$E8:INDEX('Milho 2ª safra'!$E8:$Z8,MIN(AP$6-$G$3,22))&lt;&gt;""),'Milho 2ª safra'!$E8:INDEX('Milho 2ª safra'!$E8:$Z8,MIN(AP$6-$G$3,22))),0)))))</f>
        <v>0</v>
      </c>
      <c r="AQ10" s="27" t="n">
        <f aca="false">IF(COUNT('Milho 2ª safra'!$E8:$Z8)=0,0,MAX(0,IF((AQ$6-$E$3)&lt;1,0,IFERROR(LOOKUP(2,1/('Milho 2ª safra'!$E8:INDEX('Milho 2ª safra'!$E8:$Z8,MIN(AQ$6-$E$3,22))&lt;&gt;""),'Milho 2ª safra'!$E8:INDEX('Milho 2ª safra'!$E8:$Z8,MIN(AQ$6-$E$3,22))),0))-IF($G$2,0,IF((AQ$6-$G$3)&lt;1,0,IFERROR(LOOKUP(2,1/('Milho 2ª safra'!$E8:INDEX('Milho 2ª safra'!$E8:$Z8,MIN(AQ$6-$G$3,22))&lt;&gt;""),'Milho 2ª safra'!$E8:INDEX('Milho 2ª safra'!$E8:$Z8,MIN(AQ$6-$G$3,22))),0)))))</f>
        <v>0</v>
      </c>
      <c r="AR10" s="27" t="n">
        <f aca="false">IF(COUNT('Milho 2ª safra'!$E8:$Z8)=0,0,MAX(0,IF((AR$6-$E$3)&lt;1,0,IFERROR(LOOKUP(2,1/('Milho 2ª safra'!$E8:INDEX('Milho 2ª safra'!$E8:$Z8,MIN(AR$6-$E$3,22))&lt;&gt;""),'Milho 2ª safra'!$E8:INDEX('Milho 2ª safra'!$E8:$Z8,MIN(AR$6-$E$3,22))),0))-IF($G$2,0,IF((AR$6-$G$3)&lt;1,0,IFERROR(LOOKUP(2,1/('Milho 2ª safra'!$E8:INDEX('Milho 2ª safra'!$E8:$Z8,MIN(AR$6-$G$3,22))&lt;&gt;""),'Milho 2ª safra'!$E8:INDEX('Milho 2ª safra'!$E8:$Z8,MIN(AR$6-$G$3,22))),0)))))</f>
        <v>0</v>
      </c>
      <c r="AS10" s="27" t="n">
        <f aca="false">IF(COUNT('Milho 2ª safra'!$E8:$Z8)=0,0,MAX(0,IF((AS$6-$E$3)&lt;1,0,IFERROR(LOOKUP(2,1/('Milho 2ª safra'!$E8:INDEX('Milho 2ª safra'!$E8:$Z8,MIN(AS$6-$E$3,22))&lt;&gt;""),'Milho 2ª safra'!$E8:INDEX('Milho 2ª safra'!$E8:$Z8,MIN(AS$6-$E$3,22))),0))-IF($G$2,0,IF((AS$6-$G$3)&lt;1,0,IFERROR(LOOKUP(2,1/('Milho 2ª safra'!$E8:INDEX('Milho 2ª safra'!$E8:$Z8,MIN(AS$6-$G$3,22))&lt;&gt;""),'Milho 2ª safra'!$E8:INDEX('Milho 2ª safra'!$E8:$Z8,MIN(AS$6-$G$3,22))),0)))))</f>
        <v>0</v>
      </c>
      <c r="AT10" s="27" t="n">
        <f aca="false">IF(COUNT('Milho 2ª safra'!$E8:$Z8)=0,0,MAX(0,IF((AT$6-$E$3)&lt;1,0,IFERROR(LOOKUP(2,1/('Milho 2ª safra'!$E8:INDEX('Milho 2ª safra'!$E8:$Z8,MIN(AT$6-$E$3,22))&lt;&gt;""),'Milho 2ª safra'!$E8:INDEX('Milho 2ª safra'!$E8:$Z8,MIN(AT$6-$E$3,22))),0))-IF($G$2,0,IF((AT$6-$G$3)&lt;1,0,IFERROR(LOOKUP(2,1/('Milho 2ª safra'!$E8:INDEX('Milho 2ª safra'!$E8:$Z8,MIN(AT$6-$G$3,22))&lt;&gt;""),'Milho 2ª safra'!$E8:INDEX('Milho 2ª safra'!$E8:$Z8,MIN(AT$6-$G$3,22))),0)))))</f>
        <v>0</v>
      </c>
      <c r="AU10" s="27" t="n">
        <f aca="false">IF(COUNT('Milho 2ª safra'!$E8:$Z8)=0,0,MAX(0,IF((AU$6-$E$3)&lt;1,0,IFERROR(LOOKUP(2,1/('Milho 2ª safra'!$E8:INDEX('Milho 2ª safra'!$E8:$Z8,MIN(AU$6-$E$3,22))&lt;&gt;""),'Milho 2ª safra'!$E8:INDEX('Milho 2ª safra'!$E8:$Z8,MIN(AU$6-$E$3,22))),0))-IF($G$2,0,IF((AU$6-$G$3)&lt;1,0,IFERROR(LOOKUP(2,1/('Milho 2ª safra'!$E8:INDEX('Milho 2ª safra'!$E8:$Z8,MIN(AU$6-$G$3,22))&lt;&gt;""),'Milho 2ª safra'!$E8:INDEX('Milho 2ª safra'!$E8:$Z8,MIN(AU$6-$G$3,22))),0)))))</f>
        <v>0</v>
      </c>
      <c r="AV10" s="27" t="n">
        <f aca="false">IF(COUNT('Milho 2ª safra'!$E8:$Z8)=0,0,MAX(0,IF((AV$6-$E$3)&lt;1,0,IFERROR(LOOKUP(2,1/('Milho 2ª safra'!$E8:INDEX('Milho 2ª safra'!$E8:$Z8,MIN(AV$6-$E$3,22))&lt;&gt;""),'Milho 2ª safra'!$E8:INDEX('Milho 2ª safra'!$E8:$Z8,MIN(AV$6-$E$3,22))),0))-IF($G$2,0,IF((AV$6-$G$3)&lt;1,0,IFERROR(LOOKUP(2,1/('Milho 2ª safra'!$E8:INDEX('Milho 2ª safra'!$E8:$Z8,MIN(AV$6-$G$3,22))&lt;&gt;""),'Milho 2ª safra'!$E8:INDEX('Milho 2ª safra'!$E8:$Z8,MIN(AV$6-$G$3,22))),0)))))</f>
        <v>0</v>
      </c>
      <c r="AW10" s="27" t="n">
        <f aca="false">IF(COUNT('Milho 2ª safra'!$E8:$Z8)=0,0,MAX(0,IF((AW$6-$E$3)&lt;1,0,IFERROR(LOOKUP(2,1/('Milho 2ª safra'!$E8:INDEX('Milho 2ª safra'!$E8:$Z8,MIN(AW$6-$E$3,22))&lt;&gt;""),'Milho 2ª safra'!$E8:INDEX('Milho 2ª safra'!$E8:$Z8,MIN(AW$6-$E$3,22))),0))-IF($G$2,0,IF((AW$6-$G$3)&lt;1,0,IFERROR(LOOKUP(2,1/('Milho 2ª safra'!$E8:INDEX('Milho 2ª safra'!$E8:$Z8,MIN(AW$6-$G$3,22))&lt;&gt;""),'Milho 2ª safra'!$E8:INDEX('Milho 2ª safra'!$E8:$Z8,MIN(AW$6-$G$3,22))),0)))))</f>
        <v>0</v>
      </c>
      <c r="AX10" s="27" t="n">
        <f aca="false">IF(COUNT('Milho 2ª safra'!$E8:$Z8)=0,0,MAX(0,IF((AX$6-$E$3)&lt;1,0,IFERROR(LOOKUP(2,1/('Milho 2ª safra'!$E8:INDEX('Milho 2ª safra'!$E8:$Z8,MIN(AX$6-$E$3,22))&lt;&gt;""),'Milho 2ª safra'!$E8:INDEX('Milho 2ª safra'!$E8:$Z8,MIN(AX$6-$E$3,22))),0))-IF($G$2,0,IF((AX$6-$G$3)&lt;1,0,IFERROR(LOOKUP(2,1/('Milho 2ª safra'!$E8:INDEX('Milho 2ª safra'!$E8:$Z8,MIN(AX$6-$G$3,22))&lt;&gt;""),'Milho 2ª safra'!$E8:INDEX('Milho 2ª safra'!$E8:$Z8,MIN(AX$6-$G$3,22))),0)))))</f>
        <v>0</v>
      </c>
      <c r="AY10" s="27" t="n">
        <f aca="false">IF(COUNT('Milho 2ª safra'!$E8:$Z8)=0,0,MAX(0,IF((AY$6-$E$3)&lt;1,0,IFERROR(LOOKUP(2,1/('Milho 2ª safra'!$E8:INDEX('Milho 2ª safra'!$E8:$Z8,MIN(AY$6-$E$3,22))&lt;&gt;""),'Milho 2ª safra'!$E8:INDEX('Milho 2ª safra'!$E8:$Z8,MIN(AY$6-$E$3,22))),0))-IF($G$2,0,IF((AY$6-$G$3)&lt;1,0,IFERROR(LOOKUP(2,1/('Milho 2ª safra'!$E8:INDEX('Milho 2ª safra'!$E8:$Z8,MIN(AY$6-$G$3,22))&lt;&gt;""),'Milho 2ª safra'!$E8:INDEX('Milho 2ª safra'!$E8:$Z8,MIN(AY$6-$G$3,22))),0)))))</f>
        <v>0</v>
      </c>
      <c r="AZ10" s="27" t="n">
        <f aca="false">IF(COUNT('Milho 2ª safra'!$E8:$Z8)=0,0,MAX(0,IF((AZ$6-$E$3)&lt;1,0,IFERROR(LOOKUP(2,1/('Milho 2ª safra'!$E8:INDEX('Milho 2ª safra'!$E8:$Z8,MIN(AZ$6-$E$3,22))&lt;&gt;""),'Milho 2ª safra'!$E8:INDEX('Milho 2ª safra'!$E8:$Z8,MIN(AZ$6-$E$3,22))),0))-IF($G$2,0,IF((AZ$6-$G$3)&lt;1,0,IFERROR(LOOKUP(2,1/('Milho 2ª safra'!$E8:INDEX('Milho 2ª safra'!$E8:$Z8,MIN(AZ$6-$G$3,22))&lt;&gt;""),'Milho 2ª safra'!$E8:INDEX('Milho 2ª safra'!$E8:$Z8,MIN(AZ$6-$G$3,22))),0)))))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IF(COUNT('Milho 2ª safra'!$E9:$Z9)&gt;0,N('Milho 2ª safra'!$D9),0)</f>
        <v>0</v>
      </c>
      <c r="E11" s="27" t="n">
        <f aca="false">IF(COUNT('Milho 2ª safra'!$E9:$Z9)=0,0,MAX(0,IF((E$6-$E$3)&lt;1,0,IFERROR(LOOKUP(2,1/('Milho 2ª safra'!$E9:INDEX('Milho 2ª safra'!$E9:$Z9,MIN(E$6-$E$3,22))&lt;&gt;""),'Milho 2ª safra'!$E9:INDEX('Milho 2ª safra'!$E9:$Z9,MIN(E$6-$E$3,22))),0))-IF($G$2,0,IF((E$6-$G$3)&lt;1,0,IFERROR(LOOKUP(2,1/('Milho 2ª safra'!$E9:INDEX('Milho 2ª safra'!$E9:$Z9,MIN(E$6-$G$3,22))&lt;&gt;""),'Milho 2ª safra'!$E9:INDEX('Milho 2ª safra'!$E9:$Z9,MIN(E$6-$G$3,22))),0)))))</f>
        <v>0</v>
      </c>
      <c r="F11" s="27" t="n">
        <f aca="false">IF(COUNT('Milho 2ª safra'!$E9:$Z9)=0,0,MAX(0,IF((F$6-$E$3)&lt;1,0,IFERROR(LOOKUP(2,1/('Milho 2ª safra'!$E9:INDEX('Milho 2ª safra'!$E9:$Z9,MIN(F$6-$E$3,22))&lt;&gt;""),'Milho 2ª safra'!$E9:INDEX('Milho 2ª safra'!$E9:$Z9,MIN(F$6-$E$3,22))),0))-IF($G$2,0,IF((F$6-$G$3)&lt;1,0,IFERROR(LOOKUP(2,1/('Milho 2ª safra'!$E9:INDEX('Milho 2ª safra'!$E9:$Z9,MIN(F$6-$G$3,22))&lt;&gt;""),'Milho 2ª safra'!$E9:INDEX('Milho 2ª safra'!$E9:$Z9,MIN(F$6-$G$3,22))),0)))))</f>
        <v>0</v>
      </c>
      <c r="G11" s="27" t="n">
        <f aca="false">IF(COUNT('Milho 2ª safra'!$E9:$Z9)=0,0,MAX(0,IF((G$6-$E$3)&lt;1,0,IFERROR(LOOKUP(2,1/('Milho 2ª safra'!$E9:INDEX('Milho 2ª safra'!$E9:$Z9,MIN(G$6-$E$3,22))&lt;&gt;""),'Milho 2ª safra'!$E9:INDEX('Milho 2ª safra'!$E9:$Z9,MIN(G$6-$E$3,22))),0))-IF($G$2,0,IF((G$6-$G$3)&lt;1,0,IFERROR(LOOKUP(2,1/('Milho 2ª safra'!$E9:INDEX('Milho 2ª safra'!$E9:$Z9,MIN(G$6-$G$3,22))&lt;&gt;""),'Milho 2ª safra'!$E9:INDEX('Milho 2ª safra'!$E9:$Z9,MIN(G$6-$G$3,22))),0)))))</f>
        <v>0</v>
      </c>
      <c r="H11" s="27" t="n">
        <f aca="false">IF(COUNT('Milho 2ª safra'!$E9:$Z9)=0,0,MAX(0,IF((H$6-$E$3)&lt;1,0,IFERROR(LOOKUP(2,1/('Milho 2ª safra'!$E9:INDEX('Milho 2ª safra'!$E9:$Z9,MIN(H$6-$E$3,22))&lt;&gt;""),'Milho 2ª safra'!$E9:INDEX('Milho 2ª safra'!$E9:$Z9,MIN(H$6-$E$3,22))),0))-IF($G$2,0,IF((H$6-$G$3)&lt;1,0,IFERROR(LOOKUP(2,1/('Milho 2ª safra'!$E9:INDEX('Milho 2ª safra'!$E9:$Z9,MIN(H$6-$G$3,22))&lt;&gt;""),'Milho 2ª safra'!$E9:INDEX('Milho 2ª safra'!$E9:$Z9,MIN(H$6-$G$3,22))),0)))))</f>
        <v>0</v>
      </c>
      <c r="I11" s="27" t="n">
        <f aca="false">IF(COUNT('Milho 2ª safra'!$E9:$Z9)=0,0,MAX(0,IF((I$6-$E$3)&lt;1,0,IFERROR(LOOKUP(2,1/('Milho 2ª safra'!$E9:INDEX('Milho 2ª safra'!$E9:$Z9,MIN(I$6-$E$3,22))&lt;&gt;""),'Milho 2ª safra'!$E9:INDEX('Milho 2ª safra'!$E9:$Z9,MIN(I$6-$E$3,22))),0))-IF($G$2,0,IF((I$6-$G$3)&lt;1,0,IFERROR(LOOKUP(2,1/('Milho 2ª safra'!$E9:INDEX('Milho 2ª safra'!$E9:$Z9,MIN(I$6-$G$3,22))&lt;&gt;""),'Milho 2ª safra'!$E9:INDEX('Milho 2ª safra'!$E9:$Z9,MIN(I$6-$G$3,22))),0)))))</f>
        <v>0</v>
      </c>
      <c r="J11" s="27" t="n">
        <f aca="false">IF(COUNT('Milho 2ª safra'!$E9:$Z9)=0,0,MAX(0,IF((J$6-$E$3)&lt;1,0,IFERROR(LOOKUP(2,1/('Milho 2ª safra'!$E9:INDEX('Milho 2ª safra'!$E9:$Z9,MIN(J$6-$E$3,22))&lt;&gt;""),'Milho 2ª safra'!$E9:INDEX('Milho 2ª safra'!$E9:$Z9,MIN(J$6-$E$3,22))),0))-IF($G$2,0,IF((J$6-$G$3)&lt;1,0,IFERROR(LOOKUP(2,1/('Milho 2ª safra'!$E9:INDEX('Milho 2ª safra'!$E9:$Z9,MIN(J$6-$G$3,22))&lt;&gt;""),'Milho 2ª safra'!$E9:INDEX('Milho 2ª safra'!$E9:$Z9,MIN(J$6-$G$3,22))),0)))))</f>
        <v>0</v>
      </c>
      <c r="K11" s="27" t="n">
        <f aca="false">IF(COUNT('Milho 2ª safra'!$E9:$Z9)=0,0,MAX(0,IF((K$6-$E$3)&lt;1,0,IFERROR(LOOKUP(2,1/('Milho 2ª safra'!$E9:INDEX('Milho 2ª safra'!$E9:$Z9,MIN(K$6-$E$3,22))&lt;&gt;""),'Milho 2ª safra'!$E9:INDEX('Milho 2ª safra'!$E9:$Z9,MIN(K$6-$E$3,22))),0))-IF($G$2,0,IF((K$6-$G$3)&lt;1,0,IFERROR(LOOKUP(2,1/('Milho 2ª safra'!$E9:INDEX('Milho 2ª safra'!$E9:$Z9,MIN(K$6-$G$3,22))&lt;&gt;""),'Milho 2ª safra'!$E9:INDEX('Milho 2ª safra'!$E9:$Z9,MIN(K$6-$G$3,22))),0)))))</f>
        <v>0</v>
      </c>
      <c r="L11" s="27" t="n">
        <f aca="false">IF(COUNT('Milho 2ª safra'!$E9:$Z9)=0,0,MAX(0,IF((L$6-$E$3)&lt;1,0,IFERROR(LOOKUP(2,1/('Milho 2ª safra'!$E9:INDEX('Milho 2ª safra'!$E9:$Z9,MIN(L$6-$E$3,22))&lt;&gt;""),'Milho 2ª safra'!$E9:INDEX('Milho 2ª safra'!$E9:$Z9,MIN(L$6-$E$3,22))),0))-IF($G$2,0,IF((L$6-$G$3)&lt;1,0,IFERROR(LOOKUP(2,1/('Milho 2ª safra'!$E9:INDEX('Milho 2ª safra'!$E9:$Z9,MIN(L$6-$G$3,22))&lt;&gt;""),'Milho 2ª safra'!$E9:INDEX('Milho 2ª safra'!$E9:$Z9,MIN(L$6-$G$3,22))),0)))))</f>
        <v>0</v>
      </c>
      <c r="M11" s="27" t="n">
        <f aca="false">IF(COUNT('Milho 2ª safra'!$E9:$Z9)=0,0,MAX(0,IF((M$6-$E$3)&lt;1,0,IFERROR(LOOKUP(2,1/('Milho 2ª safra'!$E9:INDEX('Milho 2ª safra'!$E9:$Z9,MIN(M$6-$E$3,22))&lt;&gt;""),'Milho 2ª safra'!$E9:INDEX('Milho 2ª safra'!$E9:$Z9,MIN(M$6-$E$3,22))),0))-IF($G$2,0,IF((M$6-$G$3)&lt;1,0,IFERROR(LOOKUP(2,1/('Milho 2ª safra'!$E9:INDEX('Milho 2ª safra'!$E9:$Z9,MIN(M$6-$G$3,22))&lt;&gt;""),'Milho 2ª safra'!$E9:INDEX('Milho 2ª safra'!$E9:$Z9,MIN(M$6-$G$3,22))),0)))))</f>
        <v>0</v>
      </c>
      <c r="N11" s="27" t="n">
        <f aca="false">IF(COUNT('Milho 2ª safra'!$E9:$Z9)=0,0,MAX(0,IF((N$6-$E$3)&lt;1,0,IFERROR(LOOKUP(2,1/('Milho 2ª safra'!$E9:INDEX('Milho 2ª safra'!$E9:$Z9,MIN(N$6-$E$3,22))&lt;&gt;""),'Milho 2ª safra'!$E9:INDEX('Milho 2ª safra'!$E9:$Z9,MIN(N$6-$E$3,22))),0))-IF($G$2,0,IF((N$6-$G$3)&lt;1,0,IFERROR(LOOKUP(2,1/('Milho 2ª safra'!$E9:INDEX('Milho 2ª safra'!$E9:$Z9,MIN(N$6-$G$3,22))&lt;&gt;""),'Milho 2ª safra'!$E9:INDEX('Milho 2ª safra'!$E9:$Z9,MIN(N$6-$G$3,22))),0)))))</f>
        <v>0</v>
      </c>
      <c r="O11" s="27" t="n">
        <f aca="false">IF(COUNT('Milho 2ª safra'!$E9:$Z9)=0,0,MAX(0,IF((O$6-$E$3)&lt;1,0,IFERROR(LOOKUP(2,1/('Milho 2ª safra'!$E9:INDEX('Milho 2ª safra'!$E9:$Z9,MIN(O$6-$E$3,22))&lt;&gt;""),'Milho 2ª safra'!$E9:INDEX('Milho 2ª safra'!$E9:$Z9,MIN(O$6-$E$3,22))),0))-IF($G$2,0,IF((O$6-$G$3)&lt;1,0,IFERROR(LOOKUP(2,1/('Milho 2ª safra'!$E9:INDEX('Milho 2ª safra'!$E9:$Z9,MIN(O$6-$G$3,22))&lt;&gt;""),'Milho 2ª safra'!$E9:INDEX('Milho 2ª safra'!$E9:$Z9,MIN(O$6-$G$3,22))),0)))))</f>
        <v>0</v>
      </c>
      <c r="P11" s="27" t="n">
        <f aca="false">IF(COUNT('Milho 2ª safra'!$E9:$Z9)=0,0,MAX(0,IF((P$6-$E$3)&lt;1,0,IFERROR(LOOKUP(2,1/('Milho 2ª safra'!$E9:INDEX('Milho 2ª safra'!$E9:$Z9,MIN(P$6-$E$3,22))&lt;&gt;""),'Milho 2ª safra'!$E9:INDEX('Milho 2ª safra'!$E9:$Z9,MIN(P$6-$E$3,22))),0))-IF($G$2,0,IF((P$6-$G$3)&lt;1,0,IFERROR(LOOKUP(2,1/('Milho 2ª safra'!$E9:INDEX('Milho 2ª safra'!$E9:$Z9,MIN(P$6-$G$3,22))&lt;&gt;""),'Milho 2ª safra'!$E9:INDEX('Milho 2ª safra'!$E9:$Z9,MIN(P$6-$G$3,22))),0)))))</f>
        <v>0</v>
      </c>
      <c r="Q11" s="27" t="n">
        <f aca="false">IF(COUNT('Milho 2ª safra'!$E9:$Z9)=0,0,MAX(0,IF((Q$6-$E$3)&lt;1,0,IFERROR(LOOKUP(2,1/('Milho 2ª safra'!$E9:INDEX('Milho 2ª safra'!$E9:$Z9,MIN(Q$6-$E$3,22))&lt;&gt;""),'Milho 2ª safra'!$E9:INDEX('Milho 2ª safra'!$E9:$Z9,MIN(Q$6-$E$3,22))),0))-IF($G$2,0,IF((Q$6-$G$3)&lt;1,0,IFERROR(LOOKUP(2,1/('Milho 2ª safra'!$E9:INDEX('Milho 2ª safra'!$E9:$Z9,MIN(Q$6-$G$3,22))&lt;&gt;""),'Milho 2ª safra'!$E9:INDEX('Milho 2ª safra'!$E9:$Z9,MIN(Q$6-$G$3,22))),0)))))</f>
        <v>0</v>
      </c>
      <c r="R11" s="27" t="n">
        <f aca="false">IF(COUNT('Milho 2ª safra'!$E9:$Z9)=0,0,MAX(0,IF((R$6-$E$3)&lt;1,0,IFERROR(LOOKUP(2,1/('Milho 2ª safra'!$E9:INDEX('Milho 2ª safra'!$E9:$Z9,MIN(R$6-$E$3,22))&lt;&gt;""),'Milho 2ª safra'!$E9:INDEX('Milho 2ª safra'!$E9:$Z9,MIN(R$6-$E$3,22))),0))-IF($G$2,0,IF((R$6-$G$3)&lt;1,0,IFERROR(LOOKUP(2,1/('Milho 2ª safra'!$E9:INDEX('Milho 2ª safra'!$E9:$Z9,MIN(R$6-$G$3,22))&lt;&gt;""),'Milho 2ª safra'!$E9:INDEX('Milho 2ª safra'!$E9:$Z9,MIN(R$6-$G$3,22))),0)))))</f>
        <v>0</v>
      </c>
      <c r="S11" s="27" t="n">
        <f aca="false">IF(COUNT('Milho 2ª safra'!$E9:$Z9)=0,0,MAX(0,IF((S$6-$E$3)&lt;1,0,IFERROR(LOOKUP(2,1/('Milho 2ª safra'!$E9:INDEX('Milho 2ª safra'!$E9:$Z9,MIN(S$6-$E$3,22))&lt;&gt;""),'Milho 2ª safra'!$E9:INDEX('Milho 2ª safra'!$E9:$Z9,MIN(S$6-$E$3,22))),0))-IF($G$2,0,IF((S$6-$G$3)&lt;1,0,IFERROR(LOOKUP(2,1/('Milho 2ª safra'!$E9:INDEX('Milho 2ª safra'!$E9:$Z9,MIN(S$6-$G$3,22))&lt;&gt;""),'Milho 2ª safra'!$E9:INDEX('Milho 2ª safra'!$E9:$Z9,MIN(S$6-$G$3,22))),0)))))</f>
        <v>0</v>
      </c>
      <c r="T11" s="27" t="n">
        <f aca="false">IF(COUNT('Milho 2ª safra'!$E9:$Z9)=0,0,MAX(0,IF((T$6-$E$3)&lt;1,0,IFERROR(LOOKUP(2,1/('Milho 2ª safra'!$E9:INDEX('Milho 2ª safra'!$E9:$Z9,MIN(T$6-$E$3,22))&lt;&gt;""),'Milho 2ª safra'!$E9:INDEX('Milho 2ª safra'!$E9:$Z9,MIN(T$6-$E$3,22))),0))-IF($G$2,0,IF((T$6-$G$3)&lt;1,0,IFERROR(LOOKUP(2,1/('Milho 2ª safra'!$E9:INDEX('Milho 2ª safra'!$E9:$Z9,MIN(T$6-$G$3,22))&lt;&gt;""),'Milho 2ª safra'!$E9:INDEX('Milho 2ª safra'!$E9:$Z9,MIN(T$6-$G$3,22))),0)))))</f>
        <v>0</v>
      </c>
      <c r="U11" s="27" t="n">
        <f aca="false">IF(COUNT('Milho 2ª safra'!$E9:$Z9)=0,0,MAX(0,IF((U$6-$E$3)&lt;1,0,IFERROR(LOOKUP(2,1/('Milho 2ª safra'!$E9:INDEX('Milho 2ª safra'!$E9:$Z9,MIN(U$6-$E$3,22))&lt;&gt;""),'Milho 2ª safra'!$E9:INDEX('Milho 2ª safra'!$E9:$Z9,MIN(U$6-$E$3,22))),0))-IF($G$2,0,IF((U$6-$G$3)&lt;1,0,IFERROR(LOOKUP(2,1/('Milho 2ª safra'!$E9:INDEX('Milho 2ª safra'!$E9:$Z9,MIN(U$6-$G$3,22))&lt;&gt;""),'Milho 2ª safra'!$E9:INDEX('Milho 2ª safra'!$E9:$Z9,MIN(U$6-$G$3,22))),0)))))</f>
        <v>0</v>
      </c>
      <c r="V11" s="27" t="n">
        <f aca="false">IF(COUNT('Milho 2ª safra'!$E9:$Z9)=0,0,MAX(0,IF((V$6-$E$3)&lt;1,0,IFERROR(LOOKUP(2,1/('Milho 2ª safra'!$E9:INDEX('Milho 2ª safra'!$E9:$Z9,MIN(V$6-$E$3,22))&lt;&gt;""),'Milho 2ª safra'!$E9:INDEX('Milho 2ª safra'!$E9:$Z9,MIN(V$6-$E$3,22))),0))-IF($G$2,0,IF((V$6-$G$3)&lt;1,0,IFERROR(LOOKUP(2,1/('Milho 2ª safra'!$E9:INDEX('Milho 2ª safra'!$E9:$Z9,MIN(V$6-$G$3,22))&lt;&gt;""),'Milho 2ª safra'!$E9:INDEX('Milho 2ª safra'!$E9:$Z9,MIN(V$6-$G$3,22))),0)))))</f>
        <v>0</v>
      </c>
      <c r="W11" s="27" t="n">
        <f aca="false">IF(COUNT('Milho 2ª safra'!$E9:$Z9)=0,0,MAX(0,IF((W$6-$E$3)&lt;1,0,IFERROR(LOOKUP(2,1/('Milho 2ª safra'!$E9:INDEX('Milho 2ª safra'!$E9:$Z9,MIN(W$6-$E$3,22))&lt;&gt;""),'Milho 2ª safra'!$E9:INDEX('Milho 2ª safra'!$E9:$Z9,MIN(W$6-$E$3,22))),0))-IF($G$2,0,IF((W$6-$G$3)&lt;1,0,IFERROR(LOOKUP(2,1/('Milho 2ª safra'!$E9:INDEX('Milho 2ª safra'!$E9:$Z9,MIN(W$6-$G$3,22))&lt;&gt;""),'Milho 2ª safra'!$E9:INDEX('Milho 2ª safra'!$E9:$Z9,MIN(W$6-$G$3,22))),0)))))</f>
        <v>0</v>
      </c>
      <c r="X11" s="27" t="n">
        <f aca="false">IF(COUNT('Milho 2ª safra'!$E9:$Z9)=0,0,MAX(0,IF((X$6-$E$3)&lt;1,0,IFERROR(LOOKUP(2,1/('Milho 2ª safra'!$E9:INDEX('Milho 2ª safra'!$E9:$Z9,MIN(X$6-$E$3,22))&lt;&gt;""),'Milho 2ª safra'!$E9:INDEX('Milho 2ª safra'!$E9:$Z9,MIN(X$6-$E$3,22))),0))-IF($G$2,0,IF((X$6-$G$3)&lt;1,0,IFERROR(LOOKUP(2,1/('Milho 2ª safra'!$E9:INDEX('Milho 2ª safra'!$E9:$Z9,MIN(X$6-$G$3,22))&lt;&gt;""),'Milho 2ª safra'!$E9:INDEX('Milho 2ª safra'!$E9:$Z9,MIN(X$6-$G$3,22))),0)))))</f>
        <v>0</v>
      </c>
      <c r="Y11" s="27" t="n">
        <f aca="false">IF(COUNT('Milho 2ª safra'!$E9:$Z9)=0,0,MAX(0,IF((Y$6-$E$3)&lt;1,0,IFERROR(LOOKUP(2,1/('Milho 2ª safra'!$E9:INDEX('Milho 2ª safra'!$E9:$Z9,MIN(Y$6-$E$3,22))&lt;&gt;""),'Milho 2ª safra'!$E9:INDEX('Milho 2ª safra'!$E9:$Z9,MIN(Y$6-$E$3,22))),0))-IF($G$2,0,IF((Y$6-$G$3)&lt;1,0,IFERROR(LOOKUP(2,1/('Milho 2ª safra'!$E9:INDEX('Milho 2ª safra'!$E9:$Z9,MIN(Y$6-$G$3,22))&lt;&gt;""),'Milho 2ª safra'!$E9:INDEX('Milho 2ª safra'!$E9:$Z9,MIN(Y$6-$G$3,22))),0)))))</f>
        <v>0</v>
      </c>
      <c r="Z11" s="27" t="n">
        <f aca="false">IF(COUNT('Milho 2ª safra'!$E9:$Z9)=0,0,MAX(0,IF((Z$6-$E$3)&lt;1,0,IFERROR(LOOKUP(2,1/('Milho 2ª safra'!$E9:INDEX('Milho 2ª safra'!$E9:$Z9,MIN(Z$6-$E$3,22))&lt;&gt;""),'Milho 2ª safra'!$E9:INDEX('Milho 2ª safra'!$E9:$Z9,MIN(Z$6-$E$3,22))),0))-IF($G$2,0,IF((Z$6-$G$3)&lt;1,0,IFERROR(LOOKUP(2,1/('Milho 2ª safra'!$E9:INDEX('Milho 2ª safra'!$E9:$Z9,MIN(Z$6-$G$3,22))&lt;&gt;""),'Milho 2ª safra'!$E9:INDEX('Milho 2ª safra'!$E9:$Z9,MIN(Z$6-$G$3,22))),0)))))</f>
        <v>0</v>
      </c>
      <c r="AA11" s="27" t="n">
        <f aca="false">IF(COUNT('Milho 2ª safra'!$E9:$Z9)=0,0,MAX(0,IF((AA$6-$E$3)&lt;1,0,IFERROR(LOOKUP(2,1/('Milho 2ª safra'!$E9:INDEX('Milho 2ª safra'!$E9:$Z9,MIN(AA$6-$E$3,22))&lt;&gt;""),'Milho 2ª safra'!$E9:INDEX('Milho 2ª safra'!$E9:$Z9,MIN(AA$6-$E$3,22))),0))-IF($G$2,0,IF((AA$6-$G$3)&lt;1,0,IFERROR(LOOKUP(2,1/('Milho 2ª safra'!$E9:INDEX('Milho 2ª safra'!$E9:$Z9,MIN(AA$6-$G$3,22))&lt;&gt;""),'Milho 2ª safra'!$E9:INDEX('Milho 2ª safra'!$E9:$Z9,MIN(AA$6-$G$3,22))),0)))))</f>
        <v>0</v>
      </c>
      <c r="AB11" s="27" t="n">
        <f aca="false">IF(COUNT('Milho 2ª safra'!$E9:$Z9)=0,0,MAX(0,IF((AB$6-$E$3)&lt;1,0,IFERROR(LOOKUP(2,1/('Milho 2ª safra'!$E9:INDEX('Milho 2ª safra'!$E9:$Z9,MIN(AB$6-$E$3,22))&lt;&gt;""),'Milho 2ª safra'!$E9:INDEX('Milho 2ª safra'!$E9:$Z9,MIN(AB$6-$E$3,22))),0))-IF($G$2,0,IF((AB$6-$G$3)&lt;1,0,IFERROR(LOOKUP(2,1/('Milho 2ª safra'!$E9:INDEX('Milho 2ª safra'!$E9:$Z9,MIN(AB$6-$G$3,22))&lt;&gt;""),'Milho 2ª safra'!$E9:INDEX('Milho 2ª safra'!$E9:$Z9,MIN(AB$6-$G$3,22))),0)))))</f>
        <v>0</v>
      </c>
      <c r="AC11" s="27" t="n">
        <f aca="false">IF(COUNT('Milho 2ª safra'!$E9:$Z9)=0,0,MAX(0,IF((AC$6-$E$3)&lt;1,0,IFERROR(LOOKUP(2,1/('Milho 2ª safra'!$E9:INDEX('Milho 2ª safra'!$E9:$Z9,MIN(AC$6-$E$3,22))&lt;&gt;""),'Milho 2ª safra'!$E9:INDEX('Milho 2ª safra'!$E9:$Z9,MIN(AC$6-$E$3,22))),0))-IF($G$2,0,IF((AC$6-$G$3)&lt;1,0,IFERROR(LOOKUP(2,1/('Milho 2ª safra'!$E9:INDEX('Milho 2ª safra'!$E9:$Z9,MIN(AC$6-$G$3,22))&lt;&gt;""),'Milho 2ª safra'!$E9:INDEX('Milho 2ª safra'!$E9:$Z9,MIN(AC$6-$G$3,22))),0)))))</f>
        <v>0</v>
      </c>
      <c r="AD11" s="27" t="n">
        <f aca="false">IF(COUNT('Milho 2ª safra'!$E9:$Z9)=0,0,MAX(0,IF((AD$6-$E$3)&lt;1,0,IFERROR(LOOKUP(2,1/('Milho 2ª safra'!$E9:INDEX('Milho 2ª safra'!$E9:$Z9,MIN(AD$6-$E$3,22))&lt;&gt;""),'Milho 2ª safra'!$E9:INDEX('Milho 2ª safra'!$E9:$Z9,MIN(AD$6-$E$3,22))),0))-IF($G$2,0,IF((AD$6-$G$3)&lt;1,0,IFERROR(LOOKUP(2,1/('Milho 2ª safra'!$E9:INDEX('Milho 2ª safra'!$E9:$Z9,MIN(AD$6-$G$3,22))&lt;&gt;""),'Milho 2ª safra'!$E9:INDEX('Milho 2ª safra'!$E9:$Z9,MIN(AD$6-$G$3,22))),0)))))</f>
        <v>0</v>
      </c>
      <c r="AE11" s="27" t="n">
        <f aca="false">IF(COUNT('Milho 2ª safra'!$E9:$Z9)=0,0,MAX(0,IF((AE$6-$E$3)&lt;1,0,IFERROR(LOOKUP(2,1/('Milho 2ª safra'!$E9:INDEX('Milho 2ª safra'!$E9:$Z9,MIN(AE$6-$E$3,22))&lt;&gt;""),'Milho 2ª safra'!$E9:INDEX('Milho 2ª safra'!$E9:$Z9,MIN(AE$6-$E$3,22))),0))-IF($G$2,0,IF((AE$6-$G$3)&lt;1,0,IFERROR(LOOKUP(2,1/('Milho 2ª safra'!$E9:INDEX('Milho 2ª safra'!$E9:$Z9,MIN(AE$6-$G$3,22))&lt;&gt;""),'Milho 2ª safra'!$E9:INDEX('Milho 2ª safra'!$E9:$Z9,MIN(AE$6-$G$3,22))),0)))))</f>
        <v>0</v>
      </c>
      <c r="AF11" s="27" t="n">
        <f aca="false">IF(COUNT('Milho 2ª safra'!$E9:$Z9)=0,0,MAX(0,IF((AF$6-$E$3)&lt;1,0,IFERROR(LOOKUP(2,1/('Milho 2ª safra'!$E9:INDEX('Milho 2ª safra'!$E9:$Z9,MIN(AF$6-$E$3,22))&lt;&gt;""),'Milho 2ª safra'!$E9:INDEX('Milho 2ª safra'!$E9:$Z9,MIN(AF$6-$E$3,22))),0))-IF($G$2,0,IF((AF$6-$G$3)&lt;1,0,IFERROR(LOOKUP(2,1/('Milho 2ª safra'!$E9:INDEX('Milho 2ª safra'!$E9:$Z9,MIN(AF$6-$G$3,22))&lt;&gt;""),'Milho 2ª safra'!$E9:INDEX('Milho 2ª safra'!$E9:$Z9,MIN(AF$6-$G$3,22))),0)))))</f>
        <v>0</v>
      </c>
      <c r="AG11" s="27" t="n">
        <f aca="false">IF(COUNT('Milho 2ª safra'!$E9:$Z9)=0,0,MAX(0,IF((AG$6-$E$3)&lt;1,0,IFERROR(LOOKUP(2,1/('Milho 2ª safra'!$E9:INDEX('Milho 2ª safra'!$E9:$Z9,MIN(AG$6-$E$3,22))&lt;&gt;""),'Milho 2ª safra'!$E9:INDEX('Milho 2ª safra'!$E9:$Z9,MIN(AG$6-$E$3,22))),0))-IF($G$2,0,IF((AG$6-$G$3)&lt;1,0,IFERROR(LOOKUP(2,1/('Milho 2ª safra'!$E9:INDEX('Milho 2ª safra'!$E9:$Z9,MIN(AG$6-$G$3,22))&lt;&gt;""),'Milho 2ª safra'!$E9:INDEX('Milho 2ª safra'!$E9:$Z9,MIN(AG$6-$G$3,22))),0)))))</f>
        <v>0</v>
      </c>
      <c r="AH11" s="27" t="n">
        <f aca="false">IF(COUNT('Milho 2ª safra'!$E9:$Z9)=0,0,MAX(0,IF((AH$6-$E$3)&lt;1,0,IFERROR(LOOKUP(2,1/('Milho 2ª safra'!$E9:INDEX('Milho 2ª safra'!$E9:$Z9,MIN(AH$6-$E$3,22))&lt;&gt;""),'Milho 2ª safra'!$E9:INDEX('Milho 2ª safra'!$E9:$Z9,MIN(AH$6-$E$3,22))),0))-IF($G$2,0,IF((AH$6-$G$3)&lt;1,0,IFERROR(LOOKUP(2,1/('Milho 2ª safra'!$E9:INDEX('Milho 2ª safra'!$E9:$Z9,MIN(AH$6-$G$3,22))&lt;&gt;""),'Milho 2ª safra'!$E9:INDEX('Milho 2ª safra'!$E9:$Z9,MIN(AH$6-$G$3,22))),0)))))</f>
        <v>0</v>
      </c>
      <c r="AI11" s="27" t="n">
        <f aca="false">IF(COUNT('Milho 2ª safra'!$E9:$Z9)=0,0,MAX(0,IF((AI$6-$E$3)&lt;1,0,IFERROR(LOOKUP(2,1/('Milho 2ª safra'!$E9:INDEX('Milho 2ª safra'!$E9:$Z9,MIN(AI$6-$E$3,22))&lt;&gt;""),'Milho 2ª safra'!$E9:INDEX('Milho 2ª safra'!$E9:$Z9,MIN(AI$6-$E$3,22))),0))-IF($G$2,0,IF((AI$6-$G$3)&lt;1,0,IFERROR(LOOKUP(2,1/('Milho 2ª safra'!$E9:INDEX('Milho 2ª safra'!$E9:$Z9,MIN(AI$6-$G$3,22))&lt;&gt;""),'Milho 2ª safra'!$E9:INDEX('Milho 2ª safra'!$E9:$Z9,MIN(AI$6-$G$3,22))),0)))))</f>
        <v>0</v>
      </c>
      <c r="AJ11" s="27" t="n">
        <f aca="false">IF(COUNT('Milho 2ª safra'!$E9:$Z9)=0,0,MAX(0,IF((AJ$6-$E$3)&lt;1,0,IFERROR(LOOKUP(2,1/('Milho 2ª safra'!$E9:INDEX('Milho 2ª safra'!$E9:$Z9,MIN(AJ$6-$E$3,22))&lt;&gt;""),'Milho 2ª safra'!$E9:INDEX('Milho 2ª safra'!$E9:$Z9,MIN(AJ$6-$E$3,22))),0))-IF($G$2,0,IF((AJ$6-$G$3)&lt;1,0,IFERROR(LOOKUP(2,1/('Milho 2ª safra'!$E9:INDEX('Milho 2ª safra'!$E9:$Z9,MIN(AJ$6-$G$3,22))&lt;&gt;""),'Milho 2ª safra'!$E9:INDEX('Milho 2ª safra'!$E9:$Z9,MIN(AJ$6-$G$3,22))),0)))))</f>
        <v>0</v>
      </c>
      <c r="AK11" s="27" t="n">
        <f aca="false">IF(COUNT('Milho 2ª safra'!$E9:$Z9)=0,0,MAX(0,IF((AK$6-$E$3)&lt;1,0,IFERROR(LOOKUP(2,1/('Milho 2ª safra'!$E9:INDEX('Milho 2ª safra'!$E9:$Z9,MIN(AK$6-$E$3,22))&lt;&gt;""),'Milho 2ª safra'!$E9:INDEX('Milho 2ª safra'!$E9:$Z9,MIN(AK$6-$E$3,22))),0))-IF($G$2,0,IF((AK$6-$G$3)&lt;1,0,IFERROR(LOOKUP(2,1/('Milho 2ª safra'!$E9:INDEX('Milho 2ª safra'!$E9:$Z9,MIN(AK$6-$G$3,22))&lt;&gt;""),'Milho 2ª safra'!$E9:INDEX('Milho 2ª safra'!$E9:$Z9,MIN(AK$6-$G$3,22))),0)))))</f>
        <v>0</v>
      </c>
      <c r="AL11" s="27" t="n">
        <f aca="false">IF(COUNT('Milho 2ª safra'!$E9:$Z9)=0,0,MAX(0,IF((AL$6-$E$3)&lt;1,0,IFERROR(LOOKUP(2,1/('Milho 2ª safra'!$E9:INDEX('Milho 2ª safra'!$E9:$Z9,MIN(AL$6-$E$3,22))&lt;&gt;""),'Milho 2ª safra'!$E9:INDEX('Milho 2ª safra'!$E9:$Z9,MIN(AL$6-$E$3,22))),0))-IF($G$2,0,IF((AL$6-$G$3)&lt;1,0,IFERROR(LOOKUP(2,1/('Milho 2ª safra'!$E9:INDEX('Milho 2ª safra'!$E9:$Z9,MIN(AL$6-$G$3,22))&lt;&gt;""),'Milho 2ª safra'!$E9:INDEX('Milho 2ª safra'!$E9:$Z9,MIN(AL$6-$G$3,22))),0)))))</f>
        <v>0</v>
      </c>
      <c r="AM11" s="27" t="n">
        <f aca="false">IF(COUNT('Milho 2ª safra'!$E9:$Z9)=0,0,MAX(0,IF((AM$6-$E$3)&lt;1,0,IFERROR(LOOKUP(2,1/('Milho 2ª safra'!$E9:INDEX('Milho 2ª safra'!$E9:$Z9,MIN(AM$6-$E$3,22))&lt;&gt;""),'Milho 2ª safra'!$E9:INDEX('Milho 2ª safra'!$E9:$Z9,MIN(AM$6-$E$3,22))),0))-IF($G$2,0,IF((AM$6-$G$3)&lt;1,0,IFERROR(LOOKUP(2,1/('Milho 2ª safra'!$E9:INDEX('Milho 2ª safra'!$E9:$Z9,MIN(AM$6-$G$3,22))&lt;&gt;""),'Milho 2ª safra'!$E9:INDEX('Milho 2ª safra'!$E9:$Z9,MIN(AM$6-$G$3,22))),0)))))</f>
        <v>0</v>
      </c>
      <c r="AN11" s="27" t="n">
        <f aca="false">IF(COUNT('Milho 2ª safra'!$E9:$Z9)=0,0,MAX(0,IF((AN$6-$E$3)&lt;1,0,IFERROR(LOOKUP(2,1/('Milho 2ª safra'!$E9:INDEX('Milho 2ª safra'!$E9:$Z9,MIN(AN$6-$E$3,22))&lt;&gt;""),'Milho 2ª safra'!$E9:INDEX('Milho 2ª safra'!$E9:$Z9,MIN(AN$6-$E$3,22))),0))-IF($G$2,0,IF((AN$6-$G$3)&lt;1,0,IFERROR(LOOKUP(2,1/('Milho 2ª safra'!$E9:INDEX('Milho 2ª safra'!$E9:$Z9,MIN(AN$6-$G$3,22))&lt;&gt;""),'Milho 2ª safra'!$E9:INDEX('Milho 2ª safra'!$E9:$Z9,MIN(AN$6-$G$3,22))),0)))))</f>
        <v>0</v>
      </c>
      <c r="AO11" s="27" t="n">
        <f aca="false">IF(COUNT('Milho 2ª safra'!$E9:$Z9)=0,0,MAX(0,IF((AO$6-$E$3)&lt;1,0,IFERROR(LOOKUP(2,1/('Milho 2ª safra'!$E9:INDEX('Milho 2ª safra'!$E9:$Z9,MIN(AO$6-$E$3,22))&lt;&gt;""),'Milho 2ª safra'!$E9:INDEX('Milho 2ª safra'!$E9:$Z9,MIN(AO$6-$E$3,22))),0))-IF($G$2,0,IF((AO$6-$G$3)&lt;1,0,IFERROR(LOOKUP(2,1/('Milho 2ª safra'!$E9:INDEX('Milho 2ª safra'!$E9:$Z9,MIN(AO$6-$G$3,22))&lt;&gt;""),'Milho 2ª safra'!$E9:INDEX('Milho 2ª safra'!$E9:$Z9,MIN(AO$6-$G$3,22))),0)))))</f>
        <v>0</v>
      </c>
      <c r="AP11" s="27" t="n">
        <f aca="false">IF(COUNT('Milho 2ª safra'!$E9:$Z9)=0,0,MAX(0,IF((AP$6-$E$3)&lt;1,0,IFERROR(LOOKUP(2,1/('Milho 2ª safra'!$E9:INDEX('Milho 2ª safra'!$E9:$Z9,MIN(AP$6-$E$3,22))&lt;&gt;""),'Milho 2ª safra'!$E9:INDEX('Milho 2ª safra'!$E9:$Z9,MIN(AP$6-$E$3,22))),0))-IF($G$2,0,IF((AP$6-$G$3)&lt;1,0,IFERROR(LOOKUP(2,1/('Milho 2ª safra'!$E9:INDEX('Milho 2ª safra'!$E9:$Z9,MIN(AP$6-$G$3,22))&lt;&gt;""),'Milho 2ª safra'!$E9:INDEX('Milho 2ª safra'!$E9:$Z9,MIN(AP$6-$G$3,22))),0)))))</f>
        <v>0</v>
      </c>
      <c r="AQ11" s="27" t="n">
        <f aca="false">IF(COUNT('Milho 2ª safra'!$E9:$Z9)=0,0,MAX(0,IF((AQ$6-$E$3)&lt;1,0,IFERROR(LOOKUP(2,1/('Milho 2ª safra'!$E9:INDEX('Milho 2ª safra'!$E9:$Z9,MIN(AQ$6-$E$3,22))&lt;&gt;""),'Milho 2ª safra'!$E9:INDEX('Milho 2ª safra'!$E9:$Z9,MIN(AQ$6-$E$3,22))),0))-IF($G$2,0,IF((AQ$6-$G$3)&lt;1,0,IFERROR(LOOKUP(2,1/('Milho 2ª safra'!$E9:INDEX('Milho 2ª safra'!$E9:$Z9,MIN(AQ$6-$G$3,22))&lt;&gt;""),'Milho 2ª safra'!$E9:INDEX('Milho 2ª safra'!$E9:$Z9,MIN(AQ$6-$G$3,22))),0)))))</f>
        <v>0</v>
      </c>
      <c r="AR11" s="27" t="n">
        <f aca="false">IF(COUNT('Milho 2ª safra'!$E9:$Z9)=0,0,MAX(0,IF((AR$6-$E$3)&lt;1,0,IFERROR(LOOKUP(2,1/('Milho 2ª safra'!$E9:INDEX('Milho 2ª safra'!$E9:$Z9,MIN(AR$6-$E$3,22))&lt;&gt;""),'Milho 2ª safra'!$E9:INDEX('Milho 2ª safra'!$E9:$Z9,MIN(AR$6-$E$3,22))),0))-IF($G$2,0,IF((AR$6-$G$3)&lt;1,0,IFERROR(LOOKUP(2,1/('Milho 2ª safra'!$E9:INDEX('Milho 2ª safra'!$E9:$Z9,MIN(AR$6-$G$3,22))&lt;&gt;""),'Milho 2ª safra'!$E9:INDEX('Milho 2ª safra'!$E9:$Z9,MIN(AR$6-$G$3,22))),0)))))</f>
        <v>0</v>
      </c>
      <c r="AS11" s="27" t="n">
        <f aca="false">IF(COUNT('Milho 2ª safra'!$E9:$Z9)=0,0,MAX(0,IF((AS$6-$E$3)&lt;1,0,IFERROR(LOOKUP(2,1/('Milho 2ª safra'!$E9:INDEX('Milho 2ª safra'!$E9:$Z9,MIN(AS$6-$E$3,22))&lt;&gt;""),'Milho 2ª safra'!$E9:INDEX('Milho 2ª safra'!$E9:$Z9,MIN(AS$6-$E$3,22))),0))-IF($G$2,0,IF((AS$6-$G$3)&lt;1,0,IFERROR(LOOKUP(2,1/('Milho 2ª safra'!$E9:INDEX('Milho 2ª safra'!$E9:$Z9,MIN(AS$6-$G$3,22))&lt;&gt;""),'Milho 2ª safra'!$E9:INDEX('Milho 2ª safra'!$E9:$Z9,MIN(AS$6-$G$3,22))),0)))))</f>
        <v>0</v>
      </c>
      <c r="AT11" s="27" t="n">
        <f aca="false">IF(COUNT('Milho 2ª safra'!$E9:$Z9)=0,0,MAX(0,IF((AT$6-$E$3)&lt;1,0,IFERROR(LOOKUP(2,1/('Milho 2ª safra'!$E9:INDEX('Milho 2ª safra'!$E9:$Z9,MIN(AT$6-$E$3,22))&lt;&gt;""),'Milho 2ª safra'!$E9:INDEX('Milho 2ª safra'!$E9:$Z9,MIN(AT$6-$E$3,22))),0))-IF($G$2,0,IF((AT$6-$G$3)&lt;1,0,IFERROR(LOOKUP(2,1/('Milho 2ª safra'!$E9:INDEX('Milho 2ª safra'!$E9:$Z9,MIN(AT$6-$G$3,22))&lt;&gt;""),'Milho 2ª safra'!$E9:INDEX('Milho 2ª safra'!$E9:$Z9,MIN(AT$6-$G$3,22))),0)))))</f>
        <v>0</v>
      </c>
      <c r="AU11" s="27" t="n">
        <f aca="false">IF(COUNT('Milho 2ª safra'!$E9:$Z9)=0,0,MAX(0,IF((AU$6-$E$3)&lt;1,0,IFERROR(LOOKUP(2,1/('Milho 2ª safra'!$E9:INDEX('Milho 2ª safra'!$E9:$Z9,MIN(AU$6-$E$3,22))&lt;&gt;""),'Milho 2ª safra'!$E9:INDEX('Milho 2ª safra'!$E9:$Z9,MIN(AU$6-$E$3,22))),0))-IF($G$2,0,IF((AU$6-$G$3)&lt;1,0,IFERROR(LOOKUP(2,1/('Milho 2ª safra'!$E9:INDEX('Milho 2ª safra'!$E9:$Z9,MIN(AU$6-$G$3,22))&lt;&gt;""),'Milho 2ª safra'!$E9:INDEX('Milho 2ª safra'!$E9:$Z9,MIN(AU$6-$G$3,22))),0)))))</f>
        <v>0</v>
      </c>
      <c r="AV11" s="27" t="n">
        <f aca="false">IF(COUNT('Milho 2ª safra'!$E9:$Z9)=0,0,MAX(0,IF((AV$6-$E$3)&lt;1,0,IFERROR(LOOKUP(2,1/('Milho 2ª safra'!$E9:INDEX('Milho 2ª safra'!$E9:$Z9,MIN(AV$6-$E$3,22))&lt;&gt;""),'Milho 2ª safra'!$E9:INDEX('Milho 2ª safra'!$E9:$Z9,MIN(AV$6-$E$3,22))),0))-IF($G$2,0,IF((AV$6-$G$3)&lt;1,0,IFERROR(LOOKUP(2,1/('Milho 2ª safra'!$E9:INDEX('Milho 2ª safra'!$E9:$Z9,MIN(AV$6-$G$3,22))&lt;&gt;""),'Milho 2ª safra'!$E9:INDEX('Milho 2ª safra'!$E9:$Z9,MIN(AV$6-$G$3,22))),0)))))</f>
        <v>0</v>
      </c>
      <c r="AW11" s="27" t="n">
        <f aca="false">IF(COUNT('Milho 2ª safra'!$E9:$Z9)=0,0,MAX(0,IF((AW$6-$E$3)&lt;1,0,IFERROR(LOOKUP(2,1/('Milho 2ª safra'!$E9:INDEX('Milho 2ª safra'!$E9:$Z9,MIN(AW$6-$E$3,22))&lt;&gt;""),'Milho 2ª safra'!$E9:INDEX('Milho 2ª safra'!$E9:$Z9,MIN(AW$6-$E$3,22))),0))-IF($G$2,0,IF((AW$6-$G$3)&lt;1,0,IFERROR(LOOKUP(2,1/('Milho 2ª safra'!$E9:INDEX('Milho 2ª safra'!$E9:$Z9,MIN(AW$6-$G$3,22))&lt;&gt;""),'Milho 2ª safra'!$E9:INDEX('Milho 2ª safra'!$E9:$Z9,MIN(AW$6-$G$3,22))),0)))))</f>
        <v>0</v>
      </c>
      <c r="AX11" s="27" t="n">
        <f aca="false">IF(COUNT('Milho 2ª safra'!$E9:$Z9)=0,0,MAX(0,IF((AX$6-$E$3)&lt;1,0,IFERROR(LOOKUP(2,1/('Milho 2ª safra'!$E9:INDEX('Milho 2ª safra'!$E9:$Z9,MIN(AX$6-$E$3,22))&lt;&gt;""),'Milho 2ª safra'!$E9:INDEX('Milho 2ª safra'!$E9:$Z9,MIN(AX$6-$E$3,22))),0))-IF($G$2,0,IF((AX$6-$G$3)&lt;1,0,IFERROR(LOOKUP(2,1/('Milho 2ª safra'!$E9:INDEX('Milho 2ª safra'!$E9:$Z9,MIN(AX$6-$G$3,22))&lt;&gt;""),'Milho 2ª safra'!$E9:INDEX('Milho 2ª safra'!$E9:$Z9,MIN(AX$6-$G$3,22))),0)))))</f>
        <v>0</v>
      </c>
      <c r="AY11" s="27" t="n">
        <f aca="false">IF(COUNT('Milho 2ª safra'!$E9:$Z9)=0,0,MAX(0,IF((AY$6-$E$3)&lt;1,0,IFERROR(LOOKUP(2,1/('Milho 2ª safra'!$E9:INDEX('Milho 2ª safra'!$E9:$Z9,MIN(AY$6-$E$3,22))&lt;&gt;""),'Milho 2ª safra'!$E9:INDEX('Milho 2ª safra'!$E9:$Z9,MIN(AY$6-$E$3,22))),0))-IF($G$2,0,IF((AY$6-$G$3)&lt;1,0,IFERROR(LOOKUP(2,1/('Milho 2ª safra'!$E9:INDEX('Milho 2ª safra'!$E9:$Z9,MIN(AY$6-$G$3,22))&lt;&gt;""),'Milho 2ª safra'!$E9:INDEX('Milho 2ª safra'!$E9:$Z9,MIN(AY$6-$G$3,22))),0)))))</f>
        <v>0</v>
      </c>
      <c r="AZ11" s="27" t="n">
        <f aca="false">IF(COUNT('Milho 2ª safra'!$E9:$Z9)=0,0,MAX(0,IF((AZ$6-$E$3)&lt;1,0,IFERROR(LOOKUP(2,1/('Milho 2ª safra'!$E9:INDEX('Milho 2ª safra'!$E9:$Z9,MIN(AZ$6-$E$3,22))&lt;&gt;""),'Milho 2ª safra'!$E9:INDEX('Milho 2ª safra'!$E9:$Z9,MIN(AZ$6-$E$3,22))),0))-IF($G$2,0,IF((AZ$6-$G$3)&lt;1,0,IFERROR(LOOKUP(2,1/('Milho 2ª safra'!$E9:INDEX('Milho 2ª safra'!$E9:$Z9,MIN(AZ$6-$G$3,22))&lt;&gt;""),'Milho 2ª safra'!$E9:INDEX('Milho 2ª safra'!$E9:$Z9,MIN(AZ$6-$G$3,22))),0)))))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IF(COUNT('Milho 2ª safra'!$E10:$Z10)&gt;0,N('Milho 2ª safra'!$D10),0)</f>
        <v>0</v>
      </c>
      <c r="E12" s="27" t="n">
        <f aca="false">IF(COUNT('Milho 2ª safra'!$E10:$Z10)=0,0,MAX(0,IF((E$6-$E$3)&lt;1,0,IFERROR(LOOKUP(2,1/('Milho 2ª safra'!$E10:INDEX('Milho 2ª safra'!$E10:$Z10,MIN(E$6-$E$3,22))&lt;&gt;""),'Milho 2ª safra'!$E10:INDEX('Milho 2ª safra'!$E10:$Z10,MIN(E$6-$E$3,22))),0))-IF($G$2,0,IF((E$6-$G$3)&lt;1,0,IFERROR(LOOKUP(2,1/('Milho 2ª safra'!$E10:INDEX('Milho 2ª safra'!$E10:$Z10,MIN(E$6-$G$3,22))&lt;&gt;""),'Milho 2ª safra'!$E10:INDEX('Milho 2ª safra'!$E10:$Z10,MIN(E$6-$G$3,22))),0)))))</f>
        <v>0</v>
      </c>
      <c r="F12" s="27" t="n">
        <f aca="false">IF(COUNT('Milho 2ª safra'!$E10:$Z10)=0,0,MAX(0,IF((F$6-$E$3)&lt;1,0,IFERROR(LOOKUP(2,1/('Milho 2ª safra'!$E10:INDEX('Milho 2ª safra'!$E10:$Z10,MIN(F$6-$E$3,22))&lt;&gt;""),'Milho 2ª safra'!$E10:INDEX('Milho 2ª safra'!$E10:$Z10,MIN(F$6-$E$3,22))),0))-IF($G$2,0,IF((F$6-$G$3)&lt;1,0,IFERROR(LOOKUP(2,1/('Milho 2ª safra'!$E10:INDEX('Milho 2ª safra'!$E10:$Z10,MIN(F$6-$G$3,22))&lt;&gt;""),'Milho 2ª safra'!$E10:INDEX('Milho 2ª safra'!$E10:$Z10,MIN(F$6-$G$3,22))),0)))))</f>
        <v>0</v>
      </c>
      <c r="G12" s="27" t="n">
        <f aca="false">IF(COUNT('Milho 2ª safra'!$E10:$Z10)=0,0,MAX(0,IF((G$6-$E$3)&lt;1,0,IFERROR(LOOKUP(2,1/('Milho 2ª safra'!$E10:INDEX('Milho 2ª safra'!$E10:$Z10,MIN(G$6-$E$3,22))&lt;&gt;""),'Milho 2ª safra'!$E10:INDEX('Milho 2ª safra'!$E10:$Z10,MIN(G$6-$E$3,22))),0))-IF($G$2,0,IF((G$6-$G$3)&lt;1,0,IFERROR(LOOKUP(2,1/('Milho 2ª safra'!$E10:INDEX('Milho 2ª safra'!$E10:$Z10,MIN(G$6-$G$3,22))&lt;&gt;""),'Milho 2ª safra'!$E10:INDEX('Milho 2ª safra'!$E10:$Z10,MIN(G$6-$G$3,22))),0)))))</f>
        <v>0</v>
      </c>
      <c r="H12" s="27" t="n">
        <f aca="false">IF(COUNT('Milho 2ª safra'!$E10:$Z10)=0,0,MAX(0,IF((H$6-$E$3)&lt;1,0,IFERROR(LOOKUP(2,1/('Milho 2ª safra'!$E10:INDEX('Milho 2ª safra'!$E10:$Z10,MIN(H$6-$E$3,22))&lt;&gt;""),'Milho 2ª safra'!$E10:INDEX('Milho 2ª safra'!$E10:$Z10,MIN(H$6-$E$3,22))),0))-IF($G$2,0,IF((H$6-$G$3)&lt;1,0,IFERROR(LOOKUP(2,1/('Milho 2ª safra'!$E10:INDEX('Milho 2ª safra'!$E10:$Z10,MIN(H$6-$G$3,22))&lt;&gt;""),'Milho 2ª safra'!$E10:INDEX('Milho 2ª safra'!$E10:$Z10,MIN(H$6-$G$3,22))),0)))))</f>
        <v>0</v>
      </c>
      <c r="I12" s="27" t="n">
        <f aca="false">IF(COUNT('Milho 2ª safra'!$E10:$Z10)=0,0,MAX(0,IF((I$6-$E$3)&lt;1,0,IFERROR(LOOKUP(2,1/('Milho 2ª safra'!$E10:INDEX('Milho 2ª safra'!$E10:$Z10,MIN(I$6-$E$3,22))&lt;&gt;""),'Milho 2ª safra'!$E10:INDEX('Milho 2ª safra'!$E10:$Z10,MIN(I$6-$E$3,22))),0))-IF($G$2,0,IF((I$6-$G$3)&lt;1,0,IFERROR(LOOKUP(2,1/('Milho 2ª safra'!$E10:INDEX('Milho 2ª safra'!$E10:$Z10,MIN(I$6-$G$3,22))&lt;&gt;""),'Milho 2ª safra'!$E10:INDEX('Milho 2ª safra'!$E10:$Z10,MIN(I$6-$G$3,22))),0)))))</f>
        <v>0</v>
      </c>
      <c r="J12" s="27" t="n">
        <f aca="false">IF(COUNT('Milho 2ª safra'!$E10:$Z10)=0,0,MAX(0,IF((J$6-$E$3)&lt;1,0,IFERROR(LOOKUP(2,1/('Milho 2ª safra'!$E10:INDEX('Milho 2ª safra'!$E10:$Z10,MIN(J$6-$E$3,22))&lt;&gt;""),'Milho 2ª safra'!$E10:INDEX('Milho 2ª safra'!$E10:$Z10,MIN(J$6-$E$3,22))),0))-IF($G$2,0,IF((J$6-$G$3)&lt;1,0,IFERROR(LOOKUP(2,1/('Milho 2ª safra'!$E10:INDEX('Milho 2ª safra'!$E10:$Z10,MIN(J$6-$G$3,22))&lt;&gt;""),'Milho 2ª safra'!$E10:INDEX('Milho 2ª safra'!$E10:$Z10,MIN(J$6-$G$3,22))),0)))))</f>
        <v>0</v>
      </c>
      <c r="K12" s="27" t="n">
        <f aca="false">IF(COUNT('Milho 2ª safra'!$E10:$Z10)=0,0,MAX(0,IF((K$6-$E$3)&lt;1,0,IFERROR(LOOKUP(2,1/('Milho 2ª safra'!$E10:INDEX('Milho 2ª safra'!$E10:$Z10,MIN(K$6-$E$3,22))&lt;&gt;""),'Milho 2ª safra'!$E10:INDEX('Milho 2ª safra'!$E10:$Z10,MIN(K$6-$E$3,22))),0))-IF($G$2,0,IF((K$6-$G$3)&lt;1,0,IFERROR(LOOKUP(2,1/('Milho 2ª safra'!$E10:INDEX('Milho 2ª safra'!$E10:$Z10,MIN(K$6-$G$3,22))&lt;&gt;""),'Milho 2ª safra'!$E10:INDEX('Milho 2ª safra'!$E10:$Z10,MIN(K$6-$G$3,22))),0)))))</f>
        <v>0</v>
      </c>
      <c r="L12" s="27" t="n">
        <f aca="false">IF(COUNT('Milho 2ª safra'!$E10:$Z10)=0,0,MAX(0,IF((L$6-$E$3)&lt;1,0,IFERROR(LOOKUP(2,1/('Milho 2ª safra'!$E10:INDEX('Milho 2ª safra'!$E10:$Z10,MIN(L$6-$E$3,22))&lt;&gt;""),'Milho 2ª safra'!$E10:INDEX('Milho 2ª safra'!$E10:$Z10,MIN(L$6-$E$3,22))),0))-IF($G$2,0,IF((L$6-$G$3)&lt;1,0,IFERROR(LOOKUP(2,1/('Milho 2ª safra'!$E10:INDEX('Milho 2ª safra'!$E10:$Z10,MIN(L$6-$G$3,22))&lt;&gt;""),'Milho 2ª safra'!$E10:INDEX('Milho 2ª safra'!$E10:$Z10,MIN(L$6-$G$3,22))),0)))))</f>
        <v>0</v>
      </c>
      <c r="M12" s="27" t="n">
        <f aca="false">IF(COUNT('Milho 2ª safra'!$E10:$Z10)=0,0,MAX(0,IF((M$6-$E$3)&lt;1,0,IFERROR(LOOKUP(2,1/('Milho 2ª safra'!$E10:INDEX('Milho 2ª safra'!$E10:$Z10,MIN(M$6-$E$3,22))&lt;&gt;""),'Milho 2ª safra'!$E10:INDEX('Milho 2ª safra'!$E10:$Z10,MIN(M$6-$E$3,22))),0))-IF($G$2,0,IF((M$6-$G$3)&lt;1,0,IFERROR(LOOKUP(2,1/('Milho 2ª safra'!$E10:INDEX('Milho 2ª safra'!$E10:$Z10,MIN(M$6-$G$3,22))&lt;&gt;""),'Milho 2ª safra'!$E10:INDEX('Milho 2ª safra'!$E10:$Z10,MIN(M$6-$G$3,22))),0)))))</f>
        <v>0</v>
      </c>
      <c r="N12" s="27" t="n">
        <f aca="false">IF(COUNT('Milho 2ª safra'!$E10:$Z10)=0,0,MAX(0,IF((N$6-$E$3)&lt;1,0,IFERROR(LOOKUP(2,1/('Milho 2ª safra'!$E10:INDEX('Milho 2ª safra'!$E10:$Z10,MIN(N$6-$E$3,22))&lt;&gt;""),'Milho 2ª safra'!$E10:INDEX('Milho 2ª safra'!$E10:$Z10,MIN(N$6-$E$3,22))),0))-IF($G$2,0,IF((N$6-$G$3)&lt;1,0,IFERROR(LOOKUP(2,1/('Milho 2ª safra'!$E10:INDEX('Milho 2ª safra'!$E10:$Z10,MIN(N$6-$G$3,22))&lt;&gt;""),'Milho 2ª safra'!$E10:INDEX('Milho 2ª safra'!$E10:$Z10,MIN(N$6-$G$3,22))),0)))))</f>
        <v>0</v>
      </c>
      <c r="O12" s="27" t="n">
        <f aca="false">IF(COUNT('Milho 2ª safra'!$E10:$Z10)=0,0,MAX(0,IF((O$6-$E$3)&lt;1,0,IFERROR(LOOKUP(2,1/('Milho 2ª safra'!$E10:INDEX('Milho 2ª safra'!$E10:$Z10,MIN(O$6-$E$3,22))&lt;&gt;""),'Milho 2ª safra'!$E10:INDEX('Milho 2ª safra'!$E10:$Z10,MIN(O$6-$E$3,22))),0))-IF($G$2,0,IF((O$6-$G$3)&lt;1,0,IFERROR(LOOKUP(2,1/('Milho 2ª safra'!$E10:INDEX('Milho 2ª safra'!$E10:$Z10,MIN(O$6-$G$3,22))&lt;&gt;""),'Milho 2ª safra'!$E10:INDEX('Milho 2ª safra'!$E10:$Z10,MIN(O$6-$G$3,22))),0)))))</f>
        <v>0</v>
      </c>
      <c r="P12" s="27" t="n">
        <f aca="false">IF(COUNT('Milho 2ª safra'!$E10:$Z10)=0,0,MAX(0,IF((P$6-$E$3)&lt;1,0,IFERROR(LOOKUP(2,1/('Milho 2ª safra'!$E10:INDEX('Milho 2ª safra'!$E10:$Z10,MIN(P$6-$E$3,22))&lt;&gt;""),'Milho 2ª safra'!$E10:INDEX('Milho 2ª safra'!$E10:$Z10,MIN(P$6-$E$3,22))),0))-IF($G$2,0,IF((P$6-$G$3)&lt;1,0,IFERROR(LOOKUP(2,1/('Milho 2ª safra'!$E10:INDEX('Milho 2ª safra'!$E10:$Z10,MIN(P$6-$G$3,22))&lt;&gt;""),'Milho 2ª safra'!$E10:INDEX('Milho 2ª safra'!$E10:$Z10,MIN(P$6-$G$3,22))),0)))))</f>
        <v>0</v>
      </c>
      <c r="Q12" s="27" t="n">
        <f aca="false">IF(COUNT('Milho 2ª safra'!$E10:$Z10)=0,0,MAX(0,IF((Q$6-$E$3)&lt;1,0,IFERROR(LOOKUP(2,1/('Milho 2ª safra'!$E10:INDEX('Milho 2ª safra'!$E10:$Z10,MIN(Q$6-$E$3,22))&lt;&gt;""),'Milho 2ª safra'!$E10:INDEX('Milho 2ª safra'!$E10:$Z10,MIN(Q$6-$E$3,22))),0))-IF($G$2,0,IF((Q$6-$G$3)&lt;1,0,IFERROR(LOOKUP(2,1/('Milho 2ª safra'!$E10:INDEX('Milho 2ª safra'!$E10:$Z10,MIN(Q$6-$G$3,22))&lt;&gt;""),'Milho 2ª safra'!$E10:INDEX('Milho 2ª safra'!$E10:$Z10,MIN(Q$6-$G$3,22))),0)))))</f>
        <v>0</v>
      </c>
      <c r="R12" s="27" t="n">
        <f aca="false">IF(COUNT('Milho 2ª safra'!$E10:$Z10)=0,0,MAX(0,IF((R$6-$E$3)&lt;1,0,IFERROR(LOOKUP(2,1/('Milho 2ª safra'!$E10:INDEX('Milho 2ª safra'!$E10:$Z10,MIN(R$6-$E$3,22))&lt;&gt;""),'Milho 2ª safra'!$E10:INDEX('Milho 2ª safra'!$E10:$Z10,MIN(R$6-$E$3,22))),0))-IF($G$2,0,IF((R$6-$G$3)&lt;1,0,IFERROR(LOOKUP(2,1/('Milho 2ª safra'!$E10:INDEX('Milho 2ª safra'!$E10:$Z10,MIN(R$6-$G$3,22))&lt;&gt;""),'Milho 2ª safra'!$E10:INDEX('Milho 2ª safra'!$E10:$Z10,MIN(R$6-$G$3,22))),0)))))</f>
        <v>0</v>
      </c>
      <c r="S12" s="27" t="n">
        <f aca="false">IF(COUNT('Milho 2ª safra'!$E10:$Z10)=0,0,MAX(0,IF((S$6-$E$3)&lt;1,0,IFERROR(LOOKUP(2,1/('Milho 2ª safra'!$E10:INDEX('Milho 2ª safra'!$E10:$Z10,MIN(S$6-$E$3,22))&lt;&gt;""),'Milho 2ª safra'!$E10:INDEX('Milho 2ª safra'!$E10:$Z10,MIN(S$6-$E$3,22))),0))-IF($G$2,0,IF((S$6-$G$3)&lt;1,0,IFERROR(LOOKUP(2,1/('Milho 2ª safra'!$E10:INDEX('Milho 2ª safra'!$E10:$Z10,MIN(S$6-$G$3,22))&lt;&gt;""),'Milho 2ª safra'!$E10:INDEX('Milho 2ª safra'!$E10:$Z10,MIN(S$6-$G$3,22))),0)))))</f>
        <v>0</v>
      </c>
      <c r="T12" s="27" t="n">
        <f aca="false">IF(COUNT('Milho 2ª safra'!$E10:$Z10)=0,0,MAX(0,IF((T$6-$E$3)&lt;1,0,IFERROR(LOOKUP(2,1/('Milho 2ª safra'!$E10:INDEX('Milho 2ª safra'!$E10:$Z10,MIN(T$6-$E$3,22))&lt;&gt;""),'Milho 2ª safra'!$E10:INDEX('Milho 2ª safra'!$E10:$Z10,MIN(T$6-$E$3,22))),0))-IF($G$2,0,IF((T$6-$G$3)&lt;1,0,IFERROR(LOOKUP(2,1/('Milho 2ª safra'!$E10:INDEX('Milho 2ª safra'!$E10:$Z10,MIN(T$6-$G$3,22))&lt;&gt;""),'Milho 2ª safra'!$E10:INDEX('Milho 2ª safra'!$E10:$Z10,MIN(T$6-$G$3,22))),0)))))</f>
        <v>0</v>
      </c>
      <c r="U12" s="27" t="n">
        <f aca="false">IF(COUNT('Milho 2ª safra'!$E10:$Z10)=0,0,MAX(0,IF((U$6-$E$3)&lt;1,0,IFERROR(LOOKUP(2,1/('Milho 2ª safra'!$E10:INDEX('Milho 2ª safra'!$E10:$Z10,MIN(U$6-$E$3,22))&lt;&gt;""),'Milho 2ª safra'!$E10:INDEX('Milho 2ª safra'!$E10:$Z10,MIN(U$6-$E$3,22))),0))-IF($G$2,0,IF((U$6-$G$3)&lt;1,0,IFERROR(LOOKUP(2,1/('Milho 2ª safra'!$E10:INDEX('Milho 2ª safra'!$E10:$Z10,MIN(U$6-$G$3,22))&lt;&gt;""),'Milho 2ª safra'!$E10:INDEX('Milho 2ª safra'!$E10:$Z10,MIN(U$6-$G$3,22))),0)))))</f>
        <v>0</v>
      </c>
      <c r="V12" s="27" t="n">
        <f aca="false">IF(COUNT('Milho 2ª safra'!$E10:$Z10)=0,0,MAX(0,IF((V$6-$E$3)&lt;1,0,IFERROR(LOOKUP(2,1/('Milho 2ª safra'!$E10:INDEX('Milho 2ª safra'!$E10:$Z10,MIN(V$6-$E$3,22))&lt;&gt;""),'Milho 2ª safra'!$E10:INDEX('Milho 2ª safra'!$E10:$Z10,MIN(V$6-$E$3,22))),0))-IF($G$2,0,IF((V$6-$G$3)&lt;1,0,IFERROR(LOOKUP(2,1/('Milho 2ª safra'!$E10:INDEX('Milho 2ª safra'!$E10:$Z10,MIN(V$6-$G$3,22))&lt;&gt;""),'Milho 2ª safra'!$E10:INDEX('Milho 2ª safra'!$E10:$Z10,MIN(V$6-$G$3,22))),0)))))</f>
        <v>0</v>
      </c>
      <c r="W12" s="27" t="n">
        <f aca="false">IF(COUNT('Milho 2ª safra'!$E10:$Z10)=0,0,MAX(0,IF((W$6-$E$3)&lt;1,0,IFERROR(LOOKUP(2,1/('Milho 2ª safra'!$E10:INDEX('Milho 2ª safra'!$E10:$Z10,MIN(W$6-$E$3,22))&lt;&gt;""),'Milho 2ª safra'!$E10:INDEX('Milho 2ª safra'!$E10:$Z10,MIN(W$6-$E$3,22))),0))-IF($G$2,0,IF((W$6-$G$3)&lt;1,0,IFERROR(LOOKUP(2,1/('Milho 2ª safra'!$E10:INDEX('Milho 2ª safra'!$E10:$Z10,MIN(W$6-$G$3,22))&lt;&gt;""),'Milho 2ª safra'!$E10:INDEX('Milho 2ª safra'!$E10:$Z10,MIN(W$6-$G$3,22))),0)))))</f>
        <v>0</v>
      </c>
      <c r="X12" s="27" t="n">
        <f aca="false">IF(COUNT('Milho 2ª safra'!$E10:$Z10)=0,0,MAX(0,IF((X$6-$E$3)&lt;1,0,IFERROR(LOOKUP(2,1/('Milho 2ª safra'!$E10:INDEX('Milho 2ª safra'!$E10:$Z10,MIN(X$6-$E$3,22))&lt;&gt;""),'Milho 2ª safra'!$E10:INDEX('Milho 2ª safra'!$E10:$Z10,MIN(X$6-$E$3,22))),0))-IF($G$2,0,IF((X$6-$G$3)&lt;1,0,IFERROR(LOOKUP(2,1/('Milho 2ª safra'!$E10:INDEX('Milho 2ª safra'!$E10:$Z10,MIN(X$6-$G$3,22))&lt;&gt;""),'Milho 2ª safra'!$E10:INDEX('Milho 2ª safra'!$E10:$Z10,MIN(X$6-$G$3,22))),0)))))</f>
        <v>0</v>
      </c>
      <c r="Y12" s="27" t="n">
        <f aca="false">IF(COUNT('Milho 2ª safra'!$E10:$Z10)=0,0,MAX(0,IF((Y$6-$E$3)&lt;1,0,IFERROR(LOOKUP(2,1/('Milho 2ª safra'!$E10:INDEX('Milho 2ª safra'!$E10:$Z10,MIN(Y$6-$E$3,22))&lt;&gt;""),'Milho 2ª safra'!$E10:INDEX('Milho 2ª safra'!$E10:$Z10,MIN(Y$6-$E$3,22))),0))-IF($G$2,0,IF((Y$6-$G$3)&lt;1,0,IFERROR(LOOKUP(2,1/('Milho 2ª safra'!$E10:INDEX('Milho 2ª safra'!$E10:$Z10,MIN(Y$6-$G$3,22))&lt;&gt;""),'Milho 2ª safra'!$E10:INDEX('Milho 2ª safra'!$E10:$Z10,MIN(Y$6-$G$3,22))),0)))))</f>
        <v>0</v>
      </c>
      <c r="Z12" s="27" t="n">
        <f aca="false">IF(COUNT('Milho 2ª safra'!$E10:$Z10)=0,0,MAX(0,IF((Z$6-$E$3)&lt;1,0,IFERROR(LOOKUP(2,1/('Milho 2ª safra'!$E10:INDEX('Milho 2ª safra'!$E10:$Z10,MIN(Z$6-$E$3,22))&lt;&gt;""),'Milho 2ª safra'!$E10:INDEX('Milho 2ª safra'!$E10:$Z10,MIN(Z$6-$E$3,22))),0))-IF($G$2,0,IF((Z$6-$G$3)&lt;1,0,IFERROR(LOOKUP(2,1/('Milho 2ª safra'!$E10:INDEX('Milho 2ª safra'!$E10:$Z10,MIN(Z$6-$G$3,22))&lt;&gt;""),'Milho 2ª safra'!$E10:INDEX('Milho 2ª safra'!$E10:$Z10,MIN(Z$6-$G$3,22))),0)))))</f>
        <v>0</v>
      </c>
      <c r="AA12" s="27" t="n">
        <f aca="false">IF(COUNT('Milho 2ª safra'!$E10:$Z10)=0,0,MAX(0,IF((AA$6-$E$3)&lt;1,0,IFERROR(LOOKUP(2,1/('Milho 2ª safra'!$E10:INDEX('Milho 2ª safra'!$E10:$Z10,MIN(AA$6-$E$3,22))&lt;&gt;""),'Milho 2ª safra'!$E10:INDEX('Milho 2ª safra'!$E10:$Z10,MIN(AA$6-$E$3,22))),0))-IF($G$2,0,IF((AA$6-$G$3)&lt;1,0,IFERROR(LOOKUP(2,1/('Milho 2ª safra'!$E10:INDEX('Milho 2ª safra'!$E10:$Z10,MIN(AA$6-$G$3,22))&lt;&gt;""),'Milho 2ª safra'!$E10:INDEX('Milho 2ª safra'!$E10:$Z10,MIN(AA$6-$G$3,22))),0)))))</f>
        <v>0</v>
      </c>
      <c r="AB12" s="27" t="n">
        <f aca="false">IF(COUNT('Milho 2ª safra'!$E10:$Z10)=0,0,MAX(0,IF((AB$6-$E$3)&lt;1,0,IFERROR(LOOKUP(2,1/('Milho 2ª safra'!$E10:INDEX('Milho 2ª safra'!$E10:$Z10,MIN(AB$6-$E$3,22))&lt;&gt;""),'Milho 2ª safra'!$E10:INDEX('Milho 2ª safra'!$E10:$Z10,MIN(AB$6-$E$3,22))),0))-IF($G$2,0,IF((AB$6-$G$3)&lt;1,0,IFERROR(LOOKUP(2,1/('Milho 2ª safra'!$E10:INDEX('Milho 2ª safra'!$E10:$Z10,MIN(AB$6-$G$3,22))&lt;&gt;""),'Milho 2ª safra'!$E10:INDEX('Milho 2ª safra'!$E10:$Z10,MIN(AB$6-$G$3,22))),0)))))</f>
        <v>0</v>
      </c>
      <c r="AC12" s="27" t="n">
        <f aca="false">IF(COUNT('Milho 2ª safra'!$E10:$Z10)=0,0,MAX(0,IF((AC$6-$E$3)&lt;1,0,IFERROR(LOOKUP(2,1/('Milho 2ª safra'!$E10:INDEX('Milho 2ª safra'!$E10:$Z10,MIN(AC$6-$E$3,22))&lt;&gt;""),'Milho 2ª safra'!$E10:INDEX('Milho 2ª safra'!$E10:$Z10,MIN(AC$6-$E$3,22))),0))-IF($G$2,0,IF((AC$6-$G$3)&lt;1,0,IFERROR(LOOKUP(2,1/('Milho 2ª safra'!$E10:INDEX('Milho 2ª safra'!$E10:$Z10,MIN(AC$6-$G$3,22))&lt;&gt;""),'Milho 2ª safra'!$E10:INDEX('Milho 2ª safra'!$E10:$Z10,MIN(AC$6-$G$3,22))),0)))))</f>
        <v>0</v>
      </c>
      <c r="AD12" s="27" t="n">
        <f aca="false">IF(COUNT('Milho 2ª safra'!$E10:$Z10)=0,0,MAX(0,IF((AD$6-$E$3)&lt;1,0,IFERROR(LOOKUP(2,1/('Milho 2ª safra'!$E10:INDEX('Milho 2ª safra'!$E10:$Z10,MIN(AD$6-$E$3,22))&lt;&gt;""),'Milho 2ª safra'!$E10:INDEX('Milho 2ª safra'!$E10:$Z10,MIN(AD$6-$E$3,22))),0))-IF($G$2,0,IF((AD$6-$G$3)&lt;1,0,IFERROR(LOOKUP(2,1/('Milho 2ª safra'!$E10:INDEX('Milho 2ª safra'!$E10:$Z10,MIN(AD$6-$G$3,22))&lt;&gt;""),'Milho 2ª safra'!$E10:INDEX('Milho 2ª safra'!$E10:$Z10,MIN(AD$6-$G$3,22))),0)))))</f>
        <v>0</v>
      </c>
      <c r="AE12" s="27" t="n">
        <f aca="false">IF(COUNT('Milho 2ª safra'!$E10:$Z10)=0,0,MAX(0,IF((AE$6-$E$3)&lt;1,0,IFERROR(LOOKUP(2,1/('Milho 2ª safra'!$E10:INDEX('Milho 2ª safra'!$E10:$Z10,MIN(AE$6-$E$3,22))&lt;&gt;""),'Milho 2ª safra'!$E10:INDEX('Milho 2ª safra'!$E10:$Z10,MIN(AE$6-$E$3,22))),0))-IF($G$2,0,IF((AE$6-$G$3)&lt;1,0,IFERROR(LOOKUP(2,1/('Milho 2ª safra'!$E10:INDEX('Milho 2ª safra'!$E10:$Z10,MIN(AE$6-$G$3,22))&lt;&gt;""),'Milho 2ª safra'!$E10:INDEX('Milho 2ª safra'!$E10:$Z10,MIN(AE$6-$G$3,22))),0)))))</f>
        <v>0</v>
      </c>
      <c r="AF12" s="27" t="n">
        <f aca="false">IF(COUNT('Milho 2ª safra'!$E10:$Z10)=0,0,MAX(0,IF((AF$6-$E$3)&lt;1,0,IFERROR(LOOKUP(2,1/('Milho 2ª safra'!$E10:INDEX('Milho 2ª safra'!$E10:$Z10,MIN(AF$6-$E$3,22))&lt;&gt;""),'Milho 2ª safra'!$E10:INDEX('Milho 2ª safra'!$E10:$Z10,MIN(AF$6-$E$3,22))),0))-IF($G$2,0,IF((AF$6-$G$3)&lt;1,0,IFERROR(LOOKUP(2,1/('Milho 2ª safra'!$E10:INDEX('Milho 2ª safra'!$E10:$Z10,MIN(AF$6-$G$3,22))&lt;&gt;""),'Milho 2ª safra'!$E10:INDEX('Milho 2ª safra'!$E10:$Z10,MIN(AF$6-$G$3,22))),0)))))</f>
        <v>0</v>
      </c>
      <c r="AG12" s="27" t="n">
        <f aca="false">IF(COUNT('Milho 2ª safra'!$E10:$Z10)=0,0,MAX(0,IF((AG$6-$E$3)&lt;1,0,IFERROR(LOOKUP(2,1/('Milho 2ª safra'!$E10:INDEX('Milho 2ª safra'!$E10:$Z10,MIN(AG$6-$E$3,22))&lt;&gt;""),'Milho 2ª safra'!$E10:INDEX('Milho 2ª safra'!$E10:$Z10,MIN(AG$6-$E$3,22))),0))-IF($G$2,0,IF((AG$6-$G$3)&lt;1,0,IFERROR(LOOKUP(2,1/('Milho 2ª safra'!$E10:INDEX('Milho 2ª safra'!$E10:$Z10,MIN(AG$6-$G$3,22))&lt;&gt;""),'Milho 2ª safra'!$E10:INDEX('Milho 2ª safra'!$E10:$Z10,MIN(AG$6-$G$3,22))),0)))))</f>
        <v>0</v>
      </c>
      <c r="AH12" s="27" t="n">
        <f aca="false">IF(COUNT('Milho 2ª safra'!$E10:$Z10)=0,0,MAX(0,IF((AH$6-$E$3)&lt;1,0,IFERROR(LOOKUP(2,1/('Milho 2ª safra'!$E10:INDEX('Milho 2ª safra'!$E10:$Z10,MIN(AH$6-$E$3,22))&lt;&gt;""),'Milho 2ª safra'!$E10:INDEX('Milho 2ª safra'!$E10:$Z10,MIN(AH$6-$E$3,22))),0))-IF($G$2,0,IF((AH$6-$G$3)&lt;1,0,IFERROR(LOOKUP(2,1/('Milho 2ª safra'!$E10:INDEX('Milho 2ª safra'!$E10:$Z10,MIN(AH$6-$G$3,22))&lt;&gt;""),'Milho 2ª safra'!$E10:INDEX('Milho 2ª safra'!$E10:$Z10,MIN(AH$6-$G$3,22))),0)))))</f>
        <v>0</v>
      </c>
      <c r="AI12" s="27" t="n">
        <f aca="false">IF(COUNT('Milho 2ª safra'!$E10:$Z10)=0,0,MAX(0,IF((AI$6-$E$3)&lt;1,0,IFERROR(LOOKUP(2,1/('Milho 2ª safra'!$E10:INDEX('Milho 2ª safra'!$E10:$Z10,MIN(AI$6-$E$3,22))&lt;&gt;""),'Milho 2ª safra'!$E10:INDEX('Milho 2ª safra'!$E10:$Z10,MIN(AI$6-$E$3,22))),0))-IF($G$2,0,IF((AI$6-$G$3)&lt;1,0,IFERROR(LOOKUP(2,1/('Milho 2ª safra'!$E10:INDEX('Milho 2ª safra'!$E10:$Z10,MIN(AI$6-$G$3,22))&lt;&gt;""),'Milho 2ª safra'!$E10:INDEX('Milho 2ª safra'!$E10:$Z10,MIN(AI$6-$G$3,22))),0)))))</f>
        <v>0</v>
      </c>
      <c r="AJ12" s="27" t="n">
        <f aca="false">IF(COUNT('Milho 2ª safra'!$E10:$Z10)=0,0,MAX(0,IF((AJ$6-$E$3)&lt;1,0,IFERROR(LOOKUP(2,1/('Milho 2ª safra'!$E10:INDEX('Milho 2ª safra'!$E10:$Z10,MIN(AJ$6-$E$3,22))&lt;&gt;""),'Milho 2ª safra'!$E10:INDEX('Milho 2ª safra'!$E10:$Z10,MIN(AJ$6-$E$3,22))),0))-IF($G$2,0,IF((AJ$6-$G$3)&lt;1,0,IFERROR(LOOKUP(2,1/('Milho 2ª safra'!$E10:INDEX('Milho 2ª safra'!$E10:$Z10,MIN(AJ$6-$G$3,22))&lt;&gt;""),'Milho 2ª safra'!$E10:INDEX('Milho 2ª safra'!$E10:$Z10,MIN(AJ$6-$G$3,22))),0)))))</f>
        <v>0</v>
      </c>
      <c r="AK12" s="27" t="n">
        <f aca="false">IF(COUNT('Milho 2ª safra'!$E10:$Z10)=0,0,MAX(0,IF((AK$6-$E$3)&lt;1,0,IFERROR(LOOKUP(2,1/('Milho 2ª safra'!$E10:INDEX('Milho 2ª safra'!$E10:$Z10,MIN(AK$6-$E$3,22))&lt;&gt;""),'Milho 2ª safra'!$E10:INDEX('Milho 2ª safra'!$E10:$Z10,MIN(AK$6-$E$3,22))),0))-IF($G$2,0,IF((AK$6-$G$3)&lt;1,0,IFERROR(LOOKUP(2,1/('Milho 2ª safra'!$E10:INDEX('Milho 2ª safra'!$E10:$Z10,MIN(AK$6-$G$3,22))&lt;&gt;""),'Milho 2ª safra'!$E10:INDEX('Milho 2ª safra'!$E10:$Z10,MIN(AK$6-$G$3,22))),0)))))</f>
        <v>0</v>
      </c>
      <c r="AL12" s="27" t="n">
        <f aca="false">IF(COUNT('Milho 2ª safra'!$E10:$Z10)=0,0,MAX(0,IF((AL$6-$E$3)&lt;1,0,IFERROR(LOOKUP(2,1/('Milho 2ª safra'!$E10:INDEX('Milho 2ª safra'!$E10:$Z10,MIN(AL$6-$E$3,22))&lt;&gt;""),'Milho 2ª safra'!$E10:INDEX('Milho 2ª safra'!$E10:$Z10,MIN(AL$6-$E$3,22))),0))-IF($G$2,0,IF((AL$6-$G$3)&lt;1,0,IFERROR(LOOKUP(2,1/('Milho 2ª safra'!$E10:INDEX('Milho 2ª safra'!$E10:$Z10,MIN(AL$6-$G$3,22))&lt;&gt;""),'Milho 2ª safra'!$E10:INDEX('Milho 2ª safra'!$E10:$Z10,MIN(AL$6-$G$3,22))),0)))))</f>
        <v>0</v>
      </c>
      <c r="AM12" s="27" t="n">
        <f aca="false">IF(COUNT('Milho 2ª safra'!$E10:$Z10)=0,0,MAX(0,IF((AM$6-$E$3)&lt;1,0,IFERROR(LOOKUP(2,1/('Milho 2ª safra'!$E10:INDEX('Milho 2ª safra'!$E10:$Z10,MIN(AM$6-$E$3,22))&lt;&gt;""),'Milho 2ª safra'!$E10:INDEX('Milho 2ª safra'!$E10:$Z10,MIN(AM$6-$E$3,22))),0))-IF($G$2,0,IF((AM$6-$G$3)&lt;1,0,IFERROR(LOOKUP(2,1/('Milho 2ª safra'!$E10:INDEX('Milho 2ª safra'!$E10:$Z10,MIN(AM$6-$G$3,22))&lt;&gt;""),'Milho 2ª safra'!$E10:INDEX('Milho 2ª safra'!$E10:$Z10,MIN(AM$6-$G$3,22))),0)))))</f>
        <v>0</v>
      </c>
      <c r="AN12" s="27" t="n">
        <f aca="false">IF(COUNT('Milho 2ª safra'!$E10:$Z10)=0,0,MAX(0,IF((AN$6-$E$3)&lt;1,0,IFERROR(LOOKUP(2,1/('Milho 2ª safra'!$E10:INDEX('Milho 2ª safra'!$E10:$Z10,MIN(AN$6-$E$3,22))&lt;&gt;""),'Milho 2ª safra'!$E10:INDEX('Milho 2ª safra'!$E10:$Z10,MIN(AN$6-$E$3,22))),0))-IF($G$2,0,IF((AN$6-$G$3)&lt;1,0,IFERROR(LOOKUP(2,1/('Milho 2ª safra'!$E10:INDEX('Milho 2ª safra'!$E10:$Z10,MIN(AN$6-$G$3,22))&lt;&gt;""),'Milho 2ª safra'!$E10:INDEX('Milho 2ª safra'!$E10:$Z10,MIN(AN$6-$G$3,22))),0)))))</f>
        <v>0</v>
      </c>
      <c r="AO12" s="27" t="n">
        <f aca="false">IF(COUNT('Milho 2ª safra'!$E10:$Z10)=0,0,MAX(0,IF((AO$6-$E$3)&lt;1,0,IFERROR(LOOKUP(2,1/('Milho 2ª safra'!$E10:INDEX('Milho 2ª safra'!$E10:$Z10,MIN(AO$6-$E$3,22))&lt;&gt;""),'Milho 2ª safra'!$E10:INDEX('Milho 2ª safra'!$E10:$Z10,MIN(AO$6-$E$3,22))),0))-IF($G$2,0,IF((AO$6-$G$3)&lt;1,0,IFERROR(LOOKUP(2,1/('Milho 2ª safra'!$E10:INDEX('Milho 2ª safra'!$E10:$Z10,MIN(AO$6-$G$3,22))&lt;&gt;""),'Milho 2ª safra'!$E10:INDEX('Milho 2ª safra'!$E10:$Z10,MIN(AO$6-$G$3,22))),0)))))</f>
        <v>0</v>
      </c>
      <c r="AP12" s="27" t="n">
        <f aca="false">IF(COUNT('Milho 2ª safra'!$E10:$Z10)=0,0,MAX(0,IF((AP$6-$E$3)&lt;1,0,IFERROR(LOOKUP(2,1/('Milho 2ª safra'!$E10:INDEX('Milho 2ª safra'!$E10:$Z10,MIN(AP$6-$E$3,22))&lt;&gt;""),'Milho 2ª safra'!$E10:INDEX('Milho 2ª safra'!$E10:$Z10,MIN(AP$6-$E$3,22))),0))-IF($G$2,0,IF((AP$6-$G$3)&lt;1,0,IFERROR(LOOKUP(2,1/('Milho 2ª safra'!$E10:INDEX('Milho 2ª safra'!$E10:$Z10,MIN(AP$6-$G$3,22))&lt;&gt;""),'Milho 2ª safra'!$E10:INDEX('Milho 2ª safra'!$E10:$Z10,MIN(AP$6-$G$3,22))),0)))))</f>
        <v>0</v>
      </c>
      <c r="AQ12" s="27" t="n">
        <f aca="false">IF(COUNT('Milho 2ª safra'!$E10:$Z10)=0,0,MAX(0,IF((AQ$6-$E$3)&lt;1,0,IFERROR(LOOKUP(2,1/('Milho 2ª safra'!$E10:INDEX('Milho 2ª safra'!$E10:$Z10,MIN(AQ$6-$E$3,22))&lt;&gt;""),'Milho 2ª safra'!$E10:INDEX('Milho 2ª safra'!$E10:$Z10,MIN(AQ$6-$E$3,22))),0))-IF($G$2,0,IF((AQ$6-$G$3)&lt;1,0,IFERROR(LOOKUP(2,1/('Milho 2ª safra'!$E10:INDEX('Milho 2ª safra'!$E10:$Z10,MIN(AQ$6-$G$3,22))&lt;&gt;""),'Milho 2ª safra'!$E10:INDEX('Milho 2ª safra'!$E10:$Z10,MIN(AQ$6-$G$3,22))),0)))))</f>
        <v>0</v>
      </c>
      <c r="AR12" s="27" t="n">
        <f aca="false">IF(COUNT('Milho 2ª safra'!$E10:$Z10)=0,0,MAX(0,IF((AR$6-$E$3)&lt;1,0,IFERROR(LOOKUP(2,1/('Milho 2ª safra'!$E10:INDEX('Milho 2ª safra'!$E10:$Z10,MIN(AR$6-$E$3,22))&lt;&gt;""),'Milho 2ª safra'!$E10:INDEX('Milho 2ª safra'!$E10:$Z10,MIN(AR$6-$E$3,22))),0))-IF($G$2,0,IF((AR$6-$G$3)&lt;1,0,IFERROR(LOOKUP(2,1/('Milho 2ª safra'!$E10:INDEX('Milho 2ª safra'!$E10:$Z10,MIN(AR$6-$G$3,22))&lt;&gt;""),'Milho 2ª safra'!$E10:INDEX('Milho 2ª safra'!$E10:$Z10,MIN(AR$6-$G$3,22))),0)))))</f>
        <v>0</v>
      </c>
      <c r="AS12" s="27" t="n">
        <f aca="false">IF(COUNT('Milho 2ª safra'!$E10:$Z10)=0,0,MAX(0,IF((AS$6-$E$3)&lt;1,0,IFERROR(LOOKUP(2,1/('Milho 2ª safra'!$E10:INDEX('Milho 2ª safra'!$E10:$Z10,MIN(AS$6-$E$3,22))&lt;&gt;""),'Milho 2ª safra'!$E10:INDEX('Milho 2ª safra'!$E10:$Z10,MIN(AS$6-$E$3,22))),0))-IF($G$2,0,IF((AS$6-$G$3)&lt;1,0,IFERROR(LOOKUP(2,1/('Milho 2ª safra'!$E10:INDEX('Milho 2ª safra'!$E10:$Z10,MIN(AS$6-$G$3,22))&lt;&gt;""),'Milho 2ª safra'!$E10:INDEX('Milho 2ª safra'!$E10:$Z10,MIN(AS$6-$G$3,22))),0)))))</f>
        <v>0</v>
      </c>
      <c r="AT12" s="27" t="n">
        <f aca="false">IF(COUNT('Milho 2ª safra'!$E10:$Z10)=0,0,MAX(0,IF((AT$6-$E$3)&lt;1,0,IFERROR(LOOKUP(2,1/('Milho 2ª safra'!$E10:INDEX('Milho 2ª safra'!$E10:$Z10,MIN(AT$6-$E$3,22))&lt;&gt;""),'Milho 2ª safra'!$E10:INDEX('Milho 2ª safra'!$E10:$Z10,MIN(AT$6-$E$3,22))),0))-IF($G$2,0,IF((AT$6-$G$3)&lt;1,0,IFERROR(LOOKUP(2,1/('Milho 2ª safra'!$E10:INDEX('Milho 2ª safra'!$E10:$Z10,MIN(AT$6-$G$3,22))&lt;&gt;""),'Milho 2ª safra'!$E10:INDEX('Milho 2ª safra'!$E10:$Z10,MIN(AT$6-$G$3,22))),0)))))</f>
        <v>0</v>
      </c>
      <c r="AU12" s="27" t="n">
        <f aca="false">IF(COUNT('Milho 2ª safra'!$E10:$Z10)=0,0,MAX(0,IF((AU$6-$E$3)&lt;1,0,IFERROR(LOOKUP(2,1/('Milho 2ª safra'!$E10:INDEX('Milho 2ª safra'!$E10:$Z10,MIN(AU$6-$E$3,22))&lt;&gt;""),'Milho 2ª safra'!$E10:INDEX('Milho 2ª safra'!$E10:$Z10,MIN(AU$6-$E$3,22))),0))-IF($G$2,0,IF((AU$6-$G$3)&lt;1,0,IFERROR(LOOKUP(2,1/('Milho 2ª safra'!$E10:INDEX('Milho 2ª safra'!$E10:$Z10,MIN(AU$6-$G$3,22))&lt;&gt;""),'Milho 2ª safra'!$E10:INDEX('Milho 2ª safra'!$E10:$Z10,MIN(AU$6-$G$3,22))),0)))))</f>
        <v>0</v>
      </c>
      <c r="AV12" s="27" t="n">
        <f aca="false">IF(COUNT('Milho 2ª safra'!$E10:$Z10)=0,0,MAX(0,IF((AV$6-$E$3)&lt;1,0,IFERROR(LOOKUP(2,1/('Milho 2ª safra'!$E10:INDEX('Milho 2ª safra'!$E10:$Z10,MIN(AV$6-$E$3,22))&lt;&gt;""),'Milho 2ª safra'!$E10:INDEX('Milho 2ª safra'!$E10:$Z10,MIN(AV$6-$E$3,22))),0))-IF($G$2,0,IF((AV$6-$G$3)&lt;1,0,IFERROR(LOOKUP(2,1/('Milho 2ª safra'!$E10:INDEX('Milho 2ª safra'!$E10:$Z10,MIN(AV$6-$G$3,22))&lt;&gt;""),'Milho 2ª safra'!$E10:INDEX('Milho 2ª safra'!$E10:$Z10,MIN(AV$6-$G$3,22))),0)))))</f>
        <v>0</v>
      </c>
      <c r="AW12" s="27" t="n">
        <f aca="false">IF(COUNT('Milho 2ª safra'!$E10:$Z10)=0,0,MAX(0,IF((AW$6-$E$3)&lt;1,0,IFERROR(LOOKUP(2,1/('Milho 2ª safra'!$E10:INDEX('Milho 2ª safra'!$E10:$Z10,MIN(AW$6-$E$3,22))&lt;&gt;""),'Milho 2ª safra'!$E10:INDEX('Milho 2ª safra'!$E10:$Z10,MIN(AW$6-$E$3,22))),0))-IF($G$2,0,IF((AW$6-$G$3)&lt;1,0,IFERROR(LOOKUP(2,1/('Milho 2ª safra'!$E10:INDEX('Milho 2ª safra'!$E10:$Z10,MIN(AW$6-$G$3,22))&lt;&gt;""),'Milho 2ª safra'!$E10:INDEX('Milho 2ª safra'!$E10:$Z10,MIN(AW$6-$G$3,22))),0)))))</f>
        <v>0</v>
      </c>
      <c r="AX12" s="27" t="n">
        <f aca="false">IF(COUNT('Milho 2ª safra'!$E10:$Z10)=0,0,MAX(0,IF((AX$6-$E$3)&lt;1,0,IFERROR(LOOKUP(2,1/('Milho 2ª safra'!$E10:INDEX('Milho 2ª safra'!$E10:$Z10,MIN(AX$6-$E$3,22))&lt;&gt;""),'Milho 2ª safra'!$E10:INDEX('Milho 2ª safra'!$E10:$Z10,MIN(AX$6-$E$3,22))),0))-IF($G$2,0,IF((AX$6-$G$3)&lt;1,0,IFERROR(LOOKUP(2,1/('Milho 2ª safra'!$E10:INDEX('Milho 2ª safra'!$E10:$Z10,MIN(AX$6-$G$3,22))&lt;&gt;""),'Milho 2ª safra'!$E10:INDEX('Milho 2ª safra'!$E10:$Z10,MIN(AX$6-$G$3,22))),0)))))</f>
        <v>0</v>
      </c>
      <c r="AY12" s="27" t="n">
        <f aca="false">IF(COUNT('Milho 2ª safra'!$E10:$Z10)=0,0,MAX(0,IF((AY$6-$E$3)&lt;1,0,IFERROR(LOOKUP(2,1/('Milho 2ª safra'!$E10:INDEX('Milho 2ª safra'!$E10:$Z10,MIN(AY$6-$E$3,22))&lt;&gt;""),'Milho 2ª safra'!$E10:INDEX('Milho 2ª safra'!$E10:$Z10,MIN(AY$6-$E$3,22))),0))-IF($G$2,0,IF((AY$6-$G$3)&lt;1,0,IFERROR(LOOKUP(2,1/('Milho 2ª safra'!$E10:INDEX('Milho 2ª safra'!$E10:$Z10,MIN(AY$6-$G$3,22))&lt;&gt;""),'Milho 2ª safra'!$E10:INDEX('Milho 2ª safra'!$E10:$Z10,MIN(AY$6-$G$3,22))),0)))))</f>
        <v>0</v>
      </c>
      <c r="AZ12" s="27" t="n">
        <f aca="false">IF(COUNT('Milho 2ª safra'!$E10:$Z10)=0,0,MAX(0,IF((AZ$6-$E$3)&lt;1,0,IFERROR(LOOKUP(2,1/('Milho 2ª safra'!$E10:INDEX('Milho 2ª safra'!$E10:$Z10,MIN(AZ$6-$E$3,22))&lt;&gt;""),'Milho 2ª safra'!$E10:INDEX('Milho 2ª safra'!$E10:$Z10,MIN(AZ$6-$E$3,22))),0))-IF($G$2,0,IF((AZ$6-$G$3)&lt;1,0,IFERROR(LOOKUP(2,1/('Milho 2ª safra'!$E10:INDEX('Milho 2ª safra'!$E10:$Z10,MIN(AZ$6-$G$3,22))&lt;&gt;""),'Milho 2ª safra'!$E10:INDEX('Milho 2ª safra'!$E10:$Z10,MIN(AZ$6-$G$3,22))),0)))))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IF(COUNT('Milho 2ª safra'!$E11:$Z11)&gt;0,N('Milho 2ª safra'!$D11),0)</f>
        <v>0</v>
      </c>
      <c r="E13" s="27" t="n">
        <f aca="false">IF(COUNT('Milho 2ª safra'!$E11:$Z11)=0,0,MAX(0,IF((E$6-$E$3)&lt;1,0,IFERROR(LOOKUP(2,1/('Milho 2ª safra'!$E11:INDEX('Milho 2ª safra'!$E11:$Z11,MIN(E$6-$E$3,22))&lt;&gt;""),'Milho 2ª safra'!$E11:INDEX('Milho 2ª safra'!$E11:$Z11,MIN(E$6-$E$3,22))),0))-IF($G$2,0,IF((E$6-$G$3)&lt;1,0,IFERROR(LOOKUP(2,1/('Milho 2ª safra'!$E11:INDEX('Milho 2ª safra'!$E11:$Z11,MIN(E$6-$G$3,22))&lt;&gt;""),'Milho 2ª safra'!$E11:INDEX('Milho 2ª safra'!$E11:$Z11,MIN(E$6-$G$3,22))),0)))))</f>
        <v>0</v>
      </c>
      <c r="F13" s="27" t="n">
        <f aca="false">IF(COUNT('Milho 2ª safra'!$E11:$Z11)=0,0,MAX(0,IF((F$6-$E$3)&lt;1,0,IFERROR(LOOKUP(2,1/('Milho 2ª safra'!$E11:INDEX('Milho 2ª safra'!$E11:$Z11,MIN(F$6-$E$3,22))&lt;&gt;""),'Milho 2ª safra'!$E11:INDEX('Milho 2ª safra'!$E11:$Z11,MIN(F$6-$E$3,22))),0))-IF($G$2,0,IF((F$6-$G$3)&lt;1,0,IFERROR(LOOKUP(2,1/('Milho 2ª safra'!$E11:INDEX('Milho 2ª safra'!$E11:$Z11,MIN(F$6-$G$3,22))&lt;&gt;""),'Milho 2ª safra'!$E11:INDEX('Milho 2ª safra'!$E11:$Z11,MIN(F$6-$G$3,22))),0)))))</f>
        <v>0</v>
      </c>
      <c r="G13" s="27" t="n">
        <f aca="false">IF(COUNT('Milho 2ª safra'!$E11:$Z11)=0,0,MAX(0,IF((G$6-$E$3)&lt;1,0,IFERROR(LOOKUP(2,1/('Milho 2ª safra'!$E11:INDEX('Milho 2ª safra'!$E11:$Z11,MIN(G$6-$E$3,22))&lt;&gt;""),'Milho 2ª safra'!$E11:INDEX('Milho 2ª safra'!$E11:$Z11,MIN(G$6-$E$3,22))),0))-IF($G$2,0,IF((G$6-$G$3)&lt;1,0,IFERROR(LOOKUP(2,1/('Milho 2ª safra'!$E11:INDEX('Milho 2ª safra'!$E11:$Z11,MIN(G$6-$G$3,22))&lt;&gt;""),'Milho 2ª safra'!$E11:INDEX('Milho 2ª safra'!$E11:$Z11,MIN(G$6-$G$3,22))),0)))))</f>
        <v>0</v>
      </c>
      <c r="H13" s="27" t="n">
        <f aca="false">IF(COUNT('Milho 2ª safra'!$E11:$Z11)=0,0,MAX(0,IF((H$6-$E$3)&lt;1,0,IFERROR(LOOKUP(2,1/('Milho 2ª safra'!$E11:INDEX('Milho 2ª safra'!$E11:$Z11,MIN(H$6-$E$3,22))&lt;&gt;""),'Milho 2ª safra'!$E11:INDEX('Milho 2ª safra'!$E11:$Z11,MIN(H$6-$E$3,22))),0))-IF($G$2,0,IF((H$6-$G$3)&lt;1,0,IFERROR(LOOKUP(2,1/('Milho 2ª safra'!$E11:INDEX('Milho 2ª safra'!$E11:$Z11,MIN(H$6-$G$3,22))&lt;&gt;""),'Milho 2ª safra'!$E11:INDEX('Milho 2ª safra'!$E11:$Z11,MIN(H$6-$G$3,22))),0)))))</f>
        <v>0</v>
      </c>
      <c r="I13" s="27" t="n">
        <f aca="false">IF(COUNT('Milho 2ª safra'!$E11:$Z11)=0,0,MAX(0,IF((I$6-$E$3)&lt;1,0,IFERROR(LOOKUP(2,1/('Milho 2ª safra'!$E11:INDEX('Milho 2ª safra'!$E11:$Z11,MIN(I$6-$E$3,22))&lt;&gt;""),'Milho 2ª safra'!$E11:INDEX('Milho 2ª safra'!$E11:$Z11,MIN(I$6-$E$3,22))),0))-IF($G$2,0,IF((I$6-$G$3)&lt;1,0,IFERROR(LOOKUP(2,1/('Milho 2ª safra'!$E11:INDEX('Milho 2ª safra'!$E11:$Z11,MIN(I$6-$G$3,22))&lt;&gt;""),'Milho 2ª safra'!$E11:INDEX('Milho 2ª safra'!$E11:$Z11,MIN(I$6-$G$3,22))),0)))))</f>
        <v>0</v>
      </c>
      <c r="J13" s="27" t="n">
        <f aca="false">IF(COUNT('Milho 2ª safra'!$E11:$Z11)=0,0,MAX(0,IF((J$6-$E$3)&lt;1,0,IFERROR(LOOKUP(2,1/('Milho 2ª safra'!$E11:INDEX('Milho 2ª safra'!$E11:$Z11,MIN(J$6-$E$3,22))&lt;&gt;""),'Milho 2ª safra'!$E11:INDEX('Milho 2ª safra'!$E11:$Z11,MIN(J$6-$E$3,22))),0))-IF($G$2,0,IF((J$6-$G$3)&lt;1,0,IFERROR(LOOKUP(2,1/('Milho 2ª safra'!$E11:INDEX('Milho 2ª safra'!$E11:$Z11,MIN(J$6-$G$3,22))&lt;&gt;""),'Milho 2ª safra'!$E11:INDEX('Milho 2ª safra'!$E11:$Z11,MIN(J$6-$G$3,22))),0)))))</f>
        <v>0</v>
      </c>
      <c r="K13" s="27" t="n">
        <f aca="false">IF(COUNT('Milho 2ª safra'!$E11:$Z11)=0,0,MAX(0,IF((K$6-$E$3)&lt;1,0,IFERROR(LOOKUP(2,1/('Milho 2ª safra'!$E11:INDEX('Milho 2ª safra'!$E11:$Z11,MIN(K$6-$E$3,22))&lt;&gt;""),'Milho 2ª safra'!$E11:INDEX('Milho 2ª safra'!$E11:$Z11,MIN(K$6-$E$3,22))),0))-IF($G$2,0,IF((K$6-$G$3)&lt;1,0,IFERROR(LOOKUP(2,1/('Milho 2ª safra'!$E11:INDEX('Milho 2ª safra'!$E11:$Z11,MIN(K$6-$G$3,22))&lt;&gt;""),'Milho 2ª safra'!$E11:INDEX('Milho 2ª safra'!$E11:$Z11,MIN(K$6-$G$3,22))),0)))))</f>
        <v>0</v>
      </c>
      <c r="L13" s="27" t="n">
        <f aca="false">IF(COUNT('Milho 2ª safra'!$E11:$Z11)=0,0,MAX(0,IF((L$6-$E$3)&lt;1,0,IFERROR(LOOKUP(2,1/('Milho 2ª safra'!$E11:INDEX('Milho 2ª safra'!$E11:$Z11,MIN(L$6-$E$3,22))&lt;&gt;""),'Milho 2ª safra'!$E11:INDEX('Milho 2ª safra'!$E11:$Z11,MIN(L$6-$E$3,22))),0))-IF($G$2,0,IF((L$6-$G$3)&lt;1,0,IFERROR(LOOKUP(2,1/('Milho 2ª safra'!$E11:INDEX('Milho 2ª safra'!$E11:$Z11,MIN(L$6-$G$3,22))&lt;&gt;""),'Milho 2ª safra'!$E11:INDEX('Milho 2ª safra'!$E11:$Z11,MIN(L$6-$G$3,22))),0)))))</f>
        <v>0</v>
      </c>
      <c r="M13" s="27" t="n">
        <f aca="false">IF(COUNT('Milho 2ª safra'!$E11:$Z11)=0,0,MAX(0,IF((M$6-$E$3)&lt;1,0,IFERROR(LOOKUP(2,1/('Milho 2ª safra'!$E11:INDEX('Milho 2ª safra'!$E11:$Z11,MIN(M$6-$E$3,22))&lt;&gt;""),'Milho 2ª safra'!$E11:INDEX('Milho 2ª safra'!$E11:$Z11,MIN(M$6-$E$3,22))),0))-IF($G$2,0,IF((M$6-$G$3)&lt;1,0,IFERROR(LOOKUP(2,1/('Milho 2ª safra'!$E11:INDEX('Milho 2ª safra'!$E11:$Z11,MIN(M$6-$G$3,22))&lt;&gt;""),'Milho 2ª safra'!$E11:INDEX('Milho 2ª safra'!$E11:$Z11,MIN(M$6-$G$3,22))),0)))))</f>
        <v>0</v>
      </c>
      <c r="N13" s="27" t="n">
        <f aca="false">IF(COUNT('Milho 2ª safra'!$E11:$Z11)=0,0,MAX(0,IF((N$6-$E$3)&lt;1,0,IFERROR(LOOKUP(2,1/('Milho 2ª safra'!$E11:INDEX('Milho 2ª safra'!$E11:$Z11,MIN(N$6-$E$3,22))&lt;&gt;""),'Milho 2ª safra'!$E11:INDEX('Milho 2ª safra'!$E11:$Z11,MIN(N$6-$E$3,22))),0))-IF($G$2,0,IF((N$6-$G$3)&lt;1,0,IFERROR(LOOKUP(2,1/('Milho 2ª safra'!$E11:INDEX('Milho 2ª safra'!$E11:$Z11,MIN(N$6-$G$3,22))&lt;&gt;""),'Milho 2ª safra'!$E11:INDEX('Milho 2ª safra'!$E11:$Z11,MIN(N$6-$G$3,22))),0)))))</f>
        <v>0</v>
      </c>
      <c r="O13" s="27" t="n">
        <f aca="false">IF(COUNT('Milho 2ª safra'!$E11:$Z11)=0,0,MAX(0,IF((O$6-$E$3)&lt;1,0,IFERROR(LOOKUP(2,1/('Milho 2ª safra'!$E11:INDEX('Milho 2ª safra'!$E11:$Z11,MIN(O$6-$E$3,22))&lt;&gt;""),'Milho 2ª safra'!$E11:INDEX('Milho 2ª safra'!$E11:$Z11,MIN(O$6-$E$3,22))),0))-IF($G$2,0,IF((O$6-$G$3)&lt;1,0,IFERROR(LOOKUP(2,1/('Milho 2ª safra'!$E11:INDEX('Milho 2ª safra'!$E11:$Z11,MIN(O$6-$G$3,22))&lt;&gt;""),'Milho 2ª safra'!$E11:INDEX('Milho 2ª safra'!$E11:$Z11,MIN(O$6-$G$3,22))),0)))))</f>
        <v>0</v>
      </c>
      <c r="P13" s="27" t="n">
        <f aca="false">IF(COUNT('Milho 2ª safra'!$E11:$Z11)=0,0,MAX(0,IF((P$6-$E$3)&lt;1,0,IFERROR(LOOKUP(2,1/('Milho 2ª safra'!$E11:INDEX('Milho 2ª safra'!$E11:$Z11,MIN(P$6-$E$3,22))&lt;&gt;""),'Milho 2ª safra'!$E11:INDEX('Milho 2ª safra'!$E11:$Z11,MIN(P$6-$E$3,22))),0))-IF($G$2,0,IF((P$6-$G$3)&lt;1,0,IFERROR(LOOKUP(2,1/('Milho 2ª safra'!$E11:INDEX('Milho 2ª safra'!$E11:$Z11,MIN(P$6-$G$3,22))&lt;&gt;""),'Milho 2ª safra'!$E11:INDEX('Milho 2ª safra'!$E11:$Z11,MIN(P$6-$G$3,22))),0)))))</f>
        <v>0</v>
      </c>
      <c r="Q13" s="27" t="n">
        <f aca="false">IF(COUNT('Milho 2ª safra'!$E11:$Z11)=0,0,MAX(0,IF((Q$6-$E$3)&lt;1,0,IFERROR(LOOKUP(2,1/('Milho 2ª safra'!$E11:INDEX('Milho 2ª safra'!$E11:$Z11,MIN(Q$6-$E$3,22))&lt;&gt;""),'Milho 2ª safra'!$E11:INDEX('Milho 2ª safra'!$E11:$Z11,MIN(Q$6-$E$3,22))),0))-IF($G$2,0,IF((Q$6-$G$3)&lt;1,0,IFERROR(LOOKUP(2,1/('Milho 2ª safra'!$E11:INDEX('Milho 2ª safra'!$E11:$Z11,MIN(Q$6-$G$3,22))&lt;&gt;""),'Milho 2ª safra'!$E11:INDEX('Milho 2ª safra'!$E11:$Z11,MIN(Q$6-$G$3,22))),0)))))</f>
        <v>0</v>
      </c>
      <c r="R13" s="27" t="n">
        <f aca="false">IF(COUNT('Milho 2ª safra'!$E11:$Z11)=0,0,MAX(0,IF((R$6-$E$3)&lt;1,0,IFERROR(LOOKUP(2,1/('Milho 2ª safra'!$E11:INDEX('Milho 2ª safra'!$E11:$Z11,MIN(R$6-$E$3,22))&lt;&gt;""),'Milho 2ª safra'!$E11:INDEX('Milho 2ª safra'!$E11:$Z11,MIN(R$6-$E$3,22))),0))-IF($G$2,0,IF((R$6-$G$3)&lt;1,0,IFERROR(LOOKUP(2,1/('Milho 2ª safra'!$E11:INDEX('Milho 2ª safra'!$E11:$Z11,MIN(R$6-$G$3,22))&lt;&gt;""),'Milho 2ª safra'!$E11:INDEX('Milho 2ª safra'!$E11:$Z11,MIN(R$6-$G$3,22))),0)))))</f>
        <v>0</v>
      </c>
      <c r="S13" s="27" t="n">
        <f aca="false">IF(COUNT('Milho 2ª safra'!$E11:$Z11)=0,0,MAX(0,IF((S$6-$E$3)&lt;1,0,IFERROR(LOOKUP(2,1/('Milho 2ª safra'!$E11:INDEX('Milho 2ª safra'!$E11:$Z11,MIN(S$6-$E$3,22))&lt;&gt;""),'Milho 2ª safra'!$E11:INDEX('Milho 2ª safra'!$E11:$Z11,MIN(S$6-$E$3,22))),0))-IF($G$2,0,IF((S$6-$G$3)&lt;1,0,IFERROR(LOOKUP(2,1/('Milho 2ª safra'!$E11:INDEX('Milho 2ª safra'!$E11:$Z11,MIN(S$6-$G$3,22))&lt;&gt;""),'Milho 2ª safra'!$E11:INDEX('Milho 2ª safra'!$E11:$Z11,MIN(S$6-$G$3,22))),0)))))</f>
        <v>0</v>
      </c>
      <c r="T13" s="27" t="n">
        <f aca="false">IF(COUNT('Milho 2ª safra'!$E11:$Z11)=0,0,MAX(0,IF((T$6-$E$3)&lt;1,0,IFERROR(LOOKUP(2,1/('Milho 2ª safra'!$E11:INDEX('Milho 2ª safra'!$E11:$Z11,MIN(T$6-$E$3,22))&lt;&gt;""),'Milho 2ª safra'!$E11:INDEX('Milho 2ª safra'!$E11:$Z11,MIN(T$6-$E$3,22))),0))-IF($G$2,0,IF((T$6-$G$3)&lt;1,0,IFERROR(LOOKUP(2,1/('Milho 2ª safra'!$E11:INDEX('Milho 2ª safra'!$E11:$Z11,MIN(T$6-$G$3,22))&lt;&gt;""),'Milho 2ª safra'!$E11:INDEX('Milho 2ª safra'!$E11:$Z11,MIN(T$6-$G$3,22))),0)))))</f>
        <v>0</v>
      </c>
      <c r="U13" s="27" t="n">
        <f aca="false">IF(COUNT('Milho 2ª safra'!$E11:$Z11)=0,0,MAX(0,IF((U$6-$E$3)&lt;1,0,IFERROR(LOOKUP(2,1/('Milho 2ª safra'!$E11:INDEX('Milho 2ª safra'!$E11:$Z11,MIN(U$6-$E$3,22))&lt;&gt;""),'Milho 2ª safra'!$E11:INDEX('Milho 2ª safra'!$E11:$Z11,MIN(U$6-$E$3,22))),0))-IF($G$2,0,IF((U$6-$G$3)&lt;1,0,IFERROR(LOOKUP(2,1/('Milho 2ª safra'!$E11:INDEX('Milho 2ª safra'!$E11:$Z11,MIN(U$6-$G$3,22))&lt;&gt;""),'Milho 2ª safra'!$E11:INDEX('Milho 2ª safra'!$E11:$Z11,MIN(U$6-$G$3,22))),0)))))</f>
        <v>0</v>
      </c>
      <c r="V13" s="27" t="n">
        <f aca="false">IF(COUNT('Milho 2ª safra'!$E11:$Z11)=0,0,MAX(0,IF((V$6-$E$3)&lt;1,0,IFERROR(LOOKUP(2,1/('Milho 2ª safra'!$E11:INDEX('Milho 2ª safra'!$E11:$Z11,MIN(V$6-$E$3,22))&lt;&gt;""),'Milho 2ª safra'!$E11:INDEX('Milho 2ª safra'!$E11:$Z11,MIN(V$6-$E$3,22))),0))-IF($G$2,0,IF((V$6-$G$3)&lt;1,0,IFERROR(LOOKUP(2,1/('Milho 2ª safra'!$E11:INDEX('Milho 2ª safra'!$E11:$Z11,MIN(V$6-$G$3,22))&lt;&gt;""),'Milho 2ª safra'!$E11:INDEX('Milho 2ª safra'!$E11:$Z11,MIN(V$6-$G$3,22))),0)))))</f>
        <v>0</v>
      </c>
      <c r="W13" s="27" t="n">
        <f aca="false">IF(COUNT('Milho 2ª safra'!$E11:$Z11)=0,0,MAX(0,IF((W$6-$E$3)&lt;1,0,IFERROR(LOOKUP(2,1/('Milho 2ª safra'!$E11:INDEX('Milho 2ª safra'!$E11:$Z11,MIN(W$6-$E$3,22))&lt;&gt;""),'Milho 2ª safra'!$E11:INDEX('Milho 2ª safra'!$E11:$Z11,MIN(W$6-$E$3,22))),0))-IF($G$2,0,IF((W$6-$G$3)&lt;1,0,IFERROR(LOOKUP(2,1/('Milho 2ª safra'!$E11:INDEX('Milho 2ª safra'!$E11:$Z11,MIN(W$6-$G$3,22))&lt;&gt;""),'Milho 2ª safra'!$E11:INDEX('Milho 2ª safra'!$E11:$Z11,MIN(W$6-$G$3,22))),0)))))</f>
        <v>0</v>
      </c>
      <c r="X13" s="27" t="n">
        <f aca="false">IF(COUNT('Milho 2ª safra'!$E11:$Z11)=0,0,MAX(0,IF((X$6-$E$3)&lt;1,0,IFERROR(LOOKUP(2,1/('Milho 2ª safra'!$E11:INDEX('Milho 2ª safra'!$E11:$Z11,MIN(X$6-$E$3,22))&lt;&gt;""),'Milho 2ª safra'!$E11:INDEX('Milho 2ª safra'!$E11:$Z11,MIN(X$6-$E$3,22))),0))-IF($G$2,0,IF((X$6-$G$3)&lt;1,0,IFERROR(LOOKUP(2,1/('Milho 2ª safra'!$E11:INDEX('Milho 2ª safra'!$E11:$Z11,MIN(X$6-$G$3,22))&lt;&gt;""),'Milho 2ª safra'!$E11:INDEX('Milho 2ª safra'!$E11:$Z11,MIN(X$6-$G$3,22))),0)))))</f>
        <v>0</v>
      </c>
      <c r="Y13" s="27" t="n">
        <f aca="false">IF(COUNT('Milho 2ª safra'!$E11:$Z11)=0,0,MAX(0,IF((Y$6-$E$3)&lt;1,0,IFERROR(LOOKUP(2,1/('Milho 2ª safra'!$E11:INDEX('Milho 2ª safra'!$E11:$Z11,MIN(Y$6-$E$3,22))&lt;&gt;""),'Milho 2ª safra'!$E11:INDEX('Milho 2ª safra'!$E11:$Z11,MIN(Y$6-$E$3,22))),0))-IF($G$2,0,IF((Y$6-$G$3)&lt;1,0,IFERROR(LOOKUP(2,1/('Milho 2ª safra'!$E11:INDEX('Milho 2ª safra'!$E11:$Z11,MIN(Y$6-$G$3,22))&lt;&gt;""),'Milho 2ª safra'!$E11:INDEX('Milho 2ª safra'!$E11:$Z11,MIN(Y$6-$G$3,22))),0)))))</f>
        <v>0</v>
      </c>
      <c r="Z13" s="27" t="n">
        <f aca="false">IF(COUNT('Milho 2ª safra'!$E11:$Z11)=0,0,MAX(0,IF((Z$6-$E$3)&lt;1,0,IFERROR(LOOKUP(2,1/('Milho 2ª safra'!$E11:INDEX('Milho 2ª safra'!$E11:$Z11,MIN(Z$6-$E$3,22))&lt;&gt;""),'Milho 2ª safra'!$E11:INDEX('Milho 2ª safra'!$E11:$Z11,MIN(Z$6-$E$3,22))),0))-IF($G$2,0,IF((Z$6-$G$3)&lt;1,0,IFERROR(LOOKUP(2,1/('Milho 2ª safra'!$E11:INDEX('Milho 2ª safra'!$E11:$Z11,MIN(Z$6-$G$3,22))&lt;&gt;""),'Milho 2ª safra'!$E11:INDEX('Milho 2ª safra'!$E11:$Z11,MIN(Z$6-$G$3,22))),0)))))</f>
        <v>0</v>
      </c>
      <c r="AA13" s="27" t="n">
        <f aca="false">IF(COUNT('Milho 2ª safra'!$E11:$Z11)=0,0,MAX(0,IF((AA$6-$E$3)&lt;1,0,IFERROR(LOOKUP(2,1/('Milho 2ª safra'!$E11:INDEX('Milho 2ª safra'!$E11:$Z11,MIN(AA$6-$E$3,22))&lt;&gt;""),'Milho 2ª safra'!$E11:INDEX('Milho 2ª safra'!$E11:$Z11,MIN(AA$6-$E$3,22))),0))-IF($G$2,0,IF((AA$6-$G$3)&lt;1,0,IFERROR(LOOKUP(2,1/('Milho 2ª safra'!$E11:INDEX('Milho 2ª safra'!$E11:$Z11,MIN(AA$6-$G$3,22))&lt;&gt;""),'Milho 2ª safra'!$E11:INDEX('Milho 2ª safra'!$E11:$Z11,MIN(AA$6-$G$3,22))),0)))))</f>
        <v>0</v>
      </c>
      <c r="AB13" s="27" t="n">
        <f aca="false">IF(COUNT('Milho 2ª safra'!$E11:$Z11)=0,0,MAX(0,IF((AB$6-$E$3)&lt;1,0,IFERROR(LOOKUP(2,1/('Milho 2ª safra'!$E11:INDEX('Milho 2ª safra'!$E11:$Z11,MIN(AB$6-$E$3,22))&lt;&gt;""),'Milho 2ª safra'!$E11:INDEX('Milho 2ª safra'!$E11:$Z11,MIN(AB$6-$E$3,22))),0))-IF($G$2,0,IF((AB$6-$G$3)&lt;1,0,IFERROR(LOOKUP(2,1/('Milho 2ª safra'!$E11:INDEX('Milho 2ª safra'!$E11:$Z11,MIN(AB$6-$G$3,22))&lt;&gt;""),'Milho 2ª safra'!$E11:INDEX('Milho 2ª safra'!$E11:$Z11,MIN(AB$6-$G$3,22))),0)))))</f>
        <v>0</v>
      </c>
      <c r="AC13" s="27" t="n">
        <f aca="false">IF(COUNT('Milho 2ª safra'!$E11:$Z11)=0,0,MAX(0,IF((AC$6-$E$3)&lt;1,0,IFERROR(LOOKUP(2,1/('Milho 2ª safra'!$E11:INDEX('Milho 2ª safra'!$E11:$Z11,MIN(AC$6-$E$3,22))&lt;&gt;""),'Milho 2ª safra'!$E11:INDEX('Milho 2ª safra'!$E11:$Z11,MIN(AC$6-$E$3,22))),0))-IF($G$2,0,IF((AC$6-$G$3)&lt;1,0,IFERROR(LOOKUP(2,1/('Milho 2ª safra'!$E11:INDEX('Milho 2ª safra'!$E11:$Z11,MIN(AC$6-$G$3,22))&lt;&gt;""),'Milho 2ª safra'!$E11:INDEX('Milho 2ª safra'!$E11:$Z11,MIN(AC$6-$G$3,22))),0)))))</f>
        <v>0</v>
      </c>
      <c r="AD13" s="27" t="n">
        <f aca="false">IF(COUNT('Milho 2ª safra'!$E11:$Z11)=0,0,MAX(0,IF((AD$6-$E$3)&lt;1,0,IFERROR(LOOKUP(2,1/('Milho 2ª safra'!$E11:INDEX('Milho 2ª safra'!$E11:$Z11,MIN(AD$6-$E$3,22))&lt;&gt;""),'Milho 2ª safra'!$E11:INDEX('Milho 2ª safra'!$E11:$Z11,MIN(AD$6-$E$3,22))),0))-IF($G$2,0,IF((AD$6-$G$3)&lt;1,0,IFERROR(LOOKUP(2,1/('Milho 2ª safra'!$E11:INDEX('Milho 2ª safra'!$E11:$Z11,MIN(AD$6-$G$3,22))&lt;&gt;""),'Milho 2ª safra'!$E11:INDEX('Milho 2ª safra'!$E11:$Z11,MIN(AD$6-$G$3,22))),0)))))</f>
        <v>0</v>
      </c>
      <c r="AE13" s="27" t="n">
        <f aca="false">IF(COUNT('Milho 2ª safra'!$E11:$Z11)=0,0,MAX(0,IF((AE$6-$E$3)&lt;1,0,IFERROR(LOOKUP(2,1/('Milho 2ª safra'!$E11:INDEX('Milho 2ª safra'!$E11:$Z11,MIN(AE$6-$E$3,22))&lt;&gt;""),'Milho 2ª safra'!$E11:INDEX('Milho 2ª safra'!$E11:$Z11,MIN(AE$6-$E$3,22))),0))-IF($G$2,0,IF((AE$6-$G$3)&lt;1,0,IFERROR(LOOKUP(2,1/('Milho 2ª safra'!$E11:INDEX('Milho 2ª safra'!$E11:$Z11,MIN(AE$6-$G$3,22))&lt;&gt;""),'Milho 2ª safra'!$E11:INDEX('Milho 2ª safra'!$E11:$Z11,MIN(AE$6-$G$3,22))),0)))))</f>
        <v>0</v>
      </c>
      <c r="AF13" s="27" t="n">
        <f aca="false">IF(COUNT('Milho 2ª safra'!$E11:$Z11)=0,0,MAX(0,IF((AF$6-$E$3)&lt;1,0,IFERROR(LOOKUP(2,1/('Milho 2ª safra'!$E11:INDEX('Milho 2ª safra'!$E11:$Z11,MIN(AF$6-$E$3,22))&lt;&gt;""),'Milho 2ª safra'!$E11:INDEX('Milho 2ª safra'!$E11:$Z11,MIN(AF$6-$E$3,22))),0))-IF($G$2,0,IF((AF$6-$G$3)&lt;1,0,IFERROR(LOOKUP(2,1/('Milho 2ª safra'!$E11:INDEX('Milho 2ª safra'!$E11:$Z11,MIN(AF$6-$G$3,22))&lt;&gt;""),'Milho 2ª safra'!$E11:INDEX('Milho 2ª safra'!$E11:$Z11,MIN(AF$6-$G$3,22))),0)))))</f>
        <v>0</v>
      </c>
      <c r="AG13" s="27" t="n">
        <f aca="false">IF(COUNT('Milho 2ª safra'!$E11:$Z11)=0,0,MAX(0,IF((AG$6-$E$3)&lt;1,0,IFERROR(LOOKUP(2,1/('Milho 2ª safra'!$E11:INDEX('Milho 2ª safra'!$E11:$Z11,MIN(AG$6-$E$3,22))&lt;&gt;""),'Milho 2ª safra'!$E11:INDEX('Milho 2ª safra'!$E11:$Z11,MIN(AG$6-$E$3,22))),0))-IF($G$2,0,IF((AG$6-$G$3)&lt;1,0,IFERROR(LOOKUP(2,1/('Milho 2ª safra'!$E11:INDEX('Milho 2ª safra'!$E11:$Z11,MIN(AG$6-$G$3,22))&lt;&gt;""),'Milho 2ª safra'!$E11:INDEX('Milho 2ª safra'!$E11:$Z11,MIN(AG$6-$G$3,22))),0)))))</f>
        <v>0</v>
      </c>
      <c r="AH13" s="27" t="n">
        <f aca="false">IF(COUNT('Milho 2ª safra'!$E11:$Z11)=0,0,MAX(0,IF((AH$6-$E$3)&lt;1,0,IFERROR(LOOKUP(2,1/('Milho 2ª safra'!$E11:INDEX('Milho 2ª safra'!$E11:$Z11,MIN(AH$6-$E$3,22))&lt;&gt;""),'Milho 2ª safra'!$E11:INDEX('Milho 2ª safra'!$E11:$Z11,MIN(AH$6-$E$3,22))),0))-IF($G$2,0,IF((AH$6-$G$3)&lt;1,0,IFERROR(LOOKUP(2,1/('Milho 2ª safra'!$E11:INDEX('Milho 2ª safra'!$E11:$Z11,MIN(AH$6-$G$3,22))&lt;&gt;""),'Milho 2ª safra'!$E11:INDEX('Milho 2ª safra'!$E11:$Z11,MIN(AH$6-$G$3,22))),0)))))</f>
        <v>0</v>
      </c>
      <c r="AI13" s="27" t="n">
        <f aca="false">IF(COUNT('Milho 2ª safra'!$E11:$Z11)=0,0,MAX(0,IF((AI$6-$E$3)&lt;1,0,IFERROR(LOOKUP(2,1/('Milho 2ª safra'!$E11:INDEX('Milho 2ª safra'!$E11:$Z11,MIN(AI$6-$E$3,22))&lt;&gt;""),'Milho 2ª safra'!$E11:INDEX('Milho 2ª safra'!$E11:$Z11,MIN(AI$6-$E$3,22))),0))-IF($G$2,0,IF((AI$6-$G$3)&lt;1,0,IFERROR(LOOKUP(2,1/('Milho 2ª safra'!$E11:INDEX('Milho 2ª safra'!$E11:$Z11,MIN(AI$6-$G$3,22))&lt;&gt;""),'Milho 2ª safra'!$E11:INDEX('Milho 2ª safra'!$E11:$Z11,MIN(AI$6-$G$3,22))),0)))))</f>
        <v>0</v>
      </c>
      <c r="AJ13" s="27" t="n">
        <f aca="false">IF(COUNT('Milho 2ª safra'!$E11:$Z11)=0,0,MAX(0,IF((AJ$6-$E$3)&lt;1,0,IFERROR(LOOKUP(2,1/('Milho 2ª safra'!$E11:INDEX('Milho 2ª safra'!$E11:$Z11,MIN(AJ$6-$E$3,22))&lt;&gt;""),'Milho 2ª safra'!$E11:INDEX('Milho 2ª safra'!$E11:$Z11,MIN(AJ$6-$E$3,22))),0))-IF($G$2,0,IF((AJ$6-$G$3)&lt;1,0,IFERROR(LOOKUP(2,1/('Milho 2ª safra'!$E11:INDEX('Milho 2ª safra'!$E11:$Z11,MIN(AJ$6-$G$3,22))&lt;&gt;""),'Milho 2ª safra'!$E11:INDEX('Milho 2ª safra'!$E11:$Z11,MIN(AJ$6-$G$3,22))),0)))))</f>
        <v>0</v>
      </c>
      <c r="AK13" s="27" t="n">
        <f aca="false">IF(COUNT('Milho 2ª safra'!$E11:$Z11)=0,0,MAX(0,IF((AK$6-$E$3)&lt;1,0,IFERROR(LOOKUP(2,1/('Milho 2ª safra'!$E11:INDEX('Milho 2ª safra'!$E11:$Z11,MIN(AK$6-$E$3,22))&lt;&gt;""),'Milho 2ª safra'!$E11:INDEX('Milho 2ª safra'!$E11:$Z11,MIN(AK$6-$E$3,22))),0))-IF($G$2,0,IF((AK$6-$G$3)&lt;1,0,IFERROR(LOOKUP(2,1/('Milho 2ª safra'!$E11:INDEX('Milho 2ª safra'!$E11:$Z11,MIN(AK$6-$G$3,22))&lt;&gt;""),'Milho 2ª safra'!$E11:INDEX('Milho 2ª safra'!$E11:$Z11,MIN(AK$6-$G$3,22))),0)))))</f>
        <v>0</v>
      </c>
      <c r="AL13" s="27" t="n">
        <f aca="false">IF(COUNT('Milho 2ª safra'!$E11:$Z11)=0,0,MAX(0,IF((AL$6-$E$3)&lt;1,0,IFERROR(LOOKUP(2,1/('Milho 2ª safra'!$E11:INDEX('Milho 2ª safra'!$E11:$Z11,MIN(AL$6-$E$3,22))&lt;&gt;""),'Milho 2ª safra'!$E11:INDEX('Milho 2ª safra'!$E11:$Z11,MIN(AL$6-$E$3,22))),0))-IF($G$2,0,IF((AL$6-$G$3)&lt;1,0,IFERROR(LOOKUP(2,1/('Milho 2ª safra'!$E11:INDEX('Milho 2ª safra'!$E11:$Z11,MIN(AL$6-$G$3,22))&lt;&gt;""),'Milho 2ª safra'!$E11:INDEX('Milho 2ª safra'!$E11:$Z11,MIN(AL$6-$G$3,22))),0)))))</f>
        <v>0</v>
      </c>
      <c r="AM13" s="27" t="n">
        <f aca="false">IF(COUNT('Milho 2ª safra'!$E11:$Z11)=0,0,MAX(0,IF((AM$6-$E$3)&lt;1,0,IFERROR(LOOKUP(2,1/('Milho 2ª safra'!$E11:INDEX('Milho 2ª safra'!$E11:$Z11,MIN(AM$6-$E$3,22))&lt;&gt;""),'Milho 2ª safra'!$E11:INDEX('Milho 2ª safra'!$E11:$Z11,MIN(AM$6-$E$3,22))),0))-IF($G$2,0,IF((AM$6-$G$3)&lt;1,0,IFERROR(LOOKUP(2,1/('Milho 2ª safra'!$E11:INDEX('Milho 2ª safra'!$E11:$Z11,MIN(AM$6-$G$3,22))&lt;&gt;""),'Milho 2ª safra'!$E11:INDEX('Milho 2ª safra'!$E11:$Z11,MIN(AM$6-$G$3,22))),0)))))</f>
        <v>0</v>
      </c>
      <c r="AN13" s="27" t="n">
        <f aca="false">IF(COUNT('Milho 2ª safra'!$E11:$Z11)=0,0,MAX(0,IF((AN$6-$E$3)&lt;1,0,IFERROR(LOOKUP(2,1/('Milho 2ª safra'!$E11:INDEX('Milho 2ª safra'!$E11:$Z11,MIN(AN$6-$E$3,22))&lt;&gt;""),'Milho 2ª safra'!$E11:INDEX('Milho 2ª safra'!$E11:$Z11,MIN(AN$6-$E$3,22))),0))-IF($G$2,0,IF((AN$6-$G$3)&lt;1,0,IFERROR(LOOKUP(2,1/('Milho 2ª safra'!$E11:INDEX('Milho 2ª safra'!$E11:$Z11,MIN(AN$6-$G$3,22))&lt;&gt;""),'Milho 2ª safra'!$E11:INDEX('Milho 2ª safra'!$E11:$Z11,MIN(AN$6-$G$3,22))),0)))))</f>
        <v>0</v>
      </c>
      <c r="AO13" s="27" t="n">
        <f aca="false">IF(COUNT('Milho 2ª safra'!$E11:$Z11)=0,0,MAX(0,IF((AO$6-$E$3)&lt;1,0,IFERROR(LOOKUP(2,1/('Milho 2ª safra'!$E11:INDEX('Milho 2ª safra'!$E11:$Z11,MIN(AO$6-$E$3,22))&lt;&gt;""),'Milho 2ª safra'!$E11:INDEX('Milho 2ª safra'!$E11:$Z11,MIN(AO$6-$E$3,22))),0))-IF($G$2,0,IF((AO$6-$G$3)&lt;1,0,IFERROR(LOOKUP(2,1/('Milho 2ª safra'!$E11:INDEX('Milho 2ª safra'!$E11:$Z11,MIN(AO$6-$G$3,22))&lt;&gt;""),'Milho 2ª safra'!$E11:INDEX('Milho 2ª safra'!$E11:$Z11,MIN(AO$6-$G$3,22))),0)))))</f>
        <v>0</v>
      </c>
      <c r="AP13" s="27" t="n">
        <f aca="false">IF(COUNT('Milho 2ª safra'!$E11:$Z11)=0,0,MAX(0,IF((AP$6-$E$3)&lt;1,0,IFERROR(LOOKUP(2,1/('Milho 2ª safra'!$E11:INDEX('Milho 2ª safra'!$E11:$Z11,MIN(AP$6-$E$3,22))&lt;&gt;""),'Milho 2ª safra'!$E11:INDEX('Milho 2ª safra'!$E11:$Z11,MIN(AP$6-$E$3,22))),0))-IF($G$2,0,IF((AP$6-$G$3)&lt;1,0,IFERROR(LOOKUP(2,1/('Milho 2ª safra'!$E11:INDEX('Milho 2ª safra'!$E11:$Z11,MIN(AP$6-$G$3,22))&lt;&gt;""),'Milho 2ª safra'!$E11:INDEX('Milho 2ª safra'!$E11:$Z11,MIN(AP$6-$G$3,22))),0)))))</f>
        <v>0</v>
      </c>
      <c r="AQ13" s="27" t="n">
        <f aca="false">IF(COUNT('Milho 2ª safra'!$E11:$Z11)=0,0,MAX(0,IF((AQ$6-$E$3)&lt;1,0,IFERROR(LOOKUP(2,1/('Milho 2ª safra'!$E11:INDEX('Milho 2ª safra'!$E11:$Z11,MIN(AQ$6-$E$3,22))&lt;&gt;""),'Milho 2ª safra'!$E11:INDEX('Milho 2ª safra'!$E11:$Z11,MIN(AQ$6-$E$3,22))),0))-IF($G$2,0,IF((AQ$6-$G$3)&lt;1,0,IFERROR(LOOKUP(2,1/('Milho 2ª safra'!$E11:INDEX('Milho 2ª safra'!$E11:$Z11,MIN(AQ$6-$G$3,22))&lt;&gt;""),'Milho 2ª safra'!$E11:INDEX('Milho 2ª safra'!$E11:$Z11,MIN(AQ$6-$G$3,22))),0)))))</f>
        <v>0</v>
      </c>
      <c r="AR13" s="27" t="n">
        <f aca="false">IF(COUNT('Milho 2ª safra'!$E11:$Z11)=0,0,MAX(0,IF((AR$6-$E$3)&lt;1,0,IFERROR(LOOKUP(2,1/('Milho 2ª safra'!$E11:INDEX('Milho 2ª safra'!$E11:$Z11,MIN(AR$6-$E$3,22))&lt;&gt;""),'Milho 2ª safra'!$E11:INDEX('Milho 2ª safra'!$E11:$Z11,MIN(AR$6-$E$3,22))),0))-IF($G$2,0,IF((AR$6-$G$3)&lt;1,0,IFERROR(LOOKUP(2,1/('Milho 2ª safra'!$E11:INDEX('Milho 2ª safra'!$E11:$Z11,MIN(AR$6-$G$3,22))&lt;&gt;""),'Milho 2ª safra'!$E11:INDEX('Milho 2ª safra'!$E11:$Z11,MIN(AR$6-$G$3,22))),0)))))</f>
        <v>0</v>
      </c>
      <c r="AS13" s="27" t="n">
        <f aca="false">IF(COUNT('Milho 2ª safra'!$E11:$Z11)=0,0,MAX(0,IF((AS$6-$E$3)&lt;1,0,IFERROR(LOOKUP(2,1/('Milho 2ª safra'!$E11:INDEX('Milho 2ª safra'!$E11:$Z11,MIN(AS$6-$E$3,22))&lt;&gt;""),'Milho 2ª safra'!$E11:INDEX('Milho 2ª safra'!$E11:$Z11,MIN(AS$6-$E$3,22))),0))-IF($G$2,0,IF((AS$6-$G$3)&lt;1,0,IFERROR(LOOKUP(2,1/('Milho 2ª safra'!$E11:INDEX('Milho 2ª safra'!$E11:$Z11,MIN(AS$6-$G$3,22))&lt;&gt;""),'Milho 2ª safra'!$E11:INDEX('Milho 2ª safra'!$E11:$Z11,MIN(AS$6-$G$3,22))),0)))))</f>
        <v>0</v>
      </c>
      <c r="AT13" s="27" t="n">
        <f aca="false">IF(COUNT('Milho 2ª safra'!$E11:$Z11)=0,0,MAX(0,IF((AT$6-$E$3)&lt;1,0,IFERROR(LOOKUP(2,1/('Milho 2ª safra'!$E11:INDEX('Milho 2ª safra'!$E11:$Z11,MIN(AT$6-$E$3,22))&lt;&gt;""),'Milho 2ª safra'!$E11:INDEX('Milho 2ª safra'!$E11:$Z11,MIN(AT$6-$E$3,22))),0))-IF($G$2,0,IF((AT$6-$G$3)&lt;1,0,IFERROR(LOOKUP(2,1/('Milho 2ª safra'!$E11:INDEX('Milho 2ª safra'!$E11:$Z11,MIN(AT$6-$G$3,22))&lt;&gt;""),'Milho 2ª safra'!$E11:INDEX('Milho 2ª safra'!$E11:$Z11,MIN(AT$6-$G$3,22))),0)))))</f>
        <v>0</v>
      </c>
      <c r="AU13" s="27" t="n">
        <f aca="false">IF(COUNT('Milho 2ª safra'!$E11:$Z11)=0,0,MAX(0,IF((AU$6-$E$3)&lt;1,0,IFERROR(LOOKUP(2,1/('Milho 2ª safra'!$E11:INDEX('Milho 2ª safra'!$E11:$Z11,MIN(AU$6-$E$3,22))&lt;&gt;""),'Milho 2ª safra'!$E11:INDEX('Milho 2ª safra'!$E11:$Z11,MIN(AU$6-$E$3,22))),0))-IF($G$2,0,IF((AU$6-$G$3)&lt;1,0,IFERROR(LOOKUP(2,1/('Milho 2ª safra'!$E11:INDEX('Milho 2ª safra'!$E11:$Z11,MIN(AU$6-$G$3,22))&lt;&gt;""),'Milho 2ª safra'!$E11:INDEX('Milho 2ª safra'!$E11:$Z11,MIN(AU$6-$G$3,22))),0)))))</f>
        <v>0</v>
      </c>
      <c r="AV13" s="27" t="n">
        <f aca="false">IF(COUNT('Milho 2ª safra'!$E11:$Z11)=0,0,MAX(0,IF((AV$6-$E$3)&lt;1,0,IFERROR(LOOKUP(2,1/('Milho 2ª safra'!$E11:INDEX('Milho 2ª safra'!$E11:$Z11,MIN(AV$6-$E$3,22))&lt;&gt;""),'Milho 2ª safra'!$E11:INDEX('Milho 2ª safra'!$E11:$Z11,MIN(AV$6-$E$3,22))),0))-IF($G$2,0,IF((AV$6-$G$3)&lt;1,0,IFERROR(LOOKUP(2,1/('Milho 2ª safra'!$E11:INDEX('Milho 2ª safra'!$E11:$Z11,MIN(AV$6-$G$3,22))&lt;&gt;""),'Milho 2ª safra'!$E11:INDEX('Milho 2ª safra'!$E11:$Z11,MIN(AV$6-$G$3,22))),0)))))</f>
        <v>0</v>
      </c>
      <c r="AW13" s="27" t="n">
        <f aca="false">IF(COUNT('Milho 2ª safra'!$E11:$Z11)=0,0,MAX(0,IF((AW$6-$E$3)&lt;1,0,IFERROR(LOOKUP(2,1/('Milho 2ª safra'!$E11:INDEX('Milho 2ª safra'!$E11:$Z11,MIN(AW$6-$E$3,22))&lt;&gt;""),'Milho 2ª safra'!$E11:INDEX('Milho 2ª safra'!$E11:$Z11,MIN(AW$6-$E$3,22))),0))-IF($G$2,0,IF((AW$6-$G$3)&lt;1,0,IFERROR(LOOKUP(2,1/('Milho 2ª safra'!$E11:INDEX('Milho 2ª safra'!$E11:$Z11,MIN(AW$6-$G$3,22))&lt;&gt;""),'Milho 2ª safra'!$E11:INDEX('Milho 2ª safra'!$E11:$Z11,MIN(AW$6-$G$3,22))),0)))))</f>
        <v>0</v>
      </c>
      <c r="AX13" s="27" t="n">
        <f aca="false">IF(COUNT('Milho 2ª safra'!$E11:$Z11)=0,0,MAX(0,IF((AX$6-$E$3)&lt;1,0,IFERROR(LOOKUP(2,1/('Milho 2ª safra'!$E11:INDEX('Milho 2ª safra'!$E11:$Z11,MIN(AX$6-$E$3,22))&lt;&gt;""),'Milho 2ª safra'!$E11:INDEX('Milho 2ª safra'!$E11:$Z11,MIN(AX$6-$E$3,22))),0))-IF($G$2,0,IF((AX$6-$G$3)&lt;1,0,IFERROR(LOOKUP(2,1/('Milho 2ª safra'!$E11:INDEX('Milho 2ª safra'!$E11:$Z11,MIN(AX$6-$G$3,22))&lt;&gt;""),'Milho 2ª safra'!$E11:INDEX('Milho 2ª safra'!$E11:$Z11,MIN(AX$6-$G$3,22))),0)))))</f>
        <v>0</v>
      </c>
      <c r="AY13" s="27" t="n">
        <f aca="false">IF(COUNT('Milho 2ª safra'!$E11:$Z11)=0,0,MAX(0,IF((AY$6-$E$3)&lt;1,0,IFERROR(LOOKUP(2,1/('Milho 2ª safra'!$E11:INDEX('Milho 2ª safra'!$E11:$Z11,MIN(AY$6-$E$3,22))&lt;&gt;""),'Milho 2ª safra'!$E11:INDEX('Milho 2ª safra'!$E11:$Z11,MIN(AY$6-$E$3,22))),0))-IF($G$2,0,IF((AY$6-$G$3)&lt;1,0,IFERROR(LOOKUP(2,1/('Milho 2ª safra'!$E11:INDEX('Milho 2ª safra'!$E11:$Z11,MIN(AY$6-$G$3,22))&lt;&gt;""),'Milho 2ª safra'!$E11:INDEX('Milho 2ª safra'!$E11:$Z11,MIN(AY$6-$G$3,22))),0)))))</f>
        <v>0</v>
      </c>
      <c r="AZ13" s="27" t="n">
        <f aca="false">IF(COUNT('Milho 2ª safra'!$E11:$Z11)=0,0,MAX(0,IF((AZ$6-$E$3)&lt;1,0,IFERROR(LOOKUP(2,1/('Milho 2ª safra'!$E11:INDEX('Milho 2ª safra'!$E11:$Z11,MIN(AZ$6-$E$3,22))&lt;&gt;""),'Milho 2ª safra'!$E11:INDEX('Milho 2ª safra'!$E11:$Z11,MIN(AZ$6-$E$3,22))),0))-IF($G$2,0,IF((AZ$6-$G$3)&lt;1,0,IFERROR(LOOKUP(2,1/('Milho 2ª safra'!$E11:INDEX('Milho 2ª safra'!$E11:$Z11,MIN(AZ$6-$G$3,22))&lt;&gt;""),'Milho 2ª safra'!$E11:INDEX('Milho 2ª safra'!$E11:$Z11,MIN(AZ$6-$G$3,22))),0)))))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IF(COUNT('Milho 2ª safra'!$E12:$Z12)&gt;0,N('Milho 2ª safra'!$D12),0)</f>
        <v>0</v>
      </c>
      <c r="E14" s="27" t="n">
        <f aca="false">IF(COUNT('Milho 2ª safra'!$E12:$Z12)=0,0,MAX(0,IF((E$6-$E$3)&lt;1,0,IFERROR(LOOKUP(2,1/('Milho 2ª safra'!$E12:INDEX('Milho 2ª safra'!$E12:$Z12,MIN(E$6-$E$3,22))&lt;&gt;""),'Milho 2ª safra'!$E12:INDEX('Milho 2ª safra'!$E12:$Z12,MIN(E$6-$E$3,22))),0))-IF($G$2,0,IF((E$6-$G$3)&lt;1,0,IFERROR(LOOKUP(2,1/('Milho 2ª safra'!$E12:INDEX('Milho 2ª safra'!$E12:$Z12,MIN(E$6-$G$3,22))&lt;&gt;""),'Milho 2ª safra'!$E12:INDEX('Milho 2ª safra'!$E12:$Z12,MIN(E$6-$G$3,22))),0)))))</f>
        <v>0</v>
      </c>
      <c r="F14" s="27" t="n">
        <f aca="false">IF(COUNT('Milho 2ª safra'!$E12:$Z12)=0,0,MAX(0,IF((F$6-$E$3)&lt;1,0,IFERROR(LOOKUP(2,1/('Milho 2ª safra'!$E12:INDEX('Milho 2ª safra'!$E12:$Z12,MIN(F$6-$E$3,22))&lt;&gt;""),'Milho 2ª safra'!$E12:INDEX('Milho 2ª safra'!$E12:$Z12,MIN(F$6-$E$3,22))),0))-IF($G$2,0,IF((F$6-$G$3)&lt;1,0,IFERROR(LOOKUP(2,1/('Milho 2ª safra'!$E12:INDEX('Milho 2ª safra'!$E12:$Z12,MIN(F$6-$G$3,22))&lt;&gt;""),'Milho 2ª safra'!$E12:INDEX('Milho 2ª safra'!$E12:$Z12,MIN(F$6-$G$3,22))),0)))))</f>
        <v>0</v>
      </c>
      <c r="G14" s="27" t="n">
        <f aca="false">IF(COUNT('Milho 2ª safra'!$E12:$Z12)=0,0,MAX(0,IF((G$6-$E$3)&lt;1,0,IFERROR(LOOKUP(2,1/('Milho 2ª safra'!$E12:INDEX('Milho 2ª safra'!$E12:$Z12,MIN(G$6-$E$3,22))&lt;&gt;""),'Milho 2ª safra'!$E12:INDEX('Milho 2ª safra'!$E12:$Z12,MIN(G$6-$E$3,22))),0))-IF($G$2,0,IF((G$6-$G$3)&lt;1,0,IFERROR(LOOKUP(2,1/('Milho 2ª safra'!$E12:INDEX('Milho 2ª safra'!$E12:$Z12,MIN(G$6-$G$3,22))&lt;&gt;""),'Milho 2ª safra'!$E12:INDEX('Milho 2ª safra'!$E12:$Z12,MIN(G$6-$G$3,22))),0)))))</f>
        <v>0</v>
      </c>
      <c r="H14" s="27" t="n">
        <f aca="false">IF(COUNT('Milho 2ª safra'!$E12:$Z12)=0,0,MAX(0,IF((H$6-$E$3)&lt;1,0,IFERROR(LOOKUP(2,1/('Milho 2ª safra'!$E12:INDEX('Milho 2ª safra'!$E12:$Z12,MIN(H$6-$E$3,22))&lt;&gt;""),'Milho 2ª safra'!$E12:INDEX('Milho 2ª safra'!$E12:$Z12,MIN(H$6-$E$3,22))),0))-IF($G$2,0,IF((H$6-$G$3)&lt;1,0,IFERROR(LOOKUP(2,1/('Milho 2ª safra'!$E12:INDEX('Milho 2ª safra'!$E12:$Z12,MIN(H$6-$G$3,22))&lt;&gt;""),'Milho 2ª safra'!$E12:INDEX('Milho 2ª safra'!$E12:$Z12,MIN(H$6-$G$3,22))),0)))))</f>
        <v>0</v>
      </c>
      <c r="I14" s="27" t="n">
        <f aca="false">IF(COUNT('Milho 2ª safra'!$E12:$Z12)=0,0,MAX(0,IF((I$6-$E$3)&lt;1,0,IFERROR(LOOKUP(2,1/('Milho 2ª safra'!$E12:INDEX('Milho 2ª safra'!$E12:$Z12,MIN(I$6-$E$3,22))&lt;&gt;""),'Milho 2ª safra'!$E12:INDEX('Milho 2ª safra'!$E12:$Z12,MIN(I$6-$E$3,22))),0))-IF($G$2,0,IF((I$6-$G$3)&lt;1,0,IFERROR(LOOKUP(2,1/('Milho 2ª safra'!$E12:INDEX('Milho 2ª safra'!$E12:$Z12,MIN(I$6-$G$3,22))&lt;&gt;""),'Milho 2ª safra'!$E12:INDEX('Milho 2ª safra'!$E12:$Z12,MIN(I$6-$G$3,22))),0)))))</f>
        <v>0</v>
      </c>
      <c r="J14" s="27" t="n">
        <f aca="false">IF(COUNT('Milho 2ª safra'!$E12:$Z12)=0,0,MAX(0,IF((J$6-$E$3)&lt;1,0,IFERROR(LOOKUP(2,1/('Milho 2ª safra'!$E12:INDEX('Milho 2ª safra'!$E12:$Z12,MIN(J$6-$E$3,22))&lt;&gt;""),'Milho 2ª safra'!$E12:INDEX('Milho 2ª safra'!$E12:$Z12,MIN(J$6-$E$3,22))),0))-IF($G$2,0,IF((J$6-$G$3)&lt;1,0,IFERROR(LOOKUP(2,1/('Milho 2ª safra'!$E12:INDEX('Milho 2ª safra'!$E12:$Z12,MIN(J$6-$G$3,22))&lt;&gt;""),'Milho 2ª safra'!$E12:INDEX('Milho 2ª safra'!$E12:$Z12,MIN(J$6-$G$3,22))),0)))))</f>
        <v>0</v>
      </c>
      <c r="K14" s="27" t="n">
        <f aca="false">IF(COUNT('Milho 2ª safra'!$E12:$Z12)=0,0,MAX(0,IF((K$6-$E$3)&lt;1,0,IFERROR(LOOKUP(2,1/('Milho 2ª safra'!$E12:INDEX('Milho 2ª safra'!$E12:$Z12,MIN(K$6-$E$3,22))&lt;&gt;""),'Milho 2ª safra'!$E12:INDEX('Milho 2ª safra'!$E12:$Z12,MIN(K$6-$E$3,22))),0))-IF($G$2,0,IF((K$6-$G$3)&lt;1,0,IFERROR(LOOKUP(2,1/('Milho 2ª safra'!$E12:INDEX('Milho 2ª safra'!$E12:$Z12,MIN(K$6-$G$3,22))&lt;&gt;""),'Milho 2ª safra'!$E12:INDEX('Milho 2ª safra'!$E12:$Z12,MIN(K$6-$G$3,22))),0)))))</f>
        <v>0</v>
      </c>
      <c r="L14" s="27" t="n">
        <f aca="false">IF(COUNT('Milho 2ª safra'!$E12:$Z12)=0,0,MAX(0,IF((L$6-$E$3)&lt;1,0,IFERROR(LOOKUP(2,1/('Milho 2ª safra'!$E12:INDEX('Milho 2ª safra'!$E12:$Z12,MIN(L$6-$E$3,22))&lt;&gt;""),'Milho 2ª safra'!$E12:INDEX('Milho 2ª safra'!$E12:$Z12,MIN(L$6-$E$3,22))),0))-IF($G$2,0,IF((L$6-$G$3)&lt;1,0,IFERROR(LOOKUP(2,1/('Milho 2ª safra'!$E12:INDEX('Milho 2ª safra'!$E12:$Z12,MIN(L$6-$G$3,22))&lt;&gt;""),'Milho 2ª safra'!$E12:INDEX('Milho 2ª safra'!$E12:$Z12,MIN(L$6-$G$3,22))),0)))))</f>
        <v>0</v>
      </c>
      <c r="M14" s="27" t="n">
        <f aca="false">IF(COUNT('Milho 2ª safra'!$E12:$Z12)=0,0,MAX(0,IF((M$6-$E$3)&lt;1,0,IFERROR(LOOKUP(2,1/('Milho 2ª safra'!$E12:INDEX('Milho 2ª safra'!$E12:$Z12,MIN(M$6-$E$3,22))&lt;&gt;""),'Milho 2ª safra'!$E12:INDEX('Milho 2ª safra'!$E12:$Z12,MIN(M$6-$E$3,22))),0))-IF($G$2,0,IF((M$6-$G$3)&lt;1,0,IFERROR(LOOKUP(2,1/('Milho 2ª safra'!$E12:INDEX('Milho 2ª safra'!$E12:$Z12,MIN(M$6-$G$3,22))&lt;&gt;""),'Milho 2ª safra'!$E12:INDEX('Milho 2ª safra'!$E12:$Z12,MIN(M$6-$G$3,22))),0)))))</f>
        <v>0</v>
      </c>
      <c r="N14" s="27" t="n">
        <f aca="false">IF(COUNT('Milho 2ª safra'!$E12:$Z12)=0,0,MAX(0,IF((N$6-$E$3)&lt;1,0,IFERROR(LOOKUP(2,1/('Milho 2ª safra'!$E12:INDEX('Milho 2ª safra'!$E12:$Z12,MIN(N$6-$E$3,22))&lt;&gt;""),'Milho 2ª safra'!$E12:INDEX('Milho 2ª safra'!$E12:$Z12,MIN(N$6-$E$3,22))),0))-IF($G$2,0,IF((N$6-$G$3)&lt;1,0,IFERROR(LOOKUP(2,1/('Milho 2ª safra'!$E12:INDEX('Milho 2ª safra'!$E12:$Z12,MIN(N$6-$G$3,22))&lt;&gt;""),'Milho 2ª safra'!$E12:INDEX('Milho 2ª safra'!$E12:$Z12,MIN(N$6-$G$3,22))),0)))))</f>
        <v>0</v>
      </c>
      <c r="O14" s="27" t="n">
        <f aca="false">IF(COUNT('Milho 2ª safra'!$E12:$Z12)=0,0,MAX(0,IF((O$6-$E$3)&lt;1,0,IFERROR(LOOKUP(2,1/('Milho 2ª safra'!$E12:INDEX('Milho 2ª safra'!$E12:$Z12,MIN(O$6-$E$3,22))&lt;&gt;""),'Milho 2ª safra'!$E12:INDEX('Milho 2ª safra'!$E12:$Z12,MIN(O$6-$E$3,22))),0))-IF($G$2,0,IF((O$6-$G$3)&lt;1,0,IFERROR(LOOKUP(2,1/('Milho 2ª safra'!$E12:INDEX('Milho 2ª safra'!$E12:$Z12,MIN(O$6-$G$3,22))&lt;&gt;""),'Milho 2ª safra'!$E12:INDEX('Milho 2ª safra'!$E12:$Z12,MIN(O$6-$G$3,22))),0)))))</f>
        <v>0</v>
      </c>
      <c r="P14" s="27" t="n">
        <f aca="false">IF(COUNT('Milho 2ª safra'!$E12:$Z12)=0,0,MAX(0,IF((P$6-$E$3)&lt;1,0,IFERROR(LOOKUP(2,1/('Milho 2ª safra'!$E12:INDEX('Milho 2ª safra'!$E12:$Z12,MIN(P$6-$E$3,22))&lt;&gt;""),'Milho 2ª safra'!$E12:INDEX('Milho 2ª safra'!$E12:$Z12,MIN(P$6-$E$3,22))),0))-IF($G$2,0,IF((P$6-$G$3)&lt;1,0,IFERROR(LOOKUP(2,1/('Milho 2ª safra'!$E12:INDEX('Milho 2ª safra'!$E12:$Z12,MIN(P$6-$G$3,22))&lt;&gt;""),'Milho 2ª safra'!$E12:INDEX('Milho 2ª safra'!$E12:$Z12,MIN(P$6-$G$3,22))),0)))))</f>
        <v>0</v>
      </c>
      <c r="Q14" s="27" t="n">
        <f aca="false">IF(COUNT('Milho 2ª safra'!$E12:$Z12)=0,0,MAX(0,IF((Q$6-$E$3)&lt;1,0,IFERROR(LOOKUP(2,1/('Milho 2ª safra'!$E12:INDEX('Milho 2ª safra'!$E12:$Z12,MIN(Q$6-$E$3,22))&lt;&gt;""),'Milho 2ª safra'!$E12:INDEX('Milho 2ª safra'!$E12:$Z12,MIN(Q$6-$E$3,22))),0))-IF($G$2,0,IF((Q$6-$G$3)&lt;1,0,IFERROR(LOOKUP(2,1/('Milho 2ª safra'!$E12:INDEX('Milho 2ª safra'!$E12:$Z12,MIN(Q$6-$G$3,22))&lt;&gt;""),'Milho 2ª safra'!$E12:INDEX('Milho 2ª safra'!$E12:$Z12,MIN(Q$6-$G$3,22))),0)))))</f>
        <v>0</v>
      </c>
      <c r="R14" s="27" t="n">
        <f aca="false">IF(COUNT('Milho 2ª safra'!$E12:$Z12)=0,0,MAX(0,IF((R$6-$E$3)&lt;1,0,IFERROR(LOOKUP(2,1/('Milho 2ª safra'!$E12:INDEX('Milho 2ª safra'!$E12:$Z12,MIN(R$6-$E$3,22))&lt;&gt;""),'Milho 2ª safra'!$E12:INDEX('Milho 2ª safra'!$E12:$Z12,MIN(R$6-$E$3,22))),0))-IF($G$2,0,IF((R$6-$G$3)&lt;1,0,IFERROR(LOOKUP(2,1/('Milho 2ª safra'!$E12:INDEX('Milho 2ª safra'!$E12:$Z12,MIN(R$6-$G$3,22))&lt;&gt;""),'Milho 2ª safra'!$E12:INDEX('Milho 2ª safra'!$E12:$Z12,MIN(R$6-$G$3,22))),0)))))</f>
        <v>0</v>
      </c>
      <c r="S14" s="27" t="n">
        <f aca="false">IF(COUNT('Milho 2ª safra'!$E12:$Z12)=0,0,MAX(0,IF((S$6-$E$3)&lt;1,0,IFERROR(LOOKUP(2,1/('Milho 2ª safra'!$E12:INDEX('Milho 2ª safra'!$E12:$Z12,MIN(S$6-$E$3,22))&lt;&gt;""),'Milho 2ª safra'!$E12:INDEX('Milho 2ª safra'!$E12:$Z12,MIN(S$6-$E$3,22))),0))-IF($G$2,0,IF((S$6-$G$3)&lt;1,0,IFERROR(LOOKUP(2,1/('Milho 2ª safra'!$E12:INDEX('Milho 2ª safra'!$E12:$Z12,MIN(S$6-$G$3,22))&lt;&gt;""),'Milho 2ª safra'!$E12:INDEX('Milho 2ª safra'!$E12:$Z12,MIN(S$6-$G$3,22))),0)))))</f>
        <v>0</v>
      </c>
      <c r="T14" s="27" t="n">
        <f aca="false">IF(COUNT('Milho 2ª safra'!$E12:$Z12)=0,0,MAX(0,IF((T$6-$E$3)&lt;1,0,IFERROR(LOOKUP(2,1/('Milho 2ª safra'!$E12:INDEX('Milho 2ª safra'!$E12:$Z12,MIN(T$6-$E$3,22))&lt;&gt;""),'Milho 2ª safra'!$E12:INDEX('Milho 2ª safra'!$E12:$Z12,MIN(T$6-$E$3,22))),0))-IF($G$2,0,IF((T$6-$G$3)&lt;1,0,IFERROR(LOOKUP(2,1/('Milho 2ª safra'!$E12:INDEX('Milho 2ª safra'!$E12:$Z12,MIN(T$6-$G$3,22))&lt;&gt;""),'Milho 2ª safra'!$E12:INDEX('Milho 2ª safra'!$E12:$Z12,MIN(T$6-$G$3,22))),0)))))</f>
        <v>0</v>
      </c>
      <c r="U14" s="27" t="n">
        <f aca="false">IF(COUNT('Milho 2ª safra'!$E12:$Z12)=0,0,MAX(0,IF((U$6-$E$3)&lt;1,0,IFERROR(LOOKUP(2,1/('Milho 2ª safra'!$E12:INDEX('Milho 2ª safra'!$E12:$Z12,MIN(U$6-$E$3,22))&lt;&gt;""),'Milho 2ª safra'!$E12:INDEX('Milho 2ª safra'!$E12:$Z12,MIN(U$6-$E$3,22))),0))-IF($G$2,0,IF((U$6-$G$3)&lt;1,0,IFERROR(LOOKUP(2,1/('Milho 2ª safra'!$E12:INDEX('Milho 2ª safra'!$E12:$Z12,MIN(U$6-$G$3,22))&lt;&gt;""),'Milho 2ª safra'!$E12:INDEX('Milho 2ª safra'!$E12:$Z12,MIN(U$6-$G$3,22))),0)))))</f>
        <v>0</v>
      </c>
      <c r="V14" s="27" t="n">
        <f aca="false">IF(COUNT('Milho 2ª safra'!$E12:$Z12)=0,0,MAX(0,IF((V$6-$E$3)&lt;1,0,IFERROR(LOOKUP(2,1/('Milho 2ª safra'!$E12:INDEX('Milho 2ª safra'!$E12:$Z12,MIN(V$6-$E$3,22))&lt;&gt;""),'Milho 2ª safra'!$E12:INDEX('Milho 2ª safra'!$E12:$Z12,MIN(V$6-$E$3,22))),0))-IF($G$2,0,IF((V$6-$G$3)&lt;1,0,IFERROR(LOOKUP(2,1/('Milho 2ª safra'!$E12:INDEX('Milho 2ª safra'!$E12:$Z12,MIN(V$6-$G$3,22))&lt;&gt;""),'Milho 2ª safra'!$E12:INDEX('Milho 2ª safra'!$E12:$Z12,MIN(V$6-$G$3,22))),0)))))</f>
        <v>0</v>
      </c>
      <c r="W14" s="27" t="n">
        <f aca="false">IF(COUNT('Milho 2ª safra'!$E12:$Z12)=0,0,MAX(0,IF((W$6-$E$3)&lt;1,0,IFERROR(LOOKUP(2,1/('Milho 2ª safra'!$E12:INDEX('Milho 2ª safra'!$E12:$Z12,MIN(W$6-$E$3,22))&lt;&gt;""),'Milho 2ª safra'!$E12:INDEX('Milho 2ª safra'!$E12:$Z12,MIN(W$6-$E$3,22))),0))-IF($G$2,0,IF((W$6-$G$3)&lt;1,0,IFERROR(LOOKUP(2,1/('Milho 2ª safra'!$E12:INDEX('Milho 2ª safra'!$E12:$Z12,MIN(W$6-$G$3,22))&lt;&gt;""),'Milho 2ª safra'!$E12:INDEX('Milho 2ª safra'!$E12:$Z12,MIN(W$6-$G$3,22))),0)))))</f>
        <v>0</v>
      </c>
      <c r="X14" s="27" t="n">
        <f aca="false">IF(COUNT('Milho 2ª safra'!$E12:$Z12)=0,0,MAX(0,IF((X$6-$E$3)&lt;1,0,IFERROR(LOOKUP(2,1/('Milho 2ª safra'!$E12:INDEX('Milho 2ª safra'!$E12:$Z12,MIN(X$6-$E$3,22))&lt;&gt;""),'Milho 2ª safra'!$E12:INDEX('Milho 2ª safra'!$E12:$Z12,MIN(X$6-$E$3,22))),0))-IF($G$2,0,IF((X$6-$G$3)&lt;1,0,IFERROR(LOOKUP(2,1/('Milho 2ª safra'!$E12:INDEX('Milho 2ª safra'!$E12:$Z12,MIN(X$6-$G$3,22))&lt;&gt;""),'Milho 2ª safra'!$E12:INDEX('Milho 2ª safra'!$E12:$Z12,MIN(X$6-$G$3,22))),0)))))</f>
        <v>0</v>
      </c>
      <c r="Y14" s="27" t="n">
        <f aca="false">IF(COUNT('Milho 2ª safra'!$E12:$Z12)=0,0,MAX(0,IF((Y$6-$E$3)&lt;1,0,IFERROR(LOOKUP(2,1/('Milho 2ª safra'!$E12:INDEX('Milho 2ª safra'!$E12:$Z12,MIN(Y$6-$E$3,22))&lt;&gt;""),'Milho 2ª safra'!$E12:INDEX('Milho 2ª safra'!$E12:$Z12,MIN(Y$6-$E$3,22))),0))-IF($G$2,0,IF((Y$6-$G$3)&lt;1,0,IFERROR(LOOKUP(2,1/('Milho 2ª safra'!$E12:INDEX('Milho 2ª safra'!$E12:$Z12,MIN(Y$6-$G$3,22))&lt;&gt;""),'Milho 2ª safra'!$E12:INDEX('Milho 2ª safra'!$E12:$Z12,MIN(Y$6-$G$3,22))),0)))))</f>
        <v>0</v>
      </c>
      <c r="Z14" s="27" t="n">
        <f aca="false">IF(COUNT('Milho 2ª safra'!$E12:$Z12)=0,0,MAX(0,IF((Z$6-$E$3)&lt;1,0,IFERROR(LOOKUP(2,1/('Milho 2ª safra'!$E12:INDEX('Milho 2ª safra'!$E12:$Z12,MIN(Z$6-$E$3,22))&lt;&gt;""),'Milho 2ª safra'!$E12:INDEX('Milho 2ª safra'!$E12:$Z12,MIN(Z$6-$E$3,22))),0))-IF($G$2,0,IF((Z$6-$G$3)&lt;1,0,IFERROR(LOOKUP(2,1/('Milho 2ª safra'!$E12:INDEX('Milho 2ª safra'!$E12:$Z12,MIN(Z$6-$G$3,22))&lt;&gt;""),'Milho 2ª safra'!$E12:INDEX('Milho 2ª safra'!$E12:$Z12,MIN(Z$6-$G$3,22))),0)))))</f>
        <v>0</v>
      </c>
      <c r="AA14" s="27" t="n">
        <f aca="false">IF(COUNT('Milho 2ª safra'!$E12:$Z12)=0,0,MAX(0,IF((AA$6-$E$3)&lt;1,0,IFERROR(LOOKUP(2,1/('Milho 2ª safra'!$E12:INDEX('Milho 2ª safra'!$E12:$Z12,MIN(AA$6-$E$3,22))&lt;&gt;""),'Milho 2ª safra'!$E12:INDEX('Milho 2ª safra'!$E12:$Z12,MIN(AA$6-$E$3,22))),0))-IF($G$2,0,IF((AA$6-$G$3)&lt;1,0,IFERROR(LOOKUP(2,1/('Milho 2ª safra'!$E12:INDEX('Milho 2ª safra'!$E12:$Z12,MIN(AA$6-$G$3,22))&lt;&gt;""),'Milho 2ª safra'!$E12:INDEX('Milho 2ª safra'!$E12:$Z12,MIN(AA$6-$G$3,22))),0)))))</f>
        <v>0</v>
      </c>
      <c r="AB14" s="27" t="n">
        <f aca="false">IF(COUNT('Milho 2ª safra'!$E12:$Z12)=0,0,MAX(0,IF((AB$6-$E$3)&lt;1,0,IFERROR(LOOKUP(2,1/('Milho 2ª safra'!$E12:INDEX('Milho 2ª safra'!$E12:$Z12,MIN(AB$6-$E$3,22))&lt;&gt;""),'Milho 2ª safra'!$E12:INDEX('Milho 2ª safra'!$E12:$Z12,MIN(AB$6-$E$3,22))),0))-IF($G$2,0,IF((AB$6-$G$3)&lt;1,0,IFERROR(LOOKUP(2,1/('Milho 2ª safra'!$E12:INDEX('Milho 2ª safra'!$E12:$Z12,MIN(AB$6-$G$3,22))&lt;&gt;""),'Milho 2ª safra'!$E12:INDEX('Milho 2ª safra'!$E12:$Z12,MIN(AB$6-$G$3,22))),0)))))</f>
        <v>0</v>
      </c>
      <c r="AC14" s="27" t="n">
        <f aca="false">IF(COUNT('Milho 2ª safra'!$E12:$Z12)=0,0,MAX(0,IF((AC$6-$E$3)&lt;1,0,IFERROR(LOOKUP(2,1/('Milho 2ª safra'!$E12:INDEX('Milho 2ª safra'!$E12:$Z12,MIN(AC$6-$E$3,22))&lt;&gt;""),'Milho 2ª safra'!$E12:INDEX('Milho 2ª safra'!$E12:$Z12,MIN(AC$6-$E$3,22))),0))-IF($G$2,0,IF((AC$6-$G$3)&lt;1,0,IFERROR(LOOKUP(2,1/('Milho 2ª safra'!$E12:INDEX('Milho 2ª safra'!$E12:$Z12,MIN(AC$6-$G$3,22))&lt;&gt;""),'Milho 2ª safra'!$E12:INDEX('Milho 2ª safra'!$E12:$Z12,MIN(AC$6-$G$3,22))),0)))))</f>
        <v>0</v>
      </c>
      <c r="AD14" s="27" t="n">
        <f aca="false">IF(COUNT('Milho 2ª safra'!$E12:$Z12)=0,0,MAX(0,IF((AD$6-$E$3)&lt;1,0,IFERROR(LOOKUP(2,1/('Milho 2ª safra'!$E12:INDEX('Milho 2ª safra'!$E12:$Z12,MIN(AD$6-$E$3,22))&lt;&gt;""),'Milho 2ª safra'!$E12:INDEX('Milho 2ª safra'!$E12:$Z12,MIN(AD$6-$E$3,22))),0))-IF($G$2,0,IF((AD$6-$G$3)&lt;1,0,IFERROR(LOOKUP(2,1/('Milho 2ª safra'!$E12:INDEX('Milho 2ª safra'!$E12:$Z12,MIN(AD$6-$G$3,22))&lt;&gt;""),'Milho 2ª safra'!$E12:INDEX('Milho 2ª safra'!$E12:$Z12,MIN(AD$6-$G$3,22))),0)))))</f>
        <v>0</v>
      </c>
      <c r="AE14" s="27" t="n">
        <f aca="false">IF(COUNT('Milho 2ª safra'!$E12:$Z12)=0,0,MAX(0,IF((AE$6-$E$3)&lt;1,0,IFERROR(LOOKUP(2,1/('Milho 2ª safra'!$E12:INDEX('Milho 2ª safra'!$E12:$Z12,MIN(AE$6-$E$3,22))&lt;&gt;""),'Milho 2ª safra'!$E12:INDEX('Milho 2ª safra'!$E12:$Z12,MIN(AE$6-$E$3,22))),0))-IF($G$2,0,IF((AE$6-$G$3)&lt;1,0,IFERROR(LOOKUP(2,1/('Milho 2ª safra'!$E12:INDEX('Milho 2ª safra'!$E12:$Z12,MIN(AE$6-$G$3,22))&lt;&gt;""),'Milho 2ª safra'!$E12:INDEX('Milho 2ª safra'!$E12:$Z12,MIN(AE$6-$G$3,22))),0)))))</f>
        <v>0</v>
      </c>
      <c r="AF14" s="27" t="n">
        <f aca="false">IF(COUNT('Milho 2ª safra'!$E12:$Z12)=0,0,MAX(0,IF((AF$6-$E$3)&lt;1,0,IFERROR(LOOKUP(2,1/('Milho 2ª safra'!$E12:INDEX('Milho 2ª safra'!$E12:$Z12,MIN(AF$6-$E$3,22))&lt;&gt;""),'Milho 2ª safra'!$E12:INDEX('Milho 2ª safra'!$E12:$Z12,MIN(AF$6-$E$3,22))),0))-IF($G$2,0,IF((AF$6-$G$3)&lt;1,0,IFERROR(LOOKUP(2,1/('Milho 2ª safra'!$E12:INDEX('Milho 2ª safra'!$E12:$Z12,MIN(AF$6-$G$3,22))&lt;&gt;""),'Milho 2ª safra'!$E12:INDEX('Milho 2ª safra'!$E12:$Z12,MIN(AF$6-$G$3,22))),0)))))</f>
        <v>0</v>
      </c>
      <c r="AG14" s="27" t="n">
        <f aca="false">IF(COUNT('Milho 2ª safra'!$E12:$Z12)=0,0,MAX(0,IF((AG$6-$E$3)&lt;1,0,IFERROR(LOOKUP(2,1/('Milho 2ª safra'!$E12:INDEX('Milho 2ª safra'!$E12:$Z12,MIN(AG$6-$E$3,22))&lt;&gt;""),'Milho 2ª safra'!$E12:INDEX('Milho 2ª safra'!$E12:$Z12,MIN(AG$6-$E$3,22))),0))-IF($G$2,0,IF((AG$6-$G$3)&lt;1,0,IFERROR(LOOKUP(2,1/('Milho 2ª safra'!$E12:INDEX('Milho 2ª safra'!$E12:$Z12,MIN(AG$6-$G$3,22))&lt;&gt;""),'Milho 2ª safra'!$E12:INDEX('Milho 2ª safra'!$E12:$Z12,MIN(AG$6-$G$3,22))),0)))))</f>
        <v>0</v>
      </c>
      <c r="AH14" s="27" t="n">
        <f aca="false">IF(COUNT('Milho 2ª safra'!$E12:$Z12)=0,0,MAX(0,IF((AH$6-$E$3)&lt;1,0,IFERROR(LOOKUP(2,1/('Milho 2ª safra'!$E12:INDEX('Milho 2ª safra'!$E12:$Z12,MIN(AH$6-$E$3,22))&lt;&gt;""),'Milho 2ª safra'!$E12:INDEX('Milho 2ª safra'!$E12:$Z12,MIN(AH$6-$E$3,22))),0))-IF($G$2,0,IF((AH$6-$G$3)&lt;1,0,IFERROR(LOOKUP(2,1/('Milho 2ª safra'!$E12:INDEX('Milho 2ª safra'!$E12:$Z12,MIN(AH$6-$G$3,22))&lt;&gt;""),'Milho 2ª safra'!$E12:INDEX('Milho 2ª safra'!$E12:$Z12,MIN(AH$6-$G$3,22))),0)))))</f>
        <v>0</v>
      </c>
      <c r="AI14" s="27" t="n">
        <f aca="false">IF(COUNT('Milho 2ª safra'!$E12:$Z12)=0,0,MAX(0,IF((AI$6-$E$3)&lt;1,0,IFERROR(LOOKUP(2,1/('Milho 2ª safra'!$E12:INDEX('Milho 2ª safra'!$E12:$Z12,MIN(AI$6-$E$3,22))&lt;&gt;""),'Milho 2ª safra'!$E12:INDEX('Milho 2ª safra'!$E12:$Z12,MIN(AI$6-$E$3,22))),0))-IF($G$2,0,IF((AI$6-$G$3)&lt;1,0,IFERROR(LOOKUP(2,1/('Milho 2ª safra'!$E12:INDEX('Milho 2ª safra'!$E12:$Z12,MIN(AI$6-$G$3,22))&lt;&gt;""),'Milho 2ª safra'!$E12:INDEX('Milho 2ª safra'!$E12:$Z12,MIN(AI$6-$G$3,22))),0)))))</f>
        <v>0</v>
      </c>
      <c r="AJ14" s="27" t="n">
        <f aca="false">IF(COUNT('Milho 2ª safra'!$E12:$Z12)=0,0,MAX(0,IF((AJ$6-$E$3)&lt;1,0,IFERROR(LOOKUP(2,1/('Milho 2ª safra'!$E12:INDEX('Milho 2ª safra'!$E12:$Z12,MIN(AJ$6-$E$3,22))&lt;&gt;""),'Milho 2ª safra'!$E12:INDEX('Milho 2ª safra'!$E12:$Z12,MIN(AJ$6-$E$3,22))),0))-IF($G$2,0,IF((AJ$6-$G$3)&lt;1,0,IFERROR(LOOKUP(2,1/('Milho 2ª safra'!$E12:INDEX('Milho 2ª safra'!$E12:$Z12,MIN(AJ$6-$G$3,22))&lt;&gt;""),'Milho 2ª safra'!$E12:INDEX('Milho 2ª safra'!$E12:$Z12,MIN(AJ$6-$G$3,22))),0)))))</f>
        <v>0</v>
      </c>
      <c r="AK14" s="27" t="n">
        <f aca="false">IF(COUNT('Milho 2ª safra'!$E12:$Z12)=0,0,MAX(0,IF((AK$6-$E$3)&lt;1,0,IFERROR(LOOKUP(2,1/('Milho 2ª safra'!$E12:INDEX('Milho 2ª safra'!$E12:$Z12,MIN(AK$6-$E$3,22))&lt;&gt;""),'Milho 2ª safra'!$E12:INDEX('Milho 2ª safra'!$E12:$Z12,MIN(AK$6-$E$3,22))),0))-IF($G$2,0,IF((AK$6-$G$3)&lt;1,0,IFERROR(LOOKUP(2,1/('Milho 2ª safra'!$E12:INDEX('Milho 2ª safra'!$E12:$Z12,MIN(AK$6-$G$3,22))&lt;&gt;""),'Milho 2ª safra'!$E12:INDEX('Milho 2ª safra'!$E12:$Z12,MIN(AK$6-$G$3,22))),0)))))</f>
        <v>0</v>
      </c>
      <c r="AL14" s="27" t="n">
        <f aca="false">IF(COUNT('Milho 2ª safra'!$E12:$Z12)=0,0,MAX(0,IF((AL$6-$E$3)&lt;1,0,IFERROR(LOOKUP(2,1/('Milho 2ª safra'!$E12:INDEX('Milho 2ª safra'!$E12:$Z12,MIN(AL$6-$E$3,22))&lt;&gt;""),'Milho 2ª safra'!$E12:INDEX('Milho 2ª safra'!$E12:$Z12,MIN(AL$6-$E$3,22))),0))-IF($G$2,0,IF((AL$6-$G$3)&lt;1,0,IFERROR(LOOKUP(2,1/('Milho 2ª safra'!$E12:INDEX('Milho 2ª safra'!$E12:$Z12,MIN(AL$6-$G$3,22))&lt;&gt;""),'Milho 2ª safra'!$E12:INDEX('Milho 2ª safra'!$E12:$Z12,MIN(AL$6-$G$3,22))),0)))))</f>
        <v>0</v>
      </c>
      <c r="AM14" s="27" t="n">
        <f aca="false">IF(COUNT('Milho 2ª safra'!$E12:$Z12)=0,0,MAX(0,IF((AM$6-$E$3)&lt;1,0,IFERROR(LOOKUP(2,1/('Milho 2ª safra'!$E12:INDEX('Milho 2ª safra'!$E12:$Z12,MIN(AM$6-$E$3,22))&lt;&gt;""),'Milho 2ª safra'!$E12:INDEX('Milho 2ª safra'!$E12:$Z12,MIN(AM$6-$E$3,22))),0))-IF($G$2,0,IF((AM$6-$G$3)&lt;1,0,IFERROR(LOOKUP(2,1/('Milho 2ª safra'!$E12:INDEX('Milho 2ª safra'!$E12:$Z12,MIN(AM$6-$G$3,22))&lt;&gt;""),'Milho 2ª safra'!$E12:INDEX('Milho 2ª safra'!$E12:$Z12,MIN(AM$6-$G$3,22))),0)))))</f>
        <v>0</v>
      </c>
      <c r="AN14" s="27" t="n">
        <f aca="false">IF(COUNT('Milho 2ª safra'!$E12:$Z12)=0,0,MAX(0,IF((AN$6-$E$3)&lt;1,0,IFERROR(LOOKUP(2,1/('Milho 2ª safra'!$E12:INDEX('Milho 2ª safra'!$E12:$Z12,MIN(AN$6-$E$3,22))&lt;&gt;""),'Milho 2ª safra'!$E12:INDEX('Milho 2ª safra'!$E12:$Z12,MIN(AN$6-$E$3,22))),0))-IF($G$2,0,IF((AN$6-$G$3)&lt;1,0,IFERROR(LOOKUP(2,1/('Milho 2ª safra'!$E12:INDEX('Milho 2ª safra'!$E12:$Z12,MIN(AN$6-$G$3,22))&lt;&gt;""),'Milho 2ª safra'!$E12:INDEX('Milho 2ª safra'!$E12:$Z12,MIN(AN$6-$G$3,22))),0)))))</f>
        <v>0</v>
      </c>
      <c r="AO14" s="27" t="n">
        <f aca="false">IF(COUNT('Milho 2ª safra'!$E12:$Z12)=0,0,MAX(0,IF((AO$6-$E$3)&lt;1,0,IFERROR(LOOKUP(2,1/('Milho 2ª safra'!$E12:INDEX('Milho 2ª safra'!$E12:$Z12,MIN(AO$6-$E$3,22))&lt;&gt;""),'Milho 2ª safra'!$E12:INDEX('Milho 2ª safra'!$E12:$Z12,MIN(AO$6-$E$3,22))),0))-IF($G$2,0,IF((AO$6-$G$3)&lt;1,0,IFERROR(LOOKUP(2,1/('Milho 2ª safra'!$E12:INDEX('Milho 2ª safra'!$E12:$Z12,MIN(AO$6-$G$3,22))&lt;&gt;""),'Milho 2ª safra'!$E12:INDEX('Milho 2ª safra'!$E12:$Z12,MIN(AO$6-$G$3,22))),0)))))</f>
        <v>0</v>
      </c>
      <c r="AP14" s="27" t="n">
        <f aca="false">IF(COUNT('Milho 2ª safra'!$E12:$Z12)=0,0,MAX(0,IF((AP$6-$E$3)&lt;1,0,IFERROR(LOOKUP(2,1/('Milho 2ª safra'!$E12:INDEX('Milho 2ª safra'!$E12:$Z12,MIN(AP$6-$E$3,22))&lt;&gt;""),'Milho 2ª safra'!$E12:INDEX('Milho 2ª safra'!$E12:$Z12,MIN(AP$6-$E$3,22))),0))-IF($G$2,0,IF((AP$6-$G$3)&lt;1,0,IFERROR(LOOKUP(2,1/('Milho 2ª safra'!$E12:INDEX('Milho 2ª safra'!$E12:$Z12,MIN(AP$6-$G$3,22))&lt;&gt;""),'Milho 2ª safra'!$E12:INDEX('Milho 2ª safra'!$E12:$Z12,MIN(AP$6-$G$3,22))),0)))))</f>
        <v>0</v>
      </c>
      <c r="AQ14" s="27" t="n">
        <f aca="false">IF(COUNT('Milho 2ª safra'!$E12:$Z12)=0,0,MAX(0,IF((AQ$6-$E$3)&lt;1,0,IFERROR(LOOKUP(2,1/('Milho 2ª safra'!$E12:INDEX('Milho 2ª safra'!$E12:$Z12,MIN(AQ$6-$E$3,22))&lt;&gt;""),'Milho 2ª safra'!$E12:INDEX('Milho 2ª safra'!$E12:$Z12,MIN(AQ$6-$E$3,22))),0))-IF($G$2,0,IF((AQ$6-$G$3)&lt;1,0,IFERROR(LOOKUP(2,1/('Milho 2ª safra'!$E12:INDEX('Milho 2ª safra'!$E12:$Z12,MIN(AQ$6-$G$3,22))&lt;&gt;""),'Milho 2ª safra'!$E12:INDEX('Milho 2ª safra'!$E12:$Z12,MIN(AQ$6-$G$3,22))),0)))))</f>
        <v>0</v>
      </c>
      <c r="AR14" s="27" t="n">
        <f aca="false">IF(COUNT('Milho 2ª safra'!$E12:$Z12)=0,0,MAX(0,IF((AR$6-$E$3)&lt;1,0,IFERROR(LOOKUP(2,1/('Milho 2ª safra'!$E12:INDEX('Milho 2ª safra'!$E12:$Z12,MIN(AR$6-$E$3,22))&lt;&gt;""),'Milho 2ª safra'!$E12:INDEX('Milho 2ª safra'!$E12:$Z12,MIN(AR$6-$E$3,22))),0))-IF($G$2,0,IF((AR$6-$G$3)&lt;1,0,IFERROR(LOOKUP(2,1/('Milho 2ª safra'!$E12:INDEX('Milho 2ª safra'!$E12:$Z12,MIN(AR$6-$G$3,22))&lt;&gt;""),'Milho 2ª safra'!$E12:INDEX('Milho 2ª safra'!$E12:$Z12,MIN(AR$6-$G$3,22))),0)))))</f>
        <v>0</v>
      </c>
      <c r="AS14" s="27" t="n">
        <f aca="false">IF(COUNT('Milho 2ª safra'!$E12:$Z12)=0,0,MAX(0,IF((AS$6-$E$3)&lt;1,0,IFERROR(LOOKUP(2,1/('Milho 2ª safra'!$E12:INDEX('Milho 2ª safra'!$E12:$Z12,MIN(AS$6-$E$3,22))&lt;&gt;""),'Milho 2ª safra'!$E12:INDEX('Milho 2ª safra'!$E12:$Z12,MIN(AS$6-$E$3,22))),0))-IF($G$2,0,IF((AS$6-$G$3)&lt;1,0,IFERROR(LOOKUP(2,1/('Milho 2ª safra'!$E12:INDEX('Milho 2ª safra'!$E12:$Z12,MIN(AS$6-$G$3,22))&lt;&gt;""),'Milho 2ª safra'!$E12:INDEX('Milho 2ª safra'!$E12:$Z12,MIN(AS$6-$G$3,22))),0)))))</f>
        <v>0</v>
      </c>
      <c r="AT14" s="27" t="n">
        <f aca="false">IF(COUNT('Milho 2ª safra'!$E12:$Z12)=0,0,MAX(0,IF((AT$6-$E$3)&lt;1,0,IFERROR(LOOKUP(2,1/('Milho 2ª safra'!$E12:INDEX('Milho 2ª safra'!$E12:$Z12,MIN(AT$6-$E$3,22))&lt;&gt;""),'Milho 2ª safra'!$E12:INDEX('Milho 2ª safra'!$E12:$Z12,MIN(AT$6-$E$3,22))),0))-IF($G$2,0,IF((AT$6-$G$3)&lt;1,0,IFERROR(LOOKUP(2,1/('Milho 2ª safra'!$E12:INDEX('Milho 2ª safra'!$E12:$Z12,MIN(AT$6-$G$3,22))&lt;&gt;""),'Milho 2ª safra'!$E12:INDEX('Milho 2ª safra'!$E12:$Z12,MIN(AT$6-$G$3,22))),0)))))</f>
        <v>0</v>
      </c>
      <c r="AU14" s="27" t="n">
        <f aca="false">IF(COUNT('Milho 2ª safra'!$E12:$Z12)=0,0,MAX(0,IF((AU$6-$E$3)&lt;1,0,IFERROR(LOOKUP(2,1/('Milho 2ª safra'!$E12:INDEX('Milho 2ª safra'!$E12:$Z12,MIN(AU$6-$E$3,22))&lt;&gt;""),'Milho 2ª safra'!$E12:INDEX('Milho 2ª safra'!$E12:$Z12,MIN(AU$6-$E$3,22))),0))-IF($G$2,0,IF((AU$6-$G$3)&lt;1,0,IFERROR(LOOKUP(2,1/('Milho 2ª safra'!$E12:INDEX('Milho 2ª safra'!$E12:$Z12,MIN(AU$6-$G$3,22))&lt;&gt;""),'Milho 2ª safra'!$E12:INDEX('Milho 2ª safra'!$E12:$Z12,MIN(AU$6-$G$3,22))),0)))))</f>
        <v>0</v>
      </c>
      <c r="AV14" s="27" t="n">
        <f aca="false">IF(COUNT('Milho 2ª safra'!$E12:$Z12)=0,0,MAX(0,IF((AV$6-$E$3)&lt;1,0,IFERROR(LOOKUP(2,1/('Milho 2ª safra'!$E12:INDEX('Milho 2ª safra'!$E12:$Z12,MIN(AV$6-$E$3,22))&lt;&gt;""),'Milho 2ª safra'!$E12:INDEX('Milho 2ª safra'!$E12:$Z12,MIN(AV$6-$E$3,22))),0))-IF($G$2,0,IF((AV$6-$G$3)&lt;1,0,IFERROR(LOOKUP(2,1/('Milho 2ª safra'!$E12:INDEX('Milho 2ª safra'!$E12:$Z12,MIN(AV$6-$G$3,22))&lt;&gt;""),'Milho 2ª safra'!$E12:INDEX('Milho 2ª safra'!$E12:$Z12,MIN(AV$6-$G$3,22))),0)))))</f>
        <v>0</v>
      </c>
      <c r="AW14" s="27" t="n">
        <f aca="false">IF(COUNT('Milho 2ª safra'!$E12:$Z12)=0,0,MAX(0,IF((AW$6-$E$3)&lt;1,0,IFERROR(LOOKUP(2,1/('Milho 2ª safra'!$E12:INDEX('Milho 2ª safra'!$E12:$Z12,MIN(AW$6-$E$3,22))&lt;&gt;""),'Milho 2ª safra'!$E12:INDEX('Milho 2ª safra'!$E12:$Z12,MIN(AW$6-$E$3,22))),0))-IF($G$2,0,IF((AW$6-$G$3)&lt;1,0,IFERROR(LOOKUP(2,1/('Milho 2ª safra'!$E12:INDEX('Milho 2ª safra'!$E12:$Z12,MIN(AW$6-$G$3,22))&lt;&gt;""),'Milho 2ª safra'!$E12:INDEX('Milho 2ª safra'!$E12:$Z12,MIN(AW$6-$G$3,22))),0)))))</f>
        <v>0</v>
      </c>
      <c r="AX14" s="27" t="n">
        <f aca="false">IF(COUNT('Milho 2ª safra'!$E12:$Z12)=0,0,MAX(0,IF((AX$6-$E$3)&lt;1,0,IFERROR(LOOKUP(2,1/('Milho 2ª safra'!$E12:INDEX('Milho 2ª safra'!$E12:$Z12,MIN(AX$6-$E$3,22))&lt;&gt;""),'Milho 2ª safra'!$E12:INDEX('Milho 2ª safra'!$E12:$Z12,MIN(AX$6-$E$3,22))),0))-IF($G$2,0,IF((AX$6-$G$3)&lt;1,0,IFERROR(LOOKUP(2,1/('Milho 2ª safra'!$E12:INDEX('Milho 2ª safra'!$E12:$Z12,MIN(AX$6-$G$3,22))&lt;&gt;""),'Milho 2ª safra'!$E12:INDEX('Milho 2ª safra'!$E12:$Z12,MIN(AX$6-$G$3,22))),0)))))</f>
        <v>0</v>
      </c>
      <c r="AY14" s="27" t="n">
        <f aca="false">IF(COUNT('Milho 2ª safra'!$E12:$Z12)=0,0,MAX(0,IF((AY$6-$E$3)&lt;1,0,IFERROR(LOOKUP(2,1/('Milho 2ª safra'!$E12:INDEX('Milho 2ª safra'!$E12:$Z12,MIN(AY$6-$E$3,22))&lt;&gt;""),'Milho 2ª safra'!$E12:INDEX('Milho 2ª safra'!$E12:$Z12,MIN(AY$6-$E$3,22))),0))-IF($G$2,0,IF((AY$6-$G$3)&lt;1,0,IFERROR(LOOKUP(2,1/('Milho 2ª safra'!$E12:INDEX('Milho 2ª safra'!$E12:$Z12,MIN(AY$6-$G$3,22))&lt;&gt;""),'Milho 2ª safra'!$E12:INDEX('Milho 2ª safra'!$E12:$Z12,MIN(AY$6-$G$3,22))),0)))))</f>
        <v>0</v>
      </c>
      <c r="AZ14" s="27" t="n">
        <f aca="false">IF(COUNT('Milho 2ª safra'!$E12:$Z12)=0,0,MAX(0,IF((AZ$6-$E$3)&lt;1,0,IFERROR(LOOKUP(2,1/('Milho 2ª safra'!$E12:INDEX('Milho 2ª safra'!$E12:$Z12,MIN(AZ$6-$E$3,22))&lt;&gt;""),'Milho 2ª safra'!$E12:INDEX('Milho 2ª safra'!$E12:$Z12,MIN(AZ$6-$E$3,22))),0))-IF($G$2,0,IF((AZ$6-$G$3)&lt;1,0,IFERROR(LOOKUP(2,1/('Milho 2ª safra'!$E12:INDEX('Milho 2ª safra'!$E12:$Z12,MIN(AZ$6-$G$3,22))&lt;&gt;""),'Milho 2ª safra'!$E12:INDEX('Milho 2ª safra'!$E12:$Z12,MIN(AZ$6-$G$3,22))),0)))))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IF(COUNT('Milho 2ª safra'!$E13:$Z13)&gt;0,N('Milho 2ª safra'!$D13),0)</f>
        <v>0</v>
      </c>
      <c r="E15" s="27" t="n">
        <f aca="false">IF(COUNT('Milho 2ª safra'!$E13:$Z13)=0,0,MAX(0,IF((E$6-$E$3)&lt;1,0,IFERROR(LOOKUP(2,1/('Milho 2ª safra'!$E13:INDEX('Milho 2ª safra'!$E13:$Z13,MIN(E$6-$E$3,22))&lt;&gt;""),'Milho 2ª safra'!$E13:INDEX('Milho 2ª safra'!$E13:$Z13,MIN(E$6-$E$3,22))),0))-IF($G$2,0,IF((E$6-$G$3)&lt;1,0,IFERROR(LOOKUP(2,1/('Milho 2ª safra'!$E13:INDEX('Milho 2ª safra'!$E13:$Z13,MIN(E$6-$G$3,22))&lt;&gt;""),'Milho 2ª safra'!$E13:INDEX('Milho 2ª safra'!$E13:$Z13,MIN(E$6-$G$3,22))),0)))))</f>
        <v>0</v>
      </c>
      <c r="F15" s="27" t="n">
        <f aca="false">IF(COUNT('Milho 2ª safra'!$E13:$Z13)=0,0,MAX(0,IF((F$6-$E$3)&lt;1,0,IFERROR(LOOKUP(2,1/('Milho 2ª safra'!$E13:INDEX('Milho 2ª safra'!$E13:$Z13,MIN(F$6-$E$3,22))&lt;&gt;""),'Milho 2ª safra'!$E13:INDEX('Milho 2ª safra'!$E13:$Z13,MIN(F$6-$E$3,22))),0))-IF($G$2,0,IF((F$6-$G$3)&lt;1,0,IFERROR(LOOKUP(2,1/('Milho 2ª safra'!$E13:INDEX('Milho 2ª safra'!$E13:$Z13,MIN(F$6-$G$3,22))&lt;&gt;""),'Milho 2ª safra'!$E13:INDEX('Milho 2ª safra'!$E13:$Z13,MIN(F$6-$G$3,22))),0)))))</f>
        <v>0</v>
      </c>
      <c r="G15" s="27" t="n">
        <f aca="false">IF(COUNT('Milho 2ª safra'!$E13:$Z13)=0,0,MAX(0,IF((G$6-$E$3)&lt;1,0,IFERROR(LOOKUP(2,1/('Milho 2ª safra'!$E13:INDEX('Milho 2ª safra'!$E13:$Z13,MIN(G$6-$E$3,22))&lt;&gt;""),'Milho 2ª safra'!$E13:INDEX('Milho 2ª safra'!$E13:$Z13,MIN(G$6-$E$3,22))),0))-IF($G$2,0,IF((G$6-$G$3)&lt;1,0,IFERROR(LOOKUP(2,1/('Milho 2ª safra'!$E13:INDEX('Milho 2ª safra'!$E13:$Z13,MIN(G$6-$G$3,22))&lt;&gt;""),'Milho 2ª safra'!$E13:INDEX('Milho 2ª safra'!$E13:$Z13,MIN(G$6-$G$3,22))),0)))))</f>
        <v>0</v>
      </c>
      <c r="H15" s="27" t="n">
        <f aca="false">IF(COUNT('Milho 2ª safra'!$E13:$Z13)=0,0,MAX(0,IF((H$6-$E$3)&lt;1,0,IFERROR(LOOKUP(2,1/('Milho 2ª safra'!$E13:INDEX('Milho 2ª safra'!$E13:$Z13,MIN(H$6-$E$3,22))&lt;&gt;""),'Milho 2ª safra'!$E13:INDEX('Milho 2ª safra'!$E13:$Z13,MIN(H$6-$E$3,22))),0))-IF($G$2,0,IF((H$6-$G$3)&lt;1,0,IFERROR(LOOKUP(2,1/('Milho 2ª safra'!$E13:INDEX('Milho 2ª safra'!$E13:$Z13,MIN(H$6-$G$3,22))&lt;&gt;""),'Milho 2ª safra'!$E13:INDEX('Milho 2ª safra'!$E13:$Z13,MIN(H$6-$G$3,22))),0)))))</f>
        <v>0</v>
      </c>
      <c r="I15" s="27" t="n">
        <f aca="false">IF(COUNT('Milho 2ª safra'!$E13:$Z13)=0,0,MAX(0,IF((I$6-$E$3)&lt;1,0,IFERROR(LOOKUP(2,1/('Milho 2ª safra'!$E13:INDEX('Milho 2ª safra'!$E13:$Z13,MIN(I$6-$E$3,22))&lt;&gt;""),'Milho 2ª safra'!$E13:INDEX('Milho 2ª safra'!$E13:$Z13,MIN(I$6-$E$3,22))),0))-IF($G$2,0,IF((I$6-$G$3)&lt;1,0,IFERROR(LOOKUP(2,1/('Milho 2ª safra'!$E13:INDEX('Milho 2ª safra'!$E13:$Z13,MIN(I$6-$G$3,22))&lt;&gt;""),'Milho 2ª safra'!$E13:INDEX('Milho 2ª safra'!$E13:$Z13,MIN(I$6-$G$3,22))),0)))))</f>
        <v>0</v>
      </c>
      <c r="J15" s="27" t="n">
        <f aca="false">IF(COUNT('Milho 2ª safra'!$E13:$Z13)=0,0,MAX(0,IF((J$6-$E$3)&lt;1,0,IFERROR(LOOKUP(2,1/('Milho 2ª safra'!$E13:INDEX('Milho 2ª safra'!$E13:$Z13,MIN(J$6-$E$3,22))&lt;&gt;""),'Milho 2ª safra'!$E13:INDEX('Milho 2ª safra'!$E13:$Z13,MIN(J$6-$E$3,22))),0))-IF($G$2,0,IF((J$6-$G$3)&lt;1,0,IFERROR(LOOKUP(2,1/('Milho 2ª safra'!$E13:INDEX('Milho 2ª safra'!$E13:$Z13,MIN(J$6-$G$3,22))&lt;&gt;""),'Milho 2ª safra'!$E13:INDEX('Milho 2ª safra'!$E13:$Z13,MIN(J$6-$G$3,22))),0)))))</f>
        <v>0</v>
      </c>
      <c r="K15" s="27" t="n">
        <f aca="false">IF(COUNT('Milho 2ª safra'!$E13:$Z13)=0,0,MAX(0,IF((K$6-$E$3)&lt;1,0,IFERROR(LOOKUP(2,1/('Milho 2ª safra'!$E13:INDEX('Milho 2ª safra'!$E13:$Z13,MIN(K$6-$E$3,22))&lt;&gt;""),'Milho 2ª safra'!$E13:INDEX('Milho 2ª safra'!$E13:$Z13,MIN(K$6-$E$3,22))),0))-IF($G$2,0,IF((K$6-$G$3)&lt;1,0,IFERROR(LOOKUP(2,1/('Milho 2ª safra'!$E13:INDEX('Milho 2ª safra'!$E13:$Z13,MIN(K$6-$G$3,22))&lt;&gt;""),'Milho 2ª safra'!$E13:INDEX('Milho 2ª safra'!$E13:$Z13,MIN(K$6-$G$3,22))),0)))))</f>
        <v>0</v>
      </c>
      <c r="L15" s="27" t="n">
        <f aca="false">IF(COUNT('Milho 2ª safra'!$E13:$Z13)=0,0,MAX(0,IF((L$6-$E$3)&lt;1,0,IFERROR(LOOKUP(2,1/('Milho 2ª safra'!$E13:INDEX('Milho 2ª safra'!$E13:$Z13,MIN(L$6-$E$3,22))&lt;&gt;""),'Milho 2ª safra'!$E13:INDEX('Milho 2ª safra'!$E13:$Z13,MIN(L$6-$E$3,22))),0))-IF($G$2,0,IF((L$6-$G$3)&lt;1,0,IFERROR(LOOKUP(2,1/('Milho 2ª safra'!$E13:INDEX('Milho 2ª safra'!$E13:$Z13,MIN(L$6-$G$3,22))&lt;&gt;""),'Milho 2ª safra'!$E13:INDEX('Milho 2ª safra'!$E13:$Z13,MIN(L$6-$G$3,22))),0)))))</f>
        <v>0</v>
      </c>
      <c r="M15" s="27" t="n">
        <f aca="false">IF(COUNT('Milho 2ª safra'!$E13:$Z13)=0,0,MAX(0,IF((M$6-$E$3)&lt;1,0,IFERROR(LOOKUP(2,1/('Milho 2ª safra'!$E13:INDEX('Milho 2ª safra'!$E13:$Z13,MIN(M$6-$E$3,22))&lt;&gt;""),'Milho 2ª safra'!$E13:INDEX('Milho 2ª safra'!$E13:$Z13,MIN(M$6-$E$3,22))),0))-IF($G$2,0,IF((M$6-$G$3)&lt;1,0,IFERROR(LOOKUP(2,1/('Milho 2ª safra'!$E13:INDEX('Milho 2ª safra'!$E13:$Z13,MIN(M$6-$G$3,22))&lt;&gt;""),'Milho 2ª safra'!$E13:INDEX('Milho 2ª safra'!$E13:$Z13,MIN(M$6-$G$3,22))),0)))))</f>
        <v>0</v>
      </c>
      <c r="N15" s="27" t="n">
        <f aca="false">IF(COUNT('Milho 2ª safra'!$E13:$Z13)=0,0,MAX(0,IF((N$6-$E$3)&lt;1,0,IFERROR(LOOKUP(2,1/('Milho 2ª safra'!$E13:INDEX('Milho 2ª safra'!$E13:$Z13,MIN(N$6-$E$3,22))&lt;&gt;""),'Milho 2ª safra'!$E13:INDEX('Milho 2ª safra'!$E13:$Z13,MIN(N$6-$E$3,22))),0))-IF($G$2,0,IF((N$6-$G$3)&lt;1,0,IFERROR(LOOKUP(2,1/('Milho 2ª safra'!$E13:INDEX('Milho 2ª safra'!$E13:$Z13,MIN(N$6-$G$3,22))&lt;&gt;""),'Milho 2ª safra'!$E13:INDEX('Milho 2ª safra'!$E13:$Z13,MIN(N$6-$G$3,22))),0)))))</f>
        <v>0</v>
      </c>
      <c r="O15" s="27" t="n">
        <f aca="false">IF(COUNT('Milho 2ª safra'!$E13:$Z13)=0,0,MAX(0,IF((O$6-$E$3)&lt;1,0,IFERROR(LOOKUP(2,1/('Milho 2ª safra'!$E13:INDEX('Milho 2ª safra'!$E13:$Z13,MIN(O$6-$E$3,22))&lt;&gt;""),'Milho 2ª safra'!$E13:INDEX('Milho 2ª safra'!$E13:$Z13,MIN(O$6-$E$3,22))),0))-IF($G$2,0,IF((O$6-$G$3)&lt;1,0,IFERROR(LOOKUP(2,1/('Milho 2ª safra'!$E13:INDEX('Milho 2ª safra'!$E13:$Z13,MIN(O$6-$G$3,22))&lt;&gt;""),'Milho 2ª safra'!$E13:INDEX('Milho 2ª safra'!$E13:$Z13,MIN(O$6-$G$3,22))),0)))))</f>
        <v>0</v>
      </c>
      <c r="P15" s="27" t="n">
        <f aca="false">IF(COUNT('Milho 2ª safra'!$E13:$Z13)=0,0,MAX(0,IF((P$6-$E$3)&lt;1,0,IFERROR(LOOKUP(2,1/('Milho 2ª safra'!$E13:INDEX('Milho 2ª safra'!$E13:$Z13,MIN(P$6-$E$3,22))&lt;&gt;""),'Milho 2ª safra'!$E13:INDEX('Milho 2ª safra'!$E13:$Z13,MIN(P$6-$E$3,22))),0))-IF($G$2,0,IF((P$6-$G$3)&lt;1,0,IFERROR(LOOKUP(2,1/('Milho 2ª safra'!$E13:INDEX('Milho 2ª safra'!$E13:$Z13,MIN(P$6-$G$3,22))&lt;&gt;""),'Milho 2ª safra'!$E13:INDEX('Milho 2ª safra'!$E13:$Z13,MIN(P$6-$G$3,22))),0)))))</f>
        <v>0</v>
      </c>
      <c r="Q15" s="27" t="n">
        <f aca="false">IF(COUNT('Milho 2ª safra'!$E13:$Z13)=0,0,MAX(0,IF((Q$6-$E$3)&lt;1,0,IFERROR(LOOKUP(2,1/('Milho 2ª safra'!$E13:INDEX('Milho 2ª safra'!$E13:$Z13,MIN(Q$6-$E$3,22))&lt;&gt;""),'Milho 2ª safra'!$E13:INDEX('Milho 2ª safra'!$E13:$Z13,MIN(Q$6-$E$3,22))),0))-IF($G$2,0,IF((Q$6-$G$3)&lt;1,0,IFERROR(LOOKUP(2,1/('Milho 2ª safra'!$E13:INDEX('Milho 2ª safra'!$E13:$Z13,MIN(Q$6-$G$3,22))&lt;&gt;""),'Milho 2ª safra'!$E13:INDEX('Milho 2ª safra'!$E13:$Z13,MIN(Q$6-$G$3,22))),0)))))</f>
        <v>0</v>
      </c>
      <c r="R15" s="27" t="n">
        <f aca="false">IF(COUNT('Milho 2ª safra'!$E13:$Z13)=0,0,MAX(0,IF((R$6-$E$3)&lt;1,0,IFERROR(LOOKUP(2,1/('Milho 2ª safra'!$E13:INDEX('Milho 2ª safra'!$E13:$Z13,MIN(R$6-$E$3,22))&lt;&gt;""),'Milho 2ª safra'!$E13:INDEX('Milho 2ª safra'!$E13:$Z13,MIN(R$6-$E$3,22))),0))-IF($G$2,0,IF((R$6-$G$3)&lt;1,0,IFERROR(LOOKUP(2,1/('Milho 2ª safra'!$E13:INDEX('Milho 2ª safra'!$E13:$Z13,MIN(R$6-$G$3,22))&lt;&gt;""),'Milho 2ª safra'!$E13:INDEX('Milho 2ª safra'!$E13:$Z13,MIN(R$6-$G$3,22))),0)))))</f>
        <v>0</v>
      </c>
      <c r="S15" s="27" t="n">
        <f aca="false">IF(COUNT('Milho 2ª safra'!$E13:$Z13)=0,0,MAX(0,IF((S$6-$E$3)&lt;1,0,IFERROR(LOOKUP(2,1/('Milho 2ª safra'!$E13:INDEX('Milho 2ª safra'!$E13:$Z13,MIN(S$6-$E$3,22))&lt;&gt;""),'Milho 2ª safra'!$E13:INDEX('Milho 2ª safra'!$E13:$Z13,MIN(S$6-$E$3,22))),0))-IF($G$2,0,IF((S$6-$G$3)&lt;1,0,IFERROR(LOOKUP(2,1/('Milho 2ª safra'!$E13:INDEX('Milho 2ª safra'!$E13:$Z13,MIN(S$6-$G$3,22))&lt;&gt;""),'Milho 2ª safra'!$E13:INDEX('Milho 2ª safra'!$E13:$Z13,MIN(S$6-$G$3,22))),0)))))</f>
        <v>0</v>
      </c>
      <c r="T15" s="27" t="n">
        <f aca="false">IF(COUNT('Milho 2ª safra'!$E13:$Z13)=0,0,MAX(0,IF((T$6-$E$3)&lt;1,0,IFERROR(LOOKUP(2,1/('Milho 2ª safra'!$E13:INDEX('Milho 2ª safra'!$E13:$Z13,MIN(T$6-$E$3,22))&lt;&gt;""),'Milho 2ª safra'!$E13:INDEX('Milho 2ª safra'!$E13:$Z13,MIN(T$6-$E$3,22))),0))-IF($G$2,0,IF((T$6-$G$3)&lt;1,0,IFERROR(LOOKUP(2,1/('Milho 2ª safra'!$E13:INDEX('Milho 2ª safra'!$E13:$Z13,MIN(T$6-$G$3,22))&lt;&gt;""),'Milho 2ª safra'!$E13:INDEX('Milho 2ª safra'!$E13:$Z13,MIN(T$6-$G$3,22))),0)))))</f>
        <v>0</v>
      </c>
      <c r="U15" s="27" t="n">
        <f aca="false">IF(COUNT('Milho 2ª safra'!$E13:$Z13)=0,0,MAX(0,IF((U$6-$E$3)&lt;1,0,IFERROR(LOOKUP(2,1/('Milho 2ª safra'!$E13:INDEX('Milho 2ª safra'!$E13:$Z13,MIN(U$6-$E$3,22))&lt;&gt;""),'Milho 2ª safra'!$E13:INDEX('Milho 2ª safra'!$E13:$Z13,MIN(U$6-$E$3,22))),0))-IF($G$2,0,IF((U$6-$G$3)&lt;1,0,IFERROR(LOOKUP(2,1/('Milho 2ª safra'!$E13:INDEX('Milho 2ª safra'!$E13:$Z13,MIN(U$6-$G$3,22))&lt;&gt;""),'Milho 2ª safra'!$E13:INDEX('Milho 2ª safra'!$E13:$Z13,MIN(U$6-$G$3,22))),0)))))</f>
        <v>0</v>
      </c>
      <c r="V15" s="27" t="n">
        <f aca="false">IF(COUNT('Milho 2ª safra'!$E13:$Z13)=0,0,MAX(0,IF((V$6-$E$3)&lt;1,0,IFERROR(LOOKUP(2,1/('Milho 2ª safra'!$E13:INDEX('Milho 2ª safra'!$E13:$Z13,MIN(V$6-$E$3,22))&lt;&gt;""),'Milho 2ª safra'!$E13:INDEX('Milho 2ª safra'!$E13:$Z13,MIN(V$6-$E$3,22))),0))-IF($G$2,0,IF((V$6-$G$3)&lt;1,0,IFERROR(LOOKUP(2,1/('Milho 2ª safra'!$E13:INDEX('Milho 2ª safra'!$E13:$Z13,MIN(V$6-$G$3,22))&lt;&gt;""),'Milho 2ª safra'!$E13:INDEX('Milho 2ª safra'!$E13:$Z13,MIN(V$6-$G$3,22))),0)))))</f>
        <v>0</v>
      </c>
      <c r="W15" s="27" t="n">
        <f aca="false">IF(COUNT('Milho 2ª safra'!$E13:$Z13)=0,0,MAX(0,IF((W$6-$E$3)&lt;1,0,IFERROR(LOOKUP(2,1/('Milho 2ª safra'!$E13:INDEX('Milho 2ª safra'!$E13:$Z13,MIN(W$6-$E$3,22))&lt;&gt;""),'Milho 2ª safra'!$E13:INDEX('Milho 2ª safra'!$E13:$Z13,MIN(W$6-$E$3,22))),0))-IF($G$2,0,IF((W$6-$G$3)&lt;1,0,IFERROR(LOOKUP(2,1/('Milho 2ª safra'!$E13:INDEX('Milho 2ª safra'!$E13:$Z13,MIN(W$6-$G$3,22))&lt;&gt;""),'Milho 2ª safra'!$E13:INDEX('Milho 2ª safra'!$E13:$Z13,MIN(W$6-$G$3,22))),0)))))</f>
        <v>0</v>
      </c>
      <c r="X15" s="27" t="n">
        <f aca="false">IF(COUNT('Milho 2ª safra'!$E13:$Z13)=0,0,MAX(0,IF((X$6-$E$3)&lt;1,0,IFERROR(LOOKUP(2,1/('Milho 2ª safra'!$E13:INDEX('Milho 2ª safra'!$E13:$Z13,MIN(X$6-$E$3,22))&lt;&gt;""),'Milho 2ª safra'!$E13:INDEX('Milho 2ª safra'!$E13:$Z13,MIN(X$6-$E$3,22))),0))-IF($G$2,0,IF((X$6-$G$3)&lt;1,0,IFERROR(LOOKUP(2,1/('Milho 2ª safra'!$E13:INDEX('Milho 2ª safra'!$E13:$Z13,MIN(X$6-$G$3,22))&lt;&gt;""),'Milho 2ª safra'!$E13:INDEX('Milho 2ª safra'!$E13:$Z13,MIN(X$6-$G$3,22))),0)))))</f>
        <v>0</v>
      </c>
      <c r="Y15" s="27" t="n">
        <f aca="false">IF(COUNT('Milho 2ª safra'!$E13:$Z13)=0,0,MAX(0,IF((Y$6-$E$3)&lt;1,0,IFERROR(LOOKUP(2,1/('Milho 2ª safra'!$E13:INDEX('Milho 2ª safra'!$E13:$Z13,MIN(Y$6-$E$3,22))&lt;&gt;""),'Milho 2ª safra'!$E13:INDEX('Milho 2ª safra'!$E13:$Z13,MIN(Y$6-$E$3,22))),0))-IF($G$2,0,IF((Y$6-$G$3)&lt;1,0,IFERROR(LOOKUP(2,1/('Milho 2ª safra'!$E13:INDEX('Milho 2ª safra'!$E13:$Z13,MIN(Y$6-$G$3,22))&lt;&gt;""),'Milho 2ª safra'!$E13:INDEX('Milho 2ª safra'!$E13:$Z13,MIN(Y$6-$G$3,22))),0)))))</f>
        <v>0</v>
      </c>
      <c r="Z15" s="27" t="n">
        <f aca="false">IF(COUNT('Milho 2ª safra'!$E13:$Z13)=0,0,MAX(0,IF((Z$6-$E$3)&lt;1,0,IFERROR(LOOKUP(2,1/('Milho 2ª safra'!$E13:INDEX('Milho 2ª safra'!$E13:$Z13,MIN(Z$6-$E$3,22))&lt;&gt;""),'Milho 2ª safra'!$E13:INDEX('Milho 2ª safra'!$E13:$Z13,MIN(Z$6-$E$3,22))),0))-IF($G$2,0,IF((Z$6-$G$3)&lt;1,0,IFERROR(LOOKUP(2,1/('Milho 2ª safra'!$E13:INDEX('Milho 2ª safra'!$E13:$Z13,MIN(Z$6-$G$3,22))&lt;&gt;""),'Milho 2ª safra'!$E13:INDEX('Milho 2ª safra'!$E13:$Z13,MIN(Z$6-$G$3,22))),0)))))</f>
        <v>0</v>
      </c>
      <c r="AA15" s="27" t="n">
        <f aca="false">IF(COUNT('Milho 2ª safra'!$E13:$Z13)=0,0,MAX(0,IF((AA$6-$E$3)&lt;1,0,IFERROR(LOOKUP(2,1/('Milho 2ª safra'!$E13:INDEX('Milho 2ª safra'!$E13:$Z13,MIN(AA$6-$E$3,22))&lt;&gt;""),'Milho 2ª safra'!$E13:INDEX('Milho 2ª safra'!$E13:$Z13,MIN(AA$6-$E$3,22))),0))-IF($G$2,0,IF((AA$6-$G$3)&lt;1,0,IFERROR(LOOKUP(2,1/('Milho 2ª safra'!$E13:INDEX('Milho 2ª safra'!$E13:$Z13,MIN(AA$6-$G$3,22))&lt;&gt;""),'Milho 2ª safra'!$E13:INDEX('Milho 2ª safra'!$E13:$Z13,MIN(AA$6-$G$3,22))),0)))))</f>
        <v>0</v>
      </c>
      <c r="AB15" s="27" t="n">
        <f aca="false">IF(COUNT('Milho 2ª safra'!$E13:$Z13)=0,0,MAX(0,IF((AB$6-$E$3)&lt;1,0,IFERROR(LOOKUP(2,1/('Milho 2ª safra'!$E13:INDEX('Milho 2ª safra'!$E13:$Z13,MIN(AB$6-$E$3,22))&lt;&gt;""),'Milho 2ª safra'!$E13:INDEX('Milho 2ª safra'!$E13:$Z13,MIN(AB$6-$E$3,22))),0))-IF($G$2,0,IF((AB$6-$G$3)&lt;1,0,IFERROR(LOOKUP(2,1/('Milho 2ª safra'!$E13:INDEX('Milho 2ª safra'!$E13:$Z13,MIN(AB$6-$G$3,22))&lt;&gt;""),'Milho 2ª safra'!$E13:INDEX('Milho 2ª safra'!$E13:$Z13,MIN(AB$6-$G$3,22))),0)))))</f>
        <v>0</v>
      </c>
      <c r="AC15" s="27" t="n">
        <f aca="false">IF(COUNT('Milho 2ª safra'!$E13:$Z13)=0,0,MAX(0,IF((AC$6-$E$3)&lt;1,0,IFERROR(LOOKUP(2,1/('Milho 2ª safra'!$E13:INDEX('Milho 2ª safra'!$E13:$Z13,MIN(AC$6-$E$3,22))&lt;&gt;""),'Milho 2ª safra'!$E13:INDEX('Milho 2ª safra'!$E13:$Z13,MIN(AC$6-$E$3,22))),0))-IF($G$2,0,IF((AC$6-$G$3)&lt;1,0,IFERROR(LOOKUP(2,1/('Milho 2ª safra'!$E13:INDEX('Milho 2ª safra'!$E13:$Z13,MIN(AC$6-$G$3,22))&lt;&gt;""),'Milho 2ª safra'!$E13:INDEX('Milho 2ª safra'!$E13:$Z13,MIN(AC$6-$G$3,22))),0)))))</f>
        <v>0</v>
      </c>
      <c r="AD15" s="27" t="n">
        <f aca="false">IF(COUNT('Milho 2ª safra'!$E13:$Z13)=0,0,MAX(0,IF((AD$6-$E$3)&lt;1,0,IFERROR(LOOKUP(2,1/('Milho 2ª safra'!$E13:INDEX('Milho 2ª safra'!$E13:$Z13,MIN(AD$6-$E$3,22))&lt;&gt;""),'Milho 2ª safra'!$E13:INDEX('Milho 2ª safra'!$E13:$Z13,MIN(AD$6-$E$3,22))),0))-IF($G$2,0,IF((AD$6-$G$3)&lt;1,0,IFERROR(LOOKUP(2,1/('Milho 2ª safra'!$E13:INDEX('Milho 2ª safra'!$E13:$Z13,MIN(AD$6-$G$3,22))&lt;&gt;""),'Milho 2ª safra'!$E13:INDEX('Milho 2ª safra'!$E13:$Z13,MIN(AD$6-$G$3,22))),0)))))</f>
        <v>0</v>
      </c>
      <c r="AE15" s="27" t="n">
        <f aca="false">IF(COUNT('Milho 2ª safra'!$E13:$Z13)=0,0,MAX(0,IF((AE$6-$E$3)&lt;1,0,IFERROR(LOOKUP(2,1/('Milho 2ª safra'!$E13:INDEX('Milho 2ª safra'!$E13:$Z13,MIN(AE$6-$E$3,22))&lt;&gt;""),'Milho 2ª safra'!$E13:INDEX('Milho 2ª safra'!$E13:$Z13,MIN(AE$6-$E$3,22))),0))-IF($G$2,0,IF((AE$6-$G$3)&lt;1,0,IFERROR(LOOKUP(2,1/('Milho 2ª safra'!$E13:INDEX('Milho 2ª safra'!$E13:$Z13,MIN(AE$6-$G$3,22))&lt;&gt;""),'Milho 2ª safra'!$E13:INDEX('Milho 2ª safra'!$E13:$Z13,MIN(AE$6-$G$3,22))),0)))))</f>
        <v>0</v>
      </c>
      <c r="AF15" s="27" t="n">
        <f aca="false">IF(COUNT('Milho 2ª safra'!$E13:$Z13)=0,0,MAX(0,IF((AF$6-$E$3)&lt;1,0,IFERROR(LOOKUP(2,1/('Milho 2ª safra'!$E13:INDEX('Milho 2ª safra'!$E13:$Z13,MIN(AF$6-$E$3,22))&lt;&gt;""),'Milho 2ª safra'!$E13:INDEX('Milho 2ª safra'!$E13:$Z13,MIN(AF$6-$E$3,22))),0))-IF($G$2,0,IF((AF$6-$G$3)&lt;1,0,IFERROR(LOOKUP(2,1/('Milho 2ª safra'!$E13:INDEX('Milho 2ª safra'!$E13:$Z13,MIN(AF$6-$G$3,22))&lt;&gt;""),'Milho 2ª safra'!$E13:INDEX('Milho 2ª safra'!$E13:$Z13,MIN(AF$6-$G$3,22))),0)))))</f>
        <v>0</v>
      </c>
      <c r="AG15" s="27" t="n">
        <f aca="false">IF(COUNT('Milho 2ª safra'!$E13:$Z13)=0,0,MAX(0,IF((AG$6-$E$3)&lt;1,0,IFERROR(LOOKUP(2,1/('Milho 2ª safra'!$E13:INDEX('Milho 2ª safra'!$E13:$Z13,MIN(AG$6-$E$3,22))&lt;&gt;""),'Milho 2ª safra'!$E13:INDEX('Milho 2ª safra'!$E13:$Z13,MIN(AG$6-$E$3,22))),0))-IF($G$2,0,IF((AG$6-$G$3)&lt;1,0,IFERROR(LOOKUP(2,1/('Milho 2ª safra'!$E13:INDEX('Milho 2ª safra'!$E13:$Z13,MIN(AG$6-$G$3,22))&lt;&gt;""),'Milho 2ª safra'!$E13:INDEX('Milho 2ª safra'!$E13:$Z13,MIN(AG$6-$G$3,22))),0)))))</f>
        <v>0</v>
      </c>
      <c r="AH15" s="27" t="n">
        <f aca="false">IF(COUNT('Milho 2ª safra'!$E13:$Z13)=0,0,MAX(0,IF((AH$6-$E$3)&lt;1,0,IFERROR(LOOKUP(2,1/('Milho 2ª safra'!$E13:INDEX('Milho 2ª safra'!$E13:$Z13,MIN(AH$6-$E$3,22))&lt;&gt;""),'Milho 2ª safra'!$E13:INDEX('Milho 2ª safra'!$E13:$Z13,MIN(AH$6-$E$3,22))),0))-IF($G$2,0,IF((AH$6-$G$3)&lt;1,0,IFERROR(LOOKUP(2,1/('Milho 2ª safra'!$E13:INDEX('Milho 2ª safra'!$E13:$Z13,MIN(AH$6-$G$3,22))&lt;&gt;""),'Milho 2ª safra'!$E13:INDEX('Milho 2ª safra'!$E13:$Z13,MIN(AH$6-$G$3,22))),0)))))</f>
        <v>0</v>
      </c>
      <c r="AI15" s="27" t="n">
        <f aca="false">IF(COUNT('Milho 2ª safra'!$E13:$Z13)=0,0,MAX(0,IF((AI$6-$E$3)&lt;1,0,IFERROR(LOOKUP(2,1/('Milho 2ª safra'!$E13:INDEX('Milho 2ª safra'!$E13:$Z13,MIN(AI$6-$E$3,22))&lt;&gt;""),'Milho 2ª safra'!$E13:INDEX('Milho 2ª safra'!$E13:$Z13,MIN(AI$6-$E$3,22))),0))-IF($G$2,0,IF((AI$6-$G$3)&lt;1,0,IFERROR(LOOKUP(2,1/('Milho 2ª safra'!$E13:INDEX('Milho 2ª safra'!$E13:$Z13,MIN(AI$6-$G$3,22))&lt;&gt;""),'Milho 2ª safra'!$E13:INDEX('Milho 2ª safra'!$E13:$Z13,MIN(AI$6-$G$3,22))),0)))))</f>
        <v>0</v>
      </c>
      <c r="AJ15" s="27" t="n">
        <f aca="false">IF(COUNT('Milho 2ª safra'!$E13:$Z13)=0,0,MAX(0,IF((AJ$6-$E$3)&lt;1,0,IFERROR(LOOKUP(2,1/('Milho 2ª safra'!$E13:INDEX('Milho 2ª safra'!$E13:$Z13,MIN(AJ$6-$E$3,22))&lt;&gt;""),'Milho 2ª safra'!$E13:INDEX('Milho 2ª safra'!$E13:$Z13,MIN(AJ$6-$E$3,22))),0))-IF($G$2,0,IF((AJ$6-$G$3)&lt;1,0,IFERROR(LOOKUP(2,1/('Milho 2ª safra'!$E13:INDEX('Milho 2ª safra'!$E13:$Z13,MIN(AJ$6-$G$3,22))&lt;&gt;""),'Milho 2ª safra'!$E13:INDEX('Milho 2ª safra'!$E13:$Z13,MIN(AJ$6-$G$3,22))),0)))))</f>
        <v>0</v>
      </c>
      <c r="AK15" s="27" t="n">
        <f aca="false">IF(COUNT('Milho 2ª safra'!$E13:$Z13)=0,0,MAX(0,IF((AK$6-$E$3)&lt;1,0,IFERROR(LOOKUP(2,1/('Milho 2ª safra'!$E13:INDEX('Milho 2ª safra'!$E13:$Z13,MIN(AK$6-$E$3,22))&lt;&gt;""),'Milho 2ª safra'!$E13:INDEX('Milho 2ª safra'!$E13:$Z13,MIN(AK$6-$E$3,22))),0))-IF($G$2,0,IF((AK$6-$G$3)&lt;1,0,IFERROR(LOOKUP(2,1/('Milho 2ª safra'!$E13:INDEX('Milho 2ª safra'!$E13:$Z13,MIN(AK$6-$G$3,22))&lt;&gt;""),'Milho 2ª safra'!$E13:INDEX('Milho 2ª safra'!$E13:$Z13,MIN(AK$6-$G$3,22))),0)))))</f>
        <v>0</v>
      </c>
      <c r="AL15" s="27" t="n">
        <f aca="false">IF(COUNT('Milho 2ª safra'!$E13:$Z13)=0,0,MAX(0,IF((AL$6-$E$3)&lt;1,0,IFERROR(LOOKUP(2,1/('Milho 2ª safra'!$E13:INDEX('Milho 2ª safra'!$E13:$Z13,MIN(AL$6-$E$3,22))&lt;&gt;""),'Milho 2ª safra'!$E13:INDEX('Milho 2ª safra'!$E13:$Z13,MIN(AL$6-$E$3,22))),0))-IF($G$2,0,IF((AL$6-$G$3)&lt;1,0,IFERROR(LOOKUP(2,1/('Milho 2ª safra'!$E13:INDEX('Milho 2ª safra'!$E13:$Z13,MIN(AL$6-$G$3,22))&lt;&gt;""),'Milho 2ª safra'!$E13:INDEX('Milho 2ª safra'!$E13:$Z13,MIN(AL$6-$G$3,22))),0)))))</f>
        <v>0</v>
      </c>
      <c r="AM15" s="27" t="n">
        <f aca="false">IF(COUNT('Milho 2ª safra'!$E13:$Z13)=0,0,MAX(0,IF((AM$6-$E$3)&lt;1,0,IFERROR(LOOKUP(2,1/('Milho 2ª safra'!$E13:INDEX('Milho 2ª safra'!$E13:$Z13,MIN(AM$6-$E$3,22))&lt;&gt;""),'Milho 2ª safra'!$E13:INDEX('Milho 2ª safra'!$E13:$Z13,MIN(AM$6-$E$3,22))),0))-IF($G$2,0,IF((AM$6-$G$3)&lt;1,0,IFERROR(LOOKUP(2,1/('Milho 2ª safra'!$E13:INDEX('Milho 2ª safra'!$E13:$Z13,MIN(AM$6-$G$3,22))&lt;&gt;""),'Milho 2ª safra'!$E13:INDEX('Milho 2ª safra'!$E13:$Z13,MIN(AM$6-$G$3,22))),0)))))</f>
        <v>0</v>
      </c>
      <c r="AN15" s="27" t="n">
        <f aca="false">IF(COUNT('Milho 2ª safra'!$E13:$Z13)=0,0,MAX(0,IF((AN$6-$E$3)&lt;1,0,IFERROR(LOOKUP(2,1/('Milho 2ª safra'!$E13:INDEX('Milho 2ª safra'!$E13:$Z13,MIN(AN$6-$E$3,22))&lt;&gt;""),'Milho 2ª safra'!$E13:INDEX('Milho 2ª safra'!$E13:$Z13,MIN(AN$6-$E$3,22))),0))-IF($G$2,0,IF((AN$6-$G$3)&lt;1,0,IFERROR(LOOKUP(2,1/('Milho 2ª safra'!$E13:INDEX('Milho 2ª safra'!$E13:$Z13,MIN(AN$6-$G$3,22))&lt;&gt;""),'Milho 2ª safra'!$E13:INDEX('Milho 2ª safra'!$E13:$Z13,MIN(AN$6-$G$3,22))),0)))))</f>
        <v>0</v>
      </c>
      <c r="AO15" s="27" t="n">
        <f aca="false">IF(COUNT('Milho 2ª safra'!$E13:$Z13)=0,0,MAX(0,IF((AO$6-$E$3)&lt;1,0,IFERROR(LOOKUP(2,1/('Milho 2ª safra'!$E13:INDEX('Milho 2ª safra'!$E13:$Z13,MIN(AO$6-$E$3,22))&lt;&gt;""),'Milho 2ª safra'!$E13:INDEX('Milho 2ª safra'!$E13:$Z13,MIN(AO$6-$E$3,22))),0))-IF($G$2,0,IF((AO$6-$G$3)&lt;1,0,IFERROR(LOOKUP(2,1/('Milho 2ª safra'!$E13:INDEX('Milho 2ª safra'!$E13:$Z13,MIN(AO$6-$G$3,22))&lt;&gt;""),'Milho 2ª safra'!$E13:INDEX('Milho 2ª safra'!$E13:$Z13,MIN(AO$6-$G$3,22))),0)))))</f>
        <v>0</v>
      </c>
      <c r="AP15" s="27" t="n">
        <f aca="false">IF(COUNT('Milho 2ª safra'!$E13:$Z13)=0,0,MAX(0,IF((AP$6-$E$3)&lt;1,0,IFERROR(LOOKUP(2,1/('Milho 2ª safra'!$E13:INDEX('Milho 2ª safra'!$E13:$Z13,MIN(AP$6-$E$3,22))&lt;&gt;""),'Milho 2ª safra'!$E13:INDEX('Milho 2ª safra'!$E13:$Z13,MIN(AP$6-$E$3,22))),0))-IF($G$2,0,IF((AP$6-$G$3)&lt;1,0,IFERROR(LOOKUP(2,1/('Milho 2ª safra'!$E13:INDEX('Milho 2ª safra'!$E13:$Z13,MIN(AP$6-$G$3,22))&lt;&gt;""),'Milho 2ª safra'!$E13:INDEX('Milho 2ª safra'!$E13:$Z13,MIN(AP$6-$G$3,22))),0)))))</f>
        <v>0</v>
      </c>
      <c r="AQ15" s="27" t="n">
        <f aca="false">IF(COUNT('Milho 2ª safra'!$E13:$Z13)=0,0,MAX(0,IF((AQ$6-$E$3)&lt;1,0,IFERROR(LOOKUP(2,1/('Milho 2ª safra'!$E13:INDEX('Milho 2ª safra'!$E13:$Z13,MIN(AQ$6-$E$3,22))&lt;&gt;""),'Milho 2ª safra'!$E13:INDEX('Milho 2ª safra'!$E13:$Z13,MIN(AQ$6-$E$3,22))),0))-IF($G$2,0,IF((AQ$6-$G$3)&lt;1,0,IFERROR(LOOKUP(2,1/('Milho 2ª safra'!$E13:INDEX('Milho 2ª safra'!$E13:$Z13,MIN(AQ$6-$G$3,22))&lt;&gt;""),'Milho 2ª safra'!$E13:INDEX('Milho 2ª safra'!$E13:$Z13,MIN(AQ$6-$G$3,22))),0)))))</f>
        <v>0</v>
      </c>
      <c r="AR15" s="27" t="n">
        <f aca="false">IF(COUNT('Milho 2ª safra'!$E13:$Z13)=0,0,MAX(0,IF((AR$6-$E$3)&lt;1,0,IFERROR(LOOKUP(2,1/('Milho 2ª safra'!$E13:INDEX('Milho 2ª safra'!$E13:$Z13,MIN(AR$6-$E$3,22))&lt;&gt;""),'Milho 2ª safra'!$E13:INDEX('Milho 2ª safra'!$E13:$Z13,MIN(AR$6-$E$3,22))),0))-IF($G$2,0,IF((AR$6-$G$3)&lt;1,0,IFERROR(LOOKUP(2,1/('Milho 2ª safra'!$E13:INDEX('Milho 2ª safra'!$E13:$Z13,MIN(AR$6-$G$3,22))&lt;&gt;""),'Milho 2ª safra'!$E13:INDEX('Milho 2ª safra'!$E13:$Z13,MIN(AR$6-$G$3,22))),0)))))</f>
        <v>0</v>
      </c>
      <c r="AS15" s="27" t="n">
        <f aca="false">IF(COUNT('Milho 2ª safra'!$E13:$Z13)=0,0,MAX(0,IF((AS$6-$E$3)&lt;1,0,IFERROR(LOOKUP(2,1/('Milho 2ª safra'!$E13:INDEX('Milho 2ª safra'!$E13:$Z13,MIN(AS$6-$E$3,22))&lt;&gt;""),'Milho 2ª safra'!$E13:INDEX('Milho 2ª safra'!$E13:$Z13,MIN(AS$6-$E$3,22))),0))-IF($G$2,0,IF((AS$6-$G$3)&lt;1,0,IFERROR(LOOKUP(2,1/('Milho 2ª safra'!$E13:INDEX('Milho 2ª safra'!$E13:$Z13,MIN(AS$6-$G$3,22))&lt;&gt;""),'Milho 2ª safra'!$E13:INDEX('Milho 2ª safra'!$E13:$Z13,MIN(AS$6-$G$3,22))),0)))))</f>
        <v>0</v>
      </c>
      <c r="AT15" s="27" t="n">
        <f aca="false">IF(COUNT('Milho 2ª safra'!$E13:$Z13)=0,0,MAX(0,IF((AT$6-$E$3)&lt;1,0,IFERROR(LOOKUP(2,1/('Milho 2ª safra'!$E13:INDEX('Milho 2ª safra'!$E13:$Z13,MIN(AT$6-$E$3,22))&lt;&gt;""),'Milho 2ª safra'!$E13:INDEX('Milho 2ª safra'!$E13:$Z13,MIN(AT$6-$E$3,22))),0))-IF($G$2,0,IF((AT$6-$G$3)&lt;1,0,IFERROR(LOOKUP(2,1/('Milho 2ª safra'!$E13:INDEX('Milho 2ª safra'!$E13:$Z13,MIN(AT$6-$G$3,22))&lt;&gt;""),'Milho 2ª safra'!$E13:INDEX('Milho 2ª safra'!$E13:$Z13,MIN(AT$6-$G$3,22))),0)))))</f>
        <v>0</v>
      </c>
      <c r="AU15" s="27" t="n">
        <f aca="false">IF(COUNT('Milho 2ª safra'!$E13:$Z13)=0,0,MAX(0,IF((AU$6-$E$3)&lt;1,0,IFERROR(LOOKUP(2,1/('Milho 2ª safra'!$E13:INDEX('Milho 2ª safra'!$E13:$Z13,MIN(AU$6-$E$3,22))&lt;&gt;""),'Milho 2ª safra'!$E13:INDEX('Milho 2ª safra'!$E13:$Z13,MIN(AU$6-$E$3,22))),0))-IF($G$2,0,IF((AU$6-$G$3)&lt;1,0,IFERROR(LOOKUP(2,1/('Milho 2ª safra'!$E13:INDEX('Milho 2ª safra'!$E13:$Z13,MIN(AU$6-$G$3,22))&lt;&gt;""),'Milho 2ª safra'!$E13:INDEX('Milho 2ª safra'!$E13:$Z13,MIN(AU$6-$G$3,22))),0)))))</f>
        <v>0</v>
      </c>
      <c r="AV15" s="27" t="n">
        <f aca="false">IF(COUNT('Milho 2ª safra'!$E13:$Z13)=0,0,MAX(0,IF((AV$6-$E$3)&lt;1,0,IFERROR(LOOKUP(2,1/('Milho 2ª safra'!$E13:INDEX('Milho 2ª safra'!$E13:$Z13,MIN(AV$6-$E$3,22))&lt;&gt;""),'Milho 2ª safra'!$E13:INDEX('Milho 2ª safra'!$E13:$Z13,MIN(AV$6-$E$3,22))),0))-IF($G$2,0,IF((AV$6-$G$3)&lt;1,0,IFERROR(LOOKUP(2,1/('Milho 2ª safra'!$E13:INDEX('Milho 2ª safra'!$E13:$Z13,MIN(AV$6-$G$3,22))&lt;&gt;""),'Milho 2ª safra'!$E13:INDEX('Milho 2ª safra'!$E13:$Z13,MIN(AV$6-$G$3,22))),0)))))</f>
        <v>0</v>
      </c>
      <c r="AW15" s="27" t="n">
        <f aca="false">IF(COUNT('Milho 2ª safra'!$E13:$Z13)=0,0,MAX(0,IF((AW$6-$E$3)&lt;1,0,IFERROR(LOOKUP(2,1/('Milho 2ª safra'!$E13:INDEX('Milho 2ª safra'!$E13:$Z13,MIN(AW$6-$E$3,22))&lt;&gt;""),'Milho 2ª safra'!$E13:INDEX('Milho 2ª safra'!$E13:$Z13,MIN(AW$6-$E$3,22))),0))-IF($G$2,0,IF((AW$6-$G$3)&lt;1,0,IFERROR(LOOKUP(2,1/('Milho 2ª safra'!$E13:INDEX('Milho 2ª safra'!$E13:$Z13,MIN(AW$6-$G$3,22))&lt;&gt;""),'Milho 2ª safra'!$E13:INDEX('Milho 2ª safra'!$E13:$Z13,MIN(AW$6-$G$3,22))),0)))))</f>
        <v>0</v>
      </c>
      <c r="AX15" s="27" t="n">
        <f aca="false">IF(COUNT('Milho 2ª safra'!$E13:$Z13)=0,0,MAX(0,IF((AX$6-$E$3)&lt;1,0,IFERROR(LOOKUP(2,1/('Milho 2ª safra'!$E13:INDEX('Milho 2ª safra'!$E13:$Z13,MIN(AX$6-$E$3,22))&lt;&gt;""),'Milho 2ª safra'!$E13:INDEX('Milho 2ª safra'!$E13:$Z13,MIN(AX$6-$E$3,22))),0))-IF($G$2,0,IF((AX$6-$G$3)&lt;1,0,IFERROR(LOOKUP(2,1/('Milho 2ª safra'!$E13:INDEX('Milho 2ª safra'!$E13:$Z13,MIN(AX$6-$G$3,22))&lt;&gt;""),'Milho 2ª safra'!$E13:INDEX('Milho 2ª safra'!$E13:$Z13,MIN(AX$6-$G$3,22))),0)))))</f>
        <v>0</v>
      </c>
      <c r="AY15" s="27" t="n">
        <f aca="false">IF(COUNT('Milho 2ª safra'!$E13:$Z13)=0,0,MAX(0,IF((AY$6-$E$3)&lt;1,0,IFERROR(LOOKUP(2,1/('Milho 2ª safra'!$E13:INDEX('Milho 2ª safra'!$E13:$Z13,MIN(AY$6-$E$3,22))&lt;&gt;""),'Milho 2ª safra'!$E13:INDEX('Milho 2ª safra'!$E13:$Z13,MIN(AY$6-$E$3,22))),0))-IF($G$2,0,IF((AY$6-$G$3)&lt;1,0,IFERROR(LOOKUP(2,1/('Milho 2ª safra'!$E13:INDEX('Milho 2ª safra'!$E13:$Z13,MIN(AY$6-$G$3,22))&lt;&gt;""),'Milho 2ª safra'!$E13:INDEX('Milho 2ª safra'!$E13:$Z13,MIN(AY$6-$G$3,22))),0)))))</f>
        <v>0</v>
      </c>
      <c r="AZ15" s="27" t="n">
        <f aca="false">IF(COUNT('Milho 2ª safra'!$E13:$Z13)=0,0,MAX(0,IF((AZ$6-$E$3)&lt;1,0,IFERROR(LOOKUP(2,1/('Milho 2ª safra'!$E13:INDEX('Milho 2ª safra'!$E13:$Z13,MIN(AZ$6-$E$3,22))&lt;&gt;""),'Milho 2ª safra'!$E13:INDEX('Milho 2ª safra'!$E13:$Z13,MIN(AZ$6-$E$3,22))),0))-IF($G$2,0,IF((AZ$6-$G$3)&lt;1,0,IFERROR(LOOKUP(2,1/('Milho 2ª safra'!$E13:INDEX('Milho 2ª safra'!$E13:$Z13,MIN(AZ$6-$G$3,22))&lt;&gt;""),'Milho 2ª safra'!$E13:INDEX('Milho 2ª safra'!$E13:$Z13,MIN(AZ$6-$G$3,22))),0)))))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IF(COUNT('Milho 2ª safra'!$E14:$Z14)&gt;0,N('Milho 2ª safra'!$D14),0)</f>
        <v>0</v>
      </c>
      <c r="E16" s="27" t="n">
        <f aca="false">IF(COUNT('Milho 2ª safra'!$E14:$Z14)=0,0,MAX(0,IF((E$6-$E$3)&lt;1,0,IFERROR(LOOKUP(2,1/('Milho 2ª safra'!$E14:INDEX('Milho 2ª safra'!$E14:$Z14,MIN(E$6-$E$3,22))&lt;&gt;""),'Milho 2ª safra'!$E14:INDEX('Milho 2ª safra'!$E14:$Z14,MIN(E$6-$E$3,22))),0))-IF($G$2,0,IF((E$6-$G$3)&lt;1,0,IFERROR(LOOKUP(2,1/('Milho 2ª safra'!$E14:INDEX('Milho 2ª safra'!$E14:$Z14,MIN(E$6-$G$3,22))&lt;&gt;""),'Milho 2ª safra'!$E14:INDEX('Milho 2ª safra'!$E14:$Z14,MIN(E$6-$G$3,22))),0)))))</f>
        <v>0</v>
      </c>
      <c r="F16" s="27" t="n">
        <f aca="false">IF(COUNT('Milho 2ª safra'!$E14:$Z14)=0,0,MAX(0,IF((F$6-$E$3)&lt;1,0,IFERROR(LOOKUP(2,1/('Milho 2ª safra'!$E14:INDEX('Milho 2ª safra'!$E14:$Z14,MIN(F$6-$E$3,22))&lt;&gt;""),'Milho 2ª safra'!$E14:INDEX('Milho 2ª safra'!$E14:$Z14,MIN(F$6-$E$3,22))),0))-IF($G$2,0,IF((F$6-$G$3)&lt;1,0,IFERROR(LOOKUP(2,1/('Milho 2ª safra'!$E14:INDEX('Milho 2ª safra'!$E14:$Z14,MIN(F$6-$G$3,22))&lt;&gt;""),'Milho 2ª safra'!$E14:INDEX('Milho 2ª safra'!$E14:$Z14,MIN(F$6-$G$3,22))),0)))))</f>
        <v>0</v>
      </c>
      <c r="G16" s="27" t="n">
        <f aca="false">IF(COUNT('Milho 2ª safra'!$E14:$Z14)=0,0,MAX(0,IF((G$6-$E$3)&lt;1,0,IFERROR(LOOKUP(2,1/('Milho 2ª safra'!$E14:INDEX('Milho 2ª safra'!$E14:$Z14,MIN(G$6-$E$3,22))&lt;&gt;""),'Milho 2ª safra'!$E14:INDEX('Milho 2ª safra'!$E14:$Z14,MIN(G$6-$E$3,22))),0))-IF($G$2,0,IF((G$6-$G$3)&lt;1,0,IFERROR(LOOKUP(2,1/('Milho 2ª safra'!$E14:INDEX('Milho 2ª safra'!$E14:$Z14,MIN(G$6-$G$3,22))&lt;&gt;""),'Milho 2ª safra'!$E14:INDEX('Milho 2ª safra'!$E14:$Z14,MIN(G$6-$G$3,22))),0)))))</f>
        <v>0</v>
      </c>
      <c r="H16" s="27" t="n">
        <f aca="false">IF(COUNT('Milho 2ª safra'!$E14:$Z14)=0,0,MAX(0,IF((H$6-$E$3)&lt;1,0,IFERROR(LOOKUP(2,1/('Milho 2ª safra'!$E14:INDEX('Milho 2ª safra'!$E14:$Z14,MIN(H$6-$E$3,22))&lt;&gt;""),'Milho 2ª safra'!$E14:INDEX('Milho 2ª safra'!$E14:$Z14,MIN(H$6-$E$3,22))),0))-IF($G$2,0,IF((H$6-$G$3)&lt;1,0,IFERROR(LOOKUP(2,1/('Milho 2ª safra'!$E14:INDEX('Milho 2ª safra'!$E14:$Z14,MIN(H$6-$G$3,22))&lt;&gt;""),'Milho 2ª safra'!$E14:INDEX('Milho 2ª safra'!$E14:$Z14,MIN(H$6-$G$3,22))),0)))))</f>
        <v>0</v>
      </c>
      <c r="I16" s="27" t="n">
        <f aca="false">IF(COUNT('Milho 2ª safra'!$E14:$Z14)=0,0,MAX(0,IF((I$6-$E$3)&lt;1,0,IFERROR(LOOKUP(2,1/('Milho 2ª safra'!$E14:INDEX('Milho 2ª safra'!$E14:$Z14,MIN(I$6-$E$3,22))&lt;&gt;""),'Milho 2ª safra'!$E14:INDEX('Milho 2ª safra'!$E14:$Z14,MIN(I$6-$E$3,22))),0))-IF($G$2,0,IF((I$6-$G$3)&lt;1,0,IFERROR(LOOKUP(2,1/('Milho 2ª safra'!$E14:INDEX('Milho 2ª safra'!$E14:$Z14,MIN(I$6-$G$3,22))&lt;&gt;""),'Milho 2ª safra'!$E14:INDEX('Milho 2ª safra'!$E14:$Z14,MIN(I$6-$G$3,22))),0)))))</f>
        <v>0</v>
      </c>
      <c r="J16" s="27" t="n">
        <f aca="false">IF(COUNT('Milho 2ª safra'!$E14:$Z14)=0,0,MAX(0,IF((J$6-$E$3)&lt;1,0,IFERROR(LOOKUP(2,1/('Milho 2ª safra'!$E14:INDEX('Milho 2ª safra'!$E14:$Z14,MIN(J$6-$E$3,22))&lt;&gt;""),'Milho 2ª safra'!$E14:INDEX('Milho 2ª safra'!$E14:$Z14,MIN(J$6-$E$3,22))),0))-IF($G$2,0,IF((J$6-$G$3)&lt;1,0,IFERROR(LOOKUP(2,1/('Milho 2ª safra'!$E14:INDEX('Milho 2ª safra'!$E14:$Z14,MIN(J$6-$G$3,22))&lt;&gt;""),'Milho 2ª safra'!$E14:INDEX('Milho 2ª safra'!$E14:$Z14,MIN(J$6-$G$3,22))),0)))))</f>
        <v>0</v>
      </c>
      <c r="K16" s="27" t="n">
        <f aca="false">IF(COUNT('Milho 2ª safra'!$E14:$Z14)=0,0,MAX(0,IF((K$6-$E$3)&lt;1,0,IFERROR(LOOKUP(2,1/('Milho 2ª safra'!$E14:INDEX('Milho 2ª safra'!$E14:$Z14,MIN(K$6-$E$3,22))&lt;&gt;""),'Milho 2ª safra'!$E14:INDEX('Milho 2ª safra'!$E14:$Z14,MIN(K$6-$E$3,22))),0))-IF($G$2,0,IF((K$6-$G$3)&lt;1,0,IFERROR(LOOKUP(2,1/('Milho 2ª safra'!$E14:INDEX('Milho 2ª safra'!$E14:$Z14,MIN(K$6-$G$3,22))&lt;&gt;""),'Milho 2ª safra'!$E14:INDEX('Milho 2ª safra'!$E14:$Z14,MIN(K$6-$G$3,22))),0)))))</f>
        <v>0</v>
      </c>
      <c r="L16" s="27" t="n">
        <f aca="false">IF(COUNT('Milho 2ª safra'!$E14:$Z14)=0,0,MAX(0,IF((L$6-$E$3)&lt;1,0,IFERROR(LOOKUP(2,1/('Milho 2ª safra'!$E14:INDEX('Milho 2ª safra'!$E14:$Z14,MIN(L$6-$E$3,22))&lt;&gt;""),'Milho 2ª safra'!$E14:INDEX('Milho 2ª safra'!$E14:$Z14,MIN(L$6-$E$3,22))),0))-IF($G$2,0,IF((L$6-$G$3)&lt;1,0,IFERROR(LOOKUP(2,1/('Milho 2ª safra'!$E14:INDEX('Milho 2ª safra'!$E14:$Z14,MIN(L$6-$G$3,22))&lt;&gt;""),'Milho 2ª safra'!$E14:INDEX('Milho 2ª safra'!$E14:$Z14,MIN(L$6-$G$3,22))),0)))))</f>
        <v>0</v>
      </c>
      <c r="M16" s="27" t="n">
        <f aca="false">IF(COUNT('Milho 2ª safra'!$E14:$Z14)=0,0,MAX(0,IF((M$6-$E$3)&lt;1,0,IFERROR(LOOKUP(2,1/('Milho 2ª safra'!$E14:INDEX('Milho 2ª safra'!$E14:$Z14,MIN(M$6-$E$3,22))&lt;&gt;""),'Milho 2ª safra'!$E14:INDEX('Milho 2ª safra'!$E14:$Z14,MIN(M$6-$E$3,22))),0))-IF($G$2,0,IF((M$6-$G$3)&lt;1,0,IFERROR(LOOKUP(2,1/('Milho 2ª safra'!$E14:INDEX('Milho 2ª safra'!$E14:$Z14,MIN(M$6-$G$3,22))&lt;&gt;""),'Milho 2ª safra'!$E14:INDEX('Milho 2ª safra'!$E14:$Z14,MIN(M$6-$G$3,22))),0)))))</f>
        <v>0</v>
      </c>
      <c r="N16" s="27" t="n">
        <f aca="false">IF(COUNT('Milho 2ª safra'!$E14:$Z14)=0,0,MAX(0,IF((N$6-$E$3)&lt;1,0,IFERROR(LOOKUP(2,1/('Milho 2ª safra'!$E14:INDEX('Milho 2ª safra'!$E14:$Z14,MIN(N$6-$E$3,22))&lt;&gt;""),'Milho 2ª safra'!$E14:INDEX('Milho 2ª safra'!$E14:$Z14,MIN(N$6-$E$3,22))),0))-IF($G$2,0,IF((N$6-$G$3)&lt;1,0,IFERROR(LOOKUP(2,1/('Milho 2ª safra'!$E14:INDEX('Milho 2ª safra'!$E14:$Z14,MIN(N$6-$G$3,22))&lt;&gt;""),'Milho 2ª safra'!$E14:INDEX('Milho 2ª safra'!$E14:$Z14,MIN(N$6-$G$3,22))),0)))))</f>
        <v>0</v>
      </c>
      <c r="O16" s="27" t="n">
        <f aca="false">IF(COUNT('Milho 2ª safra'!$E14:$Z14)=0,0,MAX(0,IF((O$6-$E$3)&lt;1,0,IFERROR(LOOKUP(2,1/('Milho 2ª safra'!$E14:INDEX('Milho 2ª safra'!$E14:$Z14,MIN(O$6-$E$3,22))&lt;&gt;""),'Milho 2ª safra'!$E14:INDEX('Milho 2ª safra'!$E14:$Z14,MIN(O$6-$E$3,22))),0))-IF($G$2,0,IF((O$6-$G$3)&lt;1,0,IFERROR(LOOKUP(2,1/('Milho 2ª safra'!$E14:INDEX('Milho 2ª safra'!$E14:$Z14,MIN(O$6-$G$3,22))&lt;&gt;""),'Milho 2ª safra'!$E14:INDEX('Milho 2ª safra'!$E14:$Z14,MIN(O$6-$G$3,22))),0)))))</f>
        <v>0</v>
      </c>
      <c r="P16" s="27" t="n">
        <f aca="false">IF(COUNT('Milho 2ª safra'!$E14:$Z14)=0,0,MAX(0,IF((P$6-$E$3)&lt;1,0,IFERROR(LOOKUP(2,1/('Milho 2ª safra'!$E14:INDEX('Milho 2ª safra'!$E14:$Z14,MIN(P$6-$E$3,22))&lt;&gt;""),'Milho 2ª safra'!$E14:INDEX('Milho 2ª safra'!$E14:$Z14,MIN(P$6-$E$3,22))),0))-IF($G$2,0,IF((P$6-$G$3)&lt;1,0,IFERROR(LOOKUP(2,1/('Milho 2ª safra'!$E14:INDEX('Milho 2ª safra'!$E14:$Z14,MIN(P$6-$G$3,22))&lt;&gt;""),'Milho 2ª safra'!$E14:INDEX('Milho 2ª safra'!$E14:$Z14,MIN(P$6-$G$3,22))),0)))))</f>
        <v>0</v>
      </c>
      <c r="Q16" s="27" t="n">
        <f aca="false">IF(COUNT('Milho 2ª safra'!$E14:$Z14)=0,0,MAX(0,IF((Q$6-$E$3)&lt;1,0,IFERROR(LOOKUP(2,1/('Milho 2ª safra'!$E14:INDEX('Milho 2ª safra'!$E14:$Z14,MIN(Q$6-$E$3,22))&lt;&gt;""),'Milho 2ª safra'!$E14:INDEX('Milho 2ª safra'!$E14:$Z14,MIN(Q$6-$E$3,22))),0))-IF($G$2,0,IF((Q$6-$G$3)&lt;1,0,IFERROR(LOOKUP(2,1/('Milho 2ª safra'!$E14:INDEX('Milho 2ª safra'!$E14:$Z14,MIN(Q$6-$G$3,22))&lt;&gt;""),'Milho 2ª safra'!$E14:INDEX('Milho 2ª safra'!$E14:$Z14,MIN(Q$6-$G$3,22))),0)))))</f>
        <v>0</v>
      </c>
      <c r="R16" s="27" t="n">
        <f aca="false">IF(COUNT('Milho 2ª safra'!$E14:$Z14)=0,0,MAX(0,IF((R$6-$E$3)&lt;1,0,IFERROR(LOOKUP(2,1/('Milho 2ª safra'!$E14:INDEX('Milho 2ª safra'!$E14:$Z14,MIN(R$6-$E$3,22))&lt;&gt;""),'Milho 2ª safra'!$E14:INDEX('Milho 2ª safra'!$E14:$Z14,MIN(R$6-$E$3,22))),0))-IF($G$2,0,IF((R$6-$G$3)&lt;1,0,IFERROR(LOOKUP(2,1/('Milho 2ª safra'!$E14:INDEX('Milho 2ª safra'!$E14:$Z14,MIN(R$6-$G$3,22))&lt;&gt;""),'Milho 2ª safra'!$E14:INDEX('Milho 2ª safra'!$E14:$Z14,MIN(R$6-$G$3,22))),0)))))</f>
        <v>0</v>
      </c>
      <c r="S16" s="27" t="n">
        <f aca="false">IF(COUNT('Milho 2ª safra'!$E14:$Z14)=0,0,MAX(0,IF((S$6-$E$3)&lt;1,0,IFERROR(LOOKUP(2,1/('Milho 2ª safra'!$E14:INDEX('Milho 2ª safra'!$E14:$Z14,MIN(S$6-$E$3,22))&lt;&gt;""),'Milho 2ª safra'!$E14:INDEX('Milho 2ª safra'!$E14:$Z14,MIN(S$6-$E$3,22))),0))-IF($G$2,0,IF((S$6-$G$3)&lt;1,0,IFERROR(LOOKUP(2,1/('Milho 2ª safra'!$E14:INDEX('Milho 2ª safra'!$E14:$Z14,MIN(S$6-$G$3,22))&lt;&gt;""),'Milho 2ª safra'!$E14:INDEX('Milho 2ª safra'!$E14:$Z14,MIN(S$6-$G$3,22))),0)))))</f>
        <v>0</v>
      </c>
      <c r="T16" s="27" t="n">
        <f aca="false">IF(COUNT('Milho 2ª safra'!$E14:$Z14)=0,0,MAX(0,IF((T$6-$E$3)&lt;1,0,IFERROR(LOOKUP(2,1/('Milho 2ª safra'!$E14:INDEX('Milho 2ª safra'!$E14:$Z14,MIN(T$6-$E$3,22))&lt;&gt;""),'Milho 2ª safra'!$E14:INDEX('Milho 2ª safra'!$E14:$Z14,MIN(T$6-$E$3,22))),0))-IF($G$2,0,IF((T$6-$G$3)&lt;1,0,IFERROR(LOOKUP(2,1/('Milho 2ª safra'!$E14:INDEX('Milho 2ª safra'!$E14:$Z14,MIN(T$6-$G$3,22))&lt;&gt;""),'Milho 2ª safra'!$E14:INDEX('Milho 2ª safra'!$E14:$Z14,MIN(T$6-$G$3,22))),0)))))</f>
        <v>0</v>
      </c>
      <c r="U16" s="27" t="n">
        <f aca="false">IF(COUNT('Milho 2ª safra'!$E14:$Z14)=0,0,MAX(0,IF((U$6-$E$3)&lt;1,0,IFERROR(LOOKUP(2,1/('Milho 2ª safra'!$E14:INDEX('Milho 2ª safra'!$E14:$Z14,MIN(U$6-$E$3,22))&lt;&gt;""),'Milho 2ª safra'!$E14:INDEX('Milho 2ª safra'!$E14:$Z14,MIN(U$6-$E$3,22))),0))-IF($G$2,0,IF((U$6-$G$3)&lt;1,0,IFERROR(LOOKUP(2,1/('Milho 2ª safra'!$E14:INDEX('Milho 2ª safra'!$E14:$Z14,MIN(U$6-$G$3,22))&lt;&gt;""),'Milho 2ª safra'!$E14:INDEX('Milho 2ª safra'!$E14:$Z14,MIN(U$6-$G$3,22))),0)))))</f>
        <v>0</v>
      </c>
      <c r="V16" s="27" t="n">
        <f aca="false">IF(COUNT('Milho 2ª safra'!$E14:$Z14)=0,0,MAX(0,IF((V$6-$E$3)&lt;1,0,IFERROR(LOOKUP(2,1/('Milho 2ª safra'!$E14:INDEX('Milho 2ª safra'!$E14:$Z14,MIN(V$6-$E$3,22))&lt;&gt;""),'Milho 2ª safra'!$E14:INDEX('Milho 2ª safra'!$E14:$Z14,MIN(V$6-$E$3,22))),0))-IF($G$2,0,IF((V$6-$G$3)&lt;1,0,IFERROR(LOOKUP(2,1/('Milho 2ª safra'!$E14:INDEX('Milho 2ª safra'!$E14:$Z14,MIN(V$6-$G$3,22))&lt;&gt;""),'Milho 2ª safra'!$E14:INDEX('Milho 2ª safra'!$E14:$Z14,MIN(V$6-$G$3,22))),0)))))</f>
        <v>0</v>
      </c>
      <c r="W16" s="27" t="n">
        <f aca="false">IF(COUNT('Milho 2ª safra'!$E14:$Z14)=0,0,MAX(0,IF((W$6-$E$3)&lt;1,0,IFERROR(LOOKUP(2,1/('Milho 2ª safra'!$E14:INDEX('Milho 2ª safra'!$E14:$Z14,MIN(W$6-$E$3,22))&lt;&gt;""),'Milho 2ª safra'!$E14:INDEX('Milho 2ª safra'!$E14:$Z14,MIN(W$6-$E$3,22))),0))-IF($G$2,0,IF((W$6-$G$3)&lt;1,0,IFERROR(LOOKUP(2,1/('Milho 2ª safra'!$E14:INDEX('Milho 2ª safra'!$E14:$Z14,MIN(W$6-$G$3,22))&lt;&gt;""),'Milho 2ª safra'!$E14:INDEX('Milho 2ª safra'!$E14:$Z14,MIN(W$6-$G$3,22))),0)))))</f>
        <v>0</v>
      </c>
      <c r="X16" s="27" t="n">
        <f aca="false">IF(COUNT('Milho 2ª safra'!$E14:$Z14)=0,0,MAX(0,IF((X$6-$E$3)&lt;1,0,IFERROR(LOOKUP(2,1/('Milho 2ª safra'!$E14:INDEX('Milho 2ª safra'!$E14:$Z14,MIN(X$6-$E$3,22))&lt;&gt;""),'Milho 2ª safra'!$E14:INDEX('Milho 2ª safra'!$E14:$Z14,MIN(X$6-$E$3,22))),0))-IF($G$2,0,IF((X$6-$G$3)&lt;1,0,IFERROR(LOOKUP(2,1/('Milho 2ª safra'!$E14:INDEX('Milho 2ª safra'!$E14:$Z14,MIN(X$6-$G$3,22))&lt;&gt;""),'Milho 2ª safra'!$E14:INDEX('Milho 2ª safra'!$E14:$Z14,MIN(X$6-$G$3,22))),0)))))</f>
        <v>0</v>
      </c>
      <c r="Y16" s="27" t="n">
        <f aca="false">IF(COUNT('Milho 2ª safra'!$E14:$Z14)=0,0,MAX(0,IF((Y$6-$E$3)&lt;1,0,IFERROR(LOOKUP(2,1/('Milho 2ª safra'!$E14:INDEX('Milho 2ª safra'!$E14:$Z14,MIN(Y$6-$E$3,22))&lt;&gt;""),'Milho 2ª safra'!$E14:INDEX('Milho 2ª safra'!$E14:$Z14,MIN(Y$6-$E$3,22))),0))-IF($G$2,0,IF((Y$6-$G$3)&lt;1,0,IFERROR(LOOKUP(2,1/('Milho 2ª safra'!$E14:INDEX('Milho 2ª safra'!$E14:$Z14,MIN(Y$6-$G$3,22))&lt;&gt;""),'Milho 2ª safra'!$E14:INDEX('Milho 2ª safra'!$E14:$Z14,MIN(Y$6-$G$3,22))),0)))))</f>
        <v>0</v>
      </c>
      <c r="Z16" s="27" t="n">
        <f aca="false">IF(COUNT('Milho 2ª safra'!$E14:$Z14)=0,0,MAX(0,IF((Z$6-$E$3)&lt;1,0,IFERROR(LOOKUP(2,1/('Milho 2ª safra'!$E14:INDEX('Milho 2ª safra'!$E14:$Z14,MIN(Z$6-$E$3,22))&lt;&gt;""),'Milho 2ª safra'!$E14:INDEX('Milho 2ª safra'!$E14:$Z14,MIN(Z$6-$E$3,22))),0))-IF($G$2,0,IF((Z$6-$G$3)&lt;1,0,IFERROR(LOOKUP(2,1/('Milho 2ª safra'!$E14:INDEX('Milho 2ª safra'!$E14:$Z14,MIN(Z$6-$G$3,22))&lt;&gt;""),'Milho 2ª safra'!$E14:INDEX('Milho 2ª safra'!$E14:$Z14,MIN(Z$6-$G$3,22))),0)))))</f>
        <v>0</v>
      </c>
      <c r="AA16" s="27" t="n">
        <f aca="false">IF(COUNT('Milho 2ª safra'!$E14:$Z14)=0,0,MAX(0,IF((AA$6-$E$3)&lt;1,0,IFERROR(LOOKUP(2,1/('Milho 2ª safra'!$E14:INDEX('Milho 2ª safra'!$E14:$Z14,MIN(AA$6-$E$3,22))&lt;&gt;""),'Milho 2ª safra'!$E14:INDEX('Milho 2ª safra'!$E14:$Z14,MIN(AA$6-$E$3,22))),0))-IF($G$2,0,IF((AA$6-$G$3)&lt;1,0,IFERROR(LOOKUP(2,1/('Milho 2ª safra'!$E14:INDEX('Milho 2ª safra'!$E14:$Z14,MIN(AA$6-$G$3,22))&lt;&gt;""),'Milho 2ª safra'!$E14:INDEX('Milho 2ª safra'!$E14:$Z14,MIN(AA$6-$G$3,22))),0)))))</f>
        <v>0</v>
      </c>
      <c r="AB16" s="27" t="n">
        <f aca="false">IF(COUNT('Milho 2ª safra'!$E14:$Z14)=0,0,MAX(0,IF((AB$6-$E$3)&lt;1,0,IFERROR(LOOKUP(2,1/('Milho 2ª safra'!$E14:INDEX('Milho 2ª safra'!$E14:$Z14,MIN(AB$6-$E$3,22))&lt;&gt;""),'Milho 2ª safra'!$E14:INDEX('Milho 2ª safra'!$E14:$Z14,MIN(AB$6-$E$3,22))),0))-IF($G$2,0,IF((AB$6-$G$3)&lt;1,0,IFERROR(LOOKUP(2,1/('Milho 2ª safra'!$E14:INDEX('Milho 2ª safra'!$E14:$Z14,MIN(AB$6-$G$3,22))&lt;&gt;""),'Milho 2ª safra'!$E14:INDEX('Milho 2ª safra'!$E14:$Z14,MIN(AB$6-$G$3,22))),0)))))</f>
        <v>0</v>
      </c>
      <c r="AC16" s="27" t="n">
        <f aca="false">IF(COUNT('Milho 2ª safra'!$E14:$Z14)=0,0,MAX(0,IF((AC$6-$E$3)&lt;1,0,IFERROR(LOOKUP(2,1/('Milho 2ª safra'!$E14:INDEX('Milho 2ª safra'!$E14:$Z14,MIN(AC$6-$E$3,22))&lt;&gt;""),'Milho 2ª safra'!$E14:INDEX('Milho 2ª safra'!$E14:$Z14,MIN(AC$6-$E$3,22))),0))-IF($G$2,0,IF((AC$6-$G$3)&lt;1,0,IFERROR(LOOKUP(2,1/('Milho 2ª safra'!$E14:INDEX('Milho 2ª safra'!$E14:$Z14,MIN(AC$6-$G$3,22))&lt;&gt;""),'Milho 2ª safra'!$E14:INDEX('Milho 2ª safra'!$E14:$Z14,MIN(AC$6-$G$3,22))),0)))))</f>
        <v>0</v>
      </c>
      <c r="AD16" s="27" t="n">
        <f aca="false">IF(COUNT('Milho 2ª safra'!$E14:$Z14)=0,0,MAX(0,IF((AD$6-$E$3)&lt;1,0,IFERROR(LOOKUP(2,1/('Milho 2ª safra'!$E14:INDEX('Milho 2ª safra'!$E14:$Z14,MIN(AD$6-$E$3,22))&lt;&gt;""),'Milho 2ª safra'!$E14:INDEX('Milho 2ª safra'!$E14:$Z14,MIN(AD$6-$E$3,22))),0))-IF($G$2,0,IF((AD$6-$G$3)&lt;1,0,IFERROR(LOOKUP(2,1/('Milho 2ª safra'!$E14:INDEX('Milho 2ª safra'!$E14:$Z14,MIN(AD$6-$G$3,22))&lt;&gt;""),'Milho 2ª safra'!$E14:INDEX('Milho 2ª safra'!$E14:$Z14,MIN(AD$6-$G$3,22))),0)))))</f>
        <v>0</v>
      </c>
      <c r="AE16" s="27" t="n">
        <f aca="false">IF(COUNT('Milho 2ª safra'!$E14:$Z14)=0,0,MAX(0,IF((AE$6-$E$3)&lt;1,0,IFERROR(LOOKUP(2,1/('Milho 2ª safra'!$E14:INDEX('Milho 2ª safra'!$E14:$Z14,MIN(AE$6-$E$3,22))&lt;&gt;""),'Milho 2ª safra'!$E14:INDEX('Milho 2ª safra'!$E14:$Z14,MIN(AE$6-$E$3,22))),0))-IF($G$2,0,IF((AE$6-$G$3)&lt;1,0,IFERROR(LOOKUP(2,1/('Milho 2ª safra'!$E14:INDEX('Milho 2ª safra'!$E14:$Z14,MIN(AE$6-$G$3,22))&lt;&gt;""),'Milho 2ª safra'!$E14:INDEX('Milho 2ª safra'!$E14:$Z14,MIN(AE$6-$G$3,22))),0)))))</f>
        <v>0</v>
      </c>
      <c r="AF16" s="27" t="n">
        <f aca="false">IF(COUNT('Milho 2ª safra'!$E14:$Z14)=0,0,MAX(0,IF((AF$6-$E$3)&lt;1,0,IFERROR(LOOKUP(2,1/('Milho 2ª safra'!$E14:INDEX('Milho 2ª safra'!$E14:$Z14,MIN(AF$6-$E$3,22))&lt;&gt;""),'Milho 2ª safra'!$E14:INDEX('Milho 2ª safra'!$E14:$Z14,MIN(AF$6-$E$3,22))),0))-IF($G$2,0,IF((AF$6-$G$3)&lt;1,0,IFERROR(LOOKUP(2,1/('Milho 2ª safra'!$E14:INDEX('Milho 2ª safra'!$E14:$Z14,MIN(AF$6-$G$3,22))&lt;&gt;""),'Milho 2ª safra'!$E14:INDEX('Milho 2ª safra'!$E14:$Z14,MIN(AF$6-$G$3,22))),0)))))</f>
        <v>0</v>
      </c>
      <c r="AG16" s="27" t="n">
        <f aca="false">IF(COUNT('Milho 2ª safra'!$E14:$Z14)=0,0,MAX(0,IF((AG$6-$E$3)&lt;1,0,IFERROR(LOOKUP(2,1/('Milho 2ª safra'!$E14:INDEX('Milho 2ª safra'!$E14:$Z14,MIN(AG$6-$E$3,22))&lt;&gt;""),'Milho 2ª safra'!$E14:INDEX('Milho 2ª safra'!$E14:$Z14,MIN(AG$6-$E$3,22))),0))-IF($G$2,0,IF((AG$6-$G$3)&lt;1,0,IFERROR(LOOKUP(2,1/('Milho 2ª safra'!$E14:INDEX('Milho 2ª safra'!$E14:$Z14,MIN(AG$6-$G$3,22))&lt;&gt;""),'Milho 2ª safra'!$E14:INDEX('Milho 2ª safra'!$E14:$Z14,MIN(AG$6-$G$3,22))),0)))))</f>
        <v>0</v>
      </c>
      <c r="AH16" s="27" t="n">
        <f aca="false">IF(COUNT('Milho 2ª safra'!$E14:$Z14)=0,0,MAX(0,IF((AH$6-$E$3)&lt;1,0,IFERROR(LOOKUP(2,1/('Milho 2ª safra'!$E14:INDEX('Milho 2ª safra'!$E14:$Z14,MIN(AH$6-$E$3,22))&lt;&gt;""),'Milho 2ª safra'!$E14:INDEX('Milho 2ª safra'!$E14:$Z14,MIN(AH$6-$E$3,22))),0))-IF($G$2,0,IF((AH$6-$G$3)&lt;1,0,IFERROR(LOOKUP(2,1/('Milho 2ª safra'!$E14:INDEX('Milho 2ª safra'!$E14:$Z14,MIN(AH$6-$G$3,22))&lt;&gt;""),'Milho 2ª safra'!$E14:INDEX('Milho 2ª safra'!$E14:$Z14,MIN(AH$6-$G$3,22))),0)))))</f>
        <v>0</v>
      </c>
      <c r="AI16" s="27" t="n">
        <f aca="false">IF(COUNT('Milho 2ª safra'!$E14:$Z14)=0,0,MAX(0,IF((AI$6-$E$3)&lt;1,0,IFERROR(LOOKUP(2,1/('Milho 2ª safra'!$E14:INDEX('Milho 2ª safra'!$E14:$Z14,MIN(AI$6-$E$3,22))&lt;&gt;""),'Milho 2ª safra'!$E14:INDEX('Milho 2ª safra'!$E14:$Z14,MIN(AI$6-$E$3,22))),0))-IF($G$2,0,IF((AI$6-$G$3)&lt;1,0,IFERROR(LOOKUP(2,1/('Milho 2ª safra'!$E14:INDEX('Milho 2ª safra'!$E14:$Z14,MIN(AI$6-$G$3,22))&lt;&gt;""),'Milho 2ª safra'!$E14:INDEX('Milho 2ª safra'!$E14:$Z14,MIN(AI$6-$G$3,22))),0)))))</f>
        <v>0</v>
      </c>
      <c r="AJ16" s="27" t="n">
        <f aca="false">IF(COUNT('Milho 2ª safra'!$E14:$Z14)=0,0,MAX(0,IF((AJ$6-$E$3)&lt;1,0,IFERROR(LOOKUP(2,1/('Milho 2ª safra'!$E14:INDEX('Milho 2ª safra'!$E14:$Z14,MIN(AJ$6-$E$3,22))&lt;&gt;""),'Milho 2ª safra'!$E14:INDEX('Milho 2ª safra'!$E14:$Z14,MIN(AJ$6-$E$3,22))),0))-IF($G$2,0,IF((AJ$6-$G$3)&lt;1,0,IFERROR(LOOKUP(2,1/('Milho 2ª safra'!$E14:INDEX('Milho 2ª safra'!$E14:$Z14,MIN(AJ$6-$G$3,22))&lt;&gt;""),'Milho 2ª safra'!$E14:INDEX('Milho 2ª safra'!$E14:$Z14,MIN(AJ$6-$G$3,22))),0)))))</f>
        <v>0</v>
      </c>
      <c r="AK16" s="27" t="n">
        <f aca="false">IF(COUNT('Milho 2ª safra'!$E14:$Z14)=0,0,MAX(0,IF((AK$6-$E$3)&lt;1,0,IFERROR(LOOKUP(2,1/('Milho 2ª safra'!$E14:INDEX('Milho 2ª safra'!$E14:$Z14,MIN(AK$6-$E$3,22))&lt;&gt;""),'Milho 2ª safra'!$E14:INDEX('Milho 2ª safra'!$E14:$Z14,MIN(AK$6-$E$3,22))),0))-IF($G$2,0,IF((AK$6-$G$3)&lt;1,0,IFERROR(LOOKUP(2,1/('Milho 2ª safra'!$E14:INDEX('Milho 2ª safra'!$E14:$Z14,MIN(AK$6-$G$3,22))&lt;&gt;""),'Milho 2ª safra'!$E14:INDEX('Milho 2ª safra'!$E14:$Z14,MIN(AK$6-$G$3,22))),0)))))</f>
        <v>0</v>
      </c>
      <c r="AL16" s="27" t="n">
        <f aca="false">IF(COUNT('Milho 2ª safra'!$E14:$Z14)=0,0,MAX(0,IF((AL$6-$E$3)&lt;1,0,IFERROR(LOOKUP(2,1/('Milho 2ª safra'!$E14:INDEX('Milho 2ª safra'!$E14:$Z14,MIN(AL$6-$E$3,22))&lt;&gt;""),'Milho 2ª safra'!$E14:INDEX('Milho 2ª safra'!$E14:$Z14,MIN(AL$6-$E$3,22))),0))-IF($G$2,0,IF((AL$6-$G$3)&lt;1,0,IFERROR(LOOKUP(2,1/('Milho 2ª safra'!$E14:INDEX('Milho 2ª safra'!$E14:$Z14,MIN(AL$6-$G$3,22))&lt;&gt;""),'Milho 2ª safra'!$E14:INDEX('Milho 2ª safra'!$E14:$Z14,MIN(AL$6-$G$3,22))),0)))))</f>
        <v>0</v>
      </c>
      <c r="AM16" s="27" t="n">
        <f aca="false">IF(COUNT('Milho 2ª safra'!$E14:$Z14)=0,0,MAX(0,IF((AM$6-$E$3)&lt;1,0,IFERROR(LOOKUP(2,1/('Milho 2ª safra'!$E14:INDEX('Milho 2ª safra'!$E14:$Z14,MIN(AM$6-$E$3,22))&lt;&gt;""),'Milho 2ª safra'!$E14:INDEX('Milho 2ª safra'!$E14:$Z14,MIN(AM$6-$E$3,22))),0))-IF($G$2,0,IF((AM$6-$G$3)&lt;1,0,IFERROR(LOOKUP(2,1/('Milho 2ª safra'!$E14:INDEX('Milho 2ª safra'!$E14:$Z14,MIN(AM$6-$G$3,22))&lt;&gt;""),'Milho 2ª safra'!$E14:INDEX('Milho 2ª safra'!$E14:$Z14,MIN(AM$6-$G$3,22))),0)))))</f>
        <v>0</v>
      </c>
      <c r="AN16" s="27" t="n">
        <f aca="false">IF(COUNT('Milho 2ª safra'!$E14:$Z14)=0,0,MAX(0,IF((AN$6-$E$3)&lt;1,0,IFERROR(LOOKUP(2,1/('Milho 2ª safra'!$E14:INDEX('Milho 2ª safra'!$E14:$Z14,MIN(AN$6-$E$3,22))&lt;&gt;""),'Milho 2ª safra'!$E14:INDEX('Milho 2ª safra'!$E14:$Z14,MIN(AN$6-$E$3,22))),0))-IF($G$2,0,IF((AN$6-$G$3)&lt;1,0,IFERROR(LOOKUP(2,1/('Milho 2ª safra'!$E14:INDEX('Milho 2ª safra'!$E14:$Z14,MIN(AN$6-$G$3,22))&lt;&gt;""),'Milho 2ª safra'!$E14:INDEX('Milho 2ª safra'!$E14:$Z14,MIN(AN$6-$G$3,22))),0)))))</f>
        <v>0</v>
      </c>
      <c r="AO16" s="27" t="n">
        <f aca="false">IF(COUNT('Milho 2ª safra'!$E14:$Z14)=0,0,MAX(0,IF((AO$6-$E$3)&lt;1,0,IFERROR(LOOKUP(2,1/('Milho 2ª safra'!$E14:INDEX('Milho 2ª safra'!$E14:$Z14,MIN(AO$6-$E$3,22))&lt;&gt;""),'Milho 2ª safra'!$E14:INDEX('Milho 2ª safra'!$E14:$Z14,MIN(AO$6-$E$3,22))),0))-IF($G$2,0,IF((AO$6-$G$3)&lt;1,0,IFERROR(LOOKUP(2,1/('Milho 2ª safra'!$E14:INDEX('Milho 2ª safra'!$E14:$Z14,MIN(AO$6-$G$3,22))&lt;&gt;""),'Milho 2ª safra'!$E14:INDEX('Milho 2ª safra'!$E14:$Z14,MIN(AO$6-$G$3,22))),0)))))</f>
        <v>0</v>
      </c>
      <c r="AP16" s="27" t="n">
        <f aca="false">IF(COUNT('Milho 2ª safra'!$E14:$Z14)=0,0,MAX(0,IF((AP$6-$E$3)&lt;1,0,IFERROR(LOOKUP(2,1/('Milho 2ª safra'!$E14:INDEX('Milho 2ª safra'!$E14:$Z14,MIN(AP$6-$E$3,22))&lt;&gt;""),'Milho 2ª safra'!$E14:INDEX('Milho 2ª safra'!$E14:$Z14,MIN(AP$6-$E$3,22))),0))-IF($G$2,0,IF((AP$6-$G$3)&lt;1,0,IFERROR(LOOKUP(2,1/('Milho 2ª safra'!$E14:INDEX('Milho 2ª safra'!$E14:$Z14,MIN(AP$6-$G$3,22))&lt;&gt;""),'Milho 2ª safra'!$E14:INDEX('Milho 2ª safra'!$E14:$Z14,MIN(AP$6-$G$3,22))),0)))))</f>
        <v>0</v>
      </c>
      <c r="AQ16" s="27" t="n">
        <f aca="false">IF(COUNT('Milho 2ª safra'!$E14:$Z14)=0,0,MAX(0,IF((AQ$6-$E$3)&lt;1,0,IFERROR(LOOKUP(2,1/('Milho 2ª safra'!$E14:INDEX('Milho 2ª safra'!$E14:$Z14,MIN(AQ$6-$E$3,22))&lt;&gt;""),'Milho 2ª safra'!$E14:INDEX('Milho 2ª safra'!$E14:$Z14,MIN(AQ$6-$E$3,22))),0))-IF($G$2,0,IF((AQ$6-$G$3)&lt;1,0,IFERROR(LOOKUP(2,1/('Milho 2ª safra'!$E14:INDEX('Milho 2ª safra'!$E14:$Z14,MIN(AQ$6-$G$3,22))&lt;&gt;""),'Milho 2ª safra'!$E14:INDEX('Milho 2ª safra'!$E14:$Z14,MIN(AQ$6-$G$3,22))),0)))))</f>
        <v>0</v>
      </c>
      <c r="AR16" s="27" t="n">
        <f aca="false">IF(COUNT('Milho 2ª safra'!$E14:$Z14)=0,0,MAX(0,IF((AR$6-$E$3)&lt;1,0,IFERROR(LOOKUP(2,1/('Milho 2ª safra'!$E14:INDEX('Milho 2ª safra'!$E14:$Z14,MIN(AR$6-$E$3,22))&lt;&gt;""),'Milho 2ª safra'!$E14:INDEX('Milho 2ª safra'!$E14:$Z14,MIN(AR$6-$E$3,22))),0))-IF($G$2,0,IF((AR$6-$G$3)&lt;1,0,IFERROR(LOOKUP(2,1/('Milho 2ª safra'!$E14:INDEX('Milho 2ª safra'!$E14:$Z14,MIN(AR$6-$G$3,22))&lt;&gt;""),'Milho 2ª safra'!$E14:INDEX('Milho 2ª safra'!$E14:$Z14,MIN(AR$6-$G$3,22))),0)))))</f>
        <v>0</v>
      </c>
      <c r="AS16" s="27" t="n">
        <f aca="false">IF(COUNT('Milho 2ª safra'!$E14:$Z14)=0,0,MAX(0,IF((AS$6-$E$3)&lt;1,0,IFERROR(LOOKUP(2,1/('Milho 2ª safra'!$E14:INDEX('Milho 2ª safra'!$E14:$Z14,MIN(AS$6-$E$3,22))&lt;&gt;""),'Milho 2ª safra'!$E14:INDEX('Milho 2ª safra'!$E14:$Z14,MIN(AS$6-$E$3,22))),0))-IF($G$2,0,IF((AS$6-$G$3)&lt;1,0,IFERROR(LOOKUP(2,1/('Milho 2ª safra'!$E14:INDEX('Milho 2ª safra'!$E14:$Z14,MIN(AS$6-$G$3,22))&lt;&gt;""),'Milho 2ª safra'!$E14:INDEX('Milho 2ª safra'!$E14:$Z14,MIN(AS$6-$G$3,22))),0)))))</f>
        <v>0</v>
      </c>
      <c r="AT16" s="27" t="n">
        <f aca="false">IF(COUNT('Milho 2ª safra'!$E14:$Z14)=0,0,MAX(0,IF((AT$6-$E$3)&lt;1,0,IFERROR(LOOKUP(2,1/('Milho 2ª safra'!$E14:INDEX('Milho 2ª safra'!$E14:$Z14,MIN(AT$6-$E$3,22))&lt;&gt;""),'Milho 2ª safra'!$E14:INDEX('Milho 2ª safra'!$E14:$Z14,MIN(AT$6-$E$3,22))),0))-IF($G$2,0,IF((AT$6-$G$3)&lt;1,0,IFERROR(LOOKUP(2,1/('Milho 2ª safra'!$E14:INDEX('Milho 2ª safra'!$E14:$Z14,MIN(AT$6-$G$3,22))&lt;&gt;""),'Milho 2ª safra'!$E14:INDEX('Milho 2ª safra'!$E14:$Z14,MIN(AT$6-$G$3,22))),0)))))</f>
        <v>0</v>
      </c>
      <c r="AU16" s="27" t="n">
        <f aca="false">IF(COUNT('Milho 2ª safra'!$E14:$Z14)=0,0,MAX(0,IF((AU$6-$E$3)&lt;1,0,IFERROR(LOOKUP(2,1/('Milho 2ª safra'!$E14:INDEX('Milho 2ª safra'!$E14:$Z14,MIN(AU$6-$E$3,22))&lt;&gt;""),'Milho 2ª safra'!$E14:INDEX('Milho 2ª safra'!$E14:$Z14,MIN(AU$6-$E$3,22))),0))-IF($G$2,0,IF((AU$6-$G$3)&lt;1,0,IFERROR(LOOKUP(2,1/('Milho 2ª safra'!$E14:INDEX('Milho 2ª safra'!$E14:$Z14,MIN(AU$6-$G$3,22))&lt;&gt;""),'Milho 2ª safra'!$E14:INDEX('Milho 2ª safra'!$E14:$Z14,MIN(AU$6-$G$3,22))),0)))))</f>
        <v>0</v>
      </c>
      <c r="AV16" s="27" t="n">
        <f aca="false">IF(COUNT('Milho 2ª safra'!$E14:$Z14)=0,0,MAX(0,IF((AV$6-$E$3)&lt;1,0,IFERROR(LOOKUP(2,1/('Milho 2ª safra'!$E14:INDEX('Milho 2ª safra'!$E14:$Z14,MIN(AV$6-$E$3,22))&lt;&gt;""),'Milho 2ª safra'!$E14:INDEX('Milho 2ª safra'!$E14:$Z14,MIN(AV$6-$E$3,22))),0))-IF($G$2,0,IF((AV$6-$G$3)&lt;1,0,IFERROR(LOOKUP(2,1/('Milho 2ª safra'!$E14:INDEX('Milho 2ª safra'!$E14:$Z14,MIN(AV$6-$G$3,22))&lt;&gt;""),'Milho 2ª safra'!$E14:INDEX('Milho 2ª safra'!$E14:$Z14,MIN(AV$6-$G$3,22))),0)))))</f>
        <v>0</v>
      </c>
      <c r="AW16" s="27" t="n">
        <f aca="false">IF(COUNT('Milho 2ª safra'!$E14:$Z14)=0,0,MAX(0,IF((AW$6-$E$3)&lt;1,0,IFERROR(LOOKUP(2,1/('Milho 2ª safra'!$E14:INDEX('Milho 2ª safra'!$E14:$Z14,MIN(AW$6-$E$3,22))&lt;&gt;""),'Milho 2ª safra'!$E14:INDEX('Milho 2ª safra'!$E14:$Z14,MIN(AW$6-$E$3,22))),0))-IF($G$2,0,IF((AW$6-$G$3)&lt;1,0,IFERROR(LOOKUP(2,1/('Milho 2ª safra'!$E14:INDEX('Milho 2ª safra'!$E14:$Z14,MIN(AW$6-$G$3,22))&lt;&gt;""),'Milho 2ª safra'!$E14:INDEX('Milho 2ª safra'!$E14:$Z14,MIN(AW$6-$G$3,22))),0)))))</f>
        <v>0</v>
      </c>
      <c r="AX16" s="27" t="n">
        <f aca="false">IF(COUNT('Milho 2ª safra'!$E14:$Z14)=0,0,MAX(0,IF((AX$6-$E$3)&lt;1,0,IFERROR(LOOKUP(2,1/('Milho 2ª safra'!$E14:INDEX('Milho 2ª safra'!$E14:$Z14,MIN(AX$6-$E$3,22))&lt;&gt;""),'Milho 2ª safra'!$E14:INDEX('Milho 2ª safra'!$E14:$Z14,MIN(AX$6-$E$3,22))),0))-IF($G$2,0,IF((AX$6-$G$3)&lt;1,0,IFERROR(LOOKUP(2,1/('Milho 2ª safra'!$E14:INDEX('Milho 2ª safra'!$E14:$Z14,MIN(AX$6-$G$3,22))&lt;&gt;""),'Milho 2ª safra'!$E14:INDEX('Milho 2ª safra'!$E14:$Z14,MIN(AX$6-$G$3,22))),0)))))</f>
        <v>0</v>
      </c>
      <c r="AY16" s="27" t="n">
        <f aca="false">IF(COUNT('Milho 2ª safra'!$E14:$Z14)=0,0,MAX(0,IF((AY$6-$E$3)&lt;1,0,IFERROR(LOOKUP(2,1/('Milho 2ª safra'!$E14:INDEX('Milho 2ª safra'!$E14:$Z14,MIN(AY$6-$E$3,22))&lt;&gt;""),'Milho 2ª safra'!$E14:INDEX('Milho 2ª safra'!$E14:$Z14,MIN(AY$6-$E$3,22))),0))-IF($G$2,0,IF((AY$6-$G$3)&lt;1,0,IFERROR(LOOKUP(2,1/('Milho 2ª safra'!$E14:INDEX('Milho 2ª safra'!$E14:$Z14,MIN(AY$6-$G$3,22))&lt;&gt;""),'Milho 2ª safra'!$E14:INDEX('Milho 2ª safra'!$E14:$Z14,MIN(AY$6-$G$3,22))),0)))))</f>
        <v>0</v>
      </c>
      <c r="AZ16" s="27" t="n">
        <f aca="false">IF(COUNT('Milho 2ª safra'!$E14:$Z14)=0,0,MAX(0,IF((AZ$6-$E$3)&lt;1,0,IFERROR(LOOKUP(2,1/('Milho 2ª safra'!$E14:INDEX('Milho 2ª safra'!$E14:$Z14,MIN(AZ$6-$E$3,22))&lt;&gt;""),'Milho 2ª safra'!$E14:INDEX('Milho 2ª safra'!$E14:$Z14,MIN(AZ$6-$E$3,22))),0))-IF($G$2,0,IF((AZ$6-$G$3)&lt;1,0,IFERROR(LOOKUP(2,1/('Milho 2ª safra'!$E14:INDEX('Milho 2ª safra'!$E14:$Z14,MIN(AZ$6-$G$3,22))&lt;&gt;""),'Milho 2ª safra'!$E14:INDEX('Milho 2ª safra'!$E14:$Z14,MIN(AZ$6-$G$3,22))),0)))))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IF(COUNT('Milho 2ª safra'!$E15:$Z15)&gt;0,N('Milho 2ª safra'!$D15),0)</f>
        <v>0</v>
      </c>
      <c r="E17" s="27" t="n">
        <f aca="false">IF(COUNT('Milho 2ª safra'!$E15:$Z15)=0,0,MAX(0,IF((E$6-$E$3)&lt;1,0,IFERROR(LOOKUP(2,1/('Milho 2ª safra'!$E15:INDEX('Milho 2ª safra'!$E15:$Z15,MIN(E$6-$E$3,22))&lt;&gt;""),'Milho 2ª safra'!$E15:INDEX('Milho 2ª safra'!$E15:$Z15,MIN(E$6-$E$3,22))),0))-IF($G$2,0,IF((E$6-$G$3)&lt;1,0,IFERROR(LOOKUP(2,1/('Milho 2ª safra'!$E15:INDEX('Milho 2ª safra'!$E15:$Z15,MIN(E$6-$G$3,22))&lt;&gt;""),'Milho 2ª safra'!$E15:INDEX('Milho 2ª safra'!$E15:$Z15,MIN(E$6-$G$3,22))),0)))))</f>
        <v>0</v>
      </c>
      <c r="F17" s="27" t="n">
        <f aca="false">IF(COUNT('Milho 2ª safra'!$E15:$Z15)=0,0,MAX(0,IF((F$6-$E$3)&lt;1,0,IFERROR(LOOKUP(2,1/('Milho 2ª safra'!$E15:INDEX('Milho 2ª safra'!$E15:$Z15,MIN(F$6-$E$3,22))&lt;&gt;""),'Milho 2ª safra'!$E15:INDEX('Milho 2ª safra'!$E15:$Z15,MIN(F$6-$E$3,22))),0))-IF($G$2,0,IF((F$6-$G$3)&lt;1,0,IFERROR(LOOKUP(2,1/('Milho 2ª safra'!$E15:INDEX('Milho 2ª safra'!$E15:$Z15,MIN(F$6-$G$3,22))&lt;&gt;""),'Milho 2ª safra'!$E15:INDEX('Milho 2ª safra'!$E15:$Z15,MIN(F$6-$G$3,22))),0)))))</f>
        <v>0</v>
      </c>
      <c r="G17" s="27" t="n">
        <f aca="false">IF(COUNT('Milho 2ª safra'!$E15:$Z15)=0,0,MAX(0,IF((G$6-$E$3)&lt;1,0,IFERROR(LOOKUP(2,1/('Milho 2ª safra'!$E15:INDEX('Milho 2ª safra'!$E15:$Z15,MIN(G$6-$E$3,22))&lt;&gt;""),'Milho 2ª safra'!$E15:INDEX('Milho 2ª safra'!$E15:$Z15,MIN(G$6-$E$3,22))),0))-IF($G$2,0,IF((G$6-$G$3)&lt;1,0,IFERROR(LOOKUP(2,1/('Milho 2ª safra'!$E15:INDEX('Milho 2ª safra'!$E15:$Z15,MIN(G$6-$G$3,22))&lt;&gt;""),'Milho 2ª safra'!$E15:INDEX('Milho 2ª safra'!$E15:$Z15,MIN(G$6-$G$3,22))),0)))))</f>
        <v>0</v>
      </c>
      <c r="H17" s="27" t="n">
        <f aca="false">IF(COUNT('Milho 2ª safra'!$E15:$Z15)=0,0,MAX(0,IF((H$6-$E$3)&lt;1,0,IFERROR(LOOKUP(2,1/('Milho 2ª safra'!$E15:INDEX('Milho 2ª safra'!$E15:$Z15,MIN(H$6-$E$3,22))&lt;&gt;""),'Milho 2ª safra'!$E15:INDEX('Milho 2ª safra'!$E15:$Z15,MIN(H$6-$E$3,22))),0))-IF($G$2,0,IF((H$6-$G$3)&lt;1,0,IFERROR(LOOKUP(2,1/('Milho 2ª safra'!$E15:INDEX('Milho 2ª safra'!$E15:$Z15,MIN(H$6-$G$3,22))&lt;&gt;""),'Milho 2ª safra'!$E15:INDEX('Milho 2ª safra'!$E15:$Z15,MIN(H$6-$G$3,22))),0)))))</f>
        <v>0</v>
      </c>
      <c r="I17" s="27" t="n">
        <f aca="false">IF(COUNT('Milho 2ª safra'!$E15:$Z15)=0,0,MAX(0,IF((I$6-$E$3)&lt;1,0,IFERROR(LOOKUP(2,1/('Milho 2ª safra'!$E15:INDEX('Milho 2ª safra'!$E15:$Z15,MIN(I$6-$E$3,22))&lt;&gt;""),'Milho 2ª safra'!$E15:INDEX('Milho 2ª safra'!$E15:$Z15,MIN(I$6-$E$3,22))),0))-IF($G$2,0,IF((I$6-$G$3)&lt;1,0,IFERROR(LOOKUP(2,1/('Milho 2ª safra'!$E15:INDEX('Milho 2ª safra'!$E15:$Z15,MIN(I$6-$G$3,22))&lt;&gt;""),'Milho 2ª safra'!$E15:INDEX('Milho 2ª safra'!$E15:$Z15,MIN(I$6-$G$3,22))),0)))))</f>
        <v>0</v>
      </c>
      <c r="J17" s="27" t="n">
        <f aca="false">IF(COUNT('Milho 2ª safra'!$E15:$Z15)=0,0,MAX(0,IF((J$6-$E$3)&lt;1,0,IFERROR(LOOKUP(2,1/('Milho 2ª safra'!$E15:INDEX('Milho 2ª safra'!$E15:$Z15,MIN(J$6-$E$3,22))&lt;&gt;""),'Milho 2ª safra'!$E15:INDEX('Milho 2ª safra'!$E15:$Z15,MIN(J$6-$E$3,22))),0))-IF($G$2,0,IF((J$6-$G$3)&lt;1,0,IFERROR(LOOKUP(2,1/('Milho 2ª safra'!$E15:INDEX('Milho 2ª safra'!$E15:$Z15,MIN(J$6-$G$3,22))&lt;&gt;""),'Milho 2ª safra'!$E15:INDEX('Milho 2ª safra'!$E15:$Z15,MIN(J$6-$G$3,22))),0)))))</f>
        <v>0</v>
      </c>
      <c r="K17" s="27" t="n">
        <f aca="false">IF(COUNT('Milho 2ª safra'!$E15:$Z15)=0,0,MAX(0,IF((K$6-$E$3)&lt;1,0,IFERROR(LOOKUP(2,1/('Milho 2ª safra'!$E15:INDEX('Milho 2ª safra'!$E15:$Z15,MIN(K$6-$E$3,22))&lt;&gt;""),'Milho 2ª safra'!$E15:INDEX('Milho 2ª safra'!$E15:$Z15,MIN(K$6-$E$3,22))),0))-IF($G$2,0,IF((K$6-$G$3)&lt;1,0,IFERROR(LOOKUP(2,1/('Milho 2ª safra'!$E15:INDEX('Milho 2ª safra'!$E15:$Z15,MIN(K$6-$G$3,22))&lt;&gt;""),'Milho 2ª safra'!$E15:INDEX('Milho 2ª safra'!$E15:$Z15,MIN(K$6-$G$3,22))),0)))))</f>
        <v>0</v>
      </c>
      <c r="L17" s="27" t="n">
        <f aca="false">IF(COUNT('Milho 2ª safra'!$E15:$Z15)=0,0,MAX(0,IF((L$6-$E$3)&lt;1,0,IFERROR(LOOKUP(2,1/('Milho 2ª safra'!$E15:INDEX('Milho 2ª safra'!$E15:$Z15,MIN(L$6-$E$3,22))&lt;&gt;""),'Milho 2ª safra'!$E15:INDEX('Milho 2ª safra'!$E15:$Z15,MIN(L$6-$E$3,22))),0))-IF($G$2,0,IF((L$6-$G$3)&lt;1,0,IFERROR(LOOKUP(2,1/('Milho 2ª safra'!$E15:INDEX('Milho 2ª safra'!$E15:$Z15,MIN(L$6-$G$3,22))&lt;&gt;""),'Milho 2ª safra'!$E15:INDEX('Milho 2ª safra'!$E15:$Z15,MIN(L$6-$G$3,22))),0)))))</f>
        <v>0</v>
      </c>
      <c r="M17" s="27" t="n">
        <f aca="false">IF(COUNT('Milho 2ª safra'!$E15:$Z15)=0,0,MAX(0,IF((M$6-$E$3)&lt;1,0,IFERROR(LOOKUP(2,1/('Milho 2ª safra'!$E15:INDEX('Milho 2ª safra'!$E15:$Z15,MIN(M$6-$E$3,22))&lt;&gt;""),'Milho 2ª safra'!$E15:INDEX('Milho 2ª safra'!$E15:$Z15,MIN(M$6-$E$3,22))),0))-IF($G$2,0,IF((M$6-$G$3)&lt;1,0,IFERROR(LOOKUP(2,1/('Milho 2ª safra'!$E15:INDEX('Milho 2ª safra'!$E15:$Z15,MIN(M$6-$G$3,22))&lt;&gt;""),'Milho 2ª safra'!$E15:INDEX('Milho 2ª safra'!$E15:$Z15,MIN(M$6-$G$3,22))),0)))))</f>
        <v>0</v>
      </c>
      <c r="N17" s="27" t="n">
        <f aca="false">IF(COUNT('Milho 2ª safra'!$E15:$Z15)=0,0,MAX(0,IF((N$6-$E$3)&lt;1,0,IFERROR(LOOKUP(2,1/('Milho 2ª safra'!$E15:INDEX('Milho 2ª safra'!$E15:$Z15,MIN(N$6-$E$3,22))&lt;&gt;""),'Milho 2ª safra'!$E15:INDEX('Milho 2ª safra'!$E15:$Z15,MIN(N$6-$E$3,22))),0))-IF($G$2,0,IF((N$6-$G$3)&lt;1,0,IFERROR(LOOKUP(2,1/('Milho 2ª safra'!$E15:INDEX('Milho 2ª safra'!$E15:$Z15,MIN(N$6-$G$3,22))&lt;&gt;""),'Milho 2ª safra'!$E15:INDEX('Milho 2ª safra'!$E15:$Z15,MIN(N$6-$G$3,22))),0)))))</f>
        <v>0</v>
      </c>
      <c r="O17" s="27" t="n">
        <f aca="false">IF(COUNT('Milho 2ª safra'!$E15:$Z15)=0,0,MAX(0,IF((O$6-$E$3)&lt;1,0,IFERROR(LOOKUP(2,1/('Milho 2ª safra'!$E15:INDEX('Milho 2ª safra'!$E15:$Z15,MIN(O$6-$E$3,22))&lt;&gt;""),'Milho 2ª safra'!$E15:INDEX('Milho 2ª safra'!$E15:$Z15,MIN(O$6-$E$3,22))),0))-IF($G$2,0,IF((O$6-$G$3)&lt;1,0,IFERROR(LOOKUP(2,1/('Milho 2ª safra'!$E15:INDEX('Milho 2ª safra'!$E15:$Z15,MIN(O$6-$G$3,22))&lt;&gt;""),'Milho 2ª safra'!$E15:INDEX('Milho 2ª safra'!$E15:$Z15,MIN(O$6-$G$3,22))),0)))))</f>
        <v>0</v>
      </c>
      <c r="P17" s="27" t="n">
        <f aca="false">IF(COUNT('Milho 2ª safra'!$E15:$Z15)=0,0,MAX(0,IF((P$6-$E$3)&lt;1,0,IFERROR(LOOKUP(2,1/('Milho 2ª safra'!$E15:INDEX('Milho 2ª safra'!$E15:$Z15,MIN(P$6-$E$3,22))&lt;&gt;""),'Milho 2ª safra'!$E15:INDEX('Milho 2ª safra'!$E15:$Z15,MIN(P$6-$E$3,22))),0))-IF($G$2,0,IF((P$6-$G$3)&lt;1,0,IFERROR(LOOKUP(2,1/('Milho 2ª safra'!$E15:INDEX('Milho 2ª safra'!$E15:$Z15,MIN(P$6-$G$3,22))&lt;&gt;""),'Milho 2ª safra'!$E15:INDEX('Milho 2ª safra'!$E15:$Z15,MIN(P$6-$G$3,22))),0)))))</f>
        <v>0</v>
      </c>
      <c r="Q17" s="27" t="n">
        <f aca="false">IF(COUNT('Milho 2ª safra'!$E15:$Z15)=0,0,MAX(0,IF((Q$6-$E$3)&lt;1,0,IFERROR(LOOKUP(2,1/('Milho 2ª safra'!$E15:INDEX('Milho 2ª safra'!$E15:$Z15,MIN(Q$6-$E$3,22))&lt;&gt;""),'Milho 2ª safra'!$E15:INDEX('Milho 2ª safra'!$E15:$Z15,MIN(Q$6-$E$3,22))),0))-IF($G$2,0,IF((Q$6-$G$3)&lt;1,0,IFERROR(LOOKUP(2,1/('Milho 2ª safra'!$E15:INDEX('Milho 2ª safra'!$E15:$Z15,MIN(Q$6-$G$3,22))&lt;&gt;""),'Milho 2ª safra'!$E15:INDEX('Milho 2ª safra'!$E15:$Z15,MIN(Q$6-$G$3,22))),0)))))</f>
        <v>0</v>
      </c>
      <c r="R17" s="27" t="n">
        <f aca="false">IF(COUNT('Milho 2ª safra'!$E15:$Z15)=0,0,MAX(0,IF((R$6-$E$3)&lt;1,0,IFERROR(LOOKUP(2,1/('Milho 2ª safra'!$E15:INDEX('Milho 2ª safra'!$E15:$Z15,MIN(R$6-$E$3,22))&lt;&gt;""),'Milho 2ª safra'!$E15:INDEX('Milho 2ª safra'!$E15:$Z15,MIN(R$6-$E$3,22))),0))-IF($G$2,0,IF((R$6-$G$3)&lt;1,0,IFERROR(LOOKUP(2,1/('Milho 2ª safra'!$E15:INDEX('Milho 2ª safra'!$E15:$Z15,MIN(R$6-$G$3,22))&lt;&gt;""),'Milho 2ª safra'!$E15:INDEX('Milho 2ª safra'!$E15:$Z15,MIN(R$6-$G$3,22))),0)))))</f>
        <v>0</v>
      </c>
      <c r="S17" s="27" t="n">
        <f aca="false">IF(COUNT('Milho 2ª safra'!$E15:$Z15)=0,0,MAX(0,IF((S$6-$E$3)&lt;1,0,IFERROR(LOOKUP(2,1/('Milho 2ª safra'!$E15:INDEX('Milho 2ª safra'!$E15:$Z15,MIN(S$6-$E$3,22))&lt;&gt;""),'Milho 2ª safra'!$E15:INDEX('Milho 2ª safra'!$E15:$Z15,MIN(S$6-$E$3,22))),0))-IF($G$2,0,IF((S$6-$G$3)&lt;1,0,IFERROR(LOOKUP(2,1/('Milho 2ª safra'!$E15:INDEX('Milho 2ª safra'!$E15:$Z15,MIN(S$6-$G$3,22))&lt;&gt;""),'Milho 2ª safra'!$E15:INDEX('Milho 2ª safra'!$E15:$Z15,MIN(S$6-$G$3,22))),0)))))</f>
        <v>0</v>
      </c>
      <c r="T17" s="27" t="n">
        <f aca="false">IF(COUNT('Milho 2ª safra'!$E15:$Z15)=0,0,MAX(0,IF((T$6-$E$3)&lt;1,0,IFERROR(LOOKUP(2,1/('Milho 2ª safra'!$E15:INDEX('Milho 2ª safra'!$E15:$Z15,MIN(T$6-$E$3,22))&lt;&gt;""),'Milho 2ª safra'!$E15:INDEX('Milho 2ª safra'!$E15:$Z15,MIN(T$6-$E$3,22))),0))-IF($G$2,0,IF((T$6-$G$3)&lt;1,0,IFERROR(LOOKUP(2,1/('Milho 2ª safra'!$E15:INDEX('Milho 2ª safra'!$E15:$Z15,MIN(T$6-$G$3,22))&lt;&gt;""),'Milho 2ª safra'!$E15:INDEX('Milho 2ª safra'!$E15:$Z15,MIN(T$6-$G$3,22))),0)))))</f>
        <v>0</v>
      </c>
      <c r="U17" s="27" t="n">
        <f aca="false">IF(COUNT('Milho 2ª safra'!$E15:$Z15)=0,0,MAX(0,IF((U$6-$E$3)&lt;1,0,IFERROR(LOOKUP(2,1/('Milho 2ª safra'!$E15:INDEX('Milho 2ª safra'!$E15:$Z15,MIN(U$6-$E$3,22))&lt;&gt;""),'Milho 2ª safra'!$E15:INDEX('Milho 2ª safra'!$E15:$Z15,MIN(U$6-$E$3,22))),0))-IF($G$2,0,IF((U$6-$G$3)&lt;1,0,IFERROR(LOOKUP(2,1/('Milho 2ª safra'!$E15:INDEX('Milho 2ª safra'!$E15:$Z15,MIN(U$6-$G$3,22))&lt;&gt;""),'Milho 2ª safra'!$E15:INDEX('Milho 2ª safra'!$E15:$Z15,MIN(U$6-$G$3,22))),0)))))</f>
        <v>0</v>
      </c>
      <c r="V17" s="27" t="n">
        <f aca="false">IF(COUNT('Milho 2ª safra'!$E15:$Z15)=0,0,MAX(0,IF((V$6-$E$3)&lt;1,0,IFERROR(LOOKUP(2,1/('Milho 2ª safra'!$E15:INDEX('Milho 2ª safra'!$E15:$Z15,MIN(V$6-$E$3,22))&lt;&gt;""),'Milho 2ª safra'!$E15:INDEX('Milho 2ª safra'!$E15:$Z15,MIN(V$6-$E$3,22))),0))-IF($G$2,0,IF((V$6-$G$3)&lt;1,0,IFERROR(LOOKUP(2,1/('Milho 2ª safra'!$E15:INDEX('Milho 2ª safra'!$E15:$Z15,MIN(V$6-$G$3,22))&lt;&gt;""),'Milho 2ª safra'!$E15:INDEX('Milho 2ª safra'!$E15:$Z15,MIN(V$6-$G$3,22))),0)))))</f>
        <v>0</v>
      </c>
      <c r="W17" s="27" t="n">
        <f aca="false">IF(COUNT('Milho 2ª safra'!$E15:$Z15)=0,0,MAX(0,IF((W$6-$E$3)&lt;1,0,IFERROR(LOOKUP(2,1/('Milho 2ª safra'!$E15:INDEX('Milho 2ª safra'!$E15:$Z15,MIN(W$6-$E$3,22))&lt;&gt;""),'Milho 2ª safra'!$E15:INDEX('Milho 2ª safra'!$E15:$Z15,MIN(W$6-$E$3,22))),0))-IF($G$2,0,IF((W$6-$G$3)&lt;1,0,IFERROR(LOOKUP(2,1/('Milho 2ª safra'!$E15:INDEX('Milho 2ª safra'!$E15:$Z15,MIN(W$6-$G$3,22))&lt;&gt;""),'Milho 2ª safra'!$E15:INDEX('Milho 2ª safra'!$E15:$Z15,MIN(W$6-$G$3,22))),0)))))</f>
        <v>0</v>
      </c>
      <c r="X17" s="27" t="n">
        <f aca="false">IF(COUNT('Milho 2ª safra'!$E15:$Z15)=0,0,MAX(0,IF((X$6-$E$3)&lt;1,0,IFERROR(LOOKUP(2,1/('Milho 2ª safra'!$E15:INDEX('Milho 2ª safra'!$E15:$Z15,MIN(X$6-$E$3,22))&lt;&gt;""),'Milho 2ª safra'!$E15:INDEX('Milho 2ª safra'!$E15:$Z15,MIN(X$6-$E$3,22))),0))-IF($G$2,0,IF((X$6-$G$3)&lt;1,0,IFERROR(LOOKUP(2,1/('Milho 2ª safra'!$E15:INDEX('Milho 2ª safra'!$E15:$Z15,MIN(X$6-$G$3,22))&lt;&gt;""),'Milho 2ª safra'!$E15:INDEX('Milho 2ª safra'!$E15:$Z15,MIN(X$6-$G$3,22))),0)))))</f>
        <v>0</v>
      </c>
      <c r="Y17" s="27" t="n">
        <f aca="false">IF(COUNT('Milho 2ª safra'!$E15:$Z15)=0,0,MAX(0,IF((Y$6-$E$3)&lt;1,0,IFERROR(LOOKUP(2,1/('Milho 2ª safra'!$E15:INDEX('Milho 2ª safra'!$E15:$Z15,MIN(Y$6-$E$3,22))&lt;&gt;""),'Milho 2ª safra'!$E15:INDEX('Milho 2ª safra'!$E15:$Z15,MIN(Y$6-$E$3,22))),0))-IF($G$2,0,IF((Y$6-$G$3)&lt;1,0,IFERROR(LOOKUP(2,1/('Milho 2ª safra'!$E15:INDEX('Milho 2ª safra'!$E15:$Z15,MIN(Y$6-$G$3,22))&lt;&gt;""),'Milho 2ª safra'!$E15:INDEX('Milho 2ª safra'!$E15:$Z15,MIN(Y$6-$G$3,22))),0)))))</f>
        <v>0</v>
      </c>
      <c r="Z17" s="27" t="n">
        <f aca="false">IF(COUNT('Milho 2ª safra'!$E15:$Z15)=0,0,MAX(0,IF((Z$6-$E$3)&lt;1,0,IFERROR(LOOKUP(2,1/('Milho 2ª safra'!$E15:INDEX('Milho 2ª safra'!$E15:$Z15,MIN(Z$6-$E$3,22))&lt;&gt;""),'Milho 2ª safra'!$E15:INDEX('Milho 2ª safra'!$E15:$Z15,MIN(Z$6-$E$3,22))),0))-IF($G$2,0,IF((Z$6-$G$3)&lt;1,0,IFERROR(LOOKUP(2,1/('Milho 2ª safra'!$E15:INDEX('Milho 2ª safra'!$E15:$Z15,MIN(Z$6-$G$3,22))&lt;&gt;""),'Milho 2ª safra'!$E15:INDEX('Milho 2ª safra'!$E15:$Z15,MIN(Z$6-$G$3,22))),0)))))</f>
        <v>0</v>
      </c>
      <c r="AA17" s="27" t="n">
        <f aca="false">IF(COUNT('Milho 2ª safra'!$E15:$Z15)=0,0,MAX(0,IF((AA$6-$E$3)&lt;1,0,IFERROR(LOOKUP(2,1/('Milho 2ª safra'!$E15:INDEX('Milho 2ª safra'!$E15:$Z15,MIN(AA$6-$E$3,22))&lt;&gt;""),'Milho 2ª safra'!$E15:INDEX('Milho 2ª safra'!$E15:$Z15,MIN(AA$6-$E$3,22))),0))-IF($G$2,0,IF((AA$6-$G$3)&lt;1,0,IFERROR(LOOKUP(2,1/('Milho 2ª safra'!$E15:INDEX('Milho 2ª safra'!$E15:$Z15,MIN(AA$6-$G$3,22))&lt;&gt;""),'Milho 2ª safra'!$E15:INDEX('Milho 2ª safra'!$E15:$Z15,MIN(AA$6-$G$3,22))),0)))))</f>
        <v>0</v>
      </c>
      <c r="AB17" s="27" t="n">
        <f aca="false">IF(COUNT('Milho 2ª safra'!$E15:$Z15)=0,0,MAX(0,IF((AB$6-$E$3)&lt;1,0,IFERROR(LOOKUP(2,1/('Milho 2ª safra'!$E15:INDEX('Milho 2ª safra'!$E15:$Z15,MIN(AB$6-$E$3,22))&lt;&gt;""),'Milho 2ª safra'!$E15:INDEX('Milho 2ª safra'!$E15:$Z15,MIN(AB$6-$E$3,22))),0))-IF($G$2,0,IF((AB$6-$G$3)&lt;1,0,IFERROR(LOOKUP(2,1/('Milho 2ª safra'!$E15:INDEX('Milho 2ª safra'!$E15:$Z15,MIN(AB$6-$G$3,22))&lt;&gt;""),'Milho 2ª safra'!$E15:INDEX('Milho 2ª safra'!$E15:$Z15,MIN(AB$6-$G$3,22))),0)))))</f>
        <v>0</v>
      </c>
      <c r="AC17" s="27" t="n">
        <f aca="false">IF(COUNT('Milho 2ª safra'!$E15:$Z15)=0,0,MAX(0,IF((AC$6-$E$3)&lt;1,0,IFERROR(LOOKUP(2,1/('Milho 2ª safra'!$E15:INDEX('Milho 2ª safra'!$E15:$Z15,MIN(AC$6-$E$3,22))&lt;&gt;""),'Milho 2ª safra'!$E15:INDEX('Milho 2ª safra'!$E15:$Z15,MIN(AC$6-$E$3,22))),0))-IF($G$2,0,IF((AC$6-$G$3)&lt;1,0,IFERROR(LOOKUP(2,1/('Milho 2ª safra'!$E15:INDEX('Milho 2ª safra'!$E15:$Z15,MIN(AC$6-$G$3,22))&lt;&gt;""),'Milho 2ª safra'!$E15:INDEX('Milho 2ª safra'!$E15:$Z15,MIN(AC$6-$G$3,22))),0)))))</f>
        <v>0</v>
      </c>
      <c r="AD17" s="27" t="n">
        <f aca="false">IF(COUNT('Milho 2ª safra'!$E15:$Z15)=0,0,MAX(0,IF((AD$6-$E$3)&lt;1,0,IFERROR(LOOKUP(2,1/('Milho 2ª safra'!$E15:INDEX('Milho 2ª safra'!$E15:$Z15,MIN(AD$6-$E$3,22))&lt;&gt;""),'Milho 2ª safra'!$E15:INDEX('Milho 2ª safra'!$E15:$Z15,MIN(AD$6-$E$3,22))),0))-IF($G$2,0,IF((AD$6-$G$3)&lt;1,0,IFERROR(LOOKUP(2,1/('Milho 2ª safra'!$E15:INDEX('Milho 2ª safra'!$E15:$Z15,MIN(AD$6-$G$3,22))&lt;&gt;""),'Milho 2ª safra'!$E15:INDEX('Milho 2ª safra'!$E15:$Z15,MIN(AD$6-$G$3,22))),0)))))</f>
        <v>0</v>
      </c>
      <c r="AE17" s="27" t="n">
        <f aca="false">IF(COUNT('Milho 2ª safra'!$E15:$Z15)=0,0,MAX(0,IF((AE$6-$E$3)&lt;1,0,IFERROR(LOOKUP(2,1/('Milho 2ª safra'!$E15:INDEX('Milho 2ª safra'!$E15:$Z15,MIN(AE$6-$E$3,22))&lt;&gt;""),'Milho 2ª safra'!$E15:INDEX('Milho 2ª safra'!$E15:$Z15,MIN(AE$6-$E$3,22))),0))-IF($G$2,0,IF((AE$6-$G$3)&lt;1,0,IFERROR(LOOKUP(2,1/('Milho 2ª safra'!$E15:INDEX('Milho 2ª safra'!$E15:$Z15,MIN(AE$6-$G$3,22))&lt;&gt;""),'Milho 2ª safra'!$E15:INDEX('Milho 2ª safra'!$E15:$Z15,MIN(AE$6-$G$3,22))),0)))))</f>
        <v>0</v>
      </c>
      <c r="AF17" s="27" t="n">
        <f aca="false">IF(COUNT('Milho 2ª safra'!$E15:$Z15)=0,0,MAX(0,IF((AF$6-$E$3)&lt;1,0,IFERROR(LOOKUP(2,1/('Milho 2ª safra'!$E15:INDEX('Milho 2ª safra'!$E15:$Z15,MIN(AF$6-$E$3,22))&lt;&gt;""),'Milho 2ª safra'!$E15:INDEX('Milho 2ª safra'!$E15:$Z15,MIN(AF$6-$E$3,22))),0))-IF($G$2,0,IF((AF$6-$G$3)&lt;1,0,IFERROR(LOOKUP(2,1/('Milho 2ª safra'!$E15:INDEX('Milho 2ª safra'!$E15:$Z15,MIN(AF$6-$G$3,22))&lt;&gt;""),'Milho 2ª safra'!$E15:INDEX('Milho 2ª safra'!$E15:$Z15,MIN(AF$6-$G$3,22))),0)))))</f>
        <v>0</v>
      </c>
      <c r="AG17" s="27" t="n">
        <f aca="false">IF(COUNT('Milho 2ª safra'!$E15:$Z15)=0,0,MAX(0,IF((AG$6-$E$3)&lt;1,0,IFERROR(LOOKUP(2,1/('Milho 2ª safra'!$E15:INDEX('Milho 2ª safra'!$E15:$Z15,MIN(AG$6-$E$3,22))&lt;&gt;""),'Milho 2ª safra'!$E15:INDEX('Milho 2ª safra'!$E15:$Z15,MIN(AG$6-$E$3,22))),0))-IF($G$2,0,IF((AG$6-$G$3)&lt;1,0,IFERROR(LOOKUP(2,1/('Milho 2ª safra'!$E15:INDEX('Milho 2ª safra'!$E15:$Z15,MIN(AG$6-$G$3,22))&lt;&gt;""),'Milho 2ª safra'!$E15:INDEX('Milho 2ª safra'!$E15:$Z15,MIN(AG$6-$G$3,22))),0)))))</f>
        <v>0</v>
      </c>
      <c r="AH17" s="27" t="n">
        <f aca="false">IF(COUNT('Milho 2ª safra'!$E15:$Z15)=0,0,MAX(0,IF((AH$6-$E$3)&lt;1,0,IFERROR(LOOKUP(2,1/('Milho 2ª safra'!$E15:INDEX('Milho 2ª safra'!$E15:$Z15,MIN(AH$6-$E$3,22))&lt;&gt;""),'Milho 2ª safra'!$E15:INDEX('Milho 2ª safra'!$E15:$Z15,MIN(AH$6-$E$3,22))),0))-IF($G$2,0,IF((AH$6-$G$3)&lt;1,0,IFERROR(LOOKUP(2,1/('Milho 2ª safra'!$E15:INDEX('Milho 2ª safra'!$E15:$Z15,MIN(AH$6-$G$3,22))&lt;&gt;""),'Milho 2ª safra'!$E15:INDEX('Milho 2ª safra'!$E15:$Z15,MIN(AH$6-$G$3,22))),0)))))</f>
        <v>0</v>
      </c>
      <c r="AI17" s="27" t="n">
        <f aca="false">IF(COUNT('Milho 2ª safra'!$E15:$Z15)=0,0,MAX(0,IF((AI$6-$E$3)&lt;1,0,IFERROR(LOOKUP(2,1/('Milho 2ª safra'!$E15:INDEX('Milho 2ª safra'!$E15:$Z15,MIN(AI$6-$E$3,22))&lt;&gt;""),'Milho 2ª safra'!$E15:INDEX('Milho 2ª safra'!$E15:$Z15,MIN(AI$6-$E$3,22))),0))-IF($G$2,0,IF((AI$6-$G$3)&lt;1,0,IFERROR(LOOKUP(2,1/('Milho 2ª safra'!$E15:INDEX('Milho 2ª safra'!$E15:$Z15,MIN(AI$6-$G$3,22))&lt;&gt;""),'Milho 2ª safra'!$E15:INDEX('Milho 2ª safra'!$E15:$Z15,MIN(AI$6-$G$3,22))),0)))))</f>
        <v>0</v>
      </c>
      <c r="AJ17" s="27" t="n">
        <f aca="false">IF(COUNT('Milho 2ª safra'!$E15:$Z15)=0,0,MAX(0,IF((AJ$6-$E$3)&lt;1,0,IFERROR(LOOKUP(2,1/('Milho 2ª safra'!$E15:INDEX('Milho 2ª safra'!$E15:$Z15,MIN(AJ$6-$E$3,22))&lt;&gt;""),'Milho 2ª safra'!$E15:INDEX('Milho 2ª safra'!$E15:$Z15,MIN(AJ$6-$E$3,22))),0))-IF($G$2,0,IF((AJ$6-$G$3)&lt;1,0,IFERROR(LOOKUP(2,1/('Milho 2ª safra'!$E15:INDEX('Milho 2ª safra'!$E15:$Z15,MIN(AJ$6-$G$3,22))&lt;&gt;""),'Milho 2ª safra'!$E15:INDEX('Milho 2ª safra'!$E15:$Z15,MIN(AJ$6-$G$3,22))),0)))))</f>
        <v>0</v>
      </c>
      <c r="AK17" s="27" t="n">
        <f aca="false">IF(COUNT('Milho 2ª safra'!$E15:$Z15)=0,0,MAX(0,IF((AK$6-$E$3)&lt;1,0,IFERROR(LOOKUP(2,1/('Milho 2ª safra'!$E15:INDEX('Milho 2ª safra'!$E15:$Z15,MIN(AK$6-$E$3,22))&lt;&gt;""),'Milho 2ª safra'!$E15:INDEX('Milho 2ª safra'!$E15:$Z15,MIN(AK$6-$E$3,22))),0))-IF($G$2,0,IF((AK$6-$G$3)&lt;1,0,IFERROR(LOOKUP(2,1/('Milho 2ª safra'!$E15:INDEX('Milho 2ª safra'!$E15:$Z15,MIN(AK$6-$G$3,22))&lt;&gt;""),'Milho 2ª safra'!$E15:INDEX('Milho 2ª safra'!$E15:$Z15,MIN(AK$6-$G$3,22))),0)))))</f>
        <v>0</v>
      </c>
      <c r="AL17" s="27" t="n">
        <f aca="false">IF(COUNT('Milho 2ª safra'!$E15:$Z15)=0,0,MAX(0,IF((AL$6-$E$3)&lt;1,0,IFERROR(LOOKUP(2,1/('Milho 2ª safra'!$E15:INDEX('Milho 2ª safra'!$E15:$Z15,MIN(AL$6-$E$3,22))&lt;&gt;""),'Milho 2ª safra'!$E15:INDEX('Milho 2ª safra'!$E15:$Z15,MIN(AL$6-$E$3,22))),0))-IF($G$2,0,IF((AL$6-$G$3)&lt;1,0,IFERROR(LOOKUP(2,1/('Milho 2ª safra'!$E15:INDEX('Milho 2ª safra'!$E15:$Z15,MIN(AL$6-$G$3,22))&lt;&gt;""),'Milho 2ª safra'!$E15:INDEX('Milho 2ª safra'!$E15:$Z15,MIN(AL$6-$G$3,22))),0)))))</f>
        <v>0</v>
      </c>
      <c r="AM17" s="27" t="n">
        <f aca="false">IF(COUNT('Milho 2ª safra'!$E15:$Z15)=0,0,MAX(0,IF((AM$6-$E$3)&lt;1,0,IFERROR(LOOKUP(2,1/('Milho 2ª safra'!$E15:INDEX('Milho 2ª safra'!$E15:$Z15,MIN(AM$6-$E$3,22))&lt;&gt;""),'Milho 2ª safra'!$E15:INDEX('Milho 2ª safra'!$E15:$Z15,MIN(AM$6-$E$3,22))),0))-IF($G$2,0,IF((AM$6-$G$3)&lt;1,0,IFERROR(LOOKUP(2,1/('Milho 2ª safra'!$E15:INDEX('Milho 2ª safra'!$E15:$Z15,MIN(AM$6-$G$3,22))&lt;&gt;""),'Milho 2ª safra'!$E15:INDEX('Milho 2ª safra'!$E15:$Z15,MIN(AM$6-$G$3,22))),0)))))</f>
        <v>0</v>
      </c>
      <c r="AN17" s="27" t="n">
        <f aca="false">IF(COUNT('Milho 2ª safra'!$E15:$Z15)=0,0,MAX(0,IF((AN$6-$E$3)&lt;1,0,IFERROR(LOOKUP(2,1/('Milho 2ª safra'!$E15:INDEX('Milho 2ª safra'!$E15:$Z15,MIN(AN$6-$E$3,22))&lt;&gt;""),'Milho 2ª safra'!$E15:INDEX('Milho 2ª safra'!$E15:$Z15,MIN(AN$6-$E$3,22))),0))-IF($G$2,0,IF((AN$6-$G$3)&lt;1,0,IFERROR(LOOKUP(2,1/('Milho 2ª safra'!$E15:INDEX('Milho 2ª safra'!$E15:$Z15,MIN(AN$6-$G$3,22))&lt;&gt;""),'Milho 2ª safra'!$E15:INDEX('Milho 2ª safra'!$E15:$Z15,MIN(AN$6-$G$3,22))),0)))))</f>
        <v>0</v>
      </c>
      <c r="AO17" s="27" t="n">
        <f aca="false">IF(COUNT('Milho 2ª safra'!$E15:$Z15)=0,0,MAX(0,IF((AO$6-$E$3)&lt;1,0,IFERROR(LOOKUP(2,1/('Milho 2ª safra'!$E15:INDEX('Milho 2ª safra'!$E15:$Z15,MIN(AO$6-$E$3,22))&lt;&gt;""),'Milho 2ª safra'!$E15:INDEX('Milho 2ª safra'!$E15:$Z15,MIN(AO$6-$E$3,22))),0))-IF($G$2,0,IF((AO$6-$G$3)&lt;1,0,IFERROR(LOOKUP(2,1/('Milho 2ª safra'!$E15:INDEX('Milho 2ª safra'!$E15:$Z15,MIN(AO$6-$G$3,22))&lt;&gt;""),'Milho 2ª safra'!$E15:INDEX('Milho 2ª safra'!$E15:$Z15,MIN(AO$6-$G$3,22))),0)))))</f>
        <v>0</v>
      </c>
      <c r="AP17" s="27" t="n">
        <f aca="false">IF(COUNT('Milho 2ª safra'!$E15:$Z15)=0,0,MAX(0,IF((AP$6-$E$3)&lt;1,0,IFERROR(LOOKUP(2,1/('Milho 2ª safra'!$E15:INDEX('Milho 2ª safra'!$E15:$Z15,MIN(AP$6-$E$3,22))&lt;&gt;""),'Milho 2ª safra'!$E15:INDEX('Milho 2ª safra'!$E15:$Z15,MIN(AP$6-$E$3,22))),0))-IF($G$2,0,IF((AP$6-$G$3)&lt;1,0,IFERROR(LOOKUP(2,1/('Milho 2ª safra'!$E15:INDEX('Milho 2ª safra'!$E15:$Z15,MIN(AP$6-$G$3,22))&lt;&gt;""),'Milho 2ª safra'!$E15:INDEX('Milho 2ª safra'!$E15:$Z15,MIN(AP$6-$G$3,22))),0)))))</f>
        <v>0</v>
      </c>
      <c r="AQ17" s="27" t="n">
        <f aca="false">IF(COUNT('Milho 2ª safra'!$E15:$Z15)=0,0,MAX(0,IF((AQ$6-$E$3)&lt;1,0,IFERROR(LOOKUP(2,1/('Milho 2ª safra'!$E15:INDEX('Milho 2ª safra'!$E15:$Z15,MIN(AQ$6-$E$3,22))&lt;&gt;""),'Milho 2ª safra'!$E15:INDEX('Milho 2ª safra'!$E15:$Z15,MIN(AQ$6-$E$3,22))),0))-IF($G$2,0,IF((AQ$6-$G$3)&lt;1,0,IFERROR(LOOKUP(2,1/('Milho 2ª safra'!$E15:INDEX('Milho 2ª safra'!$E15:$Z15,MIN(AQ$6-$G$3,22))&lt;&gt;""),'Milho 2ª safra'!$E15:INDEX('Milho 2ª safra'!$E15:$Z15,MIN(AQ$6-$G$3,22))),0)))))</f>
        <v>0</v>
      </c>
      <c r="AR17" s="27" t="n">
        <f aca="false">IF(COUNT('Milho 2ª safra'!$E15:$Z15)=0,0,MAX(0,IF((AR$6-$E$3)&lt;1,0,IFERROR(LOOKUP(2,1/('Milho 2ª safra'!$E15:INDEX('Milho 2ª safra'!$E15:$Z15,MIN(AR$6-$E$3,22))&lt;&gt;""),'Milho 2ª safra'!$E15:INDEX('Milho 2ª safra'!$E15:$Z15,MIN(AR$6-$E$3,22))),0))-IF($G$2,0,IF((AR$6-$G$3)&lt;1,0,IFERROR(LOOKUP(2,1/('Milho 2ª safra'!$E15:INDEX('Milho 2ª safra'!$E15:$Z15,MIN(AR$6-$G$3,22))&lt;&gt;""),'Milho 2ª safra'!$E15:INDEX('Milho 2ª safra'!$E15:$Z15,MIN(AR$6-$G$3,22))),0)))))</f>
        <v>0</v>
      </c>
      <c r="AS17" s="27" t="n">
        <f aca="false">IF(COUNT('Milho 2ª safra'!$E15:$Z15)=0,0,MAX(0,IF((AS$6-$E$3)&lt;1,0,IFERROR(LOOKUP(2,1/('Milho 2ª safra'!$E15:INDEX('Milho 2ª safra'!$E15:$Z15,MIN(AS$6-$E$3,22))&lt;&gt;""),'Milho 2ª safra'!$E15:INDEX('Milho 2ª safra'!$E15:$Z15,MIN(AS$6-$E$3,22))),0))-IF($G$2,0,IF((AS$6-$G$3)&lt;1,0,IFERROR(LOOKUP(2,1/('Milho 2ª safra'!$E15:INDEX('Milho 2ª safra'!$E15:$Z15,MIN(AS$6-$G$3,22))&lt;&gt;""),'Milho 2ª safra'!$E15:INDEX('Milho 2ª safra'!$E15:$Z15,MIN(AS$6-$G$3,22))),0)))))</f>
        <v>0</v>
      </c>
      <c r="AT17" s="27" t="n">
        <f aca="false">IF(COUNT('Milho 2ª safra'!$E15:$Z15)=0,0,MAX(0,IF((AT$6-$E$3)&lt;1,0,IFERROR(LOOKUP(2,1/('Milho 2ª safra'!$E15:INDEX('Milho 2ª safra'!$E15:$Z15,MIN(AT$6-$E$3,22))&lt;&gt;""),'Milho 2ª safra'!$E15:INDEX('Milho 2ª safra'!$E15:$Z15,MIN(AT$6-$E$3,22))),0))-IF($G$2,0,IF((AT$6-$G$3)&lt;1,0,IFERROR(LOOKUP(2,1/('Milho 2ª safra'!$E15:INDEX('Milho 2ª safra'!$E15:$Z15,MIN(AT$6-$G$3,22))&lt;&gt;""),'Milho 2ª safra'!$E15:INDEX('Milho 2ª safra'!$E15:$Z15,MIN(AT$6-$G$3,22))),0)))))</f>
        <v>0</v>
      </c>
      <c r="AU17" s="27" t="n">
        <f aca="false">IF(COUNT('Milho 2ª safra'!$E15:$Z15)=0,0,MAX(0,IF((AU$6-$E$3)&lt;1,0,IFERROR(LOOKUP(2,1/('Milho 2ª safra'!$E15:INDEX('Milho 2ª safra'!$E15:$Z15,MIN(AU$6-$E$3,22))&lt;&gt;""),'Milho 2ª safra'!$E15:INDEX('Milho 2ª safra'!$E15:$Z15,MIN(AU$6-$E$3,22))),0))-IF($G$2,0,IF((AU$6-$G$3)&lt;1,0,IFERROR(LOOKUP(2,1/('Milho 2ª safra'!$E15:INDEX('Milho 2ª safra'!$E15:$Z15,MIN(AU$6-$G$3,22))&lt;&gt;""),'Milho 2ª safra'!$E15:INDEX('Milho 2ª safra'!$E15:$Z15,MIN(AU$6-$G$3,22))),0)))))</f>
        <v>0</v>
      </c>
      <c r="AV17" s="27" t="n">
        <f aca="false">IF(COUNT('Milho 2ª safra'!$E15:$Z15)=0,0,MAX(0,IF((AV$6-$E$3)&lt;1,0,IFERROR(LOOKUP(2,1/('Milho 2ª safra'!$E15:INDEX('Milho 2ª safra'!$E15:$Z15,MIN(AV$6-$E$3,22))&lt;&gt;""),'Milho 2ª safra'!$E15:INDEX('Milho 2ª safra'!$E15:$Z15,MIN(AV$6-$E$3,22))),0))-IF($G$2,0,IF((AV$6-$G$3)&lt;1,0,IFERROR(LOOKUP(2,1/('Milho 2ª safra'!$E15:INDEX('Milho 2ª safra'!$E15:$Z15,MIN(AV$6-$G$3,22))&lt;&gt;""),'Milho 2ª safra'!$E15:INDEX('Milho 2ª safra'!$E15:$Z15,MIN(AV$6-$G$3,22))),0)))))</f>
        <v>0</v>
      </c>
      <c r="AW17" s="27" t="n">
        <f aca="false">IF(COUNT('Milho 2ª safra'!$E15:$Z15)=0,0,MAX(0,IF((AW$6-$E$3)&lt;1,0,IFERROR(LOOKUP(2,1/('Milho 2ª safra'!$E15:INDEX('Milho 2ª safra'!$E15:$Z15,MIN(AW$6-$E$3,22))&lt;&gt;""),'Milho 2ª safra'!$E15:INDEX('Milho 2ª safra'!$E15:$Z15,MIN(AW$6-$E$3,22))),0))-IF($G$2,0,IF((AW$6-$G$3)&lt;1,0,IFERROR(LOOKUP(2,1/('Milho 2ª safra'!$E15:INDEX('Milho 2ª safra'!$E15:$Z15,MIN(AW$6-$G$3,22))&lt;&gt;""),'Milho 2ª safra'!$E15:INDEX('Milho 2ª safra'!$E15:$Z15,MIN(AW$6-$G$3,22))),0)))))</f>
        <v>0</v>
      </c>
      <c r="AX17" s="27" t="n">
        <f aca="false">IF(COUNT('Milho 2ª safra'!$E15:$Z15)=0,0,MAX(0,IF((AX$6-$E$3)&lt;1,0,IFERROR(LOOKUP(2,1/('Milho 2ª safra'!$E15:INDEX('Milho 2ª safra'!$E15:$Z15,MIN(AX$6-$E$3,22))&lt;&gt;""),'Milho 2ª safra'!$E15:INDEX('Milho 2ª safra'!$E15:$Z15,MIN(AX$6-$E$3,22))),0))-IF($G$2,0,IF((AX$6-$G$3)&lt;1,0,IFERROR(LOOKUP(2,1/('Milho 2ª safra'!$E15:INDEX('Milho 2ª safra'!$E15:$Z15,MIN(AX$6-$G$3,22))&lt;&gt;""),'Milho 2ª safra'!$E15:INDEX('Milho 2ª safra'!$E15:$Z15,MIN(AX$6-$G$3,22))),0)))))</f>
        <v>0</v>
      </c>
      <c r="AY17" s="27" t="n">
        <f aca="false">IF(COUNT('Milho 2ª safra'!$E15:$Z15)=0,0,MAX(0,IF((AY$6-$E$3)&lt;1,0,IFERROR(LOOKUP(2,1/('Milho 2ª safra'!$E15:INDEX('Milho 2ª safra'!$E15:$Z15,MIN(AY$6-$E$3,22))&lt;&gt;""),'Milho 2ª safra'!$E15:INDEX('Milho 2ª safra'!$E15:$Z15,MIN(AY$6-$E$3,22))),0))-IF($G$2,0,IF((AY$6-$G$3)&lt;1,0,IFERROR(LOOKUP(2,1/('Milho 2ª safra'!$E15:INDEX('Milho 2ª safra'!$E15:$Z15,MIN(AY$6-$G$3,22))&lt;&gt;""),'Milho 2ª safra'!$E15:INDEX('Milho 2ª safra'!$E15:$Z15,MIN(AY$6-$G$3,22))),0)))))</f>
        <v>0</v>
      </c>
      <c r="AZ17" s="27" t="n">
        <f aca="false">IF(COUNT('Milho 2ª safra'!$E15:$Z15)=0,0,MAX(0,IF((AZ$6-$E$3)&lt;1,0,IFERROR(LOOKUP(2,1/('Milho 2ª safra'!$E15:INDEX('Milho 2ª safra'!$E15:$Z15,MIN(AZ$6-$E$3,22))&lt;&gt;""),'Milho 2ª safra'!$E15:INDEX('Milho 2ª safra'!$E15:$Z15,MIN(AZ$6-$E$3,22))),0))-IF($G$2,0,IF((AZ$6-$G$3)&lt;1,0,IFERROR(LOOKUP(2,1/('Milho 2ª safra'!$E15:INDEX('Milho 2ª safra'!$E15:$Z15,MIN(AZ$6-$G$3,22))&lt;&gt;""),'Milho 2ª safra'!$E15:INDEX('Milho 2ª safra'!$E15:$Z15,MIN(AZ$6-$G$3,22))),0)))))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IF(COUNT('Milho 2ª safra'!$E16:$Z16)&gt;0,N('Milho 2ª safra'!$D16),0)</f>
        <v>0</v>
      </c>
      <c r="E18" s="27" t="n">
        <f aca="false">IF(COUNT('Milho 2ª safra'!$E16:$Z16)=0,0,MAX(0,IF((E$6-$E$3)&lt;1,0,IFERROR(LOOKUP(2,1/('Milho 2ª safra'!$E16:INDEX('Milho 2ª safra'!$E16:$Z16,MIN(E$6-$E$3,22))&lt;&gt;""),'Milho 2ª safra'!$E16:INDEX('Milho 2ª safra'!$E16:$Z16,MIN(E$6-$E$3,22))),0))-IF($G$2,0,IF((E$6-$G$3)&lt;1,0,IFERROR(LOOKUP(2,1/('Milho 2ª safra'!$E16:INDEX('Milho 2ª safra'!$E16:$Z16,MIN(E$6-$G$3,22))&lt;&gt;""),'Milho 2ª safra'!$E16:INDEX('Milho 2ª safra'!$E16:$Z16,MIN(E$6-$G$3,22))),0)))))</f>
        <v>0</v>
      </c>
      <c r="F18" s="27" t="n">
        <f aca="false">IF(COUNT('Milho 2ª safra'!$E16:$Z16)=0,0,MAX(0,IF((F$6-$E$3)&lt;1,0,IFERROR(LOOKUP(2,1/('Milho 2ª safra'!$E16:INDEX('Milho 2ª safra'!$E16:$Z16,MIN(F$6-$E$3,22))&lt;&gt;""),'Milho 2ª safra'!$E16:INDEX('Milho 2ª safra'!$E16:$Z16,MIN(F$6-$E$3,22))),0))-IF($G$2,0,IF((F$6-$G$3)&lt;1,0,IFERROR(LOOKUP(2,1/('Milho 2ª safra'!$E16:INDEX('Milho 2ª safra'!$E16:$Z16,MIN(F$6-$G$3,22))&lt;&gt;""),'Milho 2ª safra'!$E16:INDEX('Milho 2ª safra'!$E16:$Z16,MIN(F$6-$G$3,22))),0)))))</f>
        <v>0</v>
      </c>
      <c r="G18" s="27" t="n">
        <f aca="false">IF(COUNT('Milho 2ª safra'!$E16:$Z16)=0,0,MAX(0,IF((G$6-$E$3)&lt;1,0,IFERROR(LOOKUP(2,1/('Milho 2ª safra'!$E16:INDEX('Milho 2ª safra'!$E16:$Z16,MIN(G$6-$E$3,22))&lt;&gt;""),'Milho 2ª safra'!$E16:INDEX('Milho 2ª safra'!$E16:$Z16,MIN(G$6-$E$3,22))),0))-IF($G$2,0,IF((G$6-$G$3)&lt;1,0,IFERROR(LOOKUP(2,1/('Milho 2ª safra'!$E16:INDEX('Milho 2ª safra'!$E16:$Z16,MIN(G$6-$G$3,22))&lt;&gt;""),'Milho 2ª safra'!$E16:INDEX('Milho 2ª safra'!$E16:$Z16,MIN(G$6-$G$3,22))),0)))))</f>
        <v>0</v>
      </c>
      <c r="H18" s="27" t="n">
        <f aca="false">IF(COUNT('Milho 2ª safra'!$E16:$Z16)=0,0,MAX(0,IF((H$6-$E$3)&lt;1,0,IFERROR(LOOKUP(2,1/('Milho 2ª safra'!$E16:INDEX('Milho 2ª safra'!$E16:$Z16,MIN(H$6-$E$3,22))&lt;&gt;""),'Milho 2ª safra'!$E16:INDEX('Milho 2ª safra'!$E16:$Z16,MIN(H$6-$E$3,22))),0))-IF($G$2,0,IF((H$6-$G$3)&lt;1,0,IFERROR(LOOKUP(2,1/('Milho 2ª safra'!$E16:INDEX('Milho 2ª safra'!$E16:$Z16,MIN(H$6-$G$3,22))&lt;&gt;""),'Milho 2ª safra'!$E16:INDEX('Milho 2ª safra'!$E16:$Z16,MIN(H$6-$G$3,22))),0)))))</f>
        <v>0</v>
      </c>
      <c r="I18" s="27" t="n">
        <f aca="false">IF(COUNT('Milho 2ª safra'!$E16:$Z16)=0,0,MAX(0,IF((I$6-$E$3)&lt;1,0,IFERROR(LOOKUP(2,1/('Milho 2ª safra'!$E16:INDEX('Milho 2ª safra'!$E16:$Z16,MIN(I$6-$E$3,22))&lt;&gt;""),'Milho 2ª safra'!$E16:INDEX('Milho 2ª safra'!$E16:$Z16,MIN(I$6-$E$3,22))),0))-IF($G$2,0,IF((I$6-$G$3)&lt;1,0,IFERROR(LOOKUP(2,1/('Milho 2ª safra'!$E16:INDEX('Milho 2ª safra'!$E16:$Z16,MIN(I$6-$G$3,22))&lt;&gt;""),'Milho 2ª safra'!$E16:INDEX('Milho 2ª safra'!$E16:$Z16,MIN(I$6-$G$3,22))),0)))))</f>
        <v>0</v>
      </c>
      <c r="J18" s="27" t="n">
        <f aca="false">IF(COUNT('Milho 2ª safra'!$E16:$Z16)=0,0,MAX(0,IF((J$6-$E$3)&lt;1,0,IFERROR(LOOKUP(2,1/('Milho 2ª safra'!$E16:INDEX('Milho 2ª safra'!$E16:$Z16,MIN(J$6-$E$3,22))&lt;&gt;""),'Milho 2ª safra'!$E16:INDEX('Milho 2ª safra'!$E16:$Z16,MIN(J$6-$E$3,22))),0))-IF($G$2,0,IF((J$6-$G$3)&lt;1,0,IFERROR(LOOKUP(2,1/('Milho 2ª safra'!$E16:INDEX('Milho 2ª safra'!$E16:$Z16,MIN(J$6-$G$3,22))&lt;&gt;""),'Milho 2ª safra'!$E16:INDEX('Milho 2ª safra'!$E16:$Z16,MIN(J$6-$G$3,22))),0)))))</f>
        <v>0</v>
      </c>
      <c r="K18" s="27" t="n">
        <f aca="false">IF(COUNT('Milho 2ª safra'!$E16:$Z16)=0,0,MAX(0,IF((K$6-$E$3)&lt;1,0,IFERROR(LOOKUP(2,1/('Milho 2ª safra'!$E16:INDEX('Milho 2ª safra'!$E16:$Z16,MIN(K$6-$E$3,22))&lt;&gt;""),'Milho 2ª safra'!$E16:INDEX('Milho 2ª safra'!$E16:$Z16,MIN(K$6-$E$3,22))),0))-IF($G$2,0,IF((K$6-$G$3)&lt;1,0,IFERROR(LOOKUP(2,1/('Milho 2ª safra'!$E16:INDEX('Milho 2ª safra'!$E16:$Z16,MIN(K$6-$G$3,22))&lt;&gt;""),'Milho 2ª safra'!$E16:INDEX('Milho 2ª safra'!$E16:$Z16,MIN(K$6-$G$3,22))),0)))))</f>
        <v>0</v>
      </c>
      <c r="L18" s="27" t="n">
        <f aca="false">IF(COUNT('Milho 2ª safra'!$E16:$Z16)=0,0,MAX(0,IF((L$6-$E$3)&lt;1,0,IFERROR(LOOKUP(2,1/('Milho 2ª safra'!$E16:INDEX('Milho 2ª safra'!$E16:$Z16,MIN(L$6-$E$3,22))&lt;&gt;""),'Milho 2ª safra'!$E16:INDEX('Milho 2ª safra'!$E16:$Z16,MIN(L$6-$E$3,22))),0))-IF($G$2,0,IF((L$6-$G$3)&lt;1,0,IFERROR(LOOKUP(2,1/('Milho 2ª safra'!$E16:INDEX('Milho 2ª safra'!$E16:$Z16,MIN(L$6-$G$3,22))&lt;&gt;""),'Milho 2ª safra'!$E16:INDEX('Milho 2ª safra'!$E16:$Z16,MIN(L$6-$G$3,22))),0)))))</f>
        <v>0</v>
      </c>
      <c r="M18" s="27" t="n">
        <f aca="false">IF(COUNT('Milho 2ª safra'!$E16:$Z16)=0,0,MAX(0,IF((M$6-$E$3)&lt;1,0,IFERROR(LOOKUP(2,1/('Milho 2ª safra'!$E16:INDEX('Milho 2ª safra'!$E16:$Z16,MIN(M$6-$E$3,22))&lt;&gt;""),'Milho 2ª safra'!$E16:INDEX('Milho 2ª safra'!$E16:$Z16,MIN(M$6-$E$3,22))),0))-IF($G$2,0,IF((M$6-$G$3)&lt;1,0,IFERROR(LOOKUP(2,1/('Milho 2ª safra'!$E16:INDEX('Milho 2ª safra'!$E16:$Z16,MIN(M$6-$G$3,22))&lt;&gt;""),'Milho 2ª safra'!$E16:INDEX('Milho 2ª safra'!$E16:$Z16,MIN(M$6-$G$3,22))),0)))))</f>
        <v>0</v>
      </c>
      <c r="N18" s="27" t="n">
        <f aca="false">IF(COUNT('Milho 2ª safra'!$E16:$Z16)=0,0,MAX(0,IF((N$6-$E$3)&lt;1,0,IFERROR(LOOKUP(2,1/('Milho 2ª safra'!$E16:INDEX('Milho 2ª safra'!$E16:$Z16,MIN(N$6-$E$3,22))&lt;&gt;""),'Milho 2ª safra'!$E16:INDEX('Milho 2ª safra'!$E16:$Z16,MIN(N$6-$E$3,22))),0))-IF($G$2,0,IF((N$6-$G$3)&lt;1,0,IFERROR(LOOKUP(2,1/('Milho 2ª safra'!$E16:INDEX('Milho 2ª safra'!$E16:$Z16,MIN(N$6-$G$3,22))&lt;&gt;""),'Milho 2ª safra'!$E16:INDEX('Milho 2ª safra'!$E16:$Z16,MIN(N$6-$G$3,22))),0)))))</f>
        <v>0</v>
      </c>
      <c r="O18" s="27" t="n">
        <f aca="false">IF(COUNT('Milho 2ª safra'!$E16:$Z16)=0,0,MAX(0,IF((O$6-$E$3)&lt;1,0,IFERROR(LOOKUP(2,1/('Milho 2ª safra'!$E16:INDEX('Milho 2ª safra'!$E16:$Z16,MIN(O$6-$E$3,22))&lt;&gt;""),'Milho 2ª safra'!$E16:INDEX('Milho 2ª safra'!$E16:$Z16,MIN(O$6-$E$3,22))),0))-IF($G$2,0,IF((O$6-$G$3)&lt;1,0,IFERROR(LOOKUP(2,1/('Milho 2ª safra'!$E16:INDEX('Milho 2ª safra'!$E16:$Z16,MIN(O$6-$G$3,22))&lt;&gt;""),'Milho 2ª safra'!$E16:INDEX('Milho 2ª safra'!$E16:$Z16,MIN(O$6-$G$3,22))),0)))))</f>
        <v>0</v>
      </c>
      <c r="P18" s="27" t="n">
        <f aca="false">IF(COUNT('Milho 2ª safra'!$E16:$Z16)=0,0,MAX(0,IF((P$6-$E$3)&lt;1,0,IFERROR(LOOKUP(2,1/('Milho 2ª safra'!$E16:INDEX('Milho 2ª safra'!$E16:$Z16,MIN(P$6-$E$3,22))&lt;&gt;""),'Milho 2ª safra'!$E16:INDEX('Milho 2ª safra'!$E16:$Z16,MIN(P$6-$E$3,22))),0))-IF($G$2,0,IF((P$6-$G$3)&lt;1,0,IFERROR(LOOKUP(2,1/('Milho 2ª safra'!$E16:INDEX('Milho 2ª safra'!$E16:$Z16,MIN(P$6-$G$3,22))&lt;&gt;""),'Milho 2ª safra'!$E16:INDEX('Milho 2ª safra'!$E16:$Z16,MIN(P$6-$G$3,22))),0)))))</f>
        <v>0</v>
      </c>
      <c r="Q18" s="27" t="n">
        <f aca="false">IF(COUNT('Milho 2ª safra'!$E16:$Z16)=0,0,MAX(0,IF((Q$6-$E$3)&lt;1,0,IFERROR(LOOKUP(2,1/('Milho 2ª safra'!$E16:INDEX('Milho 2ª safra'!$E16:$Z16,MIN(Q$6-$E$3,22))&lt;&gt;""),'Milho 2ª safra'!$E16:INDEX('Milho 2ª safra'!$E16:$Z16,MIN(Q$6-$E$3,22))),0))-IF($G$2,0,IF((Q$6-$G$3)&lt;1,0,IFERROR(LOOKUP(2,1/('Milho 2ª safra'!$E16:INDEX('Milho 2ª safra'!$E16:$Z16,MIN(Q$6-$G$3,22))&lt;&gt;""),'Milho 2ª safra'!$E16:INDEX('Milho 2ª safra'!$E16:$Z16,MIN(Q$6-$G$3,22))),0)))))</f>
        <v>0</v>
      </c>
      <c r="R18" s="27" t="n">
        <f aca="false">IF(COUNT('Milho 2ª safra'!$E16:$Z16)=0,0,MAX(0,IF((R$6-$E$3)&lt;1,0,IFERROR(LOOKUP(2,1/('Milho 2ª safra'!$E16:INDEX('Milho 2ª safra'!$E16:$Z16,MIN(R$6-$E$3,22))&lt;&gt;""),'Milho 2ª safra'!$E16:INDEX('Milho 2ª safra'!$E16:$Z16,MIN(R$6-$E$3,22))),0))-IF($G$2,0,IF((R$6-$G$3)&lt;1,0,IFERROR(LOOKUP(2,1/('Milho 2ª safra'!$E16:INDEX('Milho 2ª safra'!$E16:$Z16,MIN(R$6-$G$3,22))&lt;&gt;""),'Milho 2ª safra'!$E16:INDEX('Milho 2ª safra'!$E16:$Z16,MIN(R$6-$G$3,22))),0)))))</f>
        <v>0</v>
      </c>
      <c r="S18" s="27" t="n">
        <f aca="false">IF(COUNT('Milho 2ª safra'!$E16:$Z16)=0,0,MAX(0,IF((S$6-$E$3)&lt;1,0,IFERROR(LOOKUP(2,1/('Milho 2ª safra'!$E16:INDEX('Milho 2ª safra'!$E16:$Z16,MIN(S$6-$E$3,22))&lt;&gt;""),'Milho 2ª safra'!$E16:INDEX('Milho 2ª safra'!$E16:$Z16,MIN(S$6-$E$3,22))),0))-IF($G$2,0,IF((S$6-$G$3)&lt;1,0,IFERROR(LOOKUP(2,1/('Milho 2ª safra'!$E16:INDEX('Milho 2ª safra'!$E16:$Z16,MIN(S$6-$G$3,22))&lt;&gt;""),'Milho 2ª safra'!$E16:INDEX('Milho 2ª safra'!$E16:$Z16,MIN(S$6-$G$3,22))),0)))))</f>
        <v>0</v>
      </c>
      <c r="T18" s="27" t="n">
        <f aca="false">IF(COUNT('Milho 2ª safra'!$E16:$Z16)=0,0,MAX(0,IF((T$6-$E$3)&lt;1,0,IFERROR(LOOKUP(2,1/('Milho 2ª safra'!$E16:INDEX('Milho 2ª safra'!$E16:$Z16,MIN(T$6-$E$3,22))&lt;&gt;""),'Milho 2ª safra'!$E16:INDEX('Milho 2ª safra'!$E16:$Z16,MIN(T$6-$E$3,22))),0))-IF($G$2,0,IF((T$6-$G$3)&lt;1,0,IFERROR(LOOKUP(2,1/('Milho 2ª safra'!$E16:INDEX('Milho 2ª safra'!$E16:$Z16,MIN(T$6-$G$3,22))&lt;&gt;""),'Milho 2ª safra'!$E16:INDEX('Milho 2ª safra'!$E16:$Z16,MIN(T$6-$G$3,22))),0)))))</f>
        <v>0</v>
      </c>
      <c r="U18" s="27" t="n">
        <f aca="false">IF(COUNT('Milho 2ª safra'!$E16:$Z16)=0,0,MAX(0,IF((U$6-$E$3)&lt;1,0,IFERROR(LOOKUP(2,1/('Milho 2ª safra'!$E16:INDEX('Milho 2ª safra'!$E16:$Z16,MIN(U$6-$E$3,22))&lt;&gt;""),'Milho 2ª safra'!$E16:INDEX('Milho 2ª safra'!$E16:$Z16,MIN(U$6-$E$3,22))),0))-IF($G$2,0,IF((U$6-$G$3)&lt;1,0,IFERROR(LOOKUP(2,1/('Milho 2ª safra'!$E16:INDEX('Milho 2ª safra'!$E16:$Z16,MIN(U$6-$G$3,22))&lt;&gt;""),'Milho 2ª safra'!$E16:INDEX('Milho 2ª safra'!$E16:$Z16,MIN(U$6-$G$3,22))),0)))))</f>
        <v>0</v>
      </c>
      <c r="V18" s="27" t="n">
        <f aca="false">IF(COUNT('Milho 2ª safra'!$E16:$Z16)=0,0,MAX(0,IF((V$6-$E$3)&lt;1,0,IFERROR(LOOKUP(2,1/('Milho 2ª safra'!$E16:INDEX('Milho 2ª safra'!$E16:$Z16,MIN(V$6-$E$3,22))&lt;&gt;""),'Milho 2ª safra'!$E16:INDEX('Milho 2ª safra'!$E16:$Z16,MIN(V$6-$E$3,22))),0))-IF($G$2,0,IF((V$6-$G$3)&lt;1,0,IFERROR(LOOKUP(2,1/('Milho 2ª safra'!$E16:INDEX('Milho 2ª safra'!$E16:$Z16,MIN(V$6-$G$3,22))&lt;&gt;""),'Milho 2ª safra'!$E16:INDEX('Milho 2ª safra'!$E16:$Z16,MIN(V$6-$G$3,22))),0)))))</f>
        <v>0</v>
      </c>
      <c r="W18" s="27" t="n">
        <f aca="false">IF(COUNT('Milho 2ª safra'!$E16:$Z16)=0,0,MAX(0,IF((W$6-$E$3)&lt;1,0,IFERROR(LOOKUP(2,1/('Milho 2ª safra'!$E16:INDEX('Milho 2ª safra'!$E16:$Z16,MIN(W$6-$E$3,22))&lt;&gt;""),'Milho 2ª safra'!$E16:INDEX('Milho 2ª safra'!$E16:$Z16,MIN(W$6-$E$3,22))),0))-IF($G$2,0,IF((W$6-$G$3)&lt;1,0,IFERROR(LOOKUP(2,1/('Milho 2ª safra'!$E16:INDEX('Milho 2ª safra'!$E16:$Z16,MIN(W$6-$G$3,22))&lt;&gt;""),'Milho 2ª safra'!$E16:INDEX('Milho 2ª safra'!$E16:$Z16,MIN(W$6-$G$3,22))),0)))))</f>
        <v>0</v>
      </c>
      <c r="X18" s="27" t="n">
        <f aca="false">IF(COUNT('Milho 2ª safra'!$E16:$Z16)=0,0,MAX(0,IF((X$6-$E$3)&lt;1,0,IFERROR(LOOKUP(2,1/('Milho 2ª safra'!$E16:INDEX('Milho 2ª safra'!$E16:$Z16,MIN(X$6-$E$3,22))&lt;&gt;""),'Milho 2ª safra'!$E16:INDEX('Milho 2ª safra'!$E16:$Z16,MIN(X$6-$E$3,22))),0))-IF($G$2,0,IF((X$6-$G$3)&lt;1,0,IFERROR(LOOKUP(2,1/('Milho 2ª safra'!$E16:INDEX('Milho 2ª safra'!$E16:$Z16,MIN(X$6-$G$3,22))&lt;&gt;""),'Milho 2ª safra'!$E16:INDEX('Milho 2ª safra'!$E16:$Z16,MIN(X$6-$G$3,22))),0)))))</f>
        <v>0</v>
      </c>
      <c r="Y18" s="27" t="n">
        <f aca="false">IF(COUNT('Milho 2ª safra'!$E16:$Z16)=0,0,MAX(0,IF((Y$6-$E$3)&lt;1,0,IFERROR(LOOKUP(2,1/('Milho 2ª safra'!$E16:INDEX('Milho 2ª safra'!$E16:$Z16,MIN(Y$6-$E$3,22))&lt;&gt;""),'Milho 2ª safra'!$E16:INDEX('Milho 2ª safra'!$E16:$Z16,MIN(Y$6-$E$3,22))),0))-IF($G$2,0,IF((Y$6-$G$3)&lt;1,0,IFERROR(LOOKUP(2,1/('Milho 2ª safra'!$E16:INDEX('Milho 2ª safra'!$E16:$Z16,MIN(Y$6-$G$3,22))&lt;&gt;""),'Milho 2ª safra'!$E16:INDEX('Milho 2ª safra'!$E16:$Z16,MIN(Y$6-$G$3,22))),0)))))</f>
        <v>0</v>
      </c>
      <c r="Z18" s="27" t="n">
        <f aca="false">IF(COUNT('Milho 2ª safra'!$E16:$Z16)=0,0,MAX(0,IF((Z$6-$E$3)&lt;1,0,IFERROR(LOOKUP(2,1/('Milho 2ª safra'!$E16:INDEX('Milho 2ª safra'!$E16:$Z16,MIN(Z$6-$E$3,22))&lt;&gt;""),'Milho 2ª safra'!$E16:INDEX('Milho 2ª safra'!$E16:$Z16,MIN(Z$6-$E$3,22))),0))-IF($G$2,0,IF((Z$6-$G$3)&lt;1,0,IFERROR(LOOKUP(2,1/('Milho 2ª safra'!$E16:INDEX('Milho 2ª safra'!$E16:$Z16,MIN(Z$6-$G$3,22))&lt;&gt;""),'Milho 2ª safra'!$E16:INDEX('Milho 2ª safra'!$E16:$Z16,MIN(Z$6-$G$3,22))),0)))))</f>
        <v>0</v>
      </c>
      <c r="AA18" s="27" t="n">
        <f aca="false">IF(COUNT('Milho 2ª safra'!$E16:$Z16)=0,0,MAX(0,IF((AA$6-$E$3)&lt;1,0,IFERROR(LOOKUP(2,1/('Milho 2ª safra'!$E16:INDEX('Milho 2ª safra'!$E16:$Z16,MIN(AA$6-$E$3,22))&lt;&gt;""),'Milho 2ª safra'!$E16:INDEX('Milho 2ª safra'!$E16:$Z16,MIN(AA$6-$E$3,22))),0))-IF($G$2,0,IF((AA$6-$G$3)&lt;1,0,IFERROR(LOOKUP(2,1/('Milho 2ª safra'!$E16:INDEX('Milho 2ª safra'!$E16:$Z16,MIN(AA$6-$G$3,22))&lt;&gt;""),'Milho 2ª safra'!$E16:INDEX('Milho 2ª safra'!$E16:$Z16,MIN(AA$6-$G$3,22))),0)))))</f>
        <v>0</v>
      </c>
      <c r="AB18" s="27" t="n">
        <f aca="false">IF(COUNT('Milho 2ª safra'!$E16:$Z16)=0,0,MAX(0,IF((AB$6-$E$3)&lt;1,0,IFERROR(LOOKUP(2,1/('Milho 2ª safra'!$E16:INDEX('Milho 2ª safra'!$E16:$Z16,MIN(AB$6-$E$3,22))&lt;&gt;""),'Milho 2ª safra'!$E16:INDEX('Milho 2ª safra'!$E16:$Z16,MIN(AB$6-$E$3,22))),0))-IF($G$2,0,IF((AB$6-$G$3)&lt;1,0,IFERROR(LOOKUP(2,1/('Milho 2ª safra'!$E16:INDEX('Milho 2ª safra'!$E16:$Z16,MIN(AB$6-$G$3,22))&lt;&gt;""),'Milho 2ª safra'!$E16:INDEX('Milho 2ª safra'!$E16:$Z16,MIN(AB$6-$G$3,22))),0)))))</f>
        <v>0</v>
      </c>
      <c r="AC18" s="27" t="n">
        <f aca="false">IF(COUNT('Milho 2ª safra'!$E16:$Z16)=0,0,MAX(0,IF((AC$6-$E$3)&lt;1,0,IFERROR(LOOKUP(2,1/('Milho 2ª safra'!$E16:INDEX('Milho 2ª safra'!$E16:$Z16,MIN(AC$6-$E$3,22))&lt;&gt;""),'Milho 2ª safra'!$E16:INDEX('Milho 2ª safra'!$E16:$Z16,MIN(AC$6-$E$3,22))),0))-IF($G$2,0,IF((AC$6-$G$3)&lt;1,0,IFERROR(LOOKUP(2,1/('Milho 2ª safra'!$E16:INDEX('Milho 2ª safra'!$E16:$Z16,MIN(AC$6-$G$3,22))&lt;&gt;""),'Milho 2ª safra'!$E16:INDEX('Milho 2ª safra'!$E16:$Z16,MIN(AC$6-$G$3,22))),0)))))</f>
        <v>0</v>
      </c>
      <c r="AD18" s="27" t="n">
        <f aca="false">IF(COUNT('Milho 2ª safra'!$E16:$Z16)=0,0,MAX(0,IF((AD$6-$E$3)&lt;1,0,IFERROR(LOOKUP(2,1/('Milho 2ª safra'!$E16:INDEX('Milho 2ª safra'!$E16:$Z16,MIN(AD$6-$E$3,22))&lt;&gt;""),'Milho 2ª safra'!$E16:INDEX('Milho 2ª safra'!$E16:$Z16,MIN(AD$6-$E$3,22))),0))-IF($G$2,0,IF((AD$6-$G$3)&lt;1,0,IFERROR(LOOKUP(2,1/('Milho 2ª safra'!$E16:INDEX('Milho 2ª safra'!$E16:$Z16,MIN(AD$6-$G$3,22))&lt;&gt;""),'Milho 2ª safra'!$E16:INDEX('Milho 2ª safra'!$E16:$Z16,MIN(AD$6-$G$3,22))),0)))))</f>
        <v>0</v>
      </c>
      <c r="AE18" s="27" t="n">
        <f aca="false">IF(COUNT('Milho 2ª safra'!$E16:$Z16)=0,0,MAX(0,IF((AE$6-$E$3)&lt;1,0,IFERROR(LOOKUP(2,1/('Milho 2ª safra'!$E16:INDEX('Milho 2ª safra'!$E16:$Z16,MIN(AE$6-$E$3,22))&lt;&gt;""),'Milho 2ª safra'!$E16:INDEX('Milho 2ª safra'!$E16:$Z16,MIN(AE$6-$E$3,22))),0))-IF($G$2,0,IF((AE$6-$G$3)&lt;1,0,IFERROR(LOOKUP(2,1/('Milho 2ª safra'!$E16:INDEX('Milho 2ª safra'!$E16:$Z16,MIN(AE$6-$G$3,22))&lt;&gt;""),'Milho 2ª safra'!$E16:INDEX('Milho 2ª safra'!$E16:$Z16,MIN(AE$6-$G$3,22))),0)))))</f>
        <v>0</v>
      </c>
      <c r="AF18" s="27" t="n">
        <f aca="false">IF(COUNT('Milho 2ª safra'!$E16:$Z16)=0,0,MAX(0,IF((AF$6-$E$3)&lt;1,0,IFERROR(LOOKUP(2,1/('Milho 2ª safra'!$E16:INDEX('Milho 2ª safra'!$E16:$Z16,MIN(AF$6-$E$3,22))&lt;&gt;""),'Milho 2ª safra'!$E16:INDEX('Milho 2ª safra'!$E16:$Z16,MIN(AF$6-$E$3,22))),0))-IF($G$2,0,IF((AF$6-$G$3)&lt;1,0,IFERROR(LOOKUP(2,1/('Milho 2ª safra'!$E16:INDEX('Milho 2ª safra'!$E16:$Z16,MIN(AF$6-$G$3,22))&lt;&gt;""),'Milho 2ª safra'!$E16:INDEX('Milho 2ª safra'!$E16:$Z16,MIN(AF$6-$G$3,22))),0)))))</f>
        <v>0</v>
      </c>
      <c r="AG18" s="27" t="n">
        <f aca="false">IF(COUNT('Milho 2ª safra'!$E16:$Z16)=0,0,MAX(0,IF((AG$6-$E$3)&lt;1,0,IFERROR(LOOKUP(2,1/('Milho 2ª safra'!$E16:INDEX('Milho 2ª safra'!$E16:$Z16,MIN(AG$6-$E$3,22))&lt;&gt;""),'Milho 2ª safra'!$E16:INDEX('Milho 2ª safra'!$E16:$Z16,MIN(AG$6-$E$3,22))),0))-IF($G$2,0,IF((AG$6-$G$3)&lt;1,0,IFERROR(LOOKUP(2,1/('Milho 2ª safra'!$E16:INDEX('Milho 2ª safra'!$E16:$Z16,MIN(AG$6-$G$3,22))&lt;&gt;""),'Milho 2ª safra'!$E16:INDEX('Milho 2ª safra'!$E16:$Z16,MIN(AG$6-$G$3,22))),0)))))</f>
        <v>0</v>
      </c>
      <c r="AH18" s="27" t="n">
        <f aca="false">IF(COUNT('Milho 2ª safra'!$E16:$Z16)=0,0,MAX(0,IF((AH$6-$E$3)&lt;1,0,IFERROR(LOOKUP(2,1/('Milho 2ª safra'!$E16:INDEX('Milho 2ª safra'!$E16:$Z16,MIN(AH$6-$E$3,22))&lt;&gt;""),'Milho 2ª safra'!$E16:INDEX('Milho 2ª safra'!$E16:$Z16,MIN(AH$6-$E$3,22))),0))-IF($G$2,0,IF((AH$6-$G$3)&lt;1,0,IFERROR(LOOKUP(2,1/('Milho 2ª safra'!$E16:INDEX('Milho 2ª safra'!$E16:$Z16,MIN(AH$6-$G$3,22))&lt;&gt;""),'Milho 2ª safra'!$E16:INDEX('Milho 2ª safra'!$E16:$Z16,MIN(AH$6-$G$3,22))),0)))))</f>
        <v>0</v>
      </c>
      <c r="AI18" s="27" t="n">
        <f aca="false">IF(COUNT('Milho 2ª safra'!$E16:$Z16)=0,0,MAX(0,IF((AI$6-$E$3)&lt;1,0,IFERROR(LOOKUP(2,1/('Milho 2ª safra'!$E16:INDEX('Milho 2ª safra'!$E16:$Z16,MIN(AI$6-$E$3,22))&lt;&gt;""),'Milho 2ª safra'!$E16:INDEX('Milho 2ª safra'!$E16:$Z16,MIN(AI$6-$E$3,22))),0))-IF($G$2,0,IF((AI$6-$G$3)&lt;1,0,IFERROR(LOOKUP(2,1/('Milho 2ª safra'!$E16:INDEX('Milho 2ª safra'!$E16:$Z16,MIN(AI$6-$G$3,22))&lt;&gt;""),'Milho 2ª safra'!$E16:INDEX('Milho 2ª safra'!$E16:$Z16,MIN(AI$6-$G$3,22))),0)))))</f>
        <v>0</v>
      </c>
      <c r="AJ18" s="27" t="n">
        <f aca="false">IF(COUNT('Milho 2ª safra'!$E16:$Z16)=0,0,MAX(0,IF((AJ$6-$E$3)&lt;1,0,IFERROR(LOOKUP(2,1/('Milho 2ª safra'!$E16:INDEX('Milho 2ª safra'!$E16:$Z16,MIN(AJ$6-$E$3,22))&lt;&gt;""),'Milho 2ª safra'!$E16:INDEX('Milho 2ª safra'!$E16:$Z16,MIN(AJ$6-$E$3,22))),0))-IF($G$2,0,IF((AJ$6-$G$3)&lt;1,0,IFERROR(LOOKUP(2,1/('Milho 2ª safra'!$E16:INDEX('Milho 2ª safra'!$E16:$Z16,MIN(AJ$6-$G$3,22))&lt;&gt;""),'Milho 2ª safra'!$E16:INDEX('Milho 2ª safra'!$E16:$Z16,MIN(AJ$6-$G$3,22))),0)))))</f>
        <v>0</v>
      </c>
      <c r="AK18" s="27" t="n">
        <f aca="false">IF(COUNT('Milho 2ª safra'!$E16:$Z16)=0,0,MAX(0,IF((AK$6-$E$3)&lt;1,0,IFERROR(LOOKUP(2,1/('Milho 2ª safra'!$E16:INDEX('Milho 2ª safra'!$E16:$Z16,MIN(AK$6-$E$3,22))&lt;&gt;""),'Milho 2ª safra'!$E16:INDEX('Milho 2ª safra'!$E16:$Z16,MIN(AK$6-$E$3,22))),0))-IF($G$2,0,IF((AK$6-$G$3)&lt;1,0,IFERROR(LOOKUP(2,1/('Milho 2ª safra'!$E16:INDEX('Milho 2ª safra'!$E16:$Z16,MIN(AK$6-$G$3,22))&lt;&gt;""),'Milho 2ª safra'!$E16:INDEX('Milho 2ª safra'!$E16:$Z16,MIN(AK$6-$G$3,22))),0)))))</f>
        <v>0</v>
      </c>
      <c r="AL18" s="27" t="n">
        <f aca="false">IF(COUNT('Milho 2ª safra'!$E16:$Z16)=0,0,MAX(0,IF((AL$6-$E$3)&lt;1,0,IFERROR(LOOKUP(2,1/('Milho 2ª safra'!$E16:INDEX('Milho 2ª safra'!$E16:$Z16,MIN(AL$6-$E$3,22))&lt;&gt;""),'Milho 2ª safra'!$E16:INDEX('Milho 2ª safra'!$E16:$Z16,MIN(AL$6-$E$3,22))),0))-IF($G$2,0,IF((AL$6-$G$3)&lt;1,0,IFERROR(LOOKUP(2,1/('Milho 2ª safra'!$E16:INDEX('Milho 2ª safra'!$E16:$Z16,MIN(AL$6-$G$3,22))&lt;&gt;""),'Milho 2ª safra'!$E16:INDEX('Milho 2ª safra'!$E16:$Z16,MIN(AL$6-$G$3,22))),0)))))</f>
        <v>0</v>
      </c>
      <c r="AM18" s="27" t="n">
        <f aca="false">IF(COUNT('Milho 2ª safra'!$E16:$Z16)=0,0,MAX(0,IF((AM$6-$E$3)&lt;1,0,IFERROR(LOOKUP(2,1/('Milho 2ª safra'!$E16:INDEX('Milho 2ª safra'!$E16:$Z16,MIN(AM$6-$E$3,22))&lt;&gt;""),'Milho 2ª safra'!$E16:INDEX('Milho 2ª safra'!$E16:$Z16,MIN(AM$6-$E$3,22))),0))-IF($G$2,0,IF((AM$6-$G$3)&lt;1,0,IFERROR(LOOKUP(2,1/('Milho 2ª safra'!$E16:INDEX('Milho 2ª safra'!$E16:$Z16,MIN(AM$6-$G$3,22))&lt;&gt;""),'Milho 2ª safra'!$E16:INDEX('Milho 2ª safra'!$E16:$Z16,MIN(AM$6-$G$3,22))),0)))))</f>
        <v>0</v>
      </c>
      <c r="AN18" s="27" t="n">
        <f aca="false">IF(COUNT('Milho 2ª safra'!$E16:$Z16)=0,0,MAX(0,IF((AN$6-$E$3)&lt;1,0,IFERROR(LOOKUP(2,1/('Milho 2ª safra'!$E16:INDEX('Milho 2ª safra'!$E16:$Z16,MIN(AN$6-$E$3,22))&lt;&gt;""),'Milho 2ª safra'!$E16:INDEX('Milho 2ª safra'!$E16:$Z16,MIN(AN$6-$E$3,22))),0))-IF($G$2,0,IF((AN$6-$G$3)&lt;1,0,IFERROR(LOOKUP(2,1/('Milho 2ª safra'!$E16:INDEX('Milho 2ª safra'!$E16:$Z16,MIN(AN$6-$G$3,22))&lt;&gt;""),'Milho 2ª safra'!$E16:INDEX('Milho 2ª safra'!$E16:$Z16,MIN(AN$6-$G$3,22))),0)))))</f>
        <v>0</v>
      </c>
      <c r="AO18" s="27" t="n">
        <f aca="false">IF(COUNT('Milho 2ª safra'!$E16:$Z16)=0,0,MAX(0,IF((AO$6-$E$3)&lt;1,0,IFERROR(LOOKUP(2,1/('Milho 2ª safra'!$E16:INDEX('Milho 2ª safra'!$E16:$Z16,MIN(AO$6-$E$3,22))&lt;&gt;""),'Milho 2ª safra'!$E16:INDEX('Milho 2ª safra'!$E16:$Z16,MIN(AO$6-$E$3,22))),0))-IF($G$2,0,IF((AO$6-$G$3)&lt;1,0,IFERROR(LOOKUP(2,1/('Milho 2ª safra'!$E16:INDEX('Milho 2ª safra'!$E16:$Z16,MIN(AO$6-$G$3,22))&lt;&gt;""),'Milho 2ª safra'!$E16:INDEX('Milho 2ª safra'!$E16:$Z16,MIN(AO$6-$G$3,22))),0)))))</f>
        <v>0</v>
      </c>
      <c r="AP18" s="27" t="n">
        <f aca="false">IF(COUNT('Milho 2ª safra'!$E16:$Z16)=0,0,MAX(0,IF((AP$6-$E$3)&lt;1,0,IFERROR(LOOKUP(2,1/('Milho 2ª safra'!$E16:INDEX('Milho 2ª safra'!$E16:$Z16,MIN(AP$6-$E$3,22))&lt;&gt;""),'Milho 2ª safra'!$E16:INDEX('Milho 2ª safra'!$E16:$Z16,MIN(AP$6-$E$3,22))),0))-IF($G$2,0,IF((AP$6-$G$3)&lt;1,0,IFERROR(LOOKUP(2,1/('Milho 2ª safra'!$E16:INDEX('Milho 2ª safra'!$E16:$Z16,MIN(AP$6-$G$3,22))&lt;&gt;""),'Milho 2ª safra'!$E16:INDEX('Milho 2ª safra'!$E16:$Z16,MIN(AP$6-$G$3,22))),0)))))</f>
        <v>0</v>
      </c>
      <c r="AQ18" s="27" t="n">
        <f aca="false">IF(COUNT('Milho 2ª safra'!$E16:$Z16)=0,0,MAX(0,IF((AQ$6-$E$3)&lt;1,0,IFERROR(LOOKUP(2,1/('Milho 2ª safra'!$E16:INDEX('Milho 2ª safra'!$E16:$Z16,MIN(AQ$6-$E$3,22))&lt;&gt;""),'Milho 2ª safra'!$E16:INDEX('Milho 2ª safra'!$E16:$Z16,MIN(AQ$6-$E$3,22))),0))-IF($G$2,0,IF((AQ$6-$G$3)&lt;1,0,IFERROR(LOOKUP(2,1/('Milho 2ª safra'!$E16:INDEX('Milho 2ª safra'!$E16:$Z16,MIN(AQ$6-$G$3,22))&lt;&gt;""),'Milho 2ª safra'!$E16:INDEX('Milho 2ª safra'!$E16:$Z16,MIN(AQ$6-$G$3,22))),0)))))</f>
        <v>0</v>
      </c>
      <c r="AR18" s="27" t="n">
        <f aca="false">IF(COUNT('Milho 2ª safra'!$E16:$Z16)=0,0,MAX(0,IF((AR$6-$E$3)&lt;1,0,IFERROR(LOOKUP(2,1/('Milho 2ª safra'!$E16:INDEX('Milho 2ª safra'!$E16:$Z16,MIN(AR$6-$E$3,22))&lt;&gt;""),'Milho 2ª safra'!$E16:INDEX('Milho 2ª safra'!$E16:$Z16,MIN(AR$6-$E$3,22))),0))-IF($G$2,0,IF((AR$6-$G$3)&lt;1,0,IFERROR(LOOKUP(2,1/('Milho 2ª safra'!$E16:INDEX('Milho 2ª safra'!$E16:$Z16,MIN(AR$6-$G$3,22))&lt;&gt;""),'Milho 2ª safra'!$E16:INDEX('Milho 2ª safra'!$E16:$Z16,MIN(AR$6-$G$3,22))),0)))))</f>
        <v>0</v>
      </c>
      <c r="AS18" s="27" t="n">
        <f aca="false">IF(COUNT('Milho 2ª safra'!$E16:$Z16)=0,0,MAX(0,IF((AS$6-$E$3)&lt;1,0,IFERROR(LOOKUP(2,1/('Milho 2ª safra'!$E16:INDEX('Milho 2ª safra'!$E16:$Z16,MIN(AS$6-$E$3,22))&lt;&gt;""),'Milho 2ª safra'!$E16:INDEX('Milho 2ª safra'!$E16:$Z16,MIN(AS$6-$E$3,22))),0))-IF($G$2,0,IF((AS$6-$G$3)&lt;1,0,IFERROR(LOOKUP(2,1/('Milho 2ª safra'!$E16:INDEX('Milho 2ª safra'!$E16:$Z16,MIN(AS$6-$G$3,22))&lt;&gt;""),'Milho 2ª safra'!$E16:INDEX('Milho 2ª safra'!$E16:$Z16,MIN(AS$6-$G$3,22))),0)))))</f>
        <v>0</v>
      </c>
      <c r="AT18" s="27" t="n">
        <f aca="false">IF(COUNT('Milho 2ª safra'!$E16:$Z16)=0,0,MAX(0,IF((AT$6-$E$3)&lt;1,0,IFERROR(LOOKUP(2,1/('Milho 2ª safra'!$E16:INDEX('Milho 2ª safra'!$E16:$Z16,MIN(AT$6-$E$3,22))&lt;&gt;""),'Milho 2ª safra'!$E16:INDEX('Milho 2ª safra'!$E16:$Z16,MIN(AT$6-$E$3,22))),0))-IF($G$2,0,IF((AT$6-$G$3)&lt;1,0,IFERROR(LOOKUP(2,1/('Milho 2ª safra'!$E16:INDEX('Milho 2ª safra'!$E16:$Z16,MIN(AT$6-$G$3,22))&lt;&gt;""),'Milho 2ª safra'!$E16:INDEX('Milho 2ª safra'!$E16:$Z16,MIN(AT$6-$G$3,22))),0)))))</f>
        <v>0</v>
      </c>
      <c r="AU18" s="27" t="n">
        <f aca="false">IF(COUNT('Milho 2ª safra'!$E16:$Z16)=0,0,MAX(0,IF((AU$6-$E$3)&lt;1,0,IFERROR(LOOKUP(2,1/('Milho 2ª safra'!$E16:INDEX('Milho 2ª safra'!$E16:$Z16,MIN(AU$6-$E$3,22))&lt;&gt;""),'Milho 2ª safra'!$E16:INDEX('Milho 2ª safra'!$E16:$Z16,MIN(AU$6-$E$3,22))),0))-IF($G$2,0,IF((AU$6-$G$3)&lt;1,0,IFERROR(LOOKUP(2,1/('Milho 2ª safra'!$E16:INDEX('Milho 2ª safra'!$E16:$Z16,MIN(AU$6-$G$3,22))&lt;&gt;""),'Milho 2ª safra'!$E16:INDEX('Milho 2ª safra'!$E16:$Z16,MIN(AU$6-$G$3,22))),0)))))</f>
        <v>0</v>
      </c>
      <c r="AV18" s="27" t="n">
        <f aca="false">IF(COUNT('Milho 2ª safra'!$E16:$Z16)=0,0,MAX(0,IF((AV$6-$E$3)&lt;1,0,IFERROR(LOOKUP(2,1/('Milho 2ª safra'!$E16:INDEX('Milho 2ª safra'!$E16:$Z16,MIN(AV$6-$E$3,22))&lt;&gt;""),'Milho 2ª safra'!$E16:INDEX('Milho 2ª safra'!$E16:$Z16,MIN(AV$6-$E$3,22))),0))-IF($G$2,0,IF((AV$6-$G$3)&lt;1,0,IFERROR(LOOKUP(2,1/('Milho 2ª safra'!$E16:INDEX('Milho 2ª safra'!$E16:$Z16,MIN(AV$6-$G$3,22))&lt;&gt;""),'Milho 2ª safra'!$E16:INDEX('Milho 2ª safra'!$E16:$Z16,MIN(AV$6-$G$3,22))),0)))))</f>
        <v>0</v>
      </c>
      <c r="AW18" s="27" t="n">
        <f aca="false">IF(COUNT('Milho 2ª safra'!$E16:$Z16)=0,0,MAX(0,IF((AW$6-$E$3)&lt;1,0,IFERROR(LOOKUP(2,1/('Milho 2ª safra'!$E16:INDEX('Milho 2ª safra'!$E16:$Z16,MIN(AW$6-$E$3,22))&lt;&gt;""),'Milho 2ª safra'!$E16:INDEX('Milho 2ª safra'!$E16:$Z16,MIN(AW$6-$E$3,22))),0))-IF($G$2,0,IF((AW$6-$G$3)&lt;1,0,IFERROR(LOOKUP(2,1/('Milho 2ª safra'!$E16:INDEX('Milho 2ª safra'!$E16:$Z16,MIN(AW$6-$G$3,22))&lt;&gt;""),'Milho 2ª safra'!$E16:INDEX('Milho 2ª safra'!$E16:$Z16,MIN(AW$6-$G$3,22))),0)))))</f>
        <v>0</v>
      </c>
      <c r="AX18" s="27" t="n">
        <f aca="false">IF(COUNT('Milho 2ª safra'!$E16:$Z16)=0,0,MAX(0,IF((AX$6-$E$3)&lt;1,0,IFERROR(LOOKUP(2,1/('Milho 2ª safra'!$E16:INDEX('Milho 2ª safra'!$E16:$Z16,MIN(AX$6-$E$3,22))&lt;&gt;""),'Milho 2ª safra'!$E16:INDEX('Milho 2ª safra'!$E16:$Z16,MIN(AX$6-$E$3,22))),0))-IF($G$2,0,IF((AX$6-$G$3)&lt;1,0,IFERROR(LOOKUP(2,1/('Milho 2ª safra'!$E16:INDEX('Milho 2ª safra'!$E16:$Z16,MIN(AX$6-$G$3,22))&lt;&gt;""),'Milho 2ª safra'!$E16:INDEX('Milho 2ª safra'!$E16:$Z16,MIN(AX$6-$G$3,22))),0)))))</f>
        <v>0</v>
      </c>
      <c r="AY18" s="27" t="n">
        <f aca="false">IF(COUNT('Milho 2ª safra'!$E16:$Z16)=0,0,MAX(0,IF((AY$6-$E$3)&lt;1,0,IFERROR(LOOKUP(2,1/('Milho 2ª safra'!$E16:INDEX('Milho 2ª safra'!$E16:$Z16,MIN(AY$6-$E$3,22))&lt;&gt;""),'Milho 2ª safra'!$E16:INDEX('Milho 2ª safra'!$E16:$Z16,MIN(AY$6-$E$3,22))),0))-IF($G$2,0,IF((AY$6-$G$3)&lt;1,0,IFERROR(LOOKUP(2,1/('Milho 2ª safra'!$E16:INDEX('Milho 2ª safra'!$E16:$Z16,MIN(AY$6-$G$3,22))&lt;&gt;""),'Milho 2ª safra'!$E16:INDEX('Milho 2ª safra'!$E16:$Z16,MIN(AY$6-$G$3,22))),0)))))</f>
        <v>0</v>
      </c>
      <c r="AZ18" s="27" t="n">
        <f aca="false">IF(COUNT('Milho 2ª safra'!$E16:$Z16)=0,0,MAX(0,IF((AZ$6-$E$3)&lt;1,0,IFERROR(LOOKUP(2,1/('Milho 2ª safra'!$E16:INDEX('Milho 2ª safra'!$E16:$Z16,MIN(AZ$6-$E$3,22))&lt;&gt;""),'Milho 2ª safra'!$E16:INDEX('Milho 2ª safra'!$E16:$Z16,MIN(AZ$6-$E$3,22))),0))-IF($G$2,0,IF((AZ$6-$G$3)&lt;1,0,IFERROR(LOOKUP(2,1/('Milho 2ª safra'!$E16:INDEX('Milho 2ª safra'!$E16:$Z16,MIN(AZ$6-$G$3,22))&lt;&gt;""),'Milho 2ª safra'!$E16:INDEX('Milho 2ª safra'!$E16:$Z16,MIN(AZ$6-$G$3,22))),0)))))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IF(COUNT('Milho 2ª safra'!$E17:$Z17)&gt;0,N('Milho 2ª safra'!$D17),0)</f>
        <v>0</v>
      </c>
      <c r="E19" s="27" t="n">
        <f aca="false">IF(COUNT('Milho 2ª safra'!$E17:$Z17)=0,0,MAX(0,IF((E$6-$E$3)&lt;1,0,IFERROR(LOOKUP(2,1/('Milho 2ª safra'!$E17:INDEX('Milho 2ª safra'!$E17:$Z17,MIN(E$6-$E$3,22))&lt;&gt;""),'Milho 2ª safra'!$E17:INDEX('Milho 2ª safra'!$E17:$Z17,MIN(E$6-$E$3,22))),0))-IF($G$2,0,IF((E$6-$G$3)&lt;1,0,IFERROR(LOOKUP(2,1/('Milho 2ª safra'!$E17:INDEX('Milho 2ª safra'!$E17:$Z17,MIN(E$6-$G$3,22))&lt;&gt;""),'Milho 2ª safra'!$E17:INDEX('Milho 2ª safra'!$E17:$Z17,MIN(E$6-$G$3,22))),0)))))</f>
        <v>0</v>
      </c>
      <c r="F19" s="27" t="n">
        <f aca="false">IF(COUNT('Milho 2ª safra'!$E17:$Z17)=0,0,MAX(0,IF((F$6-$E$3)&lt;1,0,IFERROR(LOOKUP(2,1/('Milho 2ª safra'!$E17:INDEX('Milho 2ª safra'!$E17:$Z17,MIN(F$6-$E$3,22))&lt;&gt;""),'Milho 2ª safra'!$E17:INDEX('Milho 2ª safra'!$E17:$Z17,MIN(F$6-$E$3,22))),0))-IF($G$2,0,IF((F$6-$G$3)&lt;1,0,IFERROR(LOOKUP(2,1/('Milho 2ª safra'!$E17:INDEX('Milho 2ª safra'!$E17:$Z17,MIN(F$6-$G$3,22))&lt;&gt;""),'Milho 2ª safra'!$E17:INDEX('Milho 2ª safra'!$E17:$Z17,MIN(F$6-$G$3,22))),0)))))</f>
        <v>0</v>
      </c>
      <c r="G19" s="27" t="n">
        <f aca="false">IF(COUNT('Milho 2ª safra'!$E17:$Z17)=0,0,MAX(0,IF((G$6-$E$3)&lt;1,0,IFERROR(LOOKUP(2,1/('Milho 2ª safra'!$E17:INDEX('Milho 2ª safra'!$E17:$Z17,MIN(G$6-$E$3,22))&lt;&gt;""),'Milho 2ª safra'!$E17:INDEX('Milho 2ª safra'!$E17:$Z17,MIN(G$6-$E$3,22))),0))-IF($G$2,0,IF((G$6-$G$3)&lt;1,0,IFERROR(LOOKUP(2,1/('Milho 2ª safra'!$E17:INDEX('Milho 2ª safra'!$E17:$Z17,MIN(G$6-$G$3,22))&lt;&gt;""),'Milho 2ª safra'!$E17:INDEX('Milho 2ª safra'!$E17:$Z17,MIN(G$6-$G$3,22))),0)))))</f>
        <v>0</v>
      </c>
      <c r="H19" s="27" t="n">
        <f aca="false">IF(COUNT('Milho 2ª safra'!$E17:$Z17)=0,0,MAX(0,IF((H$6-$E$3)&lt;1,0,IFERROR(LOOKUP(2,1/('Milho 2ª safra'!$E17:INDEX('Milho 2ª safra'!$E17:$Z17,MIN(H$6-$E$3,22))&lt;&gt;""),'Milho 2ª safra'!$E17:INDEX('Milho 2ª safra'!$E17:$Z17,MIN(H$6-$E$3,22))),0))-IF($G$2,0,IF((H$6-$G$3)&lt;1,0,IFERROR(LOOKUP(2,1/('Milho 2ª safra'!$E17:INDEX('Milho 2ª safra'!$E17:$Z17,MIN(H$6-$G$3,22))&lt;&gt;""),'Milho 2ª safra'!$E17:INDEX('Milho 2ª safra'!$E17:$Z17,MIN(H$6-$G$3,22))),0)))))</f>
        <v>0</v>
      </c>
      <c r="I19" s="27" t="n">
        <f aca="false">IF(COUNT('Milho 2ª safra'!$E17:$Z17)=0,0,MAX(0,IF((I$6-$E$3)&lt;1,0,IFERROR(LOOKUP(2,1/('Milho 2ª safra'!$E17:INDEX('Milho 2ª safra'!$E17:$Z17,MIN(I$6-$E$3,22))&lt;&gt;""),'Milho 2ª safra'!$E17:INDEX('Milho 2ª safra'!$E17:$Z17,MIN(I$6-$E$3,22))),0))-IF($G$2,0,IF((I$6-$G$3)&lt;1,0,IFERROR(LOOKUP(2,1/('Milho 2ª safra'!$E17:INDEX('Milho 2ª safra'!$E17:$Z17,MIN(I$6-$G$3,22))&lt;&gt;""),'Milho 2ª safra'!$E17:INDEX('Milho 2ª safra'!$E17:$Z17,MIN(I$6-$G$3,22))),0)))))</f>
        <v>0</v>
      </c>
      <c r="J19" s="27" t="n">
        <f aca="false">IF(COUNT('Milho 2ª safra'!$E17:$Z17)=0,0,MAX(0,IF((J$6-$E$3)&lt;1,0,IFERROR(LOOKUP(2,1/('Milho 2ª safra'!$E17:INDEX('Milho 2ª safra'!$E17:$Z17,MIN(J$6-$E$3,22))&lt;&gt;""),'Milho 2ª safra'!$E17:INDEX('Milho 2ª safra'!$E17:$Z17,MIN(J$6-$E$3,22))),0))-IF($G$2,0,IF((J$6-$G$3)&lt;1,0,IFERROR(LOOKUP(2,1/('Milho 2ª safra'!$E17:INDEX('Milho 2ª safra'!$E17:$Z17,MIN(J$6-$G$3,22))&lt;&gt;""),'Milho 2ª safra'!$E17:INDEX('Milho 2ª safra'!$E17:$Z17,MIN(J$6-$G$3,22))),0)))))</f>
        <v>0</v>
      </c>
      <c r="K19" s="27" t="n">
        <f aca="false">IF(COUNT('Milho 2ª safra'!$E17:$Z17)=0,0,MAX(0,IF((K$6-$E$3)&lt;1,0,IFERROR(LOOKUP(2,1/('Milho 2ª safra'!$E17:INDEX('Milho 2ª safra'!$E17:$Z17,MIN(K$6-$E$3,22))&lt;&gt;""),'Milho 2ª safra'!$E17:INDEX('Milho 2ª safra'!$E17:$Z17,MIN(K$6-$E$3,22))),0))-IF($G$2,0,IF((K$6-$G$3)&lt;1,0,IFERROR(LOOKUP(2,1/('Milho 2ª safra'!$E17:INDEX('Milho 2ª safra'!$E17:$Z17,MIN(K$6-$G$3,22))&lt;&gt;""),'Milho 2ª safra'!$E17:INDEX('Milho 2ª safra'!$E17:$Z17,MIN(K$6-$G$3,22))),0)))))</f>
        <v>0</v>
      </c>
      <c r="L19" s="27" t="n">
        <f aca="false">IF(COUNT('Milho 2ª safra'!$E17:$Z17)=0,0,MAX(0,IF((L$6-$E$3)&lt;1,0,IFERROR(LOOKUP(2,1/('Milho 2ª safra'!$E17:INDEX('Milho 2ª safra'!$E17:$Z17,MIN(L$6-$E$3,22))&lt;&gt;""),'Milho 2ª safra'!$E17:INDEX('Milho 2ª safra'!$E17:$Z17,MIN(L$6-$E$3,22))),0))-IF($G$2,0,IF((L$6-$G$3)&lt;1,0,IFERROR(LOOKUP(2,1/('Milho 2ª safra'!$E17:INDEX('Milho 2ª safra'!$E17:$Z17,MIN(L$6-$G$3,22))&lt;&gt;""),'Milho 2ª safra'!$E17:INDEX('Milho 2ª safra'!$E17:$Z17,MIN(L$6-$G$3,22))),0)))))</f>
        <v>0</v>
      </c>
      <c r="M19" s="27" t="n">
        <f aca="false">IF(COUNT('Milho 2ª safra'!$E17:$Z17)=0,0,MAX(0,IF((M$6-$E$3)&lt;1,0,IFERROR(LOOKUP(2,1/('Milho 2ª safra'!$E17:INDEX('Milho 2ª safra'!$E17:$Z17,MIN(M$6-$E$3,22))&lt;&gt;""),'Milho 2ª safra'!$E17:INDEX('Milho 2ª safra'!$E17:$Z17,MIN(M$6-$E$3,22))),0))-IF($G$2,0,IF((M$6-$G$3)&lt;1,0,IFERROR(LOOKUP(2,1/('Milho 2ª safra'!$E17:INDEX('Milho 2ª safra'!$E17:$Z17,MIN(M$6-$G$3,22))&lt;&gt;""),'Milho 2ª safra'!$E17:INDEX('Milho 2ª safra'!$E17:$Z17,MIN(M$6-$G$3,22))),0)))))</f>
        <v>0</v>
      </c>
      <c r="N19" s="27" t="n">
        <f aca="false">IF(COUNT('Milho 2ª safra'!$E17:$Z17)=0,0,MAX(0,IF((N$6-$E$3)&lt;1,0,IFERROR(LOOKUP(2,1/('Milho 2ª safra'!$E17:INDEX('Milho 2ª safra'!$E17:$Z17,MIN(N$6-$E$3,22))&lt;&gt;""),'Milho 2ª safra'!$E17:INDEX('Milho 2ª safra'!$E17:$Z17,MIN(N$6-$E$3,22))),0))-IF($G$2,0,IF((N$6-$G$3)&lt;1,0,IFERROR(LOOKUP(2,1/('Milho 2ª safra'!$E17:INDEX('Milho 2ª safra'!$E17:$Z17,MIN(N$6-$G$3,22))&lt;&gt;""),'Milho 2ª safra'!$E17:INDEX('Milho 2ª safra'!$E17:$Z17,MIN(N$6-$G$3,22))),0)))))</f>
        <v>0</v>
      </c>
      <c r="O19" s="27" t="n">
        <f aca="false">IF(COUNT('Milho 2ª safra'!$E17:$Z17)=0,0,MAX(0,IF((O$6-$E$3)&lt;1,0,IFERROR(LOOKUP(2,1/('Milho 2ª safra'!$E17:INDEX('Milho 2ª safra'!$E17:$Z17,MIN(O$6-$E$3,22))&lt;&gt;""),'Milho 2ª safra'!$E17:INDEX('Milho 2ª safra'!$E17:$Z17,MIN(O$6-$E$3,22))),0))-IF($G$2,0,IF((O$6-$G$3)&lt;1,0,IFERROR(LOOKUP(2,1/('Milho 2ª safra'!$E17:INDEX('Milho 2ª safra'!$E17:$Z17,MIN(O$6-$G$3,22))&lt;&gt;""),'Milho 2ª safra'!$E17:INDEX('Milho 2ª safra'!$E17:$Z17,MIN(O$6-$G$3,22))),0)))))</f>
        <v>0</v>
      </c>
      <c r="P19" s="27" t="n">
        <f aca="false">IF(COUNT('Milho 2ª safra'!$E17:$Z17)=0,0,MAX(0,IF((P$6-$E$3)&lt;1,0,IFERROR(LOOKUP(2,1/('Milho 2ª safra'!$E17:INDEX('Milho 2ª safra'!$E17:$Z17,MIN(P$6-$E$3,22))&lt;&gt;""),'Milho 2ª safra'!$E17:INDEX('Milho 2ª safra'!$E17:$Z17,MIN(P$6-$E$3,22))),0))-IF($G$2,0,IF((P$6-$G$3)&lt;1,0,IFERROR(LOOKUP(2,1/('Milho 2ª safra'!$E17:INDEX('Milho 2ª safra'!$E17:$Z17,MIN(P$6-$G$3,22))&lt;&gt;""),'Milho 2ª safra'!$E17:INDEX('Milho 2ª safra'!$E17:$Z17,MIN(P$6-$G$3,22))),0)))))</f>
        <v>0</v>
      </c>
      <c r="Q19" s="27" t="n">
        <f aca="false">IF(COUNT('Milho 2ª safra'!$E17:$Z17)=0,0,MAX(0,IF((Q$6-$E$3)&lt;1,0,IFERROR(LOOKUP(2,1/('Milho 2ª safra'!$E17:INDEX('Milho 2ª safra'!$E17:$Z17,MIN(Q$6-$E$3,22))&lt;&gt;""),'Milho 2ª safra'!$E17:INDEX('Milho 2ª safra'!$E17:$Z17,MIN(Q$6-$E$3,22))),0))-IF($G$2,0,IF((Q$6-$G$3)&lt;1,0,IFERROR(LOOKUP(2,1/('Milho 2ª safra'!$E17:INDEX('Milho 2ª safra'!$E17:$Z17,MIN(Q$6-$G$3,22))&lt;&gt;""),'Milho 2ª safra'!$E17:INDEX('Milho 2ª safra'!$E17:$Z17,MIN(Q$6-$G$3,22))),0)))))</f>
        <v>0</v>
      </c>
      <c r="R19" s="27" t="n">
        <f aca="false">IF(COUNT('Milho 2ª safra'!$E17:$Z17)=0,0,MAX(0,IF((R$6-$E$3)&lt;1,0,IFERROR(LOOKUP(2,1/('Milho 2ª safra'!$E17:INDEX('Milho 2ª safra'!$E17:$Z17,MIN(R$6-$E$3,22))&lt;&gt;""),'Milho 2ª safra'!$E17:INDEX('Milho 2ª safra'!$E17:$Z17,MIN(R$6-$E$3,22))),0))-IF($G$2,0,IF((R$6-$G$3)&lt;1,0,IFERROR(LOOKUP(2,1/('Milho 2ª safra'!$E17:INDEX('Milho 2ª safra'!$E17:$Z17,MIN(R$6-$G$3,22))&lt;&gt;""),'Milho 2ª safra'!$E17:INDEX('Milho 2ª safra'!$E17:$Z17,MIN(R$6-$G$3,22))),0)))))</f>
        <v>0</v>
      </c>
      <c r="S19" s="27" t="n">
        <f aca="false">IF(COUNT('Milho 2ª safra'!$E17:$Z17)=0,0,MAX(0,IF((S$6-$E$3)&lt;1,0,IFERROR(LOOKUP(2,1/('Milho 2ª safra'!$E17:INDEX('Milho 2ª safra'!$E17:$Z17,MIN(S$6-$E$3,22))&lt;&gt;""),'Milho 2ª safra'!$E17:INDEX('Milho 2ª safra'!$E17:$Z17,MIN(S$6-$E$3,22))),0))-IF($G$2,0,IF((S$6-$G$3)&lt;1,0,IFERROR(LOOKUP(2,1/('Milho 2ª safra'!$E17:INDEX('Milho 2ª safra'!$E17:$Z17,MIN(S$6-$G$3,22))&lt;&gt;""),'Milho 2ª safra'!$E17:INDEX('Milho 2ª safra'!$E17:$Z17,MIN(S$6-$G$3,22))),0)))))</f>
        <v>0</v>
      </c>
      <c r="T19" s="27" t="n">
        <f aca="false">IF(COUNT('Milho 2ª safra'!$E17:$Z17)=0,0,MAX(0,IF((T$6-$E$3)&lt;1,0,IFERROR(LOOKUP(2,1/('Milho 2ª safra'!$E17:INDEX('Milho 2ª safra'!$E17:$Z17,MIN(T$6-$E$3,22))&lt;&gt;""),'Milho 2ª safra'!$E17:INDEX('Milho 2ª safra'!$E17:$Z17,MIN(T$6-$E$3,22))),0))-IF($G$2,0,IF((T$6-$G$3)&lt;1,0,IFERROR(LOOKUP(2,1/('Milho 2ª safra'!$E17:INDEX('Milho 2ª safra'!$E17:$Z17,MIN(T$6-$G$3,22))&lt;&gt;""),'Milho 2ª safra'!$E17:INDEX('Milho 2ª safra'!$E17:$Z17,MIN(T$6-$G$3,22))),0)))))</f>
        <v>0</v>
      </c>
      <c r="U19" s="27" t="n">
        <f aca="false">IF(COUNT('Milho 2ª safra'!$E17:$Z17)=0,0,MAX(0,IF((U$6-$E$3)&lt;1,0,IFERROR(LOOKUP(2,1/('Milho 2ª safra'!$E17:INDEX('Milho 2ª safra'!$E17:$Z17,MIN(U$6-$E$3,22))&lt;&gt;""),'Milho 2ª safra'!$E17:INDEX('Milho 2ª safra'!$E17:$Z17,MIN(U$6-$E$3,22))),0))-IF($G$2,0,IF((U$6-$G$3)&lt;1,0,IFERROR(LOOKUP(2,1/('Milho 2ª safra'!$E17:INDEX('Milho 2ª safra'!$E17:$Z17,MIN(U$6-$G$3,22))&lt;&gt;""),'Milho 2ª safra'!$E17:INDEX('Milho 2ª safra'!$E17:$Z17,MIN(U$6-$G$3,22))),0)))))</f>
        <v>0</v>
      </c>
      <c r="V19" s="27" t="n">
        <f aca="false">IF(COUNT('Milho 2ª safra'!$E17:$Z17)=0,0,MAX(0,IF((V$6-$E$3)&lt;1,0,IFERROR(LOOKUP(2,1/('Milho 2ª safra'!$E17:INDEX('Milho 2ª safra'!$E17:$Z17,MIN(V$6-$E$3,22))&lt;&gt;""),'Milho 2ª safra'!$E17:INDEX('Milho 2ª safra'!$E17:$Z17,MIN(V$6-$E$3,22))),0))-IF($G$2,0,IF((V$6-$G$3)&lt;1,0,IFERROR(LOOKUP(2,1/('Milho 2ª safra'!$E17:INDEX('Milho 2ª safra'!$E17:$Z17,MIN(V$6-$G$3,22))&lt;&gt;""),'Milho 2ª safra'!$E17:INDEX('Milho 2ª safra'!$E17:$Z17,MIN(V$6-$G$3,22))),0)))))</f>
        <v>0</v>
      </c>
      <c r="W19" s="27" t="n">
        <f aca="false">IF(COUNT('Milho 2ª safra'!$E17:$Z17)=0,0,MAX(0,IF((W$6-$E$3)&lt;1,0,IFERROR(LOOKUP(2,1/('Milho 2ª safra'!$E17:INDEX('Milho 2ª safra'!$E17:$Z17,MIN(W$6-$E$3,22))&lt;&gt;""),'Milho 2ª safra'!$E17:INDEX('Milho 2ª safra'!$E17:$Z17,MIN(W$6-$E$3,22))),0))-IF($G$2,0,IF((W$6-$G$3)&lt;1,0,IFERROR(LOOKUP(2,1/('Milho 2ª safra'!$E17:INDEX('Milho 2ª safra'!$E17:$Z17,MIN(W$6-$G$3,22))&lt;&gt;""),'Milho 2ª safra'!$E17:INDEX('Milho 2ª safra'!$E17:$Z17,MIN(W$6-$G$3,22))),0)))))</f>
        <v>0</v>
      </c>
      <c r="X19" s="27" t="n">
        <f aca="false">IF(COUNT('Milho 2ª safra'!$E17:$Z17)=0,0,MAX(0,IF((X$6-$E$3)&lt;1,0,IFERROR(LOOKUP(2,1/('Milho 2ª safra'!$E17:INDEX('Milho 2ª safra'!$E17:$Z17,MIN(X$6-$E$3,22))&lt;&gt;""),'Milho 2ª safra'!$E17:INDEX('Milho 2ª safra'!$E17:$Z17,MIN(X$6-$E$3,22))),0))-IF($G$2,0,IF((X$6-$G$3)&lt;1,0,IFERROR(LOOKUP(2,1/('Milho 2ª safra'!$E17:INDEX('Milho 2ª safra'!$E17:$Z17,MIN(X$6-$G$3,22))&lt;&gt;""),'Milho 2ª safra'!$E17:INDEX('Milho 2ª safra'!$E17:$Z17,MIN(X$6-$G$3,22))),0)))))</f>
        <v>0</v>
      </c>
      <c r="Y19" s="27" t="n">
        <f aca="false">IF(COUNT('Milho 2ª safra'!$E17:$Z17)=0,0,MAX(0,IF((Y$6-$E$3)&lt;1,0,IFERROR(LOOKUP(2,1/('Milho 2ª safra'!$E17:INDEX('Milho 2ª safra'!$E17:$Z17,MIN(Y$6-$E$3,22))&lt;&gt;""),'Milho 2ª safra'!$E17:INDEX('Milho 2ª safra'!$E17:$Z17,MIN(Y$6-$E$3,22))),0))-IF($G$2,0,IF((Y$6-$G$3)&lt;1,0,IFERROR(LOOKUP(2,1/('Milho 2ª safra'!$E17:INDEX('Milho 2ª safra'!$E17:$Z17,MIN(Y$6-$G$3,22))&lt;&gt;""),'Milho 2ª safra'!$E17:INDEX('Milho 2ª safra'!$E17:$Z17,MIN(Y$6-$G$3,22))),0)))))</f>
        <v>0</v>
      </c>
      <c r="Z19" s="27" t="n">
        <f aca="false">IF(COUNT('Milho 2ª safra'!$E17:$Z17)=0,0,MAX(0,IF((Z$6-$E$3)&lt;1,0,IFERROR(LOOKUP(2,1/('Milho 2ª safra'!$E17:INDEX('Milho 2ª safra'!$E17:$Z17,MIN(Z$6-$E$3,22))&lt;&gt;""),'Milho 2ª safra'!$E17:INDEX('Milho 2ª safra'!$E17:$Z17,MIN(Z$6-$E$3,22))),0))-IF($G$2,0,IF((Z$6-$G$3)&lt;1,0,IFERROR(LOOKUP(2,1/('Milho 2ª safra'!$E17:INDEX('Milho 2ª safra'!$E17:$Z17,MIN(Z$6-$G$3,22))&lt;&gt;""),'Milho 2ª safra'!$E17:INDEX('Milho 2ª safra'!$E17:$Z17,MIN(Z$6-$G$3,22))),0)))))</f>
        <v>0</v>
      </c>
      <c r="AA19" s="27" t="n">
        <f aca="false">IF(COUNT('Milho 2ª safra'!$E17:$Z17)=0,0,MAX(0,IF((AA$6-$E$3)&lt;1,0,IFERROR(LOOKUP(2,1/('Milho 2ª safra'!$E17:INDEX('Milho 2ª safra'!$E17:$Z17,MIN(AA$6-$E$3,22))&lt;&gt;""),'Milho 2ª safra'!$E17:INDEX('Milho 2ª safra'!$E17:$Z17,MIN(AA$6-$E$3,22))),0))-IF($G$2,0,IF((AA$6-$G$3)&lt;1,0,IFERROR(LOOKUP(2,1/('Milho 2ª safra'!$E17:INDEX('Milho 2ª safra'!$E17:$Z17,MIN(AA$6-$G$3,22))&lt;&gt;""),'Milho 2ª safra'!$E17:INDEX('Milho 2ª safra'!$E17:$Z17,MIN(AA$6-$G$3,22))),0)))))</f>
        <v>0</v>
      </c>
      <c r="AB19" s="27" t="n">
        <f aca="false">IF(COUNT('Milho 2ª safra'!$E17:$Z17)=0,0,MAX(0,IF((AB$6-$E$3)&lt;1,0,IFERROR(LOOKUP(2,1/('Milho 2ª safra'!$E17:INDEX('Milho 2ª safra'!$E17:$Z17,MIN(AB$6-$E$3,22))&lt;&gt;""),'Milho 2ª safra'!$E17:INDEX('Milho 2ª safra'!$E17:$Z17,MIN(AB$6-$E$3,22))),0))-IF($G$2,0,IF((AB$6-$G$3)&lt;1,0,IFERROR(LOOKUP(2,1/('Milho 2ª safra'!$E17:INDEX('Milho 2ª safra'!$E17:$Z17,MIN(AB$6-$G$3,22))&lt;&gt;""),'Milho 2ª safra'!$E17:INDEX('Milho 2ª safra'!$E17:$Z17,MIN(AB$6-$G$3,22))),0)))))</f>
        <v>0</v>
      </c>
      <c r="AC19" s="27" t="n">
        <f aca="false">IF(COUNT('Milho 2ª safra'!$E17:$Z17)=0,0,MAX(0,IF((AC$6-$E$3)&lt;1,0,IFERROR(LOOKUP(2,1/('Milho 2ª safra'!$E17:INDEX('Milho 2ª safra'!$E17:$Z17,MIN(AC$6-$E$3,22))&lt;&gt;""),'Milho 2ª safra'!$E17:INDEX('Milho 2ª safra'!$E17:$Z17,MIN(AC$6-$E$3,22))),0))-IF($G$2,0,IF((AC$6-$G$3)&lt;1,0,IFERROR(LOOKUP(2,1/('Milho 2ª safra'!$E17:INDEX('Milho 2ª safra'!$E17:$Z17,MIN(AC$6-$G$3,22))&lt;&gt;""),'Milho 2ª safra'!$E17:INDEX('Milho 2ª safra'!$E17:$Z17,MIN(AC$6-$G$3,22))),0)))))</f>
        <v>0</v>
      </c>
      <c r="AD19" s="27" t="n">
        <f aca="false">IF(COUNT('Milho 2ª safra'!$E17:$Z17)=0,0,MAX(0,IF((AD$6-$E$3)&lt;1,0,IFERROR(LOOKUP(2,1/('Milho 2ª safra'!$E17:INDEX('Milho 2ª safra'!$E17:$Z17,MIN(AD$6-$E$3,22))&lt;&gt;""),'Milho 2ª safra'!$E17:INDEX('Milho 2ª safra'!$E17:$Z17,MIN(AD$6-$E$3,22))),0))-IF($G$2,0,IF((AD$6-$G$3)&lt;1,0,IFERROR(LOOKUP(2,1/('Milho 2ª safra'!$E17:INDEX('Milho 2ª safra'!$E17:$Z17,MIN(AD$6-$G$3,22))&lt;&gt;""),'Milho 2ª safra'!$E17:INDEX('Milho 2ª safra'!$E17:$Z17,MIN(AD$6-$G$3,22))),0)))))</f>
        <v>0</v>
      </c>
      <c r="AE19" s="27" t="n">
        <f aca="false">IF(COUNT('Milho 2ª safra'!$E17:$Z17)=0,0,MAX(0,IF((AE$6-$E$3)&lt;1,0,IFERROR(LOOKUP(2,1/('Milho 2ª safra'!$E17:INDEX('Milho 2ª safra'!$E17:$Z17,MIN(AE$6-$E$3,22))&lt;&gt;""),'Milho 2ª safra'!$E17:INDEX('Milho 2ª safra'!$E17:$Z17,MIN(AE$6-$E$3,22))),0))-IF($G$2,0,IF((AE$6-$G$3)&lt;1,0,IFERROR(LOOKUP(2,1/('Milho 2ª safra'!$E17:INDEX('Milho 2ª safra'!$E17:$Z17,MIN(AE$6-$G$3,22))&lt;&gt;""),'Milho 2ª safra'!$E17:INDEX('Milho 2ª safra'!$E17:$Z17,MIN(AE$6-$G$3,22))),0)))))</f>
        <v>0</v>
      </c>
      <c r="AF19" s="27" t="n">
        <f aca="false">IF(COUNT('Milho 2ª safra'!$E17:$Z17)=0,0,MAX(0,IF((AF$6-$E$3)&lt;1,0,IFERROR(LOOKUP(2,1/('Milho 2ª safra'!$E17:INDEX('Milho 2ª safra'!$E17:$Z17,MIN(AF$6-$E$3,22))&lt;&gt;""),'Milho 2ª safra'!$E17:INDEX('Milho 2ª safra'!$E17:$Z17,MIN(AF$6-$E$3,22))),0))-IF($G$2,0,IF((AF$6-$G$3)&lt;1,0,IFERROR(LOOKUP(2,1/('Milho 2ª safra'!$E17:INDEX('Milho 2ª safra'!$E17:$Z17,MIN(AF$6-$G$3,22))&lt;&gt;""),'Milho 2ª safra'!$E17:INDEX('Milho 2ª safra'!$E17:$Z17,MIN(AF$6-$G$3,22))),0)))))</f>
        <v>0</v>
      </c>
      <c r="AG19" s="27" t="n">
        <f aca="false">IF(COUNT('Milho 2ª safra'!$E17:$Z17)=0,0,MAX(0,IF((AG$6-$E$3)&lt;1,0,IFERROR(LOOKUP(2,1/('Milho 2ª safra'!$E17:INDEX('Milho 2ª safra'!$E17:$Z17,MIN(AG$6-$E$3,22))&lt;&gt;""),'Milho 2ª safra'!$E17:INDEX('Milho 2ª safra'!$E17:$Z17,MIN(AG$6-$E$3,22))),0))-IF($G$2,0,IF((AG$6-$G$3)&lt;1,0,IFERROR(LOOKUP(2,1/('Milho 2ª safra'!$E17:INDEX('Milho 2ª safra'!$E17:$Z17,MIN(AG$6-$G$3,22))&lt;&gt;""),'Milho 2ª safra'!$E17:INDEX('Milho 2ª safra'!$E17:$Z17,MIN(AG$6-$G$3,22))),0)))))</f>
        <v>0</v>
      </c>
      <c r="AH19" s="27" t="n">
        <f aca="false">IF(COUNT('Milho 2ª safra'!$E17:$Z17)=0,0,MAX(0,IF((AH$6-$E$3)&lt;1,0,IFERROR(LOOKUP(2,1/('Milho 2ª safra'!$E17:INDEX('Milho 2ª safra'!$E17:$Z17,MIN(AH$6-$E$3,22))&lt;&gt;""),'Milho 2ª safra'!$E17:INDEX('Milho 2ª safra'!$E17:$Z17,MIN(AH$6-$E$3,22))),0))-IF($G$2,0,IF((AH$6-$G$3)&lt;1,0,IFERROR(LOOKUP(2,1/('Milho 2ª safra'!$E17:INDEX('Milho 2ª safra'!$E17:$Z17,MIN(AH$6-$G$3,22))&lt;&gt;""),'Milho 2ª safra'!$E17:INDEX('Milho 2ª safra'!$E17:$Z17,MIN(AH$6-$G$3,22))),0)))))</f>
        <v>0</v>
      </c>
      <c r="AI19" s="27" t="n">
        <f aca="false">IF(COUNT('Milho 2ª safra'!$E17:$Z17)=0,0,MAX(0,IF((AI$6-$E$3)&lt;1,0,IFERROR(LOOKUP(2,1/('Milho 2ª safra'!$E17:INDEX('Milho 2ª safra'!$E17:$Z17,MIN(AI$6-$E$3,22))&lt;&gt;""),'Milho 2ª safra'!$E17:INDEX('Milho 2ª safra'!$E17:$Z17,MIN(AI$6-$E$3,22))),0))-IF($G$2,0,IF((AI$6-$G$3)&lt;1,0,IFERROR(LOOKUP(2,1/('Milho 2ª safra'!$E17:INDEX('Milho 2ª safra'!$E17:$Z17,MIN(AI$6-$G$3,22))&lt;&gt;""),'Milho 2ª safra'!$E17:INDEX('Milho 2ª safra'!$E17:$Z17,MIN(AI$6-$G$3,22))),0)))))</f>
        <v>0</v>
      </c>
      <c r="AJ19" s="27" t="n">
        <f aca="false">IF(COUNT('Milho 2ª safra'!$E17:$Z17)=0,0,MAX(0,IF((AJ$6-$E$3)&lt;1,0,IFERROR(LOOKUP(2,1/('Milho 2ª safra'!$E17:INDEX('Milho 2ª safra'!$E17:$Z17,MIN(AJ$6-$E$3,22))&lt;&gt;""),'Milho 2ª safra'!$E17:INDEX('Milho 2ª safra'!$E17:$Z17,MIN(AJ$6-$E$3,22))),0))-IF($G$2,0,IF((AJ$6-$G$3)&lt;1,0,IFERROR(LOOKUP(2,1/('Milho 2ª safra'!$E17:INDEX('Milho 2ª safra'!$E17:$Z17,MIN(AJ$6-$G$3,22))&lt;&gt;""),'Milho 2ª safra'!$E17:INDEX('Milho 2ª safra'!$E17:$Z17,MIN(AJ$6-$G$3,22))),0)))))</f>
        <v>0</v>
      </c>
      <c r="AK19" s="27" t="n">
        <f aca="false">IF(COUNT('Milho 2ª safra'!$E17:$Z17)=0,0,MAX(0,IF((AK$6-$E$3)&lt;1,0,IFERROR(LOOKUP(2,1/('Milho 2ª safra'!$E17:INDEX('Milho 2ª safra'!$E17:$Z17,MIN(AK$6-$E$3,22))&lt;&gt;""),'Milho 2ª safra'!$E17:INDEX('Milho 2ª safra'!$E17:$Z17,MIN(AK$6-$E$3,22))),0))-IF($G$2,0,IF((AK$6-$G$3)&lt;1,0,IFERROR(LOOKUP(2,1/('Milho 2ª safra'!$E17:INDEX('Milho 2ª safra'!$E17:$Z17,MIN(AK$6-$G$3,22))&lt;&gt;""),'Milho 2ª safra'!$E17:INDEX('Milho 2ª safra'!$E17:$Z17,MIN(AK$6-$G$3,22))),0)))))</f>
        <v>0</v>
      </c>
      <c r="AL19" s="27" t="n">
        <f aca="false">IF(COUNT('Milho 2ª safra'!$E17:$Z17)=0,0,MAX(0,IF((AL$6-$E$3)&lt;1,0,IFERROR(LOOKUP(2,1/('Milho 2ª safra'!$E17:INDEX('Milho 2ª safra'!$E17:$Z17,MIN(AL$6-$E$3,22))&lt;&gt;""),'Milho 2ª safra'!$E17:INDEX('Milho 2ª safra'!$E17:$Z17,MIN(AL$6-$E$3,22))),0))-IF($G$2,0,IF((AL$6-$G$3)&lt;1,0,IFERROR(LOOKUP(2,1/('Milho 2ª safra'!$E17:INDEX('Milho 2ª safra'!$E17:$Z17,MIN(AL$6-$G$3,22))&lt;&gt;""),'Milho 2ª safra'!$E17:INDEX('Milho 2ª safra'!$E17:$Z17,MIN(AL$6-$G$3,22))),0)))))</f>
        <v>0</v>
      </c>
      <c r="AM19" s="27" t="n">
        <f aca="false">IF(COUNT('Milho 2ª safra'!$E17:$Z17)=0,0,MAX(0,IF((AM$6-$E$3)&lt;1,0,IFERROR(LOOKUP(2,1/('Milho 2ª safra'!$E17:INDEX('Milho 2ª safra'!$E17:$Z17,MIN(AM$6-$E$3,22))&lt;&gt;""),'Milho 2ª safra'!$E17:INDEX('Milho 2ª safra'!$E17:$Z17,MIN(AM$6-$E$3,22))),0))-IF($G$2,0,IF((AM$6-$G$3)&lt;1,0,IFERROR(LOOKUP(2,1/('Milho 2ª safra'!$E17:INDEX('Milho 2ª safra'!$E17:$Z17,MIN(AM$6-$G$3,22))&lt;&gt;""),'Milho 2ª safra'!$E17:INDEX('Milho 2ª safra'!$E17:$Z17,MIN(AM$6-$G$3,22))),0)))))</f>
        <v>0</v>
      </c>
      <c r="AN19" s="27" t="n">
        <f aca="false">IF(COUNT('Milho 2ª safra'!$E17:$Z17)=0,0,MAX(0,IF((AN$6-$E$3)&lt;1,0,IFERROR(LOOKUP(2,1/('Milho 2ª safra'!$E17:INDEX('Milho 2ª safra'!$E17:$Z17,MIN(AN$6-$E$3,22))&lt;&gt;""),'Milho 2ª safra'!$E17:INDEX('Milho 2ª safra'!$E17:$Z17,MIN(AN$6-$E$3,22))),0))-IF($G$2,0,IF((AN$6-$G$3)&lt;1,0,IFERROR(LOOKUP(2,1/('Milho 2ª safra'!$E17:INDEX('Milho 2ª safra'!$E17:$Z17,MIN(AN$6-$G$3,22))&lt;&gt;""),'Milho 2ª safra'!$E17:INDEX('Milho 2ª safra'!$E17:$Z17,MIN(AN$6-$G$3,22))),0)))))</f>
        <v>0</v>
      </c>
      <c r="AO19" s="27" t="n">
        <f aca="false">IF(COUNT('Milho 2ª safra'!$E17:$Z17)=0,0,MAX(0,IF((AO$6-$E$3)&lt;1,0,IFERROR(LOOKUP(2,1/('Milho 2ª safra'!$E17:INDEX('Milho 2ª safra'!$E17:$Z17,MIN(AO$6-$E$3,22))&lt;&gt;""),'Milho 2ª safra'!$E17:INDEX('Milho 2ª safra'!$E17:$Z17,MIN(AO$6-$E$3,22))),0))-IF($G$2,0,IF((AO$6-$G$3)&lt;1,0,IFERROR(LOOKUP(2,1/('Milho 2ª safra'!$E17:INDEX('Milho 2ª safra'!$E17:$Z17,MIN(AO$6-$G$3,22))&lt;&gt;""),'Milho 2ª safra'!$E17:INDEX('Milho 2ª safra'!$E17:$Z17,MIN(AO$6-$G$3,22))),0)))))</f>
        <v>0</v>
      </c>
      <c r="AP19" s="27" t="n">
        <f aca="false">IF(COUNT('Milho 2ª safra'!$E17:$Z17)=0,0,MAX(0,IF((AP$6-$E$3)&lt;1,0,IFERROR(LOOKUP(2,1/('Milho 2ª safra'!$E17:INDEX('Milho 2ª safra'!$E17:$Z17,MIN(AP$6-$E$3,22))&lt;&gt;""),'Milho 2ª safra'!$E17:INDEX('Milho 2ª safra'!$E17:$Z17,MIN(AP$6-$E$3,22))),0))-IF($G$2,0,IF((AP$6-$G$3)&lt;1,0,IFERROR(LOOKUP(2,1/('Milho 2ª safra'!$E17:INDEX('Milho 2ª safra'!$E17:$Z17,MIN(AP$6-$G$3,22))&lt;&gt;""),'Milho 2ª safra'!$E17:INDEX('Milho 2ª safra'!$E17:$Z17,MIN(AP$6-$G$3,22))),0)))))</f>
        <v>0</v>
      </c>
      <c r="AQ19" s="27" t="n">
        <f aca="false">IF(COUNT('Milho 2ª safra'!$E17:$Z17)=0,0,MAX(0,IF((AQ$6-$E$3)&lt;1,0,IFERROR(LOOKUP(2,1/('Milho 2ª safra'!$E17:INDEX('Milho 2ª safra'!$E17:$Z17,MIN(AQ$6-$E$3,22))&lt;&gt;""),'Milho 2ª safra'!$E17:INDEX('Milho 2ª safra'!$E17:$Z17,MIN(AQ$6-$E$3,22))),0))-IF($G$2,0,IF((AQ$6-$G$3)&lt;1,0,IFERROR(LOOKUP(2,1/('Milho 2ª safra'!$E17:INDEX('Milho 2ª safra'!$E17:$Z17,MIN(AQ$6-$G$3,22))&lt;&gt;""),'Milho 2ª safra'!$E17:INDEX('Milho 2ª safra'!$E17:$Z17,MIN(AQ$6-$G$3,22))),0)))))</f>
        <v>0</v>
      </c>
      <c r="AR19" s="27" t="n">
        <f aca="false">IF(COUNT('Milho 2ª safra'!$E17:$Z17)=0,0,MAX(0,IF((AR$6-$E$3)&lt;1,0,IFERROR(LOOKUP(2,1/('Milho 2ª safra'!$E17:INDEX('Milho 2ª safra'!$E17:$Z17,MIN(AR$6-$E$3,22))&lt;&gt;""),'Milho 2ª safra'!$E17:INDEX('Milho 2ª safra'!$E17:$Z17,MIN(AR$6-$E$3,22))),0))-IF($G$2,0,IF((AR$6-$G$3)&lt;1,0,IFERROR(LOOKUP(2,1/('Milho 2ª safra'!$E17:INDEX('Milho 2ª safra'!$E17:$Z17,MIN(AR$6-$G$3,22))&lt;&gt;""),'Milho 2ª safra'!$E17:INDEX('Milho 2ª safra'!$E17:$Z17,MIN(AR$6-$G$3,22))),0)))))</f>
        <v>0</v>
      </c>
      <c r="AS19" s="27" t="n">
        <f aca="false">IF(COUNT('Milho 2ª safra'!$E17:$Z17)=0,0,MAX(0,IF((AS$6-$E$3)&lt;1,0,IFERROR(LOOKUP(2,1/('Milho 2ª safra'!$E17:INDEX('Milho 2ª safra'!$E17:$Z17,MIN(AS$6-$E$3,22))&lt;&gt;""),'Milho 2ª safra'!$E17:INDEX('Milho 2ª safra'!$E17:$Z17,MIN(AS$6-$E$3,22))),0))-IF($G$2,0,IF((AS$6-$G$3)&lt;1,0,IFERROR(LOOKUP(2,1/('Milho 2ª safra'!$E17:INDEX('Milho 2ª safra'!$E17:$Z17,MIN(AS$6-$G$3,22))&lt;&gt;""),'Milho 2ª safra'!$E17:INDEX('Milho 2ª safra'!$E17:$Z17,MIN(AS$6-$G$3,22))),0)))))</f>
        <v>0</v>
      </c>
      <c r="AT19" s="27" t="n">
        <f aca="false">IF(COUNT('Milho 2ª safra'!$E17:$Z17)=0,0,MAX(0,IF((AT$6-$E$3)&lt;1,0,IFERROR(LOOKUP(2,1/('Milho 2ª safra'!$E17:INDEX('Milho 2ª safra'!$E17:$Z17,MIN(AT$6-$E$3,22))&lt;&gt;""),'Milho 2ª safra'!$E17:INDEX('Milho 2ª safra'!$E17:$Z17,MIN(AT$6-$E$3,22))),0))-IF($G$2,0,IF((AT$6-$G$3)&lt;1,0,IFERROR(LOOKUP(2,1/('Milho 2ª safra'!$E17:INDEX('Milho 2ª safra'!$E17:$Z17,MIN(AT$6-$G$3,22))&lt;&gt;""),'Milho 2ª safra'!$E17:INDEX('Milho 2ª safra'!$E17:$Z17,MIN(AT$6-$G$3,22))),0)))))</f>
        <v>0</v>
      </c>
      <c r="AU19" s="27" t="n">
        <f aca="false">IF(COUNT('Milho 2ª safra'!$E17:$Z17)=0,0,MAX(0,IF((AU$6-$E$3)&lt;1,0,IFERROR(LOOKUP(2,1/('Milho 2ª safra'!$E17:INDEX('Milho 2ª safra'!$E17:$Z17,MIN(AU$6-$E$3,22))&lt;&gt;""),'Milho 2ª safra'!$E17:INDEX('Milho 2ª safra'!$E17:$Z17,MIN(AU$6-$E$3,22))),0))-IF($G$2,0,IF((AU$6-$G$3)&lt;1,0,IFERROR(LOOKUP(2,1/('Milho 2ª safra'!$E17:INDEX('Milho 2ª safra'!$E17:$Z17,MIN(AU$6-$G$3,22))&lt;&gt;""),'Milho 2ª safra'!$E17:INDEX('Milho 2ª safra'!$E17:$Z17,MIN(AU$6-$G$3,22))),0)))))</f>
        <v>0</v>
      </c>
      <c r="AV19" s="27" t="n">
        <f aca="false">IF(COUNT('Milho 2ª safra'!$E17:$Z17)=0,0,MAX(0,IF((AV$6-$E$3)&lt;1,0,IFERROR(LOOKUP(2,1/('Milho 2ª safra'!$E17:INDEX('Milho 2ª safra'!$E17:$Z17,MIN(AV$6-$E$3,22))&lt;&gt;""),'Milho 2ª safra'!$E17:INDEX('Milho 2ª safra'!$E17:$Z17,MIN(AV$6-$E$3,22))),0))-IF($G$2,0,IF((AV$6-$G$3)&lt;1,0,IFERROR(LOOKUP(2,1/('Milho 2ª safra'!$E17:INDEX('Milho 2ª safra'!$E17:$Z17,MIN(AV$6-$G$3,22))&lt;&gt;""),'Milho 2ª safra'!$E17:INDEX('Milho 2ª safra'!$E17:$Z17,MIN(AV$6-$G$3,22))),0)))))</f>
        <v>0</v>
      </c>
      <c r="AW19" s="27" t="n">
        <f aca="false">IF(COUNT('Milho 2ª safra'!$E17:$Z17)=0,0,MAX(0,IF((AW$6-$E$3)&lt;1,0,IFERROR(LOOKUP(2,1/('Milho 2ª safra'!$E17:INDEX('Milho 2ª safra'!$E17:$Z17,MIN(AW$6-$E$3,22))&lt;&gt;""),'Milho 2ª safra'!$E17:INDEX('Milho 2ª safra'!$E17:$Z17,MIN(AW$6-$E$3,22))),0))-IF($G$2,0,IF((AW$6-$G$3)&lt;1,0,IFERROR(LOOKUP(2,1/('Milho 2ª safra'!$E17:INDEX('Milho 2ª safra'!$E17:$Z17,MIN(AW$6-$G$3,22))&lt;&gt;""),'Milho 2ª safra'!$E17:INDEX('Milho 2ª safra'!$E17:$Z17,MIN(AW$6-$G$3,22))),0)))))</f>
        <v>0</v>
      </c>
      <c r="AX19" s="27" t="n">
        <f aca="false">IF(COUNT('Milho 2ª safra'!$E17:$Z17)=0,0,MAX(0,IF((AX$6-$E$3)&lt;1,0,IFERROR(LOOKUP(2,1/('Milho 2ª safra'!$E17:INDEX('Milho 2ª safra'!$E17:$Z17,MIN(AX$6-$E$3,22))&lt;&gt;""),'Milho 2ª safra'!$E17:INDEX('Milho 2ª safra'!$E17:$Z17,MIN(AX$6-$E$3,22))),0))-IF($G$2,0,IF((AX$6-$G$3)&lt;1,0,IFERROR(LOOKUP(2,1/('Milho 2ª safra'!$E17:INDEX('Milho 2ª safra'!$E17:$Z17,MIN(AX$6-$G$3,22))&lt;&gt;""),'Milho 2ª safra'!$E17:INDEX('Milho 2ª safra'!$E17:$Z17,MIN(AX$6-$G$3,22))),0)))))</f>
        <v>0</v>
      </c>
      <c r="AY19" s="27" t="n">
        <f aca="false">IF(COUNT('Milho 2ª safra'!$E17:$Z17)=0,0,MAX(0,IF((AY$6-$E$3)&lt;1,0,IFERROR(LOOKUP(2,1/('Milho 2ª safra'!$E17:INDEX('Milho 2ª safra'!$E17:$Z17,MIN(AY$6-$E$3,22))&lt;&gt;""),'Milho 2ª safra'!$E17:INDEX('Milho 2ª safra'!$E17:$Z17,MIN(AY$6-$E$3,22))),0))-IF($G$2,0,IF((AY$6-$G$3)&lt;1,0,IFERROR(LOOKUP(2,1/('Milho 2ª safra'!$E17:INDEX('Milho 2ª safra'!$E17:$Z17,MIN(AY$6-$G$3,22))&lt;&gt;""),'Milho 2ª safra'!$E17:INDEX('Milho 2ª safra'!$E17:$Z17,MIN(AY$6-$G$3,22))),0)))))</f>
        <v>0</v>
      </c>
      <c r="AZ19" s="27" t="n">
        <f aca="false">IF(COUNT('Milho 2ª safra'!$E17:$Z17)=0,0,MAX(0,IF((AZ$6-$E$3)&lt;1,0,IFERROR(LOOKUP(2,1/('Milho 2ª safra'!$E17:INDEX('Milho 2ª safra'!$E17:$Z17,MIN(AZ$6-$E$3,22))&lt;&gt;""),'Milho 2ª safra'!$E17:INDEX('Milho 2ª safra'!$E17:$Z17,MIN(AZ$6-$E$3,22))),0))-IF($G$2,0,IF((AZ$6-$G$3)&lt;1,0,IFERROR(LOOKUP(2,1/('Milho 2ª safra'!$E17:INDEX('Milho 2ª safra'!$E17:$Z17,MIN(AZ$6-$G$3,22))&lt;&gt;""),'Milho 2ª safra'!$E17:INDEX('Milho 2ª safra'!$E17:$Z17,MIN(AZ$6-$G$3,22))),0)))))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IF(COUNT('Milho 2ª safra'!$E18:$Z18)&gt;0,N('Milho 2ª safra'!$D18),0)</f>
        <v>0</v>
      </c>
      <c r="E20" s="27" t="n">
        <f aca="false">IF(COUNT('Milho 2ª safra'!$E18:$Z18)=0,0,MAX(0,IF((E$6-$E$3)&lt;1,0,IFERROR(LOOKUP(2,1/('Milho 2ª safra'!$E18:INDEX('Milho 2ª safra'!$E18:$Z18,MIN(E$6-$E$3,22))&lt;&gt;""),'Milho 2ª safra'!$E18:INDEX('Milho 2ª safra'!$E18:$Z18,MIN(E$6-$E$3,22))),0))-IF($G$2,0,IF((E$6-$G$3)&lt;1,0,IFERROR(LOOKUP(2,1/('Milho 2ª safra'!$E18:INDEX('Milho 2ª safra'!$E18:$Z18,MIN(E$6-$G$3,22))&lt;&gt;""),'Milho 2ª safra'!$E18:INDEX('Milho 2ª safra'!$E18:$Z18,MIN(E$6-$G$3,22))),0)))))</f>
        <v>0</v>
      </c>
      <c r="F20" s="27" t="n">
        <f aca="false">IF(COUNT('Milho 2ª safra'!$E18:$Z18)=0,0,MAX(0,IF((F$6-$E$3)&lt;1,0,IFERROR(LOOKUP(2,1/('Milho 2ª safra'!$E18:INDEX('Milho 2ª safra'!$E18:$Z18,MIN(F$6-$E$3,22))&lt;&gt;""),'Milho 2ª safra'!$E18:INDEX('Milho 2ª safra'!$E18:$Z18,MIN(F$6-$E$3,22))),0))-IF($G$2,0,IF((F$6-$G$3)&lt;1,0,IFERROR(LOOKUP(2,1/('Milho 2ª safra'!$E18:INDEX('Milho 2ª safra'!$E18:$Z18,MIN(F$6-$G$3,22))&lt;&gt;""),'Milho 2ª safra'!$E18:INDEX('Milho 2ª safra'!$E18:$Z18,MIN(F$6-$G$3,22))),0)))))</f>
        <v>0</v>
      </c>
      <c r="G20" s="27" t="n">
        <f aca="false">IF(COUNT('Milho 2ª safra'!$E18:$Z18)=0,0,MAX(0,IF((G$6-$E$3)&lt;1,0,IFERROR(LOOKUP(2,1/('Milho 2ª safra'!$E18:INDEX('Milho 2ª safra'!$E18:$Z18,MIN(G$6-$E$3,22))&lt;&gt;""),'Milho 2ª safra'!$E18:INDEX('Milho 2ª safra'!$E18:$Z18,MIN(G$6-$E$3,22))),0))-IF($G$2,0,IF((G$6-$G$3)&lt;1,0,IFERROR(LOOKUP(2,1/('Milho 2ª safra'!$E18:INDEX('Milho 2ª safra'!$E18:$Z18,MIN(G$6-$G$3,22))&lt;&gt;""),'Milho 2ª safra'!$E18:INDEX('Milho 2ª safra'!$E18:$Z18,MIN(G$6-$G$3,22))),0)))))</f>
        <v>0</v>
      </c>
      <c r="H20" s="27" t="n">
        <f aca="false">IF(COUNT('Milho 2ª safra'!$E18:$Z18)=0,0,MAX(0,IF((H$6-$E$3)&lt;1,0,IFERROR(LOOKUP(2,1/('Milho 2ª safra'!$E18:INDEX('Milho 2ª safra'!$E18:$Z18,MIN(H$6-$E$3,22))&lt;&gt;""),'Milho 2ª safra'!$E18:INDEX('Milho 2ª safra'!$E18:$Z18,MIN(H$6-$E$3,22))),0))-IF($G$2,0,IF((H$6-$G$3)&lt;1,0,IFERROR(LOOKUP(2,1/('Milho 2ª safra'!$E18:INDEX('Milho 2ª safra'!$E18:$Z18,MIN(H$6-$G$3,22))&lt;&gt;""),'Milho 2ª safra'!$E18:INDEX('Milho 2ª safra'!$E18:$Z18,MIN(H$6-$G$3,22))),0)))))</f>
        <v>0</v>
      </c>
      <c r="I20" s="27" t="n">
        <f aca="false">IF(COUNT('Milho 2ª safra'!$E18:$Z18)=0,0,MAX(0,IF((I$6-$E$3)&lt;1,0,IFERROR(LOOKUP(2,1/('Milho 2ª safra'!$E18:INDEX('Milho 2ª safra'!$E18:$Z18,MIN(I$6-$E$3,22))&lt;&gt;""),'Milho 2ª safra'!$E18:INDEX('Milho 2ª safra'!$E18:$Z18,MIN(I$6-$E$3,22))),0))-IF($G$2,0,IF((I$6-$G$3)&lt;1,0,IFERROR(LOOKUP(2,1/('Milho 2ª safra'!$E18:INDEX('Milho 2ª safra'!$E18:$Z18,MIN(I$6-$G$3,22))&lt;&gt;""),'Milho 2ª safra'!$E18:INDEX('Milho 2ª safra'!$E18:$Z18,MIN(I$6-$G$3,22))),0)))))</f>
        <v>0</v>
      </c>
      <c r="J20" s="27" t="n">
        <f aca="false">IF(COUNT('Milho 2ª safra'!$E18:$Z18)=0,0,MAX(0,IF((J$6-$E$3)&lt;1,0,IFERROR(LOOKUP(2,1/('Milho 2ª safra'!$E18:INDEX('Milho 2ª safra'!$E18:$Z18,MIN(J$6-$E$3,22))&lt;&gt;""),'Milho 2ª safra'!$E18:INDEX('Milho 2ª safra'!$E18:$Z18,MIN(J$6-$E$3,22))),0))-IF($G$2,0,IF((J$6-$G$3)&lt;1,0,IFERROR(LOOKUP(2,1/('Milho 2ª safra'!$E18:INDEX('Milho 2ª safra'!$E18:$Z18,MIN(J$6-$G$3,22))&lt;&gt;""),'Milho 2ª safra'!$E18:INDEX('Milho 2ª safra'!$E18:$Z18,MIN(J$6-$G$3,22))),0)))))</f>
        <v>0</v>
      </c>
      <c r="K20" s="27" t="n">
        <f aca="false">IF(COUNT('Milho 2ª safra'!$E18:$Z18)=0,0,MAX(0,IF((K$6-$E$3)&lt;1,0,IFERROR(LOOKUP(2,1/('Milho 2ª safra'!$E18:INDEX('Milho 2ª safra'!$E18:$Z18,MIN(K$6-$E$3,22))&lt;&gt;""),'Milho 2ª safra'!$E18:INDEX('Milho 2ª safra'!$E18:$Z18,MIN(K$6-$E$3,22))),0))-IF($G$2,0,IF((K$6-$G$3)&lt;1,0,IFERROR(LOOKUP(2,1/('Milho 2ª safra'!$E18:INDEX('Milho 2ª safra'!$E18:$Z18,MIN(K$6-$G$3,22))&lt;&gt;""),'Milho 2ª safra'!$E18:INDEX('Milho 2ª safra'!$E18:$Z18,MIN(K$6-$G$3,22))),0)))))</f>
        <v>0</v>
      </c>
      <c r="L20" s="27" t="n">
        <f aca="false">IF(COUNT('Milho 2ª safra'!$E18:$Z18)=0,0,MAX(0,IF((L$6-$E$3)&lt;1,0,IFERROR(LOOKUP(2,1/('Milho 2ª safra'!$E18:INDEX('Milho 2ª safra'!$E18:$Z18,MIN(L$6-$E$3,22))&lt;&gt;""),'Milho 2ª safra'!$E18:INDEX('Milho 2ª safra'!$E18:$Z18,MIN(L$6-$E$3,22))),0))-IF($G$2,0,IF((L$6-$G$3)&lt;1,0,IFERROR(LOOKUP(2,1/('Milho 2ª safra'!$E18:INDEX('Milho 2ª safra'!$E18:$Z18,MIN(L$6-$G$3,22))&lt;&gt;""),'Milho 2ª safra'!$E18:INDEX('Milho 2ª safra'!$E18:$Z18,MIN(L$6-$G$3,22))),0)))))</f>
        <v>0</v>
      </c>
      <c r="M20" s="27" t="n">
        <f aca="false">IF(COUNT('Milho 2ª safra'!$E18:$Z18)=0,0,MAX(0,IF((M$6-$E$3)&lt;1,0,IFERROR(LOOKUP(2,1/('Milho 2ª safra'!$E18:INDEX('Milho 2ª safra'!$E18:$Z18,MIN(M$6-$E$3,22))&lt;&gt;""),'Milho 2ª safra'!$E18:INDEX('Milho 2ª safra'!$E18:$Z18,MIN(M$6-$E$3,22))),0))-IF($G$2,0,IF((M$6-$G$3)&lt;1,0,IFERROR(LOOKUP(2,1/('Milho 2ª safra'!$E18:INDEX('Milho 2ª safra'!$E18:$Z18,MIN(M$6-$G$3,22))&lt;&gt;""),'Milho 2ª safra'!$E18:INDEX('Milho 2ª safra'!$E18:$Z18,MIN(M$6-$G$3,22))),0)))))</f>
        <v>0</v>
      </c>
      <c r="N20" s="27" t="n">
        <f aca="false">IF(COUNT('Milho 2ª safra'!$E18:$Z18)=0,0,MAX(0,IF((N$6-$E$3)&lt;1,0,IFERROR(LOOKUP(2,1/('Milho 2ª safra'!$E18:INDEX('Milho 2ª safra'!$E18:$Z18,MIN(N$6-$E$3,22))&lt;&gt;""),'Milho 2ª safra'!$E18:INDEX('Milho 2ª safra'!$E18:$Z18,MIN(N$6-$E$3,22))),0))-IF($G$2,0,IF((N$6-$G$3)&lt;1,0,IFERROR(LOOKUP(2,1/('Milho 2ª safra'!$E18:INDEX('Milho 2ª safra'!$E18:$Z18,MIN(N$6-$G$3,22))&lt;&gt;""),'Milho 2ª safra'!$E18:INDEX('Milho 2ª safra'!$E18:$Z18,MIN(N$6-$G$3,22))),0)))))</f>
        <v>0</v>
      </c>
      <c r="O20" s="27" t="n">
        <f aca="false">IF(COUNT('Milho 2ª safra'!$E18:$Z18)=0,0,MAX(0,IF((O$6-$E$3)&lt;1,0,IFERROR(LOOKUP(2,1/('Milho 2ª safra'!$E18:INDEX('Milho 2ª safra'!$E18:$Z18,MIN(O$6-$E$3,22))&lt;&gt;""),'Milho 2ª safra'!$E18:INDEX('Milho 2ª safra'!$E18:$Z18,MIN(O$6-$E$3,22))),0))-IF($G$2,0,IF((O$6-$G$3)&lt;1,0,IFERROR(LOOKUP(2,1/('Milho 2ª safra'!$E18:INDEX('Milho 2ª safra'!$E18:$Z18,MIN(O$6-$G$3,22))&lt;&gt;""),'Milho 2ª safra'!$E18:INDEX('Milho 2ª safra'!$E18:$Z18,MIN(O$6-$G$3,22))),0)))))</f>
        <v>0</v>
      </c>
      <c r="P20" s="27" t="n">
        <f aca="false">IF(COUNT('Milho 2ª safra'!$E18:$Z18)=0,0,MAX(0,IF((P$6-$E$3)&lt;1,0,IFERROR(LOOKUP(2,1/('Milho 2ª safra'!$E18:INDEX('Milho 2ª safra'!$E18:$Z18,MIN(P$6-$E$3,22))&lt;&gt;""),'Milho 2ª safra'!$E18:INDEX('Milho 2ª safra'!$E18:$Z18,MIN(P$6-$E$3,22))),0))-IF($G$2,0,IF((P$6-$G$3)&lt;1,0,IFERROR(LOOKUP(2,1/('Milho 2ª safra'!$E18:INDEX('Milho 2ª safra'!$E18:$Z18,MIN(P$6-$G$3,22))&lt;&gt;""),'Milho 2ª safra'!$E18:INDEX('Milho 2ª safra'!$E18:$Z18,MIN(P$6-$G$3,22))),0)))))</f>
        <v>0</v>
      </c>
      <c r="Q20" s="27" t="n">
        <f aca="false">IF(COUNT('Milho 2ª safra'!$E18:$Z18)=0,0,MAX(0,IF((Q$6-$E$3)&lt;1,0,IFERROR(LOOKUP(2,1/('Milho 2ª safra'!$E18:INDEX('Milho 2ª safra'!$E18:$Z18,MIN(Q$6-$E$3,22))&lt;&gt;""),'Milho 2ª safra'!$E18:INDEX('Milho 2ª safra'!$E18:$Z18,MIN(Q$6-$E$3,22))),0))-IF($G$2,0,IF((Q$6-$G$3)&lt;1,0,IFERROR(LOOKUP(2,1/('Milho 2ª safra'!$E18:INDEX('Milho 2ª safra'!$E18:$Z18,MIN(Q$6-$G$3,22))&lt;&gt;""),'Milho 2ª safra'!$E18:INDEX('Milho 2ª safra'!$E18:$Z18,MIN(Q$6-$G$3,22))),0)))))</f>
        <v>0</v>
      </c>
      <c r="R20" s="27" t="n">
        <f aca="false">IF(COUNT('Milho 2ª safra'!$E18:$Z18)=0,0,MAX(0,IF((R$6-$E$3)&lt;1,0,IFERROR(LOOKUP(2,1/('Milho 2ª safra'!$E18:INDEX('Milho 2ª safra'!$E18:$Z18,MIN(R$6-$E$3,22))&lt;&gt;""),'Milho 2ª safra'!$E18:INDEX('Milho 2ª safra'!$E18:$Z18,MIN(R$6-$E$3,22))),0))-IF($G$2,0,IF((R$6-$G$3)&lt;1,0,IFERROR(LOOKUP(2,1/('Milho 2ª safra'!$E18:INDEX('Milho 2ª safra'!$E18:$Z18,MIN(R$6-$G$3,22))&lt;&gt;""),'Milho 2ª safra'!$E18:INDEX('Milho 2ª safra'!$E18:$Z18,MIN(R$6-$G$3,22))),0)))))</f>
        <v>0</v>
      </c>
      <c r="S20" s="27" t="n">
        <f aca="false">IF(COUNT('Milho 2ª safra'!$E18:$Z18)=0,0,MAX(0,IF((S$6-$E$3)&lt;1,0,IFERROR(LOOKUP(2,1/('Milho 2ª safra'!$E18:INDEX('Milho 2ª safra'!$E18:$Z18,MIN(S$6-$E$3,22))&lt;&gt;""),'Milho 2ª safra'!$E18:INDEX('Milho 2ª safra'!$E18:$Z18,MIN(S$6-$E$3,22))),0))-IF($G$2,0,IF((S$6-$G$3)&lt;1,0,IFERROR(LOOKUP(2,1/('Milho 2ª safra'!$E18:INDEX('Milho 2ª safra'!$E18:$Z18,MIN(S$6-$G$3,22))&lt;&gt;""),'Milho 2ª safra'!$E18:INDEX('Milho 2ª safra'!$E18:$Z18,MIN(S$6-$G$3,22))),0)))))</f>
        <v>0</v>
      </c>
      <c r="T20" s="27" t="n">
        <f aca="false">IF(COUNT('Milho 2ª safra'!$E18:$Z18)=0,0,MAX(0,IF((T$6-$E$3)&lt;1,0,IFERROR(LOOKUP(2,1/('Milho 2ª safra'!$E18:INDEX('Milho 2ª safra'!$E18:$Z18,MIN(T$6-$E$3,22))&lt;&gt;""),'Milho 2ª safra'!$E18:INDEX('Milho 2ª safra'!$E18:$Z18,MIN(T$6-$E$3,22))),0))-IF($G$2,0,IF((T$6-$G$3)&lt;1,0,IFERROR(LOOKUP(2,1/('Milho 2ª safra'!$E18:INDEX('Milho 2ª safra'!$E18:$Z18,MIN(T$6-$G$3,22))&lt;&gt;""),'Milho 2ª safra'!$E18:INDEX('Milho 2ª safra'!$E18:$Z18,MIN(T$6-$G$3,22))),0)))))</f>
        <v>0</v>
      </c>
      <c r="U20" s="27" t="n">
        <f aca="false">IF(COUNT('Milho 2ª safra'!$E18:$Z18)=0,0,MAX(0,IF((U$6-$E$3)&lt;1,0,IFERROR(LOOKUP(2,1/('Milho 2ª safra'!$E18:INDEX('Milho 2ª safra'!$E18:$Z18,MIN(U$6-$E$3,22))&lt;&gt;""),'Milho 2ª safra'!$E18:INDEX('Milho 2ª safra'!$E18:$Z18,MIN(U$6-$E$3,22))),0))-IF($G$2,0,IF((U$6-$G$3)&lt;1,0,IFERROR(LOOKUP(2,1/('Milho 2ª safra'!$E18:INDEX('Milho 2ª safra'!$E18:$Z18,MIN(U$6-$G$3,22))&lt;&gt;""),'Milho 2ª safra'!$E18:INDEX('Milho 2ª safra'!$E18:$Z18,MIN(U$6-$G$3,22))),0)))))</f>
        <v>0</v>
      </c>
      <c r="V20" s="27" t="n">
        <f aca="false">IF(COUNT('Milho 2ª safra'!$E18:$Z18)=0,0,MAX(0,IF((V$6-$E$3)&lt;1,0,IFERROR(LOOKUP(2,1/('Milho 2ª safra'!$E18:INDEX('Milho 2ª safra'!$E18:$Z18,MIN(V$6-$E$3,22))&lt;&gt;""),'Milho 2ª safra'!$E18:INDEX('Milho 2ª safra'!$E18:$Z18,MIN(V$6-$E$3,22))),0))-IF($G$2,0,IF((V$6-$G$3)&lt;1,0,IFERROR(LOOKUP(2,1/('Milho 2ª safra'!$E18:INDEX('Milho 2ª safra'!$E18:$Z18,MIN(V$6-$G$3,22))&lt;&gt;""),'Milho 2ª safra'!$E18:INDEX('Milho 2ª safra'!$E18:$Z18,MIN(V$6-$G$3,22))),0)))))</f>
        <v>0</v>
      </c>
      <c r="W20" s="27" t="n">
        <f aca="false">IF(COUNT('Milho 2ª safra'!$E18:$Z18)=0,0,MAX(0,IF((W$6-$E$3)&lt;1,0,IFERROR(LOOKUP(2,1/('Milho 2ª safra'!$E18:INDEX('Milho 2ª safra'!$E18:$Z18,MIN(W$6-$E$3,22))&lt;&gt;""),'Milho 2ª safra'!$E18:INDEX('Milho 2ª safra'!$E18:$Z18,MIN(W$6-$E$3,22))),0))-IF($G$2,0,IF((W$6-$G$3)&lt;1,0,IFERROR(LOOKUP(2,1/('Milho 2ª safra'!$E18:INDEX('Milho 2ª safra'!$E18:$Z18,MIN(W$6-$G$3,22))&lt;&gt;""),'Milho 2ª safra'!$E18:INDEX('Milho 2ª safra'!$E18:$Z18,MIN(W$6-$G$3,22))),0)))))</f>
        <v>0</v>
      </c>
      <c r="X20" s="27" t="n">
        <f aca="false">IF(COUNT('Milho 2ª safra'!$E18:$Z18)=0,0,MAX(0,IF((X$6-$E$3)&lt;1,0,IFERROR(LOOKUP(2,1/('Milho 2ª safra'!$E18:INDEX('Milho 2ª safra'!$E18:$Z18,MIN(X$6-$E$3,22))&lt;&gt;""),'Milho 2ª safra'!$E18:INDEX('Milho 2ª safra'!$E18:$Z18,MIN(X$6-$E$3,22))),0))-IF($G$2,0,IF((X$6-$G$3)&lt;1,0,IFERROR(LOOKUP(2,1/('Milho 2ª safra'!$E18:INDEX('Milho 2ª safra'!$E18:$Z18,MIN(X$6-$G$3,22))&lt;&gt;""),'Milho 2ª safra'!$E18:INDEX('Milho 2ª safra'!$E18:$Z18,MIN(X$6-$G$3,22))),0)))))</f>
        <v>0</v>
      </c>
      <c r="Y20" s="27" t="n">
        <f aca="false">IF(COUNT('Milho 2ª safra'!$E18:$Z18)=0,0,MAX(0,IF((Y$6-$E$3)&lt;1,0,IFERROR(LOOKUP(2,1/('Milho 2ª safra'!$E18:INDEX('Milho 2ª safra'!$E18:$Z18,MIN(Y$6-$E$3,22))&lt;&gt;""),'Milho 2ª safra'!$E18:INDEX('Milho 2ª safra'!$E18:$Z18,MIN(Y$6-$E$3,22))),0))-IF($G$2,0,IF((Y$6-$G$3)&lt;1,0,IFERROR(LOOKUP(2,1/('Milho 2ª safra'!$E18:INDEX('Milho 2ª safra'!$E18:$Z18,MIN(Y$6-$G$3,22))&lt;&gt;""),'Milho 2ª safra'!$E18:INDEX('Milho 2ª safra'!$E18:$Z18,MIN(Y$6-$G$3,22))),0)))))</f>
        <v>0</v>
      </c>
      <c r="Z20" s="27" t="n">
        <f aca="false">IF(COUNT('Milho 2ª safra'!$E18:$Z18)=0,0,MAX(0,IF((Z$6-$E$3)&lt;1,0,IFERROR(LOOKUP(2,1/('Milho 2ª safra'!$E18:INDEX('Milho 2ª safra'!$E18:$Z18,MIN(Z$6-$E$3,22))&lt;&gt;""),'Milho 2ª safra'!$E18:INDEX('Milho 2ª safra'!$E18:$Z18,MIN(Z$6-$E$3,22))),0))-IF($G$2,0,IF((Z$6-$G$3)&lt;1,0,IFERROR(LOOKUP(2,1/('Milho 2ª safra'!$E18:INDEX('Milho 2ª safra'!$E18:$Z18,MIN(Z$6-$G$3,22))&lt;&gt;""),'Milho 2ª safra'!$E18:INDEX('Milho 2ª safra'!$E18:$Z18,MIN(Z$6-$G$3,22))),0)))))</f>
        <v>0</v>
      </c>
      <c r="AA20" s="27" t="n">
        <f aca="false">IF(COUNT('Milho 2ª safra'!$E18:$Z18)=0,0,MAX(0,IF((AA$6-$E$3)&lt;1,0,IFERROR(LOOKUP(2,1/('Milho 2ª safra'!$E18:INDEX('Milho 2ª safra'!$E18:$Z18,MIN(AA$6-$E$3,22))&lt;&gt;""),'Milho 2ª safra'!$E18:INDEX('Milho 2ª safra'!$E18:$Z18,MIN(AA$6-$E$3,22))),0))-IF($G$2,0,IF((AA$6-$G$3)&lt;1,0,IFERROR(LOOKUP(2,1/('Milho 2ª safra'!$E18:INDEX('Milho 2ª safra'!$E18:$Z18,MIN(AA$6-$G$3,22))&lt;&gt;""),'Milho 2ª safra'!$E18:INDEX('Milho 2ª safra'!$E18:$Z18,MIN(AA$6-$G$3,22))),0)))))</f>
        <v>0</v>
      </c>
      <c r="AB20" s="27" t="n">
        <f aca="false">IF(COUNT('Milho 2ª safra'!$E18:$Z18)=0,0,MAX(0,IF((AB$6-$E$3)&lt;1,0,IFERROR(LOOKUP(2,1/('Milho 2ª safra'!$E18:INDEX('Milho 2ª safra'!$E18:$Z18,MIN(AB$6-$E$3,22))&lt;&gt;""),'Milho 2ª safra'!$E18:INDEX('Milho 2ª safra'!$E18:$Z18,MIN(AB$6-$E$3,22))),0))-IF($G$2,0,IF((AB$6-$G$3)&lt;1,0,IFERROR(LOOKUP(2,1/('Milho 2ª safra'!$E18:INDEX('Milho 2ª safra'!$E18:$Z18,MIN(AB$6-$G$3,22))&lt;&gt;""),'Milho 2ª safra'!$E18:INDEX('Milho 2ª safra'!$E18:$Z18,MIN(AB$6-$G$3,22))),0)))))</f>
        <v>0</v>
      </c>
      <c r="AC20" s="27" t="n">
        <f aca="false">IF(COUNT('Milho 2ª safra'!$E18:$Z18)=0,0,MAX(0,IF((AC$6-$E$3)&lt;1,0,IFERROR(LOOKUP(2,1/('Milho 2ª safra'!$E18:INDEX('Milho 2ª safra'!$E18:$Z18,MIN(AC$6-$E$3,22))&lt;&gt;""),'Milho 2ª safra'!$E18:INDEX('Milho 2ª safra'!$E18:$Z18,MIN(AC$6-$E$3,22))),0))-IF($G$2,0,IF((AC$6-$G$3)&lt;1,0,IFERROR(LOOKUP(2,1/('Milho 2ª safra'!$E18:INDEX('Milho 2ª safra'!$E18:$Z18,MIN(AC$6-$G$3,22))&lt;&gt;""),'Milho 2ª safra'!$E18:INDEX('Milho 2ª safra'!$E18:$Z18,MIN(AC$6-$G$3,22))),0)))))</f>
        <v>0</v>
      </c>
      <c r="AD20" s="27" t="n">
        <f aca="false">IF(COUNT('Milho 2ª safra'!$E18:$Z18)=0,0,MAX(0,IF((AD$6-$E$3)&lt;1,0,IFERROR(LOOKUP(2,1/('Milho 2ª safra'!$E18:INDEX('Milho 2ª safra'!$E18:$Z18,MIN(AD$6-$E$3,22))&lt;&gt;""),'Milho 2ª safra'!$E18:INDEX('Milho 2ª safra'!$E18:$Z18,MIN(AD$6-$E$3,22))),0))-IF($G$2,0,IF((AD$6-$G$3)&lt;1,0,IFERROR(LOOKUP(2,1/('Milho 2ª safra'!$E18:INDEX('Milho 2ª safra'!$E18:$Z18,MIN(AD$6-$G$3,22))&lt;&gt;""),'Milho 2ª safra'!$E18:INDEX('Milho 2ª safra'!$E18:$Z18,MIN(AD$6-$G$3,22))),0)))))</f>
        <v>0</v>
      </c>
      <c r="AE20" s="27" t="n">
        <f aca="false">IF(COUNT('Milho 2ª safra'!$E18:$Z18)=0,0,MAX(0,IF((AE$6-$E$3)&lt;1,0,IFERROR(LOOKUP(2,1/('Milho 2ª safra'!$E18:INDEX('Milho 2ª safra'!$E18:$Z18,MIN(AE$6-$E$3,22))&lt;&gt;""),'Milho 2ª safra'!$E18:INDEX('Milho 2ª safra'!$E18:$Z18,MIN(AE$6-$E$3,22))),0))-IF($G$2,0,IF((AE$6-$G$3)&lt;1,0,IFERROR(LOOKUP(2,1/('Milho 2ª safra'!$E18:INDEX('Milho 2ª safra'!$E18:$Z18,MIN(AE$6-$G$3,22))&lt;&gt;""),'Milho 2ª safra'!$E18:INDEX('Milho 2ª safra'!$E18:$Z18,MIN(AE$6-$G$3,22))),0)))))</f>
        <v>0</v>
      </c>
      <c r="AF20" s="27" t="n">
        <f aca="false">IF(COUNT('Milho 2ª safra'!$E18:$Z18)=0,0,MAX(0,IF((AF$6-$E$3)&lt;1,0,IFERROR(LOOKUP(2,1/('Milho 2ª safra'!$E18:INDEX('Milho 2ª safra'!$E18:$Z18,MIN(AF$6-$E$3,22))&lt;&gt;""),'Milho 2ª safra'!$E18:INDEX('Milho 2ª safra'!$E18:$Z18,MIN(AF$6-$E$3,22))),0))-IF($G$2,0,IF((AF$6-$G$3)&lt;1,0,IFERROR(LOOKUP(2,1/('Milho 2ª safra'!$E18:INDEX('Milho 2ª safra'!$E18:$Z18,MIN(AF$6-$G$3,22))&lt;&gt;""),'Milho 2ª safra'!$E18:INDEX('Milho 2ª safra'!$E18:$Z18,MIN(AF$6-$G$3,22))),0)))))</f>
        <v>0</v>
      </c>
      <c r="AG20" s="27" t="n">
        <f aca="false">IF(COUNT('Milho 2ª safra'!$E18:$Z18)=0,0,MAX(0,IF((AG$6-$E$3)&lt;1,0,IFERROR(LOOKUP(2,1/('Milho 2ª safra'!$E18:INDEX('Milho 2ª safra'!$E18:$Z18,MIN(AG$6-$E$3,22))&lt;&gt;""),'Milho 2ª safra'!$E18:INDEX('Milho 2ª safra'!$E18:$Z18,MIN(AG$6-$E$3,22))),0))-IF($G$2,0,IF((AG$6-$G$3)&lt;1,0,IFERROR(LOOKUP(2,1/('Milho 2ª safra'!$E18:INDEX('Milho 2ª safra'!$E18:$Z18,MIN(AG$6-$G$3,22))&lt;&gt;""),'Milho 2ª safra'!$E18:INDEX('Milho 2ª safra'!$E18:$Z18,MIN(AG$6-$G$3,22))),0)))))</f>
        <v>0</v>
      </c>
      <c r="AH20" s="27" t="n">
        <f aca="false">IF(COUNT('Milho 2ª safra'!$E18:$Z18)=0,0,MAX(0,IF((AH$6-$E$3)&lt;1,0,IFERROR(LOOKUP(2,1/('Milho 2ª safra'!$E18:INDEX('Milho 2ª safra'!$E18:$Z18,MIN(AH$6-$E$3,22))&lt;&gt;""),'Milho 2ª safra'!$E18:INDEX('Milho 2ª safra'!$E18:$Z18,MIN(AH$6-$E$3,22))),0))-IF($G$2,0,IF((AH$6-$G$3)&lt;1,0,IFERROR(LOOKUP(2,1/('Milho 2ª safra'!$E18:INDEX('Milho 2ª safra'!$E18:$Z18,MIN(AH$6-$G$3,22))&lt;&gt;""),'Milho 2ª safra'!$E18:INDEX('Milho 2ª safra'!$E18:$Z18,MIN(AH$6-$G$3,22))),0)))))</f>
        <v>0</v>
      </c>
      <c r="AI20" s="27" t="n">
        <f aca="false">IF(COUNT('Milho 2ª safra'!$E18:$Z18)=0,0,MAX(0,IF((AI$6-$E$3)&lt;1,0,IFERROR(LOOKUP(2,1/('Milho 2ª safra'!$E18:INDEX('Milho 2ª safra'!$E18:$Z18,MIN(AI$6-$E$3,22))&lt;&gt;""),'Milho 2ª safra'!$E18:INDEX('Milho 2ª safra'!$E18:$Z18,MIN(AI$6-$E$3,22))),0))-IF($G$2,0,IF((AI$6-$G$3)&lt;1,0,IFERROR(LOOKUP(2,1/('Milho 2ª safra'!$E18:INDEX('Milho 2ª safra'!$E18:$Z18,MIN(AI$6-$G$3,22))&lt;&gt;""),'Milho 2ª safra'!$E18:INDEX('Milho 2ª safra'!$E18:$Z18,MIN(AI$6-$G$3,22))),0)))))</f>
        <v>0</v>
      </c>
      <c r="AJ20" s="27" t="n">
        <f aca="false">IF(COUNT('Milho 2ª safra'!$E18:$Z18)=0,0,MAX(0,IF((AJ$6-$E$3)&lt;1,0,IFERROR(LOOKUP(2,1/('Milho 2ª safra'!$E18:INDEX('Milho 2ª safra'!$E18:$Z18,MIN(AJ$6-$E$3,22))&lt;&gt;""),'Milho 2ª safra'!$E18:INDEX('Milho 2ª safra'!$E18:$Z18,MIN(AJ$6-$E$3,22))),0))-IF($G$2,0,IF((AJ$6-$G$3)&lt;1,0,IFERROR(LOOKUP(2,1/('Milho 2ª safra'!$E18:INDEX('Milho 2ª safra'!$E18:$Z18,MIN(AJ$6-$G$3,22))&lt;&gt;""),'Milho 2ª safra'!$E18:INDEX('Milho 2ª safra'!$E18:$Z18,MIN(AJ$6-$G$3,22))),0)))))</f>
        <v>0</v>
      </c>
      <c r="AK20" s="27" t="n">
        <f aca="false">IF(COUNT('Milho 2ª safra'!$E18:$Z18)=0,0,MAX(0,IF((AK$6-$E$3)&lt;1,0,IFERROR(LOOKUP(2,1/('Milho 2ª safra'!$E18:INDEX('Milho 2ª safra'!$E18:$Z18,MIN(AK$6-$E$3,22))&lt;&gt;""),'Milho 2ª safra'!$E18:INDEX('Milho 2ª safra'!$E18:$Z18,MIN(AK$6-$E$3,22))),0))-IF($G$2,0,IF((AK$6-$G$3)&lt;1,0,IFERROR(LOOKUP(2,1/('Milho 2ª safra'!$E18:INDEX('Milho 2ª safra'!$E18:$Z18,MIN(AK$6-$G$3,22))&lt;&gt;""),'Milho 2ª safra'!$E18:INDEX('Milho 2ª safra'!$E18:$Z18,MIN(AK$6-$G$3,22))),0)))))</f>
        <v>0</v>
      </c>
      <c r="AL20" s="27" t="n">
        <f aca="false">IF(COUNT('Milho 2ª safra'!$E18:$Z18)=0,0,MAX(0,IF((AL$6-$E$3)&lt;1,0,IFERROR(LOOKUP(2,1/('Milho 2ª safra'!$E18:INDEX('Milho 2ª safra'!$E18:$Z18,MIN(AL$6-$E$3,22))&lt;&gt;""),'Milho 2ª safra'!$E18:INDEX('Milho 2ª safra'!$E18:$Z18,MIN(AL$6-$E$3,22))),0))-IF($G$2,0,IF((AL$6-$G$3)&lt;1,0,IFERROR(LOOKUP(2,1/('Milho 2ª safra'!$E18:INDEX('Milho 2ª safra'!$E18:$Z18,MIN(AL$6-$G$3,22))&lt;&gt;""),'Milho 2ª safra'!$E18:INDEX('Milho 2ª safra'!$E18:$Z18,MIN(AL$6-$G$3,22))),0)))))</f>
        <v>0</v>
      </c>
      <c r="AM20" s="27" t="n">
        <f aca="false">IF(COUNT('Milho 2ª safra'!$E18:$Z18)=0,0,MAX(0,IF((AM$6-$E$3)&lt;1,0,IFERROR(LOOKUP(2,1/('Milho 2ª safra'!$E18:INDEX('Milho 2ª safra'!$E18:$Z18,MIN(AM$6-$E$3,22))&lt;&gt;""),'Milho 2ª safra'!$E18:INDEX('Milho 2ª safra'!$E18:$Z18,MIN(AM$6-$E$3,22))),0))-IF($G$2,0,IF((AM$6-$G$3)&lt;1,0,IFERROR(LOOKUP(2,1/('Milho 2ª safra'!$E18:INDEX('Milho 2ª safra'!$E18:$Z18,MIN(AM$6-$G$3,22))&lt;&gt;""),'Milho 2ª safra'!$E18:INDEX('Milho 2ª safra'!$E18:$Z18,MIN(AM$6-$G$3,22))),0)))))</f>
        <v>0</v>
      </c>
      <c r="AN20" s="27" t="n">
        <f aca="false">IF(COUNT('Milho 2ª safra'!$E18:$Z18)=0,0,MAX(0,IF((AN$6-$E$3)&lt;1,0,IFERROR(LOOKUP(2,1/('Milho 2ª safra'!$E18:INDEX('Milho 2ª safra'!$E18:$Z18,MIN(AN$6-$E$3,22))&lt;&gt;""),'Milho 2ª safra'!$E18:INDEX('Milho 2ª safra'!$E18:$Z18,MIN(AN$6-$E$3,22))),0))-IF($G$2,0,IF((AN$6-$G$3)&lt;1,0,IFERROR(LOOKUP(2,1/('Milho 2ª safra'!$E18:INDEX('Milho 2ª safra'!$E18:$Z18,MIN(AN$6-$G$3,22))&lt;&gt;""),'Milho 2ª safra'!$E18:INDEX('Milho 2ª safra'!$E18:$Z18,MIN(AN$6-$G$3,22))),0)))))</f>
        <v>0</v>
      </c>
      <c r="AO20" s="27" t="n">
        <f aca="false">IF(COUNT('Milho 2ª safra'!$E18:$Z18)=0,0,MAX(0,IF((AO$6-$E$3)&lt;1,0,IFERROR(LOOKUP(2,1/('Milho 2ª safra'!$E18:INDEX('Milho 2ª safra'!$E18:$Z18,MIN(AO$6-$E$3,22))&lt;&gt;""),'Milho 2ª safra'!$E18:INDEX('Milho 2ª safra'!$E18:$Z18,MIN(AO$6-$E$3,22))),0))-IF($G$2,0,IF((AO$6-$G$3)&lt;1,0,IFERROR(LOOKUP(2,1/('Milho 2ª safra'!$E18:INDEX('Milho 2ª safra'!$E18:$Z18,MIN(AO$6-$G$3,22))&lt;&gt;""),'Milho 2ª safra'!$E18:INDEX('Milho 2ª safra'!$E18:$Z18,MIN(AO$6-$G$3,22))),0)))))</f>
        <v>0</v>
      </c>
      <c r="AP20" s="27" t="n">
        <f aca="false">IF(COUNT('Milho 2ª safra'!$E18:$Z18)=0,0,MAX(0,IF((AP$6-$E$3)&lt;1,0,IFERROR(LOOKUP(2,1/('Milho 2ª safra'!$E18:INDEX('Milho 2ª safra'!$E18:$Z18,MIN(AP$6-$E$3,22))&lt;&gt;""),'Milho 2ª safra'!$E18:INDEX('Milho 2ª safra'!$E18:$Z18,MIN(AP$6-$E$3,22))),0))-IF($G$2,0,IF((AP$6-$G$3)&lt;1,0,IFERROR(LOOKUP(2,1/('Milho 2ª safra'!$E18:INDEX('Milho 2ª safra'!$E18:$Z18,MIN(AP$6-$G$3,22))&lt;&gt;""),'Milho 2ª safra'!$E18:INDEX('Milho 2ª safra'!$E18:$Z18,MIN(AP$6-$G$3,22))),0)))))</f>
        <v>0</v>
      </c>
      <c r="AQ20" s="27" t="n">
        <f aca="false">IF(COUNT('Milho 2ª safra'!$E18:$Z18)=0,0,MAX(0,IF((AQ$6-$E$3)&lt;1,0,IFERROR(LOOKUP(2,1/('Milho 2ª safra'!$E18:INDEX('Milho 2ª safra'!$E18:$Z18,MIN(AQ$6-$E$3,22))&lt;&gt;""),'Milho 2ª safra'!$E18:INDEX('Milho 2ª safra'!$E18:$Z18,MIN(AQ$6-$E$3,22))),0))-IF($G$2,0,IF((AQ$6-$G$3)&lt;1,0,IFERROR(LOOKUP(2,1/('Milho 2ª safra'!$E18:INDEX('Milho 2ª safra'!$E18:$Z18,MIN(AQ$6-$G$3,22))&lt;&gt;""),'Milho 2ª safra'!$E18:INDEX('Milho 2ª safra'!$E18:$Z18,MIN(AQ$6-$G$3,22))),0)))))</f>
        <v>0</v>
      </c>
      <c r="AR20" s="27" t="n">
        <f aca="false">IF(COUNT('Milho 2ª safra'!$E18:$Z18)=0,0,MAX(0,IF((AR$6-$E$3)&lt;1,0,IFERROR(LOOKUP(2,1/('Milho 2ª safra'!$E18:INDEX('Milho 2ª safra'!$E18:$Z18,MIN(AR$6-$E$3,22))&lt;&gt;""),'Milho 2ª safra'!$E18:INDEX('Milho 2ª safra'!$E18:$Z18,MIN(AR$6-$E$3,22))),0))-IF($G$2,0,IF((AR$6-$G$3)&lt;1,0,IFERROR(LOOKUP(2,1/('Milho 2ª safra'!$E18:INDEX('Milho 2ª safra'!$E18:$Z18,MIN(AR$6-$G$3,22))&lt;&gt;""),'Milho 2ª safra'!$E18:INDEX('Milho 2ª safra'!$E18:$Z18,MIN(AR$6-$G$3,22))),0)))))</f>
        <v>0</v>
      </c>
      <c r="AS20" s="27" t="n">
        <f aca="false">IF(COUNT('Milho 2ª safra'!$E18:$Z18)=0,0,MAX(0,IF((AS$6-$E$3)&lt;1,0,IFERROR(LOOKUP(2,1/('Milho 2ª safra'!$E18:INDEX('Milho 2ª safra'!$E18:$Z18,MIN(AS$6-$E$3,22))&lt;&gt;""),'Milho 2ª safra'!$E18:INDEX('Milho 2ª safra'!$E18:$Z18,MIN(AS$6-$E$3,22))),0))-IF($G$2,0,IF((AS$6-$G$3)&lt;1,0,IFERROR(LOOKUP(2,1/('Milho 2ª safra'!$E18:INDEX('Milho 2ª safra'!$E18:$Z18,MIN(AS$6-$G$3,22))&lt;&gt;""),'Milho 2ª safra'!$E18:INDEX('Milho 2ª safra'!$E18:$Z18,MIN(AS$6-$G$3,22))),0)))))</f>
        <v>0</v>
      </c>
      <c r="AT20" s="27" t="n">
        <f aca="false">IF(COUNT('Milho 2ª safra'!$E18:$Z18)=0,0,MAX(0,IF((AT$6-$E$3)&lt;1,0,IFERROR(LOOKUP(2,1/('Milho 2ª safra'!$E18:INDEX('Milho 2ª safra'!$E18:$Z18,MIN(AT$6-$E$3,22))&lt;&gt;""),'Milho 2ª safra'!$E18:INDEX('Milho 2ª safra'!$E18:$Z18,MIN(AT$6-$E$3,22))),0))-IF($G$2,0,IF((AT$6-$G$3)&lt;1,0,IFERROR(LOOKUP(2,1/('Milho 2ª safra'!$E18:INDEX('Milho 2ª safra'!$E18:$Z18,MIN(AT$6-$G$3,22))&lt;&gt;""),'Milho 2ª safra'!$E18:INDEX('Milho 2ª safra'!$E18:$Z18,MIN(AT$6-$G$3,22))),0)))))</f>
        <v>0</v>
      </c>
      <c r="AU20" s="27" t="n">
        <f aca="false">IF(COUNT('Milho 2ª safra'!$E18:$Z18)=0,0,MAX(0,IF((AU$6-$E$3)&lt;1,0,IFERROR(LOOKUP(2,1/('Milho 2ª safra'!$E18:INDEX('Milho 2ª safra'!$E18:$Z18,MIN(AU$6-$E$3,22))&lt;&gt;""),'Milho 2ª safra'!$E18:INDEX('Milho 2ª safra'!$E18:$Z18,MIN(AU$6-$E$3,22))),0))-IF($G$2,0,IF((AU$6-$G$3)&lt;1,0,IFERROR(LOOKUP(2,1/('Milho 2ª safra'!$E18:INDEX('Milho 2ª safra'!$E18:$Z18,MIN(AU$6-$G$3,22))&lt;&gt;""),'Milho 2ª safra'!$E18:INDEX('Milho 2ª safra'!$E18:$Z18,MIN(AU$6-$G$3,22))),0)))))</f>
        <v>0</v>
      </c>
      <c r="AV20" s="27" t="n">
        <f aca="false">IF(COUNT('Milho 2ª safra'!$E18:$Z18)=0,0,MAX(0,IF((AV$6-$E$3)&lt;1,0,IFERROR(LOOKUP(2,1/('Milho 2ª safra'!$E18:INDEX('Milho 2ª safra'!$E18:$Z18,MIN(AV$6-$E$3,22))&lt;&gt;""),'Milho 2ª safra'!$E18:INDEX('Milho 2ª safra'!$E18:$Z18,MIN(AV$6-$E$3,22))),0))-IF($G$2,0,IF((AV$6-$G$3)&lt;1,0,IFERROR(LOOKUP(2,1/('Milho 2ª safra'!$E18:INDEX('Milho 2ª safra'!$E18:$Z18,MIN(AV$6-$G$3,22))&lt;&gt;""),'Milho 2ª safra'!$E18:INDEX('Milho 2ª safra'!$E18:$Z18,MIN(AV$6-$G$3,22))),0)))))</f>
        <v>0</v>
      </c>
      <c r="AW20" s="27" t="n">
        <f aca="false">IF(COUNT('Milho 2ª safra'!$E18:$Z18)=0,0,MAX(0,IF((AW$6-$E$3)&lt;1,0,IFERROR(LOOKUP(2,1/('Milho 2ª safra'!$E18:INDEX('Milho 2ª safra'!$E18:$Z18,MIN(AW$6-$E$3,22))&lt;&gt;""),'Milho 2ª safra'!$E18:INDEX('Milho 2ª safra'!$E18:$Z18,MIN(AW$6-$E$3,22))),0))-IF($G$2,0,IF((AW$6-$G$3)&lt;1,0,IFERROR(LOOKUP(2,1/('Milho 2ª safra'!$E18:INDEX('Milho 2ª safra'!$E18:$Z18,MIN(AW$6-$G$3,22))&lt;&gt;""),'Milho 2ª safra'!$E18:INDEX('Milho 2ª safra'!$E18:$Z18,MIN(AW$6-$G$3,22))),0)))))</f>
        <v>0</v>
      </c>
      <c r="AX20" s="27" t="n">
        <f aca="false">IF(COUNT('Milho 2ª safra'!$E18:$Z18)=0,0,MAX(0,IF((AX$6-$E$3)&lt;1,0,IFERROR(LOOKUP(2,1/('Milho 2ª safra'!$E18:INDEX('Milho 2ª safra'!$E18:$Z18,MIN(AX$6-$E$3,22))&lt;&gt;""),'Milho 2ª safra'!$E18:INDEX('Milho 2ª safra'!$E18:$Z18,MIN(AX$6-$E$3,22))),0))-IF($G$2,0,IF((AX$6-$G$3)&lt;1,0,IFERROR(LOOKUP(2,1/('Milho 2ª safra'!$E18:INDEX('Milho 2ª safra'!$E18:$Z18,MIN(AX$6-$G$3,22))&lt;&gt;""),'Milho 2ª safra'!$E18:INDEX('Milho 2ª safra'!$E18:$Z18,MIN(AX$6-$G$3,22))),0)))))</f>
        <v>0</v>
      </c>
      <c r="AY20" s="27" t="n">
        <f aca="false">IF(COUNT('Milho 2ª safra'!$E18:$Z18)=0,0,MAX(0,IF((AY$6-$E$3)&lt;1,0,IFERROR(LOOKUP(2,1/('Milho 2ª safra'!$E18:INDEX('Milho 2ª safra'!$E18:$Z18,MIN(AY$6-$E$3,22))&lt;&gt;""),'Milho 2ª safra'!$E18:INDEX('Milho 2ª safra'!$E18:$Z18,MIN(AY$6-$E$3,22))),0))-IF($G$2,0,IF((AY$6-$G$3)&lt;1,0,IFERROR(LOOKUP(2,1/('Milho 2ª safra'!$E18:INDEX('Milho 2ª safra'!$E18:$Z18,MIN(AY$6-$G$3,22))&lt;&gt;""),'Milho 2ª safra'!$E18:INDEX('Milho 2ª safra'!$E18:$Z18,MIN(AY$6-$G$3,22))),0)))))</f>
        <v>0</v>
      </c>
      <c r="AZ20" s="27" t="n">
        <f aca="false">IF(COUNT('Milho 2ª safra'!$E18:$Z18)=0,0,MAX(0,IF((AZ$6-$E$3)&lt;1,0,IFERROR(LOOKUP(2,1/('Milho 2ª safra'!$E18:INDEX('Milho 2ª safra'!$E18:$Z18,MIN(AZ$6-$E$3,22))&lt;&gt;""),'Milho 2ª safra'!$E18:INDEX('Milho 2ª safra'!$E18:$Z18,MIN(AZ$6-$E$3,22))),0))-IF($G$2,0,IF((AZ$6-$G$3)&lt;1,0,IFERROR(LOOKUP(2,1/('Milho 2ª safra'!$E18:INDEX('Milho 2ª safra'!$E18:$Z18,MIN(AZ$6-$G$3,22))&lt;&gt;""),'Milho 2ª safra'!$E18:INDEX('Milho 2ª safra'!$E18:$Z18,MIN(AZ$6-$G$3,22))),0)))))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IF(COUNT('Milho 2ª safra'!$E19:$Z19)&gt;0,N('Milho 2ª safra'!$D19),0)</f>
        <v>0</v>
      </c>
      <c r="E21" s="27" t="n">
        <f aca="false">IF(COUNT('Milho 2ª safra'!$E19:$Z19)=0,0,MAX(0,IF((E$6-$E$3)&lt;1,0,IFERROR(LOOKUP(2,1/('Milho 2ª safra'!$E19:INDEX('Milho 2ª safra'!$E19:$Z19,MIN(E$6-$E$3,22))&lt;&gt;""),'Milho 2ª safra'!$E19:INDEX('Milho 2ª safra'!$E19:$Z19,MIN(E$6-$E$3,22))),0))-IF($G$2,0,IF((E$6-$G$3)&lt;1,0,IFERROR(LOOKUP(2,1/('Milho 2ª safra'!$E19:INDEX('Milho 2ª safra'!$E19:$Z19,MIN(E$6-$G$3,22))&lt;&gt;""),'Milho 2ª safra'!$E19:INDEX('Milho 2ª safra'!$E19:$Z19,MIN(E$6-$G$3,22))),0)))))</f>
        <v>0</v>
      </c>
      <c r="F21" s="27" t="n">
        <f aca="false">IF(COUNT('Milho 2ª safra'!$E19:$Z19)=0,0,MAX(0,IF((F$6-$E$3)&lt;1,0,IFERROR(LOOKUP(2,1/('Milho 2ª safra'!$E19:INDEX('Milho 2ª safra'!$E19:$Z19,MIN(F$6-$E$3,22))&lt;&gt;""),'Milho 2ª safra'!$E19:INDEX('Milho 2ª safra'!$E19:$Z19,MIN(F$6-$E$3,22))),0))-IF($G$2,0,IF((F$6-$G$3)&lt;1,0,IFERROR(LOOKUP(2,1/('Milho 2ª safra'!$E19:INDEX('Milho 2ª safra'!$E19:$Z19,MIN(F$6-$G$3,22))&lt;&gt;""),'Milho 2ª safra'!$E19:INDEX('Milho 2ª safra'!$E19:$Z19,MIN(F$6-$G$3,22))),0)))))</f>
        <v>0</v>
      </c>
      <c r="G21" s="27" t="n">
        <f aca="false">IF(COUNT('Milho 2ª safra'!$E19:$Z19)=0,0,MAX(0,IF((G$6-$E$3)&lt;1,0,IFERROR(LOOKUP(2,1/('Milho 2ª safra'!$E19:INDEX('Milho 2ª safra'!$E19:$Z19,MIN(G$6-$E$3,22))&lt;&gt;""),'Milho 2ª safra'!$E19:INDEX('Milho 2ª safra'!$E19:$Z19,MIN(G$6-$E$3,22))),0))-IF($G$2,0,IF((G$6-$G$3)&lt;1,0,IFERROR(LOOKUP(2,1/('Milho 2ª safra'!$E19:INDEX('Milho 2ª safra'!$E19:$Z19,MIN(G$6-$G$3,22))&lt;&gt;""),'Milho 2ª safra'!$E19:INDEX('Milho 2ª safra'!$E19:$Z19,MIN(G$6-$G$3,22))),0)))))</f>
        <v>0</v>
      </c>
      <c r="H21" s="27" t="n">
        <f aca="false">IF(COUNT('Milho 2ª safra'!$E19:$Z19)=0,0,MAX(0,IF((H$6-$E$3)&lt;1,0,IFERROR(LOOKUP(2,1/('Milho 2ª safra'!$E19:INDEX('Milho 2ª safra'!$E19:$Z19,MIN(H$6-$E$3,22))&lt;&gt;""),'Milho 2ª safra'!$E19:INDEX('Milho 2ª safra'!$E19:$Z19,MIN(H$6-$E$3,22))),0))-IF($G$2,0,IF((H$6-$G$3)&lt;1,0,IFERROR(LOOKUP(2,1/('Milho 2ª safra'!$E19:INDEX('Milho 2ª safra'!$E19:$Z19,MIN(H$6-$G$3,22))&lt;&gt;""),'Milho 2ª safra'!$E19:INDEX('Milho 2ª safra'!$E19:$Z19,MIN(H$6-$G$3,22))),0)))))</f>
        <v>0</v>
      </c>
      <c r="I21" s="27" t="n">
        <f aca="false">IF(COUNT('Milho 2ª safra'!$E19:$Z19)=0,0,MAX(0,IF((I$6-$E$3)&lt;1,0,IFERROR(LOOKUP(2,1/('Milho 2ª safra'!$E19:INDEX('Milho 2ª safra'!$E19:$Z19,MIN(I$6-$E$3,22))&lt;&gt;""),'Milho 2ª safra'!$E19:INDEX('Milho 2ª safra'!$E19:$Z19,MIN(I$6-$E$3,22))),0))-IF($G$2,0,IF((I$6-$G$3)&lt;1,0,IFERROR(LOOKUP(2,1/('Milho 2ª safra'!$E19:INDEX('Milho 2ª safra'!$E19:$Z19,MIN(I$6-$G$3,22))&lt;&gt;""),'Milho 2ª safra'!$E19:INDEX('Milho 2ª safra'!$E19:$Z19,MIN(I$6-$G$3,22))),0)))))</f>
        <v>0</v>
      </c>
      <c r="J21" s="27" t="n">
        <f aca="false">IF(COUNT('Milho 2ª safra'!$E19:$Z19)=0,0,MAX(0,IF((J$6-$E$3)&lt;1,0,IFERROR(LOOKUP(2,1/('Milho 2ª safra'!$E19:INDEX('Milho 2ª safra'!$E19:$Z19,MIN(J$6-$E$3,22))&lt;&gt;""),'Milho 2ª safra'!$E19:INDEX('Milho 2ª safra'!$E19:$Z19,MIN(J$6-$E$3,22))),0))-IF($G$2,0,IF((J$6-$G$3)&lt;1,0,IFERROR(LOOKUP(2,1/('Milho 2ª safra'!$E19:INDEX('Milho 2ª safra'!$E19:$Z19,MIN(J$6-$G$3,22))&lt;&gt;""),'Milho 2ª safra'!$E19:INDEX('Milho 2ª safra'!$E19:$Z19,MIN(J$6-$G$3,22))),0)))))</f>
        <v>0</v>
      </c>
      <c r="K21" s="27" t="n">
        <f aca="false">IF(COUNT('Milho 2ª safra'!$E19:$Z19)=0,0,MAX(0,IF((K$6-$E$3)&lt;1,0,IFERROR(LOOKUP(2,1/('Milho 2ª safra'!$E19:INDEX('Milho 2ª safra'!$E19:$Z19,MIN(K$6-$E$3,22))&lt;&gt;""),'Milho 2ª safra'!$E19:INDEX('Milho 2ª safra'!$E19:$Z19,MIN(K$6-$E$3,22))),0))-IF($G$2,0,IF((K$6-$G$3)&lt;1,0,IFERROR(LOOKUP(2,1/('Milho 2ª safra'!$E19:INDEX('Milho 2ª safra'!$E19:$Z19,MIN(K$6-$G$3,22))&lt;&gt;""),'Milho 2ª safra'!$E19:INDEX('Milho 2ª safra'!$E19:$Z19,MIN(K$6-$G$3,22))),0)))))</f>
        <v>0</v>
      </c>
      <c r="L21" s="27" t="n">
        <f aca="false">IF(COUNT('Milho 2ª safra'!$E19:$Z19)=0,0,MAX(0,IF((L$6-$E$3)&lt;1,0,IFERROR(LOOKUP(2,1/('Milho 2ª safra'!$E19:INDEX('Milho 2ª safra'!$E19:$Z19,MIN(L$6-$E$3,22))&lt;&gt;""),'Milho 2ª safra'!$E19:INDEX('Milho 2ª safra'!$E19:$Z19,MIN(L$6-$E$3,22))),0))-IF($G$2,0,IF((L$6-$G$3)&lt;1,0,IFERROR(LOOKUP(2,1/('Milho 2ª safra'!$E19:INDEX('Milho 2ª safra'!$E19:$Z19,MIN(L$6-$G$3,22))&lt;&gt;""),'Milho 2ª safra'!$E19:INDEX('Milho 2ª safra'!$E19:$Z19,MIN(L$6-$G$3,22))),0)))))</f>
        <v>0</v>
      </c>
      <c r="M21" s="27" t="n">
        <f aca="false">IF(COUNT('Milho 2ª safra'!$E19:$Z19)=0,0,MAX(0,IF((M$6-$E$3)&lt;1,0,IFERROR(LOOKUP(2,1/('Milho 2ª safra'!$E19:INDEX('Milho 2ª safra'!$E19:$Z19,MIN(M$6-$E$3,22))&lt;&gt;""),'Milho 2ª safra'!$E19:INDEX('Milho 2ª safra'!$E19:$Z19,MIN(M$6-$E$3,22))),0))-IF($G$2,0,IF((M$6-$G$3)&lt;1,0,IFERROR(LOOKUP(2,1/('Milho 2ª safra'!$E19:INDEX('Milho 2ª safra'!$E19:$Z19,MIN(M$6-$G$3,22))&lt;&gt;""),'Milho 2ª safra'!$E19:INDEX('Milho 2ª safra'!$E19:$Z19,MIN(M$6-$G$3,22))),0)))))</f>
        <v>0</v>
      </c>
      <c r="N21" s="27" t="n">
        <f aca="false">IF(COUNT('Milho 2ª safra'!$E19:$Z19)=0,0,MAX(0,IF((N$6-$E$3)&lt;1,0,IFERROR(LOOKUP(2,1/('Milho 2ª safra'!$E19:INDEX('Milho 2ª safra'!$E19:$Z19,MIN(N$6-$E$3,22))&lt;&gt;""),'Milho 2ª safra'!$E19:INDEX('Milho 2ª safra'!$E19:$Z19,MIN(N$6-$E$3,22))),0))-IF($G$2,0,IF((N$6-$G$3)&lt;1,0,IFERROR(LOOKUP(2,1/('Milho 2ª safra'!$E19:INDEX('Milho 2ª safra'!$E19:$Z19,MIN(N$6-$G$3,22))&lt;&gt;""),'Milho 2ª safra'!$E19:INDEX('Milho 2ª safra'!$E19:$Z19,MIN(N$6-$G$3,22))),0)))))</f>
        <v>0</v>
      </c>
      <c r="O21" s="27" t="n">
        <f aca="false">IF(COUNT('Milho 2ª safra'!$E19:$Z19)=0,0,MAX(0,IF((O$6-$E$3)&lt;1,0,IFERROR(LOOKUP(2,1/('Milho 2ª safra'!$E19:INDEX('Milho 2ª safra'!$E19:$Z19,MIN(O$6-$E$3,22))&lt;&gt;""),'Milho 2ª safra'!$E19:INDEX('Milho 2ª safra'!$E19:$Z19,MIN(O$6-$E$3,22))),0))-IF($G$2,0,IF((O$6-$G$3)&lt;1,0,IFERROR(LOOKUP(2,1/('Milho 2ª safra'!$E19:INDEX('Milho 2ª safra'!$E19:$Z19,MIN(O$6-$G$3,22))&lt;&gt;""),'Milho 2ª safra'!$E19:INDEX('Milho 2ª safra'!$E19:$Z19,MIN(O$6-$G$3,22))),0)))))</f>
        <v>0</v>
      </c>
      <c r="P21" s="27" t="n">
        <f aca="false">IF(COUNT('Milho 2ª safra'!$E19:$Z19)=0,0,MAX(0,IF((P$6-$E$3)&lt;1,0,IFERROR(LOOKUP(2,1/('Milho 2ª safra'!$E19:INDEX('Milho 2ª safra'!$E19:$Z19,MIN(P$6-$E$3,22))&lt;&gt;""),'Milho 2ª safra'!$E19:INDEX('Milho 2ª safra'!$E19:$Z19,MIN(P$6-$E$3,22))),0))-IF($G$2,0,IF((P$6-$G$3)&lt;1,0,IFERROR(LOOKUP(2,1/('Milho 2ª safra'!$E19:INDEX('Milho 2ª safra'!$E19:$Z19,MIN(P$6-$G$3,22))&lt;&gt;""),'Milho 2ª safra'!$E19:INDEX('Milho 2ª safra'!$E19:$Z19,MIN(P$6-$G$3,22))),0)))))</f>
        <v>0</v>
      </c>
      <c r="Q21" s="27" t="n">
        <f aca="false">IF(COUNT('Milho 2ª safra'!$E19:$Z19)=0,0,MAX(0,IF((Q$6-$E$3)&lt;1,0,IFERROR(LOOKUP(2,1/('Milho 2ª safra'!$E19:INDEX('Milho 2ª safra'!$E19:$Z19,MIN(Q$6-$E$3,22))&lt;&gt;""),'Milho 2ª safra'!$E19:INDEX('Milho 2ª safra'!$E19:$Z19,MIN(Q$6-$E$3,22))),0))-IF($G$2,0,IF((Q$6-$G$3)&lt;1,0,IFERROR(LOOKUP(2,1/('Milho 2ª safra'!$E19:INDEX('Milho 2ª safra'!$E19:$Z19,MIN(Q$6-$G$3,22))&lt;&gt;""),'Milho 2ª safra'!$E19:INDEX('Milho 2ª safra'!$E19:$Z19,MIN(Q$6-$G$3,22))),0)))))</f>
        <v>0</v>
      </c>
      <c r="R21" s="27" t="n">
        <f aca="false">IF(COUNT('Milho 2ª safra'!$E19:$Z19)=0,0,MAX(0,IF((R$6-$E$3)&lt;1,0,IFERROR(LOOKUP(2,1/('Milho 2ª safra'!$E19:INDEX('Milho 2ª safra'!$E19:$Z19,MIN(R$6-$E$3,22))&lt;&gt;""),'Milho 2ª safra'!$E19:INDEX('Milho 2ª safra'!$E19:$Z19,MIN(R$6-$E$3,22))),0))-IF($G$2,0,IF((R$6-$G$3)&lt;1,0,IFERROR(LOOKUP(2,1/('Milho 2ª safra'!$E19:INDEX('Milho 2ª safra'!$E19:$Z19,MIN(R$6-$G$3,22))&lt;&gt;""),'Milho 2ª safra'!$E19:INDEX('Milho 2ª safra'!$E19:$Z19,MIN(R$6-$G$3,22))),0)))))</f>
        <v>0</v>
      </c>
      <c r="S21" s="27" t="n">
        <f aca="false">IF(COUNT('Milho 2ª safra'!$E19:$Z19)=0,0,MAX(0,IF((S$6-$E$3)&lt;1,0,IFERROR(LOOKUP(2,1/('Milho 2ª safra'!$E19:INDEX('Milho 2ª safra'!$E19:$Z19,MIN(S$6-$E$3,22))&lt;&gt;""),'Milho 2ª safra'!$E19:INDEX('Milho 2ª safra'!$E19:$Z19,MIN(S$6-$E$3,22))),0))-IF($G$2,0,IF((S$6-$G$3)&lt;1,0,IFERROR(LOOKUP(2,1/('Milho 2ª safra'!$E19:INDEX('Milho 2ª safra'!$E19:$Z19,MIN(S$6-$G$3,22))&lt;&gt;""),'Milho 2ª safra'!$E19:INDEX('Milho 2ª safra'!$E19:$Z19,MIN(S$6-$G$3,22))),0)))))</f>
        <v>0</v>
      </c>
      <c r="T21" s="27" t="n">
        <f aca="false">IF(COUNT('Milho 2ª safra'!$E19:$Z19)=0,0,MAX(0,IF((T$6-$E$3)&lt;1,0,IFERROR(LOOKUP(2,1/('Milho 2ª safra'!$E19:INDEX('Milho 2ª safra'!$E19:$Z19,MIN(T$6-$E$3,22))&lt;&gt;""),'Milho 2ª safra'!$E19:INDEX('Milho 2ª safra'!$E19:$Z19,MIN(T$6-$E$3,22))),0))-IF($G$2,0,IF((T$6-$G$3)&lt;1,0,IFERROR(LOOKUP(2,1/('Milho 2ª safra'!$E19:INDEX('Milho 2ª safra'!$E19:$Z19,MIN(T$6-$G$3,22))&lt;&gt;""),'Milho 2ª safra'!$E19:INDEX('Milho 2ª safra'!$E19:$Z19,MIN(T$6-$G$3,22))),0)))))</f>
        <v>0</v>
      </c>
      <c r="U21" s="27" t="n">
        <f aca="false">IF(COUNT('Milho 2ª safra'!$E19:$Z19)=0,0,MAX(0,IF((U$6-$E$3)&lt;1,0,IFERROR(LOOKUP(2,1/('Milho 2ª safra'!$E19:INDEX('Milho 2ª safra'!$E19:$Z19,MIN(U$6-$E$3,22))&lt;&gt;""),'Milho 2ª safra'!$E19:INDEX('Milho 2ª safra'!$E19:$Z19,MIN(U$6-$E$3,22))),0))-IF($G$2,0,IF((U$6-$G$3)&lt;1,0,IFERROR(LOOKUP(2,1/('Milho 2ª safra'!$E19:INDEX('Milho 2ª safra'!$E19:$Z19,MIN(U$6-$G$3,22))&lt;&gt;""),'Milho 2ª safra'!$E19:INDEX('Milho 2ª safra'!$E19:$Z19,MIN(U$6-$G$3,22))),0)))))</f>
        <v>0</v>
      </c>
      <c r="V21" s="27" t="n">
        <f aca="false">IF(COUNT('Milho 2ª safra'!$E19:$Z19)=0,0,MAX(0,IF((V$6-$E$3)&lt;1,0,IFERROR(LOOKUP(2,1/('Milho 2ª safra'!$E19:INDEX('Milho 2ª safra'!$E19:$Z19,MIN(V$6-$E$3,22))&lt;&gt;""),'Milho 2ª safra'!$E19:INDEX('Milho 2ª safra'!$E19:$Z19,MIN(V$6-$E$3,22))),0))-IF($G$2,0,IF((V$6-$G$3)&lt;1,0,IFERROR(LOOKUP(2,1/('Milho 2ª safra'!$E19:INDEX('Milho 2ª safra'!$E19:$Z19,MIN(V$6-$G$3,22))&lt;&gt;""),'Milho 2ª safra'!$E19:INDEX('Milho 2ª safra'!$E19:$Z19,MIN(V$6-$G$3,22))),0)))))</f>
        <v>0</v>
      </c>
      <c r="W21" s="27" t="n">
        <f aca="false">IF(COUNT('Milho 2ª safra'!$E19:$Z19)=0,0,MAX(0,IF((W$6-$E$3)&lt;1,0,IFERROR(LOOKUP(2,1/('Milho 2ª safra'!$E19:INDEX('Milho 2ª safra'!$E19:$Z19,MIN(W$6-$E$3,22))&lt;&gt;""),'Milho 2ª safra'!$E19:INDEX('Milho 2ª safra'!$E19:$Z19,MIN(W$6-$E$3,22))),0))-IF($G$2,0,IF((W$6-$G$3)&lt;1,0,IFERROR(LOOKUP(2,1/('Milho 2ª safra'!$E19:INDEX('Milho 2ª safra'!$E19:$Z19,MIN(W$6-$G$3,22))&lt;&gt;""),'Milho 2ª safra'!$E19:INDEX('Milho 2ª safra'!$E19:$Z19,MIN(W$6-$G$3,22))),0)))))</f>
        <v>0</v>
      </c>
      <c r="X21" s="27" t="n">
        <f aca="false">IF(COUNT('Milho 2ª safra'!$E19:$Z19)=0,0,MAX(0,IF((X$6-$E$3)&lt;1,0,IFERROR(LOOKUP(2,1/('Milho 2ª safra'!$E19:INDEX('Milho 2ª safra'!$E19:$Z19,MIN(X$6-$E$3,22))&lt;&gt;""),'Milho 2ª safra'!$E19:INDEX('Milho 2ª safra'!$E19:$Z19,MIN(X$6-$E$3,22))),0))-IF($G$2,0,IF((X$6-$G$3)&lt;1,0,IFERROR(LOOKUP(2,1/('Milho 2ª safra'!$E19:INDEX('Milho 2ª safra'!$E19:$Z19,MIN(X$6-$G$3,22))&lt;&gt;""),'Milho 2ª safra'!$E19:INDEX('Milho 2ª safra'!$E19:$Z19,MIN(X$6-$G$3,22))),0)))))</f>
        <v>0</v>
      </c>
      <c r="Y21" s="27" t="n">
        <f aca="false">IF(COUNT('Milho 2ª safra'!$E19:$Z19)=0,0,MAX(0,IF((Y$6-$E$3)&lt;1,0,IFERROR(LOOKUP(2,1/('Milho 2ª safra'!$E19:INDEX('Milho 2ª safra'!$E19:$Z19,MIN(Y$6-$E$3,22))&lt;&gt;""),'Milho 2ª safra'!$E19:INDEX('Milho 2ª safra'!$E19:$Z19,MIN(Y$6-$E$3,22))),0))-IF($G$2,0,IF((Y$6-$G$3)&lt;1,0,IFERROR(LOOKUP(2,1/('Milho 2ª safra'!$E19:INDEX('Milho 2ª safra'!$E19:$Z19,MIN(Y$6-$G$3,22))&lt;&gt;""),'Milho 2ª safra'!$E19:INDEX('Milho 2ª safra'!$E19:$Z19,MIN(Y$6-$G$3,22))),0)))))</f>
        <v>0</v>
      </c>
      <c r="Z21" s="27" t="n">
        <f aca="false">IF(COUNT('Milho 2ª safra'!$E19:$Z19)=0,0,MAX(0,IF((Z$6-$E$3)&lt;1,0,IFERROR(LOOKUP(2,1/('Milho 2ª safra'!$E19:INDEX('Milho 2ª safra'!$E19:$Z19,MIN(Z$6-$E$3,22))&lt;&gt;""),'Milho 2ª safra'!$E19:INDEX('Milho 2ª safra'!$E19:$Z19,MIN(Z$6-$E$3,22))),0))-IF($G$2,0,IF((Z$6-$G$3)&lt;1,0,IFERROR(LOOKUP(2,1/('Milho 2ª safra'!$E19:INDEX('Milho 2ª safra'!$E19:$Z19,MIN(Z$6-$G$3,22))&lt;&gt;""),'Milho 2ª safra'!$E19:INDEX('Milho 2ª safra'!$E19:$Z19,MIN(Z$6-$G$3,22))),0)))))</f>
        <v>0</v>
      </c>
      <c r="AA21" s="27" t="n">
        <f aca="false">IF(COUNT('Milho 2ª safra'!$E19:$Z19)=0,0,MAX(0,IF((AA$6-$E$3)&lt;1,0,IFERROR(LOOKUP(2,1/('Milho 2ª safra'!$E19:INDEX('Milho 2ª safra'!$E19:$Z19,MIN(AA$6-$E$3,22))&lt;&gt;""),'Milho 2ª safra'!$E19:INDEX('Milho 2ª safra'!$E19:$Z19,MIN(AA$6-$E$3,22))),0))-IF($G$2,0,IF((AA$6-$G$3)&lt;1,0,IFERROR(LOOKUP(2,1/('Milho 2ª safra'!$E19:INDEX('Milho 2ª safra'!$E19:$Z19,MIN(AA$6-$G$3,22))&lt;&gt;""),'Milho 2ª safra'!$E19:INDEX('Milho 2ª safra'!$E19:$Z19,MIN(AA$6-$G$3,22))),0)))))</f>
        <v>0</v>
      </c>
      <c r="AB21" s="27" t="n">
        <f aca="false">IF(COUNT('Milho 2ª safra'!$E19:$Z19)=0,0,MAX(0,IF((AB$6-$E$3)&lt;1,0,IFERROR(LOOKUP(2,1/('Milho 2ª safra'!$E19:INDEX('Milho 2ª safra'!$E19:$Z19,MIN(AB$6-$E$3,22))&lt;&gt;""),'Milho 2ª safra'!$E19:INDEX('Milho 2ª safra'!$E19:$Z19,MIN(AB$6-$E$3,22))),0))-IF($G$2,0,IF((AB$6-$G$3)&lt;1,0,IFERROR(LOOKUP(2,1/('Milho 2ª safra'!$E19:INDEX('Milho 2ª safra'!$E19:$Z19,MIN(AB$6-$G$3,22))&lt;&gt;""),'Milho 2ª safra'!$E19:INDEX('Milho 2ª safra'!$E19:$Z19,MIN(AB$6-$G$3,22))),0)))))</f>
        <v>0</v>
      </c>
      <c r="AC21" s="27" t="n">
        <f aca="false">IF(COUNT('Milho 2ª safra'!$E19:$Z19)=0,0,MAX(0,IF((AC$6-$E$3)&lt;1,0,IFERROR(LOOKUP(2,1/('Milho 2ª safra'!$E19:INDEX('Milho 2ª safra'!$E19:$Z19,MIN(AC$6-$E$3,22))&lt;&gt;""),'Milho 2ª safra'!$E19:INDEX('Milho 2ª safra'!$E19:$Z19,MIN(AC$6-$E$3,22))),0))-IF($G$2,0,IF((AC$6-$G$3)&lt;1,0,IFERROR(LOOKUP(2,1/('Milho 2ª safra'!$E19:INDEX('Milho 2ª safra'!$E19:$Z19,MIN(AC$6-$G$3,22))&lt;&gt;""),'Milho 2ª safra'!$E19:INDEX('Milho 2ª safra'!$E19:$Z19,MIN(AC$6-$G$3,22))),0)))))</f>
        <v>0</v>
      </c>
      <c r="AD21" s="27" t="n">
        <f aca="false">IF(COUNT('Milho 2ª safra'!$E19:$Z19)=0,0,MAX(0,IF((AD$6-$E$3)&lt;1,0,IFERROR(LOOKUP(2,1/('Milho 2ª safra'!$E19:INDEX('Milho 2ª safra'!$E19:$Z19,MIN(AD$6-$E$3,22))&lt;&gt;""),'Milho 2ª safra'!$E19:INDEX('Milho 2ª safra'!$E19:$Z19,MIN(AD$6-$E$3,22))),0))-IF($G$2,0,IF((AD$6-$G$3)&lt;1,0,IFERROR(LOOKUP(2,1/('Milho 2ª safra'!$E19:INDEX('Milho 2ª safra'!$E19:$Z19,MIN(AD$6-$G$3,22))&lt;&gt;""),'Milho 2ª safra'!$E19:INDEX('Milho 2ª safra'!$E19:$Z19,MIN(AD$6-$G$3,22))),0)))))</f>
        <v>0</v>
      </c>
      <c r="AE21" s="27" t="n">
        <f aca="false">IF(COUNT('Milho 2ª safra'!$E19:$Z19)=0,0,MAX(0,IF((AE$6-$E$3)&lt;1,0,IFERROR(LOOKUP(2,1/('Milho 2ª safra'!$E19:INDEX('Milho 2ª safra'!$E19:$Z19,MIN(AE$6-$E$3,22))&lt;&gt;""),'Milho 2ª safra'!$E19:INDEX('Milho 2ª safra'!$E19:$Z19,MIN(AE$6-$E$3,22))),0))-IF($G$2,0,IF((AE$6-$G$3)&lt;1,0,IFERROR(LOOKUP(2,1/('Milho 2ª safra'!$E19:INDEX('Milho 2ª safra'!$E19:$Z19,MIN(AE$6-$G$3,22))&lt;&gt;""),'Milho 2ª safra'!$E19:INDEX('Milho 2ª safra'!$E19:$Z19,MIN(AE$6-$G$3,22))),0)))))</f>
        <v>0</v>
      </c>
      <c r="AF21" s="27" t="n">
        <f aca="false">IF(COUNT('Milho 2ª safra'!$E19:$Z19)=0,0,MAX(0,IF((AF$6-$E$3)&lt;1,0,IFERROR(LOOKUP(2,1/('Milho 2ª safra'!$E19:INDEX('Milho 2ª safra'!$E19:$Z19,MIN(AF$6-$E$3,22))&lt;&gt;""),'Milho 2ª safra'!$E19:INDEX('Milho 2ª safra'!$E19:$Z19,MIN(AF$6-$E$3,22))),0))-IF($G$2,0,IF((AF$6-$G$3)&lt;1,0,IFERROR(LOOKUP(2,1/('Milho 2ª safra'!$E19:INDEX('Milho 2ª safra'!$E19:$Z19,MIN(AF$6-$G$3,22))&lt;&gt;""),'Milho 2ª safra'!$E19:INDEX('Milho 2ª safra'!$E19:$Z19,MIN(AF$6-$G$3,22))),0)))))</f>
        <v>0</v>
      </c>
      <c r="AG21" s="27" t="n">
        <f aca="false">IF(COUNT('Milho 2ª safra'!$E19:$Z19)=0,0,MAX(0,IF((AG$6-$E$3)&lt;1,0,IFERROR(LOOKUP(2,1/('Milho 2ª safra'!$E19:INDEX('Milho 2ª safra'!$E19:$Z19,MIN(AG$6-$E$3,22))&lt;&gt;""),'Milho 2ª safra'!$E19:INDEX('Milho 2ª safra'!$E19:$Z19,MIN(AG$6-$E$3,22))),0))-IF($G$2,0,IF((AG$6-$G$3)&lt;1,0,IFERROR(LOOKUP(2,1/('Milho 2ª safra'!$E19:INDEX('Milho 2ª safra'!$E19:$Z19,MIN(AG$6-$G$3,22))&lt;&gt;""),'Milho 2ª safra'!$E19:INDEX('Milho 2ª safra'!$E19:$Z19,MIN(AG$6-$G$3,22))),0)))))</f>
        <v>0</v>
      </c>
      <c r="AH21" s="27" t="n">
        <f aca="false">IF(COUNT('Milho 2ª safra'!$E19:$Z19)=0,0,MAX(0,IF((AH$6-$E$3)&lt;1,0,IFERROR(LOOKUP(2,1/('Milho 2ª safra'!$E19:INDEX('Milho 2ª safra'!$E19:$Z19,MIN(AH$6-$E$3,22))&lt;&gt;""),'Milho 2ª safra'!$E19:INDEX('Milho 2ª safra'!$E19:$Z19,MIN(AH$6-$E$3,22))),0))-IF($G$2,0,IF((AH$6-$G$3)&lt;1,0,IFERROR(LOOKUP(2,1/('Milho 2ª safra'!$E19:INDEX('Milho 2ª safra'!$E19:$Z19,MIN(AH$6-$G$3,22))&lt;&gt;""),'Milho 2ª safra'!$E19:INDEX('Milho 2ª safra'!$E19:$Z19,MIN(AH$6-$G$3,22))),0)))))</f>
        <v>0</v>
      </c>
      <c r="AI21" s="27" t="n">
        <f aca="false">IF(COUNT('Milho 2ª safra'!$E19:$Z19)=0,0,MAX(0,IF((AI$6-$E$3)&lt;1,0,IFERROR(LOOKUP(2,1/('Milho 2ª safra'!$E19:INDEX('Milho 2ª safra'!$E19:$Z19,MIN(AI$6-$E$3,22))&lt;&gt;""),'Milho 2ª safra'!$E19:INDEX('Milho 2ª safra'!$E19:$Z19,MIN(AI$6-$E$3,22))),0))-IF($G$2,0,IF((AI$6-$G$3)&lt;1,0,IFERROR(LOOKUP(2,1/('Milho 2ª safra'!$E19:INDEX('Milho 2ª safra'!$E19:$Z19,MIN(AI$6-$G$3,22))&lt;&gt;""),'Milho 2ª safra'!$E19:INDEX('Milho 2ª safra'!$E19:$Z19,MIN(AI$6-$G$3,22))),0)))))</f>
        <v>0</v>
      </c>
      <c r="AJ21" s="27" t="n">
        <f aca="false">IF(COUNT('Milho 2ª safra'!$E19:$Z19)=0,0,MAX(0,IF((AJ$6-$E$3)&lt;1,0,IFERROR(LOOKUP(2,1/('Milho 2ª safra'!$E19:INDEX('Milho 2ª safra'!$E19:$Z19,MIN(AJ$6-$E$3,22))&lt;&gt;""),'Milho 2ª safra'!$E19:INDEX('Milho 2ª safra'!$E19:$Z19,MIN(AJ$6-$E$3,22))),0))-IF($G$2,0,IF((AJ$6-$G$3)&lt;1,0,IFERROR(LOOKUP(2,1/('Milho 2ª safra'!$E19:INDEX('Milho 2ª safra'!$E19:$Z19,MIN(AJ$6-$G$3,22))&lt;&gt;""),'Milho 2ª safra'!$E19:INDEX('Milho 2ª safra'!$E19:$Z19,MIN(AJ$6-$G$3,22))),0)))))</f>
        <v>0</v>
      </c>
      <c r="AK21" s="27" t="n">
        <f aca="false">IF(COUNT('Milho 2ª safra'!$E19:$Z19)=0,0,MAX(0,IF((AK$6-$E$3)&lt;1,0,IFERROR(LOOKUP(2,1/('Milho 2ª safra'!$E19:INDEX('Milho 2ª safra'!$E19:$Z19,MIN(AK$6-$E$3,22))&lt;&gt;""),'Milho 2ª safra'!$E19:INDEX('Milho 2ª safra'!$E19:$Z19,MIN(AK$6-$E$3,22))),0))-IF($G$2,0,IF((AK$6-$G$3)&lt;1,0,IFERROR(LOOKUP(2,1/('Milho 2ª safra'!$E19:INDEX('Milho 2ª safra'!$E19:$Z19,MIN(AK$6-$G$3,22))&lt;&gt;""),'Milho 2ª safra'!$E19:INDEX('Milho 2ª safra'!$E19:$Z19,MIN(AK$6-$G$3,22))),0)))))</f>
        <v>0</v>
      </c>
      <c r="AL21" s="27" t="n">
        <f aca="false">IF(COUNT('Milho 2ª safra'!$E19:$Z19)=0,0,MAX(0,IF((AL$6-$E$3)&lt;1,0,IFERROR(LOOKUP(2,1/('Milho 2ª safra'!$E19:INDEX('Milho 2ª safra'!$E19:$Z19,MIN(AL$6-$E$3,22))&lt;&gt;""),'Milho 2ª safra'!$E19:INDEX('Milho 2ª safra'!$E19:$Z19,MIN(AL$6-$E$3,22))),0))-IF($G$2,0,IF((AL$6-$G$3)&lt;1,0,IFERROR(LOOKUP(2,1/('Milho 2ª safra'!$E19:INDEX('Milho 2ª safra'!$E19:$Z19,MIN(AL$6-$G$3,22))&lt;&gt;""),'Milho 2ª safra'!$E19:INDEX('Milho 2ª safra'!$E19:$Z19,MIN(AL$6-$G$3,22))),0)))))</f>
        <v>0</v>
      </c>
      <c r="AM21" s="27" t="n">
        <f aca="false">IF(COUNT('Milho 2ª safra'!$E19:$Z19)=0,0,MAX(0,IF((AM$6-$E$3)&lt;1,0,IFERROR(LOOKUP(2,1/('Milho 2ª safra'!$E19:INDEX('Milho 2ª safra'!$E19:$Z19,MIN(AM$6-$E$3,22))&lt;&gt;""),'Milho 2ª safra'!$E19:INDEX('Milho 2ª safra'!$E19:$Z19,MIN(AM$6-$E$3,22))),0))-IF($G$2,0,IF((AM$6-$G$3)&lt;1,0,IFERROR(LOOKUP(2,1/('Milho 2ª safra'!$E19:INDEX('Milho 2ª safra'!$E19:$Z19,MIN(AM$6-$G$3,22))&lt;&gt;""),'Milho 2ª safra'!$E19:INDEX('Milho 2ª safra'!$E19:$Z19,MIN(AM$6-$G$3,22))),0)))))</f>
        <v>0</v>
      </c>
      <c r="AN21" s="27" t="n">
        <f aca="false">IF(COUNT('Milho 2ª safra'!$E19:$Z19)=0,0,MAX(0,IF((AN$6-$E$3)&lt;1,0,IFERROR(LOOKUP(2,1/('Milho 2ª safra'!$E19:INDEX('Milho 2ª safra'!$E19:$Z19,MIN(AN$6-$E$3,22))&lt;&gt;""),'Milho 2ª safra'!$E19:INDEX('Milho 2ª safra'!$E19:$Z19,MIN(AN$6-$E$3,22))),0))-IF($G$2,0,IF((AN$6-$G$3)&lt;1,0,IFERROR(LOOKUP(2,1/('Milho 2ª safra'!$E19:INDEX('Milho 2ª safra'!$E19:$Z19,MIN(AN$6-$G$3,22))&lt;&gt;""),'Milho 2ª safra'!$E19:INDEX('Milho 2ª safra'!$E19:$Z19,MIN(AN$6-$G$3,22))),0)))))</f>
        <v>0</v>
      </c>
      <c r="AO21" s="27" t="n">
        <f aca="false">IF(COUNT('Milho 2ª safra'!$E19:$Z19)=0,0,MAX(0,IF((AO$6-$E$3)&lt;1,0,IFERROR(LOOKUP(2,1/('Milho 2ª safra'!$E19:INDEX('Milho 2ª safra'!$E19:$Z19,MIN(AO$6-$E$3,22))&lt;&gt;""),'Milho 2ª safra'!$E19:INDEX('Milho 2ª safra'!$E19:$Z19,MIN(AO$6-$E$3,22))),0))-IF($G$2,0,IF((AO$6-$G$3)&lt;1,0,IFERROR(LOOKUP(2,1/('Milho 2ª safra'!$E19:INDEX('Milho 2ª safra'!$E19:$Z19,MIN(AO$6-$G$3,22))&lt;&gt;""),'Milho 2ª safra'!$E19:INDEX('Milho 2ª safra'!$E19:$Z19,MIN(AO$6-$G$3,22))),0)))))</f>
        <v>0</v>
      </c>
      <c r="AP21" s="27" t="n">
        <f aca="false">IF(COUNT('Milho 2ª safra'!$E19:$Z19)=0,0,MAX(0,IF((AP$6-$E$3)&lt;1,0,IFERROR(LOOKUP(2,1/('Milho 2ª safra'!$E19:INDEX('Milho 2ª safra'!$E19:$Z19,MIN(AP$6-$E$3,22))&lt;&gt;""),'Milho 2ª safra'!$E19:INDEX('Milho 2ª safra'!$E19:$Z19,MIN(AP$6-$E$3,22))),0))-IF($G$2,0,IF((AP$6-$G$3)&lt;1,0,IFERROR(LOOKUP(2,1/('Milho 2ª safra'!$E19:INDEX('Milho 2ª safra'!$E19:$Z19,MIN(AP$6-$G$3,22))&lt;&gt;""),'Milho 2ª safra'!$E19:INDEX('Milho 2ª safra'!$E19:$Z19,MIN(AP$6-$G$3,22))),0)))))</f>
        <v>0</v>
      </c>
      <c r="AQ21" s="27" t="n">
        <f aca="false">IF(COUNT('Milho 2ª safra'!$E19:$Z19)=0,0,MAX(0,IF((AQ$6-$E$3)&lt;1,0,IFERROR(LOOKUP(2,1/('Milho 2ª safra'!$E19:INDEX('Milho 2ª safra'!$E19:$Z19,MIN(AQ$6-$E$3,22))&lt;&gt;""),'Milho 2ª safra'!$E19:INDEX('Milho 2ª safra'!$E19:$Z19,MIN(AQ$6-$E$3,22))),0))-IF($G$2,0,IF((AQ$6-$G$3)&lt;1,0,IFERROR(LOOKUP(2,1/('Milho 2ª safra'!$E19:INDEX('Milho 2ª safra'!$E19:$Z19,MIN(AQ$6-$G$3,22))&lt;&gt;""),'Milho 2ª safra'!$E19:INDEX('Milho 2ª safra'!$E19:$Z19,MIN(AQ$6-$G$3,22))),0)))))</f>
        <v>0</v>
      </c>
      <c r="AR21" s="27" t="n">
        <f aca="false">IF(COUNT('Milho 2ª safra'!$E19:$Z19)=0,0,MAX(0,IF((AR$6-$E$3)&lt;1,0,IFERROR(LOOKUP(2,1/('Milho 2ª safra'!$E19:INDEX('Milho 2ª safra'!$E19:$Z19,MIN(AR$6-$E$3,22))&lt;&gt;""),'Milho 2ª safra'!$E19:INDEX('Milho 2ª safra'!$E19:$Z19,MIN(AR$6-$E$3,22))),0))-IF($G$2,0,IF((AR$6-$G$3)&lt;1,0,IFERROR(LOOKUP(2,1/('Milho 2ª safra'!$E19:INDEX('Milho 2ª safra'!$E19:$Z19,MIN(AR$6-$G$3,22))&lt;&gt;""),'Milho 2ª safra'!$E19:INDEX('Milho 2ª safra'!$E19:$Z19,MIN(AR$6-$G$3,22))),0)))))</f>
        <v>0</v>
      </c>
      <c r="AS21" s="27" t="n">
        <f aca="false">IF(COUNT('Milho 2ª safra'!$E19:$Z19)=0,0,MAX(0,IF((AS$6-$E$3)&lt;1,0,IFERROR(LOOKUP(2,1/('Milho 2ª safra'!$E19:INDEX('Milho 2ª safra'!$E19:$Z19,MIN(AS$6-$E$3,22))&lt;&gt;""),'Milho 2ª safra'!$E19:INDEX('Milho 2ª safra'!$E19:$Z19,MIN(AS$6-$E$3,22))),0))-IF($G$2,0,IF((AS$6-$G$3)&lt;1,0,IFERROR(LOOKUP(2,1/('Milho 2ª safra'!$E19:INDEX('Milho 2ª safra'!$E19:$Z19,MIN(AS$6-$G$3,22))&lt;&gt;""),'Milho 2ª safra'!$E19:INDEX('Milho 2ª safra'!$E19:$Z19,MIN(AS$6-$G$3,22))),0)))))</f>
        <v>0</v>
      </c>
      <c r="AT21" s="27" t="n">
        <f aca="false">IF(COUNT('Milho 2ª safra'!$E19:$Z19)=0,0,MAX(0,IF((AT$6-$E$3)&lt;1,0,IFERROR(LOOKUP(2,1/('Milho 2ª safra'!$E19:INDEX('Milho 2ª safra'!$E19:$Z19,MIN(AT$6-$E$3,22))&lt;&gt;""),'Milho 2ª safra'!$E19:INDEX('Milho 2ª safra'!$E19:$Z19,MIN(AT$6-$E$3,22))),0))-IF($G$2,0,IF((AT$6-$G$3)&lt;1,0,IFERROR(LOOKUP(2,1/('Milho 2ª safra'!$E19:INDEX('Milho 2ª safra'!$E19:$Z19,MIN(AT$6-$G$3,22))&lt;&gt;""),'Milho 2ª safra'!$E19:INDEX('Milho 2ª safra'!$E19:$Z19,MIN(AT$6-$G$3,22))),0)))))</f>
        <v>0</v>
      </c>
      <c r="AU21" s="27" t="n">
        <f aca="false">IF(COUNT('Milho 2ª safra'!$E19:$Z19)=0,0,MAX(0,IF((AU$6-$E$3)&lt;1,0,IFERROR(LOOKUP(2,1/('Milho 2ª safra'!$E19:INDEX('Milho 2ª safra'!$E19:$Z19,MIN(AU$6-$E$3,22))&lt;&gt;""),'Milho 2ª safra'!$E19:INDEX('Milho 2ª safra'!$E19:$Z19,MIN(AU$6-$E$3,22))),0))-IF($G$2,0,IF((AU$6-$G$3)&lt;1,0,IFERROR(LOOKUP(2,1/('Milho 2ª safra'!$E19:INDEX('Milho 2ª safra'!$E19:$Z19,MIN(AU$6-$G$3,22))&lt;&gt;""),'Milho 2ª safra'!$E19:INDEX('Milho 2ª safra'!$E19:$Z19,MIN(AU$6-$G$3,22))),0)))))</f>
        <v>0</v>
      </c>
      <c r="AV21" s="27" t="n">
        <f aca="false">IF(COUNT('Milho 2ª safra'!$E19:$Z19)=0,0,MAX(0,IF((AV$6-$E$3)&lt;1,0,IFERROR(LOOKUP(2,1/('Milho 2ª safra'!$E19:INDEX('Milho 2ª safra'!$E19:$Z19,MIN(AV$6-$E$3,22))&lt;&gt;""),'Milho 2ª safra'!$E19:INDEX('Milho 2ª safra'!$E19:$Z19,MIN(AV$6-$E$3,22))),0))-IF($G$2,0,IF((AV$6-$G$3)&lt;1,0,IFERROR(LOOKUP(2,1/('Milho 2ª safra'!$E19:INDEX('Milho 2ª safra'!$E19:$Z19,MIN(AV$6-$G$3,22))&lt;&gt;""),'Milho 2ª safra'!$E19:INDEX('Milho 2ª safra'!$E19:$Z19,MIN(AV$6-$G$3,22))),0)))))</f>
        <v>0</v>
      </c>
      <c r="AW21" s="27" t="n">
        <f aca="false">IF(COUNT('Milho 2ª safra'!$E19:$Z19)=0,0,MAX(0,IF((AW$6-$E$3)&lt;1,0,IFERROR(LOOKUP(2,1/('Milho 2ª safra'!$E19:INDEX('Milho 2ª safra'!$E19:$Z19,MIN(AW$6-$E$3,22))&lt;&gt;""),'Milho 2ª safra'!$E19:INDEX('Milho 2ª safra'!$E19:$Z19,MIN(AW$6-$E$3,22))),0))-IF($G$2,0,IF((AW$6-$G$3)&lt;1,0,IFERROR(LOOKUP(2,1/('Milho 2ª safra'!$E19:INDEX('Milho 2ª safra'!$E19:$Z19,MIN(AW$6-$G$3,22))&lt;&gt;""),'Milho 2ª safra'!$E19:INDEX('Milho 2ª safra'!$E19:$Z19,MIN(AW$6-$G$3,22))),0)))))</f>
        <v>0</v>
      </c>
      <c r="AX21" s="27" t="n">
        <f aca="false">IF(COUNT('Milho 2ª safra'!$E19:$Z19)=0,0,MAX(0,IF((AX$6-$E$3)&lt;1,0,IFERROR(LOOKUP(2,1/('Milho 2ª safra'!$E19:INDEX('Milho 2ª safra'!$E19:$Z19,MIN(AX$6-$E$3,22))&lt;&gt;""),'Milho 2ª safra'!$E19:INDEX('Milho 2ª safra'!$E19:$Z19,MIN(AX$6-$E$3,22))),0))-IF($G$2,0,IF((AX$6-$G$3)&lt;1,0,IFERROR(LOOKUP(2,1/('Milho 2ª safra'!$E19:INDEX('Milho 2ª safra'!$E19:$Z19,MIN(AX$6-$G$3,22))&lt;&gt;""),'Milho 2ª safra'!$E19:INDEX('Milho 2ª safra'!$E19:$Z19,MIN(AX$6-$G$3,22))),0)))))</f>
        <v>0</v>
      </c>
      <c r="AY21" s="27" t="n">
        <f aca="false">IF(COUNT('Milho 2ª safra'!$E19:$Z19)=0,0,MAX(0,IF((AY$6-$E$3)&lt;1,0,IFERROR(LOOKUP(2,1/('Milho 2ª safra'!$E19:INDEX('Milho 2ª safra'!$E19:$Z19,MIN(AY$6-$E$3,22))&lt;&gt;""),'Milho 2ª safra'!$E19:INDEX('Milho 2ª safra'!$E19:$Z19,MIN(AY$6-$E$3,22))),0))-IF($G$2,0,IF((AY$6-$G$3)&lt;1,0,IFERROR(LOOKUP(2,1/('Milho 2ª safra'!$E19:INDEX('Milho 2ª safra'!$E19:$Z19,MIN(AY$6-$G$3,22))&lt;&gt;""),'Milho 2ª safra'!$E19:INDEX('Milho 2ª safra'!$E19:$Z19,MIN(AY$6-$G$3,22))),0)))))</f>
        <v>0</v>
      </c>
      <c r="AZ21" s="27" t="n">
        <f aca="false">IF(COUNT('Milho 2ª safra'!$E19:$Z19)=0,0,MAX(0,IF((AZ$6-$E$3)&lt;1,0,IFERROR(LOOKUP(2,1/('Milho 2ª safra'!$E19:INDEX('Milho 2ª safra'!$E19:$Z19,MIN(AZ$6-$E$3,22))&lt;&gt;""),'Milho 2ª safra'!$E19:INDEX('Milho 2ª safra'!$E19:$Z19,MIN(AZ$6-$E$3,22))),0))-IF($G$2,0,IF((AZ$6-$G$3)&lt;1,0,IFERROR(LOOKUP(2,1/('Milho 2ª safra'!$E19:INDEX('Milho 2ª safra'!$E19:$Z19,MIN(AZ$6-$G$3,22))&lt;&gt;""),'Milho 2ª safra'!$E19:INDEX('Milho 2ª safra'!$E19:$Z19,MIN(AZ$6-$G$3,22))),0)))))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IF(COUNT('Milho 2ª safra'!$E20:$Z20)&gt;0,N('Milho 2ª safra'!$D20),0)</f>
        <v>0</v>
      </c>
      <c r="E22" s="27" t="n">
        <f aca="false">IF(COUNT('Milho 2ª safra'!$E20:$Z20)=0,0,MAX(0,IF((E$6-$E$3)&lt;1,0,IFERROR(LOOKUP(2,1/('Milho 2ª safra'!$E20:INDEX('Milho 2ª safra'!$E20:$Z20,MIN(E$6-$E$3,22))&lt;&gt;""),'Milho 2ª safra'!$E20:INDEX('Milho 2ª safra'!$E20:$Z20,MIN(E$6-$E$3,22))),0))-IF($G$2,0,IF((E$6-$G$3)&lt;1,0,IFERROR(LOOKUP(2,1/('Milho 2ª safra'!$E20:INDEX('Milho 2ª safra'!$E20:$Z20,MIN(E$6-$G$3,22))&lt;&gt;""),'Milho 2ª safra'!$E20:INDEX('Milho 2ª safra'!$E20:$Z20,MIN(E$6-$G$3,22))),0)))))</f>
        <v>0</v>
      </c>
      <c r="F22" s="27" t="n">
        <f aca="false">IF(COUNT('Milho 2ª safra'!$E20:$Z20)=0,0,MAX(0,IF((F$6-$E$3)&lt;1,0,IFERROR(LOOKUP(2,1/('Milho 2ª safra'!$E20:INDEX('Milho 2ª safra'!$E20:$Z20,MIN(F$6-$E$3,22))&lt;&gt;""),'Milho 2ª safra'!$E20:INDEX('Milho 2ª safra'!$E20:$Z20,MIN(F$6-$E$3,22))),0))-IF($G$2,0,IF((F$6-$G$3)&lt;1,0,IFERROR(LOOKUP(2,1/('Milho 2ª safra'!$E20:INDEX('Milho 2ª safra'!$E20:$Z20,MIN(F$6-$G$3,22))&lt;&gt;""),'Milho 2ª safra'!$E20:INDEX('Milho 2ª safra'!$E20:$Z20,MIN(F$6-$G$3,22))),0)))))</f>
        <v>0</v>
      </c>
      <c r="G22" s="27" t="n">
        <f aca="false">IF(COUNT('Milho 2ª safra'!$E20:$Z20)=0,0,MAX(0,IF((G$6-$E$3)&lt;1,0,IFERROR(LOOKUP(2,1/('Milho 2ª safra'!$E20:INDEX('Milho 2ª safra'!$E20:$Z20,MIN(G$6-$E$3,22))&lt;&gt;""),'Milho 2ª safra'!$E20:INDEX('Milho 2ª safra'!$E20:$Z20,MIN(G$6-$E$3,22))),0))-IF($G$2,0,IF((G$6-$G$3)&lt;1,0,IFERROR(LOOKUP(2,1/('Milho 2ª safra'!$E20:INDEX('Milho 2ª safra'!$E20:$Z20,MIN(G$6-$G$3,22))&lt;&gt;""),'Milho 2ª safra'!$E20:INDEX('Milho 2ª safra'!$E20:$Z20,MIN(G$6-$G$3,22))),0)))))</f>
        <v>0</v>
      </c>
      <c r="H22" s="27" t="n">
        <f aca="false">IF(COUNT('Milho 2ª safra'!$E20:$Z20)=0,0,MAX(0,IF((H$6-$E$3)&lt;1,0,IFERROR(LOOKUP(2,1/('Milho 2ª safra'!$E20:INDEX('Milho 2ª safra'!$E20:$Z20,MIN(H$6-$E$3,22))&lt;&gt;""),'Milho 2ª safra'!$E20:INDEX('Milho 2ª safra'!$E20:$Z20,MIN(H$6-$E$3,22))),0))-IF($G$2,0,IF((H$6-$G$3)&lt;1,0,IFERROR(LOOKUP(2,1/('Milho 2ª safra'!$E20:INDEX('Milho 2ª safra'!$E20:$Z20,MIN(H$6-$G$3,22))&lt;&gt;""),'Milho 2ª safra'!$E20:INDEX('Milho 2ª safra'!$E20:$Z20,MIN(H$6-$G$3,22))),0)))))</f>
        <v>0</v>
      </c>
      <c r="I22" s="27" t="n">
        <f aca="false">IF(COUNT('Milho 2ª safra'!$E20:$Z20)=0,0,MAX(0,IF((I$6-$E$3)&lt;1,0,IFERROR(LOOKUP(2,1/('Milho 2ª safra'!$E20:INDEX('Milho 2ª safra'!$E20:$Z20,MIN(I$6-$E$3,22))&lt;&gt;""),'Milho 2ª safra'!$E20:INDEX('Milho 2ª safra'!$E20:$Z20,MIN(I$6-$E$3,22))),0))-IF($G$2,0,IF((I$6-$G$3)&lt;1,0,IFERROR(LOOKUP(2,1/('Milho 2ª safra'!$E20:INDEX('Milho 2ª safra'!$E20:$Z20,MIN(I$6-$G$3,22))&lt;&gt;""),'Milho 2ª safra'!$E20:INDEX('Milho 2ª safra'!$E20:$Z20,MIN(I$6-$G$3,22))),0)))))</f>
        <v>0</v>
      </c>
      <c r="J22" s="27" t="n">
        <f aca="false">IF(COUNT('Milho 2ª safra'!$E20:$Z20)=0,0,MAX(0,IF((J$6-$E$3)&lt;1,0,IFERROR(LOOKUP(2,1/('Milho 2ª safra'!$E20:INDEX('Milho 2ª safra'!$E20:$Z20,MIN(J$6-$E$3,22))&lt;&gt;""),'Milho 2ª safra'!$E20:INDEX('Milho 2ª safra'!$E20:$Z20,MIN(J$6-$E$3,22))),0))-IF($G$2,0,IF((J$6-$G$3)&lt;1,0,IFERROR(LOOKUP(2,1/('Milho 2ª safra'!$E20:INDEX('Milho 2ª safra'!$E20:$Z20,MIN(J$6-$G$3,22))&lt;&gt;""),'Milho 2ª safra'!$E20:INDEX('Milho 2ª safra'!$E20:$Z20,MIN(J$6-$G$3,22))),0)))))</f>
        <v>0</v>
      </c>
      <c r="K22" s="27" t="n">
        <f aca="false">IF(COUNT('Milho 2ª safra'!$E20:$Z20)=0,0,MAX(0,IF((K$6-$E$3)&lt;1,0,IFERROR(LOOKUP(2,1/('Milho 2ª safra'!$E20:INDEX('Milho 2ª safra'!$E20:$Z20,MIN(K$6-$E$3,22))&lt;&gt;""),'Milho 2ª safra'!$E20:INDEX('Milho 2ª safra'!$E20:$Z20,MIN(K$6-$E$3,22))),0))-IF($G$2,0,IF((K$6-$G$3)&lt;1,0,IFERROR(LOOKUP(2,1/('Milho 2ª safra'!$E20:INDEX('Milho 2ª safra'!$E20:$Z20,MIN(K$6-$G$3,22))&lt;&gt;""),'Milho 2ª safra'!$E20:INDEX('Milho 2ª safra'!$E20:$Z20,MIN(K$6-$G$3,22))),0)))))</f>
        <v>0</v>
      </c>
      <c r="L22" s="27" t="n">
        <f aca="false">IF(COUNT('Milho 2ª safra'!$E20:$Z20)=0,0,MAX(0,IF((L$6-$E$3)&lt;1,0,IFERROR(LOOKUP(2,1/('Milho 2ª safra'!$E20:INDEX('Milho 2ª safra'!$E20:$Z20,MIN(L$6-$E$3,22))&lt;&gt;""),'Milho 2ª safra'!$E20:INDEX('Milho 2ª safra'!$E20:$Z20,MIN(L$6-$E$3,22))),0))-IF($G$2,0,IF((L$6-$G$3)&lt;1,0,IFERROR(LOOKUP(2,1/('Milho 2ª safra'!$E20:INDEX('Milho 2ª safra'!$E20:$Z20,MIN(L$6-$G$3,22))&lt;&gt;""),'Milho 2ª safra'!$E20:INDEX('Milho 2ª safra'!$E20:$Z20,MIN(L$6-$G$3,22))),0)))))</f>
        <v>0</v>
      </c>
      <c r="M22" s="27" t="n">
        <f aca="false">IF(COUNT('Milho 2ª safra'!$E20:$Z20)=0,0,MAX(0,IF((M$6-$E$3)&lt;1,0,IFERROR(LOOKUP(2,1/('Milho 2ª safra'!$E20:INDEX('Milho 2ª safra'!$E20:$Z20,MIN(M$6-$E$3,22))&lt;&gt;""),'Milho 2ª safra'!$E20:INDEX('Milho 2ª safra'!$E20:$Z20,MIN(M$6-$E$3,22))),0))-IF($G$2,0,IF((M$6-$G$3)&lt;1,0,IFERROR(LOOKUP(2,1/('Milho 2ª safra'!$E20:INDEX('Milho 2ª safra'!$E20:$Z20,MIN(M$6-$G$3,22))&lt;&gt;""),'Milho 2ª safra'!$E20:INDEX('Milho 2ª safra'!$E20:$Z20,MIN(M$6-$G$3,22))),0)))))</f>
        <v>0</v>
      </c>
      <c r="N22" s="27" t="n">
        <f aca="false">IF(COUNT('Milho 2ª safra'!$E20:$Z20)=0,0,MAX(0,IF((N$6-$E$3)&lt;1,0,IFERROR(LOOKUP(2,1/('Milho 2ª safra'!$E20:INDEX('Milho 2ª safra'!$E20:$Z20,MIN(N$6-$E$3,22))&lt;&gt;""),'Milho 2ª safra'!$E20:INDEX('Milho 2ª safra'!$E20:$Z20,MIN(N$6-$E$3,22))),0))-IF($G$2,0,IF((N$6-$G$3)&lt;1,0,IFERROR(LOOKUP(2,1/('Milho 2ª safra'!$E20:INDEX('Milho 2ª safra'!$E20:$Z20,MIN(N$6-$G$3,22))&lt;&gt;""),'Milho 2ª safra'!$E20:INDEX('Milho 2ª safra'!$E20:$Z20,MIN(N$6-$G$3,22))),0)))))</f>
        <v>0</v>
      </c>
      <c r="O22" s="27" t="n">
        <f aca="false">IF(COUNT('Milho 2ª safra'!$E20:$Z20)=0,0,MAX(0,IF((O$6-$E$3)&lt;1,0,IFERROR(LOOKUP(2,1/('Milho 2ª safra'!$E20:INDEX('Milho 2ª safra'!$E20:$Z20,MIN(O$6-$E$3,22))&lt;&gt;""),'Milho 2ª safra'!$E20:INDEX('Milho 2ª safra'!$E20:$Z20,MIN(O$6-$E$3,22))),0))-IF($G$2,0,IF((O$6-$G$3)&lt;1,0,IFERROR(LOOKUP(2,1/('Milho 2ª safra'!$E20:INDEX('Milho 2ª safra'!$E20:$Z20,MIN(O$6-$G$3,22))&lt;&gt;""),'Milho 2ª safra'!$E20:INDEX('Milho 2ª safra'!$E20:$Z20,MIN(O$6-$G$3,22))),0)))))</f>
        <v>0</v>
      </c>
      <c r="P22" s="27" t="n">
        <f aca="false">IF(COUNT('Milho 2ª safra'!$E20:$Z20)=0,0,MAX(0,IF((P$6-$E$3)&lt;1,0,IFERROR(LOOKUP(2,1/('Milho 2ª safra'!$E20:INDEX('Milho 2ª safra'!$E20:$Z20,MIN(P$6-$E$3,22))&lt;&gt;""),'Milho 2ª safra'!$E20:INDEX('Milho 2ª safra'!$E20:$Z20,MIN(P$6-$E$3,22))),0))-IF($G$2,0,IF((P$6-$G$3)&lt;1,0,IFERROR(LOOKUP(2,1/('Milho 2ª safra'!$E20:INDEX('Milho 2ª safra'!$E20:$Z20,MIN(P$6-$G$3,22))&lt;&gt;""),'Milho 2ª safra'!$E20:INDEX('Milho 2ª safra'!$E20:$Z20,MIN(P$6-$G$3,22))),0)))))</f>
        <v>0</v>
      </c>
      <c r="Q22" s="27" t="n">
        <f aca="false">IF(COUNT('Milho 2ª safra'!$E20:$Z20)=0,0,MAX(0,IF((Q$6-$E$3)&lt;1,0,IFERROR(LOOKUP(2,1/('Milho 2ª safra'!$E20:INDEX('Milho 2ª safra'!$E20:$Z20,MIN(Q$6-$E$3,22))&lt;&gt;""),'Milho 2ª safra'!$E20:INDEX('Milho 2ª safra'!$E20:$Z20,MIN(Q$6-$E$3,22))),0))-IF($G$2,0,IF((Q$6-$G$3)&lt;1,0,IFERROR(LOOKUP(2,1/('Milho 2ª safra'!$E20:INDEX('Milho 2ª safra'!$E20:$Z20,MIN(Q$6-$G$3,22))&lt;&gt;""),'Milho 2ª safra'!$E20:INDEX('Milho 2ª safra'!$E20:$Z20,MIN(Q$6-$G$3,22))),0)))))</f>
        <v>0</v>
      </c>
      <c r="R22" s="27" t="n">
        <f aca="false">IF(COUNT('Milho 2ª safra'!$E20:$Z20)=0,0,MAX(0,IF((R$6-$E$3)&lt;1,0,IFERROR(LOOKUP(2,1/('Milho 2ª safra'!$E20:INDEX('Milho 2ª safra'!$E20:$Z20,MIN(R$6-$E$3,22))&lt;&gt;""),'Milho 2ª safra'!$E20:INDEX('Milho 2ª safra'!$E20:$Z20,MIN(R$6-$E$3,22))),0))-IF($G$2,0,IF((R$6-$G$3)&lt;1,0,IFERROR(LOOKUP(2,1/('Milho 2ª safra'!$E20:INDEX('Milho 2ª safra'!$E20:$Z20,MIN(R$6-$G$3,22))&lt;&gt;""),'Milho 2ª safra'!$E20:INDEX('Milho 2ª safra'!$E20:$Z20,MIN(R$6-$G$3,22))),0)))))</f>
        <v>0</v>
      </c>
      <c r="S22" s="27" t="n">
        <f aca="false">IF(COUNT('Milho 2ª safra'!$E20:$Z20)=0,0,MAX(0,IF((S$6-$E$3)&lt;1,0,IFERROR(LOOKUP(2,1/('Milho 2ª safra'!$E20:INDEX('Milho 2ª safra'!$E20:$Z20,MIN(S$6-$E$3,22))&lt;&gt;""),'Milho 2ª safra'!$E20:INDEX('Milho 2ª safra'!$E20:$Z20,MIN(S$6-$E$3,22))),0))-IF($G$2,0,IF((S$6-$G$3)&lt;1,0,IFERROR(LOOKUP(2,1/('Milho 2ª safra'!$E20:INDEX('Milho 2ª safra'!$E20:$Z20,MIN(S$6-$G$3,22))&lt;&gt;""),'Milho 2ª safra'!$E20:INDEX('Milho 2ª safra'!$E20:$Z20,MIN(S$6-$G$3,22))),0)))))</f>
        <v>0</v>
      </c>
      <c r="T22" s="27" t="n">
        <f aca="false">IF(COUNT('Milho 2ª safra'!$E20:$Z20)=0,0,MAX(0,IF((T$6-$E$3)&lt;1,0,IFERROR(LOOKUP(2,1/('Milho 2ª safra'!$E20:INDEX('Milho 2ª safra'!$E20:$Z20,MIN(T$6-$E$3,22))&lt;&gt;""),'Milho 2ª safra'!$E20:INDEX('Milho 2ª safra'!$E20:$Z20,MIN(T$6-$E$3,22))),0))-IF($G$2,0,IF((T$6-$G$3)&lt;1,0,IFERROR(LOOKUP(2,1/('Milho 2ª safra'!$E20:INDEX('Milho 2ª safra'!$E20:$Z20,MIN(T$6-$G$3,22))&lt;&gt;""),'Milho 2ª safra'!$E20:INDEX('Milho 2ª safra'!$E20:$Z20,MIN(T$6-$G$3,22))),0)))))</f>
        <v>0</v>
      </c>
      <c r="U22" s="27" t="n">
        <f aca="false">IF(COUNT('Milho 2ª safra'!$E20:$Z20)=0,0,MAX(0,IF((U$6-$E$3)&lt;1,0,IFERROR(LOOKUP(2,1/('Milho 2ª safra'!$E20:INDEX('Milho 2ª safra'!$E20:$Z20,MIN(U$6-$E$3,22))&lt;&gt;""),'Milho 2ª safra'!$E20:INDEX('Milho 2ª safra'!$E20:$Z20,MIN(U$6-$E$3,22))),0))-IF($G$2,0,IF((U$6-$G$3)&lt;1,0,IFERROR(LOOKUP(2,1/('Milho 2ª safra'!$E20:INDEX('Milho 2ª safra'!$E20:$Z20,MIN(U$6-$G$3,22))&lt;&gt;""),'Milho 2ª safra'!$E20:INDEX('Milho 2ª safra'!$E20:$Z20,MIN(U$6-$G$3,22))),0)))))</f>
        <v>0</v>
      </c>
      <c r="V22" s="27" t="n">
        <f aca="false">IF(COUNT('Milho 2ª safra'!$E20:$Z20)=0,0,MAX(0,IF((V$6-$E$3)&lt;1,0,IFERROR(LOOKUP(2,1/('Milho 2ª safra'!$E20:INDEX('Milho 2ª safra'!$E20:$Z20,MIN(V$6-$E$3,22))&lt;&gt;""),'Milho 2ª safra'!$E20:INDEX('Milho 2ª safra'!$E20:$Z20,MIN(V$6-$E$3,22))),0))-IF($G$2,0,IF((V$6-$G$3)&lt;1,0,IFERROR(LOOKUP(2,1/('Milho 2ª safra'!$E20:INDEX('Milho 2ª safra'!$E20:$Z20,MIN(V$6-$G$3,22))&lt;&gt;""),'Milho 2ª safra'!$E20:INDEX('Milho 2ª safra'!$E20:$Z20,MIN(V$6-$G$3,22))),0)))))</f>
        <v>0</v>
      </c>
      <c r="W22" s="27" t="n">
        <f aca="false">IF(COUNT('Milho 2ª safra'!$E20:$Z20)=0,0,MAX(0,IF((W$6-$E$3)&lt;1,0,IFERROR(LOOKUP(2,1/('Milho 2ª safra'!$E20:INDEX('Milho 2ª safra'!$E20:$Z20,MIN(W$6-$E$3,22))&lt;&gt;""),'Milho 2ª safra'!$E20:INDEX('Milho 2ª safra'!$E20:$Z20,MIN(W$6-$E$3,22))),0))-IF($G$2,0,IF((W$6-$G$3)&lt;1,0,IFERROR(LOOKUP(2,1/('Milho 2ª safra'!$E20:INDEX('Milho 2ª safra'!$E20:$Z20,MIN(W$6-$G$3,22))&lt;&gt;""),'Milho 2ª safra'!$E20:INDEX('Milho 2ª safra'!$E20:$Z20,MIN(W$6-$G$3,22))),0)))))</f>
        <v>0</v>
      </c>
      <c r="X22" s="27" t="n">
        <f aca="false">IF(COUNT('Milho 2ª safra'!$E20:$Z20)=0,0,MAX(0,IF((X$6-$E$3)&lt;1,0,IFERROR(LOOKUP(2,1/('Milho 2ª safra'!$E20:INDEX('Milho 2ª safra'!$E20:$Z20,MIN(X$6-$E$3,22))&lt;&gt;""),'Milho 2ª safra'!$E20:INDEX('Milho 2ª safra'!$E20:$Z20,MIN(X$6-$E$3,22))),0))-IF($G$2,0,IF((X$6-$G$3)&lt;1,0,IFERROR(LOOKUP(2,1/('Milho 2ª safra'!$E20:INDEX('Milho 2ª safra'!$E20:$Z20,MIN(X$6-$G$3,22))&lt;&gt;""),'Milho 2ª safra'!$E20:INDEX('Milho 2ª safra'!$E20:$Z20,MIN(X$6-$G$3,22))),0)))))</f>
        <v>0</v>
      </c>
      <c r="Y22" s="27" t="n">
        <f aca="false">IF(COUNT('Milho 2ª safra'!$E20:$Z20)=0,0,MAX(0,IF((Y$6-$E$3)&lt;1,0,IFERROR(LOOKUP(2,1/('Milho 2ª safra'!$E20:INDEX('Milho 2ª safra'!$E20:$Z20,MIN(Y$6-$E$3,22))&lt;&gt;""),'Milho 2ª safra'!$E20:INDEX('Milho 2ª safra'!$E20:$Z20,MIN(Y$6-$E$3,22))),0))-IF($G$2,0,IF((Y$6-$G$3)&lt;1,0,IFERROR(LOOKUP(2,1/('Milho 2ª safra'!$E20:INDEX('Milho 2ª safra'!$E20:$Z20,MIN(Y$6-$G$3,22))&lt;&gt;""),'Milho 2ª safra'!$E20:INDEX('Milho 2ª safra'!$E20:$Z20,MIN(Y$6-$G$3,22))),0)))))</f>
        <v>0</v>
      </c>
      <c r="Z22" s="27" t="n">
        <f aca="false">IF(COUNT('Milho 2ª safra'!$E20:$Z20)=0,0,MAX(0,IF((Z$6-$E$3)&lt;1,0,IFERROR(LOOKUP(2,1/('Milho 2ª safra'!$E20:INDEX('Milho 2ª safra'!$E20:$Z20,MIN(Z$6-$E$3,22))&lt;&gt;""),'Milho 2ª safra'!$E20:INDEX('Milho 2ª safra'!$E20:$Z20,MIN(Z$6-$E$3,22))),0))-IF($G$2,0,IF((Z$6-$G$3)&lt;1,0,IFERROR(LOOKUP(2,1/('Milho 2ª safra'!$E20:INDEX('Milho 2ª safra'!$E20:$Z20,MIN(Z$6-$G$3,22))&lt;&gt;""),'Milho 2ª safra'!$E20:INDEX('Milho 2ª safra'!$E20:$Z20,MIN(Z$6-$G$3,22))),0)))))</f>
        <v>0</v>
      </c>
      <c r="AA22" s="27" t="n">
        <f aca="false">IF(COUNT('Milho 2ª safra'!$E20:$Z20)=0,0,MAX(0,IF((AA$6-$E$3)&lt;1,0,IFERROR(LOOKUP(2,1/('Milho 2ª safra'!$E20:INDEX('Milho 2ª safra'!$E20:$Z20,MIN(AA$6-$E$3,22))&lt;&gt;""),'Milho 2ª safra'!$E20:INDEX('Milho 2ª safra'!$E20:$Z20,MIN(AA$6-$E$3,22))),0))-IF($G$2,0,IF((AA$6-$G$3)&lt;1,0,IFERROR(LOOKUP(2,1/('Milho 2ª safra'!$E20:INDEX('Milho 2ª safra'!$E20:$Z20,MIN(AA$6-$G$3,22))&lt;&gt;""),'Milho 2ª safra'!$E20:INDEX('Milho 2ª safra'!$E20:$Z20,MIN(AA$6-$G$3,22))),0)))))</f>
        <v>0</v>
      </c>
      <c r="AB22" s="27" t="n">
        <f aca="false">IF(COUNT('Milho 2ª safra'!$E20:$Z20)=0,0,MAX(0,IF((AB$6-$E$3)&lt;1,0,IFERROR(LOOKUP(2,1/('Milho 2ª safra'!$E20:INDEX('Milho 2ª safra'!$E20:$Z20,MIN(AB$6-$E$3,22))&lt;&gt;""),'Milho 2ª safra'!$E20:INDEX('Milho 2ª safra'!$E20:$Z20,MIN(AB$6-$E$3,22))),0))-IF($G$2,0,IF((AB$6-$G$3)&lt;1,0,IFERROR(LOOKUP(2,1/('Milho 2ª safra'!$E20:INDEX('Milho 2ª safra'!$E20:$Z20,MIN(AB$6-$G$3,22))&lt;&gt;""),'Milho 2ª safra'!$E20:INDEX('Milho 2ª safra'!$E20:$Z20,MIN(AB$6-$G$3,22))),0)))))</f>
        <v>0</v>
      </c>
      <c r="AC22" s="27" t="n">
        <f aca="false">IF(COUNT('Milho 2ª safra'!$E20:$Z20)=0,0,MAX(0,IF((AC$6-$E$3)&lt;1,0,IFERROR(LOOKUP(2,1/('Milho 2ª safra'!$E20:INDEX('Milho 2ª safra'!$E20:$Z20,MIN(AC$6-$E$3,22))&lt;&gt;""),'Milho 2ª safra'!$E20:INDEX('Milho 2ª safra'!$E20:$Z20,MIN(AC$6-$E$3,22))),0))-IF($G$2,0,IF((AC$6-$G$3)&lt;1,0,IFERROR(LOOKUP(2,1/('Milho 2ª safra'!$E20:INDEX('Milho 2ª safra'!$E20:$Z20,MIN(AC$6-$G$3,22))&lt;&gt;""),'Milho 2ª safra'!$E20:INDEX('Milho 2ª safra'!$E20:$Z20,MIN(AC$6-$G$3,22))),0)))))</f>
        <v>0</v>
      </c>
      <c r="AD22" s="27" t="n">
        <f aca="false">IF(COUNT('Milho 2ª safra'!$E20:$Z20)=0,0,MAX(0,IF((AD$6-$E$3)&lt;1,0,IFERROR(LOOKUP(2,1/('Milho 2ª safra'!$E20:INDEX('Milho 2ª safra'!$E20:$Z20,MIN(AD$6-$E$3,22))&lt;&gt;""),'Milho 2ª safra'!$E20:INDEX('Milho 2ª safra'!$E20:$Z20,MIN(AD$6-$E$3,22))),0))-IF($G$2,0,IF((AD$6-$G$3)&lt;1,0,IFERROR(LOOKUP(2,1/('Milho 2ª safra'!$E20:INDEX('Milho 2ª safra'!$E20:$Z20,MIN(AD$6-$G$3,22))&lt;&gt;""),'Milho 2ª safra'!$E20:INDEX('Milho 2ª safra'!$E20:$Z20,MIN(AD$6-$G$3,22))),0)))))</f>
        <v>0</v>
      </c>
      <c r="AE22" s="27" t="n">
        <f aca="false">IF(COUNT('Milho 2ª safra'!$E20:$Z20)=0,0,MAX(0,IF((AE$6-$E$3)&lt;1,0,IFERROR(LOOKUP(2,1/('Milho 2ª safra'!$E20:INDEX('Milho 2ª safra'!$E20:$Z20,MIN(AE$6-$E$3,22))&lt;&gt;""),'Milho 2ª safra'!$E20:INDEX('Milho 2ª safra'!$E20:$Z20,MIN(AE$6-$E$3,22))),0))-IF($G$2,0,IF((AE$6-$G$3)&lt;1,0,IFERROR(LOOKUP(2,1/('Milho 2ª safra'!$E20:INDEX('Milho 2ª safra'!$E20:$Z20,MIN(AE$6-$G$3,22))&lt;&gt;""),'Milho 2ª safra'!$E20:INDEX('Milho 2ª safra'!$E20:$Z20,MIN(AE$6-$G$3,22))),0)))))</f>
        <v>0</v>
      </c>
      <c r="AF22" s="27" t="n">
        <f aca="false">IF(COUNT('Milho 2ª safra'!$E20:$Z20)=0,0,MAX(0,IF((AF$6-$E$3)&lt;1,0,IFERROR(LOOKUP(2,1/('Milho 2ª safra'!$E20:INDEX('Milho 2ª safra'!$E20:$Z20,MIN(AF$6-$E$3,22))&lt;&gt;""),'Milho 2ª safra'!$E20:INDEX('Milho 2ª safra'!$E20:$Z20,MIN(AF$6-$E$3,22))),0))-IF($G$2,0,IF((AF$6-$G$3)&lt;1,0,IFERROR(LOOKUP(2,1/('Milho 2ª safra'!$E20:INDEX('Milho 2ª safra'!$E20:$Z20,MIN(AF$6-$G$3,22))&lt;&gt;""),'Milho 2ª safra'!$E20:INDEX('Milho 2ª safra'!$E20:$Z20,MIN(AF$6-$G$3,22))),0)))))</f>
        <v>0</v>
      </c>
      <c r="AG22" s="27" t="n">
        <f aca="false">IF(COUNT('Milho 2ª safra'!$E20:$Z20)=0,0,MAX(0,IF((AG$6-$E$3)&lt;1,0,IFERROR(LOOKUP(2,1/('Milho 2ª safra'!$E20:INDEX('Milho 2ª safra'!$E20:$Z20,MIN(AG$6-$E$3,22))&lt;&gt;""),'Milho 2ª safra'!$E20:INDEX('Milho 2ª safra'!$E20:$Z20,MIN(AG$6-$E$3,22))),0))-IF($G$2,0,IF((AG$6-$G$3)&lt;1,0,IFERROR(LOOKUP(2,1/('Milho 2ª safra'!$E20:INDEX('Milho 2ª safra'!$E20:$Z20,MIN(AG$6-$G$3,22))&lt;&gt;""),'Milho 2ª safra'!$E20:INDEX('Milho 2ª safra'!$E20:$Z20,MIN(AG$6-$G$3,22))),0)))))</f>
        <v>0</v>
      </c>
      <c r="AH22" s="27" t="n">
        <f aca="false">IF(COUNT('Milho 2ª safra'!$E20:$Z20)=0,0,MAX(0,IF((AH$6-$E$3)&lt;1,0,IFERROR(LOOKUP(2,1/('Milho 2ª safra'!$E20:INDEX('Milho 2ª safra'!$E20:$Z20,MIN(AH$6-$E$3,22))&lt;&gt;""),'Milho 2ª safra'!$E20:INDEX('Milho 2ª safra'!$E20:$Z20,MIN(AH$6-$E$3,22))),0))-IF($G$2,0,IF((AH$6-$G$3)&lt;1,0,IFERROR(LOOKUP(2,1/('Milho 2ª safra'!$E20:INDEX('Milho 2ª safra'!$E20:$Z20,MIN(AH$6-$G$3,22))&lt;&gt;""),'Milho 2ª safra'!$E20:INDEX('Milho 2ª safra'!$E20:$Z20,MIN(AH$6-$G$3,22))),0)))))</f>
        <v>0</v>
      </c>
      <c r="AI22" s="27" t="n">
        <f aca="false">IF(COUNT('Milho 2ª safra'!$E20:$Z20)=0,0,MAX(0,IF((AI$6-$E$3)&lt;1,0,IFERROR(LOOKUP(2,1/('Milho 2ª safra'!$E20:INDEX('Milho 2ª safra'!$E20:$Z20,MIN(AI$6-$E$3,22))&lt;&gt;""),'Milho 2ª safra'!$E20:INDEX('Milho 2ª safra'!$E20:$Z20,MIN(AI$6-$E$3,22))),0))-IF($G$2,0,IF((AI$6-$G$3)&lt;1,0,IFERROR(LOOKUP(2,1/('Milho 2ª safra'!$E20:INDEX('Milho 2ª safra'!$E20:$Z20,MIN(AI$6-$G$3,22))&lt;&gt;""),'Milho 2ª safra'!$E20:INDEX('Milho 2ª safra'!$E20:$Z20,MIN(AI$6-$G$3,22))),0)))))</f>
        <v>0</v>
      </c>
      <c r="AJ22" s="27" t="n">
        <f aca="false">IF(COUNT('Milho 2ª safra'!$E20:$Z20)=0,0,MAX(0,IF((AJ$6-$E$3)&lt;1,0,IFERROR(LOOKUP(2,1/('Milho 2ª safra'!$E20:INDEX('Milho 2ª safra'!$E20:$Z20,MIN(AJ$6-$E$3,22))&lt;&gt;""),'Milho 2ª safra'!$E20:INDEX('Milho 2ª safra'!$E20:$Z20,MIN(AJ$6-$E$3,22))),0))-IF($G$2,0,IF((AJ$6-$G$3)&lt;1,0,IFERROR(LOOKUP(2,1/('Milho 2ª safra'!$E20:INDEX('Milho 2ª safra'!$E20:$Z20,MIN(AJ$6-$G$3,22))&lt;&gt;""),'Milho 2ª safra'!$E20:INDEX('Milho 2ª safra'!$E20:$Z20,MIN(AJ$6-$G$3,22))),0)))))</f>
        <v>0</v>
      </c>
      <c r="AK22" s="27" t="n">
        <f aca="false">IF(COUNT('Milho 2ª safra'!$E20:$Z20)=0,0,MAX(0,IF((AK$6-$E$3)&lt;1,0,IFERROR(LOOKUP(2,1/('Milho 2ª safra'!$E20:INDEX('Milho 2ª safra'!$E20:$Z20,MIN(AK$6-$E$3,22))&lt;&gt;""),'Milho 2ª safra'!$E20:INDEX('Milho 2ª safra'!$E20:$Z20,MIN(AK$6-$E$3,22))),0))-IF($G$2,0,IF((AK$6-$G$3)&lt;1,0,IFERROR(LOOKUP(2,1/('Milho 2ª safra'!$E20:INDEX('Milho 2ª safra'!$E20:$Z20,MIN(AK$6-$G$3,22))&lt;&gt;""),'Milho 2ª safra'!$E20:INDEX('Milho 2ª safra'!$E20:$Z20,MIN(AK$6-$G$3,22))),0)))))</f>
        <v>0</v>
      </c>
      <c r="AL22" s="27" t="n">
        <f aca="false">IF(COUNT('Milho 2ª safra'!$E20:$Z20)=0,0,MAX(0,IF((AL$6-$E$3)&lt;1,0,IFERROR(LOOKUP(2,1/('Milho 2ª safra'!$E20:INDEX('Milho 2ª safra'!$E20:$Z20,MIN(AL$6-$E$3,22))&lt;&gt;""),'Milho 2ª safra'!$E20:INDEX('Milho 2ª safra'!$E20:$Z20,MIN(AL$6-$E$3,22))),0))-IF($G$2,0,IF((AL$6-$G$3)&lt;1,0,IFERROR(LOOKUP(2,1/('Milho 2ª safra'!$E20:INDEX('Milho 2ª safra'!$E20:$Z20,MIN(AL$6-$G$3,22))&lt;&gt;""),'Milho 2ª safra'!$E20:INDEX('Milho 2ª safra'!$E20:$Z20,MIN(AL$6-$G$3,22))),0)))))</f>
        <v>0</v>
      </c>
      <c r="AM22" s="27" t="n">
        <f aca="false">IF(COUNT('Milho 2ª safra'!$E20:$Z20)=0,0,MAX(0,IF((AM$6-$E$3)&lt;1,0,IFERROR(LOOKUP(2,1/('Milho 2ª safra'!$E20:INDEX('Milho 2ª safra'!$E20:$Z20,MIN(AM$6-$E$3,22))&lt;&gt;""),'Milho 2ª safra'!$E20:INDEX('Milho 2ª safra'!$E20:$Z20,MIN(AM$6-$E$3,22))),0))-IF($G$2,0,IF((AM$6-$G$3)&lt;1,0,IFERROR(LOOKUP(2,1/('Milho 2ª safra'!$E20:INDEX('Milho 2ª safra'!$E20:$Z20,MIN(AM$6-$G$3,22))&lt;&gt;""),'Milho 2ª safra'!$E20:INDEX('Milho 2ª safra'!$E20:$Z20,MIN(AM$6-$G$3,22))),0)))))</f>
        <v>0</v>
      </c>
      <c r="AN22" s="27" t="n">
        <f aca="false">IF(COUNT('Milho 2ª safra'!$E20:$Z20)=0,0,MAX(0,IF((AN$6-$E$3)&lt;1,0,IFERROR(LOOKUP(2,1/('Milho 2ª safra'!$E20:INDEX('Milho 2ª safra'!$E20:$Z20,MIN(AN$6-$E$3,22))&lt;&gt;""),'Milho 2ª safra'!$E20:INDEX('Milho 2ª safra'!$E20:$Z20,MIN(AN$6-$E$3,22))),0))-IF($G$2,0,IF((AN$6-$G$3)&lt;1,0,IFERROR(LOOKUP(2,1/('Milho 2ª safra'!$E20:INDEX('Milho 2ª safra'!$E20:$Z20,MIN(AN$6-$G$3,22))&lt;&gt;""),'Milho 2ª safra'!$E20:INDEX('Milho 2ª safra'!$E20:$Z20,MIN(AN$6-$G$3,22))),0)))))</f>
        <v>0</v>
      </c>
      <c r="AO22" s="27" t="n">
        <f aca="false">IF(COUNT('Milho 2ª safra'!$E20:$Z20)=0,0,MAX(0,IF((AO$6-$E$3)&lt;1,0,IFERROR(LOOKUP(2,1/('Milho 2ª safra'!$E20:INDEX('Milho 2ª safra'!$E20:$Z20,MIN(AO$6-$E$3,22))&lt;&gt;""),'Milho 2ª safra'!$E20:INDEX('Milho 2ª safra'!$E20:$Z20,MIN(AO$6-$E$3,22))),0))-IF($G$2,0,IF((AO$6-$G$3)&lt;1,0,IFERROR(LOOKUP(2,1/('Milho 2ª safra'!$E20:INDEX('Milho 2ª safra'!$E20:$Z20,MIN(AO$6-$G$3,22))&lt;&gt;""),'Milho 2ª safra'!$E20:INDEX('Milho 2ª safra'!$E20:$Z20,MIN(AO$6-$G$3,22))),0)))))</f>
        <v>0</v>
      </c>
      <c r="AP22" s="27" t="n">
        <f aca="false">IF(COUNT('Milho 2ª safra'!$E20:$Z20)=0,0,MAX(0,IF((AP$6-$E$3)&lt;1,0,IFERROR(LOOKUP(2,1/('Milho 2ª safra'!$E20:INDEX('Milho 2ª safra'!$E20:$Z20,MIN(AP$6-$E$3,22))&lt;&gt;""),'Milho 2ª safra'!$E20:INDEX('Milho 2ª safra'!$E20:$Z20,MIN(AP$6-$E$3,22))),0))-IF($G$2,0,IF((AP$6-$G$3)&lt;1,0,IFERROR(LOOKUP(2,1/('Milho 2ª safra'!$E20:INDEX('Milho 2ª safra'!$E20:$Z20,MIN(AP$6-$G$3,22))&lt;&gt;""),'Milho 2ª safra'!$E20:INDEX('Milho 2ª safra'!$E20:$Z20,MIN(AP$6-$G$3,22))),0)))))</f>
        <v>0</v>
      </c>
      <c r="AQ22" s="27" t="n">
        <f aca="false">IF(COUNT('Milho 2ª safra'!$E20:$Z20)=0,0,MAX(0,IF((AQ$6-$E$3)&lt;1,0,IFERROR(LOOKUP(2,1/('Milho 2ª safra'!$E20:INDEX('Milho 2ª safra'!$E20:$Z20,MIN(AQ$6-$E$3,22))&lt;&gt;""),'Milho 2ª safra'!$E20:INDEX('Milho 2ª safra'!$E20:$Z20,MIN(AQ$6-$E$3,22))),0))-IF($G$2,0,IF((AQ$6-$G$3)&lt;1,0,IFERROR(LOOKUP(2,1/('Milho 2ª safra'!$E20:INDEX('Milho 2ª safra'!$E20:$Z20,MIN(AQ$6-$G$3,22))&lt;&gt;""),'Milho 2ª safra'!$E20:INDEX('Milho 2ª safra'!$E20:$Z20,MIN(AQ$6-$G$3,22))),0)))))</f>
        <v>0</v>
      </c>
      <c r="AR22" s="27" t="n">
        <f aca="false">IF(COUNT('Milho 2ª safra'!$E20:$Z20)=0,0,MAX(0,IF((AR$6-$E$3)&lt;1,0,IFERROR(LOOKUP(2,1/('Milho 2ª safra'!$E20:INDEX('Milho 2ª safra'!$E20:$Z20,MIN(AR$6-$E$3,22))&lt;&gt;""),'Milho 2ª safra'!$E20:INDEX('Milho 2ª safra'!$E20:$Z20,MIN(AR$6-$E$3,22))),0))-IF($G$2,0,IF((AR$6-$G$3)&lt;1,0,IFERROR(LOOKUP(2,1/('Milho 2ª safra'!$E20:INDEX('Milho 2ª safra'!$E20:$Z20,MIN(AR$6-$G$3,22))&lt;&gt;""),'Milho 2ª safra'!$E20:INDEX('Milho 2ª safra'!$E20:$Z20,MIN(AR$6-$G$3,22))),0)))))</f>
        <v>0</v>
      </c>
      <c r="AS22" s="27" t="n">
        <f aca="false">IF(COUNT('Milho 2ª safra'!$E20:$Z20)=0,0,MAX(0,IF((AS$6-$E$3)&lt;1,0,IFERROR(LOOKUP(2,1/('Milho 2ª safra'!$E20:INDEX('Milho 2ª safra'!$E20:$Z20,MIN(AS$6-$E$3,22))&lt;&gt;""),'Milho 2ª safra'!$E20:INDEX('Milho 2ª safra'!$E20:$Z20,MIN(AS$6-$E$3,22))),0))-IF($G$2,0,IF((AS$6-$G$3)&lt;1,0,IFERROR(LOOKUP(2,1/('Milho 2ª safra'!$E20:INDEX('Milho 2ª safra'!$E20:$Z20,MIN(AS$6-$G$3,22))&lt;&gt;""),'Milho 2ª safra'!$E20:INDEX('Milho 2ª safra'!$E20:$Z20,MIN(AS$6-$G$3,22))),0)))))</f>
        <v>0</v>
      </c>
      <c r="AT22" s="27" t="n">
        <f aca="false">IF(COUNT('Milho 2ª safra'!$E20:$Z20)=0,0,MAX(0,IF((AT$6-$E$3)&lt;1,0,IFERROR(LOOKUP(2,1/('Milho 2ª safra'!$E20:INDEX('Milho 2ª safra'!$E20:$Z20,MIN(AT$6-$E$3,22))&lt;&gt;""),'Milho 2ª safra'!$E20:INDEX('Milho 2ª safra'!$E20:$Z20,MIN(AT$6-$E$3,22))),0))-IF($G$2,0,IF((AT$6-$G$3)&lt;1,0,IFERROR(LOOKUP(2,1/('Milho 2ª safra'!$E20:INDEX('Milho 2ª safra'!$E20:$Z20,MIN(AT$6-$G$3,22))&lt;&gt;""),'Milho 2ª safra'!$E20:INDEX('Milho 2ª safra'!$E20:$Z20,MIN(AT$6-$G$3,22))),0)))))</f>
        <v>0</v>
      </c>
      <c r="AU22" s="27" t="n">
        <f aca="false">IF(COUNT('Milho 2ª safra'!$E20:$Z20)=0,0,MAX(0,IF((AU$6-$E$3)&lt;1,0,IFERROR(LOOKUP(2,1/('Milho 2ª safra'!$E20:INDEX('Milho 2ª safra'!$E20:$Z20,MIN(AU$6-$E$3,22))&lt;&gt;""),'Milho 2ª safra'!$E20:INDEX('Milho 2ª safra'!$E20:$Z20,MIN(AU$6-$E$3,22))),0))-IF($G$2,0,IF((AU$6-$G$3)&lt;1,0,IFERROR(LOOKUP(2,1/('Milho 2ª safra'!$E20:INDEX('Milho 2ª safra'!$E20:$Z20,MIN(AU$6-$G$3,22))&lt;&gt;""),'Milho 2ª safra'!$E20:INDEX('Milho 2ª safra'!$E20:$Z20,MIN(AU$6-$G$3,22))),0)))))</f>
        <v>0</v>
      </c>
      <c r="AV22" s="27" t="n">
        <f aca="false">IF(COUNT('Milho 2ª safra'!$E20:$Z20)=0,0,MAX(0,IF((AV$6-$E$3)&lt;1,0,IFERROR(LOOKUP(2,1/('Milho 2ª safra'!$E20:INDEX('Milho 2ª safra'!$E20:$Z20,MIN(AV$6-$E$3,22))&lt;&gt;""),'Milho 2ª safra'!$E20:INDEX('Milho 2ª safra'!$E20:$Z20,MIN(AV$6-$E$3,22))),0))-IF($G$2,0,IF((AV$6-$G$3)&lt;1,0,IFERROR(LOOKUP(2,1/('Milho 2ª safra'!$E20:INDEX('Milho 2ª safra'!$E20:$Z20,MIN(AV$6-$G$3,22))&lt;&gt;""),'Milho 2ª safra'!$E20:INDEX('Milho 2ª safra'!$E20:$Z20,MIN(AV$6-$G$3,22))),0)))))</f>
        <v>0</v>
      </c>
      <c r="AW22" s="27" t="n">
        <f aca="false">IF(COUNT('Milho 2ª safra'!$E20:$Z20)=0,0,MAX(0,IF((AW$6-$E$3)&lt;1,0,IFERROR(LOOKUP(2,1/('Milho 2ª safra'!$E20:INDEX('Milho 2ª safra'!$E20:$Z20,MIN(AW$6-$E$3,22))&lt;&gt;""),'Milho 2ª safra'!$E20:INDEX('Milho 2ª safra'!$E20:$Z20,MIN(AW$6-$E$3,22))),0))-IF($G$2,0,IF((AW$6-$G$3)&lt;1,0,IFERROR(LOOKUP(2,1/('Milho 2ª safra'!$E20:INDEX('Milho 2ª safra'!$E20:$Z20,MIN(AW$6-$G$3,22))&lt;&gt;""),'Milho 2ª safra'!$E20:INDEX('Milho 2ª safra'!$E20:$Z20,MIN(AW$6-$G$3,22))),0)))))</f>
        <v>0</v>
      </c>
      <c r="AX22" s="27" t="n">
        <f aca="false">IF(COUNT('Milho 2ª safra'!$E20:$Z20)=0,0,MAX(0,IF((AX$6-$E$3)&lt;1,0,IFERROR(LOOKUP(2,1/('Milho 2ª safra'!$E20:INDEX('Milho 2ª safra'!$E20:$Z20,MIN(AX$6-$E$3,22))&lt;&gt;""),'Milho 2ª safra'!$E20:INDEX('Milho 2ª safra'!$E20:$Z20,MIN(AX$6-$E$3,22))),0))-IF($G$2,0,IF((AX$6-$G$3)&lt;1,0,IFERROR(LOOKUP(2,1/('Milho 2ª safra'!$E20:INDEX('Milho 2ª safra'!$E20:$Z20,MIN(AX$6-$G$3,22))&lt;&gt;""),'Milho 2ª safra'!$E20:INDEX('Milho 2ª safra'!$E20:$Z20,MIN(AX$6-$G$3,22))),0)))))</f>
        <v>0</v>
      </c>
      <c r="AY22" s="27" t="n">
        <f aca="false">IF(COUNT('Milho 2ª safra'!$E20:$Z20)=0,0,MAX(0,IF((AY$6-$E$3)&lt;1,0,IFERROR(LOOKUP(2,1/('Milho 2ª safra'!$E20:INDEX('Milho 2ª safra'!$E20:$Z20,MIN(AY$6-$E$3,22))&lt;&gt;""),'Milho 2ª safra'!$E20:INDEX('Milho 2ª safra'!$E20:$Z20,MIN(AY$6-$E$3,22))),0))-IF($G$2,0,IF((AY$6-$G$3)&lt;1,0,IFERROR(LOOKUP(2,1/('Milho 2ª safra'!$E20:INDEX('Milho 2ª safra'!$E20:$Z20,MIN(AY$6-$G$3,22))&lt;&gt;""),'Milho 2ª safra'!$E20:INDEX('Milho 2ª safra'!$E20:$Z20,MIN(AY$6-$G$3,22))),0)))))</f>
        <v>0</v>
      </c>
      <c r="AZ22" s="27" t="n">
        <f aca="false">IF(COUNT('Milho 2ª safra'!$E20:$Z20)=0,0,MAX(0,IF((AZ$6-$E$3)&lt;1,0,IFERROR(LOOKUP(2,1/('Milho 2ª safra'!$E20:INDEX('Milho 2ª safra'!$E20:$Z20,MIN(AZ$6-$E$3,22))&lt;&gt;""),'Milho 2ª safra'!$E20:INDEX('Milho 2ª safra'!$E20:$Z20,MIN(AZ$6-$E$3,22))),0))-IF($G$2,0,IF((AZ$6-$G$3)&lt;1,0,IFERROR(LOOKUP(2,1/('Milho 2ª safra'!$E20:INDEX('Milho 2ª safra'!$E20:$Z20,MIN(AZ$6-$G$3,22))&lt;&gt;""),'Milho 2ª safra'!$E20:INDEX('Milho 2ª safra'!$E20:$Z20,MIN(AZ$6-$G$3,22))),0)))))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IF(COUNT('Milho 2ª safra'!$E21:$Z21)&gt;0,N('Milho 2ª safra'!$D21),0)</f>
        <v>0</v>
      </c>
      <c r="E23" s="27" t="n">
        <f aca="false">IF(COUNT('Milho 2ª safra'!$E21:$Z21)=0,0,MAX(0,IF((E$6-$E$3)&lt;1,0,IFERROR(LOOKUP(2,1/('Milho 2ª safra'!$E21:INDEX('Milho 2ª safra'!$E21:$Z21,MIN(E$6-$E$3,22))&lt;&gt;""),'Milho 2ª safra'!$E21:INDEX('Milho 2ª safra'!$E21:$Z21,MIN(E$6-$E$3,22))),0))-IF($G$2,0,IF((E$6-$G$3)&lt;1,0,IFERROR(LOOKUP(2,1/('Milho 2ª safra'!$E21:INDEX('Milho 2ª safra'!$E21:$Z21,MIN(E$6-$G$3,22))&lt;&gt;""),'Milho 2ª safra'!$E21:INDEX('Milho 2ª safra'!$E21:$Z21,MIN(E$6-$G$3,22))),0)))))</f>
        <v>0</v>
      </c>
      <c r="F23" s="27" t="n">
        <f aca="false">IF(COUNT('Milho 2ª safra'!$E21:$Z21)=0,0,MAX(0,IF((F$6-$E$3)&lt;1,0,IFERROR(LOOKUP(2,1/('Milho 2ª safra'!$E21:INDEX('Milho 2ª safra'!$E21:$Z21,MIN(F$6-$E$3,22))&lt;&gt;""),'Milho 2ª safra'!$E21:INDEX('Milho 2ª safra'!$E21:$Z21,MIN(F$6-$E$3,22))),0))-IF($G$2,0,IF((F$6-$G$3)&lt;1,0,IFERROR(LOOKUP(2,1/('Milho 2ª safra'!$E21:INDEX('Milho 2ª safra'!$E21:$Z21,MIN(F$6-$G$3,22))&lt;&gt;""),'Milho 2ª safra'!$E21:INDEX('Milho 2ª safra'!$E21:$Z21,MIN(F$6-$G$3,22))),0)))))</f>
        <v>0</v>
      </c>
      <c r="G23" s="27" t="n">
        <f aca="false">IF(COUNT('Milho 2ª safra'!$E21:$Z21)=0,0,MAX(0,IF((G$6-$E$3)&lt;1,0,IFERROR(LOOKUP(2,1/('Milho 2ª safra'!$E21:INDEX('Milho 2ª safra'!$E21:$Z21,MIN(G$6-$E$3,22))&lt;&gt;""),'Milho 2ª safra'!$E21:INDEX('Milho 2ª safra'!$E21:$Z21,MIN(G$6-$E$3,22))),0))-IF($G$2,0,IF((G$6-$G$3)&lt;1,0,IFERROR(LOOKUP(2,1/('Milho 2ª safra'!$E21:INDEX('Milho 2ª safra'!$E21:$Z21,MIN(G$6-$G$3,22))&lt;&gt;""),'Milho 2ª safra'!$E21:INDEX('Milho 2ª safra'!$E21:$Z21,MIN(G$6-$G$3,22))),0)))))</f>
        <v>0</v>
      </c>
      <c r="H23" s="27" t="n">
        <f aca="false">IF(COUNT('Milho 2ª safra'!$E21:$Z21)=0,0,MAX(0,IF((H$6-$E$3)&lt;1,0,IFERROR(LOOKUP(2,1/('Milho 2ª safra'!$E21:INDEX('Milho 2ª safra'!$E21:$Z21,MIN(H$6-$E$3,22))&lt;&gt;""),'Milho 2ª safra'!$E21:INDEX('Milho 2ª safra'!$E21:$Z21,MIN(H$6-$E$3,22))),0))-IF($G$2,0,IF((H$6-$G$3)&lt;1,0,IFERROR(LOOKUP(2,1/('Milho 2ª safra'!$E21:INDEX('Milho 2ª safra'!$E21:$Z21,MIN(H$6-$G$3,22))&lt;&gt;""),'Milho 2ª safra'!$E21:INDEX('Milho 2ª safra'!$E21:$Z21,MIN(H$6-$G$3,22))),0)))))</f>
        <v>0</v>
      </c>
      <c r="I23" s="27" t="n">
        <f aca="false">IF(COUNT('Milho 2ª safra'!$E21:$Z21)=0,0,MAX(0,IF((I$6-$E$3)&lt;1,0,IFERROR(LOOKUP(2,1/('Milho 2ª safra'!$E21:INDEX('Milho 2ª safra'!$E21:$Z21,MIN(I$6-$E$3,22))&lt;&gt;""),'Milho 2ª safra'!$E21:INDEX('Milho 2ª safra'!$E21:$Z21,MIN(I$6-$E$3,22))),0))-IF($G$2,0,IF((I$6-$G$3)&lt;1,0,IFERROR(LOOKUP(2,1/('Milho 2ª safra'!$E21:INDEX('Milho 2ª safra'!$E21:$Z21,MIN(I$6-$G$3,22))&lt;&gt;""),'Milho 2ª safra'!$E21:INDEX('Milho 2ª safra'!$E21:$Z21,MIN(I$6-$G$3,22))),0)))))</f>
        <v>0</v>
      </c>
      <c r="J23" s="27" t="n">
        <f aca="false">IF(COUNT('Milho 2ª safra'!$E21:$Z21)=0,0,MAX(0,IF((J$6-$E$3)&lt;1,0,IFERROR(LOOKUP(2,1/('Milho 2ª safra'!$E21:INDEX('Milho 2ª safra'!$E21:$Z21,MIN(J$6-$E$3,22))&lt;&gt;""),'Milho 2ª safra'!$E21:INDEX('Milho 2ª safra'!$E21:$Z21,MIN(J$6-$E$3,22))),0))-IF($G$2,0,IF((J$6-$G$3)&lt;1,0,IFERROR(LOOKUP(2,1/('Milho 2ª safra'!$E21:INDEX('Milho 2ª safra'!$E21:$Z21,MIN(J$6-$G$3,22))&lt;&gt;""),'Milho 2ª safra'!$E21:INDEX('Milho 2ª safra'!$E21:$Z21,MIN(J$6-$G$3,22))),0)))))</f>
        <v>0</v>
      </c>
      <c r="K23" s="27" t="n">
        <f aca="false">IF(COUNT('Milho 2ª safra'!$E21:$Z21)=0,0,MAX(0,IF((K$6-$E$3)&lt;1,0,IFERROR(LOOKUP(2,1/('Milho 2ª safra'!$E21:INDEX('Milho 2ª safra'!$E21:$Z21,MIN(K$6-$E$3,22))&lt;&gt;""),'Milho 2ª safra'!$E21:INDEX('Milho 2ª safra'!$E21:$Z21,MIN(K$6-$E$3,22))),0))-IF($G$2,0,IF((K$6-$G$3)&lt;1,0,IFERROR(LOOKUP(2,1/('Milho 2ª safra'!$E21:INDEX('Milho 2ª safra'!$E21:$Z21,MIN(K$6-$G$3,22))&lt;&gt;""),'Milho 2ª safra'!$E21:INDEX('Milho 2ª safra'!$E21:$Z21,MIN(K$6-$G$3,22))),0)))))</f>
        <v>0</v>
      </c>
      <c r="L23" s="27" t="n">
        <f aca="false">IF(COUNT('Milho 2ª safra'!$E21:$Z21)=0,0,MAX(0,IF((L$6-$E$3)&lt;1,0,IFERROR(LOOKUP(2,1/('Milho 2ª safra'!$E21:INDEX('Milho 2ª safra'!$E21:$Z21,MIN(L$6-$E$3,22))&lt;&gt;""),'Milho 2ª safra'!$E21:INDEX('Milho 2ª safra'!$E21:$Z21,MIN(L$6-$E$3,22))),0))-IF($G$2,0,IF((L$6-$G$3)&lt;1,0,IFERROR(LOOKUP(2,1/('Milho 2ª safra'!$E21:INDEX('Milho 2ª safra'!$E21:$Z21,MIN(L$6-$G$3,22))&lt;&gt;""),'Milho 2ª safra'!$E21:INDEX('Milho 2ª safra'!$E21:$Z21,MIN(L$6-$G$3,22))),0)))))</f>
        <v>0</v>
      </c>
      <c r="M23" s="27" t="n">
        <f aca="false">IF(COUNT('Milho 2ª safra'!$E21:$Z21)=0,0,MAX(0,IF((M$6-$E$3)&lt;1,0,IFERROR(LOOKUP(2,1/('Milho 2ª safra'!$E21:INDEX('Milho 2ª safra'!$E21:$Z21,MIN(M$6-$E$3,22))&lt;&gt;""),'Milho 2ª safra'!$E21:INDEX('Milho 2ª safra'!$E21:$Z21,MIN(M$6-$E$3,22))),0))-IF($G$2,0,IF((M$6-$G$3)&lt;1,0,IFERROR(LOOKUP(2,1/('Milho 2ª safra'!$E21:INDEX('Milho 2ª safra'!$E21:$Z21,MIN(M$6-$G$3,22))&lt;&gt;""),'Milho 2ª safra'!$E21:INDEX('Milho 2ª safra'!$E21:$Z21,MIN(M$6-$G$3,22))),0)))))</f>
        <v>0</v>
      </c>
      <c r="N23" s="27" t="n">
        <f aca="false">IF(COUNT('Milho 2ª safra'!$E21:$Z21)=0,0,MAX(0,IF((N$6-$E$3)&lt;1,0,IFERROR(LOOKUP(2,1/('Milho 2ª safra'!$E21:INDEX('Milho 2ª safra'!$E21:$Z21,MIN(N$6-$E$3,22))&lt;&gt;""),'Milho 2ª safra'!$E21:INDEX('Milho 2ª safra'!$E21:$Z21,MIN(N$6-$E$3,22))),0))-IF($G$2,0,IF((N$6-$G$3)&lt;1,0,IFERROR(LOOKUP(2,1/('Milho 2ª safra'!$E21:INDEX('Milho 2ª safra'!$E21:$Z21,MIN(N$6-$G$3,22))&lt;&gt;""),'Milho 2ª safra'!$E21:INDEX('Milho 2ª safra'!$E21:$Z21,MIN(N$6-$G$3,22))),0)))))</f>
        <v>0</v>
      </c>
      <c r="O23" s="27" t="n">
        <f aca="false">IF(COUNT('Milho 2ª safra'!$E21:$Z21)=0,0,MAX(0,IF((O$6-$E$3)&lt;1,0,IFERROR(LOOKUP(2,1/('Milho 2ª safra'!$E21:INDEX('Milho 2ª safra'!$E21:$Z21,MIN(O$6-$E$3,22))&lt;&gt;""),'Milho 2ª safra'!$E21:INDEX('Milho 2ª safra'!$E21:$Z21,MIN(O$6-$E$3,22))),0))-IF($G$2,0,IF((O$6-$G$3)&lt;1,0,IFERROR(LOOKUP(2,1/('Milho 2ª safra'!$E21:INDEX('Milho 2ª safra'!$E21:$Z21,MIN(O$6-$G$3,22))&lt;&gt;""),'Milho 2ª safra'!$E21:INDEX('Milho 2ª safra'!$E21:$Z21,MIN(O$6-$G$3,22))),0)))))</f>
        <v>0</v>
      </c>
      <c r="P23" s="27" t="n">
        <f aca="false">IF(COUNT('Milho 2ª safra'!$E21:$Z21)=0,0,MAX(0,IF((P$6-$E$3)&lt;1,0,IFERROR(LOOKUP(2,1/('Milho 2ª safra'!$E21:INDEX('Milho 2ª safra'!$E21:$Z21,MIN(P$6-$E$3,22))&lt;&gt;""),'Milho 2ª safra'!$E21:INDEX('Milho 2ª safra'!$E21:$Z21,MIN(P$6-$E$3,22))),0))-IF($G$2,0,IF((P$6-$G$3)&lt;1,0,IFERROR(LOOKUP(2,1/('Milho 2ª safra'!$E21:INDEX('Milho 2ª safra'!$E21:$Z21,MIN(P$6-$G$3,22))&lt;&gt;""),'Milho 2ª safra'!$E21:INDEX('Milho 2ª safra'!$E21:$Z21,MIN(P$6-$G$3,22))),0)))))</f>
        <v>0</v>
      </c>
      <c r="Q23" s="27" t="n">
        <f aca="false">IF(COUNT('Milho 2ª safra'!$E21:$Z21)=0,0,MAX(0,IF((Q$6-$E$3)&lt;1,0,IFERROR(LOOKUP(2,1/('Milho 2ª safra'!$E21:INDEX('Milho 2ª safra'!$E21:$Z21,MIN(Q$6-$E$3,22))&lt;&gt;""),'Milho 2ª safra'!$E21:INDEX('Milho 2ª safra'!$E21:$Z21,MIN(Q$6-$E$3,22))),0))-IF($G$2,0,IF((Q$6-$G$3)&lt;1,0,IFERROR(LOOKUP(2,1/('Milho 2ª safra'!$E21:INDEX('Milho 2ª safra'!$E21:$Z21,MIN(Q$6-$G$3,22))&lt;&gt;""),'Milho 2ª safra'!$E21:INDEX('Milho 2ª safra'!$E21:$Z21,MIN(Q$6-$G$3,22))),0)))))</f>
        <v>0</v>
      </c>
      <c r="R23" s="27" t="n">
        <f aca="false">IF(COUNT('Milho 2ª safra'!$E21:$Z21)=0,0,MAX(0,IF((R$6-$E$3)&lt;1,0,IFERROR(LOOKUP(2,1/('Milho 2ª safra'!$E21:INDEX('Milho 2ª safra'!$E21:$Z21,MIN(R$6-$E$3,22))&lt;&gt;""),'Milho 2ª safra'!$E21:INDEX('Milho 2ª safra'!$E21:$Z21,MIN(R$6-$E$3,22))),0))-IF($G$2,0,IF((R$6-$G$3)&lt;1,0,IFERROR(LOOKUP(2,1/('Milho 2ª safra'!$E21:INDEX('Milho 2ª safra'!$E21:$Z21,MIN(R$6-$G$3,22))&lt;&gt;""),'Milho 2ª safra'!$E21:INDEX('Milho 2ª safra'!$E21:$Z21,MIN(R$6-$G$3,22))),0)))))</f>
        <v>0</v>
      </c>
      <c r="S23" s="27" t="n">
        <f aca="false">IF(COUNT('Milho 2ª safra'!$E21:$Z21)=0,0,MAX(0,IF((S$6-$E$3)&lt;1,0,IFERROR(LOOKUP(2,1/('Milho 2ª safra'!$E21:INDEX('Milho 2ª safra'!$E21:$Z21,MIN(S$6-$E$3,22))&lt;&gt;""),'Milho 2ª safra'!$E21:INDEX('Milho 2ª safra'!$E21:$Z21,MIN(S$6-$E$3,22))),0))-IF($G$2,0,IF((S$6-$G$3)&lt;1,0,IFERROR(LOOKUP(2,1/('Milho 2ª safra'!$E21:INDEX('Milho 2ª safra'!$E21:$Z21,MIN(S$6-$G$3,22))&lt;&gt;""),'Milho 2ª safra'!$E21:INDEX('Milho 2ª safra'!$E21:$Z21,MIN(S$6-$G$3,22))),0)))))</f>
        <v>0</v>
      </c>
      <c r="T23" s="27" t="n">
        <f aca="false">IF(COUNT('Milho 2ª safra'!$E21:$Z21)=0,0,MAX(0,IF((T$6-$E$3)&lt;1,0,IFERROR(LOOKUP(2,1/('Milho 2ª safra'!$E21:INDEX('Milho 2ª safra'!$E21:$Z21,MIN(T$6-$E$3,22))&lt;&gt;""),'Milho 2ª safra'!$E21:INDEX('Milho 2ª safra'!$E21:$Z21,MIN(T$6-$E$3,22))),0))-IF($G$2,0,IF((T$6-$G$3)&lt;1,0,IFERROR(LOOKUP(2,1/('Milho 2ª safra'!$E21:INDEX('Milho 2ª safra'!$E21:$Z21,MIN(T$6-$G$3,22))&lt;&gt;""),'Milho 2ª safra'!$E21:INDEX('Milho 2ª safra'!$E21:$Z21,MIN(T$6-$G$3,22))),0)))))</f>
        <v>0</v>
      </c>
      <c r="U23" s="27" t="n">
        <f aca="false">IF(COUNT('Milho 2ª safra'!$E21:$Z21)=0,0,MAX(0,IF((U$6-$E$3)&lt;1,0,IFERROR(LOOKUP(2,1/('Milho 2ª safra'!$E21:INDEX('Milho 2ª safra'!$E21:$Z21,MIN(U$6-$E$3,22))&lt;&gt;""),'Milho 2ª safra'!$E21:INDEX('Milho 2ª safra'!$E21:$Z21,MIN(U$6-$E$3,22))),0))-IF($G$2,0,IF((U$6-$G$3)&lt;1,0,IFERROR(LOOKUP(2,1/('Milho 2ª safra'!$E21:INDEX('Milho 2ª safra'!$E21:$Z21,MIN(U$6-$G$3,22))&lt;&gt;""),'Milho 2ª safra'!$E21:INDEX('Milho 2ª safra'!$E21:$Z21,MIN(U$6-$G$3,22))),0)))))</f>
        <v>0</v>
      </c>
      <c r="V23" s="27" t="n">
        <f aca="false">IF(COUNT('Milho 2ª safra'!$E21:$Z21)=0,0,MAX(0,IF((V$6-$E$3)&lt;1,0,IFERROR(LOOKUP(2,1/('Milho 2ª safra'!$E21:INDEX('Milho 2ª safra'!$E21:$Z21,MIN(V$6-$E$3,22))&lt;&gt;""),'Milho 2ª safra'!$E21:INDEX('Milho 2ª safra'!$E21:$Z21,MIN(V$6-$E$3,22))),0))-IF($G$2,0,IF((V$6-$G$3)&lt;1,0,IFERROR(LOOKUP(2,1/('Milho 2ª safra'!$E21:INDEX('Milho 2ª safra'!$E21:$Z21,MIN(V$6-$G$3,22))&lt;&gt;""),'Milho 2ª safra'!$E21:INDEX('Milho 2ª safra'!$E21:$Z21,MIN(V$6-$G$3,22))),0)))))</f>
        <v>0</v>
      </c>
      <c r="W23" s="27" t="n">
        <f aca="false">IF(COUNT('Milho 2ª safra'!$E21:$Z21)=0,0,MAX(0,IF((W$6-$E$3)&lt;1,0,IFERROR(LOOKUP(2,1/('Milho 2ª safra'!$E21:INDEX('Milho 2ª safra'!$E21:$Z21,MIN(W$6-$E$3,22))&lt;&gt;""),'Milho 2ª safra'!$E21:INDEX('Milho 2ª safra'!$E21:$Z21,MIN(W$6-$E$3,22))),0))-IF($G$2,0,IF((W$6-$G$3)&lt;1,0,IFERROR(LOOKUP(2,1/('Milho 2ª safra'!$E21:INDEX('Milho 2ª safra'!$E21:$Z21,MIN(W$6-$G$3,22))&lt;&gt;""),'Milho 2ª safra'!$E21:INDEX('Milho 2ª safra'!$E21:$Z21,MIN(W$6-$G$3,22))),0)))))</f>
        <v>0</v>
      </c>
      <c r="X23" s="27" t="n">
        <f aca="false">IF(COUNT('Milho 2ª safra'!$E21:$Z21)=0,0,MAX(0,IF((X$6-$E$3)&lt;1,0,IFERROR(LOOKUP(2,1/('Milho 2ª safra'!$E21:INDEX('Milho 2ª safra'!$E21:$Z21,MIN(X$6-$E$3,22))&lt;&gt;""),'Milho 2ª safra'!$E21:INDEX('Milho 2ª safra'!$E21:$Z21,MIN(X$6-$E$3,22))),0))-IF($G$2,0,IF((X$6-$G$3)&lt;1,0,IFERROR(LOOKUP(2,1/('Milho 2ª safra'!$E21:INDEX('Milho 2ª safra'!$E21:$Z21,MIN(X$6-$G$3,22))&lt;&gt;""),'Milho 2ª safra'!$E21:INDEX('Milho 2ª safra'!$E21:$Z21,MIN(X$6-$G$3,22))),0)))))</f>
        <v>0</v>
      </c>
      <c r="Y23" s="27" t="n">
        <f aca="false">IF(COUNT('Milho 2ª safra'!$E21:$Z21)=0,0,MAX(0,IF((Y$6-$E$3)&lt;1,0,IFERROR(LOOKUP(2,1/('Milho 2ª safra'!$E21:INDEX('Milho 2ª safra'!$E21:$Z21,MIN(Y$6-$E$3,22))&lt;&gt;""),'Milho 2ª safra'!$E21:INDEX('Milho 2ª safra'!$E21:$Z21,MIN(Y$6-$E$3,22))),0))-IF($G$2,0,IF((Y$6-$G$3)&lt;1,0,IFERROR(LOOKUP(2,1/('Milho 2ª safra'!$E21:INDEX('Milho 2ª safra'!$E21:$Z21,MIN(Y$6-$G$3,22))&lt;&gt;""),'Milho 2ª safra'!$E21:INDEX('Milho 2ª safra'!$E21:$Z21,MIN(Y$6-$G$3,22))),0)))))</f>
        <v>0</v>
      </c>
      <c r="Z23" s="27" t="n">
        <f aca="false">IF(COUNT('Milho 2ª safra'!$E21:$Z21)=0,0,MAX(0,IF((Z$6-$E$3)&lt;1,0,IFERROR(LOOKUP(2,1/('Milho 2ª safra'!$E21:INDEX('Milho 2ª safra'!$E21:$Z21,MIN(Z$6-$E$3,22))&lt;&gt;""),'Milho 2ª safra'!$E21:INDEX('Milho 2ª safra'!$E21:$Z21,MIN(Z$6-$E$3,22))),0))-IF($G$2,0,IF((Z$6-$G$3)&lt;1,0,IFERROR(LOOKUP(2,1/('Milho 2ª safra'!$E21:INDEX('Milho 2ª safra'!$E21:$Z21,MIN(Z$6-$G$3,22))&lt;&gt;""),'Milho 2ª safra'!$E21:INDEX('Milho 2ª safra'!$E21:$Z21,MIN(Z$6-$G$3,22))),0)))))</f>
        <v>0</v>
      </c>
      <c r="AA23" s="27" t="n">
        <f aca="false">IF(COUNT('Milho 2ª safra'!$E21:$Z21)=0,0,MAX(0,IF((AA$6-$E$3)&lt;1,0,IFERROR(LOOKUP(2,1/('Milho 2ª safra'!$E21:INDEX('Milho 2ª safra'!$E21:$Z21,MIN(AA$6-$E$3,22))&lt;&gt;""),'Milho 2ª safra'!$E21:INDEX('Milho 2ª safra'!$E21:$Z21,MIN(AA$6-$E$3,22))),0))-IF($G$2,0,IF((AA$6-$G$3)&lt;1,0,IFERROR(LOOKUP(2,1/('Milho 2ª safra'!$E21:INDEX('Milho 2ª safra'!$E21:$Z21,MIN(AA$6-$G$3,22))&lt;&gt;""),'Milho 2ª safra'!$E21:INDEX('Milho 2ª safra'!$E21:$Z21,MIN(AA$6-$G$3,22))),0)))))</f>
        <v>0</v>
      </c>
      <c r="AB23" s="27" t="n">
        <f aca="false">IF(COUNT('Milho 2ª safra'!$E21:$Z21)=0,0,MAX(0,IF((AB$6-$E$3)&lt;1,0,IFERROR(LOOKUP(2,1/('Milho 2ª safra'!$E21:INDEX('Milho 2ª safra'!$E21:$Z21,MIN(AB$6-$E$3,22))&lt;&gt;""),'Milho 2ª safra'!$E21:INDEX('Milho 2ª safra'!$E21:$Z21,MIN(AB$6-$E$3,22))),0))-IF($G$2,0,IF((AB$6-$G$3)&lt;1,0,IFERROR(LOOKUP(2,1/('Milho 2ª safra'!$E21:INDEX('Milho 2ª safra'!$E21:$Z21,MIN(AB$6-$G$3,22))&lt;&gt;""),'Milho 2ª safra'!$E21:INDEX('Milho 2ª safra'!$E21:$Z21,MIN(AB$6-$G$3,22))),0)))))</f>
        <v>0</v>
      </c>
      <c r="AC23" s="27" t="n">
        <f aca="false">IF(COUNT('Milho 2ª safra'!$E21:$Z21)=0,0,MAX(0,IF((AC$6-$E$3)&lt;1,0,IFERROR(LOOKUP(2,1/('Milho 2ª safra'!$E21:INDEX('Milho 2ª safra'!$E21:$Z21,MIN(AC$6-$E$3,22))&lt;&gt;""),'Milho 2ª safra'!$E21:INDEX('Milho 2ª safra'!$E21:$Z21,MIN(AC$6-$E$3,22))),0))-IF($G$2,0,IF((AC$6-$G$3)&lt;1,0,IFERROR(LOOKUP(2,1/('Milho 2ª safra'!$E21:INDEX('Milho 2ª safra'!$E21:$Z21,MIN(AC$6-$G$3,22))&lt;&gt;""),'Milho 2ª safra'!$E21:INDEX('Milho 2ª safra'!$E21:$Z21,MIN(AC$6-$G$3,22))),0)))))</f>
        <v>0</v>
      </c>
      <c r="AD23" s="27" t="n">
        <f aca="false">IF(COUNT('Milho 2ª safra'!$E21:$Z21)=0,0,MAX(0,IF((AD$6-$E$3)&lt;1,0,IFERROR(LOOKUP(2,1/('Milho 2ª safra'!$E21:INDEX('Milho 2ª safra'!$E21:$Z21,MIN(AD$6-$E$3,22))&lt;&gt;""),'Milho 2ª safra'!$E21:INDEX('Milho 2ª safra'!$E21:$Z21,MIN(AD$6-$E$3,22))),0))-IF($G$2,0,IF((AD$6-$G$3)&lt;1,0,IFERROR(LOOKUP(2,1/('Milho 2ª safra'!$E21:INDEX('Milho 2ª safra'!$E21:$Z21,MIN(AD$6-$G$3,22))&lt;&gt;""),'Milho 2ª safra'!$E21:INDEX('Milho 2ª safra'!$E21:$Z21,MIN(AD$6-$G$3,22))),0)))))</f>
        <v>0</v>
      </c>
      <c r="AE23" s="27" t="n">
        <f aca="false">IF(COUNT('Milho 2ª safra'!$E21:$Z21)=0,0,MAX(0,IF((AE$6-$E$3)&lt;1,0,IFERROR(LOOKUP(2,1/('Milho 2ª safra'!$E21:INDEX('Milho 2ª safra'!$E21:$Z21,MIN(AE$6-$E$3,22))&lt;&gt;""),'Milho 2ª safra'!$E21:INDEX('Milho 2ª safra'!$E21:$Z21,MIN(AE$6-$E$3,22))),0))-IF($G$2,0,IF((AE$6-$G$3)&lt;1,0,IFERROR(LOOKUP(2,1/('Milho 2ª safra'!$E21:INDEX('Milho 2ª safra'!$E21:$Z21,MIN(AE$6-$G$3,22))&lt;&gt;""),'Milho 2ª safra'!$E21:INDEX('Milho 2ª safra'!$E21:$Z21,MIN(AE$6-$G$3,22))),0)))))</f>
        <v>0</v>
      </c>
      <c r="AF23" s="27" t="n">
        <f aca="false">IF(COUNT('Milho 2ª safra'!$E21:$Z21)=0,0,MAX(0,IF((AF$6-$E$3)&lt;1,0,IFERROR(LOOKUP(2,1/('Milho 2ª safra'!$E21:INDEX('Milho 2ª safra'!$E21:$Z21,MIN(AF$6-$E$3,22))&lt;&gt;""),'Milho 2ª safra'!$E21:INDEX('Milho 2ª safra'!$E21:$Z21,MIN(AF$6-$E$3,22))),0))-IF($G$2,0,IF((AF$6-$G$3)&lt;1,0,IFERROR(LOOKUP(2,1/('Milho 2ª safra'!$E21:INDEX('Milho 2ª safra'!$E21:$Z21,MIN(AF$6-$G$3,22))&lt;&gt;""),'Milho 2ª safra'!$E21:INDEX('Milho 2ª safra'!$E21:$Z21,MIN(AF$6-$G$3,22))),0)))))</f>
        <v>0</v>
      </c>
      <c r="AG23" s="27" t="n">
        <f aca="false">IF(COUNT('Milho 2ª safra'!$E21:$Z21)=0,0,MAX(0,IF((AG$6-$E$3)&lt;1,0,IFERROR(LOOKUP(2,1/('Milho 2ª safra'!$E21:INDEX('Milho 2ª safra'!$E21:$Z21,MIN(AG$6-$E$3,22))&lt;&gt;""),'Milho 2ª safra'!$E21:INDEX('Milho 2ª safra'!$E21:$Z21,MIN(AG$6-$E$3,22))),0))-IF($G$2,0,IF((AG$6-$G$3)&lt;1,0,IFERROR(LOOKUP(2,1/('Milho 2ª safra'!$E21:INDEX('Milho 2ª safra'!$E21:$Z21,MIN(AG$6-$G$3,22))&lt;&gt;""),'Milho 2ª safra'!$E21:INDEX('Milho 2ª safra'!$E21:$Z21,MIN(AG$6-$G$3,22))),0)))))</f>
        <v>0</v>
      </c>
      <c r="AH23" s="27" t="n">
        <f aca="false">IF(COUNT('Milho 2ª safra'!$E21:$Z21)=0,0,MAX(0,IF((AH$6-$E$3)&lt;1,0,IFERROR(LOOKUP(2,1/('Milho 2ª safra'!$E21:INDEX('Milho 2ª safra'!$E21:$Z21,MIN(AH$6-$E$3,22))&lt;&gt;""),'Milho 2ª safra'!$E21:INDEX('Milho 2ª safra'!$E21:$Z21,MIN(AH$6-$E$3,22))),0))-IF($G$2,0,IF((AH$6-$G$3)&lt;1,0,IFERROR(LOOKUP(2,1/('Milho 2ª safra'!$E21:INDEX('Milho 2ª safra'!$E21:$Z21,MIN(AH$6-$G$3,22))&lt;&gt;""),'Milho 2ª safra'!$E21:INDEX('Milho 2ª safra'!$E21:$Z21,MIN(AH$6-$G$3,22))),0)))))</f>
        <v>0</v>
      </c>
      <c r="AI23" s="27" t="n">
        <f aca="false">IF(COUNT('Milho 2ª safra'!$E21:$Z21)=0,0,MAX(0,IF((AI$6-$E$3)&lt;1,0,IFERROR(LOOKUP(2,1/('Milho 2ª safra'!$E21:INDEX('Milho 2ª safra'!$E21:$Z21,MIN(AI$6-$E$3,22))&lt;&gt;""),'Milho 2ª safra'!$E21:INDEX('Milho 2ª safra'!$E21:$Z21,MIN(AI$6-$E$3,22))),0))-IF($G$2,0,IF((AI$6-$G$3)&lt;1,0,IFERROR(LOOKUP(2,1/('Milho 2ª safra'!$E21:INDEX('Milho 2ª safra'!$E21:$Z21,MIN(AI$6-$G$3,22))&lt;&gt;""),'Milho 2ª safra'!$E21:INDEX('Milho 2ª safra'!$E21:$Z21,MIN(AI$6-$G$3,22))),0)))))</f>
        <v>0</v>
      </c>
      <c r="AJ23" s="27" t="n">
        <f aca="false">IF(COUNT('Milho 2ª safra'!$E21:$Z21)=0,0,MAX(0,IF((AJ$6-$E$3)&lt;1,0,IFERROR(LOOKUP(2,1/('Milho 2ª safra'!$E21:INDEX('Milho 2ª safra'!$E21:$Z21,MIN(AJ$6-$E$3,22))&lt;&gt;""),'Milho 2ª safra'!$E21:INDEX('Milho 2ª safra'!$E21:$Z21,MIN(AJ$6-$E$3,22))),0))-IF($G$2,0,IF((AJ$6-$G$3)&lt;1,0,IFERROR(LOOKUP(2,1/('Milho 2ª safra'!$E21:INDEX('Milho 2ª safra'!$E21:$Z21,MIN(AJ$6-$G$3,22))&lt;&gt;""),'Milho 2ª safra'!$E21:INDEX('Milho 2ª safra'!$E21:$Z21,MIN(AJ$6-$G$3,22))),0)))))</f>
        <v>0</v>
      </c>
      <c r="AK23" s="27" t="n">
        <f aca="false">IF(COUNT('Milho 2ª safra'!$E21:$Z21)=0,0,MAX(0,IF((AK$6-$E$3)&lt;1,0,IFERROR(LOOKUP(2,1/('Milho 2ª safra'!$E21:INDEX('Milho 2ª safra'!$E21:$Z21,MIN(AK$6-$E$3,22))&lt;&gt;""),'Milho 2ª safra'!$E21:INDEX('Milho 2ª safra'!$E21:$Z21,MIN(AK$6-$E$3,22))),0))-IF($G$2,0,IF((AK$6-$G$3)&lt;1,0,IFERROR(LOOKUP(2,1/('Milho 2ª safra'!$E21:INDEX('Milho 2ª safra'!$E21:$Z21,MIN(AK$6-$G$3,22))&lt;&gt;""),'Milho 2ª safra'!$E21:INDEX('Milho 2ª safra'!$E21:$Z21,MIN(AK$6-$G$3,22))),0)))))</f>
        <v>0</v>
      </c>
      <c r="AL23" s="27" t="n">
        <f aca="false">IF(COUNT('Milho 2ª safra'!$E21:$Z21)=0,0,MAX(0,IF((AL$6-$E$3)&lt;1,0,IFERROR(LOOKUP(2,1/('Milho 2ª safra'!$E21:INDEX('Milho 2ª safra'!$E21:$Z21,MIN(AL$6-$E$3,22))&lt;&gt;""),'Milho 2ª safra'!$E21:INDEX('Milho 2ª safra'!$E21:$Z21,MIN(AL$6-$E$3,22))),0))-IF($G$2,0,IF((AL$6-$G$3)&lt;1,0,IFERROR(LOOKUP(2,1/('Milho 2ª safra'!$E21:INDEX('Milho 2ª safra'!$E21:$Z21,MIN(AL$6-$G$3,22))&lt;&gt;""),'Milho 2ª safra'!$E21:INDEX('Milho 2ª safra'!$E21:$Z21,MIN(AL$6-$G$3,22))),0)))))</f>
        <v>0</v>
      </c>
      <c r="AM23" s="27" t="n">
        <f aca="false">IF(COUNT('Milho 2ª safra'!$E21:$Z21)=0,0,MAX(0,IF((AM$6-$E$3)&lt;1,0,IFERROR(LOOKUP(2,1/('Milho 2ª safra'!$E21:INDEX('Milho 2ª safra'!$E21:$Z21,MIN(AM$6-$E$3,22))&lt;&gt;""),'Milho 2ª safra'!$E21:INDEX('Milho 2ª safra'!$E21:$Z21,MIN(AM$6-$E$3,22))),0))-IF($G$2,0,IF((AM$6-$G$3)&lt;1,0,IFERROR(LOOKUP(2,1/('Milho 2ª safra'!$E21:INDEX('Milho 2ª safra'!$E21:$Z21,MIN(AM$6-$G$3,22))&lt;&gt;""),'Milho 2ª safra'!$E21:INDEX('Milho 2ª safra'!$E21:$Z21,MIN(AM$6-$G$3,22))),0)))))</f>
        <v>0</v>
      </c>
      <c r="AN23" s="27" t="n">
        <f aca="false">IF(COUNT('Milho 2ª safra'!$E21:$Z21)=0,0,MAX(0,IF((AN$6-$E$3)&lt;1,0,IFERROR(LOOKUP(2,1/('Milho 2ª safra'!$E21:INDEX('Milho 2ª safra'!$E21:$Z21,MIN(AN$6-$E$3,22))&lt;&gt;""),'Milho 2ª safra'!$E21:INDEX('Milho 2ª safra'!$E21:$Z21,MIN(AN$6-$E$3,22))),0))-IF($G$2,0,IF((AN$6-$G$3)&lt;1,0,IFERROR(LOOKUP(2,1/('Milho 2ª safra'!$E21:INDEX('Milho 2ª safra'!$E21:$Z21,MIN(AN$6-$G$3,22))&lt;&gt;""),'Milho 2ª safra'!$E21:INDEX('Milho 2ª safra'!$E21:$Z21,MIN(AN$6-$G$3,22))),0)))))</f>
        <v>0</v>
      </c>
      <c r="AO23" s="27" t="n">
        <f aca="false">IF(COUNT('Milho 2ª safra'!$E21:$Z21)=0,0,MAX(0,IF((AO$6-$E$3)&lt;1,0,IFERROR(LOOKUP(2,1/('Milho 2ª safra'!$E21:INDEX('Milho 2ª safra'!$E21:$Z21,MIN(AO$6-$E$3,22))&lt;&gt;""),'Milho 2ª safra'!$E21:INDEX('Milho 2ª safra'!$E21:$Z21,MIN(AO$6-$E$3,22))),0))-IF($G$2,0,IF((AO$6-$G$3)&lt;1,0,IFERROR(LOOKUP(2,1/('Milho 2ª safra'!$E21:INDEX('Milho 2ª safra'!$E21:$Z21,MIN(AO$6-$G$3,22))&lt;&gt;""),'Milho 2ª safra'!$E21:INDEX('Milho 2ª safra'!$E21:$Z21,MIN(AO$6-$G$3,22))),0)))))</f>
        <v>0</v>
      </c>
      <c r="AP23" s="27" t="n">
        <f aca="false">IF(COUNT('Milho 2ª safra'!$E21:$Z21)=0,0,MAX(0,IF((AP$6-$E$3)&lt;1,0,IFERROR(LOOKUP(2,1/('Milho 2ª safra'!$E21:INDEX('Milho 2ª safra'!$E21:$Z21,MIN(AP$6-$E$3,22))&lt;&gt;""),'Milho 2ª safra'!$E21:INDEX('Milho 2ª safra'!$E21:$Z21,MIN(AP$6-$E$3,22))),0))-IF($G$2,0,IF((AP$6-$G$3)&lt;1,0,IFERROR(LOOKUP(2,1/('Milho 2ª safra'!$E21:INDEX('Milho 2ª safra'!$E21:$Z21,MIN(AP$6-$G$3,22))&lt;&gt;""),'Milho 2ª safra'!$E21:INDEX('Milho 2ª safra'!$E21:$Z21,MIN(AP$6-$G$3,22))),0)))))</f>
        <v>0</v>
      </c>
      <c r="AQ23" s="27" t="n">
        <f aca="false">IF(COUNT('Milho 2ª safra'!$E21:$Z21)=0,0,MAX(0,IF((AQ$6-$E$3)&lt;1,0,IFERROR(LOOKUP(2,1/('Milho 2ª safra'!$E21:INDEX('Milho 2ª safra'!$E21:$Z21,MIN(AQ$6-$E$3,22))&lt;&gt;""),'Milho 2ª safra'!$E21:INDEX('Milho 2ª safra'!$E21:$Z21,MIN(AQ$6-$E$3,22))),0))-IF($G$2,0,IF((AQ$6-$G$3)&lt;1,0,IFERROR(LOOKUP(2,1/('Milho 2ª safra'!$E21:INDEX('Milho 2ª safra'!$E21:$Z21,MIN(AQ$6-$G$3,22))&lt;&gt;""),'Milho 2ª safra'!$E21:INDEX('Milho 2ª safra'!$E21:$Z21,MIN(AQ$6-$G$3,22))),0)))))</f>
        <v>0</v>
      </c>
      <c r="AR23" s="27" t="n">
        <f aca="false">IF(COUNT('Milho 2ª safra'!$E21:$Z21)=0,0,MAX(0,IF((AR$6-$E$3)&lt;1,0,IFERROR(LOOKUP(2,1/('Milho 2ª safra'!$E21:INDEX('Milho 2ª safra'!$E21:$Z21,MIN(AR$6-$E$3,22))&lt;&gt;""),'Milho 2ª safra'!$E21:INDEX('Milho 2ª safra'!$E21:$Z21,MIN(AR$6-$E$3,22))),0))-IF($G$2,0,IF((AR$6-$G$3)&lt;1,0,IFERROR(LOOKUP(2,1/('Milho 2ª safra'!$E21:INDEX('Milho 2ª safra'!$E21:$Z21,MIN(AR$6-$G$3,22))&lt;&gt;""),'Milho 2ª safra'!$E21:INDEX('Milho 2ª safra'!$E21:$Z21,MIN(AR$6-$G$3,22))),0)))))</f>
        <v>0</v>
      </c>
      <c r="AS23" s="27" t="n">
        <f aca="false">IF(COUNT('Milho 2ª safra'!$E21:$Z21)=0,0,MAX(0,IF((AS$6-$E$3)&lt;1,0,IFERROR(LOOKUP(2,1/('Milho 2ª safra'!$E21:INDEX('Milho 2ª safra'!$E21:$Z21,MIN(AS$6-$E$3,22))&lt;&gt;""),'Milho 2ª safra'!$E21:INDEX('Milho 2ª safra'!$E21:$Z21,MIN(AS$6-$E$3,22))),0))-IF($G$2,0,IF((AS$6-$G$3)&lt;1,0,IFERROR(LOOKUP(2,1/('Milho 2ª safra'!$E21:INDEX('Milho 2ª safra'!$E21:$Z21,MIN(AS$6-$G$3,22))&lt;&gt;""),'Milho 2ª safra'!$E21:INDEX('Milho 2ª safra'!$E21:$Z21,MIN(AS$6-$G$3,22))),0)))))</f>
        <v>0</v>
      </c>
      <c r="AT23" s="27" t="n">
        <f aca="false">IF(COUNT('Milho 2ª safra'!$E21:$Z21)=0,0,MAX(0,IF((AT$6-$E$3)&lt;1,0,IFERROR(LOOKUP(2,1/('Milho 2ª safra'!$E21:INDEX('Milho 2ª safra'!$E21:$Z21,MIN(AT$6-$E$3,22))&lt;&gt;""),'Milho 2ª safra'!$E21:INDEX('Milho 2ª safra'!$E21:$Z21,MIN(AT$6-$E$3,22))),0))-IF($G$2,0,IF((AT$6-$G$3)&lt;1,0,IFERROR(LOOKUP(2,1/('Milho 2ª safra'!$E21:INDEX('Milho 2ª safra'!$E21:$Z21,MIN(AT$6-$G$3,22))&lt;&gt;""),'Milho 2ª safra'!$E21:INDEX('Milho 2ª safra'!$E21:$Z21,MIN(AT$6-$G$3,22))),0)))))</f>
        <v>0</v>
      </c>
      <c r="AU23" s="27" t="n">
        <f aca="false">IF(COUNT('Milho 2ª safra'!$E21:$Z21)=0,0,MAX(0,IF((AU$6-$E$3)&lt;1,0,IFERROR(LOOKUP(2,1/('Milho 2ª safra'!$E21:INDEX('Milho 2ª safra'!$E21:$Z21,MIN(AU$6-$E$3,22))&lt;&gt;""),'Milho 2ª safra'!$E21:INDEX('Milho 2ª safra'!$E21:$Z21,MIN(AU$6-$E$3,22))),0))-IF($G$2,0,IF((AU$6-$G$3)&lt;1,0,IFERROR(LOOKUP(2,1/('Milho 2ª safra'!$E21:INDEX('Milho 2ª safra'!$E21:$Z21,MIN(AU$6-$G$3,22))&lt;&gt;""),'Milho 2ª safra'!$E21:INDEX('Milho 2ª safra'!$E21:$Z21,MIN(AU$6-$G$3,22))),0)))))</f>
        <v>0</v>
      </c>
      <c r="AV23" s="27" t="n">
        <f aca="false">IF(COUNT('Milho 2ª safra'!$E21:$Z21)=0,0,MAX(0,IF((AV$6-$E$3)&lt;1,0,IFERROR(LOOKUP(2,1/('Milho 2ª safra'!$E21:INDEX('Milho 2ª safra'!$E21:$Z21,MIN(AV$6-$E$3,22))&lt;&gt;""),'Milho 2ª safra'!$E21:INDEX('Milho 2ª safra'!$E21:$Z21,MIN(AV$6-$E$3,22))),0))-IF($G$2,0,IF((AV$6-$G$3)&lt;1,0,IFERROR(LOOKUP(2,1/('Milho 2ª safra'!$E21:INDEX('Milho 2ª safra'!$E21:$Z21,MIN(AV$6-$G$3,22))&lt;&gt;""),'Milho 2ª safra'!$E21:INDEX('Milho 2ª safra'!$E21:$Z21,MIN(AV$6-$G$3,22))),0)))))</f>
        <v>0</v>
      </c>
      <c r="AW23" s="27" t="n">
        <f aca="false">IF(COUNT('Milho 2ª safra'!$E21:$Z21)=0,0,MAX(0,IF((AW$6-$E$3)&lt;1,0,IFERROR(LOOKUP(2,1/('Milho 2ª safra'!$E21:INDEX('Milho 2ª safra'!$E21:$Z21,MIN(AW$6-$E$3,22))&lt;&gt;""),'Milho 2ª safra'!$E21:INDEX('Milho 2ª safra'!$E21:$Z21,MIN(AW$6-$E$3,22))),0))-IF($G$2,0,IF((AW$6-$G$3)&lt;1,0,IFERROR(LOOKUP(2,1/('Milho 2ª safra'!$E21:INDEX('Milho 2ª safra'!$E21:$Z21,MIN(AW$6-$G$3,22))&lt;&gt;""),'Milho 2ª safra'!$E21:INDEX('Milho 2ª safra'!$E21:$Z21,MIN(AW$6-$G$3,22))),0)))))</f>
        <v>0</v>
      </c>
      <c r="AX23" s="27" t="n">
        <f aca="false">IF(COUNT('Milho 2ª safra'!$E21:$Z21)=0,0,MAX(0,IF((AX$6-$E$3)&lt;1,0,IFERROR(LOOKUP(2,1/('Milho 2ª safra'!$E21:INDEX('Milho 2ª safra'!$E21:$Z21,MIN(AX$6-$E$3,22))&lt;&gt;""),'Milho 2ª safra'!$E21:INDEX('Milho 2ª safra'!$E21:$Z21,MIN(AX$6-$E$3,22))),0))-IF($G$2,0,IF((AX$6-$G$3)&lt;1,0,IFERROR(LOOKUP(2,1/('Milho 2ª safra'!$E21:INDEX('Milho 2ª safra'!$E21:$Z21,MIN(AX$6-$G$3,22))&lt;&gt;""),'Milho 2ª safra'!$E21:INDEX('Milho 2ª safra'!$E21:$Z21,MIN(AX$6-$G$3,22))),0)))))</f>
        <v>0</v>
      </c>
      <c r="AY23" s="27" t="n">
        <f aca="false">IF(COUNT('Milho 2ª safra'!$E21:$Z21)=0,0,MAX(0,IF((AY$6-$E$3)&lt;1,0,IFERROR(LOOKUP(2,1/('Milho 2ª safra'!$E21:INDEX('Milho 2ª safra'!$E21:$Z21,MIN(AY$6-$E$3,22))&lt;&gt;""),'Milho 2ª safra'!$E21:INDEX('Milho 2ª safra'!$E21:$Z21,MIN(AY$6-$E$3,22))),0))-IF($G$2,0,IF((AY$6-$G$3)&lt;1,0,IFERROR(LOOKUP(2,1/('Milho 2ª safra'!$E21:INDEX('Milho 2ª safra'!$E21:$Z21,MIN(AY$6-$G$3,22))&lt;&gt;""),'Milho 2ª safra'!$E21:INDEX('Milho 2ª safra'!$E21:$Z21,MIN(AY$6-$G$3,22))),0)))))</f>
        <v>0</v>
      </c>
      <c r="AZ23" s="27" t="n">
        <f aca="false">IF(COUNT('Milho 2ª safra'!$E21:$Z21)=0,0,MAX(0,IF((AZ$6-$E$3)&lt;1,0,IFERROR(LOOKUP(2,1/('Milho 2ª safra'!$E21:INDEX('Milho 2ª safra'!$E21:$Z21,MIN(AZ$6-$E$3,22))&lt;&gt;""),'Milho 2ª safra'!$E21:INDEX('Milho 2ª safra'!$E21:$Z21,MIN(AZ$6-$E$3,22))),0))-IF($G$2,0,IF((AZ$6-$G$3)&lt;1,0,IFERROR(LOOKUP(2,1/('Milho 2ª safra'!$E21:INDEX('Milho 2ª safra'!$E21:$Z21,MIN(AZ$6-$G$3,22))&lt;&gt;""),'Milho 2ª safra'!$E21:INDEX('Milho 2ª safra'!$E21:$Z21,MIN(AZ$6-$G$3,22))),0)))))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IF(COUNT('Milho 2ª safra'!$E22:$Z22)&gt;0,N('Milho 2ª safra'!$D22),0)</f>
        <v>0</v>
      </c>
      <c r="E24" s="27" t="n">
        <f aca="false">IF(COUNT('Milho 2ª safra'!$E22:$Z22)=0,0,MAX(0,IF((E$6-$E$3)&lt;1,0,IFERROR(LOOKUP(2,1/('Milho 2ª safra'!$E22:INDEX('Milho 2ª safra'!$E22:$Z22,MIN(E$6-$E$3,22))&lt;&gt;""),'Milho 2ª safra'!$E22:INDEX('Milho 2ª safra'!$E22:$Z22,MIN(E$6-$E$3,22))),0))-IF($G$2,0,IF((E$6-$G$3)&lt;1,0,IFERROR(LOOKUP(2,1/('Milho 2ª safra'!$E22:INDEX('Milho 2ª safra'!$E22:$Z22,MIN(E$6-$G$3,22))&lt;&gt;""),'Milho 2ª safra'!$E22:INDEX('Milho 2ª safra'!$E22:$Z22,MIN(E$6-$G$3,22))),0)))))</f>
        <v>0</v>
      </c>
      <c r="F24" s="27" t="n">
        <f aca="false">IF(COUNT('Milho 2ª safra'!$E22:$Z22)=0,0,MAX(0,IF((F$6-$E$3)&lt;1,0,IFERROR(LOOKUP(2,1/('Milho 2ª safra'!$E22:INDEX('Milho 2ª safra'!$E22:$Z22,MIN(F$6-$E$3,22))&lt;&gt;""),'Milho 2ª safra'!$E22:INDEX('Milho 2ª safra'!$E22:$Z22,MIN(F$6-$E$3,22))),0))-IF($G$2,0,IF((F$6-$G$3)&lt;1,0,IFERROR(LOOKUP(2,1/('Milho 2ª safra'!$E22:INDEX('Milho 2ª safra'!$E22:$Z22,MIN(F$6-$G$3,22))&lt;&gt;""),'Milho 2ª safra'!$E22:INDEX('Milho 2ª safra'!$E22:$Z22,MIN(F$6-$G$3,22))),0)))))</f>
        <v>0</v>
      </c>
      <c r="G24" s="27" t="n">
        <f aca="false">IF(COUNT('Milho 2ª safra'!$E22:$Z22)=0,0,MAX(0,IF((G$6-$E$3)&lt;1,0,IFERROR(LOOKUP(2,1/('Milho 2ª safra'!$E22:INDEX('Milho 2ª safra'!$E22:$Z22,MIN(G$6-$E$3,22))&lt;&gt;""),'Milho 2ª safra'!$E22:INDEX('Milho 2ª safra'!$E22:$Z22,MIN(G$6-$E$3,22))),0))-IF($G$2,0,IF((G$6-$G$3)&lt;1,0,IFERROR(LOOKUP(2,1/('Milho 2ª safra'!$E22:INDEX('Milho 2ª safra'!$E22:$Z22,MIN(G$6-$G$3,22))&lt;&gt;""),'Milho 2ª safra'!$E22:INDEX('Milho 2ª safra'!$E22:$Z22,MIN(G$6-$G$3,22))),0)))))</f>
        <v>0</v>
      </c>
      <c r="H24" s="27" t="n">
        <f aca="false">IF(COUNT('Milho 2ª safra'!$E22:$Z22)=0,0,MAX(0,IF((H$6-$E$3)&lt;1,0,IFERROR(LOOKUP(2,1/('Milho 2ª safra'!$E22:INDEX('Milho 2ª safra'!$E22:$Z22,MIN(H$6-$E$3,22))&lt;&gt;""),'Milho 2ª safra'!$E22:INDEX('Milho 2ª safra'!$E22:$Z22,MIN(H$6-$E$3,22))),0))-IF($G$2,0,IF((H$6-$G$3)&lt;1,0,IFERROR(LOOKUP(2,1/('Milho 2ª safra'!$E22:INDEX('Milho 2ª safra'!$E22:$Z22,MIN(H$6-$G$3,22))&lt;&gt;""),'Milho 2ª safra'!$E22:INDEX('Milho 2ª safra'!$E22:$Z22,MIN(H$6-$G$3,22))),0)))))</f>
        <v>0</v>
      </c>
      <c r="I24" s="27" t="n">
        <f aca="false">IF(COUNT('Milho 2ª safra'!$E22:$Z22)=0,0,MAX(0,IF((I$6-$E$3)&lt;1,0,IFERROR(LOOKUP(2,1/('Milho 2ª safra'!$E22:INDEX('Milho 2ª safra'!$E22:$Z22,MIN(I$6-$E$3,22))&lt;&gt;""),'Milho 2ª safra'!$E22:INDEX('Milho 2ª safra'!$E22:$Z22,MIN(I$6-$E$3,22))),0))-IF($G$2,0,IF((I$6-$G$3)&lt;1,0,IFERROR(LOOKUP(2,1/('Milho 2ª safra'!$E22:INDEX('Milho 2ª safra'!$E22:$Z22,MIN(I$6-$G$3,22))&lt;&gt;""),'Milho 2ª safra'!$E22:INDEX('Milho 2ª safra'!$E22:$Z22,MIN(I$6-$G$3,22))),0)))))</f>
        <v>0</v>
      </c>
      <c r="J24" s="27" t="n">
        <f aca="false">IF(COUNT('Milho 2ª safra'!$E22:$Z22)=0,0,MAX(0,IF((J$6-$E$3)&lt;1,0,IFERROR(LOOKUP(2,1/('Milho 2ª safra'!$E22:INDEX('Milho 2ª safra'!$E22:$Z22,MIN(J$6-$E$3,22))&lt;&gt;""),'Milho 2ª safra'!$E22:INDEX('Milho 2ª safra'!$E22:$Z22,MIN(J$6-$E$3,22))),0))-IF($G$2,0,IF((J$6-$G$3)&lt;1,0,IFERROR(LOOKUP(2,1/('Milho 2ª safra'!$E22:INDEX('Milho 2ª safra'!$E22:$Z22,MIN(J$6-$G$3,22))&lt;&gt;""),'Milho 2ª safra'!$E22:INDEX('Milho 2ª safra'!$E22:$Z22,MIN(J$6-$G$3,22))),0)))))</f>
        <v>0</v>
      </c>
      <c r="K24" s="27" t="n">
        <f aca="false">IF(COUNT('Milho 2ª safra'!$E22:$Z22)=0,0,MAX(0,IF((K$6-$E$3)&lt;1,0,IFERROR(LOOKUP(2,1/('Milho 2ª safra'!$E22:INDEX('Milho 2ª safra'!$E22:$Z22,MIN(K$6-$E$3,22))&lt;&gt;""),'Milho 2ª safra'!$E22:INDEX('Milho 2ª safra'!$E22:$Z22,MIN(K$6-$E$3,22))),0))-IF($G$2,0,IF((K$6-$G$3)&lt;1,0,IFERROR(LOOKUP(2,1/('Milho 2ª safra'!$E22:INDEX('Milho 2ª safra'!$E22:$Z22,MIN(K$6-$G$3,22))&lt;&gt;""),'Milho 2ª safra'!$E22:INDEX('Milho 2ª safra'!$E22:$Z22,MIN(K$6-$G$3,22))),0)))))</f>
        <v>0</v>
      </c>
      <c r="L24" s="27" t="n">
        <f aca="false">IF(COUNT('Milho 2ª safra'!$E22:$Z22)=0,0,MAX(0,IF((L$6-$E$3)&lt;1,0,IFERROR(LOOKUP(2,1/('Milho 2ª safra'!$E22:INDEX('Milho 2ª safra'!$E22:$Z22,MIN(L$6-$E$3,22))&lt;&gt;""),'Milho 2ª safra'!$E22:INDEX('Milho 2ª safra'!$E22:$Z22,MIN(L$6-$E$3,22))),0))-IF($G$2,0,IF((L$6-$G$3)&lt;1,0,IFERROR(LOOKUP(2,1/('Milho 2ª safra'!$E22:INDEX('Milho 2ª safra'!$E22:$Z22,MIN(L$6-$G$3,22))&lt;&gt;""),'Milho 2ª safra'!$E22:INDEX('Milho 2ª safra'!$E22:$Z22,MIN(L$6-$G$3,22))),0)))))</f>
        <v>0</v>
      </c>
      <c r="M24" s="27" t="n">
        <f aca="false">IF(COUNT('Milho 2ª safra'!$E22:$Z22)=0,0,MAX(0,IF((M$6-$E$3)&lt;1,0,IFERROR(LOOKUP(2,1/('Milho 2ª safra'!$E22:INDEX('Milho 2ª safra'!$E22:$Z22,MIN(M$6-$E$3,22))&lt;&gt;""),'Milho 2ª safra'!$E22:INDEX('Milho 2ª safra'!$E22:$Z22,MIN(M$6-$E$3,22))),0))-IF($G$2,0,IF((M$6-$G$3)&lt;1,0,IFERROR(LOOKUP(2,1/('Milho 2ª safra'!$E22:INDEX('Milho 2ª safra'!$E22:$Z22,MIN(M$6-$G$3,22))&lt;&gt;""),'Milho 2ª safra'!$E22:INDEX('Milho 2ª safra'!$E22:$Z22,MIN(M$6-$G$3,22))),0)))))</f>
        <v>0</v>
      </c>
      <c r="N24" s="27" t="n">
        <f aca="false">IF(COUNT('Milho 2ª safra'!$E22:$Z22)=0,0,MAX(0,IF((N$6-$E$3)&lt;1,0,IFERROR(LOOKUP(2,1/('Milho 2ª safra'!$E22:INDEX('Milho 2ª safra'!$E22:$Z22,MIN(N$6-$E$3,22))&lt;&gt;""),'Milho 2ª safra'!$E22:INDEX('Milho 2ª safra'!$E22:$Z22,MIN(N$6-$E$3,22))),0))-IF($G$2,0,IF((N$6-$G$3)&lt;1,0,IFERROR(LOOKUP(2,1/('Milho 2ª safra'!$E22:INDEX('Milho 2ª safra'!$E22:$Z22,MIN(N$6-$G$3,22))&lt;&gt;""),'Milho 2ª safra'!$E22:INDEX('Milho 2ª safra'!$E22:$Z22,MIN(N$6-$G$3,22))),0)))))</f>
        <v>0</v>
      </c>
      <c r="O24" s="27" t="n">
        <f aca="false">IF(COUNT('Milho 2ª safra'!$E22:$Z22)=0,0,MAX(0,IF((O$6-$E$3)&lt;1,0,IFERROR(LOOKUP(2,1/('Milho 2ª safra'!$E22:INDEX('Milho 2ª safra'!$E22:$Z22,MIN(O$6-$E$3,22))&lt;&gt;""),'Milho 2ª safra'!$E22:INDEX('Milho 2ª safra'!$E22:$Z22,MIN(O$6-$E$3,22))),0))-IF($G$2,0,IF((O$6-$G$3)&lt;1,0,IFERROR(LOOKUP(2,1/('Milho 2ª safra'!$E22:INDEX('Milho 2ª safra'!$E22:$Z22,MIN(O$6-$G$3,22))&lt;&gt;""),'Milho 2ª safra'!$E22:INDEX('Milho 2ª safra'!$E22:$Z22,MIN(O$6-$G$3,22))),0)))))</f>
        <v>0</v>
      </c>
      <c r="P24" s="27" t="n">
        <f aca="false">IF(COUNT('Milho 2ª safra'!$E22:$Z22)=0,0,MAX(0,IF((P$6-$E$3)&lt;1,0,IFERROR(LOOKUP(2,1/('Milho 2ª safra'!$E22:INDEX('Milho 2ª safra'!$E22:$Z22,MIN(P$6-$E$3,22))&lt;&gt;""),'Milho 2ª safra'!$E22:INDEX('Milho 2ª safra'!$E22:$Z22,MIN(P$6-$E$3,22))),0))-IF($G$2,0,IF((P$6-$G$3)&lt;1,0,IFERROR(LOOKUP(2,1/('Milho 2ª safra'!$E22:INDEX('Milho 2ª safra'!$E22:$Z22,MIN(P$6-$G$3,22))&lt;&gt;""),'Milho 2ª safra'!$E22:INDEX('Milho 2ª safra'!$E22:$Z22,MIN(P$6-$G$3,22))),0)))))</f>
        <v>0</v>
      </c>
      <c r="Q24" s="27" t="n">
        <f aca="false">IF(COUNT('Milho 2ª safra'!$E22:$Z22)=0,0,MAX(0,IF((Q$6-$E$3)&lt;1,0,IFERROR(LOOKUP(2,1/('Milho 2ª safra'!$E22:INDEX('Milho 2ª safra'!$E22:$Z22,MIN(Q$6-$E$3,22))&lt;&gt;""),'Milho 2ª safra'!$E22:INDEX('Milho 2ª safra'!$E22:$Z22,MIN(Q$6-$E$3,22))),0))-IF($G$2,0,IF((Q$6-$G$3)&lt;1,0,IFERROR(LOOKUP(2,1/('Milho 2ª safra'!$E22:INDEX('Milho 2ª safra'!$E22:$Z22,MIN(Q$6-$G$3,22))&lt;&gt;""),'Milho 2ª safra'!$E22:INDEX('Milho 2ª safra'!$E22:$Z22,MIN(Q$6-$G$3,22))),0)))))</f>
        <v>0</v>
      </c>
      <c r="R24" s="27" t="n">
        <f aca="false">IF(COUNT('Milho 2ª safra'!$E22:$Z22)=0,0,MAX(0,IF((R$6-$E$3)&lt;1,0,IFERROR(LOOKUP(2,1/('Milho 2ª safra'!$E22:INDEX('Milho 2ª safra'!$E22:$Z22,MIN(R$6-$E$3,22))&lt;&gt;""),'Milho 2ª safra'!$E22:INDEX('Milho 2ª safra'!$E22:$Z22,MIN(R$6-$E$3,22))),0))-IF($G$2,0,IF((R$6-$G$3)&lt;1,0,IFERROR(LOOKUP(2,1/('Milho 2ª safra'!$E22:INDEX('Milho 2ª safra'!$E22:$Z22,MIN(R$6-$G$3,22))&lt;&gt;""),'Milho 2ª safra'!$E22:INDEX('Milho 2ª safra'!$E22:$Z22,MIN(R$6-$G$3,22))),0)))))</f>
        <v>0</v>
      </c>
      <c r="S24" s="27" t="n">
        <f aca="false">IF(COUNT('Milho 2ª safra'!$E22:$Z22)=0,0,MAX(0,IF((S$6-$E$3)&lt;1,0,IFERROR(LOOKUP(2,1/('Milho 2ª safra'!$E22:INDEX('Milho 2ª safra'!$E22:$Z22,MIN(S$6-$E$3,22))&lt;&gt;""),'Milho 2ª safra'!$E22:INDEX('Milho 2ª safra'!$E22:$Z22,MIN(S$6-$E$3,22))),0))-IF($G$2,0,IF((S$6-$G$3)&lt;1,0,IFERROR(LOOKUP(2,1/('Milho 2ª safra'!$E22:INDEX('Milho 2ª safra'!$E22:$Z22,MIN(S$6-$G$3,22))&lt;&gt;""),'Milho 2ª safra'!$E22:INDEX('Milho 2ª safra'!$E22:$Z22,MIN(S$6-$G$3,22))),0)))))</f>
        <v>0</v>
      </c>
      <c r="T24" s="27" t="n">
        <f aca="false">IF(COUNT('Milho 2ª safra'!$E22:$Z22)=0,0,MAX(0,IF((T$6-$E$3)&lt;1,0,IFERROR(LOOKUP(2,1/('Milho 2ª safra'!$E22:INDEX('Milho 2ª safra'!$E22:$Z22,MIN(T$6-$E$3,22))&lt;&gt;""),'Milho 2ª safra'!$E22:INDEX('Milho 2ª safra'!$E22:$Z22,MIN(T$6-$E$3,22))),0))-IF($G$2,0,IF((T$6-$G$3)&lt;1,0,IFERROR(LOOKUP(2,1/('Milho 2ª safra'!$E22:INDEX('Milho 2ª safra'!$E22:$Z22,MIN(T$6-$G$3,22))&lt;&gt;""),'Milho 2ª safra'!$E22:INDEX('Milho 2ª safra'!$E22:$Z22,MIN(T$6-$G$3,22))),0)))))</f>
        <v>0</v>
      </c>
      <c r="U24" s="27" t="n">
        <f aca="false">IF(COUNT('Milho 2ª safra'!$E22:$Z22)=0,0,MAX(0,IF((U$6-$E$3)&lt;1,0,IFERROR(LOOKUP(2,1/('Milho 2ª safra'!$E22:INDEX('Milho 2ª safra'!$E22:$Z22,MIN(U$6-$E$3,22))&lt;&gt;""),'Milho 2ª safra'!$E22:INDEX('Milho 2ª safra'!$E22:$Z22,MIN(U$6-$E$3,22))),0))-IF($G$2,0,IF((U$6-$G$3)&lt;1,0,IFERROR(LOOKUP(2,1/('Milho 2ª safra'!$E22:INDEX('Milho 2ª safra'!$E22:$Z22,MIN(U$6-$G$3,22))&lt;&gt;""),'Milho 2ª safra'!$E22:INDEX('Milho 2ª safra'!$E22:$Z22,MIN(U$6-$G$3,22))),0)))))</f>
        <v>0</v>
      </c>
      <c r="V24" s="27" t="n">
        <f aca="false">IF(COUNT('Milho 2ª safra'!$E22:$Z22)=0,0,MAX(0,IF((V$6-$E$3)&lt;1,0,IFERROR(LOOKUP(2,1/('Milho 2ª safra'!$E22:INDEX('Milho 2ª safra'!$E22:$Z22,MIN(V$6-$E$3,22))&lt;&gt;""),'Milho 2ª safra'!$E22:INDEX('Milho 2ª safra'!$E22:$Z22,MIN(V$6-$E$3,22))),0))-IF($G$2,0,IF((V$6-$G$3)&lt;1,0,IFERROR(LOOKUP(2,1/('Milho 2ª safra'!$E22:INDEX('Milho 2ª safra'!$E22:$Z22,MIN(V$6-$G$3,22))&lt;&gt;""),'Milho 2ª safra'!$E22:INDEX('Milho 2ª safra'!$E22:$Z22,MIN(V$6-$G$3,22))),0)))))</f>
        <v>0</v>
      </c>
      <c r="W24" s="27" t="n">
        <f aca="false">IF(COUNT('Milho 2ª safra'!$E22:$Z22)=0,0,MAX(0,IF((W$6-$E$3)&lt;1,0,IFERROR(LOOKUP(2,1/('Milho 2ª safra'!$E22:INDEX('Milho 2ª safra'!$E22:$Z22,MIN(W$6-$E$3,22))&lt;&gt;""),'Milho 2ª safra'!$E22:INDEX('Milho 2ª safra'!$E22:$Z22,MIN(W$6-$E$3,22))),0))-IF($G$2,0,IF((W$6-$G$3)&lt;1,0,IFERROR(LOOKUP(2,1/('Milho 2ª safra'!$E22:INDEX('Milho 2ª safra'!$E22:$Z22,MIN(W$6-$G$3,22))&lt;&gt;""),'Milho 2ª safra'!$E22:INDEX('Milho 2ª safra'!$E22:$Z22,MIN(W$6-$G$3,22))),0)))))</f>
        <v>0</v>
      </c>
      <c r="X24" s="27" t="n">
        <f aca="false">IF(COUNT('Milho 2ª safra'!$E22:$Z22)=0,0,MAX(0,IF((X$6-$E$3)&lt;1,0,IFERROR(LOOKUP(2,1/('Milho 2ª safra'!$E22:INDEX('Milho 2ª safra'!$E22:$Z22,MIN(X$6-$E$3,22))&lt;&gt;""),'Milho 2ª safra'!$E22:INDEX('Milho 2ª safra'!$E22:$Z22,MIN(X$6-$E$3,22))),0))-IF($G$2,0,IF((X$6-$G$3)&lt;1,0,IFERROR(LOOKUP(2,1/('Milho 2ª safra'!$E22:INDEX('Milho 2ª safra'!$E22:$Z22,MIN(X$6-$G$3,22))&lt;&gt;""),'Milho 2ª safra'!$E22:INDEX('Milho 2ª safra'!$E22:$Z22,MIN(X$6-$G$3,22))),0)))))</f>
        <v>0</v>
      </c>
      <c r="Y24" s="27" t="n">
        <f aca="false">IF(COUNT('Milho 2ª safra'!$E22:$Z22)=0,0,MAX(0,IF((Y$6-$E$3)&lt;1,0,IFERROR(LOOKUP(2,1/('Milho 2ª safra'!$E22:INDEX('Milho 2ª safra'!$E22:$Z22,MIN(Y$6-$E$3,22))&lt;&gt;""),'Milho 2ª safra'!$E22:INDEX('Milho 2ª safra'!$E22:$Z22,MIN(Y$6-$E$3,22))),0))-IF($G$2,0,IF((Y$6-$G$3)&lt;1,0,IFERROR(LOOKUP(2,1/('Milho 2ª safra'!$E22:INDEX('Milho 2ª safra'!$E22:$Z22,MIN(Y$6-$G$3,22))&lt;&gt;""),'Milho 2ª safra'!$E22:INDEX('Milho 2ª safra'!$E22:$Z22,MIN(Y$6-$G$3,22))),0)))))</f>
        <v>0</v>
      </c>
      <c r="Z24" s="27" t="n">
        <f aca="false">IF(COUNT('Milho 2ª safra'!$E22:$Z22)=0,0,MAX(0,IF((Z$6-$E$3)&lt;1,0,IFERROR(LOOKUP(2,1/('Milho 2ª safra'!$E22:INDEX('Milho 2ª safra'!$E22:$Z22,MIN(Z$6-$E$3,22))&lt;&gt;""),'Milho 2ª safra'!$E22:INDEX('Milho 2ª safra'!$E22:$Z22,MIN(Z$6-$E$3,22))),0))-IF($G$2,0,IF((Z$6-$G$3)&lt;1,0,IFERROR(LOOKUP(2,1/('Milho 2ª safra'!$E22:INDEX('Milho 2ª safra'!$E22:$Z22,MIN(Z$6-$G$3,22))&lt;&gt;""),'Milho 2ª safra'!$E22:INDEX('Milho 2ª safra'!$E22:$Z22,MIN(Z$6-$G$3,22))),0)))))</f>
        <v>0</v>
      </c>
      <c r="AA24" s="27" t="n">
        <f aca="false">IF(COUNT('Milho 2ª safra'!$E22:$Z22)=0,0,MAX(0,IF((AA$6-$E$3)&lt;1,0,IFERROR(LOOKUP(2,1/('Milho 2ª safra'!$E22:INDEX('Milho 2ª safra'!$E22:$Z22,MIN(AA$6-$E$3,22))&lt;&gt;""),'Milho 2ª safra'!$E22:INDEX('Milho 2ª safra'!$E22:$Z22,MIN(AA$6-$E$3,22))),0))-IF($G$2,0,IF((AA$6-$G$3)&lt;1,0,IFERROR(LOOKUP(2,1/('Milho 2ª safra'!$E22:INDEX('Milho 2ª safra'!$E22:$Z22,MIN(AA$6-$G$3,22))&lt;&gt;""),'Milho 2ª safra'!$E22:INDEX('Milho 2ª safra'!$E22:$Z22,MIN(AA$6-$G$3,22))),0)))))</f>
        <v>0</v>
      </c>
      <c r="AB24" s="27" t="n">
        <f aca="false">IF(COUNT('Milho 2ª safra'!$E22:$Z22)=0,0,MAX(0,IF((AB$6-$E$3)&lt;1,0,IFERROR(LOOKUP(2,1/('Milho 2ª safra'!$E22:INDEX('Milho 2ª safra'!$E22:$Z22,MIN(AB$6-$E$3,22))&lt;&gt;""),'Milho 2ª safra'!$E22:INDEX('Milho 2ª safra'!$E22:$Z22,MIN(AB$6-$E$3,22))),0))-IF($G$2,0,IF((AB$6-$G$3)&lt;1,0,IFERROR(LOOKUP(2,1/('Milho 2ª safra'!$E22:INDEX('Milho 2ª safra'!$E22:$Z22,MIN(AB$6-$G$3,22))&lt;&gt;""),'Milho 2ª safra'!$E22:INDEX('Milho 2ª safra'!$E22:$Z22,MIN(AB$6-$G$3,22))),0)))))</f>
        <v>0</v>
      </c>
      <c r="AC24" s="27" t="n">
        <f aca="false">IF(COUNT('Milho 2ª safra'!$E22:$Z22)=0,0,MAX(0,IF((AC$6-$E$3)&lt;1,0,IFERROR(LOOKUP(2,1/('Milho 2ª safra'!$E22:INDEX('Milho 2ª safra'!$E22:$Z22,MIN(AC$6-$E$3,22))&lt;&gt;""),'Milho 2ª safra'!$E22:INDEX('Milho 2ª safra'!$E22:$Z22,MIN(AC$6-$E$3,22))),0))-IF($G$2,0,IF((AC$6-$G$3)&lt;1,0,IFERROR(LOOKUP(2,1/('Milho 2ª safra'!$E22:INDEX('Milho 2ª safra'!$E22:$Z22,MIN(AC$6-$G$3,22))&lt;&gt;""),'Milho 2ª safra'!$E22:INDEX('Milho 2ª safra'!$E22:$Z22,MIN(AC$6-$G$3,22))),0)))))</f>
        <v>0</v>
      </c>
      <c r="AD24" s="27" t="n">
        <f aca="false">IF(COUNT('Milho 2ª safra'!$E22:$Z22)=0,0,MAX(0,IF((AD$6-$E$3)&lt;1,0,IFERROR(LOOKUP(2,1/('Milho 2ª safra'!$E22:INDEX('Milho 2ª safra'!$E22:$Z22,MIN(AD$6-$E$3,22))&lt;&gt;""),'Milho 2ª safra'!$E22:INDEX('Milho 2ª safra'!$E22:$Z22,MIN(AD$6-$E$3,22))),0))-IF($G$2,0,IF((AD$6-$G$3)&lt;1,0,IFERROR(LOOKUP(2,1/('Milho 2ª safra'!$E22:INDEX('Milho 2ª safra'!$E22:$Z22,MIN(AD$6-$G$3,22))&lt;&gt;""),'Milho 2ª safra'!$E22:INDEX('Milho 2ª safra'!$E22:$Z22,MIN(AD$6-$G$3,22))),0)))))</f>
        <v>0</v>
      </c>
      <c r="AE24" s="27" t="n">
        <f aca="false">IF(COUNT('Milho 2ª safra'!$E22:$Z22)=0,0,MAX(0,IF((AE$6-$E$3)&lt;1,0,IFERROR(LOOKUP(2,1/('Milho 2ª safra'!$E22:INDEX('Milho 2ª safra'!$E22:$Z22,MIN(AE$6-$E$3,22))&lt;&gt;""),'Milho 2ª safra'!$E22:INDEX('Milho 2ª safra'!$E22:$Z22,MIN(AE$6-$E$3,22))),0))-IF($G$2,0,IF((AE$6-$G$3)&lt;1,0,IFERROR(LOOKUP(2,1/('Milho 2ª safra'!$E22:INDEX('Milho 2ª safra'!$E22:$Z22,MIN(AE$6-$G$3,22))&lt;&gt;""),'Milho 2ª safra'!$E22:INDEX('Milho 2ª safra'!$E22:$Z22,MIN(AE$6-$G$3,22))),0)))))</f>
        <v>0</v>
      </c>
      <c r="AF24" s="27" t="n">
        <f aca="false">IF(COUNT('Milho 2ª safra'!$E22:$Z22)=0,0,MAX(0,IF((AF$6-$E$3)&lt;1,0,IFERROR(LOOKUP(2,1/('Milho 2ª safra'!$E22:INDEX('Milho 2ª safra'!$E22:$Z22,MIN(AF$6-$E$3,22))&lt;&gt;""),'Milho 2ª safra'!$E22:INDEX('Milho 2ª safra'!$E22:$Z22,MIN(AF$6-$E$3,22))),0))-IF($G$2,0,IF((AF$6-$G$3)&lt;1,0,IFERROR(LOOKUP(2,1/('Milho 2ª safra'!$E22:INDEX('Milho 2ª safra'!$E22:$Z22,MIN(AF$6-$G$3,22))&lt;&gt;""),'Milho 2ª safra'!$E22:INDEX('Milho 2ª safra'!$E22:$Z22,MIN(AF$6-$G$3,22))),0)))))</f>
        <v>0</v>
      </c>
      <c r="AG24" s="27" t="n">
        <f aca="false">IF(COUNT('Milho 2ª safra'!$E22:$Z22)=0,0,MAX(0,IF((AG$6-$E$3)&lt;1,0,IFERROR(LOOKUP(2,1/('Milho 2ª safra'!$E22:INDEX('Milho 2ª safra'!$E22:$Z22,MIN(AG$6-$E$3,22))&lt;&gt;""),'Milho 2ª safra'!$E22:INDEX('Milho 2ª safra'!$E22:$Z22,MIN(AG$6-$E$3,22))),0))-IF($G$2,0,IF((AG$6-$G$3)&lt;1,0,IFERROR(LOOKUP(2,1/('Milho 2ª safra'!$E22:INDEX('Milho 2ª safra'!$E22:$Z22,MIN(AG$6-$G$3,22))&lt;&gt;""),'Milho 2ª safra'!$E22:INDEX('Milho 2ª safra'!$E22:$Z22,MIN(AG$6-$G$3,22))),0)))))</f>
        <v>0</v>
      </c>
      <c r="AH24" s="27" t="n">
        <f aca="false">IF(COUNT('Milho 2ª safra'!$E22:$Z22)=0,0,MAX(0,IF((AH$6-$E$3)&lt;1,0,IFERROR(LOOKUP(2,1/('Milho 2ª safra'!$E22:INDEX('Milho 2ª safra'!$E22:$Z22,MIN(AH$6-$E$3,22))&lt;&gt;""),'Milho 2ª safra'!$E22:INDEX('Milho 2ª safra'!$E22:$Z22,MIN(AH$6-$E$3,22))),0))-IF($G$2,0,IF((AH$6-$G$3)&lt;1,0,IFERROR(LOOKUP(2,1/('Milho 2ª safra'!$E22:INDEX('Milho 2ª safra'!$E22:$Z22,MIN(AH$6-$G$3,22))&lt;&gt;""),'Milho 2ª safra'!$E22:INDEX('Milho 2ª safra'!$E22:$Z22,MIN(AH$6-$G$3,22))),0)))))</f>
        <v>0</v>
      </c>
      <c r="AI24" s="27" t="n">
        <f aca="false">IF(COUNT('Milho 2ª safra'!$E22:$Z22)=0,0,MAX(0,IF((AI$6-$E$3)&lt;1,0,IFERROR(LOOKUP(2,1/('Milho 2ª safra'!$E22:INDEX('Milho 2ª safra'!$E22:$Z22,MIN(AI$6-$E$3,22))&lt;&gt;""),'Milho 2ª safra'!$E22:INDEX('Milho 2ª safra'!$E22:$Z22,MIN(AI$6-$E$3,22))),0))-IF($G$2,0,IF((AI$6-$G$3)&lt;1,0,IFERROR(LOOKUP(2,1/('Milho 2ª safra'!$E22:INDEX('Milho 2ª safra'!$E22:$Z22,MIN(AI$6-$G$3,22))&lt;&gt;""),'Milho 2ª safra'!$E22:INDEX('Milho 2ª safra'!$E22:$Z22,MIN(AI$6-$G$3,22))),0)))))</f>
        <v>0</v>
      </c>
      <c r="AJ24" s="27" t="n">
        <f aca="false">IF(COUNT('Milho 2ª safra'!$E22:$Z22)=0,0,MAX(0,IF((AJ$6-$E$3)&lt;1,0,IFERROR(LOOKUP(2,1/('Milho 2ª safra'!$E22:INDEX('Milho 2ª safra'!$E22:$Z22,MIN(AJ$6-$E$3,22))&lt;&gt;""),'Milho 2ª safra'!$E22:INDEX('Milho 2ª safra'!$E22:$Z22,MIN(AJ$6-$E$3,22))),0))-IF($G$2,0,IF((AJ$6-$G$3)&lt;1,0,IFERROR(LOOKUP(2,1/('Milho 2ª safra'!$E22:INDEX('Milho 2ª safra'!$E22:$Z22,MIN(AJ$6-$G$3,22))&lt;&gt;""),'Milho 2ª safra'!$E22:INDEX('Milho 2ª safra'!$E22:$Z22,MIN(AJ$6-$G$3,22))),0)))))</f>
        <v>0</v>
      </c>
      <c r="AK24" s="27" t="n">
        <f aca="false">IF(COUNT('Milho 2ª safra'!$E22:$Z22)=0,0,MAX(0,IF((AK$6-$E$3)&lt;1,0,IFERROR(LOOKUP(2,1/('Milho 2ª safra'!$E22:INDEX('Milho 2ª safra'!$E22:$Z22,MIN(AK$6-$E$3,22))&lt;&gt;""),'Milho 2ª safra'!$E22:INDEX('Milho 2ª safra'!$E22:$Z22,MIN(AK$6-$E$3,22))),0))-IF($G$2,0,IF((AK$6-$G$3)&lt;1,0,IFERROR(LOOKUP(2,1/('Milho 2ª safra'!$E22:INDEX('Milho 2ª safra'!$E22:$Z22,MIN(AK$6-$G$3,22))&lt;&gt;""),'Milho 2ª safra'!$E22:INDEX('Milho 2ª safra'!$E22:$Z22,MIN(AK$6-$G$3,22))),0)))))</f>
        <v>0</v>
      </c>
      <c r="AL24" s="27" t="n">
        <f aca="false">IF(COUNT('Milho 2ª safra'!$E22:$Z22)=0,0,MAX(0,IF((AL$6-$E$3)&lt;1,0,IFERROR(LOOKUP(2,1/('Milho 2ª safra'!$E22:INDEX('Milho 2ª safra'!$E22:$Z22,MIN(AL$6-$E$3,22))&lt;&gt;""),'Milho 2ª safra'!$E22:INDEX('Milho 2ª safra'!$E22:$Z22,MIN(AL$6-$E$3,22))),0))-IF($G$2,0,IF((AL$6-$G$3)&lt;1,0,IFERROR(LOOKUP(2,1/('Milho 2ª safra'!$E22:INDEX('Milho 2ª safra'!$E22:$Z22,MIN(AL$6-$G$3,22))&lt;&gt;""),'Milho 2ª safra'!$E22:INDEX('Milho 2ª safra'!$E22:$Z22,MIN(AL$6-$G$3,22))),0)))))</f>
        <v>0</v>
      </c>
      <c r="AM24" s="27" t="n">
        <f aca="false">IF(COUNT('Milho 2ª safra'!$E22:$Z22)=0,0,MAX(0,IF((AM$6-$E$3)&lt;1,0,IFERROR(LOOKUP(2,1/('Milho 2ª safra'!$E22:INDEX('Milho 2ª safra'!$E22:$Z22,MIN(AM$6-$E$3,22))&lt;&gt;""),'Milho 2ª safra'!$E22:INDEX('Milho 2ª safra'!$E22:$Z22,MIN(AM$6-$E$3,22))),0))-IF($G$2,0,IF((AM$6-$G$3)&lt;1,0,IFERROR(LOOKUP(2,1/('Milho 2ª safra'!$E22:INDEX('Milho 2ª safra'!$E22:$Z22,MIN(AM$6-$G$3,22))&lt;&gt;""),'Milho 2ª safra'!$E22:INDEX('Milho 2ª safra'!$E22:$Z22,MIN(AM$6-$G$3,22))),0)))))</f>
        <v>0</v>
      </c>
      <c r="AN24" s="27" t="n">
        <f aca="false">IF(COUNT('Milho 2ª safra'!$E22:$Z22)=0,0,MAX(0,IF((AN$6-$E$3)&lt;1,0,IFERROR(LOOKUP(2,1/('Milho 2ª safra'!$E22:INDEX('Milho 2ª safra'!$E22:$Z22,MIN(AN$6-$E$3,22))&lt;&gt;""),'Milho 2ª safra'!$E22:INDEX('Milho 2ª safra'!$E22:$Z22,MIN(AN$6-$E$3,22))),0))-IF($G$2,0,IF((AN$6-$G$3)&lt;1,0,IFERROR(LOOKUP(2,1/('Milho 2ª safra'!$E22:INDEX('Milho 2ª safra'!$E22:$Z22,MIN(AN$6-$G$3,22))&lt;&gt;""),'Milho 2ª safra'!$E22:INDEX('Milho 2ª safra'!$E22:$Z22,MIN(AN$6-$G$3,22))),0)))))</f>
        <v>0</v>
      </c>
      <c r="AO24" s="27" t="n">
        <f aca="false">IF(COUNT('Milho 2ª safra'!$E22:$Z22)=0,0,MAX(0,IF((AO$6-$E$3)&lt;1,0,IFERROR(LOOKUP(2,1/('Milho 2ª safra'!$E22:INDEX('Milho 2ª safra'!$E22:$Z22,MIN(AO$6-$E$3,22))&lt;&gt;""),'Milho 2ª safra'!$E22:INDEX('Milho 2ª safra'!$E22:$Z22,MIN(AO$6-$E$3,22))),0))-IF($G$2,0,IF((AO$6-$G$3)&lt;1,0,IFERROR(LOOKUP(2,1/('Milho 2ª safra'!$E22:INDEX('Milho 2ª safra'!$E22:$Z22,MIN(AO$6-$G$3,22))&lt;&gt;""),'Milho 2ª safra'!$E22:INDEX('Milho 2ª safra'!$E22:$Z22,MIN(AO$6-$G$3,22))),0)))))</f>
        <v>0</v>
      </c>
      <c r="AP24" s="27" t="n">
        <f aca="false">IF(COUNT('Milho 2ª safra'!$E22:$Z22)=0,0,MAX(0,IF((AP$6-$E$3)&lt;1,0,IFERROR(LOOKUP(2,1/('Milho 2ª safra'!$E22:INDEX('Milho 2ª safra'!$E22:$Z22,MIN(AP$6-$E$3,22))&lt;&gt;""),'Milho 2ª safra'!$E22:INDEX('Milho 2ª safra'!$E22:$Z22,MIN(AP$6-$E$3,22))),0))-IF($G$2,0,IF((AP$6-$G$3)&lt;1,0,IFERROR(LOOKUP(2,1/('Milho 2ª safra'!$E22:INDEX('Milho 2ª safra'!$E22:$Z22,MIN(AP$6-$G$3,22))&lt;&gt;""),'Milho 2ª safra'!$E22:INDEX('Milho 2ª safra'!$E22:$Z22,MIN(AP$6-$G$3,22))),0)))))</f>
        <v>0</v>
      </c>
      <c r="AQ24" s="27" t="n">
        <f aca="false">IF(COUNT('Milho 2ª safra'!$E22:$Z22)=0,0,MAX(0,IF((AQ$6-$E$3)&lt;1,0,IFERROR(LOOKUP(2,1/('Milho 2ª safra'!$E22:INDEX('Milho 2ª safra'!$E22:$Z22,MIN(AQ$6-$E$3,22))&lt;&gt;""),'Milho 2ª safra'!$E22:INDEX('Milho 2ª safra'!$E22:$Z22,MIN(AQ$6-$E$3,22))),0))-IF($G$2,0,IF((AQ$6-$G$3)&lt;1,0,IFERROR(LOOKUP(2,1/('Milho 2ª safra'!$E22:INDEX('Milho 2ª safra'!$E22:$Z22,MIN(AQ$6-$G$3,22))&lt;&gt;""),'Milho 2ª safra'!$E22:INDEX('Milho 2ª safra'!$E22:$Z22,MIN(AQ$6-$G$3,22))),0)))))</f>
        <v>0</v>
      </c>
      <c r="AR24" s="27" t="n">
        <f aca="false">IF(COUNT('Milho 2ª safra'!$E22:$Z22)=0,0,MAX(0,IF((AR$6-$E$3)&lt;1,0,IFERROR(LOOKUP(2,1/('Milho 2ª safra'!$E22:INDEX('Milho 2ª safra'!$E22:$Z22,MIN(AR$6-$E$3,22))&lt;&gt;""),'Milho 2ª safra'!$E22:INDEX('Milho 2ª safra'!$E22:$Z22,MIN(AR$6-$E$3,22))),0))-IF($G$2,0,IF((AR$6-$G$3)&lt;1,0,IFERROR(LOOKUP(2,1/('Milho 2ª safra'!$E22:INDEX('Milho 2ª safra'!$E22:$Z22,MIN(AR$6-$G$3,22))&lt;&gt;""),'Milho 2ª safra'!$E22:INDEX('Milho 2ª safra'!$E22:$Z22,MIN(AR$6-$G$3,22))),0)))))</f>
        <v>0</v>
      </c>
      <c r="AS24" s="27" t="n">
        <f aca="false">IF(COUNT('Milho 2ª safra'!$E22:$Z22)=0,0,MAX(0,IF((AS$6-$E$3)&lt;1,0,IFERROR(LOOKUP(2,1/('Milho 2ª safra'!$E22:INDEX('Milho 2ª safra'!$E22:$Z22,MIN(AS$6-$E$3,22))&lt;&gt;""),'Milho 2ª safra'!$E22:INDEX('Milho 2ª safra'!$E22:$Z22,MIN(AS$6-$E$3,22))),0))-IF($G$2,0,IF((AS$6-$G$3)&lt;1,0,IFERROR(LOOKUP(2,1/('Milho 2ª safra'!$E22:INDEX('Milho 2ª safra'!$E22:$Z22,MIN(AS$6-$G$3,22))&lt;&gt;""),'Milho 2ª safra'!$E22:INDEX('Milho 2ª safra'!$E22:$Z22,MIN(AS$6-$G$3,22))),0)))))</f>
        <v>0</v>
      </c>
      <c r="AT24" s="27" t="n">
        <f aca="false">IF(COUNT('Milho 2ª safra'!$E22:$Z22)=0,0,MAX(0,IF((AT$6-$E$3)&lt;1,0,IFERROR(LOOKUP(2,1/('Milho 2ª safra'!$E22:INDEX('Milho 2ª safra'!$E22:$Z22,MIN(AT$6-$E$3,22))&lt;&gt;""),'Milho 2ª safra'!$E22:INDEX('Milho 2ª safra'!$E22:$Z22,MIN(AT$6-$E$3,22))),0))-IF($G$2,0,IF((AT$6-$G$3)&lt;1,0,IFERROR(LOOKUP(2,1/('Milho 2ª safra'!$E22:INDEX('Milho 2ª safra'!$E22:$Z22,MIN(AT$6-$G$3,22))&lt;&gt;""),'Milho 2ª safra'!$E22:INDEX('Milho 2ª safra'!$E22:$Z22,MIN(AT$6-$G$3,22))),0)))))</f>
        <v>0</v>
      </c>
      <c r="AU24" s="27" t="n">
        <f aca="false">IF(COUNT('Milho 2ª safra'!$E22:$Z22)=0,0,MAX(0,IF((AU$6-$E$3)&lt;1,0,IFERROR(LOOKUP(2,1/('Milho 2ª safra'!$E22:INDEX('Milho 2ª safra'!$E22:$Z22,MIN(AU$6-$E$3,22))&lt;&gt;""),'Milho 2ª safra'!$E22:INDEX('Milho 2ª safra'!$E22:$Z22,MIN(AU$6-$E$3,22))),0))-IF($G$2,0,IF((AU$6-$G$3)&lt;1,0,IFERROR(LOOKUP(2,1/('Milho 2ª safra'!$E22:INDEX('Milho 2ª safra'!$E22:$Z22,MIN(AU$6-$G$3,22))&lt;&gt;""),'Milho 2ª safra'!$E22:INDEX('Milho 2ª safra'!$E22:$Z22,MIN(AU$6-$G$3,22))),0)))))</f>
        <v>0</v>
      </c>
      <c r="AV24" s="27" t="n">
        <f aca="false">IF(COUNT('Milho 2ª safra'!$E22:$Z22)=0,0,MAX(0,IF((AV$6-$E$3)&lt;1,0,IFERROR(LOOKUP(2,1/('Milho 2ª safra'!$E22:INDEX('Milho 2ª safra'!$E22:$Z22,MIN(AV$6-$E$3,22))&lt;&gt;""),'Milho 2ª safra'!$E22:INDEX('Milho 2ª safra'!$E22:$Z22,MIN(AV$6-$E$3,22))),0))-IF($G$2,0,IF((AV$6-$G$3)&lt;1,0,IFERROR(LOOKUP(2,1/('Milho 2ª safra'!$E22:INDEX('Milho 2ª safra'!$E22:$Z22,MIN(AV$6-$G$3,22))&lt;&gt;""),'Milho 2ª safra'!$E22:INDEX('Milho 2ª safra'!$E22:$Z22,MIN(AV$6-$G$3,22))),0)))))</f>
        <v>0</v>
      </c>
      <c r="AW24" s="27" t="n">
        <f aca="false">IF(COUNT('Milho 2ª safra'!$E22:$Z22)=0,0,MAX(0,IF((AW$6-$E$3)&lt;1,0,IFERROR(LOOKUP(2,1/('Milho 2ª safra'!$E22:INDEX('Milho 2ª safra'!$E22:$Z22,MIN(AW$6-$E$3,22))&lt;&gt;""),'Milho 2ª safra'!$E22:INDEX('Milho 2ª safra'!$E22:$Z22,MIN(AW$6-$E$3,22))),0))-IF($G$2,0,IF((AW$6-$G$3)&lt;1,0,IFERROR(LOOKUP(2,1/('Milho 2ª safra'!$E22:INDEX('Milho 2ª safra'!$E22:$Z22,MIN(AW$6-$G$3,22))&lt;&gt;""),'Milho 2ª safra'!$E22:INDEX('Milho 2ª safra'!$E22:$Z22,MIN(AW$6-$G$3,22))),0)))))</f>
        <v>0</v>
      </c>
      <c r="AX24" s="27" t="n">
        <f aca="false">IF(COUNT('Milho 2ª safra'!$E22:$Z22)=0,0,MAX(0,IF((AX$6-$E$3)&lt;1,0,IFERROR(LOOKUP(2,1/('Milho 2ª safra'!$E22:INDEX('Milho 2ª safra'!$E22:$Z22,MIN(AX$6-$E$3,22))&lt;&gt;""),'Milho 2ª safra'!$E22:INDEX('Milho 2ª safra'!$E22:$Z22,MIN(AX$6-$E$3,22))),0))-IF($G$2,0,IF((AX$6-$G$3)&lt;1,0,IFERROR(LOOKUP(2,1/('Milho 2ª safra'!$E22:INDEX('Milho 2ª safra'!$E22:$Z22,MIN(AX$6-$G$3,22))&lt;&gt;""),'Milho 2ª safra'!$E22:INDEX('Milho 2ª safra'!$E22:$Z22,MIN(AX$6-$G$3,22))),0)))))</f>
        <v>0</v>
      </c>
      <c r="AY24" s="27" t="n">
        <f aca="false">IF(COUNT('Milho 2ª safra'!$E22:$Z22)=0,0,MAX(0,IF((AY$6-$E$3)&lt;1,0,IFERROR(LOOKUP(2,1/('Milho 2ª safra'!$E22:INDEX('Milho 2ª safra'!$E22:$Z22,MIN(AY$6-$E$3,22))&lt;&gt;""),'Milho 2ª safra'!$E22:INDEX('Milho 2ª safra'!$E22:$Z22,MIN(AY$6-$E$3,22))),0))-IF($G$2,0,IF((AY$6-$G$3)&lt;1,0,IFERROR(LOOKUP(2,1/('Milho 2ª safra'!$E22:INDEX('Milho 2ª safra'!$E22:$Z22,MIN(AY$6-$G$3,22))&lt;&gt;""),'Milho 2ª safra'!$E22:INDEX('Milho 2ª safra'!$E22:$Z22,MIN(AY$6-$G$3,22))),0)))))</f>
        <v>0</v>
      </c>
      <c r="AZ24" s="27" t="n">
        <f aca="false">IF(COUNT('Milho 2ª safra'!$E22:$Z22)=0,0,MAX(0,IF((AZ$6-$E$3)&lt;1,0,IFERROR(LOOKUP(2,1/('Milho 2ª safra'!$E22:INDEX('Milho 2ª safra'!$E22:$Z22,MIN(AZ$6-$E$3,22))&lt;&gt;""),'Milho 2ª safra'!$E22:INDEX('Milho 2ª safra'!$E22:$Z22,MIN(AZ$6-$E$3,22))),0))-IF($G$2,0,IF((AZ$6-$G$3)&lt;1,0,IFERROR(LOOKUP(2,1/('Milho 2ª safra'!$E22:INDEX('Milho 2ª safra'!$E22:$Z22,MIN(AZ$6-$G$3,22))&lt;&gt;""),'Milho 2ª safra'!$E22:INDEX('Milho 2ª safra'!$E22:$Z22,MIN(AZ$6-$G$3,22))),0)))))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IF(COUNT('Milho 2ª safra'!$E23:$Z23)&gt;0,N('Milho 2ª safra'!$D23),0)</f>
        <v>0</v>
      </c>
      <c r="E25" s="27" t="n">
        <f aca="false">IF(COUNT('Milho 2ª safra'!$E23:$Z23)=0,0,MAX(0,IF((E$6-$E$3)&lt;1,0,IFERROR(LOOKUP(2,1/('Milho 2ª safra'!$E23:INDEX('Milho 2ª safra'!$E23:$Z23,MIN(E$6-$E$3,22))&lt;&gt;""),'Milho 2ª safra'!$E23:INDEX('Milho 2ª safra'!$E23:$Z23,MIN(E$6-$E$3,22))),0))-IF($G$2,0,IF((E$6-$G$3)&lt;1,0,IFERROR(LOOKUP(2,1/('Milho 2ª safra'!$E23:INDEX('Milho 2ª safra'!$E23:$Z23,MIN(E$6-$G$3,22))&lt;&gt;""),'Milho 2ª safra'!$E23:INDEX('Milho 2ª safra'!$E23:$Z23,MIN(E$6-$G$3,22))),0)))))</f>
        <v>0</v>
      </c>
      <c r="F25" s="27" t="n">
        <f aca="false">IF(COUNT('Milho 2ª safra'!$E23:$Z23)=0,0,MAX(0,IF((F$6-$E$3)&lt;1,0,IFERROR(LOOKUP(2,1/('Milho 2ª safra'!$E23:INDEX('Milho 2ª safra'!$E23:$Z23,MIN(F$6-$E$3,22))&lt;&gt;""),'Milho 2ª safra'!$E23:INDEX('Milho 2ª safra'!$E23:$Z23,MIN(F$6-$E$3,22))),0))-IF($G$2,0,IF((F$6-$G$3)&lt;1,0,IFERROR(LOOKUP(2,1/('Milho 2ª safra'!$E23:INDEX('Milho 2ª safra'!$E23:$Z23,MIN(F$6-$G$3,22))&lt;&gt;""),'Milho 2ª safra'!$E23:INDEX('Milho 2ª safra'!$E23:$Z23,MIN(F$6-$G$3,22))),0)))))</f>
        <v>0</v>
      </c>
      <c r="G25" s="27" t="n">
        <f aca="false">IF(COUNT('Milho 2ª safra'!$E23:$Z23)=0,0,MAX(0,IF((G$6-$E$3)&lt;1,0,IFERROR(LOOKUP(2,1/('Milho 2ª safra'!$E23:INDEX('Milho 2ª safra'!$E23:$Z23,MIN(G$6-$E$3,22))&lt;&gt;""),'Milho 2ª safra'!$E23:INDEX('Milho 2ª safra'!$E23:$Z23,MIN(G$6-$E$3,22))),0))-IF($G$2,0,IF((G$6-$G$3)&lt;1,0,IFERROR(LOOKUP(2,1/('Milho 2ª safra'!$E23:INDEX('Milho 2ª safra'!$E23:$Z23,MIN(G$6-$G$3,22))&lt;&gt;""),'Milho 2ª safra'!$E23:INDEX('Milho 2ª safra'!$E23:$Z23,MIN(G$6-$G$3,22))),0)))))</f>
        <v>0</v>
      </c>
      <c r="H25" s="27" t="n">
        <f aca="false">IF(COUNT('Milho 2ª safra'!$E23:$Z23)=0,0,MAX(0,IF((H$6-$E$3)&lt;1,0,IFERROR(LOOKUP(2,1/('Milho 2ª safra'!$E23:INDEX('Milho 2ª safra'!$E23:$Z23,MIN(H$6-$E$3,22))&lt;&gt;""),'Milho 2ª safra'!$E23:INDEX('Milho 2ª safra'!$E23:$Z23,MIN(H$6-$E$3,22))),0))-IF($G$2,0,IF((H$6-$G$3)&lt;1,0,IFERROR(LOOKUP(2,1/('Milho 2ª safra'!$E23:INDEX('Milho 2ª safra'!$E23:$Z23,MIN(H$6-$G$3,22))&lt;&gt;""),'Milho 2ª safra'!$E23:INDEX('Milho 2ª safra'!$E23:$Z23,MIN(H$6-$G$3,22))),0)))))</f>
        <v>0</v>
      </c>
      <c r="I25" s="27" t="n">
        <f aca="false">IF(COUNT('Milho 2ª safra'!$E23:$Z23)=0,0,MAX(0,IF((I$6-$E$3)&lt;1,0,IFERROR(LOOKUP(2,1/('Milho 2ª safra'!$E23:INDEX('Milho 2ª safra'!$E23:$Z23,MIN(I$6-$E$3,22))&lt;&gt;""),'Milho 2ª safra'!$E23:INDEX('Milho 2ª safra'!$E23:$Z23,MIN(I$6-$E$3,22))),0))-IF($G$2,0,IF((I$6-$G$3)&lt;1,0,IFERROR(LOOKUP(2,1/('Milho 2ª safra'!$E23:INDEX('Milho 2ª safra'!$E23:$Z23,MIN(I$6-$G$3,22))&lt;&gt;""),'Milho 2ª safra'!$E23:INDEX('Milho 2ª safra'!$E23:$Z23,MIN(I$6-$G$3,22))),0)))))</f>
        <v>0</v>
      </c>
      <c r="J25" s="27" t="n">
        <f aca="false">IF(COUNT('Milho 2ª safra'!$E23:$Z23)=0,0,MAX(0,IF((J$6-$E$3)&lt;1,0,IFERROR(LOOKUP(2,1/('Milho 2ª safra'!$E23:INDEX('Milho 2ª safra'!$E23:$Z23,MIN(J$6-$E$3,22))&lt;&gt;""),'Milho 2ª safra'!$E23:INDEX('Milho 2ª safra'!$E23:$Z23,MIN(J$6-$E$3,22))),0))-IF($G$2,0,IF((J$6-$G$3)&lt;1,0,IFERROR(LOOKUP(2,1/('Milho 2ª safra'!$E23:INDEX('Milho 2ª safra'!$E23:$Z23,MIN(J$6-$G$3,22))&lt;&gt;""),'Milho 2ª safra'!$E23:INDEX('Milho 2ª safra'!$E23:$Z23,MIN(J$6-$G$3,22))),0)))))</f>
        <v>0</v>
      </c>
      <c r="K25" s="27" t="n">
        <f aca="false">IF(COUNT('Milho 2ª safra'!$E23:$Z23)=0,0,MAX(0,IF((K$6-$E$3)&lt;1,0,IFERROR(LOOKUP(2,1/('Milho 2ª safra'!$E23:INDEX('Milho 2ª safra'!$E23:$Z23,MIN(K$6-$E$3,22))&lt;&gt;""),'Milho 2ª safra'!$E23:INDEX('Milho 2ª safra'!$E23:$Z23,MIN(K$6-$E$3,22))),0))-IF($G$2,0,IF((K$6-$G$3)&lt;1,0,IFERROR(LOOKUP(2,1/('Milho 2ª safra'!$E23:INDEX('Milho 2ª safra'!$E23:$Z23,MIN(K$6-$G$3,22))&lt;&gt;""),'Milho 2ª safra'!$E23:INDEX('Milho 2ª safra'!$E23:$Z23,MIN(K$6-$G$3,22))),0)))))</f>
        <v>0</v>
      </c>
      <c r="L25" s="27" t="n">
        <f aca="false">IF(COUNT('Milho 2ª safra'!$E23:$Z23)=0,0,MAX(0,IF((L$6-$E$3)&lt;1,0,IFERROR(LOOKUP(2,1/('Milho 2ª safra'!$E23:INDEX('Milho 2ª safra'!$E23:$Z23,MIN(L$6-$E$3,22))&lt;&gt;""),'Milho 2ª safra'!$E23:INDEX('Milho 2ª safra'!$E23:$Z23,MIN(L$6-$E$3,22))),0))-IF($G$2,0,IF((L$6-$G$3)&lt;1,0,IFERROR(LOOKUP(2,1/('Milho 2ª safra'!$E23:INDEX('Milho 2ª safra'!$E23:$Z23,MIN(L$6-$G$3,22))&lt;&gt;""),'Milho 2ª safra'!$E23:INDEX('Milho 2ª safra'!$E23:$Z23,MIN(L$6-$G$3,22))),0)))))</f>
        <v>0</v>
      </c>
      <c r="M25" s="27" t="n">
        <f aca="false">IF(COUNT('Milho 2ª safra'!$E23:$Z23)=0,0,MAX(0,IF((M$6-$E$3)&lt;1,0,IFERROR(LOOKUP(2,1/('Milho 2ª safra'!$E23:INDEX('Milho 2ª safra'!$E23:$Z23,MIN(M$6-$E$3,22))&lt;&gt;""),'Milho 2ª safra'!$E23:INDEX('Milho 2ª safra'!$E23:$Z23,MIN(M$6-$E$3,22))),0))-IF($G$2,0,IF((M$6-$G$3)&lt;1,0,IFERROR(LOOKUP(2,1/('Milho 2ª safra'!$E23:INDEX('Milho 2ª safra'!$E23:$Z23,MIN(M$6-$G$3,22))&lt;&gt;""),'Milho 2ª safra'!$E23:INDEX('Milho 2ª safra'!$E23:$Z23,MIN(M$6-$G$3,22))),0)))))</f>
        <v>0</v>
      </c>
      <c r="N25" s="27" t="n">
        <f aca="false">IF(COUNT('Milho 2ª safra'!$E23:$Z23)=0,0,MAX(0,IF((N$6-$E$3)&lt;1,0,IFERROR(LOOKUP(2,1/('Milho 2ª safra'!$E23:INDEX('Milho 2ª safra'!$E23:$Z23,MIN(N$6-$E$3,22))&lt;&gt;""),'Milho 2ª safra'!$E23:INDEX('Milho 2ª safra'!$E23:$Z23,MIN(N$6-$E$3,22))),0))-IF($G$2,0,IF((N$6-$G$3)&lt;1,0,IFERROR(LOOKUP(2,1/('Milho 2ª safra'!$E23:INDEX('Milho 2ª safra'!$E23:$Z23,MIN(N$6-$G$3,22))&lt;&gt;""),'Milho 2ª safra'!$E23:INDEX('Milho 2ª safra'!$E23:$Z23,MIN(N$6-$G$3,22))),0)))))</f>
        <v>0</v>
      </c>
      <c r="O25" s="27" t="n">
        <f aca="false">IF(COUNT('Milho 2ª safra'!$E23:$Z23)=0,0,MAX(0,IF((O$6-$E$3)&lt;1,0,IFERROR(LOOKUP(2,1/('Milho 2ª safra'!$E23:INDEX('Milho 2ª safra'!$E23:$Z23,MIN(O$6-$E$3,22))&lt;&gt;""),'Milho 2ª safra'!$E23:INDEX('Milho 2ª safra'!$E23:$Z23,MIN(O$6-$E$3,22))),0))-IF($G$2,0,IF((O$6-$G$3)&lt;1,0,IFERROR(LOOKUP(2,1/('Milho 2ª safra'!$E23:INDEX('Milho 2ª safra'!$E23:$Z23,MIN(O$6-$G$3,22))&lt;&gt;""),'Milho 2ª safra'!$E23:INDEX('Milho 2ª safra'!$E23:$Z23,MIN(O$6-$G$3,22))),0)))))</f>
        <v>0</v>
      </c>
      <c r="P25" s="27" t="n">
        <f aca="false">IF(COUNT('Milho 2ª safra'!$E23:$Z23)=0,0,MAX(0,IF((P$6-$E$3)&lt;1,0,IFERROR(LOOKUP(2,1/('Milho 2ª safra'!$E23:INDEX('Milho 2ª safra'!$E23:$Z23,MIN(P$6-$E$3,22))&lt;&gt;""),'Milho 2ª safra'!$E23:INDEX('Milho 2ª safra'!$E23:$Z23,MIN(P$6-$E$3,22))),0))-IF($G$2,0,IF((P$6-$G$3)&lt;1,0,IFERROR(LOOKUP(2,1/('Milho 2ª safra'!$E23:INDEX('Milho 2ª safra'!$E23:$Z23,MIN(P$6-$G$3,22))&lt;&gt;""),'Milho 2ª safra'!$E23:INDEX('Milho 2ª safra'!$E23:$Z23,MIN(P$6-$G$3,22))),0)))))</f>
        <v>0</v>
      </c>
      <c r="Q25" s="27" t="n">
        <f aca="false">IF(COUNT('Milho 2ª safra'!$E23:$Z23)=0,0,MAX(0,IF((Q$6-$E$3)&lt;1,0,IFERROR(LOOKUP(2,1/('Milho 2ª safra'!$E23:INDEX('Milho 2ª safra'!$E23:$Z23,MIN(Q$6-$E$3,22))&lt;&gt;""),'Milho 2ª safra'!$E23:INDEX('Milho 2ª safra'!$E23:$Z23,MIN(Q$6-$E$3,22))),0))-IF($G$2,0,IF((Q$6-$G$3)&lt;1,0,IFERROR(LOOKUP(2,1/('Milho 2ª safra'!$E23:INDEX('Milho 2ª safra'!$E23:$Z23,MIN(Q$6-$G$3,22))&lt;&gt;""),'Milho 2ª safra'!$E23:INDEX('Milho 2ª safra'!$E23:$Z23,MIN(Q$6-$G$3,22))),0)))))</f>
        <v>0</v>
      </c>
      <c r="R25" s="27" t="n">
        <f aca="false">IF(COUNT('Milho 2ª safra'!$E23:$Z23)=0,0,MAX(0,IF((R$6-$E$3)&lt;1,0,IFERROR(LOOKUP(2,1/('Milho 2ª safra'!$E23:INDEX('Milho 2ª safra'!$E23:$Z23,MIN(R$6-$E$3,22))&lt;&gt;""),'Milho 2ª safra'!$E23:INDEX('Milho 2ª safra'!$E23:$Z23,MIN(R$6-$E$3,22))),0))-IF($G$2,0,IF((R$6-$G$3)&lt;1,0,IFERROR(LOOKUP(2,1/('Milho 2ª safra'!$E23:INDEX('Milho 2ª safra'!$E23:$Z23,MIN(R$6-$G$3,22))&lt;&gt;""),'Milho 2ª safra'!$E23:INDEX('Milho 2ª safra'!$E23:$Z23,MIN(R$6-$G$3,22))),0)))))</f>
        <v>0</v>
      </c>
      <c r="S25" s="27" t="n">
        <f aca="false">IF(COUNT('Milho 2ª safra'!$E23:$Z23)=0,0,MAX(0,IF((S$6-$E$3)&lt;1,0,IFERROR(LOOKUP(2,1/('Milho 2ª safra'!$E23:INDEX('Milho 2ª safra'!$E23:$Z23,MIN(S$6-$E$3,22))&lt;&gt;""),'Milho 2ª safra'!$E23:INDEX('Milho 2ª safra'!$E23:$Z23,MIN(S$6-$E$3,22))),0))-IF($G$2,0,IF((S$6-$G$3)&lt;1,0,IFERROR(LOOKUP(2,1/('Milho 2ª safra'!$E23:INDEX('Milho 2ª safra'!$E23:$Z23,MIN(S$6-$G$3,22))&lt;&gt;""),'Milho 2ª safra'!$E23:INDEX('Milho 2ª safra'!$E23:$Z23,MIN(S$6-$G$3,22))),0)))))</f>
        <v>0</v>
      </c>
      <c r="T25" s="27" t="n">
        <f aca="false">IF(COUNT('Milho 2ª safra'!$E23:$Z23)=0,0,MAX(0,IF((T$6-$E$3)&lt;1,0,IFERROR(LOOKUP(2,1/('Milho 2ª safra'!$E23:INDEX('Milho 2ª safra'!$E23:$Z23,MIN(T$6-$E$3,22))&lt;&gt;""),'Milho 2ª safra'!$E23:INDEX('Milho 2ª safra'!$E23:$Z23,MIN(T$6-$E$3,22))),0))-IF($G$2,0,IF((T$6-$G$3)&lt;1,0,IFERROR(LOOKUP(2,1/('Milho 2ª safra'!$E23:INDEX('Milho 2ª safra'!$E23:$Z23,MIN(T$6-$G$3,22))&lt;&gt;""),'Milho 2ª safra'!$E23:INDEX('Milho 2ª safra'!$E23:$Z23,MIN(T$6-$G$3,22))),0)))))</f>
        <v>0</v>
      </c>
      <c r="U25" s="27" t="n">
        <f aca="false">IF(COUNT('Milho 2ª safra'!$E23:$Z23)=0,0,MAX(0,IF((U$6-$E$3)&lt;1,0,IFERROR(LOOKUP(2,1/('Milho 2ª safra'!$E23:INDEX('Milho 2ª safra'!$E23:$Z23,MIN(U$6-$E$3,22))&lt;&gt;""),'Milho 2ª safra'!$E23:INDEX('Milho 2ª safra'!$E23:$Z23,MIN(U$6-$E$3,22))),0))-IF($G$2,0,IF((U$6-$G$3)&lt;1,0,IFERROR(LOOKUP(2,1/('Milho 2ª safra'!$E23:INDEX('Milho 2ª safra'!$E23:$Z23,MIN(U$6-$G$3,22))&lt;&gt;""),'Milho 2ª safra'!$E23:INDEX('Milho 2ª safra'!$E23:$Z23,MIN(U$6-$G$3,22))),0)))))</f>
        <v>0</v>
      </c>
      <c r="V25" s="27" t="n">
        <f aca="false">IF(COUNT('Milho 2ª safra'!$E23:$Z23)=0,0,MAX(0,IF((V$6-$E$3)&lt;1,0,IFERROR(LOOKUP(2,1/('Milho 2ª safra'!$E23:INDEX('Milho 2ª safra'!$E23:$Z23,MIN(V$6-$E$3,22))&lt;&gt;""),'Milho 2ª safra'!$E23:INDEX('Milho 2ª safra'!$E23:$Z23,MIN(V$6-$E$3,22))),0))-IF($G$2,0,IF((V$6-$G$3)&lt;1,0,IFERROR(LOOKUP(2,1/('Milho 2ª safra'!$E23:INDEX('Milho 2ª safra'!$E23:$Z23,MIN(V$6-$G$3,22))&lt;&gt;""),'Milho 2ª safra'!$E23:INDEX('Milho 2ª safra'!$E23:$Z23,MIN(V$6-$G$3,22))),0)))))</f>
        <v>0</v>
      </c>
      <c r="W25" s="27" t="n">
        <f aca="false">IF(COUNT('Milho 2ª safra'!$E23:$Z23)=0,0,MAX(0,IF((W$6-$E$3)&lt;1,0,IFERROR(LOOKUP(2,1/('Milho 2ª safra'!$E23:INDEX('Milho 2ª safra'!$E23:$Z23,MIN(W$6-$E$3,22))&lt;&gt;""),'Milho 2ª safra'!$E23:INDEX('Milho 2ª safra'!$E23:$Z23,MIN(W$6-$E$3,22))),0))-IF($G$2,0,IF((W$6-$G$3)&lt;1,0,IFERROR(LOOKUP(2,1/('Milho 2ª safra'!$E23:INDEX('Milho 2ª safra'!$E23:$Z23,MIN(W$6-$G$3,22))&lt;&gt;""),'Milho 2ª safra'!$E23:INDEX('Milho 2ª safra'!$E23:$Z23,MIN(W$6-$G$3,22))),0)))))</f>
        <v>0</v>
      </c>
      <c r="X25" s="27" t="n">
        <f aca="false">IF(COUNT('Milho 2ª safra'!$E23:$Z23)=0,0,MAX(0,IF((X$6-$E$3)&lt;1,0,IFERROR(LOOKUP(2,1/('Milho 2ª safra'!$E23:INDEX('Milho 2ª safra'!$E23:$Z23,MIN(X$6-$E$3,22))&lt;&gt;""),'Milho 2ª safra'!$E23:INDEX('Milho 2ª safra'!$E23:$Z23,MIN(X$6-$E$3,22))),0))-IF($G$2,0,IF((X$6-$G$3)&lt;1,0,IFERROR(LOOKUP(2,1/('Milho 2ª safra'!$E23:INDEX('Milho 2ª safra'!$E23:$Z23,MIN(X$6-$G$3,22))&lt;&gt;""),'Milho 2ª safra'!$E23:INDEX('Milho 2ª safra'!$E23:$Z23,MIN(X$6-$G$3,22))),0)))))</f>
        <v>0</v>
      </c>
      <c r="Y25" s="27" t="n">
        <f aca="false">IF(COUNT('Milho 2ª safra'!$E23:$Z23)=0,0,MAX(0,IF((Y$6-$E$3)&lt;1,0,IFERROR(LOOKUP(2,1/('Milho 2ª safra'!$E23:INDEX('Milho 2ª safra'!$E23:$Z23,MIN(Y$6-$E$3,22))&lt;&gt;""),'Milho 2ª safra'!$E23:INDEX('Milho 2ª safra'!$E23:$Z23,MIN(Y$6-$E$3,22))),0))-IF($G$2,0,IF((Y$6-$G$3)&lt;1,0,IFERROR(LOOKUP(2,1/('Milho 2ª safra'!$E23:INDEX('Milho 2ª safra'!$E23:$Z23,MIN(Y$6-$G$3,22))&lt;&gt;""),'Milho 2ª safra'!$E23:INDEX('Milho 2ª safra'!$E23:$Z23,MIN(Y$6-$G$3,22))),0)))))</f>
        <v>0</v>
      </c>
      <c r="Z25" s="27" t="n">
        <f aca="false">IF(COUNT('Milho 2ª safra'!$E23:$Z23)=0,0,MAX(0,IF((Z$6-$E$3)&lt;1,0,IFERROR(LOOKUP(2,1/('Milho 2ª safra'!$E23:INDEX('Milho 2ª safra'!$E23:$Z23,MIN(Z$6-$E$3,22))&lt;&gt;""),'Milho 2ª safra'!$E23:INDEX('Milho 2ª safra'!$E23:$Z23,MIN(Z$6-$E$3,22))),0))-IF($G$2,0,IF((Z$6-$G$3)&lt;1,0,IFERROR(LOOKUP(2,1/('Milho 2ª safra'!$E23:INDEX('Milho 2ª safra'!$E23:$Z23,MIN(Z$6-$G$3,22))&lt;&gt;""),'Milho 2ª safra'!$E23:INDEX('Milho 2ª safra'!$E23:$Z23,MIN(Z$6-$G$3,22))),0)))))</f>
        <v>0</v>
      </c>
      <c r="AA25" s="27" t="n">
        <f aca="false">IF(COUNT('Milho 2ª safra'!$E23:$Z23)=0,0,MAX(0,IF((AA$6-$E$3)&lt;1,0,IFERROR(LOOKUP(2,1/('Milho 2ª safra'!$E23:INDEX('Milho 2ª safra'!$E23:$Z23,MIN(AA$6-$E$3,22))&lt;&gt;""),'Milho 2ª safra'!$E23:INDEX('Milho 2ª safra'!$E23:$Z23,MIN(AA$6-$E$3,22))),0))-IF($G$2,0,IF((AA$6-$G$3)&lt;1,0,IFERROR(LOOKUP(2,1/('Milho 2ª safra'!$E23:INDEX('Milho 2ª safra'!$E23:$Z23,MIN(AA$6-$G$3,22))&lt;&gt;""),'Milho 2ª safra'!$E23:INDEX('Milho 2ª safra'!$E23:$Z23,MIN(AA$6-$G$3,22))),0)))))</f>
        <v>0</v>
      </c>
      <c r="AB25" s="27" t="n">
        <f aca="false">IF(COUNT('Milho 2ª safra'!$E23:$Z23)=0,0,MAX(0,IF((AB$6-$E$3)&lt;1,0,IFERROR(LOOKUP(2,1/('Milho 2ª safra'!$E23:INDEX('Milho 2ª safra'!$E23:$Z23,MIN(AB$6-$E$3,22))&lt;&gt;""),'Milho 2ª safra'!$E23:INDEX('Milho 2ª safra'!$E23:$Z23,MIN(AB$6-$E$3,22))),0))-IF($G$2,0,IF((AB$6-$G$3)&lt;1,0,IFERROR(LOOKUP(2,1/('Milho 2ª safra'!$E23:INDEX('Milho 2ª safra'!$E23:$Z23,MIN(AB$6-$G$3,22))&lt;&gt;""),'Milho 2ª safra'!$E23:INDEX('Milho 2ª safra'!$E23:$Z23,MIN(AB$6-$G$3,22))),0)))))</f>
        <v>0</v>
      </c>
      <c r="AC25" s="27" t="n">
        <f aca="false">IF(COUNT('Milho 2ª safra'!$E23:$Z23)=0,0,MAX(0,IF((AC$6-$E$3)&lt;1,0,IFERROR(LOOKUP(2,1/('Milho 2ª safra'!$E23:INDEX('Milho 2ª safra'!$E23:$Z23,MIN(AC$6-$E$3,22))&lt;&gt;""),'Milho 2ª safra'!$E23:INDEX('Milho 2ª safra'!$E23:$Z23,MIN(AC$6-$E$3,22))),0))-IF($G$2,0,IF((AC$6-$G$3)&lt;1,0,IFERROR(LOOKUP(2,1/('Milho 2ª safra'!$E23:INDEX('Milho 2ª safra'!$E23:$Z23,MIN(AC$6-$G$3,22))&lt;&gt;""),'Milho 2ª safra'!$E23:INDEX('Milho 2ª safra'!$E23:$Z23,MIN(AC$6-$G$3,22))),0)))))</f>
        <v>0</v>
      </c>
      <c r="AD25" s="27" t="n">
        <f aca="false">IF(COUNT('Milho 2ª safra'!$E23:$Z23)=0,0,MAX(0,IF((AD$6-$E$3)&lt;1,0,IFERROR(LOOKUP(2,1/('Milho 2ª safra'!$E23:INDEX('Milho 2ª safra'!$E23:$Z23,MIN(AD$6-$E$3,22))&lt;&gt;""),'Milho 2ª safra'!$E23:INDEX('Milho 2ª safra'!$E23:$Z23,MIN(AD$6-$E$3,22))),0))-IF($G$2,0,IF((AD$6-$G$3)&lt;1,0,IFERROR(LOOKUP(2,1/('Milho 2ª safra'!$E23:INDEX('Milho 2ª safra'!$E23:$Z23,MIN(AD$6-$G$3,22))&lt;&gt;""),'Milho 2ª safra'!$E23:INDEX('Milho 2ª safra'!$E23:$Z23,MIN(AD$6-$G$3,22))),0)))))</f>
        <v>0</v>
      </c>
      <c r="AE25" s="27" t="n">
        <f aca="false">IF(COUNT('Milho 2ª safra'!$E23:$Z23)=0,0,MAX(0,IF((AE$6-$E$3)&lt;1,0,IFERROR(LOOKUP(2,1/('Milho 2ª safra'!$E23:INDEX('Milho 2ª safra'!$E23:$Z23,MIN(AE$6-$E$3,22))&lt;&gt;""),'Milho 2ª safra'!$E23:INDEX('Milho 2ª safra'!$E23:$Z23,MIN(AE$6-$E$3,22))),0))-IF($G$2,0,IF((AE$6-$G$3)&lt;1,0,IFERROR(LOOKUP(2,1/('Milho 2ª safra'!$E23:INDEX('Milho 2ª safra'!$E23:$Z23,MIN(AE$6-$G$3,22))&lt;&gt;""),'Milho 2ª safra'!$E23:INDEX('Milho 2ª safra'!$E23:$Z23,MIN(AE$6-$G$3,22))),0)))))</f>
        <v>0</v>
      </c>
      <c r="AF25" s="27" t="n">
        <f aca="false">IF(COUNT('Milho 2ª safra'!$E23:$Z23)=0,0,MAX(0,IF((AF$6-$E$3)&lt;1,0,IFERROR(LOOKUP(2,1/('Milho 2ª safra'!$E23:INDEX('Milho 2ª safra'!$E23:$Z23,MIN(AF$6-$E$3,22))&lt;&gt;""),'Milho 2ª safra'!$E23:INDEX('Milho 2ª safra'!$E23:$Z23,MIN(AF$6-$E$3,22))),0))-IF($G$2,0,IF((AF$6-$G$3)&lt;1,0,IFERROR(LOOKUP(2,1/('Milho 2ª safra'!$E23:INDEX('Milho 2ª safra'!$E23:$Z23,MIN(AF$6-$G$3,22))&lt;&gt;""),'Milho 2ª safra'!$E23:INDEX('Milho 2ª safra'!$E23:$Z23,MIN(AF$6-$G$3,22))),0)))))</f>
        <v>0</v>
      </c>
      <c r="AG25" s="27" t="n">
        <f aca="false">IF(COUNT('Milho 2ª safra'!$E23:$Z23)=0,0,MAX(0,IF((AG$6-$E$3)&lt;1,0,IFERROR(LOOKUP(2,1/('Milho 2ª safra'!$E23:INDEX('Milho 2ª safra'!$E23:$Z23,MIN(AG$6-$E$3,22))&lt;&gt;""),'Milho 2ª safra'!$E23:INDEX('Milho 2ª safra'!$E23:$Z23,MIN(AG$6-$E$3,22))),0))-IF($G$2,0,IF((AG$6-$G$3)&lt;1,0,IFERROR(LOOKUP(2,1/('Milho 2ª safra'!$E23:INDEX('Milho 2ª safra'!$E23:$Z23,MIN(AG$6-$G$3,22))&lt;&gt;""),'Milho 2ª safra'!$E23:INDEX('Milho 2ª safra'!$E23:$Z23,MIN(AG$6-$G$3,22))),0)))))</f>
        <v>0</v>
      </c>
      <c r="AH25" s="27" t="n">
        <f aca="false">IF(COUNT('Milho 2ª safra'!$E23:$Z23)=0,0,MAX(0,IF((AH$6-$E$3)&lt;1,0,IFERROR(LOOKUP(2,1/('Milho 2ª safra'!$E23:INDEX('Milho 2ª safra'!$E23:$Z23,MIN(AH$6-$E$3,22))&lt;&gt;""),'Milho 2ª safra'!$E23:INDEX('Milho 2ª safra'!$E23:$Z23,MIN(AH$6-$E$3,22))),0))-IF($G$2,0,IF((AH$6-$G$3)&lt;1,0,IFERROR(LOOKUP(2,1/('Milho 2ª safra'!$E23:INDEX('Milho 2ª safra'!$E23:$Z23,MIN(AH$6-$G$3,22))&lt;&gt;""),'Milho 2ª safra'!$E23:INDEX('Milho 2ª safra'!$E23:$Z23,MIN(AH$6-$G$3,22))),0)))))</f>
        <v>0</v>
      </c>
      <c r="AI25" s="27" t="n">
        <f aca="false">IF(COUNT('Milho 2ª safra'!$E23:$Z23)=0,0,MAX(0,IF((AI$6-$E$3)&lt;1,0,IFERROR(LOOKUP(2,1/('Milho 2ª safra'!$E23:INDEX('Milho 2ª safra'!$E23:$Z23,MIN(AI$6-$E$3,22))&lt;&gt;""),'Milho 2ª safra'!$E23:INDEX('Milho 2ª safra'!$E23:$Z23,MIN(AI$6-$E$3,22))),0))-IF($G$2,0,IF((AI$6-$G$3)&lt;1,0,IFERROR(LOOKUP(2,1/('Milho 2ª safra'!$E23:INDEX('Milho 2ª safra'!$E23:$Z23,MIN(AI$6-$G$3,22))&lt;&gt;""),'Milho 2ª safra'!$E23:INDEX('Milho 2ª safra'!$E23:$Z23,MIN(AI$6-$G$3,22))),0)))))</f>
        <v>0</v>
      </c>
      <c r="AJ25" s="27" t="n">
        <f aca="false">IF(COUNT('Milho 2ª safra'!$E23:$Z23)=0,0,MAX(0,IF((AJ$6-$E$3)&lt;1,0,IFERROR(LOOKUP(2,1/('Milho 2ª safra'!$E23:INDEX('Milho 2ª safra'!$E23:$Z23,MIN(AJ$6-$E$3,22))&lt;&gt;""),'Milho 2ª safra'!$E23:INDEX('Milho 2ª safra'!$E23:$Z23,MIN(AJ$6-$E$3,22))),0))-IF($G$2,0,IF((AJ$6-$G$3)&lt;1,0,IFERROR(LOOKUP(2,1/('Milho 2ª safra'!$E23:INDEX('Milho 2ª safra'!$E23:$Z23,MIN(AJ$6-$G$3,22))&lt;&gt;""),'Milho 2ª safra'!$E23:INDEX('Milho 2ª safra'!$E23:$Z23,MIN(AJ$6-$G$3,22))),0)))))</f>
        <v>0</v>
      </c>
      <c r="AK25" s="27" t="n">
        <f aca="false">IF(COUNT('Milho 2ª safra'!$E23:$Z23)=0,0,MAX(0,IF((AK$6-$E$3)&lt;1,0,IFERROR(LOOKUP(2,1/('Milho 2ª safra'!$E23:INDEX('Milho 2ª safra'!$E23:$Z23,MIN(AK$6-$E$3,22))&lt;&gt;""),'Milho 2ª safra'!$E23:INDEX('Milho 2ª safra'!$E23:$Z23,MIN(AK$6-$E$3,22))),0))-IF($G$2,0,IF((AK$6-$G$3)&lt;1,0,IFERROR(LOOKUP(2,1/('Milho 2ª safra'!$E23:INDEX('Milho 2ª safra'!$E23:$Z23,MIN(AK$6-$G$3,22))&lt;&gt;""),'Milho 2ª safra'!$E23:INDEX('Milho 2ª safra'!$E23:$Z23,MIN(AK$6-$G$3,22))),0)))))</f>
        <v>0</v>
      </c>
      <c r="AL25" s="27" t="n">
        <f aca="false">IF(COUNT('Milho 2ª safra'!$E23:$Z23)=0,0,MAX(0,IF((AL$6-$E$3)&lt;1,0,IFERROR(LOOKUP(2,1/('Milho 2ª safra'!$E23:INDEX('Milho 2ª safra'!$E23:$Z23,MIN(AL$6-$E$3,22))&lt;&gt;""),'Milho 2ª safra'!$E23:INDEX('Milho 2ª safra'!$E23:$Z23,MIN(AL$6-$E$3,22))),0))-IF($G$2,0,IF((AL$6-$G$3)&lt;1,0,IFERROR(LOOKUP(2,1/('Milho 2ª safra'!$E23:INDEX('Milho 2ª safra'!$E23:$Z23,MIN(AL$6-$G$3,22))&lt;&gt;""),'Milho 2ª safra'!$E23:INDEX('Milho 2ª safra'!$E23:$Z23,MIN(AL$6-$G$3,22))),0)))))</f>
        <v>0</v>
      </c>
      <c r="AM25" s="27" t="n">
        <f aca="false">IF(COUNT('Milho 2ª safra'!$E23:$Z23)=0,0,MAX(0,IF((AM$6-$E$3)&lt;1,0,IFERROR(LOOKUP(2,1/('Milho 2ª safra'!$E23:INDEX('Milho 2ª safra'!$E23:$Z23,MIN(AM$6-$E$3,22))&lt;&gt;""),'Milho 2ª safra'!$E23:INDEX('Milho 2ª safra'!$E23:$Z23,MIN(AM$6-$E$3,22))),0))-IF($G$2,0,IF((AM$6-$G$3)&lt;1,0,IFERROR(LOOKUP(2,1/('Milho 2ª safra'!$E23:INDEX('Milho 2ª safra'!$E23:$Z23,MIN(AM$6-$G$3,22))&lt;&gt;""),'Milho 2ª safra'!$E23:INDEX('Milho 2ª safra'!$E23:$Z23,MIN(AM$6-$G$3,22))),0)))))</f>
        <v>0</v>
      </c>
      <c r="AN25" s="27" t="n">
        <f aca="false">IF(COUNT('Milho 2ª safra'!$E23:$Z23)=0,0,MAX(0,IF((AN$6-$E$3)&lt;1,0,IFERROR(LOOKUP(2,1/('Milho 2ª safra'!$E23:INDEX('Milho 2ª safra'!$E23:$Z23,MIN(AN$6-$E$3,22))&lt;&gt;""),'Milho 2ª safra'!$E23:INDEX('Milho 2ª safra'!$E23:$Z23,MIN(AN$6-$E$3,22))),0))-IF($G$2,0,IF((AN$6-$G$3)&lt;1,0,IFERROR(LOOKUP(2,1/('Milho 2ª safra'!$E23:INDEX('Milho 2ª safra'!$E23:$Z23,MIN(AN$6-$G$3,22))&lt;&gt;""),'Milho 2ª safra'!$E23:INDEX('Milho 2ª safra'!$E23:$Z23,MIN(AN$6-$G$3,22))),0)))))</f>
        <v>0</v>
      </c>
      <c r="AO25" s="27" t="n">
        <f aca="false">IF(COUNT('Milho 2ª safra'!$E23:$Z23)=0,0,MAX(0,IF((AO$6-$E$3)&lt;1,0,IFERROR(LOOKUP(2,1/('Milho 2ª safra'!$E23:INDEX('Milho 2ª safra'!$E23:$Z23,MIN(AO$6-$E$3,22))&lt;&gt;""),'Milho 2ª safra'!$E23:INDEX('Milho 2ª safra'!$E23:$Z23,MIN(AO$6-$E$3,22))),0))-IF($G$2,0,IF((AO$6-$G$3)&lt;1,0,IFERROR(LOOKUP(2,1/('Milho 2ª safra'!$E23:INDEX('Milho 2ª safra'!$E23:$Z23,MIN(AO$6-$G$3,22))&lt;&gt;""),'Milho 2ª safra'!$E23:INDEX('Milho 2ª safra'!$E23:$Z23,MIN(AO$6-$G$3,22))),0)))))</f>
        <v>0</v>
      </c>
      <c r="AP25" s="27" t="n">
        <f aca="false">IF(COUNT('Milho 2ª safra'!$E23:$Z23)=0,0,MAX(0,IF((AP$6-$E$3)&lt;1,0,IFERROR(LOOKUP(2,1/('Milho 2ª safra'!$E23:INDEX('Milho 2ª safra'!$E23:$Z23,MIN(AP$6-$E$3,22))&lt;&gt;""),'Milho 2ª safra'!$E23:INDEX('Milho 2ª safra'!$E23:$Z23,MIN(AP$6-$E$3,22))),0))-IF($G$2,0,IF((AP$6-$G$3)&lt;1,0,IFERROR(LOOKUP(2,1/('Milho 2ª safra'!$E23:INDEX('Milho 2ª safra'!$E23:$Z23,MIN(AP$6-$G$3,22))&lt;&gt;""),'Milho 2ª safra'!$E23:INDEX('Milho 2ª safra'!$E23:$Z23,MIN(AP$6-$G$3,22))),0)))))</f>
        <v>0</v>
      </c>
      <c r="AQ25" s="27" t="n">
        <f aca="false">IF(COUNT('Milho 2ª safra'!$E23:$Z23)=0,0,MAX(0,IF((AQ$6-$E$3)&lt;1,0,IFERROR(LOOKUP(2,1/('Milho 2ª safra'!$E23:INDEX('Milho 2ª safra'!$E23:$Z23,MIN(AQ$6-$E$3,22))&lt;&gt;""),'Milho 2ª safra'!$E23:INDEX('Milho 2ª safra'!$E23:$Z23,MIN(AQ$6-$E$3,22))),0))-IF($G$2,0,IF((AQ$6-$G$3)&lt;1,0,IFERROR(LOOKUP(2,1/('Milho 2ª safra'!$E23:INDEX('Milho 2ª safra'!$E23:$Z23,MIN(AQ$6-$G$3,22))&lt;&gt;""),'Milho 2ª safra'!$E23:INDEX('Milho 2ª safra'!$E23:$Z23,MIN(AQ$6-$G$3,22))),0)))))</f>
        <v>0</v>
      </c>
      <c r="AR25" s="27" t="n">
        <f aca="false">IF(COUNT('Milho 2ª safra'!$E23:$Z23)=0,0,MAX(0,IF((AR$6-$E$3)&lt;1,0,IFERROR(LOOKUP(2,1/('Milho 2ª safra'!$E23:INDEX('Milho 2ª safra'!$E23:$Z23,MIN(AR$6-$E$3,22))&lt;&gt;""),'Milho 2ª safra'!$E23:INDEX('Milho 2ª safra'!$E23:$Z23,MIN(AR$6-$E$3,22))),0))-IF($G$2,0,IF((AR$6-$G$3)&lt;1,0,IFERROR(LOOKUP(2,1/('Milho 2ª safra'!$E23:INDEX('Milho 2ª safra'!$E23:$Z23,MIN(AR$6-$G$3,22))&lt;&gt;""),'Milho 2ª safra'!$E23:INDEX('Milho 2ª safra'!$E23:$Z23,MIN(AR$6-$G$3,22))),0)))))</f>
        <v>0</v>
      </c>
      <c r="AS25" s="27" t="n">
        <f aca="false">IF(COUNT('Milho 2ª safra'!$E23:$Z23)=0,0,MAX(0,IF((AS$6-$E$3)&lt;1,0,IFERROR(LOOKUP(2,1/('Milho 2ª safra'!$E23:INDEX('Milho 2ª safra'!$E23:$Z23,MIN(AS$6-$E$3,22))&lt;&gt;""),'Milho 2ª safra'!$E23:INDEX('Milho 2ª safra'!$E23:$Z23,MIN(AS$6-$E$3,22))),0))-IF($G$2,0,IF((AS$6-$G$3)&lt;1,0,IFERROR(LOOKUP(2,1/('Milho 2ª safra'!$E23:INDEX('Milho 2ª safra'!$E23:$Z23,MIN(AS$6-$G$3,22))&lt;&gt;""),'Milho 2ª safra'!$E23:INDEX('Milho 2ª safra'!$E23:$Z23,MIN(AS$6-$G$3,22))),0)))))</f>
        <v>0</v>
      </c>
      <c r="AT25" s="27" t="n">
        <f aca="false">IF(COUNT('Milho 2ª safra'!$E23:$Z23)=0,0,MAX(0,IF((AT$6-$E$3)&lt;1,0,IFERROR(LOOKUP(2,1/('Milho 2ª safra'!$E23:INDEX('Milho 2ª safra'!$E23:$Z23,MIN(AT$6-$E$3,22))&lt;&gt;""),'Milho 2ª safra'!$E23:INDEX('Milho 2ª safra'!$E23:$Z23,MIN(AT$6-$E$3,22))),0))-IF($G$2,0,IF((AT$6-$G$3)&lt;1,0,IFERROR(LOOKUP(2,1/('Milho 2ª safra'!$E23:INDEX('Milho 2ª safra'!$E23:$Z23,MIN(AT$6-$G$3,22))&lt;&gt;""),'Milho 2ª safra'!$E23:INDEX('Milho 2ª safra'!$E23:$Z23,MIN(AT$6-$G$3,22))),0)))))</f>
        <v>0</v>
      </c>
      <c r="AU25" s="27" t="n">
        <f aca="false">IF(COUNT('Milho 2ª safra'!$E23:$Z23)=0,0,MAX(0,IF((AU$6-$E$3)&lt;1,0,IFERROR(LOOKUP(2,1/('Milho 2ª safra'!$E23:INDEX('Milho 2ª safra'!$E23:$Z23,MIN(AU$6-$E$3,22))&lt;&gt;""),'Milho 2ª safra'!$E23:INDEX('Milho 2ª safra'!$E23:$Z23,MIN(AU$6-$E$3,22))),0))-IF($G$2,0,IF((AU$6-$G$3)&lt;1,0,IFERROR(LOOKUP(2,1/('Milho 2ª safra'!$E23:INDEX('Milho 2ª safra'!$E23:$Z23,MIN(AU$6-$G$3,22))&lt;&gt;""),'Milho 2ª safra'!$E23:INDEX('Milho 2ª safra'!$E23:$Z23,MIN(AU$6-$G$3,22))),0)))))</f>
        <v>0</v>
      </c>
      <c r="AV25" s="27" t="n">
        <f aca="false">IF(COUNT('Milho 2ª safra'!$E23:$Z23)=0,0,MAX(0,IF((AV$6-$E$3)&lt;1,0,IFERROR(LOOKUP(2,1/('Milho 2ª safra'!$E23:INDEX('Milho 2ª safra'!$E23:$Z23,MIN(AV$6-$E$3,22))&lt;&gt;""),'Milho 2ª safra'!$E23:INDEX('Milho 2ª safra'!$E23:$Z23,MIN(AV$6-$E$3,22))),0))-IF($G$2,0,IF((AV$6-$G$3)&lt;1,0,IFERROR(LOOKUP(2,1/('Milho 2ª safra'!$E23:INDEX('Milho 2ª safra'!$E23:$Z23,MIN(AV$6-$G$3,22))&lt;&gt;""),'Milho 2ª safra'!$E23:INDEX('Milho 2ª safra'!$E23:$Z23,MIN(AV$6-$G$3,22))),0)))))</f>
        <v>0</v>
      </c>
      <c r="AW25" s="27" t="n">
        <f aca="false">IF(COUNT('Milho 2ª safra'!$E23:$Z23)=0,0,MAX(0,IF((AW$6-$E$3)&lt;1,0,IFERROR(LOOKUP(2,1/('Milho 2ª safra'!$E23:INDEX('Milho 2ª safra'!$E23:$Z23,MIN(AW$6-$E$3,22))&lt;&gt;""),'Milho 2ª safra'!$E23:INDEX('Milho 2ª safra'!$E23:$Z23,MIN(AW$6-$E$3,22))),0))-IF($G$2,0,IF((AW$6-$G$3)&lt;1,0,IFERROR(LOOKUP(2,1/('Milho 2ª safra'!$E23:INDEX('Milho 2ª safra'!$E23:$Z23,MIN(AW$6-$G$3,22))&lt;&gt;""),'Milho 2ª safra'!$E23:INDEX('Milho 2ª safra'!$E23:$Z23,MIN(AW$6-$G$3,22))),0)))))</f>
        <v>0</v>
      </c>
      <c r="AX25" s="27" t="n">
        <f aca="false">IF(COUNT('Milho 2ª safra'!$E23:$Z23)=0,0,MAX(0,IF((AX$6-$E$3)&lt;1,0,IFERROR(LOOKUP(2,1/('Milho 2ª safra'!$E23:INDEX('Milho 2ª safra'!$E23:$Z23,MIN(AX$6-$E$3,22))&lt;&gt;""),'Milho 2ª safra'!$E23:INDEX('Milho 2ª safra'!$E23:$Z23,MIN(AX$6-$E$3,22))),0))-IF($G$2,0,IF((AX$6-$G$3)&lt;1,0,IFERROR(LOOKUP(2,1/('Milho 2ª safra'!$E23:INDEX('Milho 2ª safra'!$E23:$Z23,MIN(AX$6-$G$3,22))&lt;&gt;""),'Milho 2ª safra'!$E23:INDEX('Milho 2ª safra'!$E23:$Z23,MIN(AX$6-$G$3,22))),0)))))</f>
        <v>0</v>
      </c>
      <c r="AY25" s="27" t="n">
        <f aca="false">IF(COUNT('Milho 2ª safra'!$E23:$Z23)=0,0,MAX(0,IF((AY$6-$E$3)&lt;1,0,IFERROR(LOOKUP(2,1/('Milho 2ª safra'!$E23:INDEX('Milho 2ª safra'!$E23:$Z23,MIN(AY$6-$E$3,22))&lt;&gt;""),'Milho 2ª safra'!$E23:INDEX('Milho 2ª safra'!$E23:$Z23,MIN(AY$6-$E$3,22))),0))-IF($G$2,0,IF((AY$6-$G$3)&lt;1,0,IFERROR(LOOKUP(2,1/('Milho 2ª safra'!$E23:INDEX('Milho 2ª safra'!$E23:$Z23,MIN(AY$6-$G$3,22))&lt;&gt;""),'Milho 2ª safra'!$E23:INDEX('Milho 2ª safra'!$E23:$Z23,MIN(AY$6-$G$3,22))),0)))))</f>
        <v>0</v>
      </c>
      <c r="AZ25" s="27" t="n">
        <f aca="false">IF(COUNT('Milho 2ª safra'!$E23:$Z23)=0,0,MAX(0,IF((AZ$6-$E$3)&lt;1,0,IFERROR(LOOKUP(2,1/('Milho 2ª safra'!$E23:INDEX('Milho 2ª safra'!$E23:$Z23,MIN(AZ$6-$E$3,22))&lt;&gt;""),'Milho 2ª safra'!$E23:INDEX('Milho 2ª safra'!$E23:$Z23,MIN(AZ$6-$E$3,22))),0))-IF($G$2,0,IF((AZ$6-$G$3)&lt;1,0,IFERROR(LOOKUP(2,1/('Milho 2ª safra'!$E23:INDEX('Milho 2ª safra'!$E23:$Z23,MIN(AZ$6-$G$3,22))&lt;&gt;""),'Milho 2ª safra'!$E23:INDEX('Milho 2ª safra'!$E23:$Z23,MIN(AZ$6-$G$3,22))),0)))))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IF(COUNT('Milho 2ª safra'!$E24:$Z24)&gt;0,N('Milho 2ª safra'!$D24),0)</f>
        <v>0</v>
      </c>
      <c r="E26" s="27" t="n">
        <f aca="false">IF(COUNT('Milho 2ª safra'!$E24:$Z24)=0,0,MAX(0,IF((E$6-$E$3)&lt;1,0,IFERROR(LOOKUP(2,1/('Milho 2ª safra'!$E24:INDEX('Milho 2ª safra'!$E24:$Z24,MIN(E$6-$E$3,22))&lt;&gt;""),'Milho 2ª safra'!$E24:INDEX('Milho 2ª safra'!$E24:$Z24,MIN(E$6-$E$3,22))),0))-IF($G$2,0,IF((E$6-$G$3)&lt;1,0,IFERROR(LOOKUP(2,1/('Milho 2ª safra'!$E24:INDEX('Milho 2ª safra'!$E24:$Z24,MIN(E$6-$G$3,22))&lt;&gt;""),'Milho 2ª safra'!$E24:INDEX('Milho 2ª safra'!$E24:$Z24,MIN(E$6-$G$3,22))),0)))))</f>
        <v>0</v>
      </c>
      <c r="F26" s="27" t="n">
        <f aca="false">IF(COUNT('Milho 2ª safra'!$E24:$Z24)=0,0,MAX(0,IF((F$6-$E$3)&lt;1,0,IFERROR(LOOKUP(2,1/('Milho 2ª safra'!$E24:INDEX('Milho 2ª safra'!$E24:$Z24,MIN(F$6-$E$3,22))&lt;&gt;""),'Milho 2ª safra'!$E24:INDEX('Milho 2ª safra'!$E24:$Z24,MIN(F$6-$E$3,22))),0))-IF($G$2,0,IF((F$6-$G$3)&lt;1,0,IFERROR(LOOKUP(2,1/('Milho 2ª safra'!$E24:INDEX('Milho 2ª safra'!$E24:$Z24,MIN(F$6-$G$3,22))&lt;&gt;""),'Milho 2ª safra'!$E24:INDEX('Milho 2ª safra'!$E24:$Z24,MIN(F$6-$G$3,22))),0)))))</f>
        <v>0</v>
      </c>
      <c r="G26" s="27" t="n">
        <f aca="false">IF(COUNT('Milho 2ª safra'!$E24:$Z24)=0,0,MAX(0,IF((G$6-$E$3)&lt;1,0,IFERROR(LOOKUP(2,1/('Milho 2ª safra'!$E24:INDEX('Milho 2ª safra'!$E24:$Z24,MIN(G$6-$E$3,22))&lt;&gt;""),'Milho 2ª safra'!$E24:INDEX('Milho 2ª safra'!$E24:$Z24,MIN(G$6-$E$3,22))),0))-IF($G$2,0,IF((G$6-$G$3)&lt;1,0,IFERROR(LOOKUP(2,1/('Milho 2ª safra'!$E24:INDEX('Milho 2ª safra'!$E24:$Z24,MIN(G$6-$G$3,22))&lt;&gt;""),'Milho 2ª safra'!$E24:INDEX('Milho 2ª safra'!$E24:$Z24,MIN(G$6-$G$3,22))),0)))))</f>
        <v>0</v>
      </c>
      <c r="H26" s="27" t="n">
        <f aca="false">IF(COUNT('Milho 2ª safra'!$E24:$Z24)=0,0,MAX(0,IF((H$6-$E$3)&lt;1,0,IFERROR(LOOKUP(2,1/('Milho 2ª safra'!$E24:INDEX('Milho 2ª safra'!$E24:$Z24,MIN(H$6-$E$3,22))&lt;&gt;""),'Milho 2ª safra'!$E24:INDEX('Milho 2ª safra'!$E24:$Z24,MIN(H$6-$E$3,22))),0))-IF($G$2,0,IF((H$6-$G$3)&lt;1,0,IFERROR(LOOKUP(2,1/('Milho 2ª safra'!$E24:INDEX('Milho 2ª safra'!$E24:$Z24,MIN(H$6-$G$3,22))&lt;&gt;""),'Milho 2ª safra'!$E24:INDEX('Milho 2ª safra'!$E24:$Z24,MIN(H$6-$G$3,22))),0)))))</f>
        <v>0</v>
      </c>
      <c r="I26" s="27" t="n">
        <f aca="false">IF(COUNT('Milho 2ª safra'!$E24:$Z24)=0,0,MAX(0,IF((I$6-$E$3)&lt;1,0,IFERROR(LOOKUP(2,1/('Milho 2ª safra'!$E24:INDEX('Milho 2ª safra'!$E24:$Z24,MIN(I$6-$E$3,22))&lt;&gt;""),'Milho 2ª safra'!$E24:INDEX('Milho 2ª safra'!$E24:$Z24,MIN(I$6-$E$3,22))),0))-IF($G$2,0,IF((I$6-$G$3)&lt;1,0,IFERROR(LOOKUP(2,1/('Milho 2ª safra'!$E24:INDEX('Milho 2ª safra'!$E24:$Z24,MIN(I$6-$G$3,22))&lt;&gt;""),'Milho 2ª safra'!$E24:INDEX('Milho 2ª safra'!$E24:$Z24,MIN(I$6-$G$3,22))),0)))))</f>
        <v>0</v>
      </c>
      <c r="J26" s="27" t="n">
        <f aca="false">IF(COUNT('Milho 2ª safra'!$E24:$Z24)=0,0,MAX(0,IF((J$6-$E$3)&lt;1,0,IFERROR(LOOKUP(2,1/('Milho 2ª safra'!$E24:INDEX('Milho 2ª safra'!$E24:$Z24,MIN(J$6-$E$3,22))&lt;&gt;""),'Milho 2ª safra'!$E24:INDEX('Milho 2ª safra'!$E24:$Z24,MIN(J$6-$E$3,22))),0))-IF($G$2,0,IF((J$6-$G$3)&lt;1,0,IFERROR(LOOKUP(2,1/('Milho 2ª safra'!$E24:INDEX('Milho 2ª safra'!$E24:$Z24,MIN(J$6-$G$3,22))&lt;&gt;""),'Milho 2ª safra'!$E24:INDEX('Milho 2ª safra'!$E24:$Z24,MIN(J$6-$G$3,22))),0)))))</f>
        <v>0</v>
      </c>
      <c r="K26" s="27" t="n">
        <f aca="false">IF(COUNT('Milho 2ª safra'!$E24:$Z24)=0,0,MAX(0,IF((K$6-$E$3)&lt;1,0,IFERROR(LOOKUP(2,1/('Milho 2ª safra'!$E24:INDEX('Milho 2ª safra'!$E24:$Z24,MIN(K$6-$E$3,22))&lt;&gt;""),'Milho 2ª safra'!$E24:INDEX('Milho 2ª safra'!$E24:$Z24,MIN(K$6-$E$3,22))),0))-IF($G$2,0,IF((K$6-$G$3)&lt;1,0,IFERROR(LOOKUP(2,1/('Milho 2ª safra'!$E24:INDEX('Milho 2ª safra'!$E24:$Z24,MIN(K$6-$G$3,22))&lt;&gt;""),'Milho 2ª safra'!$E24:INDEX('Milho 2ª safra'!$E24:$Z24,MIN(K$6-$G$3,22))),0)))))</f>
        <v>0</v>
      </c>
      <c r="L26" s="27" t="n">
        <f aca="false">IF(COUNT('Milho 2ª safra'!$E24:$Z24)=0,0,MAX(0,IF((L$6-$E$3)&lt;1,0,IFERROR(LOOKUP(2,1/('Milho 2ª safra'!$E24:INDEX('Milho 2ª safra'!$E24:$Z24,MIN(L$6-$E$3,22))&lt;&gt;""),'Milho 2ª safra'!$E24:INDEX('Milho 2ª safra'!$E24:$Z24,MIN(L$6-$E$3,22))),0))-IF($G$2,0,IF((L$6-$G$3)&lt;1,0,IFERROR(LOOKUP(2,1/('Milho 2ª safra'!$E24:INDEX('Milho 2ª safra'!$E24:$Z24,MIN(L$6-$G$3,22))&lt;&gt;""),'Milho 2ª safra'!$E24:INDEX('Milho 2ª safra'!$E24:$Z24,MIN(L$6-$G$3,22))),0)))))</f>
        <v>0</v>
      </c>
      <c r="M26" s="27" t="n">
        <f aca="false">IF(COUNT('Milho 2ª safra'!$E24:$Z24)=0,0,MAX(0,IF((M$6-$E$3)&lt;1,0,IFERROR(LOOKUP(2,1/('Milho 2ª safra'!$E24:INDEX('Milho 2ª safra'!$E24:$Z24,MIN(M$6-$E$3,22))&lt;&gt;""),'Milho 2ª safra'!$E24:INDEX('Milho 2ª safra'!$E24:$Z24,MIN(M$6-$E$3,22))),0))-IF($G$2,0,IF((M$6-$G$3)&lt;1,0,IFERROR(LOOKUP(2,1/('Milho 2ª safra'!$E24:INDEX('Milho 2ª safra'!$E24:$Z24,MIN(M$6-$G$3,22))&lt;&gt;""),'Milho 2ª safra'!$E24:INDEX('Milho 2ª safra'!$E24:$Z24,MIN(M$6-$G$3,22))),0)))))</f>
        <v>0</v>
      </c>
      <c r="N26" s="27" t="n">
        <f aca="false">IF(COUNT('Milho 2ª safra'!$E24:$Z24)=0,0,MAX(0,IF((N$6-$E$3)&lt;1,0,IFERROR(LOOKUP(2,1/('Milho 2ª safra'!$E24:INDEX('Milho 2ª safra'!$E24:$Z24,MIN(N$6-$E$3,22))&lt;&gt;""),'Milho 2ª safra'!$E24:INDEX('Milho 2ª safra'!$E24:$Z24,MIN(N$6-$E$3,22))),0))-IF($G$2,0,IF((N$6-$G$3)&lt;1,0,IFERROR(LOOKUP(2,1/('Milho 2ª safra'!$E24:INDEX('Milho 2ª safra'!$E24:$Z24,MIN(N$6-$G$3,22))&lt;&gt;""),'Milho 2ª safra'!$E24:INDEX('Milho 2ª safra'!$E24:$Z24,MIN(N$6-$G$3,22))),0)))))</f>
        <v>0</v>
      </c>
      <c r="O26" s="27" t="n">
        <f aca="false">IF(COUNT('Milho 2ª safra'!$E24:$Z24)=0,0,MAX(0,IF((O$6-$E$3)&lt;1,0,IFERROR(LOOKUP(2,1/('Milho 2ª safra'!$E24:INDEX('Milho 2ª safra'!$E24:$Z24,MIN(O$6-$E$3,22))&lt;&gt;""),'Milho 2ª safra'!$E24:INDEX('Milho 2ª safra'!$E24:$Z24,MIN(O$6-$E$3,22))),0))-IF($G$2,0,IF((O$6-$G$3)&lt;1,0,IFERROR(LOOKUP(2,1/('Milho 2ª safra'!$E24:INDEX('Milho 2ª safra'!$E24:$Z24,MIN(O$6-$G$3,22))&lt;&gt;""),'Milho 2ª safra'!$E24:INDEX('Milho 2ª safra'!$E24:$Z24,MIN(O$6-$G$3,22))),0)))))</f>
        <v>0</v>
      </c>
      <c r="P26" s="27" t="n">
        <f aca="false">IF(COUNT('Milho 2ª safra'!$E24:$Z24)=0,0,MAX(0,IF((P$6-$E$3)&lt;1,0,IFERROR(LOOKUP(2,1/('Milho 2ª safra'!$E24:INDEX('Milho 2ª safra'!$E24:$Z24,MIN(P$6-$E$3,22))&lt;&gt;""),'Milho 2ª safra'!$E24:INDEX('Milho 2ª safra'!$E24:$Z24,MIN(P$6-$E$3,22))),0))-IF($G$2,0,IF((P$6-$G$3)&lt;1,0,IFERROR(LOOKUP(2,1/('Milho 2ª safra'!$E24:INDEX('Milho 2ª safra'!$E24:$Z24,MIN(P$6-$G$3,22))&lt;&gt;""),'Milho 2ª safra'!$E24:INDEX('Milho 2ª safra'!$E24:$Z24,MIN(P$6-$G$3,22))),0)))))</f>
        <v>0</v>
      </c>
      <c r="Q26" s="27" t="n">
        <f aca="false">IF(COUNT('Milho 2ª safra'!$E24:$Z24)=0,0,MAX(0,IF((Q$6-$E$3)&lt;1,0,IFERROR(LOOKUP(2,1/('Milho 2ª safra'!$E24:INDEX('Milho 2ª safra'!$E24:$Z24,MIN(Q$6-$E$3,22))&lt;&gt;""),'Milho 2ª safra'!$E24:INDEX('Milho 2ª safra'!$E24:$Z24,MIN(Q$6-$E$3,22))),0))-IF($G$2,0,IF((Q$6-$G$3)&lt;1,0,IFERROR(LOOKUP(2,1/('Milho 2ª safra'!$E24:INDEX('Milho 2ª safra'!$E24:$Z24,MIN(Q$6-$G$3,22))&lt;&gt;""),'Milho 2ª safra'!$E24:INDEX('Milho 2ª safra'!$E24:$Z24,MIN(Q$6-$G$3,22))),0)))))</f>
        <v>0</v>
      </c>
      <c r="R26" s="27" t="n">
        <f aca="false">IF(COUNT('Milho 2ª safra'!$E24:$Z24)=0,0,MAX(0,IF((R$6-$E$3)&lt;1,0,IFERROR(LOOKUP(2,1/('Milho 2ª safra'!$E24:INDEX('Milho 2ª safra'!$E24:$Z24,MIN(R$6-$E$3,22))&lt;&gt;""),'Milho 2ª safra'!$E24:INDEX('Milho 2ª safra'!$E24:$Z24,MIN(R$6-$E$3,22))),0))-IF($G$2,0,IF((R$6-$G$3)&lt;1,0,IFERROR(LOOKUP(2,1/('Milho 2ª safra'!$E24:INDEX('Milho 2ª safra'!$E24:$Z24,MIN(R$6-$G$3,22))&lt;&gt;""),'Milho 2ª safra'!$E24:INDEX('Milho 2ª safra'!$E24:$Z24,MIN(R$6-$G$3,22))),0)))))</f>
        <v>0</v>
      </c>
      <c r="S26" s="27" t="n">
        <f aca="false">IF(COUNT('Milho 2ª safra'!$E24:$Z24)=0,0,MAX(0,IF((S$6-$E$3)&lt;1,0,IFERROR(LOOKUP(2,1/('Milho 2ª safra'!$E24:INDEX('Milho 2ª safra'!$E24:$Z24,MIN(S$6-$E$3,22))&lt;&gt;""),'Milho 2ª safra'!$E24:INDEX('Milho 2ª safra'!$E24:$Z24,MIN(S$6-$E$3,22))),0))-IF($G$2,0,IF((S$6-$G$3)&lt;1,0,IFERROR(LOOKUP(2,1/('Milho 2ª safra'!$E24:INDEX('Milho 2ª safra'!$E24:$Z24,MIN(S$6-$G$3,22))&lt;&gt;""),'Milho 2ª safra'!$E24:INDEX('Milho 2ª safra'!$E24:$Z24,MIN(S$6-$G$3,22))),0)))))</f>
        <v>0</v>
      </c>
      <c r="T26" s="27" t="n">
        <f aca="false">IF(COUNT('Milho 2ª safra'!$E24:$Z24)=0,0,MAX(0,IF((T$6-$E$3)&lt;1,0,IFERROR(LOOKUP(2,1/('Milho 2ª safra'!$E24:INDEX('Milho 2ª safra'!$E24:$Z24,MIN(T$6-$E$3,22))&lt;&gt;""),'Milho 2ª safra'!$E24:INDEX('Milho 2ª safra'!$E24:$Z24,MIN(T$6-$E$3,22))),0))-IF($G$2,0,IF((T$6-$G$3)&lt;1,0,IFERROR(LOOKUP(2,1/('Milho 2ª safra'!$E24:INDEX('Milho 2ª safra'!$E24:$Z24,MIN(T$6-$G$3,22))&lt;&gt;""),'Milho 2ª safra'!$E24:INDEX('Milho 2ª safra'!$E24:$Z24,MIN(T$6-$G$3,22))),0)))))</f>
        <v>0</v>
      </c>
      <c r="U26" s="27" t="n">
        <f aca="false">IF(COUNT('Milho 2ª safra'!$E24:$Z24)=0,0,MAX(0,IF((U$6-$E$3)&lt;1,0,IFERROR(LOOKUP(2,1/('Milho 2ª safra'!$E24:INDEX('Milho 2ª safra'!$E24:$Z24,MIN(U$6-$E$3,22))&lt;&gt;""),'Milho 2ª safra'!$E24:INDEX('Milho 2ª safra'!$E24:$Z24,MIN(U$6-$E$3,22))),0))-IF($G$2,0,IF((U$6-$G$3)&lt;1,0,IFERROR(LOOKUP(2,1/('Milho 2ª safra'!$E24:INDEX('Milho 2ª safra'!$E24:$Z24,MIN(U$6-$G$3,22))&lt;&gt;""),'Milho 2ª safra'!$E24:INDEX('Milho 2ª safra'!$E24:$Z24,MIN(U$6-$G$3,22))),0)))))</f>
        <v>0</v>
      </c>
      <c r="V26" s="27" t="n">
        <f aca="false">IF(COUNT('Milho 2ª safra'!$E24:$Z24)=0,0,MAX(0,IF((V$6-$E$3)&lt;1,0,IFERROR(LOOKUP(2,1/('Milho 2ª safra'!$E24:INDEX('Milho 2ª safra'!$E24:$Z24,MIN(V$6-$E$3,22))&lt;&gt;""),'Milho 2ª safra'!$E24:INDEX('Milho 2ª safra'!$E24:$Z24,MIN(V$6-$E$3,22))),0))-IF($G$2,0,IF((V$6-$G$3)&lt;1,0,IFERROR(LOOKUP(2,1/('Milho 2ª safra'!$E24:INDEX('Milho 2ª safra'!$E24:$Z24,MIN(V$6-$G$3,22))&lt;&gt;""),'Milho 2ª safra'!$E24:INDEX('Milho 2ª safra'!$E24:$Z24,MIN(V$6-$G$3,22))),0)))))</f>
        <v>0</v>
      </c>
      <c r="W26" s="27" t="n">
        <f aca="false">IF(COUNT('Milho 2ª safra'!$E24:$Z24)=0,0,MAX(0,IF((W$6-$E$3)&lt;1,0,IFERROR(LOOKUP(2,1/('Milho 2ª safra'!$E24:INDEX('Milho 2ª safra'!$E24:$Z24,MIN(W$6-$E$3,22))&lt;&gt;""),'Milho 2ª safra'!$E24:INDEX('Milho 2ª safra'!$E24:$Z24,MIN(W$6-$E$3,22))),0))-IF($G$2,0,IF((W$6-$G$3)&lt;1,0,IFERROR(LOOKUP(2,1/('Milho 2ª safra'!$E24:INDEX('Milho 2ª safra'!$E24:$Z24,MIN(W$6-$G$3,22))&lt;&gt;""),'Milho 2ª safra'!$E24:INDEX('Milho 2ª safra'!$E24:$Z24,MIN(W$6-$G$3,22))),0)))))</f>
        <v>0</v>
      </c>
      <c r="X26" s="27" t="n">
        <f aca="false">IF(COUNT('Milho 2ª safra'!$E24:$Z24)=0,0,MAX(0,IF((X$6-$E$3)&lt;1,0,IFERROR(LOOKUP(2,1/('Milho 2ª safra'!$E24:INDEX('Milho 2ª safra'!$E24:$Z24,MIN(X$6-$E$3,22))&lt;&gt;""),'Milho 2ª safra'!$E24:INDEX('Milho 2ª safra'!$E24:$Z24,MIN(X$6-$E$3,22))),0))-IF($G$2,0,IF((X$6-$G$3)&lt;1,0,IFERROR(LOOKUP(2,1/('Milho 2ª safra'!$E24:INDEX('Milho 2ª safra'!$E24:$Z24,MIN(X$6-$G$3,22))&lt;&gt;""),'Milho 2ª safra'!$E24:INDEX('Milho 2ª safra'!$E24:$Z24,MIN(X$6-$G$3,22))),0)))))</f>
        <v>0</v>
      </c>
      <c r="Y26" s="27" t="n">
        <f aca="false">IF(COUNT('Milho 2ª safra'!$E24:$Z24)=0,0,MAX(0,IF((Y$6-$E$3)&lt;1,0,IFERROR(LOOKUP(2,1/('Milho 2ª safra'!$E24:INDEX('Milho 2ª safra'!$E24:$Z24,MIN(Y$6-$E$3,22))&lt;&gt;""),'Milho 2ª safra'!$E24:INDEX('Milho 2ª safra'!$E24:$Z24,MIN(Y$6-$E$3,22))),0))-IF($G$2,0,IF((Y$6-$G$3)&lt;1,0,IFERROR(LOOKUP(2,1/('Milho 2ª safra'!$E24:INDEX('Milho 2ª safra'!$E24:$Z24,MIN(Y$6-$G$3,22))&lt;&gt;""),'Milho 2ª safra'!$E24:INDEX('Milho 2ª safra'!$E24:$Z24,MIN(Y$6-$G$3,22))),0)))))</f>
        <v>0</v>
      </c>
      <c r="Z26" s="27" t="n">
        <f aca="false">IF(COUNT('Milho 2ª safra'!$E24:$Z24)=0,0,MAX(0,IF((Z$6-$E$3)&lt;1,0,IFERROR(LOOKUP(2,1/('Milho 2ª safra'!$E24:INDEX('Milho 2ª safra'!$E24:$Z24,MIN(Z$6-$E$3,22))&lt;&gt;""),'Milho 2ª safra'!$E24:INDEX('Milho 2ª safra'!$E24:$Z24,MIN(Z$6-$E$3,22))),0))-IF($G$2,0,IF((Z$6-$G$3)&lt;1,0,IFERROR(LOOKUP(2,1/('Milho 2ª safra'!$E24:INDEX('Milho 2ª safra'!$E24:$Z24,MIN(Z$6-$G$3,22))&lt;&gt;""),'Milho 2ª safra'!$E24:INDEX('Milho 2ª safra'!$E24:$Z24,MIN(Z$6-$G$3,22))),0)))))</f>
        <v>0</v>
      </c>
      <c r="AA26" s="27" t="n">
        <f aca="false">IF(COUNT('Milho 2ª safra'!$E24:$Z24)=0,0,MAX(0,IF((AA$6-$E$3)&lt;1,0,IFERROR(LOOKUP(2,1/('Milho 2ª safra'!$E24:INDEX('Milho 2ª safra'!$E24:$Z24,MIN(AA$6-$E$3,22))&lt;&gt;""),'Milho 2ª safra'!$E24:INDEX('Milho 2ª safra'!$E24:$Z24,MIN(AA$6-$E$3,22))),0))-IF($G$2,0,IF((AA$6-$G$3)&lt;1,0,IFERROR(LOOKUP(2,1/('Milho 2ª safra'!$E24:INDEX('Milho 2ª safra'!$E24:$Z24,MIN(AA$6-$G$3,22))&lt;&gt;""),'Milho 2ª safra'!$E24:INDEX('Milho 2ª safra'!$E24:$Z24,MIN(AA$6-$G$3,22))),0)))))</f>
        <v>0</v>
      </c>
      <c r="AB26" s="27" t="n">
        <f aca="false">IF(COUNT('Milho 2ª safra'!$E24:$Z24)=0,0,MAX(0,IF((AB$6-$E$3)&lt;1,0,IFERROR(LOOKUP(2,1/('Milho 2ª safra'!$E24:INDEX('Milho 2ª safra'!$E24:$Z24,MIN(AB$6-$E$3,22))&lt;&gt;""),'Milho 2ª safra'!$E24:INDEX('Milho 2ª safra'!$E24:$Z24,MIN(AB$6-$E$3,22))),0))-IF($G$2,0,IF((AB$6-$G$3)&lt;1,0,IFERROR(LOOKUP(2,1/('Milho 2ª safra'!$E24:INDEX('Milho 2ª safra'!$E24:$Z24,MIN(AB$6-$G$3,22))&lt;&gt;""),'Milho 2ª safra'!$E24:INDEX('Milho 2ª safra'!$E24:$Z24,MIN(AB$6-$G$3,22))),0)))))</f>
        <v>0</v>
      </c>
      <c r="AC26" s="27" t="n">
        <f aca="false">IF(COUNT('Milho 2ª safra'!$E24:$Z24)=0,0,MAX(0,IF((AC$6-$E$3)&lt;1,0,IFERROR(LOOKUP(2,1/('Milho 2ª safra'!$E24:INDEX('Milho 2ª safra'!$E24:$Z24,MIN(AC$6-$E$3,22))&lt;&gt;""),'Milho 2ª safra'!$E24:INDEX('Milho 2ª safra'!$E24:$Z24,MIN(AC$6-$E$3,22))),0))-IF($G$2,0,IF((AC$6-$G$3)&lt;1,0,IFERROR(LOOKUP(2,1/('Milho 2ª safra'!$E24:INDEX('Milho 2ª safra'!$E24:$Z24,MIN(AC$6-$G$3,22))&lt;&gt;""),'Milho 2ª safra'!$E24:INDEX('Milho 2ª safra'!$E24:$Z24,MIN(AC$6-$G$3,22))),0)))))</f>
        <v>0</v>
      </c>
      <c r="AD26" s="27" t="n">
        <f aca="false">IF(COUNT('Milho 2ª safra'!$E24:$Z24)=0,0,MAX(0,IF((AD$6-$E$3)&lt;1,0,IFERROR(LOOKUP(2,1/('Milho 2ª safra'!$E24:INDEX('Milho 2ª safra'!$E24:$Z24,MIN(AD$6-$E$3,22))&lt;&gt;""),'Milho 2ª safra'!$E24:INDEX('Milho 2ª safra'!$E24:$Z24,MIN(AD$6-$E$3,22))),0))-IF($G$2,0,IF((AD$6-$G$3)&lt;1,0,IFERROR(LOOKUP(2,1/('Milho 2ª safra'!$E24:INDEX('Milho 2ª safra'!$E24:$Z24,MIN(AD$6-$G$3,22))&lt;&gt;""),'Milho 2ª safra'!$E24:INDEX('Milho 2ª safra'!$E24:$Z24,MIN(AD$6-$G$3,22))),0)))))</f>
        <v>0</v>
      </c>
      <c r="AE26" s="27" t="n">
        <f aca="false">IF(COUNT('Milho 2ª safra'!$E24:$Z24)=0,0,MAX(0,IF((AE$6-$E$3)&lt;1,0,IFERROR(LOOKUP(2,1/('Milho 2ª safra'!$E24:INDEX('Milho 2ª safra'!$E24:$Z24,MIN(AE$6-$E$3,22))&lt;&gt;""),'Milho 2ª safra'!$E24:INDEX('Milho 2ª safra'!$E24:$Z24,MIN(AE$6-$E$3,22))),0))-IF($G$2,0,IF((AE$6-$G$3)&lt;1,0,IFERROR(LOOKUP(2,1/('Milho 2ª safra'!$E24:INDEX('Milho 2ª safra'!$E24:$Z24,MIN(AE$6-$G$3,22))&lt;&gt;""),'Milho 2ª safra'!$E24:INDEX('Milho 2ª safra'!$E24:$Z24,MIN(AE$6-$G$3,22))),0)))))</f>
        <v>0</v>
      </c>
      <c r="AF26" s="27" t="n">
        <f aca="false">IF(COUNT('Milho 2ª safra'!$E24:$Z24)=0,0,MAX(0,IF((AF$6-$E$3)&lt;1,0,IFERROR(LOOKUP(2,1/('Milho 2ª safra'!$E24:INDEX('Milho 2ª safra'!$E24:$Z24,MIN(AF$6-$E$3,22))&lt;&gt;""),'Milho 2ª safra'!$E24:INDEX('Milho 2ª safra'!$E24:$Z24,MIN(AF$6-$E$3,22))),0))-IF($G$2,0,IF((AF$6-$G$3)&lt;1,0,IFERROR(LOOKUP(2,1/('Milho 2ª safra'!$E24:INDEX('Milho 2ª safra'!$E24:$Z24,MIN(AF$6-$G$3,22))&lt;&gt;""),'Milho 2ª safra'!$E24:INDEX('Milho 2ª safra'!$E24:$Z24,MIN(AF$6-$G$3,22))),0)))))</f>
        <v>0</v>
      </c>
      <c r="AG26" s="27" t="n">
        <f aca="false">IF(COUNT('Milho 2ª safra'!$E24:$Z24)=0,0,MAX(0,IF((AG$6-$E$3)&lt;1,0,IFERROR(LOOKUP(2,1/('Milho 2ª safra'!$E24:INDEX('Milho 2ª safra'!$E24:$Z24,MIN(AG$6-$E$3,22))&lt;&gt;""),'Milho 2ª safra'!$E24:INDEX('Milho 2ª safra'!$E24:$Z24,MIN(AG$6-$E$3,22))),0))-IF($G$2,0,IF((AG$6-$G$3)&lt;1,0,IFERROR(LOOKUP(2,1/('Milho 2ª safra'!$E24:INDEX('Milho 2ª safra'!$E24:$Z24,MIN(AG$6-$G$3,22))&lt;&gt;""),'Milho 2ª safra'!$E24:INDEX('Milho 2ª safra'!$E24:$Z24,MIN(AG$6-$G$3,22))),0)))))</f>
        <v>0</v>
      </c>
      <c r="AH26" s="27" t="n">
        <f aca="false">IF(COUNT('Milho 2ª safra'!$E24:$Z24)=0,0,MAX(0,IF((AH$6-$E$3)&lt;1,0,IFERROR(LOOKUP(2,1/('Milho 2ª safra'!$E24:INDEX('Milho 2ª safra'!$E24:$Z24,MIN(AH$6-$E$3,22))&lt;&gt;""),'Milho 2ª safra'!$E24:INDEX('Milho 2ª safra'!$E24:$Z24,MIN(AH$6-$E$3,22))),0))-IF($G$2,0,IF((AH$6-$G$3)&lt;1,0,IFERROR(LOOKUP(2,1/('Milho 2ª safra'!$E24:INDEX('Milho 2ª safra'!$E24:$Z24,MIN(AH$6-$G$3,22))&lt;&gt;""),'Milho 2ª safra'!$E24:INDEX('Milho 2ª safra'!$E24:$Z24,MIN(AH$6-$G$3,22))),0)))))</f>
        <v>0</v>
      </c>
      <c r="AI26" s="27" t="n">
        <f aca="false">IF(COUNT('Milho 2ª safra'!$E24:$Z24)=0,0,MAX(0,IF((AI$6-$E$3)&lt;1,0,IFERROR(LOOKUP(2,1/('Milho 2ª safra'!$E24:INDEX('Milho 2ª safra'!$E24:$Z24,MIN(AI$6-$E$3,22))&lt;&gt;""),'Milho 2ª safra'!$E24:INDEX('Milho 2ª safra'!$E24:$Z24,MIN(AI$6-$E$3,22))),0))-IF($G$2,0,IF((AI$6-$G$3)&lt;1,0,IFERROR(LOOKUP(2,1/('Milho 2ª safra'!$E24:INDEX('Milho 2ª safra'!$E24:$Z24,MIN(AI$6-$G$3,22))&lt;&gt;""),'Milho 2ª safra'!$E24:INDEX('Milho 2ª safra'!$E24:$Z24,MIN(AI$6-$G$3,22))),0)))))</f>
        <v>0</v>
      </c>
      <c r="AJ26" s="27" t="n">
        <f aca="false">IF(COUNT('Milho 2ª safra'!$E24:$Z24)=0,0,MAX(0,IF((AJ$6-$E$3)&lt;1,0,IFERROR(LOOKUP(2,1/('Milho 2ª safra'!$E24:INDEX('Milho 2ª safra'!$E24:$Z24,MIN(AJ$6-$E$3,22))&lt;&gt;""),'Milho 2ª safra'!$E24:INDEX('Milho 2ª safra'!$E24:$Z24,MIN(AJ$6-$E$3,22))),0))-IF($G$2,0,IF((AJ$6-$G$3)&lt;1,0,IFERROR(LOOKUP(2,1/('Milho 2ª safra'!$E24:INDEX('Milho 2ª safra'!$E24:$Z24,MIN(AJ$6-$G$3,22))&lt;&gt;""),'Milho 2ª safra'!$E24:INDEX('Milho 2ª safra'!$E24:$Z24,MIN(AJ$6-$G$3,22))),0)))))</f>
        <v>0</v>
      </c>
      <c r="AK26" s="27" t="n">
        <f aca="false">IF(COUNT('Milho 2ª safra'!$E24:$Z24)=0,0,MAX(0,IF((AK$6-$E$3)&lt;1,0,IFERROR(LOOKUP(2,1/('Milho 2ª safra'!$E24:INDEX('Milho 2ª safra'!$E24:$Z24,MIN(AK$6-$E$3,22))&lt;&gt;""),'Milho 2ª safra'!$E24:INDEX('Milho 2ª safra'!$E24:$Z24,MIN(AK$6-$E$3,22))),0))-IF($G$2,0,IF((AK$6-$G$3)&lt;1,0,IFERROR(LOOKUP(2,1/('Milho 2ª safra'!$E24:INDEX('Milho 2ª safra'!$E24:$Z24,MIN(AK$6-$G$3,22))&lt;&gt;""),'Milho 2ª safra'!$E24:INDEX('Milho 2ª safra'!$E24:$Z24,MIN(AK$6-$G$3,22))),0)))))</f>
        <v>0</v>
      </c>
      <c r="AL26" s="27" t="n">
        <f aca="false">IF(COUNT('Milho 2ª safra'!$E24:$Z24)=0,0,MAX(0,IF((AL$6-$E$3)&lt;1,0,IFERROR(LOOKUP(2,1/('Milho 2ª safra'!$E24:INDEX('Milho 2ª safra'!$E24:$Z24,MIN(AL$6-$E$3,22))&lt;&gt;""),'Milho 2ª safra'!$E24:INDEX('Milho 2ª safra'!$E24:$Z24,MIN(AL$6-$E$3,22))),0))-IF($G$2,0,IF((AL$6-$G$3)&lt;1,0,IFERROR(LOOKUP(2,1/('Milho 2ª safra'!$E24:INDEX('Milho 2ª safra'!$E24:$Z24,MIN(AL$6-$G$3,22))&lt;&gt;""),'Milho 2ª safra'!$E24:INDEX('Milho 2ª safra'!$E24:$Z24,MIN(AL$6-$G$3,22))),0)))))</f>
        <v>0</v>
      </c>
      <c r="AM26" s="27" t="n">
        <f aca="false">IF(COUNT('Milho 2ª safra'!$E24:$Z24)=0,0,MAX(0,IF((AM$6-$E$3)&lt;1,0,IFERROR(LOOKUP(2,1/('Milho 2ª safra'!$E24:INDEX('Milho 2ª safra'!$E24:$Z24,MIN(AM$6-$E$3,22))&lt;&gt;""),'Milho 2ª safra'!$E24:INDEX('Milho 2ª safra'!$E24:$Z24,MIN(AM$6-$E$3,22))),0))-IF($G$2,0,IF((AM$6-$G$3)&lt;1,0,IFERROR(LOOKUP(2,1/('Milho 2ª safra'!$E24:INDEX('Milho 2ª safra'!$E24:$Z24,MIN(AM$6-$G$3,22))&lt;&gt;""),'Milho 2ª safra'!$E24:INDEX('Milho 2ª safra'!$E24:$Z24,MIN(AM$6-$G$3,22))),0)))))</f>
        <v>0</v>
      </c>
      <c r="AN26" s="27" t="n">
        <f aca="false">IF(COUNT('Milho 2ª safra'!$E24:$Z24)=0,0,MAX(0,IF((AN$6-$E$3)&lt;1,0,IFERROR(LOOKUP(2,1/('Milho 2ª safra'!$E24:INDEX('Milho 2ª safra'!$E24:$Z24,MIN(AN$6-$E$3,22))&lt;&gt;""),'Milho 2ª safra'!$E24:INDEX('Milho 2ª safra'!$E24:$Z24,MIN(AN$6-$E$3,22))),0))-IF($G$2,0,IF((AN$6-$G$3)&lt;1,0,IFERROR(LOOKUP(2,1/('Milho 2ª safra'!$E24:INDEX('Milho 2ª safra'!$E24:$Z24,MIN(AN$6-$G$3,22))&lt;&gt;""),'Milho 2ª safra'!$E24:INDEX('Milho 2ª safra'!$E24:$Z24,MIN(AN$6-$G$3,22))),0)))))</f>
        <v>0</v>
      </c>
      <c r="AO26" s="27" t="n">
        <f aca="false">IF(COUNT('Milho 2ª safra'!$E24:$Z24)=0,0,MAX(0,IF((AO$6-$E$3)&lt;1,0,IFERROR(LOOKUP(2,1/('Milho 2ª safra'!$E24:INDEX('Milho 2ª safra'!$E24:$Z24,MIN(AO$6-$E$3,22))&lt;&gt;""),'Milho 2ª safra'!$E24:INDEX('Milho 2ª safra'!$E24:$Z24,MIN(AO$6-$E$3,22))),0))-IF($G$2,0,IF((AO$6-$G$3)&lt;1,0,IFERROR(LOOKUP(2,1/('Milho 2ª safra'!$E24:INDEX('Milho 2ª safra'!$E24:$Z24,MIN(AO$6-$G$3,22))&lt;&gt;""),'Milho 2ª safra'!$E24:INDEX('Milho 2ª safra'!$E24:$Z24,MIN(AO$6-$G$3,22))),0)))))</f>
        <v>0</v>
      </c>
      <c r="AP26" s="27" t="n">
        <f aca="false">IF(COUNT('Milho 2ª safra'!$E24:$Z24)=0,0,MAX(0,IF((AP$6-$E$3)&lt;1,0,IFERROR(LOOKUP(2,1/('Milho 2ª safra'!$E24:INDEX('Milho 2ª safra'!$E24:$Z24,MIN(AP$6-$E$3,22))&lt;&gt;""),'Milho 2ª safra'!$E24:INDEX('Milho 2ª safra'!$E24:$Z24,MIN(AP$6-$E$3,22))),0))-IF($G$2,0,IF((AP$6-$G$3)&lt;1,0,IFERROR(LOOKUP(2,1/('Milho 2ª safra'!$E24:INDEX('Milho 2ª safra'!$E24:$Z24,MIN(AP$6-$G$3,22))&lt;&gt;""),'Milho 2ª safra'!$E24:INDEX('Milho 2ª safra'!$E24:$Z24,MIN(AP$6-$G$3,22))),0)))))</f>
        <v>0</v>
      </c>
      <c r="AQ26" s="27" t="n">
        <f aca="false">IF(COUNT('Milho 2ª safra'!$E24:$Z24)=0,0,MAX(0,IF((AQ$6-$E$3)&lt;1,0,IFERROR(LOOKUP(2,1/('Milho 2ª safra'!$E24:INDEX('Milho 2ª safra'!$E24:$Z24,MIN(AQ$6-$E$3,22))&lt;&gt;""),'Milho 2ª safra'!$E24:INDEX('Milho 2ª safra'!$E24:$Z24,MIN(AQ$6-$E$3,22))),0))-IF($G$2,0,IF((AQ$6-$G$3)&lt;1,0,IFERROR(LOOKUP(2,1/('Milho 2ª safra'!$E24:INDEX('Milho 2ª safra'!$E24:$Z24,MIN(AQ$6-$G$3,22))&lt;&gt;""),'Milho 2ª safra'!$E24:INDEX('Milho 2ª safra'!$E24:$Z24,MIN(AQ$6-$G$3,22))),0)))))</f>
        <v>0</v>
      </c>
      <c r="AR26" s="27" t="n">
        <f aca="false">IF(COUNT('Milho 2ª safra'!$E24:$Z24)=0,0,MAX(0,IF((AR$6-$E$3)&lt;1,0,IFERROR(LOOKUP(2,1/('Milho 2ª safra'!$E24:INDEX('Milho 2ª safra'!$E24:$Z24,MIN(AR$6-$E$3,22))&lt;&gt;""),'Milho 2ª safra'!$E24:INDEX('Milho 2ª safra'!$E24:$Z24,MIN(AR$6-$E$3,22))),0))-IF($G$2,0,IF((AR$6-$G$3)&lt;1,0,IFERROR(LOOKUP(2,1/('Milho 2ª safra'!$E24:INDEX('Milho 2ª safra'!$E24:$Z24,MIN(AR$6-$G$3,22))&lt;&gt;""),'Milho 2ª safra'!$E24:INDEX('Milho 2ª safra'!$E24:$Z24,MIN(AR$6-$G$3,22))),0)))))</f>
        <v>0</v>
      </c>
      <c r="AS26" s="27" t="n">
        <f aca="false">IF(COUNT('Milho 2ª safra'!$E24:$Z24)=0,0,MAX(0,IF((AS$6-$E$3)&lt;1,0,IFERROR(LOOKUP(2,1/('Milho 2ª safra'!$E24:INDEX('Milho 2ª safra'!$E24:$Z24,MIN(AS$6-$E$3,22))&lt;&gt;""),'Milho 2ª safra'!$E24:INDEX('Milho 2ª safra'!$E24:$Z24,MIN(AS$6-$E$3,22))),0))-IF($G$2,0,IF((AS$6-$G$3)&lt;1,0,IFERROR(LOOKUP(2,1/('Milho 2ª safra'!$E24:INDEX('Milho 2ª safra'!$E24:$Z24,MIN(AS$6-$G$3,22))&lt;&gt;""),'Milho 2ª safra'!$E24:INDEX('Milho 2ª safra'!$E24:$Z24,MIN(AS$6-$G$3,22))),0)))))</f>
        <v>0</v>
      </c>
      <c r="AT26" s="27" t="n">
        <f aca="false">IF(COUNT('Milho 2ª safra'!$E24:$Z24)=0,0,MAX(0,IF((AT$6-$E$3)&lt;1,0,IFERROR(LOOKUP(2,1/('Milho 2ª safra'!$E24:INDEX('Milho 2ª safra'!$E24:$Z24,MIN(AT$6-$E$3,22))&lt;&gt;""),'Milho 2ª safra'!$E24:INDEX('Milho 2ª safra'!$E24:$Z24,MIN(AT$6-$E$3,22))),0))-IF($G$2,0,IF((AT$6-$G$3)&lt;1,0,IFERROR(LOOKUP(2,1/('Milho 2ª safra'!$E24:INDEX('Milho 2ª safra'!$E24:$Z24,MIN(AT$6-$G$3,22))&lt;&gt;""),'Milho 2ª safra'!$E24:INDEX('Milho 2ª safra'!$E24:$Z24,MIN(AT$6-$G$3,22))),0)))))</f>
        <v>0</v>
      </c>
      <c r="AU26" s="27" t="n">
        <f aca="false">IF(COUNT('Milho 2ª safra'!$E24:$Z24)=0,0,MAX(0,IF((AU$6-$E$3)&lt;1,0,IFERROR(LOOKUP(2,1/('Milho 2ª safra'!$E24:INDEX('Milho 2ª safra'!$E24:$Z24,MIN(AU$6-$E$3,22))&lt;&gt;""),'Milho 2ª safra'!$E24:INDEX('Milho 2ª safra'!$E24:$Z24,MIN(AU$6-$E$3,22))),0))-IF($G$2,0,IF((AU$6-$G$3)&lt;1,0,IFERROR(LOOKUP(2,1/('Milho 2ª safra'!$E24:INDEX('Milho 2ª safra'!$E24:$Z24,MIN(AU$6-$G$3,22))&lt;&gt;""),'Milho 2ª safra'!$E24:INDEX('Milho 2ª safra'!$E24:$Z24,MIN(AU$6-$G$3,22))),0)))))</f>
        <v>0</v>
      </c>
      <c r="AV26" s="27" t="n">
        <f aca="false">IF(COUNT('Milho 2ª safra'!$E24:$Z24)=0,0,MAX(0,IF((AV$6-$E$3)&lt;1,0,IFERROR(LOOKUP(2,1/('Milho 2ª safra'!$E24:INDEX('Milho 2ª safra'!$E24:$Z24,MIN(AV$6-$E$3,22))&lt;&gt;""),'Milho 2ª safra'!$E24:INDEX('Milho 2ª safra'!$E24:$Z24,MIN(AV$6-$E$3,22))),0))-IF($G$2,0,IF((AV$6-$G$3)&lt;1,0,IFERROR(LOOKUP(2,1/('Milho 2ª safra'!$E24:INDEX('Milho 2ª safra'!$E24:$Z24,MIN(AV$6-$G$3,22))&lt;&gt;""),'Milho 2ª safra'!$E24:INDEX('Milho 2ª safra'!$E24:$Z24,MIN(AV$6-$G$3,22))),0)))))</f>
        <v>0</v>
      </c>
      <c r="AW26" s="27" t="n">
        <f aca="false">IF(COUNT('Milho 2ª safra'!$E24:$Z24)=0,0,MAX(0,IF((AW$6-$E$3)&lt;1,0,IFERROR(LOOKUP(2,1/('Milho 2ª safra'!$E24:INDEX('Milho 2ª safra'!$E24:$Z24,MIN(AW$6-$E$3,22))&lt;&gt;""),'Milho 2ª safra'!$E24:INDEX('Milho 2ª safra'!$E24:$Z24,MIN(AW$6-$E$3,22))),0))-IF($G$2,0,IF((AW$6-$G$3)&lt;1,0,IFERROR(LOOKUP(2,1/('Milho 2ª safra'!$E24:INDEX('Milho 2ª safra'!$E24:$Z24,MIN(AW$6-$G$3,22))&lt;&gt;""),'Milho 2ª safra'!$E24:INDEX('Milho 2ª safra'!$E24:$Z24,MIN(AW$6-$G$3,22))),0)))))</f>
        <v>0</v>
      </c>
      <c r="AX26" s="27" t="n">
        <f aca="false">IF(COUNT('Milho 2ª safra'!$E24:$Z24)=0,0,MAX(0,IF((AX$6-$E$3)&lt;1,0,IFERROR(LOOKUP(2,1/('Milho 2ª safra'!$E24:INDEX('Milho 2ª safra'!$E24:$Z24,MIN(AX$6-$E$3,22))&lt;&gt;""),'Milho 2ª safra'!$E24:INDEX('Milho 2ª safra'!$E24:$Z24,MIN(AX$6-$E$3,22))),0))-IF($G$2,0,IF((AX$6-$G$3)&lt;1,0,IFERROR(LOOKUP(2,1/('Milho 2ª safra'!$E24:INDEX('Milho 2ª safra'!$E24:$Z24,MIN(AX$6-$G$3,22))&lt;&gt;""),'Milho 2ª safra'!$E24:INDEX('Milho 2ª safra'!$E24:$Z24,MIN(AX$6-$G$3,22))),0)))))</f>
        <v>0</v>
      </c>
      <c r="AY26" s="27" t="n">
        <f aca="false">IF(COUNT('Milho 2ª safra'!$E24:$Z24)=0,0,MAX(0,IF((AY$6-$E$3)&lt;1,0,IFERROR(LOOKUP(2,1/('Milho 2ª safra'!$E24:INDEX('Milho 2ª safra'!$E24:$Z24,MIN(AY$6-$E$3,22))&lt;&gt;""),'Milho 2ª safra'!$E24:INDEX('Milho 2ª safra'!$E24:$Z24,MIN(AY$6-$E$3,22))),0))-IF($G$2,0,IF((AY$6-$G$3)&lt;1,0,IFERROR(LOOKUP(2,1/('Milho 2ª safra'!$E24:INDEX('Milho 2ª safra'!$E24:$Z24,MIN(AY$6-$G$3,22))&lt;&gt;""),'Milho 2ª safra'!$E24:INDEX('Milho 2ª safra'!$E24:$Z24,MIN(AY$6-$G$3,22))),0)))))</f>
        <v>0</v>
      </c>
      <c r="AZ26" s="27" t="n">
        <f aca="false">IF(COUNT('Milho 2ª safra'!$E24:$Z24)=0,0,MAX(0,IF((AZ$6-$E$3)&lt;1,0,IFERROR(LOOKUP(2,1/('Milho 2ª safra'!$E24:INDEX('Milho 2ª safra'!$E24:$Z24,MIN(AZ$6-$E$3,22))&lt;&gt;""),'Milho 2ª safra'!$E24:INDEX('Milho 2ª safra'!$E24:$Z24,MIN(AZ$6-$E$3,22))),0))-IF($G$2,0,IF((AZ$6-$G$3)&lt;1,0,IFERROR(LOOKUP(2,1/('Milho 2ª safra'!$E24:INDEX('Milho 2ª safra'!$E24:$Z24,MIN(AZ$6-$G$3,22))&lt;&gt;""),'Milho 2ª safra'!$E24:INDEX('Milho 2ª safra'!$E24:$Z24,MIN(AZ$6-$G$3,22))),0)))))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IF(COUNT('Milho 2ª safra'!$E25:$Z25)&gt;0,N('Milho 2ª safra'!$D25),0)</f>
        <v>0</v>
      </c>
      <c r="E27" s="27" t="n">
        <f aca="false">IF(COUNT('Milho 2ª safra'!$E25:$Z25)=0,0,MAX(0,IF((E$6-$E$3)&lt;1,0,IFERROR(LOOKUP(2,1/('Milho 2ª safra'!$E25:INDEX('Milho 2ª safra'!$E25:$Z25,MIN(E$6-$E$3,22))&lt;&gt;""),'Milho 2ª safra'!$E25:INDEX('Milho 2ª safra'!$E25:$Z25,MIN(E$6-$E$3,22))),0))-IF($G$2,0,IF((E$6-$G$3)&lt;1,0,IFERROR(LOOKUP(2,1/('Milho 2ª safra'!$E25:INDEX('Milho 2ª safra'!$E25:$Z25,MIN(E$6-$G$3,22))&lt;&gt;""),'Milho 2ª safra'!$E25:INDEX('Milho 2ª safra'!$E25:$Z25,MIN(E$6-$G$3,22))),0)))))</f>
        <v>0</v>
      </c>
      <c r="F27" s="27" t="n">
        <f aca="false">IF(COUNT('Milho 2ª safra'!$E25:$Z25)=0,0,MAX(0,IF((F$6-$E$3)&lt;1,0,IFERROR(LOOKUP(2,1/('Milho 2ª safra'!$E25:INDEX('Milho 2ª safra'!$E25:$Z25,MIN(F$6-$E$3,22))&lt;&gt;""),'Milho 2ª safra'!$E25:INDEX('Milho 2ª safra'!$E25:$Z25,MIN(F$6-$E$3,22))),0))-IF($G$2,0,IF((F$6-$G$3)&lt;1,0,IFERROR(LOOKUP(2,1/('Milho 2ª safra'!$E25:INDEX('Milho 2ª safra'!$E25:$Z25,MIN(F$6-$G$3,22))&lt;&gt;""),'Milho 2ª safra'!$E25:INDEX('Milho 2ª safra'!$E25:$Z25,MIN(F$6-$G$3,22))),0)))))</f>
        <v>0</v>
      </c>
      <c r="G27" s="27" t="n">
        <f aca="false">IF(COUNT('Milho 2ª safra'!$E25:$Z25)=0,0,MAX(0,IF((G$6-$E$3)&lt;1,0,IFERROR(LOOKUP(2,1/('Milho 2ª safra'!$E25:INDEX('Milho 2ª safra'!$E25:$Z25,MIN(G$6-$E$3,22))&lt;&gt;""),'Milho 2ª safra'!$E25:INDEX('Milho 2ª safra'!$E25:$Z25,MIN(G$6-$E$3,22))),0))-IF($G$2,0,IF((G$6-$G$3)&lt;1,0,IFERROR(LOOKUP(2,1/('Milho 2ª safra'!$E25:INDEX('Milho 2ª safra'!$E25:$Z25,MIN(G$6-$G$3,22))&lt;&gt;""),'Milho 2ª safra'!$E25:INDEX('Milho 2ª safra'!$E25:$Z25,MIN(G$6-$G$3,22))),0)))))</f>
        <v>0</v>
      </c>
      <c r="H27" s="27" t="n">
        <f aca="false">IF(COUNT('Milho 2ª safra'!$E25:$Z25)=0,0,MAX(0,IF((H$6-$E$3)&lt;1,0,IFERROR(LOOKUP(2,1/('Milho 2ª safra'!$E25:INDEX('Milho 2ª safra'!$E25:$Z25,MIN(H$6-$E$3,22))&lt;&gt;""),'Milho 2ª safra'!$E25:INDEX('Milho 2ª safra'!$E25:$Z25,MIN(H$6-$E$3,22))),0))-IF($G$2,0,IF((H$6-$G$3)&lt;1,0,IFERROR(LOOKUP(2,1/('Milho 2ª safra'!$E25:INDEX('Milho 2ª safra'!$E25:$Z25,MIN(H$6-$G$3,22))&lt;&gt;""),'Milho 2ª safra'!$E25:INDEX('Milho 2ª safra'!$E25:$Z25,MIN(H$6-$G$3,22))),0)))))</f>
        <v>0</v>
      </c>
      <c r="I27" s="27" t="n">
        <f aca="false">IF(COUNT('Milho 2ª safra'!$E25:$Z25)=0,0,MAX(0,IF((I$6-$E$3)&lt;1,0,IFERROR(LOOKUP(2,1/('Milho 2ª safra'!$E25:INDEX('Milho 2ª safra'!$E25:$Z25,MIN(I$6-$E$3,22))&lt;&gt;""),'Milho 2ª safra'!$E25:INDEX('Milho 2ª safra'!$E25:$Z25,MIN(I$6-$E$3,22))),0))-IF($G$2,0,IF((I$6-$G$3)&lt;1,0,IFERROR(LOOKUP(2,1/('Milho 2ª safra'!$E25:INDEX('Milho 2ª safra'!$E25:$Z25,MIN(I$6-$G$3,22))&lt;&gt;""),'Milho 2ª safra'!$E25:INDEX('Milho 2ª safra'!$E25:$Z25,MIN(I$6-$G$3,22))),0)))))</f>
        <v>0</v>
      </c>
      <c r="J27" s="27" t="n">
        <f aca="false">IF(COUNT('Milho 2ª safra'!$E25:$Z25)=0,0,MAX(0,IF((J$6-$E$3)&lt;1,0,IFERROR(LOOKUP(2,1/('Milho 2ª safra'!$E25:INDEX('Milho 2ª safra'!$E25:$Z25,MIN(J$6-$E$3,22))&lt;&gt;""),'Milho 2ª safra'!$E25:INDEX('Milho 2ª safra'!$E25:$Z25,MIN(J$6-$E$3,22))),0))-IF($G$2,0,IF((J$6-$G$3)&lt;1,0,IFERROR(LOOKUP(2,1/('Milho 2ª safra'!$E25:INDEX('Milho 2ª safra'!$E25:$Z25,MIN(J$6-$G$3,22))&lt;&gt;""),'Milho 2ª safra'!$E25:INDEX('Milho 2ª safra'!$E25:$Z25,MIN(J$6-$G$3,22))),0)))))</f>
        <v>0</v>
      </c>
      <c r="K27" s="27" t="n">
        <f aca="false">IF(COUNT('Milho 2ª safra'!$E25:$Z25)=0,0,MAX(0,IF((K$6-$E$3)&lt;1,0,IFERROR(LOOKUP(2,1/('Milho 2ª safra'!$E25:INDEX('Milho 2ª safra'!$E25:$Z25,MIN(K$6-$E$3,22))&lt;&gt;""),'Milho 2ª safra'!$E25:INDEX('Milho 2ª safra'!$E25:$Z25,MIN(K$6-$E$3,22))),0))-IF($G$2,0,IF((K$6-$G$3)&lt;1,0,IFERROR(LOOKUP(2,1/('Milho 2ª safra'!$E25:INDEX('Milho 2ª safra'!$E25:$Z25,MIN(K$6-$G$3,22))&lt;&gt;""),'Milho 2ª safra'!$E25:INDEX('Milho 2ª safra'!$E25:$Z25,MIN(K$6-$G$3,22))),0)))))</f>
        <v>0</v>
      </c>
      <c r="L27" s="27" t="n">
        <f aca="false">IF(COUNT('Milho 2ª safra'!$E25:$Z25)=0,0,MAX(0,IF((L$6-$E$3)&lt;1,0,IFERROR(LOOKUP(2,1/('Milho 2ª safra'!$E25:INDEX('Milho 2ª safra'!$E25:$Z25,MIN(L$6-$E$3,22))&lt;&gt;""),'Milho 2ª safra'!$E25:INDEX('Milho 2ª safra'!$E25:$Z25,MIN(L$6-$E$3,22))),0))-IF($G$2,0,IF((L$6-$G$3)&lt;1,0,IFERROR(LOOKUP(2,1/('Milho 2ª safra'!$E25:INDEX('Milho 2ª safra'!$E25:$Z25,MIN(L$6-$G$3,22))&lt;&gt;""),'Milho 2ª safra'!$E25:INDEX('Milho 2ª safra'!$E25:$Z25,MIN(L$6-$G$3,22))),0)))))</f>
        <v>0</v>
      </c>
      <c r="M27" s="27" t="n">
        <f aca="false">IF(COUNT('Milho 2ª safra'!$E25:$Z25)=0,0,MAX(0,IF((M$6-$E$3)&lt;1,0,IFERROR(LOOKUP(2,1/('Milho 2ª safra'!$E25:INDEX('Milho 2ª safra'!$E25:$Z25,MIN(M$6-$E$3,22))&lt;&gt;""),'Milho 2ª safra'!$E25:INDEX('Milho 2ª safra'!$E25:$Z25,MIN(M$6-$E$3,22))),0))-IF($G$2,0,IF((M$6-$G$3)&lt;1,0,IFERROR(LOOKUP(2,1/('Milho 2ª safra'!$E25:INDEX('Milho 2ª safra'!$E25:$Z25,MIN(M$6-$G$3,22))&lt;&gt;""),'Milho 2ª safra'!$E25:INDEX('Milho 2ª safra'!$E25:$Z25,MIN(M$6-$G$3,22))),0)))))</f>
        <v>0</v>
      </c>
      <c r="N27" s="27" t="n">
        <f aca="false">IF(COUNT('Milho 2ª safra'!$E25:$Z25)=0,0,MAX(0,IF((N$6-$E$3)&lt;1,0,IFERROR(LOOKUP(2,1/('Milho 2ª safra'!$E25:INDEX('Milho 2ª safra'!$E25:$Z25,MIN(N$6-$E$3,22))&lt;&gt;""),'Milho 2ª safra'!$E25:INDEX('Milho 2ª safra'!$E25:$Z25,MIN(N$6-$E$3,22))),0))-IF($G$2,0,IF((N$6-$G$3)&lt;1,0,IFERROR(LOOKUP(2,1/('Milho 2ª safra'!$E25:INDEX('Milho 2ª safra'!$E25:$Z25,MIN(N$6-$G$3,22))&lt;&gt;""),'Milho 2ª safra'!$E25:INDEX('Milho 2ª safra'!$E25:$Z25,MIN(N$6-$G$3,22))),0)))))</f>
        <v>0</v>
      </c>
      <c r="O27" s="27" t="n">
        <f aca="false">IF(COUNT('Milho 2ª safra'!$E25:$Z25)=0,0,MAX(0,IF((O$6-$E$3)&lt;1,0,IFERROR(LOOKUP(2,1/('Milho 2ª safra'!$E25:INDEX('Milho 2ª safra'!$E25:$Z25,MIN(O$6-$E$3,22))&lt;&gt;""),'Milho 2ª safra'!$E25:INDEX('Milho 2ª safra'!$E25:$Z25,MIN(O$6-$E$3,22))),0))-IF($G$2,0,IF((O$6-$G$3)&lt;1,0,IFERROR(LOOKUP(2,1/('Milho 2ª safra'!$E25:INDEX('Milho 2ª safra'!$E25:$Z25,MIN(O$6-$G$3,22))&lt;&gt;""),'Milho 2ª safra'!$E25:INDEX('Milho 2ª safra'!$E25:$Z25,MIN(O$6-$G$3,22))),0)))))</f>
        <v>0</v>
      </c>
      <c r="P27" s="27" t="n">
        <f aca="false">IF(COUNT('Milho 2ª safra'!$E25:$Z25)=0,0,MAX(0,IF((P$6-$E$3)&lt;1,0,IFERROR(LOOKUP(2,1/('Milho 2ª safra'!$E25:INDEX('Milho 2ª safra'!$E25:$Z25,MIN(P$6-$E$3,22))&lt;&gt;""),'Milho 2ª safra'!$E25:INDEX('Milho 2ª safra'!$E25:$Z25,MIN(P$6-$E$3,22))),0))-IF($G$2,0,IF((P$6-$G$3)&lt;1,0,IFERROR(LOOKUP(2,1/('Milho 2ª safra'!$E25:INDEX('Milho 2ª safra'!$E25:$Z25,MIN(P$6-$G$3,22))&lt;&gt;""),'Milho 2ª safra'!$E25:INDEX('Milho 2ª safra'!$E25:$Z25,MIN(P$6-$G$3,22))),0)))))</f>
        <v>0</v>
      </c>
      <c r="Q27" s="27" t="n">
        <f aca="false">IF(COUNT('Milho 2ª safra'!$E25:$Z25)=0,0,MAX(0,IF((Q$6-$E$3)&lt;1,0,IFERROR(LOOKUP(2,1/('Milho 2ª safra'!$E25:INDEX('Milho 2ª safra'!$E25:$Z25,MIN(Q$6-$E$3,22))&lt;&gt;""),'Milho 2ª safra'!$E25:INDEX('Milho 2ª safra'!$E25:$Z25,MIN(Q$6-$E$3,22))),0))-IF($G$2,0,IF((Q$6-$G$3)&lt;1,0,IFERROR(LOOKUP(2,1/('Milho 2ª safra'!$E25:INDEX('Milho 2ª safra'!$E25:$Z25,MIN(Q$6-$G$3,22))&lt;&gt;""),'Milho 2ª safra'!$E25:INDEX('Milho 2ª safra'!$E25:$Z25,MIN(Q$6-$G$3,22))),0)))))</f>
        <v>0</v>
      </c>
      <c r="R27" s="27" t="n">
        <f aca="false">IF(COUNT('Milho 2ª safra'!$E25:$Z25)=0,0,MAX(0,IF((R$6-$E$3)&lt;1,0,IFERROR(LOOKUP(2,1/('Milho 2ª safra'!$E25:INDEX('Milho 2ª safra'!$E25:$Z25,MIN(R$6-$E$3,22))&lt;&gt;""),'Milho 2ª safra'!$E25:INDEX('Milho 2ª safra'!$E25:$Z25,MIN(R$6-$E$3,22))),0))-IF($G$2,0,IF((R$6-$G$3)&lt;1,0,IFERROR(LOOKUP(2,1/('Milho 2ª safra'!$E25:INDEX('Milho 2ª safra'!$E25:$Z25,MIN(R$6-$G$3,22))&lt;&gt;""),'Milho 2ª safra'!$E25:INDEX('Milho 2ª safra'!$E25:$Z25,MIN(R$6-$G$3,22))),0)))))</f>
        <v>0</v>
      </c>
      <c r="S27" s="27" t="n">
        <f aca="false">IF(COUNT('Milho 2ª safra'!$E25:$Z25)=0,0,MAX(0,IF((S$6-$E$3)&lt;1,0,IFERROR(LOOKUP(2,1/('Milho 2ª safra'!$E25:INDEX('Milho 2ª safra'!$E25:$Z25,MIN(S$6-$E$3,22))&lt;&gt;""),'Milho 2ª safra'!$E25:INDEX('Milho 2ª safra'!$E25:$Z25,MIN(S$6-$E$3,22))),0))-IF($G$2,0,IF((S$6-$G$3)&lt;1,0,IFERROR(LOOKUP(2,1/('Milho 2ª safra'!$E25:INDEX('Milho 2ª safra'!$E25:$Z25,MIN(S$6-$G$3,22))&lt;&gt;""),'Milho 2ª safra'!$E25:INDEX('Milho 2ª safra'!$E25:$Z25,MIN(S$6-$G$3,22))),0)))))</f>
        <v>0</v>
      </c>
      <c r="T27" s="27" t="n">
        <f aca="false">IF(COUNT('Milho 2ª safra'!$E25:$Z25)=0,0,MAX(0,IF((T$6-$E$3)&lt;1,0,IFERROR(LOOKUP(2,1/('Milho 2ª safra'!$E25:INDEX('Milho 2ª safra'!$E25:$Z25,MIN(T$6-$E$3,22))&lt;&gt;""),'Milho 2ª safra'!$E25:INDEX('Milho 2ª safra'!$E25:$Z25,MIN(T$6-$E$3,22))),0))-IF($G$2,0,IF((T$6-$G$3)&lt;1,0,IFERROR(LOOKUP(2,1/('Milho 2ª safra'!$E25:INDEX('Milho 2ª safra'!$E25:$Z25,MIN(T$6-$G$3,22))&lt;&gt;""),'Milho 2ª safra'!$E25:INDEX('Milho 2ª safra'!$E25:$Z25,MIN(T$6-$G$3,22))),0)))))</f>
        <v>0</v>
      </c>
      <c r="U27" s="27" t="n">
        <f aca="false">IF(COUNT('Milho 2ª safra'!$E25:$Z25)=0,0,MAX(0,IF((U$6-$E$3)&lt;1,0,IFERROR(LOOKUP(2,1/('Milho 2ª safra'!$E25:INDEX('Milho 2ª safra'!$E25:$Z25,MIN(U$6-$E$3,22))&lt;&gt;""),'Milho 2ª safra'!$E25:INDEX('Milho 2ª safra'!$E25:$Z25,MIN(U$6-$E$3,22))),0))-IF($G$2,0,IF((U$6-$G$3)&lt;1,0,IFERROR(LOOKUP(2,1/('Milho 2ª safra'!$E25:INDEX('Milho 2ª safra'!$E25:$Z25,MIN(U$6-$G$3,22))&lt;&gt;""),'Milho 2ª safra'!$E25:INDEX('Milho 2ª safra'!$E25:$Z25,MIN(U$6-$G$3,22))),0)))))</f>
        <v>0</v>
      </c>
      <c r="V27" s="27" t="n">
        <f aca="false">IF(COUNT('Milho 2ª safra'!$E25:$Z25)=0,0,MAX(0,IF((V$6-$E$3)&lt;1,0,IFERROR(LOOKUP(2,1/('Milho 2ª safra'!$E25:INDEX('Milho 2ª safra'!$E25:$Z25,MIN(V$6-$E$3,22))&lt;&gt;""),'Milho 2ª safra'!$E25:INDEX('Milho 2ª safra'!$E25:$Z25,MIN(V$6-$E$3,22))),0))-IF($G$2,0,IF((V$6-$G$3)&lt;1,0,IFERROR(LOOKUP(2,1/('Milho 2ª safra'!$E25:INDEX('Milho 2ª safra'!$E25:$Z25,MIN(V$6-$G$3,22))&lt;&gt;""),'Milho 2ª safra'!$E25:INDEX('Milho 2ª safra'!$E25:$Z25,MIN(V$6-$G$3,22))),0)))))</f>
        <v>0</v>
      </c>
      <c r="W27" s="27" t="n">
        <f aca="false">IF(COUNT('Milho 2ª safra'!$E25:$Z25)=0,0,MAX(0,IF((W$6-$E$3)&lt;1,0,IFERROR(LOOKUP(2,1/('Milho 2ª safra'!$E25:INDEX('Milho 2ª safra'!$E25:$Z25,MIN(W$6-$E$3,22))&lt;&gt;""),'Milho 2ª safra'!$E25:INDEX('Milho 2ª safra'!$E25:$Z25,MIN(W$6-$E$3,22))),0))-IF($G$2,0,IF((W$6-$G$3)&lt;1,0,IFERROR(LOOKUP(2,1/('Milho 2ª safra'!$E25:INDEX('Milho 2ª safra'!$E25:$Z25,MIN(W$6-$G$3,22))&lt;&gt;""),'Milho 2ª safra'!$E25:INDEX('Milho 2ª safra'!$E25:$Z25,MIN(W$6-$G$3,22))),0)))))</f>
        <v>0</v>
      </c>
      <c r="X27" s="27" t="n">
        <f aca="false">IF(COUNT('Milho 2ª safra'!$E25:$Z25)=0,0,MAX(0,IF((X$6-$E$3)&lt;1,0,IFERROR(LOOKUP(2,1/('Milho 2ª safra'!$E25:INDEX('Milho 2ª safra'!$E25:$Z25,MIN(X$6-$E$3,22))&lt;&gt;""),'Milho 2ª safra'!$E25:INDEX('Milho 2ª safra'!$E25:$Z25,MIN(X$6-$E$3,22))),0))-IF($G$2,0,IF((X$6-$G$3)&lt;1,0,IFERROR(LOOKUP(2,1/('Milho 2ª safra'!$E25:INDEX('Milho 2ª safra'!$E25:$Z25,MIN(X$6-$G$3,22))&lt;&gt;""),'Milho 2ª safra'!$E25:INDEX('Milho 2ª safra'!$E25:$Z25,MIN(X$6-$G$3,22))),0)))))</f>
        <v>0</v>
      </c>
      <c r="Y27" s="27" t="n">
        <f aca="false">IF(COUNT('Milho 2ª safra'!$E25:$Z25)=0,0,MAX(0,IF((Y$6-$E$3)&lt;1,0,IFERROR(LOOKUP(2,1/('Milho 2ª safra'!$E25:INDEX('Milho 2ª safra'!$E25:$Z25,MIN(Y$6-$E$3,22))&lt;&gt;""),'Milho 2ª safra'!$E25:INDEX('Milho 2ª safra'!$E25:$Z25,MIN(Y$6-$E$3,22))),0))-IF($G$2,0,IF((Y$6-$G$3)&lt;1,0,IFERROR(LOOKUP(2,1/('Milho 2ª safra'!$E25:INDEX('Milho 2ª safra'!$E25:$Z25,MIN(Y$6-$G$3,22))&lt;&gt;""),'Milho 2ª safra'!$E25:INDEX('Milho 2ª safra'!$E25:$Z25,MIN(Y$6-$G$3,22))),0)))))</f>
        <v>0</v>
      </c>
      <c r="Z27" s="27" t="n">
        <f aca="false">IF(COUNT('Milho 2ª safra'!$E25:$Z25)=0,0,MAX(0,IF((Z$6-$E$3)&lt;1,0,IFERROR(LOOKUP(2,1/('Milho 2ª safra'!$E25:INDEX('Milho 2ª safra'!$E25:$Z25,MIN(Z$6-$E$3,22))&lt;&gt;""),'Milho 2ª safra'!$E25:INDEX('Milho 2ª safra'!$E25:$Z25,MIN(Z$6-$E$3,22))),0))-IF($G$2,0,IF((Z$6-$G$3)&lt;1,0,IFERROR(LOOKUP(2,1/('Milho 2ª safra'!$E25:INDEX('Milho 2ª safra'!$E25:$Z25,MIN(Z$6-$G$3,22))&lt;&gt;""),'Milho 2ª safra'!$E25:INDEX('Milho 2ª safra'!$E25:$Z25,MIN(Z$6-$G$3,22))),0)))))</f>
        <v>0</v>
      </c>
      <c r="AA27" s="27" t="n">
        <f aca="false">IF(COUNT('Milho 2ª safra'!$E25:$Z25)=0,0,MAX(0,IF((AA$6-$E$3)&lt;1,0,IFERROR(LOOKUP(2,1/('Milho 2ª safra'!$E25:INDEX('Milho 2ª safra'!$E25:$Z25,MIN(AA$6-$E$3,22))&lt;&gt;""),'Milho 2ª safra'!$E25:INDEX('Milho 2ª safra'!$E25:$Z25,MIN(AA$6-$E$3,22))),0))-IF($G$2,0,IF((AA$6-$G$3)&lt;1,0,IFERROR(LOOKUP(2,1/('Milho 2ª safra'!$E25:INDEX('Milho 2ª safra'!$E25:$Z25,MIN(AA$6-$G$3,22))&lt;&gt;""),'Milho 2ª safra'!$E25:INDEX('Milho 2ª safra'!$E25:$Z25,MIN(AA$6-$G$3,22))),0)))))</f>
        <v>0</v>
      </c>
      <c r="AB27" s="27" t="n">
        <f aca="false">IF(COUNT('Milho 2ª safra'!$E25:$Z25)=0,0,MAX(0,IF((AB$6-$E$3)&lt;1,0,IFERROR(LOOKUP(2,1/('Milho 2ª safra'!$E25:INDEX('Milho 2ª safra'!$E25:$Z25,MIN(AB$6-$E$3,22))&lt;&gt;""),'Milho 2ª safra'!$E25:INDEX('Milho 2ª safra'!$E25:$Z25,MIN(AB$6-$E$3,22))),0))-IF($G$2,0,IF((AB$6-$G$3)&lt;1,0,IFERROR(LOOKUP(2,1/('Milho 2ª safra'!$E25:INDEX('Milho 2ª safra'!$E25:$Z25,MIN(AB$6-$G$3,22))&lt;&gt;""),'Milho 2ª safra'!$E25:INDEX('Milho 2ª safra'!$E25:$Z25,MIN(AB$6-$G$3,22))),0)))))</f>
        <v>0</v>
      </c>
      <c r="AC27" s="27" t="n">
        <f aca="false">IF(COUNT('Milho 2ª safra'!$E25:$Z25)=0,0,MAX(0,IF((AC$6-$E$3)&lt;1,0,IFERROR(LOOKUP(2,1/('Milho 2ª safra'!$E25:INDEX('Milho 2ª safra'!$E25:$Z25,MIN(AC$6-$E$3,22))&lt;&gt;""),'Milho 2ª safra'!$E25:INDEX('Milho 2ª safra'!$E25:$Z25,MIN(AC$6-$E$3,22))),0))-IF($G$2,0,IF((AC$6-$G$3)&lt;1,0,IFERROR(LOOKUP(2,1/('Milho 2ª safra'!$E25:INDEX('Milho 2ª safra'!$E25:$Z25,MIN(AC$6-$G$3,22))&lt;&gt;""),'Milho 2ª safra'!$E25:INDEX('Milho 2ª safra'!$E25:$Z25,MIN(AC$6-$G$3,22))),0)))))</f>
        <v>0</v>
      </c>
      <c r="AD27" s="27" t="n">
        <f aca="false">IF(COUNT('Milho 2ª safra'!$E25:$Z25)=0,0,MAX(0,IF((AD$6-$E$3)&lt;1,0,IFERROR(LOOKUP(2,1/('Milho 2ª safra'!$E25:INDEX('Milho 2ª safra'!$E25:$Z25,MIN(AD$6-$E$3,22))&lt;&gt;""),'Milho 2ª safra'!$E25:INDEX('Milho 2ª safra'!$E25:$Z25,MIN(AD$6-$E$3,22))),0))-IF($G$2,0,IF((AD$6-$G$3)&lt;1,0,IFERROR(LOOKUP(2,1/('Milho 2ª safra'!$E25:INDEX('Milho 2ª safra'!$E25:$Z25,MIN(AD$6-$G$3,22))&lt;&gt;""),'Milho 2ª safra'!$E25:INDEX('Milho 2ª safra'!$E25:$Z25,MIN(AD$6-$G$3,22))),0)))))</f>
        <v>0</v>
      </c>
      <c r="AE27" s="27" t="n">
        <f aca="false">IF(COUNT('Milho 2ª safra'!$E25:$Z25)=0,0,MAX(0,IF((AE$6-$E$3)&lt;1,0,IFERROR(LOOKUP(2,1/('Milho 2ª safra'!$E25:INDEX('Milho 2ª safra'!$E25:$Z25,MIN(AE$6-$E$3,22))&lt;&gt;""),'Milho 2ª safra'!$E25:INDEX('Milho 2ª safra'!$E25:$Z25,MIN(AE$6-$E$3,22))),0))-IF($G$2,0,IF((AE$6-$G$3)&lt;1,0,IFERROR(LOOKUP(2,1/('Milho 2ª safra'!$E25:INDEX('Milho 2ª safra'!$E25:$Z25,MIN(AE$6-$G$3,22))&lt;&gt;""),'Milho 2ª safra'!$E25:INDEX('Milho 2ª safra'!$E25:$Z25,MIN(AE$6-$G$3,22))),0)))))</f>
        <v>0</v>
      </c>
      <c r="AF27" s="27" t="n">
        <f aca="false">IF(COUNT('Milho 2ª safra'!$E25:$Z25)=0,0,MAX(0,IF((AF$6-$E$3)&lt;1,0,IFERROR(LOOKUP(2,1/('Milho 2ª safra'!$E25:INDEX('Milho 2ª safra'!$E25:$Z25,MIN(AF$6-$E$3,22))&lt;&gt;""),'Milho 2ª safra'!$E25:INDEX('Milho 2ª safra'!$E25:$Z25,MIN(AF$6-$E$3,22))),0))-IF($G$2,0,IF((AF$6-$G$3)&lt;1,0,IFERROR(LOOKUP(2,1/('Milho 2ª safra'!$E25:INDEX('Milho 2ª safra'!$E25:$Z25,MIN(AF$6-$G$3,22))&lt;&gt;""),'Milho 2ª safra'!$E25:INDEX('Milho 2ª safra'!$E25:$Z25,MIN(AF$6-$G$3,22))),0)))))</f>
        <v>0</v>
      </c>
      <c r="AG27" s="27" t="n">
        <f aca="false">IF(COUNT('Milho 2ª safra'!$E25:$Z25)=0,0,MAX(0,IF((AG$6-$E$3)&lt;1,0,IFERROR(LOOKUP(2,1/('Milho 2ª safra'!$E25:INDEX('Milho 2ª safra'!$E25:$Z25,MIN(AG$6-$E$3,22))&lt;&gt;""),'Milho 2ª safra'!$E25:INDEX('Milho 2ª safra'!$E25:$Z25,MIN(AG$6-$E$3,22))),0))-IF($G$2,0,IF((AG$6-$G$3)&lt;1,0,IFERROR(LOOKUP(2,1/('Milho 2ª safra'!$E25:INDEX('Milho 2ª safra'!$E25:$Z25,MIN(AG$6-$G$3,22))&lt;&gt;""),'Milho 2ª safra'!$E25:INDEX('Milho 2ª safra'!$E25:$Z25,MIN(AG$6-$G$3,22))),0)))))</f>
        <v>0</v>
      </c>
      <c r="AH27" s="27" t="n">
        <f aca="false">IF(COUNT('Milho 2ª safra'!$E25:$Z25)=0,0,MAX(0,IF((AH$6-$E$3)&lt;1,0,IFERROR(LOOKUP(2,1/('Milho 2ª safra'!$E25:INDEX('Milho 2ª safra'!$E25:$Z25,MIN(AH$6-$E$3,22))&lt;&gt;""),'Milho 2ª safra'!$E25:INDEX('Milho 2ª safra'!$E25:$Z25,MIN(AH$6-$E$3,22))),0))-IF($G$2,0,IF((AH$6-$G$3)&lt;1,0,IFERROR(LOOKUP(2,1/('Milho 2ª safra'!$E25:INDEX('Milho 2ª safra'!$E25:$Z25,MIN(AH$6-$G$3,22))&lt;&gt;""),'Milho 2ª safra'!$E25:INDEX('Milho 2ª safra'!$E25:$Z25,MIN(AH$6-$G$3,22))),0)))))</f>
        <v>0</v>
      </c>
      <c r="AI27" s="27" t="n">
        <f aca="false">IF(COUNT('Milho 2ª safra'!$E25:$Z25)=0,0,MAX(0,IF((AI$6-$E$3)&lt;1,0,IFERROR(LOOKUP(2,1/('Milho 2ª safra'!$E25:INDEX('Milho 2ª safra'!$E25:$Z25,MIN(AI$6-$E$3,22))&lt;&gt;""),'Milho 2ª safra'!$E25:INDEX('Milho 2ª safra'!$E25:$Z25,MIN(AI$6-$E$3,22))),0))-IF($G$2,0,IF((AI$6-$G$3)&lt;1,0,IFERROR(LOOKUP(2,1/('Milho 2ª safra'!$E25:INDEX('Milho 2ª safra'!$E25:$Z25,MIN(AI$6-$G$3,22))&lt;&gt;""),'Milho 2ª safra'!$E25:INDEX('Milho 2ª safra'!$E25:$Z25,MIN(AI$6-$G$3,22))),0)))))</f>
        <v>0</v>
      </c>
      <c r="AJ27" s="27" t="n">
        <f aca="false">IF(COUNT('Milho 2ª safra'!$E25:$Z25)=0,0,MAX(0,IF((AJ$6-$E$3)&lt;1,0,IFERROR(LOOKUP(2,1/('Milho 2ª safra'!$E25:INDEX('Milho 2ª safra'!$E25:$Z25,MIN(AJ$6-$E$3,22))&lt;&gt;""),'Milho 2ª safra'!$E25:INDEX('Milho 2ª safra'!$E25:$Z25,MIN(AJ$6-$E$3,22))),0))-IF($G$2,0,IF((AJ$6-$G$3)&lt;1,0,IFERROR(LOOKUP(2,1/('Milho 2ª safra'!$E25:INDEX('Milho 2ª safra'!$E25:$Z25,MIN(AJ$6-$G$3,22))&lt;&gt;""),'Milho 2ª safra'!$E25:INDEX('Milho 2ª safra'!$E25:$Z25,MIN(AJ$6-$G$3,22))),0)))))</f>
        <v>0</v>
      </c>
      <c r="AK27" s="27" t="n">
        <f aca="false">IF(COUNT('Milho 2ª safra'!$E25:$Z25)=0,0,MAX(0,IF((AK$6-$E$3)&lt;1,0,IFERROR(LOOKUP(2,1/('Milho 2ª safra'!$E25:INDEX('Milho 2ª safra'!$E25:$Z25,MIN(AK$6-$E$3,22))&lt;&gt;""),'Milho 2ª safra'!$E25:INDEX('Milho 2ª safra'!$E25:$Z25,MIN(AK$6-$E$3,22))),0))-IF($G$2,0,IF((AK$6-$G$3)&lt;1,0,IFERROR(LOOKUP(2,1/('Milho 2ª safra'!$E25:INDEX('Milho 2ª safra'!$E25:$Z25,MIN(AK$6-$G$3,22))&lt;&gt;""),'Milho 2ª safra'!$E25:INDEX('Milho 2ª safra'!$E25:$Z25,MIN(AK$6-$G$3,22))),0)))))</f>
        <v>0</v>
      </c>
      <c r="AL27" s="27" t="n">
        <f aca="false">IF(COUNT('Milho 2ª safra'!$E25:$Z25)=0,0,MAX(0,IF((AL$6-$E$3)&lt;1,0,IFERROR(LOOKUP(2,1/('Milho 2ª safra'!$E25:INDEX('Milho 2ª safra'!$E25:$Z25,MIN(AL$6-$E$3,22))&lt;&gt;""),'Milho 2ª safra'!$E25:INDEX('Milho 2ª safra'!$E25:$Z25,MIN(AL$6-$E$3,22))),0))-IF($G$2,0,IF((AL$6-$G$3)&lt;1,0,IFERROR(LOOKUP(2,1/('Milho 2ª safra'!$E25:INDEX('Milho 2ª safra'!$E25:$Z25,MIN(AL$6-$G$3,22))&lt;&gt;""),'Milho 2ª safra'!$E25:INDEX('Milho 2ª safra'!$E25:$Z25,MIN(AL$6-$G$3,22))),0)))))</f>
        <v>0</v>
      </c>
      <c r="AM27" s="27" t="n">
        <f aca="false">IF(COUNT('Milho 2ª safra'!$E25:$Z25)=0,0,MAX(0,IF((AM$6-$E$3)&lt;1,0,IFERROR(LOOKUP(2,1/('Milho 2ª safra'!$E25:INDEX('Milho 2ª safra'!$E25:$Z25,MIN(AM$6-$E$3,22))&lt;&gt;""),'Milho 2ª safra'!$E25:INDEX('Milho 2ª safra'!$E25:$Z25,MIN(AM$6-$E$3,22))),0))-IF($G$2,0,IF((AM$6-$G$3)&lt;1,0,IFERROR(LOOKUP(2,1/('Milho 2ª safra'!$E25:INDEX('Milho 2ª safra'!$E25:$Z25,MIN(AM$6-$G$3,22))&lt;&gt;""),'Milho 2ª safra'!$E25:INDEX('Milho 2ª safra'!$E25:$Z25,MIN(AM$6-$G$3,22))),0)))))</f>
        <v>0</v>
      </c>
      <c r="AN27" s="27" t="n">
        <f aca="false">IF(COUNT('Milho 2ª safra'!$E25:$Z25)=0,0,MAX(0,IF((AN$6-$E$3)&lt;1,0,IFERROR(LOOKUP(2,1/('Milho 2ª safra'!$E25:INDEX('Milho 2ª safra'!$E25:$Z25,MIN(AN$6-$E$3,22))&lt;&gt;""),'Milho 2ª safra'!$E25:INDEX('Milho 2ª safra'!$E25:$Z25,MIN(AN$6-$E$3,22))),0))-IF($G$2,0,IF((AN$6-$G$3)&lt;1,0,IFERROR(LOOKUP(2,1/('Milho 2ª safra'!$E25:INDEX('Milho 2ª safra'!$E25:$Z25,MIN(AN$6-$G$3,22))&lt;&gt;""),'Milho 2ª safra'!$E25:INDEX('Milho 2ª safra'!$E25:$Z25,MIN(AN$6-$G$3,22))),0)))))</f>
        <v>0</v>
      </c>
      <c r="AO27" s="27" t="n">
        <f aca="false">IF(COUNT('Milho 2ª safra'!$E25:$Z25)=0,0,MAX(0,IF((AO$6-$E$3)&lt;1,0,IFERROR(LOOKUP(2,1/('Milho 2ª safra'!$E25:INDEX('Milho 2ª safra'!$E25:$Z25,MIN(AO$6-$E$3,22))&lt;&gt;""),'Milho 2ª safra'!$E25:INDEX('Milho 2ª safra'!$E25:$Z25,MIN(AO$6-$E$3,22))),0))-IF($G$2,0,IF((AO$6-$G$3)&lt;1,0,IFERROR(LOOKUP(2,1/('Milho 2ª safra'!$E25:INDEX('Milho 2ª safra'!$E25:$Z25,MIN(AO$6-$G$3,22))&lt;&gt;""),'Milho 2ª safra'!$E25:INDEX('Milho 2ª safra'!$E25:$Z25,MIN(AO$6-$G$3,22))),0)))))</f>
        <v>0</v>
      </c>
      <c r="AP27" s="27" t="n">
        <f aca="false">IF(COUNT('Milho 2ª safra'!$E25:$Z25)=0,0,MAX(0,IF((AP$6-$E$3)&lt;1,0,IFERROR(LOOKUP(2,1/('Milho 2ª safra'!$E25:INDEX('Milho 2ª safra'!$E25:$Z25,MIN(AP$6-$E$3,22))&lt;&gt;""),'Milho 2ª safra'!$E25:INDEX('Milho 2ª safra'!$E25:$Z25,MIN(AP$6-$E$3,22))),0))-IF($G$2,0,IF((AP$6-$G$3)&lt;1,0,IFERROR(LOOKUP(2,1/('Milho 2ª safra'!$E25:INDEX('Milho 2ª safra'!$E25:$Z25,MIN(AP$6-$G$3,22))&lt;&gt;""),'Milho 2ª safra'!$E25:INDEX('Milho 2ª safra'!$E25:$Z25,MIN(AP$6-$G$3,22))),0)))))</f>
        <v>0</v>
      </c>
      <c r="AQ27" s="27" t="n">
        <f aca="false">IF(COUNT('Milho 2ª safra'!$E25:$Z25)=0,0,MAX(0,IF((AQ$6-$E$3)&lt;1,0,IFERROR(LOOKUP(2,1/('Milho 2ª safra'!$E25:INDEX('Milho 2ª safra'!$E25:$Z25,MIN(AQ$6-$E$3,22))&lt;&gt;""),'Milho 2ª safra'!$E25:INDEX('Milho 2ª safra'!$E25:$Z25,MIN(AQ$6-$E$3,22))),0))-IF($G$2,0,IF((AQ$6-$G$3)&lt;1,0,IFERROR(LOOKUP(2,1/('Milho 2ª safra'!$E25:INDEX('Milho 2ª safra'!$E25:$Z25,MIN(AQ$6-$G$3,22))&lt;&gt;""),'Milho 2ª safra'!$E25:INDEX('Milho 2ª safra'!$E25:$Z25,MIN(AQ$6-$G$3,22))),0)))))</f>
        <v>0</v>
      </c>
      <c r="AR27" s="27" t="n">
        <f aca="false">IF(COUNT('Milho 2ª safra'!$E25:$Z25)=0,0,MAX(0,IF((AR$6-$E$3)&lt;1,0,IFERROR(LOOKUP(2,1/('Milho 2ª safra'!$E25:INDEX('Milho 2ª safra'!$E25:$Z25,MIN(AR$6-$E$3,22))&lt;&gt;""),'Milho 2ª safra'!$E25:INDEX('Milho 2ª safra'!$E25:$Z25,MIN(AR$6-$E$3,22))),0))-IF($G$2,0,IF((AR$6-$G$3)&lt;1,0,IFERROR(LOOKUP(2,1/('Milho 2ª safra'!$E25:INDEX('Milho 2ª safra'!$E25:$Z25,MIN(AR$6-$G$3,22))&lt;&gt;""),'Milho 2ª safra'!$E25:INDEX('Milho 2ª safra'!$E25:$Z25,MIN(AR$6-$G$3,22))),0)))))</f>
        <v>0</v>
      </c>
      <c r="AS27" s="27" t="n">
        <f aca="false">IF(COUNT('Milho 2ª safra'!$E25:$Z25)=0,0,MAX(0,IF((AS$6-$E$3)&lt;1,0,IFERROR(LOOKUP(2,1/('Milho 2ª safra'!$E25:INDEX('Milho 2ª safra'!$E25:$Z25,MIN(AS$6-$E$3,22))&lt;&gt;""),'Milho 2ª safra'!$E25:INDEX('Milho 2ª safra'!$E25:$Z25,MIN(AS$6-$E$3,22))),0))-IF($G$2,0,IF((AS$6-$G$3)&lt;1,0,IFERROR(LOOKUP(2,1/('Milho 2ª safra'!$E25:INDEX('Milho 2ª safra'!$E25:$Z25,MIN(AS$6-$G$3,22))&lt;&gt;""),'Milho 2ª safra'!$E25:INDEX('Milho 2ª safra'!$E25:$Z25,MIN(AS$6-$G$3,22))),0)))))</f>
        <v>0</v>
      </c>
      <c r="AT27" s="27" t="n">
        <f aca="false">IF(COUNT('Milho 2ª safra'!$E25:$Z25)=0,0,MAX(0,IF((AT$6-$E$3)&lt;1,0,IFERROR(LOOKUP(2,1/('Milho 2ª safra'!$E25:INDEX('Milho 2ª safra'!$E25:$Z25,MIN(AT$6-$E$3,22))&lt;&gt;""),'Milho 2ª safra'!$E25:INDEX('Milho 2ª safra'!$E25:$Z25,MIN(AT$6-$E$3,22))),0))-IF($G$2,0,IF((AT$6-$G$3)&lt;1,0,IFERROR(LOOKUP(2,1/('Milho 2ª safra'!$E25:INDEX('Milho 2ª safra'!$E25:$Z25,MIN(AT$6-$G$3,22))&lt;&gt;""),'Milho 2ª safra'!$E25:INDEX('Milho 2ª safra'!$E25:$Z25,MIN(AT$6-$G$3,22))),0)))))</f>
        <v>0</v>
      </c>
      <c r="AU27" s="27" t="n">
        <f aca="false">IF(COUNT('Milho 2ª safra'!$E25:$Z25)=0,0,MAX(0,IF((AU$6-$E$3)&lt;1,0,IFERROR(LOOKUP(2,1/('Milho 2ª safra'!$E25:INDEX('Milho 2ª safra'!$E25:$Z25,MIN(AU$6-$E$3,22))&lt;&gt;""),'Milho 2ª safra'!$E25:INDEX('Milho 2ª safra'!$E25:$Z25,MIN(AU$6-$E$3,22))),0))-IF($G$2,0,IF((AU$6-$G$3)&lt;1,0,IFERROR(LOOKUP(2,1/('Milho 2ª safra'!$E25:INDEX('Milho 2ª safra'!$E25:$Z25,MIN(AU$6-$G$3,22))&lt;&gt;""),'Milho 2ª safra'!$E25:INDEX('Milho 2ª safra'!$E25:$Z25,MIN(AU$6-$G$3,22))),0)))))</f>
        <v>0</v>
      </c>
      <c r="AV27" s="27" t="n">
        <f aca="false">IF(COUNT('Milho 2ª safra'!$E25:$Z25)=0,0,MAX(0,IF((AV$6-$E$3)&lt;1,0,IFERROR(LOOKUP(2,1/('Milho 2ª safra'!$E25:INDEX('Milho 2ª safra'!$E25:$Z25,MIN(AV$6-$E$3,22))&lt;&gt;""),'Milho 2ª safra'!$E25:INDEX('Milho 2ª safra'!$E25:$Z25,MIN(AV$6-$E$3,22))),0))-IF($G$2,0,IF((AV$6-$G$3)&lt;1,0,IFERROR(LOOKUP(2,1/('Milho 2ª safra'!$E25:INDEX('Milho 2ª safra'!$E25:$Z25,MIN(AV$6-$G$3,22))&lt;&gt;""),'Milho 2ª safra'!$E25:INDEX('Milho 2ª safra'!$E25:$Z25,MIN(AV$6-$G$3,22))),0)))))</f>
        <v>0</v>
      </c>
      <c r="AW27" s="27" t="n">
        <f aca="false">IF(COUNT('Milho 2ª safra'!$E25:$Z25)=0,0,MAX(0,IF((AW$6-$E$3)&lt;1,0,IFERROR(LOOKUP(2,1/('Milho 2ª safra'!$E25:INDEX('Milho 2ª safra'!$E25:$Z25,MIN(AW$6-$E$3,22))&lt;&gt;""),'Milho 2ª safra'!$E25:INDEX('Milho 2ª safra'!$E25:$Z25,MIN(AW$6-$E$3,22))),0))-IF($G$2,0,IF((AW$6-$G$3)&lt;1,0,IFERROR(LOOKUP(2,1/('Milho 2ª safra'!$E25:INDEX('Milho 2ª safra'!$E25:$Z25,MIN(AW$6-$G$3,22))&lt;&gt;""),'Milho 2ª safra'!$E25:INDEX('Milho 2ª safra'!$E25:$Z25,MIN(AW$6-$G$3,22))),0)))))</f>
        <v>0</v>
      </c>
      <c r="AX27" s="27" t="n">
        <f aca="false">IF(COUNT('Milho 2ª safra'!$E25:$Z25)=0,0,MAX(0,IF((AX$6-$E$3)&lt;1,0,IFERROR(LOOKUP(2,1/('Milho 2ª safra'!$E25:INDEX('Milho 2ª safra'!$E25:$Z25,MIN(AX$6-$E$3,22))&lt;&gt;""),'Milho 2ª safra'!$E25:INDEX('Milho 2ª safra'!$E25:$Z25,MIN(AX$6-$E$3,22))),0))-IF($G$2,0,IF((AX$6-$G$3)&lt;1,0,IFERROR(LOOKUP(2,1/('Milho 2ª safra'!$E25:INDEX('Milho 2ª safra'!$E25:$Z25,MIN(AX$6-$G$3,22))&lt;&gt;""),'Milho 2ª safra'!$E25:INDEX('Milho 2ª safra'!$E25:$Z25,MIN(AX$6-$G$3,22))),0)))))</f>
        <v>0</v>
      </c>
      <c r="AY27" s="27" t="n">
        <f aca="false">IF(COUNT('Milho 2ª safra'!$E25:$Z25)=0,0,MAX(0,IF((AY$6-$E$3)&lt;1,0,IFERROR(LOOKUP(2,1/('Milho 2ª safra'!$E25:INDEX('Milho 2ª safra'!$E25:$Z25,MIN(AY$6-$E$3,22))&lt;&gt;""),'Milho 2ª safra'!$E25:INDEX('Milho 2ª safra'!$E25:$Z25,MIN(AY$6-$E$3,22))),0))-IF($G$2,0,IF((AY$6-$G$3)&lt;1,0,IFERROR(LOOKUP(2,1/('Milho 2ª safra'!$E25:INDEX('Milho 2ª safra'!$E25:$Z25,MIN(AY$6-$G$3,22))&lt;&gt;""),'Milho 2ª safra'!$E25:INDEX('Milho 2ª safra'!$E25:$Z25,MIN(AY$6-$G$3,22))),0)))))</f>
        <v>0</v>
      </c>
      <c r="AZ27" s="27" t="n">
        <f aca="false">IF(COUNT('Milho 2ª safra'!$E25:$Z25)=0,0,MAX(0,IF((AZ$6-$E$3)&lt;1,0,IFERROR(LOOKUP(2,1/('Milho 2ª safra'!$E25:INDEX('Milho 2ª safra'!$E25:$Z25,MIN(AZ$6-$E$3,22))&lt;&gt;""),'Milho 2ª safra'!$E25:INDEX('Milho 2ª safra'!$E25:$Z25,MIN(AZ$6-$E$3,22))),0))-IF($G$2,0,IF((AZ$6-$G$3)&lt;1,0,IFERROR(LOOKUP(2,1/('Milho 2ª safra'!$E25:INDEX('Milho 2ª safra'!$E25:$Z25,MIN(AZ$6-$G$3,22))&lt;&gt;""),'Milho 2ª safra'!$E25:INDEX('Milho 2ª safra'!$E25:$Z25,MIN(AZ$6-$G$3,22))),0)))))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IF(COUNT('Milho 2ª safra'!$E26:$Z26)&gt;0,N('Milho 2ª safra'!$D26),0)</f>
        <v>0</v>
      </c>
      <c r="E28" s="27" t="n">
        <f aca="false">IF(COUNT('Milho 2ª safra'!$E26:$Z26)=0,0,MAX(0,IF((E$6-$E$3)&lt;1,0,IFERROR(LOOKUP(2,1/('Milho 2ª safra'!$E26:INDEX('Milho 2ª safra'!$E26:$Z26,MIN(E$6-$E$3,22))&lt;&gt;""),'Milho 2ª safra'!$E26:INDEX('Milho 2ª safra'!$E26:$Z26,MIN(E$6-$E$3,22))),0))-IF($G$2,0,IF((E$6-$G$3)&lt;1,0,IFERROR(LOOKUP(2,1/('Milho 2ª safra'!$E26:INDEX('Milho 2ª safra'!$E26:$Z26,MIN(E$6-$G$3,22))&lt;&gt;""),'Milho 2ª safra'!$E26:INDEX('Milho 2ª safra'!$E26:$Z26,MIN(E$6-$G$3,22))),0)))))</f>
        <v>0</v>
      </c>
      <c r="F28" s="27" t="n">
        <f aca="false">IF(COUNT('Milho 2ª safra'!$E26:$Z26)=0,0,MAX(0,IF((F$6-$E$3)&lt;1,0,IFERROR(LOOKUP(2,1/('Milho 2ª safra'!$E26:INDEX('Milho 2ª safra'!$E26:$Z26,MIN(F$6-$E$3,22))&lt;&gt;""),'Milho 2ª safra'!$E26:INDEX('Milho 2ª safra'!$E26:$Z26,MIN(F$6-$E$3,22))),0))-IF($G$2,0,IF((F$6-$G$3)&lt;1,0,IFERROR(LOOKUP(2,1/('Milho 2ª safra'!$E26:INDEX('Milho 2ª safra'!$E26:$Z26,MIN(F$6-$G$3,22))&lt;&gt;""),'Milho 2ª safra'!$E26:INDEX('Milho 2ª safra'!$E26:$Z26,MIN(F$6-$G$3,22))),0)))))</f>
        <v>0</v>
      </c>
      <c r="G28" s="27" t="n">
        <f aca="false">IF(COUNT('Milho 2ª safra'!$E26:$Z26)=0,0,MAX(0,IF((G$6-$E$3)&lt;1,0,IFERROR(LOOKUP(2,1/('Milho 2ª safra'!$E26:INDEX('Milho 2ª safra'!$E26:$Z26,MIN(G$6-$E$3,22))&lt;&gt;""),'Milho 2ª safra'!$E26:INDEX('Milho 2ª safra'!$E26:$Z26,MIN(G$6-$E$3,22))),0))-IF($G$2,0,IF((G$6-$G$3)&lt;1,0,IFERROR(LOOKUP(2,1/('Milho 2ª safra'!$E26:INDEX('Milho 2ª safra'!$E26:$Z26,MIN(G$6-$G$3,22))&lt;&gt;""),'Milho 2ª safra'!$E26:INDEX('Milho 2ª safra'!$E26:$Z26,MIN(G$6-$G$3,22))),0)))))</f>
        <v>0</v>
      </c>
      <c r="H28" s="27" t="n">
        <f aca="false">IF(COUNT('Milho 2ª safra'!$E26:$Z26)=0,0,MAX(0,IF((H$6-$E$3)&lt;1,0,IFERROR(LOOKUP(2,1/('Milho 2ª safra'!$E26:INDEX('Milho 2ª safra'!$E26:$Z26,MIN(H$6-$E$3,22))&lt;&gt;""),'Milho 2ª safra'!$E26:INDEX('Milho 2ª safra'!$E26:$Z26,MIN(H$6-$E$3,22))),0))-IF($G$2,0,IF((H$6-$G$3)&lt;1,0,IFERROR(LOOKUP(2,1/('Milho 2ª safra'!$E26:INDEX('Milho 2ª safra'!$E26:$Z26,MIN(H$6-$G$3,22))&lt;&gt;""),'Milho 2ª safra'!$E26:INDEX('Milho 2ª safra'!$E26:$Z26,MIN(H$6-$G$3,22))),0)))))</f>
        <v>0</v>
      </c>
      <c r="I28" s="27" t="n">
        <f aca="false">IF(COUNT('Milho 2ª safra'!$E26:$Z26)=0,0,MAX(0,IF((I$6-$E$3)&lt;1,0,IFERROR(LOOKUP(2,1/('Milho 2ª safra'!$E26:INDEX('Milho 2ª safra'!$E26:$Z26,MIN(I$6-$E$3,22))&lt;&gt;""),'Milho 2ª safra'!$E26:INDEX('Milho 2ª safra'!$E26:$Z26,MIN(I$6-$E$3,22))),0))-IF($G$2,0,IF((I$6-$G$3)&lt;1,0,IFERROR(LOOKUP(2,1/('Milho 2ª safra'!$E26:INDEX('Milho 2ª safra'!$E26:$Z26,MIN(I$6-$G$3,22))&lt;&gt;""),'Milho 2ª safra'!$E26:INDEX('Milho 2ª safra'!$E26:$Z26,MIN(I$6-$G$3,22))),0)))))</f>
        <v>0</v>
      </c>
      <c r="J28" s="27" t="n">
        <f aca="false">IF(COUNT('Milho 2ª safra'!$E26:$Z26)=0,0,MAX(0,IF((J$6-$E$3)&lt;1,0,IFERROR(LOOKUP(2,1/('Milho 2ª safra'!$E26:INDEX('Milho 2ª safra'!$E26:$Z26,MIN(J$6-$E$3,22))&lt;&gt;""),'Milho 2ª safra'!$E26:INDEX('Milho 2ª safra'!$E26:$Z26,MIN(J$6-$E$3,22))),0))-IF($G$2,0,IF((J$6-$G$3)&lt;1,0,IFERROR(LOOKUP(2,1/('Milho 2ª safra'!$E26:INDEX('Milho 2ª safra'!$E26:$Z26,MIN(J$6-$G$3,22))&lt;&gt;""),'Milho 2ª safra'!$E26:INDEX('Milho 2ª safra'!$E26:$Z26,MIN(J$6-$G$3,22))),0)))))</f>
        <v>0</v>
      </c>
      <c r="K28" s="27" t="n">
        <f aca="false">IF(COUNT('Milho 2ª safra'!$E26:$Z26)=0,0,MAX(0,IF((K$6-$E$3)&lt;1,0,IFERROR(LOOKUP(2,1/('Milho 2ª safra'!$E26:INDEX('Milho 2ª safra'!$E26:$Z26,MIN(K$6-$E$3,22))&lt;&gt;""),'Milho 2ª safra'!$E26:INDEX('Milho 2ª safra'!$E26:$Z26,MIN(K$6-$E$3,22))),0))-IF($G$2,0,IF((K$6-$G$3)&lt;1,0,IFERROR(LOOKUP(2,1/('Milho 2ª safra'!$E26:INDEX('Milho 2ª safra'!$E26:$Z26,MIN(K$6-$G$3,22))&lt;&gt;""),'Milho 2ª safra'!$E26:INDEX('Milho 2ª safra'!$E26:$Z26,MIN(K$6-$G$3,22))),0)))))</f>
        <v>0</v>
      </c>
      <c r="L28" s="27" t="n">
        <f aca="false">IF(COUNT('Milho 2ª safra'!$E26:$Z26)=0,0,MAX(0,IF((L$6-$E$3)&lt;1,0,IFERROR(LOOKUP(2,1/('Milho 2ª safra'!$E26:INDEX('Milho 2ª safra'!$E26:$Z26,MIN(L$6-$E$3,22))&lt;&gt;""),'Milho 2ª safra'!$E26:INDEX('Milho 2ª safra'!$E26:$Z26,MIN(L$6-$E$3,22))),0))-IF($G$2,0,IF((L$6-$G$3)&lt;1,0,IFERROR(LOOKUP(2,1/('Milho 2ª safra'!$E26:INDEX('Milho 2ª safra'!$E26:$Z26,MIN(L$6-$G$3,22))&lt;&gt;""),'Milho 2ª safra'!$E26:INDEX('Milho 2ª safra'!$E26:$Z26,MIN(L$6-$G$3,22))),0)))))</f>
        <v>0</v>
      </c>
      <c r="M28" s="27" t="n">
        <f aca="false">IF(COUNT('Milho 2ª safra'!$E26:$Z26)=0,0,MAX(0,IF((M$6-$E$3)&lt;1,0,IFERROR(LOOKUP(2,1/('Milho 2ª safra'!$E26:INDEX('Milho 2ª safra'!$E26:$Z26,MIN(M$6-$E$3,22))&lt;&gt;""),'Milho 2ª safra'!$E26:INDEX('Milho 2ª safra'!$E26:$Z26,MIN(M$6-$E$3,22))),0))-IF($G$2,0,IF((M$6-$G$3)&lt;1,0,IFERROR(LOOKUP(2,1/('Milho 2ª safra'!$E26:INDEX('Milho 2ª safra'!$E26:$Z26,MIN(M$6-$G$3,22))&lt;&gt;""),'Milho 2ª safra'!$E26:INDEX('Milho 2ª safra'!$E26:$Z26,MIN(M$6-$G$3,22))),0)))))</f>
        <v>0</v>
      </c>
      <c r="N28" s="27" t="n">
        <f aca="false">IF(COUNT('Milho 2ª safra'!$E26:$Z26)=0,0,MAX(0,IF((N$6-$E$3)&lt;1,0,IFERROR(LOOKUP(2,1/('Milho 2ª safra'!$E26:INDEX('Milho 2ª safra'!$E26:$Z26,MIN(N$6-$E$3,22))&lt;&gt;""),'Milho 2ª safra'!$E26:INDEX('Milho 2ª safra'!$E26:$Z26,MIN(N$6-$E$3,22))),0))-IF($G$2,0,IF((N$6-$G$3)&lt;1,0,IFERROR(LOOKUP(2,1/('Milho 2ª safra'!$E26:INDEX('Milho 2ª safra'!$E26:$Z26,MIN(N$6-$G$3,22))&lt;&gt;""),'Milho 2ª safra'!$E26:INDEX('Milho 2ª safra'!$E26:$Z26,MIN(N$6-$G$3,22))),0)))))</f>
        <v>0</v>
      </c>
      <c r="O28" s="27" t="n">
        <f aca="false">IF(COUNT('Milho 2ª safra'!$E26:$Z26)=0,0,MAX(0,IF((O$6-$E$3)&lt;1,0,IFERROR(LOOKUP(2,1/('Milho 2ª safra'!$E26:INDEX('Milho 2ª safra'!$E26:$Z26,MIN(O$6-$E$3,22))&lt;&gt;""),'Milho 2ª safra'!$E26:INDEX('Milho 2ª safra'!$E26:$Z26,MIN(O$6-$E$3,22))),0))-IF($G$2,0,IF((O$6-$G$3)&lt;1,0,IFERROR(LOOKUP(2,1/('Milho 2ª safra'!$E26:INDEX('Milho 2ª safra'!$E26:$Z26,MIN(O$6-$G$3,22))&lt;&gt;""),'Milho 2ª safra'!$E26:INDEX('Milho 2ª safra'!$E26:$Z26,MIN(O$6-$G$3,22))),0)))))</f>
        <v>0</v>
      </c>
      <c r="P28" s="27" t="n">
        <f aca="false">IF(COUNT('Milho 2ª safra'!$E26:$Z26)=0,0,MAX(0,IF((P$6-$E$3)&lt;1,0,IFERROR(LOOKUP(2,1/('Milho 2ª safra'!$E26:INDEX('Milho 2ª safra'!$E26:$Z26,MIN(P$6-$E$3,22))&lt;&gt;""),'Milho 2ª safra'!$E26:INDEX('Milho 2ª safra'!$E26:$Z26,MIN(P$6-$E$3,22))),0))-IF($G$2,0,IF((P$6-$G$3)&lt;1,0,IFERROR(LOOKUP(2,1/('Milho 2ª safra'!$E26:INDEX('Milho 2ª safra'!$E26:$Z26,MIN(P$6-$G$3,22))&lt;&gt;""),'Milho 2ª safra'!$E26:INDEX('Milho 2ª safra'!$E26:$Z26,MIN(P$6-$G$3,22))),0)))))</f>
        <v>0</v>
      </c>
      <c r="Q28" s="27" t="n">
        <f aca="false">IF(COUNT('Milho 2ª safra'!$E26:$Z26)=0,0,MAX(0,IF((Q$6-$E$3)&lt;1,0,IFERROR(LOOKUP(2,1/('Milho 2ª safra'!$E26:INDEX('Milho 2ª safra'!$E26:$Z26,MIN(Q$6-$E$3,22))&lt;&gt;""),'Milho 2ª safra'!$E26:INDEX('Milho 2ª safra'!$E26:$Z26,MIN(Q$6-$E$3,22))),0))-IF($G$2,0,IF((Q$6-$G$3)&lt;1,0,IFERROR(LOOKUP(2,1/('Milho 2ª safra'!$E26:INDEX('Milho 2ª safra'!$E26:$Z26,MIN(Q$6-$G$3,22))&lt;&gt;""),'Milho 2ª safra'!$E26:INDEX('Milho 2ª safra'!$E26:$Z26,MIN(Q$6-$G$3,22))),0)))))</f>
        <v>0</v>
      </c>
      <c r="R28" s="27" t="n">
        <f aca="false">IF(COUNT('Milho 2ª safra'!$E26:$Z26)=0,0,MAX(0,IF((R$6-$E$3)&lt;1,0,IFERROR(LOOKUP(2,1/('Milho 2ª safra'!$E26:INDEX('Milho 2ª safra'!$E26:$Z26,MIN(R$6-$E$3,22))&lt;&gt;""),'Milho 2ª safra'!$E26:INDEX('Milho 2ª safra'!$E26:$Z26,MIN(R$6-$E$3,22))),0))-IF($G$2,0,IF((R$6-$G$3)&lt;1,0,IFERROR(LOOKUP(2,1/('Milho 2ª safra'!$E26:INDEX('Milho 2ª safra'!$E26:$Z26,MIN(R$6-$G$3,22))&lt;&gt;""),'Milho 2ª safra'!$E26:INDEX('Milho 2ª safra'!$E26:$Z26,MIN(R$6-$G$3,22))),0)))))</f>
        <v>0</v>
      </c>
      <c r="S28" s="27" t="n">
        <f aca="false">IF(COUNT('Milho 2ª safra'!$E26:$Z26)=0,0,MAX(0,IF((S$6-$E$3)&lt;1,0,IFERROR(LOOKUP(2,1/('Milho 2ª safra'!$E26:INDEX('Milho 2ª safra'!$E26:$Z26,MIN(S$6-$E$3,22))&lt;&gt;""),'Milho 2ª safra'!$E26:INDEX('Milho 2ª safra'!$E26:$Z26,MIN(S$6-$E$3,22))),0))-IF($G$2,0,IF((S$6-$G$3)&lt;1,0,IFERROR(LOOKUP(2,1/('Milho 2ª safra'!$E26:INDEX('Milho 2ª safra'!$E26:$Z26,MIN(S$6-$G$3,22))&lt;&gt;""),'Milho 2ª safra'!$E26:INDEX('Milho 2ª safra'!$E26:$Z26,MIN(S$6-$G$3,22))),0)))))</f>
        <v>0</v>
      </c>
      <c r="T28" s="27" t="n">
        <f aca="false">IF(COUNT('Milho 2ª safra'!$E26:$Z26)=0,0,MAX(0,IF((T$6-$E$3)&lt;1,0,IFERROR(LOOKUP(2,1/('Milho 2ª safra'!$E26:INDEX('Milho 2ª safra'!$E26:$Z26,MIN(T$6-$E$3,22))&lt;&gt;""),'Milho 2ª safra'!$E26:INDEX('Milho 2ª safra'!$E26:$Z26,MIN(T$6-$E$3,22))),0))-IF($G$2,0,IF((T$6-$G$3)&lt;1,0,IFERROR(LOOKUP(2,1/('Milho 2ª safra'!$E26:INDEX('Milho 2ª safra'!$E26:$Z26,MIN(T$6-$G$3,22))&lt;&gt;""),'Milho 2ª safra'!$E26:INDEX('Milho 2ª safra'!$E26:$Z26,MIN(T$6-$G$3,22))),0)))))</f>
        <v>0</v>
      </c>
      <c r="U28" s="27" t="n">
        <f aca="false">IF(COUNT('Milho 2ª safra'!$E26:$Z26)=0,0,MAX(0,IF((U$6-$E$3)&lt;1,0,IFERROR(LOOKUP(2,1/('Milho 2ª safra'!$E26:INDEX('Milho 2ª safra'!$E26:$Z26,MIN(U$6-$E$3,22))&lt;&gt;""),'Milho 2ª safra'!$E26:INDEX('Milho 2ª safra'!$E26:$Z26,MIN(U$6-$E$3,22))),0))-IF($G$2,0,IF((U$6-$G$3)&lt;1,0,IFERROR(LOOKUP(2,1/('Milho 2ª safra'!$E26:INDEX('Milho 2ª safra'!$E26:$Z26,MIN(U$6-$G$3,22))&lt;&gt;""),'Milho 2ª safra'!$E26:INDEX('Milho 2ª safra'!$E26:$Z26,MIN(U$6-$G$3,22))),0)))))</f>
        <v>0</v>
      </c>
      <c r="V28" s="27" t="n">
        <f aca="false">IF(COUNT('Milho 2ª safra'!$E26:$Z26)=0,0,MAX(0,IF((V$6-$E$3)&lt;1,0,IFERROR(LOOKUP(2,1/('Milho 2ª safra'!$E26:INDEX('Milho 2ª safra'!$E26:$Z26,MIN(V$6-$E$3,22))&lt;&gt;""),'Milho 2ª safra'!$E26:INDEX('Milho 2ª safra'!$E26:$Z26,MIN(V$6-$E$3,22))),0))-IF($G$2,0,IF((V$6-$G$3)&lt;1,0,IFERROR(LOOKUP(2,1/('Milho 2ª safra'!$E26:INDEX('Milho 2ª safra'!$E26:$Z26,MIN(V$6-$G$3,22))&lt;&gt;""),'Milho 2ª safra'!$E26:INDEX('Milho 2ª safra'!$E26:$Z26,MIN(V$6-$G$3,22))),0)))))</f>
        <v>0</v>
      </c>
      <c r="W28" s="27" t="n">
        <f aca="false">IF(COUNT('Milho 2ª safra'!$E26:$Z26)=0,0,MAX(0,IF((W$6-$E$3)&lt;1,0,IFERROR(LOOKUP(2,1/('Milho 2ª safra'!$E26:INDEX('Milho 2ª safra'!$E26:$Z26,MIN(W$6-$E$3,22))&lt;&gt;""),'Milho 2ª safra'!$E26:INDEX('Milho 2ª safra'!$E26:$Z26,MIN(W$6-$E$3,22))),0))-IF($G$2,0,IF((W$6-$G$3)&lt;1,0,IFERROR(LOOKUP(2,1/('Milho 2ª safra'!$E26:INDEX('Milho 2ª safra'!$E26:$Z26,MIN(W$6-$G$3,22))&lt;&gt;""),'Milho 2ª safra'!$E26:INDEX('Milho 2ª safra'!$E26:$Z26,MIN(W$6-$G$3,22))),0)))))</f>
        <v>0</v>
      </c>
      <c r="X28" s="27" t="n">
        <f aca="false">IF(COUNT('Milho 2ª safra'!$E26:$Z26)=0,0,MAX(0,IF((X$6-$E$3)&lt;1,0,IFERROR(LOOKUP(2,1/('Milho 2ª safra'!$E26:INDEX('Milho 2ª safra'!$E26:$Z26,MIN(X$6-$E$3,22))&lt;&gt;""),'Milho 2ª safra'!$E26:INDEX('Milho 2ª safra'!$E26:$Z26,MIN(X$6-$E$3,22))),0))-IF($G$2,0,IF((X$6-$G$3)&lt;1,0,IFERROR(LOOKUP(2,1/('Milho 2ª safra'!$E26:INDEX('Milho 2ª safra'!$E26:$Z26,MIN(X$6-$G$3,22))&lt;&gt;""),'Milho 2ª safra'!$E26:INDEX('Milho 2ª safra'!$E26:$Z26,MIN(X$6-$G$3,22))),0)))))</f>
        <v>0</v>
      </c>
      <c r="Y28" s="27" t="n">
        <f aca="false">IF(COUNT('Milho 2ª safra'!$E26:$Z26)=0,0,MAX(0,IF((Y$6-$E$3)&lt;1,0,IFERROR(LOOKUP(2,1/('Milho 2ª safra'!$E26:INDEX('Milho 2ª safra'!$E26:$Z26,MIN(Y$6-$E$3,22))&lt;&gt;""),'Milho 2ª safra'!$E26:INDEX('Milho 2ª safra'!$E26:$Z26,MIN(Y$6-$E$3,22))),0))-IF($G$2,0,IF((Y$6-$G$3)&lt;1,0,IFERROR(LOOKUP(2,1/('Milho 2ª safra'!$E26:INDEX('Milho 2ª safra'!$E26:$Z26,MIN(Y$6-$G$3,22))&lt;&gt;""),'Milho 2ª safra'!$E26:INDEX('Milho 2ª safra'!$E26:$Z26,MIN(Y$6-$G$3,22))),0)))))</f>
        <v>0</v>
      </c>
      <c r="Z28" s="27" t="n">
        <f aca="false">IF(COUNT('Milho 2ª safra'!$E26:$Z26)=0,0,MAX(0,IF((Z$6-$E$3)&lt;1,0,IFERROR(LOOKUP(2,1/('Milho 2ª safra'!$E26:INDEX('Milho 2ª safra'!$E26:$Z26,MIN(Z$6-$E$3,22))&lt;&gt;""),'Milho 2ª safra'!$E26:INDEX('Milho 2ª safra'!$E26:$Z26,MIN(Z$6-$E$3,22))),0))-IF($G$2,0,IF((Z$6-$G$3)&lt;1,0,IFERROR(LOOKUP(2,1/('Milho 2ª safra'!$E26:INDEX('Milho 2ª safra'!$E26:$Z26,MIN(Z$6-$G$3,22))&lt;&gt;""),'Milho 2ª safra'!$E26:INDEX('Milho 2ª safra'!$E26:$Z26,MIN(Z$6-$G$3,22))),0)))))</f>
        <v>0</v>
      </c>
      <c r="AA28" s="27" t="n">
        <f aca="false">IF(COUNT('Milho 2ª safra'!$E26:$Z26)=0,0,MAX(0,IF((AA$6-$E$3)&lt;1,0,IFERROR(LOOKUP(2,1/('Milho 2ª safra'!$E26:INDEX('Milho 2ª safra'!$E26:$Z26,MIN(AA$6-$E$3,22))&lt;&gt;""),'Milho 2ª safra'!$E26:INDEX('Milho 2ª safra'!$E26:$Z26,MIN(AA$6-$E$3,22))),0))-IF($G$2,0,IF((AA$6-$G$3)&lt;1,0,IFERROR(LOOKUP(2,1/('Milho 2ª safra'!$E26:INDEX('Milho 2ª safra'!$E26:$Z26,MIN(AA$6-$G$3,22))&lt;&gt;""),'Milho 2ª safra'!$E26:INDEX('Milho 2ª safra'!$E26:$Z26,MIN(AA$6-$G$3,22))),0)))))</f>
        <v>0</v>
      </c>
      <c r="AB28" s="27" t="n">
        <f aca="false">IF(COUNT('Milho 2ª safra'!$E26:$Z26)=0,0,MAX(0,IF((AB$6-$E$3)&lt;1,0,IFERROR(LOOKUP(2,1/('Milho 2ª safra'!$E26:INDEX('Milho 2ª safra'!$E26:$Z26,MIN(AB$6-$E$3,22))&lt;&gt;""),'Milho 2ª safra'!$E26:INDEX('Milho 2ª safra'!$E26:$Z26,MIN(AB$6-$E$3,22))),0))-IF($G$2,0,IF((AB$6-$G$3)&lt;1,0,IFERROR(LOOKUP(2,1/('Milho 2ª safra'!$E26:INDEX('Milho 2ª safra'!$E26:$Z26,MIN(AB$6-$G$3,22))&lt;&gt;""),'Milho 2ª safra'!$E26:INDEX('Milho 2ª safra'!$E26:$Z26,MIN(AB$6-$G$3,22))),0)))))</f>
        <v>0</v>
      </c>
      <c r="AC28" s="27" t="n">
        <f aca="false">IF(COUNT('Milho 2ª safra'!$E26:$Z26)=0,0,MAX(0,IF((AC$6-$E$3)&lt;1,0,IFERROR(LOOKUP(2,1/('Milho 2ª safra'!$E26:INDEX('Milho 2ª safra'!$E26:$Z26,MIN(AC$6-$E$3,22))&lt;&gt;""),'Milho 2ª safra'!$E26:INDEX('Milho 2ª safra'!$E26:$Z26,MIN(AC$6-$E$3,22))),0))-IF($G$2,0,IF((AC$6-$G$3)&lt;1,0,IFERROR(LOOKUP(2,1/('Milho 2ª safra'!$E26:INDEX('Milho 2ª safra'!$E26:$Z26,MIN(AC$6-$G$3,22))&lt;&gt;""),'Milho 2ª safra'!$E26:INDEX('Milho 2ª safra'!$E26:$Z26,MIN(AC$6-$G$3,22))),0)))))</f>
        <v>0</v>
      </c>
      <c r="AD28" s="27" t="n">
        <f aca="false">IF(COUNT('Milho 2ª safra'!$E26:$Z26)=0,0,MAX(0,IF((AD$6-$E$3)&lt;1,0,IFERROR(LOOKUP(2,1/('Milho 2ª safra'!$E26:INDEX('Milho 2ª safra'!$E26:$Z26,MIN(AD$6-$E$3,22))&lt;&gt;""),'Milho 2ª safra'!$E26:INDEX('Milho 2ª safra'!$E26:$Z26,MIN(AD$6-$E$3,22))),0))-IF($G$2,0,IF((AD$6-$G$3)&lt;1,0,IFERROR(LOOKUP(2,1/('Milho 2ª safra'!$E26:INDEX('Milho 2ª safra'!$E26:$Z26,MIN(AD$6-$G$3,22))&lt;&gt;""),'Milho 2ª safra'!$E26:INDEX('Milho 2ª safra'!$E26:$Z26,MIN(AD$6-$G$3,22))),0)))))</f>
        <v>0</v>
      </c>
      <c r="AE28" s="27" t="n">
        <f aca="false">IF(COUNT('Milho 2ª safra'!$E26:$Z26)=0,0,MAX(0,IF((AE$6-$E$3)&lt;1,0,IFERROR(LOOKUP(2,1/('Milho 2ª safra'!$E26:INDEX('Milho 2ª safra'!$E26:$Z26,MIN(AE$6-$E$3,22))&lt;&gt;""),'Milho 2ª safra'!$E26:INDEX('Milho 2ª safra'!$E26:$Z26,MIN(AE$6-$E$3,22))),0))-IF($G$2,0,IF((AE$6-$G$3)&lt;1,0,IFERROR(LOOKUP(2,1/('Milho 2ª safra'!$E26:INDEX('Milho 2ª safra'!$E26:$Z26,MIN(AE$6-$G$3,22))&lt;&gt;""),'Milho 2ª safra'!$E26:INDEX('Milho 2ª safra'!$E26:$Z26,MIN(AE$6-$G$3,22))),0)))))</f>
        <v>0</v>
      </c>
      <c r="AF28" s="27" t="n">
        <f aca="false">IF(COUNT('Milho 2ª safra'!$E26:$Z26)=0,0,MAX(0,IF((AF$6-$E$3)&lt;1,0,IFERROR(LOOKUP(2,1/('Milho 2ª safra'!$E26:INDEX('Milho 2ª safra'!$E26:$Z26,MIN(AF$6-$E$3,22))&lt;&gt;""),'Milho 2ª safra'!$E26:INDEX('Milho 2ª safra'!$E26:$Z26,MIN(AF$6-$E$3,22))),0))-IF($G$2,0,IF((AF$6-$G$3)&lt;1,0,IFERROR(LOOKUP(2,1/('Milho 2ª safra'!$E26:INDEX('Milho 2ª safra'!$E26:$Z26,MIN(AF$6-$G$3,22))&lt;&gt;""),'Milho 2ª safra'!$E26:INDEX('Milho 2ª safra'!$E26:$Z26,MIN(AF$6-$G$3,22))),0)))))</f>
        <v>0</v>
      </c>
      <c r="AG28" s="27" t="n">
        <f aca="false">IF(COUNT('Milho 2ª safra'!$E26:$Z26)=0,0,MAX(0,IF((AG$6-$E$3)&lt;1,0,IFERROR(LOOKUP(2,1/('Milho 2ª safra'!$E26:INDEX('Milho 2ª safra'!$E26:$Z26,MIN(AG$6-$E$3,22))&lt;&gt;""),'Milho 2ª safra'!$E26:INDEX('Milho 2ª safra'!$E26:$Z26,MIN(AG$6-$E$3,22))),0))-IF($G$2,0,IF((AG$6-$G$3)&lt;1,0,IFERROR(LOOKUP(2,1/('Milho 2ª safra'!$E26:INDEX('Milho 2ª safra'!$E26:$Z26,MIN(AG$6-$G$3,22))&lt;&gt;""),'Milho 2ª safra'!$E26:INDEX('Milho 2ª safra'!$E26:$Z26,MIN(AG$6-$G$3,22))),0)))))</f>
        <v>0</v>
      </c>
      <c r="AH28" s="27" t="n">
        <f aca="false">IF(COUNT('Milho 2ª safra'!$E26:$Z26)=0,0,MAX(0,IF((AH$6-$E$3)&lt;1,0,IFERROR(LOOKUP(2,1/('Milho 2ª safra'!$E26:INDEX('Milho 2ª safra'!$E26:$Z26,MIN(AH$6-$E$3,22))&lt;&gt;""),'Milho 2ª safra'!$E26:INDEX('Milho 2ª safra'!$E26:$Z26,MIN(AH$6-$E$3,22))),0))-IF($G$2,0,IF((AH$6-$G$3)&lt;1,0,IFERROR(LOOKUP(2,1/('Milho 2ª safra'!$E26:INDEX('Milho 2ª safra'!$E26:$Z26,MIN(AH$6-$G$3,22))&lt;&gt;""),'Milho 2ª safra'!$E26:INDEX('Milho 2ª safra'!$E26:$Z26,MIN(AH$6-$G$3,22))),0)))))</f>
        <v>0</v>
      </c>
      <c r="AI28" s="27" t="n">
        <f aca="false">IF(COUNT('Milho 2ª safra'!$E26:$Z26)=0,0,MAX(0,IF((AI$6-$E$3)&lt;1,0,IFERROR(LOOKUP(2,1/('Milho 2ª safra'!$E26:INDEX('Milho 2ª safra'!$E26:$Z26,MIN(AI$6-$E$3,22))&lt;&gt;""),'Milho 2ª safra'!$E26:INDEX('Milho 2ª safra'!$E26:$Z26,MIN(AI$6-$E$3,22))),0))-IF($G$2,0,IF((AI$6-$G$3)&lt;1,0,IFERROR(LOOKUP(2,1/('Milho 2ª safra'!$E26:INDEX('Milho 2ª safra'!$E26:$Z26,MIN(AI$6-$G$3,22))&lt;&gt;""),'Milho 2ª safra'!$E26:INDEX('Milho 2ª safra'!$E26:$Z26,MIN(AI$6-$G$3,22))),0)))))</f>
        <v>0</v>
      </c>
      <c r="AJ28" s="27" t="n">
        <f aca="false">IF(COUNT('Milho 2ª safra'!$E26:$Z26)=0,0,MAX(0,IF((AJ$6-$E$3)&lt;1,0,IFERROR(LOOKUP(2,1/('Milho 2ª safra'!$E26:INDEX('Milho 2ª safra'!$E26:$Z26,MIN(AJ$6-$E$3,22))&lt;&gt;""),'Milho 2ª safra'!$E26:INDEX('Milho 2ª safra'!$E26:$Z26,MIN(AJ$6-$E$3,22))),0))-IF($G$2,0,IF((AJ$6-$G$3)&lt;1,0,IFERROR(LOOKUP(2,1/('Milho 2ª safra'!$E26:INDEX('Milho 2ª safra'!$E26:$Z26,MIN(AJ$6-$G$3,22))&lt;&gt;""),'Milho 2ª safra'!$E26:INDEX('Milho 2ª safra'!$E26:$Z26,MIN(AJ$6-$G$3,22))),0)))))</f>
        <v>0</v>
      </c>
      <c r="AK28" s="27" t="n">
        <f aca="false">IF(COUNT('Milho 2ª safra'!$E26:$Z26)=0,0,MAX(0,IF((AK$6-$E$3)&lt;1,0,IFERROR(LOOKUP(2,1/('Milho 2ª safra'!$E26:INDEX('Milho 2ª safra'!$E26:$Z26,MIN(AK$6-$E$3,22))&lt;&gt;""),'Milho 2ª safra'!$E26:INDEX('Milho 2ª safra'!$E26:$Z26,MIN(AK$6-$E$3,22))),0))-IF($G$2,0,IF((AK$6-$G$3)&lt;1,0,IFERROR(LOOKUP(2,1/('Milho 2ª safra'!$E26:INDEX('Milho 2ª safra'!$E26:$Z26,MIN(AK$6-$G$3,22))&lt;&gt;""),'Milho 2ª safra'!$E26:INDEX('Milho 2ª safra'!$E26:$Z26,MIN(AK$6-$G$3,22))),0)))))</f>
        <v>0</v>
      </c>
      <c r="AL28" s="27" t="n">
        <f aca="false">IF(COUNT('Milho 2ª safra'!$E26:$Z26)=0,0,MAX(0,IF((AL$6-$E$3)&lt;1,0,IFERROR(LOOKUP(2,1/('Milho 2ª safra'!$E26:INDEX('Milho 2ª safra'!$E26:$Z26,MIN(AL$6-$E$3,22))&lt;&gt;""),'Milho 2ª safra'!$E26:INDEX('Milho 2ª safra'!$E26:$Z26,MIN(AL$6-$E$3,22))),0))-IF($G$2,0,IF((AL$6-$G$3)&lt;1,0,IFERROR(LOOKUP(2,1/('Milho 2ª safra'!$E26:INDEX('Milho 2ª safra'!$E26:$Z26,MIN(AL$6-$G$3,22))&lt;&gt;""),'Milho 2ª safra'!$E26:INDEX('Milho 2ª safra'!$E26:$Z26,MIN(AL$6-$G$3,22))),0)))))</f>
        <v>0</v>
      </c>
      <c r="AM28" s="27" t="n">
        <f aca="false">IF(COUNT('Milho 2ª safra'!$E26:$Z26)=0,0,MAX(0,IF((AM$6-$E$3)&lt;1,0,IFERROR(LOOKUP(2,1/('Milho 2ª safra'!$E26:INDEX('Milho 2ª safra'!$E26:$Z26,MIN(AM$6-$E$3,22))&lt;&gt;""),'Milho 2ª safra'!$E26:INDEX('Milho 2ª safra'!$E26:$Z26,MIN(AM$6-$E$3,22))),0))-IF($G$2,0,IF((AM$6-$G$3)&lt;1,0,IFERROR(LOOKUP(2,1/('Milho 2ª safra'!$E26:INDEX('Milho 2ª safra'!$E26:$Z26,MIN(AM$6-$G$3,22))&lt;&gt;""),'Milho 2ª safra'!$E26:INDEX('Milho 2ª safra'!$E26:$Z26,MIN(AM$6-$G$3,22))),0)))))</f>
        <v>0</v>
      </c>
      <c r="AN28" s="27" t="n">
        <f aca="false">IF(COUNT('Milho 2ª safra'!$E26:$Z26)=0,0,MAX(0,IF((AN$6-$E$3)&lt;1,0,IFERROR(LOOKUP(2,1/('Milho 2ª safra'!$E26:INDEX('Milho 2ª safra'!$E26:$Z26,MIN(AN$6-$E$3,22))&lt;&gt;""),'Milho 2ª safra'!$E26:INDEX('Milho 2ª safra'!$E26:$Z26,MIN(AN$6-$E$3,22))),0))-IF($G$2,0,IF((AN$6-$G$3)&lt;1,0,IFERROR(LOOKUP(2,1/('Milho 2ª safra'!$E26:INDEX('Milho 2ª safra'!$E26:$Z26,MIN(AN$6-$G$3,22))&lt;&gt;""),'Milho 2ª safra'!$E26:INDEX('Milho 2ª safra'!$E26:$Z26,MIN(AN$6-$G$3,22))),0)))))</f>
        <v>0</v>
      </c>
      <c r="AO28" s="27" t="n">
        <f aca="false">IF(COUNT('Milho 2ª safra'!$E26:$Z26)=0,0,MAX(0,IF((AO$6-$E$3)&lt;1,0,IFERROR(LOOKUP(2,1/('Milho 2ª safra'!$E26:INDEX('Milho 2ª safra'!$E26:$Z26,MIN(AO$6-$E$3,22))&lt;&gt;""),'Milho 2ª safra'!$E26:INDEX('Milho 2ª safra'!$E26:$Z26,MIN(AO$6-$E$3,22))),0))-IF($G$2,0,IF((AO$6-$G$3)&lt;1,0,IFERROR(LOOKUP(2,1/('Milho 2ª safra'!$E26:INDEX('Milho 2ª safra'!$E26:$Z26,MIN(AO$6-$G$3,22))&lt;&gt;""),'Milho 2ª safra'!$E26:INDEX('Milho 2ª safra'!$E26:$Z26,MIN(AO$6-$G$3,22))),0)))))</f>
        <v>0</v>
      </c>
      <c r="AP28" s="27" t="n">
        <f aca="false">IF(COUNT('Milho 2ª safra'!$E26:$Z26)=0,0,MAX(0,IF((AP$6-$E$3)&lt;1,0,IFERROR(LOOKUP(2,1/('Milho 2ª safra'!$E26:INDEX('Milho 2ª safra'!$E26:$Z26,MIN(AP$6-$E$3,22))&lt;&gt;""),'Milho 2ª safra'!$E26:INDEX('Milho 2ª safra'!$E26:$Z26,MIN(AP$6-$E$3,22))),0))-IF($G$2,0,IF((AP$6-$G$3)&lt;1,0,IFERROR(LOOKUP(2,1/('Milho 2ª safra'!$E26:INDEX('Milho 2ª safra'!$E26:$Z26,MIN(AP$6-$G$3,22))&lt;&gt;""),'Milho 2ª safra'!$E26:INDEX('Milho 2ª safra'!$E26:$Z26,MIN(AP$6-$G$3,22))),0)))))</f>
        <v>0</v>
      </c>
      <c r="AQ28" s="27" t="n">
        <f aca="false">IF(COUNT('Milho 2ª safra'!$E26:$Z26)=0,0,MAX(0,IF((AQ$6-$E$3)&lt;1,0,IFERROR(LOOKUP(2,1/('Milho 2ª safra'!$E26:INDEX('Milho 2ª safra'!$E26:$Z26,MIN(AQ$6-$E$3,22))&lt;&gt;""),'Milho 2ª safra'!$E26:INDEX('Milho 2ª safra'!$E26:$Z26,MIN(AQ$6-$E$3,22))),0))-IF($G$2,0,IF((AQ$6-$G$3)&lt;1,0,IFERROR(LOOKUP(2,1/('Milho 2ª safra'!$E26:INDEX('Milho 2ª safra'!$E26:$Z26,MIN(AQ$6-$G$3,22))&lt;&gt;""),'Milho 2ª safra'!$E26:INDEX('Milho 2ª safra'!$E26:$Z26,MIN(AQ$6-$G$3,22))),0)))))</f>
        <v>0</v>
      </c>
      <c r="AR28" s="27" t="n">
        <f aca="false">IF(COUNT('Milho 2ª safra'!$E26:$Z26)=0,0,MAX(0,IF((AR$6-$E$3)&lt;1,0,IFERROR(LOOKUP(2,1/('Milho 2ª safra'!$E26:INDEX('Milho 2ª safra'!$E26:$Z26,MIN(AR$6-$E$3,22))&lt;&gt;""),'Milho 2ª safra'!$E26:INDEX('Milho 2ª safra'!$E26:$Z26,MIN(AR$6-$E$3,22))),0))-IF($G$2,0,IF((AR$6-$G$3)&lt;1,0,IFERROR(LOOKUP(2,1/('Milho 2ª safra'!$E26:INDEX('Milho 2ª safra'!$E26:$Z26,MIN(AR$6-$G$3,22))&lt;&gt;""),'Milho 2ª safra'!$E26:INDEX('Milho 2ª safra'!$E26:$Z26,MIN(AR$6-$G$3,22))),0)))))</f>
        <v>0</v>
      </c>
      <c r="AS28" s="27" t="n">
        <f aca="false">IF(COUNT('Milho 2ª safra'!$E26:$Z26)=0,0,MAX(0,IF((AS$6-$E$3)&lt;1,0,IFERROR(LOOKUP(2,1/('Milho 2ª safra'!$E26:INDEX('Milho 2ª safra'!$E26:$Z26,MIN(AS$6-$E$3,22))&lt;&gt;""),'Milho 2ª safra'!$E26:INDEX('Milho 2ª safra'!$E26:$Z26,MIN(AS$6-$E$3,22))),0))-IF($G$2,0,IF((AS$6-$G$3)&lt;1,0,IFERROR(LOOKUP(2,1/('Milho 2ª safra'!$E26:INDEX('Milho 2ª safra'!$E26:$Z26,MIN(AS$6-$G$3,22))&lt;&gt;""),'Milho 2ª safra'!$E26:INDEX('Milho 2ª safra'!$E26:$Z26,MIN(AS$6-$G$3,22))),0)))))</f>
        <v>0</v>
      </c>
      <c r="AT28" s="27" t="n">
        <f aca="false">IF(COUNT('Milho 2ª safra'!$E26:$Z26)=0,0,MAX(0,IF((AT$6-$E$3)&lt;1,0,IFERROR(LOOKUP(2,1/('Milho 2ª safra'!$E26:INDEX('Milho 2ª safra'!$E26:$Z26,MIN(AT$6-$E$3,22))&lt;&gt;""),'Milho 2ª safra'!$E26:INDEX('Milho 2ª safra'!$E26:$Z26,MIN(AT$6-$E$3,22))),0))-IF($G$2,0,IF((AT$6-$G$3)&lt;1,0,IFERROR(LOOKUP(2,1/('Milho 2ª safra'!$E26:INDEX('Milho 2ª safra'!$E26:$Z26,MIN(AT$6-$G$3,22))&lt;&gt;""),'Milho 2ª safra'!$E26:INDEX('Milho 2ª safra'!$E26:$Z26,MIN(AT$6-$G$3,22))),0)))))</f>
        <v>0</v>
      </c>
      <c r="AU28" s="27" t="n">
        <f aca="false">IF(COUNT('Milho 2ª safra'!$E26:$Z26)=0,0,MAX(0,IF((AU$6-$E$3)&lt;1,0,IFERROR(LOOKUP(2,1/('Milho 2ª safra'!$E26:INDEX('Milho 2ª safra'!$E26:$Z26,MIN(AU$6-$E$3,22))&lt;&gt;""),'Milho 2ª safra'!$E26:INDEX('Milho 2ª safra'!$E26:$Z26,MIN(AU$6-$E$3,22))),0))-IF($G$2,0,IF((AU$6-$G$3)&lt;1,0,IFERROR(LOOKUP(2,1/('Milho 2ª safra'!$E26:INDEX('Milho 2ª safra'!$E26:$Z26,MIN(AU$6-$G$3,22))&lt;&gt;""),'Milho 2ª safra'!$E26:INDEX('Milho 2ª safra'!$E26:$Z26,MIN(AU$6-$G$3,22))),0)))))</f>
        <v>0</v>
      </c>
      <c r="AV28" s="27" t="n">
        <f aca="false">IF(COUNT('Milho 2ª safra'!$E26:$Z26)=0,0,MAX(0,IF((AV$6-$E$3)&lt;1,0,IFERROR(LOOKUP(2,1/('Milho 2ª safra'!$E26:INDEX('Milho 2ª safra'!$E26:$Z26,MIN(AV$6-$E$3,22))&lt;&gt;""),'Milho 2ª safra'!$E26:INDEX('Milho 2ª safra'!$E26:$Z26,MIN(AV$6-$E$3,22))),0))-IF($G$2,0,IF((AV$6-$G$3)&lt;1,0,IFERROR(LOOKUP(2,1/('Milho 2ª safra'!$E26:INDEX('Milho 2ª safra'!$E26:$Z26,MIN(AV$6-$G$3,22))&lt;&gt;""),'Milho 2ª safra'!$E26:INDEX('Milho 2ª safra'!$E26:$Z26,MIN(AV$6-$G$3,22))),0)))))</f>
        <v>0</v>
      </c>
      <c r="AW28" s="27" t="n">
        <f aca="false">IF(COUNT('Milho 2ª safra'!$E26:$Z26)=0,0,MAX(0,IF((AW$6-$E$3)&lt;1,0,IFERROR(LOOKUP(2,1/('Milho 2ª safra'!$E26:INDEX('Milho 2ª safra'!$E26:$Z26,MIN(AW$6-$E$3,22))&lt;&gt;""),'Milho 2ª safra'!$E26:INDEX('Milho 2ª safra'!$E26:$Z26,MIN(AW$6-$E$3,22))),0))-IF($G$2,0,IF((AW$6-$G$3)&lt;1,0,IFERROR(LOOKUP(2,1/('Milho 2ª safra'!$E26:INDEX('Milho 2ª safra'!$E26:$Z26,MIN(AW$6-$G$3,22))&lt;&gt;""),'Milho 2ª safra'!$E26:INDEX('Milho 2ª safra'!$E26:$Z26,MIN(AW$6-$G$3,22))),0)))))</f>
        <v>0</v>
      </c>
      <c r="AX28" s="27" t="n">
        <f aca="false">IF(COUNT('Milho 2ª safra'!$E26:$Z26)=0,0,MAX(0,IF((AX$6-$E$3)&lt;1,0,IFERROR(LOOKUP(2,1/('Milho 2ª safra'!$E26:INDEX('Milho 2ª safra'!$E26:$Z26,MIN(AX$6-$E$3,22))&lt;&gt;""),'Milho 2ª safra'!$E26:INDEX('Milho 2ª safra'!$E26:$Z26,MIN(AX$6-$E$3,22))),0))-IF($G$2,0,IF((AX$6-$G$3)&lt;1,0,IFERROR(LOOKUP(2,1/('Milho 2ª safra'!$E26:INDEX('Milho 2ª safra'!$E26:$Z26,MIN(AX$6-$G$3,22))&lt;&gt;""),'Milho 2ª safra'!$E26:INDEX('Milho 2ª safra'!$E26:$Z26,MIN(AX$6-$G$3,22))),0)))))</f>
        <v>0</v>
      </c>
      <c r="AY28" s="27" t="n">
        <f aca="false">IF(COUNT('Milho 2ª safra'!$E26:$Z26)=0,0,MAX(0,IF((AY$6-$E$3)&lt;1,0,IFERROR(LOOKUP(2,1/('Milho 2ª safra'!$E26:INDEX('Milho 2ª safra'!$E26:$Z26,MIN(AY$6-$E$3,22))&lt;&gt;""),'Milho 2ª safra'!$E26:INDEX('Milho 2ª safra'!$E26:$Z26,MIN(AY$6-$E$3,22))),0))-IF($G$2,0,IF((AY$6-$G$3)&lt;1,0,IFERROR(LOOKUP(2,1/('Milho 2ª safra'!$E26:INDEX('Milho 2ª safra'!$E26:$Z26,MIN(AY$6-$G$3,22))&lt;&gt;""),'Milho 2ª safra'!$E26:INDEX('Milho 2ª safra'!$E26:$Z26,MIN(AY$6-$G$3,22))),0)))))</f>
        <v>0</v>
      </c>
      <c r="AZ28" s="27" t="n">
        <f aca="false">IF(COUNT('Milho 2ª safra'!$E26:$Z26)=0,0,MAX(0,IF((AZ$6-$E$3)&lt;1,0,IFERROR(LOOKUP(2,1/('Milho 2ª safra'!$E26:INDEX('Milho 2ª safra'!$E26:$Z26,MIN(AZ$6-$E$3,22))&lt;&gt;""),'Milho 2ª safra'!$E26:INDEX('Milho 2ª safra'!$E26:$Z26,MIN(AZ$6-$E$3,22))),0))-IF($G$2,0,IF((AZ$6-$G$3)&lt;1,0,IFERROR(LOOKUP(2,1/('Milho 2ª safra'!$E26:INDEX('Milho 2ª safra'!$E26:$Z26,MIN(AZ$6-$G$3,22))&lt;&gt;""),'Milho 2ª safra'!$E26:INDEX('Milho 2ª safra'!$E26:$Z26,MIN(AZ$6-$G$3,22))),0)))))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IF(COUNT('Milho 2ª safra'!$E27:$Z27)&gt;0,N('Milho 2ª safra'!$D27),0)</f>
        <v>0</v>
      </c>
      <c r="E29" s="27" t="n">
        <f aca="false">IF(COUNT('Milho 2ª safra'!$E27:$Z27)=0,0,MAX(0,IF((E$6-$E$3)&lt;1,0,IFERROR(LOOKUP(2,1/('Milho 2ª safra'!$E27:INDEX('Milho 2ª safra'!$E27:$Z27,MIN(E$6-$E$3,22))&lt;&gt;""),'Milho 2ª safra'!$E27:INDEX('Milho 2ª safra'!$E27:$Z27,MIN(E$6-$E$3,22))),0))-IF($G$2,0,IF((E$6-$G$3)&lt;1,0,IFERROR(LOOKUP(2,1/('Milho 2ª safra'!$E27:INDEX('Milho 2ª safra'!$E27:$Z27,MIN(E$6-$G$3,22))&lt;&gt;""),'Milho 2ª safra'!$E27:INDEX('Milho 2ª safra'!$E27:$Z27,MIN(E$6-$G$3,22))),0)))))</f>
        <v>0</v>
      </c>
      <c r="F29" s="27" t="n">
        <f aca="false">IF(COUNT('Milho 2ª safra'!$E27:$Z27)=0,0,MAX(0,IF((F$6-$E$3)&lt;1,0,IFERROR(LOOKUP(2,1/('Milho 2ª safra'!$E27:INDEX('Milho 2ª safra'!$E27:$Z27,MIN(F$6-$E$3,22))&lt;&gt;""),'Milho 2ª safra'!$E27:INDEX('Milho 2ª safra'!$E27:$Z27,MIN(F$6-$E$3,22))),0))-IF($G$2,0,IF((F$6-$G$3)&lt;1,0,IFERROR(LOOKUP(2,1/('Milho 2ª safra'!$E27:INDEX('Milho 2ª safra'!$E27:$Z27,MIN(F$6-$G$3,22))&lt;&gt;""),'Milho 2ª safra'!$E27:INDEX('Milho 2ª safra'!$E27:$Z27,MIN(F$6-$G$3,22))),0)))))</f>
        <v>0</v>
      </c>
      <c r="G29" s="27" t="n">
        <f aca="false">IF(COUNT('Milho 2ª safra'!$E27:$Z27)=0,0,MAX(0,IF((G$6-$E$3)&lt;1,0,IFERROR(LOOKUP(2,1/('Milho 2ª safra'!$E27:INDEX('Milho 2ª safra'!$E27:$Z27,MIN(G$6-$E$3,22))&lt;&gt;""),'Milho 2ª safra'!$E27:INDEX('Milho 2ª safra'!$E27:$Z27,MIN(G$6-$E$3,22))),0))-IF($G$2,0,IF((G$6-$G$3)&lt;1,0,IFERROR(LOOKUP(2,1/('Milho 2ª safra'!$E27:INDEX('Milho 2ª safra'!$E27:$Z27,MIN(G$6-$G$3,22))&lt;&gt;""),'Milho 2ª safra'!$E27:INDEX('Milho 2ª safra'!$E27:$Z27,MIN(G$6-$G$3,22))),0)))))</f>
        <v>0</v>
      </c>
      <c r="H29" s="27" t="n">
        <f aca="false">IF(COUNT('Milho 2ª safra'!$E27:$Z27)=0,0,MAX(0,IF((H$6-$E$3)&lt;1,0,IFERROR(LOOKUP(2,1/('Milho 2ª safra'!$E27:INDEX('Milho 2ª safra'!$E27:$Z27,MIN(H$6-$E$3,22))&lt;&gt;""),'Milho 2ª safra'!$E27:INDEX('Milho 2ª safra'!$E27:$Z27,MIN(H$6-$E$3,22))),0))-IF($G$2,0,IF((H$6-$G$3)&lt;1,0,IFERROR(LOOKUP(2,1/('Milho 2ª safra'!$E27:INDEX('Milho 2ª safra'!$E27:$Z27,MIN(H$6-$G$3,22))&lt;&gt;""),'Milho 2ª safra'!$E27:INDEX('Milho 2ª safra'!$E27:$Z27,MIN(H$6-$G$3,22))),0)))))</f>
        <v>0</v>
      </c>
      <c r="I29" s="27" t="n">
        <f aca="false">IF(COUNT('Milho 2ª safra'!$E27:$Z27)=0,0,MAX(0,IF((I$6-$E$3)&lt;1,0,IFERROR(LOOKUP(2,1/('Milho 2ª safra'!$E27:INDEX('Milho 2ª safra'!$E27:$Z27,MIN(I$6-$E$3,22))&lt;&gt;""),'Milho 2ª safra'!$E27:INDEX('Milho 2ª safra'!$E27:$Z27,MIN(I$6-$E$3,22))),0))-IF($G$2,0,IF((I$6-$G$3)&lt;1,0,IFERROR(LOOKUP(2,1/('Milho 2ª safra'!$E27:INDEX('Milho 2ª safra'!$E27:$Z27,MIN(I$6-$G$3,22))&lt;&gt;""),'Milho 2ª safra'!$E27:INDEX('Milho 2ª safra'!$E27:$Z27,MIN(I$6-$G$3,22))),0)))))</f>
        <v>0</v>
      </c>
      <c r="J29" s="27" t="n">
        <f aca="false">IF(COUNT('Milho 2ª safra'!$E27:$Z27)=0,0,MAX(0,IF((J$6-$E$3)&lt;1,0,IFERROR(LOOKUP(2,1/('Milho 2ª safra'!$E27:INDEX('Milho 2ª safra'!$E27:$Z27,MIN(J$6-$E$3,22))&lt;&gt;""),'Milho 2ª safra'!$E27:INDEX('Milho 2ª safra'!$E27:$Z27,MIN(J$6-$E$3,22))),0))-IF($G$2,0,IF((J$6-$G$3)&lt;1,0,IFERROR(LOOKUP(2,1/('Milho 2ª safra'!$E27:INDEX('Milho 2ª safra'!$E27:$Z27,MIN(J$6-$G$3,22))&lt;&gt;""),'Milho 2ª safra'!$E27:INDEX('Milho 2ª safra'!$E27:$Z27,MIN(J$6-$G$3,22))),0)))))</f>
        <v>0</v>
      </c>
      <c r="K29" s="27" t="n">
        <f aca="false">IF(COUNT('Milho 2ª safra'!$E27:$Z27)=0,0,MAX(0,IF((K$6-$E$3)&lt;1,0,IFERROR(LOOKUP(2,1/('Milho 2ª safra'!$E27:INDEX('Milho 2ª safra'!$E27:$Z27,MIN(K$6-$E$3,22))&lt;&gt;""),'Milho 2ª safra'!$E27:INDEX('Milho 2ª safra'!$E27:$Z27,MIN(K$6-$E$3,22))),0))-IF($G$2,0,IF((K$6-$G$3)&lt;1,0,IFERROR(LOOKUP(2,1/('Milho 2ª safra'!$E27:INDEX('Milho 2ª safra'!$E27:$Z27,MIN(K$6-$G$3,22))&lt;&gt;""),'Milho 2ª safra'!$E27:INDEX('Milho 2ª safra'!$E27:$Z27,MIN(K$6-$G$3,22))),0)))))</f>
        <v>0</v>
      </c>
      <c r="L29" s="27" t="n">
        <f aca="false">IF(COUNT('Milho 2ª safra'!$E27:$Z27)=0,0,MAX(0,IF((L$6-$E$3)&lt;1,0,IFERROR(LOOKUP(2,1/('Milho 2ª safra'!$E27:INDEX('Milho 2ª safra'!$E27:$Z27,MIN(L$6-$E$3,22))&lt;&gt;""),'Milho 2ª safra'!$E27:INDEX('Milho 2ª safra'!$E27:$Z27,MIN(L$6-$E$3,22))),0))-IF($G$2,0,IF((L$6-$G$3)&lt;1,0,IFERROR(LOOKUP(2,1/('Milho 2ª safra'!$E27:INDEX('Milho 2ª safra'!$E27:$Z27,MIN(L$6-$G$3,22))&lt;&gt;""),'Milho 2ª safra'!$E27:INDEX('Milho 2ª safra'!$E27:$Z27,MIN(L$6-$G$3,22))),0)))))</f>
        <v>0</v>
      </c>
      <c r="M29" s="27" t="n">
        <f aca="false">IF(COUNT('Milho 2ª safra'!$E27:$Z27)=0,0,MAX(0,IF((M$6-$E$3)&lt;1,0,IFERROR(LOOKUP(2,1/('Milho 2ª safra'!$E27:INDEX('Milho 2ª safra'!$E27:$Z27,MIN(M$6-$E$3,22))&lt;&gt;""),'Milho 2ª safra'!$E27:INDEX('Milho 2ª safra'!$E27:$Z27,MIN(M$6-$E$3,22))),0))-IF($G$2,0,IF((M$6-$G$3)&lt;1,0,IFERROR(LOOKUP(2,1/('Milho 2ª safra'!$E27:INDEX('Milho 2ª safra'!$E27:$Z27,MIN(M$6-$G$3,22))&lt;&gt;""),'Milho 2ª safra'!$E27:INDEX('Milho 2ª safra'!$E27:$Z27,MIN(M$6-$G$3,22))),0)))))</f>
        <v>0</v>
      </c>
      <c r="N29" s="27" t="n">
        <f aca="false">IF(COUNT('Milho 2ª safra'!$E27:$Z27)=0,0,MAX(0,IF((N$6-$E$3)&lt;1,0,IFERROR(LOOKUP(2,1/('Milho 2ª safra'!$E27:INDEX('Milho 2ª safra'!$E27:$Z27,MIN(N$6-$E$3,22))&lt;&gt;""),'Milho 2ª safra'!$E27:INDEX('Milho 2ª safra'!$E27:$Z27,MIN(N$6-$E$3,22))),0))-IF($G$2,0,IF((N$6-$G$3)&lt;1,0,IFERROR(LOOKUP(2,1/('Milho 2ª safra'!$E27:INDEX('Milho 2ª safra'!$E27:$Z27,MIN(N$6-$G$3,22))&lt;&gt;""),'Milho 2ª safra'!$E27:INDEX('Milho 2ª safra'!$E27:$Z27,MIN(N$6-$G$3,22))),0)))))</f>
        <v>0</v>
      </c>
      <c r="O29" s="27" t="n">
        <f aca="false">IF(COUNT('Milho 2ª safra'!$E27:$Z27)=0,0,MAX(0,IF((O$6-$E$3)&lt;1,0,IFERROR(LOOKUP(2,1/('Milho 2ª safra'!$E27:INDEX('Milho 2ª safra'!$E27:$Z27,MIN(O$6-$E$3,22))&lt;&gt;""),'Milho 2ª safra'!$E27:INDEX('Milho 2ª safra'!$E27:$Z27,MIN(O$6-$E$3,22))),0))-IF($G$2,0,IF((O$6-$G$3)&lt;1,0,IFERROR(LOOKUP(2,1/('Milho 2ª safra'!$E27:INDEX('Milho 2ª safra'!$E27:$Z27,MIN(O$6-$G$3,22))&lt;&gt;""),'Milho 2ª safra'!$E27:INDEX('Milho 2ª safra'!$E27:$Z27,MIN(O$6-$G$3,22))),0)))))</f>
        <v>0</v>
      </c>
      <c r="P29" s="27" t="n">
        <f aca="false">IF(COUNT('Milho 2ª safra'!$E27:$Z27)=0,0,MAX(0,IF((P$6-$E$3)&lt;1,0,IFERROR(LOOKUP(2,1/('Milho 2ª safra'!$E27:INDEX('Milho 2ª safra'!$E27:$Z27,MIN(P$6-$E$3,22))&lt;&gt;""),'Milho 2ª safra'!$E27:INDEX('Milho 2ª safra'!$E27:$Z27,MIN(P$6-$E$3,22))),0))-IF($G$2,0,IF((P$6-$G$3)&lt;1,0,IFERROR(LOOKUP(2,1/('Milho 2ª safra'!$E27:INDEX('Milho 2ª safra'!$E27:$Z27,MIN(P$6-$G$3,22))&lt;&gt;""),'Milho 2ª safra'!$E27:INDEX('Milho 2ª safra'!$E27:$Z27,MIN(P$6-$G$3,22))),0)))))</f>
        <v>0</v>
      </c>
      <c r="Q29" s="27" t="n">
        <f aca="false">IF(COUNT('Milho 2ª safra'!$E27:$Z27)=0,0,MAX(0,IF((Q$6-$E$3)&lt;1,0,IFERROR(LOOKUP(2,1/('Milho 2ª safra'!$E27:INDEX('Milho 2ª safra'!$E27:$Z27,MIN(Q$6-$E$3,22))&lt;&gt;""),'Milho 2ª safra'!$E27:INDEX('Milho 2ª safra'!$E27:$Z27,MIN(Q$6-$E$3,22))),0))-IF($G$2,0,IF((Q$6-$G$3)&lt;1,0,IFERROR(LOOKUP(2,1/('Milho 2ª safra'!$E27:INDEX('Milho 2ª safra'!$E27:$Z27,MIN(Q$6-$G$3,22))&lt;&gt;""),'Milho 2ª safra'!$E27:INDEX('Milho 2ª safra'!$E27:$Z27,MIN(Q$6-$G$3,22))),0)))))</f>
        <v>0</v>
      </c>
      <c r="R29" s="27" t="n">
        <f aca="false">IF(COUNT('Milho 2ª safra'!$E27:$Z27)=0,0,MAX(0,IF((R$6-$E$3)&lt;1,0,IFERROR(LOOKUP(2,1/('Milho 2ª safra'!$E27:INDEX('Milho 2ª safra'!$E27:$Z27,MIN(R$6-$E$3,22))&lt;&gt;""),'Milho 2ª safra'!$E27:INDEX('Milho 2ª safra'!$E27:$Z27,MIN(R$6-$E$3,22))),0))-IF($G$2,0,IF((R$6-$G$3)&lt;1,0,IFERROR(LOOKUP(2,1/('Milho 2ª safra'!$E27:INDEX('Milho 2ª safra'!$E27:$Z27,MIN(R$6-$G$3,22))&lt;&gt;""),'Milho 2ª safra'!$E27:INDEX('Milho 2ª safra'!$E27:$Z27,MIN(R$6-$G$3,22))),0)))))</f>
        <v>0</v>
      </c>
      <c r="S29" s="27" t="n">
        <f aca="false">IF(COUNT('Milho 2ª safra'!$E27:$Z27)=0,0,MAX(0,IF((S$6-$E$3)&lt;1,0,IFERROR(LOOKUP(2,1/('Milho 2ª safra'!$E27:INDEX('Milho 2ª safra'!$E27:$Z27,MIN(S$6-$E$3,22))&lt;&gt;""),'Milho 2ª safra'!$E27:INDEX('Milho 2ª safra'!$E27:$Z27,MIN(S$6-$E$3,22))),0))-IF($G$2,0,IF((S$6-$G$3)&lt;1,0,IFERROR(LOOKUP(2,1/('Milho 2ª safra'!$E27:INDEX('Milho 2ª safra'!$E27:$Z27,MIN(S$6-$G$3,22))&lt;&gt;""),'Milho 2ª safra'!$E27:INDEX('Milho 2ª safra'!$E27:$Z27,MIN(S$6-$G$3,22))),0)))))</f>
        <v>0</v>
      </c>
      <c r="T29" s="27" t="n">
        <f aca="false">IF(COUNT('Milho 2ª safra'!$E27:$Z27)=0,0,MAX(0,IF((T$6-$E$3)&lt;1,0,IFERROR(LOOKUP(2,1/('Milho 2ª safra'!$E27:INDEX('Milho 2ª safra'!$E27:$Z27,MIN(T$6-$E$3,22))&lt;&gt;""),'Milho 2ª safra'!$E27:INDEX('Milho 2ª safra'!$E27:$Z27,MIN(T$6-$E$3,22))),0))-IF($G$2,0,IF((T$6-$G$3)&lt;1,0,IFERROR(LOOKUP(2,1/('Milho 2ª safra'!$E27:INDEX('Milho 2ª safra'!$E27:$Z27,MIN(T$6-$G$3,22))&lt;&gt;""),'Milho 2ª safra'!$E27:INDEX('Milho 2ª safra'!$E27:$Z27,MIN(T$6-$G$3,22))),0)))))</f>
        <v>0</v>
      </c>
      <c r="U29" s="27" t="n">
        <f aca="false">IF(COUNT('Milho 2ª safra'!$E27:$Z27)=0,0,MAX(0,IF((U$6-$E$3)&lt;1,0,IFERROR(LOOKUP(2,1/('Milho 2ª safra'!$E27:INDEX('Milho 2ª safra'!$E27:$Z27,MIN(U$6-$E$3,22))&lt;&gt;""),'Milho 2ª safra'!$E27:INDEX('Milho 2ª safra'!$E27:$Z27,MIN(U$6-$E$3,22))),0))-IF($G$2,0,IF((U$6-$G$3)&lt;1,0,IFERROR(LOOKUP(2,1/('Milho 2ª safra'!$E27:INDEX('Milho 2ª safra'!$E27:$Z27,MIN(U$6-$G$3,22))&lt;&gt;""),'Milho 2ª safra'!$E27:INDEX('Milho 2ª safra'!$E27:$Z27,MIN(U$6-$G$3,22))),0)))))</f>
        <v>0</v>
      </c>
      <c r="V29" s="27" t="n">
        <f aca="false">IF(COUNT('Milho 2ª safra'!$E27:$Z27)=0,0,MAX(0,IF((V$6-$E$3)&lt;1,0,IFERROR(LOOKUP(2,1/('Milho 2ª safra'!$E27:INDEX('Milho 2ª safra'!$E27:$Z27,MIN(V$6-$E$3,22))&lt;&gt;""),'Milho 2ª safra'!$E27:INDEX('Milho 2ª safra'!$E27:$Z27,MIN(V$6-$E$3,22))),0))-IF($G$2,0,IF((V$6-$G$3)&lt;1,0,IFERROR(LOOKUP(2,1/('Milho 2ª safra'!$E27:INDEX('Milho 2ª safra'!$E27:$Z27,MIN(V$6-$G$3,22))&lt;&gt;""),'Milho 2ª safra'!$E27:INDEX('Milho 2ª safra'!$E27:$Z27,MIN(V$6-$G$3,22))),0)))))</f>
        <v>0</v>
      </c>
      <c r="W29" s="27" t="n">
        <f aca="false">IF(COUNT('Milho 2ª safra'!$E27:$Z27)=0,0,MAX(0,IF((W$6-$E$3)&lt;1,0,IFERROR(LOOKUP(2,1/('Milho 2ª safra'!$E27:INDEX('Milho 2ª safra'!$E27:$Z27,MIN(W$6-$E$3,22))&lt;&gt;""),'Milho 2ª safra'!$E27:INDEX('Milho 2ª safra'!$E27:$Z27,MIN(W$6-$E$3,22))),0))-IF($G$2,0,IF((W$6-$G$3)&lt;1,0,IFERROR(LOOKUP(2,1/('Milho 2ª safra'!$E27:INDEX('Milho 2ª safra'!$E27:$Z27,MIN(W$6-$G$3,22))&lt;&gt;""),'Milho 2ª safra'!$E27:INDEX('Milho 2ª safra'!$E27:$Z27,MIN(W$6-$G$3,22))),0)))))</f>
        <v>0</v>
      </c>
      <c r="X29" s="27" t="n">
        <f aca="false">IF(COUNT('Milho 2ª safra'!$E27:$Z27)=0,0,MAX(0,IF((X$6-$E$3)&lt;1,0,IFERROR(LOOKUP(2,1/('Milho 2ª safra'!$E27:INDEX('Milho 2ª safra'!$E27:$Z27,MIN(X$6-$E$3,22))&lt;&gt;""),'Milho 2ª safra'!$E27:INDEX('Milho 2ª safra'!$E27:$Z27,MIN(X$6-$E$3,22))),0))-IF($G$2,0,IF((X$6-$G$3)&lt;1,0,IFERROR(LOOKUP(2,1/('Milho 2ª safra'!$E27:INDEX('Milho 2ª safra'!$E27:$Z27,MIN(X$6-$G$3,22))&lt;&gt;""),'Milho 2ª safra'!$E27:INDEX('Milho 2ª safra'!$E27:$Z27,MIN(X$6-$G$3,22))),0)))))</f>
        <v>0</v>
      </c>
      <c r="Y29" s="27" t="n">
        <f aca="false">IF(COUNT('Milho 2ª safra'!$E27:$Z27)=0,0,MAX(0,IF((Y$6-$E$3)&lt;1,0,IFERROR(LOOKUP(2,1/('Milho 2ª safra'!$E27:INDEX('Milho 2ª safra'!$E27:$Z27,MIN(Y$6-$E$3,22))&lt;&gt;""),'Milho 2ª safra'!$E27:INDEX('Milho 2ª safra'!$E27:$Z27,MIN(Y$6-$E$3,22))),0))-IF($G$2,0,IF((Y$6-$G$3)&lt;1,0,IFERROR(LOOKUP(2,1/('Milho 2ª safra'!$E27:INDEX('Milho 2ª safra'!$E27:$Z27,MIN(Y$6-$G$3,22))&lt;&gt;""),'Milho 2ª safra'!$E27:INDEX('Milho 2ª safra'!$E27:$Z27,MIN(Y$6-$G$3,22))),0)))))</f>
        <v>0</v>
      </c>
      <c r="Z29" s="27" t="n">
        <f aca="false">IF(COUNT('Milho 2ª safra'!$E27:$Z27)=0,0,MAX(0,IF((Z$6-$E$3)&lt;1,0,IFERROR(LOOKUP(2,1/('Milho 2ª safra'!$E27:INDEX('Milho 2ª safra'!$E27:$Z27,MIN(Z$6-$E$3,22))&lt;&gt;""),'Milho 2ª safra'!$E27:INDEX('Milho 2ª safra'!$E27:$Z27,MIN(Z$6-$E$3,22))),0))-IF($G$2,0,IF((Z$6-$G$3)&lt;1,0,IFERROR(LOOKUP(2,1/('Milho 2ª safra'!$E27:INDEX('Milho 2ª safra'!$E27:$Z27,MIN(Z$6-$G$3,22))&lt;&gt;""),'Milho 2ª safra'!$E27:INDEX('Milho 2ª safra'!$E27:$Z27,MIN(Z$6-$G$3,22))),0)))))</f>
        <v>0</v>
      </c>
      <c r="AA29" s="27" t="n">
        <f aca="false">IF(COUNT('Milho 2ª safra'!$E27:$Z27)=0,0,MAX(0,IF((AA$6-$E$3)&lt;1,0,IFERROR(LOOKUP(2,1/('Milho 2ª safra'!$E27:INDEX('Milho 2ª safra'!$E27:$Z27,MIN(AA$6-$E$3,22))&lt;&gt;""),'Milho 2ª safra'!$E27:INDEX('Milho 2ª safra'!$E27:$Z27,MIN(AA$6-$E$3,22))),0))-IF($G$2,0,IF((AA$6-$G$3)&lt;1,0,IFERROR(LOOKUP(2,1/('Milho 2ª safra'!$E27:INDEX('Milho 2ª safra'!$E27:$Z27,MIN(AA$6-$G$3,22))&lt;&gt;""),'Milho 2ª safra'!$E27:INDEX('Milho 2ª safra'!$E27:$Z27,MIN(AA$6-$G$3,22))),0)))))</f>
        <v>0</v>
      </c>
      <c r="AB29" s="27" t="n">
        <f aca="false">IF(COUNT('Milho 2ª safra'!$E27:$Z27)=0,0,MAX(0,IF((AB$6-$E$3)&lt;1,0,IFERROR(LOOKUP(2,1/('Milho 2ª safra'!$E27:INDEX('Milho 2ª safra'!$E27:$Z27,MIN(AB$6-$E$3,22))&lt;&gt;""),'Milho 2ª safra'!$E27:INDEX('Milho 2ª safra'!$E27:$Z27,MIN(AB$6-$E$3,22))),0))-IF($G$2,0,IF((AB$6-$G$3)&lt;1,0,IFERROR(LOOKUP(2,1/('Milho 2ª safra'!$E27:INDEX('Milho 2ª safra'!$E27:$Z27,MIN(AB$6-$G$3,22))&lt;&gt;""),'Milho 2ª safra'!$E27:INDEX('Milho 2ª safra'!$E27:$Z27,MIN(AB$6-$G$3,22))),0)))))</f>
        <v>0</v>
      </c>
      <c r="AC29" s="27" t="n">
        <f aca="false">IF(COUNT('Milho 2ª safra'!$E27:$Z27)=0,0,MAX(0,IF((AC$6-$E$3)&lt;1,0,IFERROR(LOOKUP(2,1/('Milho 2ª safra'!$E27:INDEX('Milho 2ª safra'!$E27:$Z27,MIN(AC$6-$E$3,22))&lt;&gt;""),'Milho 2ª safra'!$E27:INDEX('Milho 2ª safra'!$E27:$Z27,MIN(AC$6-$E$3,22))),0))-IF($G$2,0,IF((AC$6-$G$3)&lt;1,0,IFERROR(LOOKUP(2,1/('Milho 2ª safra'!$E27:INDEX('Milho 2ª safra'!$E27:$Z27,MIN(AC$6-$G$3,22))&lt;&gt;""),'Milho 2ª safra'!$E27:INDEX('Milho 2ª safra'!$E27:$Z27,MIN(AC$6-$G$3,22))),0)))))</f>
        <v>0</v>
      </c>
      <c r="AD29" s="27" t="n">
        <f aca="false">IF(COUNT('Milho 2ª safra'!$E27:$Z27)=0,0,MAX(0,IF((AD$6-$E$3)&lt;1,0,IFERROR(LOOKUP(2,1/('Milho 2ª safra'!$E27:INDEX('Milho 2ª safra'!$E27:$Z27,MIN(AD$6-$E$3,22))&lt;&gt;""),'Milho 2ª safra'!$E27:INDEX('Milho 2ª safra'!$E27:$Z27,MIN(AD$6-$E$3,22))),0))-IF($G$2,0,IF((AD$6-$G$3)&lt;1,0,IFERROR(LOOKUP(2,1/('Milho 2ª safra'!$E27:INDEX('Milho 2ª safra'!$E27:$Z27,MIN(AD$6-$G$3,22))&lt;&gt;""),'Milho 2ª safra'!$E27:INDEX('Milho 2ª safra'!$E27:$Z27,MIN(AD$6-$G$3,22))),0)))))</f>
        <v>0</v>
      </c>
      <c r="AE29" s="27" t="n">
        <f aca="false">IF(COUNT('Milho 2ª safra'!$E27:$Z27)=0,0,MAX(0,IF((AE$6-$E$3)&lt;1,0,IFERROR(LOOKUP(2,1/('Milho 2ª safra'!$E27:INDEX('Milho 2ª safra'!$E27:$Z27,MIN(AE$6-$E$3,22))&lt;&gt;""),'Milho 2ª safra'!$E27:INDEX('Milho 2ª safra'!$E27:$Z27,MIN(AE$6-$E$3,22))),0))-IF($G$2,0,IF((AE$6-$G$3)&lt;1,0,IFERROR(LOOKUP(2,1/('Milho 2ª safra'!$E27:INDEX('Milho 2ª safra'!$E27:$Z27,MIN(AE$6-$G$3,22))&lt;&gt;""),'Milho 2ª safra'!$E27:INDEX('Milho 2ª safra'!$E27:$Z27,MIN(AE$6-$G$3,22))),0)))))</f>
        <v>0</v>
      </c>
      <c r="AF29" s="27" t="n">
        <f aca="false">IF(COUNT('Milho 2ª safra'!$E27:$Z27)=0,0,MAX(0,IF((AF$6-$E$3)&lt;1,0,IFERROR(LOOKUP(2,1/('Milho 2ª safra'!$E27:INDEX('Milho 2ª safra'!$E27:$Z27,MIN(AF$6-$E$3,22))&lt;&gt;""),'Milho 2ª safra'!$E27:INDEX('Milho 2ª safra'!$E27:$Z27,MIN(AF$6-$E$3,22))),0))-IF($G$2,0,IF((AF$6-$G$3)&lt;1,0,IFERROR(LOOKUP(2,1/('Milho 2ª safra'!$E27:INDEX('Milho 2ª safra'!$E27:$Z27,MIN(AF$6-$G$3,22))&lt;&gt;""),'Milho 2ª safra'!$E27:INDEX('Milho 2ª safra'!$E27:$Z27,MIN(AF$6-$G$3,22))),0)))))</f>
        <v>0</v>
      </c>
      <c r="AG29" s="27" t="n">
        <f aca="false">IF(COUNT('Milho 2ª safra'!$E27:$Z27)=0,0,MAX(0,IF((AG$6-$E$3)&lt;1,0,IFERROR(LOOKUP(2,1/('Milho 2ª safra'!$E27:INDEX('Milho 2ª safra'!$E27:$Z27,MIN(AG$6-$E$3,22))&lt;&gt;""),'Milho 2ª safra'!$E27:INDEX('Milho 2ª safra'!$E27:$Z27,MIN(AG$6-$E$3,22))),0))-IF($G$2,0,IF((AG$6-$G$3)&lt;1,0,IFERROR(LOOKUP(2,1/('Milho 2ª safra'!$E27:INDEX('Milho 2ª safra'!$E27:$Z27,MIN(AG$6-$G$3,22))&lt;&gt;""),'Milho 2ª safra'!$E27:INDEX('Milho 2ª safra'!$E27:$Z27,MIN(AG$6-$G$3,22))),0)))))</f>
        <v>0</v>
      </c>
      <c r="AH29" s="27" t="n">
        <f aca="false">IF(COUNT('Milho 2ª safra'!$E27:$Z27)=0,0,MAX(0,IF((AH$6-$E$3)&lt;1,0,IFERROR(LOOKUP(2,1/('Milho 2ª safra'!$E27:INDEX('Milho 2ª safra'!$E27:$Z27,MIN(AH$6-$E$3,22))&lt;&gt;""),'Milho 2ª safra'!$E27:INDEX('Milho 2ª safra'!$E27:$Z27,MIN(AH$6-$E$3,22))),0))-IF($G$2,0,IF((AH$6-$G$3)&lt;1,0,IFERROR(LOOKUP(2,1/('Milho 2ª safra'!$E27:INDEX('Milho 2ª safra'!$E27:$Z27,MIN(AH$6-$G$3,22))&lt;&gt;""),'Milho 2ª safra'!$E27:INDEX('Milho 2ª safra'!$E27:$Z27,MIN(AH$6-$G$3,22))),0)))))</f>
        <v>0</v>
      </c>
      <c r="AI29" s="27" t="n">
        <f aca="false">IF(COUNT('Milho 2ª safra'!$E27:$Z27)=0,0,MAX(0,IF((AI$6-$E$3)&lt;1,0,IFERROR(LOOKUP(2,1/('Milho 2ª safra'!$E27:INDEX('Milho 2ª safra'!$E27:$Z27,MIN(AI$6-$E$3,22))&lt;&gt;""),'Milho 2ª safra'!$E27:INDEX('Milho 2ª safra'!$E27:$Z27,MIN(AI$6-$E$3,22))),0))-IF($G$2,0,IF((AI$6-$G$3)&lt;1,0,IFERROR(LOOKUP(2,1/('Milho 2ª safra'!$E27:INDEX('Milho 2ª safra'!$E27:$Z27,MIN(AI$6-$G$3,22))&lt;&gt;""),'Milho 2ª safra'!$E27:INDEX('Milho 2ª safra'!$E27:$Z27,MIN(AI$6-$G$3,22))),0)))))</f>
        <v>0</v>
      </c>
      <c r="AJ29" s="27" t="n">
        <f aca="false">IF(COUNT('Milho 2ª safra'!$E27:$Z27)=0,0,MAX(0,IF((AJ$6-$E$3)&lt;1,0,IFERROR(LOOKUP(2,1/('Milho 2ª safra'!$E27:INDEX('Milho 2ª safra'!$E27:$Z27,MIN(AJ$6-$E$3,22))&lt;&gt;""),'Milho 2ª safra'!$E27:INDEX('Milho 2ª safra'!$E27:$Z27,MIN(AJ$6-$E$3,22))),0))-IF($G$2,0,IF((AJ$6-$G$3)&lt;1,0,IFERROR(LOOKUP(2,1/('Milho 2ª safra'!$E27:INDEX('Milho 2ª safra'!$E27:$Z27,MIN(AJ$6-$G$3,22))&lt;&gt;""),'Milho 2ª safra'!$E27:INDEX('Milho 2ª safra'!$E27:$Z27,MIN(AJ$6-$G$3,22))),0)))))</f>
        <v>0</v>
      </c>
      <c r="AK29" s="27" t="n">
        <f aca="false">IF(COUNT('Milho 2ª safra'!$E27:$Z27)=0,0,MAX(0,IF((AK$6-$E$3)&lt;1,0,IFERROR(LOOKUP(2,1/('Milho 2ª safra'!$E27:INDEX('Milho 2ª safra'!$E27:$Z27,MIN(AK$6-$E$3,22))&lt;&gt;""),'Milho 2ª safra'!$E27:INDEX('Milho 2ª safra'!$E27:$Z27,MIN(AK$6-$E$3,22))),0))-IF($G$2,0,IF((AK$6-$G$3)&lt;1,0,IFERROR(LOOKUP(2,1/('Milho 2ª safra'!$E27:INDEX('Milho 2ª safra'!$E27:$Z27,MIN(AK$6-$G$3,22))&lt;&gt;""),'Milho 2ª safra'!$E27:INDEX('Milho 2ª safra'!$E27:$Z27,MIN(AK$6-$G$3,22))),0)))))</f>
        <v>0</v>
      </c>
      <c r="AL29" s="27" t="n">
        <f aca="false">IF(COUNT('Milho 2ª safra'!$E27:$Z27)=0,0,MAX(0,IF((AL$6-$E$3)&lt;1,0,IFERROR(LOOKUP(2,1/('Milho 2ª safra'!$E27:INDEX('Milho 2ª safra'!$E27:$Z27,MIN(AL$6-$E$3,22))&lt;&gt;""),'Milho 2ª safra'!$E27:INDEX('Milho 2ª safra'!$E27:$Z27,MIN(AL$6-$E$3,22))),0))-IF($G$2,0,IF((AL$6-$G$3)&lt;1,0,IFERROR(LOOKUP(2,1/('Milho 2ª safra'!$E27:INDEX('Milho 2ª safra'!$E27:$Z27,MIN(AL$6-$G$3,22))&lt;&gt;""),'Milho 2ª safra'!$E27:INDEX('Milho 2ª safra'!$E27:$Z27,MIN(AL$6-$G$3,22))),0)))))</f>
        <v>0</v>
      </c>
      <c r="AM29" s="27" t="n">
        <f aca="false">IF(COUNT('Milho 2ª safra'!$E27:$Z27)=0,0,MAX(0,IF((AM$6-$E$3)&lt;1,0,IFERROR(LOOKUP(2,1/('Milho 2ª safra'!$E27:INDEX('Milho 2ª safra'!$E27:$Z27,MIN(AM$6-$E$3,22))&lt;&gt;""),'Milho 2ª safra'!$E27:INDEX('Milho 2ª safra'!$E27:$Z27,MIN(AM$6-$E$3,22))),0))-IF($G$2,0,IF((AM$6-$G$3)&lt;1,0,IFERROR(LOOKUP(2,1/('Milho 2ª safra'!$E27:INDEX('Milho 2ª safra'!$E27:$Z27,MIN(AM$6-$G$3,22))&lt;&gt;""),'Milho 2ª safra'!$E27:INDEX('Milho 2ª safra'!$E27:$Z27,MIN(AM$6-$G$3,22))),0)))))</f>
        <v>0</v>
      </c>
      <c r="AN29" s="27" t="n">
        <f aca="false">IF(COUNT('Milho 2ª safra'!$E27:$Z27)=0,0,MAX(0,IF((AN$6-$E$3)&lt;1,0,IFERROR(LOOKUP(2,1/('Milho 2ª safra'!$E27:INDEX('Milho 2ª safra'!$E27:$Z27,MIN(AN$6-$E$3,22))&lt;&gt;""),'Milho 2ª safra'!$E27:INDEX('Milho 2ª safra'!$E27:$Z27,MIN(AN$6-$E$3,22))),0))-IF($G$2,0,IF((AN$6-$G$3)&lt;1,0,IFERROR(LOOKUP(2,1/('Milho 2ª safra'!$E27:INDEX('Milho 2ª safra'!$E27:$Z27,MIN(AN$6-$G$3,22))&lt;&gt;""),'Milho 2ª safra'!$E27:INDEX('Milho 2ª safra'!$E27:$Z27,MIN(AN$6-$G$3,22))),0)))))</f>
        <v>0</v>
      </c>
      <c r="AO29" s="27" t="n">
        <f aca="false">IF(COUNT('Milho 2ª safra'!$E27:$Z27)=0,0,MAX(0,IF((AO$6-$E$3)&lt;1,0,IFERROR(LOOKUP(2,1/('Milho 2ª safra'!$E27:INDEX('Milho 2ª safra'!$E27:$Z27,MIN(AO$6-$E$3,22))&lt;&gt;""),'Milho 2ª safra'!$E27:INDEX('Milho 2ª safra'!$E27:$Z27,MIN(AO$6-$E$3,22))),0))-IF($G$2,0,IF((AO$6-$G$3)&lt;1,0,IFERROR(LOOKUP(2,1/('Milho 2ª safra'!$E27:INDEX('Milho 2ª safra'!$E27:$Z27,MIN(AO$6-$G$3,22))&lt;&gt;""),'Milho 2ª safra'!$E27:INDEX('Milho 2ª safra'!$E27:$Z27,MIN(AO$6-$G$3,22))),0)))))</f>
        <v>0</v>
      </c>
      <c r="AP29" s="27" t="n">
        <f aca="false">IF(COUNT('Milho 2ª safra'!$E27:$Z27)=0,0,MAX(0,IF((AP$6-$E$3)&lt;1,0,IFERROR(LOOKUP(2,1/('Milho 2ª safra'!$E27:INDEX('Milho 2ª safra'!$E27:$Z27,MIN(AP$6-$E$3,22))&lt;&gt;""),'Milho 2ª safra'!$E27:INDEX('Milho 2ª safra'!$E27:$Z27,MIN(AP$6-$E$3,22))),0))-IF($G$2,0,IF((AP$6-$G$3)&lt;1,0,IFERROR(LOOKUP(2,1/('Milho 2ª safra'!$E27:INDEX('Milho 2ª safra'!$E27:$Z27,MIN(AP$6-$G$3,22))&lt;&gt;""),'Milho 2ª safra'!$E27:INDEX('Milho 2ª safra'!$E27:$Z27,MIN(AP$6-$G$3,22))),0)))))</f>
        <v>0</v>
      </c>
      <c r="AQ29" s="27" t="n">
        <f aca="false">IF(COUNT('Milho 2ª safra'!$E27:$Z27)=0,0,MAX(0,IF((AQ$6-$E$3)&lt;1,0,IFERROR(LOOKUP(2,1/('Milho 2ª safra'!$E27:INDEX('Milho 2ª safra'!$E27:$Z27,MIN(AQ$6-$E$3,22))&lt;&gt;""),'Milho 2ª safra'!$E27:INDEX('Milho 2ª safra'!$E27:$Z27,MIN(AQ$6-$E$3,22))),0))-IF($G$2,0,IF((AQ$6-$G$3)&lt;1,0,IFERROR(LOOKUP(2,1/('Milho 2ª safra'!$E27:INDEX('Milho 2ª safra'!$E27:$Z27,MIN(AQ$6-$G$3,22))&lt;&gt;""),'Milho 2ª safra'!$E27:INDEX('Milho 2ª safra'!$E27:$Z27,MIN(AQ$6-$G$3,22))),0)))))</f>
        <v>0</v>
      </c>
      <c r="AR29" s="27" t="n">
        <f aca="false">IF(COUNT('Milho 2ª safra'!$E27:$Z27)=0,0,MAX(0,IF((AR$6-$E$3)&lt;1,0,IFERROR(LOOKUP(2,1/('Milho 2ª safra'!$E27:INDEX('Milho 2ª safra'!$E27:$Z27,MIN(AR$6-$E$3,22))&lt;&gt;""),'Milho 2ª safra'!$E27:INDEX('Milho 2ª safra'!$E27:$Z27,MIN(AR$6-$E$3,22))),0))-IF($G$2,0,IF((AR$6-$G$3)&lt;1,0,IFERROR(LOOKUP(2,1/('Milho 2ª safra'!$E27:INDEX('Milho 2ª safra'!$E27:$Z27,MIN(AR$6-$G$3,22))&lt;&gt;""),'Milho 2ª safra'!$E27:INDEX('Milho 2ª safra'!$E27:$Z27,MIN(AR$6-$G$3,22))),0)))))</f>
        <v>0</v>
      </c>
      <c r="AS29" s="27" t="n">
        <f aca="false">IF(COUNT('Milho 2ª safra'!$E27:$Z27)=0,0,MAX(0,IF((AS$6-$E$3)&lt;1,0,IFERROR(LOOKUP(2,1/('Milho 2ª safra'!$E27:INDEX('Milho 2ª safra'!$E27:$Z27,MIN(AS$6-$E$3,22))&lt;&gt;""),'Milho 2ª safra'!$E27:INDEX('Milho 2ª safra'!$E27:$Z27,MIN(AS$6-$E$3,22))),0))-IF($G$2,0,IF((AS$6-$G$3)&lt;1,0,IFERROR(LOOKUP(2,1/('Milho 2ª safra'!$E27:INDEX('Milho 2ª safra'!$E27:$Z27,MIN(AS$6-$G$3,22))&lt;&gt;""),'Milho 2ª safra'!$E27:INDEX('Milho 2ª safra'!$E27:$Z27,MIN(AS$6-$G$3,22))),0)))))</f>
        <v>0</v>
      </c>
      <c r="AT29" s="27" t="n">
        <f aca="false">IF(COUNT('Milho 2ª safra'!$E27:$Z27)=0,0,MAX(0,IF((AT$6-$E$3)&lt;1,0,IFERROR(LOOKUP(2,1/('Milho 2ª safra'!$E27:INDEX('Milho 2ª safra'!$E27:$Z27,MIN(AT$6-$E$3,22))&lt;&gt;""),'Milho 2ª safra'!$E27:INDEX('Milho 2ª safra'!$E27:$Z27,MIN(AT$6-$E$3,22))),0))-IF($G$2,0,IF((AT$6-$G$3)&lt;1,0,IFERROR(LOOKUP(2,1/('Milho 2ª safra'!$E27:INDEX('Milho 2ª safra'!$E27:$Z27,MIN(AT$6-$G$3,22))&lt;&gt;""),'Milho 2ª safra'!$E27:INDEX('Milho 2ª safra'!$E27:$Z27,MIN(AT$6-$G$3,22))),0)))))</f>
        <v>0</v>
      </c>
      <c r="AU29" s="27" t="n">
        <f aca="false">IF(COUNT('Milho 2ª safra'!$E27:$Z27)=0,0,MAX(0,IF((AU$6-$E$3)&lt;1,0,IFERROR(LOOKUP(2,1/('Milho 2ª safra'!$E27:INDEX('Milho 2ª safra'!$E27:$Z27,MIN(AU$6-$E$3,22))&lt;&gt;""),'Milho 2ª safra'!$E27:INDEX('Milho 2ª safra'!$E27:$Z27,MIN(AU$6-$E$3,22))),0))-IF($G$2,0,IF((AU$6-$G$3)&lt;1,0,IFERROR(LOOKUP(2,1/('Milho 2ª safra'!$E27:INDEX('Milho 2ª safra'!$E27:$Z27,MIN(AU$6-$G$3,22))&lt;&gt;""),'Milho 2ª safra'!$E27:INDEX('Milho 2ª safra'!$E27:$Z27,MIN(AU$6-$G$3,22))),0)))))</f>
        <v>0</v>
      </c>
      <c r="AV29" s="27" t="n">
        <f aca="false">IF(COUNT('Milho 2ª safra'!$E27:$Z27)=0,0,MAX(0,IF((AV$6-$E$3)&lt;1,0,IFERROR(LOOKUP(2,1/('Milho 2ª safra'!$E27:INDEX('Milho 2ª safra'!$E27:$Z27,MIN(AV$6-$E$3,22))&lt;&gt;""),'Milho 2ª safra'!$E27:INDEX('Milho 2ª safra'!$E27:$Z27,MIN(AV$6-$E$3,22))),0))-IF($G$2,0,IF((AV$6-$G$3)&lt;1,0,IFERROR(LOOKUP(2,1/('Milho 2ª safra'!$E27:INDEX('Milho 2ª safra'!$E27:$Z27,MIN(AV$6-$G$3,22))&lt;&gt;""),'Milho 2ª safra'!$E27:INDEX('Milho 2ª safra'!$E27:$Z27,MIN(AV$6-$G$3,22))),0)))))</f>
        <v>0</v>
      </c>
      <c r="AW29" s="27" t="n">
        <f aca="false">IF(COUNT('Milho 2ª safra'!$E27:$Z27)=0,0,MAX(0,IF((AW$6-$E$3)&lt;1,0,IFERROR(LOOKUP(2,1/('Milho 2ª safra'!$E27:INDEX('Milho 2ª safra'!$E27:$Z27,MIN(AW$6-$E$3,22))&lt;&gt;""),'Milho 2ª safra'!$E27:INDEX('Milho 2ª safra'!$E27:$Z27,MIN(AW$6-$E$3,22))),0))-IF($G$2,0,IF((AW$6-$G$3)&lt;1,0,IFERROR(LOOKUP(2,1/('Milho 2ª safra'!$E27:INDEX('Milho 2ª safra'!$E27:$Z27,MIN(AW$6-$G$3,22))&lt;&gt;""),'Milho 2ª safra'!$E27:INDEX('Milho 2ª safra'!$E27:$Z27,MIN(AW$6-$G$3,22))),0)))))</f>
        <v>0</v>
      </c>
      <c r="AX29" s="27" t="n">
        <f aca="false">IF(COUNT('Milho 2ª safra'!$E27:$Z27)=0,0,MAX(0,IF((AX$6-$E$3)&lt;1,0,IFERROR(LOOKUP(2,1/('Milho 2ª safra'!$E27:INDEX('Milho 2ª safra'!$E27:$Z27,MIN(AX$6-$E$3,22))&lt;&gt;""),'Milho 2ª safra'!$E27:INDEX('Milho 2ª safra'!$E27:$Z27,MIN(AX$6-$E$3,22))),0))-IF($G$2,0,IF((AX$6-$G$3)&lt;1,0,IFERROR(LOOKUP(2,1/('Milho 2ª safra'!$E27:INDEX('Milho 2ª safra'!$E27:$Z27,MIN(AX$6-$G$3,22))&lt;&gt;""),'Milho 2ª safra'!$E27:INDEX('Milho 2ª safra'!$E27:$Z27,MIN(AX$6-$G$3,22))),0)))))</f>
        <v>0</v>
      </c>
      <c r="AY29" s="27" t="n">
        <f aca="false">IF(COUNT('Milho 2ª safra'!$E27:$Z27)=0,0,MAX(0,IF((AY$6-$E$3)&lt;1,0,IFERROR(LOOKUP(2,1/('Milho 2ª safra'!$E27:INDEX('Milho 2ª safra'!$E27:$Z27,MIN(AY$6-$E$3,22))&lt;&gt;""),'Milho 2ª safra'!$E27:INDEX('Milho 2ª safra'!$E27:$Z27,MIN(AY$6-$E$3,22))),0))-IF($G$2,0,IF((AY$6-$G$3)&lt;1,0,IFERROR(LOOKUP(2,1/('Milho 2ª safra'!$E27:INDEX('Milho 2ª safra'!$E27:$Z27,MIN(AY$6-$G$3,22))&lt;&gt;""),'Milho 2ª safra'!$E27:INDEX('Milho 2ª safra'!$E27:$Z27,MIN(AY$6-$G$3,22))),0)))))</f>
        <v>0</v>
      </c>
      <c r="AZ29" s="27" t="n">
        <f aca="false">IF(COUNT('Milho 2ª safra'!$E27:$Z27)=0,0,MAX(0,IF((AZ$6-$E$3)&lt;1,0,IFERROR(LOOKUP(2,1/('Milho 2ª safra'!$E27:INDEX('Milho 2ª safra'!$E27:$Z27,MIN(AZ$6-$E$3,22))&lt;&gt;""),'Milho 2ª safra'!$E27:INDEX('Milho 2ª safra'!$E27:$Z27,MIN(AZ$6-$E$3,22))),0))-IF($G$2,0,IF((AZ$6-$G$3)&lt;1,0,IFERROR(LOOKUP(2,1/('Milho 2ª safra'!$E27:INDEX('Milho 2ª safra'!$E27:$Z27,MIN(AZ$6-$G$3,22))&lt;&gt;""),'Milho 2ª safra'!$E27:INDEX('Milho 2ª safra'!$E27:$Z27,MIN(AZ$6-$G$3,22))),0)))))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IF(COUNT('Milho 2ª safra'!$E28:$Z28)&gt;0,N('Milho 2ª safra'!$D28),0)</f>
        <v>0</v>
      </c>
      <c r="E30" s="27" t="n">
        <f aca="false">IF(COUNT('Milho 2ª safra'!$E28:$Z28)=0,0,MAX(0,IF((E$6-$E$3)&lt;1,0,IFERROR(LOOKUP(2,1/('Milho 2ª safra'!$E28:INDEX('Milho 2ª safra'!$E28:$Z28,MIN(E$6-$E$3,22))&lt;&gt;""),'Milho 2ª safra'!$E28:INDEX('Milho 2ª safra'!$E28:$Z28,MIN(E$6-$E$3,22))),0))-IF($G$2,0,IF((E$6-$G$3)&lt;1,0,IFERROR(LOOKUP(2,1/('Milho 2ª safra'!$E28:INDEX('Milho 2ª safra'!$E28:$Z28,MIN(E$6-$G$3,22))&lt;&gt;""),'Milho 2ª safra'!$E28:INDEX('Milho 2ª safra'!$E28:$Z28,MIN(E$6-$G$3,22))),0)))))</f>
        <v>0</v>
      </c>
      <c r="F30" s="27" t="n">
        <f aca="false">IF(COUNT('Milho 2ª safra'!$E28:$Z28)=0,0,MAX(0,IF((F$6-$E$3)&lt;1,0,IFERROR(LOOKUP(2,1/('Milho 2ª safra'!$E28:INDEX('Milho 2ª safra'!$E28:$Z28,MIN(F$6-$E$3,22))&lt;&gt;""),'Milho 2ª safra'!$E28:INDEX('Milho 2ª safra'!$E28:$Z28,MIN(F$6-$E$3,22))),0))-IF($G$2,0,IF((F$6-$G$3)&lt;1,0,IFERROR(LOOKUP(2,1/('Milho 2ª safra'!$E28:INDEX('Milho 2ª safra'!$E28:$Z28,MIN(F$6-$G$3,22))&lt;&gt;""),'Milho 2ª safra'!$E28:INDEX('Milho 2ª safra'!$E28:$Z28,MIN(F$6-$G$3,22))),0)))))</f>
        <v>0</v>
      </c>
      <c r="G30" s="27" t="n">
        <f aca="false">IF(COUNT('Milho 2ª safra'!$E28:$Z28)=0,0,MAX(0,IF((G$6-$E$3)&lt;1,0,IFERROR(LOOKUP(2,1/('Milho 2ª safra'!$E28:INDEX('Milho 2ª safra'!$E28:$Z28,MIN(G$6-$E$3,22))&lt;&gt;""),'Milho 2ª safra'!$E28:INDEX('Milho 2ª safra'!$E28:$Z28,MIN(G$6-$E$3,22))),0))-IF($G$2,0,IF((G$6-$G$3)&lt;1,0,IFERROR(LOOKUP(2,1/('Milho 2ª safra'!$E28:INDEX('Milho 2ª safra'!$E28:$Z28,MIN(G$6-$G$3,22))&lt;&gt;""),'Milho 2ª safra'!$E28:INDEX('Milho 2ª safra'!$E28:$Z28,MIN(G$6-$G$3,22))),0)))))</f>
        <v>0</v>
      </c>
      <c r="H30" s="27" t="n">
        <f aca="false">IF(COUNT('Milho 2ª safra'!$E28:$Z28)=0,0,MAX(0,IF((H$6-$E$3)&lt;1,0,IFERROR(LOOKUP(2,1/('Milho 2ª safra'!$E28:INDEX('Milho 2ª safra'!$E28:$Z28,MIN(H$6-$E$3,22))&lt;&gt;""),'Milho 2ª safra'!$E28:INDEX('Milho 2ª safra'!$E28:$Z28,MIN(H$6-$E$3,22))),0))-IF($G$2,0,IF((H$6-$G$3)&lt;1,0,IFERROR(LOOKUP(2,1/('Milho 2ª safra'!$E28:INDEX('Milho 2ª safra'!$E28:$Z28,MIN(H$6-$G$3,22))&lt;&gt;""),'Milho 2ª safra'!$E28:INDEX('Milho 2ª safra'!$E28:$Z28,MIN(H$6-$G$3,22))),0)))))</f>
        <v>0</v>
      </c>
      <c r="I30" s="27" t="n">
        <f aca="false">IF(COUNT('Milho 2ª safra'!$E28:$Z28)=0,0,MAX(0,IF((I$6-$E$3)&lt;1,0,IFERROR(LOOKUP(2,1/('Milho 2ª safra'!$E28:INDEX('Milho 2ª safra'!$E28:$Z28,MIN(I$6-$E$3,22))&lt;&gt;""),'Milho 2ª safra'!$E28:INDEX('Milho 2ª safra'!$E28:$Z28,MIN(I$6-$E$3,22))),0))-IF($G$2,0,IF((I$6-$G$3)&lt;1,0,IFERROR(LOOKUP(2,1/('Milho 2ª safra'!$E28:INDEX('Milho 2ª safra'!$E28:$Z28,MIN(I$6-$G$3,22))&lt;&gt;""),'Milho 2ª safra'!$E28:INDEX('Milho 2ª safra'!$E28:$Z28,MIN(I$6-$G$3,22))),0)))))</f>
        <v>0</v>
      </c>
      <c r="J30" s="27" t="n">
        <f aca="false">IF(COUNT('Milho 2ª safra'!$E28:$Z28)=0,0,MAX(0,IF((J$6-$E$3)&lt;1,0,IFERROR(LOOKUP(2,1/('Milho 2ª safra'!$E28:INDEX('Milho 2ª safra'!$E28:$Z28,MIN(J$6-$E$3,22))&lt;&gt;""),'Milho 2ª safra'!$E28:INDEX('Milho 2ª safra'!$E28:$Z28,MIN(J$6-$E$3,22))),0))-IF($G$2,0,IF((J$6-$G$3)&lt;1,0,IFERROR(LOOKUP(2,1/('Milho 2ª safra'!$E28:INDEX('Milho 2ª safra'!$E28:$Z28,MIN(J$6-$G$3,22))&lt;&gt;""),'Milho 2ª safra'!$E28:INDEX('Milho 2ª safra'!$E28:$Z28,MIN(J$6-$G$3,22))),0)))))</f>
        <v>0</v>
      </c>
      <c r="K30" s="27" t="n">
        <f aca="false">IF(COUNT('Milho 2ª safra'!$E28:$Z28)=0,0,MAX(0,IF((K$6-$E$3)&lt;1,0,IFERROR(LOOKUP(2,1/('Milho 2ª safra'!$E28:INDEX('Milho 2ª safra'!$E28:$Z28,MIN(K$6-$E$3,22))&lt;&gt;""),'Milho 2ª safra'!$E28:INDEX('Milho 2ª safra'!$E28:$Z28,MIN(K$6-$E$3,22))),0))-IF($G$2,0,IF((K$6-$G$3)&lt;1,0,IFERROR(LOOKUP(2,1/('Milho 2ª safra'!$E28:INDEX('Milho 2ª safra'!$E28:$Z28,MIN(K$6-$G$3,22))&lt;&gt;""),'Milho 2ª safra'!$E28:INDEX('Milho 2ª safra'!$E28:$Z28,MIN(K$6-$G$3,22))),0)))))</f>
        <v>0</v>
      </c>
      <c r="L30" s="27" t="n">
        <f aca="false">IF(COUNT('Milho 2ª safra'!$E28:$Z28)=0,0,MAX(0,IF((L$6-$E$3)&lt;1,0,IFERROR(LOOKUP(2,1/('Milho 2ª safra'!$E28:INDEX('Milho 2ª safra'!$E28:$Z28,MIN(L$6-$E$3,22))&lt;&gt;""),'Milho 2ª safra'!$E28:INDEX('Milho 2ª safra'!$E28:$Z28,MIN(L$6-$E$3,22))),0))-IF($G$2,0,IF((L$6-$G$3)&lt;1,0,IFERROR(LOOKUP(2,1/('Milho 2ª safra'!$E28:INDEX('Milho 2ª safra'!$E28:$Z28,MIN(L$6-$G$3,22))&lt;&gt;""),'Milho 2ª safra'!$E28:INDEX('Milho 2ª safra'!$E28:$Z28,MIN(L$6-$G$3,22))),0)))))</f>
        <v>0</v>
      </c>
      <c r="M30" s="27" t="n">
        <f aca="false">IF(COUNT('Milho 2ª safra'!$E28:$Z28)=0,0,MAX(0,IF((M$6-$E$3)&lt;1,0,IFERROR(LOOKUP(2,1/('Milho 2ª safra'!$E28:INDEX('Milho 2ª safra'!$E28:$Z28,MIN(M$6-$E$3,22))&lt;&gt;""),'Milho 2ª safra'!$E28:INDEX('Milho 2ª safra'!$E28:$Z28,MIN(M$6-$E$3,22))),0))-IF($G$2,0,IF((M$6-$G$3)&lt;1,0,IFERROR(LOOKUP(2,1/('Milho 2ª safra'!$E28:INDEX('Milho 2ª safra'!$E28:$Z28,MIN(M$6-$G$3,22))&lt;&gt;""),'Milho 2ª safra'!$E28:INDEX('Milho 2ª safra'!$E28:$Z28,MIN(M$6-$G$3,22))),0)))))</f>
        <v>0</v>
      </c>
      <c r="N30" s="27" t="n">
        <f aca="false">IF(COUNT('Milho 2ª safra'!$E28:$Z28)=0,0,MAX(0,IF((N$6-$E$3)&lt;1,0,IFERROR(LOOKUP(2,1/('Milho 2ª safra'!$E28:INDEX('Milho 2ª safra'!$E28:$Z28,MIN(N$6-$E$3,22))&lt;&gt;""),'Milho 2ª safra'!$E28:INDEX('Milho 2ª safra'!$E28:$Z28,MIN(N$6-$E$3,22))),0))-IF($G$2,0,IF((N$6-$G$3)&lt;1,0,IFERROR(LOOKUP(2,1/('Milho 2ª safra'!$E28:INDEX('Milho 2ª safra'!$E28:$Z28,MIN(N$6-$G$3,22))&lt;&gt;""),'Milho 2ª safra'!$E28:INDEX('Milho 2ª safra'!$E28:$Z28,MIN(N$6-$G$3,22))),0)))))</f>
        <v>0</v>
      </c>
      <c r="O30" s="27" t="n">
        <f aca="false">IF(COUNT('Milho 2ª safra'!$E28:$Z28)=0,0,MAX(0,IF((O$6-$E$3)&lt;1,0,IFERROR(LOOKUP(2,1/('Milho 2ª safra'!$E28:INDEX('Milho 2ª safra'!$E28:$Z28,MIN(O$6-$E$3,22))&lt;&gt;""),'Milho 2ª safra'!$E28:INDEX('Milho 2ª safra'!$E28:$Z28,MIN(O$6-$E$3,22))),0))-IF($G$2,0,IF((O$6-$G$3)&lt;1,0,IFERROR(LOOKUP(2,1/('Milho 2ª safra'!$E28:INDEX('Milho 2ª safra'!$E28:$Z28,MIN(O$6-$G$3,22))&lt;&gt;""),'Milho 2ª safra'!$E28:INDEX('Milho 2ª safra'!$E28:$Z28,MIN(O$6-$G$3,22))),0)))))</f>
        <v>0</v>
      </c>
      <c r="P30" s="27" t="n">
        <f aca="false">IF(COUNT('Milho 2ª safra'!$E28:$Z28)=0,0,MAX(0,IF((P$6-$E$3)&lt;1,0,IFERROR(LOOKUP(2,1/('Milho 2ª safra'!$E28:INDEX('Milho 2ª safra'!$E28:$Z28,MIN(P$6-$E$3,22))&lt;&gt;""),'Milho 2ª safra'!$E28:INDEX('Milho 2ª safra'!$E28:$Z28,MIN(P$6-$E$3,22))),0))-IF($G$2,0,IF((P$6-$G$3)&lt;1,0,IFERROR(LOOKUP(2,1/('Milho 2ª safra'!$E28:INDEX('Milho 2ª safra'!$E28:$Z28,MIN(P$6-$G$3,22))&lt;&gt;""),'Milho 2ª safra'!$E28:INDEX('Milho 2ª safra'!$E28:$Z28,MIN(P$6-$G$3,22))),0)))))</f>
        <v>0</v>
      </c>
      <c r="Q30" s="27" t="n">
        <f aca="false">IF(COUNT('Milho 2ª safra'!$E28:$Z28)=0,0,MAX(0,IF((Q$6-$E$3)&lt;1,0,IFERROR(LOOKUP(2,1/('Milho 2ª safra'!$E28:INDEX('Milho 2ª safra'!$E28:$Z28,MIN(Q$6-$E$3,22))&lt;&gt;""),'Milho 2ª safra'!$E28:INDEX('Milho 2ª safra'!$E28:$Z28,MIN(Q$6-$E$3,22))),0))-IF($G$2,0,IF((Q$6-$G$3)&lt;1,0,IFERROR(LOOKUP(2,1/('Milho 2ª safra'!$E28:INDEX('Milho 2ª safra'!$E28:$Z28,MIN(Q$6-$G$3,22))&lt;&gt;""),'Milho 2ª safra'!$E28:INDEX('Milho 2ª safra'!$E28:$Z28,MIN(Q$6-$G$3,22))),0)))))</f>
        <v>0</v>
      </c>
      <c r="R30" s="27" t="n">
        <f aca="false">IF(COUNT('Milho 2ª safra'!$E28:$Z28)=0,0,MAX(0,IF((R$6-$E$3)&lt;1,0,IFERROR(LOOKUP(2,1/('Milho 2ª safra'!$E28:INDEX('Milho 2ª safra'!$E28:$Z28,MIN(R$6-$E$3,22))&lt;&gt;""),'Milho 2ª safra'!$E28:INDEX('Milho 2ª safra'!$E28:$Z28,MIN(R$6-$E$3,22))),0))-IF($G$2,0,IF((R$6-$G$3)&lt;1,0,IFERROR(LOOKUP(2,1/('Milho 2ª safra'!$E28:INDEX('Milho 2ª safra'!$E28:$Z28,MIN(R$6-$G$3,22))&lt;&gt;""),'Milho 2ª safra'!$E28:INDEX('Milho 2ª safra'!$E28:$Z28,MIN(R$6-$G$3,22))),0)))))</f>
        <v>0</v>
      </c>
      <c r="S30" s="27" t="n">
        <f aca="false">IF(COUNT('Milho 2ª safra'!$E28:$Z28)=0,0,MAX(0,IF((S$6-$E$3)&lt;1,0,IFERROR(LOOKUP(2,1/('Milho 2ª safra'!$E28:INDEX('Milho 2ª safra'!$E28:$Z28,MIN(S$6-$E$3,22))&lt;&gt;""),'Milho 2ª safra'!$E28:INDEX('Milho 2ª safra'!$E28:$Z28,MIN(S$6-$E$3,22))),0))-IF($G$2,0,IF((S$6-$G$3)&lt;1,0,IFERROR(LOOKUP(2,1/('Milho 2ª safra'!$E28:INDEX('Milho 2ª safra'!$E28:$Z28,MIN(S$6-$G$3,22))&lt;&gt;""),'Milho 2ª safra'!$E28:INDEX('Milho 2ª safra'!$E28:$Z28,MIN(S$6-$G$3,22))),0)))))</f>
        <v>0</v>
      </c>
      <c r="T30" s="27" t="n">
        <f aca="false">IF(COUNT('Milho 2ª safra'!$E28:$Z28)=0,0,MAX(0,IF((T$6-$E$3)&lt;1,0,IFERROR(LOOKUP(2,1/('Milho 2ª safra'!$E28:INDEX('Milho 2ª safra'!$E28:$Z28,MIN(T$6-$E$3,22))&lt;&gt;""),'Milho 2ª safra'!$E28:INDEX('Milho 2ª safra'!$E28:$Z28,MIN(T$6-$E$3,22))),0))-IF($G$2,0,IF((T$6-$G$3)&lt;1,0,IFERROR(LOOKUP(2,1/('Milho 2ª safra'!$E28:INDEX('Milho 2ª safra'!$E28:$Z28,MIN(T$6-$G$3,22))&lt;&gt;""),'Milho 2ª safra'!$E28:INDEX('Milho 2ª safra'!$E28:$Z28,MIN(T$6-$G$3,22))),0)))))</f>
        <v>0</v>
      </c>
      <c r="U30" s="27" t="n">
        <f aca="false">IF(COUNT('Milho 2ª safra'!$E28:$Z28)=0,0,MAX(0,IF((U$6-$E$3)&lt;1,0,IFERROR(LOOKUP(2,1/('Milho 2ª safra'!$E28:INDEX('Milho 2ª safra'!$E28:$Z28,MIN(U$6-$E$3,22))&lt;&gt;""),'Milho 2ª safra'!$E28:INDEX('Milho 2ª safra'!$E28:$Z28,MIN(U$6-$E$3,22))),0))-IF($G$2,0,IF((U$6-$G$3)&lt;1,0,IFERROR(LOOKUP(2,1/('Milho 2ª safra'!$E28:INDEX('Milho 2ª safra'!$E28:$Z28,MIN(U$6-$G$3,22))&lt;&gt;""),'Milho 2ª safra'!$E28:INDEX('Milho 2ª safra'!$E28:$Z28,MIN(U$6-$G$3,22))),0)))))</f>
        <v>0</v>
      </c>
      <c r="V30" s="27" t="n">
        <f aca="false">IF(COUNT('Milho 2ª safra'!$E28:$Z28)=0,0,MAX(0,IF((V$6-$E$3)&lt;1,0,IFERROR(LOOKUP(2,1/('Milho 2ª safra'!$E28:INDEX('Milho 2ª safra'!$E28:$Z28,MIN(V$6-$E$3,22))&lt;&gt;""),'Milho 2ª safra'!$E28:INDEX('Milho 2ª safra'!$E28:$Z28,MIN(V$6-$E$3,22))),0))-IF($G$2,0,IF((V$6-$G$3)&lt;1,0,IFERROR(LOOKUP(2,1/('Milho 2ª safra'!$E28:INDEX('Milho 2ª safra'!$E28:$Z28,MIN(V$6-$G$3,22))&lt;&gt;""),'Milho 2ª safra'!$E28:INDEX('Milho 2ª safra'!$E28:$Z28,MIN(V$6-$G$3,22))),0)))))</f>
        <v>0</v>
      </c>
      <c r="W30" s="27" t="n">
        <f aca="false">IF(COUNT('Milho 2ª safra'!$E28:$Z28)=0,0,MAX(0,IF((W$6-$E$3)&lt;1,0,IFERROR(LOOKUP(2,1/('Milho 2ª safra'!$E28:INDEX('Milho 2ª safra'!$E28:$Z28,MIN(W$6-$E$3,22))&lt;&gt;""),'Milho 2ª safra'!$E28:INDEX('Milho 2ª safra'!$E28:$Z28,MIN(W$6-$E$3,22))),0))-IF($G$2,0,IF((W$6-$G$3)&lt;1,0,IFERROR(LOOKUP(2,1/('Milho 2ª safra'!$E28:INDEX('Milho 2ª safra'!$E28:$Z28,MIN(W$6-$G$3,22))&lt;&gt;""),'Milho 2ª safra'!$E28:INDEX('Milho 2ª safra'!$E28:$Z28,MIN(W$6-$G$3,22))),0)))))</f>
        <v>0</v>
      </c>
      <c r="X30" s="27" t="n">
        <f aca="false">IF(COUNT('Milho 2ª safra'!$E28:$Z28)=0,0,MAX(0,IF((X$6-$E$3)&lt;1,0,IFERROR(LOOKUP(2,1/('Milho 2ª safra'!$E28:INDEX('Milho 2ª safra'!$E28:$Z28,MIN(X$6-$E$3,22))&lt;&gt;""),'Milho 2ª safra'!$E28:INDEX('Milho 2ª safra'!$E28:$Z28,MIN(X$6-$E$3,22))),0))-IF($G$2,0,IF((X$6-$G$3)&lt;1,0,IFERROR(LOOKUP(2,1/('Milho 2ª safra'!$E28:INDEX('Milho 2ª safra'!$E28:$Z28,MIN(X$6-$G$3,22))&lt;&gt;""),'Milho 2ª safra'!$E28:INDEX('Milho 2ª safra'!$E28:$Z28,MIN(X$6-$G$3,22))),0)))))</f>
        <v>0</v>
      </c>
      <c r="Y30" s="27" t="n">
        <f aca="false">IF(COUNT('Milho 2ª safra'!$E28:$Z28)=0,0,MAX(0,IF((Y$6-$E$3)&lt;1,0,IFERROR(LOOKUP(2,1/('Milho 2ª safra'!$E28:INDEX('Milho 2ª safra'!$E28:$Z28,MIN(Y$6-$E$3,22))&lt;&gt;""),'Milho 2ª safra'!$E28:INDEX('Milho 2ª safra'!$E28:$Z28,MIN(Y$6-$E$3,22))),0))-IF($G$2,0,IF((Y$6-$G$3)&lt;1,0,IFERROR(LOOKUP(2,1/('Milho 2ª safra'!$E28:INDEX('Milho 2ª safra'!$E28:$Z28,MIN(Y$6-$G$3,22))&lt;&gt;""),'Milho 2ª safra'!$E28:INDEX('Milho 2ª safra'!$E28:$Z28,MIN(Y$6-$G$3,22))),0)))))</f>
        <v>0</v>
      </c>
      <c r="Z30" s="27" t="n">
        <f aca="false">IF(COUNT('Milho 2ª safra'!$E28:$Z28)=0,0,MAX(0,IF((Z$6-$E$3)&lt;1,0,IFERROR(LOOKUP(2,1/('Milho 2ª safra'!$E28:INDEX('Milho 2ª safra'!$E28:$Z28,MIN(Z$6-$E$3,22))&lt;&gt;""),'Milho 2ª safra'!$E28:INDEX('Milho 2ª safra'!$E28:$Z28,MIN(Z$6-$E$3,22))),0))-IF($G$2,0,IF((Z$6-$G$3)&lt;1,0,IFERROR(LOOKUP(2,1/('Milho 2ª safra'!$E28:INDEX('Milho 2ª safra'!$E28:$Z28,MIN(Z$6-$G$3,22))&lt;&gt;""),'Milho 2ª safra'!$E28:INDEX('Milho 2ª safra'!$E28:$Z28,MIN(Z$6-$G$3,22))),0)))))</f>
        <v>0</v>
      </c>
      <c r="AA30" s="27" t="n">
        <f aca="false">IF(COUNT('Milho 2ª safra'!$E28:$Z28)=0,0,MAX(0,IF((AA$6-$E$3)&lt;1,0,IFERROR(LOOKUP(2,1/('Milho 2ª safra'!$E28:INDEX('Milho 2ª safra'!$E28:$Z28,MIN(AA$6-$E$3,22))&lt;&gt;""),'Milho 2ª safra'!$E28:INDEX('Milho 2ª safra'!$E28:$Z28,MIN(AA$6-$E$3,22))),0))-IF($G$2,0,IF((AA$6-$G$3)&lt;1,0,IFERROR(LOOKUP(2,1/('Milho 2ª safra'!$E28:INDEX('Milho 2ª safra'!$E28:$Z28,MIN(AA$6-$G$3,22))&lt;&gt;""),'Milho 2ª safra'!$E28:INDEX('Milho 2ª safra'!$E28:$Z28,MIN(AA$6-$G$3,22))),0)))))</f>
        <v>0</v>
      </c>
      <c r="AB30" s="27" t="n">
        <f aca="false">IF(COUNT('Milho 2ª safra'!$E28:$Z28)=0,0,MAX(0,IF((AB$6-$E$3)&lt;1,0,IFERROR(LOOKUP(2,1/('Milho 2ª safra'!$E28:INDEX('Milho 2ª safra'!$E28:$Z28,MIN(AB$6-$E$3,22))&lt;&gt;""),'Milho 2ª safra'!$E28:INDEX('Milho 2ª safra'!$E28:$Z28,MIN(AB$6-$E$3,22))),0))-IF($G$2,0,IF((AB$6-$G$3)&lt;1,0,IFERROR(LOOKUP(2,1/('Milho 2ª safra'!$E28:INDEX('Milho 2ª safra'!$E28:$Z28,MIN(AB$6-$G$3,22))&lt;&gt;""),'Milho 2ª safra'!$E28:INDEX('Milho 2ª safra'!$E28:$Z28,MIN(AB$6-$G$3,22))),0)))))</f>
        <v>0</v>
      </c>
      <c r="AC30" s="27" t="n">
        <f aca="false">IF(COUNT('Milho 2ª safra'!$E28:$Z28)=0,0,MAX(0,IF((AC$6-$E$3)&lt;1,0,IFERROR(LOOKUP(2,1/('Milho 2ª safra'!$E28:INDEX('Milho 2ª safra'!$E28:$Z28,MIN(AC$6-$E$3,22))&lt;&gt;""),'Milho 2ª safra'!$E28:INDEX('Milho 2ª safra'!$E28:$Z28,MIN(AC$6-$E$3,22))),0))-IF($G$2,0,IF((AC$6-$G$3)&lt;1,0,IFERROR(LOOKUP(2,1/('Milho 2ª safra'!$E28:INDEX('Milho 2ª safra'!$E28:$Z28,MIN(AC$6-$G$3,22))&lt;&gt;""),'Milho 2ª safra'!$E28:INDEX('Milho 2ª safra'!$E28:$Z28,MIN(AC$6-$G$3,22))),0)))))</f>
        <v>0</v>
      </c>
      <c r="AD30" s="27" t="n">
        <f aca="false">IF(COUNT('Milho 2ª safra'!$E28:$Z28)=0,0,MAX(0,IF((AD$6-$E$3)&lt;1,0,IFERROR(LOOKUP(2,1/('Milho 2ª safra'!$E28:INDEX('Milho 2ª safra'!$E28:$Z28,MIN(AD$6-$E$3,22))&lt;&gt;""),'Milho 2ª safra'!$E28:INDEX('Milho 2ª safra'!$E28:$Z28,MIN(AD$6-$E$3,22))),0))-IF($G$2,0,IF((AD$6-$G$3)&lt;1,0,IFERROR(LOOKUP(2,1/('Milho 2ª safra'!$E28:INDEX('Milho 2ª safra'!$E28:$Z28,MIN(AD$6-$G$3,22))&lt;&gt;""),'Milho 2ª safra'!$E28:INDEX('Milho 2ª safra'!$E28:$Z28,MIN(AD$6-$G$3,22))),0)))))</f>
        <v>0</v>
      </c>
      <c r="AE30" s="27" t="n">
        <f aca="false">IF(COUNT('Milho 2ª safra'!$E28:$Z28)=0,0,MAX(0,IF((AE$6-$E$3)&lt;1,0,IFERROR(LOOKUP(2,1/('Milho 2ª safra'!$E28:INDEX('Milho 2ª safra'!$E28:$Z28,MIN(AE$6-$E$3,22))&lt;&gt;""),'Milho 2ª safra'!$E28:INDEX('Milho 2ª safra'!$E28:$Z28,MIN(AE$6-$E$3,22))),0))-IF($G$2,0,IF((AE$6-$G$3)&lt;1,0,IFERROR(LOOKUP(2,1/('Milho 2ª safra'!$E28:INDEX('Milho 2ª safra'!$E28:$Z28,MIN(AE$6-$G$3,22))&lt;&gt;""),'Milho 2ª safra'!$E28:INDEX('Milho 2ª safra'!$E28:$Z28,MIN(AE$6-$G$3,22))),0)))))</f>
        <v>0</v>
      </c>
      <c r="AF30" s="27" t="n">
        <f aca="false">IF(COUNT('Milho 2ª safra'!$E28:$Z28)=0,0,MAX(0,IF((AF$6-$E$3)&lt;1,0,IFERROR(LOOKUP(2,1/('Milho 2ª safra'!$E28:INDEX('Milho 2ª safra'!$E28:$Z28,MIN(AF$6-$E$3,22))&lt;&gt;""),'Milho 2ª safra'!$E28:INDEX('Milho 2ª safra'!$E28:$Z28,MIN(AF$6-$E$3,22))),0))-IF($G$2,0,IF((AF$6-$G$3)&lt;1,0,IFERROR(LOOKUP(2,1/('Milho 2ª safra'!$E28:INDEX('Milho 2ª safra'!$E28:$Z28,MIN(AF$6-$G$3,22))&lt;&gt;""),'Milho 2ª safra'!$E28:INDEX('Milho 2ª safra'!$E28:$Z28,MIN(AF$6-$G$3,22))),0)))))</f>
        <v>0</v>
      </c>
      <c r="AG30" s="27" t="n">
        <f aca="false">IF(COUNT('Milho 2ª safra'!$E28:$Z28)=0,0,MAX(0,IF((AG$6-$E$3)&lt;1,0,IFERROR(LOOKUP(2,1/('Milho 2ª safra'!$E28:INDEX('Milho 2ª safra'!$E28:$Z28,MIN(AG$6-$E$3,22))&lt;&gt;""),'Milho 2ª safra'!$E28:INDEX('Milho 2ª safra'!$E28:$Z28,MIN(AG$6-$E$3,22))),0))-IF($G$2,0,IF((AG$6-$G$3)&lt;1,0,IFERROR(LOOKUP(2,1/('Milho 2ª safra'!$E28:INDEX('Milho 2ª safra'!$E28:$Z28,MIN(AG$6-$G$3,22))&lt;&gt;""),'Milho 2ª safra'!$E28:INDEX('Milho 2ª safra'!$E28:$Z28,MIN(AG$6-$G$3,22))),0)))))</f>
        <v>0</v>
      </c>
      <c r="AH30" s="27" t="n">
        <f aca="false">IF(COUNT('Milho 2ª safra'!$E28:$Z28)=0,0,MAX(0,IF((AH$6-$E$3)&lt;1,0,IFERROR(LOOKUP(2,1/('Milho 2ª safra'!$E28:INDEX('Milho 2ª safra'!$E28:$Z28,MIN(AH$6-$E$3,22))&lt;&gt;""),'Milho 2ª safra'!$E28:INDEX('Milho 2ª safra'!$E28:$Z28,MIN(AH$6-$E$3,22))),0))-IF($G$2,0,IF((AH$6-$G$3)&lt;1,0,IFERROR(LOOKUP(2,1/('Milho 2ª safra'!$E28:INDEX('Milho 2ª safra'!$E28:$Z28,MIN(AH$6-$G$3,22))&lt;&gt;""),'Milho 2ª safra'!$E28:INDEX('Milho 2ª safra'!$E28:$Z28,MIN(AH$6-$G$3,22))),0)))))</f>
        <v>0</v>
      </c>
      <c r="AI30" s="27" t="n">
        <f aca="false">IF(COUNT('Milho 2ª safra'!$E28:$Z28)=0,0,MAX(0,IF((AI$6-$E$3)&lt;1,0,IFERROR(LOOKUP(2,1/('Milho 2ª safra'!$E28:INDEX('Milho 2ª safra'!$E28:$Z28,MIN(AI$6-$E$3,22))&lt;&gt;""),'Milho 2ª safra'!$E28:INDEX('Milho 2ª safra'!$E28:$Z28,MIN(AI$6-$E$3,22))),0))-IF($G$2,0,IF((AI$6-$G$3)&lt;1,0,IFERROR(LOOKUP(2,1/('Milho 2ª safra'!$E28:INDEX('Milho 2ª safra'!$E28:$Z28,MIN(AI$6-$G$3,22))&lt;&gt;""),'Milho 2ª safra'!$E28:INDEX('Milho 2ª safra'!$E28:$Z28,MIN(AI$6-$G$3,22))),0)))))</f>
        <v>0</v>
      </c>
      <c r="AJ30" s="27" t="n">
        <f aca="false">IF(COUNT('Milho 2ª safra'!$E28:$Z28)=0,0,MAX(0,IF((AJ$6-$E$3)&lt;1,0,IFERROR(LOOKUP(2,1/('Milho 2ª safra'!$E28:INDEX('Milho 2ª safra'!$E28:$Z28,MIN(AJ$6-$E$3,22))&lt;&gt;""),'Milho 2ª safra'!$E28:INDEX('Milho 2ª safra'!$E28:$Z28,MIN(AJ$6-$E$3,22))),0))-IF($G$2,0,IF((AJ$6-$G$3)&lt;1,0,IFERROR(LOOKUP(2,1/('Milho 2ª safra'!$E28:INDEX('Milho 2ª safra'!$E28:$Z28,MIN(AJ$6-$G$3,22))&lt;&gt;""),'Milho 2ª safra'!$E28:INDEX('Milho 2ª safra'!$E28:$Z28,MIN(AJ$6-$G$3,22))),0)))))</f>
        <v>0</v>
      </c>
      <c r="AK30" s="27" t="n">
        <f aca="false">IF(COUNT('Milho 2ª safra'!$E28:$Z28)=0,0,MAX(0,IF((AK$6-$E$3)&lt;1,0,IFERROR(LOOKUP(2,1/('Milho 2ª safra'!$E28:INDEX('Milho 2ª safra'!$E28:$Z28,MIN(AK$6-$E$3,22))&lt;&gt;""),'Milho 2ª safra'!$E28:INDEX('Milho 2ª safra'!$E28:$Z28,MIN(AK$6-$E$3,22))),0))-IF($G$2,0,IF((AK$6-$G$3)&lt;1,0,IFERROR(LOOKUP(2,1/('Milho 2ª safra'!$E28:INDEX('Milho 2ª safra'!$E28:$Z28,MIN(AK$6-$G$3,22))&lt;&gt;""),'Milho 2ª safra'!$E28:INDEX('Milho 2ª safra'!$E28:$Z28,MIN(AK$6-$G$3,22))),0)))))</f>
        <v>0</v>
      </c>
      <c r="AL30" s="27" t="n">
        <f aca="false">IF(COUNT('Milho 2ª safra'!$E28:$Z28)=0,0,MAX(0,IF((AL$6-$E$3)&lt;1,0,IFERROR(LOOKUP(2,1/('Milho 2ª safra'!$E28:INDEX('Milho 2ª safra'!$E28:$Z28,MIN(AL$6-$E$3,22))&lt;&gt;""),'Milho 2ª safra'!$E28:INDEX('Milho 2ª safra'!$E28:$Z28,MIN(AL$6-$E$3,22))),0))-IF($G$2,0,IF((AL$6-$G$3)&lt;1,0,IFERROR(LOOKUP(2,1/('Milho 2ª safra'!$E28:INDEX('Milho 2ª safra'!$E28:$Z28,MIN(AL$6-$G$3,22))&lt;&gt;""),'Milho 2ª safra'!$E28:INDEX('Milho 2ª safra'!$E28:$Z28,MIN(AL$6-$G$3,22))),0)))))</f>
        <v>0</v>
      </c>
      <c r="AM30" s="27" t="n">
        <f aca="false">IF(COUNT('Milho 2ª safra'!$E28:$Z28)=0,0,MAX(0,IF((AM$6-$E$3)&lt;1,0,IFERROR(LOOKUP(2,1/('Milho 2ª safra'!$E28:INDEX('Milho 2ª safra'!$E28:$Z28,MIN(AM$6-$E$3,22))&lt;&gt;""),'Milho 2ª safra'!$E28:INDEX('Milho 2ª safra'!$E28:$Z28,MIN(AM$6-$E$3,22))),0))-IF($G$2,0,IF((AM$6-$G$3)&lt;1,0,IFERROR(LOOKUP(2,1/('Milho 2ª safra'!$E28:INDEX('Milho 2ª safra'!$E28:$Z28,MIN(AM$6-$G$3,22))&lt;&gt;""),'Milho 2ª safra'!$E28:INDEX('Milho 2ª safra'!$E28:$Z28,MIN(AM$6-$G$3,22))),0)))))</f>
        <v>0</v>
      </c>
      <c r="AN30" s="27" t="n">
        <f aca="false">IF(COUNT('Milho 2ª safra'!$E28:$Z28)=0,0,MAX(0,IF((AN$6-$E$3)&lt;1,0,IFERROR(LOOKUP(2,1/('Milho 2ª safra'!$E28:INDEX('Milho 2ª safra'!$E28:$Z28,MIN(AN$6-$E$3,22))&lt;&gt;""),'Milho 2ª safra'!$E28:INDEX('Milho 2ª safra'!$E28:$Z28,MIN(AN$6-$E$3,22))),0))-IF($G$2,0,IF((AN$6-$G$3)&lt;1,0,IFERROR(LOOKUP(2,1/('Milho 2ª safra'!$E28:INDEX('Milho 2ª safra'!$E28:$Z28,MIN(AN$6-$G$3,22))&lt;&gt;""),'Milho 2ª safra'!$E28:INDEX('Milho 2ª safra'!$E28:$Z28,MIN(AN$6-$G$3,22))),0)))))</f>
        <v>0</v>
      </c>
      <c r="AO30" s="27" t="n">
        <f aca="false">IF(COUNT('Milho 2ª safra'!$E28:$Z28)=0,0,MAX(0,IF((AO$6-$E$3)&lt;1,0,IFERROR(LOOKUP(2,1/('Milho 2ª safra'!$E28:INDEX('Milho 2ª safra'!$E28:$Z28,MIN(AO$6-$E$3,22))&lt;&gt;""),'Milho 2ª safra'!$E28:INDEX('Milho 2ª safra'!$E28:$Z28,MIN(AO$6-$E$3,22))),0))-IF($G$2,0,IF((AO$6-$G$3)&lt;1,0,IFERROR(LOOKUP(2,1/('Milho 2ª safra'!$E28:INDEX('Milho 2ª safra'!$E28:$Z28,MIN(AO$6-$G$3,22))&lt;&gt;""),'Milho 2ª safra'!$E28:INDEX('Milho 2ª safra'!$E28:$Z28,MIN(AO$6-$G$3,22))),0)))))</f>
        <v>0</v>
      </c>
      <c r="AP30" s="27" t="n">
        <f aca="false">IF(COUNT('Milho 2ª safra'!$E28:$Z28)=0,0,MAX(0,IF((AP$6-$E$3)&lt;1,0,IFERROR(LOOKUP(2,1/('Milho 2ª safra'!$E28:INDEX('Milho 2ª safra'!$E28:$Z28,MIN(AP$6-$E$3,22))&lt;&gt;""),'Milho 2ª safra'!$E28:INDEX('Milho 2ª safra'!$E28:$Z28,MIN(AP$6-$E$3,22))),0))-IF($G$2,0,IF((AP$6-$G$3)&lt;1,0,IFERROR(LOOKUP(2,1/('Milho 2ª safra'!$E28:INDEX('Milho 2ª safra'!$E28:$Z28,MIN(AP$6-$G$3,22))&lt;&gt;""),'Milho 2ª safra'!$E28:INDEX('Milho 2ª safra'!$E28:$Z28,MIN(AP$6-$G$3,22))),0)))))</f>
        <v>0</v>
      </c>
      <c r="AQ30" s="27" t="n">
        <f aca="false">IF(COUNT('Milho 2ª safra'!$E28:$Z28)=0,0,MAX(0,IF((AQ$6-$E$3)&lt;1,0,IFERROR(LOOKUP(2,1/('Milho 2ª safra'!$E28:INDEX('Milho 2ª safra'!$E28:$Z28,MIN(AQ$6-$E$3,22))&lt;&gt;""),'Milho 2ª safra'!$E28:INDEX('Milho 2ª safra'!$E28:$Z28,MIN(AQ$6-$E$3,22))),0))-IF($G$2,0,IF((AQ$6-$G$3)&lt;1,0,IFERROR(LOOKUP(2,1/('Milho 2ª safra'!$E28:INDEX('Milho 2ª safra'!$E28:$Z28,MIN(AQ$6-$G$3,22))&lt;&gt;""),'Milho 2ª safra'!$E28:INDEX('Milho 2ª safra'!$E28:$Z28,MIN(AQ$6-$G$3,22))),0)))))</f>
        <v>0</v>
      </c>
      <c r="AR30" s="27" t="n">
        <f aca="false">IF(COUNT('Milho 2ª safra'!$E28:$Z28)=0,0,MAX(0,IF((AR$6-$E$3)&lt;1,0,IFERROR(LOOKUP(2,1/('Milho 2ª safra'!$E28:INDEX('Milho 2ª safra'!$E28:$Z28,MIN(AR$6-$E$3,22))&lt;&gt;""),'Milho 2ª safra'!$E28:INDEX('Milho 2ª safra'!$E28:$Z28,MIN(AR$6-$E$3,22))),0))-IF($G$2,0,IF((AR$6-$G$3)&lt;1,0,IFERROR(LOOKUP(2,1/('Milho 2ª safra'!$E28:INDEX('Milho 2ª safra'!$E28:$Z28,MIN(AR$6-$G$3,22))&lt;&gt;""),'Milho 2ª safra'!$E28:INDEX('Milho 2ª safra'!$E28:$Z28,MIN(AR$6-$G$3,22))),0)))))</f>
        <v>0</v>
      </c>
      <c r="AS30" s="27" t="n">
        <f aca="false">IF(COUNT('Milho 2ª safra'!$E28:$Z28)=0,0,MAX(0,IF((AS$6-$E$3)&lt;1,0,IFERROR(LOOKUP(2,1/('Milho 2ª safra'!$E28:INDEX('Milho 2ª safra'!$E28:$Z28,MIN(AS$6-$E$3,22))&lt;&gt;""),'Milho 2ª safra'!$E28:INDEX('Milho 2ª safra'!$E28:$Z28,MIN(AS$6-$E$3,22))),0))-IF($G$2,0,IF((AS$6-$G$3)&lt;1,0,IFERROR(LOOKUP(2,1/('Milho 2ª safra'!$E28:INDEX('Milho 2ª safra'!$E28:$Z28,MIN(AS$6-$G$3,22))&lt;&gt;""),'Milho 2ª safra'!$E28:INDEX('Milho 2ª safra'!$E28:$Z28,MIN(AS$6-$G$3,22))),0)))))</f>
        <v>0</v>
      </c>
      <c r="AT30" s="27" t="n">
        <f aca="false">IF(COUNT('Milho 2ª safra'!$E28:$Z28)=0,0,MAX(0,IF((AT$6-$E$3)&lt;1,0,IFERROR(LOOKUP(2,1/('Milho 2ª safra'!$E28:INDEX('Milho 2ª safra'!$E28:$Z28,MIN(AT$6-$E$3,22))&lt;&gt;""),'Milho 2ª safra'!$E28:INDEX('Milho 2ª safra'!$E28:$Z28,MIN(AT$6-$E$3,22))),0))-IF($G$2,0,IF((AT$6-$G$3)&lt;1,0,IFERROR(LOOKUP(2,1/('Milho 2ª safra'!$E28:INDEX('Milho 2ª safra'!$E28:$Z28,MIN(AT$6-$G$3,22))&lt;&gt;""),'Milho 2ª safra'!$E28:INDEX('Milho 2ª safra'!$E28:$Z28,MIN(AT$6-$G$3,22))),0)))))</f>
        <v>0</v>
      </c>
      <c r="AU30" s="27" t="n">
        <f aca="false">IF(COUNT('Milho 2ª safra'!$E28:$Z28)=0,0,MAX(0,IF((AU$6-$E$3)&lt;1,0,IFERROR(LOOKUP(2,1/('Milho 2ª safra'!$E28:INDEX('Milho 2ª safra'!$E28:$Z28,MIN(AU$6-$E$3,22))&lt;&gt;""),'Milho 2ª safra'!$E28:INDEX('Milho 2ª safra'!$E28:$Z28,MIN(AU$6-$E$3,22))),0))-IF($G$2,0,IF((AU$6-$G$3)&lt;1,0,IFERROR(LOOKUP(2,1/('Milho 2ª safra'!$E28:INDEX('Milho 2ª safra'!$E28:$Z28,MIN(AU$6-$G$3,22))&lt;&gt;""),'Milho 2ª safra'!$E28:INDEX('Milho 2ª safra'!$E28:$Z28,MIN(AU$6-$G$3,22))),0)))))</f>
        <v>0</v>
      </c>
      <c r="AV30" s="27" t="n">
        <f aca="false">IF(COUNT('Milho 2ª safra'!$E28:$Z28)=0,0,MAX(0,IF((AV$6-$E$3)&lt;1,0,IFERROR(LOOKUP(2,1/('Milho 2ª safra'!$E28:INDEX('Milho 2ª safra'!$E28:$Z28,MIN(AV$6-$E$3,22))&lt;&gt;""),'Milho 2ª safra'!$E28:INDEX('Milho 2ª safra'!$E28:$Z28,MIN(AV$6-$E$3,22))),0))-IF($G$2,0,IF((AV$6-$G$3)&lt;1,0,IFERROR(LOOKUP(2,1/('Milho 2ª safra'!$E28:INDEX('Milho 2ª safra'!$E28:$Z28,MIN(AV$6-$G$3,22))&lt;&gt;""),'Milho 2ª safra'!$E28:INDEX('Milho 2ª safra'!$E28:$Z28,MIN(AV$6-$G$3,22))),0)))))</f>
        <v>0</v>
      </c>
      <c r="AW30" s="27" t="n">
        <f aca="false">IF(COUNT('Milho 2ª safra'!$E28:$Z28)=0,0,MAX(0,IF((AW$6-$E$3)&lt;1,0,IFERROR(LOOKUP(2,1/('Milho 2ª safra'!$E28:INDEX('Milho 2ª safra'!$E28:$Z28,MIN(AW$6-$E$3,22))&lt;&gt;""),'Milho 2ª safra'!$E28:INDEX('Milho 2ª safra'!$E28:$Z28,MIN(AW$6-$E$3,22))),0))-IF($G$2,0,IF((AW$6-$G$3)&lt;1,0,IFERROR(LOOKUP(2,1/('Milho 2ª safra'!$E28:INDEX('Milho 2ª safra'!$E28:$Z28,MIN(AW$6-$G$3,22))&lt;&gt;""),'Milho 2ª safra'!$E28:INDEX('Milho 2ª safra'!$E28:$Z28,MIN(AW$6-$G$3,22))),0)))))</f>
        <v>0</v>
      </c>
      <c r="AX30" s="27" t="n">
        <f aca="false">IF(COUNT('Milho 2ª safra'!$E28:$Z28)=0,0,MAX(0,IF((AX$6-$E$3)&lt;1,0,IFERROR(LOOKUP(2,1/('Milho 2ª safra'!$E28:INDEX('Milho 2ª safra'!$E28:$Z28,MIN(AX$6-$E$3,22))&lt;&gt;""),'Milho 2ª safra'!$E28:INDEX('Milho 2ª safra'!$E28:$Z28,MIN(AX$6-$E$3,22))),0))-IF($G$2,0,IF((AX$6-$G$3)&lt;1,0,IFERROR(LOOKUP(2,1/('Milho 2ª safra'!$E28:INDEX('Milho 2ª safra'!$E28:$Z28,MIN(AX$6-$G$3,22))&lt;&gt;""),'Milho 2ª safra'!$E28:INDEX('Milho 2ª safra'!$E28:$Z28,MIN(AX$6-$G$3,22))),0)))))</f>
        <v>0</v>
      </c>
      <c r="AY30" s="27" t="n">
        <f aca="false">IF(COUNT('Milho 2ª safra'!$E28:$Z28)=0,0,MAX(0,IF((AY$6-$E$3)&lt;1,0,IFERROR(LOOKUP(2,1/('Milho 2ª safra'!$E28:INDEX('Milho 2ª safra'!$E28:$Z28,MIN(AY$6-$E$3,22))&lt;&gt;""),'Milho 2ª safra'!$E28:INDEX('Milho 2ª safra'!$E28:$Z28,MIN(AY$6-$E$3,22))),0))-IF($G$2,0,IF((AY$6-$G$3)&lt;1,0,IFERROR(LOOKUP(2,1/('Milho 2ª safra'!$E28:INDEX('Milho 2ª safra'!$E28:$Z28,MIN(AY$6-$G$3,22))&lt;&gt;""),'Milho 2ª safra'!$E28:INDEX('Milho 2ª safra'!$E28:$Z28,MIN(AY$6-$G$3,22))),0)))))</f>
        <v>0</v>
      </c>
      <c r="AZ30" s="27" t="n">
        <f aca="false">IF(COUNT('Milho 2ª safra'!$E28:$Z28)=0,0,MAX(0,IF((AZ$6-$E$3)&lt;1,0,IFERROR(LOOKUP(2,1/('Milho 2ª safra'!$E28:INDEX('Milho 2ª safra'!$E28:$Z28,MIN(AZ$6-$E$3,22))&lt;&gt;""),'Milho 2ª safra'!$E28:INDEX('Milho 2ª safra'!$E28:$Z28,MIN(AZ$6-$E$3,22))),0))-IF($G$2,0,IF((AZ$6-$G$3)&lt;1,0,IFERROR(LOOKUP(2,1/('Milho 2ª safra'!$E28:INDEX('Milho 2ª safra'!$E28:$Z28,MIN(AZ$6-$G$3,22))&lt;&gt;""),'Milho 2ª safra'!$E28:INDEX('Milho 2ª safra'!$E28:$Z28,MIN(AZ$6-$G$3,22))),0)))))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IF(COUNT('Milho 2ª safra'!$E29:$Z29)&gt;0,N('Milho 2ª safra'!$D29),0)</f>
        <v>0</v>
      </c>
      <c r="E31" s="27" t="n">
        <f aca="false">IF(COUNT('Milho 2ª safra'!$E29:$Z29)=0,0,MAX(0,IF((E$6-$E$3)&lt;1,0,IFERROR(LOOKUP(2,1/('Milho 2ª safra'!$E29:INDEX('Milho 2ª safra'!$E29:$Z29,MIN(E$6-$E$3,22))&lt;&gt;""),'Milho 2ª safra'!$E29:INDEX('Milho 2ª safra'!$E29:$Z29,MIN(E$6-$E$3,22))),0))-IF($G$2,0,IF((E$6-$G$3)&lt;1,0,IFERROR(LOOKUP(2,1/('Milho 2ª safra'!$E29:INDEX('Milho 2ª safra'!$E29:$Z29,MIN(E$6-$G$3,22))&lt;&gt;""),'Milho 2ª safra'!$E29:INDEX('Milho 2ª safra'!$E29:$Z29,MIN(E$6-$G$3,22))),0)))))</f>
        <v>0</v>
      </c>
      <c r="F31" s="27" t="n">
        <f aca="false">IF(COUNT('Milho 2ª safra'!$E29:$Z29)=0,0,MAX(0,IF((F$6-$E$3)&lt;1,0,IFERROR(LOOKUP(2,1/('Milho 2ª safra'!$E29:INDEX('Milho 2ª safra'!$E29:$Z29,MIN(F$6-$E$3,22))&lt;&gt;""),'Milho 2ª safra'!$E29:INDEX('Milho 2ª safra'!$E29:$Z29,MIN(F$6-$E$3,22))),0))-IF($G$2,0,IF((F$6-$G$3)&lt;1,0,IFERROR(LOOKUP(2,1/('Milho 2ª safra'!$E29:INDEX('Milho 2ª safra'!$E29:$Z29,MIN(F$6-$G$3,22))&lt;&gt;""),'Milho 2ª safra'!$E29:INDEX('Milho 2ª safra'!$E29:$Z29,MIN(F$6-$G$3,22))),0)))))</f>
        <v>0</v>
      </c>
      <c r="G31" s="27" t="n">
        <f aca="false">IF(COUNT('Milho 2ª safra'!$E29:$Z29)=0,0,MAX(0,IF((G$6-$E$3)&lt;1,0,IFERROR(LOOKUP(2,1/('Milho 2ª safra'!$E29:INDEX('Milho 2ª safra'!$E29:$Z29,MIN(G$6-$E$3,22))&lt;&gt;""),'Milho 2ª safra'!$E29:INDEX('Milho 2ª safra'!$E29:$Z29,MIN(G$6-$E$3,22))),0))-IF($G$2,0,IF((G$6-$G$3)&lt;1,0,IFERROR(LOOKUP(2,1/('Milho 2ª safra'!$E29:INDEX('Milho 2ª safra'!$E29:$Z29,MIN(G$6-$G$3,22))&lt;&gt;""),'Milho 2ª safra'!$E29:INDEX('Milho 2ª safra'!$E29:$Z29,MIN(G$6-$G$3,22))),0)))))</f>
        <v>0</v>
      </c>
      <c r="H31" s="27" t="n">
        <f aca="false">IF(COUNT('Milho 2ª safra'!$E29:$Z29)=0,0,MAX(0,IF((H$6-$E$3)&lt;1,0,IFERROR(LOOKUP(2,1/('Milho 2ª safra'!$E29:INDEX('Milho 2ª safra'!$E29:$Z29,MIN(H$6-$E$3,22))&lt;&gt;""),'Milho 2ª safra'!$E29:INDEX('Milho 2ª safra'!$E29:$Z29,MIN(H$6-$E$3,22))),0))-IF($G$2,0,IF((H$6-$G$3)&lt;1,0,IFERROR(LOOKUP(2,1/('Milho 2ª safra'!$E29:INDEX('Milho 2ª safra'!$E29:$Z29,MIN(H$6-$G$3,22))&lt;&gt;""),'Milho 2ª safra'!$E29:INDEX('Milho 2ª safra'!$E29:$Z29,MIN(H$6-$G$3,22))),0)))))</f>
        <v>0</v>
      </c>
      <c r="I31" s="27" t="n">
        <f aca="false">IF(COUNT('Milho 2ª safra'!$E29:$Z29)=0,0,MAX(0,IF((I$6-$E$3)&lt;1,0,IFERROR(LOOKUP(2,1/('Milho 2ª safra'!$E29:INDEX('Milho 2ª safra'!$E29:$Z29,MIN(I$6-$E$3,22))&lt;&gt;""),'Milho 2ª safra'!$E29:INDEX('Milho 2ª safra'!$E29:$Z29,MIN(I$6-$E$3,22))),0))-IF($G$2,0,IF((I$6-$G$3)&lt;1,0,IFERROR(LOOKUP(2,1/('Milho 2ª safra'!$E29:INDEX('Milho 2ª safra'!$E29:$Z29,MIN(I$6-$G$3,22))&lt;&gt;""),'Milho 2ª safra'!$E29:INDEX('Milho 2ª safra'!$E29:$Z29,MIN(I$6-$G$3,22))),0)))))</f>
        <v>0</v>
      </c>
      <c r="J31" s="27" t="n">
        <f aca="false">IF(COUNT('Milho 2ª safra'!$E29:$Z29)=0,0,MAX(0,IF((J$6-$E$3)&lt;1,0,IFERROR(LOOKUP(2,1/('Milho 2ª safra'!$E29:INDEX('Milho 2ª safra'!$E29:$Z29,MIN(J$6-$E$3,22))&lt;&gt;""),'Milho 2ª safra'!$E29:INDEX('Milho 2ª safra'!$E29:$Z29,MIN(J$6-$E$3,22))),0))-IF($G$2,0,IF((J$6-$G$3)&lt;1,0,IFERROR(LOOKUP(2,1/('Milho 2ª safra'!$E29:INDEX('Milho 2ª safra'!$E29:$Z29,MIN(J$6-$G$3,22))&lt;&gt;""),'Milho 2ª safra'!$E29:INDEX('Milho 2ª safra'!$E29:$Z29,MIN(J$6-$G$3,22))),0)))))</f>
        <v>0</v>
      </c>
      <c r="K31" s="27" t="n">
        <f aca="false">IF(COUNT('Milho 2ª safra'!$E29:$Z29)=0,0,MAX(0,IF((K$6-$E$3)&lt;1,0,IFERROR(LOOKUP(2,1/('Milho 2ª safra'!$E29:INDEX('Milho 2ª safra'!$E29:$Z29,MIN(K$6-$E$3,22))&lt;&gt;""),'Milho 2ª safra'!$E29:INDEX('Milho 2ª safra'!$E29:$Z29,MIN(K$6-$E$3,22))),0))-IF($G$2,0,IF((K$6-$G$3)&lt;1,0,IFERROR(LOOKUP(2,1/('Milho 2ª safra'!$E29:INDEX('Milho 2ª safra'!$E29:$Z29,MIN(K$6-$G$3,22))&lt;&gt;""),'Milho 2ª safra'!$E29:INDEX('Milho 2ª safra'!$E29:$Z29,MIN(K$6-$G$3,22))),0)))))</f>
        <v>0</v>
      </c>
      <c r="L31" s="27" t="n">
        <f aca="false">IF(COUNT('Milho 2ª safra'!$E29:$Z29)=0,0,MAX(0,IF((L$6-$E$3)&lt;1,0,IFERROR(LOOKUP(2,1/('Milho 2ª safra'!$E29:INDEX('Milho 2ª safra'!$E29:$Z29,MIN(L$6-$E$3,22))&lt;&gt;""),'Milho 2ª safra'!$E29:INDEX('Milho 2ª safra'!$E29:$Z29,MIN(L$6-$E$3,22))),0))-IF($G$2,0,IF((L$6-$G$3)&lt;1,0,IFERROR(LOOKUP(2,1/('Milho 2ª safra'!$E29:INDEX('Milho 2ª safra'!$E29:$Z29,MIN(L$6-$G$3,22))&lt;&gt;""),'Milho 2ª safra'!$E29:INDEX('Milho 2ª safra'!$E29:$Z29,MIN(L$6-$G$3,22))),0)))))</f>
        <v>0</v>
      </c>
      <c r="M31" s="27" t="n">
        <f aca="false">IF(COUNT('Milho 2ª safra'!$E29:$Z29)=0,0,MAX(0,IF((M$6-$E$3)&lt;1,0,IFERROR(LOOKUP(2,1/('Milho 2ª safra'!$E29:INDEX('Milho 2ª safra'!$E29:$Z29,MIN(M$6-$E$3,22))&lt;&gt;""),'Milho 2ª safra'!$E29:INDEX('Milho 2ª safra'!$E29:$Z29,MIN(M$6-$E$3,22))),0))-IF($G$2,0,IF((M$6-$G$3)&lt;1,0,IFERROR(LOOKUP(2,1/('Milho 2ª safra'!$E29:INDEX('Milho 2ª safra'!$E29:$Z29,MIN(M$6-$G$3,22))&lt;&gt;""),'Milho 2ª safra'!$E29:INDEX('Milho 2ª safra'!$E29:$Z29,MIN(M$6-$G$3,22))),0)))))</f>
        <v>0</v>
      </c>
      <c r="N31" s="27" t="n">
        <f aca="false">IF(COUNT('Milho 2ª safra'!$E29:$Z29)=0,0,MAX(0,IF((N$6-$E$3)&lt;1,0,IFERROR(LOOKUP(2,1/('Milho 2ª safra'!$E29:INDEX('Milho 2ª safra'!$E29:$Z29,MIN(N$6-$E$3,22))&lt;&gt;""),'Milho 2ª safra'!$E29:INDEX('Milho 2ª safra'!$E29:$Z29,MIN(N$6-$E$3,22))),0))-IF($G$2,0,IF((N$6-$G$3)&lt;1,0,IFERROR(LOOKUP(2,1/('Milho 2ª safra'!$E29:INDEX('Milho 2ª safra'!$E29:$Z29,MIN(N$6-$G$3,22))&lt;&gt;""),'Milho 2ª safra'!$E29:INDEX('Milho 2ª safra'!$E29:$Z29,MIN(N$6-$G$3,22))),0)))))</f>
        <v>0</v>
      </c>
      <c r="O31" s="27" t="n">
        <f aca="false">IF(COUNT('Milho 2ª safra'!$E29:$Z29)=0,0,MAX(0,IF((O$6-$E$3)&lt;1,0,IFERROR(LOOKUP(2,1/('Milho 2ª safra'!$E29:INDEX('Milho 2ª safra'!$E29:$Z29,MIN(O$6-$E$3,22))&lt;&gt;""),'Milho 2ª safra'!$E29:INDEX('Milho 2ª safra'!$E29:$Z29,MIN(O$6-$E$3,22))),0))-IF($G$2,0,IF((O$6-$G$3)&lt;1,0,IFERROR(LOOKUP(2,1/('Milho 2ª safra'!$E29:INDEX('Milho 2ª safra'!$E29:$Z29,MIN(O$6-$G$3,22))&lt;&gt;""),'Milho 2ª safra'!$E29:INDEX('Milho 2ª safra'!$E29:$Z29,MIN(O$6-$G$3,22))),0)))))</f>
        <v>0</v>
      </c>
      <c r="P31" s="27" t="n">
        <f aca="false">IF(COUNT('Milho 2ª safra'!$E29:$Z29)=0,0,MAX(0,IF((P$6-$E$3)&lt;1,0,IFERROR(LOOKUP(2,1/('Milho 2ª safra'!$E29:INDEX('Milho 2ª safra'!$E29:$Z29,MIN(P$6-$E$3,22))&lt;&gt;""),'Milho 2ª safra'!$E29:INDEX('Milho 2ª safra'!$E29:$Z29,MIN(P$6-$E$3,22))),0))-IF($G$2,0,IF((P$6-$G$3)&lt;1,0,IFERROR(LOOKUP(2,1/('Milho 2ª safra'!$E29:INDEX('Milho 2ª safra'!$E29:$Z29,MIN(P$6-$G$3,22))&lt;&gt;""),'Milho 2ª safra'!$E29:INDEX('Milho 2ª safra'!$E29:$Z29,MIN(P$6-$G$3,22))),0)))))</f>
        <v>0</v>
      </c>
      <c r="Q31" s="27" t="n">
        <f aca="false">IF(COUNT('Milho 2ª safra'!$E29:$Z29)=0,0,MAX(0,IF((Q$6-$E$3)&lt;1,0,IFERROR(LOOKUP(2,1/('Milho 2ª safra'!$E29:INDEX('Milho 2ª safra'!$E29:$Z29,MIN(Q$6-$E$3,22))&lt;&gt;""),'Milho 2ª safra'!$E29:INDEX('Milho 2ª safra'!$E29:$Z29,MIN(Q$6-$E$3,22))),0))-IF($G$2,0,IF((Q$6-$G$3)&lt;1,0,IFERROR(LOOKUP(2,1/('Milho 2ª safra'!$E29:INDEX('Milho 2ª safra'!$E29:$Z29,MIN(Q$6-$G$3,22))&lt;&gt;""),'Milho 2ª safra'!$E29:INDEX('Milho 2ª safra'!$E29:$Z29,MIN(Q$6-$G$3,22))),0)))))</f>
        <v>0</v>
      </c>
      <c r="R31" s="27" t="n">
        <f aca="false">IF(COUNT('Milho 2ª safra'!$E29:$Z29)=0,0,MAX(0,IF((R$6-$E$3)&lt;1,0,IFERROR(LOOKUP(2,1/('Milho 2ª safra'!$E29:INDEX('Milho 2ª safra'!$E29:$Z29,MIN(R$6-$E$3,22))&lt;&gt;""),'Milho 2ª safra'!$E29:INDEX('Milho 2ª safra'!$E29:$Z29,MIN(R$6-$E$3,22))),0))-IF($G$2,0,IF((R$6-$G$3)&lt;1,0,IFERROR(LOOKUP(2,1/('Milho 2ª safra'!$E29:INDEX('Milho 2ª safra'!$E29:$Z29,MIN(R$6-$G$3,22))&lt;&gt;""),'Milho 2ª safra'!$E29:INDEX('Milho 2ª safra'!$E29:$Z29,MIN(R$6-$G$3,22))),0)))))</f>
        <v>0</v>
      </c>
      <c r="S31" s="27" t="n">
        <f aca="false">IF(COUNT('Milho 2ª safra'!$E29:$Z29)=0,0,MAX(0,IF((S$6-$E$3)&lt;1,0,IFERROR(LOOKUP(2,1/('Milho 2ª safra'!$E29:INDEX('Milho 2ª safra'!$E29:$Z29,MIN(S$6-$E$3,22))&lt;&gt;""),'Milho 2ª safra'!$E29:INDEX('Milho 2ª safra'!$E29:$Z29,MIN(S$6-$E$3,22))),0))-IF($G$2,0,IF((S$6-$G$3)&lt;1,0,IFERROR(LOOKUP(2,1/('Milho 2ª safra'!$E29:INDEX('Milho 2ª safra'!$E29:$Z29,MIN(S$6-$G$3,22))&lt;&gt;""),'Milho 2ª safra'!$E29:INDEX('Milho 2ª safra'!$E29:$Z29,MIN(S$6-$G$3,22))),0)))))</f>
        <v>0</v>
      </c>
      <c r="T31" s="27" t="n">
        <f aca="false">IF(COUNT('Milho 2ª safra'!$E29:$Z29)=0,0,MAX(0,IF((T$6-$E$3)&lt;1,0,IFERROR(LOOKUP(2,1/('Milho 2ª safra'!$E29:INDEX('Milho 2ª safra'!$E29:$Z29,MIN(T$6-$E$3,22))&lt;&gt;""),'Milho 2ª safra'!$E29:INDEX('Milho 2ª safra'!$E29:$Z29,MIN(T$6-$E$3,22))),0))-IF($G$2,0,IF((T$6-$G$3)&lt;1,0,IFERROR(LOOKUP(2,1/('Milho 2ª safra'!$E29:INDEX('Milho 2ª safra'!$E29:$Z29,MIN(T$6-$G$3,22))&lt;&gt;""),'Milho 2ª safra'!$E29:INDEX('Milho 2ª safra'!$E29:$Z29,MIN(T$6-$G$3,22))),0)))))</f>
        <v>0</v>
      </c>
      <c r="U31" s="27" t="n">
        <f aca="false">IF(COUNT('Milho 2ª safra'!$E29:$Z29)=0,0,MAX(0,IF((U$6-$E$3)&lt;1,0,IFERROR(LOOKUP(2,1/('Milho 2ª safra'!$E29:INDEX('Milho 2ª safra'!$E29:$Z29,MIN(U$6-$E$3,22))&lt;&gt;""),'Milho 2ª safra'!$E29:INDEX('Milho 2ª safra'!$E29:$Z29,MIN(U$6-$E$3,22))),0))-IF($G$2,0,IF((U$6-$G$3)&lt;1,0,IFERROR(LOOKUP(2,1/('Milho 2ª safra'!$E29:INDEX('Milho 2ª safra'!$E29:$Z29,MIN(U$6-$G$3,22))&lt;&gt;""),'Milho 2ª safra'!$E29:INDEX('Milho 2ª safra'!$E29:$Z29,MIN(U$6-$G$3,22))),0)))))</f>
        <v>0</v>
      </c>
      <c r="V31" s="27" t="n">
        <f aca="false">IF(COUNT('Milho 2ª safra'!$E29:$Z29)=0,0,MAX(0,IF((V$6-$E$3)&lt;1,0,IFERROR(LOOKUP(2,1/('Milho 2ª safra'!$E29:INDEX('Milho 2ª safra'!$E29:$Z29,MIN(V$6-$E$3,22))&lt;&gt;""),'Milho 2ª safra'!$E29:INDEX('Milho 2ª safra'!$E29:$Z29,MIN(V$6-$E$3,22))),0))-IF($G$2,0,IF((V$6-$G$3)&lt;1,0,IFERROR(LOOKUP(2,1/('Milho 2ª safra'!$E29:INDEX('Milho 2ª safra'!$E29:$Z29,MIN(V$6-$G$3,22))&lt;&gt;""),'Milho 2ª safra'!$E29:INDEX('Milho 2ª safra'!$E29:$Z29,MIN(V$6-$G$3,22))),0)))))</f>
        <v>0</v>
      </c>
      <c r="W31" s="27" t="n">
        <f aca="false">IF(COUNT('Milho 2ª safra'!$E29:$Z29)=0,0,MAX(0,IF((W$6-$E$3)&lt;1,0,IFERROR(LOOKUP(2,1/('Milho 2ª safra'!$E29:INDEX('Milho 2ª safra'!$E29:$Z29,MIN(W$6-$E$3,22))&lt;&gt;""),'Milho 2ª safra'!$E29:INDEX('Milho 2ª safra'!$E29:$Z29,MIN(W$6-$E$3,22))),0))-IF($G$2,0,IF((W$6-$G$3)&lt;1,0,IFERROR(LOOKUP(2,1/('Milho 2ª safra'!$E29:INDEX('Milho 2ª safra'!$E29:$Z29,MIN(W$6-$G$3,22))&lt;&gt;""),'Milho 2ª safra'!$E29:INDEX('Milho 2ª safra'!$E29:$Z29,MIN(W$6-$G$3,22))),0)))))</f>
        <v>0</v>
      </c>
      <c r="X31" s="27" t="n">
        <f aca="false">IF(COUNT('Milho 2ª safra'!$E29:$Z29)=0,0,MAX(0,IF((X$6-$E$3)&lt;1,0,IFERROR(LOOKUP(2,1/('Milho 2ª safra'!$E29:INDEX('Milho 2ª safra'!$E29:$Z29,MIN(X$6-$E$3,22))&lt;&gt;""),'Milho 2ª safra'!$E29:INDEX('Milho 2ª safra'!$E29:$Z29,MIN(X$6-$E$3,22))),0))-IF($G$2,0,IF((X$6-$G$3)&lt;1,0,IFERROR(LOOKUP(2,1/('Milho 2ª safra'!$E29:INDEX('Milho 2ª safra'!$E29:$Z29,MIN(X$6-$G$3,22))&lt;&gt;""),'Milho 2ª safra'!$E29:INDEX('Milho 2ª safra'!$E29:$Z29,MIN(X$6-$G$3,22))),0)))))</f>
        <v>0</v>
      </c>
      <c r="Y31" s="27" t="n">
        <f aca="false">IF(COUNT('Milho 2ª safra'!$E29:$Z29)=0,0,MAX(0,IF((Y$6-$E$3)&lt;1,0,IFERROR(LOOKUP(2,1/('Milho 2ª safra'!$E29:INDEX('Milho 2ª safra'!$E29:$Z29,MIN(Y$6-$E$3,22))&lt;&gt;""),'Milho 2ª safra'!$E29:INDEX('Milho 2ª safra'!$E29:$Z29,MIN(Y$6-$E$3,22))),0))-IF($G$2,0,IF((Y$6-$G$3)&lt;1,0,IFERROR(LOOKUP(2,1/('Milho 2ª safra'!$E29:INDEX('Milho 2ª safra'!$E29:$Z29,MIN(Y$6-$G$3,22))&lt;&gt;""),'Milho 2ª safra'!$E29:INDEX('Milho 2ª safra'!$E29:$Z29,MIN(Y$6-$G$3,22))),0)))))</f>
        <v>0</v>
      </c>
      <c r="Z31" s="27" t="n">
        <f aca="false">IF(COUNT('Milho 2ª safra'!$E29:$Z29)=0,0,MAX(0,IF((Z$6-$E$3)&lt;1,0,IFERROR(LOOKUP(2,1/('Milho 2ª safra'!$E29:INDEX('Milho 2ª safra'!$E29:$Z29,MIN(Z$6-$E$3,22))&lt;&gt;""),'Milho 2ª safra'!$E29:INDEX('Milho 2ª safra'!$E29:$Z29,MIN(Z$6-$E$3,22))),0))-IF($G$2,0,IF((Z$6-$G$3)&lt;1,0,IFERROR(LOOKUP(2,1/('Milho 2ª safra'!$E29:INDEX('Milho 2ª safra'!$E29:$Z29,MIN(Z$6-$G$3,22))&lt;&gt;""),'Milho 2ª safra'!$E29:INDEX('Milho 2ª safra'!$E29:$Z29,MIN(Z$6-$G$3,22))),0)))))</f>
        <v>0</v>
      </c>
      <c r="AA31" s="27" t="n">
        <f aca="false">IF(COUNT('Milho 2ª safra'!$E29:$Z29)=0,0,MAX(0,IF((AA$6-$E$3)&lt;1,0,IFERROR(LOOKUP(2,1/('Milho 2ª safra'!$E29:INDEX('Milho 2ª safra'!$E29:$Z29,MIN(AA$6-$E$3,22))&lt;&gt;""),'Milho 2ª safra'!$E29:INDEX('Milho 2ª safra'!$E29:$Z29,MIN(AA$6-$E$3,22))),0))-IF($G$2,0,IF((AA$6-$G$3)&lt;1,0,IFERROR(LOOKUP(2,1/('Milho 2ª safra'!$E29:INDEX('Milho 2ª safra'!$E29:$Z29,MIN(AA$6-$G$3,22))&lt;&gt;""),'Milho 2ª safra'!$E29:INDEX('Milho 2ª safra'!$E29:$Z29,MIN(AA$6-$G$3,22))),0)))))</f>
        <v>0</v>
      </c>
      <c r="AB31" s="27" t="n">
        <f aca="false">IF(COUNT('Milho 2ª safra'!$E29:$Z29)=0,0,MAX(0,IF((AB$6-$E$3)&lt;1,0,IFERROR(LOOKUP(2,1/('Milho 2ª safra'!$E29:INDEX('Milho 2ª safra'!$E29:$Z29,MIN(AB$6-$E$3,22))&lt;&gt;""),'Milho 2ª safra'!$E29:INDEX('Milho 2ª safra'!$E29:$Z29,MIN(AB$6-$E$3,22))),0))-IF($G$2,0,IF((AB$6-$G$3)&lt;1,0,IFERROR(LOOKUP(2,1/('Milho 2ª safra'!$E29:INDEX('Milho 2ª safra'!$E29:$Z29,MIN(AB$6-$G$3,22))&lt;&gt;""),'Milho 2ª safra'!$E29:INDEX('Milho 2ª safra'!$E29:$Z29,MIN(AB$6-$G$3,22))),0)))))</f>
        <v>0</v>
      </c>
      <c r="AC31" s="27" t="n">
        <f aca="false">IF(COUNT('Milho 2ª safra'!$E29:$Z29)=0,0,MAX(0,IF((AC$6-$E$3)&lt;1,0,IFERROR(LOOKUP(2,1/('Milho 2ª safra'!$E29:INDEX('Milho 2ª safra'!$E29:$Z29,MIN(AC$6-$E$3,22))&lt;&gt;""),'Milho 2ª safra'!$E29:INDEX('Milho 2ª safra'!$E29:$Z29,MIN(AC$6-$E$3,22))),0))-IF($G$2,0,IF((AC$6-$G$3)&lt;1,0,IFERROR(LOOKUP(2,1/('Milho 2ª safra'!$E29:INDEX('Milho 2ª safra'!$E29:$Z29,MIN(AC$6-$G$3,22))&lt;&gt;""),'Milho 2ª safra'!$E29:INDEX('Milho 2ª safra'!$E29:$Z29,MIN(AC$6-$G$3,22))),0)))))</f>
        <v>0</v>
      </c>
      <c r="AD31" s="27" t="n">
        <f aca="false">IF(COUNT('Milho 2ª safra'!$E29:$Z29)=0,0,MAX(0,IF((AD$6-$E$3)&lt;1,0,IFERROR(LOOKUP(2,1/('Milho 2ª safra'!$E29:INDEX('Milho 2ª safra'!$E29:$Z29,MIN(AD$6-$E$3,22))&lt;&gt;""),'Milho 2ª safra'!$E29:INDEX('Milho 2ª safra'!$E29:$Z29,MIN(AD$6-$E$3,22))),0))-IF($G$2,0,IF((AD$6-$G$3)&lt;1,0,IFERROR(LOOKUP(2,1/('Milho 2ª safra'!$E29:INDEX('Milho 2ª safra'!$E29:$Z29,MIN(AD$6-$G$3,22))&lt;&gt;""),'Milho 2ª safra'!$E29:INDEX('Milho 2ª safra'!$E29:$Z29,MIN(AD$6-$G$3,22))),0)))))</f>
        <v>0</v>
      </c>
      <c r="AE31" s="27" t="n">
        <f aca="false">IF(COUNT('Milho 2ª safra'!$E29:$Z29)=0,0,MAX(0,IF((AE$6-$E$3)&lt;1,0,IFERROR(LOOKUP(2,1/('Milho 2ª safra'!$E29:INDEX('Milho 2ª safra'!$E29:$Z29,MIN(AE$6-$E$3,22))&lt;&gt;""),'Milho 2ª safra'!$E29:INDEX('Milho 2ª safra'!$E29:$Z29,MIN(AE$6-$E$3,22))),0))-IF($G$2,0,IF((AE$6-$G$3)&lt;1,0,IFERROR(LOOKUP(2,1/('Milho 2ª safra'!$E29:INDEX('Milho 2ª safra'!$E29:$Z29,MIN(AE$6-$G$3,22))&lt;&gt;""),'Milho 2ª safra'!$E29:INDEX('Milho 2ª safra'!$E29:$Z29,MIN(AE$6-$G$3,22))),0)))))</f>
        <v>0</v>
      </c>
      <c r="AF31" s="27" t="n">
        <f aca="false">IF(COUNT('Milho 2ª safra'!$E29:$Z29)=0,0,MAX(0,IF((AF$6-$E$3)&lt;1,0,IFERROR(LOOKUP(2,1/('Milho 2ª safra'!$E29:INDEX('Milho 2ª safra'!$E29:$Z29,MIN(AF$6-$E$3,22))&lt;&gt;""),'Milho 2ª safra'!$E29:INDEX('Milho 2ª safra'!$E29:$Z29,MIN(AF$6-$E$3,22))),0))-IF($G$2,0,IF((AF$6-$G$3)&lt;1,0,IFERROR(LOOKUP(2,1/('Milho 2ª safra'!$E29:INDEX('Milho 2ª safra'!$E29:$Z29,MIN(AF$6-$G$3,22))&lt;&gt;""),'Milho 2ª safra'!$E29:INDEX('Milho 2ª safra'!$E29:$Z29,MIN(AF$6-$G$3,22))),0)))))</f>
        <v>0</v>
      </c>
      <c r="AG31" s="27" t="n">
        <f aca="false">IF(COUNT('Milho 2ª safra'!$E29:$Z29)=0,0,MAX(0,IF((AG$6-$E$3)&lt;1,0,IFERROR(LOOKUP(2,1/('Milho 2ª safra'!$E29:INDEX('Milho 2ª safra'!$E29:$Z29,MIN(AG$6-$E$3,22))&lt;&gt;""),'Milho 2ª safra'!$E29:INDEX('Milho 2ª safra'!$E29:$Z29,MIN(AG$6-$E$3,22))),0))-IF($G$2,0,IF((AG$6-$G$3)&lt;1,0,IFERROR(LOOKUP(2,1/('Milho 2ª safra'!$E29:INDEX('Milho 2ª safra'!$E29:$Z29,MIN(AG$6-$G$3,22))&lt;&gt;""),'Milho 2ª safra'!$E29:INDEX('Milho 2ª safra'!$E29:$Z29,MIN(AG$6-$G$3,22))),0)))))</f>
        <v>0</v>
      </c>
      <c r="AH31" s="27" t="n">
        <f aca="false">IF(COUNT('Milho 2ª safra'!$E29:$Z29)=0,0,MAX(0,IF((AH$6-$E$3)&lt;1,0,IFERROR(LOOKUP(2,1/('Milho 2ª safra'!$E29:INDEX('Milho 2ª safra'!$E29:$Z29,MIN(AH$6-$E$3,22))&lt;&gt;""),'Milho 2ª safra'!$E29:INDEX('Milho 2ª safra'!$E29:$Z29,MIN(AH$6-$E$3,22))),0))-IF($G$2,0,IF((AH$6-$G$3)&lt;1,0,IFERROR(LOOKUP(2,1/('Milho 2ª safra'!$E29:INDEX('Milho 2ª safra'!$E29:$Z29,MIN(AH$6-$G$3,22))&lt;&gt;""),'Milho 2ª safra'!$E29:INDEX('Milho 2ª safra'!$E29:$Z29,MIN(AH$6-$G$3,22))),0)))))</f>
        <v>0</v>
      </c>
      <c r="AI31" s="27" t="n">
        <f aca="false">IF(COUNT('Milho 2ª safra'!$E29:$Z29)=0,0,MAX(0,IF((AI$6-$E$3)&lt;1,0,IFERROR(LOOKUP(2,1/('Milho 2ª safra'!$E29:INDEX('Milho 2ª safra'!$E29:$Z29,MIN(AI$6-$E$3,22))&lt;&gt;""),'Milho 2ª safra'!$E29:INDEX('Milho 2ª safra'!$E29:$Z29,MIN(AI$6-$E$3,22))),0))-IF($G$2,0,IF((AI$6-$G$3)&lt;1,0,IFERROR(LOOKUP(2,1/('Milho 2ª safra'!$E29:INDEX('Milho 2ª safra'!$E29:$Z29,MIN(AI$6-$G$3,22))&lt;&gt;""),'Milho 2ª safra'!$E29:INDEX('Milho 2ª safra'!$E29:$Z29,MIN(AI$6-$G$3,22))),0)))))</f>
        <v>0</v>
      </c>
      <c r="AJ31" s="27" t="n">
        <f aca="false">IF(COUNT('Milho 2ª safra'!$E29:$Z29)=0,0,MAX(0,IF((AJ$6-$E$3)&lt;1,0,IFERROR(LOOKUP(2,1/('Milho 2ª safra'!$E29:INDEX('Milho 2ª safra'!$E29:$Z29,MIN(AJ$6-$E$3,22))&lt;&gt;""),'Milho 2ª safra'!$E29:INDEX('Milho 2ª safra'!$E29:$Z29,MIN(AJ$6-$E$3,22))),0))-IF($G$2,0,IF((AJ$6-$G$3)&lt;1,0,IFERROR(LOOKUP(2,1/('Milho 2ª safra'!$E29:INDEX('Milho 2ª safra'!$E29:$Z29,MIN(AJ$6-$G$3,22))&lt;&gt;""),'Milho 2ª safra'!$E29:INDEX('Milho 2ª safra'!$E29:$Z29,MIN(AJ$6-$G$3,22))),0)))))</f>
        <v>0</v>
      </c>
      <c r="AK31" s="27" t="n">
        <f aca="false">IF(COUNT('Milho 2ª safra'!$E29:$Z29)=0,0,MAX(0,IF((AK$6-$E$3)&lt;1,0,IFERROR(LOOKUP(2,1/('Milho 2ª safra'!$E29:INDEX('Milho 2ª safra'!$E29:$Z29,MIN(AK$6-$E$3,22))&lt;&gt;""),'Milho 2ª safra'!$E29:INDEX('Milho 2ª safra'!$E29:$Z29,MIN(AK$6-$E$3,22))),0))-IF($G$2,0,IF((AK$6-$G$3)&lt;1,0,IFERROR(LOOKUP(2,1/('Milho 2ª safra'!$E29:INDEX('Milho 2ª safra'!$E29:$Z29,MIN(AK$6-$G$3,22))&lt;&gt;""),'Milho 2ª safra'!$E29:INDEX('Milho 2ª safra'!$E29:$Z29,MIN(AK$6-$G$3,22))),0)))))</f>
        <v>0</v>
      </c>
      <c r="AL31" s="27" t="n">
        <f aca="false">IF(COUNT('Milho 2ª safra'!$E29:$Z29)=0,0,MAX(0,IF((AL$6-$E$3)&lt;1,0,IFERROR(LOOKUP(2,1/('Milho 2ª safra'!$E29:INDEX('Milho 2ª safra'!$E29:$Z29,MIN(AL$6-$E$3,22))&lt;&gt;""),'Milho 2ª safra'!$E29:INDEX('Milho 2ª safra'!$E29:$Z29,MIN(AL$6-$E$3,22))),0))-IF($G$2,0,IF((AL$6-$G$3)&lt;1,0,IFERROR(LOOKUP(2,1/('Milho 2ª safra'!$E29:INDEX('Milho 2ª safra'!$E29:$Z29,MIN(AL$6-$G$3,22))&lt;&gt;""),'Milho 2ª safra'!$E29:INDEX('Milho 2ª safra'!$E29:$Z29,MIN(AL$6-$G$3,22))),0)))))</f>
        <v>0</v>
      </c>
      <c r="AM31" s="27" t="n">
        <f aca="false">IF(COUNT('Milho 2ª safra'!$E29:$Z29)=0,0,MAX(0,IF((AM$6-$E$3)&lt;1,0,IFERROR(LOOKUP(2,1/('Milho 2ª safra'!$E29:INDEX('Milho 2ª safra'!$E29:$Z29,MIN(AM$6-$E$3,22))&lt;&gt;""),'Milho 2ª safra'!$E29:INDEX('Milho 2ª safra'!$E29:$Z29,MIN(AM$6-$E$3,22))),0))-IF($G$2,0,IF((AM$6-$G$3)&lt;1,0,IFERROR(LOOKUP(2,1/('Milho 2ª safra'!$E29:INDEX('Milho 2ª safra'!$E29:$Z29,MIN(AM$6-$G$3,22))&lt;&gt;""),'Milho 2ª safra'!$E29:INDEX('Milho 2ª safra'!$E29:$Z29,MIN(AM$6-$G$3,22))),0)))))</f>
        <v>0</v>
      </c>
      <c r="AN31" s="27" t="n">
        <f aca="false">IF(COUNT('Milho 2ª safra'!$E29:$Z29)=0,0,MAX(0,IF((AN$6-$E$3)&lt;1,0,IFERROR(LOOKUP(2,1/('Milho 2ª safra'!$E29:INDEX('Milho 2ª safra'!$E29:$Z29,MIN(AN$6-$E$3,22))&lt;&gt;""),'Milho 2ª safra'!$E29:INDEX('Milho 2ª safra'!$E29:$Z29,MIN(AN$6-$E$3,22))),0))-IF($G$2,0,IF((AN$6-$G$3)&lt;1,0,IFERROR(LOOKUP(2,1/('Milho 2ª safra'!$E29:INDEX('Milho 2ª safra'!$E29:$Z29,MIN(AN$6-$G$3,22))&lt;&gt;""),'Milho 2ª safra'!$E29:INDEX('Milho 2ª safra'!$E29:$Z29,MIN(AN$6-$G$3,22))),0)))))</f>
        <v>0</v>
      </c>
      <c r="AO31" s="27" t="n">
        <f aca="false">IF(COUNT('Milho 2ª safra'!$E29:$Z29)=0,0,MAX(0,IF((AO$6-$E$3)&lt;1,0,IFERROR(LOOKUP(2,1/('Milho 2ª safra'!$E29:INDEX('Milho 2ª safra'!$E29:$Z29,MIN(AO$6-$E$3,22))&lt;&gt;""),'Milho 2ª safra'!$E29:INDEX('Milho 2ª safra'!$E29:$Z29,MIN(AO$6-$E$3,22))),0))-IF($G$2,0,IF((AO$6-$G$3)&lt;1,0,IFERROR(LOOKUP(2,1/('Milho 2ª safra'!$E29:INDEX('Milho 2ª safra'!$E29:$Z29,MIN(AO$6-$G$3,22))&lt;&gt;""),'Milho 2ª safra'!$E29:INDEX('Milho 2ª safra'!$E29:$Z29,MIN(AO$6-$G$3,22))),0)))))</f>
        <v>0</v>
      </c>
      <c r="AP31" s="27" t="n">
        <f aca="false">IF(COUNT('Milho 2ª safra'!$E29:$Z29)=0,0,MAX(0,IF((AP$6-$E$3)&lt;1,0,IFERROR(LOOKUP(2,1/('Milho 2ª safra'!$E29:INDEX('Milho 2ª safra'!$E29:$Z29,MIN(AP$6-$E$3,22))&lt;&gt;""),'Milho 2ª safra'!$E29:INDEX('Milho 2ª safra'!$E29:$Z29,MIN(AP$6-$E$3,22))),0))-IF($G$2,0,IF((AP$6-$G$3)&lt;1,0,IFERROR(LOOKUP(2,1/('Milho 2ª safra'!$E29:INDEX('Milho 2ª safra'!$E29:$Z29,MIN(AP$6-$G$3,22))&lt;&gt;""),'Milho 2ª safra'!$E29:INDEX('Milho 2ª safra'!$E29:$Z29,MIN(AP$6-$G$3,22))),0)))))</f>
        <v>0</v>
      </c>
      <c r="AQ31" s="27" t="n">
        <f aca="false">IF(COUNT('Milho 2ª safra'!$E29:$Z29)=0,0,MAX(0,IF((AQ$6-$E$3)&lt;1,0,IFERROR(LOOKUP(2,1/('Milho 2ª safra'!$E29:INDEX('Milho 2ª safra'!$E29:$Z29,MIN(AQ$6-$E$3,22))&lt;&gt;""),'Milho 2ª safra'!$E29:INDEX('Milho 2ª safra'!$E29:$Z29,MIN(AQ$6-$E$3,22))),0))-IF($G$2,0,IF((AQ$6-$G$3)&lt;1,0,IFERROR(LOOKUP(2,1/('Milho 2ª safra'!$E29:INDEX('Milho 2ª safra'!$E29:$Z29,MIN(AQ$6-$G$3,22))&lt;&gt;""),'Milho 2ª safra'!$E29:INDEX('Milho 2ª safra'!$E29:$Z29,MIN(AQ$6-$G$3,22))),0)))))</f>
        <v>0</v>
      </c>
      <c r="AR31" s="27" t="n">
        <f aca="false">IF(COUNT('Milho 2ª safra'!$E29:$Z29)=0,0,MAX(0,IF((AR$6-$E$3)&lt;1,0,IFERROR(LOOKUP(2,1/('Milho 2ª safra'!$E29:INDEX('Milho 2ª safra'!$E29:$Z29,MIN(AR$6-$E$3,22))&lt;&gt;""),'Milho 2ª safra'!$E29:INDEX('Milho 2ª safra'!$E29:$Z29,MIN(AR$6-$E$3,22))),0))-IF($G$2,0,IF((AR$6-$G$3)&lt;1,0,IFERROR(LOOKUP(2,1/('Milho 2ª safra'!$E29:INDEX('Milho 2ª safra'!$E29:$Z29,MIN(AR$6-$G$3,22))&lt;&gt;""),'Milho 2ª safra'!$E29:INDEX('Milho 2ª safra'!$E29:$Z29,MIN(AR$6-$G$3,22))),0)))))</f>
        <v>0</v>
      </c>
      <c r="AS31" s="27" t="n">
        <f aca="false">IF(COUNT('Milho 2ª safra'!$E29:$Z29)=0,0,MAX(0,IF((AS$6-$E$3)&lt;1,0,IFERROR(LOOKUP(2,1/('Milho 2ª safra'!$E29:INDEX('Milho 2ª safra'!$E29:$Z29,MIN(AS$6-$E$3,22))&lt;&gt;""),'Milho 2ª safra'!$E29:INDEX('Milho 2ª safra'!$E29:$Z29,MIN(AS$6-$E$3,22))),0))-IF($G$2,0,IF((AS$6-$G$3)&lt;1,0,IFERROR(LOOKUP(2,1/('Milho 2ª safra'!$E29:INDEX('Milho 2ª safra'!$E29:$Z29,MIN(AS$6-$G$3,22))&lt;&gt;""),'Milho 2ª safra'!$E29:INDEX('Milho 2ª safra'!$E29:$Z29,MIN(AS$6-$G$3,22))),0)))))</f>
        <v>0</v>
      </c>
      <c r="AT31" s="27" t="n">
        <f aca="false">IF(COUNT('Milho 2ª safra'!$E29:$Z29)=0,0,MAX(0,IF((AT$6-$E$3)&lt;1,0,IFERROR(LOOKUP(2,1/('Milho 2ª safra'!$E29:INDEX('Milho 2ª safra'!$E29:$Z29,MIN(AT$6-$E$3,22))&lt;&gt;""),'Milho 2ª safra'!$E29:INDEX('Milho 2ª safra'!$E29:$Z29,MIN(AT$6-$E$3,22))),0))-IF($G$2,0,IF((AT$6-$G$3)&lt;1,0,IFERROR(LOOKUP(2,1/('Milho 2ª safra'!$E29:INDEX('Milho 2ª safra'!$E29:$Z29,MIN(AT$6-$G$3,22))&lt;&gt;""),'Milho 2ª safra'!$E29:INDEX('Milho 2ª safra'!$E29:$Z29,MIN(AT$6-$G$3,22))),0)))))</f>
        <v>0</v>
      </c>
      <c r="AU31" s="27" t="n">
        <f aca="false">IF(COUNT('Milho 2ª safra'!$E29:$Z29)=0,0,MAX(0,IF((AU$6-$E$3)&lt;1,0,IFERROR(LOOKUP(2,1/('Milho 2ª safra'!$E29:INDEX('Milho 2ª safra'!$E29:$Z29,MIN(AU$6-$E$3,22))&lt;&gt;""),'Milho 2ª safra'!$E29:INDEX('Milho 2ª safra'!$E29:$Z29,MIN(AU$6-$E$3,22))),0))-IF($G$2,0,IF((AU$6-$G$3)&lt;1,0,IFERROR(LOOKUP(2,1/('Milho 2ª safra'!$E29:INDEX('Milho 2ª safra'!$E29:$Z29,MIN(AU$6-$G$3,22))&lt;&gt;""),'Milho 2ª safra'!$E29:INDEX('Milho 2ª safra'!$E29:$Z29,MIN(AU$6-$G$3,22))),0)))))</f>
        <v>0</v>
      </c>
      <c r="AV31" s="27" t="n">
        <f aca="false">IF(COUNT('Milho 2ª safra'!$E29:$Z29)=0,0,MAX(0,IF((AV$6-$E$3)&lt;1,0,IFERROR(LOOKUP(2,1/('Milho 2ª safra'!$E29:INDEX('Milho 2ª safra'!$E29:$Z29,MIN(AV$6-$E$3,22))&lt;&gt;""),'Milho 2ª safra'!$E29:INDEX('Milho 2ª safra'!$E29:$Z29,MIN(AV$6-$E$3,22))),0))-IF($G$2,0,IF((AV$6-$G$3)&lt;1,0,IFERROR(LOOKUP(2,1/('Milho 2ª safra'!$E29:INDEX('Milho 2ª safra'!$E29:$Z29,MIN(AV$6-$G$3,22))&lt;&gt;""),'Milho 2ª safra'!$E29:INDEX('Milho 2ª safra'!$E29:$Z29,MIN(AV$6-$G$3,22))),0)))))</f>
        <v>0</v>
      </c>
      <c r="AW31" s="27" t="n">
        <f aca="false">IF(COUNT('Milho 2ª safra'!$E29:$Z29)=0,0,MAX(0,IF((AW$6-$E$3)&lt;1,0,IFERROR(LOOKUP(2,1/('Milho 2ª safra'!$E29:INDEX('Milho 2ª safra'!$E29:$Z29,MIN(AW$6-$E$3,22))&lt;&gt;""),'Milho 2ª safra'!$E29:INDEX('Milho 2ª safra'!$E29:$Z29,MIN(AW$6-$E$3,22))),0))-IF($G$2,0,IF((AW$6-$G$3)&lt;1,0,IFERROR(LOOKUP(2,1/('Milho 2ª safra'!$E29:INDEX('Milho 2ª safra'!$E29:$Z29,MIN(AW$6-$G$3,22))&lt;&gt;""),'Milho 2ª safra'!$E29:INDEX('Milho 2ª safra'!$E29:$Z29,MIN(AW$6-$G$3,22))),0)))))</f>
        <v>0</v>
      </c>
      <c r="AX31" s="27" t="n">
        <f aca="false">IF(COUNT('Milho 2ª safra'!$E29:$Z29)=0,0,MAX(0,IF((AX$6-$E$3)&lt;1,0,IFERROR(LOOKUP(2,1/('Milho 2ª safra'!$E29:INDEX('Milho 2ª safra'!$E29:$Z29,MIN(AX$6-$E$3,22))&lt;&gt;""),'Milho 2ª safra'!$E29:INDEX('Milho 2ª safra'!$E29:$Z29,MIN(AX$6-$E$3,22))),0))-IF($G$2,0,IF((AX$6-$G$3)&lt;1,0,IFERROR(LOOKUP(2,1/('Milho 2ª safra'!$E29:INDEX('Milho 2ª safra'!$E29:$Z29,MIN(AX$6-$G$3,22))&lt;&gt;""),'Milho 2ª safra'!$E29:INDEX('Milho 2ª safra'!$E29:$Z29,MIN(AX$6-$G$3,22))),0)))))</f>
        <v>0</v>
      </c>
      <c r="AY31" s="27" t="n">
        <f aca="false">IF(COUNT('Milho 2ª safra'!$E29:$Z29)=0,0,MAX(0,IF((AY$6-$E$3)&lt;1,0,IFERROR(LOOKUP(2,1/('Milho 2ª safra'!$E29:INDEX('Milho 2ª safra'!$E29:$Z29,MIN(AY$6-$E$3,22))&lt;&gt;""),'Milho 2ª safra'!$E29:INDEX('Milho 2ª safra'!$E29:$Z29,MIN(AY$6-$E$3,22))),0))-IF($G$2,0,IF((AY$6-$G$3)&lt;1,0,IFERROR(LOOKUP(2,1/('Milho 2ª safra'!$E29:INDEX('Milho 2ª safra'!$E29:$Z29,MIN(AY$6-$G$3,22))&lt;&gt;""),'Milho 2ª safra'!$E29:INDEX('Milho 2ª safra'!$E29:$Z29,MIN(AY$6-$G$3,22))),0)))))</f>
        <v>0</v>
      </c>
      <c r="AZ31" s="27" t="n">
        <f aca="false">IF(COUNT('Milho 2ª safra'!$E29:$Z29)=0,0,MAX(0,IF((AZ$6-$E$3)&lt;1,0,IFERROR(LOOKUP(2,1/('Milho 2ª safra'!$E29:INDEX('Milho 2ª safra'!$E29:$Z29,MIN(AZ$6-$E$3,22))&lt;&gt;""),'Milho 2ª safra'!$E29:INDEX('Milho 2ª safra'!$E29:$Z29,MIN(AZ$6-$E$3,22))),0))-IF($G$2,0,IF((AZ$6-$G$3)&lt;1,0,IFERROR(LOOKUP(2,1/('Milho 2ª safra'!$E29:INDEX('Milho 2ª safra'!$E29:$Z29,MIN(AZ$6-$G$3,22))&lt;&gt;""),'Milho 2ª safra'!$E29:INDEX('Milho 2ª safra'!$E29:$Z29,MIN(AZ$6-$G$3,22))),0)))))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IF(COUNT('Milho 2ª safra'!$E30:$Z30)&gt;0,N('Milho 2ª safra'!$D30),0)</f>
        <v>0</v>
      </c>
      <c r="E32" s="27" t="n">
        <f aca="false">IF(COUNT('Milho 2ª safra'!$E30:$Z30)=0,0,MAX(0,IF((E$6-$E$3)&lt;1,0,IFERROR(LOOKUP(2,1/('Milho 2ª safra'!$E30:INDEX('Milho 2ª safra'!$E30:$Z30,MIN(E$6-$E$3,22))&lt;&gt;""),'Milho 2ª safra'!$E30:INDEX('Milho 2ª safra'!$E30:$Z30,MIN(E$6-$E$3,22))),0))-IF($G$2,0,IF((E$6-$G$3)&lt;1,0,IFERROR(LOOKUP(2,1/('Milho 2ª safra'!$E30:INDEX('Milho 2ª safra'!$E30:$Z30,MIN(E$6-$G$3,22))&lt;&gt;""),'Milho 2ª safra'!$E30:INDEX('Milho 2ª safra'!$E30:$Z30,MIN(E$6-$G$3,22))),0)))))</f>
        <v>0</v>
      </c>
      <c r="F32" s="27" t="n">
        <f aca="false">IF(COUNT('Milho 2ª safra'!$E30:$Z30)=0,0,MAX(0,IF((F$6-$E$3)&lt;1,0,IFERROR(LOOKUP(2,1/('Milho 2ª safra'!$E30:INDEX('Milho 2ª safra'!$E30:$Z30,MIN(F$6-$E$3,22))&lt;&gt;""),'Milho 2ª safra'!$E30:INDEX('Milho 2ª safra'!$E30:$Z30,MIN(F$6-$E$3,22))),0))-IF($G$2,0,IF((F$6-$G$3)&lt;1,0,IFERROR(LOOKUP(2,1/('Milho 2ª safra'!$E30:INDEX('Milho 2ª safra'!$E30:$Z30,MIN(F$6-$G$3,22))&lt;&gt;""),'Milho 2ª safra'!$E30:INDEX('Milho 2ª safra'!$E30:$Z30,MIN(F$6-$G$3,22))),0)))))</f>
        <v>0</v>
      </c>
      <c r="G32" s="27" t="n">
        <f aca="false">IF(COUNT('Milho 2ª safra'!$E30:$Z30)=0,0,MAX(0,IF((G$6-$E$3)&lt;1,0,IFERROR(LOOKUP(2,1/('Milho 2ª safra'!$E30:INDEX('Milho 2ª safra'!$E30:$Z30,MIN(G$6-$E$3,22))&lt;&gt;""),'Milho 2ª safra'!$E30:INDEX('Milho 2ª safra'!$E30:$Z30,MIN(G$6-$E$3,22))),0))-IF($G$2,0,IF((G$6-$G$3)&lt;1,0,IFERROR(LOOKUP(2,1/('Milho 2ª safra'!$E30:INDEX('Milho 2ª safra'!$E30:$Z30,MIN(G$6-$G$3,22))&lt;&gt;""),'Milho 2ª safra'!$E30:INDEX('Milho 2ª safra'!$E30:$Z30,MIN(G$6-$G$3,22))),0)))))</f>
        <v>0</v>
      </c>
      <c r="H32" s="27" t="n">
        <f aca="false">IF(COUNT('Milho 2ª safra'!$E30:$Z30)=0,0,MAX(0,IF((H$6-$E$3)&lt;1,0,IFERROR(LOOKUP(2,1/('Milho 2ª safra'!$E30:INDEX('Milho 2ª safra'!$E30:$Z30,MIN(H$6-$E$3,22))&lt;&gt;""),'Milho 2ª safra'!$E30:INDEX('Milho 2ª safra'!$E30:$Z30,MIN(H$6-$E$3,22))),0))-IF($G$2,0,IF((H$6-$G$3)&lt;1,0,IFERROR(LOOKUP(2,1/('Milho 2ª safra'!$E30:INDEX('Milho 2ª safra'!$E30:$Z30,MIN(H$6-$G$3,22))&lt;&gt;""),'Milho 2ª safra'!$E30:INDEX('Milho 2ª safra'!$E30:$Z30,MIN(H$6-$G$3,22))),0)))))</f>
        <v>0</v>
      </c>
      <c r="I32" s="27" t="n">
        <f aca="false">IF(COUNT('Milho 2ª safra'!$E30:$Z30)=0,0,MAX(0,IF((I$6-$E$3)&lt;1,0,IFERROR(LOOKUP(2,1/('Milho 2ª safra'!$E30:INDEX('Milho 2ª safra'!$E30:$Z30,MIN(I$6-$E$3,22))&lt;&gt;""),'Milho 2ª safra'!$E30:INDEX('Milho 2ª safra'!$E30:$Z30,MIN(I$6-$E$3,22))),0))-IF($G$2,0,IF((I$6-$G$3)&lt;1,0,IFERROR(LOOKUP(2,1/('Milho 2ª safra'!$E30:INDEX('Milho 2ª safra'!$E30:$Z30,MIN(I$6-$G$3,22))&lt;&gt;""),'Milho 2ª safra'!$E30:INDEX('Milho 2ª safra'!$E30:$Z30,MIN(I$6-$G$3,22))),0)))))</f>
        <v>0</v>
      </c>
      <c r="J32" s="27" t="n">
        <f aca="false">IF(COUNT('Milho 2ª safra'!$E30:$Z30)=0,0,MAX(0,IF((J$6-$E$3)&lt;1,0,IFERROR(LOOKUP(2,1/('Milho 2ª safra'!$E30:INDEX('Milho 2ª safra'!$E30:$Z30,MIN(J$6-$E$3,22))&lt;&gt;""),'Milho 2ª safra'!$E30:INDEX('Milho 2ª safra'!$E30:$Z30,MIN(J$6-$E$3,22))),0))-IF($G$2,0,IF((J$6-$G$3)&lt;1,0,IFERROR(LOOKUP(2,1/('Milho 2ª safra'!$E30:INDEX('Milho 2ª safra'!$E30:$Z30,MIN(J$6-$G$3,22))&lt;&gt;""),'Milho 2ª safra'!$E30:INDEX('Milho 2ª safra'!$E30:$Z30,MIN(J$6-$G$3,22))),0)))))</f>
        <v>0</v>
      </c>
      <c r="K32" s="27" t="n">
        <f aca="false">IF(COUNT('Milho 2ª safra'!$E30:$Z30)=0,0,MAX(0,IF((K$6-$E$3)&lt;1,0,IFERROR(LOOKUP(2,1/('Milho 2ª safra'!$E30:INDEX('Milho 2ª safra'!$E30:$Z30,MIN(K$6-$E$3,22))&lt;&gt;""),'Milho 2ª safra'!$E30:INDEX('Milho 2ª safra'!$E30:$Z30,MIN(K$6-$E$3,22))),0))-IF($G$2,0,IF((K$6-$G$3)&lt;1,0,IFERROR(LOOKUP(2,1/('Milho 2ª safra'!$E30:INDEX('Milho 2ª safra'!$E30:$Z30,MIN(K$6-$G$3,22))&lt;&gt;""),'Milho 2ª safra'!$E30:INDEX('Milho 2ª safra'!$E30:$Z30,MIN(K$6-$G$3,22))),0)))))</f>
        <v>0</v>
      </c>
      <c r="L32" s="27" t="n">
        <f aca="false">IF(COUNT('Milho 2ª safra'!$E30:$Z30)=0,0,MAX(0,IF((L$6-$E$3)&lt;1,0,IFERROR(LOOKUP(2,1/('Milho 2ª safra'!$E30:INDEX('Milho 2ª safra'!$E30:$Z30,MIN(L$6-$E$3,22))&lt;&gt;""),'Milho 2ª safra'!$E30:INDEX('Milho 2ª safra'!$E30:$Z30,MIN(L$6-$E$3,22))),0))-IF($G$2,0,IF((L$6-$G$3)&lt;1,0,IFERROR(LOOKUP(2,1/('Milho 2ª safra'!$E30:INDEX('Milho 2ª safra'!$E30:$Z30,MIN(L$6-$G$3,22))&lt;&gt;""),'Milho 2ª safra'!$E30:INDEX('Milho 2ª safra'!$E30:$Z30,MIN(L$6-$G$3,22))),0)))))</f>
        <v>0</v>
      </c>
      <c r="M32" s="27" t="n">
        <f aca="false">IF(COUNT('Milho 2ª safra'!$E30:$Z30)=0,0,MAX(0,IF((M$6-$E$3)&lt;1,0,IFERROR(LOOKUP(2,1/('Milho 2ª safra'!$E30:INDEX('Milho 2ª safra'!$E30:$Z30,MIN(M$6-$E$3,22))&lt;&gt;""),'Milho 2ª safra'!$E30:INDEX('Milho 2ª safra'!$E30:$Z30,MIN(M$6-$E$3,22))),0))-IF($G$2,0,IF((M$6-$G$3)&lt;1,0,IFERROR(LOOKUP(2,1/('Milho 2ª safra'!$E30:INDEX('Milho 2ª safra'!$E30:$Z30,MIN(M$6-$G$3,22))&lt;&gt;""),'Milho 2ª safra'!$E30:INDEX('Milho 2ª safra'!$E30:$Z30,MIN(M$6-$G$3,22))),0)))))</f>
        <v>0</v>
      </c>
      <c r="N32" s="27" t="n">
        <f aca="false">IF(COUNT('Milho 2ª safra'!$E30:$Z30)=0,0,MAX(0,IF((N$6-$E$3)&lt;1,0,IFERROR(LOOKUP(2,1/('Milho 2ª safra'!$E30:INDEX('Milho 2ª safra'!$E30:$Z30,MIN(N$6-$E$3,22))&lt;&gt;""),'Milho 2ª safra'!$E30:INDEX('Milho 2ª safra'!$E30:$Z30,MIN(N$6-$E$3,22))),0))-IF($G$2,0,IF((N$6-$G$3)&lt;1,0,IFERROR(LOOKUP(2,1/('Milho 2ª safra'!$E30:INDEX('Milho 2ª safra'!$E30:$Z30,MIN(N$6-$G$3,22))&lt;&gt;""),'Milho 2ª safra'!$E30:INDEX('Milho 2ª safra'!$E30:$Z30,MIN(N$6-$G$3,22))),0)))))</f>
        <v>0</v>
      </c>
      <c r="O32" s="27" t="n">
        <f aca="false">IF(COUNT('Milho 2ª safra'!$E30:$Z30)=0,0,MAX(0,IF((O$6-$E$3)&lt;1,0,IFERROR(LOOKUP(2,1/('Milho 2ª safra'!$E30:INDEX('Milho 2ª safra'!$E30:$Z30,MIN(O$6-$E$3,22))&lt;&gt;""),'Milho 2ª safra'!$E30:INDEX('Milho 2ª safra'!$E30:$Z30,MIN(O$6-$E$3,22))),0))-IF($G$2,0,IF((O$6-$G$3)&lt;1,0,IFERROR(LOOKUP(2,1/('Milho 2ª safra'!$E30:INDEX('Milho 2ª safra'!$E30:$Z30,MIN(O$6-$G$3,22))&lt;&gt;""),'Milho 2ª safra'!$E30:INDEX('Milho 2ª safra'!$E30:$Z30,MIN(O$6-$G$3,22))),0)))))</f>
        <v>0</v>
      </c>
      <c r="P32" s="27" t="n">
        <f aca="false">IF(COUNT('Milho 2ª safra'!$E30:$Z30)=0,0,MAX(0,IF((P$6-$E$3)&lt;1,0,IFERROR(LOOKUP(2,1/('Milho 2ª safra'!$E30:INDEX('Milho 2ª safra'!$E30:$Z30,MIN(P$6-$E$3,22))&lt;&gt;""),'Milho 2ª safra'!$E30:INDEX('Milho 2ª safra'!$E30:$Z30,MIN(P$6-$E$3,22))),0))-IF($G$2,0,IF((P$6-$G$3)&lt;1,0,IFERROR(LOOKUP(2,1/('Milho 2ª safra'!$E30:INDEX('Milho 2ª safra'!$E30:$Z30,MIN(P$6-$G$3,22))&lt;&gt;""),'Milho 2ª safra'!$E30:INDEX('Milho 2ª safra'!$E30:$Z30,MIN(P$6-$G$3,22))),0)))))</f>
        <v>0</v>
      </c>
      <c r="Q32" s="27" t="n">
        <f aca="false">IF(COUNT('Milho 2ª safra'!$E30:$Z30)=0,0,MAX(0,IF((Q$6-$E$3)&lt;1,0,IFERROR(LOOKUP(2,1/('Milho 2ª safra'!$E30:INDEX('Milho 2ª safra'!$E30:$Z30,MIN(Q$6-$E$3,22))&lt;&gt;""),'Milho 2ª safra'!$E30:INDEX('Milho 2ª safra'!$E30:$Z30,MIN(Q$6-$E$3,22))),0))-IF($G$2,0,IF((Q$6-$G$3)&lt;1,0,IFERROR(LOOKUP(2,1/('Milho 2ª safra'!$E30:INDEX('Milho 2ª safra'!$E30:$Z30,MIN(Q$6-$G$3,22))&lt;&gt;""),'Milho 2ª safra'!$E30:INDEX('Milho 2ª safra'!$E30:$Z30,MIN(Q$6-$G$3,22))),0)))))</f>
        <v>0</v>
      </c>
      <c r="R32" s="27" t="n">
        <f aca="false">IF(COUNT('Milho 2ª safra'!$E30:$Z30)=0,0,MAX(0,IF((R$6-$E$3)&lt;1,0,IFERROR(LOOKUP(2,1/('Milho 2ª safra'!$E30:INDEX('Milho 2ª safra'!$E30:$Z30,MIN(R$6-$E$3,22))&lt;&gt;""),'Milho 2ª safra'!$E30:INDEX('Milho 2ª safra'!$E30:$Z30,MIN(R$6-$E$3,22))),0))-IF($G$2,0,IF((R$6-$G$3)&lt;1,0,IFERROR(LOOKUP(2,1/('Milho 2ª safra'!$E30:INDEX('Milho 2ª safra'!$E30:$Z30,MIN(R$6-$G$3,22))&lt;&gt;""),'Milho 2ª safra'!$E30:INDEX('Milho 2ª safra'!$E30:$Z30,MIN(R$6-$G$3,22))),0)))))</f>
        <v>0</v>
      </c>
      <c r="S32" s="27" t="n">
        <f aca="false">IF(COUNT('Milho 2ª safra'!$E30:$Z30)=0,0,MAX(0,IF((S$6-$E$3)&lt;1,0,IFERROR(LOOKUP(2,1/('Milho 2ª safra'!$E30:INDEX('Milho 2ª safra'!$E30:$Z30,MIN(S$6-$E$3,22))&lt;&gt;""),'Milho 2ª safra'!$E30:INDEX('Milho 2ª safra'!$E30:$Z30,MIN(S$6-$E$3,22))),0))-IF($G$2,0,IF((S$6-$G$3)&lt;1,0,IFERROR(LOOKUP(2,1/('Milho 2ª safra'!$E30:INDEX('Milho 2ª safra'!$E30:$Z30,MIN(S$6-$G$3,22))&lt;&gt;""),'Milho 2ª safra'!$E30:INDEX('Milho 2ª safra'!$E30:$Z30,MIN(S$6-$G$3,22))),0)))))</f>
        <v>0</v>
      </c>
      <c r="T32" s="27" t="n">
        <f aca="false">IF(COUNT('Milho 2ª safra'!$E30:$Z30)=0,0,MAX(0,IF((T$6-$E$3)&lt;1,0,IFERROR(LOOKUP(2,1/('Milho 2ª safra'!$E30:INDEX('Milho 2ª safra'!$E30:$Z30,MIN(T$6-$E$3,22))&lt;&gt;""),'Milho 2ª safra'!$E30:INDEX('Milho 2ª safra'!$E30:$Z30,MIN(T$6-$E$3,22))),0))-IF($G$2,0,IF((T$6-$G$3)&lt;1,0,IFERROR(LOOKUP(2,1/('Milho 2ª safra'!$E30:INDEX('Milho 2ª safra'!$E30:$Z30,MIN(T$6-$G$3,22))&lt;&gt;""),'Milho 2ª safra'!$E30:INDEX('Milho 2ª safra'!$E30:$Z30,MIN(T$6-$G$3,22))),0)))))</f>
        <v>0</v>
      </c>
      <c r="U32" s="27" t="n">
        <f aca="false">IF(COUNT('Milho 2ª safra'!$E30:$Z30)=0,0,MAX(0,IF((U$6-$E$3)&lt;1,0,IFERROR(LOOKUP(2,1/('Milho 2ª safra'!$E30:INDEX('Milho 2ª safra'!$E30:$Z30,MIN(U$6-$E$3,22))&lt;&gt;""),'Milho 2ª safra'!$E30:INDEX('Milho 2ª safra'!$E30:$Z30,MIN(U$6-$E$3,22))),0))-IF($G$2,0,IF((U$6-$G$3)&lt;1,0,IFERROR(LOOKUP(2,1/('Milho 2ª safra'!$E30:INDEX('Milho 2ª safra'!$E30:$Z30,MIN(U$6-$G$3,22))&lt;&gt;""),'Milho 2ª safra'!$E30:INDEX('Milho 2ª safra'!$E30:$Z30,MIN(U$6-$G$3,22))),0)))))</f>
        <v>0</v>
      </c>
      <c r="V32" s="27" t="n">
        <f aca="false">IF(COUNT('Milho 2ª safra'!$E30:$Z30)=0,0,MAX(0,IF((V$6-$E$3)&lt;1,0,IFERROR(LOOKUP(2,1/('Milho 2ª safra'!$E30:INDEX('Milho 2ª safra'!$E30:$Z30,MIN(V$6-$E$3,22))&lt;&gt;""),'Milho 2ª safra'!$E30:INDEX('Milho 2ª safra'!$E30:$Z30,MIN(V$6-$E$3,22))),0))-IF($G$2,0,IF((V$6-$G$3)&lt;1,0,IFERROR(LOOKUP(2,1/('Milho 2ª safra'!$E30:INDEX('Milho 2ª safra'!$E30:$Z30,MIN(V$6-$G$3,22))&lt;&gt;""),'Milho 2ª safra'!$E30:INDEX('Milho 2ª safra'!$E30:$Z30,MIN(V$6-$G$3,22))),0)))))</f>
        <v>0</v>
      </c>
      <c r="W32" s="27" t="n">
        <f aca="false">IF(COUNT('Milho 2ª safra'!$E30:$Z30)=0,0,MAX(0,IF((W$6-$E$3)&lt;1,0,IFERROR(LOOKUP(2,1/('Milho 2ª safra'!$E30:INDEX('Milho 2ª safra'!$E30:$Z30,MIN(W$6-$E$3,22))&lt;&gt;""),'Milho 2ª safra'!$E30:INDEX('Milho 2ª safra'!$E30:$Z30,MIN(W$6-$E$3,22))),0))-IF($G$2,0,IF((W$6-$G$3)&lt;1,0,IFERROR(LOOKUP(2,1/('Milho 2ª safra'!$E30:INDEX('Milho 2ª safra'!$E30:$Z30,MIN(W$6-$G$3,22))&lt;&gt;""),'Milho 2ª safra'!$E30:INDEX('Milho 2ª safra'!$E30:$Z30,MIN(W$6-$G$3,22))),0)))))</f>
        <v>0</v>
      </c>
      <c r="X32" s="27" t="n">
        <f aca="false">IF(COUNT('Milho 2ª safra'!$E30:$Z30)=0,0,MAX(0,IF((X$6-$E$3)&lt;1,0,IFERROR(LOOKUP(2,1/('Milho 2ª safra'!$E30:INDEX('Milho 2ª safra'!$E30:$Z30,MIN(X$6-$E$3,22))&lt;&gt;""),'Milho 2ª safra'!$E30:INDEX('Milho 2ª safra'!$E30:$Z30,MIN(X$6-$E$3,22))),0))-IF($G$2,0,IF((X$6-$G$3)&lt;1,0,IFERROR(LOOKUP(2,1/('Milho 2ª safra'!$E30:INDEX('Milho 2ª safra'!$E30:$Z30,MIN(X$6-$G$3,22))&lt;&gt;""),'Milho 2ª safra'!$E30:INDEX('Milho 2ª safra'!$E30:$Z30,MIN(X$6-$G$3,22))),0)))))</f>
        <v>0</v>
      </c>
      <c r="Y32" s="27" t="n">
        <f aca="false">IF(COUNT('Milho 2ª safra'!$E30:$Z30)=0,0,MAX(0,IF((Y$6-$E$3)&lt;1,0,IFERROR(LOOKUP(2,1/('Milho 2ª safra'!$E30:INDEX('Milho 2ª safra'!$E30:$Z30,MIN(Y$6-$E$3,22))&lt;&gt;""),'Milho 2ª safra'!$E30:INDEX('Milho 2ª safra'!$E30:$Z30,MIN(Y$6-$E$3,22))),0))-IF($G$2,0,IF((Y$6-$G$3)&lt;1,0,IFERROR(LOOKUP(2,1/('Milho 2ª safra'!$E30:INDEX('Milho 2ª safra'!$E30:$Z30,MIN(Y$6-$G$3,22))&lt;&gt;""),'Milho 2ª safra'!$E30:INDEX('Milho 2ª safra'!$E30:$Z30,MIN(Y$6-$G$3,22))),0)))))</f>
        <v>0</v>
      </c>
      <c r="Z32" s="27" t="n">
        <f aca="false">IF(COUNT('Milho 2ª safra'!$E30:$Z30)=0,0,MAX(0,IF((Z$6-$E$3)&lt;1,0,IFERROR(LOOKUP(2,1/('Milho 2ª safra'!$E30:INDEX('Milho 2ª safra'!$E30:$Z30,MIN(Z$6-$E$3,22))&lt;&gt;""),'Milho 2ª safra'!$E30:INDEX('Milho 2ª safra'!$E30:$Z30,MIN(Z$6-$E$3,22))),0))-IF($G$2,0,IF((Z$6-$G$3)&lt;1,0,IFERROR(LOOKUP(2,1/('Milho 2ª safra'!$E30:INDEX('Milho 2ª safra'!$E30:$Z30,MIN(Z$6-$G$3,22))&lt;&gt;""),'Milho 2ª safra'!$E30:INDEX('Milho 2ª safra'!$E30:$Z30,MIN(Z$6-$G$3,22))),0)))))</f>
        <v>0</v>
      </c>
      <c r="AA32" s="27" t="n">
        <f aca="false">IF(COUNT('Milho 2ª safra'!$E30:$Z30)=0,0,MAX(0,IF((AA$6-$E$3)&lt;1,0,IFERROR(LOOKUP(2,1/('Milho 2ª safra'!$E30:INDEX('Milho 2ª safra'!$E30:$Z30,MIN(AA$6-$E$3,22))&lt;&gt;""),'Milho 2ª safra'!$E30:INDEX('Milho 2ª safra'!$E30:$Z30,MIN(AA$6-$E$3,22))),0))-IF($G$2,0,IF((AA$6-$G$3)&lt;1,0,IFERROR(LOOKUP(2,1/('Milho 2ª safra'!$E30:INDEX('Milho 2ª safra'!$E30:$Z30,MIN(AA$6-$G$3,22))&lt;&gt;""),'Milho 2ª safra'!$E30:INDEX('Milho 2ª safra'!$E30:$Z30,MIN(AA$6-$G$3,22))),0)))))</f>
        <v>0</v>
      </c>
      <c r="AB32" s="27" t="n">
        <f aca="false">IF(COUNT('Milho 2ª safra'!$E30:$Z30)=0,0,MAX(0,IF((AB$6-$E$3)&lt;1,0,IFERROR(LOOKUP(2,1/('Milho 2ª safra'!$E30:INDEX('Milho 2ª safra'!$E30:$Z30,MIN(AB$6-$E$3,22))&lt;&gt;""),'Milho 2ª safra'!$E30:INDEX('Milho 2ª safra'!$E30:$Z30,MIN(AB$6-$E$3,22))),0))-IF($G$2,0,IF((AB$6-$G$3)&lt;1,0,IFERROR(LOOKUP(2,1/('Milho 2ª safra'!$E30:INDEX('Milho 2ª safra'!$E30:$Z30,MIN(AB$6-$G$3,22))&lt;&gt;""),'Milho 2ª safra'!$E30:INDEX('Milho 2ª safra'!$E30:$Z30,MIN(AB$6-$G$3,22))),0)))))</f>
        <v>0</v>
      </c>
      <c r="AC32" s="27" t="n">
        <f aca="false">IF(COUNT('Milho 2ª safra'!$E30:$Z30)=0,0,MAX(0,IF((AC$6-$E$3)&lt;1,0,IFERROR(LOOKUP(2,1/('Milho 2ª safra'!$E30:INDEX('Milho 2ª safra'!$E30:$Z30,MIN(AC$6-$E$3,22))&lt;&gt;""),'Milho 2ª safra'!$E30:INDEX('Milho 2ª safra'!$E30:$Z30,MIN(AC$6-$E$3,22))),0))-IF($G$2,0,IF((AC$6-$G$3)&lt;1,0,IFERROR(LOOKUP(2,1/('Milho 2ª safra'!$E30:INDEX('Milho 2ª safra'!$E30:$Z30,MIN(AC$6-$G$3,22))&lt;&gt;""),'Milho 2ª safra'!$E30:INDEX('Milho 2ª safra'!$E30:$Z30,MIN(AC$6-$G$3,22))),0)))))</f>
        <v>0</v>
      </c>
      <c r="AD32" s="27" t="n">
        <f aca="false">IF(COUNT('Milho 2ª safra'!$E30:$Z30)=0,0,MAX(0,IF((AD$6-$E$3)&lt;1,0,IFERROR(LOOKUP(2,1/('Milho 2ª safra'!$E30:INDEX('Milho 2ª safra'!$E30:$Z30,MIN(AD$6-$E$3,22))&lt;&gt;""),'Milho 2ª safra'!$E30:INDEX('Milho 2ª safra'!$E30:$Z30,MIN(AD$6-$E$3,22))),0))-IF($G$2,0,IF((AD$6-$G$3)&lt;1,0,IFERROR(LOOKUP(2,1/('Milho 2ª safra'!$E30:INDEX('Milho 2ª safra'!$E30:$Z30,MIN(AD$6-$G$3,22))&lt;&gt;""),'Milho 2ª safra'!$E30:INDEX('Milho 2ª safra'!$E30:$Z30,MIN(AD$6-$G$3,22))),0)))))</f>
        <v>0</v>
      </c>
      <c r="AE32" s="27" t="n">
        <f aca="false">IF(COUNT('Milho 2ª safra'!$E30:$Z30)=0,0,MAX(0,IF((AE$6-$E$3)&lt;1,0,IFERROR(LOOKUP(2,1/('Milho 2ª safra'!$E30:INDEX('Milho 2ª safra'!$E30:$Z30,MIN(AE$6-$E$3,22))&lt;&gt;""),'Milho 2ª safra'!$E30:INDEX('Milho 2ª safra'!$E30:$Z30,MIN(AE$6-$E$3,22))),0))-IF($G$2,0,IF((AE$6-$G$3)&lt;1,0,IFERROR(LOOKUP(2,1/('Milho 2ª safra'!$E30:INDEX('Milho 2ª safra'!$E30:$Z30,MIN(AE$6-$G$3,22))&lt;&gt;""),'Milho 2ª safra'!$E30:INDEX('Milho 2ª safra'!$E30:$Z30,MIN(AE$6-$G$3,22))),0)))))</f>
        <v>0</v>
      </c>
      <c r="AF32" s="27" t="n">
        <f aca="false">IF(COUNT('Milho 2ª safra'!$E30:$Z30)=0,0,MAX(0,IF((AF$6-$E$3)&lt;1,0,IFERROR(LOOKUP(2,1/('Milho 2ª safra'!$E30:INDEX('Milho 2ª safra'!$E30:$Z30,MIN(AF$6-$E$3,22))&lt;&gt;""),'Milho 2ª safra'!$E30:INDEX('Milho 2ª safra'!$E30:$Z30,MIN(AF$6-$E$3,22))),0))-IF($G$2,0,IF((AF$6-$G$3)&lt;1,0,IFERROR(LOOKUP(2,1/('Milho 2ª safra'!$E30:INDEX('Milho 2ª safra'!$E30:$Z30,MIN(AF$6-$G$3,22))&lt;&gt;""),'Milho 2ª safra'!$E30:INDEX('Milho 2ª safra'!$E30:$Z30,MIN(AF$6-$G$3,22))),0)))))</f>
        <v>0</v>
      </c>
      <c r="AG32" s="27" t="n">
        <f aca="false">IF(COUNT('Milho 2ª safra'!$E30:$Z30)=0,0,MAX(0,IF((AG$6-$E$3)&lt;1,0,IFERROR(LOOKUP(2,1/('Milho 2ª safra'!$E30:INDEX('Milho 2ª safra'!$E30:$Z30,MIN(AG$6-$E$3,22))&lt;&gt;""),'Milho 2ª safra'!$E30:INDEX('Milho 2ª safra'!$E30:$Z30,MIN(AG$6-$E$3,22))),0))-IF($G$2,0,IF((AG$6-$G$3)&lt;1,0,IFERROR(LOOKUP(2,1/('Milho 2ª safra'!$E30:INDEX('Milho 2ª safra'!$E30:$Z30,MIN(AG$6-$G$3,22))&lt;&gt;""),'Milho 2ª safra'!$E30:INDEX('Milho 2ª safra'!$E30:$Z30,MIN(AG$6-$G$3,22))),0)))))</f>
        <v>0</v>
      </c>
      <c r="AH32" s="27" t="n">
        <f aca="false">IF(COUNT('Milho 2ª safra'!$E30:$Z30)=0,0,MAX(0,IF((AH$6-$E$3)&lt;1,0,IFERROR(LOOKUP(2,1/('Milho 2ª safra'!$E30:INDEX('Milho 2ª safra'!$E30:$Z30,MIN(AH$6-$E$3,22))&lt;&gt;""),'Milho 2ª safra'!$E30:INDEX('Milho 2ª safra'!$E30:$Z30,MIN(AH$6-$E$3,22))),0))-IF($G$2,0,IF((AH$6-$G$3)&lt;1,0,IFERROR(LOOKUP(2,1/('Milho 2ª safra'!$E30:INDEX('Milho 2ª safra'!$E30:$Z30,MIN(AH$6-$G$3,22))&lt;&gt;""),'Milho 2ª safra'!$E30:INDEX('Milho 2ª safra'!$E30:$Z30,MIN(AH$6-$G$3,22))),0)))))</f>
        <v>0</v>
      </c>
      <c r="AI32" s="27" t="n">
        <f aca="false">IF(COUNT('Milho 2ª safra'!$E30:$Z30)=0,0,MAX(0,IF((AI$6-$E$3)&lt;1,0,IFERROR(LOOKUP(2,1/('Milho 2ª safra'!$E30:INDEX('Milho 2ª safra'!$E30:$Z30,MIN(AI$6-$E$3,22))&lt;&gt;""),'Milho 2ª safra'!$E30:INDEX('Milho 2ª safra'!$E30:$Z30,MIN(AI$6-$E$3,22))),0))-IF($G$2,0,IF((AI$6-$G$3)&lt;1,0,IFERROR(LOOKUP(2,1/('Milho 2ª safra'!$E30:INDEX('Milho 2ª safra'!$E30:$Z30,MIN(AI$6-$G$3,22))&lt;&gt;""),'Milho 2ª safra'!$E30:INDEX('Milho 2ª safra'!$E30:$Z30,MIN(AI$6-$G$3,22))),0)))))</f>
        <v>0</v>
      </c>
      <c r="AJ32" s="27" t="n">
        <f aca="false">IF(COUNT('Milho 2ª safra'!$E30:$Z30)=0,0,MAX(0,IF((AJ$6-$E$3)&lt;1,0,IFERROR(LOOKUP(2,1/('Milho 2ª safra'!$E30:INDEX('Milho 2ª safra'!$E30:$Z30,MIN(AJ$6-$E$3,22))&lt;&gt;""),'Milho 2ª safra'!$E30:INDEX('Milho 2ª safra'!$E30:$Z30,MIN(AJ$6-$E$3,22))),0))-IF($G$2,0,IF((AJ$6-$G$3)&lt;1,0,IFERROR(LOOKUP(2,1/('Milho 2ª safra'!$E30:INDEX('Milho 2ª safra'!$E30:$Z30,MIN(AJ$6-$G$3,22))&lt;&gt;""),'Milho 2ª safra'!$E30:INDEX('Milho 2ª safra'!$E30:$Z30,MIN(AJ$6-$G$3,22))),0)))))</f>
        <v>0</v>
      </c>
      <c r="AK32" s="27" t="n">
        <f aca="false">IF(COUNT('Milho 2ª safra'!$E30:$Z30)=0,0,MAX(0,IF((AK$6-$E$3)&lt;1,0,IFERROR(LOOKUP(2,1/('Milho 2ª safra'!$E30:INDEX('Milho 2ª safra'!$E30:$Z30,MIN(AK$6-$E$3,22))&lt;&gt;""),'Milho 2ª safra'!$E30:INDEX('Milho 2ª safra'!$E30:$Z30,MIN(AK$6-$E$3,22))),0))-IF($G$2,0,IF((AK$6-$G$3)&lt;1,0,IFERROR(LOOKUP(2,1/('Milho 2ª safra'!$E30:INDEX('Milho 2ª safra'!$E30:$Z30,MIN(AK$6-$G$3,22))&lt;&gt;""),'Milho 2ª safra'!$E30:INDEX('Milho 2ª safra'!$E30:$Z30,MIN(AK$6-$G$3,22))),0)))))</f>
        <v>0</v>
      </c>
      <c r="AL32" s="27" t="n">
        <f aca="false">IF(COUNT('Milho 2ª safra'!$E30:$Z30)=0,0,MAX(0,IF((AL$6-$E$3)&lt;1,0,IFERROR(LOOKUP(2,1/('Milho 2ª safra'!$E30:INDEX('Milho 2ª safra'!$E30:$Z30,MIN(AL$6-$E$3,22))&lt;&gt;""),'Milho 2ª safra'!$E30:INDEX('Milho 2ª safra'!$E30:$Z30,MIN(AL$6-$E$3,22))),0))-IF($G$2,0,IF((AL$6-$G$3)&lt;1,0,IFERROR(LOOKUP(2,1/('Milho 2ª safra'!$E30:INDEX('Milho 2ª safra'!$E30:$Z30,MIN(AL$6-$G$3,22))&lt;&gt;""),'Milho 2ª safra'!$E30:INDEX('Milho 2ª safra'!$E30:$Z30,MIN(AL$6-$G$3,22))),0)))))</f>
        <v>0</v>
      </c>
      <c r="AM32" s="27" t="n">
        <f aca="false">IF(COUNT('Milho 2ª safra'!$E30:$Z30)=0,0,MAX(0,IF((AM$6-$E$3)&lt;1,0,IFERROR(LOOKUP(2,1/('Milho 2ª safra'!$E30:INDEX('Milho 2ª safra'!$E30:$Z30,MIN(AM$6-$E$3,22))&lt;&gt;""),'Milho 2ª safra'!$E30:INDEX('Milho 2ª safra'!$E30:$Z30,MIN(AM$6-$E$3,22))),0))-IF($G$2,0,IF((AM$6-$G$3)&lt;1,0,IFERROR(LOOKUP(2,1/('Milho 2ª safra'!$E30:INDEX('Milho 2ª safra'!$E30:$Z30,MIN(AM$6-$G$3,22))&lt;&gt;""),'Milho 2ª safra'!$E30:INDEX('Milho 2ª safra'!$E30:$Z30,MIN(AM$6-$G$3,22))),0)))))</f>
        <v>0</v>
      </c>
      <c r="AN32" s="27" t="n">
        <f aca="false">IF(COUNT('Milho 2ª safra'!$E30:$Z30)=0,0,MAX(0,IF((AN$6-$E$3)&lt;1,0,IFERROR(LOOKUP(2,1/('Milho 2ª safra'!$E30:INDEX('Milho 2ª safra'!$E30:$Z30,MIN(AN$6-$E$3,22))&lt;&gt;""),'Milho 2ª safra'!$E30:INDEX('Milho 2ª safra'!$E30:$Z30,MIN(AN$6-$E$3,22))),0))-IF($G$2,0,IF((AN$6-$G$3)&lt;1,0,IFERROR(LOOKUP(2,1/('Milho 2ª safra'!$E30:INDEX('Milho 2ª safra'!$E30:$Z30,MIN(AN$6-$G$3,22))&lt;&gt;""),'Milho 2ª safra'!$E30:INDEX('Milho 2ª safra'!$E30:$Z30,MIN(AN$6-$G$3,22))),0)))))</f>
        <v>0</v>
      </c>
      <c r="AO32" s="27" t="n">
        <f aca="false">IF(COUNT('Milho 2ª safra'!$E30:$Z30)=0,0,MAX(0,IF((AO$6-$E$3)&lt;1,0,IFERROR(LOOKUP(2,1/('Milho 2ª safra'!$E30:INDEX('Milho 2ª safra'!$E30:$Z30,MIN(AO$6-$E$3,22))&lt;&gt;""),'Milho 2ª safra'!$E30:INDEX('Milho 2ª safra'!$E30:$Z30,MIN(AO$6-$E$3,22))),0))-IF($G$2,0,IF((AO$6-$G$3)&lt;1,0,IFERROR(LOOKUP(2,1/('Milho 2ª safra'!$E30:INDEX('Milho 2ª safra'!$E30:$Z30,MIN(AO$6-$G$3,22))&lt;&gt;""),'Milho 2ª safra'!$E30:INDEX('Milho 2ª safra'!$E30:$Z30,MIN(AO$6-$G$3,22))),0)))))</f>
        <v>0</v>
      </c>
      <c r="AP32" s="27" t="n">
        <f aca="false">IF(COUNT('Milho 2ª safra'!$E30:$Z30)=0,0,MAX(0,IF((AP$6-$E$3)&lt;1,0,IFERROR(LOOKUP(2,1/('Milho 2ª safra'!$E30:INDEX('Milho 2ª safra'!$E30:$Z30,MIN(AP$6-$E$3,22))&lt;&gt;""),'Milho 2ª safra'!$E30:INDEX('Milho 2ª safra'!$E30:$Z30,MIN(AP$6-$E$3,22))),0))-IF($G$2,0,IF((AP$6-$G$3)&lt;1,0,IFERROR(LOOKUP(2,1/('Milho 2ª safra'!$E30:INDEX('Milho 2ª safra'!$E30:$Z30,MIN(AP$6-$G$3,22))&lt;&gt;""),'Milho 2ª safra'!$E30:INDEX('Milho 2ª safra'!$E30:$Z30,MIN(AP$6-$G$3,22))),0)))))</f>
        <v>0</v>
      </c>
      <c r="AQ32" s="27" t="n">
        <f aca="false">IF(COUNT('Milho 2ª safra'!$E30:$Z30)=0,0,MAX(0,IF((AQ$6-$E$3)&lt;1,0,IFERROR(LOOKUP(2,1/('Milho 2ª safra'!$E30:INDEX('Milho 2ª safra'!$E30:$Z30,MIN(AQ$6-$E$3,22))&lt;&gt;""),'Milho 2ª safra'!$E30:INDEX('Milho 2ª safra'!$E30:$Z30,MIN(AQ$6-$E$3,22))),0))-IF($G$2,0,IF((AQ$6-$G$3)&lt;1,0,IFERROR(LOOKUP(2,1/('Milho 2ª safra'!$E30:INDEX('Milho 2ª safra'!$E30:$Z30,MIN(AQ$6-$G$3,22))&lt;&gt;""),'Milho 2ª safra'!$E30:INDEX('Milho 2ª safra'!$E30:$Z30,MIN(AQ$6-$G$3,22))),0)))))</f>
        <v>0</v>
      </c>
      <c r="AR32" s="27" t="n">
        <f aca="false">IF(COUNT('Milho 2ª safra'!$E30:$Z30)=0,0,MAX(0,IF((AR$6-$E$3)&lt;1,0,IFERROR(LOOKUP(2,1/('Milho 2ª safra'!$E30:INDEX('Milho 2ª safra'!$E30:$Z30,MIN(AR$6-$E$3,22))&lt;&gt;""),'Milho 2ª safra'!$E30:INDEX('Milho 2ª safra'!$E30:$Z30,MIN(AR$6-$E$3,22))),0))-IF($G$2,0,IF((AR$6-$G$3)&lt;1,0,IFERROR(LOOKUP(2,1/('Milho 2ª safra'!$E30:INDEX('Milho 2ª safra'!$E30:$Z30,MIN(AR$6-$G$3,22))&lt;&gt;""),'Milho 2ª safra'!$E30:INDEX('Milho 2ª safra'!$E30:$Z30,MIN(AR$6-$G$3,22))),0)))))</f>
        <v>0</v>
      </c>
      <c r="AS32" s="27" t="n">
        <f aca="false">IF(COUNT('Milho 2ª safra'!$E30:$Z30)=0,0,MAX(0,IF((AS$6-$E$3)&lt;1,0,IFERROR(LOOKUP(2,1/('Milho 2ª safra'!$E30:INDEX('Milho 2ª safra'!$E30:$Z30,MIN(AS$6-$E$3,22))&lt;&gt;""),'Milho 2ª safra'!$E30:INDEX('Milho 2ª safra'!$E30:$Z30,MIN(AS$6-$E$3,22))),0))-IF($G$2,0,IF((AS$6-$G$3)&lt;1,0,IFERROR(LOOKUP(2,1/('Milho 2ª safra'!$E30:INDEX('Milho 2ª safra'!$E30:$Z30,MIN(AS$6-$G$3,22))&lt;&gt;""),'Milho 2ª safra'!$E30:INDEX('Milho 2ª safra'!$E30:$Z30,MIN(AS$6-$G$3,22))),0)))))</f>
        <v>0</v>
      </c>
      <c r="AT32" s="27" t="n">
        <f aca="false">IF(COUNT('Milho 2ª safra'!$E30:$Z30)=0,0,MAX(0,IF((AT$6-$E$3)&lt;1,0,IFERROR(LOOKUP(2,1/('Milho 2ª safra'!$E30:INDEX('Milho 2ª safra'!$E30:$Z30,MIN(AT$6-$E$3,22))&lt;&gt;""),'Milho 2ª safra'!$E30:INDEX('Milho 2ª safra'!$E30:$Z30,MIN(AT$6-$E$3,22))),0))-IF($G$2,0,IF((AT$6-$G$3)&lt;1,0,IFERROR(LOOKUP(2,1/('Milho 2ª safra'!$E30:INDEX('Milho 2ª safra'!$E30:$Z30,MIN(AT$6-$G$3,22))&lt;&gt;""),'Milho 2ª safra'!$E30:INDEX('Milho 2ª safra'!$E30:$Z30,MIN(AT$6-$G$3,22))),0)))))</f>
        <v>0</v>
      </c>
      <c r="AU32" s="27" t="n">
        <f aca="false">IF(COUNT('Milho 2ª safra'!$E30:$Z30)=0,0,MAX(0,IF((AU$6-$E$3)&lt;1,0,IFERROR(LOOKUP(2,1/('Milho 2ª safra'!$E30:INDEX('Milho 2ª safra'!$E30:$Z30,MIN(AU$6-$E$3,22))&lt;&gt;""),'Milho 2ª safra'!$E30:INDEX('Milho 2ª safra'!$E30:$Z30,MIN(AU$6-$E$3,22))),0))-IF($G$2,0,IF((AU$6-$G$3)&lt;1,0,IFERROR(LOOKUP(2,1/('Milho 2ª safra'!$E30:INDEX('Milho 2ª safra'!$E30:$Z30,MIN(AU$6-$G$3,22))&lt;&gt;""),'Milho 2ª safra'!$E30:INDEX('Milho 2ª safra'!$E30:$Z30,MIN(AU$6-$G$3,22))),0)))))</f>
        <v>0</v>
      </c>
      <c r="AV32" s="27" t="n">
        <f aca="false">IF(COUNT('Milho 2ª safra'!$E30:$Z30)=0,0,MAX(0,IF((AV$6-$E$3)&lt;1,0,IFERROR(LOOKUP(2,1/('Milho 2ª safra'!$E30:INDEX('Milho 2ª safra'!$E30:$Z30,MIN(AV$6-$E$3,22))&lt;&gt;""),'Milho 2ª safra'!$E30:INDEX('Milho 2ª safra'!$E30:$Z30,MIN(AV$6-$E$3,22))),0))-IF($G$2,0,IF((AV$6-$G$3)&lt;1,0,IFERROR(LOOKUP(2,1/('Milho 2ª safra'!$E30:INDEX('Milho 2ª safra'!$E30:$Z30,MIN(AV$6-$G$3,22))&lt;&gt;""),'Milho 2ª safra'!$E30:INDEX('Milho 2ª safra'!$E30:$Z30,MIN(AV$6-$G$3,22))),0)))))</f>
        <v>0</v>
      </c>
      <c r="AW32" s="27" t="n">
        <f aca="false">IF(COUNT('Milho 2ª safra'!$E30:$Z30)=0,0,MAX(0,IF((AW$6-$E$3)&lt;1,0,IFERROR(LOOKUP(2,1/('Milho 2ª safra'!$E30:INDEX('Milho 2ª safra'!$E30:$Z30,MIN(AW$6-$E$3,22))&lt;&gt;""),'Milho 2ª safra'!$E30:INDEX('Milho 2ª safra'!$E30:$Z30,MIN(AW$6-$E$3,22))),0))-IF($G$2,0,IF((AW$6-$G$3)&lt;1,0,IFERROR(LOOKUP(2,1/('Milho 2ª safra'!$E30:INDEX('Milho 2ª safra'!$E30:$Z30,MIN(AW$6-$G$3,22))&lt;&gt;""),'Milho 2ª safra'!$E30:INDEX('Milho 2ª safra'!$E30:$Z30,MIN(AW$6-$G$3,22))),0)))))</f>
        <v>0</v>
      </c>
      <c r="AX32" s="27" t="n">
        <f aca="false">IF(COUNT('Milho 2ª safra'!$E30:$Z30)=0,0,MAX(0,IF((AX$6-$E$3)&lt;1,0,IFERROR(LOOKUP(2,1/('Milho 2ª safra'!$E30:INDEX('Milho 2ª safra'!$E30:$Z30,MIN(AX$6-$E$3,22))&lt;&gt;""),'Milho 2ª safra'!$E30:INDEX('Milho 2ª safra'!$E30:$Z30,MIN(AX$6-$E$3,22))),0))-IF($G$2,0,IF((AX$6-$G$3)&lt;1,0,IFERROR(LOOKUP(2,1/('Milho 2ª safra'!$E30:INDEX('Milho 2ª safra'!$E30:$Z30,MIN(AX$6-$G$3,22))&lt;&gt;""),'Milho 2ª safra'!$E30:INDEX('Milho 2ª safra'!$E30:$Z30,MIN(AX$6-$G$3,22))),0)))))</f>
        <v>0</v>
      </c>
      <c r="AY32" s="27" t="n">
        <f aca="false">IF(COUNT('Milho 2ª safra'!$E30:$Z30)=0,0,MAX(0,IF((AY$6-$E$3)&lt;1,0,IFERROR(LOOKUP(2,1/('Milho 2ª safra'!$E30:INDEX('Milho 2ª safra'!$E30:$Z30,MIN(AY$6-$E$3,22))&lt;&gt;""),'Milho 2ª safra'!$E30:INDEX('Milho 2ª safra'!$E30:$Z30,MIN(AY$6-$E$3,22))),0))-IF($G$2,0,IF((AY$6-$G$3)&lt;1,0,IFERROR(LOOKUP(2,1/('Milho 2ª safra'!$E30:INDEX('Milho 2ª safra'!$E30:$Z30,MIN(AY$6-$G$3,22))&lt;&gt;""),'Milho 2ª safra'!$E30:INDEX('Milho 2ª safra'!$E30:$Z30,MIN(AY$6-$G$3,22))),0)))))</f>
        <v>0</v>
      </c>
      <c r="AZ32" s="27" t="n">
        <f aca="false">IF(COUNT('Milho 2ª safra'!$E30:$Z30)=0,0,MAX(0,IF((AZ$6-$E$3)&lt;1,0,IFERROR(LOOKUP(2,1/('Milho 2ª safra'!$E30:INDEX('Milho 2ª safra'!$E30:$Z30,MIN(AZ$6-$E$3,22))&lt;&gt;""),'Milho 2ª safra'!$E30:INDEX('Milho 2ª safra'!$E30:$Z30,MIN(AZ$6-$E$3,22))),0))-IF($G$2,0,IF((AZ$6-$G$3)&lt;1,0,IFERROR(LOOKUP(2,1/('Milho 2ª safra'!$E30:INDEX('Milho 2ª safra'!$E30:$Z30,MIN(AZ$6-$G$3,22))&lt;&gt;""),'Milho 2ª safra'!$E30:INDEX('Milho 2ª safra'!$E30:$Z30,MIN(AZ$6-$G$3,22))),0)))))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IF(COUNT('Milho 2ª safra'!$E31:$Z31)&gt;0,N('Milho 2ª safra'!$D31),0)</f>
        <v>0</v>
      </c>
      <c r="E33" s="27" t="n">
        <f aca="false">IF(COUNT('Milho 2ª safra'!$E31:$Z31)=0,0,MAX(0,IF((E$6-$E$3)&lt;1,0,IFERROR(LOOKUP(2,1/('Milho 2ª safra'!$E31:INDEX('Milho 2ª safra'!$E31:$Z31,MIN(E$6-$E$3,22))&lt;&gt;""),'Milho 2ª safra'!$E31:INDEX('Milho 2ª safra'!$E31:$Z31,MIN(E$6-$E$3,22))),0))-IF($G$2,0,IF((E$6-$G$3)&lt;1,0,IFERROR(LOOKUP(2,1/('Milho 2ª safra'!$E31:INDEX('Milho 2ª safra'!$E31:$Z31,MIN(E$6-$G$3,22))&lt;&gt;""),'Milho 2ª safra'!$E31:INDEX('Milho 2ª safra'!$E31:$Z31,MIN(E$6-$G$3,22))),0)))))</f>
        <v>0</v>
      </c>
      <c r="F33" s="27" t="n">
        <f aca="false">IF(COUNT('Milho 2ª safra'!$E31:$Z31)=0,0,MAX(0,IF((F$6-$E$3)&lt;1,0,IFERROR(LOOKUP(2,1/('Milho 2ª safra'!$E31:INDEX('Milho 2ª safra'!$E31:$Z31,MIN(F$6-$E$3,22))&lt;&gt;""),'Milho 2ª safra'!$E31:INDEX('Milho 2ª safra'!$E31:$Z31,MIN(F$6-$E$3,22))),0))-IF($G$2,0,IF((F$6-$G$3)&lt;1,0,IFERROR(LOOKUP(2,1/('Milho 2ª safra'!$E31:INDEX('Milho 2ª safra'!$E31:$Z31,MIN(F$6-$G$3,22))&lt;&gt;""),'Milho 2ª safra'!$E31:INDEX('Milho 2ª safra'!$E31:$Z31,MIN(F$6-$G$3,22))),0)))))</f>
        <v>0</v>
      </c>
      <c r="G33" s="27" t="n">
        <f aca="false">IF(COUNT('Milho 2ª safra'!$E31:$Z31)=0,0,MAX(0,IF((G$6-$E$3)&lt;1,0,IFERROR(LOOKUP(2,1/('Milho 2ª safra'!$E31:INDEX('Milho 2ª safra'!$E31:$Z31,MIN(G$6-$E$3,22))&lt;&gt;""),'Milho 2ª safra'!$E31:INDEX('Milho 2ª safra'!$E31:$Z31,MIN(G$6-$E$3,22))),0))-IF($G$2,0,IF((G$6-$G$3)&lt;1,0,IFERROR(LOOKUP(2,1/('Milho 2ª safra'!$E31:INDEX('Milho 2ª safra'!$E31:$Z31,MIN(G$6-$G$3,22))&lt;&gt;""),'Milho 2ª safra'!$E31:INDEX('Milho 2ª safra'!$E31:$Z31,MIN(G$6-$G$3,22))),0)))))</f>
        <v>0</v>
      </c>
      <c r="H33" s="27" t="n">
        <f aca="false">IF(COUNT('Milho 2ª safra'!$E31:$Z31)=0,0,MAX(0,IF((H$6-$E$3)&lt;1,0,IFERROR(LOOKUP(2,1/('Milho 2ª safra'!$E31:INDEX('Milho 2ª safra'!$E31:$Z31,MIN(H$6-$E$3,22))&lt;&gt;""),'Milho 2ª safra'!$E31:INDEX('Milho 2ª safra'!$E31:$Z31,MIN(H$6-$E$3,22))),0))-IF($G$2,0,IF((H$6-$G$3)&lt;1,0,IFERROR(LOOKUP(2,1/('Milho 2ª safra'!$E31:INDEX('Milho 2ª safra'!$E31:$Z31,MIN(H$6-$G$3,22))&lt;&gt;""),'Milho 2ª safra'!$E31:INDEX('Milho 2ª safra'!$E31:$Z31,MIN(H$6-$G$3,22))),0)))))</f>
        <v>0</v>
      </c>
      <c r="I33" s="27" t="n">
        <f aca="false">IF(COUNT('Milho 2ª safra'!$E31:$Z31)=0,0,MAX(0,IF((I$6-$E$3)&lt;1,0,IFERROR(LOOKUP(2,1/('Milho 2ª safra'!$E31:INDEX('Milho 2ª safra'!$E31:$Z31,MIN(I$6-$E$3,22))&lt;&gt;""),'Milho 2ª safra'!$E31:INDEX('Milho 2ª safra'!$E31:$Z31,MIN(I$6-$E$3,22))),0))-IF($G$2,0,IF((I$6-$G$3)&lt;1,0,IFERROR(LOOKUP(2,1/('Milho 2ª safra'!$E31:INDEX('Milho 2ª safra'!$E31:$Z31,MIN(I$6-$G$3,22))&lt;&gt;""),'Milho 2ª safra'!$E31:INDEX('Milho 2ª safra'!$E31:$Z31,MIN(I$6-$G$3,22))),0)))))</f>
        <v>0</v>
      </c>
      <c r="J33" s="27" t="n">
        <f aca="false">IF(COUNT('Milho 2ª safra'!$E31:$Z31)=0,0,MAX(0,IF((J$6-$E$3)&lt;1,0,IFERROR(LOOKUP(2,1/('Milho 2ª safra'!$E31:INDEX('Milho 2ª safra'!$E31:$Z31,MIN(J$6-$E$3,22))&lt;&gt;""),'Milho 2ª safra'!$E31:INDEX('Milho 2ª safra'!$E31:$Z31,MIN(J$6-$E$3,22))),0))-IF($G$2,0,IF((J$6-$G$3)&lt;1,0,IFERROR(LOOKUP(2,1/('Milho 2ª safra'!$E31:INDEX('Milho 2ª safra'!$E31:$Z31,MIN(J$6-$G$3,22))&lt;&gt;""),'Milho 2ª safra'!$E31:INDEX('Milho 2ª safra'!$E31:$Z31,MIN(J$6-$G$3,22))),0)))))</f>
        <v>0</v>
      </c>
      <c r="K33" s="27" t="n">
        <f aca="false">IF(COUNT('Milho 2ª safra'!$E31:$Z31)=0,0,MAX(0,IF((K$6-$E$3)&lt;1,0,IFERROR(LOOKUP(2,1/('Milho 2ª safra'!$E31:INDEX('Milho 2ª safra'!$E31:$Z31,MIN(K$6-$E$3,22))&lt;&gt;""),'Milho 2ª safra'!$E31:INDEX('Milho 2ª safra'!$E31:$Z31,MIN(K$6-$E$3,22))),0))-IF($G$2,0,IF((K$6-$G$3)&lt;1,0,IFERROR(LOOKUP(2,1/('Milho 2ª safra'!$E31:INDEX('Milho 2ª safra'!$E31:$Z31,MIN(K$6-$G$3,22))&lt;&gt;""),'Milho 2ª safra'!$E31:INDEX('Milho 2ª safra'!$E31:$Z31,MIN(K$6-$G$3,22))),0)))))</f>
        <v>0</v>
      </c>
      <c r="L33" s="27" t="n">
        <f aca="false">IF(COUNT('Milho 2ª safra'!$E31:$Z31)=0,0,MAX(0,IF((L$6-$E$3)&lt;1,0,IFERROR(LOOKUP(2,1/('Milho 2ª safra'!$E31:INDEX('Milho 2ª safra'!$E31:$Z31,MIN(L$6-$E$3,22))&lt;&gt;""),'Milho 2ª safra'!$E31:INDEX('Milho 2ª safra'!$E31:$Z31,MIN(L$6-$E$3,22))),0))-IF($G$2,0,IF((L$6-$G$3)&lt;1,0,IFERROR(LOOKUP(2,1/('Milho 2ª safra'!$E31:INDEX('Milho 2ª safra'!$E31:$Z31,MIN(L$6-$G$3,22))&lt;&gt;""),'Milho 2ª safra'!$E31:INDEX('Milho 2ª safra'!$E31:$Z31,MIN(L$6-$G$3,22))),0)))))</f>
        <v>0</v>
      </c>
      <c r="M33" s="27" t="n">
        <f aca="false">IF(COUNT('Milho 2ª safra'!$E31:$Z31)=0,0,MAX(0,IF((M$6-$E$3)&lt;1,0,IFERROR(LOOKUP(2,1/('Milho 2ª safra'!$E31:INDEX('Milho 2ª safra'!$E31:$Z31,MIN(M$6-$E$3,22))&lt;&gt;""),'Milho 2ª safra'!$E31:INDEX('Milho 2ª safra'!$E31:$Z31,MIN(M$6-$E$3,22))),0))-IF($G$2,0,IF((M$6-$G$3)&lt;1,0,IFERROR(LOOKUP(2,1/('Milho 2ª safra'!$E31:INDEX('Milho 2ª safra'!$E31:$Z31,MIN(M$6-$G$3,22))&lt;&gt;""),'Milho 2ª safra'!$E31:INDEX('Milho 2ª safra'!$E31:$Z31,MIN(M$6-$G$3,22))),0)))))</f>
        <v>0</v>
      </c>
      <c r="N33" s="27" t="n">
        <f aca="false">IF(COUNT('Milho 2ª safra'!$E31:$Z31)=0,0,MAX(0,IF((N$6-$E$3)&lt;1,0,IFERROR(LOOKUP(2,1/('Milho 2ª safra'!$E31:INDEX('Milho 2ª safra'!$E31:$Z31,MIN(N$6-$E$3,22))&lt;&gt;""),'Milho 2ª safra'!$E31:INDEX('Milho 2ª safra'!$E31:$Z31,MIN(N$6-$E$3,22))),0))-IF($G$2,0,IF((N$6-$G$3)&lt;1,0,IFERROR(LOOKUP(2,1/('Milho 2ª safra'!$E31:INDEX('Milho 2ª safra'!$E31:$Z31,MIN(N$6-$G$3,22))&lt;&gt;""),'Milho 2ª safra'!$E31:INDEX('Milho 2ª safra'!$E31:$Z31,MIN(N$6-$G$3,22))),0)))))</f>
        <v>0</v>
      </c>
      <c r="O33" s="27" t="n">
        <f aca="false">IF(COUNT('Milho 2ª safra'!$E31:$Z31)=0,0,MAX(0,IF((O$6-$E$3)&lt;1,0,IFERROR(LOOKUP(2,1/('Milho 2ª safra'!$E31:INDEX('Milho 2ª safra'!$E31:$Z31,MIN(O$6-$E$3,22))&lt;&gt;""),'Milho 2ª safra'!$E31:INDEX('Milho 2ª safra'!$E31:$Z31,MIN(O$6-$E$3,22))),0))-IF($G$2,0,IF((O$6-$G$3)&lt;1,0,IFERROR(LOOKUP(2,1/('Milho 2ª safra'!$E31:INDEX('Milho 2ª safra'!$E31:$Z31,MIN(O$6-$G$3,22))&lt;&gt;""),'Milho 2ª safra'!$E31:INDEX('Milho 2ª safra'!$E31:$Z31,MIN(O$6-$G$3,22))),0)))))</f>
        <v>0</v>
      </c>
      <c r="P33" s="27" t="n">
        <f aca="false">IF(COUNT('Milho 2ª safra'!$E31:$Z31)=0,0,MAX(0,IF((P$6-$E$3)&lt;1,0,IFERROR(LOOKUP(2,1/('Milho 2ª safra'!$E31:INDEX('Milho 2ª safra'!$E31:$Z31,MIN(P$6-$E$3,22))&lt;&gt;""),'Milho 2ª safra'!$E31:INDEX('Milho 2ª safra'!$E31:$Z31,MIN(P$6-$E$3,22))),0))-IF($G$2,0,IF((P$6-$G$3)&lt;1,0,IFERROR(LOOKUP(2,1/('Milho 2ª safra'!$E31:INDEX('Milho 2ª safra'!$E31:$Z31,MIN(P$6-$G$3,22))&lt;&gt;""),'Milho 2ª safra'!$E31:INDEX('Milho 2ª safra'!$E31:$Z31,MIN(P$6-$G$3,22))),0)))))</f>
        <v>0</v>
      </c>
      <c r="Q33" s="27" t="n">
        <f aca="false">IF(COUNT('Milho 2ª safra'!$E31:$Z31)=0,0,MAX(0,IF((Q$6-$E$3)&lt;1,0,IFERROR(LOOKUP(2,1/('Milho 2ª safra'!$E31:INDEX('Milho 2ª safra'!$E31:$Z31,MIN(Q$6-$E$3,22))&lt;&gt;""),'Milho 2ª safra'!$E31:INDEX('Milho 2ª safra'!$E31:$Z31,MIN(Q$6-$E$3,22))),0))-IF($G$2,0,IF((Q$6-$G$3)&lt;1,0,IFERROR(LOOKUP(2,1/('Milho 2ª safra'!$E31:INDEX('Milho 2ª safra'!$E31:$Z31,MIN(Q$6-$G$3,22))&lt;&gt;""),'Milho 2ª safra'!$E31:INDEX('Milho 2ª safra'!$E31:$Z31,MIN(Q$6-$G$3,22))),0)))))</f>
        <v>0</v>
      </c>
      <c r="R33" s="27" t="n">
        <f aca="false">IF(COUNT('Milho 2ª safra'!$E31:$Z31)=0,0,MAX(0,IF((R$6-$E$3)&lt;1,0,IFERROR(LOOKUP(2,1/('Milho 2ª safra'!$E31:INDEX('Milho 2ª safra'!$E31:$Z31,MIN(R$6-$E$3,22))&lt;&gt;""),'Milho 2ª safra'!$E31:INDEX('Milho 2ª safra'!$E31:$Z31,MIN(R$6-$E$3,22))),0))-IF($G$2,0,IF((R$6-$G$3)&lt;1,0,IFERROR(LOOKUP(2,1/('Milho 2ª safra'!$E31:INDEX('Milho 2ª safra'!$E31:$Z31,MIN(R$6-$G$3,22))&lt;&gt;""),'Milho 2ª safra'!$E31:INDEX('Milho 2ª safra'!$E31:$Z31,MIN(R$6-$G$3,22))),0)))))</f>
        <v>0</v>
      </c>
      <c r="S33" s="27" t="n">
        <f aca="false">IF(COUNT('Milho 2ª safra'!$E31:$Z31)=0,0,MAX(0,IF((S$6-$E$3)&lt;1,0,IFERROR(LOOKUP(2,1/('Milho 2ª safra'!$E31:INDEX('Milho 2ª safra'!$E31:$Z31,MIN(S$6-$E$3,22))&lt;&gt;""),'Milho 2ª safra'!$E31:INDEX('Milho 2ª safra'!$E31:$Z31,MIN(S$6-$E$3,22))),0))-IF($G$2,0,IF((S$6-$G$3)&lt;1,0,IFERROR(LOOKUP(2,1/('Milho 2ª safra'!$E31:INDEX('Milho 2ª safra'!$E31:$Z31,MIN(S$6-$G$3,22))&lt;&gt;""),'Milho 2ª safra'!$E31:INDEX('Milho 2ª safra'!$E31:$Z31,MIN(S$6-$G$3,22))),0)))))</f>
        <v>0</v>
      </c>
      <c r="T33" s="27" t="n">
        <f aca="false">IF(COUNT('Milho 2ª safra'!$E31:$Z31)=0,0,MAX(0,IF((T$6-$E$3)&lt;1,0,IFERROR(LOOKUP(2,1/('Milho 2ª safra'!$E31:INDEX('Milho 2ª safra'!$E31:$Z31,MIN(T$6-$E$3,22))&lt;&gt;""),'Milho 2ª safra'!$E31:INDEX('Milho 2ª safra'!$E31:$Z31,MIN(T$6-$E$3,22))),0))-IF($G$2,0,IF((T$6-$G$3)&lt;1,0,IFERROR(LOOKUP(2,1/('Milho 2ª safra'!$E31:INDEX('Milho 2ª safra'!$E31:$Z31,MIN(T$6-$G$3,22))&lt;&gt;""),'Milho 2ª safra'!$E31:INDEX('Milho 2ª safra'!$E31:$Z31,MIN(T$6-$G$3,22))),0)))))</f>
        <v>0</v>
      </c>
      <c r="U33" s="27" t="n">
        <f aca="false">IF(COUNT('Milho 2ª safra'!$E31:$Z31)=0,0,MAX(0,IF((U$6-$E$3)&lt;1,0,IFERROR(LOOKUP(2,1/('Milho 2ª safra'!$E31:INDEX('Milho 2ª safra'!$E31:$Z31,MIN(U$6-$E$3,22))&lt;&gt;""),'Milho 2ª safra'!$E31:INDEX('Milho 2ª safra'!$E31:$Z31,MIN(U$6-$E$3,22))),0))-IF($G$2,0,IF((U$6-$G$3)&lt;1,0,IFERROR(LOOKUP(2,1/('Milho 2ª safra'!$E31:INDEX('Milho 2ª safra'!$E31:$Z31,MIN(U$6-$G$3,22))&lt;&gt;""),'Milho 2ª safra'!$E31:INDEX('Milho 2ª safra'!$E31:$Z31,MIN(U$6-$G$3,22))),0)))))</f>
        <v>0</v>
      </c>
      <c r="V33" s="27" t="n">
        <f aca="false">IF(COUNT('Milho 2ª safra'!$E31:$Z31)=0,0,MAX(0,IF((V$6-$E$3)&lt;1,0,IFERROR(LOOKUP(2,1/('Milho 2ª safra'!$E31:INDEX('Milho 2ª safra'!$E31:$Z31,MIN(V$6-$E$3,22))&lt;&gt;""),'Milho 2ª safra'!$E31:INDEX('Milho 2ª safra'!$E31:$Z31,MIN(V$6-$E$3,22))),0))-IF($G$2,0,IF((V$6-$G$3)&lt;1,0,IFERROR(LOOKUP(2,1/('Milho 2ª safra'!$E31:INDEX('Milho 2ª safra'!$E31:$Z31,MIN(V$6-$G$3,22))&lt;&gt;""),'Milho 2ª safra'!$E31:INDEX('Milho 2ª safra'!$E31:$Z31,MIN(V$6-$G$3,22))),0)))))</f>
        <v>0</v>
      </c>
      <c r="W33" s="27" t="n">
        <f aca="false">IF(COUNT('Milho 2ª safra'!$E31:$Z31)=0,0,MAX(0,IF((W$6-$E$3)&lt;1,0,IFERROR(LOOKUP(2,1/('Milho 2ª safra'!$E31:INDEX('Milho 2ª safra'!$E31:$Z31,MIN(W$6-$E$3,22))&lt;&gt;""),'Milho 2ª safra'!$E31:INDEX('Milho 2ª safra'!$E31:$Z31,MIN(W$6-$E$3,22))),0))-IF($G$2,0,IF((W$6-$G$3)&lt;1,0,IFERROR(LOOKUP(2,1/('Milho 2ª safra'!$E31:INDEX('Milho 2ª safra'!$E31:$Z31,MIN(W$6-$G$3,22))&lt;&gt;""),'Milho 2ª safra'!$E31:INDEX('Milho 2ª safra'!$E31:$Z31,MIN(W$6-$G$3,22))),0)))))</f>
        <v>0</v>
      </c>
      <c r="X33" s="27" t="n">
        <f aca="false">IF(COUNT('Milho 2ª safra'!$E31:$Z31)=0,0,MAX(0,IF((X$6-$E$3)&lt;1,0,IFERROR(LOOKUP(2,1/('Milho 2ª safra'!$E31:INDEX('Milho 2ª safra'!$E31:$Z31,MIN(X$6-$E$3,22))&lt;&gt;""),'Milho 2ª safra'!$E31:INDEX('Milho 2ª safra'!$E31:$Z31,MIN(X$6-$E$3,22))),0))-IF($G$2,0,IF((X$6-$G$3)&lt;1,0,IFERROR(LOOKUP(2,1/('Milho 2ª safra'!$E31:INDEX('Milho 2ª safra'!$E31:$Z31,MIN(X$6-$G$3,22))&lt;&gt;""),'Milho 2ª safra'!$E31:INDEX('Milho 2ª safra'!$E31:$Z31,MIN(X$6-$G$3,22))),0)))))</f>
        <v>0</v>
      </c>
      <c r="Y33" s="27" t="n">
        <f aca="false">IF(COUNT('Milho 2ª safra'!$E31:$Z31)=0,0,MAX(0,IF((Y$6-$E$3)&lt;1,0,IFERROR(LOOKUP(2,1/('Milho 2ª safra'!$E31:INDEX('Milho 2ª safra'!$E31:$Z31,MIN(Y$6-$E$3,22))&lt;&gt;""),'Milho 2ª safra'!$E31:INDEX('Milho 2ª safra'!$E31:$Z31,MIN(Y$6-$E$3,22))),0))-IF($G$2,0,IF((Y$6-$G$3)&lt;1,0,IFERROR(LOOKUP(2,1/('Milho 2ª safra'!$E31:INDEX('Milho 2ª safra'!$E31:$Z31,MIN(Y$6-$G$3,22))&lt;&gt;""),'Milho 2ª safra'!$E31:INDEX('Milho 2ª safra'!$E31:$Z31,MIN(Y$6-$G$3,22))),0)))))</f>
        <v>0</v>
      </c>
      <c r="Z33" s="27" t="n">
        <f aca="false">IF(COUNT('Milho 2ª safra'!$E31:$Z31)=0,0,MAX(0,IF((Z$6-$E$3)&lt;1,0,IFERROR(LOOKUP(2,1/('Milho 2ª safra'!$E31:INDEX('Milho 2ª safra'!$E31:$Z31,MIN(Z$6-$E$3,22))&lt;&gt;""),'Milho 2ª safra'!$E31:INDEX('Milho 2ª safra'!$E31:$Z31,MIN(Z$6-$E$3,22))),0))-IF($G$2,0,IF((Z$6-$G$3)&lt;1,0,IFERROR(LOOKUP(2,1/('Milho 2ª safra'!$E31:INDEX('Milho 2ª safra'!$E31:$Z31,MIN(Z$6-$G$3,22))&lt;&gt;""),'Milho 2ª safra'!$E31:INDEX('Milho 2ª safra'!$E31:$Z31,MIN(Z$6-$G$3,22))),0)))))</f>
        <v>0</v>
      </c>
      <c r="AA33" s="27" t="n">
        <f aca="false">IF(COUNT('Milho 2ª safra'!$E31:$Z31)=0,0,MAX(0,IF((AA$6-$E$3)&lt;1,0,IFERROR(LOOKUP(2,1/('Milho 2ª safra'!$E31:INDEX('Milho 2ª safra'!$E31:$Z31,MIN(AA$6-$E$3,22))&lt;&gt;""),'Milho 2ª safra'!$E31:INDEX('Milho 2ª safra'!$E31:$Z31,MIN(AA$6-$E$3,22))),0))-IF($G$2,0,IF((AA$6-$G$3)&lt;1,0,IFERROR(LOOKUP(2,1/('Milho 2ª safra'!$E31:INDEX('Milho 2ª safra'!$E31:$Z31,MIN(AA$6-$G$3,22))&lt;&gt;""),'Milho 2ª safra'!$E31:INDEX('Milho 2ª safra'!$E31:$Z31,MIN(AA$6-$G$3,22))),0)))))</f>
        <v>0</v>
      </c>
      <c r="AB33" s="27" t="n">
        <f aca="false">IF(COUNT('Milho 2ª safra'!$E31:$Z31)=0,0,MAX(0,IF((AB$6-$E$3)&lt;1,0,IFERROR(LOOKUP(2,1/('Milho 2ª safra'!$E31:INDEX('Milho 2ª safra'!$E31:$Z31,MIN(AB$6-$E$3,22))&lt;&gt;""),'Milho 2ª safra'!$E31:INDEX('Milho 2ª safra'!$E31:$Z31,MIN(AB$6-$E$3,22))),0))-IF($G$2,0,IF((AB$6-$G$3)&lt;1,0,IFERROR(LOOKUP(2,1/('Milho 2ª safra'!$E31:INDEX('Milho 2ª safra'!$E31:$Z31,MIN(AB$6-$G$3,22))&lt;&gt;""),'Milho 2ª safra'!$E31:INDEX('Milho 2ª safra'!$E31:$Z31,MIN(AB$6-$G$3,22))),0)))))</f>
        <v>0</v>
      </c>
      <c r="AC33" s="27" t="n">
        <f aca="false">IF(COUNT('Milho 2ª safra'!$E31:$Z31)=0,0,MAX(0,IF((AC$6-$E$3)&lt;1,0,IFERROR(LOOKUP(2,1/('Milho 2ª safra'!$E31:INDEX('Milho 2ª safra'!$E31:$Z31,MIN(AC$6-$E$3,22))&lt;&gt;""),'Milho 2ª safra'!$E31:INDEX('Milho 2ª safra'!$E31:$Z31,MIN(AC$6-$E$3,22))),0))-IF($G$2,0,IF((AC$6-$G$3)&lt;1,0,IFERROR(LOOKUP(2,1/('Milho 2ª safra'!$E31:INDEX('Milho 2ª safra'!$E31:$Z31,MIN(AC$6-$G$3,22))&lt;&gt;""),'Milho 2ª safra'!$E31:INDEX('Milho 2ª safra'!$E31:$Z31,MIN(AC$6-$G$3,22))),0)))))</f>
        <v>0</v>
      </c>
      <c r="AD33" s="27" t="n">
        <f aca="false">IF(COUNT('Milho 2ª safra'!$E31:$Z31)=0,0,MAX(0,IF((AD$6-$E$3)&lt;1,0,IFERROR(LOOKUP(2,1/('Milho 2ª safra'!$E31:INDEX('Milho 2ª safra'!$E31:$Z31,MIN(AD$6-$E$3,22))&lt;&gt;""),'Milho 2ª safra'!$E31:INDEX('Milho 2ª safra'!$E31:$Z31,MIN(AD$6-$E$3,22))),0))-IF($G$2,0,IF((AD$6-$G$3)&lt;1,0,IFERROR(LOOKUP(2,1/('Milho 2ª safra'!$E31:INDEX('Milho 2ª safra'!$E31:$Z31,MIN(AD$6-$G$3,22))&lt;&gt;""),'Milho 2ª safra'!$E31:INDEX('Milho 2ª safra'!$E31:$Z31,MIN(AD$6-$G$3,22))),0)))))</f>
        <v>0</v>
      </c>
      <c r="AE33" s="27" t="n">
        <f aca="false">IF(COUNT('Milho 2ª safra'!$E31:$Z31)=0,0,MAX(0,IF((AE$6-$E$3)&lt;1,0,IFERROR(LOOKUP(2,1/('Milho 2ª safra'!$E31:INDEX('Milho 2ª safra'!$E31:$Z31,MIN(AE$6-$E$3,22))&lt;&gt;""),'Milho 2ª safra'!$E31:INDEX('Milho 2ª safra'!$E31:$Z31,MIN(AE$6-$E$3,22))),0))-IF($G$2,0,IF((AE$6-$G$3)&lt;1,0,IFERROR(LOOKUP(2,1/('Milho 2ª safra'!$E31:INDEX('Milho 2ª safra'!$E31:$Z31,MIN(AE$6-$G$3,22))&lt;&gt;""),'Milho 2ª safra'!$E31:INDEX('Milho 2ª safra'!$E31:$Z31,MIN(AE$6-$G$3,22))),0)))))</f>
        <v>0</v>
      </c>
      <c r="AF33" s="27" t="n">
        <f aca="false">IF(COUNT('Milho 2ª safra'!$E31:$Z31)=0,0,MAX(0,IF((AF$6-$E$3)&lt;1,0,IFERROR(LOOKUP(2,1/('Milho 2ª safra'!$E31:INDEX('Milho 2ª safra'!$E31:$Z31,MIN(AF$6-$E$3,22))&lt;&gt;""),'Milho 2ª safra'!$E31:INDEX('Milho 2ª safra'!$E31:$Z31,MIN(AF$6-$E$3,22))),0))-IF($G$2,0,IF((AF$6-$G$3)&lt;1,0,IFERROR(LOOKUP(2,1/('Milho 2ª safra'!$E31:INDEX('Milho 2ª safra'!$E31:$Z31,MIN(AF$6-$G$3,22))&lt;&gt;""),'Milho 2ª safra'!$E31:INDEX('Milho 2ª safra'!$E31:$Z31,MIN(AF$6-$G$3,22))),0)))))</f>
        <v>0</v>
      </c>
      <c r="AG33" s="27" t="n">
        <f aca="false">IF(COUNT('Milho 2ª safra'!$E31:$Z31)=0,0,MAX(0,IF((AG$6-$E$3)&lt;1,0,IFERROR(LOOKUP(2,1/('Milho 2ª safra'!$E31:INDEX('Milho 2ª safra'!$E31:$Z31,MIN(AG$6-$E$3,22))&lt;&gt;""),'Milho 2ª safra'!$E31:INDEX('Milho 2ª safra'!$E31:$Z31,MIN(AG$6-$E$3,22))),0))-IF($G$2,0,IF((AG$6-$G$3)&lt;1,0,IFERROR(LOOKUP(2,1/('Milho 2ª safra'!$E31:INDEX('Milho 2ª safra'!$E31:$Z31,MIN(AG$6-$G$3,22))&lt;&gt;""),'Milho 2ª safra'!$E31:INDEX('Milho 2ª safra'!$E31:$Z31,MIN(AG$6-$G$3,22))),0)))))</f>
        <v>0</v>
      </c>
      <c r="AH33" s="27" t="n">
        <f aca="false">IF(COUNT('Milho 2ª safra'!$E31:$Z31)=0,0,MAX(0,IF((AH$6-$E$3)&lt;1,0,IFERROR(LOOKUP(2,1/('Milho 2ª safra'!$E31:INDEX('Milho 2ª safra'!$E31:$Z31,MIN(AH$6-$E$3,22))&lt;&gt;""),'Milho 2ª safra'!$E31:INDEX('Milho 2ª safra'!$E31:$Z31,MIN(AH$6-$E$3,22))),0))-IF($G$2,0,IF((AH$6-$G$3)&lt;1,0,IFERROR(LOOKUP(2,1/('Milho 2ª safra'!$E31:INDEX('Milho 2ª safra'!$E31:$Z31,MIN(AH$6-$G$3,22))&lt;&gt;""),'Milho 2ª safra'!$E31:INDEX('Milho 2ª safra'!$E31:$Z31,MIN(AH$6-$G$3,22))),0)))))</f>
        <v>0</v>
      </c>
      <c r="AI33" s="27" t="n">
        <f aca="false">IF(COUNT('Milho 2ª safra'!$E31:$Z31)=0,0,MAX(0,IF((AI$6-$E$3)&lt;1,0,IFERROR(LOOKUP(2,1/('Milho 2ª safra'!$E31:INDEX('Milho 2ª safra'!$E31:$Z31,MIN(AI$6-$E$3,22))&lt;&gt;""),'Milho 2ª safra'!$E31:INDEX('Milho 2ª safra'!$E31:$Z31,MIN(AI$6-$E$3,22))),0))-IF($G$2,0,IF((AI$6-$G$3)&lt;1,0,IFERROR(LOOKUP(2,1/('Milho 2ª safra'!$E31:INDEX('Milho 2ª safra'!$E31:$Z31,MIN(AI$6-$G$3,22))&lt;&gt;""),'Milho 2ª safra'!$E31:INDEX('Milho 2ª safra'!$E31:$Z31,MIN(AI$6-$G$3,22))),0)))))</f>
        <v>0</v>
      </c>
      <c r="AJ33" s="27" t="n">
        <f aca="false">IF(COUNT('Milho 2ª safra'!$E31:$Z31)=0,0,MAX(0,IF((AJ$6-$E$3)&lt;1,0,IFERROR(LOOKUP(2,1/('Milho 2ª safra'!$E31:INDEX('Milho 2ª safra'!$E31:$Z31,MIN(AJ$6-$E$3,22))&lt;&gt;""),'Milho 2ª safra'!$E31:INDEX('Milho 2ª safra'!$E31:$Z31,MIN(AJ$6-$E$3,22))),0))-IF($G$2,0,IF((AJ$6-$G$3)&lt;1,0,IFERROR(LOOKUP(2,1/('Milho 2ª safra'!$E31:INDEX('Milho 2ª safra'!$E31:$Z31,MIN(AJ$6-$G$3,22))&lt;&gt;""),'Milho 2ª safra'!$E31:INDEX('Milho 2ª safra'!$E31:$Z31,MIN(AJ$6-$G$3,22))),0)))))</f>
        <v>0</v>
      </c>
      <c r="AK33" s="27" t="n">
        <f aca="false">IF(COUNT('Milho 2ª safra'!$E31:$Z31)=0,0,MAX(0,IF((AK$6-$E$3)&lt;1,0,IFERROR(LOOKUP(2,1/('Milho 2ª safra'!$E31:INDEX('Milho 2ª safra'!$E31:$Z31,MIN(AK$6-$E$3,22))&lt;&gt;""),'Milho 2ª safra'!$E31:INDEX('Milho 2ª safra'!$E31:$Z31,MIN(AK$6-$E$3,22))),0))-IF($G$2,0,IF((AK$6-$G$3)&lt;1,0,IFERROR(LOOKUP(2,1/('Milho 2ª safra'!$E31:INDEX('Milho 2ª safra'!$E31:$Z31,MIN(AK$6-$G$3,22))&lt;&gt;""),'Milho 2ª safra'!$E31:INDEX('Milho 2ª safra'!$E31:$Z31,MIN(AK$6-$G$3,22))),0)))))</f>
        <v>0</v>
      </c>
      <c r="AL33" s="27" t="n">
        <f aca="false">IF(COUNT('Milho 2ª safra'!$E31:$Z31)=0,0,MAX(0,IF((AL$6-$E$3)&lt;1,0,IFERROR(LOOKUP(2,1/('Milho 2ª safra'!$E31:INDEX('Milho 2ª safra'!$E31:$Z31,MIN(AL$6-$E$3,22))&lt;&gt;""),'Milho 2ª safra'!$E31:INDEX('Milho 2ª safra'!$E31:$Z31,MIN(AL$6-$E$3,22))),0))-IF($G$2,0,IF((AL$6-$G$3)&lt;1,0,IFERROR(LOOKUP(2,1/('Milho 2ª safra'!$E31:INDEX('Milho 2ª safra'!$E31:$Z31,MIN(AL$6-$G$3,22))&lt;&gt;""),'Milho 2ª safra'!$E31:INDEX('Milho 2ª safra'!$E31:$Z31,MIN(AL$6-$G$3,22))),0)))))</f>
        <v>0</v>
      </c>
      <c r="AM33" s="27" t="n">
        <f aca="false">IF(COUNT('Milho 2ª safra'!$E31:$Z31)=0,0,MAX(0,IF((AM$6-$E$3)&lt;1,0,IFERROR(LOOKUP(2,1/('Milho 2ª safra'!$E31:INDEX('Milho 2ª safra'!$E31:$Z31,MIN(AM$6-$E$3,22))&lt;&gt;""),'Milho 2ª safra'!$E31:INDEX('Milho 2ª safra'!$E31:$Z31,MIN(AM$6-$E$3,22))),0))-IF($G$2,0,IF((AM$6-$G$3)&lt;1,0,IFERROR(LOOKUP(2,1/('Milho 2ª safra'!$E31:INDEX('Milho 2ª safra'!$E31:$Z31,MIN(AM$6-$G$3,22))&lt;&gt;""),'Milho 2ª safra'!$E31:INDEX('Milho 2ª safra'!$E31:$Z31,MIN(AM$6-$G$3,22))),0)))))</f>
        <v>0</v>
      </c>
      <c r="AN33" s="27" t="n">
        <f aca="false">IF(COUNT('Milho 2ª safra'!$E31:$Z31)=0,0,MAX(0,IF((AN$6-$E$3)&lt;1,0,IFERROR(LOOKUP(2,1/('Milho 2ª safra'!$E31:INDEX('Milho 2ª safra'!$E31:$Z31,MIN(AN$6-$E$3,22))&lt;&gt;""),'Milho 2ª safra'!$E31:INDEX('Milho 2ª safra'!$E31:$Z31,MIN(AN$6-$E$3,22))),0))-IF($G$2,0,IF((AN$6-$G$3)&lt;1,0,IFERROR(LOOKUP(2,1/('Milho 2ª safra'!$E31:INDEX('Milho 2ª safra'!$E31:$Z31,MIN(AN$6-$G$3,22))&lt;&gt;""),'Milho 2ª safra'!$E31:INDEX('Milho 2ª safra'!$E31:$Z31,MIN(AN$6-$G$3,22))),0)))))</f>
        <v>0</v>
      </c>
      <c r="AO33" s="27" t="n">
        <f aca="false">IF(COUNT('Milho 2ª safra'!$E31:$Z31)=0,0,MAX(0,IF((AO$6-$E$3)&lt;1,0,IFERROR(LOOKUP(2,1/('Milho 2ª safra'!$E31:INDEX('Milho 2ª safra'!$E31:$Z31,MIN(AO$6-$E$3,22))&lt;&gt;""),'Milho 2ª safra'!$E31:INDEX('Milho 2ª safra'!$E31:$Z31,MIN(AO$6-$E$3,22))),0))-IF($G$2,0,IF((AO$6-$G$3)&lt;1,0,IFERROR(LOOKUP(2,1/('Milho 2ª safra'!$E31:INDEX('Milho 2ª safra'!$E31:$Z31,MIN(AO$6-$G$3,22))&lt;&gt;""),'Milho 2ª safra'!$E31:INDEX('Milho 2ª safra'!$E31:$Z31,MIN(AO$6-$G$3,22))),0)))))</f>
        <v>0</v>
      </c>
      <c r="AP33" s="27" t="n">
        <f aca="false">IF(COUNT('Milho 2ª safra'!$E31:$Z31)=0,0,MAX(0,IF((AP$6-$E$3)&lt;1,0,IFERROR(LOOKUP(2,1/('Milho 2ª safra'!$E31:INDEX('Milho 2ª safra'!$E31:$Z31,MIN(AP$6-$E$3,22))&lt;&gt;""),'Milho 2ª safra'!$E31:INDEX('Milho 2ª safra'!$E31:$Z31,MIN(AP$6-$E$3,22))),0))-IF($G$2,0,IF((AP$6-$G$3)&lt;1,0,IFERROR(LOOKUP(2,1/('Milho 2ª safra'!$E31:INDEX('Milho 2ª safra'!$E31:$Z31,MIN(AP$6-$G$3,22))&lt;&gt;""),'Milho 2ª safra'!$E31:INDEX('Milho 2ª safra'!$E31:$Z31,MIN(AP$6-$G$3,22))),0)))))</f>
        <v>0</v>
      </c>
      <c r="AQ33" s="27" t="n">
        <f aca="false">IF(COUNT('Milho 2ª safra'!$E31:$Z31)=0,0,MAX(0,IF((AQ$6-$E$3)&lt;1,0,IFERROR(LOOKUP(2,1/('Milho 2ª safra'!$E31:INDEX('Milho 2ª safra'!$E31:$Z31,MIN(AQ$6-$E$3,22))&lt;&gt;""),'Milho 2ª safra'!$E31:INDEX('Milho 2ª safra'!$E31:$Z31,MIN(AQ$6-$E$3,22))),0))-IF($G$2,0,IF((AQ$6-$G$3)&lt;1,0,IFERROR(LOOKUP(2,1/('Milho 2ª safra'!$E31:INDEX('Milho 2ª safra'!$E31:$Z31,MIN(AQ$6-$G$3,22))&lt;&gt;""),'Milho 2ª safra'!$E31:INDEX('Milho 2ª safra'!$E31:$Z31,MIN(AQ$6-$G$3,22))),0)))))</f>
        <v>0</v>
      </c>
      <c r="AR33" s="27" t="n">
        <f aca="false">IF(COUNT('Milho 2ª safra'!$E31:$Z31)=0,0,MAX(0,IF((AR$6-$E$3)&lt;1,0,IFERROR(LOOKUP(2,1/('Milho 2ª safra'!$E31:INDEX('Milho 2ª safra'!$E31:$Z31,MIN(AR$6-$E$3,22))&lt;&gt;""),'Milho 2ª safra'!$E31:INDEX('Milho 2ª safra'!$E31:$Z31,MIN(AR$6-$E$3,22))),0))-IF($G$2,0,IF((AR$6-$G$3)&lt;1,0,IFERROR(LOOKUP(2,1/('Milho 2ª safra'!$E31:INDEX('Milho 2ª safra'!$E31:$Z31,MIN(AR$6-$G$3,22))&lt;&gt;""),'Milho 2ª safra'!$E31:INDEX('Milho 2ª safra'!$E31:$Z31,MIN(AR$6-$G$3,22))),0)))))</f>
        <v>0</v>
      </c>
      <c r="AS33" s="27" t="n">
        <f aca="false">IF(COUNT('Milho 2ª safra'!$E31:$Z31)=0,0,MAX(0,IF((AS$6-$E$3)&lt;1,0,IFERROR(LOOKUP(2,1/('Milho 2ª safra'!$E31:INDEX('Milho 2ª safra'!$E31:$Z31,MIN(AS$6-$E$3,22))&lt;&gt;""),'Milho 2ª safra'!$E31:INDEX('Milho 2ª safra'!$E31:$Z31,MIN(AS$6-$E$3,22))),0))-IF($G$2,0,IF((AS$6-$G$3)&lt;1,0,IFERROR(LOOKUP(2,1/('Milho 2ª safra'!$E31:INDEX('Milho 2ª safra'!$E31:$Z31,MIN(AS$6-$G$3,22))&lt;&gt;""),'Milho 2ª safra'!$E31:INDEX('Milho 2ª safra'!$E31:$Z31,MIN(AS$6-$G$3,22))),0)))))</f>
        <v>0</v>
      </c>
      <c r="AT33" s="27" t="n">
        <f aca="false">IF(COUNT('Milho 2ª safra'!$E31:$Z31)=0,0,MAX(0,IF((AT$6-$E$3)&lt;1,0,IFERROR(LOOKUP(2,1/('Milho 2ª safra'!$E31:INDEX('Milho 2ª safra'!$E31:$Z31,MIN(AT$6-$E$3,22))&lt;&gt;""),'Milho 2ª safra'!$E31:INDEX('Milho 2ª safra'!$E31:$Z31,MIN(AT$6-$E$3,22))),0))-IF($G$2,0,IF((AT$6-$G$3)&lt;1,0,IFERROR(LOOKUP(2,1/('Milho 2ª safra'!$E31:INDEX('Milho 2ª safra'!$E31:$Z31,MIN(AT$6-$G$3,22))&lt;&gt;""),'Milho 2ª safra'!$E31:INDEX('Milho 2ª safra'!$E31:$Z31,MIN(AT$6-$G$3,22))),0)))))</f>
        <v>0</v>
      </c>
      <c r="AU33" s="27" t="n">
        <f aca="false">IF(COUNT('Milho 2ª safra'!$E31:$Z31)=0,0,MAX(0,IF((AU$6-$E$3)&lt;1,0,IFERROR(LOOKUP(2,1/('Milho 2ª safra'!$E31:INDEX('Milho 2ª safra'!$E31:$Z31,MIN(AU$6-$E$3,22))&lt;&gt;""),'Milho 2ª safra'!$E31:INDEX('Milho 2ª safra'!$E31:$Z31,MIN(AU$6-$E$3,22))),0))-IF($G$2,0,IF((AU$6-$G$3)&lt;1,0,IFERROR(LOOKUP(2,1/('Milho 2ª safra'!$E31:INDEX('Milho 2ª safra'!$E31:$Z31,MIN(AU$6-$G$3,22))&lt;&gt;""),'Milho 2ª safra'!$E31:INDEX('Milho 2ª safra'!$E31:$Z31,MIN(AU$6-$G$3,22))),0)))))</f>
        <v>0</v>
      </c>
      <c r="AV33" s="27" t="n">
        <f aca="false">IF(COUNT('Milho 2ª safra'!$E31:$Z31)=0,0,MAX(0,IF((AV$6-$E$3)&lt;1,0,IFERROR(LOOKUP(2,1/('Milho 2ª safra'!$E31:INDEX('Milho 2ª safra'!$E31:$Z31,MIN(AV$6-$E$3,22))&lt;&gt;""),'Milho 2ª safra'!$E31:INDEX('Milho 2ª safra'!$E31:$Z31,MIN(AV$6-$E$3,22))),0))-IF($G$2,0,IF((AV$6-$G$3)&lt;1,0,IFERROR(LOOKUP(2,1/('Milho 2ª safra'!$E31:INDEX('Milho 2ª safra'!$E31:$Z31,MIN(AV$6-$G$3,22))&lt;&gt;""),'Milho 2ª safra'!$E31:INDEX('Milho 2ª safra'!$E31:$Z31,MIN(AV$6-$G$3,22))),0)))))</f>
        <v>0</v>
      </c>
      <c r="AW33" s="27" t="n">
        <f aca="false">IF(COUNT('Milho 2ª safra'!$E31:$Z31)=0,0,MAX(0,IF((AW$6-$E$3)&lt;1,0,IFERROR(LOOKUP(2,1/('Milho 2ª safra'!$E31:INDEX('Milho 2ª safra'!$E31:$Z31,MIN(AW$6-$E$3,22))&lt;&gt;""),'Milho 2ª safra'!$E31:INDEX('Milho 2ª safra'!$E31:$Z31,MIN(AW$6-$E$3,22))),0))-IF($G$2,0,IF((AW$6-$G$3)&lt;1,0,IFERROR(LOOKUP(2,1/('Milho 2ª safra'!$E31:INDEX('Milho 2ª safra'!$E31:$Z31,MIN(AW$6-$G$3,22))&lt;&gt;""),'Milho 2ª safra'!$E31:INDEX('Milho 2ª safra'!$E31:$Z31,MIN(AW$6-$G$3,22))),0)))))</f>
        <v>0</v>
      </c>
      <c r="AX33" s="27" t="n">
        <f aca="false">IF(COUNT('Milho 2ª safra'!$E31:$Z31)=0,0,MAX(0,IF((AX$6-$E$3)&lt;1,0,IFERROR(LOOKUP(2,1/('Milho 2ª safra'!$E31:INDEX('Milho 2ª safra'!$E31:$Z31,MIN(AX$6-$E$3,22))&lt;&gt;""),'Milho 2ª safra'!$E31:INDEX('Milho 2ª safra'!$E31:$Z31,MIN(AX$6-$E$3,22))),0))-IF($G$2,0,IF((AX$6-$G$3)&lt;1,0,IFERROR(LOOKUP(2,1/('Milho 2ª safra'!$E31:INDEX('Milho 2ª safra'!$E31:$Z31,MIN(AX$6-$G$3,22))&lt;&gt;""),'Milho 2ª safra'!$E31:INDEX('Milho 2ª safra'!$E31:$Z31,MIN(AX$6-$G$3,22))),0)))))</f>
        <v>0</v>
      </c>
      <c r="AY33" s="27" t="n">
        <f aca="false">IF(COUNT('Milho 2ª safra'!$E31:$Z31)=0,0,MAX(0,IF((AY$6-$E$3)&lt;1,0,IFERROR(LOOKUP(2,1/('Milho 2ª safra'!$E31:INDEX('Milho 2ª safra'!$E31:$Z31,MIN(AY$6-$E$3,22))&lt;&gt;""),'Milho 2ª safra'!$E31:INDEX('Milho 2ª safra'!$E31:$Z31,MIN(AY$6-$E$3,22))),0))-IF($G$2,0,IF((AY$6-$G$3)&lt;1,0,IFERROR(LOOKUP(2,1/('Milho 2ª safra'!$E31:INDEX('Milho 2ª safra'!$E31:$Z31,MIN(AY$6-$G$3,22))&lt;&gt;""),'Milho 2ª safra'!$E31:INDEX('Milho 2ª safra'!$E31:$Z31,MIN(AY$6-$G$3,22))),0)))))</f>
        <v>0</v>
      </c>
      <c r="AZ33" s="27" t="n">
        <f aca="false">IF(COUNT('Milho 2ª safra'!$E31:$Z31)=0,0,MAX(0,IF((AZ$6-$E$3)&lt;1,0,IFERROR(LOOKUP(2,1/('Milho 2ª safra'!$E31:INDEX('Milho 2ª safra'!$E31:$Z31,MIN(AZ$6-$E$3,22))&lt;&gt;""),'Milho 2ª safra'!$E31:INDEX('Milho 2ª safra'!$E31:$Z31,MIN(AZ$6-$E$3,22))),0))-IF($G$2,0,IF((AZ$6-$G$3)&lt;1,0,IFERROR(LOOKUP(2,1/('Milho 2ª safra'!$E31:INDEX('Milho 2ª safra'!$E31:$Z31,MIN(AZ$6-$G$3,22))&lt;&gt;""),'Milho 2ª safra'!$E31:INDEX('Milho 2ª safra'!$E31:$Z31,MIN(AZ$6-$G$3,22))),0)))))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IF(COUNT('Milho 2ª safra'!$E32:$Z32)&gt;0,N('Milho 2ª safra'!$D32),0)</f>
        <v>0</v>
      </c>
      <c r="E34" s="27" t="n">
        <f aca="false">IF(COUNT('Milho 2ª safra'!$E32:$Z32)=0,0,MAX(0,IF((E$6-$E$3)&lt;1,0,IFERROR(LOOKUP(2,1/('Milho 2ª safra'!$E32:INDEX('Milho 2ª safra'!$E32:$Z32,MIN(E$6-$E$3,22))&lt;&gt;""),'Milho 2ª safra'!$E32:INDEX('Milho 2ª safra'!$E32:$Z32,MIN(E$6-$E$3,22))),0))-IF($G$2,0,IF((E$6-$G$3)&lt;1,0,IFERROR(LOOKUP(2,1/('Milho 2ª safra'!$E32:INDEX('Milho 2ª safra'!$E32:$Z32,MIN(E$6-$G$3,22))&lt;&gt;""),'Milho 2ª safra'!$E32:INDEX('Milho 2ª safra'!$E32:$Z32,MIN(E$6-$G$3,22))),0)))))</f>
        <v>0</v>
      </c>
      <c r="F34" s="27" t="n">
        <f aca="false">IF(COUNT('Milho 2ª safra'!$E32:$Z32)=0,0,MAX(0,IF((F$6-$E$3)&lt;1,0,IFERROR(LOOKUP(2,1/('Milho 2ª safra'!$E32:INDEX('Milho 2ª safra'!$E32:$Z32,MIN(F$6-$E$3,22))&lt;&gt;""),'Milho 2ª safra'!$E32:INDEX('Milho 2ª safra'!$E32:$Z32,MIN(F$6-$E$3,22))),0))-IF($G$2,0,IF((F$6-$G$3)&lt;1,0,IFERROR(LOOKUP(2,1/('Milho 2ª safra'!$E32:INDEX('Milho 2ª safra'!$E32:$Z32,MIN(F$6-$G$3,22))&lt;&gt;""),'Milho 2ª safra'!$E32:INDEX('Milho 2ª safra'!$E32:$Z32,MIN(F$6-$G$3,22))),0)))))</f>
        <v>0</v>
      </c>
      <c r="G34" s="27" t="n">
        <f aca="false">IF(COUNT('Milho 2ª safra'!$E32:$Z32)=0,0,MAX(0,IF((G$6-$E$3)&lt;1,0,IFERROR(LOOKUP(2,1/('Milho 2ª safra'!$E32:INDEX('Milho 2ª safra'!$E32:$Z32,MIN(G$6-$E$3,22))&lt;&gt;""),'Milho 2ª safra'!$E32:INDEX('Milho 2ª safra'!$E32:$Z32,MIN(G$6-$E$3,22))),0))-IF($G$2,0,IF((G$6-$G$3)&lt;1,0,IFERROR(LOOKUP(2,1/('Milho 2ª safra'!$E32:INDEX('Milho 2ª safra'!$E32:$Z32,MIN(G$6-$G$3,22))&lt;&gt;""),'Milho 2ª safra'!$E32:INDEX('Milho 2ª safra'!$E32:$Z32,MIN(G$6-$G$3,22))),0)))))</f>
        <v>0</v>
      </c>
      <c r="H34" s="27" t="n">
        <f aca="false">IF(COUNT('Milho 2ª safra'!$E32:$Z32)=0,0,MAX(0,IF((H$6-$E$3)&lt;1,0,IFERROR(LOOKUP(2,1/('Milho 2ª safra'!$E32:INDEX('Milho 2ª safra'!$E32:$Z32,MIN(H$6-$E$3,22))&lt;&gt;""),'Milho 2ª safra'!$E32:INDEX('Milho 2ª safra'!$E32:$Z32,MIN(H$6-$E$3,22))),0))-IF($G$2,0,IF((H$6-$G$3)&lt;1,0,IFERROR(LOOKUP(2,1/('Milho 2ª safra'!$E32:INDEX('Milho 2ª safra'!$E32:$Z32,MIN(H$6-$G$3,22))&lt;&gt;""),'Milho 2ª safra'!$E32:INDEX('Milho 2ª safra'!$E32:$Z32,MIN(H$6-$G$3,22))),0)))))</f>
        <v>0</v>
      </c>
      <c r="I34" s="27" t="n">
        <f aca="false">IF(COUNT('Milho 2ª safra'!$E32:$Z32)=0,0,MAX(0,IF((I$6-$E$3)&lt;1,0,IFERROR(LOOKUP(2,1/('Milho 2ª safra'!$E32:INDEX('Milho 2ª safra'!$E32:$Z32,MIN(I$6-$E$3,22))&lt;&gt;""),'Milho 2ª safra'!$E32:INDEX('Milho 2ª safra'!$E32:$Z32,MIN(I$6-$E$3,22))),0))-IF($G$2,0,IF((I$6-$G$3)&lt;1,0,IFERROR(LOOKUP(2,1/('Milho 2ª safra'!$E32:INDEX('Milho 2ª safra'!$E32:$Z32,MIN(I$6-$G$3,22))&lt;&gt;""),'Milho 2ª safra'!$E32:INDEX('Milho 2ª safra'!$E32:$Z32,MIN(I$6-$G$3,22))),0)))))</f>
        <v>0</v>
      </c>
      <c r="J34" s="27" t="n">
        <f aca="false">IF(COUNT('Milho 2ª safra'!$E32:$Z32)=0,0,MAX(0,IF((J$6-$E$3)&lt;1,0,IFERROR(LOOKUP(2,1/('Milho 2ª safra'!$E32:INDEX('Milho 2ª safra'!$E32:$Z32,MIN(J$6-$E$3,22))&lt;&gt;""),'Milho 2ª safra'!$E32:INDEX('Milho 2ª safra'!$E32:$Z32,MIN(J$6-$E$3,22))),0))-IF($G$2,0,IF((J$6-$G$3)&lt;1,0,IFERROR(LOOKUP(2,1/('Milho 2ª safra'!$E32:INDEX('Milho 2ª safra'!$E32:$Z32,MIN(J$6-$G$3,22))&lt;&gt;""),'Milho 2ª safra'!$E32:INDEX('Milho 2ª safra'!$E32:$Z32,MIN(J$6-$G$3,22))),0)))))</f>
        <v>0</v>
      </c>
      <c r="K34" s="27" t="n">
        <f aca="false">IF(COUNT('Milho 2ª safra'!$E32:$Z32)=0,0,MAX(0,IF((K$6-$E$3)&lt;1,0,IFERROR(LOOKUP(2,1/('Milho 2ª safra'!$E32:INDEX('Milho 2ª safra'!$E32:$Z32,MIN(K$6-$E$3,22))&lt;&gt;""),'Milho 2ª safra'!$E32:INDEX('Milho 2ª safra'!$E32:$Z32,MIN(K$6-$E$3,22))),0))-IF($G$2,0,IF((K$6-$G$3)&lt;1,0,IFERROR(LOOKUP(2,1/('Milho 2ª safra'!$E32:INDEX('Milho 2ª safra'!$E32:$Z32,MIN(K$6-$G$3,22))&lt;&gt;""),'Milho 2ª safra'!$E32:INDEX('Milho 2ª safra'!$E32:$Z32,MIN(K$6-$G$3,22))),0)))))</f>
        <v>0</v>
      </c>
      <c r="L34" s="27" t="n">
        <f aca="false">IF(COUNT('Milho 2ª safra'!$E32:$Z32)=0,0,MAX(0,IF((L$6-$E$3)&lt;1,0,IFERROR(LOOKUP(2,1/('Milho 2ª safra'!$E32:INDEX('Milho 2ª safra'!$E32:$Z32,MIN(L$6-$E$3,22))&lt;&gt;""),'Milho 2ª safra'!$E32:INDEX('Milho 2ª safra'!$E32:$Z32,MIN(L$6-$E$3,22))),0))-IF($G$2,0,IF((L$6-$G$3)&lt;1,0,IFERROR(LOOKUP(2,1/('Milho 2ª safra'!$E32:INDEX('Milho 2ª safra'!$E32:$Z32,MIN(L$6-$G$3,22))&lt;&gt;""),'Milho 2ª safra'!$E32:INDEX('Milho 2ª safra'!$E32:$Z32,MIN(L$6-$G$3,22))),0)))))</f>
        <v>0</v>
      </c>
      <c r="M34" s="27" t="n">
        <f aca="false">IF(COUNT('Milho 2ª safra'!$E32:$Z32)=0,0,MAX(0,IF((M$6-$E$3)&lt;1,0,IFERROR(LOOKUP(2,1/('Milho 2ª safra'!$E32:INDEX('Milho 2ª safra'!$E32:$Z32,MIN(M$6-$E$3,22))&lt;&gt;""),'Milho 2ª safra'!$E32:INDEX('Milho 2ª safra'!$E32:$Z32,MIN(M$6-$E$3,22))),0))-IF($G$2,0,IF((M$6-$G$3)&lt;1,0,IFERROR(LOOKUP(2,1/('Milho 2ª safra'!$E32:INDEX('Milho 2ª safra'!$E32:$Z32,MIN(M$6-$G$3,22))&lt;&gt;""),'Milho 2ª safra'!$E32:INDEX('Milho 2ª safra'!$E32:$Z32,MIN(M$6-$G$3,22))),0)))))</f>
        <v>0</v>
      </c>
      <c r="N34" s="27" t="n">
        <f aca="false">IF(COUNT('Milho 2ª safra'!$E32:$Z32)=0,0,MAX(0,IF((N$6-$E$3)&lt;1,0,IFERROR(LOOKUP(2,1/('Milho 2ª safra'!$E32:INDEX('Milho 2ª safra'!$E32:$Z32,MIN(N$6-$E$3,22))&lt;&gt;""),'Milho 2ª safra'!$E32:INDEX('Milho 2ª safra'!$E32:$Z32,MIN(N$6-$E$3,22))),0))-IF($G$2,0,IF((N$6-$G$3)&lt;1,0,IFERROR(LOOKUP(2,1/('Milho 2ª safra'!$E32:INDEX('Milho 2ª safra'!$E32:$Z32,MIN(N$6-$G$3,22))&lt;&gt;""),'Milho 2ª safra'!$E32:INDEX('Milho 2ª safra'!$E32:$Z32,MIN(N$6-$G$3,22))),0)))))</f>
        <v>0</v>
      </c>
      <c r="O34" s="27" t="n">
        <f aca="false">IF(COUNT('Milho 2ª safra'!$E32:$Z32)=0,0,MAX(0,IF((O$6-$E$3)&lt;1,0,IFERROR(LOOKUP(2,1/('Milho 2ª safra'!$E32:INDEX('Milho 2ª safra'!$E32:$Z32,MIN(O$6-$E$3,22))&lt;&gt;""),'Milho 2ª safra'!$E32:INDEX('Milho 2ª safra'!$E32:$Z32,MIN(O$6-$E$3,22))),0))-IF($G$2,0,IF((O$6-$G$3)&lt;1,0,IFERROR(LOOKUP(2,1/('Milho 2ª safra'!$E32:INDEX('Milho 2ª safra'!$E32:$Z32,MIN(O$6-$G$3,22))&lt;&gt;""),'Milho 2ª safra'!$E32:INDEX('Milho 2ª safra'!$E32:$Z32,MIN(O$6-$G$3,22))),0)))))</f>
        <v>0</v>
      </c>
      <c r="P34" s="27" t="n">
        <f aca="false">IF(COUNT('Milho 2ª safra'!$E32:$Z32)=0,0,MAX(0,IF((P$6-$E$3)&lt;1,0,IFERROR(LOOKUP(2,1/('Milho 2ª safra'!$E32:INDEX('Milho 2ª safra'!$E32:$Z32,MIN(P$6-$E$3,22))&lt;&gt;""),'Milho 2ª safra'!$E32:INDEX('Milho 2ª safra'!$E32:$Z32,MIN(P$6-$E$3,22))),0))-IF($G$2,0,IF((P$6-$G$3)&lt;1,0,IFERROR(LOOKUP(2,1/('Milho 2ª safra'!$E32:INDEX('Milho 2ª safra'!$E32:$Z32,MIN(P$6-$G$3,22))&lt;&gt;""),'Milho 2ª safra'!$E32:INDEX('Milho 2ª safra'!$E32:$Z32,MIN(P$6-$G$3,22))),0)))))</f>
        <v>0</v>
      </c>
      <c r="Q34" s="27" t="n">
        <f aca="false">IF(COUNT('Milho 2ª safra'!$E32:$Z32)=0,0,MAX(0,IF((Q$6-$E$3)&lt;1,0,IFERROR(LOOKUP(2,1/('Milho 2ª safra'!$E32:INDEX('Milho 2ª safra'!$E32:$Z32,MIN(Q$6-$E$3,22))&lt;&gt;""),'Milho 2ª safra'!$E32:INDEX('Milho 2ª safra'!$E32:$Z32,MIN(Q$6-$E$3,22))),0))-IF($G$2,0,IF((Q$6-$G$3)&lt;1,0,IFERROR(LOOKUP(2,1/('Milho 2ª safra'!$E32:INDEX('Milho 2ª safra'!$E32:$Z32,MIN(Q$6-$G$3,22))&lt;&gt;""),'Milho 2ª safra'!$E32:INDEX('Milho 2ª safra'!$E32:$Z32,MIN(Q$6-$G$3,22))),0)))))</f>
        <v>0</v>
      </c>
      <c r="R34" s="27" t="n">
        <f aca="false">IF(COUNT('Milho 2ª safra'!$E32:$Z32)=0,0,MAX(0,IF((R$6-$E$3)&lt;1,0,IFERROR(LOOKUP(2,1/('Milho 2ª safra'!$E32:INDEX('Milho 2ª safra'!$E32:$Z32,MIN(R$6-$E$3,22))&lt;&gt;""),'Milho 2ª safra'!$E32:INDEX('Milho 2ª safra'!$E32:$Z32,MIN(R$6-$E$3,22))),0))-IF($G$2,0,IF((R$6-$G$3)&lt;1,0,IFERROR(LOOKUP(2,1/('Milho 2ª safra'!$E32:INDEX('Milho 2ª safra'!$E32:$Z32,MIN(R$6-$G$3,22))&lt;&gt;""),'Milho 2ª safra'!$E32:INDEX('Milho 2ª safra'!$E32:$Z32,MIN(R$6-$G$3,22))),0)))))</f>
        <v>0</v>
      </c>
      <c r="S34" s="27" t="n">
        <f aca="false">IF(COUNT('Milho 2ª safra'!$E32:$Z32)=0,0,MAX(0,IF((S$6-$E$3)&lt;1,0,IFERROR(LOOKUP(2,1/('Milho 2ª safra'!$E32:INDEX('Milho 2ª safra'!$E32:$Z32,MIN(S$6-$E$3,22))&lt;&gt;""),'Milho 2ª safra'!$E32:INDEX('Milho 2ª safra'!$E32:$Z32,MIN(S$6-$E$3,22))),0))-IF($G$2,0,IF((S$6-$G$3)&lt;1,0,IFERROR(LOOKUP(2,1/('Milho 2ª safra'!$E32:INDEX('Milho 2ª safra'!$E32:$Z32,MIN(S$6-$G$3,22))&lt;&gt;""),'Milho 2ª safra'!$E32:INDEX('Milho 2ª safra'!$E32:$Z32,MIN(S$6-$G$3,22))),0)))))</f>
        <v>0</v>
      </c>
      <c r="T34" s="27" t="n">
        <f aca="false">IF(COUNT('Milho 2ª safra'!$E32:$Z32)=0,0,MAX(0,IF((T$6-$E$3)&lt;1,0,IFERROR(LOOKUP(2,1/('Milho 2ª safra'!$E32:INDEX('Milho 2ª safra'!$E32:$Z32,MIN(T$6-$E$3,22))&lt;&gt;""),'Milho 2ª safra'!$E32:INDEX('Milho 2ª safra'!$E32:$Z32,MIN(T$6-$E$3,22))),0))-IF($G$2,0,IF((T$6-$G$3)&lt;1,0,IFERROR(LOOKUP(2,1/('Milho 2ª safra'!$E32:INDEX('Milho 2ª safra'!$E32:$Z32,MIN(T$6-$G$3,22))&lt;&gt;""),'Milho 2ª safra'!$E32:INDEX('Milho 2ª safra'!$E32:$Z32,MIN(T$6-$G$3,22))),0)))))</f>
        <v>0</v>
      </c>
      <c r="U34" s="27" t="n">
        <f aca="false">IF(COUNT('Milho 2ª safra'!$E32:$Z32)=0,0,MAX(0,IF((U$6-$E$3)&lt;1,0,IFERROR(LOOKUP(2,1/('Milho 2ª safra'!$E32:INDEX('Milho 2ª safra'!$E32:$Z32,MIN(U$6-$E$3,22))&lt;&gt;""),'Milho 2ª safra'!$E32:INDEX('Milho 2ª safra'!$E32:$Z32,MIN(U$6-$E$3,22))),0))-IF($G$2,0,IF((U$6-$G$3)&lt;1,0,IFERROR(LOOKUP(2,1/('Milho 2ª safra'!$E32:INDEX('Milho 2ª safra'!$E32:$Z32,MIN(U$6-$G$3,22))&lt;&gt;""),'Milho 2ª safra'!$E32:INDEX('Milho 2ª safra'!$E32:$Z32,MIN(U$6-$G$3,22))),0)))))</f>
        <v>0</v>
      </c>
      <c r="V34" s="27" t="n">
        <f aca="false">IF(COUNT('Milho 2ª safra'!$E32:$Z32)=0,0,MAX(0,IF((V$6-$E$3)&lt;1,0,IFERROR(LOOKUP(2,1/('Milho 2ª safra'!$E32:INDEX('Milho 2ª safra'!$E32:$Z32,MIN(V$6-$E$3,22))&lt;&gt;""),'Milho 2ª safra'!$E32:INDEX('Milho 2ª safra'!$E32:$Z32,MIN(V$6-$E$3,22))),0))-IF($G$2,0,IF((V$6-$G$3)&lt;1,0,IFERROR(LOOKUP(2,1/('Milho 2ª safra'!$E32:INDEX('Milho 2ª safra'!$E32:$Z32,MIN(V$6-$G$3,22))&lt;&gt;""),'Milho 2ª safra'!$E32:INDEX('Milho 2ª safra'!$E32:$Z32,MIN(V$6-$G$3,22))),0)))))</f>
        <v>0</v>
      </c>
      <c r="W34" s="27" t="n">
        <f aca="false">IF(COUNT('Milho 2ª safra'!$E32:$Z32)=0,0,MAX(0,IF((W$6-$E$3)&lt;1,0,IFERROR(LOOKUP(2,1/('Milho 2ª safra'!$E32:INDEX('Milho 2ª safra'!$E32:$Z32,MIN(W$6-$E$3,22))&lt;&gt;""),'Milho 2ª safra'!$E32:INDEX('Milho 2ª safra'!$E32:$Z32,MIN(W$6-$E$3,22))),0))-IF($G$2,0,IF((W$6-$G$3)&lt;1,0,IFERROR(LOOKUP(2,1/('Milho 2ª safra'!$E32:INDEX('Milho 2ª safra'!$E32:$Z32,MIN(W$6-$G$3,22))&lt;&gt;""),'Milho 2ª safra'!$E32:INDEX('Milho 2ª safra'!$E32:$Z32,MIN(W$6-$G$3,22))),0)))))</f>
        <v>0</v>
      </c>
      <c r="X34" s="27" t="n">
        <f aca="false">IF(COUNT('Milho 2ª safra'!$E32:$Z32)=0,0,MAX(0,IF((X$6-$E$3)&lt;1,0,IFERROR(LOOKUP(2,1/('Milho 2ª safra'!$E32:INDEX('Milho 2ª safra'!$E32:$Z32,MIN(X$6-$E$3,22))&lt;&gt;""),'Milho 2ª safra'!$E32:INDEX('Milho 2ª safra'!$E32:$Z32,MIN(X$6-$E$3,22))),0))-IF($G$2,0,IF((X$6-$G$3)&lt;1,0,IFERROR(LOOKUP(2,1/('Milho 2ª safra'!$E32:INDEX('Milho 2ª safra'!$E32:$Z32,MIN(X$6-$G$3,22))&lt;&gt;""),'Milho 2ª safra'!$E32:INDEX('Milho 2ª safra'!$E32:$Z32,MIN(X$6-$G$3,22))),0)))))</f>
        <v>0</v>
      </c>
      <c r="Y34" s="27" t="n">
        <f aca="false">IF(COUNT('Milho 2ª safra'!$E32:$Z32)=0,0,MAX(0,IF((Y$6-$E$3)&lt;1,0,IFERROR(LOOKUP(2,1/('Milho 2ª safra'!$E32:INDEX('Milho 2ª safra'!$E32:$Z32,MIN(Y$6-$E$3,22))&lt;&gt;""),'Milho 2ª safra'!$E32:INDEX('Milho 2ª safra'!$E32:$Z32,MIN(Y$6-$E$3,22))),0))-IF($G$2,0,IF((Y$6-$G$3)&lt;1,0,IFERROR(LOOKUP(2,1/('Milho 2ª safra'!$E32:INDEX('Milho 2ª safra'!$E32:$Z32,MIN(Y$6-$G$3,22))&lt;&gt;""),'Milho 2ª safra'!$E32:INDEX('Milho 2ª safra'!$E32:$Z32,MIN(Y$6-$G$3,22))),0)))))</f>
        <v>0</v>
      </c>
      <c r="Z34" s="27" t="n">
        <f aca="false">IF(COUNT('Milho 2ª safra'!$E32:$Z32)=0,0,MAX(0,IF((Z$6-$E$3)&lt;1,0,IFERROR(LOOKUP(2,1/('Milho 2ª safra'!$E32:INDEX('Milho 2ª safra'!$E32:$Z32,MIN(Z$6-$E$3,22))&lt;&gt;""),'Milho 2ª safra'!$E32:INDEX('Milho 2ª safra'!$E32:$Z32,MIN(Z$6-$E$3,22))),0))-IF($G$2,0,IF((Z$6-$G$3)&lt;1,0,IFERROR(LOOKUP(2,1/('Milho 2ª safra'!$E32:INDEX('Milho 2ª safra'!$E32:$Z32,MIN(Z$6-$G$3,22))&lt;&gt;""),'Milho 2ª safra'!$E32:INDEX('Milho 2ª safra'!$E32:$Z32,MIN(Z$6-$G$3,22))),0)))))</f>
        <v>0</v>
      </c>
      <c r="AA34" s="27" t="n">
        <f aca="false">IF(COUNT('Milho 2ª safra'!$E32:$Z32)=0,0,MAX(0,IF((AA$6-$E$3)&lt;1,0,IFERROR(LOOKUP(2,1/('Milho 2ª safra'!$E32:INDEX('Milho 2ª safra'!$E32:$Z32,MIN(AA$6-$E$3,22))&lt;&gt;""),'Milho 2ª safra'!$E32:INDEX('Milho 2ª safra'!$E32:$Z32,MIN(AA$6-$E$3,22))),0))-IF($G$2,0,IF((AA$6-$G$3)&lt;1,0,IFERROR(LOOKUP(2,1/('Milho 2ª safra'!$E32:INDEX('Milho 2ª safra'!$E32:$Z32,MIN(AA$6-$G$3,22))&lt;&gt;""),'Milho 2ª safra'!$E32:INDEX('Milho 2ª safra'!$E32:$Z32,MIN(AA$6-$G$3,22))),0)))))</f>
        <v>0</v>
      </c>
      <c r="AB34" s="27" t="n">
        <f aca="false">IF(COUNT('Milho 2ª safra'!$E32:$Z32)=0,0,MAX(0,IF((AB$6-$E$3)&lt;1,0,IFERROR(LOOKUP(2,1/('Milho 2ª safra'!$E32:INDEX('Milho 2ª safra'!$E32:$Z32,MIN(AB$6-$E$3,22))&lt;&gt;""),'Milho 2ª safra'!$E32:INDEX('Milho 2ª safra'!$E32:$Z32,MIN(AB$6-$E$3,22))),0))-IF($G$2,0,IF((AB$6-$G$3)&lt;1,0,IFERROR(LOOKUP(2,1/('Milho 2ª safra'!$E32:INDEX('Milho 2ª safra'!$E32:$Z32,MIN(AB$6-$G$3,22))&lt;&gt;""),'Milho 2ª safra'!$E32:INDEX('Milho 2ª safra'!$E32:$Z32,MIN(AB$6-$G$3,22))),0)))))</f>
        <v>0</v>
      </c>
      <c r="AC34" s="27" t="n">
        <f aca="false">IF(COUNT('Milho 2ª safra'!$E32:$Z32)=0,0,MAX(0,IF((AC$6-$E$3)&lt;1,0,IFERROR(LOOKUP(2,1/('Milho 2ª safra'!$E32:INDEX('Milho 2ª safra'!$E32:$Z32,MIN(AC$6-$E$3,22))&lt;&gt;""),'Milho 2ª safra'!$E32:INDEX('Milho 2ª safra'!$E32:$Z32,MIN(AC$6-$E$3,22))),0))-IF($G$2,0,IF((AC$6-$G$3)&lt;1,0,IFERROR(LOOKUP(2,1/('Milho 2ª safra'!$E32:INDEX('Milho 2ª safra'!$E32:$Z32,MIN(AC$6-$G$3,22))&lt;&gt;""),'Milho 2ª safra'!$E32:INDEX('Milho 2ª safra'!$E32:$Z32,MIN(AC$6-$G$3,22))),0)))))</f>
        <v>0</v>
      </c>
      <c r="AD34" s="27" t="n">
        <f aca="false">IF(COUNT('Milho 2ª safra'!$E32:$Z32)=0,0,MAX(0,IF((AD$6-$E$3)&lt;1,0,IFERROR(LOOKUP(2,1/('Milho 2ª safra'!$E32:INDEX('Milho 2ª safra'!$E32:$Z32,MIN(AD$6-$E$3,22))&lt;&gt;""),'Milho 2ª safra'!$E32:INDEX('Milho 2ª safra'!$E32:$Z32,MIN(AD$6-$E$3,22))),0))-IF($G$2,0,IF((AD$6-$G$3)&lt;1,0,IFERROR(LOOKUP(2,1/('Milho 2ª safra'!$E32:INDEX('Milho 2ª safra'!$E32:$Z32,MIN(AD$6-$G$3,22))&lt;&gt;""),'Milho 2ª safra'!$E32:INDEX('Milho 2ª safra'!$E32:$Z32,MIN(AD$6-$G$3,22))),0)))))</f>
        <v>0</v>
      </c>
      <c r="AE34" s="27" t="n">
        <f aca="false">IF(COUNT('Milho 2ª safra'!$E32:$Z32)=0,0,MAX(0,IF((AE$6-$E$3)&lt;1,0,IFERROR(LOOKUP(2,1/('Milho 2ª safra'!$E32:INDEX('Milho 2ª safra'!$E32:$Z32,MIN(AE$6-$E$3,22))&lt;&gt;""),'Milho 2ª safra'!$E32:INDEX('Milho 2ª safra'!$E32:$Z32,MIN(AE$6-$E$3,22))),0))-IF($G$2,0,IF((AE$6-$G$3)&lt;1,0,IFERROR(LOOKUP(2,1/('Milho 2ª safra'!$E32:INDEX('Milho 2ª safra'!$E32:$Z32,MIN(AE$6-$G$3,22))&lt;&gt;""),'Milho 2ª safra'!$E32:INDEX('Milho 2ª safra'!$E32:$Z32,MIN(AE$6-$G$3,22))),0)))))</f>
        <v>0</v>
      </c>
      <c r="AF34" s="27" t="n">
        <f aca="false">IF(COUNT('Milho 2ª safra'!$E32:$Z32)=0,0,MAX(0,IF((AF$6-$E$3)&lt;1,0,IFERROR(LOOKUP(2,1/('Milho 2ª safra'!$E32:INDEX('Milho 2ª safra'!$E32:$Z32,MIN(AF$6-$E$3,22))&lt;&gt;""),'Milho 2ª safra'!$E32:INDEX('Milho 2ª safra'!$E32:$Z32,MIN(AF$6-$E$3,22))),0))-IF($G$2,0,IF((AF$6-$G$3)&lt;1,0,IFERROR(LOOKUP(2,1/('Milho 2ª safra'!$E32:INDEX('Milho 2ª safra'!$E32:$Z32,MIN(AF$6-$G$3,22))&lt;&gt;""),'Milho 2ª safra'!$E32:INDEX('Milho 2ª safra'!$E32:$Z32,MIN(AF$6-$G$3,22))),0)))))</f>
        <v>0</v>
      </c>
      <c r="AG34" s="27" t="n">
        <f aca="false">IF(COUNT('Milho 2ª safra'!$E32:$Z32)=0,0,MAX(0,IF((AG$6-$E$3)&lt;1,0,IFERROR(LOOKUP(2,1/('Milho 2ª safra'!$E32:INDEX('Milho 2ª safra'!$E32:$Z32,MIN(AG$6-$E$3,22))&lt;&gt;""),'Milho 2ª safra'!$E32:INDEX('Milho 2ª safra'!$E32:$Z32,MIN(AG$6-$E$3,22))),0))-IF($G$2,0,IF((AG$6-$G$3)&lt;1,0,IFERROR(LOOKUP(2,1/('Milho 2ª safra'!$E32:INDEX('Milho 2ª safra'!$E32:$Z32,MIN(AG$6-$G$3,22))&lt;&gt;""),'Milho 2ª safra'!$E32:INDEX('Milho 2ª safra'!$E32:$Z32,MIN(AG$6-$G$3,22))),0)))))</f>
        <v>0</v>
      </c>
      <c r="AH34" s="27" t="n">
        <f aca="false">IF(COUNT('Milho 2ª safra'!$E32:$Z32)=0,0,MAX(0,IF((AH$6-$E$3)&lt;1,0,IFERROR(LOOKUP(2,1/('Milho 2ª safra'!$E32:INDEX('Milho 2ª safra'!$E32:$Z32,MIN(AH$6-$E$3,22))&lt;&gt;""),'Milho 2ª safra'!$E32:INDEX('Milho 2ª safra'!$E32:$Z32,MIN(AH$6-$E$3,22))),0))-IF($G$2,0,IF((AH$6-$G$3)&lt;1,0,IFERROR(LOOKUP(2,1/('Milho 2ª safra'!$E32:INDEX('Milho 2ª safra'!$E32:$Z32,MIN(AH$6-$G$3,22))&lt;&gt;""),'Milho 2ª safra'!$E32:INDEX('Milho 2ª safra'!$E32:$Z32,MIN(AH$6-$G$3,22))),0)))))</f>
        <v>0</v>
      </c>
      <c r="AI34" s="27" t="n">
        <f aca="false">IF(COUNT('Milho 2ª safra'!$E32:$Z32)=0,0,MAX(0,IF((AI$6-$E$3)&lt;1,0,IFERROR(LOOKUP(2,1/('Milho 2ª safra'!$E32:INDEX('Milho 2ª safra'!$E32:$Z32,MIN(AI$6-$E$3,22))&lt;&gt;""),'Milho 2ª safra'!$E32:INDEX('Milho 2ª safra'!$E32:$Z32,MIN(AI$6-$E$3,22))),0))-IF($G$2,0,IF((AI$6-$G$3)&lt;1,0,IFERROR(LOOKUP(2,1/('Milho 2ª safra'!$E32:INDEX('Milho 2ª safra'!$E32:$Z32,MIN(AI$6-$G$3,22))&lt;&gt;""),'Milho 2ª safra'!$E32:INDEX('Milho 2ª safra'!$E32:$Z32,MIN(AI$6-$G$3,22))),0)))))</f>
        <v>0</v>
      </c>
      <c r="AJ34" s="27" t="n">
        <f aca="false">IF(COUNT('Milho 2ª safra'!$E32:$Z32)=0,0,MAX(0,IF((AJ$6-$E$3)&lt;1,0,IFERROR(LOOKUP(2,1/('Milho 2ª safra'!$E32:INDEX('Milho 2ª safra'!$E32:$Z32,MIN(AJ$6-$E$3,22))&lt;&gt;""),'Milho 2ª safra'!$E32:INDEX('Milho 2ª safra'!$E32:$Z32,MIN(AJ$6-$E$3,22))),0))-IF($G$2,0,IF((AJ$6-$G$3)&lt;1,0,IFERROR(LOOKUP(2,1/('Milho 2ª safra'!$E32:INDEX('Milho 2ª safra'!$E32:$Z32,MIN(AJ$6-$G$3,22))&lt;&gt;""),'Milho 2ª safra'!$E32:INDEX('Milho 2ª safra'!$E32:$Z32,MIN(AJ$6-$G$3,22))),0)))))</f>
        <v>0</v>
      </c>
      <c r="AK34" s="27" t="n">
        <f aca="false">IF(COUNT('Milho 2ª safra'!$E32:$Z32)=0,0,MAX(0,IF((AK$6-$E$3)&lt;1,0,IFERROR(LOOKUP(2,1/('Milho 2ª safra'!$E32:INDEX('Milho 2ª safra'!$E32:$Z32,MIN(AK$6-$E$3,22))&lt;&gt;""),'Milho 2ª safra'!$E32:INDEX('Milho 2ª safra'!$E32:$Z32,MIN(AK$6-$E$3,22))),0))-IF($G$2,0,IF((AK$6-$G$3)&lt;1,0,IFERROR(LOOKUP(2,1/('Milho 2ª safra'!$E32:INDEX('Milho 2ª safra'!$E32:$Z32,MIN(AK$6-$G$3,22))&lt;&gt;""),'Milho 2ª safra'!$E32:INDEX('Milho 2ª safra'!$E32:$Z32,MIN(AK$6-$G$3,22))),0)))))</f>
        <v>0</v>
      </c>
      <c r="AL34" s="27" t="n">
        <f aca="false">IF(COUNT('Milho 2ª safra'!$E32:$Z32)=0,0,MAX(0,IF((AL$6-$E$3)&lt;1,0,IFERROR(LOOKUP(2,1/('Milho 2ª safra'!$E32:INDEX('Milho 2ª safra'!$E32:$Z32,MIN(AL$6-$E$3,22))&lt;&gt;""),'Milho 2ª safra'!$E32:INDEX('Milho 2ª safra'!$E32:$Z32,MIN(AL$6-$E$3,22))),0))-IF($G$2,0,IF((AL$6-$G$3)&lt;1,0,IFERROR(LOOKUP(2,1/('Milho 2ª safra'!$E32:INDEX('Milho 2ª safra'!$E32:$Z32,MIN(AL$6-$G$3,22))&lt;&gt;""),'Milho 2ª safra'!$E32:INDEX('Milho 2ª safra'!$E32:$Z32,MIN(AL$6-$G$3,22))),0)))))</f>
        <v>0</v>
      </c>
      <c r="AM34" s="27" t="n">
        <f aca="false">IF(COUNT('Milho 2ª safra'!$E32:$Z32)=0,0,MAX(0,IF((AM$6-$E$3)&lt;1,0,IFERROR(LOOKUP(2,1/('Milho 2ª safra'!$E32:INDEX('Milho 2ª safra'!$E32:$Z32,MIN(AM$6-$E$3,22))&lt;&gt;""),'Milho 2ª safra'!$E32:INDEX('Milho 2ª safra'!$E32:$Z32,MIN(AM$6-$E$3,22))),0))-IF($G$2,0,IF((AM$6-$G$3)&lt;1,0,IFERROR(LOOKUP(2,1/('Milho 2ª safra'!$E32:INDEX('Milho 2ª safra'!$E32:$Z32,MIN(AM$6-$G$3,22))&lt;&gt;""),'Milho 2ª safra'!$E32:INDEX('Milho 2ª safra'!$E32:$Z32,MIN(AM$6-$G$3,22))),0)))))</f>
        <v>0</v>
      </c>
      <c r="AN34" s="27" t="n">
        <f aca="false">IF(COUNT('Milho 2ª safra'!$E32:$Z32)=0,0,MAX(0,IF((AN$6-$E$3)&lt;1,0,IFERROR(LOOKUP(2,1/('Milho 2ª safra'!$E32:INDEX('Milho 2ª safra'!$E32:$Z32,MIN(AN$6-$E$3,22))&lt;&gt;""),'Milho 2ª safra'!$E32:INDEX('Milho 2ª safra'!$E32:$Z32,MIN(AN$6-$E$3,22))),0))-IF($G$2,0,IF((AN$6-$G$3)&lt;1,0,IFERROR(LOOKUP(2,1/('Milho 2ª safra'!$E32:INDEX('Milho 2ª safra'!$E32:$Z32,MIN(AN$6-$G$3,22))&lt;&gt;""),'Milho 2ª safra'!$E32:INDEX('Milho 2ª safra'!$E32:$Z32,MIN(AN$6-$G$3,22))),0)))))</f>
        <v>0</v>
      </c>
      <c r="AO34" s="27" t="n">
        <f aca="false">IF(COUNT('Milho 2ª safra'!$E32:$Z32)=0,0,MAX(0,IF((AO$6-$E$3)&lt;1,0,IFERROR(LOOKUP(2,1/('Milho 2ª safra'!$E32:INDEX('Milho 2ª safra'!$E32:$Z32,MIN(AO$6-$E$3,22))&lt;&gt;""),'Milho 2ª safra'!$E32:INDEX('Milho 2ª safra'!$E32:$Z32,MIN(AO$6-$E$3,22))),0))-IF($G$2,0,IF((AO$6-$G$3)&lt;1,0,IFERROR(LOOKUP(2,1/('Milho 2ª safra'!$E32:INDEX('Milho 2ª safra'!$E32:$Z32,MIN(AO$6-$G$3,22))&lt;&gt;""),'Milho 2ª safra'!$E32:INDEX('Milho 2ª safra'!$E32:$Z32,MIN(AO$6-$G$3,22))),0)))))</f>
        <v>0</v>
      </c>
      <c r="AP34" s="27" t="n">
        <f aca="false">IF(COUNT('Milho 2ª safra'!$E32:$Z32)=0,0,MAX(0,IF((AP$6-$E$3)&lt;1,0,IFERROR(LOOKUP(2,1/('Milho 2ª safra'!$E32:INDEX('Milho 2ª safra'!$E32:$Z32,MIN(AP$6-$E$3,22))&lt;&gt;""),'Milho 2ª safra'!$E32:INDEX('Milho 2ª safra'!$E32:$Z32,MIN(AP$6-$E$3,22))),0))-IF($G$2,0,IF((AP$6-$G$3)&lt;1,0,IFERROR(LOOKUP(2,1/('Milho 2ª safra'!$E32:INDEX('Milho 2ª safra'!$E32:$Z32,MIN(AP$6-$G$3,22))&lt;&gt;""),'Milho 2ª safra'!$E32:INDEX('Milho 2ª safra'!$E32:$Z32,MIN(AP$6-$G$3,22))),0)))))</f>
        <v>0</v>
      </c>
      <c r="AQ34" s="27" t="n">
        <f aca="false">IF(COUNT('Milho 2ª safra'!$E32:$Z32)=0,0,MAX(0,IF((AQ$6-$E$3)&lt;1,0,IFERROR(LOOKUP(2,1/('Milho 2ª safra'!$E32:INDEX('Milho 2ª safra'!$E32:$Z32,MIN(AQ$6-$E$3,22))&lt;&gt;""),'Milho 2ª safra'!$E32:INDEX('Milho 2ª safra'!$E32:$Z32,MIN(AQ$6-$E$3,22))),0))-IF($G$2,0,IF((AQ$6-$G$3)&lt;1,0,IFERROR(LOOKUP(2,1/('Milho 2ª safra'!$E32:INDEX('Milho 2ª safra'!$E32:$Z32,MIN(AQ$6-$G$3,22))&lt;&gt;""),'Milho 2ª safra'!$E32:INDEX('Milho 2ª safra'!$E32:$Z32,MIN(AQ$6-$G$3,22))),0)))))</f>
        <v>0</v>
      </c>
      <c r="AR34" s="27" t="n">
        <f aca="false">IF(COUNT('Milho 2ª safra'!$E32:$Z32)=0,0,MAX(0,IF((AR$6-$E$3)&lt;1,0,IFERROR(LOOKUP(2,1/('Milho 2ª safra'!$E32:INDEX('Milho 2ª safra'!$E32:$Z32,MIN(AR$6-$E$3,22))&lt;&gt;""),'Milho 2ª safra'!$E32:INDEX('Milho 2ª safra'!$E32:$Z32,MIN(AR$6-$E$3,22))),0))-IF($G$2,0,IF((AR$6-$G$3)&lt;1,0,IFERROR(LOOKUP(2,1/('Milho 2ª safra'!$E32:INDEX('Milho 2ª safra'!$E32:$Z32,MIN(AR$6-$G$3,22))&lt;&gt;""),'Milho 2ª safra'!$E32:INDEX('Milho 2ª safra'!$E32:$Z32,MIN(AR$6-$G$3,22))),0)))))</f>
        <v>0</v>
      </c>
      <c r="AS34" s="27" t="n">
        <f aca="false">IF(COUNT('Milho 2ª safra'!$E32:$Z32)=0,0,MAX(0,IF((AS$6-$E$3)&lt;1,0,IFERROR(LOOKUP(2,1/('Milho 2ª safra'!$E32:INDEX('Milho 2ª safra'!$E32:$Z32,MIN(AS$6-$E$3,22))&lt;&gt;""),'Milho 2ª safra'!$E32:INDEX('Milho 2ª safra'!$E32:$Z32,MIN(AS$6-$E$3,22))),0))-IF($G$2,0,IF((AS$6-$G$3)&lt;1,0,IFERROR(LOOKUP(2,1/('Milho 2ª safra'!$E32:INDEX('Milho 2ª safra'!$E32:$Z32,MIN(AS$6-$G$3,22))&lt;&gt;""),'Milho 2ª safra'!$E32:INDEX('Milho 2ª safra'!$E32:$Z32,MIN(AS$6-$G$3,22))),0)))))</f>
        <v>0</v>
      </c>
      <c r="AT34" s="27" t="n">
        <f aca="false">IF(COUNT('Milho 2ª safra'!$E32:$Z32)=0,0,MAX(0,IF((AT$6-$E$3)&lt;1,0,IFERROR(LOOKUP(2,1/('Milho 2ª safra'!$E32:INDEX('Milho 2ª safra'!$E32:$Z32,MIN(AT$6-$E$3,22))&lt;&gt;""),'Milho 2ª safra'!$E32:INDEX('Milho 2ª safra'!$E32:$Z32,MIN(AT$6-$E$3,22))),0))-IF($G$2,0,IF((AT$6-$G$3)&lt;1,0,IFERROR(LOOKUP(2,1/('Milho 2ª safra'!$E32:INDEX('Milho 2ª safra'!$E32:$Z32,MIN(AT$6-$G$3,22))&lt;&gt;""),'Milho 2ª safra'!$E32:INDEX('Milho 2ª safra'!$E32:$Z32,MIN(AT$6-$G$3,22))),0)))))</f>
        <v>0</v>
      </c>
      <c r="AU34" s="27" t="n">
        <f aca="false">IF(COUNT('Milho 2ª safra'!$E32:$Z32)=0,0,MAX(0,IF((AU$6-$E$3)&lt;1,0,IFERROR(LOOKUP(2,1/('Milho 2ª safra'!$E32:INDEX('Milho 2ª safra'!$E32:$Z32,MIN(AU$6-$E$3,22))&lt;&gt;""),'Milho 2ª safra'!$E32:INDEX('Milho 2ª safra'!$E32:$Z32,MIN(AU$6-$E$3,22))),0))-IF($G$2,0,IF((AU$6-$G$3)&lt;1,0,IFERROR(LOOKUP(2,1/('Milho 2ª safra'!$E32:INDEX('Milho 2ª safra'!$E32:$Z32,MIN(AU$6-$G$3,22))&lt;&gt;""),'Milho 2ª safra'!$E32:INDEX('Milho 2ª safra'!$E32:$Z32,MIN(AU$6-$G$3,22))),0)))))</f>
        <v>0</v>
      </c>
      <c r="AV34" s="27" t="n">
        <f aca="false">IF(COUNT('Milho 2ª safra'!$E32:$Z32)=0,0,MAX(0,IF((AV$6-$E$3)&lt;1,0,IFERROR(LOOKUP(2,1/('Milho 2ª safra'!$E32:INDEX('Milho 2ª safra'!$E32:$Z32,MIN(AV$6-$E$3,22))&lt;&gt;""),'Milho 2ª safra'!$E32:INDEX('Milho 2ª safra'!$E32:$Z32,MIN(AV$6-$E$3,22))),0))-IF($G$2,0,IF((AV$6-$G$3)&lt;1,0,IFERROR(LOOKUP(2,1/('Milho 2ª safra'!$E32:INDEX('Milho 2ª safra'!$E32:$Z32,MIN(AV$6-$G$3,22))&lt;&gt;""),'Milho 2ª safra'!$E32:INDEX('Milho 2ª safra'!$E32:$Z32,MIN(AV$6-$G$3,22))),0)))))</f>
        <v>0</v>
      </c>
      <c r="AW34" s="27" t="n">
        <f aca="false">IF(COUNT('Milho 2ª safra'!$E32:$Z32)=0,0,MAX(0,IF((AW$6-$E$3)&lt;1,0,IFERROR(LOOKUP(2,1/('Milho 2ª safra'!$E32:INDEX('Milho 2ª safra'!$E32:$Z32,MIN(AW$6-$E$3,22))&lt;&gt;""),'Milho 2ª safra'!$E32:INDEX('Milho 2ª safra'!$E32:$Z32,MIN(AW$6-$E$3,22))),0))-IF($G$2,0,IF((AW$6-$G$3)&lt;1,0,IFERROR(LOOKUP(2,1/('Milho 2ª safra'!$E32:INDEX('Milho 2ª safra'!$E32:$Z32,MIN(AW$6-$G$3,22))&lt;&gt;""),'Milho 2ª safra'!$E32:INDEX('Milho 2ª safra'!$E32:$Z32,MIN(AW$6-$G$3,22))),0)))))</f>
        <v>0</v>
      </c>
      <c r="AX34" s="27" t="n">
        <f aca="false">IF(COUNT('Milho 2ª safra'!$E32:$Z32)=0,0,MAX(0,IF((AX$6-$E$3)&lt;1,0,IFERROR(LOOKUP(2,1/('Milho 2ª safra'!$E32:INDEX('Milho 2ª safra'!$E32:$Z32,MIN(AX$6-$E$3,22))&lt;&gt;""),'Milho 2ª safra'!$E32:INDEX('Milho 2ª safra'!$E32:$Z32,MIN(AX$6-$E$3,22))),0))-IF($G$2,0,IF((AX$6-$G$3)&lt;1,0,IFERROR(LOOKUP(2,1/('Milho 2ª safra'!$E32:INDEX('Milho 2ª safra'!$E32:$Z32,MIN(AX$6-$G$3,22))&lt;&gt;""),'Milho 2ª safra'!$E32:INDEX('Milho 2ª safra'!$E32:$Z32,MIN(AX$6-$G$3,22))),0)))))</f>
        <v>0</v>
      </c>
      <c r="AY34" s="27" t="n">
        <f aca="false">IF(COUNT('Milho 2ª safra'!$E32:$Z32)=0,0,MAX(0,IF((AY$6-$E$3)&lt;1,0,IFERROR(LOOKUP(2,1/('Milho 2ª safra'!$E32:INDEX('Milho 2ª safra'!$E32:$Z32,MIN(AY$6-$E$3,22))&lt;&gt;""),'Milho 2ª safra'!$E32:INDEX('Milho 2ª safra'!$E32:$Z32,MIN(AY$6-$E$3,22))),0))-IF($G$2,0,IF((AY$6-$G$3)&lt;1,0,IFERROR(LOOKUP(2,1/('Milho 2ª safra'!$E32:INDEX('Milho 2ª safra'!$E32:$Z32,MIN(AY$6-$G$3,22))&lt;&gt;""),'Milho 2ª safra'!$E32:INDEX('Milho 2ª safra'!$E32:$Z32,MIN(AY$6-$G$3,22))),0)))))</f>
        <v>0</v>
      </c>
      <c r="AZ34" s="27" t="n">
        <f aca="false">IF(COUNT('Milho 2ª safra'!$E32:$Z32)=0,0,MAX(0,IF((AZ$6-$E$3)&lt;1,0,IFERROR(LOOKUP(2,1/('Milho 2ª safra'!$E32:INDEX('Milho 2ª safra'!$E32:$Z32,MIN(AZ$6-$E$3,22))&lt;&gt;""),'Milho 2ª safra'!$E32:INDEX('Milho 2ª safra'!$E32:$Z32,MIN(AZ$6-$E$3,22))),0))-IF($G$2,0,IF((AZ$6-$G$3)&lt;1,0,IFERROR(LOOKUP(2,1/('Milho 2ª safra'!$E32:INDEX('Milho 2ª safra'!$E32:$Z32,MIN(AZ$6-$G$3,22))&lt;&gt;""),'Milho 2ª safra'!$E32:INDEX('Milho 2ª safra'!$E32:$Z32,MIN(AZ$6-$G$3,22))),0)))))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IF(COUNT('Milho 2ª safra'!$E33:$Z33)&gt;0,N('Milho 2ª safra'!$D33),0)</f>
        <v>0</v>
      </c>
      <c r="E35" s="27" t="n">
        <f aca="false">IF(COUNT('Milho 2ª safra'!$E33:$Z33)=0,0,MAX(0,IF((E$6-$E$3)&lt;1,0,IFERROR(LOOKUP(2,1/('Milho 2ª safra'!$E33:INDEX('Milho 2ª safra'!$E33:$Z33,MIN(E$6-$E$3,22))&lt;&gt;""),'Milho 2ª safra'!$E33:INDEX('Milho 2ª safra'!$E33:$Z33,MIN(E$6-$E$3,22))),0))-IF($G$2,0,IF((E$6-$G$3)&lt;1,0,IFERROR(LOOKUP(2,1/('Milho 2ª safra'!$E33:INDEX('Milho 2ª safra'!$E33:$Z33,MIN(E$6-$G$3,22))&lt;&gt;""),'Milho 2ª safra'!$E33:INDEX('Milho 2ª safra'!$E33:$Z33,MIN(E$6-$G$3,22))),0)))))</f>
        <v>0</v>
      </c>
      <c r="F35" s="27" t="n">
        <f aca="false">IF(COUNT('Milho 2ª safra'!$E33:$Z33)=0,0,MAX(0,IF((F$6-$E$3)&lt;1,0,IFERROR(LOOKUP(2,1/('Milho 2ª safra'!$E33:INDEX('Milho 2ª safra'!$E33:$Z33,MIN(F$6-$E$3,22))&lt;&gt;""),'Milho 2ª safra'!$E33:INDEX('Milho 2ª safra'!$E33:$Z33,MIN(F$6-$E$3,22))),0))-IF($G$2,0,IF((F$6-$G$3)&lt;1,0,IFERROR(LOOKUP(2,1/('Milho 2ª safra'!$E33:INDEX('Milho 2ª safra'!$E33:$Z33,MIN(F$6-$G$3,22))&lt;&gt;""),'Milho 2ª safra'!$E33:INDEX('Milho 2ª safra'!$E33:$Z33,MIN(F$6-$G$3,22))),0)))))</f>
        <v>0</v>
      </c>
      <c r="G35" s="27" t="n">
        <f aca="false">IF(COUNT('Milho 2ª safra'!$E33:$Z33)=0,0,MAX(0,IF((G$6-$E$3)&lt;1,0,IFERROR(LOOKUP(2,1/('Milho 2ª safra'!$E33:INDEX('Milho 2ª safra'!$E33:$Z33,MIN(G$6-$E$3,22))&lt;&gt;""),'Milho 2ª safra'!$E33:INDEX('Milho 2ª safra'!$E33:$Z33,MIN(G$6-$E$3,22))),0))-IF($G$2,0,IF((G$6-$G$3)&lt;1,0,IFERROR(LOOKUP(2,1/('Milho 2ª safra'!$E33:INDEX('Milho 2ª safra'!$E33:$Z33,MIN(G$6-$G$3,22))&lt;&gt;""),'Milho 2ª safra'!$E33:INDEX('Milho 2ª safra'!$E33:$Z33,MIN(G$6-$G$3,22))),0)))))</f>
        <v>0</v>
      </c>
      <c r="H35" s="27" t="n">
        <f aca="false">IF(COUNT('Milho 2ª safra'!$E33:$Z33)=0,0,MAX(0,IF((H$6-$E$3)&lt;1,0,IFERROR(LOOKUP(2,1/('Milho 2ª safra'!$E33:INDEX('Milho 2ª safra'!$E33:$Z33,MIN(H$6-$E$3,22))&lt;&gt;""),'Milho 2ª safra'!$E33:INDEX('Milho 2ª safra'!$E33:$Z33,MIN(H$6-$E$3,22))),0))-IF($G$2,0,IF((H$6-$G$3)&lt;1,0,IFERROR(LOOKUP(2,1/('Milho 2ª safra'!$E33:INDEX('Milho 2ª safra'!$E33:$Z33,MIN(H$6-$G$3,22))&lt;&gt;""),'Milho 2ª safra'!$E33:INDEX('Milho 2ª safra'!$E33:$Z33,MIN(H$6-$G$3,22))),0)))))</f>
        <v>0</v>
      </c>
      <c r="I35" s="27" t="n">
        <f aca="false">IF(COUNT('Milho 2ª safra'!$E33:$Z33)=0,0,MAX(0,IF((I$6-$E$3)&lt;1,0,IFERROR(LOOKUP(2,1/('Milho 2ª safra'!$E33:INDEX('Milho 2ª safra'!$E33:$Z33,MIN(I$6-$E$3,22))&lt;&gt;""),'Milho 2ª safra'!$E33:INDEX('Milho 2ª safra'!$E33:$Z33,MIN(I$6-$E$3,22))),0))-IF($G$2,0,IF((I$6-$G$3)&lt;1,0,IFERROR(LOOKUP(2,1/('Milho 2ª safra'!$E33:INDEX('Milho 2ª safra'!$E33:$Z33,MIN(I$6-$G$3,22))&lt;&gt;""),'Milho 2ª safra'!$E33:INDEX('Milho 2ª safra'!$E33:$Z33,MIN(I$6-$G$3,22))),0)))))</f>
        <v>0</v>
      </c>
      <c r="J35" s="27" t="n">
        <f aca="false">IF(COUNT('Milho 2ª safra'!$E33:$Z33)=0,0,MAX(0,IF((J$6-$E$3)&lt;1,0,IFERROR(LOOKUP(2,1/('Milho 2ª safra'!$E33:INDEX('Milho 2ª safra'!$E33:$Z33,MIN(J$6-$E$3,22))&lt;&gt;""),'Milho 2ª safra'!$E33:INDEX('Milho 2ª safra'!$E33:$Z33,MIN(J$6-$E$3,22))),0))-IF($G$2,0,IF((J$6-$G$3)&lt;1,0,IFERROR(LOOKUP(2,1/('Milho 2ª safra'!$E33:INDEX('Milho 2ª safra'!$E33:$Z33,MIN(J$6-$G$3,22))&lt;&gt;""),'Milho 2ª safra'!$E33:INDEX('Milho 2ª safra'!$E33:$Z33,MIN(J$6-$G$3,22))),0)))))</f>
        <v>0</v>
      </c>
      <c r="K35" s="27" t="n">
        <f aca="false">IF(COUNT('Milho 2ª safra'!$E33:$Z33)=0,0,MAX(0,IF((K$6-$E$3)&lt;1,0,IFERROR(LOOKUP(2,1/('Milho 2ª safra'!$E33:INDEX('Milho 2ª safra'!$E33:$Z33,MIN(K$6-$E$3,22))&lt;&gt;""),'Milho 2ª safra'!$E33:INDEX('Milho 2ª safra'!$E33:$Z33,MIN(K$6-$E$3,22))),0))-IF($G$2,0,IF((K$6-$G$3)&lt;1,0,IFERROR(LOOKUP(2,1/('Milho 2ª safra'!$E33:INDEX('Milho 2ª safra'!$E33:$Z33,MIN(K$6-$G$3,22))&lt;&gt;""),'Milho 2ª safra'!$E33:INDEX('Milho 2ª safra'!$E33:$Z33,MIN(K$6-$G$3,22))),0)))))</f>
        <v>0</v>
      </c>
      <c r="L35" s="27" t="n">
        <f aca="false">IF(COUNT('Milho 2ª safra'!$E33:$Z33)=0,0,MAX(0,IF((L$6-$E$3)&lt;1,0,IFERROR(LOOKUP(2,1/('Milho 2ª safra'!$E33:INDEX('Milho 2ª safra'!$E33:$Z33,MIN(L$6-$E$3,22))&lt;&gt;""),'Milho 2ª safra'!$E33:INDEX('Milho 2ª safra'!$E33:$Z33,MIN(L$6-$E$3,22))),0))-IF($G$2,0,IF((L$6-$G$3)&lt;1,0,IFERROR(LOOKUP(2,1/('Milho 2ª safra'!$E33:INDEX('Milho 2ª safra'!$E33:$Z33,MIN(L$6-$G$3,22))&lt;&gt;""),'Milho 2ª safra'!$E33:INDEX('Milho 2ª safra'!$E33:$Z33,MIN(L$6-$G$3,22))),0)))))</f>
        <v>0</v>
      </c>
      <c r="M35" s="27" t="n">
        <f aca="false">IF(COUNT('Milho 2ª safra'!$E33:$Z33)=0,0,MAX(0,IF((M$6-$E$3)&lt;1,0,IFERROR(LOOKUP(2,1/('Milho 2ª safra'!$E33:INDEX('Milho 2ª safra'!$E33:$Z33,MIN(M$6-$E$3,22))&lt;&gt;""),'Milho 2ª safra'!$E33:INDEX('Milho 2ª safra'!$E33:$Z33,MIN(M$6-$E$3,22))),0))-IF($G$2,0,IF((M$6-$G$3)&lt;1,0,IFERROR(LOOKUP(2,1/('Milho 2ª safra'!$E33:INDEX('Milho 2ª safra'!$E33:$Z33,MIN(M$6-$G$3,22))&lt;&gt;""),'Milho 2ª safra'!$E33:INDEX('Milho 2ª safra'!$E33:$Z33,MIN(M$6-$G$3,22))),0)))))</f>
        <v>0</v>
      </c>
      <c r="N35" s="27" t="n">
        <f aca="false">IF(COUNT('Milho 2ª safra'!$E33:$Z33)=0,0,MAX(0,IF((N$6-$E$3)&lt;1,0,IFERROR(LOOKUP(2,1/('Milho 2ª safra'!$E33:INDEX('Milho 2ª safra'!$E33:$Z33,MIN(N$6-$E$3,22))&lt;&gt;""),'Milho 2ª safra'!$E33:INDEX('Milho 2ª safra'!$E33:$Z33,MIN(N$6-$E$3,22))),0))-IF($G$2,0,IF((N$6-$G$3)&lt;1,0,IFERROR(LOOKUP(2,1/('Milho 2ª safra'!$E33:INDEX('Milho 2ª safra'!$E33:$Z33,MIN(N$6-$G$3,22))&lt;&gt;""),'Milho 2ª safra'!$E33:INDEX('Milho 2ª safra'!$E33:$Z33,MIN(N$6-$G$3,22))),0)))))</f>
        <v>0</v>
      </c>
      <c r="O35" s="27" t="n">
        <f aca="false">IF(COUNT('Milho 2ª safra'!$E33:$Z33)=0,0,MAX(0,IF((O$6-$E$3)&lt;1,0,IFERROR(LOOKUP(2,1/('Milho 2ª safra'!$E33:INDEX('Milho 2ª safra'!$E33:$Z33,MIN(O$6-$E$3,22))&lt;&gt;""),'Milho 2ª safra'!$E33:INDEX('Milho 2ª safra'!$E33:$Z33,MIN(O$6-$E$3,22))),0))-IF($G$2,0,IF((O$6-$G$3)&lt;1,0,IFERROR(LOOKUP(2,1/('Milho 2ª safra'!$E33:INDEX('Milho 2ª safra'!$E33:$Z33,MIN(O$6-$G$3,22))&lt;&gt;""),'Milho 2ª safra'!$E33:INDEX('Milho 2ª safra'!$E33:$Z33,MIN(O$6-$G$3,22))),0)))))</f>
        <v>0</v>
      </c>
      <c r="P35" s="27" t="n">
        <f aca="false">IF(COUNT('Milho 2ª safra'!$E33:$Z33)=0,0,MAX(0,IF((P$6-$E$3)&lt;1,0,IFERROR(LOOKUP(2,1/('Milho 2ª safra'!$E33:INDEX('Milho 2ª safra'!$E33:$Z33,MIN(P$6-$E$3,22))&lt;&gt;""),'Milho 2ª safra'!$E33:INDEX('Milho 2ª safra'!$E33:$Z33,MIN(P$6-$E$3,22))),0))-IF($G$2,0,IF((P$6-$G$3)&lt;1,0,IFERROR(LOOKUP(2,1/('Milho 2ª safra'!$E33:INDEX('Milho 2ª safra'!$E33:$Z33,MIN(P$6-$G$3,22))&lt;&gt;""),'Milho 2ª safra'!$E33:INDEX('Milho 2ª safra'!$E33:$Z33,MIN(P$6-$G$3,22))),0)))))</f>
        <v>0</v>
      </c>
      <c r="Q35" s="27" t="n">
        <f aca="false">IF(COUNT('Milho 2ª safra'!$E33:$Z33)=0,0,MAX(0,IF((Q$6-$E$3)&lt;1,0,IFERROR(LOOKUP(2,1/('Milho 2ª safra'!$E33:INDEX('Milho 2ª safra'!$E33:$Z33,MIN(Q$6-$E$3,22))&lt;&gt;""),'Milho 2ª safra'!$E33:INDEX('Milho 2ª safra'!$E33:$Z33,MIN(Q$6-$E$3,22))),0))-IF($G$2,0,IF((Q$6-$G$3)&lt;1,0,IFERROR(LOOKUP(2,1/('Milho 2ª safra'!$E33:INDEX('Milho 2ª safra'!$E33:$Z33,MIN(Q$6-$G$3,22))&lt;&gt;""),'Milho 2ª safra'!$E33:INDEX('Milho 2ª safra'!$E33:$Z33,MIN(Q$6-$G$3,22))),0)))))</f>
        <v>0</v>
      </c>
      <c r="R35" s="27" t="n">
        <f aca="false">IF(COUNT('Milho 2ª safra'!$E33:$Z33)=0,0,MAX(0,IF((R$6-$E$3)&lt;1,0,IFERROR(LOOKUP(2,1/('Milho 2ª safra'!$E33:INDEX('Milho 2ª safra'!$E33:$Z33,MIN(R$6-$E$3,22))&lt;&gt;""),'Milho 2ª safra'!$E33:INDEX('Milho 2ª safra'!$E33:$Z33,MIN(R$6-$E$3,22))),0))-IF($G$2,0,IF((R$6-$G$3)&lt;1,0,IFERROR(LOOKUP(2,1/('Milho 2ª safra'!$E33:INDEX('Milho 2ª safra'!$E33:$Z33,MIN(R$6-$G$3,22))&lt;&gt;""),'Milho 2ª safra'!$E33:INDEX('Milho 2ª safra'!$E33:$Z33,MIN(R$6-$G$3,22))),0)))))</f>
        <v>0</v>
      </c>
      <c r="S35" s="27" t="n">
        <f aca="false">IF(COUNT('Milho 2ª safra'!$E33:$Z33)=0,0,MAX(0,IF((S$6-$E$3)&lt;1,0,IFERROR(LOOKUP(2,1/('Milho 2ª safra'!$E33:INDEX('Milho 2ª safra'!$E33:$Z33,MIN(S$6-$E$3,22))&lt;&gt;""),'Milho 2ª safra'!$E33:INDEX('Milho 2ª safra'!$E33:$Z33,MIN(S$6-$E$3,22))),0))-IF($G$2,0,IF((S$6-$G$3)&lt;1,0,IFERROR(LOOKUP(2,1/('Milho 2ª safra'!$E33:INDEX('Milho 2ª safra'!$E33:$Z33,MIN(S$6-$G$3,22))&lt;&gt;""),'Milho 2ª safra'!$E33:INDEX('Milho 2ª safra'!$E33:$Z33,MIN(S$6-$G$3,22))),0)))))</f>
        <v>0</v>
      </c>
      <c r="T35" s="27" t="n">
        <f aca="false">IF(COUNT('Milho 2ª safra'!$E33:$Z33)=0,0,MAX(0,IF((T$6-$E$3)&lt;1,0,IFERROR(LOOKUP(2,1/('Milho 2ª safra'!$E33:INDEX('Milho 2ª safra'!$E33:$Z33,MIN(T$6-$E$3,22))&lt;&gt;""),'Milho 2ª safra'!$E33:INDEX('Milho 2ª safra'!$E33:$Z33,MIN(T$6-$E$3,22))),0))-IF($G$2,0,IF((T$6-$G$3)&lt;1,0,IFERROR(LOOKUP(2,1/('Milho 2ª safra'!$E33:INDEX('Milho 2ª safra'!$E33:$Z33,MIN(T$6-$G$3,22))&lt;&gt;""),'Milho 2ª safra'!$E33:INDEX('Milho 2ª safra'!$E33:$Z33,MIN(T$6-$G$3,22))),0)))))</f>
        <v>0</v>
      </c>
      <c r="U35" s="27" t="n">
        <f aca="false">IF(COUNT('Milho 2ª safra'!$E33:$Z33)=0,0,MAX(0,IF((U$6-$E$3)&lt;1,0,IFERROR(LOOKUP(2,1/('Milho 2ª safra'!$E33:INDEX('Milho 2ª safra'!$E33:$Z33,MIN(U$6-$E$3,22))&lt;&gt;""),'Milho 2ª safra'!$E33:INDEX('Milho 2ª safra'!$E33:$Z33,MIN(U$6-$E$3,22))),0))-IF($G$2,0,IF((U$6-$G$3)&lt;1,0,IFERROR(LOOKUP(2,1/('Milho 2ª safra'!$E33:INDEX('Milho 2ª safra'!$E33:$Z33,MIN(U$6-$G$3,22))&lt;&gt;""),'Milho 2ª safra'!$E33:INDEX('Milho 2ª safra'!$E33:$Z33,MIN(U$6-$G$3,22))),0)))))</f>
        <v>0</v>
      </c>
      <c r="V35" s="27" t="n">
        <f aca="false">IF(COUNT('Milho 2ª safra'!$E33:$Z33)=0,0,MAX(0,IF((V$6-$E$3)&lt;1,0,IFERROR(LOOKUP(2,1/('Milho 2ª safra'!$E33:INDEX('Milho 2ª safra'!$E33:$Z33,MIN(V$6-$E$3,22))&lt;&gt;""),'Milho 2ª safra'!$E33:INDEX('Milho 2ª safra'!$E33:$Z33,MIN(V$6-$E$3,22))),0))-IF($G$2,0,IF((V$6-$G$3)&lt;1,0,IFERROR(LOOKUP(2,1/('Milho 2ª safra'!$E33:INDEX('Milho 2ª safra'!$E33:$Z33,MIN(V$6-$G$3,22))&lt;&gt;""),'Milho 2ª safra'!$E33:INDEX('Milho 2ª safra'!$E33:$Z33,MIN(V$6-$G$3,22))),0)))))</f>
        <v>0</v>
      </c>
      <c r="W35" s="27" t="n">
        <f aca="false">IF(COUNT('Milho 2ª safra'!$E33:$Z33)=0,0,MAX(0,IF((W$6-$E$3)&lt;1,0,IFERROR(LOOKUP(2,1/('Milho 2ª safra'!$E33:INDEX('Milho 2ª safra'!$E33:$Z33,MIN(W$6-$E$3,22))&lt;&gt;""),'Milho 2ª safra'!$E33:INDEX('Milho 2ª safra'!$E33:$Z33,MIN(W$6-$E$3,22))),0))-IF($G$2,0,IF((W$6-$G$3)&lt;1,0,IFERROR(LOOKUP(2,1/('Milho 2ª safra'!$E33:INDEX('Milho 2ª safra'!$E33:$Z33,MIN(W$6-$G$3,22))&lt;&gt;""),'Milho 2ª safra'!$E33:INDEX('Milho 2ª safra'!$E33:$Z33,MIN(W$6-$G$3,22))),0)))))</f>
        <v>0</v>
      </c>
      <c r="X35" s="27" t="n">
        <f aca="false">IF(COUNT('Milho 2ª safra'!$E33:$Z33)=0,0,MAX(0,IF((X$6-$E$3)&lt;1,0,IFERROR(LOOKUP(2,1/('Milho 2ª safra'!$E33:INDEX('Milho 2ª safra'!$E33:$Z33,MIN(X$6-$E$3,22))&lt;&gt;""),'Milho 2ª safra'!$E33:INDEX('Milho 2ª safra'!$E33:$Z33,MIN(X$6-$E$3,22))),0))-IF($G$2,0,IF((X$6-$G$3)&lt;1,0,IFERROR(LOOKUP(2,1/('Milho 2ª safra'!$E33:INDEX('Milho 2ª safra'!$E33:$Z33,MIN(X$6-$G$3,22))&lt;&gt;""),'Milho 2ª safra'!$E33:INDEX('Milho 2ª safra'!$E33:$Z33,MIN(X$6-$G$3,22))),0)))))</f>
        <v>0</v>
      </c>
      <c r="Y35" s="27" t="n">
        <f aca="false">IF(COUNT('Milho 2ª safra'!$E33:$Z33)=0,0,MAX(0,IF((Y$6-$E$3)&lt;1,0,IFERROR(LOOKUP(2,1/('Milho 2ª safra'!$E33:INDEX('Milho 2ª safra'!$E33:$Z33,MIN(Y$6-$E$3,22))&lt;&gt;""),'Milho 2ª safra'!$E33:INDEX('Milho 2ª safra'!$E33:$Z33,MIN(Y$6-$E$3,22))),0))-IF($G$2,0,IF((Y$6-$G$3)&lt;1,0,IFERROR(LOOKUP(2,1/('Milho 2ª safra'!$E33:INDEX('Milho 2ª safra'!$E33:$Z33,MIN(Y$6-$G$3,22))&lt;&gt;""),'Milho 2ª safra'!$E33:INDEX('Milho 2ª safra'!$E33:$Z33,MIN(Y$6-$G$3,22))),0)))))</f>
        <v>0</v>
      </c>
      <c r="Z35" s="27" t="n">
        <f aca="false">IF(COUNT('Milho 2ª safra'!$E33:$Z33)=0,0,MAX(0,IF((Z$6-$E$3)&lt;1,0,IFERROR(LOOKUP(2,1/('Milho 2ª safra'!$E33:INDEX('Milho 2ª safra'!$E33:$Z33,MIN(Z$6-$E$3,22))&lt;&gt;""),'Milho 2ª safra'!$E33:INDEX('Milho 2ª safra'!$E33:$Z33,MIN(Z$6-$E$3,22))),0))-IF($G$2,0,IF((Z$6-$G$3)&lt;1,0,IFERROR(LOOKUP(2,1/('Milho 2ª safra'!$E33:INDEX('Milho 2ª safra'!$E33:$Z33,MIN(Z$6-$G$3,22))&lt;&gt;""),'Milho 2ª safra'!$E33:INDEX('Milho 2ª safra'!$E33:$Z33,MIN(Z$6-$G$3,22))),0)))))</f>
        <v>0</v>
      </c>
      <c r="AA35" s="27" t="n">
        <f aca="false">IF(COUNT('Milho 2ª safra'!$E33:$Z33)=0,0,MAX(0,IF((AA$6-$E$3)&lt;1,0,IFERROR(LOOKUP(2,1/('Milho 2ª safra'!$E33:INDEX('Milho 2ª safra'!$E33:$Z33,MIN(AA$6-$E$3,22))&lt;&gt;""),'Milho 2ª safra'!$E33:INDEX('Milho 2ª safra'!$E33:$Z33,MIN(AA$6-$E$3,22))),0))-IF($G$2,0,IF((AA$6-$G$3)&lt;1,0,IFERROR(LOOKUP(2,1/('Milho 2ª safra'!$E33:INDEX('Milho 2ª safra'!$E33:$Z33,MIN(AA$6-$G$3,22))&lt;&gt;""),'Milho 2ª safra'!$E33:INDEX('Milho 2ª safra'!$E33:$Z33,MIN(AA$6-$G$3,22))),0)))))</f>
        <v>0</v>
      </c>
      <c r="AB35" s="27" t="n">
        <f aca="false">IF(COUNT('Milho 2ª safra'!$E33:$Z33)=0,0,MAX(0,IF((AB$6-$E$3)&lt;1,0,IFERROR(LOOKUP(2,1/('Milho 2ª safra'!$E33:INDEX('Milho 2ª safra'!$E33:$Z33,MIN(AB$6-$E$3,22))&lt;&gt;""),'Milho 2ª safra'!$E33:INDEX('Milho 2ª safra'!$E33:$Z33,MIN(AB$6-$E$3,22))),0))-IF($G$2,0,IF((AB$6-$G$3)&lt;1,0,IFERROR(LOOKUP(2,1/('Milho 2ª safra'!$E33:INDEX('Milho 2ª safra'!$E33:$Z33,MIN(AB$6-$G$3,22))&lt;&gt;""),'Milho 2ª safra'!$E33:INDEX('Milho 2ª safra'!$E33:$Z33,MIN(AB$6-$G$3,22))),0)))))</f>
        <v>0</v>
      </c>
      <c r="AC35" s="27" t="n">
        <f aca="false">IF(COUNT('Milho 2ª safra'!$E33:$Z33)=0,0,MAX(0,IF((AC$6-$E$3)&lt;1,0,IFERROR(LOOKUP(2,1/('Milho 2ª safra'!$E33:INDEX('Milho 2ª safra'!$E33:$Z33,MIN(AC$6-$E$3,22))&lt;&gt;""),'Milho 2ª safra'!$E33:INDEX('Milho 2ª safra'!$E33:$Z33,MIN(AC$6-$E$3,22))),0))-IF($G$2,0,IF((AC$6-$G$3)&lt;1,0,IFERROR(LOOKUP(2,1/('Milho 2ª safra'!$E33:INDEX('Milho 2ª safra'!$E33:$Z33,MIN(AC$6-$G$3,22))&lt;&gt;""),'Milho 2ª safra'!$E33:INDEX('Milho 2ª safra'!$E33:$Z33,MIN(AC$6-$G$3,22))),0)))))</f>
        <v>0</v>
      </c>
      <c r="AD35" s="27" t="n">
        <f aca="false">IF(COUNT('Milho 2ª safra'!$E33:$Z33)=0,0,MAX(0,IF((AD$6-$E$3)&lt;1,0,IFERROR(LOOKUP(2,1/('Milho 2ª safra'!$E33:INDEX('Milho 2ª safra'!$E33:$Z33,MIN(AD$6-$E$3,22))&lt;&gt;""),'Milho 2ª safra'!$E33:INDEX('Milho 2ª safra'!$E33:$Z33,MIN(AD$6-$E$3,22))),0))-IF($G$2,0,IF((AD$6-$G$3)&lt;1,0,IFERROR(LOOKUP(2,1/('Milho 2ª safra'!$E33:INDEX('Milho 2ª safra'!$E33:$Z33,MIN(AD$6-$G$3,22))&lt;&gt;""),'Milho 2ª safra'!$E33:INDEX('Milho 2ª safra'!$E33:$Z33,MIN(AD$6-$G$3,22))),0)))))</f>
        <v>0</v>
      </c>
      <c r="AE35" s="27" t="n">
        <f aca="false">IF(COUNT('Milho 2ª safra'!$E33:$Z33)=0,0,MAX(0,IF((AE$6-$E$3)&lt;1,0,IFERROR(LOOKUP(2,1/('Milho 2ª safra'!$E33:INDEX('Milho 2ª safra'!$E33:$Z33,MIN(AE$6-$E$3,22))&lt;&gt;""),'Milho 2ª safra'!$E33:INDEX('Milho 2ª safra'!$E33:$Z33,MIN(AE$6-$E$3,22))),0))-IF($G$2,0,IF((AE$6-$G$3)&lt;1,0,IFERROR(LOOKUP(2,1/('Milho 2ª safra'!$E33:INDEX('Milho 2ª safra'!$E33:$Z33,MIN(AE$6-$G$3,22))&lt;&gt;""),'Milho 2ª safra'!$E33:INDEX('Milho 2ª safra'!$E33:$Z33,MIN(AE$6-$G$3,22))),0)))))</f>
        <v>0</v>
      </c>
      <c r="AF35" s="27" t="n">
        <f aca="false">IF(COUNT('Milho 2ª safra'!$E33:$Z33)=0,0,MAX(0,IF((AF$6-$E$3)&lt;1,0,IFERROR(LOOKUP(2,1/('Milho 2ª safra'!$E33:INDEX('Milho 2ª safra'!$E33:$Z33,MIN(AF$6-$E$3,22))&lt;&gt;""),'Milho 2ª safra'!$E33:INDEX('Milho 2ª safra'!$E33:$Z33,MIN(AF$6-$E$3,22))),0))-IF($G$2,0,IF((AF$6-$G$3)&lt;1,0,IFERROR(LOOKUP(2,1/('Milho 2ª safra'!$E33:INDEX('Milho 2ª safra'!$E33:$Z33,MIN(AF$6-$G$3,22))&lt;&gt;""),'Milho 2ª safra'!$E33:INDEX('Milho 2ª safra'!$E33:$Z33,MIN(AF$6-$G$3,22))),0)))))</f>
        <v>0</v>
      </c>
      <c r="AG35" s="27" t="n">
        <f aca="false">IF(COUNT('Milho 2ª safra'!$E33:$Z33)=0,0,MAX(0,IF((AG$6-$E$3)&lt;1,0,IFERROR(LOOKUP(2,1/('Milho 2ª safra'!$E33:INDEX('Milho 2ª safra'!$E33:$Z33,MIN(AG$6-$E$3,22))&lt;&gt;""),'Milho 2ª safra'!$E33:INDEX('Milho 2ª safra'!$E33:$Z33,MIN(AG$6-$E$3,22))),0))-IF($G$2,0,IF((AG$6-$G$3)&lt;1,0,IFERROR(LOOKUP(2,1/('Milho 2ª safra'!$E33:INDEX('Milho 2ª safra'!$E33:$Z33,MIN(AG$6-$G$3,22))&lt;&gt;""),'Milho 2ª safra'!$E33:INDEX('Milho 2ª safra'!$E33:$Z33,MIN(AG$6-$G$3,22))),0)))))</f>
        <v>0</v>
      </c>
      <c r="AH35" s="27" t="n">
        <f aca="false">IF(COUNT('Milho 2ª safra'!$E33:$Z33)=0,0,MAX(0,IF((AH$6-$E$3)&lt;1,0,IFERROR(LOOKUP(2,1/('Milho 2ª safra'!$E33:INDEX('Milho 2ª safra'!$E33:$Z33,MIN(AH$6-$E$3,22))&lt;&gt;""),'Milho 2ª safra'!$E33:INDEX('Milho 2ª safra'!$E33:$Z33,MIN(AH$6-$E$3,22))),0))-IF($G$2,0,IF((AH$6-$G$3)&lt;1,0,IFERROR(LOOKUP(2,1/('Milho 2ª safra'!$E33:INDEX('Milho 2ª safra'!$E33:$Z33,MIN(AH$6-$G$3,22))&lt;&gt;""),'Milho 2ª safra'!$E33:INDEX('Milho 2ª safra'!$E33:$Z33,MIN(AH$6-$G$3,22))),0)))))</f>
        <v>0</v>
      </c>
      <c r="AI35" s="27" t="n">
        <f aca="false">IF(COUNT('Milho 2ª safra'!$E33:$Z33)=0,0,MAX(0,IF((AI$6-$E$3)&lt;1,0,IFERROR(LOOKUP(2,1/('Milho 2ª safra'!$E33:INDEX('Milho 2ª safra'!$E33:$Z33,MIN(AI$6-$E$3,22))&lt;&gt;""),'Milho 2ª safra'!$E33:INDEX('Milho 2ª safra'!$E33:$Z33,MIN(AI$6-$E$3,22))),0))-IF($G$2,0,IF((AI$6-$G$3)&lt;1,0,IFERROR(LOOKUP(2,1/('Milho 2ª safra'!$E33:INDEX('Milho 2ª safra'!$E33:$Z33,MIN(AI$6-$G$3,22))&lt;&gt;""),'Milho 2ª safra'!$E33:INDEX('Milho 2ª safra'!$E33:$Z33,MIN(AI$6-$G$3,22))),0)))))</f>
        <v>0</v>
      </c>
      <c r="AJ35" s="27" t="n">
        <f aca="false">IF(COUNT('Milho 2ª safra'!$E33:$Z33)=0,0,MAX(0,IF((AJ$6-$E$3)&lt;1,0,IFERROR(LOOKUP(2,1/('Milho 2ª safra'!$E33:INDEX('Milho 2ª safra'!$E33:$Z33,MIN(AJ$6-$E$3,22))&lt;&gt;""),'Milho 2ª safra'!$E33:INDEX('Milho 2ª safra'!$E33:$Z33,MIN(AJ$6-$E$3,22))),0))-IF($G$2,0,IF((AJ$6-$G$3)&lt;1,0,IFERROR(LOOKUP(2,1/('Milho 2ª safra'!$E33:INDEX('Milho 2ª safra'!$E33:$Z33,MIN(AJ$6-$G$3,22))&lt;&gt;""),'Milho 2ª safra'!$E33:INDEX('Milho 2ª safra'!$E33:$Z33,MIN(AJ$6-$G$3,22))),0)))))</f>
        <v>0</v>
      </c>
      <c r="AK35" s="27" t="n">
        <f aca="false">IF(COUNT('Milho 2ª safra'!$E33:$Z33)=0,0,MAX(0,IF((AK$6-$E$3)&lt;1,0,IFERROR(LOOKUP(2,1/('Milho 2ª safra'!$E33:INDEX('Milho 2ª safra'!$E33:$Z33,MIN(AK$6-$E$3,22))&lt;&gt;""),'Milho 2ª safra'!$E33:INDEX('Milho 2ª safra'!$E33:$Z33,MIN(AK$6-$E$3,22))),0))-IF($G$2,0,IF((AK$6-$G$3)&lt;1,0,IFERROR(LOOKUP(2,1/('Milho 2ª safra'!$E33:INDEX('Milho 2ª safra'!$E33:$Z33,MIN(AK$6-$G$3,22))&lt;&gt;""),'Milho 2ª safra'!$E33:INDEX('Milho 2ª safra'!$E33:$Z33,MIN(AK$6-$G$3,22))),0)))))</f>
        <v>0</v>
      </c>
      <c r="AL35" s="27" t="n">
        <f aca="false">IF(COUNT('Milho 2ª safra'!$E33:$Z33)=0,0,MAX(0,IF((AL$6-$E$3)&lt;1,0,IFERROR(LOOKUP(2,1/('Milho 2ª safra'!$E33:INDEX('Milho 2ª safra'!$E33:$Z33,MIN(AL$6-$E$3,22))&lt;&gt;""),'Milho 2ª safra'!$E33:INDEX('Milho 2ª safra'!$E33:$Z33,MIN(AL$6-$E$3,22))),0))-IF($G$2,0,IF((AL$6-$G$3)&lt;1,0,IFERROR(LOOKUP(2,1/('Milho 2ª safra'!$E33:INDEX('Milho 2ª safra'!$E33:$Z33,MIN(AL$6-$G$3,22))&lt;&gt;""),'Milho 2ª safra'!$E33:INDEX('Milho 2ª safra'!$E33:$Z33,MIN(AL$6-$G$3,22))),0)))))</f>
        <v>0</v>
      </c>
      <c r="AM35" s="27" t="n">
        <f aca="false">IF(COUNT('Milho 2ª safra'!$E33:$Z33)=0,0,MAX(0,IF((AM$6-$E$3)&lt;1,0,IFERROR(LOOKUP(2,1/('Milho 2ª safra'!$E33:INDEX('Milho 2ª safra'!$E33:$Z33,MIN(AM$6-$E$3,22))&lt;&gt;""),'Milho 2ª safra'!$E33:INDEX('Milho 2ª safra'!$E33:$Z33,MIN(AM$6-$E$3,22))),0))-IF($G$2,0,IF((AM$6-$G$3)&lt;1,0,IFERROR(LOOKUP(2,1/('Milho 2ª safra'!$E33:INDEX('Milho 2ª safra'!$E33:$Z33,MIN(AM$6-$G$3,22))&lt;&gt;""),'Milho 2ª safra'!$E33:INDEX('Milho 2ª safra'!$E33:$Z33,MIN(AM$6-$G$3,22))),0)))))</f>
        <v>0</v>
      </c>
      <c r="AN35" s="27" t="n">
        <f aca="false">IF(COUNT('Milho 2ª safra'!$E33:$Z33)=0,0,MAX(0,IF((AN$6-$E$3)&lt;1,0,IFERROR(LOOKUP(2,1/('Milho 2ª safra'!$E33:INDEX('Milho 2ª safra'!$E33:$Z33,MIN(AN$6-$E$3,22))&lt;&gt;""),'Milho 2ª safra'!$E33:INDEX('Milho 2ª safra'!$E33:$Z33,MIN(AN$6-$E$3,22))),0))-IF($G$2,0,IF((AN$6-$G$3)&lt;1,0,IFERROR(LOOKUP(2,1/('Milho 2ª safra'!$E33:INDEX('Milho 2ª safra'!$E33:$Z33,MIN(AN$6-$G$3,22))&lt;&gt;""),'Milho 2ª safra'!$E33:INDEX('Milho 2ª safra'!$E33:$Z33,MIN(AN$6-$G$3,22))),0)))))</f>
        <v>0</v>
      </c>
      <c r="AO35" s="27" t="n">
        <f aca="false">IF(COUNT('Milho 2ª safra'!$E33:$Z33)=0,0,MAX(0,IF((AO$6-$E$3)&lt;1,0,IFERROR(LOOKUP(2,1/('Milho 2ª safra'!$E33:INDEX('Milho 2ª safra'!$E33:$Z33,MIN(AO$6-$E$3,22))&lt;&gt;""),'Milho 2ª safra'!$E33:INDEX('Milho 2ª safra'!$E33:$Z33,MIN(AO$6-$E$3,22))),0))-IF($G$2,0,IF((AO$6-$G$3)&lt;1,0,IFERROR(LOOKUP(2,1/('Milho 2ª safra'!$E33:INDEX('Milho 2ª safra'!$E33:$Z33,MIN(AO$6-$G$3,22))&lt;&gt;""),'Milho 2ª safra'!$E33:INDEX('Milho 2ª safra'!$E33:$Z33,MIN(AO$6-$G$3,22))),0)))))</f>
        <v>0</v>
      </c>
      <c r="AP35" s="27" t="n">
        <f aca="false">IF(COUNT('Milho 2ª safra'!$E33:$Z33)=0,0,MAX(0,IF((AP$6-$E$3)&lt;1,0,IFERROR(LOOKUP(2,1/('Milho 2ª safra'!$E33:INDEX('Milho 2ª safra'!$E33:$Z33,MIN(AP$6-$E$3,22))&lt;&gt;""),'Milho 2ª safra'!$E33:INDEX('Milho 2ª safra'!$E33:$Z33,MIN(AP$6-$E$3,22))),0))-IF($G$2,0,IF((AP$6-$G$3)&lt;1,0,IFERROR(LOOKUP(2,1/('Milho 2ª safra'!$E33:INDEX('Milho 2ª safra'!$E33:$Z33,MIN(AP$6-$G$3,22))&lt;&gt;""),'Milho 2ª safra'!$E33:INDEX('Milho 2ª safra'!$E33:$Z33,MIN(AP$6-$G$3,22))),0)))))</f>
        <v>0</v>
      </c>
      <c r="AQ35" s="27" t="n">
        <f aca="false">IF(COUNT('Milho 2ª safra'!$E33:$Z33)=0,0,MAX(0,IF((AQ$6-$E$3)&lt;1,0,IFERROR(LOOKUP(2,1/('Milho 2ª safra'!$E33:INDEX('Milho 2ª safra'!$E33:$Z33,MIN(AQ$6-$E$3,22))&lt;&gt;""),'Milho 2ª safra'!$E33:INDEX('Milho 2ª safra'!$E33:$Z33,MIN(AQ$6-$E$3,22))),0))-IF($G$2,0,IF((AQ$6-$G$3)&lt;1,0,IFERROR(LOOKUP(2,1/('Milho 2ª safra'!$E33:INDEX('Milho 2ª safra'!$E33:$Z33,MIN(AQ$6-$G$3,22))&lt;&gt;""),'Milho 2ª safra'!$E33:INDEX('Milho 2ª safra'!$E33:$Z33,MIN(AQ$6-$G$3,22))),0)))))</f>
        <v>0</v>
      </c>
      <c r="AR35" s="27" t="n">
        <f aca="false">IF(COUNT('Milho 2ª safra'!$E33:$Z33)=0,0,MAX(0,IF((AR$6-$E$3)&lt;1,0,IFERROR(LOOKUP(2,1/('Milho 2ª safra'!$E33:INDEX('Milho 2ª safra'!$E33:$Z33,MIN(AR$6-$E$3,22))&lt;&gt;""),'Milho 2ª safra'!$E33:INDEX('Milho 2ª safra'!$E33:$Z33,MIN(AR$6-$E$3,22))),0))-IF($G$2,0,IF((AR$6-$G$3)&lt;1,0,IFERROR(LOOKUP(2,1/('Milho 2ª safra'!$E33:INDEX('Milho 2ª safra'!$E33:$Z33,MIN(AR$6-$G$3,22))&lt;&gt;""),'Milho 2ª safra'!$E33:INDEX('Milho 2ª safra'!$E33:$Z33,MIN(AR$6-$G$3,22))),0)))))</f>
        <v>0</v>
      </c>
      <c r="AS35" s="27" t="n">
        <f aca="false">IF(COUNT('Milho 2ª safra'!$E33:$Z33)=0,0,MAX(0,IF((AS$6-$E$3)&lt;1,0,IFERROR(LOOKUP(2,1/('Milho 2ª safra'!$E33:INDEX('Milho 2ª safra'!$E33:$Z33,MIN(AS$6-$E$3,22))&lt;&gt;""),'Milho 2ª safra'!$E33:INDEX('Milho 2ª safra'!$E33:$Z33,MIN(AS$6-$E$3,22))),0))-IF($G$2,0,IF((AS$6-$G$3)&lt;1,0,IFERROR(LOOKUP(2,1/('Milho 2ª safra'!$E33:INDEX('Milho 2ª safra'!$E33:$Z33,MIN(AS$6-$G$3,22))&lt;&gt;""),'Milho 2ª safra'!$E33:INDEX('Milho 2ª safra'!$E33:$Z33,MIN(AS$6-$G$3,22))),0)))))</f>
        <v>0</v>
      </c>
      <c r="AT35" s="27" t="n">
        <f aca="false">IF(COUNT('Milho 2ª safra'!$E33:$Z33)=0,0,MAX(0,IF((AT$6-$E$3)&lt;1,0,IFERROR(LOOKUP(2,1/('Milho 2ª safra'!$E33:INDEX('Milho 2ª safra'!$E33:$Z33,MIN(AT$6-$E$3,22))&lt;&gt;""),'Milho 2ª safra'!$E33:INDEX('Milho 2ª safra'!$E33:$Z33,MIN(AT$6-$E$3,22))),0))-IF($G$2,0,IF((AT$6-$G$3)&lt;1,0,IFERROR(LOOKUP(2,1/('Milho 2ª safra'!$E33:INDEX('Milho 2ª safra'!$E33:$Z33,MIN(AT$6-$G$3,22))&lt;&gt;""),'Milho 2ª safra'!$E33:INDEX('Milho 2ª safra'!$E33:$Z33,MIN(AT$6-$G$3,22))),0)))))</f>
        <v>0</v>
      </c>
      <c r="AU35" s="27" t="n">
        <f aca="false">IF(COUNT('Milho 2ª safra'!$E33:$Z33)=0,0,MAX(0,IF((AU$6-$E$3)&lt;1,0,IFERROR(LOOKUP(2,1/('Milho 2ª safra'!$E33:INDEX('Milho 2ª safra'!$E33:$Z33,MIN(AU$6-$E$3,22))&lt;&gt;""),'Milho 2ª safra'!$E33:INDEX('Milho 2ª safra'!$E33:$Z33,MIN(AU$6-$E$3,22))),0))-IF($G$2,0,IF((AU$6-$G$3)&lt;1,0,IFERROR(LOOKUP(2,1/('Milho 2ª safra'!$E33:INDEX('Milho 2ª safra'!$E33:$Z33,MIN(AU$6-$G$3,22))&lt;&gt;""),'Milho 2ª safra'!$E33:INDEX('Milho 2ª safra'!$E33:$Z33,MIN(AU$6-$G$3,22))),0)))))</f>
        <v>0</v>
      </c>
      <c r="AV35" s="27" t="n">
        <f aca="false">IF(COUNT('Milho 2ª safra'!$E33:$Z33)=0,0,MAX(0,IF((AV$6-$E$3)&lt;1,0,IFERROR(LOOKUP(2,1/('Milho 2ª safra'!$E33:INDEX('Milho 2ª safra'!$E33:$Z33,MIN(AV$6-$E$3,22))&lt;&gt;""),'Milho 2ª safra'!$E33:INDEX('Milho 2ª safra'!$E33:$Z33,MIN(AV$6-$E$3,22))),0))-IF($G$2,0,IF((AV$6-$G$3)&lt;1,0,IFERROR(LOOKUP(2,1/('Milho 2ª safra'!$E33:INDEX('Milho 2ª safra'!$E33:$Z33,MIN(AV$6-$G$3,22))&lt;&gt;""),'Milho 2ª safra'!$E33:INDEX('Milho 2ª safra'!$E33:$Z33,MIN(AV$6-$G$3,22))),0)))))</f>
        <v>0</v>
      </c>
      <c r="AW35" s="27" t="n">
        <f aca="false">IF(COUNT('Milho 2ª safra'!$E33:$Z33)=0,0,MAX(0,IF((AW$6-$E$3)&lt;1,0,IFERROR(LOOKUP(2,1/('Milho 2ª safra'!$E33:INDEX('Milho 2ª safra'!$E33:$Z33,MIN(AW$6-$E$3,22))&lt;&gt;""),'Milho 2ª safra'!$E33:INDEX('Milho 2ª safra'!$E33:$Z33,MIN(AW$6-$E$3,22))),0))-IF($G$2,0,IF((AW$6-$G$3)&lt;1,0,IFERROR(LOOKUP(2,1/('Milho 2ª safra'!$E33:INDEX('Milho 2ª safra'!$E33:$Z33,MIN(AW$6-$G$3,22))&lt;&gt;""),'Milho 2ª safra'!$E33:INDEX('Milho 2ª safra'!$E33:$Z33,MIN(AW$6-$G$3,22))),0)))))</f>
        <v>0</v>
      </c>
      <c r="AX35" s="27" t="n">
        <f aca="false">IF(COUNT('Milho 2ª safra'!$E33:$Z33)=0,0,MAX(0,IF((AX$6-$E$3)&lt;1,0,IFERROR(LOOKUP(2,1/('Milho 2ª safra'!$E33:INDEX('Milho 2ª safra'!$E33:$Z33,MIN(AX$6-$E$3,22))&lt;&gt;""),'Milho 2ª safra'!$E33:INDEX('Milho 2ª safra'!$E33:$Z33,MIN(AX$6-$E$3,22))),0))-IF($G$2,0,IF((AX$6-$G$3)&lt;1,0,IFERROR(LOOKUP(2,1/('Milho 2ª safra'!$E33:INDEX('Milho 2ª safra'!$E33:$Z33,MIN(AX$6-$G$3,22))&lt;&gt;""),'Milho 2ª safra'!$E33:INDEX('Milho 2ª safra'!$E33:$Z33,MIN(AX$6-$G$3,22))),0)))))</f>
        <v>0</v>
      </c>
      <c r="AY35" s="27" t="n">
        <f aca="false">IF(COUNT('Milho 2ª safra'!$E33:$Z33)=0,0,MAX(0,IF((AY$6-$E$3)&lt;1,0,IFERROR(LOOKUP(2,1/('Milho 2ª safra'!$E33:INDEX('Milho 2ª safra'!$E33:$Z33,MIN(AY$6-$E$3,22))&lt;&gt;""),'Milho 2ª safra'!$E33:INDEX('Milho 2ª safra'!$E33:$Z33,MIN(AY$6-$E$3,22))),0))-IF($G$2,0,IF((AY$6-$G$3)&lt;1,0,IFERROR(LOOKUP(2,1/('Milho 2ª safra'!$E33:INDEX('Milho 2ª safra'!$E33:$Z33,MIN(AY$6-$G$3,22))&lt;&gt;""),'Milho 2ª safra'!$E33:INDEX('Milho 2ª safra'!$E33:$Z33,MIN(AY$6-$G$3,22))),0)))))</f>
        <v>0</v>
      </c>
      <c r="AZ35" s="27" t="n">
        <f aca="false">IF(COUNT('Milho 2ª safra'!$E33:$Z33)=0,0,MAX(0,IF((AZ$6-$E$3)&lt;1,0,IFERROR(LOOKUP(2,1/('Milho 2ª safra'!$E33:INDEX('Milho 2ª safra'!$E33:$Z33,MIN(AZ$6-$E$3,22))&lt;&gt;""),'Milho 2ª safra'!$E33:INDEX('Milho 2ª safra'!$E33:$Z33,MIN(AZ$6-$E$3,22))),0))-IF($G$2,0,IF((AZ$6-$G$3)&lt;1,0,IFERROR(LOOKUP(2,1/('Milho 2ª safra'!$E33:INDEX('Milho 2ª safra'!$E33:$Z33,MIN(AZ$6-$G$3,22))&lt;&gt;""),'Milho 2ª safra'!$E33:INDEX('Milho 2ª safra'!$E33:$Z33,MIN(AZ$6-$G$3,22))),0)))))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IF(COUNT('Milho 2ª safra'!$E34:$Z34)&gt;0,N('Milho 2ª safra'!$D34),0)</f>
        <v>0</v>
      </c>
      <c r="E36" s="27" t="n">
        <f aca="false">IF(COUNT('Milho 2ª safra'!$E34:$Z34)=0,0,MAX(0,IF((E$6-$E$3)&lt;1,0,IFERROR(LOOKUP(2,1/('Milho 2ª safra'!$E34:INDEX('Milho 2ª safra'!$E34:$Z34,MIN(E$6-$E$3,22))&lt;&gt;""),'Milho 2ª safra'!$E34:INDEX('Milho 2ª safra'!$E34:$Z34,MIN(E$6-$E$3,22))),0))-IF($G$2,0,IF((E$6-$G$3)&lt;1,0,IFERROR(LOOKUP(2,1/('Milho 2ª safra'!$E34:INDEX('Milho 2ª safra'!$E34:$Z34,MIN(E$6-$G$3,22))&lt;&gt;""),'Milho 2ª safra'!$E34:INDEX('Milho 2ª safra'!$E34:$Z34,MIN(E$6-$G$3,22))),0)))))</f>
        <v>0</v>
      </c>
      <c r="F36" s="27" t="n">
        <f aca="false">IF(COUNT('Milho 2ª safra'!$E34:$Z34)=0,0,MAX(0,IF((F$6-$E$3)&lt;1,0,IFERROR(LOOKUP(2,1/('Milho 2ª safra'!$E34:INDEX('Milho 2ª safra'!$E34:$Z34,MIN(F$6-$E$3,22))&lt;&gt;""),'Milho 2ª safra'!$E34:INDEX('Milho 2ª safra'!$E34:$Z34,MIN(F$6-$E$3,22))),0))-IF($G$2,0,IF((F$6-$G$3)&lt;1,0,IFERROR(LOOKUP(2,1/('Milho 2ª safra'!$E34:INDEX('Milho 2ª safra'!$E34:$Z34,MIN(F$6-$G$3,22))&lt;&gt;""),'Milho 2ª safra'!$E34:INDEX('Milho 2ª safra'!$E34:$Z34,MIN(F$6-$G$3,22))),0)))))</f>
        <v>0</v>
      </c>
      <c r="G36" s="27" t="n">
        <f aca="false">IF(COUNT('Milho 2ª safra'!$E34:$Z34)=0,0,MAX(0,IF((G$6-$E$3)&lt;1,0,IFERROR(LOOKUP(2,1/('Milho 2ª safra'!$E34:INDEX('Milho 2ª safra'!$E34:$Z34,MIN(G$6-$E$3,22))&lt;&gt;""),'Milho 2ª safra'!$E34:INDEX('Milho 2ª safra'!$E34:$Z34,MIN(G$6-$E$3,22))),0))-IF($G$2,0,IF((G$6-$G$3)&lt;1,0,IFERROR(LOOKUP(2,1/('Milho 2ª safra'!$E34:INDEX('Milho 2ª safra'!$E34:$Z34,MIN(G$6-$G$3,22))&lt;&gt;""),'Milho 2ª safra'!$E34:INDEX('Milho 2ª safra'!$E34:$Z34,MIN(G$6-$G$3,22))),0)))))</f>
        <v>0</v>
      </c>
      <c r="H36" s="27" t="n">
        <f aca="false">IF(COUNT('Milho 2ª safra'!$E34:$Z34)=0,0,MAX(0,IF((H$6-$E$3)&lt;1,0,IFERROR(LOOKUP(2,1/('Milho 2ª safra'!$E34:INDEX('Milho 2ª safra'!$E34:$Z34,MIN(H$6-$E$3,22))&lt;&gt;""),'Milho 2ª safra'!$E34:INDEX('Milho 2ª safra'!$E34:$Z34,MIN(H$6-$E$3,22))),0))-IF($G$2,0,IF((H$6-$G$3)&lt;1,0,IFERROR(LOOKUP(2,1/('Milho 2ª safra'!$E34:INDEX('Milho 2ª safra'!$E34:$Z34,MIN(H$6-$G$3,22))&lt;&gt;""),'Milho 2ª safra'!$E34:INDEX('Milho 2ª safra'!$E34:$Z34,MIN(H$6-$G$3,22))),0)))))</f>
        <v>0</v>
      </c>
      <c r="I36" s="27" t="n">
        <f aca="false">IF(COUNT('Milho 2ª safra'!$E34:$Z34)=0,0,MAX(0,IF((I$6-$E$3)&lt;1,0,IFERROR(LOOKUP(2,1/('Milho 2ª safra'!$E34:INDEX('Milho 2ª safra'!$E34:$Z34,MIN(I$6-$E$3,22))&lt;&gt;""),'Milho 2ª safra'!$E34:INDEX('Milho 2ª safra'!$E34:$Z34,MIN(I$6-$E$3,22))),0))-IF($G$2,0,IF((I$6-$G$3)&lt;1,0,IFERROR(LOOKUP(2,1/('Milho 2ª safra'!$E34:INDEX('Milho 2ª safra'!$E34:$Z34,MIN(I$6-$G$3,22))&lt;&gt;""),'Milho 2ª safra'!$E34:INDEX('Milho 2ª safra'!$E34:$Z34,MIN(I$6-$G$3,22))),0)))))</f>
        <v>0</v>
      </c>
      <c r="J36" s="27" t="n">
        <f aca="false">IF(COUNT('Milho 2ª safra'!$E34:$Z34)=0,0,MAX(0,IF((J$6-$E$3)&lt;1,0,IFERROR(LOOKUP(2,1/('Milho 2ª safra'!$E34:INDEX('Milho 2ª safra'!$E34:$Z34,MIN(J$6-$E$3,22))&lt;&gt;""),'Milho 2ª safra'!$E34:INDEX('Milho 2ª safra'!$E34:$Z34,MIN(J$6-$E$3,22))),0))-IF($G$2,0,IF((J$6-$G$3)&lt;1,0,IFERROR(LOOKUP(2,1/('Milho 2ª safra'!$E34:INDEX('Milho 2ª safra'!$E34:$Z34,MIN(J$6-$G$3,22))&lt;&gt;""),'Milho 2ª safra'!$E34:INDEX('Milho 2ª safra'!$E34:$Z34,MIN(J$6-$G$3,22))),0)))))</f>
        <v>0</v>
      </c>
      <c r="K36" s="27" t="n">
        <f aca="false">IF(COUNT('Milho 2ª safra'!$E34:$Z34)=0,0,MAX(0,IF((K$6-$E$3)&lt;1,0,IFERROR(LOOKUP(2,1/('Milho 2ª safra'!$E34:INDEX('Milho 2ª safra'!$E34:$Z34,MIN(K$6-$E$3,22))&lt;&gt;""),'Milho 2ª safra'!$E34:INDEX('Milho 2ª safra'!$E34:$Z34,MIN(K$6-$E$3,22))),0))-IF($G$2,0,IF((K$6-$G$3)&lt;1,0,IFERROR(LOOKUP(2,1/('Milho 2ª safra'!$E34:INDEX('Milho 2ª safra'!$E34:$Z34,MIN(K$6-$G$3,22))&lt;&gt;""),'Milho 2ª safra'!$E34:INDEX('Milho 2ª safra'!$E34:$Z34,MIN(K$6-$G$3,22))),0)))))</f>
        <v>0</v>
      </c>
      <c r="L36" s="27" t="n">
        <f aca="false">IF(COUNT('Milho 2ª safra'!$E34:$Z34)=0,0,MAX(0,IF((L$6-$E$3)&lt;1,0,IFERROR(LOOKUP(2,1/('Milho 2ª safra'!$E34:INDEX('Milho 2ª safra'!$E34:$Z34,MIN(L$6-$E$3,22))&lt;&gt;""),'Milho 2ª safra'!$E34:INDEX('Milho 2ª safra'!$E34:$Z34,MIN(L$6-$E$3,22))),0))-IF($G$2,0,IF((L$6-$G$3)&lt;1,0,IFERROR(LOOKUP(2,1/('Milho 2ª safra'!$E34:INDEX('Milho 2ª safra'!$E34:$Z34,MIN(L$6-$G$3,22))&lt;&gt;""),'Milho 2ª safra'!$E34:INDEX('Milho 2ª safra'!$E34:$Z34,MIN(L$6-$G$3,22))),0)))))</f>
        <v>0</v>
      </c>
      <c r="M36" s="27" t="n">
        <f aca="false">IF(COUNT('Milho 2ª safra'!$E34:$Z34)=0,0,MAX(0,IF((M$6-$E$3)&lt;1,0,IFERROR(LOOKUP(2,1/('Milho 2ª safra'!$E34:INDEX('Milho 2ª safra'!$E34:$Z34,MIN(M$6-$E$3,22))&lt;&gt;""),'Milho 2ª safra'!$E34:INDEX('Milho 2ª safra'!$E34:$Z34,MIN(M$6-$E$3,22))),0))-IF($G$2,0,IF((M$6-$G$3)&lt;1,0,IFERROR(LOOKUP(2,1/('Milho 2ª safra'!$E34:INDEX('Milho 2ª safra'!$E34:$Z34,MIN(M$6-$G$3,22))&lt;&gt;""),'Milho 2ª safra'!$E34:INDEX('Milho 2ª safra'!$E34:$Z34,MIN(M$6-$G$3,22))),0)))))</f>
        <v>0</v>
      </c>
      <c r="N36" s="27" t="n">
        <f aca="false">IF(COUNT('Milho 2ª safra'!$E34:$Z34)=0,0,MAX(0,IF((N$6-$E$3)&lt;1,0,IFERROR(LOOKUP(2,1/('Milho 2ª safra'!$E34:INDEX('Milho 2ª safra'!$E34:$Z34,MIN(N$6-$E$3,22))&lt;&gt;""),'Milho 2ª safra'!$E34:INDEX('Milho 2ª safra'!$E34:$Z34,MIN(N$6-$E$3,22))),0))-IF($G$2,0,IF((N$6-$G$3)&lt;1,0,IFERROR(LOOKUP(2,1/('Milho 2ª safra'!$E34:INDEX('Milho 2ª safra'!$E34:$Z34,MIN(N$6-$G$3,22))&lt;&gt;""),'Milho 2ª safra'!$E34:INDEX('Milho 2ª safra'!$E34:$Z34,MIN(N$6-$G$3,22))),0)))))</f>
        <v>0</v>
      </c>
      <c r="O36" s="27" t="n">
        <f aca="false">IF(COUNT('Milho 2ª safra'!$E34:$Z34)=0,0,MAX(0,IF((O$6-$E$3)&lt;1,0,IFERROR(LOOKUP(2,1/('Milho 2ª safra'!$E34:INDEX('Milho 2ª safra'!$E34:$Z34,MIN(O$6-$E$3,22))&lt;&gt;""),'Milho 2ª safra'!$E34:INDEX('Milho 2ª safra'!$E34:$Z34,MIN(O$6-$E$3,22))),0))-IF($G$2,0,IF((O$6-$G$3)&lt;1,0,IFERROR(LOOKUP(2,1/('Milho 2ª safra'!$E34:INDEX('Milho 2ª safra'!$E34:$Z34,MIN(O$6-$G$3,22))&lt;&gt;""),'Milho 2ª safra'!$E34:INDEX('Milho 2ª safra'!$E34:$Z34,MIN(O$6-$G$3,22))),0)))))</f>
        <v>0</v>
      </c>
      <c r="P36" s="27" t="n">
        <f aca="false">IF(COUNT('Milho 2ª safra'!$E34:$Z34)=0,0,MAX(0,IF((P$6-$E$3)&lt;1,0,IFERROR(LOOKUP(2,1/('Milho 2ª safra'!$E34:INDEX('Milho 2ª safra'!$E34:$Z34,MIN(P$6-$E$3,22))&lt;&gt;""),'Milho 2ª safra'!$E34:INDEX('Milho 2ª safra'!$E34:$Z34,MIN(P$6-$E$3,22))),0))-IF($G$2,0,IF((P$6-$G$3)&lt;1,0,IFERROR(LOOKUP(2,1/('Milho 2ª safra'!$E34:INDEX('Milho 2ª safra'!$E34:$Z34,MIN(P$6-$G$3,22))&lt;&gt;""),'Milho 2ª safra'!$E34:INDEX('Milho 2ª safra'!$E34:$Z34,MIN(P$6-$G$3,22))),0)))))</f>
        <v>0</v>
      </c>
      <c r="Q36" s="27" t="n">
        <f aca="false">IF(COUNT('Milho 2ª safra'!$E34:$Z34)=0,0,MAX(0,IF((Q$6-$E$3)&lt;1,0,IFERROR(LOOKUP(2,1/('Milho 2ª safra'!$E34:INDEX('Milho 2ª safra'!$E34:$Z34,MIN(Q$6-$E$3,22))&lt;&gt;""),'Milho 2ª safra'!$E34:INDEX('Milho 2ª safra'!$E34:$Z34,MIN(Q$6-$E$3,22))),0))-IF($G$2,0,IF((Q$6-$G$3)&lt;1,0,IFERROR(LOOKUP(2,1/('Milho 2ª safra'!$E34:INDEX('Milho 2ª safra'!$E34:$Z34,MIN(Q$6-$G$3,22))&lt;&gt;""),'Milho 2ª safra'!$E34:INDEX('Milho 2ª safra'!$E34:$Z34,MIN(Q$6-$G$3,22))),0)))))</f>
        <v>0</v>
      </c>
      <c r="R36" s="27" t="n">
        <f aca="false">IF(COUNT('Milho 2ª safra'!$E34:$Z34)=0,0,MAX(0,IF((R$6-$E$3)&lt;1,0,IFERROR(LOOKUP(2,1/('Milho 2ª safra'!$E34:INDEX('Milho 2ª safra'!$E34:$Z34,MIN(R$6-$E$3,22))&lt;&gt;""),'Milho 2ª safra'!$E34:INDEX('Milho 2ª safra'!$E34:$Z34,MIN(R$6-$E$3,22))),0))-IF($G$2,0,IF((R$6-$G$3)&lt;1,0,IFERROR(LOOKUP(2,1/('Milho 2ª safra'!$E34:INDEX('Milho 2ª safra'!$E34:$Z34,MIN(R$6-$G$3,22))&lt;&gt;""),'Milho 2ª safra'!$E34:INDEX('Milho 2ª safra'!$E34:$Z34,MIN(R$6-$G$3,22))),0)))))</f>
        <v>0</v>
      </c>
      <c r="S36" s="27" t="n">
        <f aca="false">IF(COUNT('Milho 2ª safra'!$E34:$Z34)=0,0,MAX(0,IF((S$6-$E$3)&lt;1,0,IFERROR(LOOKUP(2,1/('Milho 2ª safra'!$E34:INDEX('Milho 2ª safra'!$E34:$Z34,MIN(S$6-$E$3,22))&lt;&gt;""),'Milho 2ª safra'!$E34:INDEX('Milho 2ª safra'!$E34:$Z34,MIN(S$6-$E$3,22))),0))-IF($G$2,0,IF((S$6-$G$3)&lt;1,0,IFERROR(LOOKUP(2,1/('Milho 2ª safra'!$E34:INDEX('Milho 2ª safra'!$E34:$Z34,MIN(S$6-$G$3,22))&lt;&gt;""),'Milho 2ª safra'!$E34:INDEX('Milho 2ª safra'!$E34:$Z34,MIN(S$6-$G$3,22))),0)))))</f>
        <v>0</v>
      </c>
      <c r="T36" s="27" t="n">
        <f aca="false">IF(COUNT('Milho 2ª safra'!$E34:$Z34)=0,0,MAX(0,IF((T$6-$E$3)&lt;1,0,IFERROR(LOOKUP(2,1/('Milho 2ª safra'!$E34:INDEX('Milho 2ª safra'!$E34:$Z34,MIN(T$6-$E$3,22))&lt;&gt;""),'Milho 2ª safra'!$E34:INDEX('Milho 2ª safra'!$E34:$Z34,MIN(T$6-$E$3,22))),0))-IF($G$2,0,IF((T$6-$G$3)&lt;1,0,IFERROR(LOOKUP(2,1/('Milho 2ª safra'!$E34:INDEX('Milho 2ª safra'!$E34:$Z34,MIN(T$6-$G$3,22))&lt;&gt;""),'Milho 2ª safra'!$E34:INDEX('Milho 2ª safra'!$E34:$Z34,MIN(T$6-$G$3,22))),0)))))</f>
        <v>0</v>
      </c>
      <c r="U36" s="27" t="n">
        <f aca="false">IF(COUNT('Milho 2ª safra'!$E34:$Z34)=0,0,MAX(0,IF((U$6-$E$3)&lt;1,0,IFERROR(LOOKUP(2,1/('Milho 2ª safra'!$E34:INDEX('Milho 2ª safra'!$E34:$Z34,MIN(U$6-$E$3,22))&lt;&gt;""),'Milho 2ª safra'!$E34:INDEX('Milho 2ª safra'!$E34:$Z34,MIN(U$6-$E$3,22))),0))-IF($G$2,0,IF((U$6-$G$3)&lt;1,0,IFERROR(LOOKUP(2,1/('Milho 2ª safra'!$E34:INDEX('Milho 2ª safra'!$E34:$Z34,MIN(U$6-$G$3,22))&lt;&gt;""),'Milho 2ª safra'!$E34:INDEX('Milho 2ª safra'!$E34:$Z34,MIN(U$6-$G$3,22))),0)))))</f>
        <v>0</v>
      </c>
      <c r="V36" s="27" t="n">
        <f aca="false">IF(COUNT('Milho 2ª safra'!$E34:$Z34)=0,0,MAX(0,IF((V$6-$E$3)&lt;1,0,IFERROR(LOOKUP(2,1/('Milho 2ª safra'!$E34:INDEX('Milho 2ª safra'!$E34:$Z34,MIN(V$6-$E$3,22))&lt;&gt;""),'Milho 2ª safra'!$E34:INDEX('Milho 2ª safra'!$E34:$Z34,MIN(V$6-$E$3,22))),0))-IF($G$2,0,IF((V$6-$G$3)&lt;1,0,IFERROR(LOOKUP(2,1/('Milho 2ª safra'!$E34:INDEX('Milho 2ª safra'!$E34:$Z34,MIN(V$6-$G$3,22))&lt;&gt;""),'Milho 2ª safra'!$E34:INDEX('Milho 2ª safra'!$E34:$Z34,MIN(V$6-$G$3,22))),0)))))</f>
        <v>0</v>
      </c>
      <c r="W36" s="27" t="n">
        <f aca="false">IF(COUNT('Milho 2ª safra'!$E34:$Z34)=0,0,MAX(0,IF((W$6-$E$3)&lt;1,0,IFERROR(LOOKUP(2,1/('Milho 2ª safra'!$E34:INDEX('Milho 2ª safra'!$E34:$Z34,MIN(W$6-$E$3,22))&lt;&gt;""),'Milho 2ª safra'!$E34:INDEX('Milho 2ª safra'!$E34:$Z34,MIN(W$6-$E$3,22))),0))-IF($G$2,0,IF((W$6-$G$3)&lt;1,0,IFERROR(LOOKUP(2,1/('Milho 2ª safra'!$E34:INDEX('Milho 2ª safra'!$E34:$Z34,MIN(W$6-$G$3,22))&lt;&gt;""),'Milho 2ª safra'!$E34:INDEX('Milho 2ª safra'!$E34:$Z34,MIN(W$6-$G$3,22))),0)))))</f>
        <v>0</v>
      </c>
      <c r="X36" s="27" t="n">
        <f aca="false">IF(COUNT('Milho 2ª safra'!$E34:$Z34)=0,0,MAX(0,IF((X$6-$E$3)&lt;1,0,IFERROR(LOOKUP(2,1/('Milho 2ª safra'!$E34:INDEX('Milho 2ª safra'!$E34:$Z34,MIN(X$6-$E$3,22))&lt;&gt;""),'Milho 2ª safra'!$E34:INDEX('Milho 2ª safra'!$E34:$Z34,MIN(X$6-$E$3,22))),0))-IF($G$2,0,IF((X$6-$G$3)&lt;1,0,IFERROR(LOOKUP(2,1/('Milho 2ª safra'!$E34:INDEX('Milho 2ª safra'!$E34:$Z34,MIN(X$6-$G$3,22))&lt;&gt;""),'Milho 2ª safra'!$E34:INDEX('Milho 2ª safra'!$E34:$Z34,MIN(X$6-$G$3,22))),0)))))</f>
        <v>0</v>
      </c>
      <c r="Y36" s="27" t="n">
        <f aca="false">IF(COUNT('Milho 2ª safra'!$E34:$Z34)=0,0,MAX(0,IF((Y$6-$E$3)&lt;1,0,IFERROR(LOOKUP(2,1/('Milho 2ª safra'!$E34:INDEX('Milho 2ª safra'!$E34:$Z34,MIN(Y$6-$E$3,22))&lt;&gt;""),'Milho 2ª safra'!$E34:INDEX('Milho 2ª safra'!$E34:$Z34,MIN(Y$6-$E$3,22))),0))-IF($G$2,0,IF((Y$6-$G$3)&lt;1,0,IFERROR(LOOKUP(2,1/('Milho 2ª safra'!$E34:INDEX('Milho 2ª safra'!$E34:$Z34,MIN(Y$6-$G$3,22))&lt;&gt;""),'Milho 2ª safra'!$E34:INDEX('Milho 2ª safra'!$E34:$Z34,MIN(Y$6-$G$3,22))),0)))))</f>
        <v>0</v>
      </c>
      <c r="Z36" s="27" t="n">
        <f aca="false">IF(COUNT('Milho 2ª safra'!$E34:$Z34)=0,0,MAX(0,IF((Z$6-$E$3)&lt;1,0,IFERROR(LOOKUP(2,1/('Milho 2ª safra'!$E34:INDEX('Milho 2ª safra'!$E34:$Z34,MIN(Z$6-$E$3,22))&lt;&gt;""),'Milho 2ª safra'!$E34:INDEX('Milho 2ª safra'!$E34:$Z34,MIN(Z$6-$E$3,22))),0))-IF($G$2,0,IF((Z$6-$G$3)&lt;1,0,IFERROR(LOOKUP(2,1/('Milho 2ª safra'!$E34:INDEX('Milho 2ª safra'!$E34:$Z34,MIN(Z$6-$G$3,22))&lt;&gt;""),'Milho 2ª safra'!$E34:INDEX('Milho 2ª safra'!$E34:$Z34,MIN(Z$6-$G$3,22))),0)))))</f>
        <v>0</v>
      </c>
      <c r="AA36" s="27" t="n">
        <f aca="false">IF(COUNT('Milho 2ª safra'!$E34:$Z34)=0,0,MAX(0,IF((AA$6-$E$3)&lt;1,0,IFERROR(LOOKUP(2,1/('Milho 2ª safra'!$E34:INDEX('Milho 2ª safra'!$E34:$Z34,MIN(AA$6-$E$3,22))&lt;&gt;""),'Milho 2ª safra'!$E34:INDEX('Milho 2ª safra'!$E34:$Z34,MIN(AA$6-$E$3,22))),0))-IF($G$2,0,IF((AA$6-$G$3)&lt;1,0,IFERROR(LOOKUP(2,1/('Milho 2ª safra'!$E34:INDEX('Milho 2ª safra'!$E34:$Z34,MIN(AA$6-$G$3,22))&lt;&gt;""),'Milho 2ª safra'!$E34:INDEX('Milho 2ª safra'!$E34:$Z34,MIN(AA$6-$G$3,22))),0)))))</f>
        <v>0</v>
      </c>
      <c r="AB36" s="27" t="n">
        <f aca="false">IF(COUNT('Milho 2ª safra'!$E34:$Z34)=0,0,MAX(0,IF((AB$6-$E$3)&lt;1,0,IFERROR(LOOKUP(2,1/('Milho 2ª safra'!$E34:INDEX('Milho 2ª safra'!$E34:$Z34,MIN(AB$6-$E$3,22))&lt;&gt;""),'Milho 2ª safra'!$E34:INDEX('Milho 2ª safra'!$E34:$Z34,MIN(AB$6-$E$3,22))),0))-IF($G$2,0,IF((AB$6-$G$3)&lt;1,0,IFERROR(LOOKUP(2,1/('Milho 2ª safra'!$E34:INDEX('Milho 2ª safra'!$E34:$Z34,MIN(AB$6-$G$3,22))&lt;&gt;""),'Milho 2ª safra'!$E34:INDEX('Milho 2ª safra'!$E34:$Z34,MIN(AB$6-$G$3,22))),0)))))</f>
        <v>0</v>
      </c>
      <c r="AC36" s="27" t="n">
        <f aca="false">IF(COUNT('Milho 2ª safra'!$E34:$Z34)=0,0,MAX(0,IF((AC$6-$E$3)&lt;1,0,IFERROR(LOOKUP(2,1/('Milho 2ª safra'!$E34:INDEX('Milho 2ª safra'!$E34:$Z34,MIN(AC$6-$E$3,22))&lt;&gt;""),'Milho 2ª safra'!$E34:INDEX('Milho 2ª safra'!$E34:$Z34,MIN(AC$6-$E$3,22))),0))-IF($G$2,0,IF((AC$6-$G$3)&lt;1,0,IFERROR(LOOKUP(2,1/('Milho 2ª safra'!$E34:INDEX('Milho 2ª safra'!$E34:$Z34,MIN(AC$6-$G$3,22))&lt;&gt;""),'Milho 2ª safra'!$E34:INDEX('Milho 2ª safra'!$E34:$Z34,MIN(AC$6-$G$3,22))),0)))))</f>
        <v>0</v>
      </c>
      <c r="AD36" s="27" t="n">
        <f aca="false">IF(COUNT('Milho 2ª safra'!$E34:$Z34)=0,0,MAX(0,IF((AD$6-$E$3)&lt;1,0,IFERROR(LOOKUP(2,1/('Milho 2ª safra'!$E34:INDEX('Milho 2ª safra'!$E34:$Z34,MIN(AD$6-$E$3,22))&lt;&gt;""),'Milho 2ª safra'!$E34:INDEX('Milho 2ª safra'!$E34:$Z34,MIN(AD$6-$E$3,22))),0))-IF($G$2,0,IF((AD$6-$G$3)&lt;1,0,IFERROR(LOOKUP(2,1/('Milho 2ª safra'!$E34:INDEX('Milho 2ª safra'!$E34:$Z34,MIN(AD$6-$G$3,22))&lt;&gt;""),'Milho 2ª safra'!$E34:INDEX('Milho 2ª safra'!$E34:$Z34,MIN(AD$6-$G$3,22))),0)))))</f>
        <v>0</v>
      </c>
      <c r="AE36" s="27" t="n">
        <f aca="false">IF(COUNT('Milho 2ª safra'!$E34:$Z34)=0,0,MAX(0,IF((AE$6-$E$3)&lt;1,0,IFERROR(LOOKUP(2,1/('Milho 2ª safra'!$E34:INDEX('Milho 2ª safra'!$E34:$Z34,MIN(AE$6-$E$3,22))&lt;&gt;""),'Milho 2ª safra'!$E34:INDEX('Milho 2ª safra'!$E34:$Z34,MIN(AE$6-$E$3,22))),0))-IF($G$2,0,IF((AE$6-$G$3)&lt;1,0,IFERROR(LOOKUP(2,1/('Milho 2ª safra'!$E34:INDEX('Milho 2ª safra'!$E34:$Z34,MIN(AE$6-$G$3,22))&lt;&gt;""),'Milho 2ª safra'!$E34:INDEX('Milho 2ª safra'!$E34:$Z34,MIN(AE$6-$G$3,22))),0)))))</f>
        <v>0</v>
      </c>
      <c r="AF36" s="27" t="n">
        <f aca="false">IF(COUNT('Milho 2ª safra'!$E34:$Z34)=0,0,MAX(0,IF((AF$6-$E$3)&lt;1,0,IFERROR(LOOKUP(2,1/('Milho 2ª safra'!$E34:INDEX('Milho 2ª safra'!$E34:$Z34,MIN(AF$6-$E$3,22))&lt;&gt;""),'Milho 2ª safra'!$E34:INDEX('Milho 2ª safra'!$E34:$Z34,MIN(AF$6-$E$3,22))),0))-IF($G$2,0,IF((AF$6-$G$3)&lt;1,0,IFERROR(LOOKUP(2,1/('Milho 2ª safra'!$E34:INDEX('Milho 2ª safra'!$E34:$Z34,MIN(AF$6-$G$3,22))&lt;&gt;""),'Milho 2ª safra'!$E34:INDEX('Milho 2ª safra'!$E34:$Z34,MIN(AF$6-$G$3,22))),0)))))</f>
        <v>0</v>
      </c>
      <c r="AG36" s="27" t="n">
        <f aca="false">IF(COUNT('Milho 2ª safra'!$E34:$Z34)=0,0,MAX(0,IF((AG$6-$E$3)&lt;1,0,IFERROR(LOOKUP(2,1/('Milho 2ª safra'!$E34:INDEX('Milho 2ª safra'!$E34:$Z34,MIN(AG$6-$E$3,22))&lt;&gt;""),'Milho 2ª safra'!$E34:INDEX('Milho 2ª safra'!$E34:$Z34,MIN(AG$6-$E$3,22))),0))-IF($G$2,0,IF((AG$6-$G$3)&lt;1,0,IFERROR(LOOKUP(2,1/('Milho 2ª safra'!$E34:INDEX('Milho 2ª safra'!$E34:$Z34,MIN(AG$6-$G$3,22))&lt;&gt;""),'Milho 2ª safra'!$E34:INDEX('Milho 2ª safra'!$E34:$Z34,MIN(AG$6-$G$3,22))),0)))))</f>
        <v>0</v>
      </c>
      <c r="AH36" s="27" t="n">
        <f aca="false">IF(COUNT('Milho 2ª safra'!$E34:$Z34)=0,0,MAX(0,IF((AH$6-$E$3)&lt;1,0,IFERROR(LOOKUP(2,1/('Milho 2ª safra'!$E34:INDEX('Milho 2ª safra'!$E34:$Z34,MIN(AH$6-$E$3,22))&lt;&gt;""),'Milho 2ª safra'!$E34:INDEX('Milho 2ª safra'!$E34:$Z34,MIN(AH$6-$E$3,22))),0))-IF($G$2,0,IF((AH$6-$G$3)&lt;1,0,IFERROR(LOOKUP(2,1/('Milho 2ª safra'!$E34:INDEX('Milho 2ª safra'!$E34:$Z34,MIN(AH$6-$G$3,22))&lt;&gt;""),'Milho 2ª safra'!$E34:INDEX('Milho 2ª safra'!$E34:$Z34,MIN(AH$6-$G$3,22))),0)))))</f>
        <v>0</v>
      </c>
      <c r="AI36" s="27" t="n">
        <f aca="false">IF(COUNT('Milho 2ª safra'!$E34:$Z34)=0,0,MAX(0,IF((AI$6-$E$3)&lt;1,0,IFERROR(LOOKUP(2,1/('Milho 2ª safra'!$E34:INDEX('Milho 2ª safra'!$E34:$Z34,MIN(AI$6-$E$3,22))&lt;&gt;""),'Milho 2ª safra'!$E34:INDEX('Milho 2ª safra'!$E34:$Z34,MIN(AI$6-$E$3,22))),0))-IF($G$2,0,IF((AI$6-$G$3)&lt;1,0,IFERROR(LOOKUP(2,1/('Milho 2ª safra'!$E34:INDEX('Milho 2ª safra'!$E34:$Z34,MIN(AI$6-$G$3,22))&lt;&gt;""),'Milho 2ª safra'!$E34:INDEX('Milho 2ª safra'!$E34:$Z34,MIN(AI$6-$G$3,22))),0)))))</f>
        <v>0</v>
      </c>
      <c r="AJ36" s="27" t="n">
        <f aca="false">IF(COUNT('Milho 2ª safra'!$E34:$Z34)=0,0,MAX(0,IF((AJ$6-$E$3)&lt;1,0,IFERROR(LOOKUP(2,1/('Milho 2ª safra'!$E34:INDEX('Milho 2ª safra'!$E34:$Z34,MIN(AJ$6-$E$3,22))&lt;&gt;""),'Milho 2ª safra'!$E34:INDEX('Milho 2ª safra'!$E34:$Z34,MIN(AJ$6-$E$3,22))),0))-IF($G$2,0,IF((AJ$6-$G$3)&lt;1,0,IFERROR(LOOKUP(2,1/('Milho 2ª safra'!$E34:INDEX('Milho 2ª safra'!$E34:$Z34,MIN(AJ$6-$G$3,22))&lt;&gt;""),'Milho 2ª safra'!$E34:INDEX('Milho 2ª safra'!$E34:$Z34,MIN(AJ$6-$G$3,22))),0)))))</f>
        <v>0</v>
      </c>
      <c r="AK36" s="27" t="n">
        <f aca="false">IF(COUNT('Milho 2ª safra'!$E34:$Z34)=0,0,MAX(0,IF((AK$6-$E$3)&lt;1,0,IFERROR(LOOKUP(2,1/('Milho 2ª safra'!$E34:INDEX('Milho 2ª safra'!$E34:$Z34,MIN(AK$6-$E$3,22))&lt;&gt;""),'Milho 2ª safra'!$E34:INDEX('Milho 2ª safra'!$E34:$Z34,MIN(AK$6-$E$3,22))),0))-IF($G$2,0,IF((AK$6-$G$3)&lt;1,0,IFERROR(LOOKUP(2,1/('Milho 2ª safra'!$E34:INDEX('Milho 2ª safra'!$E34:$Z34,MIN(AK$6-$G$3,22))&lt;&gt;""),'Milho 2ª safra'!$E34:INDEX('Milho 2ª safra'!$E34:$Z34,MIN(AK$6-$G$3,22))),0)))))</f>
        <v>0</v>
      </c>
      <c r="AL36" s="27" t="n">
        <f aca="false">IF(COUNT('Milho 2ª safra'!$E34:$Z34)=0,0,MAX(0,IF((AL$6-$E$3)&lt;1,0,IFERROR(LOOKUP(2,1/('Milho 2ª safra'!$E34:INDEX('Milho 2ª safra'!$E34:$Z34,MIN(AL$6-$E$3,22))&lt;&gt;""),'Milho 2ª safra'!$E34:INDEX('Milho 2ª safra'!$E34:$Z34,MIN(AL$6-$E$3,22))),0))-IF($G$2,0,IF((AL$6-$G$3)&lt;1,0,IFERROR(LOOKUP(2,1/('Milho 2ª safra'!$E34:INDEX('Milho 2ª safra'!$E34:$Z34,MIN(AL$6-$G$3,22))&lt;&gt;""),'Milho 2ª safra'!$E34:INDEX('Milho 2ª safra'!$E34:$Z34,MIN(AL$6-$G$3,22))),0)))))</f>
        <v>0</v>
      </c>
      <c r="AM36" s="27" t="n">
        <f aca="false">IF(COUNT('Milho 2ª safra'!$E34:$Z34)=0,0,MAX(0,IF((AM$6-$E$3)&lt;1,0,IFERROR(LOOKUP(2,1/('Milho 2ª safra'!$E34:INDEX('Milho 2ª safra'!$E34:$Z34,MIN(AM$6-$E$3,22))&lt;&gt;""),'Milho 2ª safra'!$E34:INDEX('Milho 2ª safra'!$E34:$Z34,MIN(AM$6-$E$3,22))),0))-IF($G$2,0,IF((AM$6-$G$3)&lt;1,0,IFERROR(LOOKUP(2,1/('Milho 2ª safra'!$E34:INDEX('Milho 2ª safra'!$E34:$Z34,MIN(AM$6-$G$3,22))&lt;&gt;""),'Milho 2ª safra'!$E34:INDEX('Milho 2ª safra'!$E34:$Z34,MIN(AM$6-$G$3,22))),0)))))</f>
        <v>0</v>
      </c>
      <c r="AN36" s="27" t="n">
        <f aca="false">IF(COUNT('Milho 2ª safra'!$E34:$Z34)=0,0,MAX(0,IF((AN$6-$E$3)&lt;1,0,IFERROR(LOOKUP(2,1/('Milho 2ª safra'!$E34:INDEX('Milho 2ª safra'!$E34:$Z34,MIN(AN$6-$E$3,22))&lt;&gt;""),'Milho 2ª safra'!$E34:INDEX('Milho 2ª safra'!$E34:$Z34,MIN(AN$6-$E$3,22))),0))-IF($G$2,0,IF((AN$6-$G$3)&lt;1,0,IFERROR(LOOKUP(2,1/('Milho 2ª safra'!$E34:INDEX('Milho 2ª safra'!$E34:$Z34,MIN(AN$6-$G$3,22))&lt;&gt;""),'Milho 2ª safra'!$E34:INDEX('Milho 2ª safra'!$E34:$Z34,MIN(AN$6-$G$3,22))),0)))))</f>
        <v>0</v>
      </c>
      <c r="AO36" s="27" t="n">
        <f aca="false">IF(COUNT('Milho 2ª safra'!$E34:$Z34)=0,0,MAX(0,IF((AO$6-$E$3)&lt;1,0,IFERROR(LOOKUP(2,1/('Milho 2ª safra'!$E34:INDEX('Milho 2ª safra'!$E34:$Z34,MIN(AO$6-$E$3,22))&lt;&gt;""),'Milho 2ª safra'!$E34:INDEX('Milho 2ª safra'!$E34:$Z34,MIN(AO$6-$E$3,22))),0))-IF($G$2,0,IF((AO$6-$G$3)&lt;1,0,IFERROR(LOOKUP(2,1/('Milho 2ª safra'!$E34:INDEX('Milho 2ª safra'!$E34:$Z34,MIN(AO$6-$G$3,22))&lt;&gt;""),'Milho 2ª safra'!$E34:INDEX('Milho 2ª safra'!$E34:$Z34,MIN(AO$6-$G$3,22))),0)))))</f>
        <v>0</v>
      </c>
      <c r="AP36" s="27" t="n">
        <f aca="false">IF(COUNT('Milho 2ª safra'!$E34:$Z34)=0,0,MAX(0,IF((AP$6-$E$3)&lt;1,0,IFERROR(LOOKUP(2,1/('Milho 2ª safra'!$E34:INDEX('Milho 2ª safra'!$E34:$Z34,MIN(AP$6-$E$3,22))&lt;&gt;""),'Milho 2ª safra'!$E34:INDEX('Milho 2ª safra'!$E34:$Z34,MIN(AP$6-$E$3,22))),0))-IF($G$2,0,IF((AP$6-$G$3)&lt;1,0,IFERROR(LOOKUP(2,1/('Milho 2ª safra'!$E34:INDEX('Milho 2ª safra'!$E34:$Z34,MIN(AP$6-$G$3,22))&lt;&gt;""),'Milho 2ª safra'!$E34:INDEX('Milho 2ª safra'!$E34:$Z34,MIN(AP$6-$G$3,22))),0)))))</f>
        <v>0</v>
      </c>
      <c r="AQ36" s="27" t="n">
        <f aca="false">IF(COUNT('Milho 2ª safra'!$E34:$Z34)=0,0,MAX(0,IF((AQ$6-$E$3)&lt;1,0,IFERROR(LOOKUP(2,1/('Milho 2ª safra'!$E34:INDEX('Milho 2ª safra'!$E34:$Z34,MIN(AQ$6-$E$3,22))&lt;&gt;""),'Milho 2ª safra'!$E34:INDEX('Milho 2ª safra'!$E34:$Z34,MIN(AQ$6-$E$3,22))),0))-IF($G$2,0,IF((AQ$6-$G$3)&lt;1,0,IFERROR(LOOKUP(2,1/('Milho 2ª safra'!$E34:INDEX('Milho 2ª safra'!$E34:$Z34,MIN(AQ$6-$G$3,22))&lt;&gt;""),'Milho 2ª safra'!$E34:INDEX('Milho 2ª safra'!$E34:$Z34,MIN(AQ$6-$G$3,22))),0)))))</f>
        <v>0</v>
      </c>
      <c r="AR36" s="27" t="n">
        <f aca="false">IF(COUNT('Milho 2ª safra'!$E34:$Z34)=0,0,MAX(0,IF((AR$6-$E$3)&lt;1,0,IFERROR(LOOKUP(2,1/('Milho 2ª safra'!$E34:INDEX('Milho 2ª safra'!$E34:$Z34,MIN(AR$6-$E$3,22))&lt;&gt;""),'Milho 2ª safra'!$E34:INDEX('Milho 2ª safra'!$E34:$Z34,MIN(AR$6-$E$3,22))),0))-IF($G$2,0,IF((AR$6-$G$3)&lt;1,0,IFERROR(LOOKUP(2,1/('Milho 2ª safra'!$E34:INDEX('Milho 2ª safra'!$E34:$Z34,MIN(AR$6-$G$3,22))&lt;&gt;""),'Milho 2ª safra'!$E34:INDEX('Milho 2ª safra'!$E34:$Z34,MIN(AR$6-$G$3,22))),0)))))</f>
        <v>0</v>
      </c>
      <c r="AS36" s="27" t="n">
        <f aca="false">IF(COUNT('Milho 2ª safra'!$E34:$Z34)=0,0,MAX(0,IF((AS$6-$E$3)&lt;1,0,IFERROR(LOOKUP(2,1/('Milho 2ª safra'!$E34:INDEX('Milho 2ª safra'!$E34:$Z34,MIN(AS$6-$E$3,22))&lt;&gt;""),'Milho 2ª safra'!$E34:INDEX('Milho 2ª safra'!$E34:$Z34,MIN(AS$6-$E$3,22))),0))-IF($G$2,0,IF((AS$6-$G$3)&lt;1,0,IFERROR(LOOKUP(2,1/('Milho 2ª safra'!$E34:INDEX('Milho 2ª safra'!$E34:$Z34,MIN(AS$6-$G$3,22))&lt;&gt;""),'Milho 2ª safra'!$E34:INDEX('Milho 2ª safra'!$E34:$Z34,MIN(AS$6-$G$3,22))),0)))))</f>
        <v>0</v>
      </c>
      <c r="AT36" s="27" t="n">
        <f aca="false">IF(COUNT('Milho 2ª safra'!$E34:$Z34)=0,0,MAX(0,IF((AT$6-$E$3)&lt;1,0,IFERROR(LOOKUP(2,1/('Milho 2ª safra'!$E34:INDEX('Milho 2ª safra'!$E34:$Z34,MIN(AT$6-$E$3,22))&lt;&gt;""),'Milho 2ª safra'!$E34:INDEX('Milho 2ª safra'!$E34:$Z34,MIN(AT$6-$E$3,22))),0))-IF($G$2,0,IF((AT$6-$G$3)&lt;1,0,IFERROR(LOOKUP(2,1/('Milho 2ª safra'!$E34:INDEX('Milho 2ª safra'!$E34:$Z34,MIN(AT$6-$G$3,22))&lt;&gt;""),'Milho 2ª safra'!$E34:INDEX('Milho 2ª safra'!$E34:$Z34,MIN(AT$6-$G$3,22))),0)))))</f>
        <v>0</v>
      </c>
      <c r="AU36" s="27" t="n">
        <f aca="false">IF(COUNT('Milho 2ª safra'!$E34:$Z34)=0,0,MAX(0,IF((AU$6-$E$3)&lt;1,0,IFERROR(LOOKUP(2,1/('Milho 2ª safra'!$E34:INDEX('Milho 2ª safra'!$E34:$Z34,MIN(AU$6-$E$3,22))&lt;&gt;""),'Milho 2ª safra'!$E34:INDEX('Milho 2ª safra'!$E34:$Z34,MIN(AU$6-$E$3,22))),0))-IF($G$2,0,IF((AU$6-$G$3)&lt;1,0,IFERROR(LOOKUP(2,1/('Milho 2ª safra'!$E34:INDEX('Milho 2ª safra'!$E34:$Z34,MIN(AU$6-$G$3,22))&lt;&gt;""),'Milho 2ª safra'!$E34:INDEX('Milho 2ª safra'!$E34:$Z34,MIN(AU$6-$G$3,22))),0)))))</f>
        <v>0</v>
      </c>
      <c r="AV36" s="27" t="n">
        <f aca="false">IF(COUNT('Milho 2ª safra'!$E34:$Z34)=0,0,MAX(0,IF((AV$6-$E$3)&lt;1,0,IFERROR(LOOKUP(2,1/('Milho 2ª safra'!$E34:INDEX('Milho 2ª safra'!$E34:$Z34,MIN(AV$6-$E$3,22))&lt;&gt;""),'Milho 2ª safra'!$E34:INDEX('Milho 2ª safra'!$E34:$Z34,MIN(AV$6-$E$3,22))),0))-IF($G$2,0,IF((AV$6-$G$3)&lt;1,0,IFERROR(LOOKUP(2,1/('Milho 2ª safra'!$E34:INDEX('Milho 2ª safra'!$E34:$Z34,MIN(AV$6-$G$3,22))&lt;&gt;""),'Milho 2ª safra'!$E34:INDEX('Milho 2ª safra'!$E34:$Z34,MIN(AV$6-$G$3,22))),0)))))</f>
        <v>0</v>
      </c>
      <c r="AW36" s="27" t="n">
        <f aca="false">IF(COUNT('Milho 2ª safra'!$E34:$Z34)=0,0,MAX(0,IF((AW$6-$E$3)&lt;1,0,IFERROR(LOOKUP(2,1/('Milho 2ª safra'!$E34:INDEX('Milho 2ª safra'!$E34:$Z34,MIN(AW$6-$E$3,22))&lt;&gt;""),'Milho 2ª safra'!$E34:INDEX('Milho 2ª safra'!$E34:$Z34,MIN(AW$6-$E$3,22))),0))-IF($G$2,0,IF((AW$6-$G$3)&lt;1,0,IFERROR(LOOKUP(2,1/('Milho 2ª safra'!$E34:INDEX('Milho 2ª safra'!$E34:$Z34,MIN(AW$6-$G$3,22))&lt;&gt;""),'Milho 2ª safra'!$E34:INDEX('Milho 2ª safra'!$E34:$Z34,MIN(AW$6-$G$3,22))),0)))))</f>
        <v>0</v>
      </c>
      <c r="AX36" s="27" t="n">
        <f aca="false">IF(COUNT('Milho 2ª safra'!$E34:$Z34)=0,0,MAX(0,IF((AX$6-$E$3)&lt;1,0,IFERROR(LOOKUP(2,1/('Milho 2ª safra'!$E34:INDEX('Milho 2ª safra'!$E34:$Z34,MIN(AX$6-$E$3,22))&lt;&gt;""),'Milho 2ª safra'!$E34:INDEX('Milho 2ª safra'!$E34:$Z34,MIN(AX$6-$E$3,22))),0))-IF($G$2,0,IF((AX$6-$G$3)&lt;1,0,IFERROR(LOOKUP(2,1/('Milho 2ª safra'!$E34:INDEX('Milho 2ª safra'!$E34:$Z34,MIN(AX$6-$G$3,22))&lt;&gt;""),'Milho 2ª safra'!$E34:INDEX('Milho 2ª safra'!$E34:$Z34,MIN(AX$6-$G$3,22))),0)))))</f>
        <v>0</v>
      </c>
      <c r="AY36" s="27" t="n">
        <f aca="false">IF(COUNT('Milho 2ª safra'!$E34:$Z34)=0,0,MAX(0,IF((AY$6-$E$3)&lt;1,0,IFERROR(LOOKUP(2,1/('Milho 2ª safra'!$E34:INDEX('Milho 2ª safra'!$E34:$Z34,MIN(AY$6-$E$3,22))&lt;&gt;""),'Milho 2ª safra'!$E34:INDEX('Milho 2ª safra'!$E34:$Z34,MIN(AY$6-$E$3,22))),0))-IF($G$2,0,IF((AY$6-$G$3)&lt;1,0,IFERROR(LOOKUP(2,1/('Milho 2ª safra'!$E34:INDEX('Milho 2ª safra'!$E34:$Z34,MIN(AY$6-$G$3,22))&lt;&gt;""),'Milho 2ª safra'!$E34:INDEX('Milho 2ª safra'!$E34:$Z34,MIN(AY$6-$G$3,22))),0)))))</f>
        <v>0</v>
      </c>
      <c r="AZ36" s="27" t="n">
        <f aca="false">IF(COUNT('Milho 2ª safra'!$E34:$Z34)=0,0,MAX(0,IF((AZ$6-$E$3)&lt;1,0,IFERROR(LOOKUP(2,1/('Milho 2ª safra'!$E34:INDEX('Milho 2ª safra'!$E34:$Z34,MIN(AZ$6-$E$3,22))&lt;&gt;""),'Milho 2ª safra'!$E34:INDEX('Milho 2ª safra'!$E34:$Z34,MIN(AZ$6-$E$3,22))),0))-IF($G$2,0,IF((AZ$6-$G$3)&lt;1,0,IFERROR(LOOKUP(2,1/('Milho 2ª safra'!$E34:INDEX('Milho 2ª safra'!$E34:$Z34,MIN(AZ$6-$G$3,22))&lt;&gt;""),'Milho 2ª safra'!$E34:INDEX('Milho 2ª safra'!$E34:$Z34,MIN(AZ$6-$G$3,22))),0)))))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IF(COUNT('Milho 2ª safra'!$E35:$Z35)&gt;0,N('Milho 2ª safra'!$D35),0)</f>
        <v>0</v>
      </c>
      <c r="E37" s="27" t="n">
        <f aca="false">IF(COUNT('Milho 2ª safra'!$E35:$Z35)=0,0,MAX(0,IF((E$6-$E$3)&lt;1,0,IFERROR(LOOKUP(2,1/('Milho 2ª safra'!$E35:INDEX('Milho 2ª safra'!$E35:$Z35,MIN(E$6-$E$3,22))&lt;&gt;""),'Milho 2ª safra'!$E35:INDEX('Milho 2ª safra'!$E35:$Z35,MIN(E$6-$E$3,22))),0))-IF($G$2,0,IF((E$6-$G$3)&lt;1,0,IFERROR(LOOKUP(2,1/('Milho 2ª safra'!$E35:INDEX('Milho 2ª safra'!$E35:$Z35,MIN(E$6-$G$3,22))&lt;&gt;""),'Milho 2ª safra'!$E35:INDEX('Milho 2ª safra'!$E35:$Z35,MIN(E$6-$G$3,22))),0)))))</f>
        <v>0</v>
      </c>
      <c r="F37" s="27" t="n">
        <f aca="false">IF(COUNT('Milho 2ª safra'!$E35:$Z35)=0,0,MAX(0,IF((F$6-$E$3)&lt;1,0,IFERROR(LOOKUP(2,1/('Milho 2ª safra'!$E35:INDEX('Milho 2ª safra'!$E35:$Z35,MIN(F$6-$E$3,22))&lt;&gt;""),'Milho 2ª safra'!$E35:INDEX('Milho 2ª safra'!$E35:$Z35,MIN(F$6-$E$3,22))),0))-IF($G$2,0,IF((F$6-$G$3)&lt;1,0,IFERROR(LOOKUP(2,1/('Milho 2ª safra'!$E35:INDEX('Milho 2ª safra'!$E35:$Z35,MIN(F$6-$G$3,22))&lt;&gt;""),'Milho 2ª safra'!$E35:INDEX('Milho 2ª safra'!$E35:$Z35,MIN(F$6-$G$3,22))),0)))))</f>
        <v>0</v>
      </c>
      <c r="G37" s="27" t="n">
        <f aca="false">IF(COUNT('Milho 2ª safra'!$E35:$Z35)=0,0,MAX(0,IF((G$6-$E$3)&lt;1,0,IFERROR(LOOKUP(2,1/('Milho 2ª safra'!$E35:INDEX('Milho 2ª safra'!$E35:$Z35,MIN(G$6-$E$3,22))&lt;&gt;""),'Milho 2ª safra'!$E35:INDEX('Milho 2ª safra'!$E35:$Z35,MIN(G$6-$E$3,22))),0))-IF($G$2,0,IF((G$6-$G$3)&lt;1,0,IFERROR(LOOKUP(2,1/('Milho 2ª safra'!$E35:INDEX('Milho 2ª safra'!$E35:$Z35,MIN(G$6-$G$3,22))&lt;&gt;""),'Milho 2ª safra'!$E35:INDEX('Milho 2ª safra'!$E35:$Z35,MIN(G$6-$G$3,22))),0)))))</f>
        <v>0</v>
      </c>
      <c r="H37" s="27" t="n">
        <f aca="false">IF(COUNT('Milho 2ª safra'!$E35:$Z35)=0,0,MAX(0,IF((H$6-$E$3)&lt;1,0,IFERROR(LOOKUP(2,1/('Milho 2ª safra'!$E35:INDEX('Milho 2ª safra'!$E35:$Z35,MIN(H$6-$E$3,22))&lt;&gt;""),'Milho 2ª safra'!$E35:INDEX('Milho 2ª safra'!$E35:$Z35,MIN(H$6-$E$3,22))),0))-IF($G$2,0,IF((H$6-$G$3)&lt;1,0,IFERROR(LOOKUP(2,1/('Milho 2ª safra'!$E35:INDEX('Milho 2ª safra'!$E35:$Z35,MIN(H$6-$G$3,22))&lt;&gt;""),'Milho 2ª safra'!$E35:INDEX('Milho 2ª safra'!$E35:$Z35,MIN(H$6-$G$3,22))),0)))))</f>
        <v>0</v>
      </c>
      <c r="I37" s="27" t="n">
        <f aca="false">IF(COUNT('Milho 2ª safra'!$E35:$Z35)=0,0,MAX(0,IF((I$6-$E$3)&lt;1,0,IFERROR(LOOKUP(2,1/('Milho 2ª safra'!$E35:INDEX('Milho 2ª safra'!$E35:$Z35,MIN(I$6-$E$3,22))&lt;&gt;""),'Milho 2ª safra'!$E35:INDEX('Milho 2ª safra'!$E35:$Z35,MIN(I$6-$E$3,22))),0))-IF($G$2,0,IF((I$6-$G$3)&lt;1,0,IFERROR(LOOKUP(2,1/('Milho 2ª safra'!$E35:INDEX('Milho 2ª safra'!$E35:$Z35,MIN(I$6-$G$3,22))&lt;&gt;""),'Milho 2ª safra'!$E35:INDEX('Milho 2ª safra'!$E35:$Z35,MIN(I$6-$G$3,22))),0)))))</f>
        <v>0</v>
      </c>
      <c r="J37" s="27" t="n">
        <f aca="false">IF(COUNT('Milho 2ª safra'!$E35:$Z35)=0,0,MAX(0,IF((J$6-$E$3)&lt;1,0,IFERROR(LOOKUP(2,1/('Milho 2ª safra'!$E35:INDEX('Milho 2ª safra'!$E35:$Z35,MIN(J$6-$E$3,22))&lt;&gt;""),'Milho 2ª safra'!$E35:INDEX('Milho 2ª safra'!$E35:$Z35,MIN(J$6-$E$3,22))),0))-IF($G$2,0,IF((J$6-$G$3)&lt;1,0,IFERROR(LOOKUP(2,1/('Milho 2ª safra'!$E35:INDEX('Milho 2ª safra'!$E35:$Z35,MIN(J$6-$G$3,22))&lt;&gt;""),'Milho 2ª safra'!$E35:INDEX('Milho 2ª safra'!$E35:$Z35,MIN(J$6-$G$3,22))),0)))))</f>
        <v>0</v>
      </c>
      <c r="K37" s="27" t="n">
        <f aca="false">IF(COUNT('Milho 2ª safra'!$E35:$Z35)=0,0,MAX(0,IF((K$6-$E$3)&lt;1,0,IFERROR(LOOKUP(2,1/('Milho 2ª safra'!$E35:INDEX('Milho 2ª safra'!$E35:$Z35,MIN(K$6-$E$3,22))&lt;&gt;""),'Milho 2ª safra'!$E35:INDEX('Milho 2ª safra'!$E35:$Z35,MIN(K$6-$E$3,22))),0))-IF($G$2,0,IF((K$6-$G$3)&lt;1,0,IFERROR(LOOKUP(2,1/('Milho 2ª safra'!$E35:INDEX('Milho 2ª safra'!$E35:$Z35,MIN(K$6-$G$3,22))&lt;&gt;""),'Milho 2ª safra'!$E35:INDEX('Milho 2ª safra'!$E35:$Z35,MIN(K$6-$G$3,22))),0)))))</f>
        <v>0</v>
      </c>
      <c r="L37" s="27" t="n">
        <f aca="false">IF(COUNT('Milho 2ª safra'!$E35:$Z35)=0,0,MAX(0,IF((L$6-$E$3)&lt;1,0,IFERROR(LOOKUP(2,1/('Milho 2ª safra'!$E35:INDEX('Milho 2ª safra'!$E35:$Z35,MIN(L$6-$E$3,22))&lt;&gt;""),'Milho 2ª safra'!$E35:INDEX('Milho 2ª safra'!$E35:$Z35,MIN(L$6-$E$3,22))),0))-IF($G$2,0,IF((L$6-$G$3)&lt;1,0,IFERROR(LOOKUP(2,1/('Milho 2ª safra'!$E35:INDEX('Milho 2ª safra'!$E35:$Z35,MIN(L$6-$G$3,22))&lt;&gt;""),'Milho 2ª safra'!$E35:INDEX('Milho 2ª safra'!$E35:$Z35,MIN(L$6-$G$3,22))),0)))))</f>
        <v>0</v>
      </c>
      <c r="M37" s="27" t="n">
        <f aca="false">IF(COUNT('Milho 2ª safra'!$E35:$Z35)=0,0,MAX(0,IF((M$6-$E$3)&lt;1,0,IFERROR(LOOKUP(2,1/('Milho 2ª safra'!$E35:INDEX('Milho 2ª safra'!$E35:$Z35,MIN(M$6-$E$3,22))&lt;&gt;""),'Milho 2ª safra'!$E35:INDEX('Milho 2ª safra'!$E35:$Z35,MIN(M$6-$E$3,22))),0))-IF($G$2,0,IF((M$6-$G$3)&lt;1,0,IFERROR(LOOKUP(2,1/('Milho 2ª safra'!$E35:INDEX('Milho 2ª safra'!$E35:$Z35,MIN(M$6-$G$3,22))&lt;&gt;""),'Milho 2ª safra'!$E35:INDEX('Milho 2ª safra'!$E35:$Z35,MIN(M$6-$G$3,22))),0)))))</f>
        <v>0</v>
      </c>
      <c r="N37" s="27" t="n">
        <f aca="false">IF(COUNT('Milho 2ª safra'!$E35:$Z35)=0,0,MAX(0,IF((N$6-$E$3)&lt;1,0,IFERROR(LOOKUP(2,1/('Milho 2ª safra'!$E35:INDEX('Milho 2ª safra'!$E35:$Z35,MIN(N$6-$E$3,22))&lt;&gt;""),'Milho 2ª safra'!$E35:INDEX('Milho 2ª safra'!$E35:$Z35,MIN(N$6-$E$3,22))),0))-IF($G$2,0,IF((N$6-$G$3)&lt;1,0,IFERROR(LOOKUP(2,1/('Milho 2ª safra'!$E35:INDEX('Milho 2ª safra'!$E35:$Z35,MIN(N$6-$G$3,22))&lt;&gt;""),'Milho 2ª safra'!$E35:INDEX('Milho 2ª safra'!$E35:$Z35,MIN(N$6-$G$3,22))),0)))))</f>
        <v>0</v>
      </c>
      <c r="O37" s="27" t="n">
        <f aca="false">IF(COUNT('Milho 2ª safra'!$E35:$Z35)=0,0,MAX(0,IF((O$6-$E$3)&lt;1,0,IFERROR(LOOKUP(2,1/('Milho 2ª safra'!$E35:INDEX('Milho 2ª safra'!$E35:$Z35,MIN(O$6-$E$3,22))&lt;&gt;""),'Milho 2ª safra'!$E35:INDEX('Milho 2ª safra'!$E35:$Z35,MIN(O$6-$E$3,22))),0))-IF($G$2,0,IF((O$6-$G$3)&lt;1,0,IFERROR(LOOKUP(2,1/('Milho 2ª safra'!$E35:INDEX('Milho 2ª safra'!$E35:$Z35,MIN(O$6-$G$3,22))&lt;&gt;""),'Milho 2ª safra'!$E35:INDEX('Milho 2ª safra'!$E35:$Z35,MIN(O$6-$G$3,22))),0)))))</f>
        <v>0</v>
      </c>
      <c r="P37" s="27" t="n">
        <f aca="false">IF(COUNT('Milho 2ª safra'!$E35:$Z35)=0,0,MAX(0,IF((P$6-$E$3)&lt;1,0,IFERROR(LOOKUP(2,1/('Milho 2ª safra'!$E35:INDEX('Milho 2ª safra'!$E35:$Z35,MIN(P$6-$E$3,22))&lt;&gt;""),'Milho 2ª safra'!$E35:INDEX('Milho 2ª safra'!$E35:$Z35,MIN(P$6-$E$3,22))),0))-IF($G$2,0,IF((P$6-$G$3)&lt;1,0,IFERROR(LOOKUP(2,1/('Milho 2ª safra'!$E35:INDEX('Milho 2ª safra'!$E35:$Z35,MIN(P$6-$G$3,22))&lt;&gt;""),'Milho 2ª safra'!$E35:INDEX('Milho 2ª safra'!$E35:$Z35,MIN(P$6-$G$3,22))),0)))))</f>
        <v>0</v>
      </c>
      <c r="Q37" s="27" t="n">
        <f aca="false">IF(COUNT('Milho 2ª safra'!$E35:$Z35)=0,0,MAX(0,IF((Q$6-$E$3)&lt;1,0,IFERROR(LOOKUP(2,1/('Milho 2ª safra'!$E35:INDEX('Milho 2ª safra'!$E35:$Z35,MIN(Q$6-$E$3,22))&lt;&gt;""),'Milho 2ª safra'!$E35:INDEX('Milho 2ª safra'!$E35:$Z35,MIN(Q$6-$E$3,22))),0))-IF($G$2,0,IF((Q$6-$G$3)&lt;1,0,IFERROR(LOOKUP(2,1/('Milho 2ª safra'!$E35:INDEX('Milho 2ª safra'!$E35:$Z35,MIN(Q$6-$G$3,22))&lt;&gt;""),'Milho 2ª safra'!$E35:INDEX('Milho 2ª safra'!$E35:$Z35,MIN(Q$6-$G$3,22))),0)))))</f>
        <v>0</v>
      </c>
      <c r="R37" s="27" t="n">
        <f aca="false">IF(COUNT('Milho 2ª safra'!$E35:$Z35)=0,0,MAX(0,IF((R$6-$E$3)&lt;1,0,IFERROR(LOOKUP(2,1/('Milho 2ª safra'!$E35:INDEX('Milho 2ª safra'!$E35:$Z35,MIN(R$6-$E$3,22))&lt;&gt;""),'Milho 2ª safra'!$E35:INDEX('Milho 2ª safra'!$E35:$Z35,MIN(R$6-$E$3,22))),0))-IF($G$2,0,IF((R$6-$G$3)&lt;1,0,IFERROR(LOOKUP(2,1/('Milho 2ª safra'!$E35:INDEX('Milho 2ª safra'!$E35:$Z35,MIN(R$6-$G$3,22))&lt;&gt;""),'Milho 2ª safra'!$E35:INDEX('Milho 2ª safra'!$E35:$Z35,MIN(R$6-$G$3,22))),0)))))</f>
        <v>0</v>
      </c>
      <c r="S37" s="27" t="n">
        <f aca="false">IF(COUNT('Milho 2ª safra'!$E35:$Z35)=0,0,MAX(0,IF((S$6-$E$3)&lt;1,0,IFERROR(LOOKUP(2,1/('Milho 2ª safra'!$E35:INDEX('Milho 2ª safra'!$E35:$Z35,MIN(S$6-$E$3,22))&lt;&gt;""),'Milho 2ª safra'!$E35:INDEX('Milho 2ª safra'!$E35:$Z35,MIN(S$6-$E$3,22))),0))-IF($G$2,0,IF((S$6-$G$3)&lt;1,0,IFERROR(LOOKUP(2,1/('Milho 2ª safra'!$E35:INDEX('Milho 2ª safra'!$E35:$Z35,MIN(S$6-$G$3,22))&lt;&gt;""),'Milho 2ª safra'!$E35:INDEX('Milho 2ª safra'!$E35:$Z35,MIN(S$6-$G$3,22))),0)))))</f>
        <v>0</v>
      </c>
      <c r="T37" s="27" t="n">
        <f aca="false">IF(COUNT('Milho 2ª safra'!$E35:$Z35)=0,0,MAX(0,IF((T$6-$E$3)&lt;1,0,IFERROR(LOOKUP(2,1/('Milho 2ª safra'!$E35:INDEX('Milho 2ª safra'!$E35:$Z35,MIN(T$6-$E$3,22))&lt;&gt;""),'Milho 2ª safra'!$E35:INDEX('Milho 2ª safra'!$E35:$Z35,MIN(T$6-$E$3,22))),0))-IF($G$2,0,IF((T$6-$G$3)&lt;1,0,IFERROR(LOOKUP(2,1/('Milho 2ª safra'!$E35:INDEX('Milho 2ª safra'!$E35:$Z35,MIN(T$6-$G$3,22))&lt;&gt;""),'Milho 2ª safra'!$E35:INDEX('Milho 2ª safra'!$E35:$Z35,MIN(T$6-$G$3,22))),0)))))</f>
        <v>0</v>
      </c>
      <c r="U37" s="27" t="n">
        <f aca="false">IF(COUNT('Milho 2ª safra'!$E35:$Z35)=0,0,MAX(0,IF((U$6-$E$3)&lt;1,0,IFERROR(LOOKUP(2,1/('Milho 2ª safra'!$E35:INDEX('Milho 2ª safra'!$E35:$Z35,MIN(U$6-$E$3,22))&lt;&gt;""),'Milho 2ª safra'!$E35:INDEX('Milho 2ª safra'!$E35:$Z35,MIN(U$6-$E$3,22))),0))-IF($G$2,0,IF((U$6-$G$3)&lt;1,0,IFERROR(LOOKUP(2,1/('Milho 2ª safra'!$E35:INDEX('Milho 2ª safra'!$E35:$Z35,MIN(U$6-$G$3,22))&lt;&gt;""),'Milho 2ª safra'!$E35:INDEX('Milho 2ª safra'!$E35:$Z35,MIN(U$6-$G$3,22))),0)))))</f>
        <v>0</v>
      </c>
      <c r="V37" s="27" t="n">
        <f aca="false">IF(COUNT('Milho 2ª safra'!$E35:$Z35)=0,0,MAX(0,IF((V$6-$E$3)&lt;1,0,IFERROR(LOOKUP(2,1/('Milho 2ª safra'!$E35:INDEX('Milho 2ª safra'!$E35:$Z35,MIN(V$6-$E$3,22))&lt;&gt;""),'Milho 2ª safra'!$E35:INDEX('Milho 2ª safra'!$E35:$Z35,MIN(V$6-$E$3,22))),0))-IF($G$2,0,IF((V$6-$G$3)&lt;1,0,IFERROR(LOOKUP(2,1/('Milho 2ª safra'!$E35:INDEX('Milho 2ª safra'!$E35:$Z35,MIN(V$6-$G$3,22))&lt;&gt;""),'Milho 2ª safra'!$E35:INDEX('Milho 2ª safra'!$E35:$Z35,MIN(V$6-$G$3,22))),0)))))</f>
        <v>0</v>
      </c>
      <c r="W37" s="27" t="n">
        <f aca="false">IF(COUNT('Milho 2ª safra'!$E35:$Z35)=0,0,MAX(0,IF((W$6-$E$3)&lt;1,0,IFERROR(LOOKUP(2,1/('Milho 2ª safra'!$E35:INDEX('Milho 2ª safra'!$E35:$Z35,MIN(W$6-$E$3,22))&lt;&gt;""),'Milho 2ª safra'!$E35:INDEX('Milho 2ª safra'!$E35:$Z35,MIN(W$6-$E$3,22))),0))-IF($G$2,0,IF((W$6-$G$3)&lt;1,0,IFERROR(LOOKUP(2,1/('Milho 2ª safra'!$E35:INDEX('Milho 2ª safra'!$E35:$Z35,MIN(W$6-$G$3,22))&lt;&gt;""),'Milho 2ª safra'!$E35:INDEX('Milho 2ª safra'!$E35:$Z35,MIN(W$6-$G$3,22))),0)))))</f>
        <v>0</v>
      </c>
      <c r="X37" s="27" t="n">
        <f aca="false">IF(COUNT('Milho 2ª safra'!$E35:$Z35)=0,0,MAX(0,IF((X$6-$E$3)&lt;1,0,IFERROR(LOOKUP(2,1/('Milho 2ª safra'!$E35:INDEX('Milho 2ª safra'!$E35:$Z35,MIN(X$6-$E$3,22))&lt;&gt;""),'Milho 2ª safra'!$E35:INDEX('Milho 2ª safra'!$E35:$Z35,MIN(X$6-$E$3,22))),0))-IF($G$2,0,IF((X$6-$G$3)&lt;1,0,IFERROR(LOOKUP(2,1/('Milho 2ª safra'!$E35:INDEX('Milho 2ª safra'!$E35:$Z35,MIN(X$6-$G$3,22))&lt;&gt;""),'Milho 2ª safra'!$E35:INDEX('Milho 2ª safra'!$E35:$Z35,MIN(X$6-$G$3,22))),0)))))</f>
        <v>0</v>
      </c>
      <c r="Y37" s="27" t="n">
        <f aca="false">IF(COUNT('Milho 2ª safra'!$E35:$Z35)=0,0,MAX(0,IF((Y$6-$E$3)&lt;1,0,IFERROR(LOOKUP(2,1/('Milho 2ª safra'!$E35:INDEX('Milho 2ª safra'!$E35:$Z35,MIN(Y$6-$E$3,22))&lt;&gt;""),'Milho 2ª safra'!$E35:INDEX('Milho 2ª safra'!$E35:$Z35,MIN(Y$6-$E$3,22))),0))-IF($G$2,0,IF((Y$6-$G$3)&lt;1,0,IFERROR(LOOKUP(2,1/('Milho 2ª safra'!$E35:INDEX('Milho 2ª safra'!$E35:$Z35,MIN(Y$6-$G$3,22))&lt;&gt;""),'Milho 2ª safra'!$E35:INDEX('Milho 2ª safra'!$E35:$Z35,MIN(Y$6-$G$3,22))),0)))))</f>
        <v>0</v>
      </c>
      <c r="Z37" s="27" t="n">
        <f aca="false">IF(COUNT('Milho 2ª safra'!$E35:$Z35)=0,0,MAX(0,IF((Z$6-$E$3)&lt;1,0,IFERROR(LOOKUP(2,1/('Milho 2ª safra'!$E35:INDEX('Milho 2ª safra'!$E35:$Z35,MIN(Z$6-$E$3,22))&lt;&gt;""),'Milho 2ª safra'!$E35:INDEX('Milho 2ª safra'!$E35:$Z35,MIN(Z$6-$E$3,22))),0))-IF($G$2,0,IF((Z$6-$G$3)&lt;1,0,IFERROR(LOOKUP(2,1/('Milho 2ª safra'!$E35:INDEX('Milho 2ª safra'!$E35:$Z35,MIN(Z$6-$G$3,22))&lt;&gt;""),'Milho 2ª safra'!$E35:INDEX('Milho 2ª safra'!$E35:$Z35,MIN(Z$6-$G$3,22))),0)))))</f>
        <v>0</v>
      </c>
      <c r="AA37" s="27" t="n">
        <f aca="false">IF(COUNT('Milho 2ª safra'!$E35:$Z35)=0,0,MAX(0,IF((AA$6-$E$3)&lt;1,0,IFERROR(LOOKUP(2,1/('Milho 2ª safra'!$E35:INDEX('Milho 2ª safra'!$E35:$Z35,MIN(AA$6-$E$3,22))&lt;&gt;""),'Milho 2ª safra'!$E35:INDEX('Milho 2ª safra'!$E35:$Z35,MIN(AA$6-$E$3,22))),0))-IF($G$2,0,IF((AA$6-$G$3)&lt;1,0,IFERROR(LOOKUP(2,1/('Milho 2ª safra'!$E35:INDEX('Milho 2ª safra'!$E35:$Z35,MIN(AA$6-$G$3,22))&lt;&gt;""),'Milho 2ª safra'!$E35:INDEX('Milho 2ª safra'!$E35:$Z35,MIN(AA$6-$G$3,22))),0)))))</f>
        <v>0</v>
      </c>
      <c r="AB37" s="27" t="n">
        <f aca="false">IF(COUNT('Milho 2ª safra'!$E35:$Z35)=0,0,MAX(0,IF((AB$6-$E$3)&lt;1,0,IFERROR(LOOKUP(2,1/('Milho 2ª safra'!$E35:INDEX('Milho 2ª safra'!$E35:$Z35,MIN(AB$6-$E$3,22))&lt;&gt;""),'Milho 2ª safra'!$E35:INDEX('Milho 2ª safra'!$E35:$Z35,MIN(AB$6-$E$3,22))),0))-IF($G$2,0,IF((AB$6-$G$3)&lt;1,0,IFERROR(LOOKUP(2,1/('Milho 2ª safra'!$E35:INDEX('Milho 2ª safra'!$E35:$Z35,MIN(AB$6-$G$3,22))&lt;&gt;""),'Milho 2ª safra'!$E35:INDEX('Milho 2ª safra'!$E35:$Z35,MIN(AB$6-$G$3,22))),0)))))</f>
        <v>0</v>
      </c>
      <c r="AC37" s="27" t="n">
        <f aca="false">IF(COUNT('Milho 2ª safra'!$E35:$Z35)=0,0,MAX(0,IF((AC$6-$E$3)&lt;1,0,IFERROR(LOOKUP(2,1/('Milho 2ª safra'!$E35:INDEX('Milho 2ª safra'!$E35:$Z35,MIN(AC$6-$E$3,22))&lt;&gt;""),'Milho 2ª safra'!$E35:INDEX('Milho 2ª safra'!$E35:$Z35,MIN(AC$6-$E$3,22))),0))-IF($G$2,0,IF((AC$6-$G$3)&lt;1,0,IFERROR(LOOKUP(2,1/('Milho 2ª safra'!$E35:INDEX('Milho 2ª safra'!$E35:$Z35,MIN(AC$6-$G$3,22))&lt;&gt;""),'Milho 2ª safra'!$E35:INDEX('Milho 2ª safra'!$E35:$Z35,MIN(AC$6-$G$3,22))),0)))))</f>
        <v>0</v>
      </c>
      <c r="AD37" s="27" t="n">
        <f aca="false">IF(COUNT('Milho 2ª safra'!$E35:$Z35)=0,0,MAX(0,IF((AD$6-$E$3)&lt;1,0,IFERROR(LOOKUP(2,1/('Milho 2ª safra'!$E35:INDEX('Milho 2ª safra'!$E35:$Z35,MIN(AD$6-$E$3,22))&lt;&gt;""),'Milho 2ª safra'!$E35:INDEX('Milho 2ª safra'!$E35:$Z35,MIN(AD$6-$E$3,22))),0))-IF($G$2,0,IF((AD$6-$G$3)&lt;1,0,IFERROR(LOOKUP(2,1/('Milho 2ª safra'!$E35:INDEX('Milho 2ª safra'!$E35:$Z35,MIN(AD$6-$G$3,22))&lt;&gt;""),'Milho 2ª safra'!$E35:INDEX('Milho 2ª safra'!$E35:$Z35,MIN(AD$6-$G$3,22))),0)))))</f>
        <v>0</v>
      </c>
      <c r="AE37" s="27" t="n">
        <f aca="false">IF(COUNT('Milho 2ª safra'!$E35:$Z35)=0,0,MAX(0,IF((AE$6-$E$3)&lt;1,0,IFERROR(LOOKUP(2,1/('Milho 2ª safra'!$E35:INDEX('Milho 2ª safra'!$E35:$Z35,MIN(AE$6-$E$3,22))&lt;&gt;""),'Milho 2ª safra'!$E35:INDEX('Milho 2ª safra'!$E35:$Z35,MIN(AE$6-$E$3,22))),0))-IF($G$2,0,IF((AE$6-$G$3)&lt;1,0,IFERROR(LOOKUP(2,1/('Milho 2ª safra'!$E35:INDEX('Milho 2ª safra'!$E35:$Z35,MIN(AE$6-$G$3,22))&lt;&gt;""),'Milho 2ª safra'!$E35:INDEX('Milho 2ª safra'!$E35:$Z35,MIN(AE$6-$G$3,22))),0)))))</f>
        <v>0</v>
      </c>
      <c r="AF37" s="27" t="n">
        <f aca="false">IF(COUNT('Milho 2ª safra'!$E35:$Z35)=0,0,MAX(0,IF((AF$6-$E$3)&lt;1,0,IFERROR(LOOKUP(2,1/('Milho 2ª safra'!$E35:INDEX('Milho 2ª safra'!$E35:$Z35,MIN(AF$6-$E$3,22))&lt;&gt;""),'Milho 2ª safra'!$E35:INDEX('Milho 2ª safra'!$E35:$Z35,MIN(AF$6-$E$3,22))),0))-IF($G$2,0,IF((AF$6-$G$3)&lt;1,0,IFERROR(LOOKUP(2,1/('Milho 2ª safra'!$E35:INDEX('Milho 2ª safra'!$E35:$Z35,MIN(AF$6-$G$3,22))&lt;&gt;""),'Milho 2ª safra'!$E35:INDEX('Milho 2ª safra'!$E35:$Z35,MIN(AF$6-$G$3,22))),0)))))</f>
        <v>0</v>
      </c>
      <c r="AG37" s="27" t="n">
        <f aca="false">IF(COUNT('Milho 2ª safra'!$E35:$Z35)=0,0,MAX(0,IF((AG$6-$E$3)&lt;1,0,IFERROR(LOOKUP(2,1/('Milho 2ª safra'!$E35:INDEX('Milho 2ª safra'!$E35:$Z35,MIN(AG$6-$E$3,22))&lt;&gt;""),'Milho 2ª safra'!$E35:INDEX('Milho 2ª safra'!$E35:$Z35,MIN(AG$6-$E$3,22))),0))-IF($G$2,0,IF((AG$6-$G$3)&lt;1,0,IFERROR(LOOKUP(2,1/('Milho 2ª safra'!$E35:INDEX('Milho 2ª safra'!$E35:$Z35,MIN(AG$6-$G$3,22))&lt;&gt;""),'Milho 2ª safra'!$E35:INDEX('Milho 2ª safra'!$E35:$Z35,MIN(AG$6-$G$3,22))),0)))))</f>
        <v>0</v>
      </c>
      <c r="AH37" s="27" t="n">
        <f aca="false">IF(COUNT('Milho 2ª safra'!$E35:$Z35)=0,0,MAX(0,IF((AH$6-$E$3)&lt;1,0,IFERROR(LOOKUP(2,1/('Milho 2ª safra'!$E35:INDEX('Milho 2ª safra'!$E35:$Z35,MIN(AH$6-$E$3,22))&lt;&gt;""),'Milho 2ª safra'!$E35:INDEX('Milho 2ª safra'!$E35:$Z35,MIN(AH$6-$E$3,22))),0))-IF($G$2,0,IF((AH$6-$G$3)&lt;1,0,IFERROR(LOOKUP(2,1/('Milho 2ª safra'!$E35:INDEX('Milho 2ª safra'!$E35:$Z35,MIN(AH$6-$G$3,22))&lt;&gt;""),'Milho 2ª safra'!$E35:INDEX('Milho 2ª safra'!$E35:$Z35,MIN(AH$6-$G$3,22))),0)))))</f>
        <v>0</v>
      </c>
      <c r="AI37" s="27" t="n">
        <f aca="false">IF(COUNT('Milho 2ª safra'!$E35:$Z35)=0,0,MAX(0,IF((AI$6-$E$3)&lt;1,0,IFERROR(LOOKUP(2,1/('Milho 2ª safra'!$E35:INDEX('Milho 2ª safra'!$E35:$Z35,MIN(AI$6-$E$3,22))&lt;&gt;""),'Milho 2ª safra'!$E35:INDEX('Milho 2ª safra'!$E35:$Z35,MIN(AI$6-$E$3,22))),0))-IF($G$2,0,IF((AI$6-$G$3)&lt;1,0,IFERROR(LOOKUP(2,1/('Milho 2ª safra'!$E35:INDEX('Milho 2ª safra'!$E35:$Z35,MIN(AI$6-$G$3,22))&lt;&gt;""),'Milho 2ª safra'!$E35:INDEX('Milho 2ª safra'!$E35:$Z35,MIN(AI$6-$G$3,22))),0)))))</f>
        <v>0</v>
      </c>
      <c r="AJ37" s="27" t="n">
        <f aca="false">IF(COUNT('Milho 2ª safra'!$E35:$Z35)=0,0,MAX(0,IF((AJ$6-$E$3)&lt;1,0,IFERROR(LOOKUP(2,1/('Milho 2ª safra'!$E35:INDEX('Milho 2ª safra'!$E35:$Z35,MIN(AJ$6-$E$3,22))&lt;&gt;""),'Milho 2ª safra'!$E35:INDEX('Milho 2ª safra'!$E35:$Z35,MIN(AJ$6-$E$3,22))),0))-IF($G$2,0,IF((AJ$6-$G$3)&lt;1,0,IFERROR(LOOKUP(2,1/('Milho 2ª safra'!$E35:INDEX('Milho 2ª safra'!$E35:$Z35,MIN(AJ$6-$G$3,22))&lt;&gt;""),'Milho 2ª safra'!$E35:INDEX('Milho 2ª safra'!$E35:$Z35,MIN(AJ$6-$G$3,22))),0)))))</f>
        <v>0</v>
      </c>
      <c r="AK37" s="27" t="n">
        <f aca="false">IF(COUNT('Milho 2ª safra'!$E35:$Z35)=0,0,MAX(0,IF((AK$6-$E$3)&lt;1,0,IFERROR(LOOKUP(2,1/('Milho 2ª safra'!$E35:INDEX('Milho 2ª safra'!$E35:$Z35,MIN(AK$6-$E$3,22))&lt;&gt;""),'Milho 2ª safra'!$E35:INDEX('Milho 2ª safra'!$E35:$Z35,MIN(AK$6-$E$3,22))),0))-IF($G$2,0,IF((AK$6-$G$3)&lt;1,0,IFERROR(LOOKUP(2,1/('Milho 2ª safra'!$E35:INDEX('Milho 2ª safra'!$E35:$Z35,MIN(AK$6-$G$3,22))&lt;&gt;""),'Milho 2ª safra'!$E35:INDEX('Milho 2ª safra'!$E35:$Z35,MIN(AK$6-$G$3,22))),0)))))</f>
        <v>0</v>
      </c>
      <c r="AL37" s="27" t="n">
        <f aca="false">IF(COUNT('Milho 2ª safra'!$E35:$Z35)=0,0,MAX(0,IF((AL$6-$E$3)&lt;1,0,IFERROR(LOOKUP(2,1/('Milho 2ª safra'!$E35:INDEX('Milho 2ª safra'!$E35:$Z35,MIN(AL$6-$E$3,22))&lt;&gt;""),'Milho 2ª safra'!$E35:INDEX('Milho 2ª safra'!$E35:$Z35,MIN(AL$6-$E$3,22))),0))-IF($G$2,0,IF((AL$6-$G$3)&lt;1,0,IFERROR(LOOKUP(2,1/('Milho 2ª safra'!$E35:INDEX('Milho 2ª safra'!$E35:$Z35,MIN(AL$6-$G$3,22))&lt;&gt;""),'Milho 2ª safra'!$E35:INDEX('Milho 2ª safra'!$E35:$Z35,MIN(AL$6-$G$3,22))),0)))))</f>
        <v>0</v>
      </c>
      <c r="AM37" s="27" t="n">
        <f aca="false">IF(COUNT('Milho 2ª safra'!$E35:$Z35)=0,0,MAX(0,IF((AM$6-$E$3)&lt;1,0,IFERROR(LOOKUP(2,1/('Milho 2ª safra'!$E35:INDEX('Milho 2ª safra'!$E35:$Z35,MIN(AM$6-$E$3,22))&lt;&gt;""),'Milho 2ª safra'!$E35:INDEX('Milho 2ª safra'!$E35:$Z35,MIN(AM$6-$E$3,22))),0))-IF($G$2,0,IF((AM$6-$G$3)&lt;1,0,IFERROR(LOOKUP(2,1/('Milho 2ª safra'!$E35:INDEX('Milho 2ª safra'!$E35:$Z35,MIN(AM$6-$G$3,22))&lt;&gt;""),'Milho 2ª safra'!$E35:INDEX('Milho 2ª safra'!$E35:$Z35,MIN(AM$6-$G$3,22))),0)))))</f>
        <v>0</v>
      </c>
      <c r="AN37" s="27" t="n">
        <f aca="false">IF(COUNT('Milho 2ª safra'!$E35:$Z35)=0,0,MAX(0,IF((AN$6-$E$3)&lt;1,0,IFERROR(LOOKUP(2,1/('Milho 2ª safra'!$E35:INDEX('Milho 2ª safra'!$E35:$Z35,MIN(AN$6-$E$3,22))&lt;&gt;""),'Milho 2ª safra'!$E35:INDEX('Milho 2ª safra'!$E35:$Z35,MIN(AN$6-$E$3,22))),0))-IF($G$2,0,IF((AN$6-$G$3)&lt;1,0,IFERROR(LOOKUP(2,1/('Milho 2ª safra'!$E35:INDEX('Milho 2ª safra'!$E35:$Z35,MIN(AN$6-$G$3,22))&lt;&gt;""),'Milho 2ª safra'!$E35:INDEX('Milho 2ª safra'!$E35:$Z35,MIN(AN$6-$G$3,22))),0)))))</f>
        <v>0</v>
      </c>
      <c r="AO37" s="27" t="n">
        <f aca="false">IF(COUNT('Milho 2ª safra'!$E35:$Z35)=0,0,MAX(0,IF((AO$6-$E$3)&lt;1,0,IFERROR(LOOKUP(2,1/('Milho 2ª safra'!$E35:INDEX('Milho 2ª safra'!$E35:$Z35,MIN(AO$6-$E$3,22))&lt;&gt;""),'Milho 2ª safra'!$E35:INDEX('Milho 2ª safra'!$E35:$Z35,MIN(AO$6-$E$3,22))),0))-IF($G$2,0,IF((AO$6-$G$3)&lt;1,0,IFERROR(LOOKUP(2,1/('Milho 2ª safra'!$E35:INDEX('Milho 2ª safra'!$E35:$Z35,MIN(AO$6-$G$3,22))&lt;&gt;""),'Milho 2ª safra'!$E35:INDEX('Milho 2ª safra'!$E35:$Z35,MIN(AO$6-$G$3,22))),0)))))</f>
        <v>0</v>
      </c>
      <c r="AP37" s="27" t="n">
        <f aca="false">IF(COUNT('Milho 2ª safra'!$E35:$Z35)=0,0,MAX(0,IF((AP$6-$E$3)&lt;1,0,IFERROR(LOOKUP(2,1/('Milho 2ª safra'!$E35:INDEX('Milho 2ª safra'!$E35:$Z35,MIN(AP$6-$E$3,22))&lt;&gt;""),'Milho 2ª safra'!$E35:INDEX('Milho 2ª safra'!$E35:$Z35,MIN(AP$6-$E$3,22))),0))-IF($G$2,0,IF((AP$6-$G$3)&lt;1,0,IFERROR(LOOKUP(2,1/('Milho 2ª safra'!$E35:INDEX('Milho 2ª safra'!$E35:$Z35,MIN(AP$6-$G$3,22))&lt;&gt;""),'Milho 2ª safra'!$E35:INDEX('Milho 2ª safra'!$E35:$Z35,MIN(AP$6-$G$3,22))),0)))))</f>
        <v>0</v>
      </c>
      <c r="AQ37" s="27" t="n">
        <f aca="false">IF(COUNT('Milho 2ª safra'!$E35:$Z35)=0,0,MAX(0,IF((AQ$6-$E$3)&lt;1,0,IFERROR(LOOKUP(2,1/('Milho 2ª safra'!$E35:INDEX('Milho 2ª safra'!$E35:$Z35,MIN(AQ$6-$E$3,22))&lt;&gt;""),'Milho 2ª safra'!$E35:INDEX('Milho 2ª safra'!$E35:$Z35,MIN(AQ$6-$E$3,22))),0))-IF($G$2,0,IF((AQ$6-$G$3)&lt;1,0,IFERROR(LOOKUP(2,1/('Milho 2ª safra'!$E35:INDEX('Milho 2ª safra'!$E35:$Z35,MIN(AQ$6-$G$3,22))&lt;&gt;""),'Milho 2ª safra'!$E35:INDEX('Milho 2ª safra'!$E35:$Z35,MIN(AQ$6-$G$3,22))),0)))))</f>
        <v>0</v>
      </c>
      <c r="AR37" s="27" t="n">
        <f aca="false">IF(COUNT('Milho 2ª safra'!$E35:$Z35)=0,0,MAX(0,IF((AR$6-$E$3)&lt;1,0,IFERROR(LOOKUP(2,1/('Milho 2ª safra'!$E35:INDEX('Milho 2ª safra'!$E35:$Z35,MIN(AR$6-$E$3,22))&lt;&gt;""),'Milho 2ª safra'!$E35:INDEX('Milho 2ª safra'!$E35:$Z35,MIN(AR$6-$E$3,22))),0))-IF($G$2,0,IF((AR$6-$G$3)&lt;1,0,IFERROR(LOOKUP(2,1/('Milho 2ª safra'!$E35:INDEX('Milho 2ª safra'!$E35:$Z35,MIN(AR$6-$G$3,22))&lt;&gt;""),'Milho 2ª safra'!$E35:INDEX('Milho 2ª safra'!$E35:$Z35,MIN(AR$6-$G$3,22))),0)))))</f>
        <v>0</v>
      </c>
      <c r="AS37" s="27" t="n">
        <f aca="false">IF(COUNT('Milho 2ª safra'!$E35:$Z35)=0,0,MAX(0,IF((AS$6-$E$3)&lt;1,0,IFERROR(LOOKUP(2,1/('Milho 2ª safra'!$E35:INDEX('Milho 2ª safra'!$E35:$Z35,MIN(AS$6-$E$3,22))&lt;&gt;""),'Milho 2ª safra'!$E35:INDEX('Milho 2ª safra'!$E35:$Z35,MIN(AS$6-$E$3,22))),0))-IF($G$2,0,IF((AS$6-$G$3)&lt;1,0,IFERROR(LOOKUP(2,1/('Milho 2ª safra'!$E35:INDEX('Milho 2ª safra'!$E35:$Z35,MIN(AS$6-$G$3,22))&lt;&gt;""),'Milho 2ª safra'!$E35:INDEX('Milho 2ª safra'!$E35:$Z35,MIN(AS$6-$G$3,22))),0)))))</f>
        <v>0</v>
      </c>
      <c r="AT37" s="27" t="n">
        <f aca="false">IF(COUNT('Milho 2ª safra'!$E35:$Z35)=0,0,MAX(0,IF((AT$6-$E$3)&lt;1,0,IFERROR(LOOKUP(2,1/('Milho 2ª safra'!$E35:INDEX('Milho 2ª safra'!$E35:$Z35,MIN(AT$6-$E$3,22))&lt;&gt;""),'Milho 2ª safra'!$E35:INDEX('Milho 2ª safra'!$E35:$Z35,MIN(AT$6-$E$3,22))),0))-IF($G$2,0,IF((AT$6-$G$3)&lt;1,0,IFERROR(LOOKUP(2,1/('Milho 2ª safra'!$E35:INDEX('Milho 2ª safra'!$E35:$Z35,MIN(AT$6-$G$3,22))&lt;&gt;""),'Milho 2ª safra'!$E35:INDEX('Milho 2ª safra'!$E35:$Z35,MIN(AT$6-$G$3,22))),0)))))</f>
        <v>0</v>
      </c>
      <c r="AU37" s="27" t="n">
        <f aca="false">IF(COUNT('Milho 2ª safra'!$E35:$Z35)=0,0,MAX(0,IF((AU$6-$E$3)&lt;1,0,IFERROR(LOOKUP(2,1/('Milho 2ª safra'!$E35:INDEX('Milho 2ª safra'!$E35:$Z35,MIN(AU$6-$E$3,22))&lt;&gt;""),'Milho 2ª safra'!$E35:INDEX('Milho 2ª safra'!$E35:$Z35,MIN(AU$6-$E$3,22))),0))-IF($G$2,0,IF((AU$6-$G$3)&lt;1,0,IFERROR(LOOKUP(2,1/('Milho 2ª safra'!$E35:INDEX('Milho 2ª safra'!$E35:$Z35,MIN(AU$6-$G$3,22))&lt;&gt;""),'Milho 2ª safra'!$E35:INDEX('Milho 2ª safra'!$E35:$Z35,MIN(AU$6-$G$3,22))),0)))))</f>
        <v>0</v>
      </c>
      <c r="AV37" s="27" t="n">
        <f aca="false">IF(COUNT('Milho 2ª safra'!$E35:$Z35)=0,0,MAX(0,IF((AV$6-$E$3)&lt;1,0,IFERROR(LOOKUP(2,1/('Milho 2ª safra'!$E35:INDEX('Milho 2ª safra'!$E35:$Z35,MIN(AV$6-$E$3,22))&lt;&gt;""),'Milho 2ª safra'!$E35:INDEX('Milho 2ª safra'!$E35:$Z35,MIN(AV$6-$E$3,22))),0))-IF($G$2,0,IF((AV$6-$G$3)&lt;1,0,IFERROR(LOOKUP(2,1/('Milho 2ª safra'!$E35:INDEX('Milho 2ª safra'!$E35:$Z35,MIN(AV$6-$G$3,22))&lt;&gt;""),'Milho 2ª safra'!$E35:INDEX('Milho 2ª safra'!$E35:$Z35,MIN(AV$6-$G$3,22))),0)))))</f>
        <v>0</v>
      </c>
      <c r="AW37" s="27" t="n">
        <f aca="false">IF(COUNT('Milho 2ª safra'!$E35:$Z35)=0,0,MAX(0,IF((AW$6-$E$3)&lt;1,0,IFERROR(LOOKUP(2,1/('Milho 2ª safra'!$E35:INDEX('Milho 2ª safra'!$E35:$Z35,MIN(AW$6-$E$3,22))&lt;&gt;""),'Milho 2ª safra'!$E35:INDEX('Milho 2ª safra'!$E35:$Z35,MIN(AW$6-$E$3,22))),0))-IF($G$2,0,IF((AW$6-$G$3)&lt;1,0,IFERROR(LOOKUP(2,1/('Milho 2ª safra'!$E35:INDEX('Milho 2ª safra'!$E35:$Z35,MIN(AW$6-$G$3,22))&lt;&gt;""),'Milho 2ª safra'!$E35:INDEX('Milho 2ª safra'!$E35:$Z35,MIN(AW$6-$G$3,22))),0)))))</f>
        <v>0</v>
      </c>
      <c r="AX37" s="27" t="n">
        <f aca="false">IF(COUNT('Milho 2ª safra'!$E35:$Z35)=0,0,MAX(0,IF((AX$6-$E$3)&lt;1,0,IFERROR(LOOKUP(2,1/('Milho 2ª safra'!$E35:INDEX('Milho 2ª safra'!$E35:$Z35,MIN(AX$6-$E$3,22))&lt;&gt;""),'Milho 2ª safra'!$E35:INDEX('Milho 2ª safra'!$E35:$Z35,MIN(AX$6-$E$3,22))),0))-IF($G$2,0,IF((AX$6-$G$3)&lt;1,0,IFERROR(LOOKUP(2,1/('Milho 2ª safra'!$E35:INDEX('Milho 2ª safra'!$E35:$Z35,MIN(AX$6-$G$3,22))&lt;&gt;""),'Milho 2ª safra'!$E35:INDEX('Milho 2ª safra'!$E35:$Z35,MIN(AX$6-$G$3,22))),0)))))</f>
        <v>0</v>
      </c>
      <c r="AY37" s="27" t="n">
        <f aca="false">IF(COUNT('Milho 2ª safra'!$E35:$Z35)=0,0,MAX(0,IF((AY$6-$E$3)&lt;1,0,IFERROR(LOOKUP(2,1/('Milho 2ª safra'!$E35:INDEX('Milho 2ª safra'!$E35:$Z35,MIN(AY$6-$E$3,22))&lt;&gt;""),'Milho 2ª safra'!$E35:INDEX('Milho 2ª safra'!$E35:$Z35,MIN(AY$6-$E$3,22))),0))-IF($G$2,0,IF((AY$6-$G$3)&lt;1,0,IFERROR(LOOKUP(2,1/('Milho 2ª safra'!$E35:INDEX('Milho 2ª safra'!$E35:$Z35,MIN(AY$6-$G$3,22))&lt;&gt;""),'Milho 2ª safra'!$E35:INDEX('Milho 2ª safra'!$E35:$Z35,MIN(AY$6-$G$3,22))),0)))))</f>
        <v>0</v>
      </c>
      <c r="AZ37" s="27" t="n">
        <f aca="false">IF(COUNT('Milho 2ª safra'!$E35:$Z35)=0,0,MAX(0,IF((AZ$6-$E$3)&lt;1,0,IFERROR(LOOKUP(2,1/('Milho 2ª safra'!$E35:INDEX('Milho 2ª safra'!$E35:$Z35,MIN(AZ$6-$E$3,22))&lt;&gt;""),'Milho 2ª safra'!$E35:INDEX('Milho 2ª safra'!$E35:$Z35,MIN(AZ$6-$E$3,22))),0))-IF($G$2,0,IF((AZ$6-$G$3)&lt;1,0,IFERROR(LOOKUP(2,1/('Milho 2ª safra'!$E35:INDEX('Milho 2ª safra'!$E35:$Z35,MIN(AZ$6-$G$3,22))&lt;&gt;""),'Milho 2ª safra'!$E35:INDEX('Milho 2ª safra'!$E35:$Z35,MIN(AZ$6-$G$3,22))),0)))))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IF(COUNT('Milho 2ª safra'!$E36:$Z36)&gt;0,N('Milho 2ª safra'!$D36),0)</f>
        <v>0</v>
      </c>
      <c r="E38" s="27" t="n">
        <f aca="false">IF(COUNT('Milho 2ª safra'!$E36:$Z36)=0,0,MAX(0,IF((E$6-$E$3)&lt;1,0,IFERROR(LOOKUP(2,1/('Milho 2ª safra'!$E36:INDEX('Milho 2ª safra'!$E36:$Z36,MIN(E$6-$E$3,22))&lt;&gt;""),'Milho 2ª safra'!$E36:INDEX('Milho 2ª safra'!$E36:$Z36,MIN(E$6-$E$3,22))),0))-IF($G$2,0,IF((E$6-$G$3)&lt;1,0,IFERROR(LOOKUP(2,1/('Milho 2ª safra'!$E36:INDEX('Milho 2ª safra'!$E36:$Z36,MIN(E$6-$G$3,22))&lt;&gt;""),'Milho 2ª safra'!$E36:INDEX('Milho 2ª safra'!$E36:$Z36,MIN(E$6-$G$3,22))),0)))))</f>
        <v>0</v>
      </c>
      <c r="F38" s="27" t="n">
        <f aca="false">IF(COUNT('Milho 2ª safra'!$E36:$Z36)=0,0,MAX(0,IF((F$6-$E$3)&lt;1,0,IFERROR(LOOKUP(2,1/('Milho 2ª safra'!$E36:INDEX('Milho 2ª safra'!$E36:$Z36,MIN(F$6-$E$3,22))&lt;&gt;""),'Milho 2ª safra'!$E36:INDEX('Milho 2ª safra'!$E36:$Z36,MIN(F$6-$E$3,22))),0))-IF($G$2,0,IF((F$6-$G$3)&lt;1,0,IFERROR(LOOKUP(2,1/('Milho 2ª safra'!$E36:INDEX('Milho 2ª safra'!$E36:$Z36,MIN(F$6-$G$3,22))&lt;&gt;""),'Milho 2ª safra'!$E36:INDEX('Milho 2ª safra'!$E36:$Z36,MIN(F$6-$G$3,22))),0)))))</f>
        <v>0</v>
      </c>
      <c r="G38" s="27" t="n">
        <f aca="false">IF(COUNT('Milho 2ª safra'!$E36:$Z36)=0,0,MAX(0,IF((G$6-$E$3)&lt;1,0,IFERROR(LOOKUP(2,1/('Milho 2ª safra'!$E36:INDEX('Milho 2ª safra'!$E36:$Z36,MIN(G$6-$E$3,22))&lt;&gt;""),'Milho 2ª safra'!$E36:INDEX('Milho 2ª safra'!$E36:$Z36,MIN(G$6-$E$3,22))),0))-IF($G$2,0,IF((G$6-$G$3)&lt;1,0,IFERROR(LOOKUP(2,1/('Milho 2ª safra'!$E36:INDEX('Milho 2ª safra'!$E36:$Z36,MIN(G$6-$G$3,22))&lt;&gt;""),'Milho 2ª safra'!$E36:INDEX('Milho 2ª safra'!$E36:$Z36,MIN(G$6-$G$3,22))),0)))))</f>
        <v>0</v>
      </c>
      <c r="H38" s="27" t="n">
        <f aca="false">IF(COUNT('Milho 2ª safra'!$E36:$Z36)=0,0,MAX(0,IF((H$6-$E$3)&lt;1,0,IFERROR(LOOKUP(2,1/('Milho 2ª safra'!$E36:INDEX('Milho 2ª safra'!$E36:$Z36,MIN(H$6-$E$3,22))&lt;&gt;""),'Milho 2ª safra'!$E36:INDEX('Milho 2ª safra'!$E36:$Z36,MIN(H$6-$E$3,22))),0))-IF($G$2,0,IF((H$6-$G$3)&lt;1,0,IFERROR(LOOKUP(2,1/('Milho 2ª safra'!$E36:INDEX('Milho 2ª safra'!$E36:$Z36,MIN(H$6-$G$3,22))&lt;&gt;""),'Milho 2ª safra'!$E36:INDEX('Milho 2ª safra'!$E36:$Z36,MIN(H$6-$G$3,22))),0)))))</f>
        <v>0</v>
      </c>
      <c r="I38" s="27" t="n">
        <f aca="false">IF(COUNT('Milho 2ª safra'!$E36:$Z36)=0,0,MAX(0,IF((I$6-$E$3)&lt;1,0,IFERROR(LOOKUP(2,1/('Milho 2ª safra'!$E36:INDEX('Milho 2ª safra'!$E36:$Z36,MIN(I$6-$E$3,22))&lt;&gt;""),'Milho 2ª safra'!$E36:INDEX('Milho 2ª safra'!$E36:$Z36,MIN(I$6-$E$3,22))),0))-IF($G$2,0,IF((I$6-$G$3)&lt;1,0,IFERROR(LOOKUP(2,1/('Milho 2ª safra'!$E36:INDEX('Milho 2ª safra'!$E36:$Z36,MIN(I$6-$G$3,22))&lt;&gt;""),'Milho 2ª safra'!$E36:INDEX('Milho 2ª safra'!$E36:$Z36,MIN(I$6-$G$3,22))),0)))))</f>
        <v>0</v>
      </c>
      <c r="J38" s="27" t="n">
        <f aca="false">IF(COUNT('Milho 2ª safra'!$E36:$Z36)=0,0,MAX(0,IF((J$6-$E$3)&lt;1,0,IFERROR(LOOKUP(2,1/('Milho 2ª safra'!$E36:INDEX('Milho 2ª safra'!$E36:$Z36,MIN(J$6-$E$3,22))&lt;&gt;""),'Milho 2ª safra'!$E36:INDEX('Milho 2ª safra'!$E36:$Z36,MIN(J$6-$E$3,22))),0))-IF($G$2,0,IF((J$6-$G$3)&lt;1,0,IFERROR(LOOKUP(2,1/('Milho 2ª safra'!$E36:INDEX('Milho 2ª safra'!$E36:$Z36,MIN(J$6-$G$3,22))&lt;&gt;""),'Milho 2ª safra'!$E36:INDEX('Milho 2ª safra'!$E36:$Z36,MIN(J$6-$G$3,22))),0)))))</f>
        <v>0</v>
      </c>
      <c r="K38" s="27" t="n">
        <f aca="false">IF(COUNT('Milho 2ª safra'!$E36:$Z36)=0,0,MAX(0,IF((K$6-$E$3)&lt;1,0,IFERROR(LOOKUP(2,1/('Milho 2ª safra'!$E36:INDEX('Milho 2ª safra'!$E36:$Z36,MIN(K$6-$E$3,22))&lt;&gt;""),'Milho 2ª safra'!$E36:INDEX('Milho 2ª safra'!$E36:$Z36,MIN(K$6-$E$3,22))),0))-IF($G$2,0,IF((K$6-$G$3)&lt;1,0,IFERROR(LOOKUP(2,1/('Milho 2ª safra'!$E36:INDEX('Milho 2ª safra'!$E36:$Z36,MIN(K$6-$G$3,22))&lt;&gt;""),'Milho 2ª safra'!$E36:INDEX('Milho 2ª safra'!$E36:$Z36,MIN(K$6-$G$3,22))),0)))))</f>
        <v>0</v>
      </c>
      <c r="L38" s="27" t="n">
        <f aca="false">IF(COUNT('Milho 2ª safra'!$E36:$Z36)=0,0,MAX(0,IF((L$6-$E$3)&lt;1,0,IFERROR(LOOKUP(2,1/('Milho 2ª safra'!$E36:INDEX('Milho 2ª safra'!$E36:$Z36,MIN(L$6-$E$3,22))&lt;&gt;""),'Milho 2ª safra'!$E36:INDEX('Milho 2ª safra'!$E36:$Z36,MIN(L$6-$E$3,22))),0))-IF($G$2,0,IF((L$6-$G$3)&lt;1,0,IFERROR(LOOKUP(2,1/('Milho 2ª safra'!$E36:INDEX('Milho 2ª safra'!$E36:$Z36,MIN(L$6-$G$3,22))&lt;&gt;""),'Milho 2ª safra'!$E36:INDEX('Milho 2ª safra'!$E36:$Z36,MIN(L$6-$G$3,22))),0)))))</f>
        <v>0</v>
      </c>
      <c r="M38" s="27" t="n">
        <f aca="false">IF(COUNT('Milho 2ª safra'!$E36:$Z36)=0,0,MAX(0,IF((M$6-$E$3)&lt;1,0,IFERROR(LOOKUP(2,1/('Milho 2ª safra'!$E36:INDEX('Milho 2ª safra'!$E36:$Z36,MIN(M$6-$E$3,22))&lt;&gt;""),'Milho 2ª safra'!$E36:INDEX('Milho 2ª safra'!$E36:$Z36,MIN(M$6-$E$3,22))),0))-IF($G$2,0,IF((M$6-$G$3)&lt;1,0,IFERROR(LOOKUP(2,1/('Milho 2ª safra'!$E36:INDEX('Milho 2ª safra'!$E36:$Z36,MIN(M$6-$G$3,22))&lt;&gt;""),'Milho 2ª safra'!$E36:INDEX('Milho 2ª safra'!$E36:$Z36,MIN(M$6-$G$3,22))),0)))))</f>
        <v>0</v>
      </c>
      <c r="N38" s="27" t="n">
        <f aca="false">IF(COUNT('Milho 2ª safra'!$E36:$Z36)=0,0,MAX(0,IF((N$6-$E$3)&lt;1,0,IFERROR(LOOKUP(2,1/('Milho 2ª safra'!$E36:INDEX('Milho 2ª safra'!$E36:$Z36,MIN(N$6-$E$3,22))&lt;&gt;""),'Milho 2ª safra'!$E36:INDEX('Milho 2ª safra'!$E36:$Z36,MIN(N$6-$E$3,22))),0))-IF($G$2,0,IF((N$6-$G$3)&lt;1,0,IFERROR(LOOKUP(2,1/('Milho 2ª safra'!$E36:INDEX('Milho 2ª safra'!$E36:$Z36,MIN(N$6-$G$3,22))&lt;&gt;""),'Milho 2ª safra'!$E36:INDEX('Milho 2ª safra'!$E36:$Z36,MIN(N$6-$G$3,22))),0)))))</f>
        <v>0</v>
      </c>
      <c r="O38" s="27" t="n">
        <f aca="false">IF(COUNT('Milho 2ª safra'!$E36:$Z36)=0,0,MAX(0,IF((O$6-$E$3)&lt;1,0,IFERROR(LOOKUP(2,1/('Milho 2ª safra'!$E36:INDEX('Milho 2ª safra'!$E36:$Z36,MIN(O$6-$E$3,22))&lt;&gt;""),'Milho 2ª safra'!$E36:INDEX('Milho 2ª safra'!$E36:$Z36,MIN(O$6-$E$3,22))),0))-IF($G$2,0,IF((O$6-$G$3)&lt;1,0,IFERROR(LOOKUP(2,1/('Milho 2ª safra'!$E36:INDEX('Milho 2ª safra'!$E36:$Z36,MIN(O$6-$G$3,22))&lt;&gt;""),'Milho 2ª safra'!$E36:INDEX('Milho 2ª safra'!$E36:$Z36,MIN(O$6-$G$3,22))),0)))))</f>
        <v>0</v>
      </c>
      <c r="P38" s="27" t="n">
        <f aca="false">IF(COUNT('Milho 2ª safra'!$E36:$Z36)=0,0,MAX(0,IF((P$6-$E$3)&lt;1,0,IFERROR(LOOKUP(2,1/('Milho 2ª safra'!$E36:INDEX('Milho 2ª safra'!$E36:$Z36,MIN(P$6-$E$3,22))&lt;&gt;""),'Milho 2ª safra'!$E36:INDEX('Milho 2ª safra'!$E36:$Z36,MIN(P$6-$E$3,22))),0))-IF($G$2,0,IF((P$6-$G$3)&lt;1,0,IFERROR(LOOKUP(2,1/('Milho 2ª safra'!$E36:INDEX('Milho 2ª safra'!$E36:$Z36,MIN(P$6-$G$3,22))&lt;&gt;""),'Milho 2ª safra'!$E36:INDEX('Milho 2ª safra'!$E36:$Z36,MIN(P$6-$G$3,22))),0)))))</f>
        <v>0</v>
      </c>
      <c r="Q38" s="27" t="n">
        <f aca="false">IF(COUNT('Milho 2ª safra'!$E36:$Z36)=0,0,MAX(0,IF((Q$6-$E$3)&lt;1,0,IFERROR(LOOKUP(2,1/('Milho 2ª safra'!$E36:INDEX('Milho 2ª safra'!$E36:$Z36,MIN(Q$6-$E$3,22))&lt;&gt;""),'Milho 2ª safra'!$E36:INDEX('Milho 2ª safra'!$E36:$Z36,MIN(Q$6-$E$3,22))),0))-IF($G$2,0,IF((Q$6-$G$3)&lt;1,0,IFERROR(LOOKUP(2,1/('Milho 2ª safra'!$E36:INDEX('Milho 2ª safra'!$E36:$Z36,MIN(Q$6-$G$3,22))&lt;&gt;""),'Milho 2ª safra'!$E36:INDEX('Milho 2ª safra'!$E36:$Z36,MIN(Q$6-$G$3,22))),0)))))</f>
        <v>0</v>
      </c>
      <c r="R38" s="27" t="n">
        <f aca="false">IF(COUNT('Milho 2ª safra'!$E36:$Z36)=0,0,MAX(0,IF((R$6-$E$3)&lt;1,0,IFERROR(LOOKUP(2,1/('Milho 2ª safra'!$E36:INDEX('Milho 2ª safra'!$E36:$Z36,MIN(R$6-$E$3,22))&lt;&gt;""),'Milho 2ª safra'!$E36:INDEX('Milho 2ª safra'!$E36:$Z36,MIN(R$6-$E$3,22))),0))-IF($G$2,0,IF((R$6-$G$3)&lt;1,0,IFERROR(LOOKUP(2,1/('Milho 2ª safra'!$E36:INDEX('Milho 2ª safra'!$E36:$Z36,MIN(R$6-$G$3,22))&lt;&gt;""),'Milho 2ª safra'!$E36:INDEX('Milho 2ª safra'!$E36:$Z36,MIN(R$6-$G$3,22))),0)))))</f>
        <v>0</v>
      </c>
      <c r="S38" s="27" t="n">
        <f aca="false">IF(COUNT('Milho 2ª safra'!$E36:$Z36)=0,0,MAX(0,IF((S$6-$E$3)&lt;1,0,IFERROR(LOOKUP(2,1/('Milho 2ª safra'!$E36:INDEX('Milho 2ª safra'!$E36:$Z36,MIN(S$6-$E$3,22))&lt;&gt;""),'Milho 2ª safra'!$E36:INDEX('Milho 2ª safra'!$E36:$Z36,MIN(S$6-$E$3,22))),0))-IF($G$2,0,IF((S$6-$G$3)&lt;1,0,IFERROR(LOOKUP(2,1/('Milho 2ª safra'!$E36:INDEX('Milho 2ª safra'!$E36:$Z36,MIN(S$6-$G$3,22))&lt;&gt;""),'Milho 2ª safra'!$E36:INDEX('Milho 2ª safra'!$E36:$Z36,MIN(S$6-$G$3,22))),0)))))</f>
        <v>0</v>
      </c>
      <c r="T38" s="27" t="n">
        <f aca="false">IF(COUNT('Milho 2ª safra'!$E36:$Z36)=0,0,MAX(0,IF((T$6-$E$3)&lt;1,0,IFERROR(LOOKUP(2,1/('Milho 2ª safra'!$E36:INDEX('Milho 2ª safra'!$E36:$Z36,MIN(T$6-$E$3,22))&lt;&gt;""),'Milho 2ª safra'!$E36:INDEX('Milho 2ª safra'!$E36:$Z36,MIN(T$6-$E$3,22))),0))-IF($G$2,0,IF((T$6-$G$3)&lt;1,0,IFERROR(LOOKUP(2,1/('Milho 2ª safra'!$E36:INDEX('Milho 2ª safra'!$E36:$Z36,MIN(T$6-$G$3,22))&lt;&gt;""),'Milho 2ª safra'!$E36:INDEX('Milho 2ª safra'!$E36:$Z36,MIN(T$6-$G$3,22))),0)))))</f>
        <v>0</v>
      </c>
      <c r="U38" s="27" t="n">
        <f aca="false">IF(COUNT('Milho 2ª safra'!$E36:$Z36)=0,0,MAX(0,IF((U$6-$E$3)&lt;1,0,IFERROR(LOOKUP(2,1/('Milho 2ª safra'!$E36:INDEX('Milho 2ª safra'!$E36:$Z36,MIN(U$6-$E$3,22))&lt;&gt;""),'Milho 2ª safra'!$E36:INDEX('Milho 2ª safra'!$E36:$Z36,MIN(U$6-$E$3,22))),0))-IF($G$2,0,IF((U$6-$G$3)&lt;1,0,IFERROR(LOOKUP(2,1/('Milho 2ª safra'!$E36:INDEX('Milho 2ª safra'!$E36:$Z36,MIN(U$6-$G$3,22))&lt;&gt;""),'Milho 2ª safra'!$E36:INDEX('Milho 2ª safra'!$E36:$Z36,MIN(U$6-$G$3,22))),0)))))</f>
        <v>0</v>
      </c>
      <c r="V38" s="27" t="n">
        <f aca="false">IF(COUNT('Milho 2ª safra'!$E36:$Z36)=0,0,MAX(0,IF((V$6-$E$3)&lt;1,0,IFERROR(LOOKUP(2,1/('Milho 2ª safra'!$E36:INDEX('Milho 2ª safra'!$E36:$Z36,MIN(V$6-$E$3,22))&lt;&gt;""),'Milho 2ª safra'!$E36:INDEX('Milho 2ª safra'!$E36:$Z36,MIN(V$6-$E$3,22))),0))-IF($G$2,0,IF((V$6-$G$3)&lt;1,0,IFERROR(LOOKUP(2,1/('Milho 2ª safra'!$E36:INDEX('Milho 2ª safra'!$E36:$Z36,MIN(V$6-$G$3,22))&lt;&gt;""),'Milho 2ª safra'!$E36:INDEX('Milho 2ª safra'!$E36:$Z36,MIN(V$6-$G$3,22))),0)))))</f>
        <v>0</v>
      </c>
      <c r="W38" s="27" t="n">
        <f aca="false">IF(COUNT('Milho 2ª safra'!$E36:$Z36)=0,0,MAX(0,IF((W$6-$E$3)&lt;1,0,IFERROR(LOOKUP(2,1/('Milho 2ª safra'!$E36:INDEX('Milho 2ª safra'!$E36:$Z36,MIN(W$6-$E$3,22))&lt;&gt;""),'Milho 2ª safra'!$E36:INDEX('Milho 2ª safra'!$E36:$Z36,MIN(W$6-$E$3,22))),0))-IF($G$2,0,IF((W$6-$G$3)&lt;1,0,IFERROR(LOOKUP(2,1/('Milho 2ª safra'!$E36:INDEX('Milho 2ª safra'!$E36:$Z36,MIN(W$6-$G$3,22))&lt;&gt;""),'Milho 2ª safra'!$E36:INDEX('Milho 2ª safra'!$E36:$Z36,MIN(W$6-$G$3,22))),0)))))</f>
        <v>0</v>
      </c>
      <c r="X38" s="27" t="n">
        <f aca="false">IF(COUNT('Milho 2ª safra'!$E36:$Z36)=0,0,MAX(0,IF((X$6-$E$3)&lt;1,0,IFERROR(LOOKUP(2,1/('Milho 2ª safra'!$E36:INDEX('Milho 2ª safra'!$E36:$Z36,MIN(X$6-$E$3,22))&lt;&gt;""),'Milho 2ª safra'!$E36:INDEX('Milho 2ª safra'!$E36:$Z36,MIN(X$6-$E$3,22))),0))-IF($G$2,0,IF((X$6-$G$3)&lt;1,0,IFERROR(LOOKUP(2,1/('Milho 2ª safra'!$E36:INDEX('Milho 2ª safra'!$E36:$Z36,MIN(X$6-$G$3,22))&lt;&gt;""),'Milho 2ª safra'!$E36:INDEX('Milho 2ª safra'!$E36:$Z36,MIN(X$6-$G$3,22))),0)))))</f>
        <v>0</v>
      </c>
      <c r="Y38" s="27" t="n">
        <f aca="false">IF(COUNT('Milho 2ª safra'!$E36:$Z36)=0,0,MAX(0,IF((Y$6-$E$3)&lt;1,0,IFERROR(LOOKUP(2,1/('Milho 2ª safra'!$E36:INDEX('Milho 2ª safra'!$E36:$Z36,MIN(Y$6-$E$3,22))&lt;&gt;""),'Milho 2ª safra'!$E36:INDEX('Milho 2ª safra'!$E36:$Z36,MIN(Y$6-$E$3,22))),0))-IF($G$2,0,IF((Y$6-$G$3)&lt;1,0,IFERROR(LOOKUP(2,1/('Milho 2ª safra'!$E36:INDEX('Milho 2ª safra'!$E36:$Z36,MIN(Y$6-$G$3,22))&lt;&gt;""),'Milho 2ª safra'!$E36:INDEX('Milho 2ª safra'!$E36:$Z36,MIN(Y$6-$G$3,22))),0)))))</f>
        <v>0</v>
      </c>
      <c r="Z38" s="27" t="n">
        <f aca="false">IF(COUNT('Milho 2ª safra'!$E36:$Z36)=0,0,MAX(0,IF((Z$6-$E$3)&lt;1,0,IFERROR(LOOKUP(2,1/('Milho 2ª safra'!$E36:INDEX('Milho 2ª safra'!$E36:$Z36,MIN(Z$6-$E$3,22))&lt;&gt;""),'Milho 2ª safra'!$E36:INDEX('Milho 2ª safra'!$E36:$Z36,MIN(Z$6-$E$3,22))),0))-IF($G$2,0,IF((Z$6-$G$3)&lt;1,0,IFERROR(LOOKUP(2,1/('Milho 2ª safra'!$E36:INDEX('Milho 2ª safra'!$E36:$Z36,MIN(Z$6-$G$3,22))&lt;&gt;""),'Milho 2ª safra'!$E36:INDEX('Milho 2ª safra'!$E36:$Z36,MIN(Z$6-$G$3,22))),0)))))</f>
        <v>0</v>
      </c>
      <c r="AA38" s="27" t="n">
        <f aca="false">IF(COUNT('Milho 2ª safra'!$E36:$Z36)=0,0,MAX(0,IF((AA$6-$E$3)&lt;1,0,IFERROR(LOOKUP(2,1/('Milho 2ª safra'!$E36:INDEX('Milho 2ª safra'!$E36:$Z36,MIN(AA$6-$E$3,22))&lt;&gt;""),'Milho 2ª safra'!$E36:INDEX('Milho 2ª safra'!$E36:$Z36,MIN(AA$6-$E$3,22))),0))-IF($G$2,0,IF((AA$6-$G$3)&lt;1,0,IFERROR(LOOKUP(2,1/('Milho 2ª safra'!$E36:INDEX('Milho 2ª safra'!$E36:$Z36,MIN(AA$6-$G$3,22))&lt;&gt;""),'Milho 2ª safra'!$E36:INDEX('Milho 2ª safra'!$E36:$Z36,MIN(AA$6-$G$3,22))),0)))))</f>
        <v>0</v>
      </c>
      <c r="AB38" s="27" t="n">
        <f aca="false">IF(COUNT('Milho 2ª safra'!$E36:$Z36)=0,0,MAX(0,IF((AB$6-$E$3)&lt;1,0,IFERROR(LOOKUP(2,1/('Milho 2ª safra'!$E36:INDEX('Milho 2ª safra'!$E36:$Z36,MIN(AB$6-$E$3,22))&lt;&gt;""),'Milho 2ª safra'!$E36:INDEX('Milho 2ª safra'!$E36:$Z36,MIN(AB$6-$E$3,22))),0))-IF($G$2,0,IF((AB$6-$G$3)&lt;1,0,IFERROR(LOOKUP(2,1/('Milho 2ª safra'!$E36:INDEX('Milho 2ª safra'!$E36:$Z36,MIN(AB$6-$G$3,22))&lt;&gt;""),'Milho 2ª safra'!$E36:INDEX('Milho 2ª safra'!$E36:$Z36,MIN(AB$6-$G$3,22))),0)))))</f>
        <v>0</v>
      </c>
      <c r="AC38" s="27" t="n">
        <f aca="false">IF(COUNT('Milho 2ª safra'!$E36:$Z36)=0,0,MAX(0,IF((AC$6-$E$3)&lt;1,0,IFERROR(LOOKUP(2,1/('Milho 2ª safra'!$E36:INDEX('Milho 2ª safra'!$E36:$Z36,MIN(AC$6-$E$3,22))&lt;&gt;""),'Milho 2ª safra'!$E36:INDEX('Milho 2ª safra'!$E36:$Z36,MIN(AC$6-$E$3,22))),0))-IF($G$2,0,IF((AC$6-$G$3)&lt;1,0,IFERROR(LOOKUP(2,1/('Milho 2ª safra'!$E36:INDEX('Milho 2ª safra'!$E36:$Z36,MIN(AC$6-$G$3,22))&lt;&gt;""),'Milho 2ª safra'!$E36:INDEX('Milho 2ª safra'!$E36:$Z36,MIN(AC$6-$G$3,22))),0)))))</f>
        <v>0</v>
      </c>
      <c r="AD38" s="27" t="n">
        <f aca="false">IF(COUNT('Milho 2ª safra'!$E36:$Z36)=0,0,MAX(0,IF((AD$6-$E$3)&lt;1,0,IFERROR(LOOKUP(2,1/('Milho 2ª safra'!$E36:INDEX('Milho 2ª safra'!$E36:$Z36,MIN(AD$6-$E$3,22))&lt;&gt;""),'Milho 2ª safra'!$E36:INDEX('Milho 2ª safra'!$E36:$Z36,MIN(AD$6-$E$3,22))),0))-IF($G$2,0,IF((AD$6-$G$3)&lt;1,0,IFERROR(LOOKUP(2,1/('Milho 2ª safra'!$E36:INDEX('Milho 2ª safra'!$E36:$Z36,MIN(AD$6-$G$3,22))&lt;&gt;""),'Milho 2ª safra'!$E36:INDEX('Milho 2ª safra'!$E36:$Z36,MIN(AD$6-$G$3,22))),0)))))</f>
        <v>0</v>
      </c>
      <c r="AE38" s="27" t="n">
        <f aca="false">IF(COUNT('Milho 2ª safra'!$E36:$Z36)=0,0,MAX(0,IF((AE$6-$E$3)&lt;1,0,IFERROR(LOOKUP(2,1/('Milho 2ª safra'!$E36:INDEX('Milho 2ª safra'!$E36:$Z36,MIN(AE$6-$E$3,22))&lt;&gt;""),'Milho 2ª safra'!$E36:INDEX('Milho 2ª safra'!$E36:$Z36,MIN(AE$6-$E$3,22))),0))-IF($G$2,0,IF((AE$6-$G$3)&lt;1,0,IFERROR(LOOKUP(2,1/('Milho 2ª safra'!$E36:INDEX('Milho 2ª safra'!$E36:$Z36,MIN(AE$6-$G$3,22))&lt;&gt;""),'Milho 2ª safra'!$E36:INDEX('Milho 2ª safra'!$E36:$Z36,MIN(AE$6-$G$3,22))),0)))))</f>
        <v>0</v>
      </c>
      <c r="AF38" s="27" t="n">
        <f aca="false">IF(COUNT('Milho 2ª safra'!$E36:$Z36)=0,0,MAX(0,IF((AF$6-$E$3)&lt;1,0,IFERROR(LOOKUP(2,1/('Milho 2ª safra'!$E36:INDEX('Milho 2ª safra'!$E36:$Z36,MIN(AF$6-$E$3,22))&lt;&gt;""),'Milho 2ª safra'!$E36:INDEX('Milho 2ª safra'!$E36:$Z36,MIN(AF$6-$E$3,22))),0))-IF($G$2,0,IF((AF$6-$G$3)&lt;1,0,IFERROR(LOOKUP(2,1/('Milho 2ª safra'!$E36:INDEX('Milho 2ª safra'!$E36:$Z36,MIN(AF$6-$G$3,22))&lt;&gt;""),'Milho 2ª safra'!$E36:INDEX('Milho 2ª safra'!$E36:$Z36,MIN(AF$6-$G$3,22))),0)))))</f>
        <v>0</v>
      </c>
      <c r="AG38" s="27" t="n">
        <f aca="false">IF(COUNT('Milho 2ª safra'!$E36:$Z36)=0,0,MAX(0,IF((AG$6-$E$3)&lt;1,0,IFERROR(LOOKUP(2,1/('Milho 2ª safra'!$E36:INDEX('Milho 2ª safra'!$E36:$Z36,MIN(AG$6-$E$3,22))&lt;&gt;""),'Milho 2ª safra'!$E36:INDEX('Milho 2ª safra'!$E36:$Z36,MIN(AG$6-$E$3,22))),0))-IF($G$2,0,IF((AG$6-$G$3)&lt;1,0,IFERROR(LOOKUP(2,1/('Milho 2ª safra'!$E36:INDEX('Milho 2ª safra'!$E36:$Z36,MIN(AG$6-$G$3,22))&lt;&gt;""),'Milho 2ª safra'!$E36:INDEX('Milho 2ª safra'!$E36:$Z36,MIN(AG$6-$G$3,22))),0)))))</f>
        <v>0</v>
      </c>
      <c r="AH38" s="27" t="n">
        <f aca="false">IF(COUNT('Milho 2ª safra'!$E36:$Z36)=0,0,MAX(0,IF((AH$6-$E$3)&lt;1,0,IFERROR(LOOKUP(2,1/('Milho 2ª safra'!$E36:INDEX('Milho 2ª safra'!$E36:$Z36,MIN(AH$6-$E$3,22))&lt;&gt;""),'Milho 2ª safra'!$E36:INDEX('Milho 2ª safra'!$E36:$Z36,MIN(AH$6-$E$3,22))),0))-IF($G$2,0,IF((AH$6-$G$3)&lt;1,0,IFERROR(LOOKUP(2,1/('Milho 2ª safra'!$E36:INDEX('Milho 2ª safra'!$E36:$Z36,MIN(AH$6-$G$3,22))&lt;&gt;""),'Milho 2ª safra'!$E36:INDEX('Milho 2ª safra'!$E36:$Z36,MIN(AH$6-$G$3,22))),0)))))</f>
        <v>0</v>
      </c>
      <c r="AI38" s="27" t="n">
        <f aca="false">IF(COUNT('Milho 2ª safra'!$E36:$Z36)=0,0,MAX(0,IF((AI$6-$E$3)&lt;1,0,IFERROR(LOOKUP(2,1/('Milho 2ª safra'!$E36:INDEX('Milho 2ª safra'!$E36:$Z36,MIN(AI$6-$E$3,22))&lt;&gt;""),'Milho 2ª safra'!$E36:INDEX('Milho 2ª safra'!$E36:$Z36,MIN(AI$6-$E$3,22))),0))-IF($G$2,0,IF((AI$6-$G$3)&lt;1,0,IFERROR(LOOKUP(2,1/('Milho 2ª safra'!$E36:INDEX('Milho 2ª safra'!$E36:$Z36,MIN(AI$6-$G$3,22))&lt;&gt;""),'Milho 2ª safra'!$E36:INDEX('Milho 2ª safra'!$E36:$Z36,MIN(AI$6-$G$3,22))),0)))))</f>
        <v>0</v>
      </c>
      <c r="AJ38" s="27" t="n">
        <f aca="false">IF(COUNT('Milho 2ª safra'!$E36:$Z36)=0,0,MAX(0,IF((AJ$6-$E$3)&lt;1,0,IFERROR(LOOKUP(2,1/('Milho 2ª safra'!$E36:INDEX('Milho 2ª safra'!$E36:$Z36,MIN(AJ$6-$E$3,22))&lt;&gt;""),'Milho 2ª safra'!$E36:INDEX('Milho 2ª safra'!$E36:$Z36,MIN(AJ$6-$E$3,22))),0))-IF($G$2,0,IF((AJ$6-$G$3)&lt;1,0,IFERROR(LOOKUP(2,1/('Milho 2ª safra'!$E36:INDEX('Milho 2ª safra'!$E36:$Z36,MIN(AJ$6-$G$3,22))&lt;&gt;""),'Milho 2ª safra'!$E36:INDEX('Milho 2ª safra'!$E36:$Z36,MIN(AJ$6-$G$3,22))),0)))))</f>
        <v>0</v>
      </c>
      <c r="AK38" s="27" t="n">
        <f aca="false">IF(COUNT('Milho 2ª safra'!$E36:$Z36)=0,0,MAX(0,IF((AK$6-$E$3)&lt;1,0,IFERROR(LOOKUP(2,1/('Milho 2ª safra'!$E36:INDEX('Milho 2ª safra'!$E36:$Z36,MIN(AK$6-$E$3,22))&lt;&gt;""),'Milho 2ª safra'!$E36:INDEX('Milho 2ª safra'!$E36:$Z36,MIN(AK$6-$E$3,22))),0))-IF($G$2,0,IF((AK$6-$G$3)&lt;1,0,IFERROR(LOOKUP(2,1/('Milho 2ª safra'!$E36:INDEX('Milho 2ª safra'!$E36:$Z36,MIN(AK$6-$G$3,22))&lt;&gt;""),'Milho 2ª safra'!$E36:INDEX('Milho 2ª safra'!$E36:$Z36,MIN(AK$6-$G$3,22))),0)))))</f>
        <v>0</v>
      </c>
      <c r="AL38" s="27" t="n">
        <f aca="false">IF(COUNT('Milho 2ª safra'!$E36:$Z36)=0,0,MAX(0,IF((AL$6-$E$3)&lt;1,0,IFERROR(LOOKUP(2,1/('Milho 2ª safra'!$E36:INDEX('Milho 2ª safra'!$E36:$Z36,MIN(AL$6-$E$3,22))&lt;&gt;""),'Milho 2ª safra'!$E36:INDEX('Milho 2ª safra'!$E36:$Z36,MIN(AL$6-$E$3,22))),0))-IF($G$2,0,IF((AL$6-$G$3)&lt;1,0,IFERROR(LOOKUP(2,1/('Milho 2ª safra'!$E36:INDEX('Milho 2ª safra'!$E36:$Z36,MIN(AL$6-$G$3,22))&lt;&gt;""),'Milho 2ª safra'!$E36:INDEX('Milho 2ª safra'!$E36:$Z36,MIN(AL$6-$G$3,22))),0)))))</f>
        <v>0</v>
      </c>
      <c r="AM38" s="27" t="n">
        <f aca="false">IF(COUNT('Milho 2ª safra'!$E36:$Z36)=0,0,MAX(0,IF((AM$6-$E$3)&lt;1,0,IFERROR(LOOKUP(2,1/('Milho 2ª safra'!$E36:INDEX('Milho 2ª safra'!$E36:$Z36,MIN(AM$6-$E$3,22))&lt;&gt;""),'Milho 2ª safra'!$E36:INDEX('Milho 2ª safra'!$E36:$Z36,MIN(AM$6-$E$3,22))),0))-IF($G$2,0,IF((AM$6-$G$3)&lt;1,0,IFERROR(LOOKUP(2,1/('Milho 2ª safra'!$E36:INDEX('Milho 2ª safra'!$E36:$Z36,MIN(AM$6-$G$3,22))&lt;&gt;""),'Milho 2ª safra'!$E36:INDEX('Milho 2ª safra'!$E36:$Z36,MIN(AM$6-$G$3,22))),0)))))</f>
        <v>0</v>
      </c>
      <c r="AN38" s="27" t="n">
        <f aca="false">IF(COUNT('Milho 2ª safra'!$E36:$Z36)=0,0,MAX(0,IF((AN$6-$E$3)&lt;1,0,IFERROR(LOOKUP(2,1/('Milho 2ª safra'!$E36:INDEX('Milho 2ª safra'!$E36:$Z36,MIN(AN$6-$E$3,22))&lt;&gt;""),'Milho 2ª safra'!$E36:INDEX('Milho 2ª safra'!$E36:$Z36,MIN(AN$6-$E$3,22))),0))-IF($G$2,0,IF((AN$6-$G$3)&lt;1,0,IFERROR(LOOKUP(2,1/('Milho 2ª safra'!$E36:INDEX('Milho 2ª safra'!$E36:$Z36,MIN(AN$6-$G$3,22))&lt;&gt;""),'Milho 2ª safra'!$E36:INDEX('Milho 2ª safra'!$E36:$Z36,MIN(AN$6-$G$3,22))),0)))))</f>
        <v>0</v>
      </c>
      <c r="AO38" s="27" t="n">
        <f aca="false">IF(COUNT('Milho 2ª safra'!$E36:$Z36)=0,0,MAX(0,IF((AO$6-$E$3)&lt;1,0,IFERROR(LOOKUP(2,1/('Milho 2ª safra'!$E36:INDEX('Milho 2ª safra'!$E36:$Z36,MIN(AO$6-$E$3,22))&lt;&gt;""),'Milho 2ª safra'!$E36:INDEX('Milho 2ª safra'!$E36:$Z36,MIN(AO$6-$E$3,22))),0))-IF($G$2,0,IF((AO$6-$G$3)&lt;1,0,IFERROR(LOOKUP(2,1/('Milho 2ª safra'!$E36:INDEX('Milho 2ª safra'!$E36:$Z36,MIN(AO$6-$G$3,22))&lt;&gt;""),'Milho 2ª safra'!$E36:INDEX('Milho 2ª safra'!$E36:$Z36,MIN(AO$6-$G$3,22))),0)))))</f>
        <v>0</v>
      </c>
      <c r="AP38" s="27" t="n">
        <f aca="false">IF(COUNT('Milho 2ª safra'!$E36:$Z36)=0,0,MAX(0,IF((AP$6-$E$3)&lt;1,0,IFERROR(LOOKUP(2,1/('Milho 2ª safra'!$E36:INDEX('Milho 2ª safra'!$E36:$Z36,MIN(AP$6-$E$3,22))&lt;&gt;""),'Milho 2ª safra'!$E36:INDEX('Milho 2ª safra'!$E36:$Z36,MIN(AP$6-$E$3,22))),0))-IF($G$2,0,IF((AP$6-$G$3)&lt;1,0,IFERROR(LOOKUP(2,1/('Milho 2ª safra'!$E36:INDEX('Milho 2ª safra'!$E36:$Z36,MIN(AP$6-$G$3,22))&lt;&gt;""),'Milho 2ª safra'!$E36:INDEX('Milho 2ª safra'!$E36:$Z36,MIN(AP$6-$G$3,22))),0)))))</f>
        <v>0</v>
      </c>
      <c r="AQ38" s="27" t="n">
        <f aca="false">IF(COUNT('Milho 2ª safra'!$E36:$Z36)=0,0,MAX(0,IF((AQ$6-$E$3)&lt;1,0,IFERROR(LOOKUP(2,1/('Milho 2ª safra'!$E36:INDEX('Milho 2ª safra'!$E36:$Z36,MIN(AQ$6-$E$3,22))&lt;&gt;""),'Milho 2ª safra'!$E36:INDEX('Milho 2ª safra'!$E36:$Z36,MIN(AQ$6-$E$3,22))),0))-IF($G$2,0,IF((AQ$6-$G$3)&lt;1,0,IFERROR(LOOKUP(2,1/('Milho 2ª safra'!$E36:INDEX('Milho 2ª safra'!$E36:$Z36,MIN(AQ$6-$G$3,22))&lt;&gt;""),'Milho 2ª safra'!$E36:INDEX('Milho 2ª safra'!$E36:$Z36,MIN(AQ$6-$G$3,22))),0)))))</f>
        <v>0</v>
      </c>
      <c r="AR38" s="27" t="n">
        <f aca="false">IF(COUNT('Milho 2ª safra'!$E36:$Z36)=0,0,MAX(0,IF((AR$6-$E$3)&lt;1,0,IFERROR(LOOKUP(2,1/('Milho 2ª safra'!$E36:INDEX('Milho 2ª safra'!$E36:$Z36,MIN(AR$6-$E$3,22))&lt;&gt;""),'Milho 2ª safra'!$E36:INDEX('Milho 2ª safra'!$E36:$Z36,MIN(AR$6-$E$3,22))),0))-IF($G$2,0,IF((AR$6-$G$3)&lt;1,0,IFERROR(LOOKUP(2,1/('Milho 2ª safra'!$E36:INDEX('Milho 2ª safra'!$E36:$Z36,MIN(AR$6-$G$3,22))&lt;&gt;""),'Milho 2ª safra'!$E36:INDEX('Milho 2ª safra'!$E36:$Z36,MIN(AR$6-$G$3,22))),0)))))</f>
        <v>0</v>
      </c>
      <c r="AS38" s="27" t="n">
        <f aca="false">IF(COUNT('Milho 2ª safra'!$E36:$Z36)=0,0,MAX(0,IF((AS$6-$E$3)&lt;1,0,IFERROR(LOOKUP(2,1/('Milho 2ª safra'!$E36:INDEX('Milho 2ª safra'!$E36:$Z36,MIN(AS$6-$E$3,22))&lt;&gt;""),'Milho 2ª safra'!$E36:INDEX('Milho 2ª safra'!$E36:$Z36,MIN(AS$6-$E$3,22))),0))-IF($G$2,0,IF((AS$6-$G$3)&lt;1,0,IFERROR(LOOKUP(2,1/('Milho 2ª safra'!$E36:INDEX('Milho 2ª safra'!$E36:$Z36,MIN(AS$6-$G$3,22))&lt;&gt;""),'Milho 2ª safra'!$E36:INDEX('Milho 2ª safra'!$E36:$Z36,MIN(AS$6-$G$3,22))),0)))))</f>
        <v>0</v>
      </c>
      <c r="AT38" s="27" t="n">
        <f aca="false">IF(COUNT('Milho 2ª safra'!$E36:$Z36)=0,0,MAX(0,IF((AT$6-$E$3)&lt;1,0,IFERROR(LOOKUP(2,1/('Milho 2ª safra'!$E36:INDEX('Milho 2ª safra'!$E36:$Z36,MIN(AT$6-$E$3,22))&lt;&gt;""),'Milho 2ª safra'!$E36:INDEX('Milho 2ª safra'!$E36:$Z36,MIN(AT$6-$E$3,22))),0))-IF($G$2,0,IF((AT$6-$G$3)&lt;1,0,IFERROR(LOOKUP(2,1/('Milho 2ª safra'!$E36:INDEX('Milho 2ª safra'!$E36:$Z36,MIN(AT$6-$G$3,22))&lt;&gt;""),'Milho 2ª safra'!$E36:INDEX('Milho 2ª safra'!$E36:$Z36,MIN(AT$6-$G$3,22))),0)))))</f>
        <v>0</v>
      </c>
      <c r="AU38" s="27" t="n">
        <f aca="false">IF(COUNT('Milho 2ª safra'!$E36:$Z36)=0,0,MAX(0,IF((AU$6-$E$3)&lt;1,0,IFERROR(LOOKUP(2,1/('Milho 2ª safra'!$E36:INDEX('Milho 2ª safra'!$E36:$Z36,MIN(AU$6-$E$3,22))&lt;&gt;""),'Milho 2ª safra'!$E36:INDEX('Milho 2ª safra'!$E36:$Z36,MIN(AU$6-$E$3,22))),0))-IF($G$2,0,IF((AU$6-$G$3)&lt;1,0,IFERROR(LOOKUP(2,1/('Milho 2ª safra'!$E36:INDEX('Milho 2ª safra'!$E36:$Z36,MIN(AU$6-$G$3,22))&lt;&gt;""),'Milho 2ª safra'!$E36:INDEX('Milho 2ª safra'!$E36:$Z36,MIN(AU$6-$G$3,22))),0)))))</f>
        <v>0</v>
      </c>
      <c r="AV38" s="27" t="n">
        <f aca="false">IF(COUNT('Milho 2ª safra'!$E36:$Z36)=0,0,MAX(0,IF((AV$6-$E$3)&lt;1,0,IFERROR(LOOKUP(2,1/('Milho 2ª safra'!$E36:INDEX('Milho 2ª safra'!$E36:$Z36,MIN(AV$6-$E$3,22))&lt;&gt;""),'Milho 2ª safra'!$E36:INDEX('Milho 2ª safra'!$E36:$Z36,MIN(AV$6-$E$3,22))),0))-IF($G$2,0,IF((AV$6-$G$3)&lt;1,0,IFERROR(LOOKUP(2,1/('Milho 2ª safra'!$E36:INDEX('Milho 2ª safra'!$E36:$Z36,MIN(AV$6-$G$3,22))&lt;&gt;""),'Milho 2ª safra'!$E36:INDEX('Milho 2ª safra'!$E36:$Z36,MIN(AV$6-$G$3,22))),0)))))</f>
        <v>0</v>
      </c>
      <c r="AW38" s="27" t="n">
        <f aca="false">IF(COUNT('Milho 2ª safra'!$E36:$Z36)=0,0,MAX(0,IF((AW$6-$E$3)&lt;1,0,IFERROR(LOOKUP(2,1/('Milho 2ª safra'!$E36:INDEX('Milho 2ª safra'!$E36:$Z36,MIN(AW$6-$E$3,22))&lt;&gt;""),'Milho 2ª safra'!$E36:INDEX('Milho 2ª safra'!$E36:$Z36,MIN(AW$6-$E$3,22))),0))-IF($G$2,0,IF((AW$6-$G$3)&lt;1,0,IFERROR(LOOKUP(2,1/('Milho 2ª safra'!$E36:INDEX('Milho 2ª safra'!$E36:$Z36,MIN(AW$6-$G$3,22))&lt;&gt;""),'Milho 2ª safra'!$E36:INDEX('Milho 2ª safra'!$E36:$Z36,MIN(AW$6-$G$3,22))),0)))))</f>
        <v>0</v>
      </c>
      <c r="AX38" s="27" t="n">
        <f aca="false">IF(COUNT('Milho 2ª safra'!$E36:$Z36)=0,0,MAX(0,IF((AX$6-$E$3)&lt;1,0,IFERROR(LOOKUP(2,1/('Milho 2ª safra'!$E36:INDEX('Milho 2ª safra'!$E36:$Z36,MIN(AX$6-$E$3,22))&lt;&gt;""),'Milho 2ª safra'!$E36:INDEX('Milho 2ª safra'!$E36:$Z36,MIN(AX$6-$E$3,22))),0))-IF($G$2,0,IF((AX$6-$G$3)&lt;1,0,IFERROR(LOOKUP(2,1/('Milho 2ª safra'!$E36:INDEX('Milho 2ª safra'!$E36:$Z36,MIN(AX$6-$G$3,22))&lt;&gt;""),'Milho 2ª safra'!$E36:INDEX('Milho 2ª safra'!$E36:$Z36,MIN(AX$6-$G$3,22))),0)))))</f>
        <v>0</v>
      </c>
      <c r="AY38" s="27" t="n">
        <f aca="false">IF(COUNT('Milho 2ª safra'!$E36:$Z36)=0,0,MAX(0,IF((AY$6-$E$3)&lt;1,0,IFERROR(LOOKUP(2,1/('Milho 2ª safra'!$E36:INDEX('Milho 2ª safra'!$E36:$Z36,MIN(AY$6-$E$3,22))&lt;&gt;""),'Milho 2ª safra'!$E36:INDEX('Milho 2ª safra'!$E36:$Z36,MIN(AY$6-$E$3,22))),0))-IF($G$2,0,IF((AY$6-$G$3)&lt;1,0,IFERROR(LOOKUP(2,1/('Milho 2ª safra'!$E36:INDEX('Milho 2ª safra'!$E36:$Z36,MIN(AY$6-$G$3,22))&lt;&gt;""),'Milho 2ª safra'!$E36:INDEX('Milho 2ª safra'!$E36:$Z36,MIN(AY$6-$G$3,22))),0)))))</f>
        <v>0</v>
      </c>
      <c r="AZ38" s="27" t="n">
        <f aca="false">IF(COUNT('Milho 2ª safra'!$E36:$Z36)=0,0,MAX(0,IF((AZ$6-$E$3)&lt;1,0,IFERROR(LOOKUP(2,1/('Milho 2ª safra'!$E36:INDEX('Milho 2ª safra'!$E36:$Z36,MIN(AZ$6-$E$3,22))&lt;&gt;""),'Milho 2ª safra'!$E36:INDEX('Milho 2ª safra'!$E36:$Z36,MIN(AZ$6-$E$3,22))),0))-IF($G$2,0,IF((AZ$6-$G$3)&lt;1,0,IFERROR(LOOKUP(2,1/('Milho 2ª safra'!$E36:INDEX('Milho 2ª safra'!$E36:$Z36,MIN(AZ$6-$G$3,22))&lt;&gt;""),'Milho 2ª safra'!$E36:INDEX('Milho 2ª safra'!$E36:$Z36,MIN(AZ$6-$G$3,22))),0)))))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IF(COUNT('Milho 2ª safra'!$E37:$Z37)&gt;0,N('Milho 2ª safra'!$D37),0)</f>
        <v>0</v>
      </c>
      <c r="E39" s="27" t="n">
        <f aca="false">IF(COUNT('Milho 2ª safra'!$E37:$Z37)=0,0,MAX(0,IF((E$6-$E$3)&lt;1,0,IFERROR(LOOKUP(2,1/('Milho 2ª safra'!$E37:INDEX('Milho 2ª safra'!$E37:$Z37,MIN(E$6-$E$3,22))&lt;&gt;""),'Milho 2ª safra'!$E37:INDEX('Milho 2ª safra'!$E37:$Z37,MIN(E$6-$E$3,22))),0))-IF($G$2,0,IF((E$6-$G$3)&lt;1,0,IFERROR(LOOKUP(2,1/('Milho 2ª safra'!$E37:INDEX('Milho 2ª safra'!$E37:$Z37,MIN(E$6-$G$3,22))&lt;&gt;""),'Milho 2ª safra'!$E37:INDEX('Milho 2ª safra'!$E37:$Z37,MIN(E$6-$G$3,22))),0)))))</f>
        <v>0</v>
      </c>
      <c r="F39" s="27" t="n">
        <f aca="false">IF(COUNT('Milho 2ª safra'!$E37:$Z37)=0,0,MAX(0,IF((F$6-$E$3)&lt;1,0,IFERROR(LOOKUP(2,1/('Milho 2ª safra'!$E37:INDEX('Milho 2ª safra'!$E37:$Z37,MIN(F$6-$E$3,22))&lt;&gt;""),'Milho 2ª safra'!$E37:INDEX('Milho 2ª safra'!$E37:$Z37,MIN(F$6-$E$3,22))),0))-IF($G$2,0,IF((F$6-$G$3)&lt;1,0,IFERROR(LOOKUP(2,1/('Milho 2ª safra'!$E37:INDEX('Milho 2ª safra'!$E37:$Z37,MIN(F$6-$G$3,22))&lt;&gt;""),'Milho 2ª safra'!$E37:INDEX('Milho 2ª safra'!$E37:$Z37,MIN(F$6-$G$3,22))),0)))))</f>
        <v>0</v>
      </c>
      <c r="G39" s="27" t="n">
        <f aca="false">IF(COUNT('Milho 2ª safra'!$E37:$Z37)=0,0,MAX(0,IF((G$6-$E$3)&lt;1,0,IFERROR(LOOKUP(2,1/('Milho 2ª safra'!$E37:INDEX('Milho 2ª safra'!$E37:$Z37,MIN(G$6-$E$3,22))&lt;&gt;""),'Milho 2ª safra'!$E37:INDEX('Milho 2ª safra'!$E37:$Z37,MIN(G$6-$E$3,22))),0))-IF($G$2,0,IF((G$6-$G$3)&lt;1,0,IFERROR(LOOKUP(2,1/('Milho 2ª safra'!$E37:INDEX('Milho 2ª safra'!$E37:$Z37,MIN(G$6-$G$3,22))&lt;&gt;""),'Milho 2ª safra'!$E37:INDEX('Milho 2ª safra'!$E37:$Z37,MIN(G$6-$G$3,22))),0)))))</f>
        <v>0</v>
      </c>
      <c r="H39" s="27" t="n">
        <f aca="false">IF(COUNT('Milho 2ª safra'!$E37:$Z37)=0,0,MAX(0,IF((H$6-$E$3)&lt;1,0,IFERROR(LOOKUP(2,1/('Milho 2ª safra'!$E37:INDEX('Milho 2ª safra'!$E37:$Z37,MIN(H$6-$E$3,22))&lt;&gt;""),'Milho 2ª safra'!$E37:INDEX('Milho 2ª safra'!$E37:$Z37,MIN(H$6-$E$3,22))),0))-IF($G$2,0,IF((H$6-$G$3)&lt;1,0,IFERROR(LOOKUP(2,1/('Milho 2ª safra'!$E37:INDEX('Milho 2ª safra'!$E37:$Z37,MIN(H$6-$G$3,22))&lt;&gt;""),'Milho 2ª safra'!$E37:INDEX('Milho 2ª safra'!$E37:$Z37,MIN(H$6-$G$3,22))),0)))))</f>
        <v>0</v>
      </c>
      <c r="I39" s="27" t="n">
        <f aca="false">IF(COUNT('Milho 2ª safra'!$E37:$Z37)=0,0,MAX(0,IF((I$6-$E$3)&lt;1,0,IFERROR(LOOKUP(2,1/('Milho 2ª safra'!$E37:INDEX('Milho 2ª safra'!$E37:$Z37,MIN(I$6-$E$3,22))&lt;&gt;""),'Milho 2ª safra'!$E37:INDEX('Milho 2ª safra'!$E37:$Z37,MIN(I$6-$E$3,22))),0))-IF($G$2,0,IF((I$6-$G$3)&lt;1,0,IFERROR(LOOKUP(2,1/('Milho 2ª safra'!$E37:INDEX('Milho 2ª safra'!$E37:$Z37,MIN(I$6-$G$3,22))&lt;&gt;""),'Milho 2ª safra'!$E37:INDEX('Milho 2ª safra'!$E37:$Z37,MIN(I$6-$G$3,22))),0)))))</f>
        <v>0</v>
      </c>
      <c r="J39" s="27" t="n">
        <f aca="false">IF(COUNT('Milho 2ª safra'!$E37:$Z37)=0,0,MAX(0,IF((J$6-$E$3)&lt;1,0,IFERROR(LOOKUP(2,1/('Milho 2ª safra'!$E37:INDEX('Milho 2ª safra'!$E37:$Z37,MIN(J$6-$E$3,22))&lt;&gt;""),'Milho 2ª safra'!$E37:INDEX('Milho 2ª safra'!$E37:$Z37,MIN(J$6-$E$3,22))),0))-IF($G$2,0,IF((J$6-$G$3)&lt;1,0,IFERROR(LOOKUP(2,1/('Milho 2ª safra'!$E37:INDEX('Milho 2ª safra'!$E37:$Z37,MIN(J$6-$G$3,22))&lt;&gt;""),'Milho 2ª safra'!$E37:INDEX('Milho 2ª safra'!$E37:$Z37,MIN(J$6-$G$3,22))),0)))))</f>
        <v>0</v>
      </c>
      <c r="K39" s="27" t="n">
        <f aca="false">IF(COUNT('Milho 2ª safra'!$E37:$Z37)=0,0,MAX(0,IF((K$6-$E$3)&lt;1,0,IFERROR(LOOKUP(2,1/('Milho 2ª safra'!$E37:INDEX('Milho 2ª safra'!$E37:$Z37,MIN(K$6-$E$3,22))&lt;&gt;""),'Milho 2ª safra'!$E37:INDEX('Milho 2ª safra'!$E37:$Z37,MIN(K$6-$E$3,22))),0))-IF($G$2,0,IF((K$6-$G$3)&lt;1,0,IFERROR(LOOKUP(2,1/('Milho 2ª safra'!$E37:INDEX('Milho 2ª safra'!$E37:$Z37,MIN(K$6-$G$3,22))&lt;&gt;""),'Milho 2ª safra'!$E37:INDEX('Milho 2ª safra'!$E37:$Z37,MIN(K$6-$G$3,22))),0)))))</f>
        <v>0</v>
      </c>
      <c r="L39" s="27" t="n">
        <f aca="false">IF(COUNT('Milho 2ª safra'!$E37:$Z37)=0,0,MAX(0,IF((L$6-$E$3)&lt;1,0,IFERROR(LOOKUP(2,1/('Milho 2ª safra'!$E37:INDEX('Milho 2ª safra'!$E37:$Z37,MIN(L$6-$E$3,22))&lt;&gt;""),'Milho 2ª safra'!$E37:INDEX('Milho 2ª safra'!$E37:$Z37,MIN(L$6-$E$3,22))),0))-IF($G$2,0,IF((L$6-$G$3)&lt;1,0,IFERROR(LOOKUP(2,1/('Milho 2ª safra'!$E37:INDEX('Milho 2ª safra'!$E37:$Z37,MIN(L$6-$G$3,22))&lt;&gt;""),'Milho 2ª safra'!$E37:INDEX('Milho 2ª safra'!$E37:$Z37,MIN(L$6-$G$3,22))),0)))))</f>
        <v>0</v>
      </c>
      <c r="M39" s="27" t="n">
        <f aca="false">IF(COUNT('Milho 2ª safra'!$E37:$Z37)=0,0,MAX(0,IF((M$6-$E$3)&lt;1,0,IFERROR(LOOKUP(2,1/('Milho 2ª safra'!$E37:INDEX('Milho 2ª safra'!$E37:$Z37,MIN(M$6-$E$3,22))&lt;&gt;""),'Milho 2ª safra'!$E37:INDEX('Milho 2ª safra'!$E37:$Z37,MIN(M$6-$E$3,22))),0))-IF($G$2,0,IF((M$6-$G$3)&lt;1,0,IFERROR(LOOKUP(2,1/('Milho 2ª safra'!$E37:INDEX('Milho 2ª safra'!$E37:$Z37,MIN(M$6-$G$3,22))&lt;&gt;""),'Milho 2ª safra'!$E37:INDEX('Milho 2ª safra'!$E37:$Z37,MIN(M$6-$G$3,22))),0)))))</f>
        <v>0</v>
      </c>
      <c r="N39" s="27" t="n">
        <f aca="false">IF(COUNT('Milho 2ª safra'!$E37:$Z37)=0,0,MAX(0,IF((N$6-$E$3)&lt;1,0,IFERROR(LOOKUP(2,1/('Milho 2ª safra'!$E37:INDEX('Milho 2ª safra'!$E37:$Z37,MIN(N$6-$E$3,22))&lt;&gt;""),'Milho 2ª safra'!$E37:INDEX('Milho 2ª safra'!$E37:$Z37,MIN(N$6-$E$3,22))),0))-IF($G$2,0,IF((N$6-$G$3)&lt;1,0,IFERROR(LOOKUP(2,1/('Milho 2ª safra'!$E37:INDEX('Milho 2ª safra'!$E37:$Z37,MIN(N$6-$G$3,22))&lt;&gt;""),'Milho 2ª safra'!$E37:INDEX('Milho 2ª safra'!$E37:$Z37,MIN(N$6-$G$3,22))),0)))))</f>
        <v>0</v>
      </c>
      <c r="O39" s="27" t="n">
        <f aca="false">IF(COUNT('Milho 2ª safra'!$E37:$Z37)=0,0,MAX(0,IF((O$6-$E$3)&lt;1,0,IFERROR(LOOKUP(2,1/('Milho 2ª safra'!$E37:INDEX('Milho 2ª safra'!$E37:$Z37,MIN(O$6-$E$3,22))&lt;&gt;""),'Milho 2ª safra'!$E37:INDEX('Milho 2ª safra'!$E37:$Z37,MIN(O$6-$E$3,22))),0))-IF($G$2,0,IF((O$6-$G$3)&lt;1,0,IFERROR(LOOKUP(2,1/('Milho 2ª safra'!$E37:INDEX('Milho 2ª safra'!$E37:$Z37,MIN(O$6-$G$3,22))&lt;&gt;""),'Milho 2ª safra'!$E37:INDEX('Milho 2ª safra'!$E37:$Z37,MIN(O$6-$G$3,22))),0)))))</f>
        <v>0</v>
      </c>
      <c r="P39" s="27" t="n">
        <f aca="false">IF(COUNT('Milho 2ª safra'!$E37:$Z37)=0,0,MAX(0,IF((P$6-$E$3)&lt;1,0,IFERROR(LOOKUP(2,1/('Milho 2ª safra'!$E37:INDEX('Milho 2ª safra'!$E37:$Z37,MIN(P$6-$E$3,22))&lt;&gt;""),'Milho 2ª safra'!$E37:INDEX('Milho 2ª safra'!$E37:$Z37,MIN(P$6-$E$3,22))),0))-IF($G$2,0,IF((P$6-$G$3)&lt;1,0,IFERROR(LOOKUP(2,1/('Milho 2ª safra'!$E37:INDEX('Milho 2ª safra'!$E37:$Z37,MIN(P$6-$G$3,22))&lt;&gt;""),'Milho 2ª safra'!$E37:INDEX('Milho 2ª safra'!$E37:$Z37,MIN(P$6-$G$3,22))),0)))))</f>
        <v>0</v>
      </c>
      <c r="Q39" s="27" t="n">
        <f aca="false">IF(COUNT('Milho 2ª safra'!$E37:$Z37)=0,0,MAX(0,IF((Q$6-$E$3)&lt;1,0,IFERROR(LOOKUP(2,1/('Milho 2ª safra'!$E37:INDEX('Milho 2ª safra'!$E37:$Z37,MIN(Q$6-$E$3,22))&lt;&gt;""),'Milho 2ª safra'!$E37:INDEX('Milho 2ª safra'!$E37:$Z37,MIN(Q$6-$E$3,22))),0))-IF($G$2,0,IF((Q$6-$G$3)&lt;1,0,IFERROR(LOOKUP(2,1/('Milho 2ª safra'!$E37:INDEX('Milho 2ª safra'!$E37:$Z37,MIN(Q$6-$G$3,22))&lt;&gt;""),'Milho 2ª safra'!$E37:INDEX('Milho 2ª safra'!$E37:$Z37,MIN(Q$6-$G$3,22))),0)))))</f>
        <v>0</v>
      </c>
      <c r="R39" s="27" t="n">
        <f aca="false">IF(COUNT('Milho 2ª safra'!$E37:$Z37)=0,0,MAX(0,IF((R$6-$E$3)&lt;1,0,IFERROR(LOOKUP(2,1/('Milho 2ª safra'!$E37:INDEX('Milho 2ª safra'!$E37:$Z37,MIN(R$6-$E$3,22))&lt;&gt;""),'Milho 2ª safra'!$E37:INDEX('Milho 2ª safra'!$E37:$Z37,MIN(R$6-$E$3,22))),0))-IF($G$2,0,IF((R$6-$G$3)&lt;1,0,IFERROR(LOOKUP(2,1/('Milho 2ª safra'!$E37:INDEX('Milho 2ª safra'!$E37:$Z37,MIN(R$6-$G$3,22))&lt;&gt;""),'Milho 2ª safra'!$E37:INDEX('Milho 2ª safra'!$E37:$Z37,MIN(R$6-$G$3,22))),0)))))</f>
        <v>0</v>
      </c>
      <c r="S39" s="27" t="n">
        <f aca="false">IF(COUNT('Milho 2ª safra'!$E37:$Z37)=0,0,MAX(0,IF((S$6-$E$3)&lt;1,0,IFERROR(LOOKUP(2,1/('Milho 2ª safra'!$E37:INDEX('Milho 2ª safra'!$E37:$Z37,MIN(S$6-$E$3,22))&lt;&gt;""),'Milho 2ª safra'!$E37:INDEX('Milho 2ª safra'!$E37:$Z37,MIN(S$6-$E$3,22))),0))-IF($G$2,0,IF((S$6-$G$3)&lt;1,0,IFERROR(LOOKUP(2,1/('Milho 2ª safra'!$E37:INDEX('Milho 2ª safra'!$E37:$Z37,MIN(S$6-$G$3,22))&lt;&gt;""),'Milho 2ª safra'!$E37:INDEX('Milho 2ª safra'!$E37:$Z37,MIN(S$6-$G$3,22))),0)))))</f>
        <v>0</v>
      </c>
      <c r="T39" s="27" t="n">
        <f aca="false">IF(COUNT('Milho 2ª safra'!$E37:$Z37)=0,0,MAX(0,IF((T$6-$E$3)&lt;1,0,IFERROR(LOOKUP(2,1/('Milho 2ª safra'!$E37:INDEX('Milho 2ª safra'!$E37:$Z37,MIN(T$6-$E$3,22))&lt;&gt;""),'Milho 2ª safra'!$E37:INDEX('Milho 2ª safra'!$E37:$Z37,MIN(T$6-$E$3,22))),0))-IF($G$2,0,IF((T$6-$G$3)&lt;1,0,IFERROR(LOOKUP(2,1/('Milho 2ª safra'!$E37:INDEX('Milho 2ª safra'!$E37:$Z37,MIN(T$6-$G$3,22))&lt;&gt;""),'Milho 2ª safra'!$E37:INDEX('Milho 2ª safra'!$E37:$Z37,MIN(T$6-$G$3,22))),0)))))</f>
        <v>0</v>
      </c>
      <c r="U39" s="27" t="n">
        <f aca="false">IF(COUNT('Milho 2ª safra'!$E37:$Z37)=0,0,MAX(0,IF((U$6-$E$3)&lt;1,0,IFERROR(LOOKUP(2,1/('Milho 2ª safra'!$E37:INDEX('Milho 2ª safra'!$E37:$Z37,MIN(U$6-$E$3,22))&lt;&gt;""),'Milho 2ª safra'!$E37:INDEX('Milho 2ª safra'!$E37:$Z37,MIN(U$6-$E$3,22))),0))-IF($G$2,0,IF((U$6-$G$3)&lt;1,0,IFERROR(LOOKUP(2,1/('Milho 2ª safra'!$E37:INDEX('Milho 2ª safra'!$E37:$Z37,MIN(U$6-$G$3,22))&lt;&gt;""),'Milho 2ª safra'!$E37:INDEX('Milho 2ª safra'!$E37:$Z37,MIN(U$6-$G$3,22))),0)))))</f>
        <v>0</v>
      </c>
      <c r="V39" s="27" t="n">
        <f aca="false">IF(COUNT('Milho 2ª safra'!$E37:$Z37)=0,0,MAX(0,IF((V$6-$E$3)&lt;1,0,IFERROR(LOOKUP(2,1/('Milho 2ª safra'!$E37:INDEX('Milho 2ª safra'!$E37:$Z37,MIN(V$6-$E$3,22))&lt;&gt;""),'Milho 2ª safra'!$E37:INDEX('Milho 2ª safra'!$E37:$Z37,MIN(V$6-$E$3,22))),0))-IF($G$2,0,IF((V$6-$G$3)&lt;1,0,IFERROR(LOOKUP(2,1/('Milho 2ª safra'!$E37:INDEX('Milho 2ª safra'!$E37:$Z37,MIN(V$6-$G$3,22))&lt;&gt;""),'Milho 2ª safra'!$E37:INDEX('Milho 2ª safra'!$E37:$Z37,MIN(V$6-$G$3,22))),0)))))</f>
        <v>0</v>
      </c>
      <c r="W39" s="27" t="n">
        <f aca="false">IF(COUNT('Milho 2ª safra'!$E37:$Z37)=0,0,MAX(0,IF((W$6-$E$3)&lt;1,0,IFERROR(LOOKUP(2,1/('Milho 2ª safra'!$E37:INDEX('Milho 2ª safra'!$E37:$Z37,MIN(W$6-$E$3,22))&lt;&gt;""),'Milho 2ª safra'!$E37:INDEX('Milho 2ª safra'!$E37:$Z37,MIN(W$6-$E$3,22))),0))-IF($G$2,0,IF((W$6-$G$3)&lt;1,0,IFERROR(LOOKUP(2,1/('Milho 2ª safra'!$E37:INDEX('Milho 2ª safra'!$E37:$Z37,MIN(W$6-$G$3,22))&lt;&gt;""),'Milho 2ª safra'!$E37:INDEX('Milho 2ª safra'!$E37:$Z37,MIN(W$6-$G$3,22))),0)))))</f>
        <v>0</v>
      </c>
      <c r="X39" s="27" t="n">
        <f aca="false">IF(COUNT('Milho 2ª safra'!$E37:$Z37)=0,0,MAX(0,IF((X$6-$E$3)&lt;1,0,IFERROR(LOOKUP(2,1/('Milho 2ª safra'!$E37:INDEX('Milho 2ª safra'!$E37:$Z37,MIN(X$6-$E$3,22))&lt;&gt;""),'Milho 2ª safra'!$E37:INDEX('Milho 2ª safra'!$E37:$Z37,MIN(X$6-$E$3,22))),0))-IF($G$2,0,IF((X$6-$G$3)&lt;1,0,IFERROR(LOOKUP(2,1/('Milho 2ª safra'!$E37:INDEX('Milho 2ª safra'!$E37:$Z37,MIN(X$6-$G$3,22))&lt;&gt;""),'Milho 2ª safra'!$E37:INDEX('Milho 2ª safra'!$E37:$Z37,MIN(X$6-$G$3,22))),0)))))</f>
        <v>0</v>
      </c>
      <c r="Y39" s="27" t="n">
        <f aca="false">IF(COUNT('Milho 2ª safra'!$E37:$Z37)=0,0,MAX(0,IF((Y$6-$E$3)&lt;1,0,IFERROR(LOOKUP(2,1/('Milho 2ª safra'!$E37:INDEX('Milho 2ª safra'!$E37:$Z37,MIN(Y$6-$E$3,22))&lt;&gt;""),'Milho 2ª safra'!$E37:INDEX('Milho 2ª safra'!$E37:$Z37,MIN(Y$6-$E$3,22))),0))-IF($G$2,0,IF((Y$6-$G$3)&lt;1,0,IFERROR(LOOKUP(2,1/('Milho 2ª safra'!$E37:INDEX('Milho 2ª safra'!$E37:$Z37,MIN(Y$6-$G$3,22))&lt;&gt;""),'Milho 2ª safra'!$E37:INDEX('Milho 2ª safra'!$E37:$Z37,MIN(Y$6-$G$3,22))),0)))))</f>
        <v>0</v>
      </c>
      <c r="Z39" s="27" t="n">
        <f aca="false">IF(COUNT('Milho 2ª safra'!$E37:$Z37)=0,0,MAX(0,IF((Z$6-$E$3)&lt;1,0,IFERROR(LOOKUP(2,1/('Milho 2ª safra'!$E37:INDEX('Milho 2ª safra'!$E37:$Z37,MIN(Z$6-$E$3,22))&lt;&gt;""),'Milho 2ª safra'!$E37:INDEX('Milho 2ª safra'!$E37:$Z37,MIN(Z$6-$E$3,22))),0))-IF($G$2,0,IF((Z$6-$G$3)&lt;1,0,IFERROR(LOOKUP(2,1/('Milho 2ª safra'!$E37:INDEX('Milho 2ª safra'!$E37:$Z37,MIN(Z$6-$G$3,22))&lt;&gt;""),'Milho 2ª safra'!$E37:INDEX('Milho 2ª safra'!$E37:$Z37,MIN(Z$6-$G$3,22))),0)))))</f>
        <v>0</v>
      </c>
      <c r="AA39" s="27" t="n">
        <f aca="false">IF(COUNT('Milho 2ª safra'!$E37:$Z37)=0,0,MAX(0,IF((AA$6-$E$3)&lt;1,0,IFERROR(LOOKUP(2,1/('Milho 2ª safra'!$E37:INDEX('Milho 2ª safra'!$E37:$Z37,MIN(AA$6-$E$3,22))&lt;&gt;""),'Milho 2ª safra'!$E37:INDEX('Milho 2ª safra'!$E37:$Z37,MIN(AA$6-$E$3,22))),0))-IF($G$2,0,IF((AA$6-$G$3)&lt;1,0,IFERROR(LOOKUP(2,1/('Milho 2ª safra'!$E37:INDEX('Milho 2ª safra'!$E37:$Z37,MIN(AA$6-$G$3,22))&lt;&gt;""),'Milho 2ª safra'!$E37:INDEX('Milho 2ª safra'!$E37:$Z37,MIN(AA$6-$G$3,22))),0)))))</f>
        <v>0</v>
      </c>
      <c r="AB39" s="27" t="n">
        <f aca="false">IF(COUNT('Milho 2ª safra'!$E37:$Z37)=0,0,MAX(0,IF((AB$6-$E$3)&lt;1,0,IFERROR(LOOKUP(2,1/('Milho 2ª safra'!$E37:INDEX('Milho 2ª safra'!$E37:$Z37,MIN(AB$6-$E$3,22))&lt;&gt;""),'Milho 2ª safra'!$E37:INDEX('Milho 2ª safra'!$E37:$Z37,MIN(AB$6-$E$3,22))),0))-IF($G$2,0,IF((AB$6-$G$3)&lt;1,0,IFERROR(LOOKUP(2,1/('Milho 2ª safra'!$E37:INDEX('Milho 2ª safra'!$E37:$Z37,MIN(AB$6-$G$3,22))&lt;&gt;""),'Milho 2ª safra'!$E37:INDEX('Milho 2ª safra'!$E37:$Z37,MIN(AB$6-$G$3,22))),0)))))</f>
        <v>0</v>
      </c>
      <c r="AC39" s="27" t="n">
        <f aca="false">IF(COUNT('Milho 2ª safra'!$E37:$Z37)=0,0,MAX(0,IF((AC$6-$E$3)&lt;1,0,IFERROR(LOOKUP(2,1/('Milho 2ª safra'!$E37:INDEX('Milho 2ª safra'!$E37:$Z37,MIN(AC$6-$E$3,22))&lt;&gt;""),'Milho 2ª safra'!$E37:INDEX('Milho 2ª safra'!$E37:$Z37,MIN(AC$6-$E$3,22))),0))-IF($G$2,0,IF((AC$6-$G$3)&lt;1,0,IFERROR(LOOKUP(2,1/('Milho 2ª safra'!$E37:INDEX('Milho 2ª safra'!$E37:$Z37,MIN(AC$6-$G$3,22))&lt;&gt;""),'Milho 2ª safra'!$E37:INDEX('Milho 2ª safra'!$E37:$Z37,MIN(AC$6-$G$3,22))),0)))))</f>
        <v>0</v>
      </c>
      <c r="AD39" s="27" t="n">
        <f aca="false">IF(COUNT('Milho 2ª safra'!$E37:$Z37)=0,0,MAX(0,IF((AD$6-$E$3)&lt;1,0,IFERROR(LOOKUP(2,1/('Milho 2ª safra'!$E37:INDEX('Milho 2ª safra'!$E37:$Z37,MIN(AD$6-$E$3,22))&lt;&gt;""),'Milho 2ª safra'!$E37:INDEX('Milho 2ª safra'!$E37:$Z37,MIN(AD$6-$E$3,22))),0))-IF($G$2,0,IF((AD$6-$G$3)&lt;1,0,IFERROR(LOOKUP(2,1/('Milho 2ª safra'!$E37:INDEX('Milho 2ª safra'!$E37:$Z37,MIN(AD$6-$G$3,22))&lt;&gt;""),'Milho 2ª safra'!$E37:INDEX('Milho 2ª safra'!$E37:$Z37,MIN(AD$6-$G$3,22))),0)))))</f>
        <v>0</v>
      </c>
      <c r="AE39" s="27" t="n">
        <f aca="false">IF(COUNT('Milho 2ª safra'!$E37:$Z37)=0,0,MAX(0,IF((AE$6-$E$3)&lt;1,0,IFERROR(LOOKUP(2,1/('Milho 2ª safra'!$E37:INDEX('Milho 2ª safra'!$E37:$Z37,MIN(AE$6-$E$3,22))&lt;&gt;""),'Milho 2ª safra'!$E37:INDEX('Milho 2ª safra'!$E37:$Z37,MIN(AE$6-$E$3,22))),0))-IF($G$2,0,IF((AE$6-$G$3)&lt;1,0,IFERROR(LOOKUP(2,1/('Milho 2ª safra'!$E37:INDEX('Milho 2ª safra'!$E37:$Z37,MIN(AE$6-$G$3,22))&lt;&gt;""),'Milho 2ª safra'!$E37:INDEX('Milho 2ª safra'!$E37:$Z37,MIN(AE$6-$G$3,22))),0)))))</f>
        <v>0</v>
      </c>
      <c r="AF39" s="27" t="n">
        <f aca="false">IF(COUNT('Milho 2ª safra'!$E37:$Z37)=0,0,MAX(0,IF((AF$6-$E$3)&lt;1,0,IFERROR(LOOKUP(2,1/('Milho 2ª safra'!$E37:INDEX('Milho 2ª safra'!$E37:$Z37,MIN(AF$6-$E$3,22))&lt;&gt;""),'Milho 2ª safra'!$E37:INDEX('Milho 2ª safra'!$E37:$Z37,MIN(AF$6-$E$3,22))),0))-IF($G$2,0,IF((AF$6-$G$3)&lt;1,0,IFERROR(LOOKUP(2,1/('Milho 2ª safra'!$E37:INDEX('Milho 2ª safra'!$E37:$Z37,MIN(AF$6-$G$3,22))&lt;&gt;""),'Milho 2ª safra'!$E37:INDEX('Milho 2ª safra'!$E37:$Z37,MIN(AF$6-$G$3,22))),0)))))</f>
        <v>0</v>
      </c>
      <c r="AG39" s="27" t="n">
        <f aca="false">IF(COUNT('Milho 2ª safra'!$E37:$Z37)=0,0,MAX(0,IF((AG$6-$E$3)&lt;1,0,IFERROR(LOOKUP(2,1/('Milho 2ª safra'!$E37:INDEX('Milho 2ª safra'!$E37:$Z37,MIN(AG$6-$E$3,22))&lt;&gt;""),'Milho 2ª safra'!$E37:INDEX('Milho 2ª safra'!$E37:$Z37,MIN(AG$6-$E$3,22))),0))-IF($G$2,0,IF((AG$6-$G$3)&lt;1,0,IFERROR(LOOKUP(2,1/('Milho 2ª safra'!$E37:INDEX('Milho 2ª safra'!$E37:$Z37,MIN(AG$6-$G$3,22))&lt;&gt;""),'Milho 2ª safra'!$E37:INDEX('Milho 2ª safra'!$E37:$Z37,MIN(AG$6-$G$3,22))),0)))))</f>
        <v>0</v>
      </c>
      <c r="AH39" s="27" t="n">
        <f aca="false">IF(COUNT('Milho 2ª safra'!$E37:$Z37)=0,0,MAX(0,IF((AH$6-$E$3)&lt;1,0,IFERROR(LOOKUP(2,1/('Milho 2ª safra'!$E37:INDEX('Milho 2ª safra'!$E37:$Z37,MIN(AH$6-$E$3,22))&lt;&gt;""),'Milho 2ª safra'!$E37:INDEX('Milho 2ª safra'!$E37:$Z37,MIN(AH$6-$E$3,22))),0))-IF($G$2,0,IF((AH$6-$G$3)&lt;1,0,IFERROR(LOOKUP(2,1/('Milho 2ª safra'!$E37:INDEX('Milho 2ª safra'!$E37:$Z37,MIN(AH$6-$G$3,22))&lt;&gt;""),'Milho 2ª safra'!$E37:INDEX('Milho 2ª safra'!$E37:$Z37,MIN(AH$6-$G$3,22))),0)))))</f>
        <v>0</v>
      </c>
      <c r="AI39" s="27" t="n">
        <f aca="false">IF(COUNT('Milho 2ª safra'!$E37:$Z37)=0,0,MAX(0,IF((AI$6-$E$3)&lt;1,0,IFERROR(LOOKUP(2,1/('Milho 2ª safra'!$E37:INDEX('Milho 2ª safra'!$E37:$Z37,MIN(AI$6-$E$3,22))&lt;&gt;""),'Milho 2ª safra'!$E37:INDEX('Milho 2ª safra'!$E37:$Z37,MIN(AI$6-$E$3,22))),0))-IF($G$2,0,IF((AI$6-$G$3)&lt;1,0,IFERROR(LOOKUP(2,1/('Milho 2ª safra'!$E37:INDEX('Milho 2ª safra'!$E37:$Z37,MIN(AI$6-$G$3,22))&lt;&gt;""),'Milho 2ª safra'!$E37:INDEX('Milho 2ª safra'!$E37:$Z37,MIN(AI$6-$G$3,22))),0)))))</f>
        <v>0</v>
      </c>
      <c r="AJ39" s="27" t="n">
        <f aca="false">IF(COUNT('Milho 2ª safra'!$E37:$Z37)=0,0,MAX(0,IF((AJ$6-$E$3)&lt;1,0,IFERROR(LOOKUP(2,1/('Milho 2ª safra'!$E37:INDEX('Milho 2ª safra'!$E37:$Z37,MIN(AJ$6-$E$3,22))&lt;&gt;""),'Milho 2ª safra'!$E37:INDEX('Milho 2ª safra'!$E37:$Z37,MIN(AJ$6-$E$3,22))),0))-IF($G$2,0,IF((AJ$6-$G$3)&lt;1,0,IFERROR(LOOKUP(2,1/('Milho 2ª safra'!$E37:INDEX('Milho 2ª safra'!$E37:$Z37,MIN(AJ$6-$G$3,22))&lt;&gt;""),'Milho 2ª safra'!$E37:INDEX('Milho 2ª safra'!$E37:$Z37,MIN(AJ$6-$G$3,22))),0)))))</f>
        <v>0</v>
      </c>
      <c r="AK39" s="27" t="n">
        <f aca="false">IF(COUNT('Milho 2ª safra'!$E37:$Z37)=0,0,MAX(0,IF((AK$6-$E$3)&lt;1,0,IFERROR(LOOKUP(2,1/('Milho 2ª safra'!$E37:INDEX('Milho 2ª safra'!$E37:$Z37,MIN(AK$6-$E$3,22))&lt;&gt;""),'Milho 2ª safra'!$E37:INDEX('Milho 2ª safra'!$E37:$Z37,MIN(AK$6-$E$3,22))),0))-IF($G$2,0,IF((AK$6-$G$3)&lt;1,0,IFERROR(LOOKUP(2,1/('Milho 2ª safra'!$E37:INDEX('Milho 2ª safra'!$E37:$Z37,MIN(AK$6-$G$3,22))&lt;&gt;""),'Milho 2ª safra'!$E37:INDEX('Milho 2ª safra'!$E37:$Z37,MIN(AK$6-$G$3,22))),0)))))</f>
        <v>0</v>
      </c>
      <c r="AL39" s="27" t="n">
        <f aca="false">IF(COUNT('Milho 2ª safra'!$E37:$Z37)=0,0,MAX(0,IF((AL$6-$E$3)&lt;1,0,IFERROR(LOOKUP(2,1/('Milho 2ª safra'!$E37:INDEX('Milho 2ª safra'!$E37:$Z37,MIN(AL$6-$E$3,22))&lt;&gt;""),'Milho 2ª safra'!$E37:INDEX('Milho 2ª safra'!$E37:$Z37,MIN(AL$6-$E$3,22))),0))-IF($G$2,0,IF((AL$6-$G$3)&lt;1,0,IFERROR(LOOKUP(2,1/('Milho 2ª safra'!$E37:INDEX('Milho 2ª safra'!$E37:$Z37,MIN(AL$6-$G$3,22))&lt;&gt;""),'Milho 2ª safra'!$E37:INDEX('Milho 2ª safra'!$E37:$Z37,MIN(AL$6-$G$3,22))),0)))))</f>
        <v>0</v>
      </c>
      <c r="AM39" s="27" t="n">
        <f aca="false">IF(COUNT('Milho 2ª safra'!$E37:$Z37)=0,0,MAX(0,IF((AM$6-$E$3)&lt;1,0,IFERROR(LOOKUP(2,1/('Milho 2ª safra'!$E37:INDEX('Milho 2ª safra'!$E37:$Z37,MIN(AM$6-$E$3,22))&lt;&gt;""),'Milho 2ª safra'!$E37:INDEX('Milho 2ª safra'!$E37:$Z37,MIN(AM$6-$E$3,22))),0))-IF($G$2,0,IF((AM$6-$G$3)&lt;1,0,IFERROR(LOOKUP(2,1/('Milho 2ª safra'!$E37:INDEX('Milho 2ª safra'!$E37:$Z37,MIN(AM$6-$G$3,22))&lt;&gt;""),'Milho 2ª safra'!$E37:INDEX('Milho 2ª safra'!$E37:$Z37,MIN(AM$6-$G$3,22))),0)))))</f>
        <v>0</v>
      </c>
      <c r="AN39" s="27" t="n">
        <f aca="false">IF(COUNT('Milho 2ª safra'!$E37:$Z37)=0,0,MAX(0,IF((AN$6-$E$3)&lt;1,0,IFERROR(LOOKUP(2,1/('Milho 2ª safra'!$E37:INDEX('Milho 2ª safra'!$E37:$Z37,MIN(AN$6-$E$3,22))&lt;&gt;""),'Milho 2ª safra'!$E37:INDEX('Milho 2ª safra'!$E37:$Z37,MIN(AN$6-$E$3,22))),0))-IF($G$2,0,IF((AN$6-$G$3)&lt;1,0,IFERROR(LOOKUP(2,1/('Milho 2ª safra'!$E37:INDEX('Milho 2ª safra'!$E37:$Z37,MIN(AN$6-$G$3,22))&lt;&gt;""),'Milho 2ª safra'!$E37:INDEX('Milho 2ª safra'!$E37:$Z37,MIN(AN$6-$G$3,22))),0)))))</f>
        <v>0</v>
      </c>
      <c r="AO39" s="27" t="n">
        <f aca="false">IF(COUNT('Milho 2ª safra'!$E37:$Z37)=0,0,MAX(0,IF((AO$6-$E$3)&lt;1,0,IFERROR(LOOKUP(2,1/('Milho 2ª safra'!$E37:INDEX('Milho 2ª safra'!$E37:$Z37,MIN(AO$6-$E$3,22))&lt;&gt;""),'Milho 2ª safra'!$E37:INDEX('Milho 2ª safra'!$E37:$Z37,MIN(AO$6-$E$3,22))),0))-IF($G$2,0,IF((AO$6-$G$3)&lt;1,0,IFERROR(LOOKUP(2,1/('Milho 2ª safra'!$E37:INDEX('Milho 2ª safra'!$E37:$Z37,MIN(AO$6-$G$3,22))&lt;&gt;""),'Milho 2ª safra'!$E37:INDEX('Milho 2ª safra'!$E37:$Z37,MIN(AO$6-$G$3,22))),0)))))</f>
        <v>0</v>
      </c>
      <c r="AP39" s="27" t="n">
        <f aca="false">IF(COUNT('Milho 2ª safra'!$E37:$Z37)=0,0,MAX(0,IF((AP$6-$E$3)&lt;1,0,IFERROR(LOOKUP(2,1/('Milho 2ª safra'!$E37:INDEX('Milho 2ª safra'!$E37:$Z37,MIN(AP$6-$E$3,22))&lt;&gt;""),'Milho 2ª safra'!$E37:INDEX('Milho 2ª safra'!$E37:$Z37,MIN(AP$6-$E$3,22))),0))-IF($G$2,0,IF((AP$6-$G$3)&lt;1,0,IFERROR(LOOKUP(2,1/('Milho 2ª safra'!$E37:INDEX('Milho 2ª safra'!$E37:$Z37,MIN(AP$6-$G$3,22))&lt;&gt;""),'Milho 2ª safra'!$E37:INDEX('Milho 2ª safra'!$E37:$Z37,MIN(AP$6-$G$3,22))),0)))))</f>
        <v>0</v>
      </c>
      <c r="AQ39" s="27" t="n">
        <f aca="false">IF(COUNT('Milho 2ª safra'!$E37:$Z37)=0,0,MAX(0,IF((AQ$6-$E$3)&lt;1,0,IFERROR(LOOKUP(2,1/('Milho 2ª safra'!$E37:INDEX('Milho 2ª safra'!$E37:$Z37,MIN(AQ$6-$E$3,22))&lt;&gt;""),'Milho 2ª safra'!$E37:INDEX('Milho 2ª safra'!$E37:$Z37,MIN(AQ$6-$E$3,22))),0))-IF($G$2,0,IF((AQ$6-$G$3)&lt;1,0,IFERROR(LOOKUP(2,1/('Milho 2ª safra'!$E37:INDEX('Milho 2ª safra'!$E37:$Z37,MIN(AQ$6-$G$3,22))&lt;&gt;""),'Milho 2ª safra'!$E37:INDEX('Milho 2ª safra'!$E37:$Z37,MIN(AQ$6-$G$3,22))),0)))))</f>
        <v>0</v>
      </c>
      <c r="AR39" s="27" t="n">
        <f aca="false">IF(COUNT('Milho 2ª safra'!$E37:$Z37)=0,0,MAX(0,IF((AR$6-$E$3)&lt;1,0,IFERROR(LOOKUP(2,1/('Milho 2ª safra'!$E37:INDEX('Milho 2ª safra'!$E37:$Z37,MIN(AR$6-$E$3,22))&lt;&gt;""),'Milho 2ª safra'!$E37:INDEX('Milho 2ª safra'!$E37:$Z37,MIN(AR$6-$E$3,22))),0))-IF($G$2,0,IF((AR$6-$G$3)&lt;1,0,IFERROR(LOOKUP(2,1/('Milho 2ª safra'!$E37:INDEX('Milho 2ª safra'!$E37:$Z37,MIN(AR$6-$G$3,22))&lt;&gt;""),'Milho 2ª safra'!$E37:INDEX('Milho 2ª safra'!$E37:$Z37,MIN(AR$6-$G$3,22))),0)))))</f>
        <v>0</v>
      </c>
      <c r="AS39" s="27" t="n">
        <f aca="false">IF(COUNT('Milho 2ª safra'!$E37:$Z37)=0,0,MAX(0,IF((AS$6-$E$3)&lt;1,0,IFERROR(LOOKUP(2,1/('Milho 2ª safra'!$E37:INDEX('Milho 2ª safra'!$E37:$Z37,MIN(AS$6-$E$3,22))&lt;&gt;""),'Milho 2ª safra'!$E37:INDEX('Milho 2ª safra'!$E37:$Z37,MIN(AS$6-$E$3,22))),0))-IF($G$2,0,IF((AS$6-$G$3)&lt;1,0,IFERROR(LOOKUP(2,1/('Milho 2ª safra'!$E37:INDEX('Milho 2ª safra'!$E37:$Z37,MIN(AS$6-$G$3,22))&lt;&gt;""),'Milho 2ª safra'!$E37:INDEX('Milho 2ª safra'!$E37:$Z37,MIN(AS$6-$G$3,22))),0)))))</f>
        <v>0</v>
      </c>
      <c r="AT39" s="27" t="n">
        <f aca="false">IF(COUNT('Milho 2ª safra'!$E37:$Z37)=0,0,MAX(0,IF((AT$6-$E$3)&lt;1,0,IFERROR(LOOKUP(2,1/('Milho 2ª safra'!$E37:INDEX('Milho 2ª safra'!$E37:$Z37,MIN(AT$6-$E$3,22))&lt;&gt;""),'Milho 2ª safra'!$E37:INDEX('Milho 2ª safra'!$E37:$Z37,MIN(AT$6-$E$3,22))),0))-IF($G$2,0,IF((AT$6-$G$3)&lt;1,0,IFERROR(LOOKUP(2,1/('Milho 2ª safra'!$E37:INDEX('Milho 2ª safra'!$E37:$Z37,MIN(AT$6-$G$3,22))&lt;&gt;""),'Milho 2ª safra'!$E37:INDEX('Milho 2ª safra'!$E37:$Z37,MIN(AT$6-$G$3,22))),0)))))</f>
        <v>0</v>
      </c>
      <c r="AU39" s="27" t="n">
        <f aca="false">IF(COUNT('Milho 2ª safra'!$E37:$Z37)=0,0,MAX(0,IF((AU$6-$E$3)&lt;1,0,IFERROR(LOOKUP(2,1/('Milho 2ª safra'!$E37:INDEX('Milho 2ª safra'!$E37:$Z37,MIN(AU$6-$E$3,22))&lt;&gt;""),'Milho 2ª safra'!$E37:INDEX('Milho 2ª safra'!$E37:$Z37,MIN(AU$6-$E$3,22))),0))-IF($G$2,0,IF((AU$6-$G$3)&lt;1,0,IFERROR(LOOKUP(2,1/('Milho 2ª safra'!$E37:INDEX('Milho 2ª safra'!$E37:$Z37,MIN(AU$6-$G$3,22))&lt;&gt;""),'Milho 2ª safra'!$E37:INDEX('Milho 2ª safra'!$E37:$Z37,MIN(AU$6-$G$3,22))),0)))))</f>
        <v>0</v>
      </c>
      <c r="AV39" s="27" t="n">
        <f aca="false">IF(COUNT('Milho 2ª safra'!$E37:$Z37)=0,0,MAX(0,IF((AV$6-$E$3)&lt;1,0,IFERROR(LOOKUP(2,1/('Milho 2ª safra'!$E37:INDEX('Milho 2ª safra'!$E37:$Z37,MIN(AV$6-$E$3,22))&lt;&gt;""),'Milho 2ª safra'!$E37:INDEX('Milho 2ª safra'!$E37:$Z37,MIN(AV$6-$E$3,22))),0))-IF($G$2,0,IF((AV$6-$G$3)&lt;1,0,IFERROR(LOOKUP(2,1/('Milho 2ª safra'!$E37:INDEX('Milho 2ª safra'!$E37:$Z37,MIN(AV$6-$G$3,22))&lt;&gt;""),'Milho 2ª safra'!$E37:INDEX('Milho 2ª safra'!$E37:$Z37,MIN(AV$6-$G$3,22))),0)))))</f>
        <v>0</v>
      </c>
      <c r="AW39" s="27" t="n">
        <f aca="false">IF(COUNT('Milho 2ª safra'!$E37:$Z37)=0,0,MAX(0,IF((AW$6-$E$3)&lt;1,0,IFERROR(LOOKUP(2,1/('Milho 2ª safra'!$E37:INDEX('Milho 2ª safra'!$E37:$Z37,MIN(AW$6-$E$3,22))&lt;&gt;""),'Milho 2ª safra'!$E37:INDEX('Milho 2ª safra'!$E37:$Z37,MIN(AW$6-$E$3,22))),0))-IF($G$2,0,IF((AW$6-$G$3)&lt;1,0,IFERROR(LOOKUP(2,1/('Milho 2ª safra'!$E37:INDEX('Milho 2ª safra'!$E37:$Z37,MIN(AW$6-$G$3,22))&lt;&gt;""),'Milho 2ª safra'!$E37:INDEX('Milho 2ª safra'!$E37:$Z37,MIN(AW$6-$G$3,22))),0)))))</f>
        <v>0</v>
      </c>
      <c r="AX39" s="27" t="n">
        <f aca="false">IF(COUNT('Milho 2ª safra'!$E37:$Z37)=0,0,MAX(0,IF((AX$6-$E$3)&lt;1,0,IFERROR(LOOKUP(2,1/('Milho 2ª safra'!$E37:INDEX('Milho 2ª safra'!$E37:$Z37,MIN(AX$6-$E$3,22))&lt;&gt;""),'Milho 2ª safra'!$E37:INDEX('Milho 2ª safra'!$E37:$Z37,MIN(AX$6-$E$3,22))),0))-IF($G$2,0,IF((AX$6-$G$3)&lt;1,0,IFERROR(LOOKUP(2,1/('Milho 2ª safra'!$E37:INDEX('Milho 2ª safra'!$E37:$Z37,MIN(AX$6-$G$3,22))&lt;&gt;""),'Milho 2ª safra'!$E37:INDEX('Milho 2ª safra'!$E37:$Z37,MIN(AX$6-$G$3,22))),0)))))</f>
        <v>0</v>
      </c>
      <c r="AY39" s="27" t="n">
        <f aca="false">IF(COUNT('Milho 2ª safra'!$E37:$Z37)=0,0,MAX(0,IF((AY$6-$E$3)&lt;1,0,IFERROR(LOOKUP(2,1/('Milho 2ª safra'!$E37:INDEX('Milho 2ª safra'!$E37:$Z37,MIN(AY$6-$E$3,22))&lt;&gt;""),'Milho 2ª safra'!$E37:INDEX('Milho 2ª safra'!$E37:$Z37,MIN(AY$6-$E$3,22))),0))-IF($G$2,0,IF((AY$6-$G$3)&lt;1,0,IFERROR(LOOKUP(2,1/('Milho 2ª safra'!$E37:INDEX('Milho 2ª safra'!$E37:$Z37,MIN(AY$6-$G$3,22))&lt;&gt;""),'Milho 2ª safra'!$E37:INDEX('Milho 2ª safra'!$E37:$Z37,MIN(AY$6-$G$3,22))),0)))))</f>
        <v>0</v>
      </c>
      <c r="AZ39" s="27" t="n">
        <f aca="false">IF(COUNT('Milho 2ª safra'!$E37:$Z37)=0,0,MAX(0,IF((AZ$6-$E$3)&lt;1,0,IFERROR(LOOKUP(2,1/('Milho 2ª safra'!$E37:INDEX('Milho 2ª safra'!$E37:$Z37,MIN(AZ$6-$E$3,22))&lt;&gt;""),'Milho 2ª safra'!$E37:INDEX('Milho 2ª safra'!$E37:$Z37,MIN(AZ$6-$E$3,22))),0))-IF($G$2,0,IF((AZ$6-$G$3)&lt;1,0,IFERROR(LOOKUP(2,1/('Milho 2ª safra'!$E37:INDEX('Milho 2ª safra'!$E37:$Z37,MIN(AZ$6-$G$3,22))&lt;&gt;""),'Milho 2ª safra'!$E37:INDEX('Milho 2ª safra'!$E37:$Z37,MIN(AZ$6-$G$3,22))),0)))))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IF(COUNT('Milho 2ª safra'!$E38:$Z38)&gt;0,N('Milho 2ª safra'!$D38),0)</f>
        <v>0</v>
      </c>
      <c r="E40" s="27" t="n">
        <f aca="false">IF(COUNT('Milho 2ª safra'!$E38:$Z38)=0,0,MAX(0,IF((E$6-$E$3)&lt;1,0,IFERROR(LOOKUP(2,1/('Milho 2ª safra'!$E38:INDEX('Milho 2ª safra'!$E38:$Z38,MIN(E$6-$E$3,22))&lt;&gt;""),'Milho 2ª safra'!$E38:INDEX('Milho 2ª safra'!$E38:$Z38,MIN(E$6-$E$3,22))),0))-IF($G$2,0,IF((E$6-$G$3)&lt;1,0,IFERROR(LOOKUP(2,1/('Milho 2ª safra'!$E38:INDEX('Milho 2ª safra'!$E38:$Z38,MIN(E$6-$G$3,22))&lt;&gt;""),'Milho 2ª safra'!$E38:INDEX('Milho 2ª safra'!$E38:$Z38,MIN(E$6-$G$3,22))),0)))))</f>
        <v>0</v>
      </c>
      <c r="F40" s="27" t="n">
        <f aca="false">IF(COUNT('Milho 2ª safra'!$E38:$Z38)=0,0,MAX(0,IF((F$6-$E$3)&lt;1,0,IFERROR(LOOKUP(2,1/('Milho 2ª safra'!$E38:INDEX('Milho 2ª safra'!$E38:$Z38,MIN(F$6-$E$3,22))&lt;&gt;""),'Milho 2ª safra'!$E38:INDEX('Milho 2ª safra'!$E38:$Z38,MIN(F$6-$E$3,22))),0))-IF($G$2,0,IF((F$6-$G$3)&lt;1,0,IFERROR(LOOKUP(2,1/('Milho 2ª safra'!$E38:INDEX('Milho 2ª safra'!$E38:$Z38,MIN(F$6-$G$3,22))&lt;&gt;""),'Milho 2ª safra'!$E38:INDEX('Milho 2ª safra'!$E38:$Z38,MIN(F$6-$G$3,22))),0)))))</f>
        <v>0</v>
      </c>
      <c r="G40" s="27" t="n">
        <f aca="false">IF(COUNT('Milho 2ª safra'!$E38:$Z38)=0,0,MAX(0,IF((G$6-$E$3)&lt;1,0,IFERROR(LOOKUP(2,1/('Milho 2ª safra'!$E38:INDEX('Milho 2ª safra'!$E38:$Z38,MIN(G$6-$E$3,22))&lt;&gt;""),'Milho 2ª safra'!$E38:INDEX('Milho 2ª safra'!$E38:$Z38,MIN(G$6-$E$3,22))),0))-IF($G$2,0,IF((G$6-$G$3)&lt;1,0,IFERROR(LOOKUP(2,1/('Milho 2ª safra'!$E38:INDEX('Milho 2ª safra'!$E38:$Z38,MIN(G$6-$G$3,22))&lt;&gt;""),'Milho 2ª safra'!$E38:INDEX('Milho 2ª safra'!$E38:$Z38,MIN(G$6-$G$3,22))),0)))))</f>
        <v>0</v>
      </c>
      <c r="H40" s="27" t="n">
        <f aca="false">IF(COUNT('Milho 2ª safra'!$E38:$Z38)=0,0,MAX(0,IF((H$6-$E$3)&lt;1,0,IFERROR(LOOKUP(2,1/('Milho 2ª safra'!$E38:INDEX('Milho 2ª safra'!$E38:$Z38,MIN(H$6-$E$3,22))&lt;&gt;""),'Milho 2ª safra'!$E38:INDEX('Milho 2ª safra'!$E38:$Z38,MIN(H$6-$E$3,22))),0))-IF($G$2,0,IF((H$6-$G$3)&lt;1,0,IFERROR(LOOKUP(2,1/('Milho 2ª safra'!$E38:INDEX('Milho 2ª safra'!$E38:$Z38,MIN(H$6-$G$3,22))&lt;&gt;""),'Milho 2ª safra'!$E38:INDEX('Milho 2ª safra'!$E38:$Z38,MIN(H$6-$G$3,22))),0)))))</f>
        <v>0</v>
      </c>
      <c r="I40" s="27" t="n">
        <f aca="false">IF(COUNT('Milho 2ª safra'!$E38:$Z38)=0,0,MAX(0,IF((I$6-$E$3)&lt;1,0,IFERROR(LOOKUP(2,1/('Milho 2ª safra'!$E38:INDEX('Milho 2ª safra'!$E38:$Z38,MIN(I$6-$E$3,22))&lt;&gt;""),'Milho 2ª safra'!$E38:INDEX('Milho 2ª safra'!$E38:$Z38,MIN(I$6-$E$3,22))),0))-IF($G$2,0,IF((I$6-$G$3)&lt;1,0,IFERROR(LOOKUP(2,1/('Milho 2ª safra'!$E38:INDEX('Milho 2ª safra'!$E38:$Z38,MIN(I$6-$G$3,22))&lt;&gt;""),'Milho 2ª safra'!$E38:INDEX('Milho 2ª safra'!$E38:$Z38,MIN(I$6-$G$3,22))),0)))))</f>
        <v>0</v>
      </c>
      <c r="J40" s="27" t="n">
        <f aca="false">IF(COUNT('Milho 2ª safra'!$E38:$Z38)=0,0,MAX(0,IF((J$6-$E$3)&lt;1,0,IFERROR(LOOKUP(2,1/('Milho 2ª safra'!$E38:INDEX('Milho 2ª safra'!$E38:$Z38,MIN(J$6-$E$3,22))&lt;&gt;""),'Milho 2ª safra'!$E38:INDEX('Milho 2ª safra'!$E38:$Z38,MIN(J$6-$E$3,22))),0))-IF($G$2,0,IF((J$6-$G$3)&lt;1,0,IFERROR(LOOKUP(2,1/('Milho 2ª safra'!$E38:INDEX('Milho 2ª safra'!$E38:$Z38,MIN(J$6-$G$3,22))&lt;&gt;""),'Milho 2ª safra'!$E38:INDEX('Milho 2ª safra'!$E38:$Z38,MIN(J$6-$G$3,22))),0)))))</f>
        <v>0</v>
      </c>
      <c r="K40" s="27" t="n">
        <f aca="false">IF(COUNT('Milho 2ª safra'!$E38:$Z38)=0,0,MAX(0,IF((K$6-$E$3)&lt;1,0,IFERROR(LOOKUP(2,1/('Milho 2ª safra'!$E38:INDEX('Milho 2ª safra'!$E38:$Z38,MIN(K$6-$E$3,22))&lt;&gt;""),'Milho 2ª safra'!$E38:INDEX('Milho 2ª safra'!$E38:$Z38,MIN(K$6-$E$3,22))),0))-IF($G$2,0,IF((K$6-$G$3)&lt;1,0,IFERROR(LOOKUP(2,1/('Milho 2ª safra'!$E38:INDEX('Milho 2ª safra'!$E38:$Z38,MIN(K$6-$G$3,22))&lt;&gt;""),'Milho 2ª safra'!$E38:INDEX('Milho 2ª safra'!$E38:$Z38,MIN(K$6-$G$3,22))),0)))))</f>
        <v>0</v>
      </c>
      <c r="L40" s="27" t="n">
        <f aca="false">IF(COUNT('Milho 2ª safra'!$E38:$Z38)=0,0,MAX(0,IF((L$6-$E$3)&lt;1,0,IFERROR(LOOKUP(2,1/('Milho 2ª safra'!$E38:INDEX('Milho 2ª safra'!$E38:$Z38,MIN(L$6-$E$3,22))&lt;&gt;""),'Milho 2ª safra'!$E38:INDEX('Milho 2ª safra'!$E38:$Z38,MIN(L$6-$E$3,22))),0))-IF($G$2,0,IF((L$6-$G$3)&lt;1,0,IFERROR(LOOKUP(2,1/('Milho 2ª safra'!$E38:INDEX('Milho 2ª safra'!$E38:$Z38,MIN(L$6-$G$3,22))&lt;&gt;""),'Milho 2ª safra'!$E38:INDEX('Milho 2ª safra'!$E38:$Z38,MIN(L$6-$G$3,22))),0)))))</f>
        <v>0</v>
      </c>
      <c r="M40" s="27" t="n">
        <f aca="false">IF(COUNT('Milho 2ª safra'!$E38:$Z38)=0,0,MAX(0,IF((M$6-$E$3)&lt;1,0,IFERROR(LOOKUP(2,1/('Milho 2ª safra'!$E38:INDEX('Milho 2ª safra'!$E38:$Z38,MIN(M$6-$E$3,22))&lt;&gt;""),'Milho 2ª safra'!$E38:INDEX('Milho 2ª safra'!$E38:$Z38,MIN(M$6-$E$3,22))),0))-IF($G$2,0,IF((M$6-$G$3)&lt;1,0,IFERROR(LOOKUP(2,1/('Milho 2ª safra'!$E38:INDEX('Milho 2ª safra'!$E38:$Z38,MIN(M$6-$G$3,22))&lt;&gt;""),'Milho 2ª safra'!$E38:INDEX('Milho 2ª safra'!$E38:$Z38,MIN(M$6-$G$3,22))),0)))))</f>
        <v>0</v>
      </c>
      <c r="N40" s="27" t="n">
        <f aca="false">IF(COUNT('Milho 2ª safra'!$E38:$Z38)=0,0,MAX(0,IF((N$6-$E$3)&lt;1,0,IFERROR(LOOKUP(2,1/('Milho 2ª safra'!$E38:INDEX('Milho 2ª safra'!$E38:$Z38,MIN(N$6-$E$3,22))&lt;&gt;""),'Milho 2ª safra'!$E38:INDEX('Milho 2ª safra'!$E38:$Z38,MIN(N$6-$E$3,22))),0))-IF($G$2,0,IF((N$6-$G$3)&lt;1,0,IFERROR(LOOKUP(2,1/('Milho 2ª safra'!$E38:INDEX('Milho 2ª safra'!$E38:$Z38,MIN(N$6-$G$3,22))&lt;&gt;""),'Milho 2ª safra'!$E38:INDEX('Milho 2ª safra'!$E38:$Z38,MIN(N$6-$G$3,22))),0)))))</f>
        <v>0</v>
      </c>
      <c r="O40" s="27" t="n">
        <f aca="false">IF(COUNT('Milho 2ª safra'!$E38:$Z38)=0,0,MAX(0,IF((O$6-$E$3)&lt;1,0,IFERROR(LOOKUP(2,1/('Milho 2ª safra'!$E38:INDEX('Milho 2ª safra'!$E38:$Z38,MIN(O$6-$E$3,22))&lt;&gt;""),'Milho 2ª safra'!$E38:INDEX('Milho 2ª safra'!$E38:$Z38,MIN(O$6-$E$3,22))),0))-IF($G$2,0,IF((O$6-$G$3)&lt;1,0,IFERROR(LOOKUP(2,1/('Milho 2ª safra'!$E38:INDEX('Milho 2ª safra'!$E38:$Z38,MIN(O$6-$G$3,22))&lt;&gt;""),'Milho 2ª safra'!$E38:INDEX('Milho 2ª safra'!$E38:$Z38,MIN(O$6-$G$3,22))),0)))))</f>
        <v>0</v>
      </c>
      <c r="P40" s="27" t="n">
        <f aca="false">IF(COUNT('Milho 2ª safra'!$E38:$Z38)=0,0,MAX(0,IF((P$6-$E$3)&lt;1,0,IFERROR(LOOKUP(2,1/('Milho 2ª safra'!$E38:INDEX('Milho 2ª safra'!$E38:$Z38,MIN(P$6-$E$3,22))&lt;&gt;""),'Milho 2ª safra'!$E38:INDEX('Milho 2ª safra'!$E38:$Z38,MIN(P$6-$E$3,22))),0))-IF($G$2,0,IF((P$6-$G$3)&lt;1,0,IFERROR(LOOKUP(2,1/('Milho 2ª safra'!$E38:INDEX('Milho 2ª safra'!$E38:$Z38,MIN(P$6-$G$3,22))&lt;&gt;""),'Milho 2ª safra'!$E38:INDEX('Milho 2ª safra'!$E38:$Z38,MIN(P$6-$G$3,22))),0)))))</f>
        <v>0</v>
      </c>
      <c r="Q40" s="27" t="n">
        <f aca="false">IF(COUNT('Milho 2ª safra'!$E38:$Z38)=0,0,MAX(0,IF((Q$6-$E$3)&lt;1,0,IFERROR(LOOKUP(2,1/('Milho 2ª safra'!$E38:INDEX('Milho 2ª safra'!$E38:$Z38,MIN(Q$6-$E$3,22))&lt;&gt;""),'Milho 2ª safra'!$E38:INDEX('Milho 2ª safra'!$E38:$Z38,MIN(Q$6-$E$3,22))),0))-IF($G$2,0,IF((Q$6-$G$3)&lt;1,0,IFERROR(LOOKUP(2,1/('Milho 2ª safra'!$E38:INDEX('Milho 2ª safra'!$E38:$Z38,MIN(Q$6-$G$3,22))&lt;&gt;""),'Milho 2ª safra'!$E38:INDEX('Milho 2ª safra'!$E38:$Z38,MIN(Q$6-$G$3,22))),0)))))</f>
        <v>0</v>
      </c>
      <c r="R40" s="27" t="n">
        <f aca="false">IF(COUNT('Milho 2ª safra'!$E38:$Z38)=0,0,MAX(0,IF((R$6-$E$3)&lt;1,0,IFERROR(LOOKUP(2,1/('Milho 2ª safra'!$E38:INDEX('Milho 2ª safra'!$E38:$Z38,MIN(R$6-$E$3,22))&lt;&gt;""),'Milho 2ª safra'!$E38:INDEX('Milho 2ª safra'!$E38:$Z38,MIN(R$6-$E$3,22))),0))-IF($G$2,0,IF((R$6-$G$3)&lt;1,0,IFERROR(LOOKUP(2,1/('Milho 2ª safra'!$E38:INDEX('Milho 2ª safra'!$E38:$Z38,MIN(R$6-$G$3,22))&lt;&gt;""),'Milho 2ª safra'!$E38:INDEX('Milho 2ª safra'!$E38:$Z38,MIN(R$6-$G$3,22))),0)))))</f>
        <v>0</v>
      </c>
      <c r="S40" s="27" t="n">
        <f aca="false">IF(COUNT('Milho 2ª safra'!$E38:$Z38)=0,0,MAX(0,IF((S$6-$E$3)&lt;1,0,IFERROR(LOOKUP(2,1/('Milho 2ª safra'!$E38:INDEX('Milho 2ª safra'!$E38:$Z38,MIN(S$6-$E$3,22))&lt;&gt;""),'Milho 2ª safra'!$E38:INDEX('Milho 2ª safra'!$E38:$Z38,MIN(S$6-$E$3,22))),0))-IF($G$2,0,IF((S$6-$G$3)&lt;1,0,IFERROR(LOOKUP(2,1/('Milho 2ª safra'!$E38:INDEX('Milho 2ª safra'!$E38:$Z38,MIN(S$6-$G$3,22))&lt;&gt;""),'Milho 2ª safra'!$E38:INDEX('Milho 2ª safra'!$E38:$Z38,MIN(S$6-$G$3,22))),0)))))</f>
        <v>0</v>
      </c>
      <c r="T40" s="27" t="n">
        <f aca="false">IF(COUNT('Milho 2ª safra'!$E38:$Z38)=0,0,MAX(0,IF((T$6-$E$3)&lt;1,0,IFERROR(LOOKUP(2,1/('Milho 2ª safra'!$E38:INDEX('Milho 2ª safra'!$E38:$Z38,MIN(T$6-$E$3,22))&lt;&gt;""),'Milho 2ª safra'!$E38:INDEX('Milho 2ª safra'!$E38:$Z38,MIN(T$6-$E$3,22))),0))-IF($G$2,0,IF((T$6-$G$3)&lt;1,0,IFERROR(LOOKUP(2,1/('Milho 2ª safra'!$E38:INDEX('Milho 2ª safra'!$E38:$Z38,MIN(T$6-$G$3,22))&lt;&gt;""),'Milho 2ª safra'!$E38:INDEX('Milho 2ª safra'!$E38:$Z38,MIN(T$6-$G$3,22))),0)))))</f>
        <v>0</v>
      </c>
      <c r="U40" s="27" t="n">
        <f aca="false">IF(COUNT('Milho 2ª safra'!$E38:$Z38)=0,0,MAX(0,IF((U$6-$E$3)&lt;1,0,IFERROR(LOOKUP(2,1/('Milho 2ª safra'!$E38:INDEX('Milho 2ª safra'!$E38:$Z38,MIN(U$6-$E$3,22))&lt;&gt;""),'Milho 2ª safra'!$E38:INDEX('Milho 2ª safra'!$E38:$Z38,MIN(U$6-$E$3,22))),0))-IF($G$2,0,IF((U$6-$G$3)&lt;1,0,IFERROR(LOOKUP(2,1/('Milho 2ª safra'!$E38:INDEX('Milho 2ª safra'!$E38:$Z38,MIN(U$6-$G$3,22))&lt;&gt;""),'Milho 2ª safra'!$E38:INDEX('Milho 2ª safra'!$E38:$Z38,MIN(U$6-$G$3,22))),0)))))</f>
        <v>0</v>
      </c>
      <c r="V40" s="27" t="n">
        <f aca="false">IF(COUNT('Milho 2ª safra'!$E38:$Z38)=0,0,MAX(0,IF((V$6-$E$3)&lt;1,0,IFERROR(LOOKUP(2,1/('Milho 2ª safra'!$E38:INDEX('Milho 2ª safra'!$E38:$Z38,MIN(V$6-$E$3,22))&lt;&gt;""),'Milho 2ª safra'!$E38:INDEX('Milho 2ª safra'!$E38:$Z38,MIN(V$6-$E$3,22))),0))-IF($G$2,0,IF((V$6-$G$3)&lt;1,0,IFERROR(LOOKUP(2,1/('Milho 2ª safra'!$E38:INDEX('Milho 2ª safra'!$E38:$Z38,MIN(V$6-$G$3,22))&lt;&gt;""),'Milho 2ª safra'!$E38:INDEX('Milho 2ª safra'!$E38:$Z38,MIN(V$6-$G$3,22))),0)))))</f>
        <v>0</v>
      </c>
      <c r="W40" s="27" t="n">
        <f aca="false">IF(COUNT('Milho 2ª safra'!$E38:$Z38)=0,0,MAX(0,IF((W$6-$E$3)&lt;1,0,IFERROR(LOOKUP(2,1/('Milho 2ª safra'!$E38:INDEX('Milho 2ª safra'!$E38:$Z38,MIN(W$6-$E$3,22))&lt;&gt;""),'Milho 2ª safra'!$E38:INDEX('Milho 2ª safra'!$E38:$Z38,MIN(W$6-$E$3,22))),0))-IF($G$2,0,IF((W$6-$G$3)&lt;1,0,IFERROR(LOOKUP(2,1/('Milho 2ª safra'!$E38:INDEX('Milho 2ª safra'!$E38:$Z38,MIN(W$6-$G$3,22))&lt;&gt;""),'Milho 2ª safra'!$E38:INDEX('Milho 2ª safra'!$E38:$Z38,MIN(W$6-$G$3,22))),0)))))</f>
        <v>0</v>
      </c>
      <c r="X40" s="27" t="n">
        <f aca="false">IF(COUNT('Milho 2ª safra'!$E38:$Z38)=0,0,MAX(0,IF((X$6-$E$3)&lt;1,0,IFERROR(LOOKUP(2,1/('Milho 2ª safra'!$E38:INDEX('Milho 2ª safra'!$E38:$Z38,MIN(X$6-$E$3,22))&lt;&gt;""),'Milho 2ª safra'!$E38:INDEX('Milho 2ª safra'!$E38:$Z38,MIN(X$6-$E$3,22))),0))-IF($G$2,0,IF((X$6-$G$3)&lt;1,0,IFERROR(LOOKUP(2,1/('Milho 2ª safra'!$E38:INDEX('Milho 2ª safra'!$E38:$Z38,MIN(X$6-$G$3,22))&lt;&gt;""),'Milho 2ª safra'!$E38:INDEX('Milho 2ª safra'!$E38:$Z38,MIN(X$6-$G$3,22))),0)))))</f>
        <v>0</v>
      </c>
      <c r="Y40" s="27" t="n">
        <f aca="false">IF(COUNT('Milho 2ª safra'!$E38:$Z38)=0,0,MAX(0,IF((Y$6-$E$3)&lt;1,0,IFERROR(LOOKUP(2,1/('Milho 2ª safra'!$E38:INDEX('Milho 2ª safra'!$E38:$Z38,MIN(Y$6-$E$3,22))&lt;&gt;""),'Milho 2ª safra'!$E38:INDEX('Milho 2ª safra'!$E38:$Z38,MIN(Y$6-$E$3,22))),0))-IF($G$2,0,IF((Y$6-$G$3)&lt;1,0,IFERROR(LOOKUP(2,1/('Milho 2ª safra'!$E38:INDEX('Milho 2ª safra'!$E38:$Z38,MIN(Y$6-$G$3,22))&lt;&gt;""),'Milho 2ª safra'!$E38:INDEX('Milho 2ª safra'!$E38:$Z38,MIN(Y$6-$G$3,22))),0)))))</f>
        <v>0</v>
      </c>
      <c r="Z40" s="27" t="n">
        <f aca="false">IF(COUNT('Milho 2ª safra'!$E38:$Z38)=0,0,MAX(0,IF((Z$6-$E$3)&lt;1,0,IFERROR(LOOKUP(2,1/('Milho 2ª safra'!$E38:INDEX('Milho 2ª safra'!$E38:$Z38,MIN(Z$6-$E$3,22))&lt;&gt;""),'Milho 2ª safra'!$E38:INDEX('Milho 2ª safra'!$E38:$Z38,MIN(Z$6-$E$3,22))),0))-IF($G$2,0,IF((Z$6-$G$3)&lt;1,0,IFERROR(LOOKUP(2,1/('Milho 2ª safra'!$E38:INDEX('Milho 2ª safra'!$E38:$Z38,MIN(Z$6-$G$3,22))&lt;&gt;""),'Milho 2ª safra'!$E38:INDEX('Milho 2ª safra'!$E38:$Z38,MIN(Z$6-$G$3,22))),0)))))</f>
        <v>0</v>
      </c>
      <c r="AA40" s="27" t="n">
        <f aca="false">IF(COUNT('Milho 2ª safra'!$E38:$Z38)=0,0,MAX(0,IF((AA$6-$E$3)&lt;1,0,IFERROR(LOOKUP(2,1/('Milho 2ª safra'!$E38:INDEX('Milho 2ª safra'!$E38:$Z38,MIN(AA$6-$E$3,22))&lt;&gt;""),'Milho 2ª safra'!$E38:INDEX('Milho 2ª safra'!$E38:$Z38,MIN(AA$6-$E$3,22))),0))-IF($G$2,0,IF((AA$6-$G$3)&lt;1,0,IFERROR(LOOKUP(2,1/('Milho 2ª safra'!$E38:INDEX('Milho 2ª safra'!$E38:$Z38,MIN(AA$6-$G$3,22))&lt;&gt;""),'Milho 2ª safra'!$E38:INDEX('Milho 2ª safra'!$E38:$Z38,MIN(AA$6-$G$3,22))),0)))))</f>
        <v>0</v>
      </c>
      <c r="AB40" s="27" t="n">
        <f aca="false">IF(COUNT('Milho 2ª safra'!$E38:$Z38)=0,0,MAX(0,IF((AB$6-$E$3)&lt;1,0,IFERROR(LOOKUP(2,1/('Milho 2ª safra'!$E38:INDEX('Milho 2ª safra'!$E38:$Z38,MIN(AB$6-$E$3,22))&lt;&gt;""),'Milho 2ª safra'!$E38:INDEX('Milho 2ª safra'!$E38:$Z38,MIN(AB$6-$E$3,22))),0))-IF($G$2,0,IF((AB$6-$G$3)&lt;1,0,IFERROR(LOOKUP(2,1/('Milho 2ª safra'!$E38:INDEX('Milho 2ª safra'!$E38:$Z38,MIN(AB$6-$G$3,22))&lt;&gt;""),'Milho 2ª safra'!$E38:INDEX('Milho 2ª safra'!$E38:$Z38,MIN(AB$6-$G$3,22))),0)))))</f>
        <v>0</v>
      </c>
      <c r="AC40" s="27" t="n">
        <f aca="false">IF(COUNT('Milho 2ª safra'!$E38:$Z38)=0,0,MAX(0,IF((AC$6-$E$3)&lt;1,0,IFERROR(LOOKUP(2,1/('Milho 2ª safra'!$E38:INDEX('Milho 2ª safra'!$E38:$Z38,MIN(AC$6-$E$3,22))&lt;&gt;""),'Milho 2ª safra'!$E38:INDEX('Milho 2ª safra'!$E38:$Z38,MIN(AC$6-$E$3,22))),0))-IF($G$2,0,IF((AC$6-$G$3)&lt;1,0,IFERROR(LOOKUP(2,1/('Milho 2ª safra'!$E38:INDEX('Milho 2ª safra'!$E38:$Z38,MIN(AC$6-$G$3,22))&lt;&gt;""),'Milho 2ª safra'!$E38:INDEX('Milho 2ª safra'!$E38:$Z38,MIN(AC$6-$G$3,22))),0)))))</f>
        <v>0</v>
      </c>
      <c r="AD40" s="27" t="n">
        <f aca="false">IF(COUNT('Milho 2ª safra'!$E38:$Z38)=0,0,MAX(0,IF((AD$6-$E$3)&lt;1,0,IFERROR(LOOKUP(2,1/('Milho 2ª safra'!$E38:INDEX('Milho 2ª safra'!$E38:$Z38,MIN(AD$6-$E$3,22))&lt;&gt;""),'Milho 2ª safra'!$E38:INDEX('Milho 2ª safra'!$E38:$Z38,MIN(AD$6-$E$3,22))),0))-IF($G$2,0,IF((AD$6-$G$3)&lt;1,0,IFERROR(LOOKUP(2,1/('Milho 2ª safra'!$E38:INDEX('Milho 2ª safra'!$E38:$Z38,MIN(AD$6-$G$3,22))&lt;&gt;""),'Milho 2ª safra'!$E38:INDEX('Milho 2ª safra'!$E38:$Z38,MIN(AD$6-$G$3,22))),0)))))</f>
        <v>0</v>
      </c>
      <c r="AE40" s="27" t="n">
        <f aca="false">IF(COUNT('Milho 2ª safra'!$E38:$Z38)=0,0,MAX(0,IF((AE$6-$E$3)&lt;1,0,IFERROR(LOOKUP(2,1/('Milho 2ª safra'!$E38:INDEX('Milho 2ª safra'!$E38:$Z38,MIN(AE$6-$E$3,22))&lt;&gt;""),'Milho 2ª safra'!$E38:INDEX('Milho 2ª safra'!$E38:$Z38,MIN(AE$6-$E$3,22))),0))-IF($G$2,0,IF((AE$6-$G$3)&lt;1,0,IFERROR(LOOKUP(2,1/('Milho 2ª safra'!$E38:INDEX('Milho 2ª safra'!$E38:$Z38,MIN(AE$6-$G$3,22))&lt;&gt;""),'Milho 2ª safra'!$E38:INDEX('Milho 2ª safra'!$E38:$Z38,MIN(AE$6-$G$3,22))),0)))))</f>
        <v>0</v>
      </c>
      <c r="AF40" s="27" t="n">
        <f aca="false">IF(COUNT('Milho 2ª safra'!$E38:$Z38)=0,0,MAX(0,IF((AF$6-$E$3)&lt;1,0,IFERROR(LOOKUP(2,1/('Milho 2ª safra'!$E38:INDEX('Milho 2ª safra'!$E38:$Z38,MIN(AF$6-$E$3,22))&lt;&gt;""),'Milho 2ª safra'!$E38:INDEX('Milho 2ª safra'!$E38:$Z38,MIN(AF$6-$E$3,22))),0))-IF($G$2,0,IF((AF$6-$G$3)&lt;1,0,IFERROR(LOOKUP(2,1/('Milho 2ª safra'!$E38:INDEX('Milho 2ª safra'!$E38:$Z38,MIN(AF$6-$G$3,22))&lt;&gt;""),'Milho 2ª safra'!$E38:INDEX('Milho 2ª safra'!$E38:$Z38,MIN(AF$6-$G$3,22))),0)))))</f>
        <v>0</v>
      </c>
      <c r="AG40" s="27" t="n">
        <f aca="false">IF(COUNT('Milho 2ª safra'!$E38:$Z38)=0,0,MAX(0,IF((AG$6-$E$3)&lt;1,0,IFERROR(LOOKUP(2,1/('Milho 2ª safra'!$E38:INDEX('Milho 2ª safra'!$E38:$Z38,MIN(AG$6-$E$3,22))&lt;&gt;""),'Milho 2ª safra'!$E38:INDEX('Milho 2ª safra'!$E38:$Z38,MIN(AG$6-$E$3,22))),0))-IF($G$2,0,IF((AG$6-$G$3)&lt;1,0,IFERROR(LOOKUP(2,1/('Milho 2ª safra'!$E38:INDEX('Milho 2ª safra'!$E38:$Z38,MIN(AG$6-$G$3,22))&lt;&gt;""),'Milho 2ª safra'!$E38:INDEX('Milho 2ª safra'!$E38:$Z38,MIN(AG$6-$G$3,22))),0)))))</f>
        <v>0</v>
      </c>
      <c r="AH40" s="27" t="n">
        <f aca="false">IF(COUNT('Milho 2ª safra'!$E38:$Z38)=0,0,MAX(0,IF((AH$6-$E$3)&lt;1,0,IFERROR(LOOKUP(2,1/('Milho 2ª safra'!$E38:INDEX('Milho 2ª safra'!$E38:$Z38,MIN(AH$6-$E$3,22))&lt;&gt;""),'Milho 2ª safra'!$E38:INDEX('Milho 2ª safra'!$E38:$Z38,MIN(AH$6-$E$3,22))),0))-IF($G$2,0,IF((AH$6-$G$3)&lt;1,0,IFERROR(LOOKUP(2,1/('Milho 2ª safra'!$E38:INDEX('Milho 2ª safra'!$E38:$Z38,MIN(AH$6-$G$3,22))&lt;&gt;""),'Milho 2ª safra'!$E38:INDEX('Milho 2ª safra'!$E38:$Z38,MIN(AH$6-$G$3,22))),0)))))</f>
        <v>0</v>
      </c>
      <c r="AI40" s="27" t="n">
        <f aca="false">IF(COUNT('Milho 2ª safra'!$E38:$Z38)=0,0,MAX(0,IF((AI$6-$E$3)&lt;1,0,IFERROR(LOOKUP(2,1/('Milho 2ª safra'!$E38:INDEX('Milho 2ª safra'!$E38:$Z38,MIN(AI$6-$E$3,22))&lt;&gt;""),'Milho 2ª safra'!$E38:INDEX('Milho 2ª safra'!$E38:$Z38,MIN(AI$6-$E$3,22))),0))-IF($G$2,0,IF((AI$6-$G$3)&lt;1,0,IFERROR(LOOKUP(2,1/('Milho 2ª safra'!$E38:INDEX('Milho 2ª safra'!$E38:$Z38,MIN(AI$6-$G$3,22))&lt;&gt;""),'Milho 2ª safra'!$E38:INDEX('Milho 2ª safra'!$E38:$Z38,MIN(AI$6-$G$3,22))),0)))))</f>
        <v>0</v>
      </c>
      <c r="AJ40" s="27" t="n">
        <f aca="false">IF(COUNT('Milho 2ª safra'!$E38:$Z38)=0,0,MAX(0,IF((AJ$6-$E$3)&lt;1,0,IFERROR(LOOKUP(2,1/('Milho 2ª safra'!$E38:INDEX('Milho 2ª safra'!$E38:$Z38,MIN(AJ$6-$E$3,22))&lt;&gt;""),'Milho 2ª safra'!$E38:INDEX('Milho 2ª safra'!$E38:$Z38,MIN(AJ$6-$E$3,22))),0))-IF($G$2,0,IF((AJ$6-$G$3)&lt;1,0,IFERROR(LOOKUP(2,1/('Milho 2ª safra'!$E38:INDEX('Milho 2ª safra'!$E38:$Z38,MIN(AJ$6-$G$3,22))&lt;&gt;""),'Milho 2ª safra'!$E38:INDEX('Milho 2ª safra'!$E38:$Z38,MIN(AJ$6-$G$3,22))),0)))))</f>
        <v>0</v>
      </c>
      <c r="AK40" s="27" t="n">
        <f aca="false">IF(COUNT('Milho 2ª safra'!$E38:$Z38)=0,0,MAX(0,IF((AK$6-$E$3)&lt;1,0,IFERROR(LOOKUP(2,1/('Milho 2ª safra'!$E38:INDEX('Milho 2ª safra'!$E38:$Z38,MIN(AK$6-$E$3,22))&lt;&gt;""),'Milho 2ª safra'!$E38:INDEX('Milho 2ª safra'!$E38:$Z38,MIN(AK$6-$E$3,22))),0))-IF($G$2,0,IF((AK$6-$G$3)&lt;1,0,IFERROR(LOOKUP(2,1/('Milho 2ª safra'!$E38:INDEX('Milho 2ª safra'!$E38:$Z38,MIN(AK$6-$G$3,22))&lt;&gt;""),'Milho 2ª safra'!$E38:INDEX('Milho 2ª safra'!$E38:$Z38,MIN(AK$6-$G$3,22))),0)))))</f>
        <v>0</v>
      </c>
      <c r="AL40" s="27" t="n">
        <f aca="false">IF(COUNT('Milho 2ª safra'!$E38:$Z38)=0,0,MAX(0,IF((AL$6-$E$3)&lt;1,0,IFERROR(LOOKUP(2,1/('Milho 2ª safra'!$E38:INDEX('Milho 2ª safra'!$E38:$Z38,MIN(AL$6-$E$3,22))&lt;&gt;""),'Milho 2ª safra'!$E38:INDEX('Milho 2ª safra'!$E38:$Z38,MIN(AL$6-$E$3,22))),0))-IF($G$2,0,IF((AL$6-$G$3)&lt;1,0,IFERROR(LOOKUP(2,1/('Milho 2ª safra'!$E38:INDEX('Milho 2ª safra'!$E38:$Z38,MIN(AL$6-$G$3,22))&lt;&gt;""),'Milho 2ª safra'!$E38:INDEX('Milho 2ª safra'!$E38:$Z38,MIN(AL$6-$G$3,22))),0)))))</f>
        <v>0</v>
      </c>
      <c r="AM40" s="27" t="n">
        <f aca="false">IF(COUNT('Milho 2ª safra'!$E38:$Z38)=0,0,MAX(0,IF((AM$6-$E$3)&lt;1,0,IFERROR(LOOKUP(2,1/('Milho 2ª safra'!$E38:INDEX('Milho 2ª safra'!$E38:$Z38,MIN(AM$6-$E$3,22))&lt;&gt;""),'Milho 2ª safra'!$E38:INDEX('Milho 2ª safra'!$E38:$Z38,MIN(AM$6-$E$3,22))),0))-IF($G$2,0,IF((AM$6-$G$3)&lt;1,0,IFERROR(LOOKUP(2,1/('Milho 2ª safra'!$E38:INDEX('Milho 2ª safra'!$E38:$Z38,MIN(AM$6-$G$3,22))&lt;&gt;""),'Milho 2ª safra'!$E38:INDEX('Milho 2ª safra'!$E38:$Z38,MIN(AM$6-$G$3,22))),0)))))</f>
        <v>0</v>
      </c>
      <c r="AN40" s="27" t="n">
        <f aca="false">IF(COUNT('Milho 2ª safra'!$E38:$Z38)=0,0,MAX(0,IF((AN$6-$E$3)&lt;1,0,IFERROR(LOOKUP(2,1/('Milho 2ª safra'!$E38:INDEX('Milho 2ª safra'!$E38:$Z38,MIN(AN$6-$E$3,22))&lt;&gt;""),'Milho 2ª safra'!$E38:INDEX('Milho 2ª safra'!$E38:$Z38,MIN(AN$6-$E$3,22))),0))-IF($G$2,0,IF((AN$6-$G$3)&lt;1,0,IFERROR(LOOKUP(2,1/('Milho 2ª safra'!$E38:INDEX('Milho 2ª safra'!$E38:$Z38,MIN(AN$6-$G$3,22))&lt;&gt;""),'Milho 2ª safra'!$E38:INDEX('Milho 2ª safra'!$E38:$Z38,MIN(AN$6-$G$3,22))),0)))))</f>
        <v>0</v>
      </c>
      <c r="AO40" s="27" t="n">
        <f aca="false">IF(COUNT('Milho 2ª safra'!$E38:$Z38)=0,0,MAX(0,IF((AO$6-$E$3)&lt;1,0,IFERROR(LOOKUP(2,1/('Milho 2ª safra'!$E38:INDEX('Milho 2ª safra'!$E38:$Z38,MIN(AO$6-$E$3,22))&lt;&gt;""),'Milho 2ª safra'!$E38:INDEX('Milho 2ª safra'!$E38:$Z38,MIN(AO$6-$E$3,22))),0))-IF($G$2,0,IF((AO$6-$G$3)&lt;1,0,IFERROR(LOOKUP(2,1/('Milho 2ª safra'!$E38:INDEX('Milho 2ª safra'!$E38:$Z38,MIN(AO$6-$G$3,22))&lt;&gt;""),'Milho 2ª safra'!$E38:INDEX('Milho 2ª safra'!$E38:$Z38,MIN(AO$6-$G$3,22))),0)))))</f>
        <v>0</v>
      </c>
      <c r="AP40" s="27" t="n">
        <f aca="false">IF(COUNT('Milho 2ª safra'!$E38:$Z38)=0,0,MAX(0,IF((AP$6-$E$3)&lt;1,0,IFERROR(LOOKUP(2,1/('Milho 2ª safra'!$E38:INDEX('Milho 2ª safra'!$E38:$Z38,MIN(AP$6-$E$3,22))&lt;&gt;""),'Milho 2ª safra'!$E38:INDEX('Milho 2ª safra'!$E38:$Z38,MIN(AP$6-$E$3,22))),0))-IF($G$2,0,IF((AP$6-$G$3)&lt;1,0,IFERROR(LOOKUP(2,1/('Milho 2ª safra'!$E38:INDEX('Milho 2ª safra'!$E38:$Z38,MIN(AP$6-$G$3,22))&lt;&gt;""),'Milho 2ª safra'!$E38:INDEX('Milho 2ª safra'!$E38:$Z38,MIN(AP$6-$G$3,22))),0)))))</f>
        <v>0</v>
      </c>
      <c r="AQ40" s="27" t="n">
        <f aca="false">IF(COUNT('Milho 2ª safra'!$E38:$Z38)=0,0,MAX(0,IF((AQ$6-$E$3)&lt;1,0,IFERROR(LOOKUP(2,1/('Milho 2ª safra'!$E38:INDEX('Milho 2ª safra'!$E38:$Z38,MIN(AQ$6-$E$3,22))&lt;&gt;""),'Milho 2ª safra'!$E38:INDEX('Milho 2ª safra'!$E38:$Z38,MIN(AQ$6-$E$3,22))),0))-IF($G$2,0,IF((AQ$6-$G$3)&lt;1,0,IFERROR(LOOKUP(2,1/('Milho 2ª safra'!$E38:INDEX('Milho 2ª safra'!$E38:$Z38,MIN(AQ$6-$G$3,22))&lt;&gt;""),'Milho 2ª safra'!$E38:INDEX('Milho 2ª safra'!$E38:$Z38,MIN(AQ$6-$G$3,22))),0)))))</f>
        <v>0</v>
      </c>
      <c r="AR40" s="27" t="n">
        <f aca="false">IF(COUNT('Milho 2ª safra'!$E38:$Z38)=0,0,MAX(0,IF((AR$6-$E$3)&lt;1,0,IFERROR(LOOKUP(2,1/('Milho 2ª safra'!$E38:INDEX('Milho 2ª safra'!$E38:$Z38,MIN(AR$6-$E$3,22))&lt;&gt;""),'Milho 2ª safra'!$E38:INDEX('Milho 2ª safra'!$E38:$Z38,MIN(AR$6-$E$3,22))),0))-IF($G$2,0,IF((AR$6-$G$3)&lt;1,0,IFERROR(LOOKUP(2,1/('Milho 2ª safra'!$E38:INDEX('Milho 2ª safra'!$E38:$Z38,MIN(AR$6-$G$3,22))&lt;&gt;""),'Milho 2ª safra'!$E38:INDEX('Milho 2ª safra'!$E38:$Z38,MIN(AR$6-$G$3,22))),0)))))</f>
        <v>0</v>
      </c>
      <c r="AS40" s="27" t="n">
        <f aca="false">IF(COUNT('Milho 2ª safra'!$E38:$Z38)=0,0,MAX(0,IF((AS$6-$E$3)&lt;1,0,IFERROR(LOOKUP(2,1/('Milho 2ª safra'!$E38:INDEX('Milho 2ª safra'!$E38:$Z38,MIN(AS$6-$E$3,22))&lt;&gt;""),'Milho 2ª safra'!$E38:INDEX('Milho 2ª safra'!$E38:$Z38,MIN(AS$6-$E$3,22))),0))-IF($G$2,0,IF((AS$6-$G$3)&lt;1,0,IFERROR(LOOKUP(2,1/('Milho 2ª safra'!$E38:INDEX('Milho 2ª safra'!$E38:$Z38,MIN(AS$6-$G$3,22))&lt;&gt;""),'Milho 2ª safra'!$E38:INDEX('Milho 2ª safra'!$E38:$Z38,MIN(AS$6-$G$3,22))),0)))))</f>
        <v>0</v>
      </c>
      <c r="AT40" s="27" t="n">
        <f aca="false">IF(COUNT('Milho 2ª safra'!$E38:$Z38)=0,0,MAX(0,IF((AT$6-$E$3)&lt;1,0,IFERROR(LOOKUP(2,1/('Milho 2ª safra'!$E38:INDEX('Milho 2ª safra'!$E38:$Z38,MIN(AT$6-$E$3,22))&lt;&gt;""),'Milho 2ª safra'!$E38:INDEX('Milho 2ª safra'!$E38:$Z38,MIN(AT$6-$E$3,22))),0))-IF($G$2,0,IF((AT$6-$G$3)&lt;1,0,IFERROR(LOOKUP(2,1/('Milho 2ª safra'!$E38:INDEX('Milho 2ª safra'!$E38:$Z38,MIN(AT$6-$G$3,22))&lt;&gt;""),'Milho 2ª safra'!$E38:INDEX('Milho 2ª safra'!$E38:$Z38,MIN(AT$6-$G$3,22))),0)))))</f>
        <v>0</v>
      </c>
      <c r="AU40" s="27" t="n">
        <f aca="false">IF(COUNT('Milho 2ª safra'!$E38:$Z38)=0,0,MAX(0,IF((AU$6-$E$3)&lt;1,0,IFERROR(LOOKUP(2,1/('Milho 2ª safra'!$E38:INDEX('Milho 2ª safra'!$E38:$Z38,MIN(AU$6-$E$3,22))&lt;&gt;""),'Milho 2ª safra'!$E38:INDEX('Milho 2ª safra'!$E38:$Z38,MIN(AU$6-$E$3,22))),0))-IF($G$2,0,IF((AU$6-$G$3)&lt;1,0,IFERROR(LOOKUP(2,1/('Milho 2ª safra'!$E38:INDEX('Milho 2ª safra'!$E38:$Z38,MIN(AU$6-$G$3,22))&lt;&gt;""),'Milho 2ª safra'!$E38:INDEX('Milho 2ª safra'!$E38:$Z38,MIN(AU$6-$G$3,22))),0)))))</f>
        <v>0</v>
      </c>
      <c r="AV40" s="27" t="n">
        <f aca="false">IF(COUNT('Milho 2ª safra'!$E38:$Z38)=0,0,MAX(0,IF((AV$6-$E$3)&lt;1,0,IFERROR(LOOKUP(2,1/('Milho 2ª safra'!$E38:INDEX('Milho 2ª safra'!$E38:$Z38,MIN(AV$6-$E$3,22))&lt;&gt;""),'Milho 2ª safra'!$E38:INDEX('Milho 2ª safra'!$E38:$Z38,MIN(AV$6-$E$3,22))),0))-IF($G$2,0,IF((AV$6-$G$3)&lt;1,0,IFERROR(LOOKUP(2,1/('Milho 2ª safra'!$E38:INDEX('Milho 2ª safra'!$E38:$Z38,MIN(AV$6-$G$3,22))&lt;&gt;""),'Milho 2ª safra'!$E38:INDEX('Milho 2ª safra'!$E38:$Z38,MIN(AV$6-$G$3,22))),0)))))</f>
        <v>0</v>
      </c>
      <c r="AW40" s="27" t="n">
        <f aca="false">IF(COUNT('Milho 2ª safra'!$E38:$Z38)=0,0,MAX(0,IF((AW$6-$E$3)&lt;1,0,IFERROR(LOOKUP(2,1/('Milho 2ª safra'!$E38:INDEX('Milho 2ª safra'!$E38:$Z38,MIN(AW$6-$E$3,22))&lt;&gt;""),'Milho 2ª safra'!$E38:INDEX('Milho 2ª safra'!$E38:$Z38,MIN(AW$6-$E$3,22))),0))-IF($G$2,0,IF((AW$6-$G$3)&lt;1,0,IFERROR(LOOKUP(2,1/('Milho 2ª safra'!$E38:INDEX('Milho 2ª safra'!$E38:$Z38,MIN(AW$6-$G$3,22))&lt;&gt;""),'Milho 2ª safra'!$E38:INDEX('Milho 2ª safra'!$E38:$Z38,MIN(AW$6-$G$3,22))),0)))))</f>
        <v>0</v>
      </c>
      <c r="AX40" s="27" t="n">
        <f aca="false">IF(COUNT('Milho 2ª safra'!$E38:$Z38)=0,0,MAX(0,IF((AX$6-$E$3)&lt;1,0,IFERROR(LOOKUP(2,1/('Milho 2ª safra'!$E38:INDEX('Milho 2ª safra'!$E38:$Z38,MIN(AX$6-$E$3,22))&lt;&gt;""),'Milho 2ª safra'!$E38:INDEX('Milho 2ª safra'!$E38:$Z38,MIN(AX$6-$E$3,22))),0))-IF($G$2,0,IF((AX$6-$G$3)&lt;1,0,IFERROR(LOOKUP(2,1/('Milho 2ª safra'!$E38:INDEX('Milho 2ª safra'!$E38:$Z38,MIN(AX$6-$G$3,22))&lt;&gt;""),'Milho 2ª safra'!$E38:INDEX('Milho 2ª safra'!$E38:$Z38,MIN(AX$6-$G$3,22))),0)))))</f>
        <v>0</v>
      </c>
      <c r="AY40" s="27" t="n">
        <f aca="false">IF(COUNT('Milho 2ª safra'!$E38:$Z38)=0,0,MAX(0,IF((AY$6-$E$3)&lt;1,0,IFERROR(LOOKUP(2,1/('Milho 2ª safra'!$E38:INDEX('Milho 2ª safra'!$E38:$Z38,MIN(AY$6-$E$3,22))&lt;&gt;""),'Milho 2ª safra'!$E38:INDEX('Milho 2ª safra'!$E38:$Z38,MIN(AY$6-$E$3,22))),0))-IF($G$2,0,IF((AY$6-$G$3)&lt;1,0,IFERROR(LOOKUP(2,1/('Milho 2ª safra'!$E38:INDEX('Milho 2ª safra'!$E38:$Z38,MIN(AY$6-$G$3,22))&lt;&gt;""),'Milho 2ª safra'!$E38:INDEX('Milho 2ª safra'!$E38:$Z38,MIN(AY$6-$G$3,22))),0)))))</f>
        <v>0</v>
      </c>
      <c r="AZ40" s="27" t="n">
        <f aca="false">IF(COUNT('Milho 2ª safra'!$E38:$Z38)=0,0,MAX(0,IF((AZ$6-$E$3)&lt;1,0,IFERROR(LOOKUP(2,1/('Milho 2ª safra'!$E38:INDEX('Milho 2ª safra'!$E38:$Z38,MIN(AZ$6-$E$3,22))&lt;&gt;""),'Milho 2ª safra'!$E38:INDEX('Milho 2ª safra'!$E38:$Z38,MIN(AZ$6-$E$3,22))),0))-IF($G$2,0,IF((AZ$6-$G$3)&lt;1,0,IFERROR(LOOKUP(2,1/('Milho 2ª safra'!$E38:INDEX('Milho 2ª safra'!$E38:$Z38,MIN(AZ$6-$G$3,22))&lt;&gt;""),'Milho 2ª safra'!$E38:INDEX('Milho 2ª safra'!$E38:$Z38,MIN(AZ$6-$G$3,22))),0)))))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IF(COUNT('Milho 2ª safra'!$E39:$Z39)&gt;0,N('Milho 2ª safra'!$D39),0)</f>
        <v>0</v>
      </c>
      <c r="E41" s="27" t="n">
        <f aca="false">IF(COUNT('Milho 2ª safra'!$E39:$Z39)=0,0,MAX(0,IF((E$6-$E$3)&lt;1,0,IFERROR(LOOKUP(2,1/('Milho 2ª safra'!$E39:INDEX('Milho 2ª safra'!$E39:$Z39,MIN(E$6-$E$3,22))&lt;&gt;""),'Milho 2ª safra'!$E39:INDEX('Milho 2ª safra'!$E39:$Z39,MIN(E$6-$E$3,22))),0))-IF($G$2,0,IF((E$6-$G$3)&lt;1,0,IFERROR(LOOKUP(2,1/('Milho 2ª safra'!$E39:INDEX('Milho 2ª safra'!$E39:$Z39,MIN(E$6-$G$3,22))&lt;&gt;""),'Milho 2ª safra'!$E39:INDEX('Milho 2ª safra'!$E39:$Z39,MIN(E$6-$G$3,22))),0)))))</f>
        <v>0</v>
      </c>
      <c r="F41" s="27" t="n">
        <f aca="false">IF(COUNT('Milho 2ª safra'!$E39:$Z39)=0,0,MAX(0,IF((F$6-$E$3)&lt;1,0,IFERROR(LOOKUP(2,1/('Milho 2ª safra'!$E39:INDEX('Milho 2ª safra'!$E39:$Z39,MIN(F$6-$E$3,22))&lt;&gt;""),'Milho 2ª safra'!$E39:INDEX('Milho 2ª safra'!$E39:$Z39,MIN(F$6-$E$3,22))),0))-IF($G$2,0,IF((F$6-$G$3)&lt;1,0,IFERROR(LOOKUP(2,1/('Milho 2ª safra'!$E39:INDEX('Milho 2ª safra'!$E39:$Z39,MIN(F$6-$G$3,22))&lt;&gt;""),'Milho 2ª safra'!$E39:INDEX('Milho 2ª safra'!$E39:$Z39,MIN(F$6-$G$3,22))),0)))))</f>
        <v>0</v>
      </c>
      <c r="G41" s="27" t="n">
        <f aca="false">IF(COUNT('Milho 2ª safra'!$E39:$Z39)=0,0,MAX(0,IF((G$6-$E$3)&lt;1,0,IFERROR(LOOKUP(2,1/('Milho 2ª safra'!$E39:INDEX('Milho 2ª safra'!$E39:$Z39,MIN(G$6-$E$3,22))&lt;&gt;""),'Milho 2ª safra'!$E39:INDEX('Milho 2ª safra'!$E39:$Z39,MIN(G$6-$E$3,22))),0))-IF($G$2,0,IF((G$6-$G$3)&lt;1,0,IFERROR(LOOKUP(2,1/('Milho 2ª safra'!$E39:INDEX('Milho 2ª safra'!$E39:$Z39,MIN(G$6-$G$3,22))&lt;&gt;""),'Milho 2ª safra'!$E39:INDEX('Milho 2ª safra'!$E39:$Z39,MIN(G$6-$G$3,22))),0)))))</f>
        <v>0</v>
      </c>
      <c r="H41" s="27" t="n">
        <f aca="false">IF(COUNT('Milho 2ª safra'!$E39:$Z39)=0,0,MAX(0,IF((H$6-$E$3)&lt;1,0,IFERROR(LOOKUP(2,1/('Milho 2ª safra'!$E39:INDEX('Milho 2ª safra'!$E39:$Z39,MIN(H$6-$E$3,22))&lt;&gt;""),'Milho 2ª safra'!$E39:INDEX('Milho 2ª safra'!$E39:$Z39,MIN(H$6-$E$3,22))),0))-IF($G$2,0,IF((H$6-$G$3)&lt;1,0,IFERROR(LOOKUP(2,1/('Milho 2ª safra'!$E39:INDEX('Milho 2ª safra'!$E39:$Z39,MIN(H$6-$G$3,22))&lt;&gt;""),'Milho 2ª safra'!$E39:INDEX('Milho 2ª safra'!$E39:$Z39,MIN(H$6-$G$3,22))),0)))))</f>
        <v>0</v>
      </c>
      <c r="I41" s="27" t="n">
        <f aca="false">IF(COUNT('Milho 2ª safra'!$E39:$Z39)=0,0,MAX(0,IF((I$6-$E$3)&lt;1,0,IFERROR(LOOKUP(2,1/('Milho 2ª safra'!$E39:INDEX('Milho 2ª safra'!$E39:$Z39,MIN(I$6-$E$3,22))&lt;&gt;""),'Milho 2ª safra'!$E39:INDEX('Milho 2ª safra'!$E39:$Z39,MIN(I$6-$E$3,22))),0))-IF($G$2,0,IF((I$6-$G$3)&lt;1,0,IFERROR(LOOKUP(2,1/('Milho 2ª safra'!$E39:INDEX('Milho 2ª safra'!$E39:$Z39,MIN(I$6-$G$3,22))&lt;&gt;""),'Milho 2ª safra'!$E39:INDEX('Milho 2ª safra'!$E39:$Z39,MIN(I$6-$G$3,22))),0)))))</f>
        <v>0</v>
      </c>
      <c r="J41" s="27" t="n">
        <f aca="false">IF(COUNT('Milho 2ª safra'!$E39:$Z39)=0,0,MAX(0,IF((J$6-$E$3)&lt;1,0,IFERROR(LOOKUP(2,1/('Milho 2ª safra'!$E39:INDEX('Milho 2ª safra'!$E39:$Z39,MIN(J$6-$E$3,22))&lt;&gt;""),'Milho 2ª safra'!$E39:INDEX('Milho 2ª safra'!$E39:$Z39,MIN(J$6-$E$3,22))),0))-IF($G$2,0,IF((J$6-$G$3)&lt;1,0,IFERROR(LOOKUP(2,1/('Milho 2ª safra'!$E39:INDEX('Milho 2ª safra'!$E39:$Z39,MIN(J$6-$G$3,22))&lt;&gt;""),'Milho 2ª safra'!$E39:INDEX('Milho 2ª safra'!$E39:$Z39,MIN(J$6-$G$3,22))),0)))))</f>
        <v>0</v>
      </c>
      <c r="K41" s="27" t="n">
        <f aca="false">IF(COUNT('Milho 2ª safra'!$E39:$Z39)=0,0,MAX(0,IF((K$6-$E$3)&lt;1,0,IFERROR(LOOKUP(2,1/('Milho 2ª safra'!$E39:INDEX('Milho 2ª safra'!$E39:$Z39,MIN(K$6-$E$3,22))&lt;&gt;""),'Milho 2ª safra'!$E39:INDEX('Milho 2ª safra'!$E39:$Z39,MIN(K$6-$E$3,22))),0))-IF($G$2,0,IF((K$6-$G$3)&lt;1,0,IFERROR(LOOKUP(2,1/('Milho 2ª safra'!$E39:INDEX('Milho 2ª safra'!$E39:$Z39,MIN(K$6-$G$3,22))&lt;&gt;""),'Milho 2ª safra'!$E39:INDEX('Milho 2ª safra'!$E39:$Z39,MIN(K$6-$G$3,22))),0)))))</f>
        <v>0</v>
      </c>
      <c r="L41" s="27" t="n">
        <f aca="false">IF(COUNT('Milho 2ª safra'!$E39:$Z39)=0,0,MAX(0,IF((L$6-$E$3)&lt;1,0,IFERROR(LOOKUP(2,1/('Milho 2ª safra'!$E39:INDEX('Milho 2ª safra'!$E39:$Z39,MIN(L$6-$E$3,22))&lt;&gt;""),'Milho 2ª safra'!$E39:INDEX('Milho 2ª safra'!$E39:$Z39,MIN(L$6-$E$3,22))),0))-IF($G$2,0,IF((L$6-$G$3)&lt;1,0,IFERROR(LOOKUP(2,1/('Milho 2ª safra'!$E39:INDEX('Milho 2ª safra'!$E39:$Z39,MIN(L$6-$G$3,22))&lt;&gt;""),'Milho 2ª safra'!$E39:INDEX('Milho 2ª safra'!$E39:$Z39,MIN(L$6-$G$3,22))),0)))))</f>
        <v>0</v>
      </c>
      <c r="M41" s="27" t="n">
        <f aca="false">IF(COUNT('Milho 2ª safra'!$E39:$Z39)=0,0,MAX(0,IF((M$6-$E$3)&lt;1,0,IFERROR(LOOKUP(2,1/('Milho 2ª safra'!$E39:INDEX('Milho 2ª safra'!$E39:$Z39,MIN(M$6-$E$3,22))&lt;&gt;""),'Milho 2ª safra'!$E39:INDEX('Milho 2ª safra'!$E39:$Z39,MIN(M$6-$E$3,22))),0))-IF($G$2,0,IF((M$6-$G$3)&lt;1,0,IFERROR(LOOKUP(2,1/('Milho 2ª safra'!$E39:INDEX('Milho 2ª safra'!$E39:$Z39,MIN(M$6-$G$3,22))&lt;&gt;""),'Milho 2ª safra'!$E39:INDEX('Milho 2ª safra'!$E39:$Z39,MIN(M$6-$G$3,22))),0)))))</f>
        <v>0</v>
      </c>
      <c r="N41" s="27" t="n">
        <f aca="false">IF(COUNT('Milho 2ª safra'!$E39:$Z39)=0,0,MAX(0,IF((N$6-$E$3)&lt;1,0,IFERROR(LOOKUP(2,1/('Milho 2ª safra'!$E39:INDEX('Milho 2ª safra'!$E39:$Z39,MIN(N$6-$E$3,22))&lt;&gt;""),'Milho 2ª safra'!$E39:INDEX('Milho 2ª safra'!$E39:$Z39,MIN(N$6-$E$3,22))),0))-IF($G$2,0,IF((N$6-$G$3)&lt;1,0,IFERROR(LOOKUP(2,1/('Milho 2ª safra'!$E39:INDEX('Milho 2ª safra'!$E39:$Z39,MIN(N$6-$G$3,22))&lt;&gt;""),'Milho 2ª safra'!$E39:INDEX('Milho 2ª safra'!$E39:$Z39,MIN(N$6-$G$3,22))),0)))))</f>
        <v>0</v>
      </c>
      <c r="O41" s="27" t="n">
        <f aca="false">IF(COUNT('Milho 2ª safra'!$E39:$Z39)=0,0,MAX(0,IF((O$6-$E$3)&lt;1,0,IFERROR(LOOKUP(2,1/('Milho 2ª safra'!$E39:INDEX('Milho 2ª safra'!$E39:$Z39,MIN(O$6-$E$3,22))&lt;&gt;""),'Milho 2ª safra'!$E39:INDEX('Milho 2ª safra'!$E39:$Z39,MIN(O$6-$E$3,22))),0))-IF($G$2,0,IF((O$6-$G$3)&lt;1,0,IFERROR(LOOKUP(2,1/('Milho 2ª safra'!$E39:INDEX('Milho 2ª safra'!$E39:$Z39,MIN(O$6-$G$3,22))&lt;&gt;""),'Milho 2ª safra'!$E39:INDEX('Milho 2ª safra'!$E39:$Z39,MIN(O$6-$G$3,22))),0)))))</f>
        <v>0</v>
      </c>
      <c r="P41" s="27" t="n">
        <f aca="false">IF(COUNT('Milho 2ª safra'!$E39:$Z39)=0,0,MAX(0,IF((P$6-$E$3)&lt;1,0,IFERROR(LOOKUP(2,1/('Milho 2ª safra'!$E39:INDEX('Milho 2ª safra'!$E39:$Z39,MIN(P$6-$E$3,22))&lt;&gt;""),'Milho 2ª safra'!$E39:INDEX('Milho 2ª safra'!$E39:$Z39,MIN(P$6-$E$3,22))),0))-IF($G$2,0,IF((P$6-$G$3)&lt;1,0,IFERROR(LOOKUP(2,1/('Milho 2ª safra'!$E39:INDEX('Milho 2ª safra'!$E39:$Z39,MIN(P$6-$G$3,22))&lt;&gt;""),'Milho 2ª safra'!$E39:INDEX('Milho 2ª safra'!$E39:$Z39,MIN(P$6-$G$3,22))),0)))))</f>
        <v>0</v>
      </c>
      <c r="Q41" s="27" t="n">
        <f aca="false">IF(COUNT('Milho 2ª safra'!$E39:$Z39)=0,0,MAX(0,IF((Q$6-$E$3)&lt;1,0,IFERROR(LOOKUP(2,1/('Milho 2ª safra'!$E39:INDEX('Milho 2ª safra'!$E39:$Z39,MIN(Q$6-$E$3,22))&lt;&gt;""),'Milho 2ª safra'!$E39:INDEX('Milho 2ª safra'!$E39:$Z39,MIN(Q$6-$E$3,22))),0))-IF($G$2,0,IF((Q$6-$G$3)&lt;1,0,IFERROR(LOOKUP(2,1/('Milho 2ª safra'!$E39:INDEX('Milho 2ª safra'!$E39:$Z39,MIN(Q$6-$G$3,22))&lt;&gt;""),'Milho 2ª safra'!$E39:INDEX('Milho 2ª safra'!$E39:$Z39,MIN(Q$6-$G$3,22))),0)))))</f>
        <v>0</v>
      </c>
      <c r="R41" s="27" t="n">
        <f aca="false">IF(COUNT('Milho 2ª safra'!$E39:$Z39)=0,0,MAX(0,IF((R$6-$E$3)&lt;1,0,IFERROR(LOOKUP(2,1/('Milho 2ª safra'!$E39:INDEX('Milho 2ª safra'!$E39:$Z39,MIN(R$6-$E$3,22))&lt;&gt;""),'Milho 2ª safra'!$E39:INDEX('Milho 2ª safra'!$E39:$Z39,MIN(R$6-$E$3,22))),0))-IF($G$2,0,IF((R$6-$G$3)&lt;1,0,IFERROR(LOOKUP(2,1/('Milho 2ª safra'!$E39:INDEX('Milho 2ª safra'!$E39:$Z39,MIN(R$6-$G$3,22))&lt;&gt;""),'Milho 2ª safra'!$E39:INDEX('Milho 2ª safra'!$E39:$Z39,MIN(R$6-$G$3,22))),0)))))</f>
        <v>0</v>
      </c>
      <c r="S41" s="27" t="n">
        <f aca="false">IF(COUNT('Milho 2ª safra'!$E39:$Z39)=0,0,MAX(0,IF((S$6-$E$3)&lt;1,0,IFERROR(LOOKUP(2,1/('Milho 2ª safra'!$E39:INDEX('Milho 2ª safra'!$E39:$Z39,MIN(S$6-$E$3,22))&lt;&gt;""),'Milho 2ª safra'!$E39:INDEX('Milho 2ª safra'!$E39:$Z39,MIN(S$6-$E$3,22))),0))-IF($G$2,0,IF((S$6-$G$3)&lt;1,0,IFERROR(LOOKUP(2,1/('Milho 2ª safra'!$E39:INDEX('Milho 2ª safra'!$E39:$Z39,MIN(S$6-$G$3,22))&lt;&gt;""),'Milho 2ª safra'!$E39:INDEX('Milho 2ª safra'!$E39:$Z39,MIN(S$6-$G$3,22))),0)))))</f>
        <v>0</v>
      </c>
      <c r="T41" s="27" t="n">
        <f aca="false">IF(COUNT('Milho 2ª safra'!$E39:$Z39)=0,0,MAX(0,IF((T$6-$E$3)&lt;1,0,IFERROR(LOOKUP(2,1/('Milho 2ª safra'!$E39:INDEX('Milho 2ª safra'!$E39:$Z39,MIN(T$6-$E$3,22))&lt;&gt;""),'Milho 2ª safra'!$E39:INDEX('Milho 2ª safra'!$E39:$Z39,MIN(T$6-$E$3,22))),0))-IF($G$2,0,IF((T$6-$G$3)&lt;1,0,IFERROR(LOOKUP(2,1/('Milho 2ª safra'!$E39:INDEX('Milho 2ª safra'!$E39:$Z39,MIN(T$6-$G$3,22))&lt;&gt;""),'Milho 2ª safra'!$E39:INDEX('Milho 2ª safra'!$E39:$Z39,MIN(T$6-$G$3,22))),0)))))</f>
        <v>0</v>
      </c>
      <c r="U41" s="27" t="n">
        <f aca="false">IF(COUNT('Milho 2ª safra'!$E39:$Z39)=0,0,MAX(0,IF((U$6-$E$3)&lt;1,0,IFERROR(LOOKUP(2,1/('Milho 2ª safra'!$E39:INDEX('Milho 2ª safra'!$E39:$Z39,MIN(U$6-$E$3,22))&lt;&gt;""),'Milho 2ª safra'!$E39:INDEX('Milho 2ª safra'!$E39:$Z39,MIN(U$6-$E$3,22))),0))-IF($G$2,0,IF((U$6-$G$3)&lt;1,0,IFERROR(LOOKUP(2,1/('Milho 2ª safra'!$E39:INDEX('Milho 2ª safra'!$E39:$Z39,MIN(U$6-$G$3,22))&lt;&gt;""),'Milho 2ª safra'!$E39:INDEX('Milho 2ª safra'!$E39:$Z39,MIN(U$6-$G$3,22))),0)))))</f>
        <v>0</v>
      </c>
      <c r="V41" s="27" t="n">
        <f aca="false">IF(COUNT('Milho 2ª safra'!$E39:$Z39)=0,0,MAX(0,IF((V$6-$E$3)&lt;1,0,IFERROR(LOOKUP(2,1/('Milho 2ª safra'!$E39:INDEX('Milho 2ª safra'!$E39:$Z39,MIN(V$6-$E$3,22))&lt;&gt;""),'Milho 2ª safra'!$E39:INDEX('Milho 2ª safra'!$E39:$Z39,MIN(V$6-$E$3,22))),0))-IF($G$2,0,IF((V$6-$G$3)&lt;1,0,IFERROR(LOOKUP(2,1/('Milho 2ª safra'!$E39:INDEX('Milho 2ª safra'!$E39:$Z39,MIN(V$6-$G$3,22))&lt;&gt;""),'Milho 2ª safra'!$E39:INDEX('Milho 2ª safra'!$E39:$Z39,MIN(V$6-$G$3,22))),0)))))</f>
        <v>0</v>
      </c>
      <c r="W41" s="27" t="n">
        <f aca="false">IF(COUNT('Milho 2ª safra'!$E39:$Z39)=0,0,MAX(0,IF((W$6-$E$3)&lt;1,0,IFERROR(LOOKUP(2,1/('Milho 2ª safra'!$E39:INDEX('Milho 2ª safra'!$E39:$Z39,MIN(W$6-$E$3,22))&lt;&gt;""),'Milho 2ª safra'!$E39:INDEX('Milho 2ª safra'!$E39:$Z39,MIN(W$6-$E$3,22))),0))-IF($G$2,0,IF((W$6-$G$3)&lt;1,0,IFERROR(LOOKUP(2,1/('Milho 2ª safra'!$E39:INDEX('Milho 2ª safra'!$E39:$Z39,MIN(W$6-$G$3,22))&lt;&gt;""),'Milho 2ª safra'!$E39:INDEX('Milho 2ª safra'!$E39:$Z39,MIN(W$6-$G$3,22))),0)))))</f>
        <v>0</v>
      </c>
      <c r="X41" s="27" t="n">
        <f aca="false">IF(COUNT('Milho 2ª safra'!$E39:$Z39)=0,0,MAX(0,IF((X$6-$E$3)&lt;1,0,IFERROR(LOOKUP(2,1/('Milho 2ª safra'!$E39:INDEX('Milho 2ª safra'!$E39:$Z39,MIN(X$6-$E$3,22))&lt;&gt;""),'Milho 2ª safra'!$E39:INDEX('Milho 2ª safra'!$E39:$Z39,MIN(X$6-$E$3,22))),0))-IF($G$2,0,IF((X$6-$G$3)&lt;1,0,IFERROR(LOOKUP(2,1/('Milho 2ª safra'!$E39:INDEX('Milho 2ª safra'!$E39:$Z39,MIN(X$6-$G$3,22))&lt;&gt;""),'Milho 2ª safra'!$E39:INDEX('Milho 2ª safra'!$E39:$Z39,MIN(X$6-$G$3,22))),0)))))</f>
        <v>0</v>
      </c>
      <c r="Y41" s="27" t="n">
        <f aca="false">IF(COUNT('Milho 2ª safra'!$E39:$Z39)=0,0,MAX(0,IF((Y$6-$E$3)&lt;1,0,IFERROR(LOOKUP(2,1/('Milho 2ª safra'!$E39:INDEX('Milho 2ª safra'!$E39:$Z39,MIN(Y$6-$E$3,22))&lt;&gt;""),'Milho 2ª safra'!$E39:INDEX('Milho 2ª safra'!$E39:$Z39,MIN(Y$6-$E$3,22))),0))-IF($G$2,0,IF((Y$6-$G$3)&lt;1,0,IFERROR(LOOKUP(2,1/('Milho 2ª safra'!$E39:INDEX('Milho 2ª safra'!$E39:$Z39,MIN(Y$6-$G$3,22))&lt;&gt;""),'Milho 2ª safra'!$E39:INDEX('Milho 2ª safra'!$E39:$Z39,MIN(Y$6-$G$3,22))),0)))))</f>
        <v>0</v>
      </c>
      <c r="Z41" s="27" t="n">
        <f aca="false">IF(COUNT('Milho 2ª safra'!$E39:$Z39)=0,0,MAX(0,IF((Z$6-$E$3)&lt;1,0,IFERROR(LOOKUP(2,1/('Milho 2ª safra'!$E39:INDEX('Milho 2ª safra'!$E39:$Z39,MIN(Z$6-$E$3,22))&lt;&gt;""),'Milho 2ª safra'!$E39:INDEX('Milho 2ª safra'!$E39:$Z39,MIN(Z$6-$E$3,22))),0))-IF($G$2,0,IF((Z$6-$G$3)&lt;1,0,IFERROR(LOOKUP(2,1/('Milho 2ª safra'!$E39:INDEX('Milho 2ª safra'!$E39:$Z39,MIN(Z$6-$G$3,22))&lt;&gt;""),'Milho 2ª safra'!$E39:INDEX('Milho 2ª safra'!$E39:$Z39,MIN(Z$6-$G$3,22))),0)))))</f>
        <v>0</v>
      </c>
      <c r="AA41" s="27" t="n">
        <f aca="false">IF(COUNT('Milho 2ª safra'!$E39:$Z39)=0,0,MAX(0,IF((AA$6-$E$3)&lt;1,0,IFERROR(LOOKUP(2,1/('Milho 2ª safra'!$E39:INDEX('Milho 2ª safra'!$E39:$Z39,MIN(AA$6-$E$3,22))&lt;&gt;""),'Milho 2ª safra'!$E39:INDEX('Milho 2ª safra'!$E39:$Z39,MIN(AA$6-$E$3,22))),0))-IF($G$2,0,IF((AA$6-$G$3)&lt;1,0,IFERROR(LOOKUP(2,1/('Milho 2ª safra'!$E39:INDEX('Milho 2ª safra'!$E39:$Z39,MIN(AA$6-$G$3,22))&lt;&gt;""),'Milho 2ª safra'!$E39:INDEX('Milho 2ª safra'!$E39:$Z39,MIN(AA$6-$G$3,22))),0)))))</f>
        <v>0</v>
      </c>
      <c r="AB41" s="27" t="n">
        <f aca="false">IF(COUNT('Milho 2ª safra'!$E39:$Z39)=0,0,MAX(0,IF((AB$6-$E$3)&lt;1,0,IFERROR(LOOKUP(2,1/('Milho 2ª safra'!$E39:INDEX('Milho 2ª safra'!$E39:$Z39,MIN(AB$6-$E$3,22))&lt;&gt;""),'Milho 2ª safra'!$E39:INDEX('Milho 2ª safra'!$E39:$Z39,MIN(AB$6-$E$3,22))),0))-IF($G$2,0,IF((AB$6-$G$3)&lt;1,0,IFERROR(LOOKUP(2,1/('Milho 2ª safra'!$E39:INDEX('Milho 2ª safra'!$E39:$Z39,MIN(AB$6-$G$3,22))&lt;&gt;""),'Milho 2ª safra'!$E39:INDEX('Milho 2ª safra'!$E39:$Z39,MIN(AB$6-$G$3,22))),0)))))</f>
        <v>0</v>
      </c>
      <c r="AC41" s="27" t="n">
        <f aca="false">IF(COUNT('Milho 2ª safra'!$E39:$Z39)=0,0,MAX(0,IF((AC$6-$E$3)&lt;1,0,IFERROR(LOOKUP(2,1/('Milho 2ª safra'!$E39:INDEX('Milho 2ª safra'!$E39:$Z39,MIN(AC$6-$E$3,22))&lt;&gt;""),'Milho 2ª safra'!$E39:INDEX('Milho 2ª safra'!$E39:$Z39,MIN(AC$6-$E$3,22))),0))-IF($G$2,0,IF((AC$6-$G$3)&lt;1,0,IFERROR(LOOKUP(2,1/('Milho 2ª safra'!$E39:INDEX('Milho 2ª safra'!$E39:$Z39,MIN(AC$6-$G$3,22))&lt;&gt;""),'Milho 2ª safra'!$E39:INDEX('Milho 2ª safra'!$E39:$Z39,MIN(AC$6-$G$3,22))),0)))))</f>
        <v>0</v>
      </c>
      <c r="AD41" s="27" t="n">
        <f aca="false">IF(COUNT('Milho 2ª safra'!$E39:$Z39)=0,0,MAX(0,IF((AD$6-$E$3)&lt;1,0,IFERROR(LOOKUP(2,1/('Milho 2ª safra'!$E39:INDEX('Milho 2ª safra'!$E39:$Z39,MIN(AD$6-$E$3,22))&lt;&gt;""),'Milho 2ª safra'!$E39:INDEX('Milho 2ª safra'!$E39:$Z39,MIN(AD$6-$E$3,22))),0))-IF($G$2,0,IF((AD$6-$G$3)&lt;1,0,IFERROR(LOOKUP(2,1/('Milho 2ª safra'!$E39:INDEX('Milho 2ª safra'!$E39:$Z39,MIN(AD$6-$G$3,22))&lt;&gt;""),'Milho 2ª safra'!$E39:INDEX('Milho 2ª safra'!$E39:$Z39,MIN(AD$6-$G$3,22))),0)))))</f>
        <v>0</v>
      </c>
      <c r="AE41" s="27" t="n">
        <f aca="false">IF(COUNT('Milho 2ª safra'!$E39:$Z39)=0,0,MAX(0,IF((AE$6-$E$3)&lt;1,0,IFERROR(LOOKUP(2,1/('Milho 2ª safra'!$E39:INDEX('Milho 2ª safra'!$E39:$Z39,MIN(AE$6-$E$3,22))&lt;&gt;""),'Milho 2ª safra'!$E39:INDEX('Milho 2ª safra'!$E39:$Z39,MIN(AE$6-$E$3,22))),0))-IF($G$2,0,IF((AE$6-$G$3)&lt;1,0,IFERROR(LOOKUP(2,1/('Milho 2ª safra'!$E39:INDEX('Milho 2ª safra'!$E39:$Z39,MIN(AE$6-$G$3,22))&lt;&gt;""),'Milho 2ª safra'!$E39:INDEX('Milho 2ª safra'!$E39:$Z39,MIN(AE$6-$G$3,22))),0)))))</f>
        <v>0</v>
      </c>
      <c r="AF41" s="27" t="n">
        <f aca="false">IF(COUNT('Milho 2ª safra'!$E39:$Z39)=0,0,MAX(0,IF((AF$6-$E$3)&lt;1,0,IFERROR(LOOKUP(2,1/('Milho 2ª safra'!$E39:INDEX('Milho 2ª safra'!$E39:$Z39,MIN(AF$6-$E$3,22))&lt;&gt;""),'Milho 2ª safra'!$E39:INDEX('Milho 2ª safra'!$E39:$Z39,MIN(AF$6-$E$3,22))),0))-IF($G$2,0,IF((AF$6-$G$3)&lt;1,0,IFERROR(LOOKUP(2,1/('Milho 2ª safra'!$E39:INDEX('Milho 2ª safra'!$E39:$Z39,MIN(AF$6-$G$3,22))&lt;&gt;""),'Milho 2ª safra'!$E39:INDEX('Milho 2ª safra'!$E39:$Z39,MIN(AF$6-$G$3,22))),0)))))</f>
        <v>0</v>
      </c>
      <c r="AG41" s="27" t="n">
        <f aca="false">IF(COUNT('Milho 2ª safra'!$E39:$Z39)=0,0,MAX(0,IF((AG$6-$E$3)&lt;1,0,IFERROR(LOOKUP(2,1/('Milho 2ª safra'!$E39:INDEX('Milho 2ª safra'!$E39:$Z39,MIN(AG$6-$E$3,22))&lt;&gt;""),'Milho 2ª safra'!$E39:INDEX('Milho 2ª safra'!$E39:$Z39,MIN(AG$6-$E$3,22))),0))-IF($G$2,0,IF((AG$6-$G$3)&lt;1,0,IFERROR(LOOKUP(2,1/('Milho 2ª safra'!$E39:INDEX('Milho 2ª safra'!$E39:$Z39,MIN(AG$6-$G$3,22))&lt;&gt;""),'Milho 2ª safra'!$E39:INDEX('Milho 2ª safra'!$E39:$Z39,MIN(AG$6-$G$3,22))),0)))))</f>
        <v>0</v>
      </c>
      <c r="AH41" s="27" t="n">
        <f aca="false">IF(COUNT('Milho 2ª safra'!$E39:$Z39)=0,0,MAX(0,IF((AH$6-$E$3)&lt;1,0,IFERROR(LOOKUP(2,1/('Milho 2ª safra'!$E39:INDEX('Milho 2ª safra'!$E39:$Z39,MIN(AH$6-$E$3,22))&lt;&gt;""),'Milho 2ª safra'!$E39:INDEX('Milho 2ª safra'!$E39:$Z39,MIN(AH$6-$E$3,22))),0))-IF($G$2,0,IF((AH$6-$G$3)&lt;1,0,IFERROR(LOOKUP(2,1/('Milho 2ª safra'!$E39:INDEX('Milho 2ª safra'!$E39:$Z39,MIN(AH$6-$G$3,22))&lt;&gt;""),'Milho 2ª safra'!$E39:INDEX('Milho 2ª safra'!$E39:$Z39,MIN(AH$6-$G$3,22))),0)))))</f>
        <v>0</v>
      </c>
      <c r="AI41" s="27" t="n">
        <f aca="false">IF(COUNT('Milho 2ª safra'!$E39:$Z39)=0,0,MAX(0,IF((AI$6-$E$3)&lt;1,0,IFERROR(LOOKUP(2,1/('Milho 2ª safra'!$E39:INDEX('Milho 2ª safra'!$E39:$Z39,MIN(AI$6-$E$3,22))&lt;&gt;""),'Milho 2ª safra'!$E39:INDEX('Milho 2ª safra'!$E39:$Z39,MIN(AI$6-$E$3,22))),0))-IF($G$2,0,IF((AI$6-$G$3)&lt;1,0,IFERROR(LOOKUP(2,1/('Milho 2ª safra'!$E39:INDEX('Milho 2ª safra'!$E39:$Z39,MIN(AI$6-$G$3,22))&lt;&gt;""),'Milho 2ª safra'!$E39:INDEX('Milho 2ª safra'!$E39:$Z39,MIN(AI$6-$G$3,22))),0)))))</f>
        <v>0</v>
      </c>
      <c r="AJ41" s="27" t="n">
        <f aca="false">IF(COUNT('Milho 2ª safra'!$E39:$Z39)=0,0,MAX(0,IF((AJ$6-$E$3)&lt;1,0,IFERROR(LOOKUP(2,1/('Milho 2ª safra'!$E39:INDEX('Milho 2ª safra'!$E39:$Z39,MIN(AJ$6-$E$3,22))&lt;&gt;""),'Milho 2ª safra'!$E39:INDEX('Milho 2ª safra'!$E39:$Z39,MIN(AJ$6-$E$3,22))),0))-IF($G$2,0,IF((AJ$6-$G$3)&lt;1,0,IFERROR(LOOKUP(2,1/('Milho 2ª safra'!$E39:INDEX('Milho 2ª safra'!$E39:$Z39,MIN(AJ$6-$G$3,22))&lt;&gt;""),'Milho 2ª safra'!$E39:INDEX('Milho 2ª safra'!$E39:$Z39,MIN(AJ$6-$G$3,22))),0)))))</f>
        <v>0</v>
      </c>
      <c r="AK41" s="27" t="n">
        <f aca="false">IF(COUNT('Milho 2ª safra'!$E39:$Z39)=0,0,MAX(0,IF((AK$6-$E$3)&lt;1,0,IFERROR(LOOKUP(2,1/('Milho 2ª safra'!$E39:INDEX('Milho 2ª safra'!$E39:$Z39,MIN(AK$6-$E$3,22))&lt;&gt;""),'Milho 2ª safra'!$E39:INDEX('Milho 2ª safra'!$E39:$Z39,MIN(AK$6-$E$3,22))),0))-IF($G$2,0,IF((AK$6-$G$3)&lt;1,0,IFERROR(LOOKUP(2,1/('Milho 2ª safra'!$E39:INDEX('Milho 2ª safra'!$E39:$Z39,MIN(AK$6-$G$3,22))&lt;&gt;""),'Milho 2ª safra'!$E39:INDEX('Milho 2ª safra'!$E39:$Z39,MIN(AK$6-$G$3,22))),0)))))</f>
        <v>0</v>
      </c>
      <c r="AL41" s="27" t="n">
        <f aca="false">IF(COUNT('Milho 2ª safra'!$E39:$Z39)=0,0,MAX(0,IF((AL$6-$E$3)&lt;1,0,IFERROR(LOOKUP(2,1/('Milho 2ª safra'!$E39:INDEX('Milho 2ª safra'!$E39:$Z39,MIN(AL$6-$E$3,22))&lt;&gt;""),'Milho 2ª safra'!$E39:INDEX('Milho 2ª safra'!$E39:$Z39,MIN(AL$6-$E$3,22))),0))-IF($G$2,0,IF((AL$6-$G$3)&lt;1,0,IFERROR(LOOKUP(2,1/('Milho 2ª safra'!$E39:INDEX('Milho 2ª safra'!$E39:$Z39,MIN(AL$6-$G$3,22))&lt;&gt;""),'Milho 2ª safra'!$E39:INDEX('Milho 2ª safra'!$E39:$Z39,MIN(AL$6-$G$3,22))),0)))))</f>
        <v>0</v>
      </c>
      <c r="AM41" s="27" t="n">
        <f aca="false">IF(COUNT('Milho 2ª safra'!$E39:$Z39)=0,0,MAX(0,IF((AM$6-$E$3)&lt;1,0,IFERROR(LOOKUP(2,1/('Milho 2ª safra'!$E39:INDEX('Milho 2ª safra'!$E39:$Z39,MIN(AM$6-$E$3,22))&lt;&gt;""),'Milho 2ª safra'!$E39:INDEX('Milho 2ª safra'!$E39:$Z39,MIN(AM$6-$E$3,22))),0))-IF($G$2,0,IF((AM$6-$G$3)&lt;1,0,IFERROR(LOOKUP(2,1/('Milho 2ª safra'!$E39:INDEX('Milho 2ª safra'!$E39:$Z39,MIN(AM$6-$G$3,22))&lt;&gt;""),'Milho 2ª safra'!$E39:INDEX('Milho 2ª safra'!$E39:$Z39,MIN(AM$6-$G$3,22))),0)))))</f>
        <v>0</v>
      </c>
      <c r="AN41" s="27" t="n">
        <f aca="false">IF(COUNT('Milho 2ª safra'!$E39:$Z39)=0,0,MAX(0,IF((AN$6-$E$3)&lt;1,0,IFERROR(LOOKUP(2,1/('Milho 2ª safra'!$E39:INDEX('Milho 2ª safra'!$E39:$Z39,MIN(AN$6-$E$3,22))&lt;&gt;""),'Milho 2ª safra'!$E39:INDEX('Milho 2ª safra'!$E39:$Z39,MIN(AN$6-$E$3,22))),0))-IF($G$2,0,IF((AN$6-$G$3)&lt;1,0,IFERROR(LOOKUP(2,1/('Milho 2ª safra'!$E39:INDEX('Milho 2ª safra'!$E39:$Z39,MIN(AN$6-$G$3,22))&lt;&gt;""),'Milho 2ª safra'!$E39:INDEX('Milho 2ª safra'!$E39:$Z39,MIN(AN$6-$G$3,22))),0)))))</f>
        <v>0</v>
      </c>
      <c r="AO41" s="27" t="n">
        <f aca="false">IF(COUNT('Milho 2ª safra'!$E39:$Z39)=0,0,MAX(0,IF((AO$6-$E$3)&lt;1,0,IFERROR(LOOKUP(2,1/('Milho 2ª safra'!$E39:INDEX('Milho 2ª safra'!$E39:$Z39,MIN(AO$6-$E$3,22))&lt;&gt;""),'Milho 2ª safra'!$E39:INDEX('Milho 2ª safra'!$E39:$Z39,MIN(AO$6-$E$3,22))),0))-IF($G$2,0,IF((AO$6-$G$3)&lt;1,0,IFERROR(LOOKUP(2,1/('Milho 2ª safra'!$E39:INDEX('Milho 2ª safra'!$E39:$Z39,MIN(AO$6-$G$3,22))&lt;&gt;""),'Milho 2ª safra'!$E39:INDEX('Milho 2ª safra'!$E39:$Z39,MIN(AO$6-$G$3,22))),0)))))</f>
        <v>0</v>
      </c>
      <c r="AP41" s="27" t="n">
        <f aca="false">IF(COUNT('Milho 2ª safra'!$E39:$Z39)=0,0,MAX(0,IF((AP$6-$E$3)&lt;1,0,IFERROR(LOOKUP(2,1/('Milho 2ª safra'!$E39:INDEX('Milho 2ª safra'!$E39:$Z39,MIN(AP$6-$E$3,22))&lt;&gt;""),'Milho 2ª safra'!$E39:INDEX('Milho 2ª safra'!$E39:$Z39,MIN(AP$6-$E$3,22))),0))-IF($G$2,0,IF((AP$6-$G$3)&lt;1,0,IFERROR(LOOKUP(2,1/('Milho 2ª safra'!$E39:INDEX('Milho 2ª safra'!$E39:$Z39,MIN(AP$6-$G$3,22))&lt;&gt;""),'Milho 2ª safra'!$E39:INDEX('Milho 2ª safra'!$E39:$Z39,MIN(AP$6-$G$3,22))),0)))))</f>
        <v>0</v>
      </c>
      <c r="AQ41" s="27" t="n">
        <f aca="false">IF(COUNT('Milho 2ª safra'!$E39:$Z39)=0,0,MAX(0,IF((AQ$6-$E$3)&lt;1,0,IFERROR(LOOKUP(2,1/('Milho 2ª safra'!$E39:INDEX('Milho 2ª safra'!$E39:$Z39,MIN(AQ$6-$E$3,22))&lt;&gt;""),'Milho 2ª safra'!$E39:INDEX('Milho 2ª safra'!$E39:$Z39,MIN(AQ$6-$E$3,22))),0))-IF($G$2,0,IF((AQ$6-$G$3)&lt;1,0,IFERROR(LOOKUP(2,1/('Milho 2ª safra'!$E39:INDEX('Milho 2ª safra'!$E39:$Z39,MIN(AQ$6-$G$3,22))&lt;&gt;""),'Milho 2ª safra'!$E39:INDEX('Milho 2ª safra'!$E39:$Z39,MIN(AQ$6-$G$3,22))),0)))))</f>
        <v>0</v>
      </c>
      <c r="AR41" s="27" t="n">
        <f aca="false">IF(COUNT('Milho 2ª safra'!$E39:$Z39)=0,0,MAX(0,IF((AR$6-$E$3)&lt;1,0,IFERROR(LOOKUP(2,1/('Milho 2ª safra'!$E39:INDEX('Milho 2ª safra'!$E39:$Z39,MIN(AR$6-$E$3,22))&lt;&gt;""),'Milho 2ª safra'!$E39:INDEX('Milho 2ª safra'!$E39:$Z39,MIN(AR$6-$E$3,22))),0))-IF($G$2,0,IF((AR$6-$G$3)&lt;1,0,IFERROR(LOOKUP(2,1/('Milho 2ª safra'!$E39:INDEX('Milho 2ª safra'!$E39:$Z39,MIN(AR$6-$G$3,22))&lt;&gt;""),'Milho 2ª safra'!$E39:INDEX('Milho 2ª safra'!$E39:$Z39,MIN(AR$6-$G$3,22))),0)))))</f>
        <v>0</v>
      </c>
      <c r="AS41" s="27" t="n">
        <f aca="false">IF(COUNT('Milho 2ª safra'!$E39:$Z39)=0,0,MAX(0,IF((AS$6-$E$3)&lt;1,0,IFERROR(LOOKUP(2,1/('Milho 2ª safra'!$E39:INDEX('Milho 2ª safra'!$E39:$Z39,MIN(AS$6-$E$3,22))&lt;&gt;""),'Milho 2ª safra'!$E39:INDEX('Milho 2ª safra'!$E39:$Z39,MIN(AS$6-$E$3,22))),0))-IF($G$2,0,IF((AS$6-$G$3)&lt;1,0,IFERROR(LOOKUP(2,1/('Milho 2ª safra'!$E39:INDEX('Milho 2ª safra'!$E39:$Z39,MIN(AS$6-$G$3,22))&lt;&gt;""),'Milho 2ª safra'!$E39:INDEX('Milho 2ª safra'!$E39:$Z39,MIN(AS$6-$G$3,22))),0)))))</f>
        <v>0</v>
      </c>
      <c r="AT41" s="27" t="n">
        <f aca="false">IF(COUNT('Milho 2ª safra'!$E39:$Z39)=0,0,MAX(0,IF((AT$6-$E$3)&lt;1,0,IFERROR(LOOKUP(2,1/('Milho 2ª safra'!$E39:INDEX('Milho 2ª safra'!$E39:$Z39,MIN(AT$6-$E$3,22))&lt;&gt;""),'Milho 2ª safra'!$E39:INDEX('Milho 2ª safra'!$E39:$Z39,MIN(AT$6-$E$3,22))),0))-IF($G$2,0,IF((AT$6-$G$3)&lt;1,0,IFERROR(LOOKUP(2,1/('Milho 2ª safra'!$E39:INDEX('Milho 2ª safra'!$E39:$Z39,MIN(AT$6-$G$3,22))&lt;&gt;""),'Milho 2ª safra'!$E39:INDEX('Milho 2ª safra'!$E39:$Z39,MIN(AT$6-$G$3,22))),0)))))</f>
        <v>0</v>
      </c>
      <c r="AU41" s="27" t="n">
        <f aca="false">IF(COUNT('Milho 2ª safra'!$E39:$Z39)=0,0,MAX(0,IF((AU$6-$E$3)&lt;1,0,IFERROR(LOOKUP(2,1/('Milho 2ª safra'!$E39:INDEX('Milho 2ª safra'!$E39:$Z39,MIN(AU$6-$E$3,22))&lt;&gt;""),'Milho 2ª safra'!$E39:INDEX('Milho 2ª safra'!$E39:$Z39,MIN(AU$6-$E$3,22))),0))-IF($G$2,0,IF((AU$6-$G$3)&lt;1,0,IFERROR(LOOKUP(2,1/('Milho 2ª safra'!$E39:INDEX('Milho 2ª safra'!$E39:$Z39,MIN(AU$6-$G$3,22))&lt;&gt;""),'Milho 2ª safra'!$E39:INDEX('Milho 2ª safra'!$E39:$Z39,MIN(AU$6-$G$3,22))),0)))))</f>
        <v>0</v>
      </c>
      <c r="AV41" s="27" t="n">
        <f aca="false">IF(COUNT('Milho 2ª safra'!$E39:$Z39)=0,0,MAX(0,IF((AV$6-$E$3)&lt;1,0,IFERROR(LOOKUP(2,1/('Milho 2ª safra'!$E39:INDEX('Milho 2ª safra'!$E39:$Z39,MIN(AV$6-$E$3,22))&lt;&gt;""),'Milho 2ª safra'!$E39:INDEX('Milho 2ª safra'!$E39:$Z39,MIN(AV$6-$E$3,22))),0))-IF($G$2,0,IF((AV$6-$G$3)&lt;1,0,IFERROR(LOOKUP(2,1/('Milho 2ª safra'!$E39:INDEX('Milho 2ª safra'!$E39:$Z39,MIN(AV$6-$G$3,22))&lt;&gt;""),'Milho 2ª safra'!$E39:INDEX('Milho 2ª safra'!$E39:$Z39,MIN(AV$6-$G$3,22))),0)))))</f>
        <v>0</v>
      </c>
      <c r="AW41" s="27" t="n">
        <f aca="false">IF(COUNT('Milho 2ª safra'!$E39:$Z39)=0,0,MAX(0,IF((AW$6-$E$3)&lt;1,0,IFERROR(LOOKUP(2,1/('Milho 2ª safra'!$E39:INDEX('Milho 2ª safra'!$E39:$Z39,MIN(AW$6-$E$3,22))&lt;&gt;""),'Milho 2ª safra'!$E39:INDEX('Milho 2ª safra'!$E39:$Z39,MIN(AW$6-$E$3,22))),0))-IF($G$2,0,IF((AW$6-$G$3)&lt;1,0,IFERROR(LOOKUP(2,1/('Milho 2ª safra'!$E39:INDEX('Milho 2ª safra'!$E39:$Z39,MIN(AW$6-$G$3,22))&lt;&gt;""),'Milho 2ª safra'!$E39:INDEX('Milho 2ª safra'!$E39:$Z39,MIN(AW$6-$G$3,22))),0)))))</f>
        <v>0</v>
      </c>
      <c r="AX41" s="27" t="n">
        <f aca="false">IF(COUNT('Milho 2ª safra'!$E39:$Z39)=0,0,MAX(0,IF((AX$6-$E$3)&lt;1,0,IFERROR(LOOKUP(2,1/('Milho 2ª safra'!$E39:INDEX('Milho 2ª safra'!$E39:$Z39,MIN(AX$6-$E$3,22))&lt;&gt;""),'Milho 2ª safra'!$E39:INDEX('Milho 2ª safra'!$E39:$Z39,MIN(AX$6-$E$3,22))),0))-IF($G$2,0,IF((AX$6-$G$3)&lt;1,0,IFERROR(LOOKUP(2,1/('Milho 2ª safra'!$E39:INDEX('Milho 2ª safra'!$E39:$Z39,MIN(AX$6-$G$3,22))&lt;&gt;""),'Milho 2ª safra'!$E39:INDEX('Milho 2ª safra'!$E39:$Z39,MIN(AX$6-$G$3,22))),0)))))</f>
        <v>0</v>
      </c>
      <c r="AY41" s="27" t="n">
        <f aca="false">IF(COUNT('Milho 2ª safra'!$E39:$Z39)=0,0,MAX(0,IF((AY$6-$E$3)&lt;1,0,IFERROR(LOOKUP(2,1/('Milho 2ª safra'!$E39:INDEX('Milho 2ª safra'!$E39:$Z39,MIN(AY$6-$E$3,22))&lt;&gt;""),'Milho 2ª safra'!$E39:INDEX('Milho 2ª safra'!$E39:$Z39,MIN(AY$6-$E$3,22))),0))-IF($G$2,0,IF((AY$6-$G$3)&lt;1,0,IFERROR(LOOKUP(2,1/('Milho 2ª safra'!$E39:INDEX('Milho 2ª safra'!$E39:$Z39,MIN(AY$6-$G$3,22))&lt;&gt;""),'Milho 2ª safra'!$E39:INDEX('Milho 2ª safra'!$E39:$Z39,MIN(AY$6-$G$3,22))),0)))))</f>
        <v>0</v>
      </c>
      <c r="AZ41" s="27" t="n">
        <f aca="false">IF(COUNT('Milho 2ª safra'!$E39:$Z39)=0,0,MAX(0,IF((AZ$6-$E$3)&lt;1,0,IFERROR(LOOKUP(2,1/('Milho 2ª safra'!$E39:INDEX('Milho 2ª safra'!$E39:$Z39,MIN(AZ$6-$E$3,22))&lt;&gt;""),'Milho 2ª safra'!$E39:INDEX('Milho 2ª safra'!$E39:$Z39,MIN(AZ$6-$E$3,22))),0))-IF($G$2,0,IF((AZ$6-$G$3)&lt;1,0,IFERROR(LOOKUP(2,1/('Milho 2ª safra'!$E39:INDEX('Milho 2ª safra'!$E39:$Z39,MIN(AZ$6-$G$3,22))&lt;&gt;""),'Milho 2ª safra'!$E39:INDEX('Milho 2ª safra'!$E39:$Z39,MIN(AZ$6-$G$3,22))),0)))))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IF(COUNT('Milho 2ª safra'!$E40:$Z40)&gt;0,N('Milho 2ª safra'!$D40),0)</f>
        <v>0</v>
      </c>
      <c r="E42" s="27" t="n">
        <f aca="false">IF(COUNT('Milho 2ª safra'!$E40:$Z40)=0,0,MAX(0,IF((E$6-$E$3)&lt;1,0,IFERROR(LOOKUP(2,1/('Milho 2ª safra'!$E40:INDEX('Milho 2ª safra'!$E40:$Z40,MIN(E$6-$E$3,22))&lt;&gt;""),'Milho 2ª safra'!$E40:INDEX('Milho 2ª safra'!$E40:$Z40,MIN(E$6-$E$3,22))),0))-IF($G$2,0,IF((E$6-$G$3)&lt;1,0,IFERROR(LOOKUP(2,1/('Milho 2ª safra'!$E40:INDEX('Milho 2ª safra'!$E40:$Z40,MIN(E$6-$G$3,22))&lt;&gt;""),'Milho 2ª safra'!$E40:INDEX('Milho 2ª safra'!$E40:$Z40,MIN(E$6-$G$3,22))),0)))))</f>
        <v>0</v>
      </c>
      <c r="F42" s="27" t="n">
        <f aca="false">IF(COUNT('Milho 2ª safra'!$E40:$Z40)=0,0,MAX(0,IF((F$6-$E$3)&lt;1,0,IFERROR(LOOKUP(2,1/('Milho 2ª safra'!$E40:INDEX('Milho 2ª safra'!$E40:$Z40,MIN(F$6-$E$3,22))&lt;&gt;""),'Milho 2ª safra'!$E40:INDEX('Milho 2ª safra'!$E40:$Z40,MIN(F$6-$E$3,22))),0))-IF($G$2,0,IF((F$6-$G$3)&lt;1,0,IFERROR(LOOKUP(2,1/('Milho 2ª safra'!$E40:INDEX('Milho 2ª safra'!$E40:$Z40,MIN(F$6-$G$3,22))&lt;&gt;""),'Milho 2ª safra'!$E40:INDEX('Milho 2ª safra'!$E40:$Z40,MIN(F$6-$G$3,22))),0)))))</f>
        <v>0</v>
      </c>
      <c r="G42" s="27" t="n">
        <f aca="false">IF(COUNT('Milho 2ª safra'!$E40:$Z40)=0,0,MAX(0,IF((G$6-$E$3)&lt;1,0,IFERROR(LOOKUP(2,1/('Milho 2ª safra'!$E40:INDEX('Milho 2ª safra'!$E40:$Z40,MIN(G$6-$E$3,22))&lt;&gt;""),'Milho 2ª safra'!$E40:INDEX('Milho 2ª safra'!$E40:$Z40,MIN(G$6-$E$3,22))),0))-IF($G$2,0,IF((G$6-$G$3)&lt;1,0,IFERROR(LOOKUP(2,1/('Milho 2ª safra'!$E40:INDEX('Milho 2ª safra'!$E40:$Z40,MIN(G$6-$G$3,22))&lt;&gt;""),'Milho 2ª safra'!$E40:INDEX('Milho 2ª safra'!$E40:$Z40,MIN(G$6-$G$3,22))),0)))))</f>
        <v>0</v>
      </c>
      <c r="H42" s="27" t="n">
        <f aca="false">IF(COUNT('Milho 2ª safra'!$E40:$Z40)=0,0,MAX(0,IF((H$6-$E$3)&lt;1,0,IFERROR(LOOKUP(2,1/('Milho 2ª safra'!$E40:INDEX('Milho 2ª safra'!$E40:$Z40,MIN(H$6-$E$3,22))&lt;&gt;""),'Milho 2ª safra'!$E40:INDEX('Milho 2ª safra'!$E40:$Z40,MIN(H$6-$E$3,22))),0))-IF($G$2,0,IF((H$6-$G$3)&lt;1,0,IFERROR(LOOKUP(2,1/('Milho 2ª safra'!$E40:INDEX('Milho 2ª safra'!$E40:$Z40,MIN(H$6-$G$3,22))&lt;&gt;""),'Milho 2ª safra'!$E40:INDEX('Milho 2ª safra'!$E40:$Z40,MIN(H$6-$G$3,22))),0)))))</f>
        <v>0</v>
      </c>
      <c r="I42" s="27" t="n">
        <f aca="false">IF(COUNT('Milho 2ª safra'!$E40:$Z40)=0,0,MAX(0,IF((I$6-$E$3)&lt;1,0,IFERROR(LOOKUP(2,1/('Milho 2ª safra'!$E40:INDEX('Milho 2ª safra'!$E40:$Z40,MIN(I$6-$E$3,22))&lt;&gt;""),'Milho 2ª safra'!$E40:INDEX('Milho 2ª safra'!$E40:$Z40,MIN(I$6-$E$3,22))),0))-IF($G$2,0,IF((I$6-$G$3)&lt;1,0,IFERROR(LOOKUP(2,1/('Milho 2ª safra'!$E40:INDEX('Milho 2ª safra'!$E40:$Z40,MIN(I$6-$G$3,22))&lt;&gt;""),'Milho 2ª safra'!$E40:INDEX('Milho 2ª safra'!$E40:$Z40,MIN(I$6-$G$3,22))),0)))))</f>
        <v>0</v>
      </c>
      <c r="J42" s="27" t="n">
        <f aca="false">IF(COUNT('Milho 2ª safra'!$E40:$Z40)=0,0,MAX(0,IF((J$6-$E$3)&lt;1,0,IFERROR(LOOKUP(2,1/('Milho 2ª safra'!$E40:INDEX('Milho 2ª safra'!$E40:$Z40,MIN(J$6-$E$3,22))&lt;&gt;""),'Milho 2ª safra'!$E40:INDEX('Milho 2ª safra'!$E40:$Z40,MIN(J$6-$E$3,22))),0))-IF($G$2,0,IF((J$6-$G$3)&lt;1,0,IFERROR(LOOKUP(2,1/('Milho 2ª safra'!$E40:INDEX('Milho 2ª safra'!$E40:$Z40,MIN(J$6-$G$3,22))&lt;&gt;""),'Milho 2ª safra'!$E40:INDEX('Milho 2ª safra'!$E40:$Z40,MIN(J$6-$G$3,22))),0)))))</f>
        <v>0</v>
      </c>
      <c r="K42" s="27" t="n">
        <f aca="false">IF(COUNT('Milho 2ª safra'!$E40:$Z40)=0,0,MAX(0,IF((K$6-$E$3)&lt;1,0,IFERROR(LOOKUP(2,1/('Milho 2ª safra'!$E40:INDEX('Milho 2ª safra'!$E40:$Z40,MIN(K$6-$E$3,22))&lt;&gt;""),'Milho 2ª safra'!$E40:INDEX('Milho 2ª safra'!$E40:$Z40,MIN(K$6-$E$3,22))),0))-IF($G$2,0,IF((K$6-$G$3)&lt;1,0,IFERROR(LOOKUP(2,1/('Milho 2ª safra'!$E40:INDEX('Milho 2ª safra'!$E40:$Z40,MIN(K$6-$G$3,22))&lt;&gt;""),'Milho 2ª safra'!$E40:INDEX('Milho 2ª safra'!$E40:$Z40,MIN(K$6-$G$3,22))),0)))))</f>
        <v>0</v>
      </c>
      <c r="L42" s="27" t="n">
        <f aca="false">IF(COUNT('Milho 2ª safra'!$E40:$Z40)=0,0,MAX(0,IF((L$6-$E$3)&lt;1,0,IFERROR(LOOKUP(2,1/('Milho 2ª safra'!$E40:INDEX('Milho 2ª safra'!$E40:$Z40,MIN(L$6-$E$3,22))&lt;&gt;""),'Milho 2ª safra'!$E40:INDEX('Milho 2ª safra'!$E40:$Z40,MIN(L$6-$E$3,22))),0))-IF($G$2,0,IF((L$6-$G$3)&lt;1,0,IFERROR(LOOKUP(2,1/('Milho 2ª safra'!$E40:INDEX('Milho 2ª safra'!$E40:$Z40,MIN(L$6-$G$3,22))&lt;&gt;""),'Milho 2ª safra'!$E40:INDEX('Milho 2ª safra'!$E40:$Z40,MIN(L$6-$G$3,22))),0)))))</f>
        <v>0</v>
      </c>
      <c r="M42" s="27" t="n">
        <f aca="false">IF(COUNT('Milho 2ª safra'!$E40:$Z40)=0,0,MAX(0,IF((M$6-$E$3)&lt;1,0,IFERROR(LOOKUP(2,1/('Milho 2ª safra'!$E40:INDEX('Milho 2ª safra'!$E40:$Z40,MIN(M$6-$E$3,22))&lt;&gt;""),'Milho 2ª safra'!$E40:INDEX('Milho 2ª safra'!$E40:$Z40,MIN(M$6-$E$3,22))),0))-IF($G$2,0,IF((M$6-$G$3)&lt;1,0,IFERROR(LOOKUP(2,1/('Milho 2ª safra'!$E40:INDEX('Milho 2ª safra'!$E40:$Z40,MIN(M$6-$G$3,22))&lt;&gt;""),'Milho 2ª safra'!$E40:INDEX('Milho 2ª safra'!$E40:$Z40,MIN(M$6-$G$3,22))),0)))))</f>
        <v>0</v>
      </c>
      <c r="N42" s="27" t="n">
        <f aca="false">IF(COUNT('Milho 2ª safra'!$E40:$Z40)=0,0,MAX(0,IF((N$6-$E$3)&lt;1,0,IFERROR(LOOKUP(2,1/('Milho 2ª safra'!$E40:INDEX('Milho 2ª safra'!$E40:$Z40,MIN(N$6-$E$3,22))&lt;&gt;""),'Milho 2ª safra'!$E40:INDEX('Milho 2ª safra'!$E40:$Z40,MIN(N$6-$E$3,22))),0))-IF($G$2,0,IF((N$6-$G$3)&lt;1,0,IFERROR(LOOKUP(2,1/('Milho 2ª safra'!$E40:INDEX('Milho 2ª safra'!$E40:$Z40,MIN(N$6-$G$3,22))&lt;&gt;""),'Milho 2ª safra'!$E40:INDEX('Milho 2ª safra'!$E40:$Z40,MIN(N$6-$G$3,22))),0)))))</f>
        <v>0</v>
      </c>
      <c r="O42" s="27" t="n">
        <f aca="false">IF(COUNT('Milho 2ª safra'!$E40:$Z40)=0,0,MAX(0,IF((O$6-$E$3)&lt;1,0,IFERROR(LOOKUP(2,1/('Milho 2ª safra'!$E40:INDEX('Milho 2ª safra'!$E40:$Z40,MIN(O$6-$E$3,22))&lt;&gt;""),'Milho 2ª safra'!$E40:INDEX('Milho 2ª safra'!$E40:$Z40,MIN(O$6-$E$3,22))),0))-IF($G$2,0,IF((O$6-$G$3)&lt;1,0,IFERROR(LOOKUP(2,1/('Milho 2ª safra'!$E40:INDEX('Milho 2ª safra'!$E40:$Z40,MIN(O$6-$G$3,22))&lt;&gt;""),'Milho 2ª safra'!$E40:INDEX('Milho 2ª safra'!$E40:$Z40,MIN(O$6-$G$3,22))),0)))))</f>
        <v>0</v>
      </c>
      <c r="P42" s="27" t="n">
        <f aca="false">IF(COUNT('Milho 2ª safra'!$E40:$Z40)=0,0,MAX(0,IF((P$6-$E$3)&lt;1,0,IFERROR(LOOKUP(2,1/('Milho 2ª safra'!$E40:INDEX('Milho 2ª safra'!$E40:$Z40,MIN(P$6-$E$3,22))&lt;&gt;""),'Milho 2ª safra'!$E40:INDEX('Milho 2ª safra'!$E40:$Z40,MIN(P$6-$E$3,22))),0))-IF($G$2,0,IF((P$6-$G$3)&lt;1,0,IFERROR(LOOKUP(2,1/('Milho 2ª safra'!$E40:INDEX('Milho 2ª safra'!$E40:$Z40,MIN(P$6-$G$3,22))&lt;&gt;""),'Milho 2ª safra'!$E40:INDEX('Milho 2ª safra'!$E40:$Z40,MIN(P$6-$G$3,22))),0)))))</f>
        <v>0</v>
      </c>
      <c r="Q42" s="27" t="n">
        <f aca="false">IF(COUNT('Milho 2ª safra'!$E40:$Z40)=0,0,MAX(0,IF((Q$6-$E$3)&lt;1,0,IFERROR(LOOKUP(2,1/('Milho 2ª safra'!$E40:INDEX('Milho 2ª safra'!$E40:$Z40,MIN(Q$6-$E$3,22))&lt;&gt;""),'Milho 2ª safra'!$E40:INDEX('Milho 2ª safra'!$E40:$Z40,MIN(Q$6-$E$3,22))),0))-IF($G$2,0,IF((Q$6-$G$3)&lt;1,0,IFERROR(LOOKUP(2,1/('Milho 2ª safra'!$E40:INDEX('Milho 2ª safra'!$E40:$Z40,MIN(Q$6-$G$3,22))&lt;&gt;""),'Milho 2ª safra'!$E40:INDEX('Milho 2ª safra'!$E40:$Z40,MIN(Q$6-$G$3,22))),0)))))</f>
        <v>0</v>
      </c>
      <c r="R42" s="27" t="n">
        <f aca="false">IF(COUNT('Milho 2ª safra'!$E40:$Z40)=0,0,MAX(0,IF((R$6-$E$3)&lt;1,0,IFERROR(LOOKUP(2,1/('Milho 2ª safra'!$E40:INDEX('Milho 2ª safra'!$E40:$Z40,MIN(R$6-$E$3,22))&lt;&gt;""),'Milho 2ª safra'!$E40:INDEX('Milho 2ª safra'!$E40:$Z40,MIN(R$6-$E$3,22))),0))-IF($G$2,0,IF((R$6-$G$3)&lt;1,0,IFERROR(LOOKUP(2,1/('Milho 2ª safra'!$E40:INDEX('Milho 2ª safra'!$E40:$Z40,MIN(R$6-$G$3,22))&lt;&gt;""),'Milho 2ª safra'!$E40:INDEX('Milho 2ª safra'!$E40:$Z40,MIN(R$6-$G$3,22))),0)))))</f>
        <v>0</v>
      </c>
      <c r="S42" s="27" t="n">
        <f aca="false">IF(COUNT('Milho 2ª safra'!$E40:$Z40)=0,0,MAX(0,IF((S$6-$E$3)&lt;1,0,IFERROR(LOOKUP(2,1/('Milho 2ª safra'!$E40:INDEX('Milho 2ª safra'!$E40:$Z40,MIN(S$6-$E$3,22))&lt;&gt;""),'Milho 2ª safra'!$E40:INDEX('Milho 2ª safra'!$E40:$Z40,MIN(S$6-$E$3,22))),0))-IF($G$2,0,IF((S$6-$G$3)&lt;1,0,IFERROR(LOOKUP(2,1/('Milho 2ª safra'!$E40:INDEX('Milho 2ª safra'!$E40:$Z40,MIN(S$6-$G$3,22))&lt;&gt;""),'Milho 2ª safra'!$E40:INDEX('Milho 2ª safra'!$E40:$Z40,MIN(S$6-$G$3,22))),0)))))</f>
        <v>0</v>
      </c>
      <c r="T42" s="27" t="n">
        <f aca="false">IF(COUNT('Milho 2ª safra'!$E40:$Z40)=0,0,MAX(0,IF((T$6-$E$3)&lt;1,0,IFERROR(LOOKUP(2,1/('Milho 2ª safra'!$E40:INDEX('Milho 2ª safra'!$E40:$Z40,MIN(T$6-$E$3,22))&lt;&gt;""),'Milho 2ª safra'!$E40:INDEX('Milho 2ª safra'!$E40:$Z40,MIN(T$6-$E$3,22))),0))-IF($G$2,0,IF((T$6-$G$3)&lt;1,0,IFERROR(LOOKUP(2,1/('Milho 2ª safra'!$E40:INDEX('Milho 2ª safra'!$E40:$Z40,MIN(T$6-$G$3,22))&lt;&gt;""),'Milho 2ª safra'!$E40:INDEX('Milho 2ª safra'!$E40:$Z40,MIN(T$6-$G$3,22))),0)))))</f>
        <v>0</v>
      </c>
      <c r="U42" s="27" t="n">
        <f aca="false">IF(COUNT('Milho 2ª safra'!$E40:$Z40)=0,0,MAX(0,IF((U$6-$E$3)&lt;1,0,IFERROR(LOOKUP(2,1/('Milho 2ª safra'!$E40:INDEX('Milho 2ª safra'!$E40:$Z40,MIN(U$6-$E$3,22))&lt;&gt;""),'Milho 2ª safra'!$E40:INDEX('Milho 2ª safra'!$E40:$Z40,MIN(U$6-$E$3,22))),0))-IF($G$2,0,IF((U$6-$G$3)&lt;1,0,IFERROR(LOOKUP(2,1/('Milho 2ª safra'!$E40:INDEX('Milho 2ª safra'!$E40:$Z40,MIN(U$6-$G$3,22))&lt;&gt;""),'Milho 2ª safra'!$E40:INDEX('Milho 2ª safra'!$E40:$Z40,MIN(U$6-$G$3,22))),0)))))</f>
        <v>0</v>
      </c>
      <c r="V42" s="27" t="n">
        <f aca="false">IF(COUNT('Milho 2ª safra'!$E40:$Z40)=0,0,MAX(0,IF((V$6-$E$3)&lt;1,0,IFERROR(LOOKUP(2,1/('Milho 2ª safra'!$E40:INDEX('Milho 2ª safra'!$E40:$Z40,MIN(V$6-$E$3,22))&lt;&gt;""),'Milho 2ª safra'!$E40:INDEX('Milho 2ª safra'!$E40:$Z40,MIN(V$6-$E$3,22))),0))-IF($G$2,0,IF((V$6-$G$3)&lt;1,0,IFERROR(LOOKUP(2,1/('Milho 2ª safra'!$E40:INDEX('Milho 2ª safra'!$E40:$Z40,MIN(V$6-$G$3,22))&lt;&gt;""),'Milho 2ª safra'!$E40:INDEX('Milho 2ª safra'!$E40:$Z40,MIN(V$6-$G$3,22))),0)))))</f>
        <v>0</v>
      </c>
      <c r="W42" s="27" t="n">
        <f aca="false">IF(COUNT('Milho 2ª safra'!$E40:$Z40)=0,0,MAX(0,IF((W$6-$E$3)&lt;1,0,IFERROR(LOOKUP(2,1/('Milho 2ª safra'!$E40:INDEX('Milho 2ª safra'!$E40:$Z40,MIN(W$6-$E$3,22))&lt;&gt;""),'Milho 2ª safra'!$E40:INDEX('Milho 2ª safra'!$E40:$Z40,MIN(W$6-$E$3,22))),0))-IF($G$2,0,IF((W$6-$G$3)&lt;1,0,IFERROR(LOOKUP(2,1/('Milho 2ª safra'!$E40:INDEX('Milho 2ª safra'!$E40:$Z40,MIN(W$6-$G$3,22))&lt;&gt;""),'Milho 2ª safra'!$E40:INDEX('Milho 2ª safra'!$E40:$Z40,MIN(W$6-$G$3,22))),0)))))</f>
        <v>0</v>
      </c>
      <c r="X42" s="27" t="n">
        <f aca="false">IF(COUNT('Milho 2ª safra'!$E40:$Z40)=0,0,MAX(0,IF((X$6-$E$3)&lt;1,0,IFERROR(LOOKUP(2,1/('Milho 2ª safra'!$E40:INDEX('Milho 2ª safra'!$E40:$Z40,MIN(X$6-$E$3,22))&lt;&gt;""),'Milho 2ª safra'!$E40:INDEX('Milho 2ª safra'!$E40:$Z40,MIN(X$6-$E$3,22))),0))-IF($G$2,0,IF((X$6-$G$3)&lt;1,0,IFERROR(LOOKUP(2,1/('Milho 2ª safra'!$E40:INDEX('Milho 2ª safra'!$E40:$Z40,MIN(X$6-$G$3,22))&lt;&gt;""),'Milho 2ª safra'!$E40:INDEX('Milho 2ª safra'!$E40:$Z40,MIN(X$6-$G$3,22))),0)))))</f>
        <v>0</v>
      </c>
      <c r="Y42" s="27" t="n">
        <f aca="false">IF(COUNT('Milho 2ª safra'!$E40:$Z40)=0,0,MAX(0,IF((Y$6-$E$3)&lt;1,0,IFERROR(LOOKUP(2,1/('Milho 2ª safra'!$E40:INDEX('Milho 2ª safra'!$E40:$Z40,MIN(Y$6-$E$3,22))&lt;&gt;""),'Milho 2ª safra'!$E40:INDEX('Milho 2ª safra'!$E40:$Z40,MIN(Y$6-$E$3,22))),0))-IF($G$2,0,IF((Y$6-$G$3)&lt;1,0,IFERROR(LOOKUP(2,1/('Milho 2ª safra'!$E40:INDEX('Milho 2ª safra'!$E40:$Z40,MIN(Y$6-$G$3,22))&lt;&gt;""),'Milho 2ª safra'!$E40:INDEX('Milho 2ª safra'!$E40:$Z40,MIN(Y$6-$G$3,22))),0)))))</f>
        <v>0</v>
      </c>
      <c r="Z42" s="27" t="n">
        <f aca="false">IF(COUNT('Milho 2ª safra'!$E40:$Z40)=0,0,MAX(0,IF((Z$6-$E$3)&lt;1,0,IFERROR(LOOKUP(2,1/('Milho 2ª safra'!$E40:INDEX('Milho 2ª safra'!$E40:$Z40,MIN(Z$6-$E$3,22))&lt;&gt;""),'Milho 2ª safra'!$E40:INDEX('Milho 2ª safra'!$E40:$Z40,MIN(Z$6-$E$3,22))),0))-IF($G$2,0,IF((Z$6-$G$3)&lt;1,0,IFERROR(LOOKUP(2,1/('Milho 2ª safra'!$E40:INDEX('Milho 2ª safra'!$E40:$Z40,MIN(Z$6-$G$3,22))&lt;&gt;""),'Milho 2ª safra'!$E40:INDEX('Milho 2ª safra'!$E40:$Z40,MIN(Z$6-$G$3,22))),0)))))</f>
        <v>0</v>
      </c>
      <c r="AA42" s="27" t="n">
        <f aca="false">IF(COUNT('Milho 2ª safra'!$E40:$Z40)=0,0,MAX(0,IF((AA$6-$E$3)&lt;1,0,IFERROR(LOOKUP(2,1/('Milho 2ª safra'!$E40:INDEX('Milho 2ª safra'!$E40:$Z40,MIN(AA$6-$E$3,22))&lt;&gt;""),'Milho 2ª safra'!$E40:INDEX('Milho 2ª safra'!$E40:$Z40,MIN(AA$6-$E$3,22))),0))-IF($G$2,0,IF((AA$6-$G$3)&lt;1,0,IFERROR(LOOKUP(2,1/('Milho 2ª safra'!$E40:INDEX('Milho 2ª safra'!$E40:$Z40,MIN(AA$6-$G$3,22))&lt;&gt;""),'Milho 2ª safra'!$E40:INDEX('Milho 2ª safra'!$E40:$Z40,MIN(AA$6-$G$3,22))),0)))))</f>
        <v>0</v>
      </c>
      <c r="AB42" s="27" t="n">
        <f aca="false">IF(COUNT('Milho 2ª safra'!$E40:$Z40)=0,0,MAX(0,IF((AB$6-$E$3)&lt;1,0,IFERROR(LOOKUP(2,1/('Milho 2ª safra'!$E40:INDEX('Milho 2ª safra'!$E40:$Z40,MIN(AB$6-$E$3,22))&lt;&gt;""),'Milho 2ª safra'!$E40:INDEX('Milho 2ª safra'!$E40:$Z40,MIN(AB$6-$E$3,22))),0))-IF($G$2,0,IF((AB$6-$G$3)&lt;1,0,IFERROR(LOOKUP(2,1/('Milho 2ª safra'!$E40:INDEX('Milho 2ª safra'!$E40:$Z40,MIN(AB$6-$G$3,22))&lt;&gt;""),'Milho 2ª safra'!$E40:INDEX('Milho 2ª safra'!$E40:$Z40,MIN(AB$6-$G$3,22))),0)))))</f>
        <v>0</v>
      </c>
      <c r="AC42" s="27" t="n">
        <f aca="false">IF(COUNT('Milho 2ª safra'!$E40:$Z40)=0,0,MAX(0,IF((AC$6-$E$3)&lt;1,0,IFERROR(LOOKUP(2,1/('Milho 2ª safra'!$E40:INDEX('Milho 2ª safra'!$E40:$Z40,MIN(AC$6-$E$3,22))&lt;&gt;""),'Milho 2ª safra'!$E40:INDEX('Milho 2ª safra'!$E40:$Z40,MIN(AC$6-$E$3,22))),0))-IF($G$2,0,IF((AC$6-$G$3)&lt;1,0,IFERROR(LOOKUP(2,1/('Milho 2ª safra'!$E40:INDEX('Milho 2ª safra'!$E40:$Z40,MIN(AC$6-$G$3,22))&lt;&gt;""),'Milho 2ª safra'!$E40:INDEX('Milho 2ª safra'!$E40:$Z40,MIN(AC$6-$G$3,22))),0)))))</f>
        <v>0</v>
      </c>
      <c r="AD42" s="27" t="n">
        <f aca="false">IF(COUNT('Milho 2ª safra'!$E40:$Z40)=0,0,MAX(0,IF((AD$6-$E$3)&lt;1,0,IFERROR(LOOKUP(2,1/('Milho 2ª safra'!$E40:INDEX('Milho 2ª safra'!$E40:$Z40,MIN(AD$6-$E$3,22))&lt;&gt;""),'Milho 2ª safra'!$E40:INDEX('Milho 2ª safra'!$E40:$Z40,MIN(AD$6-$E$3,22))),0))-IF($G$2,0,IF((AD$6-$G$3)&lt;1,0,IFERROR(LOOKUP(2,1/('Milho 2ª safra'!$E40:INDEX('Milho 2ª safra'!$E40:$Z40,MIN(AD$6-$G$3,22))&lt;&gt;""),'Milho 2ª safra'!$E40:INDEX('Milho 2ª safra'!$E40:$Z40,MIN(AD$6-$G$3,22))),0)))))</f>
        <v>0</v>
      </c>
      <c r="AE42" s="27" t="n">
        <f aca="false">IF(COUNT('Milho 2ª safra'!$E40:$Z40)=0,0,MAX(0,IF((AE$6-$E$3)&lt;1,0,IFERROR(LOOKUP(2,1/('Milho 2ª safra'!$E40:INDEX('Milho 2ª safra'!$E40:$Z40,MIN(AE$6-$E$3,22))&lt;&gt;""),'Milho 2ª safra'!$E40:INDEX('Milho 2ª safra'!$E40:$Z40,MIN(AE$6-$E$3,22))),0))-IF($G$2,0,IF((AE$6-$G$3)&lt;1,0,IFERROR(LOOKUP(2,1/('Milho 2ª safra'!$E40:INDEX('Milho 2ª safra'!$E40:$Z40,MIN(AE$6-$G$3,22))&lt;&gt;""),'Milho 2ª safra'!$E40:INDEX('Milho 2ª safra'!$E40:$Z40,MIN(AE$6-$G$3,22))),0)))))</f>
        <v>0</v>
      </c>
      <c r="AF42" s="27" t="n">
        <f aca="false">IF(COUNT('Milho 2ª safra'!$E40:$Z40)=0,0,MAX(0,IF((AF$6-$E$3)&lt;1,0,IFERROR(LOOKUP(2,1/('Milho 2ª safra'!$E40:INDEX('Milho 2ª safra'!$E40:$Z40,MIN(AF$6-$E$3,22))&lt;&gt;""),'Milho 2ª safra'!$E40:INDEX('Milho 2ª safra'!$E40:$Z40,MIN(AF$6-$E$3,22))),0))-IF($G$2,0,IF((AF$6-$G$3)&lt;1,0,IFERROR(LOOKUP(2,1/('Milho 2ª safra'!$E40:INDEX('Milho 2ª safra'!$E40:$Z40,MIN(AF$6-$G$3,22))&lt;&gt;""),'Milho 2ª safra'!$E40:INDEX('Milho 2ª safra'!$E40:$Z40,MIN(AF$6-$G$3,22))),0)))))</f>
        <v>0</v>
      </c>
      <c r="AG42" s="27" t="n">
        <f aca="false">IF(COUNT('Milho 2ª safra'!$E40:$Z40)=0,0,MAX(0,IF((AG$6-$E$3)&lt;1,0,IFERROR(LOOKUP(2,1/('Milho 2ª safra'!$E40:INDEX('Milho 2ª safra'!$E40:$Z40,MIN(AG$6-$E$3,22))&lt;&gt;""),'Milho 2ª safra'!$E40:INDEX('Milho 2ª safra'!$E40:$Z40,MIN(AG$6-$E$3,22))),0))-IF($G$2,0,IF((AG$6-$G$3)&lt;1,0,IFERROR(LOOKUP(2,1/('Milho 2ª safra'!$E40:INDEX('Milho 2ª safra'!$E40:$Z40,MIN(AG$6-$G$3,22))&lt;&gt;""),'Milho 2ª safra'!$E40:INDEX('Milho 2ª safra'!$E40:$Z40,MIN(AG$6-$G$3,22))),0)))))</f>
        <v>0</v>
      </c>
      <c r="AH42" s="27" t="n">
        <f aca="false">IF(COUNT('Milho 2ª safra'!$E40:$Z40)=0,0,MAX(0,IF((AH$6-$E$3)&lt;1,0,IFERROR(LOOKUP(2,1/('Milho 2ª safra'!$E40:INDEX('Milho 2ª safra'!$E40:$Z40,MIN(AH$6-$E$3,22))&lt;&gt;""),'Milho 2ª safra'!$E40:INDEX('Milho 2ª safra'!$E40:$Z40,MIN(AH$6-$E$3,22))),0))-IF($G$2,0,IF((AH$6-$G$3)&lt;1,0,IFERROR(LOOKUP(2,1/('Milho 2ª safra'!$E40:INDEX('Milho 2ª safra'!$E40:$Z40,MIN(AH$6-$G$3,22))&lt;&gt;""),'Milho 2ª safra'!$E40:INDEX('Milho 2ª safra'!$E40:$Z40,MIN(AH$6-$G$3,22))),0)))))</f>
        <v>0</v>
      </c>
      <c r="AI42" s="27" t="n">
        <f aca="false">IF(COUNT('Milho 2ª safra'!$E40:$Z40)=0,0,MAX(0,IF((AI$6-$E$3)&lt;1,0,IFERROR(LOOKUP(2,1/('Milho 2ª safra'!$E40:INDEX('Milho 2ª safra'!$E40:$Z40,MIN(AI$6-$E$3,22))&lt;&gt;""),'Milho 2ª safra'!$E40:INDEX('Milho 2ª safra'!$E40:$Z40,MIN(AI$6-$E$3,22))),0))-IF($G$2,0,IF((AI$6-$G$3)&lt;1,0,IFERROR(LOOKUP(2,1/('Milho 2ª safra'!$E40:INDEX('Milho 2ª safra'!$E40:$Z40,MIN(AI$6-$G$3,22))&lt;&gt;""),'Milho 2ª safra'!$E40:INDEX('Milho 2ª safra'!$E40:$Z40,MIN(AI$6-$G$3,22))),0)))))</f>
        <v>0</v>
      </c>
      <c r="AJ42" s="27" t="n">
        <f aca="false">IF(COUNT('Milho 2ª safra'!$E40:$Z40)=0,0,MAX(0,IF((AJ$6-$E$3)&lt;1,0,IFERROR(LOOKUP(2,1/('Milho 2ª safra'!$E40:INDEX('Milho 2ª safra'!$E40:$Z40,MIN(AJ$6-$E$3,22))&lt;&gt;""),'Milho 2ª safra'!$E40:INDEX('Milho 2ª safra'!$E40:$Z40,MIN(AJ$6-$E$3,22))),0))-IF($G$2,0,IF((AJ$6-$G$3)&lt;1,0,IFERROR(LOOKUP(2,1/('Milho 2ª safra'!$E40:INDEX('Milho 2ª safra'!$E40:$Z40,MIN(AJ$6-$G$3,22))&lt;&gt;""),'Milho 2ª safra'!$E40:INDEX('Milho 2ª safra'!$E40:$Z40,MIN(AJ$6-$G$3,22))),0)))))</f>
        <v>0</v>
      </c>
      <c r="AK42" s="27" t="n">
        <f aca="false">IF(COUNT('Milho 2ª safra'!$E40:$Z40)=0,0,MAX(0,IF((AK$6-$E$3)&lt;1,0,IFERROR(LOOKUP(2,1/('Milho 2ª safra'!$E40:INDEX('Milho 2ª safra'!$E40:$Z40,MIN(AK$6-$E$3,22))&lt;&gt;""),'Milho 2ª safra'!$E40:INDEX('Milho 2ª safra'!$E40:$Z40,MIN(AK$6-$E$3,22))),0))-IF($G$2,0,IF((AK$6-$G$3)&lt;1,0,IFERROR(LOOKUP(2,1/('Milho 2ª safra'!$E40:INDEX('Milho 2ª safra'!$E40:$Z40,MIN(AK$6-$G$3,22))&lt;&gt;""),'Milho 2ª safra'!$E40:INDEX('Milho 2ª safra'!$E40:$Z40,MIN(AK$6-$G$3,22))),0)))))</f>
        <v>0</v>
      </c>
      <c r="AL42" s="27" t="n">
        <f aca="false">IF(COUNT('Milho 2ª safra'!$E40:$Z40)=0,0,MAX(0,IF((AL$6-$E$3)&lt;1,0,IFERROR(LOOKUP(2,1/('Milho 2ª safra'!$E40:INDEX('Milho 2ª safra'!$E40:$Z40,MIN(AL$6-$E$3,22))&lt;&gt;""),'Milho 2ª safra'!$E40:INDEX('Milho 2ª safra'!$E40:$Z40,MIN(AL$6-$E$3,22))),0))-IF($G$2,0,IF((AL$6-$G$3)&lt;1,0,IFERROR(LOOKUP(2,1/('Milho 2ª safra'!$E40:INDEX('Milho 2ª safra'!$E40:$Z40,MIN(AL$6-$G$3,22))&lt;&gt;""),'Milho 2ª safra'!$E40:INDEX('Milho 2ª safra'!$E40:$Z40,MIN(AL$6-$G$3,22))),0)))))</f>
        <v>0</v>
      </c>
      <c r="AM42" s="27" t="n">
        <f aca="false">IF(COUNT('Milho 2ª safra'!$E40:$Z40)=0,0,MAX(0,IF((AM$6-$E$3)&lt;1,0,IFERROR(LOOKUP(2,1/('Milho 2ª safra'!$E40:INDEX('Milho 2ª safra'!$E40:$Z40,MIN(AM$6-$E$3,22))&lt;&gt;""),'Milho 2ª safra'!$E40:INDEX('Milho 2ª safra'!$E40:$Z40,MIN(AM$6-$E$3,22))),0))-IF($G$2,0,IF((AM$6-$G$3)&lt;1,0,IFERROR(LOOKUP(2,1/('Milho 2ª safra'!$E40:INDEX('Milho 2ª safra'!$E40:$Z40,MIN(AM$6-$G$3,22))&lt;&gt;""),'Milho 2ª safra'!$E40:INDEX('Milho 2ª safra'!$E40:$Z40,MIN(AM$6-$G$3,22))),0)))))</f>
        <v>0</v>
      </c>
      <c r="AN42" s="27" t="n">
        <f aca="false">IF(COUNT('Milho 2ª safra'!$E40:$Z40)=0,0,MAX(0,IF((AN$6-$E$3)&lt;1,0,IFERROR(LOOKUP(2,1/('Milho 2ª safra'!$E40:INDEX('Milho 2ª safra'!$E40:$Z40,MIN(AN$6-$E$3,22))&lt;&gt;""),'Milho 2ª safra'!$E40:INDEX('Milho 2ª safra'!$E40:$Z40,MIN(AN$6-$E$3,22))),0))-IF($G$2,0,IF((AN$6-$G$3)&lt;1,0,IFERROR(LOOKUP(2,1/('Milho 2ª safra'!$E40:INDEX('Milho 2ª safra'!$E40:$Z40,MIN(AN$6-$G$3,22))&lt;&gt;""),'Milho 2ª safra'!$E40:INDEX('Milho 2ª safra'!$E40:$Z40,MIN(AN$6-$G$3,22))),0)))))</f>
        <v>0</v>
      </c>
      <c r="AO42" s="27" t="n">
        <f aca="false">IF(COUNT('Milho 2ª safra'!$E40:$Z40)=0,0,MAX(0,IF((AO$6-$E$3)&lt;1,0,IFERROR(LOOKUP(2,1/('Milho 2ª safra'!$E40:INDEX('Milho 2ª safra'!$E40:$Z40,MIN(AO$6-$E$3,22))&lt;&gt;""),'Milho 2ª safra'!$E40:INDEX('Milho 2ª safra'!$E40:$Z40,MIN(AO$6-$E$3,22))),0))-IF($G$2,0,IF((AO$6-$G$3)&lt;1,0,IFERROR(LOOKUP(2,1/('Milho 2ª safra'!$E40:INDEX('Milho 2ª safra'!$E40:$Z40,MIN(AO$6-$G$3,22))&lt;&gt;""),'Milho 2ª safra'!$E40:INDEX('Milho 2ª safra'!$E40:$Z40,MIN(AO$6-$G$3,22))),0)))))</f>
        <v>0</v>
      </c>
      <c r="AP42" s="27" t="n">
        <f aca="false">IF(COUNT('Milho 2ª safra'!$E40:$Z40)=0,0,MAX(0,IF((AP$6-$E$3)&lt;1,0,IFERROR(LOOKUP(2,1/('Milho 2ª safra'!$E40:INDEX('Milho 2ª safra'!$E40:$Z40,MIN(AP$6-$E$3,22))&lt;&gt;""),'Milho 2ª safra'!$E40:INDEX('Milho 2ª safra'!$E40:$Z40,MIN(AP$6-$E$3,22))),0))-IF($G$2,0,IF((AP$6-$G$3)&lt;1,0,IFERROR(LOOKUP(2,1/('Milho 2ª safra'!$E40:INDEX('Milho 2ª safra'!$E40:$Z40,MIN(AP$6-$G$3,22))&lt;&gt;""),'Milho 2ª safra'!$E40:INDEX('Milho 2ª safra'!$E40:$Z40,MIN(AP$6-$G$3,22))),0)))))</f>
        <v>0</v>
      </c>
      <c r="AQ42" s="27" t="n">
        <f aca="false">IF(COUNT('Milho 2ª safra'!$E40:$Z40)=0,0,MAX(0,IF((AQ$6-$E$3)&lt;1,0,IFERROR(LOOKUP(2,1/('Milho 2ª safra'!$E40:INDEX('Milho 2ª safra'!$E40:$Z40,MIN(AQ$6-$E$3,22))&lt;&gt;""),'Milho 2ª safra'!$E40:INDEX('Milho 2ª safra'!$E40:$Z40,MIN(AQ$6-$E$3,22))),0))-IF($G$2,0,IF((AQ$6-$G$3)&lt;1,0,IFERROR(LOOKUP(2,1/('Milho 2ª safra'!$E40:INDEX('Milho 2ª safra'!$E40:$Z40,MIN(AQ$6-$G$3,22))&lt;&gt;""),'Milho 2ª safra'!$E40:INDEX('Milho 2ª safra'!$E40:$Z40,MIN(AQ$6-$G$3,22))),0)))))</f>
        <v>0</v>
      </c>
      <c r="AR42" s="27" t="n">
        <f aca="false">IF(COUNT('Milho 2ª safra'!$E40:$Z40)=0,0,MAX(0,IF((AR$6-$E$3)&lt;1,0,IFERROR(LOOKUP(2,1/('Milho 2ª safra'!$E40:INDEX('Milho 2ª safra'!$E40:$Z40,MIN(AR$6-$E$3,22))&lt;&gt;""),'Milho 2ª safra'!$E40:INDEX('Milho 2ª safra'!$E40:$Z40,MIN(AR$6-$E$3,22))),0))-IF($G$2,0,IF((AR$6-$G$3)&lt;1,0,IFERROR(LOOKUP(2,1/('Milho 2ª safra'!$E40:INDEX('Milho 2ª safra'!$E40:$Z40,MIN(AR$6-$G$3,22))&lt;&gt;""),'Milho 2ª safra'!$E40:INDEX('Milho 2ª safra'!$E40:$Z40,MIN(AR$6-$G$3,22))),0)))))</f>
        <v>0</v>
      </c>
      <c r="AS42" s="27" t="n">
        <f aca="false">IF(COUNT('Milho 2ª safra'!$E40:$Z40)=0,0,MAX(0,IF((AS$6-$E$3)&lt;1,0,IFERROR(LOOKUP(2,1/('Milho 2ª safra'!$E40:INDEX('Milho 2ª safra'!$E40:$Z40,MIN(AS$6-$E$3,22))&lt;&gt;""),'Milho 2ª safra'!$E40:INDEX('Milho 2ª safra'!$E40:$Z40,MIN(AS$6-$E$3,22))),0))-IF($G$2,0,IF((AS$6-$G$3)&lt;1,0,IFERROR(LOOKUP(2,1/('Milho 2ª safra'!$E40:INDEX('Milho 2ª safra'!$E40:$Z40,MIN(AS$6-$G$3,22))&lt;&gt;""),'Milho 2ª safra'!$E40:INDEX('Milho 2ª safra'!$E40:$Z40,MIN(AS$6-$G$3,22))),0)))))</f>
        <v>0</v>
      </c>
      <c r="AT42" s="27" t="n">
        <f aca="false">IF(COUNT('Milho 2ª safra'!$E40:$Z40)=0,0,MAX(0,IF((AT$6-$E$3)&lt;1,0,IFERROR(LOOKUP(2,1/('Milho 2ª safra'!$E40:INDEX('Milho 2ª safra'!$E40:$Z40,MIN(AT$6-$E$3,22))&lt;&gt;""),'Milho 2ª safra'!$E40:INDEX('Milho 2ª safra'!$E40:$Z40,MIN(AT$6-$E$3,22))),0))-IF($G$2,0,IF((AT$6-$G$3)&lt;1,0,IFERROR(LOOKUP(2,1/('Milho 2ª safra'!$E40:INDEX('Milho 2ª safra'!$E40:$Z40,MIN(AT$6-$G$3,22))&lt;&gt;""),'Milho 2ª safra'!$E40:INDEX('Milho 2ª safra'!$E40:$Z40,MIN(AT$6-$G$3,22))),0)))))</f>
        <v>0</v>
      </c>
      <c r="AU42" s="27" t="n">
        <f aca="false">IF(COUNT('Milho 2ª safra'!$E40:$Z40)=0,0,MAX(0,IF((AU$6-$E$3)&lt;1,0,IFERROR(LOOKUP(2,1/('Milho 2ª safra'!$E40:INDEX('Milho 2ª safra'!$E40:$Z40,MIN(AU$6-$E$3,22))&lt;&gt;""),'Milho 2ª safra'!$E40:INDEX('Milho 2ª safra'!$E40:$Z40,MIN(AU$6-$E$3,22))),0))-IF($G$2,0,IF((AU$6-$G$3)&lt;1,0,IFERROR(LOOKUP(2,1/('Milho 2ª safra'!$E40:INDEX('Milho 2ª safra'!$E40:$Z40,MIN(AU$6-$G$3,22))&lt;&gt;""),'Milho 2ª safra'!$E40:INDEX('Milho 2ª safra'!$E40:$Z40,MIN(AU$6-$G$3,22))),0)))))</f>
        <v>0</v>
      </c>
      <c r="AV42" s="27" t="n">
        <f aca="false">IF(COUNT('Milho 2ª safra'!$E40:$Z40)=0,0,MAX(0,IF((AV$6-$E$3)&lt;1,0,IFERROR(LOOKUP(2,1/('Milho 2ª safra'!$E40:INDEX('Milho 2ª safra'!$E40:$Z40,MIN(AV$6-$E$3,22))&lt;&gt;""),'Milho 2ª safra'!$E40:INDEX('Milho 2ª safra'!$E40:$Z40,MIN(AV$6-$E$3,22))),0))-IF($G$2,0,IF((AV$6-$G$3)&lt;1,0,IFERROR(LOOKUP(2,1/('Milho 2ª safra'!$E40:INDEX('Milho 2ª safra'!$E40:$Z40,MIN(AV$6-$G$3,22))&lt;&gt;""),'Milho 2ª safra'!$E40:INDEX('Milho 2ª safra'!$E40:$Z40,MIN(AV$6-$G$3,22))),0)))))</f>
        <v>0</v>
      </c>
      <c r="AW42" s="27" t="n">
        <f aca="false">IF(COUNT('Milho 2ª safra'!$E40:$Z40)=0,0,MAX(0,IF((AW$6-$E$3)&lt;1,0,IFERROR(LOOKUP(2,1/('Milho 2ª safra'!$E40:INDEX('Milho 2ª safra'!$E40:$Z40,MIN(AW$6-$E$3,22))&lt;&gt;""),'Milho 2ª safra'!$E40:INDEX('Milho 2ª safra'!$E40:$Z40,MIN(AW$6-$E$3,22))),0))-IF($G$2,0,IF((AW$6-$G$3)&lt;1,0,IFERROR(LOOKUP(2,1/('Milho 2ª safra'!$E40:INDEX('Milho 2ª safra'!$E40:$Z40,MIN(AW$6-$G$3,22))&lt;&gt;""),'Milho 2ª safra'!$E40:INDEX('Milho 2ª safra'!$E40:$Z40,MIN(AW$6-$G$3,22))),0)))))</f>
        <v>0</v>
      </c>
      <c r="AX42" s="27" t="n">
        <f aca="false">IF(COUNT('Milho 2ª safra'!$E40:$Z40)=0,0,MAX(0,IF((AX$6-$E$3)&lt;1,0,IFERROR(LOOKUP(2,1/('Milho 2ª safra'!$E40:INDEX('Milho 2ª safra'!$E40:$Z40,MIN(AX$6-$E$3,22))&lt;&gt;""),'Milho 2ª safra'!$E40:INDEX('Milho 2ª safra'!$E40:$Z40,MIN(AX$6-$E$3,22))),0))-IF($G$2,0,IF((AX$6-$G$3)&lt;1,0,IFERROR(LOOKUP(2,1/('Milho 2ª safra'!$E40:INDEX('Milho 2ª safra'!$E40:$Z40,MIN(AX$6-$G$3,22))&lt;&gt;""),'Milho 2ª safra'!$E40:INDEX('Milho 2ª safra'!$E40:$Z40,MIN(AX$6-$G$3,22))),0)))))</f>
        <v>0</v>
      </c>
      <c r="AY42" s="27" t="n">
        <f aca="false">IF(COUNT('Milho 2ª safra'!$E40:$Z40)=0,0,MAX(0,IF((AY$6-$E$3)&lt;1,0,IFERROR(LOOKUP(2,1/('Milho 2ª safra'!$E40:INDEX('Milho 2ª safra'!$E40:$Z40,MIN(AY$6-$E$3,22))&lt;&gt;""),'Milho 2ª safra'!$E40:INDEX('Milho 2ª safra'!$E40:$Z40,MIN(AY$6-$E$3,22))),0))-IF($G$2,0,IF((AY$6-$G$3)&lt;1,0,IFERROR(LOOKUP(2,1/('Milho 2ª safra'!$E40:INDEX('Milho 2ª safra'!$E40:$Z40,MIN(AY$6-$G$3,22))&lt;&gt;""),'Milho 2ª safra'!$E40:INDEX('Milho 2ª safra'!$E40:$Z40,MIN(AY$6-$G$3,22))),0)))))</f>
        <v>0</v>
      </c>
      <c r="AZ42" s="27" t="n">
        <f aca="false">IF(COUNT('Milho 2ª safra'!$E40:$Z40)=0,0,MAX(0,IF((AZ$6-$E$3)&lt;1,0,IFERROR(LOOKUP(2,1/('Milho 2ª safra'!$E40:INDEX('Milho 2ª safra'!$E40:$Z40,MIN(AZ$6-$E$3,22))&lt;&gt;""),'Milho 2ª safra'!$E40:INDEX('Milho 2ª safra'!$E40:$Z40,MIN(AZ$6-$E$3,22))),0))-IF($G$2,0,IF((AZ$6-$G$3)&lt;1,0,IFERROR(LOOKUP(2,1/('Milho 2ª safra'!$E40:INDEX('Milho 2ª safra'!$E40:$Z40,MIN(AZ$6-$G$3,22))&lt;&gt;""),'Milho 2ª safra'!$E40:INDEX('Milho 2ª safra'!$E40:$Z40,MIN(AZ$6-$G$3,22))),0)))))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IF(COUNT('Milho 2ª safra'!$E41:$Z41)&gt;0,N('Milho 2ª safra'!$D41),0)</f>
        <v>0</v>
      </c>
      <c r="E43" s="27" t="n">
        <f aca="false">IF(COUNT('Milho 2ª safra'!$E41:$Z41)=0,0,MAX(0,IF((E$6-$E$3)&lt;1,0,IFERROR(LOOKUP(2,1/('Milho 2ª safra'!$E41:INDEX('Milho 2ª safra'!$E41:$Z41,MIN(E$6-$E$3,22))&lt;&gt;""),'Milho 2ª safra'!$E41:INDEX('Milho 2ª safra'!$E41:$Z41,MIN(E$6-$E$3,22))),0))-IF($G$2,0,IF((E$6-$G$3)&lt;1,0,IFERROR(LOOKUP(2,1/('Milho 2ª safra'!$E41:INDEX('Milho 2ª safra'!$E41:$Z41,MIN(E$6-$G$3,22))&lt;&gt;""),'Milho 2ª safra'!$E41:INDEX('Milho 2ª safra'!$E41:$Z41,MIN(E$6-$G$3,22))),0)))))</f>
        <v>0</v>
      </c>
      <c r="F43" s="27" t="n">
        <f aca="false">IF(COUNT('Milho 2ª safra'!$E41:$Z41)=0,0,MAX(0,IF((F$6-$E$3)&lt;1,0,IFERROR(LOOKUP(2,1/('Milho 2ª safra'!$E41:INDEX('Milho 2ª safra'!$E41:$Z41,MIN(F$6-$E$3,22))&lt;&gt;""),'Milho 2ª safra'!$E41:INDEX('Milho 2ª safra'!$E41:$Z41,MIN(F$6-$E$3,22))),0))-IF($G$2,0,IF((F$6-$G$3)&lt;1,0,IFERROR(LOOKUP(2,1/('Milho 2ª safra'!$E41:INDEX('Milho 2ª safra'!$E41:$Z41,MIN(F$6-$G$3,22))&lt;&gt;""),'Milho 2ª safra'!$E41:INDEX('Milho 2ª safra'!$E41:$Z41,MIN(F$6-$G$3,22))),0)))))</f>
        <v>0</v>
      </c>
      <c r="G43" s="27" t="n">
        <f aca="false">IF(COUNT('Milho 2ª safra'!$E41:$Z41)=0,0,MAX(0,IF((G$6-$E$3)&lt;1,0,IFERROR(LOOKUP(2,1/('Milho 2ª safra'!$E41:INDEX('Milho 2ª safra'!$E41:$Z41,MIN(G$6-$E$3,22))&lt;&gt;""),'Milho 2ª safra'!$E41:INDEX('Milho 2ª safra'!$E41:$Z41,MIN(G$6-$E$3,22))),0))-IF($G$2,0,IF((G$6-$G$3)&lt;1,0,IFERROR(LOOKUP(2,1/('Milho 2ª safra'!$E41:INDEX('Milho 2ª safra'!$E41:$Z41,MIN(G$6-$G$3,22))&lt;&gt;""),'Milho 2ª safra'!$E41:INDEX('Milho 2ª safra'!$E41:$Z41,MIN(G$6-$G$3,22))),0)))))</f>
        <v>0</v>
      </c>
      <c r="H43" s="27" t="n">
        <f aca="false">IF(COUNT('Milho 2ª safra'!$E41:$Z41)=0,0,MAX(0,IF((H$6-$E$3)&lt;1,0,IFERROR(LOOKUP(2,1/('Milho 2ª safra'!$E41:INDEX('Milho 2ª safra'!$E41:$Z41,MIN(H$6-$E$3,22))&lt;&gt;""),'Milho 2ª safra'!$E41:INDEX('Milho 2ª safra'!$E41:$Z41,MIN(H$6-$E$3,22))),0))-IF($G$2,0,IF((H$6-$G$3)&lt;1,0,IFERROR(LOOKUP(2,1/('Milho 2ª safra'!$E41:INDEX('Milho 2ª safra'!$E41:$Z41,MIN(H$6-$G$3,22))&lt;&gt;""),'Milho 2ª safra'!$E41:INDEX('Milho 2ª safra'!$E41:$Z41,MIN(H$6-$G$3,22))),0)))))</f>
        <v>0</v>
      </c>
      <c r="I43" s="27" t="n">
        <f aca="false">IF(COUNT('Milho 2ª safra'!$E41:$Z41)=0,0,MAX(0,IF((I$6-$E$3)&lt;1,0,IFERROR(LOOKUP(2,1/('Milho 2ª safra'!$E41:INDEX('Milho 2ª safra'!$E41:$Z41,MIN(I$6-$E$3,22))&lt;&gt;""),'Milho 2ª safra'!$E41:INDEX('Milho 2ª safra'!$E41:$Z41,MIN(I$6-$E$3,22))),0))-IF($G$2,0,IF((I$6-$G$3)&lt;1,0,IFERROR(LOOKUP(2,1/('Milho 2ª safra'!$E41:INDEX('Milho 2ª safra'!$E41:$Z41,MIN(I$6-$G$3,22))&lt;&gt;""),'Milho 2ª safra'!$E41:INDEX('Milho 2ª safra'!$E41:$Z41,MIN(I$6-$G$3,22))),0)))))</f>
        <v>0</v>
      </c>
      <c r="J43" s="27" t="n">
        <f aca="false">IF(COUNT('Milho 2ª safra'!$E41:$Z41)=0,0,MAX(0,IF((J$6-$E$3)&lt;1,0,IFERROR(LOOKUP(2,1/('Milho 2ª safra'!$E41:INDEX('Milho 2ª safra'!$E41:$Z41,MIN(J$6-$E$3,22))&lt;&gt;""),'Milho 2ª safra'!$E41:INDEX('Milho 2ª safra'!$E41:$Z41,MIN(J$6-$E$3,22))),0))-IF($G$2,0,IF((J$6-$G$3)&lt;1,0,IFERROR(LOOKUP(2,1/('Milho 2ª safra'!$E41:INDEX('Milho 2ª safra'!$E41:$Z41,MIN(J$6-$G$3,22))&lt;&gt;""),'Milho 2ª safra'!$E41:INDEX('Milho 2ª safra'!$E41:$Z41,MIN(J$6-$G$3,22))),0)))))</f>
        <v>0</v>
      </c>
      <c r="K43" s="27" t="n">
        <f aca="false">IF(COUNT('Milho 2ª safra'!$E41:$Z41)=0,0,MAX(0,IF((K$6-$E$3)&lt;1,0,IFERROR(LOOKUP(2,1/('Milho 2ª safra'!$E41:INDEX('Milho 2ª safra'!$E41:$Z41,MIN(K$6-$E$3,22))&lt;&gt;""),'Milho 2ª safra'!$E41:INDEX('Milho 2ª safra'!$E41:$Z41,MIN(K$6-$E$3,22))),0))-IF($G$2,0,IF((K$6-$G$3)&lt;1,0,IFERROR(LOOKUP(2,1/('Milho 2ª safra'!$E41:INDEX('Milho 2ª safra'!$E41:$Z41,MIN(K$6-$G$3,22))&lt;&gt;""),'Milho 2ª safra'!$E41:INDEX('Milho 2ª safra'!$E41:$Z41,MIN(K$6-$G$3,22))),0)))))</f>
        <v>0</v>
      </c>
      <c r="L43" s="27" t="n">
        <f aca="false">IF(COUNT('Milho 2ª safra'!$E41:$Z41)=0,0,MAX(0,IF((L$6-$E$3)&lt;1,0,IFERROR(LOOKUP(2,1/('Milho 2ª safra'!$E41:INDEX('Milho 2ª safra'!$E41:$Z41,MIN(L$6-$E$3,22))&lt;&gt;""),'Milho 2ª safra'!$E41:INDEX('Milho 2ª safra'!$E41:$Z41,MIN(L$6-$E$3,22))),0))-IF($G$2,0,IF((L$6-$G$3)&lt;1,0,IFERROR(LOOKUP(2,1/('Milho 2ª safra'!$E41:INDEX('Milho 2ª safra'!$E41:$Z41,MIN(L$6-$G$3,22))&lt;&gt;""),'Milho 2ª safra'!$E41:INDEX('Milho 2ª safra'!$E41:$Z41,MIN(L$6-$G$3,22))),0)))))</f>
        <v>0</v>
      </c>
      <c r="M43" s="27" t="n">
        <f aca="false">IF(COUNT('Milho 2ª safra'!$E41:$Z41)=0,0,MAX(0,IF((M$6-$E$3)&lt;1,0,IFERROR(LOOKUP(2,1/('Milho 2ª safra'!$E41:INDEX('Milho 2ª safra'!$E41:$Z41,MIN(M$6-$E$3,22))&lt;&gt;""),'Milho 2ª safra'!$E41:INDEX('Milho 2ª safra'!$E41:$Z41,MIN(M$6-$E$3,22))),0))-IF($G$2,0,IF((M$6-$G$3)&lt;1,0,IFERROR(LOOKUP(2,1/('Milho 2ª safra'!$E41:INDEX('Milho 2ª safra'!$E41:$Z41,MIN(M$6-$G$3,22))&lt;&gt;""),'Milho 2ª safra'!$E41:INDEX('Milho 2ª safra'!$E41:$Z41,MIN(M$6-$G$3,22))),0)))))</f>
        <v>0</v>
      </c>
      <c r="N43" s="27" t="n">
        <f aca="false">IF(COUNT('Milho 2ª safra'!$E41:$Z41)=0,0,MAX(0,IF((N$6-$E$3)&lt;1,0,IFERROR(LOOKUP(2,1/('Milho 2ª safra'!$E41:INDEX('Milho 2ª safra'!$E41:$Z41,MIN(N$6-$E$3,22))&lt;&gt;""),'Milho 2ª safra'!$E41:INDEX('Milho 2ª safra'!$E41:$Z41,MIN(N$6-$E$3,22))),0))-IF($G$2,0,IF((N$6-$G$3)&lt;1,0,IFERROR(LOOKUP(2,1/('Milho 2ª safra'!$E41:INDEX('Milho 2ª safra'!$E41:$Z41,MIN(N$6-$G$3,22))&lt;&gt;""),'Milho 2ª safra'!$E41:INDEX('Milho 2ª safra'!$E41:$Z41,MIN(N$6-$G$3,22))),0)))))</f>
        <v>0</v>
      </c>
      <c r="O43" s="27" t="n">
        <f aca="false">IF(COUNT('Milho 2ª safra'!$E41:$Z41)=0,0,MAX(0,IF((O$6-$E$3)&lt;1,0,IFERROR(LOOKUP(2,1/('Milho 2ª safra'!$E41:INDEX('Milho 2ª safra'!$E41:$Z41,MIN(O$6-$E$3,22))&lt;&gt;""),'Milho 2ª safra'!$E41:INDEX('Milho 2ª safra'!$E41:$Z41,MIN(O$6-$E$3,22))),0))-IF($G$2,0,IF((O$6-$G$3)&lt;1,0,IFERROR(LOOKUP(2,1/('Milho 2ª safra'!$E41:INDEX('Milho 2ª safra'!$E41:$Z41,MIN(O$6-$G$3,22))&lt;&gt;""),'Milho 2ª safra'!$E41:INDEX('Milho 2ª safra'!$E41:$Z41,MIN(O$6-$G$3,22))),0)))))</f>
        <v>0</v>
      </c>
      <c r="P43" s="27" t="n">
        <f aca="false">IF(COUNT('Milho 2ª safra'!$E41:$Z41)=0,0,MAX(0,IF((P$6-$E$3)&lt;1,0,IFERROR(LOOKUP(2,1/('Milho 2ª safra'!$E41:INDEX('Milho 2ª safra'!$E41:$Z41,MIN(P$6-$E$3,22))&lt;&gt;""),'Milho 2ª safra'!$E41:INDEX('Milho 2ª safra'!$E41:$Z41,MIN(P$6-$E$3,22))),0))-IF($G$2,0,IF((P$6-$G$3)&lt;1,0,IFERROR(LOOKUP(2,1/('Milho 2ª safra'!$E41:INDEX('Milho 2ª safra'!$E41:$Z41,MIN(P$6-$G$3,22))&lt;&gt;""),'Milho 2ª safra'!$E41:INDEX('Milho 2ª safra'!$E41:$Z41,MIN(P$6-$G$3,22))),0)))))</f>
        <v>0</v>
      </c>
      <c r="Q43" s="27" t="n">
        <f aca="false">IF(COUNT('Milho 2ª safra'!$E41:$Z41)=0,0,MAX(0,IF((Q$6-$E$3)&lt;1,0,IFERROR(LOOKUP(2,1/('Milho 2ª safra'!$E41:INDEX('Milho 2ª safra'!$E41:$Z41,MIN(Q$6-$E$3,22))&lt;&gt;""),'Milho 2ª safra'!$E41:INDEX('Milho 2ª safra'!$E41:$Z41,MIN(Q$6-$E$3,22))),0))-IF($G$2,0,IF((Q$6-$G$3)&lt;1,0,IFERROR(LOOKUP(2,1/('Milho 2ª safra'!$E41:INDEX('Milho 2ª safra'!$E41:$Z41,MIN(Q$6-$G$3,22))&lt;&gt;""),'Milho 2ª safra'!$E41:INDEX('Milho 2ª safra'!$E41:$Z41,MIN(Q$6-$G$3,22))),0)))))</f>
        <v>0</v>
      </c>
      <c r="R43" s="27" t="n">
        <f aca="false">IF(COUNT('Milho 2ª safra'!$E41:$Z41)=0,0,MAX(0,IF((R$6-$E$3)&lt;1,0,IFERROR(LOOKUP(2,1/('Milho 2ª safra'!$E41:INDEX('Milho 2ª safra'!$E41:$Z41,MIN(R$6-$E$3,22))&lt;&gt;""),'Milho 2ª safra'!$E41:INDEX('Milho 2ª safra'!$E41:$Z41,MIN(R$6-$E$3,22))),0))-IF($G$2,0,IF((R$6-$G$3)&lt;1,0,IFERROR(LOOKUP(2,1/('Milho 2ª safra'!$E41:INDEX('Milho 2ª safra'!$E41:$Z41,MIN(R$6-$G$3,22))&lt;&gt;""),'Milho 2ª safra'!$E41:INDEX('Milho 2ª safra'!$E41:$Z41,MIN(R$6-$G$3,22))),0)))))</f>
        <v>0</v>
      </c>
      <c r="S43" s="27" t="n">
        <f aca="false">IF(COUNT('Milho 2ª safra'!$E41:$Z41)=0,0,MAX(0,IF((S$6-$E$3)&lt;1,0,IFERROR(LOOKUP(2,1/('Milho 2ª safra'!$E41:INDEX('Milho 2ª safra'!$E41:$Z41,MIN(S$6-$E$3,22))&lt;&gt;""),'Milho 2ª safra'!$E41:INDEX('Milho 2ª safra'!$E41:$Z41,MIN(S$6-$E$3,22))),0))-IF($G$2,0,IF((S$6-$G$3)&lt;1,0,IFERROR(LOOKUP(2,1/('Milho 2ª safra'!$E41:INDEX('Milho 2ª safra'!$E41:$Z41,MIN(S$6-$G$3,22))&lt;&gt;""),'Milho 2ª safra'!$E41:INDEX('Milho 2ª safra'!$E41:$Z41,MIN(S$6-$G$3,22))),0)))))</f>
        <v>0</v>
      </c>
      <c r="T43" s="27" t="n">
        <f aca="false">IF(COUNT('Milho 2ª safra'!$E41:$Z41)=0,0,MAX(0,IF((T$6-$E$3)&lt;1,0,IFERROR(LOOKUP(2,1/('Milho 2ª safra'!$E41:INDEX('Milho 2ª safra'!$E41:$Z41,MIN(T$6-$E$3,22))&lt;&gt;""),'Milho 2ª safra'!$E41:INDEX('Milho 2ª safra'!$E41:$Z41,MIN(T$6-$E$3,22))),0))-IF($G$2,0,IF((T$6-$G$3)&lt;1,0,IFERROR(LOOKUP(2,1/('Milho 2ª safra'!$E41:INDEX('Milho 2ª safra'!$E41:$Z41,MIN(T$6-$G$3,22))&lt;&gt;""),'Milho 2ª safra'!$E41:INDEX('Milho 2ª safra'!$E41:$Z41,MIN(T$6-$G$3,22))),0)))))</f>
        <v>0</v>
      </c>
      <c r="U43" s="27" t="n">
        <f aca="false">IF(COUNT('Milho 2ª safra'!$E41:$Z41)=0,0,MAX(0,IF((U$6-$E$3)&lt;1,0,IFERROR(LOOKUP(2,1/('Milho 2ª safra'!$E41:INDEX('Milho 2ª safra'!$E41:$Z41,MIN(U$6-$E$3,22))&lt;&gt;""),'Milho 2ª safra'!$E41:INDEX('Milho 2ª safra'!$E41:$Z41,MIN(U$6-$E$3,22))),0))-IF($G$2,0,IF((U$6-$G$3)&lt;1,0,IFERROR(LOOKUP(2,1/('Milho 2ª safra'!$E41:INDEX('Milho 2ª safra'!$E41:$Z41,MIN(U$6-$G$3,22))&lt;&gt;""),'Milho 2ª safra'!$E41:INDEX('Milho 2ª safra'!$E41:$Z41,MIN(U$6-$G$3,22))),0)))))</f>
        <v>0</v>
      </c>
      <c r="V43" s="27" t="n">
        <f aca="false">IF(COUNT('Milho 2ª safra'!$E41:$Z41)=0,0,MAX(0,IF((V$6-$E$3)&lt;1,0,IFERROR(LOOKUP(2,1/('Milho 2ª safra'!$E41:INDEX('Milho 2ª safra'!$E41:$Z41,MIN(V$6-$E$3,22))&lt;&gt;""),'Milho 2ª safra'!$E41:INDEX('Milho 2ª safra'!$E41:$Z41,MIN(V$6-$E$3,22))),0))-IF($G$2,0,IF((V$6-$G$3)&lt;1,0,IFERROR(LOOKUP(2,1/('Milho 2ª safra'!$E41:INDEX('Milho 2ª safra'!$E41:$Z41,MIN(V$6-$G$3,22))&lt;&gt;""),'Milho 2ª safra'!$E41:INDEX('Milho 2ª safra'!$E41:$Z41,MIN(V$6-$G$3,22))),0)))))</f>
        <v>0</v>
      </c>
      <c r="W43" s="27" t="n">
        <f aca="false">IF(COUNT('Milho 2ª safra'!$E41:$Z41)=0,0,MAX(0,IF((W$6-$E$3)&lt;1,0,IFERROR(LOOKUP(2,1/('Milho 2ª safra'!$E41:INDEX('Milho 2ª safra'!$E41:$Z41,MIN(W$6-$E$3,22))&lt;&gt;""),'Milho 2ª safra'!$E41:INDEX('Milho 2ª safra'!$E41:$Z41,MIN(W$6-$E$3,22))),0))-IF($G$2,0,IF((W$6-$G$3)&lt;1,0,IFERROR(LOOKUP(2,1/('Milho 2ª safra'!$E41:INDEX('Milho 2ª safra'!$E41:$Z41,MIN(W$6-$G$3,22))&lt;&gt;""),'Milho 2ª safra'!$E41:INDEX('Milho 2ª safra'!$E41:$Z41,MIN(W$6-$G$3,22))),0)))))</f>
        <v>0</v>
      </c>
      <c r="X43" s="27" t="n">
        <f aca="false">IF(COUNT('Milho 2ª safra'!$E41:$Z41)=0,0,MAX(0,IF((X$6-$E$3)&lt;1,0,IFERROR(LOOKUP(2,1/('Milho 2ª safra'!$E41:INDEX('Milho 2ª safra'!$E41:$Z41,MIN(X$6-$E$3,22))&lt;&gt;""),'Milho 2ª safra'!$E41:INDEX('Milho 2ª safra'!$E41:$Z41,MIN(X$6-$E$3,22))),0))-IF($G$2,0,IF((X$6-$G$3)&lt;1,0,IFERROR(LOOKUP(2,1/('Milho 2ª safra'!$E41:INDEX('Milho 2ª safra'!$E41:$Z41,MIN(X$6-$G$3,22))&lt;&gt;""),'Milho 2ª safra'!$E41:INDEX('Milho 2ª safra'!$E41:$Z41,MIN(X$6-$G$3,22))),0)))))</f>
        <v>0</v>
      </c>
      <c r="Y43" s="27" t="n">
        <f aca="false">IF(COUNT('Milho 2ª safra'!$E41:$Z41)=0,0,MAX(0,IF((Y$6-$E$3)&lt;1,0,IFERROR(LOOKUP(2,1/('Milho 2ª safra'!$E41:INDEX('Milho 2ª safra'!$E41:$Z41,MIN(Y$6-$E$3,22))&lt;&gt;""),'Milho 2ª safra'!$E41:INDEX('Milho 2ª safra'!$E41:$Z41,MIN(Y$6-$E$3,22))),0))-IF($G$2,0,IF((Y$6-$G$3)&lt;1,0,IFERROR(LOOKUP(2,1/('Milho 2ª safra'!$E41:INDEX('Milho 2ª safra'!$E41:$Z41,MIN(Y$6-$G$3,22))&lt;&gt;""),'Milho 2ª safra'!$E41:INDEX('Milho 2ª safra'!$E41:$Z41,MIN(Y$6-$G$3,22))),0)))))</f>
        <v>0</v>
      </c>
      <c r="Z43" s="27" t="n">
        <f aca="false">IF(COUNT('Milho 2ª safra'!$E41:$Z41)=0,0,MAX(0,IF((Z$6-$E$3)&lt;1,0,IFERROR(LOOKUP(2,1/('Milho 2ª safra'!$E41:INDEX('Milho 2ª safra'!$E41:$Z41,MIN(Z$6-$E$3,22))&lt;&gt;""),'Milho 2ª safra'!$E41:INDEX('Milho 2ª safra'!$E41:$Z41,MIN(Z$6-$E$3,22))),0))-IF($G$2,0,IF((Z$6-$G$3)&lt;1,0,IFERROR(LOOKUP(2,1/('Milho 2ª safra'!$E41:INDEX('Milho 2ª safra'!$E41:$Z41,MIN(Z$6-$G$3,22))&lt;&gt;""),'Milho 2ª safra'!$E41:INDEX('Milho 2ª safra'!$E41:$Z41,MIN(Z$6-$G$3,22))),0)))))</f>
        <v>0</v>
      </c>
      <c r="AA43" s="27" t="n">
        <f aca="false">IF(COUNT('Milho 2ª safra'!$E41:$Z41)=0,0,MAX(0,IF((AA$6-$E$3)&lt;1,0,IFERROR(LOOKUP(2,1/('Milho 2ª safra'!$E41:INDEX('Milho 2ª safra'!$E41:$Z41,MIN(AA$6-$E$3,22))&lt;&gt;""),'Milho 2ª safra'!$E41:INDEX('Milho 2ª safra'!$E41:$Z41,MIN(AA$6-$E$3,22))),0))-IF($G$2,0,IF((AA$6-$G$3)&lt;1,0,IFERROR(LOOKUP(2,1/('Milho 2ª safra'!$E41:INDEX('Milho 2ª safra'!$E41:$Z41,MIN(AA$6-$G$3,22))&lt;&gt;""),'Milho 2ª safra'!$E41:INDEX('Milho 2ª safra'!$E41:$Z41,MIN(AA$6-$G$3,22))),0)))))</f>
        <v>0</v>
      </c>
      <c r="AB43" s="27" t="n">
        <f aca="false">IF(COUNT('Milho 2ª safra'!$E41:$Z41)=0,0,MAX(0,IF((AB$6-$E$3)&lt;1,0,IFERROR(LOOKUP(2,1/('Milho 2ª safra'!$E41:INDEX('Milho 2ª safra'!$E41:$Z41,MIN(AB$6-$E$3,22))&lt;&gt;""),'Milho 2ª safra'!$E41:INDEX('Milho 2ª safra'!$E41:$Z41,MIN(AB$6-$E$3,22))),0))-IF($G$2,0,IF((AB$6-$G$3)&lt;1,0,IFERROR(LOOKUP(2,1/('Milho 2ª safra'!$E41:INDEX('Milho 2ª safra'!$E41:$Z41,MIN(AB$6-$G$3,22))&lt;&gt;""),'Milho 2ª safra'!$E41:INDEX('Milho 2ª safra'!$E41:$Z41,MIN(AB$6-$G$3,22))),0)))))</f>
        <v>0</v>
      </c>
      <c r="AC43" s="27" t="n">
        <f aca="false">IF(COUNT('Milho 2ª safra'!$E41:$Z41)=0,0,MAX(0,IF((AC$6-$E$3)&lt;1,0,IFERROR(LOOKUP(2,1/('Milho 2ª safra'!$E41:INDEX('Milho 2ª safra'!$E41:$Z41,MIN(AC$6-$E$3,22))&lt;&gt;""),'Milho 2ª safra'!$E41:INDEX('Milho 2ª safra'!$E41:$Z41,MIN(AC$6-$E$3,22))),0))-IF($G$2,0,IF((AC$6-$G$3)&lt;1,0,IFERROR(LOOKUP(2,1/('Milho 2ª safra'!$E41:INDEX('Milho 2ª safra'!$E41:$Z41,MIN(AC$6-$G$3,22))&lt;&gt;""),'Milho 2ª safra'!$E41:INDEX('Milho 2ª safra'!$E41:$Z41,MIN(AC$6-$G$3,22))),0)))))</f>
        <v>0</v>
      </c>
      <c r="AD43" s="27" t="n">
        <f aca="false">IF(COUNT('Milho 2ª safra'!$E41:$Z41)=0,0,MAX(0,IF((AD$6-$E$3)&lt;1,0,IFERROR(LOOKUP(2,1/('Milho 2ª safra'!$E41:INDEX('Milho 2ª safra'!$E41:$Z41,MIN(AD$6-$E$3,22))&lt;&gt;""),'Milho 2ª safra'!$E41:INDEX('Milho 2ª safra'!$E41:$Z41,MIN(AD$6-$E$3,22))),0))-IF($G$2,0,IF((AD$6-$G$3)&lt;1,0,IFERROR(LOOKUP(2,1/('Milho 2ª safra'!$E41:INDEX('Milho 2ª safra'!$E41:$Z41,MIN(AD$6-$G$3,22))&lt;&gt;""),'Milho 2ª safra'!$E41:INDEX('Milho 2ª safra'!$E41:$Z41,MIN(AD$6-$G$3,22))),0)))))</f>
        <v>0</v>
      </c>
      <c r="AE43" s="27" t="n">
        <f aca="false">IF(COUNT('Milho 2ª safra'!$E41:$Z41)=0,0,MAX(0,IF((AE$6-$E$3)&lt;1,0,IFERROR(LOOKUP(2,1/('Milho 2ª safra'!$E41:INDEX('Milho 2ª safra'!$E41:$Z41,MIN(AE$6-$E$3,22))&lt;&gt;""),'Milho 2ª safra'!$E41:INDEX('Milho 2ª safra'!$E41:$Z41,MIN(AE$6-$E$3,22))),0))-IF($G$2,0,IF((AE$6-$G$3)&lt;1,0,IFERROR(LOOKUP(2,1/('Milho 2ª safra'!$E41:INDEX('Milho 2ª safra'!$E41:$Z41,MIN(AE$6-$G$3,22))&lt;&gt;""),'Milho 2ª safra'!$E41:INDEX('Milho 2ª safra'!$E41:$Z41,MIN(AE$6-$G$3,22))),0)))))</f>
        <v>0</v>
      </c>
      <c r="AF43" s="27" t="n">
        <f aca="false">IF(COUNT('Milho 2ª safra'!$E41:$Z41)=0,0,MAX(0,IF((AF$6-$E$3)&lt;1,0,IFERROR(LOOKUP(2,1/('Milho 2ª safra'!$E41:INDEX('Milho 2ª safra'!$E41:$Z41,MIN(AF$6-$E$3,22))&lt;&gt;""),'Milho 2ª safra'!$E41:INDEX('Milho 2ª safra'!$E41:$Z41,MIN(AF$6-$E$3,22))),0))-IF($G$2,0,IF((AF$6-$G$3)&lt;1,0,IFERROR(LOOKUP(2,1/('Milho 2ª safra'!$E41:INDEX('Milho 2ª safra'!$E41:$Z41,MIN(AF$6-$G$3,22))&lt;&gt;""),'Milho 2ª safra'!$E41:INDEX('Milho 2ª safra'!$E41:$Z41,MIN(AF$6-$G$3,22))),0)))))</f>
        <v>0</v>
      </c>
      <c r="AG43" s="27" t="n">
        <f aca="false">IF(COUNT('Milho 2ª safra'!$E41:$Z41)=0,0,MAX(0,IF((AG$6-$E$3)&lt;1,0,IFERROR(LOOKUP(2,1/('Milho 2ª safra'!$E41:INDEX('Milho 2ª safra'!$E41:$Z41,MIN(AG$6-$E$3,22))&lt;&gt;""),'Milho 2ª safra'!$E41:INDEX('Milho 2ª safra'!$E41:$Z41,MIN(AG$6-$E$3,22))),0))-IF($G$2,0,IF((AG$6-$G$3)&lt;1,0,IFERROR(LOOKUP(2,1/('Milho 2ª safra'!$E41:INDEX('Milho 2ª safra'!$E41:$Z41,MIN(AG$6-$G$3,22))&lt;&gt;""),'Milho 2ª safra'!$E41:INDEX('Milho 2ª safra'!$E41:$Z41,MIN(AG$6-$G$3,22))),0)))))</f>
        <v>0</v>
      </c>
      <c r="AH43" s="27" t="n">
        <f aca="false">IF(COUNT('Milho 2ª safra'!$E41:$Z41)=0,0,MAX(0,IF((AH$6-$E$3)&lt;1,0,IFERROR(LOOKUP(2,1/('Milho 2ª safra'!$E41:INDEX('Milho 2ª safra'!$E41:$Z41,MIN(AH$6-$E$3,22))&lt;&gt;""),'Milho 2ª safra'!$E41:INDEX('Milho 2ª safra'!$E41:$Z41,MIN(AH$6-$E$3,22))),0))-IF($G$2,0,IF((AH$6-$G$3)&lt;1,0,IFERROR(LOOKUP(2,1/('Milho 2ª safra'!$E41:INDEX('Milho 2ª safra'!$E41:$Z41,MIN(AH$6-$G$3,22))&lt;&gt;""),'Milho 2ª safra'!$E41:INDEX('Milho 2ª safra'!$E41:$Z41,MIN(AH$6-$G$3,22))),0)))))</f>
        <v>0</v>
      </c>
      <c r="AI43" s="27" t="n">
        <f aca="false">IF(COUNT('Milho 2ª safra'!$E41:$Z41)=0,0,MAX(0,IF((AI$6-$E$3)&lt;1,0,IFERROR(LOOKUP(2,1/('Milho 2ª safra'!$E41:INDEX('Milho 2ª safra'!$E41:$Z41,MIN(AI$6-$E$3,22))&lt;&gt;""),'Milho 2ª safra'!$E41:INDEX('Milho 2ª safra'!$E41:$Z41,MIN(AI$6-$E$3,22))),0))-IF($G$2,0,IF((AI$6-$G$3)&lt;1,0,IFERROR(LOOKUP(2,1/('Milho 2ª safra'!$E41:INDEX('Milho 2ª safra'!$E41:$Z41,MIN(AI$6-$G$3,22))&lt;&gt;""),'Milho 2ª safra'!$E41:INDEX('Milho 2ª safra'!$E41:$Z41,MIN(AI$6-$G$3,22))),0)))))</f>
        <v>0</v>
      </c>
      <c r="AJ43" s="27" t="n">
        <f aca="false">IF(COUNT('Milho 2ª safra'!$E41:$Z41)=0,0,MAX(0,IF((AJ$6-$E$3)&lt;1,0,IFERROR(LOOKUP(2,1/('Milho 2ª safra'!$E41:INDEX('Milho 2ª safra'!$E41:$Z41,MIN(AJ$6-$E$3,22))&lt;&gt;""),'Milho 2ª safra'!$E41:INDEX('Milho 2ª safra'!$E41:$Z41,MIN(AJ$6-$E$3,22))),0))-IF($G$2,0,IF((AJ$6-$G$3)&lt;1,0,IFERROR(LOOKUP(2,1/('Milho 2ª safra'!$E41:INDEX('Milho 2ª safra'!$E41:$Z41,MIN(AJ$6-$G$3,22))&lt;&gt;""),'Milho 2ª safra'!$E41:INDEX('Milho 2ª safra'!$E41:$Z41,MIN(AJ$6-$G$3,22))),0)))))</f>
        <v>0</v>
      </c>
      <c r="AK43" s="27" t="n">
        <f aca="false">IF(COUNT('Milho 2ª safra'!$E41:$Z41)=0,0,MAX(0,IF((AK$6-$E$3)&lt;1,0,IFERROR(LOOKUP(2,1/('Milho 2ª safra'!$E41:INDEX('Milho 2ª safra'!$E41:$Z41,MIN(AK$6-$E$3,22))&lt;&gt;""),'Milho 2ª safra'!$E41:INDEX('Milho 2ª safra'!$E41:$Z41,MIN(AK$6-$E$3,22))),0))-IF($G$2,0,IF((AK$6-$G$3)&lt;1,0,IFERROR(LOOKUP(2,1/('Milho 2ª safra'!$E41:INDEX('Milho 2ª safra'!$E41:$Z41,MIN(AK$6-$G$3,22))&lt;&gt;""),'Milho 2ª safra'!$E41:INDEX('Milho 2ª safra'!$E41:$Z41,MIN(AK$6-$G$3,22))),0)))))</f>
        <v>0</v>
      </c>
      <c r="AL43" s="27" t="n">
        <f aca="false">IF(COUNT('Milho 2ª safra'!$E41:$Z41)=0,0,MAX(0,IF((AL$6-$E$3)&lt;1,0,IFERROR(LOOKUP(2,1/('Milho 2ª safra'!$E41:INDEX('Milho 2ª safra'!$E41:$Z41,MIN(AL$6-$E$3,22))&lt;&gt;""),'Milho 2ª safra'!$E41:INDEX('Milho 2ª safra'!$E41:$Z41,MIN(AL$6-$E$3,22))),0))-IF($G$2,0,IF((AL$6-$G$3)&lt;1,0,IFERROR(LOOKUP(2,1/('Milho 2ª safra'!$E41:INDEX('Milho 2ª safra'!$E41:$Z41,MIN(AL$6-$G$3,22))&lt;&gt;""),'Milho 2ª safra'!$E41:INDEX('Milho 2ª safra'!$E41:$Z41,MIN(AL$6-$G$3,22))),0)))))</f>
        <v>0</v>
      </c>
      <c r="AM43" s="27" t="n">
        <f aca="false">IF(COUNT('Milho 2ª safra'!$E41:$Z41)=0,0,MAX(0,IF((AM$6-$E$3)&lt;1,0,IFERROR(LOOKUP(2,1/('Milho 2ª safra'!$E41:INDEX('Milho 2ª safra'!$E41:$Z41,MIN(AM$6-$E$3,22))&lt;&gt;""),'Milho 2ª safra'!$E41:INDEX('Milho 2ª safra'!$E41:$Z41,MIN(AM$6-$E$3,22))),0))-IF($G$2,0,IF((AM$6-$G$3)&lt;1,0,IFERROR(LOOKUP(2,1/('Milho 2ª safra'!$E41:INDEX('Milho 2ª safra'!$E41:$Z41,MIN(AM$6-$G$3,22))&lt;&gt;""),'Milho 2ª safra'!$E41:INDEX('Milho 2ª safra'!$E41:$Z41,MIN(AM$6-$G$3,22))),0)))))</f>
        <v>0</v>
      </c>
      <c r="AN43" s="27" t="n">
        <f aca="false">IF(COUNT('Milho 2ª safra'!$E41:$Z41)=0,0,MAX(0,IF((AN$6-$E$3)&lt;1,0,IFERROR(LOOKUP(2,1/('Milho 2ª safra'!$E41:INDEX('Milho 2ª safra'!$E41:$Z41,MIN(AN$6-$E$3,22))&lt;&gt;""),'Milho 2ª safra'!$E41:INDEX('Milho 2ª safra'!$E41:$Z41,MIN(AN$6-$E$3,22))),0))-IF($G$2,0,IF((AN$6-$G$3)&lt;1,0,IFERROR(LOOKUP(2,1/('Milho 2ª safra'!$E41:INDEX('Milho 2ª safra'!$E41:$Z41,MIN(AN$6-$G$3,22))&lt;&gt;""),'Milho 2ª safra'!$E41:INDEX('Milho 2ª safra'!$E41:$Z41,MIN(AN$6-$G$3,22))),0)))))</f>
        <v>0</v>
      </c>
      <c r="AO43" s="27" t="n">
        <f aca="false">IF(COUNT('Milho 2ª safra'!$E41:$Z41)=0,0,MAX(0,IF((AO$6-$E$3)&lt;1,0,IFERROR(LOOKUP(2,1/('Milho 2ª safra'!$E41:INDEX('Milho 2ª safra'!$E41:$Z41,MIN(AO$6-$E$3,22))&lt;&gt;""),'Milho 2ª safra'!$E41:INDEX('Milho 2ª safra'!$E41:$Z41,MIN(AO$6-$E$3,22))),0))-IF($G$2,0,IF((AO$6-$G$3)&lt;1,0,IFERROR(LOOKUP(2,1/('Milho 2ª safra'!$E41:INDEX('Milho 2ª safra'!$E41:$Z41,MIN(AO$6-$G$3,22))&lt;&gt;""),'Milho 2ª safra'!$E41:INDEX('Milho 2ª safra'!$E41:$Z41,MIN(AO$6-$G$3,22))),0)))))</f>
        <v>0</v>
      </c>
      <c r="AP43" s="27" t="n">
        <f aca="false">IF(COUNT('Milho 2ª safra'!$E41:$Z41)=0,0,MAX(0,IF((AP$6-$E$3)&lt;1,0,IFERROR(LOOKUP(2,1/('Milho 2ª safra'!$E41:INDEX('Milho 2ª safra'!$E41:$Z41,MIN(AP$6-$E$3,22))&lt;&gt;""),'Milho 2ª safra'!$E41:INDEX('Milho 2ª safra'!$E41:$Z41,MIN(AP$6-$E$3,22))),0))-IF($G$2,0,IF((AP$6-$G$3)&lt;1,0,IFERROR(LOOKUP(2,1/('Milho 2ª safra'!$E41:INDEX('Milho 2ª safra'!$E41:$Z41,MIN(AP$6-$G$3,22))&lt;&gt;""),'Milho 2ª safra'!$E41:INDEX('Milho 2ª safra'!$E41:$Z41,MIN(AP$6-$G$3,22))),0)))))</f>
        <v>0</v>
      </c>
      <c r="AQ43" s="27" t="n">
        <f aca="false">IF(COUNT('Milho 2ª safra'!$E41:$Z41)=0,0,MAX(0,IF((AQ$6-$E$3)&lt;1,0,IFERROR(LOOKUP(2,1/('Milho 2ª safra'!$E41:INDEX('Milho 2ª safra'!$E41:$Z41,MIN(AQ$6-$E$3,22))&lt;&gt;""),'Milho 2ª safra'!$E41:INDEX('Milho 2ª safra'!$E41:$Z41,MIN(AQ$6-$E$3,22))),0))-IF($G$2,0,IF((AQ$6-$G$3)&lt;1,0,IFERROR(LOOKUP(2,1/('Milho 2ª safra'!$E41:INDEX('Milho 2ª safra'!$E41:$Z41,MIN(AQ$6-$G$3,22))&lt;&gt;""),'Milho 2ª safra'!$E41:INDEX('Milho 2ª safra'!$E41:$Z41,MIN(AQ$6-$G$3,22))),0)))))</f>
        <v>0</v>
      </c>
      <c r="AR43" s="27" t="n">
        <f aca="false">IF(COUNT('Milho 2ª safra'!$E41:$Z41)=0,0,MAX(0,IF((AR$6-$E$3)&lt;1,0,IFERROR(LOOKUP(2,1/('Milho 2ª safra'!$E41:INDEX('Milho 2ª safra'!$E41:$Z41,MIN(AR$6-$E$3,22))&lt;&gt;""),'Milho 2ª safra'!$E41:INDEX('Milho 2ª safra'!$E41:$Z41,MIN(AR$6-$E$3,22))),0))-IF($G$2,0,IF((AR$6-$G$3)&lt;1,0,IFERROR(LOOKUP(2,1/('Milho 2ª safra'!$E41:INDEX('Milho 2ª safra'!$E41:$Z41,MIN(AR$6-$G$3,22))&lt;&gt;""),'Milho 2ª safra'!$E41:INDEX('Milho 2ª safra'!$E41:$Z41,MIN(AR$6-$G$3,22))),0)))))</f>
        <v>0</v>
      </c>
      <c r="AS43" s="27" t="n">
        <f aca="false">IF(COUNT('Milho 2ª safra'!$E41:$Z41)=0,0,MAX(0,IF((AS$6-$E$3)&lt;1,0,IFERROR(LOOKUP(2,1/('Milho 2ª safra'!$E41:INDEX('Milho 2ª safra'!$E41:$Z41,MIN(AS$6-$E$3,22))&lt;&gt;""),'Milho 2ª safra'!$E41:INDEX('Milho 2ª safra'!$E41:$Z41,MIN(AS$6-$E$3,22))),0))-IF($G$2,0,IF((AS$6-$G$3)&lt;1,0,IFERROR(LOOKUP(2,1/('Milho 2ª safra'!$E41:INDEX('Milho 2ª safra'!$E41:$Z41,MIN(AS$6-$G$3,22))&lt;&gt;""),'Milho 2ª safra'!$E41:INDEX('Milho 2ª safra'!$E41:$Z41,MIN(AS$6-$G$3,22))),0)))))</f>
        <v>0</v>
      </c>
      <c r="AT43" s="27" t="n">
        <f aca="false">IF(COUNT('Milho 2ª safra'!$E41:$Z41)=0,0,MAX(0,IF((AT$6-$E$3)&lt;1,0,IFERROR(LOOKUP(2,1/('Milho 2ª safra'!$E41:INDEX('Milho 2ª safra'!$E41:$Z41,MIN(AT$6-$E$3,22))&lt;&gt;""),'Milho 2ª safra'!$E41:INDEX('Milho 2ª safra'!$E41:$Z41,MIN(AT$6-$E$3,22))),0))-IF($G$2,0,IF((AT$6-$G$3)&lt;1,0,IFERROR(LOOKUP(2,1/('Milho 2ª safra'!$E41:INDEX('Milho 2ª safra'!$E41:$Z41,MIN(AT$6-$G$3,22))&lt;&gt;""),'Milho 2ª safra'!$E41:INDEX('Milho 2ª safra'!$E41:$Z41,MIN(AT$6-$G$3,22))),0)))))</f>
        <v>0</v>
      </c>
      <c r="AU43" s="27" t="n">
        <f aca="false">IF(COUNT('Milho 2ª safra'!$E41:$Z41)=0,0,MAX(0,IF((AU$6-$E$3)&lt;1,0,IFERROR(LOOKUP(2,1/('Milho 2ª safra'!$E41:INDEX('Milho 2ª safra'!$E41:$Z41,MIN(AU$6-$E$3,22))&lt;&gt;""),'Milho 2ª safra'!$E41:INDEX('Milho 2ª safra'!$E41:$Z41,MIN(AU$6-$E$3,22))),0))-IF($G$2,0,IF((AU$6-$G$3)&lt;1,0,IFERROR(LOOKUP(2,1/('Milho 2ª safra'!$E41:INDEX('Milho 2ª safra'!$E41:$Z41,MIN(AU$6-$G$3,22))&lt;&gt;""),'Milho 2ª safra'!$E41:INDEX('Milho 2ª safra'!$E41:$Z41,MIN(AU$6-$G$3,22))),0)))))</f>
        <v>0</v>
      </c>
      <c r="AV43" s="27" t="n">
        <f aca="false">IF(COUNT('Milho 2ª safra'!$E41:$Z41)=0,0,MAX(0,IF((AV$6-$E$3)&lt;1,0,IFERROR(LOOKUP(2,1/('Milho 2ª safra'!$E41:INDEX('Milho 2ª safra'!$E41:$Z41,MIN(AV$6-$E$3,22))&lt;&gt;""),'Milho 2ª safra'!$E41:INDEX('Milho 2ª safra'!$E41:$Z41,MIN(AV$6-$E$3,22))),0))-IF($G$2,0,IF((AV$6-$G$3)&lt;1,0,IFERROR(LOOKUP(2,1/('Milho 2ª safra'!$E41:INDEX('Milho 2ª safra'!$E41:$Z41,MIN(AV$6-$G$3,22))&lt;&gt;""),'Milho 2ª safra'!$E41:INDEX('Milho 2ª safra'!$E41:$Z41,MIN(AV$6-$G$3,22))),0)))))</f>
        <v>0</v>
      </c>
      <c r="AW43" s="27" t="n">
        <f aca="false">IF(COUNT('Milho 2ª safra'!$E41:$Z41)=0,0,MAX(0,IF((AW$6-$E$3)&lt;1,0,IFERROR(LOOKUP(2,1/('Milho 2ª safra'!$E41:INDEX('Milho 2ª safra'!$E41:$Z41,MIN(AW$6-$E$3,22))&lt;&gt;""),'Milho 2ª safra'!$E41:INDEX('Milho 2ª safra'!$E41:$Z41,MIN(AW$6-$E$3,22))),0))-IF($G$2,0,IF((AW$6-$G$3)&lt;1,0,IFERROR(LOOKUP(2,1/('Milho 2ª safra'!$E41:INDEX('Milho 2ª safra'!$E41:$Z41,MIN(AW$6-$G$3,22))&lt;&gt;""),'Milho 2ª safra'!$E41:INDEX('Milho 2ª safra'!$E41:$Z41,MIN(AW$6-$G$3,22))),0)))))</f>
        <v>0</v>
      </c>
      <c r="AX43" s="27" t="n">
        <f aca="false">IF(COUNT('Milho 2ª safra'!$E41:$Z41)=0,0,MAX(0,IF((AX$6-$E$3)&lt;1,0,IFERROR(LOOKUP(2,1/('Milho 2ª safra'!$E41:INDEX('Milho 2ª safra'!$E41:$Z41,MIN(AX$6-$E$3,22))&lt;&gt;""),'Milho 2ª safra'!$E41:INDEX('Milho 2ª safra'!$E41:$Z41,MIN(AX$6-$E$3,22))),0))-IF($G$2,0,IF((AX$6-$G$3)&lt;1,0,IFERROR(LOOKUP(2,1/('Milho 2ª safra'!$E41:INDEX('Milho 2ª safra'!$E41:$Z41,MIN(AX$6-$G$3,22))&lt;&gt;""),'Milho 2ª safra'!$E41:INDEX('Milho 2ª safra'!$E41:$Z41,MIN(AX$6-$G$3,22))),0)))))</f>
        <v>0</v>
      </c>
      <c r="AY43" s="27" t="n">
        <f aca="false">IF(COUNT('Milho 2ª safra'!$E41:$Z41)=0,0,MAX(0,IF((AY$6-$E$3)&lt;1,0,IFERROR(LOOKUP(2,1/('Milho 2ª safra'!$E41:INDEX('Milho 2ª safra'!$E41:$Z41,MIN(AY$6-$E$3,22))&lt;&gt;""),'Milho 2ª safra'!$E41:INDEX('Milho 2ª safra'!$E41:$Z41,MIN(AY$6-$E$3,22))),0))-IF($G$2,0,IF((AY$6-$G$3)&lt;1,0,IFERROR(LOOKUP(2,1/('Milho 2ª safra'!$E41:INDEX('Milho 2ª safra'!$E41:$Z41,MIN(AY$6-$G$3,22))&lt;&gt;""),'Milho 2ª safra'!$E41:INDEX('Milho 2ª safra'!$E41:$Z41,MIN(AY$6-$G$3,22))),0)))))</f>
        <v>0</v>
      </c>
      <c r="AZ43" s="27" t="n">
        <f aca="false">IF(COUNT('Milho 2ª safra'!$E41:$Z41)=0,0,MAX(0,IF((AZ$6-$E$3)&lt;1,0,IFERROR(LOOKUP(2,1/('Milho 2ª safra'!$E41:INDEX('Milho 2ª safra'!$E41:$Z41,MIN(AZ$6-$E$3,22))&lt;&gt;""),'Milho 2ª safra'!$E41:INDEX('Milho 2ª safra'!$E41:$Z41,MIN(AZ$6-$E$3,22))),0))-IF($G$2,0,IF((AZ$6-$G$3)&lt;1,0,IFERROR(LOOKUP(2,1/('Milho 2ª safra'!$E41:INDEX('Milho 2ª safra'!$E41:$Z41,MIN(AZ$6-$G$3,22))&lt;&gt;""),'Milho 2ª safra'!$E41:INDEX('Milho 2ª safra'!$E41:$Z41,MIN(AZ$6-$G$3,22))),0)))))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IF(COUNT('Milho 2ª safra'!$E42:$Z42)&gt;0,N('Milho 2ª safra'!$D42),0)</f>
        <v>0</v>
      </c>
      <c r="E44" s="27" t="n">
        <f aca="false">IF(COUNT('Milho 2ª safra'!$E42:$Z42)=0,0,MAX(0,IF((E$6-$E$3)&lt;1,0,IFERROR(LOOKUP(2,1/('Milho 2ª safra'!$E42:INDEX('Milho 2ª safra'!$E42:$Z42,MIN(E$6-$E$3,22))&lt;&gt;""),'Milho 2ª safra'!$E42:INDEX('Milho 2ª safra'!$E42:$Z42,MIN(E$6-$E$3,22))),0))-IF($G$2,0,IF((E$6-$G$3)&lt;1,0,IFERROR(LOOKUP(2,1/('Milho 2ª safra'!$E42:INDEX('Milho 2ª safra'!$E42:$Z42,MIN(E$6-$G$3,22))&lt;&gt;""),'Milho 2ª safra'!$E42:INDEX('Milho 2ª safra'!$E42:$Z42,MIN(E$6-$G$3,22))),0)))))</f>
        <v>0</v>
      </c>
      <c r="F44" s="27" t="n">
        <f aca="false">IF(COUNT('Milho 2ª safra'!$E42:$Z42)=0,0,MAX(0,IF((F$6-$E$3)&lt;1,0,IFERROR(LOOKUP(2,1/('Milho 2ª safra'!$E42:INDEX('Milho 2ª safra'!$E42:$Z42,MIN(F$6-$E$3,22))&lt;&gt;""),'Milho 2ª safra'!$E42:INDEX('Milho 2ª safra'!$E42:$Z42,MIN(F$6-$E$3,22))),0))-IF($G$2,0,IF((F$6-$G$3)&lt;1,0,IFERROR(LOOKUP(2,1/('Milho 2ª safra'!$E42:INDEX('Milho 2ª safra'!$E42:$Z42,MIN(F$6-$G$3,22))&lt;&gt;""),'Milho 2ª safra'!$E42:INDEX('Milho 2ª safra'!$E42:$Z42,MIN(F$6-$G$3,22))),0)))))</f>
        <v>0</v>
      </c>
      <c r="G44" s="27" t="n">
        <f aca="false">IF(COUNT('Milho 2ª safra'!$E42:$Z42)=0,0,MAX(0,IF((G$6-$E$3)&lt;1,0,IFERROR(LOOKUP(2,1/('Milho 2ª safra'!$E42:INDEX('Milho 2ª safra'!$E42:$Z42,MIN(G$6-$E$3,22))&lt;&gt;""),'Milho 2ª safra'!$E42:INDEX('Milho 2ª safra'!$E42:$Z42,MIN(G$6-$E$3,22))),0))-IF($G$2,0,IF((G$6-$G$3)&lt;1,0,IFERROR(LOOKUP(2,1/('Milho 2ª safra'!$E42:INDEX('Milho 2ª safra'!$E42:$Z42,MIN(G$6-$G$3,22))&lt;&gt;""),'Milho 2ª safra'!$E42:INDEX('Milho 2ª safra'!$E42:$Z42,MIN(G$6-$G$3,22))),0)))))</f>
        <v>0</v>
      </c>
      <c r="H44" s="27" t="n">
        <f aca="false">IF(COUNT('Milho 2ª safra'!$E42:$Z42)=0,0,MAX(0,IF((H$6-$E$3)&lt;1,0,IFERROR(LOOKUP(2,1/('Milho 2ª safra'!$E42:INDEX('Milho 2ª safra'!$E42:$Z42,MIN(H$6-$E$3,22))&lt;&gt;""),'Milho 2ª safra'!$E42:INDEX('Milho 2ª safra'!$E42:$Z42,MIN(H$6-$E$3,22))),0))-IF($G$2,0,IF((H$6-$G$3)&lt;1,0,IFERROR(LOOKUP(2,1/('Milho 2ª safra'!$E42:INDEX('Milho 2ª safra'!$E42:$Z42,MIN(H$6-$G$3,22))&lt;&gt;""),'Milho 2ª safra'!$E42:INDEX('Milho 2ª safra'!$E42:$Z42,MIN(H$6-$G$3,22))),0)))))</f>
        <v>0</v>
      </c>
      <c r="I44" s="27" t="n">
        <f aca="false">IF(COUNT('Milho 2ª safra'!$E42:$Z42)=0,0,MAX(0,IF((I$6-$E$3)&lt;1,0,IFERROR(LOOKUP(2,1/('Milho 2ª safra'!$E42:INDEX('Milho 2ª safra'!$E42:$Z42,MIN(I$6-$E$3,22))&lt;&gt;""),'Milho 2ª safra'!$E42:INDEX('Milho 2ª safra'!$E42:$Z42,MIN(I$6-$E$3,22))),0))-IF($G$2,0,IF((I$6-$G$3)&lt;1,0,IFERROR(LOOKUP(2,1/('Milho 2ª safra'!$E42:INDEX('Milho 2ª safra'!$E42:$Z42,MIN(I$6-$G$3,22))&lt;&gt;""),'Milho 2ª safra'!$E42:INDEX('Milho 2ª safra'!$E42:$Z42,MIN(I$6-$G$3,22))),0)))))</f>
        <v>0</v>
      </c>
      <c r="J44" s="27" t="n">
        <f aca="false">IF(COUNT('Milho 2ª safra'!$E42:$Z42)=0,0,MAX(0,IF((J$6-$E$3)&lt;1,0,IFERROR(LOOKUP(2,1/('Milho 2ª safra'!$E42:INDEX('Milho 2ª safra'!$E42:$Z42,MIN(J$6-$E$3,22))&lt;&gt;""),'Milho 2ª safra'!$E42:INDEX('Milho 2ª safra'!$E42:$Z42,MIN(J$6-$E$3,22))),0))-IF($G$2,0,IF((J$6-$G$3)&lt;1,0,IFERROR(LOOKUP(2,1/('Milho 2ª safra'!$E42:INDEX('Milho 2ª safra'!$E42:$Z42,MIN(J$6-$G$3,22))&lt;&gt;""),'Milho 2ª safra'!$E42:INDEX('Milho 2ª safra'!$E42:$Z42,MIN(J$6-$G$3,22))),0)))))</f>
        <v>0</v>
      </c>
      <c r="K44" s="27" t="n">
        <f aca="false">IF(COUNT('Milho 2ª safra'!$E42:$Z42)=0,0,MAX(0,IF((K$6-$E$3)&lt;1,0,IFERROR(LOOKUP(2,1/('Milho 2ª safra'!$E42:INDEX('Milho 2ª safra'!$E42:$Z42,MIN(K$6-$E$3,22))&lt;&gt;""),'Milho 2ª safra'!$E42:INDEX('Milho 2ª safra'!$E42:$Z42,MIN(K$6-$E$3,22))),0))-IF($G$2,0,IF((K$6-$G$3)&lt;1,0,IFERROR(LOOKUP(2,1/('Milho 2ª safra'!$E42:INDEX('Milho 2ª safra'!$E42:$Z42,MIN(K$6-$G$3,22))&lt;&gt;""),'Milho 2ª safra'!$E42:INDEX('Milho 2ª safra'!$E42:$Z42,MIN(K$6-$G$3,22))),0)))))</f>
        <v>0</v>
      </c>
      <c r="L44" s="27" t="n">
        <f aca="false">IF(COUNT('Milho 2ª safra'!$E42:$Z42)=0,0,MAX(0,IF((L$6-$E$3)&lt;1,0,IFERROR(LOOKUP(2,1/('Milho 2ª safra'!$E42:INDEX('Milho 2ª safra'!$E42:$Z42,MIN(L$6-$E$3,22))&lt;&gt;""),'Milho 2ª safra'!$E42:INDEX('Milho 2ª safra'!$E42:$Z42,MIN(L$6-$E$3,22))),0))-IF($G$2,0,IF((L$6-$G$3)&lt;1,0,IFERROR(LOOKUP(2,1/('Milho 2ª safra'!$E42:INDEX('Milho 2ª safra'!$E42:$Z42,MIN(L$6-$G$3,22))&lt;&gt;""),'Milho 2ª safra'!$E42:INDEX('Milho 2ª safra'!$E42:$Z42,MIN(L$6-$G$3,22))),0)))))</f>
        <v>0</v>
      </c>
      <c r="M44" s="27" t="n">
        <f aca="false">IF(COUNT('Milho 2ª safra'!$E42:$Z42)=0,0,MAX(0,IF((M$6-$E$3)&lt;1,0,IFERROR(LOOKUP(2,1/('Milho 2ª safra'!$E42:INDEX('Milho 2ª safra'!$E42:$Z42,MIN(M$6-$E$3,22))&lt;&gt;""),'Milho 2ª safra'!$E42:INDEX('Milho 2ª safra'!$E42:$Z42,MIN(M$6-$E$3,22))),0))-IF($G$2,0,IF((M$6-$G$3)&lt;1,0,IFERROR(LOOKUP(2,1/('Milho 2ª safra'!$E42:INDEX('Milho 2ª safra'!$E42:$Z42,MIN(M$6-$G$3,22))&lt;&gt;""),'Milho 2ª safra'!$E42:INDEX('Milho 2ª safra'!$E42:$Z42,MIN(M$6-$G$3,22))),0)))))</f>
        <v>0</v>
      </c>
      <c r="N44" s="27" t="n">
        <f aca="false">IF(COUNT('Milho 2ª safra'!$E42:$Z42)=0,0,MAX(0,IF((N$6-$E$3)&lt;1,0,IFERROR(LOOKUP(2,1/('Milho 2ª safra'!$E42:INDEX('Milho 2ª safra'!$E42:$Z42,MIN(N$6-$E$3,22))&lt;&gt;""),'Milho 2ª safra'!$E42:INDEX('Milho 2ª safra'!$E42:$Z42,MIN(N$6-$E$3,22))),0))-IF($G$2,0,IF((N$6-$G$3)&lt;1,0,IFERROR(LOOKUP(2,1/('Milho 2ª safra'!$E42:INDEX('Milho 2ª safra'!$E42:$Z42,MIN(N$6-$G$3,22))&lt;&gt;""),'Milho 2ª safra'!$E42:INDEX('Milho 2ª safra'!$E42:$Z42,MIN(N$6-$G$3,22))),0)))))</f>
        <v>0</v>
      </c>
      <c r="O44" s="27" t="n">
        <f aca="false">IF(COUNT('Milho 2ª safra'!$E42:$Z42)=0,0,MAX(0,IF((O$6-$E$3)&lt;1,0,IFERROR(LOOKUP(2,1/('Milho 2ª safra'!$E42:INDEX('Milho 2ª safra'!$E42:$Z42,MIN(O$6-$E$3,22))&lt;&gt;""),'Milho 2ª safra'!$E42:INDEX('Milho 2ª safra'!$E42:$Z42,MIN(O$6-$E$3,22))),0))-IF($G$2,0,IF((O$6-$G$3)&lt;1,0,IFERROR(LOOKUP(2,1/('Milho 2ª safra'!$E42:INDEX('Milho 2ª safra'!$E42:$Z42,MIN(O$6-$G$3,22))&lt;&gt;""),'Milho 2ª safra'!$E42:INDEX('Milho 2ª safra'!$E42:$Z42,MIN(O$6-$G$3,22))),0)))))</f>
        <v>0</v>
      </c>
      <c r="P44" s="27" t="n">
        <f aca="false">IF(COUNT('Milho 2ª safra'!$E42:$Z42)=0,0,MAX(0,IF((P$6-$E$3)&lt;1,0,IFERROR(LOOKUP(2,1/('Milho 2ª safra'!$E42:INDEX('Milho 2ª safra'!$E42:$Z42,MIN(P$6-$E$3,22))&lt;&gt;""),'Milho 2ª safra'!$E42:INDEX('Milho 2ª safra'!$E42:$Z42,MIN(P$6-$E$3,22))),0))-IF($G$2,0,IF((P$6-$G$3)&lt;1,0,IFERROR(LOOKUP(2,1/('Milho 2ª safra'!$E42:INDEX('Milho 2ª safra'!$E42:$Z42,MIN(P$6-$G$3,22))&lt;&gt;""),'Milho 2ª safra'!$E42:INDEX('Milho 2ª safra'!$E42:$Z42,MIN(P$6-$G$3,22))),0)))))</f>
        <v>0</v>
      </c>
      <c r="Q44" s="27" t="n">
        <f aca="false">IF(COUNT('Milho 2ª safra'!$E42:$Z42)=0,0,MAX(0,IF((Q$6-$E$3)&lt;1,0,IFERROR(LOOKUP(2,1/('Milho 2ª safra'!$E42:INDEX('Milho 2ª safra'!$E42:$Z42,MIN(Q$6-$E$3,22))&lt;&gt;""),'Milho 2ª safra'!$E42:INDEX('Milho 2ª safra'!$E42:$Z42,MIN(Q$6-$E$3,22))),0))-IF($G$2,0,IF((Q$6-$G$3)&lt;1,0,IFERROR(LOOKUP(2,1/('Milho 2ª safra'!$E42:INDEX('Milho 2ª safra'!$E42:$Z42,MIN(Q$6-$G$3,22))&lt;&gt;""),'Milho 2ª safra'!$E42:INDEX('Milho 2ª safra'!$E42:$Z42,MIN(Q$6-$G$3,22))),0)))))</f>
        <v>0</v>
      </c>
      <c r="R44" s="27" t="n">
        <f aca="false">IF(COUNT('Milho 2ª safra'!$E42:$Z42)=0,0,MAX(0,IF((R$6-$E$3)&lt;1,0,IFERROR(LOOKUP(2,1/('Milho 2ª safra'!$E42:INDEX('Milho 2ª safra'!$E42:$Z42,MIN(R$6-$E$3,22))&lt;&gt;""),'Milho 2ª safra'!$E42:INDEX('Milho 2ª safra'!$E42:$Z42,MIN(R$6-$E$3,22))),0))-IF($G$2,0,IF((R$6-$G$3)&lt;1,0,IFERROR(LOOKUP(2,1/('Milho 2ª safra'!$E42:INDEX('Milho 2ª safra'!$E42:$Z42,MIN(R$6-$G$3,22))&lt;&gt;""),'Milho 2ª safra'!$E42:INDEX('Milho 2ª safra'!$E42:$Z42,MIN(R$6-$G$3,22))),0)))))</f>
        <v>0</v>
      </c>
      <c r="S44" s="27" t="n">
        <f aca="false">IF(COUNT('Milho 2ª safra'!$E42:$Z42)=0,0,MAX(0,IF((S$6-$E$3)&lt;1,0,IFERROR(LOOKUP(2,1/('Milho 2ª safra'!$E42:INDEX('Milho 2ª safra'!$E42:$Z42,MIN(S$6-$E$3,22))&lt;&gt;""),'Milho 2ª safra'!$E42:INDEX('Milho 2ª safra'!$E42:$Z42,MIN(S$6-$E$3,22))),0))-IF($G$2,0,IF((S$6-$G$3)&lt;1,0,IFERROR(LOOKUP(2,1/('Milho 2ª safra'!$E42:INDEX('Milho 2ª safra'!$E42:$Z42,MIN(S$6-$G$3,22))&lt;&gt;""),'Milho 2ª safra'!$E42:INDEX('Milho 2ª safra'!$E42:$Z42,MIN(S$6-$G$3,22))),0)))))</f>
        <v>0</v>
      </c>
      <c r="T44" s="27" t="n">
        <f aca="false">IF(COUNT('Milho 2ª safra'!$E42:$Z42)=0,0,MAX(0,IF((T$6-$E$3)&lt;1,0,IFERROR(LOOKUP(2,1/('Milho 2ª safra'!$E42:INDEX('Milho 2ª safra'!$E42:$Z42,MIN(T$6-$E$3,22))&lt;&gt;""),'Milho 2ª safra'!$E42:INDEX('Milho 2ª safra'!$E42:$Z42,MIN(T$6-$E$3,22))),0))-IF($G$2,0,IF((T$6-$G$3)&lt;1,0,IFERROR(LOOKUP(2,1/('Milho 2ª safra'!$E42:INDEX('Milho 2ª safra'!$E42:$Z42,MIN(T$6-$G$3,22))&lt;&gt;""),'Milho 2ª safra'!$E42:INDEX('Milho 2ª safra'!$E42:$Z42,MIN(T$6-$G$3,22))),0)))))</f>
        <v>0</v>
      </c>
      <c r="U44" s="27" t="n">
        <f aca="false">IF(COUNT('Milho 2ª safra'!$E42:$Z42)=0,0,MAX(0,IF((U$6-$E$3)&lt;1,0,IFERROR(LOOKUP(2,1/('Milho 2ª safra'!$E42:INDEX('Milho 2ª safra'!$E42:$Z42,MIN(U$6-$E$3,22))&lt;&gt;""),'Milho 2ª safra'!$E42:INDEX('Milho 2ª safra'!$E42:$Z42,MIN(U$6-$E$3,22))),0))-IF($G$2,0,IF((U$6-$G$3)&lt;1,0,IFERROR(LOOKUP(2,1/('Milho 2ª safra'!$E42:INDEX('Milho 2ª safra'!$E42:$Z42,MIN(U$6-$G$3,22))&lt;&gt;""),'Milho 2ª safra'!$E42:INDEX('Milho 2ª safra'!$E42:$Z42,MIN(U$6-$G$3,22))),0)))))</f>
        <v>0</v>
      </c>
      <c r="V44" s="27" t="n">
        <f aca="false">IF(COUNT('Milho 2ª safra'!$E42:$Z42)=0,0,MAX(0,IF((V$6-$E$3)&lt;1,0,IFERROR(LOOKUP(2,1/('Milho 2ª safra'!$E42:INDEX('Milho 2ª safra'!$E42:$Z42,MIN(V$6-$E$3,22))&lt;&gt;""),'Milho 2ª safra'!$E42:INDEX('Milho 2ª safra'!$E42:$Z42,MIN(V$6-$E$3,22))),0))-IF($G$2,0,IF((V$6-$G$3)&lt;1,0,IFERROR(LOOKUP(2,1/('Milho 2ª safra'!$E42:INDEX('Milho 2ª safra'!$E42:$Z42,MIN(V$6-$G$3,22))&lt;&gt;""),'Milho 2ª safra'!$E42:INDEX('Milho 2ª safra'!$E42:$Z42,MIN(V$6-$G$3,22))),0)))))</f>
        <v>0</v>
      </c>
      <c r="W44" s="27" t="n">
        <f aca="false">IF(COUNT('Milho 2ª safra'!$E42:$Z42)=0,0,MAX(0,IF((W$6-$E$3)&lt;1,0,IFERROR(LOOKUP(2,1/('Milho 2ª safra'!$E42:INDEX('Milho 2ª safra'!$E42:$Z42,MIN(W$6-$E$3,22))&lt;&gt;""),'Milho 2ª safra'!$E42:INDEX('Milho 2ª safra'!$E42:$Z42,MIN(W$6-$E$3,22))),0))-IF($G$2,0,IF((W$6-$G$3)&lt;1,0,IFERROR(LOOKUP(2,1/('Milho 2ª safra'!$E42:INDEX('Milho 2ª safra'!$E42:$Z42,MIN(W$6-$G$3,22))&lt;&gt;""),'Milho 2ª safra'!$E42:INDEX('Milho 2ª safra'!$E42:$Z42,MIN(W$6-$G$3,22))),0)))))</f>
        <v>0</v>
      </c>
      <c r="X44" s="27" t="n">
        <f aca="false">IF(COUNT('Milho 2ª safra'!$E42:$Z42)=0,0,MAX(0,IF((X$6-$E$3)&lt;1,0,IFERROR(LOOKUP(2,1/('Milho 2ª safra'!$E42:INDEX('Milho 2ª safra'!$E42:$Z42,MIN(X$6-$E$3,22))&lt;&gt;""),'Milho 2ª safra'!$E42:INDEX('Milho 2ª safra'!$E42:$Z42,MIN(X$6-$E$3,22))),0))-IF($G$2,0,IF((X$6-$G$3)&lt;1,0,IFERROR(LOOKUP(2,1/('Milho 2ª safra'!$E42:INDEX('Milho 2ª safra'!$E42:$Z42,MIN(X$6-$G$3,22))&lt;&gt;""),'Milho 2ª safra'!$E42:INDEX('Milho 2ª safra'!$E42:$Z42,MIN(X$6-$G$3,22))),0)))))</f>
        <v>0</v>
      </c>
      <c r="Y44" s="27" t="n">
        <f aca="false">IF(COUNT('Milho 2ª safra'!$E42:$Z42)=0,0,MAX(0,IF((Y$6-$E$3)&lt;1,0,IFERROR(LOOKUP(2,1/('Milho 2ª safra'!$E42:INDEX('Milho 2ª safra'!$E42:$Z42,MIN(Y$6-$E$3,22))&lt;&gt;""),'Milho 2ª safra'!$E42:INDEX('Milho 2ª safra'!$E42:$Z42,MIN(Y$6-$E$3,22))),0))-IF($G$2,0,IF((Y$6-$G$3)&lt;1,0,IFERROR(LOOKUP(2,1/('Milho 2ª safra'!$E42:INDEX('Milho 2ª safra'!$E42:$Z42,MIN(Y$6-$G$3,22))&lt;&gt;""),'Milho 2ª safra'!$E42:INDEX('Milho 2ª safra'!$E42:$Z42,MIN(Y$6-$G$3,22))),0)))))</f>
        <v>0</v>
      </c>
      <c r="Z44" s="27" t="n">
        <f aca="false">IF(COUNT('Milho 2ª safra'!$E42:$Z42)=0,0,MAX(0,IF((Z$6-$E$3)&lt;1,0,IFERROR(LOOKUP(2,1/('Milho 2ª safra'!$E42:INDEX('Milho 2ª safra'!$E42:$Z42,MIN(Z$6-$E$3,22))&lt;&gt;""),'Milho 2ª safra'!$E42:INDEX('Milho 2ª safra'!$E42:$Z42,MIN(Z$6-$E$3,22))),0))-IF($G$2,0,IF((Z$6-$G$3)&lt;1,0,IFERROR(LOOKUP(2,1/('Milho 2ª safra'!$E42:INDEX('Milho 2ª safra'!$E42:$Z42,MIN(Z$6-$G$3,22))&lt;&gt;""),'Milho 2ª safra'!$E42:INDEX('Milho 2ª safra'!$E42:$Z42,MIN(Z$6-$G$3,22))),0)))))</f>
        <v>0</v>
      </c>
      <c r="AA44" s="27" t="n">
        <f aca="false">IF(COUNT('Milho 2ª safra'!$E42:$Z42)=0,0,MAX(0,IF((AA$6-$E$3)&lt;1,0,IFERROR(LOOKUP(2,1/('Milho 2ª safra'!$E42:INDEX('Milho 2ª safra'!$E42:$Z42,MIN(AA$6-$E$3,22))&lt;&gt;""),'Milho 2ª safra'!$E42:INDEX('Milho 2ª safra'!$E42:$Z42,MIN(AA$6-$E$3,22))),0))-IF($G$2,0,IF((AA$6-$G$3)&lt;1,0,IFERROR(LOOKUP(2,1/('Milho 2ª safra'!$E42:INDEX('Milho 2ª safra'!$E42:$Z42,MIN(AA$6-$G$3,22))&lt;&gt;""),'Milho 2ª safra'!$E42:INDEX('Milho 2ª safra'!$E42:$Z42,MIN(AA$6-$G$3,22))),0)))))</f>
        <v>0</v>
      </c>
      <c r="AB44" s="27" t="n">
        <f aca="false">IF(COUNT('Milho 2ª safra'!$E42:$Z42)=0,0,MAX(0,IF((AB$6-$E$3)&lt;1,0,IFERROR(LOOKUP(2,1/('Milho 2ª safra'!$E42:INDEX('Milho 2ª safra'!$E42:$Z42,MIN(AB$6-$E$3,22))&lt;&gt;""),'Milho 2ª safra'!$E42:INDEX('Milho 2ª safra'!$E42:$Z42,MIN(AB$6-$E$3,22))),0))-IF($G$2,0,IF((AB$6-$G$3)&lt;1,0,IFERROR(LOOKUP(2,1/('Milho 2ª safra'!$E42:INDEX('Milho 2ª safra'!$E42:$Z42,MIN(AB$6-$G$3,22))&lt;&gt;""),'Milho 2ª safra'!$E42:INDEX('Milho 2ª safra'!$E42:$Z42,MIN(AB$6-$G$3,22))),0)))))</f>
        <v>0</v>
      </c>
      <c r="AC44" s="27" t="n">
        <f aca="false">IF(COUNT('Milho 2ª safra'!$E42:$Z42)=0,0,MAX(0,IF((AC$6-$E$3)&lt;1,0,IFERROR(LOOKUP(2,1/('Milho 2ª safra'!$E42:INDEX('Milho 2ª safra'!$E42:$Z42,MIN(AC$6-$E$3,22))&lt;&gt;""),'Milho 2ª safra'!$E42:INDEX('Milho 2ª safra'!$E42:$Z42,MIN(AC$6-$E$3,22))),0))-IF($G$2,0,IF((AC$6-$G$3)&lt;1,0,IFERROR(LOOKUP(2,1/('Milho 2ª safra'!$E42:INDEX('Milho 2ª safra'!$E42:$Z42,MIN(AC$6-$G$3,22))&lt;&gt;""),'Milho 2ª safra'!$E42:INDEX('Milho 2ª safra'!$E42:$Z42,MIN(AC$6-$G$3,22))),0)))))</f>
        <v>0</v>
      </c>
      <c r="AD44" s="27" t="n">
        <f aca="false">IF(COUNT('Milho 2ª safra'!$E42:$Z42)=0,0,MAX(0,IF((AD$6-$E$3)&lt;1,0,IFERROR(LOOKUP(2,1/('Milho 2ª safra'!$E42:INDEX('Milho 2ª safra'!$E42:$Z42,MIN(AD$6-$E$3,22))&lt;&gt;""),'Milho 2ª safra'!$E42:INDEX('Milho 2ª safra'!$E42:$Z42,MIN(AD$6-$E$3,22))),0))-IF($G$2,0,IF((AD$6-$G$3)&lt;1,0,IFERROR(LOOKUP(2,1/('Milho 2ª safra'!$E42:INDEX('Milho 2ª safra'!$E42:$Z42,MIN(AD$6-$G$3,22))&lt;&gt;""),'Milho 2ª safra'!$E42:INDEX('Milho 2ª safra'!$E42:$Z42,MIN(AD$6-$G$3,22))),0)))))</f>
        <v>0</v>
      </c>
      <c r="AE44" s="27" t="n">
        <f aca="false">IF(COUNT('Milho 2ª safra'!$E42:$Z42)=0,0,MAX(0,IF((AE$6-$E$3)&lt;1,0,IFERROR(LOOKUP(2,1/('Milho 2ª safra'!$E42:INDEX('Milho 2ª safra'!$E42:$Z42,MIN(AE$6-$E$3,22))&lt;&gt;""),'Milho 2ª safra'!$E42:INDEX('Milho 2ª safra'!$E42:$Z42,MIN(AE$6-$E$3,22))),0))-IF($G$2,0,IF((AE$6-$G$3)&lt;1,0,IFERROR(LOOKUP(2,1/('Milho 2ª safra'!$E42:INDEX('Milho 2ª safra'!$E42:$Z42,MIN(AE$6-$G$3,22))&lt;&gt;""),'Milho 2ª safra'!$E42:INDEX('Milho 2ª safra'!$E42:$Z42,MIN(AE$6-$G$3,22))),0)))))</f>
        <v>0</v>
      </c>
      <c r="AF44" s="27" t="n">
        <f aca="false">IF(COUNT('Milho 2ª safra'!$E42:$Z42)=0,0,MAX(0,IF((AF$6-$E$3)&lt;1,0,IFERROR(LOOKUP(2,1/('Milho 2ª safra'!$E42:INDEX('Milho 2ª safra'!$E42:$Z42,MIN(AF$6-$E$3,22))&lt;&gt;""),'Milho 2ª safra'!$E42:INDEX('Milho 2ª safra'!$E42:$Z42,MIN(AF$6-$E$3,22))),0))-IF($G$2,0,IF((AF$6-$G$3)&lt;1,0,IFERROR(LOOKUP(2,1/('Milho 2ª safra'!$E42:INDEX('Milho 2ª safra'!$E42:$Z42,MIN(AF$6-$G$3,22))&lt;&gt;""),'Milho 2ª safra'!$E42:INDEX('Milho 2ª safra'!$E42:$Z42,MIN(AF$6-$G$3,22))),0)))))</f>
        <v>0</v>
      </c>
      <c r="AG44" s="27" t="n">
        <f aca="false">IF(COUNT('Milho 2ª safra'!$E42:$Z42)=0,0,MAX(0,IF((AG$6-$E$3)&lt;1,0,IFERROR(LOOKUP(2,1/('Milho 2ª safra'!$E42:INDEX('Milho 2ª safra'!$E42:$Z42,MIN(AG$6-$E$3,22))&lt;&gt;""),'Milho 2ª safra'!$E42:INDEX('Milho 2ª safra'!$E42:$Z42,MIN(AG$6-$E$3,22))),0))-IF($G$2,0,IF((AG$6-$G$3)&lt;1,0,IFERROR(LOOKUP(2,1/('Milho 2ª safra'!$E42:INDEX('Milho 2ª safra'!$E42:$Z42,MIN(AG$6-$G$3,22))&lt;&gt;""),'Milho 2ª safra'!$E42:INDEX('Milho 2ª safra'!$E42:$Z42,MIN(AG$6-$G$3,22))),0)))))</f>
        <v>0</v>
      </c>
      <c r="AH44" s="27" t="n">
        <f aca="false">IF(COUNT('Milho 2ª safra'!$E42:$Z42)=0,0,MAX(0,IF((AH$6-$E$3)&lt;1,0,IFERROR(LOOKUP(2,1/('Milho 2ª safra'!$E42:INDEX('Milho 2ª safra'!$E42:$Z42,MIN(AH$6-$E$3,22))&lt;&gt;""),'Milho 2ª safra'!$E42:INDEX('Milho 2ª safra'!$E42:$Z42,MIN(AH$6-$E$3,22))),0))-IF($G$2,0,IF((AH$6-$G$3)&lt;1,0,IFERROR(LOOKUP(2,1/('Milho 2ª safra'!$E42:INDEX('Milho 2ª safra'!$E42:$Z42,MIN(AH$6-$G$3,22))&lt;&gt;""),'Milho 2ª safra'!$E42:INDEX('Milho 2ª safra'!$E42:$Z42,MIN(AH$6-$G$3,22))),0)))))</f>
        <v>0</v>
      </c>
      <c r="AI44" s="27" t="n">
        <f aca="false">IF(COUNT('Milho 2ª safra'!$E42:$Z42)=0,0,MAX(0,IF((AI$6-$E$3)&lt;1,0,IFERROR(LOOKUP(2,1/('Milho 2ª safra'!$E42:INDEX('Milho 2ª safra'!$E42:$Z42,MIN(AI$6-$E$3,22))&lt;&gt;""),'Milho 2ª safra'!$E42:INDEX('Milho 2ª safra'!$E42:$Z42,MIN(AI$6-$E$3,22))),0))-IF($G$2,0,IF((AI$6-$G$3)&lt;1,0,IFERROR(LOOKUP(2,1/('Milho 2ª safra'!$E42:INDEX('Milho 2ª safra'!$E42:$Z42,MIN(AI$6-$G$3,22))&lt;&gt;""),'Milho 2ª safra'!$E42:INDEX('Milho 2ª safra'!$E42:$Z42,MIN(AI$6-$G$3,22))),0)))))</f>
        <v>0</v>
      </c>
      <c r="AJ44" s="27" t="n">
        <f aca="false">IF(COUNT('Milho 2ª safra'!$E42:$Z42)=0,0,MAX(0,IF((AJ$6-$E$3)&lt;1,0,IFERROR(LOOKUP(2,1/('Milho 2ª safra'!$E42:INDEX('Milho 2ª safra'!$E42:$Z42,MIN(AJ$6-$E$3,22))&lt;&gt;""),'Milho 2ª safra'!$E42:INDEX('Milho 2ª safra'!$E42:$Z42,MIN(AJ$6-$E$3,22))),0))-IF($G$2,0,IF((AJ$6-$G$3)&lt;1,0,IFERROR(LOOKUP(2,1/('Milho 2ª safra'!$E42:INDEX('Milho 2ª safra'!$E42:$Z42,MIN(AJ$6-$G$3,22))&lt;&gt;""),'Milho 2ª safra'!$E42:INDEX('Milho 2ª safra'!$E42:$Z42,MIN(AJ$6-$G$3,22))),0)))))</f>
        <v>0</v>
      </c>
      <c r="AK44" s="27" t="n">
        <f aca="false">IF(COUNT('Milho 2ª safra'!$E42:$Z42)=0,0,MAX(0,IF((AK$6-$E$3)&lt;1,0,IFERROR(LOOKUP(2,1/('Milho 2ª safra'!$E42:INDEX('Milho 2ª safra'!$E42:$Z42,MIN(AK$6-$E$3,22))&lt;&gt;""),'Milho 2ª safra'!$E42:INDEX('Milho 2ª safra'!$E42:$Z42,MIN(AK$6-$E$3,22))),0))-IF($G$2,0,IF((AK$6-$G$3)&lt;1,0,IFERROR(LOOKUP(2,1/('Milho 2ª safra'!$E42:INDEX('Milho 2ª safra'!$E42:$Z42,MIN(AK$6-$G$3,22))&lt;&gt;""),'Milho 2ª safra'!$E42:INDEX('Milho 2ª safra'!$E42:$Z42,MIN(AK$6-$G$3,22))),0)))))</f>
        <v>0</v>
      </c>
      <c r="AL44" s="27" t="n">
        <f aca="false">IF(COUNT('Milho 2ª safra'!$E42:$Z42)=0,0,MAX(0,IF((AL$6-$E$3)&lt;1,0,IFERROR(LOOKUP(2,1/('Milho 2ª safra'!$E42:INDEX('Milho 2ª safra'!$E42:$Z42,MIN(AL$6-$E$3,22))&lt;&gt;""),'Milho 2ª safra'!$E42:INDEX('Milho 2ª safra'!$E42:$Z42,MIN(AL$6-$E$3,22))),0))-IF($G$2,0,IF((AL$6-$G$3)&lt;1,0,IFERROR(LOOKUP(2,1/('Milho 2ª safra'!$E42:INDEX('Milho 2ª safra'!$E42:$Z42,MIN(AL$6-$G$3,22))&lt;&gt;""),'Milho 2ª safra'!$E42:INDEX('Milho 2ª safra'!$E42:$Z42,MIN(AL$6-$G$3,22))),0)))))</f>
        <v>0</v>
      </c>
      <c r="AM44" s="27" t="n">
        <f aca="false">IF(COUNT('Milho 2ª safra'!$E42:$Z42)=0,0,MAX(0,IF((AM$6-$E$3)&lt;1,0,IFERROR(LOOKUP(2,1/('Milho 2ª safra'!$E42:INDEX('Milho 2ª safra'!$E42:$Z42,MIN(AM$6-$E$3,22))&lt;&gt;""),'Milho 2ª safra'!$E42:INDEX('Milho 2ª safra'!$E42:$Z42,MIN(AM$6-$E$3,22))),0))-IF($G$2,0,IF((AM$6-$G$3)&lt;1,0,IFERROR(LOOKUP(2,1/('Milho 2ª safra'!$E42:INDEX('Milho 2ª safra'!$E42:$Z42,MIN(AM$6-$G$3,22))&lt;&gt;""),'Milho 2ª safra'!$E42:INDEX('Milho 2ª safra'!$E42:$Z42,MIN(AM$6-$G$3,22))),0)))))</f>
        <v>0</v>
      </c>
      <c r="AN44" s="27" t="n">
        <f aca="false">IF(COUNT('Milho 2ª safra'!$E42:$Z42)=0,0,MAX(0,IF((AN$6-$E$3)&lt;1,0,IFERROR(LOOKUP(2,1/('Milho 2ª safra'!$E42:INDEX('Milho 2ª safra'!$E42:$Z42,MIN(AN$6-$E$3,22))&lt;&gt;""),'Milho 2ª safra'!$E42:INDEX('Milho 2ª safra'!$E42:$Z42,MIN(AN$6-$E$3,22))),0))-IF($G$2,0,IF((AN$6-$G$3)&lt;1,0,IFERROR(LOOKUP(2,1/('Milho 2ª safra'!$E42:INDEX('Milho 2ª safra'!$E42:$Z42,MIN(AN$6-$G$3,22))&lt;&gt;""),'Milho 2ª safra'!$E42:INDEX('Milho 2ª safra'!$E42:$Z42,MIN(AN$6-$G$3,22))),0)))))</f>
        <v>0</v>
      </c>
      <c r="AO44" s="27" t="n">
        <f aca="false">IF(COUNT('Milho 2ª safra'!$E42:$Z42)=0,0,MAX(0,IF((AO$6-$E$3)&lt;1,0,IFERROR(LOOKUP(2,1/('Milho 2ª safra'!$E42:INDEX('Milho 2ª safra'!$E42:$Z42,MIN(AO$6-$E$3,22))&lt;&gt;""),'Milho 2ª safra'!$E42:INDEX('Milho 2ª safra'!$E42:$Z42,MIN(AO$6-$E$3,22))),0))-IF($G$2,0,IF((AO$6-$G$3)&lt;1,0,IFERROR(LOOKUP(2,1/('Milho 2ª safra'!$E42:INDEX('Milho 2ª safra'!$E42:$Z42,MIN(AO$6-$G$3,22))&lt;&gt;""),'Milho 2ª safra'!$E42:INDEX('Milho 2ª safra'!$E42:$Z42,MIN(AO$6-$G$3,22))),0)))))</f>
        <v>0</v>
      </c>
      <c r="AP44" s="27" t="n">
        <f aca="false">IF(COUNT('Milho 2ª safra'!$E42:$Z42)=0,0,MAX(0,IF((AP$6-$E$3)&lt;1,0,IFERROR(LOOKUP(2,1/('Milho 2ª safra'!$E42:INDEX('Milho 2ª safra'!$E42:$Z42,MIN(AP$6-$E$3,22))&lt;&gt;""),'Milho 2ª safra'!$E42:INDEX('Milho 2ª safra'!$E42:$Z42,MIN(AP$6-$E$3,22))),0))-IF($G$2,0,IF((AP$6-$G$3)&lt;1,0,IFERROR(LOOKUP(2,1/('Milho 2ª safra'!$E42:INDEX('Milho 2ª safra'!$E42:$Z42,MIN(AP$6-$G$3,22))&lt;&gt;""),'Milho 2ª safra'!$E42:INDEX('Milho 2ª safra'!$E42:$Z42,MIN(AP$6-$G$3,22))),0)))))</f>
        <v>0</v>
      </c>
      <c r="AQ44" s="27" t="n">
        <f aca="false">IF(COUNT('Milho 2ª safra'!$E42:$Z42)=0,0,MAX(0,IF((AQ$6-$E$3)&lt;1,0,IFERROR(LOOKUP(2,1/('Milho 2ª safra'!$E42:INDEX('Milho 2ª safra'!$E42:$Z42,MIN(AQ$6-$E$3,22))&lt;&gt;""),'Milho 2ª safra'!$E42:INDEX('Milho 2ª safra'!$E42:$Z42,MIN(AQ$6-$E$3,22))),0))-IF($G$2,0,IF((AQ$6-$G$3)&lt;1,0,IFERROR(LOOKUP(2,1/('Milho 2ª safra'!$E42:INDEX('Milho 2ª safra'!$E42:$Z42,MIN(AQ$6-$G$3,22))&lt;&gt;""),'Milho 2ª safra'!$E42:INDEX('Milho 2ª safra'!$E42:$Z42,MIN(AQ$6-$G$3,22))),0)))))</f>
        <v>0</v>
      </c>
      <c r="AR44" s="27" t="n">
        <f aca="false">IF(COUNT('Milho 2ª safra'!$E42:$Z42)=0,0,MAX(0,IF((AR$6-$E$3)&lt;1,0,IFERROR(LOOKUP(2,1/('Milho 2ª safra'!$E42:INDEX('Milho 2ª safra'!$E42:$Z42,MIN(AR$6-$E$3,22))&lt;&gt;""),'Milho 2ª safra'!$E42:INDEX('Milho 2ª safra'!$E42:$Z42,MIN(AR$6-$E$3,22))),0))-IF($G$2,0,IF((AR$6-$G$3)&lt;1,0,IFERROR(LOOKUP(2,1/('Milho 2ª safra'!$E42:INDEX('Milho 2ª safra'!$E42:$Z42,MIN(AR$6-$G$3,22))&lt;&gt;""),'Milho 2ª safra'!$E42:INDEX('Milho 2ª safra'!$E42:$Z42,MIN(AR$6-$G$3,22))),0)))))</f>
        <v>0</v>
      </c>
      <c r="AS44" s="27" t="n">
        <f aca="false">IF(COUNT('Milho 2ª safra'!$E42:$Z42)=0,0,MAX(0,IF((AS$6-$E$3)&lt;1,0,IFERROR(LOOKUP(2,1/('Milho 2ª safra'!$E42:INDEX('Milho 2ª safra'!$E42:$Z42,MIN(AS$6-$E$3,22))&lt;&gt;""),'Milho 2ª safra'!$E42:INDEX('Milho 2ª safra'!$E42:$Z42,MIN(AS$6-$E$3,22))),0))-IF($G$2,0,IF((AS$6-$G$3)&lt;1,0,IFERROR(LOOKUP(2,1/('Milho 2ª safra'!$E42:INDEX('Milho 2ª safra'!$E42:$Z42,MIN(AS$6-$G$3,22))&lt;&gt;""),'Milho 2ª safra'!$E42:INDEX('Milho 2ª safra'!$E42:$Z42,MIN(AS$6-$G$3,22))),0)))))</f>
        <v>0</v>
      </c>
      <c r="AT44" s="27" t="n">
        <f aca="false">IF(COUNT('Milho 2ª safra'!$E42:$Z42)=0,0,MAX(0,IF((AT$6-$E$3)&lt;1,0,IFERROR(LOOKUP(2,1/('Milho 2ª safra'!$E42:INDEX('Milho 2ª safra'!$E42:$Z42,MIN(AT$6-$E$3,22))&lt;&gt;""),'Milho 2ª safra'!$E42:INDEX('Milho 2ª safra'!$E42:$Z42,MIN(AT$6-$E$3,22))),0))-IF($G$2,0,IF((AT$6-$G$3)&lt;1,0,IFERROR(LOOKUP(2,1/('Milho 2ª safra'!$E42:INDEX('Milho 2ª safra'!$E42:$Z42,MIN(AT$6-$G$3,22))&lt;&gt;""),'Milho 2ª safra'!$E42:INDEX('Milho 2ª safra'!$E42:$Z42,MIN(AT$6-$G$3,22))),0)))))</f>
        <v>0</v>
      </c>
      <c r="AU44" s="27" t="n">
        <f aca="false">IF(COUNT('Milho 2ª safra'!$E42:$Z42)=0,0,MAX(0,IF((AU$6-$E$3)&lt;1,0,IFERROR(LOOKUP(2,1/('Milho 2ª safra'!$E42:INDEX('Milho 2ª safra'!$E42:$Z42,MIN(AU$6-$E$3,22))&lt;&gt;""),'Milho 2ª safra'!$E42:INDEX('Milho 2ª safra'!$E42:$Z42,MIN(AU$6-$E$3,22))),0))-IF($G$2,0,IF((AU$6-$G$3)&lt;1,0,IFERROR(LOOKUP(2,1/('Milho 2ª safra'!$E42:INDEX('Milho 2ª safra'!$E42:$Z42,MIN(AU$6-$G$3,22))&lt;&gt;""),'Milho 2ª safra'!$E42:INDEX('Milho 2ª safra'!$E42:$Z42,MIN(AU$6-$G$3,22))),0)))))</f>
        <v>0</v>
      </c>
      <c r="AV44" s="27" t="n">
        <f aca="false">IF(COUNT('Milho 2ª safra'!$E42:$Z42)=0,0,MAX(0,IF((AV$6-$E$3)&lt;1,0,IFERROR(LOOKUP(2,1/('Milho 2ª safra'!$E42:INDEX('Milho 2ª safra'!$E42:$Z42,MIN(AV$6-$E$3,22))&lt;&gt;""),'Milho 2ª safra'!$E42:INDEX('Milho 2ª safra'!$E42:$Z42,MIN(AV$6-$E$3,22))),0))-IF($G$2,0,IF((AV$6-$G$3)&lt;1,0,IFERROR(LOOKUP(2,1/('Milho 2ª safra'!$E42:INDEX('Milho 2ª safra'!$E42:$Z42,MIN(AV$6-$G$3,22))&lt;&gt;""),'Milho 2ª safra'!$E42:INDEX('Milho 2ª safra'!$E42:$Z42,MIN(AV$6-$G$3,22))),0)))))</f>
        <v>0</v>
      </c>
      <c r="AW44" s="27" t="n">
        <f aca="false">IF(COUNT('Milho 2ª safra'!$E42:$Z42)=0,0,MAX(0,IF((AW$6-$E$3)&lt;1,0,IFERROR(LOOKUP(2,1/('Milho 2ª safra'!$E42:INDEX('Milho 2ª safra'!$E42:$Z42,MIN(AW$6-$E$3,22))&lt;&gt;""),'Milho 2ª safra'!$E42:INDEX('Milho 2ª safra'!$E42:$Z42,MIN(AW$6-$E$3,22))),0))-IF($G$2,0,IF((AW$6-$G$3)&lt;1,0,IFERROR(LOOKUP(2,1/('Milho 2ª safra'!$E42:INDEX('Milho 2ª safra'!$E42:$Z42,MIN(AW$6-$G$3,22))&lt;&gt;""),'Milho 2ª safra'!$E42:INDEX('Milho 2ª safra'!$E42:$Z42,MIN(AW$6-$G$3,22))),0)))))</f>
        <v>0</v>
      </c>
      <c r="AX44" s="27" t="n">
        <f aca="false">IF(COUNT('Milho 2ª safra'!$E42:$Z42)=0,0,MAX(0,IF((AX$6-$E$3)&lt;1,0,IFERROR(LOOKUP(2,1/('Milho 2ª safra'!$E42:INDEX('Milho 2ª safra'!$E42:$Z42,MIN(AX$6-$E$3,22))&lt;&gt;""),'Milho 2ª safra'!$E42:INDEX('Milho 2ª safra'!$E42:$Z42,MIN(AX$6-$E$3,22))),0))-IF($G$2,0,IF((AX$6-$G$3)&lt;1,0,IFERROR(LOOKUP(2,1/('Milho 2ª safra'!$E42:INDEX('Milho 2ª safra'!$E42:$Z42,MIN(AX$6-$G$3,22))&lt;&gt;""),'Milho 2ª safra'!$E42:INDEX('Milho 2ª safra'!$E42:$Z42,MIN(AX$6-$G$3,22))),0)))))</f>
        <v>0</v>
      </c>
      <c r="AY44" s="27" t="n">
        <f aca="false">IF(COUNT('Milho 2ª safra'!$E42:$Z42)=0,0,MAX(0,IF((AY$6-$E$3)&lt;1,0,IFERROR(LOOKUP(2,1/('Milho 2ª safra'!$E42:INDEX('Milho 2ª safra'!$E42:$Z42,MIN(AY$6-$E$3,22))&lt;&gt;""),'Milho 2ª safra'!$E42:INDEX('Milho 2ª safra'!$E42:$Z42,MIN(AY$6-$E$3,22))),0))-IF($G$2,0,IF((AY$6-$G$3)&lt;1,0,IFERROR(LOOKUP(2,1/('Milho 2ª safra'!$E42:INDEX('Milho 2ª safra'!$E42:$Z42,MIN(AY$6-$G$3,22))&lt;&gt;""),'Milho 2ª safra'!$E42:INDEX('Milho 2ª safra'!$E42:$Z42,MIN(AY$6-$G$3,22))),0)))))</f>
        <v>0</v>
      </c>
      <c r="AZ44" s="27" t="n">
        <f aca="false">IF(COUNT('Milho 2ª safra'!$E42:$Z42)=0,0,MAX(0,IF((AZ$6-$E$3)&lt;1,0,IFERROR(LOOKUP(2,1/('Milho 2ª safra'!$E42:INDEX('Milho 2ª safra'!$E42:$Z42,MIN(AZ$6-$E$3,22))&lt;&gt;""),'Milho 2ª safra'!$E42:INDEX('Milho 2ª safra'!$E42:$Z42,MIN(AZ$6-$E$3,22))),0))-IF($G$2,0,IF((AZ$6-$G$3)&lt;1,0,IFERROR(LOOKUP(2,1/('Milho 2ª safra'!$E42:INDEX('Milho 2ª safra'!$E42:$Z42,MIN(AZ$6-$G$3,22))&lt;&gt;""),'Milho 2ª safra'!$E42:INDEX('Milho 2ª safra'!$E42:$Z42,MIN(AZ$6-$G$3,22))),0)))))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IF(COUNT('Milho 2ª safra'!$E43:$Z43)&gt;0,N('Milho 2ª safra'!$D43),0)</f>
        <v>0</v>
      </c>
      <c r="E45" s="27" t="n">
        <f aca="false">IF(COUNT('Milho 2ª safra'!$E43:$Z43)=0,0,MAX(0,IF((E$6-$E$3)&lt;1,0,IFERROR(LOOKUP(2,1/('Milho 2ª safra'!$E43:INDEX('Milho 2ª safra'!$E43:$Z43,MIN(E$6-$E$3,22))&lt;&gt;""),'Milho 2ª safra'!$E43:INDEX('Milho 2ª safra'!$E43:$Z43,MIN(E$6-$E$3,22))),0))-IF($G$2,0,IF((E$6-$G$3)&lt;1,0,IFERROR(LOOKUP(2,1/('Milho 2ª safra'!$E43:INDEX('Milho 2ª safra'!$E43:$Z43,MIN(E$6-$G$3,22))&lt;&gt;""),'Milho 2ª safra'!$E43:INDEX('Milho 2ª safra'!$E43:$Z43,MIN(E$6-$G$3,22))),0)))))</f>
        <v>0</v>
      </c>
      <c r="F45" s="27" t="n">
        <f aca="false">IF(COUNT('Milho 2ª safra'!$E43:$Z43)=0,0,MAX(0,IF((F$6-$E$3)&lt;1,0,IFERROR(LOOKUP(2,1/('Milho 2ª safra'!$E43:INDEX('Milho 2ª safra'!$E43:$Z43,MIN(F$6-$E$3,22))&lt;&gt;""),'Milho 2ª safra'!$E43:INDEX('Milho 2ª safra'!$E43:$Z43,MIN(F$6-$E$3,22))),0))-IF($G$2,0,IF((F$6-$G$3)&lt;1,0,IFERROR(LOOKUP(2,1/('Milho 2ª safra'!$E43:INDEX('Milho 2ª safra'!$E43:$Z43,MIN(F$6-$G$3,22))&lt;&gt;""),'Milho 2ª safra'!$E43:INDEX('Milho 2ª safra'!$E43:$Z43,MIN(F$6-$G$3,22))),0)))))</f>
        <v>0</v>
      </c>
      <c r="G45" s="27" t="n">
        <f aca="false">IF(COUNT('Milho 2ª safra'!$E43:$Z43)=0,0,MAX(0,IF((G$6-$E$3)&lt;1,0,IFERROR(LOOKUP(2,1/('Milho 2ª safra'!$E43:INDEX('Milho 2ª safra'!$E43:$Z43,MIN(G$6-$E$3,22))&lt;&gt;""),'Milho 2ª safra'!$E43:INDEX('Milho 2ª safra'!$E43:$Z43,MIN(G$6-$E$3,22))),0))-IF($G$2,0,IF((G$6-$G$3)&lt;1,0,IFERROR(LOOKUP(2,1/('Milho 2ª safra'!$E43:INDEX('Milho 2ª safra'!$E43:$Z43,MIN(G$6-$G$3,22))&lt;&gt;""),'Milho 2ª safra'!$E43:INDEX('Milho 2ª safra'!$E43:$Z43,MIN(G$6-$G$3,22))),0)))))</f>
        <v>0</v>
      </c>
      <c r="H45" s="27" t="n">
        <f aca="false">IF(COUNT('Milho 2ª safra'!$E43:$Z43)=0,0,MAX(0,IF((H$6-$E$3)&lt;1,0,IFERROR(LOOKUP(2,1/('Milho 2ª safra'!$E43:INDEX('Milho 2ª safra'!$E43:$Z43,MIN(H$6-$E$3,22))&lt;&gt;""),'Milho 2ª safra'!$E43:INDEX('Milho 2ª safra'!$E43:$Z43,MIN(H$6-$E$3,22))),0))-IF($G$2,0,IF((H$6-$G$3)&lt;1,0,IFERROR(LOOKUP(2,1/('Milho 2ª safra'!$E43:INDEX('Milho 2ª safra'!$E43:$Z43,MIN(H$6-$G$3,22))&lt;&gt;""),'Milho 2ª safra'!$E43:INDEX('Milho 2ª safra'!$E43:$Z43,MIN(H$6-$G$3,22))),0)))))</f>
        <v>0</v>
      </c>
      <c r="I45" s="27" t="n">
        <f aca="false">IF(COUNT('Milho 2ª safra'!$E43:$Z43)=0,0,MAX(0,IF((I$6-$E$3)&lt;1,0,IFERROR(LOOKUP(2,1/('Milho 2ª safra'!$E43:INDEX('Milho 2ª safra'!$E43:$Z43,MIN(I$6-$E$3,22))&lt;&gt;""),'Milho 2ª safra'!$E43:INDEX('Milho 2ª safra'!$E43:$Z43,MIN(I$6-$E$3,22))),0))-IF($G$2,0,IF((I$6-$G$3)&lt;1,0,IFERROR(LOOKUP(2,1/('Milho 2ª safra'!$E43:INDEX('Milho 2ª safra'!$E43:$Z43,MIN(I$6-$G$3,22))&lt;&gt;""),'Milho 2ª safra'!$E43:INDEX('Milho 2ª safra'!$E43:$Z43,MIN(I$6-$G$3,22))),0)))))</f>
        <v>0</v>
      </c>
      <c r="J45" s="27" t="n">
        <f aca="false">IF(COUNT('Milho 2ª safra'!$E43:$Z43)=0,0,MAX(0,IF((J$6-$E$3)&lt;1,0,IFERROR(LOOKUP(2,1/('Milho 2ª safra'!$E43:INDEX('Milho 2ª safra'!$E43:$Z43,MIN(J$6-$E$3,22))&lt;&gt;""),'Milho 2ª safra'!$E43:INDEX('Milho 2ª safra'!$E43:$Z43,MIN(J$6-$E$3,22))),0))-IF($G$2,0,IF((J$6-$G$3)&lt;1,0,IFERROR(LOOKUP(2,1/('Milho 2ª safra'!$E43:INDEX('Milho 2ª safra'!$E43:$Z43,MIN(J$6-$G$3,22))&lt;&gt;""),'Milho 2ª safra'!$E43:INDEX('Milho 2ª safra'!$E43:$Z43,MIN(J$6-$G$3,22))),0)))))</f>
        <v>0</v>
      </c>
      <c r="K45" s="27" t="n">
        <f aca="false">IF(COUNT('Milho 2ª safra'!$E43:$Z43)=0,0,MAX(0,IF((K$6-$E$3)&lt;1,0,IFERROR(LOOKUP(2,1/('Milho 2ª safra'!$E43:INDEX('Milho 2ª safra'!$E43:$Z43,MIN(K$6-$E$3,22))&lt;&gt;""),'Milho 2ª safra'!$E43:INDEX('Milho 2ª safra'!$E43:$Z43,MIN(K$6-$E$3,22))),0))-IF($G$2,0,IF((K$6-$G$3)&lt;1,0,IFERROR(LOOKUP(2,1/('Milho 2ª safra'!$E43:INDEX('Milho 2ª safra'!$E43:$Z43,MIN(K$6-$G$3,22))&lt;&gt;""),'Milho 2ª safra'!$E43:INDEX('Milho 2ª safra'!$E43:$Z43,MIN(K$6-$G$3,22))),0)))))</f>
        <v>0</v>
      </c>
      <c r="L45" s="27" t="n">
        <f aca="false">IF(COUNT('Milho 2ª safra'!$E43:$Z43)=0,0,MAX(0,IF((L$6-$E$3)&lt;1,0,IFERROR(LOOKUP(2,1/('Milho 2ª safra'!$E43:INDEX('Milho 2ª safra'!$E43:$Z43,MIN(L$6-$E$3,22))&lt;&gt;""),'Milho 2ª safra'!$E43:INDEX('Milho 2ª safra'!$E43:$Z43,MIN(L$6-$E$3,22))),0))-IF($G$2,0,IF((L$6-$G$3)&lt;1,0,IFERROR(LOOKUP(2,1/('Milho 2ª safra'!$E43:INDEX('Milho 2ª safra'!$E43:$Z43,MIN(L$6-$G$3,22))&lt;&gt;""),'Milho 2ª safra'!$E43:INDEX('Milho 2ª safra'!$E43:$Z43,MIN(L$6-$G$3,22))),0)))))</f>
        <v>0</v>
      </c>
      <c r="M45" s="27" t="n">
        <f aca="false">IF(COUNT('Milho 2ª safra'!$E43:$Z43)=0,0,MAX(0,IF((M$6-$E$3)&lt;1,0,IFERROR(LOOKUP(2,1/('Milho 2ª safra'!$E43:INDEX('Milho 2ª safra'!$E43:$Z43,MIN(M$6-$E$3,22))&lt;&gt;""),'Milho 2ª safra'!$E43:INDEX('Milho 2ª safra'!$E43:$Z43,MIN(M$6-$E$3,22))),0))-IF($G$2,0,IF((M$6-$G$3)&lt;1,0,IFERROR(LOOKUP(2,1/('Milho 2ª safra'!$E43:INDEX('Milho 2ª safra'!$E43:$Z43,MIN(M$6-$G$3,22))&lt;&gt;""),'Milho 2ª safra'!$E43:INDEX('Milho 2ª safra'!$E43:$Z43,MIN(M$6-$G$3,22))),0)))))</f>
        <v>0</v>
      </c>
      <c r="N45" s="27" t="n">
        <f aca="false">IF(COUNT('Milho 2ª safra'!$E43:$Z43)=0,0,MAX(0,IF((N$6-$E$3)&lt;1,0,IFERROR(LOOKUP(2,1/('Milho 2ª safra'!$E43:INDEX('Milho 2ª safra'!$E43:$Z43,MIN(N$6-$E$3,22))&lt;&gt;""),'Milho 2ª safra'!$E43:INDEX('Milho 2ª safra'!$E43:$Z43,MIN(N$6-$E$3,22))),0))-IF($G$2,0,IF((N$6-$G$3)&lt;1,0,IFERROR(LOOKUP(2,1/('Milho 2ª safra'!$E43:INDEX('Milho 2ª safra'!$E43:$Z43,MIN(N$6-$G$3,22))&lt;&gt;""),'Milho 2ª safra'!$E43:INDEX('Milho 2ª safra'!$E43:$Z43,MIN(N$6-$G$3,22))),0)))))</f>
        <v>0</v>
      </c>
      <c r="O45" s="27" t="n">
        <f aca="false">IF(COUNT('Milho 2ª safra'!$E43:$Z43)=0,0,MAX(0,IF((O$6-$E$3)&lt;1,0,IFERROR(LOOKUP(2,1/('Milho 2ª safra'!$E43:INDEX('Milho 2ª safra'!$E43:$Z43,MIN(O$6-$E$3,22))&lt;&gt;""),'Milho 2ª safra'!$E43:INDEX('Milho 2ª safra'!$E43:$Z43,MIN(O$6-$E$3,22))),0))-IF($G$2,0,IF((O$6-$G$3)&lt;1,0,IFERROR(LOOKUP(2,1/('Milho 2ª safra'!$E43:INDEX('Milho 2ª safra'!$E43:$Z43,MIN(O$6-$G$3,22))&lt;&gt;""),'Milho 2ª safra'!$E43:INDEX('Milho 2ª safra'!$E43:$Z43,MIN(O$6-$G$3,22))),0)))))</f>
        <v>0</v>
      </c>
      <c r="P45" s="27" t="n">
        <f aca="false">IF(COUNT('Milho 2ª safra'!$E43:$Z43)=0,0,MAX(0,IF((P$6-$E$3)&lt;1,0,IFERROR(LOOKUP(2,1/('Milho 2ª safra'!$E43:INDEX('Milho 2ª safra'!$E43:$Z43,MIN(P$6-$E$3,22))&lt;&gt;""),'Milho 2ª safra'!$E43:INDEX('Milho 2ª safra'!$E43:$Z43,MIN(P$6-$E$3,22))),0))-IF($G$2,0,IF((P$6-$G$3)&lt;1,0,IFERROR(LOOKUP(2,1/('Milho 2ª safra'!$E43:INDEX('Milho 2ª safra'!$E43:$Z43,MIN(P$6-$G$3,22))&lt;&gt;""),'Milho 2ª safra'!$E43:INDEX('Milho 2ª safra'!$E43:$Z43,MIN(P$6-$G$3,22))),0)))))</f>
        <v>0</v>
      </c>
      <c r="Q45" s="27" t="n">
        <f aca="false">IF(COUNT('Milho 2ª safra'!$E43:$Z43)=0,0,MAX(0,IF((Q$6-$E$3)&lt;1,0,IFERROR(LOOKUP(2,1/('Milho 2ª safra'!$E43:INDEX('Milho 2ª safra'!$E43:$Z43,MIN(Q$6-$E$3,22))&lt;&gt;""),'Milho 2ª safra'!$E43:INDEX('Milho 2ª safra'!$E43:$Z43,MIN(Q$6-$E$3,22))),0))-IF($G$2,0,IF((Q$6-$G$3)&lt;1,0,IFERROR(LOOKUP(2,1/('Milho 2ª safra'!$E43:INDEX('Milho 2ª safra'!$E43:$Z43,MIN(Q$6-$G$3,22))&lt;&gt;""),'Milho 2ª safra'!$E43:INDEX('Milho 2ª safra'!$E43:$Z43,MIN(Q$6-$G$3,22))),0)))))</f>
        <v>0</v>
      </c>
      <c r="R45" s="27" t="n">
        <f aca="false">IF(COUNT('Milho 2ª safra'!$E43:$Z43)=0,0,MAX(0,IF((R$6-$E$3)&lt;1,0,IFERROR(LOOKUP(2,1/('Milho 2ª safra'!$E43:INDEX('Milho 2ª safra'!$E43:$Z43,MIN(R$6-$E$3,22))&lt;&gt;""),'Milho 2ª safra'!$E43:INDEX('Milho 2ª safra'!$E43:$Z43,MIN(R$6-$E$3,22))),0))-IF($G$2,0,IF((R$6-$G$3)&lt;1,0,IFERROR(LOOKUP(2,1/('Milho 2ª safra'!$E43:INDEX('Milho 2ª safra'!$E43:$Z43,MIN(R$6-$G$3,22))&lt;&gt;""),'Milho 2ª safra'!$E43:INDEX('Milho 2ª safra'!$E43:$Z43,MIN(R$6-$G$3,22))),0)))))</f>
        <v>0</v>
      </c>
      <c r="S45" s="27" t="n">
        <f aca="false">IF(COUNT('Milho 2ª safra'!$E43:$Z43)=0,0,MAX(0,IF((S$6-$E$3)&lt;1,0,IFERROR(LOOKUP(2,1/('Milho 2ª safra'!$E43:INDEX('Milho 2ª safra'!$E43:$Z43,MIN(S$6-$E$3,22))&lt;&gt;""),'Milho 2ª safra'!$E43:INDEX('Milho 2ª safra'!$E43:$Z43,MIN(S$6-$E$3,22))),0))-IF($G$2,0,IF((S$6-$G$3)&lt;1,0,IFERROR(LOOKUP(2,1/('Milho 2ª safra'!$E43:INDEX('Milho 2ª safra'!$E43:$Z43,MIN(S$6-$G$3,22))&lt;&gt;""),'Milho 2ª safra'!$E43:INDEX('Milho 2ª safra'!$E43:$Z43,MIN(S$6-$G$3,22))),0)))))</f>
        <v>0</v>
      </c>
      <c r="T45" s="27" t="n">
        <f aca="false">IF(COUNT('Milho 2ª safra'!$E43:$Z43)=0,0,MAX(0,IF((T$6-$E$3)&lt;1,0,IFERROR(LOOKUP(2,1/('Milho 2ª safra'!$E43:INDEX('Milho 2ª safra'!$E43:$Z43,MIN(T$6-$E$3,22))&lt;&gt;""),'Milho 2ª safra'!$E43:INDEX('Milho 2ª safra'!$E43:$Z43,MIN(T$6-$E$3,22))),0))-IF($G$2,0,IF((T$6-$G$3)&lt;1,0,IFERROR(LOOKUP(2,1/('Milho 2ª safra'!$E43:INDEX('Milho 2ª safra'!$E43:$Z43,MIN(T$6-$G$3,22))&lt;&gt;""),'Milho 2ª safra'!$E43:INDEX('Milho 2ª safra'!$E43:$Z43,MIN(T$6-$G$3,22))),0)))))</f>
        <v>0</v>
      </c>
      <c r="U45" s="27" t="n">
        <f aca="false">IF(COUNT('Milho 2ª safra'!$E43:$Z43)=0,0,MAX(0,IF((U$6-$E$3)&lt;1,0,IFERROR(LOOKUP(2,1/('Milho 2ª safra'!$E43:INDEX('Milho 2ª safra'!$E43:$Z43,MIN(U$6-$E$3,22))&lt;&gt;""),'Milho 2ª safra'!$E43:INDEX('Milho 2ª safra'!$E43:$Z43,MIN(U$6-$E$3,22))),0))-IF($G$2,0,IF((U$6-$G$3)&lt;1,0,IFERROR(LOOKUP(2,1/('Milho 2ª safra'!$E43:INDEX('Milho 2ª safra'!$E43:$Z43,MIN(U$6-$G$3,22))&lt;&gt;""),'Milho 2ª safra'!$E43:INDEX('Milho 2ª safra'!$E43:$Z43,MIN(U$6-$G$3,22))),0)))))</f>
        <v>0</v>
      </c>
      <c r="V45" s="27" t="n">
        <f aca="false">IF(COUNT('Milho 2ª safra'!$E43:$Z43)=0,0,MAX(0,IF((V$6-$E$3)&lt;1,0,IFERROR(LOOKUP(2,1/('Milho 2ª safra'!$E43:INDEX('Milho 2ª safra'!$E43:$Z43,MIN(V$6-$E$3,22))&lt;&gt;""),'Milho 2ª safra'!$E43:INDEX('Milho 2ª safra'!$E43:$Z43,MIN(V$6-$E$3,22))),0))-IF($G$2,0,IF((V$6-$G$3)&lt;1,0,IFERROR(LOOKUP(2,1/('Milho 2ª safra'!$E43:INDEX('Milho 2ª safra'!$E43:$Z43,MIN(V$6-$G$3,22))&lt;&gt;""),'Milho 2ª safra'!$E43:INDEX('Milho 2ª safra'!$E43:$Z43,MIN(V$6-$G$3,22))),0)))))</f>
        <v>0</v>
      </c>
      <c r="W45" s="27" t="n">
        <f aca="false">IF(COUNT('Milho 2ª safra'!$E43:$Z43)=0,0,MAX(0,IF((W$6-$E$3)&lt;1,0,IFERROR(LOOKUP(2,1/('Milho 2ª safra'!$E43:INDEX('Milho 2ª safra'!$E43:$Z43,MIN(W$6-$E$3,22))&lt;&gt;""),'Milho 2ª safra'!$E43:INDEX('Milho 2ª safra'!$E43:$Z43,MIN(W$6-$E$3,22))),0))-IF($G$2,0,IF((W$6-$G$3)&lt;1,0,IFERROR(LOOKUP(2,1/('Milho 2ª safra'!$E43:INDEX('Milho 2ª safra'!$E43:$Z43,MIN(W$6-$G$3,22))&lt;&gt;""),'Milho 2ª safra'!$E43:INDEX('Milho 2ª safra'!$E43:$Z43,MIN(W$6-$G$3,22))),0)))))</f>
        <v>0</v>
      </c>
      <c r="X45" s="27" t="n">
        <f aca="false">IF(COUNT('Milho 2ª safra'!$E43:$Z43)=0,0,MAX(0,IF((X$6-$E$3)&lt;1,0,IFERROR(LOOKUP(2,1/('Milho 2ª safra'!$E43:INDEX('Milho 2ª safra'!$E43:$Z43,MIN(X$6-$E$3,22))&lt;&gt;""),'Milho 2ª safra'!$E43:INDEX('Milho 2ª safra'!$E43:$Z43,MIN(X$6-$E$3,22))),0))-IF($G$2,0,IF((X$6-$G$3)&lt;1,0,IFERROR(LOOKUP(2,1/('Milho 2ª safra'!$E43:INDEX('Milho 2ª safra'!$E43:$Z43,MIN(X$6-$G$3,22))&lt;&gt;""),'Milho 2ª safra'!$E43:INDEX('Milho 2ª safra'!$E43:$Z43,MIN(X$6-$G$3,22))),0)))))</f>
        <v>0</v>
      </c>
      <c r="Y45" s="27" t="n">
        <f aca="false">IF(COUNT('Milho 2ª safra'!$E43:$Z43)=0,0,MAX(0,IF((Y$6-$E$3)&lt;1,0,IFERROR(LOOKUP(2,1/('Milho 2ª safra'!$E43:INDEX('Milho 2ª safra'!$E43:$Z43,MIN(Y$6-$E$3,22))&lt;&gt;""),'Milho 2ª safra'!$E43:INDEX('Milho 2ª safra'!$E43:$Z43,MIN(Y$6-$E$3,22))),0))-IF($G$2,0,IF((Y$6-$G$3)&lt;1,0,IFERROR(LOOKUP(2,1/('Milho 2ª safra'!$E43:INDEX('Milho 2ª safra'!$E43:$Z43,MIN(Y$6-$G$3,22))&lt;&gt;""),'Milho 2ª safra'!$E43:INDEX('Milho 2ª safra'!$E43:$Z43,MIN(Y$6-$G$3,22))),0)))))</f>
        <v>0</v>
      </c>
      <c r="Z45" s="27" t="n">
        <f aca="false">IF(COUNT('Milho 2ª safra'!$E43:$Z43)=0,0,MAX(0,IF((Z$6-$E$3)&lt;1,0,IFERROR(LOOKUP(2,1/('Milho 2ª safra'!$E43:INDEX('Milho 2ª safra'!$E43:$Z43,MIN(Z$6-$E$3,22))&lt;&gt;""),'Milho 2ª safra'!$E43:INDEX('Milho 2ª safra'!$E43:$Z43,MIN(Z$6-$E$3,22))),0))-IF($G$2,0,IF((Z$6-$G$3)&lt;1,0,IFERROR(LOOKUP(2,1/('Milho 2ª safra'!$E43:INDEX('Milho 2ª safra'!$E43:$Z43,MIN(Z$6-$G$3,22))&lt;&gt;""),'Milho 2ª safra'!$E43:INDEX('Milho 2ª safra'!$E43:$Z43,MIN(Z$6-$G$3,22))),0)))))</f>
        <v>0</v>
      </c>
      <c r="AA45" s="27" t="n">
        <f aca="false">IF(COUNT('Milho 2ª safra'!$E43:$Z43)=0,0,MAX(0,IF((AA$6-$E$3)&lt;1,0,IFERROR(LOOKUP(2,1/('Milho 2ª safra'!$E43:INDEX('Milho 2ª safra'!$E43:$Z43,MIN(AA$6-$E$3,22))&lt;&gt;""),'Milho 2ª safra'!$E43:INDEX('Milho 2ª safra'!$E43:$Z43,MIN(AA$6-$E$3,22))),0))-IF($G$2,0,IF((AA$6-$G$3)&lt;1,0,IFERROR(LOOKUP(2,1/('Milho 2ª safra'!$E43:INDEX('Milho 2ª safra'!$E43:$Z43,MIN(AA$6-$G$3,22))&lt;&gt;""),'Milho 2ª safra'!$E43:INDEX('Milho 2ª safra'!$E43:$Z43,MIN(AA$6-$G$3,22))),0)))))</f>
        <v>0</v>
      </c>
      <c r="AB45" s="27" t="n">
        <f aca="false">IF(COUNT('Milho 2ª safra'!$E43:$Z43)=0,0,MAX(0,IF((AB$6-$E$3)&lt;1,0,IFERROR(LOOKUP(2,1/('Milho 2ª safra'!$E43:INDEX('Milho 2ª safra'!$E43:$Z43,MIN(AB$6-$E$3,22))&lt;&gt;""),'Milho 2ª safra'!$E43:INDEX('Milho 2ª safra'!$E43:$Z43,MIN(AB$6-$E$3,22))),0))-IF($G$2,0,IF((AB$6-$G$3)&lt;1,0,IFERROR(LOOKUP(2,1/('Milho 2ª safra'!$E43:INDEX('Milho 2ª safra'!$E43:$Z43,MIN(AB$6-$G$3,22))&lt;&gt;""),'Milho 2ª safra'!$E43:INDEX('Milho 2ª safra'!$E43:$Z43,MIN(AB$6-$G$3,22))),0)))))</f>
        <v>0</v>
      </c>
      <c r="AC45" s="27" t="n">
        <f aca="false">IF(COUNT('Milho 2ª safra'!$E43:$Z43)=0,0,MAX(0,IF((AC$6-$E$3)&lt;1,0,IFERROR(LOOKUP(2,1/('Milho 2ª safra'!$E43:INDEX('Milho 2ª safra'!$E43:$Z43,MIN(AC$6-$E$3,22))&lt;&gt;""),'Milho 2ª safra'!$E43:INDEX('Milho 2ª safra'!$E43:$Z43,MIN(AC$6-$E$3,22))),0))-IF($G$2,0,IF((AC$6-$G$3)&lt;1,0,IFERROR(LOOKUP(2,1/('Milho 2ª safra'!$E43:INDEX('Milho 2ª safra'!$E43:$Z43,MIN(AC$6-$G$3,22))&lt;&gt;""),'Milho 2ª safra'!$E43:INDEX('Milho 2ª safra'!$E43:$Z43,MIN(AC$6-$G$3,22))),0)))))</f>
        <v>0</v>
      </c>
      <c r="AD45" s="27" t="n">
        <f aca="false">IF(COUNT('Milho 2ª safra'!$E43:$Z43)=0,0,MAX(0,IF((AD$6-$E$3)&lt;1,0,IFERROR(LOOKUP(2,1/('Milho 2ª safra'!$E43:INDEX('Milho 2ª safra'!$E43:$Z43,MIN(AD$6-$E$3,22))&lt;&gt;""),'Milho 2ª safra'!$E43:INDEX('Milho 2ª safra'!$E43:$Z43,MIN(AD$6-$E$3,22))),0))-IF($G$2,0,IF((AD$6-$G$3)&lt;1,0,IFERROR(LOOKUP(2,1/('Milho 2ª safra'!$E43:INDEX('Milho 2ª safra'!$E43:$Z43,MIN(AD$6-$G$3,22))&lt;&gt;""),'Milho 2ª safra'!$E43:INDEX('Milho 2ª safra'!$E43:$Z43,MIN(AD$6-$G$3,22))),0)))))</f>
        <v>0</v>
      </c>
      <c r="AE45" s="27" t="n">
        <f aca="false">IF(COUNT('Milho 2ª safra'!$E43:$Z43)=0,0,MAX(0,IF((AE$6-$E$3)&lt;1,0,IFERROR(LOOKUP(2,1/('Milho 2ª safra'!$E43:INDEX('Milho 2ª safra'!$E43:$Z43,MIN(AE$6-$E$3,22))&lt;&gt;""),'Milho 2ª safra'!$E43:INDEX('Milho 2ª safra'!$E43:$Z43,MIN(AE$6-$E$3,22))),0))-IF($G$2,0,IF((AE$6-$G$3)&lt;1,0,IFERROR(LOOKUP(2,1/('Milho 2ª safra'!$E43:INDEX('Milho 2ª safra'!$E43:$Z43,MIN(AE$6-$G$3,22))&lt;&gt;""),'Milho 2ª safra'!$E43:INDEX('Milho 2ª safra'!$E43:$Z43,MIN(AE$6-$G$3,22))),0)))))</f>
        <v>0</v>
      </c>
      <c r="AF45" s="27" t="n">
        <f aca="false">IF(COUNT('Milho 2ª safra'!$E43:$Z43)=0,0,MAX(0,IF((AF$6-$E$3)&lt;1,0,IFERROR(LOOKUP(2,1/('Milho 2ª safra'!$E43:INDEX('Milho 2ª safra'!$E43:$Z43,MIN(AF$6-$E$3,22))&lt;&gt;""),'Milho 2ª safra'!$E43:INDEX('Milho 2ª safra'!$E43:$Z43,MIN(AF$6-$E$3,22))),0))-IF($G$2,0,IF((AF$6-$G$3)&lt;1,0,IFERROR(LOOKUP(2,1/('Milho 2ª safra'!$E43:INDEX('Milho 2ª safra'!$E43:$Z43,MIN(AF$6-$G$3,22))&lt;&gt;""),'Milho 2ª safra'!$E43:INDEX('Milho 2ª safra'!$E43:$Z43,MIN(AF$6-$G$3,22))),0)))))</f>
        <v>0</v>
      </c>
      <c r="AG45" s="27" t="n">
        <f aca="false">IF(COUNT('Milho 2ª safra'!$E43:$Z43)=0,0,MAX(0,IF((AG$6-$E$3)&lt;1,0,IFERROR(LOOKUP(2,1/('Milho 2ª safra'!$E43:INDEX('Milho 2ª safra'!$E43:$Z43,MIN(AG$6-$E$3,22))&lt;&gt;""),'Milho 2ª safra'!$E43:INDEX('Milho 2ª safra'!$E43:$Z43,MIN(AG$6-$E$3,22))),0))-IF($G$2,0,IF((AG$6-$G$3)&lt;1,0,IFERROR(LOOKUP(2,1/('Milho 2ª safra'!$E43:INDEX('Milho 2ª safra'!$E43:$Z43,MIN(AG$6-$G$3,22))&lt;&gt;""),'Milho 2ª safra'!$E43:INDEX('Milho 2ª safra'!$E43:$Z43,MIN(AG$6-$G$3,22))),0)))))</f>
        <v>0</v>
      </c>
      <c r="AH45" s="27" t="n">
        <f aca="false">IF(COUNT('Milho 2ª safra'!$E43:$Z43)=0,0,MAX(0,IF((AH$6-$E$3)&lt;1,0,IFERROR(LOOKUP(2,1/('Milho 2ª safra'!$E43:INDEX('Milho 2ª safra'!$E43:$Z43,MIN(AH$6-$E$3,22))&lt;&gt;""),'Milho 2ª safra'!$E43:INDEX('Milho 2ª safra'!$E43:$Z43,MIN(AH$6-$E$3,22))),0))-IF($G$2,0,IF((AH$6-$G$3)&lt;1,0,IFERROR(LOOKUP(2,1/('Milho 2ª safra'!$E43:INDEX('Milho 2ª safra'!$E43:$Z43,MIN(AH$6-$G$3,22))&lt;&gt;""),'Milho 2ª safra'!$E43:INDEX('Milho 2ª safra'!$E43:$Z43,MIN(AH$6-$G$3,22))),0)))))</f>
        <v>0</v>
      </c>
      <c r="AI45" s="27" t="n">
        <f aca="false">IF(COUNT('Milho 2ª safra'!$E43:$Z43)=0,0,MAX(0,IF((AI$6-$E$3)&lt;1,0,IFERROR(LOOKUP(2,1/('Milho 2ª safra'!$E43:INDEX('Milho 2ª safra'!$E43:$Z43,MIN(AI$6-$E$3,22))&lt;&gt;""),'Milho 2ª safra'!$E43:INDEX('Milho 2ª safra'!$E43:$Z43,MIN(AI$6-$E$3,22))),0))-IF($G$2,0,IF((AI$6-$G$3)&lt;1,0,IFERROR(LOOKUP(2,1/('Milho 2ª safra'!$E43:INDEX('Milho 2ª safra'!$E43:$Z43,MIN(AI$6-$G$3,22))&lt;&gt;""),'Milho 2ª safra'!$E43:INDEX('Milho 2ª safra'!$E43:$Z43,MIN(AI$6-$G$3,22))),0)))))</f>
        <v>0</v>
      </c>
      <c r="AJ45" s="27" t="n">
        <f aca="false">IF(COUNT('Milho 2ª safra'!$E43:$Z43)=0,0,MAX(0,IF((AJ$6-$E$3)&lt;1,0,IFERROR(LOOKUP(2,1/('Milho 2ª safra'!$E43:INDEX('Milho 2ª safra'!$E43:$Z43,MIN(AJ$6-$E$3,22))&lt;&gt;""),'Milho 2ª safra'!$E43:INDEX('Milho 2ª safra'!$E43:$Z43,MIN(AJ$6-$E$3,22))),0))-IF($G$2,0,IF((AJ$6-$G$3)&lt;1,0,IFERROR(LOOKUP(2,1/('Milho 2ª safra'!$E43:INDEX('Milho 2ª safra'!$E43:$Z43,MIN(AJ$6-$G$3,22))&lt;&gt;""),'Milho 2ª safra'!$E43:INDEX('Milho 2ª safra'!$E43:$Z43,MIN(AJ$6-$G$3,22))),0)))))</f>
        <v>0</v>
      </c>
      <c r="AK45" s="27" t="n">
        <f aca="false">IF(COUNT('Milho 2ª safra'!$E43:$Z43)=0,0,MAX(0,IF((AK$6-$E$3)&lt;1,0,IFERROR(LOOKUP(2,1/('Milho 2ª safra'!$E43:INDEX('Milho 2ª safra'!$E43:$Z43,MIN(AK$6-$E$3,22))&lt;&gt;""),'Milho 2ª safra'!$E43:INDEX('Milho 2ª safra'!$E43:$Z43,MIN(AK$6-$E$3,22))),0))-IF($G$2,0,IF((AK$6-$G$3)&lt;1,0,IFERROR(LOOKUP(2,1/('Milho 2ª safra'!$E43:INDEX('Milho 2ª safra'!$E43:$Z43,MIN(AK$6-$G$3,22))&lt;&gt;""),'Milho 2ª safra'!$E43:INDEX('Milho 2ª safra'!$E43:$Z43,MIN(AK$6-$G$3,22))),0)))))</f>
        <v>0</v>
      </c>
      <c r="AL45" s="27" t="n">
        <f aca="false">IF(COUNT('Milho 2ª safra'!$E43:$Z43)=0,0,MAX(0,IF((AL$6-$E$3)&lt;1,0,IFERROR(LOOKUP(2,1/('Milho 2ª safra'!$E43:INDEX('Milho 2ª safra'!$E43:$Z43,MIN(AL$6-$E$3,22))&lt;&gt;""),'Milho 2ª safra'!$E43:INDEX('Milho 2ª safra'!$E43:$Z43,MIN(AL$6-$E$3,22))),0))-IF($G$2,0,IF((AL$6-$G$3)&lt;1,0,IFERROR(LOOKUP(2,1/('Milho 2ª safra'!$E43:INDEX('Milho 2ª safra'!$E43:$Z43,MIN(AL$6-$G$3,22))&lt;&gt;""),'Milho 2ª safra'!$E43:INDEX('Milho 2ª safra'!$E43:$Z43,MIN(AL$6-$G$3,22))),0)))))</f>
        <v>0</v>
      </c>
      <c r="AM45" s="27" t="n">
        <f aca="false">IF(COUNT('Milho 2ª safra'!$E43:$Z43)=0,0,MAX(0,IF((AM$6-$E$3)&lt;1,0,IFERROR(LOOKUP(2,1/('Milho 2ª safra'!$E43:INDEX('Milho 2ª safra'!$E43:$Z43,MIN(AM$6-$E$3,22))&lt;&gt;""),'Milho 2ª safra'!$E43:INDEX('Milho 2ª safra'!$E43:$Z43,MIN(AM$6-$E$3,22))),0))-IF($G$2,0,IF((AM$6-$G$3)&lt;1,0,IFERROR(LOOKUP(2,1/('Milho 2ª safra'!$E43:INDEX('Milho 2ª safra'!$E43:$Z43,MIN(AM$6-$G$3,22))&lt;&gt;""),'Milho 2ª safra'!$E43:INDEX('Milho 2ª safra'!$E43:$Z43,MIN(AM$6-$G$3,22))),0)))))</f>
        <v>0</v>
      </c>
      <c r="AN45" s="27" t="n">
        <f aca="false">IF(COUNT('Milho 2ª safra'!$E43:$Z43)=0,0,MAX(0,IF((AN$6-$E$3)&lt;1,0,IFERROR(LOOKUP(2,1/('Milho 2ª safra'!$E43:INDEX('Milho 2ª safra'!$E43:$Z43,MIN(AN$6-$E$3,22))&lt;&gt;""),'Milho 2ª safra'!$E43:INDEX('Milho 2ª safra'!$E43:$Z43,MIN(AN$6-$E$3,22))),0))-IF($G$2,0,IF((AN$6-$G$3)&lt;1,0,IFERROR(LOOKUP(2,1/('Milho 2ª safra'!$E43:INDEX('Milho 2ª safra'!$E43:$Z43,MIN(AN$6-$G$3,22))&lt;&gt;""),'Milho 2ª safra'!$E43:INDEX('Milho 2ª safra'!$E43:$Z43,MIN(AN$6-$G$3,22))),0)))))</f>
        <v>0</v>
      </c>
      <c r="AO45" s="27" t="n">
        <f aca="false">IF(COUNT('Milho 2ª safra'!$E43:$Z43)=0,0,MAX(0,IF((AO$6-$E$3)&lt;1,0,IFERROR(LOOKUP(2,1/('Milho 2ª safra'!$E43:INDEX('Milho 2ª safra'!$E43:$Z43,MIN(AO$6-$E$3,22))&lt;&gt;""),'Milho 2ª safra'!$E43:INDEX('Milho 2ª safra'!$E43:$Z43,MIN(AO$6-$E$3,22))),0))-IF($G$2,0,IF((AO$6-$G$3)&lt;1,0,IFERROR(LOOKUP(2,1/('Milho 2ª safra'!$E43:INDEX('Milho 2ª safra'!$E43:$Z43,MIN(AO$6-$G$3,22))&lt;&gt;""),'Milho 2ª safra'!$E43:INDEX('Milho 2ª safra'!$E43:$Z43,MIN(AO$6-$G$3,22))),0)))))</f>
        <v>0</v>
      </c>
      <c r="AP45" s="27" t="n">
        <f aca="false">IF(COUNT('Milho 2ª safra'!$E43:$Z43)=0,0,MAX(0,IF((AP$6-$E$3)&lt;1,0,IFERROR(LOOKUP(2,1/('Milho 2ª safra'!$E43:INDEX('Milho 2ª safra'!$E43:$Z43,MIN(AP$6-$E$3,22))&lt;&gt;""),'Milho 2ª safra'!$E43:INDEX('Milho 2ª safra'!$E43:$Z43,MIN(AP$6-$E$3,22))),0))-IF($G$2,0,IF((AP$6-$G$3)&lt;1,0,IFERROR(LOOKUP(2,1/('Milho 2ª safra'!$E43:INDEX('Milho 2ª safra'!$E43:$Z43,MIN(AP$6-$G$3,22))&lt;&gt;""),'Milho 2ª safra'!$E43:INDEX('Milho 2ª safra'!$E43:$Z43,MIN(AP$6-$G$3,22))),0)))))</f>
        <v>0</v>
      </c>
      <c r="AQ45" s="27" t="n">
        <f aca="false">IF(COUNT('Milho 2ª safra'!$E43:$Z43)=0,0,MAX(0,IF((AQ$6-$E$3)&lt;1,0,IFERROR(LOOKUP(2,1/('Milho 2ª safra'!$E43:INDEX('Milho 2ª safra'!$E43:$Z43,MIN(AQ$6-$E$3,22))&lt;&gt;""),'Milho 2ª safra'!$E43:INDEX('Milho 2ª safra'!$E43:$Z43,MIN(AQ$6-$E$3,22))),0))-IF($G$2,0,IF((AQ$6-$G$3)&lt;1,0,IFERROR(LOOKUP(2,1/('Milho 2ª safra'!$E43:INDEX('Milho 2ª safra'!$E43:$Z43,MIN(AQ$6-$G$3,22))&lt;&gt;""),'Milho 2ª safra'!$E43:INDEX('Milho 2ª safra'!$E43:$Z43,MIN(AQ$6-$G$3,22))),0)))))</f>
        <v>0</v>
      </c>
      <c r="AR45" s="27" t="n">
        <f aca="false">IF(COUNT('Milho 2ª safra'!$E43:$Z43)=0,0,MAX(0,IF((AR$6-$E$3)&lt;1,0,IFERROR(LOOKUP(2,1/('Milho 2ª safra'!$E43:INDEX('Milho 2ª safra'!$E43:$Z43,MIN(AR$6-$E$3,22))&lt;&gt;""),'Milho 2ª safra'!$E43:INDEX('Milho 2ª safra'!$E43:$Z43,MIN(AR$6-$E$3,22))),0))-IF($G$2,0,IF((AR$6-$G$3)&lt;1,0,IFERROR(LOOKUP(2,1/('Milho 2ª safra'!$E43:INDEX('Milho 2ª safra'!$E43:$Z43,MIN(AR$6-$G$3,22))&lt;&gt;""),'Milho 2ª safra'!$E43:INDEX('Milho 2ª safra'!$E43:$Z43,MIN(AR$6-$G$3,22))),0)))))</f>
        <v>0</v>
      </c>
      <c r="AS45" s="27" t="n">
        <f aca="false">IF(COUNT('Milho 2ª safra'!$E43:$Z43)=0,0,MAX(0,IF((AS$6-$E$3)&lt;1,0,IFERROR(LOOKUP(2,1/('Milho 2ª safra'!$E43:INDEX('Milho 2ª safra'!$E43:$Z43,MIN(AS$6-$E$3,22))&lt;&gt;""),'Milho 2ª safra'!$E43:INDEX('Milho 2ª safra'!$E43:$Z43,MIN(AS$6-$E$3,22))),0))-IF($G$2,0,IF((AS$6-$G$3)&lt;1,0,IFERROR(LOOKUP(2,1/('Milho 2ª safra'!$E43:INDEX('Milho 2ª safra'!$E43:$Z43,MIN(AS$6-$G$3,22))&lt;&gt;""),'Milho 2ª safra'!$E43:INDEX('Milho 2ª safra'!$E43:$Z43,MIN(AS$6-$G$3,22))),0)))))</f>
        <v>0</v>
      </c>
      <c r="AT45" s="27" t="n">
        <f aca="false">IF(COUNT('Milho 2ª safra'!$E43:$Z43)=0,0,MAX(0,IF((AT$6-$E$3)&lt;1,0,IFERROR(LOOKUP(2,1/('Milho 2ª safra'!$E43:INDEX('Milho 2ª safra'!$E43:$Z43,MIN(AT$6-$E$3,22))&lt;&gt;""),'Milho 2ª safra'!$E43:INDEX('Milho 2ª safra'!$E43:$Z43,MIN(AT$6-$E$3,22))),0))-IF($G$2,0,IF((AT$6-$G$3)&lt;1,0,IFERROR(LOOKUP(2,1/('Milho 2ª safra'!$E43:INDEX('Milho 2ª safra'!$E43:$Z43,MIN(AT$6-$G$3,22))&lt;&gt;""),'Milho 2ª safra'!$E43:INDEX('Milho 2ª safra'!$E43:$Z43,MIN(AT$6-$G$3,22))),0)))))</f>
        <v>0</v>
      </c>
      <c r="AU45" s="27" t="n">
        <f aca="false">IF(COUNT('Milho 2ª safra'!$E43:$Z43)=0,0,MAX(0,IF((AU$6-$E$3)&lt;1,0,IFERROR(LOOKUP(2,1/('Milho 2ª safra'!$E43:INDEX('Milho 2ª safra'!$E43:$Z43,MIN(AU$6-$E$3,22))&lt;&gt;""),'Milho 2ª safra'!$E43:INDEX('Milho 2ª safra'!$E43:$Z43,MIN(AU$6-$E$3,22))),0))-IF($G$2,0,IF((AU$6-$G$3)&lt;1,0,IFERROR(LOOKUP(2,1/('Milho 2ª safra'!$E43:INDEX('Milho 2ª safra'!$E43:$Z43,MIN(AU$6-$G$3,22))&lt;&gt;""),'Milho 2ª safra'!$E43:INDEX('Milho 2ª safra'!$E43:$Z43,MIN(AU$6-$G$3,22))),0)))))</f>
        <v>0</v>
      </c>
      <c r="AV45" s="27" t="n">
        <f aca="false">IF(COUNT('Milho 2ª safra'!$E43:$Z43)=0,0,MAX(0,IF((AV$6-$E$3)&lt;1,0,IFERROR(LOOKUP(2,1/('Milho 2ª safra'!$E43:INDEX('Milho 2ª safra'!$E43:$Z43,MIN(AV$6-$E$3,22))&lt;&gt;""),'Milho 2ª safra'!$E43:INDEX('Milho 2ª safra'!$E43:$Z43,MIN(AV$6-$E$3,22))),0))-IF($G$2,0,IF((AV$6-$G$3)&lt;1,0,IFERROR(LOOKUP(2,1/('Milho 2ª safra'!$E43:INDEX('Milho 2ª safra'!$E43:$Z43,MIN(AV$6-$G$3,22))&lt;&gt;""),'Milho 2ª safra'!$E43:INDEX('Milho 2ª safra'!$E43:$Z43,MIN(AV$6-$G$3,22))),0)))))</f>
        <v>0</v>
      </c>
      <c r="AW45" s="27" t="n">
        <f aca="false">IF(COUNT('Milho 2ª safra'!$E43:$Z43)=0,0,MAX(0,IF((AW$6-$E$3)&lt;1,0,IFERROR(LOOKUP(2,1/('Milho 2ª safra'!$E43:INDEX('Milho 2ª safra'!$E43:$Z43,MIN(AW$6-$E$3,22))&lt;&gt;""),'Milho 2ª safra'!$E43:INDEX('Milho 2ª safra'!$E43:$Z43,MIN(AW$6-$E$3,22))),0))-IF($G$2,0,IF((AW$6-$G$3)&lt;1,0,IFERROR(LOOKUP(2,1/('Milho 2ª safra'!$E43:INDEX('Milho 2ª safra'!$E43:$Z43,MIN(AW$6-$G$3,22))&lt;&gt;""),'Milho 2ª safra'!$E43:INDEX('Milho 2ª safra'!$E43:$Z43,MIN(AW$6-$G$3,22))),0)))))</f>
        <v>0</v>
      </c>
      <c r="AX45" s="27" t="n">
        <f aca="false">IF(COUNT('Milho 2ª safra'!$E43:$Z43)=0,0,MAX(0,IF((AX$6-$E$3)&lt;1,0,IFERROR(LOOKUP(2,1/('Milho 2ª safra'!$E43:INDEX('Milho 2ª safra'!$E43:$Z43,MIN(AX$6-$E$3,22))&lt;&gt;""),'Milho 2ª safra'!$E43:INDEX('Milho 2ª safra'!$E43:$Z43,MIN(AX$6-$E$3,22))),0))-IF($G$2,0,IF((AX$6-$G$3)&lt;1,0,IFERROR(LOOKUP(2,1/('Milho 2ª safra'!$E43:INDEX('Milho 2ª safra'!$E43:$Z43,MIN(AX$6-$G$3,22))&lt;&gt;""),'Milho 2ª safra'!$E43:INDEX('Milho 2ª safra'!$E43:$Z43,MIN(AX$6-$G$3,22))),0)))))</f>
        <v>0</v>
      </c>
      <c r="AY45" s="27" t="n">
        <f aca="false">IF(COUNT('Milho 2ª safra'!$E43:$Z43)=0,0,MAX(0,IF((AY$6-$E$3)&lt;1,0,IFERROR(LOOKUP(2,1/('Milho 2ª safra'!$E43:INDEX('Milho 2ª safra'!$E43:$Z43,MIN(AY$6-$E$3,22))&lt;&gt;""),'Milho 2ª safra'!$E43:INDEX('Milho 2ª safra'!$E43:$Z43,MIN(AY$6-$E$3,22))),0))-IF($G$2,0,IF((AY$6-$G$3)&lt;1,0,IFERROR(LOOKUP(2,1/('Milho 2ª safra'!$E43:INDEX('Milho 2ª safra'!$E43:$Z43,MIN(AY$6-$G$3,22))&lt;&gt;""),'Milho 2ª safra'!$E43:INDEX('Milho 2ª safra'!$E43:$Z43,MIN(AY$6-$G$3,22))),0)))))</f>
        <v>0</v>
      </c>
      <c r="AZ45" s="27" t="n">
        <f aca="false">IF(COUNT('Milho 2ª safra'!$E43:$Z43)=0,0,MAX(0,IF((AZ$6-$E$3)&lt;1,0,IFERROR(LOOKUP(2,1/('Milho 2ª safra'!$E43:INDEX('Milho 2ª safra'!$E43:$Z43,MIN(AZ$6-$E$3,22))&lt;&gt;""),'Milho 2ª safra'!$E43:INDEX('Milho 2ª safra'!$E43:$Z43,MIN(AZ$6-$E$3,22))),0))-IF($G$2,0,IF((AZ$6-$G$3)&lt;1,0,IFERROR(LOOKUP(2,1/('Milho 2ª safra'!$E43:INDEX('Milho 2ª safra'!$E43:$Z43,MIN(AZ$6-$G$3,22))&lt;&gt;""),'Milho 2ª safra'!$E43:INDEX('Milho 2ª safra'!$E43:$Z43,MIN(AZ$6-$G$3,22))),0)))))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IF(COUNT('Milho 2ª safra'!$E44:$Z44)&gt;0,N('Milho 2ª safra'!$D44),0)</f>
        <v>0</v>
      </c>
      <c r="E46" s="27" t="n">
        <f aca="false">IF(COUNT('Milho 2ª safra'!$E44:$Z44)=0,0,MAX(0,IF((E$6-$E$3)&lt;1,0,IFERROR(LOOKUP(2,1/('Milho 2ª safra'!$E44:INDEX('Milho 2ª safra'!$E44:$Z44,MIN(E$6-$E$3,22))&lt;&gt;""),'Milho 2ª safra'!$E44:INDEX('Milho 2ª safra'!$E44:$Z44,MIN(E$6-$E$3,22))),0))-IF($G$2,0,IF((E$6-$G$3)&lt;1,0,IFERROR(LOOKUP(2,1/('Milho 2ª safra'!$E44:INDEX('Milho 2ª safra'!$E44:$Z44,MIN(E$6-$G$3,22))&lt;&gt;""),'Milho 2ª safra'!$E44:INDEX('Milho 2ª safra'!$E44:$Z44,MIN(E$6-$G$3,22))),0)))))</f>
        <v>0</v>
      </c>
      <c r="F46" s="27" t="n">
        <f aca="false">IF(COUNT('Milho 2ª safra'!$E44:$Z44)=0,0,MAX(0,IF((F$6-$E$3)&lt;1,0,IFERROR(LOOKUP(2,1/('Milho 2ª safra'!$E44:INDEX('Milho 2ª safra'!$E44:$Z44,MIN(F$6-$E$3,22))&lt;&gt;""),'Milho 2ª safra'!$E44:INDEX('Milho 2ª safra'!$E44:$Z44,MIN(F$6-$E$3,22))),0))-IF($G$2,0,IF((F$6-$G$3)&lt;1,0,IFERROR(LOOKUP(2,1/('Milho 2ª safra'!$E44:INDEX('Milho 2ª safra'!$E44:$Z44,MIN(F$6-$G$3,22))&lt;&gt;""),'Milho 2ª safra'!$E44:INDEX('Milho 2ª safra'!$E44:$Z44,MIN(F$6-$G$3,22))),0)))))</f>
        <v>0</v>
      </c>
      <c r="G46" s="27" t="n">
        <f aca="false">IF(COUNT('Milho 2ª safra'!$E44:$Z44)=0,0,MAX(0,IF((G$6-$E$3)&lt;1,0,IFERROR(LOOKUP(2,1/('Milho 2ª safra'!$E44:INDEX('Milho 2ª safra'!$E44:$Z44,MIN(G$6-$E$3,22))&lt;&gt;""),'Milho 2ª safra'!$E44:INDEX('Milho 2ª safra'!$E44:$Z44,MIN(G$6-$E$3,22))),0))-IF($G$2,0,IF((G$6-$G$3)&lt;1,0,IFERROR(LOOKUP(2,1/('Milho 2ª safra'!$E44:INDEX('Milho 2ª safra'!$E44:$Z44,MIN(G$6-$G$3,22))&lt;&gt;""),'Milho 2ª safra'!$E44:INDEX('Milho 2ª safra'!$E44:$Z44,MIN(G$6-$G$3,22))),0)))))</f>
        <v>0</v>
      </c>
      <c r="H46" s="27" t="n">
        <f aca="false">IF(COUNT('Milho 2ª safra'!$E44:$Z44)=0,0,MAX(0,IF((H$6-$E$3)&lt;1,0,IFERROR(LOOKUP(2,1/('Milho 2ª safra'!$E44:INDEX('Milho 2ª safra'!$E44:$Z44,MIN(H$6-$E$3,22))&lt;&gt;""),'Milho 2ª safra'!$E44:INDEX('Milho 2ª safra'!$E44:$Z44,MIN(H$6-$E$3,22))),0))-IF($G$2,0,IF((H$6-$G$3)&lt;1,0,IFERROR(LOOKUP(2,1/('Milho 2ª safra'!$E44:INDEX('Milho 2ª safra'!$E44:$Z44,MIN(H$6-$G$3,22))&lt;&gt;""),'Milho 2ª safra'!$E44:INDEX('Milho 2ª safra'!$E44:$Z44,MIN(H$6-$G$3,22))),0)))))</f>
        <v>0</v>
      </c>
      <c r="I46" s="27" t="n">
        <f aca="false">IF(COUNT('Milho 2ª safra'!$E44:$Z44)=0,0,MAX(0,IF((I$6-$E$3)&lt;1,0,IFERROR(LOOKUP(2,1/('Milho 2ª safra'!$E44:INDEX('Milho 2ª safra'!$E44:$Z44,MIN(I$6-$E$3,22))&lt;&gt;""),'Milho 2ª safra'!$E44:INDEX('Milho 2ª safra'!$E44:$Z44,MIN(I$6-$E$3,22))),0))-IF($G$2,0,IF((I$6-$G$3)&lt;1,0,IFERROR(LOOKUP(2,1/('Milho 2ª safra'!$E44:INDEX('Milho 2ª safra'!$E44:$Z44,MIN(I$6-$G$3,22))&lt;&gt;""),'Milho 2ª safra'!$E44:INDEX('Milho 2ª safra'!$E44:$Z44,MIN(I$6-$G$3,22))),0)))))</f>
        <v>0</v>
      </c>
      <c r="J46" s="27" t="n">
        <f aca="false">IF(COUNT('Milho 2ª safra'!$E44:$Z44)=0,0,MAX(0,IF((J$6-$E$3)&lt;1,0,IFERROR(LOOKUP(2,1/('Milho 2ª safra'!$E44:INDEX('Milho 2ª safra'!$E44:$Z44,MIN(J$6-$E$3,22))&lt;&gt;""),'Milho 2ª safra'!$E44:INDEX('Milho 2ª safra'!$E44:$Z44,MIN(J$6-$E$3,22))),0))-IF($G$2,0,IF((J$6-$G$3)&lt;1,0,IFERROR(LOOKUP(2,1/('Milho 2ª safra'!$E44:INDEX('Milho 2ª safra'!$E44:$Z44,MIN(J$6-$G$3,22))&lt;&gt;""),'Milho 2ª safra'!$E44:INDEX('Milho 2ª safra'!$E44:$Z44,MIN(J$6-$G$3,22))),0)))))</f>
        <v>0</v>
      </c>
      <c r="K46" s="27" t="n">
        <f aca="false">IF(COUNT('Milho 2ª safra'!$E44:$Z44)=0,0,MAX(0,IF((K$6-$E$3)&lt;1,0,IFERROR(LOOKUP(2,1/('Milho 2ª safra'!$E44:INDEX('Milho 2ª safra'!$E44:$Z44,MIN(K$6-$E$3,22))&lt;&gt;""),'Milho 2ª safra'!$E44:INDEX('Milho 2ª safra'!$E44:$Z44,MIN(K$6-$E$3,22))),0))-IF($G$2,0,IF((K$6-$G$3)&lt;1,0,IFERROR(LOOKUP(2,1/('Milho 2ª safra'!$E44:INDEX('Milho 2ª safra'!$E44:$Z44,MIN(K$6-$G$3,22))&lt;&gt;""),'Milho 2ª safra'!$E44:INDEX('Milho 2ª safra'!$E44:$Z44,MIN(K$6-$G$3,22))),0)))))</f>
        <v>0</v>
      </c>
      <c r="L46" s="27" t="n">
        <f aca="false">IF(COUNT('Milho 2ª safra'!$E44:$Z44)=0,0,MAX(0,IF((L$6-$E$3)&lt;1,0,IFERROR(LOOKUP(2,1/('Milho 2ª safra'!$E44:INDEX('Milho 2ª safra'!$E44:$Z44,MIN(L$6-$E$3,22))&lt;&gt;""),'Milho 2ª safra'!$E44:INDEX('Milho 2ª safra'!$E44:$Z44,MIN(L$6-$E$3,22))),0))-IF($G$2,0,IF((L$6-$G$3)&lt;1,0,IFERROR(LOOKUP(2,1/('Milho 2ª safra'!$E44:INDEX('Milho 2ª safra'!$E44:$Z44,MIN(L$6-$G$3,22))&lt;&gt;""),'Milho 2ª safra'!$E44:INDEX('Milho 2ª safra'!$E44:$Z44,MIN(L$6-$G$3,22))),0)))))</f>
        <v>0</v>
      </c>
      <c r="M46" s="27" t="n">
        <f aca="false">IF(COUNT('Milho 2ª safra'!$E44:$Z44)=0,0,MAX(0,IF((M$6-$E$3)&lt;1,0,IFERROR(LOOKUP(2,1/('Milho 2ª safra'!$E44:INDEX('Milho 2ª safra'!$E44:$Z44,MIN(M$6-$E$3,22))&lt;&gt;""),'Milho 2ª safra'!$E44:INDEX('Milho 2ª safra'!$E44:$Z44,MIN(M$6-$E$3,22))),0))-IF($G$2,0,IF((M$6-$G$3)&lt;1,0,IFERROR(LOOKUP(2,1/('Milho 2ª safra'!$E44:INDEX('Milho 2ª safra'!$E44:$Z44,MIN(M$6-$G$3,22))&lt;&gt;""),'Milho 2ª safra'!$E44:INDEX('Milho 2ª safra'!$E44:$Z44,MIN(M$6-$G$3,22))),0)))))</f>
        <v>0</v>
      </c>
      <c r="N46" s="27" t="n">
        <f aca="false">IF(COUNT('Milho 2ª safra'!$E44:$Z44)=0,0,MAX(0,IF((N$6-$E$3)&lt;1,0,IFERROR(LOOKUP(2,1/('Milho 2ª safra'!$E44:INDEX('Milho 2ª safra'!$E44:$Z44,MIN(N$6-$E$3,22))&lt;&gt;""),'Milho 2ª safra'!$E44:INDEX('Milho 2ª safra'!$E44:$Z44,MIN(N$6-$E$3,22))),0))-IF($G$2,0,IF((N$6-$G$3)&lt;1,0,IFERROR(LOOKUP(2,1/('Milho 2ª safra'!$E44:INDEX('Milho 2ª safra'!$E44:$Z44,MIN(N$6-$G$3,22))&lt;&gt;""),'Milho 2ª safra'!$E44:INDEX('Milho 2ª safra'!$E44:$Z44,MIN(N$6-$G$3,22))),0)))))</f>
        <v>0</v>
      </c>
      <c r="O46" s="27" t="n">
        <f aca="false">IF(COUNT('Milho 2ª safra'!$E44:$Z44)=0,0,MAX(0,IF((O$6-$E$3)&lt;1,0,IFERROR(LOOKUP(2,1/('Milho 2ª safra'!$E44:INDEX('Milho 2ª safra'!$E44:$Z44,MIN(O$6-$E$3,22))&lt;&gt;""),'Milho 2ª safra'!$E44:INDEX('Milho 2ª safra'!$E44:$Z44,MIN(O$6-$E$3,22))),0))-IF($G$2,0,IF((O$6-$G$3)&lt;1,0,IFERROR(LOOKUP(2,1/('Milho 2ª safra'!$E44:INDEX('Milho 2ª safra'!$E44:$Z44,MIN(O$6-$G$3,22))&lt;&gt;""),'Milho 2ª safra'!$E44:INDEX('Milho 2ª safra'!$E44:$Z44,MIN(O$6-$G$3,22))),0)))))</f>
        <v>0</v>
      </c>
      <c r="P46" s="27" t="n">
        <f aca="false">IF(COUNT('Milho 2ª safra'!$E44:$Z44)=0,0,MAX(0,IF((P$6-$E$3)&lt;1,0,IFERROR(LOOKUP(2,1/('Milho 2ª safra'!$E44:INDEX('Milho 2ª safra'!$E44:$Z44,MIN(P$6-$E$3,22))&lt;&gt;""),'Milho 2ª safra'!$E44:INDEX('Milho 2ª safra'!$E44:$Z44,MIN(P$6-$E$3,22))),0))-IF($G$2,0,IF((P$6-$G$3)&lt;1,0,IFERROR(LOOKUP(2,1/('Milho 2ª safra'!$E44:INDEX('Milho 2ª safra'!$E44:$Z44,MIN(P$6-$G$3,22))&lt;&gt;""),'Milho 2ª safra'!$E44:INDEX('Milho 2ª safra'!$E44:$Z44,MIN(P$6-$G$3,22))),0)))))</f>
        <v>0</v>
      </c>
      <c r="Q46" s="27" t="n">
        <f aca="false">IF(COUNT('Milho 2ª safra'!$E44:$Z44)=0,0,MAX(0,IF((Q$6-$E$3)&lt;1,0,IFERROR(LOOKUP(2,1/('Milho 2ª safra'!$E44:INDEX('Milho 2ª safra'!$E44:$Z44,MIN(Q$6-$E$3,22))&lt;&gt;""),'Milho 2ª safra'!$E44:INDEX('Milho 2ª safra'!$E44:$Z44,MIN(Q$6-$E$3,22))),0))-IF($G$2,0,IF((Q$6-$G$3)&lt;1,0,IFERROR(LOOKUP(2,1/('Milho 2ª safra'!$E44:INDEX('Milho 2ª safra'!$E44:$Z44,MIN(Q$6-$G$3,22))&lt;&gt;""),'Milho 2ª safra'!$E44:INDEX('Milho 2ª safra'!$E44:$Z44,MIN(Q$6-$G$3,22))),0)))))</f>
        <v>0</v>
      </c>
      <c r="R46" s="27" t="n">
        <f aca="false">IF(COUNT('Milho 2ª safra'!$E44:$Z44)=0,0,MAX(0,IF((R$6-$E$3)&lt;1,0,IFERROR(LOOKUP(2,1/('Milho 2ª safra'!$E44:INDEX('Milho 2ª safra'!$E44:$Z44,MIN(R$6-$E$3,22))&lt;&gt;""),'Milho 2ª safra'!$E44:INDEX('Milho 2ª safra'!$E44:$Z44,MIN(R$6-$E$3,22))),0))-IF($G$2,0,IF((R$6-$G$3)&lt;1,0,IFERROR(LOOKUP(2,1/('Milho 2ª safra'!$E44:INDEX('Milho 2ª safra'!$E44:$Z44,MIN(R$6-$G$3,22))&lt;&gt;""),'Milho 2ª safra'!$E44:INDEX('Milho 2ª safra'!$E44:$Z44,MIN(R$6-$G$3,22))),0)))))</f>
        <v>0</v>
      </c>
      <c r="S46" s="27" t="n">
        <f aca="false">IF(COUNT('Milho 2ª safra'!$E44:$Z44)=0,0,MAX(0,IF((S$6-$E$3)&lt;1,0,IFERROR(LOOKUP(2,1/('Milho 2ª safra'!$E44:INDEX('Milho 2ª safra'!$E44:$Z44,MIN(S$6-$E$3,22))&lt;&gt;""),'Milho 2ª safra'!$E44:INDEX('Milho 2ª safra'!$E44:$Z44,MIN(S$6-$E$3,22))),0))-IF($G$2,0,IF((S$6-$G$3)&lt;1,0,IFERROR(LOOKUP(2,1/('Milho 2ª safra'!$E44:INDEX('Milho 2ª safra'!$E44:$Z44,MIN(S$6-$G$3,22))&lt;&gt;""),'Milho 2ª safra'!$E44:INDEX('Milho 2ª safra'!$E44:$Z44,MIN(S$6-$G$3,22))),0)))))</f>
        <v>0</v>
      </c>
      <c r="T46" s="27" t="n">
        <f aca="false">IF(COUNT('Milho 2ª safra'!$E44:$Z44)=0,0,MAX(0,IF((T$6-$E$3)&lt;1,0,IFERROR(LOOKUP(2,1/('Milho 2ª safra'!$E44:INDEX('Milho 2ª safra'!$E44:$Z44,MIN(T$6-$E$3,22))&lt;&gt;""),'Milho 2ª safra'!$E44:INDEX('Milho 2ª safra'!$E44:$Z44,MIN(T$6-$E$3,22))),0))-IF($G$2,0,IF((T$6-$G$3)&lt;1,0,IFERROR(LOOKUP(2,1/('Milho 2ª safra'!$E44:INDEX('Milho 2ª safra'!$E44:$Z44,MIN(T$6-$G$3,22))&lt;&gt;""),'Milho 2ª safra'!$E44:INDEX('Milho 2ª safra'!$E44:$Z44,MIN(T$6-$G$3,22))),0)))))</f>
        <v>0</v>
      </c>
      <c r="U46" s="27" t="n">
        <f aca="false">IF(COUNT('Milho 2ª safra'!$E44:$Z44)=0,0,MAX(0,IF((U$6-$E$3)&lt;1,0,IFERROR(LOOKUP(2,1/('Milho 2ª safra'!$E44:INDEX('Milho 2ª safra'!$E44:$Z44,MIN(U$6-$E$3,22))&lt;&gt;""),'Milho 2ª safra'!$E44:INDEX('Milho 2ª safra'!$E44:$Z44,MIN(U$6-$E$3,22))),0))-IF($G$2,0,IF((U$6-$G$3)&lt;1,0,IFERROR(LOOKUP(2,1/('Milho 2ª safra'!$E44:INDEX('Milho 2ª safra'!$E44:$Z44,MIN(U$6-$G$3,22))&lt;&gt;""),'Milho 2ª safra'!$E44:INDEX('Milho 2ª safra'!$E44:$Z44,MIN(U$6-$G$3,22))),0)))))</f>
        <v>0</v>
      </c>
      <c r="V46" s="27" t="n">
        <f aca="false">IF(COUNT('Milho 2ª safra'!$E44:$Z44)=0,0,MAX(0,IF((V$6-$E$3)&lt;1,0,IFERROR(LOOKUP(2,1/('Milho 2ª safra'!$E44:INDEX('Milho 2ª safra'!$E44:$Z44,MIN(V$6-$E$3,22))&lt;&gt;""),'Milho 2ª safra'!$E44:INDEX('Milho 2ª safra'!$E44:$Z44,MIN(V$6-$E$3,22))),0))-IF($G$2,0,IF((V$6-$G$3)&lt;1,0,IFERROR(LOOKUP(2,1/('Milho 2ª safra'!$E44:INDEX('Milho 2ª safra'!$E44:$Z44,MIN(V$6-$G$3,22))&lt;&gt;""),'Milho 2ª safra'!$E44:INDEX('Milho 2ª safra'!$E44:$Z44,MIN(V$6-$G$3,22))),0)))))</f>
        <v>0</v>
      </c>
      <c r="W46" s="27" t="n">
        <f aca="false">IF(COUNT('Milho 2ª safra'!$E44:$Z44)=0,0,MAX(0,IF((W$6-$E$3)&lt;1,0,IFERROR(LOOKUP(2,1/('Milho 2ª safra'!$E44:INDEX('Milho 2ª safra'!$E44:$Z44,MIN(W$6-$E$3,22))&lt;&gt;""),'Milho 2ª safra'!$E44:INDEX('Milho 2ª safra'!$E44:$Z44,MIN(W$6-$E$3,22))),0))-IF($G$2,0,IF((W$6-$G$3)&lt;1,0,IFERROR(LOOKUP(2,1/('Milho 2ª safra'!$E44:INDEX('Milho 2ª safra'!$E44:$Z44,MIN(W$6-$G$3,22))&lt;&gt;""),'Milho 2ª safra'!$E44:INDEX('Milho 2ª safra'!$E44:$Z44,MIN(W$6-$G$3,22))),0)))))</f>
        <v>0</v>
      </c>
      <c r="X46" s="27" t="n">
        <f aca="false">IF(COUNT('Milho 2ª safra'!$E44:$Z44)=0,0,MAX(0,IF((X$6-$E$3)&lt;1,0,IFERROR(LOOKUP(2,1/('Milho 2ª safra'!$E44:INDEX('Milho 2ª safra'!$E44:$Z44,MIN(X$6-$E$3,22))&lt;&gt;""),'Milho 2ª safra'!$E44:INDEX('Milho 2ª safra'!$E44:$Z44,MIN(X$6-$E$3,22))),0))-IF($G$2,0,IF((X$6-$G$3)&lt;1,0,IFERROR(LOOKUP(2,1/('Milho 2ª safra'!$E44:INDEX('Milho 2ª safra'!$E44:$Z44,MIN(X$6-$G$3,22))&lt;&gt;""),'Milho 2ª safra'!$E44:INDEX('Milho 2ª safra'!$E44:$Z44,MIN(X$6-$G$3,22))),0)))))</f>
        <v>0</v>
      </c>
      <c r="Y46" s="27" t="n">
        <f aca="false">IF(COUNT('Milho 2ª safra'!$E44:$Z44)=0,0,MAX(0,IF((Y$6-$E$3)&lt;1,0,IFERROR(LOOKUP(2,1/('Milho 2ª safra'!$E44:INDEX('Milho 2ª safra'!$E44:$Z44,MIN(Y$6-$E$3,22))&lt;&gt;""),'Milho 2ª safra'!$E44:INDEX('Milho 2ª safra'!$E44:$Z44,MIN(Y$6-$E$3,22))),0))-IF($G$2,0,IF((Y$6-$G$3)&lt;1,0,IFERROR(LOOKUP(2,1/('Milho 2ª safra'!$E44:INDEX('Milho 2ª safra'!$E44:$Z44,MIN(Y$6-$G$3,22))&lt;&gt;""),'Milho 2ª safra'!$E44:INDEX('Milho 2ª safra'!$E44:$Z44,MIN(Y$6-$G$3,22))),0)))))</f>
        <v>0</v>
      </c>
      <c r="Z46" s="27" t="n">
        <f aca="false">IF(COUNT('Milho 2ª safra'!$E44:$Z44)=0,0,MAX(0,IF((Z$6-$E$3)&lt;1,0,IFERROR(LOOKUP(2,1/('Milho 2ª safra'!$E44:INDEX('Milho 2ª safra'!$E44:$Z44,MIN(Z$6-$E$3,22))&lt;&gt;""),'Milho 2ª safra'!$E44:INDEX('Milho 2ª safra'!$E44:$Z44,MIN(Z$6-$E$3,22))),0))-IF($G$2,0,IF((Z$6-$G$3)&lt;1,0,IFERROR(LOOKUP(2,1/('Milho 2ª safra'!$E44:INDEX('Milho 2ª safra'!$E44:$Z44,MIN(Z$6-$G$3,22))&lt;&gt;""),'Milho 2ª safra'!$E44:INDEX('Milho 2ª safra'!$E44:$Z44,MIN(Z$6-$G$3,22))),0)))))</f>
        <v>0</v>
      </c>
      <c r="AA46" s="27" t="n">
        <f aca="false">IF(COUNT('Milho 2ª safra'!$E44:$Z44)=0,0,MAX(0,IF((AA$6-$E$3)&lt;1,0,IFERROR(LOOKUP(2,1/('Milho 2ª safra'!$E44:INDEX('Milho 2ª safra'!$E44:$Z44,MIN(AA$6-$E$3,22))&lt;&gt;""),'Milho 2ª safra'!$E44:INDEX('Milho 2ª safra'!$E44:$Z44,MIN(AA$6-$E$3,22))),0))-IF($G$2,0,IF((AA$6-$G$3)&lt;1,0,IFERROR(LOOKUP(2,1/('Milho 2ª safra'!$E44:INDEX('Milho 2ª safra'!$E44:$Z44,MIN(AA$6-$G$3,22))&lt;&gt;""),'Milho 2ª safra'!$E44:INDEX('Milho 2ª safra'!$E44:$Z44,MIN(AA$6-$G$3,22))),0)))))</f>
        <v>0</v>
      </c>
      <c r="AB46" s="27" t="n">
        <f aca="false">IF(COUNT('Milho 2ª safra'!$E44:$Z44)=0,0,MAX(0,IF((AB$6-$E$3)&lt;1,0,IFERROR(LOOKUP(2,1/('Milho 2ª safra'!$E44:INDEX('Milho 2ª safra'!$E44:$Z44,MIN(AB$6-$E$3,22))&lt;&gt;""),'Milho 2ª safra'!$E44:INDEX('Milho 2ª safra'!$E44:$Z44,MIN(AB$6-$E$3,22))),0))-IF($G$2,0,IF((AB$6-$G$3)&lt;1,0,IFERROR(LOOKUP(2,1/('Milho 2ª safra'!$E44:INDEX('Milho 2ª safra'!$E44:$Z44,MIN(AB$6-$G$3,22))&lt;&gt;""),'Milho 2ª safra'!$E44:INDEX('Milho 2ª safra'!$E44:$Z44,MIN(AB$6-$G$3,22))),0)))))</f>
        <v>0</v>
      </c>
      <c r="AC46" s="27" t="n">
        <f aca="false">IF(COUNT('Milho 2ª safra'!$E44:$Z44)=0,0,MAX(0,IF((AC$6-$E$3)&lt;1,0,IFERROR(LOOKUP(2,1/('Milho 2ª safra'!$E44:INDEX('Milho 2ª safra'!$E44:$Z44,MIN(AC$6-$E$3,22))&lt;&gt;""),'Milho 2ª safra'!$E44:INDEX('Milho 2ª safra'!$E44:$Z44,MIN(AC$6-$E$3,22))),0))-IF($G$2,0,IF((AC$6-$G$3)&lt;1,0,IFERROR(LOOKUP(2,1/('Milho 2ª safra'!$E44:INDEX('Milho 2ª safra'!$E44:$Z44,MIN(AC$6-$G$3,22))&lt;&gt;""),'Milho 2ª safra'!$E44:INDEX('Milho 2ª safra'!$E44:$Z44,MIN(AC$6-$G$3,22))),0)))))</f>
        <v>0</v>
      </c>
      <c r="AD46" s="27" t="n">
        <f aca="false">IF(COUNT('Milho 2ª safra'!$E44:$Z44)=0,0,MAX(0,IF((AD$6-$E$3)&lt;1,0,IFERROR(LOOKUP(2,1/('Milho 2ª safra'!$E44:INDEX('Milho 2ª safra'!$E44:$Z44,MIN(AD$6-$E$3,22))&lt;&gt;""),'Milho 2ª safra'!$E44:INDEX('Milho 2ª safra'!$E44:$Z44,MIN(AD$6-$E$3,22))),0))-IF($G$2,0,IF((AD$6-$G$3)&lt;1,0,IFERROR(LOOKUP(2,1/('Milho 2ª safra'!$E44:INDEX('Milho 2ª safra'!$E44:$Z44,MIN(AD$6-$G$3,22))&lt;&gt;""),'Milho 2ª safra'!$E44:INDEX('Milho 2ª safra'!$E44:$Z44,MIN(AD$6-$G$3,22))),0)))))</f>
        <v>0</v>
      </c>
      <c r="AE46" s="27" t="n">
        <f aca="false">IF(COUNT('Milho 2ª safra'!$E44:$Z44)=0,0,MAX(0,IF((AE$6-$E$3)&lt;1,0,IFERROR(LOOKUP(2,1/('Milho 2ª safra'!$E44:INDEX('Milho 2ª safra'!$E44:$Z44,MIN(AE$6-$E$3,22))&lt;&gt;""),'Milho 2ª safra'!$E44:INDEX('Milho 2ª safra'!$E44:$Z44,MIN(AE$6-$E$3,22))),0))-IF($G$2,0,IF((AE$6-$G$3)&lt;1,0,IFERROR(LOOKUP(2,1/('Milho 2ª safra'!$E44:INDEX('Milho 2ª safra'!$E44:$Z44,MIN(AE$6-$G$3,22))&lt;&gt;""),'Milho 2ª safra'!$E44:INDEX('Milho 2ª safra'!$E44:$Z44,MIN(AE$6-$G$3,22))),0)))))</f>
        <v>0</v>
      </c>
      <c r="AF46" s="27" t="n">
        <f aca="false">IF(COUNT('Milho 2ª safra'!$E44:$Z44)=0,0,MAX(0,IF((AF$6-$E$3)&lt;1,0,IFERROR(LOOKUP(2,1/('Milho 2ª safra'!$E44:INDEX('Milho 2ª safra'!$E44:$Z44,MIN(AF$6-$E$3,22))&lt;&gt;""),'Milho 2ª safra'!$E44:INDEX('Milho 2ª safra'!$E44:$Z44,MIN(AF$6-$E$3,22))),0))-IF($G$2,0,IF((AF$6-$G$3)&lt;1,0,IFERROR(LOOKUP(2,1/('Milho 2ª safra'!$E44:INDEX('Milho 2ª safra'!$E44:$Z44,MIN(AF$6-$G$3,22))&lt;&gt;""),'Milho 2ª safra'!$E44:INDEX('Milho 2ª safra'!$E44:$Z44,MIN(AF$6-$G$3,22))),0)))))</f>
        <v>0</v>
      </c>
      <c r="AG46" s="27" t="n">
        <f aca="false">IF(COUNT('Milho 2ª safra'!$E44:$Z44)=0,0,MAX(0,IF((AG$6-$E$3)&lt;1,0,IFERROR(LOOKUP(2,1/('Milho 2ª safra'!$E44:INDEX('Milho 2ª safra'!$E44:$Z44,MIN(AG$6-$E$3,22))&lt;&gt;""),'Milho 2ª safra'!$E44:INDEX('Milho 2ª safra'!$E44:$Z44,MIN(AG$6-$E$3,22))),0))-IF($G$2,0,IF((AG$6-$G$3)&lt;1,0,IFERROR(LOOKUP(2,1/('Milho 2ª safra'!$E44:INDEX('Milho 2ª safra'!$E44:$Z44,MIN(AG$6-$G$3,22))&lt;&gt;""),'Milho 2ª safra'!$E44:INDEX('Milho 2ª safra'!$E44:$Z44,MIN(AG$6-$G$3,22))),0)))))</f>
        <v>0</v>
      </c>
      <c r="AH46" s="27" t="n">
        <f aca="false">IF(COUNT('Milho 2ª safra'!$E44:$Z44)=0,0,MAX(0,IF((AH$6-$E$3)&lt;1,0,IFERROR(LOOKUP(2,1/('Milho 2ª safra'!$E44:INDEX('Milho 2ª safra'!$E44:$Z44,MIN(AH$6-$E$3,22))&lt;&gt;""),'Milho 2ª safra'!$E44:INDEX('Milho 2ª safra'!$E44:$Z44,MIN(AH$6-$E$3,22))),0))-IF($G$2,0,IF((AH$6-$G$3)&lt;1,0,IFERROR(LOOKUP(2,1/('Milho 2ª safra'!$E44:INDEX('Milho 2ª safra'!$E44:$Z44,MIN(AH$6-$G$3,22))&lt;&gt;""),'Milho 2ª safra'!$E44:INDEX('Milho 2ª safra'!$E44:$Z44,MIN(AH$6-$G$3,22))),0)))))</f>
        <v>0</v>
      </c>
      <c r="AI46" s="27" t="n">
        <f aca="false">IF(COUNT('Milho 2ª safra'!$E44:$Z44)=0,0,MAX(0,IF((AI$6-$E$3)&lt;1,0,IFERROR(LOOKUP(2,1/('Milho 2ª safra'!$E44:INDEX('Milho 2ª safra'!$E44:$Z44,MIN(AI$6-$E$3,22))&lt;&gt;""),'Milho 2ª safra'!$E44:INDEX('Milho 2ª safra'!$E44:$Z44,MIN(AI$6-$E$3,22))),0))-IF($G$2,0,IF((AI$6-$G$3)&lt;1,0,IFERROR(LOOKUP(2,1/('Milho 2ª safra'!$E44:INDEX('Milho 2ª safra'!$E44:$Z44,MIN(AI$6-$G$3,22))&lt;&gt;""),'Milho 2ª safra'!$E44:INDEX('Milho 2ª safra'!$E44:$Z44,MIN(AI$6-$G$3,22))),0)))))</f>
        <v>0</v>
      </c>
      <c r="AJ46" s="27" t="n">
        <f aca="false">IF(COUNT('Milho 2ª safra'!$E44:$Z44)=0,0,MAX(0,IF((AJ$6-$E$3)&lt;1,0,IFERROR(LOOKUP(2,1/('Milho 2ª safra'!$E44:INDEX('Milho 2ª safra'!$E44:$Z44,MIN(AJ$6-$E$3,22))&lt;&gt;""),'Milho 2ª safra'!$E44:INDEX('Milho 2ª safra'!$E44:$Z44,MIN(AJ$6-$E$3,22))),0))-IF($G$2,0,IF((AJ$6-$G$3)&lt;1,0,IFERROR(LOOKUP(2,1/('Milho 2ª safra'!$E44:INDEX('Milho 2ª safra'!$E44:$Z44,MIN(AJ$6-$G$3,22))&lt;&gt;""),'Milho 2ª safra'!$E44:INDEX('Milho 2ª safra'!$E44:$Z44,MIN(AJ$6-$G$3,22))),0)))))</f>
        <v>0</v>
      </c>
      <c r="AK46" s="27" t="n">
        <f aca="false">IF(COUNT('Milho 2ª safra'!$E44:$Z44)=0,0,MAX(0,IF((AK$6-$E$3)&lt;1,0,IFERROR(LOOKUP(2,1/('Milho 2ª safra'!$E44:INDEX('Milho 2ª safra'!$E44:$Z44,MIN(AK$6-$E$3,22))&lt;&gt;""),'Milho 2ª safra'!$E44:INDEX('Milho 2ª safra'!$E44:$Z44,MIN(AK$6-$E$3,22))),0))-IF($G$2,0,IF((AK$6-$G$3)&lt;1,0,IFERROR(LOOKUP(2,1/('Milho 2ª safra'!$E44:INDEX('Milho 2ª safra'!$E44:$Z44,MIN(AK$6-$G$3,22))&lt;&gt;""),'Milho 2ª safra'!$E44:INDEX('Milho 2ª safra'!$E44:$Z44,MIN(AK$6-$G$3,22))),0)))))</f>
        <v>0</v>
      </c>
      <c r="AL46" s="27" t="n">
        <f aca="false">IF(COUNT('Milho 2ª safra'!$E44:$Z44)=0,0,MAX(0,IF((AL$6-$E$3)&lt;1,0,IFERROR(LOOKUP(2,1/('Milho 2ª safra'!$E44:INDEX('Milho 2ª safra'!$E44:$Z44,MIN(AL$6-$E$3,22))&lt;&gt;""),'Milho 2ª safra'!$E44:INDEX('Milho 2ª safra'!$E44:$Z44,MIN(AL$6-$E$3,22))),0))-IF($G$2,0,IF((AL$6-$G$3)&lt;1,0,IFERROR(LOOKUP(2,1/('Milho 2ª safra'!$E44:INDEX('Milho 2ª safra'!$E44:$Z44,MIN(AL$6-$G$3,22))&lt;&gt;""),'Milho 2ª safra'!$E44:INDEX('Milho 2ª safra'!$E44:$Z44,MIN(AL$6-$G$3,22))),0)))))</f>
        <v>0</v>
      </c>
      <c r="AM46" s="27" t="n">
        <f aca="false">IF(COUNT('Milho 2ª safra'!$E44:$Z44)=0,0,MAX(0,IF((AM$6-$E$3)&lt;1,0,IFERROR(LOOKUP(2,1/('Milho 2ª safra'!$E44:INDEX('Milho 2ª safra'!$E44:$Z44,MIN(AM$6-$E$3,22))&lt;&gt;""),'Milho 2ª safra'!$E44:INDEX('Milho 2ª safra'!$E44:$Z44,MIN(AM$6-$E$3,22))),0))-IF($G$2,0,IF((AM$6-$G$3)&lt;1,0,IFERROR(LOOKUP(2,1/('Milho 2ª safra'!$E44:INDEX('Milho 2ª safra'!$E44:$Z44,MIN(AM$6-$G$3,22))&lt;&gt;""),'Milho 2ª safra'!$E44:INDEX('Milho 2ª safra'!$E44:$Z44,MIN(AM$6-$G$3,22))),0)))))</f>
        <v>0</v>
      </c>
      <c r="AN46" s="27" t="n">
        <f aca="false">IF(COUNT('Milho 2ª safra'!$E44:$Z44)=0,0,MAX(0,IF((AN$6-$E$3)&lt;1,0,IFERROR(LOOKUP(2,1/('Milho 2ª safra'!$E44:INDEX('Milho 2ª safra'!$E44:$Z44,MIN(AN$6-$E$3,22))&lt;&gt;""),'Milho 2ª safra'!$E44:INDEX('Milho 2ª safra'!$E44:$Z44,MIN(AN$6-$E$3,22))),0))-IF($G$2,0,IF((AN$6-$G$3)&lt;1,0,IFERROR(LOOKUP(2,1/('Milho 2ª safra'!$E44:INDEX('Milho 2ª safra'!$E44:$Z44,MIN(AN$6-$G$3,22))&lt;&gt;""),'Milho 2ª safra'!$E44:INDEX('Milho 2ª safra'!$E44:$Z44,MIN(AN$6-$G$3,22))),0)))))</f>
        <v>0</v>
      </c>
      <c r="AO46" s="27" t="n">
        <f aca="false">IF(COUNT('Milho 2ª safra'!$E44:$Z44)=0,0,MAX(0,IF((AO$6-$E$3)&lt;1,0,IFERROR(LOOKUP(2,1/('Milho 2ª safra'!$E44:INDEX('Milho 2ª safra'!$E44:$Z44,MIN(AO$6-$E$3,22))&lt;&gt;""),'Milho 2ª safra'!$E44:INDEX('Milho 2ª safra'!$E44:$Z44,MIN(AO$6-$E$3,22))),0))-IF($G$2,0,IF((AO$6-$G$3)&lt;1,0,IFERROR(LOOKUP(2,1/('Milho 2ª safra'!$E44:INDEX('Milho 2ª safra'!$E44:$Z44,MIN(AO$6-$G$3,22))&lt;&gt;""),'Milho 2ª safra'!$E44:INDEX('Milho 2ª safra'!$E44:$Z44,MIN(AO$6-$G$3,22))),0)))))</f>
        <v>0</v>
      </c>
      <c r="AP46" s="27" t="n">
        <f aca="false">IF(COUNT('Milho 2ª safra'!$E44:$Z44)=0,0,MAX(0,IF((AP$6-$E$3)&lt;1,0,IFERROR(LOOKUP(2,1/('Milho 2ª safra'!$E44:INDEX('Milho 2ª safra'!$E44:$Z44,MIN(AP$6-$E$3,22))&lt;&gt;""),'Milho 2ª safra'!$E44:INDEX('Milho 2ª safra'!$E44:$Z44,MIN(AP$6-$E$3,22))),0))-IF($G$2,0,IF((AP$6-$G$3)&lt;1,0,IFERROR(LOOKUP(2,1/('Milho 2ª safra'!$E44:INDEX('Milho 2ª safra'!$E44:$Z44,MIN(AP$6-$G$3,22))&lt;&gt;""),'Milho 2ª safra'!$E44:INDEX('Milho 2ª safra'!$E44:$Z44,MIN(AP$6-$G$3,22))),0)))))</f>
        <v>0</v>
      </c>
      <c r="AQ46" s="27" t="n">
        <f aca="false">IF(COUNT('Milho 2ª safra'!$E44:$Z44)=0,0,MAX(0,IF((AQ$6-$E$3)&lt;1,0,IFERROR(LOOKUP(2,1/('Milho 2ª safra'!$E44:INDEX('Milho 2ª safra'!$E44:$Z44,MIN(AQ$6-$E$3,22))&lt;&gt;""),'Milho 2ª safra'!$E44:INDEX('Milho 2ª safra'!$E44:$Z44,MIN(AQ$6-$E$3,22))),0))-IF($G$2,0,IF((AQ$6-$G$3)&lt;1,0,IFERROR(LOOKUP(2,1/('Milho 2ª safra'!$E44:INDEX('Milho 2ª safra'!$E44:$Z44,MIN(AQ$6-$G$3,22))&lt;&gt;""),'Milho 2ª safra'!$E44:INDEX('Milho 2ª safra'!$E44:$Z44,MIN(AQ$6-$G$3,22))),0)))))</f>
        <v>0</v>
      </c>
      <c r="AR46" s="27" t="n">
        <f aca="false">IF(COUNT('Milho 2ª safra'!$E44:$Z44)=0,0,MAX(0,IF((AR$6-$E$3)&lt;1,0,IFERROR(LOOKUP(2,1/('Milho 2ª safra'!$E44:INDEX('Milho 2ª safra'!$E44:$Z44,MIN(AR$6-$E$3,22))&lt;&gt;""),'Milho 2ª safra'!$E44:INDEX('Milho 2ª safra'!$E44:$Z44,MIN(AR$6-$E$3,22))),0))-IF($G$2,0,IF((AR$6-$G$3)&lt;1,0,IFERROR(LOOKUP(2,1/('Milho 2ª safra'!$E44:INDEX('Milho 2ª safra'!$E44:$Z44,MIN(AR$6-$G$3,22))&lt;&gt;""),'Milho 2ª safra'!$E44:INDEX('Milho 2ª safra'!$E44:$Z44,MIN(AR$6-$G$3,22))),0)))))</f>
        <v>0</v>
      </c>
      <c r="AS46" s="27" t="n">
        <f aca="false">IF(COUNT('Milho 2ª safra'!$E44:$Z44)=0,0,MAX(0,IF((AS$6-$E$3)&lt;1,0,IFERROR(LOOKUP(2,1/('Milho 2ª safra'!$E44:INDEX('Milho 2ª safra'!$E44:$Z44,MIN(AS$6-$E$3,22))&lt;&gt;""),'Milho 2ª safra'!$E44:INDEX('Milho 2ª safra'!$E44:$Z44,MIN(AS$6-$E$3,22))),0))-IF($G$2,0,IF((AS$6-$G$3)&lt;1,0,IFERROR(LOOKUP(2,1/('Milho 2ª safra'!$E44:INDEX('Milho 2ª safra'!$E44:$Z44,MIN(AS$6-$G$3,22))&lt;&gt;""),'Milho 2ª safra'!$E44:INDEX('Milho 2ª safra'!$E44:$Z44,MIN(AS$6-$G$3,22))),0)))))</f>
        <v>0</v>
      </c>
      <c r="AT46" s="27" t="n">
        <f aca="false">IF(COUNT('Milho 2ª safra'!$E44:$Z44)=0,0,MAX(0,IF((AT$6-$E$3)&lt;1,0,IFERROR(LOOKUP(2,1/('Milho 2ª safra'!$E44:INDEX('Milho 2ª safra'!$E44:$Z44,MIN(AT$6-$E$3,22))&lt;&gt;""),'Milho 2ª safra'!$E44:INDEX('Milho 2ª safra'!$E44:$Z44,MIN(AT$6-$E$3,22))),0))-IF($G$2,0,IF((AT$6-$G$3)&lt;1,0,IFERROR(LOOKUP(2,1/('Milho 2ª safra'!$E44:INDEX('Milho 2ª safra'!$E44:$Z44,MIN(AT$6-$G$3,22))&lt;&gt;""),'Milho 2ª safra'!$E44:INDEX('Milho 2ª safra'!$E44:$Z44,MIN(AT$6-$G$3,22))),0)))))</f>
        <v>0</v>
      </c>
      <c r="AU46" s="27" t="n">
        <f aca="false">IF(COUNT('Milho 2ª safra'!$E44:$Z44)=0,0,MAX(0,IF((AU$6-$E$3)&lt;1,0,IFERROR(LOOKUP(2,1/('Milho 2ª safra'!$E44:INDEX('Milho 2ª safra'!$E44:$Z44,MIN(AU$6-$E$3,22))&lt;&gt;""),'Milho 2ª safra'!$E44:INDEX('Milho 2ª safra'!$E44:$Z44,MIN(AU$6-$E$3,22))),0))-IF($G$2,0,IF((AU$6-$G$3)&lt;1,0,IFERROR(LOOKUP(2,1/('Milho 2ª safra'!$E44:INDEX('Milho 2ª safra'!$E44:$Z44,MIN(AU$6-$G$3,22))&lt;&gt;""),'Milho 2ª safra'!$E44:INDEX('Milho 2ª safra'!$E44:$Z44,MIN(AU$6-$G$3,22))),0)))))</f>
        <v>0</v>
      </c>
      <c r="AV46" s="27" t="n">
        <f aca="false">IF(COUNT('Milho 2ª safra'!$E44:$Z44)=0,0,MAX(0,IF((AV$6-$E$3)&lt;1,0,IFERROR(LOOKUP(2,1/('Milho 2ª safra'!$E44:INDEX('Milho 2ª safra'!$E44:$Z44,MIN(AV$6-$E$3,22))&lt;&gt;""),'Milho 2ª safra'!$E44:INDEX('Milho 2ª safra'!$E44:$Z44,MIN(AV$6-$E$3,22))),0))-IF($G$2,0,IF((AV$6-$G$3)&lt;1,0,IFERROR(LOOKUP(2,1/('Milho 2ª safra'!$E44:INDEX('Milho 2ª safra'!$E44:$Z44,MIN(AV$6-$G$3,22))&lt;&gt;""),'Milho 2ª safra'!$E44:INDEX('Milho 2ª safra'!$E44:$Z44,MIN(AV$6-$G$3,22))),0)))))</f>
        <v>0</v>
      </c>
      <c r="AW46" s="27" t="n">
        <f aca="false">IF(COUNT('Milho 2ª safra'!$E44:$Z44)=0,0,MAX(0,IF((AW$6-$E$3)&lt;1,0,IFERROR(LOOKUP(2,1/('Milho 2ª safra'!$E44:INDEX('Milho 2ª safra'!$E44:$Z44,MIN(AW$6-$E$3,22))&lt;&gt;""),'Milho 2ª safra'!$E44:INDEX('Milho 2ª safra'!$E44:$Z44,MIN(AW$6-$E$3,22))),0))-IF($G$2,0,IF((AW$6-$G$3)&lt;1,0,IFERROR(LOOKUP(2,1/('Milho 2ª safra'!$E44:INDEX('Milho 2ª safra'!$E44:$Z44,MIN(AW$6-$G$3,22))&lt;&gt;""),'Milho 2ª safra'!$E44:INDEX('Milho 2ª safra'!$E44:$Z44,MIN(AW$6-$G$3,22))),0)))))</f>
        <v>0</v>
      </c>
      <c r="AX46" s="27" t="n">
        <f aca="false">IF(COUNT('Milho 2ª safra'!$E44:$Z44)=0,0,MAX(0,IF((AX$6-$E$3)&lt;1,0,IFERROR(LOOKUP(2,1/('Milho 2ª safra'!$E44:INDEX('Milho 2ª safra'!$E44:$Z44,MIN(AX$6-$E$3,22))&lt;&gt;""),'Milho 2ª safra'!$E44:INDEX('Milho 2ª safra'!$E44:$Z44,MIN(AX$6-$E$3,22))),0))-IF($G$2,0,IF((AX$6-$G$3)&lt;1,0,IFERROR(LOOKUP(2,1/('Milho 2ª safra'!$E44:INDEX('Milho 2ª safra'!$E44:$Z44,MIN(AX$6-$G$3,22))&lt;&gt;""),'Milho 2ª safra'!$E44:INDEX('Milho 2ª safra'!$E44:$Z44,MIN(AX$6-$G$3,22))),0)))))</f>
        <v>0</v>
      </c>
      <c r="AY46" s="27" t="n">
        <f aca="false">IF(COUNT('Milho 2ª safra'!$E44:$Z44)=0,0,MAX(0,IF((AY$6-$E$3)&lt;1,0,IFERROR(LOOKUP(2,1/('Milho 2ª safra'!$E44:INDEX('Milho 2ª safra'!$E44:$Z44,MIN(AY$6-$E$3,22))&lt;&gt;""),'Milho 2ª safra'!$E44:INDEX('Milho 2ª safra'!$E44:$Z44,MIN(AY$6-$E$3,22))),0))-IF($G$2,0,IF((AY$6-$G$3)&lt;1,0,IFERROR(LOOKUP(2,1/('Milho 2ª safra'!$E44:INDEX('Milho 2ª safra'!$E44:$Z44,MIN(AY$6-$G$3,22))&lt;&gt;""),'Milho 2ª safra'!$E44:INDEX('Milho 2ª safra'!$E44:$Z44,MIN(AY$6-$G$3,22))),0)))))</f>
        <v>0</v>
      </c>
      <c r="AZ46" s="27" t="n">
        <f aca="false">IF(COUNT('Milho 2ª safra'!$E44:$Z44)=0,0,MAX(0,IF((AZ$6-$E$3)&lt;1,0,IFERROR(LOOKUP(2,1/('Milho 2ª safra'!$E44:INDEX('Milho 2ª safra'!$E44:$Z44,MIN(AZ$6-$E$3,22))&lt;&gt;""),'Milho 2ª safra'!$E44:INDEX('Milho 2ª safra'!$E44:$Z44,MIN(AZ$6-$E$3,22))),0))-IF($G$2,0,IF((AZ$6-$G$3)&lt;1,0,IFERROR(LOOKUP(2,1/('Milho 2ª safra'!$E44:INDEX('Milho 2ª safra'!$E44:$Z44,MIN(AZ$6-$G$3,22))&lt;&gt;""),'Milho 2ª safra'!$E44:INDEX('Milho 2ª safra'!$E44:$Z44,MIN(AZ$6-$G$3,22))),0)))))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IF(COUNT('Milho 2ª safra'!$E45:$Z45)&gt;0,N('Milho 2ª safra'!$D45),0)</f>
        <v>0</v>
      </c>
      <c r="E47" s="27" t="n">
        <f aca="false">IF(COUNT('Milho 2ª safra'!$E45:$Z45)=0,0,MAX(0,IF((E$6-$E$3)&lt;1,0,IFERROR(LOOKUP(2,1/('Milho 2ª safra'!$E45:INDEX('Milho 2ª safra'!$E45:$Z45,MIN(E$6-$E$3,22))&lt;&gt;""),'Milho 2ª safra'!$E45:INDEX('Milho 2ª safra'!$E45:$Z45,MIN(E$6-$E$3,22))),0))-IF($G$2,0,IF((E$6-$G$3)&lt;1,0,IFERROR(LOOKUP(2,1/('Milho 2ª safra'!$E45:INDEX('Milho 2ª safra'!$E45:$Z45,MIN(E$6-$G$3,22))&lt;&gt;""),'Milho 2ª safra'!$E45:INDEX('Milho 2ª safra'!$E45:$Z45,MIN(E$6-$G$3,22))),0)))))</f>
        <v>0</v>
      </c>
      <c r="F47" s="27" t="n">
        <f aca="false">IF(COUNT('Milho 2ª safra'!$E45:$Z45)=0,0,MAX(0,IF((F$6-$E$3)&lt;1,0,IFERROR(LOOKUP(2,1/('Milho 2ª safra'!$E45:INDEX('Milho 2ª safra'!$E45:$Z45,MIN(F$6-$E$3,22))&lt;&gt;""),'Milho 2ª safra'!$E45:INDEX('Milho 2ª safra'!$E45:$Z45,MIN(F$6-$E$3,22))),0))-IF($G$2,0,IF((F$6-$G$3)&lt;1,0,IFERROR(LOOKUP(2,1/('Milho 2ª safra'!$E45:INDEX('Milho 2ª safra'!$E45:$Z45,MIN(F$6-$G$3,22))&lt;&gt;""),'Milho 2ª safra'!$E45:INDEX('Milho 2ª safra'!$E45:$Z45,MIN(F$6-$G$3,22))),0)))))</f>
        <v>0</v>
      </c>
      <c r="G47" s="27" t="n">
        <f aca="false">IF(COUNT('Milho 2ª safra'!$E45:$Z45)=0,0,MAX(0,IF((G$6-$E$3)&lt;1,0,IFERROR(LOOKUP(2,1/('Milho 2ª safra'!$E45:INDEX('Milho 2ª safra'!$E45:$Z45,MIN(G$6-$E$3,22))&lt;&gt;""),'Milho 2ª safra'!$E45:INDEX('Milho 2ª safra'!$E45:$Z45,MIN(G$6-$E$3,22))),0))-IF($G$2,0,IF((G$6-$G$3)&lt;1,0,IFERROR(LOOKUP(2,1/('Milho 2ª safra'!$E45:INDEX('Milho 2ª safra'!$E45:$Z45,MIN(G$6-$G$3,22))&lt;&gt;""),'Milho 2ª safra'!$E45:INDEX('Milho 2ª safra'!$E45:$Z45,MIN(G$6-$G$3,22))),0)))))</f>
        <v>0</v>
      </c>
      <c r="H47" s="27" t="n">
        <f aca="false">IF(COUNT('Milho 2ª safra'!$E45:$Z45)=0,0,MAX(0,IF((H$6-$E$3)&lt;1,0,IFERROR(LOOKUP(2,1/('Milho 2ª safra'!$E45:INDEX('Milho 2ª safra'!$E45:$Z45,MIN(H$6-$E$3,22))&lt;&gt;""),'Milho 2ª safra'!$E45:INDEX('Milho 2ª safra'!$E45:$Z45,MIN(H$6-$E$3,22))),0))-IF($G$2,0,IF((H$6-$G$3)&lt;1,0,IFERROR(LOOKUP(2,1/('Milho 2ª safra'!$E45:INDEX('Milho 2ª safra'!$E45:$Z45,MIN(H$6-$G$3,22))&lt;&gt;""),'Milho 2ª safra'!$E45:INDEX('Milho 2ª safra'!$E45:$Z45,MIN(H$6-$G$3,22))),0)))))</f>
        <v>0</v>
      </c>
      <c r="I47" s="27" t="n">
        <f aca="false">IF(COUNT('Milho 2ª safra'!$E45:$Z45)=0,0,MAX(0,IF((I$6-$E$3)&lt;1,0,IFERROR(LOOKUP(2,1/('Milho 2ª safra'!$E45:INDEX('Milho 2ª safra'!$E45:$Z45,MIN(I$6-$E$3,22))&lt;&gt;""),'Milho 2ª safra'!$E45:INDEX('Milho 2ª safra'!$E45:$Z45,MIN(I$6-$E$3,22))),0))-IF($G$2,0,IF((I$6-$G$3)&lt;1,0,IFERROR(LOOKUP(2,1/('Milho 2ª safra'!$E45:INDEX('Milho 2ª safra'!$E45:$Z45,MIN(I$6-$G$3,22))&lt;&gt;""),'Milho 2ª safra'!$E45:INDEX('Milho 2ª safra'!$E45:$Z45,MIN(I$6-$G$3,22))),0)))))</f>
        <v>0</v>
      </c>
      <c r="J47" s="27" t="n">
        <f aca="false">IF(COUNT('Milho 2ª safra'!$E45:$Z45)=0,0,MAX(0,IF((J$6-$E$3)&lt;1,0,IFERROR(LOOKUP(2,1/('Milho 2ª safra'!$E45:INDEX('Milho 2ª safra'!$E45:$Z45,MIN(J$6-$E$3,22))&lt;&gt;""),'Milho 2ª safra'!$E45:INDEX('Milho 2ª safra'!$E45:$Z45,MIN(J$6-$E$3,22))),0))-IF($G$2,0,IF((J$6-$G$3)&lt;1,0,IFERROR(LOOKUP(2,1/('Milho 2ª safra'!$E45:INDEX('Milho 2ª safra'!$E45:$Z45,MIN(J$6-$G$3,22))&lt;&gt;""),'Milho 2ª safra'!$E45:INDEX('Milho 2ª safra'!$E45:$Z45,MIN(J$6-$G$3,22))),0)))))</f>
        <v>0</v>
      </c>
      <c r="K47" s="27" t="n">
        <f aca="false">IF(COUNT('Milho 2ª safra'!$E45:$Z45)=0,0,MAX(0,IF((K$6-$E$3)&lt;1,0,IFERROR(LOOKUP(2,1/('Milho 2ª safra'!$E45:INDEX('Milho 2ª safra'!$E45:$Z45,MIN(K$6-$E$3,22))&lt;&gt;""),'Milho 2ª safra'!$E45:INDEX('Milho 2ª safra'!$E45:$Z45,MIN(K$6-$E$3,22))),0))-IF($G$2,0,IF((K$6-$G$3)&lt;1,0,IFERROR(LOOKUP(2,1/('Milho 2ª safra'!$E45:INDEX('Milho 2ª safra'!$E45:$Z45,MIN(K$6-$G$3,22))&lt;&gt;""),'Milho 2ª safra'!$E45:INDEX('Milho 2ª safra'!$E45:$Z45,MIN(K$6-$G$3,22))),0)))))</f>
        <v>0</v>
      </c>
      <c r="L47" s="27" t="n">
        <f aca="false">IF(COUNT('Milho 2ª safra'!$E45:$Z45)=0,0,MAX(0,IF((L$6-$E$3)&lt;1,0,IFERROR(LOOKUP(2,1/('Milho 2ª safra'!$E45:INDEX('Milho 2ª safra'!$E45:$Z45,MIN(L$6-$E$3,22))&lt;&gt;""),'Milho 2ª safra'!$E45:INDEX('Milho 2ª safra'!$E45:$Z45,MIN(L$6-$E$3,22))),0))-IF($G$2,0,IF((L$6-$G$3)&lt;1,0,IFERROR(LOOKUP(2,1/('Milho 2ª safra'!$E45:INDEX('Milho 2ª safra'!$E45:$Z45,MIN(L$6-$G$3,22))&lt;&gt;""),'Milho 2ª safra'!$E45:INDEX('Milho 2ª safra'!$E45:$Z45,MIN(L$6-$G$3,22))),0)))))</f>
        <v>0</v>
      </c>
      <c r="M47" s="27" t="n">
        <f aca="false">IF(COUNT('Milho 2ª safra'!$E45:$Z45)=0,0,MAX(0,IF((M$6-$E$3)&lt;1,0,IFERROR(LOOKUP(2,1/('Milho 2ª safra'!$E45:INDEX('Milho 2ª safra'!$E45:$Z45,MIN(M$6-$E$3,22))&lt;&gt;""),'Milho 2ª safra'!$E45:INDEX('Milho 2ª safra'!$E45:$Z45,MIN(M$6-$E$3,22))),0))-IF($G$2,0,IF((M$6-$G$3)&lt;1,0,IFERROR(LOOKUP(2,1/('Milho 2ª safra'!$E45:INDEX('Milho 2ª safra'!$E45:$Z45,MIN(M$6-$G$3,22))&lt;&gt;""),'Milho 2ª safra'!$E45:INDEX('Milho 2ª safra'!$E45:$Z45,MIN(M$6-$G$3,22))),0)))))</f>
        <v>0</v>
      </c>
      <c r="N47" s="27" t="n">
        <f aca="false">IF(COUNT('Milho 2ª safra'!$E45:$Z45)=0,0,MAX(0,IF((N$6-$E$3)&lt;1,0,IFERROR(LOOKUP(2,1/('Milho 2ª safra'!$E45:INDEX('Milho 2ª safra'!$E45:$Z45,MIN(N$6-$E$3,22))&lt;&gt;""),'Milho 2ª safra'!$E45:INDEX('Milho 2ª safra'!$E45:$Z45,MIN(N$6-$E$3,22))),0))-IF($G$2,0,IF((N$6-$G$3)&lt;1,0,IFERROR(LOOKUP(2,1/('Milho 2ª safra'!$E45:INDEX('Milho 2ª safra'!$E45:$Z45,MIN(N$6-$G$3,22))&lt;&gt;""),'Milho 2ª safra'!$E45:INDEX('Milho 2ª safra'!$E45:$Z45,MIN(N$6-$G$3,22))),0)))))</f>
        <v>0</v>
      </c>
      <c r="O47" s="27" t="n">
        <f aca="false">IF(COUNT('Milho 2ª safra'!$E45:$Z45)=0,0,MAX(0,IF((O$6-$E$3)&lt;1,0,IFERROR(LOOKUP(2,1/('Milho 2ª safra'!$E45:INDEX('Milho 2ª safra'!$E45:$Z45,MIN(O$6-$E$3,22))&lt;&gt;""),'Milho 2ª safra'!$E45:INDEX('Milho 2ª safra'!$E45:$Z45,MIN(O$6-$E$3,22))),0))-IF($G$2,0,IF((O$6-$G$3)&lt;1,0,IFERROR(LOOKUP(2,1/('Milho 2ª safra'!$E45:INDEX('Milho 2ª safra'!$E45:$Z45,MIN(O$6-$G$3,22))&lt;&gt;""),'Milho 2ª safra'!$E45:INDEX('Milho 2ª safra'!$E45:$Z45,MIN(O$6-$G$3,22))),0)))))</f>
        <v>0</v>
      </c>
      <c r="P47" s="27" t="n">
        <f aca="false">IF(COUNT('Milho 2ª safra'!$E45:$Z45)=0,0,MAX(0,IF((P$6-$E$3)&lt;1,0,IFERROR(LOOKUP(2,1/('Milho 2ª safra'!$E45:INDEX('Milho 2ª safra'!$E45:$Z45,MIN(P$6-$E$3,22))&lt;&gt;""),'Milho 2ª safra'!$E45:INDEX('Milho 2ª safra'!$E45:$Z45,MIN(P$6-$E$3,22))),0))-IF($G$2,0,IF((P$6-$G$3)&lt;1,0,IFERROR(LOOKUP(2,1/('Milho 2ª safra'!$E45:INDEX('Milho 2ª safra'!$E45:$Z45,MIN(P$6-$G$3,22))&lt;&gt;""),'Milho 2ª safra'!$E45:INDEX('Milho 2ª safra'!$E45:$Z45,MIN(P$6-$G$3,22))),0)))))</f>
        <v>0</v>
      </c>
      <c r="Q47" s="27" t="n">
        <f aca="false">IF(COUNT('Milho 2ª safra'!$E45:$Z45)=0,0,MAX(0,IF((Q$6-$E$3)&lt;1,0,IFERROR(LOOKUP(2,1/('Milho 2ª safra'!$E45:INDEX('Milho 2ª safra'!$E45:$Z45,MIN(Q$6-$E$3,22))&lt;&gt;""),'Milho 2ª safra'!$E45:INDEX('Milho 2ª safra'!$E45:$Z45,MIN(Q$6-$E$3,22))),0))-IF($G$2,0,IF((Q$6-$G$3)&lt;1,0,IFERROR(LOOKUP(2,1/('Milho 2ª safra'!$E45:INDEX('Milho 2ª safra'!$E45:$Z45,MIN(Q$6-$G$3,22))&lt;&gt;""),'Milho 2ª safra'!$E45:INDEX('Milho 2ª safra'!$E45:$Z45,MIN(Q$6-$G$3,22))),0)))))</f>
        <v>0</v>
      </c>
      <c r="R47" s="27" t="n">
        <f aca="false">IF(COUNT('Milho 2ª safra'!$E45:$Z45)=0,0,MAX(0,IF((R$6-$E$3)&lt;1,0,IFERROR(LOOKUP(2,1/('Milho 2ª safra'!$E45:INDEX('Milho 2ª safra'!$E45:$Z45,MIN(R$6-$E$3,22))&lt;&gt;""),'Milho 2ª safra'!$E45:INDEX('Milho 2ª safra'!$E45:$Z45,MIN(R$6-$E$3,22))),0))-IF($G$2,0,IF((R$6-$G$3)&lt;1,0,IFERROR(LOOKUP(2,1/('Milho 2ª safra'!$E45:INDEX('Milho 2ª safra'!$E45:$Z45,MIN(R$6-$G$3,22))&lt;&gt;""),'Milho 2ª safra'!$E45:INDEX('Milho 2ª safra'!$E45:$Z45,MIN(R$6-$G$3,22))),0)))))</f>
        <v>0</v>
      </c>
      <c r="S47" s="27" t="n">
        <f aca="false">IF(COUNT('Milho 2ª safra'!$E45:$Z45)=0,0,MAX(0,IF((S$6-$E$3)&lt;1,0,IFERROR(LOOKUP(2,1/('Milho 2ª safra'!$E45:INDEX('Milho 2ª safra'!$E45:$Z45,MIN(S$6-$E$3,22))&lt;&gt;""),'Milho 2ª safra'!$E45:INDEX('Milho 2ª safra'!$E45:$Z45,MIN(S$6-$E$3,22))),0))-IF($G$2,0,IF((S$6-$G$3)&lt;1,0,IFERROR(LOOKUP(2,1/('Milho 2ª safra'!$E45:INDEX('Milho 2ª safra'!$E45:$Z45,MIN(S$6-$G$3,22))&lt;&gt;""),'Milho 2ª safra'!$E45:INDEX('Milho 2ª safra'!$E45:$Z45,MIN(S$6-$G$3,22))),0)))))</f>
        <v>0</v>
      </c>
      <c r="T47" s="27" t="n">
        <f aca="false">IF(COUNT('Milho 2ª safra'!$E45:$Z45)=0,0,MAX(0,IF((T$6-$E$3)&lt;1,0,IFERROR(LOOKUP(2,1/('Milho 2ª safra'!$E45:INDEX('Milho 2ª safra'!$E45:$Z45,MIN(T$6-$E$3,22))&lt;&gt;""),'Milho 2ª safra'!$E45:INDEX('Milho 2ª safra'!$E45:$Z45,MIN(T$6-$E$3,22))),0))-IF($G$2,0,IF((T$6-$G$3)&lt;1,0,IFERROR(LOOKUP(2,1/('Milho 2ª safra'!$E45:INDEX('Milho 2ª safra'!$E45:$Z45,MIN(T$6-$G$3,22))&lt;&gt;""),'Milho 2ª safra'!$E45:INDEX('Milho 2ª safra'!$E45:$Z45,MIN(T$6-$G$3,22))),0)))))</f>
        <v>0</v>
      </c>
      <c r="U47" s="27" t="n">
        <f aca="false">IF(COUNT('Milho 2ª safra'!$E45:$Z45)=0,0,MAX(0,IF((U$6-$E$3)&lt;1,0,IFERROR(LOOKUP(2,1/('Milho 2ª safra'!$E45:INDEX('Milho 2ª safra'!$E45:$Z45,MIN(U$6-$E$3,22))&lt;&gt;""),'Milho 2ª safra'!$E45:INDEX('Milho 2ª safra'!$E45:$Z45,MIN(U$6-$E$3,22))),0))-IF($G$2,0,IF((U$6-$G$3)&lt;1,0,IFERROR(LOOKUP(2,1/('Milho 2ª safra'!$E45:INDEX('Milho 2ª safra'!$E45:$Z45,MIN(U$6-$G$3,22))&lt;&gt;""),'Milho 2ª safra'!$E45:INDEX('Milho 2ª safra'!$E45:$Z45,MIN(U$6-$G$3,22))),0)))))</f>
        <v>0</v>
      </c>
      <c r="V47" s="27" t="n">
        <f aca="false">IF(COUNT('Milho 2ª safra'!$E45:$Z45)=0,0,MAX(0,IF((V$6-$E$3)&lt;1,0,IFERROR(LOOKUP(2,1/('Milho 2ª safra'!$E45:INDEX('Milho 2ª safra'!$E45:$Z45,MIN(V$6-$E$3,22))&lt;&gt;""),'Milho 2ª safra'!$E45:INDEX('Milho 2ª safra'!$E45:$Z45,MIN(V$6-$E$3,22))),0))-IF($G$2,0,IF((V$6-$G$3)&lt;1,0,IFERROR(LOOKUP(2,1/('Milho 2ª safra'!$E45:INDEX('Milho 2ª safra'!$E45:$Z45,MIN(V$6-$G$3,22))&lt;&gt;""),'Milho 2ª safra'!$E45:INDEX('Milho 2ª safra'!$E45:$Z45,MIN(V$6-$G$3,22))),0)))))</f>
        <v>0</v>
      </c>
      <c r="W47" s="27" t="n">
        <f aca="false">IF(COUNT('Milho 2ª safra'!$E45:$Z45)=0,0,MAX(0,IF((W$6-$E$3)&lt;1,0,IFERROR(LOOKUP(2,1/('Milho 2ª safra'!$E45:INDEX('Milho 2ª safra'!$E45:$Z45,MIN(W$6-$E$3,22))&lt;&gt;""),'Milho 2ª safra'!$E45:INDEX('Milho 2ª safra'!$E45:$Z45,MIN(W$6-$E$3,22))),0))-IF($G$2,0,IF((W$6-$G$3)&lt;1,0,IFERROR(LOOKUP(2,1/('Milho 2ª safra'!$E45:INDEX('Milho 2ª safra'!$E45:$Z45,MIN(W$6-$G$3,22))&lt;&gt;""),'Milho 2ª safra'!$E45:INDEX('Milho 2ª safra'!$E45:$Z45,MIN(W$6-$G$3,22))),0)))))</f>
        <v>0</v>
      </c>
      <c r="X47" s="27" t="n">
        <f aca="false">IF(COUNT('Milho 2ª safra'!$E45:$Z45)=0,0,MAX(0,IF((X$6-$E$3)&lt;1,0,IFERROR(LOOKUP(2,1/('Milho 2ª safra'!$E45:INDEX('Milho 2ª safra'!$E45:$Z45,MIN(X$6-$E$3,22))&lt;&gt;""),'Milho 2ª safra'!$E45:INDEX('Milho 2ª safra'!$E45:$Z45,MIN(X$6-$E$3,22))),0))-IF($G$2,0,IF((X$6-$G$3)&lt;1,0,IFERROR(LOOKUP(2,1/('Milho 2ª safra'!$E45:INDEX('Milho 2ª safra'!$E45:$Z45,MIN(X$6-$G$3,22))&lt;&gt;""),'Milho 2ª safra'!$E45:INDEX('Milho 2ª safra'!$E45:$Z45,MIN(X$6-$G$3,22))),0)))))</f>
        <v>0</v>
      </c>
      <c r="Y47" s="27" t="n">
        <f aca="false">IF(COUNT('Milho 2ª safra'!$E45:$Z45)=0,0,MAX(0,IF((Y$6-$E$3)&lt;1,0,IFERROR(LOOKUP(2,1/('Milho 2ª safra'!$E45:INDEX('Milho 2ª safra'!$E45:$Z45,MIN(Y$6-$E$3,22))&lt;&gt;""),'Milho 2ª safra'!$E45:INDEX('Milho 2ª safra'!$E45:$Z45,MIN(Y$6-$E$3,22))),0))-IF($G$2,0,IF((Y$6-$G$3)&lt;1,0,IFERROR(LOOKUP(2,1/('Milho 2ª safra'!$E45:INDEX('Milho 2ª safra'!$E45:$Z45,MIN(Y$6-$G$3,22))&lt;&gt;""),'Milho 2ª safra'!$E45:INDEX('Milho 2ª safra'!$E45:$Z45,MIN(Y$6-$G$3,22))),0)))))</f>
        <v>0</v>
      </c>
      <c r="Z47" s="27" t="n">
        <f aca="false">IF(COUNT('Milho 2ª safra'!$E45:$Z45)=0,0,MAX(0,IF((Z$6-$E$3)&lt;1,0,IFERROR(LOOKUP(2,1/('Milho 2ª safra'!$E45:INDEX('Milho 2ª safra'!$E45:$Z45,MIN(Z$6-$E$3,22))&lt;&gt;""),'Milho 2ª safra'!$E45:INDEX('Milho 2ª safra'!$E45:$Z45,MIN(Z$6-$E$3,22))),0))-IF($G$2,0,IF((Z$6-$G$3)&lt;1,0,IFERROR(LOOKUP(2,1/('Milho 2ª safra'!$E45:INDEX('Milho 2ª safra'!$E45:$Z45,MIN(Z$6-$G$3,22))&lt;&gt;""),'Milho 2ª safra'!$E45:INDEX('Milho 2ª safra'!$E45:$Z45,MIN(Z$6-$G$3,22))),0)))))</f>
        <v>0</v>
      </c>
      <c r="AA47" s="27" t="n">
        <f aca="false">IF(COUNT('Milho 2ª safra'!$E45:$Z45)=0,0,MAX(0,IF((AA$6-$E$3)&lt;1,0,IFERROR(LOOKUP(2,1/('Milho 2ª safra'!$E45:INDEX('Milho 2ª safra'!$E45:$Z45,MIN(AA$6-$E$3,22))&lt;&gt;""),'Milho 2ª safra'!$E45:INDEX('Milho 2ª safra'!$E45:$Z45,MIN(AA$6-$E$3,22))),0))-IF($G$2,0,IF((AA$6-$G$3)&lt;1,0,IFERROR(LOOKUP(2,1/('Milho 2ª safra'!$E45:INDEX('Milho 2ª safra'!$E45:$Z45,MIN(AA$6-$G$3,22))&lt;&gt;""),'Milho 2ª safra'!$E45:INDEX('Milho 2ª safra'!$E45:$Z45,MIN(AA$6-$G$3,22))),0)))))</f>
        <v>0</v>
      </c>
      <c r="AB47" s="27" t="n">
        <f aca="false">IF(COUNT('Milho 2ª safra'!$E45:$Z45)=0,0,MAX(0,IF((AB$6-$E$3)&lt;1,0,IFERROR(LOOKUP(2,1/('Milho 2ª safra'!$E45:INDEX('Milho 2ª safra'!$E45:$Z45,MIN(AB$6-$E$3,22))&lt;&gt;""),'Milho 2ª safra'!$E45:INDEX('Milho 2ª safra'!$E45:$Z45,MIN(AB$6-$E$3,22))),0))-IF($G$2,0,IF((AB$6-$G$3)&lt;1,0,IFERROR(LOOKUP(2,1/('Milho 2ª safra'!$E45:INDEX('Milho 2ª safra'!$E45:$Z45,MIN(AB$6-$G$3,22))&lt;&gt;""),'Milho 2ª safra'!$E45:INDEX('Milho 2ª safra'!$E45:$Z45,MIN(AB$6-$G$3,22))),0)))))</f>
        <v>0</v>
      </c>
      <c r="AC47" s="27" t="n">
        <f aca="false">IF(COUNT('Milho 2ª safra'!$E45:$Z45)=0,0,MAX(0,IF((AC$6-$E$3)&lt;1,0,IFERROR(LOOKUP(2,1/('Milho 2ª safra'!$E45:INDEX('Milho 2ª safra'!$E45:$Z45,MIN(AC$6-$E$3,22))&lt;&gt;""),'Milho 2ª safra'!$E45:INDEX('Milho 2ª safra'!$E45:$Z45,MIN(AC$6-$E$3,22))),0))-IF($G$2,0,IF((AC$6-$G$3)&lt;1,0,IFERROR(LOOKUP(2,1/('Milho 2ª safra'!$E45:INDEX('Milho 2ª safra'!$E45:$Z45,MIN(AC$6-$G$3,22))&lt;&gt;""),'Milho 2ª safra'!$E45:INDEX('Milho 2ª safra'!$E45:$Z45,MIN(AC$6-$G$3,22))),0)))))</f>
        <v>0</v>
      </c>
      <c r="AD47" s="27" t="n">
        <f aca="false">IF(COUNT('Milho 2ª safra'!$E45:$Z45)=0,0,MAX(0,IF((AD$6-$E$3)&lt;1,0,IFERROR(LOOKUP(2,1/('Milho 2ª safra'!$E45:INDEX('Milho 2ª safra'!$E45:$Z45,MIN(AD$6-$E$3,22))&lt;&gt;""),'Milho 2ª safra'!$E45:INDEX('Milho 2ª safra'!$E45:$Z45,MIN(AD$6-$E$3,22))),0))-IF($G$2,0,IF((AD$6-$G$3)&lt;1,0,IFERROR(LOOKUP(2,1/('Milho 2ª safra'!$E45:INDEX('Milho 2ª safra'!$E45:$Z45,MIN(AD$6-$G$3,22))&lt;&gt;""),'Milho 2ª safra'!$E45:INDEX('Milho 2ª safra'!$E45:$Z45,MIN(AD$6-$G$3,22))),0)))))</f>
        <v>0</v>
      </c>
      <c r="AE47" s="27" t="n">
        <f aca="false">IF(COUNT('Milho 2ª safra'!$E45:$Z45)=0,0,MAX(0,IF((AE$6-$E$3)&lt;1,0,IFERROR(LOOKUP(2,1/('Milho 2ª safra'!$E45:INDEX('Milho 2ª safra'!$E45:$Z45,MIN(AE$6-$E$3,22))&lt;&gt;""),'Milho 2ª safra'!$E45:INDEX('Milho 2ª safra'!$E45:$Z45,MIN(AE$6-$E$3,22))),0))-IF($G$2,0,IF((AE$6-$G$3)&lt;1,0,IFERROR(LOOKUP(2,1/('Milho 2ª safra'!$E45:INDEX('Milho 2ª safra'!$E45:$Z45,MIN(AE$6-$G$3,22))&lt;&gt;""),'Milho 2ª safra'!$E45:INDEX('Milho 2ª safra'!$E45:$Z45,MIN(AE$6-$G$3,22))),0)))))</f>
        <v>0</v>
      </c>
      <c r="AF47" s="27" t="n">
        <f aca="false">IF(COUNT('Milho 2ª safra'!$E45:$Z45)=0,0,MAX(0,IF((AF$6-$E$3)&lt;1,0,IFERROR(LOOKUP(2,1/('Milho 2ª safra'!$E45:INDEX('Milho 2ª safra'!$E45:$Z45,MIN(AF$6-$E$3,22))&lt;&gt;""),'Milho 2ª safra'!$E45:INDEX('Milho 2ª safra'!$E45:$Z45,MIN(AF$6-$E$3,22))),0))-IF($G$2,0,IF((AF$6-$G$3)&lt;1,0,IFERROR(LOOKUP(2,1/('Milho 2ª safra'!$E45:INDEX('Milho 2ª safra'!$E45:$Z45,MIN(AF$6-$G$3,22))&lt;&gt;""),'Milho 2ª safra'!$E45:INDEX('Milho 2ª safra'!$E45:$Z45,MIN(AF$6-$G$3,22))),0)))))</f>
        <v>0</v>
      </c>
      <c r="AG47" s="27" t="n">
        <f aca="false">IF(COUNT('Milho 2ª safra'!$E45:$Z45)=0,0,MAX(0,IF((AG$6-$E$3)&lt;1,0,IFERROR(LOOKUP(2,1/('Milho 2ª safra'!$E45:INDEX('Milho 2ª safra'!$E45:$Z45,MIN(AG$6-$E$3,22))&lt;&gt;""),'Milho 2ª safra'!$E45:INDEX('Milho 2ª safra'!$E45:$Z45,MIN(AG$6-$E$3,22))),0))-IF($G$2,0,IF((AG$6-$G$3)&lt;1,0,IFERROR(LOOKUP(2,1/('Milho 2ª safra'!$E45:INDEX('Milho 2ª safra'!$E45:$Z45,MIN(AG$6-$G$3,22))&lt;&gt;""),'Milho 2ª safra'!$E45:INDEX('Milho 2ª safra'!$E45:$Z45,MIN(AG$6-$G$3,22))),0)))))</f>
        <v>0</v>
      </c>
      <c r="AH47" s="27" t="n">
        <f aca="false">IF(COUNT('Milho 2ª safra'!$E45:$Z45)=0,0,MAX(0,IF((AH$6-$E$3)&lt;1,0,IFERROR(LOOKUP(2,1/('Milho 2ª safra'!$E45:INDEX('Milho 2ª safra'!$E45:$Z45,MIN(AH$6-$E$3,22))&lt;&gt;""),'Milho 2ª safra'!$E45:INDEX('Milho 2ª safra'!$E45:$Z45,MIN(AH$6-$E$3,22))),0))-IF($G$2,0,IF((AH$6-$G$3)&lt;1,0,IFERROR(LOOKUP(2,1/('Milho 2ª safra'!$E45:INDEX('Milho 2ª safra'!$E45:$Z45,MIN(AH$6-$G$3,22))&lt;&gt;""),'Milho 2ª safra'!$E45:INDEX('Milho 2ª safra'!$E45:$Z45,MIN(AH$6-$G$3,22))),0)))))</f>
        <v>0</v>
      </c>
      <c r="AI47" s="27" t="n">
        <f aca="false">IF(COUNT('Milho 2ª safra'!$E45:$Z45)=0,0,MAX(0,IF((AI$6-$E$3)&lt;1,0,IFERROR(LOOKUP(2,1/('Milho 2ª safra'!$E45:INDEX('Milho 2ª safra'!$E45:$Z45,MIN(AI$6-$E$3,22))&lt;&gt;""),'Milho 2ª safra'!$E45:INDEX('Milho 2ª safra'!$E45:$Z45,MIN(AI$6-$E$3,22))),0))-IF($G$2,0,IF((AI$6-$G$3)&lt;1,0,IFERROR(LOOKUP(2,1/('Milho 2ª safra'!$E45:INDEX('Milho 2ª safra'!$E45:$Z45,MIN(AI$6-$G$3,22))&lt;&gt;""),'Milho 2ª safra'!$E45:INDEX('Milho 2ª safra'!$E45:$Z45,MIN(AI$6-$G$3,22))),0)))))</f>
        <v>0</v>
      </c>
      <c r="AJ47" s="27" t="n">
        <f aca="false">IF(COUNT('Milho 2ª safra'!$E45:$Z45)=0,0,MAX(0,IF((AJ$6-$E$3)&lt;1,0,IFERROR(LOOKUP(2,1/('Milho 2ª safra'!$E45:INDEX('Milho 2ª safra'!$E45:$Z45,MIN(AJ$6-$E$3,22))&lt;&gt;""),'Milho 2ª safra'!$E45:INDEX('Milho 2ª safra'!$E45:$Z45,MIN(AJ$6-$E$3,22))),0))-IF($G$2,0,IF((AJ$6-$G$3)&lt;1,0,IFERROR(LOOKUP(2,1/('Milho 2ª safra'!$E45:INDEX('Milho 2ª safra'!$E45:$Z45,MIN(AJ$6-$G$3,22))&lt;&gt;""),'Milho 2ª safra'!$E45:INDEX('Milho 2ª safra'!$E45:$Z45,MIN(AJ$6-$G$3,22))),0)))))</f>
        <v>0</v>
      </c>
      <c r="AK47" s="27" t="n">
        <f aca="false">IF(COUNT('Milho 2ª safra'!$E45:$Z45)=0,0,MAX(0,IF((AK$6-$E$3)&lt;1,0,IFERROR(LOOKUP(2,1/('Milho 2ª safra'!$E45:INDEX('Milho 2ª safra'!$E45:$Z45,MIN(AK$6-$E$3,22))&lt;&gt;""),'Milho 2ª safra'!$E45:INDEX('Milho 2ª safra'!$E45:$Z45,MIN(AK$6-$E$3,22))),0))-IF($G$2,0,IF((AK$6-$G$3)&lt;1,0,IFERROR(LOOKUP(2,1/('Milho 2ª safra'!$E45:INDEX('Milho 2ª safra'!$E45:$Z45,MIN(AK$6-$G$3,22))&lt;&gt;""),'Milho 2ª safra'!$E45:INDEX('Milho 2ª safra'!$E45:$Z45,MIN(AK$6-$G$3,22))),0)))))</f>
        <v>0</v>
      </c>
      <c r="AL47" s="27" t="n">
        <f aca="false">IF(COUNT('Milho 2ª safra'!$E45:$Z45)=0,0,MAX(0,IF((AL$6-$E$3)&lt;1,0,IFERROR(LOOKUP(2,1/('Milho 2ª safra'!$E45:INDEX('Milho 2ª safra'!$E45:$Z45,MIN(AL$6-$E$3,22))&lt;&gt;""),'Milho 2ª safra'!$E45:INDEX('Milho 2ª safra'!$E45:$Z45,MIN(AL$6-$E$3,22))),0))-IF($G$2,0,IF((AL$6-$G$3)&lt;1,0,IFERROR(LOOKUP(2,1/('Milho 2ª safra'!$E45:INDEX('Milho 2ª safra'!$E45:$Z45,MIN(AL$6-$G$3,22))&lt;&gt;""),'Milho 2ª safra'!$E45:INDEX('Milho 2ª safra'!$E45:$Z45,MIN(AL$6-$G$3,22))),0)))))</f>
        <v>0</v>
      </c>
      <c r="AM47" s="27" t="n">
        <f aca="false">IF(COUNT('Milho 2ª safra'!$E45:$Z45)=0,0,MAX(0,IF((AM$6-$E$3)&lt;1,0,IFERROR(LOOKUP(2,1/('Milho 2ª safra'!$E45:INDEX('Milho 2ª safra'!$E45:$Z45,MIN(AM$6-$E$3,22))&lt;&gt;""),'Milho 2ª safra'!$E45:INDEX('Milho 2ª safra'!$E45:$Z45,MIN(AM$6-$E$3,22))),0))-IF($G$2,0,IF((AM$6-$G$3)&lt;1,0,IFERROR(LOOKUP(2,1/('Milho 2ª safra'!$E45:INDEX('Milho 2ª safra'!$E45:$Z45,MIN(AM$6-$G$3,22))&lt;&gt;""),'Milho 2ª safra'!$E45:INDEX('Milho 2ª safra'!$E45:$Z45,MIN(AM$6-$G$3,22))),0)))))</f>
        <v>0</v>
      </c>
      <c r="AN47" s="27" t="n">
        <f aca="false">IF(COUNT('Milho 2ª safra'!$E45:$Z45)=0,0,MAX(0,IF((AN$6-$E$3)&lt;1,0,IFERROR(LOOKUP(2,1/('Milho 2ª safra'!$E45:INDEX('Milho 2ª safra'!$E45:$Z45,MIN(AN$6-$E$3,22))&lt;&gt;""),'Milho 2ª safra'!$E45:INDEX('Milho 2ª safra'!$E45:$Z45,MIN(AN$6-$E$3,22))),0))-IF($G$2,0,IF((AN$6-$G$3)&lt;1,0,IFERROR(LOOKUP(2,1/('Milho 2ª safra'!$E45:INDEX('Milho 2ª safra'!$E45:$Z45,MIN(AN$6-$G$3,22))&lt;&gt;""),'Milho 2ª safra'!$E45:INDEX('Milho 2ª safra'!$E45:$Z45,MIN(AN$6-$G$3,22))),0)))))</f>
        <v>0</v>
      </c>
      <c r="AO47" s="27" t="n">
        <f aca="false">IF(COUNT('Milho 2ª safra'!$E45:$Z45)=0,0,MAX(0,IF((AO$6-$E$3)&lt;1,0,IFERROR(LOOKUP(2,1/('Milho 2ª safra'!$E45:INDEX('Milho 2ª safra'!$E45:$Z45,MIN(AO$6-$E$3,22))&lt;&gt;""),'Milho 2ª safra'!$E45:INDEX('Milho 2ª safra'!$E45:$Z45,MIN(AO$6-$E$3,22))),0))-IF($G$2,0,IF((AO$6-$G$3)&lt;1,0,IFERROR(LOOKUP(2,1/('Milho 2ª safra'!$E45:INDEX('Milho 2ª safra'!$E45:$Z45,MIN(AO$6-$G$3,22))&lt;&gt;""),'Milho 2ª safra'!$E45:INDEX('Milho 2ª safra'!$E45:$Z45,MIN(AO$6-$G$3,22))),0)))))</f>
        <v>0</v>
      </c>
      <c r="AP47" s="27" t="n">
        <f aca="false">IF(COUNT('Milho 2ª safra'!$E45:$Z45)=0,0,MAX(0,IF((AP$6-$E$3)&lt;1,0,IFERROR(LOOKUP(2,1/('Milho 2ª safra'!$E45:INDEX('Milho 2ª safra'!$E45:$Z45,MIN(AP$6-$E$3,22))&lt;&gt;""),'Milho 2ª safra'!$E45:INDEX('Milho 2ª safra'!$E45:$Z45,MIN(AP$6-$E$3,22))),0))-IF($G$2,0,IF((AP$6-$G$3)&lt;1,0,IFERROR(LOOKUP(2,1/('Milho 2ª safra'!$E45:INDEX('Milho 2ª safra'!$E45:$Z45,MIN(AP$6-$G$3,22))&lt;&gt;""),'Milho 2ª safra'!$E45:INDEX('Milho 2ª safra'!$E45:$Z45,MIN(AP$6-$G$3,22))),0)))))</f>
        <v>0</v>
      </c>
      <c r="AQ47" s="27" t="n">
        <f aca="false">IF(COUNT('Milho 2ª safra'!$E45:$Z45)=0,0,MAX(0,IF((AQ$6-$E$3)&lt;1,0,IFERROR(LOOKUP(2,1/('Milho 2ª safra'!$E45:INDEX('Milho 2ª safra'!$E45:$Z45,MIN(AQ$6-$E$3,22))&lt;&gt;""),'Milho 2ª safra'!$E45:INDEX('Milho 2ª safra'!$E45:$Z45,MIN(AQ$6-$E$3,22))),0))-IF($G$2,0,IF((AQ$6-$G$3)&lt;1,0,IFERROR(LOOKUP(2,1/('Milho 2ª safra'!$E45:INDEX('Milho 2ª safra'!$E45:$Z45,MIN(AQ$6-$G$3,22))&lt;&gt;""),'Milho 2ª safra'!$E45:INDEX('Milho 2ª safra'!$E45:$Z45,MIN(AQ$6-$G$3,22))),0)))))</f>
        <v>0</v>
      </c>
      <c r="AR47" s="27" t="n">
        <f aca="false">IF(COUNT('Milho 2ª safra'!$E45:$Z45)=0,0,MAX(0,IF((AR$6-$E$3)&lt;1,0,IFERROR(LOOKUP(2,1/('Milho 2ª safra'!$E45:INDEX('Milho 2ª safra'!$E45:$Z45,MIN(AR$6-$E$3,22))&lt;&gt;""),'Milho 2ª safra'!$E45:INDEX('Milho 2ª safra'!$E45:$Z45,MIN(AR$6-$E$3,22))),0))-IF($G$2,0,IF((AR$6-$G$3)&lt;1,0,IFERROR(LOOKUP(2,1/('Milho 2ª safra'!$E45:INDEX('Milho 2ª safra'!$E45:$Z45,MIN(AR$6-$G$3,22))&lt;&gt;""),'Milho 2ª safra'!$E45:INDEX('Milho 2ª safra'!$E45:$Z45,MIN(AR$6-$G$3,22))),0)))))</f>
        <v>0</v>
      </c>
      <c r="AS47" s="27" t="n">
        <f aca="false">IF(COUNT('Milho 2ª safra'!$E45:$Z45)=0,0,MAX(0,IF((AS$6-$E$3)&lt;1,0,IFERROR(LOOKUP(2,1/('Milho 2ª safra'!$E45:INDEX('Milho 2ª safra'!$E45:$Z45,MIN(AS$6-$E$3,22))&lt;&gt;""),'Milho 2ª safra'!$E45:INDEX('Milho 2ª safra'!$E45:$Z45,MIN(AS$6-$E$3,22))),0))-IF($G$2,0,IF((AS$6-$G$3)&lt;1,0,IFERROR(LOOKUP(2,1/('Milho 2ª safra'!$E45:INDEX('Milho 2ª safra'!$E45:$Z45,MIN(AS$6-$G$3,22))&lt;&gt;""),'Milho 2ª safra'!$E45:INDEX('Milho 2ª safra'!$E45:$Z45,MIN(AS$6-$G$3,22))),0)))))</f>
        <v>0</v>
      </c>
      <c r="AT47" s="27" t="n">
        <f aca="false">IF(COUNT('Milho 2ª safra'!$E45:$Z45)=0,0,MAX(0,IF((AT$6-$E$3)&lt;1,0,IFERROR(LOOKUP(2,1/('Milho 2ª safra'!$E45:INDEX('Milho 2ª safra'!$E45:$Z45,MIN(AT$6-$E$3,22))&lt;&gt;""),'Milho 2ª safra'!$E45:INDEX('Milho 2ª safra'!$E45:$Z45,MIN(AT$6-$E$3,22))),0))-IF($G$2,0,IF((AT$6-$G$3)&lt;1,0,IFERROR(LOOKUP(2,1/('Milho 2ª safra'!$E45:INDEX('Milho 2ª safra'!$E45:$Z45,MIN(AT$6-$G$3,22))&lt;&gt;""),'Milho 2ª safra'!$E45:INDEX('Milho 2ª safra'!$E45:$Z45,MIN(AT$6-$G$3,22))),0)))))</f>
        <v>0</v>
      </c>
      <c r="AU47" s="27" t="n">
        <f aca="false">IF(COUNT('Milho 2ª safra'!$E45:$Z45)=0,0,MAX(0,IF((AU$6-$E$3)&lt;1,0,IFERROR(LOOKUP(2,1/('Milho 2ª safra'!$E45:INDEX('Milho 2ª safra'!$E45:$Z45,MIN(AU$6-$E$3,22))&lt;&gt;""),'Milho 2ª safra'!$E45:INDEX('Milho 2ª safra'!$E45:$Z45,MIN(AU$6-$E$3,22))),0))-IF($G$2,0,IF((AU$6-$G$3)&lt;1,0,IFERROR(LOOKUP(2,1/('Milho 2ª safra'!$E45:INDEX('Milho 2ª safra'!$E45:$Z45,MIN(AU$6-$G$3,22))&lt;&gt;""),'Milho 2ª safra'!$E45:INDEX('Milho 2ª safra'!$E45:$Z45,MIN(AU$6-$G$3,22))),0)))))</f>
        <v>0</v>
      </c>
      <c r="AV47" s="27" t="n">
        <f aca="false">IF(COUNT('Milho 2ª safra'!$E45:$Z45)=0,0,MAX(0,IF((AV$6-$E$3)&lt;1,0,IFERROR(LOOKUP(2,1/('Milho 2ª safra'!$E45:INDEX('Milho 2ª safra'!$E45:$Z45,MIN(AV$6-$E$3,22))&lt;&gt;""),'Milho 2ª safra'!$E45:INDEX('Milho 2ª safra'!$E45:$Z45,MIN(AV$6-$E$3,22))),0))-IF($G$2,0,IF((AV$6-$G$3)&lt;1,0,IFERROR(LOOKUP(2,1/('Milho 2ª safra'!$E45:INDEX('Milho 2ª safra'!$E45:$Z45,MIN(AV$6-$G$3,22))&lt;&gt;""),'Milho 2ª safra'!$E45:INDEX('Milho 2ª safra'!$E45:$Z45,MIN(AV$6-$G$3,22))),0)))))</f>
        <v>0</v>
      </c>
      <c r="AW47" s="27" t="n">
        <f aca="false">IF(COUNT('Milho 2ª safra'!$E45:$Z45)=0,0,MAX(0,IF((AW$6-$E$3)&lt;1,0,IFERROR(LOOKUP(2,1/('Milho 2ª safra'!$E45:INDEX('Milho 2ª safra'!$E45:$Z45,MIN(AW$6-$E$3,22))&lt;&gt;""),'Milho 2ª safra'!$E45:INDEX('Milho 2ª safra'!$E45:$Z45,MIN(AW$6-$E$3,22))),0))-IF($G$2,0,IF((AW$6-$G$3)&lt;1,0,IFERROR(LOOKUP(2,1/('Milho 2ª safra'!$E45:INDEX('Milho 2ª safra'!$E45:$Z45,MIN(AW$6-$G$3,22))&lt;&gt;""),'Milho 2ª safra'!$E45:INDEX('Milho 2ª safra'!$E45:$Z45,MIN(AW$6-$G$3,22))),0)))))</f>
        <v>0</v>
      </c>
      <c r="AX47" s="27" t="n">
        <f aca="false">IF(COUNT('Milho 2ª safra'!$E45:$Z45)=0,0,MAX(0,IF((AX$6-$E$3)&lt;1,0,IFERROR(LOOKUP(2,1/('Milho 2ª safra'!$E45:INDEX('Milho 2ª safra'!$E45:$Z45,MIN(AX$6-$E$3,22))&lt;&gt;""),'Milho 2ª safra'!$E45:INDEX('Milho 2ª safra'!$E45:$Z45,MIN(AX$6-$E$3,22))),0))-IF($G$2,0,IF((AX$6-$G$3)&lt;1,0,IFERROR(LOOKUP(2,1/('Milho 2ª safra'!$E45:INDEX('Milho 2ª safra'!$E45:$Z45,MIN(AX$6-$G$3,22))&lt;&gt;""),'Milho 2ª safra'!$E45:INDEX('Milho 2ª safra'!$E45:$Z45,MIN(AX$6-$G$3,22))),0)))))</f>
        <v>0</v>
      </c>
      <c r="AY47" s="27" t="n">
        <f aca="false">IF(COUNT('Milho 2ª safra'!$E45:$Z45)=0,0,MAX(0,IF((AY$6-$E$3)&lt;1,0,IFERROR(LOOKUP(2,1/('Milho 2ª safra'!$E45:INDEX('Milho 2ª safra'!$E45:$Z45,MIN(AY$6-$E$3,22))&lt;&gt;""),'Milho 2ª safra'!$E45:INDEX('Milho 2ª safra'!$E45:$Z45,MIN(AY$6-$E$3,22))),0))-IF($G$2,0,IF((AY$6-$G$3)&lt;1,0,IFERROR(LOOKUP(2,1/('Milho 2ª safra'!$E45:INDEX('Milho 2ª safra'!$E45:$Z45,MIN(AY$6-$G$3,22))&lt;&gt;""),'Milho 2ª safra'!$E45:INDEX('Milho 2ª safra'!$E45:$Z45,MIN(AY$6-$G$3,22))),0)))))</f>
        <v>0</v>
      </c>
      <c r="AZ47" s="27" t="n">
        <f aca="false">IF(COUNT('Milho 2ª safra'!$E45:$Z45)=0,0,MAX(0,IF((AZ$6-$E$3)&lt;1,0,IFERROR(LOOKUP(2,1/('Milho 2ª safra'!$E45:INDEX('Milho 2ª safra'!$E45:$Z45,MIN(AZ$6-$E$3,22))&lt;&gt;""),'Milho 2ª safra'!$E45:INDEX('Milho 2ª safra'!$E45:$Z45,MIN(AZ$6-$E$3,22))),0))-IF($G$2,0,IF((AZ$6-$G$3)&lt;1,0,IFERROR(LOOKUP(2,1/('Milho 2ª safra'!$E45:INDEX('Milho 2ª safra'!$E45:$Z45,MIN(AZ$6-$G$3,22))&lt;&gt;""),'Milho 2ª safra'!$E45:INDEX('Milho 2ª safra'!$E45:$Z45,MIN(AZ$6-$G$3,22))),0)))))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IF(COUNT('Milho 2ª safra'!$E46:$Z46)&gt;0,N('Milho 2ª safra'!$D46),0)</f>
        <v>0</v>
      </c>
      <c r="E48" s="27" t="n">
        <f aca="false">IF(COUNT('Milho 2ª safra'!$E46:$Z46)=0,0,MAX(0,IF((E$6-$E$3)&lt;1,0,IFERROR(LOOKUP(2,1/('Milho 2ª safra'!$E46:INDEX('Milho 2ª safra'!$E46:$Z46,MIN(E$6-$E$3,22))&lt;&gt;""),'Milho 2ª safra'!$E46:INDEX('Milho 2ª safra'!$E46:$Z46,MIN(E$6-$E$3,22))),0))-IF($G$2,0,IF((E$6-$G$3)&lt;1,0,IFERROR(LOOKUP(2,1/('Milho 2ª safra'!$E46:INDEX('Milho 2ª safra'!$E46:$Z46,MIN(E$6-$G$3,22))&lt;&gt;""),'Milho 2ª safra'!$E46:INDEX('Milho 2ª safra'!$E46:$Z46,MIN(E$6-$G$3,22))),0)))))</f>
        <v>0</v>
      </c>
      <c r="F48" s="27" t="n">
        <f aca="false">IF(COUNT('Milho 2ª safra'!$E46:$Z46)=0,0,MAX(0,IF((F$6-$E$3)&lt;1,0,IFERROR(LOOKUP(2,1/('Milho 2ª safra'!$E46:INDEX('Milho 2ª safra'!$E46:$Z46,MIN(F$6-$E$3,22))&lt;&gt;""),'Milho 2ª safra'!$E46:INDEX('Milho 2ª safra'!$E46:$Z46,MIN(F$6-$E$3,22))),0))-IF($G$2,0,IF((F$6-$G$3)&lt;1,0,IFERROR(LOOKUP(2,1/('Milho 2ª safra'!$E46:INDEX('Milho 2ª safra'!$E46:$Z46,MIN(F$6-$G$3,22))&lt;&gt;""),'Milho 2ª safra'!$E46:INDEX('Milho 2ª safra'!$E46:$Z46,MIN(F$6-$G$3,22))),0)))))</f>
        <v>0</v>
      </c>
      <c r="G48" s="27" t="n">
        <f aca="false">IF(COUNT('Milho 2ª safra'!$E46:$Z46)=0,0,MAX(0,IF((G$6-$E$3)&lt;1,0,IFERROR(LOOKUP(2,1/('Milho 2ª safra'!$E46:INDEX('Milho 2ª safra'!$E46:$Z46,MIN(G$6-$E$3,22))&lt;&gt;""),'Milho 2ª safra'!$E46:INDEX('Milho 2ª safra'!$E46:$Z46,MIN(G$6-$E$3,22))),0))-IF($G$2,0,IF((G$6-$G$3)&lt;1,0,IFERROR(LOOKUP(2,1/('Milho 2ª safra'!$E46:INDEX('Milho 2ª safra'!$E46:$Z46,MIN(G$6-$G$3,22))&lt;&gt;""),'Milho 2ª safra'!$E46:INDEX('Milho 2ª safra'!$E46:$Z46,MIN(G$6-$G$3,22))),0)))))</f>
        <v>0</v>
      </c>
      <c r="H48" s="27" t="n">
        <f aca="false">IF(COUNT('Milho 2ª safra'!$E46:$Z46)=0,0,MAX(0,IF((H$6-$E$3)&lt;1,0,IFERROR(LOOKUP(2,1/('Milho 2ª safra'!$E46:INDEX('Milho 2ª safra'!$E46:$Z46,MIN(H$6-$E$3,22))&lt;&gt;""),'Milho 2ª safra'!$E46:INDEX('Milho 2ª safra'!$E46:$Z46,MIN(H$6-$E$3,22))),0))-IF($G$2,0,IF((H$6-$G$3)&lt;1,0,IFERROR(LOOKUP(2,1/('Milho 2ª safra'!$E46:INDEX('Milho 2ª safra'!$E46:$Z46,MIN(H$6-$G$3,22))&lt;&gt;""),'Milho 2ª safra'!$E46:INDEX('Milho 2ª safra'!$E46:$Z46,MIN(H$6-$G$3,22))),0)))))</f>
        <v>0</v>
      </c>
      <c r="I48" s="27" t="n">
        <f aca="false">IF(COUNT('Milho 2ª safra'!$E46:$Z46)=0,0,MAX(0,IF((I$6-$E$3)&lt;1,0,IFERROR(LOOKUP(2,1/('Milho 2ª safra'!$E46:INDEX('Milho 2ª safra'!$E46:$Z46,MIN(I$6-$E$3,22))&lt;&gt;""),'Milho 2ª safra'!$E46:INDEX('Milho 2ª safra'!$E46:$Z46,MIN(I$6-$E$3,22))),0))-IF($G$2,0,IF((I$6-$G$3)&lt;1,0,IFERROR(LOOKUP(2,1/('Milho 2ª safra'!$E46:INDEX('Milho 2ª safra'!$E46:$Z46,MIN(I$6-$G$3,22))&lt;&gt;""),'Milho 2ª safra'!$E46:INDEX('Milho 2ª safra'!$E46:$Z46,MIN(I$6-$G$3,22))),0)))))</f>
        <v>0</v>
      </c>
      <c r="J48" s="27" t="n">
        <f aca="false">IF(COUNT('Milho 2ª safra'!$E46:$Z46)=0,0,MAX(0,IF((J$6-$E$3)&lt;1,0,IFERROR(LOOKUP(2,1/('Milho 2ª safra'!$E46:INDEX('Milho 2ª safra'!$E46:$Z46,MIN(J$6-$E$3,22))&lt;&gt;""),'Milho 2ª safra'!$E46:INDEX('Milho 2ª safra'!$E46:$Z46,MIN(J$6-$E$3,22))),0))-IF($G$2,0,IF((J$6-$G$3)&lt;1,0,IFERROR(LOOKUP(2,1/('Milho 2ª safra'!$E46:INDEX('Milho 2ª safra'!$E46:$Z46,MIN(J$6-$G$3,22))&lt;&gt;""),'Milho 2ª safra'!$E46:INDEX('Milho 2ª safra'!$E46:$Z46,MIN(J$6-$G$3,22))),0)))))</f>
        <v>0</v>
      </c>
      <c r="K48" s="27" t="n">
        <f aca="false">IF(COUNT('Milho 2ª safra'!$E46:$Z46)=0,0,MAX(0,IF((K$6-$E$3)&lt;1,0,IFERROR(LOOKUP(2,1/('Milho 2ª safra'!$E46:INDEX('Milho 2ª safra'!$E46:$Z46,MIN(K$6-$E$3,22))&lt;&gt;""),'Milho 2ª safra'!$E46:INDEX('Milho 2ª safra'!$E46:$Z46,MIN(K$6-$E$3,22))),0))-IF($G$2,0,IF((K$6-$G$3)&lt;1,0,IFERROR(LOOKUP(2,1/('Milho 2ª safra'!$E46:INDEX('Milho 2ª safra'!$E46:$Z46,MIN(K$6-$G$3,22))&lt;&gt;""),'Milho 2ª safra'!$E46:INDEX('Milho 2ª safra'!$E46:$Z46,MIN(K$6-$G$3,22))),0)))))</f>
        <v>0</v>
      </c>
      <c r="L48" s="27" t="n">
        <f aca="false">IF(COUNT('Milho 2ª safra'!$E46:$Z46)=0,0,MAX(0,IF((L$6-$E$3)&lt;1,0,IFERROR(LOOKUP(2,1/('Milho 2ª safra'!$E46:INDEX('Milho 2ª safra'!$E46:$Z46,MIN(L$6-$E$3,22))&lt;&gt;""),'Milho 2ª safra'!$E46:INDEX('Milho 2ª safra'!$E46:$Z46,MIN(L$6-$E$3,22))),0))-IF($G$2,0,IF((L$6-$G$3)&lt;1,0,IFERROR(LOOKUP(2,1/('Milho 2ª safra'!$E46:INDEX('Milho 2ª safra'!$E46:$Z46,MIN(L$6-$G$3,22))&lt;&gt;""),'Milho 2ª safra'!$E46:INDEX('Milho 2ª safra'!$E46:$Z46,MIN(L$6-$G$3,22))),0)))))</f>
        <v>0</v>
      </c>
      <c r="M48" s="27" t="n">
        <f aca="false">IF(COUNT('Milho 2ª safra'!$E46:$Z46)=0,0,MAX(0,IF((M$6-$E$3)&lt;1,0,IFERROR(LOOKUP(2,1/('Milho 2ª safra'!$E46:INDEX('Milho 2ª safra'!$E46:$Z46,MIN(M$6-$E$3,22))&lt;&gt;""),'Milho 2ª safra'!$E46:INDEX('Milho 2ª safra'!$E46:$Z46,MIN(M$6-$E$3,22))),0))-IF($G$2,0,IF((M$6-$G$3)&lt;1,0,IFERROR(LOOKUP(2,1/('Milho 2ª safra'!$E46:INDEX('Milho 2ª safra'!$E46:$Z46,MIN(M$6-$G$3,22))&lt;&gt;""),'Milho 2ª safra'!$E46:INDEX('Milho 2ª safra'!$E46:$Z46,MIN(M$6-$G$3,22))),0)))))</f>
        <v>0</v>
      </c>
      <c r="N48" s="27" t="n">
        <f aca="false">IF(COUNT('Milho 2ª safra'!$E46:$Z46)=0,0,MAX(0,IF((N$6-$E$3)&lt;1,0,IFERROR(LOOKUP(2,1/('Milho 2ª safra'!$E46:INDEX('Milho 2ª safra'!$E46:$Z46,MIN(N$6-$E$3,22))&lt;&gt;""),'Milho 2ª safra'!$E46:INDEX('Milho 2ª safra'!$E46:$Z46,MIN(N$6-$E$3,22))),0))-IF($G$2,0,IF((N$6-$G$3)&lt;1,0,IFERROR(LOOKUP(2,1/('Milho 2ª safra'!$E46:INDEX('Milho 2ª safra'!$E46:$Z46,MIN(N$6-$G$3,22))&lt;&gt;""),'Milho 2ª safra'!$E46:INDEX('Milho 2ª safra'!$E46:$Z46,MIN(N$6-$G$3,22))),0)))))</f>
        <v>0</v>
      </c>
      <c r="O48" s="27" t="n">
        <f aca="false">IF(COUNT('Milho 2ª safra'!$E46:$Z46)=0,0,MAX(0,IF((O$6-$E$3)&lt;1,0,IFERROR(LOOKUP(2,1/('Milho 2ª safra'!$E46:INDEX('Milho 2ª safra'!$E46:$Z46,MIN(O$6-$E$3,22))&lt;&gt;""),'Milho 2ª safra'!$E46:INDEX('Milho 2ª safra'!$E46:$Z46,MIN(O$6-$E$3,22))),0))-IF($G$2,0,IF((O$6-$G$3)&lt;1,0,IFERROR(LOOKUP(2,1/('Milho 2ª safra'!$E46:INDEX('Milho 2ª safra'!$E46:$Z46,MIN(O$6-$G$3,22))&lt;&gt;""),'Milho 2ª safra'!$E46:INDEX('Milho 2ª safra'!$E46:$Z46,MIN(O$6-$G$3,22))),0)))))</f>
        <v>0</v>
      </c>
      <c r="P48" s="27" t="n">
        <f aca="false">IF(COUNT('Milho 2ª safra'!$E46:$Z46)=0,0,MAX(0,IF((P$6-$E$3)&lt;1,0,IFERROR(LOOKUP(2,1/('Milho 2ª safra'!$E46:INDEX('Milho 2ª safra'!$E46:$Z46,MIN(P$6-$E$3,22))&lt;&gt;""),'Milho 2ª safra'!$E46:INDEX('Milho 2ª safra'!$E46:$Z46,MIN(P$6-$E$3,22))),0))-IF($G$2,0,IF((P$6-$G$3)&lt;1,0,IFERROR(LOOKUP(2,1/('Milho 2ª safra'!$E46:INDEX('Milho 2ª safra'!$E46:$Z46,MIN(P$6-$G$3,22))&lt;&gt;""),'Milho 2ª safra'!$E46:INDEX('Milho 2ª safra'!$E46:$Z46,MIN(P$6-$G$3,22))),0)))))</f>
        <v>0</v>
      </c>
      <c r="Q48" s="27" t="n">
        <f aca="false">IF(COUNT('Milho 2ª safra'!$E46:$Z46)=0,0,MAX(0,IF((Q$6-$E$3)&lt;1,0,IFERROR(LOOKUP(2,1/('Milho 2ª safra'!$E46:INDEX('Milho 2ª safra'!$E46:$Z46,MIN(Q$6-$E$3,22))&lt;&gt;""),'Milho 2ª safra'!$E46:INDEX('Milho 2ª safra'!$E46:$Z46,MIN(Q$6-$E$3,22))),0))-IF($G$2,0,IF((Q$6-$G$3)&lt;1,0,IFERROR(LOOKUP(2,1/('Milho 2ª safra'!$E46:INDEX('Milho 2ª safra'!$E46:$Z46,MIN(Q$6-$G$3,22))&lt;&gt;""),'Milho 2ª safra'!$E46:INDEX('Milho 2ª safra'!$E46:$Z46,MIN(Q$6-$G$3,22))),0)))))</f>
        <v>0</v>
      </c>
      <c r="R48" s="27" t="n">
        <f aca="false">IF(COUNT('Milho 2ª safra'!$E46:$Z46)=0,0,MAX(0,IF((R$6-$E$3)&lt;1,0,IFERROR(LOOKUP(2,1/('Milho 2ª safra'!$E46:INDEX('Milho 2ª safra'!$E46:$Z46,MIN(R$6-$E$3,22))&lt;&gt;""),'Milho 2ª safra'!$E46:INDEX('Milho 2ª safra'!$E46:$Z46,MIN(R$6-$E$3,22))),0))-IF($G$2,0,IF((R$6-$G$3)&lt;1,0,IFERROR(LOOKUP(2,1/('Milho 2ª safra'!$E46:INDEX('Milho 2ª safra'!$E46:$Z46,MIN(R$6-$G$3,22))&lt;&gt;""),'Milho 2ª safra'!$E46:INDEX('Milho 2ª safra'!$E46:$Z46,MIN(R$6-$G$3,22))),0)))))</f>
        <v>0</v>
      </c>
      <c r="S48" s="27" t="n">
        <f aca="false">IF(COUNT('Milho 2ª safra'!$E46:$Z46)=0,0,MAX(0,IF((S$6-$E$3)&lt;1,0,IFERROR(LOOKUP(2,1/('Milho 2ª safra'!$E46:INDEX('Milho 2ª safra'!$E46:$Z46,MIN(S$6-$E$3,22))&lt;&gt;""),'Milho 2ª safra'!$E46:INDEX('Milho 2ª safra'!$E46:$Z46,MIN(S$6-$E$3,22))),0))-IF($G$2,0,IF((S$6-$G$3)&lt;1,0,IFERROR(LOOKUP(2,1/('Milho 2ª safra'!$E46:INDEX('Milho 2ª safra'!$E46:$Z46,MIN(S$6-$G$3,22))&lt;&gt;""),'Milho 2ª safra'!$E46:INDEX('Milho 2ª safra'!$E46:$Z46,MIN(S$6-$G$3,22))),0)))))</f>
        <v>0</v>
      </c>
      <c r="T48" s="27" t="n">
        <f aca="false">IF(COUNT('Milho 2ª safra'!$E46:$Z46)=0,0,MAX(0,IF((T$6-$E$3)&lt;1,0,IFERROR(LOOKUP(2,1/('Milho 2ª safra'!$E46:INDEX('Milho 2ª safra'!$E46:$Z46,MIN(T$6-$E$3,22))&lt;&gt;""),'Milho 2ª safra'!$E46:INDEX('Milho 2ª safra'!$E46:$Z46,MIN(T$6-$E$3,22))),0))-IF($G$2,0,IF((T$6-$G$3)&lt;1,0,IFERROR(LOOKUP(2,1/('Milho 2ª safra'!$E46:INDEX('Milho 2ª safra'!$E46:$Z46,MIN(T$6-$G$3,22))&lt;&gt;""),'Milho 2ª safra'!$E46:INDEX('Milho 2ª safra'!$E46:$Z46,MIN(T$6-$G$3,22))),0)))))</f>
        <v>0</v>
      </c>
      <c r="U48" s="27" t="n">
        <f aca="false">IF(COUNT('Milho 2ª safra'!$E46:$Z46)=0,0,MAX(0,IF((U$6-$E$3)&lt;1,0,IFERROR(LOOKUP(2,1/('Milho 2ª safra'!$E46:INDEX('Milho 2ª safra'!$E46:$Z46,MIN(U$6-$E$3,22))&lt;&gt;""),'Milho 2ª safra'!$E46:INDEX('Milho 2ª safra'!$E46:$Z46,MIN(U$6-$E$3,22))),0))-IF($G$2,0,IF((U$6-$G$3)&lt;1,0,IFERROR(LOOKUP(2,1/('Milho 2ª safra'!$E46:INDEX('Milho 2ª safra'!$E46:$Z46,MIN(U$6-$G$3,22))&lt;&gt;""),'Milho 2ª safra'!$E46:INDEX('Milho 2ª safra'!$E46:$Z46,MIN(U$6-$G$3,22))),0)))))</f>
        <v>0</v>
      </c>
      <c r="V48" s="27" t="n">
        <f aca="false">IF(COUNT('Milho 2ª safra'!$E46:$Z46)=0,0,MAX(0,IF((V$6-$E$3)&lt;1,0,IFERROR(LOOKUP(2,1/('Milho 2ª safra'!$E46:INDEX('Milho 2ª safra'!$E46:$Z46,MIN(V$6-$E$3,22))&lt;&gt;""),'Milho 2ª safra'!$E46:INDEX('Milho 2ª safra'!$E46:$Z46,MIN(V$6-$E$3,22))),0))-IF($G$2,0,IF((V$6-$G$3)&lt;1,0,IFERROR(LOOKUP(2,1/('Milho 2ª safra'!$E46:INDEX('Milho 2ª safra'!$E46:$Z46,MIN(V$6-$G$3,22))&lt;&gt;""),'Milho 2ª safra'!$E46:INDEX('Milho 2ª safra'!$E46:$Z46,MIN(V$6-$G$3,22))),0)))))</f>
        <v>0</v>
      </c>
      <c r="W48" s="27" t="n">
        <f aca="false">IF(COUNT('Milho 2ª safra'!$E46:$Z46)=0,0,MAX(0,IF((W$6-$E$3)&lt;1,0,IFERROR(LOOKUP(2,1/('Milho 2ª safra'!$E46:INDEX('Milho 2ª safra'!$E46:$Z46,MIN(W$6-$E$3,22))&lt;&gt;""),'Milho 2ª safra'!$E46:INDEX('Milho 2ª safra'!$E46:$Z46,MIN(W$6-$E$3,22))),0))-IF($G$2,0,IF((W$6-$G$3)&lt;1,0,IFERROR(LOOKUP(2,1/('Milho 2ª safra'!$E46:INDEX('Milho 2ª safra'!$E46:$Z46,MIN(W$6-$G$3,22))&lt;&gt;""),'Milho 2ª safra'!$E46:INDEX('Milho 2ª safra'!$E46:$Z46,MIN(W$6-$G$3,22))),0)))))</f>
        <v>0</v>
      </c>
      <c r="X48" s="27" t="n">
        <f aca="false">IF(COUNT('Milho 2ª safra'!$E46:$Z46)=0,0,MAX(0,IF((X$6-$E$3)&lt;1,0,IFERROR(LOOKUP(2,1/('Milho 2ª safra'!$E46:INDEX('Milho 2ª safra'!$E46:$Z46,MIN(X$6-$E$3,22))&lt;&gt;""),'Milho 2ª safra'!$E46:INDEX('Milho 2ª safra'!$E46:$Z46,MIN(X$6-$E$3,22))),0))-IF($G$2,0,IF((X$6-$G$3)&lt;1,0,IFERROR(LOOKUP(2,1/('Milho 2ª safra'!$E46:INDEX('Milho 2ª safra'!$E46:$Z46,MIN(X$6-$G$3,22))&lt;&gt;""),'Milho 2ª safra'!$E46:INDEX('Milho 2ª safra'!$E46:$Z46,MIN(X$6-$G$3,22))),0)))))</f>
        <v>0</v>
      </c>
      <c r="Y48" s="27" t="n">
        <f aca="false">IF(COUNT('Milho 2ª safra'!$E46:$Z46)=0,0,MAX(0,IF((Y$6-$E$3)&lt;1,0,IFERROR(LOOKUP(2,1/('Milho 2ª safra'!$E46:INDEX('Milho 2ª safra'!$E46:$Z46,MIN(Y$6-$E$3,22))&lt;&gt;""),'Milho 2ª safra'!$E46:INDEX('Milho 2ª safra'!$E46:$Z46,MIN(Y$6-$E$3,22))),0))-IF($G$2,0,IF((Y$6-$G$3)&lt;1,0,IFERROR(LOOKUP(2,1/('Milho 2ª safra'!$E46:INDEX('Milho 2ª safra'!$E46:$Z46,MIN(Y$6-$G$3,22))&lt;&gt;""),'Milho 2ª safra'!$E46:INDEX('Milho 2ª safra'!$E46:$Z46,MIN(Y$6-$G$3,22))),0)))))</f>
        <v>0</v>
      </c>
      <c r="Z48" s="27" t="n">
        <f aca="false">IF(COUNT('Milho 2ª safra'!$E46:$Z46)=0,0,MAX(0,IF((Z$6-$E$3)&lt;1,0,IFERROR(LOOKUP(2,1/('Milho 2ª safra'!$E46:INDEX('Milho 2ª safra'!$E46:$Z46,MIN(Z$6-$E$3,22))&lt;&gt;""),'Milho 2ª safra'!$E46:INDEX('Milho 2ª safra'!$E46:$Z46,MIN(Z$6-$E$3,22))),0))-IF($G$2,0,IF((Z$6-$G$3)&lt;1,0,IFERROR(LOOKUP(2,1/('Milho 2ª safra'!$E46:INDEX('Milho 2ª safra'!$E46:$Z46,MIN(Z$6-$G$3,22))&lt;&gt;""),'Milho 2ª safra'!$E46:INDEX('Milho 2ª safra'!$E46:$Z46,MIN(Z$6-$G$3,22))),0)))))</f>
        <v>0</v>
      </c>
      <c r="AA48" s="27" t="n">
        <f aca="false">IF(COUNT('Milho 2ª safra'!$E46:$Z46)=0,0,MAX(0,IF((AA$6-$E$3)&lt;1,0,IFERROR(LOOKUP(2,1/('Milho 2ª safra'!$E46:INDEX('Milho 2ª safra'!$E46:$Z46,MIN(AA$6-$E$3,22))&lt;&gt;""),'Milho 2ª safra'!$E46:INDEX('Milho 2ª safra'!$E46:$Z46,MIN(AA$6-$E$3,22))),0))-IF($G$2,0,IF((AA$6-$G$3)&lt;1,0,IFERROR(LOOKUP(2,1/('Milho 2ª safra'!$E46:INDEX('Milho 2ª safra'!$E46:$Z46,MIN(AA$6-$G$3,22))&lt;&gt;""),'Milho 2ª safra'!$E46:INDEX('Milho 2ª safra'!$E46:$Z46,MIN(AA$6-$G$3,22))),0)))))</f>
        <v>0</v>
      </c>
      <c r="AB48" s="27" t="n">
        <f aca="false">IF(COUNT('Milho 2ª safra'!$E46:$Z46)=0,0,MAX(0,IF((AB$6-$E$3)&lt;1,0,IFERROR(LOOKUP(2,1/('Milho 2ª safra'!$E46:INDEX('Milho 2ª safra'!$E46:$Z46,MIN(AB$6-$E$3,22))&lt;&gt;""),'Milho 2ª safra'!$E46:INDEX('Milho 2ª safra'!$E46:$Z46,MIN(AB$6-$E$3,22))),0))-IF($G$2,0,IF((AB$6-$G$3)&lt;1,0,IFERROR(LOOKUP(2,1/('Milho 2ª safra'!$E46:INDEX('Milho 2ª safra'!$E46:$Z46,MIN(AB$6-$G$3,22))&lt;&gt;""),'Milho 2ª safra'!$E46:INDEX('Milho 2ª safra'!$E46:$Z46,MIN(AB$6-$G$3,22))),0)))))</f>
        <v>0</v>
      </c>
      <c r="AC48" s="27" t="n">
        <f aca="false">IF(COUNT('Milho 2ª safra'!$E46:$Z46)=0,0,MAX(0,IF((AC$6-$E$3)&lt;1,0,IFERROR(LOOKUP(2,1/('Milho 2ª safra'!$E46:INDEX('Milho 2ª safra'!$E46:$Z46,MIN(AC$6-$E$3,22))&lt;&gt;""),'Milho 2ª safra'!$E46:INDEX('Milho 2ª safra'!$E46:$Z46,MIN(AC$6-$E$3,22))),0))-IF($G$2,0,IF((AC$6-$G$3)&lt;1,0,IFERROR(LOOKUP(2,1/('Milho 2ª safra'!$E46:INDEX('Milho 2ª safra'!$E46:$Z46,MIN(AC$6-$G$3,22))&lt;&gt;""),'Milho 2ª safra'!$E46:INDEX('Milho 2ª safra'!$E46:$Z46,MIN(AC$6-$G$3,22))),0)))))</f>
        <v>0</v>
      </c>
      <c r="AD48" s="27" t="n">
        <f aca="false">IF(COUNT('Milho 2ª safra'!$E46:$Z46)=0,0,MAX(0,IF((AD$6-$E$3)&lt;1,0,IFERROR(LOOKUP(2,1/('Milho 2ª safra'!$E46:INDEX('Milho 2ª safra'!$E46:$Z46,MIN(AD$6-$E$3,22))&lt;&gt;""),'Milho 2ª safra'!$E46:INDEX('Milho 2ª safra'!$E46:$Z46,MIN(AD$6-$E$3,22))),0))-IF($G$2,0,IF((AD$6-$G$3)&lt;1,0,IFERROR(LOOKUP(2,1/('Milho 2ª safra'!$E46:INDEX('Milho 2ª safra'!$E46:$Z46,MIN(AD$6-$G$3,22))&lt;&gt;""),'Milho 2ª safra'!$E46:INDEX('Milho 2ª safra'!$E46:$Z46,MIN(AD$6-$G$3,22))),0)))))</f>
        <v>0</v>
      </c>
      <c r="AE48" s="27" t="n">
        <f aca="false">IF(COUNT('Milho 2ª safra'!$E46:$Z46)=0,0,MAX(0,IF((AE$6-$E$3)&lt;1,0,IFERROR(LOOKUP(2,1/('Milho 2ª safra'!$E46:INDEX('Milho 2ª safra'!$E46:$Z46,MIN(AE$6-$E$3,22))&lt;&gt;""),'Milho 2ª safra'!$E46:INDEX('Milho 2ª safra'!$E46:$Z46,MIN(AE$6-$E$3,22))),0))-IF($G$2,0,IF((AE$6-$G$3)&lt;1,0,IFERROR(LOOKUP(2,1/('Milho 2ª safra'!$E46:INDEX('Milho 2ª safra'!$E46:$Z46,MIN(AE$6-$G$3,22))&lt;&gt;""),'Milho 2ª safra'!$E46:INDEX('Milho 2ª safra'!$E46:$Z46,MIN(AE$6-$G$3,22))),0)))))</f>
        <v>0</v>
      </c>
      <c r="AF48" s="27" t="n">
        <f aca="false">IF(COUNT('Milho 2ª safra'!$E46:$Z46)=0,0,MAX(0,IF((AF$6-$E$3)&lt;1,0,IFERROR(LOOKUP(2,1/('Milho 2ª safra'!$E46:INDEX('Milho 2ª safra'!$E46:$Z46,MIN(AF$6-$E$3,22))&lt;&gt;""),'Milho 2ª safra'!$E46:INDEX('Milho 2ª safra'!$E46:$Z46,MIN(AF$6-$E$3,22))),0))-IF($G$2,0,IF((AF$6-$G$3)&lt;1,0,IFERROR(LOOKUP(2,1/('Milho 2ª safra'!$E46:INDEX('Milho 2ª safra'!$E46:$Z46,MIN(AF$6-$G$3,22))&lt;&gt;""),'Milho 2ª safra'!$E46:INDEX('Milho 2ª safra'!$E46:$Z46,MIN(AF$6-$G$3,22))),0)))))</f>
        <v>0</v>
      </c>
      <c r="AG48" s="27" t="n">
        <f aca="false">IF(COUNT('Milho 2ª safra'!$E46:$Z46)=0,0,MAX(0,IF((AG$6-$E$3)&lt;1,0,IFERROR(LOOKUP(2,1/('Milho 2ª safra'!$E46:INDEX('Milho 2ª safra'!$E46:$Z46,MIN(AG$6-$E$3,22))&lt;&gt;""),'Milho 2ª safra'!$E46:INDEX('Milho 2ª safra'!$E46:$Z46,MIN(AG$6-$E$3,22))),0))-IF($G$2,0,IF((AG$6-$G$3)&lt;1,0,IFERROR(LOOKUP(2,1/('Milho 2ª safra'!$E46:INDEX('Milho 2ª safra'!$E46:$Z46,MIN(AG$6-$G$3,22))&lt;&gt;""),'Milho 2ª safra'!$E46:INDEX('Milho 2ª safra'!$E46:$Z46,MIN(AG$6-$G$3,22))),0)))))</f>
        <v>0</v>
      </c>
      <c r="AH48" s="27" t="n">
        <f aca="false">IF(COUNT('Milho 2ª safra'!$E46:$Z46)=0,0,MAX(0,IF((AH$6-$E$3)&lt;1,0,IFERROR(LOOKUP(2,1/('Milho 2ª safra'!$E46:INDEX('Milho 2ª safra'!$E46:$Z46,MIN(AH$6-$E$3,22))&lt;&gt;""),'Milho 2ª safra'!$E46:INDEX('Milho 2ª safra'!$E46:$Z46,MIN(AH$6-$E$3,22))),0))-IF($G$2,0,IF((AH$6-$G$3)&lt;1,0,IFERROR(LOOKUP(2,1/('Milho 2ª safra'!$E46:INDEX('Milho 2ª safra'!$E46:$Z46,MIN(AH$6-$G$3,22))&lt;&gt;""),'Milho 2ª safra'!$E46:INDEX('Milho 2ª safra'!$E46:$Z46,MIN(AH$6-$G$3,22))),0)))))</f>
        <v>0</v>
      </c>
      <c r="AI48" s="27" t="n">
        <f aca="false">IF(COUNT('Milho 2ª safra'!$E46:$Z46)=0,0,MAX(0,IF((AI$6-$E$3)&lt;1,0,IFERROR(LOOKUP(2,1/('Milho 2ª safra'!$E46:INDEX('Milho 2ª safra'!$E46:$Z46,MIN(AI$6-$E$3,22))&lt;&gt;""),'Milho 2ª safra'!$E46:INDEX('Milho 2ª safra'!$E46:$Z46,MIN(AI$6-$E$3,22))),0))-IF($G$2,0,IF((AI$6-$G$3)&lt;1,0,IFERROR(LOOKUP(2,1/('Milho 2ª safra'!$E46:INDEX('Milho 2ª safra'!$E46:$Z46,MIN(AI$6-$G$3,22))&lt;&gt;""),'Milho 2ª safra'!$E46:INDEX('Milho 2ª safra'!$E46:$Z46,MIN(AI$6-$G$3,22))),0)))))</f>
        <v>0</v>
      </c>
      <c r="AJ48" s="27" t="n">
        <f aca="false">IF(COUNT('Milho 2ª safra'!$E46:$Z46)=0,0,MAX(0,IF((AJ$6-$E$3)&lt;1,0,IFERROR(LOOKUP(2,1/('Milho 2ª safra'!$E46:INDEX('Milho 2ª safra'!$E46:$Z46,MIN(AJ$6-$E$3,22))&lt;&gt;""),'Milho 2ª safra'!$E46:INDEX('Milho 2ª safra'!$E46:$Z46,MIN(AJ$6-$E$3,22))),0))-IF($G$2,0,IF((AJ$6-$G$3)&lt;1,0,IFERROR(LOOKUP(2,1/('Milho 2ª safra'!$E46:INDEX('Milho 2ª safra'!$E46:$Z46,MIN(AJ$6-$G$3,22))&lt;&gt;""),'Milho 2ª safra'!$E46:INDEX('Milho 2ª safra'!$E46:$Z46,MIN(AJ$6-$G$3,22))),0)))))</f>
        <v>0</v>
      </c>
      <c r="AK48" s="27" t="n">
        <f aca="false">IF(COUNT('Milho 2ª safra'!$E46:$Z46)=0,0,MAX(0,IF((AK$6-$E$3)&lt;1,0,IFERROR(LOOKUP(2,1/('Milho 2ª safra'!$E46:INDEX('Milho 2ª safra'!$E46:$Z46,MIN(AK$6-$E$3,22))&lt;&gt;""),'Milho 2ª safra'!$E46:INDEX('Milho 2ª safra'!$E46:$Z46,MIN(AK$6-$E$3,22))),0))-IF($G$2,0,IF((AK$6-$G$3)&lt;1,0,IFERROR(LOOKUP(2,1/('Milho 2ª safra'!$E46:INDEX('Milho 2ª safra'!$E46:$Z46,MIN(AK$6-$G$3,22))&lt;&gt;""),'Milho 2ª safra'!$E46:INDEX('Milho 2ª safra'!$E46:$Z46,MIN(AK$6-$G$3,22))),0)))))</f>
        <v>0</v>
      </c>
      <c r="AL48" s="27" t="n">
        <f aca="false">IF(COUNT('Milho 2ª safra'!$E46:$Z46)=0,0,MAX(0,IF((AL$6-$E$3)&lt;1,0,IFERROR(LOOKUP(2,1/('Milho 2ª safra'!$E46:INDEX('Milho 2ª safra'!$E46:$Z46,MIN(AL$6-$E$3,22))&lt;&gt;""),'Milho 2ª safra'!$E46:INDEX('Milho 2ª safra'!$E46:$Z46,MIN(AL$6-$E$3,22))),0))-IF($G$2,0,IF((AL$6-$G$3)&lt;1,0,IFERROR(LOOKUP(2,1/('Milho 2ª safra'!$E46:INDEX('Milho 2ª safra'!$E46:$Z46,MIN(AL$6-$G$3,22))&lt;&gt;""),'Milho 2ª safra'!$E46:INDEX('Milho 2ª safra'!$E46:$Z46,MIN(AL$6-$G$3,22))),0)))))</f>
        <v>0</v>
      </c>
      <c r="AM48" s="27" t="n">
        <f aca="false">IF(COUNT('Milho 2ª safra'!$E46:$Z46)=0,0,MAX(0,IF((AM$6-$E$3)&lt;1,0,IFERROR(LOOKUP(2,1/('Milho 2ª safra'!$E46:INDEX('Milho 2ª safra'!$E46:$Z46,MIN(AM$6-$E$3,22))&lt;&gt;""),'Milho 2ª safra'!$E46:INDEX('Milho 2ª safra'!$E46:$Z46,MIN(AM$6-$E$3,22))),0))-IF($G$2,0,IF((AM$6-$G$3)&lt;1,0,IFERROR(LOOKUP(2,1/('Milho 2ª safra'!$E46:INDEX('Milho 2ª safra'!$E46:$Z46,MIN(AM$6-$G$3,22))&lt;&gt;""),'Milho 2ª safra'!$E46:INDEX('Milho 2ª safra'!$E46:$Z46,MIN(AM$6-$G$3,22))),0)))))</f>
        <v>0</v>
      </c>
      <c r="AN48" s="27" t="n">
        <f aca="false">IF(COUNT('Milho 2ª safra'!$E46:$Z46)=0,0,MAX(0,IF((AN$6-$E$3)&lt;1,0,IFERROR(LOOKUP(2,1/('Milho 2ª safra'!$E46:INDEX('Milho 2ª safra'!$E46:$Z46,MIN(AN$6-$E$3,22))&lt;&gt;""),'Milho 2ª safra'!$E46:INDEX('Milho 2ª safra'!$E46:$Z46,MIN(AN$6-$E$3,22))),0))-IF($G$2,0,IF((AN$6-$G$3)&lt;1,0,IFERROR(LOOKUP(2,1/('Milho 2ª safra'!$E46:INDEX('Milho 2ª safra'!$E46:$Z46,MIN(AN$6-$G$3,22))&lt;&gt;""),'Milho 2ª safra'!$E46:INDEX('Milho 2ª safra'!$E46:$Z46,MIN(AN$6-$G$3,22))),0)))))</f>
        <v>0</v>
      </c>
      <c r="AO48" s="27" t="n">
        <f aca="false">IF(COUNT('Milho 2ª safra'!$E46:$Z46)=0,0,MAX(0,IF((AO$6-$E$3)&lt;1,0,IFERROR(LOOKUP(2,1/('Milho 2ª safra'!$E46:INDEX('Milho 2ª safra'!$E46:$Z46,MIN(AO$6-$E$3,22))&lt;&gt;""),'Milho 2ª safra'!$E46:INDEX('Milho 2ª safra'!$E46:$Z46,MIN(AO$6-$E$3,22))),0))-IF($G$2,0,IF((AO$6-$G$3)&lt;1,0,IFERROR(LOOKUP(2,1/('Milho 2ª safra'!$E46:INDEX('Milho 2ª safra'!$E46:$Z46,MIN(AO$6-$G$3,22))&lt;&gt;""),'Milho 2ª safra'!$E46:INDEX('Milho 2ª safra'!$E46:$Z46,MIN(AO$6-$G$3,22))),0)))))</f>
        <v>0</v>
      </c>
      <c r="AP48" s="27" t="n">
        <f aca="false">IF(COUNT('Milho 2ª safra'!$E46:$Z46)=0,0,MAX(0,IF((AP$6-$E$3)&lt;1,0,IFERROR(LOOKUP(2,1/('Milho 2ª safra'!$E46:INDEX('Milho 2ª safra'!$E46:$Z46,MIN(AP$6-$E$3,22))&lt;&gt;""),'Milho 2ª safra'!$E46:INDEX('Milho 2ª safra'!$E46:$Z46,MIN(AP$6-$E$3,22))),0))-IF($G$2,0,IF((AP$6-$G$3)&lt;1,0,IFERROR(LOOKUP(2,1/('Milho 2ª safra'!$E46:INDEX('Milho 2ª safra'!$E46:$Z46,MIN(AP$6-$G$3,22))&lt;&gt;""),'Milho 2ª safra'!$E46:INDEX('Milho 2ª safra'!$E46:$Z46,MIN(AP$6-$G$3,22))),0)))))</f>
        <v>0</v>
      </c>
      <c r="AQ48" s="27" t="n">
        <f aca="false">IF(COUNT('Milho 2ª safra'!$E46:$Z46)=0,0,MAX(0,IF((AQ$6-$E$3)&lt;1,0,IFERROR(LOOKUP(2,1/('Milho 2ª safra'!$E46:INDEX('Milho 2ª safra'!$E46:$Z46,MIN(AQ$6-$E$3,22))&lt;&gt;""),'Milho 2ª safra'!$E46:INDEX('Milho 2ª safra'!$E46:$Z46,MIN(AQ$6-$E$3,22))),0))-IF($G$2,0,IF((AQ$6-$G$3)&lt;1,0,IFERROR(LOOKUP(2,1/('Milho 2ª safra'!$E46:INDEX('Milho 2ª safra'!$E46:$Z46,MIN(AQ$6-$G$3,22))&lt;&gt;""),'Milho 2ª safra'!$E46:INDEX('Milho 2ª safra'!$E46:$Z46,MIN(AQ$6-$G$3,22))),0)))))</f>
        <v>0</v>
      </c>
      <c r="AR48" s="27" t="n">
        <f aca="false">IF(COUNT('Milho 2ª safra'!$E46:$Z46)=0,0,MAX(0,IF((AR$6-$E$3)&lt;1,0,IFERROR(LOOKUP(2,1/('Milho 2ª safra'!$E46:INDEX('Milho 2ª safra'!$E46:$Z46,MIN(AR$6-$E$3,22))&lt;&gt;""),'Milho 2ª safra'!$E46:INDEX('Milho 2ª safra'!$E46:$Z46,MIN(AR$6-$E$3,22))),0))-IF($G$2,0,IF((AR$6-$G$3)&lt;1,0,IFERROR(LOOKUP(2,1/('Milho 2ª safra'!$E46:INDEX('Milho 2ª safra'!$E46:$Z46,MIN(AR$6-$G$3,22))&lt;&gt;""),'Milho 2ª safra'!$E46:INDEX('Milho 2ª safra'!$E46:$Z46,MIN(AR$6-$G$3,22))),0)))))</f>
        <v>0</v>
      </c>
      <c r="AS48" s="27" t="n">
        <f aca="false">IF(COUNT('Milho 2ª safra'!$E46:$Z46)=0,0,MAX(0,IF((AS$6-$E$3)&lt;1,0,IFERROR(LOOKUP(2,1/('Milho 2ª safra'!$E46:INDEX('Milho 2ª safra'!$E46:$Z46,MIN(AS$6-$E$3,22))&lt;&gt;""),'Milho 2ª safra'!$E46:INDEX('Milho 2ª safra'!$E46:$Z46,MIN(AS$6-$E$3,22))),0))-IF($G$2,0,IF((AS$6-$G$3)&lt;1,0,IFERROR(LOOKUP(2,1/('Milho 2ª safra'!$E46:INDEX('Milho 2ª safra'!$E46:$Z46,MIN(AS$6-$G$3,22))&lt;&gt;""),'Milho 2ª safra'!$E46:INDEX('Milho 2ª safra'!$E46:$Z46,MIN(AS$6-$G$3,22))),0)))))</f>
        <v>0</v>
      </c>
      <c r="AT48" s="27" t="n">
        <f aca="false">IF(COUNT('Milho 2ª safra'!$E46:$Z46)=0,0,MAX(0,IF((AT$6-$E$3)&lt;1,0,IFERROR(LOOKUP(2,1/('Milho 2ª safra'!$E46:INDEX('Milho 2ª safra'!$E46:$Z46,MIN(AT$6-$E$3,22))&lt;&gt;""),'Milho 2ª safra'!$E46:INDEX('Milho 2ª safra'!$E46:$Z46,MIN(AT$6-$E$3,22))),0))-IF($G$2,0,IF((AT$6-$G$3)&lt;1,0,IFERROR(LOOKUP(2,1/('Milho 2ª safra'!$E46:INDEX('Milho 2ª safra'!$E46:$Z46,MIN(AT$6-$G$3,22))&lt;&gt;""),'Milho 2ª safra'!$E46:INDEX('Milho 2ª safra'!$E46:$Z46,MIN(AT$6-$G$3,22))),0)))))</f>
        <v>0</v>
      </c>
      <c r="AU48" s="27" t="n">
        <f aca="false">IF(COUNT('Milho 2ª safra'!$E46:$Z46)=0,0,MAX(0,IF((AU$6-$E$3)&lt;1,0,IFERROR(LOOKUP(2,1/('Milho 2ª safra'!$E46:INDEX('Milho 2ª safra'!$E46:$Z46,MIN(AU$6-$E$3,22))&lt;&gt;""),'Milho 2ª safra'!$E46:INDEX('Milho 2ª safra'!$E46:$Z46,MIN(AU$6-$E$3,22))),0))-IF($G$2,0,IF((AU$6-$G$3)&lt;1,0,IFERROR(LOOKUP(2,1/('Milho 2ª safra'!$E46:INDEX('Milho 2ª safra'!$E46:$Z46,MIN(AU$6-$G$3,22))&lt;&gt;""),'Milho 2ª safra'!$E46:INDEX('Milho 2ª safra'!$E46:$Z46,MIN(AU$6-$G$3,22))),0)))))</f>
        <v>0</v>
      </c>
      <c r="AV48" s="27" t="n">
        <f aca="false">IF(COUNT('Milho 2ª safra'!$E46:$Z46)=0,0,MAX(0,IF((AV$6-$E$3)&lt;1,0,IFERROR(LOOKUP(2,1/('Milho 2ª safra'!$E46:INDEX('Milho 2ª safra'!$E46:$Z46,MIN(AV$6-$E$3,22))&lt;&gt;""),'Milho 2ª safra'!$E46:INDEX('Milho 2ª safra'!$E46:$Z46,MIN(AV$6-$E$3,22))),0))-IF($G$2,0,IF((AV$6-$G$3)&lt;1,0,IFERROR(LOOKUP(2,1/('Milho 2ª safra'!$E46:INDEX('Milho 2ª safra'!$E46:$Z46,MIN(AV$6-$G$3,22))&lt;&gt;""),'Milho 2ª safra'!$E46:INDEX('Milho 2ª safra'!$E46:$Z46,MIN(AV$6-$G$3,22))),0)))))</f>
        <v>0</v>
      </c>
      <c r="AW48" s="27" t="n">
        <f aca="false">IF(COUNT('Milho 2ª safra'!$E46:$Z46)=0,0,MAX(0,IF((AW$6-$E$3)&lt;1,0,IFERROR(LOOKUP(2,1/('Milho 2ª safra'!$E46:INDEX('Milho 2ª safra'!$E46:$Z46,MIN(AW$6-$E$3,22))&lt;&gt;""),'Milho 2ª safra'!$E46:INDEX('Milho 2ª safra'!$E46:$Z46,MIN(AW$6-$E$3,22))),0))-IF($G$2,0,IF((AW$6-$G$3)&lt;1,0,IFERROR(LOOKUP(2,1/('Milho 2ª safra'!$E46:INDEX('Milho 2ª safra'!$E46:$Z46,MIN(AW$6-$G$3,22))&lt;&gt;""),'Milho 2ª safra'!$E46:INDEX('Milho 2ª safra'!$E46:$Z46,MIN(AW$6-$G$3,22))),0)))))</f>
        <v>0</v>
      </c>
      <c r="AX48" s="27" t="n">
        <f aca="false">IF(COUNT('Milho 2ª safra'!$E46:$Z46)=0,0,MAX(0,IF((AX$6-$E$3)&lt;1,0,IFERROR(LOOKUP(2,1/('Milho 2ª safra'!$E46:INDEX('Milho 2ª safra'!$E46:$Z46,MIN(AX$6-$E$3,22))&lt;&gt;""),'Milho 2ª safra'!$E46:INDEX('Milho 2ª safra'!$E46:$Z46,MIN(AX$6-$E$3,22))),0))-IF($G$2,0,IF((AX$6-$G$3)&lt;1,0,IFERROR(LOOKUP(2,1/('Milho 2ª safra'!$E46:INDEX('Milho 2ª safra'!$E46:$Z46,MIN(AX$6-$G$3,22))&lt;&gt;""),'Milho 2ª safra'!$E46:INDEX('Milho 2ª safra'!$E46:$Z46,MIN(AX$6-$G$3,22))),0)))))</f>
        <v>0</v>
      </c>
      <c r="AY48" s="27" t="n">
        <f aca="false">IF(COUNT('Milho 2ª safra'!$E46:$Z46)=0,0,MAX(0,IF((AY$6-$E$3)&lt;1,0,IFERROR(LOOKUP(2,1/('Milho 2ª safra'!$E46:INDEX('Milho 2ª safra'!$E46:$Z46,MIN(AY$6-$E$3,22))&lt;&gt;""),'Milho 2ª safra'!$E46:INDEX('Milho 2ª safra'!$E46:$Z46,MIN(AY$6-$E$3,22))),0))-IF($G$2,0,IF((AY$6-$G$3)&lt;1,0,IFERROR(LOOKUP(2,1/('Milho 2ª safra'!$E46:INDEX('Milho 2ª safra'!$E46:$Z46,MIN(AY$6-$G$3,22))&lt;&gt;""),'Milho 2ª safra'!$E46:INDEX('Milho 2ª safra'!$E46:$Z46,MIN(AY$6-$G$3,22))),0)))))</f>
        <v>0</v>
      </c>
      <c r="AZ48" s="27" t="n">
        <f aca="false">IF(COUNT('Milho 2ª safra'!$E46:$Z46)=0,0,MAX(0,IF((AZ$6-$E$3)&lt;1,0,IFERROR(LOOKUP(2,1/('Milho 2ª safra'!$E46:INDEX('Milho 2ª safra'!$E46:$Z46,MIN(AZ$6-$E$3,22))&lt;&gt;""),'Milho 2ª safra'!$E46:INDEX('Milho 2ª safra'!$E46:$Z46,MIN(AZ$6-$E$3,22))),0))-IF($G$2,0,IF((AZ$6-$G$3)&lt;1,0,IFERROR(LOOKUP(2,1/('Milho 2ª safra'!$E46:INDEX('Milho 2ª safra'!$E46:$Z46,MIN(AZ$6-$G$3,22))&lt;&gt;""),'Milho 2ª safra'!$E46:INDEX('Milho 2ª safra'!$E46:$Z46,MIN(AZ$6-$G$3,22))),0)))))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IF(COUNT('Milho 2ª safra'!$E47:$Z47)&gt;0,N('Milho 2ª safra'!$D47),0)</f>
        <v>0</v>
      </c>
      <c r="E49" s="27" t="n">
        <f aca="false">IF(COUNT('Milho 2ª safra'!$E47:$Z47)=0,0,MAX(0,IF((E$6-$E$3)&lt;1,0,IFERROR(LOOKUP(2,1/('Milho 2ª safra'!$E47:INDEX('Milho 2ª safra'!$E47:$Z47,MIN(E$6-$E$3,22))&lt;&gt;""),'Milho 2ª safra'!$E47:INDEX('Milho 2ª safra'!$E47:$Z47,MIN(E$6-$E$3,22))),0))-IF($G$2,0,IF((E$6-$G$3)&lt;1,0,IFERROR(LOOKUP(2,1/('Milho 2ª safra'!$E47:INDEX('Milho 2ª safra'!$E47:$Z47,MIN(E$6-$G$3,22))&lt;&gt;""),'Milho 2ª safra'!$E47:INDEX('Milho 2ª safra'!$E47:$Z47,MIN(E$6-$G$3,22))),0)))))</f>
        <v>0</v>
      </c>
      <c r="F49" s="27" t="n">
        <f aca="false">IF(COUNT('Milho 2ª safra'!$E47:$Z47)=0,0,MAX(0,IF((F$6-$E$3)&lt;1,0,IFERROR(LOOKUP(2,1/('Milho 2ª safra'!$E47:INDEX('Milho 2ª safra'!$E47:$Z47,MIN(F$6-$E$3,22))&lt;&gt;""),'Milho 2ª safra'!$E47:INDEX('Milho 2ª safra'!$E47:$Z47,MIN(F$6-$E$3,22))),0))-IF($G$2,0,IF((F$6-$G$3)&lt;1,0,IFERROR(LOOKUP(2,1/('Milho 2ª safra'!$E47:INDEX('Milho 2ª safra'!$E47:$Z47,MIN(F$6-$G$3,22))&lt;&gt;""),'Milho 2ª safra'!$E47:INDEX('Milho 2ª safra'!$E47:$Z47,MIN(F$6-$G$3,22))),0)))))</f>
        <v>0</v>
      </c>
      <c r="G49" s="27" t="n">
        <f aca="false">IF(COUNT('Milho 2ª safra'!$E47:$Z47)=0,0,MAX(0,IF((G$6-$E$3)&lt;1,0,IFERROR(LOOKUP(2,1/('Milho 2ª safra'!$E47:INDEX('Milho 2ª safra'!$E47:$Z47,MIN(G$6-$E$3,22))&lt;&gt;""),'Milho 2ª safra'!$E47:INDEX('Milho 2ª safra'!$E47:$Z47,MIN(G$6-$E$3,22))),0))-IF($G$2,0,IF((G$6-$G$3)&lt;1,0,IFERROR(LOOKUP(2,1/('Milho 2ª safra'!$E47:INDEX('Milho 2ª safra'!$E47:$Z47,MIN(G$6-$G$3,22))&lt;&gt;""),'Milho 2ª safra'!$E47:INDEX('Milho 2ª safra'!$E47:$Z47,MIN(G$6-$G$3,22))),0)))))</f>
        <v>0</v>
      </c>
      <c r="H49" s="27" t="n">
        <f aca="false">IF(COUNT('Milho 2ª safra'!$E47:$Z47)=0,0,MAX(0,IF((H$6-$E$3)&lt;1,0,IFERROR(LOOKUP(2,1/('Milho 2ª safra'!$E47:INDEX('Milho 2ª safra'!$E47:$Z47,MIN(H$6-$E$3,22))&lt;&gt;""),'Milho 2ª safra'!$E47:INDEX('Milho 2ª safra'!$E47:$Z47,MIN(H$6-$E$3,22))),0))-IF($G$2,0,IF((H$6-$G$3)&lt;1,0,IFERROR(LOOKUP(2,1/('Milho 2ª safra'!$E47:INDEX('Milho 2ª safra'!$E47:$Z47,MIN(H$6-$G$3,22))&lt;&gt;""),'Milho 2ª safra'!$E47:INDEX('Milho 2ª safra'!$E47:$Z47,MIN(H$6-$G$3,22))),0)))))</f>
        <v>0</v>
      </c>
      <c r="I49" s="27" t="n">
        <f aca="false">IF(COUNT('Milho 2ª safra'!$E47:$Z47)=0,0,MAX(0,IF((I$6-$E$3)&lt;1,0,IFERROR(LOOKUP(2,1/('Milho 2ª safra'!$E47:INDEX('Milho 2ª safra'!$E47:$Z47,MIN(I$6-$E$3,22))&lt;&gt;""),'Milho 2ª safra'!$E47:INDEX('Milho 2ª safra'!$E47:$Z47,MIN(I$6-$E$3,22))),0))-IF($G$2,0,IF((I$6-$G$3)&lt;1,0,IFERROR(LOOKUP(2,1/('Milho 2ª safra'!$E47:INDEX('Milho 2ª safra'!$E47:$Z47,MIN(I$6-$G$3,22))&lt;&gt;""),'Milho 2ª safra'!$E47:INDEX('Milho 2ª safra'!$E47:$Z47,MIN(I$6-$G$3,22))),0)))))</f>
        <v>0</v>
      </c>
      <c r="J49" s="27" t="n">
        <f aca="false">IF(COUNT('Milho 2ª safra'!$E47:$Z47)=0,0,MAX(0,IF((J$6-$E$3)&lt;1,0,IFERROR(LOOKUP(2,1/('Milho 2ª safra'!$E47:INDEX('Milho 2ª safra'!$E47:$Z47,MIN(J$6-$E$3,22))&lt;&gt;""),'Milho 2ª safra'!$E47:INDEX('Milho 2ª safra'!$E47:$Z47,MIN(J$6-$E$3,22))),0))-IF($G$2,0,IF((J$6-$G$3)&lt;1,0,IFERROR(LOOKUP(2,1/('Milho 2ª safra'!$E47:INDEX('Milho 2ª safra'!$E47:$Z47,MIN(J$6-$G$3,22))&lt;&gt;""),'Milho 2ª safra'!$E47:INDEX('Milho 2ª safra'!$E47:$Z47,MIN(J$6-$G$3,22))),0)))))</f>
        <v>0</v>
      </c>
      <c r="K49" s="27" t="n">
        <f aca="false">IF(COUNT('Milho 2ª safra'!$E47:$Z47)=0,0,MAX(0,IF((K$6-$E$3)&lt;1,0,IFERROR(LOOKUP(2,1/('Milho 2ª safra'!$E47:INDEX('Milho 2ª safra'!$E47:$Z47,MIN(K$6-$E$3,22))&lt;&gt;""),'Milho 2ª safra'!$E47:INDEX('Milho 2ª safra'!$E47:$Z47,MIN(K$6-$E$3,22))),0))-IF($G$2,0,IF((K$6-$G$3)&lt;1,0,IFERROR(LOOKUP(2,1/('Milho 2ª safra'!$E47:INDEX('Milho 2ª safra'!$E47:$Z47,MIN(K$6-$G$3,22))&lt;&gt;""),'Milho 2ª safra'!$E47:INDEX('Milho 2ª safra'!$E47:$Z47,MIN(K$6-$G$3,22))),0)))))</f>
        <v>0</v>
      </c>
      <c r="L49" s="27" t="n">
        <f aca="false">IF(COUNT('Milho 2ª safra'!$E47:$Z47)=0,0,MAX(0,IF((L$6-$E$3)&lt;1,0,IFERROR(LOOKUP(2,1/('Milho 2ª safra'!$E47:INDEX('Milho 2ª safra'!$E47:$Z47,MIN(L$6-$E$3,22))&lt;&gt;""),'Milho 2ª safra'!$E47:INDEX('Milho 2ª safra'!$E47:$Z47,MIN(L$6-$E$3,22))),0))-IF($G$2,0,IF((L$6-$G$3)&lt;1,0,IFERROR(LOOKUP(2,1/('Milho 2ª safra'!$E47:INDEX('Milho 2ª safra'!$E47:$Z47,MIN(L$6-$G$3,22))&lt;&gt;""),'Milho 2ª safra'!$E47:INDEX('Milho 2ª safra'!$E47:$Z47,MIN(L$6-$G$3,22))),0)))))</f>
        <v>0</v>
      </c>
      <c r="M49" s="27" t="n">
        <f aca="false">IF(COUNT('Milho 2ª safra'!$E47:$Z47)=0,0,MAX(0,IF((M$6-$E$3)&lt;1,0,IFERROR(LOOKUP(2,1/('Milho 2ª safra'!$E47:INDEX('Milho 2ª safra'!$E47:$Z47,MIN(M$6-$E$3,22))&lt;&gt;""),'Milho 2ª safra'!$E47:INDEX('Milho 2ª safra'!$E47:$Z47,MIN(M$6-$E$3,22))),0))-IF($G$2,0,IF((M$6-$G$3)&lt;1,0,IFERROR(LOOKUP(2,1/('Milho 2ª safra'!$E47:INDEX('Milho 2ª safra'!$E47:$Z47,MIN(M$6-$G$3,22))&lt;&gt;""),'Milho 2ª safra'!$E47:INDEX('Milho 2ª safra'!$E47:$Z47,MIN(M$6-$G$3,22))),0)))))</f>
        <v>0</v>
      </c>
      <c r="N49" s="27" t="n">
        <f aca="false">IF(COUNT('Milho 2ª safra'!$E47:$Z47)=0,0,MAX(0,IF((N$6-$E$3)&lt;1,0,IFERROR(LOOKUP(2,1/('Milho 2ª safra'!$E47:INDEX('Milho 2ª safra'!$E47:$Z47,MIN(N$6-$E$3,22))&lt;&gt;""),'Milho 2ª safra'!$E47:INDEX('Milho 2ª safra'!$E47:$Z47,MIN(N$6-$E$3,22))),0))-IF($G$2,0,IF((N$6-$G$3)&lt;1,0,IFERROR(LOOKUP(2,1/('Milho 2ª safra'!$E47:INDEX('Milho 2ª safra'!$E47:$Z47,MIN(N$6-$G$3,22))&lt;&gt;""),'Milho 2ª safra'!$E47:INDEX('Milho 2ª safra'!$E47:$Z47,MIN(N$6-$G$3,22))),0)))))</f>
        <v>0</v>
      </c>
      <c r="O49" s="27" t="n">
        <f aca="false">IF(COUNT('Milho 2ª safra'!$E47:$Z47)=0,0,MAX(0,IF((O$6-$E$3)&lt;1,0,IFERROR(LOOKUP(2,1/('Milho 2ª safra'!$E47:INDEX('Milho 2ª safra'!$E47:$Z47,MIN(O$6-$E$3,22))&lt;&gt;""),'Milho 2ª safra'!$E47:INDEX('Milho 2ª safra'!$E47:$Z47,MIN(O$6-$E$3,22))),0))-IF($G$2,0,IF((O$6-$G$3)&lt;1,0,IFERROR(LOOKUP(2,1/('Milho 2ª safra'!$E47:INDEX('Milho 2ª safra'!$E47:$Z47,MIN(O$6-$G$3,22))&lt;&gt;""),'Milho 2ª safra'!$E47:INDEX('Milho 2ª safra'!$E47:$Z47,MIN(O$6-$G$3,22))),0)))))</f>
        <v>0</v>
      </c>
      <c r="P49" s="27" t="n">
        <f aca="false">IF(COUNT('Milho 2ª safra'!$E47:$Z47)=0,0,MAX(0,IF((P$6-$E$3)&lt;1,0,IFERROR(LOOKUP(2,1/('Milho 2ª safra'!$E47:INDEX('Milho 2ª safra'!$E47:$Z47,MIN(P$6-$E$3,22))&lt;&gt;""),'Milho 2ª safra'!$E47:INDEX('Milho 2ª safra'!$E47:$Z47,MIN(P$6-$E$3,22))),0))-IF($G$2,0,IF((P$6-$G$3)&lt;1,0,IFERROR(LOOKUP(2,1/('Milho 2ª safra'!$E47:INDEX('Milho 2ª safra'!$E47:$Z47,MIN(P$6-$G$3,22))&lt;&gt;""),'Milho 2ª safra'!$E47:INDEX('Milho 2ª safra'!$E47:$Z47,MIN(P$6-$G$3,22))),0)))))</f>
        <v>0</v>
      </c>
      <c r="Q49" s="27" t="n">
        <f aca="false">IF(COUNT('Milho 2ª safra'!$E47:$Z47)=0,0,MAX(0,IF((Q$6-$E$3)&lt;1,0,IFERROR(LOOKUP(2,1/('Milho 2ª safra'!$E47:INDEX('Milho 2ª safra'!$E47:$Z47,MIN(Q$6-$E$3,22))&lt;&gt;""),'Milho 2ª safra'!$E47:INDEX('Milho 2ª safra'!$E47:$Z47,MIN(Q$6-$E$3,22))),0))-IF($G$2,0,IF((Q$6-$G$3)&lt;1,0,IFERROR(LOOKUP(2,1/('Milho 2ª safra'!$E47:INDEX('Milho 2ª safra'!$E47:$Z47,MIN(Q$6-$G$3,22))&lt;&gt;""),'Milho 2ª safra'!$E47:INDEX('Milho 2ª safra'!$E47:$Z47,MIN(Q$6-$G$3,22))),0)))))</f>
        <v>0</v>
      </c>
      <c r="R49" s="27" t="n">
        <f aca="false">IF(COUNT('Milho 2ª safra'!$E47:$Z47)=0,0,MAX(0,IF((R$6-$E$3)&lt;1,0,IFERROR(LOOKUP(2,1/('Milho 2ª safra'!$E47:INDEX('Milho 2ª safra'!$E47:$Z47,MIN(R$6-$E$3,22))&lt;&gt;""),'Milho 2ª safra'!$E47:INDEX('Milho 2ª safra'!$E47:$Z47,MIN(R$6-$E$3,22))),0))-IF($G$2,0,IF((R$6-$G$3)&lt;1,0,IFERROR(LOOKUP(2,1/('Milho 2ª safra'!$E47:INDEX('Milho 2ª safra'!$E47:$Z47,MIN(R$6-$G$3,22))&lt;&gt;""),'Milho 2ª safra'!$E47:INDEX('Milho 2ª safra'!$E47:$Z47,MIN(R$6-$G$3,22))),0)))))</f>
        <v>0</v>
      </c>
      <c r="S49" s="27" t="n">
        <f aca="false">IF(COUNT('Milho 2ª safra'!$E47:$Z47)=0,0,MAX(0,IF((S$6-$E$3)&lt;1,0,IFERROR(LOOKUP(2,1/('Milho 2ª safra'!$E47:INDEX('Milho 2ª safra'!$E47:$Z47,MIN(S$6-$E$3,22))&lt;&gt;""),'Milho 2ª safra'!$E47:INDEX('Milho 2ª safra'!$E47:$Z47,MIN(S$6-$E$3,22))),0))-IF($G$2,0,IF((S$6-$G$3)&lt;1,0,IFERROR(LOOKUP(2,1/('Milho 2ª safra'!$E47:INDEX('Milho 2ª safra'!$E47:$Z47,MIN(S$6-$G$3,22))&lt;&gt;""),'Milho 2ª safra'!$E47:INDEX('Milho 2ª safra'!$E47:$Z47,MIN(S$6-$G$3,22))),0)))))</f>
        <v>0</v>
      </c>
      <c r="T49" s="27" t="n">
        <f aca="false">IF(COUNT('Milho 2ª safra'!$E47:$Z47)=0,0,MAX(0,IF((T$6-$E$3)&lt;1,0,IFERROR(LOOKUP(2,1/('Milho 2ª safra'!$E47:INDEX('Milho 2ª safra'!$E47:$Z47,MIN(T$6-$E$3,22))&lt;&gt;""),'Milho 2ª safra'!$E47:INDEX('Milho 2ª safra'!$E47:$Z47,MIN(T$6-$E$3,22))),0))-IF($G$2,0,IF((T$6-$G$3)&lt;1,0,IFERROR(LOOKUP(2,1/('Milho 2ª safra'!$E47:INDEX('Milho 2ª safra'!$E47:$Z47,MIN(T$6-$G$3,22))&lt;&gt;""),'Milho 2ª safra'!$E47:INDEX('Milho 2ª safra'!$E47:$Z47,MIN(T$6-$G$3,22))),0)))))</f>
        <v>0</v>
      </c>
      <c r="U49" s="27" t="n">
        <f aca="false">IF(COUNT('Milho 2ª safra'!$E47:$Z47)=0,0,MAX(0,IF((U$6-$E$3)&lt;1,0,IFERROR(LOOKUP(2,1/('Milho 2ª safra'!$E47:INDEX('Milho 2ª safra'!$E47:$Z47,MIN(U$6-$E$3,22))&lt;&gt;""),'Milho 2ª safra'!$E47:INDEX('Milho 2ª safra'!$E47:$Z47,MIN(U$6-$E$3,22))),0))-IF($G$2,0,IF((U$6-$G$3)&lt;1,0,IFERROR(LOOKUP(2,1/('Milho 2ª safra'!$E47:INDEX('Milho 2ª safra'!$E47:$Z47,MIN(U$6-$G$3,22))&lt;&gt;""),'Milho 2ª safra'!$E47:INDEX('Milho 2ª safra'!$E47:$Z47,MIN(U$6-$G$3,22))),0)))))</f>
        <v>0</v>
      </c>
      <c r="V49" s="27" t="n">
        <f aca="false">IF(COUNT('Milho 2ª safra'!$E47:$Z47)=0,0,MAX(0,IF((V$6-$E$3)&lt;1,0,IFERROR(LOOKUP(2,1/('Milho 2ª safra'!$E47:INDEX('Milho 2ª safra'!$E47:$Z47,MIN(V$6-$E$3,22))&lt;&gt;""),'Milho 2ª safra'!$E47:INDEX('Milho 2ª safra'!$E47:$Z47,MIN(V$6-$E$3,22))),0))-IF($G$2,0,IF((V$6-$G$3)&lt;1,0,IFERROR(LOOKUP(2,1/('Milho 2ª safra'!$E47:INDEX('Milho 2ª safra'!$E47:$Z47,MIN(V$6-$G$3,22))&lt;&gt;""),'Milho 2ª safra'!$E47:INDEX('Milho 2ª safra'!$E47:$Z47,MIN(V$6-$G$3,22))),0)))))</f>
        <v>0</v>
      </c>
      <c r="W49" s="27" t="n">
        <f aca="false">IF(COUNT('Milho 2ª safra'!$E47:$Z47)=0,0,MAX(0,IF((W$6-$E$3)&lt;1,0,IFERROR(LOOKUP(2,1/('Milho 2ª safra'!$E47:INDEX('Milho 2ª safra'!$E47:$Z47,MIN(W$6-$E$3,22))&lt;&gt;""),'Milho 2ª safra'!$E47:INDEX('Milho 2ª safra'!$E47:$Z47,MIN(W$6-$E$3,22))),0))-IF($G$2,0,IF((W$6-$G$3)&lt;1,0,IFERROR(LOOKUP(2,1/('Milho 2ª safra'!$E47:INDEX('Milho 2ª safra'!$E47:$Z47,MIN(W$6-$G$3,22))&lt;&gt;""),'Milho 2ª safra'!$E47:INDEX('Milho 2ª safra'!$E47:$Z47,MIN(W$6-$G$3,22))),0)))))</f>
        <v>0</v>
      </c>
      <c r="X49" s="27" t="n">
        <f aca="false">IF(COUNT('Milho 2ª safra'!$E47:$Z47)=0,0,MAX(0,IF((X$6-$E$3)&lt;1,0,IFERROR(LOOKUP(2,1/('Milho 2ª safra'!$E47:INDEX('Milho 2ª safra'!$E47:$Z47,MIN(X$6-$E$3,22))&lt;&gt;""),'Milho 2ª safra'!$E47:INDEX('Milho 2ª safra'!$E47:$Z47,MIN(X$6-$E$3,22))),0))-IF($G$2,0,IF((X$6-$G$3)&lt;1,0,IFERROR(LOOKUP(2,1/('Milho 2ª safra'!$E47:INDEX('Milho 2ª safra'!$E47:$Z47,MIN(X$6-$G$3,22))&lt;&gt;""),'Milho 2ª safra'!$E47:INDEX('Milho 2ª safra'!$E47:$Z47,MIN(X$6-$G$3,22))),0)))))</f>
        <v>0</v>
      </c>
      <c r="Y49" s="27" t="n">
        <f aca="false">IF(COUNT('Milho 2ª safra'!$E47:$Z47)=0,0,MAX(0,IF((Y$6-$E$3)&lt;1,0,IFERROR(LOOKUP(2,1/('Milho 2ª safra'!$E47:INDEX('Milho 2ª safra'!$E47:$Z47,MIN(Y$6-$E$3,22))&lt;&gt;""),'Milho 2ª safra'!$E47:INDEX('Milho 2ª safra'!$E47:$Z47,MIN(Y$6-$E$3,22))),0))-IF($G$2,0,IF((Y$6-$G$3)&lt;1,0,IFERROR(LOOKUP(2,1/('Milho 2ª safra'!$E47:INDEX('Milho 2ª safra'!$E47:$Z47,MIN(Y$6-$G$3,22))&lt;&gt;""),'Milho 2ª safra'!$E47:INDEX('Milho 2ª safra'!$E47:$Z47,MIN(Y$6-$G$3,22))),0)))))</f>
        <v>0</v>
      </c>
      <c r="Z49" s="27" t="n">
        <f aca="false">IF(COUNT('Milho 2ª safra'!$E47:$Z47)=0,0,MAX(0,IF((Z$6-$E$3)&lt;1,0,IFERROR(LOOKUP(2,1/('Milho 2ª safra'!$E47:INDEX('Milho 2ª safra'!$E47:$Z47,MIN(Z$6-$E$3,22))&lt;&gt;""),'Milho 2ª safra'!$E47:INDEX('Milho 2ª safra'!$E47:$Z47,MIN(Z$6-$E$3,22))),0))-IF($G$2,0,IF((Z$6-$G$3)&lt;1,0,IFERROR(LOOKUP(2,1/('Milho 2ª safra'!$E47:INDEX('Milho 2ª safra'!$E47:$Z47,MIN(Z$6-$G$3,22))&lt;&gt;""),'Milho 2ª safra'!$E47:INDEX('Milho 2ª safra'!$E47:$Z47,MIN(Z$6-$G$3,22))),0)))))</f>
        <v>0</v>
      </c>
      <c r="AA49" s="27" t="n">
        <f aca="false">IF(COUNT('Milho 2ª safra'!$E47:$Z47)=0,0,MAX(0,IF((AA$6-$E$3)&lt;1,0,IFERROR(LOOKUP(2,1/('Milho 2ª safra'!$E47:INDEX('Milho 2ª safra'!$E47:$Z47,MIN(AA$6-$E$3,22))&lt;&gt;""),'Milho 2ª safra'!$E47:INDEX('Milho 2ª safra'!$E47:$Z47,MIN(AA$6-$E$3,22))),0))-IF($G$2,0,IF((AA$6-$G$3)&lt;1,0,IFERROR(LOOKUP(2,1/('Milho 2ª safra'!$E47:INDEX('Milho 2ª safra'!$E47:$Z47,MIN(AA$6-$G$3,22))&lt;&gt;""),'Milho 2ª safra'!$E47:INDEX('Milho 2ª safra'!$E47:$Z47,MIN(AA$6-$G$3,22))),0)))))</f>
        <v>0</v>
      </c>
      <c r="AB49" s="27" t="n">
        <f aca="false">IF(COUNT('Milho 2ª safra'!$E47:$Z47)=0,0,MAX(0,IF((AB$6-$E$3)&lt;1,0,IFERROR(LOOKUP(2,1/('Milho 2ª safra'!$E47:INDEX('Milho 2ª safra'!$E47:$Z47,MIN(AB$6-$E$3,22))&lt;&gt;""),'Milho 2ª safra'!$E47:INDEX('Milho 2ª safra'!$E47:$Z47,MIN(AB$6-$E$3,22))),0))-IF($G$2,0,IF((AB$6-$G$3)&lt;1,0,IFERROR(LOOKUP(2,1/('Milho 2ª safra'!$E47:INDEX('Milho 2ª safra'!$E47:$Z47,MIN(AB$6-$G$3,22))&lt;&gt;""),'Milho 2ª safra'!$E47:INDEX('Milho 2ª safra'!$E47:$Z47,MIN(AB$6-$G$3,22))),0)))))</f>
        <v>0</v>
      </c>
      <c r="AC49" s="27" t="n">
        <f aca="false">IF(COUNT('Milho 2ª safra'!$E47:$Z47)=0,0,MAX(0,IF((AC$6-$E$3)&lt;1,0,IFERROR(LOOKUP(2,1/('Milho 2ª safra'!$E47:INDEX('Milho 2ª safra'!$E47:$Z47,MIN(AC$6-$E$3,22))&lt;&gt;""),'Milho 2ª safra'!$E47:INDEX('Milho 2ª safra'!$E47:$Z47,MIN(AC$6-$E$3,22))),0))-IF($G$2,0,IF((AC$6-$G$3)&lt;1,0,IFERROR(LOOKUP(2,1/('Milho 2ª safra'!$E47:INDEX('Milho 2ª safra'!$E47:$Z47,MIN(AC$6-$G$3,22))&lt;&gt;""),'Milho 2ª safra'!$E47:INDEX('Milho 2ª safra'!$E47:$Z47,MIN(AC$6-$G$3,22))),0)))))</f>
        <v>0</v>
      </c>
      <c r="AD49" s="27" t="n">
        <f aca="false">IF(COUNT('Milho 2ª safra'!$E47:$Z47)=0,0,MAX(0,IF((AD$6-$E$3)&lt;1,0,IFERROR(LOOKUP(2,1/('Milho 2ª safra'!$E47:INDEX('Milho 2ª safra'!$E47:$Z47,MIN(AD$6-$E$3,22))&lt;&gt;""),'Milho 2ª safra'!$E47:INDEX('Milho 2ª safra'!$E47:$Z47,MIN(AD$6-$E$3,22))),0))-IF($G$2,0,IF((AD$6-$G$3)&lt;1,0,IFERROR(LOOKUP(2,1/('Milho 2ª safra'!$E47:INDEX('Milho 2ª safra'!$E47:$Z47,MIN(AD$6-$G$3,22))&lt;&gt;""),'Milho 2ª safra'!$E47:INDEX('Milho 2ª safra'!$E47:$Z47,MIN(AD$6-$G$3,22))),0)))))</f>
        <v>0</v>
      </c>
      <c r="AE49" s="27" t="n">
        <f aca="false">IF(COUNT('Milho 2ª safra'!$E47:$Z47)=0,0,MAX(0,IF((AE$6-$E$3)&lt;1,0,IFERROR(LOOKUP(2,1/('Milho 2ª safra'!$E47:INDEX('Milho 2ª safra'!$E47:$Z47,MIN(AE$6-$E$3,22))&lt;&gt;""),'Milho 2ª safra'!$E47:INDEX('Milho 2ª safra'!$E47:$Z47,MIN(AE$6-$E$3,22))),0))-IF($G$2,0,IF((AE$6-$G$3)&lt;1,0,IFERROR(LOOKUP(2,1/('Milho 2ª safra'!$E47:INDEX('Milho 2ª safra'!$E47:$Z47,MIN(AE$6-$G$3,22))&lt;&gt;""),'Milho 2ª safra'!$E47:INDEX('Milho 2ª safra'!$E47:$Z47,MIN(AE$6-$G$3,22))),0)))))</f>
        <v>0</v>
      </c>
      <c r="AF49" s="27" t="n">
        <f aca="false">IF(COUNT('Milho 2ª safra'!$E47:$Z47)=0,0,MAX(0,IF((AF$6-$E$3)&lt;1,0,IFERROR(LOOKUP(2,1/('Milho 2ª safra'!$E47:INDEX('Milho 2ª safra'!$E47:$Z47,MIN(AF$6-$E$3,22))&lt;&gt;""),'Milho 2ª safra'!$E47:INDEX('Milho 2ª safra'!$E47:$Z47,MIN(AF$6-$E$3,22))),0))-IF($G$2,0,IF((AF$6-$G$3)&lt;1,0,IFERROR(LOOKUP(2,1/('Milho 2ª safra'!$E47:INDEX('Milho 2ª safra'!$E47:$Z47,MIN(AF$6-$G$3,22))&lt;&gt;""),'Milho 2ª safra'!$E47:INDEX('Milho 2ª safra'!$E47:$Z47,MIN(AF$6-$G$3,22))),0)))))</f>
        <v>0</v>
      </c>
      <c r="AG49" s="27" t="n">
        <f aca="false">IF(COUNT('Milho 2ª safra'!$E47:$Z47)=0,0,MAX(0,IF((AG$6-$E$3)&lt;1,0,IFERROR(LOOKUP(2,1/('Milho 2ª safra'!$E47:INDEX('Milho 2ª safra'!$E47:$Z47,MIN(AG$6-$E$3,22))&lt;&gt;""),'Milho 2ª safra'!$E47:INDEX('Milho 2ª safra'!$E47:$Z47,MIN(AG$6-$E$3,22))),0))-IF($G$2,0,IF((AG$6-$G$3)&lt;1,0,IFERROR(LOOKUP(2,1/('Milho 2ª safra'!$E47:INDEX('Milho 2ª safra'!$E47:$Z47,MIN(AG$6-$G$3,22))&lt;&gt;""),'Milho 2ª safra'!$E47:INDEX('Milho 2ª safra'!$E47:$Z47,MIN(AG$6-$G$3,22))),0)))))</f>
        <v>0</v>
      </c>
      <c r="AH49" s="27" t="n">
        <f aca="false">IF(COUNT('Milho 2ª safra'!$E47:$Z47)=0,0,MAX(0,IF((AH$6-$E$3)&lt;1,0,IFERROR(LOOKUP(2,1/('Milho 2ª safra'!$E47:INDEX('Milho 2ª safra'!$E47:$Z47,MIN(AH$6-$E$3,22))&lt;&gt;""),'Milho 2ª safra'!$E47:INDEX('Milho 2ª safra'!$E47:$Z47,MIN(AH$6-$E$3,22))),0))-IF($G$2,0,IF((AH$6-$G$3)&lt;1,0,IFERROR(LOOKUP(2,1/('Milho 2ª safra'!$E47:INDEX('Milho 2ª safra'!$E47:$Z47,MIN(AH$6-$G$3,22))&lt;&gt;""),'Milho 2ª safra'!$E47:INDEX('Milho 2ª safra'!$E47:$Z47,MIN(AH$6-$G$3,22))),0)))))</f>
        <v>0</v>
      </c>
      <c r="AI49" s="27" t="n">
        <f aca="false">IF(COUNT('Milho 2ª safra'!$E47:$Z47)=0,0,MAX(0,IF((AI$6-$E$3)&lt;1,0,IFERROR(LOOKUP(2,1/('Milho 2ª safra'!$E47:INDEX('Milho 2ª safra'!$E47:$Z47,MIN(AI$6-$E$3,22))&lt;&gt;""),'Milho 2ª safra'!$E47:INDEX('Milho 2ª safra'!$E47:$Z47,MIN(AI$6-$E$3,22))),0))-IF($G$2,0,IF((AI$6-$G$3)&lt;1,0,IFERROR(LOOKUP(2,1/('Milho 2ª safra'!$E47:INDEX('Milho 2ª safra'!$E47:$Z47,MIN(AI$6-$G$3,22))&lt;&gt;""),'Milho 2ª safra'!$E47:INDEX('Milho 2ª safra'!$E47:$Z47,MIN(AI$6-$G$3,22))),0)))))</f>
        <v>0</v>
      </c>
      <c r="AJ49" s="27" t="n">
        <f aca="false">IF(COUNT('Milho 2ª safra'!$E47:$Z47)=0,0,MAX(0,IF((AJ$6-$E$3)&lt;1,0,IFERROR(LOOKUP(2,1/('Milho 2ª safra'!$E47:INDEX('Milho 2ª safra'!$E47:$Z47,MIN(AJ$6-$E$3,22))&lt;&gt;""),'Milho 2ª safra'!$E47:INDEX('Milho 2ª safra'!$E47:$Z47,MIN(AJ$6-$E$3,22))),0))-IF($G$2,0,IF((AJ$6-$G$3)&lt;1,0,IFERROR(LOOKUP(2,1/('Milho 2ª safra'!$E47:INDEX('Milho 2ª safra'!$E47:$Z47,MIN(AJ$6-$G$3,22))&lt;&gt;""),'Milho 2ª safra'!$E47:INDEX('Milho 2ª safra'!$E47:$Z47,MIN(AJ$6-$G$3,22))),0)))))</f>
        <v>0</v>
      </c>
      <c r="AK49" s="27" t="n">
        <f aca="false">IF(COUNT('Milho 2ª safra'!$E47:$Z47)=0,0,MAX(0,IF((AK$6-$E$3)&lt;1,0,IFERROR(LOOKUP(2,1/('Milho 2ª safra'!$E47:INDEX('Milho 2ª safra'!$E47:$Z47,MIN(AK$6-$E$3,22))&lt;&gt;""),'Milho 2ª safra'!$E47:INDEX('Milho 2ª safra'!$E47:$Z47,MIN(AK$6-$E$3,22))),0))-IF($G$2,0,IF((AK$6-$G$3)&lt;1,0,IFERROR(LOOKUP(2,1/('Milho 2ª safra'!$E47:INDEX('Milho 2ª safra'!$E47:$Z47,MIN(AK$6-$G$3,22))&lt;&gt;""),'Milho 2ª safra'!$E47:INDEX('Milho 2ª safra'!$E47:$Z47,MIN(AK$6-$G$3,22))),0)))))</f>
        <v>0</v>
      </c>
      <c r="AL49" s="27" t="n">
        <f aca="false">IF(COUNT('Milho 2ª safra'!$E47:$Z47)=0,0,MAX(0,IF((AL$6-$E$3)&lt;1,0,IFERROR(LOOKUP(2,1/('Milho 2ª safra'!$E47:INDEX('Milho 2ª safra'!$E47:$Z47,MIN(AL$6-$E$3,22))&lt;&gt;""),'Milho 2ª safra'!$E47:INDEX('Milho 2ª safra'!$E47:$Z47,MIN(AL$6-$E$3,22))),0))-IF($G$2,0,IF((AL$6-$G$3)&lt;1,0,IFERROR(LOOKUP(2,1/('Milho 2ª safra'!$E47:INDEX('Milho 2ª safra'!$E47:$Z47,MIN(AL$6-$G$3,22))&lt;&gt;""),'Milho 2ª safra'!$E47:INDEX('Milho 2ª safra'!$E47:$Z47,MIN(AL$6-$G$3,22))),0)))))</f>
        <v>0</v>
      </c>
      <c r="AM49" s="27" t="n">
        <f aca="false">IF(COUNT('Milho 2ª safra'!$E47:$Z47)=0,0,MAX(0,IF((AM$6-$E$3)&lt;1,0,IFERROR(LOOKUP(2,1/('Milho 2ª safra'!$E47:INDEX('Milho 2ª safra'!$E47:$Z47,MIN(AM$6-$E$3,22))&lt;&gt;""),'Milho 2ª safra'!$E47:INDEX('Milho 2ª safra'!$E47:$Z47,MIN(AM$6-$E$3,22))),0))-IF($G$2,0,IF((AM$6-$G$3)&lt;1,0,IFERROR(LOOKUP(2,1/('Milho 2ª safra'!$E47:INDEX('Milho 2ª safra'!$E47:$Z47,MIN(AM$6-$G$3,22))&lt;&gt;""),'Milho 2ª safra'!$E47:INDEX('Milho 2ª safra'!$E47:$Z47,MIN(AM$6-$G$3,22))),0)))))</f>
        <v>0</v>
      </c>
      <c r="AN49" s="27" t="n">
        <f aca="false">IF(COUNT('Milho 2ª safra'!$E47:$Z47)=0,0,MAX(0,IF((AN$6-$E$3)&lt;1,0,IFERROR(LOOKUP(2,1/('Milho 2ª safra'!$E47:INDEX('Milho 2ª safra'!$E47:$Z47,MIN(AN$6-$E$3,22))&lt;&gt;""),'Milho 2ª safra'!$E47:INDEX('Milho 2ª safra'!$E47:$Z47,MIN(AN$6-$E$3,22))),0))-IF($G$2,0,IF((AN$6-$G$3)&lt;1,0,IFERROR(LOOKUP(2,1/('Milho 2ª safra'!$E47:INDEX('Milho 2ª safra'!$E47:$Z47,MIN(AN$6-$G$3,22))&lt;&gt;""),'Milho 2ª safra'!$E47:INDEX('Milho 2ª safra'!$E47:$Z47,MIN(AN$6-$G$3,22))),0)))))</f>
        <v>0</v>
      </c>
      <c r="AO49" s="27" t="n">
        <f aca="false">IF(COUNT('Milho 2ª safra'!$E47:$Z47)=0,0,MAX(0,IF((AO$6-$E$3)&lt;1,0,IFERROR(LOOKUP(2,1/('Milho 2ª safra'!$E47:INDEX('Milho 2ª safra'!$E47:$Z47,MIN(AO$6-$E$3,22))&lt;&gt;""),'Milho 2ª safra'!$E47:INDEX('Milho 2ª safra'!$E47:$Z47,MIN(AO$6-$E$3,22))),0))-IF($G$2,0,IF((AO$6-$G$3)&lt;1,0,IFERROR(LOOKUP(2,1/('Milho 2ª safra'!$E47:INDEX('Milho 2ª safra'!$E47:$Z47,MIN(AO$6-$G$3,22))&lt;&gt;""),'Milho 2ª safra'!$E47:INDEX('Milho 2ª safra'!$E47:$Z47,MIN(AO$6-$G$3,22))),0)))))</f>
        <v>0</v>
      </c>
      <c r="AP49" s="27" t="n">
        <f aca="false">IF(COUNT('Milho 2ª safra'!$E47:$Z47)=0,0,MAX(0,IF((AP$6-$E$3)&lt;1,0,IFERROR(LOOKUP(2,1/('Milho 2ª safra'!$E47:INDEX('Milho 2ª safra'!$E47:$Z47,MIN(AP$6-$E$3,22))&lt;&gt;""),'Milho 2ª safra'!$E47:INDEX('Milho 2ª safra'!$E47:$Z47,MIN(AP$6-$E$3,22))),0))-IF($G$2,0,IF((AP$6-$G$3)&lt;1,0,IFERROR(LOOKUP(2,1/('Milho 2ª safra'!$E47:INDEX('Milho 2ª safra'!$E47:$Z47,MIN(AP$6-$G$3,22))&lt;&gt;""),'Milho 2ª safra'!$E47:INDEX('Milho 2ª safra'!$E47:$Z47,MIN(AP$6-$G$3,22))),0)))))</f>
        <v>0</v>
      </c>
      <c r="AQ49" s="27" t="n">
        <f aca="false">IF(COUNT('Milho 2ª safra'!$E47:$Z47)=0,0,MAX(0,IF((AQ$6-$E$3)&lt;1,0,IFERROR(LOOKUP(2,1/('Milho 2ª safra'!$E47:INDEX('Milho 2ª safra'!$E47:$Z47,MIN(AQ$6-$E$3,22))&lt;&gt;""),'Milho 2ª safra'!$E47:INDEX('Milho 2ª safra'!$E47:$Z47,MIN(AQ$6-$E$3,22))),0))-IF($G$2,0,IF((AQ$6-$G$3)&lt;1,0,IFERROR(LOOKUP(2,1/('Milho 2ª safra'!$E47:INDEX('Milho 2ª safra'!$E47:$Z47,MIN(AQ$6-$G$3,22))&lt;&gt;""),'Milho 2ª safra'!$E47:INDEX('Milho 2ª safra'!$E47:$Z47,MIN(AQ$6-$G$3,22))),0)))))</f>
        <v>0</v>
      </c>
      <c r="AR49" s="27" t="n">
        <f aca="false">IF(COUNT('Milho 2ª safra'!$E47:$Z47)=0,0,MAX(0,IF((AR$6-$E$3)&lt;1,0,IFERROR(LOOKUP(2,1/('Milho 2ª safra'!$E47:INDEX('Milho 2ª safra'!$E47:$Z47,MIN(AR$6-$E$3,22))&lt;&gt;""),'Milho 2ª safra'!$E47:INDEX('Milho 2ª safra'!$E47:$Z47,MIN(AR$6-$E$3,22))),0))-IF($G$2,0,IF((AR$6-$G$3)&lt;1,0,IFERROR(LOOKUP(2,1/('Milho 2ª safra'!$E47:INDEX('Milho 2ª safra'!$E47:$Z47,MIN(AR$6-$G$3,22))&lt;&gt;""),'Milho 2ª safra'!$E47:INDEX('Milho 2ª safra'!$E47:$Z47,MIN(AR$6-$G$3,22))),0)))))</f>
        <v>0</v>
      </c>
      <c r="AS49" s="27" t="n">
        <f aca="false">IF(COUNT('Milho 2ª safra'!$E47:$Z47)=0,0,MAX(0,IF((AS$6-$E$3)&lt;1,0,IFERROR(LOOKUP(2,1/('Milho 2ª safra'!$E47:INDEX('Milho 2ª safra'!$E47:$Z47,MIN(AS$6-$E$3,22))&lt;&gt;""),'Milho 2ª safra'!$E47:INDEX('Milho 2ª safra'!$E47:$Z47,MIN(AS$6-$E$3,22))),0))-IF($G$2,0,IF((AS$6-$G$3)&lt;1,0,IFERROR(LOOKUP(2,1/('Milho 2ª safra'!$E47:INDEX('Milho 2ª safra'!$E47:$Z47,MIN(AS$6-$G$3,22))&lt;&gt;""),'Milho 2ª safra'!$E47:INDEX('Milho 2ª safra'!$E47:$Z47,MIN(AS$6-$G$3,22))),0)))))</f>
        <v>0</v>
      </c>
      <c r="AT49" s="27" t="n">
        <f aca="false">IF(COUNT('Milho 2ª safra'!$E47:$Z47)=0,0,MAX(0,IF((AT$6-$E$3)&lt;1,0,IFERROR(LOOKUP(2,1/('Milho 2ª safra'!$E47:INDEX('Milho 2ª safra'!$E47:$Z47,MIN(AT$6-$E$3,22))&lt;&gt;""),'Milho 2ª safra'!$E47:INDEX('Milho 2ª safra'!$E47:$Z47,MIN(AT$6-$E$3,22))),0))-IF($G$2,0,IF((AT$6-$G$3)&lt;1,0,IFERROR(LOOKUP(2,1/('Milho 2ª safra'!$E47:INDEX('Milho 2ª safra'!$E47:$Z47,MIN(AT$6-$G$3,22))&lt;&gt;""),'Milho 2ª safra'!$E47:INDEX('Milho 2ª safra'!$E47:$Z47,MIN(AT$6-$G$3,22))),0)))))</f>
        <v>0</v>
      </c>
      <c r="AU49" s="27" t="n">
        <f aca="false">IF(COUNT('Milho 2ª safra'!$E47:$Z47)=0,0,MAX(0,IF((AU$6-$E$3)&lt;1,0,IFERROR(LOOKUP(2,1/('Milho 2ª safra'!$E47:INDEX('Milho 2ª safra'!$E47:$Z47,MIN(AU$6-$E$3,22))&lt;&gt;""),'Milho 2ª safra'!$E47:INDEX('Milho 2ª safra'!$E47:$Z47,MIN(AU$6-$E$3,22))),0))-IF($G$2,0,IF((AU$6-$G$3)&lt;1,0,IFERROR(LOOKUP(2,1/('Milho 2ª safra'!$E47:INDEX('Milho 2ª safra'!$E47:$Z47,MIN(AU$6-$G$3,22))&lt;&gt;""),'Milho 2ª safra'!$E47:INDEX('Milho 2ª safra'!$E47:$Z47,MIN(AU$6-$G$3,22))),0)))))</f>
        <v>0</v>
      </c>
      <c r="AV49" s="27" t="n">
        <f aca="false">IF(COUNT('Milho 2ª safra'!$E47:$Z47)=0,0,MAX(0,IF((AV$6-$E$3)&lt;1,0,IFERROR(LOOKUP(2,1/('Milho 2ª safra'!$E47:INDEX('Milho 2ª safra'!$E47:$Z47,MIN(AV$6-$E$3,22))&lt;&gt;""),'Milho 2ª safra'!$E47:INDEX('Milho 2ª safra'!$E47:$Z47,MIN(AV$6-$E$3,22))),0))-IF($G$2,0,IF((AV$6-$G$3)&lt;1,0,IFERROR(LOOKUP(2,1/('Milho 2ª safra'!$E47:INDEX('Milho 2ª safra'!$E47:$Z47,MIN(AV$6-$G$3,22))&lt;&gt;""),'Milho 2ª safra'!$E47:INDEX('Milho 2ª safra'!$E47:$Z47,MIN(AV$6-$G$3,22))),0)))))</f>
        <v>0</v>
      </c>
      <c r="AW49" s="27" t="n">
        <f aca="false">IF(COUNT('Milho 2ª safra'!$E47:$Z47)=0,0,MAX(0,IF((AW$6-$E$3)&lt;1,0,IFERROR(LOOKUP(2,1/('Milho 2ª safra'!$E47:INDEX('Milho 2ª safra'!$E47:$Z47,MIN(AW$6-$E$3,22))&lt;&gt;""),'Milho 2ª safra'!$E47:INDEX('Milho 2ª safra'!$E47:$Z47,MIN(AW$6-$E$3,22))),0))-IF($G$2,0,IF((AW$6-$G$3)&lt;1,0,IFERROR(LOOKUP(2,1/('Milho 2ª safra'!$E47:INDEX('Milho 2ª safra'!$E47:$Z47,MIN(AW$6-$G$3,22))&lt;&gt;""),'Milho 2ª safra'!$E47:INDEX('Milho 2ª safra'!$E47:$Z47,MIN(AW$6-$G$3,22))),0)))))</f>
        <v>0</v>
      </c>
      <c r="AX49" s="27" t="n">
        <f aca="false">IF(COUNT('Milho 2ª safra'!$E47:$Z47)=0,0,MAX(0,IF((AX$6-$E$3)&lt;1,0,IFERROR(LOOKUP(2,1/('Milho 2ª safra'!$E47:INDEX('Milho 2ª safra'!$E47:$Z47,MIN(AX$6-$E$3,22))&lt;&gt;""),'Milho 2ª safra'!$E47:INDEX('Milho 2ª safra'!$E47:$Z47,MIN(AX$6-$E$3,22))),0))-IF($G$2,0,IF((AX$6-$G$3)&lt;1,0,IFERROR(LOOKUP(2,1/('Milho 2ª safra'!$E47:INDEX('Milho 2ª safra'!$E47:$Z47,MIN(AX$6-$G$3,22))&lt;&gt;""),'Milho 2ª safra'!$E47:INDEX('Milho 2ª safra'!$E47:$Z47,MIN(AX$6-$G$3,22))),0)))))</f>
        <v>0</v>
      </c>
      <c r="AY49" s="27" t="n">
        <f aca="false">IF(COUNT('Milho 2ª safra'!$E47:$Z47)=0,0,MAX(0,IF((AY$6-$E$3)&lt;1,0,IFERROR(LOOKUP(2,1/('Milho 2ª safra'!$E47:INDEX('Milho 2ª safra'!$E47:$Z47,MIN(AY$6-$E$3,22))&lt;&gt;""),'Milho 2ª safra'!$E47:INDEX('Milho 2ª safra'!$E47:$Z47,MIN(AY$6-$E$3,22))),0))-IF($G$2,0,IF((AY$6-$G$3)&lt;1,0,IFERROR(LOOKUP(2,1/('Milho 2ª safra'!$E47:INDEX('Milho 2ª safra'!$E47:$Z47,MIN(AY$6-$G$3,22))&lt;&gt;""),'Milho 2ª safra'!$E47:INDEX('Milho 2ª safra'!$E47:$Z47,MIN(AY$6-$G$3,22))),0)))))</f>
        <v>0</v>
      </c>
      <c r="AZ49" s="27" t="n">
        <f aca="false">IF(COUNT('Milho 2ª safra'!$E47:$Z47)=0,0,MAX(0,IF((AZ$6-$E$3)&lt;1,0,IFERROR(LOOKUP(2,1/('Milho 2ª safra'!$E47:INDEX('Milho 2ª safra'!$E47:$Z47,MIN(AZ$6-$E$3,22))&lt;&gt;""),'Milho 2ª safra'!$E47:INDEX('Milho 2ª safra'!$E47:$Z47,MIN(AZ$6-$E$3,22))),0))-IF($G$2,0,IF((AZ$6-$G$3)&lt;1,0,IFERROR(LOOKUP(2,1/('Milho 2ª safra'!$E47:INDEX('Milho 2ª safra'!$E47:$Z47,MIN(AZ$6-$G$3,22))&lt;&gt;""),'Milho 2ª safra'!$E47:INDEX('Milho 2ª safra'!$E47:$Z47,MIN(AZ$6-$G$3,22))),0)))))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IF(COUNT('Milho 2ª safra'!$E48:$Z48)&gt;0,N('Milho 2ª safra'!$D48),0)</f>
        <v>0</v>
      </c>
      <c r="E50" s="27" t="n">
        <f aca="false">IF(COUNT('Milho 2ª safra'!$E48:$Z48)=0,0,MAX(0,IF((E$6-$E$3)&lt;1,0,IFERROR(LOOKUP(2,1/('Milho 2ª safra'!$E48:INDEX('Milho 2ª safra'!$E48:$Z48,MIN(E$6-$E$3,22))&lt;&gt;""),'Milho 2ª safra'!$E48:INDEX('Milho 2ª safra'!$E48:$Z48,MIN(E$6-$E$3,22))),0))-IF($G$2,0,IF((E$6-$G$3)&lt;1,0,IFERROR(LOOKUP(2,1/('Milho 2ª safra'!$E48:INDEX('Milho 2ª safra'!$E48:$Z48,MIN(E$6-$G$3,22))&lt;&gt;""),'Milho 2ª safra'!$E48:INDEX('Milho 2ª safra'!$E48:$Z48,MIN(E$6-$G$3,22))),0)))))</f>
        <v>0</v>
      </c>
      <c r="F50" s="27" t="n">
        <f aca="false">IF(COUNT('Milho 2ª safra'!$E48:$Z48)=0,0,MAX(0,IF((F$6-$E$3)&lt;1,0,IFERROR(LOOKUP(2,1/('Milho 2ª safra'!$E48:INDEX('Milho 2ª safra'!$E48:$Z48,MIN(F$6-$E$3,22))&lt;&gt;""),'Milho 2ª safra'!$E48:INDEX('Milho 2ª safra'!$E48:$Z48,MIN(F$6-$E$3,22))),0))-IF($G$2,0,IF((F$6-$G$3)&lt;1,0,IFERROR(LOOKUP(2,1/('Milho 2ª safra'!$E48:INDEX('Milho 2ª safra'!$E48:$Z48,MIN(F$6-$G$3,22))&lt;&gt;""),'Milho 2ª safra'!$E48:INDEX('Milho 2ª safra'!$E48:$Z48,MIN(F$6-$G$3,22))),0)))))</f>
        <v>0</v>
      </c>
      <c r="G50" s="27" t="n">
        <f aca="false">IF(COUNT('Milho 2ª safra'!$E48:$Z48)=0,0,MAX(0,IF((G$6-$E$3)&lt;1,0,IFERROR(LOOKUP(2,1/('Milho 2ª safra'!$E48:INDEX('Milho 2ª safra'!$E48:$Z48,MIN(G$6-$E$3,22))&lt;&gt;""),'Milho 2ª safra'!$E48:INDEX('Milho 2ª safra'!$E48:$Z48,MIN(G$6-$E$3,22))),0))-IF($G$2,0,IF((G$6-$G$3)&lt;1,0,IFERROR(LOOKUP(2,1/('Milho 2ª safra'!$E48:INDEX('Milho 2ª safra'!$E48:$Z48,MIN(G$6-$G$3,22))&lt;&gt;""),'Milho 2ª safra'!$E48:INDEX('Milho 2ª safra'!$E48:$Z48,MIN(G$6-$G$3,22))),0)))))</f>
        <v>0</v>
      </c>
      <c r="H50" s="27" t="n">
        <f aca="false">IF(COUNT('Milho 2ª safra'!$E48:$Z48)=0,0,MAX(0,IF((H$6-$E$3)&lt;1,0,IFERROR(LOOKUP(2,1/('Milho 2ª safra'!$E48:INDEX('Milho 2ª safra'!$E48:$Z48,MIN(H$6-$E$3,22))&lt;&gt;""),'Milho 2ª safra'!$E48:INDEX('Milho 2ª safra'!$E48:$Z48,MIN(H$6-$E$3,22))),0))-IF($G$2,0,IF((H$6-$G$3)&lt;1,0,IFERROR(LOOKUP(2,1/('Milho 2ª safra'!$E48:INDEX('Milho 2ª safra'!$E48:$Z48,MIN(H$6-$G$3,22))&lt;&gt;""),'Milho 2ª safra'!$E48:INDEX('Milho 2ª safra'!$E48:$Z48,MIN(H$6-$G$3,22))),0)))))</f>
        <v>0</v>
      </c>
      <c r="I50" s="27" t="n">
        <f aca="false">IF(COUNT('Milho 2ª safra'!$E48:$Z48)=0,0,MAX(0,IF((I$6-$E$3)&lt;1,0,IFERROR(LOOKUP(2,1/('Milho 2ª safra'!$E48:INDEX('Milho 2ª safra'!$E48:$Z48,MIN(I$6-$E$3,22))&lt;&gt;""),'Milho 2ª safra'!$E48:INDEX('Milho 2ª safra'!$E48:$Z48,MIN(I$6-$E$3,22))),0))-IF($G$2,0,IF((I$6-$G$3)&lt;1,0,IFERROR(LOOKUP(2,1/('Milho 2ª safra'!$E48:INDEX('Milho 2ª safra'!$E48:$Z48,MIN(I$6-$G$3,22))&lt;&gt;""),'Milho 2ª safra'!$E48:INDEX('Milho 2ª safra'!$E48:$Z48,MIN(I$6-$G$3,22))),0)))))</f>
        <v>0</v>
      </c>
      <c r="J50" s="27" t="n">
        <f aca="false">IF(COUNT('Milho 2ª safra'!$E48:$Z48)=0,0,MAX(0,IF((J$6-$E$3)&lt;1,0,IFERROR(LOOKUP(2,1/('Milho 2ª safra'!$E48:INDEX('Milho 2ª safra'!$E48:$Z48,MIN(J$6-$E$3,22))&lt;&gt;""),'Milho 2ª safra'!$E48:INDEX('Milho 2ª safra'!$E48:$Z48,MIN(J$6-$E$3,22))),0))-IF($G$2,0,IF((J$6-$G$3)&lt;1,0,IFERROR(LOOKUP(2,1/('Milho 2ª safra'!$E48:INDEX('Milho 2ª safra'!$E48:$Z48,MIN(J$6-$G$3,22))&lt;&gt;""),'Milho 2ª safra'!$E48:INDEX('Milho 2ª safra'!$E48:$Z48,MIN(J$6-$G$3,22))),0)))))</f>
        <v>0</v>
      </c>
      <c r="K50" s="27" t="n">
        <f aca="false">IF(COUNT('Milho 2ª safra'!$E48:$Z48)=0,0,MAX(0,IF((K$6-$E$3)&lt;1,0,IFERROR(LOOKUP(2,1/('Milho 2ª safra'!$E48:INDEX('Milho 2ª safra'!$E48:$Z48,MIN(K$6-$E$3,22))&lt;&gt;""),'Milho 2ª safra'!$E48:INDEX('Milho 2ª safra'!$E48:$Z48,MIN(K$6-$E$3,22))),0))-IF($G$2,0,IF((K$6-$G$3)&lt;1,0,IFERROR(LOOKUP(2,1/('Milho 2ª safra'!$E48:INDEX('Milho 2ª safra'!$E48:$Z48,MIN(K$6-$G$3,22))&lt;&gt;""),'Milho 2ª safra'!$E48:INDEX('Milho 2ª safra'!$E48:$Z48,MIN(K$6-$G$3,22))),0)))))</f>
        <v>0</v>
      </c>
      <c r="L50" s="27" t="n">
        <f aca="false">IF(COUNT('Milho 2ª safra'!$E48:$Z48)=0,0,MAX(0,IF((L$6-$E$3)&lt;1,0,IFERROR(LOOKUP(2,1/('Milho 2ª safra'!$E48:INDEX('Milho 2ª safra'!$E48:$Z48,MIN(L$6-$E$3,22))&lt;&gt;""),'Milho 2ª safra'!$E48:INDEX('Milho 2ª safra'!$E48:$Z48,MIN(L$6-$E$3,22))),0))-IF($G$2,0,IF((L$6-$G$3)&lt;1,0,IFERROR(LOOKUP(2,1/('Milho 2ª safra'!$E48:INDEX('Milho 2ª safra'!$E48:$Z48,MIN(L$6-$G$3,22))&lt;&gt;""),'Milho 2ª safra'!$E48:INDEX('Milho 2ª safra'!$E48:$Z48,MIN(L$6-$G$3,22))),0)))))</f>
        <v>0</v>
      </c>
      <c r="M50" s="27" t="n">
        <f aca="false">IF(COUNT('Milho 2ª safra'!$E48:$Z48)=0,0,MAX(0,IF((M$6-$E$3)&lt;1,0,IFERROR(LOOKUP(2,1/('Milho 2ª safra'!$E48:INDEX('Milho 2ª safra'!$E48:$Z48,MIN(M$6-$E$3,22))&lt;&gt;""),'Milho 2ª safra'!$E48:INDEX('Milho 2ª safra'!$E48:$Z48,MIN(M$6-$E$3,22))),0))-IF($G$2,0,IF((M$6-$G$3)&lt;1,0,IFERROR(LOOKUP(2,1/('Milho 2ª safra'!$E48:INDEX('Milho 2ª safra'!$E48:$Z48,MIN(M$6-$G$3,22))&lt;&gt;""),'Milho 2ª safra'!$E48:INDEX('Milho 2ª safra'!$E48:$Z48,MIN(M$6-$G$3,22))),0)))))</f>
        <v>0</v>
      </c>
      <c r="N50" s="27" t="n">
        <f aca="false">IF(COUNT('Milho 2ª safra'!$E48:$Z48)=0,0,MAX(0,IF((N$6-$E$3)&lt;1,0,IFERROR(LOOKUP(2,1/('Milho 2ª safra'!$E48:INDEX('Milho 2ª safra'!$E48:$Z48,MIN(N$6-$E$3,22))&lt;&gt;""),'Milho 2ª safra'!$E48:INDEX('Milho 2ª safra'!$E48:$Z48,MIN(N$6-$E$3,22))),0))-IF($G$2,0,IF((N$6-$G$3)&lt;1,0,IFERROR(LOOKUP(2,1/('Milho 2ª safra'!$E48:INDEX('Milho 2ª safra'!$E48:$Z48,MIN(N$6-$G$3,22))&lt;&gt;""),'Milho 2ª safra'!$E48:INDEX('Milho 2ª safra'!$E48:$Z48,MIN(N$6-$G$3,22))),0)))))</f>
        <v>0</v>
      </c>
      <c r="O50" s="27" t="n">
        <f aca="false">IF(COUNT('Milho 2ª safra'!$E48:$Z48)=0,0,MAX(0,IF((O$6-$E$3)&lt;1,0,IFERROR(LOOKUP(2,1/('Milho 2ª safra'!$E48:INDEX('Milho 2ª safra'!$E48:$Z48,MIN(O$6-$E$3,22))&lt;&gt;""),'Milho 2ª safra'!$E48:INDEX('Milho 2ª safra'!$E48:$Z48,MIN(O$6-$E$3,22))),0))-IF($G$2,0,IF((O$6-$G$3)&lt;1,0,IFERROR(LOOKUP(2,1/('Milho 2ª safra'!$E48:INDEX('Milho 2ª safra'!$E48:$Z48,MIN(O$6-$G$3,22))&lt;&gt;""),'Milho 2ª safra'!$E48:INDEX('Milho 2ª safra'!$E48:$Z48,MIN(O$6-$G$3,22))),0)))))</f>
        <v>0</v>
      </c>
      <c r="P50" s="27" t="n">
        <f aca="false">IF(COUNT('Milho 2ª safra'!$E48:$Z48)=0,0,MAX(0,IF((P$6-$E$3)&lt;1,0,IFERROR(LOOKUP(2,1/('Milho 2ª safra'!$E48:INDEX('Milho 2ª safra'!$E48:$Z48,MIN(P$6-$E$3,22))&lt;&gt;""),'Milho 2ª safra'!$E48:INDEX('Milho 2ª safra'!$E48:$Z48,MIN(P$6-$E$3,22))),0))-IF($G$2,0,IF((P$6-$G$3)&lt;1,0,IFERROR(LOOKUP(2,1/('Milho 2ª safra'!$E48:INDEX('Milho 2ª safra'!$E48:$Z48,MIN(P$6-$G$3,22))&lt;&gt;""),'Milho 2ª safra'!$E48:INDEX('Milho 2ª safra'!$E48:$Z48,MIN(P$6-$G$3,22))),0)))))</f>
        <v>0</v>
      </c>
      <c r="Q50" s="27" t="n">
        <f aca="false">IF(COUNT('Milho 2ª safra'!$E48:$Z48)=0,0,MAX(0,IF((Q$6-$E$3)&lt;1,0,IFERROR(LOOKUP(2,1/('Milho 2ª safra'!$E48:INDEX('Milho 2ª safra'!$E48:$Z48,MIN(Q$6-$E$3,22))&lt;&gt;""),'Milho 2ª safra'!$E48:INDEX('Milho 2ª safra'!$E48:$Z48,MIN(Q$6-$E$3,22))),0))-IF($G$2,0,IF((Q$6-$G$3)&lt;1,0,IFERROR(LOOKUP(2,1/('Milho 2ª safra'!$E48:INDEX('Milho 2ª safra'!$E48:$Z48,MIN(Q$6-$G$3,22))&lt;&gt;""),'Milho 2ª safra'!$E48:INDEX('Milho 2ª safra'!$E48:$Z48,MIN(Q$6-$G$3,22))),0)))))</f>
        <v>0</v>
      </c>
      <c r="R50" s="27" t="n">
        <f aca="false">IF(COUNT('Milho 2ª safra'!$E48:$Z48)=0,0,MAX(0,IF((R$6-$E$3)&lt;1,0,IFERROR(LOOKUP(2,1/('Milho 2ª safra'!$E48:INDEX('Milho 2ª safra'!$E48:$Z48,MIN(R$6-$E$3,22))&lt;&gt;""),'Milho 2ª safra'!$E48:INDEX('Milho 2ª safra'!$E48:$Z48,MIN(R$6-$E$3,22))),0))-IF($G$2,0,IF((R$6-$G$3)&lt;1,0,IFERROR(LOOKUP(2,1/('Milho 2ª safra'!$E48:INDEX('Milho 2ª safra'!$E48:$Z48,MIN(R$6-$G$3,22))&lt;&gt;""),'Milho 2ª safra'!$E48:INDEX('Milho 2ª safra'!$E48:$Z48,MIN(R$6-$G$3,22))),0)))))</f>
        <v>0</v>
      </c>
      <c r="S50" s="27" t="n">
        <f aca="false">IF(COUNT('Milho 2ª safra'!$E48:$Z48)=0,0,MAX(0,IF((S$6-$E$3)&lt;1,0,IFERROR(LOOKUP(2,1/('Milho 2ª safra'!$E48:INDEX('Milho 2ª safra'!$E48:$Z48,MIN(S$6-$E$3,22))&lt;&gt;""),'Milho 2ª safra'!$E48:INDEX('Milho 2ª safra'!$E48:$Z48,MIN(S$6-$E$3,22))),0))-IF($G$2,0,IF((S$6-$G$3)&lt;1,0,IFERROR(LOOKUP(2,1/('Milho 2ª safra'!$E48:INDEX('Milho 2ª safra'!$E48:$Z48,MIN(S$6-$G$3,22))&lt;&gt;""),'Milho 2ª safra'!$E48:INDEX('Milho 2ª safra'!$E48:$Z48,MIN(S$6-$G$3,22))),0)))))</f>
        <v>0</v>
      </c>
      <c r="T50" s="27" t="n">
        <f aca="false">IF(COUNT('Milho 2ª safra'!$E48:$Z48)=0,0,MAX(0,IF((T$6-$E$3)&lt;1,0,IFERROR(LOOKUP(2,1/('Milho 2ª safra'!$E48:INDEX('Milho 2ª safra'!$E48:$Z48,MIN(T$6-$E$3,22))&lt;&gt;""),'Milho 2ª safra'!$E48:INDEX('Milho 2ª safra'!$E48:$Z48,MIN(T$6-$E$3,22))),0))-IF($G$2,0,IF((T$6-$G$3)&lt;1,0,IFERROR(LOOKUP(2,1/('Milho 2ª safra'!$E48:INDEX('Milho 2ª safra'!$E48:$Z48,MIN(T$6-$G$3,22))&lt;&gt;""),'Milho 2ª safra'!$E48:INDEX('Milho 2ª safra'!$E48:$Z48,MIN(T$6-$G$3,22))),0)))))</f>
        <v>0</v>
      </c>
      <c r="U50" s="27" t="n">
        <f aca="false">IF(COUNT('Milho 2ª safra'!$E48:$Z48)=0,0,MAX(0,IF((U$6-$E$3)&lt;1,0,IFERROR(LOOKUP(2,1/('Milho 2ª safra'!$E48:INDEX('Milho 2ª safra'!$E48:$Z48,MIN(U$6-$E$3,22))&lt;&gt;""),'Milho 2ª safra'!$E48:INDEX('Milho 2ª safra'!$E48:$Z48,MIN(U$6-$E$3,22))),0))-IF($G$2,0,IF((U$6-$G$3)&lt;1,0,IFERROR(LOOKUP(2,1/('Milho 2ª safra'!$E48:INDEX('Milho 2ª safra'!$E48:$Z48,MIN(U$6-$G$3,22))&lt;&gt;""),'Milho 2ª safra'!$E48:INDEX('Milho 2ª safra'!$E48:$Z48,MIN(U$6-$G$3,22))),0)))))</f>
        <v>0</v>
      </c>
      <c r="V50" s="27" t="n">
        <f aca="false">IF(COUNT('Milho 2ª safra'!$E48:$Z48)=0,0,MAX(0,IF((V$6-$E$3)&lt;1,0,IFERROR(LOOKUP(2,1/('Milho 2ª safra'!$E48:INDEX('Milho 2ª safra'!$E48:$Z48,MIN(V$6-$E$3,22))&lt;&gt;""),'Milho 2ª safra'!$E48:INDEX('Milho 2ª safra'!$E48:$Z48,MIN(V$6-$E$3,22))),0))-IF($G$2,0,IF((V$6-$G$3)&lt;1,0,IFERROR(LOOKUP(2,1/('Milho 2ª safra'!$E48:INDEX('Milho 2ª safra'!$E48:$Z48,MIN(V$6-$G$3,22))&lt;&gt;""),'Milho 2ª safra'!$E48:INDEX('Milho 2ª safra'!$E48:$Z48,MIN(V$6-$G$3,22))),0)))))</f>
        <v>0</v>
      </c>
      <c r="W50" s="27" t="n">
        <f aca="false">IF(COUNT('Milho 2ª safra'!$E48:$Z48)=0,0,MAX(0,IF((W$6-$E$3)&lt;1,0,IFERROR(LOOKUP(2,1/('Milho 2ª safra'!$E48:INDEX('Milho 2ª safra'!$E48:$Z48,MIN(W$6-$E$3,22))&lt;&gt;""),'Milho 2ª safra'!$E48:INDEX('Milho 2ª safra'!$E48:$Z48,MIN(W$6-$E$3,22))),0))-IF($G$2,0,IF((W$6-$G$3)&lt;1,0,IFERROR(LOOKUP(2,1/('Milho 2ª safra'!$E48:INDEX('Milho 2ª safra'!$E48:$Z48,MIN(W$6-$G$3,22))&lt;&gt;""),'Milho 2ª safra'!$E48:INDEX('Milho 2ª safra'!$E48:$Z48,MIN(W$6-$G$3,22))),0)))))</f>
        <v>0</v>
      </c>
      <c r="X50" s="27" t="n">
        <f aca="false">IF(COUNT('Milho 2ª safra'!$E48:$Z48)=0,0,MAX(0,IF((X$6-$E$3)&lt;1,0,IFERROR(LOOKUP(2,1/('Milho 2ª safra'!$E48:INDEX('Milho 2ª safra'!$E48:$Z48,MIN(X$6-$E$3,22))&lt;&gt;""),'Milho 2ª safra'!$E48:INDEX('Milho 2ª safra'!$E48:$Z48,MIN(X$6-$E$3,22))),0))-IF($G$2,0,IF((X$6-$G$3)&lt;1,0,IFERROR(LOOKUP(2,1/('Milho 2ª safra'!$E48:INDEX('Milho 2ª safra'!$E48:$Z48,MIN(X$6-$G$3,22))&lt;&gt;""),'Milho 2ª safra'!$E48:INDEX('Milho 2ª safra'!$E48:$Z48,MIN(X$6-$G$3,22))),0)))))</f>
        <v>0</v>
      </c>
      <c r="Y50" s="27" t="n">
        <f aca="false">IF(COUNT('Milho 2ª safra'!$E48:$Z48)=0,0,MAX(0,IF((Y$6-$E$3)&lt;1,0,IFERROR(LOOKUP(2,1/('Milho 2ª safra'!$E48:INDEX('Milho 2ª safra'!$E48:$Z48,MIN(Y$6-$E$3,22))&lt;&gt;""),'Milho 2ª safra'!$E48:INDEX('Milho 2ª safra'!$E48:$Z48,MIN(Y$6-$E$3,22))),0))-IF($G$2,0,IF((Y$6-$G$3)&lt;1,0,IFERROR(LOOKUP(2,1/('Milho 2ª safra'!$E48:INDEX('Milho 2ª safra'!$E48:$Z48,MIN(Y$6-$G$3,22))&lt;&gt;""),'Milho 2ª safra'!$E48:INDEX('Milho 2ª safra'!$E48:$Z48,MIN(Y$6-$G$3,22))),0)))))</f>
        <v>0</v>
      </c>
      <c r="Z50" s="27" t="n">
        <f aca="false">IF(COUNT('Milho 2ª safra'!$E48:$Z48)=0,0,MAX(0,IF((Z$6-$E$3)&lt;1,0,IFERROR(LOOKUP(2,1/('Milho 2ª safra'!$E48:INDEX('Milho 2ª safra'!$E48:$Z48,MIN(Z$6-$E$3,22))&lt;&gt;""),'Milho 2ª safra'!$E48:INDEX('Milho 2ª safra'!$E48:$Z48,MIN(Z$6-$E$3,22))),0))-IF($G$2,0,IF((Z$6-$G$3)&lt;1,0,IFERROR(LOOKUP(2,1/('Milho 2ª safra'!$E48:INDEX('Milho 2ª safra'!$E48:$Z48,MIN(Z$6-$G$3,22))&lt;&gt;""),'Milho 2ª safra'!$E48:INDEX('Milho 2ª safra'!$E48:$Z48,MIN(Z$6-$G$3,22))),0)))))</f>
        <v>0</v>
      </c>
      <c r="AA50" s="27" t="n">
        <f aca="false">IF(COUNT('Milho 2ª safra'!$E48:$Z48)=0,0,MAX(0,IF((AA$6-$E$3)&lt;1,0,IFERROR(LOOKUP(2,1/('Milho 2ª safra'!$E48:INDEX('Milho 2ª safra'!$E48:$Z48,MIN(AA$6-$E$3,22))&lt;&gt;""),'Milho 2ª safra'!$E48:INDEX('Milho 2ª safra'!$E48:$Z48,MIN(AA$6-$E$3,22))),0))-IF($G$2,0,IF((AA$6-$G$3)&lt;1,0,IFERROR(LOOKUP(2,1/('Milho 2ª safra'!$E48:INDEX('Milho 2ª safra'!$E48:$Z48,MIN(AA$6-$G$3,22))&lt;&gt;""),'Milho 2ª safra'!$E48:INDEX('Milho 2ª safra'!$E48:$Z48,MIN(AA$6-$G$3,22))),0)))))</f>
        <v>0</v>
      </c>
      <c r="AB50" s="27" t="n">
        <f aca="false">IF(COUNT('Milho 2ª safra'!$E48:$Z48)=0,0,MAX(0,IF((AB$6-$E$3)&lt;1,0,IFERROR(LOOKUP(2,1/('Milho 2ª safra'!$E48:INDEX('Milho 2ª safra'!$E48:$Z48,MIN(AB$6-$E$3,22))&lt;&gt;""),'Milho 2ª safra'!$E48:INDEX('Milho 2ª safra'!$E48:$Z48,MIN(AB$6-$E$3,22))),0))-IF($G$2,0,IF((AB$6-$G$3)&lt;1,0,IFERROR(LOOKUP(2,1/('Milho 2ª safra'!$E48:INDEX('Milho 2ª safra'!$E48:$Z48,MIN(AB$6-$G$3,22))&lt;&gt;""),'Milho 2ª safra'!$E48:INDEX('Milho 2ª safra'!$E48:$Z48,MIN(AB$6-$G$3,22))),0)))))</f>
        <v>0</v>
      </c>
      <c r="AC50" s="27" t="n">
        <f aca="false">IF(COUNT('Milho 2ª safra'!$E48:$Z48)=0,0,MAX(0,IF((AC$6-$E$3)&lt;1,0,IFERROR(LOOKUP(2,1/('Milho 2ª safra'!$E48:INDEX('Milho 2ª safra'!$E48:$Z48,MIN(AC$6-$E$3,22))&lt;&gt;""),'Milho 2ª safra'!$E48:INDEX('Milho 2ª safra'!$E48:$Z48,MIN(AC$6-$E$3,22))),0))-IF($G$2,0,IF((AC$6-$G$3)&lt;1,0,IFERROR(LOOKUP(2,1/('Milho 2ª safra'!$E48:INDEX('Milho 2ª safra'!$E48:$Z48,MIN(AC$6-$G$3,22))&lt;&gt;""),'Milho 2ª safra'!$E48:INDEX('Milho 2ª safra'!$E48:$Z48,MIN(AC$6-$G$3,22))),0)))))</f>
        <v>0</v>
      </c>
      <c r="AD50" s="27" t="n">
        <f aca="false">IF(COUNT('Milho 2ª safra'!$E48:$Z48)=0,0,MAX(0,IF((AD$6-$E$3)&lt;1,0,IFERROR(LOOKUP(2,1/('Milho 2ª safra'!$E48:INDEX('Milho 2ª safra'!$E48:$Z48,MIN(AD$6-$E$3,22))&lt;&gt;""),'Milho 2ª safra'!$E48:INDEX('Milho 2ª safra'!$E48:$Z48,MIN(AD$6-$E$3,22))),0))-IF($G$2,0,IF((AD$6-$G$3)&lt;1,0,IFERROR(LOOKUP(2,1/('Milho 2ª safra'!$E48:INDEX('Milho 2ª safra'!$E48:$Z48,MIN(AD$6-$G$3,22))&lt;&gt;""),'Milho 2ª safra'!$E48:INDEX('Milho 2ª safra'!$E48:$Z48,MIN(AD$6-$G$3,22))),0)))))</f>
        <v>0</v>
      </c>
      <c r="AE50" s="27" t="n">
        <f aca="false">IF(COUNT('Milho 2ª safra'!$E48:$Z48)=0,0,MAX(0,IF((AE$6-$E$3)&lt;1,0,IFERROR(LOOKUP(2,1/('Milho 2ª safra'!$E48:INDEX('Milho 2ª safra'!$E48:$Z48,MIN(AE$6-$E$3,22))&lt;&gt;""),'Milho 2ª safra'!$E48:INDEX('Milho 2ª safra'!$E48:$Z48,MIN(AE$6-$E$3,22))),0))-IF($G$2,0,IF((AE$6-$G$3)&lt;1,0,IFERROR(LOOKUP(2,1/('Milho 2ª safra'!$E48:INDEX('Milho 2ª safra'!$E48:$Z48,MIN(AE$6-$G$3,22))&lt;&gt;""),'Milho 2ª safra'!$E48:INDEX('Milho 2ª safra'!$E48:$Z48,MIN(AE$6-$G$3,22))),0)))))</f>
        <v>0</v>
      </c>
      <c r="AF50" s="27" t="n">
        <f aca="false">IF(COUNT('Milho 2ª safra'!$E48:$Z48)=0,0,MAX(0,IF((AF$6-$E$3)&lt;1,0,IFERROR(LOOKUP(2,1/('Milho 2ª safra'!$E48:INDEX('Milho 2ª safra'!$E48:$Z48,MIN(AF$6-$E$3,22))&lt;&gt;""),'Milho 2ª safra'!$E48:INDEX('Milho 2ª safra'!$E48:$Z48,MIN(AF$6-$E$3,22))),0))-IF($G$2,0,IF((AF$6-$G$3)&lt;1,0,IFERROR(LOOKUP(2,1/('Milho 2ª safra'!$E48:INDEX('Milho 2ª safra'!$E48:$Z48,MIN(AF$6-$G$3,22))&lt;&gt;""),'Milho 2ª safra'!$E48:INDEX('Milho 2ª safra'!$E48:$Z48,MIN(AF$6-$G$3,22))),0)))))</f>
        <v>0</v>
      </c>
      <c r="AG50" s="27" t="n">
        <f aca="false">IF(COUNT('Milho 2ª safra'!$E48:$Z48)=0,0,MAX(0,IF((AG$6-$E$3)&lt;1,0,IFERROR(LOOKUP(2,1/('Milho 2ª safra'!$E48:INDEX('Milho 2ª safra'!$E48:$Z48,MIN(AG$6-$E$3,22))&lt;&gt;""),'Milho 2ª safra'!$E48:INDEX('Milho 2ª safra'!$E48:$Z48,MIN(AG$6-$E$3,22))),0))-IF($G$2,0,IF((AG$6-$G$3)&lt;1,0,IFERROR(LOOKUP(2,1/('Milho 2ª safra'!$E48:INDEX('Milho 2ª safra'!$E48:$Z48,MIN(AG$6-$G$3,22))&lt;&gt;""),'Milho 2ª safra'!$E48:INDEX('Milho 2ª safra'!$E48:$Z48,MIN(AG$6-$G$3,22))),0)))))</f>
        <v>0</v>
      </c>
      <c r="AH50" s="27" t="n">
        <f aca="false">IF(COUNT('Milho 2ª safra'!$E48:$Z48)=0,0,MAX(0,IF((AH$6-$E$3)&lt;1,0,IFERROR(LOOKUP(2,1/('Milho 2ª safra'!$E48:INDEX('Milho 2ª safra'!$E48:$Z48,MIN(AH$6-$E$3,22))&lt;&gt;""),'Milho 2ª safra'!$E48:INDEX('Milho 2ª safra'!$E48:$Z48,MIN(AH$6-$E$3,22))),0))-IF($G$2,0,IF((AH$6-$G$3)&lt;1,0,IFERROR(LOOKUP(2,1/('Milho 2ª safra'!$E48:INDEX('Milho 2ª safra'!$E48:$Z48,MIN(AH$6-$G$3,22))&lt;&gt;""),'Milho 2ª safra'!$E48:INDEX('Milho 2ª safra'!$E48:$Z48,MIN(AH$6-$G$3,22))),0)))))</f>
        <v>0</v>
      </c>
      <c r="AI50" s="27" t="n">
        <f aca="false">IF(COUNT('Milho 2ª safra'!$E48:$Z48)=0,0,MAX(0,IF((AI$6-$E$3)&lt;1,0,IFERROR(LOOKUP(2,1/('Milho 2ª safra'!$E48:INDEX('Milho 2ª safra'!$E48:$Z48,MIN(AI$6-$E$3,22))&lt;&gt;""),'Milho 2ª safra'!$E48:INDEX('Milho 2ª safra'!$E48:$Z48,MIN(AI$6-$E$3,22))),0))-IF($G$2,0,IF((AI$6-$G$3)&lt;1,0,IFERROR(LOOKUP(2,1/('Milho 2ª safra'!$E48:INDEX('Milho 2ª safra'!$E48:$Z48,MIN(AI$6-$G$3,22))&lt;&gt;""),'Milho 2ª safra'!$E48:INDEX('Milho 2ª safra'!$E48:$Z48,MIN(AI$6-$G$3,22))),0)))))</f>
        <v>0</v>
      </c>
      <c r="AJ50" s="27" t="n">
        <f aca="false">IF(COUNT('Milho 2ª safra'!$E48:$Z48)=0,0,MAX(0,IF((AJ$6-$E$3)&lt;1,0,IFERROR(LOOKUP(2,1/('Milho 2ª safra'!$E48:INDEX('Milho 2ª safra'!$E48:$Z48,MIN(AJ$6-$E$3,22))&lt;&gt;""),'Milho 2ª safra'!$E48:INDEX('Milho 2ª safra'!$E48:$Z48,MIN(AJ$6-$E$3,22))),0))-IF($G$2,0,IF((AJ$6-$G$3)&lt;1,0,IFERROR(LOOKUP(2,1/('Milho 2ª safra'!$E48:INDEX('Milho 2ª safra'!$E48:$Z48,MIN(AJ$6-$G$3,22))&lt;&gt;""),'Milho 2ª safra'!$E48:INDEX('Milho 2ª safra'!$E48:$Z48,MIN(AJ$6-$G$3,22))),0)))))</f>
        <v>0</v>
      </c>
      <c r="AK50" s="27" t="n">
        <f aca="false">IF(COUNT('Milho 2ª safra'!$E48:$Z48)=0,0,MAX(0,IF((AK$6-$E$3)&lt;1,0,IFERROR(LOOKUP(2,1/('Milho 2ª safra'!$E48:INDEX('Milho 2ª safra'!$E48:$Z48,MIN(AK$6-$E$3,22))&lt;&gt;""),'Milho 2ª safra'!$E48:INDEX('Milho 2ª safra'!$E48:$Z48,MIN(AK$6-$E$3,22))),0))-IF($G$2,0,IF((AK$6-$G$3)&lt;1,0,IFERROR(LOOKUP(2,1/('Milho 2ª safra'!$E48:INDEX('Milho 2ª safra'!$E48:$Z48,MIN(AK$6-$G$3,22))&lt;&gt;""),'Milho 2ª safra'!$E48:INDEX('Milho 2ª safra'!$E48:$Z48,MIN(AK$6-$G$3,22))),0)))))</f>
        <v>0</v>
      </c>
      <c r="AL50" s="27" t="n">
        <f aca="false">IF(COUNT('Milho 2ª safra'!$E48:$Z48)=0,0,MAX(0,IF((AL$6-$E$3)&lt;1,0,IFERROR(LOOKUP(2,1/('Milho 2ª safra'!$E48:INDEX('Milho 2ª safra'!$E48:$Z48,MIN(AL$6-$E$3,22))&lt;&gt;""),'Milho 2ª safra'!$E48:INDEX('Milho 2ª safra'!$E48:$Z48,MIN(AL$6-$E$3,22))),0))-IF($G$2,0,IF((AL$6-$G$3)&lt;1,0,IFERROR(LOOKUP(2,1/('Milho 2ª safra'!$E48:INDEX('Milho 2ª safra'!$E48:$Z48,MIN(AL$6-$G$3,22))&lt;&gt;""),'Milho 2ª safra'!$E48:INDEX('Milho 2ª safra'!$E48:$Z48,MIN(AL$6-$G$3,22))),0)))))</f>
        <v>0</v>
      </c>
      <c r="AM50" s="27" t="n">
        <f aca="false">IF(COUNT('Milho 2ª safra'!$E48:$Z48)=0,0,MAX(0,IF((AM$6-$E$3)&lt;1,0,IFERROR(LOOKUP(2,1/('Milho 2ª safra'!$E48:INDEX('Milho 2ª safra'!$E48:$Z48,MIN(AM$6-$E$3,22))&lt;&gt;""),'Milho 2ª safra'!$E48:INDEX('Milho 2ª safra'!$E48:$Z48,MIN(AM$6-$E$3,22))),0))-IF($G$2,0,IF((AM$6-$G$3)&lt;1,0,IFERROR(LOOKUP(2,1/('Milho 2ª safra'!$E48:INDEX('Milho 2ª safra'!$E48:$Z48,MIN(AM$6-$G$3,22))&lt;&gt;""),'Milho 2ª safra'!$E48:INDEX('Milho 2ª safra'!$E48:$Z48,MIN(AM$6-$G$3,22))),0)))))</f>
        <v>0</v>
      </c>
      <c r="AN50" s="27" t="n">
        <f aca="false">IF(COUNT('Milho 2ª safra'!$E48:$Z48)=0,0,MAX(0,IF((AN$6-$E$3)&lt;1,0,IFERROR(LOOKUP(2,1/('Milho 2ª safra'!$E48:INDEX('Milho 2ª safra'!$E48:$Z48,MIN(AN$6-$E$3,22))&lt;&gt;""),'Milho 2ª safra'!$E48:INDEX('Milho 2ª safra'!$E48:$Z48,MIN(AN$6-$E$3,22))),0))-IF($G$2,0,IF((AN$6-$G$3)&lt;1,0,IFERROR(LOOKUP(2,1/('Milho 2ª safra'!$E48:INDEX('Milho 2ª safra'!$E48:$Z48,MIN(AN$6-$G$3,22))&lt;&gt;""),'Milho 2ª safra'!$E48:INDEX('Milho 2ª safra'!$E48:$Z48,MIN(AN$6-$G$3,22))),0)))))</f>
        <v>0</v>
      </c>
      <c r="AO50" s="27" t="n">
        <f aca="false">IF(COUNT('Milho 2ª safra'!$E48:$Z48)=0,0,MAX(0,IF((AO$6-$E$3)&lt;1,0,IFERROR(LOOKUP(2,1/('Milho 2ª safra'!$E48:INDEX('Milho 2ª safra'!$E48:$Z48,MIN(AO$6-$E$3,22))&lt;&gt;""),'Milho 2ª safra'!$E48:INDEX('Milho 2ª safra'!$E48:$Z48,MIN(AO$6-$E$3,22))),0))-IF($G$2,0,IF((AO$6-$G$3)&lt;1,0,IFERROR(LOOKUP(2,1/('Milho 2ª safra'!$E48:INDEX('Milho 2ª safra'!$E48:$Z48,MIN(AO$6-$G$3,22))&lt;&gt;""),'Milho 2ª safra'!$E48:INDEX('Milho 2ª safra'!$E48:$Z48,MIN(AO$6-$G$3,22))),0)))))</f>
        <v>0</v>
      </c>
      <c r="AP50" s="27" t="n">
        <f aca="false">IF(COUNT('Milho 2ª safra'!$E48:$Z48)=0,0,MAX(0,IF((AP$6-$E$3)&lt;1,0,IFERROR(LOOKUP(2,1/('Milho 2ª safra'!$E48:INDEX('Milho 2ª safra'!$E48:$Z48,MIN(AP$6-$E$3,22))&lt;&gt;""),'Milho 2ª safra'!$E48:INDEX('Milho 2ª safra'!$E48:$Z48,MIN(AP$6-$E$3,22))),0))-IF($G$2,0,IF((AP$6-$G$3)&lt;1,0,IFERROR(LOOKUP(2,1/('Milho 2ª safra'!$E48:INDEX('Milho 2ª safra'!$E48:$Z48,MIN(AP$6-$G$3,22))&lt;&gt;""),'Milho 2ª safra'!$E48:INDEX('Milho 2ª safra'!$E48:$Z48,MIN(AP$6-$G$3,22))),0)))))</f>
        <v>0</v>
      </c>
      <c r="AQ50" s="27" t="n">
        <f aca="false">IF(COUNT('Milho 2ª safra'!$E48:$Z48)=0,0,MAX(0,IF((AQ$6-$E$3)&lt;1,0,IFERROR(LOOKUP(2,1/('Milho 2ª safra'!$E48:INDEX('Milho 2ª safra'!$E48:$Z48,MIN(AQ$6-$E$3,22))&lt;&gt;""),'Milho 2ª safra'!$E48:INDEX('Milho 2ª safra'!$E48:$Z48,MIN(AQ$6-$E$3,22))),0))-IF($G$2,0,IF((AQ$6-$G$3)&lt;1,0,IFERROR(LOOKUP(2,1/('Milho 2ª safra'!$E48:INDEX('Milho 2ª safra'!$E48:$Z48,MIN(AQ$6-$G$3,22))&lt;&gt;""),'Milho 2ª safra'!$E48:INDEX('Milho 2ª safra'!$E48:$Z48,MIN(AQ$6-$G$3,22))),0)))))</f>
        <v>0</v>
      </c>
      <c r="AR50" s="27" t="n">
        <f aca="false">IF(COUNT('Milho 2ª safra'!$E48:$Z48)=0,0,MAX(0,IF((AR$6-$E$3)&lt;1,0,IFERROR(LOOKUP(2,1/('Milho 2ª safra'!$E48:INDEX('Milho 2ª safra'!$E48:$Z48,MIN(AR$6-$E$3,22))&lt;&gt;""),'Milho 2ª safra'!$E48:INDEX('Milho 2ª safra'!$E48:$Z48,MIN(AR$6-$E$3,22))),0))-IF($G$2,0,IF((AR$6-$G$3)&lt;1,0,IFERROR(LOOKUP(2,1/('Milho 2ª safra'!$E48:INDEX('Milho 2ª safra'!$E48:$Z48,MIN(AR$6-$G$3,22))&lt;&gt;""),'Milho 2ª safra'!$E48:INDEX('Milho 2ª safra'!$E48:$Z48,MIN(AR$6-$G$3,22))),0)))))</f>
        <v>0</v>
      </c>
      <c r="AS50" s="27" t="n">
        <f aca="false">IF(COUNT('Milho 2ª safra'!$E48:$Z48)=0,0,MAX(0,IF((AS$6-$E$3)&lt;1,0,IFERROR(LOOKUP(2,1/('Milho 2ª safra'!$E48:INDEX('Milho 2ª safra'!$E48:$Z48,MIN(AS$6-$E$3,22))&lt;&gt;""),'Milho 2ª safra'!$E48:INDEX('Milho 2ª safra'!$E48:$Z48,MIN(AS$6-$E$3,22))),0))-IF($G$2,0,IF((AS$6-$G$3)&lt;1,0,IFERROR(LOOKUP(2,1/('Milho 2ª safra'!$E48:INDEX('Milho 2ª safra'!$E48:$Z48,MIN(AS$6-$G$3,22))&lt;&gt;""),'Milho 2ª safra'!$E48:INDEX('Milho 2ª safra'!$E48:$Z48,MIN(AS$6-$G$3,22))),0)))))</f>
        <v>0</v>
      </c>
      <c r="AT50" s="27" t="n">
        <f aca="false">IF(COUNT('Milho 2ª safra'!$E48:$Z48)=0,0,MAX(0,IF((AT$6-$E$3)&lt;1,0,IFERROR(LOOKUP(2,1/('Milho 2ª safra'!$E48:INDEX('Milho 2ª safra'!$E48:$Z48,MIN(AT$6-$E$3,22))&lt;&gt;""),'Milho 2ª safra'!$E48:INDEX('Milho 2ª safra'!$E48:$Z48,MIN(AT$6-$E$3,22))),0))-IF($G$2,0,IF((AT$6-$G$3)&lt;1,0,IFERROR(LOOKUP(2,1/('Milho 2ª safra'!$E48:INDEX('Milho 2ª safra'!$E48:$Z48,MIN(AT$6-$G$3,22))&lt;&gt;""),'Milho 2ª safra'!$E48:INDEX('Milho 2ª safra'!$E48:$Z48,MIN(AT$6-$G$3,22))),0)))))</f>
        <v>0</v>
      </c>
      <c r="AU50" s="27" t="n">
        <f aca="false">IF(COUNT('Milho 2ª safra'!$E48:$Z48)=0,0,MAX(0,IF((AU$6-$E$3)&lt;1,0,IFERROR(LOOKUP(2,1/('Milho 2ª safra'!$E48:INDEX('Milho 2ª safra'!$E48:$Z48,MIN(AU$6-$E$3,22))&lt;&gt;""),'Milho 2ª safra'!$E48:INDEX('Milho 2ª safra'!$E48:$Z48,MIN(AU$6-$E$3,22))),0))-IF($G$2,0,IF((AU$6-$G$3)&lt;1,0,IFERROR(LOOKUP(2,1/('Milho 2ª safra'!$E48:INDEX('Milho 2ª safra'!$E48:$Z48,MIN(AU$6-$G$3,22))&lt;&gt;""),'Milho 2ª safra'!$E48:INDEX('Milho 2ª safra'!$E48:$Z48,MIN(AU$6-$G$3,22))),0)))))</f>
        <v>0</v>
      </c>
      <c r="AV50" s="27" t="n">
        <f aca="false">IF(COUNT('Milho 2ª safra'!$E48:$Z48)=0,0,MAX(0,IF((AV$6-$E$3)&lt;1,0,IFERROR(LOOKUP(2,1/('Milho 2ª safra'!$E48:INDEX('Milho 2ª safra'!$E48:$Z48,MIN(AV$6-$E$3,22))&lt;&gt;""),'Milho 2ª safra'!$E48:INDEX('Milho 2ª safra'!$E48:$Z48,MIN(AV$6-$E$3,22))),0))-IF($G$2,0,IF((AV$6-$G$3)&lt;1,0,IFERROR(LOOKUP(2,1/('Milho 2ª safra'!$E48:INDEX('Milho 2ª safra'!$E48:$Z48,MIN(AV$6-$G$3,22))&lt;&gt;""),'Milho 2ª safra'!$E48:INDEX('Milho 2ª safra'!$E48:$Z48,MIN(AV$6-$G$3,22))),0)))))</f>
        <v>0</v>
      </c>
      <c r="AW50" s="27" t="n">
        <f aca="false">IF(COUNT('Milho 2ª safra'!$E48:$Z48)=0,0,MAX(0,IF((AW$6-$E$3)&lt;1,0,IFERROR(LOOKUP(2,1/('Milho 2ª safra'!$E48:INDEX('Milho 2ª safra'!$E48:$Z48,MIN(AW$6-$E$3,22))&lt;&gt;""),'Milho 2ª safra'!$E48:INDEX('Milho 2ª safra'!$E48:$Z48,MIN(AW$6-$E$3,22))),0))-IF($G$2,0,IF((AW$6-$G$3)&lt;1,0,IFERROR(LOOKUP(2,1/('Milho 2ª safra'!$E48:INDEX('Milho 2ª safra'!$E48:$Z48,MIN(AW$6-$G$3,22))&lt;&gt;""),'Milho 2ª safra'!$E48:INDEX('Milho 2ª safra'!$E48:$Z48,MIN(AW$6-$G$3,22))),0)))))</f>
        <v>0</v>
      </c>
      <c r="AX50" s="27" t="n">
        <f aca="false">IF(COUNT('Milho 2ª safra'!$E48:$Z48)=0,0,MAX(0,IF((AX$6-$E$3)&lt;1,0,IFERROR(LOOKUP(2,1/('Milho 2ª safra'!$E48:INDEX('Milho 2ª safra'!$E48:$Z48,MIN(AX$6-$E$3,22))&lt;&gt;""),'Milho 2ª safra'!$E48:INDEX('Milho 2ª safra'!$E48:$Z48,MIN(AX$6-$E$3,22))),0))-IF($G$2,0,IF((AX$6-$G$3)&lt;1,0,IFERROR(LOOKUP(2,1/('Milho 2ª safra'!$E48:INDEX('Milho 2ª safra'!$E48:$Z48,MIN(AX$6-$G$3,22))&lt;&gt;""),'Milho 2ª safra'!$E48:INDEX('Milho 2ª safra'!$E48:$Z48,MIN(AX$6-$G$3,22))),0)))))</f>
        <v>0</v>
      </c>
      <c r="AY50" s="27" t="n">
        <f aca="false">IF(COUNT('Milho 2ª safra'!$E48:$Z48)=0,0,MAX(0,IF((AY$6-$E$3)&lt;1,0,IFERROR(LOOKUP(2,1/('Milho 2ª safra'!$E48:INDEX('Milho 2ª safra'!$E48:$Z48,MIN(AY$6-$E$3,22))&lt;&gt;""),'Milho 2ª safra'!$E48:INDEX('Milho 2ª safra'!$E48:$Z48,MIN(AY$6-$E$3,22))),0))-IF($G$2,0,IF((AY$6-$G$3)&lt;1,0,IFERROR(LOOKUP(2,1/('Milho 2ª safra'!$E48:INDEX('Milho 2ª safra'!$E48:$Z48,MIN(AY$6-$G$3,22))&lt;&gt;""),'Milho 2ª safra'!$E48:INDEX('Milho 2ª safra'!$E48:$Z48,MIN(AY$6-$G$3,22))),0)))))</f>
        <v>0</v>
      </c>
      <c r="AZ50" s="27" t="n">
        <f aca="false">IF(COUNT('Milho 2ª safra'!$E48:$Z48)=0,0,MAX(0,IF((AZ$6-$E$3)&lt;1,0,IFERROR(LOOKUP(2,1/('Milho 2ª safra'!$E48:INDEX('Milho 2ª safra'!$E48:$Z48,MIN(AZ$6-$E$3,22))&lt;&gt;""),'Milho 2ª safra'!$E48:INDEX('Milho 2ª safra'!$E48:$Z48,MIN(AZ$6-$E$3,22))),0))-IF($G$2,0,IF((AZ$6-$G$3)&lt;1,0,IFERROR(LOOKUP(2,1/('Milho 2ª safra'!$E48:INDEX('Milho 2ª safra'!$E48:$Z48,MIN(AZ$6-$G$3,22))&lt;&gt;""),'Milho 2ª safra'!$E48:INDEX('Milho 2ª safra'!$E48:$Z48,MIN(AZ$6-$G$3,22))),0)))))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IF(COUNT('Milho 2ª safra'!$E49:$Z49)&gt;0,N('Milho 2ª safra'!$D49),0)</f>
        <v>0</v>
      </c>
      <c r="E51" s="27" t="n">
        <f aca="false">IF(COUNT('Milho 2ª safra'!$E49:$Z49)=0,0,MAX(0,IF((E$6-$E$3)&lt;1,0,IFERROR(LOOKUP(2,1/('Milho 2ª safra'!$E49:INDEX('Milho 2ª safra'!$E49:$Z49,MIN(E$6-$E$3,22))&lt;&gt;""),'Milho 2ª safra'!$E49:INDEX('Milho 2ª safra'!$E49:$Z49,MIN(E$6-$E$3,22))),0))-IF($G$2,0,IF((E$6-$G$3)&lt;1,0,IFERROR(LOOKUP(2,1/('Milho 2ª safra'!$E49:INDEX('Milho 2ª safra'!$E49:$Z49,MIN(E$6-$G$3,22))&lt;&gt;""),'Milho 2ª safra'!$E49:INDEX('Milho 2ª safra'!$E49:$Z49,MIN(E$6-$G$3,22))),0)))))</f>
        <v>0</v>
      </c>
      <c r="F51" s="27" t="n">
        <f aca="false">IF(COUNT('Milho 2ª safra'!$E49:$Z49)=0,0,MAX(0,IF((F$6-$E$3)&lt;1,0,IFERROR(LOOKUP(2,1/('Milho 2ª safra'!$E49:INDEX('Milho 2ª safra'!$E49:$Z49,MIN(F$6-$E$3,22))&lt;&gt;""),'Milho 2ª safra'!$E49:INDEX('Milho 2ª safra'!$E49:$Z49,MIN(F$6-$E$3,22))),0))-IF($G$2,0,IF((F$6-$G$3)&lt;1,0,IFERROR(LOOKUP(2,1/('Milho 2ª safra'!$E49:INDEX('Milho 2ª safra'!$E49:$Z49,MIN(F$6-$G$3,22))&lt;&gt;""),'Milho 2ª safra'!$E49:INDEX('Milho 2ª safra'!$E49:$Z49,MIN(F$6-$G$3,22))),0)))))</f>
        <v>0</v>
      </c>
      <c r="G51" s="27" t="n">
        <f aca="false">IF(COUNT('Milho 2ª safra'!$E49:$Z49)=0,0,MAX(0,IF((G$6-$E$3)&lt;1,0,IFERROR(LOOKUP(2,1/('Milho 2ª safra'!$E49:INDEX('Milho 2ª safra'!$E49:$Z49,MIN(G$6-$E$3,22))&lt;&gt;""),'Milho 2ª safra'!$E49:INDEX('Milho 2ª safra'!$E49:$Z49,MIN(G$6-$E$3,22))),0))-IF($G$2,0,IF((G$6-$G$3)&lt;1,0,IFERROR(LOOKUP(2,1/('Milho 2ª safra'!$E49:INDEX('Milho 2ª safra'!$E49:$Z49,MIN(G$6-$G$3,22))&lt;&gt;""),'Milho 2ª safra'!$E49:INDEX('Milho 2ª safra'!$E49:$Z49,MIN(G$6-$G$3,22))),0)))))</f>
        <v>0</v>
      </c>
      <c r="H51" s="27" t="n">
        <f aca="false">IF(COUNT('Milho 2ª safra'!$E49:$Z49)=0,0,MAX(0,IF((H$6-$E$3)&lt;1,0,IFERROR(LOOKUP(2,1/('Milho 2ª safra'!$E49:INDEX('Milho 2ª safra'!$E49:$Z49,MIN(H$6-$E$3,22))&lt;&gt;""),'Milho 2ª safra'!$E49:INDEX('Milho 2ª safra'!$E49:$Z49,MIN(H$6-$E$3,22))),0))-IF($G$2,0,IF((H$6-$G$3)&lt;1,0,IFERROR(LOOKUP(2,1/('Milho 2ª safra'!$E49:INDEX('Milho 2ª safra'!$E49:$Z49,MIN(H$6-$G$3,22))&lt;&gt;""),'Milho 2ª safra'!$E49:INDEX('Milho 2ª safra'!$E49:$Z49,MIN(H$6-$G$3,22))),0)))))</f>
        <v>0</v>
      </c>
      <c r="I51" s="27" t="n">
        <f aca="false">IF(COUNT('Milho 2ª safra'!$E49:$Z49)=0,0,MAX(0,IF((I$6-$E$3)&lt;1,0,IFERROR(LOOKUP(2,1/('Milho 2ª safra'!$E49:INDEX('Milho 2ª safra'!$E49:$Z49,MIN(I$6-$E$3,22))&lt;&gt;""),'Milho 2ª safra'!$E49:INDEX('Milho 2ª safra'!$E49:$Z49,MIN(I$6-$E$3,22))),0))-IF($G$2,0,IF((I$6-$G$3)&lt;1,0,IFERROR(LOOKUP(2,1/('Milho 2ª safra'!$E49:INDEX('Milho 2ª safra'!$E49:$Z49,MIN(I$6-$G$3,22))&lt;&gt;""),'Milho 2ª safra'!$E49:INDEX('Milho 2ª safra'!$E49:$Z49,MIN(I$6-$G$3,22))),0)))))</f>
        <v>0</v>
      </c>
      <c r="J51" s="27" t="n">
        <f aca="false">IF(COUNT('Milho 2ª safra'!$E49:$Z49)=0,0,MAX(0,IF((J$6-$E$3)&lt;1,0,IFERROR(LOOKUP(2,1/('Milho 2ª safra'!$E49:INDEX('Milho 2ª safra'!$E49:$Z49,MIN(J$6-$E$3,22))&lt;&gt;""),'Milho 2ª safra'!$E49:INDEX('Milho 2ª safra'!$E49:$Z49,MIN(J$6-$E$3,22))),0))-IF($G$2,0,IF((J$6-$G$3)&lt;1,0,IFERROR(LOOKUP(2,1/('Milho 2ª safra'!$E49:INDEX('Milho 2ª safra'!$E49:$Z49,MIN(J$6-$G$3,22))&lt;&gt;""),'Milho 2ª safra'!$E49:INDEX('Milho 2ª safra'!$E49:$Z49,MIN(J$6-$G$3,22))),0)))))</f>
        <v>0</v>
      </c>
      <c r="K51" s="27" t="n">
        <f aca="false">IF(COUNT('Milho 2ª safra'!$E49:$Z49)=0,0,MAX(0,IF((K$6-$E$3)&lt;1,0,IFERROR(LOOKUP(2,1/('Milho 2ª safra'!$E49:INDEX('Milho 2ª safra'!$E49:$Z49,MIN(K$6-$E$3,22))&lt;&gt;""),'Milho 2ª safra'!$E49:INDEX('Milho 2ª safra'!$E49:$Z49,MIN(K$6-$E$3,22))),0))-IF($G$2,0,IF((K$6-$G$3)&lt;1,0,IFERROR(LOOKUP(2,1/('Milho 2ª safra'!$E49:INDEX('Milho 2ª safra'!$E49:$Z49,MIN(K$6-$G$3,22))&lt;&gt;""),'Milho 2ª safra'!$E49:INDEX('Milho 2ª safra'!$E49:$Z49,MIN(K$6-$G$3,22))),0)))))</f>
        <v>0</v>
      </c>
      <c r="L51" s="27" t="n">
        <f aca="false">IF(COUNT('Milho 2ª safra'!$E49:$Z49)=0,0,MAX(0,IF((L$6-$E$3)&lt;1,0,IFERROR(LOOKUP(2,1/('Milho 2ª safra'!$E49:INDEX('Milho 2ª safra'!$E49:$Z49,MIN(L$6-$E$3,22))&lt;&gt;""),'Milho 2ª safra'!$E49:INDEX('Milho 2ª safra'!$E49:$Z49,MIN(L$6-$E$3,22))),0))-IF($G$2,0,IF((L$6-$G$3)&lt;1,0,IFERROR(LOOKUP(2,1/('Milho 2ª safra'!$E49:INDEX('Milho 2ª safra'!$E49:$Z49,MIN(L$6-$G$3,22))&lt;&gt;""),'Milho 2ª safra'!$E49:INDEX('Milho 2ª safra'!$E49:$Z49,MIN(L$6-$G$3,22))),0)))))</f>
        <v>0</v>
      </c>
      <c r="M51" s="27" t="n">
        <f aca="false">IF(COUNT('Milho 2ª safra'!$E49:$Z49)=0,0,MAX(0,IF((M$6-$E$3)&lt;1,0,IFERROR(LOOKUP(2,1/('Milho 2ª safra'!$E49:INDEX('Milho 2ª safra'!$E49:$Z49,MIN(M$6-$E$3,22))&lt;&gt;""),'Milho 2ª safra'!$E49:INDEX('Milho 2ª safra'!$E49:$Z49,MIN(M$6-$E$3,22))),0))-IF($G$2,0,IF((M$6-$G$3)&lt;1,0,IFERROR(LOOKUP(2,1/('Milho 2ª safra'!$E49:INDEX('Milho 2ª safra'!$E49:$Z49,MIN(M$6-$G$3,22))&lt;&gt;""),'Milho 2ª safra'!$E49:INDEX('Milho 2ª safra'!$E49:$Z49,MIN(M$6-$G$3,22))),0)))))</f>
        <v>0</v>
      </c>
      <c r="N51" s="27" t="n">
        <f aca="false">IF(COUNT('Milho 2ª safra'!$E49:$Z49)=0,0,MAX(0,IF((N$6-$E$3)&lt;1,0,IFERROR(LOOKUP(2,1/('Milho 2ª safra'!$E49:INDEX('Milho 2ª safra'!$E49:$Z49,MIN(N$6-$E$3,22))&lt;&gt;""),'Milho 2ª safra'!$E49:INDEX('Milho 2ª safra'!$E49:$Z49,MIN(N$6-$E$3,22))),0))-IF($G$2,0,IF((N$6-$G$3)&lt;1,0,IFERROR(LOOKUP(2,1/('Milho 2ª safra'!$E49:INDEX('Milho 2ª safra'!$E49:$Z49,MIN(N$6-$G$3,22))&lt;&gt;""),'Milho 2ª safra'!$E49:INDEX('Milho 2ª safra'!$E49:$Z49,MIN(N$6-$G$3,22))),0)))))</f>
        <v>0</v>
      </c>
      <c r="O51" s="27" t="n">
        <f aca="false">IF(COUNT('Milho 2ª safra'!$E49:$Z49)=0,0,MAX(0,IF((O$6-$E$3)&lt;1,0,IFERROR(LOOKUP(2,1/('Milho 2ª safra'!$E49:INDEX('Milho 2ª safra'!$E49:$Z49,MIN(O$6-$E$3,22))&lt;&gt;""),'Milho 2ª safra'!$E49:INDEX('Milho 2ª safra'!$E49:$Z49,MIN(O$6-$E$3,22))),0))-IF($G$2,0,IF((O$6-$G$3)&lt;1,0,IFERROR(LOOKUP(2,1/('Milho 2ª safra'!$E49:INDEX('Milho 2ª safra'!$E49:$Z49,MIN(O$6-$G$3,22))&lt;&gt;""),'Milho 2ª safra'!$E49:INDEX('Milho 2ª safra'!$E49:$Z49,MIN(O$6-$G$3,22))),0)))))</f>
        <v>0</v>
      </c>
      <c r="P51" s="27" t="n">
        <f aca="false">IF(COUNT('Milho 2ª safra'!$E49:$Z49)=0,0,MAX(0,IF((P$6-$E$3)&lt;1,0,IFERROR(LOOKUP(2,1/('Milho 2ª safra'!$E49:INDEX('Milho 2ª safra'!$E49:$Z49,MIN(P$6-$E$3,22))&lt;&gt;""),'Milho 2ª safra'!$E49:INDEX('Milho 2ª safra'!$E49:$Z49,MIN(P$6-$E$3,22))),0))-IF($G$2,0,IF((P$6-$G$3)&lt;1,0,IFERROR(LOOKUP(2,1/('Milho 2ª safra'!$E49:INDEX('Milho 2ª safra'!$E49:$Z49,MIN(P$6-$G$3,22))&lt;&gt;""),'Milho 2ª safra'!$E49:INDEX('Milho 2ª safra'!$E49:$Z49,MIN(P$6-$G$3,22))),0)))))</f>
        <v>0</v>
      </c>
      <c r="Q51" s="27" t="n">
        <f aca="false">IF(COUNT('Milho 2ª safra'!$E49:$Z49)=0,0,MAX(0,IF((Q$6-$E$3)&lt;1,0,IFERROR(LOOKUP(2,1/('Milho 2ª safra'!$E49:INDEX('Milho 2ª safra'!$E49:$Z49,MIN(Q$6-$E$3,22))&lt;&gt;""),'Milho 2ª safra'!$E49:INDEX('Milho 2ª safra'!$E49:$Z49,MIN(Q$6-$E$3,22))),0))-IF($G$2,0,IF((Q$6-$G$3)&lt;1,0,IFERROR(LOOKUP(2,1/('Milho 2ª safra'!$E49:INDEX('Milho 2ª safra'!$E49:$Z49,MIN(Q$6-$G$3,22))&lt;&gt;""),'Milho 2ª safra'!$E49:INDEX('Milho 2ª safra'!$E49:$Z49,MIN(Q$6-$G$3,22))),0)))))</f>
        <v>0</v>
      </c>
      <c r="R51" s="27" t="n">
        <f aca="false">IF(COUNT('Milho 2ª safra'!$E49:$Z49)=0,0,MAX(0,IF((R$6-$E$3)&lt;1,0,IFERROR(LOOKUP(2,1/('Milho 2ª safra'!$E49:INDEX('Milho 2ª safra'!$E49:$Z49,MIN(R$6-$E$3,22))&lt;&gt;""),'Milho 2ª safra'!$E49:INDEX('Milho 2ª safra'!$E49:$Z49,MIN(R$6-$E$3,22))),0))-IF($G$2,0,IF((R$6-$G$3)&lt;1,0,IFERROR(LOOKUP(2,1/('Milho 2ª safra'!$E49:INDEX('Milho 2ª safra'!$E49:$Z49,MIN(R$6-$G$3,22))&lt;&gt;""),'Milho 2ª safra'!$E49:INDEX('Milho 2ª safra'!$E49:$Z49,MIN(R$6-$G$3,22))),0)))))</f>
        <v>0</v>
      </c>
      <c r="S51" s="27" t="n">
        <f aca="false">IF(COUNT('Milho 2ª safra'!$E49:$Z49)=0,0,MAX(0,IF((S$6-$E$3)&lt;1,0,IFERROR(LOOKUP(2,1/('Milho 2ª safra'!$E49:INDEX('Milho 2ª safra'!$E49:$Z49,MIN(S$6-$E$3,22))&lt;&gt;""),'Milho 2ª safra'!$E49:INDEX('Milho 2ª safra'!$E49:$Z49,MIN(S$6-$E$3,22))),0))-IF($G$2,0,IF((S$6-$G$3)&lt;1,0,IFERROR(LOOKUP(2,1/('Milho 2ª safra'!$E49:INDEX('Milho 2ª safra'!$E49:$Z49,MIN(S$6-$G$3,22))&lt;&gt;""),'Milho 2ª safra'!$E49:INDEX('Milho 2ª safra'!$E49:$Z49,MIN(S$6-$G$3,22))),0)))))</f>
        <v>0</v>
      </c>
      <c r="T51" s="27" t="n">
        <f aca="false">IF(COUNT('Milho 2ª safra'!$E49:$Z49)=0,0,MAX(0,IF((T$6-$E$3)&lt;1,0,IFERROR(LOOKUP(2,1/('Milho 2ª safra'!$E49:INDEX('Milho 2ª safra'!$E49:$Z49,MIN(T$6-$E$3,22))&lt;&gt;""),'Milho 2ª safra'!$E49:INDEX('Milho 2ª safra'!$E49:$Z49,MIN(T$6-$E$3,22))),0))-IF($G$2,0,IF((T$6-$G$3)&lt;1,0,IFERROR(LOOKUP(2,1/('Milho 2ª safra'!$E49:INDEX('Milho 2ª safra'!$E49:$Z49,MIN(T$6-$G$3,22))&lt;&gt;""),'Milho 2ª safra'!$E49:INDEX('Milho 2ª safra'!$E49:$Z49,MIN(T$6-$G$3,22))),0)))))</f>
        <v>0</v>
      </c>
      <c r="U51" s="27" t="n">
        <f aca="false">IF(COUNT('Milho 2ª safra'!$E49:$Z49)=0,0,MAX(0,IF((U$6-$E$3)&lt;1,0,IFERROR(LOOKUP(2,1/('Milho 2ª safra'!$E49:INDEX('Milho 2ª safra'!$E49:$Z49,MIN(U$6-$E$3,22))&lt;&gt;""),'Milho 2ª safra'!$E49:INDEX('Milho 2ª safra'!$E49:$Z49,MIN(U$6-$E$3,22))),0))-IF($G$2,0,IF((U$6-$G$3)&lt;1,0,IFERROR(LOOKUP(2,1/('Milho 2ª safra'!$E49:INDEX('Milho 2ª safra'!$E49:$Z49,MIN(U$6-$G$3,22))&lt;&gt;""),'Milho 2ª safra'!$E49:INDEX('Milho 2ª safra'!$E49:$Z49,MIN(U$6-$G$3,22))),0)))))</f>
        <v>0</v>
      </c>
      <c r="V51" s="27" t="n">
        <f aca="false">IF(COUNT('Milho 2ª safra'!$E49:$Z49)=0,0,MAX(0,IF((V$6-$E$3)&lt;1,0,IFERROR(LOOKUP(2,1/('Milho 2ª safra'!$E49:INDEX('Milho 2ª safra'!$E49:$Z49,MIN(V$6-$E$3,22))&lt;&gt;""),'Milho 2ª safra'!$E49:INDEX('Milho 2ª safra'!$E49:$Z49,MIN(V$6-$E$3,22))),0))-IF($G$2,0,IF((V$6-$G$3)&lt;1,0,IFERROR(LOOKUP(2,1/('Milho 2ª safra'!$E49:INDEX('Milho 2ª safra'!$E49:$Z49,MIN(V$6-$G$3,22))&lt;&gt;""),'Milho 2ª safra'!$E49:INDEX('Milho 2ª safra'!$E49:$Z49,MIN(V$6-$G$3,22))),0)))))</f>
        <v>0</v>
      </c>
      <c r="W51" s="27" t="n">
        <f aca="false">IF(COUNT('Milho 2ª safra'!$E49:$Z49)=0,0,MAX(0,IF((W$6-$E$3)&lt;1,0,IFERROR(LOOKUP(2,1/('Milho 2ª safra'!$E49:INDEX('Milho 2ª safra'!$E49:$Z49,MIN(W$6-$E$3,22))&lt;&gt;""),'Milho 2ª safra'!$E49:INDEX('Milho 2ª safra'!$E49:$Z49,MIN(W$6-$E$3,22))),0))-IF($G$2,0,IF((W$6-$G$3)&lt;1,0,IFERROR(LOOKUP(2,1/('Milho 2ª safra'!$E49:INDEX('Milho 2ª safra'!$E49:$Z49,MIN(W$6-$G$3,22))&lt;&gt;""),'Milho 2ª safra'!$E49:INDEX('Milho 2ª safra'!$E49:$Z49,MIN(W$6-$G$3,22))),0)))))</f>
        <v>0</v>
      </c>
      <c r="X51" s="27" t="n">
        <f aca="false">IF(COUNT('Milho 2ª safra'!$E49:$Z49)=0,0,MAX(0,IF((X$6-$E$3)&lt;1,0,IFERROR(LOOKUP(2,1/('Milho 2ª safra'!$E49:INDEX('Milho 2ª safra'!$E49:$Z49,MIN(X$6-$E$3,22))&lt;&gt;""),'Milho 2ª safra'!$E49:INDEX('Milho 2ª safra'!$E49:$Z49,MIN(X$6-$E$3,22))),0))-IF($G$2,0,IF((X$6-$G$3)&lt;1,0,IFERROR(LOOKUP(2,1/('Milho 2ª safra'!$E49:INDEX('Milho 2ª safra'!$E49:$Z49,MIN(X$6-$G$3,22))&lt;&gt;""),'Milho 2ª safra'!$E49:INDEX('Milho 2ª safra'!$E49:$Z49,MIN(X$6-$G$3,22))),0)))))</f>
        <v>0</v>
      </c>
      <c r="Y51" s="27" t="n">
        <f aca="false">IF(COUNT('Milho 2ª safra'!$E49:$Z49)=0,0,MAX(0,IF((Y$6-$E$3)&lt;1,0,IFERROR(LOOKUP(2,1/('Milho 2ª safra'!$E49:INDEX('Milho 2ª safra'!$E49:$Z49,MIN(Y$6-$E$3,22))&lt;&gt;""),'Milho 2ª safra'!$E49:INDEX('Milho 2ª safra'!$E49:$Z49,MIN(Y$6-$E$3,22))),0))-IF($G$2,0,IF((Y$6-$G$3)&lt;1,0,IFERROR(LOOKUP(2,1/('Milho 2ª safra'!$E49:INDEX('Milho 2ª safra'!$E49:$Z49,MIN(Y$6-$G$3,22))&lt;&gt;""),'Milho 2ª safra'!$E49:INDEX('Milho 2ª safra'!$E49:$Z49,MIN(Y$6-$G$3,22))),0)))))</f>
        <v>0</v>
      </c>
      <c r="Z51" s="27" t="n">
        <f aca="false">IF(COUNT('Milho 2ª safra'!$E49:$Z49)=0,0,MAX(0,IF((Z$6-$E$3)&lt;1,0,IFERROR(LOOKUP(2,1/('Milho 2ª safra'!$E49:INDEX('Milho 2ª safra'!$E49:$Z49,MIN(Z$6-$E$3,22))&lt;&gt;""),'Milho 2ª safra'!$E49:INDEX('Milho 2ª safra'!$E49:$Z49,MIN(Z$6-$E$3,22))),0))-IF($G$2,0,IF((Z$6-$G$3)&lt;1,0,IFERROR(LOOKUP(2,1/('Milho 2ª safra'!$E49:INDEX('Milho 2ª safra'!$E49:$Z49,MIN(Z$6-$G$3,22))&lt;&gt;""),'Milho 2ª safra'!$E49:INDEX('Milho 2ª safra'!$E49:$Z49,MIN(Z$6-$G$3,22))),0)))))</f>
        <v>0</v>
      </c>
      <c r="AA51" s="27" t="n">
        <f aca="false">IF(COUNT('Milho 2ª safra'!$E49:$Z49)=0,0,MAX(0,IF((AA$6-$E$3)&lt;1,0,IFERROR(LOOKUP(2,1/('Milho 2ª safra'!$E49:INDEX('Milho 2ª safra'!$E49:$Z49,MIN(AA$6-$E$3,22))&lt;&gt;""),'Milho 2ª safra'!$E49:INDEX('Milho 2ª safra'!$E49:$Z49,MIN(AA$6-$E$3,22))),0))-IF($G$2,0,IF((AA$6-$G$3)&lt;1,0,IFERROR(LOOKUP(2,1/('Milho 2ª safra'!$E49:INDEX('Milho 2ª safra'!$E49:$Z49,MIN(AA$6-$G$3,22))&lt;&gt;""),'Milho 2ª safra'!$E49:INDEX('Milho 2ª safra'!$E49:$Z49,MIN(AA$6-$G$3,22))),0)))))</f>
        <v>0</v>
      </c>
      <c r="AB51" s="27" t="n">
        <f aca="false">IF(COUNT('Milho 2ª safra'!$E49:$Z49)=0,0,MAX(0,IF((AB$6-$E$3)&lt;1,0,IFERROR(LOOKUP(2,1/('Milho 2ª safra'!$E49:INDEX('Milho 2ª safra'!$E49:$Z49,MIN(AB$6-$E$3,22))&lt;&gt;""),'Milho 2ª safra'!$E49:INDEX('Milho 2ª safra'!$E49:$Z49,MIN(AB$6-$E$3,22))),0))-IF($G$2,0,IF((AB$6-$G$3)&lt;1,0,IFERROR(LOOKUP(2,1/('Milho 2ª safra'!$E49:INDEX('Milho 2ª safra'!$E49:$Z49,MIN(AB$6-$G$3,22))&lt;&gt;""),'Milho 2ª safra'!$E49:INDEX('Milho 2ª safra'!$E49:$Z49,MIN(AB$6-$G$3,22))),0)))))</f>
        <v>0</v>
      </c>
      <c r="AC51" s="27" t="n">
        <f aca="false">IF(COUNT('Milho 2ª safra'!$E49:$Z49)=0,0,MAX(0,IF((AC$6-$E$3)&lt;1,0,IFERROR(LOOKUP(2,1/('Milho 2ª safra'!$E49:INDEX('Milho 2ª safra'!$E49:$Z49,MIN(AC$6-$E$3,22))&lt;&gt;""),'Milho 2ª safra'!$E49:INDEX('Milho 2ª safra'!$E49:$Z49,MIN(AC$6-$E$3,22))),0))-IF($G$2,0,IF((AC$6-$G$3)&lt;1,0,IFERROR(LOOKUP(2,1/('Milho 2ª safra'!$E49:INDEX('Milho 2ª safra'!$E49:$Z49,MIN(AC$6-$G$3,22))&lt;&gt;""),'Milho 2ª safra'!$E49:INDEX('Milho 2ª safra'!$E49:$Z49,MIN(AC$6-$G$3,22))),0)))))</f>
        <v>0</v>
      </c>
      <c r="AD51" s="27" t="n">
        <f aca="false">IF(COUNT('Milho 2ª safra'!$E49:$Z49)=0,0,MAX(0,IF((AD$6-$E$3)&lt;1,0,IFERROR(LOOKUP(2,1/('Milho 2ª safra'!$E49:INDEX('Milho 2ª safra'!$E49:$Z49,MIN(AD$6-$E$3,22))&lt;&gt;""),'Milho 2ª safra'!$E49:INDEX('Milho 2ª safra'!$E49:$Z49,MIN(AD$6-$E$3,22))),0))-IF($G$2,0,IF((AD$6-$G$3)&lt;1,0,IFERROR(LOOKUP(2,1/('Milho 2ª safra'!$E49:INDEX('Milho 2ª safra'!$E49:$Z49,MIN(AD$6-$G$3,22))&lt;&gt;""),'Milho 2ª safra'!$E49:INDEX('Milho 2ª safra'!$E49:$Z49,MIN(AD$6-$G$3,22))),0)))))</f>
        <v>0</v>
      </c>
      <c r="AE51" s="27" t="n">
        <f aca="false">IF(COUNT('Milho 2ª safra'!$E49:$Z49)=0,0,MAX(0,IF((AE$6-$E$3)&lt;1,0,IFERROR(LOOKUP(2,1/('Milho 2ª safra'!$E49:INDEX('Milho 2ª safra'!$E49:$Z49,MIN(AE$6-$E$3,22))&lt;&gt;""),'Milho 2ª safra'!$E49:INDEX('Milho 2ª safra'!$E49:$Z49,MIN(AE$6-$E$3,22))),0))-IF($G$2,0,IF((AE$6-$G$3)&lt;1,0,IFERROR(LOOKUP(2,1/('Milho 2ª safra'!$E49:INDEX('Milho 2ª safra'!$E49:$Z49,MIN(AE$6-$G$3,22))&lt;&gt;""),'Milho 2ª safra'!$E49:INDEX('Milho 2ª safra'!$E49:$Z49,MIN(AE$6-$G$3,22))),0)))))</f>
        <v>0</v>
      </c>
      <c r="AF51" s="27" t="n">
        <f aca="false">IF(COUNT('Milho 2ª safra'!$E49:$Z49)=0,0,MAX(0,IF((AF$6-$E$3)&lt;1,0,IFERROR(LOOKUP(2,1/('Milho 2ª safra'!$E49:INDEX('Milho 2ª safra'!$E49:$Z49,MIN(AF$6-$E$3,22))&lt;&gt;""),'Milho 2ª safra'!$E49:INDEX('Milho 2ª safra'!$E49:$Z49,MIN(AF$6-$E$3,22))),0))-IF($G$2,0,IF((AF$6-$G$3)&lt;1,0,IFERROR(LOOKUP(2,1/('Milho 2ª safra'!$E49:INDEX('Milho 2ª safra'!$E49:$Z49,MIN(AF$6-$G$3,22))&lt;&gt;""),'Milho 2ª safra'!$E49:INDEX('Milho 2ª safra'!$E49:$Z49,MIN(AF$6-$G$3,22))),0)))))</f>
        <v>0</v>
      </c>
      <c r="AG51" s="27" t="n">
        <f aca="false">IF(COUNT('Milho 2ª safra'!$E49:$Z49)=0,0,MAX(0,IF((AG$6-$E$3)&lt;1,0,IFERROR(LOOKUP(2,1/('Milho 2ª safra'!$E49:INDEX('Milho 2ª safra'!$E49:$Z49,MIN(AG$6-$E$3,22))&lt;&gt;""),'Milho 2ª safra'!$E49:INDEX('Milho 2ª safra'!$E49:$Z49,MIN(AG$6-$E$3,22))),0))-IF($G$2,0,IF((AG$6-$G$3)&lt;1,0,IFERROR(LOOKUP(2,1/('Milho 2ª safra'!$E49:INDEX('Milho 2ª safra'!$E49:$Z49,MIN(AG$6-$G$3,22))&lt;&gt;""),'Milho 2ª safra'!$E49:INDEX('Milho 2ª safra'!$E49:$Z49,MIN(AG$6-$G$3,22))),0)))))</f>
        <v>0</v>
      </c>
      <c r="AH51" s="27" t="n">
        <f aca="false">IF(COUNT('Milho 2ª safra'!$E49:$Z49)=0,0,MAX(0,IF((AH$6-$E$3)&lt;1,0,IFERROR(LOOKUP(2,1/('Milho 2ª safra'!$E49:INDEX('Milho 2ª safra'!$E49:$Z49,MIN(AH$6-$E$3,22))&lt;&gt;""),'Milho 2ª safra'!$E49:INDEX('Milho 2ª safra'!$E49:$Z49,MIN(AH$6-$E$3,22))),0))-IF($G$2,0,IF((AH$6-$G$3)&lt;1,0,IFERROR(LOOKUP(2,1/('Milho 2ª safra'!$E49:INDEX('Milho 2ª safra'!$E49:$Z49,MIN(AH$6-$G$3,22))&lt;&gt;""),'Milho 2ª safra'!$E49:INDEX('Milho 2ª safra'!$E49:$Z49,MIN(AH$6-$G$3,22))),0)))))</f>
        <v>0</v>
      </c>
      <c r="AI51" s="27" t="n">
        <f aca="false">IF(COUNT('Milho 2ª safra'!$E49:$Z49)=0,0,MAX(0,IF((AI$6-$E$3)&lt;1,0,IFERROR(LOOKUP(2,1/('Milho 2ª safra'!$E49:INDEX('Milho 2ª safra'!$E49:$Z49,MIN(AI$6-$E$3,22))&lt;&gt;""),'Milho 2ª safra'!$E49:INDEX('Milho 2ª safra'!$E49:$Z49,MIN(AI$6-$E$3,22))),0))-IF($G$2,0,IF((AI$6-$G$3)&lt;1,0,IFERROR(LOOKUP(2,1/('Milho 2ª safra'!$E49:INDEX('Milho 2ª safra'!$E49:$Z49,MIN(AI$6-$G$3,22))&lt;&gt;""),'Milho 2ª safra'!$E49:INDEX('Milho 2ª safra'!$E49:$Z49,MIN(AI$6-$G$3,22))),0)))))</f>
        <v>0</v>
      </c>
      <c r="AJ51" s="27" t="n">
        <f aca="false">IF(COUNT('Milho 2ª safra'!$E49:$Z49)=0,0,MAX(0,IF((AJ$6-$E$3)&lt;1,0,IFERROR(LOOKUP(2,1/('Milho 2ª safra'!$E49:INDEX('Milho 2ª safra'!$E49:$Z49,MIN(AJ$6-$E$3,22))&lt;&gt;""),'Milho 2ª safra'!$E49:INDEX('Milho 2ª safra'!$E49:$Z49,MIN(AJ$6-$E$3,22))),0))-IF($G$2,0,IF((AJ$6-$G$3)&lt;1,0,IFERROR(LOOKUP(2,1/('Milho 2ª safra'!$E49:INDEX('Milho 2ª safra'!$E49:$Z49,MIN(AJ$6-$G$3,22))&lt;&gt;""),'Milho 2ª safra'!$E49:INDEX('Milho 2ª safra'!$E49:$Z49,MIN(AJ$6-$G$3,22))),0)))))</f>
        <v>0</v>
      </c>
      <c r="AK51" s="27" t="n">
        <f aca="false">IF(COUNT('Milho 2ª safra'!$E49:$Z49)=0,0,MAX(0,IF((AK$6-$E$3)&lt;1,0,IFERROR(LOOKUP(2,1/('Milho 2ª safra'!$E49:INDEX('Milho 2ª safra'!$E49:$Z49,MIN(AK$6-$E$3,22))&lt;&gt;""),'Milho 2ª safra'!$E49:INDEX('Milho 2ª safra'!$E49:$Z49,MIN(AK$6-$E$3,22))),0))-IF($G$2,0,IF((AK$6-$G$3)&lt;1,0,IFERROR(LOOKUP(2,1/('Milho 2ª safra'!$E49:INDEX('Milho 2ª safra'!$E49:$Z49,MIN(AK$6-$G$3,22))&lt;&gt;""),'Milho 2ª safra'!$E49:INDEX('Milho 2ª safra'!$E49:$Z49,MIN(AK$6-$G$3,22))),0)))))</f>
        <v>0</v>
      </c>
      <c r="AL51" s="27" t="n">
        <f aca="false">IF(COUNT('Milho 2ª safra'!$E49:$Z49)=0,0,MAX(0,IF((AL$6-$E$3)&lt;1,0,IFERROR(LOOKUP(2,1/('Milho 2ª safra'!$E49:INDEX('Milho 2ª safra'!$E49:$Z49,MIN(AL$6-$E$3,22))&lt;&gt;""),'Milho 2ª safra'!$E49:INDEX('Milho 2ª safra'!$E49:$Z49,MIN(AL$6-$E$3,22))),0))-IF($G$2,0,IF((AL$6-$G$3)&lt;1,0,IFERROR(LOOKUP(2,1/('Milho 2ª safra'!$E49:INDEX('Milho 2ª safra'!$E49:$Z49,MIN(AL$6-$G$3,22))&lt;&gt;""),'Milho 2ª safra'!$E49:INDEX('Milho 2ª safra'!$E49:$Z49,MIN(AL$6-$G$3,22))),0)))))</f>
        <v>0</v>
      </c>
      <c r="AM51" s="27" t="n">
        <f aca="false">IF(COUNT('Milho 2ª safra'!$E49:$Z49)=0,0,MAX(0,IF((AM$6-$E$3)&lt;1,0,IFERROR(LOOKUP(2,1/('Milho 2ª safra'!$E49:INDEX('Milho 2ª safra'!$E49:$Z49,MIN(AM$6-$E$3,22))&lt;&gt;""),'Milho 2ª safra'!$E49:INDEX('Milho 2ª safra'!$E49:$Z49,MIN(AM$6-$E$3,22))),0))-IF($G$2,0,IF((AM$6-$G$3)&lt;1,0,IFERROR(LOOKUP(2,1/('Milho 2ª safra'!$E49:INDEX('Milho 2ª safra'!$E49:$Z49,MIN(AM$6-$G$3,22))&lt;&gt;""),'Milho 2ª safra'!$E49:INDEX('Milho 2ª safra'!$E49:$Z49,MIN(AM$6-$G$3,22))),0)))))</f>
        <v>0</v>
      </c>
      <c r="AN51" s="27" t="n">
        <f aca="false">IF(COUNT('Milho 2ª safra'!$E49:$Z49)=0,0,MAX(0,IF((AN$6-$E$3)&lt;1,0,IFERROR(LOOKUP(2,1/('Milho 2ª safra'!$E49:INDEX('Milho 2ª safra'!$E49:$Z49,MIN(AN$6-$E$3,22))&lt;&gt;""),'Milho 2ª safra'!$E49:INDEX('Milho 2ª safra'!$E49:$Z49,MIN(AN$6-$E$3,22))),0))-IF($G$2,0,IF((AN$6-$G$3)&lt;1,0,IFERROR(LOOKUP(2,1/('Milho 2ª safra'!$E49:INDEX('Milho 2ª safra'!$E49:$Z49,MIN(AN$6-$G$3,22))&lt;&gt;""),'Milho 2ª safra'!$E49:INDEX('Milho 2ª safra'!$E49:$Z49,MIN(AN$6-$G$3,22))),0)))))</f>
        <v>0</v>
      </c>
      <c r="AO51" s="27" t="n">
        <f aca="false">IF(COUNT('Milho 2ª safra'!$E49:$Z49)=0,0,MAX(0,IF((AO$6-$E$3)&lt;1,0,IFERROR(LOOKUP(2,1/('Milho 2ª safra'!$E49:INDEX('Milho 2ª safra'!$E49:$Z49,MIN(AO$6-$E$3,22))&lt;&gt;""),'Milho 2ª safra'!$E49:INDEX('Milho 2ª safra'!$E49:$Z49,MIN(AO$6-$E$3,22))),0))-IF($G$2,0,IF((AO$6-$G$3)&lt;1,0,IFERROR(LOOKUP(2,1/('Milho 2ª safra'!$E49:INDEX('Milho 2ª safra'!$E49:$Z49,MIN(AO$6-$G$3,22))&lt;&gt;""),'Milho 2ª safra'!$E49:INDEX('Milho 2ª safra'!$E49:$Z49,MIN(AO$6-$G$3,22))),0)))))</f>
        <v>0</v>
      </c>
      <c r="AP51" s="27" t="n">
        <f aca="false">IF(COUNT('Milho 2ª safra'!$E49:$Z49)=0,0,MAX(0,IF((AP$6-$E$3)&lt;1,0,IFERROR(LOOKUP(2,1/('Milho 2ª safra'!$E49:INDEX('Milho 2ª safra'!$E49:$Z49,MIN(AP$6-$E$3,22))&lt;&gt;""),'Milho 2ª safra'!$E49:INDEX('Milho 2ª safra'!$E49:$Z49,MIN(AP$6-$E$3,22))),0))-IF($G$2,0,IF((AP$6-$G$3)&lt;1,0,IFERROR(LOOKUP(2,1/('Milho 2ª safra'!$E49:INDEX('Milho 2ª safra'!$E49:$Z49,MIN(AP$6-$G$3,22))&lt;&gt;""),'Milho 2ª safra'!$E49:INDEX('Milho 2ª safra'!$E49:$Z49,MIN(AP$6-$G$3,22))),0)))))</f>
        <v>0</v>
      </c>
      <c r="AQ51" s="27" t="n">
        <f aca="false">IF(COUNT('Milho 2ª safra'!$E49:$Z49)=0,0,MAX(0,IF((AQ$6-$E$3)&lt;1,0,IFERROR(LOOKUP(2,1/('Milho 2ª safra'!$E49:INDEX('Milho 2ª safra'!$E49:$Z49,MIN(AQ$6-$E$3,22))&lt;&gt;""),'Milho 2ª safra'!$E49:INDEX('Milho 2ª safra'!$E49:$Z49,MIN(AQ$6-$E$3,22))),0))-IF($G$2,0,IF((AQ$6-$G$3)&lt;1,0,IFERROR(LOOKUP(2,1/('Milho 2ª safra'!$E49:INDEX('Milho 2ª safra'!$E49:$Z49,MIN(AQ$6-$G$3,22))&lt;&gt;""),'Milho 2ª safra'!$E49:INDEX('Milho 2ª safra'!$E49:$Z49,MIN(AQ$6-$G$3,22))),0)))))</f>
        <v>0</v>
      </c>
      <c r="AR51" s="27" t="n">
        <f aca="false">IF(COUNT('Milho 2ª safra'!$E49:$Z49)=0,0,MAX(0,IF((AR$6-$E$3)&lt;1,0,IFERROR(LOOKUP(2,1/('Milho 2ª safra'!$E49:INDEX('Milho 2ª safra'!$E49:$Z49,MIN(AR$6-$E$3,22))&lt;&gt;""),'Milho 2ª safra'!$E49:INDEX('Milho 2ª safra'!$E49:$Z49,MIN(AR$6-$E$3,22))),0))-IF($G$2,0,IF((AR$6-$G$3)&lt;1,0,IFERROR(LOOKUP(2,1/('Milho 2ª safra'!$E49:INDEX('Milho 2ª safra'!$E49:$Z49,MIN(AR$6-$G$3,22))&lt;&gt;""),'Milho 2ª safra'!$E49:INDEX('Milho 2ª safra'!$E49:$Z49,MIN(AR$6-$G$3,22))),0)))))</f>
        <v>0</v>
      </c>
      <c r="AS51" s="27" t="n">
        <f aca="false">IF(COUNT('Milho 2ª safra'!$E49:$Z49)=0,0,MAX(0,IF((AS$6-$E$3)&lt;1,0,IFERROR(LOOKUP(2,1/('Milho 2ª safra'!$E49:INDEX('Milho 2ª safra'!$E49:$Z49,MIN(AS$6-$E$3,22))&lt;&gt;""),'Milho 2ª safra'!$E49:INDEX('Milho 2ª safra'!$E49:$Z49,MIN(AS$6-$E$3,22))),0))-IF($G$2,0,IF((AS$6-$G$3)&lt;1,0,IFERROR(LOOKUP(2,1/('Milho 2ª safra'!$E49:INDEX('Milho 2ª safra'!$E49:$Z49,MIN(AS$6-$G$3,22))&lt;&gt;""),'Milho 2ª safra'!$E49:INDEX('Milho 2ª safra'!$E49:$Z49,MIN(AS$6-$G$3,22))),0)))))</f>
        <v>0</v>
      </c>
      <c r="AT51" s="27" t="n">
        <f aca="false">IF(COUNT('Milho 2ª safra'!$E49:$Z49)=0,0,MAX(0,IF((AT$6-$E$3)&lt;1,0,IFERROR(LOOKUP(2,1/('Milho 2ª safra'!$E49:INDEX('Milho 2ª safra'!$E49:$Z49,MIN(AT$6-$E$3,22))&lt;&gt;""),'Milho 2ª safra'!$E49:INDEX('Milho 2ª safra'!$E49:$Z49,MIN(AT$6-$E$3,22))),0))-IF($G$2,0,IF((AT$6-$G$3)&lt;1,0,IFERROR(LOOKUP(2,1/('Milho 2ª safra'!$E49:INDEX('Milho 2ª safra'!$E49:$Z49,MIN(AT$6-$G$3,22))&lt;&gt;""),'Milho 2ª safra'!$E49:INDEX('Milho 2ª safra'!$E49:$Z49,MIN(AT$6-$G$3,22))),0)))))</f>
        <v>0</v>
      </c>
      <c r="AU51" s="27" t="n">
        <f aca="false">IF(COUNT('Milho 2ª safra'!$E49:$Z49)=0,0,MAX(0,IF((AU$6-$E$3)&lt;1,0,IFERROR(LOOKUP(2,1/('Milho 2ª safra'!$E49:INDEX('Milho 2ª safra'!$E49:$Z49,MIN(AU$6-$E$3,22))&lt;&gt;""),'Milho 2ª safra'!$E49:INDEX('Milho 2ª safra'!$E49:$Z49,MIN(AU$6-$E$3,22))),0))-IF($G$2,0,IF((AU$6-$G$3)&lt;1,0,IFERROR(LOOKUP(2,1/('Milho 2ª safra'!$E49:INDEX('Milho 2ª safra'!$E49:$Z49,MIN(AU$6-$G$3,22))&lt;&gt;""),'Milho 2ª safra'!$E49:INDEX('Milho 2ª safra'!$E49:$Z49,MIN(AU$6-$G$3,22))),0)))))</f>
        <v>0</v>
      </c>
      <c r="AV51" s="27" t="n">
        <f aca="false">IF(COUNT('Milho 2ª safra'!$E49:$Z49)=0,0,MAX(0,IF((AV$6-$E$3)&lt;1,0,IFERROR(LOOKUP(2,1/('Milho 2ª safra'!$E49:INDEX('Milho 2ª safra'!$E49:$Z49,MIN(AV$6-$E$3,22))&lt;&gt;""),'Milho 2ª safra'!$E49:INDEX('Milho 2ª safra'!$E49:$Z49,MIN(AV$6-$E$3,22))),0))-IF($G$2,0,IF((AV$6-$G$3)&lt;1,0,IFERROR(LOOKUP(2,1/('Milho 2ª safra'!$E49:INDEX('Milho 2ª safra'!$E49:$Z49,MIN(AV$6-$G$3,22))&lt;&gt;""),'Milho 2ª safra'!$E49:INDEX('Milho 2ª safra'!$E49:$Z49,MIN(AV$6-$G$3,22))),0)))))</f>
        <v>0</v>
      </c>
      <c r="AW51" s="27" t="n">
        <f aca="false">IF(COUNT('Milho 2ª safra'!$E49:$Z49)=0,0,MAX(0,IF((AW$6-$E$3)&lt;1,0,IFERROR(LOOKUP(2,1/('Milho 2ª safra'!$E49:INDEX('Milho 2ª safra'!$E49:$Z49,MIN(AW$6-$E$3,22))&lt;&gt;""),'Milho 2ª safra'!$E49:INDEX('Milho 2ª safra'!$E49:$Z49,MIN(AW$6-$E$3,22))),0))-IF($G$2,0,IF((AW$6-$G$3)&lt;1,0,IFERROR(LOOKUP(2,1/('Milho 2ª safra'!$E49:INDEX('Milho 2ª safra'!$E49:$Z49,MIN(AW$6-$G$3,22))&lt;&gt;""),'Milho 2ª safra'!$E49:INDEX('Milho 2ª safra'!$E49:$Z49,MIN(AW$6-$G$3,22))),0)))))</f>
        <v>0</v>
      </c>
      <c r="AX51" s="27" t="n">
        <f aca="false">IF(COUNT('Milho 2ª safra'!$E49:$Z49)=0,0,MAX(0,IF((AX$6-$E$3)&lt;1,0,IFERROR(LOOKUP(2,1/('Milho 2ª safra'!$E49:INDEX('Milho 2ª safra'!$E49:$Z49,MIN(AX$6-$E$3,22))&lt;&gt;""),'Milho 2ª safra'!$E49:INDEX('Milho 2ª safra'!$E49:$Z49,MIN(AX$6-$E$3,22))),0))-IF($G$2,0,IF((AX$6-$G$3)&lt;1,0,IFERROR(LOOKUP(2,1/('Milho 2ª safra'!$E49:INDEX('Milho 2ª safra'!$E49:$Z49,MIN(AX$6-$G$3,22))&lt;&gt;""),'Milho 2ª safra'!$E49:INDEX('Milho 2ª safra'!$E49:$Z49,MIN(AX$6-$G$3,22))),0)))))</f>
        <v>0</v>
      </c>
      <c r="AY51" s="27" t="n">
        <f aca="false">IF(COUNT('Milho 2ª safra'!$E49:$Z49)=0,0,MAX(0,IF((AY$6-$E$3)&lt;1,0,IFERROR(LOOKUP(2,1/('Milho 2ª safra'!$E49:INDEX('Milho 2ª safra'!$E49:$Z49,MIN(AY$6-$E$3,22))&lt;&gt;""),'Milho 2ª safra'!$E49:INDEX('Milho 2ª safra'!$E49:$Z49,MIN(AY$6-$E$3,22))),0))-IF($G$2,0,IF((AY$6-$G$3)&lt;1,0,IFERROR(LOOKUP(2,1/('Milho 2ª safra'!$E49:INDEX('Milho 2ª safra'!$E49:$Z49,MIN(AY$6-$G$3,22))&lt;&gt;""),'Milho 2ª safra'!$E49:INDEX('Milho 2ª safra'!$E49:$Z49,MIN(AY$6-$G$3,22))),0)))))</f>
        <v>0</v>
      </c>
      <c r="AZ51" s="27" t="n">
        <f aca="false">IF(COUNT('Milho 2ª safra'!$E49:$Z49)=0,0,MAX(0,IF((AZ$6-$E$3)&lt;1,0,IFERROR(LOOKUP(2,1/('Milho 2ª safra'!$E49:INDEX('Milho 2ª safra'!$E49:$Z49,MIN(AZ$6-$E$3,22))&lt;&gt;""),'Milho 2ª safra'!$E49:INDEX('Milho 2ª safra'!$E49:$Z49,MIN(AZ$6-$E$3,22))),0))-IF($G$2,0,IF((AZ$6-$G$3)&lt;1,0,IFERROR(LOOKUP(2,1/('Milho 2ª safra'!$E49:INDEX('Milho 2ª safra'!$E49:$Z49,MIN(AZ$6-$G$3,22))&lt;&gt;""),'Milho 2ª safra'!$E49:INDEX('Milho 2ª safra'!$E49:$Z49,MIN(AZ$6-$G$3,22))),0)))))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IF(COUNT('Milho 2ª safra'!$E50:$Z50)&gt;0,N('Milho 2ª safra'!$D50),0)</f>
        <v>0</v>
      </c>
      <c r="E52" s="27" t="n">
        <f aca="false">IF(COUNT('Milho 2ª safra'!$E50:$Z50)=0,0,MAX(0,IF((E$6-$E$3)&lt;1,0,IFERROR(LOOKUP(2,1/('Milho 2ª safra'!$E50:INDEX('Milho 2ª safra'!$E50:$Z50,MIN(E$6-$E$3,22))&lt;&gt;""),'Milho 2ª safra'!$E50:INDEX('Milho 2ª safra'!$E50:$Z50,MIN(E$6-$E$3,22))),0))-IF($G$2,0,IF((E$6-$G$3)&lt;1,0,IFERROR(LOOKUP(2,1/('Milho 2ª safra'!$E50:INDEX('Milho 2ª safra'!$E50:$Z50,MIN(E$6-$G$3,22))&lt;&gt;""),'Milho 2ª safra'!$E50:INDEX('Milho 2ª safra'!$E50:$Z50,MIN(E$6-$G$3,22))),0)))))</f>
        <v>0</v>
      </c>
      <c r="F52" s="27" t="n">
        <f aca="false">IF(COUNT('Milho 2ª safra'!$E50:$Z50)=0,0,MAX(0,IF((F$6-$E$3)&lt;1,0,IFERROR(LOOKUP(2,1/('Milho 2ª safra'!$E50:INDEX('Milho 2ª safra'!$E50:$Z50,MIN(F$6-$E$3,22))&lt;&gt;""),'Milho 2ª safra'!$E50:INDEX('Milho 2ª safra'!$E50:$Z50,MIN(F$6-$E$3,22))),0))-IF($G$2,0,IF((F$6-$G$3)&lt;1,0,IFERROR(LOOKUP(2,1/('Milho 2ª safra'!$E50:INDEX('Milho 2ª safra'!$E50:$Z50,MIN(F$6-$G$3,22))&lt;&gt;""),'Milho 2ª safra'!$E50:INDEX('Milho 2ª safra'!$E50:$Z50,MIN(F$6-$G$3,22))),0)))))</f>
        <v>0</v>
      </c>
      <c r="G52" s="27" t="n">
        <f aca="false">IF(COUNT('Milho 2ª safra'!$E50:$Z50)=0,0,MAX(0,IF((G$6-$E$3)&lt;1,0,IFERROR(LOOKUP(2,1/('Milho 2ª safra'!$E50:INDEX('Milho 2ª safra'!$E50:$Z50,MIN(G$6-$E$3,22))&lt;&gt;""),'Milho 2ª safra'!$E50:INDEX('Milho 2ª safra'!$E50:$Z50,MIN(G$6-$E$3,22))),0))-IF($G$2,0,IF((G$6-$G$3)&lt;1,0,IFERROR(LOOKUP(2,1/('Milho 2ª safra'!$E50:INDEX('Milho 2ª safra'!$E50:$Z50,MIN(G$6-$G$3,22))&lt;&gt;""),'Milho 2ª safra'!$E50:INDEX('Milho 2ª safra'!$E50:$Z50,MIN(G$6-$G$3,22))),0)))))</f>
        <v>0</v>
      </c>
      <c r="H52" s="27" t="n">
        <f aca="false">IF(COUNT('Milho 2ª safra'!$E50:$Z50)=0,0,MAX(0,IF((H$6-$E$3)&lt;1,0,IFERROR(LOOKUP(2,1/('Milho 2ª safra'!$E50:INDEX('Milho 2ª safra'!$E50:$Z50,MIN(H$6-$E$3,22))&lt;&gt;""),'Milho 2ª safra'!$E50:INDEX('Milho 2ª safra'!$E50:$Z50,MIN(H$6-$E$3,22))),0))-IF($G$2,0,IF((H$6-$G$3)&lt;1,0,IFERROR(LOOKUP(2,1/('Milho 2ª safra'!$E50:INDEX('Milho 2ª safra'!$E50:$Z50,MIN(H$6-$G$3,22))&lt;&gt;""),'Milho 2ª safra'!$E50:INDEX('Milho 2ª safra'!$E50:$Z50,MIN(H$6-$G$3,22))),0)))))</f>
        <v>0</v>
      </c>
      <c r="I52" s="27" t="n">
        <f aca="false">IF(COUNT('Milho 2ª safra'!$E50:$Z50)=0,0,MAX(0,IF((I$6-$E$3)&lt;1,0,IFERROR(LOOKUP(2,1/('Milho 2ª safra'!$E50:INDEX('Milho 2ª safra'!$E50:$Z50,MIN(I$6-$E$3,22))&lt;&gt;""),'Milho 2ª safra'!$E50:INDEX('Milho 2ª safra'!$E50:$Z50,MIN(I$6-$E$3,22))),0))-IF($G$2,0,IF((I$6-$G$3)&lt;1,0,IFERROR(LOOKUP(2,1/('Milho 2ª safra'!$E50:INDEX('Milho 2ª safra'!$E50:$Z50,MIN(I$6-$G$3,22))&lt;&gt;""),'Milho 2ª safra'!$E50:INDEX('Milho 2ª safra'!$E50:$Z50,MIN(I$6-$G$3,22))),0)))))</f>
        <v>0</v>
      </c>
      <c r="J52" s="27" t="n">
        <f aca="false">IF(COUNT('Milho 2ª safra'!$E50:$Z50)=0,0,MAX(0,IF((J$6-$E$3)&lt;1,0,IFERROR(LOOKUP(2,1/('Milho 2ª safra'!$E50:INDEX('Milho 2ª safra'!$E50:$Z50,MIN(J$6-$E$3,22))&lt;&gt;""),'Milho 2ª safra'!$E50:INDEX('Milho 2ª safra'!$E50:$Z50,MIN(J$6-$E$3,22))),0))-IF($G$2,0,IF((J$6-$G$3)&lt;1,0,IFERROR(LOOKUP(2,1/('Milho 2ª safra'!$E50:INDEX('Milho 2ª safra'!$E50:$Z50,MIN(J$6-$G$3,22))&lt;&gt;""),'Milho 2ª safra'!$E50:INDEX('Milho 2ª safra'!$E50:$Z50,MIN(J$6-$G$3,22))),0)))))</f>
        <v>0</v>
      </c>
      <c r="K52" s="27" t="n">
        <f aca="false">IF(COUNT('Milho 2ª safra'!$E50:$Z50)=0,0,MAX(0,IF((K$6-$E$3)&lt;1,0,IFERROR(LOOKUP(2,1/('Milho 2ª safra'!$E50:INDEX('Milho 2ª safra'!$E50:$Z50,MIN(K$6-$E$3,22))&lt;&gt;""),'Milho 2ª safra'!$E50:INDEX('Milho 2ª safra'!$E50:$Z50,MIN(K$6-$E$3,22))),0))-IF($G$2,0,IF((K$6-$G$3)&lt;1,0,IFERROR(LOOKUP(2,1/('Milho 2ª safra'!$E50:INDEX('Milho 2ª safra'!$E50:$Z50,MIN(K$6-$G$3,22))&lt;&gt;""),'Milho 2ª safra'!$E50:INDEX('Milho 2ª safra'!$E50:$Z50,MIN(K$6-$G$3,22))),0)))))</f>
        <v>0</v>
      </c>
      <c r="L52" s="27" t="n">
        <f aca="false">IF(COUNT('Milho 2ª safra'!$E50:$Z50)=0,0,MAX(0,IF((L$6-$E$3)&lt;1,0,IFERROR(LOOKUP(2,1/('Milho 2ª safra'!$E50:INDEX('Milho 2ª safra'!$E50:$Z50,MIN(L$6-$E$3,22))&lt;&gt;""),'Milho 2ª safra'!$E50:INDEX('Milho 2ª safra'!$E50:$Z50,MIN(L$6-$E$3,22))),0))-IF($G$2,0,IF((L$6-$G$3)&lt;1,0,IFERROR(LOOKUP(2,1/('Milho 2ª safra'!$E50:INDEX('Milho 2ª safra'!$E50:$Z50,MIN(L$6-$G$3,22))&lt;&gt;""),'Milho 2ª safra'!$E50:INDEX('Milho 2ª safra'!$E50:$Z50,MIN(L$6-$G$3,22))),0)))))</f>
        <v>0</v>
      </c>
      <c r="M52" s="27" t="n">
        <f aca="false">IF(COUNT('Milho 2ª safra'!$E50:$Z50)=0,0,MAX(0,IF((M$6-$E$3)&lt;1,0,IFERROR(LOOKUP(2,1/('Milho 2ª safra'!$E50:INDEX('Milho 2ª safra'!$E50:$Z50,MIN(M$6-$E$3,22))&lt;&gt;""),'Milho 2ª safra'!$E50:INDEX('Milho 2ª safra'!$E50:$Z50,MIN(M$6-$E$3,22))),0))-IF($G$2,0,IF((M$6-$G$3)&lt;1,0,IFERROR(LOOKUP(2,1/('Milho 2ª safra'!$E50:INDEX('Milho 2ª safra'!$E50:$Z50,MIN(M$6-$G$3,22))&lt;&gt;""),'Milho 2ª safra'!$E50:INDEX('Milho 2ª safra'!$E50:$Z50,MIN(M$6-$G$3,22))),0)))))</f>
        <v>0</v>
      </c>
      <c r="N52" s="27" t="n">
        <f aca="false">IF(COUNT('Milho 2ª safra'!$E50:$Z50)=0,0,MAX(0,IF((N$6-$E$3)&lt;1,0,IFERROR(LOOKUP(2,1/('Milho 2ª safra'!$E50:INDEX('Milho 2ª safra'!$E50:$Z50,MIN(N$6-$E$3,22))&lt;&gt;""),'Milho 2ª safra'!$E50:INDEX('Milho 2ª safra'!$E50:$Z50,MIN(N$6-$E$3,22))),0))-IF($G$2,0,IF((N$6-$G$3)&lt;1,0,IFERROR(LOOKUP(2,1/('Milho 2ª safra'!$E50:INDEX('Milho 2ª safra'!$E50:$Z50,MIN(N$6-$G$3,22))&lt;&gt;""),'Milho 2ª safra'!$E50:INDEX('Milho 2ª safra'!$E50:$Z50,MIN(N$6-$G$3,22))),0)))))</f>
        <v>0</v>
      </c>
      <c r="O52" s="27" t="n">
        <f aca="false">IF(COUNT('Milho 2ª safra'!$E50:$Z50)=0,0,MAX(0,IF((O$6-$E$3)&lt;1,0,IFERROR(LOOKUP(2,1/('Milho 2ª safra'!$E50:INDEX('Milho 2ª safra'!$E50:$Z50,MIN(O$6-$E$3,22))&lt;&gt;""),'Milho 2ª safra'!$E50:INDEX('Milho 2ª safra'!$E50:$Z50,MIN(O$6-$E$3,22))),0))-IF($G$2,0,IF((O$6-$G$3)&lt;1,0,IFERROR(LOOKUP(2,1/('Milho 2ª safra'!$E50:INDEX('Milho 2ª safra'!$E50:$Z50,MIN(O$6-$G$3,22))&lt;&gt;""),'Milho 2ª safra'!$E50:INDEX('Milho 2ª safra'!$E50:$Z50,MIN(O$6-$G$3,22))),0)))))</f>
        <v>0</v>
      </c>
      <c r="P52" s="27" t="n">
        <f aca="false">IF(COUNT('Milho 2ª safra'!$E50:$Z50)=0,0,MAX(0,IF((P$6-$E$3)&lt;1,0,IFERROR(LOOKUP(2,1/('Milho 2ª safra'!$E50:INDEX('Milho 2ª safra'!$E50:$Z50,MIN(P$6-$E$3,22))&lt;&gt;""),'Milho 2ª safra'!$E50:INDEX('Milho 2ª safra'!$E50:$Z50,MIN(P$6-$E$3,22))),0))-IF($G$2,0,IF((P$6-$G$3)&lt;1,0,IFERROR(LOOKUP(2,1/('Milho 2ª safra'!$E50:INDEX('Milho 2ª safra'!$E50:$Z50,MIN(P$6-$G$3,22))&lt;&gt;""),'Milho 2ª safra'!$E50:INDEX('Milho 2ª safra'!$E50:$Z50,MIN(P$6-$G$3,22))),0)))))</f>
        <v>0</v>
      </c>
      <c r="Q52" s="27" t="n">
        <f aca="false">IF(COUNT('Milho 2ª safra'!$E50:$Z50)=0,0,MAX(0,IF((Q$6-$E$3)&lt;1,0,IFERROR(LOOKUP(2,1/('Milho 2ª safra'!$E50:INDEX('Milho 2ª safra'!$E50:$Z50,MIN(Q$6-$E$3,22))&lt;&gt;""),'Milho 2ª safra'!$E50:INDEX('Milho 2ª safra'!$E50:$Z50,MIN(Q$6-$E$3,22))),0))-IF($G$2,0,IF((Q$6-$G$3)&lt;1,0,IFERROR(LOOKUP(2,1/('Milho 2ª safra'!$E50:INDEX('Milho 2ª safra'!$E50:$Z50,MIN(Q$6-$G$3,22))&lt;&gt;""),'Milho 2ª safra'!$E50:INDEX('Milho 2ª safra'!$E50:$Z50,MIN(Q$6-$G$3,22))),0)))))</f>
        <v>0</v>
      </c>
      <c r="R52" s="27" t="n">
        <f aca="false">IF(COUNT('Milho 2ª safra'!$E50:$Z50)=0,0,MAX(0,IF((R$6-$E$3)&lt;1,0,IFERROR(LOOKUP(2,1/('Milho 2ª safra'!$E50:INDEX('Milho 2ª safra'!$E50:$Z50,MIN(R$6-$E$3,22))&lt;&gt;""),'Milho 2ª safra'!$E50:INDEX('Milho 2ª safra'!$E50:$Z50,MIN(R$6-$E$3,22))),0))-IF($G$2,0,IF((R$6-$G$3)&lt;1,0,IFERROR(LOOKUP(2,1/('Milho 2ª safra'!$E50:INDEX('Milho 2ª safra'!$E50:$Z50,MIN(R$6-$G$3,22))&lt;&gt;""),'Milho 2ª safra'!$E50:INDEX('Milho 2ª safra'!$E50:$Z50,MIN(R$6-$G$3,22))),0)))))</f>
        <v>0</v>
      </c>
      <c r="S52" s="27" t="n">
        <f aca="false">IF(COUNT('Milho 2ª safra'!$E50:$Z50)=0,0,MAX(0,IF((S$6-$E$3)&lt;1,0,IFERROR(LOOKUP(2,1/('Milho 2ª safra'!$E50:INDEX('Milho 2ª safra'!$E50:$Z50,MIN(S$6-$E$3,22))&lt;&gt;""),'Milho 2ª safra'!$E50:INDEX('Milho 2ª safra'!$E50:$Z50,MIN(S$6-$E$3,22))),0))-IF($G$2,0,IF((S$6-$G$3)&lt;1,0,IFERROR(LOOKUP(2,1/('Milho 2ª safra'!$E50:INDEX('Milho 2ª safra'!$E50:$Z50,MIN(S$6-$G$3,22))&lt;&gt;""),'Milho 2ª safra'!$E50:INDEX('Milho 2ª safra'!$E50:$Z50,MIN(S$6-$G$3,22))),0)))))</f>
        <v>0</v>
      </c>
      <c r="T52" s="27" t="n">
        <f aca="false">IF(COUNT('Milho 2ª safra'!$E50:$Z50)=0,0,MAX(0,IF((T$6-$E$3)&lt;1,0,IFERROR(LOOKUP(2,1/('Milho 2ª safra'!$E50:INDEX('Milho 2ª safra'!$E50:$Z50,MIN(T$6-$E$3,22))&lt;&gt;""),'Milho 2ª safra'!$E50:INDEX('Milho 2ª safra'!$E50:$Z50,MIN(T$6-$E$3,22))),0))-IF($G$2,0,IF((T$6-$G$3)&lt;1,0,IFERROR(LOOKUP(2,1/('Milho 2ª safra'!$E50:INDEX('Milho 2ª safra'!$E50:$Z50,MIN(T$6-$G$3,22))&lt;&gt;""),'Milho 2ª safra'!$E50:INDEX('Milho 2ª safra'!$E50:$Z50,MIN(T$6-$G$3,22))),0)))))</f>
        <v>0</v>
      </c>
      <c r="U52" s="27" t="n">
        <f aca="false">IF(COUNT('Milho 2ª safra'!$E50:$Z50)=0,0,MAX(0,IF((U$6-$E$3)&lt;1,0,IFERROR(LOOKUP(2,1/('Milho 2ª safra'!$E50:INDEX('Milho 2ª safra'!$E50:$Z50,MIN(U$6-$E$3,22))&lt;&gt;""),'Milho 2ª safra'!$E50:INDEX('Milho 2ª safra'!$E50:$Z50,MIN(U$6-$E$3,22))),0))-IF($G$2,0,IF((U$6-$G$3)&lt;1,0,IFERROR(LOOKUP(2,1/('Milho 2ª safra'!$E50:INDEX('Milho 2ª safra'!$E50:$Z50,MIN(U$6-$G$3,22))&lt;&gt;""),'Milho 2ª safra'!$E50:INDEX('Milho 2ª safra'!$E50:$Z50,MIN(U$6-$G$3,22))),0)))))</f>
        <v>0</v>
      </c>
      <c r="V52" s="27" t="n">
        <f aca="false">IF(COUNT('Milho 2ª safra'!$E50:$Z50)=0,0,MAX(0,IF((V$6-$E$3)&lt;1,0,IFERROR(LOOKUP(2,1/('Milho 2ª safra'!$E50:INDEX('Milho 2ª safra'!$E50:$Z50,MIN(V$6-$E$3,22))&lt;&gt;""),'Milho 2ª safra'!$E50:INDEX('Milho 2ª safra'!$E50:$Z50,MIN(V$6-$E$3,22))),0))-IF($G$2,0,IF((V$6-$G$3)&lt;1,0,IFERROR(LOOKUP(2,1/('Milho 2ª safra'!$E50:INDEX('Milho 2ª safra'!$E50:$Z50,MIN(V$6-$G$3,22))&lt;&gt;""),'Milho 2ª safra'!$E50:INDEX('Milho 2ª safra'!$E50:$Z50,MIN(V$6-$G$3,22))),0)))))</f>
        <v>0</v>
      </c>
      <c r="W52" s="27" t="n">
        <f aca="false">IF(COUNT('Milho 2ª safra'!$E50:$Z50)=0,0,MAX(0,IF((W$6-$E$3)&lt;1,0,IFERROR(LOOKUP(2,1/('Milho 2ª safra'!$E50:INDEX('Milho 2ª safra'!$E50:$Z50,MIN(W$6-$E$3,22))&lt;&gt;""),'Milho 2ª safra'!$E50:INDEX('Milho 2ª safra'!$E50:$Z50,MIN(W$6-$E$3,22))),0))-IF($G$2,0,IF((W$6-$G$3)&lt;1,0,IFERROR(LOOKUP(2,1/('Milho 2ª safra'!$E50:INDEX('Milho 2ª safra'!$E50:$Z50,MIN(W$6-$G$3,22))&lt;&gt;""),'Milho 2ª safra'!$E50:INDEX('Milho 2ª safra'!$E50:$Z50,MIN(W$6-$G$3,22))),0)))))</f>
        <v>0</v>
      </c>
      <c r="X52" s="27" t="n">
        <f aca="false">IF(COUNT('Milho 2ª safra'!$E50:$Z50)=0,0,MAX(0,IF((X$6-$E$3)&lt;1,0,IFERROR(LOOKUP(2,1/('Milho 2ª safra'!$E50:INDEX('Milho 2ª safra'!$E50:$Z50,MIN(X$6-$E$3,22))&lt;&gt;""),'Milho 2ª safra'!$E50:INDEX('Milho 2ª safra'!$E50:$Z50,MIN(X$6-$E$3,22))),0))-IF($G$2,0,IF((X$6-$G$3)&lt;1,0,IFERROR(LOOKUP(2,1/('Milho 2ª safra'!$E50:INDEX('Milho 2ª safra'!$E50:$Z50,MIN(X$6-$G$3,22))&lt;&gt;""),'Milho 2ª safra'!$E50:INDEX('Milho 2ª safra'!$E50:$Z50,MIN(X$6-$G$3,22))),0)))))</f>
        <v>0</v>
      </c>
      <c r="Y52" s="27" t="n">
        <f aca="false">IF(COUNT('Milho 2ª safra'!$E50:$Z50)=0,0,MAX(0,IF((Y$6-$E$3)&lt;1,0,IFERROR(LOOKUP(2,1/('Milho 2ª safra'!$E50:INDEX('Milho 2ª safra'!$E50:$Z50,MIN(Y$6-$E$3,22))&lt;&gt;""),'Milho 2ª safra'!$E50:INDEX('Milho 2ª safra'!$E50:$Z50,MIN(Y$6-$E$3,22))),0))-IF($G$2,0,IF((Y$6-$G$3)&lt;1,0,IFERROR(LOOKUP(2,1/('Milho 2ª safra'!$E50:INDEX('Milho 2ª safra'!$E50:$Z50,MIN(Y$6-$G$3,22))&lt;&gt;""),'Milho 2ª safra'!$E50:INDEX('Milho 2ª safra'!$E50:$Z50,MIN(Y$6-$G$3,22))),0)))))</f>
        <v>0</v>
      </c>
      <c r="Z52" s="27" t="n">
        <f aca="false">IF(COUNT('Milho 2ª safra'!$E50:$Z50)=0,0,MAX(0,IF((Z$6-$E$3)&lt;1,0,IFERROR(LOOKUP(2,1/('Milho 2ª safra'!$E50:INDEX('Milho 2ª safra'!$E50:$Z50,MIN(Z$6-$E$3,22))&lt;&gt;""),'Milho 2ª safra'!$E50:INDEX('Milho 2ª safra'!$E50:$Z50,MIN(Z$6-$E$3,22))),0))-IF($G$2,0,IF((Z$6-$G$3)&lt;1,0,IFERROR(LOOKUP(2,1/('Milho 2ª safra'!$E50:INDEX('Milho 2ª safra'!$E50:$Z50,MIN(Z$6-$G$3,22))&lt;&gt;""),'Milho 2ª safra'!$E50:INDEX('Milho 2ª safra'!$E50:$Z50,MIN(Z$6-$G$3,22))),0)))))</f>
        <v>0</v>
      </c>
      <c r="AA52" s="27" t="n">
        <f aca="false">IF(COUNT('Milho 2ª safra'!$E50:$Z50)=0,0,MAX(0,IF((AA$6-$E$3)&lt;1,0,IFERROR(LOOKUP(2,1/('Milho 2ª safra'!$E50:INDEX('Milho 2ª safra'!$E50:$Z50,MIN(AA$6-$E$3,22))&lt;&gt;""),'Milho 2ª safra'!$E50:INDEX('Milho 2ª safra'!$E50:$Z50,MIN(AA$6-$E$3,22))),0))-IF($G$2,0,IF((AA$6-$G$3)&lt;1,0,IFERROR(LOOKUP(2,1/('Milho 2ª safra'!$E50:INDEX('Milho 2ª safra'!$E50:$Z50,MIN(AA$6-$G$3,22))&lt;&gt;""),'Milho 2ª safra'!$E50:INDEX('Milho 2ª safra'!$E50:$Z50,MIN(AA$6-$G$3,22))),0)))))</f>
        <v>0</v>
      </c>
      <c r="AB52" s="27" t="n">
        <f aca="false">IF(COUNT('Milho 2ª safra'!$E50:$Z50)=0,0,MAX(0,IF((AB$6-$E$3)&lt;1,0,IFERROR(LOOKUP(2,1/('Milho 2ª safra'!$E50:INDEX('Milho 2ª safra'!$E50:$Z50,MIN(AB$6-$E$3,22))&lt;&gt;""),'Milho 2ª safra'!$E50:INDEX('Milho 2ª safra'!$E50:$Z50,MIN(AB$6-$E$3,22))),0))-IF($G$2,0,IF((AB$6-$G$3)&lt;1,0,IFERROR(LOOKUP(2,1/('Milho 2ª safra'!$E50:INDEX('Milho 2ª safra'!$E50:$Z50,MIN(AB$6-$G$3,22))&lt;&gt;""),'Milho 2ª safra'!$E50:INDEX('Milho 2ª safra'!$E50:$Z50,MIN(AB$6-$G$3,22))),0)))))</f>
        <v>0</v>
      </c>
      <c r="AC52" s="27" t="n">
        <f aca="false">IF(COUNT('Milho 2ª safra'!$E50:$Z50)=0,0,MAX(0,IF((AC$6-$E$3)&lt;1,0,IFERROR(LOOKUP(2,1/('Milho 2ª safra'!$E50:INDEX('Milho 2ª safra'!$E50:$Z50,MIN(AC$6-$E$3,22))&lt;&gt;""),'Milho 2ª safra'!$E50:INDEX('Milho 2ª safra'!$E50:$Z50,MIN(AC$6-$E$3,22))),0))-IF($G$2,0,IF((AC$6-$G$3)&lt;1,0,IFERROR(LOOKUP(2,1/('Milho 2ª safra'!$E50:INDEX('Milho 2ª safra'!$E50:$Z50,MIN(AC$6-$G$3,22))&lt;&gt;""),'Milho 2ª safra'!$E50:INDEX('Milho 2ª safra'!$E50:$Z50,MIN(AC$6-$G$3,22))),0)))))</f>
        <v>0</v>
      </c>
      <c r="AD52" s="27" t="n">
        <f aca="false">IF(COUNT('Milho 2ª safra'!$E50:$Z50)=0,0,MAX(0,IF((AD$6-$E$3)&lt;1,0,IFERROR(LOOKUP(2,1/('Milho 2ª safra'!$E50:INDEX('Milho 2ª safra'!$E50:$Z50,MIN(AD$6-$E$3,22))&lt;&gt;""),'Milho 2ª safra'!$E50:INDEX('Milho 2ª safra'!$E50:$Z50,MIN(AD$6-$E$3,22))),0))-IF($G$2,0,IF((AD$6-$G$3)&lt;1,0,IFERROR(LOOKUP(2,1/('Milho 2ª safra'!$E50:INDEX('Milho 2ª safra'!$E50:$Z50,MIN(AD$6-$G$3,22))&lt;&gt;""),'Milho 2ª safra'!$E50:INDEX('Milho 2ª safra'!$E50:$Z50,MIN(AD$6-$G$3,22))),0)))))</f>
        <v>0</v>
      </c>
      <c r="AE52" s="27" t="n">
        <f aca="false">IF(COUNT('Milho 2ª safra'!$E50:$Z50)=0,0,MAX(0,IF((AE$6-$E$3)&lt;1,0,IFERROR(LOOKUP(2,1/('Milho 2ª safra'!$E50:INDEX('Milho 2ª safra'!$E50:$Z50,MIN(AE$6-$E$3,22))&lt;&gt;""),'Milho 2ª safra'!$E50:INDEX('Milho 2ª safra'!$E50:$Z50,MIN(AE$6-$E$3,22))),0))-IF($G$2,0,IF((AE$6-$G$3)&lt;1,0,IFERROR(LOOKUP(2,1/('Milho 2ª safra'!$E50:INDEX('Milho 2ª safra'!$E50:$Z50,MIN(AE$6-$G$3,22))&lt;&gt;""),'Milho 2ª safra'!$E50:INDEX('Milho 2ª safra'!$E50:$Z50,MIN(AE$6-$G$3,22))),0)))))</f>
        <v>0</v>
      </c>
      <c r="AF52" s="27" t="n">
        <f aca="false">IF(COUNT('Milho 2ª safra'!$E50:$Z50)=0,0,MAX(0,IF((AF$6-$E$3)&lt;1,0,IFERROR(LOOKUP(2,1/('Milho 2ª safra'!$E50:INDEX('Milho 2ª safra'!$E50:$Z50,MIN(AF$6-$E$3,22))&lt;&gt;""),'Milho 2ª safra'!$E50:INDEX('Milho 2ª safra'!$E50:$Z50,MIN(AF$6-$E$3,22))),0))-IF($G$2,0,IF((AF$6-$G$3)&lt;1,0,IFERROR(LOOKUP(2,1/('Milho 2ª safra'!$E50:INDEX('Milho 2ª safra'!$E50:$Z50,MIN(AF$6-$G$3,22))&lt;&gt;""),'Milho 2ª safra'!$E50:INDEX('Milho 2ª safra'!$E50:$Z50,MIN(AF$6-$G$3,22))),0)))))</f>
        <v>0</v>
      </c>
      <c r="AG52" s="27" t="n">
        <f aca="false">IF(COUNT('Milho 2ª safra'!$E50:$Z50)=0,0,MAX(0,IF((AG$6-$E$3)&lt;1,0,IFERROR(LOOKUP(2,1/('Milho 2ª safra'!$E50:INDEX('Milho 2ª safra'!$E50:$Z50,MIN(AG$6-$E$3,22))&lt;&gt;""),'Milho 2ª safra'!$E50:INDEX('Milho 2ª safra'!$E50:$Z50,MIN(AG$6-$E$3,22))),0))-IF($G$2,0,IF((AG$6-$G$3)&lt;1,0,IFERROR(LOOKUP(2,1/('Milho 2ª safra'!$E50:INDEX('Milho 2ª safra'!$E50:$Z50,MIN(AG$6-$G$3,22))&lt;&gt;""),'Milho 2ª safra'!$E50:INDEX('Milho 2ª safra'!$E50:$Z50,MIN(AG$6-$G$3,22))),0)))))</f>
        <v>0</v>
      </c>
      <c r="AH52" s="27" t="n">
        <f aca="false">IF(COUNT('Milho 2ª safra'!$E50:$Z50)=0,0,MAX(0,IF((AH$6-$E$3)&lt;1,0,IFERROR(LOOKUP(2,1/('Milho 2ª safra'!$E50:INDEX('Milho 2ª safra'!$E50:$Z50,MIN(AH$6-$E$3,22))&lt;&gt;""),'Milho 2ª safra'!$E50:INDEX('Milho 2ª safra'!$E50:$Z50,MIN(AH$6-$E$3,22))),0))-IF($G$2,0,IF((AH$6-$G$3)&lt;1,0,IFERROR(LOOKUP(2,1/('Milho 2ª safra'!$E50:INDEX('Milho 2ª safra'!$E50:$Z50,MIN(AH$6-$G$3,22))&lt;&gt;""),'Milho 2ª safra'!$E50:INDEX('Milho 2ª safra'!$E50:$Z50,MIN(AH$6-$G$3,22))),0)))))</f>
        <v>0</v>
      </c>
      <c r="AI52" s="27" t="n">
        <f aca="false">IF(COUNT('Milho 2ª safra'!$E50:$Z50)=0,0,MAX(0,IF((AI$6-$E$3)&lt;1,0,IFERROR(LOOKUP(2,1/('Milho 2ª safra'!$E50:INDEX('Milho 2ª safra'!$E50:$Z50,MIN(AI$6-$E$3,22))&lt;&gt;""),'Milho 2ª safra'!$E50:INDEX('Milho 2ª safra'!$E50:$Z50,MIN(AI$6-$E$3,22))),0))-IF($G$2,0,IF((AI$6-$G$3)&lt;1,0,IFERROR(LOOKUP(2,1/('Milho 2ª safra'!$E50:INDEX('Milho 2ª safra'!$E50:$Z50,MIN(AI$6-$G$3,22))&lt;&gt;""),'Milho 2ª safra'!$E50:INDEX('Milho 2ª safra'!$E50:$Z50,MIN(AI$6-$G$3,22))),0)))))</f>
        <v>0</v>
      </c>
      <c r="AJ52" s="27" t="n">
        <f aca="false">IF(COUNT('Milho 2ª safra'!$E50:$Z50)=0,0,MAX(0,IF((AJ$6-$E$3)&lt;1,0,IFERROR(LOOKUP(2,1/('Milho 2ª safra'!$E50:INDEX('Milho 2ª safra'!$E50:$Z50,MIN(AJ$6-$E$3,22))&lt;&gt;""),'Milho 2ª safra'!$E50:INDEX('Milho 2ª safra'!$E50:$Z50,MIN(AJ$6-$E$3,22))),0))-IF($G$2,0,IF((AJ$6-$G$3)&lt;1,0,IFERROR(LOOKUP(2,1/('Milho 2ª safra'!$E50:INDEX('Milho 2ª safra'!$E50:$Z50,MIN(AJ$6-$G$3,22))&lt;&gt;""),'Milho 2ª safra'!$E50:INDEX('Milho 2ª safra'!$E50:$Z50,MIN(AJ$6-$G$3,22))),0)))))</f>
        <v>0</v>
      </c>
      <c r="AK52" s="27" t="n">
        <f aca="false">IF(COUNT('Milho 2ª safra'!$E50:$Z50)=0,0,MAX(0,IF((AK$6-$E$3)&lt;1,0,IFERROR(LOOKUP(2,1/('Milho 2ª safra'!$E50:INDEX('Milho 2ª safra'!$E50:$Z50,MIN(AK$6-$E$3,22))&lt;&gt;""),'Milho 2ª safra'!$E50:INDEX('Milho 2ª safra'!$E50:$Z50,MIN(AK$6-$E$3,22))),0))-IF($G$2,0,IF((AK$6-$G$3)&lt;1,0,IFERROR(LOOKUP(2,1/('Milho 2ª safra'!$E50:INDEX('Milho 2ª safra'!$E50:$Z50,MIN(AK$6-$G$3,22))&lt;&gt;""),'Milho 2ª safra'!$E50:INDEX('Milho 2ª safra'!$E50:$Z50,MIN(AK$6-$G$3,22))),0)))))</f>
        <v>0</v>
      </c>
      <c r="AL52" s="27" t="n">
        <f aca="false">IF(COUNT('Milho 2ª safra'!$E50:$Z50)=0,0,MAX(0,IF((AL$6-$E$3)&lt;1,0,IFERROR(LOOKUP(2,1/('Milho 2ª safra'!$E50:INDEX('Milho 2ª safra'!$E50:$Z50,MIN(AL$6-$E$3,22))&lt;&gt;""),'Milho 2ª safra'!$E50:INDEX('Milho 2ª safra'!$E50:$Z50,MIN(AL$6-$E$3,22))),0))-IF($G$2,0,IF((AL$6-$G$3)&lt;1,0,IFERROR(LOOKUP(2,1/('Milho 2ª safra'!$E50:INDEX('Milho 2ª safra'!$E50:$Z50,MIN(AL$6-$G$3,22))&lt;&gt;""),'Milho 2ª safra'!$E50:INDEX('Milho 2ª safra'!$E50:$Z50,MIN(AL$6-$G$3,22))),0)))))</f>
        <v>0</v>
      </c>
      <c r="AM52" s="27" t="n">
        <f aca="false">IF(COUNT('Milho 2ª safra'!$E50:$Z50)=0,0,MAX(0,IF((AM$6-$E$3)&lt;1,0,IFERROR(LOOKUP(2,1/('Milho 2ª safra'!$E50:INDEX('Milho 2ª safra'!$E50:$Z50,MIN(AM$6-$E$3,22))&lt;&gt;""),'Milho 2ª safra'!$E50:INDEX('Milho 2ª safra'!$E50:$Z50,MIN(AM$6-$E$3,22))),0))-IF($G$2,0,IF((AM$6-$G$3)&lt;1,0,IFERROR(LOOKUP(2,1/('Milho 2ª safra'!$E50:INDEX('Milho 2ª safra'!$E50:$Z50,MIN(AM$6-$G$3,22))&lt;&gt;""),'Milho 2ª safra'!$E50:INDEX('Milho 2ª safra'!$E50:$Z50,MIN(AM$6-$G$3,22))),0)))))</f>
        <v>0</v>
      </c>
      <c r="AN52" s="27" t="n">
        <f aca="false">IF(COUNT('Milho 2ª safra'!$E50:$Z50)=0,0,MAX(0,IF((AN$6-$E$3)&lt;1,0,IFERROR(LOOKUP(2,1/('Milho 2ª safra'!$E50:INDEX('Milho 2ª safra'!$E50:$Z50,MIN(AN$6-$E$3,22))&lt;&gt;""),'Milho 2ª safra'!$E50:INDEX('Milho 2ª safra'!$E50:$Z50,MIN(AN$6-$E$3,22))),0))-IF($G$2,0,IF((AN$6-$G$3)&lt;1,0,IFERROR(LOOKUP(2,1/('Milho 2ª safra'!$E50:INDEX('Milho 2ª safra'!$E50:$Z50,MIN(AN$6-$G$3,22))&lt;&gt;""),'Milho 2ª safra'!$E50:INDEX('Milho 2ª safra'!$E50:$Z50,MIN(AN$6-$G$3,22))),0)))))</f>
        <v>0</v>
      </c>
      <c r="AO52" s="27" t="n">
        <f aca="false">IF(COUNT('Milho 2ª safra'!$E50:$Z50)=0,0,MAX(0,IF((AO$6-$E$3)&lt;1,0,IFERROR(LOOKUP(2,1/('Milho 2ª safra'!$E50:INDEX('Milho 2ª safra'!$E50:$Z50,MIN(AO$6-$E$3,22))&lt;&gt;""),'Milho 2ª safra'!$E50:INDEX('Milho 2ª safra'!$E50:$Z50,MIN(AO$6-$E$3,22))),0))-IF($G$2,0,IF((AO$6-$G$3)&lt;1,0,IFERROR(LOOKUP(2,1/('Milho 2ª safra'!$E50:INDEX('Milho 2ª safra'!$E50:$Z50,MIN(AO$6-$G$3,22))&lt;&gt;""),'Milho 2ª safra'!$E50:INDEX('Milho 2ª safra'!$E50:$Z50,MIN(AO$6-$G$3,22))),0)))))</f>
        <v>0</v>
      </c>
      <c r="AP52" s="27" t="n">
        <f aca="false">IF(COUNT('Milho 2ª safra'!$E50:$Z50)=0,0,MAX(0,IF((AP$6-$E$3)&lt;1,0,IFERROR(LOOKUP(2,1/('Milho 2ª safra'!$E50:INDEX('Milho 2ª safra'!$E50:$Z50,MIN(AP$6-$E$3,22))&lt;&gt;""),'Milho 2ª safra'!$E50:INDEX('Milho 2ª safra'!$E50:$Z50,MIN(AP$6-$E$3,22))),0))-IF($G$2,0,IF((AP$6-$G$3)&lt;1,0,IFERROR(LOOKUP(2,1/('Milho 2ª safra'!$E50:INDEX('Milho 2ª safra'!$E50:$Z50,MIN(AP$6-$G$3,22))&lt;&gt;""),'Milho 2ª safra'!$E50:INDEX('Milho 2ª safra'!$E50:$Z50,MIN(AP$6-$G$3,22))),0)))))</f>
        <v>0</v>
      </c>
      <c r="AQ52" s="27" t="n">
        <f aca="false">IF(COUNT('Milho 2ª safra'!$E50:$Z50)=0,0,MAX(0,IF((AQ$6-$E$3)&lt;1,0,IFERROR(LOOKUP(2,1/('Milho 2ª safra'!$E50:INDEX('Milho 2ª safra'!$E50:$Z50,MIN(AQ$6-$E$3,22))&lt;&gt;""),'Milho 2ª safra'!$E50:INDEX('Milho 2ª safra'!$E50:$Z50,MIN(AQ$6-$E$3,22))),0))-IF($G$2,0,IF((AQ$6-$G$3)&lt;1,0,IFERROR(LOOKUP(2,1/('Milho 2ª safra'!$E50:INDEX('Milho 2ª safra'!$E50:$Z50,MIN(AQ$6-$G$3,22))&lt;&gt;""),'Milho 2ª safra'!$E50:INDEX('Milho 2ª safra'!$E50:$Z50,MIN(AQ$6-$G$3,22))),0)))))</f>
        <v>0</v>
      </c>
      <c r="AR52" s="27" t="n">
        <f aca="false">IF(COUNT('Milho 2ª safra'!$E50:$Z50)=0,0,MAX(0,IF((AR$6-$E$3)&lt;1,0,IFERROR(LOOKUP(2,1/('Milho 2ª safra'!$E50:INDEX('Milho 2ª safra'!$E50:$Z50,MIN(AR$6-$E$3,22))&lt;&gt;""),'Milho 2ª safra'!$E50:INDEX('Milho 2ª safra'!$E50:$Z50,MIN(AR$6-$E$3,22))),0))-IF($G$2,0,IF((AR$6-$G$3)&lt;1,0,IFERROR(LOOKUP(2,1/('Milho 2ª safra'!$E50:INDEX('Milho 2ª safra'!$E50:$Z50,MIN(AR$6-$G$3,22))&lt;&gt;""),'Milho 2ª safra'!$E50:INDEX('Milho 2ª safra'!$E50:$Z50,MIN(AR$6-$G$3,22))),0)))))</f>
        <v>0</v>
      </c>
      <c r="AS52" s="27" t="n">
        <f aca="false">IF(COUNT('Milho 2ª safra'!$E50:$Z50)=0,0,MAX(0,IF((AS$6-$E$3)&lt;1,0,IFERROR(LOOKUP(2,1/('Milho 2ª safra'!$E50:INDEX('Milho 2ª safra'!$E50:$Z50,MIN(AS$6-$E$3,22))&lt;&gt;""),'Milho 2ª safra'!$E50:INDEX('Milho 2ª safra'!$E50:$Z50,MIN(AS$6-$E$3,22))),0))-IF($G$2,0,IF((AS$6-$G$3)&lt;1,0,IFERROR(LOOKUP(2,1/('Milho 2ª safra'!$E50:INDEX('Milho 2ª safra'!$E50:$Z50,MIN(AS$6-$G$3,22))&lt;&gt;""),'Milho 2ª safra'!$E50:INDEX('Milho 2ª safra'!$E50:$Z50,MIN(AS$6-$G$3,22))),0)))))</f>
        <v>0</v>
      </c>
      <c r="AT52" s="27" t="n">
        <f aca="false">IF(COUNT('Milho 2ª safra'!$E50:$Z50)=0,0,MAX(0,IF((AT$6-$E$3)&lt;1,0,IFERROR(LOOKUP(2,1/('Milho 2ª safra'!$E50:INDEX('Milho 2ª safra'!$E50:$Z50,MIN(AT$6-$E$3,22))&lt;&gt;""),'Milho 2ª safra'!$E50:INDEX('Milho 2ª safra'!$E50:$Z50,MIN(AT$6-$E$3,22))),0))-IF($G$2,0,IF((AT$6-$G$3)&lt;1,0,IFERROR(LOOKUP(2,1/('Milho 2ª safra'!$E50:INDEX('Milho 2ª safra'!$E50:$Z50,MIN(AT$6-$G$3,22))&lt;&gt;""),'Milho 2ª safra'!$E50:INDEX('Milho 2ª safra'!$E50:$Z50,MIN(AT$6-$G$3,22))),0)))))</f>
        <v>0</v>
      </c>
      <c r="AU52" s="27" t="n">
        <f aca="false">IF(COUNT('Milho 2ª safra'!$E50:$Z50)=0,0,MAX(0,IF((AU$6-$E$3)&lt;1,0,IFERROR(LOOKUP(2,1/('Milho 2ª safra'!$E50:INDEX('Milho 2ª safra'!$E50:$Z50,MIN(AU$6-$E$3,22))&lt;&gt;""),'Milho 2ª safra'!$E50:INDEX('Milho 2ª safra'!$E50:$Z50,MIN(AU$6-$E$3,22))),0))-IF($G$2,0,IF((AU$6-$G$3)&lt;1,0,IFERROR(LOOKUP(2,1/('Milho 2ª safra'!$E50:INDEX('Milho 2ª safra'!$E50:$Z50,MIN(AU$6-$G$3,22))&lt;&gt;""),'Milho 2ª safra'!$E50:INDEX('Milho 2ª safra'!$E50:$Z50,MIN(AU$6-$G$3,22))),0)))))</f>
        <v>0</v>
      </c>
      <c r="AV52" s="27" t="n">
        <f aca="false">IF(COUNT('Milho 2ª safra'!$E50:$Z50)=0,0,MAX(0,IF((AV$6-$E$3)&lt;1,0,IFERROR(LOOKUP(2,1/('Milho 2ª safra'!$E50:INDEX('Milho 2ª safra'!$E50:$Z50,MIN(AV$6-$E$3,22))&lt;&gt;""),'Milho 2ª safra'!$E50:INDEX('Milho 2ª safra'!$E50:$Z50,MIN(AV$6-$E$3,22))),0))-IF($G$2,0,IF((AV$6-$G$3)&lt;1,0,IFERROR(LOOKUP(2,1/('Milho 2ª safra'!$E50:INDEX('Milho 2ª safra'!$E50:$Z50,MIN(AV$6-$G$3,22))&lt;&gt;""),'Milho 2ª safra'!$E50:INDEX('Milho 2ª safra'!$E50:$Z50,MIN(AV$6-$G$3,22))),0)))))</f>
        <v>0</v>
      </c>
      <c r="AW52" s="27" t="n">
        <f aca="false">IF(COUNT('Milho 2ª safra'!$E50:$Z50)=0,0,MAX(0,IF((AW$6-$E$3)&lt;1,0,IFERROR(LOOKUP(2,1/('Milho 2ª safra'!$E50:INDEX('Milho 2ª safra'!$E50:$Z50,MIN(AW$6-$E$3,22))&lt;&gt;""),'Milho 2ª safra'!$E50:INDEX('Milho 2ª safra'!$E50:$Z50,MIN(AW$6-$E$3,22))),0))-IF($G$2,0,IF((AW$6-$G$3)&lt;1,0,IFERROR(LOOKUP(2,1/('Milho 2ª safra'!$E50:INDEX('Milho 2ª safra'!$E50:$Z50,MIN(AW$6-$G$3,22))&lt;&gt;""),'Milho 2ª safra'!$E50:INDEX('Milho 2ª safra'!$E50:$Z50,MIN(AW$6-$G$3,22))),0)))))</f>
        <v>0</v>
      </c>
      <c r="AX52" s="27" t="n">
        <f aca="false">IF(COUNT('Milho 2ª safra'!$E50:$Z50)=0,0,MAX(0,IF((AX$6-$E$3)&lt;1,0,IFERROR(LOOKUP(2,1/('Milho 2ª safra'!$E50:INDEX('Milho 2ª safra'!$E50:$Z50,MIN(AX$6-$E$3,22))&lt;&gt;""),'Milho 2ª safra'!$E50:INDEX('Milho 2ª safra'!$E50:$Z50,MIN(AX$6-$E$3,22))),0))-IF($G$2,0,IF((AX$6-$G$3)&lt;1,0,IFERROR(LOOKUP(2,1/('Milho 2ª safra'!$E50:INDEX('Milho 2ª safra'!$E50:$Z50,MIN(AX$6-$G$3,22))&lt;&gt;""),'Milho 2ª safra'!$E50:INDEX('Milho 2ª safra'!$E50:$Z50,MIN(AX$6-$G$3,22))),0)))))</f>
        <v>0</v>
      </c>
      <c r="AY52" s="27" t="n">
        <f aca="false">IF(COUNT('Milho 2ª safra'!$E50:$Z50)=0,0,MAX(0,IF((AY$6-$E$3)&lt;1,0,IFERROR(LOOKUP(2,1/('Milho 2ª safra'!$E50:INDEX('Milho 2ª safra'!$E50:$Z50,MIN(AY$6-$E$3,22))&lt;&gt;""),'Milho 2ª safra'!$E50:INDEX('Milho 2ª safra'!$E50:$Z50,MIN(AY$6-$E$3,22))),0))-IF($G$2,0,IF((AY$6-$G$3)&lt;1,0,IFERROR(LOOKUP(2,1/('Milho 2ª safra'!$E50:INDEX('Milho 2ª safra'!$E50:$Z50,MIN(AY$6-$G$3,22))&lt;&gt;""),'Milho 2ª safra'!$E50:INDEX('Milho 2ª safra'!$E50:$Z50,MIN(AY$6-$G$3,22))),0)))))</f>
        <v>0</v>
      </c>
      <c r="AZ52" s="27" t="n">
        <f aca="false">IF(COUNT('Milho 2ª safra'!$E50:$Z50)=0,0,MAX(0,IF((AZ$6-$E$3)&lt;1,0,IFERROR(LOOKUP(2,1/('Milho 2ª safra'!$E50:INDEX('Milho 2ª safra'!$E50:$Z50,MIN(AZ$6-$E$3,22))&lt;&gt;""),'Milho 2ª safra'!$E50:INDEX('Milho 2ª safra'!$E50:$Z50,MIN(AZ$6-$E$3,22))),0))-IF($G$2,0,IF((AZ$6-$G$3)&lt;1,0,IFERROR(LOOKUP(2,1/('Milho 2ª safra'!$E50:INDEX('Milho 2ª safra'!$E50:$Z50,MIN(AZ$6-$G$3,22))&lt;&gt;""),'Milho 2ª safra'!$E50:INDEX('Milho 2ª safra'!$E50:$Z50,MIN(AZ$6-$G$3,22))),0)))))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IF(COUNT('Milho 2ª safra'!$E51:$Z51)&gt;0,N('Milho 2ª safra'!$D51),0)</f>
        <v>0</v>
      </c>
      <c r="E53" s="27" t="n">
        <f aca="false">IF(COUNT('Milho 2ª safra'!$E51:$Z51)=0,0,MAX(0,IF((E$6-$E$3)&lt;1,0,IFERROR(LOOKUP(2,1/('Milho 2ª safra'!$E51:INDEX('Milho 2ª safra'!$E51:$Z51,MIN(E$6-$E$3,22))&lt;&gt;""),'Milho 2ª safra'!$E51:INDEX('Milho 2ª safra'!$E51:$Z51,MIN(E$6-$E$3,22))),0))-IF($G$2,0,IF((E$6-$G$3)&lt;1,0,IFERROR(LOOKUP(2,1/('Milho 2ª safra'!$E51:INDEX('Milho 2ª safra'!$E51:$Z51,MIN(E$6-$G$3,22))&lt;&gt;""),'Milho 2ª safra'!$E51:INDEX('Milho 2ª safra'!$E51:$Z51,MIN(E$6-$G$3,22))),0)))))</f>
        <v>0</v>
      </c>
      <c r="F53" s="27" t="n">
        <f aca="false">IF(COUNT('Milho 2ª safra'!$E51:$Z51)=0,0,MAX(0,IF((F$6-$E$3)&lt;1,0,IFERROR(LOOKUP(2,1/('Milho 2ª safra'!$E51:INDEX('Milho 2ª safra'!$E51:$Z51,MIN(F$6-$E$3,22))&lt;&gt;""),'Milho 2ª safra'!$E51:INDEX('Milho 2ª safra'!$E51:$Z51,MIN(F$6-$E$3,22))),0))-IF($G$2,0,IF((F$6-$G$3)&lt;1,0,IFERROR(LOOKUP(2,1/('Milho 2ª safra'!$E51:INDEX('Milho 2ª safra'!$E51:$Z51,MIN(F$6-$G$3,22))&lt;&gt;""),'Milho 2ª safra'!$E51:INDEX('Milho 2ª safra'!$E51:$Z51,MIN(F$6-$G$3,22))),0)))))</f>
        <v>0</v>
      </c>
      <c r="G53" s="27" t="n">
        <f aca="false">IF(COUNT('Milho 2ª safra'!$E51:$Z51)=0,0,MAX(0,IF((G$6-$E$3)&lt;1,0,IFERROR(LOOKUP(2,1/('Milho 2ª safra'!$E51:INDEX('Milho 2ª safra'!$E51:$Z51,MIN(G$6-$E$3,22))&lt;&gt;""),'Milho 2ª safra'!$E51:INDEX('Milho 2ª safra'!$E51:$Z51,MIN(G$6-$E$3,22))),0))-IF($G$2,0,IF((G$6-$G$3)&lt;1,0,IFERROR(LOOKUP(2,1/('Milho 2ª safra'!$E51:INDEX('Milho 2ª safra'!$E51:$Z51,MIN(G$6-$G$3,22))&lt;&gt;""),'Milho 2ª safra'!$E51:INDEX('Milho 2ª safra'!$E51:$Z51,MIN(G$6-$G$3,22))),0)))))</f>
        <v>0</v>
      </c>
      <c r="H53" s="27" t="n">
        <f aca="false">IF(COUNT('Milho 2ª safra'!$E51:$Z51)=0,0,MAX(0,IF((H$6-$E$3)&lt;1,0,IFERROR(LOOKUP(2,1/('Milho 2ª safra'!$E51:INDEX('Milho 2ª safra'!$E51:$Z51,MIN(H$6-$E$3,22))&lt;&gt;""),'Milho 2ª safra'!$E51:INDEX('Milho 2ª safra'!$E51:$Z51,MIN(H$6-$E$3,22))),0))-IF($G$2,0,IF((H$6-$G$3)&lt;1,0,IFERROR(LOOKUP(2,1/('Milho 2ª safra'!$E51:INDEX('Milho 2ª safra'!$E51:$Z51,MIN(H$6-$G$3,22))&lt;&gt;""),'Milho 2ª safra'!$E51:INDEX('Milho 2ª safra'!$E51:$Z51,MIN(H$6-$G$3,22))),0)))))</f>
        <v>0</v>
      </c>
      <c r="I53" s="27" t="n">
        <f aca="false">IF(COUNT('Milho 2ª safra'!$E51:$Z51)=0,0,MAX(0,IF((I$6-$E$3)&lt;1,0,IFERROR(LOOKUP(2,1/('Milho 2ª safra'!$E51:INDEX('Milho 2ª safra'!$E51:$Z51,MIN(I$6-$E$3,22))&lt;&gt;""),'Milho 2ª safra'!$E51:INDEX('Milho 2ª safra'!$E51:$Z51,MIN(I$6-$E$3,22))),0))-IF($G$2,0,IF((I$6-$G$3)&lt;1,0,IFERROR(LOOKUP(2,1/('Milho 2ª safra'!$E51:INDEX('Milho 2ª safra'!$E51:$Z51,MIN(I$6-$G$3,22))&lt;&gt;""),'Milho 2ª safra'!$E51:INDEX('Milho 2ª safra'!$E51:$Z51,MIN(I$6-$G$3,22))),0)))))</f>
        <v>0</v>
      </c>
      <c r="J53" s="27" t="n">
        <f aca="false">IF(COUNT('Milho 2ª safra'!$E51:$Z51)=0,0,MAX(0,IF((J$6-$E$3)&lt;1,0,IFERROR(LOOKUP(2,1/('Milho 2ª safra'!$E51:INDEX('Milho 2ª safra'!$E51:$Z51,MIN(J$6-$E$3,22))&lt;&gt;""),'Milho 2ª safra'!$E51:INDEX('Milho 2ª safra'!$E51:$Z51,MIN(J$6-$E$3,22))),0))-IF($G$2,0,IF((J$6-$G$3)&lt;1,0,IFERROR(LOOKUP(2,1/('Milho 2ª safra'!$E51:INDEX('Milho 2ª safra'!$E51:$Z51,MIN(J$6-$G$3,22))&lt;&gt;""),'Milho 2ª safra'!$E51:INDEX('Milho 2ª safra'!$E51:$Z51,MIN(J$6-$G$3,22))),0)))))</f>
        <v>0</v>
      </c>
      <c r="K53" s="27" t="n">
        <f aca="false">IF(COUNT('Milho 2ª safra'!$E51:$Z51)=0,0,MAX(0,IF((K$6-$E$3)&lt;1,0,IFERROR(LOOKUP(2,1/('Milho 2ª safra'!$E51:INDEX('Milho 2ª safra'!$E51:$Z51,MIN(K$6-$E$3,22))&lt;&gt;""),'Milho 2ª safra'!$E51:INDEX('Milho 2ª safra'!$E51:$Z51,MIN(K$6-$E$3,22))),0))-IF($G$2,0,IF((K$6-$G$3)&lt;1,0,IFERROR(LOOKUP(2,1/('Milho 2ª safra'!$E51:INDEX('Milho 2ª safra'!$E51:$Z51,MIN(K$6-$G$3,22))&lt;&gt;""),'Milho 2ª safra'!$E51:INDEX('Milho 2ª safra'!$E51:$Z51,MIN(K$6-$G$3,22))),0)))))</f>
        <v>0</v>
      </c>
      <c r="L53" s="27" t="n">
        <f aca="false">IF(COUNT('Milho 2ª safra'!$E51:$Z51)=0,0,MAX(0,IF((L$6-$E$3)&lt;1,0,IFERROR(LOOKUP(2,1/('Milho 2ª safra'!$E51:INDEX('Milho 2ª safra'!$E51:$Z51,MIN(L$6-$E$3,22))&lt;&gt;""),'Milho 2ª safra'!$E51:INDEX('Milho 2ª safra'!$E51:$Z51,MIN(L$6-$E$3,22))),0))-IF($G$2,0,IF((L$6-$G$3)&lt;1,0,IFERROR(LOOKUP(2,1/('Milho 2ª safra'!$E51:INDEX('Milho 2ª safra'!$E51:$Z51,MIN(L$6-$G$3,22))&lt;&gt;""),'Milho 2ª safra'!$E51:INDEX('Milho 2ª safra'!$E51:$Z51,MIN(L$6-$G$3,22))),0)))))</f>
        <v>0</v>
      </c>
      <c r="M53" s="27" t="n">
        <f aca="false">IF(COUNT('Milho 2ª safra'!$E51:$Z51)=0,0,MAX(0,IF((M$6-$E$3)&lt;1,0,IFERROR(LOOKUP(2,1/('Milho 2ª safra'!$E51:INDEX('Milho 2ª safra'!$E51:$Z51,MIN(M$6-$E$3,22))&lt;&gt;""),'Milho 2ª safra'!$E51:INDEX('Milho 2ª safra'!$E51:$Z51,MIN(M$6-$E$3,22))),0))-IF($G$2,0,IF((M$6-$G$3)&lt;1,0,IFERROR(LOOKUP(2,1/('Milho 2ª safra'!$E51:INDEX('Milho 2ª safra'!$E51:$Z51,MIN(M$6-$G$3,22))&lt;&gt;""),'Milho 2ª safra'!$E51:INDEX('Milho 2ª safra'!$E51:$Z51,MIN(M$6-$G$3,22))),0)))))</f>
        <v>0</v>
      </c>
      <c r="N53" s="27" t="n">
        <f aca="false">IF(COUNT('Milho 2ª safra'!$E51:$Z51)=0,0,MAX(0,IF((N$6-$E$3)&lt;1,0,IFERROR(LOOKUP(2,1/('Milho 2ª safra'!$E51:INDEX('Milho 2ª safra'!$E51:$Z51,MIN(N$6-$E$3,22))&lt;&gt;""),'Milho 2ª safra'!$E51:INDEX('Milho 2ª safra'!$E51:$Z51,MIN(N$6-$E$3,22))),0))-IF($G$2,0,IF((N$6-$G$3)&lt;1,0,IFERROR(LOOKUP(2,1/('Milho 2ª safra'!$E51:INDEX('Milho 2ª safra'!$E51:$Z51,MIN(N$6-$G$3,22))&lt;&gt;""),'Milho 2ª safra'!$E51:INDEX('Milho 2ª safra'!$E51:$Z51,MIN(N$6-$G$3,22))),0)))))</f>
        <v>0</v>
      </c>
      <c r="O53" s="27" t="n">
        <f aca="false">IF(COUNT('Milho 2ª safra'!$E51:$Z51)=0,0,MAX(0,IF((O$6-$E$3)&lt;1,0,IFERROR(LOOKUP(2,1/('Milho 2ª safra'!$E51:INDEX('Milho 2ª safra'!$E51:$Z51,MIN(O$6-$E$3,22))&lt;&gt;""),'Milho 2ª safra'!$E51:INDEX('Milho 2ª safra'!$E51:$Z51,MIN(O$6-$E$3,22))),0))-IF($G$2,0,IF((O$6-$G$3)&lt;1,0,IFERROR(LOOKUP(2,1/('Milho 2ª safra'!$E51:INDEX('Milho 2ª safra'!$E51:$Z51,MIN(O$6-$G$3,22))&lt;&gt;""),'Milho 2ª safra'!$E51:INDEX('Milho 2ª safra'!$E51:$Z51,MIN(O$6-$G$3,22))),0)))))</f>
        <v>0</v>
      </c>
      <c r="P53" s="27" t="n">
        <f aca="false">IF(COUNT('Milho 2ª safra'!$E51:$Z51)=0,0,MAX(0,IF((P$6-$E$3)&lt;1,0,IFERROR(LOOKUP(2,1/('Milho 2ª safra'!$E51:INDEX('Milho 2ª safra'!$E51:$Z51,MIN(P$6-$E$3,22))&lt;&gt;""),'Milho 2ª safra'!$E51:INDEX('Milho 2ª safra'!$E51:$Z51,MIN(P$6-$E$3,22))),0))-IF($G$2,0,IF((P$6-$G$3)&lt;1,0,IFERROR(LOOKUP(2,1/('Milho 2ª safra'!$E51:INDEX('Milho 2ª safra'!$E51:$Z51,MIN(P$6-$G$3,22))&lt;&gt;""),'Milho 2ª safra'!$E51:INDEX('Milho 2ª safra'!$E51:$Z51,MIN(P$6-$G$3,22))),0)))))</f>
        <v>0</v>
      </c>
      <c r="Q53" s="27" t="n">
        <f aca="false">IF(COUNT('Milho 2ª safra'!$E51:$Z51)=0,0,MAX(0,IF((Q$6-$E$3)&lt;1,0,IFERROR(LOOKUP(2,1/('Milho 2ª safra'!$E51:INDEX('Milho 2ª safra'!$E51:$Z51,MIN(Q$6-$E$3,22))&lt;&gt;""),'Milho 2ª safra'!$E51:INDEX('Milho 2ª safra'!$E51:$Z51,MIN(Q$6-$E$3,22))),0))-IF($G$2,0,IF((Q$6-$G$3)&lt;1,0,IFERROR(LOOKUP(2,1/('Milho 2ª safra'!$E51:INDEX('Milho 2ª safra'!$E51:$Z51,MIN(Q$6-$G$3,22))&lt;&gt;""),'Milho 2ª safra'!$E51:INDEX('Milho 2ª safra'!$E51:$Z51,MIN(Q$6-$G$3,22))),0)))))</f>
        <v>0</v>
      </c>
      <c r="R53" s="27" t="n">
        <f aca="false">IF(COUNT('Milho 2ª safra'!$E51:$Z51)=0,0,MAX(0,IF((R$6-$E$3)&lt;1,0,IFERROR(LOOKUP(2,1/('Milho 2ª safra'!$E51:INDEX('Milho 2ª safra'!$E51:$Z51,MIN(R$6-$E$3,22))&lt;&gt;""),'Milho 2ª safra'!$E51:INDEX('Milho 2ª safra'!$E51:$Z51,MIN(R$6-$E$3,22))),0))-IF($G$2,0,IF((R$6-$G$3)&lt;1,0,IFERROR(LOOKUP(2,1/('Milho 2ª safra'!$E51:INDEX('Milho 2ª safra'!$E51:$Z51,MIN(R$6-$G$3,22))&lt;&gt;""),'Milho 2ª safra'!$E51:INDEX('Milho 2ª safra'!$E51:$Z51,MIN(R$6-$G$3,22))),0)))))</f>
        <v>0</v>
      </c>
      <c r="S53" s="27" t="n">
        <f aca="false">IF(COUNT('Milho 2ª safra'!$E51:$Z51)=0,0,MAX(0,IF((S$6-$E$3)&lt;1,0,IFERROR(LOOKUP(2,1/('Milho 2ª safra'!$E51:INDEX('Milho 2ª safra'!$E51:$Z51,MIN(S$6-$E$3,22))&lt;&gt;""),'Milho 2ª safra'!$E51:INDEX('Milho 2ª safra'!$E51:$Z51,MIN(S$6-$E$3,22))),0))-IF($G$2,0,IF((S$6-$G$3)&lt;1,0,IFERROR(LOOKUP(2,1/('Milho 2ª safra'!$E51:INDEX('Milho 2ª safra'!$E51:$Z51,MIN(S$6-$G$3,22))&lt;&gt;""),'Milho 2ª safra'!$E51:INDEX('Milho 2ª safra'!$E51:$Z51,MIN(S$6-$G$3,22))),0)))))</f>
        <v>0</v>
      </c>
      <c r="T53" s="27" t="n">
        <f aca="false">IF(COUNT('Milho 2ª safra'!$E51:$Z51)=0,0,MAX(0,IF((T$6-$E$3)&lt;1,0,IFERROR(LOOKUP(2,1/('Milho 2ª safra'!$E51:INDEX('Milho 2ª safra'!$E51:$Z51,MIN(T$6-$E$3,22))&lt;&gt;""),'Milho 2ª safra'!$E51:INDEX('Milho 2ª safra'!$E51:$Z51,MIN(T$6-$E$3,22))),0))-IF($G$2,0,IF((T$6-$G$3)&lt;1,0,IFERROR(LOOKUP(2,1/('Milho 2ª safra'!$E51:INDEX('Milho 2ª safra'!$E51:$Z51,MIN(T$6-$G$3,22))&lt;&gt;""),'Milho 2ª safra'!$E51:INDEX('Milho 2ª safra'!$E51:$Z51,MIN(T$6-$G$3,22))),0)))))</f>
        <v>0</v>
      </c>
      <c r="U53" s="27" t="n">
        <f aca="false">IF(COUNT('Milho 2ª safra'!$E51:$Z51)=0,0,MAX(0,IF((U$6-$E$3)&lt;1,0,IFERROR(LOOKUP(2,1/('Milho 2ª safra'!$E51:INDEX('Milho 2ª safra'!$E51:$Z51,MIN(U$6-$E$3,22))&lt;&gt;""),'Milho 2ª safra'!$E51:INDEX('Milho 2ª safra'!$E51:$Z51,MIN(U$6-$E$3,22))),0))-IF($G$2,0,IF((U$6-$G$3)&lt;1,0,IFERROR(LOOKUP(2,1/('Milho 2ª safra'!$E51:INDEX('Milho 2ª safra'!$E51:$Z51,MIN(U$6-$G$3,22))&lt;&gt;""),'Milho 2ª safra'!$E51:INDEX('Milho 2ª safra'!$E51:$Z51,MIN(U$6-$G$3,22))),0)))))</f>
        <v>0</v>
      </c>
      <c r="V53" s="27" t="n">
        <f aca="false">IF(COUNT('Milho 2ª safra'!$E51:$Z51)=0,0,MAX(0,IF((V$6-$E$3)&lt;1,0,IFERROR(LOOKUP(2,1/('Milho 2ª safra'!$E51:INDEX('Milho 2ª safra'!$E51:$Z51,MIN(V$6-$E$3,22))&lt;&gt;""),'Milho 2ª safra'!$E51:INDEX('Milho 2ª safra'!$E51:$Z51,MIN(V$6-$E$3,22))),0))-IF($G$2,0,IF((V$6-$G$3)&lt;1,0,IFERROR(LOOKUP(2,1/('Milho 2ª safra'!$E51:INDEX('Milho 2ª safra'!$E51:$Z51,MIN(V$6-$G$3,22))&lt;&gt;""),'Milho 2ª safra'!$E51:INDEX('Milho 2ª safra'!$E51:$Z51,MIN(V$6-$G$3,22))),0)))))</f>
        <v>0</v>
      </c>
      <c r="W53" s="27" t="n">
        <f aca="false">IF(COUNT('Milho 2ª safra'!$E51:$Z51)=0,0,MAX(0,IF((W$6-$E$3)&lt;1,0,IFERROR(LOOKUP(2,1/('Milho 2ª safra'!$E51:INDEX('Milho 2ª safra'!$E51:$Z51,MIN(W$6-$E$3,22))&lt;&gt;""),'Milho 2ª safra'!$E51:INDEX('Milho 2ª safra'!$E51:$Z51,MIN(W$6-$E$3,22))),0))-IF($G$2,0,IF((W$6-$G$3)&lt;1,0,IFERROR(LOOKUP(2,1/('Milho 2ª safra'!$E51:INDEX('Milho 2ª safra'!$E51:$Z51,MIN(W$6-$G$3,22))&lt;&gt;""),'Milho 2ª safra'!$E51:INDEX('Milho 2ª safra'!$E51:$Z51,MIN(W$6-$G$3,22))),0)))))</f>
        <v>0</v>
      </c>
      <c r="X53" s="27" t="n">
        <f aca="false">IF(COUNT('Milho 2ª safra'!$E51:$Z51)=0,0,MAX(0,IF((X$6-$E$3)&lt;1,0,IFERROR(LOOKUP(2,1/('Milho 2ª safra'!$E51:INDEX('Milho 2ª safra'!$E51:$Z51,MIN(X$6-$E$3,22))&lt;&gt;""),'Milho 2ª safra'!$E51:INDEX('Milho 2ª safra'!$E51:$Z51,MIN(X$6-$E$3,22))),0))-IF($G$2,0,IF((X$6-$G$3)&lt;1,0,IFERROR(LOOKUP(2,1/('Milho 2ª safra'!$E51:INDEX('Milho 2ª safra'!$E51:$Z51,MIN(X$6-$G$3,22))&lt;&gt;""),'Milho 2ª safra'!$E51:INDEX('Milho 2ª safra'!$E51:$Z51,MIN(X$6-$G$3,22))),0)))))</f>
        <v>0</v>
      </c>
      <c r="Y53" s="27" t="n">
        <f aca="false">IF(COUNT('Milho 2ª safra'!$E51:$Z51)=0,0,MAX(0,IF((Y$6-$E$3)&lt;1,0,IFERROR(LOOKUP(2,1/('Milho 2ª safra'!$E51:INDEX('Milho 2ª safra'!$E51:$Z51,MIN(Y$6-$E$3,22))&lt;&gt;""),'Milho 2ª safra'!$E51:INDEX('Milho 2ª safra'!$E51:$Z51,MIN(Y$6-$E$3,22))),0))-IF($G$2,0,IF((Y$6-$G$3)&lt;1,0,IFERROR(LOOKUP(2,1/('Milho 2ª safra'!$E51:INDEX('Milho 2ª safra'!$E51:$Z51,MIN(Y$6-$G$3,22))&lt;&gt;""),'Milho 2ª safra'!$E51:INDEX('Milho 2ª safra'!$E51:$Z51,MIN(Y$6-$G$3,22))),0)))))</f>
        <v>0</v>
      </c>
      <c r="Z53" s="27" t="n">
        <f aca="false">IF(COUNT('Milho 2ª safra'!$E51:$Z51)=0,0,MAX(0,IF((Z$6-$E$3)&lt;1,0,IFERROR(LOOKUP(2,1/('Milho 2ª safra'!$E51:INDEX('Milho 2ª safra'!$E51:$Z51,MIN(Z$6-$E$3,22))&lt;&gt;""),'Milho 2ª safra'!$E51:INDEX('Milho 2ª safra'!$E51:$Z51,MIN(Z$6-$E$3,22))),0))-IF($G$2,0,IF((Z$6-$G$3)&lt;1,0,IFERROR(LOOKUP(2,1/('Milho 2ª safra'!$E51:INDEX('Milho 2ª safra'!$E51:$Z51,MIN(Z$6-$G$3,22))&lt;&gt;""),'Milho 2ª safra'!$E51:INDEX('Milho 2ª safra'!$E51:$Z51,MIN(Z$6-$G$3,22))),0)))))</f>
        <v>0</v>
      </c>
      <c r="AA53" s="27" t="n">
        <f aca="false">IF(COUNT('Milho 2ª safra'!$E51:$Z51)=0,0,MAX(0,IF((AA$6-$E$3)&lt;1,0,IFERROR(LOOKUP(2,1/('Milho 2ª safra'!$E51:INDEX('Milho 2ª safra'!$E51:$Z51,MIN(AA$6-$E$3,22))&lt;&gt;""),'Milho 2ª safra'!$E51:INDEX('Milho 2ª safra'!$E51:$Z51,MIN(AA$6-$E$3,22))),0))-IF($G$2,0,IF((AA$6-$G$3)&lt;1,0,IFERROR(LOOKUP(2,1/('Milho 2ª safra'!$E51:INDEX('Milho 2ª safra'!$E51:$Z51,MIN(AA$6-$G$3,22))&lt;&gt;""),'Milho 2ª safra'!$E51:INDEX('Milho 2ª safra'!$E51:$Z51,MIN(AA$6-$G$3,22))),0)))))</f>
        <v>0</v>
      </c>
      <c r="AB53" s="27" t="n">
        <f aca="false">IF(COUNT('Milho 2ª safra'!$E51:$Z51)=0,0,MAX(0,IF((AB$6-$E$3)&lt;1,0,IFERROR(LOOKUP(2,1/('Milho 2ª safra'!$E51:INDEX('Milho 2ª safra'!$E51:$Z51,MIN(AB$6-$E$3,22))&lt;&gt;""),'Milho 2ª safra'!$E51:INDEX('Milho 2ª safra'!$E51:$Z51,MIN(AB$6-$E$3,22))),0))-IF($G$2,0,IF((AB$6-$G$3)&lt;1,0,IFERROR(LOOKUP(2,1/('Milho 2ª safra'!$E51:INDEX('Milho 2ª safra'!$E51:$Z51,MIN(AB$6-$G$3,22))&lt;&gt;""),'Milho 2ª safra'!$E51:INDEX('Milho 2ª safra'!$E51:$Z51,MIN(AB$6-$G$3,22))),0)))))</f>
        <v>0</v>
      </c>
      <c r="AC53" s="27" t="n">
        <f aca="false">IF(COUNT('Milho 2ª safra'!$E51:$Z51)=0,0,MAX(0,IF((AC$6-$E$3)&lt;1,0,IFERROR(LOOKUP(2,1/('Milho 2ª safra'!$E51:INDEX('Milho 2ª safra'!$E51:$Z51,MIN(AC$6-$E$3,22))&lt;&gt;""),'Milho 2ª safra'!$E51:INDEX('Milho 2ª safra'!$E51:$Z51,MIN(AC$6-$E$3,22))),0))-IF($G$2,0,IF((AC$6-$G$3)&lt;1,0,IFERROR(LOOKUP(2,1/('Milho 2ª safra'!$E51:INDEX('Milho 2ª safra'!$E51:$Z51,MIN(AC$6-$G$3,22))&lt;&gt;""),'Milho 2ª safra'!$E51:INDEX('Milho 2ª safra'!$E51:$Z51,MIN(AC$6-$G$3,22))),0)))))</f>
        <v>0</v>
      </c>
      <c r="AD53" s="27" t="n">
        <f aca="false">IF(COUNT('Milho 2ª safra'!$E51:$Z51)=0,0,MAX(0,IF((AD$6-$E$3)&lt;1,0,IFERROR(LOOKUP(2,1/('Milho 2ª safra'!$E51:INDEX('Milho 2ª safra'!$E51:$Z51,MIN(AD$6-$E$3,22))&lt;&gt;""),'Milho 2ª safra'!$E51:INDEX('Milho 2ª safra'!$E51:$Z51,MIN(AD$6-$E$3,22))),0))-IF($G$2,0,IF((AD$6-$G$3)&lt;1,0,IFERROR(LOOKUP(2,1/('Milho 2ª safra'!$E51:INDEX('Milho 2ª safra'!$E51:$Z51,MIN(AD$6-$G$3,22))&lt;&gt;""),'Milho 2ª safra'!$E51:INDEX('Milho 2ª safra'!$E51:$Z51,MIN(AD$6-$G$3,22))),0)))))</f>
        <v>0</v>
      </c>
      <c r="AE53" s="27" t="n">
        <f aca="false">IF(COUNT('Milho 2ª safra'!$E51:$Z51)=0,0,MAX(0,IF((AE$6-$E$3)&lt;1,0,IFERROR(LOOKUP(2,1/('Milho 2ª safra'!$E51:INDEX('Milho 2ª safra'!$E51:$Z51,MIN(AE$6-$E$3,22))&lt;&gt;""),'Milho 2ª safra'!$E51:INDEX('Milho 2ª safra'!$E51:$Z51,MIN(AE$6-$E$3,22))),0))-IF($G$2,0,IF((AE$6-$G$3)&lt;1,0,IFERROR(LOOKUP(2,1/('Milho 2ª safra'!$E51:INDEX('Milho 2ª safra'!$E51:$Z51,MIN(AE$6-$G$3,22))&lt;&gt;""),'Milho 2ª safra'!$E51:INDEX('Milho 2ª safra'!$E51:$Z51,MIN(AE$6-$G$3,22))),0)))))</f>
        <v>0</v>
      </c>
      <c r="AF53" s="27" t="n">
        <f aca="false">IF(COUNT('Milho 2ª safra'!$E51:$Z51)=0,0,MAX(0,IF((AF$6-$E$3)&lt;1,0,IFERROR(LOOKUP(2,1/('Milho 2ª safra'!$E51:INDEX('Milho 2ª safra'!$E51:$Z51,MIN(AF$6-$E$3,22))&lt;&gt;""),'Milho 2ª safra'!$E51:INDEX('Milho 2ª safra'!$E51:$Z51,MIN(AF$6-$E$3,22))),0))-IF($G$2,0,IF((AF$6-$G$3)&lt;1,0,IFERROR(LOOKUP(2,1/('Milho 2ª safra'!$E51:INDEX('Milho 2ª safra'!$E51:$Z51,MIN(AF$6-$G$3,22))&lt;&gt;""),'Milho 2ª safra'!$E51:INDEX('Milho 2ª safra'!$E51:$Z51,MIN(AF$6-$G$3,22))),0)))))</f>
        <v>0</v>
      </c>
      <c r="AG53" s="27" t="n">
        <f aca="false">IF(COUNT('Milho 2ª safra'!$E51:$Z51)=0,0,MAX(0,IF((AG$6-$E$3)&lt;1,0,IFERROR(LOOKUP(2,1/('Milho 2ª safra'!$E51:INDEX('Milho 2ª safra'!$E51:$Z51,MIN(AG$6-$E$3,22))&lt;&gt;""),'Milho 2ª safra'!$E51:INDEX('Milho 2ª safra'!$E51:$Z51,MIN(AG$6-$E$3,22))),0))-IF($G$2,0,IF((AG$6-$G$3)&lt;1,0,IFERROR(LOOKUP(2,1/('Milho 2ª safra'!$E51:INDEX('Milho 2ª safra'!$E51:$Z51,MIN(AG$6-$G$3,22))&lt;&gt;""),'Milho 2ª safra'!$E51:INDEX('Milho 2ª safra'!$E51:$Z51,MIN(AG$6-$G$3,22))),0)))))</f>
        <v>0</v>
      </c>
      <c r="AH53" s="27" t="n">
        <f aca="false">IF(COUNT('Milho 2ª safra'!$E51:$Z51)=0,0,MAX(0,IF((AH$6-$E$3)&lt;1,0,IFERROR(LOOKUP(2,1/('Milho 2ª safra'!$E51:INDEX('Milho 2ª safra'!$E51:$Z51,MIN(AH$6-$E$3,22))&lt;&gt;""),'Milho 2ª safra'!$E51:INDEX('Milho 2ª safra'!$E51:$Z51,MIN(AH$6-$E$3,22))),0))-IF($G$2,0,IF((AH$6-$G$3)&lt;1,0,IFERROR(LOOKUP(2,1/('Milho 2ª safra'!$E51:INDEX('Milho 2ª safra'!$E51:$Z51,MIN(AH$6-$G$3,22))&lt;&gt;""),'Milho 2ª safra'!$E51:INDEX('Milho 2ª safra'!$E51:$Z51,MIN(AH$6-$G$3,22))),0)))))</f>
        <v>0</v>
      </c>
      <c r="AI53" s="27" t="n">
        <f aca="false">IF(COUNT('Milho 2ª safra'!$E51:$Z51)=0,0,MAX(0,IF((AI$6-$E$3)&lt;1,0,IFERROR(LOOKUP(2,1/('Milho 2ª safra'!$E51:INDEX('Milho 2ª safra'!$E51:$Z51,MIN(AI$6-$E$3,22))&lt;&gt;""),'Milho 2ª safra'!$E51:INDEX('Milho 2ª safra'!$E51:$Z51,MIN(AI$6-$E$3,22))),0))-IF($G$2,0,IF((AI$6-$G$3)&lt;1,0,IFERROR(LOOKUP(2,1/('Milho 2ª safra'!$E51:INDEX('Milho 2ª safra'!$E51:$Z51,MIN(AI$6-$G$3,22))&lt;&gt;""),'Milho 2ª safra'!$E51:INDEX('Milho 2ª safra'!$E51:$Z51,MIN(AI$6-$G$3,22))),0)))))</f>
        <v>0</v>
      </c>
      <c r="AJ53" s="27" t="n">
        <f aca="false">IF(COUNT('Milho 2ª safra'!$E51:$Z51)=0,0,MAX(0,IF((AJ$6-$E$3)&lt;1,0,IFERROR(LOOKUP(2,1/('Milho 2ª safra'!$E51:INDEX('Milho 2ª safra'!$E51:$Z51,MIN(AJ$6-$E$3,22))&lt;&gt;""),'Milho 2ª safra'!$E51:INDEX('Milho 2ª safra'!$E51:$Z51,MIN(AJ$6-$E$3,22))),0))-IF($G$2,0,IF((AJ$6-$G$3)&lt;1,0,IFERROR(LOOKUP(2,1/('Milho 2ª safra'!$E51:INDEX('Milho 2ª safra'!$E51:$Z51,MIN(AJ$6-$G$3,22))&lt;&gt;""),'Milho 2ª safra'!$E51:INDEX('Milho 2ª safra'!$E51:$Z51,MIN(AJ$6-$G$3,22))),0)))))</f>
        <v>0</v>
      </c>
      <c r="AK53" s="27" t="n">
        <f aca="false">IF(COUNT('Milho 2ª safra'!$E51:$Z51)=0,0,MAX(0,IF((AK$6-$E$3)&lt;1,0,IFERROR(LOOKUP(2,1/('Milho 2ª safra'!$E51:INDEX('Milho 2ª safra'!$E51:$Z51,MIN(AK$6-$E$3,22))&lt;&gt;""),'Milho 2ª safra'!$E51:INDEX('Milho 2ª safra'!$E51:$Z51,MIN(AK$6-$E$3,22))),0))-IF($G$2,0,IF((AK$6-$G$3)&lt;1,0,IFERROR(LOOKUP(2,1/('Milho 2ª safra'!$E51:INDEX('Milho 2ª safra'!$E51:$Z51,MIN(AK$6-$G$3,22))&lt;&gt;""),'Milho 2ª safra'!$E51:INDEX('Milho 2ª safra'!$E51:$Z51,MIN(AK$6-$G$3,22))),0)))))</f>
        <v>0</v>
      </c>
      <c r="AL53" s="27" t="n">
        <f aca="false">IF(COUNT('Milho 2ª safra'!$E51:$Z51)=0,0,MAX(0,IF((AL$6-$E$3)&lt;1,0,IFERROR(LOOKUP(2,1/('Milho 2ª safra'!$E51:INDEX('Milho 2ª safra'!$E51:$Z51,MIN(AL$6-$E$3,22))&lt;&gt;""),'Milho 2ª safra'!$E51:INDEX('Milho 2ª safra'!$E51:$Z51,MIN(AL$6-$E$3,22))),0))-IF($G$2,0,IF((AL$6-$G$3)&lt;1,0,IFERROR(LOOKUP(2,1/('Milho 2ª safra'!$E51:INDEX('Milho 2ª safra'!$E51:$Z51,MIN(AL$6-$G$3,22))&lt;&gt;""),'Milho 2ª safra'!$E51:INDEX('Milho 2ª safra'!$E51:$Z51,MIN(AL$6-$G$3,22))),0)))))</f>
        <v>0</v>
      </c>
      <c r="AM53" s="27" t="n">
        <f aca="false">IF(COUNT('Milho 2ª safra'!$E51:$Z51)=0,0,MAX(0,IF((AM$6-$E$3)&lt;1,0,IFERROR(LOOKUP(2,1/('Milho 2ª safra'!$E51:INDEX('Milho 2ª safra'!$E51:$Z51,MIN(AM$6-$E$3,22))&lt;&gt;""),'Milho 2ª safra'!$E51:INDEX('Milho 2ª safra'!$E51:$Z51,MIN(AM$6-$E$3,22))),0))-IF($G$2,0,IF((AM$6-$G$3)&lt;1,0,IFERROR(LOOKUP(2,1/('Milho 2ª safra'!$E51:INDEX('Milho 2ª safra'!$E51:$Z51,MIN(AM$6-$G$3,22))&lt;&gt;""),'Milho 2ª safra'!$E51:INDEX('Milho 2ª safra'!$E51:$Z51,MIN(AM$6-$G$3,22))),0)))))</f>
        <v>0</v>
      </c>
      <c r="AN53" s="27" t="n">
        <f aca="false">IF(COUNT('Milho 2ª safra'!$E51:$Z51)=0,0,MAX(0,IF((AN$6-$E$3)&lt;1,0,IFERROR(LOOKUP(2,1/('Milho 2ª safra'!$E51:INDEX('Milho 2ª safra'!$E51:$Z51,MIN(AN$6-$E$3,22))&lt;&gt;""),'Milho 2ª safra'!$E51:INDEX('Milho 2ª safra'!$E51:$Z51,MIN(AN$6-$E$3,22))),0))-IF($G$2,0,IF((AN$6-$G$3)&lt;1,0,IFERROR(LOOKUP(2,1/('Milho 2ª safra'!$E51:INDEX('Milho 2ª safra'!$E51:$Z51,MIN(AN$6-$G$3,22))&lt;&gt;""),'Milho 2ª safra'!$E51:INDEX('Milho 2ª safra'!$E51:$Z51,MIN(AN$6-$G$3,22))),0)))))</f>
        <v>0</v>
      </c>
      <c r="AO53" s="27" t="n">
        <f aca="false">IF(COUNT('Milho 2ª safra'!$E51:$Z51)=0,0,MAX(0,IF((AO$6-$E$3)&lt;1,0,IFERROR(LOOKUP(2,1/('Milho 2ª safra'!$E51:INDEX('Milho 2ª safra'!$E51:$Z51,MIN(AO$6-$E$3,22))&lt;&gt;""),'Milho 2ª safra'!$E51:INDEX('Milho 2ª safra'!$E51:$Z51,MIN(AO$6-$E$3,22))),0))-IF($G$2,0,IF((AO$6-$G$3)&lt;1,0,IFERROR(LOOKUP(2,1/('Milho 2ª safra'!$E51:INDEX('Milho 2ª safra'!$E51:$Z51,MIN(AO$6-$G$3,22))&lt;&gt;""),'Milho 2ª safra'!$E51:INDEX('Milho 2ª safra'!$E51:$Z51,MIN(AO$6-$G$3,22))),0)))))</f>
        <v>0</v>
      </c>
      <c r="AP53" s="27" t="n">
        <f aca="false">IF(COUNT('Milho 2ª safra'!$E51:$Z51)=0,0,MAX(0,IF((AP$6-$E$3)&lt;1,0,IFERROR(LOOKUP(2,1/('Milho 2ª safra'!$E51:INDEX('Milho 2ª safra'!$E51:$Z51,MIN(AP$6-$E$3,22))&lt;&gt;""),'Milho 2ª safra'!$E51:INDEX('Milho 2ª safra'!$E51:$Z51,MIN(AP$6-$E$3,22))),0))-IF($G$2,0,IF((AP$6-$G$3)&lt;1,0,IFERROR(LOOKUP(2,1/('Milho 2ª safra'!$E51:INDEX('Milho 2ª safra'!$E51:$Z51,MIN(AP$6-$G$3,22))&lt;&gt;""),'Milho 2ª safra'!$E51:INDEX('Milho 2ª safra'!$E51:$Z51,MIN(AP$6-$G$3,22))),0)))))</f>
        <v>0</v>
      </c>
      <c r="AQ53" s="27" t="n">
        <f aca="false">IF(COUNT('Milho 2ª safra'!$E51:$Z51)=0,0,MAX(0,IF((AQ$6-$E$3)&lt;1,0,IFERROR(LOOKUP(2,1/('Milho 2ª safra'!$E51:INDEX('Milho 2ª safra'!$E51:$Z51,MIN(AQ$6-$E$3,22))&lt;&gt;""),'Milho 2ª safra'!$E51:INDEX('Milho 2ª safra'!$E51:$Z51,MIN(AQ$6-$E$3,22))),0))-IF($G$2,0,IF((AQ$6-$G$3)&lt;1,0,IFERROR(LOOKUP(2,1/('Milho 2ª safra'!$E51:INDEX('Milho 2ª safra'!$E51:$Z51,MIN(AQ$6-$G$3,22))&lt;&gt;""),'Milho 2ª safra'!$E51:INDEX('Milho 2ª safra'!$E51:$Z51,MIN(AQ$6-$G$3,22))),0)))))</f>
        <v>0</v>
      </c>
      <c r="AR53" s="27" t="n">
        <f aca="false">IF(COUNT('Milho 2ª safra'!$E51:$Z51)=0,0,MAX(0,IF((AR$6-$E$3)&lt;1,0,IFERROR(LOOKUP(2,1/('Milho 2ª safra'!$E51:INDEX('Milho 2ª safra'!$E51:$Z51,MIN(AR$6-$E$3,22))&lt;&gt;""),'Milho 2ª safra'!$E51:INDEX('Milho 2ª safra'!$E51:$Z51,MIN(AR$6-$E$3,22))),0))-IF($G$2,0,IF((AR$6-$G$3)&lt;1,0,IFERROR(LOOKUP(2,1/('Milho 2ª safra'!$E51:INDEX('Milho 2ª safra'!$E51:$Z51,MIN(AR$6-$G$3,22))&lt;&gt;""),'Milho 2ª safra'!$E51:INDEX('Milho 2ª safra'!$E51:$Z51,MIN(AR$6-$G$3,22))),0)))))</f>
        <v>0</v>
      </c>
      <c r="AS53" s="27" t="n">
        <f aca="false">IF(COUNT('Milho 2ª safra'!$E51:$Z51)=0,0,MAX(0,IF((AS$6-$E$3)&lt;1,0,IFERROR(LOOKUP(2,1/('Milho 2ª safra'!$E51:INDEX('Milho 2ª safra'!$E51:$Z51,MIN(AS$6-$E$3,22))&lt;&gt;""),'Milho 2ª safra'!$E51:INDEX('Milho 2ª safra'!$E51:$Z51,MIN(AS$6-$E$3,22))),0))-IF($G$2,0,IF((AS$6-$G$3)&lt;1,0,IFERROR(LOOKUP(2,1/('Milho 2ª safra'!$E51:INDEX('Milho 2ª safra'!$E51:$Z51,MIN(AS$6-$G$3,22))&lt;&gt;""),'Milho 2ª safra'!$E51:INDEX('Milho 2ª safra'!$E51:$Z51,MIN(AS$6-$G$3,22))),0)))))</f>
        <v>0</v>
      </c>
      <c r="AT53" s="27" t="n">
        <f aca="false">IF(COUNT('Milho 2ª safra'!$E51:$Z51)=0,0,MAX(0,IF((AT$6-$E$3)&lt;1,0,IFERROR(LOOKUP(2,1/('Milho 2ª safra'!$E51:INDEX('Milho 2ª safra'!$E51:$Z51,MIN(AT$6-$E$3,22))&lt;&gt;""),'Milho 2ª safra'!$E51:INDEX('Milho 2ª safra'!$E51:$Z51,MIN(AT$6-$E$3,22))),0))-IF($G$2,0,IF((AT$6-$G$3)&lt;1,0,IFERROR(LOOKUP(2,1/('Milho 2ª safra'!$E51:INDEX('Milho 2ª safra'!$E51:$Z51,MIN(AT$6-$G$3,22))&lt;&gt;""),'Milho 2ª safra'!$E51:INDEX('Milho 2ª safra'!$E51:$Z51,MIN(AT$6-$G$3,22))),0)))))</f>
        <v>0</v>
      </c>
      <c r="AU53" s="27" t="n">
        <f aca="false">IF(COUNT('Milho 2ª safra'!$E51:$Z51)=0,0,MAX(0,IF((AU$6-$E$3)&lt;1,0,IFERROR(LOOKUP(2,1/('Milho 2ª safra'!$E51:INDEX('Milho 2ª safra'!$E51:$Z51,MIN(AU$6-$E$3,22))&lt;&gt;""),'Milho 2ª safra'!$E51:INDEX('Milho 2ª safra'!$E51:$Z51,MIN(AU$6-$E$3,22))),0))-IF($G$2,0,IF((AU$6-$G$3)&lt;1,0,IFERROR(LOOKUP(2,1/('Milho 2ª safra'!$E51:INDEX('Milho 2ª safra'!$E51:$Z51,MIN(AU$6-$G$3,22))&lt;&gt;""),'Milho 2ª safra'!$E51:INDEX('Milho 2ª safra'!$E51:$Z51,MIN(AU$6-$G$3,22))),0)))))</f>
        <v>0</v>
      </c>
      <c r="AV53" s="27" t="n">
        <f aca="false">IF(COUNT('Milho 2ª safra'!$E51:$Z51)=0,0,MAX(0,IF((AV$6-$E$3)&lt;1,0,IFERROR(LOOKUP(2,1/('Milho 2ª safra'!$E51:INDEX('Milho 2ª safra'!$E51:$Z51,MIN(AV$6-$E$3,22))&lt;&gt;""),'Milho 2ª safra'!$E51:INDEX('Milho 2ª safra'!$E51:$Z51,MIN(AV$6-$E$3,22))),0))-IF($G$2,0,IF((AV$6-$G$3)&lt;1,0,IFERROR(LOOKUP(2,1/('Milho 2ª safra'!$E51:INDEX('Milho 2ª safra'!$E51:$Z51,MIN(AV$6-$G$3,22))&lt;&gt;""),'Milho 2ª safra'!$E51:INDEX('Milho 2ª safra'!$E51:$Z51,MIN(AV$6-$G$3,22))),0)))))</f>
        <v>0</v>
      </c>
      <c r="AW53" s="27" t="n">
        <f aca="false">IF(COUNT('Milho 2ª safra'!$E51:$Z51)=0,0,MAX(0,IF((AW$6-$E$3)&lt;1,0,IFERROR(LOOKUP(2,1/('Milho 2ª safra'!$E51:INDEX('Milho 2ª safra'!$E51:$Z51,MIN(AW$6-$E$3,22))&lt;&gt;""),'Milho 2ª safra'!$E51:INDEX('Milho 2ª safra'!$E51:$Z51,MIN(AW$6-$E$3,22))),0))-IF($G$2,0,IF((AW$6-$G$3)&lt;1,0,IFERROR(LOOKUP(2,1/('Milho 2ª safra'!$E51:INDEX('Milho 2ª safra'!$E51:$Z51,MIN(AW$6-$G$3,22))&lt;&gt;""),'Milho 2ª safra'!$E51:INDEX('Milho 2ª safra'!$E51:$Z51,MIN(AW$6-$G$3,22))),0)))))</f>
        <v>0</v>
      </c>
      <c r="AX53" s="27" t="n">
        <f aca="false">IF(COUNT('Milho 2ª safra'!$E51:$Z51)=0,0,MAX(0,IF((AX$6-$E$3)&lt;1,0,IFERROR(LOOKUP(2,1/('Milho 2ª safra'!$E51:INDEX('Milho 2ª safra'!$E51:$Z51,MIN(AX$6-$E$3,22))&lt;&gt;""),'Milho 2ª safra'!$E51:INDEX('Milho 2ª safra'!$E51:$Z51,MIN(AX$6-$E$3,22))),0))-IF($G$2,0,IF((AX$6-$G$3)&lt;1,0,IFERROR(LOOKUP(2,1/('Milho 2ª safra'!$E51:INDEX('Milho 2ª safra'!$E51:$Z51,MIN(AX$6-$G$3,22))&lt;&gt;""),'Milho 2ª safra'!$E51:INDEX('Milho 2ª safra'!$E51:$Z51,MIN(AX$6-$G$3,22))),0)))))</f>
        <v>0</v>
      </c>
      <c r="AY53" s="27" t="n">
        <f aca="false">IF(COUNT('Milho 2ª safra'!$E51:$Z51)=0,0,MAX(0,IF((AY$6-$E$3)&lt;1,0,IFERROR(LOOKUP(2,1/('Milho 2ª safra'!$E51:INDEX('Milho 2ª safra'!$E51:$Z51,MIN(AY$6-$E$3,22))&lt;&gt;""),'Milho 2ª safra'!$E51:INDEX('Milho 2ª safra'!$E51:$Z51,MIN(AY$6-$E$3,22))),0))-IF($G$2,0,IF((AY$6-$G$3)&lt;1,0,IFERROR(LOOKUP(2,1/('Milho 2ª safra'!$E51:INDEX('Milho 2ª safra'!$E51:$Z51,MIN(AY$6-$G$3,22))&lt;&gt;""),'Milho 2ª safra'!$E51:INDEX('Milho 2ª safra'!$E51:$Z51,MIN(AY$6-$G$3,22))),0)))))</f>
        <v>0</v>
      </c>
      <c r="AZ53" s="27" t="n">
        <f aca="false">IF(COUNT('Milho 2ª safra'!$E51:$Z51)=0,0,MAX(0,IF((AZ$6-$E$3)&lt;1,0,IFERROR(LOOKUP(2,1/('Milho 2ª safra'!$E51:INDEX('Milho 2ª safra'!$E51:$Z51,MIN(AZ$6-$E$3,22))&lt;&gt;""),'Milho 2ª safra'!$E51:INDEX('Milho 2ª safra'!$E51:$Z51,MIN(AZ$6-$E$3,22))),0))-IF($G$2,0,IF((AZ$6-$G$3)&lt;1,0,IFERROR(LOOKUP(2,1/('Milho 2ª safra'!$E51:INDEX('Milho 2ª safra'!$E51:$Z51,MIN(AZ$6-$G$3,22))&lt;&gt;""),'Milho 2ª safra'!$E51:INDEX('Milho 2ª safra'!$E51:$Z51,MIN(AZ$6-$G$3,22))),0)))))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IF(COUNT('Milho 2ª safra'!$E52:$Z52)&gt;0,N('Milho 2ª safra'!$D52),0)</f>
        <v>0</v>
      </c>
      <c r="E54" s="27" t="n">
        <f aca="false">IF(COUNT('Milho 2ª safra'!$E52:$Z52)=0,0,MAX(0,IF((E$6-$E$3)&lt;1,0,IFERROR(LOOKUP(2,1/('Milho 2ª safra'!$E52:INDEX('Milho 2ª safra'!$E52:$Z52,MIN(E$6-$E$3,22))&lt;&gt;""),'Milho 2ª safra'!$E52:INDEX('Milho 2ª safra'!$E52:$Z52,MIN(E$6-$E$3,22))),0))-IF($G$2,0,IF((E$6-$G$3)&lt;1,0,IFERROR(LOOKUP(2,1/('Milho 2ª safra'!$E52:INDEX('Milho 2ª safra'!$E52:$Z52,MIN(E$6-$G$3,22))&lt;&gt;""),'Milho 2ª safra'!$E52:INDEX('Milho 2ª safra'!$E52:$Z52,MIN(E$6-$G$3,22))),0)))))</f>
        <v>0</v>
      </c>
      <c r="F54" s="27" t="n">
        <f aca="false">IF(COUNT('Milho 2ª safra'!$E52:$Z52)=0,0,MAX(0,IF((F$6-$E$3)&lt;1,0,IFERROR(LOOKUP(2,1/('Milho 2ª safra'!$E52:INDEX('Milho 2ª safra'!$E52:$Z52,MIN(F$6-$E$3,22))&lt;&gt;""),'Milho 2ª safra'!$E52:INDEX('Milho 2ª safra'!$E52:$Z52,MIN(F$6-$E$3,22))),0))-IF($G$2,0,IF((F$6-$G$3)&lt;1,0,IFERROR(LOOKUP(2,1/('Milho 2ª safra'!$E52:INDEX('Milho 2ª safra'!$E52:$Z52,MIN(F$6-$G$3,22))&lt;&gt;""),'Milho 2ª safra'!$E52:INDEX('Milho 2ª safra'!$E52:$Z52,MIN(F$6-$G$3,22))),0)))))</f>
        <v>0</v>
      </c>
      <c r="G54" s="27" t="n">
        <f aca="false">IF(COUNT('Milho 2ª safra'!$E52:$Z52)=0,0,MAX(0,IF((G$6-$E$3)&lt;1,0,IFERROR(LOOKUP(2,1/('Milho 2ª safra'!$E52:INDEX('Milho 2ª safra'!$E52:$Z52,MIN(G$6-$E$3,22))&lt;&gt;""),'Milho 2ª safra'!$E52:INDEX('Milho 2ª safra'!$E52:$Z52,MIN(G$6-$E$3,22))),0))-IF($G$2,0,IF((G$6-$G$3)&lt;1,0,IFERROR(LOOKUP(2,1/('Milho 2ª safra'!$E52:INDEX('Milho 2ª safra'!$E52:$Z52,MIN(G$6-$G$3,22))&lt;&gt;""),'Milho 2ª safra'!$E52:INDEX('Milho 2ª safra'!$E52:$Z52,MIN(G$6-$G$3,22))),0)))))</f>
        <v>0</v>
      </c>
      <c r="H54" s="27" t="n">
        <f aca="false">IF(COUNT('Milho 2ª safra'!$E52:$Z52)=0,0,MAX(0,IF((H$6-$E$3)&lt;1,0,IFERROR(LOOKUP(2,1/('Milho 2ª safra'!$E52:INDEX('Milho 2ª safra'!$E52:$Z52,MIN(H$6-$E$3,22))&lt;&gt;""),'Milho 2ª safra'!$E52:INDEX('Milho 2ª safra'!$E52:$Z52,MIN(H$6-$E$3,22))),0))-IF($G$2,0,IF((H$6-$G$3)&lt;1,0,IFERROR(LOOKUP(2,1/('Milho 2ª safra'!$E52:INDEX('Milho 2ª safra'!$E52:$Z52,MIN(H$6-$G$3,22))&lt;&gt;""),'Milho 2ª safra'!$E52:INDEX('Milho 2ª safra'!$E52:$Z52,MIN(H$6-$G$3,22))),0)))))</f>
        <v>0</v>
      </c>
      <c r="I54" s="27" t="n">
        <f aca="false">IF(COUNT('Milho 2ª safra'!$E52:$Z52)=0,0,MAX(0,IF((I$6-$E$3)&lt;1,0,IFERROR(LOOKUP(2,1/('Milho 2ª safra'!$E52:INDEX('Milho 2ª safra'!$E52:$Z52,MIN(I$6-$E$3,22))&lt;&gt;""),'Milho 2ª safra'!$E52:INDEX('Milho 2ª safra'!$E52:$Z52,MIN(I$6-$E$3,22))),0))-IF($G$2,0,IF((I$6-$G$3)&lt;1,0,IFERROR(LOOKUP(2,1/('Milho 2ª safra'!$E52:INDEX('Milho 2ª safra'!$E52:$Z52,MIN(I$6-$G$3,22))&lt;&gt;""),'Milho 2ª safra'!$E52:INDEX('Milho 2ª safra'!$E52:$Z52,MIN(I$6-$G$3,22))),0)))))</f>
        <v>0</v>
      </c>
      <c r="J54" s="27" t="n">
        <f aca="false">IF(COUNT('Milho 2ª safra'!$E52:$Z52)=0,0,MAX(0,IF((J$6-$E$3)&lt;1,0,IFERROR(LOOKUP(2,1/('Milho 2ª safra'!$E52:INDEX('Milho 2ª safra'!$E52:$Z52,MIN(J$6-$E$3,22))&lt;&gt;""),'Milho 2ª safra'!$E52:INDEX('Milho 2ª safra'!$E52:$Z52,MIN(J$6-$E$3,22))),0))-IF($G$2,0,IF((J$6-$G$3)&lt;1,0,IFERROR(LOOKUP(2,1/('Milho 2ª safra'!$E52:INDEX('Milho 2ª safra'!$E52:$Z52,MIN(J$6-$G$3,22))&lt;&gt;""),'Milho 2ª safra'!$E52:INDEX('Milho 2ª safra'!$E52:$Z52,MIN(J$6-$G$3,22))),0)))))</f>
        <v>0</v>
      </c>
      <c r="K54" s="27" t="n">
        <f aca="false">IF(COUNT('Milho 2ª safra'!$E52:$Z52)=0,0,MAX(0,IF((K$6-$E$3)&lt;1,0,IFERROR(LOOKUP(2,1/('Milho 2ª safra'!$E52:INDEX('Milho 2ª safra'!$E52:$Z52,MIN(K$6-$E$3,22))&lt;&gt;""),'Milho 2ª safra'!$E52:INDEX('Milho 2ª safra'!$E52:$Z52,MIN(K$6-$E$3,22))),0))-IF($G$2,0,IF((K$6-$G$3)&lt;1,0,IFERROR(LOOKUP(2,1/('Milho 2ª safra'!$E52:INDEX('Milho 2ª safra'!$E52:$Z52,MIN(K$6-$G$3,22))&lt;&gt;""),'Milho 2ª safra'!$E52:INDEX('Milho 2ª safra'!$E52:$Z52,MIN(K$6-$G$3,22))),0)))))</f>
        <v>0</v>
      </c>
      <c r="L54" s="27" t="n">
        <f aca="false">IF(COUNT('Milho 2ª safra'!$E52:$Z52)=0,0,MAX(0,IF((L$6-$E$3)&lt;1,0,IFERROR(LOOKUP(2,1/('Milho 2ª safra'!$E52:INDEX('Milho 2ª safra'!$E52:$Z52,MIN(L$6-$E$3,22))&lt;&gt;""),'Milho 2ª safra'!$E52:INDEX('Milho 2ª safra'!$E52:$Z52,MIN(L$6-$E$3,22))),0))-IF($G$2,0,IF((L$6-$G$3)&lt;1,0,IFERROR(LOOKUP(2,1/('Milho 2ª safra'!$E52:INDEX('Milho 2ª safra'!$E52:$Z52,MIN(L$6-$G$3,22))&lt;&gt;""),'Milho 2ª safra'!$E52:INDEX('Milho 2ª safra'!$E52:$Z52,MIN(L$6-$G$3,22))),0)))))</f>
        <v>0</v>
      </c>
      <c r="M54" s="27" t="n">
        <f aca="false">IF(COUNT('Milho 2ª safra'!$E52:$Z52)=0,0,MAX(0,IF((M$6-$E$3)&lt;1,0,IFERROR(LOOKUP(2,1/('Milho 2ª safra'!$E52:INDEX('Milho 2ª safra'!$E52:$Z52,MIN(M$6-$E$3,22))&lt;&gt;""),'Milho 2ª safra'!$E52:INDEX('Milho 2ª safra'!$E52:$Z52,MIN(M$6-$E$3,22))),0))-IF($G$2,0,IF((M$6-$G$3)&lt;1,0,IFERROR(LOOKUP(2,1/('Milho 2ª safra'!$E52:INDEX('Milho 2ª safra'!$E52:$Z52,MIN(M$6-$G$3,22))&lt;&gt;""),'Milho 2ª safra'!$E52:INDEX('Milho 2ª safra'!$E52:$Z52,MIN(M$6-$G$3,22))),0)))))</f>
        <v>0</v>
      </c>
      <c r="N54" s="27" t="n">
        <f aca="false">IF(COUNT('Milho 2ª safra'!$E52:$Z52)=0,0,MAX(0,IF((N$6-$E$3)&lt;1,0,IFERROR(LOOKUP(2,1/('Milho 2ª safra'!$E52:INDEX('Milho 2ª safra'!$E52:$Z52,MIN(N$6-$E$3,22))&lt;&gt;""),'Milho 2ª safra'!$E52:INDEX('Milho 2ª safra'!$E52:$Z52,MIN(N$6-$E$3,22))),0))-IF($G$2,0,IF((N$6-$G$3)&lt;1,0,IFERROR(LOOKUP(2,1/('Milho 2ª safra'!$E52:INDEX('Milho 2ª safra'!$E52:$Z52,MIN(N$6-$G$3,22))&lt;&gt;""),'Milho 2ª safra'!$E52:INDEX('Milho 2ª safra'!$E52:$Z52,MIN(N$6-$G$3,22))),0)))))</f>
        <v>0</v>
      </c>
      <c r="O54" s="27" t="n">
        <f aca="false">IF(COUNT('Milho 2ª safra'!$E52:$Z52)=0,0,MAX(0,IF((O$6-$E$3)&lt;1,0,IFERROR(LOOKUP(2,1/('Milho 2ª safra'!$E52:INDEX('Milho 2ª safra'!$E52:$Z52,MIN(O$6-$E$3,22))&lt;&gt;""),'Milho 2ª safra'!$E52:INDEX('Milho 2ª safra'!$E52:$Z52,MIN(O$6-$E$3,22))),0))-IF($G$2,0,IF((O$6-$G$3)&lt;1,0,IFERROR(LOOKUP(2,1/('Milho 2ª safra'!$E52:INDEX('Milho 2ª safra'!$E52:$Z52,MIN(O$6-$G$3,22))&lt;&gt;""),'Milho 2ª safra'!$E52:INDEX('Milho 2ª safra'!$E52:$Z52,MIN(O$6-$G$3,22))),0)))))</f>
        <v>0</v>
      </c>
      <c r="P54" s="27" t="n">
        <f aca="false">IF(COUNT('Milho 2ª safra'!$E52:$Z52)=0,0,MAX(0,IF((P$6-$E$3)&lt;1,0,IFERROR(LOOKUP(2,1/('Milho 2ª safra'!$E52:INDEX('Milho 2ª safra'!$E52:$Z52,MIN(P$6-$E$3,22))&lt;&gt;""),'Milho 2ª safra'!$E52:INDEX('Milho 2ª safra'!$E52:$Z52,MIN(P$6-$E$3,22))),0))-IF($G$2,0,IF((P$6-$G$3)&lt;1,0,IFERROR(LOOKUP(2,1/('Milho 2ª safra'!$E52:INDEX('Milho 2ª safra'!$E52:$Z52,MIN(P$6-$G$3,22))&lt;&gt;""),'Milho 2ª safra'!$E52:INDEX('Milho 2ª safra'!$E52:$Z52,MIN(P$6-$G$3,22))),0)))))</f>
        <v>0</v>
      </c>
      <c r="Q54" s="27" t="n">
        <f aca="false">IF(COUNT('Milho 2ª safra'!$E52:$Z52)=0,0,MAX(0,IF((Q$6-$E$3)&lt;1,0,IFERROR(LOOKUP(2,1/('Milho 2ª safra'!$E52:INDEX('Milho 2ª safra'!$E52:$Z52,MIN(Q$6-$E$3,22))&lt;&gt;""),'Milho 2ª safra'!$E52:INDEX('Milho 2ª safra'!$E52:$Z52,MIN(Q$6-$E$3,22))),0))-IF($G$2,0,IF((Q$6-$G$3)&lt;1,0,IFERROR(LOOKUP(2,1/('Milho 2ª safra'!$E52:INDEX('Milho 2ª safra'!$E52:$Z52,MIN(Q$6-$G$3,22))&lt;&gt;""),'Milho 2ª safra'!$E52:INDEX('Milho 2ª safra'!$E52:$Z52,MIN(Q$6-$G$3,22))),0)))))</f>
        <v>0</v>
      </c>
      <c r="R54" s="27" t="n">
        <f aca="false">IF(COUNT('Milho 2ª safra'!$E52:$Z52)=0,0,MAX(0,IF((R$6-$E$3)&lt;1,0,IFERROR(LOOKUP(2,1/('Milho 2ª safra'!$E52:INDEX('Milho 2ª safra'!$E52:$Z52,MIN(R$6-$E$3,22))&lt;&gt;""),'Milho 2ª safra'!$E52:INDEX('Milho 2ª safra'!$E52:$Z52,MIN(R$6-$E$3,22))),0))-IF($G$2,0,IF((R$6-$G$3)&lt;1,0,IFERROR(LOOKUP(2,1/('Milho 2ª safra'!$E52:INDEX('Milho 2ª safra'!$E52:$Z52,MIN(R$6-$G$3,22))&lt;&gt;""),'Milho 2ª safra'!$E52:INDEX('Milho 2ª safra'!$E52:$Z52,MIN(R$6-$G$3,22))),0)))))</f>
        <v>0</v>
      </c>
      <c r="S54" s="27" t="n">
        <f aca="false">IF(COUNT('Milho 2ª safra'!$E52:$Z52)=0,0,MAX(0,IF((S$6-$E$3)&lt;1,0,IFERROR(LOOKUP(2,1/('Milho 2ª safra'!$E52:INDEX('Milho 2ª safra'!$E52:$Z52,MIN(S$6-$E$3,22))&lt;&gt;""),'Milho 2ª safra'!$E52:INDEX('Milho 2ª safra'!$E52:$Z52,MIN(S$6-$E$3,22))),0))-IF($G$2,0,IF((S$6-$G$3)&lt;1,0,IFERROR(LOOKUP(2,1/('Milho 2ª safra'!$E52:INDEX('Milho 2ª safra'!$E52:$Z52,MIN(S$6-$G$3,22))&lt;&gt;""),'Milho 2ª safra'!$E52:INDEX('Milho 2ª safra'!$E52:$Z52,MIN(S$6-$G$3,22))),0)))))</f>
        <v>0</v>
      </c>
      <c r="T54" s="27" t="n">
        <f aca="false">IF(COUNT('Milho 2ª safra'!$E52:$Z52)=0,0,MAX(0,IF((T$6-$E$3)&lt;1,0,IFERROR(LOOKUP(2,1/('Milho 2ª safra'!$E52:INDEX('Milho 2ª safra'!$E52:$Z52,MIN(T$6-$E$3,22))&lt;&gt;""),'Milho 2ª safra'!$E52:INDEX('Milho 2ª safra'!$E52:$Z52,MIN(T$6-$E$3,22))),0))-IF($G$2,0,IF((T$6-$G$3)&lt;1,0,IFERROR(LOOKUP(2,1/('Milho 2ª safra'!$E52:INDEX('Milho 2ª safra'!$E52:$Z52,MIN(T$6-$G$3,22))&lt;&gt;""),'Milho 2ª safra'!$E52:INDEX('Milho 2ª safra'!$E52:$Z52,MIN(T$6-$G$3,22))),0)))))</f>
        <v>0</v>
      </c>
      <c r="U54" s="27" t="n">
        <f aca="false">IF(COUNT('Milho 2ª safra'!$E52:$Z52)=0,0,MAX(0,IF((U$6-$E$3)&lt;1,0,IFERROR(LOOKUP(2,1/('Milho 2ª safra'!$E52:INDEX('Milho 2ª safra'!$E52:$Z52,MIN(U$6-$E$3,22))&lt;&gt;""),'Milho 2ª safra'!$E52:INDEX('Milho 2ª safra'!$E52:$Z52,MIN(U$6-$E$3,22))),0))-IF($G$2,0,IF((U$6-$G$3)&lt;1,0,IFERROR(LOOKUP(2,1/('Milho 2ª safra'!$E52:INDEX('Milho 2ª safra'!$E52:$Z52,MIN(U$6-$G$3,22))&lt;&gt;""),'Milho 2ª safra'!$E52:INDEX('Milho 2ª safra'!$E52:$Z52,MIN(U$6-$G$3,22))),0)))))</f>
        <v>0</v>
      </c>
      <c r="V54" s="27" t="n">
        <f aca="false">IF(COUNT('Milho 2ª safra'!$E52:$Z52)=0,0,MAX(0,IF((V$6-$E$3)&lt;1,0,IFERROR(LOOKUP(2,1/('Milho 2ª safra'!$E52:INDEX('Milho 2ª safra'!$E52:$Z52,MIN(V$6-$E$3,22))&lt;&gt;""),'Milho 2ª safra'!$E52:INDEX('Milho 2ª safra'!$E52:$Z52,MIN(V$6-$E$3,22))),0))-IF($G$2,0,IF((V$6-$G$3)&lt;1,0,IFERROR(LOOKUP(2,1/('Milho 2ª safra'!$E52:INDEX('Milho 2ª safra'!$E52:$Z52,MIN(V$6-$G$3,22))&lt;&gt;""),'Milho 2ª safra'!$E52:INDEX('Milho 2ª safra'!$E52:$Z52,MIN(V$6-$G$3,22))),0)))))</f>
        <v>0</v>
      </c>
      <c r="W54" s="27" t="n">
        <f aca="false">IF(COUNT('Milho 2ª safra'!$E52:$Z52)=0,0,MAX(0,IF((W$6-$E$3)&lt;1,0,IFERROR(LOOKUP(2,1/('Milho 2ª safra'!$E52:INDEX('Milho 2ª safra'!$E52:$Z52,MIN(W$6-$E$3,22))&lt;&gt;""),'Milho 2ª safra'!$E52:INDEX('Milho 2ª safra'!$E52:$Z52,MIN(W$6-$E$3,22))),0))-IF($G$2,0,IF((W$6-$G$3)&lt;1,0,IFERROR(LOOKUP(2,1/('Milho 2ª safra'!$E52:INDEX('Milho 2ª safra'!$E52:$Z52,MIN(W$6-$G$3,22))&lt;&gt;""),'Milho 2ª safra'!$E52:INDEX('Milho 2ª safra'!$E52:$Z52,MIN(W$6-$G$3,22))),0)))))</f>
        <v>0</v>
      </c>
      <c r="X54" s="27" t="n">
        <f aca="false">IF(COUNT('Milho 2ª safra'!$E52:$Z52)=0,0,MAX(0,IF((X$6-$E$3)&lt;1,0,IFERROR(LOOKUP(2,1/('Milho 2ª safra'!$E52:INDEX('Milho 2ª safra'!$E52:$Z52,MIN(X$6-$E$3,22))&lt;&gt;""),'Milho 2ª safra'!$E52:INDEX('Milho 2ª safra'!$E52:$Z52,MIN(X$6-$E$3,22))),0))-IF($G$2,0,IF((X$6-$G$3)&lt;1,0,IFERROR(LOOKUP(2,1/('Milho 2ª safra'!$E52:INDEX('Milho 2ª safra'!$E52:$Z52,MIN(X$6-$G$3,22))&lt;&gt;""),'Milho 2ª safra'!$E52:INDEX('Milho 2ª safra'!$E52:$Z52,MIN(X$6-$G$3,22))),0)))))</f>
        <v>0</v>
      </c>
      <c r="Y54" s="27" t="n">
        <f aca="false">IF(COUNT('Milho 2ª safra'!$E52:$Z52)=0,0,MAX(0,IF((Y$6-$E$3)&lt;1,0,IFERROR(LOOKUP(2,1/('Milho 2ª safra'!$E52:INDEX('Milho 2ª safra'!$E52:$Z52,MIN(Y$6-$E$3,22))&lt;&gt;""),'Milho 2ª safra'!$E52:INDEX('Milho 2ª safra'!$E52:$Z52,MIN(Y$6-$E$3,22))),0))-IF($G$2,0,IF((Y$6-$G$3)&lt;1,0,IFERROR(LOOKUP(2,1/('Milho 2ª safra'!$E52:INDEX('Milho 2ª safra'!$E52:$Z52,MIN(Y$6-$G$3,22))&lt;&gt;""),'Milho 2ª safra'!$E52:INDEX('Milho 2ª safra'!$E52:$Z52,MIN(Y$6-$G$3,22))),0)))))</f>
        <v>0</v>
      </c>
      <c r="Z54" s="27" t="n">
        <f aca="false">IF(COUNT('Milho 2ª safra'!$E52:$Z52)=0,0,MAX(0,IF((Z$6-$E$3)&lt;1,0,IFERROR(LOOKUP(2,1/('Milho 2ª safra'!$E52:INDEX('Milho 2ª safra'!$E52:$Z52,MIN(Z$6-$E$3,22))&lt;&gt;""),'Milho 2ª safra'!$E52:INDEX('Milho 2ª safra'!$E52:$Z52,MIN(Z$6-$E$3,22))),0))-IF($G$2,0,IF((Z$6-$G$3)&lt;1,0,IFERROR(LOOKUP(2,1/('Milho 2ª safra'!$E52:INDEX('Milho 2ª safra'!$E52:$Z52,MIN(Z$6-$G$3,22))&lt;&gt;""),'Milho 2ª safra'!$E52:INDEX('Milho 2ª safra'!$E52:$Z52,MIN(Z$6-$G$3,22))),0)))))</f>
        <v>0</v>
      </c>
      <c r="AA54" s="27" t="n">
        <f aca="false">IF(COUNT('Milho 2ª safra'!$E52:$Z52)=0,0,MAX(0,IF((AA$6-$E$3)&lt;1,0,IFERROR(LOOKUP(2,1/('Milho 2ª safra'!$E52:INDEX('Milho 2ª safra'!$E52:$Z52,MIN(AA$6-$E$3,22))&lt;&gt;""),'Milho 2ª safra'!$E52:INDEX('Milho 2ª safra'!$E52:$Z52,MIN(AA$6-$E$3,22))),0))-IF($G$2,0,IF((AA$6-$G$3)&lt;1,0,IFERROR(LOOKUP(2,1/('Milho 2ª safra'!$E52:INDEX('Milho 2ª safra'!$E52:$Z52,MIN(AA$6-$G$3,22))&lt;&gt;""),'Milho 2ª safra'!$E52:INDEX('Milho 2ª safra'!$E52:$Z52,MIN(AA$6-$G$3,22))),0)))))</f>
        <v>0</v>
      </c>
      <c r="AB54" s="27" t="n">
        <f aca="false">IF(COUNT('Milho 2ª safra'!$E52:$Z52)=0,0,MAX(0,IF((AB$6-$E$3)&lt;1,0,IFERROR(LOOKUP(2,1/('Milho 2ª safra'!$E52:INDEX('Milho 2ª safra'!$E52:$Z52,MIN(AB$6-$E$3,22))&lt;&gt;""),'Milho 2ª safra'!$E52:INDEX('Milho 2ª safra'!$E52:$Z52,MIN(AB$6-$E$3,22))),0))-IF($G$2,0,IF((AB$6-$G$3)&lt;1,0,IFERROR(LOOKUP(2,1/('Milho 2ª safra'!$E52:INDEX('Milho 2ª safra'!$E52:$Z52,MIN(AB$6-$G$3,22))&lt;&gt;""),'Milho 2ª safra'!$E52:INDEX('Milho 2ª safra'!$E52:$Z52,MIN(AB$6-$G$3,22))),0)))))</f>
        <v>0</v>
      </c>
      <c r="AC54" s="27" t="n">
        <f aca="false">IF(COUNT('Milho 2ª safra'!$E52:$Z52)=0,0,MAX(0,IF((AC$6-$E$3)&lt;1,0,IFERROR(LOOKUP(2,1/('Milho 2ª safra'!$E52:INDEX('Milho 2ª safra'!$E52:$Z52,MIN(AC$6-$E$3,22))&lt;&gt;""),'Milho 2ª safra'!$E52:INDEX('Milho 2ª safra'!$E52:$Z52,MIN(AC$6-$E$3,22))),0))-IF($G$2,0,IF((AC$6-$G$3)&lt;1,0,IFERROR(LOOKUP(2,1/('Milho 2ª safra'!$E52:INDEX('Milho 2ª safra'!$E52:$Z52,MIN(AC$6-$G$3,22))&lt;&gt;""),'Milho 2ª safra'!$E52:INDEX('Milho 2ª safra'!$E52:$Z52,MIN(AC$6-$G$3,22))),0)))))</f>
        <v>0</v>
      </c>
      <c r="AD54" s="27" t="n">
        <f aca="false">IF(COUNT('Milho 2ª safra'!$E52:$Z52)=0,0,MAX(0,IF((AD$6-$E$3)&lt;1,0,IFERROR(LOOKUP(2,1/('Milho 2ª safra'!$E52:INDEX('Milho 2ª safra'!$E52:$Z52,MIN(AD$6-$E$3,22))&lt;&gt;""),'Milho 2ª safra'!$E52:INDEX('Milho 2ª safra'!$E52:$Z52,MIN(AD$6-$E$3,22))),0))-IF($G$2,0,IF((AD$6-$G$3)&lt;1,0,IFERROR(LOOKUP(2,1/('Milho 2ª safra'!$E52:INDEX('Milho 2ª safra'!$E52:$Z52,MIN(AD$6-$G$3,22))&lt;&gt;""),'Milho 2ª safra'!$E52:INDEX('Milho 2ª safra'!$E52:$Z52,MIN(AD$6-$G$3,22))),0)))))</f>
        <v>0</v>
      </c>
      <c r="AE54" s="27" t="n">
        <f aca="false">IF(COUNT('Milho 2ª safra'!$E52:$Z52)=0,0,MAX(0,IF((AE$6-$E$3)&lt;1,0,IFERROR(LOOKUP(2,1/('Milho 2ª safra'!$E52:INDEX('Milho 2ª safra'!$E52:$Z52,MIN(AE$6-$E$3,22))&lt;&gt;""),'Milho 2ª safra'!$E52:INDEX('Milho 2ª safra'!$E52:$Z52,MIN(AE$6-$E$3,22))),0))-IF($G$2,0,IF((AE$6-$G$3)&lt;1,0,IFERROR(LOOKUP(2,1/('Milho 2ª safra'!$E52:INDEX('Milho 2ª safra'!$E52:$Z52,MIN(AE$6-$G$3,22))&lt;&gt;""),'Milho 2ª safra'!$E52:INDEX('Milho 2ª safra'!$E52:$Z52,MIN(AE$6-$G$3,22))),0)))))</f>
        <v>0</v>
      </c>
      <c r="AF54" s="27" t="n">
        <f aca="false">IF(COUNT('Milho 2ª safra'!$E52:$Z52)=0,0,MAX(0,IF((AF$6-$E$3)&lt;1,0,IFERROR(LOOKUP(2,1/('Milho 2ª safra'!$E52:INDEX('Milho 2ª safra'!$E52:$Z52,MIN(AF$6-$E$3,22))&lt;&gt;""),'Milho 2ª safra'!$E52:INDEX('Milho 2ª safra'!$E52:$Z52,MIN(AF$6-$E$3,22))),0))-IF($G$2,0,IF((AF$6-$G$3)&lt;1,0,IFERROR(LOOKUP(2,1/('Milho 2ª safra'!$E52:INDEX('Milho 2ª safra'!$E52:$Z52,MIN(AF$6-$G$3,22))&lt;&gt;""),'Milho 2ª safra'!$E52:INDEX('Milho 2ª safra'!$E52:$Z52,MIN(AF$6-$G$3,22))),0)))))</f>
        <v>0</v>
      </c>
      <c r="AG54" s="27" t="n">
        <f aca="false">IF(COUNT('Milho 2ª safra'!$E52:$Z52)=0,0,MAX(0,IF((AG$6-$E$3)&lt;1,0,IFERROR(LOOKUP(2,1/('Milho 2ª safra'!$E52:INDEX('Milho 2ª safra'!$E52:$Z52,MIN(AG$6-$E$3,22))&lt;&gt;""),'Milho 2ª safra'!$E52:INDEX('Milho 2ª safra'!$E52:$Z52,MIN(AG$6-$E$3,22))),0))-IF($G$2,0,IF((AG$6-$G$3)&lt;1,0,IFERROR(LOOKUP(2,1/('Milho 2ª safra'!$E52:INDEX('Milho 2ª safra'!$E52:$Z52,MIN(AG$6-$G$3,22))&lt;&gt;""),'Milho 2ª safra'!$E52:INDEX('Milho 2ª safra'!$E52:$Z52,MIN(AG$6-$G$3,22))),0)))))</f>
        <v>0</v>
      </c>
      <c r="AH54" s="27" t="n">
        <f aca="false">IF(COUNT('Milho 2ª safra'!$E52:$Z52)=0,0,MAX(0,IF((AH$6-$E$3)&lt;1,0,IFERROR(LOOKUP(2,1/('Milho 2ª safra'!$E52:INDEX('Milho 2ª safra'!$E52:$Z52,MIN(AH$6-$E$3,22))&lt;&gt;""),'Milho 2ª safra'!$E52:INDEX('Milho 2ª safra'!$E52:$Z52,MIN(AH$6-$E$3,22))),0))-IF($G$2,0,IF((AH$6-$G$3)&lt;1,0,IFERROR(LOOKUP(2,1/('Milho 2ª safra'!$E52:INDEX('Milho 2ª safra'!$E52:$Z52,MIN(AH$6-$G$3,22))&lt;&gt;""),'Milho 2ª safra'!$E52:INDEX('Milho 2ª safra'!$E52:$Z52,MIN(AH$6-$G$3,22))),0)))))</f>
        <v>0</v>
      </c>
      <c r="AI54" s="27" t="n">
        <f aca="false">IF(COUNT('Milho 2ª safra'!$E52:$Z52)=0,0,MAX(0,IF((AI$6-$E$3)&lt;1,0,IFERROR(LOOKUP(2,1/('Milho 2ª safra'!$E52:INDEX('Milho 2ª safra'!$E52:$Z52,MIN(AI$6-$E$3,22))&lt;&gt;""),'Milho 2ª safra'!$E52:INDEX('Milho 2ª safra'!$E52:$Z52,MIN(AI$6-$E$3,22))),0))-IF($G$2,0,IF((AI$6-$G$3)&lt;1,0,IFERROR(LOOKUP(2,1/('Milho 2ª safra'!$E52:INDEX('Milho 2ª safra'!$E52:$Z52,MIN(AI$6-$G$3,22))&lt;&gt;""),'Milho 2ª safra'!$E52:INDEX('Milho 2ª safra'!$E52:$Z52,MIN(AI$6-$G$3,22))),0)))))</f>
        <v>0</v>
      </c>
      <c r="AJ54" s="27" t="n">
        <f aca="false">IF(COUNT('Milho 2ª safra'!$E52:$Z52)=0,0,MAX(0,IF((AJ$6-$E$3)&lt;1,0,IFERROR(LOOKUP(2,1/('Milho 2ª safra'!$E52:INDEX('Milho 2ª safra'!$E52:$Z52,MIN(AJ$6-$E$3,22))&lt;&gt;""),'Milho 2ª safra'!$E52:INDEX('Milho 2ª safra'!$E52:$Z52,MIN(AJ$6-$E$3,22))),0))-IF($G$2,0,IF((AJ$6-$G$3)&lt;1,0,IFERROR(LOOKUP(2,1/('Milho 2ª safra'!$E52:INDEX('Milho 2ª safra'!$E52:$Z52,MIN(AJ$6-$G$3,22))&lt;&gt;""),'Milho 2ª safra'!$E52:INDEX('Milho 2ª safra'!$E52:$Z52,MIN(AJ$6-$G$3,22))),0)))))</f>
        <v>0</v>
      </c>
      <c r="AK54" s="27" t="n">
        <f aca="false">IF(COUNT('Milho 2ª safra'!$E52:$Z52)=0,0,MAX(0,IF((AK$6-$E$3)&lt;1,0,IFERROR(LOOKUP(2,1/('Milho 2ª safra'!$E52:INDEX('Milho 2ª safra'!$E52:$Z52,MIN(AK$6-$E$3,22))&lt;&gt;""),'Milho 2ª safra'!$E52:INDEX('Milho 2ª safra'!$E52:$Z52,MIN(AK$6-$E$3,22))),0))-IF($G$2,0,IF((AK$6-$G$3)&lt;1,0,IFERROR(LOOKUP(2,1/('Milho 2ª safra'!$E52:INDEX('Milho 2ª safra'!$E52:$Z52,MIN(AK$6-$G$3,22))&lt;&gt;""),'Milho 2ª safra'!$E52:INDEX('Milho 2ª safra'!$E52:$Z52,MIN(AK$6-$G$3,22))),0)))))</f>
        <v>0</v>
      </c>
      <c r="AL54" s="27" t="n">
        <f aca="false">IF(COUNT('Milho 2ª safra'!$E52:$Z52)=0,0,MAX(0,IF((AL$6-$E$3)&lt;1,0,IFERROR(LOOKUP(2,1/('Milho 2ª safra'!$E52:INDEX('Milho 2ª safra'!$E52:$Z52,MIN(AL$6-$E$3,22))&lt;&gt;""),'Milho 2ª safra'!$E52:INDEX('Milho 2ª safra'!$E52:$Z52,MIN(AL$6-$E$3,22))),0))-IF($G$2,0,IF((AL$6-$G$3)&lt;1,0,IFERROR(LOOKUP(2,1/('Milho 2ª safra'!$E52:INDEX('Milho 2ª safra'!$E52:$Z52,MIN(AL$6-$G$3,22))&lt;&gt;""),'Milho 2ª safra'!$E52:INDEX('Milho 2ª safra'!$E52:$Z52,MIN(AL$6-$G$3,22))),0)))))</f>
        <v>0</v>
      </c>
      <c r="AM54" s="27" t="n">
        <f aca="false">IF(COUNT('Milho 2ª safra'!$E52:$Z52)=0,0,MAX(0,IF((AM$6-$E$3)&lt;1,0,IFERROR(LOOKUP(2,1/('Milho 2ª safra'!$E52:INDEX('Milho 2ª safra'!$E52:$Z52,MIN(AM$6-$E$3,22))&lt;&gt;""),'Milho 2ª safra'!$E52:INDEX('Milho 2ª safra'!$E52:$Z52,MIN(AM$6-$E$3,22))),0))-IF($G$2,0,IF((AM$6-$G$3)&lt;1,0,IFERROR(LOOKUP(2,1/('Milho 2ª safra'!$E52:INDEX('Milho 2ª safra'!$E52:$Z52,MIN(AM$6-$G$3,22))&lt;&gt;""),'Milho 2ª safra'!$E52:INDEX('Milho 2ª safra'!$E52:$Z52,MIN(AM$6-$G$3,22))),0)))))</f>
        <v>0</v>
      </c>
      <c r="AN54" s="27" t="n">
        <f aca="false">IF(COUNT('Milho 2ª safra'!$E52:$Z52)=0,0,MAX(0,IF((AN$6-$E$3)&lt;1,0,IFERROR(LOOKUP(2,1/('Milho 2ª safra'!$E52:INDEX('Milho 2ª safra'!$E52:$Z52,MIN(AN$6-$E$3,22))&lt;&gt;""),'Milho 2ª safra'!$E52:INDEX('Milho 2ª safra'!$E52:$Z52,MIN(AN$6-$E$3,22))),0))-IF($G$2,0,IF((AN$6-$G$3)&lt;1,0,IFERROR(LOOKUP(2,1/('Milho 2ª safra'!$E52:INDEX('Milho 2ª safra'!$E52:$Z52,MIN(AN$6-$G$3,22))&lt;&gt;""),'Milho 2ª safra'!$E52:INDEX('Milho 2ª safra'!$E52:$Z52,MIN(AN$6-$G$3,22))),0)))))</f>
        <v>0</v>
      </c>
      <c r="AO54" s="27" t="n">
        <f aca="false">IF(COUNT('Milho 2ª safra'!$E52:$Z52)=0,0,MAX(0,IF((AO$6-$E$3)&lt;1,0,IFERROR(LOOKUP(2,1/('Milho 2ª safra'!$E52:INDEX('Milho 2ª safra'!$E52:$Z52,MIN(AO$6-$E$3,22))&lt;&gt;""),'Milho 2ª safra'!$E52:INDEX('Milho 2ª safra'!$E52:$Z52,MIN(AO$6-$E$3,22))),0))-IF($G$2,0,IF((AO$6-$G$3)&lt;1,0,IFERROR(LOOKUP(2,1/('Milho 2ª safra'!$E52:INDEX('Milho 2ª safra'!$E52:$Z52,MIN(AO$6-$G$3,22))&lt;&gt;""),'Milho 2ª safra'!$E52:INDEX('Milho 2ª safra'!$E52:$Z52,MIN(AO$6-$G$3,22))),0)))))</f>
        <v>0</v>
      </c>
      <c r="AP54" s="27" t="n">
        <f aca="false">IF(COUNT('Milho 2ª safra'!$E52:$Z52)=0,0,MAX(0,IF((AP$6-$E$3)&lt;1,0,IFERROR(LOOKUP(2,1/('Milho 2ª safra'!$E52:INDEX('Milho 2ª safra'!$E52:$Z52,MIN(AP$6-$E$3,22))&lt;&gt;""),'Milho 2ª safra'!$E52:INDEX('Milho 2ª safra'!$E52:$Z52,MIN(AP$6-$E$3,22))),0))-IF($G$2,0,IF((AP$6-$G$3)&lt;1,0,IFERROR(LOOKUP(2,1/('Milho 2ª safra'!$E52:INDEX('Milho 2ª safra'!$E52:$Z52,MIN(AP$6-$G$3,22))&lt;&gt;""),'Milho 2ª safra'!$E52:INDEX('Milho 2ª safra'!$E52:$Z52,MIN(AP$6-$G$3,22))),0)))))</f>
        <v>0</v>
      </c>
      <c r="AQ54" s="27" t="n">
        <f aca="false">IF(COUNT('Milho 2ª safra'!$E52:$Z52)=0,0,MAX(0,IF((AQ$6-$E$3)&lt;1,0,IFERROR(LOOKUP(2,1/('Milho 2ª safra'!$E52:INDEX('Milho 2ª safra'!$E52:$Z52,MIN(AQ$6-$E$3,22))&lt;&gt;""),'Milho 2ª safra'!$E52:INDEX('Milho 2ª safra'!$E52:$Z52,MIN(AQ$6-$E$3,22))),0))-IF($G$2,0,IF((AQ$6-$G$3)&lt;1,0,IFERROR(LOOKUP(2,1/('Milho 2ª safra'!$E52:INDEX('Milho 2ª safra'!$E52:$Z52,MIN(AQ$6-$G$3,22))&lt;&gt;""),'Milho 2ª safra'!$E52:INDEX('Milho 2ª safra'!$E52:$Z52,MIN(AQ$6-$G$3,22))),0)))))</f>
        <v>0</v>
      </c>
      <c r="AR54" s="27" t="n">
        <f aca="false">IF(COUNT('Milho 2ª safra'!$E52:$Z52)=0,0,MAX(0,IF((AR$6-$E$3)&lt;1,0,IFERROR(LOOKUP(2,1/('Milho 2ª safra'!$E52:INDEX('Milho 2ª safra'!$E52:$Z52,MIN(AR$6-$E$3,22))&lt;&gt;""),'Milho 2ª safra'!$E52:INDEX('Milho 2ª safra'!$E52:$Z52,MIN(AR$6-$E$3,22))),0))-IF($G$2,0,IF((AR$6-$G$3)&lt;1,0,IFERROR(LOOKUP(2,1/('Milho 2ª safra'!$E52:INDEX('Milho 2ª safra'!$E52:$Z52,MIN(AR$6-$G$3,22))&lt;&gt;""),'Milho 2ª safra'!$E52:INDEX('Milho 2ª safra'!$E52:$Z52,MIN(AR$6-$G$3,22))),0)))))</f>
        <v>0</v>
      </c>
      <c r="AS54" s="27" t="n">
        <f aca="false">IF(COUNT('Milho 2ª safra'!$E52:$Z52)=0,0,MAX(0,IF((AS$6-$E$3)&lt;1,0,IFERROR(LOOKUP(2,1/('Milho 2ª safra'!$E52:INDEX('Milho 2ª safra'!$E52:$Z52,MIN(AS$6-$E$3,22))&lt;&gt;""),'Milho 2ª safra'!$E52:INDEX('Milho 2ª safra'!$E52:$Z52,MIN(AS$6-$E$3,22))),0))-IF($G$2,0,IF((AS$6-$G$3)&lt;1,0,IFERROR(LOOKUP(2,1/('Milho 2ª safra'!$E52:INDEX('Milho 2ª safra'!$E52:$Z52,MIN(AS$6-$G$3,22))&lt;&gt;""),'Milho 2ª safra'!$E52:INDEX('Milho 2ª safra'!$E52:$Z52,MIN(AS$6-$G$3,22))),0)))))</f>
        <v>0</v>
      </c>
      <c r="AT54" s="27" t="n">
        <f aca="false">IF(COUNT('Milho 2ª safra'!$E52:$Z52)=0,0,MAX(0,IF((AT$6-$E$3)&lt;1,0,IFERROR(LOOKUP(2,1/('Milho 2ª safra'!$E52:INDEX('Milho 2ª safra'!$E52:$Z52,MIN(AT$6-$E$3,22))&lt;&gt;""),'Milho 2ª safra'!$E52:INDEX('Milho 2ª safra'!$E52:$Z52,MIN(AT$6-$E$3,22))),0))-IF($G$2,0,IF((AT$6-$G$3)&lt;1,0,IFERROR(LOOKUP(2,1/('Milho 2ª safra'!$E52:INDEX('Milho 2ª safra'!$E52:$Z52,MIN(AT$6-$G$3,22))&lt;&gt;""),'Milho 2ª safra'!$E52:INDEX('Milho 2ª safra'!$E52:$Z52,MIN(AT$6-$G$3,22))),0)))))</f>
        <v>0</v>
      </c>
      <c r="AU54" s="27" t="n">
        <f aca="false">IF(COUNT('Milho 2ª safra'!$E52:$Z52)=0,0,MAX(0,IF((AU$6-$E$3)&lt;1,0,IFERROR(LOOKUP(2,1/('Milho 2ª safra'!$E52:INDEX('Milho 2ª safra'!$E52:$Z52,MIN(AU$6-$E$3,22))&lt;&gt;""),'Milho 2ª safra'!$E52:INDEX('Milho 2ª safra'!$E52:$Z52,MIN(AU$6-$E$3,22))),0))-IF($G$2,0,IF((AU$6-$G$3)&lt;1,0,IFERROR(LOOKUP(2,1/('Milho 2ª safra'!$E52:INDEX('Milho 2ª safra'!$E52:$Z52,MIN(AU$6-$G$3,22))&lt;&gt;""),'Milho 2ª safra'!$E52:INDEX('Milho 2ª safra'!$E52:$Z52,MIN(AU$6-$G$3,22))),0)))))</f>
        <v>0</v>
      </c>
      <c r="AV54" s="27" t="n">
        <f aca="false">IF(COUNT('Milho 2ª safra'!$E52:$Z52)=0,0,MAX(0,IF((AV$6-$E$3)&lt;1,0,IFERROR(LOOKUP(2,1/('Milho 2ª safra'!$E52:INDEX('Milho 2ª safra'!$E52:$Z52,MIN(AV$6-$E$3,22))&lt;&gt;""),'Milho 2ª safra'!$E52:INDEX('Milho 2ª safra'!$E52:$Z52,MIN(AV$6-$E$3,22))),0))-IF($G$2,0,IF((AV$6-$G$3)&lt;1,0,IFERROR(LOOKUP(2,1/('Milho 2ª safra'!$E52:INDEX('Milho 2ª safra'!$E52:$Z52,MIN(AV$6-$G$3,22))&lt;&gt;""),'Milho 2ª safra'!$E52:INDEX('Milho 2ª safra'!$E52:$Z52,MIN(AV$6-$G$3,22))),0)))))</f>
        <v>0</v>
      </c>
      <c r="AW54" s="27" t="n">
        <f aca="false">IF(COUNT('Milho 2ª safra'!$E52:$Z52)=0,0,MAX(0,IF((AW$6-$E$3)&lt;1,0,IFERROR(LOOKUP(2,1/('Milho 2ª safra'!$E52:INDEX('Milho 2ª safra'!$E52:$Z52,MIN(AW$6-$E$3,22))&lt;&gt;""),'Milho 2ª safra'!$E52:INDEX('Milho 2ª safra'!$E52:$Z52,MIN(AW$6-$E$3,22))),0))-IF($G$2,0,IF((AW$6-$G$3)&lt;1,0,IFERROR(LOOKUP(2,1/('Milho 2ª safra'!$E52:INDEX('Milho 2ª safra'!$E52:$Z52,MIN(AW$6-$G$3,22))&lt;&gt;""),'Milho 2ª safra'!$E52:INDEX('Milho 2ª safra'!$E52:$Z52,MIN(AW$6-$G$3,22))),0)))))</f>
        <v>0</v>
      </c>
      <c r="AX54" s="27" t="n">
        <f aca="false">IF(COUNT('Milho 2ª safra'!$E52:$Z52)=0,0,MAX(0,IF((AX$6-$E$3)&lt;1,0,IFERROR(LOOKUP(2,1/('Milho 2ª safra'!$E52:INDEX('Milho 2ª safra'!$E52:$Z52,MIN(AX$6-$E$3,22))&lt;&gt;""),'Milho 2ª safra'!$E52:INDEX('Milho 2ª safra'!$E52:$Z52,MIN(AX$6-$E$3,22))),0))-IF($G$2,0,IF((AX$6-$G$3)&lt;1,0,IFERROR(LOOKUP(2,1/('Milho 2ª safra'!$E52:INDEX('Milho 2ª safra'!$E52:$Z52,MIN(AX$6-$G$3,22))&lt;&gt;""),'Milho 2ª safra'!$E52:INDEX('Milho 2ª safra'!$E52:$Z52,MIN(AX$6-$G$3,22))),0)))))</f>
        <v>0</v>
      </c>
      <c r="AY54" s="27" t="n">
        <f aca="false">IF(COUNT('Milho 2ª safra'!$E52:$Z52)=0,0,MAX(0,IF((AY$6-$E$3)&lt;1,0,IFERROR(LOOKUP(2,1/('Milho 2ª safra'!$E52:INDEX('Milho 2ª safra'!$E52:$Z52,MIN(AY$6-$E$3,22))&lt;&gt;""),'Milho 2ª safra'!$E52:INDEX('Milho 2ª safra'!$E52:$Z52,MIN(AY$6-$E$3,22))),0))-IF($G$2,0,IF((AY$6-$G$3)&lt;1,0,IFERROR(LOOKUP(2,1/('Milho 2ª safra'!$E52:INDEX('Milho 2ª safra'!$E52:$Z52,MIN(AY$6-$G$3,22))&lt;&gt;""),'Milho 2ª safra'!$E52:INDEX('Milho 2ª safra'!$E52:$Z52,MIN(AY$6-$G$3,22))),0)))))</f>
        <v>0</v>
      </c>
      <c r="AZ54" s="27" t="n">
        <f aca="false">IF(COUNT('Milho 2ª safra'!$E52:$Z52)=0,0,MAX(0,IF((AZ$6-$E$3)&lt;1,0,IFERROR(LOOKUP(2,1/('Milho 2ª safra'!$E52:INDEX('Milho 2ª safra'!$E52:$Z52,MIN(AZ$6-$E$3,22))&lt;&gt;""),'Milho 2ª safra'!$E52:INDEX('Milho 2ª safra'!$E52:$Z52,MIN(AZ$6-$E$3,22))),0))-IF($G$2,0,IF((AZ$6-$G$3)&lt;1,0,IFERROR(LOOKUP(2,1/('Milho 2ª safra'!$E52:INDEX('Milho 2ª safra'!$E52:$Z52,MIN(AZ$6-$G$3,22))&lt;&gt;""),'Milho 2ª safra'!$E52:INDEX('Milho 2ª safra'!$E52:$Z52,MIN(AZ$6-$G$3,22))),0)))))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IF(COUNT('Milho 2ª safra'!$E53:$Z53)&gt;0,N('Milho 2ª safra'!$D53),0)</f>
        <v>0</v>
      </c>
      <c r="E55" s="27" t="n">
        <f aca="false">IF(COUNT('Milho 2ª safra'!$E53:$Z53)=0,0,MAX(0,IF((E$6-$E$3)&lt;1,0,IFERROR(LOOKUP(2,1/('Milho 2ª safra'!$E53:INDEX('Milho 2ª safra'!$E53:$Z53,MIN(E$6-$E$3,22))&lt;&gt;""),'Milho 2ª safra'!$E53:INDEX('Milho 2ª safra'!$E53:$Z53,MIN(E$6-$E$3,22))),0))-IF($G$2,0,IF((E$6-$G$3)&lt;1,0,IFERROR(LOOKUP(2,1/('Milho 2ª safra'!$E53:INDEX('Milho 2ª safra'!$E53:$Z53,MIN(E$6-$G$3,22))&lt;&gt;""),'Milho 2ª safra'!$E53:INDEX('Milho 2ª safra'!$E53:$Z53,MIN(E$6-$G$3,22))),0)))))</f>
        <v>0</v>
      </c>
      <c r="F55" s="27" t="n">
        <f aca="false">IF(COUNT('Milho 2ª safra'!$E53:$Z53)=0,0,MAX(0,IF((F$6-$E$3)&lt;1,0,IFERROR(LOOKUP(2,1/('Milho 2ª safra'!$E53:INDEX('Milho 2ª safra'!$E53:$Z53,MIN(F$6-$E$3,22))&lt;&gt;""),'Milho 2ª safra'!$E53:INDEX('Milho 2ª safra'!$E53:$Z53,MIN(F$6-$E$3,22))),0))-IF($G$2,0,IF((F$6-$G$3)&lt;1,0,IFERROR(LOOKUP(2,1/('Milho 2ª safra'!$E53:INDEX('Milho 2ª safra'!$E53:$Z53,MIN(F$6-$G$3,22))&lt;&gt;""),'Milho 2ª safra'!$E53:INDEX('Milho 2ª safra'!$E53:$Z53,MIN(F$6-$G$3,22))),0)))))</f>
        <v>0</v>
      </c>
      <c r="G55" s="27" t="n">
        <f aca="false">IF(COUNT('Milho 2ª safra'!$E53:$Z53)=0,0,MAX(0,IF((G$6-$E$3)&lt;1,0,IFERROR(LOOKUP(2,1/('Milho 2ª safra'!$E53:INDEX('Milho 2ª safra'!$E53:$Z53,MIN(G$6-$E$3,22))&lt;&gt;""),'Milho 2ª safra'!$E53:INDEX('Milho 2ª safra'!$E53:$Z53,MIN(G$6-$E$3,22))),0))-IF($G$2,0,IF((G$6-$G$3)&lt;1,0,IFERROR(LOOKUP(2,1/('Milho 2ª safra'!$E53:INDEX('Milho 2ª safra'!$E53:$Z53,MIN(G$6-$G$3,22))&lt;&gt;""),'Milho 2ª safra'!$E53:INDEX('Milho 2ª safra'!$E53:$Z53,MIN(G$6-$G$3,22))),0)))))</f>
        <v>0</v>
      </c>
      <c r="H55" s="27" t="n">
        <f aca="false">IF(COUNT('Milho 2ª safra'!$E53:$Z53)=0,0,MAX(0,IF((H$6-$E$3)&lt;1,0,IFERROR(LOOKUP(2,1/('Milho 2ª safra'!$E53:INDEX('Milho 2ª safra'!$E53:$Z53,MIN(H$6-$E$3,22))&lt;&gt;""),'Milho 2ª safra'!$E53:INDEX('Milho 2ª safra'!$E53:$Z53,MIN(H$6-$E$3,22))),0))-IF($G$2,0,IF((H$6-$G$3)&lt;1,0,IFERROR(LOOKUP(2,1/('Milho 2ª safra'!$E53:INDEX('Milho 2ª safra'!$E53:$Z53,MIN(H$6-$G$3,22))&lt;&gt;""),'Milho 2ª safra'!$E53:INDEX('Milho 2ª safra'!$E53:$Z53,MIN(H$6-$G$3,22))),0)))))</f>
        <v>0</v>
      </c>
      <c r="I55" s="27" t="n">
        <f aca="false">IF(COUNT('Milho 2ª safra'!$E53:$Z53)=0,0,MAX(0,IF((I$6-$E$3)&lt;1,0,IFERROR(LOOKUP(2,1/('Milho 2ª safra'!$E53:INDEX('Milho 2ª safra'!$E53:$Z53,MIN(I$6-$E$3,22))&lt;&gt;""),'Milho 2ª safra'!$E53:INDEX('Milho 2ª safra'!$E53:$Z53,MIN(I$6-$E$3,22))),0))-IF($G$2,0,IF((I$6-$G$3)&lt;1,0,IFERROR(LOOKUP(2,1/('Milho 2ª safra'!$E53:INDEX('Milho 2ª safra'!$E53:$Z53,MIN(I$6-$G$3,22))&lt;&gt;""),'Milho 2ª safra'!$E53:INDEX('Milho 2ª safra'!$E53:$Z53,MIN(I$6-$G$3,22))),0)))))</f>
        <v>0</v>
      </c>
      <c r="J55" s="27" t="n">
        <f aca="false">IF(COUNT('Milho 2ª safra'!$E53:$Z53)=0,0,MAX(0,IF((J$6-$E$3)&lt;1,0,IFERROR(LOOKUP(2,1/('Milho 2ª safra'!$E53:INDEX('Milho 2ª safra'!$E53:$Z53,MIN(J$6-$E$3,22))&lt;&gt;""),'Milho 2ª safra'!$E53:INDEX('Milho 2ª safra'!$E53:$Z53,MIN(J$6-$E$3,22))),0))-IF($G$2,0,IF((J$6-$G$3)&lt;1,0,IFERROR(LOOKUP(2,1/('Milho 2ª safra'!$E53:INDEX('Milho 2ª safra'!$E53:$Z53,MIN(J$6-$G$3,22))&lt;&gt;""),'Milho 2ª safra'!$E53:INDEX('Milho 2ª safra'!$E53:$Z53,MIN(J$6-$G$3,22))),0)))))</f>
        <v>0</v>
      </c>
      <c r="K55" s="27" t="n">
        <f aca="false">IF(COUNT('Milho 2ª safra'!$E53:$Z53)=0,0,MAX(0,IF((K$6-$E$3)&lt;1,0,IFERROR(LOOKUP(2,1/('Milho 2ª safra'!$E53:INDEX('Milho 2ª safra'!$E53:$Z53,MIN(K$6-$E$3,22))&lt;&gt;""),'Milho 2ª safra'!$E53:INDEX('Milho 2ª safra'!$E53:$Z53,MIN(K$6-$E$3,22))),0))-IF($G$2,0,IF((K$6-$G$3)&lt;1,0,IFERROR(LOOKUP(2,1/('Milho 2ª safra'!$E53:INDEX('Milho 2ª safra'!$E53:$Z53,MIN(K$6-$G$3,22))&lt;&gt;""),'Milho 2ª safra'!$E53:INDEX('Milho 2ª safra'!$E53:$Z53,MIN(K$6-$G$3,22))),0)))))</f>
        <v>0</v>
      </c>
      <c r="L55" s="27" t="n">
        <f aca="false">IF(COUNT('Milho 2ª safra'!$E53:$Z53)=0,0,MAX(0,IF((L$6-$E$3)&lt;1,0,IFERROR(LOOKUP(2,1/('Milho 2ª safra'!$E53:INDEX('Milho 2ª safra'!$E53:$Z53,MIN(L$6-$E$3,22))&lt;&gt;""),'Milho 2ª safra'!$E53:INDEX('Milho 2ª safra'!$E53:$Z53,MIN(L$6-$E$3,22))),0))-IF($G$2,0,IF((L$6-$G$3)&lt;1,0,IFERROR(LOOKUP(2,1/('Milho 2ª safra'!$E53:INDEX('Milho 2ª safra'!$E53:$Z53,MIN(L$6-$G$3,22))&lt;&gt;""),'Milho 2ª safra'!$E53:INDEX('Milho 2ª safra'!$E53:$Z53,MIN(L$6-$G$3,22))),0)))))</f>
        <v>0</v>
      </c>
      <c r="M55" s="27" t="n">
        <f aca="false">IF(COUNT('Milho 2ª safra'!$E53:$Z53)=0,0,MAX(0,IF((M$6-$E$3)&lt;1,0,IFERROR(LOOKUP(2,1/('Milho 2ª safra'!$E53:INDEX('Milho 2ª safra'!$E53:$Z53,MIN(M$6-$E$3,22))&lt;&gt;""),'Milho 2ª safra'!$E53:INDEX('Milho 2ª safra'!$E53:$Z53,MIN(M$6-$E$3,22))),0))-IF($G$2,0,IF((M$6-$G$3)&lt;1,0,IFERROR(LOOKUP(2,1/('Milho 2ª safra'!$E53:INDEX('Milho 2ª safra'!$E53:$Z53,MIN(M$6-$G$3,22))&lt;&gt;""),'Milho 2ª safra'!$E53:INDEX('Milho 2ª safra'!$E53:$Z53,MIN(M$6-$G$3,22))),0)))))</f>
        <v>0</v>
      </c>
      <c r="N55" s="27" t="n">
        <f aca="false">IF(COUNT('Milho 2ª safra'!$E53:$Z53)=0,0,MAX(0,IF((N$6-$E$3)&lt;1,0,IFERROR(LOOKUP(2,1/('Milho 2ª safra'!$E53:INDEX('Milho 2ª safra'!$E53:$Z53,MIN(N$6-$E$3,22))&lt;&gt;""),'Milho 2ª safra'!$E53:INDEX('Milho 2ª safra'!$E53:$Z53,MIN(N$6-$E$3,22))),0))-IF($G$2,0,IF((N$6-$G$3)&lt;1,0,IFERROR(LOOKUP(2,1/('Milho 2ª safra'!$E53:INDEX('Milho 2ª safra'!$E53:$Z53,MIN(N$6-$G$3,22))&lt;&gt;""),'Milho 2ª safra'!$E53:INDEX('Milho 2ª safra'!$E53:$Z53,MIN(N$6-$G$3,22))),0)))))</f>
        <v>0</v>
      </c>
      <c r="O55" s="27" t="n">
        <f aca="false">IF(COUNT('Milho 2ª safra'!$E53:$Z53)=0,0,MAX(0,IF((O$6-$E$3)&lt;1,0,IFERROR(LOOKUP(2,1/('Milho 2ª safra'!$E53:INDEX('Milho 2ª safra'!$E53:$Z53,MIN(O$6-$E$3,22))&lt;&gt;""),'Milho 2ª safra'!$E53:INDEX('Milho 2ª safra'!$E53:$Z53,MIN(O$6-$E$3,22))),0))-IF($G$2,0,IF((O$6-$G$3)&lt;1,0,IFERROR(LOOKUP(2,1/('Milho 2ª safra'!$E53:INDEX('Milho 2ª safra'!$E53:$Z53,MIN(O$6-$G$3,22))&lt;&gt;""),'Milho 2ª safra'!$E53:INDEX('Milho 2ª safra'!$E53:$Z53,MIN(O$6-$G$3,22))),0)))))</f>
        <v>0</v>
      </c>
      <c r="P55" s="27" t="n">
        <f aca="false">IF(COUNT('Milho 2ª safra'!$E53:$Z53)=0,0,MAX(0,IF((P$6-$E$3)&lt;1,0,IFERROR(LOOKUP(2,1/('Milho 2ª safra'!$E53:INDEX('Milho 2ª safra'!$E53:$Z53,MIN(P$6-$E$3,22))&lt;&gt;""),'Milho 2ª safra'!$E53:INDEX('Milho 2ª safra'!$E53:$Z53,MIN(P$6-$E$3,22))),0))-IF($G$2,0,IF((P$6-$G$3)&lt;1,0,IFERROR(LOOKUP(2,1/('Milho 2ª safra'!$E53:INDEX('Milho 2ª safra'!$E53:$Z53,MIN(P$6-$G$3,22))&lt;&gt;""),'Milho 2ª safra'!$E53:INDEX('Milho 2ª safra'!$E53:$Z53,MIN(P$6-$G$3,22))),0)))))</f>
        <v>0</v>
      </c>
      <c r="Q55" s="27" t="n">
        <f aca="false">IF(COUNT('Milho 2ª safra'!$E53:$Z53)=0,0,MAX(0,IF((Q$6-$E$3)&lt;1,0,IFERROR(LOOKUP(2,1/('Milho 2ª safra'!$E53:INDEX('Milho 2ª safra'!$E53:$Z53,MIN(Q$6-$E$3,22))&lt;&gt;""),'Milho 2ª safra'!$E53:INDEX('Milho 2ª safra'!$E53:$Z53,MIN(Q$6-$E$3,22))),0))-IF($G$2,0,IF((Q$6-$G$3)&lt;1,0,IFERROR(LOOKUP(2,1/('Milho 2ª safra'!$E53:INDEX('Milho 2ª safra'!$E53:$Z53,MIN(Q$6-$G$3,22))&lt;&gt;""),'Milho 2ª safra'!$E53:INDEX('Milho 2ª safra'!$E53:$Z53,MIN(Q$6-$G$3,22))),0)))))</f>
        <v>0</v>
      </c>
      <c r="R55" s="27" t="n">
        <f aca="false">IF(COUNT('Milho 2ª safra'!$E53:$Z53)=0,0,MAX(0,IF((R$6-$E$3)&lt;1,0,IFERROR(LOOKUP(2,1/('Milho 2ª safra'!$E53:INDEX('Milho 2ª safra'!$E53:$Z53,MIN(R$6-$E$3,22))&lt;&gt;""),'Milho 2ª safra'!$E53:INDEX('Milho 2ª safra'!$E53:$Z53,MIN(R$6-$E$3,22))),0))-IF($G$2,0,IF((R$6-$G$3)&lt;1,0,IFERROR(LOOKUP(2,1/('Milho 2ª safra'!$E53:INDEX('Milho 2ª safra'!$E53:$Z53,MIN(R$6-$G$3,22))&lt;&gt;""),'Milho 2ª safra'!$E53:INDEX('Milho 2ª safra'!$E53:$Z53,MIN(R$6-$G$3,22))),0)))))</f>
        <v>0</v>
      </c>
      <c r="S55" s="27" t="n">
        <f aca="false">IF(COUNT('Milho 2ª safra'!$E53:$Z53)=0,0,MAX(0,IF((S$6-$E$3)&lt;1,0,IFERROR(LOOKUP(2,1/('Milho 2ª safra'!$E53:INDEX('Milho 2ª safra'!$E53:$Z53,MIN(S$6-$E$3,22))&lt;&gt;""),'Milho 2ª safra'!$E53:INDEX('Milho 2ª safra'!$E53:$Z53,MIN(S$6-$E$3,22))),0))-IF($G$2,0,IF((S$6-$G$3)&lt;1,0,IFERROR(LOOKUP(2,1/('Milho 2ª safra'!$E53:INDEX('Milho 2ª safra'!$E53:$Z53,MIN(S$6-$G$3,22))&lt;&gt;""),'Milho 2ª safra'!$E53:INDEX('Milho 2ª safra'!$E53:$Z53,MIN(S$6-$G$3,22))),0)))))</f>
        <v>0</v>
      </c>
      <c r="T55" s="27" t="n">
        <f aca="false">IF(COUNT('Milho 2ª safra'!$E53:$Z53)=0,0,MAX(0,IF((T$6-$E$3)&lt;1,0,IFERROR(LOOKUP(2,1/('Milho 2ª safra'!$E53:INDEX('Milho 2ª safra'!$E53:$Z53,MIN(T$6-$E$3,22))&lt;&gt;""),'Milho 2ª safra'!$E53:INDEX('Milho 2ª safra'!$E53:$Z53,MIN(T$6-$E$3,22))),0))-IF($G$2,0,IF((T$6-$G$3)&lt;1,0,IFERROR(LOOKUP(2,1/('Milho 2ª safra'!$E53:INDEX('Milho 2ª safra'!$E53:$Z53,MIN(T$6-$G$3,22))&lt;&gt;""),'Milho 2ª safra'!$E53:INDEX('Milho 2ª safra'!$E53:$Z53,MIN(T$6-$G$3,22))),0)))))</f>
        <v>0</v>
      </c>
      <c r="U55" s="27" t="n">
        <f aca="false">IF(COUNT('Milho 2ª safra'!$E53:$Z53)=0,0,MAX(0,IF((U$6-$E$3)&lt;1,0,IFERROR(LOOKUP(2,1/('Milho 2ª safra'!$E53:INDEX('Milho 2ª safra'!$E53:$Z53,MIN(U$6-$E$3,22))&lt;&gt;""),'Milho 2ª safra'!$E53:INDEX('Milho 2ª safra'!$E53:$Z53,MIN(U$6-$E$3,22))),0))-IF($G$2,0,IF((U$6-$G$3)&lt;1,0,IFERROR(LOOKUP(2,1/('Milho 2ª safra'!$E53:INDEX('Milho 2ª safra'!$E53:$Z53,MIN(U$6-$G$3,22))&lt;&gt;""),'Milho 2ª safra'!$E53:INDEX('Milho 2ª safra'!$E53:$Z53,MIN(U$6-$G$3,22))),0)))))</f>
        <v>0</v>
      </c>
      <c r="V55" s="27" t="n">
        <f aca="false">IF(COUNT('Milho 2ª safra'!$E53:$Z53)=0,0,MAX(0,IF((V$6-$E$3)&lt;1,0,IFERROR(LOOKUP(2,1/('Milho 2ª safra'!$E53:INDEX('Milho 2ª safra'!$E53:$Z53,MIN(V$6-$E$3,22))&lt;&gt;""),'Milho 2ª safra'!$E53:INDEX('Milho 2ª safra'!$E53:$Z53,MIN(V$6-$E$3,22))),0))-IF($G$2,0,IF((V$6-$G$3)&lt;1,0,IFERROR(LOOKUP(2,1/('Milho 2ª safra'!$E53:INDEX('Milho 2ª safra'!$E53:$Z53,MIN(V$6-$G$3,22))&lt;&gt;""),'Milho 2ª safra'!$E53:INDEX('Milho 2ª safra'!$E53:$Z53,MIN(V$6-$G$3,22))),0)))))</f>
        <v>0</v>
      </c>
      <c r="W55" s="27" t="n">
        <f aca="false">IF(COUNT('Milho 2ª safra'!$E53:$Z53)=0,0,MAX(0,IF((W$6-$E$3)&lt;1,0,IFERROR(LOOKUP(2,1/('Milho 2ª safra'!$E53:INDEX('Milho 2ª safra'!$E53:$Z53,MIN(W$6-$E$3,22))&lt;&gt;""),'Milho 2ª safra'!$E53:INDEX('Milho 2ª safra'!$E53:$Z53,MIN(W$6-$E$3,22))),0))-IF($G$2,0,IF((W$6-$G$3)&lt;1,0,IFERROR(LOOKUP(2,1/('Milho 2ª safra'!$E53:INDEX('Milho 2ª safra'!$E53:$Z53,MIN(W$6-$G$3,22))&lt;&gt;""),'Milho 2ª safra'!$E53:INDEX('Milho 2ª safra'!$E53:$Z53,MIN(W$6-$G$3,22))),0)))))</f>
        <v>0</v>
      </c>
      <c r="X55" s="27" t="n">
        <f aca="false">IF(COUNT('Milho 2ª safra'!$E53:$Z53)=0,0,MAX(0,IF((X$6-$E$3)&lt;1,0,IFERROR(LOOKUP(2,1/('Milho 2ª safra'!$E53:INDEX('Milho 2ª safra'!$E53:$Z53,MIN(X$6-$E$3,22))&lt;&gt;""),'Milho 2ª safra'!$E53:INDEX('Milho 2ª safra'!$E53:$Z53,MIN(X$6-$E$3,22))),0))-IF($G$2,0,IF((X$6-$G$3)&lt;1,0,IFERROR(LOOKUP(2,1/('Milho 2ª safra'!$E53:INDEX('Milho 2ª safra'!$E53:$Z53,MIN(X$6-$G$3,22))&lt;&gt;""),'Milho 2ª safra'!$E53:INDEX('Milho 2ª safra'!$E53:$Z53,MIN(X$6-$G$3,22))),0)))))</f>
        <v>0</v>
      </c>
      <c r="Y55" s="27" t="n">
        <f aca="false">IF(COUNT('Milho 2ª safra'!$E53:$Z53)=0,0,MAX(0,IF((Y$6-$E$3)&lt;1,0,IFERROR(LOOKUP(2,1/('Milho 2ª safra'!$E53:INDEX('Milho 2ª safra'!$E53:$Z53,MIN(Y$6-$E$3,22))&lt;&gt;""),'Milho 2ª safra'!$E53:INDEX('Milho 2ª safra'!$E53:$Z53,MIN(Y$6-$E$3,22))),0))-IF($G$2,0,IF((Y$6-$G$3)&lt;1,0,IFERROR(LOOKUP(2,1/('Milho 2ª safra'!$E53:INDEX('Milho 2ª safra'!$E53:$Z53,MIN(Y$6-$G$3,22))&lt;&gt;""),'Milho 2ª safra'!$E53:INDEX('Milho 2ª safra'!$E53:$Z53,MIN(Y$6-$G$3,22))),0)))))</f>
        <v>0</v>
      </c>
      <c r="Z55" s="27" t="n">
        <f aca="false">IF(COUNT('Milho 2ª safra'!$E53:$Z53)=0,0,MAX(0,IF((Z$6-$E$3)&lt;1,0,IFERROR(LOOKUP(2,1/('Milho 2ª safra'!$E53:INDEX('Milho 2ª safra'!$E53:$Z53,MIN(Z$6-$E$3,22))&lt;&gt;""),'Milho 2ª safra'!$E53:INDEX('Milho 2ª safra'!$E53:$Z53,MIN(Z$6-$E$3,22))),0))-IF($G$2,0,IF((Z$6-$G$3)&lt;1,0,IFERROR(LOOKUP(2,1/('Milho 2ª safra'!$E53:INDEX('Milho 2ª safra'!$E53:$Z53,MIN(Z$6-$G$3,22))&lt;&gt;""),'Milho 2ª safra'!$E53:INDEX('Milho 2ª safra'!$E53:$Z53,MIN(Z$6-$G$3,22))),0)))))</f>
        <v>0</v>
      </c>
      <c r="AA55" s="27" t="n">
        <f aca="false">IF(COUNT('Milho 2ª safra'!$E53:$Z53)=0,0,MAX(0,IF((AA$6-$E$3)&lt;1,0,IFERROR(LOOKUP(2,1/('Milho 2ª safra'!$E53:INDEX('Milho 2ª safra'!$E53:$Z53,MIN(AA$6-$E$3,22))&lt;&gt;""),'Milho 2ª safra'!$E53:INDEX('Milho 2ª safra'!$E53:$Z53,MIN(AA$6-$E$3,22))),0))-IF($G$2,0,IF((AA$6-$G$3)&lt;1,0,IFERROR(LOOKUP(2,1/('Milho 2ª safra'!$E53:INDEX('Milho 2ª safra'!$E53:$Z53,MIN(AA$6-$G$3,22))&lt;&gt;""),'Milho 2ª safra'!$E53:INDEX('Milho 2ª safra'!$E53:$Z53,MIN(AA$6-$G$3,22))),0)))))</f>
        <v>0</v>
      </c>
      <c r="AB55" s="27" t="n">
        <f aca="false">IF(COUNT('Milho 2ª safra'!$E53:$Z53)=0,0,MAX(0,IF((AB$6-$E$3)&lt;1,0,IFERROR(LOOKUP(2,1/('Milho 2ª safra'!$E53:INDEX('Milho 2ª safra'!$E53:$Z53,MIN(AB$6-$E$3,22))&lt;&gt;""),'Milho 2ª safra'!$E53:INDEX('Milho 2ª safra'!$E53:$Z53,MIN(AB$6-$E$3,22))),0))-IF($G$2,0,IF((AB$6-$G$3)&lt;1,0,IFERROR(LOOKUP(2,1/('Milho 2ª safra'!$E53:INDEX('Milho 2ª safra'!$E53:$Z53,MIN(AB$6-$G$3,22))&lt;&gt;""),'Milho 2ª safra'!$E53:INDEX('Milho 2ª safra'!$E53:$Z53,MIN(AB$6-$G$3,22))),0)))))</f>
        <v>0</v>
      </c>
      <c r="AC55" s="27" t="n">
        <f aca="false">IF(COUNT('Milho 2ª safra'!$E53:$Z53)=0,0,MAX(0,IF((AC$6-$E$3)&lt;1,0,IFERROR(LOOKUP(2,1/('Milho 2ª safra'!$E53:INDEX('Milho 2ª safra'!$E53:$Z53,MIN(AC$6-$E$3,22))&lt;&gt;""),'Milho 2ª safra'!$E53:INDEX('Milho 2ª safra'!$E53:$Z53,MIN(AC$6-$E$3,22))),0))-IF($G$2,0,IF((AC$6-$G$3)&lt;1,0,IFERROR(LOOKUP(2,1/('Milho 2ª safra'!$E53:INDEX('Milho 2ª safra'!$E53:$Z53,MIN(AC$6-$G$3,22))&lt;&gt;""),'Milho 2ª safra'!$E53:INDEX('Milho 2ª safra'!$E53:$Z53,MIN(AC$6-$G$3,22))),0)))))</f>
        <v>0</v>
      </c>
      <c r="AD55" s="27" t="n">
        <f aca="false">IF(COUNT('Milho 2ª safra'!$E53:$Z53)=0,0,MAX(0,IF((AD$6-$E$3)&lt;1,0,IFERROR(LOOKUP(2,1/('Milho 2ª safra'!$E53:INDEX('Milho 2ª safra'!$E53:$Z53,MIN(AD$6-$E$3,22))&lt;&gt;""),'Milho 2ª safra'!$E53:INDEX('Milho 2ª safra'!$E53:$Z53,MIN(AD$6-$E$3,22))),0))-IF($G$2,0,IF((AD$6-$G$3)&lt;1,0,IFERROR(LOOKUP(2,1/('Milho 2ª safra'!$E53:INDEX('Milho 2ª safra'!$E53:$Z53,MIN(AD$6-$G$3,22))&lt;&gt;""),'Milho 2ª safra'!$E53:INDEX('Milho 2ª safra'!$E53:$Z53,MIN(AD$6-$G$3,22))),0)))))</f>
        <v>0</v>
      </c>
      <c r="AE55" s="27" t="n">
        <f aca="false">IF(COUNT('Milho 2ª safra'!$E53:$Z53)=0,0,MAX(0,IF((AE$6-$E$3)&lt;1,0,IFERROR(LOOKUP(2,1/('Milho 2ª safra'!$E53:INDEX('Milho 2ª safra'!$E53:$Z53,MIN(AE$6-$E$3,22))&lt;&gt;""),'Milho 2ª safra'!$E53:INDEX('Milho 2ª safra'!$E53:$Z53,MIN(AE$6-$E$3,22))),0))-IF($G$2,0,IF((AE$6-$G$3)&lt;1,0,IFERROR(LOOKUP(2,1/('Milho 2ª safra'!$E53:INDEX('Milho 2ª safra'!$E53:$Z53,MIN(AE$6-$G$3,22))&lt;&gt;""),'Milho 2ª safra'!$E53:INDEX('Milho 2ª safra'!$E53:$Z53,MIN(AE$6-$G$3,22))),0)))))</f>
        <v>0</v>
      </c>
      <c r="AF55" s="27" t="n">
        <f aca="false">IF(COUNT('Milho 2ª safra'!$E53:$Z53)=0,0,MAX(0,IF((AF$6-$E$3)&lt;1,0,IFERROR(LOOKUP(2,1/('Milho 2ª safra'!$E53:INDEX('Milho 2ª safra'!$E53:$Z53,MIN(AF$6-$E$3,22))&lt;&gt;""),'Milho 2ª safra'!$E53:INDEX('Milho 2ª safra'!$E53:$Z53,MIN(AF$6-$E$3,22))),0))-IF($G$2,0,IF((AF$6-$G$3)&lt;1,0,IFERROR(LOOKUP(2,1/('Milho 2ª safra'!$E53:INDEX('Milho 2ª safra'!$E53:$Z53,MIN(AF$6-$G$3,22))&lt;&gt;""),'Milho 2ª safra'!$E53:INDEX('Milho 2ª safra'!$E53:$Z53,MIN(AF$6-$G$3,22))),0)))))</f>
        <v>0</v>
      </c>
      <c r="AG55" s="27" t="n">
        <f aca="false">IF(COUNT('Milho 2ª safra'!$E53:$Z53)=0,0,MAX(0,IF((AG$6-$E$3)&lt;1,0,IFERROR(LOOKUP(2,1/('Milho 2ª safra'!$E53:INDEX('Milho 2ª safra'!$E53:$Z53,MIN(AG$6-$E$3,22))&lt;&gt;""),'Milho 2ª safra'!$E53:INDEX('Milho 2ª safra'!$E53:$Z53,MIN(AG$6-$E$3,22))),0))-IF($G$2,0,IF((AG$6-$G$3)&lt;1,0,IFERROR(LOOKUP(2,1/('Milho 2ª safra'!$E53:INDEX('Milho 2ª safra'!$E53:$Z53,MIN(AG$6-$G$3,22))&lt;&gt;""),'Milho 2ª safra'!$E53:INDEX('Milho 2ª safra'!$E53:$Z53,MIN(AG$6-$G$3,22))),0)))))</f>
        <v>0</v>
      </c>
      <c r="AH55" s="27" t="n">
        <f aca="false">IF(COUNT('Milho 2ª safra'!$E53:$Z53)=0,0,MAX(0,IF((AH$6-$E$3)&lt;1,0,IFERROR(LOOKUP(2,1/('Milho 2ª safra'!$E53:INDEX('Milho 2ª safra'!$E53:$Z53,MIN(AH$6-$E$3,22))&lt;&gt;""),'Milho 2ª safra'!$E53:INDEX('Milho 2ª safra'!$E53:$Z53,MIN(AH$6-$E$3,22))),0))-IF($G$2,0,IF((AH$6-$G$3)&lt;1,0,IFERROR(LOOKUP(2,1/('Milho 2ª safra'!$E53:INDEX('Milho 2ª safra'!$E53:$Z53,MIN(AH$6-$G$3,22))&lt;&gt;""),'Milho 2ª safra'!$E53:INDEX('Milho 2ª safra'!$E53:$Z53,MIN(AH$6-$G$3,22))),0)))))</f>
        <v>0</v>
      </c>
      <c r="AI55" s="27" t="n">
        <f aca="false">IF(COUNT('Milho 2ª safra'!$E53:$Z53)=0,0,MAX(0,IF((AI$6-$E$3)&lt;1,0,IFERROR(LOOKUP(2,1/('Milho 2ª safra'!$E53:INDEX('Milho 2ª safra'!$E53:$Z53,MIN(AI$6-$E$3,22))&lt;&gt;""),'Milho 2ª safra'!$E53:INDEX('Milho 2ª safra'!$E53:$Z53,MIN(AI$6-$E$3,22))),0))-IF($G$2,0,IF((AI$6-$G$3)&lt;1,0,IFERROR(LOOKUP(2,1/('Milho 2ª safra'!$E53:INDEX('Milho 2ª safra'!$E53:$Z53,MIN(AI$6-$G$3,22))&lt;&gt;""),'Milho 2ª safra'!$E53:INDEX('Milho 2ª safra'!$E53:$Z53,MIN(AI$6-$G$3,22))),0)))))</f>
        <v>0</v>
      </c>
      <c r="AJ55" s="27" t="n">
        <f aca="false">IF(COUNT('Milho 2ª safra'!$E53:$Z53)=0,0,MAX(0,IF((AJ$6-$E$3)&lt;1,0,IFERROR(LOOKUP(2,1/('Milho 2ª safra'!$E53:INDEX('Milho 2ª safra'!$E53:$Z53,MIN(AJ$6-$E$3,22))&lt;&gt;""),'Milho 2ª safra'!$E53:INDEX('Milho 2ª safra'!$E53:$Z53,MIN(AJ$6-$E$3,22))),0))-IF($G$2,0,IF((AJ$6-$G$3)&lt;1,0,IFERROR(LOOKUP(2,1/('Milho 2ª safra'!$E53:INDEX('Milho 2ª safra'!$E53:$Z53,MIN(AJ$6-$G$3,22))&lt;&gt;""),'Milho 2ª safra'!$E53:INDEX('Milho 2ª safra'!$E53:$Z53,MIN(AJ$6-$G$3,22))),0)))))</f>
        <v>0</v>
      </c>
      <c r="AK55" s="27" t="n">
        <f aca="false">IF(COUNT('Milho 2ª safra'!$E53:$Z53)=0,0,MAX(0,IF((AK$6-$E$3)&lt;1,0,IFERROR(LOOKUP(2,1/('Milho 2ª safra'!$E53:INDEX('Milho 2ª safra'!$E53:$Z53,MIN(AK$6-$E$3,22))&lt;&gt;""),'Milho 2ª safra'!$E53:INDEX('Milho 2ª safra'!$E53:$Z53,MIN(AK$6-$E$3,22))),0))-IF($G$2,0,IF((AK$6-$G$3)&lt;1,0,IFERROR(LOOKUP(2,1/('Milho 2ª safra'!$E53:INDEX('Milho 2ª safra'!$E53:$Z53,MIN(AK$6-$G$3,22))&lt;&gt;""),'Milho 2ª safra'!$E53:INDEX('Milho 2ª safra'!$E53:$Z53,MIN(AK$6-$G$3,22))),0)))))</f>
        <v>0</v>
      </c>
      <c r="AL55" s="27" t="n">
        <f aca="false">IF(COUNT('Milho 2ª safra'!$E53:$Z53)=0,0,MAX(0,IF((AL$6-$E$3)&lt;1,0,IFERROR(LOOKUP(2,1/('Milho 2ª safra'!$E53:INDEX('Milho 2ª safra'!$E53:$Z53,MIN(AL$6-$E$3,22))&lt;&gt;""),'Milho 2ª safra'!$E53:INDEX('Milho 2ª safra'!$E53:$Z53,MIN(AL$6-$E$3,22))),0))-IF($G$2,0,IF((AL$6-$G$3)&lt;1,0,IFERROR(LOOKUP(2,1/('Milho 2ª safra'!$E53:INDEX('Milho 2ª safra'!$E53:$Z53,MIN(AL$6-$G$3,22))&lt;&gt;""),'Milho 2ª safra'!$E53:INDEX('Milho 2ª safra'!$E53:$Z53,MIN(AL$6-$G$3,22))),0)))))</f>
        <v>0</v>
      </c>
      <c r="AM55" s="27" t="n">
        <f aca="false">IF(COUNT('Milho 2ª safra'!$E53:$Z53)=0,0,MAX(0,IF((AM$6-$E$3)&lt;1,0,IFERROR(LOOKUP(2,1/('Milho 2ª safra'!$E53:INDEX('Milho 2ª safra'!$E53:$Z53,MIN(AM$6-$E$3,22))&lt;&gt;""),'Milho 2ª safra'!$E53:INDEX('Milho 2ª safra'!$E53:$Z53,MIN(AM$6-$E$3,22))),0))-IF($G$2,0,IF((AM$6-$G$3)&lt;1,0,IFERROR(LOOKUP(2,1/('Milho 2ª safra'!$E53:INDEX('Milho 2ª safra'!$E53:$Z53,MIN(AM$6-$G$3,22))&lt;&gt;""),'Milho 2ª safra'!$E53:INDEX('Milho 2ª safra'!$E53:$Z53,MIN(AM$6-$G$3,22))),0)))))</f>
        <v>0</v>
      </c>
      <c r="AN55" s="27" t="n">
        <f aca="false">IF(COUNT('Milho 2ª safra'!$E53:$Z53)=0,0,MAX(0,IF((AN$6-$E$3)&lt;1,0,IFERROR(LOOKUP(2,1/('Milho 2ª safra'!$E53:INDEX('Milho 2ª safra'!$E53:$Z53,MIN(AN$6-$E$3,22))&lt;&gt;""),'Milho 2ª safra'!$E53:INDEX('Milho 2ª safra'!$E53:$Z53,MIN(AN$6-$E$3,22))),0))-IF($G$2,0,IF((AN$6-$G$3)&lt;1,0,IFERROR(LOOKUP(2,1/('Milho 2ª safra'!$E53:INDEX('Milho 2ª safra'!$E53:$Z53,MIN(AN$6-$G$3,22))&lt;&gt;""),'Milho 2ª safra'!$E53:INDEX('Milho 2ª safra'!$E53:$Z53,MIN(AN$6-$G$3,22))),0)))))</f>
        <v>0</v>
      </c>
      <c r="AO55" s="27" t="n">
        <f aca="false">IF(COUNT('Milho 2ª safra'!$E53:$Z53)=0,0,MAX(0,IF((AO$6-$E$3)&lt;1,0,IFERROR(LOOKUP(2,1/('Milho 2ª safra'!$E53:INDEX('Milho 2ª safra'!$E53:$Z53,MIN(AO$6-$E$3,22))&lt;&gt;""),'Milho 2ª safra'!$E53:INDEX('Milho 2ª safra'!$E53:$Z53,MIN(AO$6-$E$3,22))),0))-IF($G$2,0,IF((AO$6-$G$3)&lt;1,0,IFERROR(LOOKUP(2,1/('Milho 2ª safra'!$E53:INDEX('Milho 2ª safra'!$E53:$Z53,MIN(AO$6-$G$3,22))&lt;&gt;""),'Milho 2ª safra'!$E53:INDEX('Milho 2ª safra'!$E53:$Z53,MIN(AO$6-$G$3,22))),0)))))</f>
        <v>0</v>
      </c>
      <c r="AP55" s="27" t="n">
        <f aca="false">IF(COUNT('Milho 2ª safra'!$E53:$Z53)=0,0,MAX(0,IF((AP$6-$E$3)&lt;1,0,IFERROR(LOOKUP(2,1/('Milho 2ª safra'!$E53:INDEX('Milho 2ª safra'!$E53:$Z53,MIN(AP$6-$E$3,22))&lt;&gt;""),'Milho 2ª safra'!$E53:INDEX('Milho 2ª safra'!$E53:$Z53,MIN(AP$6-$E$3,22))),0))-IF($G$2,0,IF((AP$6-$G$3)&lt;1,0,IFERROR(LOOKUP(2,1/('Milho 2ª safra'!$E53:INDEX('Milho 2ª safra'!$E53:$Z53,MIN(AP$6-$G$3,22))&lt;&gt;""),'Milho 2ª safra'!$E53:INDEX('Milho 2ª safra'!$E53:$Z53,MIN(AP$6-$G$3,22))),0)))))</f>
        <v>0</v>
      </c>
      <c r="AQ55" s="27" t="n">
        <f aca="false">IF(COUNT('Milho 2ª safra'!$E53:$Z53)=0,0,MAX(0,IF((AQ$6-$E$3)&lt;1,0,IFERROR(LOOKUP(2,1/('Milho 2ª safra'!$E53:INDEX('Milho 2ª safra'!$E53:$Z53,MIN(AQ$6-$E$3,22))&lt;&gt;""),'Milho 2ª safra'!$E53:INDEX('Milho 2ª safra'!$E53:$Z53,MIN(AQ$6-$E$3,22))),0))-IF($G$2,0,IF((AQ$6-$G$3)&lt;1,0,IFERROR(LOOKUP(2,1/('Milho 2ª safra'!$E53:INDEX('Milho 2ª safra'!$E53:$Z53,MIN(AQ$6-$G$3,22))&lt;&gt;""),'Milho 2ª safra'!$E53:INDEX('Milho 2ª safra'!$E53:$Z53,MIN(AQ$6-$G$3,22))),0)))))</f>
        <v>0</v>
      </c>
      <c r="AR55" s="27" t="n">
        <f aca="false">IF(COUNT('Milho 2ª safra'!$E53:$Z53)=0,0,MAX(0,IF((AR$6-$E$3)&lt;1,0,IFERROR(LOOKUP(2,1/('Milho 2ª safra'!$E53:INDEX('Milho 2ª safra'!$E53:$Z53,MIN(AR$6-$E$3,22))&lt;&gt;""),'Milho 2ª safra'!$E53:INDEX('Milho 2ª safra'!$E53:$Z53,MIN(AR$6-$E$3,22))),0))-IF($G$2,0,IF((AR$6-$G$3)&lt;1,0,IFERROR(LOOKUP(2,1/('Milho 2ª safra'!$E53:INDEX('Milho 2ª safra'!$E53:$Z53,MIN(AR$6-$G$3,22))&lt;&gt;""),'Milho 2ª safra'!$E53:INDEX('Milho 2ª safra'!$E53:$Z53,MIN(AR$6-$G$3,22))),0)))))</f>
        <v>0</v>
      </c>
      <c r="AS55" s="27" t="n">
        <f aca="false">IF(COUNT('Milho 2ª safra'!$E53:$Z53)=0,0,MAX(0,IF((AS$6-$E$3)&lt;1,0,IFERROR(LOOKUP(2,1/('Milho 2ª safra'!$E53:INDEX('Milho 2ª safra'!$E53:$Z53,MIN(AS$6-$E$3,22))&lt;&gt;""),'Milho 2ª safra'!$E53:INDEX('Milho 2ª safra'!$E53:$Z53,MIN(AS$6-$E$3,22))),0))-IF($G$2,0,IF((AS$6-$G$3)&lt;1,0,IFERROR(LOOKUP(2,1/('Milho 2ª safra'!$E53:INDEX('Milho 2ª safra'!$E53:$Z53,MIN(AS$6-$G$3,22))&lt;&gt;""),'Milho 2ª safra'!$E53:INDEX('Milho 2ª safra'!$E53:$Z53,MIN(AS$6-$G$3,22))),0)))))</f>
        <v>0</v>
      </c>
      <c r="AT55" s="27" t="n">
        <f aca="false">IF(COUNT('Milho 2ª safra'!$E53:$Z53)=0,0,MAX(0,IF((AT$6-$E$3)&lt;1,0,IFERROR(LOOKUP(2,1/('Milho 2ª safra'!$E53:INDEX('Milho 2ª safra'!$E53:$Z53,MIN(AT$6-$E$3,22))&lt;&gt;""),'Milho 2ª safra'!$E53:INDEX('Milho 2ª safra'!$E53:$Z53,MIN(AT$6-$E$3,22))),0))-IF($G$2,0,IF((AT$6-$G$3)&lt;1,0,IFERROR(LOOKUP(2,1/('Milho 2ª safra'!$E53:INDEX('Milho 2ª safra'!$E53:$Z53,MIN(AT$6-$G$3,22))&lt;&gt;""),'Milho 2ª safra'!$E53:INDEX('Milho 2ª safra'!$E53:$Z53,MIN(AT$6-$G$3,22))),0)))))</f>
        <v>0</v>
      </c>
      <c r="AU55" s="27" t="n">
        <f aca="false">IF(COUNT('Milho 2ª safra'!$E53:$Z53)=0,0,MAX(0,IF((AU$6-$E$3)&lt;1,0,IFERROR(LOOKUP(2,1/('Milho 2ª safra'!$E53:INDEX('Milho 2ª safra'!$E53:$Z53,MIN(AU$6-$E$3,22))&lt;&gt;""),'Milho 2ª safra'!$E53:INDEX('Milho 2ª safra'!$E53:$Z53,MIN(AU$6-$E$3,22))),0))-IF($G$2,0,IF((AU$6-$G$3)&lt;1,0,IFERROR(LOOKUP(2,1/('Milho 2ª safra'!$E53:INDEX('Milho 2ª safra'!$E53:$Z53,MIN(AU$6-$G$3,22))&lt;&gt;""),'Milho 2ª safra'!$E53:INDEX('Milho 2ª safra'!$E53:$Z53,MIN(AU$6-$G$3,22))),0)))))</f>
        <v>0</v>
      </c>
      <c r="AV55" s="27" t="n">
        <f aca="false">IF(COUNT('Milho 2ª safra'!$E53:$Z53)=0,0,MAX(0,IF((AV$6-$E$3)&lt;1,0,IFERROR(LOOKUP(2,1/('Milho 2ª safra'!$E53:INDEX('Milho 2ª safra'!$E53:$Z53,MIN(AV$6-$E$3,22))&lt;&gt;""),'Milho 2ª safra'!$E53:INDEX('Milho 2ª safra'!$E53:$Z53,MIN(AV$6-$E$3,22))),0))-IF($G$2,0,IF((AV$6-$G$3)&lt;1,0,IFERROR(LOOKUP(2,1/('Milho 2ª safra'!$E53:INDEX('Milho 2ª safra'!$E53:$Z53,MIN(AV$6-$G$3,22))&lt;&gt;""),'Milho 2ª safra'!$E53:INDEX('Milho 2ª safra'!$E53:$Z53,MIN(AV$6-$G$3,22))),0)))))</f>
        <v>0</v>
      </c>
      <c r="AW55" s="27" t="n">
        <f aca="false">IF(COUNT('Milho 2ª safra'!$E53:$Z53)=0,0,MAX(0,IF((AW$6-$E$3)&lt;1,0,IFERROR(LOOKUP(2,1/('Milho 2ª safra'!$E53:INDEX('Milho 2ª safra'!$E53:$Z53,MIN(AW$6-$E$3,22))&lt;&gt;""),'Milho 2ª safra'!$E53:INDEX('Milho 2ª safra'!$E53:$Z53,MIN(AW$6-$E$3,22))),0))-IF($G$2,0,IF((AW$6-$G$3)&lt;1,0,IFERROR(LOOKUP(2,1/('Milho 2ª safra'!$E53:INDEX('Milho 2ª safra'!$E53:$Z53,MIN(AW$6-$G$3,22))&lt;&gt;""),'Milho 2ª safra'!$E53:INDEX('Milho 2ª safra'!$E53:$Z53,MIN(AW$6-$G$3,22))),0)))))</f>
        <v>0</v>
      </c>
      <c r="AX55" s="27" t="n">
        <f aca="false">IF(COUNT('Milho 2ª safra'!$E53:$Z53)=0,0,MAX(0,IF((AX$6-$E$3)&lt;1,0,IFERROR(LOOKUP(2,1/('Milho 2ª safra'!$E53:INDEX('Milho 2ª safra'!$E53:$Z53,MIN(AX$6-$E$3,22))&lt;&gt;""),'Milho 2ª safra'!$E53:INDEX('Milho 2ª safra'!$E53:$Z53,MIN(AX$6-$E$3,22))),0))-IF($G$2,0,IF((AX$6-$G$3)&lt;1,0,IFERROR(LOOKUP(2,1/('Milho 2ª safra'!$E53:INDEX('Milho 2ª safra'!$E53:$Z53,MIN(AX$6-$G$3,22))&lt;&gt;""),'Milho 2ª safra'!$E53:INDEX('Milho 2ª safra'!$E53:$Z53,MIN(AX$6-$G$3,22))),0)))))</f>
        <v>0</v>
      </c>
      <c r="AY55" s="27" t="n">
        <f aca="false">IF(COUNT('Milho 2ª safra'!$E53:$Z53)=0,0,MAX(0,IF((AY$6-$E$3)&lt;1,0,IFERROR(LOOKUP(2,1/('Milho 2ª safra'!$E53:INDEX('Milho 2ª safra'!$E53:$Z53,MIN(AY$6-$E$3,22))&lt;&gt;""),'Milho 2ª safra'!$E53:INDEX('Milho 2ª safra'!$E53:$Z53,MIN(AY$6-$E$3,22))),0))-IF($G$2,0,IF((AY$6-$G$3)&lt;1,0,IFERROR(LOOKUP(2,1/('Milho 2ª safra'!$E53:INDEX('Milho 2ª safra'!$E53:$Z53,MIN(AY$6-$G$3,22))&lt;&gt;""),'Milho 2ª safra'!$E53:INDEX('Milho 2ª safra'!$E53:$Z53,MIN(AY$6-$G$3,22))),0)))))</f>
        <v>0</v>
      </c>
      <c r="AZ55" s="27" t="n">
        <f aca="false">IF(COUNT('Milho 2ª safra'!$E53:$Z53)=0,0,MAX(0,IF((AZ$6-$E$3)&lt;1,0,IFERROR(LOOKUP(2,1/('Milho 2ª safra'!$E53:INDEX('Milho 2ª safra'!$E53:$Z53,MIN(AZ$6-$E$3,22))&lt;&gt;""),'Milho 2ª safra'!$E53:INDEX('Milho 2ª safra'!$E53:$Z53,MIN(AZ$6-$E$3,22))),0))-IF($G$2,0,IF((AZ$6-$G$3)&lt;1,0,IFERROR(LOOKUP(2,1/('Milho 2ª safra'!$E53:INDEX('Milho 2ª safra'!$E53:$Z53,MIN(AZ$6-$G$3,22))&lt;&gt;""),'Milho 2ª safra'!$E53:INDEX('Milho 2ª safra'!$E53:$Z53,MIN(AZ$6-$G$3,22))),0)))))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IF(COUNT('Milho 2ª safra'!$E54:$Z54)&gt;0,N('Milho 2ª safra'!$D54),0)</f>
        <v>0</v>
      </c>
      <c r="E56" s="27" t="n">
        <f aca="false">IF(COUNT('Milho 2ª safra'!$E54:$Z54)=0,0,MAX(0,IF((E$6-$E$3)&lt;1,0,IFERROR(LOOKUP(2,1/('Milho 2ª safra'!$E54:INDEX('Milho 2ª safra'!$E54:$Z54,MIN(E$6-$E$3,22))&lt;&gt;""),'Milho 2ª safra'!$E54:INDEX('Milho 2ª safra'!$E54:$Z54,MIN(E$6-$E$3,22))),0))-IF($G$2,0,IF((E$6-$G$3)&lt;1,0,IFERROR(LOOKUP(2,1/('Milho 2ª safra'!$E54:INDEX('Milho 2ª safra'!$E54:$Z54,MIN(E$6-$G$3,22))&lt;&gt;""),'Milho 2ª safra'!$E54:INDEX('Milho 2ª safra'!$E54:$Z54,MIN(E$6-$G$3,22))),0)))))</f>
        <v>0</v>
      </c>
      <c r="F56" s="27" t="n">
        <f aca="false">IF(COUNT('Milho 2ª safra'!$E54:$Z54)=0,0,MAX(0,IF((F$6-$E$3)&lt;1,0,IFERROR(LOOKUP(2,1/('Milho 2ª safra'!$E54:INDEX('Milho 2ª safra'!$E54:$Z54,MIN(F$6-$E$3,22))&lt;&gt;""),'Milho 2ª safra'!$E54:INDEX('Milho 2ª safra'!$E54:$Z54,MIN(F$6-$E$3,22))),0))-IF($G$2,0,IF((F$6-$G$3)&lt;1,0,IFERROR(LOOKUP(2,1/('Milho 2ª safra'!$E54:INDEX('Milho 2ª safra'!$E54:$Z54,MIN(F$6-$G$3,22))&lt;&gt;""),'Milho 2ª safra'!$E54:INDEX('Milho 2ª safra'!$E54:$Z54,MIN(F$6-$G$3,22))),0)))))</f>
        <v>0</v>
      </c>
      <c r="G56" s="27" t="n">
        <f aca="false">IF(COUNT('Milho 2ª safra'!$E54:$Z54)=0,0,MAX(0,IF((G$6-$E$3)&lt;1,0,IFERROR(LOOKUP(2,1/('Milho 2ª safra'!$E54:INDEX('Milho 2ª safra'!$E54:$Z54,MIN(G$6-$E$3,22))&lt;&gt;""),'Milho 2ª safra'!$E54:INDEX('Milho 2ª safra'!$E54:$Z54,MIN(G$6-$E$3,22))),0))-IF($G$2,0,IF((G$6-$G$3)&lt;1,0,IFERROR(LOOKUP(2,1/('Milho 2ª safra'!$E54:INDEX('Milho 2ª safra'!$E54:$Z54,MIN(G$6-$G$3,22))&lt;&gt;""),'Milho 2ª safra'!$E54:INDEX('Milho 2ª safra'!$E54:$Z54,MIN(G$6-$G$3,22))),0)))))</f>
        <v>0</v>
      </c>
      <c r="H56" s="27" t="n">
        <f aca="false">IF(COUNT('Milho 2ª safra'!$E54:$Z54)=0,0,MAX(0,IF((H$6-$E$3)&lt;1,0,IFERROR(LOOKUP(2,1/('Milho 2ª safra'!$E54:INDEX('Milho 2ª safra'!$E54:$Z54,MIN(H$6-$E$3,22))&lt;&gt;""),'Milho 2ª safra'!$E54:INDEX('Milho 2ª safra'!$E54:$Z54,MIN(H$6-$E$3,22))),0))-IF($G$2,0,IF((H$6-$G$3)&lt;1,0,IFERROR(LOOKUP(2,1/('Milho 2ª safra'!$E54:INDEX('Milho 2ª safra'!$E54:$Z54,MIN(H$6-$G$3,22))&lt;&gt;""),'Milho 2ª safra'!$E54:INDEX('Milho 2ª safra'!$E54:$Z54,MIN(H$6-$G$3,22))),0)))))</f>
        <v>0</v>
      </c>
      <c r="I56" s="27" t="n">
        <f aca="false">IF(COUNT('Milho 2ª safra'!$E54:$Z54)=0,0,MAX(0,IF((I$6-$E$3)&lt;1,0,IFERROR(LOOKUP(2,1/('Milho 2ª safra'!$E54:INDEX('Milho 2ª safra'!$E54:$Z54,MIN(I$6-$E$3,22))&lt;&gt;""),'Milho 2ª safra'!$E54:INDEX('Milho 2ª safra'!$E54:$Z54,MIN(I$6-$E$3,22))),0))-IF($G$2,0,IF((I$6-$G$3)&lt;1,0,IFERROR(LOOKUP(2,1/('Milho 2ª safra'!$E54:INDEX('Milho 2ª safra'!$E54:$Z54,MIN(I$6-$G$3,22))&lt;&gt;""),'Milho 2ª safra'!$E54:INDEX('Milho 2ª safra'!$E54:$Z54,MIN(I$6-$G$3,22))),0)))))</f>
        <v>0</v>
      </c>
      <c r="J56" s="27" t="n">
        <f aca="false">IF(COUNT('Milho 2ª safra'!$E54:$Z54)=0,0,MAX(0,IF((J$6-$E$3)&lt;1,0,IFERROR(LOOKUP(2,1/('Milho 2ª safra'!$E54:INDEX('Milho 2ª safra'!$E54:$Z54,MIN(J$6-$E$3,22))&lt;&gt;""),'Milho 2ª safra'!$E54:INDEX('Milho 2ª safra'!$E54:$Z54,MIN(J$6-$E$3,22))),0))-IF($G$2,0,IF((J$6-$G$3)&lt;1,0,IFERROR(LOOKUP(2,1/('Milho 2ª safra'!$E54:INDEX('Milho 2ª safra'!$E54:$Z54,MIN(J$6-$G$3,22))&lt;&gt;""),'Milho 2ª safra'!$E54:INDEX('Milho 2ª safra'!$E54:$Z54,MIN(J$6-$G$3,22))),0)))))</f>
        <v>0</v>
      </c>
      <c r="K56" s="27" t="n">
        <f aca="false">IF(COUNT('Milho 2ª safra'!$E54:$Z54)=0,0,MAX(0,IF((K$6-$E$3)&lt;1,0,IFERROR(LOOKUP(2,1/('Milho 2ª safra'!$E54:INDEX('Milho 2ª safra'!$E54:$Z54,MIN(K$6-$E$3,22))&lt;&gt;""),'Milho 2ª safra'!$E54:INDEX('Milho 2ª safra'!$E54:$Z54,MIN(K$6-$E$3,22))),0))-IF($G$2,0,IF((K$6-$G$3)&lt;1,0,IFERROR(LOOKUP(2,1/('Milho 2ª safra'!$E54:INDEX('Milho 2ª safra'!$E54:$Z54,MIN(K$6-$G$3,22))&lt;&gt;""),'Milho 2ª safra'!$E54:INDEX('Milho 2ª safra'!$E54:$Z54,MIN(K$6-$G$3,22))),0)))))</f>
        <v>0</v>
      </c>
      <c r="L56" s="27" t="n">
        <f aca="false">IF(COUNT('Milho 2ª safra'!$E54:$Z54)=0,0,MAX(0,IF((L$6-$E$3)&lt;1,0,IFERROR(LOOKUP(2,1/('Milho 2ª safra'!$E54:INDEX('Milho 2ª safra'!$E54:$Z54,MIN(L$6-$E$3,22))&lt;&gt;""),'Milho 2ª safra'!$E54:INDEX('Milho 2ª safra'!$E54:$Z54,MIN(L$6-$E$3,22))),0))-IF($G$2,0,IF((L$6-$G$3)&lt;1,0,IFERROR(LOOKUP(2,1/('Milho 2ª safra'!$E54:INDEX('Milho 2ª safra'!$E54:$Z54,MIN(L$6-$G$3,22))&lt;&gt;""),'Milho 2ª safra'!$E54:INDEX('Milho 2ª safra'!$E54:$Z54,MIN(L$6-$G$3,22))),0)))))</f>
        <v>0</v>
      </c>
      <c r="M56" s="27" t="n">
        <f aca="false">IF(COUNT('Milho 2ª safra'!$E54:$Z54)=0,0,MAX(0,IF((M$6-$E$3)&lt;1,0,IFERROR(LOOKUP(2,1/('Milho 2ª safra'!$E54:INDEX('Milho 2ª safra'!$E54:$Z54,MIN(M$6-$E$3,22))&lt;&gt;""),'Milho 2ª safra'!$E54:INDEX('Milho 2ª safra'!$E54:$Z54,MIN(M$6-$E$3,22))),0))-IF($G$2,0,IF((M$6-$G$3)&lt;1,0,IFERROR(LOOKUP(2,1/('Milho 2ª safra'!$E54:INDEX('Milho 2ª safra'!$E54:$Z54,MIN(M$6-$G$3,22))&lt;&gt;""),'Milho 2ª safra'!$E54:INDEX('Milho 2ª safra'!$E54:$Z54,MIN(M$6-$G$3,22))),0)))))</f>
        <v>0</v>
      </c>
      <c r="N56" s="27" t="n">
        <f aca="false">IF(COUNT('Milho 2ª safra'!$E54:$Z54)=0,0,MAX(0,IF((N$6-$E$3)&lt;1,0,IFERROR(LOOKUP(2,1/('Milho 2ª safra'!$E54:INDEX('Milho 2ª safra'!$E54:$Z54,MIN(N$6-$E$3,22))&lt;&gt;""),'Milho 2ª safra'!$E54:INDEX('Milho 2ª safra'!$E54:$Z54,MIN(N$6-$E$3,22))),0))-IF($G$2,0,IF((N$6-$G$3)&lt;1,0,IFERROR(LOOKUP(2,1/('Milho 2ª safra'!$E54:INDEX('Milho 2ª safra'!$E54:$Z54,MIN(N$6-$G$3,22))&lt;&gt;""),'Milho 2ª safra'!$E54:INDEX('Milho 2ª safra'!$E54:$Z54,MIN(N$6-$G$3,22))),0)))))</f>
        <v>0</v>
      </c>
      <c r="O56" s="27" t="n">
        <f aca="false">IF(COUNT('Milho 2ª safra'!$E54:$Z54)=0,0,MAX(0,IF((O$6-$E$3)&lt;1,0,IFERROR(LOOKUP(2,1/('Milho 2ª safra'!$E54:INDEX('Milho 2ª safra'!$E54:$Z54,MIN(O$6-$E$3,22))&lt;&gt;""),'Milho 2ª safra'!$E54:INDEX('Milho 2ª safra'!$E54:$Z54,MIN(O$6-$E$3,22))),0))-IF($G$2,0,IF((O$6-$G$3)&lt;1,0,IFERROR(LOOKUP(2,1/('Milho 2ª safra'!$E54:INDEX('Milho 2ª safra'!$E54:$Z54,MIN(O$6-$G$3,22))&lt;&gt;""),'Milho 2ª safra'!$E54:INDEX('Milho 2ª safra'!$E54:$Z54,MIN(O$6-$G$3,22))),0)))))</f>
        <v>0</v>
      </c>
      <c r="P56" s="27" t="n">
        <f aca="false">IF(COUNT('Milho 2ª safra'!$E54:$Z54)=0,0,MAX(0,IF((P$6-$E$3)&lt;1,0,IFERROR(LOOKUP(2,1/('Milho 2ª safra'!$E54:INDEX('Milho 2ª safra'!$E54:$Z54,MIN(P$6-$E$3,22))&lt;&gt;""),'Milho 2ª safra'!$E54:INDEX('Milho 2ª safra'!$E54:$Z54,MIN(P$6-$E$3,22))),0))-IF($G$2,0,IF((P$6-$G$3)&lt;1,0,IFERROR(LOOKUP(2,1/('Milho 2ª safra'!$E54:INDEX('Milho 2ª safra'!$E54:$Z54,MIN(P$6-$G$3,22))&lt;&gt;""),'Milho 2ª safra'!$E54:INDEX('Milho 2ª safra'!$E54:$Z54,MIN(P$6-$G$3,22))),0)))))</f>
        <v>0</v>
      </c>
      <c r="Q56" s="27" t="n">
        <f aca="false">IF(COUNT('Milho 2ª safra'!$E54:$Z54)=0,0,MAX(0,IF((Q$6-$E$3)&lt;1,0,IFERROR(LOOKUP(2,1/('Milho 2ª safra'!$E54:INDEX('Milho 2ª safra'!$E54:$Z54,MIN(Q$6-$E$3,22))&lt;&gt;""),'Milho 2ª safra'!$E54:INDEX('Milho 2ª safra'!$E54:$Z54,MIN(Q$6-$E$3,22))),0))-IF($G$2,0,IF((Q$6-$G$3)&lt;1,0,IFERROR(LOOKUP(2,1/('Milho 2ª safra'!$E54:INDEX('Milho 2ª safra'!$E54:$Z54,MIN(Q$6-$G$3,22))&lt;&gt;""),'Milho 2ª safra'!$E54:INDEX('Milho 2ª safra'!$E54:$Z54,MIN(Q$6-$G$3,22))),0)))))</f>
        <v>0</v>
      </c>
      <c r="R56" s="27" t="n">
        <f aca="false">IF(COUNT('Milho 2ª safra'!$E54:$Z54)=0,0,MAX(0,IF((R$6-$E$3)&lt;1,0,IFERROR(LOOKUP(2,1/('Milho 2ª safra'!$E54:INDEX('Milho 2ª safra'!$E54:$Z54,MIN(R$6-$E$3,22))&lt;&gt;""),'Milho 2ª safra'!$E54:INDEX('Milho 2ª safra'!$E54:$Z54,MIN(R$6-$E$3,22))),0))-IF($G$2,0,IF((R$6-$G$3)&lt;1,0,IFERROR(LOOKUP(2,1/('Milho 2ª safra'!$E54:INDEX('Milho 2ª safra'!$E54:$Z54,MIN(R$6-$G$3,22))&lt;&gt;""),'Milho 2ª safra'!$E54:INDEX('Milho 2ª safra'!$E54:$Z54,MIN(R$6-$G$3,22))),0)))))</f>
        <v>0</v>
      </c>
      <c r="S56" s="27" t="n">
        <f aca="false">IF(COUNT('Milho 2ª safra'!$E54:$Z54)=0,0,MAX(0,IF((S$6-$E$3)&lt;1,0,IFERROR(LOOKUP(2,1/('Milho 2ª safra'!$E54:INDEX('Milho 2ª safra'!$E54:$Z54,MIN(S$6-$E$3,22))&lt;&gt;""),'Milho 2ª safra'!$E54:INDEX('Milho 2ª safra'!$E54:$Z54,MIN(S$6-$E$3,22))),0))-IF($G$2,0,IF((S$6-$G$3)&lt;1,0,IFERROR(LOOKUP(2,1/('Milho 2ª safra'!$E54:INDEX('Milho 2ª safra'!$E54:$Z54,MIN(S$6-$G$3,22))&lt;&gt;""),'Milho 2ª safra'!$E54:INDEX('Milho 2ª safra'!$E54:$Z54,MIN(S$6-$G$3,22))),0)))))</f>
        <v>0</v>
      </c>
      <c r="T56" s="27" t="n">
        <f aca="false">IF(COUNT('Milho 2ª safra'!$E54:$Z54)=0,0,MAX(0,IF((T$6-$E$3)&lt;1,0,IFERROR(LOOKUP(2,1/('Milho 2ª safra'!$E54:INDEX('Milho 2ª safra'!$E54:$Z54,MIN(T$6-$E$3,22))&lt;&gt;""),'Milho 2ª safra'!$E54:INDEX('Milho 2ª safra'!$E54:$Z54,MIN(T$6-$E$3,22))),0))-IF($G$2,0,IF((T$6-$G$3)&lt;1,0,IFERROR(LOOKUP(2,1/('Milho 2ª safra'!$E54:INDEX('Milho 2ª safra'!$E54:$Z54,MIN(T$6-$G$3,22))&lt;&gt;""),'Milho 2ª safra'!$E54:INDEX('Milho 2ª safra'!$E54:$Z54,MIN(T$6-$G$3,22))),0)))))</f>
        <v>0</v>
      </c>
      <c r="U56" s="27" t="n">
        <f aca="false">IF(COUNT('Milho 2ª safra'!$E54:$Z54)=0,0,MAX(0,IF((U$6-$E$3)&lt;1,0,IFERROR(LOOKUP(2,1/('Milho 2ª safra'!$E54:INDEX('Milho 2ª safra'!$E54:$Z54,MIN(U$6-$E$3,22))&lt;&gt;""),'Milho 2ª safra'!$E54:INDEX('Milho 2ª safra'!$E54:$Z54,MIN(U$6-$E$3,22))),0))-IF($G$2,0,IF((U$6-$G$3)&lt;1,0,IFERROR(LOOKUP(2,1/('Milho 2ª safra'!$E54:INDEX('Milho 2ª safra'!$E54:$Z54,MIN(U$6-$G$3,22))&lt;&gt;""),'Milho 2ª safra'!$E54:INDEX('Milho 2ª safra'!$E54:$Z54,MIN(U$6-$G$3,22))),0)))))</f>
        <v>0</v>
      </c>
      <c r="V56" s="27" t="n">
        <f aca="false">IF(COUNT('Milho 2ª safra'!$E54:$Z54)=0,0,MAX(0,IF((V$6-$E$3)&lt;1,0,IFERROR(LOOKUP(2,1/('Milho 2ª safra'!$E54:INDEX('Milho 2ª safra'!$E54:$Z54,MIN(V$6-$E$3,22))&lt;&gt;""),'Milho 2ª safra'!$E54:INDEX('Milho 2ª safra'!$E54:$Z54,MIN(V$6-$E$3,22))),0))-IF($G$2,0,IF((V$6-$G$3)&lt;1,0,IFERROR(LOOKUP(2,1/('Milho 2ª safra'!$E54:INDEX('Milho 2ª safra'!$E54:$Z54,MIN(V$6-$G$3,22))&lt;&gt;""),'Milho 2ª safra'!$E54:INDEX('Milho 2ª safra'!$E54:$Z54,MIN(V$6-$G$3,22))),0)))))</f>
        <v>0</v>
      </c>
      <c r="W56" s="27" t="n">
        <f aca="false">IF(COUNT('Milho 2ª safra'!$E54:$Z54)=0,0,MAX(0,IF((W$6-$E$3)&lt;1,0,IFERROR(LOOKUP(2,1/('Milho 2ª safra'!$E54:INDEX('Milho 2ª safra'!$E54:$Z54,MIN(W$6-$E$3,22))&lt;&gt;""),'Milho 2ª safra'!$E54:INDEX('Milho 2ª safra'!$E54:$Z54,MIN(W$6-$E$3,22))),0))-IF($G$2,0,IF((W$6-$G$3)&lt;1,0,IFERROR(LOOKUP(2,1/('Milho 2ª safra'!$E54:INDEX('Milho 2ª safra'!$E54:$Z54,MIN(W$6-$G$3,22))&lt;&gt;""),'Milho 2ª safra'!$E54:INDEX('Milho 2ª safra'!$E54:$Z54,MIN(W$6-$G$3,22))),0)))))</f>
        <v>0</v>
      </c>
      <c r="X56" s="27" t="n">
        <f aca="false">IF(COUNT('Milho 2ª safra'!$E54:$Z54)=0,0,MAX(0,IF((X$6-$E$3)&lt;1,0,IFERROR(LOOKUP(2,1/('Milho 2ª safra'!$E54:INDEX('Milho 2ª safra'!$E54:$Z54,MIN(X$6-$E$3,22))&lt;&gt;""),'Milho 2ª safra'!$E54:INDEX('Milho 2ª safra'!$E54:$Z54,MIN(X$6-$E$3,22))),0))-IF($G$2,0,IF((X$6-$G$3)&lt;1,0,IFERROR(LOOKUP(2,1/('Milho 2ª safra'!$E54:INDEX('Milho 2ª safra'!$E54:$Z54,MIN(X$6-$G$3,22))&lt;&gt;""),'Milho 2ª safra'!$E54:INDEX('Milho 2ª safra'!$E54:$Z54,MIN(X$6-$G$3,22))),0)))))</f>
        <v>0</v>
      </c>
      <c r="Y56" s="27" t="n">
        <f aca="false">IF(COUNT('Milho 2ª safra'!$E54:$Z54)=0,0,MAX(0,IF((Y$6-$E$3)&lt;1,0,IFERROR(LOOKUP(2,1/('Milho 2ª safra'!$E54:INDEX('Milho 2ª safra'!$E54:$Z54,MIN(Y$6-$E$3,22))&lt;&gt;""),'Milho 2ª safra'!$E54:INDEX('Milho 2ª safra'!$E54:$Z54,MIN(Y$6-$E$3,22))),0))-IF($G$2,0,IF((Y$6-$G$3)&lt;1,0,IFERROR(LOOKUP(2,1/('Milho 2ª safra'!$E54:INDEX('Milho 2ª safra'!$E54:$Z54,MIN(Y$6-$G$3,22))&lt;&gt;""),'Milho 2ª safra'!$E54:INDEX('Milho 2ª safra'!$E54:$Z54,MIN(Y$6-$G$3,22))),0)))))</f>
        <v>0</v>
      </c>
      <c r="Z56" s="27" t="n">
        <f aca="false">IF(COUNT('Milho 2ª safra'!$E54:$Z54)=0,0,MAX(0,IF((Z$6-$E$3)&lt;1,0,IFERROR(LOOKUP(2,1/('Milho 2ª safra'!$E54:INDEX('Milho 2ª safra'!$E54:$Z54,MIN(Z$6-$E$3,22))&lt;&gt;""),'Milho 2ª safra'!$E54:INDEX('Milho 2ª safra'!$E54:$Z54,MIN(Z$6-$E$3,22))),0))-IF($G$2,0,IF((Z$6-$G$3)&lt;1,0,IFERROR(LOOKUP(2,1/('Milho 2ª safra'!$E54:INDEX('Milho 2ª safra'!$E54:$Z54,MIN(Z$6-$G$3,22))&lt;&gt;""),'Milho 2ª safra'!$E54:INDEX('Milho 2ª safra'!$E54:$Z54,MIN(Z$6-$G$3,22))),0)))))</f>
        <v>0</v>
      </c>
      <c r="AA56" s="27" t="n">
        <f aca="false">IF(COUNT('Milho 2ª safra'!$E54:$Z54)=0,0,MAX(0,IF((AA$6-$E$3)&lt;1,0,IFERROR(LOOKUP(2,1/('Milho 2ª safra'!$E54:INDEX('Milho 2ª safra'!$E54:$Z54,MIN(AA$6-$E$3,22))&lt;&gt;""),'Milho 2ª safra'!$E54:INDEX('Milho 2ª safra'!$E54:$Z54,MIN(AA$6-$E$3,22))),0))-IF($G$2,0,IF((AA$6-$G$3)&lt;1,0,IFERROR(LOOKUP(2,1/('Milho 2ª safra'!$E54:INDEX('Milho 2ª safra'!$E54:$Z54,MIN(AA$6-$G$3,22))&lt;&gt;""),'Milho 2ª safra'!$E54:INDEX('Milho 2ª safra'!$E54:$Z54,MIN(AA$6-$G$3,22))),0)))))</f>
        <v>0</v>
      </c>
      <c r="AB56" s="27" t="n">
        <f aca="false">IF(COUNT('Milho 2ª safra'!$E54:$Z54)=0,0,MAX(0,IF((AB$6-$E$3)&lt;1,0,IFERROR(LOOKUP(2,1/('Milho 2ª safra'!$E54:INDEX('Milho 2ª safra'!$E54:$Z54,MIN(AB$6-$E$3,22))&lt;&gt;""),'Milho 2ª safra'!$E54:INDEX('Milho 2ª safra'!$E54:$Z54,MIN(AB$6-$E$3,22))),0))-IF($G$2,0,IF((AB$6-$G$3)&lt;1,0,IFERROR(LOOKUP(2,1/('Milho 2ª safra'!$E54:INDEX('Milho 2ª safra'!$E54:$Z54,MIN(AB$6-$G$3,22))&lt;&gt;""),'Milho 2ª safra'!$E54:INDEX('Milho 2ª safra'!$E54:$Z54,MIN(AB$6-$G$3,22))),0)))))</f>
        <v>0</v>
      </c>
      <c r="AC56" s="27" t="n">
        <f aca="false">IF(COUNT('Milho 2ª safra'!$E54:$Z54)=0,0,MAX(0,IF((AC$6-$E$3)&lt;1,0,IFERROR(LOOKUP(2,1/('Milho 2ª safra'!$E54:INDEX('Milho 2ª safra'!$E54:$Z54,MIN(AC$6-$E$3,22))&lt;&gt;""),'Milho 2ª safra'!$E54:INDEX('Milho 2ª safra'!$E54:$Z54,MIN(AC$6-$E$3,22))),0))-IF($G$2,0,IF((AC$6-$G$3)&lt;1,0,IFERROR(LOOKUP(2,1/('Milho 2ª safra'!$E54:INDEX('Milho 2ª safra'!$E54:$Z54,MIN(AC$6-$G$3,22))&lt;&gt;""),'Milho 2ª safra'!$E54:INDEX('Milho 2ª safra'!$E54:$Z54,MIN(AC$6-$G$3,22))),0)))))</f>
        <v>0</v>
      </c>
      <c r="AD56" s="27" t="n">
        <f aca="false">IF(COUNT('Milho 2ª safra'!$E54:$Z54)=0,0,MAX(0,IF((AD$6-$E$3)&lt;1,0,IFERROR(LOOKUP(2,1/('Milho 2ª safra'!$E54:INDEX('Milho 2ª safra'!$E54:$Z54,MIN(AD$6-$E$3,22))&lt;&gt;""),'Milho 2ª safra'!$E54:INDEX('Milho 2ª safra'!$E54:$Z54,MIN(AD$6-$E$3,22))),0))-IF($G$2,0,IF((AD$6-$G$3)&lt;1,0,IFERROR(LOOKUP(2,1/('Milho 2ª safra'!$E54:INDEX('Milho 2ª safra'!$E54:$Z54,MIN(AD$6-$G$3,22))&lt;&gt;""),'Milho 2ª safra'!$E54:INDEX('Milho 2ª safra'!$E54:$Z54,MIN(AD$6-$G$3,22))),0)))))</f>
        <v>0</v>
      </c>
      <c r="AE56" s="27" t="n">
        <f aca="false">IF(COUNT('Milho 2ª safra'!$E54:$Z54)=0,0,MAX(0,IF((AE$6-$E$3)&lt;1,0,IFERROR(LOOKUP(2,1/('Milho 2ª safra'!$E54:INDEX('Milho 2ª safra'!$E54:$Z54,MIN(AE$6-$E$3,22))&lt;&gt;""),'Milho 2ª safra'!$E54:INDEX('Milho 2ª safra'!$E54:$Z54,MIN(AE$6-$E$3,22))),0))-IF($G$2,0,IF((AE$6-$G$3)&lt;1,0,IFERROR(LOOKUP(2,1/('Milho 2ª safra'!$E54:INDEX('Milho 2ª safra'!$E54:$Z54,MIN(AE$6-$G$3,22))&lt;&gt;""),'Milho 2ª safra'!$E54:INDEX('Milho 2ª safra'!$E54:$Z54,MIN(AE$6-$G$3,22))),0)))))</f>
        <v>0</v>
      </c>
      <c r="AF56" s="27" t="n">
        <f aca="false">IF(COUNT('Milho 2ª safra'!$E54:$Z54)=0,0,MAX(0,IF((AF$6-$E$3)&lt;1,0,IFERROR(LOOKUP(2,1/('Milho 2ª safra'!$E54:INDEX('Milho 2ª safra'!$E54:$Z54,MIN(AF$6-$E$3,22))&lt;&gt;""),'Milho 2ª safra'!$E54:INDEX('Milho 2ª safra'!$E54:$Z54,MIN(AF$6-$E$3,22))),0))-IF($G$2,0,IF((AF$6-$G$3)&lt;1,0,IFERROR(LOOKUP(2,1/('Milho 2ª safra'!$E54:INDEX('Milho 2ª safra'!$E54:$Z54,MIN(AF$6-$G$3,22))&lt;&gt;""),'Milho 2ª safra'!$E54:INDEX('Milho 2ª safra'!$E54:$Z54,MIN(AF$6-$G$3,22))),0)))))</f>
        <v>0</v>
      </c>
      <c r="AG56" s="27" t="n">
        <f aca="false">IF(COUNT('Milho 2ª safra'!$E54:$Z54)=0,0,MAX(0,IF((AG$6-$E$3)&lt;1,0,IFERROR(LOOKUP(2,1/('Milho 2ª safra'!$E54:INDEX('Milho 2ª safra'!$E54:$Z54,MIN(AG$6-$E$3,22))&lt;&gt;""),'Milho 2ª safra'!$E54:INDEX('Milho 2ª safra'!$E54:$Z54,MIN(AG$6-$E$3,22))),0))-IF($G$2,0,IF((AG$6-$G$3)&lt;1,0,IFERROR(LOOKUP(2,1/('Milho 2ª safra'!$E54:INDEX('Milho 2ª safra'!$E54:$Z54,MIN(AG$6-$G$3,22))&lt;&gt;""),'Milho 2ª safra'!$E54:INDEX('Milho 2ª safra'!$E54:$Z54,MIN(AG$6-$G$3,22))),0)))))</f>
        <v>0</v>
      </c>
      <c r="AH56" s="27" t="n">
        <f aca="false">IF(COUNT('Milho 2ª safra'!$E54:$Z54)=0,0,MAX(0,IF((AH$6-$E$3)&lt;1,0,IFERROR(LOOKUP(2,1/('Milho 2ª safra'!$E54:INDEX('Milho 2ª safra'!$E54:$Z54,MIN(AH$6-$E$3,22))&lt;&gt;""),'Milho 2ª safra'!$E54:INDEX('Milho 2ª safra'!$E54:$Z54,MIN(AH$6-$E$3,22))),0))-IF($G$2,0,IF((AH$6-$G$3)&lt;1,0,IFERROR(LOOKUP(2,1/('Milho 2ª safra'!$E54:INDEX('Milho 2ª safra'!$E54:$Z54,MIN(AH$6-$G$3,22))&lt;&gt;""),'Milho 2ª safra'!$E54:INDEX('Milho 2ª safra'!$E54:$Z54,MIN(AH$6-$G$3,22))),0)))))</f>
        <v>0</v>
      </c>
      <c r="AI56" s="27" t="n">
        <f aca="false">IF(COUNT('Milho 2ª safra'!$E54:$Z54)=0,0,MAX(0,IF((AI$6-$E$3)&lt;1,0,IFERROR(LOOKUP(2,1/('Milho 2ª safra'!$E54:INDEX('Milho 2ª safra'!$E54:$Z54,MIN(AI$6-$E$3,22))&lt;&gt;""),'Milho 2ª safra'!$E54:INDEX('Milho 2ª safra'!$E54:$Z54,MIN(AI$6-$E$3,22))),0))-IF($G$2,0,IF((AI$6-$G$3)&lt;1,0,IFERROR(LOOKUP(2,1/('Milho 2ª safra'!$E54:INDEX('Milho 2ª safra'!$E54:$Z54,MIN(AI$6-$G$3,22))&lt;&gt;""),'Milho 2ª safra'!$E54:INDEX('Milho 2ª safra'!$E54:$Z54,MIN(AI$6-$G$3,22))),0)))))</f>
        <v>0</v>
      </c>
      <c r="AJ56" s="27" t="n">
        <f aca="false">IF(COUNT('Milho 2ª safra'!$E54:$Z54)=0,0,MAX(0,IF((AJ$6-$E$3)&lt;1,0,IFERROR(LOOKUP(2,1/('Milho 2ª safra'!$E54:INDEX('Milho 2ª safra'!$E54:$Z54,MIN(AJ$6-$E$3,22))&lt;&gt;""),'Milho 2ª safra'!$E54:INDEX('Milho 2ª safra'!$E54:$Z54,MIN(AJ$6-$E$3,22))),0))-IF($G$2,0,IF((AJ$6-$G$3)&lt;1,0,IFERROR(LOOKUP(2,1/('Milho 2ª safra'!$E54:INDEX('Milho 2ª safra'!$E54:$Z54,MIN(AJ$6-$G$3,22))&lt;&gt;""),'Milho 2ª safra'!$E54:INDEX('Milho 2ª safra'!$E54:$Z54,MIN(AJ$6-$G$3,22))),0)))))</f>
        <v>0</v>
      </c>
      <c r="AK56" s="27" t="n">
        <f aca="false">IF(COUNT('Milho 2ª safra'!$E54:$Z54)=0,0,MAX(0,IF((AK$6-$E$3)&lt;1,0,IFERROR(LOOKUP(2,1/('Milho 2ª safra'!$E54:INDEX('Milho 2ª safra'!$E54:$Z54,MIN(AK$6-$E$3,22))&lt;&gt;""),'Milho 2ª safra'!$E54:INDEX('Milho 2ª safra'!$E54:$Z54,MIN(AK$6-$E$3,22))),0))-IF($G$2,0,IF((AK$6-$G$3)&lt;1,0,IFERROR(LOOKUP(2,1/('Milho 2ª safra'!$E54:INDEX('Milho 2ª safra'!$E54:$Z54,MIN(AK$6-$G$3,22))&lt;&gt;""),'Milho 2ª safra'!$E54:INDEX('Milho 2ª safra'!$E54:$Z54,MIN(AK$6-$G$3,22))),0)))))</f>
        <v>0</v>
      </c>
      <c r="AL56" s="27" t="n">
        <f aca="false">IF(COUNT('Milho 2ª safra'!$E54:$Z54)=0,0,MAX(0,IF((AL$6-$E$3)&lt;1,0,IFERROR(LOOKUP(2,1/('Milho 2ª safra'!$E54:INDEX('Milho 2ª safra'!$E54:$Z54,MIN(AL$6-$E$3,22))&lt;&gt;""),'Milho 2ª safra'!$E54:INDEX('Milho 2ª safra'!$E54:$Z54,MIN(AL$6-$E$3,22))),0))-IF($G$2,0,IF((AL$6-$G$3)&lt;1,0,IFERROR(LOOKUP(2,1/('Milho 2ª safra'!$E54:INDEX('Milho 2ª safra'!$E54:$Z54,MIN(AL$6-$G$3,22))&lt;&gt;""),'Milho 2ª safra'!$E54:INDEX('Milho 2ª safra'!$E54:$Z54,MIN(AL$6-$G$3,22))),0)))))</f>
        <v>0</v>
      </c>
      <c r="AM56" s="27" t="n">
        <f aca="false">IF(COUNT('Milho 2ª safra'!$E54:$Z54)=0,0,MAX(0,IF((AM$6-$E$3)&lt;1,0,IFERROR(LOOKUP(2,1/('Milho 2ª safra'!$E54:INDEX('Milho 2ª safra'!$E54:$Z54,MIN(AM$6-$E$3,22))&lt;&gt;""),'Milho 2ª safra'!$E54:INDEX('Milho 2ª safra'!$E54:$Z54,MIN(AM$6-$E$3,22))),0))-IF($G$2,0,IF((AM$6-$G$3)&lt;1,0,IFERROR(LOOKUP(2,1/('Milho 2ª safra'!$E54:INDEX('Milho 2ª safra'!$E54:$Z54,MIN(AM$6-$G$3,22))&lt;&gt;""),'Milho 2ª safra'!$E54:INDEX('Milho 2ª safra'!$E54:$Z54,MIN(AM$6-$G$3,22))),0)))))</f>
        <v>0</v>
      </c>
      <c r="AN56" s="27" t="n">
        <f aca="false">IF(COUNT('Milho 2ª safra'!$E54:$Z54)=0,0,MAX(0,IF((AN$6-$E$3)&lt;1,0,IFERROR(LOOKUP(2,1/('Milho 2ª safra'!$E54:INDEX('Milho 2ª safra'!$E54:$Z54,MIN(AN$6-$E$3,22))&lt;&gt;""),'Milho 2ª safra'!$E54:INDEX('Milho 2ª safra'!$E54:$Z54,MIN(AN$6-$E$3,22))),0))-IF($G$2,0,IF((AN$6-$G$3)&lt;1,0,IFERROR(LOOKUP(2,1/('Milho 2ª safra'!$E54:INDEX('Milho 2ª safra'!$E54:$Z54,MIN(AN$6-$G$3,22))&lt;&gt;""),'Milho 2ª safra'!$E54:INDEX('Milho 2ª safra'!$E54:$Z54,MIN(AN$6-$G$3,22))),0)))))</f>
        <v>0</v>
      </c>
      <c r="AO56" s="27" t="n">
        <f aca="false">IF(COUNT('Milho 2ª safra'!$E54:$Z54)=0,0,MAX(0,IF((AO$6-$E$3)&lt;1,0,IFERROR(LOOKUP(2,1/('Milho 2ª safra'!$E54:INDEX('Milho 2ª safra'!$E54:$Z54,MIN(AO$6-$E$3,22))&lt;&gt;""),'Milho 2ª safra'!$E54:INDEX('Milho 2ª safra'!$E54:$Z54,MIN(AO$6-$E$3,22))),0))-IF($G$2,0,IF((AO$6-$G$3)&lt;1,0,IFERROR(LOOKUP(2,1/('Milho 2ª safra'!$E54:INDEX('Milho 2ª safra'!$E54:$Z54,MIN(AO$6-$G$3,22))&lt;&gt;""),'Milho 2ª safra'!$E54:INDEX('Milho 2ª safra'!$E54:$Z54,MIN(AO$6-$G$3,22))),0)))))</f>
        <v>0</v>
      </c>
      <c r="AP56" s="27" t="n">
        <f aca="false">IF(COUNT('Milho 2ª safra'!$E54:$Z54)=0,0,MAX(0,IF((AP$6-$E$3)&lt;1,0,IFERROR(LOOKUP(2,1/('Milho 2ª safra'!$E54:INDEX('Milho 2ª safra'!$E54:$Z54,MIN(AP$6-$E$3,22))&lt;&gt;""),'Milho 2ª safra'!$E54:INDEX('Milho 2ª safra'!$E54:$Z54,MIN(AP$6-$E$3,22))),0))-IF($G$2,0,IF((AP$6-$G$3)&lt;1,0,IFERROR(LOOKUP(2,1/('Milho 2ª safra'!$E54:INDEX('Milho 2ª safra'!$E54:$Z54,MIN(AP$6-$G$3,22))&lt;&gt;""),'Milho 2ª safra'!$E54:INDEX('Milho 2ª safra'!$E54:$Z54,MIN(AP$6-$G$3,22))),0)))))</f>
        <v>0</v>
      </c>
      <c r="AQ56" s="27" t="n">
        <f aca="false">IF(COUNT('Milho 2ª safra'!$E54:$Z54)=0,0,MAX(0,IF((AQ$6-$E$3)&lt;1,0,IFERROR(LOOKUP(2,1/('Milho 2ª safra'!$E54:INDEX('Milho 2ª safra'!$E54:$Z54,MIN(AQ$6-$E$3,22))&lt;&gt;""),'Milho 2ª safra'!$E54:INDEX('Milho 2ª safra'!$E54:$Z54,MIN(AQ$6-$E$3,22))),0))-IF($G$2,0,IF((AQ$6-$G$3)&lt;1,0,IFERROR(LOOKUP(2,1/('Milho 2ª safra'!$E54:INDEX('Milho 2ª safra'!$E54:$Z54,MIN(AQ$6-$G$3,22))&lt;&gt;""),'Milho 2ª safra'!$E54:INDEX('Milho 2ª safra'!$E54:$Z54,MIN(AQ$6-$G$3,22))),0)))))</f>
        <v>0</v>
      </c>
      <c r="AR56" s="27" t="n">
        <f aca="false">IF(COUNT('Milho 2ª safra'!$E54:$Z54)=0,0,MAX(0,IF((AR$6-$E$3)&lt;1,0,IFERROR(LOOKUP(2,1/('Milho 2ª safra'!$E54:INDEX('Milho 2ª safra'!$E54:$Z54,MIN(AR$6-$E$3,22))&lt;&gt;""),'Milho 2ª safra'!$E54:INDEX('Milho 2ª safra'!$E54:$Z54,MIN(AR$6-$E$3,22))),0))-IF($G$2,0,IF((AR$6-$G$3)&lt;1,0,IFERROR(LOOKUP(2,1/('Milho 2ª safra'!$E54:INDEX('Milho 2ª safra'!$E54:$Z54,MIN(AR$6-$G$3,22))&lt;&gt;""),'Milho 2ª safra'!$E54:INDEX('Milho 2ª safra'!$E54:$Z54,MIN(AR$6-$G$3,22))),0)))))</f>
        <v>0</v>
      </c>
      <c r="AS56" s="27" t="n">
        <f aca="false">IF(COUNT('Milho 2ª safra'!$E54:$Z54)=0,0,MAX(0,IF((AS$6-$E$3)&lt;1,0,IFERROR(LOOKUP(2,1/('Milho 2ª safra'!$E54:INDEX('Milho 2ª safra'!$E54:$Z54,MIN(AS$6-$E$3,22))&lt;&gt;""),'Milho 2ª safra'!$E54:INDEX('Milho 2ª safra'!$E54:$Z54,MIN(AS$6-$E$3,22))),0))-IF($G$2,0,IF((AS$6-$G$3)&lt;1,0,IFERROR(LOOKUP(2,1/('Milho 2ª safra'!$E54:INDEX('Milho 2ª safra'!$E54:$Z54,MIN(AS$6-$G$3,22))&lt;&gt;""),'Milho 2ª safra'!$E54:INDEX('Milho 2ª safra'!$E54:$Z54,MIN(AS$6-$G$3,22))),0)))))</f>
        <v>0</v>
      </c>
      <c r="AT56" s="27" t="n">
        <f aca="false">IF(COUNT('Milho 2ª safra'!$E54:$Z54)=0,0,MAX(0,IF((AT$6-$E$3)&lt;1,0,IFERROR(LOOKUP(2,1/('Milho 2ª safra'!$E54:INDEX('Milho 2ª safra'!$E54:$Z54,MIN(AT$6-$E$3,22))&lt;&gt;""),'Milho 2ª safra'!$E54:INDEX('Milho 2ª safra'!$E54:$Z54,MIN(AT$6-$E$3,22))),0))-IF($G$2,0,IF((AT$6-$G$3)&lt;1,0,IFERROR(LOOKUP(2,1/('Milho 2ª safra'!$E54:INDEX('Milho 2ª safra'!$E54:$Z54,MIN(AT$6-$G$3,22))&lt;&gt;""),'Milho 2ª safra'!$E54:INDEX('Milho 2ª safra'!$E54:$Z54,MIN(AT$6-$G$3,22))),0)))))</f>
        <v>0</v>
      </c>
      <c r="AU56" s="27" t="n">
        <f aca="false">IF(COUNT('Milho 2ª safra'!$E54:$Z54)=0,0,MAX(0,IF((AU$6-$E$3)&lt;1,0,IFERROR(LOOKUP(2,1/('Milho 2ª safra'!$E54:INDEX('Milho 2ª safra'!$E54:$Z54,MIN(AU$6-$E$3,22))&lt;&gt;""),'Milho 2ª safra'!$E54:INDEX('Milho 2ª safra'!$E54:$Z54,MIN(AU$6-$E$3,22))),0))-IF($G$2,0,IF((AU$6-$G$3)&lt;1,0,IFERROR(LOOKUP(2,1/('Milho 2ª safra'!$E54:INDEX('Milho 2ª safra'!$E54:$Z54,MIN(AU$6-$G$3,22))&lt;&gt;""),'Milho 2ª safra'!$E54:INDEX('Milho 2ª safra'!$E54:$Z54,MIN(AU$6-$G$3,22))),0)))))</f>
        <v>0</v>
      </c>
      <c r="AV56" s="27" t="n">
        <f aca="false">IF(COUNT('Milho 2ª safra'!$E54:$Z54)=0,0,MAX(0,IF((AV$6-$E$3)&lt;1,0,IFERROR(LOOKUP(2,1/('Milho 2ª safra'!$E54:INDEX('Milho 2ª safra'!$E54:$Z54,MIN(AV$6-$E$3,22))&lt;&gt;""),'Milho 2ª safra'!$E54:INDEX('Milho 2ª safra'!$E54:$Z54,MIN(AV$6-$E$3,22))),0))-IF($G$2,0,IF((AV$6-$G$3)&lt;1,0,IFERROR(LOOKUP(2,1/('Milho 2ª safra'!$E54:INDEX('Milho 2ª safra'!$E54:$Z54,MIN(AV$6-$G$3,22))&lt;&gt;""),'Milho 2ª safra'!$E54:INDEX('Milho 2ª safra'!$E54:$Z54,MIN(AV$6-$G$3,22))),0)))))</f>
        <v>0</v>
      </c>
      <c r="AW56" s="27" t="n">
        <f aca="false">IF(COUNT('Milho 2ª safra'!$E54:$Z54)=0,0,MAX(0,IF((AW$6-$E$3)&lt;1,0,IFERROR(LOOKUP(2,1/('Milho 2ª safra'!$E54:INDEX('Milho 2ª safra'!$E54:$Z54,MIN(AW$6-$E$3,22))&lt;&gt;""),'Milho 2ª safra'!$E54:INDEX('Milho 2ª safra'!$E54:$Z54,MIN(AW$6-$E$3,22))),0))-IF($G$2,0,IF((AW$6-$G$3)&lt;1,0,IFERROR(LOOKUP(2,1/('Milho 2ª safra'!$E54:INDEX('Milho 2ª safra'!$E54:$Z54,MIN(AW$6-$G$3,22))&lt;&gt;""),'Milho 2ª safra'!$E54:INDEX('Milho 2ª safra'!$E54:$Z54,MIN(AW$6-$G$3,22))),0)))))</f>
        <v>0</v>
      </c>
      <c r="AX56" s="27" t="n">
        <f aca="false">IF(COUNT('Milho 2ª safra'!$E54:$Z54)=0,0,MAX(0,IF((AX$6-$E$3)&lt;1,0,IFERROR(LOOKUP(2,1/('Milho 2ª safra'!$E54:INDEX('Milho 2ª safra'!$E54:$Z54,MIN(AX$6-$E$3,22))&lt;&gt;""),'Milho 2ª safra'!$E54:INDEX('Milho 2ª safra'!$E54:$Z54,MIN(AX$6-$E$3,22))),0))-IF($G$2,0,IF((AX$6-$G$3)&lt;1,0,IFERROR(LOOKUP(2,1/('Milho 2ª safra'!$E54:INDEX('Milho 2ª safra'!$E54:$Z54,MIN(AX$6-$G$3,22))&lt;&gt;""),'Milho 2ª safra'!$E54:INDEX('Milho 2ª safra'!$E54:$Z54,MIN(AX$6-$G$3,22))),0)))))</f>
        <v>0</v>
      </c>
      <c r="AY56" s="27" t="n">
        <f aca="false">IF(COUNT('Milho 2ª safra'!$E54:$Z54)=0,0,MAX(0,IF((AY$6-$E$3)&lt;1,0,IFERROR(LOOKUP(2,1/('Milho 2ª safra'!$E54:INDEX('Milho 2ª safra'!$E54:$Z54,MIN(AY$6-$E$3,22))&lt;&gt;""),'Milho 2ª safra'!$E54:INDEX('Milho 2ª safra'!$E54:$Z54,MIN(AY$6-$E$3,22))),0))-IF($G$2,0,IF((AY$6-$G$3)&lt;1,0,IFERROR(LOOKUP(2,1/('Milho 2ª safra'!$E54:INDEX('Milho 2ª safra'!$E54:$Z54,MIN(AY$6-$G$3,22))&lt;&gt;""),'Milho 2ª safra'!$E54:INDEX('Milho 2ª safra'!$E54:$Z54,MIN(AY$6-$G$3,22))),0)))))</f>
        <v>0</v>
      </c>
      <c r="AZ56" s="27" t="n">
        <f aca="false">IF(COUNT('Milho 2ª safra'!$E54:$Z54)=0,0,MAX(0,IF((AZ$6-$E$3)&lt;1,0,IFERROR(LOOKUP(2,1/('Milho 2ª safra'!$E54:INDEX('Milho 2ª safra'!$E54:$Z54,MIN(AZ$6-$E$3,22))&lt;&gt;""),'Milho 2ª safra'!$E54:INDEX('Milho 2ª safra'!$E54:$Z54,MIN(AZ$6-$E$3,22))),0))-IF($G$2,0,IF((AZ$6-$G$3)&lt;1,0,IFERROR(LOOKUP(2,1/('Milho 2ª safra'!$E54:INDEX('Milho 2ª safra'!$E54:$Z54,MIN(AZ$6-$G$3,22))&lt;&gt;""),'Milho 2ª safra'!$E54:INDEX('Milho 2ª safra'!$E54:$Z54,MIN(AZ$6-$G$3,22))),0)))))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IF(COUNT('Milho 2ª safra'!$E55:$Z55)&gt;0,N('Milho 2ª safra'!$D55),0)</f>
        <v>0</v>
      </c>
      <c r="E57" s="27" t="n">
        <f aca="false">IF(COUNT('Milho 2ª safra'!$E55:$Z55)=0,0,MAX(0,IF((E$6-$E$3)&lt;1,0,IFERROR(LOOKUP(2,1/('Milho 2ª safra'!$E55:INDEX('Milho 2ª safra'!$E55:$Z55,MIN(E$6-$E$3,22))&lt;&gt;""),'Milho 2ª safra'!$E55:INDEX('Milho 2ª safra'!$E55:$Z55,MIN(E$6-$E$3,22))),0))-IF($G$2,0,IF((E$6-$G$3)&lt;1,0,IFERROR(LOOKUP(2,1/('Milho 2ª safra'!$E55:INDEX('Milho 2ª safra'!$E55:$Z55,MIN(E$6-$G$3,22))&lt;&gt;""),'Milho 2ª safra'!$E55:INDEX('Milho 2ª safra'!$E55:$Z55,MIN(E$6-$G$3,22))),0)))))</f>
        <v>0</v>
      </c>
      <c r="F57" s="27" t="n">
        <f aca="false">IF(COUNT('Milho 2ª safra'!$E55:$Z55)=0,0,MAX(0,IF((F$6-$E$3)&lt;1,0,IFERROR(LOOKUP(2,1/('Milho 2ª safra'!$E55:INDEX('Milho 2ª safra'!$E55:$Z55,MIN(F$6-$E$3,22))&lt;&gt;""),'Milho 2ª safra'!$E55:INDEX('Milho 2ª safra'!$E55:$Z55,MIN(F$6-$E$3,22))),0))-IF($G$2,0,IF((F$6-$G$3)&lt;1,0,IFERROR(LOOKUP(2,1/('Milho 2ª safra'!$E55:INDEX('Milho 2ª safra'!$E55:$Z55,MIN(F$6-$G$3,22))&lt;&gt;""),'Milho 2ª safra'!$E55:INDEX('Milho 2ª safra'!$E55:$Z55,MIN(F$6-$G$3,22))),0)))))</f>
        <v>0</v>
      </c>
      <c r="G57" s="27" t="n">
        <f aca="false">IF(COUNT('Milho 2ª safra'!$E55:$Z55)=0,0,MAX(0,IF((G$6-$E$3)&lt;1,0,IFERROR(LOOKUP(2,1/('Milho 2ª safra'!$E55:INDEX('Milho 2ª safra'!$E55:$Z55,MIN(G$6-$E$3,22))&lt;&gt;""),'Milho 2ª safra'!$E55:INDEX('Milho 2ª safra'!$E55:$Z55,MIN(G$6-$E$3,22))),0))-IF($G$2,0,IF((G$6-$G$3)&lt;1,0,IFERROR(LOOKUP(2,1/('Milho 2ª safra'!$E55:INDEX('Milho 2ª safra'!$E55:$Z55,MIN(G$6-$G$3,22))&lt;&gt;""),'Milho 2ª safra'!$E55:INDEX('Milho 2ª safra'!$E55:$Z55,MIN(G$6-$G$3,22))),0)))))</f>
        <v>0</v>
      </c>
      <c r="H57" s="27" t="n">
        <f aca="false">IF(COUNT('Milho 2ª safra'!$E55:$Z55)=0,0,MAX(0,IF((H$6-$E$3)&lt;1,0,IFERROR(LOOKUP(2,1/('Milho 2ª safra'!$E55:INDEX('Milho 2ª safra'!$E55:$Z55,MIN(H$6-$E$3,22))&lt;&gt;""),'Milho 2ª safra'!$E55:INDEX('Milho 2ª safra'!$E55:$Z55,MIN(H$6-$E$3,22))),0))-IF($G$2,0,IF((H$6-$G$3)&lt;1,0,IFERROR(LOOKUP(2,1/('Milho 2ª safra'!$E55:INDEX('Milho 2ª safra'!$E55:$Z55,MIN(H$6-$G$3,22))&lt;&gt;""),'Milho 2ª safra'!$E55:INDEX('Milho 2ª safra'!$E55:$Z55,MIN(H$6-$G$3,22))),0)))))</f>
        <v>0</v>
      </c>
      <c r="I57" s="27" t="n">
        <f aca="false">IF(COUNT('Milho 2ª safra'!$E55:$Z55)=0,0,MAX(0,IF((I$6-$E$3)&lt;1,0,IFERROR(LOOKUP(2,1/('Milho 2ª safra'!$E55:INDEX('Milho 2ª safra'!$E55:$Z55,MIN(I$6-$E$3,22))&lt;&gt;""),'Milho 2ª safra'!$E55:INDEX('Milho 2ª safra'!$E55:$Z55,MIN(I$6-$E$3,22))),0))-IF($G$2,0,IF((I$6-$G$3)&lt;1,0,IFERROR(LOOKUP(2,1/('Milho 2ª safra'!$E55:INDEX('Milho 2ª safra'!$E55:$Z55,MIN(I$6-$G$3,22))&lt;&gt;""),'Milho 2ª safra'!$E55:INDEX('Milho 2ª safra'!$E55:$Z55,MIN(I$6-$G$3,22))),0)))))</f>
        <v>0</v>
      </c>
      <c r="J57" s="27" t="n">
        <f aca="false">IF(COUNT('Milho 2ª safra'!$E55:$Z55)=0,0,MAX(0,IF((J$6-$E$3)&lt;1,0,IFERROR(LOOKUP(2,1/('Milho 2ª safra'!$E55:INDEX('Milho 2ª safra'!$E55:$Z55,MIN(J$6-$E$3,22))&lt;&gt;""),'Milho 2ª safra'!$E55:INDEX('Milho 2ª safra'!$E55:$Z55,MIN(J$6-$E$3,22))),0))-IF($G$2,0,IF((J$6-$G$3)&lt;1,0,IFERROR(LOOKUP(2,1/('Milho 2ª safra'!$E55:INDEX('Milho 2ª safra'!$E55:$Z55,MIN(J$6-$G$3,22))&lt;&gt;""),'Milho 2ª safra'!$E55:INDEX('Milho 2ª safra'!$E55:$Z55,MIN(J$6-$G$3,22))),0)))))</f>
        <v>0</v>
      </c>
      <c r="K57" s="27" t="n">
        <f aca="false">IF(COUNT('Milho 2ª safra'!$E55:$Z55)=0,0,MAX(0,IF((K$6-$E$3)&lt;1,0,IFERROR(LOOKUP(2,1/('Milho 2ª safra'!$E55:INDEX('Milho 2ª safra'!$E55:$Z55,MIN(K$6-$E$3,22))&lt;&gt;""),'Milho 2ª safra'!$E55:INDEX('Milho 2ª safra'!$E55:$Z55,MIN(K$6-$E$3,22))),0))-IF($G$2,0,IF((K$6-$G$3)&lt;1,0,IFERROR(LOOKUP(2,1/('Milho 2ª safra'!$E55:INDEX('Milho 2ª safra'!$E55:$Z55,MIN(K$6-$G$3,22))&lt;&gt;""),'Milho 2ª safra'!$E55:INDEX('Milho 2ª safra'!$E55:$Z55,MIN(K$6-$G$3,22))),0)))))</f>
        <v>0</v>
      </c>
      <c r="L57" s="27" t="n">
        <f aca="false">IF(COUNT('Milho 2ª safra'!$E55:$Z55)=0,0,MAX(0,IF((L$6-$E$3)&lt;1,0,IFERROR(LOOKUP(2,1/('Milho 2ª safra'!$E55:INDEX('Milho 2ª safra'!$E55:$Z55,MIN(L$6-$E$3,22))&lt;&gt;""),'Milho 2ª safra'!$E55:INDEX('Milho 2ª safra'!$E55:$Z55,MIN(L$6-$E$3,22))),0))-IF($G$2,0,IF((L$6-$G$3)&lt;1,0,IFERROR(LOOKUP(2,1/('Milho 2ª safra'!$E55:INDEX('Milho 2ª safra'!$E55:$Z55,MIN(L$6-$G$3,22))&lt;&gt;""),'Milho 2ª safra'!$E55:INDEX('Milho 2ª safra'!$E55:$Z55,MIN(L$6-$G$3,22))),0)))))</f>
        <v>0</v>
      </c>
      <c r="M57" s="27" t="n">
        <f aca="false">IF(COUNT('Milho 2ª safra'!$E55:$Z55)=0,0,MAX(0,IF((M$6-$E$3)&lt;1,0,IFERROR(LOOKUP(2,1/('Milho 2ª safra'!$E55:INDEX('Milho 2ª safra'!$E55:$Z55,MIN(M$6-$E$3,22))&lt;&gt;""),'Milho 2ª safra'!$E55:INDEX('Milho 2ª safra'!$E55:$Z55,MIN(M$6-$E$3,22))),0))-IF($G$2,0,IF((M$6-$G$3)&lt;1,0,IFERROR(LOOKUP(2,1/('Milho 2ª safra'!$E55:INDEX('Milho 2ª safra'!$E55:$Z55,MIN(M$6-$G$3,22))&lt;&gt;""),'Milho 2ª safra'!$E55:INDEX('Milho 2ª safra'!$E55:$Z55,MIN(M$6-$G$3,22))),0)))))</f>
        <v>0</v>
      </c>
      <c r="N57" s="27" t="n">
        <f aca="false">IF(COUNT('Milho 2ª safra'!$E55:$Z55)=0,0,MAX(0,IF((N$6-$E$3)&lt;1,0,IFERROR(LOOKUP(2,1/('Milho 2ª safra'!$E55:INDEX('Milho 2ª safra'!$E55:$Z55,MIN(N$6-$E$3,22))&lt;&gt;""),'Milho 2ª safra'!$E55:INDEX('Milho 2ª safra'!$E55:$Z55,MIN(N$6-$E$3,22))),0))-IF($G$2,0,IF((N$6-$G$3)&lt;1,0,IFERROR(LOOKUP(2,1/('Milho 2ª safra'!$E55:INDEX('Milho 2ª safra'!$E55:$Z55,MIN(N$6-$G$3,22))&lt;&gt;""),'Milho 2ª safra'!$E55:INDEX('Milho 2ª safra'!$E55:$Z55,MIN(N$6-$G$3,22))),0)))))</f>
        <v>0</v>
      </c>
      <c r="O57" s="27" t="n">
        <f aca="false">IF(COUNT('Milho 2ª safra'!$E55:$Z55)=0,0,MAX(0,IF((O$6-$E$3)&lt;1,0,IFERROR(LOOKUP(2,1/('Milho 2ª safra'!$E55:INDEX('Milho 2ª safra'!$E55:$Z55,MIN(O$6-$E$3,22))&lt;&gt;""),'Milho 2ª safra'!$E55:INDEX('Milho 2ª safra'!$E55:$Z55,MIN(O$6-$E$3,22))),0))-IF($G$2,0,IF((O$6-$G$3)&lt;1,0,IFERROR(LOOKUP(2,1/('Milho 2ª safra'!$E55:INDEX('Milho 2ª safra'!$E55:$Z55,MIN(O$6-$G$3,22))&lt;&gt;""),'Milho 2ª safra'!$E55:INDEX('Milho 2ª safra'!$E55:$Z55,MIN(O$6-$G$3,22))),0)))))</f>
        <v>0</v>
      </c>
      <c r="P57" s="27" t="n">
        <f aca="false">IF(COUNT('Milho 2ª safra'!$E55:$Z55)=0,0,MAX(0,IF((P$6-$E$3)&lt;1,0,IFERROR(LOOKUP(2,1/('Milho 2ª safra'!$E55:INDEX('Milho 2ª safra'!$E55:$Z55,MIN(P$6-$E$3,22))&lt;&gt;""),'Milho 2ª safra'!$E55:INDEX('Milho 2ª safra'!$E55:$Z55,MIN(P$6-$E$3,22))),0))-IF($G$2,0,IF((P$6-$G$3)&lt;1,0,IFERROR(LOOKUP(2,1/('Milho 2ª safra'!$E55:INDEX('Milho 2ª safra'!$E55:$Z55,MIN(P$6-$G$3,22))&lt;&gt;""),'Milho 2ª safra'!$E55:INDEX('Milho 2ª safra'!$E55:$Z55,MIN(P$6-$G$3,22))),0)))))</f>
        <v>0</v>
      </c>
      <c r="Q57" s="27" t="n">
        <f aca="false">IF(COUNT('Milho 2ª safra'!$E55:$Z55)=0,0,MAX(0,IF((Q$6-$E$3)&lt;1,0,IFERROR(LOOKUP(2,1/('Milho 2ª safra'!$E55:INDEX('Milho 2ª safra'!$E55:$Z55,MIN(Q$6-$E$3,22))&lt;&gt;""),'Milho 2ª safra'!$E55:INDEX('Milho 2ª safra'!$E55:$Z55,MIN(Q$6-$E$3,22))),0))-IF($G$2,0,IF((Q$6-$G$3)&lt;1,0,IFERROR(LOOKUP(2,1/('Milho 2ª safra'!$E55:INDEX('Milho 2ª safra'!$E55:$Z55,MIN(Q$6-$G$3,22))&lt;&gt;""),'Milho 2ª safra'!$E55:INDEX('Milho 2ª safra'!$E55:$Z55,MIN(Q$6-$G$3,22))),0)))))</f>
        <v>0</v>
      </c>
      <c r="R57" s="27" t="n">
        <f aca="false">IF(COUNT('Milho 2ª safra'!$E55:$Z55)=0,0,MAX(0,IF((R$6-$E$3)&lt;1,0,IFERROR(LOOKUP(2,1/('Milho 2ª safra'!$E55:INDEX('Milho 2ª safra'!$E55:$Z55,MIN(R$6-$E$3,22))&lt;&gt;""),'Milho 2ª safra'!$E55:INDEX('Milho 2ª safra'!$E55:$Z55,MIN(R$6-$E$3,22))),0))-IF($G$2,0,IF((R$6-$G$3)&lt;1,0,IFERROR(LOOKUP(2,1/('Milho 2ª safra'!$E55:INDEX('Milho 2ª safra'!$E55:$Z55,MIN(R$6-$G$3,22))&lt;&gt;""),'Milho 2ª safra'!$E55:INDEX('Milho 2ª safra'!$E55:$Z55,MIN(R$6-$G$3,22))),0)))))</f>
        <v>0</v>
      </c>
      <c r="S57" s="27" t="n">
        <f aca="false">IF(COUNT('Milho 2ª safra'!$E55:$Z55)=0,0,MAX(0,IF((S$6-$E$3)&lt;1,0,IFERROR(LOOKUP(2,1/('Milho 2ª safra'!$E55:INDEX('Milho 2ª safra'!$E55:$Z55,MIN(S$6-$E$3,22))&lt;&gt;""),'Milho 2ª safra'!$E55:INDEX('Milho 2ª safra'!$E55:$Z55,MIN(S$6-$E$3,22))),0))-IF($G$2,0,IF((S$6-$G$3)&lt;1,0,IFERROR(LOOKUP(2,1/('Milho 2ª safra'!$E55:INDEX('Milho 2ª safra'!$E55:$Z55,MIN(S$6-$G$3,22))&lt;&gt;""),'Milho 2ª safra'!$E55:INDEX('Milho 2ª safra'!$E55:$Z55,MIN(S$6-$G$3,22))),0)))))</f>
        <v>0</v>
      </c>
      <c r="T57" s="27" t="n">
        <f aca="false">IF(COUNT('Milho 2ª safra'!$E55:$Z55)=0,0,MAX(0,IF((T$6-$E$3)&lt;1,0,IFERROR(LOOKUP(2,1/('Milho 2ª safra'!$E55:INDEX('Milho 2ª safra'!$E55:$Z55,MIN(T$6-$E$3,22))&lt;&gt;""),'Milho 2ª safra'!$E55:INDEX('Milho 2ª safra'!$E55:$Z55,MIN(T$6-$E$3,22))),0))-IF($G$2,0,IF((T$6-$G$3)&lt;1,0,IFERROR(LOOKUP(2,1/('Milho 2ª safra'!$E55:INDEX('Milho 2ª safra'!$E55:$Z55,MIN(T$6-$G$3,22))&lt;&gt;""),'Milho 2ª safra'!$E55:INDEX('Milho 2ª safra'!$E55:$Z55,MIN(T$6-$G$3,22))),0)))))</f>
        <v>0</v>
      </c>
      <c r="U57" s="27" t="n">
        <f aca="false">IF(COUNT('Milho 2ª safra'!$E55:$Z55)=0,0,MAX(0,IF((U$6-$E$3)&lt;1,0,IFERROR(LOOKUP(2,1/('Milho 2ª safra'!$E55:INDEX('Milho 2ª safra'!$E55:$Z55,MIN(U$6-$E$3,22))&lt;&gt;""),'Milho 2ª safra'!$E55:INDEX('Milho 2ª safra'!$E55:$Z55,MIN(U$6-$E$3,22))),0))-IF($G$2,0,IF((U$6-$G$3)&lt;1,0,IFERROR(LOOKUP(2,1/('Milho 2ª safra'!$E55:INDEX('Milho 2ª safra'!$E55:$Z55,MIN(U$6-$G$3,22))&lt;&gt;""),'Milho 2ª safra'!$E55:INDEX('Milho 2ª safra'!$E55:$Z55,MIN(U$6-$G$3,22))),0)))))</f>
        <v>0</v>
      </c>
      <c r="V57" s="27" t="n">
        <f aca="false">IF(COUNT('Milho 2ª safra'!$E55:$Z55)=0,0,MAX(0,IF((V$6-$E$3)&lt;1,0,IFERROR(LOOKUP(2,1/('Milho 2ª safra'!$E55:INDEX('Milho 2ª safra'!$E55:$Z55,MIN(V$6-$E$3,22))&lt;&gt;""),'Milho 2ª safra'!$E55:INDEX('Milho 2ª safra'!$E55:$Z55,MIN(V$6-$E$3,22))),0))-IF($G$2,0,IF((V$6-$G$3)&lt;1,0,IFERROR(LOOKUP(2,1/('Milho 2ª safra'!$E55:INDEX('Milho 2ª safra'!$E55:$Z55,MIN(V$6-$G$3,22))&lt;&gt;""),'Milho 2ª safra'!$E55:INDEX('Milho 2ª safra'!$E55:$Z55,MIN(V$6-$G$3,22))),0)))))</f>
        <v>0</v>
      </c>
      <c r="W57" s="27" t="n">
        <f aca="false">IF(COUNT('Milho 2ª safra'!$E55:$Z55)=0,0,MAX(0,IF((W$6-$E$3)&lt;1,0,IFERROR(LOOKUP(2,1/('Milho 2ª safra'!$E55:INDEX('Milho 2ª safra'!$E55:$Z55,MIN(W$6-$E$3,22))&lt;&gt;""),'Milho 2ª safra'!$E55:INDEX('Milho 2ª safra'!$E55:$Z55,MIN(W$6-$E$3,22))),0))-IF($G$2,0,IF((W$6-$G$3)&lt;1,0,IFERROR(LOOKUP(2,1/('Milho 2ª safra'!$E55:INDEX('Milho 2ª safra'!$E55:$Z55,MIN(W$6-$G$3,22))&lt;&gt;""),'Milho 2ª safra'!$E55:INDEX('Milho 2ª safra'!$E55:$Z55,MIN(W$6-$G$3,22))),0)))))</f>
        <v>0</v>
      </c>
      <c r="X57" s="27" t="n">
        <f aca="false">IF(COUNT('Milho 2ª safra'!$E55:$Z55)=0,0,MAX(0,IF((X$6-$E$3)&lt;1,0,IFERROR(LOOKUP(2,1/('Milho 2ª safra'!$E55:INDEX('Milho 2ª safra'!$E55:$Z55,MIN(X$6-$E$3,22))&lt;&gt;""),'Milho 2ª safra'!$E55:INDEX('Milho 2ª safra'!$E55:$Z55,MIN(X$6-$E$3,22))),0))-IF($G$2,0,IF((X$6-$G$3)&lt;1,0,IFERROR(LOOKUP(2,1/('Milho 2ª safra'!$E55:INDEX('Milho 2ª safra'!$E55:$Z55,MIN(X$6-$G$3,22))&lt;&gt;""),'Milho 2ª safra'!$E55:INDEX('Milho 2ª safra'!$E55:$Z55,MIN(X$6-$G$3,22))),0)))))</f>
        <v>0</v>
      </c>
      <c r="Y57" s="27" t="n">
        <f aca="false">IF(COUNT('Milho 2ª safra'!$E55:$Z55)=0,0,MAX(0,IF((Y$6-$E$3)&lt;1,0,IFERROR(LOOKUP(2,1/('Milho 2ª safra'!$E55:INDEX('Milho 2ª safra'!$E55:$Z55,MIN(Y$6-$E$3,22))&lt;&gt;""),'Milho 2ª safra'!$E55:INDEX('Milho 2ª safra'!$E55:$Z55,MIN(Y$6-$E$3,22))),0))-IF($G$2,0,IF((Y$6-$G$3)&lt;1,0,IFERROR(LOOKUP(2,1/('Milho 2ª safra'!$E55:INDEX('Milho 2ª safra'!$E55:$Z55,MIN(Y$6-$G$3,22))&lt;&gt;""),'Milho 2ª safra'!$E55:INDEX('Milho 2ª safra'!$E55:$Z55,MIN(Y$6-$G$3,22))),0)))))</f>
        <v>0</v>
      </c>
      <c r="Z57" s="27" t="n">
        <f aca="false">IF(COUNT('Milho 2ª safra'!$E55:$Z55)=0,0,MAX(0,IF((Z$6-$E$3)&lt;1,0,IFERROR(LOOKUP(2,1/('Milho 2ª safra'!$E55:INDEX('Milho 2ª safra'!$E55:$Z55,MIN(Z$6-$E$3,22))&lt;&gt;""),'Milho 2ª safra'!$E55:INDEX('Milho 2ª safra'!$E55:$Z55,MIN(Z$6-$E$3,22))),0))-IF($G$2,0,IF((Z$6-$G$3)&lt;1,0,IFERROR(LOOKUP(2,1/('Milho 2ª safra'!$E55:INDEX('Milho 2ª safra'!$E55:$Z55,MIN(Z$6-$G$3,22))&lt;&gt;""),'Milho 2ª safra'!$E55:INDEX('Milho 2ª safra'!$E55:$Z55,MIN(Z$6-$G$3,22))),0)))))</f>
        <v>0</v>
      </c>
      <c r="AA57" s="27" t="n">
        <f aca="false">IF(COUNT('Milho 2ª safra'!$E55:$Z55)=0,0,MAX(0,IF((AA$6-$E$3)&lt;1,0,IFERROR(LOOKUP(2,1/('Milho 2ª safra'!$E55:INDEX('Milho 2ª safra'!$E55:$Z55,MIN(AA$6-$E$3,22))&lt;&gt;""),'Milho 2ª safra'!$E55:INDEX('Milho 2ª safra'!$E55:$Z55,MIN(AA$6-$E$3,22))),0))-IF($G$2,0,IF((AA$6-$G$3)&lt;1,0,IFERROR(LOOKUP(2,1/('Milho 2ª safra'!$E55:INDEX('Milho 2ª safra'!$E55:$Z55,MIN(AA$6-$G$3,22))&lt;&gt;""),'Milho 2ª safra'!$E55:INDEX('Milho 2ª safra'!$E55:$Z55,MIN(AA$6-$G$3,22))),0)))))</f>
        <v>0</v>
      </c>
      <c r="AB57" s="27" t="n">
        <f aca="false">IF(COUNT('Milho 2ª safra'!$E55:$Z55)=0,0,MAX(0,IF((AB$6-$E$3)&lt;1,0,IFERROR(LOOKUP(2,1/('Milho 2ª safra'!$E55:INDEX('Milho 2ª safra'!$E55:$Z55,MIN(AB$6-$E$3,22))&lt;&gt;""),'Milho 2ª safra'!$E55:INDEX('Milho 2ª safra'!$E55:$Z55,MIN(AB$6-$E$3,22))),0))-IF($G$2,0,IF((AB$6-$G$3)&lt;1,0,IFERROR(LOOKUP(2,1/('Milho 2ª safra'!$E55:INDEX('Milho 2ª safra'!$E55:$Z55,MIN(AB$6-$G$3,22))&lt;&gt;""),'Milho 2ª safra'!$E55:INDEX('Milho 2ª safra'!$E55:$Z55,MIN(AB$6-$G$3,22))),0)))))</f>
        <v>0</v>
      </c>
      <c r="AC57" s="27" t="n">
        <f aca="false">IF(COUNT('Milho 2ª safra'!$E55:$Z55)=0,0,MAX(0,IF((AC$6-$E$3)&lt;1,0,IFERROR(LOOKUP(2,1/('Milho 2ª safra'!$E55:INDEX('Milho 2ª safra'!$E55:$Z55,MIN(AC$6-$E$3,22))&lt;&gt;""),'Milho 2ª safra'!$E55:INDEX('Milho 2ª safra'!$E55:$Z55,MIN(AC$6-$E$3,22))),0))-IF($G$2,0,IF((AC$6-$G$3)&lt;1,0,IFERROR(LOOKUP(2,1/('Milho 2ª safra'!$E55:INDEX('Milho 2ª safra'!$E55:$Z55,MIN(AC$6-$G$3,22))&lt;&gt;""),'Milho 2ª safra'!$E55:INDEX('Milho 2ª safra'!$E55:$Z55,MIN(AC$6-$G$3,22))),0)))))</f>
        <v>0</v>
      </c>
      <c r="AD57" s="27" t="n">
        <f aca="false">IF(COUNT('Milho 2ª safra'!$E55:$Z55)=0,0,MAX(0,IF((AD$6-$E$3)&lt;1,0,IFERROR(LOOKUP(2,1/('Milho 2ª safra'!$E55:INDEX('Milho 2ª safra'!$E55:$Z55,MIN(AD$6-$E$3,22))&lt;&gt;""),'Milho 2ª safra'!$E55:INDEX('Milho 2ª safra'!$E55:$Z55,MIN(AD$6-$E$3,22))),0))-IF($G$2,0,IF((AD$6-$G$3)&lt;1,0,IFERROR(LOOKUP(2,1/('Milho 2ª safra'!$E55:INDEX('Milho 2ª safra'!$E55:$Z55,MIN(AD$6-$G$3,22))&lt;&gt;""),'Milho 2ª safra'!$E55:INDEX('Milho 2ª safra'!$E55:$Z55,MIN(AD$6-$G$3,22))),0)))))</f>
        <v>0</v>
      </c>
      <c r="AE57" s="27" t="n">
        <f aca="false">IF(COUNT('Milho 2ª safra'!$E55:$Z55)=0,0,MAX(0,IF((AE$6-$E$3)&lt;1,0,IFERROR(LOOKUP(2,1/('Milho 2ª safra'!$E55:INDEX('Milho 2ª safra'!$E55:$Z55,MIN(AE$6-$E$3,22))&lt;&gt;""),'Milho 2ª safra'!$E55:INDEX('Milho 2ª safra'!$E55:$Z55,MIN(AE$6-$E$3,22))),0))-IF($G$2,0,IF((AE$6-$G$3)&lt;1,0,IFERROR(LOOKUP(2,1/('Milho 2ª safra'!$E55:INDEX('Milho 2ª safra'!$E55:$Z55,MIN(AE$6-$G$3,22))&lt;&gt;""),'Milho 2ª safra'!$E55:INDEX('Milho 2ª safra'!$E55:$Z55,MIN(AE$6-$G$3,22))),0)))))</f>
        <v>0</v>
      </c>
      <c r="AF57" s="27" t="n">
        <f aca="false">IF(COUNT('Milho 2ª safra'!$E55:$Z55)=0,0,MAX(0,IF((AF$6-$E$3)&lt;1,0,IFERROR(LOOKUP(2,1/('Milho 2ª safra'!$E55:INDEX('Milho 2ª safra'!$E55:$Z55,MIN(AF$6-$E$3,22))&lt;&gt;""),'Milho 2ª safra'!$E55:INDEX('Milho 2ª safra'!$E55:$Z55,MIN(AF$6-$E$3,22))),0))-IF($G$2,0,IF((AF$6-$G$3)&lt;1,0,IFERROR(LOOKUP(2,1/('Milho 2ª safra'!$E55:INDEX('Milho 2ª safra'!$E55:$Z55,MIN(AF$6-$G$3,22))&lt;&gt;""),'Milho 2ª safra'!$E55:INDEX('Milho 2ª safra'!$E55:$Z55,MIN(AF$6-$G$3,22))),0)))))</f>
        <v>0</v>
      </c>
      <c r="AG57" s="27" t="n">
        <f aca="false">IF(COUNT('Milho 2ª safra'!$E55:$Z55)=0,0,MAX(0,IF((AG$6-$E$3)&lt;1,0,IFERROR(LOOKUP(2,1/('Milho 2ª safra'!$E55:INDEX('Milho 2ª safra'!$E55:$Z55,MIN(AG$6-$E$3,22))&lt;&gt;""),'Milho 2ª safra'!$E55:INDEX('Milho 2ª safra'!$E55:$Z55,MIN(AG$6-$E$3,22))),0))-IF($G$2,0,IF((AG$6-$G$3)&lt;1,0,IFERROR(LOOKUP(2,1/('Milho 2ª safra'!$E55:INDEX('Milho 2ª safra'!$E55:$Z55,MIN(AG$6-$G$3,22))&lt;&gt;""),'Milho 2ª safra'!$E55:INDEX('Milho 2ª safra'!$E55:$Z55,MIN(AG$6-$G$3,22))),0)))))</f>
        <v>0</v>
      </c>
      <c r="AH57" s="27" t="n">
        <f aca="false">IF(COUNT('Milho 2ª safra'!$E55:$Z55)=0,0,MAX(0,IF((AH$6-$E$3)&lt;1,0,IFERROR(LOOKUP(2,1/('Milho 2ª safra'!$E55:INDEX('Milho 2ª safra'!$E55:$Z55,MIN(AH$6-$E$3,22))&lt;&gt;""),'Milho 2ª safra'!$E55:INDEX('Milho 2ª safra'!$E55:$Z55,MIN(AH$6-$E$3,22))),0))-IF($G$2,0,IF((AH$6-$G$3)&lt;1,0,IFERROR(LOOKUP(2,1/('Milho 2ª safra'!$E55:INDEX('Milho 2ª safra'!$E55:$Z55,MIN(AH$6-$G$3,22))&lt;&gt;""),'Milho 2ª safra'!$E55:INDEX('Milho 2ª safra'!$E55:$Z55,MIN(AH$6-$G$3,22))),0)))))</f>
        <v>0</v>
      </c>
      <c r="AI57" s="27" t="n">
        <f aca="false">IF(COUNT('Milho 2ª safra'!$E55:$Z55)=0,0,MAX(0,IF((AI$6-$E$3)&lt;1,0,IFERROR(LOOKUP(2,1/('Milho 2ª safra'!$E55:INDEX('Milho 2ª safra'!$E55:$Z55,MIN(AI$6-$E$3,22))&lt;&gt;""),'Milho 2ª safra'!$E55:INDEX('Milho 2ª safra'!$E55:$Z55,MIN(AI$6-$E$3,22))),0))-IF($G$2,0,IF((AI$6-$G$3)&lt;1,0,IFERROR(LOOKUP(2,1/('Milho 2ª safra'!$E55:INDEX('Milho 2ª safra'!$E55:$Z55,MIN(AI$6-$G$3,22))&lt;&gt;""),'Milho 2ª safra'!$E55:INDEX('Milho 2ª safra'!$E55:$Z55,MIN(AI$6-$G$3,22))),0)))))</f>
        <v>0</v>
      </c>
      <c r="AJ57" s="27" t="n">
        <f aca="false">IF(COUNT('Milho 2ª safra'!$E55:$Z55)=0,0,MAX(0,IF((AJ$6-$E$3)&lt;1,0,IFERROR(LOOKUP(2,1/('Milho 2ª safra'!$E55:INDEX('Milho 2ª safra'!$E55:$Z55,MIN(AJ$6-$E$3,22))&lt;&gt;""),'Milho 2ª safra'!$E55:INDEX('Milho 2ª safra'!$E55:$Z55,MIN(AJ$6-$E$3,22))),0))-IF($G$2,0,IF((AJ$6-$G$3)&lt;1,0,IFERROR(LOOKUP(2,1/('Milho 2ª safra'!$E55:INDEX('Milho 2ª safra'!$E55:$Z55,MIN(AJ$6-$G$3,22))&lt;&gt;""),'Milho 2ª safra'!$E55:INDEX('Milho 2ª safra'!$E55:$Z55,MIN(AJ$6-$G$3,22))),0)))))</f>
        <v>0</v>
      </c>
      <c r="AK57" s="27" t="n">
        <f aca="false">IF(COUNT('Milho 2ª safra'!$E55:$Z55)=0,0,MAX(0,IF((AK$6-$E$3)&lt;1,0,IFERROR(LOOKUP(2,1/('Milho 2ª safra'!$E55:INDEX('Milho 2ª safra'!$E55:$Z55,MIN(AK$6-$E$3,22))&lt;&gt;""),'Milho 2ª safra'!$E55:INDEX('Milho 2ª safra'!$E55:$Z55,MIN(AK$6-$E$3,22))),0))-IF($G$2,0,IF((AK$6-$G$3)&lt;1,0,IFERROR(LOOKUP(2,1/('Milho 2ª safra'!$E55:INDEX('Milho 2ª safra'!$E55:$Z55,MIN(AK$6-$G$3,22))&lt;&gt;""),'Milho 2ª safra'!$E55:INDEX('Milho 2ª safra'!$E55:$Z55,MIN(AK$6-$G$3,22))),0)))))</f>
        <v>0</v>
      </c>
      <c r="AL57" s="27" t="n">
        <f aca="false">IF(COUNT('Milho 2ª safra'!$E55:$Z55)=0,0,MAX(0,IF((AL$6-$E$3)&lt;1,0,IFERROR(LOOKUP(2,1/('Milho 2ª safra'!$E55:INDEX('Milho 2ª safra'!$E55:$Z55,MIN(AL$6-$E$3,22))&lt;&gt;""),'Milho 2ª safra'!$E55:INDEX('Milho 2ª safra'!$E55:$Z55,MIN(AL$6-$E$3,22))),0))-IF($G$2,0,IF((AL$6-$G$3)&lt;1,0,IFERROR(LOOKUP(2,1/('Milho 2ª safra'!$E55:INDEX('Milho 2ª safra'!$E55:$Z55,MIN(AL$6-$G$3,22))&lt;&gt;""),'Milho 2ª safra'!$E55:INDEX('Milho 2ª safra'!$E55:$Z55,MIN(AL$6-$G$3,22))),0)))))</f>
        <v>0</v>
      </c>
      <c r="AM57" s="27" t="n">
        <f aca="false">IF(COUNT('Milho 2ª safra'!$E55:$Z55)=0,0,MAX(0,IF((AM$6-$E$3)&lt;1,0,IFERROR(LOOKUP(2,1/('Milho 2ª safra'!$E55:INDEX('Milho 2ª safra'!$E55:$Z55,MIN(AM$6-$E$3,22))&lt;&gt;""),'Milho 2ª safra'!$E55:INDEX('Milho 2ª safra'!$E55:$Z55,MIN(AM$6-$E$3,22))),0))-IF($G$2,0,IF((AM$6-$G$3)&lt;1,0,IFERROR(LOOKUP(2,1/('Milho 2ª safra'!$E55:INDEX('Milho 2ª safra'!$E55:$Z55,MIN(AM$6-$G$3,22))&lt;&gt;""),'Milho 2ª safra'!$E55:INDEX('Milho 2ª safra'!$E55:$Z55,MIN(AM$6-$G$3,22))),0)))))</f>
        <v>0</v>
      </c>
      <c r="AN57" s="27" t="n">
        <f aca="false">IF(COUNT('Milho 2ª safra'!$E55:$Z55)=0,0,MAX(0,IF((AN$6-$E$3)&lt;1,0,IFERROR(LOOKUP(2,1/('Milho 2ª safra'!$E55:INDEX('Milho 2ª safra'!$E55:$Z55,MIN(AN$6-$E$3,22))&lt;&gt;""),'Milho 2ª safra'!$E55:INDEX('Milho 2ª safra'!$E55:$Z55,MIN(AN$6-$E$3,22))),0))-IF($G$2,0,IF((AN$6-$G$3)&lt;1,0,IFERROR(LOOKUP(2,1/('Milho 2ª safra'!$E55:INDEX('Milho 2ª safra'!$E55:$Z55,MIN(AN$6-$G$3,22))&lt;&gt;""),'Milho 2ª safra'!$E55:INDEX('Milho 2ª safra'!$E55:$Z55,MIN(AN$6-$G$3,22))),0)))))</f>
        <v>0</v>
      </c>
      <c r="AO57" s="27" t="n">
        <f aca="false">IF(COUNT('Milho 2ª safra'!$E55:$Z55)=0,0,MAX(0,IF((AO$6-$E$3)&lt;1,0,IFERROR(LOOKUP(2,1/('Milho 2ª safra'!$E55:INDEX('Milho 2ª safra'!$E55:$Z55,MIN(AO$6-$E$3,22))&lt;&gt;""),'Milho 2ª safra'!$E55:INDEX('Milho 2ª safra'!$E55:$Z55,MIN(AO$6-$E$3,22))),0))-IF($G$2,0,IF((AO$6-$G$3)&lt;1,0,IFERROR(LOOKUP(2,1/('Milho 2ª safra'!$E55:INDEX('Milho 2ª safra'!$E55:$Z55,MIN(AO$6-$G$3,22))&lt;&gt;""),'Milho 2ª safra'!$E55:INDEX('Milho 2ª safra'!$E55:$Z55,MIN(AO$6-$G$3,22))),0)))))</f>
        <v>0</v>
      </c>
      <c r="AP57" s="27" t="n">
        <f aca="false">IF(COUNT('Milho 2ª safra'!$E55:$Z55)=0,0,MAX(0,IF((AP$6-$E$3)&lt;1,0,IFERROR(LOOKUP(2,1/('Milho 2ª safra'!$E55:INDEX('Milho 2ª safra'!$E55:$Z55,MIN(AP$6-$E$3,22))&lt;&gt;""),'Milho 2ª safra'!$E55:INDEX('Milho 2ª safra'!$E55:$Z55,MIN(AP$6-$E$3,22))),0))-IF($G$2,0,IF((AP$6-$G$3)&lt;1,0,IFERROR(LOOKUP(2,1/('Milho 2ª safra'!$E55:INDEX('Milho 2ª safra'!$E55:$Z55,MIN(AP$6-$G$3,22))&lt;&gt;""),'Milho 2ª safra'!$E55:INDEX('Milho 2ª safra'!$E55:$Z55,MIN(AP$6-$G$3,22))),0)))))</f>
        <v>0</v>
      </c>
      <c r="AQ57" s="27" t="n">
        <f aca="false">IF(COUNT('Milho 2ª safra'!$E55:$Z55)=0,0,MAX(0,IF((AQ$6-$E$3)&lt;1,0,IFERROR(LOOKUP(2,1/('Milho 2ª safra'!$E55:INDEX('Milho 2ª safra'!$E55:$Z55,MIN(AQ$6-$E$3,22))&lt;&gt;""),'Milho 2ª safra'!$E55:INDEX('Milho 2ª safra'!$E55:$Z55,MIN(AQ$6-$E$3,22))),0))-IF($G$2,0,IF((AQ$6-$G$3)&lt;1,0,IFERROR(LOOKUP(2,1/('Milho 2ª safra'!$E55:INDEX('Milho 2ª safra'!$E55:$Z55,MIN(AQ$6-$G$3,22))&lt;&gt;""),'Milho 2ª safra'!$E55:INDEX('Milho 2ª safra'!$E55:$Z55,MIN(AQ$6-$G$3,22))),0)))))</f>
        <v>0</v>
      </c>
      <c r="AR57" s="27" t="n">
        <f aca="false">IF(COUNT('Milho 2ª safra'!$E55:$Z55)=0,0,MAX(0,IF((AR$6-$E$3)&lt;1,0,IFERROR(LOOKUP(2,1/('Milho 2ª safra'!$E55:INDEX('Milho 2ª safra'!$E55:$Z55,MIN(AR$6-$E$3,22))&lt;&gt;""),'Milho 2ª safra'!$E55:INDEX('Milho 2ª safra'!$E55:$Z55,MIN(AR$6-$E$3,22))),0))-IF($G$2,0,IF((AR$6-$G$3)&lt;1,0,IFERROR(LOOKUP(2,1/('Milho 2ª safra'!$E55:INDEX('Milho 2ª safra'!$E55:$Z55,MIN(AR$6-$G$3,22))&lt;&gt;""),'Milho 2ª safra'!$E55:INDEX('Milho 2ª safra'!$E55:$Z55,MIN(AR$6-$G$3,22))),0)))))</f>
        <v>0</v>
      </c>
      <c r="AS57" s="27" t="n">
        <f aca="false">IF(COUNT('Milho 2ª safra'!$E55:$Z55)=0,0,MAX(0,IF((AS$6-$E$3)&lt;1,0,IFERROR(LOOKUP(2,1/('Milho 2ª safra'!$E55:INDEX('Milho 2ª safra'!$E55:$Z55,MIN(AS$6-$E$3,22))&lt;&gt;""),'Milho 2ª safra'!$E55:INDEX('Milho 2ª safra'!$E55:$Z55,MIN(AS$6-$E$3,22))),0))-IF($G$2,0,IF((AS$6-$G$3)&lt;1,0,IFERROR(LOOKUP(2,1/('Milho 2ª safra'!$E55:INDEX('Milho 2ª safra'!$E55:$Z55,MIN(AS$6-$G$3,22))&lt;&gt;""),'Milho 2ª safra'!$E55:INDEX('Milho 2ª safra'!$E55:$Z55,MIN(AS$6-$G$3,22))),0)))))</f>
        <v>0</v>
      </c>
      <c r="AT57" s="27" t="n">
        <f aca="false">IF(COUNT('Milho 2ª safra'!$E55:$Z55)=0,0,MAX(0,IF((AT$6-$E$3)&lt;1,0,IFERROR(LOOKUP(2,1/('Milho 2ª safra'!$E55:INDEX('Milho 2ª safra'!$E55:$Z55,MIN(AT$6-$E$3,22))&lt;&gt;""),'Milho 2ª safra'!$E55:INDEX('Milho 2ª safra'!$E55:$Z55,MIN(AT$6-$E$3,22))),0))-IF($G$2,0,IF((AT$6-$G$3)&lt;1,0,IFERROR(LOOKUP(2,1/('Milho 2ª safra'!$E55:INDEX('Milho 2ª safra'!$E55:$Z55,MIN(AT$6-$G$3,22))&lt;&gt;""),'Milho 2ª safra'!$E55:INDEX('Milho 2ª safra'!$E55:$Z55,MIN(AT$6-$G$3,22))),0)))))</f>
        <v>0</v>
      </c>
      <c r="AU57" s="27" t="n">
        <f aca="false">IF(COUNT('Milho 2ª safra'!$E55:$Z55)=0,0,MAX(0,IF((AU$6-$E$3)&lt;1,0,IFERROR(LOOKUP(2,1/('Milho 2ª safra'!$E55:INDEX('Milho 2ª safra'!$E55:$Z55,MIN(AU$6-$E$3,22))&lt;&gt;""),'Milho 2ª safra'!$E55:INDEX('Milho 2ª safra'!$E55:$Z55,MIN(AU$6-$E$3,22))),0))-IF($G$2,0,IF((AU$6-$G$3)&lt;1,0,IFERROR(LOOKUP(2,1/('Milho 2ª safra'!$E55:INDEX('Milho 2ª safra'!$E55:$Z55,MIN(AU$6-$G$3,22))&lt;&gt;""),'Milho 2ª safra'!$E55:INDEX('Milho 2ª safra'!$E55:$Z55,MIN(AU$6-$G$3,22))),0)))))</f>
        <v>0</v>
      </c>
      <c r="AV57" s="27" t="n">
        <f aca="false">IF(COUNT('Milho 2ª safra'!$E55:$Z55)=0,0,MAX(0,IF((AV$6-$E$3)&lt;1,0,IFERROR(LOOKUP(2,1/('Milho 2ª safra'!$E55:INDEX('Milho 2ª safra'!$E55:$Z55,MIN(AV$6-$E$3,22))&lt;&gt;""),'Milho 2ª safra'!$E55:INDEX('Milho 2ª safra'!$E55:$Z55,MIN(AV$6-$E$3,22))),0))-IF($G$2,0,IF((AV$6-$G$3)&lt;1,0,IFERROR(LOOKUP(2,1/('Milho 2ª safra'!$E55:INDEX('Milho 2ª safra'!$E55:$Z55,MIN(AV$6-$G$3,22))&lt;&gt;""),'Milho 2ª safra'!$E55:INDEX('Milho 2ª safra'!$E55:$Z55,MIN(AV$6-$G$3,22))),0)))))</f>
        <v>0</v>
      </c>
      <c r="AW57" s="27" t="n">
        <f aca="false">IF(COUNT('Milho 2ª safra'!$E55:$Z55)=0,0,MAX(0,IF((AW$6-$E$3)&lt;1,0,IFERROR(LOOKUP(2,1/('Milho 2ª safra'!$E55:INDEX('Milho 2ª safra'!$E55:$Z55,MIN(AW$6-$E$3,22))&lt;&gt;""),'Milho 2ª safra'!$E55:INDEX('Milho 2ª safra'!$E55:$Z55,MIN(AW$6-$E$3,22))),0))-IF($G$2,0,IF((AW$6-$G$3)&lt;1,0,IFERROR(LOOKUP(2,1/('Milho 2ª safra'!$E55:INDEX('Milho 2ª safra'!$E55:$Z55,MIN(AW$6-$G$3,22))&lt;&gt;""),'Milho 2ª safra'!$E55:INDEX('Milho 2ª safra'!$E55:$Z55,MIN(AW$6-$G$3,22))),0)))))</f>
        <v>0</v>
      </c>
      <c r="AX57" s="27" t="n">
        <f aca="false">IF(COUNT('Milho 2ª safra'!$E55:$Z55)=0,0,MAX(0,IF((AX$6-$E$3)&lt;1,0,IFERROR(LOOKUP(2,1/('Milho 2ª safra'!$E55:INDEX('Milho 2ª safra'!$E55:$Z55,MIN(AX$6-$E$3,22))&lt;&gt;""),'Milho 2ª safra'!$E55:INDEX('Milho 2ª safra'!$E55:$Z55,MIN(AX$6-$E$3,22))),0))-IF($G$2,0,IF((AX$6-$G$3)&lt;1,0,IFERROR(LOOKUP(2,1/('Milho 2ª safra'!$E55:INDEX('Milho 2ª safra'!$E55:$Z55,MIN(AX$6-$G$3,22))&lt;&gt;""),'Milho 2ª safra'!$E55:INDEX('Milho 2ª safra'!$E55:$Z55,MIN(AX$6-$G$3,22))),0)))))</f>
        <v>0</v>
      </c>
      <c r="AY57" s="27" t="n">
        <f aca="false">IF(COUNT('Milho 2ª safra'!$E55:$Z55)=0,0,MAX(0,IF((AY$6-$E$3)&lt;1,0,IFERROR(LOOKUP(2,1/('Milho 2ª safra'!$E55:INDEX('Milho 2ª safra'!$E55:$Z55,MIN(AY$6-$E$3,22))&lt;&gt;""),'Milho 2ª safra'!$E55:INDEX('Milho 2ª safra'!$E55:$Z55,MIN(AY$6-$E$3,22))),0))-IF($G$2,0,IF((AY$6-$G$3)&lt;1,0,IFERROR(LOOKUP(2,1/('Milho 2ª safra'!$E55:INDEX('Milho 2ª safra'!$E55:$Z55,MIN(AY$6-$G$3,22))&lt;&gt;""),'Milho 2ª safra'!$E55:INDEX('Milho 2ª safra'!$E55:$Z55,MIN(AY$6-$G$3,22))),0)))))</f>
        <v>0</v>
      </c>
      <c r="AZ57" s="27" t="n">
        <f aca="false">IF(COUNT('Milho 2ª safra'!$E55:$Z55)=0,0,MAX(0,IF((AZ$6-$E$3)&lt;1,0,IFERROR(LOOKUP(2,1/('Milho 2ª safra'!$E55:INDEX('Milho 2ª safra'!$E55:$Z55,MIN(AZ$6-$E$3,22))&lt;&gt;""),'Milho 2ª safra'!$E55:INDEX('Milho 2ª safra'!$E55:$Z55,MIN(AZ$6-$E$3,22))),0))-IF($G$2,0,IF((AZ$6-$G$3)&lt;1,0,IFERROR(LOOKUP(2,1/('Milho 2ª safra'!$E55:INDEX('Milho 2ª safra'!$E55:$Z55,MIN(AZ$6-$G$3,22))&lt;&gt;""),'Milho 2ª safra'!$E55:INDEX('Milho 2ª safra'!$E55:$Z55,MIN(AZ$6-$G$3,22))),0)))))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IF(COUNT('Milho 2ª safra'!$E56:$Z56)&gt;0,N('Milho 2ª safra'!$D56),0)</f>
        <v>0</v>
      </c>
      <c r="E58" s="27" t="n">
        <f aca="false">IF(COUNT('Milho 2ª safra'!$E56:$Z56)=0,0,MAX(0,IF((E$6-$E$3)&lt;1,0,IFERROR(LOOKUP(2,1/('Milho 2ª safra'!$E56:INDEX('Milho 2ª safra'!$E56:$Z56,MIN(E$6-$E$3,22))&lt;&gt;""),'Milho 2ª safra'!$E56:INDEX('Milho 2ª safra'!$E56:$Z56,MIN(E$6-$E$3,22))),0))-IF($G$2,0,IF((E$6-$G$3)&lt;1,0,IFERROR(LOOKUP(2,1/('Milho 2ª safra'!$E56:INDEX('Milho 2ª safra'!$E56:$Z56,MIN(E$6-$G$3,22))&lt;&gt;""),'Milho 2ª safra'!$E56:INDEX('Milho 2ª safra'!$E56:$Z56,MIN(E$6-$G$3,22))),0)))))</f>
        <v>0</v>
      </c>
      <c r="F58" s="27" t="n">
        <f aca="false">IF(COUNT('Milho 2ª safra'!$E56:$Z56)=0,0,MAX(0,IF((F$6-$E$3)&lt;1,0,IFERROR(LOOKUP(2,1/('Milho 2ª safra'!$E56:INDEX('Milho 2ª safra'!$E56:$Z56,MIN(F$6-$E$3,22))&lt;&gt;""),'Milho 2ª safra'!$E56:INDEX('Milho 2ª safra'!$E56:$Z56,MIN(F$6-$E$3,22))),0))-IF($G$2,0,IF((F$6-$G$3)&lt;1,0,IFERROR(LOOKUP(2,1/('Milho 2ª safra'!$E56:INDEX('Milho 2ª safra'!$E56:$Z56,MIN(F$6-$G$3,22))&lt;&gt;""),'Milho 2ª safra'!$E56:INDEX('Milho 2ª safra'!$E56:$Z56,MIN(F$6-$G$3,22))),0)))))</f>
        <v>0</v>
      </c>
      <c r="G58" s="27" t="n">
        <f aca="false">IF(COUNT('Milho 2ª safra'!$E56:$Z56)=0,0,MAX(0,IF((G$6-$E$3)&lt;1,0,IFERROR(LOOKUP(2,1/('Milho 2ª safra'!$E56:INDEX('Milho 2ª safra'!$E56:$Z56,MIN(G$6-$E$3,22))&lt;&gt;""),'Milho 2ª safra'!$E56:INDEX('Milho 2ª safra'!$E56:$Z56,MIN(G$6-$E$3,22))),0))-IF($G$2,0,IF((G$6-$G$3)&lt;1,0,IFERROR(LOOKUP(2,1/('Milho 2ª safra'!$E56:INDEX('Milho 2ª safra'!$E56:$Z56,MIN(G$6-$G$3,22))&lt;&gt;""),'Milho 2ª safra'!$E56:INDEX('Milho 2ª safra'!$E56:$Z56,MIN(G$6-$G$3,22))),0)))))</f>
        <v>0</v>
      </c>
      <c r="H58" s="27" t="n">
        <f aca="false">IF(COUNT('Milho 2ª safra'!$E56:$Z56)=0,0,MAX(0,IF((H$6-$E$3)&lt;1,0,IFERROR(LOOKUP(2,1/('Milho 2ª safra'!$E56:INDEX('Milho 2ª safra'!$E56:$Z56,MIN(H$6-$E$3,22))&lt;&gt;""),'Milho 2ª safra'!$E56:INDEX('Milho 2ª safra'!$E56:$Z56,MIN(H$6-$E$3,22))),0))-IF($G$2,0,IF((H$6-$G$3)&lt;1,0,IFERROR(LOOKUP(2,1/('Milho 2ª safra'!$E56:INDEX('Milho 2ª safra'!$E56:$Z56,MIN(H$6-$G$3,22))&lt;&gt;""),'Milho 2ª safra'!$E56:INDEX('Milho 2ª safra'!$E56:$Z56,MIN(H$6-$G$3,22))),0)))))</f>
        <v>0</v>
      </c>
      <c r="I58" s="27" t="n">
        <f aca="false">IF(COUNT('Milho 2ª safra'!$E56:$Z56)=0,0,MAX(0,IF((I$6-$E$3)&lt;1,0,IFERROR(LOOKUP(2,1/('Milho 2ª safra'!$E56:INDEX('Milho 2ª safra'!$E56:$Z56,MIN(I$6-$E$3,22))&lt;&gt;""),'Milho 2ª safra'!$E56:INDEX('Milho 2ª safra'!$E56:$Z56,MIN(I$6-$E$3,22))),0))-IF($G$2,0,IF((I$6-$G$3)&lt;1,0,IFERROR(LOOKUP(2,1/('Milho 2ª safra'!$E56:INDEX('Milho 2ª safra'!$E56:$Z56,MIN(I$6-$G$3,22))&lt;&gt;""),'Milho 2ª safra'!$E56:INDEX('Milho 2ª safra'!$E56:$Z56,MIN(I$6-$G$3,22))),0)))))</f>
        <v>0</v>
      </c>
      <c r="J58" s="27" t="n">
        <f aca="false">IF(COUNT('Milho 2ª safra'!$E56:$Z56)=0,0,MAX(0,IF((J$6-$E$3)&lt;1,0,IFERROR(LOOKUP(2,1/('Milho 2ª safra'!$E56:INDEX('Milho 2ª safra'!$E56:$Z56,MIN(J$6-$E$3,22))&lt;&gt;""),'Milho 2ª safra'!$E56:INDEX('Milho 2ª safra'!$E56:$Z56,MIN(J$6-$E$3,22))),0))-IF($G$2,0,IF((J$6-$G$3)&lt;1,0,IFERROR(LOOKUP(2,1/('Milho 2ª safra'!$E56:INDEX('Milho 2ª safra'!$E56:$Z56,MIN(J$6-$G$3,22))&lt;&gt;""),'Milho 2ª safra'!$E56:INDEX('Milho 2ª safra'!$E56:$Z56,MIN(J$6-$G$3,22))),0)))))</f>
        <v>0</v>
      </c>
      <c r="K58" s="27" t="n">
        <f aca="false">IF(COUNT('Milho 2ª safra'!$E56:$Z56)=0,0,MAX(0,IF((K$6-$E$3)&lt;1,0,IFERROR(LOOKUP(2,1/('Milho 2ª safra'!$E56:INDEX('Milho 2ª safra'!$E56:$Z56,MIN(K$6-$E$3,22))&lt;&gt;""),'Milho 2ª safra'!$E56:INDEX('Milho 2ª safra'!$E56:$Z56,MIN(K$6-$E$3,22))),0))-IF($G$2,0,IF((K$6-$G$3)&lt;1,0,IFERROR(LOOKUP(2,1/('Milho 2ª safra'!$E56:INDEX('Milho 2ª safra'!$E56:$Z56,MIN(K$6-$G$3,22))&lt;&gt;""),'Milho 2ª safra'!$E56:INDEX('Milho 2ª safra'!$E56:$Z56,MIN(K$6-$G$3,22))),0)))))</f>
        <v>0</v>
      </c>
      <c r="L58" s="27" t="n">
        <f aca="false">IF(COUNT('Milho 2ª safra'!$E56:$Z56)=0,0,MAX(0,IF((L$6-$E$3)&lt;1,0,IFERROR(LOOKUP(2,1/('Milho 2ª safra'!$E56:INDEX('Milho 2ª safra'!$E56:$Z56,MIN(L$6-$E$3,22))&lt;&gt;""),'Milho 2ª safra'!$E56:INDEX('Milho 2ª safra'!$E56:$Z56,MIN(L$6-$E$3,22))),0))-IF($G$2,0,IF((L$6-$G$3)&lt;1,0,IFERROR(LOOKUP(2,1/('Milho 2ª safra'!$E56:INDEX('Milho 2ª safra'!$E56:$Z56,MIN(L$6-$G$3,22))&lt;&gt;""),'Milho 2ª safra'!$E56:INDEX('Milho 2ª safra'!$E56:$Z56,MIN(L$6-$G$3,22))),0)))))</f>
        <v>0</v>
      </c>
      <c r="M58" s="27" t="n">
        <f aca="false">IF(COUNT('Milho 2ª safra'!$E56:$Z56)=0,0,MAX(0,IF((M$6-$E$3)&lt;1,0,IFERROR(LOOKUP(2,1/('Milho 2ª safra'!$E56:INDEX('Milho 2ª safra'!$E56:$Z56,MIN(M$6-$E$3,22))&lt;&gt;""),'Milho 2ª safra'!$E56:INDEX('Milho 2ª safra'!$E56:$Z56,MIN(M$6-$E$3,22))),0))-IF($G$2,0,IF((M$6-$G$3)&lt;1,0,IFERROR(LOOKUP(2,1/('Milho 2ª safra'!$E56:INDEX('Milho 2ª safra'!$E56:$Z56,MIN(M$6-$G$3,22))&lt;&gt;""),'Milho 2ª safra'!$E56:INDEX('Milho 2ª safra'!$E56:$Z56,MIN(M$6-$G$3,22))),0)))))</f>
        <v>0</v>
      </c>
      <c r="N58" s="27" t="n">
        <f aca="false">IF(COUNT('Milho 2ª safra'!$E56:$Z56)=0,0,MAX(0,IF((N$6-$E$3)&lt;1,0,IFERROR(LOOKUP(2,1/('Milho 2ª safra'!$E56:INDEX('Milho 2ª safra'!$E56:$Z56,MIN(N$6-$E$3,22))&lt;&gt;""),'Milho 2ª safra'!$E56:INDEX('Milho 2ª safra'!$E56:$Z56,MIN(N$6-$E$3,22))),0))-IF($G$2,0,IF((N$6-$G$3)&lt;1,0,IFERROR(LOOKUP(2,1/('Milho 2ª safra'!$E56:INDEX('Milho 2ª safra'!$E56:$Z56,MIN(N$6-$G$3,22))&lt;&gt;""),'Milho 2ª safra'!$E56:INDEX('Milho 2ª safra'!$E56:$Z56,MIN(N$6-$G$3,22))),0)))))</f>
        <v>0</v>
      </c>
      <c r="O58" s="27" t="n">
        <f aca="false">IF(COUNT('Milho 2ª safra'!$E56:$Z56)=0,0,MAX(0,IF((O$6-$E$3)&lt;1,0,IFERROR(LOOKUP(2,1/('Milho 2ª safra'!$E56:INDEX('Milho 2ª safra'!$E56:$Z56,MIN(O$6-$E$3,22))&lt;&gt;""),'Milho 2ª safra'!$E56:INDEX('Milho 2ª safra'!$E56:$Z56,MIN(O$6-$E$3,22))),0))-IF($G$2,0,IF((O$6-$G$3)&lt;1,0,IFERROR(LOOKUP(2,1/('Milho 2ª safra'!$E56:INDEX('Milho 2ª safra'!$E56:$Z56,MIN(O$6-$G$3,22))&lt;&gt;""),'Milho 2ª safra'!$E56:INDEX('Milho 2ª safra'!$E56:$Z56,MIN(O$6-$G$3,22))),0)))))</f>
        <v>0</v>
      </c>
      <c r="P58" s="27" t="n">
        <f aca="false">IF(COUNT('Milho 2ª safra'!$E56:$Z56)=0,0,MAX(0,IF((P$6-$E$3)&lt;1,0,IFERROR(LOOKUP(2,1/('Milho 2ª safra'!$E56:INDEX('Milho 2ª safra'!$E56:$Z56,MIN(P$6-$E$3,22))&lt;&gt;""),'Milho 2ª safra'!$E56:INDEX('Milho 2ª safra'!$E56:$Z56,MIN(P$6-$E$3,22))),0))-IF($G$2,0,IF((P$6-$G$3)&lt;1,0,IFERROR(LOOKUP(2,1/('Milho 2ª safra'!$E56:INDEX('Milho 2ª safra'!$E56:$Z56,MIN(P$6-$G$3,22))&lt;&gt;""),'Milho 2ª safra'!$E56:INDEX('Milho 2ª safra'!$E56:$Z56,MIN(P$6-$G$3,22))),0)))))</f>
        <v>0</v>
      </c>
      <c r="Q58" s="27" t="n">
        <f aca="false">IF(COUNT('Milho 2ª safra'!$E56:$Z56)=0,0,MAX(0,IF((Q$6-$E$3)&lt;1,0,IFERROR(LOOKUP(2,1/('Milho 2ª safra'!$E56:INDEX('Milho 2ª safra'!$E56:$Z56,MIN(Q$6-$E$3,22))&lt;&gt;""),'Milho 2ª safra'!$E56:INDEX('Milho 2ª safra'!$E56:$Z56,MIN(Q$6-$E$3,22))),0))-IF($G$2,0,IF((Q$6-$G$3)&lt;1,0,IFERROR(LOOKUP(2,1/('Milho 2ª safra'!$E56:INDEX('Milho 2ª safra'!$E56:$Z56,MIN(Q$6-$G$3,22))&lt;&gt;""),'Milho 2ª safra'!$E56:INDEX('Milho 2ª safra'!$E56:$Z56,MIN(Q$6-$G$3,22))),0)))))</f>
        <v>0</v>
      </c>
      <c r="R58" s="27" t="n">
        <f aca="false">IF(COUNT('Milho 2ª safra'!$E56:$Z56)=0,0,MAX(0,IF((R$6-$E$3)&lt;1,0,IFERROR(LOOKUP(2,1/('Milho 2ª safra'!$E56:INDEX('Milho 2ª safra'!$E56:$Z56,MIN(R$6-$E$3,22))&lt;&gt;""),'Milho 2ª safra'!$E56:INDEX('Milho 2ª safra'!$E56:$Z56,MIN(R$6-$E$3,22))),0))-IF($G$2,0,IF((R$6-$G$3)&lt;1,0,IFERROR(LOOKUP(2,1/('Milho 2ª safra'!$E56:INDEX('Milho 2ª safra'!$E56:$Z56,MIN(R$6-$G$3,22))&lt;&gt;""),'Milho 2ª safra'!$E56:INDEX('Milho 2ª safra'!$E56:$Z56,MIN(R$6-$G$3,22))),0)))))</f>
        <v>0</v>
      </c>
      <c r="S58" s="27" t="n">
        <f aca="false">IF(COUNT('Milho 2ª safra'!$E56:$Z56)=0,0,MAX(0,IF((S$6-$E$3)&lt;1,0,IFERROR(LOOKUP(2,1/('Milho 2ª safra'!$E56:INDEX('Milho 2ª safra'!$E56:$Z56,MIN(S$6-$E$3,22))&lt;&gt;""),'Milho 2ª safra'!$E56:INDEX('Milho 2ª safra'!$E56:$Z56,MIN(S$6-$E$3,22))),0))-IF($G$2,0,IF((S$6-$G$3)&lt;1,0,IFERROR(LOOKUP(2,1/('Milho 2ª safra'!$E56:INDEX('Milho 2ª safra'!$E56:$Z56,MIN(S$6-$G$3,22))&lt;&gt;""),'Milho 2ª safra'!$E56:INDEX('Milho 2ª safra'!$E56:$Z56,MIN(S$6-$G$3,22))),0)))))</f>
        <v>0</v>
      </c>
      <c r="T58" s="27" t="n">
        <f aca="false">IF(COUNT('Milho 2ª safra'!$E56:$Z56)=0,0,MAX(0,IF((T$6-$E$3)&lt;1,0,IFERROR(LOOKUP(2,1/('Milho 2ª safra'!$E56:INDEX('Milho 2ª safra'!$E56:$Z56,MIN(T$6-$E$3,22))&lt;&gt;""),'Milho 2ª safra'!$E56:INDEX('Milho 2ª safra'!$E56:$Z56,MIN(T$6-$E$3,22))),0))-IF($G$2,0,IF((T$6-$G$3)&lt;1,0,IFERROR(LOOKUP(2,1/('Milho 2ª safra'!$E56:INDEX('Milho 2ª safra'!$E56:$Z56,MIN(T$6-$G$3,22))&lt;&gt;""),'Milho 2ª safra'!$E56:INDEX('Milho 2ª safra'!$E56:$Z56,MIN(T$6-$G$3,22))),0)))))</f>
        <v>0</v>
      </c>
      <c r="U58" s="27" t="n">
        <f aca="false">IF(COUNT('Milho 2ª safra'!$E56:$Z56)=0,0,MAX(0,IF((U$6-$E$3)&lt;1,0,IFERROR(LOOKUP(2,1/('Milho 2ª safra'!$E56:INDEX('Milho 2ª safra'!$E56:$Z56,MIN(U$6-$E$3,22))&lt;&gt;""),'Milho 2ª safra'!$E56:INDEX('Milho 2ª safra'!$E56:$Z56,MIN(U$6-$E$3,22))),0))-IF($G$2,0,IF((U$6-$G$3)&lt;1,0,IFERROR(LOOKUP(2,1/('Milho 2ª safra'!$E56:INDEX('Milho 2ª safra'!$E56:$Z56,MIN(U$6-$G$3,22))&lt;&gt;""),'Milho 2ª safra'!$E56:INDEX('Milho 2ª safra'!$E56:$Z56,MIN(U$6-$G$3,22))),0)))))</f>
        <v>0</v>
      </c>
      <c r="V58" s="27" t="n">
        <f aca="false">IF(COUNT('Milho 2ª safra'!$E56:$Z56)=0,0,MAX(0,IF((V$6-$E$3)&lt;1,0,IFERROR(LOOKUP(2,1/('Milho 2ª safra'!$E56:INDEX('Milho 2ª safra'!$E56:$Z56,MIN(V$6-$E$3,22))&lt;&gt;""),'Milho 2ª safra'!$E56:INDEX('Milho 2ª safra'!$E56:$Z56,MIN(V$6-$E$3,22))),0))-IF($G$2,0,IF((V$6-$G$3)&lt;1,0,IFERROR(LOOKUP(2,1/('Milho 2ª safra'!$E56:INDEX('Milho 2ª safra'!$E56:$Z56,MIN(V$6-$G$3,22))&lt;&gt;""),'Milho 2ª safra'!$E56:INDEX('Milho 2ª safra'!$E56:$Z56,MIN(V$6-$G$3,22))),0)))))</f>
        <v>0</v>
      </c>
      <c r="W58" s="27" t="n">
        <f aca="false">IF(COUNT('Milho 2ª safra'!$E56:$Z56)=0,0,MAX(0,IF((W$6-$E$3)&lt;1,0,IFERROR(LOOKUP(2,1/('Milho 2ª safra'!$E56:INDEX('Milho 2ª safra'!$E56:$Z56,MIN(W$6-$E$3,22))&lt;&gt;""),'Milho 2ª safra'!$E56:INDEX('Milho 2ª safra'!$E56:$Z56,MIN(W$6-$E$3,22))),0))-IF($G$2,0,IF((W$6-$G$3)&lt;1,0,IFERROR(LOOKUP(2,1/('Milho 2ª safra'!$E56:INDEX('Milho 2ª safra'!$E56:$Z56,MIN(W$6-$G$3,22))&lt;&gt;""),'Milho 2ª safra'!$E56:INDEX('Milho 2ª safra'!$E56:$Z56,MIN(W$6-$G$3,22))),0)))))</f>
        <v>0</v>
      </c>
      <c r="X58" s="27" t="n">
        <f aca="false">IF(COUNT('Milho 2ª safra'!$E56:$Z56)=0,0,MAX(0,IF((X$6-$E$3)&lt;1,0,IFERROR(LOOKUP(2,1/('Milho 2ª safra'!$E56:INDEX('Milho 2ª safra'!$E56:$Z56,MIN(X$6-$E$3,22))&lt;&gt;""),'Milho 2ª safra'!$E56:INDEX('Milho 2ª safra'!$E56:$Z56,MIN(X$6-$E$3,22))),0))-IF($G$2,0,IF((X$6-$G$3)&lt;1,0,IFERROR(LOOKUP(2,1/('Milho 2ª safra'!$E56:INDEX('Milho 2ª safra'!$E56:$Z56,MIN(X$6-$G$3,22))&lt;&gt;""),'Milho 2ª safra'!$E56:INDEX('Milho 2ª safra'!$E56:$Z56,MIN(X$6-$G$3,22))),0)))))</f>
        <v>0</v>
      </c>
      <c r="Y58" s="27" t="n">
        <f aca="false">IF(COUNT('Milho 2ª safra'!$E56:$Z56)=0,0,MAX(0,IF((Y$6-$E$3)&lt;1,0,IFERROR(LOOKUP(2,1/('Milho 2ª safra'!$E56:INDEX('Milho 2ª safra'!$E56:$Z56,MIN(Y$6-$E$3,22))&lt;&gt;""),'Milho 2ª safra'!$E56:INDEX('Milho 2ª safra'!$E56:$Z56,MIN(Y$6-$E$3,22))),0))-IF($G$2,0,IF((Y$6-$G$3)&lt;1,0,IFERROR(LOOKUP(2,1/('Milho 2ª safra'!$E56:INDEX('Milho 2ª safra'!$E56:$Z56,MIN(Y$6-$G$3,22))&lt;&gt;""),'Milho 2ª safra'!$E56:INDEX('Milho 2ª safra'!$E56:$Z56,MIN(Y$6-$G$3,22))),0)))))</f>
        <v>0</v>
      </c>
      <c r="Z58" s="27" t="n">
        <f aca="false">IF(COUNT('Milho 2ª safra'!$E56:$Z56)=0,0,MAX(0,IF((Z$6-$E$3)&lt;1,0,IFERROR(LOOKUP(2,1/('Milho 2ª safra'!$E56:INDEX('Milho 2ª safra'!$E56:$Z56,MIN(Z$6-$E$3,22))&lt;&gt;""),'Milho 2ª safra'!$E56:INDEX('Milho 2ª safra'!$E56:$Z56,MIN(Z$6-$E$3,22))),0))-IF($G$2,0,IF((Z$6-$G$3)&lt;1,0,IFERROR(LOOKUP(2,1/('Milho 2ª safra'!$E56:INDEX('Milho 2ª safra'!$E56:$Z56,MIN(Z$6-$G$3,22))&lt;&gt;""),'Milho 2ª safra'!$E56:INDEX('Milho 2ª safra'!$E56:$Z56,MIN(Z$6-$G$3,22))),0)))))</f>
        <v>0</v>
      </c>
      <c r="AA58" s="27" t="n">
        <f aca="false">IF(COUNT('Milho 2ª safra'!$E56:$Z56)=0,0,MAX(0,IF((AA$6-$E$3)&lt;1,0,IFERROR(LOOKUP(2,1/('Milho 2ª safra'!$E56:INDEX('Milho 2ª safra'!$E56:$Z56,MIN(AA$6-$E$3,22))&lt;&gt;""),'Milho 2ª safra'!$E56:INDEX('Milho 2ª safra'!$E56:$Z56,MIN(AA$6-$E$3,22))),0))-IF($G$2,0,IF((AA$6-$G$3)&lt;1,0,IFERROR(LOOKUP(2,1/('Milho 2ª safra'!$E56:INDEX('Milho 2ª safra'!$E56:$Z56,MIN(AA$6-$G$3,22))&lt;&gt;""),'Milho 2ª safra'!$E56:INDEX('Milho 2ª safra'!$E56:$Z56,MIN(AA$6-$G$3,22))),0)))))</f>
        <v>0</v>
      </c>
      <c r="AB58" s="27" t="n">
        <f aca="false">IF(COUNT('Milho 2ª safra'!$E56:$Z56)=0,0,MAX(0,IF((AB$6-$E$3)&lt;1,0,IFERROR(LOOKUP(2,1/('Milho 2ª safra'!$E56:INDEX('Milho 2ª safra'!$E56:$Z56,MIN(AB$6-$E$3,22))&lt;&gt;""),'Milho 2ª safra'!$E56:INDEX('Milho 2ª safra'!$E56:$Z56,MIN(AB$6-$E$3,22))),0))-IF($G$2,0,IF((AB$6-$G$3)&lt;1,0,IFERROR(LOOKUP(2,1/('Milho 2ª safra'!$E56:INDEX('Milho 2ª safra'!$E56:$Z56,MIN(AB$6-$G$3,22))&lt;&gt;""),'Milho 2ª safra'!$E56:INDEX('Milho 2ª safra'!$E56:$Z56,MIN(AB$6-$G$3,22))),0)))))</f>
        <v>0</v>
      </c>
      <c r="AC58" s="27" t="n">
        <f aca="false">IF(COUNT('Milho 2ª safra'!$E56:$Z56)=0,0,MAX(0,IF((AC$6-$E$3)&lt;1,0,IFERROR(LOOKUP(2,1/('Milho 2ª safra'!$E56:INDEX('Milho 2ª safra'!$E56:$Z56,MIN(AC$6-$E$3,22))&lt;&gt;""),'Milho 2ª safra'!$E56:INDEX('Milho 2ª safra'!$E56:$Z56,MIN(AC$6-$E$3,22))),0))-IF($G$2,0,IF((AC$6-$G$3)&lt;1,0,IFERROR(LOOKUP(2,1/('Milho 2ª safra'!$E56:INDEX('Milho 2ª safra'!$E56:$Z56,MIN(AC$6-$G$3,22))&lt;&gt;""),'Milho 2ª safra'!$E56:INDEX('Milho 2ª safra'!$E56:$Z56,MIN(AC$6-$G$3,22))),0)))))</f>
        <v>0</v>
      </c>
      <c r="AD58" s="27" t="n">
        <f aca="false">IF(COUNT('Milho 2ª safra'!$E56:$Z56)=0,0,MAX(0,IF((AD$6-$E$3)&lt;1,0,IFERROR(LOOKUP(2,1/('Milho 2ª safra'!$E56:INDEX('Milho 2ª safra'!$E56:$Z56,MIN(AD$6-$E$3,22))&lt;&gt;""),'Milho 2ª safra'!$E56:INDEX('Milho 2ª safra'!$E56:$Z56,MIN(AD$6-$E$3,22))),0))-IF($G$2,0,IF((AD$6-$G$3)&lt;1,0,IFERROR(LOOKUP(2,1/('Milho 2ª safra'!$E56:INDEX('Milho 2ª safra'!$E56:$Z56,MIN(AD$6-$G$3,22))&lt;&gt;""),'Milho 2ª safra'!$E56:INDEX('Milho 2ª safra'!$E56:$Z56,MIN(AD$6-$G$3,22))),0)))))</f>
        <v>0</v>
      </c>
      <c r="AE58" s="27" t="n">
        <f aca="false">IF(COUNT('Milho 2ª safra'!$E56:$Z56)=0,0,MAX(0,IF((AE$6-$E$3)&lt;1,0,IFERROR(LOOKUP(2,1/('Milho 2ª safra'!$E56:INDEX('Milho 2ª safra'!$E56:$Z56,MIN(AE$6-$E$3,22))&lt;&gt;""),'Milho 2ª safra'!$E56:INDEX('Milho 2ª safra'!$E56:$Z56,MIN(AE$6-$E$3,22))),0))-IF($G$2,0,IF((AE$6-$G$3)&lt;1,0,IFERROR(LOOKUP(2,1/('Milho 2ª safra'!$E56:INDEX('Milho 2ª safra'!$E56:$Z56,MIN(AE$6-$G$3,22))&lt;&gt;""),'Milho 2ª safra'!$E56:INDEX('Milho 2ª safra'!$E56:$Z56,MIN(AE$6-$G$3,22))),0)))))</f>
        <v>0</v>
      </c>
      <c r="AF58" s="27" t="n">
        <f aca="false">IF(COUNT('Milho 2ª safra'!$E56:$Z56)=0,0,MAX(0,IF((AF$6-$E$3)&lt;1,0,IFERROR(LOOKUP(2,1/('Milho 2ª safra'!$E56:INDEX('Milho 2ª safra'!$E56:$Z56,MIN(AF$6-$E$3,22))&lt;&gt;""),'Milho 2ª safra'!$E56:INDEX('Milho 2ª safra'!$E56:$Z56,MIN(AF$6-$E$3,22))),0))-IF($G$2,0,IF((AF$6-$G$3)&lt;1,0,IFERROR(LOOKUP(2,1/('Milho 2ª safra'!$E56:INDEX('Milho 2ª safra'!$E56:$Z56,MIN(AF$6-$G$3,22))&lt;&gt;""),'Milho 2ª safra'!$E56:INDEX('Milho 2ª safra'!$E56:$Z56,MIN(AF$6-$G$3,22))),0)))))</f>
        <v>0</v>
      </c>
      <c r="AG58" s="27" t="n">
        <f aca="false">IF(COUNT('Milho 2ª safra'!$E56:$Z56)=0,0,MAX(0,IF((AG$6-$E$3)&lt;1,0,IFERROR(LOOKUP(2,1/('Milho 2ª safra'!$E56:INDEX('Milho 2ª safra'!$E56:$Z56,MIN(AG$6-$E$3,22))&lt;&gt;""),'Milho 2ª safra'!$E56:INDEX('Milho 2ª safra'!$E56:$Z56,MIN(AG$6-$E$3,22))),0))-IF($G$2,0,IF((AG$6-$G$3)&lt;1,0,IFERROR(LOOKUP(2,1/('Milho 2ª safra'!$E56:INDEX('Milho 2ª safra'!$E56:$Z56,MIN(AG$6-$G$3,22))&lt;&gt;""),'Milho 2ª safra'!$E56:INDEX('Milho 2ª safra'!$E56:$Z56,MIN(AG$6-$G$3,22))),0)))))</f>
        <v>0</v>
      </c>
      <c r="AH58" s="27" t="n">
        <f aca="false">IF(COUNT('Milho 2ª safra'!$E56:$Z56)=0,0,MAX(0,IF((AH$6-$E$3)&lt;1,0,IFERROR(LOOKUP(2,1/('Milho 2ª safra'!$E56:INDEX('Milho 2ª safra'!$E56:$Z56,MIN(AH$6-$E$3,22))&lt;&gt;""),'Milho 2ª safra'!$E56:INDEX('Milho 2ª safra'!$E56:$Z56,MIN(AH$6-$E$3,22))),0))-IF($G$2,0,IF((AH$6-$G$3)&lt;1,0,IFERROR(LOOKUP(2,1/('Milho 2ª safra'!$E56:INDEX('Milho 2ª safra'!$E56:$Z56,MIN(AH$6-$G$3,22))&lt;&gt;""),'Milho 2ª safra'!$E56:INDEX('Milho 2ª safra'!$E56:$Z56,MIN(AH$6-$G$3,22))),0)))))</f>
        <v>0</v>
      </c>
      <c r="AI58" s="27" t="n">
        <f aca="false">IF(COUNT('Milho 2ª safra'!$E56:$Z56)=0,0,MAX(0,IF((AI$6-$E$3)&lt;1,0,IFERROR(LOOKUP(2,1/('Milho 2ª safra'!$E56:INDEX('Milho 2ª safra'!$E56:$Z56,MIN(AI$6-$E$3,22))&lt;&gt;""),'Milho 2ª safra'!$E56:INDEX('Milho 2ª safra'!$E56:$Z56,MIN(AI$6-$E$3,22))),0))-IF($G$2,0,IF((AI$6-$G$3)&lt;1,0,IFERROR(LOOKUP(2,1/('Milho 2ª safra'!$E56:INDEX('Milho 2ª safra'!$E56:$Z56,MIN(AI$6-$G$3,22))&lt;&gt;""),'Milho 2ª safra'!$E56:INDEX('Milho 2ª safra'!$E56:$Z56,MIN(AI$6-$G$3,22))),0)))))</f>
        <v>0</v>
      </c>
      <c r="AJ58" s="27" t="n">
        <f aca="false">IF(COUNT('Milho 2ª safra'!$E56:$Z56)=0,0,MAX(0,IF((AJ$6-$E$3)&lt;1,0,IFERROR(LOOKUP(2,1/('Milho 2ª safra'!$E56:INDEX('Milho 2ª safra'!$E56:$Z56,MIN(AJ$6-$E$3,22))&lt;&gt;""),'Milho 2ª safra'!$E56:INDEX('Milho 2ª safra'!$E56:$Z56,MIN(AJ$6-$E$3,22))),0))-IF($G$2,0,IF((AJ$6-$G$3)&lt;1,0,IFERROR(LOOKUP(2,1/('Milho 2ª safra'!$E56:INDEX('Milho 2ª safra'!$E56:$Z56,MIN(AJ$6-$G$3,22))&lt;&gt;""),'Milho 2ª safra'!$E56:INDEX('Milho 2ª safra'!$E56:$Z56,MIN(AJ$6-$G$3,22))),0)))))</f>
        <v>0</v>
      </c>
      <c r="AK58" s="27" t="n">
        <f aca="false">IF(COUNT('Milho 2ª safra'!$E56:$Z56)=0,0,MAX(0,IF((AK$6-$E$3)&lt;1,0,IFERROR(LOOKUP(2,1/('Milho 2ª safra'!$E56:INDEX('Milho 2ª safra'!$E56:$Z56,MIN(AK$6-$E$3,22))&lt;&gt;""),'Milho 2ª safra'!$E56:INDEX('Milho 2ª safra'!$E56:$Z56,MIN(AK$6-$E$3,22))),0))-IF($G$2,0,IF((AK$6-$G$3)&lt;1,0,IFERROR(LOOKUP(2,1/('Milho 2ª safra'!$E56:INDEX('Milho 2ª safra'!$E56:$Z56,MIN(AK$6-$G$3,22))&lt;&gt;""),'Milho 2ª safra'!$E56:INDEX('Milho 2ª safra'!$E56:$Z56,MIN(AK$6-$G$3,22))),0)))))</f>
        <v>0</v>
      </c>
      <c r="AL58" s="27" t="n">
        <f aca="false">IF(COUNT('Milho 2ª safra'!$E56:$Z56)=0,0,MAX(0,IF((AL$6-$E$3)&lt;1,0,IFERROR(LOOKUP(2,1/('Milho 2ª safra'!$E56:INDEX('Milho 2ª safra'!$E56:$Z56,MIN(AL$6-$E$3,22))&lt;&gt;""),'Milho 2ª safra'!$E56:INDEX('Milho 2ª safra'!$E56:$Z56,MIN(AL$6-$E$3,22))),0))-IF($G$2,0,IF((AL$6-$G$3)&lt;1,0,IFERROR(LOOKUP(2,1/('Milho 2ª safra'!$E56:INDEX('Milho 2ª safra'!$E56:$Z56,MIN(AL$6-$G$3,22))&lt;&gt;""),'Milho 2ª safra'!$E56:INDEX('Milho 2ª safra'!$E56:$Z56,MIN(AL$6-$G$3,22))),0)))))</f>
        <v>0</v>
      </c>
      <c r="AM58" s="27" t="n">
        <f aca="false">IF(COUNT('Milho 2ª safra'!$E56:$Z56)=0,0,MAX(0,IF((AM$6-$E$3)&lt;1,0,IFERROR(LOOKUP(2,1/('Milho 2ª safra'!$E56:INDEX('Milho 2ª safra'!$E56:$Z56,MIN(AM$6-$E$3,22))&lt;&gt;""),'Milho 2ª safra'!$E56:INDEX('Milho 2ª safra'!$E56:$Z56,MIN(AM$6-$E$3,22))),0))-IF($G$2,0,IF((AM$6-$G$3)&lt;1,0,IFERROR(LOOKUP(2,1/('Milho 2ª safra'!$E56:INDEX('Milho 2ª safra'!$E56:$Z56,MIN(AM$6-$G$3,22))&lt;&gt;""),'Milho 2ª safra'!$E56:INDEX('Milho 2ª safra'!$E56:$Z56,MIN(AM$6-$G$3,22))),0)))))</f>
        <v>0</v>
      </c>
      <c r="AN58" s="27" t="n">
        <f aca="false">IF(COUNT('Milho 2ª safra'!$E56:$Z56)=0,0,MAX(0,IF((AN$6-$E$3)&lt;1,0,IFERROR(LOOKUP(2,1/('Milho 2ª safra'!$E56:INDEX('Milho 2ª safra'!$E56:$Z56,MIN(AN$6-$E$3,22))&lt;&gt;""),'Milho 2ª safra'!$E56:INDEX('Milho 2ª safra'!$E56:$Z56,MIN(AN$6-$E$3,22))),0))-IF($G$2,0,IF((AN$6-$G$3)&lt;1,0,IFERROR(LOOKUP(2,1/('Milho 2ª safra'!$E56:INDEX('Milho 2ª safra'!$E56:$Z56,MIN(AN$6-$G$3,22))&lt;&gt;""),'Milho 2ª safra'!$E56:INDEX('Milho 2ª safra'!$E56:$Z56,MIN(AN$6-$G$3,22))),0)))))</f>
        <v>0</v>
      </c>
      <c r="AO58" s="27" t="n">
        <f aca="false">IF(COUNT('Milho 2ª safra'!$E56:$Z56)=0,0,MAX(0,IF((AO$6-$E$3)&lt;1,0,IFERROR(LOOKUP(2,1/('Milho 2ª safra'!$E56:INDEX('Milho 2ª safra'!$E56:$Z56,MIN(AO$6-$E$3,22))&lt;&gt;""),'Milho 2ª safra'!$E56:INDEX('Milho 2ª safra'!$E56:$Z56,MIN(AO$6-$E$3,22))),0))-IF($G$2,0,IF((AO$6-$G$3)&lt;1,0,IFERROR(LOOKUP(2,1/('Milho 2ª safra'!$E56:INDEX('Milho 2ª safra'!$E56:$Z56,MIN(AO$6-$G$3,22))&lt;&gt;""),'Milho 2ª safra'!$E56:INDEX('Milho 2ª safra'!$E56:$Z56,MIN(AO$6-$G$3,22))),0)))))</f>
        <v>0</v>
      </c>
      <c r="AP58" s="27" t="n">
        <f aca="false">IF(COUNT('Milho 2ª safra'!$E56:$Z56)=0,0,MAX(0,IF((AP$6-$E$3)&lt;1,0,IFERROR(LOOKUP(2,1/('Milho 2ª safra'!$E56:INDEX('Milho 2ª safra'!$E56:$Z56,MIN(AP$6-$E$3,22))&lt;&gt;""),'Milho 2ª safra'!$E56:INDEX('Milho 2ª safra'!$E56:$Z56,MIN(AP$6-$E$3,22))),0))-IF($G$2,0,IF((AP$6-$G$3)&lt;1,0,IFERROR(LOOKUP(2,1/('Milho 2ª safra'!$E56:INDEX('Milho 2ª safra'!$E56:$Z56,MIN(AP$6-$G$3,22))&lt;&gt;""),'Milho 2ª safra'!$E56:INDEX('Milho 2ª safra'!$E56:$Z56,MIN(AP$6-$G$3,22))),0)))))</f>
        <v>0</v>
      </c>
      <c r="AQ58" s="27" t="n">
        <f aca="false">IF(COUNT('Milho 2ª safra'!$E56:$Z56)=0,0,MAX(0,IF((AQ$6-$E$3)&lt;1,0,IFERROR(LOOKUP(2,1/('Milho 2ª safra'!$E56:INDEX('Milho 2ª safra'!$E56:$Z56,MIN(AQ$6-$E$3,22))&lt;&gt;""),'Milho 2ª safra'!$E56:INDEX('Milho 2ª safra'!$E56:$Z56,MIN(AQ$6-$E$3,22))),0))-IF($G$2,0,IF((AQ$6-$G$3)&lt;1,0,IFERROR(LOOKUP(2,1/('Milho 2ª safra'!$E56:INDEX('Milho 2ª safra'!$E56:$Z56,MIN(AQ$6-$G$3,22))&lt;&gt;""),'Milho 2ª safra'!$E56:INDEX('Milho 2ª safra'!$E56:$Z56,MIN(AQ$6-$G$3,22))),0)))))</f>
        <v>0</v>
      </c>
      <c r="AR58" s="27" t="n">
        <f aca="false">IF(COUNT('Milho 2ª safra'!$E56:$Z56)=0,0,MAX(0,IF((AR$6-$E$3)&lt;1,0,IFERROR(LOOKUP(2,1/('Milho 2ª safra'!$E56:INDEX('Milho 2ª safra'!$E56:$Z56,MIN(AR$6-$E$3,22))&lt;&gt;""),'Milho 2ª safra'!$E56:INDEX('Milho 2ª safra'!$E56:$Z56,MIN(AR$6-$E$3,22))),0))-IF($G$2,0,IF((AR$6-$G$3)&lt;1,0,IFERROR(LOOKUP(2,1/('Milho 2ª safra'!$E56:INDEX('Milho 2ª safra'!$E56:$Z56,MIN(AR$6-$G$3,22))&lt;&gt;""),'Milho 2ª safra'!$E56:INDEX('Milho 2ª safra'!$E56:$Z56,MIN(AR$6-$G$3,22))),0)))))</f>
        <v>0</v>
      </c>
      <c r="AS58" s="27" t="n">
        <f aca="false">IF(COUNT('Milho 2ª safra'!$E56:$Z56)=0,0,MAX(0,IF((AS$6-$E$3)&lt;1,0,IFERROR(LOOKUP(2,1/('Milho 2ª safra'!$E56:INDEX('Milho 2ª safra'!$E56:$Z56,MIN(AS$6-$E$3,22))&lt;&gt;""),'Milho 2ª safra'!$E56:INDEX('Milho 2ª safra'!$E56:$Z56,MIN(AS$6-$E$3,22))),0))-IF($G$2,0,IF((AS$6-$G$3)&lt;1,0,IFERROR(LOOKUP(2,1/('Milho 2ª safra'!$E56:INDEX('Milho 2ª safra'!$E56:$Z56,MIN(AS$6-$G$3,22))&lt;&gt;""),'Milho 2ª safra'!$E56:INDEX('Milho 2ª safra'!$E56:$Z56,MIN(AS$6-$G$3,22))),0)))))</f>
        <v>0</v>
      </c>
      <c r="AT58" s="27" t="n">
        <f aca="false">IF(COUNT('Milho 2ª safra'!$E56:$Z56)=0,0,MAX(0,IF((AT$6-$E$3)&lt;1,0,IFERROR(LOOKUP(2,1/('Milho 2ª safra'!$E56:INDEX('Milho 2ª safra'!$E56:$Z56,MIN(AT$6-$E$3,22))&lt;&gt;""),'Milho 2ª safra'!$E56:INDEX('Milho 2ª safra'!$E56:$Z56,MIN(AT$6-$E$3,22))),0))-IF($G$2,0,IF((AT$6-$G$3)&lt;1,0,IFERROR(LOOKUP(2,1/('Milho 2ª safra'!$E56:INDEX('Milho 2ª safra'!$E56:$Z56,MIN(AT$6-$G$3,22))&lt;&gt;""),'Milho 2ª safra'!$E56:INDEX('Milho 2ª safra'!$E56:$Z56,MIN(AT$6-$G$3,22))),0)))))</f>
        <v>0</v>
      </c>
      <c r="AU58" s="27" t="n">
        <f aca="false">IF(COUNT('Milho 2ª safra'!$E56:$Z56)=0,0,MAX(0,IF((AU$6-$E$3)&lt;1,0,IFERROR(LOOKUP(2,1/('Milho 2ª safra'!$E56:INDEX('Milho 2ª safra'!$E56:$Z56,MIN(AU$6-$E$3,22))&lt;&gt;""),'Milho 2ª safra'!$E56:INDEX('Milho 2ª safra'!$E56:$Z56,MIN(AU$6-$E$3,22))),0))-IF($G$2,0,IF((AU$6-$G$3)&lt;1,0,IFERROR(LOOKUP(2,1/('Milho 2ª safra'!$E56:INDEX('Milho 2ª safra'!$E56:$Z56,MIN(AU$6-$G$3,22))&lt;&gt;""),'Milho 2ª safra'!$E56:INDEX('Milho 2ª safra'!$E56:$Z56,MIN(AU$6-$G$3,22))),0)))))</f>
        <v>0</v>
      </c>
      <c r="AV58" s="27" t="n">
        <f aca="false">IF(COUNT('Milho 2ª safra'!$E56:$Z56)=0,0,MAX(0,IF((AV$6-$E$3)&lt;1,0,IFERROR(LOOKUP(2,1/('Milho 2ª safra'!$E56:INDEX('Milho 2ª safra'!$E56:$Z56,MIN(AV$6-$E$3,22))&lt;&gt;""),'Milho 2ª safra'!$E56:INDEX('Milho 2ª safra'!$E56:$Z56,MIN(AV$6-$E$3,22))),0))-IF($G$2,0,IF((AV$6-$G$3)&lt;1,0,IFERROR(LOOKUP(2,1/('Milho 2ª safra'!$E56:INDEX('Milho 2ª safra'!$E56:$Z56,MIN(AV$6-$G$3,22))&lt;&gt;""),'Milho 2ª safra'!$E56:INDEX('Milho 2ª safra'!$E56:$Z56,MIN(AV$6-$G$3,22))),0)))))</f>
        <v>0</v>
      </c>
      <c r="AW58" s="27" t="n">
        <f aca="false">IF(COUNT('Milho 2ª safra'!$E56:$Z56)=0,0,MAX(0,IF((AW$6-$E$3)&lt;1,0,IFERROR(LOOKUP(2,1/('Milho 2ª safra'!$E56:INDEX('Milho 2ª safra'!$E56:$Z56,MIN(AW$6-$E$3,22))&lt;&gt;""),'Milho 2ª safra'!$E56:INDEX('Milho 2ª safra'!$E56:$Z56,MIN(AW$6-$E$3,22))),0))-IF($G$2,0,IF((AW$6-$G$3)&lt;1,0,IFERROR(LOOKUP(2,1/('Milho 2ª safra'!$E56:INDEX('Milho 2ª safra'!$E56:$Z56,MIN(AW$6-$G$3,22))&lt;&gt;""),'Milho 2ª safra'!$E56:INDEX('Milho 2ª safra'!$E56:$Z56,MIN(AW$6-$G$3,22))),0)))))</f>
        <v>0</v>
      </c>
      <c r="AX58" s="27" t="n">
        <f aca="false">IF(COUNT('Milho 2ª safra'!$E56:$Z56)=0,0,MAX(0,IF((AX$6-$E$3)&lt;1,0,IFERROR(LOOKUP(2,1/('Milho 2ª safra'!$E56:INDEX('Milho 2ª safra'!$E56:$Z56,MIN(AX$6-$E$3,22))&lt;&gt;""),'Milho 2ª safra'!$E56:INDEX('Milho 2ª safra'!$E56:$Z56,MIN(AX$6-$E$3,22))),0))-IF($G$2,0,IF((AX$6-$G$3)&lt;1,0,IFERROR(LOOKUP(2,1/('Milho 2ª safra'!$E56:INDEX('Milho 2ª safra'!$E56:$Z56,MIN(AX$6-$G$3,22))&lt;&gt;""),'Milho 2ª safra'!$E56:INDEX('Milho 2ª safra'!$E56:$Z56,MIN(AX$6-$G$3,22))),0)))))</f>
        <v>0</v>
      </c>
      <c r="AY58" s="27" t="n">
        <f aca="false">IF(COUNT('Milho 2ª safra'!$E56:$Z56)=0,0,MAX(0,IF((AY$6-$E$3)&lt;1,0,IFERROR(LOOKUP(2,1/('Milho 2ª safra'!$E56:INDEX('Milho 2ª safra'!$E56:$Z56,MIN(AY$6-$E$3,22))&lt;&gt;""),'Milho 2ª safra'!$E56:INDEX('Milho 2ª safra'!$E56:$Z56,MIN(AY$6-$E$3,22))),0))-IF($G$2,0,IF((AY$6-$G$3)&lt;1,0,IFERROR(LOOKUP(2,1/('Milho 2ª safra'!$E56:INDEX('Milho 2ª safra'!$E56:$Z56,MIN(AY$6-$G$3,22))&lt;&gt;""),'Milho 2ª safra'!$E56:INDEX('Milho 2ª safra'!$E56:$Z56,MIN(AY$6-$G$3,22))),0)))))</f>
        <v>0</v>
      </c>
      <c r="AZ58" s="27" t="n">
        <f aca="false">IF(COUNT('Milho 2ª safra'!$E56:$Z56)=0,0,MAX(0,IF((AZ$6-$E$3)&lt;1,0,IFERROR(LOOKUP(2,1/('Milho 2ª safra'!$E56:INDEX('Milho 2ª safra'!$E56:$Z56,MIN(AZ$6-$E$3,22))&lt;&gt;""),'Milho 2ª safra'!$E56:INDEX('Milho 2ª safra'!$E56:$Z56,MIN(AZ$6-$E$3,22))),0))-IF($G$2,0,IF((AZ$6-$G$3)&lt;1,0,IFERROR(LOOKUP(2,1/('Milho 2ª safra'!$E56:INDEX('Milho 2ª safra'!$E56:$Z56,MIN(AZ$6-$G$3,22))&lt;&gt;""),'Milho 2ª safra'!$E56:INDEX('Milho 2ª safra'!$E56:$Z56,MIN(AZ$6-$G$3,22))),0)))))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IF(COUNT('Milho 2ª safra'!$E57:$Z57)&gt;0,N('Milho 2ª safra'!$D57),0)</f>
        <v>0</v>
      </c>
      <c r="E59" s="27" t="n">
        <f aca="false">IF(COUNT('Milho 2ª safra'!$E57:$Z57)=0,0,MAX(0,IF((E$6-$E$3)&lt;1,0,IFERROR(LOOKUP(2,1/('Milho 2ª safra'!$E57:INDEX('Milho 2ª safra'!$E57:$Z57,MIN(E$6-$E$3,22))&lt;&gt;""),'Milho 2ª safra'!$E57:INDEX('Milho 2ª safra'!$E57:$Z57,MIN(E$6-$E$3,22))),0))-IF($G$2,0,IF((E$6-$G$3)&lt;1,0,IFERROR(LOOKUP(2,1/('Milho 2ª safra'!$E57:INDEX('Milho 2ª safra'!$E57:$Z57,MIN(E$6-$G$3,22))&lt;&gt;""),'Milho 2ª safra'!$E57:INDEX('Milho 2ª safra'!$E57:$Z57,MIN(E$6-$G$3,22))),0)))))</f>
        <v>0</v>
      </c>
      <c r="F59" s="27" t="n">
        <f aca="false">IF(COUNT('Milho 2ª safra'!$E57:$Z57)=0,0,MAX(0,IF((F$6-$E$3)&lt;1,0,IFERROR(LOOKUP(2,1/('Milho 2ª safra'!$E57:INDEX('Milho 2ª safra'!$E57:$Z57,MIN(F$6-$E$3,22))&lt;&gt;""),'Milho 2ª safra'!$E57:INDEX('Milho 2ª safra'!$E57:$Z57,MIN(F$6-$E$3,22))),0))-IF($G$2,0,IF((F$6-$G$3)&lt;1,0,IFERROR(LOOKUP(2,1/('Milho 2ª safra'!$E57:INDEX('Milho 2ª safra'!$E57:$Z57,MIN(F$6-$G$3,22))&lt;&gt;""),'Milho 2ª safra'!$E57:INDEX('Milho 2ª safra'!$E57:$Z57,MIN(F$6-$G$3,22))),0)))))</f>
        <v>0</v>
      </c>
      <c r="G59" s="27" t="n">
        <f aca="false">IF(COUNT('Milho 2ª safra'!$E57:$Z57)=0,0,MAX(0,IF((G$6-$E$3)&lt;1,0,IFERROR(LOOKUP(2,1/('Milho 2ª safra'!$E57:INDEX('Milho 2ª safra'!$E57:$Z57,MIN(G$6-$E$3,22))&lt;&gt;""),'Milho 2ª safra'!$E57:INDEX('Milho 2ª safra'!$E57:$Z57,MIN(G$6-$E$3,22))),0))-IF($G$2,0,IF((G$6-$G$3)&lt;1,0,IFERROR(LOOKUP(2,1/('Milho 2ª safra'!$E57:INDEX('Milho 2ª safra'!$E57:$Z57,MIN(G$6-$G$3,22))&lt;&gt;""),'Milho 2ª safra'!$E57:INDEX('Milho 2ª safra'!$E57:$Z57,MIN(G$6-$G$3,22))),0)))))</f>
        <v>0</v>
      </c>
      <c r="H59" s="27" t="n">
        <f aca="false">IF(COUNT('Milho 2ª safra'!$E57:$Z57)=0,0,MAX(0,IF((H$6-$E$3)&lt;1,0,IFERROR(LOOKUP(2,1/('Milho 2ª safra'!$E57:INDEX('Milho 2ª safra'!$E57:$Z57,MIN(H$6-$E$3,22))&lt;&gt;""),'Milho 2ª safra'!$E57:INDEX('Milho 2ª safra'!$E57:$Z57,MIN(H$6-$E$3,22))),0))-IF($G$2,0,IF((H$6-$G$3)&lt;1,0,IFERROR(LOOKUP(2,1/('Milho 2ª safra'!$E57:INDEX('Milho 2ª safra'!$E57:$Z57,MIN(H$6-$G$3,22))&lt;&gt;""),'Milho 2ª safra'!$E57:INDEX('Milho 2ª safra'!$E57:$Z57,MIN(H$6-$G$3,22))),0)))))</f>
        <v>0</v>
      </c>
      <c r="I59" s="27" t="n">
        <f aca="false">IF(COUNT('Milho 2ª safra'!$E57:$Z57)=0,0,MAX(0,IF((I$6-$E$3)&lt;1,0,IFERROR(LOOKUP(2,1/('Milho 2ª safra'!$E57:INDEX('Milho 2ª safra'!$E57:$Z57,MIN(I$6-$E$3,22))&lt;&gt;""),'Milho 2ª safra'!$E57:INDEX('Milho 2ª safra'!$E57:$Z57,MIN(I$6-$E$3,22))),0))-IF($G$2,0,IF((I$6-$G$3)&lt;1,0,IFERROR(LOOKUP(2,1/('Milho 2ª safra'!$E57:INDEX('Milho 2ª safra'!$E57:$Z57,MIN(I$6-$G$3,22))&lt;&gt;""),'Milho 2ª safra'!$E57:INDEX('Milho 2ª safra'!$E57:$Z57,MIN(I$6-$G$3,22))),0)))))</f>
        <v>0</v>
      </c>
      <c r="J59" s="27" t="n">
        <f aca="false">IF(COUNT('Milho 2ª safra'!$E57:$Z57)=0,0,MAX(0,IF((J$6-$E$3)&lt;1,0,IFERROR(LOOKUP(2,1/('Milho 2ª safra'!$E57:INDEX('Milho 2ª safra'!$E57:$Z57,MIN(J$6-$E$3,22))&lt;&gt;""),'Milho 2ª safra'!$E57:INDEX('Milho 2ª safra'!$E57:$Z57,MIN(J$6-$E$3,22))),0))-IF($G$2,0,IF((J$6-$G$3)&lt;1,0,IFERROR(LOOKUP(2,1/('Milho 2ª safra'!$E57:INDEX('Milho 2ª safra'!$E57:$Z57,MIN(J$6-$G$3,22))&lt;&gt;""),'Milho 2ª safra'!$E57:INDEX('Milho 2ª safra'!$E57:$Z57,MIN(J$6-$G$3,22))),0)))))</f>
        <v>0</v>
      </c>
      <c r="K59" s="27" t="n">
        <f aca="false">IF(COUNT('Milho 2ª safra'!$E57:$Z57)=0,0,MAX(0,IF((K$6-$E$3)&lt;1,0,IFERROR(LOOKUP(2,1/('Milho 2ª safra'!$E57:INDEX('Milho 2ª safra'!$E57:$Z57,MIN(K$6-$E$3,22))&lt;&gt;""),'Milho 2ª safra'!$E57:INDEX('Milho 2ª safra'!$E57:$Z57,MIN(K$6-$E$3,22))),0))-IF($G$2,0,IF((K$6-$G$3)&lt;1,0,IFERROR(LOOKUP(2,1/('Milho 2ª safra'!$E57:INDEX('Milho 2ª safra'!$E57:$Z57,MIN(K$6-$G$3,22))&lt;&gt;""),'Milho 2ª safra'!$E57:INDEX('Milho 2ª safra'!$E57:$Z57,MIN(K$6-$G$3,22))),0)))))</f>
        <v>0</v>
      </c>
      <c r="L59" s="27" t="n">
        <f aca="false">IF(COUNT('Milho 2ª safra'!$E57:$Z57)=0,0,MAX(0,IF((L$6-$E$3)&lt;1,0,IFERROR(LOOKUP(2,1/('Milho 2ª safra'!$E57:INDEX('Milho 2ª safra'!$E57:$Z57,MIN(L$6-$E$3,22))&lt;&gt;""),'Milho 2ª safra'!$E57:INDEX('Milho 2ª safra'!$E57:$Z57,MIN(L$6-$E$3,22))),0))-IF($G$2,0,IF((L$6-$G$3)&lt;1,0,IFERROR(LOOKUP(2,1/('Milho 2ª safra'!$E57:INDEX('Milho 2ª safra'!$E57:$Z57,MIN(L$6-$G$3,22))&lt;&gt;""),'Milho 2ª safra'!$E57:INDEX('Milho 2ª safra'!$E57:$Z57,MIN(L$6-$G$3,22))),0)))))</f>
        <v>0</v>
      </c>
      <c r="M59" s="27" t="n">
        <f aca="false">IF(COUNT('Milho 2ª safra'!$E57:$Z57)=0,0,MAX(0,IF((M$6-$E$3)&lt;1,0,IFERROR(LOOKUP(2,1/('Milho 2ª safra'!$E57:INDEX('Milho 2ª safra'!$E57:$Z57,MIN(M$6-$E$3,22))&lt;&gt;""),'Milho 2ª safra'!$E57:INDEX('Milho 2ª safra'!$E57:$Z57,MIN(M$6-$E$3,22))),0))-IF($G$2,0,IF((M$6-$G$3)&lt;1,0,IFERROR(LOOKUP(2,1/('Milho 2ª safra'!$E57:INDEX('Milho 2ª safra'!$E57:$Z57,MIN(M$6-$G$3,22))&lt;&gt;""),'Milho 2ª safra'!$E57:INDEX('Milho 2ª safra'!$E57:$Z57,MIN(M$6-$G$3,22))),0)))))</f>
        <v>0</v>
      </c>
      <c r="N59" s="27" t="n">
        <f aca="false">IF(COUNT('Milho 2ª safra'!$E57:$Z57)=0,0,MAX(0,IF((N$6-$E$3)&lt;1,0,IFERROR(LOOKUP(2,1/('Milho 2ª safra'!$E57:INDEX('Milho 2ª safra'!$E57:$Z57,MIN(N$6-$E$3,22))&lt;&gt;""),'Milho 2ª safra'!$E57:INDEX('Milho 2ª safra'!$E57:$Z57,MIN(N$6-$E$3,22))),0))-IF($G$2,0,IF((N$6-$G$3)&lt;1,0,IFERROR(LOOKUP(2,1/('Milho 2ª safra'!$E57:INDEX('Milho 2ª safra'!$E57:$Z57,MIN(N$6-$G$3,22))&lt;&gt;""),'Milho 2ª safra'!$E57:INDEX('Milho 2ª safra'!$E57:$Z57,MIN(N$6-$G$3,22))),0)))))</f>
        <v>0</v>
      </c>
      <c r="O59" s="27" t="n">
        <f aca="false">IF(COUNT('Milho 2ª safra'!$E57:$Z57)=0,0,MAX(0,IF((O$6-$E$3)&lt;1,0,IFERROR(LOOKUP(2,1/('Milho 2ª safra'!$E57:INDEX('Milho 2ª safra'!$E57:$Z57,MIN(O$6-$E$3,22))&lt;&gt;""),'Milho 2ª safra'!$E57:INDEX('Milho 2ª safra'!$E57:$Z57,MIN(O$6-$E$3,22))),0))-IF($G$2,0,IF((O$6-$G$3)&lt;1,0,IFERROR(LOOKUP(2,1/('Milho 2ª safra'!$E57:INDEX('Milho 2ª safra'!$E57:$Z57,MIN(O$6-$G$3,22))&lt;&gt;""),'Milho 2ª safra'!$E57:INDEX('Milho 2ª safra'!$E57:$Z57,MIN(O$6-$G$3,22))),0)))))</f>
        <v>0</v>
      </c>
      <c r="P59" s="27" t="n">
        <f aca="false">IF(COUNT('Milho 2ª safra'!$E57:$Z57)=0,0,MAX(0,IF((P$6-$E$3)&lt;1,0,IFERROR(LOOKUP(2,1/('Milho 2ª safra'!$E57:INDEX('Milho 2ª safra'!$E57:$Z57,MIN(P$6-$E$3,22))&lt;&gt;""),'Milho 2ª safra'!$E57:INDEX('Milho 2ª safra'!$E57:$Z57,MIN(P$6-$E$3,22))),0))-IF($G$2,0,IF((P$6-$G$3)&lt;1,0,IFERROR(LOOKUP(2,1/('Milho 2ª safra'!$E57:INDEX('Milho 2ª safra'!$E57:$Z57,MIN(P$6-$G$3,22))&lt;&gt;""),'Milho 2ª safra'!$E57:INDEX('Milho 2ª safra'!$E57:$Z57,MIN(P$6-$G$3,22))),0)))))</f>
        <v>0</v>
      </c>
      <c r="Q59" s="27" t="n">
        <f aca="false">IF(COUNT('Milho 2ª safra'!$E57:$Z57)=0,0,MAX(0,IF((Q$6-$E$3)&lt;1,0,IFERROR(LOOKUP(2,1/('Milho 2ª safra'!$E57:INDEX('Milho 2ª safra'!$E57:$Z57,MIN(Q$6-$E$3,22))&lt;&gt;""),'Milho 2ª safra'!$E57:INDEX('Milho 2ª safra'!$E57:$Z57,MIN(Q$6-$E$3,22))),0))-IF($G$2,0,IF((Q$6-$G$3)&lt;1,0,IFERROR(LOOKUP(2,1/('Milho 2ª safra'!$E57:INDEX('Milho 2ª safra'!$E57:$Z57,MIN(Q$6-$G$3,22))&lt;&gt;""),'Milho 2ª safra'!$E57:INDEX('Milho 2ª safra'!$E57:$Z57,MIN(Q$6-$G$3,22))),0)))))</f>
        <v>0</v>
      </c>
      <c r="R59" s="27" t="n">
        <f aca="false">IF(COUNT('Milho 2ª safra'!$E57:$Z57)=0,0,MAX(0,IF((R$6-$E$3)&lt;1,0,IFERROR(LOOKUP(2,1/('Milho 2ª safra'!$E57:INDEX('Milho 2ª safra'!$E57:$Z57,MIN(R$6-$E$3,22))&lt;&gt;""),'Milho 2ª safra'!$E57:INDEX('Milho 2ª safra'!$E57:$Z57,MIN(R$6-$E$3,22))),0))-IF($G$2,0,IF((R$6-$G$3)&lt;1,0,IFERROR(LOOKUP(2,1/('Milho 2ª safra'!$E57:INDEX('Milho 2ª safra'!$E57:$Z57,MIN(R$6-$G$3,22))&lt;&gt;""),'Milho 2ª safra'!$E57:INDEX('Milho 2ª safra'!$E57:$Z57,MIN(R$6-$G$3,22))),0)))))</f>
        <v>0</v>
      </c>
      <c r="S59" s="27" t="n">
        <f aca="false">IF(COUNT('Milho 2ª safra'!$E57:$Z57)=0,0,MAX(0,IF((S$6-$E$3)&lt;1,0,IFERROR(LOOKUP(2,1/('Milho 2ª safra'!$E57:INDEX('Milho 2ª safra'!$E57:$Z57,MIN(S$6-$E$3,22))&lt;&gt;""),'Milho 2ª safra'!$E57:INDEX('Milho 2ª safra'!$E57:$Z57,MIN(S$6-$E$3,22))),0))-IF($G$2,0,IF((S$6-$G$3)&lt;1,0,IFERROR(LOOKUP(2,1/('Milho 2ª safra'!$E57:INDEX('Milho 2ª safra'!$E57:$Z57,MIN(S$6-$G$3,22))&lt;&gt;""),'Milho 2ª safra'!$E57:INDEX('Milho 2ª safra'!$E57:$Z57,MIN(S$6-$G$3,22))),0)))))</f>
        <v>0</v>
      </c>
      <c r="T59" s="27" t="n">
        <f aca="false">IF(COUNT('Milho 2ª safra'!$E57:$Z57)=0,0,MAX(0,IF((T$6-$E$3)&lt;1,0,IFERROR(LOOKUP(2,1/('Milho 2ª safra'!$E57:INDEX('Milho 2ª safra'!$E57:$Z57,MIN(T$6-$E$3,22))&lt;&gt;""),'Milho 2ª safra'!$E57:INDEX('Milho 2ª safra'!$E57:$Z57,MIN(T$6-$E$3,22))),0))-IF($G$2,0,IF((T$6-$G$3)&lt;1,0,IFERROR(LOOKUP(2,1/('Milho 2ª safra'!$E57:INDEX('Milho 2ª safra'!$E57:$Z57,MIN(T$6-$G$3,22))&lt;&gt;""),'Milho 2ª safra'!$E57:INDEX('Milho 2ª safra'!$E57:$Z57,MIN(T$6-$G$3,22))),0)))))</f>
        <v>0</v>
      </c>
      <c r="U59" s="27" t="n">
        <f aca="false">IF(COUNT('Milho 2ª safra'!$E57:$Z57)=0,0,MAX(0,IF((U$6-$E$3)&lt;1,0,IFERROR(LOOKUP(2,1/('Milho 2ª safra'!$E57:INDEX('Milho 2ª safra'!$E57:$Z57,MIN(U$6-$E$3,22))&lt;&gt;""),'Milho 2ª safra'!$E57:INDEX('Milho 2ª safra'!$E57:$Z57,MIN(U$6-$E$3,22))),0))-IF($G$2,0,IF((U$6-$G$3)&lt;1,0,IFERROR(LOOKUP(2,1/('Milho 2ª safra'!$E57:INDEX('Milho 2ª safra'!$E57:$Z57,MIN(U$6-$G$3,22))&lt;&gt;""),'Milho 2ª safra'!$E57:INDEX('Milho 2ª safra'!$E57:$Z57,MIN(U$6-$G$3,22))),0)))))</f>
        <v>0</v>
      </c>
      <c r="V59" s="27" t="n">
        <f aca="false">IF(COUNT('Milho 2ª safra'!$E57:$Z57)=0,0,MAX(0,IF((V$6-$E$3)&lt;1,0,IFERROR(LOOKUP(2,1/('Milho 2ª safra'!$E57:INDEX('Milho 2ª safra'!$E57:$Z57,MIN(V$6-$E$3,22))&lt;&gt;""),'Milho 2ª safra'!$E57:INDEX('Milho 2ª safra'!$E57:$Z57,MIN(V$6-$E$3,22))),0))-IF($G$2,0,IF((V$6-$G$3)&lt;1,0,IFERROR(LOOKUP(2,1/('Milho 2ª safra'!$E57:INDEX('Milho 2ª safra'!$E57:$Z57,MIN(V$6-$G$3,22))&lt;&gt;""),'Milho 2ª safra'!$E57:INDEX('Milho 2ª safra'!$E57:$Z57,MIN(V$6-$G$3,22))),0)))))</f>
        <v>0</v>
      </c>
      <c r="W59" s="27" t="n">
        <f aca="false">IF(COUNT('Milho 2ª safra'!$E57:$Z57)=0,0,MAX(0,IF((W$6-$E$3)&lt;1,0,IFERROR(LOOKUP(2,1/('Milho 2ª safra'!$E57:INDEX('Milho 2ª safra'!$E57:$Z57,MIN(W$6-$E$3,22))&lt;&gt;""),'Milho 2ª safra'!$E57:INDEX('Milho 2ª safra'!$E57:$Z57,MIN(W$6-$E$3,22))),0))-IF($G$2,0,IF((W$6-$G$3)&lt;1,0,IFERROR(LOOKUP(2,1/('Milho 2ª safra'!$E57:INDEX('Milho 2ª safra'!$E57:$Z57,MIN(W$6-$G$3,22))&lt;&gt;""),'Milho 2ª safra'!$E57:INDEX('Milho 2ª safra'!$E57:$Z57,MIN(W$6-$G$3,22))),0)))))</f>
        <v>0</v>
      </c>
      <c r="X59" s="27" t="n">
        <f aca="false">IF(COUNT('Milho 2ª safra'!$E57:$Z57)=0,0,MAX(0,IF((X$6-$E$3)&lt;1,0,IFERROR(LOOKUP(2,1/('Milho 2ª safra'!$E57:INDEX('Milho 2ª safra'!$E57:$Z57,MIN(X$6-$E$3,22))&lt;&gt;""),'Milho 2ª safra'!$E57:INDEX('Milho 2ª safra'!$E57:$Z57,MIN(X$6-$E$3,22))),0))-IF($G$2,0,IF((X$6-$G$3)&lt;1,0,IFERROR(LOOKUP(2,1/('Milho 2ª safra'!$E57:INDEX('Milho 2ª safra'!$E57:$Z57,MIN(X$6-$G$3,22))&lt;&gt;""),'Milho 2ª safra'!$E57:INDEX('Milho 2ª safra'!$E57:$Z57,MIN(X$6-$G$3,22))),0)))))</f>
        <v>0</v>
      </c>
      <c r="Y59" s="27" t="n">
        <f aca="false">IF(COUNT('Milho 2ª safra'!$E57:$Z57)=0,0,MAX(0,IF((Y$6-$E$3)&lt;1,0,IFERROR(LOOKUP(2,1/('Milho 2ª safra'!$E57:INDEX('Milho 2ª safra'!$E57:$Z57,MIN(Y$6-$E$3,22))&lt;&gt;""),'Milho 2ª safra'!$E57:INDEX('Milho 2ª safra'!$E57:$Z57,MIN(Y$6-$E$3,22))),0))-IF($G$2,0,IF((Y$6-$G$3)&lt;1,0,IFERROR(LOOKUP(2,1/('Milho 2ª safra'!$E57:INDEX('Milho 2ª safra'!$E57:$Z57,MIN(Y$6-$G$3,22))&lt;&gt;""),'Milho 2ª safra'!$E57:INDEX('Milho 2ª safra'!$E57:$Z57,MIN(Y$6-$G$3,22))),0)))))</f>
        <v>0</v>
      </c>
      <c r="Z59" s="27" t="n">
        <f aca="false">IF(COUNT('Milho 2ª safra'!$E57:$Z57)=0,0,MAX(0,IF((Z$6-$E$3)&lt;1,0,IFERROR(LOOKUP(2,1/('Milho 2ª safra'!$E57:INDEX('Milho 2ª safra'!$E57:$Z57,MIN(Z$6-$E$3,22))&lt;&gt;""),'Milho 2ª safra'!$E57:INDEX('Milho 2ª safra'!$E57:$Z57,MIN(Z$6-$E$3,22))),0))-IF($G$2,0,IF((Z$6-$G$3)&lt;1,0,IFERROR(LOOKUP(2,1/('Milho 2ª safra'!$E57:INDEX('Milho 2ª safra'!$E57:$Z57,MIN(Z$6-$G$3,22))&lt;&gt;""),'Milho 2ª safra'!$E57:INDEX('Milho 2ª safra'!$E57:$Z57,MIN(Z$6-$G$3,22))),0)))))</f>
        <v>0</v>
      </c>
      <c r="AA59" s="27" t="n">
        <f aca="false">IF(COUNT('Milho 2ª safra'!$E57:$Z57)=0,0,MAX(0,IF((AA$6-$E$3)&lt;1,0,IFERROR(LOOKUP(2,1/('Milho 2ª safra'!$E57:INDEX('Milho 2ª safra'!$E57:$Z57,MIN(AA$6-$E$3,22))&lt;&gt;""),'Milho 2ª safra'!$E57:INDEX('Milho 2ª safra'!$E57:$Z57,MIN(AA$6-$E$3,22))),0))-IF($G$2,0,IF((AA$6-$G$3)&lt;1,0,IFERROR(LOOKUP(2,1/('Milho 2ª safra'!$E57:INDEX('Milho 2ª safra'!$E57:$Z57,MIN(AA$6-$G$3,22))&lt;&gt;""),'Milho 2ª safra'!$E57:INDEX('Milho 2ª safra'!$E57:$Z57,MIN(AA$6-$G$3,22))),0)))))</f>
        <v>0</v>
      </c>
      <c r="AB59" s="27" t="n">
        <f aca="false">IF(COUNT('Milho 2ª safra'!$E57:$Z57)=0,0,MAX(0,IF((AB$6-$E$3)&lt;1,0,IFERROR(LOOKUP(2,1/('Milho 2ª safra'!$E57:INDEX('Milho 2ª safra'!$E57:$Z57,MIN(AB$6-$E$3,22))&lt;&gt;""),'Milho 2ª safra'!$E57:INDEX('Milho 2ª safra'!$E57:$Z57,MIN(AB$6-$E$3,22))),0))-IF($G$2,0,IF((AB$6-$G$3)&lt;1,0,IFERROR(LOOKUP(2,1/('Milho 2ª safra'!$E57:INDEX('Milho 2ª safra'!$E57:$Z57,MIN(AB$6-$G$3,22))&lt;&gt;""),'Milho 2ª safra'!$E57:INDEX('Milho 2ª safra'!$E57:$Z57,MIN(AB$6-$G$3,22))),0)))))</f>
        <v>0</v>
      </c>
      <c r="AC59" s="27" t="n">
        <f aca="false">IF(COUNT('Milho 2ª safra'!$E57:$Z57)=0,0,MAX(0,IF((AC$6-$E$3)&lt;1,0,IFERROR(LOOKUP(2,1/('Milho 2ª safra'!$E57:INDEX('Milho 2ª safra'!$E57:$Z57,MIN(AC$6-$E$3,22))&lt;&gt;""),'Milho 2ª safra'!$E57:INDEX('Milho 2ª safra'!$E57:$Z57,MIN(AC$6-$E$3,22))),0))-IF($G$2,0,IF((AC$6-$G$3)&lt;1,0,IFERROR(LOOKUP(2,1/('Milho 2ª safra'!$E57:INDEX('Milho 2ª safra'!$E57:$Z57,MIN(AC$6-$G$3,22))&lt;&gt;""),'Milho 2ª safra'!$E57:INDEX('Milho 2ª safra'!$E57:$Z57,MIN(AC$6-$G$3,22))),0)))))</f>
        <v>0</v>
      </c>
      <c r="AD59" s="27" t="n">
        <f aca="false">IF(COUNT('Milho 2ª safra'!$E57:$Z57)=0,0,MAX(0,IF((AD$6-$E$3)&lt;1,0,IFERROR(LOOKUP(2,1/('Milho 2ª safra'!$E57:INDEX('Milho 2ª safra'!$E57:$Z57,MIN(AD$6-$E$3,22))&lt;&gt;""),'Milho 2ª safra'!$E57:INDEX('Milho 2ª safra'!$E57:$Z57,MIN(AD$6-$E$3,22))),0))-IF($G$2,0,IF((AD$6-$G$3)&lt;1,0,IFERROR(LOOKUP(2,1/('Milho 2ª safra'!$E57:INDEX('Milho 2ª safra'!$E57:$Z57,MIN(AD$6-$G$3,22))&lt;&gt;""),'Milho 2ª safra'!$E57:INDEX('Milho 2ª safra'!$E57:$Z57,MIN(AD$6-$G$3,22))),0)))))</f>
        <v>0</v>
      </c>
      <c r="AE59" s="27" t="n">
        <f aca="false">IF(COUNT('Milho 2ª safra'!$E57:$Z57)=0,0,MAX(0,IF((AE$6-$E$3)&lt;1,0,IFERROR(LOOKUP(2,1/('Milho 2ª safra'!$E57:INDEX('Milho 2ª safra'!$E57:$Z57,MIN(AE$6-$E$3,22))&lt;&gt;""),'Milho 2ª safra'!$E57:INDEX('Milho 2ª safra'!$E57:$Z57,MIN(AE$6-$E$3,22))),0))-IF($G$2,0,IF((AE$6-$G$3)&lt;1,0,IFERROR(LOOKUP(2,1/('Milho 2ª safra'!$E57:INDEX('Milho 2ª safra'!$E57:$Z57,MIN(AE$6-$G$3,22))&lt;&gt;""),'Milho 2ª safra'!$E57:INDEX('Milho 2ª safra'!$E57:$Z57,MIN(AE$6-$G$3,22))),0)))))</f>
        <v>0</v>
      </c>
      <c r="AF59" s="27" t="n">
        <f aca="false">IF(COUNT('Milho 2ª safra'!$E57:$Z57)=0,0,MAX(0,IF((AF$6-$E$3)&lt;1,0,IFERROR(LOOKUP(2,1/('Milho 2ª safra'!$E57:INDEX('Milho 2ª safra'!$E57:$Z57,MIN(AF$6-$E$3,22))&lt;&gt;""),'Milho 2ª safra'!$E57:INDEX('Milho 2ª safra'!$E57:$Z57,MIN(AF$6-$E$3,22))),0))-IF($G$2,0,IF((AF$6-$G$3)&lt;1,0,IFERROR(LOOKUP(2,1/('Milho 2ª safra'!$E57:INDEX('Milho 2ª safra'!$E57:$Z57,MIN(AF$6-$G$3,22))&lt;&gt;""),'Milho 2ª safra'!$E57:INDEX('Milho 2ª safra'!$E57:$Z57,MIN(AF$6-$G$3,22))),0)))))</f>
        <v>0</v>
      </c>
      <c r="AG59" s="27" t="n">
        <f aca="false">IF(COUNT('Milho 2ª safra'!$E57:$Z57)=0,0,MAX(0,IF((AG$6-$E$3)&lt;1,0,IFERROR(LOOKUP(2,1/('Milho 2ª safra'!$E57:INDEX('Milho 2ª safra'!$E57:$Z57,MIN(AG$6-$E$3,22))&lt;&gt;""),'Milho 2ª safra'!$E57:INDEX('Milho 2ª safra'!$E57:$Z57,MIN(AG$6-$E$3,22))),0))-IF($G$2,0,IF((AG$6-$G$3)&lt;1,0,IFERROR(LOOKUP(2,1/('Milho 2ª safra'!$E57:INDEX('Milho 2ª safra'!$E57:$Z57,MIN(AG$6-$G$3,22))&lt;&gt;""),'Milho 2ª safra'!$E57:INDEX('Milho 2ª safra'!$E57:$Z57,MIN(AG$6-$G$3,22))),0)))))</f>
        <v>0</v>
      </c>
      <c r="AH59" s="27" t="n">
        <f aca="false">IF(COUNT('Milho 2ª safra'!$E57:$Z57)=0,0,MAX(0,IF((AH$6-$E$3)&lt;1,0,IFERROR(LOOKUP(2,1/('Milho 2ª safra'!$E57:INDEX('Milho 2ª safra'!$E57:$Z57,MIN(AH$6-$E$3,22))&lt;&gt;""),'Milho 2ª safra'!$E57:INDEX('Milho 2ª safra'!$E57:$Z57,MIN(AH$6-$E$3,22))),0))-IF($G$2,0,IF((AH$6-$G$3)&lt;1,0,IFERROR(LOOKUP(2,1/('Milho 2ª safra'!$E57:INDEX('Milho 2ª safra'!$E57:$Z57,MIN(AH$6-$G$3,22))&lt;&gt;""),'Milho 2ª safra'!$E57:INDEX('Milho 2ª safra'!$E57:$Z57,MIN(AH$6-$G$3,22))),0)))))</f>
        <v>0</v>
      </c>
      <c r="AI59" s="27" t="n">
        <f aca="false">IF(COUNT('Milho 2ª safra'!$E57:$Z57)=0,0,MAX(0,IF((AI$6-$E$3)&lt;1,0,IFERROR(LOOKUP(2,1/('Milho 2ª safra'!$E57:INDEX('Milho 2ª safra'!$E57:$Z57,MIN(AI$6-$E$3,22))&lt;&gt;""),'Milho 2ª safra'!$E57:INDEX('Milho 2ª safra'!$E57:$Z57,MIN(AI$6-$E$3,22))),0))-IF($G$2,0,IF((AI$6-$G$3)&lt;1,0,IFERROR(LOOKUP(2,1/('Milho 2ª safra'!$E57:INDEX('Milho 2ª safra'!$E57:$Z57,MIN(AI$6-$G$3,22))&lt;&gt;""),'Milho 2ª safra'!$E57:INDEX('Milho 2ª safra'!$E57:$Z57,MIN(AI$6-$G$3,22))),0)))))</f>
        <v>0</v>
      </c>
      <c r="AJ59" s="27" t="n">
        <f aca="false">IF(COUNT('Milho 2ª safra'!$E57:$Z57)=0,0,MAX(0,IF((AJ$6-$E$3)&lt;1,0,IFERROR(LOOKUP(2,1/('Milho 2ª safra'!$E57:INDEX('Milho 2ª safra'!$E57:$Z57,MIN(AJ$6-$E$3,22))&lt;&gt;""),'Milho 2ª safra'!$E57:INDEX('Milho 2ª safra'!$E57:$Z57,MIN(AJ$6-$E$3,22))),0))-IF($G$2,0,IF((AJ$6-$G$3)&lt;1,0,IFERROR(LOOKUP(2,1/('Milho 2ª safra'!$E57:INDEX('Milho 2ª safra'!$E57:$Z57,MIN(AJ$6-$G$3,22))&lt;&gt;""),'Milho 2ª safra'!$E57:INDEX('Milho 2ª safra'!$E57:$Z57,MIN(AJ$6-$G$3,22))),0)))))</f>
        <v>0</v>
      </c>
      <c r="AK59" s="27" t="n">
        <f aca="false">IF(COUNT('Milho 2ª safra'!$E57:$Z57)=0,0,MAX(0,IF((AK$6-$E$3)&lt;1,0,IFERROR(LOOKUP(2,1/('Milho 2ª safra'!$E57:INDEX('Milho 2ª safra'!$E57:$Z57,MIN(AK$6-$E$3,22))&lt;&gt;""),'Milho 2ª safra'!$E57:INDEX('Milho 2ª safra'!$E57:$Z57,MIN(AK$6-$E$3,22))),0))-IF($G$2,0,IF((AK$6-$G$3)&lt;1,0,IFERROR(LOOKUP(2,1/('Milho 2ª safra'!$E57:INDEX('Milho 2ª safra'!$E57:$Z57,MIN(AK$6-$G$3,22))&lt;&gt;""),'Milho 2ª safra'!$E57:INDEX('Milho 2ª safra'!$E57:$Z57,MIN(AK$6-$G$3,22))),0)))))</f>
        <v>0</v>
      </c>
      <c r="AL59" s="27" t="n">
        <f aca="false">IF(COUNT('Milho 2ª safra'!$E57:$Z57)=0,0,MAX(0,IF((AL$6-$E$3)&lt;1,0,IFERROR(LOOKUP(2,1/('Milho 2ª safra'!$E57:INDEX('Milho 2ª safra'!$E57:$Z57,MIN(AL$6-$E$3,22))&lt;&gt;""),'Milho 2ª safra'!$E57:INDEX('Milho 2ª safra'!$E57:$Z57,MIN(AL$6-$E$3,22))),0))-IF($G$2,0,IF((AL$6-$G$3)&lt;1,0,IFERROR(LOOKUP(2,1/('Milho 2ª safra'!$E57:INDEX('Milho 2ª safra'!$E57:$Z57,MIN(AL$6-$G$3,22))&lt;&gt;""),'Milho 2ª safra'!$E57:INDEX('Milho 2ª safra'!$E57:$Z57,MIN(AL$6-$G$3,22))),0)))))</f>
        <v>0</v>
      </c>
      <c r="AM59" s="27" t="n">
        <f aca="false">IF(COUNT('Milho 2ª safra'!$E57:$Z57)=0,0,MAX(0,IF((AM$6-$E$3)&lt;1,0,IFERROR(LOOKUP(2,1/('Milho 2ª safra'!$E57:INDEX('Milho 2ª safra'!$E57:$Z57,MIN(AM$6-$E$3,22))&lt;&gt;""),'Milho 2ª safra'!$E57:INDEX('Milho 2ª safra'!$E57:$Z57,MIN(AM$6-$E$3,22))),0))-IF($G$2,0,IF((AM$6-$G$3)&lt;1,0,IFERROR(LOOKUP(2,1/('Milho 2ª safra'!$E57:INDEX('Milho 2ª safra'!$E57:$Z57,MIN(AM$6-$G$3,22))&lt;&gt;""),'Milho 2ª safra'!$E57:INDEX('Milho 2ª safra'!$E57:$Z57,MIN(AM$6-$G$3,22))),0)))))</f>
        <v>0</v>
      </c>
      <c r="AN59" s="27" t="n">
        <f aca="false">IF(COUNT('Milho 2ª safra'!$E57:$Z57)=0,0,MAX(0,IF((AN$6-$E$3)&lt;1,0,IFERROR(LOOKUP(2,1/('Milho 2ª safra'!$E57:INDEX('Milho 2ª safra'!$E57:$Z57,MIN(AN$6-$E$3,22))&lt;&gt;""),'Milho 2ª safra'!$E57:INDEX('Milho 2ª safra'!$E57:$Z57,MIN(AN$6-$E$3,22))),0))-IF($G$2,0,IF((AN$6-$G$3)&lt;1,0,IFERROR(LOOKUP(2,1/('Milho 2ª safra'!$E57:INDEX('Milho 2ª safra'!$E57:$Z57,MIN(AN$6-$G$3,22))&lt;&gt;""),'Milho 2ª safra'!$E57:INDEX('Milho 2ª safra'!$E57:$Z57,MIN(AN$6-$G$3,22))),0)))))</f>
        <v>0</v>
      </c>
      <c r="AO59" s="27" t="n">
        <f aca="false">IF(COUNT('Milho 2ª safra'!$E57:$Z57)=0,0,MAX(0,IF((AO$6-$E$3)&lt;1,0,IFERROR(LOOKUP(2,1/('Milho 2ª safra'!$E57:INDEX('Milho 2ª safra'!$E57:$Z57,MIN(AO$6-$E$3,22))&lt;&gt;""),'Milho 2ª safra'!$E57:INDEX('Milho 2ª safra'!$E57:$Z57,MIN(AO$6-$E$3,22))),0))-IF($G$2,0,IF((AO$6-$G$3)&lt;1,0,IFERROR(LOOKUP(2,1/('Milho 2ª safra'!$E57:INDEX('Milho 2ª safra'!$E57:$Z57,MIN(AO$6-$G$3,22))&lt;&gt;""),'Milho 2ª safra'!$E57:INDEX('Milho 2ª safra'!$E57:$Z57,MIN(AO$6-$G$3,22))),0)))))</f>
        <v>0</v>
      </c>
      <c r="AP59" s="27" t="n">
        <f aca="false">IF(COUNT('Milho 2ª safra'!$E57:$Z57)=0,0,MAX(0,IF((AP$6-$E$3)&lt;1,0,IFERROR(LOOKUP(2,1/('Milho 2ª safra'!$E57:INDEX('Milho 2ª safra'!$E57:$Z57,MIN(AP$6-$E$3,22))&lt;&gt;""),'Milho 2ª safra'!$E57:INDEX('Milho 2ª safra'!$E57:$Z57,MIN(AP$6-$E$3,22))),0))-IF($G$2,0,IF((AP$6-$G$3)&lt;1,0,IFERROR(LOOKUP(2,1/('Milho 2ª safra'!$E57:INDEX('Milho 2ª safra'!$E57:$Z57,MIN(AP$6-$G$3,22))&lt;&gt;""),'Milho 2ª safra'!$E57:INDEX('Milho 2ª safra'!$E57:$Z57,MIN(AP$6-$G$3,22))),0)))))</f>
        <v>0</v>
      </c>
      <c r="AQ59" s="27" t="n">
        <f aca="false">IF(COUNT('Milho 2ª safra'!$E57:$Z57)=0,0,MAX(0,IF((AQ$6-$E$3)&lt;1,0,IFERROR(LOOKUP(2,1/('Milho 2ª safra'!$E57:INDEX('Milho 2ª safra'!$E57:$Z57,MIN(AQ$6-$E$3,22))&lt;&gt;""),'Milho 2ª safra'!$E57:INDEX('Milho 2ª safra'!$E57:$Z57,MIN(AQ$6-$E$3,22))),0))-IF($G$2,0,IF((AQ$6-$G$3)&lt;1,0,IFERROR(LOOKUP(2,1/('Milho 2ª safra'!$E57:INDEX('Milho 2ª safra'!$E57:$Z57,MIN(AQ$6-$G$3,22))&lt;&gt;""),'Milho 2ª safra'!$E57:INDEX('Milho 2ª safra'!$E57:$Z57,MIN(AQ$6-$G$3,22))),0)))))</f>
        <v>0</v>
      </c>
      <c r="AR59" s="27" t="n">
        <f aca="false">IF(COUNT('Milho 2ª safra'!$E57:$Z57)=0,0,MAX(0,IF((AR$6-$E$3)&lt;1,0,IFERROR(LOOKUP(2,1/('Milho 2ª safra'!$E57:INDEX('Milho 2ª safra'!$E57:$Z57,MIN(AR$6-$E$3,22))&lt;&gt;""),'Milho 2ª safra'!$E57:INDEX('Milho 2ª safra'!$E57:$Z57,MIN(AR$6-$E$3,22))),0))-IF($G$2,0,IF((AR$6-$G$3)&lt;1,0,IFERROR(LOOKUP(2,1/('Milho 2ª safra'!$E57:INDEX('Milho 2ª safra'!$E57:$Z57,MIN(AR$6-$G$3,22))&lt;&gt;""),'Milho 2ª safra'!$E57:INDEX('Milho 2ª safra'!$E57:$Z57,MIN(AR$6-$G$3,22))),0)))))</f>
        <v>0</v>
      </c>
      <c r="AS59" s="27" t="n">
        <f aca="false">IF(COUNT('Milho 2ª safra'!$E57:$Z57)=0,0,MAX(0,IF((AS$6-$E$3)&lt;1,0,IFERROR(LOOKUP(2,1/('Milho 2ª safra'!$E57:INDEX('Milho 2ª safra'!$E57:$Z57,MIN(AS$6-$E$3,22))&lt;&gt;""),'Milho 2ª safra'!$E57:INDEX('Milho 2ª safra'!$E57:$Z57,MIN(AS$6-$E$3,22))),0))-IF($G$2,0,IF((AS$6-$G$3)&lt;1,0,IFERROR(LOOKUP(2,1/('Milho 2ª safra'!$E57:INDEX('Milho 2ª safra'!$E57:$Z57,MIN(AS$6-$G$3,22))&lt;&gt;""),'Milho 2ª safra'!$E57:INDEX('Milho 2ª safra'!$E57:$Z57,MIN(AS$6-$G$3,22))),0)))))</f>
        <v>0</v>
      </c>
      <c r="AT59" s="27" t="n">
        <f aca="false">IF(COUNT('Milho 2ª safra'!$E57:$Z57)=0,0,MAX(0,IF((AT$6-$E$3)&lt;1,0,IFERROR(LOOKUP(2,1/('Milho 2ª safra'!$E57:INDEX('Milho 2ª safra'!$E57:$Z57,MIN(AT$6-$E$3,22))&lt;&gt;""),'Milho 2ª safra'!$E57:INDEX('Milho 2ª safra'!$E57:$Z57,MIN(AT$6-$E$3,22))),0))-IF($G$2,0,IF((AT$6-$G$3)&lt;1,0,IFERROR(LOOKUP(2,1/('Milho 2ª safra'!$E57:INDEX('Milho 2ª safra'!$E57:$Z57,MIN(AT$6-$G$3,22))&lt;&gt;""),'Milho 2ª safra'!$E57:INDEX('Milho 2ª safra'!$E57:$Z57,MIN(AT$6-$G$3,22))),0)))))</f>
        <v>0</v>
      </c>
      <c r="AU59" s="27" t="n">
        <f aca="false">IF(COUNT('Milho 2ª safra'!$E57:$Z57)=0,0,MAX(0,IF((AU$6-$E$3)&lt;1,0,IFERROR(LOOKUP(2,1/('Milho 2ª safra'!$E57:INDEX('Milho 2ª safra'!$E57:$Z57,MIN(AU$6-$E$3,22))&lt;&gt;""),'Milho 2ª safra'!$E57:INDEX('Milho 2ª safra'!$E57:$Z57,MIN(AU$6-$E$3,22))),0))-IF($G$2,0,IF((AU$6-$G$3)&lt;1,0,IFERROR(LOOKUP(2,1/('Milho 2ª safra'!$E57:INDEX('Milho 2ª safra'!$E57:$Z57,MIN(AU$6-$G$3,22))&lt;&gt;""),'Milho 2ª safra'!$E57:INDEX('Milho 2ª safra'!$E57:$Z57,MIN(AU$6-$G$3,22))),0)))))</f>
        <v>0</v>
      </c>
      <c r="AV59" s="27" t="n">
        <f aca="false">IF(COUNT('Milho 2ª safra'!$E57:$Z57)=0,0,MAX(0,IF((AV$6-$E$3)&lt;1,0,IFERROR(LOOKUP(2,1/('Milho 2ª safra'!$E57:INDEX('Milho 2ª safra'!$E57:$Z57,MIN(AV$6-$E$3,22))&lt;&gt;""),'Milho 2ª safra'!$E57:INDEX('Milho 2ª safra'!$E57:$Z57,MIN(AV$6-$E$3,22))),0))-IF($G$2,0,IF((AV$6-$G$3)&lt;1,0,IFERROR(LOOKUP(2,1/('Milho 2ª safra'!$E57:INDEX('Milho 2ª safra'!$E57:$Z57,MIN(AV$6-$G$3,22))&lt;&gt;""),'Milho 2ª safra'!$E57:INDEX('Milho 2ª safra'!$E57:$Z57,MIN(AV$6-$G$3,22))),0)))))</f>
        <v>0</v>
      </c>
      <c r="AW59" s="27" t="n">
        <f aca="false">IF(COUNT('Milho 2ª safra'!$E57:$Z57)=0,0,MAX(0,IF((AW$6-$E$3)&lt;1,0,IFERROR(LOOKUP(2,1/('Milho 2ª safra'!$E57:INDEX('Milho 2ª safra'!$E57:$Z57,MIN(AW$6-$E$3,22))&lt;&gt;""),'Milho 2ª safra'!$E57:INDEX('Milho 2ª safra'!$E57:$Z57,MIN(AW$6-$E$3,22))),0))-IF($G$2,0,IF((AW$6-$G$3)&lt;1,0,IFERROR(LOOKUP(2,1/('Milho 2ª safra'!$E57:INDEX('Milho 2ª safra'!$E57:$Z57,MIN(AW$6-$G$3,22))&lt;&gt;""),'Milho 2ª safra'!$E57:INDEX('Milho 2ª safra'!$E57:$Z57,MIN(AW$6-$G$3,22))),0)))))</f>
        <v>0</v>
      </c>
      <c r="AX59" s="27" t="n">
        <f aca="false">IF(COUNT('Milho 2ª safra'!$E57:$Z57)=0,0,MAX(0,IF((AX$6-$E$3)&lt;1,0,IFERROR(LOOKUP(2,1/('Milho 2ª safra'!$E57:INDEX('Milho 2ª safra'!$E57:$Z57,MIN(AX$6-$E$3,22))&lt;&gt;""),'Milho 2ª safra'!$E57:INDEX('Milho 2ª safra'!$E57:$Z57,MIN(AX$6-$E$3,22))),0))-IF($G$2,0,IF((AX$6-$G$3)&lt;1,0,IFERROR(LOOKUP(2,1/('Milho 2ª safra'!$E57:INDEX('Milho 2ª safra'!$E57:$Z57,MIN(AX$6-$G$3,22))&lt;&gt;""),'Milho 2ª safra'!$E57:INDEX('Milho 2ª safra'!$E57:$Z57,MIN(AX$6-$G$3,22))),0)))))</f>
        <v>0</v>
      </c>
      <c r="AY59" s="27" t="n">
        <f aca="false">IF(COUNT('Milho 2ª safra'!$E57:$Z57)=0,0,MAX(0,IF((AY$6-$E$3)&lt;1,0,IFERROR(LOOKUP(2,1/('Milho 2ª safra'!$E57:INDEX('Milho 2ª safra'!$E57:$Z57,MIN(AY$6-$E$3,22))&lt;&gt;""),'Milho 2ª safra'!$E57:INDEX('Milho 2ª safra'!$E57:$Z57,MIN(AY$6-$E$3,22))),0))-IF($G$2,0,IF((AY$6-$G$3)&lt;1,0,IFERROR(LOOKUP(2,1/('Milho 2ª safra'!$E57:INDEX('Milho 2ª safra'!$E57:$Z57,MIN(AY$6-$G$3,22))&lt;&gt;""),'Milho 2ª safra'!$E57:INDEX('Milho 2ª safra'!$E57:$Z57,MIN(AY$6-$G$3,22))),0)))))</f>
        <v>0</v>
      </c>
      <c r="AZ59" s="27" t="n">
        <f aca="false">IF(COUNT('Milho 2ª safra'!$E57:$Z57)=0,0,MAX(0,IF((AZ$6-$E$3)&lt;1,0,IFERROR(LOOKUP(2,1/('Milho 2ª safra'!$E57:INDEX('Milho 2ª safra'!$E57:$Z57,MIN(AZ$6-$E$3,22))&lt;&gt;""),'Milho 2ª safra'!$E57:INDEX('Milho 2ª safra'!$E57:$Z57,MIN(AZ$6-$E$3,22))),0))-IF($G$2,0,IF((AZ$6-$G$3)&lt;1,0,IFERROR(LOOKUP(2,1/('Milho 2ª safra'!$E57:INDEX('Milho 2ª safra'!$E57:$Z57,MIN(AZ$6-$G$3,22))&lt;&gt;""),'Milho 2ª safra'!$E57:INDEX('Milho 2ª safra'!$E57:$Z57,MIN(AZ$6-$G$3,22))),0)))))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IF(COUNT('Milho 2ª safra'!$E58:$Z58)&gt;0,N('Milho 2ª safra'!$D58),0)</f>
        <v>0</v>
      </c>
      <c r="E60" s="27" t="n">
        <f aca="false">IF(COUNT('Milho 2ª safra'!$E58:$Z58)=0,0,MAX(0,IF((E$6-$E$3)&lt;1,0,IFERROR(LOOKUP(2,1/('Milho 2ª safra'!$E58:INDEX('Milho 2ª safra'!$E58:$Z58,MIN(E$6-$E$3,22))&lt;&gt;""),'Milho 2ª safra'!$E58:INDEX('Milho 2ª safra'!$E58:$Z58,MIN(E$6-$E$3,22))),0))-IF($G$2,0,IF((E$6-$G$3)&lt;1,0,IFERROR(LOOKUP(2,1/('Milho 2ª safra'!$E58:INDEX('Milho 2ª safra'!$E58:$Z58,MIN(E$6-$G$3,22))&lt;&gt;""),'Milho 2ª safra'!$E58:INDEX('Milho 2ª safra'!$E58:$Z58,MIN(E$6-$G$3,22))),0)))))</f>
        <v>0</v>
      </c>
      <c r="F60" s="27" t="n">
        <f aca="false">IF(COUNT('Milho 2ª safra'!$E58:$Z58)=0,0,MAX(0,IF((F$6-$E$3)&lt;1,0,IFERROR(LOOKUP(2,1/('Milho 2ª safra'!$E58:INDEX('Milho 2ª safra'!$E58:$Z58,MIN(F$6-$E$3,22))&lt;&gt;""),'Milho 2ª safra'!$E58:INDEX('Milho 2ª safra'!$E58:$Z58,MIN(F$6-$E$3,22))),0))-IF($G$2,0,IF((F$6-$G$3)&lt;1,0,IFERROR(LOOKUP(2,1/('Milho 2ª safra'!$E58:INDEX('Milho 2ª safra'!$E58:$Z58,MIN(F$6-$G$3,22))&lt;&gt;""),'Milho 2ª safra'!$E58:INDEX('Milho 2ª safra'!$E58:$Z58,MIN(F$6-$G$3,22))),0)))))</f>
        <v>0</v>
      </c>
      <c r="G60" s="27" t="n">
        <f aca="false">IF(COUNT('Milho 2ª safra'!$E58:$Z58)=0,0,MAX(0,IF((G$6-$E$3)&lt;1,0,IFERROR(LOOKUP(2,1/('Milho 2ª safra'!$E58:INDEX('Milho 2ª safra'!$E58:$Z58,MIN(G$6-$E$3,22))&lt;&gt;""),'Milho 2ª safra'!$E58:INDEX('Milho 2ª safra'!$E58:$Z58,MIN(G$6-$E$3,22))),0))-IF($G$2,0,IF((G$6-$G$3)&lt;1,0,IFERROR(LOOKUP(2,1/('Milho 2ª safra'!$E58:INDEX('Milho 2ª safra'!$E58:$Z58,MIN(G$6-$G$3,22))&lt;&gt;""),'Milho 2ª safra'!$E58:INDEX('Milho 2ª safra'!$E58:$Z58,MIN(G$6-$G$3,22))),0)))))</f>
        <v>0</v>
      </c>
      <c r="H60" s="27" t="n">
        <f aca="false">IF(COUNT('Milho 2ª safra'!$E58:$Z58)=0,0,MAX(0,IF((H$6-$E$3)&lt;1,0,IFERROR(LOOKUP(2,1/('Milho 2ª safra'!$E58:INDEX('Milho 2ª safra'!$E58:$Z58,MIN(H$6-$E$3,22))&lt;&gt;""),'Milho 2ª safra'!$E58:INDEX('Milho 2ª safra'!$E58:$Z58,MIN(H$6-$E$3,22))),0))-IF($G$2,0,IF((H$6-$G$3)&lt;1,0,IFERROR(LOOKUP(2,1/('Milho 2ª safra'!$E58:INDEX('Milho 2ª safra'!$E58:$Z58,MIN(H$6-$G$3,22))&lt;&gt;""),'Milho 2ª safra'!$E58:INDEX('Milho 2ª safra'!$E58:$Z58,MIN(H$6-$G$3,22))),0)))))</f>
        <v>0</v>
      </c>
      <c r="I60" s="27" t="n">
        <f aca="false">IF(COUNT('Milho 2ª safra'!$E58:$Z58)=0,0,MAX(0,IF((I$6-$E$3)&lt;1,0,IFERROR(LOOKUP(2,1/('Milho 2ª safra'!$E58:INDEX('Milho 2ª safra'!$E58:$Z58,MIN(I$6-$E$3,22))&lt;&gt;""),'Milho 2ª safra'!$E58:INDEX('Milho 2ª safra'!$E58:$Z58,MIN(I$6-$E$3,22))),0))-IF($G$2,0,IF((I$6-$G$3)&lt;1,0,IFERROR(LOOKUP(2,1/('Milho 2ª safra'!$E58:INDEX('Milho 2ª safra'!$E58:$Z58,MIN(I$6-$G$3,22))&lt;&gt;""),'Milho 2ª safra'!$E58:INDEX('Milho 2ª safra'!$E58:$Z58,MIN(I$6-$G$3,22))),0)))))</f>
        <v>0</v>
      </c>
      <c r="J60" s="27" t="n">
        <f aca="false">IF(COUNT('Milho 2ª safra'!$E58:$Z58)=0,0,MAX(0,IF((J$6-$E$3)&lt;1,0,IFERROR(LOOKUP(2,1/('Milho 2ª safra'!$E58:INDEX('Milho 2ª safra'!$E58:$Z58,MIN(J$6-$E$3,22))&lt;&gt;""),'Milho 2ª safra'!$E58:INDEX('Milho 2ª safra'!$E58:$Z58,MIN(J$6-$E$3,22))),0))-IF($G$2,0,IF((J$6-$G$3)&lt;1,0,IFERROR(LOOKUP(2,1/('Milho 2ª safra'!$E58:INDEX('Milho 2ª safra'!$E58:$Z58,MIN(J$6-$G$3,22))&lt;&gt;""),'Milho 2ª safra'!$E58:INDEX('Milho 2ª safra'!$E58:$Z58,MIN(J$6-$G$3,22))),0)))))</f>
        <v>0</v>
      </c>
      <c r="K60" s="27" t="n">
        <f aca="false">IF(COUNT('Milho 2ª safra'!$E58:$Z58)=0,0,MAX(0,IF((K$6-$E$3)&lt;1,0,IFERROR(LOOKUP(2,1/('Milho 2ª safra'!$E58:INDEX('Milho 2ª safra'!$E58:$Z58,MIN(K$6-$E$3,22))&lt;&gt;""),'Milho 2ª safra'!$E58:INDEX('Milho 2ª safra'!$E58:$Z58,MIN(K$6-$E$3,22))),0))-IF($G$2,0,IF((K$6-$G$3)&lt;1,0,IFERROR(LOOKUP(2,1/('Milho 2ª safra'!$E58:INDEX('Milho 2ª safra'!$E58:$Z58,MIN(K$6-$G$3,22))&lt;&gt;""),'Milho 2ª safra'!$E58:INDEX('Milho 2ª safra'!$E58:$Z58,MIN(K$6-$G$3,22))),0)))))</f>
        <v>0</v>
      </c>
      <c r="L60" s="27" t="n">
        <f aca="false">IF(COUNT('Milho 2ª safra'!$E58:$Z58)=0,0,MAX(0,IF((L$6-$E$3)&lt;1,0,IFERROR(LOOKUP(2,1/('Milho 2ª safra'!$E58:INDEX('Milho 2ª safra'!$E58:$Z58,MIN(L$6-$E$3,22))&lt;&gt;""),'Milho 2ª safra'!$E58:INDEX('Milho 2ª safra'!$E58:$Z58,MIN(L$6-$E$3,22))),0))-IF($G$2,0,IF((L$6-$G$3)&lt;1,0,IFERROR(LOOKUP(2,1/('Milho 2ª safra'!$E58:INDEX('Milho 2ª safra'!$E58:$Z58,MIN(L$6-$G$3,22))&lt;&gt;""),'Milho 2ª safra'!$E58:INDEX('Milho 2ª safra'!$E58:$Z58,MIN(L$6-$G$3,22))),0)))))</f>
        <v>0</v>
      </c>
      <c r="M60" s="27" t="n">
        <f aca="false">IF(COUNT('Milho 2ª safra'!$E58:$Z58)=0,0,MAX(0,IF((M$6-$E$3)&lt;1,0,IFERROR(LOOKUP(2,1/('Milho 2ª safra'!$E58:INDEX('Milho 2ª safra'!$E58:$Z58,MIN(M$6-$E$3,22))&lt;&gt;""),'Milho 2ª safra'!$E58:INDEX('Milho 2ª safra'!$E58:$Z58,MIN(M$6-$E$3,22))),0))-IF($G$2,0,IF((M$6-$G$3)&lt;1,0,IFERROR(LOOKUP(2,1/('Milho 2ª safra'!$E58:INDEX('Milho 2ª safra'!$E58:$Z58,MIN(M$6-$G$3,22))&lt;&gt;""),'Milho 2ª safra'!$E58:INDEX('Milho 2ª safra'!$E58:$Z58,MIN(M$6-$G$3,22))),0)))))</f>
        <v>0</v>
      </c>
      <c r="N60" s="27" t="n">
        <f aca="false">IF(COUNT('Milho 2ª safra'!$E58:$Z58)=0,0,MAX(0,IF((N$6-$E$3)&lt;1,0,IFERROR(LOOKUP(2,1/('Milho 2ª safra'!$E58:INDEX('Milho 2ª safra'!$E58:$Z58,MIN(N$6-$E$3,22))&lt;&gt;""),'Milho 2ª safra'!$E58:INDEX('Milho 2ª safra'!$E58:$Z58,MIN(N$6-$E$3,22))),0))-IF($G$2,0,IF((N$6-$G$3)&lt;1,0,IFERROR(LOOKUP(2,1/('Milho 2ª safra'!$E58:INDEX('Milho 2ª safra'!$E58:$Z58,MIN(N$6-$G$3,22))&lt;&gt;""),'Milho 2ª safra'!$E58:INDEX('Milho 2ª safra'!$E58:$Z58,MIN(N$6-$G$3,22))),0)))))</f>
        <v>0</v>
      </c>
      <c r="O60" s="27" t="n">
        <f aca="false">IF(COUNT('Milho 2ª safra'!$E58:$Z58)=0,0,MAX(0,IF((O$6-$E$3)&lt;1,0,IFERROR(LOOKUP(2,1/('Milho 2ª safra'!$E58:INDEX('Milho 2ª safra'!$E58:$Z58,MIN(O$6-$E$3,22))&lt;&gt;""),'Milho 2ª safra'!$E58:INDEX('Milho 2ª safra'!$E58:$Z58,MIN(O$6-$E$3,22))),0))-IF($G$2,0,IF((O$6-$G$3)&lt;1,0,IFERROR(LOOKUP(2,1/('Milho 2ª safra'!$E58:INDEX('Milho 2ª safra'!$E58:$Z58,MIN(O$6-$G$3,22))&lt;&gt;""),'Milho 2ª safra'!$E58:INDEX('Milho 2ª safra'!$E58:$Z58,MIN(O$6-$G$3,22))),0)))))</f>
        <v>0</v>
      </c>
      <c r="P60" s="27" t="n">
        <f aca="false">IF(COUNT('Milho 2ª safra'!$E58:$Z58)=0,0,MAX(0,IF((P$6-$E$3)&lt;1,0,IFERROR(LOOKUP(2,1/('Milho 2ª safra'!$E58:INDEX('Milho 2ª safra'!$E58:$Z58,MIN(P$6-$E$3,22))&lt;&gt;""),'Milho 2ª safra'!$E58:INDEX('Milho 2ª safra'!$E58:$Z58,MIN(P$6-$E$3,22))),0))-IF($G$2,0,IF((P$6-$G$3)&lt;1,0,IFERROR(LOOKUP(2,1/('Milho 2ª safra'!$E58:INDEX('Milho 2ª safra'!$E58:$Z58,MIN(P$6-$G$3,22))&lt;&gt;""),'Milho 2ª safra'!$E58:INDEX('Milho 2ª safra'!$E58:$Z58,MIN(P$6-$G$3,22))),0)))))</f>
        <v>0</v>
      </c>
      <c r="Q60" s="27" t="n">
        <f aca="false">IF(COUNT('Milho 2ª safra'!$E58:$Z58)=0,0,MAX(0,IF((Q$6-$E$3)&lt;1,0,IFERROR(LOOKUP(2,1/('Milho 2ª safra'!$E58:INDEX('Milho 2ª safra'!$E58:$Z58,MIN(Q$6-$E$3,22))&lt;&gt;""),'Milho 2ª safra'!$E58:INDEX('Milho 2ª safra'!$E58:$Z58,MIN(Q$6-$E$3,22))),0))-IF($G$2,0,IF((Q$6-$G$3)&lt;1,0,IFERROR(LOOKUP(2,1/('Milho 2ª safra'!$E58:INDEX('Milho 2ª safra'!$E58:$Z58,MIN(Q$6-$G$3,22))&lt;&gt;""),'Milho 2ª safra'!$E58:INDEX('Milho 2ª safra'!$E58:$Z58,MIN(Q$6-$G$3,22))),0)))))</f>
        <v>0</v>
      </c>
      <c r="R60" s="27" t="n">
        <f aca="false">IF(COUNT('Milho 2ª safra'!$E58:$Z58)=0,0,MAX(0,IF((R$6-$E$3)&lt;1,0,IFERROR(LOOKUP(2,1/('Milho 2ª safra'!$E58:INDEX('Milho 2ª safra'!$E58:$Z58,MIN(R$6-$E$3,22))&lt;&gt;""),'Milho 2ª safra'!$E58:INDEX('Milho 2ª safra'!$E58:$Z58,MIN(R$6-$E$3,22))),0))-IF($G$2,0,IF((R$6-$G$3)&lt;1,0,IFERROR(LOOKUP(2,1/('Milho 2ª safra'!$E58:INDEX('Milho 2ª safra'!$E58:$Z58,MIN(R$6-$G$3,22))&lt;&gt;""),'Milho 2ª safra'!$E58:INDEX('Milho 2ª safra'!$E58:$Z58,MIN(R$6-$G$3,22))),0)))))</f>
        <v>0</v>
      </c>
      <c r="S60" s="27" t="n">
        <f aca="false">IF(COUNT('Milho 2ª safra'!$E58:$Z58)=0,0,MAX(0,IF((S$6-$E$3)&lt;1,0,IFERROR(LOOKUP(2,1/('Milho 2ª safra'!$E58:INDEX('Milho 2ª safra'!$E58:$Z58,MIN(S$6-$E$3,22))&lt;&gt;""),'Milho 2ª safra'!$E58:INDEX('Milho 2ª safra'!$E58:$Z58,MIN(S$6-$E$3,22))),0))-IF($G$2,0,IF((S$6-$G$3)&lt;1,0,IFERROR(LOOKUP(2,1/('Milho 2ª safra'!$E58:INDEX('Milho 2ª safra'!$E58:$Z58,MIN(S$6-$G$3,22))&lt;&gt;""),'Milho 2ª safra'!$E58:INDEX('Milho 2ª safra'!$E58:$Z58,MIN(S$6-$G$3,22))),0)))))</f>
        <v>0</v>
      </c>
      <c r="T60" s="27" t="n">
        <f aca="false">IF(COUNT('Milho 2ª safra'!$E58:$Z58)=0,0,MAX(0,IF((T$6-$E$3)&lt;1,0,IFERROR(LOOKUP(2,1/('Milho 2ª safra'!$E58:INDEX('Milho 2ª safra'!$E58:$Z58,MIN(T$6-$E$3,22))&lt;&gt;""),'Milho 2ª safra'!$E58:INDEX('Milho 2ª safra'!$E58:$Z58,MIN(T$6-$E$3,22))),0))-IF($G$2,0,IF((T$6-$G$3)&lt;1,0,IFERROR(LOOKUP(2,1/('Milho 2ª safra'!$E58:INDEX('Milho 2ª safra'!$E58:$Z58,MIN(T$6-$G$3,22))&lt;&gt;""),'Milho 2ª safra'!$E58:INDEX('Milho 2ª safra'!$E58:$Z58,MIN(T$6-$G$3,22))),0)))))</f>
        <v>0</v>
      </c>
      <c r="U60" s="27" t="n">
        <f aca="false">IF(COUNT('Milho 2ª safra'!$E58:$Z58)=0,0,MAX(0,IF((U$6-$E$3)&lt;1,0,IFERROR(LOOKUP(2,1/('Milho 2ª safra'!$E58:INDEX('Milho 2ª safra'!$E58:$Z58,MIN(U$6-$E$3,22))&lt;&gt;""),'Milho 2ª safra'!$E58:INDEX('Milho 2ª safra'!$E58:$Z58,MIN(U$6-$E$3,22))),0))-IF($G$2,0,IF((U$6-$G$3)&lt;1,0,IFERROR(LOOKUP(2,1/('Milho 2ª safra'!$E58:INDEX('Milho 2ª safra'!$E58:$Z58,MIN(U$6-$G$3,22))&lt;&gt;""),'Milho 2ª safra'!$E58:INDEX('Milho 2ª safra'!$E58:$Z58,MIN(U$6-$G$3,22))),0)))))</f>
        <v>0</v>
      </c>
      <c r="V60" s="27" t="n">
        <f aca="false">IF(COUNT('Milho 2ª safra'!$E58:$Z58)=0,0,MAX(0,IF((V$6-$E$3)&lt;1,0,IFERROR(LOOKUP(2,1/('Milho 2ª safra'!$E58:INDEX('Milho 2ª safra'!$E58:$Z58,MIN(V$6-$E$3,22))&lt;&gt;""),'Milho 2ª safra'!$E58:INDEX('Milho 2ª safra'!$E58:$Z58,MIN(V$6-$E$3,22))),0))-IF($G$2,0,IF((V$6-$G$3)&lt;1,0,IFERROR(LOOKUP(2,1/('Milho 2ª safra'!$E58:INDEX('Milho 2ª safra'!$E58:$Z58,MIN(V$6-$G$3,22))&lt;&gt;""),'Milho 2ª safra'!$E58:INDEX('Milho 2ª safra'!$E58:$Z58,MIN(V$6-$G$3,22))),0)))))</f>
        <v>0</v>
      </c>
      <c r="W60" s="27" t="n">
        <f aca="false">IF(COUNT('Milho 2ª safra'!$E58:$Z58)=0,0,MAX(0,IF((W$6-$E$3)&lt;1,0,IFERROR(LOOKUP(2,1/('Milho 2ª safra'!$E58:INDEX('Milho 2ª safra'!$E58:$Z58,MIN(W$6-$E$3,22))&lt;&gt;""),'Milho 2ª safra'!$E58:INDEX('Milho 2ª safra'!$E58:$Z58,MIN(W$6-$E$3,22))),0))-IF($G$2,0,IF((W$6-$G$3)&lt;1,0,IFERROR(LOOKUP(2,1/('Milho 2ª safra'!$E58:INDEX('Milho 2ª safra'!$E58:$Z58,MIN(W$6-$G$3,22))&lt;&gt;""),'Milho 2ª safra'!$E58:INDEX('Milho 2ª safra'!$E58:$Z58,MIN(W$6-$G$3,22))),0)))))</f>
        <v>0</v>
      </c>
      <c r="X60" s="27" t="n">
        <f aca="false">IF(COUNT('Milho 2ª safra'!$E58:$Z58)=0,0,MAX(0,IF((X$6-$E$3)&lt;1,0,IFERROR(LOOKUP(2,1/('Milho 2ª safra'!$E58:INDEX('Milho 2ª safra'!$E58:$Z58,MIN(X$6-$E$3,22))&lt;&gt;""),'Milho 2ª safra'!$E58:INDEX('Milho 2ª safra'!$E58:$Z58,MIN(X$6-$E$3,22))),0))-IF($G$2,0,IF((X$6-$G$3)&lt;1,0,IFERROR(LOOKUP(2,1/('Milho 2ª safra'!$E58:INDEX('Milho 2ª safra'!$E58:$Z58,MIN(X$6-$G$3,22))&lt;&gt;""),'Milho 2ª safra'!$E58:INDEX('Milho 2ª safra'!$E58:$Z58,MIN(X$6-$G$3,22))),0)))))</f>
        <v>0</v>
      </c>
      <c r="Y60" s="27" t="n">
        <f aca="false">IF(COUNT('Milho 2ª safra'!$E58:$Z58)=0,0,MAX(0,IF((Y$6-$E$3)&lt;1,0,IFERROR(LOOKUP(2,1/('Milho 2ª safra'!$E58:INDEX('Milho 2ª safra'!$E58:$Z58,MIN(Y$6-$E$3,22))&lt;&gt;""),'Milho 2ª safra'!$E58:INDEX('Milho 2ª safra'!$E58:$Z58,MIN(Y$6-$E$3,22))),0))-IF($G$2,0,IF((Y$6-$G$3)&lt;1,0,IFERROR(LOOKUP(2,1/('Milho 2ª safra'!$E58:INDEX('Milho 2ª safra'!$E58:$Z58,MIN(Y$6-$G$3,22))&lt;&gt;""),'Milho 2ª safra'!$E58:INDEX('Milho 2ª safra'!$E58:$Z58,MIN(Y$6-$G$3,22))),0)))))</f>
        <v>0</v>
      </c>
      <c r="Z60" s="27" t="n">
        <f aca="false">IF(COUNT('Milho 2ª safra'!$E58:$Z58)=0,0,MAX(0,IF((Z$6-$E$3)&lt;1,0,IFERROR(LOOKUP(2,1/('Milho 2ª safra'!$E58:INDEX('Milho 2ª safra'!$E58:$Z58,MIN(Z$6-$E$3,22))&lt;&gt;""),'Milho 2ª safra'!$E58:INDEX('Milho 2ª safra'!$E58:$Z58,MIN(Z$6-$E$3,22))),0))-IF($G$2,0,IF((Z$6-$G$3)&lt;1,0,IFERROR(LOOKUP(2,1/('Milho 2ª safra'!$E58:INDEX('Milho 2ª safra'!$E58:$Z58,MIN(Z$6-$G$3,22))&lt;&gt;""),'Milho 2ª safra'!$E58:INDEX('Milho 2ª safra'!$E58:$Z58,MIN(Z$6-$G$3,22))),0)))))</f>
        <v>0</v>
      </c>
      <c r="AA60" s="27" t="n">
        <f aca="false">IF(COUNT('Milho 2ª safra'!$E58:$Z58)=0,0,MAX(0,IF((AA$6-$E$3)&lt;1,0,IFERROR(LOOKUP(2,1/('Milho 2ª safra'!$E58:INDEX('Milho 2ª safra'!$E58:$Z58,MIN(AA$6-$E$3,22))&lt;&gt;""),'Milho 2ª safra'!$E58:INDEX('Milho 2ª safra'!$E58:$Z58,MIN(AA$6-$E$3,22))),0))-IF($G$2,0,IF((AA$6-$G$3)&lt;1,0,IFERROR(LOOKUP(2,1/('Milho 2ª safra'!$E58:INDEX('Milho 2ª safra'!$E58:$Z58,MIN(AA$6-$G$3,22))&lt;&gt;""),'Milho 2ª safra'!$E58:INDEX('Milho 2ª safra'!$E58:$Z58,MIN(AA$6-$G$3,22))),0)))))</f>
        <v>0</v>
      </c>
      <c r="AB60" s="27" t="n">
        <f aca="false">IF(COUNT('Milho 2ª safra'!$E58:$Z58)=0,0,MAX(0,IF((AB$6-$E$3)&lt;1,0,IFERROR(LOOKUP(2,1/('Milho 2ª safra'!$E58:INDEX('Milho 2ª safra'!$E58:$Z58,MIN(AB$6-$E$3,22))&lt;&gt;""),'Milho 2ª safra'!$E58:INDEX('Milho 2ª safra'!$E58:$Z58,MIN(AB$6-$E$3,22))),0))-IF($G$2,0,IF((AB$6-$G$3)&lt;1,0,IFERROR(LOOKUP(2,1/('Milho 2ª safra'!$E58:INDEX('Milho 2ª safra'!$E58:$Z58,MIN(AB$6-$G$3,22))&lt;&gt;""),'Milho 2ª safra'!$E58:INDEX('Milho 2ª safra'!$E58:$Z58,MIN(AB$6-$G$3,22))),0)))))</f>
        <v>0</v>
      </c>
      <c r="AC60" s="27" t="n">
        <f aca="false">IF(COUNT('Milho 2ª safra'!$E58:$Z58)=0,0,MAX(0,IF((AC$6-$E$3)&lt;1,0,IFERROR(LOOKUP(2,1/('Milho 2ª safra'!$E58:INDEX('Milho 2ª safra'!$E58:$Z58,MIN(AC$6-$E$3,22))&lt;&gt;""),'Milho 2ª safra'!$E58:INDEX('Milho 2ª safra'!$E58:$Z58,MIN(AC$6-$E$3,22))),0))-IF($G$2,0,IF((AC$6-$G$3)&lt;1,0,IFERROR(LOOKUP(2,1/('Milho 2ª safra'!$E58:INDEX('Milho 2ª safra'!$E58:$Z58,MIN(AC$6-$G$3,22))&lt;&gt;""),'Milho 2ª safra'!$E58:INDEX('Milho 2ª safra'!$E58:$Z58,MIN(AC$6-$G$3,22))),0)))))</f>
        <v>0</v>
      </c>
      <c r="AD60" s="27" t="n">
        <f aca="false">IF(COUNT('Milho 2ª safra'!$E58:$Z58)=0,0,MAX(0,IF((AD$6-$E$3)&lt;1,0,IFERROR(LOOKUP(2,1/('Milho 2ª safra'!$E58:INDEX('Milho 2ª safra'!$E58:$Z58,MIN(AD$6-$E$3,22))&lt;&gt;""),'Milho 2ª safra'!$E58:INDEX('Milho 2ª safra'!$E58:$Z58,MIN(AD$6-$E$3,22))),0))-IF($G$2,0,IF((AD$6-$G$3)&lt;1,0,IFERROR(LOOKUP(2,1/('Milho 2ª safra'!$E58:INDEX('Milho 2ª safra'!$E58:$Z58,MIN(AD$6-$G$3,22))&lt;&gt;""),'Milho 2ª safra'!$E58:INDEX('Milho 2ª safra'!$E58:$Z58,MIN(AD$6-$G$3,22))),0)))))</f>
        <v>0</v>
      </c>
      <c r="AE60" s="27" t="n">
        <f aca="false">IF(COUNT('Milho 2ª safra'!$E58:$Z58)=0,0,MAX(0,IF((AE$6-$E$3)&lt;1,0,IFERROR(LOOKUP(2,1/('Milho 2ª safra'!$E58:INDEX('Milho 2ª safra'!$E58:$Z58,MIN(AE$6-$E$3,22))&lt;&gt;""),'Milho 2ª safra'!$E58:INDEX('Milho 2ª safra'!$E58:$Z58,MIN(AE$6-$E$3,22))),0))-IF($G$2,0,IF((AE$6-$G$3)&lt;1,0,IFERROR(LOOKUP(2,1/('Milho 2ª safra'!$E58:INDEX('Milho 2ª safra'!$E58:$Z58,MIN(AE$6-$G$3,22))&lt;&gt;""),'Milho 2ª safra'!$E58:INDEX('Milho 2ª safra'!$E58:$Z58,MIN(AE$6-$G$3,22))),0)))))</f>
        <v>0</v>
      </c>
      <c r="AF60" s="27" t="n">
        <f aca="false">IF(COUNT('Milho 2ª safra'!$E58:$Z58)=0,0,MAX(0,IF((AF$6-$E$3)&lt;1,0,IFERROR(LOOKUP(2,1/('Milho 2ª safra'!$E58:INDEX('Milho 2ª safra'!$E58:$Z58,MIN(AF$6-$E$3,22))&lt;&gt;""),'Milho 2ª safra'!$E58:INDEX('Milho 2ª safra'!$E58:$Z58,MIN(AF$6-$E$3,22))),0))-IF($G$2,0,IF((AF$6-$G$3)&lt;1,0,IFERROR(LOOKUP(2,1/('Milho 2ª safra'!$E58:INDEX('Milho 2ª safra'!$E58:$Z58,MIN(AF$6-$G$3,22))&lt;&gt;""),'Milho 2ª safra'!$E58:INDEX('Milho 2ª safra'!$E58:$Z58,MIN(AF$6-$G$3,22))),0)))))</f>
        <v>0</v>
      </c>
      <c r="AG60" s="27" t="n">
        <f aca="false">IF(COUNT('Milho 2ª safra'!$E58:$Z58)=0,0,MAX(0,IF((AG$6-$E$3)&lt;1,0,IFERROR(LOOKUP(2,1/('Milho 2ª safra'!$E58:INDEX('Milho 2ª safra'!$E58:$Z58,MIN(AG$6-$E$3,22))&lt;&gt;""),'Milho 2ª safra'!$E58:INDEX('Milho 2ª safra'!$E58:$Z58,MIN(AG$6-$E$3,22))),0))-IF($G$2,0,IF((AG$6-$G$3)&lt;1,0,IFERROR(LOOKUP(2,1/('Milho 2ª safra'!$E58:INDEX('Milho 2ª safra'!$E58:$Z58,MIN(AG$6-$G$3,22))&lt;&gt;""),'Milho 2ª safra'!$E58:INDEX('Milho 2ª safra'!$E58:$Z58,MIN(AG$6-$G$3,22))),0)))))</f>
        <v>0</v>
      </c>
      <c r="AH60" s="27" t="n">
        <f aca="false">IF(COUNT('Milho 2ª safra'!$E58:$Z58)=0,0,MAX(0,IF((AH$6-$E$3)&lt;1,0,IFERROR(LOOKUP(2,1/('Milho 2ª safra'!$E58:INDEX('Milho 2ª safra'!$E58:$Z58,MIN(AH$6-$E$3,22))&lt;&gt;""),'Milho 2ª safra'!$E58:INDEX('Milho 2ª safra'!$E58:$Z58,MIN(AH$6-$E$3,22))),0))-IF($G$2,0,IF((AH$6-$G$3)&lt;1,0,IFERROR(LOOKUP(2,1/('Milho 2ª safra'!$E58:INDEX('Milho 2ª safra'!$E58:$Z58,MIN(AH$6-$G$3,22))&lt;&gt;""),'Milho 2ª safra'!$E58:INDEX('Milho 2ª safra'!$E58:$Z58,MIN(AH$6-$G$3,22))),0)))))</f>
        <v>0</v>
      </c>
      <c r="AI60" s="27" t="n">
        <f aca="false">IF(COUNT('Milho 2ª safra'!$E58:$Z58)=0,0,MAX(0,IF((AI$6-$E$3)&lt;1,0,IFERROR(LOOKUP(2,1/('Milho 2ª safra'!$E58:INDEX('Milho 2ª safra'!$E58:$Z58,MIN(AI$6-$E$3,22))&lt;&gt;""),'Milho 2ª safra'!$E58:INDEX('Milho 2ª safra'!$E58:$Z58,MIN(AI$6-$E$3,22))),0))-IF($G$2,0,IF((AI$6-$G$3)&lt;1,0,IFERROR(LOOKUP(2,1/('Milho 2ª safra'!$E58:INDEX('Milho 2ª safra'!$E58:$Z58,MIN(AI$6-$G$3,22))&lt;&gt;""),'Milho 2ª safra'!$E58:INDEX('Milho 2ª safra'!$E58:$Z58,MIN(AI$6-$G$3,22))),0)))))</f>
        <v>0</v>
      </c>
      <c r="AJ60" s="27" t="n">
        <f aca="false">IF(COUNT('Milho 2ª safra'!$E58:$Z58)=0,0,MAX(0,IF((AJ$6-$E$3)&lt;1,0,IFERROR(LOOKUP(2,1/('Milho 2ª safra'!$E58:INDEX('Milho 2ª safra'!$E58:$Z58,MIN(AJ$6-$E$3,22))&lt;&gt;""),'Milho 2ª safra'!$E58:INDEX('Milho 2ª safra'!$E58:$Z58,MIN(AJ$6-$E$3,22))),0))-IF($G$2,0,IF((AJ$6-$G$3)&lt;1,0,IFERROR(LOOKUP(2,1/('Milho 2ª safra'!$E58:INDEX('Milho 2ª safra'!$E58:$Z58,MIN(AJ$6-$G$3,22))&lt;&gt;""),'Milho 2ª safra'!$E58:INDEX('Milho 2ª safra'!$E58:$Z58,MIN(AJ$6-$G$3,22))),0)))))</f>
        <v>0</v>
      </c>
      <c r="AK60" s="27" t="n">
        <f aca="false">IF(COUNT('Milho 2ª safra'!$E58:$Z58)=0,0,MAX(0,IF((AK$6-$E$3)&lt;1,0,IFERROR(LOOKUP(2,1/('Milho 2ª safra'!$E58:INDEX('Milho 2ª safra'!$E58:$Z58,MIN(AK$6-$E$3,22))&lt;&gt;""),'Milho 2ª safra'!$E58:INDEX('Milho 2ª safra'!$E58:$Z58,MIN(AK$6-$E$3,22))),0))-IF($G$2,0,IF((AK$6-$G$3)&lt;1,0,IFERROR(LOOKUP(2,1/('Milho 2ª safra'!$E58:INDEX('Milho 2ª safra'!$E58:$Z58,MIN(AK$6-$G$3,22))&lt;&gt;""),'Milho 2ª safra'!$E58:INDEX('Milho 2ª safra'!$E58:$Z58,MIN(AK$6-$G$3,22))),0)))))</f>
        <v>0</v>
      </c>
      <c r="AL60" s="27" t="n">
        <f aca="false">IF(COUNT('Milho 2ª safra'!$E58:$Z58)=0,0,MAX(0,IF((AL$6-$E$3)&lt;1,0,IFERROR(LOOKUP(2,1/('Milho 2ª safra'!$E58:INDEX('Milho 2ª safra'!$E58:$Z58,MIN(AL$6-$E$3,22))&lt;&gt;""),'Milho 2ª safra'!$E58:INDEX('Milho 2ª safra'!$E58:$Z58,MIN(AL$6-$E$3,22))),0))-IF($G$2,0,IF((AL$6-$G$3)&lt;1,0,IFERROR(LOOKUP(2,1/('Milho 2ª safra'!$E58:INDEX('Milho 2ª safra'!$E58:$Z58,MIN(AL$6-$G$3,22))&lt;&gt;""),'Milho 2ª safra'!$E58:INDEX('Milho 2ª safra'!$E58:$Z58,MIN(AL$6-$G$3,22))),0)))))</f>
        <v>0</v>
      </c>
      <c r="AM60" s="27" t="n">
        <f aca="false">IF(COUNT('Milho 2ª safra'!$E58:$Z58)=0,0,MAX(0,IF((AM$6-$E$3)&lt;1,0,IFERROR(LOOKUP(2,1/('Milho 2ª safra'!$E58:INDEX('Milho 2ª safra'!$E58:$Z58,MIN(AM$6-$E$3,22))&lt;&gt;""),'Milho 2ª safra'!$E58:INDEX('Milho 2ª safra'!$E58:$Z58,MIN(AM$6-$E$3,22))),0))-IF($G$2,0,IF((AM$6-$G$3)&lt;1,0,IFERROR(LOOKUP(2,1/('Milho 2ª safra'!$E58:INDEX('Milho 2ª safra'!$E58:$Z58,MIN(AM$6-$G$3,22))&lt;&gt;""),'Milho 2ª safra'!$E58:INDEX('Milho 2ª safra'!$E58:$Z58,MIN(AM$6-$G$3,22))),0)))))</f>
        <v>0</v>
      </c>
      <c r="AN60" s="27" t="n">
        <f aca="false">IF(COUNT('Milho 2ª safra'!$E58:$Z58)=0,0,MAX(0,IF((AN$6-$E$3)&lt;1,0,IFERROR(LOOKUP(2,1/('Milho 2ª safra'!$E58:INDEX('Milho 2ª safra'!$E58:$Z58,MIN(AN$6-$E$3,22))&lt;&gt;""),'Milho 2ª safra'!$E58:INDEX('Milho 2ª safra'!$E58:$Z58,MIN(AN$6-$E$3,22))),0))-IF($G$2,0,IF((AN$6-$G$3)&lt;1,0,IFERROR(LOOKUP(2,1/('Milho 2ª safra'!$E58:INDEX('Milho 2ª safra'!$E58:$Z58,MIN(AN$6-$G$3,22))&lt;&gt;""),'Milho 2ª safra'!$E58:INDEX('Milho 2ª safra'!$E58:$Z58,MIN(AN$6-$G$3,22))),0)))))</f>
        <v>0</v>
      </c>
      <c r="AO60" s="27" t="n">
        <f aca="false">IF(COUNT('Milho 2ª safra'!$E58:$Z58)=0,0,MAX(0,IF((AO$6-$E$3)&lt;1,0,IFERROR(LOOKUP(2,1/('Milho 2ª safra'!$E58:INDEX('Milho 2ª safra'!$E58:$Z58,MIN(AO$6-$E$3,22))&lt;&gt;""),'Milho 2ª safra'!$E58:INDEX('Milho 2ª safra'!$E58:$Z58,MIN(AO$6-$E$3,22))),0))-IF($G$2,0,IF((AO$6-$G$3)&lt;1,0,IFERROR(LOOKUP(2,1/('Milho 2ª safra'!$E58:INDEX('Milho 2ª safra'!$E58:$Z58,MIN(AO$6-$G$3,22))&lt;&gt;""),'Milho 2ª safra'!$E58:INDEX('Milho 2ª safra'!$E58:$Z58,MIN(AO$6-$G$3,22))),0)))))</f>
        <v>0</v>
      </c>
      <c r="AP60" s="27" t="n">
        <f aca="false">IF(COUNT('Milho 2ª safra'!$E58:$Z58)=0,0,MAX(0,IF((AP$6-$E$3)&lt;1,0,IFERROR(LOOKUP(2,1/('Milho 2ª safra'!$E58:INDEX('Milho 2ª safra'!$E58:$Z58,MIN(AP$6-$E$3,22))&lt;&gt;""),'Milho 2ª safra'!$E58:INDEX('Milho 2ª safra'!$E58:$Z58,MIN(AP$6-$E$3,22))),0))-IF($G$2,0,IF((AP$6-$G$3)&lt;1,0,IFERROR(LOOKUP(2,1/('Milho 2ª safra'!$E58:INDEX('Milho 2ª safra'!$E58:$Z58,MIN(AP$6-$G$3,22))&lt;&gt;""),'Milho 2ª safra'!$E58:INDEX('Milho 2ª safra'!$E58:$Z58,MIN(AP$6-$G$3,22))),0)))))</f>
        <v>0</v>
      </c>
      <c r="AQ60" s="27" t="n">
        <f aca="false">IF(COUNT('Milho 2ª safra'!$E58:$Z58)=0,0,MAX(0,IF((AQ$6-$E$3)&lt;1,0,IFERROR(LOOKUP(2,1/('Milho 2ª safra'!$E58:INDEX('Milho 2ª safra'!$E58:$Z58,MIN(AQ$6-$E$3,22))&lt;&gt;""),'Milho 2ª safra'!$E58:INDEX('Milho 2ª safra'!$E58:$Z58,MIN(AQ$6-$E$3,22))),0))-IF($G$2,0,IF((AQ$6-$G$3)&lt;1,0,IFERROR(LOOKUP(2,1/('Milho 2ª safra'!$E58:INDEX('Milho 2ª safra'!$E58:$Z58,MIN(AQ$6-$G$3,22))&lt;&gt;""),'Milho 2ª safra'!$E58:INDEX('Milho 2ª safra'!$E58:$Z58,MIN(AQ$6-$G$3,22))),0)))))</f>
        <v>0</v>
      </c>
      <c r="AR60" s="27" t="n">
        <f aca="false">IF(COUNT('Milho 2ª safra'!$E58:$Z58)=0,0,MAX(0,IF((AR$6-$E$3)&lt;1,0,IFERROR(LOOKUP(2,1/('Milho 2ª safra'!$E58:INDEX('Milho 2ª safra'!$E58:$Z58,MIN(AR$6-$E$3,22))&lt;&gt;""),'Milho 2ª safra'!$E58:INDEX('Milho 2ª safra'!$E58:$Z58,MIN(AR$6-$E$3,22))),0))-IF($G$2,0,IF((AR$6-$G$3)&lt;1,0,IFERROR(LOOKUP(2,1/('Milho 2ª safra'!$E58:INDEX('Milho 2ª safra'!$E58:$Z58,MIN(AR$6-$G$3,22))&lt;&gt;""),'Milho 2ª safra'!$E58:INDEX('Milho 2ª safra'!$E58:$Z58,MIN(AR$6-$G$3,22))),0)))))</f>
        <v>0</v>
      </c>
      <c r="AS60" s="27" t="n">
        <f aca="false">IF(COUNT('Milho 2ª safra'!$E58:$Z58)=0,0,MAX(0,IF((AS$6-$E$3)&lt;1,0,IFERROR(LOOKUP(2,1/('Milho 2ª safra'!$E58:INDEX('Milho 2ª safra'!$E58:$Z58,MIN(AS$6-$E$3,22))&lt;&gt;""),'Milho 2ª safra'!$E58:INDEX('Milho 2ª safra'!$E58:$Z58,MIN(AS$6-$E$3,22))),0))-IF($G$2,0,IF((AS$6-$G$3)&lt;1,0,IFERROR(LOOKUP(2,1/('Milho 2ª safra'!$E58:INDEX('Milho 2ª safra'!$E58:$Z58,MIN(AS$6-$G$3,22))&lt;&gt;""),'Milho 2ª safra'!$E58:INDEX('Milho 2ª safra'!$E58:$Z58,MIN(AS$6-$G$3,22))),0)))))</f>
        <v>0</v>
      </c>
      <c r="AT60" s="27" t="n">
        <f aca="false">IF(COUNT('Milho 2ª safra'!$E58:$Z58)=0,0,MAX(0,IF((AT$6-$E$3)&lt;1,0,IFERROR(LOOKUP(2,1/('Milho 2ª safra'!$E58:INDEX('Milho 2ª safra'!$E58:$Z58,MIN(AT$6-$E$3,22))&lt;&gt;""),'Milho 2ª safra'!$E58:INDEX('Milho 2ª safra'!$E58:$Z58,MIN(AT$6-$E$3,22))),0))-IF($G$2,0,IF((AT$6-$G$3)&lt;1,0,IFERROR(LOOKUP(2,1/('Milho 2ª safra'!$E58:INDEX('Milho 2ª safra'!$E58:$Z58,MIN(AT$6-$G$3,22))&lt;&gt;""),'Milho 2ª safra'!$E58:INDEX('Milho 2ª safra'!$E58:$Z58,MIN(AT$6-$G$3,22))),0)))))</f>
        <v>0</v>
      </c>
      <c r="AU60" s="27" t="n">
        <f aca="false">IF(COUNT('Milho 2ª safra'!$E58:$Z58)=0,0,MAX(0,IF((AU$6-$E$3)&lt;1,0,IFERROR(LOOKUP(2,1/('Milho 2ª safra'!$E58:INDEX('Milho 2ª safra'!$E58:$Z58,MIN(AU$6-$E$3,22))&lt;&gt;""),'Milho 2ª safra'!$E58:INDEX('Milho 2ª safra'!$E58:$Z58,MIN(AU$6-$E$3,22))),0))-IF($G$2,0,IF((AU$6-$G$3)&lt;1,0,IFERROR(LOOKUP(2,1/('Milho 2ª safra'!$E58:INDEX('Milho 2ª safra'!$E58:$Z58,MIN(AU$6-$G$3,22))&lt;&gt;""),'Milho 2ª safra'!$E58:INDEX('Milho 2ª safra'!$E58:$Z58,MIN(AU$6-$G$3,22))),0)))))</f>
        <v>0</v>
      </c>
      <c r="AV60" s="27" t="n">
        <f aca="false">IF(COUNT('Milho 2ª safra'!$E58:$Z58)=0,0,MAX(0,IF((AV$6-$E$3)&lt;1,0,IFERROR(LOOKUP(2,1/('Milho 2ª safra'!$E58:INDEX('Milho 2ª safra'!$E58:$Z58,MIN(AV$6-$E$3,22))&lt;&gt;""),'Milho 2ª safra'!$E58:INDEX('Milho 2ª safra'!$E58:$Z58,MIN(AV$6-$E$3,22))),0))-IF($G$2,0,IF((AV$6-$G$3)&lt;1,0,IFERROR(LOOKUP(2,1/('Milho 2ª safra'!$E58:INDEX('Milho 2ª safra'!$E58:$Z58,MIN(AV$6-$G$3,22))&lt;&gt;""),'Milho 2ª safra'!$E58:INDEX('Milho 2ª safra'!$E58:$Z58,MIN(AV$6-$G$3,22))),0)))))</f>
        <v>0</v>
      </c>
      <c r="AW60" s="27" t="n">
        <f aca="false">IF(COUNT('Milho 2ª safra'!$E58:$Z58)=0,0,MAX(0,IF((AW$6-$E$3)&lt;1,0,IFERROR(LOOKUP(2,1/('Milho 2ª safra'!$E58:INDEX('Milho 2ª safra'!$E58:$Z58,MIN(AW$6-$E$3,22))&lt;&gt;""),'Milho 2ª safra'!$E58:INDEX('Milho 2ª safra'!$E58:$Z58,MIN(AW$6-$E$3,22))),0))-IF($G$2,0,IF((AW$6-$G$3)&lt;1,0,IFERROR(LOOKUP(2,1/('Milho 2ª safra'!$E58:INDEX('Milho 2ª safra'!$E58:$Z58,MIN(AW$6-$G$3,22))&lt;&gt;""),'Milho 2ª safra'!$E58:INDEX('Milho 2ª safra'!$E58:$Z58,MIN(AW$6-$G$3,22))),0)))))</f>
        <v>0</v>
      </c>
      <c r="AX60" s="27" t="n">
        <f aca="false">IF(COUNT('Milho 2ª safra'!$E58:$Z58)=0,0,MAX(0,IF((AX$6-$E$3)&lt;1,0,IFERROR(LOOKUP(2,1/('Milho 2ª safra'!$E58:INDEX('Milho 2ª safra'!$E58:$Z58,MIN(AX$6-$E$3,22))&lt;&gt;""),'Milho 2ª safra'!$E58:INDEX('Milho 2ª safra'!$E58:$Z58,MIN(AX$6-$E$3,22))),0))-IF($G$2,0,IF((AX$6-$G$3)&lt;1,0,IFERROR(LOOKUP(2,1/('Milho 2ª safra'!$E58:INDEX('Milho 2ª safra'!$E58:$Z58,MIN(AX$6-$G$3,22))&lt;&gt;""),'Milho 2ª safra'!$E58:INDEX('Milho 2ª safra'!$E58:$Z58,MIN(AX$6-$G$3,22))),0)))))</f>
        <v>0</v>
      </c>
      <c r="AY60" s="27" t="n">
        <f aca="false">IF(COUNT('Milho 2ª safra'!$E58:$Z58)=0,0,MAX(0,IF((AY$6-$E$3)&lt;1,0,IFERROR(LOOKUP(2,1/('Milho 2ª safra'!$E58:INDEX('Milho 2ª safra'!$E58:$Z58,MIN(AY$6-$E$3,22))&lt;&gt;""),'Milho 2ª safra'!$E58:INDEX('Milho 2ª safra'!$E58:$Z58,MIN(AY$6-$E$3,22))),0))-IF($G$2,0,IF((AY$6-$G$3)&lt;1,0,IFERROR(LOOKUP(2,1/('Milho 2ª safra'!$E58:INDEX('Milho 2ª safra'!$E58:$Z58,MIN(AY$6-$G$3,22))&lt;&gt;""),'Milho 2ª safra'!$E58:INDEX('Milho 2ª safra'!$E58:$Z58,MIN(AY$6-$G$3,22))),0)))))</f>
        <v>0</v>
      </c>
      <c r="AZ60" s="27" t="n">
        <f aca="false">IF(COUNT('Milho 2ª safra'!$E58:$Z58)=0,0,MAX(0,IF((AZ$6-$E$3)&lt;1,0,IFERROR(LOOKUP(2,1/('Milho 2ª safra'!$E58:INDEX('Milho 2ª safra'!$E58:$Z58,MIN(AZ$6-$E$3,22))&lt;&gt;""),'Milho 2ª safra'!$E58:INDEX('Milho 2ª safra'!$E58:$Z58,MIN(AZ$6-$E$3,22))),0))-IF($G$2,0,IF((AZ$6-$G$3)&lt;1,0,IFERROR(LOOKUP(2,1/('Milho 2ª safra'!$E58:INDEX('Milho 2ª safra'!$E58:$Z58,MIN(AZ$6-$G$3,22))&lt;&gt;""),'Milho 2ª safra'!$E58:INDEX('Milho 2ª safra'!$E58:$Z58,MIN(AZ$6-$G$3,22))),0)))))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IF(COUNT('Milho 2ª safra'!$E59:$Z59)&gt;0,N('Milho 2ª safra'!$D59),0)</f>
        <v>0</v>
      </c>
      <c r="E61" s="27" t="n">
        <f aca="false">IF(COUNT('Milho 2ª safra'!$E59:$Z59)=0,0,MAX(0,IF((E$6-$E$3)&lt;1,0,IFERROR(LOOKUP(2,1/('Milho 2ª safra'!$E59:INDEX('Milho 2ª safra'!$E59:$Z59,MIN(E$6-$E$3,22))&lt;&gt;""),'Milho 2ª safra'!$E59:INDEX('Milho 2ª safra'!$E59:$Z59,MIN(E$6-$E$3,22))),0))-IF($G$2,0,IF((E$6-$G$3)&lt;1,0,IFERROR(LOOKUP(2,1/('Milho 2ª safra'!$E59:INDEX('Milho 2ª safra'!$E59:$Z59,MIN(E$6-$G$3,22))&lt;&gt;""),'Milho 2ª safra'!$E59:INDEX('Milho 2ª safra'!$E59:$Z59,MIN(E$6-$G$3,22))),0)))))</f>
        <v>0</v>
      </c>
      <c r="F61" s="27" t="n">
        <f aca="false">IF(COUNT('Milho 2ª safra'!$E59:$Z59)=0,0,MAX(0,IF((F$6-$E$3)&lt;1,0,IFERROR(LOOKUP(2,1/('Milho 2ª safra'!$E59:INDEX('Milho 2ª safra'!$E59:$Z59,MIN(F$6-$E$3,22))&lt;&gt;""),'Milho 2ª safra'!$E59:INDEX('Milho 2ª safra'!$E59:$Z59,MIN(F$6-$E$3,22))),0))-IF($G$2,0,IF((F$6-$G$3)&lt;1,0,IFERROR(LOOKUP(2,1/('Milho 2ª safra'!$E59:INDEX('Milho 2ª safra'!$E59:$Z59,MIN(F$6-$G$3,22))&lt;&gt;""),'Milho 2ª safra'!$E59:INDEX('Milho 2ª safra'!$E59:$Z59,MIN(F$6-$G$3,22))),0)))))</f>
        <v>0</v>
      </c>
      <c r="G61" s="27" t="n">
        <f aca="false">IF(COUNT('Milho 2ª safra'!$E59:$Z59)=0,0,MAX(0,IF((G$6-$E$3)&lt;1,0,IFERROR(LOOKUP(2,1/('Milho 2ª safra'!$E59:INDEX('Milho 2ª safra'!$E59:$Z59,MIN(G$6-$E$3,22))&lt;&gt;""),'Milho 2ª safra'!$E59:INDEX('Milho 2ª safra'!$E59:$Z59,MIN(G$6-$E$3,22))),0))-IF($G$2,0,IF((G$6-$G$3)&lt;1,0,IFERROR(LOOKUP(2,1/('Milho 2ª safra'!$E59:INDEX('Milho 2ª safra'!$E59:$Z59,MIN(G$6-$G$3,22))&lt;&gt;""),'Milho 2ª safra'!$E59:INDEX('Milho 2ª safra'!$E59:$Z59,MIN(G$6-$G$3,22))),0)))))</f>
        <v>0</v>
      </c>
      <c r="H61" s="27" t="n">
        <f aca="false">IF(COUNT('Milho 2ª safra'!$E59:$Z59)=0,0,MAX(0,IF((H$6-$E$3)&lt;1,0,IFERROR(LOOKUP(2,1/('Milho 2ª safra'!$E59:INDEX('Milho 2ª safra'!$E59:$Z59,MIN(H$6-$E$3,22))&lt;&gt;""),'Milho 2ª safra'!$E59:INDEX('Milho 2ª safra'!$E59:$Z59,MIN(H$6-$E$3,22))),0))-IF($G$2,0,IF((H$6-$G$3)&lt;1,0,IFERROR(LOOKUP(2,1/('Milho 2ª safra'!$E59:INDEX('Milho 2ª safra'!$E59:$Z59,MIN(H$6-$G$3,22))&lt;&gt;""),'Milho 2ª safra'!$E59:INDEX('Milho 2ª safra'!$E59:$Z59,MIN(H$6-$G$3,22))),0)))))</f>
        <v>0</v>
      </c>
      <c r="I61" s="27" t="n">
        <f aca="false">IF(COUNT('Milho 2ª safra'!$E59:$Z59)=0,0,MAX(0,IF((I$6-$E$3)&lt;1,0,IFERROR(LOOKUP(2,1/('Milho 2ª safra'!$E59:INDEX('Milho 2ª safra'!$E59:$Z59,MIN(I$6-$E$3,22))&lt;&gt;""),'Milho 2ª safra'!$E59:INDEX('Milho 2ª safra'!$E59:$Z59,MIN(I$6-$E$3,22))),0))-IF($G$2,0,IF((I$6-$G$3)&lt;1,0,IFERROR(LOOKUP(2,1/('Milho 2ª safra'!$E59:INDEX('Milho 2ª safra'!$E59:$Z59,MIN(I$6-$G$3,22))&lt;&gt;""),'Milho 2ª safra'!$E59:INDEX('Milho 2ª safra'!$E59:$Z59,MIN(I$6-$G$3,22))),0)))))</f>
        <v>0</v>
      </c>
      <c r="J61" s="27" t="n">
        <f aca="false">IF(COUNT('Milho 2ª safra'!$E59:$Z59)=0,0,MAX(0,IF((J$6-$E$3)&lt;1,0,IFERROR(LOOKUP(2,1/('Milho 2ª safra'!$E59:INDEX('Milho 2ª safra'!$E59:$Z59,MIN(J$6-$E$3,22))&lt;&gt;""),'Milho 2ª safra'!$E59:INDEX('Milho 2ª safra'!$E59:$Z59,MIN(J$6-$E$3,22))),0))-IF($G$2,0,IF((J$6-$G$3)&lt;1,0,IFERROR(LOOKUP(2,1/('Milho 2ª safra'!$E59:INDEX('Milho 2ª safra'!$E59:$Z59,MIN(J$6-$G$3,22))&lt;&gt;""),'Milho 2ª safra'!$E59:INDEX('Milho 2ª safra'!$E59:$Z59,MIN(J$6-$G$3,22))),0)))))</f>
        <v>0</v>
      </c>
      <c r="K61" s="27" t="n">
        <f aca="false">IF(COUNT('Milho 2ª safra'!$E59:$Z59)=0,0,MAX(0,IF((K$6-$E$3)&lt;1,0,IFERROR(LOOKUP(2,1/('Milho 2ª safra'!$E59:INDEX('Milho 2ª safra'!$E59:$Z59,MIN(K$6-$E$3,22))&lt;&gt;""),'Milho 2ª safra'!$E59:INDEX('Milho 2ª safra'!$E59:$Z59,MIN(K$6-$E$3,22))),0))-IF($G$2,0,IF((K$6-$G$3)&lt;1,0,IFERROR(LOOKUP(2,1/('Milho 2ª safra'!$E59:INDEX('Milho 2ª safra'!$E59:$Z59,MIN(K$6-$G$3,22))&lt;&gt;""),'Milho 2ª safra'!$E59:INDEX('Milho 2ª safra'!$E59:$Z59,MIN(K$6-$G$3,22))),0)))))</f>
        <v>0</v>
      </c>
      <c r="L61" s="27" t="n">
        <f aca="false">IF(COUNT('Milho 2ª safra'!$E59:$Z59)=0,0,MAX(0,IF((L$6-$E$3)&lt;1,0,IFERROR(LOOKUP(2,1/('Milho 2ª safra'!$E59:INDEX('Milho 2ª safra'!$E59:$Z59,MIN(L$6-$E$3,22))&lt;&gt;""),'Milho 2ª safra'!$E59:INDEX('Milho 2ª safra'!$E59:$Z59,MIN(L$6-$E$3,22))),0))-IF($G$2,0,IF((L$6-$G$3)&lt;1,0,IFERROR(LOOKUP(2,1/('Milho 2ª safra'!$E59:INDEX('Milho 2ª safra'!$E59:$Z59,MIN(L$6-$G$3,22))&lt;&gt;""),'Milho 2ª safra'!$E59:INDEX('Milho 2ª safra'!$E59:$Z59,MIN(L$6-$G$3,22))),0)))))</f>
        <v>0</v>
      </c>
      <c r="M61" s="27" t="n">
        <f aca="false">IF(COUNT('Milho 2ª safra'!$E59:$Z59)=0,0,MAX(0,IF((M$6-$E$3)&lt;1,0,IFERROR(LOOKUP(2,1/('Milho 2ª safra'!$E59:INDEX('Milho 2ª safra'!$E59:$Z59,MIN(M$6-$E$3,22))&lt;&gt;""),'Milho 2ª safra'!$E59:INDEX('Milho 2ª safra'!$E59:$Z59,MIN(M$6-$E$3,22))),0))-IF($G$2,0,IF((M$6-$G$3)&lt;1,0,IFERROR(LOOKUP(2,1/('Milho 2ª safra'!$E59:INDEX('Milho 2ª safra'!$E59:$Z59,MIN(M$6-$G$3,22))&lt;&gt;""),'Milho 2ª safra'!$E59:INDEX('Milho 2ª safra'!$E59:$Z59,MIN(M$6-$G$3,22))),0)))))</f>
        <v>0</v>
      </c>
      <c r="N61" s="27" t="n">
        <f aca="false">IF(COUNT('Milho 2ª safra'!$E59:$Z59)=0,0,MAX(0,IF((N$6-$E$3)&lt;1,0,IFERROR(LOOKUP(2,1/('Milho 2ª safra'!$E59:INDEX('Milho 2ª safra'!$E59:$Z59,MIN(N$6-$E$3,22))&lt;&gt;""),'Milho 2ª safra'!$E59:INDEX('Milho 2ª safra'!$E59:$Z59,MIN(N$6-$E$3,22))),0))-IF($G$2,0,IF((N$6-$G$3)&lt;1,0,IFERROR(LOOKUP(2,1/('Milho 2ª safra'!$E59:INDEX('Milho 2ª safra'!$E59:$Z59,MIN(N$6-$G$3,22))&lt;&gt;""),'Milho 2ª safra'!$E59:INDEX('Milho 2ª safra'!$E59:$Z59,MIN(N$6-$G$3,22))),0)))))</f>
        <v>0</v>
      </c>
      <c r="O61" s="27" t="n">
        <f aca="false">IF(COUNT('Milho 2ª safra'!$E59:$Z59)=0,0,MAX(0,IF((O$6-$E$3)&lt;1,0,IFERROR(LOOKUP(2,1/('Milho 2ª safra'!$E59:INDEX('Milho 2ª safra'!$E59:$Z59,MIN(O$6-$E$3,22))&lt;&gt;""),'Milho 2ª safra'!$E59:INDEX('Milho 2ª safra'!$E59:$Z59,MIN(O$6-$E$3,22))),0))-IF($G$2,0,IF((O$6-$G$3)&lt;1,0,IFERROR(LOOKUP(2,1/('Milho 2ª safra'!$E59:INDEX('Milho 2ª safra'!$E59:$Z59,MIN(O$6-$G$3,22))&lt;&gt;""),'Milho 2ª safra'!$E59:INDEX('Milho 2ª safra'!$E59:$Z59,MIN(O$6-$G$3,22))),0)))))</f>
        <v>0</v>
      </c>
      <c r="P61" s="27" t="n">
        <f aca="false">IF(COUNT('Milho 2ª safra'!$E59:$Z59)=0,0,MAX(0,IF((P$6-$E$3)&lt;1,0,IFERROR(LOOKUP(2,1/('Milho 2ª safra'!$E59:INDEX('Milho 2ª safra'!$E59:$Z59,MIN(P$6-$E$3,22))&lt;&gt;""),'Milho 2ª safra'!$E59:INDEX('Milho 2ª safra'!$E59:$Z59,MIN(P$6-$E$3,22))),0))-IF($G$2,0,IF((P$6-$G$3)&lt;1,0,IFERROR(LOOKUP(2,1/('Milho 2ª safra'!$E59:INDEX('Milho 2ª safra'!$E59:$Z59,MIN(P$6-$G$3,22))&lt;&gt;""),'Milho 2ª safra'!$E59:INDEX('Milho 2ª safra'!$E59:$Z59,MIN(P$6-$G$3,22))),0)))))</f>
        <v>0</v>
      </c>
      <c r="Q61" s="27" t="n">
        <f aca="false">IF(COUNT('Milho 2ª safra'!$E59:$Z59)=0,0,MAX(0,IF((Q$6-$E$3)&lt;1,0,IFERROR(LOOKUP(2,1/('Milho 2ª safra'!$E59:INDEX('Milho 2ª safra'!$E59:$Z59,MIN(Q$6-$E$3,22))&lt;&gt;""),'Milho 2ª safra'!$E59:INDEX('Milho 2ª safra'!$E59:$Z59,MIN(Q$6-$E$3,22))),0))-IF($G$2,0,IF((Q$6-$G$3)&lt;1,0,IFERROR(LOOKUP(2,1/('Milho 2ª safra'!$E59:INDEX('Milho 2ª safra'!$E59:$Z59,MIN(Q$6-$G$3,22))&lt;&gt;""),'Milho 2ª safra'!$E59:INDEX('Milho 2ª safra'!$E59:$Z59,MIN(Q$6-$G$3,22))),0)))))</f>
        <v>0</v>
      </c>
      <c r="R61" s="27" t="n">
        <f aca="false">IF(COUNT('Milho 2ª safra'!$E59:$Z59)=0,0,MAX(0,IF((R$6-$E$3)&lt;1,0,IFERROR(LOOKUP(2,1/('Milho 2ª safra'!$E59:INDEX('Milho 2ª safra'!$E59:$Z59,MIN(R$6-$E$3,22))&lt;&gt;""),'Milho 2ª safra'!$E59:INDEX('Milho 2ª safra'!$E59:$Z59,MIN(R$6-$E$3,22))),0))-IF($G$2,0,IF((R$6-$G$3)&lt;1,0,IFERROR(LOOKUP(2,1/('Milho 2ª safra'!$E59:INDEX('Milho 2ª safra'!$E59:$Z59,MIN(R$6-$G$3,22))&lt;&gt;""),'Milho 2ª safra'!$E59:INDEX('Milho 2ª safra'!$E59:$Z59,MIN(R$6-$G$3,22))),0)))))</f>
        <v>0</v>
      </c>
      <c r="S61" s="27" t="n">
        <f aca="false">IF(COUNT('Milho 2ª safra'!$E59:$Z59)=0,0,MAX(0,IF((S$6-$E$3)&lt;1,0,IFERROR(LOOKUP(2,1/('Milho 2ª safra'!$E59:INDEX('Milho 2ª safra'!$E59:$Z59,MIN(S$6-$E$3,22))&lt;&gt;""),'Milho 2ª safra'!$E59:INDEX('Milho 2ª safra'!$E59:$Z59,MIN(S$6-$E$3,22))),0))-IF($G$2,0,IF((S$6-$G$3)&lt;1,0,IFERROR(LOOKUP(2,1/('Milho 2ª safra'!$E59:INDEX('Milho 2ª safra'!$E59:$Z59,MIN(S$6-$G$3,22))&lt;&gt;""),'Milho 2ª safra'!$E59:INDEX('Milho 2ª safra'!$E59:$Z59,MIN(S$6-$G$3,22))),0)))))</f>
        <v>0</v>
      </c>
      <c r="T61" s="27" t="n">
        <f aca="false">IF(COUNT('Milho 2ª safra'!$E59:$Z59)=0,0,MAX(0,IF((T$6-$E$3)&lt;1,0,IFERROR(LOOKUP(2,1/('Milho 2ª safra'!$E59:INDEX('Milho 2ª safra'!$E59:$Z59,MIN(T$6-$E$3,22))&lt;&gt;""),'Milho 2ª safra'!$E59:INDEX('Milho 2ª safra'!$E59:$Z59,MIN(T$6-$E$3,22))),0))-IF($G$2,0,IF((T$6-$G$3)&lt;1,0,IFERROR(LOOKUP(2,1/('Milho 2ª safra'!$E59:INDEX('Milho 2ª safra'!$E59:$Z59,MIN(T$6-$G$3,22))&lt;&gt;""),'Milho 2ª safra'!$E59:INDEX('Milho 2ª safra'!$E59:$Z59,MIN(T$6-$G$3,22))),0)))))</f>
        <v>0</v>
      </c>
      <c r="U61" s="27" t="n">
        <f aca="false">IF(COUNT('Milho 2ª safra'!$E59:$Z59)=0,0,MAX(0,IF((U$6-$E$3)&lt;1,0,IFERROR(LOOKUP(2,1/('Milho 2ª safra'!$E59:INDEX('Milho 2ª safra'!$E59:$Z59,MIN(U$6-$E$3,22))&lt;&gt;""),'Milho 2ª safra'!$E59:INDEX('Milho 2ª safra'!$E59:$Z59,MIN(U$6-$E$3,22))),0))-IF($G$2,0,IF((U$6-$G$3)&lt;1,0,IFERROR(LOOKUP(2,1/('Milho 2ª safra'!$E59:INDEX('Milho 2ª safra'!$E59:$Z59,MIN(U$6-$G$3,22))&lt;&gt;""),'Milho 2ª safra'!$E59:INDEX('Milho 2ª safra'!$E59:$Z59,MIN(U$6-$G$3,22))),0)))))</f>
        <v>0</v>
      </c>
      <c r="V61" s="27" t="n">
        <f aca="false">IF(COUNT('Milho 2ª safra'!$E59:$Z59)=0,0,MAX(0,IF((V$6-$E$3)&lt;1,0,IFERROR(LOOKUP(2,1/('Milho 2ª safra'!$E59:INDEX('Milho 2ª safra'!$E59:$Z59,MIN(V$6-$E$3,22))&lt;&gt;""),'Milho 2ª safra'!$E59:INDEX('Milho 2ª safra'!$E59:$Z59,MIN(V$6-$E$3,22))),0))-IF($G$2,0,IF((V$6-$G$3)&lt;1,0,IFERROR(LOOKUP(2,1/('Milho 2ª safra'!$E59:INDEX('Milho 2ª safra'!$E59:$Z59,MIN(V$6-$G$3,22))&lt;&gt;""),'Milho 2ª safra'!$E59:INDEX('Milho 2ª safra'!$E59:$Z59,MIN(V$6-$G$3,22))),0)))))</f>
        <v>0</v>
      </c>
      <c r="W61" s="27" t="n">
        <f aca="false">IF(COUNT('Milho 2ª safra'!$E59:$Z59)=0,0,MAX(0,IF((W$6-$E$3)&lt;1,0,IFERROR(LOOKUP(2,1/('Milho 2ª safra'!$E59:INDEX('Milho 2ª safra'!$E59:$Z59,MIN(W$6-$E$3,22))&lt;&gt;""),'Milho 2ª safra'!$E59:INDEX('Milho 2ª safra'!$E59:$Z59,MIN(W$6-$E$3,22))),0))-IF($G$2,0,IF((W$6-$G$3)&lt;1,0,IFERROR(LOOKUP(2,1/('Milho 2ª safra'!$E59:INDEX('Milho 2ª safra'!$E59:$Z59,MIN(W$6-$G$3,22))&lt;&gt;""),'Milho 2ª safra'!$E59:INDEX('Milho 2ª safra'!$E59:$Z59,MIN(W$6-$G$3,22))),0)))))</f>
        <v>0</v>
      </c>
      <c r="X61" s="27" t="n">
        <f aca="false">IF(COUNT('Milho 2ª safra'!$E59:$Z59)=0,0,MAX(0,IF((X$6-$E$3)&lt;1,0,IFERROR(LOOKUP(2,1/('Milho 2ª safra'!$E59:INDEX('Milho 2ª safra'!$E59:$Z59,MIN(X$6-$E$3,22))&lt;&gt;""),'Milho 2ª safra'!$E59:INDEX('Milho 2ª safra'!$E59:$Z59,MIN(X$6-$E$3,22))),0))-IF($G$2,0,IF((X$6-$G$3)&lt;1,0,IFERROR(LOOKUP(2,1/('Milho 2ª safra'!$E59:INDEX('Milho 2ª safra'!$E59:$Z59,MIN(X$6-$G$3,22))&lt;&gt;""),'Milho 2ª safra'!$E59:INDEX('Milho 2ª safra'!$E59:$Z59,MIN(X$6-$G$3,22))),0)))))</f>
        <v>0</v>
      </c>
      <c r="Y61" s="27" t="n">
        <f aca="false">IF(COUNT('Milho 2ª safra'!$E59:$Z59)=0,0,MAX(0,IF((Y$6-$E$3)&lt;1,0,IFERROR(LOOKUP(2,1/('Milho 2ª safra'!$E59:INDEX('Milho 2ª safra'!$E59:$Z59,MIN(Y$6-$E$3,22))&lt;&gt;""),'Milho 2ª safra'!$E59:INDEX('Milho 2ª safra'!$E59:$Z59,MIN(Y$6-$E$3,22))),0))-IF($G$2,0,IF((Y$6-$G$3)&lt;1,0,IFERROR(LOOKUP(2,1/('Milho 2ª safra'!$E59:INDEX('Milho 2ª safra'!$E59:$Z59,MIN(Y$6-$G$3,22))&lt;&gt;""),'Milho 2ª safra'!$E59:INDEX('Milho 2ª safra'!$E59:$Z59,MIN(Y$6-$G$3,22))),0)))))</f>
        <v>0</v>
      </c>
      <c r="Z61" s="27" t="n">
        <f aca="false">IF(COUNT('Milho 2ª safra'!$E59:$Z59)=0,0,MAX(0,IF((Z$6-$E$3)&lt;1,0,IFERROR(LOOKUP(2,1/('Milho 2ª safra'!$E59:INDEX('Milho 2ª safra'!$E59:$Z59,MIN(Z$6-$E$3,22))&lt;&gt;""),'Milho 2ª safra'!$E59:INDEX('Milho 2ª safra'!$E59:$Z59,MIN(Z$6-$E$3,22))),0))-IF($G$2,0,IF((Z$6-$G$3)&lt;1,0,IFERROR(LOOKUP(2,1/('Milho 2ª safra'!$E59:INDEX('Milho 2ª safra'!$E59:$Z59,MIN(Z$6-$G$3,22))&lt;&gt;""),'Milho 2ª safra'!$E59:INDEX('Milho 2ª safra'!$E59:$Z59,MIN(Z$6-$G$3,22))),0)))))</f>
        <v>0</v>
      </c>
      <c r="AA61" s="27" t="n">
        <f aca="false">IF(COUNT('Milho 2ª safra'!$E59:$Z59)=0,0,MAX(0,IF((AA$6-$E$3)&lt;1,0,IFERROR(LOOKUP(2,1/('Milho 2ª safra'!$E59:INDEX('Milho 2ª safra'!$E59:$Z59,MIN(AA$6-$E$3,22))&lt;&gt;""),'Milho 2ª safra'!$E59:INDEX('Milho 2ª safra'!$E59:$Z59,MIN(AA$6-$E$3,22))),0))-IF($G$2,0,IF((AA$6-$G$3)&lt;1,0,IFERROR(LOOKUP(2,1/('Milho 2ª safra'!$E59:INDEX('Milho 2ª safra'!$E59:$Z59,MIN(AA$6-$G$3,22))&lt;&gt;""),'Milho 2ª safra'!$E59:INDEX('Milho 2ª safra'!$E59:$Z59,MIN(AA$6-$G$3,22))),0)))))</f>
        <v>0</v>
      </c>
      <c r="AB61" s="27" t="n">
        <f aca="false">IF(COUNT('Milho 2ª safra'!$E59:$Z59)=0,0,MAX(0,IF((AB$6-$E$3)&lt;1,0,IFERROR(LOOKUP(2,1/('Milho 2ª safra'!$E59:INDEX('Milho 2ª safra'!$E59:$Z59,MIN(AB$6-$E$3,22))&lt;&gt;""),'Milho 2ª safra'!$E59:INDEX('Milho 2ª safra'!$E59:$Z59,MIN(AB$6-$E$3,22))),0))-IF($G$2,0,IF((AB$6-$G$3)&lt;1,0,IFERROR(LOOKUP(2,1/('Milho 2ª safra'!$E59:INDEX('Milho 2ª safra'!$E59:$Z59,MIN(AB$6-$G$3,22))&lt;&gt;""),'Milho 2ª safra'!$E59:INDEX('Milho 2ª safra'!$E59:$Z59,MIN(AB$6-$G$3,22))),0)))))</f>
        <v>0</v>
      </c>
      <c r="AC61" s="27" t="n">
        <f aca="false">IF(COUNT('Milho 2ª safra'!$E59:$Z59)=0,0,MAX(0,IF((AC$6-$E$3)&lt;1,0,IFERROR(LOOKUP(2,1/('Milho 2ª safra'!$E59:INDEX('Milho 2ª safra'!$E59:$Z59,MIN(AC$6-$E$3,22))&lt;&gt;""),'Milho 2ª safra'!$E59:INDEX('Milho 2ª safra'!$E59:$Z59,MIN(AC$6-$E$3,22))),0))-IF($G$2,0,IF((AC$6-$G$3)&lt;1,0,IFERROR(LOOKUP(2,1/('Milho 2ª safra'!$E59:INDEX('Milho 2ª safra'!$E59:$Z59,MIN(AC$6-$G$3,22))&lt;&gt;""),'Milho 2ª safra'!$E59:INDEX('Milho 2ª safra'!$E59:$Z59,MIN(AC$6-$G$3,22))),0)))))</f>
        <v>0</v>
      </c>
      <c r="AD61" s="27" t="n">
        <f aca="false">IF(COUNT('Milho 2ª safra'!$E59:$Z59)=0,0,MAX(0,IF((AD$6-$E$3)&lt;1,0,IFERROR(LOOKUP(2,1/('Milho 2ª safra'!$E59:INDEX('Milho 2ª safra'!$E59:$Z59,MIN(AD$6-$E$3,22))&lt;&gt;""),'Milho 2ª safra'!$E59:INDEX('Milho 2ª safra'!$E59:$Z59,MIN(AD$6-$E$3,22))),0))-IF($G$2,0,IF((AD$6-$G$3)&lt;1,0,IFERROR(LOOKUP(2,1/('Milho 2ª safra'!$E59:INDEX('Milho 2ª safra'!$E59:$Z59,MIN(AD$6-$G$3,22))&lt;&gt;""),'Milho 2ª safra'!$E59:INDEX('Milho 2ª safra'!$E59:$Z59,MIN(AD$6-$G$3,22))),0)))))</f>
        <v>0</v>
      </c>
      <c r="AE61" s="27" t="n">
        <f aca="false">IF(COUNT('Milho 2ª safra'!$E59:$Z59)=0,0,MAX(0,IF((AE$6-$E$3)&lt;1,0,IFERROR(LOOKUP(2,1/('Milho 2ª safra'!$E59:INDEX('Milho 2ª safra'!$E59:$Z59,MIN(AE$6-$E$3,22))&lt;&gt;""),'Milho 2ª safra'!$E59:INDEX('Milho 2ª safra'!$E59:$Z59,MIN(AE$6-$E$3,22))),0))-IF($G$2,0,IF((AE$6-$G$3)&lt;1,0,IFERROR(LOOKUP(2,1/('Milho 2ª safra'!$E59:INDEX('Milho 2ª safra'!$E59:$Z59,MIN(AE$6-$G$3,22))&lt;&gt;""),'Milho 2ª safra'!$E59:INDEX('Milho 2ª safra'!$E59:$Z59,MIN(AE$6-$G$3,22))),0)))))</f>
        <v>0</v>
      </c>
      <c r="AF61" s="27" t="n">
        <f aca="false">IF(COUNT('Milho 2ª safra'!$E59:$Z59)=0,0,MAX(0,IF((AF$6-$E$3)&lt;1,0,IFERROR(LOOKUP(2,1/('Milho 2ª safra'!$E59:INDEX('Milho 2ª safra'!$E59:$Z59,MIN(AF$6-$E$3,22))&lt;&gt;""),'Milho 2ª safra'!$E59:INDEX('Milho 2ª safra'!$E59:$Z59,MIN(AF$6-$E$3,22))),0))-IF($G$2,0,IF((AF$6-$G$3)&lt;1,0,IFERROR(LOOKUP(2,1/('Milho 2ª safra'!$E59:INDEX('Milho 2ª safra'!$E59:$Z59,MIN(AF$6-$G$3,22))&lt;&gt;""),'Milho 2ª safra'!$E59:INDEX('Milho 2ª safra'!$E59:$Z59,MIN(AF$6-$G$3,22))),0)))))</f>
        <v>0</v>
      </c>
      <c r="AG61" s="27" t="n">
        <f aca="false">IF(COUNT('Milho 2ª safra'!$E59:$Z59)=0,0,MAX(0,IF((AG$6-$E$3)&lt;1,0,IFERROR(LOOKUP(2,1/('Milho 2ª safra'!$E59:INDEX('Milho 2ª safra'!$E59:$Z59,MIN(AG$6-$E$3,22))&lt;&gt;""),'Milho 2ª safra'!$E59:INDEX('Milho 2ª safra'!$E59:$Z59,MIN(AG$6-$E$3,22))),0))-IF($G$2,0,IF((AG$6-$G$3)&lt;1,0,IFERROR(LOOKUP(2,1/('Milho 2ª safra'!$E59:INDEX('Milho 2ª safra'!$E59:$Z59,MIN(AG$6-$G$3,22))&lt;&gt;""),'Milho 2ª safra'!$E59:INDEX('Milho 2ª safra'!$E59:$Z59,MIN(AG$6-$G$3,22))),0)))))</f>
        <v>0</v>
      </c>
      <c r="AH61" s="27" t="n">
        <f aca="false">IF(COUNT('Milho 2ª safra'!$E59:$Z59)=0,0,MAX(0,IF((AH$6-$E$3)&lt;1,0,IFERROR(LOOKUP(2,1/('Milho 2ª safra'!$E59:INDEX('Milho 2ª safra'!$E59:$Z59,MIN(AH$6-$E$3,22))&lt;&gt;""),'Milho 2ª safra'!$E59:INDEX('Milho 2ª safra'!$E59:$Z59,MIN(AH$6-$E$3,22))),0))-IF($G$2,0,IF((AH$6-$G$3)&lt;1,0,IFERROR(LOOKUP(2,1/('Milho 2ª safra'!$E59:INDEX('Milho 2ª safra'!$E59:$Z59,MIN(AH$6-$G$3,22))&lt;&gt;""),'Milho 2ª safra'!$E59:INDEX('Milho 2ª safra'!$E59:$Z59,MIN(AH$6-$G$3,22))),0)))))</f>
        <v>0</v>
      </c>
      <c r="AI61" s="27" t="n">
        <f aca="false">IF(COUNT('Milho 2ª safra'!$E59:$Z59)=0,0,MAX(0,IF((AI$6-$E$3)&lt;1,0,IFERROR(LOOKUP(2,1/('Milho 2ª safra'!$E59:INDEX('Milho 2ª safra'!$E59:$Z59,MIN(AI$6-$E$3,22))&lt;&gt;""),'Milho 2ª safra'!$E59:INDEX('Milho 2ª safra'!$E59:$Z59,MIN(AI$6-$E$3,22))),0))-IF($G$2,0,IF((AI$6-$G$3)&lt;1,0,IFERROR(LOOKUP(2,1/('Milho 2ª safra'!$E59:INDEX('Milho 2ª safra'!$E59:$Z59,MIN(AI$6-$G$3,22))&lt;&gt;""),'Milho 2ª safra'!$E59:INDEX('Milho 2ª safra'!$E59:$Z59,MIN(AI$6-$G$3,22))),0)))))</f>
        <v>0</v>
      </c>
      <c r="AJ61" s="27" t="n">
        <f aca="false">IF(COUNT('Milho 2ª safra'!$E59:$Z59)=0,0,MAX(0,IF((AJ$6-$E$3)&lt;1,0,IFERROR(LOOKUP(2,1/('Milho 2ª safra'!$E59:INDEX('Milho 2ª safra'!$E59:$Z59,MIN(AJ$6-$E$3,22))&lt;&gt;""),'Milho 2ª safra'!$E59:INDEX('Milho 2ª safra'!$E59:$Z59,MIN(AJ$6-$E$3,22))),0))-IF($G$2,0,IF((AJ$6-$G$3)&lt;1,0,IFERROR(LOOKUP(2,1/('Milho 2ª safra'!$E59:INDEX('Milho 2ª safra'!$E59:$Z59,MIN(AJ$6-$G$3,22))&lt;&gt;""),'Milho 2ª safra'!$E59:INDEX('Milho 2ª safra'!$E59:$Z59,MIN(AJ$6-$G$3,22))),0)))))</f>
        <v>0</v>
      </c>
      <c r="AK61" s="27" t="n">
        <f aca="false">IF(COUNT('Milho 2ª safra'!$E59:$Z59)=0,0,MAX(0,IF((AK$6-$E$3)&lt;1,0,IFERROR(LOOKUP(2,1/('Milho 2ª safra'!$E59:INDEX('Milho 2ª safra'!$E59:$Z59,MIN(AK$6-$E$3,22))&lt;&gt;""),'Milho 2ª safra'!$E59:INDEX('Milho 2ª safra'!$E59:$Z59,MIN(AK$6-$E$3,22))),0))-IF($G$2,0,IF((AK$6-$G$3)&lt;1,0,IFERROR(LOOKUP(2,1/('Milho 2ª safra'!$E59:INDEX('Milho 2ª safra'!$E59:$Z59,MIN(AK$6-$G$3,22))&lt;&gt;""),'Milho 2ª safra'!$E59:INDEX('Milho 2ª safra'!$E59:$Z59,MIN(AK$6-$G$3,22))),0)))))</f>
        <v>0</v>
      </c>
      <c r="AL61" s="27" t="n">
        <f aca="false">IF(COUNT('Milho 2ª safra'!$E59:$Z59)=0,0,MAX(0,IF((AL$6-$E$3)&lt;1,0,IFERROR(LOOKUP(2,1/('Milho 2ª safra'!$E59:INDEX('Milho 2ª safra'!$E59:$Z59,MIN(AL$6-$E$3,22))&lt;&gt;""),'Milho 2ª safra'!$E59:INDEX('Milho 2ª safra'!$E59:$Z59,MIN(AL$6-$E$3,22))),0))-IF($G$2,0,IF((AL$6-$G$3)&lt;1,0,IFERROR(LOOKUP(2,1/('Milho 2ª safra'!$E59:INDEX('Milho 2ª safra'!$E59:$Z59,MIN(AL$6-$G$3,22))&lt;&gt;""),'Milho 2ª safra'!$E59:INDEX('Milho 2ª safra'!$E59:$Z59,MIN(AL$6-$G$3,22))),0)))))</f>
        <v>0</v>
      </c>
      <c r="AM61" s="27" t="n">
        <f aca="false">IF(COUNT('Milho 2ª safra'!$E59:$Z59)=0,0,MAX(0,IF((AM$6-$E$3)&lt;1,0,IFERROR(LOOKUP(2,1/('Milho 2ª safra'!$E59:INDEX('Milho 2ª safra'!$E59:$Z59,MIN(AM$6-$E$3,22))&lt;&gt;""),'Milho 2ª safra'!$E59:INDEX('Milho 2ª safra'!$E59:$Z59,MIN(AM$6-$E$3,22))),0))-IF($G$2,0,IF((AM$6-$G$3)&lt;1,0,IFERROR(LOOKUP(2,1/('Milho 2ª safra'!$E59:INDEX('Milho 2ª safra'!$E59:$Z59,MIN(AM$6-$G$3,22))&lt;&gt;""),'Milho 2ª safra'!$E59:INDEX('Milho 2ª safra'!$E59:$Z59,MIN(AM$6-$G$3,22))),0)))))</f>
        <v>0</v>
      </c>
      <c r="AN61" s="27" t="n">
        <f aca="false">IF(COUNT('Milho 2ª safra'!$E59:$Z59)=0,0,MAX(0,IF((AN$6-$E$3)&lt;1,0,IFERROR(LOOKUP(2,1/('Milho 2ª safra'!$E59:INDEX('Milho 2ª safra'!$E59:$Z59,MIN(AN$6-$E$3,22))&lt;&gt;""),'Milho 2ª safra'!$E59:INDEX('Milho 2ª safra'!$E59:$Z59,MIN(AN$6-$E$3,22))),0))-IF($G$2,0,IF((AN$6-$G$3)&lt;1,0,IFERROR(LOOKUP(2,1/('Milho 2ª safra'!$E59:INDEX('Milho 2ª safra'!$E59:$Z59,MIN(AN$6-$G$3,22))&lt;&gt;""),'Milho 2ª safra'!$E59:INDEX('Milho 2ª safra'!$E59:$Z59,MIN(AN$6-$G$3,22))),0)))))</f>
        <v>0</v>
      </c>
      <c r="AO61" s="27" t="n">
        <f aca="false">IF(COUNT('Milho 2ª safra'!$E59:$Z59)=0,0,MAX(0,IF((AO$6-$E$3)&lt;1,0,IFERROR(LOOKUP(2,1/('Milho 2ª safra'!$E59:INDEX('Milho 2ª safra'!$E59:$Z59,MIN(AO$6-$E$3,22))&lt;&gt;""),'Milho 2ª safra'!$E59:INDEX('Milho 2ª safra'!$E59:$Z59,MIN(AO$6-$E$3,22))),0))-IF($G$2,0,IF((AO$6-$G$3)&lt;1,0,IFERROR(LOOKUP(2,1/('Milho 2ª safra'!$E59:INDEX('Milho 2ª safra'!$E59:$Z59,MIN(AO$6-$G$3,22))&lt;&gt;""),'Milho 2ª safra'!$E59:INDEX('Milho 2ª safra'!$E59:$Z59,MIN(AO$6-$G$3,22))),0)))))</f>
        <v>0</v>
      </c>
      <c r="AP61" s="27" t="n">
        <f aca="false">IF(COUNT('Milho 2ª safra'!$E59:$Z59)=0,0,MAX(0,IF((AP$6-$E$3)&lt;1,0,IFERROR(LOOKUP(2,1/('Milho 2ª safra'!$E59:INDEX('Milho 2ª safra'!$E59:$Z59,MIN(AP$6-$E$3,22))&lt;&gt;""),'Milho 2ª safra'!$E59:INDEX('Milho 2ª safra'!$E59:$Z59,MIN(AP$6-$E$3,22))),0))-IF($G$2,0,IF((AP$6-$G$3)&lt;1,0,IFERROR(LOOKUP(2,1/('Milho 2ª safra'!$E59:INDEX('Milho 2ª safra'!$E59:$Z59,MIN(AP$6-$G$3,22))&lt;&gt;""),'Milho 2ª safra'!$E59:INDEX('Milho 2ª safra'!$E59:$Z59,MIN(AP$6-$G$3,22))),0)))))</f>
        <v>0</v>
      </c>
      <c r="AQ61" s="27" t="n">
        <f aca="false">IF(COUNT('Milho 2ª safra'!$E59:$Z59)=0,0,MAX(0,IF((AQ$6-$E$3)&lt;1,0,IFERROR(LOOKUP(2,1/('Milho 2ª safra'!$E59:INDEX('Milho 2ª safra'!$E59:$Z59,MIN(AQ$6-$E$3,22))&lt;&gt;""),'Milho 2ª safra'!$E59:INDEX('Milho 2ª safra'!$E59:$Z59,MIN(AQ$6-$E$3,22))),0))-IF($G$2,0,IF((AQ$6-$G$3)&lt;1,0,IFERROR(LOOKUP(2,1/('Milho 2ª safra'!$E59:INDEX('Milho 2ª safra'!$E59:$Z59,MIN(AQ$6-$G$3,22))&lt;&gt;""),'Milho 2ª safra'!$E59:INDEX('Milho 2ª safra'!$E59:$Z59,MIN(AQ$6-$G$3,22))),0)))))</f>
        <v>0</v>
      </c>
      <c r="AR61" s="27" t="n">
        <f aca="false">IF(COUNT('Milho 2ª safra'!$E59:$Z59)=0,0,MAX(0,IF((AR$6-$E$3)&lt;1,0,IFERROR(LOOKUP(2,1/('Milho 2ª safra'!$E59:INDEX('Milho 2ª safra'!$E59:$Z59,MIN(AR$6-$E$3,22))&lt;&gt;""),'Milho 2ª safra'!$E59:INDEX('Milho 2ª safra'!$E59:$Z59,MIN(AR$6-$E$3,22))),0))-IF($G$2,0,IF((AR$6-$G$3)&lt;1,0,IFERROR(LOOKUP(2,1/('Milho 2ª safra'!$E59:INDEX('Milho 2ª safra'!$E59:$Z59,MIN(AR$6-$G$3,22))&lt;&gt;""),'Milho 2ª safra'!$E59:INDEX('Milho 2ª safra'!$E59:$Z59,MIN(AR$6-$G$3,22))),0)))))</f>
        <v>0</v>
      </c>
      <c r="AS61" s="27" t="n">
        <f aca="false">IF(COUNT('Milho 2ª safra'!$E59:$Z59)=0,0,MAX(0,IF((AS$6-$E$3)&lt;1,0,IFERROR(LOOKUP(2,1/('Milho 2ª safra'!$E59:INDEX('Milho 2ª safra'!$E59:$Z59,MIN(AS$6-$E$3,22))&lt;&gt;""),'Milho 2ª safra'!$E59:INDEX('Milho 2ª safra'!$E59:$Z59,MIN(AS$6-$E$3,22))),0))-IF($G$2,0,IF((AS$6-$G$3)&lt;1,0,IFERROR(LOOKUP(2,1/('Milho 2ª safra'!$E59:INDEX('Milho 2ª safra'!$E59:$Z59,MIN(AS$6-$G$3,22))&lt;&gt;""),'Milho 2ª safra'!$E59:INDEX('Milho 2ª safra'!$E59:$Z59,MIN(AS$6-$G$3,22))),0)))))</f>
        <v>0</v>
      </c>
      <c r="AT61" s="27" t="n">
        <f aca="false">IF(COUNT('Milho 2ª safra'!$E59:$Z59)=0,0,MAX(0,IF((AT$6-$E$3)&lt;1,0,IFERROR(LOOKUP(2,1/('Milho 2ª safra'!$E59:INDEX('Milho 2ª safra'!$E59:$Z59,MIN(AT$6-$E$3,22))&lt;&gt;""),'Milho 2ª safra'!$E59:INDEX('Milho 2ª safra'!$E59:$Z59,MIN(AT$6-$E$3,22))),0))-IF($G$2,0,IF((AT$6-$G$3)&lt;1,0,IFERROR(LOOKUP(2,1/('Milho 2ª safra'!$E59:INDEX('Milho 2ª safra'!$E59:$Z59,MIN(AT$6-$G$3,22))&lt;&gt;""),'Milho 2ª safra'!$E59:INDEX('Milho 2ª safra'!$E59:$Z59,MIN(AT$6-$G$3,22))),0)))))</f>
        <v>0</v>
      </c>
      <c r="AU61" s="27" t="n">
        <f aca="false">IF(COUNT('Milho 2ª safra'!$E59:$Z59)=0,0,MAX(0,IF((AU$6-$E$3)&lt;1,0,IFERROR(LOOKUP(2,1/('Milho 2ª safra'!$E59:INDEX('Milho 2ª safra'!$E59:$Z59,MIN(AU$6-$E$3,22))&lt;&gt;""),'Milho 2ª safra'!$E59:INDEX('Milho 2ª safra'!$E59:$Z59,MIN(AU$6-$E$3,22))),0))-IF($G$2,0,IF((AU$6-$G$3)&lt;1,0,IFERROR(LOOKUP(2,1/('Milho 2ª safra'!$E59:INDEX('Milho 2ª safra'!$E59:$Z59,MIN(AU$6-$G$3,22))&lt;&gt;""),'Milho 2ª safra'!$E59:INDEX('Milho 2ª safra'!$E59:$Z59,MIN(AU$6-$G$3,22))),0)))))</f>
        <v>0</v>
      </c>
      <c r="AV61" s="27" t="n">
        <f aca="false">IF(COUNT('Milho 2ª safra'!$E59:$Z59)=0,0,MAX(0,IF((AV$6-$E$3)&lt;1,0,IFERROR(LOOKUP(2,1/('Milho 2ª safra'!$E59:INDEX('Milho 2ª safra'!$E59:$Z59,MIN(AV$6-$E$3,22))&lt;&gt;""),'Milho 2ª safra'!$E59:INDEX('Milho 2ª safra'!$E59:$Z59,MIN(AV$6-$E$3,22))),0))-IF($G$2,0,IF((AV$6-$G$3)&lt;1,0,IFERROR(LOOKUP(2,1/('Milho 2ª safra'!$E59:INDEX('Milho 2ª safra'!$E59:$Z59,MIN(AV$6-$G$3,22))&lt;&gt;""),'Milho 2ª safra'!$E59:INDEX('Milho 2ª safra'!$E59:$Z59,MIN(AV$6-$G$3,22))),0)))))</f>
        <v>0</v>
      </c>
      <c r="AW61" s="27" t="n">
        <f aca="false">IF(COUNT('Milho 2ª safra'!$E59:$Z59)=0,0,MAX(0,IF((AW$6-$E$3)&lt;1,0,IFERROR(LOOKUP(2,1/('Milho 2ª safra'!$E59:INDEX('Milho 2ª safra'!$E59:$Z59,MIN(AW$6-$E$3,22))&lt;&gt;""),'Milho 2ª safra'!$E59:INDEX('Milho 2ª safra'!$E59:$Z59,MIN(AW$6-$E$3,22))),0))-IF($G$2,0,IF((AW$6-$G$3)&lt;1,0,IFERROR(LOOKUP(2,1/('Milho 2ª safra'!$E59:INDEX('Milho 2ª safra'!$E59:$Z59,MIN(AW$6-$G$3,22))&lt;&gt;""),'Milho 2ª safra'!$E59:INDEX('Milho 2ª safra'!$E59:$Z59,MIN(AW$6-$G$3,22))),0)))))</f>
        <v>0</v>
      </c>
      <c r="AX61" s="27" t="n">
        <f aca="false">IF(COUNT('Milho 2ª safra'!$E59:$Z59)=0,0,MAX(0,IF((AX$6-$E$3)&lt;1,0,IFERROR(LOOKUP(2,1/('Milho 2ª safra'!$E59:INDEX('Milho 2ª safra'!$E59:$Z59,MIN(AX$6-$E$3,22))&lt;&gt;""),'Milho 2ª safra'!$E59:INDEX('Milho 2ª safra'!$E59:$Z59,MIN(AX$6-$E$3,22))),0))-IF($G$2,0,IF((AX$6-$G$3)&lt;1,0,IFERROR(LOOKUP(2,1/('Milho 2ª safra'!$E59:INDEX('Milho 2ª safra'!$E59:$Z59,MIN(AX$6-$G$3,22))&lt;&gt;""),'Milho 2ª safra'!$E59:INDEX('Milho 2ª safra'!$E59:$Z59,MIN(AX$6-$G$3,22))),0)))))</f>
        <v>0</v>
      </c>
      <c r="AY61" s="27" t="n">
        <f aca="false">IF(COUNT('Milho 2ª safra'!$E59:$Z59)=0,0,MAX(0,IF((AY$6-$E$3)&lt;1,0,IFERROR(LOOKUP(2,1/('Milho 2ª safra'!$E59:INDEX('Milho 2ª safra'!$E59:$Z59,MIN(AY$6-$E$3,22))&lt;&gt;""),'Milho 2ª safra'!$E59:INDEX('Milho 2ª safra'!$E59:$Z59,MIN(AY$6-$E$3,22))),0))-IF($G$2,0,IF((AY$6-$G$3)&lt;1,0,IFERROR(LOOKUP(2,1/('Milho 2ª safra'!$E59:INDEX('Milho 2ª safra'!$E59:$Z59,MIN(AY$6-$G$3,22))&lt;&gt;""),'Milho 2ª safra'!$E59:INDEX('Milho 2ª safra'!$E59:$Z59,MIN(AY$6-$G$3,22))),0)))))</f>
        <v>0</v>
      </c>
      <c r="AZ61" s="27" t="n">
        <f aca="false">IF(COUNT('Milho 2ª safra'!$E59:$Z59)=0,0,MAX(0,IF((AZ$6-$E$3)&lt;1,0,IFERROR(LOOKUP(2,1/('Milho 2ª safra'!$E59:INDEX('Milho 2ª safra'!$E59:$Z59,MIN(AZ$6-$E$3,22))&lt;&gt;""),'Milho 2ª safra'!$E59:INDEX('Milho 2ª safra'!$E59:$Z59,MIN(AZ$6-$E$3,22))),0))-IF($G$2,0,IF((AZ$6-$G$3)&lt;1,0,IFERROR(LOOKUP(2,1/('Milho 2ª safra'!$E59:INDEX('Milho 2ª safra'!$E59:$Z59,MIN(AZ$6-$G$3,22))&lt;&gt;""),'Milho 2ª safra'!$E59:INDEX('Milho 2ª safra'!$E59:$Z59,MIN(AZ$6-$G$3,22))),0)))))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IF(COUNT('Milho 2ª safra'!$E60:$Z60)&gt;0,N('Milho 2ª safra'!$D60),0)</f>
        <v>0</v>
      </c>
      <c r="E62" s="27" t="n">
        <f aca="false">IF(COUNT('Milho 2ª safra'!$E60:$Z60)=0,0,MAX(0,IF((E$6-$E$3)&lt;1,0,IFERROR(LOOKUP(2,1/('Milho 2ª safra'!$E60:INDEX('Milho 2ª safra'!$E60:$Z60,MIN(E$6-$E$3,22))&lt;&gt;""),'Milho 2ª safra'!$E60:INDEX('Milho 2ª safra'!$E60:$Z60,MIN(E$6-$E$3,22))),0))-IF($G$2,0,IF((E$6-$G$3)&lt;1,0,IFERROR(LOOKUP(2,1/('Milho 2ª safra'!$E60:INDEX('Milho 2ª safra'!$E60:$Z60,MIN(E$6-$G$3,22))&lt;&gt;""),'Milho 2ª safra'!$E60:INDEX('Milho 2ª safra'!$E60:$Z60,MIN(E$6-$G$3,22))),0)))))</f>
        <v>0</v>
      </c>
      <c r="F62" s="27" t="n">
        <f aca="false">IF(COUNT('Milho 2ª safra'!$E60:$Z60)=0,0,MAX(0,IF((F$6-$E$3)&lt;1,0,IFERROR(LOOKUP(2,1/('Milho 2ª safra'!$E60:INDEX('Milho 2ª safra'!$E60:$Z60,MIN(F$6-$E$3,22))&lt;&gt;""),'Milho 2ª safra'!$E60:INDEX('Milho 2ª safra'!$E60:$Z60,MIN(F$6-$E$3,22))),0))-IF($G$2,0,IF((F$6-$G$3)&lt;1,0,IFERROR(LOOKUP(2,1/('Milho 2ª safra'!$E60:INDEX('Milho 2ª safra'!$E60:$Z60,MIN(F$6-$G$3,22))&lt;&gt;""),'Milho 2ª safra'!$E60:INDEX('Milho 2ª safra'!$E60:$Z60,MIN(F$6-$G$3,22))),0)))))</f>
        <v>0</v>
      </c>
      <c r="G62" s="27" t="n">
        <f aca="false">IF(COUNT('Milho 2ª safra'!$E60:$Z60)=0,0,MAX(0,IF((G$6-$E$3)&lt;1,0,IFERROR(LOOKUP(2,1/('Milho 2ª safra'!$E60:INDEX('Milho 2ª safra'!$E60:$Z60,MIN(G$6-$E$3,22))&lt;&gt;""),'Milho 2ª safra'!$E60:INDEX('Milho 2ª safra'!$E60:$Z60,MIN(G$6-$E$3,22))),0))-IF($G$2,0,IF((G$6-$G$3)&lt;1,0,IFERROR(LOOKUP(2,1/('Milho 2ª safra'!$E60:INDEX('Milho 2ª safra'!$E60:$Z60,MIN(G$6-$G$3,22))&lt;&gt;""),'Milho 2ª safra'!$E60:INDEX('Milho 2ª safra'!$E60:$Z60,MIN(G$6-$G$3,22))),0)))))</f>
        <v>0</v>
      </c>
      <c r="H62" s="27" t="n">
        <f aca="false">IF(COUNT('Milho 2ª safra'!$E60:$Z60)=0,0,MAX(0,IF((H$6-$E$3)&lt;1,0,IFERROR(LOOKUP(2,1/('Milho 2ª safra'!$E60:INDEX('Milho 2ª safra'!$E60:$Z60,MIN(H$6-$E$3,22))&lt;&gt;""),'Milho 2ª safra'!$E60:INDEX('Milho 2ª safra'!$E60:$Z60,MIN(H$6-$E$3,22))),0))-IF($G$2,0,IF((H$6-$G$3)&lt;1,0,IFERROR(LOOKUP(2,1/('Milho 2ª safra'!$E60:INDEX('Milho 2ª safra'!$E60:$Z60,MIN(H$6-$G$3,22))&lt;&gt;""),'Milho 2ª safra'!$E60:INDEX('Milho 2ª safra'!$E60:$Z60,MIN(H$6-$G$3,22))),0)))))</f>
        <v>0</v>
      </c>
      <c r="I62" s="27" t="n">
        <f aca="false">IF(COUNT('Milho 2ª safra'!$E60:$Z60)=0,0,MAX(0,IF((I$6-$E$3)&lt;1,0,IFERROR(LOOKUP(2,1/('Milho 2ª safra'!$E60:INDEX('Milho 2ª safra'!$E60:$Z60,MIN(I$6-$E$3,22))&lt;&gt;""),'Milho 2ª safra'!$E60:INDEX('Milho 2ª safra'!$E60:$Z60,MIN(I$6-$E$3,22))),0))-IF($G$2,0,IF((I$6-$G$3)&lt;1,0,IFERROR(LOOKUP(2,1/('Milho 2ª safra'!$E60:INDEX('Milho 2ª safra'!$E60:$Z60,MIN(I$6-$G$3,22))&lt;&gt;""),'Milho 2ª safra'!$E60:INDEX('Milho 2ª safra'!$E60:$Z60,MIN(I$6-$G$3,22))),0)))))</f>
        <v>0</v>
      </c>
      <c r="J62" s="27" t="n">
        <f aca="false">IF(COUNT('Milho 2ª safra'!$E60:$Z60)=0,0,MAX(0,IF((J$6-$E$3)&lt;1,0,IFERROR(LOOKUP(2,1/('Milho 2ª safra'!$E60:INDEX('Milho 2ª safra'!$E60:$Z60,MIN(J$6-$E$3,22))&lt;&gt;""),'Milho 2ª safra'!$E60:INDEX('Milho 2ª safra'!$E60:$Z60,MIN(J$6-$E$3,22))),0))-IF($G$2,0,IF((J$6-$G$3)&lt;1,0,IFERROR(LOOKUP(2,1/('Milho 2ª safra'!$E60:INDEX('Milho 2ª safra'!$E60:$Z60,MIN(J$6-$G$3,22))&lt;&gt;""),'Milho 2ª safra'!$E60:INDEX('Milho 2ª safra'!$E60:$Z60,MIN(J$6-$G$3,22))),0)))))</f>
        <v>0</v>
      </c>
      <c r="K62" s="27" t="n">
        <f aca="false">IF(COUNT('Milho 2ª safra'!$E60:$Z60)=0,0,MAX(0,IF((K$6-$E$3)&lt;1,0,IFERROR(LOOKUP(2,1/('Milho 2ª safra'!$E60:INDEX('Milho 2ª safra'!$E60:$Z60,MIN(K$6-$E$3,22))&lt;&gt;""),'Milho 2ª safra'!$E60:INDEX('Milho 2ª safra'!$E60:$Z60,MIN(K$6-$E$3,22))),0))-IF($G$2,0,IF((K$6-$G$3)&lt;1,0,IFERROR(LOOKUP(2,1/('Milho 2ª safra'!$E60:INDEX('Milho 2ª safra'!$E60:$Z60,MIN(K$6-$G$3,22))&lt;&gt;""),'Milho 2ª safra'!$E60:INDEX('Milho 2ª safra'!$E60:$Z60,MIN(K$6-$G$3,22))),0)))))</f>
        <v>0</v>
      </c>
      <c r="L62" s="27" t="n">
        <f aca="false">IF(COUNT('Milho 2ª safra'!$E60:$Z60)=0,0,MAX(0,IF((L$6-$E$3)&lt;1,0,IFERROR(LOOKUP(2,1/('Milho 2ª safra'!$E60:INDEX('Milho 2ª safra'!$E60:$Z60,MIN(L$6-$E$3,22))&lt;&gt;""),'Milho 2ª safra'!$E60:INDEX('Milho 2ª safra'!$E60:$Z60,MIN(L$6-$E$3,22))),0))-IF($G$2,0,IF((L$6-$G$3)&lt;1,0,IFERROR(LOOKUP(2,1/('Milho 2ª safra'!$E60:INDEX('Milho 2ª safra'!$E60:$Z60,MIN(L$6-$G$3,22))&lt;&gt;""),'Milho 2ª safra'!$E60:INDEX('Milho 2ª safra'!$E60:$Z60,MIN(L$6-$G$3,22))),0)))))</f>
        <v>0</v>
      </c>
      <c r="M62" s="27" t="n">
        <f aca="false">IF(COUNT('Milho 2ª safra'!$E60:$Z60)=0,0,MAX(0,IF((M$6-$E$3)&lt;1,0,IFERROR(LOOKUP(2,1/('Milho 2ª safra'!$E60:INDEX('Milho 2ª safra'!$E60:$Z60,MIN(M$6-$E$3,22))&lt;&gt;""),'Milho 2ª safra'!$E60:INDEX('Milho 2ª safra'!$E60:$Z60,MIN(M$6-$E$3,22))),0))-IF($G$2,0,IF((M$6-$G$3)&lt;1,0,IFERROR(LOOKUP(2,1/('Milho 2ª safra'!$E60:INDEX('Milho 2ª safra'!$E60:$Z60,MIN(M$6-$G$3,22))&lt;&gt;""),'Milho 2ª safra'!$E60:INDEX('Milho 2ª safra'!$E60:$Z60,MIN(M$6-$G$3,22))),0)))))</f>
        <v>0</v>
      </c>
      <c r="N62" s="27" t="n">
        <f aca="false">IF(COUNT('Milho 2ª safra'!$E60:$Z60)=0,0,MAX(0,IF((N$6-$E$3)&lt;1,0,IFERROR(LOOKUP(2,1/('Milho 2ª safra'!$E60:INDEX('Milho 2ª safra'!$E60:$Z60,MIN(N$6-$E$3,22))&lt;&gt;""),'Milho 2ª safra'!$E60:INDEX('Milho 2ª safra'!$E60:$Z60,MIN(N$6-$E$3,22))),0))-IF($G$2,0,IF((N$6-$G$3)&lt;1,0,IFERROR(LOOKUP(2,1/('Milho 2ª safra'!$E60:INDEX('Milho 2ª safra'!$E60:$Z60,MIN(N$6-$G$3,22))&lt;&gt;""),'Milho 2ª safra'!$E60:INDEX('Milho 2ª safra'!$E60:$Z60,MIN(N$6-$G$3,22))),0)))))</f>
        <v>0</v>
      </c>
      <c r="O62" s="27" t="n">
        <f aca="false">IF(COUNT('Milho 2ª safra'!$E60:$Z60)=0,0,MAX(0,IF((O$6-$E$3)&lt;1,0,IFERROR(LOOKUP(2,1/('Milho 2ª safra'!$E60:INDEX('Milho 2ª safra'!$E60:$Z60,MIN(O$6-$E$3,22))&lt;&gt;""),'Milho 2ª safra'!$E60:INDEX('Milho 2ª safra'!$E60:$Z60,MIN(O$6-$E$3,22))),0))-IF($G$2,0,IF((O$6-$G$3)&lt;1,0,IFERROR(LOOKUP(2,1/('Milho 2ª safra'!$E60:INDEX('Milho 2ª safra'!$E60:$Z60,MIN(O$6-$G$3,22))&lt;&gt;""),'Milho 2ª safra'!$E60:INDEX('Milho 2ª safra'!$E60:$Z60,MIN(O$6-$G$3,22))),0)))))</f>
        <v>0</v>
      </c>
      <c r="P62" s="27" t="n">
        <f aca="false">IF(COUNT('Milho 2ª safra'!$E60:$Z60)=0,0,MAX(0,IF((P$6-$E$3)&lt;1,0,IFERROR(LOOKUP(2,1/('Milho 2ª safra'!$E60:INDEX('Milho 2ª safra'!$E60:$Z60,MIN(P$6-$E$3,22))&lt;&gt;""),'Milho 2ª safra'!$E60:INDEX('Milho 2ª safra'!$E60:$Z60,MIN(P$6-$E$3,22))),0))-IF($G$2,0,IF((P$6-$G$3)&lt;1,0,IFERROR(LOOKUP(2,1/('Milho 2ª safra'!$E60:INDEX('Milho 2ª safra'!$E60:$Z60,MIN(P$6-$G$3,22))&lt;&gt;""),'Milho 2ª safra'!$E60:INDEX('Milho 2ª safra'!$E60:$Z60,MIN(P$6-$G$3,22))),0)))))</f>
        <v>0</v>
      </c>
      <c r="Q62" s="27" t="n">
        <f aca="false">IF(COUNT('Milho 2ª safra'!$E60:$Z60)=0,0,MAX(0,IF((Q$6-$E$3)&lt;1,0,IFERROR(LOOKUP(2,1/('Milho 2ª safra'!$E60:INDEX('Milho 2ª safra'!$E60:$Z60,MIN(Q$6-$E$3,22))&lt;&gt;""),'Milho 2ª safra'!$E60:INDEX('Milho 2ª safra'!$E60:$Z60,MIN(Q$6-$E$3,22))),0))-IF($G$2,0,IF((Q$6-$G$3)&lt;1,0,IFERROR(LOOKUP(2,1/('Milho 2ª safra'!$E60:INDEX('Milho 2ª safra'!$E60:$Z60,MIN(Q$6-$G$3,22))&lt;&gt;""),'Milho 2ª safra'!$E60:INDEX('Milho 2ª safra'!$E60:$Z60,MIN(Q$6-$G$3,22))),0)))))</f>
        <v>0</v>
      </c>
      <c r="R62" s="27" t="n">
        <f aca="false">IF(COUNT('Milho 2ª safra'!$E60:$Z60)=0,0,MAX(0,IF((R$6-$E$3)&lt;1,0,IFERROR(LOOKUP(2,1/('Milho 2ª safra'!$E60:INDEX('Milho 2ª safra'!$E60:$Z60,MIN(R$6-$E$3,22))&lt;&gt;""),'Milho 2ª safra'!$E60:INDEX('Milho 2ª safra'!$E60:$Z60,MIN(R$6-$E$3,22))),0))-IF($G$2,0,IF((R$6-$G$3)&lt;1,0,IFERROR(LOOKUP(2,1/('Milho 2ª safra'!$E60:INDEX('Milho 2ª safra'!$E60:$Z60,MIN(R$6-$G$3,22))&lt;&gt;""),'Milho 2ª safra'!$E60:INDEX('Milho 2ª safra'!$E60:$Z60,MIN(R$6-$G$3,22))),0)))))</f>
        <v>0</v>
      </c>
      <c r="S62" s="27" t="n">
        <f aca="false">IF(COUNT('Milho 2ª safra'!$E60:$Z60)=0,0,MAX(0,IF((S$6-$E$3)&lt;1,0,IFERROR(LOOKUP(2,1/('Milho 2ª safra'!$E60:INDEX('Milho 2ª safra'!$E60:$Z60,MIN(S$6-$E$3,22))&lt;&gt;""),'Milho 2ª safra'!$E60:INDEX('Milho 2ª safra'!$E60:$Z60,MIN(S$6-$E$3,22))),0))-IF($G$2,0,IF((S$6-$G$3)&lt;1,0,IFERROR(LOOKUP(2,1/('Milho 2ª safra'!$E60:INDEX('Milho 2ª safra'!$E60:$Z60,MIN(S$6-$G$3,22))&lt;&gt;""),'Milho 2ª safra'!$E60:INDEX('Milho 2ª safra'!$E60:$Z60,MIN(S$6-$G$3,22))),0)))))</f>
        <v>0</v>
      </c>
      <c r="T62" s="27" t="n">
        <f aca="false">IF(COUNT('Milho 2ª safra'!$E60:$Z60)=0,0,MAX(0,IF((T$6-$E$3)&lt;1,0,IFERROR(LOOKUP(2,1/('Milho 2ª safra'!$E60:INDEX('Milho 2ª safra'!$E60:$Z60,MIN(T$6-$E$3,22))&lt;&gt;""),'Milho 2ª safra'!$E60:INDEX('Milho 2ª safra'!$E60:$Z60,MIN(T$6-$E$3,22))),0))-IF($G$2,0,IF((T$6-$G$3)&lt;1,0,IFERROR(LOOKUP(2,1/('Milho 2ª safra'!$E60:INDEX('Milho 2ª safra'!$E60:$Z60,MIN(T$6-$G$3,22))&lt;&gt;""),'Milho 2ª safra'!$E60:INDEX('Milho 2ª safra'!$E60:$Z60,MIN(T$6-$G$3,22))),0)))))</f>
        <v>0</v>
      </c>
      <c r="U62" s="27" t="n">
        <f aca="false">IF(COUNT('Milho 2ª safra'!$E60:$Z60)=0,0,MAX(0,IF((U$6-$E$3)&lt;1,0,IFERROR(LOOKUP(2,1/('Milho 2ª safra'!$E60:INDEX('Milho 2ª safra'!$E60:$Z60,MIN(U$6-$E$3,22))&lt;&gt;""),'Milho 2ª safra'!$E60:INDEX('Milho 2ª safra'!$E60:$Z60,MIN(U$6-$E$3,22))),0))-IF($G$2,0,IF((U$6-$G$3)&lt;1,0,IFERROR(LOOKUP(2,1/('Milho 2ª safra'!$E60:INDEX('Milho 2ª safra'!$E60:$Z60,MIN(U$6-$G$3,22))&lt;&gt;""),'Milho 2ª safra'!$E60:INDEX('Milho 2ª safra'!$E60:$Z60,MIN(U$6-$G$3,22))),0)))))</f>
        <v>0</v>
      </c>
      <c r="V62" s="27" t="n">
        <f aca="false">IF(COUNT('Milho 2ª safra'!$E60:$Z60)=0,0,MAX(0,IF((V$6-$E$3)&lt;1,0,IFERROR(LOOKUP(2,1/('Milho 2ª safra'!$E60:INDEX('Milho 2ª safra'!$E60:$Z60,MIN(V$6-$E$3,22))&lt;&gt;""),'Milho 2ª safra'!$E60:INDEX('Milho 2ª safra'!$E60:$Z60,MIN(V$6-$E$3,22))),0))-IF($G$2,0,IF((V$6-$G$3)&lt;1,0,IFERROR(LOOKUP(2,1/('Milho 2ª safra'!$E60:INDEX('Milho 2ª safra'!$E60:$Z60,MIN(V$6-$G$3,22))&lt;&gt;""),'Milho 2ª safra'!$E60:INDEX('Milho 2ª safra'!$E60:$Z60,MIN(V$6-$G$3,22))),0)))))</f>
        <v>0</v>
      </c>
      <c r="W62" s="27" t="n">
        <f aca="false">IF(COUNT('Milho 2ª safra'!$E60:$Z60)=0,0,MAX(0,IF((W$6-$E$3)&lt;1,0,IFERROR(LOOKUP(2,1/('Milho 2ª safra'!$E60:INDEX('Milho 2ª safra'!$E60:$Z60,MIN(W$6-$E$3,22))&lt;&gt;""),'Milho 2ª safra'!$E60:INDEX('Milho 2ª safra'!$E60:$Z60,MIN(W$6-$E$3,22))),0))-IF($G$2,0,IF((W$6-$G$3)&lt;1,0,IFERROR(LOOKUP(2,1/('Milho 2ª safra'!$E60:INDEX('Milho 2ª safra'!$E60:$Z60,MIN(W$6-$G$3,22))&lt;&gt;""),'Milho 2ª safra'!$E60:INDEX('Milho 2ª safra'!$E60:$Z60,MIN(W$6-$G$3,22))),0)))))</f>
        <v>0</v>
      </c>
      <c r="X62" s="27" t="n">
        <f aca="false">IF(COUNT('Milho 2ª safra'!$E60:$Z60)=0,0,MAX(0,IF((X$6-$E$3)&lt;1,0,IFERROR(LOOKUP(2,1/('Milho 2ª safra'!$E60:INDEX('Milho 2ª safra'!$E60:$Z60,MIN(X$6-$E$3,22))&lt;&gt;""),'Milho 2ª safra'!$E60:INDEX('Milho 2ª safra'!$E60:$Z60,MIN(X$6-$E$3,22))),0))-IF($G$2,0,IF((X$6-$G$3)&lt;1,0,IFERROR(LOOKUP(2,1/('Milho 2ª safra'!$E60:INDEX('Milho 2ª safra'!$E60:$Z60,MIN(X$6-$G$3,22))&lt;&gt;""),'Milho 2ª safra'!$E60:INDEX('Milho 2ª safra'!$E60:$Z60,MIN(X$6-$G$3,22))),0)))))</f>
        <v>0</v>
      </c>
      <c r="Y62" s="27" t="n">
        <f aca="false">IF(COUNT('Milho 2ª safra'!$E60:$Z60)=0,0,MAX(0,IF((Y$6-$E$3)&lt;1,0,IFERROR(LOOKUP(2,1/('Milho 2ª safra'!$E60:INDEX('Milho 2ª safra'!$E60:$Z60,MIN(Y$6-$E$3,22))&lt;&gt;""),'Milho 2ª safra'!$E60:INDEX('Milho 2ª safra'!$E60:$Z60,MIN(Y$6-$E$3,22))),0))-IF($G$2,0,IF((Y$6-$G$3)&lt;1,0,IFERROR(LOOKUP(2,1/('Milho 2ª safra'!$E60:INDEX('Milho 2ª safra'!$E60:$Z60,MIN(Y$6-$G$3,22))&lt;&gt;""),'Milho 2ª safra'!$E60:INDEX('Milho 2ª safra'!$E60:$Z60,MIN(Y$6-$G$3,22))),0)))))</f>
        <v>0</v>
      </c>
      <c r="Z62" s="27" t="n">
        <f aca="false">IF(COUNT('Milho 2ª safra'!$E60:$Z60)=0,0,MAX(0,IF((Z$6-$E$3)&lt;1,0,IFERROR(LOOKUP(2,1/('Milho 2ª safra'!$E60:INDEX('Milho 2ª safra'!$E60:$Z60,MIN(Z$6-$E$3,22))&lt;&gt;""),'Milho 2ª safra'!$E60:INDEX('Milho 2ª safra'!$E60:$Z60,MIN(Z$6-$E$3,22))),0))-IF($G$2,0,IF((Z$6-$G$3)&lt;1,0,IFERROR(LOOKUP(2,1/('Milho 2ª safra'!$E60:INDEX('Milho 2ª safra'!$E60:$Z60,MIN(Z$6-$G$3,22))&lt;&gt;""),'Milho 2ª safra'!$E60:INDEX('Milho 2ª safra'!$E60:$Z60,MIN(Z$6-$G$3,22))),0)))))</f>
        <v>0</v>
      </c>
      <c r="AA62" s="27" t="n">
        <f aca="false">IF(COUNT('Milho 2ª safra'!$E60:$Z60)=0,0,MAX(0,IF((AA$6-$E$3)&lt;1,0,IFERROR(LOOKUP(2,1/('Milho 2ª safra'!$E60:INDEX('Milho 2ª safra'!$E60:$Z60,MIN(AA$6-$E$3,22))&lt;&gt;""),'Milho 2ª safra'!$E60:INDEX('Milho 2ª safra'!$E60:$Z60,MIN(AA$6-$E$3,22))),0))-IF($G$2,0,IF((AA$6-$G$3)&lt;1,0,IFERROR(LOOKUP(2,1/('Milho 2ª safra'!$E60:INDEX('Milho 2ª safra'!$E60:$Z60,MIN(AA$6-$G$3,22))&lt;&gt;""),'Milho 2ª safra'!$E60:INDEX('Milho 2ª safra'!$E60:$Z60,MIN(AA$6-$G$3,22))),0)))))</f>
        <v>0</v>
      </c>
      <c r="AB62" s="27" t="n">
        <f aca="false">IF(COUNT('Milho 2ª safra'!$E60:$Z60)=0,0,MAX(0,IF((AB$6-$E$3)&lt;1,0,IFERROR(LOOKUP(2,1/('Milho 2ª safra'!$E60:INDEX('Milho 2ª safra'!$E60:$Z60,MIN(AB$6-$E$3,22))&lt;&gt;""),'Milho 2ª safra'!$E60:INDEX('Milho 2ª safra'!$E60:$Z60,MIN(AB$6-$E$3,22))),0))-IF($G$2,0,IF((AB$6-$G$3)&lt;1,0,IFERROR(LOOKUP(2,1/('Milho 2ª safra'!$E60:INDEX('Milho 2ª safra'!$E60:$Z60,MIN(AB$6-$G$3,22))&lt;&gt;""),'Milho 2ª safra'!$E60:INDEX('Milho 2ª safra'!$E60:$Z60,MIN(AB$6-$G$3,22))),0)))))</f>
        <v>0</v>
      </c>
      <c r="AC62" s="27" t="n">
        <f aca="false">IF(COUNT('Milho 2ª safra'!$E60:$Z60)=0,0,MAX(0,IF((AC$6-$E$3)&lt;1,0,IFERROR(LOOKUP(2,1/('Milho 2ª safra'!$E60:INDEX('Milho 2ª safra'!$E60:$Z60,MIN(AC$6-$E$3,22))&lt;&gt;""),'Milho 2ª safra'!$E60:INDEX('Milho 2ª safra'!$E60:$Z60,MIN(AC$6-$E$3,22))),0))-IF($G$2,0,IF((AC$6-$G$3)&lt;1,0,IFERROR(LOOKUP(2,1/('Milho 2ª safra'!$E60:INDEX('Milho 2ª safra'!$E60:$Z60,MIN(AC$6-$G$3,22))&lt;&gt;""),'Milho 2ª safra'!$E60:INDEX('Milho 2ª safra'!$E60:$Z60,MIN(AC$6-$G$3,22))),0)))))</f>
        <v>0</v>
      </c>
      <c r="AD62" s="27" t="n">
        <f aca="false">IF(COUNT('Milho 2ª safra'!$E60:$Z60)=0,0,MAX(0,IF((AD$6-$E$3)&lt;1,0,IFERROR(LOOKUP(2,1/('Milho 2ª safra'!$E60:INDEX('Milho 2ª safra'!$E60:$Z60,MIN(AD$6-$E$3,22))&lt;&gt;""),'Milho 2ª safra'!$E60:INDEX('Milho 2ª safra'!$E60:$Z60,MIN(AD$6-$E$3,22))),0))-IF($G$2,0,IF((AD$6-$G$3)&lt;1,0,IFERROR(LOOKUP(2,1/('Milho 2ª safra'!$E60:INDEX('Milho 2ª safra'!$E60:$Z60,MIN(AD$6-$G$3,22))&lt;&gt;""),'Milho 2ª safra'!$E60:INDEX('Milho 2ª safra'!$E60:$Z60,MIN(AD$6-$G$3,22))),0)))))</f>
        <v>0</v>
      </c>
      <c r="AE62" s="27" t="n">
        <f aca="false">IF(COUNT('Milho 2ª safra'!$E60:$Z60)=0,0,MAX(0,IF((AE$6-$E$3)&lt;1,0,IFERROR(LOOKUP(2,1/('Milho 2ª safra'!$E60:INDEX('Milho 2ª safra'!$E60:$Z60,MIN(AE$6-$E$3,22))&lt;&gt;""),'Milho 2ª safra'!$E60:INDEX('Milho 2ª safra'!$E60:$Z60,MIN(AE$6-$E$3,22))),0))-IF($G$2,0,IF((AE$6-$G$3)&lt;1,0,IFERROR(LOOKUP(2,1/('Milho 2ª safra'!$E60:INDEX('Milho 2ª safra'!$E60:$Z60,MIN(AE$6-$G$3,22))&lt;&gt;""),'Milho 2ª safra'!$E60:INDEX('Milho 2ª safra'!$E60:$Z60,MIN(AE$6-$G$3,22))),0)))))</f>
        <v>0</v>
      </c>
      <c r="AF62" s="27" t="n">
        <f aca="false">IF(COUNT('Milho 2ª safra'!$E60:$Z60)=0,0,MAX(0,IF((AF$6-$E$3)&lt;1,0,IFERROR(LOOKUP(2,1/('Milho 2ª safra'!$E60:INDEX('Milho 2ª safra'!$E60:$Z60,MIN(AF$6-$E$3,22))&lt;&gt;""),'Milho 2ª safra'!$E60:INDEX('Milho 2ª safra'!$E60:$Z60,MIN(AF$6-$E$3,22))),0))-IF($G$2,0,IF((AF$6-$G$3)&lt;1,0,IFERROR(LOOKUP(2,1/('Milho 2ª safra'!$E60:INDEX('Milho 2ª safra'!$E60:$Z60,MIN(AF$6-$G$3,22))&lt;&gt;""),'Milho 2ª safra'!$E60:INDEX('Milho 2ª safra'!$E60:$Z60,MIN(AF$6-$G$3,22))),0)))))</f>
        <v>0</v>
      </c>
      <c r="AG62" s="27" t="n">
        <f aca="false">IF(COUNT('Milho 2ª safra'!$E60:$Z60)=0,0,MAX(0,IF((AG$6-$E$3)&lt;1,0,IFERROR(LOOKUP(2,1/('Milho 2ª safra'!$E60:INDEX('Milho 2ª safra'!$E60:$Z60,MIN(AG$6-$E$3,22))&lt;&gt;""),'Milho 2ª safra'!$E60:INDEX('Milho 2ª safra'!$E60:$Z60,MIN(AG$6-$E$3,22))),0))-IF($G$2,0,IF((AG$6-$G$3)&lt;1,0,IFERROR(LOOKUP(2,1/('Milho 2ª safra'!$E60:INDEX('Milho 2ª safra'!$E60:$Z60,MIN(AG$6-$G$3,22))&lt;&gt;""),'Milho 2ª safra'!$E60:INDEX('Milho 2ª safra'!$E60:$Z60,MIN(AG$6-$G$3,22))),0)))))</f>
        <v>0</v>
      </c>
      <c r="AH62" s="27" t="n">
        <f aca="false">IF(COUNT('Milho 2ª safra'!$E60:$Z60)=0,0,MAX(0,IF((AH$6-$E$3)&lt;1,0,IFERROR(LOOKUP(2,1/('Milho 2ª safra'!$E60:INDEX('Milho 2ª safra'!$E60:$Z60,MIN(AH$6-$E$3,22))&lt;&gt;""),'Milho 2ª safra'!$E60:INDEX('Milho 2ª safra'!$E60:$Z60,MIN(AH$6-$E$3,22))),0))-IF($G$2,0,IF((AH$6-$G$3)&lt;1,0,IFERROR(LOOKUP(2,1/('Milho 2ª safra'!$E60:INDEX('Milho 2ª safra'!$E60:$Z60,MIN(AH$6-$G$3,22))&lt;&gt;""),'Milho 2ª safra'!$E60:INDEX('Milho 2ª safra'!$E60:$Z60,MIN(AH$6-$G$3,22))),0)))))</f>
        <v>0</v>
      </c>
      <c r="AI62" s="27" t="n">
        <f aca="false">IF(COUNT('Milho 2ª safra'!$E60:$Z60)=0,0,MAX(0,IF((AI$6-$E$3)&lt;1,0,IFERROR(LOOKUP(2,1/('Milho 2ª safra'!$E60:INDEX('Milho 2ª safra'!$E60:$Z60,MIN(AI$6-$E$3,22))&lt;&gt;""),'Milho 2ª safra'!$E60:INDEX('Milho 2ª safra'!$E60:$Z60,MIN(AI$6-$E$3,22))),0))-IF($G$2,0,IF((AI$6-$G$3)&lt;1,0,IFERROR(LOOKUP(2,1/('Milho 2ª safra'!$E60:INDEX('Milho 2ª safra'!$E60:$Z60,MIN(AI$6-$G$3,22))&lt;&gt;""),'Milho 2ª safra'!$E60:INDEX('Milho 2ª safra'!$E60:$Z60,MIN(AI$6-$G$3,22))),0)))))</f>
        <v>0</v>
      </c>
      <c r="AJ62" s="27" t="n">
        <f aca="false">IF(COUNT('Milho 2ª safra'!$E60:$Z60)=0,0,MAX(0,IF((AJ$6-$E$3)&lt;1,0,IFERROR(LOOKUP(2,1/('Milho 2ª safra'!$E60:INDEX('Milho 2ª safra'!$E60:$Z60,MIN(AJ$6-$E$3,22))&lt;&gt;""),'Milho 2ª safra'!$E60:INDEX('Milho 2ª safra'!$E60:$Z60,MIN(AJ$6-$E$3,22))),0))-IF($G$2,0,IF((AJ$6-$G$3)&lt;1,0,IFERROR(LOOKUP(2,1/('Milho 2ª safra'!$E60:INDEX('Milho 2ª safra'!$E60:$Z60,MIN(AJ$6-$G$3,22))&lt;&gt;""),'Milho 2ª safra'!$E60:INDEX('Milho 2ª safra'!$E60:$Z60,MIN(AJ$6-$G$3,22))),0)))))</f>
        <v>0</v>
      </c>
      <c r="AK62" s="27" t="n">
        <f aca="false">IF(COUNT('Milho 2ª safra'!$E60:$Z60)=0,0,MAX(0,IF((AK$6-$E$3)&lt;1,0,IFERROR(LOOKUP(2,1/('Milho 2ª safra'!$E60:INDEX('Milho 2ª safra'!$E60:$Z60,MIN(AK$6-$E$3,22))&lt;&gt;""),'Milho 2ª safra'!$E60:INDEX('Milho 2ª safra'!$E60:$Z60,MIN(AK$6-$E$3,22))),0))-IF($G$2,0,IF((AK$6-$G$3)&lt;1,0,IFERROR(LOOKUP(2,1/('Milho 2ª safra'!$E60:INDEX('Milho 2ª safra'!$E60:$Z60,MIN(AK$6-$G$3,22))&lt;&gt;""),'Milho 2ª safra'!$E60:INDEX('Milho 2ª safra'!$E60:$Z60,MIN(AK$6-$G$3,22))),0)))))</f>
        <v>0</v>
      </c>
      <c r="AL62" s="27" t="n">
        <f aca="false">IF(COUNT('Milho 2ª safra'!$E60:$Z60)=0,0,MAX(0,IF((AL$6-$E$3)&lt;1,0,IFERROR(LOOKUP(2,1/('Milho 2ª safra'!$E60:INDEX('Milho 2ª safra'!$E60:$Z60,MIN(AL$6-$E$3,22))&lt;&gt;""),'Milho 2ª safra'!$E60:INDEX('Milho 2ª safra'!$E60:$Z60,MIN(AL$6-$E$3,22))),0))-IF($G$2,0,IF((AL$6-$G$3)&lt;1,0,IFERROR(LOOKUP(2,1/('Milho 2ª safra'!$E60:INDEX('Milho 2ª safra'!$E60:$Z60,MIN(AL$6-$G$3,22))&lt;&gt;""),'Milho 2ª safra'!$E60:INDEX('Milho 2ª safra'!$E60:$Z60,MIN(AL$6-$G$3,22))),0)))))</f>
        <v>0</v>
      </c>
      <c r="AM62" s="27" t="n">
        <f aca="false">IF(COUNT('Milho 2ª safra'!$E60:$Z60)=0,0,MAX(0,IF((AM$6-$E$3)&lt;1,0,IFERROR(LOOKUP(2,1/('Milho 2ª safra'!$E60:INDEX('Milho 2ª safra'!$E60:$Z60,MIN(AM$6-$E$3,22))&lt;&gt;""),'Milho 2ª safra'!$E60:INDEX('Milho 2ª safra'!$E60:$Z60,MIN(AM$6-$E$3,22))),0))-IF($G$2,0,IF((AM$6-$G$3)&lt;1,0,IFERROR(LOOKUP(2,1/('Milho 2ª safra'!$E60:INDEX('Milho 2ª safra'!$E60:$Z60,MIN(AM$6-$G$3,22))&lt;&gt;""),'Milho 2ª safra'!$E60:INDEX('Milho 2ª safra'!$E60:$Z60,MIN(AM$6-$G$3,22))),0)))))</f>
        <v>0</v>
      </c>
      <c r="AN62" s="27" t="n">
        <f aca="false">IF(COUNT('Milho 2ª safra'!$E60:$Z60)=0,0,MAX(0,IF((AN$6-$E$3)&lt;1,0,IFERROR(LOOKUP(2,1/('Milho 2ª safra'!$E60:INDEX('Milho 2ª safra'!$E60:$Z60,MIN(AN$6-$E$3,22))&lt;&gt;""),'Milho 2ª safra'!$E60:INDEX('Milho 2ª safra'!$E60:$Z60,MIN(AN$6-$E$3,22))),0))-IF($G$2,0,IF((AN$6-$G$3)&lt;1,0,IFERROR(LOOKUP(2,1/('Milho 2ª safra'!$E60:INDEX('Milho 2ª safra'!$E60:$Z60,MIN(AN$6-$G$3,22))&lt;&gt;""),'Milho 2ª safra'!$E60:INDEX('Milho 2ª safra'!$E60:$Z60,MIN(AN$6-$G$3,22))),0)))))</f>
        <v>0</v>
      </c>
      <c r="AO62" s="27" t="n">
        <f aca="false">IF(COUNT('Milho 2ª safra'!$E60:$Z60)=0,0,MAX(0,IF((AO$6-$E$3)&lt;1,0,IFERROR(LOOKUP(2,1/('Milho 2ª safra'!$E60:INDEX('Milho 2ª safra'!$E60:$Z60,MIN(AO$6-$E$3,22))&lt;&gt;""),'Milho 2ª safra'!$E60:INDEX('Milho 2ª safra'!$E60:$Z60,MIN(AO$6-$E$3,22))),0))-IF($G$2,0,IF((AO$6-$G$3)&lt;1,0,IFERROR(LOOKUP(2,1/('Milho 2ª safra'!$E60:INDEX('Milho 2ª safra'!$E60:$Z60,MIN(AO$6-$G$3,22))&lt;&gt;""),'Milho 2ª safra'!$E60:INDEX('Milho 2ª safra'!$E60:$Z60,MIN(AO$6-$G$3,22))),0)))))</f>
        <v>0</v>
      </c>
      <c r="AP62" s="27" t="n">
        <f aca="false">IF(COUNT('Milho 2ª safra'!$E60:$Z60)=0,0,MAX(0,IF((AP$6-$E$3)&lt;1,0,IFERROR(LOOKUP(2,1/('Milho 2ª safra'!$E60:INDEX('Milho 2ª safra'!$E60:$Z60,MIN(AP$6-$E$3,22))&lt;&gt;""),'Milho 2ª safra'!$E60:INDEX('Milho 2ª safra'!$E60:$Z60,MIN(AP$6-$E$3,22))),0))-IF($G$2,0,IF((AP$6-$G$3)&lt;1,0,IFERROR(LOOKUP(2,1/('Milho 2ª safra'!$E60:INDEX('Milho 2ª safra'!$E60:$Z60,MIN(AP$6-$G$3,22))&lt;&gt;""),'Milho 2ª safra'!$E60:INDEX('Milho 2ª safra'!$E60:$Z60,MIN(AP$6-$G$3,22))),0)))))</f>
        <v>0</v>
      </c>
      <c r="AQ62" s="27" t="n">
        <f aca="false">IF(COUNT('Milho 2ª safra'!$E60:$Z60)=0,0,MAX(0,IF((AQ$6-$E$3)&lt;1,0,IFERROR(LOOKUP(2,1/('Milho 2ª safra'!$E60:INDEX('Milho 2ª safra'!$E60:$Z60,MIN(AQ$6-$E$3,22))&lt;&gt;""),'Milho 2ª safra'!$E60:INDEX('Milho 2ª safra'!$E60:$Z60,MIN(AQ$6-$E$3,22))),0))-IF($G$2,0,IF((AQ$6-$G$3)&lt;1,0,IFERROR(LOOKUP(2,1/('Milho 2ª safra'!$E60:INDEX('Milho 2ª safra'!$E60:$Z60,MIN(AQ$6-$G$3,22))&lt;&gt;""),'Milho 2ª safra'!$E60:INDEX('Milho 2ª safra'!$E60:$Z60,MIN(AQ$6-$G$3,22))),0)))))</f>
        <v>0</v>
      </c>
      <c r="AR62" s="27" t="n">
        <f aca="false">IF(COUNT('Milho 2ª safra'!$E60:$Z60)=0,0,MAX(0,IF((AR$6-$E$3)&lt;1,0,IFERROR(LOOKUP(2,1/('Milho 2ª safra'!$E60:INDEX('Milho 2ª safra'!$E60:$Z60,MIN(AR$6-$E$3,22))&lt;&gt;""),'Milho 2ª safra'!$E60:INDEX('Milho 2ª safra'!$E60:$Z60,MIN(AR$6-$E$3,22))),0))-IF($G$2,0,IF((AR$6-$G$3)&lt;1,0,IFERROR(LOOKUP(2,1/('Milho 2ª safra'!$E60:INDEX('Milho 2ª safra'!$E60:$Z60,MIN(AR$6-$G$3,22))&lt;&gt;""),'Milho 2ª safra'!$E60:INDEX('Milho 2ª safra'!$E60:$Z60,MIN(AR$6-$G$3,22))),0)))))</f>
        <v>0</v>
      </c>
      <c r="AS62" s="27" t="n">
        <f aca="false">IF(COUNT('Milho 2ª safra'!$E60:$Z60)=0,0,MAX(0,IF((AS$6-$E$3)&lt;1,0,IFERROR(LOOKUP(2,1/('Milho 2ª safra'!$E60:INDEX('Milho 2ª safra'!$E60:$Z60,MIN(AS$6-$E$3,22))&lt;&gt;""),'Milho 2ª safra'!$E60:INDEX('Milho 2ª safra'!$E60:$Z60,MIN(AS$6-$E$3,22))),0))-IF($G$2,0,IF((AS$6-$G$3)&lt;1,0,IFERROR(LOOKUP(2,1/('Milho 2ª safra'!$E60:INDEX('Milho 2ª safra'!$E60:$Z60,MIN(AS$6-$G$3,22))&lt;&gt;""),'Milho 2ª safra'!$E60:INDEX('Milho 2ª safra'!$E60:$Z60,MIN(AS$6-$G$3,22))),0)))))</f>
        <v>0</v>
      </c>
      <c r="AT62" s="27" t="n">
        <f aca="false">IF(COUNT('Milho 2ª safra'!$E60:$Z60)=0,0,MAX(0,IF((AT$6-$E$3)&lt;1,0,IFERROR(LOOKUP(2,1/('Milho 2ª safra'!$E60:INDEX('Milho 2ª safra'!$E60:$Z60,MIN(AT$6-$E$3,22))&lt;&gt;""),'Milho 2ª safra'!$E60:INDEX('Milho 2ª safra'!$E60:$Z60,MIN(AT$6-$E$3,22))),0))-IF($G$2,0,IF((AT$6-$G$3)&lt;1,0,IFERROR(LOOKUP(2,1/('Milho 2ª safra'!$E60:INDEX('Milho 2ª safra'!$E60:$Z60,MIN(AT$6-$G$3,22))&lt;&gt;""),'Milho 2ª safra'!$E60:INDEX('Milho 2ª safra'!$E60:$Z60,MIN(AT$6-$G$3,22))),0)))))</f>
        <v>0</v>
      </c>
      <c r="AU62" s="27" t="n">
        <f aca="false">IF(COUNT('Milho 2ª safra'!$E60:$Z60)=0,0,MAX(0,IF((AU$6-$E$3)&lt;1,0,IFERROR(LOOKUP(2,1/('Milho 2ª safra'!$E60:INDEX('Milho 2ª safra'!$E60:$Z60,MIN(AU$6-$E$3,22))&lt;&gt;""),'Milho 2ª safra'!$E60:INDEX('Milho 2ª safra'!$E60:$Z60,MIN(AU$6-$E$3,22))),0))-IF($G$2,0,IF((AU$6-$G$3)&lt;1,0,IFERROR(LOOKUP(2,1/('Milho 2ª safra'!$E60:INDEX('Milho 2ª safra'!$E60:$Z60,MIN(AU$6-$G$3,22))&lt;&gt;""),'Milho 2ª safra'!$E60:INDEX('Milho 2ª safra'!$E60:$Z60,MIN(AU$6-$G$3,22))),0)))))</f>
        <v>0</v>
      </c>
      <c r="AV62" s="27" t="n">
        <f aca="false">IF(COUNT('Milho 2ª safra'!$E60:$Z60)=0,0,MAX(0,IF((AV$6-$E$3)&lt;1,0,IFERROR(LOOKUP(2,1/('Milho 2ª safra'!$E60:INDEX('Milho 2ª safra'!$E60:$Z60,MIN(AV$6-$E$3,22))&lt;&gt;""),'Milho 2ª safra'!$E60:INDEX('Milho 2ª safra'!$E60:$Z60,MIN(AV$6-$E$3,22))),0))-IF($G$2,0,IF((AV$6-$G$3)&lt;1,0,IFERROR(LOOKUP(2,1/('Milho 2ª safra'!$E60:INDEX('Milho 2ª safra'!$E60:$Z60,MIN(AV$6-$G$3,22))&lt;&gt;""),'Milho 2ª safra'!$E60:INDEX('Milho 2ª safra'!$E60:$Z60,MIN(AV$6-$G$3,22))),0)))))</f>
        <v>0</v>
      </c>
      <c r="AW62" s="27" t="n">
        <f aca="false">IF(COUNT('Milho 2ª safra'!$E60:$Z60)=0,0,MAX(0,IF((AW$6-$E$3)&lt;1,0,IFERROR(LOOKUP(2,1/('Milho 2ª safra'!$E60:INDEX('Milho 2ª safra'!$E60:$Z60,MIN(AW$6-$E$3,22))&lt;&gt;""),'Milho 2ª safra'!$E60:INDEX('Milho 2ª safra'!$E60:$Z60,MIN(AW$6-$E$3,22))),0))-IF($G$2,0,IF((AW$6-$G$3)&lt;1,0,IFERROR(LOOKUP(2,1/('Milho 2ª safra'!$E60:INDEX('Milho 2ª safra'!$E60:$Z60,MIN(AW$6-$G$3,22))&lt;&gt;""),'Milho 2ª safra'!$E60:INDEX('Milho 2ª safra'!$E60:$Z60,MIN(AW$6-$G$3,22))),0)))))</f>
        <v>0</v>
      </c>
      <c r="AX62" s="27" t="n">
        <f aca="false">IF(COUNT('Milho 2ª safra'!$E60:$Z60)=0,0,MAX(0,IF((AX$6-$E$3)&lt;1,0,IFERROR(LOOKUP(2,1/('Milho 2ª safra'!$E60:INDEX('Milho 2ª safra'!$E60:$Z60,MIN(AX$6-$E$3,22))&lt;&gt;""),'Milho 2ª safra'!$E60:INDEX('Milho 2ª safra'!$E60:$Z60,MIN(AX$6-$E$3,22))),0))-IF($G$2,0,IF((AX$6-$G$3)&lt;1,0,IFERROR(LOOKUP(2,1/('Milho 2ª safra'!$E60:INDEX('Milho 2ª safra'!$E60:$Z60,MIN(AX$6-$G$3,22))&lt;&gt;""),'Milho 2ª safra'!$E60:INDEX('Milho 2ª safra'!$E60:$Z60,MIN(AX$6-$G$3,22))),0)))))</f>
        <v>0</v>
      </c>
      <c r="AY62" s="27" t="n">
        <f aca="false">IF(COUNT('Milho 2ª safra'!$E60:$Z60)=0,0,MAX(0,IF((AY$6-$E$3)&lt;1,0,IFERROR(LOOKUP(2,1/('Milho 2ª safra'!$E60:INDEX('Milho 2ª safra'!$E60:$Z60,MIN(AY$6-$E$3,22))&lt;&gt;""),'Milho 2ª safra'!$E60:INDEX('Milho 2ª safra'!$E60:$Z60,MIN(AY$6-$E$3,22))),0))-IF($G$2,0,IF((AY$6-$G$3)&lt;1,0,IFERROR(LOOKUP(2,1/('Milho 2ª safra'!$E60:INDEX('Milho 2ª safra'!$E60:$Z60,MIN(AY$6-$G$3,22))&lt;&gt;""),'Milho 2ª safra'!$E60:INDEX('Milho 2ª safra'!$E60:$Z60,MIN(AY$6-$G$3,22))),0)))))</f>
        <v>0</v>
      </c>
      <c r="AZ62" s="27" t="n">
        <f aca="false">IF(COUNT('Milho 2ª safra'!$E60:$Z60)=0,0,MAX(0,IF((AZ$6-$E$3)&lt;1,0,IFERROR(LOOKUP(2,1/('Milho 2ª safra'!$E60:INDEX('Milho 2ª safra'!$E60:$Z60,MIN(AZ$6-$E$3,22))&lt;&gt;""),'Milho 2ª safra'!$E60:INDEX('Milho 2ª safra'!$E60:$Z60,MIN(AZ$6-$E$3,22))),0))-IF($G$2,0,IF((AZ$6-$G$3)&lt;1,0,IFERROR(LOOKUP(2,1/('Milho 2ª safra'!$E60:INDEX('Milho 2ª safra'!$E60:$Z60,MIN(AZ$6-$G$3,22))&lt;&gt;""),'Milho 2ª safra'!$E60:INDEX('Milho 2ª safra'!$E60:$Z60,MIN(AZ$6-$G$3,22))),0)))))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IF(COUNT('Milho 2ª safra'!$E61:$Z61)&gt;0,N('Milho 2ª safra'!$D61),0)</f>
        <v>0</v>
      </c>
      <c r="E63" s="27" t="n">
        <f aca="false">IF(COUNT('Milho 2ª safra'!$E61:$Z61)=0,0,MAX(0,IF((E$6-$E$3)&lt;1,0,IFERROR(LOOKUP(2,1/('Milho 2ª safra'!$E61:INDEX('Milho 2ª safra'!$E61:$Z61,MIN(E$6-$E$3,22))&lt;&gt;""),'Milho 2ª safra'!$E61:INDEX('Milho 2ª safra'!$E61:$Z61,MIN(E$6-$E$3,22))),0))-IF($G$2,0,IF((E$6-$G$3)&lt;1,0,IFERROR(LOOKUP(2,1/('Milho 2ª safra'!$E61:INDEX('Milho 2ª safra'!$E61:$Z61,MIN(E$6-$G$3,22))&lt;&gt;""),'Milho 2ª safra'!$E61:INDEX('Milho 2ª safra'!$E61:$Z61,MIN(E$6-$G$3,22))),0)))))</f>
        <v>0</v>
      </c>
      <c r="F63" s="27" t="n">
        <f aca="false">IF(COUNT('Milho 2ª safra'!$E61:$Z61)=0,0,MAX(0,IF((F$6-$E$3)&lt;1,0,IFERROR(LOOKUP(2,1/('Milho 2ª safra'!$E61:INDEX('Milho 2ª safra'!$E61:$Z61,MIN(F$6-$E$3,22))&lt;&gt;""),'Milho 2ª safra'!$E61:INDEX('Milho 2ª safra'!$E61:$Z61,MIN(F$6-$E$3,22))),0))-IF($G$2,0,IF((F$6-$G$3)&lt;1,0,IFERROR(LOOKUP(2,1/('Milho 2ª safra'!$E61:INDEX('Milho 2ª safra'!$E61:$Z61,MIN(F$6-$G$3,22))&lt;&gt;""),'Milho 2ª safra'!$E61:INDEX('Milho 2ª safra'!$E61:$Z61,MIN(F$6-$G$3,22))),0)))))</f>
        <v>0</v>
      </c>
      <c r="G63" s="27" t="n">
        <f aca="false">IF(COUNT('Milho 2ª safra'!$E61:$Z61)=0,0,MAX(0,IF((G$6-$E$3)&lt;1,0,IFERROR(LOOKUP(2,1/('Milho 2ª safra'!$E61:INDEX('Milho 2ª safra'!$E61:$Z61,MIN(G$6-$E$3,22))&lt;&gt;""),'Milho 2ª safra'!$E61:INDEX('Milho 2ª safra'!$E61:$Z61,MIN(G$6-$E$3,22))),0))-IF($G$2,0,IF((G$6-$G$3)&lt;1,0,IFERROR(LOOKUP(2,1/('Milho 2ª safra'!$E61:INDEX('Milho 2ª safra'!$E61:$Z61,MIN(G$6-$G$3,22))&lt;&gt;""),'Milho 2ª safra'!$E61:INDEX('Milho 2ª safra'!$E61:$Z61,MIN(G$6-$G$3,22))),0)))))</f>
        <v>0</v>
      </c>
      <c r="H63" s="27" t="n">
        <f aca="false">IF(COUNT('Milho 2ª safra'!$E61:$Z61)=0,0,MAX(0,IF((H$6-$E$3)&lt;1,0,IFERROR(LOOKUP(2,1/('Milho 2ª safra'!$E61:INDEX('Milho 2ª safra'!$E61:$Z61,MIN(H$6-$E$3,22))&lt;&gt;""),'Milho 2ª safra'!$E61:INDEX('Milho 2ª safra'!$E61:$Z61,MIN(H$6-$E$3,22))),0))-IF($G$2,0,IF((H$6-$G$3)&lt;1,0,IFERROR(LOOKUP(2,1/('Milho 2ª safra'!$E61:INDEX('Milho 2ª safra'!$E61:$Z61,MIN(H$6-$G$3,22))&lt;&gt;""),'Milho 2ª safra'!$E61:INDEX('Milho 2ª safra'!$E61:$Z61,MIN(H$6-$G$3,22))),0)))))</f>
        <v>0</v>
      </c>
      <c r="I63" s="27" t="n">
        <f aca="false">IF(COUNT('Milho 2ª safra'!$E61:$Z61)=0,0,MAX(0,IF((I$6-$E$3)&lt;1,0,IFERROR(LOOKUP(2,1/('Milho 2ª safra'!$E61:INDEX('Milho 2ª safra'!$E61:$Z61,MIN(I$6-$E$3,22))&lt;&gt;""),'Milho 2ª safra'!$E61:INDEX('Milho 2ª safra'!$E61:$Z61,MIN(I$6-$E$3,22))),0))-IF($G$2,0,IF((I$6-$G$3)&lt;1,0,IFERROR(LOOKUP(2,1/('Milho 2ª safra'!$E61:INDEX('Milho 2ª safra'!$E61:$Z61,MIN(I$6-$G$3,22))&lt;&gt;""),'Milho 2ª safra'!$E61:INDEX('Milho 2ª safra'!$E61:$Z61,MIN(I$6-$G$3,22))),0)))))</f>
        <v>0</v>
      </c>
      <c r="J63" s="27" t="n">
        <f aca="false">IF(COUNT('Milho 2ª safra'!$E61:$Z61)=0,0,MAX(0,IF((J$6-$E$3)&lt;1,0,IFERROR(LOOKUP(2,1/('Milho 2ª safra'!$E61:INDEX('Milho 2ª safra'!$E61:$Z61,MIN(J$6-$E$3,22))&lt;&gt;""),'Milho 2ª safra'!$E61:INDEX('Milho 2ª safra'!$E61:$Z61,MIN(J$6-$E$3,22))),0))-IF($G$2,0,IF((J$6-$G$3)&lt;1,0,IFERROR(LOOKUP(2,1/('Milho 2ª safra'!$E61:INDEX('Milho 2ª safra'!$E61:$Z61,MIN(J$6-$G$3,22))&lt;&gt;""),'Milho 2ª safra'!$E61:INDEX('Milho 2ª safra'!$E61:$Z61,MIN(J$6-$G$3,22))),0)))))</f>
        <v>0</v>
      </c>
      <c r="K63" s="27" t="n">
        <f aca="false">IF(COUNT('Milho 2ª safra'!$E61:$Z61)=0,0,MAX(0,IF((K$6-$E$3)&lt;1,0,IFERROR(LOOKUP(2,1/('Milho 2ª safra'!$E61:INDEX('Milho 2ª safra'!$E61:$Z61,MIN(K$6-$E$3,22))&lt;&gt;""),'Milho 2ª safra'!$E61:INDEX('Milho 2ª safra'!$E61:$Z61,MIN(K$6-$E$3,22))),0))-IF($G$2,0,IF((K$6-$G$3)&lt;1,0,IFERROR(LOOKUP(2,1/('Milho 2ª safra'!$E61:INDEX('Milho 2ª safra'!$E61:$Z61,MIN(K$6-$G$3,22))&lt;&gt;""),'Milho 2ª safra'!$E61:INDEX('Milho 2ª safra'!$E61:$Z61,MIN(K$6-$G$3,22))),0)))))</f>
        <v>0</v>
      </c>
      <c r="L63" s="27" t="n">
        <f aca="false">IF(COUNT('Milho 2ª safra'!$E61:$Z61)=0,0,MAX(0,IF((L$6-$E$3)&lt;1,0,IFERROR(LOOKUP(2,1/('Milho 2ª safra'!$E61:INDEX('Milho 2ª safra'!$E61:$Z61,MIN(L$6-$E$3,22))&lt;&gt;""),'Milho 2ª safra'!$E61:INDEX('Milho 2ª safra'!$E61:$Z61,MIN(L$6-$E$3,22))),0))-IF($G$2,0,IF((L$6-$G$3)&lt;1,0,IFERROR(LOOKUP(2,1/('Milho 2ª safra'!$E61:INDEX('Milho 2ª safra'!$E61:$Z61,MIN(L$6-$G$3,22))&lt;&gt;""),'Milho 2ª safra'!$E61:INDEX('Milho 2ª safra'!$E61:$Z61,MIN(L$6-$G$3,22))),0)))))</f>
        <v>0</v>
      </c>
      <c r="M63" s="27" t="n">
        <f aca="false">IF(COUNT('Milho 2ª safra'!$E61:$Z61)=0,0,MAX(0,IF((M$6-$E$3)&lt;1,0,IFERROR(LOOKUP(2,1/('Milho 2ª safra'!$E61:INDEX('Milho 2ª safra'!$E61:$Z61,MIN(M$6-$E$3,22))&lt;&gt;""),'Milho 2ª safra'!$E61:INDEX('Milho 2ª safra'!$E61:$Z61,MIN(M$6-$E$3,22))),0))-IF($G$2,0,IF((M$6-$G$3)&lt;1,0,IFERROR(LOOKUP(2,1/('Milho 2ª safra'!$E61:INDEX('Milho 2ª safra'!$E61:$Z61,MIN(M$6-$G$3,22))&lt;&gt;""),'Milho 2ª safra'!$E61:INDEX('Milho 2ª safra'!$E61:$Z61,MIN(M$6-$G$3,22))),0)))))</f>
        <v>0</v>
      </c>
      <c r="N63" s="27" t="n">
        <f aca="false">IF(COUNT('Milho 2ª safra'!$E61:$Z61)=0,0,MAX(0,IF((N$6-$E$3)&lt;1,0,IFERROR(LOOKUP(2,1/('Milho 2ª safra'!$E61:INDEX('Milho 2ª safra'!$E61:$Z61,MIN(N$6-$E$3,22))&lt;&gt;""),'Milho 2ª safra'!$E61:INDEX('Milho 2ª safra'!$E61:$Z61,MIN(N$6-$E$3,22))),0))-IF($G$2,0,IF((N$6-$G$3)&lt;1,0,IFERROR(LOOKUP(2,1/('Milho 2ª safra'!$E61:INDEX('Milho 2ª safra'!$E61:$Z61,MIN(N$6-$G$3,22))&lt;&gt;""),'Milho 2ª safra'!$E61:INDEX('Milho 2ª safra'!$E61:$Z61,MIN(N$6-$G$3,22))),0)))))</f>
        <v>0</v>
      </c>
      <c r="O63" s="27" t="n">
        <f aca="false">IF(COUNT('Milho 2ª safra'!$E61:$Z61)=0,0,MAX(0,IF((O$6-$E$3)&lt;1,0,IFERROR(LOOKUP(2,1/('Milho 2ª safra'!$E61:INDEX('Milho 2ª safra'!$E61:$Z61,MIN(O$6-$E$3,22))&lt;&gt;""),'Milho 2ª safra'!$E61:INDEX('Milho 2ª safra'!$E61:$Z61,MIN(O$6-$E$3,22))),0))-IF($G$2,0,IF((O$6-$G$3)&lt;1,0,IFERROR(LOOKUP(2,1/('Milho 2ª safra'!$E61:INDEX('Milho 2ª safra'!$E61:$Z61,MIN(O$6-$G$3,22))&lt;&gt;""),'Milho 2ª safra'!$E61:INDEX('Milho 2ª safra'!$E61:$Z61,MIN(O$6-$G$3,22))),0)))))</f>
        <v>0</v>
      </c>
      <c r="P63" s="27" t="n">
        <f aca="false">IF(COUNT('Milho 2ª safra'!$E61:$Z61)=0,0,MAX(0,IF((P$6-$E$3)&lt;1,0,IFERROR(LOOKUP(2,1/('Milho 2ª safra'!$E61:INDEX('Milho 2ª safra'!$E61:$Z61,MIN(P$6-$E$3,22))&lt;&gt;""),'Milho 2ª safra'!$E61:INDEX('Milho 2ª safra'!$E61:$Z61,MIN(P$6-$E$3,22))),0))-IF($G$2,0,IF((P$6-$G$3)&lt;1,0,IFERROR(LOOKUP(2,1/('Milho 2ª safra'!$E61:INDEX('Milho 2ª safra'!$E61:$Z61,MIN(P$6-$G$3,22))&lt;&gt;""),'Milho 2ª safra'!$E61:INDEX('Milho 2ª safra'!$E61:$Z61,MIN(P$6-$G$3,22))),0)))))</f>
        <v>0</v>
      </c>
      <c r="Q63" s="27" t="n">
        <f aca="false">IF(COUNT('Milho 2ª safra'!$E61:$Z61)=0,0,MAX(0,IF((Q$6-$E$3)&lt;1,0,IFERROR(LOOKUP(2,1/('Milho 2ª safra'!$E61:INDEX('Milho 2ª safra'!$E61:$Z61,MIN(Q$6-$E$3,22))&lt;&gt;""),'Milho 2ª safra'!$E61:INDEX('Milho 2ª safra'!$E61:$Z61,MIN(Q$6-$E$3,22))),0))-IF($G$2,0,IF((Q$6-$G$3)&lt;1,0,IFERROR(LOOKUP(2,1/('Milho 2ª safra'!$E61:INDEX('Milho 2ª safra'!$E61:$Z61,MIN(Q$6-$G$3,22))&lt;&gt;""),'Milho 2ª safra'!$E61:INDEX('Milho 2ª safra'!$E61:$Z61,MIN(Q$6-$G$3,22))),0)))))</f>
        <v>0</v>
      </c>
      <c r="R63" s="27" t="n">
        <f aca="false">IF(COUNT('Milho 2ª safra'!$E61:$Z61)=0,0,MAX(0,IF((R$6-$E$3)&lt;1,0,IFERROR(LOOKUP(2,1/('Milho 2ª safra'!$E61:INDEX('Milho 2ª safra'!$E61:$Z61,MIN(R$6-$E$3,22))&lt;&gt;""),'Milho 2ª safra'!$E61:INDEX('Milho 2ª safra'!$E61:$Z61,MIN(R$6-$E$3,22))),0))-IF($G$2,0,IF((R$6-$G$3)&lt;1,0,IFERROR(LOOKUP(2,1/('Milho 2ª safra'!$E61:INDEX('Milho 2ª safra'!$E61:$Z61,MIN(R$6-$G$3,22))&lt;&gt;""),'Milho 2ª safra'!$E61:INDEX('Milho 2ª safra'!$E61:$Z61,MIN(R$6-$G$3,22))),0)))))</f>
        <v>0</v>
      </c>
      <c r="S63" s="27" t="n">
        <f aca="false">IF(COUNT('Milho 2ª safra'!$E61:$Z61)=0,0,MAX(0,IF((S$6-$E$3)&lt;1,0,IFERROR(LOOKUP(2,1/('Milho 2ª safra'!$E61:INDEX('Milho 2ª safra'!$E61:$Z61,MIN(S$6-$E$3,22))&lt;&gt;""),'Milho 2ª safra'!$E61:INDEX('Milho 2ª safra'!$E61:$Z61,MIN(S$6-$E$3,22))),0))-IF($G$2,0,IF((S$6-$G$3)&lt;1,0,IFERROR(LOOKUP(2,1/('Milho 2ª safra'!$E61:INDEX('Milho 2ª safra'!$E61:$Z61,MIN(S$6-$G$3,22))&lt;&gt;""),'Milho 2ª safra'!$E61:INDEX('Milho 2ª safra'!$E61:$Z61,MIN(S$6-$G$3,22))),0)))))</f>
        <v>0</v>
      </c>
      <c r="T63" s="27" t="n">
        <f aca="false">IF(COUNT('Milho 2ª safra'!$E61:$Z61)=0,0,MAX(0,IF((T$6-$E$3)&lt;1,0,IFERROR(LOOKUP(2,1/('Milho 2ª safra'!$E61:INDEX('Milho 2ª safra'!$E61:$Z61,MIN(T$6-$E$3,22))&lt;&gt;""),'Milho 2ª safra'!$E61:INDEX('Milho 2ª safra'!$E61:$Z61,MIN(T$6-$E$3,22))),0))-IF($G$2,0,IF((T$6-$G$3)&lt;1,0,IFERROR(LOOKUP(2,1/('Milho 2ª safra'!$E61:INDEX('Milho 2ª safra'!$E61:$Z61,MIN(T$6-$G$3,22))&lt;&gt;""),'Milho 2ª safra'!$E61:INDEX('Milho 2ª safra'!$E61:$Z61,MIN(T$6-$G$3,22))),0)))))</f>
        <v>0</v>
      </c>
      <c r="U63" s="27" t="n">
        <f aca="false">IF(COUNT('Milho 2ª safra'!$E61:$Z61)=0,0,MAX(0,IF((U$6-$E$3)&lt;1,0,IFERROR(LOOKUP(2,1/('Milho 2ª safra'!$E61:INDEX('Milho 2ª safra'!$E61:$Z61,MIN(U$6-$E$3,22))&lt;&gt;""),'Milho 2ª safra'!$E61:INDEX('Milho 2ª safra'!$E61:$Z61,MIN(U$6-$E$3,22))),0))-IF($G$2,0,IF((U$6-$G$3)&lt;1,0,IFERROR(LOOKUP(2,1/('Milho 2ª safra'!$E61:INDEX('Milho 2ª safra'!$E61:$Z61,MIN(U$6-$G$3,22))&lt;&gt;""),'Milho 2ª safra'!$E61:INDEX('Milho 2ª safra'!$E61:$Z61,MIN(U$6-$G$3,22))),0)))))</f>
        <v>0</v>
      </c>
      <c r="V63" s="27" t="n">
        <f aca="false">IF(COUNT('Milho 2ª safra'!$E61:$Z61)=0,0,MAX(0,IF((V$6-$E$3)&lt;1,0,IFERROR(LOOKUP(2,1/('Milho 2ª safra'!$E61:INDEX('Milho 2ª safra'!$E61:$Z61,MIN(V$6-$E$3,22))&lt;&gt;""),'Milho 2ª safra'!$E61:INDEX('Milho 2ª safra'!$E61:$Z61,MIN(V$6-$E$3,22))),0))-IF($G$2,0,IF((V$6-$G$3)&lt;1,0,IFERROR(LOOKUP(2,1/('Milho 2ª safra'!$E61:INDEX('Milho 2ª safra'!$E61:$Z61,MIN(V$6-$G$3,22))&lt;&gt;""),'Milho 2ª safra'!$E61:INDEX('Milho 2ª safra'!$E61:$Z61,MIN(V$6-$G$3,22))),0)))))</f>
        <v>0</v>
      </c>
      <c r="W63" s="27" t="n">
        <f aca="false">IF(COUNT('Milho 2ª safra'!$E61:$Z61)=0,0,MAX(0,IF((W$6-$E$3)&lt;1,0,IFERROR(LOOKUP(2,1/('Milho 2ª safra'!$E61:INDEX('Milho 2ª safra'!$E61:$Z61,MIN(W$6-$E$3,22))&lt;&gt;""),'Milho 2ª safra'!$E61:INDEX('Milho 2ª safra'!$E61:$Z61,MIN(W$6-$E$3,22))),0))-IF($G$2,0,IF((W$6-$G$3)&lt;1,0,IFERROR(LOOKUP(2,1/('Milho 2ª safra'!$E61:INDEX('Milho 2ª safra'!$E61:$Z61,MIN(W$6-$G$3,22))&lt;&gt;""),'Milho 2ª safra'!$E61:INDEX('Milho 2ª safra'!$E61:$Z61,MIN(W$6-$G$3,22))),0)))))</f>
        <v>0</v>
      </c>
      <c r="X63" s="27" t="n">
        <f aca="false">IF(COUNT('Milho 2ª safra'!$E61:$Z61)=0,0,MAX(0,IF((X$6-$E$3)&lt;1,0,IFERROR(LOOKUP(2,1/('Milho 2ª safra'!$E61:INDEX('Milho 2ª safra'!$E61:$Z61,MIN(X$6-$E$3,22))&lt;&gt;""),'Milho 2ª safra'!$E61:INDEX('Milho 2ª safra'!$E61:$Z61,MIN(X$6-$E$3,22))),0))-IF($G$2,0,IF((X$6-$G$3)&lt;1,0,IFERROR(LOOKUP(2,1/('Milho 2ª safra'!$E61:INDEX('Milho 2ª safra'!$E61:$Z61,MIN(X$6-$G$3,22))&lt;&gt;""),'Milho 2ª safra'!$E61:INDEX('Milho 2ª safra'!$E61:$Z61,MIN(X$6-$G$3,22))),0)))))</f>
        <v>0</v>
      </c>
      <c r="Y63" s="27" t="n">
        <f aca="false">IF(COUNT('Milho 2ª safra'!$E61:$Z61)=0,0,MAX(0,IF((Y$6-$E$3)&lt;1,0,IFERROR(LOOKUP(2,1/('Milho 2ª safra'!$E61:INDEX('Milho 2ª safra'!$E61:$Z61,MIN(Y$6-$E$3,22))&lt;&gt;""),'Milho 2ª safra'!$E61:INDEX('Milho 2ª safra'!$E61:$Z61,MIN(Y$6-$E$3,22))),0))-IF($G$2,0,IF((Y$6-$G$3)&lt;1,0,IFERROR(LOOKUP(2,1/('Milho 2ª safra'!$E61:INDEX('Milho 2ª safra'!$E61:$Z61,MIN(Y$6-$G$3,22))&lt;&gt;""),'Milho 2ª safra'!$E61:INDEX('Milho 2ª safra'!$E61:$Z61,MIN(Y$6-$G$3,22))),0)))))</f>
        <v>0</v>
      </c>
      <c r="Z63" s="27" t="n">
        <f aca="false">IF(COUNT('Milho 2ª safra'!$E61:$Z61)=0,0,MAX(0,IF((Z$6-$E$3)&lt;1,0,IFERROR(LOOKUP(2,1/('Milho 2ª safra'!$E61:INDEX('Milho 2ª safra'!$E61:$Z61,MIN(Z$6-$E$3,22))&lt;&gt;""),'Milho 2ª safra'!$E61:INDEX('Milho 2ª safra'!$E61:$Z61,MIN(Z$6-$E$3,22))),0))-IF($G$2,0,IF((Z$6-$G$3)&lt;1,0,IFERROR(LOOKUP(2,1/('Milho 2ª safra'!$E61:INDEX('Milho 2ª safra'!$E61:$Z61,MIN(Z$6-$G$3,22))&lt;&gt;""),'Milho 2ª safra'!$E61:INDEX('Milho 2ª safra'!$E61:$Z61,MIN(Z$6-$G$3,22))),0)))))</f>
        <v>0</v>
      </c>
      <c r="AA63" s="27" t="n">
        <f aca="false">IF(COUNT('Milho 2ª safra'!$E61:$Z61)=0,0,MAX(0,IF((AA$6-$E$3)&lt;1,0,IFERROR(LOOKUP(2,1/('Milho 2ª safra'!$E61:INDEX('Milho 2ª safra'!$E61:$Z61,MIN(AA$6-$E$3,22))&lt;&gt;""),'Milho 2ª safra'!$E61:INDEX('Milho 2ª safra'!$E61:$Z61,MIN(AA$6-$E$3,22))),0))-IF($G$2,0,IF((AA$6-$G$3)&lt;1,0,IFERROR(LOOKUP(2,1/('Milho 2ª safra'!$E61:INDEX('Milho 2ª safra'!$E61:$Z61,MIN(AA$6-$G$3,22))&lt;&gt;""),'Milho 2ª safra'!$E61:INDEX('Milho 2ª safra'!$E61:$Z61,MIN(AA$6-$G$3,22))),0)))))</f>
        <v>0</v>
      </c>
      <c r="AB63" s="27" t="n">
        <f aca="false">IF(COUNT('Milho 2ª safra'!$E61:$Z61)=0,0,MAX(0,IF((AB$6-$E$3)&lt;1,0,IFERROR(LOOKUP(2,1/('Milho 2ª safra'!$E61:INDEX('Milho 2ª safra'!$E61:$Z61,MIN(AB$6-$E$3,22))&lt;&gt;""),'Milho 2ª safra'!$E61:INDEX('Milho 2ª safra'!$E61:$Z61,MIN(AB$6-$E$3,22))),0))-IF($G$2,0,IF((AB$6-$G$3)&lt;1,0,IFERROR(LOOKUP(2,1/('Milho 2ª safra'!$E61:INDEX('Milho 2ª safra'!$E61:$Z61,MIN(AB$6-$G$3,22))&lt;&gt;""),'Milho 2ª safra'!$E61:INDEX('Milho 2ª safra'!$E61:$Z61,MIN(AB$6-$G$3,22))),0)))))</f>
        <v>0</v>
      </c>
      <c r="AC63" s="27" t="n">
        <f aca="false">IF(COUNT('Milho 2ª safra'!$E61:$Z61)=0,0,MAX(0,IF((AC$6-$E$3)&lt;1,0,IFERROR(LOOKUP(2,1/('Milho 2ª safra'!$E61:INDEX('Milho 2ª safra'!$E61:$Z61,MIN(AC$6-$E$3,22))&lt;&gt;""),'Milho 2ª safra'!$E61:INDEX('Milho 2ª safra'!$E61:$Z61,MIN(AC$6-$E$3,22))),0))-IF($G$2,0,IF((AC$6-$G$3)&lt;1,0,IFERROR(LOOKUP(2,1/('Milho 2ª safra'!$E61:INDEX('Milho 2ª safra'!$E61:$Z61,MIN(AC$6-$G$3,22))&lt;&gt;""),'Milho 2ª safra'!$E61:INDEX('Milho 2ª safra'!$E61:$Z61,MIN(AC$6-$G$3,22))),0)))))</f>
        <v>0</v>
      </c>
      <c r="AD63" s="27" t="n">
        <f aca="false">IF(COUNT('Milho 2ª safra'!$E61:$Z61)=0,0,MAX(0,IF((AD$6-$E$3)&lt;1,0,IFERROR(LOOKUP(2,1/('Milho 2ª safra'!$E61:INDEX('Milho 2ª safra'!$E61:$Z61,MIN(AD$6-$E$3,22))&lt;&gt;""),'Milho 2ª safra'!$E61:INDEX('Milho 2ª safra'!$E61:$Z61,MIN(AD$6-$E$3,22))),0))-IF($G$2,0,IF((AD$6-$G$3)&lt;1,0,IFERROR(LOOKUP(2,1/('Milho 2ª safra'!$E61:INDEX('Milho 2ª safra'!$E61:$Z61,MIN(AD$6-$G$3,22))&lt;&gt;""),'Milho 2ª safra'!$E61:INDEX('Milho 2ª safra'!$E61:$Z61,MIN(AD$6-$G$3,22))),0)))))</f>
        <v>0</v>
      </c>
      <c r="AE63" s="27" t="n">
        <f aca="false">IF(COUNT('Milho 2ª safra'!$E61:$Z61)=0,0,MAX(0,IF((AE$6-$E$3)&lt;1,0,IFERROR(LOOKUP(2,1/('Milho 2ª safra'!$E61:INDEX('Milho 2ª safra'!$E61:$Z61,MIN(AE$6-$E$3,22))&lt;&gt;""),'Milho 2ª safra'!$E61:INDEX('Milho 2ª safra'!$E61:$Z61,MIN(AE$6-$E$3,22))),0))-IF($G$2,0,IF((AE$6-$G$3)&lt;1,0,IFERROR(LOOKUP(2,1/('Milho 2ª safra'!$E61:INDEX('Milho 2ª safra'!$E61:$Z61,MIN(AE$6-$G$3,22))&lt;&gt;""),'Milho 2ª safra'!$E61:INDEX('Milho 2ª safra'!$E61:$Z61,MIN(AE$6-$G$3,22))),0)))))</f>
        <v>0</v>
      </c>
      <c r="AF63" s="27" t="n">
        <f aca="false">IF(COUNT('Milho 2ª safra'!$E61:$Z61)=0,0,MAX(0,IF((AF$6-$E$3)&lt;1,0,IFERROR(LOOKUP(2,1/('Milho 2ª safra'!$E61:INDEX('Milho 2ª safra'!$E61:$Z61,MIN(AF$6-$E$3,22))&lt;&gt;""),'Milho 2ª safra'!$E61:INDEX('Milho 2ª safra'!$E61:$Z61,MIN(AF$6-$E$3,22))),0))-IF($G$2,0,IF((AF$6-$G$3)&lt;1,0,IFERROR(LOOKUP(2,1/('Milho 2ª safra'!$E61:INDEX('Milho 2ª safra'!$E61:$Z61,MIN(AF$6-$G$3,22))&lt;&gt;""),'Milho 2ª safra'!$E61:INDEX('Milho 2ª safra'!$E61:$Z61,MIN(AF$6-$G$3,22))),0)))))</f>
        <v>0</v>
      </c>
      <c r="AG63" s="27" t="n">
        <f aca="false">IF(COUNT('Milho 2ª safra'!$E61:$Z61)=0,0,MAX(0,IF((AG$6-$E$3)&lt;1,0,IFERROR(LOOKUP(2,1/('Milho 2ª safra'!$E61:INDEX('Milho 2ª safra'!$E61:$Z61,MIN(AG$6-$E$3,22))&lt;&gt;""),'Milho 2ª safra'!$E61:INDEX('Milho 2ª safra'!$E61:$Z61,MIN(AG$6-$E$3,22))),0))-IF($G$2,0,IF((AG$6-$G$3)&lt;1,0,IFERROR(LOOKUP(2,1/('Milho 2ª safra'!$E61:INDEX('Milho 2ª safra'!$E61:$Z61,MIN(AG$6-$G$3,22))&lt;&gt;""),'Milho 2ª safra'!$E61:INDEX('Milho 2ª safra'!$E61:$Z61,MIN(AG$6-$G$3,22))),0)))))</f>
        <v>0</v>
      </c>
      <c r="AH63" s="27" t="n">
        <f aca="false">IF(COUNT('Milho 2ª safra'!$E61:$Z61)=0,0,MAX(0,IF((AH$6-$E$3)&lt;1,0,IFERROR(LOOKUP(2,1/('Milho 2ª safra'!$E61:INDEX('Milho 2ª safra'!$E61:$Z61,MIN(AH$6-$E$3,22))&lt;&gt;""),'Milho 2ª safra'!$E61:INDEX('Milho 2ª safra'!$E61:$Z61,MIN(AH$6-$E$3,22))),0))-IF($G$2,0,IF((AH$6-$G$3)&lt;1,0,IFERROR(LOOKUP(2,1/('Milho 2ª safra'!$E61:INDEX('Milho 2ª safra'!$E61:$Z61,MIN(AH$6-$G$3,22))&lt;&gt;""),'Milho 2ª safra'!$E61:INDEX('Milho 2ª safra'!$E61:$Z61,MIN(AH$6-$G$3,22))),0)))))</f>
        <v>0</v>
      </c>
      <c r="AI63" s="27" t="n">
        <f aca="false">IF(COUNT('Milho 2ª safra'!$E61:$Z61)=0,0,MAX(0,IF((AI$6-$E$3)&lt;1,0,IFERROR(LOOKUP(2,1/('Milho 2ª safra'!$E61:INDEX('Milho 2ª safra'!$E61:$Z61,MIN(AI$6-$E$3,22))&lt;&gt;""),'Milho 2ª safra'!$E61:INDEX('Milho 2ª safra'!$E61:$Z61,MIN(AI$6-$E$3,22))),0))-IF($G$2,0,IF((AI$6-$G$3)&lt;1,0,IFERROR(LOOKUP(2,1/('Milho 2ª safra'!$E61:INDEX('Milho 2ª safra'!$E61:$Z61,MIN(AI$6-$G$3,22))&lt;&gt;""),'Milho 2ª safra'!$E61:INDEX('Milho 2ª safra'!$E61:$Z61,MIN(AI$6-$G$3,22))),0)))))</f>
        <v>0</v>
      </c>
      <c r="AJ63" s="27" t="n">
        <f aca="false">IF(COUNT('Milho 2ª safra'!$E61:$Z61)=0,0,MAX(0,IF((AJ$6-$E$3)&lt;1,0,IFERROR(LOOKUP(2,1/('Milho 2ª safra'!$E61:INDEX('Milho 2ª safra'!$E61:$Z61,MIN(AJ$6-$E$3,22))&lt;&gt;""),'Milho 2ª safra'!$E61:INDEX('Milho 2ª safra'!$E61:$Z61,MIN(AJ$6-$E$3,22))),0))-IF($G$2,0,IF((AJ$6-$G$3)&lt;1,0,IFERROR(LOOKUP(2,1/('Milho 2ª safra'!$E61:INDEX('Milho 2ª safra'!$E61:$Z61,MIN(AJ$6-$G$3,22))&lt;&gt;""),'Milho 2ª safra'!$E61:INDEX('Milho 2ª safra'!$E61:$Z61,MIN(AJ$6-$G$3,22))),0)))))</f>
        <v>0</v>
      </c>
      <c r="AK63" s="27" t="n">
        <f aca="false">IF(COUNT('Milho 2ª safra'!$E61:$Z61)=0,0,MAX(0,IF((AK$6-$E$3)&lt;1,0,IFERROR(LOOKUP(2,1/('Milho 2ª safra'!$E61:INDEX('Milho 2ª safra'!$E61:$Z61,MIN(AK$6-$E$3,22))&lt;&gt;""),'Milho 2ª safra'!$E61:INDEX('Milho 2ª safra'!$E61:$Z61,MIN(AK$6-$E$3,22))),0))-IF($G$2,0,IF((AK$6-$G$3)&lt;1,0,IFERROR(LOOKUP(2,1/('Milho 2ª safra'!$E61:INDEX('Milho 2ª safra'!$E61:$Z61,MIN(AK$6-$G$3,22))&lt;&gt;""),'Milho 2ª safra'!$E61:INDEX('Milho 2ª safra'!$E61:$Z61,MIN(AK$6-$G$3,22))),0)))))</f>
        <v>0</v>
      </c>
      <c r="AL63" s="27" t="n">
        <f aca="false">IF(COUNT('Milho 2ª safra'!$E61:$Z61)=0,0,MAX(0,IF((AL$6-$E$3)&lt;1,0,IFERROR(LOOKUP(2,1/('Milho 2ª safra'!$E61:INDEX('Milho 2ª safra'!$E61:$Z61,MIN(AL$6-$E$3,22))&lt;&gt;""),'Milho 2ª safra'!$E61:INDEX('Milho 2ª safra'!$E61:$Z61,MIN(AL$6-$E$3,22))),0))-IF($G$2,0,IF((AL$6-$G$3)&lt;1,0,IFERROR(LOOKUP(2,1/('Milho 2ª safra'!$E61:INDEX('Milho 2ª safra'!$E61:$Z61,MIN(AL$6-$G$3,22))&lt;&gt;""),'Milho 2ª safra'!$E61:INDEX('Milho 2ª safra'!$E61:$Z61,MIN(AL$6-$G$3,22))),0)))))</f>
        <v>0</v>
      </c>
      <c r="AM63" s="27" t="n">
        <f aca="false">IF(COUNT('Milho 2ª safra'!$E61:$Z61)=0,0,MAX(0,IF((AM$6-$E$3)&lt;1,0,IFERROR(LOOKUP(2,1/('Milho 2ª safra'!$E61:INDEX('Milho 2ª safra'!$E61:$Z61,MIN(AM$6-$E$3,22))&lt;&gt;""),'Milho 2ª safra'!$E61:INDEX('Milho 2ª safra'!$E61:$Z61,MIN(AM$6-$E$3,22))),0))-IF($G$2,0,IF((AM$6-$G$3)&lt;1,0,IFERROR(LOOKUP(2,1/('Milho 2ª safra'!$E61:INDEX('Milho 2ª safra'!$E61:$Z61,MIN(AM$6-$G$3,22))&lt;&gt;""),'Milho 2ª safra'!$E61:INDEX('Milho 2ª safra'!$E61:$Z61,MIN(AM$6-$G$3,22))),0)))))</f>
        <v>0</v>
      </c>
      <c r="AN63" s="27" t="n">
        <f aca="false">IF(COUNT('Milho 2ª safra'!$E61:$Z61)=0,0,MAX(0,IF((AN$6-$E$3)&lt;1,0,IFERROR(LOOKUP(2,1/('Milho 2ª safra'!$E61:INDEX('Milho 2ª safra'!$E61:$Z61,MIN(AN$6-$E$3,22))&lt;&gt;""),'Milho 2ª safra'!$E61:INDEX('Milho 2ª safra'!$E61:$Z61,MIN(AN$6-$E$3,22))),0))-IF($G$2,0,IF((AN$6-$G$3)&lt;1,0,IFERROR(LOOKUP(2,1/('Milho 2ª safra'!$E61:INDEX('Milho 2ª safra'!$E61:$Z61,MIN(AN$6-$G$3,22))&lt;&gt;""),'Milho 2ª safra'!$E61:INDEX('Milho 2ª safra'!$E61:$Z61,MIN(AN$6-$G$3,22))),0)))))</f>
        <v>0</v>
      </c>
      <c r="AO63" s="27" t="n">
        <f aca="false">IF(COUNT('Milho 2ª safra'!$E61:$Z61)=0,0,MAX(0,IF((AO$6-$E$3)&lt;1,0,IFERROR(LOOKUP(2,1/('Milho 2ª safra'!$E61:INDEX('Milho 2ª safra'!$E61:$Z61,MIN(AO$6-$E$3,22))&lt;&gt;""),'Milho 2ª safra'!$E61:INDEX('Milho 2ª safra'!$E61:$Z61,MIN(AO$6-$E$3,22))),0))-IF($G$2,0,IF((AO$6-$G$3)&lt;1,0,IFERROR(LOOKUP(2,1/('Milho 2ª safra'!$E61:INDEX('Milho 2ª safra'!$E61:$Z61,MIN(AO$6-$G$3,22))&lt;&gt;""),'Milho 2ª safra'!$E61:INDEX('Milho 2ª safra'!$E61:$Z61,MIN(AO$6-$G$3,22))),0)))))</f>
        <v>0</v>
      </c>
      <c r="AP63" s="27" t="n">
        <f aca="false">IF(COUNT('Milho 2ª safra'!$E61:$Z61)=0,0,MAX(0,IF((AP$6-$E$3)&lt;1,0,IFERROR(LOOKUP(2,1/('Milho 2ª safra'!$E61:INDEX('Milho 2ª safra'!$E61:$Z61,MIN(AP$6-$E$3,22))&lt;&gt;""),'Milho 2ª safra'!$E61:INDEX('Milho 2ª safra'!$E61:$Z61,MIN(AP$6-$E$3,22))),0))-IF($G$2,0,IF((AP$6-$G$3)&lt;1,0,IFERROR(LOOKUP(2,1/('Milho 2ª safra'!$E61:INDEX('Milho 2ª safra'!$E61:$Z61,MIN(AP$6-$G$3,22))&lt;&gt;""),'Milho 2ª safra'!$E61:INDEX('Milho 2ª safra'!$E61:$Z61,MIN(AP$6-$G$3,22))),0)))))</f>
        <v>0</v>
      </c>
      <c r="AQ63" s="27" t="n">
        <f aca="false">IF(COUNT('Milho 2ª safra'!$E61:$Z61)=0,0,MAX(0,IF((AQ$6-$E$3)&lt;1,0,IFERROR(LOOKUP(2,1/('Milho 2ª safra'!$E61:INDEX('Milho 2ª safra'!$E61:$Z61,MIN(AQ$6-$E$3,22))&lt;&gt;""),'Milho 2ª safra'!$E61:INDEX('Milho 2ª safra'!$E61:$Z61,MIN(AQ$6-$E$3,22))),0))-IF($G$2,0,IF((AQ$6-$G$3)&lt;1,0,IFERROR(LOOKUP(2,1/('Milho 2ª safra'!$E61:INDEX('Milho 2ª safra'!$E61:$Z61,MIN(AQ$6-$G$3,22))&lt;&gt;""),'Milho 2ª safra'!$E61:INDEX('Milho 2ª safra'!$E61:$Z61,MIN(AQ$6-$G$3,22))),0)))))</f>
        <v>0</v>
      </c>
      <c r="AR63" s="27" t="n">
        <f aca="false">IF(COUNT('Milho 2ª safra'!$E61:$Z61)=0,0,MAX(0,IF((AR$6-$E$3)&lt;1,0,IFERROR(LOOKUP(2,1/('Milho 2ª safra'!$E61:INDEX('Milho 2ª safra'!$E61:$Z61,MIN(AR$6-$E$3,22))&lt;&gt;""),'Milho 2ª safra'!$E61:INDEX('Milho 2ª safra'!$E61:$Z61,MIN(AR$6-$E$3,22))),0))-IF($G$2,0,IF((AR$6-$G$3)&lt;1,0,IFERROR(LOOKUP(2,1/('Milho 2ª safra'!$E61:INDEX('Milho 2ª safra'!$E61:$Z61,MIN(AR$6-$G$3,22))&lt;&gt;""),'Milho 2ª safra'!$E61:INDEX('Milho 2ª safra'!$E61:$Z61,MIN(AR$6-$G$3,22))),0)))))</f>
        <v>0</v>
      </c>
      <c r="AS63" s="27" t="n">
        <f aca="false">IF(COUNT('Milho 2ª safra'!$E61:$Z61)=0,0,MAX(0,IF((AS$6-$E$3)&lt;1,0,IFERROR(LOOKUP(2,1/('Milho 2ª safra'!$E61:INDEX('Milho 2ª safra'!$E61:$Z61,MIN(AS$6-$E$3,22))&lt;&gt;""),'Milho 2ª safra'!$E61:INDEX('Milho 2ª safra'!$E61:$Z61,MIN(AS$6-$E$3,22))),0))-IF($G$2,0,IF((AS$6-$G$3)&lt;1,0,IFERROR(LOOKUP(2,1/('Milho 2ª safra'!$E61:INDEX('Milho 2ª safra'!$E61:$Z61,MIN(AS$6-$G$3,22))&lt;&gt;""),'Milho 2ª safra'!$E61:INDEX('Milho 2ª safra'!$E61:$Z61,MIN(AS$6-$G$3,22))),0)))))</f>
        <v>0</v>
      </c>
      <c r="AT63" s="27" t="n">
        <f aca="false">IF(COUNT('Milho 2ª safra'!$E61:$Z61)=0,0,MAX(0,IF((AT$6-$E$3)&lt;1,0,IFERROR(LOOKUP(2,1/('Milho 2ª safra'!$E61:INDEX('Milho 2ª safra'!$E61:$Z61,MIN(AT$6-$E$3,22))&lt;&gt;""),'Milho 2ª safra'!$E61:INDEX('Milho 2ª safra'!$E61:$Z61,MIN(AT$6-$E$3,22))),0))-IF($G$2,0,IF((AT$6-$G$3)&lt;1,0,IFERROR(LOOKUP(2,1/('Milho 2ª safra'!$E61:INDEX('Milho 2ª safra'!$E61:$Z61,MIN(AT$6-$G$3,22))&lt;&gt;""),'Milho 2ª safra'!$E61:INDEX('Milho 2ª safra'!$E61:$Z61,MIN(AT$6-$G$3,22))),0)))))</f>
        <v>0</v>
      </c>
      <c r="AU63" s="27" t="n">
        <f aca="false">IF(COUNT('Milho 2ª safra'!$E61:$Z61)=0,0,MAX(0,IF((AU$6-$E$3)&lt;1,0,IFERROR(LOOKUP(2,1/('Milho 2ª safra'!$E61:INDEX('Milho 2ª safra'!$E61:$Z61,MIN(AU$6-$E$3,22))&lt;&gt;""),'Milho 2ª safra'!$E61:INDEX('Milho 2ª safra'!$E61:$Z61,MIN(AU$6-$E$3,22))),0))-IF($G$2,0,IF((AU$6-$G$3)&lt;1,0,IFERROR(LOOKUP(2,1/('Milho 2ª safra'!$E61:INDEX('Milho 2ª safra'!$E61:$Z61,MIN(AU$6-$G$3,22))&lt;&gt;""),'Milho 2ª safra'!$E61:INDEX('Milho 2ª safra'!$E61:$Z61,MIN(AU$6-$G$3,22))),0)))))</f>
        <v>0</v>
      </c>
      <c r="AV63" s="27" t="n">
        <f aca="false">IF(COUNT('Milho 2ª safra'!$E61:$Z61)=0,0,MAX(0,IF((AV$6-$E$3)&lt;1,0,IFERROR(LOOKUP(2,1/('Milho 2ª safra'!$E61:INDEX('Milho 2ª safra'!$E61:$Z61,MIN(AV$6-$E$3,22))&lt;&gt;""),'Milho 2ª safra'!$E61:INDEX('Milho 2ª safra'!$E61:$Z61,MIN(AV$6-$E$3,22))),0))-IF($G$2,0,IF((AV$6-$G$3)&lt;1,0,IFERROR(LOOKUP(2,1/('Milho 2ª safra'!$E61:INDEX('Milho 2ª safra'!$E61:$Z61,MIN(AV$6-$G$3,22))&lt;&gt;""),'Milho 2ª safra'!$E61:INDEX('Milho 2ª safra'!$E61:$Z61,MIN(AV$6-$G$3,22))),0)))))</f>
        <v>0</v>
      </c>
      <c r="AW63" s="27" t="n">
        <f aca="false">IF(COUNT('Milho 2ª safra'!$E61:$Z61)=0,0,MAX(0,IF((AW$6-$E$3)&lt;1,0,IFERROR(LOOKUP(2,1/('Milho 2ª safra'!$E61:INDEX('Milho 2ª safra'!$E61:$Z61,MIN(AW$6-$E$3,22))&lt;&gt;""),'Milho 2ª safra'!$E61:INDEX('Milho 2ª safra'!$E61:$Z61,MIN(AW$6-$E$3,22))),0))-IF($G$2,0,IF((AW$6-$G$3)&lt;1,0,IFERROR(LOOKUP(2,1/('Milho 2ª safra'!$E61:INDEX('Milho 2ª safra'!$E61:$Z61,MIN(AW$6-$G$3,22))&lt;&gt;""),'Milho 2ª safra'!$E61:INDEX('Milho 2ª safra'!$E61:$Z61,MIN(AW$6-$G$3,22))),0)))))</f>
        <v>0</v>
      </c>
      <c r="AX63" s="27" t="n">
        <f aca="false">IF(COUNT('Milho 2ª safra'!$E61:$Z61)=0,0,MAX(0,IF((AX$6-$E$3)&lt;1,0,IFERROR(LOOKUP(2,1/('Milho 2ª safra'!$E61:INDEX('Milho 2ª safra'!$E61:$Z61,MIN(AX$6-$E$3,22))&lt;&gt;""),'Milho 2ª safra'!$E61:INDEX('Milho 2ª safra'!$E61:$Z61,MIN(AX$6-$E$3,22))),0))-IF($G$2,0,IF((AX$6-$G$3)&lt;1,0,IFERROR(LOOKUP(2,1/('Milho 2ª safra'!$E61:INDEX('Milho 2ª safra'!$E61:$Z61,MIN(AX$6-$G$3,22))&lt;&gt;""),'Milho 2ª safra'!$E61:INDEX('Milho 2ª safra'!$E61:$Z61,MIN(AX$6-$G$3,22))),0)))))</f>
        <v>0</v>
      </c>
      <c r="AY63" s="27" t="n">
        <f aca="false">IF(COUNT('Milho 2ª safra'!$E61:$Z61)=0,0,MAX(0,IF((AY$6-$E$3)&lt;1,0,IFERROR(LOOKUP(2,1/('Milho 2ª safra'!$E61:INDEX('Milho 2ª safra'!$E61:$Z61,MIN(AY$6-$E$3,22))&lt;&gt;""),'Milho 2ª safra'!$E61:INDEX('Milho 2ª safra'!$E61:$Z61,MIN(AY$6-$E$3,22))),0))-IF($G$2,0,IF((AY$6-$G$3)&lt;1,0,IFERROR(LOOKUP(2,1/('Milho 2ª safra'!$E61:INDEX('Milho 2ª safra'!$E61:$Z61,MIN(AY$6-$G$3,22))&lt;&gt;""),'Milho 2ª safra'!$E61:INDEX('Milho 2ª safra'!$E61:$Z61,MIN(AY$6-$G$3,22))),0)))))</f>
        <v>0</v>
      </c>
      <c r="AZ63" s="27" t="n">
        <f aca="false">IF(COUNT('Milho 2ª safra'!$E61:$Z61)=0,0,MAX(0,IF((AZ$6-$E$3)&lt;1,0,IFERROR(LOOKUP(2,1/('Milho 2ª safra'!$E61:INDEX('Milho 2ª safra'!$E61:$Z61,MIN(AZ$6-$E$3,22))&lt;&gt;""),'Milho 2ª safra'!$E61:INDEX('Milho 2ª safra'!$E61:$Z61,MIN(AZ$6-$E$3,22))),0))-IF($G$2,0,IF((AZ$6-$G$3)&lt;1,0,IFERROR(LOOKUP(2,1/('Milho 2ª safra'!$E61:INDEX('Milho 2ª safra'!$E61:$Z61,MIN(AZ$6-$G$3,22))&lt;&gt;""),'Milho 2ª safra'!$E61:INDEX('Milho 2ª safra'!$E61:$Z61,MIN(AZ$6-$G$3,22))),0)))))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IF(COUNT('Milho 2ª safra'!$E62:$Z62)&gt;0,N('Milho 2ª safra'!$D62),0)</f>
        <v>0</v>
      </c>
      <c r="E64" s="27" t="n">
        <f aca="false">IF(COUNT('Milho 2ª safra'!$E62:$Z62)=0,0,MAX(0,IF((E$6-$E$3)&lt;1,0,IFERROR(LOOKUP(2,1/('Milho 2ª safra'!$E62:INDEX('Milho 2ª safra'!$E62:$Z62,MIN(E$6-$E$3,22))&lt;&gt;""),'Milho 2ª safra'!$E62:INDEX('Milho 2ª safra'!$E62:$Z62,MIN(E$6-$E$3,22))),0))-IF($G$2,0,IF((E$6-$G$3)&lt;1,0,IFERROR(LOOKUP(2,1/('Milho 2ª safra'!$E62:INDEX('Milho 2ª safra'!$E62:$Z62,MIN(E$6-$G$3,22))&lt;&gt;""),'Milho 2ª safra'!$E62:INDEX('Milho 2ª safra'!$E62:$Z62,MIN(E$6-$G$3,22))),0)))))</f>
        <v>0</v>
      </c>
      <c r="F64" s="27" t="n">
        <f aca="false">IF(COUNT('Milho 2ª safra'!$E62:$Z62)=0,0,MAX(0,IF((F$6-$E$3)&lt;1,0,IFERROR(LOOKUP(2,1/('Milho 2ª safra'!$E62:INDEX('Milho 2ª safra'!$E62:$Z62,MIN(F$6-$E$3,22))&lt;&gt;""),'Milho 2ª safra'!$E62:INDEX('Milho 2ª safra'!$E62:$Z62,MIN(F$6-$E$3,22))),0))-IF($G$2,0,IF((F$6-$G$3)&lt;1,0,IFERROR(LOOKUP(2,1/('Milho 2ª safra'!$E62:INDEX('Milho 2ª safra'!$E62:$Z62,MIN(F$6-$G$3,22))&lt;&gt;""),'Milho 2ª safra'!$E62:INDEX('Milho 2ª safra'!$E62:$Z62,MIN(F$6-$G$3,22))),0)))))</f>
        <v>0</v>
      </c>
      <c r="G64" s="27" t="n">
        <f aca="false">IF(COUNT('Milho 2ª safra'!$E62:$Z62)=0,0,MAX(0,IF((G$6-$E$3)&lt;1,0,IFERROR(LOOKUP(2,1/('Milho 2ª safra'!$E62:INDEX('Milho 2ª safra'!$E62:$Z62,MIN(G$6-$E$3,22))&lt;&gt;""),'Milho 2ª safra'!$E62:INDEX('Milho 2ª safra'!$E62:$Z62,MIN(G$6-$E$3,22))),0))-IF($G$2,0,IF((G$6-$G$3)&lt;1,0,IFERROR(LOOKUP(2,1/('Milho 2ª safra'!$E62:INDEX('Milho 2ª safra'!$E62:$Z62,MIN(G$6-$G$3,22))&lt;&gt;""),'Milho 2ª safra'!$E62:INDEX('Milho 2ª safra'!$E62:$Z62,MIN(G$6-$G$3,22))),0)))))</f>
        <v>0</v>
      </c>
      <c r="H64" s="27" t="n">
        <f aca="false">IF(COUNT('Milho 2ª safra'!$E62:$Z62)=0,0,MAX(0,IF((H$6-$E$3)&lt;1,0,IFERROR(LOOKUP(2,1/('Milho 2ª safra'!$E62:INDEX('Milho 2ª safra'!$E62:$Z62,MIN(H$6-$E$3,22))&lt;&gt;""),'Milho 2ª safra'!$E62:INDEX('Milho 2ª safra'!$E62:$Z62,MIN(H$6-$E$3,22))),0))-IF($G$2,0,IF((H$6-$G$3)&lt;1,0,IFERROR(LOOKUP(2,1/('Milho 2ª safra'!$E62:INDEX('Milho 2ª safra'!$E62:$Z62,MIN(H$6-$G$3,22))&lt;&gt;""),'Milho 2ª safra'!$E62:INDEX('Milho 2ª safra'!$E62:$Z62,MIN(H$6-$G$3,22))),0)))))</f>
        <v>0</v>
      </c>
      <c r="I64" s="27" t="n">
        <f aca="false">IF(COUNT('Milho 2ª safra'!$E62:$Z62)=0,0,MAX(0,IF((I$6-$E$3)&lt;1,0,IFERROR(LOOKUP(2,1/('Milho 2ª safra'!$E62:INDEX('Milho 2ª safra'!$E62:$Z62,MIN(I$6-$E$3,22))&lt;&gt;""),'Milho 2ª safra'!$E62:INDEX('Milho 2ª safra'!$E62:$Z62,MIN(I$6-$E$3,22))),0))-IF($G$2,0,IF((I$6-$G$3)&lt;1,0,IFERROR(LOOKUP(2,1/('Milho 2ª safra'!$E62:INDEX('Milho 2ª safra'!$E62:$Z62,MIN(I$6-$G$3,22))&lt;&gt;""),'Milho 2ª safra'!$E62:INDEX('Milho 2ª safra'!$E62:$Z62,MIN(I$6-$G$3,22))),0)))))</f>
        <v>0</v>
      </c>
      <c r="J64" s="27" t="n">
        <f aca="false">IF(COUNT('Milho 2ª safra'!$E62:$Z62)=0,0,MAX(0,IF((J$6-$E$3)&lt;1,0,IFERROR(LOOKUP(2,1/('Milho 2ª safra'!$E62:INDEX('Milho 2ª safra'!$E62:$Z62,MIN(J$6-$E$3,22))&lt;&gt;""),'Milho 2ª safra'!$E62:INDEX('Milho 2ª safra'!$E62:$Z62,MIN(J$6-$E$3,22))),0))-IF($G$2,0,IF((J$6-$G$3)&lt;1,0,IFERROR(LOOKUP(2,1/('Milho 2ª safra'!$E62:INDEX('Milho 2ª safra'!$E62:$Z62,MIN(J$6-$G$3,22))&lt;&gt;""),'Milho 2ª safra'!$E62:INDEX('Milho 2ª safra'!$E62:$Z62,MIN(J$6-$G$3,22))),0)))))</f>
        <v>0</v>
      </c>
      <c r="K64" s="27" t="n">
        <f aca="false">IF(COUNT('Milho 2ª safra'!$E62:$Z62)=0,0,MAX(0,IF((K$6-$E$3)&lt;1,0,IFERROR(LOOKUP(2,1/('Milho 2ª safra'!$E62:INDEX('Milho 2ª safra'!$E62:$Z62,MIN(K$6-$E$3,22))&lt;&gt;""),'Milho 2ª safra'!$E62:INDEX('Milho 2ª safra'!$E62:$Z62,MIN(K$6-$E$3,22))),0))-IF($G$2,0,IF((K$6-$G$3)&lt;1,0,IFERROR(LOOKUP(2,1/('Milho 2ª safra'!$E62:INDEX('Milho 2ª safra'!$E62:$Z62,MIN(K$6-$G$3,22))&lt;&gt;""),'Milho 2ª safra'!$E62:INDEX('Milho 2ª safra'!$E62:$Z62,MIN(K$6-$G$3,22))),0)))))</f>
        <v>0</v>
      </c>
      <c r="L64" s="27" t="n">
        <f aca="false">IF(COUNT('Milho 2ª safra'!$E62:$Z62)=0,0,MAX(0,IF((L$6-$E$3)&lt;1,0,IFERROR(LOOKUP(2,1/('Milho 2ª safra'!$E62:INDEX('Milho 2ª safra'!$E62:$Z62,MIN(L$6-$E$3,22))&lt;&gt;""),'Milho 2ª safra'!$E62:INDEX('Milho 2ª safra'!$E62:$Z62,MIN(L$6-$E$3,22))),0))-IF($G$2,0,IF((L$6-$G$3)&lt;1,0,IFERROR(LOOKUP(2,1/('Milho 2ª safra'!$E62:INDEX('Milho 2ª safra'!$E62:$Z62,MIN(L$6-$G$3,22))&lt;&gt;""),'Milho 2ª safra'!$E62:INDEX('Milho 2ª safra'!$E62:$Z62,MIN(L$6-$G$3,22))),0)))))</f>
        <v>0</v>
      </c>
      <c r="M64" s="27" t="n">
        <f aca="false">IF(COUNT('Milho 2ª safra'!$E62:$Z62)=0,0,MAX(0,IF((M$6-$E$3)&lt;1,0,IFERROR(LOOKUP(2,1/('Milho 2ª safra'!$E62:INDEX('Milho 2ª safra'!$E62:$Z62,MIN(M$6-$E$3,22))&lt;&gt;""),'Milho 2ª safra'!$E62:INDEX('Milho 2ª safra'!$E62:$Z62,MIN(M$6-$E$3,22))),0))-IF($G$2,0,IF((M$6-$G$3)&lt;1,0,IFERROR(LOOKUP(2,1/('Milho 2ª safra'!$E62:INDEX('Milho 2ª safra'!$E62:$Z62,MIN(M$6-$G$3,22))&lt;&gt;""),'Milho 2ª safra'!$E62:INDEX('Milho 2ª safra'!$E62:$Z62,MIN(M$6-$G$3,22))),0)))))</f>
        <v>0</v>
      </c>
      <c r="N64" s="27" t="n">
        <f aca="false">IF(COUNT('Milho 2ª safra'!$E62:$Z62)=0,0,MAX(0,IF((N$6-$E$3)&lt;1,0,IFERROR(LOOKUP(2,1/('Milho 2ª safra'!$E62:INDEX('Milho 2ª safra'!$E62:$Z62,MIN(N$6-$E$3,22))&lt;&gt;""),'Milho 2ª safra'!$E62:INDEX('Milho 2ª safra'!$E62:$Z62,MIN(N$6-$E$3,22))),0))-IF($G$2,0,IF((N$6-$G$3)&lt;1,0,IFERROR(LOOKUP(2,1/('Milho 2ª safra'!$E62:INDEX('Milho 2ª safra'!$E62:$Z62,MIN(N$6-$G$3,22))&lt;&gt;""),'Milho 2ª safra'!$E62:INDEX('Milho 2ª safra'!$E62:$Z62,MIN(N$6-$G$3,22))),0)))))</f>
        <v>0</v>
      </c>
      <c r="O64" s="27" t="n">
        <f aca="false">IF(COUNT('Milho 2ª safra'!$E62:$Z62)=0,0,MAX(0,IF((O$6-$E$3)&lt;1,0,IFERROR(LOOKUP(2,1/('Milho 2ª safra'!$E62:INDEX('Milho 2ª safra'!$E62:$Z62,MIN(O$6-$E$3,22))&lt;&gt;""),'Milho 2ª safra'!$E62:INDEX('Milho 2ª safra'!$E62:$Z62,MIN(O$6-$E$3,22))),0))-IF($G$2,0,IF((O$6-$G$3)&lt;1,0,IFERROR(LOOKUP(2,1/('Milho 2ª safra'!$E62:INDEX('Milho 2ª safra'!$E62:$Z62,MIN(O$6-$G$3,22))&lt;&gt;""),'Milho 2ª safra'!$E62:INDEX('Milho 2ª safra'!$E62:$Z62,MIN(O$6-$G$3,22))),0)))))</f>
        <v>0</v>
      </c>
      <c r="P64" s="27" t="n">
        <f aca="false">IF(COUNT('Milho 2ª safra'!$E62:$Z62)=0,0,MAX(0,IF((P$6-$E$3)&lt;1,0,IFERROR(LOOKUP(2,1/('Milho 2ª safra'!$E62:INDEX('Milho 2ª safra'!$E62:$Z62,MIN(P$6-$E$3,22))&lt;&gt;""),'Milho 2ª safra'!$E62:INDEX('Milho 2ª safra'!$E62:$Z62,MIN(P$6-$E$3,22))),0))-IF($G$2,0,IF((P$6-$G$3)&lt;1,0,IFERROR(LOOKUP(2,1/('Milho 2ª safra'!$E62:INDEX('Milho 2ª safra'!$E62:$Z62,MIN(P$6-$G$3,22))&lt;&gt;""),'Milho 2ª safra'!$E62:INDEX('Milho 2ª safra'!$E62:$Z62,MIN(P$6-$G$3,22))),0)))))</f>
        <v>0</v>
      </c>
      <c r="Q64" s="27" t="n">
        <f aca="false">IF(COUNT('Milho 2ª safra'!$E62:$Z62)=0,0,MAX(0,IF((Q$6-$E$3)&lt;1,0,IFERROR(LOOKUP(2,1/('Milho 2ª safra'!$E62:INDEX('Milho 2ª safra'!$E62:$Z62,MIN(Q$6-$E$3,22))&lt;&gt;""),'Milho 2ª safra'!$E62:INDEX('Milho 2ª safra'!$E62:$Z62,MIN(Q$6-$E$3,22))),0))-IF($G$2,0,IF((Q$6-$G$3)&lt;1,0,IFERROR(LOOKUP(2,1/('Milho 2ª safra'!$E62:INDEX('Milho 2ª safra'!$E62:$Z62,MIN(Q$6-$G$3,22))&lt;&gt;""),'Milho 2ª safra'!$E62:INDEX('Milho 2ª safra'!$E62:$Z62,MIN(Q$6-$G$3,22))),0)))))</f>
        <v>0</v>
      </c>
      <c r="R64" s="27" t="n">
        <f aca="false">IF(COUNT('Milho 2ª safra'!$E62:$Z62)=0,0,MAX(0,IF((R$6-$E$3)&lt;1,0,IFERROR(LOOKUP(2,1/('Milho 2ª safra'!$E62:INDEX('Milho 2ª safra'!$E62:$Z62,MIN(R$6-$E$3,22))&lt;&gt;""),'Milho 2ª safra'!$E62:INDEX('Milho 2ª safra'!$E62:$Z62,MIN(R$6-$E$3,22))),0))-IF($G$2,0,IF((R$6-$G$3)&lt;1,0,IFERROR(LOOKUP(2,1/('Milho 2ª safra'!$E62:INDEX('Milho 2ª safra'!$E62:$Z62,MIN(R$6-$G$3,22))&lt;&gt;""),'Milho 2ª safra'!$E62:INDEX('Milho 2ª safra'!$E62:$Z62,MIN(R$6-$G$3,22))),0)))))</f>
        <v>0</v>
      </c>
      <c r="S64" s="27" t="n">
        <f aca="false">IF(COUNT('Milho 2ª safra'!$E62:$Z62)=0,0,MAX(0,IF((S$6-$E$3)&lt;1,0,IFERROR(LOOKUP(2,1/('Milho 2ª safra'!$E62:INDEX('Milho 2ª safra'!$E62:$Z62,MIN(S$6-$E$3,22))&lt;&gt;""),'Milho 2ª safra'!$E62:INDEX('Milho 2ª safra'!$E62:$Z62,MIN(S$6-$E$3,22))),0))-IF($G$2,0,IF((S$6-$G$3)&lt;1,0,IFERROR(LOOKUP(2,1/('Milho 2ª safra'!$E62:INDEX('Milho 2ª safra'!$E62:$Z62,MIN(S$6-$G$3,22))&lt;&gt;""),'Milho 2ª safra'!$E62:INDEX('Milho 2ª safra'!$E62:$Z62,MIN(S$6-$G$3,22))),0)))))</f>
        <v>0</v>
      </c>
      <c r="T64" s="27" t="n">
        <f aca="false">IF(COUNT('Milho 2ª safra'!$E62:$Z62)=0,0,MAX(0,IF((T$6-$E$3)&lt;1,0,IFERROR(LOOKUP(2,1/('Milho 2ª safra'!$E62:INDEX('Milho 2ª safra'!$E62:$Z62,MIN(T$6-$E$3,22))&lt;&gt;""),'Milho 2ª safra'!$E62:INDEX('Milho 2ª safra'!$E62:$Z62,MIN(T$6-$E$3,22))),0))-IF($G$2,0,IF((T$6-$G$3)&lt;1,0,IFERROR(LOOKUP(2,1/('Milho 2ª safra'!$E62:INDEX('Milho 2ª safra'!$E62:$Z62,MIN(T$6-$G$3,22))&lt;&gt;""),'Milho 2ª safra'!$E62:INDEX('Milho 2ª safra'!$E62:$Z62,MIN(T$6-$G$3,22))),0)))))</f>
        <v>0</v>
      </c>
      <c r="U64" s="27" t="n">
        <f aca="false">IF(COUNT('Milho 2ª safra'!$E62:$Z62)=0,0,MAX(0,IF((U$6-$E$3)&lt;1,0,IFERROR(LOOKUP(2,1/('Milho 2ª safra'!$E62:INDEX('Milho 2ª safra'!$E62:$Z62,MIN(U$6-$E$3,22))&lt;&gt;""),'Milho 2ª safra'!$E62:INDEX('Milho 2ª safra'!$E62:$Z62,MIN(U$6-$E$3,22))),0))-IF($G$2,0,IF((U$6-$G$3)&lt;1,0,IFERROR(LOOKUP(2,1/('Milho 2ª safra'!$E62:INDEX('Milho 2ª safra'!$E62:$Z62,MIN(U$6-$G$3,22))&lt;&gt;""),'Milho 2ª safra'!$E62:INDEX('Milho 2ª safra'!$E62:$Z62,MIN(U$6-$G$3,22))),0)))))</f>
        <v>0</v>
      </c>
      <c r="V64" s="27" t="n">
        <f aca="false">IF(COUNT('Milho 2ª safra'!$E62:$Z62)=0,0,MAX(0,IF((V$6-$E$3)&lt;1,0,IFERROR(LOOKUP(2,1/('Milho 2ª safra'!$E62:INDEX('Milho 2ª safra'!$E62:$Z62,MIN(V$6-$E$3,22))&lt;&gt;""),'Milho 2ª safra'!$E62:INDEX('Milho 2ª safra'!$E62:$Z62,MIN(V$6-$E$3,22))),0))-IF($G$2,0,IF((V$6-$G$3)&lt;1,0,IFERROR(LOOKUP(2,1/('Milho 2ª safra'!$E62:INDEX('Milho 2ª safra'!$E62:$Z62,MIN(V$6-$G$3,22))&lt;&gt;""),'Milho 2ª safra'!$E62:INDEX('Milho 2ª safra'!$E62:$Z62,MIN(V$6-$G$3,22))),0)))))</f>
        <v>0</v>
      </c>
      <c r="W64" s="27" t="n">
        <f aca="false">IF(COUNT('Milho 2ª safra'!$E62:$Z62)=0,0,MAX(0,IF((W$6-$E$3)&lt;1,0,IFERROR(LOOKUP(2,1/('Milho 2ª safra'!$E62:INDEX('Milho 2ª safra'!$E62:$Z62,MIN(W$6-$E$3,22))&lt;&gt;""),'Milho 2ª safra'!$E62:INDEX('Milho 2ª safra'!$E62:$Z62,MIN(W$6-$E$3,22))),0))-IF($G$2,0,IF((W$6-$G$3)&lt;1,0,IFERROR(LOOKUP(2,1/('Milho 2ª safra'!$E62:INDEX('Milho 2ª safra'!$E62:$Z62,MIN(W$6-$G$3,22))&lt;&gt;""),'Milho 2ª safra'!$E62:INDEX('Milho 2ª safra'!$E62:$Z62,MIN(W$6-$G$3,22))),0)))))</f>
        <v>0</v>
      </c>
      <c r="X64" s="27" t="n">
        <f aca="false">IF(COUNT('Milho 2ª safra'!$E62:$Z62)=0,0,MAX(0,IF((X$6-$E$3)&lt;1,0,IFERROR(LOOKUP(2,1/('Milho 2ª safra'!$E62:INDEX('Milho 2ª safra'!$E62:$Z62,MIN(X$6-$E$3,22))&lt;&gt;""),'Milho 2ª safra'!$E62:INDEX('Milho 2ª safra'!$E62:$Z62,MIN(X$6-$E$3,22))),0))-IF($G$2,0,IF((X$6-$G$3)&lt;1,0,IFERROR(LOOKUP(2,1/('Milho 2ª safra'!$E62:INDEX('Milho 2ª safra'!$E62:$Z62,MIN(X$6-$G$3,22))&lt;&gt;""),'Milho 2ª safra'!$E62:INDEX('Milho 2ª safra'!$E62:$Z62,MIN(X$6-$G$3,22))),0)))))</f>
        <v>0</v>
      </c>
      <c r="Y64" s="27" t="n">
        <f aca="false">IF(COUNT('Milho 2ª safra'!$E62:$Z62)=0,0,MAX(0,IF((Y$6-$E$3)&lt;1,0,IFERROR(LOOKUP(2,1/('Milho 2ª safra'!$E62:INDEX('Milho 2ª safra'!$E62:$Z62,MIN(Y$6-$E$3,22))&lt;&gt;""),'Milho 2ª safra'!$E62:INDEX('Milho 2ª safra'!$E62:$Z62,MIN(Y$6-$E$3,22))),0))-IF($G$2,0,IF((Y$6-$G$3)&lt;1,0,IFERROR(LOOKUP(2,1/('Milho 2ª safra'!$E62:INDEX('Milho 2ª safra'!$E62:$Z62,MIN(Y$6-$G$3,22))&lt;&gt;""),'Milho 2ª safra'!$E62:INDEX('Milho 2ª safra'!$E62:$Z62,MIN(Y$6-$G$3,22))),0)))))</f>
        <v>0</v>
      </c>
      <c r="Z64" s="27" t="n">
        <f aca="false">IF(COUNT('Milho 2ª safra'!$E62:$Z62)=0,0,MAX(0,IF((Z$6-$E$3)&lt;1,0,IFERROR(LOOKUP(2,1/('Milho 2ª safra'!$E62:INDEX('Milho 2ª safra'!$E62:$Z62,MIN(Z$6-$E$3,22))&lt;&gt;""),'Milho 2ª safra'!$E62:INDEX('Milho 2ª safra'!$E62:$Z62,MIN(Z$6-$E$3,22))),0))-IF($G$2,0,IF((Z$6-$G$3)&lt;1,0,IFERROR(LOOKUP(2,1/('Milho 2ª safra'!$E62:INDEX('Milho 2ª safra'!$E62:$Z62,MIN(Z$6-$G$3,22))&lt;&gt;""),'Milho 2ª safra'!$E62:INDEX('Milho 2ª safra'!$E62:$Z62,MIN(Z$6-$G$3,22))),0)))))</f>
        <v>0</v>
      </c>
      <c r="AA64" s="27" t="n">
        <f aca="false">IF(COUNT('Milho 2ª safra'!$E62:$Z62)=0,0,MAX(0,IF((AA$6-$E$3)&lt;1,0,IFERROR(LOOKUP(2,1/('Milho 2ª safra'!$E62:INDEX('Milho 2ª safra'!$E62:$Z62,MIN(AA$6-$E$3,22))&lt;&gt;""),'Milho 2ª safra'!$E62:INDEX('Milho 2ª safra'!$E62:$Z62,MIN(AA$6-$E$3,22))),0))-IF($G$2,0,IF((AA$6-$G$3)&lt;1,0,IFERROR(LOOKUP(2,1/('Milho 2ª safra'!$E62:INDEX('Milho 2ª safra'!$E62:$Z62,MIN(AA$6-$G$3,22))&lt;&gt;""),'Milho 2ª safra'!$E62:INDEX('Milho 2ª safra'!$E62:$Z62,MIN(AA$6-$G$3,22))),0)))))</f>
        <v>0</v>
      </c>
      <c r="AB64" s="27" t="n">
        <f aca="false">IF(COUNT('Milho 2ª safra'!$E62:$Z62)=0,0,MAX(0,IF((AB$6-$E$3)&lt;1,0,IFERROR(LOOKUP(2,1/('Milho 2ª safra'!$E62:INDEX('Milho 2ª safra'!$E62:$Z62,MIN(AB$6-$E$3,22))&lt;&gt;""),'Milho 2ª safra'!$E62:INDEX('Milho 2ª safra'!$E62:$Z62,MIN(AB$6-$E$3,22))),0))-IF($G$2,0,IF((AB$6-$G$3)&lt;1,0,IFERROR(LOOKUP(2,1/('Milho 2ª safra'!$E62:INDEX('Milho 2ª safra'!$E62:$Z62,MIN(AB$6-$G$3,22))&lt;&gt;""),'Milho 2ª safra'!$E62:INDEX('Milho 2ª safra'!$E62:$Z62,MIN(AB$6-$G$3,22))),0)))))</f>
        <v>0</v>
      </c>
      <c r="AC64" s="27" t="n">
        <f aca="false">IF(COUNT('Milho 2ª safra'!$E62:$Z62)=0,0,MAX(0,IF((AC$6-$E$3)&lt;1,0,IFERROR(LOOKUP(2,1/('Milho 2ª safra'!$E62:INDEX('Milho 2ª safra'!$E62:$Z62,MIN(AC$6-$E$3,22))&lt;&gt;""),'Milho 2ª safra'!$E62:INDEX('Milho 2ª safra'!$E62:$Z62,MIN(AC$6-$E$3,22))),0))-IF($G$2,0,IF((AC$6-$G$3)&lt;1,0,IFERROR(LOOKUP(2,1/('Milho 2ª safra'!$E62:INDEX('Milho 2ª safra'!$E62:$Z62,MIN(AC$6-$G$3,22))&lt;&gt;""),'Milho 2ª safra'!$E62:INDEX('Milho 2ª safra'!$E62:$Z62,MIN(AC$6-$G$3,22))),0)))))</f>
        <v>0</v>
      </c>
      <c r="AD64" s="27" t="n">
        <f aca="false">IF(COUNT('Milho 2ª safra'!$E62:$Z62)=0,0,MAX(0,IF((AD$6-$E$3)&lt;1,0,IFERROR(LOOKUP(2,1/('Milho 2ª safra'!$E62:INDEX('Milho 2ª safra'!$E62:$Z62,MIN(AD$6-$E$3,22))&lt;&gt;""),'Milho 2ª safra'!$E62:INDEX('Milho 2ª safra'!$E62:$Z62,MIN(AD$6-$E$3,22))),0))-IF($G$2,0,IF((AD$6-$G$3)&lt;1,0,IFERROR(LOOKUP(2,1/('Milho 2ª safra'!$E62:INDEX('Milho 2ª safra'!$E62:$Z62,MIN(AD$6-$G$3,22))&lt;&gt;""),'Milho 2ª safra'!$E62:INDEX('Milho 2ª safra'!$E62:$Z62,MIN(AD$6-$G$3,22))),0)))))</f>
        <v>0</v>
      </c>
      <c r="AE64" s="27" t="n">
        <f aca="false">IF(COUNT('Milho 2ª safra'!$E62:$Z62)=0,0,MAX(0,IF((AE$6-$E$3)&lt;1,0,IFERROR(LOOKUP(2,1/('Milho 2ª safra'!$E62:INDEX('Milho 2ª safra'!$E62:$Z62,MIN(AE$6-$E$3,22))&lt;&gt;""),'Milho 2ª safra'!$E62:INDEX('Milho 2ª safra'!$E62:$Z62,MIN(AE$6-$E$3,22))),0))-IF($G$2,0,IF((AE$6-$G$3)&lt;1,0,IFERROR(LOOKUP(2,1/('Milho 2ª safra'!$E62:INDEX('Milho 2ª safra'!$E62:$Z62,MIN(AE$6-$G$3,22))&lt;&gt;""),'Milho 2ª safra'!$E62:INDEX('Milho 2ª safra'!$E62:$Z62,MIN(AE$6-$G$3,22))),0)))))</f>
        <v>0</v>
      </c>
      <c r="AF64" s="27" t="n">
        <f aca="false">IF(COUNT('Milho 2ª safra'!$E62:$Z62)=0,0,MAX(0,IF((AF$6-$E$3)&lt;1,0,IFERROR(LOOKUP(2,1/('Milho 2ª safra'!$E62:INDEX('Milho 2ª safra'!$E62:$Z62,MIN(AF$6-$E$3,22))&lt;&gt;""),'Milho 2ª safra'!$E62:INDEX('Milho 2ª safra'!$E62:$Z62,MIN(AF$6-$E$3,22))),0))-IF($G$2,0,IF((AF$6-$G$3)&lt;1,0,IFERROR(LOOKUP(2,1/('Milho 2ª safra'!$E62:INDEX('Milho 2ª safra'!$E62:$Z62,MIN(AF$6-$G$3,22))&lt;&gt;""),'Milho 2ª safra'!$E62:INDEX('Milho 2ª safra'!$E62:$Z62,MIN(AF$6-$G$3,22))),0)))))</f>
        <v>0</v>
      </c>
      <c r="AG64" s="27" t="n">
        <f aca="false">IF(COUNT('Milho 2ª safra'!$E62:$Z62)=0,0,MAX(0,IF((AG$6-$E$3)&lt;1,0,IFERROR(LOOKUP(2,1/('Milho 2ª safra'!$E62:INDEX('Milho 2ª safra'!$E62:$Z62,MIN(AG$6-$E$3,22))&lt;&gt;""),'Milho 2ª safra'!$E62:INDEX('Milho 2ª safra'!$E62:$Z62,MIN(AG$6-$E$3,22))),0))-IF($G$2,0,IF((AG$6-$G$3)&lt;1,0,IFERROR(LOOKUP(2,1/('Milho 2ª safra'!$E62:INDEX('Milho 2ª safra'!$E62:$Z62,MIN(AG$6-$G$3,22))&lt;&gt;""),'Milho 2ª safra'!$E62:INDEX('Milho 2ª safra'!$E62:$Z62,MIN(AG$6-$G$3,22))),0)))))</f>
        <v>0</v>
      </c>
      <c r="AH64" s="27" t="n">
        <f aca="false">IF(COUNT('Milho 2ª safra'!$E62:$Z62)=0,0,MAX(0,IF((AH$6-$E$3)&lt;1,0,IFERROR(LOOKUP(2,1/('Milho 2ª safra'!$E62:INDEX('Milho 2ª safra'!$E62:$Z62,MIN(AH$6-$E$3,22))&lt;&gt;""),'Milho 2ª safra'!$E62:INDEX('Milho 2ª safra'!$E62:$Z62,MIN(AH$6-$E$3,22))),0))-IF($G$2,0,IF((AH$6-$G$3)&lt;1,0,IFERROR(LOOKUP(2,1/('Milho 2ª safra'!$E62:INDEX('Milho 2ª safra'!$E62:$Z62,MIN(AH$6-$G$3,22))&lt;&gt;""),'Milho 2ª safra'!$E62:INDEX('Milho 2ª safra'!$E62:$Z62,MIN(AH$6-$G$3,22))),0)))))</f>
        <v>0</v>
      </c>
      <c r="AI64" s="27" t="n">
        <f aca="false">IF(COUNT('Milho 2ª safra'!$E62:$Z62)=0,0,MAX(0,IF((AI$6-$E$3)&lt;1,0,IFERROR(LOOKUP(2,1/('Milho 2ª safra'!$E62:INDEX('Milho 2ª safra'!$E62:$Z62,MIN(AI$6-$E$3,22))&lt;&gt;""),'Milho 2ª safra'!$E62:INDEX('Milho 2ª safra'!$E62:$Z62,MIN(AI$6-$E$3,22))),0))-IF($G$2,0,IF((AI$6-$G$3)&lt;1,0,IFERROR(LOOKUP(2,1/('Milho 2ª safra'!$E62:INDEX('Milho 2ª safra'!$E62:$Z62,MIN(AI$6-$G$3,22))&lt;&gt;""),'Milho 2ª safra'!$E62:INDEX('Milho 2ª safra'!$E62:$Z62,MIN(AI$6-$G$3,22))),0)))))</f>
        <v>0</v>
      </c>
      <c r="AJ64" s="27" t="n">
        <f aca="false">IF(COUNT('Milho 2ª safra'!$E62:$Z62)=0,0,MAX(0,IF((AJ$6-$E$3)&lt;1,0,IFERROR(LOOKUP(2,1/('Milho 2ª safra'!$E62:INDEX('Milho 2ª safra'!$E62:$Z62,MIN(AJ$6-$E$3,22))&lt;&gt;""),'Milho 2ª safra'!$E62:INDEX('Milho 2ª safra'!$E62:$Z62,MIN(AJ$6-$E$3,22))),0))-IF($G$2,0,IF((AJ$6-$G$3)&lt;1,0,IFERROR(LOOKUP(2,1/('Milho 2ª safra'!$E62:INDEX('Milho 2ª safra'!$E62:$Z62,MIN(AJ$6-$G$3,22))&lt;&gt;""),'Milho 2ª safra'!$E62:INDEX('Milho 2ª safra'!$E62:$Z62,MIN(AJ$6-$G$3,22))),0)))))</f>
        <v>0</v>
      </c>
      <c r="AK64" s="27" t="n">
        <f aca="false">IF(COUNT('Milho 2ª safra'!$E62:$Z62)=0,0,MAX(0,IF((AK$6-$E$3)&lt;1,0,IFERROR(LOOKUP(2,1/('Milho 2ª safra'!$E62:INDEX('Milho 2ª safra'!$E62:$Z62,MIN(AK$6-$E$3,22))&lt;&gt;""),'Milho 2ª safra'!$E62:INDEX('Milho 2ª safra'!$E62:$Z62,MIN(AK$6-$E$3,22))),0))-IF($G$2,0,IF((AK$6-$G$3)&lt;1,0,IFERROR(LOOKUP(2,1/('Milho 2ª safra'!$E62:INDEX('Milho 2ª safra'!$E62:$Z62,MIN(AK$6-$G$3,22))&lt;&gt;""),'Milho 2ª safra'!$E62:INDEX('Milho 2ª safra'!$E62:$Z62,MIN(AK$6-$G$3,22))),0)))))</f>
        <v>0</v>
      </c>
      <c r="AL64" s="27" t="n">
        <f aca="false">IF(COUNT('Milho 2ª safra'!$E62:$Z62)=0,0,MAX(0,IF((AL$6-$E$3)&lt;1,0,IFERROR(LOOKUP(2,1/('Milho 2ª safra'!$E62:INDEX('Milho 2ª safra'!$E62:$Z62,MIN(AL$6-$E$3,22))&lt;&gt;""),'Milho 2ª safra'!$E62:INDEX('Milho 2ª safra'!$E62:$Z62,MIN(AL$6-$E$3,22))),0))-IF($G$2,0,IF((AL$6-$G$3)&lt;1,0,IFERROR(LOOKUP(2,1/('Milho 2ª safra'!$E62:INDEX('Milho 2ª safra'!$E62:$Z62,MIN(AL$6-$G$3,22))&lt;&gt;""),'Milho 2ª safra'!$E62:INDEX('Milho 2ª safra'!$E62:$Z62,MIN(AL$6-$G$3,22))),0)))))</f>
        <v>0</v>
      </c>
      <c r="AM64" s="27" t="n">
        <f aca="false">IF(COUNT('Milho 2ª safra'!$E62:$Z62)=0,0,MAX(0,IF((AM$6-$E$3)&lt;1,0,IFERROR(LOOKUP(2,1/('Milho 2ª safra'!$E62:INDEX('Milho 2ª safra'!$E62:$Z62,MIN(AM$6-$E$3,22))&lt;&gt;""),'Milho 2ª safra'!$E62:INDEX('Milho 2ª safra'!$E62:$Z62,MIN(AM$6-$E$3,22))),0))-IF($G$2,0,IF((AM$6-$G$3)&lt;1,0,IFERROR(LOOKUP(2,1/('Milho 2ª safra'!$E62:INDEX('Milho 2ª safra'!$E62:$Z62,MIN(AM$6-$G$3,22))&lt;&gt;""),'Milho 2ª safra'!$E62:INDEX('Milho 2ª safra'!$E62:$Z62,MIN(AM$6-$G$3,22))),0)))))</f>
        <v>0</v>
      </c>
      <c r="AN64" s="27" t="n">
        <f aca="false">IF(COUNT('Milho 2ª safra'!$E62:$Z62)=0,0,MAX(0,IF((AN$6-$E$3)&lt;1,0,IFERROR(LOOKUP(2,1/('Milho 2ª safra'!$E62:INDEX('Milho 2ª safra'!$E62:$Z62,MIN(AN$6-$E$3,22))&lt;&gt;""),'Milho 2ª safra'!$E62:INDEX('Milho 2ª safra'!$E62:$Z62,MIN(AN$6-$E$3,22))),0))-IF($G$2,0,IF((AN$6-$G$3)&lt;1,0,IFERROR(LOOKUP(2,1/('Milho 2ª safra'!$E62:INDEX('Milho 2ª safra'!$E62:$Z62,MIN(AN$6-$G$3,22))&lt;&gt;""),'Milho 2ª safra'!$E62:INDEX('Milho 2ª safra'!$E62:$Z62,MIN(AN$6-$G$3,22))),0)))))</f>
        <v>0</v>
      </c>
      <c r="AO64" s="27" t="n">
        <f aca="false">IF(COUNT('Milho 2ª safra'!$E62:$Z62)=0,0,MAX(0,IF((AO$6-$E$3)&lt;1,0,IFERROR(LOOKUP(2,1/('Milho 2ª safra'!$E62:INDEX('Milho 2ª safra'!$E62:$Z62,MIN(AO$6-$E$3,22))&lt;&gt;""),'Milho 2ª safra'!$E62:INDEX('Milho 2ª safra'!$E62:$Z62,MIN(AO$6-$E$3,22))),0))-IF($G$2,0,IF((AO$6-$G$3)&lt;1,0,IFERROR(LOOKUP(2,1/('Milho 2ª safra'!$E62:INDEX('Milho 2ª safra'!$E62:$Z62,MIN(AO$6-$G$3,22))&lt;&gt;""),'Milho 2ª safra'!$E62:INDEX('Milho 2ª safra'!$E62:$Z62,MIN(AO$6-$G$3,22))),0)))))</f>
        <v>0</v>
      </c>
      <c r="AP64" s="27" t="n">
        <f aca="false">IF(COUNT('Milho 2ª safra'!$E62:$Z62)=0,0,MAX(0,IF((AP$6-$E$3)&lt;1,0,IFERROR(LOOKUP(2,1/('Milho 2ª safra'!$E62:INDEX('Milho 2ª safra'!$E62:$Z62,MIN(AP$6-$E$3,22))&lt;&gt;""),'Milho 2ª safra'!$E62:INDEX('Milho 2ª safra'!$E62:$Z62,MIN(AP$6-$E$3,22))),0))-IF($G$2,0,IF((AP$6-$G$3)&lt;1,0,IFERROR(LOOKUP(2,1/('Milho 2ª safra'!$E62:INDEX('Milho 2ª safra'!$E62:$Z62,MIN(AP$6-$G$3,22))&lt;&gt;""),'Milho 2ª safra'!$E62:INDEX('Milho 2ª safra'!$E62:$Z62,MIN(AP$6-$G$3,22))),0)))))</f>
        <v>0</v>
      </c>
      <c r="AQ64" s="27" t="n">
        <f aca="false">IF(COUNT('Milho 2ª safra'!$E62:$Z62)=0,0,MAX(0,IF((AQ$6-$E$3)&lt;1,0,IFERROR(LOOKUP(2,1/('Milho 2ª safra'!$E62:INDEX('Milho 2ª safra'!$E62:$Z62,MIN(AQ$6-$E$3,22))&lt;&gt;""),'Milho 2ª safra'!$E62:INDEX('Milho 2ª safra'!$E62:$Z62,MIN(AQ$6-$E$3,22))),0))-IF($G$2,0,IF((AQ$6-$G$3)&lt;1,0,IFERROR(LOOKUP(2,1/('Milho 2ª safra'!$E62:INDEX('Milho 2ª safra'!$E62:$Z62,MIN(AQ$6-$G$3,22))&lt;&gt;""),'Milho 2ª safra'!$E62:INDEX('Milho 2ª safra'!$E62:$Z62,MIN(AQ$6-$G$3,22))),0)))))</f>
        <v>0</v>
      </c>
      <c r="AR64" s="27" t="n">
        <f aca="false">IF(COUNT('Milho 2ª safra'!$E62:$Z62)=0,0,MAX(0,IF((AR$6-$E$3)&lt;1,0,IFERROR(LOOKUP(2,1/('Milho 2ª safra'!$E62:INDEX('Milho 2ª safra'!$E62:$Z62,MIN(AR$6-$E$3,22))&lt;&gt;""),'Milho 2ª safra'!$E62:INDEX('Milho 2ª safra'!$E62:$Z62,MIN(AR$6-$E$3,22))),0))-IF($G$2,0,IF((AR$6-$G$3)&lt;1,0,IFERROR(LOOKUP(2,1/('Milho 2ª safra'!$E62:INDEX('Milho 2ª safra'!$E62:$Z62,MIN(AR$6-$G$3,22))&lt;&gt;""),'Milho 2ª safra'!$E62:INDEX('Milho 2ª safra'!$E62:$Z62,MIN(AR$6-$G$3,22))),0)))))</f>
        <v>0</v>
      </c>
      <c r="AS64" s="27" t="n">
        <f aca="false">IF(COUNT('Milho 2ª safra'!$E62:$Z62)=0,0,MAX(0,IF((AS$6-$E$3)&lt;1,0,IFERROR(LOOKUP(2,1/('Milho 2ª safra'!$E62:INDEX('Milho 2ª safra'!$E62:$Z62,MIN(AS$6-$E$3,22))&lt;&gt;""),'Milho 2ª safra'!$E62:INDEX('Milho 2ª safra'!$E62:$Z62,MIN(AS$6-$E$3,22))),0))-IF($G$2,0,IF((AS$6-$G$3)&lt;1,0,IFERROR(LOOKUP(2,1/('Milho 2ª safra'!$E62:INDEX('Milho 2ª safra'!$E62:$Z62,MIN(AS$6-$G$3,22))&lt;&gt;""),'Milho 2ª safra'!$E62:INDEX('Milho 2ª safra'!$E62:$Z62,MIN(AS$6-$G$3,22))),0)))))</f>
        <v>0</v>
      </c>
      <c r="AT64" s="27" t="n">
        <f aca="false">IF(COUNT('Milho 2ª safra'!$E62:$Z62)=0,0,MAX(0,IF((AT$6-$E$3)&lt;1,0,IFERROR(LOOKUP(2,1/('Milho 2ª safra'!$E62:INDEX('Milho 2ª safra'!$E62:$Z62,MIN(AT$6-$E$3,22))&lt;&gt;""),'Milho 2ª safra'!$E62:INDEX('Milho 2ª safra'!$E62:$Z62,MIN(AT$6-$E$3,22))),0))-IF($G$2,0,IF((AT$6-$G$3)&lt;1,0,IFERROR(LOOKUP(2,1/('Milho 2ª safra'!$E62:INDEX('Milho 2ª safra'!$E62:$Z62,MIN(AT$6-$G$3,22))&lt;&gt;""),'Milho 2ª safra'!$E62:INDEX('Milho 2ª safra'!$E62:$Z62,MIN(AT$6-$G$3,22))),0)))))</f>
        <v>0</v>
      </c>
      <c r="AU64" s="27" t="n">
        <f aca="false">IF(COUNT('Milho 2ª safra'!$E62:$Z62)=0,0,MAX(0,IF((AU$6-$E$3)&lt;1,0,IFERROR(LOOKUP(2,1/('Milho 2ª safra'!$E62:INDEX('Milho 2ª safra'!$E62:$Z62,MIN(AU$6-$E$3,22))&lt;&gt;""),'Milho 2ª safra'!$E62:INDEX('Milho 2ª safra'!$E62:$Z62,MIN(AU$6-$E$3,22))),0))-IF($G$2,0,IF((AU$6-$G$3)&lt;1,0,IFERROR(LOOKUP(2,1/('Milho 2ª safra'!$E62:INDEX('Milho 2ª safra'!$E62:$Z62,MIN(AU$6-$G$3,22))&lt;&gt;""),'Milho 2ª safra'!$E62:INDEX('Milho 2ª safra'!$E62:$Z62,MIN(AU$6-$G$3,22))),0)))))</f>
        <v>0</v>
      </c>
      <c r="AV64" s="27" t="n">
        <f aca="false">IF(COUNT('Milho 2ª safra'!$E62:$Z62)=0,0,MAX(0,IF((AV$6-$E$3)&lt;1,0,IFERROR(LOOKUP(2,1/('Milho 2ª safra'!$E62:INDEX('Milho 2ª safra'!$E62:$Z62,MIN(AV$6-$E$3,22))&lt;&gt;""),'Milho 2ª safra'!$E62:INDEX('Milho 2ª safra'!$E62:$Z62,MIN(AV$6-$E$3,22))),0))-IF($G$2,0,IF((AV$6-$G$3)&lt;1,0,IFERROR(LOOKUP(2,1/('Milho 2ª safra'!$E62:INDEX('Milho 2ª safra'!$E62:$Z62,MIN(AV$6-$G$3,22))&lt;&gt;""),'Milho 2ª safra'!$E62:INDEX('Milho 2ª safra'!$E62:$Z62,MIN(AV$6-$G$3,22))),0)))))</f>
        <v>0</v>
      </c>
      <c r="AW64" s="27" t="n">
        <f aca="false">IF(COUNT('Milho 2ª safra'!$E62:$Z62)=0,0,MAX(0,IF((AW$6-$E$3)&lt;1,0,IFERROR(LOOKUP(2,1/('Milho 2ª safra'!$E62:INDEX('Milho 2ª safra'!$E62:$Z62,MIN(AW$6-$E$3,22))&lt;&gt;""),'Milho 2ª safra'!$E62:INDEX('Milho 2ª safra'!$E62:$Z62,MIN(AW$6-$E$3,22))),0))-IF($G$2,0,IF((AW$6-$G$3)&lt;1,0,IFERROR(LOOKUP(2,1/('Milho 2ª safra'!$E62:INDEX('Milho 2ª safra'!$E62:$Z62,MIN(AW$6-$G$3,22))&lt;&gt;""),'Milho 2ª safra'!$E62:INDEX('Milho 2ª safra'!$E62:$Z62,MIN(AW$6-$G$3,22))),0)))))</f>
        <v>0</v>
      </c>
      <c r="AX64" s="27" t="n">
        <f aca="false">IF(COUNT('Milho 2ª safra'!$E62:$Z62)=0,0,MAX(0,IF((AX$6-$E$3)&lt;1,0,IFERROR(LOOKUP(2,1/('Milho 2ª safra'!$E62:INDEX('Milho 2ª safra'!$E62:$Z62,MIN(AX$6-$E$3,22))&lt;&gt;""),'Milho 2ª safra'!$E62:INDEX('Milho 2ª safra'!$E62:$Z62,MIN(AX$6-$E$3,22))),0))-IF($G$2,0,IF((AX$6-$G$3)&lt;1,0,IFERROR(LOOKUP(2,1/('Milho 2ª safra'!$E62:INDEX('Milho 2ª safra'!$E62:$Z62,MIN(AX$6-$G$3,22))&lt;&gt;""),'Milho 2ª safra'!$E62:INDEX('Milho 2ª safra'!$E62:$Z62,MIN(AX$6-$G$3,22))),0)))))</f>
        <v>0</v>
      </c>
      <c r="AY64" s="27" t="n">
        <f aca="false">IF(COUNT('Milho 2ª safra'!$E62:$Z62)=0,0,MAX(0,IF((AY$6-$E$3)&lt;1,0,IFERROR(LOOKUP(2,1/('Milho 2ª safra'!$E62:INDEX('Milho 2ª safra'!$E62:$Z62,MIN(AY$6-$E$3,22))&lt;&gt;""),'Milho 2ª safra'!$E62:INDEX('Milho 2ª safra'!$E62:$Z62,MIN(AY$6-$E$3,22))),0))-IF($G$2,0,IF((AY$6-$G$3)&lt;1,0,IFERROR(LOOKUP(2,1/('Milho 2ª safra'!$E62:INDEX('Milho 2ª safra'!$E62:$Z62,MIN(AY$6-$G$3,22))&lt;&gt;""),'Milho 2ª safra'!$E62:INDEX('Milho 2ª safra'!$E62:$Z62,MIN(AY$6-$G$3,22))),0)))))</f>
        <v>0</v>
      </c>
      <c r="AZ64" s="27" t="n">
        <f aca="false">IF(COUNT('Milho 2ª safra'!$E62:$Z62)=0,0,MAX(0,IF((AZ$6-$E$3)&lt;1,0,IFERROR(LOOKUP(2,1/('Milho 2ª safra'!$E62:INDEX('Milho 2ª safra'!$E62:$Z62,MIN(AZ$6-$E$3,22))&lt;&gt;""),'Milho 2ª safra'!$E62:INDEX('Milho 2ª safra'!$E62:$Z62,MIN(AZ$6-$E$3,22))),0))-IF($G$2,0,IF((AZ$6-$G$3)&lt;1,0,IFERROR(LOOKUP(2,1/('Milho 2ª safra'!$E62:INDEX('Milho 2ª safra'!$E62:$Z62,MIN(AZ$6-$G$3,22))&lt;&gt;""),'Milho 2ª safra'!$E62:INDEX('Milho 2ª safra'!$E62:$Z62,MIN(AZ$6-$G$3,22))),0)))))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IF(COUNT('Milho 2ª safra'!$E63:$Z63)&gt;0,N('Milho 2ª safra'!$D63),0)</f>
        <v>0</v>
      </c>
      <c r="E65" s="27" t="n">
        <f aca="false">IF(COUNT('Milho 2ª safra'!$E63:$Z63)=0,0,MAX(0,IF((E$6-$E$3)&lt;1,0,IFERROR(LOOKUP(2,1/('Milho 2ª safra'!$E63:INDEX('Milho 2ª safra'!$E63:$Z63,MIN(E$6-$E$3,22))&lt;&gt;""),'Milho 2ª safra'!$E63:INDEX('Milho 2ª safra'!$E63:$Z63,MIN(E$6-$E$3,22))),0))-IF($G$2,0,IF((E$6-$G$3)&lt;1,0,IFERROR(LOOKUP(2,1/('Milho 2ª safra'!$E63:INDEX('Milho 2ª safra'!$E63:$Z63,MIN(E$6-$G$3,22))&lt;&gt;""),'Milho 2ª safra'!$E63:INDEX('Milho 2ª safra'!$E63:$Z63,MIN(E$6-$G$3,22))),0)))))</f>
        <v>0</v>
      </c>
      <c r="F65" s="27" t="n">
        <f aca="false">IF(COUNT('Milho 2ª safra'!$E63:$Z63)=0,0,MAX(0,IF((F$6-$E$3)&lt;1,0,IFERROR(LOOKUP(2,1/('Milho 2ª safra'!$E63:INDEX('Milho 2ª safra'!$E63:$Z63,MIN(F$6-$E$3,22))&lt;&gt;""),'Milho 2ª safra'!$E63:INDEX('Milho 2ª safra'!$E63:$Z63,MIN(F$6-$E$3,22))),0))-IF($G$2,0,IF((F$6-$G$3)&lt;1,0,IFERROR(LOOKUP(2,1/('Milho 2ª safra'!$E63:INDEX('Milho 2ª safra'!$E63:$Z63,MIN(F$6-$G$3,22))&lt;&gt;""),'Milho 2ª safra'!$E63:INDEX('Milho 2ª safra'!$E63:$Z63,MIN(F$6-$G$3,22))),0)))))</f>
        <v>0</v>
      </c>
      <c r="G65" s="27" t="n">
        <f aca="false">IF(COUNT('Milho 2ª safra'!$E63:$Z63)=0,0,MAX(0,IF((G$6-$E$3)&lt;1,0,IFERROR(LOOKUP(2,1/('Milho 2ª safra'!$E63:INDEX('Milho 2ª safra'!$E63:$Z63,MIN(G$6-$E$3,22))&lt;&gt;""),'Milho 2ª safra'!$E63:INDEX('Milho 2ª safra'!$E63:$Z63,MIN(G$6-$E$3,22))),0))-IF($G$2,0,IF((G$6-$G$3)&lt;1,0,IFERROR(LOOKUP(2,1/('Milho 2ª safra'!$E63:INDEX('Milho 2ª safra'!$E63:$Z63,MIN(G$6-$G$3,22))&lt;&gt;""),'Milho 2ª safra'!$E63:INDEX('Milho 2ª safra'!$E63:$Z63,MIN(G$6-$G$3,22))),0)))))</f>
        <v>0</v>
      </c>
      <c r="H65" s="27" t="n">
        <f aca="false">IF(COUNT('Milho 2ª safra'!$E63:$Z63)=0,0,MAX(0,IF((H$6-$E$3)&lt;1,0,IFERROR(LOOKUP(2,1/('Milho 2ª safra'!$E63:INDEX('Milho 2ª safra'!$E63:$Z63,MIN(H$6-$E$3,22))&lt;&gt;""),'Milho 2ª safra'!$E63:INDEX('Milho 2ª safra'!$E63:$Z63,MIN(H$6-$E$3,22))),0))-IF($G$2,0,IF((H$6-$G$3)&lt;1,0,IFERROR(LOOKUP(2,1/('Milho 2ª safra'!$E63:INDEX('Milho 2ª safra'!$E63:$Z63,MIN(H$6-$G$3,22))&lt;&gt;""),'Milho 2ª safra'!$E63:INDEX('Milho 2ª safra'!$E63:$Z63,MIN(H$6-$G$3,22))),0)))))</f>
        <v>0</v>
      </c>
      <c r="I65" s="27" t="n">
        <f aca="false">IF(COUNT('Milho 2ª safra'!$E63:$Z63)=0,0,MAX(0,IF((I$6-$E$3)&lt;1,0,IFERROR(LOOKUP(2,1/('Milho 2ª safra'!$E63:INDEX('Milho 2ª safra'!$E63:$Z63,MIN(I$6-$E$3,22))&lt;&gt;""),'Milho 2ª safra'!$E63:INDEX('Milho 2ª safra'!$E63:$Z63,MIN(I$6-$E$3,22))),0))-IF($G$2,0,IF((I$6-$G$3)&lt;1,0,IFERROR(LOOKUP(2,1/('Milho 2ª safra'!$E63:INDEX('Milho 2ª safra'!$E63:$Z63,MIN(I$6-$G$3,22))&lt;&gt;""),'Milho 2ª safra'!$E63:INDEX('Milho 2ª safra'!$E63:$Z63,MIN(I$6-$G$3,22))),0)))))</f>
        <v>0</v>
      </c>
      <c r="J65" s="27" t="n">
        <f aca="false">IF(COUNT('Milho 2ª safra'!$E63:$Z63)=0,0,MAX(0,IF((J$6-$E$3)&lt;1,0,IFERROR(LOOKUP(2,1/('Milho 2ª safra'!$E63:INDEX('Milho 2ª safra'!$E63:$Z63,MIN(J$6-$E$3,22))&lt;&gt;""),'Milho 2ª safra'!$E63:INDEX('Milho 2ª safra'!$E63:$Z63,MIN(J$6-$E$3,22))),0))-IF($G$2,0,IF((J$6-$G$3)&lt;1,0,IFERROR(LOOKUP(2,1/('Milho 2ª safra'!$E63:INDEX('Milho 2ª safra'!$E63:$Z63,MIN(J$6-$G$3,22))&lt;&gt;""),'Milho 2ª safra'!$E63:INDEX('Milho 2ª safra'!$E63:$Z63,MIN(J$6-$G$3,22))),0)))))</f>
        <v>0</v>
      </c>
      <c r="K65" s="27" t="n">
        <f aca="false">IF(COUNT('Milho 2ª safra'!$E63:$Z63)=0,0,MAX(0,IF((K$6-$E$3)&lt;1,0,IFERROR(LOOKUP(2,1/('Milho 2ª safra'!$E63:INDEX('Milho 2ª safra'!$E63:$Z63,MIN(K$6-$E$3,22))&lt;&gt;""),'Milho 2ª safra'!$E63:INDEX('Milho 2ª safra'!$E63:$Z63,MIN(K$6-$E$3,22))),0))-IF($G$2,0,IF((K$6-$G$3)&lt;1,0,IFERROR(LOOKUP(2,1/('Milho 2ª safra'!$E63:INDEX('Milho 2ª safra'!$E63:$Z63,MIN(K$6-$G$3,22))&lt;&gt;""),'Milho 2ª safra'!$E63:INDEX('Milho 2ª safra'!$E63:$Z63,MIN(K$6-$G$3,22))),0)))))</f>
        <v>0</v>
      </c>
      <c r="L65" s="27" t="n">
        <f aca="false">IF(COUNT('Milho 2ª safra'!$E63:$Z63)=0,0,MAX(0,IF((L$6-$E$3)&lt;1,0,IFERROR(LOOKUP(2,1/('Milho 2ª safra'!$E63:INDEX('Milho 2ª safra'!$E63:$Z63,MIN(L$6-$E$3,22))&lt;&gt;""),'Milho 2ª safra'!$E63:INDEX('Milho 2ª safra'!$E63:$Z63,MIN(L$6-$E$3,22))),0))-IF($G$2,0,IF((L$6-$G$3)&lt;1,0,IFERROR(LOOKUP(2,1/('Milho 2ª safra'!$E63:INDEX('Milho 2ª safra'!$E63:$Z63,MIN(L$6-$G$3,22))&lt;&gt;""),'Milho 2ª safra'!$E63:INDEX('Milho 2ª safra'!$E63:$Z63,MIN(L$6-$G$3,22))),0)))))</f>
        <v>0</v>
      </c>
      <c r="M65" s="27" t="n">
        <f aca="false">IF(COUNT('Milho 2ª safra'!$E63:$Z63)=0,0,MAX(0,IF((M$6-$E$3)&lt;1,0,IFERROR(LOOKUP(2,1/('Milho 2ª safra'!$E63:INDEX('Milho 2ª safra'!$E63:$Z63,MIN(M$6-$E$3,22))&lt;&gt;""),'Milho 2ª safra'!$E63:INDEX('Milho 2ª safra'!$E63:$Z63,MIN(M$6-$E$3,22))),0))-IF($G$2,0,IF((M$6-$G$3)&lt;1,0,IFERROR(LOOKUP(2,1/('Milho 2ª safra'!$E63:INDEX('Milho 2ª safra'!$E63:$Z63,MIN(M$6-$G$3,22))&lt;&gt;""),'Milho 2ª safra'!$E63:INDEX('Milho 2ª safra'!$E63:$Z63,MIN(M$6-$G$3,22))),0)))))</f>
        <v>0</v>
      </c>
      <c r="N65" s="27" t="n">
        <f aca="false">IF(COUNT('Milho 2ª safra'!$E63:$Z63)=0,0,MAX(0,IF((N$6-$E$3)&lt;1,0,IFERROR(LOOKUP(2,1/('Milho 2ª safra'!$E63:INDEX('Milho 2ª safra'!$E63:$Z63,MIN(N$6-$E$3,22))&lt;&gt;""),'Milho 2ª safra'!$E63:INDEX('Milho 2ª safra'!$E63:$Z63,MIN(N$6-$E$3,22))),0))-IF($G$2,0,IF((N$6-$G$3)&lt;1,0,IFERROR(LOOKUP(2,1/('Milho 2ª safra'!$E63:INDEX('Milho 2ª safra'!$E63:$Z63,MIN(N$6-$G$3,22))&lt;&gt;""),'Milho 2ª safra'!$E63:INDEX('Milho 2ª safra'!$E63:$Z63,MIN(N$6-$G$3,22))),0)))))</f>
        <v>0</v>
      </c>
      <c r="O65" s="27" t="n">
        <f aca="false">IF(COUNT('Milho 2ª safra'!$E63:$Z63)=0,0,MAX(0,IF((O$6-$E$3)&lt;1,0,IFERROR(LOOKUP(2,1/('Milho 2ª safra'!$E63:INDEX('Milho 2ª safra'!$E63:$Z63,MIN(O$6-$E$3,22))&lt;&gt;""),'Milho 2ª safra'!$E63:INDEX('Milho 2ª safra'!$E63:$Z63,MIN(O$6-$E$3,22))),0))-IF($G$2,0,IF((O$6-$G$3)&lt;1,0,IFERROR(LOOKUP(2,1/('Milho 2ª safra'!$E63:INDEX('Milho 2ª safra'!$E63:$Z63,MIN(O$6-$G$3,22))&lt;&gt;""),'Milho 2ª safra'!$E63:INDEX('Milho 2ª safra'!$E63:$Z63,MIN(O$6-$G$3,22))),0)))))</f>
        <v>0</v>
      </c>
      <c r="P65" s="27" t="n">
        <f aca="false">IF(COUNT('Milho 2ª safra'!$E63:$Z63)=0,0,MAX(0,IF((P$6-$E$3)&lt;1,0,IFERROR(LOOKUP(2,1/('Milho 2ª safra'!$E63:INDEX('Milho 2ª safra'!$E63:$Z63,MIN(P$6-$E$3,22))&lt;&gt;""),'Milho 2ª safra'!$E63:INDEX('Milho 2ª safra'!$E63:$Z63,MIN(P$6-$E$3,22))),0))-IF($G$2,0,IF((P$6-$G$3)&lt;1,0,IFERROR(LOOKUP(2,1/('Milho 2ª safra'!$E63:INDEX('Milho 2ª safra'!$E63:$Z63,MIN(P$6-$G$3,22))&lt;&gt;""),'Milho 2ª safra'!$E63:INDEX('Milho 2ª safra'!$E63:$Z63,MIN(P$6-$G$3,22))),0)))))</f>
        <v>0</v>
      </c>
      <c r="Q65" s="27" t="n">
        <f aca="false">IF(COUNT('Milho 2ª safra'!$E63:$Z63)=0,0,MAX(0,IF((Q$6-$E$3)&lt;1,0,IFERROR(LOOKUP(2,1/('Milho 2ª safra'!$E63:INDEX('Milho 2ª safra'!$E63:$Z63,MIN(Q$6-$E$3,22))&lt;&gt;""),'Milho 2ª safra'!$E63:INDEX('Milho 2ª safra'!$E63:$Z63,MIN(Q$6-$E$3,22))),0))-IF($G$2,0,IF((Q$6-$G$3)&lt;1,0,IFERROR(LOOKUP(2,1/('Milho 2ª safra'!$E63:INDEX('Milho 2ª safra'!$E63:$Z63,MIN(Q$6-$G$3,22))&lt;&gt;""),'Milho 2ª safra'!$E63:INDEX('Milho 2ª safra'!$E63:$Z63,MIN(Q$6-$G$3,22))),0)))))</f>
        <v>0</v>
      </c>
      <c r="R65" s="27" t="n">
        <f aca="false">IF(COUNT('Milho 2ª safra'!$E63:$Z63)=0,0,MAX(0,IF((R$6-$E$3)&lt;1,0,IFERROR(LOOKUP(2,1/('Milho 2ª safra'!$E63:INDEX('Milho 2ª safra'!$E63:$Z63,MIN(R$6-$E$3,22))&lt;&gt;""),'Milho 2ª safra'!$E63:INDEX('Milho 2ª safra'!$E63:$Z63,MIN(R$6-$E$3,22))),0))-IF($G$2,0,IF((R$6-$G$3)&lt;1,0,IFERROR(LOOKUP(2,1/('Milho 2ª safra'!$E63:INDEX('Milho 2ª safra'!$E63:$Z63,MIN(R$6-$G$3,22))&lt;&gt;""),'Milho 2ª safra'!$E63:INDEX('Milho 2ª safra'!$E63:$Z63,MIN(R$6-$G$3,22))),0)))))</f>
        <v>0</v>
      </c>
      <c r="S65" s="27" t="n">
        <f aca="false">IF(COUNT('Milho 2ª safra'!$E63:$Z63)=0,0,MAX(0,IF((S$6-$E$3)&lt;1,0,IFERROR(LOOKUP(2,1/('Milho 2ª safra'!$E63:INDEX('Milho 2ª safra'!$E63:$Z63,MIN(S$6-$E$3,22))&lt;&gt;""),'Milho 2ª safra'!$E63:INDEX('Milho 2ª safra'!$E63:$Z63,MIN(S$6-$E$3,22))),0))-IF($G$2,0,IF((S$6-$G$3)&lt;1,0,IFERROR(LOOKUP(2,1/('Milho 2ª safra'!$E63:INDEX('Milho 2ª safra'!$E63:$Z63,MIN(S$6-$G$3,22))&lt;&gt;""),'Milho 2ª safra'!$E63:INDEX('Milho 2ª safra'!$E63:$Z63,MIN(S$6-$G$3,22))),0)))))</f>
        <v>0</v>
      </c>
      <c r="T65" s="27" t="n">
        <f aca="false">IF(COUNT('Milho 2ª safra'!$E63:$Z63)=0,0,MAX(0,IF((T$6-$E$3)&lt;1,0,IFERROR(LOOKUP(2,1/('Milho 2ª safra'!$E63:INDEX('Milho 2ª safra'!$E63:$Z63,MIN(T$6-$E$3,22))&lt;&gt;""),'Milho 2ª safra'!$E63:INDEX('Milho 2ª safra'!$E63:$Z63,MIN(T$6-$E$3,22))),0))-IF($G$2,0,IF((T$6-$G$3)&lt;1,0,IFERROR(LOOKUP(2,1/('Milho 2ª safra'!$E63:INDEX('Milho 2ª safra'!$E63:$Z63,MIN(T$6-$G$3,22))&lt;&gt;""),'Milho 2ª safra'!$E63:INDEX('Milho 2ª safra'!$E63:$Z63,MIN(T$6-$G$3,22))),0)))))</f>
        <v>0</v>
      </c>
      <c r="U65" s="27" t="n">
        <f aca="false">IF(COUNT('Milho 2ª safra'!$E63:$Z63)=0,0,MAX(0,IF((U$6-$E$3)&lt;1,0,IFERROR(LOOKUP(2,1/('Milho 2ª safra'!$E63:INDEX('Milho 2ª safra'!$E63:$Z63,MIN(U$6-$E$3,22))&lt;&gt;""),'Milho 2ª safra'!$E63:INDEX('Milho 2ª safra'!$E63:$Z63,MIN(U$6-$E$3,22))),0))-IF($G$2,0,IF((U$6-$G$3)&lt;1,0,IFERROR(LOOKUP(2,1/('Milho 2ª safra'!$E63:INDEX('Milho 2ª safra'!$E63:$Z63,MIN(U$6-$G$3,22))&lt;&gt;""),'Milho 2ª safra'!$E63:INDEX('Milho 2ª safra'!$E63:$Z63,MIN(U$6-$G$3,22))),0)))))</f>
        <v>0</v>
      </c>
      <c r="V65" s="27" t="n">
        <f aca="false">IF(COUNT('Milho 2ª safra'!$E63:$Z63)=0,0,MAX(0,IF((V$6-$E$3)&lt;1,0,IFERROR(LOOKUP(2,1/('Milho 2ª safra'!$E63:INDEX('Milho 2ª safra'!$E63:$Z63,MIN(V$6-$E$3,22))&lt;&gt;""),'Milho 2ª safra'!$E63:INDEX('Milho 2ª safra'!$E63:$Z63,MIN(V$6-$E$3,22))),0))-IF($G$2,0,IF((V$6-$G$3)&lt;1,0,IFERROR(LOOKUP(2,1/('Milho 2ª safra'!$E63:INDEX('Milho 2ª safra'!$E63:$Z63,MIN(V$6-$G$3,22))&lt;&gt;""),'Milho 2ª safra'!$E63:INDEX('Milho 2ª safra'!$E63:$Z63,MIN(V$6-$G$3,22))),0)))))</f>
        <v>0</v>
      </c>
      <c r="W65" s="27" t="n">
        <f aca="false">IF(COUNT('Milho 2ª safra'!$E63:$Z63)=0,0,MAX(0,IF((W$6-$E$3)&lt;1,0,IFERROR(LOOKUP(2,1/('Milho 2ª safra'!$E63:INDEX('Milho 2ª safra'!$E63:$Z63,MIN(W$6-$E$3,22))&lt;&gt;""),'Milho 2ª safra'!$E63:INDEX('Milho 2ª safra'!$E63:$Z63,MIN(W$6-$E$3,22))),0))-IF($G$2,0,IF((W$6-$G$3)&lt;1,0,IFERROR(LOOKUP(2,1/('Milho 2ª safra'!$E63:INDEX('Milho 2ª safra'!$E63:$Z63,MIN(W$6-$G$3,22))&lt;&gt;""),'Milho 2ª safra'!$E63:INDEX('Milho 2ª safra'!$E63:$Z63,MIN(W$6-$G$3,22))),0)))))</f>
        <v>0</v>
      </c>
      <c r="X65" s="27" t="n">
        <f aca="false">IF(COUNT('Milho 2ª safra'!$E63:$Z63)=0,0,MAX(0,IF((X$6-$E$3)&lt;1,0,IFERROR(LOOKUP(2,1/('Milho 2ª safra'!$E63:INDEX('Milho 2ª safra'!$E63:$Z63,MIN(X$6-$E$3,22))&lt;&gt;""),'Milho 2ª safra'!$E63:INDEX('Milho 2ª safra'!$E63:$Z63,MIN(X$6-$E$3,22))),0))-IF($G$2,0,IF((X$6-$G$3)&lt;1,0,IFERROR(LOOKUP(2,1/('Milho 2ª safra'!$E63:INDEX('Milho 2ª safra'!$E63:$Z63,MIN(X$6-$G$3,22))&lt;&gt;""),'Milho 2ª safra'!$E63:INDEX('Milho 2ª safra'!$E63:$Z63,MIN(X$6-$G$3,22))),0)))))</f>
        <v>0</v>
      </c>
      <c r="Y65" s="27" t="n">
        <f aca="false">IF(COUNT('Milho 2ª safra'!$E63:$Z63)=0,0,MAX(0,IF((Y$6-$E$3)&lt;1,0,IFERROR(LOOKUP(2,1/('Milho 2ª safra'!$E63:INDEX('Milho 2ª safra'!$E63:$Z63,MIN(Y$6-$E$3,22))&lt;&gt;""),'Milho 2ª safra'!$E63:INDEX('Milho 2ª safra'!$E63:$Z63,MIN(Y$6-$E$3,22))),0))-IF($G$2,0,IF((Y$6-$G$3)&lt;1,0,IFERROR(LOOKUP(2,1/('Milho 2ª safra'!$E63:INDEX('Milho 2ª safra'!$E63:$Z63,MIN(Y$6-$G$3,22))&lt;&gt;""),'Milho 2ª safra'!$E63:INDEX('Milho 2ª safra'!$E63:$Z63,MIN(Y$6-$G$3,22))),0)))))</f>
        <v>0</v>
      </c>
      <c r="Z65" s="27" t="n">
        <f aca="false">IF(COUNT('Milho 2ª safra'!$E63:$Z63)=0,0,MAX(0,IF((Z$6-$E$3)&lt;1,0,IFERROR(LOOKUP(2,1/('Milho 2ª safra'!$E63:INDEX('Milho 2ª safra'!$E63:$Z63,MIN(Z$6-$E$3,22))&lt;&gt;""),'Milho 2ª safra'!$E63:INDEX('Milho 2ª safra'!$E63:$Z63,MIN(Z$6-$E$3,22))),0))-IF($G$2,0,IF((Z$6-$G$3)&lt;1,0,IFERROR(LOOKUP(2,1/('Milho 2ª safra'!$E63:INDEX('Milho 2ª safra'!$E63:$Z63,MIN(Z$6-$G$3,22))&lt;&gt;""),'Milho 2ª safra'!$E63:INDEX('Milho 2ª safra'!$E63:$Z63,MIN(Z$6-$G$3,22))),0)))))</f>
        <v>0</v>
      </c>
      <c r="AA65" s="27" t="n">
        <f aca="false">IF(COUNT('Milho 2ª safra'!$E63:$Z63)=0,0,MAX(0,IF((AA$6-$E$3)&lt;1,0,IFERROR(LOOKUP(2,1/('Milho 2ª safra'!$E63:INDEX('Milho 2ª safra'!$E63:$Z63,MIN(AA$6-$E$3,22))&lt;&gt;""),'Milho 2ª safra'!$E63:INDEX('Milho 2ª safra'!$E63:$Z63,MIN(AA$6-$E$3,22))),0))-IF($G$2,0,IF((AA$6-$G$3)&lt;1,0,IFERROR(LOOKUP(2,1/('Milho 2ª safra'!$E63:INDEX('Milho 2ª safra'!$E63:$Z63,MIN(AA$6-$G$3,22))&lt;&gt;""),'Milho 2ª safra'!$E63:INDEX('Milho 2ª safra'!$E63:$Z63,MIN(AA$6-$G$3,22))),0)))))</f>
        <v>0</v>
      </c>
      <c r="AB65" s="27" t="n">
        <f aca="false">IF(COUNT('Milho 2ª safra'!$E63:$Z63)=0,0,MAX(0,IF((AB$6-$E$3)&lt;1,0,IFERROR(LOOKUP(2,1/('Milho 2ª safra'!$E63:INDEX('Milho 2ª safra'!$E63:$Z63,MIN(AB$6-$E$3,22))&lt;&gt;""),'Milho 2ª safra'!$E63:INDEX('Milho 2ª safra'!$E63:$Z63,MIN(AB$6-$E$3,22))),0))-IF($G$2,0,IF((AB$6-$G$3)&lt;1,0,IFERROR(LOOKUP(2,1/('Milho 2ª safra'!$E63:INDEX('Milho 2ª safra'!$E63:$Z63,MIN(AB$6-$G$3,22))&lt;&gt;""),'Milho 2ª safra'!$E63:INDEX('Milho 2ª safra'!$E63:$Z63,MIN(AB$6-$G$3,22))),0)))))</f>
        <v>0</v>
      </c>
      <c r="AC65" s="27" t="n">
        <f aca="false">IF(COUNT('Milho 2ª safra'!$E63:$Z63)=0,0,MAX(0,IF((AC$6-$E$3)&lt;1,0,IFERROR(LOOKUP(2,1/('Milho 2ª safra'!$E63:INDEX('Milho 2ª safra'!$E63:$Z63,MIN(AC$6-$E$3,22))&lt;&gt;""),'Milho 2ª safra'!$E63:INDEX('Milho 2ª safra'!$E63:$Z63,MIN(AC$6-$E$3,22))),0))-IF($G$2,0,IF((AC$6-$G$3)&lt;1,0,IFERROR(LOOKUP(2,1/('Milho 2ª safra'!$E63:INDEX('Milho 2ª safra'!$E63:$Z63,MIN(AC$6-$G$3,22))&lt;&gt;""),'Milho 2ª safra'!$E63:INDEX('Milho 2ª safra'!$E63:$Z63,MIN(AC$6-$G$3,22))),0)))))</f>
        <v>0</v>
      </c>
      <c r="AD65" s="27" t="n">
        <f aca="false">IF(COUNT('Milho 2ª safra'!$E63:$Z63)=0,0,MAX(0,IF((AD$6-$E$3)&lt;1,0,IFERROR(LOOKUP(2,1/('Milho 2ª safra'!$E63:INDEX('Milho 2ª safra'!$E63:$Z63,MIN(AD$6-$E$3,22))&lt;&gt;""),'Milho 2ª safra'!$E63:INDEX('Milho 2ª safra'!$E63:$Z63,MIN(AD$6-$E$3,22))),0))-IF($G$2,0,IF((AD$6-$G$3)&lt;1,0,IFERROR(LOOKUP(2,1/('Milho 2ª safra'!$E63:INDEX('Milho 2ª safra'!$E63:$Z63,MIN(AD$6-$G$3,22))&lt;&gt;""),'Milho 2ª safra'!$E63:INDEX('Milho 2ª safra'!$E63:$Z63,MIN(AD$6-$G$3,22))),0)))))</f>
        <v>0</v>
      </c>
      <c r="AE65" s="27" t="n">
        <f aca="false">IF(COUNT('Milho 2ª safra'!$E63:$Z63)=0,0,MAX(0,IF((AE$6-$E$3)&lt;1,0,IFERROR(LOOKUP(2,1/('Milho 2ª safra'!$E63:INDEX('Milho 2ª safra'!$E63:$Z63,MIN(AE$6-$E$3,22))&lt;&gt;""),'Milho 2ª safra'!$E63:INDEX('Milho 2ª safra'!$E63:$Z63,MIN(AE$6-$E$3,22))),0))-IF($G$2,0,IF((AE$6-$G$3)&lt;1,0,IFERROR(LOOKUP(2,1/('Milho 2ª safra'!$E63:INDEX('Milho 2ª safra'!$E63:$Z63,MIN(AE$6-$G$3,22))&lt;&gt;""),'Milho 2ª safra'!$E63:INDEX('Milho 2ª safra'!$E63:$Z63,MIN(AE$6-$G$3,22))),0)))))</f>
        <v>0</v>
      </c>
      <c r="AF65" s="27" t="n">
        <f aca="false">IF(COUNT('Milho 2ª safra'!$E63:$Z63)=0,0,MAX(0,IF((AF$6-$E$3)&lt;1,0,IFERROR(LOOKUP(2,1/('Milho 2ª safra'!$E63:INDEX('Milho 2ª safra'!$E63:$Z63,MIN(AF$6-$E$3,22))&lt;&gt;""),'Milho 2ª safra'!$E63:INDEX('Milho 2ª safra'!$E63:$Z63,MIN(AF$6-$E$3,22))),0))-IF($G$2,0,IF((AF$6-$G$3)&lt;1,0,IFERROR(LOOKUP(2,1/('Milho 2ª safra'!$E63:INDEX('Milho 2ª safra'!$E63:$Z63,MIN(AF$6-$G$3,22))&lt;&gt;""),'Milho 2ª safra'!$E63:INDEX('Milho 2ª safra'!$E63:$Z63,MIN(AF$6-$G$3,22))),0)))))</f>
        <v>0</v>
      </c>
      <c r="AG65" s="27" t="n">
        <f aca="false">IF(COUNT('Milho 2ª safra'!$E63:$Z63)=0,0,MAX(0,IF((AG$6-$E$3)&lt;1,0,IFERROR(LOOKUP(2,1/('Milho 2ª safra'!$E63:INDEX('Milho 2ª safra'!$E63:$Z63,MIN(AG$6-$E$3,22))&lt;&gt;""),'Milho 2ª safra'!$E63:INDEX('Milho 2ª safra'!$E63:$Z63,MIN(AG$6-$E$3,22))),0))-IF($G$2,0,IF((AG$6-$G$3)&lt;1,0,IFERROR(LOOKUP(2,1/('Milho 2ª safra'!$E63:INDEX('Milho 2ª safra'!$E63:$Z63,MIN(AG$6-$G$3,22))&lt;&gt;""),'Milho 2ª safra'!$E63:INDEX('Milho 2ª safra'!$E63:$Z63,MIN(AG$6-$G$3,22))),0)))))</f>
        <v>0</v>
      </c>
      <c r="AH65" s="27" t="n">
        <f aca="false">IF(COUNT('Milho 2ª safra'!$E63:$Z63)=0,0,MAX(0,IF((AH$6-$E$3)&lt;1,0,IFERROR(LOOKUP(2,1/('Milho 2ª safra'!$E63:INDEX('Milho 2ª safra'!$E63:$Z63,MIN(AH$6-$E$3,22))&lt;&gt;""),'Milho 2ª safra'!$E63:INDEX('Milho 2ª safra'!$E63:$Z63,MIN(AH$6-$E$3,22))),0))-IF($G$2,0,IF((AH$6-$G$3)&lt;1,0,IFERROR(LOOKUP(2,1/('Milho 2ª safra'!$E63:INDEX('Milho 2ª safra'!$E63:$Z63,MIN(AH$6-$G$3,22))&lt;&gt;""),'Milho 2ª safra'!$E63:INDEX('Milho 2ª safra'!$E63:$Z63,MIN(AH$6-$G$3,22))),0)))))</f>
        <v>0</v>
      </c>
      <c r="AI65" s="27" t="n">
        <f aca="false">IF(COUNT('Milho 2ª safra'!$E63:$Z63)=0,0,MAX(0,IF((AI$6-$E$3)&lt;1,0,IFERROR(LOOKUP(2,1/('Milho 2ª safra'!$E63:INDEX('Milho 2ª safra'!$E63:$Z63,MIN(AI$6-$E$3,22))&lt;&gt;""),'Milho 2ª safra'!$E63:INDEX('Milho 2ª safra'!$E63:$Z63,MIN(AI$6-$E$3,22))),0))-IF($G$2,0,IF((AI$6-$G$3)&lt;1,0,IFERROR(LOOKUP(2,1/('Milho 2ª safra'!$E63:INDEX('Milho 2ª safra'!$E63:$Z63,MIN(AI$6-$G$3,22))&lt;&gt;""),'Milho 2ª safra'!$E63:INDEX('Milho 2ª safra'!$E63:$Z63,MIN(AI$6-$G$3,22))),0)))))</f>
        <v>0</v>
      </c>
      <c r="AJ65" s="27" t="n">
        <f aca="false">IF(COUNT('Milho 2ª safra'!$E63:$Z63)=0,0,MAX(0,IF((AJ$6-$E$3)&lt;1,0,IFERROR(LOOKUP(2,1/('Milho 2ª safra'!$E63:INDEX('Milho 2ª safra'!$E63:$Z63,MIN(AJ$6-$E$3,22))&lt;&gt;""),'Milho 2ª safra'!$E63:INDEX('Milho 2ª safra'!$E63:$Z63,MIN(AJ$6-$E$3,22))),0))-IF($G$2,0,IF((AJ$6-$G$3)&lt;1,0,IFERROR(LOOKUP(2,1/('Milho 2ª safra'!$E63:INDEX('Milho 2ª safra'!$E63:$Z63,MIN(AJ$6-$G$3,22))&lt;&gt;""),'Milho 2ª safra'!$E63:INDEX('Milho 2ª safra'!$E63:$Z63,MIN(AJ$6-$G$3,22))),0)))))</f>
        <v>0</v>
      </c>
      <c r="AK65" s="27" t="n">
        <f aca="false">IF(COUNT('Milho 2ª safra'!$E63:$Z63)=0,0,MAX(0,IF((AK$6-$E$3)&lt;1,0,IFERROR(LOOKUP(2,1/('Milho 2ª safra'!$E63:INDEX('Milho 2ª safra'!$E63:$Z63,MIN(AK$6-$E$3,22))&lt;&gt;""),'Milho 2ª safra'!$E63:INDEX('Milho 2ª safra'!$E63:$Z63,MIN(AK$6-$E$3,22))),0))-IF($G$2,0,IF((AK$6-$G$3)&lt;1,0,IFERROR(LOOKUP(2,1/('Milho 2ª safra'!$E63:INDEX('Milho 2ª safra'!$E63:$Z63,MIN(AK$6-$G$3,22))&lt;&gt;""),'Milho 2ª safra'!$E63:INDEX('Milho 2ª safra'!$E63:$Z63,MIN(AK$6-$G$3,22))),0)))))</f>
        <v>0</v>
      </c>
      <c r="AL65" s="27" t="n">
        <f aca="false">IF(COUNT('Milho 2ª safra'!$E63:$Z63)=0,0,MAX(0,IF((AL$6-$E$3)&lt;1,0,IFERROR(LOOKUP(2,1/('Milho 2ª safra'!$E63:INDEX('Milho 2ª safra'!$E63:$Z63,MIN(AL$6-$E$3,22))&lt;&gt;""),'Milho 2ª safra'!$E63:INDEX('Milho 2ª safra'!$E63:$Z63,MIN(AL$6-$E$3,22))),0))-IF($G$2,0,IF((AL$6-$G$3)&lt;1,0,IFERROR(LOOKUP(2,1/('Milho 2ª safra'!$E63:INDEX('Milho 2ª safra'!$E63:$Z63,MIN(AL$6-$G$3,22))&lt;&gt;""),'Milho 2ª safra'!$E63:INDEX('Milho 2ª safra'!$E63:$Z63,MIN(AL$6-$G$3,22))),0)))))</f>
        <v>0</v>
      </c>
      <c r="AM65" s="27" t="n">
        <f aca="false">IF(COUNT('Milho 2ª safra'!$E63:$Z63)=0,0,MAX(0,IF((AM$6-$E$3)&lt;1,0,IFERROR(LOOKUP(2,1/('Milho 2ª safra'!$E63:INDEX('Milho 2ª safra'!$E63:$Z63,MIN(AM$6-$E$3,22))&lt;&gt;""),'Milho 2ª safra'!$E63:INDEX('Milho 2ª safra'!$E63:$Z63,MIN(AM$6-$E$3,22))),0))-IF($G$2,0,IF((AM$6-$G$3)&lt;1,0,IFERROR(LOOKUP(2,1/('Milho 2ª safra'!$E63:INDEX('Milho 2ª safra'!$E63:$Z63,MIN(AM$6-$G$3,22))&lt;&gt;""),'Milho 2ª safra'!$E63:INDEX('Milho 2ª safra'!$E63:$Z63,MIN(AM$6-$G$3,22))),0)))))</f>
        <v>0</v>
      </c>
      <c r="AN65" s="27" t="n">
        <f aca="false">IF(COUNT('Milho 2ª safra'!$E63:$Z63)=0,0,MAX(0,IF((AN$6-$E$3)&lt;1,0,IFERROR(LOOKUP(2,1/('Milho 2ª safra'!$E63:INDEX('Milho 2ª safra'!$E63:$Z63,MIN(AN$6-$E$3,22))&lt;&gt;""),'Milho 2ª safra'!$E63:INDEX('Milho 2ª safra'!$E63:$Z63,MIN(AN$6-$E$3,22))),0))-IF($G$2,0,IF((AN$6-$G$3)&lt;1,0,IFERROR(LOOKUP(2,1/('Milho 2ª safra'!$E63:INDEX('Milho 2ª safra'!$E63:$Z63,MIN(AN$6-$G$3,22))&lt;&gt;""),'Milho 2ª safra'!$E63:INDEX('Milho 2ª safra'!$E63:$Z63,MIN(AN$6-$G$3,22))),0)))))</f>
        <v>0</v>
      </c>
      <c r="AO65" s="27" t="n">
        <f aca="false">IF(COUNT('Milho 2ª safra'!$E63:$Z63)=0,0,MAX(0,IF((AO$6-$E$3)&lt;1,0,IFERROR(LOOKUP(2,1/('Milho 2ª safra'!$E63:INDEX('Milho 2ª safra'!$E63:$Z63,MIN(AO$6-$E$3,22))&lt;&gt;""),'Milho 2ª safra'!$E63:INDEX('Milho 2ª safra'!$E63:$Z63,MIN(AO$6-$E$3,22))),0))-IF($G$2,0,IF((AO$6-$G$3)&lt;1,0,IFERROR(LOOKUP(2,1/('Milho 2ª safra'!$E63:INDEX('Milho 2ª safra'!$E63:$Z63,MIN(AO$6-$G$3,22))&lt;&gt;""),'Milho 2ª safra'!$E63:INDEX('Milho 2ª safra'!$E63:$Z63,MIN(AO$6-$G$3,22))),0)))))</f>
        <v>0</v>
      </c>
      <c r="AP65" s="27" t="n">
        <f aca="false">IF(COUNT('Milho 2ª safra'!$E63:$Z63)=0,0,MAX(0,IF((AP$6-$E$3)&lt;1,0,IFERROR(LOOKUP(2,1/('Milho 2ª safra'!$E63:INDEX('Milho 2ª safra'!$E63:$Z63,MIN(AP$6-$E$3,22))&lt;&gt;""),'Milho 2ª safra'!$E63:INDEX('Milho 2ª safra'!$E63:$Z63,MIN(AP$6-$E$3,22))),0))-IF($G$2,0,IF((AP$6-$G$3)&lt;1,0,IFERROR(LOOKUP(2,1/('Milho 2ª safra'!$E63:INDEX('Milho 2ª safra'!$E63:$Z63,MIN(AP$6-$G$3,22))&lt;&gt;""),'Milho 2ª safra'!$E63:INDEX('Milho 2ª safra'!$E63:$Z63,MIN(AP$6-$G$3,22))),0)))))</f>
        <v>0</v>
      </c>
      <c r="AQ65" s="27" t="n">
        <f aca="false">IF(COUNT('Milho 2ª safra'!$E63:$Z63)=0,0,MAX(0,IF((AQ$6-$E$3)&lt;1,0,IFERROR(LOOKUP(2,1/('Milho 2ª safra'!$E63:INDEX('Milho 2ª safra'!$E63:$Z63,MIN(AQ$6-$E$3,22))&lt;&gt;""),'Milho 2ª safra'!$E63:INDEX('Milho 2ª safra'!$E63:$Z63,MIN(AQ$6-$E$3,22))),0))-IF($G$2,0,IF((AQ$6-$G$3)&lt;1,0,IFERROR(LOOKUP(2,1/('Milho 2ª safra'!$E63:INDEX('Milho 2ª safra'!$E63:$Z63,MIN(AQ$6-$G$3,22))&lt;&gt;""),'Milho 2ª safra'!$E63:INDEX('Milho 2ª safra'!$E63:$Z63,MIN(AQ$6-$G$3,22))),0)))))</f>
        <v>0</v>
      </c>
      <c r="AR65" s="27" t="n">
        <f aca="false">IF(COUNT('Milho 2ª safra'!$E63:$Z63)=0,0,MAX(0,IF((AR$6-$E$3)&lt;1,0,IFERROR(LOOKUP(2,1/('Milho 2ª safra'!$E63:INDEX('Milho 2ª safra'!$E63:$Z63,MIN(AR$6-$E$3,22))&lt;&gt;""),'Milho 2ª safra'!$E63:INDEX('Milho 2ª safra'!$E63:$Z63,MIN(AR$6-$E$3,22))),0))-IF($G$2,0,IF((AR$6-$G$3)&lt;1,0,IFERROR(LOOKUP(2,1/('Milho 2ª safra'!$E63:INDEX('Milho 2ª safra'!$E63:$Z63,MIN(AR$6-$G$3,22))&lt;&gt;""),'Milho 2ª safra'!$E63:INDEX('Milho 2ª safra'!$E63:$Z63,MIN(AR$6-$G$3,22))),0)))))</f>
        <v>0</v>
      </c>
      <c r="AS65" s="27" t="n">
        <f aca="false">IF(COUNT('Milho 2ª safra'!$E63:$Z63)=0,0,MAX(0,IF((AS$6-$E$3)&lt;1,0,IFERROR(LOOKUP(2,1/('Milho 2ª safra'!$E63:INDEX('Milho 2ª safra'!$E63:$Z63,MIN(AS$6-$E$3,22))&lt;&gt;""),'Milho 2ª safra'!$E63:INDEX('Milho 2ª safra'!$E63:$Z63,MIN(AS$6-$E$3,22))),0))-IF($G$2,0,IF((AS$6-$G$3)&lt;1,0,IFERROR(LOOKUP(2,1/('Milho 2ª safra'!$E63:INDEX('Milho 2ª safra'!$E63:$Z63,MIN(AS$6-$G$3,22))&lt;&gt;""),'Milho 2ª safra'!$E63:INDEX('Milho 2ª safra'!$E63:$Z63,MIN(AS$6-$G$3,22))),0)))))</f>
        <v>0</v>
      </c>
      <c r="AT65" s="27" t="n">
        <f aca="false">IF(COUNT('Milho 2ª safra'!$E63:$Z63)=0,0,MAX(0,IF((AT$6-$E$3)&lt;1,0,IFERROR(LOOKUP(2,1/('Milho 2ª safra'!$E63:INDEX('Milho 2ª safra'!$E63:$Z63,MIN(AT$6-$E$3,22))&lt;&gt;""),'Milho 2ª safra'!$E63:INDEX('Milho 2ª safra'!$E63:$Z63,MIN(AT$6-$E$3,22))),0))-IF($G$2,0,IF((AT$6-$G$3)&lt;1,0,IFERROR(LOOKUP(2,1/('Milho 2ª safra'!$E63:INDEX('Milho 2ª safra'!$E63:$Z63,MIN(AT$6-$G$3,22))&lt;&gt;""),'Milho 2ª safra'!$E63:INDEX('Milho 2ª safra'!$E63:$Z63,MIN(AT$6-$G$3,22))),0)))))</f>
        <v>0</v>
      </c>
      <c r="AU65" s="27" t="n">
        <f aca="false">IF(COUNT('Milho 2ª safra'!$E63:$Z63)=0,0,MAX(0,IF((AU$6-$E$3)&lt;1,0,IFERROR(LOOKUP(2,1/('Milho 2ª safra'!$E63:INDEX('Milho 2ª safra'!$E63:$Z63,MIN(AU$6-$E$3,22))&lt;&gt;""),'Milho 2ª safra'!$E63:INDEX('Milho 2ª safra'!$E63:$Z63,MIN(AU$6-$E$3,22))),0))-IF($G$2,0,IF((AU$6-$G$3)&lt;1,0,IFERROR(LOOKUP(2,1/('Milho 2ª safra'!$E63:INDEX('Milho 2ª safra'!$E63:$Z63,MIN(AU$6-$G$3,22))&lt;&gt;""),'Milho 2ª safra'!$E63:INDEX('Milho 2ª safra'!$E63:$Z63,MIN(AU$6-$G$3,22))),0)))))</f>
        <v>0</v>
      </c>
      <c r="AV65" s="27" t="n">
        <f aca="false">IF(COUNT('Milho 2ª safra'!$E63:$Z63)=0,0,MAX(0,IF((AV$6-$E$3)&lt;1,0,IFERROR(LOOKUP(2,1/('Milho 2ª safra'!$E63:INDEX('Milho 2ª safra'!$E63:$Z63,MIN(AV$6-$E$3,22))&lt;&gt;""),'Milho 2ª safra'!$E63:INDEX('Milho 2ª safra'!$E63:$Z63,MIN(AV$6-$E$3,22))),0))-IF($G$2,0,IF((AV$6-$G$3)&lt;1,0,IFERROR(LOOKUP(2,1/('Milho 2ª safra'!$E63:INDEX('Milho 2ª safra'!$E63:$Z63,MIN(AV$6-$G$3,22))&lt;&gt;""),'Milho 2ª safra'!$E63:INDEX('Milho 2ª safra'!$E63:$Z63,MIN(AV$6-$G$3,22))),0)))))</f>
        <v>0</v>
      </c>
      <c r="AW65" s="27" t="n">
        <f aca="false">IF(COUNT('Milho 2ª safra'!$E63:$Z63)=0,0,MAX(0,IF((AW$6-$E$3)&lt;1,0,IFERROR(LOOKUP(2,1/('Milho 2ª safra'!$E63:INDEX('Milho 2ª safra'!$E63:$Z63,MIN(AW$6-$E$3,22))&lt;&gt;""),'Milho 2ª safra'!$E63:INDEX('Milho 2ª safra'!$E63:$Z63,MIN(AW$6-$E$3,22))),0))-IF($G$2,0,IF((AW$6-$G$3)&lt;1,0,IFERROR(LOOKUP(2,1/('Milho 2ª safra'!$E63:INDEX('Milho 2ª safra'!$E63:$Z63,MIN(AW$6-$G$3,22))&lt;&gt;""),'Milho 2ª safra'!$E63:INDEX('Milho 2ª safra'!$E63:$Z63,MIN(AW$6-$G$3,22))),0)))))</f>
        <v>0</v>
      </c>
      <c r="AX65" s="27" t="n">
        <f aca="false">IF(COUNT('Milho 2ª safra'!$E63:$Z63)=0,0,MAX(0,IF((AX$6-$E$3)&lt;1,0,IFERROR(LOOKUP(2,1/('Milho 2ª safra'!$E63:INDEX('Milho 2ª safra'!$E63:$Z63,MIN(AX$6-$E$3,22))&lt;&gt;""),'Milho 2ª safra'!$E63:INDEX('Milho 2ª safra'!$E63:$Z63,MIN(AX$6-$E$3,22))),0))-IF($G$2,0,IF((AX$6-$G$3)&lt;1,0,IFERROR(LOOKUP(2,1/('Milho 2ª safra'!$E63:INDEX('Milho 2ª safra'!$E63:$Z63,MIN(AX$6-$G$3,22))&lt;&gt;""),'Milho 2ª safra'!$E63:INDEX('Milho 2ª safra'!$E63:$Z63,MIN(AX$6-$G$3,22))),0)))))</f>
        <v>0</v>
      </c>
      <c r="AY65" s="27" t="n">
        <f aca="false">IF(COUNT('Milho 2ª safra'!$E63:$Z63)=0,0,MAX(0,IF((AY$6-$E$3)&lt;1,0,IFERROR(LOOKUP(2,1/('Milho 2ª safra'!$E63:INDEX('Milho 2ª safra'!$E63:$Z63,MIN(AY$6-$E$3,22))&lt;&gt;""),'Milho 2ª safra'!$E63:INDEX('Milho 2ª safra'!$E63:$Z63,MIN(AY$6-$E$3,22))),0))-IF($G$2,0,IF((AY$6-$G$3)&lt;1,0,IFERROR(LOOKUP(2,1/('Milho 2ª safra'!$E63:INDEX('Milho 2ª safra'!$E63:$Z63,MIN(AY$6-$G$3,22))&lt;&gt;""),'Milho 2ª safra'!$E63:INDEX('Milho 2ª safra'!$E63:$Z63,MIN(AY$6-$G$3,22))),0)))))</f>
        <v>0</v>
      </c>
      <c r="AZ65" s="27" t="n">
        <f aca="false">IF(COUNT('Milho 2ª safra'!$E63:$Z63)=0,0,MAX(0,IF((AZ$6-$E$3)&lt;1,0,IFERROR(LOOKUP(2,1/('Milho 2ª safra'!$E63:INDEX('Milho 2ª safra'!$E63:$Z63,MIN(AZ$6-$E$3,22))&lt;&gt;""),'Milho 2ª safra'!$E63:INDEX('Milho 2ª safra'!$E63:$Z63,MIN(AZ$6-$E$3,22))),0))-IF($G$2,0,IF((AZ$6-$G$3)&lt;1,0,IFERROR(LOOKUP(2,1/('Milho 2ª safra'!$E63:INDEX('Milho 2ª safra'!$E63:$Z63,MIN(AZ$6-$G$3,22))&lt;&gt;""),'Milho 2ª safra'!$E63:INDEX('Milho 2ª safra'!$E63:$Z63,MIN(AZ$6-$G$3,22))),0)))))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IF(COUNT('Milho 2ª safra'!$E64:$Z64)&gt;0,N('Milho 2ª safra'!$D64),0)</f>
        <v>0</v>
      </c>
      <c r="E66" s="27" t="n">
        <f aca="false">IF(COUNT('Milho 2ª safra'!$E64:$Z64)=0,0,MAX(0,IF((E$6-$E$3)&lt;1,0,IFERROR(LOOKUP(2,1/('Milho 2ª safra'!$E64:INDEX('Milho 2ª safra'!$E64:$Z64,MIN(E$6-$E$3,22))&lt;&gt;""),'Milho 2ª safra'!$E64:INDEX('Milho 2ª safra'!$E64:$Z64,MIN(E$6-$E$3,22))),0))-IF($G$2,0,IF((E$6-$G$3)&lt;1,0,IFERROR(LOOKUP(2,1/('Milho 2ª safra'!$E64:INDEX('Milho 2ª safra'!$E64:$Z64,MIN(E$6-$G$3,22))&lt;&gt;""),'Milho 2ª safra'!$E64:INDEX('Milho 2ª safra'!$E64:$Z64,MIN(E$6-$G$3,22))),0)))))</f>
        <v>0</v>
      </c>
      <c r="F66" s="27" t="n">
        <f aca="false">IF(COUNT('Milho 2ª safra'!$E64:$Z64)=0,0,MAX(0,IF((F$6-$E$3)&lt;1,0,IFERROR(LOOKUP(2,1/('Milho 2ª safra'!$E64:INDEX('Milho 2ª safra'!$E64:$Z64,MIN(F$6-$E$3,22))&lt;&gt;""),'Milho 2ª safra'!$E64:INDEX('Milho 2ª safra'!$E64:$Z64,MIN(F$6-$E$3,22))),0))-IF($G$2,0,IF((F$6-$G$3)&lt;1,0,IFERROR(LOOKUP(2,1/('Milho 2ª safra'!$E64:INDEX('Milho 2ª safra'!$E64:$Z64,MIN(F$6-$G$3,22))&lt;&gt;""),'Milho 2ª safra'!$E64:INDEX('Milho 2ª safra'!$E64:$Z64,MIN(F$6-$G$3,22))),0)))))</f>
        <v>0</v>
      </c>
      <c r="G66" s="27" t="n">
        <f aca="false">IF(COUNT('Milho 2ª safra'!$E64:$Z64)=0,0,MAX(0,IF((G$6-$E$3)&lt;1,0,IFERROR(LOOKUP(2,1/('Milho 2ª safra'!$E64:INDEX('Milho 2ª safra'!$E64:$Z64,MIN(G$6-$E$3,22))&lt;&gt;""),'Milho 2ª safra'!$E64:INDEX('Milho 2ª safra'!$E64:$Z64,MIN(G$6-$E$3,22))),0))-IF($G$2,0,IF((G$6-$G$3)&lt;1,0,IFERROR(LOOKUP(2,1/('Milho 2ª safra'!$E64:INDEX('Milho 2ª safra'!$E64:$Z64,MIN(G$6-$G$3,22))&lt;&gt;""),'Milho 2ª safra'!$E64:INDEX('Milho 2ª safra'!$E64:$Z64,MIN(G$6-$G$3,22))),0)))))</f>
        <v>0</v>
      </c>
      <c r="H66" s="27" t="n">
        <f aca="false">IF(COUNT('Milho 2ª safra'!$E64:$Z64)=0,0,MAX(0,IF((H$6-$E$3)&lt;1,0,IFERROR(LOOKUP(2,1/('Milho 2ª safra'!$E64:INDEX('Milho 2ª safra'!$E64:$Z64,MIN(H$6-$E$3,22))&lt;&gt;""),'Milho 2ª safra'!$E64:INDEX('Milho 2ª safra'!$E64:$Z64,MIN(H$6-$E$3,22))),0))-IF($G$2,0,IF((H$6-$G$3)&lt;1,0,IFERROR(LOOKUP(2,1/('Milho 2ª safra'!$E64:INDEX('Milho 2ª safra'!$E64:$Z64,MIN(H$6-$G$3,22))&lt;&gt;""),'Milho 2ª safra'!$E64:INDEX('Milho 2ª safra'!$E64:$Z64,MIN(H$6-$G$3,22))),0)))))</f>
        <v>0</v>
      </c>
      <c r="I66" s="27" t="n">
        <f aca="false">IF(COUNT('Milho 2ª safra'!$E64:$Z64)=0,0,MAX(0,IF((I$6-$E$3)&lt;1,0,IFERROR(LOOKUP(2,1/('Milho 2ª safra'!$E64:INDEX('Milho 2ª safra'!$E64:$Z64,MIN(I$6-$E$3,22))&lt;&gt;""),'Milho 2ª safra'!$E64:INDEX('Milho 2ª safra'!$E64:$Z64,MIN(I$6-$E$3,22))),0))-IF($G$2,0,IF((I$6-$G$3)&lt;1,0,IFERROR(LOOKUP(2,1/('Milho 2ª safra'!$E64:INDEX('Milho 2ª safra'!$E64:$Z64,MIN(I$6-$G$3,22))&lt;&gt;""),'Milho 2ª safra'!$E64:INDEX('Milho 2ª safra'!$E64:$Z64,MIN(I$6-$G$3,22))),0)))))</f>
        <v>0</v>
      </c>
      <c r="J66" s="27" t="n">
        <f aca="false">IF(COUNT('Milho 2ª safra'!$E64:$Z64)=0,0,MAX(0,IF((J$6-$E$3)&lt;1,0,IFERROR(LOOKUP(2,1/('Milho 2ª safra'!$E64:INDEX('Milho 2ª safra'!$E64:$Z64,MIN(J$6-$E$3,22))&lt;&gt;""),'Milho 2ª safra'!$E64:INDEX('Milho 2ª safra'!$E64:$Z64,MIN(J$6-$E$3,22))),0))-IF($G$2,0,IF((J$6-$G$3)&lt;1,0,IFERROR(LOOKUP(2,1/('Milho 2ª safra'!$E64:INDEX('Milho 2ª safra'!$E64:$Z64,MIN(J$6-$G$3,22))&lt;&gt;""),'Milho 2ª safra'!$E64:INDEX('Milho 2ª safra'!$E64:$Z64,MIN(J$6-$G$3,22))),0)))))</f>
        <v>0</v>
      </c>
      <c r="K66" s="27" t="n">
        <f aca="false">IF(COUNT('Milho 2ª safra'!$E64:$Z64)=0,0,MAX(0,IF((K$6-$E$3)&lt;1,0,IFERROR(LOOKUP(2,1/('Milho 2ª safra'!$E64:INDEX('Milho 2ª safra'!$E64:$Z64,MIN(K$6-$E$3,22))&lt;&gt;""),'Milho 2ª safra'!$E64:INDEX('Milho 2ª safra'!$E64:$Z64,MIN(K$6-$E$3,22))),0))-IF($G$2,0,IF((K$6-$G$3)&lt;1,0,IFERROR(LOOKUP(2,1/('Milho 2ª safra'!$E64:INDEX('Milho 2ª safra'!$E64:$Z64,MIN(K$6-$G$3,22))&lt;&gt;""),'Milho 2ª safra'!$E64:INDEX('Milho 2ª safra'!$E64:$Z64,MIN(K$6-$G$3,22))),0)))))</f>
        <v>0</v>
      </c>
      <c r="L66" s="27" t="n">
        <f aca="false">IF(COUNT('Milho 2ª safra'!$E64:$Z64)=0,0,MAX(0,IF((L$6-$E$3)&lt;1,0,IFERROR(LOOKUP(2,1/('Milho 2ª safra'!$E64:INDEX('Milho 2ª safra'!$E64:$Z64,MIN(L$6-$E$3,22))&lt;&gt;""),'Milho 2ª safra'!$E64:INDEX('Milho 2ª safra'!$E64:$Z64,MIN(L$6-$E$3,22))),0))-IF($G$2,0,IF((L$6-$G$3)&lt;1,0,IFERROR(LOOKUP(2,1/('Milho 2ª safra'!$E64:INDEX('Milho 2ª safra'!$E64:$Z64,MIN(L$6-$G$3,22))&lt;&gt;""),'Milho 2ª safra'!$E64:INDEX('Milho 2ª safra'!$E64:$Z64,MIN(L$6-$G$3,22))),0)))))</f>
        <v>0</v>
      </c>
      <c r="M66" s="27" t="n">
        <f aca="false">IF(COUNT('Milho 2ª safra'!$E64:$Z64)=0,0,MAX(0,IF((M$6-$E$3)&lt;1,0,IFERROR(LOOKUP(2,1/('Milho 2ª safra'!$E64:INDEX('Milho 2ª safra'!$E64:$Z64,MIN(M$6-$E$3,22))&lt;&gt;""),'Milho 2ª safra'!$E64:INDEX('Milho 2ª safra'!$E64:$Z64,MIN(M$6-$E$3,22))),0))-IF($G$2,0,IF((M$6-$G$3)&lt;1,0,IFERROR(LOOKUP(2,1/('Milho 2ª safra'!$E64:INDEX('Milho 2ª safra'!$E64:$Z64,MIN(M$6-$G$3,22))&lt;&gt;""),'Milho 2ª safra'!$E64:INDEX('Milho 2ª safra'!$E64:$Z64,MIN(M$6-$G$3,22))),0)))))</f>
        <v>0</v>
      </c>
      <c r="N66" s="27" t="n">
        <f aca="false">IF(COUNT('Milho 2ª safra'!$E64:$Z64)=0,0,MAX(0,IF((N$6-$E$3)&lt;1,0,IFERROR(LOOKUP(2,1/('Milho 2ª safra'!$E64:INDEX('Milho 2ª safra'!$E64:$Z64,MIN(N$6-$E$3,22))&lt;&gt;""),'Milho 2ª safra'!$E64:INDEX('Milho 2ª safra'!$E64:$Z64,MIN(N$6-$E$3,22))),0))-IF($G$2,0,IF((N$6-$G$3)&lt;1,0,IFERROR(LOOKUP(2,1/('Milho 2ª safra'!$E64:INDEX('Milho 2ª safra'!$E64:$Z64,MIN(N$6-$G$3,22))&lt;&gt;""),'Milho 2ª safra'!$E64:INDEX('Milho 2ª safra'!$E64:$Z64,MIN(N$6-$G$3,22))),0)))))</f>
        <v>0</v>
      </c>
      <c r="O66" s="27" t="n">
        <f aca="false">IF(COUNT('Milho 2ª safra'!$E64:$Z64)=0,0,MAX(0,IF((O$6-$E$3)&lt;1,0,IFERROR(LOOKUP(2,1/('Milho 2ª safra'!$E64:INDEX('Milho 2ª safra'!$E64:$Z64,MIN(O$6-$E$3,22))&lt;&gt;""),'Milho 2ª safra'!$E64:INDEX('Milho 2ª safra'!$E64:$Z64,MIN(O$6-$E$3,22))),0))-IF($G$2,0,IF((O$6-$G$3)&lt;1,0,IFERROR(LOOKUP(2,1/('Milho 2ª safra'!$E64:INDEX('Milho 2ª safra'!$E64:$Z64,MIN(O$6-$G$3,22))&lt;&gt;""),'Milho 2ª safra'!$E64:INDEX('Milho 2ª safra'!$E64:$Z64,MIN(O$6-$G$3,22))),0)))))</f>
        <v>0</v>
      </c>
      <c r="P66" s="27" t="n">
        <f aca="false">IF(COUNT('Milho 2ª safra'!$E64:$Z64)=0,0,MAX(0,IF((P$6-$E$3)&lt;1,0,IFERROR(LOOKUP(2,1/('Milho 2ª safra'!$E64:INDEX('Milho 2ª safra'!$E64:$Z64,MIN(P$6-$E$3,22))&lt;&gt;""),'Milho 2ª safra'!$E64:INDEX('Milho 2ª safra'!$E64:$Z64,MIN(P$6-$E$3,22))),0))-IF($G$2,0,IF((P$6-$G$3)&lt;1,0,IFERROR(LOOKUP(2,1/('Milho 2ª safra'!$E64:INDEX('Milho 2ª safra'!$E64:$Z64,MIN(P$6-$G$3,22))&lt;&gt;""),'Milho 2ª safra'!$E64:INDEX('Milho 2ª safra'!$E64:$Z64,MIN(P$6-$G$3,22))),0)))))</f>
        <v>0</v>
      </c>
      <c r="Q66" s="27" t="n">
        <f aca="false">IF(COUNT('Milho 2ª safra'!$E64:$Z64)=0,0,MAX(0,IF((Q$6-$E$3)&lt;1,0,IFERROR(LOOKUP(2,1/('Milho 2ª safra'!$E64:INDEX('Milho 2ª safra'!$E64:$Z64,MIN(Q$6-$E$3,22))&lt;&gt;""),'Milho 2ª safra'!$E64:INDEX('Milho 2ª safra'!$E64:$Z64,MIN(Q$6-$E$3,22))),0))-IF($G$2,0,IF((Q$6-$G$3)&lt;1,0,IFERROR(LOOKUP(2,1/('Milho 2ª safra'!$E64:INDEX('Milho 2ª safra'!$E64:$Z64,MIN(Q$6-$G$3,22))&lt;&gt;""),'Milho 2ª safra'!$E64:INDEX('Milho 2ª safra'!$E64:$Z64,MIN(Q$6-$G$3,22))),0)))))</f>
        <v>0</v>
      </c>
      <c r="R66" s="27" t="n">
        <f aca="false">IF(COUNT('Milho 2ª safra'!$E64:$Z64)=0,0,MAX(0,IF((R$6-$E$3)&lt;1,0,IFERROR(LOOKUP(2,1/('Milho 2ª safra'!$E64:INDEX('Milho 2ª safra'!$E64:$Z64,MIN(R$6-$E$3,22))&lt;&gt;""),'Milho 2ª safra'!$E64:INDEX('Milho 2ª safra'!$E64:$Z64,MIN(R$6-$E$3,22))),0))-IF($G$2,0,IF((R$6-$G$3)&lt;1,0,IFERROR(LOOKUP(2,1/('Milho 2ª safra'!$E64:INDEX('Milho 2ª safra'!$E64:$Z64,MIN(R$6-$G$3,22))&lt;&gt;""),'Milho 2ª safra'!$E64:INDEX('Milho 2ª safra'!$E64:$Z64,MIN(R$6-$G$3,22))),0)))))</f>
        <v>0</v>
      </c>
      <c r="S66" s="27" t="n">
        <f aca="false">IF(COUNT('Milho 2ª safra'!$E64:$Z64)=0,0,MAX(0,IF((S$6-$E$3)&lt;1,0,IFERROR(LOOKUP(2,1/('Milho 2ª safra'!$E64:INDEX('Milho 2ª safra'!$E64:$Z64,MIN(S$6-$E$3,22))&lt;&gt;""),'Milho 2ª safra'!$E64:INDEX('Milho 2ª safra'!$E64:$Z64,MIN(S$6-$E$3,22))),0))-IF($G$2,0,IF((S$6-$G$3)&lt;1,0,IFERROR(LOOKUP(2,1/('Milho 2ª safra'!$E64:INDEX('Milho 2ª safra'!$E64:$Z64,MIN(S$6-$G$3,22))&lt;&gt;""),'Milho 2ª safra'!$E64:INDEX('Milho 2ª safra'!$E64:$Z64,MIN(S$6-$G$3,22))),0)))))</f>
        <v>0</v>
      </c>
      <c r="T66" s="27" t="n">
        <f aca="false">IF(COUNT('Milho 2ª safra'!$E64:$Z64)=0,0,MAX(0,IF((T$6-$E$3)&lt;1,0,IFERROR(LOOKUP(2,1/('Milho 2ª safra'!$E64:INDEX('Milho 2ª safra'!$E64:$Z64,MIN(T$6-$E$3,22))&lt;&gt;""),'Milho 2ª safra'!$E64:INDEX('Milho 2ª safra'!$E64:$Z64,MIN(T$6-$E$3,22))),0))-IF($G$2,0,IF((T$6-$G$3)&lt;1,0,IFERROR(LOOKUP(2,1/('Milho 2ª safra'!$E64:INDEX('Milho 2ª safra'!$E64:$Z64,MIN(T$6-$G$3,22))&lt;&gt;""),'Milho 2ª safra'!$E64:INDEX('Milho 2ª safra'!$E64:$Z64,MIN(T$6-$G$3,22))),0)))))</f>
        <v>0</v>
      </c>
      <c r="U66" s="27" t="n">
        <f aca="false">IF(COUNT('Milho 2ª safra'!$E64:$Z64)=0,0,MAX(0,IF((U$6-$E$3)&lt;1,0,IFERROR(LOOKUP(2,1/('Milho 2ª safra'!$E64:INDEX('Milho 2ª safra'!$E64:$Z64,MIN(U$6-$E$3,22))&lt;&gt;""),'Milho 2ª safra'!$E64:INDEX('Milho 2ª safra'!$E64:$Z64,MIN(U$6-$E$3,22))),0))-IF($G$2,0,IF((U$6-$G$3)&lt;1,0,IFERROR(LOOKUP(2,1/('Milho 2ª safra'!$E64:INDEX('Milho 2ª safra'!$E64:$Z64,MIN(U$6-$G$3,22))&lt;&gt;""),'Milho 2ª safra'!$E64:INDEX('Milho 2ª safra'!$E64:$Z64,MIN(U$6-$G$3,22))),0)))))</f>
        <v>0</v>
      </c>
      <c r="V66" s="27" t="n">
        <f aca="false">IF(COUNT('Milho 2ª safra'!$E64:$Z64)=0,0,MAX(0,IF((V$6-$E$3)&lt;1,0,IFERROR(LOOKUP(2,1/('Milho 2ª safra'!$E64:INDEX('Milho 2ª safra'!$E64:$Z64,MIN(V$6-$E$3,22))&lt;&gt;""),'Milho 2ª safra'!$E64:INDEX('Milho 2ª safra'!$E64:$Z64,MIN(V$6-$E$3,22))),0))-IF($G$2,0,IF((V$6-$G$3)&lt;1,0,IFERROR(LOOKUP(2,1/('Milho 2ª safra'!$E64:INDEX('Milho 2ª safra'!$E64:$Z64,MIN(V$6-$G$3,22))&lt;&gt;""),'Milho 2ª safra'!$E64:INDEX('Milho 2ª safra'!$E64:$Z64,MIN(V$6-$G$3,22))),0)))))</f>
        <v>0</v>
      </c>
      <c r="W66" s="27" t="n">
        <f aca="false">IF(COUNT('Milho 2ª safra'!$E64:$Z64)=0,0,MAX(0,IF((W$6-$E$3)&lt;1,0,IFERROR(LOOKUP(2,1/('Milho 2ª safra'!$E64:INDEX('Milho 2ª safra'!$E64:$Z64,MIN(W$6-$E$3,22))&lt;&gt;""),'Milho 2ª safra'!$E64:INDEX('Milho 2ª safra'!$E64:$Z64,MIN(W$6-$E$3,22))),0))-IF($G$2,0,IF((W$6-$G$3)&lt;1,0,IFERROR(LOOKUP(2,1/('Milho 2ª safra'!$E64:INDEX('Milho 2ª safra'!$E64:$Z64,MIN(W$6-$G$3,22))&lt;&gt;""),'Milho 2ª safra'!$E64:INDEX('Milho 2ª safra'!$E64:$Z64,MIN(W$6-$G$3,22))),0)))))</f>
        <v>0</v>
      </c>
      <c r="X66" s="27" t="n">
        <f aca="false">IF(COUNT('Milho 2ª safra'!$E64:$Z64)=0,0,MAX(0,IF((X$6-$E$3)&lt;1,0,IFERROR(LOOKUP(2,1/('Milho 2ª safra'!$E64:INDEX('Milho 2ª safra'!$E64:$Z64,MIN(X$6-$E$3,22))&lt;&gt;""),'Milho 2ª safra'!$E64:INDEX('Milho 2ª safra'!$E64:$Z64,MIN(X$6-$E$3,22))),0))-IF($G$2,0,IF((X$6-$G$3)&lt;1,0,IFERROR(LOOKUP(2,1/('Milho 2ª safra'!$E64:INDEX('Milho 2ª safra'!$E64:$Z64,MIN(X$6-$G$3,22))&lt;&gt;""),'Milho 2ª safra'!$E64:INDEX('Milho 2ª safra'!$E64:$Z64,MIN(X$6-$G$3,22))),0)))))</f>
        <v>0</v>
      </c>
      <c r="Y66" s="27" t="n">
        <f aca="false">IF(COUNT('Milho 2ª safra'!$E64:$Z64)=0,0,MAX(0,IF((Y$6-$E$3)&lt;1,0,IFERROR(LOOKUP(2,1/('Milho 2ª safra'!$E64:INDEX('Milho 2ª safra'!$E64:$Z64,MIN(Y$6-$E$3,22))&lt;&gt;""),'Milho 2ª safra'!$E64:INDEX('Milho 2ª safra'!$E64:$Z64,MIN(Y$6-$E$3,22))),0))-IF($G$2,0,IF((Y$6-$G$3)&lt;1,0,IFERROR(LOOKUP(2,1/('Milho 2ª safra'!$E64:INDEX('Milho 2ª safra'!$E64:$Z64,MIN(Y$6-$G$3,22))&lt;&gt;""),'Milho 2ª safra'!$E64:INDEX('Milho 2ª safra'!$E64:$Z64,MIN(Y$6-$G$3,22))),0)))))</f>
        <v>0</v>
      </c>
      <c r="Z66" s="27" t="n">
        <f aca="false">IF(COUNT('Milho 2ª safra'!$E64:$Z64)=0,0,MAX(0,IF((Z$6-$E$3)&lt;1,0,IFERROR(LOOKUP(2,1/('Milho 2ª safra'!$E64:INDEX('Milho 2ª safra'!$E64:$Z64,MIN(Z$6-$E$3,22))&lt;&gt;""),'Milho 2ª safra'!$E64:INDEX('Milho 2ª safra'!$E64:$Z64,MIN(Z$6-$E$3,22))),0))-IF($G$2,0,IF((Z$6-$G$3)&lt;1,0,IFERROR(LOOKUP(2,1/('Milho 2ª safra'!$E64:INDEX('Milho 2ª safra'!$E64:$Z64,MIN(Z$6-$G$3,22))&lt;&gt;""),'Milho 2ª safra'!$E64:INDEX('Milho 2ª safra'!$E64:$Z64,MIN(Z$6-$G$3,22))),0)))))</f>
        <v>0</v>
      </c>
      <c r="AA66" s="27" t="n">
        <f aca="false">IF(COUNT('Milho 2ª safra'!$E64:$Z64)=0,0,MAX(0,IF((AA$6-$E$3)&lt;1,0,IFERROR(LOOKUP(2,1/('Milho 2ª safra'!$E64:INDEX('Milho 2ª safra'!$E64:$Z64,MIN(AA$6-$E$3,22))&lt;&gt;""),'Milho 2ª safra'!$E64:INDEX('Milho 2ª safra'!$E64:$Z64,MIN(AA$6-$E$3,22))),0))-IF($G$2,0,IF((AA$6-$G$3)&lt;1,0,IFERROR(LOOKUP(2,1/('Milho 2ª safra'!$E64:INDEX('Milho 2ª safra'!$E64:$Z64,MIN(AA$6-$G$3,22))&lt;&gt;""),'Milho 2ª safra'!$E64:INDEX('Milho 2ª safra'!$E64:$Z64,MIN(AA$6-$G$3,22))),0)))))</f>
        <v>0</v>
      </c>
      <c r="AB66" s="27" t="n">
        <f aca="false">IF(COUNT('Milho 2ª safra'!$E64:$Z64)=0,0,MAX(0,IF((AB$6-$E$3)&lt;1,0,IFERROR(LOOKUP(2,1/('Milho 2ª safra'!$E64:INDEX('Milho 2ª safra'!$E64:$Z64,MIN(AB$6-$E$3,22))&lt;&gt;""),'Milho 2ª safra'!$E64:INDEX('Milho 2ª safra'!$E64:$Z64,MIN(AB$6-$E$3,22))),0))-IF($G$2,0,IF((AB$6-$G$3)&lt;1,0,IFERROR(LOOKUP(2,1/('Milho 2ª safra'!$E64:INDEX('Milho 2ª safra'!$E64:$Z64,MIN(AB$6-$G$3,22))&lt;&gt;""),'Milho 2ª safra'!$E64:INDEX('Milho 2ª safra'!$E64:$Z64,MIN(AB$6-$G$3,22))),0)))))</f>
        <v>0</v>
      </c>
      <c r="AC66" s="27" t="n">
        <f aca="false">IF(COUNT('Milho 2ª safra'!$E64:$Z64)=0,0,MAX(0,IF((AC$6-$E$3)&lt;1,0,IFERROR(LOOKUP(2,1/('Milho 2ª safra'!$E64:INDEX('Milho 2ª safra'!$E64:$Z64,MIN(AC$6-$E$3,22))&lt;&gt;""),'Milho 2ª safra'!$E64:INDEX('Milho 2ª safra'!$E64:$Z64,MIN(AC$6-$E$3,22))),0))-IF($G$2,0,IF((AC$6-$G$3)&lt;1,0,IFERROR(LOOKUP(2,1/('Milho 2ª safra'!$E64:INDEX('Milho 2ª safra'!$E64:$Z64,MIN(AC$6-$G$3,22))&lt;&gt;""),'Milho 2ª safra'!$E64:INDEX('Milho 2ª safra'!$E64:$Z64,MIN(AC$6-$G$3,22))),0)))))</f>
        <v>0</v>
      </c>
      <c r="AD66" s="27" t="n">
        <f aca="false">IF(COUNT('Milho 2ª safra'!$E64:$Z64)=0,0,MAX(0,IF((AD$6-$E$3)&lt;1,0,IFERROR(LOOKUP(2,1/('Milho 2ª safra'!$E64:INDEX('Milho 2ª safra'!$E64:$Z64,MIN(AD$6-$E$3,22))&lt;&gt;""),'Milho 2ª safra'!$E64:INDEX('Milho 2ª safra'!$E64:$Z64,MIN(AD$6-$E$3,22))),0))-IF($G$2,0,IF((AD$6-$G$3)&lt;1,0,IFERROR(LOOKUP(2,1/('Milho 2ª safra'!$E64:INDEX('Milho 2ª safra'!$E64:$Z64,MIN(AD$6-$G$3,22))&lt;&gt;""),'Milho 2ª safra'!$E64:INDEX('Milho 2ª safra'!$E64:$Z64,MIN(AD$6-$G$3,22))),0)))))</f>
        <v>0</v>
      </c>
      <c r="AE66" s="27" t="n">
        <f aca="false">IF(COUNT('Milho 2ª safra'!$E64:$Z64)=0,0,MAX(0,IF((AE$6-$E$3)&lt;1,0,IFERROR(LOOKUP(2,1/('Milho 2ª safra'!$E64:INDEX('Milho 2ª safra'!$E64:$Z64,MIN(AE$6-$E$3,22))&lt;&gt;""),'Milho 2ª safra'!$E64:INDEX('Milho 2ª safra'!$E64:$Z64,MIN(AE$6-$E$3,22))),0))-IF($G$2,0,IF((AE$6-$G$3)&lt;1,0,IFERROR(LOOKUP(2,1/('Milho 2ª safra'!$E64:INDEX('Milho 2ª safra'!$E64:$Z64,MIN(AE$6-$G$3,22))&lt;&gt;""),'Milho 2ª safra'!$E64:INDEX('Milho 2ª safra'!$E64:$Z64,MIN(AE$6-$G$3,22))),0)))))</f>
        <v>0</v>
      </c>
      <c r="AF66" s="27" t="n">
        <f aca="false">IF(COUNT('Milho 2ª safra'!$E64:$Z64)=0,0,MAX(0,IF((AF$6-$E$3)&lt;1,0,IFERROR(LOOKUP(2,1/('Milho 2ª safra'!$E64:INDEX('Milho 2ª safra'!$E64:$Z64,MIN(AF$6-$E$3,22))&lt;&gt;""),'Milho 2ª safra'!$E64:INDEX('Milho 2ª safra'!$E64:$Z64,MIN(AF$6-$E$3,22))),0))-IF($G$2,0,IF((AF$6-$G$3)&lt;1,0,IFERROR(LOOKUP(2,1/('Milho 2ª safra'!$E64:INDEX('Milho 2ª safra'!$E64:$Z64,MIN(AF$6-$G$3,22))&lt;&gt;""),'Milho 2ª safra'!$E64:INDEX('Milho 2ª safra'!$E64:$Z64,MIN(AF$6-$G$3,22))),0)))))</f>
        <v>0</v>
      </c>
      <c r="AG66" s="27" t="n">
        <f aca="false">IF(COUNT('Milho 2ª safra'!$E64:$Z64)=0,0,MAX(0,IF((AG$6-$E$3)&lt;1,0,IFERROR(LOOKUP(2,1/('Milho 2ª safra'!$E64:INDEX('Milho 2ª safra'!$E64:$Z64,MIN(AG$6-$E$3,22))&lt;&gt;""),'Milho 2ª safra'!$E64:INDEX('Milho 2ª safra'!$E64:$Z64,MIN(AG$6-$E$3,22))),0))-IF($G$2,0,IF((AG$6-$G$3)&lt;1,0,IFERROR(LOOKUP(2,1/('Milho 2ª safra'!$E64:INDEX('Milho 2ª safra'!$E64:$Z64,MIN(AG$6-$G$3,22))&lt;&gt;""),'Milho 2ª safra'!$E64:INDEX('Milho 2ª safra'!$E64:$Z64,MIN(AG$6-$G$3,22))),0)))))</f>
        <v>0</v>
      </c>
      <c r="AH66" s="27" t="n">
        <f aca="false">IF(COUNT('Milho 2ª safra'!$E64:$Z64)=0,0,MAX(0,IF((AH$6-$E$3)&lt;1,0,IFERROR(LOOKUP(2,1/('Milho 2ª safra'!$E64:INDEX('Milho 2ª safra'!$E64:$Z64,MIN(AH$6-$E$3,22))&lt;&gt;""),'Milho 2ª safra'!$E64:INDEX('Milho 2ª safra'!$E64:$Z64,MIN(AH$6-$E$3,22))),0))-IF($G$2,0,IF((AH$6-$G$3)&lt;1,0,IFERROR(LOOKUP(2,1/('Milho 2ª safra'!$E64:INDEX('Milho 2ª safra'!$E64:$Z64,MIN(AH$6-$G$3,22))&lt;&gt;""),'Milho 2ª safra'!$E64:INDEX('Milho 2ª safra'!$E64:$Z64,MIN(AH$6-$G$3,22))),0)))))</f>
        <v>0</v>
      </c>
      <c r="AI66" s="27" t="n">
        <f aca="false">IF(COUNT('Milho 2ª safra'!$E64:$Z64)=0,0,MAX(0,IF((AI$6-$E$3)&lt;1,0,IFERROR(LOOKUP(2,1/('Milho 2ª safra'!$E64:INDEX('Milho 2ª safra'!$E64:$Z64,MIN(AI$6-$E$3,22))&lt;&gt;""),'Milho 2ª safra'!$E64:INDEX('Milho 2ª safra'!$E64:$Z64,MIN(AI$6-$E$3,22))),0))-IF($G$2,0,IF((AI$6-$G$3)&lt;1,0,IFERROR(LOOKUP(2,1/('Milho 2ª safra'!$E64:INDEX('Milho 2ª safra'!$E64:$Z64,MIN(AI$6-$G$3,22))&lt;&gt;""),'Milho 2ª safra'!$E64:INDEX('Milho 2ª safra'!$E64:$Z64,MIN(AI$6-$G$3,22))),0)))))</f>
        <v>0</v>
      </c>
      <c r="AJ66" s="27" t="n">
        <f aca="false">IF(COUNT('Milho 2ª safra'!$E64:$Z64)=0,0,MAX(0,IF((AJ$6-$E$3)&lt;1,0,IFERROR(LOOKUP(2,1/('Milho 2ª safra'!$E64:INDEX('Milho 2ª safra'!$E64:$Z64,MIN(AJ$6-$E$3,22))&lt;&gt;""),'Milho 2ª safra'!$E64:INDEX('Milho 2ª safra'!$E64:$Z64,MIN(AJ$6-$E$3,22))),0))-IF($G$2,0,IF((AJ$6-$G$3)&lt;1,0,IFERROR(LOOKUP(2,1/('Milho 2ª safra'!$E64:INDEX('Milho 2ª safra'!$E64:$Z64,MIN(AJ$6-$G$3,22))&lt;&gt;""),'Milho 2ª safra'!$E64:INDEX('Milho 2ª safra'!$E64:$Z64,MIN(AJ$6-$G$3,22))),0)))))</f>
        <v>0</v>
      </c>
      <c r="AK66" s="27" t="n">
        <f aca="false">IF(COUNT('Milho 2ª safra'!$E64:$Z64)=0,0,MAX(0,IF((AK$6-$E$3)&lt;1,0,IFERROR(LOOKUP(2,1/('Milho 2ª safra'!$E64:INDEX('Milho 2ª safra'!$E64:$Z64,MIN(AK$6-$E$3,22))&lt;&gt;""),'Milho 2ª safra'!$E64:INDEX('Milho 2ª safra'!$E64:$Z64,MIN(AK$6-$E$3,22))),0))-IF($G$2,0,IF((AK$6-$G$3)&lt;1,0,IFERROR(LOOKUP(2,1/('Milho 2ª safra'!$E64:INDEX('Milho 2ª safra'!$E64:$Z64,MIN(AK$6-$G$3,22))&lt;&gt;""),'Milho 2ª safra'!$E64:INDEX('Milho 2ª safra'!$E64:$Z64,MIN(AK$6-$G$3,22))),0)))))</f>
        <v>0</v>
      </c>
      <c r="AL66" s="27" t="n">
        <f aca="false">IF(COUNT('Milho 2ª safra'!$E64:$Z64)=0,0,MAX(0,IF((AL$6-$E$3)&lt;1,0,IFERROR(LOOKUP(2,1/('Milho 2ª safra'!$E64:INDEX('Milho 2ª safra'!$E64:$Z64,MIN(AL$6-$E$3,22))&lt;&gt;""),'Milho 2ª safra'!$E64:INDEX('Milho 2ª safra'!$E64:$Z64,MIN(AL$6-$E$3,22))),0))-IF($G$2,0,IF((AL$6-$G$3)&lt;1,0,IFERROR(LOOKUP(2,1/('Milho 2ª safra'!$E64:INDEX('Milho 2ª safra'!$E64:$Z64,MIN(AL$6-$G$3,22))&lt;&gt;""),'Milho 2ª safra'!$E64:INDEX('Milho 2ª safra'!$E64:$Z64,MIN(AL$6-$G$3,22))),0)))))</f>
        <v>0</v>
      </c>
      <c r="AM66" s="27" t="n">
        <f aca="false">IF(COUNT('Milho 2ª safra'!$E64:$Z64)=0,0,MAX(0,IF((AM$6-$E$3)&lt;1,0,IFERROR(LOOKUP(2,1/('Milho 2ª safra'!$E64:INDEX('Milho 2ª safra'!$E64:$Z64,MIN(AM$6-$E$3,22))&lt;&gt;""),'Milho 2ª safra'!$E64:INDEX('Milho 2ª safra'!$E64:$Z64,MIN(AM$6-$E$3,22))),0))-IF($G$2,0,IF((AM$6-$G$3)&lt;1,0,IFERROR(LOOKUP(2,1/('Milho 2ª safra'!$E64:INDEX('Milho 2ª safra'!$E64:$Z64,MIN(AM$6-$G$3,22))&lt;&gt;""),'Milho 2ª safra'!$E64:INDEX('Milho 2ª safra'!$E64:$Z64,MIN(AM$6-$G$3,22))),0)))))</f>
        <v>0</v>
      </c>
      <c r="AN66" s="27" t="n">
        <f aca="false">IF(COUNT('Milho 2ª safra'!$E64:$Z64)=0,0,MAX(0,IF((AN$6-$E$3)&lt;1,0,IFERROR(LOOKUP(2,1/('Milho 2ª safra'!$E64:INDEX('Milho 2ª safra'!$E64:$Z64,MIN(AN$6-$E$3,22))&lt;&gt;""),'Milho 2ª safra'!$E64:INDEX('Milho 2ª safra'!$E64:$Z64,MIN(AN$6-$E$3,22))),0))-IF($G$2,0,IF((AN$6-$G$3)&lt;1,0,IFERROR(LOOKUP(2,1/('Milho 2ª safra'!$E64:INDEX('Milho 2ª safra'!$E64:$Z64,MIN(AN$6-$G$3,22))&lt;&gt;""),'Milho 2ª safra'!$E64:INDEX('Milho 2ª safra'!$E64:$Z64,MIN(AN$6-$G$3,22))),0)))))</f>
        <v>0</v>
      </c>
      <c r="AO66" s="27" t="n">
        <f aca="false">IF(COUNT('Milho 2ª safra'!$E64:$Z64)=0,0,MAX(0,IF((AO$6-$E$3)&lt;1,0,IFERROR(LOOKUP(2,1/('Milho 2ª safra'!$E64:INDEX('Milho 2ª safra'!$E64:$Z64,MIN(AO$6-$E$3,22))&lt;&gt;""),'Milho 2ª safra'!$E64:INDEX('Milho 2ª safra'!$E64:$Z64,MIN(AO$6-$E$3,22))),0))-IF($G$2,0,IF((AO$6-$G$3)&lt;1,0,IFERROR(LOOKUP(2,1/('Milho 2ª safra'!$E64:INDEX('Milho 2ª safra'!$E64:$Z64,MIN(AO$6-$G$3,22))&lt;&gt;""),'Milho 2ª safra'!$E64:INDEX('Milho 2ª safra'!$E64:$Z64,MIN(AO$6-$G$3,22))),0)))))</f>
        <v>0</v>
      </c>
      <c r="AP66" s="27" t="n">
        <f aca="false">IF(COUNT('Milho 2ª safra'!$E64:$Z64)=0,0,MAX(0,IF((AP$6-$E$3)&lt;1,0,IFERROR(LOOKUP(2,1/('Milho 2ª safra'!$E64:INDEX('Milho 2ª safra'!$E64:$Z64,MIN(AP$6-$E$3,22))&lt;&gt;""),'Milho 2ª safra'!$E64:INDEX('Milho 2ª safra'!$E64:$Z64,MIN(AP$6-$E$3,22))),0))-IF($G$2,0,IF((AP$6-$G$3)&lt;1,0,IFERROR(LOOKUP(2,1/('Milho 2ª safra'!$E64:INDEX('Milho 2ª safra'!$E64:$Z64,MIN(AP$6-$G$3,22))&lt;&gt;""),'Milho 2ª safra'!$E64:INDEX('Milho 2ª safra'!$E64:$Z64,MIN(AP$6-$G$3,22))),0)))))</f>
        <v>0</v>
      </c>
      <c r="AQ66" s="27" t="n">
        <f aca="false">IF(COUNT('Milho 2ª safra'!$E64:$Z64)=0,0,MAX(0,IF((AQ$6-$E$3)&lt;1,0,IFERROR(LOOKUP(2,1/('Milho 2ª safra'!$E64:INDEX('Milho 2ª safra'!$E64:$Z64,MIN(AQ$6-$E$3,22))&lt;&gt;""),'Milho 2ª safra'!$E64:INDEX('Milho 2ª safra'!$E64:$Z64,MIN(AQ$6-$E$3,22))),0))-IF($G$2,0,IF((AQ$6-$G$3)&lt;1,0,IFERROR(LOOKUP(2,1/('Milho 2ª safra'!$E64:INDEX('Milho 2ª safra'!$E64:$Z64,MIN(AQ$6-$G$3,22))&lt;&gt;""),'Milho 2ª safra'!$E64:INDEX('Milho 2ª safra'!$E64:$Z64,MIN(AQ$6-$G$3,22))),0)))))</f>
        <v>0</v>
      </c>
      <c r="AR66" s="27" t="n">
        <f aca="false">IF(COUNT('Milho 2ª safra'!$E64:$Z64)=0,0,MAX(0,IF((AR$6-$E$3)&lt;1,0,IFERROR(LOOKUP(2,1/('Milho 2ª safra'!$E64:INDEX('Milho 2ª safra'!$E64:$Z64,MIN(AR$6-$E$3,22))&lt;&gt;""),'Milho 2ª safra'!$E64:INDEX('Milho 2ª safra'!$E64:$Z64,MIN(AR$6-$E$3,22))),0))-IF($G$2,0,IF((AR$6-$G$3)&lt;1,0,IFERROR(LOOKUP(2,1/('Milho 2ª safra'!$E64:INDEX('Milho 2ª safra'!$E64:$Z64,MIN(AR$6-$G$3,22))&lt;&gt;""),'Milho 2ª safra'!$E64:INDEX('Milho 2ª safra'!$E64:$Z64,MIN(AR$6-$G$3,22))),0)))))</f>
        <v>0</v>
      </c>
      <c r="AS66" s="27" t="n">
        <f aca="false">IF(COUNT('Milho 2ª safra'!$E64:$Z64)=0,0,MAX(0,IF((AS$6-$E$3)&lt;1,0,IFERROR(LOOKUP(2,1/('Milho 2ª safra'!$E64:INDEX('Milho 2ª safra'!$E64:$Z64,MIN(AS$6-$E$3,22))&lt;&gt;""),'Milho 2ª safra'!$E64:INDEX('Milho 2ª safra'!$E64:$Z64,MIN(AS$6-$E$3,22))),0))-IF($G$2,0,IF((AS$6-$G$3)&lt;1,0,IFERROR(LOOKUP(2,1/('Milho 2ª safra'!$E64:INDEX('Milho 2ª safra'!$E64:$Z64,MIN(AS$6-$G$3,22))&lt;&gt;""),'Milho 2ª safra'!$E64:INDEX('Milho 2ª safra'!$E64:$Z64,MIN(AS$6-$G$3,22))),0)))))</f>
        <v>0</v>
      </c>
      <c r="AT66" s="27" t="n">
        <f aca="false">IF(COUNT('Milho 2ª safra'!$E64:$Z64)=0,0,MAX(0,IF((AT$6-$E$3)&lt;1,0,IFERROR(LOOKUP(2,1/('Milho 2ª safra'!$E64:INDEX('Milho 2ª safra'!$E64:$Z64,MIN(AT$6-$E$3,22))&lt;&gt;""),'Milho 2ª safra'!$E64:INDEX('Milho 2ª safra'!$E64:$Z64,MIN(AT$6-$E$3,22))),0))-IF($G$2,0,IF((AT$6-$G$3)&lt;1,0,IFERROR(LOOKUP(2,1/('Milho 2ª safra'!$E64:INDEX('Milho 2ª safra'!$E64:$Z64,MIN(AT$6-$G$3,22))&lt;&gt;""),'Milho 2ª safra'!$E64:INDEX('Milho 2ª safra'!$E64:$Z64,MIN(AT$6-$G$3,22))),0)))))</f>
        <v>0</v>
      </c>
      <c r="AU66" s="27" t="n">
        <f aca="false">IF(COUNT('Milho 2ª safra'!$E64:$Z64)=0,0,MAX(0,IF((AU$6-$E$3)&lt;1,0,IFERROR(LOOKUP(2,1/('Milho 2ª safra'!$E64:INDEX('Milho 2ª safra'!$E64:$Z64,MIN(AU$6-$E$3,22))&lt;&gt;""),'Milho 2ª safra'!$E64:INDEX('Milho 2ª safra'!$E64:$Z64,MIN(AU$6-$E$3,22))),0))-IF($G$2,0,IF((AU$6-$G$3)&lt;1,0,IFERROR(LOOKUP(2,1/('Milho 2ª safra'!$E64:INDEX('Milho 2ª safra'!$E64:$Z64,MIN(AU$6-$G$3,22))&lt;&gt;""),'Milho 2ª safra'!$E64:INDEX('Milho 2ª safra'!$E64:$Z64,MIN(AU$6-$G$3,22))),0)))))</f>
        <v>0</v>
      </c>
      <c r="AV66" s="27" t="n">
        <f aca="false">IF(COUNT('Milho 2ª safra'!$E64:$Z64)=0,0,MAX(0,IF((AV$6-$E$3)&lt;1,0,IFERROR(LOOKUP(2,1/('Milho 2ª safra'!$E64:INDEX('Milho 2ª safra'!$E64:$Z64,MIN(AV$6-$E$3,22))&lt;&gt;""),'Milho 2ª safra'!$E64:INDEX('Milho 2ª safra'!$E64:$Z64,MIN(AV$6-$E$3,22))),0))-IF($G$2,0,IF((AV$6-$G$3)&lt;1,0,IFERROR(LOOKUP(2,1/('Milho 2ª safra'!$E64:INDEX('Milho 2ª safra'!$E64:$Z64,MIN(AV$6-$G$3,22))&lt;&gt;""),'Milho 2ª safra'!$E64:INDEX('Milho 2ª safra'!$E64:$Z64,MIN(AV$6-$G$3,22))),0)))))</f>
        <v>0</v>
      </c>
      <c r="AW66" s="27" t="n">
        <f aca="false">IF(COUNT('Milho 2ª safra'!$E64:$Z64)=0,0,MAX(0,IF((AW$6-$E$3)&lt;1,0,IFERROR(LOOKUP(2,1/('Milho 2ª safra'!$E64:INDEX('Milho 2ª safra'!$E64:$Z64,MIN(AW$6-$E$3,22))&lt;&gt;""),'Milho 2ª safra'!$E64:INDEX('Milho 2ª safra'!$E64:$Z64,MIN(AW$6-$E$3,22))),0))-IF($G$2,0,IF((AW$6-$G$3)&lt;1,0,IFERROR(LOOKUP(2,1/('Milho 2ª safra'!$E64:INDEX('Milho 2ª safra'!$E64:$Z64,MIN(AW$6-$G$3,22))&lt;&gt;""),'Milho 2ª safra'!$E64:INDEX('Milho 2ª safra'!$E64:$Z64,MIN(AW$6-$G$3,22))),0)))))</f>
        <v>0</v>
      </c>
      <c r="AX66" s="27" t="n">
        <f aca="false">IF(COUNT('Milho 2ª safra'!$E64:$Z64)=0,0,MAX(0,IF((AX$6-$E$3)&lt;1,0,IFERROR(LOOKUP(2,1/('Milho 2ª safra'!$E64:INDEX('Milho 2ª safra'!$E64:$Z64,MIN(AX$6-$E$3,22))&lt;&gt;""),'Milho 2ª safra'!$E64:INDEX('Milho 2ª safra'!$E64:$Z64,MIN(AX$6-$E$3,22))),0))-IF($G$2,0,IF((AX$6-$G$3)&lt;1,0,IFERROR(LOOKUP(2,1/('Milho 2ª safra'!$E64:INDEX('Milho 2ª safra'!$E64:$Z64,MIN(AX$6-$G$3,22))&lt;&gt;""),'Milho 2ª safra'!$E64:INDEX('Milho 2ª safra'!$E64:$Z64,MIN(AX$6-$G$3,22))),0)))))</f>
        <v>0</v>
      </c>
      <c r="AY66" s="27" t="n">
        <f aca="false">IF(COUNT('Milho 2ª safra'!$E64:$Z64)=0,0,MAX(0,IF((AY$6-$E$3)&lt;1,0,IFERROR(LOOKUP(2,1/('Milho 2ª safra'!$E64:INDEX('Milho 2ª safra'!$E64:$Z64,MIN(AY$6-$E$3,22))&lt;&gt;""),'Milho 2ª safra'!$E64:INDEX('Milho 2ª safra'!$E64:$Z64,MIN(AY$6-$E$3,22))),0))-IF($G$2,0,IF((AY$6-$G$3)&lt;1,0,IFERROR(LOOKUP(2,1/('Milho 2ª safra'!$E64:INDEX('Milho 2ª safra'!$E64:$Z64,MIN(AY$6-$G$3,22))&lt;&gt;""),'Milho 2ª safra'!$E64:INDEX('Milho 2ª safra'!$E64:$Z64,MIN(AY$6-$G$3,22))),0)))))</f>
        <v>0</v>
      </c>
      <c r="AZ66" s="27" t="n">
        <f aca="false">IF(COUNT('Milho 2ª safra'!$E64:$Z64)=0,0,MAX(0,IF((AZ$6-$E$3)&lt;1,0,IFERROR(LOOKUP(2,1/('Milho 2ª safra'!$E64:INDEX('Milho 2ª safra'!$E64:$Z64,MIN(AZ$6-$E$3,22))&lt;&gt;""),'Milho 2ª safra'!$E64:INDEX('Milho 2ª safra'!$E64:$Z64,MIN(AZ$6-$E$3,22))),0))-IF($G$2,0,IF((AZ$6-$G$3)&lt;1,0,IFERROR(LOOKUP(2,1/('Milho 2ª safra'!$E64:INDEX('Milho 2ª safra'!$E64:$Z64,MIN(AZ$6-$G$3,22))&lt;&gt;""),'Milho 2ª safra'!$E64:INDEX('Milho 2ª safra'!$E64:$Z64,MIN(AZ$6-$G$3,22))),0)))))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IF(COUNT('Milho 2ª safra'!$E65:$Z65)&gt;0,N('Milho 2ª safra'!$D65),0)</f>
        <v>0</v>
      </c>
      <c r="E67" s="27" t="n">
        <f aca="false">IF(COUNT('Milho 2ª safra'!$E65:$Z65)=0,0,MAX(0,IF((E$6-$E$3)&lt;1,0,IFERROR(LOOKUP(2,1/('Milho 2ª safra'!$E65:INDEX('Milho 2ª safra'!$E65:$Z65,MIN(E$6-$E$3,22))&lt;&gt;""),'Milho 2ª safra'!$E65:INDEX('Milho 2ª safra'!$E65:$Z65,MIN(E$6-$E$3,22))),0))-IF($G$2,0,IF((E$6-$G$3)&lt;1,0,IFERROR(LOOKUP(2,1/('Milho 2ª safra'!$E65:INDEX('Milho 2ª safra'!$E65:$Z65,MIN(E$6-$G$3,22))&lt;&gt;""),'Milho 2ª safra'!$E65:INDEX('Milho 2ª safra'!$E65:$Z65,MIN(E$6-$G$3,22))),0)))))</f>
        <v>0</v>
      </c>
      <c r="F67" s="27" t="n">
        <f aca="false">IF(COUNT('Milho 2ª safra'!$E65:$Z65)=0,0,MAX(0,IF((F$6-$E$3)&lt;1,0,IFERROR(LOOKUP(2,1/('Milho 2ª safra'!$E65:INDEX('Milho 2ª safra'!$E65:$Z65,MIN(F$6-$E$3,22))&lt;&gt;""),'Milho 2ª safra'!$E65:INDEX('Milho 2ª safra'!$E65:$Z65,MIN(F$6-$E$3,22))),0))-IF($G$2,0,IF((F$6-$G$3)&lt;1,0,IFERROR(LOOKUP(2,1/('Milho 2ª safra'!$E65:INDEX('Milho 2ª safra'!$E65:$Z65,MIN(F$6-$G$3,22))&lt;&gt;""),'Milho 2ª safra'!$E65:INDEX('Milho 2ª safra'!$E65:$Z65,MIN(F$6-$G$3,22))),0)))))</f>
        <v>0</v>
      </c>
      <c r="G67" s="27" t="n">
        <f aca="false">IF(COUNT('Milho 2ª safra'!$E65:$Z65)=0,0,MAX(0,IF((G$6-$E$3)&lt;1,0,IFERROR(LOOKUP(2,1/('Milho 2ª safra'!$E65:INDEX('Milho 2ª safra'!$E65:$Z65,MIN(G$6-$E$3,22))&lt;&gt;""),'Milho 2ª safra'!$E65:INDEX('Milho 2ª safra'!$E65:$Z65,MIN(G$6-$E$3,22))),0))-IF($G$2,0,IF((G$6-$G$3)&lt;1,0,IFERROR(LOOKUP(2,1/('Milho 2ª safra'!$E65:INDEX('Milho 2ª safra'!$E65:$Z65,MIN(G$6-$G$3,22))&lt;&gt;""),'Milho 2ª safra'!$E65:INDEX('Milho 2ª safra'!$E65:$Z65,MIN(G$6-$G$3,22))),0)))))</f>
        <v>0</v>
      </c>
      <c r="H67" s="27" t="n">
        <f aca="false">IF(COUNT('Milho 2ª safra'!$E65:$Z65)=0,0,MAX(0,IF((H$6-$E$3)&lt;1,0,IFERROR(LOOKUP(2,1/('Milho 2ª safra'!$E65:INDEX('Milho 2ª safra'!$E65:$Z65,MIN(H$6-$E$3,22))&lt;&gt;""),'Milho 2ª safra'!$E65:INDEX('Milho 2ª safra'!$E65:$Z65,MIN(H$6-$E$3,22))),0))-IF($G$2,0,IF((H$6-$G$3)&lt;1,0,IFERROR(LOOKUP(2,1/('Milho 2ª safra'!$E65:INDEX('Milho 2ª safra'!$E65:$Z65,MIN(H$6-$G$3,22))&lt;&gt;""),'Milho 2ª safra'!$E65:INDEX('Milho 2ª safra'!$E65:$Z65,MIN(H$6-$G$3,22))),0)))))</f>
        <v>0</v>
      </c>
      <c r="I67" s="27" t="n">
        <f aca="false">IF(COUNT('Milho 2ª safra'!$E65:$Z65)=0,0,MAX(0,IF((I$6-$E$3)&lt;1,0,IFERROR(LOOKUP(2,1/('Milho 2ª safra'!$E65:INDEX('Milho 2ª safra'!$E65:$Z65,MIN(I$6-$E$3,22))&lt;&gt;""),'Milho 2ª safra'!$E65:INDEX('Milho 2ª safra'!$E65:$Z65,MIN(I$6-$E$3,22))),0))-IF($G$2,0,IF((I$6-$G$3)&lt;1,0,IFERROR(LOOKUP(2,1/('Milho 2ª safra'!$E65:INDEX('Milho 2ª safra'!$E65:$Z65,MIN(I$6-$G$3,22))&lt;&gt;""),'Milho 2ª safra'!$E65:INDEX('Milho 2ª safra'!$E65:$Z65,MIN(I$6-$G$3,22))),0)))))</f>
        <v>0</v>
      </c>
      <c r="J67" s="27" t="n">
        <f aca="false">IF(COUNT('Milho 2ª safra'!$E65:$Z65)=0,0,MAX(0,IF((J$6-$E$3)&lt;1,0,IFERROR(LOOKUP(2,1/('Milho 2ª safra'!$E65:INDEX('Milho 2ª safra'!$E65:$Z65,MIN(J$6-$E$3,22))&lt;&gt;""),'Milho 2ª safra'!$E65:INDEX('Milho 2ª safra'!$E65:$Z65,MIN(J$6-$E$3,22))),0))-IF($G$2,0,IF((J$6-$G$3)&lt;1,0,IFERROR(LOOKUP(2,1/('Milho 2ª safra'!$E65:INDEX('Milho 2ª safra'!$E65:$Z65,MIN(J$6-$G$3,22))&lt;&gt;""),'Milho 2ª safra'!$E65:INDEX('Milho 2ª safra'!$E65:$Z65,MIN(J$6-$G$3,22))),0)))))</f>
        <v>0</v>
      </c>
      <c r="K67" s="27" t="n">
        <f aca="false">IF(COUNT('Milho 2ª safra'!$E65:$Z65)=0,0,MAX(0,IF((K$6-$E$3)&lt;1,0,IFERROR(LOOKUP(2,1/('Milho 2ª safra'!$E65:INDEX('Milho 2ª safra'!$E65:$Z65,MIN(K$6-$E$3,22))&lt;&gt;""),'Milho 2ª safra'!$E65:INDEX('Milho 2ª safra'!$E65:$Z65,MIN(K$6-$E$3,22))),0))-IF($G$2,0,IF((K$6-$G$3)&lt;1,0,IFERROR(LOOKUP(2,1/('Milho 2ª safra'!$E65:INDEX('Milho 2ª safra'!$E65:$Z65,MIN(K$6-$G$3,22))&lt;&gt;""),'Milho 2ª safra'!$E65:INDEX('Milho 2ª safra'!$E65:$Z65,MIN(K$6-$G$3,22))),0)))))</f>
        <v>0</v>
      </c>
      <c r="L67" s="27" t="n">
        <f aca="false">IF(COUNT('Milho 2ª safra'!$E65:$Z65)=0,0,MAX(0,IF((L$6-$E$3)&lt;1,0,IFERROR(LOOKUP(2,1/('Milho 2ª safra'!$E65:INDEX('Milho 2ª safra'!$E65:$Z65,MIN(L$6-$E$3,22))&lt;&gt;""),'Milho 2ª safra'!$E65:INDEX('Milho 2ª safra'!$E65:$Z65,MIN(L$6-$E$3,22))),0))-IF($G$2,0,IF((L$6-$G$3)&lt;1,0,IFERROR(LOOKUP(2,1/('Milho 2ª safra'!$E65:INDEX('Milho 2ª safra'!$E65:$Z65,MIN(L$6-$G$3,22))&lt;&gt;""),'Milho 2ª safra'!$E65:INDEX('Milho 2ª safra'!$E65:$Z65,MIN(L$6-$G$3,22))),0)))))</f>
        <v>0</v>
      </c>
      <c r="M67" s="27" t="n">
        <f aca="false">IF(COUNT('Milho 2ª safra'!$E65:$Z65)=0,0,MAX(0,IF((M$6-$E$3)&lt;1,0,IFERROR(LOOKUP(2,1/('Milho 2ª safra'!$E65:INDEX('Milho 2ª safra'!$E65:$Z65,MIN(M$6-$E$3,22))&lt;&gt;""),'Milho 2ª safra'!$E65:INDEX('Milho 2ª safra'!$E65:$Z65,MIN(M$6-$E$3,22))),0))-IF($G$2,0,IF((M$6-$G$3)&lt;1,0,IFERROR(LOOKUP(2,1/('Milho 2ª safra'!$E65:INDEX('Milho 2ª safra'!$E65:$Z65,MIN(M$6-$G$3,22))&lt;&gt;""),'Milho 2ª safra'!$E65:INDEX('Milho 2ª safra'!$E65:$Z65,MIN(M$6-$G$3,22))),0)))))</f>
        <v>0</v>
      </c>
      <c r="N67" s="27" t="n">
        <f aca="false">IF(COUNT('Milho 2ª safra'!$E65:$Z65)=0,0,MAX(0,IF((N$6-$E$3)&lt;1,0,IFERROR(LOOKUP(2,1/('Milho 2ª safra'!$E65:INDEX('Milho 2ª safra'!$E65:$Z65,MIN(N$6-$E$3,22))&lt;&gt;""),'Milho 2ª safra'!$E65:INDEX('Milho 2ª safra'!$E65:$Z65,MIN(N$6-$E$3,22))),0))-IF($G$2,0,IF((N$6-$G$3)&lt;1,0,IFERROR(LOOKUP(2,1/('Milho 2ª safra'!$E65:INDEX('Milho 2ª safra'!$E65:$Z65,MIN(N$6-$G$3,22))&lt;&gt;""),'Milho 2ª safra'!$E65:INDEX('Milho 2ª safra'!$E65:$Z65,MIN(N$6-$G$3,22))),0)))))</f>
        <v>0</v>
      </c>
      <c r="O67" s="27" t="n">
        <f aca="false">IF(COUNT('Milho 2ª safra'!$E65:$Z65)=0,0,MAX(0,IF((O$6-$E$3)&lt;1,0,IFERROR(LOOKUP(2,1/('Milho 2ª safra'!$E65:INDEX('Milho 2ª safra'!$E65:$Z65,MIN(O$6-$E$3,22))&lt;&gt;""),'Milho 2ª safra'!$E65:INDEX('Milho 2ª safra'!$E65:$Z65,MIN(O$6-$E$3,22))),0))-IF($G$2,0,IF((O$6-$G$3)&lt;1,0,IFERROR(LOOKUP(2,1/('Milho 2ª safra'!$E65:INDEX('Milho 2ª safra'!$E65:$Z65,MIN(O$6-$G$3,22))&lt;&gt;""),'Milho 2ª safra'!$E65:INDEX('Milho 2ª safra'!$E65:$Z65,MIN(O$6-$G$3,22))),0)))))</f>
        <v>0</v>
      </c>
      <c r="P67" s="27" t="n">
        <f aca="false">IF(COUNT('Milho 2ª safra'!$E65:$Z65)=0,0,MAX(0,IF((P$6-$E$3)&lt;1,0,IFERROR(LOOKUP(2,1/('Milho 2ª safra'!$E65:INDEX('Milho 2ª safra'!$E65:$Z65,MIN(P$6-$E$3,22))&lt;&gt;""),'Milho 2ª safra'!$E65:INDEX('Milho 2ª safra'!$E65:$Z65,MIN(P$6-$E$3,22))),0))-IF($G$2,0,IF((P$6-$G$3)&lt;1,0,IFERROR(LOOKUP(2,1/('Milho 2ª safra'!$E65:INDEX('Milho 2ª safra'!$E65:$Z65,MIN(P$6-$G$3,22))&lt;&gt;""),'Milho 2ª safra'!$E65:INDEX('Milho 2ª safra'!$E65:$Z65,MIN(P$6-$G$3,22))),0)))))</f>
        <v>0</v>
      </c>
      <c r="Q67" s="27" t="n">
        <f aca="false">IF(COUNT('Milho 2ª safra'!$E65:$Z65)=0,0,MAX(0,IF((Q$6-$E$3)&lt;1,0,IFERROR(LOOKUP(2,1/('Milho 2ª safra'!$E65:INDEX('Milho 2ª safra'!$E65:$Z65,MIN(Q$6-$E$3,22))&lt;&gt;""),'Milho 2ª safra'!$E65:INDEX('Milho 2ª safra'!$E65:$Z65,MIN(Q$6-$E$3,22))),0))-IF($G$2,0,IF((Q$6-$G$3)&lt;1,0,IFERROR(LOOKUP(2,1/('Milho 2ª safra'!$E65:INDEX('Milho 2ª safra'!$E65:$Z65,MIN(Q$6-$G$3,22))&lt;&gt;""),'Milho 2ª safra'!$E65:INDEX('Milho 2ª safra'!$E65:$Z65,MIN(Q$6-$G$3,22))),0)))))</f>
        <v>0</v>
      </c>
      <c r="R67" s="27" t="n">
        <f aca="false">IF(COUNT('Milho 2ª safra'!$E65:$Z65)=0,0,MAX(0,IF((R$6-$E$3)&lt;1,0,IFERROR(LOOKUP(2,1/('Milho 2ª safra'!$E65:INDEX('Milho 2ª safra'!$E65:$Z65,MIN(R$6-$E$3,22))&lt;&gt;""),'Milho 2ª safra'!$E65:INDEX('Milho 2ª safra'!$E65:$Z65,MIN(R$6-$E$3,22))),0))-IF($G$2,0,IF((R$6-$G$3)&lt;1,0,IFERROR(LOOKUP(2,1/('Milho 2ª safra'!$E65:INDEX('Milho 2ª safra'!$E65:$Z65,MIN(R$6-$G$3,22))&lt;&gt;""),'Milho 2ª safra'!$E65:INDEX('Milho 2ª safra'!$E65:$Z65,MIN(R$6-$G$3,22))),0)))))</f>
        <v>0</v>
      </c>
      <c r="S67" s="27" t="n">
        <f aca="false">IF(COUNT('Milho 2ª safra'!$E65:$Z65)=0,0,MAX(0,IF((S$6-$E$3)&lt;1,0,IFERROR(LOOKUP(2,1/('Milho 2ª safra'!$E65:INDEX('Milho 2ª safra'!$E65:$Z65,MIN(S$6-$E$3,22))&lt;&gt;""),'Milho 2ª safra'!$E65:INDEX('Milho 2ª safra'!$E65:$Z65,MIN(S$6-$E$3,22))),0))-IF($G$2,0,IF((S$6-$G$3)&lt;1,0,IFERROR(LOOKUP(2,1/('Milho 2ª safra'!$E65:INDEX('Milho 2ª safra'!$E65:$Z65,MIN(S$6-$G$3,22))&lt;&gt;""),'Milho 2ª safra'!$E65:INDEX('Milho 2ª safra'!$E65:$Z65,MIN(S$6-$G$3,22))),0)))))</f>
        <v>0</v>
      </c>
      <c r="T67" s="27" t="n">
        <f aca="false">IF(COUNT('Milho 2ª safra'!$E65:$Z65)=0,0,MAX(0,IF((T$6-$E$3)&lt;1,0,IFERROR(LOOKUP(2,1/('Milho 2ª safra'!$E65:INDEX('Milho 2ª safra'!$E65:$Z65,MIN(T$6-$E$3,22))&lt;&gt;""),'Milho 2ª safra'!$E65:INDEX('Milho 2ª safra'!$E65:$Z65,MIN(T$6-$E$3,22))),0))-IF($G$2,0,IF((T$6-$G$3)&lt;1,0,IFERROR(LOOKUP(2,1/('Milho 2ª safra'!$E65:INDEX('Milho 2ª safra'!$E65:$Z65,MIN(T$6-$G$3,22))&lt;&gt;""),'Milho 2ª safra'!$E65:INDEX('Milho 2ª safra'!$E65:$Z65,MIN(T$6-$G$3,22))),0)))))</f>
        <v>0</v>
      </c>
      <c r="U67" s="27" t="n">
        <f aca="false">IF(COUNT('Milho 2ª safra'!$E65:$Z65)=0,0,MAX(0,IF((U$6-$E$3)&lt;1,0,IFERROR(LOOKUP(2,1/('Milho 2ª safra'!$E65:INDEX('Milho 2ª safra'!$E65:$Z65,MIN(U$6-$E$3,22))&lt;&gt;""),'Milho 2ª safra'!$E65:INDEX('Milho 2ª safra'!$E65:$Z65,MIN(U$6-$E$3,22))),0))-IF($G$2,0,IF((U$6-$G$3)&lt;1,0,IFERROR(LOOKUP(2,1/('Milho 2ª safra'!$E65:INDEX('Milho 2ª safra'!$E65:$Z65,MIN(U$6-$G$3,22))&lt;&gt;""),'Milho 2ª safra'!$E65:INDEX('Milho 2ª safra'!$E65:$Z65,MIN(U$6-$G$3,22))),0)))))</f>
        <v>0</v>
      </c>
      <c r="V67" s="27" t="n">
        <f aca="false">IF(COUNT('Milho 2ª safra'!$E65:$Z65)=0,0,MAX(0,IF((V$6-$E$3)&lt;1,0,IFERROR(LOOKUP(2,1/('Milho 2ª safra'!$E65:INDEX('Milho 2ª safra'!$E65:$Z65,MIN(V$6-$E$3,22))&lt;&gt;""),'Milho 2ª safra'!$E65:INDEX('Milho 2ª safra'!$E65:$Z65,MIN(V$6-$E$3,22))),0))-IF($G$2,0,IF((V$6-$G$3)&lt;1,0,IFERROR(LOOKUP(2,1/('Milho 2ª safra'!$E65:INDEX('Milho 2ª safra'!$E65:$Z65,MIN(V$6-$G$3,22))&lt;&gt;""),'Milho 2ª safra'!$E65:INDEX('Milho 2ª safra'!$E65:$Z65,MIN(V$6-$G$3,22))),0)))))</f>
        <v>0</v>
      </c>
      <c r="W67" s="27" t="n">
        <f aca="false">IF(COUNT('Milho 2ª safra'!$E65:$Z65)=0,0,MAX(0,IF((W$6-$E$3)&lt;1,0,IFERROR(LOOKUP(2,1/('Milho 2ª safra'!$E65:INDEX('Milho 2ª safra'!$E65:$Z65,MIN(W$6-$E$3,22))&lt;&gt;""),'Milho 2ª safra'!$E65:INDEX('Milho 2ª safra'!$E65:$Z65,MIN(W$6-$E$3,22))),0))-IF($G$2,0,IF((W$6-$G$3)&lt;1,0,IFERROR(LOOKUP(2,1/('Milho 2ª safra'!$E65:INDEX('Milho 2ª safra'!$E65:$Z65,MIN(W$6-$G$3,22))&lt;&gt;""),'Milho 2ª safra'!$E65:INDEX('Milho 2ª safra'!$E65:$Z65,MIN(W$6-$G$3,22))),0)))))</f>
        <v>0</v>
      </c>
      <c r="X67" s="27" t="n">
        <f aca="false">IF(COUNT('Milho 2ª safra'!$E65:$Z65)=0,0,MAX(0,IF((X$6-$E$3)&lt;1,0,IFERROR(LOOKUP(2,1/('Milho 2ª safra'!$E65:INDEX('Milho 2ª safra'!$E65:$Z65,MIN(X$6-$E$3,22))&lt;&gt;""),'Milho 2ª safra'!$E65:INDEX('Milho 2ª safra'!$E65:$Z65,MIN(X$6-$E$3,22))),0))-IF($G$2,0,IF((X$6-$G$3)&lt;1,0,IFERROR(LOOKUP(2,1/('Milho 2ª safra'!$E65:INDEX('Milho 2ª safra'!$E65:$Z65,MIN(X$6-$G$3,22))&lt;&gt;""),'Milho 2ª safra'!$E65:INDEX('Milho 2ª safra'!$E65:$Z65,MIN(X$6-$G$3,22))),0)))))</f>
        <v>0</v>
      </c>
      <c r="Y67" s="27" t="n">
        <f aca="false">IF(COUNT('Milho 2ª safra'!$E65:$Z65)=0,0,MAX(0,IF((Y$6-$E$3)&lt;1,0,IFERROR(LOOKUP(2,1/('Milho 2ª safra'!$E65:INDEX('Milho 2ª safra'!$E65:$Z65,MIN(Y$6-$E$3,22))&lt;&gt;""),'Milho 2ª safra'!$E65:INDEX('Milho 2ª safra'!$E65:$Z65,MIN(Y$6-$E$3,22))),0))-IF($G$2,0,IF((Y$6-$G$3)&lt;1,0,IFERROR(LOOKUP(2,1/('Milho 2ª safra'!$E65:INDEX('Milho 2ª safra'!$E65:$Z65,MIN(Y$6-$G$3,22))&lt;&gt;""),'Milho 2ª safra'!$E65:INDEX('Milho 2ª safra'!$E65:$Z65,MIN(Y$6-$G$3,22))),0)))))</f>
        <v>0</v>
      </c>
      <c r="Z67" s="27" t="n">
        <f aca="false">IF(COUNT('Milho 2ª safra'!$E65:$Z65)=0,0,MAX(0,IF((Z$6-$E$3)&lt;1,0,IFERROR(LOOKUP(2,1/('Milho 2ª safra'!$E65:INDEX('Milho 2ª safra'!$E65:$Z65,MIN(Z$6-$E$3,22))&lt;&gt;""),'Milho 2ª safra'!$E65:INDEX('Milho 2ª safra'!$E65:$Z65,MIN(Z$6-$E$3,22))),0))-IF($G$2,0,IF((Z$6-$G$3)&lt;1,0,IFERROR(LOOKUP(2,1/('Milho 2ª safra'!$E65:INDEX('Milho 2ª safra'!$E65:$Z65,MIN(Z$6-$G$3,22))&lt;&gt;""),'Milho 2ª safra'!$E65:INDEX('Milho 2ª safra'!$E65:$Z65,MIN(Z$6-$G$3,22))),0)))))</f>
        <v>0</v>
      </c>
      <c r="AA67" s="27" t="n">
        <f aca="false">IF(COUNT('Milho 2ª safra'!$E65:$Z65)=0,0,MAX(0,IF((AA$6-$E$3)&lt;1,0,IFERROR(LOOKUP(2,1/('Milho 2ª safra'!$E65:INDEX('Milho 2ª safra'!$E65:$Z65,MIN(AA$6-$E$3,22))&lt;&gt;""),'Milho 2ª safra'!$E65:INDEX('Milho 2ª safra'!$E65:$Z65,MIN(AA$6-$E$3,22))),0))-IF($G$2,0,IF((AA$6-$G$3)&lt;1,0,IFERROR(LOOKUP(2,1/('Milho 2ª safra'!$E65:INDEX('Milho 2ª safra'!$E65:$Z65,MIN(AA$6-$G$3,22))&lt;&gt;""),'Milho 2ª safra'!$E65:INDEX('Milho 2ª safra'!$E65:$Z65,MIN(AA$6-$G$3,22))),0)))))</f>
        <v>0</v>
      </c>
      <c r="AB67" s="27" t="n">
        <f aca="false">IF(COUNT('Milho 2ª safra'!$E65:$Z65)=0,0,MAX(0,IF((AB$6-$E$3)&lt;1,0,IFERROR(LOOKUP(2,1/('Milho 2ª safra'!$E65:INDEX('Milho 2ª safra'!$E65:$Z65,MIN(AB$6-$E$3,22))&lt;&gt;""),'Milho 2ª safra'!$E65:INDEX('Milho 2ª safra'!$E65:$Z65,MIN(AB$6-$E$3,22))),0))-IF($G$2,0,IF((AB$6-$G$3)&lt;1,0,IFERROR(LOOKUP(2,1/('Milho 2ª safra'!$E65:INDEX('Milho 2ª safra'!$E65:$Z65,MIN(AB$6-$G$3,22))&lt;&gt;""),'Milho 2ª safra'!$E65:INDEX('Milho 2ª safra'!$E65:$Z65,MIN(AB$6-$G$3,22))),0)))))</f>
        <v>0</v>
      </c>
      <c r="AC67" s="27" t="n">
        <f aca="false">IF(COUNT('Milho 2ª safra'!$E65:$Z65)=0,0,MAX(0,IF((AC$6-$E$3)&lt;1,0,IFERROR(LOOKUP(2,1/('Milho 2ª safra'!$E65:INDEX('Milho 2ª safra'!$E65:$Z65,MIN(AC$6-$E$3,22))&lt;&gt;""),'Milho 2ª safra'!$E65:INDEX('Milho 2ª safra'!$E65:$Z65,MIN(AC$6-$E$3,22))),0))-IF($G$2,0,IF((AC$6-$G$3)&lt;1,0,IFERROR(LOOKUP(2,1/('Milho 2ª safra'!$E65:INDEX('Milho 2ª safra'!$E65:$Z65,MIN(AC$6-$G$3,22))&lt;&gt;""),'Milho 2ª safra'!$E65:INDEX('Milho 2ª safra'!$E65:$Z65,MIN(AC$6-$G$3,22))),0)))))</f>
        <v>0</v>
      </c>
      <c r="AD67" s="27" t="n">
        <f aca="false">IF(COUNT('Milho 2ª safra'!$E65:$Z65)=0,0,MAX(0,IF((AD$6-$E$3)&lt;1,0,IFERROR(LOOKUP(2,1/('Milho 2ª safra'!$E65:INDEX('Milho 2ª safra'!$E65:$Z65,MIN(AD$6-$E$3,22))&lt;&gt;""),'Milho 2ª safra'!$E65:INDEX('Milho 2ª safra'!$E65:$Z65,MIN(AD$6-$E$3,22))),0))-IF($G$2,0,IF((AD$6-$G$3)&lt;1,0,IFERROR(LOOKUP(2,1/('Milho 2ª safra'!$E65:INDEX('Milho 2ª safra'!$E65:$Z65,MIN(AD$6-$G$3,22))&lt;&gt;""),'Milho 2ª safra'!$E65:INDEX('Milho 2ª safra'!$E65:$Z65,MIN(AD$6-$G$3,22))),0)))))</f>
        <v>0</v>
      </c>
      <c r="AE67" s="27" t="n">
        <f aca="false">IF(COUNT('Milho 2ª safra'!$E65:$Z65)=0,0,MAX(0,IF((AE$6-$E$3)&lt;1,0,IFERROR(LOOKUP(2,1/('Milho 2ª safra'!$E65:INDEX('Milho 2ª safra'!$E65:$Z65,MIN(AE$6-$E$3,22))&lt;&gt;""),'Milho 2ª safra'!$E65:INDEX('Milho 2ª safra'!$E65:$Z65,MIN(AE$6-$E$3,22))),0))-IF($G$2,0,IF((AE$6-$G$3)&lt;1,0,IFERROR(LOOKUP(2,1/('Milho 2ª safra'!$E65:INDEX('Milho 2ª safra'!$E65:$Z65,MIN(AE$6-$G$3,22))&lt;&gt;""),'Milho 2ª safra'!$E65:INDEX('Milho 2ª safra'!$E65:$Z65,MIN(AE$6-$G$3,22))),0)))))</f>
        <v>0</v>
      </c>
      <c r="AF67" s="27" t="n">
        <f aca="false">IF(COUNT('Milho 2ª safra'!$E65:$Z65)=0,0,MAX(0,IF((AF$6-$E$3)&lt;1,0,IFERROR(LOOKUP(2,1/('Milho 2ª safra'!$E65:INDEX('Milho 2ª safra'!$E65:$Z65,MIN(AF$6-$E$3,22))&lt;&gt;""),'Milho 2ª safra'!$E65:INDEX('Milho 2ª safra'!$E65:$Z65,MIN(AF$6-$E$3,22))),0))-IF($G$2,0,IF((AF$6-$G$3)&lt;1,0,IFERROR(LOOKUP(2,1/('Milho 2ª safra'!$E65:INDEX('Milho 2ª safra'!$E65:$Z65,MIN(AF$6-$G$3,22))&lt;&gt;""),'Milho 2ª safra'!$E65:INDEX('Milho 2ª safra'!$E65:$Z65,MIN(AF$6-$G$3,22))),0)))))</f>
        <v>0</v>
      </c>
      <c r="AG67" s="27" t="n">
        <f aca="false">IF(COUNT('Milho 2ª safra'!$E65:$Z65)=0,0,MAX(0,IF((AG$6-$E$3)&lt;1,0,IFERROR(LOOKUP(2,1/('Milho 2ª safra'!$E65:INDEX('Milho 2ª safra'!$E65:$Z65,MIN(AG$6-$E$3,22))&lt;&gt;""),'Milho 2ª safra'!$E65:INDEX('Milho 2ª safra'!$E65:$Z65,MIN(AG$6-$E$3,22))),0))-IF($G$2,0,IF((AG$6-$G$3)&lt;1,0,IFERROR(LOOKUP(2,1/('Milho 2ª safra'!$E65:INDEX('Milho 2ª safra'!$E65:$Z65,MIN(AG$6-$G$3,22))&lt;&gt;""),'Milho 2ª safra'!$E65:INDEX('Milho 2ª safra'!$E65:$Z65,MIN(AG$6-$G$3,22))),0)))))</f>
        <v>0</v>
      </c>
      <c r="AH67" s="27" t="n">
        <f aca="false">IF(COUNT('Milho 2ª safra'!$E65:$Z65)=0,0,MAX(0,IF((AH$6-$E$3)&lt;1,0,IFERROR(LOOKUP(2,1/('Milho 2ª safra'!$E65:INDEX('Milho 2ª safra'!$E65:$Z65,MIN(AH$6-$E$3,22))&lt;&gt;""),'Milho 2ª safra'!$E65:INDEX('Milho 2ª safra'!$E65:$Z65,MIN(AH$6-$E$3,22))),0))-IF($G$2,0,IF((AH$6-$G$3)&lt;1,0,IFERROR(LOOKUP(2,1/('Milho 2ª safra'!$E65:INDEX('Milho 2ª safra'!$E65:$Z65,MIN(AH$6-$G$3,22))&lt;&gt;""),'Milho 2ª safra'!$E65:INDEX('Milho 2ª safra'!$E65:$Z65,MIN(AH$6-$G$3,22))),0)))))</f>
        <v>0</v>
      </c>
      <c r="AI67" s="27" t="n">
        <f aca="false">IF(COUNT('Milho 2ª safra'!$E65:$Z65)=0,0,MAX(0,IF((AI$6-$E$3)&lt;1,0,IFERROR(LOOKUP(2,1/('Milho 2ª safra'!$E65:INDEX('Milho 2ª safra'!$E65:$Z65,MIN(AI$6-$E$3,22))&lt;&gt;""),'Milho 2ª safra'!$E65:INDEX('Milho 2ª safra'!$E65:$Z65,MIN(AI$6-$E$3,22))),0))-IF($G$2,0,IF((AI$6-$G$3)&lt;1,0,IFERROR(LOOKUP(2,1/('Milho 2ª safra'!$E65:INDEX('Milho 2ª safra'!$E65:$Z65,MIN(AI$6-$G$3,22))&lt;&gt;""),'Milho 2ª safra'!$E65:INDEX('Milho 2ª safra'!$E65:$Z65,MIN(AI$6-$G$3,22))),0)))))</f>
        <v>0</v>
      </c>
      <c r="AJ67" s="27" t="n">
        <f aca="false">IF(COUNT('Milho 2ª safra'!$E65:$Z65)=0,0,MAX(0,IF((AJ$6-$E$3)&lt;1,0,IFERROR(LOOKUP(2,1/('Milho 2ª safra'!$E65:INDEX('Milho 2ª safra'!$E65:$Z65,MIN(AJ$6-$E$3,22))&lt;&gt;""),'Milho 2ª safra'!$E65:INDEX('Milho 2ª safra'!$E65:$Z65,MIN(AJ$6-$E$3,22))),0))-IF($G$2,0,IF((AJ$6-$G$3)&lt;1,0,IFERROR(LOOKUP(2,1/('Milho 2ª safra'!$E65:INDEX('Milho 2ª safra'!$E65:$Z65,MIN(AJ$6-$G$3,22))&lt;&gt;""),'Milho 2ª safra'!$E65:INDEX('Milho 2ª safra'!$E65:$Z65,MIN(AJ$6-$G$3,22))),0)))))</f>
        <v>0</v>
      </c>
      <c r="AK67" s="27" t="n">
        <f aca="false">IF(COUNT('Milho 2ª safra'!$E65:$Z65)=0,0,MAX(0,IF((AK$6-$E$3)&lt;1,0,IFERROR(LOOKUP(2,1/('Milho 2ª safra'!$E65:INDEX('Milho 2ª safra'!$E65:$Z65,MIN(AK$6-$E$3,22))&lt;&gt;""),'Milho 2ª safra'!$E65:INDEX('Milho 2ª safra'!$E65:$Z65,MIN(AK$6-$E$3,22))),0))-IF($G$2,0,IF((AK$6-$G$3)&lt;1,0,IFERROR(LOOKUP(2,1/('Milho 2ª safra'!$E65:INDEX('Milho 2ª safra'!$E65:$Z65,MIN(AK$6-$G$3,22))&lt;&gt;""),'Milho 2ª safra'!$E65:INDEX('Milho 2ª safra'!$E65:$Z65,MIN(AK$6-$G$3,22))),0)))))</f>
        <v>0</v>
      </c>
      <c r="AL67" s="27" t="n">
        <f aca="false">IF(COUNT('Milho 2ª safra'!$E65:$Z65)=0,0,MAX(0,IF((AL$6-$E$3)&lt;1,0,IFERROR(LOOKUP(2,1/('Milho 2ª safra'!$E65:INDEX('Milho 2ª safra'!$E65:$Z65,MIN(AL$6-$E$3,22))&lt;&gt;""),'Milho 2ª safra'!$E65:INDEX('Milho 2ª safra'!$E65:$Z65,MIN(AL$6-$E$3,22))),0))-IF($G$2,0,IF((AL$6-$G$3)&lt;1,0,IFERROR(LOOKUP(2,1/('Milho 2ª safra'!$E65:INDEX('Milho 2ª safra'!$E65:$Z65,MIN(AL$6-$G$3,22))&lt;&gt;""),'Milho 2ª safra'!$E65:INDEX('Milho 2ª safra'!$E65:$Z65,MIN(AL$6-$G$3,22))),0)))))</f>
        <v>0</v>
      </c>
      <c r="AM67" s="27" t="n">
        <f aca="false">IF(COUNT('Milho 2ª safra'!$E65:$Z65)=0,0,MAX(0,IF((AM$6-$E$3)&lt;1,0,IFERROR(LOOKUP(2,1/('Milho 2ª safra'!$E65:INDEX('Milho 2ª safra'!$E65:$Z65,MIN(AM$6-$E$3,22))&lt;&gt;""),'Milho 2ª safra'!$E65:INDEX('Milho 2ª safra'!$E65:$Z65,MIN(AM$6-$E$3,22))),0))-IF($G$2,0,IF((AM$6-$G$3)&lt;1,0,IFERROR(LOOKUP(2,1/('Milho 2ª safra'!$E65:INDEX('Milho 2ª safra'!$E65:$Z65,MIN(AM$6-$G$3,22))&lt;&gt;""),'Milho 2ª safra'!$E65:INDEX('Milho 2ª safra'!$E65:$Z65,MIN(AM$6-$G$3,22))),0)))))</f>
        <v>0</v>
      </c>
      <c r="AN67" s="27" t="n">
        <f aca="false">IF(COUNT('Milho 2ª safra'!$E65:$Z65)=0,0,MAX(0,IF((AN$6-$E$3)&lt;1,0,IFERROR(LOOKUP(2,1/('Milho 2ª safra'!$E65:INDEX('Milho 2ª safra'!$E65:$Z65,MIN(AN$6-$E$3,22))&lt;&gt;""),'Milho 2ª safra'!$E65:INDEX('Milho 2ª safra'!$E65:$Z65,MIN(AN$6-$E$3,22))),0))-IF($G$2,0,IF((AN$6-$G$3)&lt;1,0,IFERROR(LOOKUP(2,1/('Milho 2ª safra'!$E65:INDEX('Milho 2ª safra'!$E65:$Z65,MIN(AN$6-$G$3,22))&lt;&gt;""),'Milho 2ª safra'!$E65:INDEX('Milho 2ª safra'!$E65:$Z65,MIN(AN$6-$G$3,22))),0)))))</f>
        <v>0</v>
      </c>
      <c r="AO67" s="27" t="n">
        <f aca="false">IF(COUNT('Milho 2ª safra'!$E65:$Z65)=0,0,MAX(0,IF((AO$6-$E$3)&lt;1,0,IFERROR(LOOKUP(2,1/('Milho 2ª safra'!$E65:INDEX('Milho 2ª safra'!$E65:$Z65,MIN(AO$6-$E$3,22))&lt;&gt;""),'Milho 2ª safra'!$E65:INDEX('Milho 2ª safra'!$E65:$Z65,MIN(AO$6-$E$3,22))),0))-IF($G$2,0,IF((AO$6-$G$3)&lt;1,0,IFERROR(LOOKUP(2,1/('Milho 2ª safra'!$E65:INDEX('Milho 2ª safra'!$E65:$Z65,MIN(AO$6-$G$3,22))&lt;&gt;""),'Milho 2ª safra'!$E65:INDEX('Milho 2ª safra'!$E65:$Z65,MIN(AO$6-$G$3,22))),0)))))</f>
        <v>0</v>
      </c>
      <c r="AP67" s="27" t="n">
        <f aca="false">IF(COUNT('Milho 2ª safra'!$E65:$Z65)=0,0,MAX(0,IF((AP$6-$E$3)&lt;1,0,IFERROR(LOOKUP(2,1/('Milho 2ª safra'!$E65:INDEX('Milho 2ª safra'!$E65:$Z65,MIN(AP$6-$E$3,22))&lt;&gt;""),'Milho 2ª safra'!$E65:INDEX('Milho 2ª safra'!$E65:$Z65,MIN(AP$6-$E$3,22))),0))-IF($G$2,0,IF((AP$6-$G$3)&lt;1,0,IFERROR(LOOKUP(2,1/('Milho 2ª safra'!$E65:INDEX('Milho 2ª safra'!$E65:$Z65,MIN(AP$6-$G$3,22))&lt;&gt;""),'Milho 2ª safra'!$E65:INDEX('Milho 2ª safra'!$E65:$Z65,MIN(AP$6-$G$3,22))),0)))))</f>
        <v>0</v>
      </c>
      <c r="AQ67" s="27" t="n">
        <f aca="false">IF(COUNT('Milho 2ª safra'!$E65:$Z65)=0,0,MAX(0,IF((AQ$6-$E$3)&lt;1,0,IFERROR(LOOKUP(2,1/('Milho 2ª safra'!$E65:INDEX('Milho 2ª safra'!$E65:$Z65,MIN(AQ$6-$E$3,22))&lt;&gt;""),'Milho 2ª safra'!$E65:INDEX('Milho 2ª safra'!$E65:$Z65,MIN(AQ$6-$E$3,22))),0))-IF($G$2,0,IF((AQ$6-$G$3)&lt;1,0,IFERROR(LOOKUP(2,1/('Milho 2ª safra'!$E65:INDEX('Milho 2ª safra'!$E65:$Z65,MIN(AQ$6-$G$3,22))&lt;&gt;""),'Milho 2ª safra'!$E65:INDEX('Milho 2ª safra'!$E65:$Z65,MIN(AQ$6-$G$3,22))),0)))))</f>
        <v>0</v>
      </c>
      <c r="AR67" s="27" t="n">
        <f aca="false">IF(COUNT('Milho 2ª safra'!$E65:$Z65)=0,0,MAX(0,IF((AR$6-$E$3)&lt;1,0,IFERROR(LOOKUP(2,1/('Milho 2ª safra'!$E65:INDEX('Milho 2ª safra'!$E65:$Z65,MIN(AR$6-$E$3,22))&lt;&gt;""),'Milho 2ª safra'!$E65:INDEX('Milho 2ª safra'!$E65:$Z65,MIN(AR$6-$E$3,22))),0))-IF($G$2,0,IF((AR$6-$G$3)&lt;1,0,IFERROR(LOOKUP(2,1/('Milho 2ª safra'!$E65:INDEX('Milho 2ª safra'!$E65:$Z65,MIN(AR$6-$G$3,22))&lt;&gt;""),'Milho 2ª safra'!$E65:INDEX('Milho 2ª safra'!$E65:$Z65,MIN(AR$6-$G$3,22))),0)))))</f>
        <v>0</v>
      </c>
      <c r="AS67" s="27" t="n">
        <f aca="false">IF(COUNT('Milho 2ª safra'!$E65:$Z65)=0,0,MAX(0,IF((AS$6-$E$3)&lt;1,0,IFERROR(LOOKUP(2,1/('Milho 2ª safra'!$E65:INDEX('Milho 2ª safra'!$E65:$Z65,MIN(AS$6-$E$3,22))&lt;&gt;""),'Milho 2ª safra'!$E65:INDEX('Milho 2ª safra'!$E65:$Z65,MIN(AS$6-$E$3,22))),0))-IF($G$2,0,IF((AS$6-$G$3)&lt;1,0,IFERROR(LOOKUP(2,1/('Milho 2ª safra'!$E65:INDEX('Milho 2ª safra'!$E65:$Z65,MIN(AS$6-$G$3,22))&lt;&gt;""),'Milho 2ª safra'!$E65:INDEX('Milho 2ª safra'!$E65:$Z65,MIN(AS$6-$G$3,22))),0)))))</f>
        <v>0</v>
      </c>
      <c r="AT67" s="27" t="n">
        <f aca="false">IF(COUNT('Milho 2ª safra'!$E65:$Z65)=0,0,MAX(0,IF((AT$6-$E$3)&lt;1,0,IFERROR(LOOKUP(2,1/('Milho 2ª safra'!$E65:INDEX('Milho 2ª safra'!$E65:$Z65,MIN(AT$6-$E$3,22))&lt;&gt;""),'Milho 2ª safra'!$E65:INDEX('Milho 2ª safra'!$E65:$Z65,MIN(AT$6-$E$3,22))),0))-IF($G$2,0,IF((AT$6-$G$3)&lt;1,0,IFERROR(LOOKUP(2,1/('Milho 2ª safra'!$E65:INDEX('Milho 2ª safra'!$E65:$Z65,MIN(AT$6-$G$3,22))&lt;&gt;""),'Milho 2ª safra'!$E65:INDEX('Milho 2ª safra'!$E65:$Z65,MIN(AT$6-$G$3,22))),0)))))</f>
        <v>0</v>
      </c>
      <c r="AU67" s="27" t="n">
        <f aca="false">IF(COUNT('Milho 2ª safra'!$E65:$Z65)=0,0,MAX(0,IF((AU$6-$E$3)&lt;1,0,IFERROR(LOOKUP(2,1/('Milho 2ª safra'!$E65:INDEX('Milho 2ª safra'!$E65:$Z65,MIN(AU$6-$E$3,22))&lt;&gt;""),'Milho 2ª safra'!$E65:INDEX('Milho 2ª safra'!$E65:$Z65,MIN(AU$6-$E$3,22))),0))-IF($G$2,0,IF((AU$6-$G$3)&lt;1,0,IFERROR(LOOKUP(2,1/('Milho 2ª safra'!$E65:INDEX('Milho 2ª safra'!$E65:$Z65,MIN(AU$6-$G$3,22))&lt;&gt;""),'Milho 2ª safra'!$E65:INDEX('Milho 2ª safra'!$E65:$Z65,MIN(AU$6-$G$3,22))),0)))))</f>
        <v>0</v>
      </c>
      <c r="AV67" s="27" t="n">
        <f aca="false">IF(COUNT('Milho 2ª safra'!$E65:$Z65)=0,0,MAX(0,IF((AV$6-$E$3)&lt;1,0,IFERROR(LOOKUP(2,1/('Milho 2ª safra'!$E65:INDEX('Milho 2ª safra'!$E65:$Z65,MIN(AV$6-$E$3,22))&lt;&gt;""),'Milho 2ª safra'!$E65:INDEX('Milho 2ª safra'!$E65:$Z65,MIN(AV$6-$E$3,22))),0))-IF($G$2,0,IF((AV$6-$G$3)&lt;1,0,IFERROR(LOOKUP(2,1/('Milho 2ª safra'!$E65:INDEX('Milho 2ª safra'!$E65:$Z65,MIN(AV$6-$G$3,22))&lt;&gt;""),'Milho 2ª safra'!$E65:INDEX('Milho 2ª safra'!$E65:$Z65,MIN(AV$6-$G$3,22))),0)))))</f>
        <v>0</v>
      </c>
      <c r="AW67" s="27" t="n">
        <f aca="false">IF(COUNT('Milho 2ª safra'!$E65:$Z65)=0,0,MAX(0,IF((AW$6-$E$3)&lt;1,0,IFERROR(LOOKUP(2,1/('Milho 2ª safra'!$E65:INDEX('Milho 2ª safra'!$E65:$Z65,MIN(AW$6-$E$3,22))&lt;&gt;""),'Milho 2ª safra'!$E65:INDEX('Milho 2ª safra'!$E65:$Z65,MIN(AW$6-$E$3,22))),0))-IF($G$2,0,IF((AW$6-$G$3)&lt;1,0,IFERROR(LOOKUP(2,1/('Milho 2ª safra'!$E65:INDEX('Milho 2ª safra'!$E65:$Z65,MIN(AW$6-$G$3,22))&lt;&gt;""),'Milho 2ª safra'!$E65:INDEX('Milho 2ª safra'!$E65:$Z65,MIN(AW$6-$G$3,22))),0)))))</f>
        <v>0</v>
      </c>
      <c r="AX67" s="27" t="n">
        <f aca="false">IF(COUNT('Milho 2ª safra'!$E65:$Z65)=0,0,MAX(0,IF((AX$6-$E$3)&lt;1,0,IFERROR(LOOKUP(2,1/('Milho 2ª safra'!$E65:INDEX('Milho 2ª safra'!$E65:$Z65,MIN(AX$6-$E$3,22))&lt;&gt;""),'Milho 2ª safra'!$E65:INDEX('Milho 2ª safra'!$E65:$Z65,MIN(AX$6-$E$3,22))),0))-IF($G$2,0,IF((AX$6-$G$3)&lt;1,0,IFERROR(LOOKUP(2,1/('Milho 2ª safra'!$E65:INDEX('Milho 2ª safra'!$E65:$Z65,MIN(AX$6-$G$3,22))&lt;&gt;""),'Milho 2ª safra'!$E65:INDEX('Milho 2ª safra'!$E65:$Z65,MIN(AX$6-$G$3,22))),0)))))</f>
        <v>0</v>
      </c>
      <c r="AY67" s="27" t="n">
        <f aca="false">IF(COUNT('Milho 2ª safra'!$E65:$Z65)=0,0,MAX(0,IF((AY$6-$E$3)&lt;1,0,IFERROR(LOOKUP(2,1/('Milho 2ª safra'!$E65:INDEX('Milho 2ª safra'!$E65:$Z65,MIN(AY$6-$E$3,22))&lt;&gt;""),'Milho 2ª safra'!$E65:INDEX('Milho 2ª safra'!$E65:$Z65,MIN(AY$6-$E$3,22))),0))-IF($G$2,0,IF((AY$6-$G$3)&lt;1,0,IFERROR(LOOKUP(2,1/('Milho 2ª safra'!$E65:INDEX('Milho 2ª safra'!$E65:$Z65,MIN(AY$6-$G$3,22))&lt;&gt;""),'Milho 2ª safra'!$E65:INDEX('Milho 2ª safra'!$E65:$Z65,MIN(AY$6-$G$3,22))),0)))))</f>
        <v>0</v>
      </c>
      <c r="AZ67" s="27" t="n">
        <f aca="false">IF(COUNT('Milho 2ª safra'!$E65:$Z65)=0,0,MAX(0,IF((AZ$6-$E$3)&lt;1,0,IFERROR(LOOKUP(2,1/('Milho 2ª safra'!$E65:INDEX('Milho 2ª safra'!$E65:$Z65,MIN(AZ$6-$E$3,22))&lt;&gt;""),'Milho 2ª safra'!$E65:INDEX('Milho 2ª safra'!$E65:$Z65,MIN(AZ$6-$E$3,22))),0))-IF($G$2,0,IF((AZ$6-$G$3)&lt;1,0,IFERROR(LOOKUP(2,1/('Milho 2ª safra'!$E65:INDEX('Milho 2ª safra'!$E65:$Z65,MIN(AZ$6-$G$3,22))&lt;&gt;""),'Milho 2ª safra'!$E65:INDEX('Milho 2ª safra'!$E65:$Z65,MIN(AZ$6-$G$3,22))),0)))))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IF(COUNT('Milho 2ª safra'!$E66:$Z66)&gt;0,N('Milho 2ª safra'!$D66),0)</f>
        <v>0</v>
      </c>
      <c r="E68" s="27" t="n">
        <f aca="false">IF(COUNT('Milho 2ª safra'!$E66:$Z66)=0,0,MAX(0,IF((E$6-$E$3)&lt;1,0,IFERROR(LOOKUP(2,1/('Milho 2ª safra'!$E66:INDEX('Milho 2ª safra'!$E66:$Z66,MIN(E$6-$E$3,22))&lt;&gt;""),'Milho 2ª safra'!$E66:INDEX('Milho 2ª safra'!$E66:$Z66,MIN(E$6-$E$3,22))),0))-IF($G$2,0,IF((E$6-$G$3)&lt;1,0,IFERROR(LOOKUP(2,1/('Milho 2ª safra'!$E66:INDEX('Milho 2ª safra'!$E66:$Z66,MIN(E$6-$G$3,22))&lt;&gt;""),'Milho 2ª safra'!$E66:INDEX('Milho 2ª safra'!$E66:$Z66,MIN(E$6-$G$3,22))),0)))))</f>
        <v>0</v>
      </c>
      <c r="F68" s="27" t="n">
        <f aca="false">IF(COUNT('Milho 2ª safra'!$E66:$Z66)=0,0,MAX(0,IF((F$6-$E$3)&lt;1,0,IFERROR(LOOKUP(2,1/('Milho 2ª safra'!$E66:INDEX('Milho 2ª safra'!$E66:$Z66,MIN(F$6-$E$3,22))&lt;&gt;""),'Milho 2ª safra'!$E66:INDEX('Milho 2ª safra'!$E66:$Z66,MIN(F$6-$E$3,22))),0))-IF($G$2,0,IF((F$6-$G$3)&lt;1,0,IFERROR(LOOKUP(2,1/('Milho 2ª safra'!$E66:INDEX('Milho 2ª safra'!$E66:$Z66,MIN(F$6-$G$3,22))&lt;&gt;""),'Milho 2ª safra'!$E66:INDEX('Milho 2ª safra'!$E66:$Z66,MIN(F$6-$G$3,22))),0)))))</f>
        <v>0</v>
      </c>
      <c r="G68" s="27" t="n">
        <f aca="false">IF(COUNT('Milho 2ª safra'!$E66:$Z66)=0,0,MAX(0,IF((G$6-$E$3)&lt;1,0,IFERROR(LOOKUP(2,1/('Milho 2ª safra'!$E66:INDEX('Milho 2ª safra'!$E66:$Z66,MIN(G$6-$E$3,22))&lt;&gt;""),'Milho 2ª safra'!$E66:INDEX('Milho 2ª safra'!$E66:$Z66,MIN(G$6-$E$3,22))),0))-IF($G$2,0,IF((G$6-$G$3)&lt;1,0,IFERROR(LOOKUP(2,1/('Milho 2ª safra'!$E66:INDEX('Milho 2ª safra'!$E66:$Z66,MIN(G$6-$G$3,22))&lt;&gt;""),'Milho 2ª safra'!$E66:INDEX('Milho 2ª safra'!$E66:$Z66,MIN(G$6-$G$3,22))),0)))))</f>
        <v>0</v>
      </c>
      <c r="H68" s="27" t="n">
        <f aca="false">IF(COUNT('Milho 2ª safra'!$E66:$Z66)=0,0,MAX(0,IF((H$6-$E$3)&lt;1,0,IFERROR(LOOKUP(2,1/('Milho 2ª safra'!$E66:INDEX('Milho 2ª safra'!$E66:$Z66,MIN(H$6-$E$3,22))&lt;&gt;""),'Milho 2ª safra'!$E66:INDEX('Milho 2ª safra'!$E66:$Z66,MIN(H$6-$E$3,22))),0))-IF($G$2,0,IF((H$6-$G$3)&lt;1,0,IFERROR(LOOKUP(2,1/('Milho 2ª safra'!$E66:INDEX('Milho 2ª safra'!$E66:$Z66,MIN(H$6-$G$3,22))&lt;&gt;""),'Milho 2ª safra'!$E66:INDEX('Milho 2ª safra'!$E66:$Z66,MIN(H$6-$G$3,22))),0)))))</f>
        <v>0</v>
      </c>
      <c r="I68" s="27" t="n">
        <f aca="false">IF(COUNT('Milho 2ª safra'!$E66:$Z66)=0,0,MAX(0,IF((I$6-$E$3)&lt;1,0,IFERROR(LOOKUP(2,1/('Milho 2ª safra'!$E66:INDEX('Milho 2ª safra'!$E66:$Z66,MIN(I$6-$E$3,22))&lt;&gt;""),'Milho 2ª safra'!$E66:INDEX('Milho 2ª safra'!$E66:$Z66,MIN(I$6-$E$3,22))),0))-IF($G$2,0,IF((I$6-$G$3)&lt;1,0,IFERROR(LOOKUP(2,1/('Milho 2ª safra'!$E66:INDEX('Milho 2ª safra'!$E66:$Z66,MIN(I$6-$G$3,22))&lt;&gt;""),'Milho 2ª safra'!$E66:INDEX('Milho 2ª safra'!$E66:$Z66,MIN(I$6-$G$3,22))),0)))))</f>
        <v>0</v>
      </c>
      <c r="J68" s="27" t="n">
        <f aca="false">IF(COUNT('Milho 2ª safra'!$E66:$Z66)=0,0,MAX(0,IF((J$6-$E$3)&lt;1,0,IFERROR(LOOKUP(2,1/('Milho 2ª safra'!$E66:INDEX('Milho 2ª safra'!$E66:$Z66,MIN(J$6-$E$3,22))&lt;&gt;""),'Milho 2ª safra'!$E66:INDEX('Milho 2ª safra'!$E66:$Z66,MIN(J$6-$E$3,22))),0))-IF($G$2,0,IF((J$6-$G$3)&lt;1,0,IFERROR(LOOKUP(2,1/('Milho 2ª safra'!$E66:INDEX('Milho 2ª safra'!$E66:$Z66,MIN(J$6-$G$3,22))&lt;&gt;""),'Milho 2ª safra'!$E66:INDEX('Milho 2ª safra'!$E66:$Z66,MIN(J$6-$G$3,22))),0)))))</f>
        <v>0</v>
      </c>
      <c r="K68" s="27" t="n">
        <f aca="false">IF(COUNT('Milho 2ª safra'!$E66:$Z66)=0,0,MAX(0,IF((K$6-$E$3)&lt;1,0,IFERROR(LOOKUP(2,1/('Milho 2ª safra'!$E66:INDEX('Milho 2ª safra'!$E66:$Z66,MIN(K$6-$E$3,22))&lt;&gt;""),'Milho 2ª safra'!$E66:INDEX('Milho 2ª safra'!$E66:$Z66,MIN(K$6-$E$3,22))),0))-IF($G$2,0,IF((K$6-$G$3)&lt;1,0,IFERROR(LOOKUP(2,1/('Milho 2ª safra'!$E66:INDEX('Milho 2ª safra'!$E66:$Z66,MIN(K$6-$G$3,22))&lt;&gt;""),'Milho 2ª safra'!$E66:INDEX('Milho 2ª safra'!$E66:$Z66,MIN(K$6-$G$3,22))),0)))))</f>
        <v>0</v>
      </c>
      <c r="L68" s="27" t="n">
        <f aca="false">IF(COUNT('Milho 2ª safra'!$E66:$Z66)=0,0,MAX(0,IF((L$6-$E$3)&lt;1,0,IFERROR(LOOKUP(2,1/('Milho 2ª safra'!$E66:INDEX('Milho 2ª safra'!$E66:$Z66,MIN(L$6-$E$3,22))&lt;&gt;""),'Milho 2ª safra'!$E66:INDEX('Milho 2ª safra'!$E66:$Z66,MIN(L$6-$E$3,22))),0))-IF($G$2,0,IF((L$6-$G$3)&lt;1,0,IFERROR(LOOKUP(2,1/('Milho 2ª safra'!$E66:INDEX('Milho 2ª safra'!$E66:$Z66,MIN(L$6-$G$3,22))&lt;&gt;""),'Milho 2ª safra'!$E66:INDEX('Milho 2ª safra'!$E66:$Z66,MIN(L$6-$G$3,22))),0)))))</f>
        <v>0</v>
      </c>
      <c r="M68" s="27" t="n">
        <f aca="false">IF(COUNT('Milho 2ª safra'!$E66:$Z66)=0,0,MAX(0,IF((M$6-$E$3)&lt;1,0,IFERROR(LOOKUP(2,1/('Milho 2ª safra'!$E66:INDEX('Milho 2ª safra'!$E66:$Z66,MIN(M$6-$E$3,22))&lt;&gt;""),'Milho 2ª safra'!$E66:INDEX('Milho 2ª safra'!$E66:$Z66,MIN(M$6-$E$3,22))),0))-IF($G$2,0,IF((M$6-$G$3)&lt;1,0,IFERROR(LOOKUP(2,1/('Milho 2ª safra'!$E66:INDEX('Milho 2ª safra'!$E66:$Z66,MIN(M$6-$G$3,22))&lt;&gt;""),'Milho 2ª safra'!$E66:INDEX('Milho 2ª safra'!$E66:$Z66,MIN(M$6-$G$3,22))),0)))))</f>
        <v>0</v>
      </c>
      <c r="N68" s="27" t="n">
        <f aca="false">IF(COUNT('Milho 2ª safra'!$E66:$Z66)=0,0,MAX(0,IF((N$6-$E$3)&lt;1,0,IFERROR(LOOKUP(2,1/('Milho 2ª safra'!$E66:INDEX('Milho 2ª safra'!$E66:$Z66,MIN(N$6-$E$3,22))&lt;&gt;""),'Milho 2ª safra'!$E66:INDEX('Milho 2ª safra'!$E66:$Z66,MIN(N$6-$E$3,22))),0))-IF($G$2,0,IF((N$6-$G$3)&lt;1,0,IFERROR(LOOKUP(2,1/('Milho 2ª safra'!$E66:INDEX('Milho 2ª safra'!$E66:$Z66,MIN(N$6-$G$3,22))&lt;&gt;""),'Milho 2ª safra'!$E66:INDEX('Milho 2ª safra'!$E66:$Z66,MIN(N$6-$G$3,22))),0)))))</f>
        <v>0</v>
      </c>
      <c r="O68" s="27" t="n">
        <f aca="false">IF(COUNT('Milho 2ª safra'!$E66:$Z66)=0,0,MAX(0,IF((O$6-$E$3)&lt;1,0,IFERROR(LOOKUP(2,1/('Milho 2ª safra'!$E66:INDEX('Milho 2ª safra'!$E66:$Z66,MIN(O$6-$E$3,22))&lt;&gt;""),'Milho 2ª safra'!$E66:INDEX('Milho 2ª safra'!$E66:$Z66,MIN(O$6-$E$3,22))),0))-IF($G$2,0,IF((O$6-$G$3)&lt;1,0,IFERROR(LOOKUP(2,1/('Milho 2ª safra'!$E66:INDEX('Milho 2ª safra'!$E66:$Z66,MIN(O$6-$G$3,22))&lt;&gt;""),'Milho 2ª safra'!$E66:INDEX('Milho 2ª safra'!$E66:$Z66,MIN(O$6-$G$3,22))),0)))))</f>
        <v>0</v>
      </c>
      <c r="P68" s="27" t="n">
        <f aca="false">IF(COUNT('Milho 2ª safra'!$E66:$Z66)=0,0,MAX(0,IF((P$6-$E$3)&lt;1,0,IFERROR(LOOKUP(2,1/('Milho 2ª safra'!$E66:INDEX('Milho 2ª safra'!$E66:$Z66,MIN(P$6-$E$3,22))&lt;&gt;""),'Milho 2ª safra'!$E66:INDEX('Milho 2ª safra'!$E66:$Z66,MIN(P$6-$E$3,22))),0))-IF($G$2,0,IF((P$6-$G$3)&lt;1,0,IFERROR(LOOKUP(2,1/('Milho 2ª safra'!$E66:INDEX('Milho 2ª safra'!$E66:$Z66,MIN(P$6-$G$3,22))&lt;&gt;""),'Milho 2ª safra'!$E66:INDEX('Milho 2ª safra'!$E66:$Z66,MIN(P$6-$G$3,22))),0)))))</f>
        <v>0</v>
      </c>
      <c r="Q68" s="27" t="n">
        <f aca="false">IF(COUNT('Milho 2ª safra'!$E66:$Z66)=0,0,MAX(0,IF((Q$6-$E$3)&lt;1,0,IFERROR(LOOKUP(2,1/('Milho 2ª safra'!$E66:INDEX('Milho 2ª safra'!$E66:$Z66,MIN(Q$6-$E$3,22))&lt;&gt;""),'Milho 2ª safra'!$E66:INDEX('Milho 2ª safra'!$E66:$Z66,MIN(Q$6-$E$3,22))),0))-IF($G$2,0,IF((Q$6-$G$3)&lt;1,0,IFERROR(LOOKUP(2,1/('Milho 2ª safra'!$E66:INDEX('Milho 2ª safra'!$E66:$Z66,MIN(Q$6-$G$3,22))&lt;&gt;""),'Milho 2ª safra'!$E66:INDEX('Milho 2ª safra'!$E66:$Z66,MIN(Q$6-$G$3,22))),0)))))</f>
        <v>0</v>
      </c>
      <c r="R68" s="27" t="n">
        <f aca="false">IF(COUNT('Milho 2ª safra'!$E66:$Z66)=0,0,MAX(0,IF((R$6-$E$3)&lt;1,0,IFERROR(LOOKUP(2,1/('Milho 2ª safra'!$E66:INDEX('Milho 2ª safra'!$E66:$Z66,MIN(R$6-$E$3,22))&lt;&gt;""),'Milho 2ª safra'!$E66:INDEX('Milho 2ª safra'!$E66:$Z66,MIN(R$6-$E$3,22))),0))-IF($G$2,0,IF((R$6-$G$3)&lt;1,0,IFERROR(LOOKUP(2,1/('Milho 2ª safra'!$E66:INDEX('Milho 2ª safra'!$E66:$Z66,MIN(R$6-$G$3,22))&lt;&gt;""),'Milho 2ª safra'!$E66:INDEX('Milho 2ª safra'!$E66:$Z66,MIN(R$6-$G$3,22))),0)))))</f>
        <v>0</v>
      </c>
      <c r="S68" s="27" t="n">
        <f aca="false">IF(COUNT('Milho 2ª safra'!$E66:$Z66)=0,0,MAX(0,IF((S$6-$E$3)&lt;1,0,IFERROR(LOOKUP(2,1/('Milho 2ª safra'!$E66:INDEX('Milho 2ª safra'!$E66:$Z66,MIN(S$6-$E$3,22))&lt;&gt;""),'Milho 2ª safra'!$E66:INDEX('Milho 2ª safra'!$E66:$Z66,MIN(S$6-$E$3,22))),0))-IF($G$2,0,IF((S$6-$G$3)&lt;1,0,IFERROR(LOOKUP(2,1/('Milho 2ª safra'!$E66:INDEX('Milho 2ª safra'!$E66:$Z66,MIN(S$6-$G$3,22))&lt;&gt;""),'Milho 2ª safra'!$E66:INDEX('Milho 2ª safra'!$E66:$Z66,MIN(S$6-$G$3,22))),0)))))</f>
        <v>0</v>
      </c>
      <c r="T68" s="27" t="n">
        <f aca="false">IF(COUNT('Milho 2ª safra'!$E66:$Z66)=0,0,MAX(0,IF((T$6-$E$3)&lt;1,0,IFERROR(LOOKUP(2,1/('Milho 2ª safra'!$E66:INDEX('Milho 2ª safra'!$E66:$Z66,MIN(T$6-$E$3,22))&lt;&gt;""),'Milho 2ª safra'!$E66:INDEX('Milho 2ª safra'!$E66:$Z66,MIN(T$6-$E$3,22))),0))-IF($G$2,0,IF((T$6-$G$3)&lt;1,0,IFERROR(LOOKUP(2,1/('Milho 2ª safra'!$E66:INDEX('Milho 2ª safra'!$E66:$Z66,MIN(T$6-$G$3,22))&lt;&gt;""),'Milho 2ª safra'!$E66:INDEX('Milho 2ª safra'!$E66:$Z66,MIN(T$6-$G$3,22))),0)))))</f>
        <v>0</v>
      </c>
      <c r="U68" s="27" t="n">
        <f aca="false">IF(COUNT('Milho 2ª safra'!$E66:$Z66)=0,0,MAX(0,IF((U$6-$E$3)&lt;1,0,IFERROR(LOOKUP(2,1/('Milho 2ª safra'!$E66:INDEX('Milho 2ª safra'!$E66:$Z66,MIN(U$6-$E$3,22))&lt;&gt;""),'Milho 2ª safra'!$E66:INDEX('Milho 2ª safra'!$E66:$Z66,MIN(U$6-$E$3,22))),0))-IF($G$2,0,IF((U$6-$G$3)&lt;1,0,IFERROR(LOOKUP(2,1/('Milho 2ª safra'!$E66:INDEX('Milho 2ª safra'!$E66:$Z66,MIN(U$6-$G$3,22))&lt;&gt;""),'Milho 2ª safra'!$E66:INDEX('Milho 2ª safra'!$E66:$Z66,MIN(U$6-$G$3,22))),0)))))</f>
        <v>0</v>
      </c>
      <c r="V68" s="27" t="n">
        <f aca="false">IF(COUNT('Milho 2ª safra'!$E66:$Z66)=0,0,MAX(0,IF((V$6-$E$3)&lt;1,0,IFERROR(LOOKUP(2,1/('Milho 2ª safra'!$E66:INDEX('Milho 2ª safra'!$E66:$Z66,MIN(V$6-$E$3,22))&lt;&gt;""),'Milho 2ª safra'!$E66:INDEX('Milho 2ª safra'!$E66:$Z66,MIN(V$6-$E$3,22))),0))-IF($G$2,0,IF((V$6-$G$3)&lt;1,0,IFERROR(LOOKUP(2,1/('Milho 2ª safra'!$E66:INDEX('Milho 2ª safra'!$E66:$Z66,MIN(V$6-$G$3,22))&lt;&gt;""),'Milho 2ª safra'!$E66:INDEX('Milho 2ª safra'!$E66:$Z66,MIN(V$6-$G$3,22))),0)))))</f>
        <v>0</v>
      </c>
      <c r="W68" s="27" t="n">
        <f aca="false">IF(COUNT('Milho 2ª safra'!$E66:$Z66)=0,0,MAX(0,IF((W$6-$E$3)&lt;1,0,IFERROR(LOOKUP(2,1/('Milho 2ª safra'!$E66:INDEX('Milho 2ª safra'!$E66:$Z66,MIN(W$6-$E$3,22))&lt;&gt;""),'Milho 2ª safra'!$E66:INDEX('Milho 2ª safra'!$E66:$Z66,MIN(W$6-$E$3,22))),0))-IF($G$2,0,IF((W$6-$G$3)&lt;1,0,IFERROR(LOOKUP(2,1/('Milho 2ª safra'!$E66:INDEX('Milho 2ª safra'!$E66:$Z66,MIN(W$6-$G$3,22))&lt;&gt;""),'Milho 2ª safra'!$E66:INDEX('Milho 2ª safra'!$E66:$Z66,MIN(W$6-$G$3,22))),0)))))</f>
        <v>0</v>
      </c>
      <c r="X68" s="27" t="n">
        <f aca="false">IF(COUNT('Milho 2ª safra'!$E66:$Z66)=0,0,MAX(0,IF((X$6-$E$3)&lt;1,0,IFERROR(LOOKUP(2,1/('Milho 2ª safra'!$E66:INDEX('Milho 2ª safra'!$E66:$Z66,MIN(X$6-$E$3,22))&lt;&gt;""),'Milho 2ª safra'!$E66:INDEX('Milho 2ª safra'!$E66:$Z66,MIN(X$6-$E$3,22))),0))-IF($G$2,0,IF((X$6-$G$3)&lt;1,0,IFERROR(LOOKUP(2,1/('Milho 2ª safra'!$E66:INDEX('Milho 2ª safra'!$E66:$Z66,MIN(X$6-$G$3,22))&lt;&gt;""),'Milho 2ª safra'!$E66:INDEX('Milho 2ª safra'!$E66:$Z66,MIN(X$6-$G$3,22))),0)))))</f>
        <v>0</v>
      </c>
      <c r="Y68" s="27" t="n">
        <f aca="false">IF(COUNT('Milho 2ª safra'!$E66:$Z66)=0,0,MAX(0,IF((Y$6-$E$3)&lt;1,0,IFERROR(LOOKUP(2,1/('Milho 2ª safra'!$E66:INDEX('Milho 2ª safra'!$E66:$Z66,MIN(Y$6-$E$3,22))&lt;&gt;""),'Milho 2ª safra'!$E66:INDEX('Milho 2ª safra'!$E66:$Z66,MIN(Y$6-$E$3,22))),0))-IF($G$2,0,IF((Y$6-$G$3)&lt;1,0,IFERROR(LOOKUP(2,1/('Milho 2ª safra'!$E66:INDEX('Milho 2ª safra'!$E66:$Z66,MIN(Y$6-$G$3,22))&lt;&gt;""),'Milho 2ª safra'!$E66:INDEX('Milho 2ª safra'!$E66:$Z66,MIN(Y$6-$G$3,22))),0)))))</f>
        <v>0</v>
      </c>
      <c r="Z68" s="27" t="n">
        <f aca="false">IF(COUNT('Milho 2ª safra'!$E66:$Z66)=0,0,MAX(0,IF((Z$6-$E$3)&lt;1,0,IFERROR(LOOKUP(2,1/('Milho 2ª safra'!$E66:INDEX('Milho 2ª safra'!$E66:$Z66,MIN(Z$6-$E$3,22))&lt;&gt;""),'Milho 2ª safra'!$E66:INDEX('Milho 2ª safra'!$E66:$Z66,MIN(Z$6-$E$3,22))),0))-IF($G$2,0,IF((Z$6-$G$3)&lt;1,0,IFERROR(LOOKUP(2,1/('Milho 2ª safra'!$E66:INDEX('Milho 2ª safra'!$E66:$Z66,MIN(Z$6-$G$3,22))&lt;&gt;""),'Milho 2ª safra'!$E66:INDEX('Milho 2ª safra'!$E66:$Z66,MIN(Z$6-$G$3,22))),0)))))</f>
        <v>0</v>
      </c>
      <c r="AA68" s="27" t="n">
        <f aca="false">IF(COUNT('Milho 2ª safra'!$E66:$Z66)=0,0,MAX(0,IF((AA$6-$E$3)&lt;1,0,IFERROR(LOOKUP(2,1/('Milho 2ª safra'!$E66:INDEX('Milho 2ª safra'!$E66:$Z66,MIN(AA$6-$E$3,22))&lt;&gt;""),'Milho 2ª safra'!$E66:INDEX('Milho 2ª safra'!$E66:$Z66,MIN(AA$6-$E$3,22))),0))-IF($G$2,0,IF((AA$6-$G$3)&lt;1,0,IFERROR(LOOKUP(2,1/('Milho 2ª safra'!$E66:INDEX('Milho 2ª safra'!$E66:$Z66,MIN(AA$6-$G$3,22))&lt;&gt;""),'Milho 2ª safra'!$E66:INDEX('Milho 2ª safra'!$E66:$Z66,MIN(AA$6-$G$3,22))),0)))))</f>
        <v>0</v>
      </c>
      <c r="AB68" s="27" t="n">
        <f aca="false">IF(COUNT('Milho 2ª safra'!$E66:$Z66)=0,0,MAX(0,IF((AB$6-$E$3)&lt;1,0,IFERROR(LOOKUP(2,1/('Milho 2ª safra'!$E66:INDEX('Milho 2ª safra'!$E66:$Z66,MIN(AB$6-$E$3,22))&lt;&gt;""),'Milho 2ª safra'!$E66:INDEX('Milho 2ª safra'!$E66:$Z66,MIN(AB$6-$E$3,22))),0))-IF($G$2,0,IF((AB$6-$G$3)&lt;1,0,IFERROR(LOOKUP(2,1/('Milho 2ª safra'!$E66:INDEX('Milho 2ª safra'!$E66:$Z66,MIN(AB$6-$G$3,22))&lt;&gt;""),'Milho 2ª safra'!$E66:INDEX('Milho 2ª safra'!$E66:$Z66,MIN(AB$6-$G$3,22))),0)))))</f>
        <v>0</v>
      </c>
      <c r="AC68" s="27" t="n">
        <f aca="false">IF(COUNT('Milho 2ª safra'!$E66:$Z66)=0,0,MAX(0,IF((AC$6-$E$3)&lt;1,0,IFERROR(LOOKUP(2,1/('Milho 2ª safra'!$E66:INDEX('Milho 2ª safra'!$E66:$Z66,MIN(AC$6-$E$3,22))&lt;&gt;""),'Milho 2ª safra'!$E66:INDEX('Milho 2ª safra'!$E66:$Z66,MIN(AC$6-$E$3,22))),0))-IF($G$2,0,IF((AC$6-$G$3)&lt;1,0,IFERROR(LOOKUP(2,1/('Milho 2ª safra'!$E66:INDEX('Milho 2ª safra'!$E66:$Z66,MIN(AC$6-$G$3,22))&lt;&gt;""),'Milho 2ª safra'!$E66:INDEX('Milho 2ª safra'!$E66:$Z66,MIN(AC$6-$G$3,22))),0)))))</f>
        <v>0</v>
      </c>
      <c r="AD68" s="27" t="n">
        <f aca="false">IF(COUNT('Milho 2ª safra'!$E66:$Z66)=0,0,MAX(0,IF((AD$6-$E$3)&lt;1,0,IFERROR(LOOKUP(2,1/('Milho 2ª safra'!$E66:INDEX('Milho 2ª safra'!$E66:$Z66,MIN(AD$6-$E$3,22))&lt;&gt;""),'Milho 2ª safra'!$E66:INDEX('Milho 2ª safra'!$E66:$Z66,MIN(AD$6-$E$3,22))),0))-IF($G$2,0,IF((AD$6-$G$3)&lt;1,0,IFERROR(LOOKUP(2,1/('Milho 2ª safra'!$E66:INDEX('Milho 2ª safra'!$E66:$Z66,MIN(AD$6-$G$3,22))&lt;&gt;""),'Milho 2ª safra'!$E66:INDEX('Milho 2ª safra'!$E66:$Z66,MIN(AD$6-$G$3,22))),0)))))</f>
        <v>0</v>
      </c>
      <c r="AE68" s="27" t="n">
        <f aca="false">IF(COUNT('Milho 2ª safra'!$E66:$Z66)=0,0,MAX(0,IF((AE$6-$E$3)&lt;1,0,IFERROR(LOOKUP(2,1/('Milho 2ª safra'!$E66:INDEX('Milho 2ª safra'!$E66:$Z66,MIN(AE$6-$E$3,22))&lt;&gt;""),'Milho 2ª safra'!$E66:INDEX('Milho 2ª safra'!$E66:$Z66,MIN(AE$6-$E$3,22))),0))-IF($G$2,0,IF((AE$6-$G$3)&lt;1,0,IFERROR(LOOKUP(2,1/('Milho 2ª safra'!$E66:INDEX('Milho 2ª safra'!$E66:$Z66,MIN(AE$6-$G$3,22))&lt;&gt;""),'Milho 2ª safra'!$E66:INDEX('Milho 2ª safra'!$E66:$Z66,MIN(AE$6-$G$3,22))),0)))))</f>
        <v>0</v>
      </c>
      <c r="AF68" s="27" t="n">
        <f aca="false">IF(COUNT('Milho 2ª safra'!$E66:$Z66)=0,0,MAX(0,IF((AF$6-$E$3)&lt;1,0,IFERROR(LOOKUP(2,1/('Milho 2ª safra'!$E66:INDEX('Milho 2ª safra'!$E66:$Z66,MIN(AF$6-$E$3,22))&lt;&gt;""),'Milho 2ª safra'!$E66:INDEX('Milho 2ª safra'!$E66:$Z66,MIN(AF$6-$E$3,22))),0))-IF($G$2,0,IF((AF$6-$G$3)&lt;1,0,IFERROR(LOOKUP(2,1/('Milho 2ª safra'!$E66:INDEX('Milho 2ª safra'!$E66:$Z66,MIN(AF$6-$G$3,22))&lt;&gt;""),'Milho 2ª safra'!$E66:INDEX('Milho 2ª safra'!$E66:$Z66,MIN(AF$6-$G$3,22))),0)))))</f>
        <v>0</v>
      </c>
      <c r="AG68" s="27" t="n">
        <f aca="false">IF(COUNT('Milho 2ª safra'!$E66:$Z66)=0,0,MAX(0,IF((AG$6-$E$3)&lt;1,0,IFERROR(LOOKUP(2,1/('Milho 2ª safra'!$E66:INDEX('Milho 2ª safra'!$E66:$Z66,MIN(AG$6-$E$3,22))&lt;&gt;""),'Milho 2ª safra'!$E66:INDEX('Milho 2ª safra'!$E66:$Z66,MIN(AG$6-$E$3,22))),0))-IF($G$2,0,IF((AG$6-$G$3)&lt;1,0,IFERROR(LOOKUP(2,1/('Milho 2ª safra'!$E66:INDEX('Milho 2ª safra'!$E66:$Z66,MIN(AG$6-$G$3,22))&lt;&gt;""),'Milho 2ª safra'!$E66:INDEX('Milho 2ª safra'!$E66:$Z66,MIN(AG$6-$G$3,22))),0)))))</f>
        <v>0</v>
      </c>
      <c r="AH68" s="27" t="n">
        <f aca="false">IF(COUNT('Milho 2ª safra'!$E66:$Z66)=0,0,MAX(0,IF((AH$6-$E$3)&lt;1,0,IFERROR(LOOKUP(2,1/('Milho 2ª safra'!$E66:INDEX('Milho 2ª safra'!$E66:$Z66,MIN(AH$6-$E$3,22))&lt;&gt;""),'Milho 2ª safra'!$E66:INDEX('Milho 2ª safra'!$E66:$Z66,MIN(AH$6-$E$3,22))),0))-IF($G$2,0,IF((AH$6-$G$3)&lt;1,0,IFERROR(LOOKUP(2,1/('Milho 2ª safra'!$E66:INDEX('Milho 2ª safra'!$E66:$Z66,MIN(AH$6-$G$3,22))&lt;&gt;""),'Milho 2ª safra'!$E66:INDEX('Milho 2ª safra'!$E66:$Z66,MIN(AH$6-$G$3,22))),0)))))</f>
        <v>0</v>
      </c>
      <c r="AI68" s="27" t="n">
        <f aca="false">IF(COUNT('Milho 2ª safra'!$E66:$Z66)=0,0,MAX(0,IF((AI$6-$E$3)&lt;1,0,IFERROR(LOOKUP(2,1/('Milho 2ª safra'!$E66:INDEX('Milho 2ª safra'!$E66:$Z66,MIN(AI$6-$E$3,22))&lt;&gt;""),'Milho 2ª safra'!$E66:INDEX('Milho 2ª safra'!$E66:$Z66,MIN(AI$6-$E$3,22))),0))-IF($G$2,0,IF((AI$6-$G$3)&lt;1,0,IFERROR(LOOKUP(2,1/('Milho 2ª safra'!$E66:INDEX('Milho 2ª safra'!$E66:$Z66,MIN(AI$6-$G$3,22))&lt;&gt;""),'Milho 2ª safra'!$E66:INDEX('Milho 2ª safra'!$E66:$Z66,MIN(AI$6-$G$3,22))),0)))))</f>
        <v>0</v>
      </c>
      <c r="AJ68" s="27" t="n">
        <f aca="false">IF(COUNT('Milho 2ª safra'!$E66:$Z66)=0,0,MAX(0,IF((AJ$6-$E$3)&lt;1,0,IFERROR(LOOKUP(2,1/('Milho 2ª safra'!$E66:INDEX('Milho 2ª safra'!$E66:$Z66,MIN(AJ$6-$E$3,22))&lt;&gt;""),'Milho 2ª safra'!$E66:INDEX('Milho 2ª safra'!$E66:$Z66,MIN(AJ$6-$E$3,22))),0))-IF($G$2,0,IF((AJ$6-$G$3)&lt;1,0,IFERROR(LOOKUP(2,1/('Milho 2ª safra'!$E66:INDEX('Milho 2ª safra'!$E66:$Z66,MIN(AJ$6-$G$3,22))&lt;&gt;""),'Milho 2ª safra'!$E66:INDEX('Milho 2ª safra'!$E66:$Z66,MIN(AJ$6-$G$3,22))),0)))))</f>
        <v>0</v>
      </c>
      <c r="AK68" s="27" t="n">
        <f aca="false">IF(COUNT('Milho 2ª safra'!$E66:$Z66)=0,0,MAX(0,IF((AK$6-$E$3)&lt;1,0,IFERROR(LOOKUP(2,1/('Milho 2ª safra'!$E66:INDEX('Milho 2ª safra'!$E66:$Z66,MIN(AK$6-$E$3,22))&lt;&gt;""),'Milho 2ª safra'!$E66:INDEX('Milho 2ª safra'!$E66:$Z66,MIN(AK$6-$E$3,22))),0))-IF($G$2,0,IF((AK$6-$G$3)&lt;1,0,IFERROR(LOOKUP(2,1/('Milho 2ª safra'!$E66:INDEX('Milho 2ª safra'!$E66:$Z66,MIN(AK$6-$G$3,22))&lt;&gt;""),'Milho 2ª safra'!$E66:INDEX('Milho 2ª safra'!$E66:$Z66,MIN(AK$6-$G$3,22))),0)))))</f>
        <v>0</v>
      </c>
      <c r="AL68" s="27" t="n">
        <f aca="false">IF(COUNT('Milho 2ª safra'!$E66:$Z66)=0,0,MAX(0,IF((AL$6-$E$3)&lt;1,0,IFERROR(LOOKUP(2,1/('Milho 2ª safra'!$E66:INDEX('Milho 2ª safra'!$E66:$Z66,MIN(AL$6-$E$3,22))&lt;&gt;""),'Milho 2ª safra'!$E66:INDEX('Milho 2ª safra'!$E66:$Z66,MIN(AL$6-$E$3,22))),0))-IF($G$2,0,IF((AL$6-$G$3)&lt;1,0,IFERROR(LOOKUP(2,1/('Milho 2ª safra'!$E66:INDEX('Milho 2ª safra'!$E66:$Z66,MIN(AL$6-$G$3,22))&lt;&gt;""),'Milho 2ª safra'!$E66:INDEX('Milho 2ª safra'!$E66:$Z66,MIN(AL$6-$G$3,22))),0)))))</f>
        <v>0</v>
      </c>
      <c r="AM68" s="27" t="n">
        <f aca="false">IF(COUNT('Milho 2ª safra'!$E66:$Z66)=0,0,MAX(0,IF((AM$6-$E$3)&lt;1,0,IFERROR(LOOKUP(2,1/('Milho 2ª safra'!$E66:INDEX('Milho 2ª safra'!$E66:$Z66,MIN(AM$6-$E$3,22))&lt;&gt;""),'Milho 2ª safra'!$E66:INDEX('Milho 2ª safra'!$E66:$Z66,MIN(AM$6-$E$3,22))),0))-IF($G$2,0,IF((AM$6-$G$3)&lt;1,0,IFERROR(LOOKUP(2,1/('Milho 2ª safra'!$E66:INDEX('Milho 2ª safra'!$E66:$Z66,MIN(AM$6-$G$3,22))&lt;&gt;""),'Milho 2ª safra'!$E66:INDEX('Milho 2ª safra'!$E66:$Z66,MIN(AM$6-$G$3,22))),0)))))</f>
        <v>0</v>
      </c>
      <c r="AN68" s="27" t="n">
        <f aca="false">IF(COUNT('Milho 2ª safra'!$E66:$Z66)=0,0,MAX(0,IF((AN$6-$E$3)&lt;1,0,IFERROR(LOOKUP(2,1/('Milho 2ª safra'!$E66:INDEX('Milho 2ª safra'!$E66:$Z66,MIN(AN$6-$E$3,22))&lt;&gt;""),'Milho 2ª safra'!$E66:INDEX('Milho 2ª safra'!$E66:$Z66,MIN(AN$6-$E$3,22))),0))-IF($G$2,0,IF((AN$6-$G$3)&lt;1,0,IFERROR(LOOKUP(2,1/('Milho 2ª safra'!$E66:INDEX('Milho 2ª safra'!$E66:$Z66,MIN(AN$6-$G$3,22))&lt;&gt;""),'Milho 2ª safra'!$E66:INDEX('Milho 2ª safra'!$E66:$Z66,MIN(AN$6-$G$3,22))),0)))))</f>
        <v>0</v>
      </c>
      <c r="AO68" s="27" t="n">
        <f aca="false">IF(COUNT('Milho 2ª safra'!$E66:$Z66)=0,0,MAX(0,IF((AO$6-$E$3)&lt;1,0,IFERROR(LOOKUP(2,1/('Milho 2ª safra'!$E66:INDEX('Milho 2ª safra'!$E66:$Z66,MIN(AO$6-$E$3,22))&lt;&gt;""),'Milho 2ª safra'!$E66:INDEX('Milho 2ª safra'!$E66:$Z66,MIN(AO$6-$E$3,22))),0))-IF($G$2,0,IF((AO$6-$G$3)&lt;1,0,IFERROR(LOOKUP(2,1/('Milho 2ª safra'!$E66:INDEX('Milho 2ª safra'!$E66:$Z66,MIN(AO$6-$G$3,22))&lt;&gt;""),'Milho 2ª safra'!$E66:INDEX('Milho 2ª safra'!$E66:$Z66,MIN(AO$6-$G$3,22))),0)))))</f>
        <v>0</v>
      </c>
      <c r="AP68" s="27" t="n">
        <f aca="false">IF(COUNT('Milho 2ª safra'!$E66:$Z66)=0,0,MAX(0,IF((AP$6-$E$3)&lt;1,0,IFERROR(LOOKUP(2,1/('Milho 2ª safra'!$E66:INDEX('Milho 2ª safra'!$E66:$Z66,MIN(AP$6-$E$3,22))&lt;&gt;""),'Milho 2ª safra'!$E66:INDEX('Milho 2ª safra'!$E66:$Z66,MIN(AP$6-$E$3,22))),0))-IF($G$2,0,IF((AP$6-$G$3)&lt;1,0,IFERROR(LOOKUP(2,1/('Milho 2ª safra'!$E66:INDEX('Milho 2ª safra'!$E66:$Z66,MIN(AP$6-$G$3,22))&lt;&gt;""),'Milho 2ª safra'!$E66:INDEX('Milho 2ª safra'!$E66:$Z66,MIN(AP$6-$G$3,22))),0)))))</f>
        <v>0</v>
      </c>
      <c r="AQ68" s="27" t="n">
        <f aca="false">IF(COUNT('Milho 2ª safra'!$E66:$Z66)=0,0,MAX(0,IF((AQ$6-$E$3)&lt;1,0,IFERROR(LOOKUP(2,1/('Milho 2ª safra'!$E66:INDEX('Milho 2ª safra'!$E66:$Z66,MIN(AQ$6-$E$3,22))&lt;&gt;""),'Milho 2ª safra'!$E66:INDEX('Milho 2ª safra'!$E66:$Z66,MIN(AQ$6-$E$3,22))),0))-IF($G$2,0,IF((AQ$6-$G$3)&lt;1,0,IFERROR(LOOKUP(2,1/('Milho 2ª safra'!$E66:INDEX('Milho 2ª safra'!$E66:$Z66,MIN(AQ$6-$G$3,22))&lt;&gt;""),'Milho 2ª safra'!$E66:INDEX('Milho 2ª safra'!$E66:$Z66,MIN(AQ$6-$G$3,22))),0)))))</f>
        <v>0</v>
      </c>
      <c r="AR68" s="27" t="n">
        <f aca="false">IF(COUNT('Milho 2ª safra'!$E66:$Z66)=0,0,MAX(0,IF((AR$6-$E$3)&lt;1,0,IFERROR(LOOKUP(2,1/('Milho 2ª safra'!$E66:INDEX('Milho 2ª safra'!$E66:$Z66,MIN(AR$6-$E$3,22))&lt;&gt;""),'Milho 2ª safra'!$E66:INDEX('Milho 2ª safra'!$E66:$Z66,MIN(AR$6-$E$3,22))),0))-IF($G$2,0,IF((AR$6-$G$3)&lt;1,0,IFERROR(LOOKUP(2,1/('Milho 2ª safra'!$E66:INDEX('Milho 2ª safra'!$E66:$Z66,MIN(AR$6-$G$3,22))&lt;&gt;""),'Milho 2ª safra'!$E66:INDEX('Milho 2ª safra'!$E66:$Z66,MIN(AR$6-$G$3,22))),0)))))</f>
        <v>0</v>
      </c>
      <c r="AS68" s="27" t="n">
        <f aca="false">IF(COUNT('Milho 2ª safra'!$E66:$Z66)=0,0,MAX(0,IF((AS$6-$E$3)&lt;1,0,IFERROR(LOOKUP(2,1/('Milho 2ª safra'!$E66:INDEX('Milho 2ª safra'!$E66:$Z66,MIN(AS$6-$E$3,22))&lt;&gt;""),'Milho 2ª safra'!$E66:INDEX('Milho 2ª safra'!$E66:$Z66,MIN(AS$6-$E$3,22))),0))-IF($G$2,0,IF((AS$6-$G$3)&lt;1,0,IFERROR(LOOKUP(2,1/('Milho 2ª safra'!$E66:INDEX('Milho 2ª safra'!$E66:$Z66,MIN(AS$6-$G$3,22))&lt;&gt;""),'Milho 2ª safra'!$E66:INDEX('Milho 2ª safra'!$E66:$Z66,MIN(AS$6-$G$3,22))),0)))))</f>
        <v>0</v>
      </c>
      <c r="AT68" s="27" t="n">
        <f aca="false">IF(COUNT('Milho 2ª safra'!$E66:$Z66)=0,0,MAX(0,IF((AT$6-$E$3)&lt;1,0,IFERROR(LOOKUP(2,1/('Milho 2ª safra'!$E66:INDEX('Milho 2ª safra'!$E66:$Z66,MIN(AT$6-$E$3,22))&lt;&gt;""),'Milho 2ª safra'!$E66:INDEX('Milho 2ª safra'!$E66:$Z66,MIN(AT$6-$E$3,22))),0))-IF($G$2,0,IF((AT$6-$G$3)&lt;1,0,IFERROR(LOOKUP(2,1/('Milho 2ª safra'!$E66:INDEX('Milho 2ª safra'!$E66:$Z66,MIN(AT$6-$G$3,22))&lt;&gt;""),'Milho 2ª safra'!$E66:INDEX('Milho 2ª safra'!$E66:$Z66,MIN(AT$6-$G$3,22))),0)))))</f>
        <v>0</v>
      </c>
      <c r="AU68" s="27" t="n">
        <f aca="false">IF(COUNT('Milho 2ª safra'!$E66:$Z66)=0,0,MAX(0,IF((AU$6-$E$3)&lt;1,0,IFERROR(LOOKUP(2,1/('Milho 2ª safra'!$E66:INDEX('Milho 2ª safra'!$E66:$Z66,MIN(AU$6-$E$3,22))&lt;&gt;""),'Milho 2ª safra'!$E66:INDEX('Milho 2ª safra'!$E66:$Z66,MIN(AU$6-$E$3,22))),0))-IF($G$2,0,IF((AU$6-$G$3)&lt;1,0,IFERROR(LOOKUP(2,1/('Milho 2ª safra'!$E66:INDEX('Milho 2ª safra'!$E66:$Z66,MIN(AU$6-$G$3,22))&lt;&gt;""),'Milho 2ª safra'!$E66:INDEX('Milho 2ª safra'!$E66:$Z66,MIN(AU$6-$G$3,22))),0)))))</f>
        <v>0</v>
      </c>
      <c r="AV68" s="27" t="n">
        <f aca="false">IF(COUNT('Milho 2ª safra'!$E66:$Z66)=0,0,MAX(0,IF((AV$6-$E$3)&lt;1,0,IFERROR(LOOKUP(2,1/('Milho 2ª safra'!$E66:INDEX('Milho 2ª safra'!$E66:$Z66,MIN(AV$6-$E$3,22))&lt;&gt;""),'Milho 2ª safra'!$E66:INDEX('Milho 2ª safra'!$E66:$Z66,MIN(AV$6-$E$3,22))),0))-IF($G$2,0,IF((AV$6-$G$3)&lt;1,0,IFERROR(LOOKUP(2,1/('Milho 2ª safra'!$E66:INDEX('Milho 2ª safra'!$E66:$Z66,MIN(AV$6-$G$3,22))&lt;&gt;""),'Milho 2ª safra'!$E66:INDEX('Milho 2ª safra'!$E66:$Z66,MIN(AV$6-$G$3,22))),0)))))</f>
        <v>0</v>
      </c>
      <c r="AW68" s="27" t="n">
        <f aca="false">IF(COUNT('Milho 2ª safra'!$E66:$Z66)=0,0,MAX(0,IF((AW$6-$E$3)&lt;1,0,IFERROR(LOOKUP(2,1/('Milho 2ª safra'!$E66:INDEX('Milho 2ª safra'!$E66:$Z66,MIN(AW$6-$E$3,22))&lt;&gt;""),'Milho 2ª safra'!$E66:INDEX('Milho 2ª safra'!$E66:$Z66,MIN(AW$6-$E$3,22))),0))-IF($G$2,0,IF((AW$6-$G$3)&lt;1,0,IFERROR(LOOKUP(2,1/('Milho 2ª safra'!$E66:INDEX('Milho 2ª safra'!$E66:$Z66,MIN(AW$6-$G$3,22))&lt;&gt;""),'Milho 2ª safra'!$E66:INDEX('Milho 2ª safra'!$E66:$Z66,MIN(AW$6-$G$3,22))),0)))))</f>
        <v>0</v>
      </c>
      <c r="AX68" s="27" t="n">
        <f aca="false">IF(COUNT('Milho 2ª safra'!$E66:$Z66)=0,0,MAX(0,IF((AX$6-$E$3)&lt;1,0,IFERROR(LOOKUP(2,1/('Milho 2ª safra'!$E66:INDEX('Milho 2ª safra'!$E66:$Z66,MIN(AX$6-$E$3,22))&lt;&gt;""),'Milho 2ª safra'!$E66:INDEX('Milho 2ª safra'!$E66:$Z66,MIN(AX$6-$E$3,22))),0))-IF($G$2,0,IF((AX$6-$G$3)&lt;1,0,IFERROR(LOOKUP(2,1/('Milho 2ª safra'!$E66:INDEX('Milho 2ª safra'!$E66:$Z66,MIN(AX$6-$G$3,22))&lt;&gt;""),'Milho 2ª safra'!$E66:INDEX('Milho 2ª safra'!$E66:$Z66,MIN(AX$6-$G$3,22))),0)))))</f>
        <v>0</v>
      </c>
      <c r="AY68" s="27" t="n">
        <f aca="false">IF(COUNT('Milho 2ª safra'!$E66:$Z66)=0,0,MAX(0,IF((AY$6-$E$3)&lt;1,0,IFERROR(LOOKUP(2,1/('Milho 2ª safra'!$E66:INDEX('Milho 2ª safra'!$E66:$Z66,MIN(AY$6-$E$3,22))&lt;&gt;""),'Milho 2ª safra'!$E66:INDEX('Milho 2ª safra'!$E66:$Z66,MIN(AY$6-$E$3,22))),0))-IF($G$2,0,IF((AY$6-$G$3)&lt;1,0,IFERROR(LOOKUP(2,1/('Milho 2ª safra'!$E66:INDEX('Milho 2ª safra'!$E66:$Z66,MIN(AY$6-$G$3,22))&lt;&gt;""),'Milho 2ª safra'!$E66:INDEX('Milho 2ª safra'!$E66:$Z66,MIN(AY$6-$G$3,22))),0)))))</f>
        <v>0</v>
      </c>
      <c r="AZ68" s="27" t="n">
        <f aca="false">IF(COUNT('Milho 2ª safra'!$E66:$Z66)=0,0,MAX(0,IF((AZ$6-$E$3)&lt;1,0,IFERROR(LOOKUP(2,1/('Milho 2ª safra'!$E66:INDEX('Milho 2ª safra'!$E66:$Z66,MIN(AZ$6-$E$3,22))&lt;&gt;""),'Milho 2ª safra'!$E66:INDEX('Milho 2ª safra'!$E66:$Z66,MIN(AZ$6-$E$3,22))),0))-IF($G$2,0,IF((AZ$6-$G$3)&lt;1,0,IFERROR(LOOKUP(2,1/('Milho 2ª safra'!$E66:INDEX('Milho 2ª safra'!$E66:$Z66,MIN(AZ$6-$G$3,22))&lt;&gt;""),'Milho 2ª safra'!$E66:INDEX('Milho 2ª safra'!$E66:$Z66,MIN(AZ$6-$G$3,22))),0)))))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IF(COUNT('Milho 2ª safra'!$E67:$Z67)&gt;0,N('Milho 2ª safra'!$D67),0)</f>
        <v>0</v>
      </c>
      <c r="E69" s="27" t="n">
        <f aca="false">IF(COUNT('Milho 2ª safra'!$E67:$Z67)=0,0,MAX(0,IF((E$6-$E$3)&lt;1,0,IFERROR(LOOKUP(2,1/('Milho 2ª safra'!$E67:INDEX('Milho 2ª safra'!$E67:$Z67,MIN(E$6-$E$3,22))&lt;&gt;""),'Milho 2ª safra'!$E67:INDEX('Milho 2ª safra'!$E67:$Z67,MIN(E$6-$E$3,22))),0))-IF($G$2,0,IF((E$6-$G$3)&lt;1,0,IFERROR(LOOKUP(2,1/('Milho 2ª safra'!$E67:INDEX('Milho 2ª safra'!$E67:$Z67,MIN(E$6-$G$3,22))&lt;&gt;""),'Milho 2ª safra'!$E67:INDEX('Milho 2ª safra'!$E67:$Z67,MIN(E$6-$G$3,22))),0)))))</f>
        <v>0</v>
      </c>
      <c r="F69" s="27" t="n">
        <f aca="false">IF(COUNT('Milho 2ª safra'!$E67:$Z67)=0,0,MAX(0,IF((F$6-$E$3)&lt;1,0,IFERROR(LOOKUP(2,1/('Milho 2ª safra'!$E67:INDEX('Milho 2ª safra'!$E67:$Z67,MIN(F$6-$E$3,22))&lt;&gt;""),'Milho 2ª safra'!$E67:INDEX('Milho 2ª safra'!$E67:$Z67,MIN(F$6-$E$3,22))),0))-IF($G$2,0,IF((F$6-$G$3)&lt;1,0,IFERROR(LOOKUP(2,1/('Milho 2ª safra'!$E67:INDEX('Milho 2ª safra'!$E67:$Z67,MIN(F$6-$G$3,22))&lt;&gt;""),'Milho 2ª safra'!$E67:INDEX('Milho 2ª safra'!$E67:$Z67,MIN(F$6-$G$3,22))),0)))))</f>
        <v>0</v>
      </c>
      <c r="G69" s="27" t="n">
        <f aca="false">IF(COUNT('Milho 2ª safra'!$E67:$Z67)=0,0,MAX(0,IF((G$6-$E$3)&lt;1,0,IFERROR(LOOKUP(2,1/('Milho 2ª safra'!$E67:INDEX('Milho 2ª safra'!$E67:$Z67,MIN(G$6-$E$3,22))&lt;&gt;""),'Milho 2ª safra'!$E67:INDEX('Milho 2ª safra'!$E67:$Z67,MIN(G$6-$E$3,22))),0))-IF($G$2,0,IF((G$6-$G$3)&lt;1,0,IFERROR(LOOKUP(2,1/('Milho 2ª safra'!$E67:INDEX('Milho 2ª safra'!$E67:$Z67,MIN(G$6-$G$3,22))&lt;&gt;""),'Milho 2ª safra'!$E67:INDEX('Milho 2ª safra'!$E67:$Z67,MIN(G$6-$G$3,22))),0)))))</f>
        <v>0</v>
      </c>
      <c r="H69" s="27" t="n">
        <f aca="false">IF(COUNT('Milho 2ª safra'!$E67:$Z67)=0,0,MAX(0,IF((H$6-$E$3)&lt;1,0,IFERROR(LOOKUP(2,1/('Milho 2ª safra'!$E67:INDEX('Milho 2ª safra'!$E67:$Z67,MIN(H$6-$E$3,22))&lt;&gt;""),'Milho 2ª safra'!$E67:INDEX('Milho 2ª safra'!$E67:$Z67,MIN(H$6-$E$3,22))),0))-IF($G$2,0,IF((H$6-$G$3)&lt;1,0,IFERROR(LOOKUP(2,1/('Milho 2ª safra'!$E67:INDEX('Milho 2ª safra'!$E67:$Z67,MIN(H$6-$G$3,22))&lt;&gt;""),'Milho 2ª safra'!$E67:INDEX('Milho 2ª safra'!$E67:$Z67,MIN(H$6-$G$3,22))),0)))))</f>
        <v>0</v>
      </c>
      <c r="I69" s="27" t="n">
        <f aca="false">IF(COUNT('Milho 2ª safra'!$E67:$Z67)=0,0,MAX(0,IF((I$6-$E$3)&lt;1,0,IFERROR(LOOKUP(2,1/('Milho 2ª safra'!$E67:INDEX('Milho 2ª safra'!$E67:$Z67,MIN(I$6-$E$3,22))&lt;&gt;""),'Milho 2ª safra'!$E67:INDEX('Milho 2ª safra'!$E67:$Z67,MIN(I$6-$E$3,22))),0))-IF($G$2,0,IF((I$6-$G$3)&lt;1,0,IFERROR(LOOKUP(2,1/('Milho 2ª safra'!$E67:INDEX('Milho 2ª safra'!$E67:$Z67,MIN(I$6-$G$3,22))&lt;&gt;""),'Milho 2ª safra'!$E67:INDEX('Milho 2ª safra'!$E67:$Z67,MIN(I$6-$G$3,22))),0)))))</f>
        <v>0</v>
      </c>
      <c r="J69" s="27" t="n">
        <f aca="false">IF(COUNT('Milho 2ª safra'!$E67:$Z67)=0,0,MAX(0,IF((J$6-$E$3)&lt;1,0,IFERROR(LOOKUP(2,1/('Milho 2ª safra'!$E67:INDEX('Milho 2ª safra'!$E67:$Z67,MIN(J$6-$E$3,22))&lt;&gt;""),'Milho 2ª safra'!$E67:INDEX('Milho 2ª safra'!$E67:$Z67,MIN(J$6-$E$3,22))),0))-IF($G$2,0,IF((J$6-$G$3)&lt;1,0,IFERROR(LOOKUP(2,1/('Milho 2ª safra'!$E67:INDEX('Milho 2ª safra'!$E67:$Z67,MIN(J$6-$G$3,22))&lt;&gt;""),'Milho 2ª safra'!$E67:INDEX('Milho 2ª safra'!$E67:$Z67,MIN(J$6-$G$3,22))),0)))))</f>
        <v>0</v>
      </c>
      <c r="K69" s="27" t="n">
        <f aca="false">IF(COUNT('Milho 2ª safra'!$E67:$Z67)=0,0,MAX(0,IF((K$6-$E$3)&lt;1,0,IFERROR(LOOKUP(2,1/('Milho 2ª safra'!$E67:INDEX('Milho 2ª safra'!$E67:$Z67,MIN(K$6-$E$3,22))&lt;&gt;""),'Milho 2ª safra'!$E67:INDEX('Milho 2ª safra'!$E67:$Z67,MIN(K$6-$E$3,22))),0))-IF($G$2,0,IF((K$6-$G$3)&lt;1,0,IFERROR(LOOKUP(2,1/('Milho 2ª safra'!$E67:INDEX('Milho 2ª safra'!$E67:$Z67,MIN(K$6-$G$3,22))&lt;&gt;""),'Milho 2ª safra'!$E67:INDEX('Milho 2ª safra'!$E67:$Z67,MIN(K$6-$G$3,22))),0)))))</f>
        <v>0</v>
      </c>
      <c r="L69" s="27" t="n">
        <f aca="false">IF(COUNT('Milho 2ª safra'!$E67:$Z67)=0,0,MAX(0,IF((L$6-$E$3)&lt;1,0,IFERROR(LOOKUP(2,1/('Milho 2ª safra'!$E67:INDEX('Milho 2ª safra'!$E67:$Z67,MIN(L$6-$E$3,22))&lt;&gt;""),'Milho 2ª safra'!$E67:INDEX('Milho 2ª safra'!$E67:$Z67,MIN(L$6-$E$3,22))),0))-IF($G$2,0,IF((L$6-$G$3)&lt;1,0,IFERROR(LOOKUP(2,1/('Milho 2ª safra'!$E67:INDEX('Milho 2ª safra'!$E67:$Z67,MIN(L$6-$G$3,22))&lt;&gt;""),'Milho 2ª safra'!$E67:INDEX('Milho 2ª safra'!$E67:$Z67,MIN(L$6-$G$3,22))),0)))))</f>
        <v>0</v>
      </c>
      <c r="M69" s="27" t="n">
        <f aca="false">IF(COUNT('Milho 2ª safra'!$E67:$Z67)=0,0,MAX(0,IF((M$6-$E$3)&lt;1,0,IFERROR(LOOKUP(2,1/('Milho 2ª safra'!$E67:INDEX('Milho 2ª safra'!$E67:$Z67,MIN(M$6-$E$3,22))&lt;&gt;""),'Milho 2ª safra'!$E67:INDEX('Milho 2ª safra'!$E67:$Z67,MIN(M$6-$E$3,22))),0))-IF($G$2,0,IF((M$6-$G$3)&lt;1,0,IFERROR(LOOKUP(2,1/('Milho 2ª safra'!$E67:INDEX('Milho 2ª safra'!$E67:$Z67,MIN(M$6-$G$3,22))&lt;&gt;""),'Milho 2ª safra'!$E67:INDEX('Milho 2ª safra'!$E67:$Z67,MIN(M$6-$G$3,22))),0)))))</f>
        <v>0</v>
      </c>
      <c r="N69" s="27" t="n">
        <f aca="false">IF(COUNT('Milho 2ª safra'!$E67:$Z67)=0,0,MAX(0,IF((N$6-$E$3)&lt;1,0,IFERROR(LOOKUP(2,1/('Milho 2ª safra'!$E67:INDEX('Milho 2ª safra'!$E67:$Z67,MIN(N$6-$E$3,22))&lt;&gt;""),'Milho 2ª safra'!$E67:INDEX('Milho 2ª safra'!$E67:$Z67,MIN(N$6-$E$3,22))),0))-IF($G$2,0,IF((N$6-$G$3)&lt;1,0,IFERROR(LOOKUP(2,1/('Milho 2ª safra'!$E67:INDEX('Milho 2ª safra'!$E67:$Z67,MIN(N$6-$G$3,22))&lt;&gt;""),'Milho 2ª safra'!$E67:INDEX('Milho 2ª safra'!$E67:$Z67,MIN(N$6-$G$3,22))),0)))))</f>
        <v>0</v>
      </c>
      <c r="O69" s="27" t="n">
        <f aca="false">IF(COUNT('Milho 2ª safra'!$E67:$Z67)=0,0,MAX(0,IF((O$6-$E$3)&lt;1,0,IFERROR(LOOKUP(2,1/('Milho 2ª safra'!$E67:INDEX('Milho 2ª safra'!$E67:$Z67,MIN(O$6-$E$3,22))&lt;&gt;""),'Milho 2ª safra'!$E67:INDEX('Milho 2ª safra'!$E67:$Z67,MIN(O$6-$E$3,22))),0))-IF($G$2,0,IF((O$6-$G$3)&lt;1,0,IFERROR(LOOKUP(2,1/('Milho 2ª safra'!$E67:INDEX('Milho 2ª safra'!$E67:$Z67,MIN(O$6-$G$3,22))&lt;&gt;""),'Milho 2ª safra'!$E67:INDEX('Milho 2ª safra'!$E67:$Z67,MIN(O$6-$G$3,22))),0)))))</f>
        <v>0</v>
      </c>
      <c r="P69" s="27" t="n">
        <f aca="false">IF(COUNT('Milho 2ª safra'!$E67:$Z67)=0,0,MAX(0,IF((P$6-$E$3)&lt;1,0,IFERROR(LOOKUP(2,1/('Milho 2ª safra'!$E67:INDEX('Milho 2ª safra'!$E67:$Z67,MIN(P$6-$E$3,22))&lt;&gt;""),'Milho 2ª safra'!$E67:INDEX('Milho 2ª safra'!$E67:$Z67,MIN(P$6-$E$3,22))),0))-IF($G$2,0,IF((P$6-$G$3)&lt;1,0,IFERROR(LOOKUP(2,1/('Milho 2ª safra'!$E67:INDEX('Milho 2ª safra'!$E67:$Z67,MIN(P$6-$G$3,22))&lt;&gt;""),'Milho 2ª safra'!$E67:INDEX('Milho 2ª safra'!$E67:$Z67,MIN(P$6-$G$3,22))),0)))))</f>
        <v>0</v>
      </c>
      <c r="Q69" s="27" t="n">
        <f aca="false">IF(COUNT('Milho 2ª safra'!$E67:$Z67)=0,0,MAX(0,IF((Q$6-$E$3)&lt;1,0,IFERROR(LOOKUP(2,1/('Milho 2ª safra'!$E67:INDEX('Milho 2ª safra'!$E67:$Z67,MIN(Q$6-$E$3,22))&lt;&gt;""),'Milho 2ª safra'!$E67:INDEX('Milho 2ª safra'!$E67:$Z67,MIN(Q$6-$E$3,22))),0))-IF($G$2,0,IF((Q$6-$G$3)&lt;1,0,IFERROR(LOOKUP(2,1/('Milho 2ª safra'!$E67:INDEX('Milho 2ª safra'!$E67:$Z67,MIN(Q$6-$G$3,22))&lt;&gt;""),'Milho 2ª safra'!$E67:INDEX('Milho 2ª safra'!$E67:$Z67,MIN(Q$6-$G$3,22))),0)))))</f>
        <v>0</v>
      </c>
      <c r="R69" s="27" t="n">
        <f aca="false">IF(COUNT('Milho 2ª safra'!$E67:$Z67)=0,0,MAX(0,IF((R$6-$E$3)&lt;1,0,IFERROR(LOOKUP(2,1/('Milho 2ª safra'!$E67:INDEX('Milho 2ª safra'!$E67:$Z67,MIN(R$6-$E$3,22))&lt;&gt;""),'Milho 2ª safra'!$E67:INDEX('Milho 2ª safra'!$E67:$Z67,MIN(R$6-$E$3,22))),0))-IF($G$2,0,IF((R$6-$G$3)&lt;1,0,IFERROR(LOOKUP(2,1/('Milho 2ª safra'!$E67:INDEX('Milho 2ª safra'!$E67:$Z67,MIN(R$6-$G$3,22))&lt;&gt;""),'Milho 2ª safra'!$E67:INDEX('Milho 2ª safra'!$E67:$Z67,MIN(R$6-$G$3,22))),0)))))</f>
        <v>0</v>
      </c>
      <c r="S69" s="27" t="n">
        <f aca="false">IF(COUNT('Milho 2ª safra'!$E67:$Z67)=0,0,MAX(0,IF((S$6-$E$3)&lt;1,0,IFERROR(LOOKUP(2,1/('Milho 2ª safra'!$E67:INDEX('Milho 2ª safra'!$E67:$Z67,MIN(S$6-$E$3,22))&lt;&gt;""),'Milho 2ª safra'!$E67:INDEX('Milho 2ª safra'!$E67:$Z67,MIN(S$6-$E$3,22))),0))-IF($G$2,0,IF((S$6-$G$3)&lt;1,0,IFERROR(LOOKUP(2,1/('Milho 2ª safra'!$E67:INDEX('Milho 2ª safra'!$E67:$Z67,MIN(S$6-$G$3,22))&lt;&gt;""),'Milho 2ª safra'!$E67:INDEX('Milho 2ª safra'!$E67:$Z67,MIN(S$6-$G$3,22))),0)))))</f>
        <v>0</v>
      </c>
      <c r="T69" s="27" t="n">
        <f aca="false">IF(COUNT('Milho 2ª safra'!$E67:$Z67)=0,0,MAX(0,IF((T$6-$E$3)&lt;1,0,IFERROR(LOOKUP(2,1/('Milho 2ª safra'!$E67:INDEX('Milho 2ª safra'!$E67:$Z67,MIN(T$6-$E$3,22))&lt;&gt;""),'Milho 2ª safra'!$E67:INDEX('Milho 2ª safra'!$E67:$Z67,MIN(T$6-$E$3,22))),0))-IF($G$2,0,IF((T$6-$G$3)&lt;1,0,IFERROR(LOOKUP(2,1/('Milho 2ª safra'!$E67:INDEX('Milho 2ª safra'!$E67:$Z67,MIN(T$6-$G$3,22))&lt;&gt;""),'Milho 2ª safra'!$E67:INDEX('Milho 2ª safra'!$E67:$Z67,MIN(T$6-$G$3,22))),0)))))</f>
        <v>0</v>
      </c>
      <c r="U69" s="27" t="n">
        <f aca="false">IF(COUNT('Milho 2ª safra'!$E67:$Z67)=0,0,MAX(0,IF((U$6-$E$3)&lt;1,0,IFERROR(LOOKUP(2,1/('Milho 2ª safra'!$E67:INDEX('Milho 2ª safra'!$E67:$Z67,MIN(U$6-$E$3,22))&lt;&gt;""),'Milho 2ª safra'!$E67:INDEX('Milho 2ª safra'!$E67:$Z67,MIN(U$6-$E$3,22))),0))-IF($G$2,0,IF((U$6-$G$3)&lt;1,0,IFERROR(LOOKUP(2,1/('Milho 2ª safra'!$E67:INDEX('Milho 2ª safra'!$E67:$Z67,MIN(U$6-$G$3,22))&lt;&gt;""),'Milho 2ª safra'!$E67:INDEX('Milho 2ª safra'!$E67:$Z67,MIN(U$6-$G$3,22))),0)))))</f>
        <v>0</v>
      </c>
      <c r="V69" s="27" t="n">
        <f aca="false">IF(COUNT('Milho 2ª safra'!$E67:$Z67)=0,0,MAX(0,IF((V$6-$E$3)&lt;1,0,IFERROR(LOOKUP(2,1/('Milho 2ª safra'!$E67:INDEX('Milho 2ª safra'!$E67:$Z67,MIN(V$6-$E$3,22))&lt;&gt;""),'Milho 2ª safra'!$E67:INDEX('Milho 2ª safra'!$E67:$Z67,MIN(V$6-$E$3,22))),0))-IF($G$2,0,IF((V$6-$G$3)&lt;1,0,IFERROR(LOOKUP(2,1/('Milho 2ª safra'!$E67:INDEX('Milho 2ª safra'!$E67:$Z67,MIN(V$6-$G$3,22))&lt;&gt;""),'Milho 2ª safra'!$E67:INDEX('Milho 2ª safra'!$E67:$Z67,MIN(V$6-$G$3,22))),0)))))</f>
        <v>0</v>
      </c>
      <c r="W69" s="27" t="n">
        <f aca="false">IF(COUNT('Milho 2ª safra'!$E67:$Z67)=0,0,MAX(0,IF((W$6-$E$3)&lt;1,0,IFERROR(LOOKUP(2,1/('Milho 2ª safra'!$E67:INDEX('Milho 2ª safra'!$E67:$Z67,MIN(W$6-$E$3,22))&lt;&gt;""),'Milho 2ª safra'!$E67:INDEX('Milho 2ª safra'!$E67:$Z67,MIN(W$6-$E$3,22))),0))-IF($G$2,0,IF((W$6-$G$3)&lt;1,0,IFERROR(LOOKUP(2,1/('Milho 2ª safra'!$E67:INDEX('Milho 2ª safra'!$E67:$Z67,MIN(W$6-$G$3,22))&lt;&gt;""),'Milho 2ª safra'!$E67:INDEX('Milho 2ª safra'!$E67:$Z67,MIN(W$6-$G$3,22))),0)))))</f>
        <v>0</v>
      </c>
      <c r="X69" s="27" t="n">
        <f aca="false">IF(COUNT('Milho 2ª safra'!$E67:$Z67)=0,0,MAX(0,IF((X$6-$E$3)&lt;1,0,IFERROR(LOOKUP(2,1/('Milho 2ª safra'!$E67:INDEX('Milho 2ª safra'!$E67:$Z67,MIN(X$6-$E$3,22))&lt;&gt;""),'Milho 2ª safra'!$E67:INDEX('Milho 2ª safra'!$E67:$Z67,MIN(X$6-$E$3,22))),0))-IF($G$2,0,IF((X$6-$G$3)&lt;1,0,IFERROR(LOOKUP(2,1/('Milho 2ª safra'!$E67:INDEX('Milho 2ª safra'!$E67:$Z67,MIN(X$6-$G$3,22))&lt;&gt;""),'Milho 2ª safra'!$E67:INDEX('Milho 2ª safra'!$E67:$Z67,MIN(X$6-$G$3,22))),0)))))</f>
        <v>0</v>
      </c>
      <c r="Y69" s="27" t="n">
        <f aca="false">IF(COUNT('Milho 2ª safra'!$E67:$Z67)=0,0,MAX(0,IF((Y$6-$E$3)&lt;1,0,IFERROR(LOOKUP(2,1/('Milho 2ª safra'!$E67:INDEX('Milho 2ª safra'!$E67:$Z67,MIN(Y$6-$E$3,22))&lt;&gt;""),'Milho 2ª safra'!$E67:INDEX('Milho 2ª safra'!$E67:$Z67,MIN(Y$6-$E$3,22))),0))-IF($G$2,0,IF((Y$6-$G$3)&lt;1,0,IFERROR(LOOKUP(2,1/('Milho 2ª safra'!$E67:INDEX('Milho 2ª safra'!$E67:$Z67,MIN(Y$6-$G$3,22))&lt;&gt;""),'Milho 2ª safra'!$E67:INDEX('Milho 2ª safra'!$E67:$Z67,MIN(Y$6-$G$3,22))),0)))))</f>
        <v>0</v>
      </c>
      <c r="Z69" s="27" t="n">
        <f aca="false">IF(COUNT('Milho 2ª safra'!$E67:$Z67)=0,0,MAX(0,IF((Z$6-$E$3)&lt;1,0,IFERROR(LOOKUP(2,1/('Milho 2ª safra'!$E67:INDEX('Milho 2ª safra'!$E67:$Z67,MIN(Z$6-$E$3,22))&lt;&gt;""),'Milho 2ª safra'!$E67:INDEX('Milho 2ª safra'!$E67:$Z67,MIN(Z$6-$E$3,22))),0))-IF($G$2,0,IF((Z$6-$G$3)&lt;1,0,IFERROR(LOOKUP(2,1/('Milho 2ª safra'!$E67:INDEX('Milho 2ª safra'!$E67:$Z67,MIN(Z$6-$G$3,22))&lt;&gt;""),'Milho 2ª safra'!$E67:INDEX('Milho 2ª safra'!$E67:$Z67,MIN(Z$6-$G$3,22))),0)))))</f>
        <v>0</v>
      </c>
      <c r="AA69" s="27" t="n">
        <f aca="false">IF(COUNT('Milho 2ª safra'!$E67:$Z67)=0,0,MAX(0,IF((AA$6-$E$3)&lt;1,0,IFERROR(LOOKUP(2,1/('Milho 2ª safra'!$E67:INDEX('Milho 2ª safra'!$E67:$Z67,MIN(AA$6-$E$3,22))&lt;&gt;""),'Milho 2ª safra'!$E67:INDEX('Milho 2ª safra'!$E67:$Z67,MIN(AA$6-$E$3,22))),0))-IF($G$2,0,IF((AA$6-$G$3)&lt;1,0,IFERROR(LOOKUP(2,1/('Milho 2ª safra'!$E67:INDEX('Milho 2ª safra'!$E67:$Z67,MIN(AA$6-$G$3,22))&lt;&gt;""),'Milho 2ª safra'!$E67:INDEX('Milho 2ª safra'!$E67:$Z67,MIN(AA$6-$G$3,22))),0)))))</f>
        <v>0</v>
      </c>
      <c r="AB69" s="27" t="n">
        <f aca="false">IF(COUNT('Milho 2ª safra'!$E67:$Z67)=0,0,MAX(0,IF((AB$6-$E$3)&lt;1,0,IFERROR(LOOKUP(2,1/('Milho 2ª safra'!$E67:INDEX('Milho 2ª safra'!$E67:$Z67,MIN(AB$6-$E$3,22))&lt;&gt;""),'Milho 2ª safra'!$E67:INDEX('Milho 2ª safra'!$E67:$Z67,MIN(AB$6-$E$3,22))),0))-IF($G$2,0,IF((AB$6-$G$3)&lt;1,0,IFERROR(LOOKUP(2,1/('Milho 2ª safra'!$E67:INDEX('Milho 2ª safra'!$E67:$Z67,MIN(AB$6-$G$3,22))&lt;&gt;""),'Milho 2ª safra'!$E67:INDEX('Milho 2ª safra'!$E67:$Z67,MIN(AB$6-$G$3,22))),0)))))</f>
        <v>0</v>
      </c>
      <c r="AC69" s="27" t="n">
        <f aca="false">IF(COUNT('Milho 2ª safra'!$E67:$Z67)=0,0,MAX(0,IF((AC$6-$E$3)&lt;1,0,IFERROR(LOOKUP(2,1/('Milho 2ª safra'!$E67:INDEX('Milho 2ª safra'!$E67:$Z67,MIN(AC$6-$E$3,22))&lt;&gt;""),'Milho 2ª safra'!$E67:INDEX('Milho 2ª safra'!$E67:$Z67,MIN(AC$6-$E$3,22))),0))-IF($G$2,0,IF((AC$6-$G$3)&lt;1,0,IFERROR(LOOKUP(2,1/('Milho 2ª safra'!$E67:INDEX('Milho 2ª safra'!$E67:$Z67,MIN(AC$6-$G$3,22))&lt;&gt;""),'Milho 2ª safra'!$E67:INDEX('Milho 2ª safra'!$E67:$Z67,MIN(AC$6-$G$3,22))),0)))))</f>
        <v>0</v>
      </c>
      <c r="AD69" s="27" t="n">
        <f aca="false">IF(COUNT('Milho 2ª safra'!$E67:$Z67)=0,0,MAX(0,IF((AD$6-$E$3)&lt;1,0,IFERROR(LOOKUP(2,1/('Milho 2ª safra'!$E67:INDEX('Milho 2ª safra'!$E67:$Z67,MIN(AD$6-$E$3,22))&lt;&gt;""),'Milho 2ª safra'!$E67:INDEX('Milho 2ª safra'!$E67:$Z67,MIN(AD$6-$E$3,22))),0))-IF($G$2,0,IF((AD$6-$G$3)&lt;1,0,IFERROR(LOOKUP(2,1/('Milho 2ª safra'!$E67:INDEX('Milho 2ª safra'!$E67:$Z67,MIN(AD$6-$G$3,22))&lt;&gt;""),'Milho 2ª safra'!$E67:INDEX('Milho 2ª safra'!$E67:$Z67,MIN(AD$6-$G$3,22))),0)))))</f>
        <v>0</v>
      </c>
      <c r="AE69" s="27" t="n">
        <f aca="false">IF(COUNT('Milho 2ª safra'!$E67:$Z67)=0,0,MAX(0,IF((AE$6-$E$3)&lt;1,0,IFERROR(LOOKUP(2,1/('Milho 2ª safra'!$E67:INDEX('Milho 2ª safra'!$E67:$Z67,MIN(AE$6-$E$3,22))&lt;&gt;""),'Milho 2ª safra'!$E67:INDEX('Milho 2ª safra'!$E67:$Z67,MIN(AE$6-$E$3,22))),0))-IF($G$2,0,IF((AE$6-$G$3)&lt;1,0,IFERROR(LOOKUP(2,1/('Milho 2ª safra'!$E67:INDEX('Milho 2ª safra'!$E67:$Z67,MIN(AE$6-$G$3,22))&lt;&gt;""),'Milho 2ª safra'!$E67:INDEX('Milho 2ª safra'!$E67:$Z67,MIN(AE$6-$G$3,22))),0)))))</f>
        <v>0</v>
      </c>
      <c r="AF69" s="27" t="n">
        <f aca="false">IF(COUNT('Milho 2ª safra'!$E67:$Z67)=0,0,MAX(0,IF((AF$6-$E$3)&lt;1,0,IFERROR(LOOKUP(2,1/('Milho 2ª safra'!$E67:INDEX('Milho 2ª safra'!$E67:$Z67,MIN(AF$6-$E$3,22))&lt;&gt;""),'Milho 2ª safra'!$E67:INDEX('Milho 2ª safra'!$E67:$Z67,MIN(AF$6-$E$3,22))),0))-IF($G$2,0,IF((AF$6-$G$3)&lt;1,0,IFERROR(LOOKUP(2,1/('Milho 2ª safra'!$E67:INDEX('Milho 2ª safra'!$E67:$Z67,MIN(AF$6-$G$3,22))&lt;&gt;""),'Milho 2ª safra'!$E67:INDEX('Milho 2ª safra'!$E67:$Z67,MIN(AF$6-$G$3,22))),0)))))</f>
        <v>0</v>
      </c>
      <c r="AG69" s="27" t="n">
        <f aca="false">IF(COUNT('Milho 2ª safra'!$E67:$Z67)=0,0,MAX(0,IF((AG$6-$E$3)&lt;1,0,IFERROR(LOOKUP(2,1/('Milho 2ª safra'!$E67:INDEX('Milho 2ª safra'!$E67:$Z67,MIN(AG$6-$E$3,22))&lt;&gt;""),'Milho 2ª safra'!$E67:INDEX('Milho 2ª safra'!$E67:$Z67,MIN(AG$6-$E$3,22))),0))-IF($G$2,0,IF((AG$6-$G$3)&lt;1,0,IFERROR(LOOKUP(2,1/('Milho 2ª safra'!$E67:INDEX('Milho 2ª safra'!$E67:$Z67,MIN(AG$6-$G$3,22))&lt;&gt;""),'Milho 2ª safra'!$E67:INDEX('Milho 2ª safra'!$E67:$Z67,MIN(AG$6-$G$3,22))),0)))))</f>
        <v>0</v>
      </c>
      <c r="AH69" s="27" t="n">
        <f aca="false">IF(COUNT('Milho 2ª safra'!$E67:$Z67)=0,0,MAX(0,IF((AH$6-$E$3)&lt;1,0,IFERROR(LOOKUP(2,1/('Milho 2ª safra'!$E67:INDEX('Milho 2ª safra'!$E67:$Z67,MIN(AH$6-$E$3,22))&lt;&gt;""),'Milho 2ª safra'!$E67:INDEX('Milho 2ª safra'!$E67:$Z67,MIN(AH$6-$E$3,22))),0))-IF($G$2,0,IF((AH$6-$G$3)&lt;1,0,IFERROR(LOOKUP(2,1/('Milho 2ª safra'!$E67:INDEX('Milho 2ª safra'!$E67:$Z67,MIN(AH$6-$G$3,22))&lt;&gt;""),'Milho 2ª safra'!$E67:INDEX('Milho 2ª safra'!$E67:$Z67,MIN(AH$6-$G$3,22))),0)))))</f>
        <v>0</v>
      </c>
      <c r="AI69" s="27" t="n">
        <f aca="false">IF(COUNT('Milho 2ª safra'!$E67:$Z67)=0,0,MAX(0,IF((AI$6-$E$3)&lt;1,0,IFERROR(LOOKUP(2,1/('Milho 2ª safra'!$E67:INDEX('Milho 2ª safra'!$E67:$Z67,MIN(AI$6-$E$3,22))&lt;&gt;""),'Milho 2ª safra'!$E67:INDEX('Milho 2ª safra'!$E67:$Z67,MIN(AI$6-$E$3,22))),0))-IF($G$2,0,IF((AI$6-$G$3)&lt;1,0,IFERROR(LOOKUP(2,1/('Milho 2ª safra'!$E67:INDEX('Milho 2ª safra'!$E67:$Z67,MIN(AI$6-$G$3,22))&lt;&gt;""),'Milho 2ª safra'!$E67:INDEX('Milho 2ª safra'!$E67:$Z67,MIN(AI$6-$G$3,22))),0)))))</f>
        <v>0</v>
      </c>
      <c r="AJ69" s="27" t="n">
        <f aca="false">IF(COUNT('Milho 2ª safra'!$E67:$Z67)=0,0,MAX(0,IF((AJ$6-$E$3)&lt;1,0,IFERROR(LOOKUP(2,1/('Milho 2ª safra'!$E67:INDEX('Milho 2ª safra'!$E67:$Z67,MIN(AJ$6-$E$3,22))&lt;&gt;""),'Milho 2ª safra'!$E67:INDEX('Milho 2ª safra'!$E67:$Z67,MIN(AJ$6-$E$3,22))),0))-IF($G$2,0,IF((AJ$6-$G$3)&lt;1,0,IFERROR(LOOKUP(2,1/('Milho 2ª safra'!$E67:INDEX('Milho 2ª safra'!$E67:$Z67,MIN(AJ$6-$G$3,22))&lt;&gt;""),'Milho 2ª safra'!$E67:INDEX('Milho 2ª safra'!$E67:$Z67,MIN(AJ$6-$G$3,22))),0)))))</f>
        <v>0</v>
      </c>
      <c r="AK69" s="27" t="n">
        <f aca="false">IF(COUNT('Milho 2ª safra'!$E67:$Z67)=0,0,MAX(0,IF((AK$6-$E$3)&lt;1,0,IFERROR(LOOKUP(2,1/('Milho 2ª safra'!$E67:INDEX('Milho 2ª safra'!$E67:$Z67,MIN(AK$6-$E$3,22))&lt;&gt;""),'Milho 2ª safra'!$E67:INDEX('Milho 2ª safra'!$E67:$Z67,MIN(AK$6-$E$3,22))),0))-IF($G$2,0,IF((AK$6-$G$3)&lt;1,0,IFERROR(LOOKUP(2,1/('Milho 2ª safra'!$E67:INDEX('Milho 2ª safra'!$E67:$Z67,MIN(AK$6-$G$3,22))&lt;&gt;""),'Milho 2ª safra'!$E67:INDEX('Milho 2ª safra'!$E67:$Z67,MIN(AK$6-$G$3,22))),0)))))</f>
        <v>0</v>
      </c>
      <c r="AL69" s="27" t="n">
        <f aca="false">IF(COUNT('Milho 2ª safra'!$E67:$Z67)=0,0,MAX(0,IF((AL$6-$E$3)&lt;1,0,IFERROR(LOOKUP(2,1/('Milho 2ª safra'!$E67:INDEX('Milho 2ª safra'!$E67:$Z67,MIN(AL$6-$E$3,22))&lt;&gt;""),'Milho 2ª safra'!$E67:INDEX('Milho 2ª safra'!$E67:$Z67,MIN(AL$6-$E$3,22))),0))-IF($G$2,0,IF((AL$6-$G$3)&lt;1,0,IFERROR(LOOKUP(2,1/('Milho 2ª safra'!$E67:INDEX('Milho 2ª safra'!$E67:$Z67,MIN(AL$6-$G$3,22))&lt;&gt;""),'Milho 2ª safra'!$E67:INDEX('Milho 2ª safra'!$E67:$Z67,MIN(AL$6-$G$3,22))),0)))))</f>
        <v>0</v>
      </c>
      <c r="AM69" s="27" t="n">
        <f aca="false">IF(COUNT('Milho 2ª safra'!$E67:$Z67)=0,0,MAX(0,IF((AM$6-$E$3)&lt;1,0,IFERROR(LOOKUP(2,1/('Milho 2ª safra'!$E67:INDEX('Milho 2ª safra'!$E67:$Z67,MIN(AM$6-$E$3,22))&lt;&gt;""),'Milho 2ª safra'!$E67:INDEX('Milho 2ª safra'!$E67:$Z67,MIN(AM$6-$E$3,22))),0))-IF($G$2,0,IF((AM$6-$G$3)&lt;1,0,IFERROR(LOOKUP(2,1/('Milho 2ª safra'!$E67:INDEX('Milho 2ª safra'!$E67:$Z67,MIN(AM$6-$G$3,22))&lt;&gt;""),'Milho 2ª safra'!$E67:INDEX('Milho 2ª safra'!$E67:$Z67,MIN(AM$6-$G$3,22))),0)))))</f>
        <v>0</v>
      </c>
      <c r="AN69" s="27" t="n">
        <f aca="false">IF(COUNT('Milho 2ª safra'!$E67:$Z67)=0,0,MAX(0,IF((AN$6-$E$3)&lt;1,0,IFERROR(LOOKUP(2,1/('Milho 2ª safra'!$E67:INDEX('Milho 2ª safra'!$E67:$Z67,MIN(AN$6-$E$3,22))&lt;&gt;""),'Milho 2ª safra'!$E67:INDEX('Milho 2ª safra'!$E67:$Z67,MIN(AN$6-$E$3,22))),0))-IF($G$2,0,IF((AN$6-$G$3)&lt;1,0,IFERROR(LOOKUP(2,1/('Milho 2ª safra'!$E67:INDEX('Milho 2ª safra'!$E67:$Z67,MIN(AN$6-$G$3,22))&lt;&gt;""),'Milho 2ª safra'!$E67:INDEX('Milho 2ª safra'!$E67:$Z67,MIN(AN$6-$G$3,22))),0)))))</f>
        <v>0</v>
      </c>
      <c r="AO69" s="27" t="n">
        <f aca="false">IF(COUNT('Milho 2ª safra'!$E67:$Z67)=0,0,MAX(0,IF((AO$6-$E$3)&lt;1,0,IFERROR(LOOKUP(2,1/('Milho 2ª safra'!$E67:INDEX('Milho 2ª safra'!$E67:$Z67,MIN(AO$6-$E$3,22))&lt;&gt;""),'Milho 2ª safra'!$E67:INDEX('Milho 2ª safra'!$E67:$Z67,MIN(AO$6-$E$3,22))),0))-IF($G$2,0,IF((AO$6-$G$3)&lt;1,0,IFERROR(LOOKUP(2,1/('Milho 2ª safra'!$E67:INDEX('Milho 2ª safra'!$E67:$Z67,MIN(AO$6-$G$3,22))&lt;&gt;""),'Milho 2ª safra'!$E67:INDEX('Milho 2ª safra'!$E67:$Z67,MIN(AO$6-$G$3,22))),0)))))</f>
        <v>0</v>
      </c>
      <c r="AP69" s="27" t="n">
        <f aca="false">IF(COUNT('Milho 2ª safra'!$E67:$Z67)=0,0,MAX(0,IF((AP$6-$E$3)&lt;1,0,IFERROR(LOOKUP(2,1/('Milho 2ª safra'!$E67:INDEX('Milho 2ª safra'!$E67:$Z67,MIN(AP$6-$E$3,22))&lt;&gt;""),'Milho 2ª safra'!$E67:INDEX('Milho 2ª safra'!$E67:$Z67,MIN(AP$6-$E$3,22))),0))-IF($G$2,0,IF((AP$6-$G$3)&lt;1,0,IFERROR(LOOKUP(2,1/('Milho 2ª safra'!$E67:INDEX('Milho 2ª safra'!$E67:$Z67,MIN(AP$6-$G$3,22))&lt;&gt;""),'Milho 2ª safra'!$E67:INDEX('Milho 2ª safra'!$E67:$Z67,MIN(AP$6-$G$3,22))),0)))))</f>
        <v>0</v>
      </c>
      <c r="AQ69" s="27" t="n">
        <f aca="false">IF(COUNT('Milho 2ª safra'!$E67:$Z67)=0,0,MAX(0,IF((AQ$6-$E$3)&lt;1,0,IFERROR(LOOKUP(2,1/('Milho 2ª safra'!$E67:INDEX('Milho 2ª safra'!$E67:$Z67,MIN(AQ$6-$E$3,22))&lt;&gt;""),'Milho 2ª safra'!$E67:INDEX('Milho 2ª safra'!$E67:$Z67,MIN(AQ$6-$E$3,22))),0))-IF($G$2,0,IF((AQ$6-$G$3)&lt;1,0,IFERROR(LOOKUP(2,1/('Milho 2ª safra'!$E67:INDEX('Milho 2ª safra'!$E67:$Z67,MIN(AQ$6-$G$3,22))&lt;&gt;""),'Milho 2ª safra'!$E67:INDEX('Milho 2ª safra'!$E67:$Z67,MIN(AQ$6-$G$3,22))),0)))))</f>
        <v>0</v>
      </c>
      <c r="AR69" s="27" t="n">
        <f aca="false">IF(COUNT('Milho 2ª safra'!$E67:$Z67)=0,0,MAX(0,IF((AR$6-$E$3)&lt;1,0,IFERROR(LOOKUP(2,1/('Milho 2ª safra'!$E67:INDEX('Milho 2ª safra'!$E67:$Z67,MIN(AR$6-$E$3,22))&lt;&gt;""),'Milho 2ª safra'!$E67:INDEX('Milho 2ª safra'!$E67:$Z67,MIN(AR$6-$E$3,22))),0))-IF($G$2,0,IF((AR$6-$G$3)&lt;1,0,IFERROR(LOOKUP(2,1/('Milho 2ª safra'!$E67:INDEX('Milho 2ª safra'!$E67:$Z67,MIN(AR$6-$G$3,22))&lt;&gt;""),'Milho 2ª safra'!$E67:INDEX('Milho 2ª safra'!$E67:$Z67,MIN(AR$6-$G$3,22))),0)))))</f>
        <v>0</v>
      </c>
      <c r="AS69" s="27" t="n">
        <f aca="false">IF(COUNT('Milho 2ª safra'!$E67:$Z67)=0,0,MAX(0,IF((AS$6-$E$3)&lt;1,0,IFERROR(LOOKUP(2,1/('Milho 2ª safra'!$E67:INDEX('Milho 2ª safra'!$E67:$Z67,MIN(AS$6-$E$3,22))&lt;&gt;""),'Milho 2ª safra'!$E67:INDEX('Milho 2ª safra'!$E67:$Z67,MIN(AS$6-$E$3,22))),0))-IF($G$2,0,IF((AS$6-$G$3)&lt;1,0,IFERROR(LOOKUP(2,1/('Milho 2ª safra'!$E67:INDEX('Milho 2ª safra'!$E67:$Z67,MIN(AS$6-$G$3,22))&lt;&gt;""),'Milho 2ª safra'!$E67:INDEX('Milho 2ª safra'!$E67:$Z67,MIN(AS$6-$G$3,22))),0)))))</f>
        <v>0</v>
      </c>
      <c r="AT69" s="27" t="n">
        <f aca="false">IF(COUNT('Milho 2ª safra'!$E67:$Z67)=0,0,MAX(0,IF((AT$6-$E$3)&lt;1,0,IFERROR(LOOKUP(2,1/('Milho 2ª safra'!$E67:INDEX('Milho 2ª safra'!$E67:$Z67,MIN(AT$6-$E$3,22))&lt;&gt;""),'Milho 2ª safra'!$E67:INDEX('Milho 2ª safra'!$E67:$Z67,MIN(AT$6-$E$3,22))),0))-IF($G$2,0,IF((AT$6-$G$3)&lt;1,0,IFERROR(LOOKUP(2,1/('Milho 2ª safra'!$E67:INDEX('Milho 2ª safra'!$E67:$Z67,MIN(AT$6-$G$3,22))&lt;&gt;""),'Milho 2ª safra'!$E67:INDEX('Milho 2ª safra'!$E67:$Z67,MIN(AT$6-$G$3,22))),0)))))</f>
        <v>0</v>
      </c>
      <c r="AU69" s="27" t="n">
        <f aca="false">IF(COUNT('Milho 2ª safra'!$E67:$Z67)=0,0,MAX(0,IF((AU$6-$E$3)&lt;1,0,IFERROR(LOOKUP(2,1/('Milho 2ª safra'!$E67:INDEX('Milho 2ª safra'!$E67:$Z67,MIN(AU$6-$E$3,22))&lt;&gt;""),'Milho 2ª safra'!$E67:INDEX('Milho 2ª safra'!$E67:$Z67,MIN(AU$6-$E$3,22))),0))-IF($G$2,0,IF((AU$6-$G$3)&lt;1,0,IFERROR(LOOKUP(2,1/('Milho 2ª safra'!$E67:INDEX('Milho 2ª safra'!$E67:$Z67,MIN(AU$6-$G$3,22))&lt;&gt;""),'Milho 2ª safra'!$E67:INDEX('Milho 2ª safra'!$E67:$Z67,MIN(AU$6-$G$3,22))),0)))))</f>
        <v>0</v>
      </c>
      <c r="AV69" s="27" t="n">
        <f aca="false">IF(COUNT('Milho 2ª safra'!$E67:$Z67)=0,0,MAX(0,IF((AV$6-$E$3)&lt;1,0,IFERROR(LOOKUP(2,1/('Milho 2ª safra'!$E67:INDEX('Milho 2ª safra'!$E67:$Z67,MIN(AV$6-$E$3,22))&lt;&gt;""),'Milho 2ª safra'!$E67:INDEX('Milho 2ª safra'!$E67:$Z67,MIN(AV$6-$E$3,22))),0))-IF($G$2,0,IF((AV$6-$G$3)&lt;1,0,IFERROR(LOOKUP(2,1/('Milho 2ª safra'!$E67:INDEX('Milho 2ª safra'!$E67:$Z67,MIN(AV$6-$G$3,22))&lt;&gt;""),'Milho 2ª safra'!$E67:INDEX('Milho 2ª safra'!$E67:$Z67,MIN(AV$6-$G$3,22))),0)))))</f>
        <v>0</v>
      </c>
      <c r="AW69" s="27" t="n">
        <f aca="false">IF(COUNT('Milho 2ª safra'!$E67:$Z67)=0,0,MAX(0,IF((AW$6-$E$3)&lt;1,0,IFERROR(LOOKUP(2,1/('Milho 2ª safra'!$E67:INDEX('Milho 2ª safra'!$E67:$Z67,MIN(AW$6-$E$3,22))&lt;&gt;""),'Milho 2ª safra'!$E67:INDEX('Milho 2ª safra'!$E67:$Z67,MIN(AW$6-$E$3,22))),0))-IF($G$2,0,IF((AW$6-$G$3)&lt;1,0,IFERROR(LOOKUP(2,1/('Milho 2ª safra'!$E67:INDEX('Milho 2ª safra'!$E67:$Z67,MIN(AW$6-$G$3,22))&lt;&gt;""),'Milho 2ª safra'!$E67:INDEX('Milho 2ª safra'!$E67:$Z67,MIN(AW$6-$G$3,22))),0)))))</f>
        <v>0</v>
      </c>
      <c r="AX69" s="27" t="n">
        <f aca="false">IF(COUNT('Milho 2ª safra'!$E67:$Z67)=0,0,MAX(0,IF((AX$6-$E$3)&lt;1,0,IFERROR(LOOKUP(2,1/('Milho 2ª safra'!$E67:INDEX('Milho 2ª safra'!$E67:$Z67,MIN(AX$6-$E$3,22))&lt;&gt;""),'Milho 2ª safra'!$E67:INDEX('Milho 2ª safra'!$E67:$Z67,MIN(AX$6-$E$3,22))),0))-IF($G$2,0,IF((AX$6-$G$3)&lt;1,0,IFERROR(LOOKUP(2,1/('Milho 2ª safra'!$E67:INDEX('Milho 2ª safra'!$E67:$Z67,MIN(AX$6-$G$3,22))&lt;&gt;""),'Milho 2ª safra'!$E67:INDEX('Milho 2ª safra'!$E67:$Z67,MIN(AX$6-$G$3,22))),0)))))</f>
        <v>0</v>
      </c>
      <c r="AY69" s="27" t="n">
        <f aca="false">IF(COUNT('Milho 2ª safra'!$E67:$Z67)=0,0,MAX(0,IF((AY$6-$E$3)&lt;1,0,IFERROR(LOOKUP(2,1/('Milho 2ª safra'!$E67:INDEX('Milho 2ª safra'!$E67:$Z67,MIN(AY$6-$E$3,22))&lt;&gt;""),'Milho 2ª safra'!$E67:INDEX('Milho 2ª safra'!$E67:$Z67,MIN(AY$6-$E$3,22))),0))-IF($G$2,0,IF((AY$6-$G$3)&lt;1,0,IFERROR(LOOKUP(2,1/('Milho 2ª safra'!$E67:INDEX('Milho 2ª safra'!$E67:$Z67,MIN(AY$6-$G$3,22))&lt;&gt;""),'Milho 2ª safra'!$E67:INDEX('Milho 2ª safra'!$E67:$Z67,MIN(AY$6-$G$3,22))),0)))))</f>
        <v>0</v>
      </c>
      <c r="AZ69" s="27" t="n">
        <f aca="false">IF(COUNT('Milho 2ª safra'!$E67:$Z67)=0,0,MAX(0,IF((AZ$6-$E$3)&lt;1,0,IFERROR(LOOKUP(2,1/('Milho 2ª safra'!$E67:INDEX('Milho 2ª safra'!$E67:$Z67,MIN(AZ$6-$E$3,22))&lt;&gt;""),'Milho 2ª safra'!$E67:INDEX('Milho 2ª safra'!$E67:$Z67,MIN(AZ$6-$E$3,22))),0))-IF($G$2,0,IF((AZ$6-$G$3)&lt;1,0,IFERROR(LOOKUP(2,1/('Milho 2ª safra'!$E67:INDEX('Milho 2ª safra'!$E67:$Z67,MIN(AZ$6-$G$3,22))&lt;&gt;""),'Milho 2ª safra'!$E67:INDEX('Milho 2ª safra'!$E67:$Z67,MIN(AZ$6-$G$3,22))),0)))))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IF(COUNT('Milho 2ª safra'!$E68:$Z68)&gt;0,N('Milho 2ª safra'!$D68),0)</f>
        <v>0</v>
      </c>
      <c r="E70" s="27" t="n">
        <f aca="false">IF(COUNT('Milho 2ª safra'!$E68:$Z68)=0,0,MAX(0,IF((E$6-$E$3)&lt;1,0,IFERROR(LOOKUP(2,1/('Milho 2ª safra'!$E68:INDEX('Milho 2ª safra'!$E68:$Z68,MIN(E$6-$E$3,22))&lt;&gt;""),'Milho 2ª safra'!$E68:INDEX('Milho 2ª safra'!$E68:$Z68,MIN(E$6-$E$3,22))),0))-IF($G$2,0,IF((E$6-$G$3)&lt;1,0,IFERROR(LOOKUP(2,1/('Milho 2ª safra'!$E68:INDEX('Milho 2ª safra'!$E68:$Z68,MIN(E$6-$G$3,22))&lt;&gt;""),'Milho 2ª safra'!$E68:INDEX('Milho 2ª safra'!$E68:$Z68,MIN(E$6-$G$3,22))),0)))))</f>
        <v>0</v>
      </c>
      <c r="F70" s="27" t="n">
        <f aca="false">IF(COUNT('Milho 2ª safra'!$E68:$Z68)=0,0,MAX(0,IF((F$6-$E$3)&lt;1,0,IFERROR(LOOKUP(2,1/('Milho 2ª safra'!$E68:INDEX('Milho 2ª safra'!$E68:$Z68,MIN(F$6-$E$3,22))&lt;&gt;""),'Milho 2ª safra'!$E68:INDEX('Milho 2ª safra'!$E68:$Z68,MIN(F$6-$E$3,22))),0))-IF($G$2,0,IF((F$6-$G$3)&lt;1,0,IFERROR(LOOKUP(2,1/('Milho 2ª safra'!$E68:INDEX('Milho 2ª safra'!$E68:$Z68,MIN(F$6-$G$3,22))&lt;&gt;""),'Milho 2ª safra'!$E68:INDEX('Milho 2ª safra'!$E68:$Z68,MIN(F$6-$G$3,22))),0)))))</f>
        <v>0</v>
      </c>
      <c r="G70" s="27" t="n">
        <f aca="false">IF(COUNT('Milho 2ª safra'!$E68:$Z68)=0,0,MAX(0,IF((G$6-$E$3)&lt;1,0,IFERROR(LOOKUP(2,1/('Milho 2ª safra'!$E68:INDEX('Milho 2ª safra'!$E68:$Z68,MIN(G$6-$E$3,22))&lt;&gt;""),'Milho 2ª safra'!$E68:INDEX('Milho 2ª safra'!$E68:$Z68,MIN(G$6-$E$3,22))),0))-IF($G$2,0,IF((G$6-$G$3)&lt;1,0,IFERROR(LOOKUP(2,1/('Milho 2ª safra'!$E68:INDEX('Milho 2ª safra'!$E68:$Z68,MIN(G$6-$G$3,22))&lt;&gt;""),'Milho 2ª safra'!$E68:INDEX('Milho 2ª safra'!$E68:$Z68,MIN(G$6-$G$3,22))),0)))))</f>
        <v>0</v>
      </c>
      <c r="H70" s="27" t="n">
        <f aca="false">IF(COUNT('Milho 2ª safra'!$E68:$Z68)=0,0,MAX(0,IF((H$6-$E$3)&lt;1,0,IFERROR(LOOKUP(2,1/('Milho 2ª safra'!$E68:INDEX('Milho 2ª safra'!$E68:$Z68,MIN(H$6-$E$3,22))&lt;&gt;""),'Milho 2ª safra'!$E68:INDEX('Milho 2ª safra'!$E68:$Z68,MIN(H$6-$E$3,22))),0))-IF($G$2,0,IF((H$6-$G$3)&lt;1,0,IFERROR(LOOKUP(2,1/('Milho 2ª safra'!$E68:INDEX('Milho 2ª safra'!$E68:$Z68,MIN(H$6-$G$3,22))&lt;&gt;""),'Milho 2ª safra'!$E68:INDEX('Milho 2ª safra'!$E68:$Z68,MIN(H$6-$G$3,22))),0)))))</f>
        <v>0</v>
      </c>
      <c r="I70" s="27" t="n">
        <f aca="false">IF(COUNT('Milho 2ª safra'!$E68:$Z68)=0,0,MAX(0,IF((I$6-$E$3)&lt;1,0,IFERROR(LOOKUP(2,1/('Milho 2ª safra'!$E68:INDEX('Milho 2ª safra'!$E68:$Z68,MIN(I$6-$E$3,22))&lt;&gt;""),'Milho 2ª safra'!$E68:INDEX('Milho 2ª safra'!$E68:$Z68,MIN(I$6-$E$3,22))),0))-IF($G$2,0,IF((I$6-$G$3)&lt;1,0,IFERROR(LOOKUP(2,1/('Milho 2ª safra'!$E68:INDEX('Milho 2ª safra'!$E68:$Z68,MIN(I$6-$G$3,22))&lt;&gt;""),'Milho 2ª safra'!$E68:INDEX('Milho 2ª safra'!$E68:$Z68,MIN(I$6-$G$3,22))),0)))))</f>
        <v>0</v>
      </c>
      <c r="J70" s="27" t="n">
        <f aca="false">IF(COUNT('Milho 2ª safra'!$E68:$Z68)=0,0,MAX(0,IF((J$6-$E$3)&lt;1,0,IFERROR(LOOKUP(2,1/('Milho 2ª safra'!$E68:INDEX('Milho 2ª safra'!$E68:$Z68,MIN(J$6-$E$3,22))&lt;&gt;""),'Milho 2ª safra'!$E68:INDEX('Milho 2ª safra'!$E68:$Z68,MIN(J$6-$E$3,22))),0))-IF($G$2,0,IF((J$6-$G$3)&lt;1,0,IFERROR(LOOKUP(2,1/('Milho 2ª safra'!$E68:INDEX('Milho 2ª safra'!$E68:$Z68,MIN(J$6-$G$3,22))&lt;&gt;""),'Milho 2ª safra'!$E68:INDEX('Milho 2ª safra'!$E68:$Z68,MIN(J$6-$G$3,22))),0)))))</f>
        <v>0</v>
      </c>
      <c r="K70" s="27" t="n">
        <f aca="false">IF(COUNT('Milho 2ª safra'!$E68:$Z68)=0,0,MAX(0,IF((K$6-$E$3)&lt;1,0,IFERROR(LOOKUP(2,1/('Milho 2ª safra'!$E68:INDEX('Milho 2ª safra'!$E68:$Z68,MIN(K$6-$E$3,22))&lt;&gt;""),'Milho 2ª safra'!$E68:INDEX('Milho 2ª safra'!$E68:$Z68,MIN(K$6-$E$3,22))),0))-IF($G$2,0,IF((K$6-$G$3)&lt;1,0,IFERROR(LOOKUP(2,1/('Milho 2ª safra'!$E68:INDEX('Milho 2ª safra'!$E68:$Z68,MIN(K$6-$G$3,22))&lt;&gt;""),'Milho 2ª safra'!$E68:INDEX('Milho 2ª safra'!$E68:$Z68,MIN(K$6-$G$3,22))),0)))))</f>
        <v>0</v>
      </c>
      <c r="L70" s="27" t="n">
        <f aca="false">IF(COUNT('Milho 2ª safra'!$E68:$Z68)=0,0,MAX(0,IF((L$6-$E$3)&lt;1,0,IFERROR(LOOKUP(2,1/('Milho 2ª safra'!$E68:INDEX('Milho 2ª safra'!$E68:$Z68,MIN(L$6-$E$3,22))&lt;&gt;""),'Milho 2ª safra'!$E68:INDEX('Milho 2ª safra'!$E68:$Z68,MIN(L$6-$E$3,22))),0))-IF($G$2,0,IF((L$6-$G$3)&lt;1,0,IFERROR(LOOKUP(2,1/('Milho 2ª safra'!$E68:INDEX('Milho 2ª safra'!$E68:$Z68,MIN(L$6-$G$3,22))&lt;&gt;""),'Milho 2ª safra'!$E68:INDEX('Milho 2ª safra'!$E68:$Z68,MIN(L$6-$G$3,22))),0)))))</f>
        <v>0</v>
      </c>
      <c r="M70" s="27" t="n">
        <f aca="false">IF(COUNT('Milho 2ª safra'!$E68:$Z68)=0,0,MAX(0,IF((M$6-$E$3)&lt;1,0,IFERROR(LOOKUP(2,1/('Milho 2ª safra'!$E68:INDEX('Milho 2ª safra'!$E68:$Z68,MIN(M$6-$E$3,22))&lt;&gt;""),'Milho 2ª safra'!$E68:INDEX('Milho 2ª safra'!$E68:$Z68,MIN(M$6-$E$3,22))),0))-IF($G$2,0,IF((M$6-$G$3)&lt;1,0,IFERROR(LOOKUP(2,1/('Milho 2ª safra'!$E68:INDEX('Milho 2ª safra'!$E68:$Z68,MIN(M$6-$G$3,22))&lt;&gt;""),'Milho 2ª safra'!$E68:INDEX('Milho 2ª safra'!$E68:$Z68,MIN(M$6-$G$3,22))),0)))))</f>
        <v>0</v>
      </c>
      <c r="N70" s="27" t="n">
        <f aca="false">IF(COUNT('Milho 2ª safra'!$E68:$Z68)=0,0,MAX(0,IF((N$6-$E$3)&lt;1,0,IFERROR(LOOKUP(2,1/('Milho 2ª safra'!$E68:INDEX('Milho 2ª safra'!$E68:$Z68,MIN(N$6-$E$3,22))&lt;&gt;""),'Milho 2ª safra'!$E68:INDEX('Milho 2ª safra'!$E68:$Z68,MIN(N$6-$E$3,22))),0))-IF($G$2,0,IF((N$6-$G$3)&lt;1,0,IFERROR(LOOKUP(2,1/('Milho 2ª safra'!$E68:INDEX('Milho 2ª safra'!$E68:$Z68,MIN(N$6-$G$3,22))&lt;&gt;""),'Milho 2ª safra'!$E68:INDEX('Milho 2ª safra'!$E68:$Z68,MIN(N$6-$G$3,22))),0)))))</f>
        <v>0</v>
      </c>
      <c r="O70" s="27" t="n">
        <f aca="false">IF(COUNT('Milho 2ª safra'!$E68:$Z68)=0,0,MAX(0,IF((O$6-$E$3)&lt;1,0,IFERROR(LOOKUP(2,1/('Milho 2ª safra'!$E68:INDEX('Milho 2ª safra'!$E68:$Z68,MIN(O$6-$E$3,22))&lt;&gt;""),'Milho 2ª safra'!$E68:INDEX('Milho 2ª safra'!$E68:$Z68,MIN(O$6-$E$3,22))),0))-IF($G$2,0,IF((O$6-$G$3)&lt;1,0,IFERROR(LOOKUP(2,1/('Milho 2ª safra'!$E68:INDEX('Milho 2ª safra'!$E68:$Z68,MIN(O$6-$G$3,22))&lt;&gt;""),'Milho 2ª safra'!$E68:INDEX('Milho 2ª safra'!$E68:$Z68,MIN(O$6-$G$3,22))),0)))))</f>
        <v>0</v>
      </c>
      <c r="P70" s="27" t="n">
        <f aca="false">IF(COUNT('Milho 2ª safra'!$E68:$Z68)=0,0,MAX(0,IF((P$6-$E$3)&lt;1,0,IFERROR(LOOKUP(2,1/('Milho 2ª safra'!$E68:INDEX('Milho 2ª safra'!$E68:$Z68,MIN(P$6-$E$3,22))&lt;&gt;""),'Milho 2ª safra'!$E68:INDEX('Milho 2ª safra'!$E68:$Z68,MIN(P$6-$E$3,22))),0))-IF($G$2,0,IF((P$6-$G$3)&lt;1,0,IFERROR(LOOKUP(2,1/('Milho 2ª safra'!$E68:INDEX('Milho 2ª safra'!$E68:$Z68,MIN(P$6-$G$3,22))&lt;&gt;""),'Milho 2ª safra'!$E68:INDEX('Milho 2ª safra'!$E68:$Z68,MIN(P$6-$G$3,22))),0)))))</f>
        <v>0</v>
      </c>
      <c r="Q70" s="27" t="n">
        <f aca="false">IF(COUNT('Milho 2ª safra'!$E68:$Z68)=0,0,MAX(0,IF((Q$6-$E$3)&lt;1,0,IFERROR(LOOKUP(2,1/('Milho 2ª safra'!$E68:INDEX('Milho 2ª safra'!$E68:$Z68,MIN(Q$6-$E$3,22))&lt;&gt;""),'Milho 2ª safra'!$E68:INDEX('Milho 2ª safra'!$E68:$Z68,MIN(Q$6-$E$3,22))),0))-IF($G$2,0,IF((Q$6-$G$3)&lt;1,0,IFERROR(LOOKUP(2,1/('Milho 2ª safra'!$E68:INDEX('Milho 2ª safra'!$E68:$Z68,MIN(Q$6-$G$3,22))&lt;&gt;""),'Milho 2ª safra'!$E68:INDEX('Milho 2ª safra'!$E68:$Z68,MIN(Q$6-$G$3,22))),0)))))</f>
        <v>0</v>
      </c>
      <c r="R70" s="27" t="n">
        <f aca="false">IF(COUNT('Milho 2ª safra'!$E68:$Z68)=0,0,MAX(0,IF((R$6-$E$3)&lt;1,0,IFERROR(LOOKUP(2,1/('Milho 2ª safra'!$E68:INDEX('Milho 2ª safra'!$E68:$Z68,MIN(R$6-$E$3,22))&lt;&gt;""),'Milho 2ª safra'!$E68:INDEX('Milho 2ª safra'!$E68:$Z68,MIN(R$6-$E$3,22))),0))-IF($G$2,0,IF((R$6-$G$3)&lt;1,0,IFERROR(LOOKUP(2,1/('Milho 2ª safra'!$E68:INDEX('Milho 2ª safra'!$E68:$Z68,MIN(R$6-$G$3,22))&lt;&gt;""),'Milho 2ª safra'!$E68:INDEX('Milho 2ª safra'!$E68:$Z68,MIN(R$6-$G$3,22))),0)))))</f>
        <v>0</v>
      </c>
      <c r="S70" s="27" t="n">
        <f aca="false">IF(COUNT('Milho 2ª safra'!$E68:$Z68)=0,0,MAX(0,IF((S$6-$E$3)&lt;1,0,IFERROR(LOOKUP(2,1/('Milho 2ª safra'!$E68:INDEX('Milho 2ª safra'!$E68:$Z68,MIN(S$6-$E$3,22))&lt;&gt;""),'Milho 2ª safra'!$E68:INDEX('Milho 2ª safra'!$E68:$Z68,MIN(S$6-$E$3,22))),0))-IF($G$2,0,IF((S$6-$G$3)&lt;1,0,IFERROR(LOOKUP(2,1/('Milho 2ª safra'!$E68:INDEX('Milho 2ª safra'!$E68:$Z68,MIN(S$6-$G$3,22))&lt;&gt;""),'Milho 2ª safra'!$E68:INDEX('Milho 2ª safra'!$E68:$Z68,MIN(S$6-$G$3,22))),0)))))</f>
        <v>0</v>
      </c>
      <c r="T70" s="27" t="n">
        <f aca="false">IF(COUNT('Milho 2ª safra'!$E68:$Z68)=0,0,MAX(0,IF((T$6-$E$3)&lt;1,0,IFERROR(LOOKUP(2,1/('Milho 2ª safra'!$E68:INDEX('Milho 2ª safra'!$E68:$Z68,MIN(T$6-$E$3,22))&lt;&gt;""),'Milho 2ª safra'!$E68:INDEX('Milho 2ª safra'!$E68:$Z68,MIN(T$6-$E$3,22))),0))-IF($G$2,0,IF((T$6-$G$3)&lt;1,0,IFERROR(LOOKUP(2,1/('Milho 2ª safra'!$E68:INDEX('Milho 2ª safra'!$E68:$Z68,MIN(T$6-$G$3,22))&lt;&gt;""),'Milho 2ª safra'!$E68:INDEX('Milho 2ª safra'!$E68:$Z68,MIN(T$6-$G$3,22))),0)))))</f>
        <v>0</v>
      </c>
      <c r="U70" s="27" t="n">
        <f aca="false">IF(COUNT('Milho 2ª safra'!$E68:$Z68)=0,0,MAX(0,IF((U$6-$E$3)&lt;1,0,IFERROR(LOOKUP(2,1/('Milho 2ª safra'!$E68:INDEX('Milho 2ª safra'!$E68:$Z68,MIN(U$6-$E$3,22))&lt;&gt;""),'Milho 2ª safra'!$E68:INDEX('Milho 2ª safra'!$E68:$Z68,MIN(U$6-$E$3,22))),0))-IF($G$2,0,IF((U$6-$G$3)&lt;1,0,IFERROR(LOOKUP(2,1/('Milho 2ª safra'!$E68:INDEX('Milho 2ª safra'!$E68:$Z68,MIN(U$6-$G$3,22))&lt;&gt;""),'Milho 2ª safra'!$E68:INDEX('Milho 2ª safra'!$E68:$Z68,MIN(U$6-$G$3,22))),0)))))</f>
        <v>0</v>
      </c>
      <c r="V70" s="27" t="n">
        <f aca="false">IF(COUNT('Milho 2ª safra'!$E68:$Z68)=0,0,MAX(0,IF((V$6-$E$3)&lt;1,0,IFERROR(LOOKUP(2,1/('Milho 2ª safra'!$E68:INDEX('Milho 2ª safra'!$E68:$Z68,MIN(V$6-$E$3,22))&lt;&gt;""),'Milho 2ª safra'!$E68:INDEX('Milho 2ª safra'!$E68:$Z68,MIN(V$6-$E$3,22))),0))-IF($G$2,0,IF((V$6-$G$3)&lt;1,0,IFERROR(LOOKUP(2,1/('Milho 2ª safra'!$E68:INDEX('Milho 2ª safra'!$E68:$Z68,MIN(V$6-$G$3,22))&lt;&gt;""),'Milho 2ª safra'!$E68:INDEX('Milho 2ª safra'!$E68:$Z68,MIN(V$6-$G$3,22))),0)))))</f>
        <v>0</v>
      </c>
      <c r="W70" s="27" t="n">
        <f aca="false">IF(COUNT('Milho 2ª safra'!$E68:$Z68)=0,0,MAX(0,IF((W$6-$E$3)&lt;1,0,IFERROR(LOOKUP(2,1/('Milho 2ª safra'!$E68:INDEX('Milho 2ª safra'!$E68:$Z68,MIN(W$6-$E$3,22))&lt;&gt;""),'Milho 2ª safra'!$E68:INDEX('Milho 2ª safra'!$E68:$Z68,MIN(W$6-$E$3,22))),0))-IF($G$2,0,IF((W$6-$G$3)&lt;1,0,IFERROR(LOOKUP(2,1/('Milho 2ª safra'!$E68:INDEX('Milho 2ª safra'!$E68:$Z68,MIN(W$6-$G$3,22))&lt;&gt;""),'Milho 2ª safra'!$E68:INDEX('Milho 2ª safra'!$E68:$Z68,MIN(W$6-$G$3,22))),0)))))</f>
        <v>0</v>
      </c>
      <c r="X70" s="27" t="n">
        <f aca="false">IF(COUNT('Milho 2ª safra'!$E68:$Z68)=0,0,MAX(0,IF((X$6-$E$3)&lt;1,0,IFERROR(LOOKUP(2,1/('Milho 2ª safra'!$E68:INDEX('Milho 2ª safra'!$E68:$Z68,MIN(X$6-$E$3,22))&lt;&gt;""),'Milho 2ª safra'!$E68:INDEX('Milho 2ª safra'!$E68:$Z68,MIN(X$6-$E$3,22))),0))-IF($G$2,0,IF((X$6-$G$3)&lt;1,0,IFERROR(LOOKUP(2,1/('Milho 2ª safra'!$E68:INDEX('Milho 2ª safra'!$E68:$Z68,MIN(X$6-$G$3,22))&lt;&gt;""),'Milho 2ª safra'!$E68:INDEX('Milho 2ª safra'!$E68:$Z68,MIN(X$6-$G$3,22))),0)))))</f>
        <v>0</v>
      </c>
      <c r="Y70" s="27" t="n">
        <f aca="false">IF(COUNT('Milho 2ª safra'!$E68:$Z68)=0,0,MAX(0,IF((Y$6-$E$3)&lt;1,0,IFERROR(LOOKUP(2,1/('Milho 2ª safra'!$E68:INDEX('Milho 2ª safra'!$E68:$Z68,MIN(Y$6-$E$3,22))&lt;&gt;""),'Milho 2ª safra'!$E68:INDEX('Milho 2ª safra'!$E68:$Z68,MIN(Y$6-$E$3,22))),0))-IF($G$2,0,IF((Y$6-$G$3)&lt;1,0,IFERROR(LOOKUP(2,1/('Milho 2ª safra'!$E68:INDEX('Milho 2ª safra'!$E68:$Z68,MIN(Y$6-$G$3,22))&lt;&gt;""),'Milho 2ª safra'!$E68:INDEX('Milho 2ª safra'!$E68:$Z68,MIN(Y$6-$G$3,22))),0)))))</f>
        <v>0</v>
      </c>
      <c r="Z70" s="27" t="n">
        <f aca="false">IF(COUNT('Milho 2ª safra'!$E68:$Z68)=0,0,MAX(0,IF((Z$6-$E$3)&lt;1,0,IFERROR(LOOKUP(2,1/('Milho 2ª safra'!$E68:INDEX('Milho 2ª safra'!$E68:$Z68,MIN(Z$6-$E$3,22))&lt;&gt;""),'Milho 2ª safra'!$E68:INDEX('Milho 2ª safra'!$E68:$Z68,MIN(Z$6-$E$3,22))),0))-IF($G$2,0,IF((Z$6-$G$3)&lt;1,0,IFERROR(LOOKUP(2,1/('Milho 2ª safra'!$E68:INDEX('Milho 2ª safra'!$E68:$Z68,MIN(Z$6-$G$3,22))&lt;&gt;""),'Milho 2ª safra'!$E68:INDEX('Milho 2ª safra'!$E68:$Z68,MIN(Z$6-$G$3,22))),0)))))</f>
        <v>0</v>
      </c>
      <c r="AA70" s="27" t="n">
        <f aca="false">IF(COUNT('Milho 2ª safra'!$E68:$Z68)=0,0,MAX(0,IF((AA$6-$E$3)&lt;1,0,IFERROR(LOOKUP(2,1/('Milho 2ª safra'!$E68:INDEX('Milho 2ª safra'!$E68:$Z68,MIN(AA$6-$E$3,22))&lt;&gt;""),'Milho 2ª safra'!$E68:INDEX('Milho 2ª safra'!$E68:$Z68,MIN(AA$6-$E$3,22))),0))-IF($G$2,0,IF((AA$6-$G$3)&lt;1,0,IFERROR(LOOKUP(2,1/('Milho 2ª safra'!$E68:INDEX('Milho 2ª safra'!$E68:$Z68,MIN(AA$6-$G$3,22))&lt;&gt;""),'Milho 2ª safra'!$E68:INDEX('Milho 2ª safra'!$E68:$Z68,MIN(AA$6-$G$3,22))),0)))))</f>
        <v>0</v>
      </c>
      <c r="AB70" s="27" t="n">
        <f aca="false">IF(COUNT('Milho 2ª safra'!$E68:$Z68)=0,0,MAX(0,IF((AB$6-$E$3)&lt;1,0,IFERROR(LOOKUP(2,1/('Milho 2ª safra'!$E68:INDEX('Milho 2ª safra'!$E68:$Z68,MIN(AB$6-$E$3,22))&lt;&gt;""),'Milho 2ª safra'!$E68:INDEX('Milho 2ª safra'!$E68:$Z68,MIN(AB$6-$E$3,22))),0))-IF($G$2,0,IF((AB$6-$G$3)&lt;1,0,IFERROR(LOOKUP(2,1/('Milho 2ª safra'!$E68:INDEX('Milho 2ª safra'!$E68:$Z68,MIN(AB$6-$G$3,22))&lt;&gt;""),'Milho 2ª safra'!$E68:INDEX('Milho 2ª safra'!$E68:$Z68,MIN(AB$6-$G$3,22))),0)))))</f>
        <v>0</v>
      </c>
      <c r="AC70" s="27" t="n">
        <f aca="false">IF(COUNT('Milho 2ª safra'!$E68:$Z68)=0,0,MAX(0,IF((AC$6-$E$3)&lt;1,0,IFERROR(LOOKUP(2,1/('Milho 2ª safra'!$E68:INDEX('Milho 2ª safra'!$E68:$Z68,MIN(AC$6-$E$3,22))&lt;&gt;""),'Milho 2ª safra'!$E68:INDEX('Milho 2ª safra'!$E68:$Z68,MIN(AC$6-$E$3,22))),0))-IF($G$2,0,IF((AC$6-$G$3)&lt;1,0,IFERROR(LOOKUP(2,1/('Milho 2ª safra'!$E68:INDEX('Milho 2ª safra'!$E68:$Z68,MIN(AC$6-$G$3,22))&lt;&gt;""),'Milho 2ª safra'!$E68:INDEX('Milho 2ª safra'!$E68:$Z68,MIN(AC$6-$G$3,22))),0)))))</f>
        <v>0</v>
      </c>
      <c r="AD70" s="27" t="n">
        <f aca="false">IF(COUNT('Milho 2ª safra'!$E68:$Z68)=0,0,MAX(0,IF((AD$6-$E$3)&lt;1,0,IFERROR(LOOKUP(2,1/('Milho 2ª safra'!$E68:INDEX('Milho 2ª safra'!$E68:$Z68,MIN(AD$6-$E$3,22))&lt;&gt;""),'Milho 2ª safra'!$E68:INDEX('Milho 2ª safra'!$E68:$Z68,MIN(AD$6-$E$3,22))),0))-IF($G$2,0,IF((AD$6-$G$3)&lt;1,0,IFERROR(LOOKUP(2,1/('Milho 2ª safra'!$E68:INDEX('Milho 2ª safra'!$E68:$Z68,MIN(AD$6-$G$3,22))&lt;&gt;""),'Milho 2ª safra'!$E68:INDEX('Milho 2ª safra'!$E68:$Z68,MIN(AD$6-$G$3,22))),0)))))</f>
        <v>0</v>
      </c>
      <c r="AE70" s="27" t="n">
        <f aca="false">IF(COUNT('Milho 2ª safra'!$E68:$Z68)=0,0,MAX(0,IF((AE$6-$E$3)&lt;1,0,IFERROR(LOOKUP(2,1/('Milho 2ª safra'!$E68:INDEX('Milho 2ª safra'!$E68:$Z68,MIN(AE$6-$E$3,22))&lt;&gt;""),'Milho 2ª safra'!$E68:INDEX('Milho 2ª safra'!$E68:$Z68,MIN(AE$6-$E$3,22))),0))-IF($G$2,0,IF((AE$6-$G$3)&lt;1,0,IFERROR(LOOKUP(2,1/('Milho 2ª safra'!$E68:INDEX('Milho 2ª safra'!$E68:$Z68,MIN(AE$6-$G$3,22))&lt;&gt;""),'Milho 2ª safra'!$E68:INDEX('Milho 2ª safra'!$E68:$Z68,MIN(AE$6-$G$3,22))),0)))))</f>
        <v>0</v>
      </c>
      <c r="AF70" s="27" t="n">
        <f aca="false">IF(COUNT('Milho 2ª safra'!$E68:$Z68)=0,0,MAX(0,IF((AF$6-$E$3)&lt;1,0,IFERROR(LOOKUP(2,1/('Milho 2ª safra'!$E68:INDEX('Milho 2ª safra'!$E68:$Z68,MIN(AF$6-$E$3,22))&lt;&gt;""),'Milho 2ª safra'!$E68:INDEX('Milho 2ª safra'!$E68:$Z68,MIN(AF$6-$E$3,22))),0))-IF($G$2,0,IF((AF$6-$G$3)&lt;1,0,IFERROR(LOOKUP(2,1/('Milho 2ª safra'!$E68:INDEX('Milho 2ª safra'!$E68:$Z68,MIN(AF$6-$G$3,22))&lt;&gt;""),'Milho 2ª safra'!$E68:INDEX('Milho 2ª safra'!$E68:$Z68,MIN(AF$6-$G$3,22))),0)))))</f>
        <v>0</v>
      </c>
      <c r="AG70" s="27" t="n">
        <f aca="false">IF(COUNT('Milho 2ª safra'!$E68:$Z68)=0,0,MAX(0,IF((AG$6-$E$3)&lt;1,0,IFERROR(LOOKUP(2,1/('Milho 2ª safra'!$E68:INDEX('Milho 2ª safra'!$E68:$Z68,MIN(AG$6-$E$3,22))&lt;&gt;""),'Milho 2ª safra'!$E68:INDEX('Milho 2ª safra'!$E68:$Z68,MIN(AG$6-$E$3,22))),0))-IF($G$2,0,IF((AG$6-$G$3)&lt;1,0,IFERROR(LOOKUP(2,1/('Milho 2ª safra'!$E68:INDEX('Milho 2ª safra'!$E68:$Z68,MIN(AG$6-$G$3,22))&lt;&gt;""),'Milho 2ª safra'!$E68:INDEX('Milho 2ª safra'!$E68:$Z68,MIN(AG$6-$G$3,22))),0)))))</f>
        <v>0</v>
      </c>
      <c r="AH70" s="27" t="n">
        <f aca="false">IF(COUNT('Milho 2ª safra'!$E68:$Z68)=0,0,MAX(0,IF((AH$6-$E$3)&lt;1,0,IFERROR(LOOKUP(2,1/('Milho 2ª safra'!$E68:INDEX('Milho 2ª safra'!$E68:$Z68,MIN(AH$6-$E$3,22))&lt;&gt;""),'Milho 2ª safra'!$E68:INDEX('Milho 2ª safra'!$E68:$Z68,MIN(AH$6-$E$3,22))),0))-IF($G$2,0,IF((AH$6-$G$3)&lt;1,0,IFERROR(LOOKUP(2,1/('Milho 2ª safra'!$E68:INDEX('Milho 2ª safra'!$E68:$Z68,MIN(AH$6-$G$3,22))&lt;&gt;""),'Milho 2ª safra'!$E68:INDEX('Milho 2ª safra'!$E68:$Z68,MIN(AH$6-$G$3,22))),0)))))</f>
        <v>0</v>
      </c>
      <c r="AI70" s="27" t="n">
        <f aca="false">IF(COUNT('Milho 2ª safra'!$E68:$Z68)=0,0,MAX(0,IF((AI$6-$E$3)&lt;1,0,IFERROR(LOOKUP(2,1/('Milho 2ª safra'!$E68:INDEX('Milho 2ª safra'!$E68:$Z68,MIN(AI$6-$E$3,22))&lt;&gt;""),'Milho 2ª safra'!$E68:INDEX('Milho 2ª safra'!$E68:$Z68,MIN(AI$6-$E$3,22))),0))-IF($G$2,0,IF((AI$6-$G$3)&lt;1,0,IFERROR(LOOKUP(2,1/('Milho 2ª safra'!$E68:INDEX('Milho 2ª safra'!$E68:$Z68,MIN(AI$6-$G$3,22))&lt;&gt;""),'Milho 2ª safra'!$E68:INDEX('Milho 2ª safra'!$E68:$Z68,MIN(AI$6-$G$3,22))),0)))))</f>
        <v>0</v>
      </c>
      <c r="AJ70" s="27" t="n">
        <f aca="false">IF(COUNT('Milho 2ª safra'!$E68:$Z68)=0,0,MAX(0,IF((AJ$6-$E$3)&lt;1,0,IFERROR(LOOKUP(2,1/('Milho 2ª safra'!$E68:INDEX('Milho 2ª safra'!$E68:$Z68,MIN(AJ$6-$E$3,22))&lt;&gt;""),'Milho 2ª safra'!$E68:INDEX('Milho 2ª safra'!$E68:$Z68,MIN(AJ$6-$E$3,22))),0))-IF($G$2,0,IF((AJ$6-$G$3)&lt;1,0,IFERROR(LOOKUP(2,1/('Milho 2ª safra'!$E68:INDEX('Milho 2ª safra'!$E68:$Z68,MIN(AJ$6-$G$3,22))&lt;&gt;""),'Milho 2ª safra'!$E68:INDEX('Milho 2ª safra'!$E68:$Z68,MIN(AJ$6-$G$3,22))),0)))))</f>
        <v>0</v>
      </c>
      <c r="AK70" s="27" t="n">
        <f aca="false">IF(COUNT('Milho 2ª safra'!$E68:$Z68)=0,0,MAX(0,IF((AK$6-$E$3)&lt;1,0,IFERROR(LOOKUP(2,1/('Milho 2ª safra'!$E68:INDEX('Milho 2ª safra'!$E68:$Z68,MIN(AK$6-$E$3,22))&lt;&gt;""),'Milho 2ª safra'!$E68:INDEX('Milho 2ª safra'!$E68:$Z68,MIN(AK$6-$E$3,22))),0))-IF($G$2,0,IF((AK$6-$G$3)&lt;1,0,IFERROR(LOOKUP(2,1/('Milho 2ª safra'!$E68:INDEX('Milho 2ª safra'!$E68:$Z68,MIN(AK$6-$G$3,22))&lt;&gt;""),'Milho 2ª safra'!$E68:INDEX('Milho 2ª safra'!$E68:$Z68,MIN(AK$6-$G$3,22))),0)))))</f>
        <v>0</v>
      </c>
      <c r="AL70" s="27" t="n">
        <f aca="false">IF(COUNT('Milho 2ª safra'!$E68:$Z68)=0,0,MAX(0,IF((AL$6-$E$3)&lt;1,0,IFERROR(LOOKUP(2,1/('Milho 2ª safra'!$E68:INDEX('Milho 2ª safra'!$E68:$Z68,MIN(AL$6-$E$3,22))&lt;&gt;""),'Milho 2ª safra'!$E68:INDEX('Milho 2ª safra'!$E68:$Z68,MIN(AL$6-$E$3,22))),0))-IF($G$2,0,IF((AL$6-$G$3)&lt;1,0,IFERROR(LOOKUP(2,1/('Milho 2ª safra'!$E68:INDEX('Milho 2ª safra'!$E68:$Z68,MIN(AL$6-$G$3,22))&lt;&gt;""),'Milho 2ª safra'!$E68:INDEX('Milho 2ª safra'!$E68:$Z68,MIN(AL$6-$G$3,22))),0)))))</f>
        <v>0</v>
      </c>
      <c r="AM70" s="27" t="n">
        <f aca="false">IF(COUNT('Milho 2ª safra'!$E68:$Z68)=0,0,MAX(0,IF((AM$6-$E$3)&lt;1,0,IFERROR(LOOKUP(2,1/('Milho 2ª safra'!$E68:INDEX('Milho 2ª safra'!$E68:$Z68,MIN(AM$6-$E$3,22))&lt;&gt;""),'Milho 2ª safra'!$E68:INDEX('Milho 2ª safra'!$E68:$Z68,MIN(AM$6-$E$3,22))),0))-IF($G$2,0,IF((AM$6-$G$3)&lt;1,0,IFERROR(LOOKUP(2,1/('Milho 2ª safra'!$E68:INDEX('Milho 2ª safra'!$E68:$Z68,MIN(AM$6-$G$3,22))&lt;&gt;""),'Milho 2ª safra'!$E68:INDEX('Milho 2ª safra'!$E68:$Z68,MIN(AM$6-$G$3,22))),0)))))</f>
        <v>0</v>
      </c>
      <c r="AN70" s="27" t="n">
        <f aca="false">IF(COUNT('Milho 2ª safra'!$E68:$Z68)=0,0,MAX(0,IF((AN$6-$E$3)&lt;1,0,IFERROR(LOOKUP(2,1/('Milho 2ª safra'!$E68:INDEX('Milho 2ª safra'!$E68:$Z68,MIN(AN$6-$E$3,22))&lt;&gt;""),'Milho 2ª safra'!$E68:INDEX('Milho 2ª safra'!$E68:$Z68,MIN(AN$6-$E$3,22))),0))-IF($G$2,0,IF((AN$6-$G$3)&lt;1,0,IFERROR(LOOKUP(2,1/('Milho 2ª safra'!$E68:INDEX('Milho 2ª safra'!$E68:$Z68,MIN(AN$6-$G$3,22))&lt;&gt;""),'Milho 2ª safra'!$E68:INDEX('Milho 2ª safra'!$E68:$Z68,MIN(AN$6-$G$3,22))),0)))))</f>
        <v>0</v>
      </c>
      <c r="AO70" s="27" t="n">
        <f aca="false">IF(COUNT('Milho 2ª safra'!$E68:$Z68)=0,0,MAX(0,IF((AO$6-$E$3)&lt;1,0,IFERROR(LOOKUP(2,1/('Milho 2ª safra'!$E68:INDEX('Milho 2ª safra'!$E68:$Z68,MIN(AO$6-$E$3,22))&lt;&gt;""),'Milho 2ª safra'!$E68:INDEX('Milho 2ª safra'!$E68:$Z68,MIN(AO$6-$E$3,22))),0))-IF($G$2,0,IF((AO$6-$G$3)&lt;1,0,IFERROR(LOOKUP(2,1/('Milho 2ª safra'!$E68:INDEX('Milho 2ª safra'!$E68:$Z68,MIN(AO$6-$G$3,22))&lt;&gt;""),'Milho 2ª safra'!$E68:INDEX('Milho 2ª safra'!$E68:$Z68,MIN(AO$6-$G$3,22))),0)))))</f>
        <v>0</v>
      </c>
      <c r="AP70" s="27" t="n">
        <f aca="false">IF(COUNT('Milho 2ª safra'!$E68:$Z68)=0,0,MAX(0,IF((AP$6-$E$3)&lt;1,0,IFERROR(LOOKUP(2,1/('Milho 2ª safra'!$E68:INDEX('Milho 2ª safra'!$E68:$Z68,MIN(AP$6-$E$3,22))&lt;&gt;""),'Milho 2ª safra'!$E68:INDEX('Milho 2ª safra'!$E68:$Z68,MIN(AP$6-$E$3,22))),0))-IF($G$2,0,IF((AP$6-$G$3)&lt;1,0,IFERROR(LOOKUP(2,1/('Milho 2ª safra'!$E68:INDEX('Milho 2ª safra'!$E68:$Z68,MIN(AP$6-$G$3,22))&lt;&gt;""),'Milho 2ª safra'!$E68:INDEX('Milho 2ª safra'!$E68:$Z68,MIN(AP$6-$G$3,22))),0)))))</f>
        <v>0</v>
      </c>
      <c r="AQ70" s="27" t="n">
        <f aca="false">IF(COUNT('Milho 2ª safra'!$E68:$Z68)=0,0,MAX(0,IF((AQ$6-$E$3)&lt;1,0,IFERROR(LOOKUP(2,1/('Milho 2ª safra'!$E68:INDEX('Milho 2ª safra'!$E68:$Z68,MIN(AQ$6-$E$3,22))&lt;&gt;""),'Milho 2ª safra'!$E68:INDEX('Milho 2ª safra'!$E68:$Z68,MIN(AQ$6-$E$3,22))),0))-IF($G$2,0,IF((AQ$6-$G$3)&lt;1,0,IFERROR(LOOKUP(2,1/('Milho 2ª safra'!$E68:INDEX('Milho 2ª safra'!$E68:$Z68,MIN(AQ$6-$G$3,22))&lt;&gt;""),'Milho 2ª safra'!$E68:INDEX('Milho 2ª safra'!$E68:$Z68,MIN(AQ$6-$G$3,22))),0)))))</f>
        <v>0</v>
      </c>
      <c r="AR70" s="27" t="n">
        <f aca="false">IF(COUNT('Milho 2ª safra'!$E68:$Z68)=0,0,MAX(0,IF((AR$6-$E$3)&lt;1,0,IFERROR(LOOKUP(2,1/('Milho 2ª safra'!$E68:INDEX('Milho 2ª safra'!$E68:$Z68,MIN(AR$6-$E$3,22))&lt;&gt;""),'Milho 2ª safra'!$E68:INDEX('Milho 2ª safra'!$E68:$Z68,MIN(AR$6-$E$3,22))),0))-IF($G$2,0,IF((AR$6-$G$3)&lt;1,0,IFERROR(LOOKUP(2,1/('Milho 2ª safra'!$E68:INDEX('Milho 2ª safra'!$E68:$Z68,MIN(AR$6-$G$3,22))&lt;&gt;""),'Milho 2ª safra'!$E68:INDEX('Milho 2ª safra'!$E68:$Z68,MIN(AR$6-$G$3,22))),0)))))</f>
        <v>0</v>
      </c>
      <c r="AS70" s="27" t="n">
        <f aca="false">IF(COUNT('Milho 2ª safra'!$E68:$Z68)=0,0,MAX(0,IF((AS$6-$E$3)&lt;1,0,IFERROR(LOOKUP(2,1/('Milho 2ª safra'!$E68:INDEX('Milho 2ª safra'!$E68:$Z68,MIN(AS$6-$E$3,22))&lt;&gt;""),'Milho 2ª safra'!$E68:INDEX('Milho 2ª safra'!$E68:$Z68,MIN(AS$6-$E$3,22))),0))-IF($G$2,0,IF((AS$6-$G$3)&lt;1,0,IFERROR(LOOKUP(2,1/('Milho 2ª safra'!$E68:INDEX('Milho 2ª safra'!$E68:$Z68,MIN(AS$6-$G$3,22))&lt;&gt;""),'Milho 2ª safra'!$E68:INDEX('Milho 2ª safra'!$E68:$Z68,MIN(AS$6-$G$3,22))),0)))))</f>
        <v>0</v>
      </c>
      <c r="AT70" s="27" t="n">
        <f aca="false">IF(COUNT('Milho 2ª safra'!$E68:$Z68)=0,0,MAX(0,IF((AT$6-$E$3)&lt;1,0,IFERROR(LOOKUP(2,1/('Milho 2ª safra'!$E68:INDEX('Milho 2ª safra'!$E68:$Z68,MIN(AT$6-$E$3,22))&lt;&gt;""),'Milho 2ª safra'!$E68:INDEX('Milho 2ª safra'!$E68:$Z68,MIN(AT$6-$E$3,22))),0))-IF($G$2,0,IF((AT$6-$G$3)&lt;1,0,IFERROR(LOOKUP(2,1/('Milho 2ª safra'!$E68:INDEX('Milho 2ª safra'!$E68:$Z68,MIN(AT$6-$G$3,22))&lt;&gt;""),'Milho 2ª safra'!$E68:INDEX('Milho 2ª safra'!$E68:$Z68,MIN(AT$6-$G$3,22))),0)))))</f>
        <v>0</v>
      </c>
      <c r="AU70" s="27" t="n">
        <f aca="false">IF(COUNT('Milho 2ª safra'!$E68:$Z68)=0,0,MAX(0,IF((AU$6-$E$3)&lt;1,0,IFERROR(LOOKUP(2,1/('Milho 2ª safra'!$E68:INDEX('Milho 2ª safra'!$E68:$Z68,MIN(AU$6-$E$3,22))&lt;&gt;""),'Milho 2ª safra'!$E68:INDEX('Milho 2ª safra'!$E68:$Z68,MIN(AU$6-$E$3,22))),0))-IF($G$2,0,IF((AU$6-$G$3)&lt;1,0,IFERROR(LOOKUP(2,1/('Milho 2ª safra'!$E68:INDEX('Milho 2ª safra'!$E68:$Z68,MIN(AU$6-$G$3,22))&lt;&gt;""),'Milho 2ª safra'!$E68:INDEX('Milho 2ª safra'!$E68:$Z68,MIN(AU$6-$G$3,22))),0)))))</f>
        <v>0</v>
      </c>
      <c r="AV70" s="27" t="n">
        <f aca="false">IF(COUNT('Milho 2ª safra'!$E68:$Z68)=0,0,MAX(0,IF((AV$6-$E$3)&lt;1,0,IFERROR(LOOKUP(2,1/('Milho 2ª safra'!$E68:INDEX('Milho 2ª safra'!$E68:$Z68,MIN(AV$6-$E$3,22))&lt;&gt;""),'Milho 2ª safra'!$E68:INDEX('Milho 2ª safra'!$E68:$Z68,MIN(AV$6-$E$3,22))),0))-IF($G$2,0,IF((AV$6-$G$3)&lt;1,0,IFERROR(LOOKUP(2,1/('Milho 2ª safra'!$E68:INDEX('Milho 2ª safra'!$E68:$Z68,MIN(AV$6-$G$3,22))&lt;&gt;""),'Milho 2ª safra'!$E68:INDEX('Milho 2ª safra'!$E68:$Z68,MIN(AV$6-$G$3,22))),0)))))</f>
        <v>0</v>
      </c>
      <c r="AW70" s="27" t="n">
        <f aca="false">IF(COUNT('Milho 2ª safra'!$E68:$Z68)=0,0,MAX(0,IF((AW$6-$E$3)&lt;1,0,IFERROR(LOOKUP(2,1/('Milho 2ª safra'!$E68:INDEX('Milho 2ª safra'!$E68:$Z68,MIN(AW$6-$E$3,22))&lt;&gt;""),'Milho 2ª safra'!$E68:INDEX('Milho 2ª safra'!$E68:$Z68,MIN(AW$6-$E$3,22))),0))-IF($G$2,0,IF((AW$6-$G$3)&lt;1,0,IFERROR(LOOKUP(2,1/('Milho 2ª safra'!$E68:INDEX('Milho 2ª safra'!$E68:$Z68,MIN(AW$6-$G$3,22))&lt;&gt;""),'Milho 2ª safra'!$E68:INDEX('Milho 2ª safra'!$E68:$Z68,MIN(AW$6-$G$3,22))),0)))))</f>
        <v>0</v>
      </c>
      <c r="AX70" s="27" t="n">
        <f aca="false">IF(COUNT('Milho 2ª safra'!$E68:$Z68)=0,0,MAX(0,IF((AX$6-$E$3)&lt;1,0,IFERROR(LOOKUP(2,1/('Milho 2ª safra'!$E68:INDEX('Milho 2ª safra'!$E68:$Z68,MIN(AX$6-$E$3,22))&lt;&gt;""),'Milho 2ª safra'!$E68:INDEX('Milho 2ª safra'!$E68:$Z68,MIN(AX$6-$E$3,22))),0))-IF($G$2,0,IF((AX$6-$G$3)&lt;1,0,IFERROR(LOOKUP(2,1/('Milho 2ª safra'!$E68:INDEX('Milho 2ª safra'!$E68:$Z68,MIN(AX$6-$G$3,22))&lt;&gt;""),'Milho 2ª safra'!$E68:INDEX('Milho 2ª safra'!$E68:$Z68,MIN(AX$6-$G$3,22))),0)))))</f>
        <v>0</v>
      </c>
      <c r="AY70" s="27" t="n">
        <f aca="false">IF(COUNT('Milho 2ª safra'!$E68:$Z68)=0,0,MAX(0,IF((AY$6-$E$3)&lt;1,0,IFERROR(LOOKUP(2,1/('Milho 2ª safra'!$E68:INDEX('Milho 2ª safra'!$E68:$Z68,MIN(AY$6-$E$3,22))&lt;&gt;""),'Milho 2ª safra'!$E68:INDEX('Milho 2ª safra'!$E68:$Z68,MIN(AY$6-$E$3,22))),0))-IF($G$2,0,IF((AY$6-$G$3)&lt;1,0,IFERROR(LOOKUP(2,1/('Milho 2ª safra'!$E68:INDEX('Milho 2ª safra'!$E68:$Z68,MIN(AY$6-$G$3,22))&lt;&gt;""),'Milho 2ª safra'!$E68:INDEX('Milho 2ª safra'!$E68:$Z68,MIN(AY$6-$G$3,22))),0)))))</f>
        <v>0</v>
      </c>
      <c r="AZ70" s="27" t="n">
        <f aca="false">IF(COUNT('Milho 2ª safra'!$E68:$Z68)=0,0,MAX(0,IF((AZ$6-$E$3)&lt;1,0,IFERROR(LOOKUP(2,1/('Milho 2ª safra'!$E68:INDEX('Milho 2ª safra'!$E68:$Z68,MIN(AZ$6-$E$3,22))&lt;&gt;""),'Milho 2ª safra'!$E68:INDEX('Milho 2ª safra'!$E68:$Z68,MIN(AZ$6-$E$3,22))),0))-IF($G$2,0,IF((AZ$6-$G$3)&lt;1,0,IFERROR(LOOKUP(2,1/('Milho 2ª safra'!$E68:INDEX('Milho 2ª safra'!$E68:$Z68,MIN(AZ$6-$G$3,22))&lt;&gt;""),'Milho 2ª safra'!$E68:INDEX('Milho 2ª safra'!$E68:$Z68,MIN(AZ$6-$G$3,22))),0)))))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IF(COUNT('Milho 2ª safra'!$E69:$Z69)&gt;0,N('Milho 2ª safra'!$D69),0)</f>
        <v>0</v>
      </c>
      <c r="E71" s="27" t="n">
        <f aca="false">IF(COUNT('Milho 2ª safra'!$E69:$Z69)=0,0,MAX(0,IF((E$6-$E$3)&lt;1,0,IFERROR(LOOKUP(2,1/('Milho 2ª safra'!$E69:INDEX('Milho 2ª safra'!$E69:$Z69,MIN(E$6-$E$3,22))&lt;&gt;""),'Milho 2ª safra'!$E69:INDEX('Milho 2ª safra'!$E69:$Z69,MIN(E$6-$E$3,22))),0))-IF($G$2,0,IF((E$6-$G$3)&lt;1,0,IFERROR(LOOKUP(2,1/('Milho 2ª safra'!$E69:INDEX('Milho 2ª safra'!$E69:$Z69,MIN(E$6-$G$3,22))&lt;&gt;""),'Milho 2ª safra'!$E69:INDEX('Milho 2ª safra'!$E69:$Z69,MIN(E$6-$G$3,22))),0)))))</f>
        <v>0</v>
      </c>
      <c r="F71" s="27" t="n">
        <f aca="false">IF(COUNT('Milho 2ª safra'!$E69:$Z69)=0,0,MAX(0,IF((F$6-$E$3)&lt;1,0,IFERROR(LOOKUP(2,1/('Milho 2ª safra'!$E69:INDEX('Milho 2ª safra'!$E69:$Z69,MIN(F$6-$E$3,22))&lt;&gt;""),'Milho 2ª safra'!$E69:INDEX('Milho 2ª safra'!$E69:$Z69,MIN(F$6-$E$3,22))),0))-IF($G$2,0,IF((F$6-$G$3)&lt;1,0,IFERROR(LOOKUP(2,1/('Milho 2ª safra'!$E69:INDEX('Milho 2ª safra'!$E69:$Z69,MIN(F$6-$G$3,22))&lt;&gt;""),'Milho 2ª safra'!$E69:INDEX('Milho 2ª safra'!$E69:$Z69,MIN(F$6-$G$3,22))),0)))))</f>
        <v>0</v>
      </c>
      <c r="G71" s="27" t="n">
        <f aca="false">IF(COUNT('Milho 2ª safra'!$E69:$Z69)=0,0,MAX(0,IF((G$6-$E$3)&lt;1,0,IFERROR(LOOKUP(2,1/('Milho 2ª safra'!$E69:INDEX('Milho 2ª safra'!$E69:$Z69,MIN(G$6-$E$3,22))&lt;&gt;""),'Milho 2ª safra'!$E69:INDEX('Milho 2ª safra'!$E69:$Z69,MIN(G$6-$E$3,22))),0))-IF($G$2,0,IF((G$6-$G$3)&lt;1,0,IFERROR(LOOKUP(2,1/('Milho 2ª safra'!$E69:INDEX('Milho 2ª safra'!$E69:$Z69,MIN(G$6-$G$3,22))&lt;&gt;""),'Milho 2ª safra'!$E69:INDEX('Milho 2ª safra'!$E69:$Z69,MIN(G$6-$G$3,22))),0)))))</f>
        <v>0</v>
      </c>
      <c r="H71" s="27" t="n">
        <f aca="false">IF(COUNT('Milho 2ª safra'!$E69:$Z69)=0,0,MAX(0,IF((H$6-$E$3)&lt;1,0,IFERROR(LOOKUP(2,1/('Milho 2ª safra'!$E69:INDEX('Milho 2ª safra'!$E69:$Z69,MIN(H$6-$E$3,22))&lt;&gt;""),'Milho 2ª safra'!$E69:INDEX('Milho 2ª safra'!$E69:$Z69,MIN(H$6-$E$3,22))),0))-IF($G$2,0,IF((H$6-$G$3)&lt;1,0,IFERROR(LOOKUP(2,1/('Milho 2ª safra'!$E69:INDEX('Milho 2ª safra'!$E69:$Z69,MIN(H$6-$G$3,22))&lt;&gt;""),'Milho 2ª safra'!$E69:INDEX('Milho 2ª safra'!$E69:$Z69,MIN(H$6-$G$3,22))),0)))))</f>
        <v>0</v>
      </c>
      <c r="I71" s="27" t="n">
        <f aca="false">IF(COUNT('Milho 2ª safra'!$E69:$Z69)=0,0,MAX(0,IF((I$6-$E$3)&lt;1,0,IFERROR(LOOKUP(2,1/('Milho 2ª safra'!$E69:INDEX('Milho 2ª safra'!$E69:$Z69,MIN(I$6-$E$3,22))&lt;&gt;""),'Milho 2ª safra'!$E69:INDEX('Milho 2ª safra'!$E69:$Z69,MIN(I$6-$E$3,22))),0))-IF($G$2,0,IF((I$6-$G$3)&lt;1,0,IFERROR(LOOKUP(2,1/('Milho 2ª safra'!$E69:INDEX('Milho 2ª safra'!$E69:$Z69,MIN(I$6-$G$3,22))&lt;&gt;""),'Milho 2ª safra'!$E69:INDEX('Milho 2ª safra'!$E69:$Z69,MIN(I$6-$G$3,22))),0)))))</f>
        <v>0</v>
      </c>
      <c r="J71" s="27" t="n">
        <f aca="false">IF(COUNT('Milho 2ª safra'!$E69:$Z69)=0,0,MAX(0,IF((J$6-$E$3)&lt;1,0,IFERROR(LOOKUP(2,1/('Milho 2ª safra'!$E69:INDEX('Milho 2ª safra'!$E69:$Z69,MIN(J$6-$E$3,22))&lt;&gt;""),'Milho 2ª safra'!$E69:INDEX('Milho 2ª safra'!$E69:$Z69,MIN(J$6-$E$3,22))),0))-IF($G$2,0,IF((J$6-$G$3)&lt;1,0,IFERROR(LOOKUP(2,1/('Milho 2ª safra'!$E69:INDEX('Milho 2ª safra'!$E69:$Z69,MIN(J$6-$G$3,22))&lt;&gt;""),'Milho 2ª safra'!$E69:INDEX('Milho 2ª safra'!$E69:$Z69,MIN(J$6-$G$3,22))),0)))))</f>
        <v>0</v>
      </c>
      <c r="K71" s="27" t="n">
        <f aca="false">IF(COUNT('Milho 2ª safra'!$E69:$Z69)=0,0,MAX(0,IF((K$6-$E$3)&lt;1,0,IFERROR(LOOKUP(2,1/('Milho 2ª safra'!$E69:INDEX('Milho 2ª safra'!$E69:$Z69,MIN(K$6-$E$3,22))&lt;&gt;""),'Milho 2ª safra'!$E69:INDEX('Milho 2ª safra'!$E69:$Z69,MIN(K$6-$E$3,22))),0))-IF($G$2,0,IF((K$6-$G$3)&lt;1,0,IFERROR(LOOKUP(2,1/('Milho 2ª safra'!$E69:INDEX('Milho 2ª safra'!$E69:$Z69,MIN(K$6-$G$3,22))&lt;&gt;""),'Milho 2ª safra'!$E69:INDEX('Milho 2ª safra'!$E69:$Z69,MIN(K$6-$G$3,22))),0)))))</f>
        <v>0</v>
      </c>
      <c r="L71" s="27" t="n">
        <f aca="false">IF(COUNT('Milho 2ª safra'!$E69:$Z69)=0,0,MAX(0,IF((L$6-$E$3)&lt;1,0,IFERROR(LOOKUP(2,1/('Milho 2ª safra'!$E69:INDEX('Milho 2ª safra'!$E69:$Z69,MIN(L$6-$E$3,22))&lt;&gt;""),'Milho 2ª safra'!$E69:INDEX('Milho 2ª safra'!$E69:$Z69,MIN(L$6-$E$3,22))),0))-IF($G$2,0,IF((L$6-$G$3)&lt;1,0,IFERROR(LOOKUP(2,1/('Milho 2ª safra'!$E69:INDEX('Milho 2ª safra'!$E69:$Z69,MIN(L$6-$G$3,22))&lt;&gt;""),'Milho 2ª safra'!$E69:INDEX('Milho 2ª safra'!$E69:$Z69,MIN(L$6-$G$3,22))),0)))))</f>
        <v>0</v>
      </c>
      <c r="M71" s="27" t="n">
        <f aca="false">IF(COUNT('Milho 2ª safra'!$E69:$Z69)=0,0,MAX(0,IF((M$6-$E$3)&lt;1,0,IFERROR(LOOKUP(2,1/('Milho 2ª safra'!$E69:INDEX('Milho 2ª safra'!$E69:$Z69,MIN(M$6-$E$3,22))&lt;&gt;""),'Milho 2ª safra'!$E69:INDEX('Milho 2ª safra'!$E69:$Z69,MIN(M$6-$E$3,22))),0))-IF($G$2,0,IF((M$6-$G$3)&lt;1,0,IFERROR(LOOKUP(2,1/('Milho 2ª safra'!$E69:INDEX('Milho 2ª safra'!$E69:$Z69,MIN(M$6-$G$3,22))&lt;&gt;""),'Milho 2ª safra'!$E69:INDEX('Milho 2ª safra'!$E69:$Z69,MIN(M$6-$G$3,22))),0)))))</f>
        <v>0</v>
      </c>
      <c r="N71" s="27" t="n">
        <f aca="false">IF(COUNT('Milho 2ª safra'!$E69:$Z69)=0,0,MAX(0,IF((N$6-$E$3)&lt;1,0,IFERROR(LOOKUP(2,1/('Milho 2ª safra'!$E69:INDEX('Milho 2ª safra'!$E69:$Z69,MIN(N$6-$E$3,22))&lt;&gt;""),'Milho 2ª safra'!$E69:INDEX('Milho 2ª safra'!$E69:$Z69,MIN(N$6-$E$3,22))),0))-IF($G$2,0,IF((N$6-$G$3)&lt;1,0,IFERROR(LOOKUP(2,1/('Milho 2ª safra'!$E69:INDEX('Milho 2ª safra'!$E69:$Z69,MIN(N$6-$G$3,22))&lt;&gt;""),'Milho 2ª safra'!$E69:INDEX('Milho 2ª safra'!$E69:$Z69,MIN(N$6-$G$3,22))),0)))))</f>
        <v>0</v>
      </c>
      <c r="O71" s="27" t="n">
        <f aca="false">IF(COUNT('Milho 2ª safra'!$E69:$Z69)=0,0,MAX(0,IF((O$6-$E$3)&lt;1,0,IFERROR(LOOKUP(2,1/('Milho 2ª safra'!$E69:INDEX('Milho 2ª safra'!$E69:$Z69,MIN(O$6-$E$3,22))&lt;&gt;""),'Milho 2ª safra'!$E69:INDEX('Milho 2ª safra'!$E69:$Z69,MIN(O$6-$E$3,22))),0))-IF($G$2,0,IF((O$6-$G$3)&lt;1,0,IFERROR(LOOKUP(2,1/('Milho 2ª safra'!$E69:INDEX('Milho 2ª safra'!$E69:$Z69,MIN(O$6-$G$3,22))&lt;&gt;""),'Milho 2ª safra'!$E69:INDEX('Milho 2ª safra'!$E69:$Z69,MIN(O$6-$G$3,22))),0)))))</f>
        <v>0</v>
      </c>
      <c r="P71" s="27" t="n">
        <f aca="false">IF(COUNT('Milho 2ª safra'!$E69:$Z69)=0,0,MAX(0,IF((P$6-$E$3)&lt;1,0,IFERROR(LOOKUP(2,1/('Milho 2ª safra'!$E69:INDEX('Milho 2ª safra'!$E69:$Z69,MIN(P$6-$E$3,22))&lt;&gt;""),'Milho 2ª safra'!$E69:INDEX('Milho 2ª safra'!$E69:$Z69,MIN(P$6-$E$3,22))),0))-IF($G$2,0,IF((P$6-$G$3)&lt;1,0,IFERROR(LOOKUP(2,1/('Milho 2ª safra'!$E69:INDEX('Milho 2ª safra'!$E69:$Z69,MIN(P$6-$G$3,22))&lt;&gt;""),'Milho 2ª safra'!$E69:INDEX('Milho 2ª safra'!$E69:$Z69,MIN(P$6-$G$3,22))),0)))))</f>
        <v>0</v>
      </c>
      <c r="Q71" s="27" t="n">
        <f aca="false">IF(COUNT('Milho 2ª safra'!$E69:$Z69)=0,0,MAX(0,IF((Q$6-$E$3)&lt;1,0,IFERROR(LOOKUP(2,1/('Milho 2ª safra'!$E69:INDEX('Milho 2ª safra'!$E69:$Z69,MIN(Q$6-$E$3,22))&lt;&gt;""),'Milho 2ª safra'!$E69:INDEX('Milho 2ª safra'!$E69:$Z69,MIN(Q$6-$E$3,22))),0))-IF($G$2,0,IF((Q$6-$G$3)&lt;1,0,IFERROR(LOOKUP(2,1/('Milho 2ª safra'!$E69:INDEX('Milho 2ª safra'!$E69:$Z69,MIN(Q$6-$G$3,22))&lt;&gt;""),'Milho 2ª safra'!$E69:INDEX('Milho 2ª safra'!$E69:$Z69,MIN(Q$6-$G$3,22))),0)))))</f>
        <v>0</v>
      </c>
      <c r="R71" s="27" t="n">
        <f aca="false">IF(COUNT('Milho 2ª safra'!$E69:$Z69)=0,0,MAX(0,IF((R$6-$E$3)&lt;1,0,IFERROR(LOOKUP(2,1/('Milho 2ª safra'!$E69:INDEX('Milho 2ª safra'!$E69:$Z69,MIN(R$6-$E$3,22))&lt;&gt;""),'Milho 2ª safra'!$E69:INDEX('Milho 2ª safra'!$E69:$Z69,MIN(R$6-$E$3,22))),0))-IF($G$2,0,IF((R$6-$G$3)&lt;1,0,IFERROR(LOOKUP(2,1/('Milho 2ª safra'!$E69:INDEX('Milho 2ª safra'!$E69:$Z69,MIN(R$6-$G$3,22))&lt;&gt;""),'Milho 2ª safra'!$E69:INDEX('Milho 2ª safra'!$E69:$Z69,MIN(R$6-$G$3,22))),0)))))</f>
        <v>0</v>
      </c>
      <c r="S71" s="27" t="n">
        <f aca="false">IF(COUNT('Milho 2ª safra'!$E69:$Z69)=0,0,MAX(0,IF((S$6-$E$3)&lt;1,0,IFERROR(LOOKUP(2,1/('Milho 2ª safra'!$E69:INDEX('Milho 2ª safra'!$E69:$Z69,MIN(S$6-$E$3,22))&lt;&gt;""),'Milho 2ª safra'!$E69:INDEX('Milho 2ª safra'!$E69:$Z69,MIN(S$6-$E$3,22))),0))-IF($G$2,0,IF((S$6-$G$3)&lt;1,0,IFERROR(LOOKUP(2,1/('Milho 2ª safra'!$E69:INDEX('Milho 2ª safra'!$E69:$Z69,MIN(S$6-$G$3,22))&lt;&gt;""),'Milho 2ª safra'!$E69:INDEX('Milho 2ª safra'!$E69:$Z69,MIN(S$6-$G$3,22))),0)))))</f>
        <v>0</v>
      </c>
      <c r="T71" s="27" t="n">
        <f aca="false">IF(COUNT('Milho 2ª safra'!$E69:$Z69)=0,0,MAX(0,IF((T$6-$E$3)&lt;1,0,IFERROR(LOOKUP(2,1/('Milho 2ª safra'!$E69:INDEX('Milho 2ª safra'!$E69:$Z69,MIN(T$6-$E$3,22))&lt;&gt;""),'Milho 2ª safra'!$E69:INDEX('Milho 2ª safra'!$E69:$Z69,MIN(T$6-$E$3,22))),0))-IF($G$2,0,IF((T$6-$G$3)&lt;1,0,IFERROR(LOOKUP(2,1/('Milho 2ª safra'!$E69:INDEX('Milho 2ª safra'!$E69:$Z69,MIN(T$6-$G$3,22))&lt;&gt;""),'Milho 2ª safra'!$E69:INDEX('Milho 2ª safra'!$E69:$Z69,MIN(T$6-$G$3,22))),0)))))</f>
        <v>0</v>
      </c>
      <c r="U71" s="27" t="n">
        <f aca="false">IF(COUNT('Milho 2ª safra'!$E69:$Z69)=0,0,MAX(0,IF((U$6-$E$3)&lt;1,0,IFERROR(LOOKUP(2,1/('Milho 2ª safra'!$E69:INDEX('Milho 2ª safra'!$E69:$Z69,MIN(U$6-$E$3,22))&lt;&gt;""),'Milho 2ª safra'!$E69:INDEX('Milho 2ª safra'!$E69:$Z69,MIN(U$6-$E$3,22))),0))-IF($G$2,0,IF((U$6-$G$3)&lt;1,0,IFERROR(LOOKUP(2,1/('Milho 2ª safra'!$E69:INDEX('Milho 2ª safra'!$E69:$Z69,MIN(U$6-$G$3,22))&lt;&gt;""),'Milho 2ª safra'!$E69:INDEX('Milho 2ª safra'!$E69:$Z69,MIN(U$6-$G$3,22))),0)))))</f>
        <v>0</v>
      </c>
      <c r="V71" s="27" t="n">
        <f aca="false">IF(COUNT('Milho 2ª safra'!$E69:$Z69)=0,0,MAX(0,IF((V$6-$E$3)&lt;1,0,IFERROR(LOOKUP(2,1/('Milho 2ª safra'!$E69:INDEX('Milho 2ª safra'!$E69:$Z69,MIN(V$6-$E$3,22))&lt;&gt;""),'Milho 2ª safra'!$E69:INDEX('Milho 2ª safra'!$E69:$Z69,MIN(V$6-$E$3,22))),0))-IF($G$2,0,IF((V$6-$G$3)&lt;1,0,IFERROR(LOOKUP(2,1/('Milho 2ª safra'!$E69:INDEX('Milho 2ª safra'!$E69:$Z69,MIN(V$6-$G$3,22))&lt;&gt;""),'Milho 2ª safra'!$E69:INDEX('Milho 2ª safra'!$E69:$Z69,MIN(V$6-$G$3,22))),0)))))</f>
        <v>0</v>
      </c>
      <c r="W71" s="27" t="n">
        <f aca="false">IF(COUNT('Milho 2ª safra'!$E69:$Z69)=0,0,MAX(0,IF((W$6-$E$3)&lt;1,0,IFERROR(LOOKUP(2,1/('Milho 2ª safra'!$E69:INDEX('Milho 2ª safra'!$E69:$Z69,MIN(W$6-$E$3,22))&lt;&gt;""),'Milho 2ª safra'!$E69:INDEX('Milho 2ª safra'!$E69:$Z69,MIN(W$6-$E$3,22))),0))-IF($G$2,0,IF((W$6-$G$3)&lt;1,0,IFERROR(LOOKUP(2,1/('Milho 2ª safra'!$E69:INDEX('Milho 2ª safra'!$E69:$Z69,MIN(W$6-$G$3,22))&lt;&gt;""),'Milho 2ª safra'!$E69:INDEX('Milho 2ª safra'!$E69:$Z69,MIN(W$6-$G$3,22))),0)))))</f>
        <v>0</v>
      </c>
      <c r="X71" s="27" t="n">
        <f aca="false">IF(COUNT('Milho 2ª safra'!$E69:$Z69)=0,0,MAX(0,IF((X$6-$E$3)&lt;1,0,IFERROR(LOOKUP(2,1/('Milho 2ª safra'!$E69:INDEX('Milho 2ª safra'!$E69:$Z69,MIN(X$6-$E$3,22))&lt;&gt;""),'Milho 2ª safra'!$E69:INDEX('Milho 2ª safra'!$E69:$Z69,MIN(X$6-$E$3,22))),0))-IF($G$2,0,IF((X$6-$G$3)&lt;1,0,IFERROR(LOOKUP(2,1/('Milho 2ª safra'!$E69:INDEX('Milho 2ª safra'!$E69:$Z69,MIN(X$6-$G$3,22))&lt;&gt;""),'Milho 2ª safra'!$E69:INDEX('Milho 2ª safra'!$E69:$Z69,MIN(X$6-$G$3,22))),0)))))</f>
        <v>0</v>
      </c>
      <c r="Y71" s="27" t="n">
        <f aca="false">IF(COUNT('Milho 2ª safra'!$E69:$Z69)=0,0,MAX(0,IF((Y$6-$E$3)&lt;1,0,IFERROR(LOOKUP(2,1/('Milho 2ª safra'!$E69:INDEX('Milho 2ª safra'!$E69:$Z69,MIN(Y$6-$E$3,22))&lt;&gt;""),'Milho 2ª safra'!$E69:INDEX('Milho 2ª safra'!$E69:$Z69,MIN(Y$6-$E$3,22))),0))-IF($G$2,0,IF((Y$6-$G$3)&lt;1,0,IFERROR(LOOKUP(2,1/('Milho 2ª safra'!$E69:INDEX('Milho 2ª safra'!$E69:$Z69,MIN(Y$6-$G$3,22))&lt;&gt;""),'Milho 2ª safra'!$E69:INDEX('Milho 2ª safra'!$E69:$Z69,MIN(Y$6-$G$3,22))),0)))))</f>
        <v>0</v>
      </c>
      <c r="Z71" s="27" t="n">
        <f aca="false">IF(COUNT('Milho 2ª safra'!$E69:$Z69)=0,0,MAX(0,IF((Z$6-$E$3)&lt;1,0,IFERROR(LOOKUP(2,1/('Milho 2ª safra'!$E69:INDEX('Milho 2ª safra'!$E69:$Z69,MIN(Z$6-$E$3,22))&lt;&gt;""),'Milho 2ª safra'!$E69:INDEX('Milho 2ª safra'!$E69:$Z69,MIN(Z$6-$E$3,22))),0))-IF($G$2,0,IF((Z$6-$G$3)&lt;1,0,IFERROR(LOOKUP(2,1/('Milho 2ª safra'!$E69:INDEX('Milho 2ª safra'!$E69:$Z69,MIN(Z$6-$G$3,22))&lt;&gt;""),'Milho 2ª safra'!$E69:INDEX('Milho 2ª safra'!$E69:$Z69,MIN(Z$6-$G$3,22))),0)))))</f>
        <v>0</v>
      </c>
      <c r="AA71" s="27" t="n">
        <f aca="false">IF(COUNT('Milho 2ª safra'!$E69:$Z69)=0,0,MAX(0,IF((AA$6-$E$3)&lt;1,0,IFERROR(LOOKUP(2,1/('Milho 2ª safra'!$E69:INDEX('Milho 2ª safra'!$E69:$Z69,MIN(AA$6-$E$3,22))&lt;&gt;""),'Milho 2ª safra'!$E69:INDEX('Milho 2ª safra'!$E69:$Z69,MIN(AA$6-$E$3,22))),0))-IF($G$2,0,IF((AA$6-$G$3)&lt;1,0,IFERROR(LOOKUP(2,1/('Milho 2ª safra'!$E69:INDEX('Milho 2ª safra'!$E69:$Z69,MIN(AA$6-$G$3,22))&lt;&gt;""),'Milho 2ª safra'!$E69:INDEX('Milho 2ª safra'!$E69:$Z69,MIN(AA$6-$G$3,22))),0)))))</f>
        <v>0</v>
      </c>
      <c r="AB71" s="27" t="n">
        <f aca="false">IF(COUNT('Milho 2ª safra'!$E69:$Z69)=0,0,MAX(0,IF((AB$6-$E$3)&lt;1,0,IFERROR(LOOKUP(2,1/('Milho 2ª safra'!$E69:INDEX('Milho 2ª safra'!$E69:$Z69,MIN(AB$6-$E$3,22))&lt;&gt;""),'Milho 2ª safra'!$E69:INDEX('Milho 2ª safra'!$E69:$Z69,MIN(AB$6-$E$3,22))),0))-IF($G$2,0,IF((AB$6-$G$3)&lt;1,0,IFERROR(LOOKUP(2,1/('Milho 2ª safra'!$E69:INDEX('Milho 2ª safra'!$E69:$Z69,MIN(AB$6-$G$3,22))&lt;&gt;""),'Milho 2ª safra'!$E69:INDEX('Milho 2ª safra'!$E69:$Z69,MIN(AB$6-$G$3,22))),0)))))</f>
        <v>0</v>
      </c>
      <c r="AC71" s="27" t="n">
        <f aca="false">IF(COUNT('Milho 2ª safra'!$E69:$Z69)=0,0,MAX(0,IF((AC$6-$E$3)&lt;1,0,IFERROR(LOOKUP(2,1/('Milho 2ª safra'!$E69:INDEX('Milho 2ª safra'!$E69:$Z69,MIN(AC$6-$E$3,22))&lt;&gt;""),'Milho 2ª safra'!$E69:INDEX('Milho 2ª safra'!$E69:$Z69,MIN(AC$6-$E$3,22))),0))-IF($G$2,0,IF((AC$6-$G$3)&lt;1,0,IFERROR(LOOKUP(2,1/('Milho 2ª safra'!$E69:INDEX('Milho 2ª safra'!$E69:$Z69,MIN(AC$6-$G$3,22))&lt;&gt;""),'Milho 2ª safra'!$E69:INDEX('Milho 2ª safra'!$E69:$Z69,MIN(AC$6-$G$3,22))),0)))))</f>
        <v>0</v>
      </c>
      <c r="AD71" s="27" t="n">
        <f aca="false">IF(COUNT('Milho 2ª safra'!$E69:$Z69)=0,0,MAX(0,IF((AD$6-$E$3)&lt;1,0,IFERROR(LOOKUP(2,1/('Milho 2ª safra'!$E69:INDEX('Milho 2ª safra'!$E69:$Z69,MIN(AD$6-$E$3,22))&lt;&gt;""),'Milho 2ª safra'!$E69:INDEX('Milho 2ª safra'!$E69:$Z69,MIN(AD$6-$E$3,22))),0))-IF($G$2,0,IF((AD$6-$G$3)&lt;1,0,IFERROR(LOOKUP(2,1/('Milho 2ª safra'!$E69:INDEX('Milho 2ª safra'!$E69:$Z69,MIN(AD$6-$G$3,22))&lt;&gt;""),'Milho 2ª safra'!$E69:INDEX('Milho 2ª safra'!$E69:$Z69,MIN(AD$6-$G$3,22))),0)))))</f>
        <v>0</v>
      </c>
      <c r="AE71" s="27" t="n">
        <f aca="false">IF(COUNT('Milho 2ª safra'!$E69:$Z69)=0,0,MAX(0,IF((AE$6-$E$3)&lt;1,0,IFERROR(LOOKUP(2,1/('Milho 2ª safra'!$E69:INDEX('Milho 2ª safra'!$E69:$Z69,MIN(AE$6-$E$3,22))&lt;&gt;""),'Milho 2ª safra'!$E69:INDEX('Milho 2ª safra'!$E69:$Z69,MIN(AE$6-$E$3,22))),0))-IF($G$2,0,IF((AE$6-$G$3)&lt;1,0,IFERROR(LOOKUP(2,1/('Milho 2ª safra'!$E69:INDEX('Milho 2ª safra'!$E69:$Z69,MIN(AE$6-$G$3,22))&lt;&gt;""),'Milho 2ª safra'!$E69:INDEX('Milho 2ª safra'!$E69:$Z69,MIN(AE$6-$G$3,22))),0)))))</f>
        <v>0</v>
      </c>
      <c r="AF71" s="27" t="n">
        <f aca="false">IF(COUNT('Milho 2ª safra'!$E69:$Z69)=0,0,MAX(0,IF((AF$6-$E$3)&lt;1,0,IFERROR(LOOKUP(2,1/('Milho 2ª safra'!$E69:INDEX('Milho 2ª safra'!$E69:$Z69,MIN(AF$6-$E$3,22))&lt;&gt;""),'Milho 2ª safra'!$E69:INDEX('Milho 2ª safra'!$E69:$Z69,MIN(AF$6-$E$3,22))),0))-IF($G$2,0,IF((AF$6-$G$3)&lt;1,0,IFERROR(LOOKUP(2,1/('Milho 2ª safra'!$E69:INDEX('Milho 2ª safra'!$E69:$Z69,MIN(AF$6-$G$3,22))&lt;&gt;""),'Milho 2ª safra'!$E69:INDEX('Milho 2ª safra'!$E69:$Z69,MIN(AF$6-$G$3,22))),0)))))</f>
        <v>0</v>
      </c>
      <c r="AG71" s="27" t="n">
        <f aca="false">IF(COUNT('Milho 2ª safra'!$E69:$Z69)=0,0,MAX(0,IF((AG$6-$E$3)&lt;1,0,IFERROR(LOOKUP(2,1/('Milho 2ª safra'!$E69:INDEX('Milho 2ª safra'!$E69:$Z69,MIN(AG$6-$E$3,22))&lt;&gt;""),'Milho 2ª safra'!$E69:INDEX('Milho 2ª safra'!$E69:$Z69,MIN(AG$6-$E$3,22))),0))-IF($G$2,0,IF((AG$6-$G$3)&lt;1,0,IFERROR(LOOKUP(2,1/('Milho 2ª safra'!$E69:INDEX('Milho 2ª safra'!$E69:$Z69,MIN(AG$6-$G$3,22))&lt;&gt;""),'Milho 2ª safra'!$E69:INDEX('Milho 2ª safra'!$E69:$Z69,MIN(AG$6-$G$3,22))),0)))))</f>
        <v>0</v>
      </c>
      <c r="AH71" s="27" t="n">
        <f aca="false">IF(COUNT('Milho 2ª safra'!$E69:$Z69)=0,0,MAX(0,IF((AH$6-$E$3)&lt;1,0,IFERROR(LOOKUP(2,1/('Milho 2ª safra'!$E69:INDEX('Milho 2ª safra'!$E69:$Z69,MIN(AH$6-$E$3,22))&lt;&gt;""),'Milho 2ª safra'!$E69:INDEX('Milho 2ª safra'!$E69:$Z69,MIN(AH$6-$E$3,22))),0))-IF($G$2,0,IF((AH$6-$G$3)&lt;1,0,IFERROR(LOOKUP(2,1/('Milho 2ª safra'!$E69:INDEX('Milho 2ª safra'!$E69:$Z69,MIN(AH$6-$G$3,22))&lt;&gt;""),'Milho 2ª safra'!$E69:INDEX('Milho 2ª safra'!$E69:$Z69,MIN(AH$6-$G$3,22))),0)))))</f>
        <v>0</v>
      </c>
      <c r="AI71" s="27" t="n">
        <f aca="false">IF(COUNT('Milho 2ª safra'!$E69:$Z69)=0,0,MAX(0,IF((AI$6-$E$3)&lt;1,0,IFERROR(LOOKUP(2,1/('Milho 2ª safra'!$E69:INDEX('Milho 2ª safra'!$E69:$Z69,MIN(AI$6-$E$3,22))&lt;&gt;""),'Milho 2ª safra'!$E69:INDEX('Milho 2ª safra'!$E69:$Z69,MIN(AI$6-$E$3,22))),0))-IF($G$2,0,IF((AI$6-$G$3)&lt;1,0,IFERROR(LOOKUP(2,1/('Milho 2ª safra'!$E69:INDEX('Milho 2ª safra'!$E69:$Z69,MIN(AI$6-$G$3,22))&lt;&gt;""),'Milho 2ª safra'!$E69:INDEX('Milho 2ª safra'!$E69:$Z69,MIN(AI$6-$G$3,22))),0)))))</f>
        <v>0</v>
      </c>
      <c r="AJ71" s="27" t="n">
        <f aca="false">IF(COUNT('Milho 2ª safra'!$E69:$Z69)=0,0,MAX(0,IF((AJ$6-$E$3)&lt;1,0,IFERROR(LOOKUP(2,1/('Milho 2ª safra'!$E69:INDEX('Milho 2ª safra'!$E69:$Z69,MIN(AJ$6-$E$3,22))&lt;&gt;""),'Milho 2ª safra'!$E69:INDEX('Milho 2ª safra'!$E69:$Z69,MIN(AJ$6-$E$3,22))),0))-IF($G$2,0,IF((AJ$6-$G$3)&lt;1,0,IFERROR(LOOKUP(2,1/('Milho 2ª safra'!$E69:INDEX('Milho 2ª safra'!$E69:$Z69,MIN(AJ$6-$G$3,22))&lt;&gt;""),'Milho 2ª safra'!$E69:INDEX('Milho 2ª safra'!$E69:$Z69,MIN(AJ$6-$G$3,22))),0)))))</f>
        <v>0</v>
      </c>
      <c r="AK71" s="27" t="n">
        <f aca="false">IF(COUNT('Milho 2ª safra'!$E69:$Z69)=0,0,MAX(0,IF((AK$6-$E$3)&lt;1,0,IFERROR(LOOKUP(2,1/('Milho 2ª safra'!$E69:INDEX('Milho 2ª safra'!$E69:$Z69,MIN(AK$6-$E$3,22))&lt;&gt;""),'Milho 2ª safra'!$E69:INDEX('Milho 2ª safra'!$E69:$Z69,MIN(AK$6-$E$3,22))),0))-IF($G$2,0,IF((AK$6-$G$3)&lt;1,0,IFERROR(LOOKUP(2,1/('Milho 2ª safra'!$E69:INDEX('Milho 2ª safra'!$E69:$Z69,MIN(AK$6-$G$3,22))&lt;&gt;""),'Milho 2ª safra'!$E69:INDEX('Milho 2ª safra'!$E69:$Z69,MIN(AK$6-$G$3,22))),0)))))</f>
        <v>0</v>
      </c>
      <c r="AL71" s="27" t="n">
        <f aca="false">IF(COUNT('Milho 2ª safra'!$E69:$Z69)=0,0,MAX(0,IF((AL$6-$E$3)&lt;1,0,IFERROR(LOOKUP(2,1/('Milho 2ª safra'!$E69:INDEX('Milho 2ª safra'!$E69:$Z69,MIN(AL$6-$E$3,22))&lt;&gt;""),'Milho 2ª safra'!$E69:INDEX('Milho 2ª safra'!$E69:$Z69,MIN(AL$6-$E$3,22))),0))-IF($G$2,0,IF((AL$6-$G$3)&lt;1,0,IFERROR(LOOKUP(2,1/('Milho 2ª safra'!$E69:INDEX('Milho 2ª safra'!$E69:$Z69,MIN(AL$6-$G$3,22))&lt;&gt;""),'Milho 2ª safra'!$E69:INDEX('Milho 2ª safra'!$E69:$Z69,MIN(AL$6-$G$3,22))),0)))))</f>
        <v>0</v>
      </c>
      <c r="AM71" s="27" t="n">
        <f aca="false">IF(COUNT('Milho 2ª safra'!$E69:$Z69)=0,0,MAX(0,IF((AM$6-$E$3)&lt;1,0,IFERROR(LOOKUP(2,1/('Milho 2ª safra'!$E69:INDEX('Milho 2ª safra'!$E69:$Z69,MIN(AM$6-$E$3,22))&lt;&gt;""),'Milho 2ª safra'!$E69:INDEX('Milho 2ª safra'!$E69:$Z69,MIN(AM$6-$E$3,22))),0))-IF($G$2,0,IF((AM$6-$G$3)&lt;1,0,IFERROR(LOOKUP(2,1/('Milho 2ª safra'!$E69:INDEX('Milho 2ª safra'!$E69:$Z69,MIN(AM$6-$G$3,22))&lt;&gt;""),'Milho 2ª safra'!$E69:INDEX('Milho 2ª safra'!$E69:$Z69,MIN(AM$6-$G$3,22))),0)))))</f>
        <v>0</v>
      </c>
      <c r="AN71" s="27" t="n">
        <f aca="false">IF(COUNT('Milho 2ª safra'!$E69:$Z69)=0,0,MAX(0,IF((AN$6-$E$3)&lt;1,0,IFERROR(LOOKUP(2,1/('Milho 2ª safra'!$E69:INDEX('Milho 2ª safra'!$E69:$Z69,MIN(AN$6-$E$3,22))&lt;&gt;""),'Milho 2ª safra'!$E69:INDEX('Milho 2ª safra'!$E69:$Z69,MIN(AN$6-$E$3,22))),0))-IF($G$2,0,IF((AN$6-$G$3)&lt;1,0,IFERROR(LOOKUP(2,1/('Milho 2ª safra'!$E69:INDEX('Milho 2ª safra'!$E69:$Z69,MIN(AN$6-$G$3,22))&lt;&gt;""),'Milho 2ª safra'!$E69:INDEX('Milho 2ª safra'!$E69:$Z69,MIN(AN$6-$G$3,22))),0)))))</f>
        <v>0</v>
      </c>
      <c r="AO71" s="27" t="n">
        <f aca="false">IF(COUNT('Milho 2ª safra'!$E69:$Z69)=0,0,MAX(0,IF((AO$6-$E$3)&lt;1,0,IFERROR(LOOKUP(2,1/('Milho 2ª safra'!$E69:INDEX('Milho 2ª safra'!$E69:$Z69,MIN(AO$6-$E$3,22))&lt;&gt;""),'Milho 2ª safra'!$E69:INDEX('Milho 2ª safra'!$E69:$Z69,MIN(AO$6-$E$3,22))),0))-IF($G$2,0,IF((AO$6-$G$3)&lt;1,0,IFERROR(LOOKUP(2,1/('Milho 2ª safra'!$E69:INDEX('Milho 2ª safra'!$E69:$Z69,MIN(AO$6-$G$3,22))&lt;&gt;""),'Milho 2ª safra'!$E69:INDEX('Milho 2ª safra'!$E69:$Z69,MIN(AO$6-$G$3,22))),0)))))</f>
        <v>0</v>
      </c>
      <c r="AP71" s="27" t="n">
        <f aca="false">IF(COUNT('Milho 2ª safra'!$E69:$Z69)=0,0,MAX(0,IF((AP$6-$E$3)&lt;1,0,IFERROR(LOOKUP(2,1/('Milho 2ª safra'!$E69:INDEX('Milho 2ª safra'!$E69:$Z69,MIN(AP$6-$E$3,22))&lt;&gt;""),'Milho 2ª safra'!$E69:INDEX('Milho 2ª safra'!$E69:$Z69,MIN(AP$6-$E$3,22))),0))-IF($G$2,0,IF((AP$6-$G$3)&lt;1,0,IFERROR(LOOKUP(2,1/('Milho 2ª safra'!$E69:INDEX('Milho 2ª safra'!$E69:$Z69,MIN(AP$6-$G$3,22))&lt;&gt;""),'Milho 2ª safra'!$E69:INDEX('Milho 2ª safra'!$E69:$Z69,MIN(AP$6-$G$3,22))),0)))))</f>
        <v>0</v>
      </c>
      <c r="AQ71" s="27" t="n">
        <f aca="false">IF(COUNT('Milho 2ª safra'!$E69:$Z69)=0,0,MAX(0,IF((AQ$6-$E$3)&lt;1,0,IFERROR(LOOKUP(2,1/('Milho 2ª safra'!$E69:INDEX('Milho 2ª safra'!$E69:$Z69,MIN(AQ$6-$E$3,22))&lt;&gt;""),'Milho 2ª safra'!$E69:INDEX('Milho 2ª safra'!$E69:$Z69,MIN(AQ$6-$E$3,22))),0))-IF($G$2,0,IF((AQ$6-$G$3)&lt;1,0,IFERROR(LOOKUP(2,1/('Milho 2ª safra'!$E69:INDEX('Milho 2ª safra'!$E69:$Z69,MIN(AQ$6-$G$3,22))&lt;&gt;""),'Milho 2ª safra'!$E69:INDEX('Milho 2ª safra'!$E69:$Z69,MIN(AQ$6-$G$3,22))),0)))))</f>
        <v>0</v>
      </c>
      <c r="AR71" s="27" t="n">
        <f aca="false">IF(COUNT('Milho 2ª safra'!$E69:$Z69)=0,0,MAX(0,IF((AR$6-$E$3)&lt;1,0,IFERROR(LOOKUP(2,1/('Milho 2ª safra'!$E69:INDEX('Milho 2ª safra'!$E69:$Z69,MIN(AR$6-$E$3,22))&lt;&gt;""),'Milho 2ª safra'!$E69:INDEX('Milho 2ª safra'!$E69:$Z69,MIN(AR$6-$E$3,22))),0))-IF($G$2,0,IF((AR$6-$G$3)&lt;1,0,IFERROR(LOOKUP(2,1/('Milho 2ª safra'!$E69:INDEX('Milho 2ª safra'!$E69:$Z69,MIN(AR$6-$G$3,22))&lt;&gt;""),'Milho 2ª safra'!$E69:INDEX('Milho 2ª safra'!$E69:$Z69,MIN(AR$6-$G$3,22))),0)))))</f>
        <v>0</v>
      </c>
      <c r="AS71" s="27" t="n">
        <f aca="false">IF(COUNT('Milho 2ª safra'!$E69:$Z69)=0,0,MAX(0,IF((AS$6-$E$3)&lt;1,0,IFERROR(LOOKUP(2,1/('Milho 2ª safra'!$E69:INDEX('Milho 2ª safra'!$E69:$Z69,MIN(AS$6-$E$3,22))&lt;&gt;""),'Milho 2ª safra'!$E69:INDEX('Milho 2ª safra'!$E69:$Z69,MIN(AS$6-$E$3,22))),0))-IF($G$2,0,IF((AS$6-$G$3)&lt;1,0,IFERROR(LOOKUP(2,1/('Milho 2ª safra'!$E69:INDEX('Milho 2ª safra'!$E69:$Z69,MIN(AS$6-$G$3,22))&lt;&gt;""),'Milho 2ª safra'!$E69:INDEX('Milho 2ª safra'!$E69:$Z69,MIN(AS$6-$G$3,22))),0)))))</f>
        <v>0</v>
      </c>
      <c r="AT71" s="27" t="n">
        <f aca="false">IF(COUNT('Milho 2ª safra'!$E69:$Z69)=0,0,MAX(0,IF((AT$6-$E$3)&lt;1,0,IFERROR(LOOKUP(2,1/('Milho 2ª safra'!$E69:INDEX('Milho 2ª safra'!$E69:$Z69,MIN(AT$6-$E$3,22))&lt;&gt;""),'Milho 2ª safra'!$E69:INDEX('Milho 2ª safra'!$E69:$Z69,MIN(AT$6-$E$3,22))),0))-IF($G$2,0,IF((AT$6-$G$3)&lt;1,0,IFERROR(LOOKUP(2,1/('Milho 2ª safra'!$E69:INDEX('Milho 2ª safra'!$E69:$Z69,MIN(AT$6-$G$3,22))&lt;&gt;""),'Milho 2ª safra'!$E69:INDEX('Milho 2ª safra'!$E69:$Z69,MIN(AT$6-$G$3,22))),0)))))</f>
        <v>0</v>
      </c>
      <c r="AU71" s="27" t="n">
        <f aca="false">IF(COUNT('Milho 2ª safra'!$E69:$Z69)=0,0,MAX(0,IF((AU$6-$E$3)&lt;1,0,IFERROR(LOOKUP(2,1/('Milho 2ª safra'!$E69:INDEX('Milho 2ª safra'!$E69:$Z69,MIN(AU$6-$E$3,22))&lt;&gt;""),'Milho 2ª safra'!$E69:INDEX('Milho 2ª safra'!$E69:$Z69,MIN(AU$6-$E$3,22))),0))-IF($G$2,0,IF((AU$6-$G$3)&lt;1,0,IFERROR(LOOKUP(2,1/('Milho 2ª safra'!$E69:INDEX('Milho 2ª safra'!$E69:$Z69,MIN(AU$6-$G$3,22))&lt;&gt;""),'Milho 2ª safra'!$E69:INDEX('Milho 2ª safra'!$E69:$Z69,MIN(AU$6-$G$3,22))),0)))))</f>
        <v>0</v>
      </c>
      <c r="AV71" s="27" t="n">
        <f aca="false">IF(COUNT('Milho 2ª safra'!$E69:$Z69)=0,0,MAX(0,IF((AV$6-$E$3)&lt;1,0,IFERROR(LOOKUP(2,1/('Milho 2ª safra'!$E69:INDEX('Milho 2ª safra'!$E69:$Z69,MIN(AV$6-$E$3,22))&lt;&gt;""),'Milho 2ª safra'!$E69:INDEX('Milho 2ª safra'!$E69:$Z69,MIN(AV$6-$E$3,22))),0))-IF($G$2,0,IF((AV$6-$G$3)&lt;1,0,IFERROR(LOOKUP(2,1/('Milho 2ª safra'!$E69:INDEX('Milho 2ª safra'!$E69:$Z69,MIN(AV$6-$G$3,22))&lt;&gt;""),'Milho 2ª safra'!$E69:INDEX('Milho 2ª safra'!$E69:$Z69,MIN(AV$6-$G$3,22))),0)))))</f>
        <v>0</v>
      </c>
      <c r="AW71" s="27" t="n">
        <f aca="false">IF(COUNT('Milho 2ª safra'!$E69:$Z69)=0,0,MAX(0,IF((AW$6-$E$3)&lt;1,0,IFERROR(LOOKUP(2,1/('Milho 2ª safra'!$E69:INDEX('Milho 2ª safra'!$E69:$Z69,MIN(AW$6-$E$3,22))&lt;&gt;""),'Milho 2ª safra'!$E69:INDEX('Milho 2ª safra'!$E69:$Z69,MIN(AW$6-$E$3,22))),0))-IF($G$2,0,IF((AW$6-$G$3)&lt;1,0,IFERROR(LOOKUP(2,1/('Milho 2ª safra'!$E69:INDEX('Milho 2ª safra'!$E69:$Z69,MIN(AW$6-$G$3,22))&lt;&gt;""),'Milho 2ª safra'!$E69:INDEX('Milho 2ª safra'!$E69:$Z69,MIN(AW$6-$G$3,22))),0)))))</f>
        <v>0</v>
      </c>
      <c r="AX71" s="27" t="n">
        <f aca="false">IF(COUNT('Milho 2ª safra'!$E69:$Z69)=0,0,MAX(0,IF((AX$6-$E$3)&lt;1,0,IFERROR(LOOKUP(2,1/('Milho 2ª safra'!$E69:INDEX('Milho 2ª safra'!$E69:$Z69,MIN(AX$6-$E$3,22))&lt;&gt;""),'Milho 2ª safra'!$E69:INDEX('Milho 2ª safra'!$E69:$Z69,MIN(AX$6-$E$3,22))),0))-IF($G$2,0,IF((AX$6-$G$3)&lt;1,0,IFERROR(LOOKUP(2,1/('Milho 2ª safra'!$E69:INDEX('Milho 2ª safra'!$E69:$Z69,MIN(AX$6-$G$3,22))&lt;&gt;""),'Milho 2ª safra'!$E69:INDEX('Milho 2ª safra'!$E69:$Z69,MIN(AX$6-$G$3,22))),0)))))</f>
        <v>0</v>
      </c>
      <c r="AY71" s="27" t="n">
        <f aca="false">IF(COUNT('Milho 2ª safra'!$E69:$Z69)=0,0,MAX(0,IF((AY$6-$E$3)&lt;1,0,IFERROR(LOOKUP(2,1/('Milho 2ª safra'!$E69:INDEX('Milho 2ª safra'!$E69:$Z69,MIN(AY$6-$E$3,22))&lt;&gt;""),'Milho 2ª safra'!$E69:INDEX('Milho 2ª safra'!$E69:$Z69,MIN(AY$6-$E$3,22))),0))-IF($G$2,0,IF((AY$6-$G$3)&lt;1,0,IFERROR(LOOKUP(2,1/('Milho 2ª safra'!$E69:INDEX('Milho 2ª safra'!$E69:$Z69,MIN(AY$6-$G$3,22))&lt;&gt;""),'Milho 2ª safra'!$E69:INDEX('Milho 2ª safra'!$E69:$Z69,MIN(AY$6-$G$3,22))),0)))))</f>
        <v>0</v>
      </c>
      <c r="AZ71" s="27" t="n">
        <f aca="false">IF(COUNT('Milho 2ª safra'!$E69:$Z69)=0,0,MAX(0,IF((AZ$6-$E$3)&lt;1,0,IFERROR(LOOKUP(2,1/('Milho 2ª safra'!$E69:INDEX('Milho 2ª safra'!$E69:$Z69,MIN(AZ$6-$E$3,22))&lt;&gt;""),'Milho 2ª safra'!$E69:INDEX('Milho 2ª safra'!$E69:$Z69,MIN(AZ$6-$E$3,22))),0))-IF($G$2,0,IF((AZ$6-$G$3)&lt;1,0,IFERROR(LOOKUP(2,1/('Milho 2ª safra'!$E69:INDEX('Milho 2ª safra'!$E69:$Z69,MIN(AZ$6-$G$3,22))&lt;&gt;""),'Milho 2ª safra'!$E69:INDEX('Milho 2ª safra'!$E69:$Z69,MIN(AZ$6-$G$3,22))),0)))))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IF(COUNT('Milho 2ª safra'!$E70:$Z70)&gt;0,N('Milho 2ª safra'!$D70),0)</f>
        <v>0</v>
      </c>
      <c r="E72" s="27" t="n">
        <f aca="false">IF(COUNT('Milho 2ª safra'!$E70:$Z70)=0,0,MAX(0,IF((E$6-$E$3)&lt;1,0,IFERROR(LOOKUP(2,1/('Milho 2ª safra'!$E70:INDEX('Milho 2ª safra'!$E70:$Z70,MIN(E$6-$E$3,22))&lt;&gt;""),'Milho 2ª safra'!$E70:INDEX('Milho 2ª safra'!$E70:$Z70,MIN(E$6-$E$3,22))),0))-IF($G$2,0,IF((E$6-$G$3)&lt;1,0,IFERROR(LOOKUP(2,1/('Milho 2ª safra'!$E70:INDEX('Milho 2ª safra'!$E70:$Z70,MIN(E$6-$G$3,22))&lt;&gt;""),'Milho 2ª safra'!$E70:INDEX('Milho 2ª safra'!$E70:$Z70,MIN(E$6-$G$3,22))),0)))))</f>
        <v>0</v>
      </c>
      <c r="F72" s="27" t="n">
        <f aca="false">IF(COUNT('Milho 2ª safra'!$E70:$Z70)=0,0,MAX(0,IF((F$6-$E$3)&lt;1,0,IFERROR(LOOKUP(2,1/('Milho 2ª safra'!$E70:INDEX('Milho 2ª safra'!$E70:$Z70,MIN(F$6-$E$3,22))&lt;&gt;""),'Milho 2ª safra'!$E70:INDEX('Milho 2ª safra'!$E70:$Z70,MIN(F$6-$E$3,22))),0))-IF($G$2,0,IF((F$6-$G$3)&lt;1,0,IFERROR(LOOKUP(2,1/('Milho 2ª safra'!$E70:INDEX('Milho 2ª safra'!$E70:$Z70,MIN(F$6-$G$3,22))&lt;&gt;""),'Milho 2ª safra'!$E70:INDEX('Milho 2ª safra'!$E70:$Z70,MIN(F$6-$G$3,22))),0)))))</f>
        <v>0</v>
      </c>
      <c r="G72" s="27" t="n">
        <f aca="false">IF(COUNT('Milho 2ª safra'!$E70:$Z70)=0,0,MAX(0,IF((G$6-$E$3)&lt;1,0,IFERROR(LOOKUP(2,1/('Milho 2ª safra'!$E70:INDEX('Milho 2ª safra'!$E70:$Z70,MIN(G$6-$E$3,22))&lt;&gt;""),'Milho 2ª safra'!$E70:INDEX('Milho 2ª safra'!$E70:$Z70,MIN(G$6-$E$3,22))),0))-IF($G$2,0,IF((G$6-$G$3)&lt;1,0,IFERROR(LOOKUP(2,1/('Milho 2ª safra'!$E70:INDEX('Milho 2ª safra'!$E70:$Z70,MIN(G$6-$G$3,22))&lt;&gt;""),'Milho 2ª safra'!$E70:INDEX('Milho 2ª safra'!$E70:$Z70,MIN(G$6-$G$3,22))),0)))))</f>
        <v>0</v>
      </c>
      <c r="H72" s="27" t="n">
        <f aca="false">IF(COUNT('Milho 2ª safra'!$E70:$Z70)=0,0,MAX(0,IF((H$6-$E$3)&lt;1,0,IFERROR(LOOKUP(2,1/('Milho 2ª safra'!$E70:INDEX('Milho 2ª safra'!$E70:$Z70,MIN(H$6-$E$3,22))&lt;&gt;""),'Milho 2ª safra'!$E70:INDEX('Milho 2ª safra'!$E70:$Z70,MIN(H$6-$E$3,22))),0))-IF($G$2,0,IF((H$6-$G$3)&lt;1,0,IFERROR(LOOKUP(2,1/('Milho 2ª safra'!$E70:INDEX('Milho 2ª safra'!$E70:$Z70,MIN(H$6-$G$3,22))&lt;&gt;""),'Milho 2ª safra'!$E70:INDEX('Milho 2ª safra'!$E70:$Z70,MIN(H$6-$G$3,22))),0)))))</f>
        <v>0</v>
      </c>
      <c r="I72" s="27" t="n">
        <f aca="false">IF(COUNT('Milho 2ª safra'!$E70:$Z70)=0,0,MAX(0,IF((I$6-$E$3)&lt;1,0,IFERROR(LOOKUP(2,1/('Milho 2ª safra'!$E70:INDEX('Milho 2ª safra'!$E70:$Z70,MIN(I$6-$E$3,22))&lt;&gt;""),'Milho 2ª safra'!$E70:INDEX('Milho 2ª safra'!$E70:$Z70,MIN(I$6-$E$3,22))),0))-IF($G$2,0,IF((I$6-$G$3)&lt;1,0,IFERROR(LOOKUP(2,1/('Milho 2ª safra'!$E70:INDEX('Milho 2ª safra'!$E70:$Z70,MIN(I$6-$G$3,22))&lt;&gt;""),'Milho 2ª safra'!$E70:INDEX('Milho 2ª safra'!$E70:$Z70,MIN(I$6-$G$3,22))),0)))))</f>
        <v>0</v>
      </c>
      <c r="J72" s="27" t="n">
        <f aca="false">IF(COUNT('Milho 2ª safra'!$E70:$Z70)=0,0,MAX(0,IF((J$6-$E$3)&lt;1,0,IFERROR(LOOKUP(2,1/('Milho 2ª safra'!$E70:INDEX('Milho 2ª safra'!$E70:$Z70,MIN(J$6-$E$3,22))&lt;&gt;""),'Milho 2ª safra'!$E70:INDEX('Milho 2ª safra'!$E70:$Z70,MIN(J$6-$E$3,22))),0))-IF($G$2,0,IF((J$6-$G$3)&lt;1,0,IFERROR(LOOKUP(2,1/('Milho 2ª safra'!$E70:INDEX('Milho 2ª safra'!$E70:$Z70,MIN(J$6-$G$3,22))&lt;&gt;""),'Milho 2ª safra'!$E70:INDEX('Milho 2ª safra'!$E70:$Z70,MIN(J$6-$G$3,22))),0)))))</f>
        <v>0</v>
      </c>
      <c r="K72" s="27" t="n">
        <f aca="false">IF(COUNT('Milho 2ª safra'!$E70:$Z70)=0,0,MAX(0,IF((K$6-$E$3)&lt;1,0,IFERROR(LOOKUP(2,1/('Milho 2ª safra'!$E70:INDEX('Milho 2ª safra'!$E70:$Z70,MIN(K$6-$E$3,22))&lt;&gt;""),'Milho 2ª safra'!$E70:INDEX('Milho 2ª safra'!$E70:$Z70,MIN(K$6-$E$3,22))),0))-IF($G$2,0,IF((K$6-$G$3)&lt;1,0,IFERROR(LOOKUP(2,1/('Milho 2ª safra'!$E70:INDEX('Milho 2ª safra'!$E70:$Z70,MIN(K$6-$G$3,22))&lt;&gt;""),'Milho 2ª safra'!$E70:INDEX('Milho 2ª safra'!$E70:$Z70,MIN(K$6-$G$3,22))),0)))))</f>
        <v>0</v>
      </c>
      <c r="L72" s="27" t="n">
        <f aca="false">IF(COUNT('Milho 2ª safra'!$E70:$Z70)=0,0,MAX(0,IF((L$6-$E$3)&lt;1,0,IFERROR(LOOKUP(2,1/('Milho 2ª safra'!$E70:INDEX('Milho 2ª safra'!$E70:$Z70,MIN(L$6-$E$3,22))&lt;&gt;""),'Milho 2ª safra'!$E70:INDEX('Milho 2ª safra'!$E70:$Z70,MIN(L$6-$E$3,22))),0))-IF($G$2,0,IF((L$6-$G$3)&lt;1,0,IFERROR(LOOKUP(2,1/('Milho 2ª safra'!$E70:INDEX('Milho 2ª safra'!$E70:$Z70,MIN(L$6-$G$3,22))&lt;&gt;""),'Milho 2ª safra'!$E70:INDEX('Milho 2ª safra'!$E70:$Z70,MIN(L$6-$G$3,22))),0)))))</f>
        <v>0</v>
      </c>
      <c r="M72" s="27" t="n">
        <f aca="false">IF(COUNT('Milho 2ª safra'!$E70:$Z70)=0,0,MAX(0,IF((M$6-$E$3)&lt;1,0,IFERROR(LOOKUP(2,1/('Milho 2ª safra'!$E70:INDEX('Milho 2ª safra'!$E70:$Z70,MIN(M$6-$E$3,22))&lt;&gt;""),'Milho 2ª safra'!$E70:INDEX('Milho 2ª safra'!$E70:$Z70,MIN(M$6-$E$3,22))),0))-IF($G$2,0,IF((M$6-$G$3)&lt;1,0,IFERROR(LOOKUP(2,1/('Milho 2ª safra'!$E70:INDEX('Milho 2ª safra'!$E70:$Z70,MIN(M$6-$G$3,22))&lt;&gt;""),'Milho 2ª safra'!$E70:INDEX('Milho 2ª safra'!$E70:$Z70,MIN(M$6-$G$3,22))),0)))))</f>
        <v>0</v>
      </c>
      <c r="N72" s="27" t="n">
        <f aca="false">IF(COUNT('Milho 2ª safra'!$E70:$Z70)=0,0,MAX(0,IF((N$6-$E$3)&lt;1,0,IFERROR(LOOKUP(2,1/('Milho 2ª safra'!$E70:INDEX('Milho 2ª safra'!$E70:$Z70,MIN(N$6-$E$3,22))&lt;&gt;""),'Milho 2ª safra'!$E70:INDEX('Milho 2ª safra'!$E70:$Z70,MIN(N$6-$E$3,22))),0))-IF($G$2,0,IF((N$6-$G$3)&lt;1,0,IFERROR(LOOKUP(2,1/('Milho 2ª safra'!$E70:INDEX('Milho 2ª safra'!$E70:$Z70,MIN(N$6-$G$3,22))&lt;&gt;""),'Milho 2ª safra'!$E70:INDEX('Milho 2ª safra'!$E70:$Z70,MIN(N$6-$G$3,22))),0)))))</f>
        <v>0</v>
      </c>
      <c r="O72" s="27" t="n">
        <f aca="false">IF(COUNT('Milho 2ª safra'!$E70:$Z70)=0,0,MAX(0,IF((O$6-$E$3)&lt;1,0,IFERROR(LOOKUP(2,1/('Milho 2ª safra'!$E70:INDEX('Milho 2ª safra'!$E70:$Z70,MIN(O$6-$E$3,22))&lt;&gt;""),'Milho 2ª safra'!$E70:INDEX('Milho 2ª safra'!$E70:$Z70,MIN(O$6-$E$3,22))),0))-IF($G$2,0,IF((O$6-$G$3)&lt;1,0,IFERROR(LOOKUP(2,1/('Milho 2ª safra'!$E70:INDEX('Milho 2ª safra'!$E70:$Z70,MIN(O$6-$G$3,22))&lt;&gt;""),'Milho 2ª safra'!$E70:INDEX('Milho 2ª safra'!$E70:$Z70,MIN(O$6-$G$3,22))),0)))))</f>
        <v>0</v>
      </c>
      <c r="P72" s="27" t="n">
        <f aca="false">IF(COUNT('Milho 2ª safra'!$E70:$Z70)=0,0,MAX(0,IF((P$6-$E$3)&lt;1,0,IFERROR(LOOKUP(2,1/('Milho 2ª safra'!$E70:INDEX('Milho 2ª safra'!$E70:$Z70,MIN(P$6-$E$3,22))&lt;&gt;""),'Milho 2ª safra'!$E70:INDEX('Milho 2ª safra'!$E70:$Z70,MIN(P$6-$E$3,22))),0))-IF($G$2,0,IF((P$6-$G$3)&lt;1,0,IFERROR(LOOKUP(2,1/('Milho 2ª safra'!$E70:INDEX('Milho 2ª safra'!$E70:$Z70,MIN(P$6-$G$3,22))&lt;&gt;""),'Milho 2ª safra'!$E70:INDEX('Milho 2ª safra'!$E70:$Z70,MIN(P$6-$G$3,22))),0)))))</f>
        <v>0</v>
      </c>
      <c r="Q72" s="27" t="n">
        <f aca="false">IF(COUNT('Milho 2ª safra'!$E70:$Z70)=0,0,MAX(0,IF((Q$6-$E$3)&lt;1,0,IFERROR(LOOKUP(2,1/('Milho 2ª safra'!$E70:INDEX('Milho 2ª safra'!$E70:$Z70,MIN(Q$6-$E$3,22))&lt;&gt;""),'Milho 2ª safra'!$E70:INDEX('Milho 2ª safra'!$E70:$Z70,MIN(Q$6-$E$3,22))),0))-IF($G$2,0,IF((Q$6-$G$3)&lt;1,0,IFERROR(LOOKUP(2,1/('Milho 2ª safra'!$E70:INDEX('Milho 2ª safra'!$E70:$Z70,MIN(Q$6-$G$3,22))&lt;&gt;""),'Milho 2ª safra'!$E70:INDEX('Milho 2ª safra'!$E70:$Z70,MIN(Q$6-$G$3,22))),0)))))</f>
        <v>0</v>
      </c>
      <c r="R72" s="27" t="n">
        <f aca="false">IF(COUNT('Milho 2ª safra'!$E70:$Z70)=0,0,MAX(0,IF((R$6-$E$3)&lt;1,0,IFERROR(LOOKUP(2,1/('Milho 2ª safra'!$E70:INDEX('Milho 2ª safra'!$E70:$Z70,MIN(R$6-$E$3,22))&lt;&gt;""),'Milho 2ª safra'!$E70:INDEX('Milho 2ª safra'!$E70:$Z70,MIN(R$6-$E$3,22))),0))-IF($G$2,0,IF((R$6-$G$3)&lt;1,0,IFERROR(LOOKUP(2,1/('Milho 2ª safra'!$E70:INDEX('Milho 2ª safra'!$E70:$Z70,MIN(R$6-$G$3,22))&lt;&gt;""),'Milho 2ª safra'!$E70:INDEX('Milho 2ª safra'!$E70:$Z70,MIN(R$6-$G$3,22))),0)))))</f>
        <v>0</v>
      </c>
      <c r="S72" s="27" t="n">
        <f aca="false">IF(COUNT('Milho 2ª safra'!$E70:$Z70)=0,0,MAX(0,IF((S$6-$E$3)&lt;1,0,IFERROR(LOOKUP(2,1/('Milho 2ª safra'!$E70:INDEX('Milho 2ª safra'!$E70:$Z70,MIN(S$6-$E$3,22))&lt;&gt;""),'Milho 2ª safra'!$E70:INDEX('Milho 2ª safra'!$E70:$Z70,MIN(S$6-$E$3,22))),0))-IF($G$2,0,IF((S$6-$G$3)&lt;1,0,IFERROR(LOOKUP(2,1/('Milho 2ª safra'!$E70:INDEX('Milho 2ª safra'!$E70:$Z70,MIN(S$6-$G$3,22))&lt;&gt;""),'Milho 2ª safra'!$E70:INDEX('Milho 2ª safra'!$E70:$Z70,MIN(S$6-$G$3,22))),0)))))</f>
        <v>0</v>
      </c>
      <c r="T72" s="27" t="n">
        <f aca="false">IF(COUNT('Milho 2ª safra'!$E70:$Z70)=0,0,MAX(0,IF((T$6-$E$3)&lt;1,0,IFERROR(LOOKUP(2,1/('Milho 2ª safra'!$E70:INDEX('Milho 2ª safra'!$E70:$Z70,MIN(T$6-$E$3,22))&lt;&gt;""),'Milho 2ª safra'!$E70:INDEX('Milho 2ª safra'!$E70:$Z70,MIN(T$6-$E$3,22))),0))-IF($G$2,0,IF((T$6-$G$3)&lt;1,0,IFERROR(LOOKUP(2,1/('Milho 2ª safra'!$E70:INDEX('Milho 2ª safra'!$E70:$Z70,MIN(T$6-$G$3,22))&lt;&gt;""),'Milho 2ª safra'!$E70:INDEX('Milho 2ª safra'!$E70:$Z70,MIN(T$6-$G$3,22))),0)))))</f>
        <v>0</v>
      </c>
      <c r="U72" s="27" t="n">
        <f aca="false">IF(COUNT('Milho 2ª safra'!$E70:$Z70)=0,0,MAX(0,IF((U$6-$E$3)&lt;1,0,IFERROR(LOOKUP(2,1/('Milho 2ª safra'!$E70:INDEX('Milho 2ª safra'!$E70:$Z70,MIN(U$6-$E$3,22))&lt;&gt;""),'Milho 2ª safra'!$E70:INDEX('Milho 2ª safra'!$E70:$Z70,MIN(U$6-$E$3,22))),0))-IF($G$2,0,IF((U$6-$G$3)&lt;1,0,IFERROR(LOOKUP(2,1/('Milho 2ª safra'!$E70:INDEX('Milho 2ª safra'!$E70:$Z70,MIN(U$6-$G$3,22))&lt;&gt;""),'Milho 2ª safra'!$E70:INDEX('Milho 2ª safra'!$E70:$Z70,MIN(U$6-$G$3,22))),0)))))</f>
        <v>0</v>
      </c>
      <c r="V72" s="27" t="n">
        <f aca="false">IF(COUNT('Milho 2ª safra'!$E70:$Z70)=0,0,MAX(0,IF((V$6-$E$3)&lt;1,0,IFERROR(LOOKUP(2,1/('Milho 2ª safra'!$E70:INDEX('Milho 2ª safra'!$E70:$Z70,MIN(V$6-$E$3,22))&lt;&gt;""),'Milho 2ª safra'!$E70:INDEX('Milho 2ª safra'!$E70:$Z70,MIN(V$6-$E$3,22))),0))-IF($G$2,0,IF((V$6-$G$3)&lt;1,0,IFERROR(LOOKUP(2,1/('Milho 2ª safra'!$E70:INDEX('Milho 2ª safra'!$E70:$Z70,MIN(V$6-$G$3,22))&lt;&gt;""),'Milho 2ª safra'!$E70:INDEX('Milho 2ª safra'!$E70:$Z70,MIN(V$6-$G$3,22))),0)))))</f>
        <v>0</v>
      </c>
      <c r="W72" s="27" t="n">
        <f aca="false">IF(COUNT('Milho 2ª safra'!$E70:$Z70)=0,0,MAX(0,IF((W$6-$E$3)&lt;1,0,IFERROR(LOOKUP(2,1/('Milho 2ª safra'!$E70:INDEX('Milho 2ª safra'!$E70:$Z70,MIN(W$6-$E$3,22))&lt;&gt;""),'Milho 2ª safra'!$E70:INDEX('Milho 2ª safra'!$E70:$Z70,MIN(W$6-$E$3,22))),0))-IF($G$2,0,IF((W$6-$G$3)&lt;1,0,IFERROR(LOOKUP(2,1/('Milho 2ª safra'!$E70:INDEX('Milho 2ª safra'!$E70:$Z70,MIN(W$6-$G$3,22))&lt;&gt;""),'Milho 2ª safra'!$E70:INDEX('Milho 2ª safra'!$E70:$Z70,MIN(W$6-$G$3,22))),0)))))</f>
        <v>0</v>
      </c>
      <c r="X72" s="27" t="n">
        <f aca="false">IF(COUNT('Milho 2ª safra'!$E70:$Z70)=0,0,MAX(0,IF((X$6-$E$3)&lt;1,0,IFERROR(LOOKUP(2,1/('Milho 2ª safra'!$E70:INDEX('Milho 2ª safra'!$E70:$Z70,MIN(X$6-$E$3,22))&lt;&gt;""),'Milho 2ª safra'!$E70:INDEX('Milho 2ª safra'!$E70:$Z70,MIN(X$6-$E$3,22))),0))-IF($G$2,0,IF((X$6-$G$3)&lt;1,0,IFERROR(LOOKUP(2,1/('Milho 2ª safra'!$E70:INDEX('Milho 2ª safra'!$E70:$Z70,MIN(X$6-$G$3,22))&lt;&gt;""),'Milho 2ª safra'!$E70:INDEX('Milho 2ª safra'!$E70:$Z70,MIN(X$6-$G$3,22))),0)))))</f>
        <v>0</v>
      </c>
      <c r="Y72" s="27" t="n">
        <f aca="false">IF(COUNT('Milho 2ª safra'!$E70:$Z70)=0,0,MAX(0,IF((Y$6-$E$3)&lt;1,0,IFERROR(LOOKUP(2,1/('Milho 2ª safra'!$E70:INDEX('Milho 2ª safra'!$E70:$Z70,MIN(Y$6-$E$3,22))&lt;&gt;""),'Milho 2ª safra'!$E70:INDEX('Milho 2ª safra'!$E70:$Z70,MIN(Y$6-$E$3,22))),0))-IF($G$2,0,IF((Y$6-$G$3)&lt;1,0,IFERROR(LOOKUP(2,1/('Milho 2ª safra'!$E70:INDEX('Milho 2ª safra'!$E70:$Z70,MIN(Y$6-$G$3,22))&lt;&gt;""),'Milho 2ª safra'!$E70:INDEX('Milho 2ª safra'!$E70:$Z70,MIN(Y$6-$G$3,22))),0)))))</f>
        <v>0</v>
      </c>
      <c r="Z72" s="27" t="n">
        <f aca="false">IF(COUNT('Milho 2ª safra'!$E70:$Z70)=0,0,MAX(0,IF((Z$6-$E$3)&lt;1,0,IFERROR(LOOKUP(2,1/('Milho 2ª safra'!$E70:INDEX('Milho 2ª safra'!$E70:$Z70,MIN(Z$6-$E$3,22))&lt;&gt;""),'Milho 2ª safra'!$E70:INDEX('Milho 2ª safra'!$E70:$Z70,MIN(Z$6-$E$3,22))),0))-IF($G$2,0,IF((Z$6-$G$3)&lt;1,0,IFERROR(LOOKUP(2,1/('Milho 2ª safra'!$E70:INDEX('Milho 2ª safra'!$E70:$Z70,MIN(Z$6-$G$3,22))&lt;&gt;""),'Milho 2ª safra'!$E70:INDEX('Milho 2ª safra'!$E70:$Z70,MIN(Z$6-$G$3,22))),0)))))</f>
        <v>0</v>
      </c>
      <c r="AA72" s="27" t="n">
        <f aca="false">IF(COUNT('Milho 2ª safra'!$E70:$Z70)=0,0,MAX(0,IF((AA$6-$E$3)&lt;1,0,IFERROR(LOOKUP(2,1/('Milho 2ª safra'!$E70:INDEX('Milho 2ª safra'!$E70:$Z70,MIN(AA$6-$E$3,22))&lt;&gt;""),'Milho 2ª safra'!$E70:INDEX('Milho 2ª safra'!$E70:$Z70,MIN(AA$6-$E$3,22))),0))-IF($G$2,0,IF((AA$6-$G$3)&lt;1,0,IFERROR(LOOKUP(2,1/('Milho 2ª safra'!$E70:INDEX('Milho 2ª safra'!$E70:$Z70,MIN(AA$6-$G$3,22))&lt;&gt;""),'Milho 2ª safra'!$E70:INDEX('Milho 2ª safra'!$E70:$Z70,MIN(AA$6-$G$3,22))),0)))))</f>
        <v>0</v>
      </c>
      <c r="AB72" s="27" t="n">
        <f aca="false">IF(COUNT('Milho 2ª safra'!$E70:$Z70)=0,0,MAX(0,IF((AB$6-$E$3)&lt;1,0,IFERROR(LOOKUP(2,1/('Milho 2ª safra'!$E70:INDEX('Milho 2ª safra'!$E70:$Z70,MIN(AB$6-$E$3,22))&lt;&gt;""),'Milho 2ª safra'!$E70:INDEX('Milho 2ª safra'!$E70:$Z70,MIN(AB$6-$E$3,22))),0))-IF($G$2,0,IF((AB$6-$G$3)&lt;1,0,IFERROR(LOOKUP(2,1/('Milho 2ª safra'!$E70:INDEX('Milho 2ª safra'!$E70:$Z70,MIN(AB$6-$G$3,22))&lt;&gt;""),'Milho 2ª safra'!$E70:INDEX('Milho 2ª safra'!$E70:$Z70,MIN(AB$6-$G$3,22))),0)))))</f>
        <v>0</v>
      </c>
      <c r="AC72" s="27" t="n">
        <f aca="false">IF(COUNT('Milho 2ª safra'!$E70:$Z70)=0,0,MAX(0,IF((AC$6-$E$3)&lt;1,0,IFERROR(LOOKUP(2,1/('Milho 2ª safra'!$E70:INDEX('Milho 2ª safra'!$E70:$Z70,MIN(AC$6-$E$3,22))&lt;&gt;""),'Milho 2ª safra'!$E70:INDEX('Milho 2ª safra'!$E70:$Z70,MIN(AC$6-$E$3,22))),0))-IF($G$2,0,IF((AC$6-$G$3)&lt;1,0,IFERROR(LOOKUP(2,1/('Milho 2ª safra'!$E70:INDEX('Milho 2ª safra'!$E70:$Z70,MIN(AC$6-$G$3,22))&lt;&gt;""),'Milho 2ª safra'!$E70:INDEX('Milho 2ª safra'!$E70:$Z70,MIN(AC$6-$G$3,22))),0)))))</f>
        <v>0</v>
      </c>
      <c r="AD72" s="27" t="n">
        <f aca="false">IF(COUNT('Milho 2ª safra'!$E70:$Z70)=0,0,MAX(0,IF((AD$6-$E$3)&lt;1,0,IFERROR(LOOKUP(2,1/('Milho 2ª safra'!$E70:INDEX('Milho 2ª safra'!$E70:$Z70,MIN(AD$6-$E$3,22))&lt;&gt;""),'Milho 2ª safra'!$E70:INDEX('Milho 2ª safra'!$E70:$Z70,MIN(AD$6-$E$3,22))),0))-IF($G$2,0,IF((AD$6-$G$3)&lt;1,0,IFERROR(LOOKUP(2,1/('Milho 2ª safra'!$E70:INDEX('Milho 2ª safra'!$E70:$Z70,MIN(AD$6-$G$3,22))&lt;&gt;""),'Milho 2ª safra'!$E70:INDEX('Milho 2ª safra'!$E70:$Z70,MIN(AD$6-$G$3,22))),0)))))</f>
        <v>0</v>
      </c>
      <c r="AE72" s="27" t="n">
        <f aca="false">IF(COUNT('Milho 2ª safra'!$E70:$Z70)=0,0,MAX(0,IF((AE$6-$E$3)&lt;1,0,IFERROR(LOOKUP(2,1/('Milho 2ª safra'!$E70:INDEX('Milho 2ª safra'!$E70:$Z70,MIN(AE$6-$E$3,22))&lt;&gt;""),'Milho 2ª safra'!$E70:INDEX('Milho 2ª safra'!$E70:$Z70,MIN(AE$6-$E$3,22))),0))-IF($G$2,0,IF((AE$6-$G$3)&lt;1,0,IFERROR(LOOKUP(2,1/('Milho 2ª safra'!$E70:INDEX('Milho 2ª safra'!$E70:$Z70,MIN(AE$6-$G$3,22))&lt;&gt;""),'Milho 2ª safra'!$E70:INDEX('Milho 2ª safra'!$E70:$Z70,MIN(AE$6-$G$3,22))),0)))))</f>
        <v>0</v>
      </c>
      <c r="AF72" s="27" t="n">
        <f aca="false">IF(COUNT('Milho 2ª safra'!$E70:$Z70)=0,0,MAX(0,IF((AF$6-$E$3)&lt;1,0,IFERROR(LOOKUP(2,1/('Milho 2ª safra'!$E70:INDEX('Milho 2ª safra'!$E70:$Z70,MIN(AF$6-$E$3,22))&lt;&gt;""),'Milho 2ª safra'!$E70:INDEX('Milho 2ª safra'!$E70:$Z70,MIN(AF$6-$E$3,22))),0))-IF($G$2,0,IF((AF$6-$G$3)&lt;1,0,IFERROR(LOOKUP(2,1/('Milho 2ª safra'!$E70:INDEX('Milho 2ª safra'!$E70:$Z70,MIN(AF$6-$G$3,22))&lt;&gt;""),'Milho 2ª safra'!$E70:INDEX('Milho 2ª safra'!$E70:$Z70,MIN(AF$6-$G$3,22))),0)))))</f>
        <v>0</v>
      </c>
      <c r="AG72" s="27" t="n">
        <f aca="false">IF(COUNT('Milho 2ª safra'!$E70:$Z70)=0,0,MAX(0,IF((AG$6-$E$3)&lt;1,0,IFERROR(LOOKUP(2,1/('Milho 2ª safra'!$E70:INDEX('Milho 2ª safra'!$E70:$Z70,MIN(AG$6-$E$3,22))&lt;&gt;""),'Milho 2ª safra'!$E70:INDEX('Milho 2ª safra'!$E70:$Z70,MIN(AG$6-$E$3,22))),0))-IF($G$2,0,IF((AG$6-$G$3)&lt;1,0,IFERROR(LOOKUP(2,1/('Milho 2ª safra'!$E70:INDEX('Milho 2ª safra'!$E70:$Z70,MIN(AG$6-$G$3,22))&lt;&gt;""),'Milho 2ª safra'!$E70:INDEX('Milho 2ª safra'!$E70:$Z70,MIN(AG$6-$G$3,22))),0)))))</f>
        <v>0</v>
      </c>
      <c r="AH72" s="27" t="n">
        <f aca="false">IF(COUNT('Milho 2ª safra'!$E70:$Z70)=0,0,MAX(0,IF((AH$6-$E$3)&lt;1,0,IFERROR(LOOKUP(2,1/('Milho 2ª safra'!$E70:INDEX('Milho 2ª safra'!$E70:$Z70,MIN(AH$6-$E$3,22))&lt;&gt;""),'Milho 2ª safra'!$E70:INDEX('Milho 2ª safra'!$E70:$Z70,MIN(AH$6-$E$3,22))),0))-IF($G$2,0,IF((AH$6-$G$3)&lt;1,0,IFERROR(LOOKUP(2,1/('Milho 2ª safra'!$E70:INDEX('Milho 2ª safra'!$E70:$Z70,MIN(AH$6-$G$3,22))&lt;&gt;""),'Milho 2ª safra'!$E70:INDEX('Milho 2ª safra'!$E70:$Z70,MIN(AH$6-$G$3,22))),0)))))</f>
        <v>0</v>
      </c>
      <c r="AI72" s="27" t="n">
        <f aca="false">IF(COUNT('Milho 2ª safra'!$E70:$Z70)=0,0,MAX(0,IF((AI$6-$E$3)&lt;1,0,IFERROR(LOOKUP(2,1/('Milho 2ª safra'!$E70:INDEX('Milho 2ª safra'!$E70:$Z70,MIN(AI$6-$E$3,22))&lt;&gt;""),'Milho 2ª safra'!$E70:INDEX('Milho 2ª safra'!$E70:$Z70,MIN(AI$6-$E$3,22))),0))-IF($G$2,0,IF((AI$6-$G$3)&lt;1,0,IFERROR(LOOKUP(2,1/('Milho 2ª safra'!$E70:INDEX('Milho 2ª safra'!$E70:$Z70,MIN(AI$6-$G$3,22))&lt;&gt;""),'Milho 2ª safra'!$E70:INDEX('Milho 2ª safra'!$E70:$Z70,MIN(AI$6-$G$3,22))),0)))))</f>
        <v>0</v>
      </c>
      <c r="AJ72" s="27" t="n">
        <f aca="false">IF(COUNT('Milho 2ª safra'!$E70:$Z70)=0,0,MAX(0,IF((AJ$6-$E$3)&lt;1,0,IFERROR(LOOKUP(2,1/('Milho 2ª safra'!$E70:INDEX('Milho 2ª safra'!$E70:$Z70,MIN(AJ$6-$E$3,22))&lt;&gt;""),'Milho 2ª safra'!$E70:INDEX('Milho 2ª safra'!$E70:$Z70,MIN(AJ$6-$E$3,22))),0))-IF($G$2,0,IF((AJ$6-$G$3)&lt;1,0,IFERROR(LOOKUP(2,1/('Milho 2ª safra'!$E70:INDEX('Milho 2ª safra'!$E70:$Z70,MIN(AJ$6-$G$3,22))&lt;&gt;""),'Milho 2ª safra'!$E70:INDEX('Milho 2ª safra'!$E70:$Z70,MIN(AJ$6-$G$3,22))),0)))))</f>
        <v>0</v>
      </c>
      <c r="AK72" s="27" t="n">
        <f aca="false">IF(COUNT('Milho 2ª safra'!$E70:$Z70)=0,0,MAX(0,IF((AK$6-$E$3)&lt;1,0,IFERROR(LOOKUP(2,1/('Milho 2ª safra'!$E70:INDEX('Milho 2ª safra'!$E70:$Z70,MIN(AK$6-$E$3,22))&lt;&gt;""),'Milho 2ª safra'!$E70:INDEX('Milho 2ª safra'!$E70:$Z70,MIN(AK$6-$E$3,22))),0))-IF($G$2,0,IF((AK$6-$G$3)&lt;1,0,IFERROR(LOOKUP(2,1/('Milho 2ª safra'!$E70:INDEX('Milho 2ª safra'!$E70:$Z70,MIN(AK$6-$G$3,22))&lt;&gt;""),'Milho 2ª safra'!$E70:INDEX('Milho 2ª safra'!$E70:$Z70,MIN(AK$6-$G$3,22))),0)))))</f>
        <v>0</v>
      </c>
      <c r="AL72" s="27" t="n">
        <f aca="false">IF(COUNT('Milho 2ª safra'!$E70:$Z70)=0,0,MAX(0,IF((AL$6-$E$3)&lt;1,0,IFERROR(LOOKUP(2,1/('Milho 2ª safra'!$E70:INDEX('Milho 2ª safra'!$E70:$Z70,MIN(AL$6-$E$3,22))&lt;&gt;""),'Milho 2ª safra'!$E70:INDEX('Milho 2ª safra'!$E70:$Z70,MIN(AL$6-$E$3,22))),0))-IF($G$2,0,IF((AL$6-$G$3)&lt;1,0,IFERROR(LOOKUP(2,1/('Milho 2ª safra'!$E70:INDEX('Milho 2ª safra'!$E70:$Z70,MIN(AL$6-$G$3,22))&lt;&gt;""),'Milho 2ª safra'!$E70:INDEX('Milho 2ª safra'!$E70:$Z70,MIN(AL$6-$G$3,22))),0)))))</f>
        <v>0</v>
      </c>
      <c r="AM72" s="27" t="n">
        <f aca="false">IF(COUNT('Milho 2ª safra'!$E70:$Z70)=0,0,MAX(0,IF((AM$6-$E$3)&lt;1,0,IFERROR(LOOKUP(2,1/('Milho 2ª safra'!$E70:INDEX('Milho 2ª safra'!$E70:$Z70,MIN(AM$6-$E$3,22))&lt;&gt;""),'Milho 2ª safra'!$E70:INDEX('Milho 2ª safra'!$E70:$Z70,MIN(AM$6-$E$3,22))),0))-IF($G$2,0,IF((AM$6-$G$3)&lt;1,0,IFERROR(LOOKUP(2,1/('Milho 2ª safra'!$E70:INDEX('Milho 2ª safra'!$E70:$Z70,MIN(AM$6-$G$3,22))&lt;&gt;""),'Milho 2ª safra'!$E70:INDEX('Milho 2ª safra'!$E70:$Z70,MIN(AM$6-$G$3,22))),0)))))</f>
        <v>0</v>
      </c>
      <c r="AN72" s="27" t="n">
        <f aca="false">IF(COUNT('Milho 2ª safra'!$E70:$Z70)=0,0,MAX(0,IF((AN$6-$E$3)&lt;1,0,IFERROR(LOOKUP(2,1/('Milho 2ª safra'!$E70:INDEX('Milho 2ª safra'!$E70:$Z70,MIN(AN$6-$E$3,22))&lt;&gt;""),'Milho 2ª safra'!$E70:INDEX('Milho 2ª safra'!$E70:$Z70,MIN(AN$6-$E$3,22))),0))-IF($G$2,0,IF((AN$6-$G$3)&lt;1,0,IFERROR(LOOKUP(2,1/('Milho 2ª safra'!$E70:INDEX('Milho 2ª safra'!$E70:$Z70,MIN(AN$6-$G$3,22))&lt;&gt;""),'Milho 2ª safra'!$E70:INDEX('Milho 2ª safra'!$E70:$Z70,MIN(AN$6-$G$3,22))),0)))))</f>
        <v>0</v>
      </c>
      <c r="AO72" s="27" t="n">
        <f aca="false">IF(COUNT('Milho 2ª safra'!$E70:$Z70)=0,0,MAX(0,IF((AO$6-$E$3)&lt;1,0,IFERROR(LOOKUP(2,1/('Milho 2ª safra'!$E70:INDEX('Milho 2ª safra'!$E70:$Z70,MIN(AO$6-$E$3,22))&lt;&gt;""),'Milho 2ª safra'!$E70:INDEX('Milho 2ª safra'!$E70:$Z70,MIN(AO$6-$E$3,22))),0))-IF($G$2,0,IF((AO$6-$G$3)&lt;1,0,IFERROR(LOOKUP(2,1/('Milho 2ª safra'!$E70:INDEX('Milho 2ª safra'!$E70:$Z70,MIN(AO$6-$G$3,22))&lt;&gt;""),'Milho 2ª safra'!$E70:INDEX('Milho 2ª safra'!$E70:$Z70,MIN(AO$6-$G$3,22))),0)))))</f>
        <v>0</v>
      </c>
      <c r="AP72" s="27" t="n">
        <f aca="false">IF(COUNT('Milho 2ª safra'!$E70:$Z70)=0,0,MAX(0,IF((AP$6-$E$3)&lt;1,0,IFERROR(LOOKUP(2,1/('Milho 2ª safra'!$E70:INDEX('Milho 2ª safra'!$E70:$Z70,MIN(AP$6-$E$3,22))&lt;&gt;""),'Milho 2ª safra'!$E70:INDEX('Milho 2ª safra'!$E70:$Z70,MIN(AP$6-$E$3,22))),0))-IF($G$2,0,IF((AP$6-$G$3)&lt;1,0,IFERROR(LOOKUP(2,1/('Milho 2ª safra'!$E70:INDEX('Milho 2ª safra'!$E70:$Z70,MIN(AP$6-$G$3,22))&lt;&gt;""),'Milho 2ª safra'!$E70:INDEX('Milho 2ª safra'!$E70:$Z70,MIN(AP$6-$G$3,22))),0)))))</f>
        <v>0</v>
      </c>
      <c r="AQ72" s="27" t="n">
        <f aca="false">IF(COUNT('Milho 2ª safra'!$E70:$Z70)=0,0,MAX(0,IF((AQ$6-$E$3)&lt;1,0,IFERROR(LOOKUP(2,1/('Milho 2ª safra'!$E70:INDEX('Milho 2ª safra'!$E70:$Z70,MIN(AQ$6-$E$3,22))&lt;&gt;""),'Milho 2ª safra'!$E70:INDEX('Milho 2ª safra'!$E70:$Z70,MIN(AQ$6-$E$3,22))),0))-IF($G$2,0,IF((AQ$6-$G$3)&lt;1,0,IFERROR(LOOKUP(2,1/('Milho 2ª safra'!$E70:INDEX('Milho 2ª safra'!$E70:$Z70,MIN(AQ$6-$G$3,22))&lt;&gt;""),'Milho 2ª safra'!$E70:INDEX('Milho 2ª safra'!$E70:$Z70,MIN(AQ$6-$G$3,22))),0)))))</f>
        <v>0</v>
      </c>
      <c r="AR72" s="27" t="n">
        <f aca="false">IF(COUNT('Milho 2ª safra'!$E70:$Z70)=0,0,MAX(0,IF((AR$6-$E$3)&lt;1,0,IFERROR(LOOKUP(2,1/('Milho 2ª safra'!$E70:INDEX('Milho 2ª safra'!$E70:$Z70,MIN(AR$6-$E$3,22))&lt;&gt;""),'Milho 2ª safra'!$E70:INDEX('Milho 2ª safra'!$E70:$Z70,MIN(AR$6-$E$3,22))),0))-IF($G$2,0,IF((AR$6-$G$3)&lt;1,0,IFERROR(LOOKUP(2,1/('Milho 2ª safra'!$E70:INDEX('Milho 2ª safra'!$E70:$Z70,MIN(AR$6-$G$3,22))&lt;&gt;""),'Milho 2ª safra'!$E70:INDEX('Milho 2ª safra'!$E70:$Z70,MIN(AR$6-$G$3,22))),0)))))</f>
        <v>0</v>
      </c>
      <c r="AS72" s="27" t="n">
        <f aca="false">IF(COUNT('Milho 2ª safra'!$E70:$Z70)=0,0,MAX(0,IF((AS$6-$E$3)&lt;1,0,IFERROR(LOOKUP(2,1/('Milho 2ª safra'!$E70:INDEX('Milho 2ª safra'!$E70:$Z70,MIN(AS$6-$E$3,22))&lt;&gt;""),'Milho 2ª safra'!$E70:INDEX('Milho 2ª safra'!$E70:$Z70,MIN(AS$6-$E$3,22))),0))-IF($G$2,0,IF((AS$6-$G$3)&lt;1,0,IFERROR(LOOKUP(2,1/('Milho 2ª safra'!$E70:INDEX('Milho 2ª safra'!$E70:$Z70,MIN(AS$6-$G$3,22))&lt;&gt;""),'Milho 2ª safra'!$E70:INDEX('Milho 2ª safra'!$E70:$Z70,MIN(AS$6-$G$3,22))),0)))))</f>
        <v>0</v>
      </c>
      <c r="AT72" s="27" t="n">
        <f aca="false">IF(COUNT('Milho 2ª safra'!$E70:$Z70)=0,0,MAX(0,IF((AT$6-$E$3)&lt;1,0,IFERROR(LOOKUP(2,1/('Milho 2ª safra'!$E70:INDEX('Milho 2ª safra'!$E70:$Z70,MIN(AT$6-$E$3,22))&lt;&gt;""),'Milho 2ª safra'!$E70:INDEX('Milho 2ª safra'!$E70:$Z70,MIN(AT$6-$E$3,22))),0))-IF($G$2,0,IF((AT$6-$G$3)&lt;1,0,IFERROR(LOOKUP(2,1/('Milho 2ª safra'!$E70:INDEX('Milho 2ª safra'!$E70:$Z70,MIN(AT$6-$G$3,22))&lt;&gt;""),'Milho 2ª safra'!$E70:INDEX('Milho 2ª safra'!$E70:$Z70,MIN(AT$6-$G$3,22))),0)))))</f>
        <v>0</v>
      </c>
      <c r="AU72" s="27" t="n">
        <f aca="false">IF(COUNT('Milho 2ª safra'!$E70:$Z70)=0,0,MAX(0,IF((AU$6-$E$3)&lt;1,0,IFERROR(LOOKUP(2,1/('Milho 2ª safra'!$E70:INDEX('Milho 2ª safra'!$E70:$Z70,MIN(AU$6-$E$3,22))&lt;&gt;""),'Milho 2ª safra'!$E70:INDEX('Milho 2ª safra'!$E70:$Z70,MIN(AU$6-$E$3,22))),0))-IF($G$2,0,IF((AU$6-$G$3)&lt;1,0,IFERROR(LOOKUP(2,1/('Milho 2ª safra'!$E70:INDEX('Milho 2ª safra'!$E70:$Z70,MIN(AU$6-$G$3,22))&lt;&gt;""),'Milho 2ª safra'!$E70:INDEX('Milho 2ª safra'!$E70:$Z70,MIN(AU$6-$G$3,22))),0)))))</f>
        <v>0</v>
      </c>
      <c r="AV72" s="27" t="n">
        <f aca="false">IF(COUNT('Milho 2ª safra'!$E70:$Z70)=0,0,MAX(0,IF((AV$6-$E$3)&lt;1,0,IFERROR(LOOKUP(2,1/('Milho 2ª safra'!$E70:INDEX('Milho 2ª safra'!$E70:$Z70,MIN(AV$6-$E$3,22))&lt;&gt;""),'Milho 2ª safra'!$E70:INDEX('Milho 2ª safra'!$E70:$Z70,MIN(AV$6-$E$3,22))),0))-IF($G$2,0,IF((AV$6-$G$3)&lt;1,0,IFERROR(LOOKUP(2,1/('Milho 2ª safra'!$E70:INDEX('Milho 2ª safra'!$E70:$Z70,MIN(AV$6-$G$3,22))&lt;&gt;""),'Milho 2ª safra'!$E70:INDEX('Milho 2ª safra'!$E70:$Z70,MIN(AV$6-$G$3,22))),0)))))</f>
        <v>0</v>
      </c>
      <c r="AW72" s="27" t="n">
        <f aca="false">IF(COUNT('Milho 2ª safra'!$E70:$Z70)=0,0,MAX(0,IF((AW$6-$E$3)&lt;1,0,IFERROR(LOOKUP(2,1/('Milho 2ª safra'!$E70:INDEX('Milho 2ª safra'!$E70:$Z70,MIN(AW$6-$E$3,22))&lt;&gt;""),'Milho 2ª safra'!$E70:INDEX('Milho 2ª safra'!$E70:$Z70,MIN(AW$6-$E$3,22))),0))-IF($G$2,0,IF((AW$6-$G$3)&lt;1,0,IFERROR(LOOKUP(2,1/('Milho 2ª safra'!$E70:INDEX('Milho 2ª safra'!$E70:$Z70,MIN(AW$6-$G$3,22))&lt;&gt;""),'Milho 2ª safra'!$E70:INDEX('Milho 2ª safra'!$E70:$Z70,MIN(AW$6-$G$3,22))),0)))))</f>
        <v>0</v>
      </c>
      <c r="AX72" s="27" t="n">
        <f aca="false">IF(COUNT('Milho 2ª safra'!$E70:$Z70)=0,0,MAX(0,IF((AX$6-$E$3)&lt;1,0,IFERROR(LOOKUP(2,1/('Milho 2ª safra'!$E70:INDEX('Milho 2ª safra'!$E70:$Z70,MIN(AX$6-$E$3,22))&lt;&gt;""),'Milho 2ª safra'!$E70:INDEX('Milho 2ª safra'!$E70:$Z70,MIN(AX$6-$E$3,22))),0))-IF($G$2,0,IF((AX$6-$G$3)&lt;1,0,IFERROR(LOOKUP(2,1/('Milho 2ª safra'!$E70:INDEX('Milho 2ª safra'!$E70:$Z70,MIN(AX$6-$G$3,22))&lt;&gt;""),'Milho 2ª safra'!$E70:INDEX('Milho 2ª safra'!$E70:$Z70,MIN(AX$6-$G$3,22))),0)))))</f>
        <v>0</v>
      </c>
      <c r="AY72" s="27" t="n">
        <f aca="false">IF(COUNT('Milho 2ª safra'!$E70:$Z70)=0,0,MAX(0,IF((AY$6-$E$3)&lt;1,0,IFERROR(LOOKUP(2,1/('Milho 2ª safra'!$E70:INDEX('Milho 2ª safra'!$E70:$Z70,MIN(AY$6-$E$3,22))&lt;&gt;""),'Milho 2ª safra'!$E70:INDEX('Milho 2ª safra'!$E70:$Z70,MIN(AY$6-$E$3,22))),0))-IF($G$2,0,IF((AY$6-$G$3)&lt;1,0,IFERROR(LOOKUP(2,1/('Milho 2ª safra'!$E70:INDEX('Milho 2ª safra'!$E70:$Z70,MIN(AY$6-$G$3,22))&lt;&gt;""),'Milho 2ª safra'!$E70:INDEX('Milho 2ª safra'!$E70:$Z70,MIN(AY$6-$G$3,22))),0)))))</f>
        <v>0</v>
      </c>
      <c r="AZ72" s="27" t="n">
        <f aca="false">IF(COUNT('Milho 2ª safra'!$E70:$Z70)=0,0,MAX(0,IF((AZ$6-$E$3)&lt;1,0,IFERROR(LOOKUP(2,1/('Milho 2ª safra'!$E70:INDEX('Milho 2ª safra'!$E70:$Z70,MIN(AZ$6-$E$3,22))&lt;&gt;""),'Milho 2ª safra'!$E70:INDEX('Milho 2ª safra'!$E70:$Z70,MIN(AZ$6-$E$3,22))),0))-IF($G$2,0,IF((AZ$6-$G$3)&lt;1,0,IFERROR(LOOKUP(2,1/('Milho 2ª safra'!$E70:INDEX('Milho 2ª safra'!$E70:$Z70,MIN(AZ$6-$G$3,22))&lt;&gt;""),'Milho 2ª safra'!$E70:INDEX('Milho 2ª safra'!$E70:$Z70,MIN(AZ$6-$G$3,22))),0)))))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IF(COUNT('Milho 2ª safra'!$E71:$Z71)&gt;0,N('Milho 2ª safra'!$D71),0)</f>
        <v>0</v>
      </c>
      <c r="E73" s="27" t="n">
        <f aca="false">IF(COUNT('Milho 2ª safra'!$E71:$Z71)=0,0,MAX(0,IF((E$6-$E$3)&lt;1,0,IFERROR(LOOKUP(2,1/('Milho 2ª safra'!$E71:INDEX('Milho 2ª safra'!$E71:$Z71,MIN(E$6-$E$3,22))&lt;&gt;""),'Milho 2ª safra'!$E71:INDEX('Milho 2ª safra'!$E71:$Z71,MIN(E$6-$E$3,22))),0))-IF($G$2,0,IF((E$6-$G$3)&lt;1,0,IFERROR(LOOKUP(2,1/('Milho 2ª safra'!$E71:INDEX('Milho 2ª safra'!$E71:$Z71,MIN(E$6-$G$3,22))&lt;&gt;""),'Milho 2ª safra'!$E71:INDEX('Milho 2ª safra'!$E71:$Z71,MIN(E$6-$G$3,22))),0)))))</f>
        <v>0</v>
      </c>
      <c r="F73" s="27" t="n">
        <f aca="false">IF(COUNT('Milho 2ª safra'!$E71:$Z71)=0,0,MAX(0,IF((F$6-$E$3)&lt;1,0,IFERROR(LOOKUP(2,1/('Milho 2ª safra'!$E71:INDEX('Milho 2ª safra'!$E71:$Z71,MIN(F$6-$E$3,22))&lt;&gt;""),'Milho 2ª safra'!$E71:INDEX('Milho 2ª safra'!$E71:$Z71,MIN(F$6-$E$3,22))),0))-IF($G$2,0,IF((F$6-$G$3)&lt;1,0,IFERROR(LOOKUP(2,1/('Milho 2ª safra'!$E71:INDEX('Milho 2ª safra'!$E71:$Z71,MIN(F$6-$G$3,22))&lt;&gt;""),'Milho 2ª safra'!$E71:INDEX('Milho 2ª safra'!$E71:$Z71,MIN(F$6-$G$3,22))),0)))))</f>
        <v>0</v>
      </c>
      <c r="G73" s="27" t="n">
        <f aca="false">IF(COUNT('Milho 2ª safra'!$E71:$Z71)=0,0,MAX(0,IF((G$6-$E$3)&lt;1,0,IFERROR(LOOKUP(2,1/('Milho 2ª safra'!$E71:INDEX('Milho 2ª safra'!$E71:$Z71,MIN(G$6-$E$3,22))&lt;&gt;""),'Milho 2ª safra'!$E71:INDEX('Milho 2ª safra'!$E71:$Z71,MIN(G$6-$E$3,22))),0))-IF($G$2,0,IF((G$6-$G$3)&lt;1,0,IFERROR(LOOKUP(2,1/('Milho 2ª safra'!$E71:INDEX('Milho 2ª safra'!$E71:$Z71,MIN(G$6-$G$3,22))&lt;&gt;""),'Milho 2ª safra'!$E71:INDEX('Milho 2ª safra'!$E71:$Z71,MIN(G$6-$G$3,22))),0)))))</f>
        <v>0</v>
      </c>
      <c r="H73" s="27" t="n">
        <f aca="false">IF(COUNT('Milho 2ª safra'!$E71:$Z71)=0,0,MAX(0,IF((H$6-$E$3)&lt;1,0,IFERROR(LOOKUP(2,1/('Milho 2ª safra'!$E71:INDEX('Milho 2ª safra'!$E71:$Z71,MIN(H$6-$E$3,22))&lt;&gt;""),'Milho 2ª safra'!$E71:INDEX('Milho 2ª safra'!$E71:$Z71,MIN(H$6-$E$3,22))),0))-IF($G$2,0,IF((H$6-$G$3)&lt;1,0,IFERROR(LOOKUP(2,1/('Milho 2ª safra'!$E71:INDEX('Milho 2ª safra'!$E71:$Z71,MIN(H$6-$G$3,22))&lt;&gt;""),'Milho 2ª safra'!$E71:INDEX('Milho 2ª safra'!$E71:$Z71,MIN(H$6-$G$3,22))),0)))))</f>
        <v>0</v>
      </c>
      <c r="I73" s="27" t="n">
        <f aca="false">IF(COUNT('Milho 2ª safra'!$E71:$Z71)=0,0,MAX(0,IF((I$6-$E$3)&lt;1,0,IFERROR(LOOKUP(2,1/('Milho 2ª safra'!$E71:INDEX('Milho 2ª safra'!$E71:$Z71,MIN(I$6-$E$3,22))&lt;&gt;""),'Milho 2ª safra'!$E71:INDEX('Milho 2ª safra'!$E71:$Z71,MIN(I$6-$E$3,22))),0))-IF($G$2,0,IF((I$6-$G$3)&lt;1,0,IFERROR(LOOKUP(2,1/('Milho 2ª safra'!$E71:INDEX('Milho 2ª safra'!$E71:$Z71,MIN(I$6-$G$3,22))&lt;&gt;""),'Milho 2ª safra'!$E71:INDEX('Milho 2ª safra'!$E71:$Z71,MIN(I$6-$G$3,22))),0)))))</f>
        <v>0</v>
      </c>
      <c r="J73" s="27" t="n">
        <f aca="false">IF(COUNT('Milho 2ª safra'!$E71:$Z71)=0,0,MAX(0,IF((J$6-$E$3)&lt;1,0,IFERROR(LOOKUP(2,1/('Milho 2ª safra'!$E71:INDEX('Milho 2ª safra'!$E71:$Z71,MIN(J$6-$E$3,22))&lt;&gt;""),'Milho 2ª safra'!$E71:INDEX('Milho 2ª safra'!$E71:$Z71,MIN(J$6-$E$3,22))),0))-IF($G$2,0,IF((J$6-$G$3)&lt;1,0,IFERROR(LOOKUP(2,1/('Milho 2ª safra'!$E71:INDEX('Milho 2ª safra'!$E71:$Z71,MIN(J$6-$G$3,22))&lt;&gt;""),'Milho 2ª safra'!$E71:INDEX('Milho 2ª safra'!$E71:$Z71,MIN(J$6-$G$3,22))),0)))))</f>
        <v>0</v>
      </c>
      <c r="K73" s="27" t="n">
        <f aca="false">IF(COUNT('Milho 2ª safra'!$E71:$Z71)=0,0,MAX(0,IF((K$6-$E$3)&lt;1,0,IFERROR(LOOKUP(2,1/('Milho 2ª safra'!$E71:INDEX('Milho 2ª safra'!$E71:$Z71,MIN(K$6-$E$3,22))&lt;&gt;""),'Milho 2ª safra'!$E71:INDEX('Milho 2ª safra'!$E71:$Z71,MIN(K$6-$E$3,22))),0))-IF($G$2,0,IF((K$6-$G$3)&lt;1,0,IFERROR(LOOKUP(2,1/('Milho 2ª safra'!$E71:INDEX('Milho 2ª safra'!$E71:$Z71,MIN(K$6-$G$3,22))&lt;&gt;""),'Milho 2ª safra'!$E71:INDEX('Milho 2ª safra'!$E71:$Z71,MIN(K$6-$G$3,22))),0)))))</f>
        <v>0</v>
      </c>
      <c r="L73" s="27" t="n">
        <f aca="false">IF(COUNT('Milho 2ª safra'!$E71:$Z71)=0,0,MAX(0,IF((L$6-$E$3)&lt;1,0,IFERROR(LOOKUP(2,1/('Milho 2ª safra'!$E71:INDEX('Milho 2ª safra'!$E71:$Z71,MIN(L$6-$E$3,22))&lt;&gt;""),'Milho 2ª safra'!$E71:INDEX('Milho 2ª safra'!$E71:$Z71,MIN(L$6-$E$3,22))),0))-IF($G$2,0,IF((L$6-$G$3)&lt;1,0,IFERROR(LOOKUP(2,1/('Milho 2ª safra'!$E71:INDEX('Milho 2ª safra'!$E71:$Z71,MIN(L$6-$G$3,22))&lt;&gt;""),'Milho 2ª safra'!$E71:INDEX('Milho 2ª safra'!$E71:$Z71,MIN(L$6-$G$3,22))),0)))))</f>
        <v>0</v>
      </c>
      <c r="M73" s="27" t="n">
        <f aca="false">IF(COUNT('Milho 2ª safra'!$E71:$Z71)=0,0,MAX(0,IF((M$6-$E$3)&lt;1,0,IFERROR(LOOKUP(2,1/('Milho 2ª safra'!$E71:INDEX('Milho 2ª safra'!$E71:$Z71,MIN(M$6-$E$3,22))&lt;&gt;""),'Milho 2ª safra'!$E71:INDEX('Milho 2ª safra'!$E71:$Z71,MIN(M$6-$E$3,22))),0))-IF($G$2,0,IF((M$6-$G$3)&lt;1,0,IFERROR(LOOKUP(2,1/('Milho 2ª safra'!$E71:INDEX('Milho 2ª safra'!$E71:$Z71,MIN(M$6-$G$3,22))&lt;&gt;""),'Milho 2ª safra'!$E71:INDEX('Milho 2ª safra'!$E71:$Z71,MIN(M$6-$G$3,22))),0)))))</f>
        <v>0</v>
      </c>
      <c r="N73" s="27" t="n">
        <f aca="false">IF(COUNT('Milho 2ª safra'!$E71:$Z71)=0,0,MAX(0,IF((N$6-$E$3)&lt;1,0,IFERROR(LOOKUP(2,1/('Milho 2ª safra'!$E71:INDEX('Milho 2ª safra'!$E71:$Z71,MIN(N$6-$E$3,22))&lt;&gt;""),'Milho 2ª safra'!$E71:INDEX('Milho 2ª safra'!$E71:$Z71,MIN(N$6-$E$3,22))),0))-IF($G$2,0,IF((N$6-$G$3)&lt;1,0,IFERROR(LOOKUP(2,1/('Milho 2ª safra'!$E71:INDEX('Milho 2ª safra'!$E71:$Z71,MIN(N$6-$G$3,22))&lt;&gt;""),'Milho 2ª safra'!$E71:INDEX('Milho 2ª safra'!$E71:$Z71,MIN(N$6-$G$3,22))),0)))))</f>
        <v>0</v>
      </c>
      <c r="O73" s="27" t="n">
        <f aca="false">IF(COUNT('Milho 2ª safra'!$E71:$Z71)=0,0,MAX(0,IF((O$6-$E$3)&lt;1,0,IFERROR(LOOKUP(2,1/('Milho 2ª safra'!$E71:INDEX('Milho 2ª safra'!$E71:$Z71,MIN(O$6-$E$3,22))&lt;&gt;""),'Milho 2ª safra'!$E71:INDEX('Milho 2ª safra'!$E71:$Z71,MIN(O$6-$E$3,22))),0))-IF($G$2,0,IF((O$6-$G$3)&lt;1,0,IFERROR(LOOKUP(2,1/('Milho 2ª safra'!$E71:INDEX('Milho 2ª safra'!$E71:$Z71,MIN(O$6-$G$3,22))&lt;&gt;""),'Milho 2ª safra'!$E71:INDEX('Milho 2ª safra'!$E71:$Z71,MIN(O$6-$G$3,22))),0)))))</f>
        <v>0</v>
      </c>
      <c r="P73" s="27" t="n">
        <f aca="false">IF(COUNT('Milho 2ª safra'!$E71:$Z71)=0,0,MAX(0,IF((P$6-$E$3)&lt;1,0,IFERROR(LOOKUP(2,1/('Milho 2ª safra'!$E71:INDEX('Milho 2ª safra'!$E71:$Z71,MIN(P$6-$E$3,22))&lt;&gt;""),'Milho 2ª safra'!$E71:INDEX('Milho 2ª safra'!$E71:$Z71,MIN(P$6-$E$3,22))),0))-IF($G$2,0,IF((P$6-$G$3)&lt;1,0,IFERROR(LOOKUP(2,1/('Milho 2ª safra'!$E71:INDEX('Milho 2ª safra'!$E71:$Z71,MIN(P$6-$G$3,22))&lt;&gt;""),'Milho 2ª safra'!$E71:INDEX('Milho 2ª safra'!$E71:$Z71,MIN(P$6-$G$3,22))),0)))))</f>
        <v>0</v>
      </c>
      <c r="Q73" s="27" t="n">
        <f aca="false">IF(COUNT('Milho 2ª safra'!$E71:$Z71)=0,0,MAX(0,IF((Q$6-$E$3)&lt;1,0,IFERROR(LOOKUP(2,1/('Milho 2ª safra'!$E71:INDEX('Milho 2ª safra'!$E71:$Z71,MIN(Q$6-$E$3,22))&lt;&gt;""),'Milho 2ª safra'!$E71:INDEX('Milho 2ª safra'!$E71:$Z71,MIN(Q$6-$E$3,22))),0))-IF($G$2,0,IF((Q$6-$G$3)&lt;1,0,IFERROR(LOOKUP(2,1/('Milho 2ª safra'!$E71:INDEX('Milho 2ª safra'!$E71:$Z71,MIN(Q$6-$G$3,22))&lt;&gt;""),'Milho 2ª safra'!$E71:INDEX('Milho 2ª safra'!$E71:$Z71,MIN(Q$6-$G$3,22))),0)))))</f>
        <v>0</v>
      </c>
      <c r="R73" s="27" t="n">
        <f aca="false">IF(COUNT('Milho 2ª safra'!$E71:$Z71)=0,0,MAX(0,IF((R$6-$E$3)&lt;1,0,IFERROR(LOOKUP(2,1/('Milho 2ª safra'!$E71:INDEX('Milho 2ª safra'!$E71:$Z71,MIN(R$6-$E$3,22))&lt;&gt;""),'Milho 2ª safra'!$E71:INDEX('Milho 2ª safra'!$E71:$Z71,MIN(R$6-$E$3,22))),0))-IF($G$2,0,IF((R$6-$G$3)&lt;1,0,IFERROR(LOOKUP(2,1/('Milho 2ª safra'!$E71:INDEX('Milho 2ª safra'!$E71:$Z71,MIN(R$6-$G$3,22))&lt;&gt;""),'Milho 2ª safra'!$E71:INDEX('Milho 2ª safra'!$E71:$Z71,MIN(R$6-$G$3,22))),0)))))</f>
        <v>0</v>
      </c>
      <c r="S73" s="27" t="n">
        <f aca="false">IF(COUNT('Milho 2ª safra'!$E71:$Z71)=0,0,MAX(0,IF((S$6-$E$3)&lt;1,0,IFERROR(LOOKUP(2,1/('Milho 2ª safra'!$E71:INDEX('Milho 2ª safra'!$E71:$Z71,MIN(S$6-$E$3,22))&lt;&gt;""),'Milho 2ª safra'!$E71:INDEX('Milho 2ª safra'!$E71:$Z71,MIN(S$6-$E$3,22))),0))-IF($G$2,0,IF((S$6-$G$3)&lt;1,0,IFERROR(LOOKUP(2,1/('Milho 2ª safra'!$E71:INDEX('Milho 2ª safra'!$E71:$Z71,MIN(S$6-$G$3,22))&lt;&gt;""),'Milho 2ª safra'!$E71:INDEX('Milho 2ª safra'!$E71:$Z71,MIN(S$6-$G$3,22))),0)))))</f>
        <v>0</v>
      </c>
      <c r="T73" s="27" t="n">
        <f aca="false">IF(COUNT('Milho 2ª safra'!$E71:$Z71)=0,0,MAX(0,IF((T$6-$E$3)&lt;1,0,IFERROR(LOOKUP(2,1/('Milho 2ª safra'!$E71:INDEX('Milho 2ª safra'!$E71:$Z71,MIN(T$6-$E$3,22))&lt;&gt;""),'Milho 2ª safra'!$E71:INDEX('Milho 2ª safra'!$E71:$Z71,MIN(T$6-$E$3,22))),0))-IF($G$2,0,IF((T$6-$G$3)&lt;1,0,IFERROR(LOOKUP(2,1/('Milho 2ª safra'!$E71:INDEX('Milho 2ª safra'!$E71:$Z71,MIN(T$6-$G$3,22))&lt;&gt;""),'Milho 2ª safra'!$E71:INDEX('Milho 2ª safra'!$E71:$Z71,MIN(T$6-$G$3,22))),0)))))</f>
        <v>0</v>
      </c>
      <c r="U73" s="27" t="n">
        <f aca="false">IF(COUNT('Milho 2ª safra'!$E71:$Z71)=0,0,MAX(0,IF((U$6-$E$3)&lt;1,0,IFERROR(LOOKUP(2,1/('Milho 2ª safra'!$E71:INDEX('Milho 2ª safra'!$E71:$Z71,MIN(U$6-$E$3,22))&lt;&gt;""),'Milho 2ª safra'!$E71:INDEX('Milho 2ª safra'!$E71:$Z71,MIN(U$6-$E$3,22))),0))-IF($G$2,0,IF((U$6-$G$3)&lt;1,0,IFERROR(LOOKUP(2,1/('Milho 2ª safra'!$E71:INDEX('Milho 2ª safra'!$E71:$Z71,MIN(U$6-$G$3,22))&lt;&gt;""),'Milho 2ª safra'!$E71:INDEX('Milho 2ª safra'!$E71:$Z71,MIN(U$6-$G$3,22))),0)))))</f>
        <v>0</v>
      </c>
      <c r="V73" s="27" t="n">
        <f aca="false">IF(COUNT('Milho 2ª safra'!$E71:$Z71)=0,0,MAX(0,IF((V$6-$E$3)&lt;1,0,IFERROR(LOOKUP(2,1/('Milho 2ª safra'!$E71:INDEX('Milho 2ª safra'!$E71:$Z71,MIN(V$6-$E$3,22))&lt;&gt;""),'Milho 2ª safra'!$E71:INDEX('Milho 2ª safra'!$E71:$Z71,MIN(V$6-$E$3,22))),0))-IF($G$2,0,IF((V$6-$G$3)&lt;1,0,IFERROR(LOOKUP(2,1/('Milho 2ª safra'!$E71:INDEX('Milho 2ª safra'!$E71:$Z71,MIN(V$6-$G$3,22))&lt;&gt;""),'Milho 2ª safra'!$E71:INDEX('Milho 2ª safra'!$E71:$Z71,MIN(V$6-$G$3,22))),0)))))</f>
        <v>0</v>
      </c>
      <c r="W73" s="27" t="n">
        <f aca="false">IF(COUNT('Milho 2ª safra'!$E71:$Z71)=0,0,MAX(0,IF((W$6-$E$3)&lt;1,0,IFERROR(LOOKUP(2,1/('Milho 2ª safra'!$E71:INDEX('Milho 2ª safra'!$E71:$Z71,MIN(W$6-$E$3,22))&lt;&gt;""),'Milho 2ª safra'!$E71:INDEX('Milho 2ª safra'!$E71:$Z71,MIN(W$6-$E$3,22))),0))-IF($G$2,0,IF((W$6-$G$3)&lt;1,0,IFERROR(LOOKUP(2,1/('Milho 2ª safra'!$E71:INDEX('Milho 2ª safra'!$E71:$Z71,MIN(W$6-$G$3,22))&lt;&gt;""),'Milho 2ª safra'!$E71:INDEX('Milho 2ª safra'!$E71:$Z71,MIN(W$6-$G$3,22))),0)))))</f>
        <v>0</v>
      </c>
      <c r="X73" s="27" t="n">
        <f aca="false">IF(COUNT('Milho 2ª safra'!$E71:$Z71)=0,0,MAX(0,IF((X$6-$E$3)&lt;1,0,IFERROR(LOOKUP(2,1/('Milho 2ª safra'!$E71:INDEX('Milho 2ª safra'!$E71:$Z71,MIN(X$6-$E$3,22))&lt;&gt;""),'Milho 2ª safra'!$E71:INDEX('Milho 2ª safra'!$E71:$Z71,MIN(X$6-$E$3,22))),0))-IF($G$2,0,IF((X$6-$G$3)&lt;1,0,IFERROR(LOOKUP(2,1/('Milho 2ª safra'!$E71:INDEX('Milho 2ª safra'!$E71:$Z71,MIN(X$6-$G$3,22))&lt;&gt;""),'Milho 2ª safra'!$E71:INDEX('Milho 2ª safra'!$E71:$Z71,MIN(X$6-$G$3,22))),0)))))</f>
        <v>0</v>
      </c>
      <c r="Y73" s="27" t="n">
        <f aca="false">IF(COUNT('Milho 2ª safra'!$E71:$Z71)=0,0,MAX(0,IF((Y$6-$E$3)&lt;1,0,IFERROR(LOOKUP(2,1/('Milho 2ª safra'!$E71:INDEX('Milho 2ª safra'!$E71:$Z71,MIN(Y$6-$E$3,22))&lt;&gt;""),'Milho 2ª safra'!$E71:INDEX('Milho 2ª safra'!$E71:$Z71,MIN(Y$6-$E$3,22))),0))-IF($G$2,0,IF((Y$6-$G$3)&lt;1,0,IFERROR(LOOKUP(2,1/('Milho 2ª safra'!$E71:INDEX('Milho 2ª safra'!$E71:$Z71,MIN(Y$6-$G$3,22))&lt;&gt;""),'Milho 2ª safra'!$E71:INDEX('Milho 2ª safra'!$E71:$Z71,MIN(Y$6-$G$3,22))),0)))))</f>
        <v>0</v>
      </c>
      <c r="Z73" s="27" t="n">
        <f aca="false">IF(COUNT('Milho 2ª safra'!$E71:$Z71)=0,0,MAX(0,IF((Z$6-$E$3)&lt;1,0,IFERROR(LOOKUP(2,1/('Milho 2ª safra'!$E71:INDEX('Milho 2ª safra'!$E71:$Z71,MIN(Z$6-$E$3,22))&lt;&gt;""),'Milho 2ª safra'!$E71:INDEX('Milho 2ª safra'!$E71:$Z71,MIN(Z$6-$E$3,22))),0))-IF($G$2,0,IF((Z$6-$G$3)&lt;1,0,IFERROR(LOOKUP(2,1/('Milho 2ª safra'!$E71:INDEX('Milho 2ª safra'!$E71:$Z71,MIN(Z$6-$G$3,22))&lt;&gt;""),'Milho 2ª safra'!$E71:INDEX('Milho 2ª safra'!$E71:$Z71,MIN(Z$6-$G$3,22))),0)))))</f>
        <v>0</v>
      </c>
      <c r="AA73" s="27" t="n">
        <f aca="false">IF(COUNT('Milho 2ª safra'!$E71:$Z71)=0,0,MAX(0,IF((AA$6-$E$3)&lt;1,0,IFERROR(LOOKUP(2,1/('Milho 2ª safra'!$E71:INDEX('Milho 2ª safra'!$E71:$Z71,MIN(AA$6-$E$3,22))&lt;&gt;""),'Milho 2ª safra'!$E71:INDEX('Milho 2ª safra'!$E71:$Z71,MIN(AA$6-$E$3,22))),0))-IF($G$2,0,IF((AA$6-$G$3)&lt;1,0,IFERROR(LOOKUP(2,1/('Milho 2ª safra'!$E71:INDEX('Milho 2ª safra'!$E71:$Z71,MIN(AA$6-$G$3,22))&lt;&gt;""),'Milho 2ª safra'!$E71:INDEX('Milho 2ª safra'!$E71:$Z71,MIN(AA$6-$G$3,22))),0)))))</f>
        <v>0</v>
      </c>
      <c r="AB73" s="27" t="n">
        <f aca="false">IF(COUNT('Milho 2ª safra'!$E71:$Z71)=0,0,MAX(0,IF((AB$6-$E$3)&lt;1,0,IFERROR(LOOKUP(2,1/('Milho 2ª safra'!$E71:INDEX('Milho 2ª safra'!$E71:$Z71,MIN(AB$6-$E$3,22))&lt;&gt;""),'Milho 2ª safra'!$E71:INDEX('Milho 2ª safra'!$E71:$Z71,MIN(AB$6-$E$3,22))),0))-IF($G$2,0,IF((AB$6-$G$3)&lt;1,0,IFERROR(LOOKUP(2,1/('Milho 2ª safra'!$E71:INDEX('Milho 2ª safra'!$E71:$Z71,MIN(AB$6-$G$3,22))&lt;&gt;""),'Milho 2ª safra'!$E71:INDEX('Milho 2ª safra'!$E71:$Z71,MIN(AB$6-$G$3,22))),0)))))</f>
        <v>0</v>
      </c>
      <c r="AC73" s="27" t="n">
        <f aca="false">IF(COUNT('Milho 2ª safra'!$E71:$Z71)=0,0,MAX(0,IF((AC$6-$E$3)&lt;1,0,IFERROR(LOOKUP(2,1/('Milho 2ª safra'!$E71:INDEX('Milho 2ª safra'!$E71:$Z71,MIN(AC$6-$E$3,22))&lt;&gt;""),'Milho 2ª safra'!$E71:INDEX('Milho 2ª safra'!$E71:$Z71,MIN(AC$6-$E$3,22))),0))-IF($G$2,0,IF((AC$6-$G$3)&lt;1,0,IFERROR(LOOKUP(2,1/('Milho 2ª safra'!$E71:INDEX('Milho 2ª safra'!$E71:$Z71,MIN(AC$6-$G$3,22))&lt;&gt;""),'Milho 2ª safra'!$E71:INDEX('Milho 2ª safra'!$E71:$Z71,MIN(AC$6-$G$3,22))),0)))))</f>
        <v>0</v>
      </c>
      <c r="AD73" s="27" t="n">
        <f aca="false">IF(COUNT('Milho 2ª safra'!$E71:$Z71)=0,0,MAX(0,IF((AD$6-$E$3)&lt;1,0,IFERROR(LOOKUP(2,1/('Milho 2ª safra'!$E71:INDEX('Milho 2ª safra'!$E71:$Z71,MIN(AD$6-$E$3,22))&lt;&gt;""),'Milho 2ª safra'!$E71:INDEX('Milho 2ª safra'!$E71:$Z71,MIN(AD$6-$E$3,22))),0))-IF($G$2,0,IF((AD$6-$G$3)&lt;1,0,IFERROR(LOOKUP(2,1/('Milho 2ª safra'!$E71:INDEX('Milho 2ª safra'!$E71:$Z71,MIN(AD$6-$G$3,22))&lt;&gt;""),'Milho 2ª safra'!$E71:INDEX('Milho 2ª safra'!$E71:$Z71,MIN(AD$6-$G$3,22))),0)))))</f>
        <v>0</v>
      </c>
      <c r="AE73" s="27" t="n">
        <f aca="false">IF(COUNT('Milho 2ª safra'!$E71:$Z71)=0,0,MAX(0,IF((AE$6-$E$3)&lt;1,0,IFERROR(LOOKUP(2,1/('Milho 2ª safra'!$E71:INDEX('Milho 2ª safra'!$E71:$Z71,MIN(AE$6-$E$3,22))&lt;&gt;""),'Milho 2ª safra'!$E71:INDEX('Milho 2ª safra'!$E71:$Z71,MIN(AE$6-$E$3,22))),0))-IF($G$2,0,IF((AE$6-$G$3)&lt;1,0,IFERROR(LOOKUP(2,1/('Milho 2ª safra'!$E71:INDEX('Milho 2ª safra'!$E71:$Z71,MIN(AE$6-$G$3,22))&lt;&gt;""),'Milho 2ª safra'!$E71:INDEX('Milho 2ª safra'!$E71:$Z71,MIN(AE$6-$G$3,22))),0)))))</f>
        <v>0</v>
      </c>
      <c r="AF73" s="27" t="n">
        <f aca="false">IF(COUNT('Milho 2ª safra'!$E71:$Z71)=0,0,MAX(0,IF((AF$6-$E$3)&lt;1,0,IFERROR(LOOKUP(2,1/('Milho 2ª safra'!$E71:INDEX('Milho 2ª safra'!$E71:$Z71,MIN(AF$6-$E$3,22))&lt;&gt;""),'Milho 2ª safra'!$E71:INDEX('Milho 2ª safra'!$E71:$Z71,MIN(AF$6-$E$3,22))),0))-IF($G$2,0,IF((AF$6-$G$3)&lt;1,0,IFERROR(LOOKUP(2,1/('Milho 2ª safra'!$E71:INDEX('Milho 2ª safra'!$E71:$Z71,MIN(AF$6-$G$3,22))&lt;&gt;""),'Milho 2ª safra'!$E71:INDEX('Milho 2ª safra'!$E71:$Z71,MIN(AF$6-$G$3,22))),0)))))</f>
        <v>0</v>
      </c>
      <c r="AG73" s="27" t="n">
        <f aca="false">IF(COUNT('Milho 2ª safra'!$E71:$Z71)=0,0,MAX(0,IF((AG$6-$E$3)&lt;1,0,IFERROR(LOOKUP(2,1/('Milho 2ª safra'!$E71:INDEX('Milho 2ª safra'!$E71:$Z71,MIN(AG$6-$E$3,22))&lt;&gt;""),'Milho 2ª safra'!$E71:INDEX('Milho 2ª safra'!$E71:$Z71,MIN(AG$6-$E$3,22))),0))-IF($G$2,0,IF((AG$6-$G$3)&lt;1,0,IFERROR(LOOKUP(2,1/('Milho 2ª safra'!$E71:INDEX('Milho 2ª safra'!$E71:$Z71,MIN(AG$6-$G$3,22))&lt;&gt;""),'Milho 2ª safra'!$E71:INDEX('Milho 2ª safra'!$E71:$Z71,MIN(AG$6-$G$3,22))),0)))))</f>
        <v>0</v>
      </c>
      <c r="AH73" s="27" t="n">
        <f aca="false">IF(COUNT('Milho 2ª safra'!$E71:$Z71)=0,0,MAX(0,IF((AH$6-$E$3)&lt;1,0,IFERROR(LOOKUP(2,1/('Milho 2ª safra'!$E71:INDEX('Milho 2ª safra'!$E71:$Z71,MIN(AH$6-$E$3,22))&lt;&gt;""),'Milho 2ª safra'!$E71:INDEX('Milho 2ª safra'!$E71:$Z71,MIN(AH$6-$E$3,22))),0))-IF($G$2,0,IF((AH$6-$G$3)&lt;1,0,IFERROR(LOOKUP(2,1/('Milho 2ª safra'!$E71:INDEX('Milho 2ª safra'!$E71:$Z71,MIN(AH$6-$G$3,22))&lt;&gt;""),'Milho 2ª safra'!$E71:INDEX('Milho 2ª safra'!$E71:$Z71,MIN(AH$6-$G$3,22))),0)))))</f>
        <v>0</v>
      </c>
      <c r="AI73" s="27" t="n">
        <f aca="false">IF(COUNT('Milho 2ª safra'!$E71:$Z71)=0,0,MAX(0,IF((AI$6-$E$3)&lt;1,0,IFERROR(LOOKUP(2,1/('Milho 2ª safra'!$E71:INDEX('Milho 2ª safra'!$E71:$Z71,MIN(AI$6-$E$3,22))&lt;&gt;""),'Milho 2ª safra'!$E71:INDEX('Milho 2ª safra'!$E71:$Z71,MIN(AI$6-$E$3,22))),0))-IF($G$2,0,IF((AI$6-$G$3)&lt;1,0,IFERROR(LOOKUP(2,1/('Milho 2ª safra'!$E71:INDEX('Milho 2ª safra'!$E71:$Z71,MIN(AI$6-$G$3,22))&lt;&gt;""),'Milho 2ª safra'!$E71:INDEX('Milho 2ª safra'!$E71:$Z71,MIN(AI$6-$G$3,22))),0)))))</f>
        <v>0</v>
      </c>
      <c r="AJ73" s="27" t="n">
        <f aca="false">IF(COUNT('Milho 2ª safra'!$E71:$Z71)=0,0,MAX(0,IF((AJ$6-$E$3)&lt;1,0,IFERROR(LOOKUP(2,1/('Milho 2ª safra'!$E71:INDEX('Milho 2ª safra'!$E71:$Z71,MIN(AJ$6-$E$3,22))&lt;&gt;""),'Milho 2ª safra'!$E71:INDEX('Milho 2ª safra'!$E71:$Z71,MIN(AJ$6-$E$3,22))),0))-IF($G$2,0,IF((AJ$6-$G$3)&lt;1,0,IFERROR(LOOKUP(2,1/('Milho 2ª safra'!$E71:INDEX('Milho 2ª safra'!$E71:$Z71,MIN(AJ$6-$G$3,22))&lt;&gt;""),'Milho 2ª safra'!$E71:INDEX('Milho 2ª safra'!$E71:$Z71,MIN(AJ$6-$G$3,22))),0)))))</f>
        <v>0</v>
      </c>
      <c r="AK73" s="27" t="n">
        <f aca="false">IF(COUNT('Milho 2ª safra'!$E71:$Z71)=0,0,MAX(0,IF((AK$6-$E$3)&lt;1,0,IFERROR(LOOKUP(2,1/('Milho 2ª safra'!$E71:INDEX('Milho 2ª safra'!$E71:$Z71,MIN(AK$6-$E$3,22))&lt;&gt;""),'Milho 2ª safra'!$E71:INDEX('Milho 2ª safra'!$E71:$Z71,MIN(AK$6-$E$3,22))),0))-IF($G$2,0,IF((AK$6-$G$3)&lt;1,0,IFERROR(LOOKUP(2,1/('Milho 2ª safra'!$E71:INDEX('Milho 2ª safra'!$E71:$Z71,MIN(AK$6-$G$3,22))&lt;&gt;""),'Milho 2ª safra'!$E71:INDEX('Milho 2ª safra'!$E71:$Z71,MIN(AK$6-$G$3,22))),0)))))</f>
        <v>0</v>
      </c>
      <c r="AL73" s="27" t="n">
        <f aca="false">IF(COUNT('Milho 2ª safra'!$E71:$Z71)=0,0,MAX(0,IF((AL$6-$E$3)&lt;1,0,IFERROR(LOOKUP(2,1/('Milho 2ª safra'!$E71:INDEX('Milho 2ª safra'!$E71:$Z71,MIN(AL$6-$E$3,22))&lt;&gt;""),'Milho 2ª safra'!$E71:INDEX('Milho 2ª safra'!$E71:$Z71,MIN(AL$6-$E$3,22))),0))-IF($G$2,0,IF((AL$6-$G$3)&lt;1,0,IFERROR(LOOKUP(2,1/('Milho 2ª safra'!$E71:INDEX('Milho 2ª safra'!$E71:$Z71,MIN(AL$6-$G$3,22))&lt;&gt;""),'Milho 2ª safra'!$E71:INDEX('Milho 2ª safra'!$E71:$Z71,MIN(AL$6-$G$3,22))),0)))))</f>
        <v>0</v>
      </c>
      <c r="AM73" s="27" t="n">
        <f aca="false">IF(COUNT('Milho 2ª safra'!$E71:$Z71)=0,0,MAX(0,IF((AM$6-$E$3)&lt;1,0,IFERROR(LOOKUP(2,1/('Milho 2ª safra'!$E71:INDEX('Milho 2ª safra'!$E71:$Z71,MIN(AM$6-$E$3,22))&lt;&gt;""),'Milho 2ª safra'!$E71:INDEX('Milho 2ª safra'!$E71:$Z71,MIN(AM$6-$E$3,22))),0))-IF($G$2,0,IF((AM$6-$G$3)&lt;1,0,IFERROR(LOOKUP(2,1/('Milho 2ª safra'!$E71:INDEX('Milho 2ª safra'!$E71:$Z71,MIN(AM$6-$G$3,22))&lt;&gt;""),'Milho 2ª safra'!$E71:INDEX('Milho 2ª safra'!$E71:$Z71,MIN(AM$6-$G$3,22))),0)))))</f>
        <v>0</v>
      </c>
      <c r="AN73" s="27" t="n">
        <f aca="false">IF(COUNT('Milho 2ª safra'!$E71:$Z71)=0,0,MAX(0,IF((AN$6-$E$3)&lt;1,0,IFERROR(LOOKUP(2,1/('Milho 2ª safra'!$E71:INDEX('Milho 2ª safra'!$E71:$Z71,MIN(AN$6-$E$3,22))&lt;&gt;""),'Milho 2ª safra'!$E71:INDEX('Milho 2ª safra'!$E71:$Z71,MIN(AN$6-$E$3,22))),0))-IF($G$2,0,IF((AN$6-$G$3)&lt;1,0,IFERROR(LOOKUP(2,1/('Milho 2ª safra'!$E71:INDEX('Milho 2ª safra'!$E71:$Z71,MIN(AN$6-$G$3,22))&lt;&gt;""),'Milho 2ª safra'!$E71:INDEX('Milho 2ª safra'!$E71:$Z71,MIN(AN$6-$G$3,22))),0)))))</f>
        <v>0</v>
      </c>
      <c r="AO73" s="27" t="n">
        <f aca="false">IF(COUNT('Milho 2ª safra'!$E71:$Z71)=0,0,MAX(0,IF((AO$6-$E$3)&lt;1,0,IFERROR(LOOKUP(2,1/('Milho 2ª safra'!$E71:INDEX('Milho 2ª safra'!$E71:$Z71,MIN(AO$6-$E$3,22))&lt;&gt;""),'Milho 2ª safra'!$E71:INDEX('Milho 2ª safra'!$E71:$Z71,MIN(AO$6-$E$3,22))),0))-IF($G$2,0,IF((AO$6-$G$3)&lt;1,0,IFERROR(LOOKUP(2,1/('Milho 2ª safra'!$E71:INDEX('Milho 2ª safra'!$E71:$Z71,MIN(AO$6-$G$3,22))&lt;&gt;""),'Milho 2ª safra'!$E71:INDEX('Milho 2ª safra'!$E71:$Z71,MIN(AO$6-$G$3,22))),0)))))</f>
        <v>0</v>
      </c>
      <c r="AP73" s="27" t="n">
        <f aca="false">IF(COUNT('Milho 2ª safra'!$E71:$Z71)=0,0,MAX(0,IF((AP$6-$E$3)&lt;1,0,IFERROR(LOOKUP(2,1/('Milho 2ª safra'!$E71:INDEX('Milho 2ª safra'!$E71:$Z71,MIN(AP$6-$E$3,22))&lt;&gt;""),'Milho 2ª safra'!$E71:INDEX('Milho 2ª safra'!$E71:$Z71,MIN(AP$6-$E$3,22))),0))-IF($G$2,0,IF((AP$6-$G$3)&lt;1,0,IFERROR(LOOKUP(2,1/('Milho 2ª safra'!$E71:INDEX('Milho 2ª safra'!$E71:$Z71,MIN(AP$6-$G$3,22))&lt;&gt;""),'Milho 2ª safra'!$E71:INDEX('Milho 2ª safra'!$E71:$Z71,MIN(AP$6-$G$3,22))),0)))))</f>
        <v>0</v>
      </c>
      <c r="AQ73" s="27" t="n">
        <f aca="false">IF(COUNT('Milho 2ª safra'!$E71:$Z71)=0,0,MAX(0,IF((AQ$6-$E$3)&lt;1,0,IFERROR(LOOKUP(2,1/('Milho 2ª safra'!$E71:INDEX('Milho 2ª safra'!$E71:$Z71,MIN(AQ$6-$E$3,22))&lt;&gt;""),'Milho 2ª safra'!$E71:INDEX('Milho 2ª safra'!$E71:$Z71,MIN(AQ$6-$E$3,22))),0))-IF($G$2,0,IF((AQ$6-$G$3)&lt;1,0,IFERROR(LOOKUP(2,1/('Milho 2ª safra'!$E71:INDEX('Milho 2ª safra'!$E71:$Z71,MIN(AQ$6-$G$3,22))&lt;&gt;""),'Milho 2ª safra'!$E71:INDEX('Milho 2ª safra'!$E71:$Z71,MIN(AQ$6-$G$3,22))),0)))))</f>
        <v>0</v>
      </c>
      <c r="AR73" s="27" t="n">
        <f aca="false">IF(COUNT('Milho 2ª safra'!$E71:$Z71)=0,0,MAX(0,IF((AR$6-$E$3)&lt;1,0,IFERROR(LOOKUP(2,1/('Milho 2ª safra'!$E71:INDEX('Milho 2ª safra'!$E71:$Z71,MIN(AR$6-$E$3,22))&lt;&gt;""),'Milho 2ª safra'!$E71:INDEX('Milho 2ª safra'!$E71:$Z71,MIN(AR$6-$E$3,22))),0))-IF($G$2,0,IF((AR$6-$G$3)&lt;1,0,IFERROR(LOOKUP(2,1/('Milho 2ª safra'!$E71:INDEX('Milho 2ª safra'!$E71:$Z71,MIN(AR$6-$G$3,22))&lt;&gt;""),'Milho 2ª safra'!$E71:INDEX('Milho 2ª safra'!$E71:$Z71,MIN(AR$6-$G$3,22))),0)))))</f>
        <v>0</v>
      </c>
      <c r="AS73" s="27" t="n">
        <f aca="false">IF(COUNT('Milho 2ª safra'!$E71:$Z71)=0,0,MAX(0,IF((AS$6-$E$3)&lt;1,0,IFERROR(LOOKUP(2,1/('Milho 2ª safra'!$E71:INDEX('Milho 2ª safra'!$E71:$Z71,MIN(AS$6-$E$3,22))&lt;&gt;""),'Milho 2ª safra'!$E71:INDEX('Milho 2ª safra'!$E71:$Z71,MIN(AS$6-$E$3,22))),0))-IF($G$2,0,IF((AS$6-$G$3)&lt;1,0,IFERROR(LOOKUP(2,1/('Milho 2ª safra'!$E71:INDEX('Milho 2ª safra'!$E71:$Z71,MIN(AS$6-$G$3,22))&lt;&gt;""),'Milho 2ª safra'!$E71:INDEX('Milho 2ª safra'!$E71:$Z71,MIN(AS$6-$G$3,22))),0)))))</f>
        <v>0</v>
      </c>
      <c r="AT73" s="27" t="n">
        <f aca="false">IF(COUNT('Milho 2ª safra'!$E71:$Z71)=0,0,MAX(0,IF((AT$6-$E$3)&lt;1,0,IFERROR(LOOKUP(2,1/('Milho 2ª safra'!$E71:INDEX('Milho 2ª safra'!$E71:$Z71,MIN(AT$6-$E$3,22))&lt;&gt;""),'Milho 2ª safra'!$E71:INDEX('Milho 2ª safra'!$E71:$Z71,MIN(AT$6-$E$3,22))),0))-IF($G$2,0,IF((AT$6-$G$3)&lt;1,0,IFERROR(LOOKUP(2,1/('Milho 2ª safra'!$E71:INDEX('Milho 2ª safra'!$E71:$Z71,MIN(AT$6-$G$3,22))&lt;&gt;""),'Milho 2ª safra'!$E71:INDEX('Milho 2ª safra'!$E71:$Z71,MIN(AT$6-$G$3,22))),0)))))</f>
        <v>0</v>
      </c>
      <c r="AU73" s="27" t="n">
        <f aca="false">IF(COUNT('Milho 2ª safra'!$E71:$Z71)=0,0,MAX(0,IF((AU$6-$E$3)&lt;1,0,IFERROR(LOOKUP(2,1/('Milho 2ª safra'!$E71:INDEX('Milho 2ª safra'!$E71:$Z71,MIN(AU$6-$E$3,22))&lt;&gt;""),'Milho 2ª safra'!$E71:INDEX('Milho 2ª safra'!$E71:$Z71,MIN(AU$6-$E$3,22))),0))-IF($G$2,0,IF((AU$6-$G$3)&lt;1,0,IFERROR(LOOKUP(2,1/('Milho 2ª safra'!$E71:INDEX('Milho 2ª safra'!$E71:$Z71,MIN(AU$6-$G$3,22))&lt;&gt;""),'Milho 2ª safra'!$E71:INDEX('Milho 2ª safra'!$E71:$Z71,MIN(AU$6-$G$3,22))),0)))))</f>
        <v>0</v>
      </c>
      <c r="AV73" s="27" t="n">
        <f aca="false">IF(COUNT('Milho 2ª safra'!$E71:$Z71)=0,0,MAX(0,IF((AV$6-$E$3)&lt;1,0,IFERROR(LOOKUP(2,1/('Milho 2ª safra'!$E71:INDEX('Milho 2ª safra'!$E71:$Z71,MIN(AV$6-$E$3,22))&lt;&gt;""),'Milho 2ª safra'!$E71:INDEX('Milho 2ª safra'!$E71:$Z71,MIN(AV$6-$E$3,22))),0))-IF($G$2,0,IF((AV$6-$G$3)&lt;1,0,IFERROR(LOOKUP(2,1/('Milho 2ª safra'!$E71:INDEX('Milho 2ª safra'!$E71:$Z71,MIN(AV$6-$G$3,22))&lt;&gt;""),'Milho 2ª safra'!$E71:INDEX('Milho 2ª safra'!$E71:$Z71,MIN(AV$6-$G$3,22))),0)))))</f>
        <v>0</v>
      </c>
      <c r="AW73" s="27" t="n">
        <f aca="false">IF(COUNT('Milho 2ª safra'!$E71:$Z71)=0,0,MAX(0,IF((AW$6-$E$3)&lt;1,0,IFERROR(LOOKUP(2,1/('Milho 2ª safra'!$E71:INDEX('Milho 2ª safra'!$E71:$Z71,MIN(AW$6-$E$3,22))&lt;&gt;""),'Milho 2ª safra'!$E71:INDEX('Milho 2ª safra'!$E71:$Z71,MIN(AW$6-$E$3,22))),0))-IF($G$2,0,IF((AW$6-$G$3)&lt;1,0,IFERROR(LOOKUP(2,1/('Milho 2ª safra'!$E71:INDEX('Milho 2ª safra'!$E71:$Z71,MIN(AW$6-$G$3,22))&lt;&gt;""),'Milho 2ª safra'!$E71:INDEX('Milho 2ª safra'!$E71:$Z71,MIN(AW$6-$G$3,22))),0)))))</f>
        <v>0</v>
      </c>
      <c r="AX73" s="27" t="n">
        <f aca="false">IF(COUNT('Milho 2ª safra'!$E71:$Z71)=0,0,MAX(0,IF((AX$6-$E$3)&lt;1,0,IFERROR(LOOKUP(2,1/('Milho 2ª safra'!$E71:INDEX('Milho 2ª safra'!$E71:$Z71,MIN(AX$6-$E$3,22))&lt;&gt;""),'Milho 2ª safra'!$E71:INDEX('Milho 2ª safra'!$E71:$Z71,MIN(AX$6-$E$3,22))),0))-IF($G$2,0,IF((AX$6-$G$3)&lt;1,0,IFERROR(LOOKUP(2,1/('Milho 2ª safra'!$E71:INDEX('Milho 2ª safra'!$E71:$Z71,MIN(AX$6-$G$3,22))&lt;&gt;""),'Milho 2ª safra'!$E71:INDEX('Milho 2ª safra'!$E71:$Z71,MIN(AX$6-$G$3,22))),0)))))</f>
        <v>0</v>
      </c>
      <c r="AY73" s="27" t="n">
        <f aca="false">IF(COUNT('Milho 2ª safra'!$E71:$Z71)=0,0,MAX(0,IF((AY$6-$E$3)&lt;1,0,IFERROR(LOOKUP(2,1/('Milho 2ª safra'!$E71:INDEX('Milho 2ª safra'!$E71:$Z71,MIN(AY$6-$E$3,22))&lt;&gt;""),'Milho 2ª safra'!$E71:INDEX('Milho 2ª safra'!$E71:$Z71,MIN(AY$6-$E$3,22))),0))-IF($G$2,0,IF((AY$6-$G$3)&lt;1,0,IFERROR(LOOKUP(2,1/('Milho 2ª safra'!$E71:INDEX('Milho 2ª safra'!$E71:$Z71,MIN(AY$6-$G$3,22))&lt;&gt;""),'Milho 2ª safra'!$E71:INDEX('Milho 2ª safra'!$E71:$Z71,MIN(AY$6-$G$3,22))),0)))))</f>
        <v>0</v>
      </c>
      <c r="AZ73" s="27" t="n">
        <f aca="false">IF(COUNT('Milho 2ª safra'!$E71:$Z71)=0,0,MAX(0,IF((AZ$6-$E$3)&lt;1,0,IFERROR(LOOKUP(2,1/('Milho 2ª safra'!$E71:INDEX('Milho 2ª safra'!$E71:$Z71,MIN(AZ$6-$E$3,22))&lt;&gt;""),'Milho 2ª safra'!$E71:INDEX('Milho 2ª safra'!$E71:$Z71,MIN(AZ$6-$E$3,22))),0))-IF($G$2,0,IF((AZ$6-$G$3)&lt;1,0,IFERROR(LOOKUP(2,1/('Milho 2ª safra'!$E71:INDEX('Milho 2ª safra'!$E71:$Z71,MIN(AZ$6-$G$3,22))&lt;&gt;""),'Milho 2ª safra'!$E71:INDEX('Milho 2ª safra'!$E71:$Z71,MIN(AZ$6-$G$3,22))),0)))))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IF(COUNT('Milho 2ª safra'!$E72:$Z72)&gt;0,N('Milho 2ª safra'!$D72),0)</f>
        <v>0</v>
      </c>
      <c r="E74" s="27" t="n">
        <f aca="false">IF(COUNT('Milho 2ª safra'!$E72:$Z72)=0,0,MAX(0,IF((E$6-$E$3)&lt;1,0,IFERROR(LOOKUP(2,1/('Milho 2ª safra'!$E72:INDEX('Milho 2ª safra'!$E72:$Z72,MIN(E$6-$E$3,22))&lt;&gt;""),'Milho 2ª safra'!$E72:INDEX('Milho 2ª safra'!$E72:$Z72,MIN(E$6-$E$3,22))),0))-IF($G$2,0,IF((E$6-$G$3)&lt;1,0,IFERROR(LOOKUP(2,1/('Milho 2ª safra'!$E72:INDEX('Milho 2ª safra'!$E72:$Z72,MIN(E$6-$G$3,22))&lt;&gt;""),'Milho 2ª safra'!$E72:INDEX('Milho 2ª safra'!$E72:$Z72,MIN(E$6-$G$3,22))),0)))))</f>
        <v>0</v>
      </c>
      <c r="F74" s="27" t="n">
        <f aca="false">IF(COUNT('Milho 2ª safra'!$E72:$Z72)=0,0,MAX(0,IF((F$6-$E$3)&lt;1,0,IFERROR(LOOKUP(2,1/('Milho 2ª safra'!$E72:INDEX('Milho 2ª safra'!$E72:$Z72,MIN(F$6-$E$3,22))&lt;&gt;""),'Milho 2ª safra'!$E72:INDEX('Milho 2ª safra'!$E72:$Z72,MIN(F$6-$E$3,22))),0))-IF($G$2,0,IF((F$6-$G$3)&lt;1,0,IFERROR(LOOKUP(2,1/('Milho 2ª safra'!$E72:INDEX('Milho 2ª safra'!$E72:$Z72,MIN(F$6-$G$3,22))&lt;&gt;""),'Milho 2ª safra'!$E72:INDEX('Milho 2ª safra'!$E72:$Z72,MIN(F$6-$G$3,22))),0)))))</f>
        <v>0</v>
      </c>
      <c r="G74" s="27" t="n">
        <f aca="false">IF(COUNT('Milho 2ª safra'!$E72:$Z72)=0,0,MAX(0,IF((G$6-$E$3)&lt;1,0,IFERROR(LOOKUP(2,1/('Milho 2ª safra'!$E72:INDEX('Milho 2ª safra'!$E72:$Z72,MIN(G$6-$E$3,22))&lt;&gt;""),'Milho 2ª safra'!$E72:INDEX('Milho 2ª safra'!$E72:$Z72,MIN(G$6-$E$3,22))),0))-IF($G$2,0,IF((G$6-$G$3)&lt;1,0,IFERROR(LOOKUP(2,1/('Milho 2ª safra'!$E72:INDEX('Milho 2ª safra'!$E72:$Z72,MIN(G$6-$G$3,22))&lt;&gt;""),'Milho 2ª safra'!$E72:INDEX('Milho 2ª safra'!$E72:$Z72,MIN(G$6-$G$3,22))),0)))))</f>
        <v>0</v>
      </c>
      <c r="H74" s="27" t="n">
        <f aca="false">IF(COUNT('Milho 2ª safra'!$E72:$Z72)=0,0,MAX(0,IF((H$6-$E$3)&lt;1,0,IFERROR(LOOKUP(2,1/('Milho 2ª safra'!$E72:INDEX('Milho 2ª safra'!$E72:$Z72,MIN(H$6-$E$3,22))&lt;&gt;""),'Milho 2ª safra'!$E72:INDEX('Milho 2ª safra'!$E72:$Z72,MIN(H$6-$E$3,22))),0))-IF($G$2,0,IF((H$6-$G$3)&lt;1,0,IFERROR(LOOKUP(2,1/('Milho 2ª safra'!$E72:INDEX('Milho 2ª safra'!$E72:$Z72,MIN(H$6-$G$3,22))&lt;&gt;""),'Milho 2ª safra'!$E72:INDEX('Milho 2ª safra'!$E72:$Z72,MIN(H$6-$G$3,22))),0)))))</f>
        <v>0</v>
      </c>
      <c r="I74" s="27" t="n">
        <f aca="false">IF(COUNT('Milho 2ª safra'!$E72:$Z72)=0,0,MAX(0,IF((I$6-$E$3)&lt;1,0,IFERROR(LOOKUP(2,1/('Milho 2ª safra'!$E72:INDEX('Milho 2ª safra'!$E72:$Z72,MIN(I$6-$E$3,22))&lt;&gt;""),'Milho 2ª safra'!$E72:INDEX('Milho 2ª safra'!$E72:$Z72,MIN(I$6-$E$3,22))),0))-IF($G$2,0,IF((I$6-$G$3)&lt;1,0,IFERROR(LOOKUP(2,1/('Milho 2ª safra'!$E72:INDEX('Milho 2ª safra'!$E72:$Z72,MIN(I$6-$G$3,22))&lt;&gt;""),'Milho 2ª safra'!$E72:INDEX('Milho 2ª safra'!$E72:$Z72,MIN(I$6-$G$3,22))),0)))))</f>
        <v>0</v>
      </c>
      <c r="J74" s="27" t="n">
        <f aca="false">IF(COUNT('Milho 2ª safra'!$E72:$Z72)=0,0,MAX(0,IF((J$6-$E$3)&lt;1,0,IFERROR(LOOKUP(2,1/('Milho 2ª safra'!$E72:INDEX('Milho 2ª safra'!$E72:$Z72,MIN(J$6-$E$3,22))&lt;&gt;""),'Milho 2ª safra'!$E72:INDEX('Milho 2ª safra'!$E72:$Z72,MIN(J$6-$E$3,22))),0))-IF($G$2,0,IF((J$6-$G$3)&lt;1,0,IFERROR(LOOKUP(2,1/('Milho 2ª safra'!$E72:INDEX('Milho 2ª safra'!$E72:$Z72,MIN(J$6-$G$3,22))&lt;&gt;""),'Milho 2ª safra'!$E72:INDEX('Milho 2ª safra'!$E72:$Z72,MIN(J$6-$G$3,22))),0)))))</f>
        <v>0</v>
      </c>
      <c r="K74" s="27" t="n">
        <f aca="false">IF(COUNT('Milho 2ª safra'!$E72:$Z72)=0,0,MAX(0,IF((K$6-$E$3)&lt;1,0,IFERROR(LOOKUP(2,1/('Milho 2ª safra'!$E72:INDEX('Milho 2ª safra'!$E72:$Z72,MIN(K$6-$E$3,22))&lt;&gt;""),'Milho 2ª safra'!$E72:INDEX('Milho 2ª safra'!$E72:$Z72,MIN(K$6-$E$3,22))),0))-IF($G$2,0,IF((K$6-$G$3)&lt;1,0,IFERROR(LOOKUP(2,1/('Milho 2ª safra'!$E72:INDEX('Milho 2ª safra'!$E72:$Z72,MIN(K$6-$G$3,22))&lt;&gt;""),'Milho 2ª safra'!$E72:INDEX('Milho 2ª safra'!$E72:$Z72,MIN(K$6-$G$3,22))),0)))))</f>
        <v>0</v>
      </c>
      <c r="L74" s="27" t="n">
        <f aca="false">IF(COUNT('Milho 2ª safra'!$E72:$Z72)=0,0,MAX(0,IF((L$6-$E$3)&lt;1,0,IFERROR(LOOKUP(2,1/('Milho 2ª safra'!$E72:INDEX('Milho 2ª safra'!$E72:$Z72,MIN(L$6-$E$3,22))&lt;&gt;""),'Milho 2ª safra'!$E72:INDEX('Milho 2ª safra'!$E72:$Z72,MIN(L$6-$E$3,22))),0))-IF($G$2,0,IF((L$6-$G$3)&lt;1,0,IFERROR(LOOKUP(2,1/('Milho 2ª safra'!$E72:INDEX('Milho 2ª safra'!$E72:$Z72,MIN(L$6-$G$3,22))&lt;&gt;""),'Milho 2ª safra'!$E72:INDEX('Milho 2ª safra'!$E72:$Z72,MIN(L$6-$G$3,22))),0)))))</f>
        <v>0</v>
      </c>
      <c r="M74" s="27" t="n">
        <f aca="false">IF(COUNT('Milho 2ª safra'!$E72:$Z72)=0,0,MAX(0,IF((M$6-$E$3)&lt;1,0,IFERROR(LOOKUP(2,1/('Milho 2ª safra'!$E72:INDEX('Milho 2ª safra'!$E72:$Z72,MIN(M$6-$E$3,22))&lt;&gt;""),'Milho 2ª safra'!$E72:INDEX('Milho 2ª safra'!$E72:$Z72,MIN(M$6-$E$3,22))),0))-IF($G$2,0,IF((M$6-$G$3)&lt;1,0,IFERROR(LOOKUP(2,1/('Milho 2ª safra'!$E72:INDEX('Milho 2ª safra'!$E72:$Z72,MIN(M$6-$G$3,22))&lt;&gt;""),'Milho 2ª safra'!$E72:INDEX('Milho 2ª safra'!$E72:$Z72,MIN(M$6-$G$3,22))),0)))))</f>
        <v>0</v>
      </c>
      <c r="N74" s="27" t="n">
        <f aca="false">IF(COUNT('Milho 2ª safra'!$E72:$Z72)=0,0,MAX(0,IF((N$6-$E$3)&lt;1,0,IFERROR(LOOKUP(2,1/('Milho 2ª safra'!$E72:INDEX('Milho 2ª safra'!$E72:$Z72,MIN(N$6-$E$3,22))&lt;&gt;""),'Milho 2ª safra'!$E72:INDEX('Milho 2ª safra'!$E72:$Z72,MIN(N$6-$E$3,22))),0))-IF($G$2,0,IF((N$6-$G$3)&lt;1,0,IFERROR(LOOKUP(2,1/('Milho 2ª safra'!$E72:INDEX('Milho 2ª safra'!$E72:$Z72,MIN(N$6-$G$3,22))&lt;&gt;""),'Milho 2ª safra'!$E72:INDEX('Milho 2ª safra'!$E72:$Z72,MIN(N$6-$G$3,22))),0)))))</f>
        <v>0</v>
      </c>
      <c r="O74" s="27" t="n">
        <f aca="false">IF(COUNT('Milho 2ª safra'!$E72:$Z72)=0,0,MAX(0,IF((O$6-$E$3)&lt;1,0,IFERROR(LOOKUP(2,1/('Milho 2ª safra'!$E72:INDEX('Milho 2ª safra'!$E72:$Z72,MIN(O$6-$E$3,22))&lt;&gt;""),'Milho 2ª safra'!$E72:INDEX('Milho 2ª safra'!$E72:$Z72,MIN(O$6-$E$3,22))),0))-IF($G$2,0,IF((O$6-$G$3)&lt;1,0,IFERROR(LOOKUP(2,1/('Milho 2ª safra'!$E72:INDEX('Milho 2ª safra'!$E72:$Z72,MIN(O$6-$G$3,22))&lt;&gt;""),'Milho 2ª safra'!$E72:INDEX('Milho 2ª safra'!$E72:$Z72,MIN(O$6-$G$3,22))),0)))))</f>
        <v>0</v>
      </c>
      <c r="P74" s="27" t="n">
        <f aca="false">IF(COUNT('Milho 2ª safra'!$E72:$Z72)=0,0,MAX(0,IF((P$6-$E$3)&lt;1,0,IFERROR(LOOKUP(2,1/('Milho 2ª safra'!$E72:INDEX('Milho 2ª safra'!$E72:$Z72,MIN(P$6-$E$3,22))&lt;&gt;""),'Milho 2ª safra'!$E72:INDEX('Milho 2ª safra'!$E72:$Z72,MIN(P$6-$E$3,22))),0))-IF($G$2,0,IF((P$6-$G$3)&lt;1,0,IFERROR(LOOKUP(2,1/('Milho 2ª safra'!$E72:INDEX('Milho 2ª safra'!$E72:$Z72,MIN(P$6-$G$3,22))&lt;&gt;""),'Milho 2ª safra'!$E72:INDEX('Milho 2ª safra'!$E72:$Z72,MIN(P$6-$G$3,22))),0)))))</f>
        <v>0</v>
      </c>
      <c r="Q74" s="27" t="n">
        <f aca="false">IF(COUNT('Milho 2ª safra'!$E72:$Z72)=0,0,MAX(0,IF((Q$6-$E$3)&lt;1,0,IFERROR(LOOKUP(2,1/('Milho 2ª safra'!$E72:INDEX('Milho 2ª safra'!$E72:$Z72,MIN(Q$6-$E$3,22))&lt;&gt;""),'Milho 2ª safra'!$E72:INDEX('Milho 2ª safra'!$E72:$Z72,MIN(Q$6-$E$3,22))),0))-IF($G$2,0,IF((Q$6-$G$3)&lt;1,0,IFERROR(LOOKUP(2,1/('Milho 2ª safra'!$E72:INDEX('Milho 2ª safra'!$E72:$Z72,MIN(Q$6-$G$3,22))&lt;&gt;""),'Milho 2ª safra'!$E72:INDEX('Milho 2ª safra'!$E72:$Z72,MIN(Q$6-$G$3,22))),0)))))</f>
        <v>0</v>
      </c>
      <c r="R74" s="27" t="n">
        <f aca="false">IF(COUNT('Milho 2ª safra'!$E72:$Z72)=0,0,MAX(0,IF((R$6-$E$3)&lt;1,0,IFERROR(LOOKUP(2,1/('Milho 2ª safra'!$E72:INDEX('Milho 2ª safra'!$E72:$Z72,MIN(R$6-$E$3,22))&lt;&gt;""),'Milho 2ª safra'!$E72:INDEX('Milho 2ª safra'!$E72:$Z72,MIN(R$6-$E$3,22))),0))-IF($G$2,0,IF((R$6-$G$3)&lt;1,0,IFERROR(LOOKUP(2,1/('Milho 2ª safra'!$E72:INDEX('Milho 2ª safra'!$E72:$Z72,MIN(R$6-$G$3,22))&lt;&gt;""),'Milho 2ª safra'!$E72:INDEX('Milho 2ª safra'!$E72:$Z72,MIN(R$6-$G$3,22))),0)))))</f>
        <v>0</v>
      </c>
      <c r="S74" s="27" t="n">
        <f aca="false">IF(COUNT('Milho 2ª safra'!$E72:$Z72)=0,0,MAX(0,IF((S$6-$E$3)&lt;1,0,IFERROR(LOOKUP(2,1/('Milho 2ª safra'!$E72:INDEX('Milho 2ª safra'!$E72:$Z72,MIN(S$6-$E$3,22))&lt;&gt;""),'Milho 2ª safra'!$E72:INDEX('Milho 2ª safra'!$E72:$Z72,MIN(S$6-$E$3,22))),0))-IF($G$2,0,IF((S$6-$G$3)&lt;1,0,IFERROR(LOOKUP(2,1/('Milho 2ª safra'!$E72:INDEX('Milho 2ª safra'!$E72:$Z72,MIN(S$6-$G$3,22))&lt;&gt;""),'Milho 2ª safra'!$E72:INDEX('Milho 2ª safra'!$E72:$Z72,MIN(S$6-$G$3,22))),0)))))</f>
        <v>0</v>
      </c>
      <c r="T74" s="27" t="n">
        <f aca="false">IF(COUNT('Milho 2ª safra'!$E72:$Z72)=0,0,MAX(0,IF((T$6-$E$3)&lt;1,0,IFERROR(LOOKUP(2,1/('Milho 2ª safra'!$E72:INDEX('Milho 2ª safra'!$E72:$Z72,MIN(T$6-$E$3,22))&lt;&gt;""),'Milho 2ª safra'!$E72:INDEX('Milho 2ª safra'!$E72:$Z72,MIN(T$6-$E$3,22))),0))-IF($G$2,0,IF((T$6-$G$3)&lt;1,0,IFERROR(LOOKUP(2,1/('Milho 2ª safra'!$E72:INDEX('Milho 2ª safra'!$E72:$Z72,MIN(T$6-$G$3,22))&lt;&gt;""),'Milho 2ª safra'!$E72:INDEX('Milho 2ª safra'!$E72:$Z72,MIN(T$6-$G$3,22))),0)))))</f>
        <v>0</v>
      </c>
      <c r="U74" s="27" t="n">
        <f aca="false">IF(COUNT('Milho 2ª safra'!$E72:$Z72)=0,0,MAX(0,IF((U$6-$E$3)&lt;1,0,IFERROR(LOOKUP(2,1/('Milho 2ª safra'!$E72:INDEX('Milho 2ª safra'!$E72:$Z72,MIN(U$6-$E$3,22))&lt;&gt;""),'Milho 2ª safra'!$E72:INDEX('Milho 2ª safra'!$E72:$Z72,MIN(U$6-$E$3,22))),0))-IF($G$2,0,IF((U$6-$G$3)&lt;1,0,IFERROR(LOOKUP(2,1/('Milho 2ª safra'!$E72:INDEX('Milho 2ª safra'!$E72:$Z72,MIN(U$6-$G$3,22))&lt;&gt;""),'Milho 2ª safra'!$E72:INDEX('Milho 2ª safra'!$E72:$Z72,MIN(U$6-$G$3,22))),0)))))</f>
        <v>0</v>
      </c>
      <c r="V74" s="27" t="n">
        <f aca="false">IF(COUNT('Milho 2ª safra'!$E72:$Z72)=0,0,MAX(0,IF((V$6-$E$3)&lt;1,0,IFERROR(LOOKUP(2,1/('Milho 2ª safra'!$E72:INDEX('Milho 2ª safra'!$E72:$Z72,MIN(V$6-$E$3,22))&lt;&gt;""),'Milho 2ª safra'!$E72:INDEX('Milho 2ª safra'!$E72:$Z72,MIN(V$6-$E$3,22))),0))-IF($G$2,0,IF((V$6-$G$3)&lt;1,0,IFERROR(LOOKUP(2,1/('Milho 2ª safra'!$E72:INDEX('Milho 2ª safra'!$E72:$Z72,MIN(V$6-$G$3,22))&lt;&gt;""),'Milho 2ª safra'!$E72:INDEX('Milho 2ª safra'!$E72:$Z72,MIN(V$6-$G$3,22))),0)))))</f>
        <v>0</v>
      </c>
      <c r="W74" s="27" t="n">
        <f aca="false">IF(COUNT('Milho 2ª safra'!$E72:$Z72)=0,0,MAX(0,IF((W$6-$E$3)&lt;1,0,IFERROR(LOOKUP(2,1/('Milho 2ª safra'!$E72:INDEX('Milho 2ª safra'!$E72:$Z72,MIN(W$6-$E$3,22))&lt;&gt;""),'Milho 2ª safra'!$E72:INDEX('Milho 2ª safra'!$E72:$Z72,MIN(W$6-$E$3,22))),0))-IF($G$2,0,IF((W$6-$G$3)&lt;1,0,IFERROR(LOOKUP(2,1/('Milho 2ª safra'!$E72:INDEX('Milho 2ª safra'!$E72:$Z72,MIN(W$6-$G$3,22))&lt;&gt;""),'Milho 2ª safra'!$E72:INDEX('Milho 2ª safra'!$E72:$Z72,MIN(W$6-$G$3,22))),0)))))</f>
        <v>0</v>
      </c>
      <c r="X74" s="27" t="n">
        <f aca="false">IF(COUNT('Milho 2ª safra'!$E72:$Z72)=0,0,MAX(0,IF((X$6-$E$3)&lt;1,0,IFERROR(LOOKUP(2,1/('Milho 2ª safra'!$E72:INDEX('Milho 2ª safra'!$E72:$Z72,MIN(X$6-$E$3,22))&lt;&gt;""),'Milho 2ª safra'!$E72:INDEX('Milho 2ª safra'!$E72:$Z72,MIN(X$6-$E$3,22))),0))-IF($G$2,0,IF((X$6-$G$3)&lt;1,0,IFERROR(LOOKUP(2,1/('Milho 2ª safra'!$E72:INDEX('Milho 2ª safra'!$E72:$Z72,MIN(X$6-$G$3,22))&lt;&gt;""),'Milho 2ª safra'!$E72:INDEX('Milho 2ª safra'!$E72:$Z72,MIN(X$6-$G$3,22))),0)))))</f>
        <v>0</v>
      </c>
      <c r="Y74" s="27" t="n">
        <f aca="false">IF(COUNT('Milho 2ª safra'!$E72:$Z72)=0,0,MAX(0,IF((Y$6-$E$3)&lt;1,0,IFERROR(LOOKUP(2,1/('Milho 2ª safra'!$E72:INDEX('Milho 2ª safra'!$E72:$Z72,MIN(Y$6-$E$3,22))&lt;&gt;""),'Milho 2ª safra'!$E72:INDEX('Milho 2ª safra'!$E72:$Z72,MIN(Y$6-$E$3,22))),0))-IF($G$2,0,IF((Y$6-$G$3)&lt;1,0,IFERROR(LOOKUP(2,1/('Milho 2ª safra'!$E72:INDEX('Milho 2ª safra'!$E72:$Z72,MIN(Y$6-$G$3,22))&lt;&gt;""),'Milho 2ª safra'!$E72:INDEX('Milho 2ª safra'!$E72:$Z72,MIN(Y$6-$G$3,22))),0)))))</f>
        <v>0</v>
      </c>
      <c r="Z74" s="27" t="n">
        <f aca="false">IF(COUNT('Milho 2ª safra'!$E72:$Z72)=0,0,MAX(0,IF((Z$6-$E$3)&lt;1,0,IFERROR(LOOKUP(2,1/('Milho 2ª safra'!$E72:INDEX('Milho 2ª safra'!$E72:$Z72,MIN(Z$6-$E$3,22))&lt;&gt;""),'Milho 2ª safra'!$E72:INDEX('Milho 2ª safra'!$E72:$Z72,MIN(Z$6-$E$3,22))),0))-IF($G$2,0,IF((Z$6-$G$3)&lt;1,0,IFERROR(LOOKUP(2,1/('Milho 2ª safra'!$E72:INDEX('Milho 2ª safra'!$E72:$Z72,MIN(Z$6-$G$3,22))&lt;&gt;""),'Milho 2ª safra'!$E72:INDEX('Milho 2ª safra'!$E72:$Z72,MIN(Z$6-$G$3,22))),0)))))</f>
        <v>0</v>
      </c>
      <c r="AA74" s="27" t="n">
        <f aca="false">IF(COUNT('Milho 2ª safra'!$E72:$Z72)=0,0,MAX(0,IF((AA$6-$E$3)&lt;1,0,IFERROR(LOOKUP(2,1/('Milho 2ª safra'!$E72:INDEX('Milho 2ª safra'!$E72:$Z72,MIN(AA$6-$E$3,22))&lt;&gt;""),'Milho 2ª safra'!$E72:INDEX('Milho 2ª safra'!$E72:$Z72,MIN(AA$6-$E$3,22))),0))-IF($G$2,0,IF((AA$6-$G$3)&lt;1,0,IFERROR(LOOKUP(2,1/('Milho 2ª safra'!$E72:INDEX('Milho 2ª safra'!$E72:$Z72,MIN(AA$6-$G$3,22))&lt;&gt;""),'Milho 2ª safra'!$E72:INDEX('Milho 2ª safra'!$E72:$Z72,MIN(AA$6-$G$3,22))),0)))))</f>
        <v>0</v>
      </c>
      <c r="AB74" s="27" t="n">
        <f aca="false">IF(COUNT('Milho 2ª safra'!$E72:$Z72)=0,0,MAX(0,IF((AB$6-$E$3)&lt;1,0,IFERROR(LOOKUP(2,1/('Milho 2ª safra'!$E72:INDEX('Milho 2ª safra'!$E72:$Z72,MIN(AB$6-$E$3,22))&lt;&gt;""),'Milho 2ª safra'!$E72:INDEX('Milho 2ª safra'!$E72:$Z72,MIN(AB$6-$E$3,22))),0))-IF($G$2,0,IF((AB$6-$G$3)&lt;1,0,IFERROR(LOOKUP(2,1/('Milho 2ª safra'!$E72:INDEX('Milho 2ª safra'!$E72:$Z72,MIN(AB$6-$G$3,22))&lt;&gt;""),'Milho 2ª safra'!$E72:INDEX('Milho 2ª safra'!$E72:$Z72,MIN(AB$6-$G$3,22))),0)))))</f>
        <v>0</v>
      </c>
      <c r="AC74" s="27" t="n">
        <f aca="false">IF(COUNT('Milho 2ª safra'!$E72:$Z72)=0,0,MAX(0,IF((AC$6-$E$3)&lt;1,0,IFERROR(LOOKUP(2,1/('Milho 2ª safra'!$E72:INDEX('Milho 2ª safra'!$E72:$Z72,MIN(AC$6-$E$3,22))&lt;&gt;""),'Milho 2ª safra'!$E72:INDEX('Milho 2ª safra'!$E72:$Z72,MIN(AC$6-$E$3,22))),0))-IF($G$2,0,IF((AC$6-$G$3)&lt;1,0,IFERROR(LOOKUP(2,1/('Milho 2ª safra'!$E72:INDEX('Milho 2ª safra'!$E72:$Z72,MIN(AC$6-$G$3,22))&lt;&gt;""),'Milho 2ª safra'!$E72:INDEX('Milho 2ª safra'!$E72:$Z72,MIN(AC$6-$G$3,22))),0)))))</f>
        <v>0</v>
      </c>
      <c r="AD74" s="27" t="n">
        <f aca="false">IF(COUNT('Milho 2ª safra'!$E72:$Z72)=0,0,MAX(0,IF((AD$6-$E$3)&lt;1,0,IFERROR(LOOKUP(2,1/('Milho 2ª safra'!$E72:INDEX('Milho 2ª safra'!$E72:$Z72,MIN(AD$6-$E$3,22))&lt;&gt;""),'Milho 2ª safra'!$E72:INDEX('Milho 2ª safra'!$E72:$Z72,MIN(AD$6-$E$3,22))),0))-IF($G$2,0,IF((AD$6-$G$3)&lt;1,0,IFERROR(LOOKUP(2,1/('Milho 2ª safra'!$E72:INDEX('Milho 2ª safra'!$E72:$Z72,MIN(AD$6-$G$3,22))&lt;&gt;""),'Milho 2ª safra'!$E72:INDEX('Milho 2ª safra'!$E72:$Z72,MIN(AD$6-$G$3,22))),0)))))</f>
        <v>0</v>
      </c>
      <c r="AE74" s="27" t="n">
        <f aca="false">IF(COUNT('Milho 2ª safra'!$E72:$Z72)=0,0,MAX(0,IF((AE$6-$E$3)&lt;1,0,IFERROR(LOOKUP(2,1/('Milho 2ª safra'!$E72:INDEX('Milho 2ª safra'!$E72:$Z72,MIN(AE$6-$E$3,22))&lt;&gt;""),'Milho 2ª safra'!$E72:INDEX('Milho 2ª safra'!$E72:$Z72,MIN(AE$6-$E$3,22))),0))-IF($G$2,0,IF((AE$6-$G$3)&lt;1,0,IFERROR(LOOKUP(2,1/('Milho 2ª safra'!$E72:INDEX('Milho 2ª safra'!$E72:$Z72,MIN(AE$6-$G$3,22))&lt;&gt;""),'Milho 2ª safra'!$E72:INDEX('Milho 2ª safra'!$E72:$Z72,MIN(AE$6-$G$3,22))),0)))))</f>
        <v>0</v>
      </c>
      <c r="AF74" s="27" t="n">
        <f aca="false">IF(COUNT('Milho 2ª safra'!$E72:$Z72)=0,0,MAX(0,IF((AF$6-$E$3)&lt;1,0,IFERROR(LOOKUP(2,1/('Milho 2ª safra'!$E72:INDEX('Milho 2ª safra'!$E72:$Z72,MIN(AF$6-$E$3,22))&lt;&gt;""),'Milho 2ª safra'!$E72:INDEX('Milho 2ª safra'!$E72:$Z72,MIN(AF$6-$E$3,22))),0))-IF($G$2,0,IF((AF$6-$G$3)&lt;1,0,IFERROR(LOOKUP(2,1/('Milho 2ª safra'!$E72:INDEX('Milho 2ª safra'!$E72:$Z72,MIN(AF$6-$G$3,22))&lt;&gt;""),'Milho 2ª safra'!$E72:INDEX('Milho 2ª safra'!$E72:$Z72,MIN(AF$6-$G$3,22))),0)))))</f>
        <v>0</v>
      </c>
      <c r="AG74" s="27" t="n">
        <f aca="false">IF(COUNT('Milho 2ª safra'!$E72:$Z72)=0,0,MAX(0,IF((AG$6-$E$3)&lt;1,0,IFERROR(LOOKUP(2,1/('Milho 2ª safra'!$E72:INDEX('Milho 2ª safra'!$E72:$Z72,MIN(AG$6-$E$3,22))&lt;&gt;""),'Milho 2ª safra'!$E72:INDEX('Milho 2ª safra'!$E72:$Z72,MIN(AG$6-$E$3,22))),0))-IF($G$2,0,IF((AG$6-$G$3)&lt;1,0,IFERROR(LOOKUP(2,1/('Milho 2ª safra'!$E72:INDEX('Milho 2ª safra'!$E72:$Z72,MIN(AG$6-$G$3,22))&lt;&gt;""),'Milho 2ª safra'!$E72:INDEX('Milho 2ª safra'!$E72:$Z72,MIN(AG$6-$G$3,22))),0)))))</f>
        <v>0</v>
      </c>
      <c r="AH74" s="27" t="n">
        <f aca="false">IF(COUNT('Milho 2ª safra'!$E72:$Z72)=0,0,MAX(0,IF((AH$6-$E$3)&lt;1,0,IFERROR(LOOKUP(2,1/('Milho 2ª safra'!$E72:INDEX('Milho 2ª safra'!$E72:$Z72,MIN(AH$6-$E$3,22))&lt;&gt;""),'Milho 2ª safra'!$E72:INDEX('Milho 2ª safra'!$E72:$Z72,MIN(AH$6-$E$3,22))),0))-IF($G$2,0,IF((AH$6-$G$3)&lt;1,0,IFERROR(LOOKUP(2,1/('Milho 2ª safra'!$E72:INDEX('Milho 2ª safra'!$E72:$Z72,MIN(AH$6-$G$3,22))&lt;&gt;""),'Milho 2ª safra'!$E72:INDEX('Milho 2ª safra'!$E72:$Z72,MIN(AH$6-$G$3,22))),0)))))</f>
        <v>0</v>
      </c>
      <c r="AI74" s="27" t="n">
        <f aca="false">IF(COUNT('Milho 2ª safra'!$E72:$Z72)=0,0,MAX(0,IF((AI$6-$E$3)&lt;1,0,IFERROR(LOOKUP(2,1/('Milho 2ª safra'!$E72:INDEX('Milho 2ª safra'!$E72:$Z72,MIN(AI$6-$E$3,22))&lt;&gt;""),'Milho 2ª safra'!$E72:INDEX('Milho 2ª safra'!$E72:$Z72,MIN(AI$6-$E$3,22))),0))-IF($G$2,0,IF((AI$6-$G$3)&lt;1,0,IFERROR(LOOKUP(2,1/('Milho 2ª safra'!$E72:INDEX('Milho 2ª safra'!$E72:$Z72,MIN(AI$6-$G$3,22))&lt;&gt;""),'Milho 2ª safra'!$E72:INDEX('Milho 2ª safra'!$E72:$Z72,MIN(AI$6-$G$3,22))),0)))))</f>
        <v>0</v>
      </c>
      <c r="AJ74" s="27" t="n">
        <f aca="false">IF(COUNT('Milho 2ª safra'!$E72:$Z72)=0,0,MAX(0,IF((AJ$6-$E$3)&lt;1,0,IFERROR(LOOKUP(2,1/('Milho 2ª safra'!$E72:INDEX('Milho 2ª safra'!$E72:$Z72,MIN(AJ$6-$E$3,22))&lt;&gt;""),'Milho 2ª safra'!$E72:INDEX('Milho 2ª safra'!$E72:$Z72,MIN(AJ$6-$E$3,22))),0))-IF($G$2,0,IF((AJ$6-$G$3)&lt;1,0,IFERROR(LOOKUP(2,1/('Milho 2ª safra'!$E72:INDEX('Milho 2ª safra'!$E72:$Z72,MIN(AJ$6-$G$3,22))&lt;&gt;""),'Milho 2ª safra'!$E72:INDEX('Milho 2ª safra'!$E72:$Z72,MIN(AJ$6-$G$3,22))),0)))))</f>
        <v>0</v>
      </c>
      <c r="AK74" s="27" t="n">
        <f aca="false">IF(COUNT('Milho 2ª safra'!$E72:$Z72)=0,0,MAX(0,IF((AK$6-$E$3)&lt;1,0,IFERROR(LOOKUP(2,1/('Milho 2ª safra'!$E72:INDEX('Milho 2ª safra'!$E72:$Z72,MIN(AK$6-$E$3,22))&lt;&gt;""),'Milho 2ª safra'!$E72:INDEX('Milho 2ª safra'!$E72:$Z72,MIN(AK$6-$E$3,22))),0))-IF($G$2,0,IF((AK$6-$G$3)&lt;1,0,IFERROR(LOOKUP(2,1/('Milho 2ª safra'!$E72:INDEX('Milho 2ª safra'!$E72:$Z72,MIN(AK$6-$G$3,22))&lt;&gt;""),'Milho 2ª safra'!$E72:INDEX('Milho 2ª safra'!$E72:$Z72,MIN(AK$6-$G$3,22))),0)))))</f>
        <v>0</v>
      </c>
      <c r="AL74" s="27" t="n">
        <f aca="false">IF(COUNT('Milho 2ª safra'!$E72:$Z72)=0,0,MAX(0,IF((AL$6-$E$3)&lt;1,0,IFERROR(LOOKUP(2,1/('Milho 2ª safra'!$E72:INDEX('Milho 2ª safra'!$E72:$Z72,MIN(AL$6-$E$3,22))&lt;&gt;""),'Milho 2ª safra'!$E72:INDEX('Milho 2ª safra'!$E72:$Z72,MIN(AL$6-$E$3,22))),0))-IF($G$2,0,IF((AL$6-$G$3)&lt;1,0,IFERROR(LOOKUP(2,1/('Milho 2ª safra'!$E72:INDEX('Milho 2ª safra'!$E72:$Z72,MIN(AL$6-$G$3,22))&lt;&gt;""),'Milho 2ª safra'!$E72:INDEX('Milho 2ª safra'!$E72:$Z72,MIN(AL$6-$G$3,22))),0)))))</f>
        <v>0</v>
      </c>
      <c r="AM74" s="27" t="n">
        <f aca="false">IF(COUNT('Milho 2ª safra'!$E72:$Z72)=0,0,MAX(0,IF((AM$6-$E$3)&lt;1,0,IFERROR(LOOKUP(2,1/('Milho 2ª safra'!$E72:INDEX('Milho 2ª safra'!$E72:$Z72,MIN(AM$6-$E$3,22))&lt;&gt;""),'Milho 2ª safra'!$E72:INDEX('Milho 2ª safra'!$E72:$Z72,MIN(AM$6-$E$3,22))),0))-IF($G$2,0,IF((AM$6-$G$3)&lt;1,0,IFERROR(LOOKUP(2,1/('Milho 2ª safra'!$E72:INDEX('Milho 2ª safra'!$E72:$Z72,MIN(AM$6-$G$3,22))&lt;&gt;""),'Milho 2ª safra'!$E72:INDEX('Milho 2ª safra'!$E72:$Z72,MIN(AM$6-$G$3,22))),0)))))</f>
        <v>0</v>
      </c>
      <c r="AN74" s="27" t="n">
        <f aca="false">IF(COUNT('Milho 2ª safra'!$E72:$Z72)=0,0,MAX(0,IF((AN$6-$E$3)&lt;1,0,IFERROR(LOOKUP(2,1/('Milho 2ª safra'!$E72:INDEX('Milho 2ª safra'!$E72:$Z72,MIN(AN$6-$E$3,22))&lt;&gt;""),'Milho 2ª safra'!$E72:INDEX('Milho 2ª safra'!$E72:$Z72,MIN(AN$6-$E$3,22))),0))-IF($G$2,0,IF((AN$6-$G$3)&lt;1,0,IFERROR(LOOKUP(2,1/('Milho 2ª safra'!$E72:INDEX('Milho 2ª safra'!$E72:$Z72,MIN(AN$6-$G$3,22))&lt;&gt;""),'Milho 2ª safra'!$E72:INDEX('Milho 2ª safra'!$E72:$Z72,MIN(AN$6-$G$3,22))),0)))))</f>
        <v>0</v>
      </c>
      <c r="AO74" s="27" t="n">
        <f aca="false">IF(COUNT('Milho 2ª safra'!$E72:$Z72)=0,0,MAX(0,IF((AO$6-$E$3)&lt;1,0,IFERROR(LOOKUP(2,1/('Milho 2ª safra'!$E72:INDEX('Milho 2ª safra'!$E72:$Z72,MIN(AO$6-$E$3,22))&lt;&gt;""),'Milho 2ª safra'!$E72:INDEX('Milho 2ª safra'!$E72:$Z72,MIN(AO$6-$E$3,22))),0))-IF($G$2,0,IF((AO$6-$G$3)&lt;1,0,IFERROR(LOOKUP(2,1/('Milho 2ª safra'!$E72:INDEX('Milho 2ª safra'!$E72:$Z72,MIN(AO$6-$G$3,22))&lt;&gt;""),'Milho 2ª safra'!$E72:INDEX('Milho 2ª safra'!$E72:$Z72,MIN(AO$6-$G$3,22))),0)))))</f>
        <v>0</v>
      </c>
      <c r="AP74" s="27" t="n">
        <f aca="false">IF(COUNT('Milho 2ª safra'!$E72:$Z72)=0,0,MAX(0,IF((AP$6-$E$3)&lt;1,0,IFERROR(LOOKUP(2,1/('Milho 2ª safra'!$E72:INDEX('Milho 2ª safra'!$E72:$Z72,MIN(AP$6-$E$3,22))&lt;&gt;""),'Milho 2ª safra'!$E72:INDEX('Milho 2ª safra'!$E72:$Z72,MIN(AP$6-$E$3,22))),0))-IF($G$2,0,IF((AP$6-$G$3)&lt;1,0,IFERROR(LOOKUP(2,1/('Milho 2ª safra'!$E72:INDEX('Milho 2ª safra'!$E72:$Z72,MIN(AP$6-$G$3,22))&lt;&gt;""),'Milho 2ª safra'!$E72:INDEX('Milho 2ª safra'!$E72:$Z72,MIN(AP$6-$G$3,22))),0)))))</f>
        <v>0</v>
      </c>
      <c r="AQ74" s="27" t="n">
        <f aca="false">IF(COUNT('Milho 2ª safra'!$E72:$Z72)=0,0,MAX(0,IF((AQ$6-$E$3)&lt;1,0,IFERROR(LOOKUP(2,1/('Milho 2ª safra'!$E72:INDEX('Milho 2ª safra'!$E72:$Z72,MIN(AQ$6-$E$3,22))&lt;&gt;""),'Milho 2ª safra'!$E72:INDEX('Milho 2ª safra'!$E72:$Z72,MIN(AQ$6-$E$3,22))),0))-IF($G$2,0,IF((AQ$6-$G$3)&lt;1,0,IFERROR(LOOKUP(2,1/('Milho 2ª safra'!$E72:INDEX('Milho 2ª safra'!$E72:$Z72,MIN(AQ$6-$G$3,22))&lt;&gt;""),'Milho 2ª safra'!$E72:INDEX('Milho 2ª safra'!$E72:$Z72,MIN(AQ$6-$G$3,22))),0)))))</f>
        <v>0</v>
      </c>
      <c r="AR74" s="27" t="n">
        <f aca="false">IF(COUNT('Milho 2ª safra'!$E72:$Z72)=0,0,MAX(0,IF((AR$6-$E$3)&lt;1,0,IFERROR(LOOKUP(2,1/('Milho 2ª safra'!$E72:INDEX('Milho 2ª safra'!$E72:$Z72,MIN(AR$6-$E$3,22))&lt;&gt;""),'Milho 2ª safra'!$E72:INDEX('Milho 2ª safra'!$E72:$Z72,MIN(AR$6-$E$3,22))),0))-IF($G$2,0,IF((AR$6-$G$3)&lt;1,0,IFERROR(LOOKUP(2,1/('Milho 2ª safra'!$E72:INDEX('Milho 2ª safra'!$E72:$Z72,MIN(AR$6-$G$3,22))&lt;&gt;""),'Milho 2ª safra'!$E72:INDEX('Milho 2ª safra'!$E72:$Z72,MIN(AR$6-$G$3,22))),0)))))</f>
        <v>0</v>
      </c>
      <c r="AS74" s="27" t="n">
        <f aca="false">IF(COUNT('Milho 2ª safra'!$E72:$Z72)=0,0,MAX(0,IF((AS$6-$E$3)&lt;1,0,IFERROR(LOOKUP(2,1/('Milho 2ª safra'!$E72:INDEX('Milho 2ª safra'!$E72:$Z72,MIN(AS$6-$E$3,22))&lt;&gt;""),'Milho 2ª safra'!$E72:INDEX('Milho 2ª safra'!$E72:$Z72,MIN(AS$6-$E$3,22))),0))-IF($G$2,0,IF((AS$6-$G$3)&lt;1,0,IFERROR(LOOKUP(2,1/('Milho 2ª safra'!$E72:INDEX('Milho 2ª safra'!$E72:$Z72,MIN(AS$6-$G$3,22))&lt;&gt;""),'Milho 2ª safra'!$E72:INDEX('Milho 2ª safra'!$E72:$Z72,MIN(AS$6-$G$3,22))),0)))))</f>
        <v>0</v>
      </c>
      <c r="AT74" s="27" t="n">
        <f aca="false">IF(COUNT('Milho 2ª safra'!$E72:$Z72)=0,0,MAX(0,IF((AT$6-$E$3)&lt;1,0,IFERROR(LOOKUP(2,1/('Milho 2ª safra'!$E72:INDEX('Milho 2ª safra'!$E72:$Z72,MIN(AT$6-$E$3,22))&lt;&gt;""),'Milho 2ª safra'!$E72:INDEX('Milho 2ª safra'!$E72:$Z72,MIN(AT$6-$E$3,22))),0))-IF($G$2,0,IF((AT$6-$G$3)&lt;1,0,IFERROR(LOOKUP(2,1/('Milho 2ª safra'!$E72:INDEX('Milho 2ª safra'!$E72:$Z72,MIN(AT$6-$G$3,22))&lt;&gt;""),'Milho 2ª safra'!$E72:INDEX('Milho 2ª safra'!$E72:$Z72,MIN(AT$6-$G$3,22))),0)))))</f>
        <v>0</v>
      </c>
      <c r="AU74" s="27" t="n">
        <f aca="false">IF(COUNT('Milho 2ª safra'!$E72:$Z72)=0,0,MAX(0,IF((AU$6-$E$3)&lt;1,0,IFERROR(LOOKUP(2,1/('Milho 2ª safra'!$E72:INDEX('Milho 2ª safra'!$E72:$Z72,MIN(AU$6-$E$3,22))&lt;&gt;""),'Milho 2ª safra'!$E72:INDEX('Milho 2ª safra'!$E72:$Z72,MIN(AU$6-$E$3,22))),0))-IF($G$2,0,IF((AU$6-$G$3)&lt;1,0,IFERROR(LOOKUP(2,1/('Milho 2ª safra'!$E72:INDEX('Milho 2ª safra'!$E72:$Z72,MIN(AU$6-$G$3,22))&lt;&gt;""),'Milho 2ª safra'!$E72:INDEX('Milho 2ª safra'!$E72:$Z72,MIN(AU$6-$G$3,22))),0)))))</f>
        <v>0</v>
      </c>
      <c r="AV74" s="27" t="n">
        <f aca="false">IF(COUNT('Milho 2ª safra'!$E72:$Z72)=0,0,MAX(0,IF((AV$6-$E$3)&lt;1,0,IFERROR(LOOKUP(2,1/('Milho 2ª safra'!$E72:INDEX('Milho 2ª safra'!$E72:$Z72,MIN(AV$6-$E$3,22))&lt;&gt;""),'Milho 2ª safra'!$E72:INDEX('Milho 2ª safra'!$E72:$Z72,MIN(AV$6-$E$3,22))),0))-IF($G$2,0,IF((AV$6-$G$3)&lt;1,0,IFERROR(LOOKUP(2,1/('Milho 2ª safra'!$E72:INDEX('Milho 2ª safra'!$E72:$Z72,MIN(AV$6-$G$3,22))&lt;&gt;""),'Milho 2ª safra'!$E72:INDEX('Milho 2ª safra'!$E72:$Z72,MIN(AV$6-$G$3,22))),0)))))</f>
        <v>0</v>
      </c>
      <c r="AW74" s="27" t="n">
        <f aca="false">IF(COUNT('Milho 2ª safra'!$E72:$Z72)=0,0,MAX(0,IF((AW$6-$E$3)&lt;1,0,IFERROR(LOOKUP(2,1/('Milho 2ª safra'!$E72:INDEX('Milho 2ª safra'!$E72:$Z72,MIN(AW$6-$E$3,22))&lt;&gt;""),'Milho 2ª safra'!$E72:INDEX('Milho 2ª safra'!$E72:$Z72,MIN(AW$6-$E$3,22))),0))-IF($G$2,0,IF((AW$6-$G$3)&lt;1,0,IFERROR(LOOKUP(2,1/('Milho 2ª safra'!$E72:INDEX('Milho 2ª safra'!$E72:$Z72,MIN(AW$6-$G$3,22))&lt;&gt;""),'Milho 2ª safra'!$E72:INDEX('Milho 2ª safra'!$E72:$Z72,MIN(AW$6-$G$3,22))),0)))))</f>
        <v>0</v>
      </c>
      <c r="AX74" s="27" t="n">
        <f aca="false">IF(COUNT('Milho 2ª safra'!$E72:$Z72)=0,0,MAX(0,IF((AX$6-$E$3)&lt;1,0,IFERROR(LOOKUP(2,1/('Milho 2ª safra'!$E72:INDEX('Milho 2ª safra'!$E72:$Z72,MIN(AX$6-$E$3,22))&lt;&gt;""),'Milho 2ª safra'!$E72:INDEX('Milho 2ª safra'!$E72:$Z72,MIN(AX$6-$E$3,22))),0))-IF($G$2,0,IF((AX$6-$G$3)&lt;1,0,IFERROR(LOOKUP(2,1/('Milho 2ª safra'!$E72:INDEX('Milho 2ª safra'!$E72:$Z72,MIN(AX$6-$G$3,22))&lt;&gt;""),'Milho 2ª safra'!$E72:INDEX('Milho 2ª safra'!$E72:$Z72,MIN(AX$6-$G$3,22))),0)))))</f>
        <v>0</v>
      </c>
      <c r="AY74" s="27" t="n">
        <f aca="false">IF(COUNT('Milho 2ª safra'!$E72:$Z72)=0,0,MAX(0,IF((AY$6-$E$3)&lt;1,0,IFERROR(LOOKUP(2,1/('Milho 2ª safra'!$E72:INDEX('Milho 2ª safra'!$E72:$Z72,MIN(AY$6-$E$3,22))&lt;&gt;""),'Milho 2ª safra'!$E72:INDEX('Milho 2ª safra'!$E72:$Z72,MIN(AY$6-$E$3,22))),0))-IF($G$2,0,IF((AY$6-$G$3)&lt;1,0,IFERROR(LOOKUP(2,1/('Milho 2ª safra'!$E72:INDEX('Milho 2ª safra'!$E72:$Z72,MIN(AY$6-$G$3,22))&lt;&gt;""),'Milho 2ª safra'!$E72:INDEX('Milho 2ª safra'!$E72:$Z72,MIN(AY$6-$G$3,22))),0)))))</f>
        <v>0</v>
      </c>
      <c r="AZ74" s="27" t="n">
        <f aca="false">IF(COUNT('Milho 2ª safra'!$E72:$Z72)=0,0,MAX(0,IF((AZ$6-$E$3)&lt;1,0,IFERROR(LOOKUP(2,1/('Milho 2ª safra'!$E72:INDEX('Milho 2ª safra'!$E72:$Z72,MIN(AZ$6-$E$3,22))&lt;&gt;""),'Milho 2ª safra'!$E72:INDEX('Milho 2ª safra'!$E72:$Z72,MIN(AZ$6-$E$3,22))),0))-IF($G$2,0,IF((AZ$6-$G$3)&lt;1,0,IFERROR(LOOKUP(2,1/('Milho 2ª safra'!$E72:INDEX('Milho 2ª safra'!$E72:$Z72,MIN(AZ$6-$G$3,22))&lt;&gt;""),'Milho 2ª safra'!$E72:INDEX('Milho 2ª safra'!$E72:$Z72,MIN(AZ$6-$G$3,22))),0)))))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IF(COUNT('Milho 2ª safra'!$E73:$Z73)&gt;0,N('Milho 2ª safra'!$D73),0)</f>
        <v>0</v>
      </c>
      <c r="E75" s="27" t="n">
        <f aca="false">IF(COUNT('Milho 2ª safra'!$E73:$Z73)=0,0,MAX(0,IF((E$6-$E$3)&lt;1,0,IFERROR(LOOKUP(2,1/('Milho 2ª safra'!$E73:INDEX('Milho 2ª safra'!$E73:$Z73,MIN(E$6-$E$3,22))&lt;&gt;""),'Milho 2ª safra'!$E73:INDEX('Milho 2ª safra'!$E73:$Z73,MIN(E$6-$E$3,22))),0))-IF($G$2,0,IF((E$6-$G$3)&lt;1,0,IFERROR(LOOKUP(2,1/('Milho 2ª safra'!$E73:INDEX('Milho 2ª safra'!$E73:$Z73,MIN(E$6-$G$3,22))&lt;&gt;""),'Milho 2ª safra'!$E73:INDEX('Milho 2ª safra'!$E73:$Z73,MIN(E$6-$G$3,22))),0)))))</f>
        <v>0</v>
      </c>
      <c r="F75" s="27" t="n">
        <f aca="false">IF(COUNT('Milho 2ª safra'!$E73:$Z73)=0,0,MAX(0,IF((F$6-$E$3)&lt;1,0,IFERROR(LOOKUP(2,1/('Milho 2ª safra'!$E73:INDEX('Milho 2ª safra'!$E73:$Z73,MIN(F$6-$E$3,22))&lt;&gt;""),'Milho 2ª safra'!$E73:INDEX('Milho 2ª safra'!$E73:$Z73,MIN(F$6-$E$3,22))),0))-IF($G$2,0,IF((F$6-$G$3)&lt;1,0,IFERROR(LOOKUP(2,1/('Milho 2ª safra'!$E73:INDEX('Milho 2ª safra'!$E73:$Z73,MIN(F$6-$G$3,22))&lt;&gt;""),'Milho 2ª safra'!$E73:INDEX('Milho 2ª safra'!$E73:$Z73,MIN(F$6-$G$3,22))),0)))))</f>
        <v>0</v>
      </c>
      <c r="G75" s="27" t="n">
        <f aca="false">IF(COUNT('Milho 2ª safra'!$E73:$Z73)=0,0,MAX(0,IF((G$6-$E$3)&lt;1,0,IFERROR(LOOKUP(2,1/('Milho 2ª safra'!$E73:INDEX('Milho 2ª safra'!$E73:$Z73,MIN(G$6-$E$3,22))&lt;&gt;""),'Milho 2ª safra'!$E73:INDEX('Milho 2ª safra'!$E73:$Z73,MIN(G$6-$E$3,22))),0))-IF($G$2,0,IF((G$6-$G$3)&lt;1,0,IFERROR(LOOKUP(2,1/('Milho 2ª safra'!$E73:INDEX('Milho 2ª safra'!$E73:$Z73,MIN(G$6-$G$3,22))&lt;&gt;""),'Milho 2ª safra'!$E73:INDEX('Milho 2ª safra'!$E73:$Z73,MIN(G$6-$G$3,22))),0)))))</f>
        <v>0</v>
      </c>
      <c r="H75" s="27" t="n">
        <f aca="false">IF(COUNT('Milho 2ª safra'!$E73:$Z73)=0,0,MAX(0,IF((H$6-$E$3)&lt;1,0,IFERROR(LOOKUP(2,1/('Milho 2ª safra'!$E73:INDEX('Milho 2ª safra'!$E73:$Z73,MIN(H$6-$E$3,22))&lt;&gt;""),'Milho 2ª safra'!$E73:INDEX('Milho 2ª safra'!$E73:$Z73,MIN(H$6-$E$3,22))),0))-IF($G$2,0,IF((H$6-$G$3)&lt;1,0,IFERROR(LOOKUP(2,1/('Milho 2ª safra'!$E73:INDEX('Milho 2ª safra'!$E73:$Z73,MIN(H$6-$G$3,22))&lt;&gt;""),'Milho 2ª safra'!$E73:INDEX('Milho 2ª safra'!$E73:$Z73,MIN(H$6-$G$3,22))),0)))))</f>
        <v>0</v>
      </c>
      <c r="I75" s="27" t="n">
        <f aca="false">IF(COUNT('Milho 2ª safra'!$E73:$Z73)=0,0,MAX(0,IF((I$6-$E$3)&lt;1,0,IFERROR(LOOKUP(2,1/('Milho 2ª safra'!$E73:INDEX('Milho 2ª safra'!$E73:$Z73,MIN(I$6-$E$3,22))&lt;&gt;""),'Milho 2ª safra'!$E73:INDEX('Milho 2ª safra'!$E73:$Z73,MIN(I$6-$E$3,22))),0))-IF($G$2,0,IF((I$6-$G$3)&lt;1,0,IFERROR(LOOKUP(2,1/('Milho 2ª safra'!$E73:INDEX('Milho 2ª safra'!$E73:$Z73,MIN(I$6-$G$3,22))&lt;&gt;""),'Milho 2ª safra'!$E73:INDEX('Milho 2ª safra'!$E73:$Z73,MIN(I$6-$G$3,22))),0)))))</f>
        <v>0</v>
      </c>
      <c r="J75" s="27" t="n">
        <f aca="false">IF(COUNT('Milho 2ª safra'!$E73:$Z73)=0,0,MAX(0,IF((J$6-$E$3)&lt;1,0,IFERROR(LOOKUP(2,1/('Milho 2ª safra'!$E73:INDEX('Milho 2ª safra'!$E73:$Z73,MIN(J$6-$E$3,22))&lt;&gt;""),'Milho 2ª safra'!$E73:INDEX('Milho 2ª safra'!$E73:$Z73,MIN(J$6-$E$3,22))),0))-IF($G$2,0,IF((J$6-$G$3)&lt;1,0,IFERROR(LOOKUP(2,1/('Milho 2ª safra'!$E73:INDEX('Milho 2ª safra'!$E73:$Z73,MIN(J$6-$G$3,22))&lt;&gt;""),'Milho 2ª safra'!$E73:INDEX('Milho 2ª safra'!$E73:$Z73,MIN(J$6-$G$3,22))),0)))))</f>
        <v>0</v>
      </c>
      <c r="K75" s="27" t="n">
        <f aca="false">IF(COUNT('Milho 2ª safra'!$E73:$Z73)=0,0,MAX(0,IF((K$6-$E$3)&lt;1,0,IFERROR(LOOKUP(2,1/('Milho 2ª safra'!$E73:INDEX('Milho 2ª safra'!$E73:$Z73,MIN(K$6-$E$3,22))&lt;&gt;""),'Milho 2ª safra'!$E73:INDEX('Milho 2ª safra'!$E73:$Z73,MIN(K$6-$E$3,22))),0))-IF($G$2,0,IF((K$6-$G$3)&lt;1,0,IFERROR(LOOKUP(2,1/('Milho 2ª safra'!$E73:INDEX('Milho 2ª safra'!$E73:$Z73,MIN(K$6-$G$3,22))&lt;&gt;""),'Milho 2ª safra'!$E73:INDEX('Milho 2ª safra'!$E73:$Z73,MIN(K$6-$G$3,22))),0)))))</f>
        <v>0</v>
      </c>
      <c r="L75" s="27" t="n">
        <f aca="false">IF(COUNT('Milho 2ª safra'!$E73:$Z73)=0,0,MAX(0,IF((L$6-$E$3)&lt;1,0,IFERROR(LOOKUP(2,1/('Milho 2ª safra'!$E73:INDEX('Milho 2ª safra'!$E73:$Z73,MIN(L$6-$E$3,22))&lt;&gt;""),'Milho 2ª safra'!$E73:INDEX('Milho 2ª safra'!$E73:$Z73,MIN(L$6-$E$3,22))),0))-IF($G$2,0,IF((L$6-$G$3)&lt;1,0,IFERROR(LOOKUP(2,1/('Milho 2ª safra'!$E73:INDEX('Milho 2ª safra'!$E73:$Z73,MIN(L$6-$G$3,22))&lt;&gt;""),'Milho 2ª safra'!$E73:INDEX('Milho 2ª safra'!$E73:$Z73,MIN(L$6-$G$3,22))),0)))))</f>
        <v>0</v>
      </c>
      <c r="M75" s="27" t="n">
        <f aca="false">IF(COUNT('Milho 2ª safra'!$E73:$Z73)=0,0,MAX(0,IF((M$6-$E$3)&lt;1,0,IFERROR(LOOKUP(2,1/('Milho 2ª safra'!$E73:INDEX('Milho 2ª safra'!$E73:$Z73,MIN(M$6-$E$3,22))&lt;&gt;""),'Milho 2ª safra'!$E73:INDEX('Milho 2ª safra'!$E73:$Z73,MIN(M$6-$E$3,22))),0))-IF($G$2,0,IF((M$6-$G$3)&lt;1,0,IFERROR(LOOKUP(2,1/('Milho 2ª safra'!$E73:INDEX('Milho 2ª safra'!$E73:$Z73,MIN(M$6-$G$3,22))&lt;&gt;""),'Milho 2ª safra'!$E73:INDEX('Milho 2ª safra'!$E73:$Z73,MIN(M$6-$G$3,22))),0)))))</f>
        <v>0</v>
      </c>
      <c r="N75" s="27" t="n">
        <f aca="false">IF(COUNT('Milho 2ª safra'!$E73:$Z73)=0,0,MAX(0,IF((N$6-$E$3)&lt;1,0,IFERROR(LOOKUP(2,1/('Milho 2ª safra'!$E73:INDEX('Milho 2ª safra'!$E73:$Z73,MIN(N$6-$E$3,22))&lt;&gt;""),'Milho 2ª safra'!$E73:INDEX('Milho 2ª safra'!$E73:$Z73,MIN(N$6-$E$3,22))),0))-IF($G$2,0,IF((N$6-$G$3)&lt;1,0,IFERROR(LOOKUP(2,1/('Milho 2ª safra'!$E73:INDEX('Milho 2ª safra'!$E73:$Z73,MIN(N$6-$G$3,22))&lt;&gt;""),'Milho 2ª safra'!$E73:INDEX('Milho 2ª safra'!$E73:$Z73,MIN(N$6-$G$3,22))),0)))))</f>
        <v>0</v>
      </c>
      <c r="O75" s="27" t="n">
        <f aca="false">IF(COUNT('Milho 2ª safra'!$E73:$Z73)=0,0,MAX(0,IF((O$6-$E$3)&lt;1,0,IFERROR(LOOKUP(2,1/('Milho 2ª safra'!$E73:INDEX('Milho 2ª safra'!$E73:$Z73,MIN(O$6-$E$3,22))&lt;&gt;""),'Milho 2ª safra'!$E73:INDEX('Milho 2ª safra'!$E73:$Z73,MIN(O$6-$E$3,22))),0))-IF($G$2,0,IF((O$6-$G$3)&lt;1,0,IFERROR(LOOKUP(2,1/('Milho 2ª safra'!$E73:INDEX('Milho 2ª safra'!$E73:$Z73,MIN(O$6-$G$3,22))&lt;&gt;""),'Milho 2ª safra'!$E73:INDEX('Milho 2ª safra'!$E73:$Z73,MIN(O$6-$G$3,22))),0)))))</f>
        <v>0</v>
      </c>
      <c r="P75" s="27" t="n">
        <f aca="false">IF(COUNT('Milho 2ª safra'!$E73:$Z73)=0,0,MAX(0,IF((P$6-$E$3)&lt;1,0,IFERROR(LOOKUP(2,1/('Milho 2ª safra'!$E73:INDEX('Milho 2ª safra'!$E73:$Z73,MIN(P$6-$E$3,22))&lt;&gt;""),'Milho 2ª safra'!$E73:INDEX('Milho 2ª safra'!$E73:$Z73,MIN(P$6-$E$3,22))),0))-IF($G$2,0,IF((P$6-$G$3)&lt;1,0,IFERROR(LOOKUP(2,1/('Milho 2ª safra'!$E73:INDEX('Milho 2ª safra'!$E73:$Z73,MIN(P$6-$G$3,22))&lt;&gt;""),'Milho 2ª safra'!$E73:INDEX('Milho 2ª safra'!$E73:$Z73,MIN(P$6-$G$3,22))),0)))))</f>
        <v>0</v>
      </c>
      <c r="Q75" s="27" t="n">
        <f aca="false">IF(COUNT('Milho 2ª safra'!$E73:$Z73)=0,0,MAX(0,IF((Q$6-$E$3)&lt;1,0,IFERROR(LOOKUP(2,1/('Milho 2ª safra'!$E73:INDEX('Milho 2ª safra'!$E73:$Z73,MIN(Q$6-$E$3,22))&lt;&gt;""),'Milho 2ª safra'!$E73:INDEX('Milho 2ª safra'!$E73:$Z73,MIN(Q$6-$E$3,22))),0))-IF($G$2,0,IF((Q$6-$G$3)&lt;1,0,IFERROR(LOOKUP(2,1/('Milho 2ª safra'!$E73:INDEX('Milho 2ª safra'!$E73:$Z73,MIN(Q$6-$G$3,22))&lt;&gt;""),'Milho 2ª safra'!$E73:INDEX('Milho 2ª safra'!$E73:$Z73,MIN(Q$6-$G$3,22))),0)))))</f>
        <v>0</v>
      </c>
      <c r="R75" s="27" t="n">
        <f aca="false">IF(COUNT('Milho 2ª safra'!$E73:$Z73)=0,0,MAX(0,IF((R$6-$E$3)&lt;1,0,IFERROR(LOOKUP(2,1/('Milho 2ª safra'!$E73:INDEX('Milho 2ª safra'!$E73:$Z73,MIN(R$6-$E$3,22))&lt;&gt;""),'Milho 2ª safra'!$E73:INDEX('Milho 2ª safra'!$E73:$Z73,MIN(R$6-$E$3,22))),0))-IF($G$2,0,IF((R$6-$G$3)&lt;1,0,IFERROR(LOOKUP(2,1/('Milho 2ª safra'!$E73:INDEX('Milho 2ª safra'!$E73:$Z73,MIN(R$6-$G$3,22))&lt;&gt;""),'Milho 2ª safra'!$E73:INDEX('Milho 2ª safra'!$E73:$Z73,MIN(R$6-$G$3,22))),0)))))</f>
        <v>0</v>
      </c>
      <c r="S75" s="27" t="n">
        <f aca="false">IF(COUNT('Milho 2ª safra'!$E73:$Z73)=0,0,MAX(0,IF((S$6-$E$3)&lt;1,0,IFERROR(LOOKUP(2,1/('Milho 2ª safra'!$E73:INDEX('Milho 2ª safra'!$E73:$Z73,MIN(S$6-$E$3,22))&lt;&gt;""),'Milho 2ª safra'!$E73:INDEX('Milho 2ª safra'!$E73:$Z73,MIN(S$6-$E$3,22))),0))-IF($G$2,0,IF((S$6-$G$3)&lt;1,0,IFERROR(LOOKUP(2,1/('Milho 2ª safra'!$E73:INDEX('Milho 2ª safra'!$E73:$Z73,MIN(S$6-$G$3,22))&lt;&gt;""),'Milho 2ª safra'!$E73:INDEX('Milho 2ª safra'!$E73:$Z73,MIN(S$6-$G$3,22))),0)))))</f>
        <v>0</v>
      </c>
      <c r="T75" s="27" t="n">
        <f aca="false">IF(COUNT('Milho 2ª safra'!$E73:$Z73)=0,0,MAX(0,IF((T$6-$E$3)&lt;1,0,IFERROR(LOOKUP(2,1/('Milho 2ª safra'!$E73:INDEX('Milho 2ª safra'!$E73:$Z73,MIN(T$6-$E$3,22))&lt;&gt;""),'Milho 2ª safra'!$E73:INDEX('Milho 2ª safra'!$E73:$Z73,MIN(T$6-$E$3,22))),0))-IF($G$2,0,IF((T$6-$G$3)&lt;1,0,IFERROR(LOOKUP(2,1/('Milho 2ª safra'!$E73:INDEX('Milho 2ª safra'!$E73:$Z73,MIN(T$6-$G$3,22))&lt;&gt;""),'Milho 2ª safra'!$E73:INDEX('Milho 2ª safra'!$E73:$Z73,MIN(T$6-$G$3,22))),0)))))</f>
        <v>0</v>
      </c>
      <c r="U75" s="27" t="n">
        <f aca="false">IF(COUNT('Milho 2ª safra'!$E73:$Z73)=0,0,MAX(0,IF((U$6-$E$3)&lt;1,0,IFERROR(LOOKUP(2,1/('Milho 2ª safra'!$E73:INDEX('Milho 2ª safra'!$E73:$Z73,MIN(U$6-$E$3,22))&lt;&gt;""),'Milho 2ª safra'!$E73:INDEX('Milho 2ª safra'!$E73:$Z73,MIN(U$6-$E$3,22))),0))-IF($G$2,0,IF((U$6-$G$3)&lt;1,0,IFERROR(LOOKUP(2,1/('Milho 2ª safra'!$E73:INDEX('Milho 2ª safra'!$E73:$Z73,MIN(U$6-$G$3,22))&lt;&gt;""),'Milho 2ª safra'!$E73:INDEX('Milho 2ª safra'!$E73:$Z73,MIN(U$6-$G$3,22))),0)))))</f>
        <v>0</v>
      </c>
      <c r="V75" s="27" t="n">
        <f aca="false">IF(COUNT('Milho 2ª safra'!$E73:$Z73)=0,0,MAX(0,IF((V$6-$E$3)&lt;1,0,IFERROR(LOOKUP(2,1/('Milho 2ª safra'!$E73:INDEX('Milho 2ª safra'!$E73:$Z73,MIN(V$6-$E$3,22))&lt;&gt;""),'Milho 2ª safra'!$E73:INDEX('Milho 2ª safra'!$E73:$Z73,MIN(V$6-$E$3,22))),0))-IF($G$2,0,IF((V$6-$G$3)&lt;1,0,IFERROR(LOOKUP(2,1/('Milho 2ª safra'!$E73:INDEX('Milho 2ª safra'!$E73:$Z73,MIN(V$6-$G$3,22))&lt;&gt;""),'Milho 2ª safra'!$E73:INDEX('Milho 2ª safra'!$E73:$Z73,MIN(V$6-$G$3,22))),0)))))</f>
        <v>0</v>
      </c>
      <c r="W75" s="27" t="n">
        <f aca="false">IF(COUNT('Milho 2ª safra'!$E73:$Z73)=0,0,MAX(0,IF((W$6-$E$3)&lt;1,0,IFERROR(LOOKUP(2,1/('Milho 2ª safra'!$E73:INDEX('Milho 2ª safra'!$E73:$Z73,MIN(W$6-$E$3,22))&lt;&gt;""),'Milho 2ª safra'!$E73:INDEX('Milho 2ª safra'!$E73:$Z73,MIN(W$6-$E$3,22))),0))-IF($G$2,0,IF((W$6-$G$3)&lt;1,0,IFERROR(LOOKUP(2,1/('Milho 2ª safra'!$E73:INDEX('Milho 2ª safra'!$E73:$Z73,MIN(W$6-$G$3,22))&lt;&gt;""),'Milho 2ª safra'!$E73:INDEX('Milho 2ª safra'!$E73:$Z73,MIN(W$6-$G$3,22))),0)))))</f>
        <v>0</v>
      </c>
      <c r="X75" s="27" t="n">
        <f aca="false">IF(COUNT('Milho 2ª safra'!$E73:$Z73)=0,0,MAX(0,IF((X$6-$E$3)&lt;1,0,IFERROR(LOOKUP(2,1/('Milho 2ª safra'!$E73:INDEX('Milho 2ª safra'!$E73:$Z73,MIN(X$6-$E$3,22))&lt;&gt;""),'Milho 2ª safra'!$E73:INDEX('Milho 2ª safra'!$E73:$Z73,MIN(X$6-$E$3,22))),0))-IF($G$2,0,IF((X$6-$G$3)&lt;1,0,IFERROR(LOOKUP(2,1/('Milho 2ª safra'!$E73:INDEX('Milho 2ª safra'!$E73:$Z73,MIN(X$6-$G$3,22))&lt;&gt;""),'Milho 2ª safra'!$E73:INDEX('Milho 2ª safra'!$E73:$Z73,MIN(X$6-$G$3,22))),0)))))</f>
        <v>0</v>
      </c>
      <c r="Y75" s="27" t="n">
        <f aca="false">IF(COUNT('Milho 2ª safra'!$E73:$Z73)=0,0,MAX(0,IF((Y$6-$E$3)&lt;1,0,IFERROR(LOOKUP(2,1/('Milho 2ª safra'!$E73:INDEX('Milho 2ª safra'!$E73:$Z73,MIN(Y$6-$E$3,22))&lt;&gt;""),'Milho 2ª safra'!$E73:INDEX('Milho 2ª safra'!$E73:$Z73,MIN(Y$6-$E$3,22))),0))-IF($G$2,0,IF((Y$6-$G$3)&lt;1,0,IFERROR(LOOKUP(2,1/('Milho 2ª safra'!$E73:INDEX('Milho 2ª safra'!$E73:$Z73,MIN(Y$6-$G$3,22))&lt;&gt;""),'Milho 2ª safra'!$E73:INDEX('Milho 2ª safra'!$E73:$Z73,MIN(Y$6-$G$3,22))),0)))))</f>
        <v>0</v>
      </c>
      <c r="Z75" s="27" t="n">
        <f aca="false">IF(COUNT('Milho 2ª safra'!$E73:$Z73)=0,0,MAX(0,IF((Z$6-$E$3)&lt;1,0,IFERROR(LOOKUP(2,1/('Milho 2ª safra'!$E73:INDEX('Milho 2ª safra'!$E73:$Z73,MIN(Z$6-$E$3,22))&lt;&gt;""),'Milho 2ª safra'!$E73:INDEX('Milho 2ª safra'!$E73:$Z73,MIN(Z$6-$E$3,22))),0))-IF($G$2,0,IF((Z$6-$G$3)&lt;1,0,IFERROR(LOOKUP(2,1/('Milho 2ª safra'!$E73:INDEX('Milho 2ª safra'!$E73:$Z73,MIN(Z$6-$G$3,22))&lt;&gt;""),'Milho 2ª safra'!$E73:INDEX('Milho 2ª safra'!$E73:$Z73,MIN(Z$6-$G$3,22))),0)))))</f>
        <v>0</v>
      </c>
      <c r="AA75" s="27" t="n">
        <f aca="false">IF(COUNT('Milho 2ª safra'!$E73:$Z73)=0,0,MAX(0,IF((AA$6-$E$3)&lt;1,0,IFERROR(LOOKUP(2,1/('Milho 2ª safra'!$E73:INDEX('Milho 2ª safra'!$E73:$Z73,MIN(AA$6-$E$3,22))&lt;&gt;""),'Milho 2ª safra'!$E73:INDEX('Milho 2ª safra'!$E73:$Z73,MIN(AA$6-$E$3,22))),0))-IF($G$2,0,IF((AA$6-$G$3)&lt;1,0,IFERROR(LOOKUP(2,1/('Milho 2ª safra'!$E73:INDEX('Milho 2ª safra'!$E73:$Z73,MIN(AA$6-$G$3,22))&lt;&gt;""),'Milho 2ª safra'!$E73:INDEX('Milho 2ª safra'!$E73:$Z73,MIN(AA$6-$G$3,22))),0)))))</f>
        <v>0</v>
      </c>
      <c r="AB75" s="27" t="n">
        <f aca="false">IF(COUNT('Milho 2ª safra'!$E73:$Z73)=0,0,MAX(0,IF((AB$6-$E$3)&lt;1,0,IFERROR(LOOKUP(2,1/('Milho 2ª safra'!$E73:INDEX('Milho 2ª safra'!$E73:$Z73,MIN(AB$6-$E$3,22))&lt;&gt;""),'Milho 2ª safra'!$E73:INDEX('Milho 2ª safra'!$E73:$Z73,MIN(AB$6-$E$3,22))),0))-IF($G$2,0,IF((AB$6-$G$3)&lt;1,0,IFERROR(LOOKUP(2,1/('Milho 2ª safra'!$E73:INDEX('Milho 2ª safra'!$E73:$Z73,MIN(AB$6-$G$3,22))&lt;&gt;""),'Milho 2ª safra'!$E73:INDEX('Milho 2ª safra'!$E73:$Z73,MIN(AB$6-$G$3,22))),0)))))</f>
        <v>0</v>
      </c>
      <c r="AC75" s="27" t="n">
        <f aca="false">IF(COUNT('Milho 2ª safra'!$E73:$Z73)=0,0,MAX(0,IF((AC$6-$E$3)&lt;1,0,IFERROR(LOOKUP(2,1/('Milho 2ª safra'!$E73:INDEX('Milho 2ª safra'!$E73:$Z73,MIN(AC$6-$E$3,22))&lt;&gt;""),'Milho 2ª safra'!$E73:INDEX('Milho 2ª safra'!$E73:$Z73,MIN(AC$6-$E$3,22))),0))-IF($G$2,0,IF((AC$6-$G$3)&lt;1,0,IFERROR(LOOKUP(2,1/('Milho 2ª safra'!$E73:INDEX('Milho 2ª safra'!$E73:$Z73,MIN(AC$6-$G$3,22))&lt;&gt;""),'Milho 2ª safra'!$E73:INDEX('Milho 2ª safra'!$E73:$Z73,MIN(AC$6-$G$3,22))),0)))))</f>
        <v>0</v>
      </c>
      <c r="AD75" s="27" t="n">
        <f aca="false">IF(COUNT('Milho 2ª safra'!$E73:$Z73)=0,0,MAX(0,IF((AD$6-$E$3)&lt;1,0,IFERROR(LOOKUP(2,1/('Milho 2ª safra'!$E73:INDEX('Milho 2ª safra'!$E73:$Z73,MIN(AD$6-$E$3,22))&lt;&gt;""),'Milho 2ª safra'!$E73:INDEX('Milho 2ª safra'!$E73:$Z73,MIN(AD$6-$E$3,22))),0))-IF($G$2,0,IF((AD$6-$G$3)&lt;1,0,IFERROR(LOOKUP(2,1/('Milho 2ª safra'!$E73:INDEX('Milho 2ª safra'!$E73:$Z73,MIN(AD$6-$G$3,22))&lt;&gt;""),'Milho 2ª safra'!$E73:INDEX('Milho 2ª safra'!$E73:$Z73,MIN(AD$6-$G$3,22))),0)))))</f>
        <v>0</v>
      </c>
      <c r="AE75" s="27" t="n">
        <f aca="false">IF(COUNT('Milho 2ª safra'!$E73:$Z73)=0,0,MAX(0,IF((AE$6-$E$3)&lt;1,0,IFERROR(LOOKUP(2,1/('Milho 2ª safra'!$E73:INDEX('Milho 2ª safra'!$E73:$Z73,MIN(AE$6-$E$3,22))&lt;&gt;""),'Milho 2ª safra'!$E73:INDEX('Milho 2ª safra'!$E73:$Z73,MIN(AE$6-$E$3,22))),0))-IF($G$2,0,IF((AE$6-$G$3)&lt;1,0,IFERROR(LOOKUP(2,1/('Milho 2ª safra'!$E73:INDEX('Milho 2ª safra'!$E73:$Z73,MIN(AE$6-$G$3,22))&lt;&gt;""),'Milho 2ª safra'!$E73:INDEX('Milho 2ª safra'!$E73:$Z73,MIN(AE$6-$G$3,22))),0)))))</f>
        <v>0</v>
      </c>
      <c r="AF75" s="27" t="n">
        <f aca="false">IF(COUNT('Milho 2ª safra'!$E73:$Z73)=0,0,MAX(0,IF((AF$6-$E$3)&lt;1,0,IFERROR(LOOKUP(2,1/('Milho 2ª safra'!$E73:INDEX('Milho 2ª safra'!$E73:$Z73,MIN(AF$6-$E$3,22))&lt;&gt;""),'Milho 2ª safra'!$E73:INDEX('Milho 2ª safra'!$E73:$Z73,MIN(AF$6-$E$3,22))),0))-IF($G$2,0,IF((AF$6-$G$3)&lt;1,0,IFERROR(LOOKUP(2,1/('Milho 2ª safra'!$E73:INDEX('Milho 2ª safra'!$E73:$Z73,MIN(AF$6-$G$3,22))&lt;&gt;""),'Milho 2ª safra'!$E73:INDEX('Milho 2ª safra'!$E73:$Z73,MIN(AF$6-$G$3,22))),0)))))</f>
        <v>0</v>
      </c>
      <c r="AG75" s="27" t="n">
        <f aca="false">IF(COUNT('Milho 2ª safra'!$E73:$Z73)=0,0,MAX(0,IF((AG$6-$E$3)&lt;1,0,IFERROR(LOOKUP(2,1/('Milho 2ª safra'!$E73:INDEX('Milho 2ª safra'!$E73:$Z73,MIN(AG$6-$E$3,22))&lt;&gt;""),'Milho 2ª safra'!$E73:INDEX('Milho 2ª safra'!$E73:$Z73,MIN(AG$6-$E$3,22))),0))-IF($G$2,0,IF((AG$6-$G$3)&lt;1,0,IFERROR(LOOKUP(2,1/('Milho 2ª safra'!$E73:INDEX('Milho 2ª safra'!$E73:$Z73,MIN(AG$6-$G$3,22))&lt;&gt;""),'Milho 2ª safra'!$E73:INDEX('Milho 2ª safra'!$E73:$Z73,MIN(AG$6-$G$3,22))),0)))))</f>
        <v>0</v>
      </c>
      <c r="AH75" s="27" t="n">
        <f aca="false">IF(COUNT('Milho 2ª safra'!$E73:$Z73)=0,0,MAX(0,IF((AH$6-$E$3)&lt;1,0,IFERROR(LOOKUP(2,1/('Milho 2ª safra'!$E73:INDEX('Milho 2ª safra'!$E73:$Z73,MIN(AH$6-$E$3,22))&lt;&gt;""),'Milho 2ª safra'!$E73:INDEX('Milho 2ª safra'!$E73:$Z73,MIN(AH$6-$E$3,22))),0))-IF($G$2,0,IF((AH$6-$G$3)&lt;1,0,IFERROR(LOOKUP(2,1/('Milho 2ª safra'!$E73:INDEX('Milho 2ª safra'!$E73:$Z73,MIN(AH$6-$G$3,22))&lt;&gt;""),'Milho 2ª safra'!$E73:INDEX('Milho 2ª safra'!$E73:$Z73,MIN(AH$6-$G$3,22))),0)))))</f>
        <v>0</v>
      </c>
      <c r="AI75" s="27" t="n">
        <f aca="false">IF(COUNT('Milho 2ª safra'!$E73:$Z73)=0,0,MAX(0,IF((AI$6-$E$3)&lt;1,0,IFERROR(LOOKUP(2,1/('Milho 2ª safra'!$E73:INDEX('Milho 2ª safra'!$E73:$Z73,MIN(AI$6-$E$3,22))&lt;&gt;""),'Milho 2ª safra'!$E73:INDEX('Milho 2ª safra'!$E73:$Z73,MIN(AI$6-$E$3,22))),0))-IF($G$2,0,IF((AI$6-$G$3)&lt;1,0,IFERROR(LOOKUP(2,1/('Milho 2ª safra'!$E73:INDEX('Milho 2ª safra'!$E73:$Z73,MIN(AI$6-$G$3,22))&lt;&gt;""),'Milho 2ª safra'!$E73:INDEX('Milho 2ª safra'!$E73:$Z73,MIN(AI$6-$G$3,22))),0)))))</f>
        <v>0</v>
      </c>
      <c r="AJ75" s="27" t="n">
        <f aca="false">IF(COUNT('Milho 2ª safra'!$E73:$Z73)=0,0,MAX(0,IF((AJ$6-$E$3)&lt;1,0,IFERROR(LOOKUP(2,1/('Milho 2ª safra'!$E73:INDEX('Milho 2ª safra'!$E73:$Z73,MIN(AJ$6-$E$3,22))&lt;&gt;""),'Milho 2ª safra'!$E73:INDEX('Milho 2ª safra'!$E73:$Z73,MIN(AJ$6-$E$3,22))),0))-IF($G$2,0,IF((AJ$6-$G$3)&lt;1,0,IFERROR(LOOKUP(2,1/('Milho 2ª safra'!$E73:INDEX('Milho 2ª safra'!$E73:$Z73,MIN(AJ$6-$G$3,22))&lt;&gt;""),'Milho 2ª safra'!$E73:INDEX('Milho 2ª safra'!$E73:$Z73,MIN(AJ$6-$G$3,22))),0)))))</f>
        <v>0</v>
      </c>
      <c r="AK75" s="27" t="n">
        <f aca="false">IF(COUNT('Milho 2ª safra'!$E73:$Z73)=0,0,MAX(0,IF((AK$6-$E$3)&lt;1,0,IFERROR(LOOKUP(2,1/('Milho 2ª safra'!$E73:INDEX('Milho 2ª safra'!$E73:$Z73,MIN(AK$6-$E$3,22))&lt;&gt;""),'Milho 2ª safra'!$E73:INDEX('Milho 2ª safra'!$E73:$Z73,MIN(AK$6-$E$3,22))),0))-IF($G$2,0,IF((AK$6-$G$3)&lt;1,0,IFERROR(LOOKUP(2,1/('Milho 2ª safra'!$E73:INDEX('Milho 2ª safra'!$E73:$Z73,MIN(AK$6-$G$3,22))&lt;&gt;""),'Milho 2ª safra'!$E73:INDEX('Milho 2ª safra'!$E73:$Z73,MIN(AK$6-$G$3,22))),0)))))</f>
        <v>0</v>
      </c>
      <c r="AL75" s="27" t="n">
        <f aca="false">IF(COUNT('Milho 2ª safra'!$E73:$Z73)=0,0,MAX(0,IF((AL$6-$E$3)&lt;1,0,IFERROR(LOOKUP(2,1/('Milho 2ª safra'!$E73:INDEX('Milho 2ª safra'!$E73:$Z73,MIN(AL$6-$E$3,22))&lt;&gt;""),'Milho 2ª safra'!$E73:INDEX('Milho 2ª safra'!$E73:$Z73,MIN(AL$6-$E$3,22))),0))-IF($G$2,0,IF((AL$6-$G$3)&lt;1,0,IFERROR(LOOKUP(2,1/('Milho 2ª safra'!$E73:INDEX('Milho 2ª safra'!$E73:$Z73,MIN(AL$6-$G$3,22))&lt;&gt;""),'Milho 2ª safra'!$E73:INDEX('Milho 2ª safra'!$E73:$Z73,MIN(AL$6-$G$3,22))),0)))))</f>
        <v>0</v>
      </c>
      <c r="AM75" s="27" t="n">
        <f aca="false">IF(COUNT('Milho 2ª safra'!$E73:$Z73)=0,0,MAX(0,IF((AM$6-$E$3)&lt;1,0,IFERROR(LOOKUP(2,1/('Milho 2ª safra'!$E73:INDEX('Milho 2ª safra'!$E73:$Z73,MIN(AM$6-$E$3,22))&lt;&gt;""),'Milho 2ª safra'!$E73:INDEX('Milho 2ª safra'!$E73:$Z73,MIN(AM$6-$E$3,22))),0))-IF($G$2,0,IF((AM$6-$G$3)&lt;1,0,IFERROR(LOOKUP(2,1/('Milho 2ª safra'!$E73:INDEX('Milho 2ª safra'!$E73:$Z73,MIN(AM$6-$G$3,22))&lt;&gt;""),'Milho 2ª safra'!$E73:INDEX('Milho 2ª safra'!$E73:$Z73,MIN(AM$6-$G$3,22))),0)))))</f>
        <v>0</v>
      </c>
      <c r="AN75" s="27" t="n">
        <f aca="false">IF(COUNT('Milho 2ª safra'!$E73:$Z73)=0,0,MAX(0,IF((AN$6-$E$3)&lt;1,0,IFERROR(LOOKUP(2,1/('Milho 2ª safra'!$E73:INDEX('Milho 2ª safra'!$E73:$Z73,MIN(AN$6-$E$3,22))&lt;&gt;""),'Milho 2ª safra'!$E73:INDEX('Milho 2ª safra'!$E73:$Z73,MIN(AN$6-$E$3,22))),0))-IF($G$2,0,IF((AN$6-$G$3)&lt;1,0,IFERROR(LOOKUP(2,1/('Milho 2ª safra'!$E73:INDEX('Milho 2ª safra'!$E73:$Z73,MIN(AN$6-$G$3,22))&lt;&gt;""),'Milho 2ª safra'!$E73:INDEX('Milho 2ª safra'!$E73:$Z73,MIN(AN$6-$G$3,22))),0)))))</f>
        <v>0</v>
      </c>
      <c r="AO75" s="27" t="n">
        <f aca="false">IF(COUNT('Milho 2ª safra'!$E73:$Z73)=0,0,MAX(0,IF((AO$6-$E$3)&lt;1,0,IFERROR(LOOKUP(2,1/('Milho 2ª safra'!$E73:INDEX('Milho 2ª safra'!$E73:$Z73,MIN(AO$6-$E$3,22))&lt;&gt;""),'Milho 2ª safra'!$E73:INDEX('Milho 2ª safra'!$E73:$Z73,MIN(AO$6-$E$3,22))),0))-IF($G$2,0,IF((AO$6-$G$3)&lt;1,0,IFERROR(LOOKUP(2,1/('Milho 2ª safra'!$E73:INDEX('Milho 2ª safra'!$E73:$Z73,MIN(AO$6-$G$3,22))&lt;&gt;""),'Milho 2ª safra'!$E73:INDEX('Milho 2ª safra'!$E73:$Z73,MIN(AO$6-$G$3,22))),0)))))</f>
        <v>0</v>
      </c>
      <c r="AP75" s="27" t="n">
        <f aca="false">IF(COUNT('Milho 2ª safra'!$E73:$Z73)=0,0,MAX(0,IF((AP$6-$E$3)&lt;1,0,IFERROR(LOOKUP(2,1/('Milho 2ª safra'!$E73:INDEX('Milho 2ª safra'!$E73:$Z73,MIN(AP$6-$E$3,22))&lt;&gt;""),'Milho 2ª safra'!$E73:INDEX('Milho 2ª safra'!$E73:$Z73,MIN(AP$6-$E$3,22))),0))-IF($G$2,0,IF((AP$6-$G$3)&lt;1,0,IFERROR(LOOKUP(2,1/('Milho 2ª safra'!$E73:INDEX('Milho 2ª safra'!$E73:$Z73,MIN(AP$6-$G$3,22))&lt;&gt;""),'Milho 2ª safra'!$E73:INDEX('Milho 2ª safra'!$E73:$Z73,MIN(AP$6-$G$3,22))),0)))))</f>
        <v>0</v>
      </c>
      <c r="AQ75" s="27" t="n">
        <f aca="false">IF(COUNT('Milho 2ª safra'!$E73:$Z73)=0,0,MAX(0,IF((AQ$6-$E$3)&lt;1,0,IFERROR(LOOKUP(2,1/('Milho 2ª safra'!$E73:INDEX('Milho 2ª safra'!$E73:$Z73,MIN(AQ$6-$E$3,22))&lt;&gt;""),'Milho 2ª safra'!$E73:INDEX('Milho 2ª safra'!$E73:$Z73,MIN(AQ$6-$E$3,22))),0))-IF($G$2,0,IF((AQ$6-$G$3)&lt;1,0,IFERROR(LOOKUP(2,1/('Milho 2ª safra'!$E73:INDEX('Milho 2ª safra'!$E73:$Z73,MIN(AQ$6-$G$3,22))&lt;&gt;""),'Milho 2ª safra'!$E73:INDEX('Milho 2ª safra'!$E73:$Z73,MIN(AQ$6-$G$3,22))),0)))))</f>
        <v>0</v>
      </c>
      <c r="AR75" s="27" t="n">
        <f aca="false">IF(COUNT('Milho 2ª safra'!$E73:$Z73)=0,0,MAX(0,IF((AR$6-$E$3)&lt;1,0,IFERROR(LOOKUP(2,1/('Milho 2ª safra'!$E73:INDEX('Milho 2ª safra'!$E73:$Z73,MIN(AR$6-$E$3,22))&lt;&gt;""),'Milho 2ª safra'!$E73:INDEX('Milho 2ª safra'!$E73:$Z73,MIN(AR$6-$E$3,22))),0))-IF($G$2,0,IF((AR$6-$G$3)&lt;1,0,IFERROR(LOOKUP(2,1/('Milho 2ª safra'!$E73:INDEX('Milho 2ª safra'!$E73:$Z73,MIN(AR$6-$G$3,22))&lt;&gt;""),'Milho 2ª safra'!$E73:INDEX('Milho 2ª safra'!$E73:$Z73,MIN(AR$6-$G$3,22))),0)))))</f>
        <v>0</v>
      </c>
      <c r="AS75" s="27" t="n">
        <f aca="false">IF(COUNT('Milho 2ª safra'!$E73:$Z73)=0,0,MAX(0,IF((AS$6-$E$3)&lt;1,0,IFERROR(LOOKUP(2,1/('Milho 2ª safra'!$E73:INDEX('Milho 2ª safra'!$E73:$Z73,MIN(AS$6-$E$3,22))&lt;&gt;""),'Milho 2ª safra'!$E73:INDEX('Milho 2ª safra'!$E73:$Z73,MIN(AS$6-$E$3,22))),0))-IF($G$2,0,IF((AS$6-$G$3)&lt;1,0,IFERROR(LOOKUP(2,1/('Milho 2ª safra'!$E73:INDEX('Milho 2ª safra'!$E73:$Z73,MIN(AS$6-$G$3,22))&lt;&gt;""),'Milho 2ª safra'!$E73:INDEX('Milho 2ª safra'!$E73:$Z73,MIN(AS$6-$G$3,22))),0)))))</f>
        <v>0</v>
      </c>
      <c r="AT75" s="27" t="n">
        <f aca="false">IF(COUNT('Milho 2ª safra'!$E73:$Z73)=0,0,MAX(0,IF((AT$6-$E$3)&lt;1,0,IFERROR(LOOKUP(2,1/('Milho 2ª safra'!$E73:INDEX('Milho 2ª safra'!$E73:$Z73,MIN(AT$6-$E$3,22))&lt;&gt;""),'Milho 2ª safra'!$E73:INDEX('Milho 2ª safra'!$E73:$Z73,MIN(AT$6-$E$3,22))),0))-IF($G$2,0,IF((AT$6-$G$3)&lt;1,0,IFERROR(LOOKUP(2,1/('Milho 2ª safra'!$E73:INDEX('Milho 2ª safra'!$E73:$Z73,MIN(AT$6-$G$3,22))&lt;&gt;""),'Milho 2ª safra'!$E73:INDEX('Milho 2ª safra'!$E73:$Z73,MIN(AT$6-$G$3,22))),0)))))</f>
        <v>0</v>
      </c>
      <c r="AU75" s="27" t="n">
        <f aca="false">IF(COUNT('Milho 2ª safra'!$E73:$Z73)=0,0,MAX(0,IF((AU$6-$E$3)&lt;1,0,IFERROR(LOOKUP(2,1/('Milho 2ª safra'!$E73:INDEX('Milho 2ª safra'!$E73:$Z73,MIN(AU$6-$E$3,22))&lt;&gt;""),'Milho 2ª safra'!$E73:INDEX('Milho 2ª safra'!$E73:$Z73,MIN(AU$6-$E$3,22))),0))-IF($G$2,0,IF((AU$6-$G$3)&lt;1,0,IFERROR(LOOKUP(2,1/('Milho 2ª safra'!$E73:INDEX('Milho 2ª safra'!$E73:$Z73,MIN(AU$6-$G$3,22))&lt;&gt;""),'Milho 2ª safra'!$E73:INDEX('Milho 2ª safra'!$E73:$Z73,MIN(AU$6-$G$3,22))),0)))))</f>
        <v>0</v>
      </c>
      <c r="AV75" s="27" t="n">
        <f aca="false">IF(COUNT('Milho 2ª safra'!$E73:$Z73)=0,0,MAX(0,IF((AV$6-$E$3)&lt;1,0,IFERROR(LOOKUP(2,1/('Milho 2ª safra'!$E73:INDEX('Milho 2ª safra'!$E73:$Z73,MIN(AV$6-$E$3,22))&lt;&gt;""),'Milho 2ª safra'!$E73:INDEX('Milho 2ª safra'!$E73:$Z73,MIN(AV$6-$E$3,22))),0))-IF($G$2,0,IF((AV$6-$G$3)&lt;1,0,IFERROR(LOOKUP(2,1/('Milho 2ª safra'!$E73:INDEX('Milho 2ª safra'!$E73:$Z73,MIN(AV$6-$G$3,22))&lt;&gt;""),'Milho 2ª safra'!$E73:INDEX('Milho 2ª safra'!$E73:$Z73,MIN(AV$6-$G$3,22))),0)))))</f>
        <v>0</v>
      </c>
      <c r="AW75" s="27" t="n">
        <f aca="false">IF(COUNT('Milho 2ª safra'!$E73:$Z73)=0,0,MAX(0,IF((AW$6-$E$3)&lt;1,0,IFERROR(LOOKUP(2,1/('Milho 2ª safra'!$E73:INDEX('Milho 2ª safra'!$E73:$Z73,MIN(AW$6-$E$3,22))&lt;&gt;""),'Milho 2ª safra'!$E73:INDEX('Milho 2ª safra'!$E73:$Z73,MIN(AW$6-$E$3,22))),0))-IF($G$2,0,IF((AW$6-$G$3)&lt;1,0,IFERROR(LOOKUP(2,1/('Milho 2ª safra'!$E73:INDEX('Milho 2ª safra'!$E73:$Z73,MIN(AW$6-$G$3,22))&lt;&gt;""),'Milho 2ª safra'!$E73:INDEX('Milho 2ª safra'!$E73:$Z73,MIN(AW$6-$G$3,22))),0)))))</f>
        <v>0</v>
      </c>
      <c r="AX75" s="27" t="n">
        <f aca="false">IF(COUNT('Milho 2ª safra'!$E73:$Z73)=0,0,MAX(0,IF((AX$6-$E$3)&lt;1,0,IFERROR(LOOKUP(2,1/('Milho 2ª safra'!$E73:INDEX('Milho 2ª safra'!$E73:$Z73,MIN(AX$6-$E$3,22))&lt;&gt;""),'Milho 2ª safra'!$E73:INDEX('Milho 2ª safra'!$E73:$Z73,MIN(AX$6-$E$3,22))),0))-IF($G$2,0,IF((AX$6-$G$3)&lt;1,0,IFERROR(LOOKUP(2,1/('Milho 2ª safra'!$E73:INDEX('Milho 2ª safra'!$E73:$Z73,MIN(AX$6-$G$3,22))&lt;&gt;""),'Milho 2ª safra'!$E73:INDEX('Milho 2ª safra'!$E73:$Z73,MIN(AX$6-$G$3,22))),0)))))</f>
        <v>0</v>
      </c>
      <c r="AY75" s="27" t="n">
        <f aca="false">IF(COUNT('Milho 2ª safra'!$E73:$Z73)=0,0,MAX(0,IF((AY$6-$E$3)&lt;1,0,IFERROR(LOOKUP(2,1/('Milho 2ª safra'!$E73:INDEX('Milho 2ª safra'!$E73:$Z73,MIN(AY$6-$E$3,22))&lt;&gt;""),'Milho 2ª safra'!$E73:INDEX('Milho 2ª safra'!$E73:$Z73,MIN(AY$6-$E$3,22))),0))-IF($G$2,0,IF((AY$6-$G$3)&lt;1,0,IFERROR(LOOKUP(2,1/('Milho 2ª safra'!$E73:INDEX('Milho 2ª safra'!$E73:$Z73,MIN(AY$6-$G$3,22))&lt;&gt;""),'Milho 2ª safra'!$E73:INDEX('Milho 2ª safra'!$E73:$Z73,MIN(AY$6-$G$3,22))),0)))))</f>
        <v>0</v>
      </c>
      <c r="AZ75" s="27" t="n">
        <f aca="false">IF(COUNT('Milho 2ª safra'!$E73:$Z73)=0,0,MAX(0,IF((AZ$6-$E$3)&lt;1,0,IFERROR(LOOKUP(2,1/('Milho 2ª safra'!$E73:INDEX('Milho 2ª safra'!$E73:$Z73,MIN(AZ$6-$E$3,22))&lt;&gt;""),'Milho 2ª safra'!$E73:INDEX('Milho 2ª safra'!$E73:$Z73,MIN(AZ$6-$E$3,22))),0))-IF($G$2,0,IF((AZ$6-$G$3)&lt;1,0,IFERROR(LOOKUP(2,1/('Milho 2ª safra'!$E73:INDEX('Milho 2ª safra'!$E73:$Z73,MIN(AZ$6-$G$3,22))&lt;&gt;""),'Milho 2ª safra'!$E73:INDEX('Milho 2ª safra'!$E73:$Z73,MIN(AZ$6-$G$3,22))),0)))))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IF(COUNT('Milho 2ª safra'!$E74:$Z74)&gt;0,N('Milho 2ª safra'!$D74),0)</f>
        <v>0</v>
      </c>
      <c r="E76" s="27" t="n">
        <f aca="false">IF(COUNT('Milho 2ª safra'!$E74:$Z74)=0,0,MAX(0,IF((E$6-$E$3)&lt;1,0,IFERROR(LOOKUP(2,1/('Milho 2ª safra'!$E74:INDEX('Milho 2ª safra'!$E74:$Z74,MIN(E$6-$E$3,22))&lt;&gt;""),'Milho 2ª safra'!$E74:INDEX('Milho 2ª safra'!$E74:$Z74,MIN(E$6-$E$3,22))),0))-IF($G$2,0,IF((E$6-$G$3)&lt;1,0,IFERROR(LOOKUP(2,1/('Milho 2ª safra'!$E74:INDEX('Milho 2ª safra'!$E74:$Z74,MIN(E$6-$G$3,22))&lt;&gt;""),'Milho 2ª safra'!$E74:INDEX('Milho 2ª safra'!$E74:$Z74,MIN(E$6-$G$3,22))),0)))))</f>
        <v>0</v>
      </c>
      <c r="F76" s="27" t="n">
        <f aca="false">IF(COUNT('Milho 2ª safra'!$E74:$Z74)=0,0,MAX(0,IF((F$6-$E$3)&lt;1,0,IFERROR(LOOKUP(2,1/('Milho 2ª safra'!$E74:INDEX('Milho 2ª safra'!$E74:$Z74,MIN(F$6-$E$3,22))&lt;&gt;""),'Milho 2ª safra'!$E74:INDEX('Milho 2ª safra'!$E74:$Z74,MIN(F$6-$E$3,22))),0))-IF($G$2,0,IF((F$6-$G$3)&lt;1,0,IFERROR(LOOKUP(2,1/('Milho 2ª safra'!$E74:INDEX('Milho 2ª safra'!$E74:$Z74,MIN(F$6-$G$3,22))&lt;&gt;""),'Milho 2ª safra'!$E74:INDEX('Milho 2ª safra'!$E74:$Z74,MIN(F$6-$G$3,22))),0)))))</f>
        <v>0</v>
      </c>
      <c r="G76" s="27" t="n">
        <f aca="false">IF(COUNT('Milho 2ª safra'!$E74:$Z74)=0,0,MAX(0,IF((G$6-$E$3)&lt;1,0,IFERROR(LOOKUP(2,1/('Milho 2ª safra'!$E74:INDEX('Milho 2ª safra'!$E74:$Z74,MIN(G$6-$E$3,22))&lt;&gt;""),'Milho 2ª safra'!$E74:INDEX('Milho 2ª safra'!$E74:$Z74,MIN(G$6-$E$3,22))),0))-IF($G$2,0,IF((G$6-$G$3)&lt;1,0,IFERROR(LOOKUP(2,1/('Milho 2ª safra'!$E74:INDEX('Milho 2ª safra'!$E74:$Z74,MIN(G$6-$G$3,22))&lt;&gt;""),'Milho 2ª safra'!$E74:INDEX('Milho 2ª safra'!$E74:$Z74,MIN(G$6-$G$3,22))),0)))))</f>
        <v>0</v>
      </c>
      <c r="H76" s="27" t="n">
        <f aca="false">IF(COUNT('Milho 2ª safra'!$E74:$Z74)=0,0,MAX(0,IF((H$6-$E$3)&lt;1,0,IFERROR(LOOKUP(2,1/('Milho 2ª safra'!$E74:INDEX('Milho 2ª safra'!$E74:$Z74,MIN(H$6-$E$3,22))&lt;&gt;""),'Milho 2ª safra'!$E74:INDEX('Milho 2ª safra'!$E74:$Z74,MIN(H$6-$E$3,22))),0))-IF($G$2,0,IF((H$6-$G$3)&lt;1,0,IFERROR(LOOKUP(2,1/('Milho 2ª safra'!$E74:INDEX('Milho 2ª safra'!$E74:$Z74,MIN(H$6-$G$3,22))&lt;&gt;""),'Milho 2ª safra'!$E74:INDEX('Milho 2ª safra'!$E74:$Z74,MIN(H$6-$G$3,22))),0)))))</f>
        <v>0</v>
      </c>
      <c r="I76" s="27" t="n">
        <f aca="false">IF(COUNT('Milho 2ª safra'!$E74:$Z74)=0,0,MAX(0,IF((I$6-$E$3)&lt;1,0,IFERROR(LOOKUP(2,1/('Milho 2ª safra'!$E74:INDEX('Milho 2ª safra'!$E74:$Z74,MIN(I$6-$E$3,22))&lt;&gt;""),'Milho 2ª safra'!$E74:INDEX('Milho 2ª safra'!$E74:$Z74,MIN(I$6-$E$3,22))),0))-IF($G$2,0,IF((I$6-$G$3)&lt;1,0,IFERROR(LOOKUP(2,1/('Milho 2ª safra'!$E74:INDEX('Milho 2ª safra'!$E74:$Z74,MIN(I$6-$G$3,22))&lt;&gt;""),'Milho 2ª safra'!$E74:INDEX('Milho 2ª safra'!$E74:$Z74,MIN(I$6-$G$3,22))),0)))))</f>
        <v>0</v>
      </c>
      <c r="J76" s="27" t="n">
        <f aca="false">IF(COUNT('Milho 2ª safra'!$E74:$Z74)=0,0,MAX(0,IF((J$6-$E$3)&lt;1,0,IFERROR(LOOKUP(2,1/('Milho 2ª safra'!$E74:INDEX('Milho 2ª safra'!$E74:$Z74,MIN(J$6-$E$3,22))&lt;&gt;""),'Milho 2ª safra'!$E74:INDEX('Milho 2ª safra'!$E74:$Z74,MIN(J$6-$E$3,22))),0))-IF($G$2,0,IF((J$6-$G$3)&lt;1,0,IFERROR(LOOKUP(2,1/('Milho 2ª safra'!$E74:INDEX('Milho 2ª safra'!$E74:$Z74,MIN(J$6-$G$3,22))&lt;&gt;""),'Milho 2ª safra'!$E74:INDEX('Milho 2ª safra'!$E74:$Z74,MIN(J$6-$G$3,22))),0)))))</f>
        <v>0</v>
      </c>
      <c r="K76" s="27" t="n">
        <f aca="false">IF(COUNT('Milho 2ª safra'!$E74:$Z74)=0,0,MAX(0,IF((K$6-$E$3)&lt;1,0,IFERROR(LOOKUP(2,1/('Milho 2ª safra'!$E74:INDEX('Milho 2ª safra'!$E74:$Z74,MIN(K$6-$E$3,22))&lt;&gt;""),'Milho 2ª safra'!$E74:INDEX('Milho 2ª safra'!$E74:$Z74,MIN(K$6-$E$3,22))),0))-IF($G$2,0,IF((K$6-$G$3)&lt;1,0,IFERROR(LOOKUP(2,1/('Milho 2ª safra'!$E74:INDEX('Milho 2ª safra'!$E74:$Z74,MIN(K$6-$G$3,22))&lt;&gt;""),'Milho 2ª safra'!$E74:INDEX('Milho 2ª safra'!$E74:$Z74,MIN(K$6-$G$3,22))),0)))))</f>
        <v>0</v>
      </c>
      <c r="L76" s="27" t="n">
        <f aca="false">IF(COUNT('Milho 2ª safra'!$E74:$Z74)=0,0,MAX(0,IF((L$6-$E$3)&lt;1,0,IFERROR(LOOKUP(2,1/('Milho 2ª safra'!$E74:INDEX('Milho 2ª safra'!$E74:$Z74,MIN(L$6-$E$3,22))&lt;&gt;""),'Milho 2ª safra'!$E74:INDEX('Milho 2ª safra'!$E74:$Z74,MIN(L$6-$E$3,22))),0))-IF($G$2,0,IF((L$6-$G$3)&lt;1,0,IFERROR(LOOKUP(2,1/('Milho 2ª safra'!$E74:INDEX('Milho 2ª safra'!$E74:$Z74,MIN(L$6-$G$3,22))&lt;&gt;""),'Milho 2ª safra'!$E74:INDEX('Milho 2ª safra'!$E74:$Z74,MIN(L$6-$G$3,22))),0)))))</f>
        <v>0</v>
      </c>
      <c r="M76" s="27" t="n">
        <f aca="false">IF(COUNT('Milho 2ª safra'!$E74:$Z74)=0,0,MAX(0,IF((M$6-$E$3)&lt;1,0,IFERROR(LOOKUP(2,1/('Milho 2ª safra'!$E74:INDEX('Milho 2ª safra'!$E74:$Z74,MIN(M$6-$E$3,22))&lt;&gt;""),'Milho 2ª safra'!$E74:INDEX('Milho 2ª safra'!$E74:$Z74,MIN(M$6-$E$3,22))),0))-IF($G$2,0,IF((M$6-$G$3)&lt;1,0,IFERROR(LOOKUP(2,1/('Milho 2ª safra'!$E74:INDEX('Milho 2ª safra'!$E74:$Z74,MIN(M$6-$G$3,22))&lt;&gt;""),'Milho 2ª safra'!$E74:INDEX('Milho 2ª safra'!$E74:$Z74,MIN(M$6-$G$3,22))),0)))))</f>
        <v>0</v>
      </c>
      <c r="N76" s="27" t="n">
        <f aca="false">IF(COUNT('Milho 2ª safra'!$E74:$Z74)=0,0,MAX(0,IF((N$6-$E$3)&lt;1,0,IFERROR(LOOKUP(2,1/('Milho 2ª safra'!$E74:INDEX('Milho 2ª safra'!$E74:$Z74,MIN(N$6-$E$3,22))&lt;&gt;""),'Milho 2ª safra'!$E74:INDEX('Milho 2ª safra'!$E74:$Z74,MIN(N$6-$E$3,22))),0))-IF($G$2,0,IF((N$6-$G$3)&lt;1,0,IFERROR(LOOKUP(2,1/('Milho 2ª safra'!$E74:INDEX('Milho 2ª safra'!$E74:$Z74,MIN(N$6-$G$3,22))&lt;&gt;""),'Milho 2ª safra'!$E74:INDEX('Milho 2ª safra'!$E74:$Z74,MIN(N$6-$G$3,22))),0)))))</f>
        <v>0</v>
      </c>
      <c r="O76" s="27" t="n">
        <f aca="false">IF(COUNT('Milho 2ª safra'!$E74:$Z74)=0,0,MAX(0,IF((O$6-$E$3)&lt;1,0,IFERROR(LOOKUP(2,1/('Milho 2ª safra'!$E74:INDEX('Milho 2ª safra'!$E74:$Z74,MIN(O$6-$E$3,22))&lt;&gt;""),'Milho 2ª safra'!$E74:INDEX('Milho 2ª safra'!$E74:$Z74,MIN(O$6-$E$3,22))),0))-IF($G$2,0,IF((O$6-$G$3)&lt;1,0,IFERROR(LOOKUP(2,1/('Milho 2ª safra'!$E74:INDEX('Milho 2ª safra'!$E74:$Z74,MIN(O$6-$G$3,22))&lt;&gt;""),'Milho 2ª safra'!$E74:INDEX('Milho 2ª safra'!$E74:$Z74,MIN(O$6-$G$3,22))),0)))))</f>
        <v>0</v>
      </c>
      <c r="P76" s="27" t="n">
        <f aca="false">IF(COUNT('Milho 2ª safra'!$E74:$Z74)=0,0,MAX(0,IF((P$6-$E$3)&lt;1,0,IFERROR(LOOKUP(2,1/('Milho 2ª safra'!$E74:INDEX('Milho 2ª safra'!$E74:$Z74,MIN(P$6-$E$3,22))&lt;&gt;""),'Milho 2ª safra'!$E74:INDEX('Milho 2ª safra'!$E74:$Z74,MIN(P$6-$E$3,22))),0))-IF($G$2,0,IF((P$6-$G$3)&lt;1,0,IFERROR(LOOKUP(2,1/('Milho 2ª safra'!$E74:INDEX('Milho 2ª safra'!$E74:$Z74,MIN(P$6-$G$3,22))&lt;&gt;""),'Milho 2ª safra'!$E74:INDEX('Milho 2ª safra'!$E74:$Z74,MIN(P$6-$G$3,22))),0)))))</f>
        <v>0</v>
      </c>
      <c r="Q76" s="27" t="n">
        <f aca="false">IF(COUNT('Milho 2ª safra'!$E74:$Z74)=0,0,MAX(0,IF((Q$6-$E$3)&lt;1,0,IFERROR(LOOKUP(2,1/('Milho 2ª safra'!$E74:INDEX('Milho 2ª safra'!$E74:$Z74,MIN(Q$6-$E$3,22))&lt;&gt;""),'Milho 2ª safra'!$E74:INDEX('Milho 2ª safra'!$E74:$Z74,MIN(Q$6-$E$3,22))),0))-IF($G$2,0,IF((Q$6-$G$3)&lt;1,0,IFERROR(LOOKUP(2,1/('Milho 2ª safra'!$E74:INDEX('Milho 2ª safra'!$E74:$Z74,MIN(Q$6-$G$3,22))&lt;&gt;""),'Milho 2ª safra'!$E74:INDEX('Milho 2ª safra'!$E74:$Z74,MIN(Q$6-$G$3,22))),0)))))</f>
        <v>0</v>
      </c>
      <c r="R76" s="27" t="n">
        <f aca="false">IF(COUNT('Milho 2ª safra'!$E74:$Z74)=0,0,MAX(0,IF((R$6-$E$3)&lt;1,0,IFERROR(LOOKUP(2,1/('Milho 2ª safra'!$E74:INDEX('Milho 2ª safra'!$E74:$Z74,MIN(R$6-$E$3,22))&lt;&gt;""),'Milho 2ª safra'!$E74:INDEX('Milho 2ª safra'!$E74:$Z74,MIN(R$6-$E$3,22))),0))-IF($G$2,0,IF((R$6-$G$3)&lt;1,0,IFERROR(LOOKUP(2,1/('Milho 2ª safra'!$E74:INDEX('Milho 2ª safra'!$E74:$Z74,MIN(R$6-$G$3,22))&lt;&gt;""),'Milho 2ª safra'!$E74:INDEX('Milho 2ª safra'!$E74:$Z74,MIN(R$6-$G$3,22))),0)))))</f>
        <v>0</v>
      </c>
      <c r="S76" s="27" t="n">
        <f aca="false">IF(COUNT('Milho 2ª safra'!$E74:$Z74)=0,0,MAX(0,IF((S$6-$E$3)&lt;1,0,IFERROR(LOOKUP(2,1/('Milho 2ª safra'!$E74:INDEX('Milho 2ª safra'!$E74:$Z74,MIN(S$6-$E$3,22))&lt;&gt;""),'Milho 2ª safra'!$E74:INDEX('Milho 2ª safra'!$E74:$Z74,MIN(S$6-$E$3,22))),0))-IF($G$2,0,IF((S$6-$G$3)&lt;1,0,IFERROR(LOOKUP(2,1/('Milho 2ª safra'!$E74:INDEX('Milho 2ª safra'!$E74:$Z74,MIN(S$6-$G$3,22))&lt;&gt;""),'Milho 2ª safra'!$E74:INDEX('Milho 2ª safra'!$E74:$Z74,MIN(S$6-$G$3,22))),0)))))</f>
        <v>0</v>
      </c>
      <c r="T76" s="27" t="n">
        <f aca="false">IF(COUNT('Milho 2ª safra'!$E74:$Z74)=0,0,MAX(0,IF((T$6-$E$3)&lt;1,0,IFERROR(LOOKUP(2,1/('Milho 2ª safra'!$E74:INDEX('Milho 2ª safra'!$E74:$Z74,MIN(T$6-$E$3,22))&lt;&gt;""),'Milho 2ª safra'!$E74:INDEX('Milho 2ª safra'!$E74:$Z74,MIN(T$6-$E$3,22))),0))-IF($G$2,0,IF((T$6-$G$3)&lt;1,0,IFERROR(LOOKUP(2,1/('Milho 2ª safra'!$E74:INDEX('Milho 2ª safra'!$E74:$Z74,MIN(T$6-$G$3,22))&lt;&gt;""),'Milho 2ª safra'!$E74:INDEX('Milho 2ª safra'!$E74:$Z74,MIN(T$6-$G$3,22))),0)))))</f>
        <v>0</v>
      </c>
      <c r="U76" s="27" t="n">
        <f aca="false">IF(COUNT('Milho 2ª safra'!$E74:$Z74)=0,0,MAX(0,IF((U$6-$E$3)&lt;1,0,IFERROR(LOOKUP(2,1/('Milho 2ª safra'!$E74:INDEX('Milho 2ª safra'!$E74:$Z74,MIN(U$6-$E$3,22))&lt;&gt;""),'Milho 2ª safra'!$E74:INDEX('Milho 2ª safra'!$E74:$Z74,MIN(U$6-$E$3,22))),0))-IF($G$2,0,IF((U$6-$G$3)&lt;1,0,IFERROR(LOOKUP(2,1/('Milho 2ª safra'!$E74:INDEX('Milho 2ª safra'!$E74:$Z74,MIN(U$6-$G$3,22))&lt;&gt;""),'Milho 2ª safra'!$E74:INDEX('Milho 2ª safra'!$E74:$Z74,MIN(U$6-$G$3,22))),0)))))</f>
        <v>0</v>
      </c>
      <c r="V76" s="27" t="n">
        <f aca="false">IF(COUNT('Milho 2ª safra'!$E74:$Z74)=0,0,MAX(0,IF((V$6-$E$3)&lt;1,0,IFERROR(LOOKUP(2,1/('Milho 2ª safra'!$E74:INDEX('Milho 2ª safra'!$E74:$Z74,MIN(V$6-$E$3,22))&lt;&gt;""),'Milho 2ª safra'!$E74:INDEX('Milho 2ª safra'!$E74:$Z74,MIN(V$6-$E$3,22))),0))-IF($G$2,0,IF((V$6-$G$3)&lt;1,0,IFERROR(LOOKUP(2,1/('Milho 2ª safra'!$E74:INDEX('Milho 2ª safra'!$E74:$Z74,MIN(V$6-$G$3,22))&lt;&gt;""),'Milho 2ª safra'!$E74:INDEX('Milho 2ª safra'!$E74:$Z74,MIN(V$6-$G$3,22))),0)))))</f>
        <v>0</v>
      </c>
      <c r="W76" s="27" t="n">
        <f aca="false">IF(COUNT('Milho 2ª safra'!$E74:$Z74)=0,0,MAX(0,IF((W$6-$E$3)&lt;1,0,IFERROR(LOOKUP(2,1/('Milho 2ª safra'!$E74:INDEX('Milho 2ª safra'!$E74:$Z74,MIN(W$6-$E$3,22))&lt;&gt;""),'Milho 2ª safra'!$E74:INDEX('Milho 2ª safra'!$E74:$Z74,MIN(W$6-$E$3,22))),0))-IF($G$2,0,IF((W$6-$G$3)&lt;1,0,IFERROR(LOOKUP(2,1/('Milho 2ª safra'!$E74:INDEX('Milho 2ª safra'!$E74:$Z74,MIN(W$6-$G$3,22))&lt;&gt;""),'Milho 2ª safra'!$E74:INDEX('Milho 2ª safra'!$E74:$Z74,MIN(W$6-$G$3,22))),0)))))</f>
        <v>0</v>
      </c>
      <c r="X76" s="27" t="n">
        <f aca="false">IF(COUNT('Milho 2ª safra'!$E74:$Z74)=0,0,MAX(0,IF((X$6-$E$3)&lt;1,0,IFERROR(LOOKUP(2,1/('Milho 2ª safra'!$E74:INDEX('Milho 2ª safra'!$E74:$Z74,MIN(X$6-$E$3,22))&lt;&gt;""),'Milho 2ª safra'!$E74:INDEX('Milho 2ª safra'!$E74:$Z74,MIN(X$6-$E$3,22))),0))-IF($G$2,0,IF((X$6-$G$3)&lt;1,0,IFERROR(LOOKUP(2,1/('Milho 2ª safra'!$E74:INDEX('Milho 2ª safra'!$E74:$Z74,MIN(X$6-$G$3,22))&lt;&gt;""),'Milho 2ª safra'!$E74:INDEX('Milho 2ª safra'!$E74:$Z74,MIN(X$6-$G$3,22))),0)))))</f>
        <v>0</v>
      </c>
      <c r="Y76" s="27" t="n">
        <f aca="false">IF(COUNT('Milho 2ª safra'!$E74:$Z74)=0,0,MAX(0,IF((Y$6-$E$3)&lt;1,0,IFERROR(LOOKUP(2,1/('Milho 2ª safra'!$E74:INDEX('Milho 2ª safra'!$E74:$Z74,MIN(Y$6-$E$3,22))&lt;&gt;""),'Milho 2ª safra'!$E74:INDEX('Milho 2ª safra'!$E74:$Z74,MIN(Y$6-$E$3,22))),0))-IF($G$2,0,IF((Y$6-$G$3)&lt;1,0,IFERROR(LOOKUP(2,1/('Milho 2ª safra'!$E74:INDEX('Milho 2ª safra'!$E74:$Z74,MIN(Y$6-$G$3,22))&lt;&gt;""),'Milho 2ª safra'!$E74:INDEX('Milho 2ª safra'!$E74:$Z74,MIN(Y$6-$G$3,22))),0)))))</f>
        <v>0</v>
      </c>
      <c r="Z76" s="27" t="n">
        <f aca="false">IF(COUNT('Milho 2ª safra'!$E74:$Z74)=0,0,MAX(0,IF((Z$6-$E$3)&lt;1,0,IFERROR(LOOKUP(2,1/('Milho 2ª safra'!$E74:INDEX('Milho 2ª safra'!$E74:$Z74,MIN(Z$6-$E$3,22))&lt;&gt;""),'Milho 2ª safra'!$E74:INDEX('Milho 2ª safra'!$E74:$Z74,MIN(Z$6-$E$3,22))),0))-IF($G$2,0,IF((Z$6-$G$3)&lt;1,0,IFERROR(LOOKUP(2,1/('Milho 2ª safra'!$E74:INDEX('Milho 2ª safra'!$E74:$Z74,MIN(Z$6-$G$3,22))&lt;&gt;""),'Milho 2ª safra'!$E74:INDEX('Milho 2ª safra'!$E74:$Z74,MIN(Z$6-$G$3,22))),0)))))</f>
        <v>0</v>
      </c>
      <c r="AA76" s="27" t="n">
        <f aca="false">IF(COUNT('Milho 2ª safra'!$E74:$Z74)=0,0,MAX(0,IF((AA$6-$E$3)&lt;1,0,IFERROR(LOOKUP(2,1/('Milho 2ª safra'!$E74:INDEX('Milho 2ª safra'!$E74:$Z74,MIN(AA$6-$E$3,22))&lt;&gt;""),'Milho 2ª safra'!$E74:INDEX('Milho 2ª safra'!$E74:$Z74,MIN(AA$6-$E$3,22))),0))-IF($G$2,0,IF((AA$6-$G$3)&lt;1,0,IFERROR(LOOKUP(2,1/('Milho 2ª safra'!$E74:INDEX('Milho 2ª safra'!$E74:$Z74,MIN(AA$6-$G$3,22))&lt;&gt;""),'Milho 2ª safra'!$E74:INDEX('Milho 2ª safra'!$E74:$Z74,MIN(AA$6-$G$3,22))),0)))))</f>
        <v>0</v>
      </c>
      <c r="AB76" s="27" t="n">
        <f aca="false">IF(COUNT('Milho 2ª safra'!$E74:$Z74)=0,0,MAX(0,IF((AB$6-$E$3)&lt;1,0,IFERROR(LOOKUP(2,1/('Milho 2ª safra'!$E74:INDEX('Milho 2ª safra'!$E74:$Z74,MIN(AB$6-$E$3,22))&lt;&gt;""),'Milho 2ª safra'!$E74:INDEX('Milho 2ª safra'!$E74:$Z74,MIN(AB$6-$E$3,22))),0))-IF($G$2,0,IF((AB$6-$G$3)&lt;1,0,IFERROR(LOOKUP(2,1/('Milho 2ª safra'!$E74:INDEX('Milho 2ª safra'!$E74:$Z74,MIN(AB$6-$G$3,22))&lt;&gt;""),'Milho 2ª safra'!$E74:INDEX('Milho 2ª safra'!$E74:$Z74,MIN(AB$6-$G$3,22))),0)))))</f>
        <v>0</v>
      </c>
      <c r="AC76" s="27" t="n">
        <f aca="false">IF(COUNT('Milho 2ª safra'!$E74:$Z74)=0,0,MAX(0,IF((AC$6-$E$3)&lt;1,0,IFERROR(LOOKUP(2,1/('Milho 2ª safra'!$E74:INDEX('Milho 2ª safra'!$E74:$Z74,MIN(AC$6-$E$3,22))&lt;&gt;""),'Milho 2ª safra'!$E74:INDEX('Milho 2ª safra'!$E74:$Z74,MIN(AC$6-$E$3,22))),0))-IF($G$2,0,IF((AC$6-$G$3)&lt;1,0,IFERROR(LOOKUP(2,1/('Milho 2ª safra'!$E74:INDEX('Milho 2ª safra'!$E74:$Z74,MIN(AC$6-$G$3,22))&lt;&gt;""),'Milho 2ª safra'!$E74:INDEX('Milho 2ª safra'!$E74:$Z74,MIN(AC$6-$G$3,22))),0)))))</f>
        <v>0</v>
      </c>
      <c r="AD76" s="27" t="n">
        <f aca="false">IF(COUNT('Milho 2ª safra'!$E74:$Z74)=0,0,MAX(0,IF((AD$6-$E$3)&lt;1,0,IFERROR(LOOKUP(2,1/('Milho 2ª safra'!$E74:INDEX('Milho 2ª safra'!$E74:$Z74,MIN(AD$6-$E$3,22))&lt;&gt;""),'Milho 2ª safra'!$E74:INDEX('Milho 2ª safra'!$E74:$Z74,MIN(AD$6-$E$3,22))),0))-IF($G$2,0,IF((AD$6-$G$3)&lt;1,0,IFERROR(LOOKUP(2,1/('Milho 2ª safra'!$E74:INDEX('Milho 2ª safra'!$E74:$Z74,MIN(AD$6-$G$3,22))&lt;&gt;""),'Milho 2ª safra'!$E74:INDEX('Milho 2ª safra'!$E74:$Z74,MIN(AD$6-$G$3,22))),0)))))</f>
        <v>0</v>
      </c>
      <c r="AE76" s="27" t="n">
        <f aca="false">IF(COUNT('Milho 2ª safra'!$E74:$Z74)=0,0,MAX(0,IF((AE$6-$E$3)&lt;1,0,IFERROR(LOOKUP(2,1/('Milho 2ª safra'!$E74:INDEX('Milho 2ª safra'!$E74:$Z74,MIN(AE$6-$E$3,22))&lt;&gt;""),'Milho 2ª safra'!$E74:INDEX('Milho 2ª safra'!$E74:$Z74,MIN(AE$6-$E$3,22))),0))-IF($G$2,0,IF((AE$6-$G$3)&lt;1,0,IFERROR(LOOKUP(2,1/('Milho 2ª safra'!$E74:INDEX('Milho 2ª safra'!$E74:$Z74,MIN(AE$6-$G$3,22))&lt;&gt;""),'Milho 2ª safra'!$E74:INDEX('Milho 2ª safra'!$E74:$Z74,MIN(AE$6-$G$3,22))),0)))))</f>
        <v>0</v>
      </c>
      <c r="AF76" s="27" t="n">
        <f aca="false">IF(COUNT('Milho 2ª safra'!$E74:$Z74)=0,0,MAX(0,IF((AF$6-$E$3)&lt;1,0,IFERROR(LOOKUP(2,1/('Milho 2ª safra'!$E74:INDEX('Milho 2ª safra'!$E74:$Z74,MIN(AF$6-$E$3,22))&lt;&gt;""),'Milho 2ª safra'!$E74:INDEX('Milho 2ª safra'!$E74:$Z74,MIN(AF$6-$E$3,22))),0))-IF($G$2,0,IF((AF$6-$G$3)&lt;1,0,IFERROR(LOOKUP(2,1/('Milho 2ª safra'!$E74:INDEX('Milho 2ª safra'!$E74:$Z74,MIN(AF$6-$G$3,22))&lt;&gt;""),'Milho 2ª safra'!$E74:INDEX('Milho 2ª safra'!$E74:$Z74,MIN(AF$6-$G$3,22))),0)))))</f>
        <v>0</v>
      </c>
      <c r="AG76" s="27" t="n">
        <f aca="false">IF(COUNT('Milho 2ª safra'!$E74:$Z74)=0,0,MAX(0,IF((AG$6-$E$3)&lt;1,0,IFERROR(LOOKUP(2,1/('Milho 2ª safra'!$E74:INDEX('Milho 2ª safra'!$E74:$Z74,MIN(AG$6-$E$3,22))&lt;&gt;""),'Milho 2ª safra'!$E74:INDEX('Milho 2ª safra'!$E74:$Z74,MIN(AG$6-$E$3,22))),0))-IF($G$2,0,IF((AG$6-$G$3)&lt;1,0,IFERROR(LOOKUP(2,1/('Milho 2ª safra'!$E74:INDEX('Milho 2ª safra'!$E74:$Z74,MIN(AG$6-$G$3,22))&lt;&gt;""),'Milho 2ª safra'!$E74:INDEX('Milho 2ª safra'!$E74:$Z74,MIN(AG$6-$G$3,22))),0)))))</f>
        <v>0</v>
      </c>
      <c r="AH76" s="27" t="n">
        <f aca="false">IF(COUNT('Milho 2ª safra'!$E74:$Z74)=0,0,MAX(0,IF((AH$6-$E$3)&lt;1,0,IFERROR(LOOKUP(2,1/('Milho 2ª safra'!$E74:INDEX('Milho 2ª safra'!$E74:$Z74,MIN(AH$6-$E$3,22))&lt;&gt;""),'Milho 2ª safra'!$E74:INDEX('Milho 2ª safra'!$E74:$Z74,MIN(AH$6-$E$3,22))),0))-IF($G$2,0,IF((AH$6-$G$3)&lt;1,0,IFERROR(LOOKUP(2,1/('Milho 2ª safra'!$E74:INDEX('Milho 2ª safra'!$E74:$Z74,MIN(AH$6-$G$3,22))&lt;&gt;""),'Milho 2ª safra'!$E74:INDEX('Milho 2ª safra'!$E74:$Z74,MIN(AH$6-$G$3,22))),0)))))</f>
        <v>0</v>
      </c>
      <c r="AI76" s="27" t="n">
        <f aca="false">IF(COUNT('Milho 2ª safra'!$E74:$Z74)=0,0,MAX(0,IF((AI$6-$E$3)&lt;1,0,IFERROR(LOOKUP(2,1/('Milho 2ª safra'!$E74:INDEX('Milho 2ª safra'!$E74:$Z74,MIN(AI$6-$E$3,22))&lt;&gt;""),'Milho 2ª safra'!$E74:INDEX('Milho 2ª safra'!$E74:$Z74,MIN(AI$6-$E$3,22))),0))-IF($G$2,0,IF((AI$6-$G$3)&lt;1,0,IFERROR(LOOKUP(2,1/('Milho 2ª safra'!$E74:INDEX('Milho 2ª safra'!$E74:$Z74,MIN(AI$6-$G$3,22))&lt;&gt;""),'Milho 2ª safra'!$E74:INDEX('Milho 2ª safra'!$E74:$Z74,MIN(AI$6-$G$3,22))),0)))))</f>
        <v>0</v>
      </c>
      <c r="AJ76" s="27" t="n">
        <f aca="false">IF(COUNT('Milho 2ª safra'!$E74:$Z74)=0,0,MAX(0,IF((AJ$6-$E$3)&lt;1,0,IFERROR(LOOKUP(2,1/('Milho 2ª safra'!$E74:INDEX('Milho 2ª safra'!$E74:$Z74,MIN(AJ$6-$E$3,22))&lt;&gt;""),'Milho 2ª safra'!$E74:INDEX('Milho 2ª safra'!$E74:$Z74,MIN(AJ$6-$E$3,22))),0))-IF($G$2,0,IF((AJ$6-$G$3)&lt;1,0,IFERROR(LOOKUP(2,1/('Milho 2ª safra'!$E74:INDEX('Milho 2ª safra'!$E74:$Z74,MIN(AJ$6-$G$3,22))&lt;&gt;""),'Milho 2ª safra'!$E74:INDEX('Milho 2ª safra'!$E74:$Z74,MIN(AJ$6-$G$3,22))),0)))))</f>
        <v>0</v>
      </c>
      <c r="AK76" s="27" t="n">
        <f aca="false">IF(COUNT('Milho 2ª safra'!$E74:$Z74)=0,0,MAX(0,IF((AK$6-$E$3)&lt;1,0,IFERROR(LOOKUP(2,1/('Milho 2ª safra'!$E74:INDEX('Milho 2ª safra'!$E74:$Z74,MIN(AK$6-$E$3,22))&lt;&gt;""),'Milho 2ª safra'!$E74:INDEX('Milho 2ª safra'!$E74:$Z74,MIN(AK$6-$E$3,22))),0))-IF($G$2,0,IF((AK$6-$G$3)&lt;1,0,IFERROR(LOOKUP(2,1/('Milho 2ª safra'!$E74:INDEX('Milho 2ª safra'!$E74:$Z74,MIN(AK$6-$G$3,22))&lt;&gt;""),'Milho 2ª safra'!$E74:INDEX('Milho 2ª safra'!$E74:$Z74,MIN(AK$6-$G$3,22))),0)))))</f>
        <v>0</v>
      </c>
      <c r="AL76" s="27" t="n">
        <f aca="false">IF(COUNT('Milho 2ª safra'!$E74:$Z74)=0,0,MAX(0,IF((AL$6-$E$3)&lt;1,0,IFERROR(LOOKUP(2,1/('Milho 2ª safra'!$E74:INDEX('Milho 2ª safra'!$E74:$Z74,MIN(AL$6-$E$3,22))&lt;&gt;""),'Milho 2ª safra'!$E74:INDEX('Milho 2ª safra'!$E74:$Z74,MIN(AL$6-$E$3,22))),0))-IF($G$2,0,IF((AL$6-$G$3)&lt;1,0,IFERROR(LOOKUP(2,1/('Milho 2ª safra'!$E74:INDEX('Milho 2ª safra'!$E74:$Z74,MIN(AL$6-$G$3,22))&lt;&gt;""),'Milho 2ª safra'!$E74:INDEX('Milho 2ª safra'!$E74:$Z74,MIN(AL$6-$G$3,22))),0)))))</f>
        <v>0</v>
      </c>
      <c r="AM76" s="27" t="n">
        <f aca="false">IF(COUNT('Milho 2ª safra'!$E74:$Z74)=0,0,MAX(0,IF((AM$6-$E$3)&lt;1,0,IFERROR(LOOKUP(2,1/('Milho 2ª safra'!$E74:INDEX('Milho 2ª safra'!$E74:$Z74,MIN(AM$6-$E$3,22))&lt;&gt;""),'Milho 2ª safra'!$E74:INDEX('Milho 2ª safra'!$E74:$Z74,MIN(AM$6-$E$3,22))),0))-IF($G$2,0,IF((AM$6-$G$3)&lt;1,0,IFERROR(LOOKUP(2,1/('Milho 2ª safra'!$E74:INDEX('Milho 2ª safra'!$E74:$Z74,MIN(AM$6-$G$3,22))&lt;&gt;""),'Milho 2ª safra'!$E74:INDEX('Milho 2ª safra'!$E74:$Z74,MIN(AM$6-$G$3,22))),0)))))</f>
        <v>0</v>
      </c>
      <c r="AN76" s="27" t="n">
        <f aca="false">IF(COUNT('Milho 2ª safra'!$E74:$Z74)=0,0,MAX(0,IF((AN$6-$E$3)&lt;1,0,IFERROR(LOOKUP(2,1/('Milho 2ª safra'!$E74:INDEX('Milho 2ª safra'!$E74:$Z74,MIN(AN$6-$E$3,22))&lt;&gt;""),'Milho 2ª safra'!$E74:INDEX('Milho 2ª safra'!$E74:$Z74,MIN(AN$6-$E$3,22))),0))-IF($G$2,0,IF((AN$6-$G$3)&lt;1,0,IFERROR(LOOKUP(2,1/('Milho 2ª safra'!$E74:INDEX('Milho 2ª safra'!$E74:$Z74,MIN(AN$6-$G$3,22))&lt;&gt;""),'Milho 2ª safra'!$E74:INDEX('Milho 2ª safra'!$E74:$Z74,MIN(AN$6-$G$3,22))),0)))))</f>
        <v>0</v>
      </c>
      <c r="AO76" s="27" t="n">
        <f aca="false">IF(COUNT('Milho 2ª safra'!$E74:$Z74)=0,0,MAX(0,IF((AO$6-$E$3)&lt;1,0,IFERROR(LOOKUP(2,1/('Milho 2ª safra'!$E74:INDEX('Milho 2ª safra'!$E74:$Z74,MIN(AO$6-$E$3,22))&lt;&gt;""),'Milho 2ª safra'!$E74:INDEX('Milho 2ª safra'!$E74:$Z74,MIN(AO$6-$E$3,22))),0))-IF($G$2,0,IF((AO$6-$G$3)&lt;1,0,IFERROR(LOOKUP(2,1/('Milho 2ª safra'!$E74:INDEX('Milho 2ª safra'!$E74:$Z74,MIN(AO$6-$G$3,22))&lt;&gt;""),'Milho 2ª safra'!$E74:INDEX('Milho 2ª safra'!$E74:$Z74,MIN(AO$6-$G$3,22))),0)))))</f>
        <v>0</v>
      </c>
      <c r="AP76" s="27" t="n">
        <f aca="false">IF(COUNT('Milho 2ª safra'!$E74:$Z74)=0,0,MAX(0,IF((AP$6-$E$3)&lt;1,0,IFERROR(LOOKUP(2,1/('Milho 2ª safra'!$E74:INDEX('Milho 2ª safra'!$E74:$Z74,MIN(AP$6-$E$3,22))&lt;&gt;""),'Milho 2ª safra'!$E74:INDEX('Milho 2ª safra'!$E74:$Z74,MIN(AP$6-$E$3,22))),0))-IF($G$2,0,IF((AP$6-$G$3)&lt;1,0,IFERROR(LOOKUP(2,1/('Milho 2ª safra'!$E74:INDEX('Milho 2ª safra'!$E74:$Z74,MIN(AP$6-$G$3,22))&lt;&gt;""),'Milho 2ª safra'!$E74:INDEX('Milho 2ª safra'!$E74:$Z74,MIN(AP$6-$G$3,22))),0)))))</f>
        <v>0</v>
      </c>
      <c r="AQ76" s="27" t="n">
        <f aca="false">IF(COUNT('Milho 2ª safra'!$E74:$Z74)=0,0,MAX(0,IF((AQ$6-$E$3)&lt;1,0,IFERROR(LOOKUP(2,1/('Milho 2ª safra'!$E74:INDEX('Milho 2ª safra'!$E74:$Z74,MIN(AQ$6-$E$3,22))&lt;&gt;""),'Milho 2ª safra'!$E74:INDEX('Milho 2ª safra'!$E74:$Z74,MIN(AQ$6-$E$3,22))),0))-IF($G$2,0,IF((AQ$6-$G$3)&lt;1,0,IFERROR(LOOKUP(2,1/('Milho 2ª safra'!$E74:INDEX('Milho 2ª safra'!$E74:$Z74,MIN(AQ$6-$G$3,22))&lt;&gt;""),'Milho 2ª safra'!$E74:INDEX('Milho 2ª safra'!$E74:$Z74,MIN(AQ$6-$G$3,22))),0)))))</f>
        <v>0</v>
      </c>
      <c r="AR76" s="27" t="n">
        <f aca="false">IF(COUNT('Milho 2ª safra'!$E74:$Z74)=0,0,MAX(0,IF((AR$6-$E$3)&lt;1,0,IFERROR(LOOKUP(2,1/('Milho 2ª safra'!$E74:INDEX('Milho 2ª safra'!$E74:$Z74,MIN(AR$6-$E$3,22))&lt;&gt;""),'Milho 2ª safra'!$E74:INDEX('Milho 2ª safra'!$E74:$Z74,MIN(AR$6-$E$3,22))),0))-IF($G$2,0,IF((AR$6-$G$3)&lt;1,0,IFERROR(LOOKUP(2,1/('Milho 2ª safra'!$E74:INDEX('Milho 2ª safra'!$E74:$Z74,MIN(AR$6-$G$3,22))&lt;&gt;""),'Milho 2ª safra'!$E74:INDEX('Milho 2ª safra'!$E74:$Z74,MIN(AR$6-$G$3,22))),0)))))</f>
        <v>0</v>
      </c>
      <c r="AS76" s="27" t="n">
        <f aca="false">IF(COUNT('Milho 2ª safra'!$E74:$Z74)=0,0,MAX(0,IF((AS$6-$E$3)&lt;1,0,IFERROR(LOOKUP(2,1/('Milho 2ª safra'!$E74:INDEX('Milho 2ª safra'!$E74:$Z74,MIN(AS$6-$E$3,22))&lt;&gt;""),'Milho 2ª safra'!$E74:INDEX('Milho 2ª safra'!$E74:$Z74,MIN(AS$6-$E$3,22))),0))-IF($G$2,0,IF((AS$6-$G$3)&lt;1,0,IFERROR(LOOKUP(2,1/('Milho 2ª safra'!$E74:INDEX('Milho 2ª safra'!$E74:$Z74,MIN(AS$6-$G$3,22))&lt;&gt;""),'Milho 2ª safra'!$E74:INDEX('Milho 2ª safra'!$E74:$Z74,MIN(AS$6-$G$3,22))),0)))))</f>
        <v>0</v>
      </c>
      <c r="AT76" s="27" t="n">
        <f aca="false">IF(COUNT('Milho 2ª safra'!$E74:$Z74)=0,0,MAX(0,IF((AT$6-$E$3)&lt;1,0,IFERROR(LOOKUP(2,1/('Milho 2ª safra'!$E74:INDEX('Milho 2ª safra'!$E74:$Z74,MIN(AT$6-$E$3,22))&lt;&gt;""),'Milho 2ª safra'!$E74:INDEX('Milho 2ª safra'!$E74:$Z74,MIN(AT$6-$E$3,22))),0))-IF($G$2,0,IF((AT$6-$G$3)&lt;1,0,IFERROR(LOOKUP(2,1/('Milho 2ª safra'!$E74:INDEX('Milho 2ª safra'!$E74:$Z74,MIN(AT$6-$G$3,22))&lt;&gt;""),'Milho 2ª safra'!$E74:INDEX('Milho 2ª safra'!$E74:$Z74,MIN(AT$6-$G$3,22))),0)))))</f>
        <v>0</v>
      </c>
      <c r="AU76" s="27" t="n">
        <f aca="false">IF(COUNT('Milho 2ª safra'!$E74:$Z74)=0,0,MAX(0,IF((AU$6-$E$3)&lt;1,0,IFERROR(LOOKUP(2,1/('Milho 2ª safra'!$E74:INDEX('Milho 2ª safra'!$E74:$Z74,MIN(AU$6-$E$3,22))&lt;&gt;""),'Milho 2ª safra'!$E74:INDEX('Milho 2ª safra'!$E74:$Z74,MIN(AU$6-$E$3,22))),0))-IF($G$2,0,IF((AU$6-$G$3)&lt;1,0,IFERROR(LOOKUP(2,1/('Milho 2ª safra'!$E74:INDEX('Milho 2ª safra'!$E74:$Z74,MIN(AU$6-$G$3,22))&lt;&gt;""),'Milho 2ª safra'!$E74:INDEX('Milho 2ª safra'!$E74:$Z74,MIN(AU$6-$G$3,22))),0)))))</f>
        <v>0</v>
      </c>
      <c r="AV76" s="27" t="n">
        <f aca="false">IF(COUNT('Milho 2ª safra'!$E74:$Z74)=0,0,MAX(0,IF((AV$6-$E$3)&lt;1,0,IFERROR(LOOKUP(2,1/('Milho 2ª safra'!$E74:INDEX('Milho 2ª safra'!$E74:$Z74,MIN(AV$6-$E$3,22))&lt;&gt;""),'Milho 2ª safra'!$E74:INDEX('Milho 2ª safra'!$E74:$Z74,MIN(AV$6-$E$3,22))),0))-IF($G$2,0,IF((AV$6-$G$3)&lt;1,0,IFERROR(LOOKUP(2,1/('Milho 2ª safra'!$E74:INDEX('Milho 2ª safra'!$E74:$Z74,MIN(AV$6-$G$3,22))&lt;&gt;""),'Milho 2ª safra'!$E74:INDEX('Milho 2ª safra'!$E74:$Z74,MIN(AV$6-$G$3,22))),0)))))</f>
        <v>0</v>
      </c>
      <c r="AW76" s="27" t="n">
        <f aca="false">IF(COUNT('Milho 2ª safra'!$E74:$Z74)=0,0,MAX(0,IF((AW$6-$E$3)&lt;1,0,IFERROR(LOOKUP(2,1/('Milho 2ª safra'!$E74:INDEX('Milho 2ª safra'!$E74:$Z74,MIN(AW$6-$E$3,22))&lt;&gt;""),'Milho 2ª safra'!$E74:INDEX('Milho 2ª safra'!$E74:$Z74,MIN(AW$6-$E$3,22))),0))-IF($G$2,0,IF((AW$6-$G$3)&lt;1,0,IFERROR(LOOKUP(2,1/('Milho 2ª safra'!$E74:INDEX('Milho 2ª safra'!$E74:$Z74,MIN(AW$6-$G$3,22))&lt;&gt;""),'Milho 2ª safra'!$E74:INDEX('Milho 2ª safra'!$E74:$Z74,MIN(AW$6-$G$3,22))),0)))))</f>
        <v>0</v>
      </c>
      <c r="AX76" s="27" t="n">
        <f aca="false">IF(COUNT('Milho 2ª safra'!$E74:$Z74)=0,0,MAX(0,IF((AX$6-$E$3)&lt;1,0,IFERROR(LOOKUP(2,1/('Milho 2ª safra'!$E74:INDEX('Milho 2ª safra'!$E74:$Z74,MIN(AX$6-$E$3,22))&lt;&gt;""),'Milho 2ª safra'!$E74:INDEX('Milho 2ª safra'!$E74:$Z74,MIN(AX$6-$E$3,22))),0))-IF($G$2,0,IF((AX$6-$G$3)&lt;1,0,IFERROR(LOOKUP(2,1/('Milho 2ª safra'!$E74:INDEX('Milho 2ª safra'!$E74:$Z74,MIN(AX$6-$G$3,22))&lt;&gt;""),'Milho 2ª safra'!$E74:INDEX('Milho 2ª safra'!$E74:$Z74,MIN(AX$6-$G$3,22))),0)))))</f>
        <v>0</v>
      </c>
      <c r="AY76" s="27" t="n">
        <f aca="false">IF(COUNT('Milho 2ª safra'!$E74:$Z74)=0,0,MAX(0,IF((AY$6-$E$3)&lt;1,0,IFERROR(LOOKUP(2,1/('Milho 2ª safra'!$E74:INDEX('Milho 2ª safra'!$E74:$Z74,MIN(AY$6-$E$3,22))&lt;&gt;""),'Milho 2ª safra'!$E74:INDEX('Milho 2ª safra'!$E74:$Z74,MIN(AY$6-$E$3,22))),0))-IF($G$2,0,IF((AY$6-$G$3)&lt;1,0,IFERROR(LOOKUP(2,1/('Milho 2ª safra'!$E74:INDEX('Milho 2ª safra'!$E74:$Z74,MIN(AY$6-$G$3,22))&lt;&gt;""),'Milho 2ª safra'!$E74:INDEX('Milho 2ª safra'!$E74:$Z74,MIN(AY$6-$G$3,22))),0)))))</f>
        <v>0</v>
      </c>
      <c r="AZ76" s="27" t="n">
        <f aca="false">IF(COUNT('Milho 2ª safra'!$E74:$Z74)=0,0,MAX(0,IF((AZ$6-$E$3)&lt;1,0,IFERROR(LOOKUP(2,1/('Milho 2ª safra'!$E74:INDEX('Milho 2ª safra'!$E74:$Z74,MIN(AZ$6-$E$3,22))&lt;&gt;""),'Milho 2ª safra'!$E74:INDEX('Milho 2ª safra'!$E74:$Z74,MIN(AZ$6-$E$3,22))),0))-IF($G$2,0,IF((AZ$6-$G$3)&lt;1,0,IFERROR(LOOKUP(2,1/('Milho 2ª safra'!$E74:INDEX('Milho 2ª safra'!$E74:$Z74,MIN(AZ$6-$G$3,22))&lt;&gt;""),'Milho 2ª safra'!$E74:INDEX('Milho 2ª safra'!$E74:$Z74,MIN(AZ$6-$G$3,22))),0)))))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IF(COUNT('Milho 2ª safra'!$E75:$Z75)&gt;0,N('Milho 2ª safra'!$D75),0)</f>
        <v>0</v>
      </c>
      <c r="E77" s="27" t="n">
        <f aca="false">IF(COUNT('Milho 2ª safra'!$E75:$Z75)=0,0,MAX(0,IF((E$6-$E$3)&lt;1,0,IFERROR(LOOKUP(2,1/('Milho 2ª safra'!$E75:INDEX('Milho 2ª safra'!$E75:$Z75,MIN(E$6-$E$3,22))&lt;&gt;""),'Milho 2ª safra'!$E75:INDEX('Milho 2ª safra'!$E75:$Z75,MIN(E$6-$E$3,22))),0))-IF($G$2,0,IF((E$6-$G$3)&lt;1,0,IFERROR(LOOKUP(2,1/('Milho 2ª safra'!$E75:INDEX('Milho 2ª safra'!$E75:$Z75,MIN(E$6-$G$3,22))&lt;&gt;""),'Milho 2ª safra'!$E75:INDEX('Milho 2ª safra'!$E75:$Z75,MIN(E$6-$G$3,22))),0)))))</f>
        <v>0</v>
      </c>
      <c r="F77" s="27" t="n">
        <f aca="false">IF(COUNT('Milho 2ª safra'!$E75:$Z75)=0,0,MAX(0,IF((F$6-$E$3)&lt;1,0,IFERROR(LOOKUP(2,1/('Milho 2ª safra'!$E75:INDEX('Milho 2ª safra'!$E75:$Z75,MIN(F$6-$E$3,22))&lt;&gt;""),'Milho 2ª safra'!$E75:INDEX('Milho 2ª safra'!$E75:$Z75,MIN(F$6-$E$3,22))),0))-IF($G$2,0,IF((F$6-$G$3)&lt;1,0,IFERROR(LOOKUP(2,1/('Milho 2ª safra'!$E75:INDEX('Milho 2ª safra'!$E75:$Z75,MIN(F$6-$G$3,22))&lt;&gt;""),'Milho 2ª safra'!$E75:INDEX('Milho 2ª safra'!$E75:$Z75,MIN(F$6-$G$3,22))),0)))))</f>
        <v>0</v>
      </c>
      <c r="G77" s="27" t="n">
        <f aca="false">IF(COUNT('Milho 2ª safra'!$E75:$Z75)=0,0,MAX(0,IF((G$6-$E$3)&lt;1,0,IFERROR(LOOKUP(2,1/('Milho 2ª safra'!$E75:INDEX('Milho 2ª safra'!$E75:$Z75,MIN(G$6-$E$3,22))&lt;&gt;""),'Milho 2ª safra'!$E75:INDEX('Milho 2ª safra'!$E75:$Z75,MIN(G$6-$E$3,22))),0))-IF($G$2,0,IF((G$6-$G$3)&lt;1,0,IFERROR(LOOKUP(2,1/('Milho 2ª safra'!$E75:INDEX('Milho 2ª safra'!$E75:$Z75,MIN(G$6-$G$3,22))&lt;&gt;""),'Milho 2ª safra'!$E75:INDEX('Milho 2ª safra'!$E75:$Z75,MIN(G$6-$G$3,22))),0)))))</f>
        <v>0</v>
      </c>
      <c r="H77" s="27" t="n">
        <f aca="false">IF(COUNT('Milho 2ª safra'!$E75:$Z75)=0,0,MAX(0,IF((H$6-$E$3)&lt;1,0,IFERROR(LOOKUP(2,1/('Milho 2ª safra'!$E75:INDEX('Milho 2ª safra'!$E75:$Z75,MIN(H$6-$E$3,22))&lt;&gt;""),'Milho 2ª safra'!$E75:INDEX('Milho 2ª safra'!$E75:$Z75,MIN(H$6-$E$3,22))),0))-IF($G$2,0,IF((H$6-$G$3)&lt;1,0,IFERROR(LOOKUP(2,1/('Milho 2ª safra'!$E75:INDEX('Milho 2ª safra'!$E75:$Z75,MIN(H$6-$G$3,22))&lt;&gt;""),'Milho 2ª safra'!$E75:INDEX('Milho 2ª safra'!$E75:$Z75,MIN(H$6-$G$3,22))),0)))))</f>
        <v>0</v>
      </c>
      <c r="I77" s="27" t="n">
        <f aca="false">IF(COUNT('Milho 2ª safra'!$E75:$Z75)=0,0,MAX(0,IF((I$6-$E$3)&lt;1,0,IFERROR(LOOKUP(2,1/('Milho 2ª safra'!$E75:INDEX('Milho 2ª safra'!$E75:$Z75,MIN(I$6-$E$3,22))&lt;&gt;""),'Milho 2ª safra'!$E75:INDEX('Milho 2ª safra'!$E75:$Z75,MIN(I$6-$E$3,22))),0))-IF($G$2,0,IF((I$6-$G$3)&lt;1,0,IFERROR(LOOKUP(2,1/('Milho 2ª safra'!$E75:INDEX('Milho 2ª safra'!$E75:$Z75,MIN(I$6-$G$3,22))&lt;&gt;""),'Milho 2ª safra'!$E75:INDEX('Milho 2ª safra'!$E75:$Z75,MIN(I$6-$G$3,22))),0)))))</f>
        <v>0</v>
      </c>
      <c r="J77" s="27" t="n">
        <f aca="false">IF(COUNT('Milho 2ª safra'!$E75:$Z75)=0,0,MAX(0,IF((J$6-$E$3)&lt;1,0,IFERROR(LOOKUP(2,1/('Milho 2ª safra'!$E75:INDEX('Milho 2ª safra'!$E75:$Z75,MIN(J$6-$E$3,22))&lt;&gt;""),'Milho 2ª safra'!$E75:INDEX('Milho 2ª safra'!$E75:$Z75,MIN(J$6-$E$3,22))),0))-IF($G$2,0,IF((J$6-$G$3)&lt;1,0,IFERROR(LOOKUP(2,1/('Milho 2ª safra'!$E75:INDEX('Milho 2ª safra'!$E75:$Z75,MIN(J$6-$G$3,22))&lt;&gt;""),'Milho 2ª safra'!$E75:INDEX('Milho 2ª safra'!$E75:$Z75,MIN(J$6-$G$3,22))),0)))))</f>
        <v>0</v>
      </c>
      <c r="K77" s="27" t="n">
        <f aca="false">IF(COUNT('Milho 2ª safra'!$E75:$Z75)=0,0,MAX(0,IF((K$6-$E$3)&lt;1,0,IFERROR(LOOKUP(2,1/('Milho 2ª safra'!$E75:INDEX('Milho 2ª safra'!$E75:$Z75,MIN(K$6-$E$3,22))&lt;&gt;""),'Milho 2ª safra'!$E75:INDEX('Milho 2ª safra'!$E75:$Z75,MIN(K$6-$E$3,22))),0))-IF($G$2,0,IF((K$6-$G$3)&lt;1,0,IFERROR(LOOKUP(2,1/('Milho 2ª safra'!$E75:INDEX('Milho 2ª safra'!$E75:$Z75,MIN(K$6-$G$3,22))&lt;&gt;""),'Milho 2ª safra'!$E75:INDEX('Milho 2ª safra'!$E75:$Z75,MIN(K$6-$G$3,22))),0)))))</f>
        <v>0</v>
      </c>
      <c r="L77" s="27" t="n">
        <f aca="false">IF(COUNT('Milho 2ª safra'!$E75:$Z75)=0,0,MAX(0,IF((L$6-$E$3)&lt;1,0,IFERROR(LOOKUP(2,1/('Milho 2ª safra'!$E75:INDEX('Milho 2ª safra'!$E75:$Z75,MIN(L$6-$E$3,22))&lt;&gt;""),'Milho 2ª safra'!$E75:INDEX('Milho 2ª safra'!$E75:$Z75,MIN(L$6-$E$3,22))),0))-IF($G$2,0,IF((L$6-$G$3)&lt;1,0,IFERROR(LOOKUP(2,1/('Milho 2ª safra'!$E75:INDEX('Milho 2ª safra'!$E75:$Z75,MIN(L$6-$G$3,22))&lt;&gt;""),'Milho 2ª safra'!$E75:INDEX('Milho 2ª safra'!$E75:$Z75,MIN(L$6-$G$3,22))),0)))))</f>
        <v>0</v>
      </c>
      <c r="M77" s="27" t="n">
        <f aca="false">IF(COUNT('Milho 2ª safra'!$E75:$Z75)=0,0,MAX(0,IF((M$6-$E$3)&lt;1,0,IFERROR(LOOKUP(2,1/('Milho 2ª safra'!$E75:INDEX('Milho 2ª safra'!$E75:$Z75,MIN(M$6-$E$3,22))&lt;&gt;""),'Milho 2ª safra'!$E75:INDEX('Milho 2ª safra'!$E75:$Z75,MIN(M$6-$E$3,22))),0))-IF($G$2,0,IF((M$6-$G$3)&lt;1,0,IFERROR(LOOKUP(2,1/('Milho 2ª safra'!$E75:INDEX('Milho 2ª safra'!$E75:$Z75,MIN(M$6-$G$3,22))&lt;&gt;""),'Milho 2ª safra'!$E75:INDEX('Milho 2ª safra'!$E75:$Z75,MIN(M$6-$G$3,22))),0)))))</f>
        <v>0</v>
      </c>
      <c r="N77" s="27" t="n">
        <f aca="false">IF(COUNT('Milho 2ª safra'!$E75:$Z75)=0,0,MAX(0,IF((N$6-$E$3)&lt;1,0,IFERROR(LOOKUP(2,1/('Milho 2ª safra'!$E75:INDEX('Milho 2ª safra'!$E75:$Z75,MIN(N$6-$E$3,22))&lt;&gt;""),'Milho 2ª safra'!$E75:INDEX('Milho 2ª safra'!$E75:$Z75,MIN(N$6-$E$3,22))),0))-IF($G$2,0,IF((N$6-$G$3)&lt;1,0,IFERROR(LOOKUP(2,1/('Milho 2ª safra'!$E75:INDEX('Milho 2ª safra'!$E75:$Z75,MIN(N$6-$G$3,22))&lt;&gt;""),'Milho 2ª safra'!$E75:INDEX('Milho 2ª safra'!$E75:$Z75,MIN(N$6-$G$3,22))),0)))))</f>
        <v>0</v>
      </c>
      <c r="O77" s="27" t="n">
        <f aca="false">IF(COUNT('Milho 2ª safra'!$E75:$Z75)=0,0,MAX(0,IF((O$6-$E$3)&lt;1,0,IFERROR(LOOKUP(2,1/('Milho 2ª safra'!$E75:INDEX('Milho 2ª safra'!$E75:$Z75,MIN(O$6-$E$3,22))&lt;&gt;""),'Milho 2ª safra'!$E75:INDEX('Milho 2ª safra'!$E75:$Z75,MIN(O$6-$E$3,22))),0))-IF($G$2,0,IF((O$6-$G$3)&lt;1,0,IFERROR(LOOKUP(2,1/('Milho 2ª safra'!$E75:INDEX('Milho 2ª safra'!$E75:$Z75,MIN(O$6-$G$3,22))&lt;&gt;""),'Milho 2ª safra'!$E75:INDEX('Milho 2ª safra'!$E75:$Z75,MIN(O$6-$G$3,22))),0)))))</f>
        <v>0</v>
      </c>
      <c r="P77" s="27" t="n">
        <f aca="false">IF(COUNT('Milho 2ª safra'!$E75:$Z75)=0,0,MAX(0,IF((P$6-$E$3)&lt;1,0,IFERROR(LOOKUP(2,1/('Milho 2ª safra'!$E75:INDEX('Milho 2ª safra'!$E75:$Z75,MIN(P$6-$E$3,22))&lt;&gt;""),'Milho 2ª safra'!$E75:INDEX('Milho 2ª safra'!$E75:$Z75,MIN(P$6-$E$3,22))),0))-IF($G$2,0,IF((P$6-$G$3)&lt;1,0,IFERROR(LOOKUP(2,1/('Milho 2ª safra'!$E75:INDEX('Milho 2ª safra'!$E75:$Z75,MIN(P$6-$G$3,22))&lt;&gt;""),'Milho 2ª safra'!$E75:INDEX('Milho 2ª safra'!$E75:$Z75,MIN(P$6-$G$3,22))),0)))))</f>
        <v>0</v>
      </c>
      <c r="Q77" s="27" t="n">
        <f aca="false">IF(COUNT('Milho 2ª safra'!$E75:$Z75)=0,0,MAX(0,IF((Q$6-$E$3)&lt;1,0,IFERROR(LOOKUP(2,1/('Milho 2ª safra'!$E75:INDEX('Milho 2ª safra'!$E75:$Z75,MIN(Q$6-$E$3,22))&lt;&gt;""),'Milho 2ª safra'!$E75:INDEX('Milho 2ª safra'!$E75:$Z75,MIN(Q$6-$E$3,22))),0))-IF($G$2,0,IF((Q$6-$G$3)&lt;1,0,IFERROR(LOOKUP(2,1/('Milho 2ª safra'!$E75:INDEX('Milho 2ª safra'!$E75:$Z75,MIN(Q$6-$G$3,22))&lt;&gt;""),'Milho 2ª safra'!$E75:INDEX('Milho 2ª safra'!$E75:$Z75,MIN(Q$6-$G$3,22))),0)))))</f>
        <v>0</v>
      </c>
      <c r="R77" s="27" t="n">
        <f aca="false">IF(COUNT('Milho 2ª safra'!$E75:$Z75)=0,0,MAX(0,IF((R$6-$E$3)&lt;1,0,IFERROR(LOOKUP(2,1/('Milho 2ª safra'!$E75:INDEX('Milho 2ª safra'!$E75:$Z75,MIN(R$6-$E$3,22))&lt;&gt;""),'Milho 2ª safra'!$E75:INDEX('Milho 2ª safra'!$E75:$Z75,MIN(R$6-$E$3,22))),0))-IF($G$2,0,IF((R$6-$G$3)&lt;1,0,IFERROR(LOOKUP(2,1/('Milho 2ª safra'!$E75:INDEX('Milho 2ª safra'!$E75:$Z75,MIN(R$6-$G$3,22))&lt;&gt;""),'Milho 2ª safra'!$E75:INDEX('Milho 2ª safra'!$E75:$Z75,MIN(R$6-$G$3,22))),0)))))</f>
        <v>0</v>
      </c>
      <c r="S77" s="27" t="n">
        <f aca="false">IF(COUNT('Milho 2ª safra'!$E75:$Z75)=0,0,MAX(0,IF((S$6-$E$3)&lt;1,0,IFERROR(LOOKUP(2,1/('Milho 2ª safra'!$E75:INDEX('Milho 2ª safra'!$E75:$Z75,MIN(S$6-$E$3,22))&lt;&gt;""),'Milho 2ª safra'!$E75:INDEX('Milho 2ª safra'!$E75:$Z75,MIN(S$6-$E$3,22))),0))-IF($G$2,0,IF((S$6-$G$3)&lt;1,0,IFERROR(LOOKUP(2,1/('Milho 2ª safra'!$E75:INDEX('Milho 2ª safra'!$E75:$Z75,MIN(S$6-$G$3,22))&lt;&gt;""),'Milho 2ª safra'!$E75:INDEX('Milho 2ª safra'!$E75:$Z75,MIN(S$6-$G$3,22))),0)))))</f>
        <v>0</v>
      </c>
      <c r="T77" s="27" t="n">
        <f aca="false">IF(COUNT('Milho 2ª safra'!$E75:$Z75)=0,0,MAX(0,IF((T$6-$E$3)&lt;1,0,IFERROR(LOOKUP(2,1/('Milho 2ª safra'!$E75:INDEX('Milho 2ª safra'!$E75:$Z75,MIN(T$6-$E$3,22))&lt;&gt;""),'Milho 2ª safra'!$E75:INDEX('Milho 2ª safra'!$E75:$Z75,MIN(T$6-$E$3,22))),0))-IF($G$2,0,IF((T$6-$G$3)&lt;1,0,IFERROR(LOOKUP(2,1/('Milho 2ª safra'!$E75:INDEX('Milho 2ª safra'!$E75:$Z75,MIN(T$6-$G$3,22))&lt;&gt;""),'Milho 2ª safra'!$E75:INDEX('Milho 2ª safra'!$E75:$Z75,MIN(T$6-$G$3,22))),0)))))</f>
        <v>0</v>
      </c>
      <c r="U77" s="27" t="n">
        <f aca="false">IF(COUNT('Milho 2ª safra'!$E75:$Z75)=0,0,MAX(0,IF((U$6-$E$3)&lt;1,0,IFERROR(LOOKUP(2,1/('Milho 2ª safra'!$E75:INDEX('Milho 2ª safra'!$E75:$Z75,MIN(U$6-$E$3,22))&lt;&gt;""),'Milho 2ª safra'!$E75:INDEX('Milho 2ª safra'!$E75:$Z75,MIN(U$6-$E$3,22))),0))-IF($G$2,0,IF((U$6-$G$3)&lt;1,0,IFERROR(LOOKUP(2,1/('Milho 2ª safra'!$E75:INDEX('Milho 2ª safra'!$E75:$Z75,MIN(U$6-$G$3,22))&lt;&gt;""),'Milho 2ª safra'!$E75:INDEX('Milho 2ª safra'!$E75:$Z75,MIN(U$6-$G$3,22))),0)))))</f>
        <v>0</v>
      </c>
      <c r="V77" s="27" t="n">
        <f aca="false">IF(COUNT('Milho 2ª safra'!$E75:$Z75)=0,0,MAX(0,IF((V$6-$E$3)&lt;1,0,IFERROR(LOOKUP(2,1/('Milho 2ª safra'!$E75:INDEX('Milho 2ª safra'!$E75:$Z75,MIN(V$6-$E$3,22))&lt;&gt;""),'Milho 2ª safra'!$E75:INDEX('Milho 2ª safra'!$E75:$Z75,MIN(V$6-$E$3,22))),0))-IF($G$2,0,IF((V$6-$G$3)&lt;1,0,IFERROR(LOOKUP(2,1/('Milho 2ª safra'!$E75:INDEX('Milho 2ª safra'!$E75:$Z75,MIN(V$6-$G$3,22))&lt;&gt;""),'Milho 2ª safra'!$E75:INDEX('Milho 2ª safra'!$E75:$Z75,MIN(V$6-$G$3,22))),0)))))</f>
        <v>0</v>
      </c>
      <c r="W77" s="27" t="n">
        <f aca="false">IF(COUNT('Milho 2ª safra'!$E75:$Z75)=0,0,MAX(0,IF((W$6-$E$3)&lt;1,0,IFERROR(LOOKUP(2,1/('Milho 2ª safra'!$E75:INDEX('Milho 2ª safra'!$E75:$Z75,MIN(W$6-$E$3,22))&lt;&gt;""),'Milho 2ª safra'!$E75:INDEX('Milho 2ª safra'!$E75:$Z75,MIN(W$6-$E$3,22))),0))-IF($G$2,0,IF((W$6-$G$3)&lt;1,0,IFERROR(LOOKUP(2,1/('Milho 2ª safra'!$E75:INDEX('Milho 2ª safra'!$E75:$Z75,MIN(W$6-$G$3,22))&lt;&gt;""),'Milho 2ª safra'!$E75:INDEX('Milho 2ª safra'!$E75:$Z75,MIN(W$6-$G$3,22))),0)))))</f>
        <v>0</v>
      </c>
      <c r="X77" s="27" t="n">
        <f aca="false">IF(COUNT('Milho 2ª safra'!$E75:$Z75)=0,0,MAX(0,IF((X$6-$E$3)&lt;1,0,IFERROR(LOOKUP(2,1/('Milho 2ª safra'!$E75:INDEX('Milho 2ª safra'!$E75:$Z75,MIN(X$6-$E$3,22))&lt;&gt;""),'Milho 2ª safra'!$E75:INDEX('Milho 2ª safra'!$E75:$Z75,MIN(X$6-$E$3,22))),0))-IF($G$2,0,IF((X$6-$G$3)&lt;1,0,IFERROR(LOOKUP(2,1/('Milho 2ª safra'!$E75:INDEX('Milho 2ª safra'!$E75:$Z75,MIN(X$6-$G$3,22))&lt;&gt;""),'Milho 2ª safra'!$E75:INDEX('Milho 2ª safra'!$E75:$Z75,MIN(X$6-$G$3,22))),0)))))</f>
        <v>0</v>
      </c>
      <c r="Y77" s="27" t="n">
        <f aca="false">IF(COUNT('Milho 2ª safra'!$E75:$Z75)=0,0,MAX(0,IF((Y$6-$E$3)&lt;1,0,IFERROR(LOOKUP(2,1/('Milho 2ª safra'!$E75:INDEX('Milho 2ª safra'!$E75:$Z75,MIN(Y$6-$E$3,22))&lt;&gt;""),'Milho 2ª safra'!$E75:INDEX('Milho 2ª safra'!$E75:$Z75,MIN(Y$6-$E$3,22))),0))-IF($G$2,0,IF((Y$6-$G$3)&lt;1,0,IFERROR(LOOKUP(2,1/('Milho 2ª safra'!$E75:INDEX('Milho 2ª safra'!$E75:$Z75,MIN(Y$6-$G$3,22))&lt;&gt;""),'Milho 2ª safra'!$E75:INDEX('Milho 2ª safra'!$E75:$Z75,MIN(Y$6-$G$3,22))),0)))))</f>
        <v>0</v>
      </c>
      <c r="Z77" s="27" t="n">
        <f aca="false">IF(COUNT('Milho 2ª safra'!$E75:$Z75)=0,0,MAX(0,IF((Z$6-$E$3)&lt;1,0,IFERROR(LOOKUP(2,1/('Milho 2ª safra'!$E75:INDEX('Milho 2ª safra'!$E75:$Z75,MIN(Z$6-$E$3,22))&lt;&gt;""),'Milho 2ª safra'!$E75:INDEX('Milho 2ª safra'!$E75:$Z75,MIN(Z$6-$E$3,22))),0))-IF($G$2,0,IF((Z$6-$G$3)&lt;1,0,IFERROR(LOOKUP(2,1/('Milho 2ª safra'!$E75:INDEX('Milho 2ª safra'!$E75:$Z75,MIN(Z$6-$G$3,22))&lt;&gt;""),'Milho 2ª safra'!$E75:INDEX('Milho 2ª safra'!$E75:$Z75,MIN(Z$6-$G$3,22))),0)))))</f>
        <v>0</v>
      </c>
      <c r="AA77" s="27" t="n">
        <f aca="false">IF(COUNT('Milho 2ª safra'!$E75:$Z75)=0,0,MAX(0,IF((AA$6-$E$3)&lt;1,0,IFERROR(LOOKUP(2,1/('Milho 2ª safra'!$E75:INDEX('Milho 2ª safra'!$E75:$Z75,MIN(AA$6-$E$3,22))&lt;&gt;""),'Milho 2ª safra'!$E75:INDEX('Milho 2ª safra'!$E75:$Z75,MIN(AA$6-$E$3,22))),0))-IF($G$2,0,IF((AA$6-$G$3)&lt;1,0,IFERROR(LOOKUP(2,1/('Milho 2ª safra'!$E75:INDEX('Milho 2ª safra'!$E75:$Z75,MIN(AA$6-$G$3,22))&lt;&gt;""),'Milho 2ª safra'!$E75:INDEX('Milho 2ª safra'!$E75:$Z75,MIN(AA$6-$G$3,22))),0)))))</f>
        <v>0</v>
      </c>
      <c r="AB77" s="27" t="n">
        <f aca="false">IF(COUNT('Milho 2ª safra'!$E75:$Z75)=0,0,MAX(0,IF((AB$6-$E$3)&lt;1,0,IFERROR(LOOKUP(2,1/('Milho 2ª safra'!$E75:INDEX('Milho 2ª safra'!$E75:$Z75,MIN(AB$6-$E$3,22))&lt;&gt;""),'Milho 2ª safra'!$E75:INDEX('Milho 2ª safra'!$E75:$Z75,MIN(AB$6-$E$3,22))),0))-IF($G$2,0,IF((AB$6-$G$3)&lt;1,0,IFERROR(LOOKUP(2,1/('Milho 2ª safra'!$E75:INDEX('Milho 2ª safra'!$E75:$Z75,MIN(AB$6-$G$3,22))&lt;&gt;""),'Milho 2ª safra'!$E75:INDEX('Milho 2ª safra'!$E75:$Z75,MIN(AB$6-$G$3,22))),0)))))</f>
        <v>0</v>
      </c>
      <c r="AC77" s="27" t="n">
        <f aca="false">IF(COUNT('Milho 2ª safra'!$E75:$Z75)=0,0,MAX(0,IF((AC$6-$E$3)&lt;1,0,IFERROR(LOOKUP(2,1/('Milho 2ª safra'!$E75:INDEX('Milho 2ª safra'!$E75:$Z75,MIN(AC$6-$E$3,22))&lt;&gt;""),'Milho 2ª safra'!$E75:INDEX('Milho 2ª safra'!$E75:$Z75,MIN(AC$6-$E$3,22))),0))-IF($G$2,0,IF((AC$6-$G$3)&lt;1,0,IFERROR(LOOKUP(2,1/('Milho 2ª safra'!$E75:INDEX('Milho 2ª safra'!$E75:$Z75,MIN(AC$6-$G$3,22))&lt;&gt;""),'Milho 2ª safra'!$E75:INDEX('Milho 2ª safra'!$E75:$Z75,MIN(AC$6-$G$3,22))),0)))))</f>
        <v>0</v>
      </c>
      <c r="AD77" s="27" t="n">
        <f aca="false">IF(COUNT('Milho 2ª safra'!$E75:$Z75)=0,0,MAX(0,IF((AD$6-$E$3)&lt;1,0,IFERROR(LOOKUP(2,1/('Milho 2ª safra'!$E75:INDEX('Milho 2ª safra'!$E75:$Z75,MIN(AD$6-$E$3,22))&lt;&gt;""),'Milho 2ª safra'!$E75:INDEX('Milho 2ª safra'!$E75:$Z75,MIN(AD$6-$E$3,22))),0))-IF($G$2,0,IF((AD$6-$G$3)&lt;1,0,IFERROR(LOOKUP(2,1/('Milho 2ª safra'!$E75:INDEX('Milho 2ª safra'!$E75:$Z75,MIN(AD$6-$G$3,22))&lt;&gt;""),'Milho 2ª safra'!$E75:INDEX('Milho 2ª safra'!$E75:$Z75,MIN(AD$6-$G$3,22))),0)))))</f>
        <v>0</v>
      </c>
      <c r="AE77" s="27" t="n">
        <f aca="false">IF(COUNT('Milho 2ª safra'!$E75:$Z75)=0,0,MAX(0,IF((AE$6-$E$3)&lt;1,0,IFERROR(LOOKUP(2,1/('Milho 2ª safra'!$E75:INDEX('Milho 2ª safra'!$E75:$Z75,MIN(AE$6-$E$3,22))&lt;&gt;""),'Milho 2ª safra'!$E75:INDEX('Milho 2ª safra'!$E75:$Z75,MIN(AE$6-$E$3,22))),0))-IF($G$2,0,IF((AE$6-$G$3)&lt;1,0,IFERROR(LOOKUP(2,1/('Milho 2ª safra'!$E75:INDEX('Milho 2ª safra'!$E75:$Z75,MIN(AE$6-$G$3,22))&lt;&gt;""),'Milho 2ª safra'!$E75:INDEX('Milho 2ª safra'!$E75:$Z75,MIN(AE$6-$G$3,22))),0)))))</f>
        <v>0</v>
      </c>
      <c r="AF77" s="27" t="n">
        <f aca="false">IF(COUNT('Milho 2ª safra'!$E75:$Z75)=0,0,MAX(0,IF((AF$6-$E$3)&lt;1,0,IFERROR(LOOKUP(2,1/('Milho 2ª safra'!$E75:INDEX('Milho 2ª safra'!$E75:$Z75,MIN(AF$6-$E$3,22))&lt;&gt;""),'Milho 2ª safra'!$E75:INDEX('Milho 2ª safra'!$E75:$Z75,MIN(AF$6-$E$3,22))),0))-IF($G$2,0,IF((AF$6-$G$3)&lt;1,0,IFERROR(LOOKUP(2,1/('Milho 2ª safra'!$E75:INDEX('Milho 2ª safra'!$E75:$Z75,MIN(AF$6-$G$3,22))&lt;&gt;""),'Milho 2ª safra'!$E75:INDEX('Milho 2ª safra'!$E75:$Z75,MIN(AF$6-$G$3,22))),0)))))</f>
        <v>0</v>
      </c>
      <c r="AG77" s="27" t="n">
        <f aca="false">IF(COUNT('Milho 2ª safra'!$E75:$Z75)=0,0,MAX(0,IF((AG$6-$E$3)&lt;1,0,IFERROR(LOOKUP(2,1/('Milho 2ª safra'!$E75:INDEX('Milho 2ª safra'!$E75:$Z75,MIN(AG$6-$E$3,22))&lt;&gt;""),'Milho 2ª safra'!$E75:INDEX('Milho 2ª safra'!$E75:$Z75,MIN(AG$6-$E$3,22))),0))-IF($G$2,0,IF((AG$6-$G$3)&lt;1,0,IFERROR(LOOKUP(2,1/('Milho 2ª safra'!$E75:INDEX('Milho 2ª safra'!$E75:$Z75,MIN(AG$6-$G$3,22))&lt;&gt;""),'Milho 2ª safra'!$E75:INDEX('Milho 2ª safra'!$E75:$Z75,MIN(AG$6-$G$3,22))),0)))))</f>
        <v>0</v>
      </c>
      <c r="AH77" s="27" t="n">
        <f aca="false">IF(COUNT('Milho 2ª safra'!$E75:$Z75)=0,0,MAX(0,IF((AH$6-$E$3)&lt;1,0,IFERROR(LOOKUP(2,1/('Milho 2ª safra'!$E75:INDEX('Milho 2ª safra'!$E75:$Z75,MIN(AH$6-$E$3,22))&lt;&gt;""),'Milho 2ª safra'!$E75:INDEX('Milho 2ª safra'!$E75:$Z75,MIN(AH$6-$E$3,22))),0))-IF($G$2,0,IF((AH$6-$G$3)&lt;1,0,IFERROR(LOOKUP(2,1/('Milho 2ª safra'!$E75:INDEX('Milho 2ª safra'!$E75:$Z75,MIN(AH$6-$G$3,22))&lt;&gt;""),'Milho 2ª safra'!$E75:INDEX('Milho 2ª safra'!$E75:$Z75,MIN(AH$6-$G$3,22))),0)))))</f>
        <v>0</v>
      </c>
      <c r="AI77" s="27" t="n">
        <f aca="false">IF(COUNT('Milho 2ª safra'!$E75:$Z75)=0,0,MAX(0,IF((AI$6-$E$3)&lt;1,0,IFERROR(LOOKUP(2,1/('Milho 2ª safra'!$E75:INDEX('Milho 2ª safra'!$E75:$Z75,MIN(AI$6-$E$3,22))&lt;&gt;""),'Milho 2ª safra'!$E75:INDEX('Milho 2ª safra'!$E75:$Z75,MIN(AI$6-$E$3,22))),0))-IF($G$2,0,IF((AI$6-$G$3)&lt;1,0,IFERROR(LOOKUP(2,1/('Milho 2ª safra'!$E75:INDEX('Milho 2ª safra'!$E75:$Z75,MIN(AI$6-$G$3,22))&lt;&gt;""),'Milho 2ª safra'!$E75:INDEX('Milho 2ª safra'!$E75:$Z75,MIN(AI$6-$G$3,22))),0)))))</f>
        <v>0</v>
      </c>
      <c r="AJ77" s="27" t="n">
        <f aca="false">IF(COUNT('Milho 2ª safra'!$E75:$Z75)=0,0,MAX(0,IF((AJ$6-$E$3)&lt;1,0,IFERROR(LOOKUP(2,1/('Milho 2ª safra'!$E75:INDEX('Milho 2ª safra'!$E75:$Z75,MIN(AJ$6-$E$3,22))&lt;&gt;""),'Milho 2ª safra'!$E75:INDEX('Milho 2ª safra'!$E75:$Z75,MIN(AJ$6-$E$3,22))),0))-IF($G$2,0,IF((AJ$6-$G$3)&lt;1,0,IFERROR(LOOKUP(2,1/('Milho 2ª safra'!$E75:INDEX('Milho 2ª safra'!$E75:$Z75,MIN(AJ$6-$G$3,22))&lt;&gt;""),'Milho 2ª safra'!$E75:INDEX('Milho 2ª safra'!$E75:$Z75,MIN(AJ$6-$G$3,22))),0)))))</f>
        <v>0</v>
      </c>
      <c r="AK77" s="27" t="n">
        <f aca="false">IF(COUNT('Milho 2ª safra'!$E75:$Z75)=0,0,MAX(0,IF((AK$6-$E$3)&lt;1,0,IFERROR(LOOKUP(2,1/('Milho 2ª safra'!$E75:INDEX('Milho 2ª safra'!$E75:$Z75,MIN(AK$6-$E$3,22))&lt;&gt;""),'Milho 2ª safra'!$E75:INDEX('Milho 2ª safra'!$E75:$Z75,MIN(AK$6-$E$3,22))),0))-IF($G$2,0,IF((AK$6-$G$3)&lt;1,0,IFERROR(LOOKUP(2,1/('Milho 2ª safra'!$E75:INDEX('Milho 2ª safra'!$E75:$Z75,MIN(AK$6-$G$3,22))&lt;&gt;""),'Milho 2ª safra'!$E75:INDEX('Milho 2ª safra'!$E75:$Z75,MIN(AK$6-$G$3,22))),0)))))</f>
        <v>0</v>
      </c>
      <c r="AL77" s="27" t="n">
        <f aca="false">IF(COUNT('Milho 2ª safra'!$E75:$Z75)=0,0,MAX(0,IF((AL$6-$E$3)&lt;1,0,IFERROR(LOOKUP(2,1/('Milho 2ª safra'!$E75:INDEX('Milho 2ª safra'!$E75:$Z75,MIN(AL$6-$E$3,22))&lt;&gt;""),'Milho 2ª safra'!$E75:INDEX('Milho 2ª safra'!$E75:$Z75,MIN(AL$6-$E$3,22))),0))-IF($G$2,0,IF((AL$6-$G$3)&lt;1,0,IFERROR(LOOKUP(2,1/('Milho 2ª safra'!$E75:INDEX('Milho 2ª safra'!$E75:$Z75,MIN(AL$6-$G$3,22))&lt;&gt;""),'Milho 2ª safra'!$E75:INDEX('Milho 2ª safra'!$E75:$Z75,MIN(AL$6-$G$3,22))),0)))))</f>
        <v>0</v>
      </c>
      <c r="AM77" s="27" t="n">
        <f aca="false">IF(COUNT('Milho 2ª safra'!$E75:$Z75)=0,0,MAX(0,IF((AM$6-$E$3)&lt;1,0,IFERROR(LOOKUP(2,1/('Milho 2ª safra'!$E75:INDEX('Milho 2ª safra'!$E75:$Z75,MIN(AM$6-$E$3,22))&lt;&gt;""),'Milho 2ª safra'!$E75:INDEX('Milho 2ª safra'!$E75:$Z75,MIN(AM$6-$E$3,22))),0))-IF($G$2,0,IF((AM$6-$G$3)&lt;1,0,IFERROR(LOOKUP(2,1/('Milho 2ª safra'!$E75:INDEX('Milho 2ª safra'!$E75:$Z75,MIN(AM$6-$G$3,22))&lt;&gt;""),'Milho 2ª safra'!$E75:INDEX('Milho 2ª safra'!$E75:$Z75,MIN(AM$6-$G$3,22))),0)))))</f>
        <v>0</v>
      </c>
      <c r="AN77" s="27" t="n">
        <f aca="false">IF(COUNT('Milho 2ª safra'!$E75:$Z75)=0,0,MAX(0,IF((AN$6-$E$3)&lt;1,0,IFERROR(LOOKUP(2,1/('Milho 2ª safra'!$E75:INDEX('Milho 2ª safra'!$E75:$Z75,MIN(AN$6-$E$3,22))&lt;&gt;""),'Milho 2ª safra'!$E75:INDEX('Milho 2ª safra'!$E75:$Z75,MIN(AN$6-$E$3,22))),0))-IF($G$2,0,IF((AN$6-$G$3)&lt;1,0,IFERROR(LOOKUP(2,1/('Milho 2ª safra'!$E75:INDEX('Milho 2ª safra'!$E75:$Z75,MIN(AN$6-$G$3,22))&lt;&gt;""),'Milho 2ª safra'!$E75:INDEX('Milho 2ª safra'!$E75:$Z75,MIN(AN$6-$G$3,22))),0)))))</f>
        <v>0</v>
      </c>
      <c r="AO77" s="27" t="n">
        <f aca="false">IF(COUNT('Milho 2ª safra'!$E75:$Z75)=0,0,MAX(0,IF((AO$6-$E$3)&lt;1,0,IFERROR(LOOKUP(2,1/('Milho 2ª safra'!$E75:INDEX('Milho 2ª safra'!$E75:$Z75,MIN(AO$6-$E$3,22))&lt;&gt;""),'Milho 2ª safra'!$E75:INDEX('Milho 2ª safra'!$E75:$Z75,MIN(AO$6-$E$3,22))),0))-IF($G$2,0,IF((AO$6-$G$3)&lt;1,0,IFERROR(LOOKUP(2,1/('Milho 2ª safra'!$E75:INDEX('Milho 2ª safra'!$E75:$Z75,MIN(AO$6-$G$3,22))&lt;&gt;""),'Milho 2ª safra'!$E75:INDEX('Milho 2ª safra'!$E75:$Z75,MIN(AO$6-$G$3,22))),0)))))</f>
        <v>0</v>
      </c>
      <c r="AP77" s="27" t="n">
        <f aca="false">IF(COUNT('Milho 2ª safra'!$E75:$Z75)=0,0,MAX(0,IF((AP$6-$E$3)&lt;1,0,IFERROR(LOOKUP(2,1/('Milho 2ª safra'!$E75:INDEX('Milho 2ª safra'!$E75:$Z75,MIN(AP$6-$E$3,22))&lt;&gt;""),'Milho 2ª safra'!$E75:INDEX('Milho 2ª safra'!$E75:$Z75,MIN(AP$6-$E$3,22))),0))-IF($G$2,0,IF((AP$6-$G$3)&lt;1,0,IFERROR(LOOKUP(2,1/('Milho 2ª safra'!$E75:INDEX('Milho 2ª safra'!$E75:$Z75,MIN(AP$6-$G$3,22))&lt;&gt;""),'Milho 2ª safra'!$E75:INDEX('Milho 2ª safra'!$E75:$Z75,MIN(AP$6-$G$3,22))),0)))))</f>
        <v>0</v>
      </c>
      <c r="AQ77" s="27" t="n">
        <f aca="false">IF(COUNT('Milho 2ª safra'!$E75:$Z75)=0,0,MAX(0,IF((AQ$6-$E$3)&lt;1,0,IFERROR(LOOKUP(2,1/('Milho 2ª safra'!$E75:INDEX('Milho 2ª safra'!$E75:$Z75,MIN(AQ$6-$E$3,22))&lt;&gt;""),'Milho 2ª safra'!$E75:INDEX('Milho 2ª safra'!$E75:$Z75,MIN(AQ$6-$E$3,22))),0))-IF($G$2,0,IF((AQ$6-$G$3)&lt;1,0,IFERROR(LOOKUP(2,1/('Milho 2ª safra'!$E75:INDEX('Milho 2ª safra'!$E75:$Z75,MIN(AQ$6-$G$3,22))&lt;&gt;""),'Milho 2ª safra'!$E75:INDEX('Milho 2ª safra'!$E75:$Z75,MIN(AQ$6-$G$3,22))),0)))))</f>
        <v>0</v>
      </c>
      <c r="AR77" s="27" t="n">
        <f aca="false">IF(COUNT('Milho 2ª safra'!$E75:$Z75)=0,0,MAX(0,IF((AR$6-$E$3)&lt;1,0,IFERROR(LOOKUP(2,1/('Milho 2ª safra'!$E75:INDEX('Milho 2ª safra'!$E75:$Z75,MIN(AR$6-$E$3,22))&lt;&gt;""),'Milho 2ª safra'!$E75:INDEX('Milho 2ª safra'!$E75:$Z75,MIN(AR$6-$E$3,22))),0))-IF($G$2,0,IF((AR$6-$G$3)&lt;1,0,IFERROR(LOOKUP(2,1/('Milho 2ª safra'!$E75:INDEX('Milho 2ª safra'!$E75:$Z75,MIN(AR$6-$G$3,22))&lt;&gt;""),'Milho 2ª safra'!$E75:INDEX('Milho 2ª safra'!$E75:$Z75,MIN(AR$6-$G$3,22))),0)))))</f>
        <v>0</v>
      </c>
      <c r="AS77" s="27" t="n">
        <f aca="false">IF(COUNT('Milho 2ª safra'!$E75:$Z75)=0,0,MAX(0,IF((AS$6-$E$3)&lt;1,0,IFERROR(LOOKUP(2,1/('Milho 2ª safra'!$E75:INDEX('Milho 2ª safra'!$E75:$Z75,MIN(AS$6-$E$3,22))&lt;&gt;""),'Milho 2ª safra'!$E75:INDEX('Milho 2ª safra'!$E75:$Z75,MIN(AS$6-$E$3,22))),0))-IF($G$2,0,IF((AS$6-$G$3)&lt;1,0,IFERROR(LOOKUP(2,1/('Milho 2ª safra'!$E75:INDEX('Milho 2ª safra'!$E75:$Z75,MIN(AS$6-$G$3,22))&lt;&gt;""),'Milho 2ª safra'!$E75:INDEX('Milho 2ª safra'!$E75:$Z75,MIN(AS$6-$G$3,22))),0)))))</f>
        <v>0</v>
      </c>
      <c r="AT77" s="27" t="n">
        <f aca="false">IF(COUNT('Milho 2ª safra'!$E75:$Z75)=0,0,MAX(0,IF((AT$6-$E$3)&lt;1,0,IFERROR(LOOKUP(2,1/('Milho 2ª safra'!$E75:INDEX('Milho 2ª safra'!$E75:$Z75,MIN(AT$6-$E$3,22))&lt;&gt;""),'Milho 2ª safra'!$E75:INDEX('Milho 2ª safra'!$E75:$Z75,MIN(AT$6-$E$3,22))),0))-IF($G$2,0,IF((AT$6-$G$3)&lt;1,0,IFERROR(LOOKUP(2,1/('Milho 2ª safra'!$E75:INDEX('Milho 2ª safra'!$E75:$Z75,MIN(AT$6-$G$3,22))&lt;&gt;""),'Milho 2ª safra'!$E75:INDEX('Milho 2ª safra'!$E75:$Z75,MIN(AT$6-$G$3,22))),0)))))</f>
        <v>0</v>
      </c>
      <c r="AU77" s="27" t="n">
        <f aca="false">IF(COUNT('Milho 2ª safra'!$E75:$Z75)=0,0,MAX(0,IF((AU$6-$E$3)&lt;1,0,IFERROR(LOOKUP(2,1/('Milho 2ª safra'!$E75:INDEX('Milho 2ª safra'!$E75:$Z75,MIN(AU$6-$E$3,22))&lt;&gt;""),'Milho 2ª safra'!$E75:INDEX('Milho 2ª safra'!$E75:$Z75,MIN(AU$6-$E$3,22))),0))-IF($G$2,0,IF((AU$6-$G$3)&lt;1,0,IFERROR(LOOKUP(2,1/('Milho 2ª safra'!$E75:INDEX('Milho 2ª safra'!$E75:$Z75,MIN(AU$6-$G$3,22))&lt;&gt;""),'Milho 2ª safra'!$E75:INDEX('Milho 2ª safra'!$E75:$Z75,MIN(AU$6-$G$3,22))),0)))))</f>
        <v>0</v>
      </c>
      <c r="AV77" s="27" t="n">
        <f aca="false">IF(COUNT('Milho 2ª safra'!$E75:$Z75)=0,0,MAX(0,IF((AV$6-$E$3)&lt;1,0,IFERROR(LOOKUP(2,1/('Milho 2ª safra'!$E75:INDEX('Milho 2ª safra'!$E75:$Z75,MIN(AV$6-$E$3,22))&lt;&gt;""),'Milho 2ª safra'!$E75:INDEX('Milho 2ª safra'!$E75:$Z75,MIN(AV$6-$E$3,22))),0))-IF($G$2,0,IF((AV$6-$G$3)&lt;1,0,IFERROR(LOOKUP(2,1/('Milho 2ª safra'!$E75:INDEX('Milho 2ª safra'!$E75:$Z75,MIN(AV$6-$G$3,22))&lt;&gt;""),'Milho 2ª safra'!$E75:INDEX('Milho 2ª safra'!$E75:$Z75,MIN(AV$6-$G$3,22))),0)))))</f>
        <v>0</v>
      </c>
      <c r="AW77" s="27" t="n">
        <f aca="false">IF(COUNT('Milho 2ª safra'!$E75:$Z75)=0,0,MAX(0,IF((AW$6-$E$3)&lt;1,0,IFERROR(LOOKUP(2,1/('Milho 2ª safra'!$E75:INDEX('Milho 2ª safra'!$E75:$Z75,MIN(AW$6-$E$3,22))&lt;&gt;""),'Milho 2ª safra'!$E75:INDEX('Milho 2ª safra'!$E75:$Z75,MIN(AW$6-$E$3,22))),0))-IF($G$2,0,IF((AW$6-$G$3)&lt;1,0,IFERROR(LOOKUP(2,1/('Milho 2ª safra'!$E75:INDEX('Milho 2ª safra'!$E75:$Z75,MIN(AW$6-$G$3,22))&lt;&gt;""),'Milho 2ª safra'!$E75:INDEX('Milho 2ª safra'!$E75:$Z75,MIN(AW$6-$G$3,22))),0)))))</f>
        <v>0</v>
      </c>
      <c r="AX77" s="27" t="n">
        <f aca="false">IF(COUNT('Milho 2ª safra'!$E75:$Z75)=0,0,MAX(0,IF((AX$6-$E$3)&lt;1,0,IFERROR(LOOKUP(2,1/('Milho 2ª safra'!$E75:INDEX('Milho 2ª safra'!$E75:$Z75,MIN(AX$6-$E$3,22))&lt;&gt;""),'Milho 2ª safra'!$E75:INDEX('Milho 2ª safra'!$E75:$Z75,MIN(AX$6-$E$3,22))),0))-IF($G$2,0,IF((AX$6-$G$3)&lt;1,0,IFERROR(LOOKUP(2,1/('Milho 2ª safra'!$E75:INDEX('Milho 2ª safra'!$E75:$Z75,MIN(AX$6-$G$3,22))&lt;&gt;""),'Milho 2ª safra'!$E75:INDEX('Milho 2ª safra'!$E75:$Z75,MIN(AX$6-$G$3,22))),0)))))</f>
        <v>0</v>
      </c>
      <c r="AY77" s="27" t="n">
        <f aca="false">IF(COUNT('Milho 2ª safra'!$E75:$Z75)=0,0,MAX(0,IF((AY$6-$E$3)&lt;1,0,IFERROR(LOOKUP(2,1/('Milho 2ª safra'!$E75:INDEX('Milho 2ª safra'!$E75:$Z75,MIN(AY$6-$E$3,22))&lt;&gt;""),'Milho 2ª safra'!$E75:INDEX('Milho 2ª safra'!$E75:$Z75,MIN(AY$6-$E$3,22))),0))-IF($G$2,0,IF((AY$6-$G$3)&lt;1,0,IFERROR(LOOKUP(2,1/('Milho 2ª safra'!$E75:INDEX('Milho 2ª safra'!$E75:$Z75,MIN(AY$6-$G$3,22))&lt;&gt;""),'Milho 2ª safra'!$E75:INDEX('Milho 2ª safra'!$E75:$Z75,MIN(AY$6-$G$3,22))),0)))))</f>
        <v>0</v>
      </c>
      <c r="AZ77" s="27" t="n">
        <f aca="false">IF(COUNT('Milho 2ª safra'!$E75:$Z75)=0,0,MAX(0,IF((AZ$6-$E$3)&lt;1,0,IFERROR(LOOKUP(2,1/('Milho 2ª safra'!$E75:INDEX('Milho 2ª safra'!$E75:$Z75,MIN(AZ$6-$E$3,22))&lt;&gt;""),'Milho 2ª safra'!$E75:INDEX('Milho 2ª safra'!$E75:$Z75,MIN(AZ$6-$E$3,22))),0))-IF($G$2,0,IF((AZ$6-$G$3)&lt;1,0,IFERROR(LOOKUP(2,1/('Milho 2ª safra'!$E75:INDEX('Milho 2ª safra'!$E75:$Z75,MIN(AZ$6-$G$3,22))&lt;&gt;""),'Milho 2ª safra'!$E75:INDEX('Milho 2ª safra'!$E75:$Z75,MIN(AZ$6-$G$3,22))),0)))))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IF(COUNT('Milho 2ª safra'!$E76:$Z76)&gt;0,N('Milho 2ª safra'!$D76),0)</f>
        <v>0</v>
      </c>
      <c r="E78" s="27" t="n">
        <f aca="false">IF(COUNT('Milho 2ª safra'!$E76:$Z76)=0,0,MAX(0,IF((E$6-$E$3)&lt;1,0,IFERROR(LOOKUP(2,1/('Milho 2ª safra'!$E76:INDEX('Milho 2ª safra'!$E76:$Z76,MIN(E$6-$E$3,22))&lt;&gt;""),'Milho 2ª safra'!$E76:INDEX('Milho 2ª safra'!$E76:$Z76,MIN(E$6-$E$3,22))),0))-IF($G$2,0,IF((E$6-$G$3)&lt;1,0,IFERROR(LOOKUP(2,1/('Milho 2ª safra'!$E76:INDEX('Milho 2ª safra'!$E76:$Z76,MIN(E$6-$G$3,22))&lt;&gt;""),'Milho 2ª safra'!$E76:INDEX('Milho 2ª safra'!$E76:$Z76,MIN(E$6-$G$3,22))),0)))))</f>
        <v>0</v>
      </c>
      <c r="F78" s="27" t="n">
        <f aca="false">IF(COUNT('Milho 2ª safra'!$E76:$Z76)=0,0,MAX(0,IF((F$6-$E$3)&lt;1,0,IFERROR(LOOKUP(2,1/('Milho 2ª safra'!$E76:INDEX('Milho 2ª safra'!$E76:$Z76,MIN(F$6-$E$3,22))&lt;&gt;""),'Milho 2ª safra'!$E76:INDEX('Milho 2ª safra'!$E76:$Z76,MIN(F$6-$E$3,22))),0))-IF($G$2,0,IF((F$6-$G$3)&lt;1,0,IFERROR(LOOKUP(2,1/('Milho 2ª safra'!$E76:INDEX('Milho 2ª safra'!$E76:$Z76,MIN(F$6-$G$3,22))&lt;&gt;""),'Milho 2ª safra'!$E76:INDEX('Milho 2ª safra'!$E76:$Z76,MIN(F$6-$G$3,22))),0)))))</f>
        <v>0</v>
      </c>
      <c r="G78" s="27" t="n">
        <f aca="false">IF(COUNT('Milho 2ª safra'!$E76:$Z76)=0,0,MAX(0,IF((G$6-$E$3)&lt;1,0,IFERROR(LOOKUP(2,1/('Milho 2ª safra'!$E76:INDEX('Milho 2ª safra'!$E76:$Z76,MIN(G$6-$E$3,22))&lt;&gt;""),'Milho 2ª safra'!$E76:INDEX('Milho 2ª safra'!$E76:$Z76,MIN(G$6-$E$3,22))),0))-IF($G$2,0,IF((G$6-$G$3)&lt;1,0,IFERROR(LOOKUP(2,1/('Milho 2ª safra'!$E76:INDEX('Milho 2ª safra'!$E76:$Z76,MIN(G$6-$G$3,22))&lt;&gt;""),'Milho 2ª safra'!$E76:INDEX('Milho 2ª safra'!$E76:$Z76,MIN(G$6-$G$3,22))),0)))))</f>
        <v>0</v>
      </c>
      <c r="H78" s="27" t="n">
        <f aca="false">IF(COUNT('Milho 2ª safra'!$E76:$Z76)=0,0,MAX(0,IF((H$6-$E$3)&lt;1,0,IFERROR(LOOKUP(2,1/('Milho 2ª safra'!$E76:INDEX('Milho 2ª safra'!$E76:$Z76,MIN(H$6-$E$3,22))&lt;&gt;""),'Milho 2ª safra'!$E76:INDEX('Milho 2ª safra'!$E76:$Z76,MIN(H$6-$E$3,22))),0))-IF($G$2,0,IF((H$6-$G$3)&lt;1,0,IFERROR(LOOKUP(2,1/('Milho 2ª safra'!$E76:INDEX('Milho 2ª safra'!$E76:$Z76,MIN(H$6-$G$3,22))&lt;&gt;""),'Milho 2ª safra'!$E76:INDEX('Milho 2ª safra'!$E76:$Z76,MIN(H$6-$G$3,22))),0)))))</f>
        <v>0</v>
      </c>
      <c r="I78" s="27" t="n">
        <f aca="false">IF(COUNT('Milho 2ª safra'!$E76:$Z76)=0,0,MAX(0,IF((I$6-$E$3)&lt;1,0,IFERROR(LOOKUP(2,1/('Milho 2ª safra'!$E76:INDEX('Milho 2ª safra'!$E76:$Z76,MIN(I$6-$E$3,22))&lt;&gt;""),'Milho 2ª safra'!$E76:INDEX('Milho 2ª safra'!$E76:$Z76,MIN(I$6-$E$3,22))),0))-IF($G$2,0,IF((I$6-$G$3)&lt;1,0,IFERROR(LOOKUP(2,1/('Milho 2ª safra'!$E76:INDEX('Milho 2ª safra'!$E76:$Z76,MIN(I$6-$G$3,22))&lt;&gt;""),'Milho 2ª safra'!$E76:INDEX('Milho 2ª safra'!$E76:$Z76,MIN(I$6-$G$3,22))),0)))))</f>
        <v>0</v>
      </c>
      <c r="J78" s="27" t="n">
        <f aca="false">IF(COUNT('Milho 2ª safra'!$E76:$Z76)=0,0,MAX(0,IF((J$6-$E$3)&lt;1,0,IFERROR(LOOKUP(2,1/('Milho 2ª safra'!$E76:INDEX('Milho 2ª safra'!$E76:$Z76,MIN(J$6-$E$3,22))&lt;&gt;""),'Milho 2ª safra'!$E76:INDEX('Milho 2ª safra'!$E76:$Z76,MIN(J$6-$E$3,22))),0))-IF($G$2,0,IF((J$6-$G$3)&lt;1,0,IFERROR(LOOKUP(2,1/('Milho 2ª safra'!$E76:INDEX('Milho 2ª safra'!$E76:$Z76,MIN(J$6-$G$3,22))&lt;&gt;""),'Milho 2ª safra'!$E76:INDEX('Milho 2ª safra'!$E76:$Z76,MIN(J$6-$G$3,22))),0)))))</f>
        <v>0</v>
      </c>
      <c r="K78" s="27" t="n">
        <f aca="false">IF(COUNT('Milho 2ª safra'!$E76:$Z76)=0,0,MAX(0,IF((K$6-$E$3)&lt;1,0,IFERROR(LOOKUP(2,1/('Milho 2ª safra'!$E76:INDEX('Milho 2ª safra'!$E76:$Z76,MIN(K$6-$E$3,22))&lt;&gt;""),'Milho 2ª safra'!$E76:INDEX('Milho 2ª safra'!$E76:$Z76,MIN(K$6-$E$3,22))),0))-IF($G$2,0,IF((K$6-$G$3)&lt;1,0,IFERROR(LOOKUP(2,1/('Milho 2ª safra'!$E76:INDEX('Milho 2ª safra'!$E76:$Z76,MIN(K$6-$G$3,22))&lt;&gt;""),'Milho 2ª safra'!$E76:INDEX('Milho 2ª safra'!$E76:$Z76,MIN(K$6-$G$3,22))),0)))))</f>
        <v>0</v>
      </c>
      <c r="L78" s="27" t="n">
        <f aca="false">IF(COUNT('Milho 2ª safra'!$E76:$Z76)=0,0,MAX(0,IF((L$6-$E$3)&lt;1,0,IFERROR(LOOKUP(2,1/('Milho 2ª safra'!$E76:INDEX('Milho 2ª safra'!$E76:$Z76,MIN(L$6-$E$3,22))&lt;&gt;""),'Milho 2ª safra'!$E76:INDEX('Milho 2ª safra'!$E76:$Z76,MIN(L$6-$E$3,22))),0))-IF($G$2,0,IF((L$6-$G$3)&lt;1,0,IFERROR(LOOKUP(2,1/('Milho 2ª safra'!$E76:INDEX('Milho 2ª safra'!$E76:$Z76,MIN(L$6-$G$3,22))&lt;&gt;""),'Milho 2ª safra'!$E76:INDEX('Milho 2ª safra'!$E76:$Z76,MIN(L$6-$G$3,22))),0)))))</f>
        <v>0</v>
      </c>
      <c r="M78" s="27" t="n">
        <f aca="false">IF(COUNT('Milho 2ª safra'!$E76:$Z76)=0,0,MAX(0,IF((M$6-$E$3)&lt;1,0,IFERROR(LOOKUP(2,1/('Milho 2ª safra'!$E76:INDEX('Milho 2ª safra'!$E76:$Z76,MIN(M$6-$E$3,22))&lt;&gt;""),'Milho 2ª safra'!$E76:INDEX('Milho 2ª safra'!$E76:$Z76,MIN(M$6-$E$3,22))),0))-IF($G$2,0,IF((M$6-$G$3)&lt;1,0,IFERROR(LOOKUP(2,1/('Milho 2ª safra'!$E76:INDEX('Milho 2ª safra'!$E76:$Z76,MIN(M$6-$G$3,22))&lt;&gt;""),'Milho 2ª safra'!$E76:INDEX('Milho 2ª safra'!$E76:$Z76,MIN(M$6-$G$3,22))),0)))))</f>
        <v>0</v>
      </c>
      <c r="N78" s="27" t="n">
        <f aca="false">IF(COUNT('Milho 2ª safra'!$E76:$Z76)=0,0,MAX(0,IF((N$6-$E$3)&lt;1,0,IFERROR(LOOKUP(2,1/('Milho 2ª safra'!$E76:INDEX('Milho 2ª safra'!$E76:$Z76,MIN(N$6-$E$3,22))&lt;&gt;""),'Milho 2ª safra'!$E76:INDEX('Milho 2ª safra'!$E76:$Z76,MIN(N$6-$E$3,22))),0))-IF($G$2,0,IF((N$6-$G$3)&lt;1,0,IFERROR(LOOKUP(2,1/('Milho 2ª safra'!$E76:INDEX('Milho 2ª safra'!$E76:$Z76,MIN(N$6-$G$3,22))&lt;&gt;""),'Milho 2ª safra'!$E76:INDEX('Milho 2ª safra'!$E76:$Z76,MIN(N$6-$G$3,22))),0)))))</f>
        <v>0</v>
      </c>
      <c r="O78" s="27" t="n">
        <f aca="false">IF(COUNT('Milho 2ª safra'!$E76:$Z76)=0,0,MAX(0,IF((O$6-$E$3)&lt;1,0,IFERROR(LOOKUP(2,1/('Milho 2ª safra'!$E76:INDEX('Milho 2ª safra'!$E76:$Z76,MIN(O$6-$E$3,22))&lt;&gt;""),'Milho 2ª safra'!$E76:INDEX('Milho 2ª safra'!$E76:$Z76,MIN(O$6-$E$3,22))),0))-IF($G$2,0,IF((O$6-$G$3)&lt;1,0,IFERROR(LOOKUP(2,1/('Milho 2ª safra'!$E76:INDEX('Milho 2ª safra'!$E76:$Z76,MIN(O$6-$G$3,22))&lt;&gt;""),'Milho 2ª safra'!$E76:INDEX('Milho 2ª safra'!$E76:$Z76,MIN(O$6-$G$3,22))),0)))))</f>
        <v>0</v>
      </c>
      <c r="P78" s="27" t="n">
        <f aca="false">IF(COUNT('Milho 2ª safra'!$E76:$Z76)=0,0,MAX(0,IF((P$6-$E$3)&lt;1,0,IFERROR(LOOKUP(2,1/('Milho 2ª safra'!$E76:INDEX('Milho 2ª safra'!$E76:$Z76,MIN(P$6-$E$3,22))&lt;&gt;""),'Milho 2ª safra'!$E76:INDEX('Milho 2ª safra'!$E76:$Z76,MIN(P$6-$E$3,22))),0))-IF($G$2,0,IF((P$6-$G$3)&lt;1,0,IFERROR(LOOKUP(2,1/('Milho 2ª safra'!$E76:INDEX('Milho 2ª safra'!$E76:$Z76,MIN(P$6-$G$3,22))&lt;&gt;""),'Milho 2ª safra'!$E76:INDEX('Milho 2ª safra'!$E76:$Z76,MIN(P$6-$G$3,22))),0)))))</f>
        <v>0</v>
      </c>
      <c r="Q78" s="27" t="n">
        <f aca="false">IF(COUNT('Milho 2ª safra'!$E76:$Z76)=0,0,MAX(0,IF((Q$6-$E$3)&lt;1,0,IFERROR(LOOKUP(2,1/('Milho 2ª safra'!$E76:INDEX('Milho 2ª safra'!$E76:$Z76,MIN(Q$6-$E$3,22))&lt;&gt;""),'Milho 2ª safra'!$E76:INDEX('Milho 2ª safra'!$E76:$Z76,MIN(Q$6-$E$3,22))),0))-IF($G$2,0,IF((Q$6-$G$3)&lt;1,0,IFERROR(LOOKUP(2,1/('Milho 2ª safra'!$E76:INDEX('Milho 2ª safra'!$E76:$Z76,MIN(Q$6-$G$3,22))&lt;&gt;""),'Milho 2ª safra'!$E76:INDEX('Milho 2ª safra'!$E76:$Z76,MIN(Q$6-$G$3,22))),0)))))</f>
        <v>0</v>
      </c>
      <c r="R78" s="27" t="n">
        <f aca="false">IF(COUNT('Milho 2ª safra'!$E76:$Z76)=0,0,MAX(0,IF((R$6-$E$3)&lt;1,0,IFERROR(LOOKUP(2,1/('Milho 2ª safra'!$E76:INDEX('Milho 2ª safra'!$E76:$Z76,MIN(R$6-$E$3,22))&lt;&gt;""),'Milho 2ª safra'!$E76:INDEX('Milho 2ª safra'!$E76:$Z76,MIN(R$6-$E$3,22))),0))-IF($G$2,0,IF((R$6-$G$3)&lt;1,0,IFERROR(LOOKUP(2,1/('Milho 2ª safra'!$E76:INDEX('Milho 2ª safra'!$E76:$Z76,MIN(R$6-$G$3,22))&lt;&gt;""),'Milho 2ª safra'!$E76:INDEX('Milho 2ª safra'!$E76:$Z76,MIN(R$6-$G$3,22))),0)))))</f>
        <v>0</v>
      </c>
      <c r="S78" s="27" t="n">
        <f aca="false">IF(COUNT('Milho 2ª safra'!$E76:$Z76)=0,0,MAX(0,IF((S$6-$E$3)&lt;1,0,IFERROR(LOOKUP(2,1/('Milho 2ª safra'!$E76:INDEX('Milho 2ª safra'!$E76:$Z76,MIN(S$6-$E$3,22))&lt;&gt;""),'Milho 2ª safra'!$E76:INDEX('Milho 2ª safra'!$E76:$Z76,MIN(S$6-$E$3,22))),0))-IF($G$2,0,IF((S$6-$G$3)&lt;1,0,IFERROR(LOOKUP(2,1/('Milho 2ª safra'!$E76:INDEX('Milho 2ª safra'!$E76:$Z76,MIN(S$6-$G$3,22))&lt;&gt;""),'Milho 2ª safra'!$E76:INDEX('Milho 2ª safra'!$E76:$Z76,MIN(S$6-$G$3,22))),0)))))</f>
        <v>0</v>
      </c>
      <c r="T78" s="27" t="n">
        <f aca="false">IF(COUNT('Milho 2ª safra'!$E76:$Z76)=0,0,MAX(0,IF((T$6-$E$3)&lt;1,0,IFERROR(LOOKUP(2,1/('Milho 2ª safra'!$E76:INDEX('Milho 2ª safra'!$E76:$Z76,MIN(T$6-$E$3,22))&lt;&gt;""),'Milho 2ª safra'!$E76:INDEX('Milho 2ª safra'!$E76:$Z76,MIN(T$6-$E$3,22))),0))-IF($G$2,0,IF((T$6-$G$3)&lt;1,0,IFERROR(LOOKUP(2,1/('Milho 2ª safra'!$E76:INDEX('Milho 2ª safra'!$E76:$Z76,MIN(T$6-$G$3,22))&lt;&gt;""),'Milho 2ª safra'!$E76:INDEX('Milho 2ª safra'!$E76:$Z76,MIN(T$6-$G$3,22))),0)))))</f>
        <v>0</v>
      </c>
      <c r="U78" s="27" t="n">
        <f aca="false">IF(COUNT('Milho 2ª safra'!$E76:$Z76)=0,0,MAX(0,IF((U$6-$E$3)&lt;1,0,IFERROR(LOOKUP(2,1/('Milho 2ª safra'!$E76:INDEX('Milho 2ª safra'!$E76:$Z76,MIN(U$6-$E$3,22))&lt;&gt;""),'Milho 2ª safra'!$E76:INDEX('Milho 2ª safra'!$E76:$Z76,MIN(U$6-$E$3,22))),0))-IF($G$2,0,IF((U$6-$G$3)&lt;1,0,IFERROR(LOOKUP(2,1/('Milho 2ª safra'!$E76:INDEX('Milho 2ª safra'!$E76:$Z76,MIN(U$6-$G$3,22))&lt;&gt;""),'Milho 2ª safra'!$E76:INDEX('Milho 2ª safra'!$E76:$Z76,MIN(U$6-$G$3,22))),0)))))</f>
        <v>0</v>
      </c>
      <c r="V78" s="27" t="n">
        <f aca="false">IF(COUNT('Milho 2ª safra'!$E76:$Z76)=0,0,MAX(0,IF((V$6-$E$3)&lt;1,0,IFERROR(LOOKUP(2,1/('Milho 2ª safra'!$E76:INDEX('Milho 2ª safra'!$E76:$Z76,MIN(V$6-$E$3,22))&lt;&gt;""),'Milho 2ª safra'!$E76:INDEX('Milho 2ª safra'!$E76:$Z76,MIN(V$6-$E$3,22))),0))-IF($G$2,0,IF((V$6-$G$3)&lt;1,0,IFERROR(LOOKUP(2,1/('Milho 2ª safra'!$E76:INDEX('Milho 2ª safra'!$E76:$Z76,MIN(V$6-$G$3,22))&lt;&gt;""),'Milho 2ª safra'!$E76:INDEX('Milho 2ª safra'!$E76:$Z76,MIN(V$6-$G$3,22))),0)))))</f>
        <v>0</v>
      </c>
      <c r="W78" s="27" t="n">
        <f aca="false">IF(COUNT('Milho 2ª safra'!$E76:$Z76)=0,0,MAX(0,IF((W$6-$E$3)&lt;1,0,IFERROR(LOOKUP(2,1/('Milho 2ª safra'!$E76:INDEX('Milho 2ª safra'!$E76:$Z76,MIN(W$6-$E$3,22))&lt;&gt;""),'Milho 2ª safra'!$E76:INDEX('Milho 2ª safra'!$E76:$Z76,MIN(W$6-$E$3,22))),0))-IF($G$2,0,IF((W$6-$G$3)&lt;1,0,IFERROR(LOOKUP(2,1/('Milho 2ª safra'!$E76:INDEX('Milho 2ª safra'!$E76:$Z76,MIN(W$6-$G$3,22))&lt;&gt;""),'Milho 2ª safra'!$E76:INDEX('Milho 2ª safra'!$E76:$Z76,MIN(W$6-$G$3,22))),0)))))</f>
        <v>0</v>
      </c>
      <c r="X78" s="27" t="n">
        <f aca="false">IF(COUNT('Milho 2ª safra'!$E76:$Z76)=0,0,MAX(0,IF((X$6-$E$3)&lt;1,0,IFERROR(LOOKUP(2,1/('Milho 2ª safra'!$E76:INDEX('Milho 2ª safra'!$E76:$Z76,MIN(X$6-$E$3,22))&lt;&gt;""),'Milho 2ª safra'!$E76:INDEX('Milho 2ª safra'!$E76:$Z76,MIN(X$6-$E$3,22))),0))-IF($G$2,0,IF((X$6-$G$3)&lt;1,0,IFERROR(LOOKUP(2,1/('Milho 2ª safra'!$E76:INDEX('Milho 2ª safra'!$E76:$Z76,MIN(X$6-$G$3,22))&lt;&gt;""),'Milho 2ª safra'!$E76:INDEX('Milho 2ª safra'!$E76:$Z76,MIN(X$6-$G$3,22))),0)))))</f>
        <v>0</v>
      </c>
      <c r="Y78" s="27" t="n">
        <f aca="false">IF(COUNT('Milho 2ª safra'!$E76:$Z76)=0,0,MAX(0,IF((Y$6-$E$3)&lt;1,0,IFERROR(LOOKUP(2,1/('Milho 2ª safra'!$E76:INDEX('Milho 2ª safra'!$E76:$Z76,MIN(Y$6-$E$3,22))&lt;&gt;""),'Milho 2ª safra'!$E76:INDEX('Milho 2ª safra'!$E76:$Z76,MIN(Y$6-$E$3,22))),0))-IF($G$2,0,IF((Y$6-$G$3)&lt;1,0,IFERROR(LOOKUP(2,1/('Milho 2ª safra'!$E76:INDEX('Milho 2ª safra'!$E76:$Z76,MIN(Y$6-$G$3,22))&lt;&gt;""),'Milho 2ª safra'!$E76:INDEX('Milho 2ª safra'!$E76:$Z76,MIN(Y$6-$G$3,22))),0)))))</f>
        <v>0</v>
      </c>
      <c r="Z78" s="27" t="n">
        <f aca="false">IF(COUNT('Milho 2ª safra'!$E76:$Z76)=0,0,MAX(0,IF((Z$6-$E$3)&lt;1,0,IFERROR(LOOKUP(2,1/('Milho 2ª safra'!$E76:INDEX('Milho 2ª safra'!$E76:$Z76,MIN(Z$6-$E$3,22))&lt;&gt;""),'Milho 2ª safra'!$E76:INDEX('Milho 2ª safra'!$E76:$Z76,MIN(Z$6-$E$3,22))),0))-IF($G$2,0,IF((Z$6-$G$3)&lt;1,0,IFERROR(LOOKUP(2,1/('Milho 2ª safra'!$E76:INDEX('Milho 2ª safra'!$E76:$Z76,MIN(Z$6-$G$3,22))&lt;&gt;""),'Milho 2ª safra'!$E76:INDEX('Milho 2ª safra'!$E76:$Z76,MIN(Z$6-$G$3,22))),0)))))</f>
        <v>0</v>
      </c>
      <c r="AA78" s="27" t="n">
        <f aca="false">IF(COUNT('Milho 2ª safra'!$E76:$Z76)=0,0,MAX(0,IF((AA$6-$E$3)&lt;1,0,IFERROR(LOOKUP(2,1/('Milho 2ª safra'!$E76:INDEX('Milho 2ª safra'!$E76:$Z76,MIN(AA$6-$E$3,22))&lt;&gt;""),'Milho 2ª safra'!$E76:INDEX('Milho 2ª safra'!$E76:$Z76,MIN(AA$6-$E$3,22))),0))-IF($G$2,0,IF((AA$6-$G$3)&lt;1,0,IFERROR(LOOKUP(2,1/('Milho 2ª safra'!$E76:INDEX('Milho 2ª safra'!$E76:$Z76,MIN(AA$6-$G$3,22))&lt;&gt;""),'Milho 2ª safra'!$E76:INDEX('Milho 2ª safra'!$E76:$Z76,MIN(AA$6-$G$3,22))),0)))))</f>
        <v>0</v>
      </c>
      <c r="AB78" s="27" t="n">
        <f aca="false">IF(COUNT('Milho 2ª safra'!$E76:$Z76)=0,0,MAX(0,IF((AB$6-$E$3)&lt;1,0,IFERROR(LOOKUP(2,1/('Milho 2ª safra'!$E76:INDEX('Milho 2ª safra'!$E76:$Z76,MIN(AB$6-$E$3,22))&lt;&gt;""),'Milho 2ª safra'!$E76:INDEX('Milho 2ª safra'!$E76:$Z76,MIN(AB$6-$E$3,22))),0))-IF($G$2,0,IF((AB$6-$G$3)&lt;1,0,IFERROR(LOOKUP(2,1/('Milho 2ª safra'!$E76:INDEX('Milho 2ª safra'!$E76:$Z76,MIN(AB$6-$G$3,22))&lt;&gt;""),'Milho 2ª safra'!$E76:INDEX('Milho 2ª safra'!$E76:$Z76,MIN(AB$6-$G$3,22))),0)))))</f>
        <v>0</v>
      </c>
      <c r="AC78" s="27" t="n">
        <f aca="false">IF(COUNT('Milho 2ª safra'!$E76:$Z76)=0,0,MAX(0,IF((AC$6-$E$3)&lt;1,0,IFERROR(LOOKUP(2,1/('Milho 2ª safra'!$E76:INDEX('Milho 2ª safra'!$E76:$Z76,MIN(AC$6-$E$3,22))&lt;&gt;""),'Milho 2ª safra'!$E76:INDEX('Milho 2ª safra'!$E76:$Z76,MIN(AC$6-$E$3,22))),0))-IF($G$2,0,IF((AC$6-$G$3)&lt;1,0,IFERROR(LOOKUP(2,1/('Milho 2ª safra'!$E76:INDEX('Milho 2ª safra'!$E76:$Z76,MIN(AC$6-$G$3,22))&lt;&gt;""),'Milho 2ª safra'!$E76:INDEX('Milho 2ª safra'!$E76:$Z76,MIN(AC$6-$G$3,22))),0)))))</f>
        <v>0</v>
      </c>
      <c r="AD78" s="27" t="n">
        <f aca="false">IF(COUNT('Milho 2ª safra'!$E76:$Z76)=0,0,MAX(0,IF((AD$6-$E$3)&lt;1,0,IFERROR(LOOKUP(2,1/('Milho 2ª safra'!$E76:INDEX('Milho 2ª safra'!$E76:$Z76,MIN(AD$6-$E$3,22))&lt;&gt;""),'Milho 2ª safra'!$E76:INDEX('Milho 2ª safra'!$E76:$Z76,MIN(AD$6-$E$3,22))),0))-IF($G$2,0,IF((AD$6-$G$3)&lt;1,0,IFERROR(LOOKUP(2,1/('Milho 2ª safra'!$E76:INDEX('Milho 2ª safra'!$E76:$Z76,MIN(AD$6-$G$3,22))&lt;&gt;""),'Milho 2ª safra'!$E76:INDEX('Milho 2ª safra'!$E76:$Z76,MIN(AD$6-$G$3,22))),0)))))</f>
        <v>0</v>
      </c>
      <c r="AE78" s="27" t="n">
        <f aca="false">IF(COUNT('Milho 2ª safra'!$E76:$Z76)=0,0,MAX(0,IF((AE$6-$E$3)&lt;1,0,IFERROR(LOOKUP(2,1/('Milho 2ª safra'!$E76:INDEX('Milho 2ª safra'!$E76:$Z76,MIN(AE$6-$E$3,22))&lt;&gt;""),'Milho 2ª safra'!$E76:INDEX('Milho 2ª safra'!$E76:$Z76,MIN(AE$6-$E$3,22))),0))-IF($G$2,0,IF((AE$6-$G$3)&lt;1,0,IFERROR(LOOKUP(2,1/('Milho 2ª safra'!$E76:INDEX('Milho 2ª safra'!$E76:$Z76,MIN(AE$6-$G$3,22))&lt;&gt;""),'Milho 2ª safra'!$E76:INDEX('Milho 2ª safra'!$E76:$Z76,MIN(AE$6-$G$3,22))),0)))))</f>
        <v>0</v>
      </c>
      <c r="AF78" s="27" t="n">
        <f aca="false">IF(COUNT('Milho 2ª safra'!$E76:$Z76)=0,0,MAX(0,IF((AF$6-$E$3)&lt;1,0,IFERROR(LOOKUP(2,1/('Milho 2ª safra'!$E76:INDEX('Milho 2ª safra'!$E76:$Z76,MIN(AF$6-$E$3,22))&lt;&gt;""),'Milho 2ª safra'!$E76:INDEX('Milho 2ª safra'!$E76:$Z76,MIN(AF$6-$E$3,22))),0))-IF($G$2,0,IF((AF$6-$G$3)&lt;1,0,IFERROR(LOOKUP(2,1/('Milho 2ª safra'!$E76:INDEX('Milho 2ª safra'!$E76:$Z76,MIN(AF$6-$G$3,22))&lt;&gt;""),'Milho 2ª safra'!$E76:INDEX('Milho 2ª safra'!$E76:$Z76,MIN(AF$6-$G$3,22))),0)))))</f>
        <v>0</v>
      </c>
      <c r="AG78" s="27" t="n">
        <f aca="false">IF(COUNT('Milho 2ª safra'!$E76:$Z76)=0,0,MAX(0,IF((AG$6-$E$3)&lt;1,0,IFERROR(LOOKUP(2,1/('Milho 2ª safra'!$E76:INDEX('Milho 2ª safra'!$E76:$Z76,MIN(AG$6-$E$3,22))&lt;&gt;""),'Milho 2ª safra'!$E76:INDEX('Milho 2ª safra'!$E76:$Z76,MIN(AG$6-$E$3,22))),0))-IF($G$2,0,IF((AG$6-$G$3)&lt;1,0,IFERROR(LOOKUP(2,1/('Milho 2ª safra'!$E76:INDEX('Milho 2ª safra'!$E76:$Z76,MIN(AG$6-$G$3,22))&lt;&gt;""),'Milho 2ª safra'!$E76:INDEX('Milho 2ª safra'!$E76:$Z76,MIN(AG$6-$G$3,22))),0)))))</f>
        <v>0</v>
      </c>
      <c r="AH78" s="27" t="n">
        <f aca="false">IF(COUNT('Milho 2ª safra'!$E76:$Z76)=0,0,MAX(0,IF((AH$6-$E$3)&lt;1,0,IFERROR(LOOKUP(2,1/('Milho 2ª safra'!$E76:INDEX('Milho 2ª safra'!$E76:$Z76,MIN(AH$6-$E$3,22))&lt;&gt;""),'Milho 2ª safra'!$E76:INDEX('Milho 2ª safra'!$E76:$Z76,MIN(AH$6-$E$3,22))),0))-IF($G$2,0,IF((AH$6-$G$3)&lt;1,0,IFERROR(LOOKUP(2,1/('Milho 2ª safra'!$E76:INDEX('Milho 2ª safra'!$E76:$Z76,MIN(AH$6-$G$3,22))&lt;&gt;""),'Milho 2ª safra'!$E76:INDEX('Milho 2ª safra'!$E76:$Z76,MIN(AH$6-$G$3,22))),0)))))</f>
        <v>0</v>
      </c>
      <c r="AI78" s="27" t="n">
        <f aca="false">IF(COUNT('Milho 2ª safra'!$E76:$Z76)=0,0,MAX(0,IF((AI$6-$E$3)&lt;1,0,IFERROR(LOOKUP(2,1/('Milho 2ª safra'!$E76:INDEX('Milho 2ª safra'!$E76:$Z76,MIN(AI$6-$E$3,22))&lt;&gt;""),'Milho 2ª safra'!$E76:INDEX('Milho 2ª safra'!$E76:$Z76,MIN(AI$6-$E$3,22))),0))-IF($G$2,0,IF((AI$6-$G$3)&lt;1,0,IFERROR(LOOKUP(2,1/('Milho 2ª safra'!$E76:INDEX('Milho 2ª safra'!$E76:$Z76,MIN(AI$6-$G$3,22))&lt;&gt;""),'Milho 2ª safra'!$E76:INDEX('Milho 2ª safra'!$E76:$Z76,MIN(AI$6-$G$3,22))),0)))))</f>
        <v>0</v>
      </c>
      <c r="AJ78" s="27" t="n">
        <f aca="false">IF(COUNT('Milho 2ª safra'!$E76:$Z76)=0,0,MAX(0,IF((AJ$6-$E$3)&lt;1,0,IFERROR(LOOKUP(2,1/('Milho 2ª safra'!$E76:INDEX('Milho 2ª safra'!$E76:$Z76,MIN(AJ$6-$E$3,22))&lt;&gt;""),'Milho 2ª safra'!$E76:INDEX('Milho 2ª safra'!$E76:$Z76,MIN(AJ$6-$E$3,22))),0))-IF($G$2,0,IF((AJ$6-$G$3)&lt;1,0,IFERROR(LOOKUP(2,1/('Milho 2ª safra'!$E76:INDEX('Milho 2ª safra'!$E76:$Z76,MIN(AJ$6-$G$3,22))&lt;&gt;""),'Milho 2ª safra'!$E76:INDEX('Milho 2ª safra'!$E76:$Z76,MIN(AJ$6-$G$3,22))),0)))))</f>
        <v>0</v>
      </c>
      <c r="AK78" s="27" t="n">
        <f aca="false">IF(COUNT('Milho 2ª safra'!$E76:$Z76)=0,0,MAX(0,IF((AK$6-$E$3)&lt;1,0,IFERROR(LOOKUP(2,1/('Milho 2ª safra'!$E76:INDEX('Milho 2ª safra'!$E76:$Z76,MIN(AK$6-$E$3,22))&lt;&gt;""),'Milho 2ª safra'!$E76:INDEX('Milho 2ª safra'!$E76:$Z76,MIN(AK$6-$E$3,22))),0))-IF($G$2,0,IF((AK$6-$G$3)&lt;1,0,IFERROR(LOOKUP(2,1/('Milho 2ª safra'!$E76:INDEX('Milho 2ª safra'!$E76:$Z76,MIN(AK$6-$G$3,22))&lt;&gt;""),'Milho 2ª safra'!$E76:INDEX('Milho 2ª safra'!$E76:$Z76,MIN(AK$6-$G$3,22))),0)))))</f>
        <v>0</v>
      </c>
      <c r="AL78" s="27" t="n">
        <f aca="false">IF(COUNT('Milho 2ª safra'!$E76:$Z76)=0,0,MAX(0,IF((AL$6-$E$3)&lt;1,0,IFERROR(LOOKUP(2,1/('Milho 2ª safra'!$E76:INDEX('Milho 2ª safra'!$E76:$Z76,MIN(AL$6-$E$3,22))&lt;&gt;""),'Milho 2ª safra'!$E76:INDEX('Milho 2ª safra'!$E76:$Z76,MIN(AL$6-$E$3,22))),0))-IF($G$2,0,IF((AL$6-$G$3)&lt;1,0,IFERROR(LOOKUP(2,1/('Milho 2ª safra'!$E76:INDEX('Milho 2ª safra'!$E76:$Z76,MIN(AL$6-$G$3,22))&lt;&gt;""),'Milho 2ª safra'!$E76:INDEX('Milho 2ª safra'!$E76:$Z76,MIN(AL$6-$G$3,22))),0)))))</f>
        <v>0</v>
      </c>
      <c r="AM78" s="27" t="n">
        <f aca="false">IF(COUNT('Milho 2ª safra'!$E76:$Z76)=0,0,MAX(0,IF((AM$6-$E$3)&lt;1,0,IFERROR(LOOKUP(2,1/('Milho 2ª safra'!$E76:INDEX('Milho 2ª safra'!$E76:$Z76,MIN(AM$6-$E$3,22))&lt;&gt;""),'Milho 2ª safra'!$E76:INDEX('Milho 2ª safra'!$E76:$Z76,MIN(AM$6-$E$3,22))),0))-IF($G$2,0,IF((AM$6-$G$3)&lt;1,0,IFERROR(LOOKUP(2,1/('Milho 2ª safra'!$E76:INDEX('Milho 2ª safra'!$E76:$Z76,MIN(AM$6-$G$3,22))&lt;&gt;""),'Milho 2ª safra'!$E76:INDEX('Milho 2ª safra'!$E76:$Z76,MIN(AM$6-$G$3,22))),0)))))</f>
        <v>0</v>
      </c>
      <c r="AN78" s="27" t="n">
        <f aca="false">IF(COUNT('Milho 2ª safra'!$E76:$Z76)=0,0,MAX(0,IF((AN$6-$E$3)&lt;1,0,IFERROR(LOOKUP(2,1/('Milho 2ª safra'!$E76:INDEX('Milho 2ª safra'!$E76:$Z76,MIN(AN$6-$E$3,22))&lt;&gt;""),'Milho 2ª safra'!$E76:INDEX('Milho 2ª safra'!$E76:$Z76,MIN(AN$6-$E$3,22))),0))-IF($G$2,0,IF((AN$6-$G$3)&lt;1,0,IFERROR(LOOKUP(2,1/('Milho 2ª safra'!$E76:INDEX('Milho 2ª safra'!$E76:$Z76,MIN(AN$6-$G$3,22))&lt;&gt;""),'Milho 2ª safra'!$E76:INDEX('Milho 2ª safra'!$E76:$Z76,MIN(AN$6-$G$3,22))),0)))))</f>
        <v>0</v>
      </c>
      <c r="AO78" s="27" t="n">
        <f aca="false">IF(COUNT('Milho 2ª safra'!$E76:$Z76)=0,0,MAX(0,IF((AO$6-$E$3)&lt;1,0,IFERROR(LOOKUP(2,1/('Milho 2ª safra'!$E76:INDEX('Milho 2ª safra'!$E76:$Z76,MIN(AO$6-$E$3,22))&lt;&gt;""),'Milho 2ª safra'!$E76:INDEX('Milho 2ª safra'!$E76:$Z76,MIN(AO$6-$E$3,22))),0))-IF($G$2,0,IF((AO$6-$G$3)&lt;1,0,IFERROR(LOOKUP(2,1/('Milho 2ª safra'!$E76:INDEX('Milho 2ª safra'!$E76:$Z76,MIN(AO$6-$G$3,22))&lt;&gt;""),'Milho 2ª safra'!$E76:INDEX('Milho 2ª safra'!$E76:$Z76,MIN(AO$6-$G$3,22))),0)))))</f>
        <v>0</v>
      </c>
      <c r="AP78" s="27" t="n">
        <f aca="false">IF(COUNT('Milho 2ª safra'!$E76:$Z76)=0,0,MAX(0,IF((AP$6-$E$3)&lt;1,0,IFERROR(LOOKUP(2,1/('Milho 2ª safra'!$E76:INDEX('Milho 2ª safra'!$E76:$Z76,MIN(AP$6-$E$3,22))&lt;&gt;""),'Milho 2ª safra'!$E76:INDEX('Milho 2ª safra'!$E76:$Z76,MIN(AP$6-$E$3,22))),0))-IF($G$2,0,IF((AP$6-$G$3)&lt;1,0,IFERROR(LOOKUP(2,1/('Milho 2ª safra'!$E76:INDEX('Milho 2ª safra'!$E76:$Z76,MIN(AP$6-$G$3,22))&lt;&gt;""),'Milho 2ª safra'!$E76:INDEX('Milho 2ª safra'!$E76:$Z76,MIN(AP$6-$G$3,22))),0)))))</f>
        <v>0</v>
      </c>
      <c r="AQ78" s="27" t="n">
        <f aca="false">IF(COUNT('Milho 2ª safra'!$E76:$Z76)=0,0,MAX(0,IF((AQ$6-$E$3)&lt;1,0,IFERROR(LOOKUP(2,1/('Milho 2ª safra'!$E76:INDEX('Milho 2ª safra'!$E76:$Z76,MIN(AQ$6-$E$3,22))&lt;&gt;""),'Milho 2ª safra'!$E76:INDEX('Milho 2ª safra'!$E76:$Z76,MIN(AQ$6-$E$3,22))),0))-IF($G$2,0,IF((AQ$6-$G$3)&lt;1,0,IFERROR(LOOKUP(2,1/('Milho 2ª safra'!$E76:INDEX('Milho 2ª safra'!$E76:$Z76,MIN(AQ$6-$G$3,22))&lt;&gt;""),'Milho 2ª safra'!$E76:INDEX('Milho 2ª safra'!$E76:$Z76,MIN(AQ$6-$G$3,22))),0)))))</f>
        <v>0</v>
      </c>
      <c r="AR78" s="27" t="n">
        <f aca="false">IF(COUNT('Milho 2ª safra'!$E76:$Z76)=0,0,MAX(0,IF((AR$6-$E$3)&lt;1,0,IFERROR(LOOKUP(2,1/('Milho 2ª safra'!$E76:INDEX('Milho 2ª safra'!$E76:$Z76,MIN(AR$6-$E$3,22))&lt;&gt;""),'Milho 2ª safra'!$E76:INDEX('Milho 2ª safra'!$E76:$Z76,MIN(AR$6-$E$3,22))),0))-IF($G$2,0,IF((AR$6-$G$3)&lt;1,0,IFERROR(LOOKUP(2,1/('Milho 2ª safra'!$E76:INDEX('Milho 2ª safra'!$E76:$Z76,MIN(AR$6-$G$3,22))&lt;&gt;""),'Milho 2ª safra'!$E76:INDEX('Milho 2ª safra'!$E76:$Z76,MIN(AR$6-$G$3,22))),0)))))</f>
        <v>0</v>
      </c>
      <c r="AS78" s="27" t="n">
        <f aca="false">IF(COUNT('Milho 2ª safra'!$E76:$Z76)=0,0,MAX(0,IF((AS$6-$E$3)&lt;1,0,IFERROR(LOOKUP(2,1/('Milho 2ª safra'!$E76:INDEX('Milho 2ª safra'!$E76:$Z76,MIN(AS$6-$E$3,22))&lt;&gt;""),'Milho 2ª safra'!$E76:INDEX('Milho 2ª safra'!$E76:$Z76,MIN(AS$6-$E$3,22))),0))-IF($G$2,0,IF((AS$6-$G$3)&lt;1,0,IFERROR(LOOKUP(2,1/('Milho 2ª safra'!$E76:INDEX('Milho 2ª safra'!$E76:$Z76,MIN(AS$6-$G$3,22))&lt;&gt;""),'Milho 2ª safra'!$E76:INDEX('Milho 2ª safra'!$E76:$Z76,MIN(AS$6-$G$3,22))),0)))))</f>
        <v>0</v>
      </c>
      <c r="AT78" s="27" t="n">
        <f aca="false">IF(COUNT('Milho 2ª safra'!$E76:$Z76)=0,0,MAX(0,IF((AT$6-$E$3)&lt;1,0,IFERROR(LOOKUP(2,1/('Milho 2ª safra'!$E76:INDEX('Milho 2ª safra'!$E76:$Z76,MIN(AT$6-$E$3,22))&lt;&gt;""),'Milho 2ª safra'!$E76:INDEX('Milho 2ª safra'!$E76:$Z76,MIN(AT$6-$E$3,22))),0))-IF($G$2,0,IF((AT$6-$G$3)&lt;1,0,IFERROR(LOOKUP(2,1/('Milho 2ª safra'!$E76:INDEX('Milho 2ª safra'!$E76:$Z76,MIN(AT$6-$G$3,22))&lt;&gt;""),'Milho 2ª safra'!$E76:INDEX('Milho 2ª safra'!$E76:$Z76,MIN(AT$6-$G$3,22))),0)))))</f>
        <v>0</v>
      </c>
      <c r="AU78" s="27" t="n">
        <f aca="false">IF(COUNT('Milho 2ª safra'!$E76:$Z76)=0,0,MAX(0,IF((AU$6-$E$3)&lt;1,0,IFERROR(LOOKUP(2,1/('Milho 2ª safra'!$E76:INDEX('Milho 2ª safra'!$E76:$Z76,MIN(AU$6-$E$3,22))&lt;&gt;""),'Milho 2ª safra'!$E76:INDEX('Milho 2ª safra'!$E76:$Z76,MIN(AU$6-$E$3,22))),0))-IF($G$2,0,IF((AU$6-$G$3)&lt;1,0,IFERROR(LOOKUP(2,1/('Milho 2ª safra'!$E76:INDEX('Milho 2ª safra'!$E76:$Z76,MIN(AU$6-$G$3,22))&lt;&gt;""),'Milho 2ª safra'!$E76:INDEX('Milho 2ª safra'!$E76:$Z76,MIN(AU$6-$G$3,22))),0)))))</f>
        <v>0</v>
      </c>
      <c r="AV78" s="27" t="n">
        <f aca="false">IF(COUNT('Milho 2ª safra'!$E76:$Z76)=0,0,MAX(0,IF((AV$6-$E$3)&lt;1,0,IFERROR(LOOKUP(2,1/('Milho 2ª safra'!$E76:INDEX('Milho 2ª safra'!$E76:$Z76,MIN(AV$6-$E$3,22))&lt;&gt;""),'Milho 2ª safra'!$E76:INDEX('Milho 2ª safra'!$E76:$Z76,MIN(AV$6-$E$3,22))),0))-IF($G$2,0,IF((AV$6-$G$3)&lt;1,0,IFERROR(LOOKUP(2,1/('Milho 2ª safra'!$E76:INDEX('Milho 2ª safra'!$E76:$Z76,MIN(AV$6-$G$3,22))&lt;&gt;""),'Milho 2ª safra'!$E76:INDEX('Milho 2ª safra'!$E76:$Z76,MIN(AV$6-$G$3,22))),0)))))</f>
        <v>0</v>
      </c>
      <c r="AW78" s="27" t="n">
        <f aca="false">IF(COUNT('Milho 2ª safra'!$E76:$Z76)=0,0,MAX(0,IF((AW$6-$E$3)&lt;1,0,IFERROR(LOOKUP(2,1/('Milho 2ª safra'!$E76:INDEX('Milho 2ª safra'!$E76:$Z76,MIN(AW$6-$E$3,22))&lt;&gt;""),'Milho 2ª safra'!$E76:INDEX('Milho 2ª safra'!$E76:$Z76,MIN(AW$6-$E$3,22))),0))-IF($G$2,0,IF((AW$6-$G$3)&lt;1,0,IFERROR(LOOKUP(2,1/('Milho 2ª safra'!$E76:INDEX('Milho 2ª safra'!$E76:$Z76,MIN(AW$6-$G$3,22))&lt;&gt;""),'Milho 2ª safra'!$E76:INDEX('Milho 2ª safra'!$E76:$Z76,MIN(AW$6-$G$3,22))),0)))))</f>
        <v>0</v>
      </c>
      <c r="AX78" s="27" t="n">
        <f aca="false">IF(COUNT('Milho 2ª safra'!$E76:$Z76)=0,0,MAX(0,IF((AX$6-$E$3)&lt;1,0,IFERROR(LOOKUP(2,1/('Milho 2ª safra'!$E76:INDEX('Milho 2ª safra'!$E76:$Z76,MIN(AX$6-$E$3,22))&lt;&gt;""),'Milho 2ª safra'!$E76:INDEX('Milho 2ª safra'!$E76:$Z76,MIN(AX$6-$E$3,22))),0))-IF($G$2,0,IF((AX$6-$G$3)&lt;1,0,IFERROR(LOOKUP(2,1/('Milho 2ª safra'!$E76:INDEX('Milho 2ª safra'!$E76:$Z76,MIN(AX$6-$G$3,22))&lt;&gt;""),'Milho 2ª safra'!$E76:INDEX('Milho 2ª safra'!$E76:$Z76,MIN(AX$6-$G$3,22))),0)))))</f>
        <v>0</v>
      </c>
      <c r="AY78" s="27" t="n">
        <f aca="false">IF(COUNT('Milho 2ª safra'!$E76:$Z76)=0,0,MAX(0,IF((AY$6-$E$3)&lt;1,0,IFERROR(LOOKUP(2,1/('Milho 2ª safra'!$E76:INDEX('Milho 2ª safra'!$E76:$Z76,MIN(AY$6-$E$3,22))&lt;&gt;""),'Milho 2ª safra'!$E76:INDEX('Milho 2ª safra'!$E76:$Z76,MIN(AY$6-$E$3,22))),0))-IF($G$2,0,IF((AY$6-$G$3)&lt;1,0,IFERROR(LOOKUP(2,1/('Milho 2ª safra'!$E76:INDEX('Milho 2ª safra'!$E76:$Z76,MIN(AY$6-$G$3,22))&lt;&gt;""),'Milho 2ª safra'!$E76:INDEX('Milho 2ª safra'!$E76:$Z76,MIN(AY$6-$G$3,22))),0)))))</f>
        <v>0</v>
      </c>
      <c r="AZ78" s="27" t="n">
        <f aca="false">IF(COUNT('Milho 2ª safra'!$E76:$Z76)=0,0,MAX(0,IF((AZ$6-$E$3)&lt;1,0,IFERROR(LOOKUP(2,1/('Milho 2ª safra'!$E76:INDEX('Milho 2ª safra'!$E76:$Z76,MIN(AZ$6-$E$3,22))&lt;&gt;""),'Milho 2ª safra'!$E76:INDEX('Milho 2ª safra'!$E76:$Z76,MIN(AZ$6-$E$3,22))),0))-IF($G$2,0,IF((AZ$6-$G$3)&lt;1,0,IFERROR(LOOKUP(2,1/('Milho 2ª safra'!$E76:INDEX('Milho 2ª safra'!$E76:$Z76,MIN(AZ$6-$G$3,22))&lt;&gt;""),'Milho 2ª safra'!$E76:INDEX('Milho 2ª safra'!$E76:$Z76,MIN(AZ$6-$G$3,22))),0)))))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IF(COUNT('Milho 2ª safra'!$E77:$Z77)&gt;0,N('Milho 2ª safra'!$D77),0)</f>
        <v>0</v>
      </c>
      <c r="E79" s="27" t="n">
        <f aca="false">IF(COUNT('Milho 2ª safra'!$E77:$Z77)=0,0,MAX(0,IF((E$6-$E$3)&lt;1,0,IFERROR(LOOKUP(2,1/('Milho 2ª safra'!$E77:INDEX('Milho 2ª safra'!$E77:$Z77,MIN(E$6-$E$3,22))&lt;&gt;""),'Milho 2ª safra'!$E77:INDEX('Milho 2ª safra'!$E77:$Z77,MIN(E$6-$E$3,22))),0))-IF($G$2,0,IF((E$6-$G$3)&lt;1,0,IFERROR(LOOKUP(2,1/('Milho 2ª safra'!$E77:INDEX('Milho 2ª safra'!$E77:$Z77,MIN(E$6-$G$3,22))&lt;&gt;""),'Milho 2ª safra'!$E77:INDEX('Milho 2ª safra'!$E77:$Z77,MIN(E$6-$G$3,22))),0)))))</f>
        <v>0</v>
      </c>
      <c r="F79" s="27" t="n">
        <f aca="false">IF(COUNT('Milho 2ª safra'!$E77:$Z77)=0,0,MAX(0,IF((F$6-$E$3)&lt;1,0,IFERROR(LOOKUP(2,1/('Milho 2ª safra'!$E77:INDEX('Milho 2ª safra'!$E77:$Z77,MIN(F$6-$E$3,22))&lt;&gt;""),'Milho 2ª safra'!$E77:INDEX('Milho 2ª safra'!$E77:$Z77,MIN(F$6-$E$3,22))),0))-IF($G$2,0,IF((F$6-$G$3)&lt;1,0,IFERROR(LOOKUP(2,1/('Milho 2ª safra'!$E77:INDEX('Milho 2ª safra'!$E77:$Z77,MIN(F$6-$G$3,22))&lt;&gt;""),'Milho 2ª safra'!$E77:INDEX('Milho 2ª safra'!$E77:$Z77,MIN(F$6-$G$3,22))),0)))))</f>
        <v>0</v>
      </c>
      <c r="G79" s="27" t="n">
        <f aca="false">IF(COUNT('Milho 2ª safra'!$E77:$Z77)=0,0,MAX(0,IF((G$6-$E$3)&lt;1,0,IFERROR(LOOKUP(2,1/('Milho 2ª safra'!$E77:INDEX('Milho 2ª safra'!$E77:$Z77,MIN(G$6-$E$3,22))&lt;&gt;""),'Milho 2ª safra'!$E77:INDEX('Milho 2ª safra'!$E77:$Z77,MIN(G$6-$E$3,22))),0))-IF($G$2,0,IF((G$6-$G$3)&lt;1,0,IFERROR(LOOKUP(2,1/('Milho 2ª safra'!$E77:INDEX('Milho 2ª safra'!$E77:$Z77,MIN(G$6-$G$3,22))&lt;&gt;""),'Milho 2ª safra'!$E77:INDEX('Milho 2ª safra'!$E77:$Z77,MIN(G$6-$G$3,22))),0)))))</f>
        <v>0</v>
      </c>
      <c r="H79" s="27" t="n">
        <f aca="false">IF(COUNT('Milho 2ª safra'!$E77:$Z77)=0,0,MAX(0,IF((H$6-$E$3)&lt;1,0,IFERROR(LOOKUP(2,1/('Milho 2ª safra'!$E77:INDEX('Milho 2ª safra'!$E77:$Z77,MIN(H$6-$E$3,22))&lt;&gt;""),'Milho 2ª safra'!$E77:INDEX('Milho 2ª safra'!$E77:$Z77,MIN(H$6-$E$3,22))),0))-IF($G$2,0,IF((H$6-$G$3)&lt;1,0,IFERROR(LOOKUP(2,1/('Milho 2ª safra'!$E77:INDEX('Milho 2ª safra'!$E77:$Z77,MIN(H$6-$G$3,22))&lt;&gt;""),'Milho 2ª safra'!$E77:INDEX('Milho 2ª safra'!$E77:$Z77,MIN(H$6-$G$3,22))),0)))))</f>
        <v>0</v>
      </c>
      <c r="I79" s="27" t="n">
        <f aca="false">IF(COUNT('Milho 2ª safra'!$E77:$Z77)=0,0,MAX(0,IF((I$6-$E$3)&lt;1,0,IFERROR(LOOKUP(2,1/('Milho 2ª safra'!$E77:INDEX('Milho 2ª safra'!$E77:$Z77,MIN(I$6-$E$3,22))&lt;&gt;""),'Milho 2ª safra'!$E77:INDEX('Milho 2ª safra'!$E77:$Z77,MIN(I$6-$E$3,22))),0))-IF($G$2,0,IF((I$6-$G$3)&lt;1,0,IFERROR(LOOKUP(2,1/('Milho 2ª safra'!$E77:INDEX('Milho 2ª safra'!$E77:$Z77,MIN(I$6-$G$3,22))&lt;&gt;""),'Milho 2ª safra'!$E77:INDEX('Milho 2ª safra'!$E77:$Z77,MIN(I$6-$G$3,22))),0)))))</f>
        <v>0</v>
      </c>
      <c r="J79" s="27" t="n">
        <f aca="false">IF(COUNT('Milho 2ª safra'!$E77:$Z77)=0,0,MAX(0,IF((J$6-$E$3)&lt;1,0,IFERROR(LOOKUP(2,1/('Milho 2ª safra'!$E77:INDEX('Milho 2ª safra'!$E77:$Z77,MIN(J$6-$E$3,22))&lt;&gt;""),'Milho 2ª safra'!$E77:INDEX('Milho 2ª safra'!$E77:$Z77,MIN(J$6-$E$3,22))),0))-IF($G$2,0,IF((J$6-$G$3)&lt;1,0,IFERROR(LOOKUP(2,1/('Milho 2ª safra'!$E77:INDEX('Milho 2ª safra'!$E77:$Z77,MIN(J$6-$G$3,22))&lt;&gt;""),'Milho 2ª safra'!$E77:INDEX('Milho 2ª safra'!$E77:$Z77,MIN(J$6-$G$3,22))),0)))))</f>
        <v>0</v>
      </c>
      <c r="K79" s="27" t="n">
        <f aca="false">IF(COUNT('Milho 2ª safra'!$E77:$Z77)=0,0,MAX(0,IF((K$6-$E$3)&lt;1,0,IFERROR(LOOKUP(2,1/('Milho 2ª safra'!$E77:INDEX('Milho 2ª safra'!$E77:$Z77,MIN(K$6-$E$3,22))&lt;&gt;""),'Milho 2ª safra'!$E77:INDEX('Milho 2ª safra'!$E77:$Z77,MIN(K$6-$E$3,22))),0))-IF($G$2,0,IF((K$6-$G$3)&lt;1,0,IFERROR(LOOKUP(2,1/('Milho 2ª safra'!$E77:INDEX('Milho 2ª safra'!$E77:$Z77,MIN(K$6-$G$3,22))&lt;&gt;""),'Milho 2ª safra'!$E77:INDEX('Milho 2ª safra'!$E77:$Z77,MIN(K$6-$G$3,22))),0)))))</f>
        <v>0</v>
      </c>
      <c r="L79" s="27" t="n">
        <f aca="false">IF(COUNT('Milho 2ª safra'!$E77:$Z77)=0,0,MAX(0,IF((L$6-$E$3)&lt;1,0,IFERROR(LOOKUP(2,1/('Milho 2ª safra'!$E77:INDEX('Milho 2ª safra'!$E77:$Z77,MIN(L$6-$E$3,22))&lt;&gt;""),'Milho 2ª safra'!$E77:INDEX('Milho 2ª safra'!$E77:$Z77,MIN(L$6-$E$3,22))),0))-IF($G$2,0,IF((L$6-$G$3)&lt;1,0,IFERROR(LOOKUP(2,1/('Milho 2ª safra'!$E77:INDEX('Milho 2ª safra'!$E77:$Z77,MIN(L$6-$G$3,22))&lt;&gt;""),'Milho 2ª safra'!$E77:INDEX('Milho 2ª safra'!$E77:$Z77,MIN(L$6-$G$3,22))),0)))))</f>
        <v>0</v>
      </c>
      <c r="M79" s="27" t="n">
        <f aca="false">IF(COUNT('Milho 2ª safra'!$E77:$Z77)=0,0,MAX(0,IF((M$6-$E$3)&lt;1,0,IFERROR(LOOKUP(2,1/('Milho 2ª safra'!$E77:INDEX('Milho 2ª safra'!$E77:$Z77,MIN(M$6-$E$3,22))&lt;&gt;""),'Milho 2ª safra'!$E77:INDEX('Milho 2ª safra'!$E77:$Z77,MIN(M$6-$E$3,22))),0))-IF($G$2,0,IF((M$6-$G$3)&lt;1,0,IFERROR(LOOKUP(2,1/('Milho 2ª safra'!$E77:INDEX('Milho 2ª safra'!$E77:$Z77,MIN(M$6-$G$3,22))&lt;&gt;""),'Milho 2ª safra'!$E77:INDEX('Milho 2ª safra'!$E77:$Z77,MIN(M$6-$G$3,22))),0)))))</f>
        <v>0</v>
      </c>
      <c r="N79" s="27" t="n">
        <f aca="false">IF(COUNT('Milho 2ª safra'!$E77:$Z77)=0,0,MAX(0,IF((N$6-$E$3)&lt;1,0,IFERROR(LOOKUP(2,1/('Milho 2ª safra'!$E77:INDEX('Milho 2ª safra'!$E77:$Z77,MIN(N$6-$E$3,22))&lt;&gt;""),'Milho 2ª safra'!$E77:INDEX('Milho 2ª safra'!$E77:$Z77,MIN(N$6-$E$3,22))),0))-IF($G$2,0,IF((N$6-$G$3)&lt;1,0,IFERROR(LOOKUP(2,1/('Milho 2ª safra'!$E77:INDEX('Milho 2ª safra'!$E77:$Z77,MIN(N$6-$G$3,22))&lt;&gt;""),'Milho 2ª safra'!$E77:INDEX('Milho 2ª safra'!$E77:$Z77,MIN(N$6-$G$3,22))),0)))))</f>
        <v>0</v>
      </c>
      <c r="O79" s="27" t="n">
        <f aca="false">IF(COUNT('Milho 2ª safra'!$E77:$Z77)=0,0,MAX(0,IF((O$6-$E$3)&lt;1,0,IFERROR(LOOKUP(2,1/('Milho 2ª safra'!$E77:INDEX('Milho 2ª safra'!$E77:$Z77,MIN(O$6-$E$3,22))&lt;&gt;""),'Milho 2ª safra'!$E77:INDEX('Milho 2ª safra'!$E77:$Z77,MIN(O$6-$E$3,22))),0))-IF($G$2,0,IF((O$6-$G$3)&lt;1,0,IFERROR(LOOKUP(2,1/('Milho 2ª safra'!$E77:INDEX('Milho 2ª safra'!$E77:$Z77,MIN(O$6-$G$3,22))&lt;&gt;""),'Milho 2ª safra'!$E77:INDEX('Milho 2ª safra'!$E77:$Z77,MIN(O$6-$G$3,22))),0)))))</f>
        <v>0</v>
      </c>
      <c r="P79" s="27" t="n">
        <f aca="false">IF(COUNT('Milho 2ª safra'!$E77:$Z77)=0,0,MAX(0,IF((P$6-$E$3)&lt;1,0,IFERROR(LOOKUP(2,1/('Milho 2ª safra'!$E77:INDEX('Milho 2ª safra'!$E77:$Z77,MIN(P$6-$E$3,22))&lt;&gt;""),'Milho 2ª safra'!$E77:INDEX('Milho 2ª safra'!$E77:$Z77,MIN(P$6-$E$3,22))),0))-IF($G$2,0,IF((P$6-$G$3)&lt;1,0,IFERROR(LOOKUP(2,1/('Milho 2ª safra'!$E77:INDEX('Milho 2ª safra'!$E77:$Z77,MIN(P$6-$G$3,22))&lt;&gt;""),'Milho 2ª safra'!$E77:INDEX('Milho 2ª safra'!$E77:$Z77,MIN(P$6-$G$3,22))),0)))))</f>
        <v>0</v>
      </c>
      <c r="Q79" s="27" t="n">
        <f aca="false">IF(COUNT('Milho 2ª safra'!$E77:$Z77)=0,0,MAX(0,IF((Q$6-$E$3)&lt;1,0,IFERROR(LOOKUP(2,1/('Milho 2ª safra'!$E77:INDEX('Milho 2ª safra'!$E77:$Z77,MIN(Q$6-$E$3,22))&lt;&gt;""),'Milho 2ª safra'!$E77:INDEX('Milho 2ª safra'!$E77:$Z77,MIN(Q$6-$E$3,22))),0))-IF($G$2,0,IF((Q$6-$G$3)&lt;1,0,IFERROR(LOOKUP(2,1/('Milho 2ª safra'!$E77:INDEX('Milho 2ª safra'!$E77:$Z77,MIN(Q$6-$G$3,22))&lt;&gt;""),'Milho 2ª safra'!$E77:INDEX('Milho 2ª safra'!$E77:$Z77,MIN(Q$6-$G$3,22))),0)))))</f>
        <v>0</v>
      </c>
      <c r="R79" s="27" t="n">
        <f aca="false">IF(COUNT('Milho 2ª safra'!$E77:$Z77)=0,0,MAX(0,IF((R$6-$E$3)&lt;1,0,IFERROR(LOOKUP(2,1/('Milho 2ª safra'!$E77:INDEX('Milho 2ª safra'!$E77:$Z77,MIN(R$6-$E$3,22))&lt;&gt;""),'Milho 2ª safra'!$E77:INDEX('Milho 2ª safra'!$E77:$Z77,MIN(R$6-$E$3,22))),0))-IF($G$2,0,IF((R$6-$G$3)&lt;1,0,IFERROR(LOOKUP(2,1/('Milho 2ª safra'!$E77:INDEX('Milho 2ª safra'!$E77:$Z77,MIN(R$6-$G$3,22))&lt;&gt;""),'Milho 2ª safra'!$E77:INDEX('Milho 2ª safra'!$E77:$Z77,MIN(R$6-$G$3,22))),0)))))</f>
        <v>0</v>
      </c>
      <c r="S79" s="27" t="n">
        <f aca="false">IF(COUNT('Milho 2ª safra'!$E77:$Z77)=0,0,MAX(0,IF((S$6-$E$3)&lt;1,0,IFERROR(LOOKUP(2,1/('Milho 2ª safra'!$E77:INDEX('Milho 2ª safra'!$E77:$Z77,MIN(S$6-$E$3,22))&lt;&gt;""),'Milho 2ª safra'!$E77:INDEX('Milho 2ª safra'!$E77:$Z77,MIN(S$6-$E$3,22))),0))-IF($G$2,0,IF((S$6-$G$3)&lt;1,0,IFERROR(LOOKUP(2,1/('Milho 2ª safra'!$E77:INDEX('Milho 2ª safra'!$E77:$Z77,MIN(S$6-$G$3,22))&lt;&gt;""),'Milho 2ª safra'!$E77:INDEX('Milho 2ª safra'!$E77:$Z77,MIN(S$6-$G$3,22))),0)))))</f>
        <v>0</v>
      </c>
      <c r="T79" s="27" t="n">
        <f aca="false">IF(COUNT('Milho 2ª safra'!$E77:$Z77)=0,0,MAX(0,IF((T$6-$E$3)&lt;1,0,IFERROR(LOOKUP(2,1/('Milho 2ª safra'!$E77:INDEX('Milho 2ª safra'!$E77:$Z77,MIN(T$6-$E$3,22))&lt;&gt;""),'Milho 2ª safra'!$E77:INDEX('Milho 2ª safra'!$E77:$Z77,MIN(T$6-$E$3,22))),0))-IF($G$2,0,IF((T$6-$G$3)&lt;1,0,IFERROR(LOOKUP(2,1/('Milho 2ª safra'!$E77:INDEX('Milho 2ª safra'!$E77:$Z77,MIN(T$6-$G$3,22))&lt;&gt;""),'Milho 2ª safra'!$E77:INDEX('Milho 2ª safra'!$E77:$Z77,MIN(T$6-$G$3,22))),0)))))</f>
        <v>0</v>
      </c>
      <c r="U79" s="27" t="n">
        <f aca="false">IF(COUNT('Milho 2ª safra'!$E77:$Z77)=0,0,MAX(0,IF((U$6-$E$3)&lt;1,0,IFERROR(LOOKUP(2,1/('Milho 2ª safra'!$E77:INDEX('Milho 2ª safra'!$E77:$Z77,MIN(U$6-$E$3,22))&lt;&gt;""),'Milho 2ª safra'!$E77:INDEX('Milho 2ª safra'!$E77:$Z77,MIN(U$6-$E$3,22))),0))-IF($G$2,0,IF((U$6-$G$3)&lt;1,0,IFERROR(LOOKUP(2,1/('Milho 2ª safra'!$E77:INDEX('Milho 2ª safra'!$E77:$Z77,MIN(U$6-$G$3,22))&lt;&gt;""),'Milho 2ª safra'!$E77:INDEX('Milho 2ª safra'!$E77:$Z77,MIN(U$6-$G$3,22))),0)))))</f>
        <v>0</v>
      </c>
      <c r="V79" s="27" t="n">
        <f aca="false">IF(COUNT('Milho 2ª safra'!$E77:$Z77)=0,0,MAX(0,IF((V$6-$E$3)&lt;1,0,IFERROR(LOOKUP(2,1/('Milho 2ª safra'!$E77:INDEX('Milho 2ª safra'!$E77:$Z77,MIN(V$6-$E$3,22))&lt;&gt;""),'Milho 2ª safra'!$E77:INDEX('Milho 2ª safra'!$E77:$Z77,MIN(V$6-$E$3,22))),0))-IF($G$2,0,IF((V$6-$G$3)&lt;1,0,IFERROR(LOOKUP(2,1/('Milho 2ª safra'!$E77:INDEX('Milho 2ª safra'!$E77:$Z77,MIN(V$6-$G$3,22))&lt;&gt;""),'Milho 2ª safra'!$E77:INDEX('Milho 2ª safra'!$E77:$Z77,MIN(V$6-$G$3,22))),0)))))</f>
        <v>0</v>
      </c>
      <c r="W79" s="27" t="n">
        <f aca="false">IF(COUNT('Milho 2ª safra'!$E77:$Z77)=0,0,MAX(0,IF((W$6-$E$3)&lt;1,0,IFERROR(LOOKUP(2,1/('Milho 2ª safra'!$E77:INDEX('Milho 2ª safra'!$E77:$Z77,MIN(W$6-$E$3,22))&lt;&gt;""),'Milho 2ª safra'!$E77:INDEX('Milho 2ª safra'!$E77:$Z77,MIN(W$6-$E$3,22))),0))-IF($G$2,0,IF((W$6-$G$3)&lt;1,0,IFERROR(LOOKUP(2,1/('Milho 2ª safra'!$E77:INDEX('Milho 2ª safra'!$E77:$Z77,MIN(W$6-$G$3,22))&lt;&gt;""),'Milho 2ª safra'!$E77:INDEX('Milho 2ª safra'!$E77:$Z77,MIN(W$6-$G$3,22))),0)))))</f>
        <v>0</v>
      </c>
      <c r="X79" s="27" t="n">
        <f aca="false">IF(COUNT('Milho 2ª safra'!$E77:$Z77)=0,0,MAX(0,IF((X$6-$E$3)&lt;1,0,IFERROR(LOOKUP(2,1/('Milho 2ª safra'!$E77:INDEX('Milho 2ª safra'!$E77:$Z77,MIN(X$6-$E$3,22))&lt;&gt;""),'Milho 2ª safra'!$E77:INDEX('Milho 2ª safra'!$E77:$Z77,MIN(X$6-$E$3,22))),0))-IF($G$2,0,IF((X$6-$G$3)&lt;1,0,IFERROR(LOOKUP(2,1/('Milho 2ª safra'!$E77:INDEX('Milho 2ª safra'!$E77:$Z77,MIN(X$6-$G$3,22))&lt;&gt;""),'Milho 2ª safra'!$E77:INDEX('Milho 2ª safra'!$E77:$Z77,MIN(X$6-$G$3,22))),0)))))</f>
        <v>0</v>
      </c>
      <c r="Y79" s="27" t="n">
        <f aca="false">IF(COUNT('Milho 2ª safra'!$E77:$Z77)=0,0,MAX(0,IF((Y$6-$E$3)&lt;1,0,IFERROR(LOOKUP(2,1/('Milho 2ª safra'!$E77:INDEX('Milho 2ª safra'!$E77:$Z77,MIN(Y$6-$E$3,22))&lt;&gt;""),'Milho 2ª safra'!$E77:INDEX('Milho 2ª safra'!$E77:$Z77,MIN(Y$6-$E$3,22))),0))-IF($G$2,0,IF((Y$6-$G$3)&lt;1,0,IFERROR(LOOKUP(2,1/('Milho 2ª safra'!$E77:INDEX('Milho 2ª safra'!$E77:$Z77,MIN(Y$6-$G$3,22))&lt;&gt;""),'Milho 2ª safra'!$E77:INDEX('Milho 2ª safra'!$E77:$Z77,MIN(Y$6-$G$3,22))),0)))))</f>
        <v>0</v>
      </c>
      <c r="Z79" s="27" t="n">
        <f aca="false">IF(COUNT('Milho 2ª safra'!$E77:$Z77)=0,0,MAX(0,IF((Z$6-$E$3)&lt;1,0,IFERROR(LOOKUP(2,1/('Milho 2ª safra'!$E77:INDEX('Milho 2ª safra'!$E77:$Z77,MIN(Z$6-$E$3,22))&lt;&gt;""),'Milho 2ª safra'!$E77:INDEX('Milho 2ª safra'!$E77:$Z77,MIN(Z$6-$E$3,22))),0))-IF($G$2,0,IF((Z$6-$G$3)&lt;1,0,IFERROR(LOOKUP(2,1/('Milho 2ª safra'!$E77:INDEX('Milho 2ª safra'!$E77:$Z77,MIN(Z$6-$G$3,22))&lt;&gt;""),'Milho 2ª safra'!$E77:INDEX('Milho 2ª safra'!$E77:$Z77,MIN(Z$6-$G$3,22))),0)))))</f>
        <v>0</v>
      </c>
      <c r="AA79" s="27" t="n">
        <f aca="false">IF(COUNT('Milho 2ª safra'!$E77:$Z77)=0,0,MAX(0,IF((AA$6-$E$3)&lt;1,0,IFERROR(LOOKUP(2,1/('Milho 2ª safra'!$E77:INDEX('Milho 2ª safra'!$E77:$Z77,MIN(AA$6-$E$3,22))&lt;&gt;""),'Milho 2ª safra'!$E77:INDEX('Milho 2ª safra'!$E77:$Z77,MIN(AA$6-$E$3,22))),0))-IF($G$2,0,IF((AA$6-$G$3)&lt;1,0,IFERROR(LOOKUP(2,1/('Milho 2ª safra'!$E77:INDEX('Milho 2ª safra'!$E77:$Z77,MIN(AA$6-$G$3,22))&lt;&gt;""),'Milho 2ª safra'!$E77:INDEX('Milho 2ª safra'!$E77:$Z77,MIN(AA$6-$G$3,22))),0)))))</f>
        <v>0</v>
      </c>
      <c r="AB79" s="27" t="n">
        <f aca="false">IF(COUNT('Milho 2ª safra'!$E77:$Z77)=0,0,MAX(0,IF((AB$6-$E$3)&lt;1,0,IFERROR(LOOKUP(2,1/('Milho 2ª safra'!$E77:INDEX('Milho 2ª safra'!$E77:$Z77,MIN(AB$6-$E$3,22))&lt;&gt;""),'Milho 2ª safra'!$E77:INDEX('Milho 2ª safra'!$E77:$Z77,MIN(AB$6-$E$3,22))),0))-IF($G$2,0,IF((AB$6-$G$3)&lt;1,0,IFERROR(LOOKUP(2,1/('Milho 2ª safra'!$E77:INDEX('Milho 2ª safra'!$E77:$Z77,MIN(AB$6-$G$3,22))&lt;&gt;""),'Milho 2ª safra'!$E77:INDEX('Milho 2ª safra'!$E77:$Z77,MIN(AB$6-$G$3,22))),0)))))</f>
        <v>0</v>
      </c>
      <c r="AC79" s="27" t="n">
        <f aca="false">IF(COUNT('Milho 2ª safra'!$E77:$Z77)=0,0,MAX(0,IF((AC$6-$E$3)&lt;1,0,IFERROR(LOOKUP(2,1/('Milho 2ª safra'!$E77:INDEX('Milho 2ª safra'!$E77:$Z77,MIN(AC$6-$E$3,22))&lt;&gt;""),'Milho 2ª safra'!$E77:INDEX('Milho 2ª safra'!$E77:$Z77,MIN(AC$6-$E$3,22))),0))-IF($G$2,0,IF((AC$6-$G$3)&lt;1,0,IFERROR(LOOKUP(2,1/('Milho 2ª safra'!$E77:INDEX('Milho 2ª safra'!$E77:$Z77,MIN(AC$6-$G$3,22))&lt;&gt;""),'Milho 2ª safra'!$E77:INDEX('Milho 2ª safra'!$E77:$Z77,MIN(AC$6-$G$3,22))),0)))))</f>
        <v>0</v>
      </c>
      <c r="AD79" s="27" t="n">
        <f aca="false">IF(COUNT('Milho 2ª safra'!$E77:$Z77)=0,0,MAX(0,IF((AD$6-$E$3)&lt;1,0,IFERROR(LOOKUP(2,1/('Milho 2ª safra'!$E77:INDEX('Milho 2ª safra'!$E77:$Z77,MIN(AD$6-$E$3,22))&lt;&gt;""),'Milho 2ª safra'!$E77:INDEX('Milho 2ª safra'!$E77:$Z77,MIN(AD$6-$E$3,22))),0))-IF($G$2,0,IF((AD$6-$G$3)&lt;1,0,IFERROR(LOOKUP(2,1/('Milho 2ª safra'!$E77:INDEX('Milho 2ª safra'!$E77:$Z77,MIN(AD$6-$G$3,22))&lt;&gt;""),'Milho 2ª safra'!$E77:INDEX('Milho 2ª safra'!$E77:$Z77,MIN(AD$6-$G$3,22))),0)))))</f>
        <v>0</v>
      </c>
      <c r="AE79" s="27" t="n">
        <f aca="false">IF(COUNT('Milho 2ª safra'!$E77:$Z77)=0,0,MAX(0,IF((AE$6-$E$3)&lt;1,0,IFERROR(LOOKUP(2,1/('Milho 2ª safra'!$E77:INDEX('Milho 2ª safra'!$E77:$Z77,MIN(AE$6-$E$3,22))&lt;&gt;""),'Milho 2ª safra'!$E77:INDEX('Milho 2ª safra'!$E77:$Z77,MIN(AE$6-$E$3,22))),0))-IF($G$2,0,IF((AE$6-$G$3)&lt;1,0,IFERROR(LOOKUP(2,1/('Milho 2ª safra'!$E77:INDEX('Milho 2ª safra'!$E77:$Z77,MIN(AE$6-$G$3,22))&lt;&gt;""),'Milho 2ª safra'!$E77:INDEX('Milho 2ª safra'!$E77:$Z77,MIN(AE$6-$G$3,22))),0)))))</f>
        <v>0</v>
      </c>
      <c r="AF79" s="27" t="n">
        <f aca="false">IF(COUNT('Milho 2ª safra'!$E77:$Z77)=0,0,MAX(0,IF((AF$6-$E$3)&lt;1,0,IFERROR(LOOKUP(2,1/('Milho 2ª safra'!$E77:INDEX('Milho 2ª safra'!$E77:$Z77,MIN(AF$6-$E$3,22))&lt;&gt;""),'Milho 2ª safra'!$E77:INDEX('Milho 2ª safra'!$E77:$Z77,MIN(AF$6-$E$3,22))),0))-IF($G$2,0,IF((AF$6-$G$3)&lt;1,0,IFERROR(LOOKUP(2,1/('Milho 2ª safra'!$E77:INDEX('Milho 2ª safra'!$E77:$Z77,MIN(AF$6-$G$3,22))&lt;&gt;""),'Milho 2ª safra'!$E77:INDEX('Milho 2ª safra'!$E77:$Z77,MIN(AF$6-$G$3,22))),0)))))</f>
        <v>0</v>
      </c>
      <c r="AG79" s="27" t="n">
        <f aca="false">IF(COUNT('Milho 2ª safra'!$E77:$Z77)=0,0,MAX(0,IF((AG$6-$E$3)&lt;1,0,IFERROR(LOOKUP(2,1/('Milho 2ª safra'!$E77:INDEX('Milho 2ª safra'!$E77:$Z77,MIN(AG$6-$E$3,22))&lt;&gt;""),'Milho 2ª safra'!$E77:INDEX('Milho 2ª safra'!$E77:$Z77,MIN(AG$6-$E$3,22))),0))-IF($G$2,0,IF((AG$6-$G$3)&lt;1,0,IFERROR(LOOKUP(2,1/('Milho 2ª safra'!$E77:INDEX('Milho 2ª safra'!$E77:$Z77,MIN(AG$6-$G$3,22))&lt;&gt;""),'Milho 2ª safra'!$E77:INDEX('Milho 2ª safra'!$E77:$Z77,MIN(AG$6-$G$3,22))),0)))))</f>
        <v>0</v>
      </c>
      <c r="AH79" s="27" t="n">
        <f aca="false">IF(COUNT('Milho 2ª safra'!$E77:$Z77)=0,0,MAX(0,IF((AH$6-$E$3)&lt;1,0,IFERROR(LOOKUP(2,1/('Milho 2ª safra'!$E77:INDEX('Milho 2ª safra'!$E77:$Z77,MIN(AH$6-$E$3,22))&lt;&gt;""),'Milho 2ª safra'!$E77:INDEX('Milho 2ª safra'!$E77:$Z77,MIN(AH$6-$E$3,22))),0))-IF($G$2,0,IF((AH$6-$G$3)&lt;1,0,IFERROR(LOOKUP(2,1/('Milho 2ª safra'!$E77:INDEX('Milho 2ª safra'!$E77:$Z77,MIN(AH$6-$G$3,22))&lt;&gt;""),'Milho 2ª safra'!$E77:INDEX('Milho 2ª safra'!$E77:$Z77,MIN(AH$6-$G$3,22))),0)))))</f>
        <v>0</v>
      </c>
      <c r="AI79" s="27" t="n">
        <f aca="false">IF(COUNT('Milho 2ª safra'!$E77:$Z77)=0,0,MAX(0,IF((AI$6-$E$3)&lt;1,0,IFERROR(LOOKUP(2,1/('Milho 2ª safra'!$E77:INDEX('Milho 2ª safra'!$E77:$Z77,MIN(AI$6-$E$3,22))&lt;&gt;""),'Milho 2ª safra'!$E77:INDEX('Milho 2ª safra'!$E77:$Z77,MIN(AI$6-$E$3,22))),0))-IF($G$2,0,IF((AI$6-$G$3)&lt;1,0,IFERROR(LOOKUP(2,1/('Milho 2ª safra'!$E77:INDEX('Milho 2ª safra'!$E77:$Z77,MIN(AI$6-$G$3,22))&lt;&gt;""),'Milho 2ª safra'!$E77:INDEX('Milho 2ª safra'!$E77:$Z77,MIN(AI$6-$G$3,22))),0)))))</f>
        <v>0</v>
      </c>
      <c r="AJ79" s="27" t="n">
        <f aca="false">IF(COUNT('Milho 2ª safra'!$E77:$Z77)=0,0,MAX(0,IF((AJ$6-$E$3)&lt;1,0,IFERROR(LOOKUP(2,1/('Milho 2ª safra'!$E77:INDEX('Milho 2ª safra'!$E77:$Z77,MIN(AJ$6-$E$3,22))&lt;&gt;""),'Milho 2ª safra'!$E77:INDEX('Milho 2ª safra'!$E77:$Z77,MIN(AJ$6-$E$3,22))),0))-IF($G$2,0,IF((AJ$6-$G$3)&lt;1,0,IFERROR(LOOKUP(2,1/('Milho 2ª safra'!$E77:INDEX('Milho 2ª safra'!$E77:$Z77,MIN(AJ$6-$G$3,22))&lt;&gt;""),'Milho 2ª safra'!$E77:INDEX('Milho 2ª safra'!$E77:$Z77,MIN(AJ$6-$G$3,22))),0)))))</f>
        <v>0</v>
      </c>
      <c r="AK79" s="27" t="n">
        <f aca="false">IF(COUNT('Milho 2ª safra'!$E77:$Z77)=0,0,MAX(0,IF((AK$6-$E$3)&lt;1,0,IFERROR(LOOKUP(2,1/('Milho 2ª safra'!$E77:INDEX('Milho 2ª safra'!$E77:$Z77,MIN(AK$6-$E$3,22))&lt;&gt;""),'Milho 2ª safra'!$E77:INDEX('Milho 2ª safra'!$E77:$Z77,MIN(AK$6-$E$3,22))),0))-IF($G$2,0,IF((AK$6-$G$3)&lt;1,0,IFERROR(LOOKUP(2,1/('Milho 2ª safra'!$E77:INDEX('Milho 2ª safra'!$E77:$Z77,MIN(AK$6-$G$3,22))&lt;&gt;""),'Milho 2ª safra'!$E77:INDEX('Milho 2ª safra'!$E77:$Z77,MIN(AK$6-$G$3,22))),0)))))</f>
        <v>0</v>
      </c>
      <c r="AL79" s="27" t="n">
        <f aca="false">IF(COUNT('Milho 2ª safra'!$E77:$Z77)=0,0,MAX(0,IF((AL$6-$E$3)&lt;1,0,IFERROR(LOOKUP(2,1/('Milho 2ª safra'!$E77:INDEX('Milho 2ª safra'!$E77:$Z77,MIN(AL$6-$E$3,22))&lt;&gt;""),'Milho 2ª safra'!$E77:INDEX('Milho 2ª safra'!$E77:$Z77,MIN(AL$6-$E$3,22))),0))-IF($G$2,0,IF((AL$6-$G$3)&lt;1,0,IFERROR(LOOKUP(2,1/('Milho 2ª safra'!$E77:INDEX('Milho 2ª safra'!$E77:$Z77,MIN(AL$6-$G$3,22))&lt;&gt;""),'Milho 2ª safra'!$E77:INDEX('Milho 2ª safra'!$E77:$Z77,MIN(AL$6-$G$3,22))),0)))))</f>
        <v>0</v>
      </c>
      <c r="AM79" s="27" t="n">
        <f aca="false">IF(COUNT('Milho 2ª safra'!$E77:$Z77)=0,0,MAX(0,IF((AM$6-$E$3)&lt;1,0,IFERROR(LOOKUP(2,1/('Milho 2ª safra'!$E77:INDEX('Milho 2ª safra'!$E77:$Z77,MIN(AM$6-$E$3,22))&lt;&gt;""),'Milho 2ª safra'!$E77:INDEX('Milho 2ª safra'!$E77:$Z77,MIN(AM$6-$E$3,22))),0))-IF($G$2,0,IF((AM$6-$G$3)&lt;1,0,IFERROR(LOOKUP(2,1/('Milho 2ª safra'!$E77:INDEX('Milho 2ª safra'!$E77:$Z77,MIN(AM$6-$G$3,22))&lt;&gt;""),'Milho 2ª safra'!$E77:INDEX('Milho 2ª safra'!$E77:$Z77,MIN(AM$6-$G$3,22))),0)))))</f>
        <v>0</v>
      </c>
      <c r="AN79" s="27" t="n">
        <f aca="false">IF(COUNT('Milho 2ª safra'!$E77:$Z77)=0,0,MAX(0,IF((AN$6-$E$3)&lt;1,0,IFERROR(LOOKUP(2,1/('Milho 2ª safra'!$E77:INDEX('Milho 2ª safra'!$E77:$Z77,MIN(AN$6-$E$3,22))&lt;&gt;""),'Milho 2ª safra'!$E77:INDEX('Milho 2ª safra'!$E77:$Z77,MIN(AN$6-$E$3,22))),0))-IF($G$2,0,IF((AN$6-$G$3)&lt;1,0,IFERROR(LOOKUP(2,1/('Milho 2ª safra'!$E77:INDEX('Milho 2ª safra'!$E77:$Z77,MIN(AN$6-$G$3,22))&lt;&gt;""),'Milho 2ª safra'!$E77:INDEX('Milho 2ª safra'!$E77:$Z77,MIN(AN$6-$G$3,22))),0)))))</f>
        <v>0</v>
      </c>
      <c r="AO79" s="27" t="n">
        <f aca="false">IF(COUNT('Milho 2ª safra'!$E77:$Z77)=0,0,MAX(0,IF((AO$6-$E$3)&lt;1,0,IFERROR(LOOKUP(2,1/('Milho 2ª safra'!$E77:INDEX('Milho 2ª safra'!$E77:$Z77,MIN(AO$6-$E$3,22))&lt;&gt;""),'Milho 2ª safra'!$E77:INDEX('Milho 2ª safra'!$E77:$Z77,MIN(AO$6-$E$3,22))),0))-IF($G$2,0,IF((AO$6-$G$3)&lt;1,0,IFERROR(LOOKUP(2,1/('Milho 2ª safra'!$E77:INDEX('Milho 2ª safra'!$E77:$Z77,MIN(AO$6-$G$3,22))&lt;&gt;""),'Milho 2ª safra'!$E77:INDEX('Milho 2ª safra'!$E77:$Z77,MIN(AO$6-$G$3,22))),0)))))</f>
        <v>0</v>
      </c>
      <c r="AP79" s="27" t="n">
        <f aca="false">IF(COUNT('Milho 2ª safra'!$E77:$Z77)=0,0,MAX(0,IF((AP$6-$E$3)&lt;1,0,IFERROR(LOOKUP(2,1/('Milho 2ª safra'!$E77:INDEX('Milho 2ª safra'!$E77:$Z77,MIN(AP$6-$E$3,22))&lt;&gt;""),'Milho 2ª safra'!$E77:INDEX('Milho 2ª safra'!$E77:$Z77,MIN(AP$6-$E$3,22))),0))-IF($G$2,0,IF((AP$6-$G$3)&lt;1,0,IFERROR(LOOKUP(2,1/('Milho 2ª safra'!$E77:INDEX('Milho 2ª safra'!$E77:$Z77,MIN(AP$6-$G$3,22))&lt;&gt;""),'Milho 2ª safra'!$E77:INDEX('Milho 2ª safra'!$E77:$Z77,MIN(AP$6-$G$3,22))),0)))))</f>
        <v>0</v>
      </c>
      <c r="AQ79" s="27" t="n">
        <f aca="false">IF(COUNT('Milho 2ª safra'!$E77:$Z77)=0,0,MAX(0,IF((AQ$6-$E$3)&lt;1,0,IFERROR(LOOKUP(2,1/('Milho 2ª safra'!$E77:INDEX('Milho 2ª safra'!$E77:$Z77,MIN(AQ$6-$E$3,22))&lt;&gt;""),'Milho 2ª safra'!$E77:INDEX('Milho 2ª safra'!$E77:$Z77,MIN(AQ$6-$E$3,22))),0))-IF($G$2,0,IF((AQ$6-$G$3)&lt;1,0,IFERROR(LOOKUP(2,1/('Milho 2ª safra'!$E77:INDEX('Milho 2ª safra'!$E77:$Z77,MIN(AQ$6-$G$3,22))&lt;&gt;""),'Milho 2ª safra'!$E77:INDEX('Milho 2ª safra'!$E77:$Z77,MIN(AQ$6-$G$3,22))),0)))))</f>
        <v>0</v>
      </c>
      <c r="AR79" s="27" t="n">
        <f aca="false">IF(COUNT('Milho 2ª safra'!$E77:$Z77)=0,0,MAX(0,IF((AR$6-$E$3)&lt;1,0,IFERROR(LOOKUP(2,1/('Milho 2ª safra'!$E77:INDEX('Milho 2ª safra'!$E77:$Z77,MIN(AR$6-$E$3,22))&lt;&gt;""),'Milho 2ª safra'!$E77:INDEX('Milho 2ª safra'!$E77:$Z77,MIN(AR$6-$E$3,22))),0))-IF($G$2,0,IF((AR$6-$G$3)&lt;1,0,IFERROR(LOOKUP(2,1/('Milho 2ª safra'!$E77:INDEX('Milho 2ª safra'!$E77:$Z77,MIN(AR$6-$G$3,22))&lt;&gt;""),'Milho 2ª safra'!$E77:INDEX('Milho 2ª safra'!$E77:$Z77,MIN(AR$6-$G$3,22))),0)))))</f>
        <v>0</v>
      </c>
      <c r="AS79" s="27" t="n">
        <f aca="false">IF(COUNT('Milho 2ª safra'!$E77:$Z77)=0,0,MAX(0,IF((AS$6-$E$3)&lt;1,0,IFERROR(LOOKUP(2,1/('Milho 2ª safra'!$E77:INDEX('Milho 2ª safra'!$E77:$Z77,MIN(AS$6-$E$3,22))&lt;&gt;""),'Milho 2ª safra'!$E77:INDEX('Milho 2ª safra'!$E77:$Z77,MIN(AS$6-$E$3,22))),0))-IF($G$2,0,IF((AS$6-$G$3)&lt;1,0,IFERROR(LOOKUP(2,1/('Milho 2ª safra'!$E77:INDEX('Milho 2ª safra'!$E77:$Z77,MIN(AS$6-$G$3,22))&lt;&gt;""),'Milho 2ª safra'!$E77:INDEX('Milho 2ª safra'!$E77:$Z77,MIN(AS$6-$G$3,22))),0)))))</f>
        <v>0</v>
      </c>
      <c r="AT79" s="27" t="n">
        <f aca="false">IF(COUNT('Milho 2ª safra'!$E77:$Z77)=0,0,MAX(0,IF((AT$6-$E$3)&lt;1,0,IFERROR(LOOKUP(2,1/('Milho 2ª safra'!$E77:INDEX('Milho 2ª safra'!$E77:$Z77,MIN(AT$6-$E$3,22))&lt;&gt;""),'Milho 2ª safra'!$E77:INDEX('Milho 2ª safra'!$E77:$Z77,MIN(AT$6-$E$3,22))),0))-IF($G$2,0,IF((AT$6-$G$3)&lt;1,0,IFERROR(LOOKUP(2,1/('Milho 2ª safra'!$E77:INDEX('Milho 2ª safra'!$E77:$Z77,MIN(AT$6-$G$3,22))&lt;&gt;""),'Milho 2ª safra'!$E77:INDEX('Milho 2ª safra'!$E77:$Z77,MIN(AT$6-$G$3,22))),0)))))</f>
        <v>0</v>
      </c>
      <c r="AU79" s="27" t="n">
        <f aca="false">IF(COUNT('Milho 2ª safra'!$E77:$Z77)=0,0,MAX(0,IF((AU$6-$E$3)&lt;1,0,IFERROR(LOOKUP(2,1/('Milho 2ª safra'!$E77:INDEX('Milho 2ª safra'!$E77:$Z77,MIN(AU$6-$E$3,22))&lt;&gt;""),'Milho 2ª safra'!$E77:INDEX('Milho 2ª safra'!$E77:$Z77,MIN(AU$6-$E$3,22))),0))-IF($G$2,0,IF((AU$6-$G$3)&lt;1,0,IFERROR(LOOKUP(2,1/('Milho 2ª safra'!$E77:INDEX('Milho 2ª safra'!$E77:$Z77,MIN(AU$6-$G$3,22))&lt;&gt;""),'Milho 2ª safra'!$E77:INDEX('Milho 2ª safra'!$E77:$Z77,MIN(AU$6-$G$3,22))),0)))))</f>
        <v>0</v>
      </c>
      <c r="AV79" s="27" t="n">
        <f aca="false">IF(COUNT('Milho 2ª safra'!$E77:$Z77)=0,0,MAX(0,IF((AV$6-$E$3)&lt;1,0,IFERROR(LOOKUP(2,1/('Milho 2ª safra'!$E77:INDEX('Milho 2ª safra'!$E77:$Z77,MIN(AV$6-$E$3,22))&lt;&gt;""),'Milho 2ª safra'!$E77:INDEX('Milho 2ª safra'!$E77:$Z77,MIN(AV$6-$E$3,22))),0))-IF($G$2,0,IF((AV$6-$G$3)&lt;1,0,IFERROR(LOOKUP(2,1/('Milho 2ª safra'!$E77:INDEX('Milho 2ª safra'!$E77:$Z77,MIN(AV$6-$G$3,22))&lt;&gt;""),'Milho 2ª safra'!$E77:INDEX('Milho 2ª safra'!$E77:$Z77,MIN(AV$6-$G$3,22))),0)))))</f>
        <v>0</v>
      </c>
      <c r="AW79" s="27" t="n">
        <f aca="false">IF(COUNT('Milho 2ª safra'!$E77:$Z77)=0,0,MAX(0,IF((AW$6-$E$3)&lt;1,0,IFERROR(LOOKUP(2,1/('Milho 2ª safra'!$E77:INDEX('Milho 2ª safra'!$E77:$Z77,MIN(AW$6-$E$3,22))&lt;&gt;""),'Milho 2ª safra'!$E77:INDEX('Milho 2ª safra'!$E77:$Z77,MIN(AW$6-$E$3,22))),0))-IF($G$2,0,IF((AW$6-$G$3)&lt;1,0,IFERROR(LOOKUP(2,1/('Milho 2ª safra'!$E77:INDEX('Milho 2ª safra'!$E77:$Z77,MIN(AW$6-$G$3,22))&lt;&gt;""),'Milho 2ª safra'!$E77:INDEX('Milho 2ª safra'!$E77:$Z77,MIN(AW$6-$G$3,22))),0)))))</f>
        <v>0</v>
      </c>
      <c r="AX79" s="27" t="n">
        <f aca="false">IF(COUNT('Milho 2ª safra'!$E77:$Z77)=0,0,MAX(0,IF((AX$6-$E$3)&lt;1,0,IFERROR(LOOKUP(2,1/('Milho 2ª safra'!$E77:INDEX('Milho 2ª safra'!$E77:$Z77,MIN(AX$6-$E$3,22))&lt;&gt;""),'Milho 2ª safra'!$E77:INDEX('Milho 2ª safra'!$E77:$Z77,MIN(AX$6-$E$3,22))),0))-IF($G$2,0,IF((AX$6-$G$3)&lt;1,0,IFERROR(LOOKUP(2,1/('Milho 2ª safra'!$E77:INDEX('Milho 2ª safra'!$E77:$Z77,MIN(AX$6-$G$3,22))&lt;&gt;""),'Milho 2ª safra'!$E77:INDEX('Milho 2ª safra'!$E77:$Z77,MIN(AX$6-$G$3,22))),0)))))</f>
        <v>0</v>
      </c>
      <c r="AY79" s="27" t="n">
        <f aca="false">IF(COUNT('Milho 2ª safra'!$E77:$Z77)=0,0,MAX(0,IF((AY$6-$E$3)&lt;1,0,IFERROR(LOOKUP(2,1/('Milho 2ª safra'!$E77:INDEX('Milho 2ª safra'!$E77:$Z77,MIN(AY$6-$E$3,22))&lt;&gt;""),'Milho 2ª safra'!$E77:INDEX('Milho 2ª safra'!$E77:$Z77,MIN(AY$6-$E$3,22))),0))-IF($G$2,0,IF((AY$6-$G$3)&lt;1,0,IFERROR(LOOKUP(2,1/('Milho 2ª safra'!$E77:INDEX('Milho 2ª safra'!$E77:$Z77,MIN(AY$6-$G$3,22))&lt;&gt;""),'Milho 2ª safra'!$E77:INDEX('Milho 2ª safra'!$E77:$Z77,MIN(AY$6-$G$3,22))),0)))))</f>
        <v>0</v>
      </c>
      <c r="AZ79" s="27" t="n">
        <f aca="false">IF(COUNT('Milho 2ª safra'!$E77:$Z77)=0,0,MAX(0,IF((AZ$6-$E$3)&lt;1,0,IFERROR(LOOKUP(2,1/('Milho 2ª safra'!$E77:INDEX('Milho 2ª safra'!$E77:$Z77,MIN(AZ$6-$E$3,22))&lt;&gt;""),'Milho 2ª safra'!$E77:INDEX('Milho 2ª safra'!$E77:$Z77,MIN(AZ$6-$E$3,22))),0))-IF($G$2,0,IF((AZ$6-$G$3)&lt;1,0,IFERROR(LOOKUP(2,1/('Milho 2ª safra'!$E77:INDEX('Milho 2ª safra'!$E77:$Z77,MIN(AZ$6-$G$3,22))&lt;&gt;""),'Milho 2ª safra'!$E77:INDEX('Milho 2ª safra'!$E77:$Z77,MIN(AZ$6-$G$3,22))),0)))))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IF(COUNT('Milho 2ª safra'!$E78:$Z78)&gt;0,N('Milho 2ª safra'!$D78),0)</f>
        <v>0</v>
      </c>
      <c r="E80" s="27" t="n">
        <f aca="false">IF(COUNT('Milho 2ª safra'!$E78:$Z78)=0,0,MAX(0,IF((E$6-$E$3)&lt;1,0,IFERROR(LOOKUP(2,1/('Milho 2ª safra'!$E78:INDEX('Milho 2ª safra'!$E78:$Z78,MIN(E$6-$E$3,22))&lt;&gt;""),'Milho 2ª safra'!$E78:INDEX('Milho 2ª safra'!$E78:$Z78,MIN(E$6-$E$3,22))),0))-IF($G$2,0,IF((E$6-$G$3)&lt;1,0,IFERROR(LOOKUP(2,1/('Milho 2ª safra'!$E78:INDEX('Milho 2ª safra'!$E78:$Z78,MIN(E$6-$G$3,22))&lt;&gt;""),'Milho 2ª safra'!$E78:INDEX('Milho 2ª safra'!$E78:$Z78,MIN(E$6-$G$3,22))),0)))))</f>
        <v>0</v>
      </c>
      <c r="F80" s="27" t="n">
        <f aca="false">IF(COUNT('Milho 2ª safra'!$E78:$Z78)=0,0,MAX(0,IF((F$6-$E$3)&lt;1,0,IFERROR(LOOKUP(2,1/('Milho 2ª safra'!$E78:INDEX('Milho 2ª safra'!$E78:$Z78,MIN(F$6-$E$3,22))&lt;&gt;""),'Milho 2ª safra'!$E78:INDEX('Milho 2ª safra'!$E78:$Z78,MIN(F$6-$E$3,22))),0))-IF($G$2,0,IF((F$6-$G$3)&lt;1,0,IFERROR(LOOKUP(2,1/('Milho 2ª safra'!$E78:INDEX('Milho 2ª safra'!$E78:$Z78,MIN(F$6-$G$3,22))&lt;&gt;""),'Milho 2ª safra'!$E78:INDEX('Milho 2ª safra'!$E78:$Z78,MIN(F$6-$G$3,22))),0)))))</f>
        <v>0</v>
      </c>
      <c r="G80" s="27" t="n">
        <f aca="false">IF(COUNT('Milho 2ª safra'!$E78:$Z78)=0,0,MAX(0,IF((G$6-$E$3)&lt;1,0,IFERROR(LOOKUP(2,1/('Milho 2ª safra'!$E78:INDEX('Milho 2ª safra'!$E78:$Z78,MIN(G$6-$E$3,22))&lt;&gt;""),'Milho 2ª safra'!$E78:INDEX('Milho 2ª safra'!$E78:$Z78,MIN(G$6-$E$3,22))),0))-IF($G$2,0,IF((G$6-$G$3)&lt;1,0,IFERROR(LOOKUP(2,1/('Milho 2ª safra'!$E78:INDEX('Milho 2ª safra'!$E78:$Z78,MIN(G$6-$G$3,22))&lt;&gt;""),'Milho 2ª safra'!$E78:INDEX('Milho 2ª safra'!$E78:$Z78,MIN(G$6-$G$3,22))),0)))))</f>
        <v>0</v>
      </c>
      <c r="H80" s="27" t="n">
        <f aca="false">IF(COUNT('Milho 2ª safra'!$E78:$Z78)=0,0,MAX(0,IF((H$6-$E$3)&lt;1,0,IFERROR(LOOKUP(2,1/('Milho 2ª safra'!$E78:INDEX('Milho 2ª safra'!$E78:$Z78,MIN(H$6-$E$3,22))&lt;&gt;""),'Milho 2ª safra'!$E78:INDEX('Milho 2ª safra'!$E78:$Z78,MIN(H$6-$E$3,22))),0))-IF($G$2,0,IF((H$6-$G$3)&lt;1,0,IFERROR(LOOKUP(2,1/('Milho 2ª safra'!$E78:INDEX('Milho 2ª safra'!$E78:$Z78,MIN(H$6-$G$3,22))&lt;&gt;""),'Milho 2ª safra'!$E78:INDEX('Milho 2ª safra'!$E78:$Z78,MIN(H$6-$G$3,22))),0)))))</f>
        <v>0</v>
      </c>
      <c r="I80" s="27" t="n">
        <f aca="false">IF(COUNT('Milho 2ª safra'!$E78:$Z78)=0,0,MAX(0,IF((I$6-$E$3)&lt;1,0,IFERROR(LOOKUP(2,1/('Milho 2ª safra'!$E78:INDEX('Milho 2ª safra'!$E78:$Z78,MIN(I$6-$E$3,22))&lt;&gt;""),'Milho 2ª safra'!$E78:INDEX('Milho 2ª safra'!$E78:$Z78,MIN(I$6-$E$3,22))),0))-IF($G$2,0,IF((I$6-$G$3)&lt;1,0,IFERROR(LOOKUP(2,1/('Milho 2ª safra'!$E78:INDEX('Milho 2ª safra'!$E78:$Z78,MIN(I$6-$G$3,22))&lt;&gt;""),'Milho 2ª safra'!$E78:INDEX('Milho 2ª safra'!$E78:$Z78,MIN(I$6-$G$3,22))),0)))))</f>
        <v>0</v>
      </c>
      <c r="J80" s="27" t="n">
        <f aca="false">IF(COUNT('Milho 2ª safra'!$E78:$Z78)=0,0,MAX(0,IF((J$6-$E$3)&lt;1,0,IFERROR(LOOKUP(2,1/('Milho 2ª safra'!$E78:INDEX('Milho 2ª safra'!$E78:$Z78,MIN(J$6-$E$3,22))&lt;&gt;""),'Milho 2ª safra'!$E78:INDEX('Milho 2ª safra'!$E78:$Z78,MIN(J$6-$E$3,22))),0))-IF($G$2,0,IF((J$6-$G$3)&lt;1,0,IFERROR(LOOKUP(2,1/('Milho 2ª safra'!$E78:INDEX('Milho 2ª safra'!$E78:$Z78,MIN(J$6-$G$3,22))&lt;&gt;""),'Milho 2ª safra'!$E78:INDEX('Milho 2ª safra'!$E78:$Z78,MIN(J$6-$G$3,22))),0)))))</f>
        <v>0</v>
      </c>
      <c r="K80" s="27" t="n">
        <f aca="false">IF(COUNT('Milho 2ª safra'!$E78:$Z78)=0,0,MAX(0,IF((K$6-$E$3)&lt;1,0,IFERROR(LOOKUP(2,1/('Milho 2ª safra'!$E78:INDEX('Milho 2ª safra'!$E78:$Z78,MIN(K$6-$E$3,22))&lt;&gt;""),'Milho 2ª safra'!$E78:INDEX('Milho 2ª safra'!$E78:$Z78,MIN(K$6-$E$3,22))),0))-IF($G$2,0,IF((K$6-$G$3)&lt;1,0,IFERROR(LOOKUP(2,1/('Milho 2ª safra'!$E78:INDEX('Milho 2ª safra'!$E78:$Z78,MIN(K$6-$G$3,22))&lt;&gt;""),'Milho 2ª safra'!$E78:INDEX('Milho 2ª safra'!$E78:$Z78,MIN(K$6-$G$3,22))),0)))))</f>
        <v>0</v>
      </c>
      <c r="L80" s="27" t="n">
        <f aca="false">IF(COUNT('Milho 2ª safra'!$E78:$Z78)=0,0,MAX(0,IF((L$6-$E$3)&lt;1,0,IFERROR(LOOKUP(2,1/('Milho 2ª safra'!$E78:INDEX('Milho 2ª safra'!$E78:$Z78,MIN(L$6-$E$3,22))&lt;&gt;""),'Milho 2ª safra'!$E78:INDEX('Milho 2ª safra'!$E78:$Z78,MIN(L$6-$E$3,22))),0))-IF($G$2,0,IF((L$6-$G$3)&lt;1,0,IFERROR(LOOKUP(2,1/('Milho 2ª safra'!$E78:INDEX('Milho 2ª safra'!$E78:$Z78,MIN(L$6-$G$3,22))&lt;&gt;""),'Milho 2ª safra'!$E78:INDEX('Milho 2ª safra'!$E78:$Z78,MIN(L$6-$G$3,22))),0)))))</f>
        <v>0</v>
      </c>
      <c r="M80" s="27" t="n">
        <f aca="false">IF(COUNT('Milho 2ª safra'!$E78:$Z78)=0,0,MAX(0,IF((M$6-$E$3)&lt;1,0,IFERROR(LOOKUP(2,1/('Milho 2ª safra'!$E78:INDEX('Milho 2ª safra'!$E78:$Z78,MIN(M$6-$E$3,22))&lt;&gt;""),'Milho 2ª safra'!$E78:INDEX('Milho 2ª safra'!$E78:$Z78,MIN(M$6-$E$3,22))),0))-IF($G$2,0,IF((M$6-$G$3)&lt;1,0,IFERROR(LOOKUP(2,1/('Milho 2ª safra'!$E78:INDEX('Milho 2ª safra'!$E78:$Z78,MIN(M$6-$G$3,22))&lt;&gt;""),'Milho 2ª safra'!$E78:INDEX('Milho 2ª safra'!$E78:$Z78,MIN(M$6-$G$3,22))),0)))))</f>
        <v>0</v>
      </c>
      <c r="N80" s="27" t="n">
        <f aca="false">IF(COUNT('Milho 2ª safra'!$E78:$Z78)=0,0,MAX(0,IF((N$6-$E$3)&lt;1,0,IFERROR(LOOKUP(2,1/('Milho 2ª safra'!$E78:INDEX('Milho 2ª safra'!$E78:$Z78,MIN(N$6-$E$3,22))&lt;&gt;""),'Milho 2ª safra'!$E78:INDEX('Milho 2ª safra'!$E78:$Z78,MIN(N$6-$E$3,22))),0))-IF($G$2,0,IF((N$6-$G$3)&lt;1,0,IFERROR(LOOKUP(2,1/('Milho 2ª safra'!$E78:INDEX('Milho 2ª safra'!$E78:$Z78,MIN(N$6-$G$3,22))&lt;&gt;""),'Milho 2ª safra'!$E78:INDEX('Milho 2ª safra'!$E78:$Z78,MIN(N$6-$G$3,22))),0)))))</f>
        <v>0</v>
      </c>
      <c r="O80" s="27" t="n">
        <f aca="false">IF(COUNT('Milho 2ª safra'!$E78:$Z78)=0,0,MAX(0,IF((O$6-$E$3)&lt;1,0,IFERROR(LOOKUP(2,1/('Milho 2ª safra'!$E78:INDEX('Milho 2ª safra'!$E78:$Z78,MIN(O$6-$E$3,22))&lt;&gt;""),'Milho 2ª safra'!$E78:INDEX('Milho 2ª safra'!$E78:$Z78,MIN(O$6-$E$3,22))),0))-IF($G$2,0,IF((O$6-$G$3)&lt;1,0,IFERROR(LOOKUP(2,1/('Milho 2ª safra'!$E78:INDEX('Milho 2ª safra'!$E78:$Z78,MIN(O$6-$G$3,22))&lt;&gt;""),'Milho 2ª safra'!$E78:INDEX('Milho 2ª safra'!$E78:$Z78,MIN(O$6-$G$3,22))),0)))))</f>
        <v>0</v>
      </c>
      <c r="P80" s="27" t="n">
        <f aca="false">IF(COUNT('Milho 2ª safra'!$E78:$Z78)=0,0,MAX(0,IF((P$6-$E$3)&lt;1,0,IFERROR(LOOKUP(2,1/('Milho 2ª safra'!$E78:INDEX('Milho 2ª safra'!$E78:$Z78,MIN(P$6-$E$3,22))&lt;&gt;""),'Milho 2ª safra'!$E78:INDEX('Milho 2ª safra'!$E78:$Z78,MIN(P$6-$E$3,22))),0))-IF($G$2,0,IF((P$6-$G$3)&lt;1,0,IFERROR(LOOKUP(2,1/('Milho 2ª safra'!$E78:INDEX('Milho 2ª safra'!$E78:$Z78,MIN(P$6-$G$3,22))&lt;&gt;""),'Milho 2ª safra'!$E78:INDEX('Milho 2ª safra'!$E78:$Z78,MIN(P$6-$G$3,22))),0)))))</f>
        <v>0</v>
      </c>
      <c r="Q80" s="27" t="n">
        <f aca="false">IF(COUNT('Milho 2ª safra'!$E78:$Z78)=0,0,MAX(0,IF((Q$6-$E$3)&lt;1,0,IFERROR(LOOKUP(2,1/('Milho 2ª safra'!$E78:INDEX('Milho 2ª safra'!$E78:$Z78,MIN(Q$6-$E$3,22))&lt;&gt;""),'Milho 2ª safra'!$E78:INDEX('Milho 2ª safra'!$E78:$Z78,MIN(Q$6-$E$3,22))),0))-IF($G$2,0,IF((Q$6-$G$3)&lt;1,0,IFERROR(LOOKUP(2,1/('Milho 2ª safra'!$E78:INDEX('Milho 2ª safra'!$E78:$Z78,MIN(Q$6-$G$3,22))&lt;&gt;""),'Milho 2ª safra'!$E78:INDEX('Milho 2ª safra'!$E78:$Z78,MIN(Q$6-$G$3,22))),0)))))</f>
        <v>0</v>
      </c>
      <c r="R80" s="27" t="n">
        <f aca="false">IF(COUNT('Milho 2ª safra'!$E78:$Z78)=0,0,MAX(0,IF((R$6-$E$3)&lt;1,0,IFERROR(LOOKUP(2,1/('Milho 2ª safra'!$E78:INDEX('Milho 2ª safra'!$E78:$Z78,MIN(R$6-$E$3,22))&lt;&gt;""),'Milho 2ª safra'!$E78:INDEX('Milho 2ª safra'!$E78:$Z78,MIN(R$6-$E$3,22))),0))-IF($G$2,0,IF((R$6-$G$3)&lt;1,0,IFERROR(LOOKUP(2,1/('Milho 2ª safra'!$E78:INDEX('Milho 2ª safra'!$E78:$Z78,MIN(R$6-$G$3,22))&lt;&gt;""),'Milho 2ª safra'!$E78:INDEX('Milho 2ª safra'!$E78:$Z78,MIN(R$6-$G$3,22))),0)))))</f>
        <v>0</v>
      </c>
      <c r="S80" s="27" t="n">
        <f aca="false">IF(COUNT('Milho 2ª safra'!$E78:$Z78)=0,0,MAX(0,IF((S$6-$E$3)&lt;1,0,IFERROR(LOOKUP(2,1/('Milho 2ª safra'!$E78:INDEX('Milho 2ª safra'!$E78:$Z78,MIN(S$6-$E$3,22))&lt;&gt;""),'Milho 2ª safra'!$E78:INDEX('Milho 2ª safra'!$E78:$Z78,MIN(S$6-$E$3,22))),0))-IF($G$2,0,IF((S$6-$G$3)&lt;1,0,IFERROR(LOOKUP(2,1/('Milho 2ª safra'!$E78:INDEX('Milho 2ª safra'!$E78:$Z78,MIN(S$6-$G$3,22))&lt;&gt;""),'Milho 2ª safra'!$E78:INDEX('Milho 2ª safra'!$E78:$Z78,MIN(S$6-$G$3,22))),0)))))</f>
        <v>0</v>
      </c>
      <c r="T80" s="27" t="n">
        <f aca="false">IF(COUNT('Milho 2ª safra'!$E78:$Z78)=0,0,MAX(0,IF((T$6-$E$3)&lt;1,0,IFERROR(LOOKUP(2,1/('Milho 2ª safra'!$E78:INDEX('Milho 2ª safra'!$E78:$Z78,MIN(T$6-$E$3,22))&lt;&gt;""),'Milho 2ª safra'!$E78:INDEX('Milho 2ª safra'!$E78:$Z78,MIN(T$6-$E$3,22))),0))-IF($G$2,0,IF((T$6-$G$3)&lt;1,0,IFERROR(LOOKUP(2,1/('Milho 2ª safra'!$E78:INDEX('Milho 2ª safra'!$E78:$Z78,MIN(T$6-$G$3,22))&lt;&gt;""),'Milho 2ª safra'!$E78:INDEX('Milho 2ª safra'!$E78:$Z78,MIN(T$6-$G$3,22))),0)))))</f>
        <v>0</v>
      </c>
      <c r="U80" s="27" t="n">
        <f aca="false">IF(COUNT('Milho 2ª safra'!$E78:$Z78)=0,0,MAX(0,IF((U$6-$E$3)&lt;1,0,IFERROR(LOOKUP(2,1/('Milho 2ª safra'!$E78:INDEX('Milho 2ª safra'!$E78:$Z78,MIN(U$6-$E$3,22))&lt;&gt;""),'Milho 2ª safra'!$E78:INDEX('Milho 2ª safra'!$E78:$Z78,MIN(U$6-$E$3,22))),0))-IF($G$2,0,IF((U$6-$G$3)&lt;1,0,IFERROR(LOOKUP(2,1/('Milho 2ª safra'!$E78:INDEX('Milho 2ª safra'!$E78:$Z78,MIN(U$6-$G$3,22))&lt;&gt;""),'Milho 2ª safra'!$E78:INDEX('Milho 2ª safra'!$E78:$Z78,MIN(U$6-$G$3,22))),0)))))</f>
        <v>0</v>
      </c>
      <c r="V80" s="27" t="n">
        <f aca="false">IF(COUNT('Milho 2ª safra'!$E78:$Z78)=0,0,MAX(0,IF((V$6-$E$3)&lt;1,0,IFERROR(LOOKUP(2,1/('Milho 2ª safra'!$E78:INDEX('Milho 2ª safra'!$E78:$Z78,MIN(V$6-$E$3,22))&lt;&gt;""),'Milho 2ª safra'!$E78:INDEX('Milho 2ª safra'!$E78:$Z78,MIN(V$6-$E$3,22))),0))-IF($G$2,0,IF((V$6-$G$3)&lt;1,0,IFERROR(LOOKUP(2,1/('Milho 2ª safra'!$E78:INDEX('Milho 2ª safra'!$E78:$Z78,MIN(V$6-$G$3,22))&lt;&gt;""),'Milho 2ª safra'!$E78:INDEX('Milho 2ª safra'!$E78:$Z78,MIN(V$6-$G$3,22))),0)))))</f>
        <v>0</v>
      </c>
      <c r="W80" s="27" t="n">
        <f aca="false">IF(COUNT('Milho 2ª safra'!$E78:$Z78)=0,0,MAX(0,IF((W$6-$E$3)&lt;1,0,IFERROR(LOOKUP(2,1/('Milho 2ª safra'!$E78:INDEX('Milho 2ª safra'!$E78:$Z78,MIN(W$6-$E$3,22))&lt;&gt;""),'Milho 2ª safra'!$E78:INDEX('Milho 2ª safra'!$E78:$Z78,MIN(W$6-$E$3,22))),0))-IF($G$2,0,IF((W$6-$G$3)&lt;1,0,IFERROR(LOOKUP(2,1/('Milho 2ª safra'!$E78:INDEX('Milho 2ª safra'!$E78:$Z78,MIN(W$6-$G$3,22))&lt;&gt;""),'Milho 2ª safra'!$E78:INDEX('Milho 2ª safra'!$E78:$Z78,MIN(W$6-$G$3,22))),0)))))</f>
        <v>0</v>
      </c>
      <c r="X80" s="27" t="n">
        <f aca="false">IF(COUNT('Milho 2ª safra'!$E78:$Z78)=0,0,MAX(0,IF((X$6-$E$3)&lt;1,0,IFERROR(LOOKUP(2,1/('Milho 2ª safra'!$E78:INDEX('Milho 2ª safra'!$E78:$Z78,MIN(X$6-$E$3,22))&lt;&gt;""),'Milho 2ª safra'!$E78:INDEX('Milho 2ª safra'!$E78:$Z78,MIN(X$6-$E$3,22))),0))-IF($G$2,0,IF((X$6-$G$3)&lt;1,0,IFERROR(LOOKUP(2,1/('Milho 2ª safra'!$E78:INDEX('Milho 2ª safra'!$E78:$Z78,MIN(X$6-$G$3,22))&lt;&gt;""),'Milho 2ª safra'!$E78:INDEX('Milho 2ª safra'!$E78:$Z78,MIN(X$6-$G$3,22))),0)))))</f>
        <v>0</v>
      </c>
      <c r="Y80" s="27" t="n">
        <f aca="false">IF(COUNT('Milho 2ª safra'!$E78:$Z78)=0,0,MAX(0,IF((Y$6-$E$3)&lt;1,0,IFERROR(LOOKUP(2,1/('Milho 2ª safra'!$E78:INDEX('Milho 2ª safra'!$E78:$Z78,MIN(Y$6-$E$3,22))&lt;&gt;""),'Milho 2ª safra'!$E78:INDEX('Milho 2ª safra'!$E78:$Z78,MIN(Y$6-$E$3,22))),0))-IF($G$2,0,IF((Y$6-$G$3)&lt;1,0,IFERROR(LOOKUP(2,1/('Milho 2ª safra'!$E78:INDEX('Milho 2ª safra'!$E78:$Z78,MIN(Y$6-$G$3,22))&lt;&gt;""),'Milho 2ª safra'!$E78:INDEX('Milho 2ª safra'!$E78:$Z78,MIN(Y$6-$G$3,22))),0)))))</f>
        <v>0</v>
      </c>
      <c r="Z80" s="27" t="n">
        <f aca="false">IF(COUNT('Milho 2ª safra'!$E78:$Z78)=0,0,MAX(0,IF((Z$6-$E$3)&lt;1,0,IFERROR(LOOKUP(2,1/('Milho 2ª safra'!$E78:INDEX('Milho 2ª safra'!$E78:$Z78,MIN(Z$6-$E$3,22))&lt;&gt;""),'Milho 2ª safra'!$E78:INDEX('Milho 2ª safra'!$E78:$Z78,MIN(Z$6-$E$3,22))),0))-IF($G$2,0,IF((Z$6-$G$3)&lt;1,0,IFERROR(LOOKUP(2,1/('Milho 2ª safra'!$E78:INDEX('Milho 2ª safra'!$E78:$Z78,MIN(Z$6-$G$3,22))&lt;&gt;""),'Milho 2ª safra'!$E78:INDEX('Milho 2ª safra'!$E78:$Z78,MIN(Z$6-$G$3,22))),0)))))</f>
        <v>0</v>
      </c>
      <c r="AA80" s="27" t="n">
        <f aca="false">IF(COUNT('Milho 2ª safra'!$E78:$Z78)=0,0,MAX(0,IF((AA$6-$E$3)&lt;1,0,IFERROR(LOOKUP(2,1/('Milho 2ª safra'!$E78:INDEX('Milho 2ª safra'!$E78:$Z78,MIN(AA$6-$E$3,22))&lt;&gt;""),'Milho 2ª safra'!$E78:INDEX('Milho 2ª safra'!$E78:$Z78,MIN(AA$6-$E$3,22))),0))-IF($G$2,0,IF((AA$6-$G$3)&lt;1,0,IFERROR(LOOKUP(2,1/('Milho 2ª safra'!$E78:INDEX('Milho 2ª safra'!$E78:$Z78,MIN(AA$6-$G$3,22))&lt;&gt;""),'Milho 2ª safra'!$E78:INDEX('Milho 2ª safra'!$E78:$Z78,MIN(AA$6-$G$3,22))),0)))))</f>
        <v>0</v>
      </c>
      <c r="AB80" s="27" t="n">
        <f aca="false">IF(COUNT('Milho 2ª safra'!$E78:$Z78)=0,0,MAX(0,IF((AB$6-$E$3)&lt;1,0,IFERROR(LOOKUP(2,1/('Milho 2ª safra'!$E78:INDEX('Milho 2ª safra'!$E78:$Z78,MIN(AB$6-$E$3,22))&lt;&gt;""),'Milho 2ª safra'!$E78:INDEX('Milho 2ª safra'!$E78:$Z78,MIN(AB$6-$E$3,22))),0))-IF($G$2,0,IF((AB$6-$G$3)&lt;1,0,IFERROR(LOOKUP(2,1/('Milho 2ª safra'!$E78:INDEX('Milho 2ª safra'!$E78:$Z78,MIN(AB$6-$G$3,22))&lt;&gt;""),'Milho 2ª safra'!$E78:INDEX('Milho 2ª safra'!$E78:$Z78,MIN(AB$6-$G$3,22))),0)))))</f>
        <v>0</v>
      </c>
      <c r="AC80" s="27" t="n">
        <f aca="false">IF(COUNT('Milho 2ª safra'!$E78:$Z78)=0,0,MAX(0,IF((AC$6-$E$3)&lt;1,0,IFERROR(LOOKUP(2,1/('Milho 2ª safra'!$E78:INDEX('Milho 2ª safra'!$E78:$Z78,MIN(AC$6-$E$3,22))&lt;&gt;""),'Milho 2ª safra'!$E78:INDEX('Milho 2ª safra'!$E78:$Z78,MIN(AC$6-$E$3,22))),0))-IF($G$2,0,IF((AC$6-$G$3)&lt;1,0,IFERROR(LOOKUP(2,1/('Milho 2ª safra'!$E78:INDEX('Milho 2ª safra'!$E78:$Z78,MIN(AC$6-$G$3,22))&lt;&gt;""),'Milho 2ª safra'!$E78:INDEX('Milho 2ª safra'!$E78:$Z78,MIN(AC$6-$G$3,22))),0)))))</f>
        <v>0</v>
      </c>
      <c r="AD80" s="27" t="n">
        <f aca="false">IF(COUNT('Milho 2ª safra'!$E78:$Z78)=0,0,MAX(0,IF((AD$6-$E$3)&lt;1,0,IFERROR(LOOKUP(2,1/('Milho 2ª safra'!$E78:INDEX('Milho 2ª safra'!$E78:$Z78,MIN(AD$6-$E$3,22))&lt;&gt;""),'Milho 2ª safra'!$E78:INDEX('Milho 2ª safra'!$E78:$Z78,MIN(AD$6-$E$3,22))),0))-IF($G$2,0,IF((AD$6-$G$3)&lt;1,0,IFERROR(LOOKUP(2,1/('Milho 2ª safra'!$E78:INDEX('Milho 2ª safra'!$E78:$Z78,MIN(AD$6-$G$3,22))&lt;&gt;""),'Milho 2ª safra'!$E78:INDEX('Milho 2ª safra'!$E78:$Z78,MIN(AD$6-$G$3,22))),0)))))</f>
        <v>0</v>
      </c>
      <c r="AE80" s="27" t="n">
        <f aca="false">IF(COUNT('Milho 2ª safra'!$E78:$Z78)=0,0,MAX(0,IF((AE$6-$E$3)&lt;1,0,IFERROR(LOOKUP(2,1/('Milho 2ª safra'!$E78:INDEX('Milho 2ª safra'!$E78:$Z78,MIN(AE$6-$E$3,22))&lt;&gt;""),'Milho 2ª safra'!$E78:INDEX('Milho 2ª safra'!$E78:$Z78,MIN(AE$6-$E$3,22))),0))-IF($G$2,0,IF((AE$6-$G$3)&lt;1,0,IFERROR(LOOKUP(2,1/('Milho 2ª safra'!$E78:INDEX('Milho 2ª safra'!$E78:$Z78,MIN(AE$6-$G$3,22))&lt;&gt;""),'Milho 2ª safra'!$E78:INDEX('Milho 2ª safra'!$E78:$Z78,MIN(AE$6-$G$3,22))),0)))))</f>
        <v>0</v>
      </c>
      <c r="AF80" s="27" t="n">
        <f aca="false">IF(COUNT('Milho 2ª safra'!$E78:$Z78)=0,0,MAX(0,IF((AF$6-$E$3)&lt;1,0,IFERROR(LOOKUP(2,1/('Milho 2ª safra'!$E78:INDEX('Milho 2ª safra'!$E78:$Z78,MIN(AF$6-$E$3,22))&lt;&gt;""),'Milho 2ª safra'!$E78:INDEX('Milho 2ª safra'!$E78:$Z78,MIN(AF$6-$E$3,22))),0))-IF($G$2,0,IF((AF$6-$G$3)&lt;1,0,IFERROR(LOOKUP(2,1/('Milho 2ª safra'!$E78:INDEX('Milho 2ª safra'!$E78:$Z78,MIN(AF$6-$G$3,22))&lt;&gt;""),'Milho 2ª safra'!$E78:INDEX('Milho 2ª safra'!$E78:$Z78,MIN(AF$6-$G$3,22))),0)))))</f>
        <v>0</v>
      </c>
      <c r="AG80" s="27" t="n">
        <f aca="false">IF(COUNT('Milho 2ª safra'!$E78:$Z78)=0,0,MAX(0,IF((AG$6-$E$3)&lt;1,0,IFERROR(LOOKUP(2,1/('Milho 2ª safra'!$E78:INDEX('Milho 2ª safra'!$E78:$Z78,MIN(AG$6-$E$3,22))&lt;&gt;""),'Milho 2ª safra'!$E78:INDEX('Milho 2ª safra'!$E78:$Z78,MIN(AG$6-$E$3,22))),0))-IF($G$2,0,IF((AG$6-$G$3)&lt;1,0,IFERROR(LOOKUP(2,1/('Milho 2ª safra'!$E78:INDEX('Milho 2ª safra'!$E78:$Z78,MIN(AG$6-$G$3,22))&lt;&gt;""),'Milho 2ª safra'!$E78:INDEX('Milho 2ª safra'!$E78:$Z78,MIN(AG$6-$G$3,22))),0)))))</f>
        <v>0</v>
      </c>
      <c r="AH80" s="27" t="n">
        <f aca="false">IF(COUNT('Milho 2ª safra'!$E78:$Z78)=0,0,MAX(0,IF((AH$6-$E$3)&lt;1,0,IFERROR(LOOKUP(2,1/('Milho 2ª safra'!$E78:INDEX('Milho 2ª safra'!$E78:$Z78,MIN(AH$6-$E$3,22))&lt;&gt;""),'Milho 2ª safra'!$E78:INDEX('Milho 2ª safra'!$E78:$Z78,MIN(AH$6-$E$3,22))),0))-IF($G$2,0,IF((AH$6-$G$3)&lt;1,0,IFERROR(LOOKUP(2,1/('Milho 2ª safra'!$E78:INDEX('Milho 2ª safra'!$E78:$Z78,MIN(AH$6-$G$3,22))&lt;&gt;""),'Milho 2ª safra'!$E78:INDEX('Milho 2ª safra'!$E78:$Z78,MIN(AH$6-$G$3,22))),0)))))</f>
        <v>0</v>
      </c>
      <c r="AI80" s="27" t="n">
        <f aca="false">IF(COUNT('Milho 2ª safra'!$E78:$Z78)=0,0,MAX(0,IF((AI$6-$E$3)&lt;1,0,IFERROR(LOOKUP(2,1/('Milho 2ª safra'!$E78:INDEX('Milho 2ª safra'!$E78:$Z78,MIN(AI$6-$E$3,22))&lt;&gt;""),'Milho 2ª safra'!$E78:INDEX('Milho 2ª safra'!$E78:$Z78,MIN(AI$6-$E$3,22))),0))-IF($G$2,0,IF((AI$6-$G$3)&lt;1,0,IFERROR(LOOKUP(2,1/('Milho 2ª safra'!$E78:INDEX('Milho 2ª safra'!$E78:$Z78,MIN(AI$6-$G$3,22))&lt;&gt;""),'Milho 2ª safra'!$E78:INDEX('Milho 2ª safra'!$E78:$Z78,MIN(AI$6-$G$3,22))),0)))))</f>
        <v>0</v>
      </c>
      <c r="AJ80" s="27" t="n">
        <f aca="false">IF(COUNT('Milho 2ª safra'!$E78:$Z78)=0,0,MAX(0,IF((AJ$6-$E$3)&lt;1,0,IFERROR(LOOKUP(2,1/('Milho 2ª safra'!$E78:INDEX('Milho 2ª safra'!$E78:$Z78,MIN(AJ$6-$E$3,22))&lt;&gt;""),'Milho 2ª safra'!$E78:INDEX('Milho 2ª safra'!$E78:$Z78,MIN(AJ$6-$E$3,22))),0))-IF($G$2,0,IF((AJ$6-$G$3)&lt;1,0,IFERROR(LOOKUP(2,1/('Milho 2ª safra'!$E78:INDEX('Milho 2ª safra'!$E78:$Z78,MIN(AJ$6-$G$3,22))&lt;&gt;""),'Milho 2ª safra'!$E78:INDEX('Milho 2ª safra'!$E78:$Z78,MIN(AJ$6-$G$3,22))),0)))))</f>
        <v>0</v>
      </c>
      <c r="AK80" s="27" t="n">
        <f aca="false">IF(COUNT('Milho 2ª safra'!$E78:$Z78)=0,0,MAX(0,IF((AK$6-$E$3)&lt;1,0,IFERROR(LOOKUP(2,1/('Milho 2ª safra'!$E78:INDEX('Milho 2ª safra'!$E78:$Z78,MIN(AK$6-$E$3,22))&lt;&gt;""),'Milho 2ª safra'!$E78:INDEX('Milho 2ª safra'!$E78:$Z78,MIN(AK$6-$E$3,22))),0))-IF($G$2,0,IF((AK$6-$G$3)&lt;1,0,IFERROR(LOOKUP(2,1/('Milho 2ª safra'!$E78:INDEX('Milho 2ª safra'!$E78:$Z78,MIN(AK$6-$G$3,22))&lt;&gt;""),'Milho 2ª safra'!$E78:INDEX('Milho 2ª safra'!$E78:$Z78,MIN(AK$6-$G$3,22))),0)))))</f>
        <v>0</v>
      </c>
      <c r="AL80" s="27" t="n">
        <f aca="false">IF(COUNT('Milho 2ª safra'!$E78:$Z78)=0,0,MAX(0,IF((AL$6-$E$3)&lt;1,0,IFERROR(LOOKUP(2,1/('Milho 2ª safra'!$E78:INDEX('Milho 2ª safra'!$E78:$Z78,MIN(AL$6-$E$3,22))&lt;&gt;""),'Milho 2ª safra'!$E78:INDEX('Milho 2ª safra'!$E78:$Z78,MIN(AL$6-$E$3,22))),0))-IF($G$2,0,IF((AL$6-$G$3)&lt;1,0,IFERROR(LOOKUP(2,1/('Milho 2ª safra'!$E78:INDEX('Milho 2ª safra'!$E78:$Z78,MIN(AL$6-$G$3,22))&lt;&gt;""),'Milho 2ª safra'!$E78:INDEX('Milho 2ª safra'!$E78:$Z78,MIN(AL$6-$G$3,22))),0)))))</f>
        <v>0</v>
      </c>
      <c r="AM80" s="27" t="n">
        <f aca="false">IF(COUNT('Milho 2ª safra'!$E78:$Z78)=0,0,MAX(0,IF((AM$6-$E$3)&lt;1,0,IFERROR(LOOKUP(2,1/('Milho 2ª safra'!$E78:INDEX('Milho 2ª safra'!$E78:$Z78,MIN(AM$6-$E$3,22))&lt;&gt;""),'Milho 2ª safra'!$E78:INDEX('Milho 2ª safra'!$E78:$Z78,MIN(AM$6-$E$3,22))),0))-IF($G$2,0,IF((AM$6-$G$3)&lt;1,0,IFERROR(LOOKUP(2,1/('Milho 2ª safra'!$E78:INDEX('Milho 2ª safra'!$E78:$Z78,MIN(AM$6-$G$3,22))&lt;&gt;""),'Milho 2ª safra'!$E78:INDEX('Milho 2ª safra'!$E78:$Z78,MIN(AM$6-$G$3,22))),0)))))</f>
        <v>0</v>
      </c>
      <c r="AN80" s="27" t="n">
        <f aca="false">IF(COUNT('Milho 2ª safra'!$E78:$Z78)=0,0,MAX(0,IF((AN$6-$E$3)&lt;1,0,IFERROR(LOOKUP(2,1/('Milho 2ª safra'!$E78:INDEX('Milho 2ª safra'!$E78:$Z78,MIN(AN$6-$E$3,22))&lt;&gt;""),'Milho 2ª safra'!$E78:INDEX('Milho 2ª safra'!$E78:$Z78,MIN(AN$6-$E$3,22))),0))-IF($G$2,0,IF((AN$6-$G$3)&lt;1,0,IFERROR(LOOKUP(2,1/('Milho 2ª safra'!$E78:INDEX('Milho 2ª safra'!$E78:$Z78,MIN(AN$6-$G$3,22))&lt;&gt;""),'Milho 2ª safra'!$E78:INDEX('Milho 2ª safra'!$E78:$Z78,MIN(AN$6-$G$3,22))),0)))))</f>
        <v>0</v>
      </c>
      <c r="AO80" s="27" t="n">
        <f aca="false">IF(COUNT('Milho 2ª safra'!$E78:$Z78)=0,0,MAX(0,IF((AO$6-$E$3)&lt;1,0,IFERROR(LOOKUP(2,1/('Milho 2ª safra'!$E78:INDEX('Milho 2ª safra'!$E78:$Z78,MIN(AO$6-$E$3,22))&lt;&gt;""),'Milho 2ª safra'!$E78:INDEX('Milho 2ª safra'!$E78:$Z78,MIN(AO$6-$E$3,22))),0))-IF($G$2,0,IF((AO$6-$G$3)&lt;1,0,IFERROR(LOOKUP(2,1/('Milho 2ª safra'!$E78:INDEX('Milho 2ª safra'!$E78:$Z78,MIN(AO$6-$G$3,22))&lt;&gt;""),'Milho 2ª safra'!$E78:INDEX('Milho 2ª safra'!$E78:$Z78,MIN(AO$6-$G$3,22))),0)))))</f>
        <v>0</v>
      </c>
      <c r="AP80" s="27" t="n">
        <f aca="false">IF(COUNT('Milho 2ª safra'!$E78:$Z78)=0,0,MAX(0,IF((AP$6-$E$3)&lt;1,0,IFERROR(LOOKUP(2,1/('Milho 2ª safra'!$E78:INDEX('Milho 2ª safra'!$E78:$Z78,MIN(AP$6-$E$3,22))&lt;&gt;""),'Milho 2ª safra'!$E78:INDEX('Milho 2ª safra'!$E78:$Z78,MIN(AP$6-$E$3,22))),0))-IF($G$2,0,IF((AP$6-$G$3)&lt;1,0,IFERROR(LOOKUP(2,1/('Milho 2ª safra'!$E78:INDEX('Milho 2ª safra'!$E78:$Z78,MIN(AP$6-$G$3,22))&lt;&gt;""),'Milho 2ª safra'!$E78:INDEX('Milho 2ª safra'!$E78:$Z78,MIN(AP$6-$G$3,22))),0)))))</f>
        <v>0</v>
      </c>
      <c r="AQ80" s="27" t="n">
        <f aca="false">IF(COUNT('Milho 2ª safra'!$E78:$Z78)=0,0,MAX(0,IF((AQ$6-$E$3)&lt;1,0,IFERROR(LOOKUP(2,1/('Milho 2ª safra'!$E78:INDEX('Milho 2ª safra'!$E78:$Z78,MIN(AQ$6-$E$3,22))&lt;&gt;""),'Milho 2ª safra'!$E78:INDEX('Milho 2ª safra'!$E78:$Z78,MIN(AQ$6-$E$3,22))),0))-IF($G$2,0,IF((AQ$6-$G$3)&lt;1,0,IFERROR(LOOKUP(2,1/('Milho 2ª safra'!$E78:INDEX('Milho 2ª safra'!$E78:$Z78,MIN(AQ$6-$G$3,22))&lt;&gt;""),'Milho 2ª safra'!$E78:INDEX('Milho 2ª safra'!$E78:$Z78,MIN(AQ$6-$G$3,22))),0)))))</f>
        <v>0</v>
      </c>
      <c r="AR80" s="27" t="n">
        <f aca="false">IF(COUNT('Milho 2ª safra'!$E78:$Z78)=0,0,MAX(0,IF((AR$6-$E$3)&lt;1,0,IFERROR(LOOKUP(2,1/('Milho 2ª safra'!$E78:INDEX('Milho 2ª safra'!$E78:$Z78,MIN(AR$6-$E$3,22))&lt;&gt;""),'Milho 2ª safra'!$E78:INDEX('Milho 2ª safra'!$E78:$Z78,MIN(AR$6-$E$3,22))),0))-IF($G$2,0,IF((AR$6-$G$3)&lt;1,0,IFERROR(LOOKUP(2,1/('Milho 2ª safra'!$E78:INDEX('Milho 2ª safra'!$E78:$Z78,MIN(AR$6-$G$3,22))&lt;&gt;""),'Milho 2ª safra'!$E78:INDEX('Milho 2ª safra'!$E78:$Z78,MIN(AR$6-$G$3,22))),0)))))</f>
        <v>0</v>
      </c>
      <c r="AS80" s="27" t="n">
        <f aca="false">IF(COUNT('Milho 2ª safra'!$E78:$Z78)=0,0,MAX(0,IF((AS$6-$E$3)&lt;1,0,IFERROR(LOOKUP(2,1/('Milho 2ª safra'!$E78:INDEX('Milho 2ª safra'!$E78:$Z78,MIN(AS$6-$E$3,22))&lt;&gt;""),'Milho 2ª safra'!$E78:INDEX('Milho 2ª safra'!$E78:$Z78,MIN(AS$6-$E$3,22))),0))-IF($G$2,0,IF((AS$6-$G$3)&lt;1,0,IFERROR(LOOKUP(2,1/('Milho 2ª safra'!$E78:INDEX('Milho 2ª safra'!$E78:$Z78,MIN(AS$6-$G$3,22))&lt;&gt;""),'Milho 2ª safra'!$E78:INDEX('Milho 2ª safra'!$E78:$Z78,MIN(AS$6-$G$3,22))),0)))))</f>
        <v>0</v>
      </c>
      <c r="AT80" s="27" t="n">
        <f aca="false">IF(COUNT('Milho 2ª safra'!$E78:$Z78)=0,0,MAX(0,IF((AT$6-$E$3)&lt;1,0,IFERROR(LOOKUP(2,1/('Milho 2ª safra'!$E78:INDEX('Milho 2ª safra'!$E78:$Z78,MIN(AT$6-$E$3,22))&lt;&gt;""),'Milho 2ª safra'!$E78:INDEX('Milho 2ª safra'!$E78:$Z78,MIN(AT$6-$E$3,22))),0))-IF($G$2,0,IF((AT$6-$G$3)&lt;1,0,IFERROR(LOOKUP(2,1/('Milho 2ª safra'!$E78:INDEX('Milho 2ª safra'!$E78:$Z78,MIN(AT$6-$G$3,22))&lt;&gt;""),'Milho 2ª safra'!$E78:INDEX('Milho 2ª safra'!$E78:$Z78,MIN(AT$6-$G$3,22))),0)))))</f>
        <v>0</v>
      </c>
      <c r="AU80" s="27" t="n">
        <f aca="false">IF(COUNT('Milho 2ª safra'!$E78:$Z78)=0,0,MAX(0,IF((AU$6-$E$3)&lt;1,0,IFERROR(LOOKUP(2,1/('Milho 2ª safra'!$E78:INDEX('Milho 2ª safra'!$E78:$Z78,MIN(AU$6-$E$3,22))&lt;&gt;""),'Milho 2ª safra'!$E78:INDEX('Milho 2ª safra'!$E78:$Z78,MIN(AU$6-$E$3,22))),0))-IF($G$2,0,IF((AU$6-$G$3)&lt;1,0,IFERROR(LOOKUP(2,1/('Milho 2ª safra'!$E78:INDEX('Milho 2ª safra'!$E78:$Z78,MIN(AU$6-$G$3,22))&lt;&gt;""),'Milho 2ª safra'!$E78:INDEX('Milho 2ª safra'!$E78:$Z78,MIN(AU$6-$G$3,22))),0)))))</f>
        <v>0</v>
      </c>
      <c r="AV80" s="27" t="n">
        <f aca="false">IF(COUNT('Milho 2ª safra'!$E78:$Z78)=0,0,MAX(0,IF((AV$6-$E$3)&lt;1,0,IFERROR(LOOKUP(2,1/('Milho 2ª safra'!$E78:INDEX('Milho 2ª safra'!$E78:$Z78,MIN(AV$6-$E$3,22))&lt;&gt;""),'Milho 2ª safra'!$E78:INDEX('Milho 2ª safra'!$E78:$Z78,MIN(AV$6-$E$3,22))),0))-IF($G$2,0,IF((AV$6-$G$3)&lt;1,0,IFERROR(LOOKUP(2,1/('Milho 2ª safra'!$E78:INDEX('Milho 2ª safra'!$E78:$Z78,MIN(AV$6-$G$3,22))&lt;&gt;""),'Milho 2ª safra'!$E78:INDEX('Milho 2ª safra'!$E78:$Z78,MIN(AV$6-$G$3,22))),0)))))</f>
        <v>0</v>
      </c>
      <c r="AW80" s="27" t="n">
        <f aca="false">IF(COUNT('Milho 2ª safra'!$E78:$Z78)=0,0,MAX(0,IF((AW$6-$E$3)&lt;1,0,IFERROR(LOOKUP(2,1/('Milho 2ª safra'!$E78:INDEX('Milho 2ª safra'!$E78:$Z78,MIN(AW$6-$E$3,22))&lt;&gt;""),'Milho 2ª safra'!$E78:INDEX('Milho 2ª safra'!$E78:$Z78,MIN(AW$6-$E$3,22))),0))-IF($G$2,0,IF((AW$6-$G$3)&lt;1,0,IFERROR(LOOKUP(2,1/('Milho 2ª safra'!$E78:INDEX('Milho 2ª safra'!$E78:$Z78,MIN(AW$6-$G$3,22))&lt;&gt;""),'Milho 2ª safra'!$E78:INDEX('Milho 2ª safra'!$E78:$Z78,MIN(AW$6-$G$3,22))),0)))))</f>
        <v>0</v>
      </c>
      <c r="AX80" s="27" t="n">
        <f aca="false">IF(COUNT('Milho 2ª safra'!$E78:$Z78)=0,0,MAX(0,IF((AX$6-$E$3)&lt;1,0,IFERROR(LOOKUP(2,1/('Milho 2ª safra'!$E78:INDEX('Milho 2ª safra'!$E78:$Z78,MIN(AX$6-$E$3,22))&lt;&gt;""),'Milho 2ª safra'!$E78:INDEX('Milho 2ª safra'!$E78:$Z78,MIN(AX$6-$E$3,22))),0))-IF($G$2,0,IF((AX$6-$G$3)&lt;1,0,IFERROR(LOOKUP(2,1/('Milho 2ª safra'!$E78:INDEX('Milho 2ª safra'!$E78:$Z78,MIN(AX$6-$G$3,22))&lt;&gt;""),'Milho 2ª safra'!$E78:INDEX('Milho 2ª safra'!$E78:$Z78,MIN(AX$6-$G$3,22))),0)))))</f>
        <v>0</v>
      </c>
      <c r="AY80" s="27" t="n">
        <f aca="false">IF(COUNT('Milho 2ª safra'!$E78:$Z78)=0,0,MAX(0,IF((AY$6-$E$3)&lt;1,0,IFERROR(LOOKUP(2,1/('Milho 2ª safra'!$E78:INDEX('Milho 2ª safra'!$E78:$Z78,MIN(AY$6-$E$3,22))&lt;&gt;""),'Milho 2ª safra'!$E78:INDEX('Milho 2ª safra'!$E78:$Z78,MIN(AY$6-$E$3,22))),0))-IF($G$2,0,IF((AY$6-$G$3)&lt;1,0,IFERROR(LOOKUP(2,1/('Milho 2ª safra'!$E78:INDEX('Milho 2ª safra'!$E78:$Z78,MIN(AY$6-$G$3,22))&lt;&gt;""),'Milho 2ª safra'!$E78:INDEX('Milho 2ª safra'!$E78:$Z78,MIN(AY$6-$G$3,22))),0)))))</f>
        <v>0</v>
      </c>
      <c r="AZ80" s="27" t="n">
        <f aca="false">IF(COUNT('Milho 2ª safra'!$E78:$Z78)=0,0,MAX(0,IF((AZ$6-$E$3)&lt;1,0,IFERROR(LOOKUP(2,1/('Milho 2ª safra'!$E78:INDEX('Milho 2ª safra'!$E78:$Z78,MIN(AZ$6-$E$3,22))&lt;&gt;""),'Milho 2ª safra'!$E78:INDEX('Milho 2ª safra'!$E78:$Z78,MIN(AZ$6-$E$3,22))),0))-IF($G$2,0,IF((AZ$6-$G$3)&lt;1,0,IFERROR(LOOKUP(2,1/('Milho 2ª safra'!$E78:INDEX('Milho 2ª safra'!$E78:$Z78,MIN(AZ$6-$G$3,22))&lt;&gt;""),'Milho 2ª safra'!$E78:INDEX('Milho 2ª safra'!$E78:$Z78,MIN(AZ$6-$G$3,22))),0)))))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IF(COUNT('Milho 2ª safra'!$E79:$Z79)&gt;0,N('Milho 2ª safra'!$D79),0)</f>
        <v>0</v>
      </c>
      <c r="E81" s="27" t="n">
        <f aca="false">IF(COUNT('Milho 2ª safra'!$E79:$Z79)=0,0,MAX(0,IF((E$6-$E$3)&lt;1,0,IFERROR(LOOKUP(2,1/('Milho 2ª safra'!$E79:INDEX('Milho 2ª safra'!$E79:$Z79,MIN(E$6-$E$3,22))&lt;&gt;""),'Milho 2ª safra'!$E79:INDEX('Milho 2ª safra'!$E79:$Z79,MIN(E$6-$E$3,22))),0))-IF($G$2,0,IF((E$6-$G$3)&lt;1,0,IFERROR(LOOKUP(2,1/('Milho 2ª safra'!$E79:INDEX('Milho 2ª safra'!$E79:$Z79,MIN(E$6-$G$3,22))&lt;&gt;""),'Milho 2ª safra'!$E79:INDEX('Milho 2ª safra'!$E79:$Z79,MIN(E$6-$G$3,22))),0)))))</f>
        <v>0</v>
      </c>
      <c r="F81" s="27" t="n">
        <f aca="false">IF(COUNT('Milho 2ª safra'!$E79:$Z79)=0,0,MAX(0,IF((F$6-$E$3)&lt;1,0,IFERROR(LOOKUP(2,1/('Milho 2ª safra'!$E79:INDEX('Milho 2ª safra'!$E79:$Z79,MIN(F$6-$E$3,22))&lt;&gt;""),'Milho 2ª safra'!$E79:INDEX('Milho 2ª safra'!$E79:$Z79,MIN(F$6-$E$3,22))),0))-IF($G$2,0,IF((F$6-$G$3)&lt;1,0,IFERROR(LOOKUP(2,1/('Milho 2ª safra'!$E79:INDEX('Milho 2ª safra'!$E79:$Z79,MIN(F$6-$G$3,22))&lt;&gt;""),'Milho 2ª safra'!$E79:INDEX('Milho 2ª safra'!$E79:$Z79,MIN(F$6-$G$3,22))),0)))))</f>
        <v>0</v>
      </c>
      <c r="G81" s="27" t="n">
        <f aca="false">IF(COUNT('Milho 2ª safra'!$E79:$Z79)=0,0,MAX(0,IF((G$6-$E$3)&lt;1,0,IFERROR(LOOKUP(2,1/('Milho 2ª safra'!$E79:INDEX('Milho 2ª safra'!$E79:$Z79,MIN(G$6-$E$3,22))&lt;&gt;""),'Milho 2ª safra'!$E79:INDEX('Milho 2ª safra'!$E79:$Z79,MIN(G$6-$E$3,22))),0))-IF($G$2,0,IF((G$6-$G$3)&lt;1,0,IFERROR(LOOKUP(2,1/('Milho 2ª safra'!$E79:INDEX('Milho 2ª safra'!$E79:$Z79,MIN(G$6-$G$3,22))&lt;&gt;""),'Milho 2ª safra'!$E79:INDEX('Milho 2ª safra'!$E79:$Z79,MIN(G$6-$G$3,22))),0)))))</f>
        <v>0</v>
      </c>
      <c r="H81" s="27" t="n">
        <f aca="false">IF(COUNT('Milho 2ª safra'!$E79:$Z79)=0,0,MAX(0,IF((H$6-$E$3)&lt;1,0,IFERROR(LOOKUP(2,1/('Milho 2ª safra'!$E79:INDEX('Milho 2ª safra'!$E79:$Z79,MIN(H$6-$E$3,22))&lt;&gt;""),'Milho 2ª safra'!$E79:INDEX('Milho 2ª safra'!$E79:$Z79,MIN(H$6-$E$3,22))),0))-IF($G$2,0,IF((H$6-$G$3)&lt;1,0,IFERROR(LOOKUP(2,1/('Milho 2ª safra'!$E79:INDEX('Milho 2ª safra'!$E79:$Z79,MIN(H$6-$G$3,22))&lt;&gt;""),'Milho 2ª safra'!$E79:INDEX('Milho 2ª safra'!$E79:$Z79,MIN(H$6-$G$3,22))),0)))))</f>
        <v>0</v>
      </c>
      <c r="I81" s="27" t="n">
        <f aca="false">IF(COUNT('Milho 2ª safra'!$E79:$Z79)=0,0,MAX(0,IF((I$6-$E$3)&lt;1,0,IFERROR(LOOKUP(2,1/('Milho 2ª safra'!$E79:INDEX('Milho 2ª safra'!$E79:$Z79,MIN(I$6-$E$3,22))&lt;&gt;""),'Milho 2ª safra'!$E79:INDEX('Milho 2ª safra'!$E79:$Z79,MIN(I$6-$E$3,22))),0))-IF($G$2,0,IF((I$6-$G$3)&lt;1,0,IFERROR(LOOKUP(2,1/('Milho 2ª safra'!$E79:INDEX('Milho 2ª safra'!$E79:$Z79,MIN(I$6-$G$3,22))&lt;&gt;""),'Milho 2ª safra'!$E79:INDEX('Milho 2ª safra'!$E79:$Z79,MIN(I$6-$G$3,22))),0)))))</f>
        <v>0</v>
      </c>
      <c r="J81" s="27" t="n">
        <f aca="false">IF(COUNT('Milho 2ª safra'!$E79:$Z79)=0,0,MAX(0,IF((J$6-$E$3)&lt;1,0,IFERROR(LOOKUP(2,1/('Milho 2ª safra'!$E79:INDEX('Milho 2ª safra'!$E79:$Z79,MIN(J$6-$E$3,22))&lt;&gt;""),'Milho 2ª safra'!$E79:INDEX('Milho 2ª safra'!$E79:$Z79,MIN(J$6-$E$3,22))),0))-IF($G$2,0,IF((J$6-$G$3)&lt;1,0,IFERROR(LOOKUP(2,1/('Milho 2ª safra'!$E79:INDEX('Milho 2ª safra'!$E79:$Z79,MIN(J$6-$G$3,22))&lt;&gt;""),'Milho 2ª safra'!$E79:INDEX('Milho 2ª safra'!$E79:$Z79,MIN(J$6-$G$3,22))),0)))))</f>
        <v>0</v>
      </c>
      <c r="K81" s="27" t="n">
        <f aca="false">IF(COUNT('Milho 2ª safra'!$E79:$Z79)=0,0,MAX(0,IF((K$6-$E$3)&lt;1,0,IFERROR(LOOKUP(2,1/('Milho 2ª safra'!$E79:INDEX('Milho 2ª safra'!$E79:$Z79,MIN(K$6-$E$3,22))&lt;&gt;""),'Milho 2ª safra'!$E79:INDEX('Milho 2ª safra'!$E79:$Z79,MIN(K$6-$E$3,22))),0))-IF($G$2,0,IF((K$6-$G$3)&lt;1,0,IFERROR(LOOKUP(2,1/('Milho 2ª safra'!$E79:INDEX('Milho 2ª safra'!$E79:$Z79,MIN(K$6-$G$3,22))&lt;&gt;""),'Milho 2ª safra'!$E79:INDEX('Milho 2ª safra'!$E79:$Z79,MIN(K$6-$G$3,22))),0)))))</f>
        <v>0</v>
      </c>
      <c r="L81" s="27" t="n">
        <f aca="false">IF(COUNT('Milho 2ª safra'!$E79:$Z79)=0,0,MAX(0,IF((L$6-$E$3)&lt;1,0,IFERROR(LOOKUP(2,1/('Milho 2ª safra'!$E79:INDEX('Milho 2ª safra'!$E79:$Z79,MIN(L$6-$E$3,22))&lt;&gt;""),'Milho 2ª safra'!$E79:INDEX('Milho 2ª safra'!$E79:$Z79,MIN(L$6-$E$3,22))),0))-IF($G$2,0,IF((L$6-$G$3)&lt;1,0,IFERROR(LOOKUP(2,1/('Milho 2ª safra'!$E79:INDEX('Milho 2ª safra'!$E79:$Z79,MIN(L$6-$G$3,22))&lt;&gt;""),'Milho 2ª safra'!$E79:INDEX('Milho 2ª safra'!$E79:$Z79,MIN(L$6-$G$3,22))),0)))))</f>
        <v>0</v>
      </c>
      <c r="M81" s="27" t="n">
        <f aca="false">IF(COUNT('Milho 2ª safra'!$E79:$Z79)=0,0,MAX(0,IF((M$6-$E$3)&lt;1,0,IFERROR(LOOKUP(2,1/('Milho 2ª safra'!$E79:INDEX('Milho 2ª safra'!$E79:$Z79,MIN(M$6-$E$3,22))&lt;&gt;""),'Milho 2ª safra'!$E79:INDEX('Milho 2ª safra'!$E79:$Z79,MIN(M$6-$E$3,22))),0))-IF($G$2,0,IF((M$6-$G$3)&lt;1,0,IFERROR(LOOKUP(2,1/('Milho 2ª safra'!$E79:INDEX('Milho 2ª safra'!$E79:$Z79,MIN(M$6-$G$3,22))&lt;&gt;""),'Milho 2ª safra'!$E79:INDEX('Milho 2ª safra'!$E79:$Z79,MIN(M$6-$G$3,22))),0)))))</f>
        <v>0</v>
      </c>
      <c r="N81" s="27" t="n">
        <f aca="false">IF(COUNT('Milho 2ª safra'!$E79:$Z79)=0,0,MAX(0,IF((N$6-$E$3)&lt;1,0,IFERROR(LOOKUP(2,1/('Milho 2ª safra'!$E79:INDEX('Milho 2ª safra'!$E79:$Z79,MIN(N$6-$E$3,22))&lt;&gt;""),'Milho 2ª safra'!$E79:INDEX('Milho 2ª safra'!$E79:$Z79,MIN(N$6-$E$3,22))),0))-IF($G$2,0,IF((N$6-$G$3)&lt;1,0,IFERROR(LOOKUP(2,1/('Milho 2ª safra'!$E79:INDEX('Milho 2ª safra'!$E79:$Z79,MIN(N$6-$G$3,22))&lt;&gt;""),'Milho 2ª safra'!$E79:INDEX('Milho 2ª safra'!$E79:$Z79,MIN(N$6-$G$3,22))),0)))))</f>
        <v>0</v>
      </c>
      <c r="O81" s="27" t="n">
        <f aca="false">IF(COUNT('Milho 2ª safra'!$E79:$Z79)=0,0,MAX(0,IF((O$6-$E$3)&lt;1,0,IFERROR(LOOKUP(2,1/('Milho 2ª safra'!$E79:INDEX('Milho 2ª safra'!$E79:$Z79,MIN(O$6-$E$3,22))&lt;&gt;""),'Milho 2ª safra'!$E79:INDEX('Milho 2ª safra'!$E79:$Z79,MIN(O$6-$E$3,22))),0))-IF($G$2,0,IF((O$6-$G$3)&lt;1,0,IFERROR(LOOKUP(2,1/('Milho 2ª safra'!$E79:INDEX('Milho 2ª safra'!$E79:$Z79,MIN(O$6-$G$3,22))&lt;&gt;""),'Milho 2ª safra'!$E79:INDEX('Milho 2ª safra'!$E79:$Z79,MIN(O$6-$G$3,22))),0)))))</f>
        <v>0</v>
      </c>
      <c r="P81" s="27" t="n">
        <f aca="false">IF(COUNT('Milho 2ª safra'!$E79:$Z79)=0,0,MAX(0,IF((P$6-$E$3)&lt;1,0,IFERROR(LOOKUP(2,1/('Milho 2ª safra'!$E79:INDEX('Milho 2ª safra'!$E79:$Z79,MIN(P$6-$E$3,22))&lt;&gt;""),'Milho 2ª safra'!$E79:INDEX('Milho 2ª safra'!$E79:$Z79,MIN(P$6-$E$3,22))),0))-IF($G$2,0,IF((P$6-$G$3)&lt;1,0,IFERROR(LOOKUP(2,1/('Milho 2ª safra'!$E79:INDEX('Milho 2ª safra'!$E79:$Z79,MIN(P$6-$G$3,22))&lt;&gt;""),'Milho 2ª safra'!$E79:INDEX('Milho 2ª safra'!$E79:$Z79,MIN(P$6-$G$3,22))),0)))))</f>
        <v>0</v>
      </c>
      <c r="Q81" s="27" t="n">
        <f aca="false">IF(COUNT('Milho 2ª safra'!$E79:$Z79)=0,0,MAX(0,IF((Q$6-$E$3)&lt;1,0,IFERROR(LOOKUP(2,1/('Milho 2ª safra'!$E79:INDEX('Milho 2ª safra'!$E79:$Z79,MIN(Q$6-$E$3,22))&lt;&gt;""),'Milho 2ª safra'!$E79:INDEX('Milho 2ª safra'!$E79:$Z79,MIN(Q$6-$E$3,22))),0))-IF($G$2,0,IF((Q$6-$G$3)&lt;1,0,IFERROR(LOOKUP(2,1/('Milho 2ª safra'!$E79:INDEX('Milho 2ª safra'!$E79:$Z79,MIN(Q$6-$G$3,22))&lt;&gt;""),'Milho 2ª safra'!$E79:INDEX('Milho 2ª safra'!$E79:$Z79,MIN(Q$6-$G$3,22))),0)))))</f>
        <v>0</v>
      </c>
      <c r="R81" s="27" t="n">
        <f aca="false">IF(COUNT('Milho 2ª safra'!$E79:$Z79)=0,0,MAX(0,IF((R$6-$E$3)&lt;1,0,IFERROR(LOOKUP(2,1/('Milho 2ª safra'!$E79:INDEX('Milho 2ª safra'!$E79:$Z79,MIN(R$6-$E$3,22))&lt;&gt;""),'Milho 2ª safra'!$E79:INDEX('Milho 2ª safra'!$E79:$Z79,MIN(R$6-$E$3,22))),0))-IF($G$2,0,IF((R$6-$G$3)&lt;1,0,IFERROR(LOOKUP(2,1/('Milho 2ª safra'!$E79:INDEX('Milho 2ª safra'!$E79:$Z79,MIN(R$6-$G$3,22))&lt;&gt;""),'Milho 2ª safra'!$E79:INDEX('Milho 2ª safra'!$E79:$Z79,MIN(R$6-$G$3,22))),0)))))</f>
        <v>0</v>
      </c>
      <c r="S81" s="27" t="n">
        <f aca="false">IF(COUNT('Milho 2ª safra'!$E79:$Z79)=0,0,MAX(0,IF((S$6-$E$3)&lt;1,0,IFERROR(LOOKUP(2,1/('Milho 2ª safra'!$E79:INDEX('Milho 2ª safra'!$E79:$Z79,MIN(S$6-$E$3,22))&lt;&gt;""),'Milho 2ª safra'!$E79:INDEX('Milho 2ª safra'!$E79:$Z79,MIN(S$6-$E$3,22))),0))-IF($G$2,0,IF((S$6-$G$3)&lt;1,0,IFERROR(LOOKUP(2,1/('Milho 2ª safra'!$E79:INDEX('Milho 2ª safra'!$E79:$Z79,MIN(S$6-$G$3,22))&lt;&gt;""),'Milho 2ª safra'!$E79:INDEX('Milho 2ª safra'!$E79:$Z79,MIN(S$6-$G$3,22))),0)))))</f>
        <v>0</v>
      </c>
      <c r="T81" s="27" t="n">
        <f aca="false">IF(COUNT('Milho 2ª safra'!$E79:$Z79)=0,0,MAX(0,IF((T$6-$E$3)&lt;1,0,IFERROR(LOOKUP(2,1/('Milho 2ª safra'!$E79:INDEX('Milho 2ª safra'!$E79:$Z79,MIN(T$6-$E$3,22))&lt;&gt;""),'Milho 2ª safra'!$E79:INDEX('Milho 2ª safra'!$E79:$Z79,MIN(T$6-$E$3,22))),0))-IF($G$2,0,IF((T$6-$G$3)&lt;1,0,IFERROR(LOOKUP(2,1/('Milho 2ª safra'!$E79:INDEX('Milho 2ª safra'!$E79:$Z79,MIN(T$6-$G$3,22))&lt;&gt;""),'Milho 2ª safra'!$E79:INDEX('Milho 2ª safra'!$E79:$Z79,MIN(T$6-$G$3,22))),0)))))</f>
        <v>0</v>
      </c>
      <c r="U81" s="27" t="n">
        <f aca="false">IF(COUNT('Milho 2ª safra'!$E79:$Z79)=0,0,MAX(0,IF((U$6-$E$3)&lt;1,0,IFERROR(LOOKUP(2,1/('Milho 2ª safra'!$E79:INDEX('Milho 2ª safra'!$E79:$Z79,MIN(U$6-$E$3,22))&lt;&gt;""),'Milho 2ª safra'!$E79:INDEX('Milho 2ª safra'!$E79:$Z79,MIN(U$6-$E$3,22))),0))-IF($G$2,0,IF((U$6-$G$3)&lt;1,0,IFERROR(LOOKUP(2,1/('Milho 2ª safra'!$E79:INDEX('Milho 2ª safra'!$E79:$Z79,MIN(U$6-$G$3,22))&lt;&gt;""),'Milho 2ª safra'!$E79:INDEX('Milho 2ª safra'!$E79:$Z79,MIN(U$6-$G$3,22))),0)))))</f>
        <v>0</v>
      </c>
      <c r="V81" s="27" t="n">
        <f aca="false">IF(COUNT('Milho 2ª safra'!$E79:$Z79)=0,0,MAX(0,IF((V$6-$E$3)&lt;1,0,IFERROR(LOOKUP(2,1/('Milho 2ª safra'!$E79:INDEX('Milho 2ª safra'!$E79:$Z79,MIN(V$6-$E$3,22))&lt;&gt;""),'Milho 2ª safra'!$E79:INDEX('Milho 2ª safra'!$E79:$Z79,MIN(V$6-$E$3,22))),0))-IF($G$2,0,IF((V$6-$G$3)&lt;1,0,IFERROR(LOOKUP(2,1/('Milho 2ª safra'!$E79:INDEX('Milho 2ª safra'!$E79:$Z79,MIN(V$6-$G$3,22))&lt;&gt;""),'Milho 2ª safra'!$E79:INDEX('Milho 2ª safra'!$E79:$Z79,MIN(V$6-$G$3,22))),0)))))</f>
        <v>0</v>
      </c>
      <c r="W81" s="27" t="n">
        <f aca="false">IF(COUNT('Milho 2ª safra'!$E79:$Z79)=0,0,MAX(0,IF((W$6-$E$3)&lt;1,0,IFERROR(LOOKUP(2,1/('Milho 2ª safra'!$E79:INDEX('Milho 2ª safra'!$E79:$Z79,MIN(W$6-$E$3,22))&lt;&gt;""),'Milho 2ª safra'!$E79:INDEX('Milho 2ª safra'!$E79:$Z79,MIN(W$6-$E$3,22))),0))-IF($G$2,0,IF((W$6-$G$3)&lt;1,0,IFERROR(LOOKUP(2,1/('Milho 2ª safra'!$E79:INDEX('Milho 2ª safra'!$E79:$Z79,MIN(W$6-$G$3,22))&lt;&gt;""),'Milho 2ª safra'!$E79:INDEX('Milho 2ª safra'!$E79:$Z79,MIN(W$6-$G$3,22))),0)))))</f>
        <v>0</v>
      </c>
      <c r="X81" s="27" t="n">
        <f aca="false">IF(COUNT('Milho 2ª safra'!$E79:$Z79)=0,0,MAX(0,IF((X$6-$E$3)&lt;1,0,IFERROR(LOOKUP(2,1/('Milho 2ª safra'!$E79:INDEX('Milho 2ª safra'!$E79:$Z79,MIN(X$6-$E$3,22))&lt;&gt;""),'Milho 2ª safra'!$E79:INDEX('Milho 2ª safra'!$E79:$Z79,MIN(X$6-$E$3,22))),0))-IF($G$2,0,IF((X$6-$G$3)&lt;1,0,IFERROR(LOOKUP(2,1/('Milho 2ª safra'!$E79:INDEX('Milho 2ª safra'!$E79:$Z79,MIN(X$6-$G$3,22))&lt;&gt;""),'Milho 2ª safra'!$E79:INDEX('Milho 2ª safra'!$E79:$Z79,MIN(X$6-$G$3,22))),0)))))</f>
        <v>0</v>
      </c>
      <c r="Y81" s="27" t="n">
        <f aca="false">IF(COUNT('Milho 2ª safra'!$E79:$Z79)=0,0,MAX(0,IF((Y$6-$E$3)&lt;1,0,IFERROR(LOOKUP(2,1/('Milho 2ª safra'!$E79:INDEX('Milho 2ª safra'!$E79:$Z79,MIN(Y$6-$E$3,22))&lt;&gt;""),'Milho 2ª safra'!$E79:INDEX('Milho 2ª safra'!$E79:$Z79,MIN(Y$6-$E$3,22))),0))-IF($G$2,0,IF((Y$6-$G$3)&lt;1,0,IFERROR(LOOKUP(2,1/('Milho 2ª safra'!$E79:INDEX('Milho 2ª safra'!$E79:$Z79,MIN(Y$6-$G$3,22))&lt;&gt;""),'Milho 2ª safra'!$E79:INDEX('Milho 2ª safra'!$E79:$Z79,MIN(Y$6-$G$3,22))),0)))))</f>
        <v>0</v>
      </c>
      <c r="Z81" s="27" t="n">
        <f aca="false">IF(COUNT('Milho 2ª safra'!$E79:$Z79)=0,0,MAX(0,IF((Z$6-$E$3)&lt;1,0,IFERROR(LOOKUP(2,1/('Milho 2ª safra'!$E79:INDEX('Milho 2ª safra'!$E79:$Z79,MIN(Z$6-$E$3,22))&lt;&gt;""),'Milho 2ª safra'!$E79:INDEX('Milho 2ª safra'!$E79:$Z79,MIN(Z$6-$E$3,22))),0))-IF($G$2,0,IF((Z$6-$G$3)&lt;1,0,IFERROR(LOOKUP(2,1/('Milho 2ª safra'!$E79:INDEX('Milho 2ª safra'!$E79:$Z79,MIN(Z$6-$G$3,22))&lt;&gt;""),'Milho 2ª safra'!$E79:INDEX('Milho 2ª safra'!$E79:$Z79,MIN(Z$6-$G$3,22))),0)))))</f>
        <v>0</v>
      </c>
      <c r="AA81" s="27" t="n">
        <f aca="false">IF(COUNT('Milho 2ª safra'!$E79:$Z79)=0,0,MAX(0,IF((AA$6-$E$3)&lt;1,0,IFERROR(LOOKUP(2,1/('Milho 2ª safra'!$E79:INDEX('Milho 2ª safra'!$E79:$Z79,MIN(AA$6-$E$3,22))&lt;&gt;""),'Milho 2ª safra'!$E79:INDEX('Milho 2ª safra'!$E79:$Z79,MIN(AA$6-$E$3,22))),0))-IF($G$2,0,IF((AA$6-$G$3)&lt;1,0,IFERROR(LOOKUP(2,1/('Milho 2ª safra'!$E79:INDEX('Milho 2ª safra'!$E79:$Z79,MIN(AA$6-$G$3,22))&lt;&gt;""),'Milho 2ª safra'!$E79:INDEX('Milho 2ª safra'!$E79:$Z79,MIN(AA$6-$G$3,22))),0)))))</f>
        <v>0</v>
      </c>
      <c r="AB81" s="27" t="n">
        <f aca="false">IF(COUNT('Milho 2ª safra'!$E79:$Z79)=0,0,MAX(0,IF((AB$6-$E$3)&lt;1,0,IFERROR(LOOKUP(2,1/('Milho 2ª safra'!$E79:INDEX('Milho 2ª safra'!$E79:$Z79,MIN(AB$6-$E$3,22))&lt;&gt;""),'Milho 2ª safra'!$E79:INDEX('Milho 2ª safra'!$E79:$Z79,MIN(AB$6-$E$3,22))),0))-IF($G$2,0,IF((AB$6-$G$3)&lt;1,0,IFERROR(LOOKUP(2,1/('Milho 2ª safra'!$E79:INDEX('Milho 2ª safra'!$E79:$Z79,MIN(AB$6-$G$3,22))&lt;&gt;""),'Milho 2ª safra'!$E79:INDEX('Milho 2ª safra'!$E79:$Z79,MIN(AB$6-$G$3,22))),0)))))</f>
        <v>0</v>
      </c>
      <c r="AC81" s="27" t="n">
        <f aca="false">IF(COUNT('Milho 2ª safra'!$E79:$Z79)=0,0,MAX(0,IF((AC$6-$E$3)&lt;1,0,IFERROR(LOOKUP(2,1/('Milho 2ª safra'!$E79:INDEX('Milho 2ª safra'!$E79:$Z79,MIN(AC$6-$E$3,22))&lt;&gt;""),'Milho 2ª safra'!$E79:INDEX('Milho 2ª safra'!$E79:$Z79,MIN(AC$6-$E$3,22))),0))-IF($G$2,0,IF((AC$6-$G$3)&lt;1,0,IFERROR(LOOKUP(2,1/('Milho 2ª safra'!$E79:INDEX('Milho 2ª safra'!$E79:$Z79,MIN(AC$6-$G$3,22))&lt;&gt;""),'Milho 2ª safra'!$E79:INDEX('Milho 2ª safra'!$E79:$Z79,MIN(AC$6-$G$3,22))),0)))))</f>
        <v>0</v>
      </c>
      <c r="AD81" s="27" t="n">
        <f aca="false">IF(COUNT('Milho 2ª safra'!$E79:$Z79)=0,0,MAX(0,IF((AD$6-$E$3)&lt;1,0,IFERROR(LOOKUP(2,1/('Milho 2ª safra'!$E79:INDEX('Milho 2ª safra'!$E79:$Z79,MIN(AD$6-$E$3,22))&lt;&gt;""),'Milho 2ª safra'!$E79:INDEX('Milho 2ª safra'!$E79:$Z79,MIN(AD$6-$E$3,22))),0))-IF($G$2,0,IF((AD$6-$G$3)&lt;1,0,IFERROR(LOOKUP(2,1/('Milho 2ª safra'!$E79:INDEX('Milho 2ª safra'!$E79:$Z79,MIN(AD$6-$G$3,22))&lt;&gt;""),'Milho 2ª safra'!$E79:INDEX('Milho 2ª safra'!$E79:$Z79,MIN(AD$6-$G$3,22))),0)))))</f>
        <v>0</v>
      </c>
      <c r="AE81" s="27" t="n">
        <f aca="false">IF(COUNT('Milho 2ª safra'!$E79:$Z79)=0,0,MAX(0,IF((AE$6-$E$3)&lt;1,0,IFERROR(LOOKUP(2,1/('Milho 2ª safra'!$E79:INDEX('Milho 2ª safra'!$E79:$Z79,MIN(AE$6-$E$3,22))&lt;&gt;""),'Milho 2ª safra'!$E79:INDEX('Milho 2ª safra'!$E79:$Z79,MIN(AE$6-$E$3,22))),0))-IF($G$2,0,IF((AE$6-$G$3)&lt;1,0,IFERROR(LOOKUP(2,1/('Milho 2ª safra'!$E79:INDEX('Milho 2ª safra'!$E79:$Z79,MIN(AE$6-$G$3,22))&lt;&gt;""),'Milho 2ª safra'!$E79:INDEX('Milho 2ª safra'!$E79:$Z79,MIN(AE$6-$G$3,22))),0)))))</f>
        <v>0</v>
      </c>
      <c r="AF81" s="27" t="n">
        <f aca="false">IF(COUNT('Milho 2ª safra'!$E79:$Z79)=0,0,MAX(0,IF((AF$6-$E$3)&lt;1,0,IFERROR(LOOKUP(2,1/('Milho 2ª safra'!$E79:INDEX('Milho 2ª safra'!$E79:$Z79,MIN(AF$6-$E$3,22))&lt;&gt;""),'Milho 2ª safra'!$E79:INDEX('Milho 2ª safra'!$E79:$Z79,MIN(AF$6-$E$3,22))),0))-IF($G$2,0,IF((AF$6-$G$3)&lt;1,0,IFERROR(LOOKUP(2,1/('Milho 2ª safra'!$E79:INDEX('Milho 2ª safra'!$E79:$Z79,MIN(AF$6-$G$3,22))&lt;&gt;""),'Milho 2ª safra'!$E79:INDEX('Milho 2ª safra'!$E79:$Z79,MIN(AF$6-$G$3,22))),0)))))</f>
        <v>0</v>
      </c>
      <c r="AG81" s="27" t="n">
        <f aca="false">IF(COUNT('Milho 2ª safra'!$E79:$Z79)=0,0,MAX(0,IF((AG$6-$E$3)&lt;1,0,IFERROR(LOOKUP(2,1/('Milho 2ª safra'!$E79:INDEX('Milho 2ª safra'!$E79:$Z79,MIN(AG$6-$E$3,22))&lt;&gt;""),'Milho 2ª safra'!$E79:INDEX('Milho 2ª safra'!$E79:$Z79,MIN(AG$6-$E$3,22))),0))-IF($G$2,0,IF((AG$6-$G$3)&lt;1,0,IFERROR(LOOKUP(2,1/('Milho 2ª safra'!$E79:INDEX('Milho 2ª safra'!$E79:$Z79,MIN(AG$6-$G$3,22))&lt;&gt;""),'Milho 2ª safra'!$E79:INDEX('Milho 2ª safra'!$E79:$Z79,MIN(AG$6-$G$3,22))),0)))))</f>
        <v>0</v>
      </c>
      <c r="AH81" s="27" t="n">
        <f aca="false">IF(COUNT('Milho 2ª safra'!$E79:$Z79)=0,0,MAX(0,IF((AH$6-$E$3)&lt;1,0,IFERROR(LOOKUP(2,1/('Milho 2ª safra'!$E79:INDEX('Milho 2ª safra'!$E79:$Z79,MIN(AH$6-$E$3,22))&lt;&gt;""),'Milho 2ª safra'!$E79:INDEX('Milho 2ª safra'!$E79:$Z79,MIN(AH$6-$E$3,22))),0))-IF($G$2,0,IF((AH$6-$G$3)&lt;1,0,IFERROR(LOOKUP(2,1/('Milho 2ª safra'!$E79:INDEX('Milho 2ª safra'!$E79:$Z79,MIN(AH$6-$G$3,22))&lt;&gt;""),'Milho 2ª safra'!$E79:INDEX('Milho 2ª safra'!$E79:$Z79,MIN(AH$6-$G$3,22))),0)))))</f>
        <v>0</v>
      </c>
      <c r="AI81" s="27" t="n">
        <f aca="false">IF(COUNT('Milho 2ª safra'!$E79:$Z79)=0,0,MAX(0,IF((AI$6-$E$3)&lt;1,0,IFERROR(LOOKUP(2,1/('Milho 2ª safra'!$E79:INDEX('Milho 2ª safra'!$E79:$Z79,MIN(AI$6-$E$3,22))&lt;&gt;""),'Milho 2ª safra'!$E79:INDEX('Milho 2ª safra'!$E79:$Z79,MIN(AI$6-$E$3,22))),0))-IF($G$2,0,IF((AI$6-$G$3)&lt;1,0,IFERROR(LOOKUP(2,1/('Milho 2ª safra'!$E79:INDEX('Milho 2ª safra'!$E79:$Z79,MIN(AI$6-$G$3,22))&lt;&gt;""),'Milho 2ª safra'!$E79:INDEX('Milho 2ª safra'!$E79:$Z79,MIN(AI$6-$G$3,22))),0)))))</f>
        <v>0</v>
      </c>
      <c r="AJ81" s="27" t="n">
        <f aca="false">IF(COUNT('Milho 2ª safra'!$E79:$Z79)=0,0,MAX(0,IF((AJ$6-$E$3)&lt;1,0,IFERROR(LOOKUP(2,1/('Milho 2ª safra'!$E79:INDEX('Milho 2ª safra'!$E79:$Z79,MIN(AJ$6-$E$3,22))&lt;&gt;""),'Milho 2ª safra'!$E79:INDEX('Milho 2ª safra'!$E79:$Z79,MIN(AJ$6-$E$3,22))),0))-IF($G$2,0,IF((AJ$6-$G$3)&lt;1,0,IFERROR(LOOKUP(2,1/('Milho 2ª safra'!$E79:INDEX('Milho 2ª safra'!$E79:$Z79,MIN(AJ$6-$G$3,22))&lt;&gt;""),'Milho 2ª safra'!$E79:INDEX('Milho 2ª safra'!$E79:$Z79,MIN(AJ$6-$G$3,22))),0)))))</f>
        <v>0</v>
      </c>
      <c r="AK81" s="27" t="n">
        <f aca="false">IF(COUNT('Milho 2ª safra'!$E79:$Z79)=0,0,MAX(0,IF((AK$6-$E$3)&lt;1,0,IFERROR(LOOKUP(2,1/('Milho 2ª safra'!$E79:INDEX('Milho 2ª safra'!$E79:$Z79,MIN(AK$6-$E$3,22))&lt;&gt;""),'Milho 2ª safra'!$E79:INDEX('Milho 2ª safra'!$E79:$Z79,MIN(AK$6-$E$3,22))),0))-IF($G$2,0,IF((AK$6-$G$3)&lt;1,0,IFERROR(LOOKUP(2,1/('Milho 2ª safra'!$E79:INDEX('Milho 2ª safra'!$E79:$Z79,MIN(AK$6-$G$3,22))&lt;&gt;""),'Milho 2ª safra'!$E79:INDEX('Milho 2ª safra'!$E79:$Z79,MIN(AK$6-$G$3,22))),0)))))</f>
        <v>0</v>
      </c>
      <c r="AL81" s="27" t="n">
        <f aca="false">IF(COUNT('Milho 2ª safra'!$E79:$Z79)=0,0,MAX(0,IF((AL$6-$E$3)&lt;1,0,IFERROR(LOOKUP(2,1/('Milho 2ª safra'!$E79:INDEX('Milho 2ª safra'!$E79:$Z79,MIN(AL$6-$E$3,22))&lt;&gt;""),'Milho 2ª safra'!$E79:INDEX('Milho 2ª safra'!$E79:$Z79,MIN(AL$6-$E$3,22))),0))-IF($G$2,0,IF((AL$6-$G$3)&lt;1,0,IFERROR(LOOKUP(2,1/('Milho 2ª safra'!$E79:INDEX('Milho 2ª safra'!$E79:$Z79,MIN(AL$6-$G$3,22))&lt;&gt;""),'Milho 2ª safra'!$E79:INDEX('Milho 2ª safra'!$E79:$Z79,MIN(AL$6-$G$3,22))),0)))))</f>
        <v>0</v>
      </c>
      <c r="AM81" s="27" t="n">
        <f aca="false">IF(COUNT('Milho 2ª safra'!$E79:$Z79)=0,0,MAX(0,IF((AM$6-$E$3)&lt;1,0,IFERROR(LOOKUP(2,1/('Milho 2ª safra'!$E79:INDEX('Milho 2ª safra'!$E79:$Z79,MIN(AM$6-$E$3,22))&lt;&gt;""),'Milho 2ª safra'!$E79:INDEX('Milho 2ª safra'!$E79:$Z79,MIN(AM$6-$E$3,22))),0))-IF($G$2,0,IF((AM$6-$G$3)&lt;1,0,IFERROR(LOOKUP(2,1/('Milho 2ª safra'!$E79:INDEX('Milho 2ª safra'!$E79:$Z79,MIN(AM$6-$G$3,22))&lt;&gt;""),'Milho 2ª safra'!$E79:INDEX('Milho 2ª safra'!$E79:$Z79,MIN(AM$6-$G$3,22))),0)))))</f>
        <v>0</v>
      </c>
      <c r="AN81" s="27" t="n">
        <f aca="false">IF(COUNT('Milho 2ª safra'!$E79:$Z79)=0,0,MAX(0,IF((AN$6-$E$3)&lt;1,0,IFERROR(LOOKUP(2,1/('Milho 2ª safra'!$E79:INDEX('Milho 2ª safra'!$E79:$Z79,MIN(AN$6-$E$3,22))&lt;&gt;""),'Milho 2ª safra'!$E79:INDEX('Milho 2ª safra'!$E79:$Z79,MIN(AN$6-$E$3,22))),0))-IF($G$2,0,IF((AN$6-$G$3)&lt;1,0,IFERROR(LOOKUP(2,1/('Milho 2ª safra'!$E79:INDEX('Milho 2ª safra'!$E79:$Z79,MIN(AN$6-$G$3,22))&lt;&gt;""),'Milho 2ª safra'!$E79:INDEX('Milho 2ª safra'!$E79:$Z79,MIN(AN$6-$G$3,22))),0)))))</f>
        <v>0</v>
      </c>
      <c r="AO81" s="27" t="n">
        <f aca="false">IF(COUNT('Milho 2ª safra'!$E79:$Z79)=0,0,MAX(0,IF((AO$6-$E$3)&lt;1,0,IFERROR(LOOKUP(2,1/('Milho 2ª safra'!$E79:INDEX('Milho 2ª safra'!$E79:$Z79,MIN(AO$6-$E$3,22))&lt;&gt;""),'Milho 2ª safra'!$E79:INDEX('Milho 2ª safra'!$E79:$Z79,MIN(AO$6-$E$3,22))),0))-IF($G$2,0,IF((AO$6-$G$3)&lt;1,0,IFERROR(LOOKUP(2,1/('Milho 2ª safra'!$E79:INDEX('Milho 2ª safra'!$E79:$Z79,MIN(AO$6-$G$3,22))&lt;&gt;""),'Milho 2ª safra'!$E79:INDEX('Milho 2ª safra'!$E79:$Z79,MIN(AO$6-$G$3,22))),0)))))</f>
        <v>0</v>
      </c>
      <c r="AP81" s="27" t="n">
        <f aca="false">IF(COUNT('Milho 2ª safra'!$E79:$Z79)=0,0,MAX(0,IF((AP$6-$E$3)&lt;1,0,IFERROR(LOOKUP(2,1/('Milho 2ª safra'!$E79:INDEX('Milho 2ª safra'!$E79:$Z79,MIN(AP$6-$E$3,22))&lt;&gt;""),'Milho 2ª safra'!$E79:INDEX('Milho 2ª safra'!$E79:$Z79,MIN(AP$6-$E$3,22))),0))-IF($G$2,0,IF((AP$6-$G$3)&lt;1,0,IFERROR(LOOKUP(2,1/('Milho 2ª safra'!$E79:INDEX('Milho 2ª safra'!$E79:$Z79,MIN(AP$6-$G$3,22))&lt;&gt;""),'Milho 2ª safra'!$E79:INDEX('Milho 2ª safra'!$E79:$Z79,MIN(AP$6-$G$3,22))),0)))))</f>
        <v>0</v>
      </c>
      <c r="AQ81" s="27" t="n">
        <f aca="false">IF(COUNT('Milho 2ª safra'!$E79:$Z79)=0,0,MAX(0,IF((AQ$6-$E$3)&lt;1,0,IFERROR(LOOKUP(2,1/('Milho 2ª safra'!$E79:INDEX('Milho 2ª safra'!$E79:$Z79,MIN(AQ$6-$E$3,22))&lt;&gt;""),'Milho 2ª safra'!$E79:INDEX('Milho 2ª safra'!$E79:$Z79,MIN(AQ$6-$E$3,22))),0))-IF($G$2,0,IF((AQ$6-$G$3)&lt;1,0,IFERROR(LOOKUP(2,1/('Milho 2ª safra'!$E79:INDEX('Milho 2ª safra'!$E79:$Z79,MIN(AQ$6-$G$3,22))&lt;&gt;""),'Milho 2ª safra'!$E79:INDEX('Milho 2ª safra'!$E79:$Z79,MIN(AQ$6-$G$3,22))),0)))))</f>
        <v>0</v>
      </c>
      <c r="AR81" s="27" t="n">
        <f aca="false">IF(COUNT('Milho 2ª safra'!$E79:$Z79)=0,0,MAX(0,IF((AR$6-$E$3)&lt;1,0,IFERROR(LOOKUP(2,1/('Milho 2ª safra'!$E79:INDEX('Milho 2ª safra'!$E79:$Z79,MIN(AR$6-$E$3,22))&lt;&gt;""),'Milho 2ª safra'!$E79:INDEX('Milho 2ª safra'!$E79:$Z79,MIN(AR$6-$E$3,22))),0))-IF($G$2,0,IF((AR$6-$G$3)&lt;1,0,IFERROR(LOOKUP(2,1/('Milho 2ª safra'!$E79:INDEX('Milho 2ª safra'!$E79:$Z79,MIN(AR$6-$G$3,22))&lt;&gt;""),'Milho 2ª safra'!$E79:INDEX('Milho 2ª safra'!$E79:$Z79,MIN(AR$6-$G$3,22))),0)))))</f>
        <v>0</v>
      </c>
      <c r="AS81" s="27" t="n">
        <f aca="false">IF(COUNT('Milho 2ª safra'!$E79:$Z79)=0,0,MAX(0,IF((AS$6-$E$3)&lt;1,0,IFERROR(LOOKUP(2,1/('Milho 2ª safra'!$E79:INDEX('Milho 2ª safra'!$E79:$Z79,MIN(AS$6-$E$3,22))&lt;&gt;""),'Milho 2ª safra'!$E79:INDEX('Milho 2ª safra'!$E79:$Z79,MIN(AS$6-$E$3,22))),0))-IF($G$2,0,IF((AS$6-$G$3)&lt;1,0,IFERROR(LOOKUP(2,1/('Milho 2ª safra'!$E79:INDEX('Milho 2ª safra'!$E79:$Z79,MIN(AS$6-$G$3,22))&lt;&gt;""),'Milho 2ª safra'!$E79:INDEX('Milho 2ª safra'!$E79:$Z79,MIN(AS$6-$G$3,22))),0)))))</f>
        <v>0</v>
      </c>
      <c r="AT81" s="27" t="n">
        <f aca="false">IF(COUNT('Milho 2ª safra'!$E79:$Z79)=0,0,MAX(0,IF((AT$6-$E$3)&lt;1,0,IFERROR(LOOKUP(2,1/('Milho 2ª safra'!$E79:INDEX('Milho 2ª safra'!$E79:$Z79,MIN(AT$6-$E$3,22))&lt;&gt;""),'Milho 2ª safra'!$E79:INDEX('Milho 2ª safra'!$E79:$Z79,MIN(AT$6-$E$3,22))),0))-IF($G$2,0,IF((AT$6-$G$3)&lt;1,0,IFERROR(LOOKUP(2,1/('Milho 2ª safra'!$E79:INDEX('Milho 2ª safra'!$E79:$Z79,MIN(AT$6-$G$3,22))&lt;&gt;""),'Milho 2ª safra'!$E79:INDEX('Milho 2ª safra'!$E79:$Z79,MIN(AT$6-$G$3,22))),0)))))</f>
        <v>0</v>
      </c>
      <c r="AU81" s="27" t="n">
        <f aca="false">IF(COUNT('Milho 2ª safra'!$E79:$Z79)=0,0,MAX(0,IF((AU$6-$E$3)&lt;1,0,IFERROR(LOOKUP(2,1/('Milho 2ª safra'!$E79:INDEX('Milho 2ª safra'!$E79:$Z79,MIN(AU$6-$E$3,22))&lt;&gt;""),'Milho 2ª safra'!$E79:INDEX('Milho 2ª safra'!$E79:$Z79,MIN(AU$6-$E$3,22))),0))-IF($G$2,0,IF((AU$6-$G$3)&lt;1,0,IFERROR(LOOKUP(2,1/('Milho 2ª safra'!$E79:INDEX('Milho 2ª safra'!$E79:$Z79,MIN(AU$6-$G$3,22))&lt;&gt;""),'Milho 2ª safra'!$E79:INDEX('Milho 2ª safra'!$E79:$Z79,MIN(AU$6-$G$3,22))),0)))))</f>
        <v>0</v>
      </c>
      <c r="AV81" s="27" t="n">
        <f aca="false">IF(COUNT('Milho 2ª safra'!$E79:$Z79)=0,0,MAX(0,IF((AV$6-$E$3)&lt;1,0,IFERROR(LOOKUP(2,1/('Milho 2ª safra'!$E79:INDEX('Milho 2ª safra'!$E79:$Z79,MIN(AV$6-$E$3,22))&lt;&gt;""),'Milho 2ª safra'!$E79:INDEX('Milho 2ª safra'!$E79:$Z79,MIN(AV$6-$E$3,22))),0))-IF($G$2,0,IF((AV$6-$G$3)&lt;1,0,IFERROR(LOOKUP(2,1/('Milho 2ª safra'!$E79:INDEX('Milho 2ª safra'!$E79:$Z79,MIN(AV$6-$G$3,22))&lt;&gt;""),'Milho 2ª safra'!$E79:INDEX('Milho 2ª safra'!$E79:$Z79,MIN(AV$6-$G$3,22))),0)))))</f>
        <v>0</v>
      </c>
      <c r="AW81" s="27" t="n">
        <f aca="false">IF(COUNT('Milho 2ª safra'!$E79:$Z79)=0,0,MAX(0,IF((AW$6-$E$3)&lt;1,0,IFERROR(LOOKUP(2,1/('Milho 2ª safra'!$E79:INDEX('Milho 2ª safra'!$E79:$Z79,MIN(AW$6-$E$3,22))&lt;&gt;""),'Milho 2ª safra'!$E79:INDEX('Milho 2ª safra'!$E79:$Z79,MIN(AW$6-$E$3,22))),0))-IF($G$2,0,IF((AW$6-$G$3)&lt;1,0,IFERROR(LOOKUP(2,1/('Milho 2ª safra'!$E79:INDEX('Milho 2ª safra'!$E79:$Z79,MIN(AW$6-$G$3,22))&lt;&gt;""),'Milho 2ª safra'!$E79:INDEX('Milho 2ª safra'!$E79:$Z79,MIN(AW$6-$G$3,22))),0)))))</f>
        <v>0</v>
      </c>
      <c r="AX81" s="27" t="n">
        <f aca="false">IF(COUNT('Milho 2ª safra'!$E79:$Z79)=0,0,MAX(0,IF((AX$6-$E$3)&lt;1,0,IFERROR(LOOKUP(2,1/('Milho 2ª safra'!$E79:INDEX('Milho 2ª safra'!$E79:$Z79,MIN(AX$6-$E$3,22))&lt;&gt;""),'Milho 2ª safra'!$E79:INDEX('Milho 2ª safra'!$E79:$Z79,MIN(AX$6-$E$3,22))),0))-IF($G$2,0,IF((AX$6-$G$3)&lt;1,0,IFERROR(LOOKUP(2,1/('Milho 2ª safra'!$E79:INDEX('Milho 2ª safra'!$E79:$Z79,MIN(AX$6-$G$3,22))&lt;&gt;""),'Milho 2ª safra'!$E79:INDEX('Milho 2ª safra'!$E79:$Z79,MIN(AX$6-$G$3,22))),0)))))</f>
        <v>0</v>
      </c>
      <c r="AY81" s="27" t="n">
        <f aca="false">IF(COUNT('Milho 2ª safra'!$E79:$Z79)=0,0,MAX(0,IF((AY$6-$E$3)&lt;1,0,IFERROR(LOOKUP(2,1/('Milho 2ª safra'!$E79:INDEX('Milho 2ª safra'!$E79:$Z79,MIN(AY$6-$E$3,22))&lt;&gt;""),'Milho 2ª safra'!$E79:INDEX('Milho 2ª safra'!$E79:$Z79,MIN(AY$6-$E$3,22))),0))-IF($G$2,0,IF((AY$6-$G$3)&lt;1,0,IFERROR(LOOKUP(2,1/('Milho 2ª safra'!$E79:INDEX('Milho 2ª safra'!$E79:$Z79,MIN(AY$6-$G$3,22))&lt;&gt;""),'Milho 2ª safra'!$E79:INDEX('Milho 2ª safra'!$E79:$Z79,MIN(AY$6-$G$3,22))),0)))))</f>
        <v>0</v>
      </c>
      <c r="AZ81" s="27" t="n">
        <f aca="false">IF(COUNT('Milho 2ª safra'!$E79:$Z79)=0,0,MAX(0,IF((AZ$6-$E$3)&lt;1,0,IFERROR(LOOKUP(2,1/('Milho 2ª safra'!$E79:INDEX('Milho 2ª safra'!$E79:$Z79,MIN(AZ$6-$E$3,22))&lt;&gt;""),'Milho 2ª safra'!$E79:INDEX('Milho 2ª safra'!$E79:$Z79,MIN(AZ$6-$E$3,22))),0))-IF($G$2,0,IF((AZ$6-$G$3)&lt;1,0,IFERROR(LOOKUP(2,1/('Milho 2ª safra'!$E79:INDEX('Milho 2ª safra'!$E79:$Z79,MIN(AZ$6-$G$3,22))&lt;&gt;""),'Milho 2ª safra'!$E79:INDEX('Milho 2ª safra'!$E79:$Z79,MIN(AZ$6-$G$3,22))),0)))))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IF(COUNT('Milho 2ª safra'!$E80:$Z80)&gt;0,N('Milho 2ª safra'!$D80),0)</f>
        <v>0</v>
      </c>
      <c r="E82" s="27" t="n">
        <f aca="false">IF(COUNT('Milho 2ª safra'!$E80:$Z80)=0,0,MAX(0,IF((E$6-$E$3)&lt;1,0,IFERROR(LOOKUP(2,1/('Milho 2ª safra'!$E80:INDEX('Milho 2ª safra'!$E80:$Z80,MIN(E$6-$E$3,22))&lt;&gt;""),'Milho 2ª safra'!$E80:INDEX('Milho 2ª safra'!$E80:$Z80,MIN(E$6-$E$3,22))),0))-IF($G$2,0,IF((E$6-$G$3)&lt;1,0,IFERROR(LOOKUP(2,1/('Milho 2ª safra'!$E80:INDEX('Milho 2ª safra'!$E80:$Z80,MIN(E$6-$G$3,22))&lt;&gt;""),'Milho 2ª safra'!$E80:INDEX('Milho 2ª safra'!$E80:$Z80,MIN(E$6-$G$3,22))),0)))))</f>
        <v>0</v>
      </c>
      <c r="F82" s="27" t="n">
        <f aca="false">IF(COUNT('Milho 2ª safra'!$E80:$Z80)=0,0,MAX(0,IF((F$6-$E$3)&lt;1,0,IFERROR(LOOKUP(2,1/('Milho 2ª safra'!$E80:INDEX('Milho 2ª safra'!$E80:$Z80,MIN(F$6-$E$3,22))&lt;&gt;""),'Milho 2ª safra'!$E80:INDEX('Milho 2ª safra'!$E80:$Z80,MIN(F$6-$E$3,22))),0))-IF($G$2,0,IF((F$6-$G$3)&lt;1,0,IFERROR(LOOKUP(2,1/('Milho 2ª safra'!$E80:INDEX('Milho 2ª safra'!$E80:$Z80,MIN(F$6-$G$3,22))&lt;&gt;""),'Milho 2ª safra'!$E80:INDEX('Milho 2ª safra'!$E80:$Z80,MIN(F$6-$G$3,22))),0)))))</f>
        <v>0</v>
      </c>
      <c r="G82" s="27" t="n">
        <f aca="false">IF(COUNT('Milho 2ª safra'!$E80:$Z80)=0,0,MAX(0,IF((G$6-$E$3)&lt;1,0,IFERROR(LOOKUP(2,1/('Milho 2ª safra'!$E80:INDEX('Milho 2ª safra'!$E80:$Z80,MIN(G$6-$E$3,22))&lt;&gt;""),'Milho 2ª safra'!$E80:INDEX('Milho 2ª safra'!$E80:$Z80,MIN(G$6-$E$3,22))),0))-IF($G$2,0,IF((G$6-$G$3)&lt;1,0,IFERROR(LOOKUP(2,1/('Milho 2ª safra'!$E80:INDEX('Milho 2ª safra'!$E80:$Z80,MIN(G$6-$G$3,22))&lt;&gt;""),'Milho 2ª safra'!$E80:INDEX('Milho 2ª safra'!$E80:$Z80,MIN(G$6-$G$3,22))),0)))))</f>
        <v>0</v>
      </c>
      <c r="H82" s="27" t="n">
        <f aca="false">IF(COUNT('Milho 2ª safra'!$E80:$Z80)=0,0,MAX(0,IF((H$6-$E$3)&lt;1,0,IFERROR(LOOKUP(2,1/('Milho 2ª safra'!$E80:INDEX('Milho 2ª safra'!$E80:$Z80,MIN(H$6-$E$3,22))&lt;&gt;""),'Milho 2ª safra'!$E80:INDEX('Milho 2ª safra'!$E80:$Z80,MIN(H$6-$E$3,22))),0))-IF($G$2,0,IF((H$6-$G$3)&lt;1,0,IFERROR(LOOKUP(2,1/('Milho 2ª safra'!$E80:INDEX('Milho 2ª safra'!$E80:$Z80,MIN(H$6-$G$3,22))&lt;&gt;""),'Milho 2ª safra'!$E80:INDEX('Milho 2ª safra'!$E80:$Z80,MIN(H$6-$G$3,22))),0)))))</f>
        <v>0</v>
      </c>
      <c r="I82" s="27" t="n">
        <f aca="false">IF(COUNT('Milho 2ª safra'!$E80:$Z80)=0,0,MAX(0,IF((I$6-$E$3)&lt;1,0,IFERROR(LOOKUP(2,1/('Milho 2ª safra'!$E80:INDEX('Milho 2ª safra'!$E80:$Z80,MIN(I$6-$E$3,22))&lt;&gt;""),'Milho 2ª safra'!$E80:INDEX('Milho 2ª safra'!$E80:$Z80,MIN(I$6-$E$3,22))),0))-IF($G$2,0,IF((I$6-$G$3)&lt;1,0,IFERROR(LOOKUP(2,1/('Milho 2ª safra'!$E80:INDEX('Milho 2ª safra'!$E80:$Z80,MIN(I$6-$G$3,22))&lt;&gt;""),'Milho 2ª safra'!$E80:INDEX('Milho 2ª safra'!$E80:$Z80,MIN(I$6-$G$3,22))),0)))))</f>
        <v>0</v>
      </c>
      <c r="J82" s="27" t="n">
        <f aca="false">IF(COUNT('Milho 2ª safra'!$E80:$Z80)=0,0,MAX(0,IF((J$6-$E$3)&lt;1,0,IFERROR(LOOKUP(2,1/('Milho 2ª safra'!$E80:INDEX('Milho 2ª safra'!$E80:$Z80,MIN(J$6-$E$3,22))&lt;&gt;""),'Milho 2ª safra'!$E80:INDEX('Milho 2ª safra'!$E80:$Z80,MIN(J$6-$E$3,22))),0))-IF($G$2,0,IF((J$6-$G$3)&lt;1,0,IFERROR(LOOKUP(2,1/('Milho 2ª safra'!$E80:INDEX('Milho 2ª safra'!$E80:$Z80,MIN(J$6-$G$3,22))&lt;&gt;""),'Milho 2ª safra'!$E80:INDEX('Milho 2ª safra'!$E80:$Z80,MIN(J$6-$G$3,22))),0)))))</f>
        <v>0</v>
      </c>
      <c r="K82" s="27" t="n">
        <f aca="false">IF(COUNT('Milho 2ª safra'!$E80:$Z80)=0,0,MAX(0,IF((K$6-$E$3)&lt;1,0,IFERROR(LOOKUP(2,1/('Milho 2ª safra'!$E80:INDEX('Milho 2ª safra'!$E80:$Z80,MIN(K$6-$E$3,22))&lt;&gt;""),'Milho 2ª safra'!$E80:INDEX('Milho 2ª safra'!$E80:$Z80,MIN(K$6-$E$3,22))),0))-IF($G$2,0,IF((K$6-$G$3)&lt;1,0,IFERROR(LOOKUP(2,1/('Milho 2ª safra'!$E80:INDEX('Milho 2ª safra'!$E80:$Z80,MIN(K$6-$G$3,22))&lt;&gt;""),'Milho 2ª safra'!$E80:INDEX('Milho 2ª safra'!$E80:$Z80,MIN(K$6-$G$3,22))),0)))))</f>
        <v>0</v>
      </c>
      <c r="L82" s="27" t="n">
        <f aca="false">IF(COUNT('Milho 2ª safra'!$E80:$Z80)=0,0,MAX(0,IF((L$6-$E$3)&lt;1,0,IFERROR(LOOKUP(2,1/('Milho 2ª safra'!$E80:INDEX('Milho 2ª safra'!$E80:$Z80,MIN(L$6-$E$3,22))&lt;&gt;""),'Milho 2ª safra'!$E80:INDEX('Milho 2ª safra'!$E80:$Z80,MIN(L$6-$E$3,22))),0))-IF($G$2,0,IF((L$6-$G$3)&lt;1,0,IFERROR(LOOKUP(2,1/('Milho 2ª safra'!$E80:INDEX('Milho 2ª safra'!$E80:$Z80,MIN(L$6-$G$3,22))&lt;&gt;""),'Milho 2ª safra'!$E80:INDEX('Milho 2ª safra'!$E80:$Z80,MIN(L$6-$G$3,22))),0)))))</f>
        <v>0</v>
      </c>
      <c r="M82" s="27" t="n">
        <f aca="false">IF(COUNT('Milho 2ª safra'!$E80:$Z80)=0,0,MAX(0,IF((M$6-$E$3)&lt;1,0,IFERROR(LOOKUP(2,1/('Milho 2ª safra'!$E80:INDEX('Milho 2ª safra'!$E80:$Z80,MIN(M$6-$E$3,22))&lt;&gt;""),'Milho 2ª safra'!$E80:INDEX('Milho 2ª safra'!$E80:$Z80,MIN(M$6-$E$3,22))),0))-IF($G$2,0,IF((M$6-$G$3)&lt;1,0,IFERROR(LOOKUP(2,1/('Milho 2ª safra'!$E80:INDEX('Milho 2ª safra'!$E80:$Z80,MIN(M$6-$G$3,22))&lt;&gt;""),'Milho 2ª safra'!$E80:INDEX('Milho 2ª safra'!$E80:$Z80,MIN(M$6-$G$3,22))),0)))))</f>
        <v>0</v>
      </c>
      <c r="N82" s="27" t="n">
        <f aca="false">IF(COUNT('Milho 2ª safra'!$E80:$Z80)=0,0,MAX(0,IF((N$6-$E$3)&lt;1,0,IFERROR(LOOKUP(2,1/('Milho 2ª safra'!$E80:INDEX('Milho 2ª safra'!$E80:$Z80,MIN(N$6-$E$3,22))&lt;&gt;""),'Milho 2ª safra'!$E80:INDEX('Milho 2ª safra'!$E80:$Z80,MIN(N$6-$E$3,22))),0))-IF($G$2,0,IF((N$6-$G$3)&lt;1,0,IFERROR(LOOKUP(2,1/('Milho 2ª safra'!$E80:INDEX('Milho 2ª safra'!$E80:$Z80,MIN(N$6-$G$3,22))&lt;&gt;""),'Milho 2ª safra'!$E80:INDEX('Milho 2ª safra'!$E80:$Z80,MIN(N$6-$G$3,22))),0)))))</f>
        <v>0</v>
      </c>
      <c r="O82" s="27" t="n">
        <f aca="false">IF(COUNT('Milho 2ª safra'!$E80:$Z80)=0,0,MAX(0,IF((O$6-$E$3)&lt;1,0,IFERROR(LOOKUP(2,1/('Milho 2ª safra'!$E80:INDEX('Milho 2ª safra'!$E80:$Z80,MIN(O$6-$E$3,22))&lt;&gt;""),'Milho 2ª safra'!$E80:INDEX('Milho 2ª safra'!$E80:$Z80,MIN(O$6-$E$3,22))),0))-IF($G$2,0,IF((O$6-$G$3)&lt;1,0,IFERROR(LOOKUP(2,1/('Milho 2ª safra'!$E80:INDEX('Milho 2ª safra'!$E80:$Z80,MIN(O$6-$G$3,22))&lt;&gt;""),'Milho 2ª safra'!$E80:INDEX('Milho 2ª safra'!$E80:$Z80,MIN(O$6-$G$3,22))),0)))))</f>
        <v>0</v>
      </c>
      <c r="P82" s="27" t="n">
        <f aca="false">IF(COUNT('Milho 2ª safra'!$E80:$Z80)=0,0,MAX(0,IF((P$6-$E$3)&lt;1,0,IFERROR(LOOKUP(2,1/('Milho 2ª safra'!$E80:INDEX('Milho 2ª safra'!$E80:$Z80,MIN(P$6-$E$3,22))&lt;&gt;""),'Milho 2ª safra'!$E80:INDEX('Milho 2ª safra'!$E80:$Z80,MIN(P$6-$E$3,22))),0))-IF($G$2,0,IF((P$6-$G$3)&lt;1,0,IFERROR(LOOKUP(2,1/('Milho 2ª safra'!$E80:INDEX('Milho 2ª safra'!$E80:$Z80,MIN(P$6-$G$3,22))&lt;&gt;""),'Milho 2ª safra'!$E80:INDEX('Milho 2ª safra'!$E80:$Z80,MIN(P$6-$G$3,22))),0)))))</f>
        <v>0</v>
      </c>
      <c r="Q82" s="27" t="n">
        <f aca="false">IF(COUNT('Milho 2ª safra'!$E80:$Z80)=0,0,MAX(0,IF((Q$6-$E$3)&lt;1,0,IFERROR(LOOKUP(2,1/('Milho 2ª safra'!$E80:INDEX('Milho 2ª safra'!$E80:$Z80,MIN(Q$6-$E$3,22))&lt;&gt;""),'Milho 2ª safra'!$E80:INDEX('Milho 2ª safra'!$E80:$Z80,MIN(Q$6-$E$3,22))),0))-IF($G$2,0,IF((Q$6-$G$3)&lt;1,0,IFERROR(LOOKUP(2,1/('Milho 2ª safra'!$E80:INDEX('Milho 2ª safra'!$E80:$Z80,MIN(Q$6-$G$3,22))&lt;&gt;""),'Milho 2ª safra'!$E80:INDEX('Milho 2ª safra'!$E80:$Z80,MIN(Q$6-$G$3,22))),0)))))</f>
        <v>0</v>
      </c>
      <c r="R82" s="27" t="n">
        <f aca="false">IF(COUNT('Milho 2ª safra'!$E80:$Z80)=0,0,MAX(0,IF((R$6-$E$3)&lt;1,0,IFERROR(LOOKUP(2,1/('Milho 2ª safra'!$E80:INDEX('Milho 2ª safra'!$E80:$Z80,MIN(R$6-$E$3,22))&lt;&gt;""),'Milho 2ª safra'!$E80:INDEX('Milho 2ª safra'!$E80:$Z80,MIN(R$6-$E$3,22))),0))-IF($G$2,0,IF((R$6-$G$3)&lt;1,0,IFERROR(LOOKUP(2,1/('Milho 2ª safra'!$E80:INDEX('Milho 2ª safra'!$E80:$Z80,MIN(R$6-$G$3,22))&lt;&gt;""),'Milho 2ª safra'!$E80:INDEX('Milho 2ª safra'!$E80:$Z80,MIN(R$6-$G$3,22))),0)))))</f>
        <v>0</v>
      </c>
      <c r="S82" s="27" t="n">
        <f aca="false">IF(COUNT('Milho 2ª safra'!$E80:$Z80)=0,0,MAX(0,IF((S$6-$E$3)&lt;1,0,IFERROR(LOOKUP(2,1/('Milho 2ª safra'!$E80:INDEX('Milho 2ª safra'!$E80:$Z80,MIN(S$6-$E$3,22))&lt;&gt;""),'Milho 2ª safra'!$E80:INDEX('Milho 2ª safra'!$E80:$Z80,MIN(S$6-$E$3,22))),0))-IF($G$2,0,IF((S$6-$G$3)&lt;1,0,IFERROR(LOOKUP(2,1/('Milho 2ª safra'!$E80:INDEX('Milho 2ª safra'!$E80:$Z80,MIN(S$6-$G$3,22))&lt;&gt;""),'Milho 2ª safra'!$E80:INDEX('Milho 2ª safra'!$E80:$Z80,MIN(S$6-$G$3,22))),0)))))</f>
        <v>0</v>
      </c>
      <c r="T82" s="27" t="n">
        <f aca="false">IF(COUNT('Milho 2ª safra'!$E80:$Z80)=0,0,MAX(0,IF((T$6-$E$3)&lt;1,0,IFERROR(LOOKUP(2,1/('Milho 2ª safra'!$E80:INDEX('Milho 2ª safra'!$E80:$Z80,MIN(T$6-$E$3,22))&lt;&gt;""),'Milho 2ª safra'!$E80:INDEX('Milho 2ª safra'!$E80:$Z80,MIN(T$6-$E$3,22))),0))-IF($G$2,0,IF((T$6-$G$3)&lt;1,0,IFERROR(LOOKUP(2,1/('Milho 2ª safra'!$E80:INDEX('Milho 2ª safra'!$E80:$Z80,MIN(T$6-$G$3,22))&lt;&gt;""),'Milho 2ª safra'!$E80:INDEX('Milho 2ª safra'!$E80:$Z80,MIN(T$6-$G$3,22))),0)))))</f>
        <v>0</v>
      </c>
      <c r="U82" s="27" t="n">
        <f aca="false">IF(COUNT('Milho 2ª safra'!$E80:$Z80)=0,0,MAX(0,IF((U$6-$E$3)&lt;1,0,IFERROR(LOOKUP(2,1/('Milho 2ª safra'!$E80:INDEX('Milho 2ª safra'!$E80:$Z80,MIN(U$6-$E$3,22))&lt;&gt;""),'Milho 2ª safra'!$E80:INDEX('Milho 2ª safra'!$E80:$Z80,MIN(U$6-$E$3,22))),0))-IF($G$2,0,IF((U$6-$G$3)&lt;1,0,IFERROR(LOOKUP(2,1/('Milho 2ª safra'!$E80:INDEX('Milho 2ª safra'!$E80:$Z80,MIN(U$6-$G$3,22))&lt;&gt;""),'Milho 2ª safra'!$E80:INDEX('Milho 2ª safra'!$E80:$Z80,MIN(U$6-$G$3,22))),0)))))</f>
        <v>0</v>
      </c>
      <c r="V82" s="27" t="n">
        <f aca="false">IF(COUNT('Milho 2ª safra'!$E80:$Z80)=0,0,MAX(0,IF((V$6-$E$3)&lt;1,0,IFERROR(LOOKUP(2,1/('Milho 2ª safra'!$E80:INDEX('Milho 2ª safra'!$E80:$Z80,MIN(V$6-$E$3,22))&lt;&gt;""),'Milho 2ª safra'!$E80:INDEX('Milho 2ª safra'!$E80:$Z80,MIN(V$6-$E$3,22))),0))-IF($G$2,0,IF((V$6-$G$3)&lt;1,0,IFERROR(LOOKUP(2,1/('Milho 2ª safra'!$E80:INDEX('Milho 2ª safra'!$E80:$Z80,MIN(V$6-$G$3,22))&lt;&gt;""),'Milho 2ª safra'!$E80:INDEX('Milho 2ª safra'!$E80:$Z80,MIN(V$6-$G$3,22))),0)))))</f>
        <v>0</v>
      </c>
      <c r="W82" s="27" t="n">
        <f aca="false">IF(COUNT('Milho 2ª safra'!$E80:$Z80)=0,0,MAX(0,IF((W$6-$E$3)&lt;1,0,IFERROR(LOOKUP(2,1/('Milho 2ª safra'!$E80:INDEX('Milho 2ª safra'!$E80:$Z80,MIN(W$6-$E$3,22))&lt;&gt;""),'Milho 2ª safra'!$E80:INDEX('Milho 2ª safra'!$E80:$Z80,MIN(W$6-$E$3,22))),0))-IF($G$2,0,IF((W$6-$G$3)&lt;1,0,IFERROR(LOOKUP(2,1/('Milho 2ª safra'!$E80:INDEX('Milho 2ª safra'!$E80:$Z80,MIN(W$6-$G$3,22))&lt;&gt;""),'Milho 2ª safra'!$E80:INDEX('Milho 2ª safra'!$E80:$Z80,MIN(W$6-$G$3,22))),0)))))</f>
        <v>0</v>
      </c>
      <c r="X82" s="27" t="n">
        <f aca="false">IF(COUNT('Milho 2ª safra'!$E80:$Z80)=0,0,MAX(0,IF((X$6-$E$3)&lt;1,0,IFERROR(LOOKUP(2,1/('Milho 2ª safra'!$E80:INDEX('Milho 2ª safra'!$E80:$Z80,MIN(X$6-$E$3,22))&lt;&gt;""),'Milho 2ª safra'!$E80:INDEX('Milho 2ª safra'!$E80:$Z80,MIN(X$6-$E$3,22))),0))-IF($G$2,0,IF((X$6-$G$3)&lt;1,0,IFERROR(LOOKUP(2,1/('Milho 2ª safra'!$E80:INDEX('Milho 2ª safra'!$E80:$Z80,MIN(X$6-$G$3,22))&lt;&gt;""),'Milho 2ª safra'!$E80:INDEX('Milho 2ª safra'!$E80:$Z80,MIN(X$6-$G$3,22))),0)))))</f>
        <v>0</v>
      </c>
      <c r="Y82" s="27" t="n">
        <f aca="false">IF(COUNT('Milho 2ª safra'!$E80:$Z80)=0,0,MAX(0,IF((Y$6-$E$3)&lt;1,0,IFERROR(LOOKUP(2,1/('Milho 2ª safra'!$E80:INDEX('Milho 2ª safra'!$E80:$Z80,MIN(Y$6-$E$3,22))&lt;&gt;""),'Milho 2ª safra'!$E80:INDEX('Milho 2ª safra'!$E80:$Z80,MIN(Y$6-$E$3,22))),0))-IF($G$2,0,IF((Y$6-$G$3)&lt;1,0,IFERROR(LOOKUP(2,1/('Milho 2ª safra'!$E80:INDEX('Milho 2ª safra'!$E80:$Z80,MIN(Y$6-$G$3,22))&lt;&gt;""),'Milho 2ª safra'!$E80:INDEX('Milho 2ª safra'!$E80:$Z80,MIN(Y$6-$G$3,22))),0)))))</f>
        <v>0</v>
      </c>
      <c r="Z82" s="27" t="n">
        <f aca="false">IF(COUNT('Milho 2ª safra'!$E80:$Z80)=0,0,MAX(0,IF((Z$6-$E$3)&lt;1,0,IFERROR(LOOKUP(2,1/('Milho 2ª safra'!$E80:INDEX('Milho 2ª safra'!$E80:$Z80,MIN(Z$6-$E$3,22))&lt;&gt;""),'Milho 2ª safra'!$E80:INDEX('Milho 2ª safra'!$E80:$Z80,MIN(Z$6-$E$3,22))),0))-IF($G$2,0,IF((Z$6-$G$3)&lt;1,0,IFERROR(LOOKUP(2,1/('Milho 2ª safra'!$E80:INDEX('Milho 2ª safra'!$E80:$Z80,MIN(Z$6-$G$3,22))&lt;&gt;""),'Milho 2ª safra'!$E80:INDEX('Milho 2ª safra'!$E80:$Z80,MIN(Z$6-$G$3,22))),0)))))</f>
        <v>0</v>
      </c>
      <c r="AA82" s="27" t="n">
        <f aca="false">IF(COUNT('Milho 2ª safra'!$E80:$Z80)=0,0,MAX(0,IF((AA$6-$E$3)&lt;1,0,IFERROR(LOOKUP(2,1/('Milho 2ª safra'!$E80:INDEX('Milho 2ª safra'!$E80:$Z80,MIN(AA$6-$E$3,22))&lt;&gt;""),'Milho 2ª safra'!$E80:INDEX('Milho 2ª safra'!$E80:$Z80,MIN(AA$6-$E$3,22))),0))-IF($G$2,0,IF((AA$6-$G$3)&lt;1,0,IFERROR(LOOKUP(2,1/('Milho 2ª safra'!$E80:INDEX('Milho 2ª safra'!$E80:$Z80,MIN(AA$6-$G$3,22))&lt;&gt;""),'Milho 2ª safra'!$E80:INDEX('Milho 2ª safra'!$E80:$Z80,MIN(AA$6-$G$3,22))),0)))))</f>
        <v>0</v>
      </c>
      <c r="AB82" s="27" t="n">
        <f aca="false">IF(COUNT('Milho 2ª safra'!$E80:$Z80)=0,0,MAX(0,IF((AB$6-$E$3)&lt;1,0,IFERROR(LOOKUP(2,1/('Milho 2ª safra'!$E80:INDEX('Milho 2ª safra'!$E80:$Z80,MIN(AB$6-$E$3,22))&lt;&gt;""),'Milho 2ª safra'!$E80:INDEX('Milho 2ª safra'!$E80:$Z80,MIN(AB$6-$E$3,22))),0))-IF($G$2,0,IF((AB$6-$G$3)&lt;1,0,IFERROR(LOOKUP(2,1/('Milho 2ª safra'!$E80:INDEX('Milho 2ª safra'!$E80:$Z80,MIN(AB$6-$G$3,22))&lt;&gt;""),'Milho 2ª safra'!$E80:INDEX('Milho 2ª safra'!$E80:$Z80,MIN(AB$6-$G$3,22))),0)))))</f>
        <v>0</v>
      </c>
      <c r="AC82" s="27" t="n">
        <f aca="false">IF(COUNT('Milho 2ª safra'!$E80:$Z80)=0,0,MAX(0,IF((AC$6-$E$3)&lt;1,0,IFERROR(LOOKUP(2,1/('Milho 2ª safra'!$E80:INDEX('Milho 2ª safra'!$E80:$Z80,MIN(AC$6-$E$3,22))&lt;&gt;""),'Milho 2ª safra'!$E80:INDEX('Milho 2ª safra'!$E80:$Z80,MIN(AC$6-$E$3,22))),0))-IF($G$2,0,IF((AC$6-$G$3)&lt;1,0,IFERROR(LOOKUP(2,1/('Milho 2ª safra'!$E80:INDEX('Milho 2ª safra'!$E80:$Z80,MIN(AC$6-$G$3,22))&lt;&gt;""),'Milho 2ª safra'!$E80:INDEX('Milho 2ª safra'!$E80:$Z80,MIN(AC$6-$G$3,22))),0)))))</f>
        <v>0</v>
      </c>
      <c r="AD82" s="27" t="n">
        <f aca="false">IF(COUNT('Milho 2ª safra'!$E80:$Z80)=0,0,MAX(0,IF((AD$6-$E$3)&lt;1,0,IFERROR(LOOKUP(2,1/('Milho 2ª safra'!$E80:INDEX('Milho 2ª safra'!$E80:$Z80,MIN(AD$6-$E$3,22))&lt;&gt;""),'Milho 2ª safra'!$E80:INDEX('Milho 2ª safra'!$E80:$Z80,MIN(AD$6-$E$3,22))),0))-IF($G$2,0,IF((AD$6-$G$3)&lt;1,0,IFERROR(LOOKUP(2,1/('Milho 2ª safra'!$E80:INDEX('Milho 2ª safra'!$E80:$Z80,MIN(AD$6-$G$3,22))&lt;&gt;""),'Milho 2ª safra'!$E80:INDEX('Milho 2ª safra'!$E80:$Z80,MIN(AD$6-$G$3,22))),0)))))</f>
        <v>0</v>
      </c>
      <c r="AE82" s="27" t="n">
        <f aca="false">IF(COUNT('Milho 2ª safra'!$E80:$Z80)=0,0,MAX(0,IF((AE$6-$E$3)&lt;1,0,IFERROR(LOOKUP(2,1/('Milho 2ª safra'!$E80:INDEX('Milho 2ª safra'!$E80:$Z80,MIN(AE$6-$E$3,22))&lt;&gt;""),'Milho 2ª safra'!$E80:INDEX('Milho 2ª safra'!$E80:$Z80,MIN(AE$6-$E$3,22))),0))-IF($G$2,0,IF((AE$6-$G$3)&lt;1,0,IFERROR(LOOKUP(2,1/('Milho 2ª safra'!$E80:INDEX('Milho 2ª safra'!$E80:$Z80,MIN(AE$6-$G$3,22))&lt;&gt;""),'Milho 2ª safra'!$E80:INDEX('Milho 2ª safra'!$E80:$Z80,MIN(AE$6-$G$3,22))),0)))))</f>
        <v>0</v>
      </c>
      <c r="AF82" s="27" t="n">
        <f aca="false">IF(COUNT('Milho 2ª safra'!$E80:$Z80)=0,0,MAX(0,IF((AF$6-$E$3)&lt;1,0,IFERROR(LOOKUP(2,1/('Milho 2ª safra'!$E80:INDEX('Milho 2ª safra'!$E80:$Z80,MIN(AF$6-$E$3,22))&lt;&gt;""),'Milho 2ª safra'!$E80:INDEX('Milho 2ª safra'!$E80:$Z80,MIN(AF$6-$E$3,22))),0))-IF($G$2,0,IF((AF$6-$G$3)&lt;1,0,IFERROR(LOOKUP(2,1/('Milho 2ª safra'!$E80:INDEX('Milho 2ª safra'!$E80:$Z80,MIN(AF$6-$G$3,22))&lt;&gt;""),'Milho 2ª safra'!$E80:INDEX('Milho 2ª safra'!$E80:$Z80,MIN(AF$6-$G$3,22))),0)))))</f>
        <v>0</v>
      </c>
      <c r="AG82" s="27" t="n">
        <f aca="false">IF(COUNT('Milho 2ª safra'!$E80:$Z80)=0,0,MAX(0,IF((AG$6-$E$3)&lt;1,0,IFERROR(LOOKUP(2,1/('Milho 2ª safra'!$E80:INDEX('Milho 2ª safra'!$E80:$Z80,MIN(AG$6-$E$3,22))&lt;&gt;""),'Milho 2ª safra'!$E80:INDEX('Milho 2ª safra'!$E80:$Z80,MIN(AG$6-$E$3,22))),0))-IF($G$2,0,IF((AG$6-$G$3)&lt;1,0,IFERROR(LOOKUP(2,1/('Milho 2ª safra'!$E80:INDEX('Milho 2ª safra'!$E80:$Z80,MIN(AG$6-$G$3,22))&lt;&gt;""),'Milho 2ª safra'!$E80:INDEX('Milho 2ª safra'!$E80:$Z80,MIN(AG$6-$G$3,22))),0)))))</f>
        <v>0</v>
      </c>
      <c r="AH82" s="27" t="n">
        <f aca="false">IF(COUNT('Milho 2ª safra'!$E80:$Z80)=0,0,MAX(0,IF((AH$6-$E$3)&lt;1,0,IFERROR(LOOKUP(2,1/('Milho 2ª safra'!$E80:INDEX('Milho 2ª safra'!$E80:$Z80,MIN(AH$6-$E$3,22))&lt;&gt;""),'Milho 2ª safra'!$E80:INDEX('Milho 2ª safra'!$E80:$Z80,MIN(AH$6-$E$3,22))),0))-IF($G$2,0,IF((AH$6-$G$3)&lt;1,0,IFERROR(LOOKUP(2,1/('Milho 2ª safra'!$E80:INDEX('Milho 2ª safra'!$E80:$Z80,MIN(AH$6-$G$3,22))&lt;&gt;""),'Milho 2ª safra'!$E80:INDEX('Milho 2ª safra'!$E80:$Z80,MIN(AH$6-$G$3,22))),0)))))</f>
        <v>0</v>
      </c>
      <c r="AI82" s="27" t="n">
        <f aca="false">IF(COUNT('Milho 2ª safra'!$E80:$Z80)=0,0,MAX(0,IF((AI$6-$E$3)&lt;1,0,IFERROR(LOOKUP(2,1/('Milho 2ª safra'!$E80:INDEX('Milho 2ª safra'!$E80:$Z80,MIN(AI$6-$E$3,22))&lt;&gt;""),'Milho 2ª safra'!$E80:INDEX('Milho 2ª safra'!$E80:$Z80,MIN(AI$6-$E$3,22))),0))-IF($G$2,0,IF((AI$6-$G$3)&lt;1,0,IFERROR(LOOKUP(2,1/('Milho 2ª safra'!$E80:INDEX('Milho 2ª safra'!$E80:$Z80,MIN(AI$6-$G$3,22))&lt;&gt;""),'Milho 2ª safra'!$E80:INDEX('Milho 2ª safra'!$E80:$Z80,MIN(AI$6-$G$3,22))),0)))))</f>
        <v>0</v>
      </c>
      <c r="AJ82" s="27" t="n">
        <f aca="false">IF(COUNT('Milho 2ª safra'!$E80:$Z80)=0,0,MAX(0,IF((AJ$6-$E$3)&lt;1,0,IFERROR(LOOKUP(2,1/('Milho 2ª safra'!$E80:INDEX('Milho 2ª safra'!$E80:$Z80,MIN(AJ$6-$E$3,22))&lt;&gt;""),'Milho 2ª safra'!$E80:INDEX('Milho 2ª safra'!$E80:$Z80,MIN(AJ$6-$E$3,22))),0))-IF($G$2,0,IF((AJ$6-$G$3)&lt;1,0,IFERROR(LOOKUP(2,1/('Milho 2ª safra'!$E80:INDEX('Milho 2ª safra'!$E80:$Z80,MIN(AJ$6-$G$3,22))&lt;&gt;""),'Milho 2ª safra'!$E80:INDEX('Milho 2ª safra'!$E80:$Z80,MIN(AJ$6-$G$3,22))),0)))))</f>
        <v>0</v>
      </c>
      <c r="AK82" s="27" t="n">
        <f aca="false">IF(COUNT('Milho 2ª safra'!$E80:$Z80)=0,0,MAX(0,IF((AK$6-$E$3)&lt;1,0,IFERROR(LOOKUP(2,1/('Milho 2ª safra'!$E80:INDEX('Milho 2ª safra'!$E80:$Z80,MIN(AK$6-$E$3,22))&lt;&gt;""),'Milho 2ª safra'!$E80:INDEX('Milho 2ª safra'!$E80:$Z80,MIN(AK$6-$E$3,22))),0))-IF($G$2,0,IF((AK$6-$G$3)&lt;1,0,IFERROR(LOOKUP(2,1/('Milho 2ª safra'!$E80:INDEX('Milho 2ª safra'!$E80:$Z80,MIN(AK$6-$G$3,22))&lt;&gt;""),'Milho 2ª safra'!$E80:INDEX('Milho 2ª safra'!$E80:$Z80,MIN(AK$6-$G$3,22))),0)))))</f>
        <v>0</v>
      </c>
      <c r="AL82" s="27" t="n">
        <f aca="false">IF(COUNT('Milho 2ª safra'!$E80:$Z80)=0,0,MAX(0,IF((AL$6-$E$3)&lt;1,0,IFERROR(LOOKUP(2,1/('Milho 2ª safra'!$E80:INDEX('Milho 2ª safra'!$E80:$Z80,MIN(AL$6-$E$3,22))&lt;&gt;""),'Milho 2ª safra'!$E80:INDEX('Milho 2ª safra'!$E80:$Z80,MIN(AL$6-$E$3,22))),0))-IF($G$2,0,IF((AL$6-$G$3)&lt;1,0,IFERROR(LOOKUP(2,1/('Milho 2ª safra'!$E80:INDEX('Milho 2ª safra'!$E80:$Z80,MIN(AL$6-$G$3,22))&lt;&gt;""),'Milho 2ª safra'!$E80:INDEX('Milho 2ª safra'!$E80:$Z80,MIN(AL$6-$G$3,22))),0)))))</f>
        <v>0</v>
      </c>
      <c r="AM82" s="27" t="n">
        <f aca="false">IF(COUNT('Milho 2ª safra'!$E80:$Z80)=0,0,MAX(0,IF((AM$6-$E$3)&lt;1,0,IFERROR(LOOKUP(2,1/('Milho 2ª safra'!$E80:INDEX('Milho 2ª safra'!$E80:$Z80,MIN(AM$6-$E$3,22))&lt;&gt;""),'Milho 2ª safra'!$E80:INDEX('Milho 2ª safra'!$E80:$Z80,MIN(AM$6-$E$3,22))),0))-IF($G$2,0,IF((AM$6-$G$3)&lt;1,0,IFERROR(LOOKUP(2,1/('Milho 2ª safra'!$E80:INDEX('Milho 2ª safra'!$E80:$Z80,MIN(AM$6-$G$3,22))&lt;&gt;""),'Milho 2ª safra'!$E80:INDEX('Milho 2ª safra'!$E80:$Z80,MIN(AM$6-$G$3,22))),0)))))</f>
        <v>0</v>
      </c>
      <c r="AN82" s="27" t="n">
        <f aca="false">IF(COUNT('Milho 2ª safra'!$E80:$Z80)=0,0,MAX(0,IF((AN$6-$E$3)&lt;1,0,IFERROR(LOOKUP(2,1/('Milho 2ª safra'!$E80:INDEX('Milho 2ª safra'!$E80:$Z80,MIN(AN$6-$E$3,22))&lt;&gt;""),'Milho 2ª safra'!$E80:INDEX('Milho 2ª safra'!$E80:$Z80,MIN(AN$6-$E$3,22))),0))-IF($G$2,0,IF((AN$6-$G$3)&lt;1,0,IFERROR(LOOKUP(2,1/('Milho 2ª safra'!$E80:INDEX('Milho 2ª safra'!$E80:$Z80,MIN(AN$6-$G$3,22))&lt;&gt;""),'Milho 2ª safra'!$E80:INDEX('Milho 2ª safra'!$E80:$Z80,MIN(AN$6-$G$3,22))),0)))))</f>
        <v>0</v>
      </c>
      <c r="AO82" s="27" t="n">
        <f aca="false">IF(COUNT('Milho 2ª safra'!$E80:$Z80)=0,0,MAX(0,IF((AO$6-$E$3)&lt;1,0,IFERROR(LOOKUP(2,1/('Milho 2ª safra'!$E80:INDEX('Milho 2ª safra'!$E80:$Z80,MIN(AO$6-$E$3,22))&lt;&gt;""),'Milho 2ª safra'!$E80:INDEX('Milho 2ª safra'!$E80:$Z80,MIN(AO$6-$E$3,22))),0))-IF($G$2,0,IF((AO$6-$G$3)&lt;1,0,IFERROR(LOOKUP(2,1/('Milho 2ª safra'!$E80:INDEX('Milho 2ª safra'!$E80:$Z80,MIN(AO$6-$G$3,22))&lt;&gt;""),'Milho 2ª safra'!$E80:INDEX('Milho 2ª safra'!$E80:$Z80,MIN(AO$6-$G$3,22))),0)))))</f>
        <v>0</v>
      </c>
      <c r="AP82" s="27" t="n">
        <f aca="false">IF(COUNT('Milho 2ª safra'!$E80:$Z80)=0,0,MAX(0,IF((AP$6-$E$3)&lt;1,0,IFERROR(LOOKUP(2,1/('Milho 2ª safra'!$E80:INDEX('Milho 2ª safra'!$E80:$Z80,MIN(AP$6-$E$3,22))&lt;&gt;""),'Milho 2ª safra'!$E80:INDEX('Milho 2ª safra'!$E80:$Z80,MIN(AP$6-$E$3,22))),0))-IF($G$2,0,IF((AP$6-$G$3)&lt;1,0,IFERROR(LOOKUP(2,1/('Milho 2ª safra'!$E80:INDEX('Milho 2ª safra'!$E80:$Z80,MIN(AP$6-$G$3,22))&lt;&gt;""),'Milho 2ª safra'!$E80:INDEX('Milho 2ª safra'!$E80:$Z80,MIN(AP$6-$G$3,22))),0)))))</f>
        <v>0</v>
      </c>
      <c r="AQ82" s="27" t="n">
        <f aca="false">IF(COUNT('Milho 2ª safra'!$E80:$Z80)=0,0,MAX(0,IF((AQ$6-$E$3)&lt;1,0,IFERROR(LOOKUP(2,1/('Milho 2ª safra'!$E80:INDEX('Milho 2ª safra'!$E80:$Z80,MIN(AQ$6-$E$3,22))&lt;&gt;""),'Milho 2ª safra'!$E80:INDEX('Milho 2ª safra'!$E80:$Z80,MIN(AQ$6-$E$3,22))),0))-IF($G$2,0,IF((AQ$6-$G$3)&lt;1,0,IFERROR(LOOKUP(2,1/('Milho 2ª safra'!$E80:INDEX('Milho 2ª safra'!$E80:$Z80,MIN(AQ$6-$G$3,22))&lt;&gt;""),'Milho 2ª safra'!$E80:INDEX('Milho 2ª safra'!$E80:$Z80,MIN(AQ$6-$G$3,22))),0)))))</f>
        <v>0</v>
      </c>
      <c r="AR82" s="27" t="n">
        <f aca="false">IF(COUNT('Milho 2ª safra'!$E80:$Z80)=0,0,MAX(0,IF((AR$6-$E$3)&lt;1,0,IFERROR(LOOKUP(2,1/('Milho 2ª safra'!$E80:INDEX('Milho 2ª safra'!$E80:$Z80,MIN(AR$6-$E$3,22))&lt;&gt;""),'Milho 2ª safra'!$E80:INDEX('Milho 2ª safra'!$E80:$Z80,MIN(AR$6-$E$3,22))),0))-IF($G$2,0,IF((AR$6-$G$3)&lt;1,0,IFERROR(LOOKUP(2,1/('Milho 2ª safra'!$E80:INDEX('Milho 2ª safra'!$E80:$Z80,MIN(AR$6-$G$3,22))&lt;&gt;""),'Milho 2ª safra'!$E80:INDEX('Milho 2ª safra'!$E80:$Z80,MIN(AR$6-$G$3,22))),0)))))</f>
        <v>0</v>
      </c>
      <c r="AS82" s="27" t="n">
        <f aca="false">IF(COUNT('Milho 2ª safra'!$E80:$Z80)=0,0,MAX(0,IF((AS$6-$E$3)&lt;1,0,IFERROR(LOOKUP(2,1/('Milho 2ª safra'!$E80:INDEX('Milho 2ª safra'!$E80:$Z80,MIN(AS$6-$E$3,22))&lt;&gt;""),'Milho 2ª safra'!$E80:INDEX('Milho 2ª safra'!$E80:$Z80,MIN(AS$6-$E$3,22))),0))-IF($G$2,0,IF((AS$6-$G$3)&lt;1,0,IFERROR(LOOKUP(2,1/('Milho 2ª safra'!$E80:INDEX('Milho 2ª safra'!$E80:$Z80,MIN(AS$6-$G$3,22))&lt;&gt;""),'Milho 2ª safra'!$E80:INDEX('Milho 2ª safra'!$E80:$Z80,MIN(AS$6-$G$3,22))),0)))))</f>
        <v>0</v>
      </c>
      <c r="AT82" s="27" t="n">
        <f aca="false">IF(COUNT('Milho 2ª safra'!$E80:$Z80)=0,0,MAX(0,IF((AT$6-$E$3)&lt;1,0,IFERROR(LOOKUP(2,1/('Milho 2ª safra'!$E80:INDEX('Milho 2ª safra'!$E80:$Z80,MIN(AT$6-$E$3,22))&lt;&gt;""),'Milho 2ª safra'!$E80:INDEX('Milho 2ª safra'!$E80:$Z80,MIN(AT$6-$E$3,22))),0))-IF($G$2,0,IF((AT$6-$G$3)&lt;1,0,IFERROR(LOOKUP(2,1/('Milho 2ª safra'!$E80:INDEX('Milho 2ª safra'!$E80:$Z80,MIN(AT$6-$G$3,22))&lt;&gt;""),'Milho 2ª safra'!$E80:INDEX('Milho 2ª safra'!$E80:$Z80,MIN(AT$6-$G$3,22))),0)))))</f>
        <v>0</v>
      </c>
      <c r="AU82" s="27" t="n">
        <f aca="false">IF(COUNT('Milho 2ª safra'!$E80:$Z80)=0,0,MAX(0,IF((AU$6-$E$3)&lt;1,0,IFERROR(LOOKUP(2,1/('Milho 2ª safra'!$E80:INDEX('Milho 2ª safra'!$E80:$Z80,MIN(AU$6-$E$3,22))&lt;&gt;""),'Milho 2ª safra'!$E80:INDEX('Milho 2ª safra'!$E80:$Z80,MIN(AU$6-$E$3,22))),0))-IF($G$2,0,IF((AU$6-$G$3)&lt;1,0,IFERROR(LOOKUP(2,1/('Milho 2ª safra'!$E80:INDEX('Milho 2ª safra'!$E80:$Z80,MIN(AU$6-$G$3,22))&lt;&gt;""),'Milho 2ª safra'!$E80:INDEX('Milho 2ª safra'!$E80:$Z80,MIN(AU$6-$G$3,22))),0)))))</f>
        <v>0</v>
      </c>
      <c r="AV82" s="27" t="n">
        <f aca="false">IF(COUNT('Milho 2ª safra'!$E80:$Z80)=0,0,MAX(0,IF((AV$6-$E$3)&lt;1,0,IFERROR(LOOKUP(2,1/('Milho 2ª safra'!$E80:INDEX('Milho 2ª safra'!$E80:$Z80,MIN(AV$6-$E$3,22))&lt;&gt;""),'Milho 2ª safra'!$E80:INDEX('Milho 2ª safra'!$E80:$Z80,MIN(AV$6-$E$3,22))),0))-IF($G$2,0,IF((AV$6-$G$3)&lt;1,0,IFERROR(LOOKUP(2,1/('Milho 2ª safra'!$E80:INDEX('Milho 2ª safra'!$E80:$Z80,MIN(AV$6-$G$3,22))&lt;&gt;""),'Milho 2ª safra'!$E80:INDEX('Milho 2ª safra'!$E80:$Z80,MIN(AV$6-$G$3,22))),0)))))</f>
        <v>0</v>
      </c>
      <c r="AW82" s="27" t="n">
        <f aca="false">IF(COUNT('Milho 2ª safra'!$E80:$Z80)=0,0,MAX(0,IF((AW$6-$E$3)&lt;1,0,IFERROR(LOOKUP(2,1/('Milho 2ª safra'!$E80:INDEX('Milho 2ª safra'!$E80:$Z80,MIN(AW$6-$E$3,22))&lt;&gt;""),'Milho 2ª safra'!$E80:INDEX('Milho 2ª safra'!$E80:$Z80,MIN(AW$6-$E$3,22))),0))-IF($G$2,0,IF((AW$6-$G$3)&lt;1,0,IFERROR(LOOKUP(2,1/('Milho 2ª safra'!$E80:INDEX('Milho 2ª safra'!$E80:$Z80,MIN(AW$6-$G$3,22))&lt;&gt;""),'Milho 2ª safra'!$E80:INDEX('Milho 2ª safra'!$E80:$Z80,MIN(AW$6-$G$3,22))),0)))))</f>
        <v>0</v>
      </c>
      <c r="AX82" s="27" t="n">
        <f aca="false">IF(COUNT('Milho 2ª safra'!$E80:$Z80)=0,0,MAX(0,IF((AX$6-$E$3)&lt;1,0,IFERROR(LOOKUP(2,1/('Milho 2ª safra'!$E80:INDEX('Milho 2ª safra'!$E80:$Z80,MIN(AX$6-$E$3,22))&lt;&gt;""),'Milho 2ª safra'!$E80:INDEX('Milho 2ª safra'!$E80:$Z80,MIN(AX$6-$E$3,22))),0))-IF($G$2,0,IF((AX$6-$G$3)&lt;1,0,IFERROR(LOOKUP(2,1/('Milho 2ª safra'!$E80:INDEX('Milho 2ª safra'!$E80:$Z80,MIN(AX$6-$G$3,22))&lt;&gt;""),'Milho 2ª safra'!$E80:INDEX('Milho 2ª safra'!$E80:$Z80,MIN(AX$6-$G$3,22))),0)))))</f>
        <v>0</v>
      </c>
      <c r="AY82" s="27" t="n">
        <f aca="false">IF(COUNT('Milho 2ª safra'!$E80:$Z80)=0,0,MAX(0,IF((AY$6-$E$3)&lt;1,0,IFERROR(LOOKUP(2,1/('Milho 2ª safra'!$E80:INDEX('Milho 2ª safra'!$E80:$Z80,MIN(AY$6-$E$3,22))&lt;&gt;""),'Milho 2ª safra'!$E80:INDEX('Milho 2ª safra'!$E80:$Z80,MIN(AY$6-$E$3,22))),0))-IF($G$2,0,IF((AY$6-$G$3)&lt;1,0,IFERROR(LOOKUP(2,1/('Milho 2ª safra'!$E80:INDEX('Milho 2ª safra'!$E80:$Z80,MIN(AY$6-$G$3,22))&lt;&gt;""),'Milho 2ª safra'!$E80:INDEX('Milho 2ª safra'!$E80:$Z80,MIN(AY$6-$G$3,22))),0)))))</f>
        <v>0</v>
      </c>
      <c r="AZ82" s="27" t="n">
        <f aca="false">IF(COUNT('Milho 2ª safra'!$E80:$Z80)=0,0,MAX(0,IF((AZ$6-$E$3)&lt;1,0,IFERROR(LOOKUP(2,1/('Milho 2ª safra'!$E80:INDEX('Milho 2ª safra'!$E80:$Z80,MIN(AZ$6-$E$3,22))&lt;&gt;""),'Milho 2ª safra'!$E80:INDEX('Milho 2ª safra'!$E80:$Z80,MIN(AZ$6-$E$3,22))),0))-IF($G$2,0,IF((AZ$6-$G$3)&lt;1,0,IFERROR(LOOKUP(2,1/('Milho 2ª safra'!$E80:INDEX('Milho 2ª safra'!$E80:$Z80,MIN(AZ$6-$G$3,22))&lt;&gt;""),'Milho 2ª safra'!$E80:INDEX('Milho 2ª safra'!$E80:$Z80,MIN(AZ$6-$G$3,22))),0)))))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IF(COUNT('Milho 2ª safra'!$E81:$Z81)&gt;0,N('Milho 2ª safra'!$D81),0)</f>
        <v>0</v>
      </c>
      <c r="E83" s="27" t="n">
        <f aca="false">IF(COUNT('Milho 2ª safra'!$E81:$Z81)=0,0,MAX(0,IF((E$6-$E$3)&lt;1,0,IFERROR(LOOKUP(2,1/('Milho 2ª safra'!$E81:INDEX('Milho 2ª safra'!$E81:$Z81,MIN(E$6-$E$3,22))&lt;&gt;""),'Milho 2ª safra'!$E81:INDEX('Milho 2ª safra'!$E81:$Z81,MIN(E$6-$E$3,22))),0))-IF($G$2,0,IF((E$6-$G$3)&lt;1,0,IFERROR(LOOKUP(2,1/('Milho 2ª safra'!$E81:INDEX('Milho 2ª safra'!$E81:$Z81,MIN(E$6-$G$3,22))&lt;&gt;""),'Milho 2ª safra'!$E81:INDEX('Milho 2ª safra'!$E81:$Z81,MIN(E$6-$G$3,22))),0)))))</f>
        <v>0</v>
      </c>
      <c r="F83" s="27" t="n">
        <f aca="false">IF(COUNT('Milho 2ª safra'!$E81:$Z81)=0,0,MAX(0,IF((F$6-$E$3)&lt;1,0,IFERROR(LOOKUP(2,1/('Milho 2ª safra'!$E81:INDEX('Milho 2ª safra'!$E81:$Z81,MIN(F$6-$E$3,22))&lt;&gt;""),'Milho 2ª safra'!$E81:INDEX('Milho 2ª safra'!$E81:$Z81,MIN(F$6-$E$3,22))),0))-IF($G$2,0,IF((F$6-$G$3)&lt;1,0,IFERROR(LOOKUP(2,1/('Milho 2ª safra'!$E81:INDEX('Milho 2ª safra'!$E81:$Z81,MIN(F$6-$G$3,22))&lt;&gt;""),'Milho 2ª safra'!$E81:INDEX('Milho 2ª safra'!$E81:$Z81,MIN(F$6-$G$3,22))),0)))))</f>
        <v>0</v>
      </c>
      <c r="G83" s="27" t="n">
        <f aca="false">IF(COUNT('Milho 2ª safra'!$E81:$Z81)=0,0,MAX(0,IF((G$6-$E$3)&lt;1,0,IFERROR(LOOKUP(2,1/('Milho 2ª safra'!$E81:INDEX('Milho 2ª safra'!$E81:$Z81,MIN(G$6-$E$3,22))&lt;&gt;""),'Milho 2ª safra'!$E81:INDEX('Milho 2ª safra'!$E81:$Z81,MIN(G$6-$E$3,22))),0))-IF($G$2,0,IF((G$6-$G$3)&lt;1,0,IFERROR(LOOKUP(2,1/('Milho 2ª safra'!$E81:INDEX('Milho 2ª safra'!$E81:$Z81,MIN(G$6-$G$3,22))&lt;&gt;""),'Milho 2ª safra'!$E81:INDEX('Milho 2ª safra'!$E81:$Z81,MIN(G$6-$G$3,22))),0)))))</f>
        <v>0</v>
      </c>
      <c r="H83" s="27" t="n">
        <f aca="false">IF(COUNT('Milho 2ª safra'!$E81:$Z81)=0,0,MAX(0,IF((H$6-$E$3)&lt;1,0,IFERROR(LOOKUP(2,1/('Milho 2ª safra'!$E81:INDEX('Milho 2ª safra'!$E81:$Z81,MIN(H$6-$E$3,22))&lt;&gt;""),'Milho 2ª safra'!$E81:INDEX('Milho 2ª safra'!$E81:$Z81,MIN(H$6-$E$3,22))),0))-IF($G$2,0,IF((H$6-$G$3)&lt;1,0,IFERROR(LOOKUP(2,1/('Milho 2ª safra'!$E81:INDEX('Milho 2ª safra'!$E81:$Z81,MIN(H$6-$G$3,22))&lt;&gt;""),'Milho 2ª safra'!$E81:INDEX('Milho 2ª safra'!$E81:$Z81,MIN(H$6-$G$3,22))),0)))))</f>
        <v>0</v>
      </c>
      <c r="I83" s="27" t="n">
        <f aca="false">IF(COUNT('Milho 2ª safra'!$E81:$Z81)=0,0,MAX(0,IF((I$6-$E$3)&lt;1,0,IFERROR(LOOKUP(2,1/('Milho 2ª safra'!$E81:INDEX('Milho 2ª safra'!$E81:$Z81,MIN(I$6-$E$3,22))&lt;&gt;""),'Milho 2ª safra'!$E81:INDEX('Milho 2ª safra'!$E81:$Z81,MIN(I$6-$E$3,22))),0))-IF($G$2,0,IF((I$6-$G$3)&lt;1,0,IFERROR(LOOKUP(2,1/('Milho 2ª safra'!$E81:INDEX('Milho 2ª safra'!$E81:$Z81,MIN(I$6-$G$3,22))&lt;&gt;""),'Milho 2ª safra'!$E81:INDEX('Milho 2ª safra'!$E81:$Z81,MIN(I$6-$G$3,22))),0)))))</f>
        <v>0</v>
      </c>
      <c r="J83" s="27" t="n">
        <f aca="false">IF(COUNT('Milho 2ª safra'!$E81:$Z81)=0,0,MAX(0,IF((J$6-$E$3)&lt;1,0,IFERROR(LOOKUP(2,1/('Milho 2ª safra'!$E81:INDEX('Milho 2ª safra'!$E81:$Z81,MIN(J$6-$E$3,22))&lt;&gt;""),'Milho 2ª safra'!$E81:INDEX('Milho 2ª safra'!$E81:$Z81,MIN(J$6-$E$3,22))),0))-IF($G$2,0,IF((J$6-$G$3)&lt;1,0,IFERROR(LOOKUP(2,1/('Milho 2ª safra'!$E81:INDEX('Milho 2ª safra'!$E81:$Z81,MIN(J$6-$G$3,22))&lt;&gt;""),'Milho 2ª safra'!$E81:INDEX('Milho 2ª safra'!$E81:$Z81,MIN(J$6-$G$3,22))),0)))))</f>
        <v>0</v>
      </c>
      <c r="K83" s="27" t="n">
        <f aca="false">IF(COUNT('Milho 2ª safra'!$E81:$Z81)=0,0,MAX(0,IF((K$6-$E$3)&lt;1,0,IFERROR(LOOKUP(2,1/('Milho 2ª safra'!$E81:INDEX('Milho 2ª safra'!$E81:$Z81,MIN(K$6-$E$3,22))&lt;&gt;""),'Milho 2ª safra'!$E81:INDEX('Milho 2ª safra'!$E81:$Z81,MIN(K$6-$E$3,22))),0))-IF($G$2,0,IF((K$6-$G$3)&lt;1,0,IFERROR(LOOKUP(2,1/('Milho 2ª safra'!$E81:INDEX('Milho 2ª safra'!$E81:$Z81,MIN(K$6-$G$3,22))&lt;&gt;""),'Milho 2ª safra'!$E81:INDEX('Milho 2ª safra'!$E81:$Z81,MIN(K$6-$G$3,22))),0)))))</f>
        <v>0</v>
      </c>
      <c r="L83" s="27" t="n">
        <f aca="false">IF(COUNT('Milho 2ª safra'!$E81:$Z81)=0,0,MAX(0,IF((L$6-$E$3)&lt;1,0,IFERROR(LOOKUP(2,1/('Milho 2ª safra'!$E81:INDEX('Milho 2ª safra'!$E81:$Z81,MIN(L$6-$E$3,22))&lt;&gt;""),'Milho 2ª safra'!$E81:INDEX('Milho 2ª safra'!$E81:$Z81,MIN(L$6-$E$3,22))),0))-IF($G$2,0,IF((L$6-$G$3)&lt;1,0,IFERROR(LOOKUP(2,1/('Milho 2ª safra'!$E81:INDEX('Milho 2ª safra'!$E81:$Z81,MIN(L$6-$G$3,22))&lt;&gt;""),'Milho 2ª safra'!$E81:INDEX('Milho 2ª safra'!$E81:$Z81,MIN(L$6-$G$3,22))),0)))))</f>
        <v>0</v>
      </c>
      <c r="M83" s="27" t="n">
        <f aca="false">IF(COUNT('Milho 2ª safra'!$E81:$Z81)=0,0,MAX(0,IF((M$6-$E$3)&lt;1,0,IFERROR(LOOKUP(2,1/('Milho 2ª safra'!$E81:INDEX('Milho 2ª safra'!$E81:$Z81,MIN(M$6-$E$3,22))&lt;&gt;""),'Milho 2ª safra'!$E81:INDEX('Milho 2ª safra'!$E81:$Z81,MIN(M$6-$E$3,22))),0))-IF($G$2,0,IF((M$6-$G$3)&lt;1,0,IFERROR(LOOKUP(2,1/('Milho 2ª safra'!$E81:INDEX('Milho 2ª safra'!$E81:$Z81,MIN(M$6-$G$3,22))&lt;&gt;""),'Milho 2ª safra'!$E81:INDEX('Milho 2ª safra'!$E81:$Z81,MIN(M$6-$G$3,22))),0)))))</f>
        <v>0</v>
      </c>
      <c r="N83" s="27" t="n">
        <f aca="false">IF(COUNT('Milho 2ª safra'!$E81:$Z81)=0,0,MAX(0,IF((N$6-$E$3)&lt;1,0,IFERROR(LOOKUP(2,1/('Milho 2ª safra'!$E81:INDEX('Milho 2ª safra'!$E81:$Z81,MIN(N$6-$E$3,22))&lt;&gt;""),'Milho 2ª safra'!$E81:INDEX('Milho 2ª safra'!$E81:$Z81,MIN(N$6-$E$3,22))),0))-IF($G$2,0,IF((N$6-$G$3)&lt;1,0,IFERROR(LOOKUP(2,1/('Milho 2ª safra'!$E81:INDEX('Milho 2ª safra'!$E81:$Z81,MIN(N$6-$G$3,22))&lt;&gt;""),'Milho 2ª safra'!$E81:INDEX('Milho 2ª safra'!$E81:$Z81,MIN(N$6-$G$3,22))),0)))))</f>
        <v>0</v>
      </c>
      <c r="O83" s="27" t="n">
        <f aca="false">IF(COUNT('Milho 2ª safra'!$E81:$Z81)=0,0,MAX(0,IF((O$6-$E$3)&lt;1,0,IFERROR(LOOKUP(2,1/('Milho 2ª safra'!$E81:INDEX('Milho 2ª safra'!$E81:$Z81,MIN(O$6-$E$3,22))&lt;&gt;""),'Milho 2ª safra'!$E81:INDEX('Milho 2ª safra'!$E81:$Z81,MIN(O$6-$E$3,22))),0))-IF($G$2,0,IF((O$6-$G$3)&lt;1,0,IFERROR(LOOKUP(2,1/('Milho 2ª safra'!$E81:INDEX('Milho 2ª safra'!$E81:$Z81,MIN(O$6-$G$3,22))&lt;&gt;""),'Milho 2ª safra'!$E81:INDEX('Milho 2ª safra'!$E81:$Z81,MIN(O$6-$G$3,22))),0)))))</f>
        <v>0</v>
      </c>
      <c r="P83" s="27" t="n">
        <f aca="false">IF(COUNT('Milho 2ª safra'!$E81:$Z81)=0,0,MAX(0,IF((P$6-$E$3)&lt;1,0,IFERROR(LOOKUP(2,1/('Milho 2ª safra'!$E81:INDEX('Milho 2ª safra'!$E81:$Z81,MIN(P$6-$E$3,22))&lt;&gt;""),'Milho 2ª safra'!$E81:INDEX('Milho 2ª safra'!$E81:$Z81,MIN(P$6-$E$3,22))),0))-IF($G$2,0,IF((P$6-$G$3)&lt;1,0,IFERROR(LOOKUP(2,1/('Milho 2ª safra'!$E81:INDEX('Milho 2ª safra'!$E81:$Z81,MIN(P$6-$G$3,22))&lt;&gt;""),'Milho 2ª safra'!$E81:INDEX('Milho 2ª safra'!$E81:$Z81,MIN(P$6-$G$3,22))),0)))))</f>
        <v>0</v>
      </c>
      <c r="Q83" s="27" t="n">
        <f aca="false">IF(COUNT('Milho 2ª safra'!$E81:$Z81)=0,0,MAX(0,IF((Q$6-$E$3)&lt;1,0,IFERROR(LOOKUP(2,1/('Milho 2ª safra'!$E81:INDEX('Milho 2ª safra'!$E81:$Z81,MIN(Q$6-$E$3,22))&lt;&gt;""),'Milho 2ª safra'!$E81:INDEX('Milho 2ª safra'!$E81:$Z81,MIN(Q$6-$E$3,22))),0))-IF($G$2,0,IF((Q$6-$G$3)&lt;1,0,IFERROR(LOOKUP(2,1/('Milho 2ª safra'!$E81:INDEX('Milho 2ª safra'!$E81:$Z81,MIN(Q$6-$G$3,22))&lt;&gt;""),'Milho 2ª safra'!$E81:INDEX('Milho 2ª safra'!$E81:$Z81,MIN(Q$6-$G$3,22))),0)))))</f>
        <v>0</v>
      </c>
      <c r="R83" s="27" t="n">
        <f aca="false">IF(COUNT('Milho 2ª safra'!$E81:$Z81)=0,0,MAX(0,IF((R$6-$E$3)&lt;1,0,IFERROR(LOOKUP(2,1/('Milho 2ª safra'!$E81:INDEX('Milho 2ª safra'!$E81:$Z81,MIN(R$6-$E$3,22))&lt;&gt;""),'Milho 2ª safra'!$E81:INDEX('Milho 2ª safra'!$E81:$Z81,MIN(R$6-$E$3,22))),0))-IF($G$2,0,IF((R$6-$G$3)&lt;1,0,IFERROR(LOOKUP(2,1/('Milho 2ª safra'!$E81:INDEX('Milho 2ª safra'!$E81:$Z81,MIN(R$6-$G$3,22))&lt;&gt;""),'Milho 2ª safra'!$E81:INDEX('Milho 2ª safra'!$E81:$Z81,MIN(R$6-$G$3,22))),0)))))</f>
        <v>0</v>
      </c>
      <c r="S83" s="27" t="n">
        <f aca="false">IF(COUNT('Milho 2ª safra'!$E81:$Z81)=0,0,MAX(0,IF((S$6-$E$3)&lt;1,0,IFERROR(LOOKUP(2,1/('Milho 2ª safra'!$E81:INDEX('Milho 2ª safra'!$E81:$Z81,MIN(S$6-$E$3,22))&lt;&gt;""),'Milho 2ª safra'!$E81:INDEX('Milho 2ª safra'!$E81:$Z81,MIN(S$6-$E$3,22))),0))-IF($G$2,0,IF((S$6-$G$3)&lt;1,0,IFERROR(LOOKUP(2,1/('Milho 2ª safra'!$E81:INDEX('Milho 2ª safra'!$E81:$Z81,MIN(S$6-$G$3,22))&lt;&gt;""),'Milho 2ª safra'!$E81:INDEX('Milho 2ª safra'!$E81:$Z81,MIN(S$6-$G$3,22))),0)))))</f>
        <v>0</v>
      </c>
      <c r="T83" s="27" t="n">
        <f aca="false">IF(COUNT('Milho 2ª safra'!$E81:$Z81)=0,0,MAX(0,IF((T$6-$E$3)&lt;1,0,IFERROR(LOOKUP(2,1/('Milho 2ª safra'!$E81:INDEX('Milho 2ª safra'!$E81:$Z81,MIN(T$6-$E$3,22))&lt;&gt;""),'Milho 2ª safra'!$E81:INDEX('Milho 2ª safra'!$E81:$Z81,MIN(T$6-$E$3,22))),0))-IF($G$2,0,IF((T$6-$G$3)&lt;1,0,IFERROR(LOOKUP(2,1/('Milho 2ª safra'!$E81:INDEX('Milho 2ª safra'!$E81:$Z81,MIN(T$6-$G$3,22))&lt;&gt;""),'Milho 2ª safra'!$E81:INDEX('Milho 2ª safra'!$E81:$Z81,MIN(T$6-$G$3,22))),0)))))</f>
        <v>0</v>
      </c>
      <c r="U83" s="27" t="n">
        <f aca="false">IF(COUNT('Milho 2ª safra'!$E81:$Z81)=0,0,MAX(0,IF((U$6-$E$3)&lt;1,0,IFERROR(LOOKUP(2,1/('Milho 2ª safra'!$E81:INDEX('Milho 2ª safra'!$E81:$Z81,MIN(U$6-$E$3,22))&lt;&gt;""),'Milho 2ª safra'!$E81:INDEX('Milho 2ª safra'!$E81:$Z81,MIN(U$6-$E$3,22))),0))-IF($G$2,0,IF((U$6-$G$3)&lt;1,0,IFERROR(LOOKUP(2,1/('Milho 2ª safra'!$E81:INDEX('Milho 2ª safra'!$E81:$Z81,MIN(U$6-$G$3,22))&lt;&gt;""),'Milho 2ª safra'!$E81:INDEX('Milho 2ª safra'!$E81:$Z81,MIN(U$6-$G$3,22))),0)))))</f>
        <v>0</v>
      </c>
      <c r="V83" s="27" t="n">
        <f aca="false">IF(COUNT('Milho 2ª safra'!$E81:$Z81)=0,0,MAX(0,IF((V$6-$E$3)&lt;1,0,IFERROR(LOOKUP(2,1/('Milho 2ª safra'!$E81:INDEX('Milho 2ª safra'!$E81:$Z81,MIN(V$6-$E$3,22))&lt;&gt;""),'Milho 2ª safra'!$E81:INDEX('Milho 2ª safra'!$E81:$Z81,MIN(V$6-$E$3,22))),0))-IF($G$2,0,IF((V$6-$G$3)&lt;1,0,IFERROR(LOOKUP(2,1/('Milho 2ª safra'!$E81:INDEX('Milho 2ª safra'!$E81:$Z81,MIN(V$6-$G$3,22))&lt;&gt;""),'Milho 2ª safra'!$E81:INDEX('Milho 2ª safra'!$E81:$Z81,MIN(V$6-$G$3,22))),0)))))</f>
        <v>0</v>
      </c>
      <c r="W83" s="27" t="n">
        <f aca="false">IF(COUNT('Milho 2ª safra'!$E81:$Z81)=0,0,MAX(0,IF((W$6-$E$3)&lt;1,0,IFERROR(LOOKUP(2,1/('Milho 2ª safra'!$E81:INDEX('Milho 2ª safra'!$E81:$Z81,MIN(W$6-$E$3,22))&lt;&gt;""),'Milho 2ª safra'!$E81:INDEX('Milho 2ª safra'!$E81:$Z81,MIN(W$6-$E$3,22))),0))-IF($G$2,0,IF((W$6-$G$3)&lt;1,0,IFERROR(LOOKUP(2,1/('Milho 2ª safra'!$E81:INDEX('Milho 2ª safra'!$E81:$Z81,MIN(W$6-$G$3,22))&lt;&gt;""),'Milho 2ª safra'!$E81:INDEX('Milho 2ª safra'!$E81:$Z81,MIN(W$6-$G$3,22))),0)))))</f>
        <v>0</v>
      </c>
      <c r="X83" s="27" t="n">
        <f aca="false">IF(COUNT('Milho 2ª safra'!$E81:$Z81)=0,0,MAX(0,IF((X$6-$E$3)&lt;1,0,IFERROR(LOOKUP(2,1/('Milho 2ª safra'!$E81:INDEX('Milho 2ª safra'!$E81:$Z81,MIN(X$6-$E$3,22))&lt;&gt;""),'Milho 2ª safra'!$E81:INDEX('Milho 2ª safra'!$E81:$Z81,MIN(X$6-$E$3,22))),0))-IF($G$2,0,IF((X$6-$G$3)&lt;1,0,IFERROR(LOOKUP(2,1/('Milho 2ª safra'!$E81:INDEX('Milho 2ª safra'!$E81:$Z81,MIN(X$6-$G$3,22))&lt;&gt;""),'Milho 2ª safra'!$E81:INDEX('Milho 2ª safra'!$E81:$Z81,MIN(X$6-$G$3,22))),0)))))</f>
        <v>0</v>
      </c>
      <c r="Y83" s="27" t="n">
        <f aca="false">IF(COUNT('Milho 2ª safra'!$E81:$Z81)=0,0,MAX(0,IF((Y$6-$E$3)&lt;1,0,IFERROR(LOOKUP(2,1/('Milho 2ª safra'!$E81:INDEX('Milho 2ª safra'!$E81:$Z81,MIN(Y$6-$E$3,22))&lt;&gt;""),'Milho 2ª safra'!$E81:INDEX('Milho 2ª safra'!$E81:$Z81,MIN(Y$6-$E$3,22))),0))-IF($G$2,0,IF((Y$6-$G$3)&lt;1,0,IFERROR(LOOKUP(2,1/('Milho 2ª safra'!$E81:INDEX('Milho 2ª safra'!$E81:$Z81,MIN(Y$6-$G$3,22))&lt;&gt;""),'Milho 2ª safra'!$E81:INDEX('Milho 2ª safra'!$E81:$Z81,MIN(Y$6-$G$3,22))),0)))))</f>
        <v>0</v>
      </c>
      <c r="Z83" s="27" t="n">
        <f aca="false">IF(COUNT('Milho 2ª safra'!$E81:$Z81)=0,0,MAX(0,IF((Z$6-$E$3)&lt;1,0,IFERROR(LOOKUP(2,1/('Milho 2ª safra'!$E81:INDEX('Milho 2ª safra'!$E81:$Z81,MIN(Z$6-$E$3,22))&lt;&gt;""),'Milho 2ª safra'!$E81:INDEX('Milho 2ª safra'!$E81:$Z81,MIN(Z$6-$E$3,22))),0))-IF($G$2,0,IF((Z$6-$G$3)&lt;1,0,IFERROR(LOOKUP(2,1/('Milho 2ª safra'!$E81:INDEX('Milho 2ª safra'!$E81:$Z81,MIN(Z$6-$G$3,22))&lt;&gt;""),'Milho 2ª safra'!$E81:INDEX('Milho 2ª safra'!$E81:$Z81,MIN(Z$6-$G$3,22))),0)))))</f>
        <v>0</v>
      </c>
      <c r="AA83" s="27" t="n">
        <f aca="false">IF(COUNT('Milho 2ª safra'!$E81:$Z81)=0,0,MAX(0,IF((AA$6-$E$3)&lt;1,0,IFERROR(LOOKUP(2,1/('Milho 2ª safra'!$E81:INDEX('Milho 2ª safra'!$E81:$Z81,MIN(AA$6-$E$3,22))&lt;&gt;""),'Milho 2ª safra'!$E81:INDEX('Milho 2ª safra'!$E81:$Z81,MIN(AA$6-$E$3,22))),0))-IF($G$2,0,IF((AA$6-$G$3)&lt;1,0,IFERROR(LOOKUP(2,1/('Milho 2ª safra'!$E81:INDEX('Milho 2ª safra'!$E81:$Z81,MIN(AA$6-$G$3,22))&lt;&gt;""),'Milho 2ª safra'!$E81:INDEX('Milho 2ª safra'!$E81:$Z81,MIN(AA$6-$G$3,22))),0)))))</f>
        <v>0</v>
      </c>
      <c r="AB83" s="27" t="n">
        <f aca="false">IF(COUNT('Milho 2ª safra'!$E81:$Z81)=0,0,MAX(0,IF((AB$6-$E$3)&lt;1,0,IFERROR(LOOKUP(2,1/('Milho 2ª safra'!$E81:INDEX('Milho 2ª safra'!$E81:$Z81,MIN(AB$6-$E$3,22))&lt;&gt;""),'Milho 2ª safra'!$E81:INDEX('Milho 2ª safra'!$E81:$Z81,MIN(AB$6-$E$3,22))),0))-IF($G$2,0,IF((AB$6-$G$3)&lt;1,0,IFERROR(LOOKUP(2,1/('Milho 2ª safra'!$E81:INDEX('Milho 2ª safra'!$E81:$Z81,MIN(AB$6-$G$3,22))&lt;&gt;""),'Milho 2ª safra'!$E81:INDEX('Milho 2ª safra'!$E81:$Z81,MIN(AB$6-$G$3,22))),0)))))</f>
        <v>0</v>
      </c>
      <c r="AC83" s="27" t="n">
        <f aca="false">IF(COUNT('Milho 2ª safra'!$E81:$Z81)=0,0,MAX(0,IF((AC$6-$E$3)&lt;1,0,IFERROR(LOOKUP(2,1/('Milho 2ª safra'!$E81:INDEX('Milho 2ª safra'!$E81:$Z81,MIN(AC$6-$E$3,22))&lt;&gt;""),'Milho 2ª safra'!$E81:INDEX('Milho 2ª safra'!$E81:$Z81,MIN(AC$6-$E$3,22))),0))-IF($G$2,0,IF((AC$6-$G$3)&lt;1,0,IFERROR(LOOKUP(2,1/('Milho 2ª safra'!$E81:INDEX('Milho 2ª safra'!$E81:$Z81,MIN(AC$6-$G$3,22))&lt;&gt;""),'Milho 2ª safra'!$E81:INDEX('Milho 2ª safra'!$E81:$Z81,MIN(AC$6-$G$3,22))),0)))))</f>
        <v>0</v>
      </c>
      <c r="AD83" s="27" t="n">
        <f aca="false">IF(COUNT('Milho 2ª safra'!$E81:$Z81)=0,0,MAX(0,IF((AD$6-$E$3)&lt;1,0,IFERROR(LOOKUP(2,1/('Milho 2ª safra'!$E81:INDEX('Milho 2ª safra'!$E81:$Z81,MIN(AD$6-$E$3,22))&lt;&gt;""),'Milho 2ª safra'!$E81:INDEX('Milho 2ª safra'!$E81:$Z81,MIN(AD$6-$E$3,22))),0))-IF($G$2,0,IF((AD$6-$G$3)&lt;1,0,IFERROR(LOOKUP(2,1/('Milho 2ª safra'!$E81:INDEX('Milho 2ª safra'!$E81:$Z81,MIN(AD$6-$G$3,22))&lt;&gt;""),'Milho 2ª safra'!$E81:INDEX('Milho 2ª safra'!$E81:$Z81,MIN(AD$6-$G$3,22))),0)))))</f>
        <v>0</v>
      </c>
      <c r="AE83" s="27" t="n">
        <f aca="false">IF(COUNT('Milho 2ª safra'!$E81:$Z81)=0,0,MAX(0,IF((AE$6-$E$3)&lt;1,0,IFERROR(LOOKUP(2,1/('Milho 2ª safra'!$E81:INDEX('Milho 2ª safra'!$E81:$Z81,MIN(AE$6-$E$3,22))&lt;&gt;""),'Milho 2ª safra'!$E81:INDEX('Milho 2ª safra'!$E81:$Z81,MIN(AE$6-$E$3,22))),0))-IF($G$2,0,IF((AE$6-$G$3)&lt;1,0,IFERROR(LOOKUP(2,1/('Milho 2ª safra'!$E81:INDEX('Milho 2ª safra'!$E81:$Z81,MIN(AE$6-$G$3,22))&lt;&gt;""),'Milho 2ª safra'!$E81:INDEX('Milho 2ª safra'!$E81:$Z81,MIN(AE$6-$G$3,22))),0)))))</f>
        <v>0</v>
      </c>
      <c r="AF83" s="27" t="n">
        <f aca="false">IF(COUNT('Milho 2ª safra'!$E81:$Z81)=0,0,MAX(0,IF((AF$6-$E$3)&lt;1,0,IFERROR(LOOKUP(2,1/('Milho 2ª safra'!$E81:INDEX('Milho 2ª safra'!$E81:$Z81,MIN(AF$6-$E$3,22))&lt;&gt;""),'Milho 2ª safra'!$E81:INDEX('Milho 2ª safra'!$E81:$Z81,MIN(AF$6-$E$3,22))),0))-IF($G$2,0,IF((AF$6-$G$3)&lt;1,0,IFERROR(LOOKUP(2,1/('Milho 2ª safra'!$E81:INDEX('Milho 2ª safra'!$E81:$Z81,MIN(AF$6-$G$3,22))&lt;&gt;""),'Milho 2ª safra'!$E81:INDEX('Milho 2ª safra'!$E81:$Z81,MIN(AF$6-$G$3,22))),0)))))</f>
        <v>0</v>
      </c>
      <c r="AG83" s="27" t="n">
        <f aca="false">IF(COUNT('Milho 2ª safra'!$E81:$Z81)=0,0,MAX(0,IF((AG$6-$E$3)&lt;1,0,IFERROR(LOOKUP(2,1/('Milho 2ª safra'!$E81:INDEX('Milho 2ª safra'!$E81:$Z81,MIN(AG$6-$E$3,22))&lt;&gt;""),'Milho 2ª safra'!$E81:INDEX('Milho 2ª safra'!$E81:$Z81,MIN(AG$6-$E$3,22))),0))-IF($G$2,0,IF((AG$6-$G$3)&lt;1,0,IFERROR(LOOKUP(2,1/('Milho 2ª safra'!$E81:INDEX('Milho 2ª safra'!$E81:$Z81,MIN(AG$6-$G$3,22))&lt;&gt;""),'Milho 2ª safra'!$E81:INDEX('Milho 2ª safra'!$E81:$Z81,MIN(AG$6-$G$3,22))),0)))))</f>
        <v>0</v>
      </c>
      <c r="AH83" s="27" t="n">
        <f aca="false">IF(COUNT('Milho 2ª safra'!$E81:$Z81)=0,0,MAX(0,IF((AH$6-$E$3)&lt;1,0,IFERROR(LOOKUP(2,1/('Milho 2ª safra'!$E81:INDEX('Milho 2ª safra'!$E81:$Z81,MIN(AH$6-$E$3,22))&lt;&gt;""),'Milho 2ª safra'!$E81:INDEX('Milho 2ª safra'!$E81:$Z81,MIN(AH$6-$E$3,22))),0))-IF($G$2,0,IF((AH$6-$G$3)&lt;1,0,IFERROR(LOOKUP(2,1/('Milho 2ª safra'!$E81:INDEX('Milho 2ª safra'!$E81:$Z81,MIN(AH$6-$G$3,22))&lt;&gt;""),'Milho 2ª safra'!$E81:INDEX('Milho 2ª safra'!$E81:$Z81,MIN(AH$6-$G$3,22))),0)))))</f>
        <v>0</v>
      </c>
      <c r="AI83" s="27" t="n">
        <f aca="false">IF(COUNT('Milho 2ª safra'!$E81:$Z81)=0,0,MAX(0,IF((AI$6-$E$3)&lt;1,0,IFERROR(LOOKUP(2,1/('Milho 2ª safra'!$E81:INDEX('Milho 2ª safra'!$E81:$Z81,MIN(AI$6-$E$3,22))&lt;&gt;""),'Milho 2ª safra'!$E81:INDEX('Milho 2ª safra'!$E81:$Z81,MIN(AI$6-$E$3,22))),0))-IF($G$2,0,IF((AI$6-$G$3)&lt;1,0,IFERROR(LOOKUP(2,1/('Milho 2ª safra'!$E81:INDEX('Milho 2ª safra'!$E81:$Z81,MIN(AI$6-$G$3,22))&lt;&gt;""),'Milho 2ª safra'!$E81:INDEX('Milho 2ª safra'!$E81:$Z81,MIN(AI$6-$G$3,22))),0)))))</f>
        <v>0</v>
      </c>
      <c r="AJ83" s="27" t="n">
        <f aca="false">IF(COUNT('Milho 2ª safra'!$E81:$Z81)=0,0,MAX(0,IF((AJ$6-$E$3)&lt;1,0,IFERROR(LOOKUP(2,1/('Milho 2ª safra'!$E81:INDEX('Milho 2ª safra'!$E81:$Z81,MIN(AJ$6-$E$3,22))&lt;&gt;""),'Milho 2ª safra'!$E81:INDEX('Milho 2ª safra'!$E81:$Z81,MIN(AJ$6-$E$3,22))),0))-IF($G$2,0,IF((AJ$6-$G$3)&lt;1,0,IFERROR(LOOKUP(2,1/('Milho 2ª safra'!$E81:INDEX('Milho 2ª safra'!$E81:$Z81,MIN(AJ$6-$G$3,22))&lt;&gt;""),'Milho 2ª safra'!$E81:INDEX('Milho 2ª safra'!$E81:$Z81,MIN(AJ$6-$G$3,22))),0)))))</f>
        <v>0</v>
      </c>
      <c r="AK83" s="27" t="n">
        <f aca="false">IF(COUNT('Milho 2ª safra'!$E81:$Z81)=0,0,MAX(0,IF((AK$6-$E$3)&lt;1,0,IFERROR(LOOKUP(2,1/('Milho 2ª safra'!$E81:INDEX('Milho 2ª safra'!$E81:$Z81,MIN(AK$6-$E$3,22))&lt;&gt;""),'Milho 2ª safra'!$E81:INDEX('Milho 2ª safra'!$E81:$Z81,MIN(AK$6-$E$3,22))),0))-IF($G$2,0,IF((AK$6-$G$3)&lt;1,0,IFERROR(LOOKUP(2,1/('Milho 2ª safra'!$E81:INDEX('Milho 2ª safra'!$E81:$Z81,MIN(AK$6-$G$3,22))&lt;&gt;""),'Milho 2ª safra'!$E81:INDEX('Milho 2ª safra'!$E81:$Z81,MIN(AK$6-$G$3,22))),0)))))</f>
        <v>0</v>
      </c>
      <c r="AL83" s="27" t="n">
        <f aca="false">IF(COUNT('Milho 2ª safra'!$E81:$Z81)=0,0,MAX(0,IF((AL$6-$E$3)&lt;1,0,IFERROR(LOOKUP(2,1/('Milho 2ª safra'!$E81:INDEX('Milho 2ª safra'!$E81:$Z81,MIN(AL$6-$E$3,22))&lt;&gt;""),'Milho 2ª safra'!$E81:INDEX('Milho 2ª safra'!$E81:$Z81,MIN(AL$6-$E$3,22))),0))-IF($G$2,0,IF((AL$6-$G$3)&lt;1,0,IFERROR(LOOKUP(2,1/('Milho 2ª safra'!$E81:INDEX('Milho 2ª safra'!$E81:$Z81,MIN(AL$6-$G$3,22))&lt;&gt;""),'Milho 2ª safra'!$E81:INDEX('Milho 2ª safra'!$E81:$Z81,MIN(AL$6-$G$3,22))),0)))))</f>
        <v>0</v>
      </c>
      <c r="AM83" s="27" t="n">
        <f aca="false">IF(COUNT('Milho 2ª safra'!$E81:$Z81)=0,0,MAX(0,IF((AM$6-$E$3)&lt;1,0,IFERROR(LOOKUP(2,1/('Milho 2ª safra'!$E81:INDEX('Milho 2ª safra'!$E81:$Z81,MIN(AM$6-$E$3,22))&lt;&gt;""),'Milho 2ª safra'!$E81:INDEX('Milho 2ª safra'!$E81:$Z81,MIN(AM$6-$E$3,22))),0))-IF($G$2,0,IF((AM$6-$G$3)&lt;1,0,IFERROR(LOOKUP(2,1/('Milho 2ª safra'!$E81:INDEX('Milho 2ª safra'!$E81:$Z81,MIN(AM$6-$G$3,22))&lt;&gt;""),'Milho 2ª safra'!$E81:INDEX('Milho 2ª safra'!$E81:$Z81,MIN(AM$6-$G$3,22))),0)))))</f>
        <v>0</v>
      </c>
      <c r="AN83" s="27" t="n">
        <f aca="false">IF(COUNT('Milho 2ª safra'!$E81:$Z81)=0,0,MAX(0,IF((AN$6-$E$3)&lt;1,0,IFERROR(LOOKUP(2,1/('Milho 2ª safra'!$E81:INDEX('Milho 2ª safra'!$E81:$Z81,MIN(AN$6-$E$3,22))&lt;&gt;""),'Milho 2ª safra'!$E81:INDEX('Milho 2ª safra'!$E81:$Z81,MIN(AN$6-$E$3,22))),0))-IF($G$2,0,IF((AN$6-$G$3)&lt;1,0,IFERROR(LOOKUP(2,1/('Milho 2ª safra'!$E81:INDEX('Milho 2ª safra'!$E81:$Z81,MIN(AN$6-$G$3,22))&lt;&gt;""),'Milho 2ª safra'!$E81:INDEX('Milho 2ª safra'!$E81:$Z81,MIN(AN$6-$G$3,22))),0)))))</f>
        <v>0</v>
      </c>
      <c r="AO83" s="27" t="n">
        <f aca="false">IF(COUNT('Milho 2ª safra'!$E81:$Z81)=0,0,MAX(0,IF((AO$6-$E$3)&lt;1,0,IFERROR(LOOKUP(2,1/('Milho 2ª safra'!$E81:INDEX('Milho 2ª safra'!$E81:$Z81,MIN(AO$6-$E$3,22))&lt;&gt;""),'Milho 2ª safra'!$E81:INDEX('Milho 2ª safra'!$E81:$Z81,MIN(AO$6-$E$3,22))),0))-IF($G$2,0,IF((AO$6-$G$3)&lt;1,0,IFERROR(LOOKUP(2,1/('Milho 2ª safra'!$E81:INDEX('Milho 2ª safra'!$E81:$Z81,MIN(AO$6-$G$3,22))&lt;&gt;""),'Milho 2ª safra'!$E81:INDEX('Milho 2ª safra'!$E81:$Z81,MIN(AO$6-$G$3,22))),0)))))</f>
        <v>0</v>
      </c>
      <c r="AP83" s="27" t="n">
        <f aca="false">IF(COUNT('Milho 2ª safra'!$E81:$Z81)=0,0,MAX(0,IF((AP$6-$E$3)&lt;1,0,IFERROR(LOOKUP(2,1/('Milho 2ª safra'!$E81:INDEX('Milho 2ª safra'!$E81:$Z81,MIN(AP$6-$E$3,22))&lt;&gt;""),'Milho 2ª safra'!$E81:INDEX('Milho 2ª safra'!$E81:$Z81,MIN(AP$6-$E$3,22))),0))-IF($G$2,0,IF((AP$6-$G$3)&lt;1,0,IFERROR(LOOKUP(2,1/('Milho 2ª safra'!$E81:INDEX('Milho 2ª safra'!$E81:$Z81,MIN(AP$6-$G$3,22))&lt;&gt;""),'Milho 2ª safra'!$E81:INDEX('Milho 2ª safra'!$E81:$Z81,MIN(AP$6-$G$3,22))),0)))))</f>
        <v>0</v>
      </c>
      <c r="AQ83" s="27" t="n">
        <f aca="false">IF(COUNT('Milho 2ª safra'!$E81:$Z81)=0,0,MAX(0,IF((AQ$6-$E$3)&lt;1,0,IFERROR(LOOKUP(2,1/('Milho 2ª safra'!$E81:INDEX('Milho 2ª safra'!$E81:$Z81,MIN(AQ$6-$E$3,22))&lt;&gt;""),'Milho 2ª safra'!$E81:INDEX('Milho 2ª safra'!$E81:$Z81,MIN(AQ$6-$E$3,22))),0))-IF($G$2,0,IF((AQ$6-$G$3)&lt;1,0,IFERROR(LOOKUP(2,1/('Milho 2ª safra'!$E81:INDEX('Milho 2ª safra'!$E81:$Z81,MIN(AQ$6-$G$3,22))&lt;&gt;""),'Milho 2ª safra'!$E81:INDEX('Milho 2ª safra'!$E81:$Z81,MIN(AQ$6-$G$3,22))),0)))))</f>
        <v>0</v>
      </c>
      <c r="AR83" s="27" t="n">
        <f aca="false">IF(COUNT('Milho 2ª safra'!$E81:$Z81)=0,0,MAX(0,IF((AR$6-$E$3)&lt;1,0,IFERROR(LOOKUP(2,1/('Milho 2ª safra'!$E81:INDEX('Milho 2ª safra'!$E81:$Z81,MIN(AR$6-$E$3,22))&lt;&gt;""),'Milho 2ª safra'!$E81:INDEX('Milho 2ª safra'!$E81:$Z81,MIN(AR$6-$E$3,22))),0))-IF($G$2,0,IF((AR$6-$G$3)&lt;1,0,IFERROR(LOOKUP(2,1/('Milho 2ª safra'!$E81:INDEX('Milho 2ª safra'!$E81:$Z81,MIN(AR$6-$G$3,22))&lt;&gt;""),'Milho 2ª safra'!$E81:INDEX('Milho 2ª safra'!$E81:$Z81,MIN(AR$6-$G$3,22))),0)))))</f>
        <v>0</v>
      </c>
      <c r="AS83" s="27" t="n">
        <f aca="false">IF(COUNT('Milho 2ª safra'!$E81:$Z81)=0,0,MAX(0,IF((AS$6-$E$3)&lt;1,0,IFERROR(LOOKUP(2,1/('Milho 2ª safra'!$E81:INDEX('Milho 2ª safra'!$E81:$Z81,MIN(AS$6-$E$3,22))&lt;&gt;""),'Milho 2ª safra'!$E81:INDEX('Milho 2ª safra'!$E81:$Z81,MIN(AS$6-$E$3,22))),0))-IF($G$2,0,IF((AS$6-$G$3)&lt;1,0,IFERROR(LOOKUP(2,1/('Milho 2ª safra'!$E81:INDEX('Milho 2ª safra'!$E81:$Z81,MIN(AS$6-$G$3,22))&lt;&gt;""),'Milho 2ª safra'!$E81:INDEX('Milho 2ª safra'!$E81:$Z81,MIN(AS$6-$G$3,22))),0)))))</f>
        <v>0</v>
      </c>
      <c r="AT83" s="27" t="n">
        <f aca="false">IF(COUNT('Milho 2ª safra'!$E81:$Z81)=0,0,MAX(0,IF((AT$6-$E$3)&lt;1,0,IFERROR(LOOKUP(2,1/('Milho 2ª safra'!$E81:INDEX('Milho 2ª safra'!$E81:$Z81,MIN(AT$6-$E$3,22))&lt;&gt;""),'Milho 2ª safra'!$E81:INDEX('Milho 2ª safra'!$E81:$Z81,MIN(AT$6-$E$3,22))),0))-IF($G$2,0,IF((AT$6-$G$3)&lt;1,0,IFERROR(LOOKUP(2,1/('Milho 2ª safra'!$E81:INDEX('Milho 2ª safra'!$E81:$Z81,MIN(AT$6-$G$3,22))&lt;&gt;""),'Milho 2ª safra'!$E81:INDEX('Milho 2ª safra'!$E81:$Z81,MIN(AT$6-$G$3,22))),0)))))</f>
        <v>0</v>
      </c>
      <c r="AU83" s="27" t="n">
        <f aca="false">IF(COUNT('Milho 2ª safra'!$E81:$Z81)=0,0,MAX(0,IF((AU$6-$E$3)&lt;1,0,IFERROR(LOOKUP(2,1/('Milho 2ª safra'!$E81:INDEX('Milho 2ª safra'!$E81:$Z81,MIN(AU$6-$E$3,22))&lt;&gt;""),'Milho 2ª safra'!$E81:INDEX('Milho 2ª safra'!$E81:$Z81,MIN(AU$6-$E$3,22))),0))-IF($G$2,0,IF((AU$6-$G$3)&lt;1,0,IFERROR(LOOKUP(2,1/('Milho 2ª safra'!$E81:INDEX('Milho 2ª safra'!$E81:$Z81,MIN(AU$6-$G$3,22))&lt;&gt;""),'Milho 2ª safra'!$E81:INDEX('Milho 2ª safra'!$E81:$Z81,MIN(AU$6-$G$3,22))),0)))))</f>
        <v>0</v>
      </c>
      <c r="AV83" s="27" t="n">
        <f aca="false">IF(COUNT('Milho 2ª safra'!$E81:$Z81)=0,0,MAX(0,IF((AV$6-$E$3)&lt;1,0,IFERROR(LOOKUP(2,1/('Milho 2ª safra'!$E81:INDEX('Milho 2ª safra'!$E81:$Z81,MIN(AV$6-$E$3,22))&lt;&gt;""),'Milho 2ª safra'!$E81:INDEX('Milho 2ª safra'!$E81:$Z81,MIN(AV$6-$E$3,22))),0))-IF($G$2,0,IF((AV$6-$G$3)&lt;1,0,IFERROR(LOOKUP(2,1/('Milho 2ª safra'!$E81:INDEX('Milho 2ª safra'!$E81:$Z81,MIN(AV$6-$G$3,22))&lt;&gt;""),'Milho 2ª safra'!$E81:INDEX('Milho 2ª safra'!$E81:$Z81,MIN(AV$6-$G$3,22))),0)))))</f>
        <v>0</v>
      </c>
      <c r="AW83" s="27" t="n">
        <f aca="false">IF(COUNT('Milho 2ª safra'!$E81:$Z81)=0,0,MAX(0,IF((AW$6-$E$3)&lt;1,0,IFERROR(LOOKUP(2,1/('Milho 2ª safra'!$E81:INDEX('Milho 2ª safra'!$E81:$Z81,MIN(AW$6-$E$3,22))&lt;&gt;""),'Milho 2ª safra'!$E81:INDEX('Milho 2ª safra'!$E81:$Z81,MIN(AW$6-$E$3,22))),0))-IF($G$2,0,IF((AW$6-$G$3)&lt;1,0,IFERROR(LOOKUP(2,1/('Milho 2ª safra'!$E81:INDEX('Milho 2ª safra'!$E81:$Z81,MIN(AW$6-$G$3,22))&lt;&gt;""),'Milho 2ª safra'!$E81:INDEX('Milho 2ª safra'!$E81:$Z81,MIN(AW$6-$G$3,22))),0)))))</f>
        <v>0</v>
      </c>
      <c r="AX83" s="27" t="n">
        <f aca="false">IF(COUNT('Milho 2ª safra'!$E81:$Z81)=0,0,MAX(0,IF((AX$6-$E$3)&lt;1,0,IFERROR(LOOKUP(2,1/('Milho 2ª safra'!$E81:INDEX('Milho 2ª safra'!$E81:$Z81,MIN(AX$6-$E$3,22))&lt;&gt;""),'Milho 2ª safra'!$E81:INDEX('Milho 2ª safra'!$E81:$Z81,MIN(AX$6-$E$3,22))),0))-IF($G$2,0,IF((AX$6-$G$3)&lt;1,0,IFERROR(LOOKUP(2,1/('Milho 2ª safra'!$E81:INDEX('Milho 2ª safra'!$E81:$Z81,MIN(AX$6-$G$3,22))&lt;&gt;""),'Milho 2ª safra'!$E81:INDEX('Milho 2ª safra'!$E81:$Z81,MIN(AX$6-$G$3,22))),0)))))</f>
        <v>0</v>
      </c>
      <c r="AY83" s="27" t="n">
        <f aca="false">IF(COUNT('Milho 2ª safra'!$E81:$Z81)=0,0,MAX(0,IF((AY$6-$E$3)&lt;1,0,IFERROR(LOOKUP(2,1/('Milho 2ª safra'!$E81:INDEX('Milho 2ª safra'!$E81:$Z81,MIN(AY$6-$E$3,22))&lt;&gt;""),'Milho 2ª safra'!$E81:INDEX('Milho 2ª safra'!$E81:$Z81,MIN(AY$6-$E$3,22))),0))-IF($G$2,0,IF((AY$6-$G$3)&lt;1,0,IFERROR(LOOKUP(2,1/('Milho 2ª safra'!$E81:INDEX('Milho 2ª safra'!$E81:$Z81,MIN(AY$6-$G$3,22))&lt;&gt;""),'Milho 2ª safra'!$E81:INDEX('Milho 2ª safra'!$E81:$Z81,MIN(AY$6-$G$3,22))),0)))))</f>
        <v>0</v>
      </c>
      <c r="AZ83" s="27" t="n">
        <f aca="false">IF(COUNT('Milho 2ª safra'!$E81:$Z81)=0,0,MAX(0,IF((AZ$6-$E$3)&lt;1,0,IFERROR(LOOKUP(2,1/('Milho 2ª safra'!$E81:INDEX('Milho 2ª safra'!$E81:$Z81,MIN(AZ$6-$E$3,22))&lt;&gt;""),'Milho 2ª safra'!$E81:INDEX('Milho 2ª safra'!$E81:$Z81,MIN(AZ$6-$E$3,22))),0))-IF($G$2,0,IF((AZ$6-$G$3)&lt;1,0,IFERROR(LOOKUP(2,1/('Milho 2ª safra'!$E81:INDEX('Milho 2ª safra'!$E81:$Z81,MIN(AZ$6-$G$3,22))&lt;&gt;""),'Milho 2ª safra'!$E81:INDEX('Milho 2ª safra'!$E81:$Z81,MIN(AZ$6-$G$3,22))),0)))))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IF(COUNT('Milho 2ª safra'!$E82:$Z82)&gt;0,N('Milho 2ª safra'!$D82),0)</f>
        <v>0</v>
      </c>
      <c r="E84" s="27" t="n">
        <f aca="false">IF(COUNT('Milho 2ª safra'!$E82:$Z82)=0,0,MAX(0,IF((E$6-$E$3)&lt;1,0,IFERROR(LOOKUP(2,1/('Milho 2ª safra'!$E82:INDEX('Milho 2ª safra'!$E82:$Z82,MIN(E$6-$E$3,22))&lt;&gt;""),'Milho 2ª safra'!$E82:INDEX('Milho 2ª safra'!$E82:$Z82,MIN(E$6-$E$3,22))),0))-IF($G$2,0,IF((E$6-$G$3)&lt;1,0,IFERROR(LOOKUP(2,1/('Milho 2ª safra'!$E82:INDEX('Milho 2ª safra'!$E82:$Z82,MIN(E$6-$G$3,22))&lt;&gt;""),'Milho 2ª safra'!$E82:INDEX('Milho 2ª safra'!$E82:$Z82,MIN(E$6-$G$3,22))),0)))))</f>
        <v>0</v>
      </c>
      <c r="F84" s="27" t="n">
        <f aca="false">IF(COUNT('Milho 2ª safra'!$E82:$Z82)=0,0,MAX(0,IF((F$6-$E$3)&lt;1,0,IFERROR(LOOKUP(2,1/('Milho 2ª safra'!$E82:INDEX('Milho 2ª safra'!$E82:$Z82,MIN(F$6-$E$3,22))&lt;&gt;""),'Milho 2ª safra'!$E82:INDEX('Milho 2ª safra'!$E82:$Z82,MIN(F$6-$E$3,22))),0))-IF($G$2,0,IF((F$6-$G$3)&lt;1,0,IFERROR(LOOKUP(2,1/('Milho 2ª safra'!$E82:INDEX('Milho 2ª safra'!$E82:$Z82,MIN(F$6-$G$3,22))&lt;&gt;""),'Milho 2ª safra'!$E82:INDEX('Milho 2ª safra'!$E82:$Z82,MIN(F$6-$G$3,22))),0)))))</f>
        <v>0</v>
      </c>
      <c r="G84" s="27" t="n">
        <f aca="false">IF(COUNT('Milho 2ª safra'!$E82:$Z82)=0,0,MAX(0,IF((G$6-$E$3)&lt;1,0,IFERROR(LOOKUP(2,1/('Milho 2ª safra'!$E82:INDEX('Milho 2ª safra'!$E82:$Z82,MIN(G$6-$E$3,22))&lt;&gt;""),'Milho 2ª safra'!$E82:INDEX('Milho 2ª safra'!$E82:$Z82,MIN(G$6-$E$3,22))),0))-IF($G$2,0,IF((G$6-$G$3)&lt;1,0,IFERROR(LOOKUP(2,1/('Milho 2ª safra'!$E82:INDEX('Milho 2ª safra'!$E82:$Z82,MIN(G$6-$G$3,22))&lt;&gt;""),'Milho 2ª safra'!$E82:INDEX('Milho 2ª safra'!$E82:$Z82,MIN(G$6-$G$3,22))),0)))))</f>
        <v>0</v>
      </c>
      <c r="H84" s="27" t="n">
        <f aca="false">IF(COUNT('Milho 2ª safra'!$E82:$Z82)=0,0,MAX(0,IF((H$6-$E$3)&lt;1,0,IFERROR(LOOKUP(2,1/('Milho 2ª safra'!$E82:INDEX('Milho 2ª safra'!$E82:$Z82,MIN(H$6-$E$3,22))&lt;&gt;""),'Milho 2ª safra'!$E82:INDEX('Milho 2ª safra'!$E82:$Z82,MIN(H$6-$E$3,22))),0))-IF($G$2,0,IF((H$6-$G$3)&lt;1,0,IFERROR(LOOKUP(2,1/('Milho 2ª safra'!$E82:INDEX('Milho 2ª safra'!$E82:$Z82,MIN(H$6-$G$3,22))&lt;&gt;""),'Milho 2ª safra'!$E82:INDEX('Milho 2ª safra'!$E82:$Z82,MIN(H$6-$G$3,22))),0)))))</f>
        <v>0</v>
      </c>
      <c r="I84" s="27" t="n">
        <f aca="false">IF(COUNT('Milho 2ª safra'!$E82:$Z82)=0,0,MAX(0,IF((I$6-$E$3)&lt;1,0,IFERROR(LOOKUP(2,1/('Milho 2ª safra'!$E82:INDEX('Milho 2ª safra'!$E82:$Z82,MIN(I$6-$E$3,22))&lt;&gt;""),'Milho 2ª safra'!$E82:INDEX('Milho 2ª safra'!$E82:$Z82,MIN(I$6-$E$3,22))),0))-IF($G$2,0,IF((I$6-$G$3)&lt;1,0,IFERROR(LOOKUP(2,1/('Milho 2ª safra'!$E82:INDEX('Milho 2ª safra'!$E82:$Z82,MIN(I$6-$G$3,22))&lt;&gt;""),'Milho 2ª safra'!$E82:INDEX('Milho 2ª safra'!$E82:$Z82,MIN(I$6-$G$3,22))),0)))))</f>
        <v>0</v>
      </c>
      <c r="J84" s="27" t="n">
        <f aca="false">IF(COUNT('Milho 2ª safra'!$E82:$Z82)=0,0,MAX(0,IF((J$6-$E$3)&lt;1,0,IFERROR(LOOKUP(2,1/('Milho 2ª safra'!$E82:INDEX('Milho 2ª safra'!$E82:$Z82,MIN(J$6-$E$3,22))&lt;&gt;""),'Milho 2ª safra'!$E82:INDEX('Milho 2ª safra'!$E82:$Z82,MIN(J$6-$E$3,22))),0))-IF($G$2,0,IF((J$6-$G$3)&lt;1,0,IFERROR(LOOKUP(2,1/('Milho 2ª safra'!$E82:INDEX('Milho 2ª safra'!$E82:$Z82,MIN(J$6-$G$3,22))&lt;&gt;""),'Milho 2ª safra'!$E82:INDEX('Milho 2ª safra'!$E82:$Z82,MIN(J$6-$G$3,22))),0)))))</f>
        <v>0</v>
      </c>
      <c r="K84" s="27" t="n">
        <f aca="false">IF(COUNT('Milho 2ª safra'!$E82:$Z82)=0,0,MAX(0,IF((K$6-$E$3)&lt;1,0,IFERROR(LOOKUP(2,1/('Milho 2ª safra'!$E82:INDEX('Milho 2ª safra'!$E82:$Z82,MIN(K$6-$E$3,22))&lt;&gt;""),'Milho 2ª safra'!$E82:INDEX('Milho 2ª safra'!$E82:$Z82,MIN(K$6-$E$3,22))),0))-IF($G$2,0,IF((K$6-$G$3)&lt;1,0,IFERROR(LOOKUP(2,1/('Milho 2ª safra'!$E82:INDEX('Milho 2ª safra'!$E82:$Z82,MIN(K$6-$G$3,22))&lt;&gt;""),'Milho 2ª safra'!$E82:INDEX('Milho 2ª safra'!$E82:$Z82,MIN(K$6-$G$3,22))),0)))))</f>
        <v>0</v>
      </c>
      <c r="L84" s="27" t="n">
        <f aca="false">IF(COUNT('Milho 2ª safra'!$E82:$Z82)=0,0,MAX(0,IF((L$6-$E$3)&lt;1,0,IFERROR(LOOKUP(2,1/('Milho 2ª safra'!$E82:INDEX('Milho 2ª safra'!$E82:$Z82,MIN(L$6-$E$3,22))&lt;&gt;""),'Milho 2ª safra'!$E82:INDEX('Milho 2ª safra'!$E82:$Z82,MIN(L$6-$E$3,22))),0))-IF($G$2,0,IF((L$6-$G$3)&lt;1,0,IFERROR(LOOKUP(2,1/('Milho 2ª safra'!$E82:INDEX('Milho 2ª safra'!$E82:$Z82,MIN(L$6-$G$3,22))&lt;&gt;""),'Milho 2ª safra'!$E82:INDEX('Milho 2ª safra'!$E82:$Z82,MIN(L$6-$G$3,22))),0)))))</f>
        <v>0</v>
      </c>
      <c r="M84" s="27" t="n">
        <f aca="false">IF(COUNT('Milho 2ª safra'!$E82:$Z82)=0,0,MAX(0,IF((M$6-$E$3)&lt;1,0,IFERROR(LOOKUP(2,1/('Milho 2ª safra'!$E82:INDEX('Milho 2ª safra'!$E82:$Z82,MIN(M$6-$E$3,22))&lt;&gt;""),'Milho 2ª safra'!$E82:INDEX('Milho 2ª safra'!$E82:$Z82,MIN(M$6-$E$3,22))),0))-IF($G$2,0,IF((M$6-$G$3)&lt;1,0,IFERROR(LOOKUP(2,1/('Milho 2ª safra'!$E82:INDEX('Milho 2ª safra'!$E82:$Z82,MIN(M$6-$G$3,22))&lt;&gt;""),'Milho 2ª safra'!$E82:INDEX('Milho 2ª safra'!$E82:$Z82,MIN(M$6-$G$3,22))),0)))))</f>
        <v>0</v>
      </c>
      <c r="N84" s="27" t="n">
        <f aca="false">IF(COUNT('Milho 2ª safra'!$E82:$Z82)=0,0,MAX(0,IF((N$6-$E$3)&lt;1,0,IFERROR(LOOKUP(2,1/('Milho 2ª safra'!$E82:INDEX('Milho 2ª safra'!$E82:$Z82,MIN(N$6-$E$3,22))&lt;&gt;""),'Milho 2ª safra'!$E82:INDEX('Milho 2ª safra'!$E82:$Z82,MIN(N$6-$E$3,22))),0))-IF($G$2,0,IF((N$6-$G$3)&lt;1,0,IFERROR(LOOKUP(2,1/('Milho 2ª safra'!$E82:INDEX('Milho 2ª safra'!$E82:$Z82,MIN(N$6-$G$3,22))&lt;&gt;""),'Milho 2ª safra'!$E82:INDEX('Milho 2ª safra'!$E82:$Z82,MIN(N$6-$G$3,22))),0)))))</f>
        <v>0</v>
      </c>
      <c r="O84" s="27" t="n">
        <f aca="false">IF(COUNT('Milho 2ª safra'!$E82:$Z82)=0,0,MAX(0,IF((O$6-$E$3)&lt;1,0,IFERROR(LOOKUP(2,1/('Milho 2ª safra'!$E82:INDEX('Milho 2ª safra'!$E82:$Z82,MIN(O$6-$E$3,22))&lt;&gt;""),'Milho 2ª safra'!$E82:INDEX('Milho 2ª safra'!$E82:$Z82,MIN(O$6-$E$3,22))),0))-IF($G$2,0,IF((O$6-$G$3)&lt;1,0,IFERROR(LOOKUP(2,1/('Milho 2ª safra'!$E82:INDEX('Milho 2ª safra'!$E82:$Z82,MIN(O$6-$G$3,22))&lt;&gt;""),'Milho 2ª safra'!$E82:INDEX('Milho 2ª safra'!$E82:$Z82,MIN(O$6-$G$3,22))),0)))))</f>
        <v>0</v>
      </c>
      <c r="P84" s="27" t="n">
        <f aca="false">IF(COUNT('Milho 2ª safra'!$E82:$Z82)=0,0,MAX(0,IF((P$6-$E$3)&lt;1,0,IFERROR(LOOKUP(2,1/('Milho 2ª safra'!$E82:INDEX('Milho 2ª safra'!$E82:$Z82,MIN(P$6-$E$3,22))&lt;&gt;""),'Milho 2ª safra'!$E82:INDEX('Milho 2ª safra'!$E82:$Z82,MIN(P$6-$E$3,22))),0))-IF($G$2,0,IF((P$6-$G$3)&lt;1,0,IFERROR(LOOKUP(2,1/('Milho 2ª safra'!$E82:INDEX('Milho 2ª safra'!$E82:$Z82,MIN(P$6-$G$3,22))&lt;&gt;""),'Milho 2ª safra'!$E82:INDEX('Milho 2ª safra'!$E82:$Z82,MIN(P$6-$G$3,22))),0)))))</f>
        <v>0</v>
      </c>
      <c r="Q84" s="27" t="n">
        <f aca="false">IF(COUNT('Milho 2ª safra'!$E82:$Z82)=0,0,MAX(0,IF((Q$6-$E$3)&lt;1,0,IFERROR(LOOKUP(2,1/('Milho 2ª safra'!$E82:INDEX('Milho 2ª safra'!$E82:$Z82,MIN(Q$6-$E$3,22))&lt;&gt;""),'Milho 2ª safra'!$E82:INDEX('Milho 2ª safra'!$E82:$Z82,MIN(Q$6-$E$3,22))),0))-IF($G$2,0,IF((Q$6-$G$3)&lt;1,0,IFERROR(LOOKUP(2,1/('Milho 2ª safra'!$E82:INDEX('Milho 2ª safra'!$E82:$Z82,MIN(Q$6-$G$3,22))&lt;&gt;""),'Milho 2ª safra'!$E82:INDEX('Milho 2ª safra'!$E82:$Z82,MIN(Q$6-$G$3,22))),0)))))</f>
        <v>0</v>
      </c>
      <c r="R84" s="27" t="n">
        <f aca="false">IF(COUNT('Milho 2ª safra'!$E82:$Z82)=0,0,MAX(0,IF((R$6-$E$3)&lt;1,0,IFERROR(LOOKUP(2,1/('Milho 2ª safra'!$E82:INDEX('Milho 2ª safra'!$E82:$Z82,MIN(R$6-$E$3,22))&lt;&gt;""),'Milho 2ª safra'!$E82:INDEX('Milho 2ª safra'!$E82:$Z82,MIN(R$6-$E$3,22))),0))-IF($G$2,0,IF((R$6-$G$3)&lt;1,0,IFERROR(LOOKUP(2,1/('Milho 2ª safra'!$E82:INDEX('Milho 2ª safra'!$E82:$Z82,MIN(R$6-$G$3,22))&lt;&gt;""),'Milho 2ª safra'!$E82:INDEX('Milho 2ª safra'!$E82:$Z82,MIN(R$6-$G$3,22))),0)))))</f>
        <v>0</v>
      </c>
      <c r="S84" s="27" t="n">
        <f aca="false">IF(COUNT('Milho 2ª safra'!$E82:$Z82)=0,0,MAX(0,IF((S$6-$E$3)&lt;1,0,IFERROR(LOOKUP(2,1/('Milho 2ª safra'!$E82:INDEX('Milho 2ª safra'!$E82:$Z82,MIN(S$6-$E$3,22))&lt;&gt;""),'Milho 2ª safra'!$E82:INDEX('Milho 2ª safra'!$E82:$Z82,MIN(S$6-$E$3,22))),0))-IF($G$2,0,IF((S$6-$G$3)&lt;1,0,IFERROR(LOOKUP(2,1/('Milho 2ª safra'!$E82:INDEX('Milho 2ª safra'!$E82:$Z82,MIN(S$6-$G$3,22))&lt;&gt;""),'Milho 2ª safra'!$E82:INDEX('Milho 2ª safra'!$E82:$Z82,MIN(S$6-$G$3,22))),0)))))</f>
        <v>0</v>
      </c>
      <c r="T84" s="27" t="n">
        <f aca="false">IF(COUNT('Milho 2ª safra'!$E82:$Z82)=0,0,MAX(0,IF((T$6-$E$3)&lt;1,0,IFERROR(LOOKUP(2,1/('Milho 2ª safra'!$E82:INDEX('Milho 2ª safra'!$E82:$Z82,MIN(T$6-$E$3,22))&lt;&gt;""),'Milho 2ª safra'!$E82:INDEX('Milho 2ª safra'!$E82:$Z82,MIN(T$6-$E$3,22))),0))-IF($G$2,0,IF((T$6-$G$3)&lt;1,0,IFERROR(LOOKUP(2,1/('Milho 2ª safra'!$E82:INDEX('Milho 2ª safra'!$E82:$Z82,MIN(T$6-$G$3,22))&lt;&gt;""),'Milho 2ª safra'!$E82:INDEX('Milho 2ª safra'!$E82:$Z82,MIN(T$6-$G$3,22))),0)))))</f>
        <v>0</v>
      </c>
      <c r="U84" s="27" t="n">
        <f aca="false">IF(COUNT('Milho 2ª safra'!$E82:$Z82)=0,0,MAX(0,IF((U$6-$E$3)&lt;1,0,IFERROR(LOOKUP(2,1/('Milho 2ª safra'!$E82:INDEX('Milho 2ª safra'!$E82:$Z82,MIN(U$6-$E$3,22))&lt;&gt;""),'Milho 2ª safra'!$E82:INDEX('Milho 2ª safra'!$E82:$Z82,MIN(U$6-$E$3,22))),0))-IF($G$2,0,IF((U$6-$G$3)&lt;1,0,IFERROR(LOOKUP(2,1/('Milho 2ª safra'!$E82:INDEX('Milho 2ª safra'!$E82:$Z82,MIN(U$6-$G$3,22))&lt;&gt;""),'Milho 2ª safra'!$E82:INDEX('Milho 2ª safra'!$E82:$Z82,MIN(U$6-$G$3,22))),0)))))</f>
        <v>0</v>
      </c>
      <c r="V84" s="27" t="n">
        <f aca="false">IF(COUNT('Milho 2ª safra'!$E82:$Z82)=0,0,MAX(0,IF((V$6-$E$3)&lt;1,0,IFERROR(LOOKUP(2,1/('Milho 2ª safra'!$E82:INDEX('Milho 2ª safra'!$E82:$Z82,MIN(V$6-$E$3,22))&lt;&gt;""),'Milho 2ª safra'!$E82:INDEX('Milho 2ª safra'!$E82:$Z82,MIN(V$6-$E$3,22))),0))-IF($G$2,0,IF((V$6-$G$3)&lt;1,0,IFERROR(LOOKUP(2,1/('Milho 2ª safra'!$E82:INDEX('Milho 2ª safra'!$E82:$Z82,MIN(V$6-$G$3,22))&lt;&gt;""),'Milho 2ª safra'!$E82:INDEX('Milho 2ª safra'!$E82:$Z82,MIN(V$6-$G$3,22))),0)))))</f>
        <v>0</v>
      </c>
      <c r="W84" s="27" t="n">
        <f aca="false">IF(COUNT('Milho 2ª safra'!$E82:$Z82)=0,0,MAX(0,IF((W$6-$E$3)&lt;1,0,IFERROR(LOOKUP(2,1/('Milho 2ª safra'!$E82:INDEX('Milho 2ª safra'!$E82:$Z82,MIN(W$6-$E$3,22))&lt;&gt;""),'Milho 2ª safra'!$E82:INDEX('Milho 2ª safra'!$E82:$Z82,MIN(W$6-$E$3,22))),0))-IF($G$2,0,IF((W$6-$G$3)&lt;1,0,IFERROR(LOOKUP(2,1/('Milho 2ª safra'!$E82:INDEX('Milho 2ª safra'!$E82:$Z82,MIN(W$6-$G$3,22))&lt;&gt;""),'Milho 2ª safra'!$E82:INDEX('Milho 2ª safra'!$E82:$Z82,MIN(W$6-$G$3,22))),0)))))</f>
        <v>0</v>
      </c>
      <c r="X84" s="27" t="n">
        <f aca="false">IF(COUNT('Milho 2ª safra'!$E82:$Z82)=0,0,MAX(0,IF((X$6-$E$3)&lt;1,0,IFERROR(LOOKUP(2,1/('Milho 2ª safra'!$E82:INDEX('Milho 2ª safra'!$E82:$Z82,MIN(X$6-$E$3,22))&lt;&gt;""),'Milho 2ª safra'!$E82:INDEX('Milho 2ª safra'!$E82:$Z82,MIN(X$6-$E$3,22))),0))-IF($G$2,0,IF((X$6-$G$3)&lt;1,0,IFERROR(LOOKUP(2,1/('Milho 2ª safra'!$E82:INDEX('Milho 2ª safra'!$E82:$Z82,MIN(X$6-$G$3,22))&lt;&gt;""),'Milho 2ª safra'!$E82:INDEX('Milho 2ª safra'!$E82:$Z82,MIN(X$6-$G$3,22))),0)))))</f>
        <v>0</v>
      </c>
      <c r="Y84" s="27" t="n">
        <f aca="false">IF(COUNT('Milho 2ª safra'!$E82:$Z82)=0,0,MAX(0,IF((Y$6-$E$3)&lt;1,0,IFERROR(LOOKUP(2,1/('Milho 2ª safra'!$E82:INDEX('Milho 2ª safra'!$E82:$Z82,MIN(Y$6-$E$3,22))&lt;&gt;""),'Milho 2ª safra'!$E82:INDEX('Milho 2ª safra'!$E82:$Z82,MIN(Y$6-$E$3,22))),0))-IF($G$2,0,IF((Y$6-$G$3)&lt;1,0,IFERROR(LOOKUP(2,1/('Milho 2ª safra'!$E82:INDEX('Milho 2ª safra'!$E82:$Z82,MIN(Y$6-$G$3,22))&lt;&gt;""),'Milho 2ª safra'!$E82:INDEX('Milho 2ª safra'!$E82:$Z82,MIN(Y$6-$G$3,22))),0)))))</f>
        <v>0</v>
      </c>
      <c r="Z84" s="27" t="n">
        <f aca="false">IF(COUNT('Milho 2ª safra'!$E82:$Z82)=0,0,MAX(0,IF((Z$6-$E$3)&lt;1,0,IFERROR(LOOKUP(2,1/('Milho 2ª safra'!$E82:INDEX('Milho 2ª safra'!$E82:$Z82,MIN(Z$6-$E$3,22))&lt;&gt;""),'Milho 2ª safra'!$E82:INDEX('Milho 2ª safra'!$E82:$Z82,MIN(Z$6-$E$3,22))),0))-IF($G$2,0,IF((Z$6-$G$3)&lt;1,0,IFERROR(LOOKUP(2,1/('Milho 2ª safra'!$E82:INDEX('Milho 2ª safra'!$E82:$Z82,MIN(Z$6-$G$3,22))&lt;&gt;""),'Milho 2ª safra'!$E82:INDEX('Milho 2ª safra'!$E82:$Z82,MIN(Z$6-$G$3,22))),0)))))</f>
        <v>0</v>
      </c>
      <c r="AA84" s="27" t="n">
        <f aca="false">IF(COUNT('Milho 2ª safra'!$E82:$Z82)=0,0,MAX(0,IF((AA$6-$E$3)&lt;1,0,IFERROR(LOOKUP(2,1/('Milho 2ª safra'!$E82:INDEX('Milho 2ª safra'!$E82:$Z82,MIN(AA$6-$E$3,22))&lt;&gt;""),'Milho 2ª safra'!$E82:INDEX('Milho 2ª safra'!$E82:$Z82,MIN(AA$6-$E$3,22))),0))-IF($G$2,0,IF((AA$6-$G$3)&lt;1,0,IFERROR(LOOKUP(2,1/('Milho 2ª safra'!$E82:INDEX('Milho 2ª safra'!$E82:$Z82,MIN(AA$6-$G$3,22))&lt;&gt;""),'Milho 2ª safra'!$E82:INDEX('Milho 2ª safra'!$E82:$Z82,MIN(AA$6-$G$3,22))),0)))))</f>
        <v>0</v>
      </c>
      <c r="AB84" s="27" t="n">
        <f aca="false">IF(COUNT('Milho 2ª safra'!$E82:$Z82)=0,0,MAX(0,IF((AB$6-$E$3)&lt;1,0,IFERROR(LOOKUP(2,1/('Milho 2ª safra'!$E82:INDEX('Milho 2ª safra'!$E82:$Z82,MIN(AB$6-$E$3,22))&lt;&gt;""),'Milho 2ª safra'!$E82:INDEX('Milho 2ª safra'!$E82:$Z82,MIN(AB$6-$E$3,22))),0))-IF($G$2,0,IF((AB$6-$G$3)&lt;1,0,IFERROR(LOOKUP(2,1/('Milho 2ª safra'!$E82:INDEX('Milho 2ª safra'!$E82:$Z82,MIN(AB$6-$G$3,22))&lt;&gt;""),'Milho 2ª safra'!$E82:INDEX('Milho 2ª safra'!$E82:$Z82,MIN(AB$6-$G$3,22))),0)))))</f>
        <v>0</v>
      </c>
      <c r="AC84" s="27" t="n">
        <f aca="false">IF(COUNT('Milho 2ª safra'!$E82:$Z82)=0,0,MAX(0,IF((AC$6-$E$3)&lt;1,0,IFERROR(LOOKUP(2,1/('Milho 2ª safra'!$E82:INDEX('Milho 2ª safra'!$E82:$Z82,MIN(AC$6-$E$3,22))&lt;&gt;""),'Milho 2ª safra'!$E82:INDEX('Milho 2ª safra'!$E82:$Z82,MIN(AC$6-$E$3,22))),0))-IF($G$2,0,IF((AC$6-$G$3)&lt;1,0,IFERROR(LOOKUP(2,1/('Milho 2ª safra'!$E82:INDEX('Milho 2ª safra'!$E82:$Z82,MIN(AC$6-$G$3,22))&lt;&gt;""),'Milho 2ª safra'!$E82:INDEX('Milho 2ª safra'!$E82:$Z82,MIN(AC$6-$G$3,22))),0)))))</f>
        <v>0</v>
      </c>
      <c r="AD84" s="27" t="n">
        <f aca="false">IF(COUNT('Milho 2ª safra'!$E82:$Z82)=0,0,MAX(0,IF((AD$6-$E$3)&lt;1,0,IFERROR(LOOKUP(2,1/('Milho 2ª safra'!$E82:INDEX('Milho 2ª safra'!$E82:$Z82,MIN(AD$6-$E$3,22))&lt;&gt;""),'Milho 2ª safra'!$E82:INDEX('Milho 2ª safra'!$E82:$Z82,MIN(AD$6-$E$3,22))),0))-IF($G$2,0,IF((AD$6-$G$3)&lt;1,0,IFERROR(LOOKUP(2,1/('Milho 2ª safra'!$E82:INDEX('Milho 2ª safra'!$E82:$Z82,MIN(AD$6-$G$3,22))&lt;&gt;""),'Milho 2ª safra'!$E82:INDEX('Milho 2ª safra'!$E82:$Z82,MIN(AD$6-$G$3,22))),0)))))</f>
        <v>0</v>
      </c>
      <c r="AE84" s="27" t="n">
        <f aca="false">IF(COUNT('Milho 2ª safra'!$E82:$Z82)=0,0,MAX(0,IF((AE$6-$E$3)&lt;1,0,IFERROR(LOOKUP(2,1/('Milho 2ª safra'!$E82:INDEX('Milho 2ª safra'!$E82:$Z82,MIN(AE$6-$E$3,22))&lt;&gt;""),'Milho 2ª safra'!$E82:INDEX('Milho 2ª safra'!$E82:$Z82,MIN(AE$6-$E$3,22))),0))-IF($G$2,0,IF((AE$6-$G$3)&lt;1,0,IFERROR(LOOKUP(2,1/('Milho 2ª safra'!$E82:INDEX('Milho 2ª safra'!$E82:$Z82,MIN(AE$6-$G$3,22))&lt;&gt;""),'Milho 2ª safra'!$E82:INDEX('Milho 2ª safra'!$E82:$Z82,MIN(AE$6-$G$3,22))),0)))))</f>
        <v>0</v>
      </c>
      <c r="AF84" s="27" t="n">
        <f aca="false">IF(COUNT('Milho 2ª safra'!$E82:$Z82)=0,0,MAX(0,IF((AF$6-$E$3)&lt;1,0,IFERROR(LOOKUP(2,1/('Milho 2ª safra'!$E82:INDEX('Milho 2ª safra'!$E82:$Z82,MIN(AF$6-$E$3,22))&lt;&gt;""),'Milho 2ª safra'!$E82:INDEX('Milho 2ª safra'!$E82:$Z82,MIN(AF$6-$E$3,22))),0))-IF($G$2,0,IF((AF$6-$G$3)&lt;1,0,IFERROR(LOOKUP(2,1/('Milho 2ª safra'!$E82:INDEX('Milho 2ª safra'!$E82:$Z82,MIN(AF$6-$G$3,22))&lt;&gt;""),'Milho 2ª safra'!$E82:INDEX('Milho 2ª safra'!$E82:$Z82,MIN(AF$6-$G$3,22))),0)))))</f>
        <v>0</v>
      </c>
      <c r="AG84" s="27" t="n">
        <f aca="false">IF(COUNT('Milho 2ª safra'!$E82:$Z82)=0,0,MAX(0,IF((AG$6-$E$3)&lt;1,0,IFERROR(LOOKUP(2,1/('Milho 2ª safra'!$E82:INDEX('Milho 2ª safra'!$E82:$Z82,MIN(AG$6-$E$3,22))&lt;&gt;""),'Milho 2ª safra'!$E82:INDEX('Milho 2ª safra'!$E82:$Z82,MIN(AG$6-$E$3,22))),0))-IF($G$2,0,IF((AG$6-$G$3)&lt;1,0,IFERROR(LOOKUP(2,1/('Milho 2ª safra'!$E82:INDEX('Milho 2ª safra'!$E82:$Z82,MIN(AG$6-$G$3,22))&lt;&gt;""),'Milho 2ª safra'!$E82:INDEX('Milho 2ª safra'!$E82:$Z82,MIN(AG$6-$G$3,22))),0)))))</f>
        <v>0</v>
      </c>
      <c r="AH84" s="27" t="n">
        <f aca="false">IF(COUNT('Milho 2ª safra'!$E82:$Z82)=0,0,MAX(0,IF((AH$6-$E$3)&lt;1,0,IFERROR(LOOKUP(2,1/('Milho 2ª safra'!$E82:INDEX('Milho 2ª safra'!$E82:$Z82,MIN(AH$6-$E$3,22))&lt;&gt;""),'Milho 2ª safra'!$E82:INDEX('Milho 2ª safra'!$E82:$Z82,MIN(AH$6-$E$3,22))),0))-IF($G$2,0,IF((AH$6-$G$3)&lt;1,0,IFERROR(LOOKUP(2,1/('Milho 2ª safra'!$E82:INDEX('Milho 2ª safra'!$E82:$Z82,MIN(AH$6-$G$3,22))&lt;&gt;""),'Milho 2ª safra'!$E82:INDEX('Milho 2ª safra'!$E82:$Z82,MIN(AH$6-$G$3,22))),0)))))</f>
        <v>0</v>
      </c>
      <c r="AI84" s="27" t="n">
        <f aca="false">IF(COUNT('Milho 2ª safra'!$E82:$Z82)=0,0,MAX(0,IF((AI$6-$E$3)&lt;1,0,IFERROR(LOOKUP(2,1/('Milho 2ª safra'!$E82:INDEX('Milho 2ª safra'!$E82:$Z82,MIN(AI$6-$E$3,22))&lt;&gt;""),'Milho 2ª safra'!$E82:INDEX('Milho 2ª safra'!$E82:$Z82,MIN(AI$6-$E$3,22))),0))-IF($G$2,0,IF((AI$6-$G$3)&lt;1,0,IFERROR(LOOKUP(2,1/('Milho 2ª safra'!$E82:INDEX('Milho 2ª safra'!$E82:$Z82,MIN(AI$6-$G$3,22))&lt;&gt;""),'Milho 2ª safra'!$E82:INDEX('Milho 2ª safra'!$E82:$Z82,MIN(AI$6-$G$3,22))),0)))))</f>
        <v>0</v>
      </c>
      <c r="AJ84" s="27" t="n">
        <f aca="false">IF(COUNT('Milho 2ª safra'!$E82:$Z82)=0,0,MAX(0,IF((AJ$6-$E$3)&lt;1,0,IFERROR(LOOKUP(2,1/('Milho 2ª safra'!$E82:INDEX('Milho 2ª safra'!$E82:$Z82,MIN(AJ$6-$E$3,22))&lt;&gt;""),'Milho 2ª safra'!$E82:INDEX('Milho 2ª safra'!$E82:$Z82,MIN(AJ$6-$E$3,22))),0))-IF($G$2,0,IF((AJ$6-$G$3)&lt;1,0,IFERROR(LOOKUP(2,1/('Milho 2ª safra'!$E82:INDEX('Milho 2ª safra'!$E82:$Z82,MIN(AJ$6-$G$3,22))&lt;&gt;""),'Milho 2ª safra'!$E82:INDEX('Milho 2ª safra'!$E82:$Z82,MIN(AJ$6-$G$3,22))),0)))))</f>
        <v>0</v>
      </c>
      <c r="AK84" s="27" t="n">
        <f aca="false">IF(COUNT('Milho 2ª safra'!$E82:$Z82)=0,0,MAX(0,IF((AK$6-$E$3)&lt;1,0,IFERROR(LOOKUP(2,1/('Milho 2ª safra'!$E82:INDEX('Milho 2ª safra'!$E82:$Z82,MIN(AK$6-$E$3,22))&lt;&gt;""),'Milho 2ª safra'!$E82:INDEX('Milho 2ª safra'!$E82:$Z82,MIN(AK$6-$E$3,22))),0))-IF($G$2,0,IF((AK$6-$G$3)&lt;1,0,IFERROR(LOOKUP(2,1/('Milho 2ª safra'!$E82:INDEX('Milho 2ª safra'!$E82:$Z82,MIN(AK$6-$G$3,22))&lt;&gt;""),'Milho 2ª safra'!$E82:INDEX('Milho 2ª safra'!$E82:$Z82,MIN(AK$6-$G$3,22))),0)))))</f>
        <v>0</v>
      </c>
      <c r="AL84" s="27" t="n">
        <f aca="false">IF(COUNT('Milho 2ª safra'!$E82:$Z82)=0,0,MAX(0,IF((AL$6-$E$3)&lt;1,0,IFERROR(LOOKUP(2,1/('Milho 2ª safra'!$E82:INDEX('Milho 2ª safra'!$E82:$Z82,MIN(AL$6-$E$3,22))&lt;&gt;""),'Milho 2ª safra'!$E82:INDEX('Milho 2ª safra'!$E82:$Z82,MIN(AL$6-$E$3,22))),0))-IF($G$2,0,IF((AL$6-$G$3)&lt;1,0,IFERROR(LOOKUP(2,1/('Milho 2ª safra'!$E82:INDEX('Milho 2ª safra'!$E82:$Z82,MIN(AL$6-$G$3,22))&lt;&gt;""),'Milho 2ª safra'!$E82:INDEX('Milho 2ª safra'!$E82:$Z82,MIN(AL$6-$G$3,22))),0)))))</f>
        <v>0</v>
      </c>
      <c r="AM84" s="27" t="n">
        <f aca="false">IF(COUNT('Milho 2ª safra'!$E82:$Z82)=0,0,MAX(0,IF((AM$6-$E$3)&lt;1,0,IFERROR(LOOKUP(2,1/('Milho 2ª safra'!$E82:INDEX('Milho 2ª safra'!$E82:$Z82,MIN(AM$6-$E$3,22))&lt;&gt;""),'Milho 2ª safra'!$E82:INDEX('Milho 2ª safra'!$E82:$Z82,MIN(AM$6-$E$3,22))),0))-IF($G$2,0,IF((AM$6-$G$3)&lt;1,0,IFERROR(LOOKUP(2,1/('Milho 2ª safra'!$E82:INDEX('Milho 2ª safra'!$E82:$Z82,MIN(AM$6-$G$3,22))&lt;&gt;""),'Milho 2ª safra'!$E82:INDEX('Milho 2ª safra'!$E82:$Z82,MIN(AM$6-$G$3,22))),0)))))</f>
        <v>0</v>
      </c>
      <c r="AN84" s="27" t="n">
        <f aca="false">IF(COUNT('Milho 2ª safra'!$E82:$Z82)=0,0,MAX(0,IF((AN$6-$E$3)&lt;1,0,IFERROR(LOOKUP(2,1/('Milho 2ª safra'!$E82:INDEX('Milho 2ª safra'!$E82:$Z82,MIN(AN$6-$E$3,22))&lt;&gt;""),'Milho 2ª safra'!$E82:INDEX('Milho 2ª safra'!$E82:$Z82,MIN(AN$6-$E$3,22))),0))-IF($G$2,0,IF((AN$6-$G$3)&lt;1,0,IFERROR(LOOKUP(2,1/('Milho 2ª safra'!$E82:INDEX('Milho 2ª safra'!$E82:$Z82,MIN(AN$6-$G$3,22))&lt;&gt;""),'Milho 2ª safra'!$E82:INDEX('Milho 2ª safra'!$E82:$Z82,MIN(AN$6-$G$3,22))),0)))))</f>
        <v>0</v>
      </c>
      <c r="AO84" s="27" t="n">
        <f aca="false">IF(COUNT('Milho 2ª safra'!$E82:$Z82)=0,0,MAX(0,IF((AO$6-$E$3)&lt;1,0,IFERROR(LOOKUP(2,1/('Milho 2ª safra'!$E82:INDEX('Milho 2ª safra'!$E82:$Z82,MIN(AO$6-$E$3,22))&lt;&gt;""),'Milho 2ª safra'!$E82:INDEX('Milho 2ª safra'!$E82:$Z82,MIN(AO$6-$E$3,22))),0))-IF($G$2,0,IF((AO$6-$G$3)&lt;1,0,IFERROR(LOOKUP(2,1/('Milho 2ª safra'!$E82:INDEX('Milho 2ª safra'!$E82:$Z82,MIN(AO$6-$G$3,22))&lt;&gt;""),'Milho 2ª safra'!$E82:INDEX('Milho 2ª safra'!$E82:$Z82,MIN(AO$6-$G$3,22))),0)))))</f>
        <v>0</v>
      </c>
      <c r="AP84" s="27" t="n">
        <f aca="false">IF(COUNT('Milho 2ª safra'!$E82:$Z82)=0,0,MAX(0,IF((AP$6-$E$3)&lt;1,0,IFERROR(LOOKUP(2,1/('Milho 2ª safra'!$E82:INDEX('Milho 2ª safra'!$E82:$Z82,MIN(AP$6-$E$3,22))&lt;&gt;""),'Milho 2ª safra'!$E82:INDEX('Milho 2ª safra'!$E82:$Z82,MIN(AP$6-$E$3,22))),0))-IF($G$2,0,IF((AP$6-$G$3)&lt;1,0,IFERROR(LOOKUP(2,1/('Milho 2ª safra'!$E82:INDEX('Milho 2ª safra'!$E82:$Z82,MIN(AP$6-$G$3,22))&lt;&gt;""),'Milho 2ª safra'!$E82:INDEX('Milho 2ª safra'!$E82:$Z82,MIN(AP$6-$G$3,22))),0)))))</f>
        <v>0</v>
      </c>
      <c r="AQ84" s="27" t="n">
        <f aca="false">IF(COUNT('Milho 2ª safra'!$E82:$Z82)=0,0,MAX(0,IF((AQ$6-$E$3)&lt;1,0,IFERROR(LOOKUP(2,1/('Milho 2ª safra'!$E82:INDEX('Milho 2ª safra'!$E82:$Z82,MIN(AQ$6-$E$3,22))&lt;&gt;""),'Milho 2ª safra'!$E82:INDEX('Milho 2ª safra'!$E82:$Z82,MIN(AQ$6-$E$3,22))),0))-IF($G$2,0,IF((AQ$6-$G$3)&lt;1,0,IFERROR(LOOKUP(2,1/('Milho 2ª safra'!$E82:INDEX('Milho 2ª safra'!$E82:$Z82,MIN(AQ$6-$G$3,22))&lt;&gt;""),'Milho 2ª safra'!$E82:INDEX('Milho 2ª safra'!$E82:$Z82,MIN(AQ$6-$G$3,22))),0)))))</f>
        <v>0</v>
      </c>
      <c r="AR84" s="27" t="n">
        <f aca="false">IF(COUNT('Milho 2ª safra'!$E82:$Z82)=0,0,MAX(0,IF((AR$6-$E$3)&lt;1,0,IFERROR(LOOKUP(2,1/('Milho 2ª safra'!$E82:INDEX('Milho 2ª safra'!$E82:$Z82,MIN(AR$6-$E$3,22))&lt;&gt;""),'Milho 2ª safra'!$E82:INDEX('Milho 2ª safra'!$E82:$Z82,MIN(AR$6-$E$3,22))),0))-IF($G$2,0,IF((AR$6-$G$3)&lt;1,0,IFERROR(LOOKUP(2,1/('Milho 2ª safra'!$E82:INDEX('Milho 2ª safra'!$E82:$Z82,MIN(AR$6-$G$3,22))&lt;&gt;""),'Milho 2ª safra'!$E82:INDEX('Milho 2ª safra'!$E82:$Z82,MIN(AR$6-$G$3,22))),0)))))</f>
        <v>0</v>
      </c>
      <c r="AS84" s="27" t="n">
        <f aca="false">IF(COUNT('Milho 2ª safra'!$E82:$Z82)=0,0,MAX(0,IF((AS$6-$E$3)&lt;1,0,IFERROR(LOOKUP(2,1/('Milho 2ª safra'!$E82:INDEX('Milho 2ª safra'!$E82:$Z82,MIN(AS$6-$E$3,22))&lt;&gt;""),'Milho 2ª safra'!$E82:INDEX('Milho 2ª safra'!$E82:$Z82,MIN(AS$6-$E$3,22))),0))-IF($G$2,0,IF((AS$6-$G$3)&lt;1,0,IFERROR(LOOKUP(2,1/('Milho 2ª safra'!$E82:INDEX('Milho 2ª safra'!$E82:$Z82,MIN(AS$6-$G$3,22))&lt;&gt;""),'Milho 2ª safra'!$E82:INDEX('Milho 2ª safra'!$E82:$Z82,MIN(AS$6-$G$3,22))),0)))))</f>
        <v>0</v>
      </c>
      <c r="AT84" s="27" t="n">
        <f aca="false">IF(COUNT('Milho 2ª safra'!$E82:$Z82)=0,0,MAX(0,IF((AT$6-$E$3)&lt;1,0,IFERROR(LOOKUP(2,1/('Milho 2ª safra'!$E82:INDEX('Milho 2ª safra'!$E82:$Z82,MIN(AT$6-$E$3,22))&lt;&gt;""),'Milho 2ª safra'!$E82:INDEX('Milho 2ª safra'!$E82:$Z82,MIN(AT$6-$E$3,22))),0))-IF($G$2,0,IF((AT$6-$G$3)&lt;1,0,IFERROR(LOOKUP(2,1/('Milho 2ª safra'!$E82:INDEX('Milho 2ª safra'!$E82:$Z82,MIN(AT$6-$G$3,22))&lt;&gt;""),'Milho 2ª safra'!$E82:INDEX('Milho 2ª safra'!$E82:$Z82,MIN(AT$6-$G$3,22))),0)))))</f>
        <v>0</v>
      </c>
      <c r="AU84" s="27" t="n">
        <f aca="false">IF(COUNT('Milho 2ª safra'!$E82:$Z82)=0,0,MAX(0,IF((AU$6-$E$3)&lt;1,0,IFERROR(LOOKUP(2,1/('Milho 2ª safra'!$E82:INDEX('Milho 2ª safra'!$E82:$Z82,MIN(AU$6-$E$3,22))&lt;&gt;""),'Milho 2ª safra'!$E82:INDEX('Milho 2ª safra'!$E82:$Z82,MIN(AU$6-$E$3,22))),0))-IF($G$2,0,IF((AU$6-$G$3)&lt;1,0,IFERROR(LOOKUP(2,1/('Milho 2ª safra'!$E82:INDEX('Milho 2ª safra'!$E82:$Z82,MIN(AU$6-$G$3,22))&lt;&gt;""),'Milho 2ª safra'!$E82:INDEX('Milho 2ª safra'!$E82:$Z82,MIN(AU$6-$G$3,22))),0)))))</f>
        <v>0</v>
      </c>
      <c r="AV84" s="27" t="n">
        <f aca="false">IF(COUNT('Milho 2ª safra'!$E82:$Z82)=0,0,MAX(0,IF((AV$6-$E$3)&lt;1,0,IFERROR(LOOKUP(2,1/('Milho 2ª safra'!$E82:INDEX('Milho 2ª safra'!$E82:$Z82,MIN(AV$6-$E$3,22))&lt;&gt;""),'Milho 2ª safra'!$E82:INDEX('Milho 2ª safra'!$E82:$Z82,MIN(AV$6-$E$3,22))),0))-IF($G$2,0,IF((AV$6-$G$3)&lt;1,0,IFERROR(LOOKUP(2,1/('Milho 2ª safra'!$E82:INDEX('Milho 2ª safra'!$E82:$Z82,MIN(AV$6-$G$3,22))&lt;&gt;""),'Milho 2ª safra'!$E82:INDEX('Milho 2ª safra'!$E82:$Z82,MIN(AV$6-$G$3,22))),0)))))</f>
        <v>0</v>
      </c>
      <c r="AW84" s="27" t="n">
        <f aca="false">IF(COUNT('Milho 2ª safra'!$E82:$Z82)=0,0,MAX(0,IF((AW$6-$E$3)&lt;1,0,IFERROR(LOOKUP(2,1/('Milho 2ª safra'!$E82:INDEX('Milho 2ª safra'!$E82:$Z82,MIN(AW$6-$E$3,22))&lt;&gt;""),'Milho 2ª safra'!$E82:INDEX('Milho 2ª safra'!$E82:$Z82,MIN(AW$6-$E$3,22))),0))-IF($G$2,0,IF((AW$6-$G$3)&lt;1,0,IFERROR(LOOKUP(2,1/('Milho 2ª safra'!$E82:INDEX('Milho 2ª safra'!$E82:$Z82,MIN(AW$6-$G$3,22))&lt;&gt;""),'Milho 2ª safra'!$E82:INDEX('Milho 2ª safra'!$E82:$Z82,MIN(AW$6-$G$3,22))),0)))))</f>
        <v>0</v>
      </c>
      <c r="AX84" s="27" t="n">
        <f aca="false">IF(COUNT('Milho 2ª safra'!$E82:$Z82)=0,0,MAX(0,IF((AX$6-$E$3)&lt;1,0,IFERROR(LOOKUP(2,1/('Milho 2ª safra'!$E82:INDEX('Milho 2ª safra'!$E82:$Z82,MIN(AX$6-$E$3,22))&lt;&gt;""),'Milho 2ª safra'!$E82:INDEX('Milho 2ª safra'!$E82:$Z82,MIN(AX$6-$E$3,22))),0))-IF($G$2,0,IF((AX$6-$G$3)&lt;1,0,IFERROR(LOOKUP(2,1/('Milho 2ª safra'!$E82:INDEX('Milho 2ª safra'!$E82:$Z82,MIN(AX$6-$G$3,22))&lt;&gt;""),'Milho 2ª safra'!$E82:INDEX('Milho 2ª safra'!$E82:$Z82,MIN(AX$6-$G$3,22))),0)))))</f>
        <v>0</v>
      </c>
      <c r="AY84" s="27" t="n">
        <f aca="false">IF(COUNT('Milho 2ª safra'!$E82:$Z82)=0,0,MAX(0,IF((AY$6-$E$3)&lt;1,0,IFERROR(LOOKUP(2,1/('Milho 2ª safra'!$E82:INDEX('Milho 2ª safra'!$E82:$Z82,MIN(AY$6-$E$3,22))&lt;&gt;""),'Milho 2ª safra'!$E82:INDEX('Milho 2ª safra'!$E82:$Z82,MIN(AY$6-$E$3,22))),0))-IF($G$2,0,IF((AY$6-$G$3)&lt;1,0,IFERROR(LOOKUP(2,1/('Milho 2ª safra'!$E82:INDEX('Milho 2ª safra'!$E82:$Z82,MIN(AY$6-$G$3,22))&lt;&gt;""),'Milho 2ª safra'!$E82:INDEX('Milho 2ª safra'!$E82:$Z82,MIN(AY$6-$G$3,22))),0)))))</f>
        <v>0</v>
      </c>
      <c r="AZ84" s="27" t="n">
        <f aca="false">IF(COUNT('Milho 2ª safra'!$E82:$Z82)=0,0,MAX(0,IF((AZ$6-$E$3)&lt;1,0,IFERROR(LOOKUP(2,1/('Milho 2ª safra'!$E82:INDEX('Milho 2ª safra'!$E82:$Z82,MIN(AZ$6-$E$3,22))&lt;&gt;""),'Milho 2ª safra'!$E82:INDEX('Milho 2ª safra'!$E82:$Z82,MIN(AZ$6-$E$3,22))),0))-IF($G$2,0,IF((AZ$6-$G$3)&lt;1,0,IFERROR(LOOKUP(2,1/('Milho 2ª safra'!$E82:INDEX('Milho 2ª safra'!$E82:$Z82,MIN(AZ$6-$G$3,22))&lt;&gt;""),'Milho 2ª safra'!$E82:INDEX('Milho 2ª safra'!$E82:$Z82,MIN(AZ$6-$G$3,22))),0)))))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IF(COUNT('Milho 2ª safra'!$E83:$Z83)&gt;0,N('Milho 2ª safra'!$D83),0)</f>
        <v>0</v>
      </c>
      <c r="E85" s="27" t="n">
        <f aca="false">IF(COUNT('Milho 2ª safra'!$E83:$Z83)=0,0,MAX(0,IF((E$6-$E$3)&lt;1,0,IFERROR(LOOKUP(2,1/('Milho 2ª safra'!$E83:INDEX('Milho 2ª safra'!$E83:$Z83,MIN(E$6-$E$3,22))&lt;&gt;""),'Milho 2ª safra'!$E83:INDEX('Milho 2ª safra'!$E83:$Z83,MIN(E$6-$E$3,22))),0))-IF($G$2,0,IF((E$6-$G$3)&lt;1,0,IFERROR(LOOKUP(2,1/('Milho 2ª safra'!$E83:INDEX('Milho 2ª safra'!$E83:$Z83,MIN(E$6-$G$3,22))&lt;&gt;""),'Milho 2ª safra'!$E83:INDEX('Milho 2ª safra'!$E83:$Z83,MIN(E$6-$G$3,22))),0)))))</f>
        <v>0</v>
      </c>
      <c r="F85" s="27" t="n">
        <f aca="false">IF(COUNT('Milho 2ª safra'!$E83:$Z83)=0,0,MAX(0,IF((F$6-$E$3)&lt;1,0,IFERROR(LOOKUP(2,1/('Milho 2ª safra'!$E83:INDEX('Milho 2ª safra'!$E83:$Z83,MIN(F$6-$E$3,22))&lt;&gt;""),'Milho 2ª safra'!$E83:INDEX('Milho 2ª safra'!$E83:$Z83,MIN(F$6-$E$3,22))),0))-IF($G$2,0,IF((F$6-$G$3)&lt;1,0,IFERROR(LOOKUP(2,1/('Milho 2ª safra'!$E83:INDEX('Milho 2ª safra'!$E83:$Z83,MIN(F$6-$G$3,22))&lt;&gt;""),'Milho 2ª safra'!$E83:INDEX('Milho 2ª safra'!$E83:$Z83,MIN(F$6-$G$3,22))),0)))))</f>
        <v>0</v>
      </c>
      <c r="G85" s="27" t="n">
        <f aca="false">IF(COUNT('Milho 2ª safra'!$E83:$Z83)=0,0,MAX(0,IF((G$6-$E$3)&lt;1,0,IFERROR(LOOKUP(2,1/('Milho 2ª safra'!$E83:INDEX('Milho 2ª safra'!$E83:$Z83,MIN(G$6-$E$3,22))&lt;&gt;""),'Milho 2ª safra'!$E83:INDEX('Milho 2ª safra'!$E83:$Z83,MIN(G$6-$E$3,22))),0))-IF($G$2,0,IF((G$6-$G$3)&lt;1,0,IFERROR(LOOKUP(2,1/('Milho 2ª safra'!$E83:INDEX('Milho 2ª safra'!$E83:$Z83,MIN(G$6-$G$3,22))&lt;&gt;""),'Milho 2ª safra'!$E83:INDEX('Milho 2ª safra'!$E83:$Z83,MIN(G$6-$G$3,22))),0)))))</f>
        <v>0</v>
      </c>
      <c r="H85" s="27" t="n">
        <f aca="false">IF(COUNT('Milho 2ª safra'!$E83:$Z83)=0,0,MAX(0,IF((H$6-$E$3)&lt;1,0,IFERROR(LOOKUP(2,1/('Milho 2ª safra'!$E83:INDEX('Milho 2ª safra'!$E83:$Z83,MIN(H$6-$E$3,22))&lt;&gt;""),'Milho 2ª safra'!$E83:INDEX('Milho 2ª safra'!$E83:$Z83,MIN(H$6-$E$3,22))),0))-IF($G$2,0,IF((H$6-$G$3)&lt;1,0,IFERROR(LOOKUP(2,1/('Milho 2ª safra'!$E83:INDEX('Milho 2ª safra'!$E83:$Z83,MIN(H$6-$G$3,22))&lt;&gt;""),'Milho 2ª safra'!$E83:INDEX('Milho 2ª safra'!$E83:$Z83,MIN(H$6-$G$3,22))),0)))))</f>
        <v>0</v>
      </c>
      <c r="I85" s="27" t="n">
        <f aca="false">IF(COUNT('Milho 2ª safra'!$E83:$Z83)=0,0,MAX(0,IF((I$6-$E$3)&lt;1,0,IFERROR(LOOKUP(2,1/('Milho 2ª safra'!$E83:INDEX('Milho 2ª safra'!$E83:$Z83,MIN(I$6-$E$3,22))&lt;&gt;""),'Milho 2ª safra'!$E83:INDEX('Milho 2ª safra'!$E83:$Z83,MIN(I$6-$E$3,22))),0))-IF($G$2,0,IF((I$6-$G$3)&lt;1,0,IFERROR(LOOKUP(2,1/('Milho 2ª safra'!$E83:INDEX('Milho 2ª safra'!$E83:$Z83,MIN(I$6-$G$3,22))&lt;&gt;""),'Milho 2ª safra'!$E83:INDEX('Milho 2ª safra'!$E83:$Z83,MIN(I$6-$G$3,22))),0)))))</f>
        <v>0</v>
      </c>
      <c r="J85" s="27" t="n">
        <f aca="false">IF(COUNT('Milho 2ª safra'!$E83:$Z83)=0,0,MAX(0,IF((J$6-$E$3)&lt;1,0,IFERROR(LOOKUP(2,1/('Milho 2ª safra'!$E83:INDEX('Milho 2ª safra'!$E83:$Z83,MIN(J$6-$E$3,22))&lt;&gt;""),'Milho 2ª safra'!$E83:INDEX('Milho 2ª safra'!$E83:$Z83,MIN(J$6-$E$3,22))),0))-IF($G$2,0,IF((J$6-$G$3)&lt;1,0,IFERROR(LOOKUP(2,1/('Milho 2ª safra'!$E83:INDEX('Milho 2ª safra'!$E83:$Z83,MIN(J$6-$G$3,22))&lt;&gt;""),'Milho 2ª safra'!$E83:INDEX('Milho 2ª safra'!$E83:$Z83,MIN(J$6-$G$3,22))),0)))))</f>
        <v>0</v>
      </c>
      <c r="K85" s="27" t="n">
        <f aca="false">IF(COUNT('Milho 2ª safra'!$E83:$Z83)=0,0,MAX(0,IF((K$6-$E$3)&lt;1,0,IFERROR(LOOKUP(2,1/('Milho 2ª safra'!$E83:INDEX('Milho 2ª safra'!$E83:$Z83,MIN(K$6-$E$3,22))&lt;&gt;""),'Milho 2ª safra'!$E83:INDEX('Milho 2ª safra'!$E83:$Z83,MIN(K$6-$E$3,22))),0))-IF($G$2,0,IF((K$6-$G$3)&lt;1,0,IFERROR(LOOKUP(2,1/('Milho 2ª safra'!$E83:INDEX('Milho 2ª safra'!$E83:$Z83,MIN(K$6-$G$3,22))&lt;&gt;""),'Milho 2ª safra'!$E83:INDEX('Milho 2ª safra'!$E83:$Z83,MIN(K$6-$G$3,22))),0)))))</f>
        <v>0</v>
      </c>
      <c r="L85" s="27" t="n">
        <f aca="false">IF(COUNT('Milho 2ª safra'!$E83:$Z83)=0,0,MAX(0,IF((L$6-$E$3)&lt;1,0,IFERROR(LOOKUP(2,1/('Milho 2ª safra'!$E83:INDEX('Milho 2ª safra'!$E83:$Z83,MIN(L$6-$E$3,22))&lt;&gt;""),'Milho 2ª safra'!$E83:INDEX('Milho 2ª safra'!$E83:$Z83,MIN(L$6-$E$3,22))),0))-IF($G$2,0,IF((L$6-$G$3)&lt;1,0,IFERROR(LOOKUP(2,1/('Milho 2ª safra'!$E83:INDEX('Milho 2ª safra'!$E83:$Z83,MIN(L$6-$G$3,22))&lt;&gt;""),'Milho 2ª safra'!$E83:INDEX('Milho 2ª safra'!$E83:$Z83,MIN(L$6-$G$3,22))),0)))))</f>
        <v>0</v>
      </c>
      <c r="M85" s="27" t="n">
        <f aca="false">IF(COUNT('Milho 2ª safra'!$E83:$Z83)=0,0,MAX(0,IF((M$6-$E$3)&lt;1,0,IFERROR(LOOKUP(2,1/('Milho 2ª safra'!$E83:INDEX('Milho 2ª safra'!$E83:$Z83,MIN(M$6-$E$3,22))&lt;&gt;""),'Milho 2ª safra'!$E83:INDEX('Milho 2ª safra'!$E83:$Z83,MIN(M$6-$E$3,22))),0))-IF($G$2,0,IF((M$6-$G$3)&lt;1,0,IFERROR(LOOKUP(2,1/('Milho 2ª safra'!$E83:INDEX('Milho 2ª safra'!$E83:$Z83,MIN(M$6-$G$3,22))&lt;&gt;""),'Milho 2ª safra'!$E83:INDEX('Milho 2ª safra'!$E83:$Z83,MIN(M$6-$G$3,22))),0)))))</f>
        <v>0</v>
      </c>
      <c r="N85" s="27" t="n">
        <f aca="false">IF(COUNT('Milho 2ª safra'!$E83:$Z83)=0,0,MAX(0,IF((N$6-$E$3)&lt;1,0,IFERROR(LOOKUP(2,1/('Milho 2ª safra'!$E83:INDEX('Milho 2ª safra'!$E83:$Z83,MIN(N$6-$E$3,22))&lt;&gt;""),'Milho 2ª safra'!$E83:INDEX('Milho 2ª safra'!$E83:$Z83,MIN(N$6-$E$3,22))),0))-IF($G$2,0,IF((N$6-$G$3)&lt;1,0,IFERROR(LOOKUP(2,1/('Milho 2ª safra'!$E83:INDEX('Milho 2ª safra'!$E83:$Z83,MIN(N$6-$G$3,22))&lt;&gt;""),'Milho 2ª safra'!$E83:INDEX('Milho 2ª safra'!$E83:$Z83,MIN(N$6-$G$3,22))),0)))))</f>
        <v>0</v>
      </c>
      <c r="O85" s="27" t="n">
        <f aca="false">IF(COUNT('Milho 2ª safra'!$E83:$Z83)=0,0,MAX(0,IF((O$6-$E$3)&lt;1,0,IFERROR(LOOKUP(2,1/('Milho 2ª safra'!$E83:INDEX('Milho 2ª safra'!$E83:$Z83,MIN(O$6-$E$3,22))&lt;&gt;""),'Milho 2ª safra'!$E83:INDEX('Milho 2ª safra'!$E83:$Z83,MIN(O$6-$E$3,22))),0))-IF($G$2,0,IF((O$6-$G$3)&lt;1,0,IFERROR(LOOKUP(2,1/('Milho 2ª safra'!$E83:INDEX('Milho 2ª safra'!$E83:$Z83,MIN(O$6-$G$3,22))&lt;&gt;""),'Milho 2ª safra'!$E83:INDEX('Milho 2ª safra'!$E83:$Z83,MIN(O$6-$G$3,22))),0)))))</f>
        <v>0</v>
      </c>
      <c r="P85" s="27" t="n">
        <f aca="false">IF(COUNT('Milho 2ª safra'!$E83:$Z83)=0,0,MAX(0,IF((P$6-$E$3)&lt;1,0,IFERROR(LOOKUP(2,1/('Milho 2ª safra'!$E83:INDEX('Milho 2ª safra'!$E83:$Z83,MIN(P$6-$E$3,22))&lt;&gt;""),'Milho 2ª safra'!$E83:INDEX('Milho 2ª safra'!$E83:$Z83,MIN(P$6-$E$3,22))),0))-IF($G$2,0,IF((P$6-$G$3)&lt;1,0,IFERROR(LOOKUP(2,1/('Milho 2ª safra'!$E83:INDEX('Milho 2ª safra'!$E83:$Z83,MIN(P$6-$G$3,22))&lt;&gt;""),'Milho 2ª safra'!$E83:INDEX('Milho 2ª safra'!$E83:$Z83,MIN(P$6-$G$3,22))),0)))))</f>
        <v>0</v>
      </c>
      <c r="Q85" s="27" t="n">
        <f aca="false">IF(COUNT('Milho 2ª safra'!$E83:$Z83)=0,0,MAX(0,IF((Q$6-$E$3)&lt;1,0,IFERROR(LOOKUP(2,1/('Milho 2ª safra'!$E83:INDEX('Milho 2ª safra'!$E83:$Z83,MIN(Q$6-$E$3,22))&lt;&gt;""),'Milho 2ª safra'!$E83:INDEX('Milho 2ª safra'!$E83:$Z83,MIN(Q$6-$E$3,22))),0))-IF($G$2,0,IF((Q$6-$G$3)&lt;1,0,IFERROR(LOOKUP(2,1/('Milho 2ª safra'!$E83:INDEX('Milho 2ª safra'!$E83:$Z83,MIN(Q$6-$G$3,22))&lt;&gt;""),'Milho 2ª safra'!$E83:INDEX('Milho 2ª safra'!$E83:$Z83,MIN(Q$6-$G$3,22))),0)))))</f>
        <v>0</v>
      </c>
      <c r="R85" s="27" t="n">
        <f aca="false">IF(COUNT('Milho 2ª safra'!$E83:$Z83)=0,0,MAX(0,IF((R$6-$E$3)&lt;1,0,IFERROR(LOOKUP(2,1/('Milho 2ª safra'!$E83:INDEX('Milho 2ª safra'!$E83:$Z83,MIN(R$6-$E$3,22))&lt;&gt;""),'Milho 2ª safra'!$E83:INDEX('Milho 2ª safra'!$E83:$Z83,MIN(R$6-$E$3,22))),0))-IF($G$2,0,IF((R$6-$G$3)&lt;1,0,IFERROR(LOOKUP(2,1/('Milho 2ª safra'!$E83:INDEX('Milho 2ª safra'!$E83:$Z83,MIN(R$6-$G$3,22))&lt;&gt;""),'Milho 2ª safra'!$E83:INDEX('Milho 2ª safra'!$E83:$Z83,MIN(R$6-$G$3,22))),0)))))</f>
        <v>0</v>
      </c>
      <c r="S85" s="27" t="n">
        <f aca="false">IF(COUNT('Milho 2ª safra'!$E83:$Z83)=0,0,MAX(0,IF((S$6-$E$3)&lt;1,0,IFERROR(LOOKUP(2,1/('Milho 2ª safra'!$E83:INDEX('Milho 2ª safra'!$E83:$Z83,MIN(S$6-$E$3,22))&lt;&gt;""),'Milho 2ª safra'!$E83:INDEX('Milho 2ª safra'!$E83:$Z83,MIN(S$6-$E$3,22))),0))-IF($G$2,0,IF((S$6-$G$3)&lt;1,0,IFERROR(LOOKUP(2,1/('Milho 2ª safra'!$E83:INDEX('Milho 2ª safra'!$E83:$Z83,MIN(S$6-$G$3,22))&lt;&gt;""),'Milho 2ª safra'!$E83:INDEX('Milho 2ª safra'!$E83:$Z83,MIN(S$6-$G$3,22))),0)))))</f>
        <v>0</v>
      </c>
      <c r="T85" s="27" t="n">
        <f aca="false">IF(COUNT('Milho 2ª safra'!$E83:$Z83)=0,0,MAX(0,IF((T$6-$E$3)&lt;1,0,IFERROR(LOOKUP(2,1/('Milho 2ª safra'!$E83:INDEX('Milho 2ª safra'!$E83:$Z83,MIN(T$6-$E$3,22))&lt;&gt;""),'Milho 2ª safra'!$E83:INDEX('Milho 2ª safra'!$E83:$Z83,MIN(T$6-$E$3,22))),0))-IF($G$2,0,IF((T$6-$G$3)&lt;1,0,IFERROR(LOOKUP(2,1/('Milho 2ª safra'!$E83:INDEX('Milho 2ª safra'!$E83:$Z83,MIN(T$6-$G$3,22))&lt;&gt;""),'Milho 2ª safra'!$E83:INDEX('Milho 2ª safra'!$E83:$Z83,MIN(T$6-$G$3,22))),0)))))</f>
        <v>0</v>
      </c>
      <c r="U85" s="27" t="n">
        <f aca="false">IF(COUNT('Milho 2ª safra'!$E83:$Z83)=0,0,MAX(0,IF((U$6-$E$3)&lt;1,0,IFERROR(LOOKUP(2,1/('Milho 2ª safra'!$E83:INDEX('Milho 2ª safra'!$E83:$Z83,MIN(U$6-$E$3,22))&lt;&gt;""),'Milho 2ª safra'!$E83:INDEX('Milho 2ª safra'!$E83:$Z83,MIN(U$6-$E$3,22))),0))-IF($G$2,0,IF((U$6-$G$3)&lt;1,0,IFERROR(LOOKUP(2,1/('Milho 2ª safra'!$E83:INDEX('Milho 2ª safra'!$E83:$Z83,MIN(U$6-$G$3,22))&lt;&gt;""),'Milho 2ª safra'!$E83:INDEX('Milho 2ª safra'!$E83:$Z83,MIN(U$6-$G$3,22))),0)))))</f>
        <v>0</v>
      </c>
      <c r="V85" s="27" t="n">
        <f aca="false">IF(COUNT('Milho 2ª safra'!$E83:$Z83)=0,0,MAX(0,IF((V$6-$E$3)&lt;1,0,IFERROR(LOOKUP(2,1/('Milho 2ª safra'!$E83:INDEX('Milho 2ª safra'!$E83:$Z83,MIN(V$6-$E$3,22))&lt;&gt;""),'Milho 2ª safra'!$E83:INDEX('Milho 2ª safra'!$E83:$Z83,MIN(V$6-$E$3,22))),0))-IF($G$2,0,IF((V$6-$G$3)&lt;1,0,IFERROR(LOOKUP(2,1/('Milho 2ª safra'!$E83:INDEX('Milho 2ª safra'!$E83:$Z83,MIN(V$6-$G$3,22))&lt;&gt;""),'Milho 2ª safra'!$E83:INDEX('Milho 2ª safra'!$E83:$Z83,MIN(V$6-$G$3,22))),0)))))</f>
        <v>0</v>
      </c>
      <c r="W85" s="27" t="n">
        <f aca="false">IF(COUNT('Milho 2ª safra'!$E83:$Z83)=0,0,MAX(0,IF((W$6-$E$3)&lt;1,0,IFERROR(LOOKUP(2,1/('Milho 2ª safra'!$E83:INDEX('Milho 2ª safra'!$E83:$Z83,MIN(W$6-$E$3,22))&lt;&gt;""),'Milho 2ª safra'!$E83:INDEX('Milho 2ª safra'!$E83:$Z83,MIN(W$6-$E$3,22))),0))-IF($G$2,0,IF((W$6-$G$3)&lt;1,0,IFERROR(LOOKUP(2,1/('Milho 2ª safra'!$E83:INDEX('Milho 2ª safra'!$E83:$Z83,MIN(W$6-$G$3,22))&lt;&gt;""),'Milho 2ª safra'!$E83:INDEX('Milho 2ª safra'!$E83:$Z83,MIN(W$6-$G$3,22))),0)))))</f>
        <v>0</v>
      </c>
      <c r="X85" s="27" t="n">
        <f aca="false">IF(COUNT('Milho 2ª safra'!$E83:$Z83)=0,0,MAX(0,IF((X$6-$E$3)&lt;1,0,IFERROR(LOOKUP(2,1/('Milho 2ª safra'!$E83:INDEX('Milho 2ª safra'!$E83:$Z83,MIN(X$6-$E$3,22))&lt;&gt;""),'Milho 2ª safra'!$E83:INDEX('Milho 2ª safra'!$E83:$Z83,MIN(X$6-$E$3,22))),0))-IF($G$2,0,IF((X$6-$G$3)&lt;1,0,IFERROR(LOOKUP(2,1/('Milho 2ª safra'!$E83:INDEX('Milho 2ª safra'!$E83:$Z83,MIN(X$6-$G$3,22))&lt;&gt;""),'Milho 2ª safra'!$E83:INDEX('Milho 2ª safra'!$E83:$Z83,MIN(X$6-$G$3,22))),0)))))</f>
        <v>0</v>
      </c>
      <c r="Y85" s="27" t="n">
        <f aca="false">IF(COUNT('Milho 2ª safra'!$E83:$Z83)=0,0,MAX(0,IF((Y$6-$E$3)&lt;1,0,IFERROR(LOOKUP(2,1/('Milho 2ª safra'!$E83:INDEX('Milho 2ª safra'!$E83:$Z83,MIN(Y$6-$E$3,22))&lt;&gt;""),'Milho 2ª safra'!$E83:INDEX('Milho 2ª safra'!$E83:$Z83,MIN(Y$6-$E$3,22))),0))-IF($G$2,0,IF((Y$6-$G$3)&lt;1,0,IFERROR(LOOKUP(2,1/('Milho 2ª safra'!$E83:INDEX('Milho 2ª safra'!$E83:$Z83,MIN(Y$6-$G$3,22))&lt;&gt;""),'Milho 2ª safra'!$E83:INDEX('Milho 2ª safra'!$E83:$Z83,MIN(Y$6-$G$3,22))),0)))))</f>
        <v>0</v>
      </c>
      <c r="Z85" s="27" t="n">
        <f aca="false">IF(COUNT('Milho 2ª safra'!$E83:$Z83)=0,0,MAX(0,IF((Z$6-$E$3)&lt;1,0,IFERROR(LOOKUP(2,1/('Milho 2ª safra'!$E83:INDEX('Milho 2ª safra'!$E83:$Z83,MIN(Z$6-$E$3,22))&lt;&gt;""),'Milho 2ª safra'!$E83:INDEX('Milho 2ª safra'!$E83:$Z83,MIN(Z$6-$E$3,22))),0))-IF($G$2,0,IF((Z$6-$G$3)&lt;1,0,IFERROR(LOOKUP(2,1/('Milho 2ª safra'!$E83:INDEX('Milho 2ª safra'!$E83:$Z83,MIN(Z$6-$G$3,22))&lt;&gt;""),'Milho 2ª safra'!$E83:INDEX('Milho 2ª safra'!$E83:$Z83,MIN(Z$6-$G$3,22))),0)))))</f>
        <v>0</v>
      </c>
      <c r="AA85" s="27" t="n">
        <f aca="false">IF(COUNT('Milho 2ª safra'!$E83:$Z83)=0,0,MAX(0,IF((AA$6-$E$3)&lt;1,0,IFERROR(LOOKUP(2,1/('Milho 2ª safra'!$E83:INDEX('Milho 2ª safra'!$E83:$Z83,MIN(AA$6-$E$3,22))&lt;&gt;""),'Milho 2ª safra'!$E83:INDEX('Milho 2ª safra'!$E83:$Z83,MIN(AA$6-$E$3,22))),0))-IF($G$2,0,IF((AA$6-$G$3)&lt;1,0,IFERROR(LOOKUP(2,1/('Milho 2ª safra'!$E83:INDEX('Milho 2ª safra'!$E83:$Z83,MIN(AA$6-$G$3,22))&lt;&gt;""),'Milho 2ª safra'!$E83:INDEX('Milho 2ª safra'!$E83:$Z83,MIN(AA$6-$G$3,22))),0)))))</f>
        <v>0</v>
      </c>
      <c r="AB85" s="27" t="n">
        <f aca="false">IF(COUNT('Milho 2ª safra'!$E83:$Z83)=0,0,MAX(0,IF((AB$6-$E$3)&lt;1,0,IFERROR(LOOKUP(2,1/('Milho 2ª safra'!$E83:INDEX('Milho 2ª safra'!$E83:$Z83,MIN(AB$6-$E$3,22))&lt;&gt;""),'Milho 2ª safra'!$E83:INDEX('Milho 2ª safra'!$E83:$Z83,MIN(AB$6-$E$3,22))),0))-IF($G$2,0,IF((AB$6-$G$3)&lt;1,0,IFERROR(LOOKUP(2,1/('Milho 2ª safra'!$E83:INDEX('Milho 2ª safra'!$E83:$Z83,MIN(AB$6-$G$3,22))&lt;&gt;""),'Milho 2ª safra'!$E83:INDEX('Milho 2ª safra'!$E83:$Z83,MIN(AB$6-$G$3,22))),0)))))</f>
        <v>0</v>
      </c>
      <c r="AC85" s="27" t="n">
        <f aca="false">IF(COUNT('Milho 2ª safra'!$E83:$Z83)=0,0,MAX(0,IF((AC$6-$E$3)&lt;1,0,IFERROR(LOOKUP(2,1/('Milho 2ª safra'!$E83:INDEX('Milho 2ª safra'!$E83:$Z83,MIN(AC$6-$E$3,22))&lt;&gt;""),'Milho 2ª safra'!$E83:INDEX('Milho 2ª safra'!$E83:$Z83,MIN(AC$6-$E$3,22))),0))-IF($G$2,0,IF((AC$6-$G$3)&lt;1,0,IFERROR(LOOKUP(2,1/('Milho 2ª safra'!$E83:INDEX('Milho 2ª safra'!$E83:$Z83,MIN(AC$6-$G$3,22))&lt;&gt;""),'Milho 2ª safra'!$E83:INDEX('Milho 2ª safra'!$E83:$Z83,MIN(AC$6-$G$3,22))),0)))))</f>
        <v>0</v>
      </c>
      <c r="AD85" s="27" t="n">
        <f aca="false">IF(COUNT('Milho 2ª safra'!$E83:$Z83)=0,0,MAX(0,IF((AD$6-$E$3)&lt;1,0,IFERROR(LOOKUP(2,1/('Milho 2ª safra'!$E83:INDEX('Milho 2ª safra'!$E83:$Z83,MIN(AD$6-$E$3,22))&lt;&gt;""),'Milho 2ª safra'!$E83:INDEX('Milho 2ª safra'!$E83:$Z83,MIN(AD$6-$E$3,22))),0))-IF($G$2,0,IF((AD$6-$G$3)&lt;1,0,IFERROR(LOOKUP(2,1/('Milho 2ª safra'!$E83:INDEX('Milho 2ª safra'!$E83:$Z83,MIN(AD$6-$G$3,22))&lt;&gt;""),'Milho 2ª safra'!$E83:INDEX('Milho 2ª safra'!$E83:$Z83,MIN(AD$6-$G$3,22))),0)))))</f>
        <v>0</v>
      </c>
      <c r="AE85" s="27" t="n">
        <f aca="false">IF(COUNT('Milho 2ª safra'!$E83:$Z83)=0,0,MAX(0,IF((AE$6-$E$3)&lt;1,0,IFERROR(LOOKUP(2,1/('Milho 2ª safra'!$E83:INDEX('Milho 2ª safra'!$E83:$Z83,MIN(AE$6-$E$3,22))&lt;&gt;""),'Milho 2ª safra'!$E83:INDEX('Milho 2ª safra'!$E83:$Z83,MIN(AE$6-$E$3,22))),0))-IF($G$2,0,IF((AE$6-$G$3)&lt;1,0,IFERROR(LOOKUP(2,1/('Milho 2ª safra'!$E83:INDEX('Milho 2ª safra'!$E83:$Z83,MIN(AE$6-$G$3,22))&lt;&gt;""),'Milho 2ª safra'!$E83:INDEX('Milho 2ª safra'!$E83:$Z83,MIN(AE$6-$G$3,22))),0)))))</f>
        <v>0</v>
      </c>
      <c r="AF85" s="27" t="n">
        <f aca="false">IF(COUNT('Milho 2ª safra'!$E83:$Z83)=0,0,MAX(0,IF((AF$6-$E$3)&lt;1,0,IFERROR(LOOKUP(2,1/('Milho 2ª safra'!$E83:INDEX('Milho 2ª safra'!$E83:$Z83,MIN(AF$6-$E$3,22))&lt;&gt;""),'Milho 2ª safra'!$E83:INDEX('Milho 2ª safra'!$E83:$Z83,MIN(AF$6-$E$3,22))),0))-IF($G$2,0,IF((AF$6-$G$3)&lt;1,0,IFERROR(LOOKUP(2,1/('Milho 2ª safra'!$E83:INDEX('Milho 2ª safra'!$E83:$Z83,MIN(AF$6-$G$3,22))&lt;&gt;""),'Milho 2ª safra'!$E83:INDEX('Milho 2ª safra'!$E83:$Z83,MIN(AF$6-$G$3,22))),0)))))</f>
        <v>0</v>
      </c>
      <c r="AG85" s="27" t="n">
        <f aca="false">IF(COUNT('Milho 2ª safra'!$E83:$Z83)=0,0,MAX(0,IF((AG$6-$E$3)&lt;1,0,IFERROR(LOOKUP(2,1/('Milho 2ª safra'!$E83:INDEX('Milho 2ª safra'!$E83:$Z83,MIN(AG$6-$E$3,22))&lt;&gt;""),'Milho 2ª safra'!$E83:INDEX('Milho 2ª safra'!$E83:$Z83,MIN(AG$6-$E$3,22))),0))-IF($G$2,0,IF((AG$6-$G$3)&lt;1,0,IFERROR(LOOKUP(2,1/('Milho 2ª safra'!$E83:INDEX('Milho 2ª safra'!$E83:$Z83,MIN(AG$6-$G$3,22))&lt;&gt;""),'Milho 2ª safra'!$E83:INDEX('Milho 2ª safra'!$E83:$Z83,MIN(AG$6-$G$3,22))),0)))))</f>
        <v>0</v>
      </c>
      <c r="AH85" s="27" t="n">
        <f aca="false">IF(COUNT('Milho 2ª safra'!$E83:$Z83)=0,0,MAX(0,IF((AH$6-$E$3)&lt;1,0,IFERROR(LOOKUP(2,1/('Milho 2ª safra'!$E83:INDEX('Milho 2ª safra'!$E83:$Z83,MIN(AH$6-$E$3,22))&lt;&gt;""),'Milho 2ª safra'!$E83:INDEX('Milho 2ª safra'!$E83:$Z83,MIN(AH$6-$E$3,22))),0))-IF($G$2,0,IF((AH$6-$G$3)&lt;1,0,IFERROR(LOOKUP(2,1/('Milho 2ª safra'!$E83:INDEX('Milho 2ª safra'!$E83:$Z83,MIN(AH$6-$G$3,22))&lt;&gt;""),'Milho 2ª safra'!$E83:INDEX('Milho 2ª safra'!$E83:$Z83,MIN(AH$6-$G$3,22))),0)))))</f>
        <v>0</v>
      </c>
      <c r="AI85" s="27" t="n">
        <f aca="false">IF(COUNT('Milho 2ª safra'!$E83:$Z83)=0,0,MAX(0,IF((AI$6-$E$3)&lt;1,0,IFERROR(LOOKUP(2,1/('Milho 2ª safra'!$E83:INDEX('Milho 2ª safra'!$E83:$Z83,MIN(AI$6-$E$3,22))&lt;&gt;""),'Milho 2ª safra'!$E83:INDEX('Milho 2ª safra'!$E83:$Z83,MIN(AI$6-$E$3,22))),0))-IF($G$2,0,IF((AI$6-$G$3)&lt;1,0,IFERROR(LOOKUP(2,1/('Milho 2ª safra'!$E83:INDEX('Milho 2ª safra'!$E83:$Z83,MIN(AI$6-$G$3,22))&lt;&gt;""),'Milho 2ª safra'!$E83:INDEX('Milho 2ª safra'!$E83:$Z83,MIN(AI$6-$G$3,22))),0)))))</f>
        <v>0</v>
      </c>
      <c r="AJ85" s="27" t="n">
        <f aca="false">IF(COUNT('Milho 2ª safra'!$E83:$Z83)=0,0,MAX(0,IF((AJ$6-$E$3)&lt;1,0,IFERROR(LOOKUP(2,1/('Milho 2ª safra'!$E83:INDEX('Milho 2ª safra'!$E83:$Z83,MIN(AJ$6-$E$3,22))&lt;&gt;""),'Milho 2ª safra'!$E83:INDEX('Milho 2ª safra'!$E83:$Z83,MIN(AJ$6-$E$3,22))),0))-IF($G$2,0,IF((AJ$6-$G$3)&lt;1,0,IFERROR(LOOKUP(2,1/('Milho 2ª safra'!$E83:INDEX('Milho 2ª safra'!$E83:$Z83,MIN(AJ$6-$G$3,22))&lt;&gt;""),'Milho 2ª safra'!$E83:INDEX('Milho 2ª safra'!$E83:$Z83,MIN(AJ$6-$G$3,22))),0)))))</f>
        <v>0</v>
      </c>
      <c r="AK85" s="27" t="n">
        <f aca="false">IF(COUNT('Milho 2ª safra'!$E83:$Z83)=0,0,MAX(0,IF((AK$6-$E$3)&lt;1,0,IFERROR(LOOKUP(2,1/('Milho 2ª safra'!$E83:INDEX('Milho 2ª safra'!$E83:$Z83,MIN(AK$6-$E$3,22))&lt;&gt;""),'Milho 2ª safra'!$E83:INDEX('Milho 2ª safra'!$E83:$Z83,MIN(AK$6-$E$3,22))),0))-IF($G$2,0,IF((AK$6-$G$3)&lt;1,0,IFERROR(LOOKUP(2,1/('Milho 2ª safra'!$E83:INDEX('Milho 2ª safra'!$E83:$Z83,MIN(AK$6-$G$3,22))&lt;&gt;""),'Milho 2ª safra'!$E83:INDEX('Milho 2ª safra'!$E83:$Z83,MIN(AK$6-$G$3,22))),0)))))</f>
        <v>0</v>
      </c>
      <c r="AL85" s="27" t="n">
        <f aca="false">IF(COUNT('Milho 2ª safra'!$E83:$Z83)=0,0,MAX(0,IF((AL$6-$E$3)&lt;1,0,IFERROR(LOOKUP(2,1/('Milho 2ª safra'!$E83:INDEX('Milho 2ª safra'!$E83:$Z83,MIN(AL$6-$E$3,22))&lt;&gt;""),'Milho 2ª safra'!$E83:INDEX('Milho 2ª safra'!$E83:$Z83,MIN(AL$6-$E$3,22))),0))-IF($G$2,0,IF((AL$6-$G$3)&lt;1,0,IFERROR(LOOKUP(2,1/('Milho 2ª safra'!$E83:INDEX('Milho 2ª safra'!$E83:$Z83,MIN(AL$6-$G$3,22))&lt;&gt;""),'Milho 2ª safra'!$E83:INDEX('Milho 2ª safra'!$E83:$Z83,MIN(AL$6-$G$3,22))),0)))))</f>
        <v>0</v>
      </c>
      <c r="AM85" s="27" t="n">
        <f aca="false">IF(COUNT('Milho 2ª safra'!$E83:$Z83)=0,0,MAX(0,IF((AM$6-$E$3)&lt;1,0,IFERROR(LOOKUP(2,1/('Milho 2ª safra'!$E83:INDEX('Milho 2ª safra'!$E83:$Z83,MIN(AM$6-$E$3,22))&lt;&gt;""),'Milho 2ª safra'!$E83:INDEX('Milho 2ª safra'!$E83:$Z83,MIN(AM$6-$E$3,22))),0))-IF($G$2,0,IF((AM$6-$G$3)&lt;1,0,IFERROR(LOOKUP(2,1/('Milho 2ª safra'!$E83:INDEX('Milho 2ª safra'!$E83:$Z83,MIN(AM$6-$G$3,22))&lt;&gt;""),'Milho 2ª safra'!$E83:INDEX('Milho 2ª safra'!$E83:$Z83,MIN(AM$6-$G$3,22))),0)))))</f>
        <v>0</v>
      </c>
      <c r="AN85" s="27" t="n">
        <f aca="false">IF(COUNT('Milho 2ª safra'!$E83:$Z83)=0,0,MAX(0,IF((AN$6-$E$3)&lt;1,0,IFERROR(LOOKUP(2,1/('Milho 2ª safra'!$E83:INDEX('Milho 2ª safra'!$E83:$Z83,MIN(AN$6-$E$3,22))&lt;&gt;""),'Milho 2ª safra'!$E83:INDEX('Milho 2ª safra'!$E83:$Z83,MIN(AN$6-$E$3,22))),0))-IF($G$2,0,IF((AN$6-$G$3)&lt;1,0,IFERROR(LOOKUP(2,1/('Milho 2ª safra'!$E83:INDEX('Milho 2ª safra'!$E83:$Z83,MIN(AN$6-$G$3,22))&lt;&gt;""),'Milho 2ª safra'!$E83:INDEX('Milho 2ª safra'!$E83:$Z83,MIN(AN$6-$G$3,22))),0)))))</f>
        <v>0</v>
      </c>
      <c r="AO85" s="27" t="n">
        <f aca="false">IF(COUNT('Milho 2ª safra'!$E83:$Z83)=0,0,MAX(0,IF((AO$6-$E$3)&lt;1,0,IFERROR(LOOKUP(2,1/('Milho 2ª safra'!$E83:INDEX('Milho 2ª safra'!$E83:$Z83,MIN(AO$6-$E$3,22))&lt;&gt;""),'Milho 2ª safra'!$E83:INDEX('Milho 2ª safra'!$E83:$Z83,MIN(AO$6-$E$3,22))),0))-IF($G$2,0,IF((AO$6-$G$3)&lt;1,0,IFERROR(LOOKUP(2,1/('Milho 2ª safra'!$E83:INDEX('Milho 2ª safra'!$E83:$Z83,MIN(AO$6-$G$3,22))&lt;&gt;""),'Milho 2ª safra'!$E83:INDEX('Milho 2ª safra'!$E83:$Z83,MIN(AO$6-$G$3,22))),0)))))</f>
        <v>0</v>
      </c>
      <c r="AP85" s="27" t="n">
        <f aca="false">IF(COUNT('Milho 2ª safra'!$E83:$Z83)=0,0,MAX(0,IF((AP$6-$E$3)&lt;1,0,IFERROR(LOOKUP(2,1/('Milho 2ª safra'!$E83:INDEX('Milho 2ª safra'!$E83:$Z83,MIN(AP$6-$E$3,22))&lt;&gt;""),'Milho 2ª safra'!$E83:INDEX('Milho 2ª safra'!$E83:$Z83,MIN(AP$6-$E$3,22))),0))-IF($G$2,0,IF((AP$6-$G$3)&lt;1,0,IFERROR(LOOKUP(2,1/('Milho 2ª safra'!$E83:INDEX('Milho 2ª safra'!$E83:$Z83,MIN(AP$6-$G$3,22))&lt;&gt;""),'Milho 2ª safra'!$E83:INDEX('Milho 2ª safra'!$E83:$Z83,MIN(AP$6-$G$3,22))),0)))))</f>
        <v>0</v>
      </c>
      <c r="AQ85" s="27" t="n">
        <f aca="false">IF(COUNT('Milho 2ª safra'!$E83:$Z83)=0,0,MAX(0,IF((AQ$6-$E$3)&lt;1,0,IFERROR(LOOKUP(2,1/('Milho 2ª safra'!$E83:INDEX('Milho 2ª safra'!$E83:$Z83,MIN(AQ$6-$E$3,22))&lt;&gt;""),'Milho 2ª safra'!$E83:INDEX('Milho 2ª safra'!$E83:$Z83,MIN(AQ$6-$E$3,22))),0))-IF($G$2,0,IF((AQ$6-$G$3)&lt;1,0,IFERROR(LOOKUP(2,1/('Milho 2ª safra'!$E83:INDEX('Milho 2ª safra'!$E83:$Z83,MIN(AQ$6-$G$3,22))&lt;&gt;""),'Milho 2ª safra'!$E83:INDEX('Milho 2ª safra'!$E83:$Z83,MIN(AQ$6-$G$3,22))),0)))))</f>
        <v>0</v>
      </c>
      <c r="AR85" s="27" t="n">
        <f aca="false">IF(COUNT('Milho 2ª safra'!$E83:$Z83)=0,0,MAX(0,IF((AR$6-$E$3)&lt;1,0,IFERROR(LOOKUP(2,1/('Milho 2ª safra'!$E83:INDEX('Milho 2ª safra'!$E83:$Z83,MIN(AR$6-$E$3,22))&lt;&gt;""),'Milho 2ª safra'!$E83:INDEX('Milho 2ª safra'!$E83:$Z83,MIN(AR$6-$E$3,22))),0))-IF($G$2,0,IF((AR$6-$G$3)&lt;1,0,IFERROR(LOOKUP(2,1/('Milho 2ª safra'!$E83:INDEX('Milho 2ª safra'!$E83:$Z83,MIN(AR$6-$G$3,22))&lt;&gt;""),'Milho 2ª safra'!$E83:INDEX('Milho 2ª safra'!$E83:$Z83,MIN(AR$6-$G$3,22))),0)))))</f>
        <v>0</v>
      </c>
      <c r="AS85" s="27" t="n">
        <f aca="false">IF(COUNT('Milho 2ª safra'!$E83:$Z83)=0,0,MAX(0,IF((AS$6-$E$3)&lt;1,0,IFERROR(LOOKUP(2,1/('Milho 2ª safra'!$E83:INDEX('Milho 2ª safra'!$E83:$Z83,MIN(AS$6-$E$3,22))&lt;&gt;""),'Milho 2ª safra'!$E83:INDEX('Milho 2ª safra'!$E83:$Z83,MIN(AS$6-$E$3,22))),0))-IF($G$2,0,IF((AS$6-$G$3)&lt;1,0,IFERROR(LOOKUP(2,1/('Milho 2ª safra'!$E83:INDEX('Milho 2ª safra'!$E83:$Z83,MIN(AS$6-$G$3,22))&lt;&gt;""),'Milho 2ª safra'!$E83:INDEX('Milho 2ª safra'!$E83:$Z83,MIN(AS$6-$G$3,22))),0)))))</f>
        <v>0</v>
      </c>
      <c r="AT85" s="27" t="n">
        <f aca="false">IF(COUNT('Milho 2ª safra'!$E83:$Z83)=0,0,MAX(0,IF((AT$6-$E$3)&lt;1,0,IFERROR(LOOKUP(2,1/('Milho 2ª safra'!$E83:INDEX('Milho 2ª safra'!$E83:$Z83,MIN(AT$6-$E$3,22))&lt;&gt;""),'Milho 2ª safra'!$E83:INDEX('Milho 2ª safra'!$E83:$Z83,MIN(AT$6-$E$3,22))),0))-IF($G$2,0,IF((AT$6-$G$3)&lt;1,0,IFERROR(LOOKUP(2,1/('Milho 2ª safra'!$E83:INDEX('Milho 2ª safra'!$E83:$Z83,MIN(AT$6-$G$3,22))&lt;&gt;""),'Milho 2ª safra'!$E83:INDEX('Milho 2ª safra'!$E83:$Z83,MIN(AT$6-$G$3,22))),0)))))</f>
        <v>0</v>
      </c>
      <c r="AU85" s="27" t="n">
        <f aca="false">IF(COUNT('Milho 2ª safra'!$E83:$Z83)=0,0,MAX(0,IF((AU$6-$E$3)&lt;1,0,IFERROR(LOOKUP(2,1/('Milho 2ª safra'!$E83:INDEX('Milho 2ª safra'!$E83:$Z83,MIN(AU$6-$E$3,22))&lt;&gt;""),'Milho 2ª safra'!$E83:INDEX('Milho 2ª safra'!$E83:$Z83,MIN(AU$6-$E$3,22))),0))-IF($G$2,0,IF((AU$6-$G$3)&lt;1,0,IFERROR(LOOKUP(2,1/('Milho 2ª safra'!$E83:INDEX('Milho 2ª safra'!$E83:$Z83,MIN(AU$6-$G$3,22))&lt;&gt;""),'Milho 2ª safra'!$E83:INDEX('Milho 2ª safra'!$E83:$Z83,MIN(AU$6-$G$3,22))),0)))))</f>
        <v>0</v>
      </c>
      <c r="AV85" s="27" t="n">
        <f aca="false">IF(COUNT('Milho 2ª safra'!$E83:$Z83)=0,0,MAX(0,IF((AV$6-$E$3)&lt;1,0,IFERROR(LOOKUP(2,1/('Milho 2ª safra'!$E83:INDEX('Milho 2ª safra'!$E83:$Z83,MIN(AV$6-$E$3,22))&lt;&gt;""),'Milho 2ª safra'!$E83:INDEX('Milho 2ª safra'!$E83:$Z83,MIN(AV$6-$E$3,22))),0))-IF($G$2,0,IF((AV$6-$G$3)&lt;1,0,IFERROR(LOOKUP(2,1/('Milho 2ª safra'!$E83:INDEX('Milho 2ª safra'!$E83:$Z83,MIN(AV$6-$G$3,22))&lt;&gt;""),'Milho 2ª safra'!$E83:INDEX('Milho 2ª safra'!$E83:$Z83,MIN(AV$6-$G$3,22))),0)))))</f>
        <v>0</v>
      </c>
      <c r="AW85" s="27" t="n">
        <f aca="false">IF(COUNT('Milho 2ª safra'!$E83:$Z83)=0,0,MAX(0,IF((AW$6-$E$3)&lt;1,0,IFERROR(LOOKUP(2,1/('Milho 2ª safra'!$E83:INDEX('Milho 2ª safra'!$E83:$Z83,MIN(AW$6-$E$3,22))&lt;&gt;""),'Milho 2ª safra'!$E83:INDEX('Milho 2ª safra'!$E83:$Z83,MIN(AW$6-$E$3,22))),0))-IF($G$2,0,IF((AW$6-$G$3)&lt;1,0,IFERROR(LOOKUP(2,1/('Milho 2ª safra'!$E83:INDEX('Milho 2ª safra'!$E83:$Z83,MIN(AW$6-$G$3,22))&lt;&gt;""),'Milho 2ª safra'!$E83:INDEX('Milho 2ª safra'!$E83:$Z83,MIN(AW$6-$G$3,22))),0)))))</f>
        <v>0</v>
      </c>
      <c r="AX85" s="27" t="n">
        <f aca="false">IF(COUNT('Milho 2ª safra'!$E83:$Z83)=0,0,MAX(0,IF((AX$6-$E$3)&lt;1,0,IFERROR(LOOKUP(2,1/('Milho 2ª safra'!$E83:INDEX('Milho 2ª safra'!$E83:$Z83,MIN(AX$6-$E$3,22))&lt;&gt;""),'Milho 2ª safra'!$E83:INDEX('Milho 2ª safra'!$E83:$Z83,MIN(AX$6-$E$3,22))),0))-IF($G$2,0,IF((AX$6-$G$3)&lt;1,0,IFERROR(LOOKUP(2,1/('Milho 2ª safra'!$E83:INDEX('Milho 2ª safra'!$E83:$Z83,MIN(AX$6-$G$3,22))&lt;&gt;""),'Milho 2ª safra'!$E83:INDEX('Milho 2ª safra'!$E83:$Z83,MIN(AX$6-$G$3,22))),0)))))</f>
        <v>0</v>
      </c>
      <c r="AY85" s="27" t="n">
        <f aca="false">IF(COUNT('Milho 2ª safra'!$E83:$Z83)=0,0,MAX(0,IF((AY$6-$E$3)&lt;1,0,IFERROR(LOOKUP(2,1/('Milho 2ª safra'!$E83:INDEX('Milho 2ª safra'!$E83:$Z83,MIN(AY$6-$E$3,22))&lt;&gt;""),'Milho 2ª safra'!$E83:INDEX('Milho 2ª safra'!$E83:$Z83,MIN(AY$6-$E$3,22))),0))-IF($G$2,0,IF((AY$6-$G$3)&lt;1,0,IFERROR(LOOKUP(2,1/('Milho 2ª safra'!$E83:INDEX('Milho 2ª safra'!$E83:$Z83,MIN(AY$6-$G$3,22))&lt;&gt;""),'Milho 2ª safra'!$E83:INDEX('Milho 2ª safra'!$E83:$Z83,MIN(AY$6-$G$3,22))),0)))))</f>
        <v>0</v>
      </c>
      <c r="AZ85" s="27" t="n">
        <f aca="false">IF(COUNT('Milho 2ª safra'!$E83:$Z83)=0,0,MAX(0,IF((AZ$6-$E$3)&lt;1,0,IFERROR(LOOKUP(2,1/('Milho 2ª safra'!$E83:INDEX('Milho 2ª safra'!$E83:$Z83,MIN(AZ$6-$E$3,22))&lt;&gt;""),'Milho 2ª safra'!$E83:INDEX('Milho 2ª safra'!$E83:$Z83,MIN(AZ$6-$E$3,22))),0))-IF($G$2,0,IF((AZ$6-$G$3)&lt;1,0,IFERROR(LOOKUP(2,1/('Milho 2ª safra'!$E83:INDEX('Milho 2ª safra'!$E83:$Z83,MIN(AZ$6-$G$3,22))&lt;&gt;""),'Milho 2ª safra'!$E83:INDEX('Milho 2ª safra'!$E83:$Z83,MIN(AZ$6-$G$3,22))),0)))))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IF(COUNT('Milho 2ª safra'!$E84:$Z84)&gt;0,N('Milho 2ª safra'!$D84),0)</f>
        <v>0</v>
      </c>
      <c r="E86" s="27" t="n">
        <f aca="false">IF(COUNT('Milho 2ª safra'!$E84:$Z84)=0,0,MAX(0,IF((E$6-$E$3)&lt;1,0,IFERROR(LOOKUP(2,1/('Milho 2ª safra'!$E84:INDEX('Milho 2ª safra'!$E84:$Z84,MIN(E$6-$E$3,22))&lt;&gt;""),'Milho 2ª safra'!$E84:INDEX('Milho 2ª safra'!$E84:$Z84,MIN(E$6-$E$3,22))),0))-IF($G$2,0,IF((E$6-$G$3)&lt;1,0,IFERROR(LOOKUP(2,1/('Milho 2ª safra'!$E84:INDEX('Milho 2ª safra'!$E84:$Z84,MIN(E$6-$G$3,22))&lt;&gt;""),'Milho 2ª safra'!$E84:INDEX('Milho 2ª safra'!$E84:$Z84,MIN(E$6-$G$3,22))),0)))))</f>
        <v>0</v>
      </c>
      <c r="F86" s="27" t="n">
        <f aca="false">IF(COUNT('Milho 2ª safra'!$E84:$Z84)=0,0,MAX(0,IF((F$6-$E$3)&lt;1,0,IFERROR(LOOKUP(2,1/('Milho 2ª safra'!$E84:INDEX('Milho 2ª safra'!$E84:$Z84,MIN(F$6-$E$3,22))&lt;&gt;""),'Milho 2ª safra'!$E84:INDEX('Milho 2ª safra'!$E84:$Z84,MIN(F$6-$E$3,22))),0))-IF($G$2,0,IF((F$6-$G$3)&lt;1,0,IFERROR(LOOKUP(2,1/('Milho 2ª safra'!$E84:INDEX('Milho 2ª safra'!$E84:$Z84,MIN(F$6-$G$3,22))&lt;&gt;""),'Milho 2ª safra'!$E84:INDEX('Milho 2ª safra'!$E84:$Z84,MIN(F$6-$G$3,22))),0)))))</f>
        <v>0</v>
      </c>
      <c r="G86" s="27" t="n">
        <f aca="false">IF(COUNT('Milho 2ª safra'!$E84:$Z84)=0,0,MAX(0,IF((G$6-$E$3)&lt;1,0,IFERROR(LOOKUP(2,1/('Milho 2ª safra'!$E84:INDEX('Milho 2ª safra'!$E84:$Z84,MIN(G$6-$E$3,22))&lt;&gt;""),'Milho 2ª safra'!$E84:INDEX('Milho 2ª safra'!$E84:$Z84,MIN(G$6-$E$3,22))),0))-IF($G$2,0,IF((G$6-$G$3)&lt;1,0,IFERROR(LOOKUP(2,1/('Milho 2ª safra'!$E84:INDEX('Milho 2ª safra'!$E84:$Z84,MIN(G$6-$G$3,22))&lt;&gt;""),'Milho 2ª safra'!$E84:INDEX('Milho 2ª safra'!$E84:$Z84,MIN(G$6-$G$3,22))),0)))))</f>
        <v>0</v>
      </c>
      <c r="H86" s="27" t="n">
        <f aca="false">IF(COUNT('Milho 2ª safra'!$E84:$Z84)=0,0,MAX(0,IF((H$6-$E$3)&lt;1,0,IFERROR(LOOKUP(2,1/('Milho 2ª safra'!$E84:INDEX('Milho 2ª safra'!$E84:$Z84,MIN(H$6-$E$3,22))&lt;&gt;""),'Milho 2ª safra'!$E84:INDEX('Milho 2ª safra'!$E84:$Z84,MIN(H$6-$E$3,22))),0))-IF($G$2,0,IF((H$6-$G$3)&lt;1,0,IFERROR(LOOKUP(2,1/('Milho 2ª safra'!$E84:INDEX('Milho 2ª safra'!$E84:$Z84,MIN(H$6-$G$3,22))&lt;&gt;""),'Milho 2ª safra'!$E84:INDEX('Milho 2ª safra'!$E84:$Z84,MIN(H$6-$G$3,22))),0)))))</f>
        <v>0</v>
      </c>
      <c r="I86" s="27" t="n">
        <f aca="false">IF(COUNT('Milho 2ª safra'!$E84:$Z84)=0,0,MAX(0,IF((I$6-$E$3)&lt;1,0,IFERROR(LOOKUP(2,1/('Milho 2ª safra'!$E84:INDEX('Milho 2ª safra'!$E84:$Z84,MIN(I$6-$E$3,22))&lt;&gt;""),'Milho 2ª safra'!$E84:INDEX('Milho 2ª safra'!$E84:$Z84,MIN(I$6-$E$3,22))),0))-IF($G$2,0,IF((I$6-$G$3)&lt;1,0,IFERROR(LOOKUP(2,1/('Milho 2ª safra'!$E84:INDEX('Milho 2ª safra'!$E84:$Z84,MIN(I$6-$G$3,22))&lt;&gt;""),'Milho 2ª safra'!$E84:INDEX('Milho 2ª safra'!$E84:$Z84,MIN(I$6-$G$3,22))),0)))))</f>
        <v>0</v>
      </c>
      <c r="J86" s="27" t="n">
        <f aca="false">IF(COUNT('Milho 2ª safra'!$E84:$Z84)=0,0,MAX(0,IF((J$6-$E$3)&lt;1,0,IFERROR(LOOKUP(2,1/('Milho 2ª safra'!$E84:INDEX('Milho 2ª safra'!$E84:$Z84,MIN(J$6-$E$3,22))&lt;&gt;""),'Milho 2ª safra'!$E84:INDEX('Milho 2ª safra'!$E84:$Z84,MIN(J$6-$E$3,22))),0))-IF($G$2,0,IF((J$6-$G$3)&lt;1,0,IFERROR(LOOKUP(2,1/('Milho 2ª safra'!$E84:INDEX('Milho 2ª safra'!$E84:$Z84,MIN(J$6-$G$3,22))&lt;&gt;""),'Milho 2ª safra'!$E84:INDEX('Milho 2ª safra'!$E84:$Z84,MIN(J$6-$G$3,22))),0)))))</f>
        <v>0</v>
      </c>
      <c r="K86" s="27" t="n">
        <f aca="false">IF(COUNT('Milho 2ª safra'!$E84:$Z84)=0,0,MAX(0,IF((K$6-$E$3)&lt;1,0,IFERROR(LOOKUP(2,1/('Milho 2ª safra'!$E84:INDEX('Milho 2ª safra'!$E84:$Z84,MIN(K$6-$E$3,22))&lt;&gt;""),'Milho 2ª safra'!$E84:INDEX('Milho 2ª safra'!$E84:$Z84,MIN(K$6-$E$3,22))),0))-IF($G$2,0,IF((K$6-$G$3)&lt;1,0,IFERROR(LOOKUP(2,1/('Milho 2ª safra'!$E84:INDEX('Milho 2ª safra'!$E84:$Z84,MIN(K$6-$G$3,22))&lt;&gt;""),'Milho 2ª safra'!$E84:INDEX('Milho 2ª safra'!$E84:$Z84,MIN(K$6-$G$3,22))),0)))))</f>
        <v>0</v>
      </c>
      <c r="L86" s="27" t="n">
        <f aca="false">IF(COUNT('Milho 2ª safra'!$E84:$Z84)=0,0,MAX(0,IF((L$6-$E$3)&lt;1,0,IFERROR(LOOKUP(2,1/('Milho 2ª safra'!$E84:INDEX('Milho 2ª safra'!$E84:$Z84,MIN(L$6-$E$3,22))&lt;&gt;""),'Milho 2ª safra'!$E84:INDEX('Milho 2ª safra'!$E84:$Z84,MIN(L$6-$E$3,22))),0))-IF($G$2,0,IF((L$6-$G$3)&lt;1,0,IFERROR(LOOKUP(2,1/('Milho 2ª safra'!$E84:INDEX('Milho 2ª safra'!$E84:$Z84,MIN(L$6-$G$3,22))&lt;&gt;""),'Milho 2ª safra'!$E84:INDEX('Milho 2ª safra'!$E84:$Z84,MIN(L$6-$G$3,22))),0)))))</f>
        <v>0</v>
      </c>
      <c r="M86" s="27" t="n">
        <f aca="false">IF(COUNT('Milho 2ª safra'!$E84:$Z84)=0,0,MAX(0,IF((M$6-$E$3)&lt;1,0,IFERROR(LOOKUP(2,1/('Milho 2ª safra'!$E84:INDEX('Milho 2ª safra'!$E84:$Z84,MIN(M$6-$E$3,22))&lt;&gt;""),'Milho 2ª safra'!$E84:INDEX('Milho 2ª safra'!$E84:$Z84,MIN(M$6-$E$3,22))),0))-IF($G$2,0,IF((M$6-$G$3)&lt;1,0,IFERROR(LOOKUP(2,1/('Milho 2ª safra'!$E84:INDEX('Milho 2ª safra'!$E84:$Z84,MIN(M$6-$G$3,22))&lt;&gt;""),'Milho 2ª safra'!$E84:INDEX('Milho 2ª safra'!$E84:$Z84,MIN(M$6-$G$3,22))),0)))))</f>
        <v>0</v>
      </c>
      <c r="N86" s="27" t="n">
        <f aca="false">IF(COUNT('Milho 2ª safra'!$E84:$Z84)=0,0,MAX(0,IF((N$6-$E$3)&lt;1,0,IFERROR(LOOKUP(2,1/('Milho 2ª safra'!$E84:INDEX('Milho 2ª safra'!$E84:$Z84,MIN(N$6-$E$3,22))&lt;&gt;""),'Milho 2ª safra'!$E84:INDEX('Milho 2ª safra'!$E84:$Z84,MIN(N$6-$E$3,22))),0))-IF($G$2,0,IF((N$6-$G$3)&lt;1,0,IFERROR(LOOKUP(2,1/('Milho 2ª safra'!$E84:INDEX('Milho 2ª safra'!$E84:$Z84,MIN(N$6-$G$3,22))&lt;&gt;""),'Milho 2ª safra'!$E84:INDEX('Milho 2ª safra'!$E84:$Z84,MIN(N$6-$G$3,22))),0)))))</f>
        <v>0</v>
      </c>
      <c r="O86" s="27" t="n">
        <f aca="false">IF(COUNT('Milho 2ª safra'!$E84:$Z84)=0,0,MAX(0,IF((O$6-$E$3)&lt;1,0,IFERROR(LOOKUP(2,1/('Milho 2ª safra'!$E84:INDEX('Milho 2ª safra'!$E84:$Z84,MIN(O$6-$E$3,22))&lt;&gt;""),'Milho 2ª safra'!$E84:INDEX('Milho 2ª safra'!$E84:$Z84,MIN(O$6-$E$3,22))),0))-IF($G$2,0,IF((O$6-$G$3)&lt;1,0,IFERROR(LOOKUP(2,1/('Milho 2ª safra'!$E84:INDEX('Milho 2ª safra'!$E84:$Z84,MIN(O$6-$G$3,22))&lt;&gt;""),'Milho 2ª safra'!$E84:INDEX('Milho 2ª safra'!$E84:$Z84,MIN(O$6-$G$3,22))),0)))))</f>
        <v>0</v>
      </c>
      <c r="P86" s="27" t="n">
        <f aca="false">IF(COUNT('Milho 2ª safra'!$E84:$Z84)=0,0,MAX(0,IF((P$6-$E$3)&lt;1,0,IFERROR(LOOKUP(2,1/('Milho 2ª safra'!$E84:INDEX('Milho 2ª safra'!$E84:$Z84,MIN(P$6-$E$3,22))&lt;&gt;""),'Milho 2ª safra'!$E84:INDEX('Milho 2ª safra'!$E84:$Z84,MIN(P$6-$E$3,22))),0))-IF($G$2,0,IF((P$6-$G$3)&lt;1,0,IFERROR(LOOKUP(2,1/('Milho 2ª safra'!$E84:INDEX('Milho 2ª safra'!$E84:$Z84,MIN(P$6-$G$3,22))&lt;&gt;""),'Milho 2ª safra'!$E84:INDEX('Milho 2ª safra'!$E84:$Z84,MIN(P$6-$G$3,22))),0)))))</f>
        <v>0</v>
      </c>
      <c r="Q86" s="27" t="n">
        <f aca="false">IF(COUNT('Milho 2ª safra'!$E84:$Z84)=0,0,MAX(0,IF((Q$6-$E$3)&lt;1,0,IFERROR(LOOKUP(2,1/('Milho 2ª safra'!$E84:INDEX('Milho 2ª safra'!$E84:$Z84,MIN(Q$6-$E$3,22))&lt;&gt;""),'Milho 2ª safra'!$E84:INDEX('Milho 2ª safra'!$E84:$Z84,MIN(Q$6-$E$3,22))),0))-IF($G$2,0,IF((Q$6-$G$3)&lt;1,0,IFERROR(LOOKUP(2,1/('Milho 2ª safra'!$E84:INDEX('Milho 2ª safra'!$E84:$Z84,MIN(Q$6-$G$3,22))&lt;&gt;""),'Milho 2ª safra'!$E84:INDEX('Milho 2ª safra'!$E84:$Z84,MIN(Q$6-$G$3,22))),0)))))</f>
        <v>0</v>
      </c>
      <c r="R86" s="27" t="n">
        <f aca="false">IF(COUNT('Milho 2ª safra'!$E84:$Z84)=0,0,MAX(0,IF((R$6-$E$3)&lt;1,0,IFERROR(LOOKUP(2,1/('Milho 2ª safra'!$E84:INDEX('Milho 2ª safra'!$E84:$Z84,MIN(R$6-$E$3,22))&lt;&gt;""),'Milho 2ª safra'!$E84:INDEX('Milho 2ª safra'!$E84:$Z84,MIN(R$6-$E$3,22))),0))-IF($G$2,0,IF((R$6-$G$3)&lt;1,0,IFERROR(LOOKUP(2,1/('Milho 2ª safra'!$E84:INDEX('Milho 2ª safra'!$E84:$Z84,MIN(R$6-$G$3,22))&lt;&gt;""),'Milho 2ª safra'!$E84:INDEX('Milho 2ª safra'!$E84:$Z84,MIN(R$6-$G$3,22))),0)))))</f>
        <v>0</v>
      </c>
      <c r="S86" s="27" t="n">
        <f aca="false">IF(COUNT('Milho 2ª safra'!$E84:$Z84)=0,0,MAX(0,IF((S$6-$E$3)&lt;1,0,IFERROR(LOOKUP(2,1/('Milho 2ª safra'!$E84:INDEX('Milho 2ª safra'!$E84:$Z84,MIN(S$6-$E$3,22))&lt;&gt;""),'Milho 2ª safra'!$E84:INDEX('Milho 2ª safra'!$E84:$Z84,MIN(S$6-$E$3,22))),0))-IF($G$2,0,IF((S$6-$G$3)&lt;1,0,IFERROR(LOOKUP(2,1/('Milho 2ª safra'!$E84:INDEX('Milho 2ª safra'!$E84:$Z84,MIN(S$6-$G$3,22))&lt;&gt;""),'Milho 2ª safra'!$E84:INDEX('Milho 2ª safra'!$E84:$Z84,MIN(S$6-$G$3,22))),0)))))</f>
        <v>0</v>
      </c>
      <c r="T86" s="27" t="n">
        <f aca="false">IF(COUNT('Milho 2ª safra'!$E84:$Z84)=0,0,MAX(0,IF((T$6-$E$3)&lt;1,0,IFERROR(LOOKUP(2,1/('Milho 2ª safra'!$E84:INDEX('Milho 2ª safra'!$E84:$Z84,MIN(T$6-$E$3,22))&lt;&gt;""),'Milho 2ª safra'!$E84:INDEX('Milho 2ª safra'!$E84:$Z84,MIN(T$6-$E$3,22))),0))-IF($G$2,0,IF((T$6-$G$3)&lt;1,0,IFERROR(LOOKUP(2,1/('Milho 2ª safra'!$E84:INDEX('Milho 2ª safra'!$E84:$Z84,MIN(T$6-$G$3,22))&lt;&gt;""),'Milho 2ª safra'!$E84:INDEX('Milho 2ª safra'!$E84:$Z84,MIN(T$6-$G$3,22))),0)))))</f>
        <v>0</v>
      </c>
      <c r="U86" s="27" t="n">
        <f aca="false">IF(COUNT('Milho 2ª safra'!$E84:$Z84)=0,0,MAX(0,IF((U$6-$E$3)&lt;1,0,IFERROR(LOOKUP(2,1/('Milho 2ª safra'!$E84:INDEX('Milho 2ª safra'!$E84:$Z84,MIN(U$6-$E$3,22))&lt;&gt;""),'Milho 2ª safra'!$E84:INDEX('Milho 2ª safra'!$E84:$Z84,MIN(U$6-$E$3,22))),0))-IF($G$2,0,IF((U$6-$G$3)&lt;1,0,IFERROR(LOOKUP(2,1/('Milho 2ª safra'!$E84:INDEX('Milho 2ª safra'!$E84:$Z84,MIN(U$6-$G$3,22))&lt;&gt;""),'Milho 2ª safra'!$E84:INDEX('Milho 2ª safra'!$E84:$Z84,MIN(U$6-$G$3,22))),0)))))</f>
        <v>0</v>
      </c>
      <c r="V86" s="27" t="n">
        <f aca="false">IF(COUNT('Milho 2ª safra'!$E84:$Z84)=0,0,MAX(0,IF((V$6-$E$3)&lt;1,0,IFERROR(LOOKUP(2,1/('Milho 2ª safra'!$E84:INDEX('Milho 2ª safra'!$E84:$Z84,MIN(V$6-$E$3,22))&lt;&gt;""),'Milho 2ª safra'!$E84:INDEX('Milho 2ª safra'!$E84:$Z84,MIN(V$6-$E$3,22))),0))-IF($G$2,0,IF((V$6-$G$3)&lt;1,0,IFERROR(LOOKUP(2,1/('Milho 2ª safra'!$E84:INDEX('Milho 2ª safra'!$E84:$Z84,MIN(V$6-$G$3,22))&lt;&gt;""),'Milho 2ª safra'!$E84:INDEX('Milho 2ª safra'!$E84:$Z84,MIN(V$6-$G$3,22))),0)))))</f>
        <v>0</v>
      </c>
      <c r="W86" s="27" t="n">
        <f aca="false">IF(COUNT('Milho 2ª safra'!$E84:$Z84)=0,0,MAX(0,IF((W$6-$E$3)&lt;1,0,IFERROR(LOOKUP(2,1/('Milho 2ª safra'!$E84:INDEX('Milho 2ª safra'!$E84:$Z84,MIN(W$6-$E$3,22))&lt;&gt;""),'Milho 2ª safra'!$E84:INDEX('Milho 2ª safra'!$E84:$Z84,MIN(W$6-$E$3,22))),0))-IF($G$2,0,IF((W$6-$G$3)&lt;1,0,IFERROR(LOOKUP(2,1/('Milho 2ª safra'!$E84:INDEX('Milho 2ª safra'!$E84:$Z84,MIN(W$6-$G$3,22))&lt;&gt;""),'Milho 2ª safra'!$E84:INDEX('Milho 2ª safra'!$E84:$Z84,MIN(W$6-$G$3,22))),0)))))</f>
        <v>0</v>
      </c>
      <c r="X86" s="27" t="n">
        <f aca="false">IF(COUNT('Milho 2ª safra'!$E84:$Z84)=0,0,MAX(0,IF((X$6-$E$3)&lt;1,0,IFERROR(LOOKUP(2,1/('Milho 2ª safra'!$E84:INDEX('Milho 2ª safra'!$E84:$Z84,MIN(X$6-$E$3,22))&lt;&gt;""),'Milho 2ª safra'!$E84:INDEX('Milho 2ª safra'!$E84:$Z84,MIN(X$6-$E$3,22))),0))-IF($G$2,0,IF((X$6-$G$3)&lt;1,0,IFERROR(LOOKUP(2,1/('Milho 2ª safra'!$E84:INDEX('Milho 2ª safra'!$E84:$Z84,MIN(X$6-$G$3,22))&lt;&gt;""),'Milho 2ª safra'!$E84:INDEX('Milho 2ª safra'!$E84:$Z84,MIN(X$6-$G$3,22))),0)))))</f>
        <v>0</v>
      </c>
      <c r="Y86" s="27" t="n">
        <f aca="false">IF(COUNT('Milho 2ª safra'!$E84:$Z84)=0,0,MAX(0,IF((Y$6-$E$3)&lt;1,0,IFERROR(LOOKUP(2,1/('Milho 2ª safra'!$E84:INDEX('Milho 2ª safra'!$E84:$Z84,MIN(Y$6-$E$3,22))&lt;&gt;""),'Milho 2ª safra'!$E84:INDEX('Milho 2ª safra'!$E84:$Z84,MIN(Y$6-$E$3,22))),0))-IF($G$2,0,IF((Y$6-$G$3)&lt;1,0,IFERROR(LOOKUP(2,1/('Milho 2ª safra'!$E84:INDEX('Milho 2ª safra'!$E84:$Z84,MIN(Y$6-$G$3,22))&lt;&gt;""),'Milho 2ª safra'!$E84:INDEX('Milho 2ª safra'!$E84:$Z84,MIN(Y$6-$G$3,22))),0)))))</f>
        <v>0</v>
      </c>
      <c r="Z86" s="27" t="n">
        <f aca="false">IF(COUNT('Milho 2ª safra'!$E84:$Z84)=0,0,MAX(0,IF((Z$6-$E$3)&lt;1,0,IFERROR(LOOKUP(2,1/('Milho 2ª safra'!$E84:INDEX('Milho 2ª safra'!$E84:$Z84,MIN(Z$6-$E$3,22))&lt;&gt;""),'Milho 2ª safra'!$E84:INDEX('Milho 2ª safra'!$E84:$Z84,MIN(Z$6-$E$3,22))),0))-IF($G$2,0,IF((Z$6-$G$3)&lt;1,0,IFERROR(LOOKUP(2,1/('Milho 2ª safra'!$E84:INDEX('Milho 2ª safra'!$E84:$Z84,MIN(Z$6-$G$3,22))&lt;&gt;""),'Milho 2ª safra'!$E84:INDEX('Milho 2ª safra'!$E84:$Z84,MIN(Z$6-$G$3,22))),0)))))</f>
        <v>0</v>
      </c>
      <c r="AA86" s="27" t="n">
        <f aca="false">IF(COUNT('Milho 2ª safra'!$E84:$Z84)=0,0,MAX(0,IF((AA$6-$E$3)&lt;1,0,IFERROR(LOOKUP(2,1/('Milho 2ª safra'!$E84:INDEX('Milho 2ª safra'!$E84:$Z84,MIN(AA$6-$E$3,22))&lt;&gt;""),'Milho 2ª safra'!$E84:INDEX('Milho 2ª safra'!$E84:$Z84,MIN(AA$6-$E$3,22))),0))-IF($G$2,0,IF((AA$6-$G$3)&lt;1,0,IFERROR(LOOKUP(2,1/('Milho 2ª safra'!$E84:INDEX('Milho 2ª safra'!$E84:$Z84,MIN(AA$6-$G$3,22))&lt;&gt;""),'Milho 2ª safra'!$E84:INDEX('Milho 2ª safra'!$E84:$Z84,MIN(AA$6-$G$3,22))),0)))))</f>
        <v>0</v>
      </c>
      <c r="AB86" s="27" t="n">
        <f aca="false">IF(COUNT('Milho 2ª safra'!$E84:$Z84)=0,0,MAX(0,IF((AB$6-$E$3)&lt;1,0,IFERROR(LOOKUP(2,1/('Milho 2ª safra'!$E84:INDEX('Milho 2ª safra'!$E84:$Z84,MIN(AB$6-$E$3,22))&lt;&gt;""),'Milho 2ª safra'!$E84:INDEX('Milho 2ª safra'!$E84:$Z84,MIN(AB$6-$E$3,22))),0))-IF($G$2,0,IF((AB$6-$G$3)&lt;1,0,IFERROR(LOOKUP(2,1/('Milho 2ª safra'!$E84:INDEX('Milho 2ª safra'!$E84:$Z84,MIN(AB$6-$G$3,22))&lt;&gt;""),'Milho 2ª safra'!$E84:INDEX('Milho 2ª safra'!$E84:$Z84,MIN(AB$6-$G$3,22))),0)))))</f>
        <v>0</v>
      </c>
      <c r="AC86" s="27" t="n">
        <f aca="false">IF(COUNT('Milho 2ª safra'!$E84:$Z84)=0,0,MAX(0,IF((AC$6-$E$3)&lt;1,0,IFERROR(LOOKUP(2,1/('Milho 2ª safra'!$E84:INDEX('Milho 2ª safra'!$E84:$Z84,MIN(AC$6-$E$3,22))&lt;&gt;""),'Milho 2ª safra'!$E84:INDEX('Milho 2ª safra'!$E84:$Z84,MIN(AC$6-$E$3,22))),0))-IF($G$2,0,IF((AC$6-$G$3)&lt;1,0,IFERROR(LOOKUP(2,1/('Milho 2ª safra'!$E84:INDEX('Milho 2ª safra'!$E84:$Z84,MIN(AC$6-$G$3,22))&lt;&gt;""),'Milho 2ª safra'!$E84:INDEX('Milho 2ª safra'!$E84:$Z84,MIN(AC$6-$G$3,22))),0)))))</f>
        <v>0</v>
      </c>
      <c r="AD86" s="27" t="n">
        <f aca="false">IF(COUNT('Milho 2ª safra'!$E84:$Z84)=0,0,MAX(0,IF((AD$6-$E$3)&lt;1,0,IFERROR(LOOKUP(2,1/('Milho 2ª safra'!$E84:INDEX('Milho 2ª safra'!$E84:$Z84,MIN(AD$6-$E$3,22))&lt;&gt;""),'Milho 2ª safra'!$E84:INDEX('Milho 2ª safra'!$E84:$Z84,MIN(AD$6-$E$3,22))),0))-IF($G$2,0,IF((AD$6-$G$3)&lt;1,0,IFERROR(LOOKUP(2,1/('Milho 2ª safra'!$E84:INDEX('Milho 2ª safra'!$E84:$Z84,MIN(AD$6-$G$3,22))&lt;&gt;""),'Milho 2ª safra'!$E84:INDEX('Milho 2ª safra'!$E84:$Z84,MIN(AD$6-$G$3,22))),0)))))</f>
        <v>0</v>
      </c>
      <c r="AE86" s="27" t="n">
        <f aca="false">IF(COUNT('Milho 2ª safra'!$E84:$Z84)=0,0,MAX(0,IF((AE$6-$E$3)&lt;1,0,IFERROR(LOOKUP(2,1/('Milho 2ª safra'!$E84:INDEX('Milho 2ª safra'!$E84:$Z84,MIN(AE$6-$E$3,22))&lt;&gt;""),'Milho 2ª safra'!$E84:INDEX('Milho 2ª safra'!$E84:$Z84,MIN(AE$6-$E$3,22))),0))-IF($G$2,0,IF((AE$6-$G$3)&lt;1,0,IFERROR(LOOKUP(2,1/('Milho 2ª safra'!$E84:INDEX('Milho 2ª safra'!$E84:$Z84,MIN(AE$6-$G$3,22))&lt;&gt;""),'Milho 2ª safra'!$E84:INDEX('Milho 2ª safra'!$E84:$Z84,MIN(AE$6-$G$3,22))),0)))))</f>
        <v>0</v>
      </c>
      <c r="AF86" s="27" t="n">
        <f aca="false">IF(COUNT('Milho 2ª safra'!$E84:$Z84)=0,0,MAX(0,IF((AF$6-$E$3)&lt;1,0,IFERROR(LOOKUP(2,1/('Milho 2ª safra'!$E84:INDEX('Milho 2ª safra'!$E84:$Z84,MIN(AF$6-$E$3,22))&lt;&gt;""),'Milho 2ª safra'!$E84:INDEX('Milho 2ª safra'!$E84:$Z84,MIN(AF$6-$E$3,22))),0))-IF($G$2,0,IF((AF$6-$G$3)&lt;1,0,IFERROR(LOOKUP(2,1/('Milho 2ª safra'!$E84:INDEX('Milho 2ª safra'!$E84:$Z84,MIN(AF$6-$G$3,22))&lt;&gt;""),'Milho 2ª safra'!$E84:INDEX('Milho 2ª safra'!$E84:$Z84,MIN(AF$6-$G$3,22))),0)))))</f>
        <v>0</v>
      </c>
      <c r="AG86" s="27" t="n">
        <f aca="false">IF(COUNT('Milho 2ª safra'!$E84:$Z84)=0,0,MAX(0,IF((AG$6-$E$3)&lt;1,0,IFERROR(LOOKUP(2,1/('Milho 2ª safra'!$E84:INDEX('Milho 2ª safra'!$E84:$Z84,MIN(AG$6-$E$3,22))&lt;&gt;""),'Milho 2ª safra'!$E84:INDEX('Milho 2ª safra'!$E84:$Z84,MIN(AG$6-$E$3,22))),0))-IF($G$2,0,IF((AG$6-$G$3)&lt;1,0,IFERROR(LOOKUP(2,1/('Milho 2ª safra'!$E84:INDEX('Milho 2ª safra'!$E84:$Z84,MIN(AG$6-$G$3,22))&lt;&gt;""),'Milho 2ª safra'!$E84:INDEX('Milho 2ª safra'!$E84:$Z84,MIN(AG$6-$G$3,22))),0)))))</f>
        <v>0</v>
      </c>
      <c r="AH86" s="27" t="n">
        <f aca="false">IF(COUNT('Milho 2ª safra'!$E84:$Z84)=0,0,MAX(0,IF((AH$6-$E$3)&lt;1,0,IFERROR(LOOKUP(2,1/('Milho 2ª safra'!$E84:INDEX('Milho 2ª safra'!$E84:$Z84,MIN(AH$6-$E$3,22))&lt;&gt;""),'Milho 2ª safra'!$E84:INDEX('Milho 2ª safra'!$E84:$Z84,MIN(AH$6-$E$3,22))),0))-IF($G$2,0,IF((AH$6-$G$3)&lt;1,0,IFERROR(LOOKUP(2,1/('Milho 2ª safra'!$E84:INDEX('Milho 2ª safra'!$E84:$Z84,MIN(AH$6-$G$3,22))&lt;&gt;""),'Milho 2ª safra'!$E84:INDEX('Milho 2ª safra'!$E84:$Z84,MIN(AH$6-$G$3,22))),0)))))</f>
        <v>0</v>
      </c>
      <c r="AI86" s="27" t="n">
        <f aca="false">IF(COUNT('Milho 2ª safra'!$E84:$Z84)=0,0,MAX(0,IF((AI$6-$E$3)&lt;1,0,IFERROR(LOOKUP(2,1/('Milho 2ª safra'!$E84:INDEX('Milho 2ª safra'!$E84:$Z84,MIN(AI$6-$E$3,22))&lt;&gt;""),'Milho 2ª safra'!$E84:INDEX('Milho 2ª safra'!$E84:$Z84,MIN(AI$6-$E$3,22))),0))-IF($G$2,0,IF((AI$6-$G$3)&lt;1,0,IFERROR(LOOKUP(2,1/('Milho 2ª safra'!$E84:INDEX('Milho 2ª safra'!$E84:$Z84,MIN(AI$6-$G$3,22))&lt;&gt;""),'Milho 2ª safra'!$E84:INDEX('Milho 2ª safra'!$E84:$Z84,MIN(AI$6-$G$3,22))),0)))))</f>
        <v>0</v>
      </c>
      <c r="AJ86" s="27" t="n">
        <f aca="false">IF(COUNT('Milho 2ª safra'!$E84:$Z84)=0,0,MAX(0,IF((AJ$6-$E$3)&lt;1,0,IFERROR(LOOKUP(2,1/('Milho 2ª safra'!$E84:INDEX('Milho 2ª safra'!$E84:$Z84,MIN(AJ$6-$E$3,22))&lt;&gt;""),'Milho 2ª safra'!$E84:INDEX('Milho 2ª safra'!$E84:$Z84,MIN(AJ$6-$E$3,22))),0))-IF($G$2,0,IF((AJ$6-$G$3)&lt;1,0,IFERROR(LOOKUP(2,1/('Milho 2ª safra'!$E84:INDEX('Milho 2ª safra'!$E84:$Z84,MIN(AJ$6-$G$3,22))&lt;&gt;""),'Milho 2ª safra'!$E84:INDEX('Milho 2ª safra'!$E84:$Z84,MIN(AJ$6-$G$3,22))),0)))))</f>
        <v>0</v>
      </c>
      <c r="AK86" s="27" t="n">
        <f aca="false">IF(COUNT('Milho 2ª safra'!$E84:$Z84)=0,0,MAX(0,IF((AK$6-$E$3)&lt;1,0,IFERROR(LOOKUP(2,1/('Milho 2ª safra'!$E84:INDEX('Milho 2ª safra'!$E84:$Z84,MIN(AK$6-$E$3,22))&lt;&gt;""),'Milho 2ª safra'!$E84:INDEX('Milho 2ª safra'!$E84:$Z84,MIN(AK$6-$E$3,22))),0))-IF($G$2,0,IF((AK$6-$G$3)&lt;1,0,IFERROR(LOOKUP(2,1/('Milho 2ª safra'!$E84:INDEX('Milho 2ª safra'!$E84:$Z84,MIN(AK$6-$G$3,22))&lt;&gt;""),'Milho 2ª safra'!$E84:INDEX('Milho 2ª safra'!$E84:$Z84,MIN(AK$6-$G$3,22))),0)))))</f>
        <v>0</v>
      </c>
      <c r="AL86" s="27" t="n">
        <f aca="false">IF(COUNT('Milho 2ª safra'!$E84:$Z84)=0,0,MAX(0,IF((AL$6-$E$3)&lt;1,0,IFERROR(LOOKUP(2,1/('Milho 2ª safra'!$E84:INDEX('Milho 2ª safra'!$E84:$Z84,MIN(AL$6-$E$3,22))&lt;&gt;""),'Milho 2ª safra'!$E84:INDEX('Milho 2ª safra'!$E84:$Z84,MIN(AL$6-$E$3,22))),0))-IF($G$2,0,IF((AL$6-$G$3)&lt;1,0,IFERROR(LOOKUP(2,1/('Milho 2ª safra'!$E84:INDEX('Milho 2ª safra'!$E84:$Z84,MIN(AL$6-$G$3,22))&lt;&gt;""),'Milho 2ª safra'!$E84:INDEX('Milho 2ª safra'!$E84:$Z84,MIN(AL$6-$G$3,22))),0)))))</f>
        <v>0</v>
      </c>
      <c r="AM86" s="27" t="n">
        <f aca="false">IF(COUNT('Milho 2ª safra'!$E84:$Z84)=0,0,MAX(0,IF((AM$6-$E$3)&lt;1,0,IFERROR(LOOKUP(2,1/('Milho 2ª safra'!$E84:INDEX('Milho 2ª safra'!$E84:$Z84,MIN(AM$6-$E$3,22))&lt;&gt;""),'Milho 2ª safra'!$E84:INDEX('Milho 2ª safra'!$E84:$Z84,MIN(AM$6-$E$3,22))),0))-IF($G$2,0,IF((AM$6-$G$3)&lt;1,0,IFERROR(LOOKUP(2,1/('Milho 2ª safra'!$E84:INDEX('Milho 2ª safra'!$E84:$Z84,MIN(AM$6-$G$3,22))&lt;&gt;""),'Milho 2ª safra'!$E84:INDEX('Milho 2ª safra'!$E84:$Z84,MIN(AM$6-$G$3,22))),0)))))</f>
        <v>0</v>
      </c>
      <c r="AN86" s="27" t="n">
        <f aca="false">IF(COUNT('Milho 2ª safra'!$E84:$Z84)=0,0,MAX(0,IF((AN$6-$E$3)&lt;1,0,IFERROR(LOOKUP(2,1/('Milho 2ª safra'!$E84:INDEX('Milho 2ª safra'!$E84:$Z84,MIN(AN$6-$E$3,22))&lt;&gt;""),'Milho 2ª safra'!$E84:INDEX('Milho 2ª safra'!$E84:$Z84,MIN(AN$6-$E$3,22))),0))-IF($G$2,0,IF((AN$6-$G$3)&lt;1,0,IFERROR(LOOKUP(2,1/('Milho 2ª safra'!$E84:INDEX('Milho 2ª safra'!$E84:$Z84,MIN(AN$6-$G$3,22))&lt;&gt;""),'Milho 2ª safra'!$E84:INDEX('Milho 2ª safra'!$E84:$Z84,MIN(AN$6-$G$3,22))),0)))))</f>
        <v>0</v>
      </c>
      <c r="AO86" s="27" t="n">
        <f aca="false">IF(COUNT('Milho 2ª safra'!$E84:$Z84)=0,0,MAX(0,IF((AO$6-$E$3)&lt;1,0,IFERROR(LOOKUP(2,1/('Milho 2ª safra'!$E84:INDEX('Milho 2ª safra'!$E84:$Z84,MIN(AO$6-$E$3,22))&lt;&gt;""),'Milho 2ª safra'!$E84:INDEX('Milho 2ª safra'!$E84:$Z84,MIN(AO$6-$E$3,22))),0))-IF($G$2,0,IF((AO$6-$G$3)&lt;1,0,IFERROR(LOOKUP(2,1/('Milho 2ª safra'!$E84:INDEX('Milho 2ª safra'!$E84:$Z84,MIN(AO$6-$G$3,22))&lt;&gt;""),'Milho 2ª safra'!$E84:INDEX('Milho 2ª safra'!$E84:$Z84,MIN(AO$6-$G$3,22))),0)))))</f>
        <v>0</v>
      </c>
      <c r="AP86" s="27" t="n">
        <f aca="false">IF(COUNT('Milho 2ª safra'!$E84:$Z84)=0,0,MAX(0,IF((AP$6-$E$3)&lt;1,0,IFERROR(LOOKUP(2,1/('Milho 2ª safra'!$E84:INDEX('Milho 2ª safra'!$E84:$Z84,MIN(AP$6-$E$3,22))&lt;&gt;""),'Milho 2ª safra'!$E84:INDEX('Milho 2ª safra'!$E84:$Z84,MIN(AP$6-$E$3,22))),0))-IF($G$2,0,IF((AP$6-$G$3)&lt;1,0,IFERROR(LOOKUP(2,1/('Milho 2ª safra'!$E84:INDEX('Milho 2ª safra'!$E84:$Z84,MIN(AP$6-$G$3,22))&lt;&gt;""),'Milho 2ª safra'!$E84:INDEX('Milho 2ª safra'!$E84:$Z84,MIN(AP$6-$G$3,22))),0)))))</f>
        <v>0</v>
      </c>
      <c r="AQ86" s="27" t="n">
        <f aca="false">IF(COUNT('Milho 2ª safra'!$E84:$Z84)=0,0,MAX(0,IF((AQ$6-$E$3)&lt;1,0,IFERROR(LOOKUP(2,1/('Milho 2ª safra'!$E84:INDEX('Milho 2ª safra'!$E84:$Z84,MIN(AQ$6-$E$3,22))&lt;&gt;""),'Milho 2ª safra'!$E84:INDEX('Milho 2ª safra'!$E84:$Z84,MIN(AQ$6-$E$3,22))),0))-IF($G$2,0,IF((AQ$6-$G$3)&lt;1,0,IFERROR(LOOKUP(2,1/('Milho 2ª safra'!$E84:INDEX('Milho 2ª safra'!$E84:$Z84,MIN(AQ$6-$G$3,22))&lt;&gt;""),'Milho 2ª safra'!$E84:INDEX('Milho 2ª safra'!$E84:$Z84,MIN(AQ$6-$G$3,22))),0)))))</f>
        <v>0</v>
      </c>
      <c r="AR86" s="27" t="n">
        <f aca="false">IF(COUNT('Milho 2ª safra'!$E84:$Z84)=0,0,MAX(0,IF((AR$6-$E$3)&lt;1,0,IFERROR(LOOKUP(2,1/('Milho 2ª safra'!$E84:INDEX('Milho 2ª safra'!$E84:$Z84,MIN(AR$6-$E$3,22))&lt;&gt;""),'Milho 2ª safra'!$E84:INDEX('Milho 2ª safra'!$E84:$Z84,MIN(AR$6-$E$3,22))),0))-IF($G$2,0,IF((AR$6-$G$3)&lt;1,0,IFERROR(LOOKUP(2,1/('Milho 2ª safra'!$E84:INDEX('Milho 2ª safra'!$E84:$Z84,MIN(AR$6-$G$3,22))&lt;&gt;""),'Milho 2ª safra'!$E84:INDEX('Milho 2ª safra'!$E84:$Z84,MIN(AR$6-$G$3,22))),0)))))</f>
        <v>0</v>
      </c>
      <c r="AS86" s="27" t="n">
        <f aca="false">IF(COUNT('Milho 2ª safra'!$E84:$Z84)=0,0,MAX(0,IF((AS$6-$E$3)&lt;1,0,IFERROR(LOOKUP(2,1/('Milho 2ª safra'!$E84:INDEX('Milho 2ª safra'!$E84:$Z84,MIN(AS$6-$E$3,22))&lt;&gt;""),'Milho 2ª safra'!$E84:INDEX('Milho 2ª safra'!$E84:$Z84,MIN(AS$6-$E$3,22))),0))-IF($G$2,0,IF((AS$6-$G$3)&lt;1,0,IFERROR(LOOKUP(2,1/('Milho 2ª safra'!$E84:INDEX('Milho 2ª safra'!$E84:$Z84,MIN(AS$6-$G$3,22))&lt;&gt;""),'Milho 2ª safra'!$E84:INDEX('Milho 2ª safra'!$E84:$Z84,MIN(AS$6-$G$3,22))),0)))))</f>
        <v>0</v>
      </c>
      <c r="AT86" s="27" t="n">
        <f aca="false">IF(COUNT('Milho 2ª safra'!$E84:$Z84)=0,0,MAX(0,IF((AT$6-$E$3)&lt;1,0,IFERROR(LOOKUP(2,1/('Milho 2ª safra'!$E84:INDEX('Milho 2ª safra'!$E84:$Z84,MIN(AT$6-$E$3,22))&lt;&gt;""),'Milho 2ª safra'!$E84:INDEX('Milho 2ª safra'!$E84:$Z84,MIN(AT$6-$E$3,22))),0))-IF($G$2,0,IF((AT$6-$G$3)&lt;1,0,IFERROR(LOOKUP(2,1/('Milho 2ª safra'!$E84:INDEX('Milho 2ª safra'!$E84:$Z84,MIN(AT$6-$G$3,22))&lt;&gt;""),'Milho 2ª safra'!$E84:INDEX('Milho 2ª safra'!$E84:$Z84,MIN(AT$6-$G$3,22))),0)))))</f>
        <v>0</v>
      </c>
      <c r="AU86" s="27" t="n">
        <f aca="false">IF(COUNT('Milho 2ª safra'!$E84:$Z84)=0,0,MAX(0,IF((AU$6-$E$3)&lt;1,0,IFERROR(LOOKUP(2,1/('Milho 2ª safra'!$E84:INDEX('Milho 2ª safra'!$E84:$Z84,MIN(AU$6-$E$3,22))&lt;&gt;""),'Milho 2ª safra'!$E84:INDEX('Milho 2ª safra'!$E84:$Z84,MIN(AU$6-$E$3,22))),0))-IF($G$2,0,IF((AU$6-$G$3)&lt;1,0,IFERROR(LOOKUP(2,1/('Milho 2ª safra'!$E84:INDEX('Milho 2ª safra'!$E84:$Z84,MIN(AU$6-$G$3,22))&lt;&gt;""),'Milho 2ª safra'!$E84:INDEX('Milho 2ª safra'!$E84:$Z84,MIN(AU$6-$G$3,22))),0)))))</f>
        <v>0</v>
      </c>
      <c r="AV86" s="27" t="n">
        <f aca="false">IF(COUNT('Milho 2ª safra'!$E84:$Z84)=0,0,MAX(0,IF((AV$6-$E$3)&lt;1,0,IFERROR(LOOKUP(2,1/('Milho 2ª safra'!$E84:INDEX('Milho 2ª safra'!$E84:$Z84,MIN(AV$6-$E$3,22))&lt;&gt;""),'Milho 2ª safra'!$E84:INDEX('Milho 2ª safra'!$E84:$Z84,MIN(AV$6-$E$3,22))),0))-IF($G$2,0,IF((AV$6-$G$3)&lt;1,0,IFERROR(LOOKUP(2,1/('Milho 2ª safra'!$E84:INDEX('Milho 2ª safra'!$E84:$Z84,MIN(AV$6-$G$3,22))&lt;&gt;""),'Milho 2ª safra'!$E84:INDEX('Milho 2ª safra'!$E84:$Z84,MIN(AV$6-$G$3,22))),0)))))</f>
        <v>0</v>
      </c>
      <c r="AW86" s="27" t="n">
        <f aca="false">IF(COUNT('Milho 2ª safra'!$E84:$Z84)=0,0,MAX(0,IF((AW$6-$E$3)&lt;1,0,IFERROR(LOOKUP(2,1/('Milho 2ª safra'!$E84:INDEX('Milho 2ª safra'!$E84:$Z84,MIN(AW$6-$E$3,22))&lt;&gt;""),'Milho 2ª safra'!$E84:INDEX('Milho 2ª safra'!$E84:$Z84,MIN(AW$6-$E$3,22))),0))-IF($G$2,0,IF((AW$6-$G$3)&lt;1,0,IFERROR(LOOKUP(2,1/('Milho 2ª safra'!$E84:INDEX('Milho 2ª safra'!$E84:$Z84,MIN(AW$6-$G$3,22))&lt;&gt;""),'Milho 2ª safra'!$E84:INDEX('Milho 2ª safra'!$E84:$Z84,MIN(AW$6-$G$3,22))),0)))))</f>
        <v>0</v>
      </c>
      <c r="AX86" s="27" t="n">
        <f aca="false">IF(COUNT('Milho 2ª safra'!$E84:$Z84)=0,0,MAX(0,IF((AX$6-$E$3)&lt;1,0,IFERROR(LOOKUP(2,1/('Milho 2ª safra'!$E84:INDEX('Milho 2ª safra'!$E84:$Z84,MIN(AX$6-$E$3,22))&lt;&gt;""),'Milho 2ª safra'!$E84:INDEX('Milho 2ª safra'!$E84:$Z84,MIN(AX$6-$E$3,22))),0))-IF($G$2,0,IF((AX$6-$G$3)&lt;1,0,IFERROR(LOOKUP(2,1/('Milho 2ª safra'!$E84:INDEX('Milho 2ª safra'!$E84:$Z84,MIN(AX$6-$G$3,22))&lt;&gt;""),'Milho 2ª safra'!$E84:INDEX('Milho 2ª safra'!$E84:$Z84,MIN(AX$6-$G$3,22))),0)))))</f>
        <v>0</v>
      </c>
      <c r="AY86" s="27" t="n">
        <f aca="false">IF(COUNT('Milho 2ª safra'!$E84:$Z84)=0,0,MAX(0,IF((AY$6-$E$3)&lt;1,0,IFERROR(LOOKUP(2,1/('Milho 2ª safra'!$E84:INDEX('Milho 2ª safra'!$E84:$Z84,MIN(AY$6-$E$3,22))&lt;&gt;""),'Milho 2ª safra'!$E84:INDEX('Milho 2ª safra'!$E84:$Z84,MIN(AY$6-$E$3,22))),0))-IF($G$2,0,IF((AY$6-$G$3)&lt;1,0,IFERROR(LOOKUP(2,1/('Milho 2ª safra'!$E84:INDEX('Milho 2ª safra'!$E84:$Z84,MIN(AY$6-$G$3,22))&lt;&gt;""),'Milho 2ª safra'!$E84:INDEX('Milho 2ª safra'!$E84:$Z84,MIN(AY$6-$G$3,22))),0)))))</f>
        <v>0</v>
      </c>
      <c r="AZ86" s="27" t="n">
        <f aca="false">IF(COUNT('Milho 2ª safra'!$E84:$Z84)=0,0,MAX(0,IF((AZ$6-$E$3)&lt;1,0,IFERROR(LOOKUP(2,1/('Milho 2ª safra'!$E84:INDEX('Milho 2ª safra'!$E84:$Z84,MIN(AZ$6-$E$3,22))&lt;&gt;""),'Milho 2ª safra'!$E84:INDEX('Milho 2ª safra'!$E84:$Z84,MIN(AZ$6-$E$3,22))),0))-IF($G$2,0,IF((AZ$6-$G$3)&lt;1,0,IFERROR(LOOKUP(2,1/('Milho 2ª safra'!$E84:INDEX('Milho 2ª safra'!$E84:$Z84,MIN(AZ$6-$G$3,22))&lt;&gt;""),'Milho 2ª safra'!$E84:INDEX('Milho 2ª safra'!$E84:$Z84,MIN(AZ$6-$G$3,22))),0)))))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Parâmetros!$C$18:$C$24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304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Parâmetros!$J$7</f>
        <v>46410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46410</v>
      </c>
      <c r="F5" s="17" t="n">
        <f aca="false">$B$3+7</f>
        <v>46417</v>
      </c>
      <c r="G5" s="17" t="n">
        <f aca="false">$B$3+14</f>
        <v>46424</v>
      </c>
      <c r="H5" s="17" t="n">
        <f aca="false">$B$3+21</f>
        <v>46431</v>
      </c>
      <c r="I5" s="17" t="n">
        <f aca="false">$B$3+28</f>
        <v>46438</v>
      </c>
      <c r="J5" s="17" t="n">
        <f aca="false">$B$3+35</f>
        <v>46445</v>
      </c>
      <c r="K5" s="17" t="n">
        <f aca="false">$B$3+42</f>
        <v>46452</v>
      </c>
      <c r="L5" s="17" t="n">
        <f aca="false">$B$3+49</f>
        <v>46459</v>
      </c>
      <c r="M5" s="17" t="n">
        <f aca="false">$B$3+56</f>
        <v>46466</v>
      </c>
      <c r="N5" s="17" t="n">
        <f aca="false">$B$3+63</f>
        <v>46473</v>
      </c>
      <c r="O5" s="17" t="n">
        <f aca="false">$B$3+70</f>
        <v>46480</v>
      </c>
      <c r="P5" s="17" t="n">
        <f aca="false">$B$3+77</f>
        <v>46487</v>
      </c>
      <c r="Q5" s="17" t="n">
        <f aca="false">$B$3+84</f>
        <v>46494</v>
      </c>
      <c r="R5" s="17" t="n">
        <f aca="false">$B$3+91</f>
        <v>46501</v>
      </c>
      <c r="S5" s="17" t="n">
        <f aca="false">$B$3+98</f>
        <v>46508</v>
      </c>
      <c r="T5" s="17" t="n">
        <f aca="false">$B$3+105</f>
        <v>46515</v>
      </c>
      <c r="U5" s="17" t="n">
        <f aca="false">$B$3+112</f>
        <v>46522</v>
      </c>
      <c r="V5" s="17" t="n">
        <f aca="false">$B$3+119</f>
        <v>46529</v>
      </c>
      <c r="W5" s="17" t="n">
        <f aca="false">$B$3+126</f>
        <v>46536</v>
      </c>
      <c r="X5" s="17" t="n">
        <f aca="false">$B$3+133</f>
        <v>46543</v>
      </c>
      <c r="Y5" s="17" t="n">
        <f aca="false">$B$3+140</f>
        <v>46550</v>
      </c>
      <c r="Z5" s="17" t="n">
        <f aca="false">$B$3+147</f>
        <v>46557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305</v>
      </c>
    </row>
    <row r="2" customFormat="false" ht="15" hidden="false" customHeight="false" outlineLevel="0" collapsed="false">
      <c r="D2" s="21" t="s">
        <v>293</v>
      </c>
      <c r="E2" s="21" t="n">
        <f aca="false">MATCH("Sorgo|"&amp;$B$3,Parâmetros!$G$4:$G$83,0)+3</f>
        <v>27</v>
      </c>
      <c r="F2" s="21" t="s">
        <v>294</v>
      </c>
      <c r="G2" s="22" t="b">
        <f aca="false">INDEX(Parâmetros!$A$1:$A$84,$E$2+1)&lt;&gt;"Sorgo"</f>
        <v>0</v>
      </c>
    </row>
    <row r="3" customFormat="false" ht="15" hidden="false" customHeight="false" outlineLevel="0" collapsed="false">
      <c r="A3" s="13" t="s">
        <v>295</v>
      </c>
      <c r="B3" s="9" t="s">
        <v>69</v>
      </c>
      <c r="D3" s="21" t="s">
        <v>296</v>
      </c>
      <c r="E3" s="21" t="n">
        <f aca="false">ROUND(INDEX(Parâmetros!$D$1:$D$83,$E$2)/7,0)</f>
        <v>6</v>
      </c>
      <c r="F3" s="21" t="s">
        <v>297</v>
      </c>
      <c r="G3" s="21" t="n">
        <f aca="false">IF($G$2,999,ROUND(INDEX(Parâmetros!$D$1:$D$84,$E$2+1)/7,0))</f>
        <v>9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Sorgo!$B$3+0</f>
        <v>46410</v>
      </c>
      <c r="F7" s="17" t="n">
        <f aca="false">Sorgo!$B$3+7</f>
        <v>46417</v>
      </c>
      <c r="G7" s="17" t="n">
        <f aca="false">Sorgo!$B$3+14</f>
        <v>46424</v>
      </c>
      <c r="H7" s="17" t="n">
        <f aca="false">Sorgo!$B$3+21</f>
        <v>46431</v>
      </c>
      <c r="I7" s="17" t="n">
        <f aca="false">Sorgo!$B$3+28</f>
        <v>46438</v>
      </c>
      <c r="J7" s="17" t="n">
        <f aca="false">Sorgo!$B$3+35</f>
        <v>46445</v>
      </c>
      <c r="K7" s="17" t="n">
        <f aca="false">Sorgo!$B$3+42</f>
        <v>46452</v>
      </c>
      <c r="L7" s="17" t="n">
        <f aca="false">Sorgo!$B$3+49</f>
        <v>46459</v>
      </c>
      <c r="M7" s="17" t="n">
        <f aca="false">Sorgo!$B$3+56</f>
        <v>46466</v>
      </c>
      <c r="N7" s="17" t="n">
        <f aca="false">Sorgo!$B$3+63</f>
        <v>46473</v>
      </c>
      <c r="O7" s="17" t="n">
        <f aca="false">Sorgo!$B$3+70</f>
        <v>46480</v>
      </c>
      <c r="P7" s="17" t="n">
        <f aca="false">Sorgo!$B$3+77</f>
        <v>46487</v>
      </c>
      <c r="Q7" s="17" t="n">
        <f aca="false">Sorgo!$B$3+84</f>
        <v>46494</v>
      </c>
      <c r="R7" s="17" t="n">
        <f aca="false">Sorgo!$B$3+91</f>
        <v>46501</v>
      </c>
      <c r="S7" s="17" t="n">
        <f aca="false">Sorgo!$B$3+98</f>
        <v>46508</v>
      </c>
      <c r="T7" s="17" t="n">
        <f aca="false">Sorgo!$B$3+105</f>
        <v>46515</v>
      </c>
      <c r="U7" s="17" t="n">
        <f aca="false">Sorgo!$B$3+112</f>
        <v>46522</v>
      </c>
      <c r="V7" s="17" t="n">
        <f aca="false">Sorgo!$B$3+119</f>
        <v>46529</v>
      </c>
      <c r="W7" s="17" t="n">
        <f aca="false">Sorgo!$B$3+126</f>
        <v>46536</v>
      </c>
      <c r="X7" s="17" t="n">
        <f aca="false">Sorgo!$B$3+133</f>
        <v>46543</v>
      </c>
      <c r="Y7" s="17" t="n">
        <f aca="false">Sorgo!$B$3+140</f>
        <v>46550</v>
      </c>
      <c r="Z7" s="17" t="n">
        <f aca="false">Sorgo!$B$3+147</f>
        <v>46557</v>
      </c>
      <c r="AA7" s="17" t="n">
        <f aca="false">Sorgo!$B$3+154</f>
        <v>46564</v>
      </c>
      <c r="AB7" s="17" t="n">
        <f aca="false">Sorgo!$B$3+161</f>
        <v>46571</v>
      </c>
      <c r="AC7" s="17" t="n">
        <f aca="false">Sorgo!$B$3+168</f>
        <v>46578</v>
      </c>
      <c r="AD7" s="17" t="n">
        <f aca="false">Sorgo!$B$3+175</f>
        <v>46585</v>
      </c>
      <c r="AE7" s="17" t="n">
        <f aca="false">Sorgo!$B$3+182</f>
        <v>46592</v>
      </c>
      <c r="AF7" s="17" t="n">
        <f aca="false">Sorgo!$B$3+189</f>
        <v>46599</v>
      </c>
      <c r="AG7" s="17" t="n">
        <f aca="false">Sorgo!$B$3+196</f>
        <v>46606</v>
      </c>
      <c r="AH7" s="17" t="n">
        <f aca="false">Sorgo!$B$3+203</f>
        <v>46613</v>
      </c>
      <c r="AI7" s="17" t="n">
        <f aca="false">Sorgo!$B$3+210</f>
        <v>46620</v>
      </c>
      <c r="AJ7" s="17" t="n">
        <f aca="false">Sorgo!$B$3+217</f>
        <v>46627</v>
      </c>
      <c r="AK7" s="17" t="n">
        <f aca="false">Sorgo!$B$3+224</f>
        <v>46634</v>
      </c>
      <c r="AL7" s="17" t="n">
        <f aca="false">Sorgo!$B$3+231</f>
        <v>46641</v>
      </c>
      <c r="AM7" s="17" t="n">
        <f aca="false">Sorgo!$B$3+238</f>
        <v>46648</v>
      </c>
      <c r="AN7" s="17" t="n">
        <f aca="false">Sorgo!$B$3+245</f>
        <v>46655</v>
      </c>
      <c r="AO7" s="17" t="n">
        <f aca="false">Sorgo!$B$3+252</f>
        <v>46662</v>
      </c>
      <c r="AP7" s="17" t="n">
        <f aca="false">Sorgo!$B$3+259</f>
        <v>46669</v>
      </c>
      <c r="AQ7" s="17" t="n">
        <f aca="false">Sorgo!$B$3+266</f>
        <v>46676</v>
      </c>
      <c r="AR7" s="17" t="n">
        <f aca="false">Sorgo!$B$3+273</f>
        <v>46683</v>
      </c>
      <c r="AS7" s="17" t="n">
        <f aca="false">Sorgo!$B$3+280</f>
        <v>46690</v>
      </c>
      <c r="AT7" s="17" t="n">
        <f aca="false">Sorgo!$B$3+287</f>
        <v>46697</v>
      </c>
      <c r="AU7" s="17" t="n">
        <f aca="false">Sorgo!$B$3+294</f>
        <v>46704</v>
      </c>
      <c r="AV7" s="17" t="n">
        <f aca="false">Sorgo!$B$3+301</f>
        <v>46711</v>
      </c>
      <c r="AW7" s="17" t="n">
        <f aca="false">Sorgo!$B$3+308</f>
        <v>46718</v>
      </c>
      <c r="AX7" s="17" t="n">
        <f aca="false">Sorgo!$B$3+315</f>
        <v>46725</v>
      </c>
      <c r="AY7" s="17" t="n">
        <f aca="false">Sorgo!$B$3+322</f>
        <v>46732</v>
      </c>
      <c r="AZ7" s="17" t="n">
        <f aca="false">Sorgo!$B$3+329</f>
        <v>46739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IF(COUNT(Sorgo!$E6:$Z6)&gt;0,N(Sorgo!$D6),0)</f>
        <v>0</v>
      </c>
      <c r="E8" s="27" t="n">
        <f aca="false">IF(COUNT(Sorgo!$E6:$Z6)=0,0,MAX(0,IF((E$6-$E$3)&lt;1,0,IFERROR(LOOKUP(2,1/(Sorgo!$E6:INDEX(Sorgo!$E6:$Z6,MIN(E$6-$E$3,22))&lt;&gt;""),Sorgo!$E6:INDEX(Sorgo!$E6:$Z6,MIN(E$6-$E$3,22))),0))-IF($G$2,0,IF((E$6-$G$3)&lt;1,0,IFERROR(LOOKUP(2,1/(Sorgo!$E6:INDEX(Sorgo!$E6:$Z6,MIN(E$6-$G$3,22))&lt;&gt;""),Sorgo!$E6:INDEX(Sorgo!$E6:$Z6,MIN(E$6-$G$3,22))),0)))))</f>
        <v>0</v>
      </c>
      <c r="F8" s="27" t="n">
        <f aca="false">IF(COUNT(Sorgo!$E6:$Z6)=0,0,MAX(0,IF((F$6-$E$3)&lt;1,0,IFERROR(LOOKUP(2,1/(Sorgo!$E6:INDEX(Sorgo!$E6:$Z6,MIN(F$6-$E$3,22))&lt;&gt;""),Sorgo!$E6:INDEX(Sorgo!$E6:$Z6,MIN(F$6-$E$3,22))),0))-IF($G$2,0,IF((F$6-$G$3)&lt;1,0,IFERROR(LOOKUP(2,1/(Sorgo!$E6:INDEX(Sorgo!$E6:$Z6,MIN(F$6-$G$3,22))&lt;&gt;""),Sorgo!$E6:INDEX(Sorgo!$E6:$Z6,MIN(F$6-$G$3,22))),0)))))</f>
        <v>0</v>
      </c>
      <c r="G8" s="27" t="n">
        <f aca="false">IF(COUNT(Sorgo!$E6:$Z6)=0,0,MAX(0,IF((G$6-$E$3)&lt;1,0,IFERROR(LOOKUP(2,1/(Sorgo!$E6:INDEX(Sorgo!$E6:$Z6,MIN(G$6-$E$3,22))&lt;&gt;""),Sorgo!$E6:INDEX(Sorgo!$E6:$Z6,MIN(G$6-$E$3,22))),0))-IF($G$2,0,IF((G$6-$G$3)&lt;1,0,IFERROR(LOOKUP(2,1/(Sorgo!$E6:INDEX(Sorgo!$E6:$Z6,MIN(G$6-$G$3,22))&lt;&gt;""),Sorgo!$E6:INDEX(Sorgo!$E6:$Z6,MIN(G$6-$G$3,22))),0)))))</f>
        <v>0</v>
      </c>
      <c r="H8" s="27" t="n">
        <f aca="false">IF(COUNT(Sorgo!$E6:$Z6)=0,0,MAX(0,IF((H$6-$E$3)&lt;1,0,IFERROR(LOOKUP(2,1/(Sorgo!$E6:INDEX(Sorgo!$E6:$Z6,MIN(H$6-$E$3,22))&lt;&gt;""),Sorgo!$E6:INDEX(Sorgo!$E6:$Z6,MIN(H$6-$E$3,22))),0))-IF($G$2,0,IF((H$6-$G$3)&lt;1,0,IFERROR(LOOKUP(2,1/(Sorgo!$E6:INDEX(Sorgo!$E6:$Z6,MIN(H$6-$G$3,22))&lt;&gt;""),Sorgo!$E6:INDEX(Sorgo!$E6:$Z6,MIN(H$6-$G$3,22))),0)))))</f>
        <v>0</v>
      </c>
      <c r="I8" s="27" t="n">
        <f aca="false">IF(COUNT(Sorgo!$E6:$Z6)=0,0,MAX(0,IF((I$6-$E$3)&lt;1,0,IFERROR(LOOKUP(2,1/(Sorgo!$E6:INDEX(Sorgo!$E6:$Z6,MIN(I$6-$E$3,22))&lt;&gt;""),Sorgo!$E6:INDEX(Sorgo!$E6:$Z6,MIN(I$6-$E$3,22))),0))-IF($G$2,0,IF((I$6-$G$3)&lt;1,0,IFERROR(LOOKUP(2,1/(Sorgo!$E6:INDEX(Sorgo!$E6:$Z6,MIN(I$6-$G$3,22))&lt;&gt;""),Sorgo!$E6:INDEX(Sorgo!$E6:$Z6,MIN(I$6-$G$3,22))),0)))))</f>
        <v>0</v>
      </c>
      <c r="J8" s="27" t="n">
        <f aca="false">IF(COUNT(Sorgo!$E6:$Z6)=0,0,MAX(0,IF((J$6-$E$3)&lt;1,0,IFERROR(LOOKUP(2,1/(Sorgo!$E6:INDEX(Sorgo!$E6:$Z6,MIN(J$6-$E$3,22))&lt;&gt;""),Sorgo!$E6:INDEX(Sorgo!$E6:$Z6,MIN(J$6-$E$3,22))),0))-IF($G$2,0,IF((J$6-$G$3)&lt;1,0,IFERROR(LOOKUP(2,1/(Sorgo!$E6:INDEX(Sorgo!$E6:$Z6,MIN(J$6-$G$3,22))&lt;&gt;""),Sorgo!$E6:INDEX(Sorgo!$E6:$Z6,MIN(J$6-$G$3,22))),0)))))</f>
        <v>0</v>
      </c>
      <c r="K8" s="27" t="n">
        <f aca="false">IF(COUNT(Sorgo!$E6:$Z6)=0,0,MAX(0,IF((K$6-$E$3)&lt;1,0,IFERROR(LOOKUP(2,1/(Sorgo!$E6:INDEX(Sorgo!$E6:$Z6,MIN(K$6-$E$3,22))&lt;&gt;""),Sorgo!$E6:INDEX(Sorgo!$E6:$Z6,MIN(K$6-$E$3,22))),0))-IF($G$2,0,IF((K$6-$G$3)&lt;1,0,IFERROR(LOOKUP(2,1/(Sorgo!$E6:INDEX(Sorgo!$E6:$Z6,MIN(K$6-$G$3,22))&lt;&gt;""),Sorgo!$E6:INDEX(Sorgo!$E6:$Z6,MIN(K$6-$G$3,22))),0)))))</f>
        <v>0</v>
      </c>
      <c r="L8" s="27" t="n">
        <f aca="false">IF(COUNT(Sorgo!$E6:$Z6)=0,0,MAX(0,IF((L$6-$E$3)&lt;1,0,IFERROR(LOOKUP(2,1/(Sorgo!$E6:INDEX(Sorgo!$E6:$Z6,MIN(L$6-$E$3,22))&lt;&gt;""),Sorgo!$E6:INDEX(Sorgo!$E6:$Z6,MIN(L$6-$E$3,22))),0))-IF($G$2,0,IF((L$6-$G$3)&lt;1,0,IFERROR(LOOKUP(2,1/(Sorgo!$E6:INDEX(Sorgo!$E6:$Z6,MIN(L$6-$G$3,22))&lt;&gt;""),Sorgo!$E6:INDEX(Sorgo!$E6:$Z6,MIN(L$6-$G$3,22))),0)))))</f>
        <v>0</v>
      </c>
      <c r="M8" s="27" t="n">
        <f aca="false">IF(COUNT(Sorgo!$E6:$Z6)=0,0,MAX(0,IF((M$6-$E$3)&lt;1,0,IFERROR(LOOKUP(2,1/(Sorgo!$E6:INDEX(Sorgo!$E6:$Z6,MIN(M$6-$E$3,22))&lt;&gt;""),Sorgo!$E6:INDEX(Sorgo!$E6:$Z6,MIN(M$6-$E$3,22))),0))-IF($G$2,0,IF((M$6-$G$3)&lt;1,0,IFERROR(LOOKUP(2,1/(Sorgo!$E6:INDEX(Sorgo!$E6:$Z6,MIN(M$6-$G$3,22))&lt;&gt;""),Sorgo!$E6:INDEX(Sorgo!$E6:$Z6,MIN(M$6-$G$3,22))),0)))))</f>
        <v>0</v>
      </c>
      <c r="N8" s="27" t="n">
        <f aca="false">IF(COUNT(Sorgo!$E6:$Z6)=0,0,MAX(0,IF((N$6-$E$3)&lt;1,0,IFERROR(LOOKUP(2,1/(Sorgo!$E6:INDEX(Sorgo!$E6:$Z6,MIN(N$6-$E$3,22))&lt;&gt;""),Sorgo!$E6:INDEX(Sorgo!$E6:$Z6,MIN(N$6-$E$3,22))),0))-IF($G$2,0,IF((N$6-$G$3)&lt;1,0,IFERROR(LOOKUP(2,1/(Sorgo!$E6:INDEX(Sorgo!$E6:$Z6,MIN(N$6-$G$3,22))&lt;&gt;""),Sorgo!$E6:INDEX(Sorgo!$E6:$Z6,MIN(N$6-$G$3,22))),0)))))</f>
        <v>0</v>
      </c>
      <c r="O8" s="27" t="n">
        <f aca="false">IF(COUNT(Sorgo!$E6:$Z6)=0,0,MAX(0,IF((O$6-$E$3)&lt;1,0,IFERROR(LOOKUP(2,1/(Sorgo!$E6:INDEX(Sorgo!$E6:$Z6,MIN(O$6-$E$3,22))&lt;&gt;""),Sorgo!$E6:INDEX(Sorgo!$E6:$Z6,MIN(O$6-$E$3,22))),0))-IF($G$2,0,IF((O$6-$G$3)&lt;1,0,IFERROR(LOOKUP(2,1/(Sorgo!$E6:INDEX(Sorgo!$E6:$Z6,MIN(O$6-$G$3,22))&lt;&gt;""),Sorgo!$E6:INDEX(Sorgo!$E6:$Z6,MIN(O$6-$G$3,22))),0)))))</f>
        <v>0</v>
      </c>
      <c r="P8" s="27" t="n">
        <f aca="false">IF(COUNT(Sorgo!$E6:$Z6)=0,0,MAX(0,IF((P$6-$E$3)&lt;1,0,IFERROR(LOOKUP(2,1/(Sorgo!$E6:INDEX(Sorgo!$E6:$Z6,MIN(P$6-$E$3,22))&lt;&gt;""),Sorgo!$E6:INDEX(Sorgo!$E6:$Z6,MIN(P$6-$E$3,22))),0))-IF($G$2,0,IF((P$6-$G$3)&lt;1,0,IFERROR(LOOKUP(2,1/(Sorgo!$E6:INDEX(Sorgo!$E6:$Z6,MIN(P$6-$G$3,22))&lt;&gt;""),Sorgo!$E6:INDEX(Sorgo!$E6:$Z6,MIN(P$6-$G$3,22))),0)))))</f>
        <v>0</v>
      </c>
      <c r="Q8" s="27" t="n">
        <f aca="false">IF(COUNT(Sorgo!$E6:$Z6)=0,0,MAX(0,IF((Q$6-$E$3)&lt;1,0,IFERROR(LOOKUP(2,1/(Sorgo!$E6:INDEX(Sorgo!$E6:$Z6,MIN(Q$6-$E$3,22))&lt;&gt;""),Sorgo!$E6:INDEX(Sorgo!$E6:$Z6,MIN(Q$6-$E$3,22))),0))-IF($G$2,0,IF((Q$6-$G$3)&lt;1,0,IFERROR(LOOKUP(2,1/(Sorgo!$E6:INDEX(Sorgo!$E6:$Z6,MIN(Q$6-$G$3,22))&lt;&gt;""),Sorgo!$E6:INDEX(Sorgo!$E6:$Z6,MIN(Q$6-$G$3,22))),0)))))</f>
        <v>0</v>
      </c>
      <c r="R8" s="27" t="n">
        <f aca="false">IF(COUNT(Sorgo!$E6:$Z6)=0,0,MAX(0,IF((R$6-$E$3)&lt;1,0,IFERROR(LOOKUP(2,1/(Sorgo!$E6:INDEX(Sorgo!$E6:$Z6,MIN(R$6-$E$3,22))&lt;&gt;""),Sorgo!$E6:INDEX(Sorgo!$E6:$Z6,MIN(R$6-$E$3,22))),0))-IF($G$2,0,IF((R$6-$G$3)&lt;1,0,IFERROR(LOOKUP(2,1/(Sorgo!$E6:INDEX(Sorgo!$E6:$Z6,MIN(R$6-$G$3,22))&lt;&gt;""),Sorgo!$E6:INDEX(Sorgo!$E6:$Z6,MIN(R$6-$G$3,22))),0)))))</f>
        <v>0</v>
      </c>
      <c r="S8" s="27" t="n">
        <f aca="false">IF(COUNT(Sorgo!$E6:$Z6)=0,0,MAX(0,IF((S$6-$E$3)&lt;1,0,IFERROR(LOOKUP(2,1/(Sorgo!$E6:INDEX(Sorgo!$E6:$Z6,MIN(S$6-$E$3,22))&lt;&gt;""),Sorgo!$E6:INDEX(Sorgo!$E6:$Z6,MIN(S$6-$E$3,22))),0))-IF($G$2,0,IF((S$6-$G$3)&lt;1,0,IFERROR(LOOKUP(2,1/(Sorgo!$E6:INDEX(Sorgo!$E6:$Z6,MIN(S$6-$G$3,22))&lt;&gt;""),Sorgo!$E6:INDEX(Sorgo!$E6:$Z6,MIN(S$6-$G$3,22))),0)))))</f>
        <v>0</v>
      </c>
      <c r="T8" s="27" t="n">
        <f aca="false">IF(COUNT(Sorgo!$E6:$Z6)=0,0,MAX(0,IF((T$6-$E$3)&lt;1,0,IFERROR(LOOKUP(2,1/(Sorgo!$E6:INDEX(Sorgo!$E6:$Z6,MIN(T$6-$E$3,22))&lt;&gt;""),Sorgo!$E6:INDEX(Sorgo!$E6:$Z6,MIN(T$6-$E$3,22))),0))-IF($G$2,0,IF((T$6-$G$3)&lt;1,0,IFERROR(LOOKUP(2,1/(Sorgo!$E6:INDEX(Sorgo!$E6:$Z6,MIN(T$6-$G$3,22))&lt;&gt;""),Sorgo!$E6:INDEX(Sorgo!$E6:$Z6,MIN(T$6-$G$3,22))),0)))))</f>
        <v>0</v>
      </c>
      <c r="U8" s="27" t="n">
        <f aca="false">IF(COUNT(Sorgo!$E6:$Z6)=0,0,MAX(0,IF((U$6-$E$3)&lt;1,0,IFERROR(LOOKUP(2,1/(Sorgo!$E6:INDEX(Sorgo!$E6:$Z6,MIN(U$6-$E$3,22))&lt;&gt;""),Sorgo!$E6:INDEX(Sorgo!$E6:$Z6,MIN(U$6-$E$3,22))),0))-IF($G$2,0,IF((U$6-$G$3)&lt;1,0,IFERROR(LOOKUP(2,1/(Sorgo!$E6:INDEX(Sorgo!$E6:$Z6,MIN(U$6-$G$3,22))&lt;&gt;""),Sorgo!$E6:INDEX(Sorgo!$E6:$Z6,MIN(U$6-$G$3,22))),0)))))</f>
        <v>0</v>
      </c>
      <c r="V8" s="27" t="n">
        <f aca="false">IF(COUNT(Sorgo!$E6:$Z6)=0,0,MAX(0,IF((V$6-$E$3)&lt;1,0,IFERROR(LOOKUP(2,1/(Sorgo!$E6:INDEX(Sorgo!$E6:$Z6,MIN(V$6-$E$3,22))&lt;&gt;""),Sorgo!$E6:INDEX(Sorgo!$E6:$Z6,MIN(V$6-$E$3,22))),0))-IF($G$2,0,IF((V$6-$G$3)&lt;1,0,IFERROR(LOOKUP(2,1/(Sorgo!$E6:INDEX(Sorgo!$E6:$Z6,MIN(V$6-$G$3,22))&lt;&gt;""),Sorgo!$E6:INDEX(Sorgo!$E6:$Z6,MIN(V$6-$G$3,22))),0)))))</f>
        <v>0</v>
      </c>
      <c r="W8" s="27" t="n">
        <f aca="false">IF(COUNT(Sorgo!$E6:$Z6)=0,0,MAX(0,IF((W$6-$E$3)&lt;1,0,IFERROR(LOOKUP(2,1/(Sorgo!$E6:INDEX(Sorgo!$E6:$Z6,MIN(W$6-$E$3,22))&lt;&gt;""),Sorgo!$E6:INDEX(Sorgo!$E6:$Z6,MIN(W$6-$E$3,22))),0))-IF($G$2,0,IF((W$6-$G$3)&lt;1,0,IFERROR(LOOKUP(2,1/(Sorgo!$E6:INDEX(Sorgo!$E6:$Z6,MIN(W$6-$G$3,22))&lt;&gt;""),Sorgo!$E6:INDEX(Sorgo!$E6:$Z6,MIN(W$6-$G$3,22))),0)))))</f>
        <v>0</v>
      </c>
      <c r="X8" s="27" t="n">
        <f aca="false">IF(COUNT(Sorgo!$E6:$Z6)=0,0,MAX(0,IF((X$6-$E$3)&lt;1,0,IFERROR(LOOKUP(2,1/(Sorgo!$E6:INDEX(Sorgo!$E6:$Z6,MIN(X$6-$E$3,22))&lt;&gt;""),Sorgo!$E6:INDEX(Sorgo!$E6:$Z6,MIN(X$6-$E$3,22))),0))-IF($G$2,0,IF((X$6-$G$3)&lt;1,0,IFERROR(LOOKUP(2,1/(Sorgo!$E6:INDEX(Sorgo!$E6:$Z6,MIN(X$6-$G$3,22))&lt;&gt;""),Sorgo!$E6:INDEX(Sorgo!$E6:$Z6,MIN(X$6-$G$3,22))),0)))))</f>
        <v>0</v>
      </c>
      <c r="Y8" s="27" t="n">
        <f aca="false">IF(COUNT(Sorgo!$E6:$Z6)=0,0,MAX(0,IF((Y$6-$E$3)&lt;1,0,IFERROR(LOOKUP(2,1/(Sorgo!$E6:INDEX(Sorgo!$E6:$Z6,MIN(Y$6-$E$3,22))&lt;&gt;""),Sorgo!$E6:INDEX(Sorgo!$E6:$Z6,MIN(Y$6-$E$3,22))),0))-IF($G$2,0,IF((Y$6-$G$3)&lt;1,0,IFERROR(LOOKUP(2,1/(Sorgo!$E6:INDEX(Sorgo!$E6:$Z6,MIN(Y$6-$G$3,22))&lt;&gt;""),Sorgo!$E6:INDEX(Sorgo!$E6:$Z6,MIN(Y$6-$G$3,22))),0)))))</f>
        <v>0</v>
      </c>
      <c r="Z8" s="27" t="n">
        <f aca="false">IF(COUNT(Sorgo!$E6:$Z6)=0,0,MAX(0,IF((Z$6-$E$3)&lt;1,0,IFERROR(LOOKUP(2,1/(Sorgo!$E6:INDEX(Sorgo!$E6:$Z6,MIN(Z$6-$E$3,22))&lt;&gt;""),Sorgo!$E6:INDEX(Sorgo!$E6:$Z6,MIN(Z$6-$E$3,22))),0))-IF($G$2,0,IF((Z$6-$G$3)&lt;1,0,IFERROR(LOOKUP(2,1/(Sorgo!$E6:INDEX(Sorgo!$E6:$Z6,MIN(Z$6-$G$3,22))&lt;&gt;""),Sorgo!$E6:INDEX(Sorgo!$E6:$Z6,MIN(Z$6-$G$3,22))),0)))))</f>
        <v>0</v>
      </c>
      <c r="AA8" s="27" t="n">
        <f aca="false">IF(COUNT(Sorgo!$E6:$Z6)=0,0,MAX(0,IF((AA$6-$E$3)&lt;1,0,IFERROR(LOOKUP(2,1/(Sorgo!$E6:INDEX(Sorgo!$E6:$Z6,MIN(AA$6-$E$3,22))&lt;&gt;""),Sorgo!$E6:INDEX(Sorgo!$E6:$Z6,MIN(AA$6-$E$3,22))),0))-IF($G$2,0,IF((AA$6-$G$3)&lt;1,0,IFERROR(LOOKUP(2,1/(Sorgo!$E6:INDEX(Sorgo!$E6:$Z6,MIN(AA$6-$G$3,22))&lt;&gt;""),Sorgo!$E6:INDEX(Sorgo!$E6:$Z6,MIN(AA$6-$G$3,22))),0)))))</f>
        <v>0</v>
      </c>
      <c r="AB8" s="27" t="n">
        <f aca="false">IF(COUNT(Sorgo!$E6:$Z6)=0,0,MAX(0,IF((AB$6-$E$3)&lt;1,0,IFERROR(LOOKUP(2,1/(Sorgo!$E6:INDEX(Sorgo!$E6:$Z6,MIN(AB$6-$E$3,22))&lt;&gt;""),Sorgo!$E6:INDEX(Sorgo!$E6:$Z6,MIN(AB$6-$E$3,22))),0))-IF($G$2,0,IF((AB$6-$G$3)&lt;1,0,IFERROR(LOOKUP(2,1/(Sorgo!$E6:INDEX(Sorgo!$E6:$Z6,MIN(AB$6-$G$3,22))&lt;&gt;""),Sorgo!$E6:INDEX(Sorgo!$E6:$Z6,MIN(AB$6-$G$3,22))),0)))))</f>
        <v>0</v>
      </c>
      <c r="AC8" s="27" t="n">
        <f aca="false">IF(COUNT(Sorgo!$E6:$Z6)=0,0,MAX(0,IF((AC$6-$E$3)&lt;1,0,IFERROR(LOOKUP(2,1/(Sorgo!$E6:INDEX(Sorgo!$E6:$Z6,MIN(AC$6-$E$3,22))&lt;&gt;""),Sorgo!$E6:INDEX(Sorgo!$E6:$Z6,MIN(AC$6-$E$3,22))),0))-IF($G$2,0,IF((AC$6-$G$3)&lt;1,0,IFERROR(LOOKUP(2,1/(Sorgo!$E6:INDEX(Sorgo!$E6:$Z6,MIN(AC$6-$G$3,22))&lt;&gt;""),Sorgo!$E6:INDEX(Sorgo!$E6:$Z6,MIN(AC$6-$G$3,22))),0)))))</f>
        <v>0</v>
      </c>
      <c r="AD8" s="27" t="n">
        <f aca="false">IF(COUNT(Sorgo!$E6:$Z6)=0,0,MAX(0,IF((AD$6-$E$3)&lt;1,0,IFERROR(LOOKUP(2,1/(Sorgo!$E6:INDEX(Sorgo!$E6:$Z6,MIN(AD$6-$E$3,22))&lt;&gt;""),Sorgo!$E6:INDEX(Sorgo!$E6:$Z6,MIN(AD$6-$E$3,22))),0))-IF($G$2,0,IF((AD$6-$G$3)&lt;1,0,IFERROR(LOOKUP(2,1/(Sorgo!$E6:INDEX(Sorgo!$E6:$Z6,MIN(AD$6-$G$3,22))&lt;&gt;""),Sorgo!$E6:INDEX(Sorgo!$E6:$Z6,MIN(AD$6-$G$3,22))),0)))))</f>
        <v>0</v>
      </c>
      <c r="AE8" s="27" t="n">
        <f aca="false">IF(COUNT(Sorgo!$E6:$Z6)=0,0,MAX(0,IF((AE$6-$E$3)&lt;1,0,IFERROR(LOOKUP(2,1/(Sorgo!$E6:INDEX(Sorgo!$E6:$Z6,MIN(AE$6-$E$3,22))&lt;&gt;""),Sorgo!$E6:INDEX(Sorgo!$E6:$Z6,MIN(AE$6-$E$3,22))),0))-IF($G$2,0,IF((AE$6-$G$3)&lt;1,0,IFERROR(LOOKUP(2,1/(Sorgo!$E6:INDEX(Sorgo!$E6:$Z6,MIN(AE$6-$G$3,22))&lt;&gt;""),Sorgo!$E6:INDEX(Sorgo!$E6:$Z6,MIN(AE$6-$G$3,22))),0)))))</f>
        <v>0</v>
      </c>
      <c r="AF8" s="27" t="n">
        <f aca="false">IF(COUNT(Sorgo!$E6:$Z6)=0,0,MAX(0,IF((AF$6-$E$3)&lt;1,0,IFERROR(LOOKUP(2,1/(Sorgo!$E6:INDEX(Sorgo!$E6:$Z6,MIN(AF$6-$E$3,22))&lt;&gt;""),Sorgo!$E6:INDEX(Sorgo!$E6:$Z6,MIN(AF$6-$E$3,22))),0))-IF($G$2,0,IF((AF$6-$G$3)&lt;1,0,IFERROR(LOOKUP(2,1/(Sorgo!$E6:INDEX(Sorgo!$E6:$Z6,MIN(AF$6-$G$3,22))&lt;&gt;""),Sorgo!$E6:INDEX(Sorgo!$E6:$Z6,MIN(AF$6-$G$3,22))),0)))))</f>
        <v>0</v>
      </c>
      <c r="AG8" s="27" t="n">
        <f aca="false">IF(COUNT(Sorgo!$E6:$Z6)=0,0,MAX(0,IF((AG$6-$E$3)&lt;1,0,IFERROR(LOOKUP(2,1/(Sorgo!$E6:INDEX(Sorgo!$E6:$Z6,MIN(AG$6-$E$3,22))&lt;&gt;""),Sorgo!$E6:INDEX(Sorgo!$E6:$Z6,MIN(AG$6-$E$3,22))),0))-IF($G$2,0,IF((AG$6-$G$3)&lt;1,0,IFERROR(LOOKUP(2,1/(Sorgo!$E6:INDEX(Sorgo!$E6:$Z6,MIN(AG$6-$G$3,22))&lt;&gt;""),Sorgo!$E6:INDEX(Sorgo!$E6:$Z6,MIN(AG$6-$G$3,22))),0)))))</f>
        <v>0</v>
      </c>
      <c r="AH8" s="27" t="n">
        <f aca="false">IF(COUNT(Sorgo!$E6:$Z6)=0,0,MAX(0,IF((AH$6-$E$3)&lt;1,0,IFERROR(LOOKUP(2,1/(Sorgo!$E6:INDEX(Sorgo!$E6:$Z6,MIN(AH$6-$E$3,22))&lt;&gt;""),Sorgo!$E6:INDEX(Sorgo!$E6:$Z6,MIN(AH$6-$E$3,22))),0))-IF($G$2,0,IF((AH$6-$G$3)&lt;1,0,IFERROR(LOOKUP(2,1/(Sorgo!$E6:INDEX(Sorgo!$E6:$Z6,MIN(AH$6-$G$3,22))&lt;&gt;""),Sorgo!$E6:INDEX(Sorgo!$E6:$Z6,MIN(AH$6-$G$3,22))),0)))))</f>
        <v>0</v>
      </c>
      <c r="AI8" s="27" t="n">
        <f aca="false">IF(COUNT(Sorgo!$E6:$Z6)=0,0,MAX(0,IF((AI$6-$E$3)&lt;1,0,IFERROR(LOOKUP(2,1/(Sorgo!$E6:INDEX(Sorgo!$E6:$Z6,MIN(AI$6-$E$3,22))&lt;&gt;""),Sorgo!$E6:INDEX(Sorgo!$E6:$Z6,MIN(AI$6-$E$3,22))),0))-IF($G$2,0,IF((AI$6-$G$3)&lt;1,0,IFERROR(LOOKUP(2,1/(Sorgo!$E6:INDEX(Sorgo!$E6:$Z6,MIN(AI$6-$G$3,22))&lt;&gt;""),Sorgo!$E6:INDEX(Sorgo!$E6:$Z6,MIN(AI$6-$G$3,22))),0)))))</f>
        <v>0</v>
      </c>
      <c r="AJ8" s="27" t="n">
        <f aca="false">IF(COUNT(Sorgo!$E6:$Z6)=0,0,MAX(0,IF((AJ$6-$E$3)&lt;1,0,IFERROR(LOOKUP(2,1/(Sorgo!$E6:INDEX(Sorgo!$E6:$Z6,MIN(AJ$6-$E$3,22))&lt;&gt;""),Sorgo!$E6:INDEX(Sorgo!$E6:$Z6,MIN(AJ$6-$E$3,22))),0))-IF($G$2,0,IF((AJ$6-$G$3)&lt;1,0,IFERROR(LOOKUP(2,1/(Sorgo!$E6:INDEX(Sorgo!$E6:$Z6,MIN(AJ$6-$G$3,22))&lt;&gt;""),Sorgo!$E6:INDEX(Sorgo!$E6:$Z6,MIN(AJ$6-$G$3,22))),0)))))</f>
        <v>0</v>
      </c>
      <c r="AK8" s="27" t="n">
        <f aca="false">IF(COUNT(Sorgo!$E6:$Z6)=0,0,MAX(0,IF((AK$6-$E$3)&lt;1,0,IFERROR(LOOKUP(2,1/(Sorgo!$E6:INDEX(Sorgo!$E6:$Z6,MIN(AK$6-$E$3,22))&lt;&gt;""),Sorgo!$E6:INDEX(Sorgo!$E6:$Z6,MIN(AK$6-$E$3,22))),0))-IF($G$2,0,IF((AK$6-$G$3)&lt;1,0,IFERROR(LOOKUP(2,1/(Sorgo!$E6:INDEX(Sorgo!$E6:$Z6,MIN(AK$6-$G$3,22))&lt;&gt;""),Sorgo!$E6:INDEX(Sorgo!$E6:$Z6,MIN(AK$6-$G$3,22))),0)))))</f>
        <v>0</v>
      </c>
      <c r="AL8" s="27" t="n">
        <f aca="false">IF(COUNT(Sorgo!$E6:$Z6)=0,0,MAX(0,IF((AL$6-$E$3)&lt;1,0,IFERROR(LOOKUP(2,1/(Sorgo!$E6:INDEX(Sorgo!$E6:$Z6,MIN(AL$6-$E$3,22))&lt;&gt;""),Sorgo!$E6:INDEX(Sorgo!$E6:$Z6,MIN(AL$6-$E$3,22))),0))-IF($G$2,0,IF((AL$6-$G$3)&lt;1,0,IFERROR(LOOKUP(2,1/(Sorgo!$E6:INDEX(Sorgo!$E6:$Z6,MIN(AL$6-$G$3,22))&lt;&gt;""),Sorgo!$E6:INDEX(Sorgo!$E6:$Z6,MIN(AL$6-$G$3,22))),0)))))</f>
        <v>0</v>
      </c>
      <c r="AM8" s="27" t="n">
        <f aca="false">IF(COUNT(Sorgo!$E6:$Z6)=0,0,MAX(0,IF((AM$6-$E$3)&lt;1,0,IFERROR(LOOKUP(2,1/(Sorgo!$E6:INDEX(Sorgo!$E6:$Z6,MIN(AM$6-$E$3,22))&lt;&gt;""),Sorgo!$E6:INDEX(Sorgo!$E6:$Z6,MIN(AM$6-$E$3,22))),0))-IF($G$2,0,IF((AM$6-$G$3)&lt;1,0,IFERROR(LOOKUP(2,1/(Sorgo!$E6:INDEX(Sorgo!$E6:$Z6,MIN(AM$6-$G$3,22))&lt;&gt;""),Sorgo!$E6:INDEX(Sorgo!$E6:$Z6,MIN(AM$6-$G$3,22))),0)))))</f>
        <v>0</v>
      </c>
      <c r="AN8" s="27" t="n">
        <f aca="false">IF(COUNT(Sorgo!$E6:$Z6)=0,0,MAX(0,IF((AN$6-$E$3)&lt;1,0,IFERROR(LOOKUP(2,1/(Sorgo!$E6:INDEX(Sorgo!$E6:$Z6,MIN(AN$6-$E$3,22))&lt;&gt;""),Sorgo!$E6:INDEX(Sorgo!$E6:$Z6,MIN(AN$6-$E$3,22))),0))-IF($G$2,0,IF((AN$6-$G$3)&lt;1,0,IFERROR(LOOKUP(2,1/(Sorgo!$E6:INDEX(Sorgo!$E6:$Z6,MIN(AN$6-$G$3,22))&lt;&gt;""),Sorgo!$E6:INDEX(Sorgo!$E6:$Z6,MIN(AN$6-$G$3,22))),0)))))</f>
        <v>0</v>
      </c>
      <c r="AO8" s="27" t="n">
        <f aca="false">IF(COUNT(Sorgo!$E6:$Z6)=0,0,MAX(0,IF((AO$6-$E$3)&lt;1,0,IFERROR(LOOKUP(2,1/(Sorgo!$E6:INDEX(Sorgo!$E6:$Z6,MIN(AO$6-$E$3,22))&lt;&gt;""),Sorgo!$E6:INDEX(Sorgo!$E6:$Z6,MIN(AO$6-$E$3,22))),0))-IF($G$2,0,IF((AO$6-$G$3)&lt;1,0,IFERROR(LOOKUP(2,1/(Sorgo!$E6:INDEX(Sorgo!$E6:$Z6,MIN(AO$6-$G$3,22))&lt;&gt;""),Sorgo!$E6:INDEX(Sorgo!$E6:$Z6,MIN(AO$6-$G$3,22))),0)))))</f>
        <v>0</v>
      </c>
      <c r="AP8" s="27" t="n">
        <f aca="false">IF(COUNT(Sorgo!$E6:$Z6)=0,0,MAX(0,IF((AP$6-$E$3)&lt;1,0,IFERROR(LOOKUP(2,1/(Sorgo!$E6:INDEX(Sorgo!$E6:$Z6,MIN(AP$6-$E$3,22))&lt;&gt;""),Sorgo!$E6:INDEX(Sorgo!$E6:$Z6,MIN(AP$6-$E$3,22))),0))-IF($G$2,0,IF((AP$6-$G$3)&lt;1,0,IFERROR(LOOKUP(2,1/(Sorgo!$E6:INDEX(Sorgo!$E6:$Z6,MIN(AP$6-$G$3,22))&lt;&gt;""),Sorgo!$E6:INDEX(Sorgo!$E6:$Z6,MIN(AP$6-$G$3,22))),0)))))</f>
        <v>0</v>
      </c>
      <c r="AQ8" s="27" t="n">
        <f aca="false">IF(COUNT(Sorgo!$E6:$Z6)=0,0,MAX(0,IF((AQ$6-$E$3)&lt;1,0,IFERROR(LOOKUP(2,1/(Sorgo!$E6:INDEX(Sorgo!$E6:$Z6,MIN(AQ$6-$E$3,22))&lt;&gt;""),Sorgo!$E6:INDEX(Sorgo!$E6:$Z6,MIN(AQ$6-$E$3,22))),0))-IF($G$2,0,IF((AQ$6-$G$3)&lt;1,0,IFERROR(LOOKUP(2,1/(Sorgo!$E6:INDEX(Sorgo!$E6:$Z6,MIN(AQ$6-$G$3,22))&lt;&gt;""),Sorgo!$E6:INDEX(Sorgo!$E6:$Z6,MIN(AQ$6-$G$3,22))),0)))))</f>
        <v>0</v>
      </c>
      <c r="AR8" s="27" t="n">
        <f aca="false">IF(COUNT(Sorgo!$E6:$Z6)=0,0,MAX(0,IF((AR$6-$E$3)&lt;1,0,IFERROR(LOOKUP(2,1/(Sorgo!$E6:INDEX(Sorgo!$E6:$Z6,MIN(AR$6-$E$3,22))&lt;&gt;""),Sorgo!$E6:INDEX(Sorgo!$E6:$Z6,MIN(AR$6-$E$3,22))),0))-IF($G$2,0,IF((AR$6-$G$3)&lt;1,0,IFERROR(LOOKUP(2,1/(Sorgo!$E6:INDEX(Sorgo!$E6:$Z6,MIN(AR$6-$G$3,22))&lt;&gt;""),Sorgo!$E6:INDEX(Sorgo!$E6:$Z6,MIN(AR$6-$G$3,22))),0)))))</f>
        <v>0</v>
      </c>
      <c r="AS8" s="27" t="n">
        <f aca="false">IF(COUNT(Sorgo!$E6:$Z6)=0,0,MAX(0,IF((AS$6-$E$3)&lt;1,0,IFERROR(LOOKUP(2,1/(Sorgo!$E6:INDEX(Sorgo!$E6:$Z6,MIN(AS$6-$E$3,22))&lt;&gt;""),Sorgo!$E6:INDEX(Sorgo!$E6:$Z6,MIN(AS$6-$E$3,22))),0))-IF($G$2,0,IF((AS$6-$G$3)&lt;1,0,IFERROR(LOOKUP(2,1/(Sorgo!$E6:INDEX(Sorgo!$E6:$Z6,MIN(AS$6-$G$3,22))&lt;&gt;""),Sorgo!$E6:INDEX(Sorgo!$E6:$Z6,MIN(AS$6-$G$3,22))),0)))))</f>
        <v>0</v>
      </c>
      <c r="AT8" s="27" t="n">
        <f aca="false">IF(COUNT(Sorgo!$E6:$Z6)=0,0,MAX(0,IF((AT$6-$E$3)&lt;1,0,IFERROR(LOOKUP(2,1/(Sorgo!$E6:INDEX(Sorgo!$E6:$Z6,MIN(AT$6-$E$3,22))&lt;&gt;""),Sorgo!$E6:INDEX(Sorgo!$E6:$Z6,MIN(AT$6-$E$3,22))),0))-IF($G$2,0,IF((AT$6-$G$3)&lt;1,0,IFERROR(LOOKUP(2,1/(Sorgo!$E6:INDEX(Sorgo!$E6:$Z6,MIN(AT$6-$G$3,22))&lt;&gt;""),Sorgo!$E6:INDEX(Sorgo!$E6:$Z6,MIN(AT$6-$G$3,22))),0)))))</f>
        <v>0</v>
      </c>
      <c r="AU8" s="27" t="n">
        <f aca="false">IF(COUNT(Sorgo!$E6:$Z6)=0,0,MAX(0,IF((AU$6-$E$3)&lt;1,0,IFERROR(LOOKUP(2,1/(Sorgo!$E6:INDEX(Sorgo!$E6:$Z6,MIN(AU$6-$E$3,22))&lt;&gt;""),Sorgo!$E6:INDEX(Sorgo!$E6:$Z6,MIN(AU$6-$E$3,22))),0))-IF($G$2,0,IF((AU$6-$G$3)&lt;1,0,IFERROR(LOOKUP(2,1/(Sorgo!$E6:INDEX(Sorgo!$E6:$Z6,MIN(AU$6-$G$3,22))&lt;&gt;""),Sorgo!$E6:INDEX(Sorgo!$E6:$Z6,MIN(AU$6-$G$3,22))),0)))))</f>
        <v>0</v>
      </c>
      <c r="AV8" s="27" t="n">
        <f aca="false">IF(COUNT(Sorgo!$E6:$Z6)=0,0,MAX(0,IF((AV$6-$E$3)&lt;1,0,IFERROR(LOOKUP(2,1/(Sorgo!$E6:INDEX(Sorgo!$E6:$Z6,MIN(AV$6-$E$3,22))&lt;&gt;""),Sorgo!$E6:INDEX(Sorgo!$E6:$Z6,MIN(AV$6-$E$3,22))),0))-IF($G$2,0,IF((AV$6-$G$3)&lt;1,0,IFERROR(LOOKUP(2,1/(Sorgo!$E6:INDEX(Sorgo!$E6:$Z6,MIN(AV$6-$G$3,22))&lt;&gt;""),Sorgo!$E6:INDEX(Sorgo!$E6:$Z6,MIN(AV$6-$G$3,22))),0)))))</f>
        <v>0</v>
      </c>
      <c r="AW8" s="27" t="n">
        <f aca="false">IF(COUNT(Sorgo!$E6:$Z6)=0,0,MAX(0,IF((AW$6-$E$3)&lt;1,0,IFERROR(LOOKUP(2,1/(Sorgo!$E6:INDEX(Sorgo!$E6:$Z6,MIN(AW$6-$E$3,22))&lt;&gt;""),Sorgo!$E6:INDEX(Sorgo!$E6:$Z6,MIN(AW$6-$E$3,22))),0))-IF($G$2,0,IF((AW$6-$G$3)&lt;1,0,IFERROR(LOOKUP(2,1/(Sorgo!$E6:INDEX(Sorgo!$E6:$Z6,MIN(AW$6-$G$3,22))&lt;&gt;""),Sorgo!$E6:INDEX(Sorgo!$E6:$Z6,MIN(AW$6-$G$3,22))),0)))))</f>
        <v>0</v>
      </c>
      <c r="AX8" s="27" t="n">
        <f aca="false">IF(COUNT(Sorgo!$E6:$Z6)=0,0,MAX(0,IF((AX$6-$E$3)&lt;1,0,IFERROR(LOOKUP(2,1/(Sorgo!$E6:INDEX(Sorgo!$E6:$Z6,MIN(AX$6-$E$3,22))&lt;&gt;""),Sorgo!$E6:INDEX(Sorgo!$E6:$Z6,MIN(AX$6-$E$3,22))),0))-IF($G$2,0,IF((AX$6-$G$3)&lt;1,0,IFERROR(LOOKUP(2,1/(Sorgo!$E6:INDEX(Sorgo!$E6:$Z6,MIN(AX$6-$G$3,22))&lt;&gt;""),Sorgo!$E6:INDEX(Sorgo!$E6:$Z6,MIN(AX$6-$G$3,22))),0)))))</f>
        <v>0</v>
      </c>
      <c r="AY8" s="27" t="n">
        <f aca="false">IF(COUNT(Sorgo!$E6:$Z6)=0,0,MAX(0,IF((AY$6-$E$3)&lt;1,0,IFERROR(LOOKUP(2,1/(Sorgo!$E6:INDEX(Sorgo!$E6:$Z6,MIN(AY$6-$E$3,22))&lt;&gt;""),Sorgo!$E6:INDEX(Sorgo!$E6:$Z6,MIN(AY$6-$E$3,22))),0))-IF($G$2,0,IF((AY$6-$G$3)&lt;1,0,IFERROR(LOOKUP(2,1/(Sorgo!$E6:INDEX(Sorgo!$E6:$Z6,MIN(AY$6-$G$3,22))&lt;&gt;""),Sorgo!$E6:INDEX(Sorgo!$E6:$Z6,MIN(AY$6-$G$3,22))),0)))))</f>
        <v>0</v>
      </c>
      <c r="AZ8" s="27" t="n">
        <f aca="false">IF(COUNT(Sorgo!$E6:$Z6)=0,0,MAX(0,IF((AZ$6-$E$3)&lt;1,0,IFERROR(LOOKUP(2,1/(Sorgo!$E6:INDEX(Sorgo!$E6:$Z6,MIN(AZ$6-$E$3,22))&lt;&gt;""),Sorgo!$E6:INDEX(Sorgo!$E6:$Z6,MIN(AZ$6-$E$3,22))),0))-IF($G$2,0,IF((AZ$6-$G$3)&lt;1,0,IFERROR(LOOKUP(2,1/(Sorgo!$E6:INDEX(Sorgo!$E6:$Z6,MIN(AZ$6-$G$3,22))&lt;&gt;""),Sorgo!$E6:INDEX(Sorgo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IF(COUNT(Sorgo!$E7:$Z7)&gt;0,N(Sorgo!$D7),0)</f>
        <v>0</v>
      </c>
      <c r="E9" s="27" t="n">
        <f aca="false">IF(COUNT(Sorgo!$E7:$Z7)=0,0,MAX(0,IF((E$6-$E$3)&lt;1,0,IFERROR(LOOKUP(2,1/(Sorgo!$E7:INDEX(Sorgo!$E7:$Z7,MIN(E$6-$E$3,22))&lt;&gt;""),Sorgo!$E7:INDEX(Sorgo!$E7:$Z7,MIN(E$6-$E$3,22))),0))-IF($G$2,0,IF((E$6-$G$3)&lt;1,0,IFERROR(LOOKUP(2,1/(Sorgo!$E7:INDEX(Sorgo!$E7:$Z7,MIN(E$6-$G$3,22))&lt;&gt;""),Sorgo!$E7:INDEX(Sorgo!$E7:$Z7,MIN(E$6-$G$3,22))),0)))))</f>
        <v>0</v>
      </c>
      <c r="F9" s="27" t="n">
        <f aca="false">IF(COUNT(Sorgo!$E7:$Z7)=0,0,MAX(0,IF((F$6-$E$3)&lt;1,0,IFERROR(LOOKUP(2,1/(Sorgo!$E7:INDEX(Sorgo!$E7:$Z7,MIN(F$6-$E$3,22))&lt;&gt;""),Sorgo!$E7:INDEX(Sorgo!$E7:$Z7,MIN(F$6-$E$3,22))),0))-IF($G$2,0,IF((F$6-$G$3)&lt;1,0,IFERROR(LOOKUP(2,1/(Sorgo!$E7:INDEX(Sorgo!$E7:$Z7,MIN(F$6-$G$3,22))&lt;&gt;""),Sorgo!$E7:INDEX(Sorgo!$E7:$Z7,MIN(F$6-$G$3,22))),0)))))</f>
        <v>0</v>
      </c>
      <c r="G9" s="27" t="n">
        <f aca="false">IF(COUNT(Sorgo!$E7:$Z7)=0,0,MAX(0,IF((G$6-$E$3)&lt;1,0,IFERROR(LOOKUP(2,1/(Sorgo!$E7:INDEX(Sorgo!$E7:$Z7,MIN(G$6-$E$3,22))&lt;&gt;""),Sorgo!$E7:INDEX(Sorgo!$E7:$Z7,MIN(G$6-$E$3,22))),0))-IF($G$2,0,IF((G$6-$G$3)&lt;1,0,IFERROR(LOOKUP(2,1/(Sorgo!$E7:INDEX(Sorgo!$E7:$Z7,MIN(G$6-$G$3,22))&lt;&gt;""),Sorgo!$E7:INDEX(Sorgo!$E7:$Z7,MIN(G$6-$G$3,22))),0)))))</f>
        <v>0</v>
      </c>
      <c r="H9" s="27" t="n">
        <f aca="false">IF(COUNT(Sorgo!$E7:$Z7)=0,0,MAX(0,IF((H$6-$E$3)&lt;1,0,IFERROR(LOOKUP(2,1/(Sorgo!$E7:INDEX(Sorgo!$E7:$Z7,MIN(H$6-$E$3,22))&lt;&gt;""),Sorgo!$E7:INDEX(Sorgo!$E7:$Z7,MIN(H$6-$E$3,22))),0))-IF($G$2,0,IF((H$6-$G$3)&lt;1,0,IFERROR(LOOKUP(2,1/(Sorgo!$E7:INDEX(Sorgo!$E7:$Z7,MIN(H$6-$G$3,22))&lt;&gt;""),Sorgo!$E7:INDEX(Sorgo!$E7:$Z7,MIN(H$6-$G$3,22))),0)))))</f>
        <v>0</v>
      </c>
      <c r="I9" s="27" t="n">
        <f aca="false">IF(COUNT(Sorgo!$E7:$Z7)=0,0,MAX(0,IF((I$6-$E$3)&lt;1,0,IFERROR(LOOKUP(2,1/(Sorgo!$E7:INDEX(Sorgo!$E7:$Z7,MIN(I$6-$E$3,22))&lt;&gt;""),Sorgo!$E7:INDEX(Sorgo!$E7:$Z7,MIN(I$6-$E$3,22))),0))-IF($G$2,0,IF((I$6-$G$3)&lt;1,0,IFERROR(LOOKUP(2,1/(Sorgo!$E7:INDEX(Sorgo!$E7:$Z7,MIN(I$6-$G$3,22))&lt;&gt;""),Sorgo!$E7:INDEX(Sorgo!$E7:$Z7,MIN(I$6-$G$3,22))),0)))))</f>
        <v>0</v>
      </c>
      <c r="J9" s="27" t="n">
        <f aca="false">IF(COUNT(Sorgo!$E7:$Z7)=0,0,MAX(0,IF((J$6-$E$3)&lt;1,0,IFERROR(LOOKUP(2,1/(Sorgo!$E7:INDEX(Sorgo!$E7:$Z7,MIN(J$6-$E$3,22))&lt;&gt;""),Sorgo!$E7:INDEX(Sorgo!$E7:$Z7,MIN(J$6-$E$3,22))),0))-IF($G$2,0,IF((J$6-$G$3)&lt;1,0,IFERROR(LOOKUP(2,1/(Sorgo!$E7:INDEX(Sorgo!$E7:$Z7,MIN(J$6-$G$3,22))&lt;&gt;""),Sorgo!$E7:INDEX(Sorgo!$E7:$Z7,MIN(J$6-$G$3,22))),0)))))</f>
        <v>0</v>
      </c>
      <c r="K9" s="27" t="n">
        <f aca="false">IF(COUNT(Sorgo!$E7:$Z7)=0,0,MAX(0,IF((K$6-$E$3)&lt;1,0,IFERROR(LOOKUP(2,1/(Sorgo!$E7:INDEX(Sorgo!$E7:$Z7,MIN(K$6-$E$3,22))&lt;&gt;""),Sorgo!$E7:INDEX(Sorgo!$E7:$Z7,MIN(K$6-$E$3,22))),0))-IF($G$2,0,IF((K$6-$G$3)&lt;1,0,IFERROR(LOOKUP(2,1/(Sorgo!$E7:INDEX(Sorgo!$E7:$Z7,MIN(K$6-$G$3,22))&lt;&gt;""),Sorgo!$E7:INDEX(Sorgo!$E7:$Z7,MIN(K$6-$G$3,22))),0)))))</f>
        <v>0</v>
      </c>
      <c r="L9" s="27" t="n">
        <f aca="false">IF(COUNT(Sorgo!$E7:$Z7)=0,0,MAX(0,IF((L$6-$E$3)&lt;1,0,IFERROR(LOOKUP(2,1/(Sorgo!$E7:INDEX(Sorgo!$E7:$Z7,MIN(L$6-$E$3,22))&lt;&gt;""),Sorgo!$E7:INDEX(Sorgo!$E7:$Z7,MIN(L$6-$E$3,22))),0))-IF($G$2,0,IF((L$6-$G$3)&lt;1,0,IFERROR(LOOKUP(2,1/(Sorgo!$E7:INDEX(Sorgo!$E7:$Z7,MIN(L$6-$G$3,22))&lt;&gt;""),Sorgo!$E7:INDEX(Sorgo!$E7:$Z7,MIN(L$6-$G$3,22))),0)))))</f>
        <v>0</v>
      </c>
      <c r="M9" s="27" t="n">
        <f aca="false">IF(COUNT(Sorgo!$E7:$Z7)=0,0,MAX(0,IF((M$6-$E$3)&lt;1,0,IFERROR(LOOKUP(2,1/(Sorgo!$E7:INDEX(Sorgo!$E7:$Z7,MIN(M$6-$E$3,22))&lt;&gt;""),Sorgo!$E7:INDEX(Sorgo!$E7:$Z7,MIN(M$6-$E$3,22))),0))-IF($G$2,0,IF((M$6-$G$3)&lt;1,0,IFERROR(LOOKUP(2,1/(Sorgo!$E7:INDEX(Sorgo!$E7:$Z7,MIN(M$6-$G$3,22))&lt;&gt;""),Sorgo!$E7:INDEX(Sorgo!$E7:$Z7,MIN(M$6-$G$3,22))),0)))))</f>
        <v>0</v>
      </c>
      <c r="N9" s="27" t="n">
        <f aca="false">IF(COUNT(Sorgo!$E7:$Z7)=0,0,MAX(0,IF((N$6-$E$3)&lt;1,0,IFERROR(LOOKUP(2,1/(Sorgo!$E7:INDEX(Sorgo!$E7:$Z7,MIN(N$6-$E$3,22))&lt;&gt;""),Sorgo!$E7:INDEX(Sorgo!$E7:$Z7,MIN(N$6-$E$3,22))),0))-IF($G$2,0,IF((N$6-$G$3)&lt;1,0,IFERROR(LOOKUP(2,1/(Sorgo!$E7:INDEX(Sorgo!$E7:$Z7,MIN(N$6-$G$3,22))&lt;&gt;""),Sorgo!$E7:INDEX(Sorgo!$E7:$Z7,MIN(N$6-$G$3,22))),0)))))</f>
        <v>0</v>
      </c>
      <c r="O9" s="27" t="n">
        <f aca="false">IF(COUNT(Sorgo!$E7:$Z7)=0,0,MAX(0,IF((O$6-$E$3)&lt;1,0,IFERROR(LOOKUP(2,1/(Sorgo!$E7:INDEX(Sorgo!$E7:$Z7,MIN(O$6-$E$3,22))&lt;&gt;""),Sorgo!$E7:INDEX(Sorgo!$E7:$Z7,MIN(O$6-$E$3,22))),0))-IF($G$2,0,IF((O$6-$G$3)&lt;1,0,IFERROR(LOOKUP(2,1/(Sorgo!$E7:INDEX(Sorgo!$E7:$Z7,MIN(O$6-$G$3,22))&lt;&gt;""),Sorgo!$E7:INDEX(Sorgo!$E7:$Z7,MIN(O$6-$G$3,22))),0)))))</f>
        <v>0</v>
      </c>
      <c r="P9" s="27" t="n">
        <f aca="false">IF(COUNT(Sorgo!$E7:$Z7)=0,0,MAX(0,IF((P$6-$E$3)&lt;1,0,IFERROR(LOOKUP(2,1/(Sorgo!$E7:INDEX(Sorgo!$E7:$Z7,MIN(P$6-$E$3,22))&lt;&gt;""),Sorgo!$E7:INDEX(Sorgo!$E7:$Z7,MIN(P$6-$E$3,22))),0))-IF($G$2,0,IF((P$6-$G$3)&lt;1,0,IFERROR(LOOKUP(2,1/(Sorgo!$E7:INDEX(Sorgo!$E7:$Z7,MIN(P$6-$G$3,22))&lt;&gt;""),Sorgo!$E7:INDEX(Sorgo!$E7:$Z7,MIN(P$6-$G$3,22))),0)))))</f>
        <v>0</v>
      </c>
      <c r="Q9" s="27" t="n">
        <f aca="false">IF(COUNT(Sorgo!$E7:$Z7)=0,0,MAX(0,IF((Q$6-$E$3)&lt;1,0,IFERROR(LOOKUP(2,1/(Sorgo!$E7:INDEX(Sorgo!$E7:$Z7,MIN(Q$6-$E$3,22))&lt;&gt;""),Sorgo!$E7:INDEX(Sorgo!$E7:$Z7,MIN(Q$6-$E$3,22))),0))-IF($G$2,0,IF((Q$6-$G$3)&lt;1,0,IFERROR(LOOKUP(2,1/(Sorgo!$E7:INDEX(Sorgo!$E7:$Z7,MIN(Q$6-$G$3,22))&lt;&gt;""),Sorgo!$E7:INDEX(Sorgo!$E7:$Z7,MIN(Q$6-$G$3,22))),0)))))</f>
        <v>0</v>
      </c>
      <c r="R9" s="27" t="n">
        <f aca="false">IF(COUNT(Sorgo!$E7:$Z7)=0,0,MAX(0,IF((R$6-$E$3)&lt;1,0,IFERROR(LOOKUP(2,1/(Sorgo!$E7:INDEX(Sorgo!$E7:$Z7,MIN(R$6-$E$3,22))&lt;&gt;""),Sorgo!$E7:INDEX(Sorgo!$E7:$Z7,MIN(R$6-$E$3,22))),0))-IF($G$2,0,IF((R$6-$G$3)&lt;1,0,IFERROR(LOOKUP(2,1/(Sorgo!$E7:INDEX(Sorgo!$E7:$Z7,MIN(R$6-$G$3,22))&lt;&gt;""),Sorgo!$E7:INDEX(Sorgo!$E7:$Z7,MIN(R$6-$G$3,22))),0)))))</f>
        <v>0</v>
      </c>
      <c r="S9" s="27" t="n">
        <f aca="false">IF(COUNT(Sorgo!$E7:$Z7)=0,0,MAX(0,IF((S$6-$E$3)&lt;1,0,IFERROR(LOOKUP(2,1/(Sorgo!$E7:INDEX(Sorgo!$E7:$Z7,MIN(S$6-$E$3,22))&lt;&gt;""),Sorgo!$E7:INDEX(Sorgo!$E7:$Z7,MIN(S$6-$E$3,22))),0))-IF($G$2,0,IF((S$6-$G$3)&lt;1,0,IFERROR(LOOKUP(2,1/(Sorgo!$E7:INDEX(Sorgo!$E7:$Z7,MIN(S$6-$G$3,22))&lt;&gt;""),Sorgo!$E7:INDEX(Sorgo!$E7:$Z7,MIN(S$6-$G$3,22))),0)))))</f>
        <v>0</v>
      </c>
      <c r="T9" s="27" t="n">
        <f aca="false">IF(COUNT(Sorgo!$E7:$Z7)=0,0,MAX(0,IF((T$6-$E$3)&lt;1,0,IFERROR(LOOKUP(2,1/(Sorgo!$E7:INDEX(Sorgo!$E7:$Z7,MIN(T$6-$E$3,22))&lt;&gt;""),Sorgo!$E7:INDEX(Sorgo!$E7:$Z7,MIN(T$6-$E$3,22))),0))-IF($G$2,0,IF((T$6-$G$3)&lt;1,0,IFERROR(LOOKUP(2,1/(Sorgo!$E7:INDEX(Sorgo!$E7:$Z7,MIN(T$6-$G$3,22))&lt;&gt;""),Sorgo!$E7:INDEX(Sorgo!$E7:$Z7,MIN(T$6-$G$3,22))),0)))))</f>
        <v>0</v>
      </c>
      <c r="U9" s="27" t="n">
        <f aca="false">IF(COUNT(Sorgo!$E7:$Z7)=0,0,MAX(0,IF((U$6-$E$3)&lt;1,0,IFERROR(LOOKUP(2,1/(Sorgo!$E7:INDEX(Sorgo!$E7:$Z7,MIN(U$6-$E$3,22))&lt;&gt;""),Sorgo!$E7:INDEX(Sorgo!$E7:$Z7,MIN(U$6-$E$3,22))),0))-IF($G$2,0,IF((U$6-$G$3)&lt;1,0,IFERROR(LOOKUP(2,1/(Sorgo!$E7:INDEX(Sorgo!$E7:$Z7,MIN(U$6-$G$3,22))&lt;&gt;""),Sorgo!$E7:INDEX(Sorgo!$E7:$Z7,MIN(U$6-$G$3,22))),0)))))</f>
        <v>0</v>
      </c>
      <c r="V9" s="27" t="n">
        <f aca="false">IF(COUNT(Sorgo!$E7:$Z7)=0,0,MAX(0,IF((V$6-$E$3)&lt;1,0,IFERROR(LOOKUP(2,1/(Sorgo!$E7:INDEX(Sorgo!$E7:$Z7,MIN(V$6-$E$3,22))&lt;&gt;""),Sorgo!$E7:INDEX(Sorgo!$E7:$Z7,MIN(V$6-$E$3,22))),0))-IF($G$2,0,IF((V$6-$G$3)&lt;1,0,IFERROR(LOOKUP(2,1/(Sorgo!$E7:INDEX(Sorgo!$E7:$Z7,MIN(V$6-$G$3,22))&lt;&gt;""),Sorgo!$E7:INDEX(Sorgo!$E7:$Z7,MIN(V$6-$G$3,22))),0)))))</f>
        <v>0</v>
      </c>
      <c r="W9" s="27" t="n">
        <f aca="false">IF(COUNT(Sorgo!$E7:$Z7)=0,0,MAX(0,IF((W$6-$E$3)&lt;1,0,IFERROR(LOOKUP(2,1/(Sorgo!$E7:INDEX(Sorgo!$E7:$Z7,MIN(W$6-$E$3,22))&lt;&gt;""),Sorgo!$E7:INDEX(Sorgo!$E7:$Z7,MIN(W$6-$E$3,22))),0))-IF($G$2,0,IF((W$6-$G$3)&lt;1,0,IFERROR(LOOKUP(2,1/(Sorgo!$E7:INDEX(Sorgo!$E7:$Z7,MIN(W$6-$G$3,22))&lt;&gt;""),Sorgo!$E7:INDEX(Sorgo!$E7:$Z7,MIN(W$6-$G$3,22))),0)))))</f>
        <v>0</v>
      </c>
      <c r="X9" s="27" t="n">
        <f aca="false">IF(COUNT(Sorgo!$E7:$Z7)=0,0,MAX(0,IF((X$6-$E$3)&lt;1,0,IFERROR(LOOKUP(2,1/(Sorgo!$E7:INDEX(Sorgo!$E7:$Z7,MIN(X$6-$E$3,22))&lt;&gt;""),Sorgo!$E7:INDEX(Sorgo!$E7:$Z7,MIN(X$6-$E$3,22))),0))-IF($G$2,0,IF((X$6-$G$3)&lt;1,0,IFERROR(LOOKUP(2,1/(Sorgo!$E7:INDEX(Sorgo!$E7:$Z7,MIN(X$6-$G$3,22))&lt;&gt;""),Sorgo!$E7:INDEX(Sorgo!$E7:$Z7,MIN(X$6-$G$3,22))),0)))))</f>
        <v>0</v>
      </c>
      <c r="Y9" s="27" t="n">
        <f aca="false">IF(COUNT(Sorgo!$E7:$Z7)=0,0,MAX(0,IF((Y$6-$E$3)&lt;1,0,IFERROR(LOOKUP(2,1/(Sorgo!$E7:INDEX(Sorgo!$E7:$Z7,MIN(Y$6-$E$3,22))&lt;&gt;""),Sorgo!$E7:INDEX(Sorgo!$E7:$Z7,MIN(Y$6-$E$3,22))),0))-IF($G$2,0,IF((Y$6-$G$3)&lt;1,0,IFERROR(LOOKUP(2,1/(Sorgo!$E7:INDEX(Sorgo!$E7:$Z7,MIN(Y$6-$G$3,22))&lt;&gt;""),Sorgo!$E7:INDEX(Sorgo!$E7:$Z7,MIN(Y$6-$G$3,22))),0)))))</f>
        <v>0</v>
      </c>
      <c r="Z9" s="27" t="n">
        <f aca="false">IF(COUNT(Sorgo!$E7:$Z7)=0,0,MAX(0,IF((Z$6-$E$3)&lt;1,0,IFERROR(LOOKUP(2,1/(Sorgo!$E7:INDEX(Sorgo!$E7:$Z7,MIN(Z$6-$E$3,22))&lt;&gt;""),Sorgo!$E7:INDEX(Sorgo!$E7:$Z7,MIN(Z$6-$E$3,22))),0))-IF($G$2,0,IF((Z$6-$G$3)&lt;1,0,IFERROR(LOOKUP(2,1/(Sorgo!$E7:INDEX(Sorgo!$E7:$Z7,MIN(Z$6-$G$3,22))&lt;&gt;""),Sorgo!$E7:INDEX(Sorgo!$E7:$Z7,MIN(Z$6-$G$3,22))),0)))))</f>
        <v>0</v>
      </c>
      <c r="AA9" s="27" t="n">
        <f aca="false">IF(COUNT(Sorgo!$E7:$Z7)=0,0,MAX(0,IF((AA$6-$E$3)&lt;1,0,IFERROR(LOOKUP(2,1/(Sorgo!$E7:INDEX(Sorgo!$E7:$Z7,MIN(AA$6-$E$3,22))&lt;&gt;""),Sorgo!$E7:INDEX(Sorgo!$E7:$Z7,MIN(AA$6-$E$3,22))),0))-IF($G$2,0,IF((AA$6-$G$3)&lt;1,0,IFERROR(LOOKUP(2,1/(Sorgo!$E7:INDEX(Sorgo!$E7:$Z7,MIN(AA$6-$G$3,22))&lt;&gt;""),Sorgo!$E7:INDEX(Sorgo!$E7:$Z7,MIN(AA$6-$G$3,22))),0)))))</f>
        <v>0</v>
      </c>
      <c r="AB9" s="27" t="n">
        <f aca="false">IF(COUNT(Sorgo!$E7:$Z7)=0,0,MAX(0,IF((AB$6-$E$3)&lt;1,0,IFERROR(LOOKUP(2,1/(Sorgo!$E7:INDEX(Sorgo!$E7:$Z7,MIN(AB$6-$E$3,22))&lt;&gt;""),Sorgo!$E7:INDEX(Sorgo!$E7:$Z7,MIN(AB$6-$E$3,22))),0))-IF($G$2,0,IF((AB$6-$G$3)&lt;1,0,IFERROR(LOOKUP(2,1/(Sorgo!$E7:INDEX(Sorgo!$E7:$Z7,MIN(AB$6-$G$3,22))&lt;&gt;""),Sorgo!$E7:INDEX(Sorgo!$E7:$Z7,MIN(AB$6-$G$3,22))),0)))))</f>
        <v>0</v>
      </c>
      <c r="AC9" s="27" t="n">
        <f aca="false">IF(COUNT(Sorgo!$E7:$Z7)=0,0,MAX(0,IF((AC$6-$E$3)&lt;1,0,IFERROR(LOOKUP(2,1/(Sorgo!$E7:INDEX(Sorgo!$E7:$Z7,MIN(AC$6-$E$3,22))&lt;&gt;""),Sorgo!$E7:INDEX(Sorgo!$E7:$Z7,MIN(AC$6-$E$3,22))),0))-IF($G$2,0,IF((AC$6-$G$3)&lt;1,0,IFERROR(LOOKUP(2,1/(Sorgo!$E7:INDEX(Sorgo!$E7:$Z7,MIN(AC$6-$G$3,22))&lt;&gt;""),Sorgo!$E7:INDEX(Sorgo!$E7:$Z7,MIN(AC$6-$G$3,22))),0)))))</f>
        <v>0</v>
      </c>
      <c r="AD9" s="27" t="n">
        <f aca="false">IF(COUNT(Sorgo!$E7:$Z7)=0,0,MAX(0,IF((AD$6-$E$3)&lt;1,0,IFERROR(LOOKUP(2,1/(Sorgo!$E7:INDEX(Sorgo!$E7:$Z7,MIN(AD$6-$E$3,22))&lt;&gt;""),Sorgo!$E7:INDEX(Sorgo!$E7:$Z7,MIN(AD$6-$E$3,22))),0))-IF($G$2,0,IF((AD$6-$G$3)&lt;1,0,IFERROR(LOOKUP(2,1/(Sorgo!$E7:INDEX(Sorgo!$E7:$Z7,MIN(AD$6-$G$3,22))&lt;&gt;""),Sorgo!$E7:INDEX(Sorgo!$E7:$Z7,MIN(AD$6-$G$3,22))),0)))))</f>
        <v>0</v>
      </c>
      <c r="AE9" s="27" t="n">
        <f aca="false">IF(COUNT(Sorgo!$E7:$Z7)=0,0,MAX(0,IF((AE$6-$E$3)&lt;1,0,IFERROR(LOOKUP(2,1/(Sorgo!$E7:INDEX(Sorgo!$E7:$Z7,MIN(AE$6-$E$3,22))&lt;&gt;""),Sorgo!$E7:INDEX(Sorgo!$E7:$Z7,MIN(AE$6-$E$3,22))),0))-IF($G$2,0,IF((AE$6-$G$3)&lt;1,0,IFERROR(LOOKUP(2,1/(Sorgo!$E7:INDEX(Sorgo!$E7:$Z7,MIN(AE$6-$G$3,22))&lt;&gt;""),Sorgo!$E7:INDEX(Sorgo!$E7:$Z7,MIN(AE$6-$G$3,22))),0)))))</f>
        <v>0</v>
      </c>
      <c r="AF9" s="27" t="n">
        <f aca="false">IF(COUNT(Sorgo!$E7:$Z7)=0,0,MAX(0,IF((AF$6-$E$3)&lt;1,0,IFERROR(LOOKUP(2,1/(Sorgo!$E7:INDEX(Sorgo!$E7:$Z7,MIN(AF$6-$E$3,22))&lt;&gt;""),Sorgo!$E7:INDEX(Sorgo!$E7:$Z7,MIN(AF$6-$E$3,22))),0))-IF($G$2,0,IF((AF$6-$G$3)&lt;1,0,IFERROR(LOOKUP(2,1/(Sorgo!$E7:INDEX(Sorgo!$E7:$Z7,MIN(AF$6-$G$3,22))&lt;&gt;""),Sorgo!$E7:INDEX(Sorgo!$E7:$Z7,MIN(AF$6-$G$3,22))),0)))))</f>
        <v>0</v>
      </c>
      <c r="AG9" s="27" t="n">
        <f aca="false">IF(COUNT(Sorgo!$E7:$Z7)=0,0,MAX(0,IF((AG$6-$E$3)&lt;1,0,IFERROR(LOOKUP(2,1/(Sorgo!$E7:INDEX(Sorgo!$E7:$Z7,MIN(AG$6-$E$3,22))&lt;&gt;""),Sorgo!$E7:INDEX(Sorgo!$E7:$Z7,MIN(AG$6-$E$3,22))),0))-IF($G$2,0,IF((AG$6-$G$3)&lt;1,0,IFERROR(LOOKUP(2,1/(Sorgo!$E7:INDEX(Sorgo!$E7:$Z7,MIN(AG$6-$G$3,22))&lt;&gt;""),Sorgo!$E7:INDEX(Sorgo!$E7:$Z7,MIN(AG$6-$G$3,22))),0)))))</f>
        <v>0</v>
      </c>
      <c r="AH9" s="27" t="n">
        <f aca="false">IF(COUNT(Sorgo!$E7:$Z7)=0,0,MAX(0,IF((AH$6-$E$3)&lt;1,0,IFERROR(LOOKUP(2,1/(Sorgo!$E7:INDEX(Sorgo!$E7:$Z7,MIN(AH$6-$E$3,22))&lt;&gt;""),Sorgo!$E7:INDEX(Sorgo!$E7:$Z7,MIN(AH$6-$E$3,22))),0))-IF($G$2,0,IF((AH$6-$G$3)&lt;1,0,IFERROR(LOOKUP(2,1/(Sorgo!$E7:INDEX(Sorgo!$E7:$Z7,MIN(AH$6-$G$3,22))&lt;&gt;""),Sorgo!$E7:INDEX(Sorgo!$E7:$Z7,MIN(AH$6-$G$3,22))),0)))))</f>
        <v>0</v>
      </c>
      <c r="AI9" s="27" t="n">
        <f aca="false">IF(COUNT(Sorgo!$E7:$Z7)=0,0,MAX(0,IF((AI$6-$E$3)&lt;1,0,IFERROR(LOOKUP(2,1/(Sorgo!$E7:INDEX(Sorgo!$E7:$Z7,MIN(AI$6-$E$3,22))&lt;&gt;""),Sorgo!$E7:INDEX(Sorgo!$E7:$Z7,MIN(AI$6-$E$3,22))),0))-IF($G$2,0,IF((AI$6-$G$3)&lt;1,0,IFERROR(LOOKUP(2,1/(Sorgo!$E7:INDEX(Sorgo!$E7:$Z7,MIN(AI$6-$G$3,22))&lt;&gt;""),Sorgo!$E7:INDEX(Sorgo!$E7:$Z7,MIN(AI$6-$G$3,22))),0)))))</f>
        <v>0</v>
      </c>
      <c r="AJ9" s="27" t="n">
        <f aca="false">IF(COUNT(Sorgo!$E7:$Z7)=0,0,MAX(0,IF((AJ$6-$E$3)&lt;1,0,IFERROR(LOOKUP(2,1/(Sorgo!$E7:INDEX(Sorgo!$E7:$Z7,MIN(AJ$6-$E$3,22))&lt;&gt;""),Sorgo!$E7:INDEX(Sorgo!$E7:$Z7,MIN(AJ$6-$E$3,22))),0))-IF($G$2,0,IF((AJ$6-$G$3)&lt;1,0,IFERROR(LOOKUP(2,1/(Sorgo!$E7:INDEX(Sorgo!$E7:$Z7,MIN(AJ$6-$G$3,22))&lt;&gt;""),Sorgo!$E7:INDEX(Sorgo!$E7:$Z7,MIN(AJ$6-$G$3,22))),0)))))</f>
        <v>0</v>
      </c>
      <c r="AK9" s="27" t="n">
        <f aca="false">IF(COUNT(Sorgo!$E7:$Z7)=0,0,MAX(0,IF((AK$6-$E$3)&lt;1,0,IFERROR(LOOKUP(2,1/(Sorgo!$E7:INDEX(Sorgo!$E7:$Z7,MIN(AK$6-$E$3,22))&lt;&gt;""),Sorgo!$E7:INDEX(Sorgo!$E7:$Z7,MIN(AK$6-$E$3,22))),0))-IF($G$2,0,IF((AK$6-$G$3)&lt;1,0,IFERROR(LOOKUP(2,1/(Sorgo!$E7:INDEX(Sorgo!$E7:$Z7,MIN(AK$6-$G$3,22))&lt;&gt;""),Sorgo!$E7:INDEX(Sorgo!$E7:$Z7,MIN(AK$6-$G$3,22))),0)))))</f>
        <v>0</v>
      </c>
      <c r="AL9" s="27" t="n">
        <f aca="false">IF(COUNT(Sorgo!$E7:$Z7)=0,0,MAX(0,IF((AL$6-$E$3)&lt;1,0,IFERROR(LOOKUP(2,1/(Sorgo!$E7:INDEX(Sorgo!$E7:$Z7,MIN(AL$6-$E$3,22))&lt;&gt;""),Sorgo!$E7:INDEX(Sorgo!$E7:$Z7,MIN(AL$6-$E$3,22))),0))-IF($G$2,0,IF((AL$6-$G$3)&lt;1,0,IFERROR(LOOKUP(2,1/(Sorgo!$E7:INDEX(Sorgo!$E7:$Z7,MIN(AL$6-$G$3,22))&lt;&gt;""),Sorgo!$E7:INDEX(Sorgo!$E7:$Z7,MIN(AL$6-$G$3,22))),0)))))</f>
        <v>0</v>
      </c>
      <c r="AM9" s="27" t="n">
        <f aca="false">IF(COUNT(Sorgo!$E7:$Z7)=0,0,MAX(0,IF((AM$6-$E$3)&lt;1,0,IFERROR(LOOKUP(2,1/(Sorgo!$E7:INDEX(Sorgo!$E7:$Z7,MIN(AM$6-$E$3,22))&lt;&gt;""),Sorgo!$E7:INDEX(Sorgo!$E7:$Z7,MIN(AM$6-$E$3,22))),0))-IF($G$2,0,IF((AM$6-$G$3)&lt;1,0,IFERROR(LOOKUP(2,1/(Sorgo!$E7:INDEX(Sorgo!$E7:$Z7,MIN(AM$6-$G$3,22))&lt;&gt;""),Sorgo!$E7:INDEX(Sorgo!$E7:$Z7,MIN(AM$6-$G$3,22))),0)))))</f>
        <v>0</v>
      </c>
      <c r="AN9" s="27" t="n">
        <f aca="false">IF(COUNT(Sorgo!$E7:$Z7)=0,0,MAX(0,IF((AN$6-$E$3)&lt;1,0,IFERROR(LOOKUP(2,1/(Sorgo!$E7:INDEX(Sorgo!$E7:$Z7,MIN(AN$6-$E$3,22))&lt;&gt;""),Sorgo!$E7:INDEX(Sorgo!$E7:$Z7,MIN(AN$6-$E$3,22))),0))-IF($G$2,0,IF((AN$6-$G$3)&lt;1,0,IFERROR(LOOKUP(2,1/(Sorgo!$E7:INDEX(Sorgo!$E7:$Z7,MIN(AN$6-$G$3,22))&lt;&gt;""),Sorgo!$E7:INDEX(Sorgo!$E7:$Z7,MIN(AN$6-$G$3,22))),0)))))</f>
        <v>0</v>
      </c>
      <c r="AO9" s="27" t="n">
        <f aca="false">IF(COUNT(Sorgo!$E7:$Z7)=0,0,MAX(0,IF((AO$6-$E$3)&lt;1,0,IFERROR(LOOKUP(2,1/(Sorgo!$E7:INDEX(Sorgo!$E7:$Z7,MIN(AO$6-$E$3,22))&lt;&gt;""),Sorgo!$E7:INDEX(Sorgo!$E7:$Z7,MIN(AO$6-$E$3,22))),0))-IF($G$2,0,IF((AO$6-$G$3)&lt;1,0,IFERROR(LOOKUP(2,1/(Sorgo!$E7:INDEX(Sorgo!$E7:$Z7,MIN(AO$6-$G$3,22))&lt;&gt;""),Sorgo!$E7:INDEX(Sorgo!$E7:$Z7,MIN(AO$6-$G$3,22))),0)))))</f>
        <v>0</v>
      </c>
      <c r="AP9" s="27" t="n">
        <f aca="false">IF(COUNT(Sorgo!$E7:$Z7)=0,0,MAX(0,IF((AP$6-$E$3)&lt;1,0,IFERROR(LOOKUP(2,1/(Sorgo!$E7:INDEX(Sorgo!$E7:$Z7,MIN(AP$6-$E$3,22))&lt;&gt;""),Sorgo!$E7:INDEX(Sorgo!$E7:$Z7,MIN(AP$6-$E$3,22))),0))-IF($G$2,0,IF((AP$6-$G$3)&lt;1,0,IFERROR(LOOKUP(2,1/(Sorgo!$E7:INDEX(Sorgo!$E7:$Z7,MIN(AP$6-$G$3,22))&lt;&gt;""),Sorgo!$E7:INDEX(Sorgo!$E7:$Z7,MIN(AP$6-$G$3,22))),0)))))</f>
        <v>0</v>
      </c>
      <c r="AQ9" s="27" t="n">
        <f aca="false">IF(COUNT(Sorgo!$E7:$Z7)=0,0,MAX(0,IF((AQ$6-$E$3)&lt;1,0,IFERROR(LOOKUP(2,1/(Sorgo!$E7:INDEX(Sorgo!$E7:$Z7,MIN(AQ$6-$E$3,22))&lt;&gt;""),Sorgo!$E7:INDEX(Sorgo!$E7:$Z7,MIN(AQ$6-$E$3,22))),0))-IF($G$2,0,IF((AQ$6-$G$3)&lt;1,0,IFERROR(LOOKUP(2,1/(Sorgo!$E7:INDEX(Sorgo!$E7:$Z7,MIN(AQ$6-$G$3,22))&lt;&gt;""),Sorgo!$E7:INDEX(Sorgo!$E7:$Z7,MIN(AQ$6-$G$3,22))),0)))))</f>
        <v>0</v>
      </c>
      <c r="AR9" s="27" t="n">
        <f aca="false">IF(COUNT(Sorgo!$E7:$Z7)=0,0,MAX(0,IF((AR$6-$E$3)&lt;1,0,IFERROR(LOOKUP(2,1/(Sorgo!$E7:INDEX(Sorgo!$E7:$Z7,MIN(AR$6-$E$3,22))&lt;&gt;""),Sorgo!$E7:INDEX(Sorgo!$E7:$Z7,MIN(AR$6-$E$3,22))),0))-IF($G$2,0,IF((AR$6-$G$3)&lt;1,0,IFERROR(LOOKUP(2,1/(Sorgo!$E7:INDEX(Sorgo!$E7:$Z7,MIN(AR$6-$G$3,22))&lt;&gt;""),Sorgo!$E7:INDEX(Sorgo!$E7:$Z7,MIN(AR$6-$G$3,22))),0)))))</f>
        <v>0</v>
      </c>
      <c r="AS9" s="27" t="n">
        <f aca="false">IF(COUNT(Sorgo!$E7:$Z7)=0,0,MAX(0,IF((AS$6-$E$3)&lt;1,0,IFERROR(LOOKUP(2,1/(Sorgo!$E7:INDEX(Sorgo!$E7:$Z7,MIN(AS$6-$E$3,22))&lt;&gt;""),Sorgo!$E7:INDEX(Sorgo!$E7:$Z7,MIN(AS$6-$E$3,22))),0))-IF($G$2,0,IF((AS$6-$G$3)&lt;1,0,IFERROR(LOOKUP(2,1/(Sorgo!$E7:INDEX(Sorgo!$E7:$Z7,MIN(AS$6-$G$3,22))&lt;&gt;""),Sorgo!$E7:INDEX(Sorgo!$E7:$Z7,MIN(AS$6-$G$3,22))),0)))))</f>
        <v>0</v>
      </c>
      <c r="AT9" s="27" t="n">
        <f aca="false">IF(COUNT(Sorgo!$E7:$Z7)=0,0,MAX(0,IF((AT$6-$E$3)&lt;1,0,IFERROR(LOOKUP(2,1/(Sorgo!$E7:INDEX(Sorgo!$E7:$Z7,MIN(AT$6-$E$3,22))&lt;&gt;""),Sorgo!$E7:INDEX(Sorgo!$E7:$Z7,MIN(AT$6-$E$3,22))),0))-IF($G$2,0,IF((AT$6-$G$3)&lt;1,0,IFERROR(LOOKUP(2,1/(Sorgo!$E7:INDEX(Sorgo!$E7:$Z7,MIN(AT$6-$G$3,22))&lt;&gt;""),Sorgo!$E7:INDEX(Sorgo!$E7:$Z7,MIN(AT$6-$G$3,22))),0)))))</f>
        <v>0</v>
      </c>
      <c r="AU9" s="27" t="n">
        <f aca="false">IF(COUNT(Sorgo!$E7:$Z7)=0,0,MAX(0,IF((AU$6-$E$3)&lt;1,0,IFERROR(LOOKUP(2,1/(Sorgo!$E7:INDEX(Sorgo!$E7:$Z7,MIN(AU$6-$E$3,22))&lt;&gt;""),Sorgo!$E7:INDEX(Sorgo!$E7:$Z7,MIN(AU$6-$E$3,22))),0))-IF($G$2,0,IF((AU$6-$G$3)&lt;1,0,IFERROR(LOOKUP(2,1/(Sorgo!$E7:INDEX(Sorgo!$E7:$Z7,MIN(AU$6-$G$3,22))&lt;&gt;""),Sorgo!$E7:INDEX(Sorgo!$E7:$Z7,MIN(AU$6-$G$3,22))),0)))))</f>
        <v>0</v>
      </c>
      <c r="AV9" s="27" t="n">
        <f aca="false">IF(COUNT(Sorgo!$E7:$Z7)=0,0,MAX(0,IF((AV$6-$E$3)&lt;1,0,IFERROR(LOOKUP(2,1/(Sorgo!$E7:INDEX(Sorgo!$E7:$Z7,MIN(AV$6-$E$3,22))&lt;&gt;""),Sorgo!$E7:INDEX(Sorgo!$E7:$Z7,MIN(AV$6-$E$3,22))),0))-IF($G$2,0,IF((AV$6-$G$3)&lt;1,0,IFERROR(LOOKUP(2,1/(Sorgo!$E7:INDEX(Sorgo!$E7:$Z7,MIN(AV$6-$G$3,22))&lt;&gt;""),Sorgo!$E7:INDEX(Sorgo!$E7:$Z7,MIN(AV$6-$G$3,22))),0)))))</f>
        <v>0</v>
      </c>
      <c r="AW9" s="27" t="n">
        <f aca="false">IF(COUNT(Sorgo!$E7:$Z7)=0,0,MAX(0,IF((AW$6-$E$3)&lt;1,0,IFERROR(LOOKUP(2,1/(Sorgo!$E7:INDEX(Sorgo!$E7:$Z7,MIN(AW$6-$E$3,22))&lt;&gt;""),Sorgo!$E7:INDEX(Sorgo!$E7:$Z7,MIN(AW$6-$E$3,22))),0))-IF($G$2,0,IF((AW$6-$G$3)&lt;1,0,IFERROR(LOOKUP(2,1/(Sorgo!$E7:INDEX(Sorgo!$E7:$Z7,MIN(AW$6-$G$3,22))&lt;&gt;""),Sorgo!$E7:INDEX(Sorgo!$E7:$Z7,MIN(AW$6-$G$3,22))),0)))))</f>
        <v>0</v>
      </c>
      <c r="AX9" s="27" t="n">
        <f aca="false">IF(COUNT(Sorgo!$E7:$Z7)=0,0,MAX(0,IF((AX$6-$E$3)&lt;1,0,IFERROR(LOOKUP(2,1/(Sorgo!$E7:INDEX(Sorgo!$E7:$Z7,MIN(AX$6-$E$3,22))&lt;&gt;""),Sorgo!$E7:INDEX(Sorgo!$E7:$Z7,MIN(AX$6-$E$3,22))),0))-IF($G$2,0,IF((AX$6-$G$3)&lt;1,0,IFERROR(LOOKUP(2,1/(Sorgo!$E7:INDEX(Sorgo!$E7:$Z7,MIN(AX$6-$G$3,22))&lt;&gt;""),Sorgo!$E7:INDEX(Sorgo!$E7:$Z7,MIN(AX$6-$G$3,22))),0)))))</f>
        <v>0</v>
      </c>
      <c r="AY9" s="27" t="n">
        <f aca="false">IF(COUNT(Sorgo!$E7:$Z7)=0,0,MAX(0,IF((AY$6-$E$3)&lt;1,0,IFERROR(LOOKUP(2,1/(Sorgo!$E7:INDEX(Sorgo!$E7:$Z7,MIN(AY$6-$E$3,22))&lt;&gt;""),Sorgo!$E7:INDEX(Sorgo!$E7:$Z7,MIN(AY$6-$E$3,22))),0))-IF($G$2,0,IF((AY$6-$G$3)&lt;1,0,IFERROR(LOOKUP(2,1/(Sorgo!$E7:INDEX(Sorgo!$E7:$Z7,MIN(AY$6-$G$3,22))&lt;&gt;""),Sorgo!$E7:INDEX(Sorgo!$E7:$Z7,MIN(AY$6-$G$3,22))),0)))))</f>
        <v>0</v>
      </c>
      <c r="AZ9" s="27" t="n">
        <f aca="false">IF(COUNT(Sorgo!$E7:$Z7)=0,0,MAX(0,IF((AZ$6-$E$3)&lt;1,0,IFERROR(LOOKUP(2,1/(Sorgo!$E7:INDEX(Sorgo!$E7:$Z7,MIN(AZ$6-$E$3,22))&lt;&gt;""),Sorgo!$E7:INDEX(Sorgo!$E7:$Z7,MIN(AZ$6-$E$3,22))),0))-IF($G$2,0,IF((AZ$6-$G$3)&lt;1,0,IFERROR(LOOKUP(2,1/(Sorgo!$E7:INDEX(Sorgo!$E7:$Z7,MIN(AZ$6-$G$3,22))&lt;&gt;""),Sorgo!$E7:INDEX(Sorgo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IF(COUNT(Sorgo!$E8:$Z8)&gt;0,N(Sorgo!$D8),0)</f>
        <v>0</v>
      </c>
      <c r="E10" s="27" t="n">
        <f aca="false">IF(COUNT(Sorgo!$E8:$Z8)=0,0,MAX(0,IF((E$6-$E$3)&lt;1,0,IFERROR(LOOKUP(2,1/(Sorgo!$E8:INDEX(Sorgo!$E8:$Z8,MIN(E$6-$E$3,22))&lt;&gt;""),Sorgo!$E8:INDEX(Sorgo!$E8:$Z8,MIN(E$6-$E$3,22))),0))-IF($G$2,0,IF((E$6-$G$3)&lt;1,0,IFERROR(LOOKUP(2,1/(Sorgo!$E8:INDEX(Sorgo!$E8:$Z8,MIN(E$6-$G$3,22))&lt;&gt;""),Sorgo!$E8:INDEX(Sorgo!$E8:$Z8,MIN(E$6-$G$3,22))),0)))))</f>
        <v>0</v>
      </c>
      <c r="F10" s="27" t="n">
        <f aca="false">IF(COUNT(Sorgo!$E8:$Z8)=0,0,MAX(0,IF((F$6-$E$3)&lt;1,0,IFERROR(LOOKUP(2,1/(Sorgo!$E8:INDEX(Sorgo!$E8:$Z8,MIN(F$6-$E$3,22))&lt;&gt;""),Sorgo!$E8:INDEX(Sorgo!$E8:$Z8,MIN(F$6-$E$3,22))),0))-IF($G$2,0,IF((F$6-$G$3)&lt;1,0,IFERROR(LOOKUP(2,1/(Sorgo!$E8:INDEX(Sorgo!$E8:$Z8,MIN(F$6-$G$3,22))&lt;&gt;""),Sorgo!$E8:INDEX(Sorgo!$E8:$Z8,MIN(F$6-$G$3,22))),0)))))</f>
        <v>0</v>
      </c>
      <c r="G10" s="27" t="n">
        <f aca="false">IF(COUNT(Sorgo!$E8:$Z8)=0,0,MAX(0,IF((G$6-$E$3)&lt;1,0,IFERROR(LOOKUP(2,1/(Sorgo!$E8:INDEX(Sorgo!$E8:$Z8,MIN(G$6-$E$3,22))&lt;&gt;""),Sorgo!$E8:INDEX(Sorgo!$E8:$Z8,MIN(G$6-$E$3,22))),0))-IF($G$2,0,IF((G$6-$G$3)&lt;1,0,IFERROR(LOOKUP(2,1/(Sorgo!$E8:INDEX(Sorgo!$E8:$Z8,MIN(G$6-$G$3,22))&lt;&gt;""),Sorgo!$E8:INDEX(Sorgo!$E8:$Z8,MIN(G$6-$G$3,22))),0)))))</f>
        <v>0</v>
      </c>
      <c r="H10" s="27" t="n">
        <f aca="false">IF(COUNT(Sorgo!$E8:$Z8)=0,0,MAX(0,IF((H$6-$E$3)&lt;1,0,IFERROR(LOOKUP(2,1/(Sorgo!$E8:INDEX(Sorgo!$E8:$Z8,MIN(H$6-$E$3,22))&lt;&gt;""),Sorgo!$E8:INDEX(Sorgo!$E8:$Z8,MIN(H$6-$E$3,22))),0))-IF($G$2,0,IF((H$6-$G$3)&lt;1,0,IFERROR(LOOKUP(2,1/(Sorgo!$E8:INDEX(Sorgo!$E8:$Z8,MIN(H$6-$G$3,22))&lt;&gt;""),Sorgo!$E8:INDEX(Sorgo!$E8:$Z8,MIN(H$6-$G$3,22))),0)))))</f>
        <v>0</v>
      </c>
      <c r="I10" s="27" t="n">
        <f aca="false">IF(COUNT(Sorgo!$E8:$Z8)=0,0,MAX(0,IF((I$6-$E$3)&lt;1,0,IFERROR(LOOKUP(2,1/(Sorgo!$E8:INDEX(Sorgo!$E8:$Z8,MIN(I$6-$E$3,22))&lt;&gt;""),Sorgo!$E8:INDEX(Sorgo!$E8:$Z8,MIN(I$6-$E$3,22))),0))-IF($G$2,0,IF((I$6-$G$3)&lt;1,0,IFERROR(LOOKUP(2,1/(Sorgo!$E8:INDEX(Sorgo!$E8:$Z8,MIN(I$6-$G$3,22))&lt;&gt;""),Sorgo!$E8:INDEX(Sorgo!$E8:$Z8,MIN(I$6-$G$3,22))),0)))))</f>
        <v>0</v>
      </c>
      <c r="J10" s="27" t="n">
        <f aca="false">IF(COUNT(Sorgo!$E8:$Z8)=0,0,MAX(0,IF((J$6-$E$3)&lt;1,0,IFERROR(LOOKUP(2,1/(Sorgo!$E8:INDEX(Sorgo!$E8:$Z8,MIN(J$6-$E$3,22))&lt;&gt;""),Sorgo!$E8:INDEX(Sorgo!$E8:$Z8,MIN(J$6-$E$3,22))),0))-IF($G$2,0,IF((J$6-$G$3)&lt;1,0,IFERROR(LOOKUP(2,1/(Sorgo!$E8:INDEX(Sorgo!$E8:$Z8,MIN(J$6-$G$3,22))&lt;&gt;""),Sorgo!$E8:INDEX(Sorgo!$E8:$Z8,MIN(J$6-$G$3,22))),0)))))</f>
        <v>0</v>
      </c>
      <c r="K10" s="27" t="n">
        <f aca="false">IF(COUNT(Sorgo!$E8:$Z8)=0,0,MAX(0,IF((K$6-$E$3)&lt;1,0,IFERROR(LOOKUP(2,1/(Sorgo!$E8:INDEX(Sorgo!$E8:$Z8,MIN(K$6-$E$3,22))&lt;&gt;""),Sorgo!$E8:INDEX(Sorgo!$E8:$Z8,MIN(K$6-$E$3,22))),0))-IF($G$2,0,IF((K$6-$G$3)&lt;1,0,IFERROR(LOOKUP(2,1/(Sorgo!$E8:INDEX(Sorgo!$E8:$Z8,MIN(K$6-$G$3,22))&lt;&gt;""),Sorgo!$E8:INDEX(Sorgo!$E8:$Z8,MIN(K$6-$G$3,22))),0)))))</f>
        <v>0</v>
      </c>
      <c r="L10" s="27" t="n">
        <f aca="false">IF(COUNT(Sorgo!$E8:$Z8)=0,0,MAX(0,IF((L$6-$E$3)&lt;1,0,IFERROR(LOOKUP(2,1/(Sorgo!$E8:INDEX(Sorgo!$E8:$Z8,MIN(L$6-$E$3,22))&lt;&gt;""),Sorgo!$E8:INDEX(Sorgo!$E8:$Z8,MIN(L$6-$E$3,22))),0))-IF($G$2,0,IF((L$6-$G$3)&lt;1,0,IFERROR(LOOKUP(2,1/(Sorgo!$E8:INDEX(Sorgo!$E8:$Z8,MIN(L$6-$G$3,22))&lt;&gt;""),Sorgo!$E8:INDEX(Sorgo!$E8:$Z8,MIN(L$6-$G$3,22))),0)))))</f>
        <v>0</v>
      </c>
      <c r="M10" s="27" t="n">
        <f aca="false">IF(COUNT(Sorgo!$E8:$Z8)=0,0,MAX(0,IF((M$6-$E$3)&lt;1,0,IFERROR(LOOKUP(2,1/(Sorgo!$E8:INDEX(Sorgo!$E8:$Z8,MIN(M$6-$E$3,22))&lt;&gt;""),Sorgo!$E8:INDEX(Sorgo!$E8:$Z8,MIN(M$6-$E$3,22))),0))-IF($G$2,0,IF((M$6-$G$3)&lt;1,0,IFERROR(LOOKUP(2,1/(Sorgo!$E8:INDEX(Sorgo!$E8:$Z8,MIN(M$6-$G$3,22))&lt;&gt;""),Sorgo!$E8:INDEX(Sorgo!$E8:$Z8,MIN(M$6-$G$3,22))),0)))))</f>
        <v>0</v>
      </c>
      <c r="N10" s="27" t="n">
        <f aca="false">IF(COUNT(Sorgo!$E8:$Z8)=0,0,MAX(0,IF((N$6-$E$3)&lt;1,0,IFERROR(LOOKUP(2,1/(Sorgo!$E8:INDEX(Sorgo!$E8:$Z8,MIN(N$6-$E$3,22))&lt;&gt;""),Sorgo!$E8:INDEX(Sorgo!$E8:$Z8,MIN(N$6-$E$3,22))),0))-IF($G$2,0,IF((N$6-$G$3)&lt;1,0,IFERROR(LOOKUP(2,1/(Sorgo!$E8:INDEX(Sorgo!$E8:$Z8,MIN(N$6-$G$3,22))&lt;&gt;""),Sorgo!$E8:INDEX(Sorgo!$E8:$Z8,MIN(N$6-$G$3,22))),0)))))</f>
        <v>0</v>
      </c>
      <c r="O10" s="27" t="n">
        <f aca="false">IF(COUNT(Sorgo!$E8:$Z8)=0,0,MAX(0,IF((O$6-$E$3)&lt;1,0,IFERROR(LOOKUP(2,1/(Sorgo!$E8:INDEX(Sorgo!$E8:$Z8,MIN(O$6-$E$3,22))&lt;&gt;""),Sorgo!$E8:INDEX(Sorgo!$E8:$Z8,MIN(O$6-$E$3,22))),0))-IF($G$2,0,IF((O$6-$G$3)&lt;1,0,IFERROR(LOOKUP(2,1/(Sorgo!$E8:INDEX(Sorgo!$E8:$Z8,MIN(O$6-$G$3,22))&lt;&gt;""),Sorgo!$E8:INDEX(Sorgo!$E8:$Z8,MIN(O$6-$G$3,22))),0)))))</f>
        <v>0</v>
      </c>
      <c r="P10" s="27" t="n">
        <f aca="false">IF(COUNT(Sorgo!$E8:$Z8)=0,0,MAX(0,IF((P$6-$E$3)&lt;1,0,IFERROR(LOOKUP(2,1/(Sorgo!$E8:INDEX(Sorgo!$E8:$Z8,MIN(P$6-$E$3,22))&lt;&gt;""),Sorgo!$E8:INDEX(Sorgo!$E8:$Z8,MIN(P$6-$E$3,22))),0))-IF($G$2,0,IF((P$6-$G$3)&lt;1,0,IFERROR(LOOKUP(2,1/(Sorgo!$E8:INDEX(Sorgo!$E8:$Z8,MIN(P$6-$G$3,22))&lt;&gt;""),Sorgo!$E8:INDEX(Sorgo!$E8:$Z8,MIN(P$6-$G$3,22))),0)))))</f>
        <v>0</v>
      </c>
      <c r="Q10" s="27" t="n">
        <f aca="false">IF(COUNT(Sorgo!$E8:$Z8)=0,0,MAX(0,IF((Q$6-$E$3)&lt;1,0,IFERROR(LOOKUP(2,1/(Sorgo!$E8:INDEX(Sorgo!$E8:$Z8,MIN(Q$6-$E$3,22))&lt;&gt;""),Sorgo!$E8:INDEX(Sorgo!$E8:$Z8,MIN(Q$6-$E$3,22))),0))-IF($G$2,0,IF((Q$6-$G$3)&lt;1,0,IFERROR(LOOKUP(2,1/(Sorgo!$E8:INDEX(Sorgo!$E8:$Z8,MIN(Q$6-$G$3,22))&lt;&gt;""),Sorgo!$E8:INDEX(Sorgo!$E8:$Z8,MIN(Q$6-$G$3,22))),0)))))</f>
        <v>0</v>
      </c>
      <c r="R10" s="27" t="n">
        <f aca="false">IF(COUNT(Sorgo!$E8:$Z8)=0,0,MAX(0,IF((R$6-$E$3)&lt;1,0,IFERROR(LOOKUP(2,1/(Sorgo!$E8:INDEX(Sorgo!$E8:$Z8,MIN(R$6-$E$3,22))&lt;&gt;""),Sorgo!$E8:INDEX(Sorgo!$E8:$Z8,MIN(R$6-$E$3,22))),0))-IF($G$2,0,IF((R$6-$G$3)&lt;1,0,IFERROR(LOOKUP(2,1/(Sorgo!$E8:INDEX(Sorgo!$E8:$Z8,MIN(R$6-$G$3,22))&lt;&gt;""),Sorgo!$E8:INDEX(Sorgo!$E8:$Z8,MIN(R$6-$G$3,22))),0)))))</f>
        <v>0</v>
      </c>
      <c r="S10" s="27" t="n">
        <f aca="false">IF(COUNT(Sorgo!$E8:$Z8)=0,0,MAX(0,IF((S$6-$E$3)&lt;1,0,IFERROR(LOOKUP(2,1/(Sorgo!$E8:INDEX(Sorgo!$E8:$Z8,MIN(S$6-$E$3,22))&lt;&gt;""),Sorgo!$E8:INDEX(Sorgo!$E8:$Z8,MIN(S$6-$E$3,22))),0))-IF($G$2,0,IF((S$6-$G$3)&lt;1,0,IFERROR(LOOKUP(2,1/(Sorgo!$E8:INDEX(Sorgo!$E8:$Z8,MIN(S$6-$G$3,22))&lt;&gt;""),Sorgo!$E8:INDEX(Sorgo!$E8:$Z8,MIN(S$6-$G$3,22))),0)))))</f>
        <v>0</v>
      </c>
      <c r="T10" s="27" t="n">
        <f aca="false">IF(COUNT(Sorgo!$E8:$Z8)=0,0,MAX(0,IF((T$6-$E$3)&lt;1,0,IFERROR(LOOKUP(2,1/(Sorgo!$E8:INDEX(Sorgo!$E8:$Z8,MIN(T$6-$E$3,22))&lt;&gt;""),Sorgo!$E8:INDEX(Sorgo!$E8:$Z8,MIN(T$6-$E$3,22))),0))-IF($G$2,0,IF((T$6-$G$3)&lt;1,0,IFERROR(LOOKUP(2,1/(Sorgo!$E8:INDEX(Sorgo!$E8:$Z8,MIN(T$6-$G$3,22))&lt;&gt;""),Sorgo!$E8:INDEX(Sorgo!$E8:$Z8,MIN(T$6-$G$3,22))),0)))))</f>
        <v>0</v>
      </c>
      <c r="U10" s="27" t="n">
        <f aca="false">IF(COUNT(Sorgo!$E8:$Z8)=0,0,MAX(0,IF((U$6-$E$3)&lt;1,0,IFERROR(LOOKUP(2,1/(Sorgo!$E8:INDEX(Sorgo!$E8:$Z8,MIN(U$6-$E$3,22))&lt;&gt;""),Sorgo!$E8:INDEX(Sorgo!$E8:$Z8,MIN(U$6-$E$3,22))),0))-IF($G$2,0,IF((U$6-$G$3)&lt;1,0,IFERROR(LOOKUP(2,1/(Sorgo!$E8:INDEX(Sorgo!$E8:$Z8,MIN(U$6-$G$3,22))&lt;&gt;""),Sorgo!$E8:INDEX(Sorgo!$E8:$Z8,MIN(U$6-$G$3,22))),0)))))</f>
        <v>0</v>
      </c>
      <c r="V10" s="27" t="n">
        <f aca="false">IF(COUNT(Sorgo!$E8:$Z8)=0,0,MAX(0,IF((V$6-$E$3)&lt;1,0,IFERROR(LOOKUP(2,1/(Sorgo!$E8:INDEX(Sorgo!$E8:$Z8,MIN(V$6-$E$3,22))&lt;&gt;""),Sorgo!$E8:INDEX(Sorgo!$E8:$Z8,MIN(V$6-$E$3,22))),0))-IF($G$2,0,IF((V$6-$G$3)&lt;1,0,IFERROR(LOOKUP(2,1/(Sorgo!$E8:INDEX(Sorgo!$E8:$Z8,MIN(V$6-$G$3,22))&lt;&gt;""),Sorgo!$E8:INDEX(Sorgo!$E8:$Z8,MIN(V$6-$G$3,22))),0)))))</f>
        <v>0</v>
      </c>
      <c r="W10" s="27" t="n">
        <f aca="false">IF(COUNT(Sorgo!$E8:$Z8)=0,0,MAX(0,IF((W$6-$E$3)&lt;1,0,IFERROR(LOOKUP(2,1/(Sorgo!$E8:INDEX(Sorgo!$E8:$Z8,MIN(W$6-$E$3,22))&lt;&gt;""),Sorgo!$E8:INDEX(Sorgo!$E8:$Z8,MIN(W$6-$E$3,22))),0))-IF($G$2,0,IF((W$6-$G$3)&lt;1,0,IFERROR(LOOKUP(2,1/(Sorgo!$E8:INDEX(Sorgo!$E8:$Z8,MIN(W$6-$G$3,22))&lt;&gt;""),Sorgo!$E8:INDEX(Sorgo!$E8:$Z8,MIN(W$6-$G$3,22))),0)))))</f>
        <v>0</v>
      </c>
      <c r="X10" s="27" t="n">
        <f aca="false">IF(COUNT(Sorgo!$E8:$Z8)=0,0,MAX(0,IF((X$6-$E$3)&lt;1,0,IFERROR(LOOKUP(2,1/(Sorgo!$E8:INDEX(Sorgo!$E8:$Z8,MIN(X$6-$E$3,22))&lt;&gt;""),Sorgo!$E8:INDEX(Sorgo!$E8:$Z8,MIN(X$6-$E$3,22))),0))-IF($G$2,0,IF((X$6-$G$3)&lt;1,0,IFERROR(LOOKUP(2,1/(Sorgo!$E8:INDEX(Sorgo!$E8:$Z8,MIN(X$6-$G$3,22))&lt;&gt;""),Sorgo!$E8:INDEX(Sorgo!$E8:$Z8,MIN(X$6-$G$3,22))),0)))))</f>
        <v>0</v>
      </c>
      <c r="Y10" s="27" t="n">
        <f aca="false">IF(COUNT(Sorgo!$E8:$Z8)=0,0,MAX(0,IF((Y$6-$E$3)&lt;1,0,IFERROR(LOOKUP(2,1/(Sorgo!$E8:INDEX(Sorgo!$E8:$Z8,MIN(Y$6-$E$3,22))&lt;&gt;""),Sorgo!$E8:INDEX(Sorgo!$E8:$Z8,MIN(Y$6-$E$3,22))),0))-IF($G$2,0,IF((Y$6-$G$3)&lt;1,0,IFERROR(LOOKUP(2,1/(Sorgo!$E8:INDEX(Sorgo!$E8:$Z8,MIN(Y$6-$G$3,22))&lt;&gt;""),Sorgo!$E8:INDEX(Sorgo!$E8:$Z8,MIN(Y$6-$G$3,22))),0)))))</f>
        <v>0</v>
      </c>
      <c r="Z10" s="27" t="n">
        <f aca="false">IF(COUNT(Sorgo!$E8:$Z8)=0,0,MAX(0,IF((Z$6-$E$3)&lt;1,0,IFERROR(LOOKUP(2,1/(Sorgo!$E8:INDEX(Sorgo!$E8:$Z8,MIN(Z$6-$E$3,22))&lt;&gt;""),Sorgo!$E8:INDEX(Sorgo!$E8:$Z8,MIN(Z$6-$E$3,22))),0))-IF($G$2,0,IF((Z$6-$G$3)&lt;1,0,IFERROR(LOOKUP(2,1/(Sorgo!$E8:INDEX(Sorgo!$E8:$Z8,MIN(Z$6-$G$3,22))&lt;&gt;""),Sorgo!$E8:INDEX(Sorgo!$E8:$Z8,MIN(Z$6-$G$3,22))),0)))))</f>
        <v>0</v>
      </c>
      <c r="AA10" s="27" t="n">
        <f aca="false">IF(COUNT(Sorgo!$E8:$Z8)=0,0,MAX(0,IF((AA$6-$E$3)&lt;1,0,IFERROR(LOOKUP(2,1/(Sorgo!$E8:INDEX(Sorgo!$E8:$Z8,MIN(AA$6-$E$3,22))&lt;&gt;""),Sorgo!$E8:INDEX(Sorgo!$E8:$Z8,MIN(AA$6-$E$3,22))),0))-IF($G$2,0,IF((AA$6-$G$3)&lt;1,0,IFERROR(LOOKUP(2,1/(Sorgo!$E8:INDEX(Sorgo!$E8:$Z8,MIN(AA$6-$G$3,22))&lt;&gt;""),Sorgo!$E8:INDEX(Sorgo!$E8:$Z8,MIN(AA$6-$G$3,22))),0)))))</f>
        <v>0</v>
      </c>
      <c r="AB10" s="27" t="n">
        <f aca="false">IF(COUNT(Sorgo!$E8:$Z8)=0,0,MAX(0,IF((AB$6-$E$3)&lt;1,0,IFERROR(LOOKUP(2,1/(Sorgo!$E8:INDEX(Sorgo!$E8:$Z8,MIN(AB$6-$E$3,22))&lt;&gt;""),Sorgo!$E8:INDEX(Sorgo!$E8:$Z8,MIN(AB$6-$E$3,22))),0))-IF($G$2,0,IF((AB$6-$G$3)&lt;1,0,IFERROR(LOOKUP(2,1/(Sorgo!$E8:INDEX(Sorgo!$E8:$Z8,MIN(AB$6-$G$3,22))&lt;&gt;""),Sorgo!$E8:INDEX(Sorgo!$E8:$Z8,MIN(AB$6-$G$3,22))),0)))))</f>
        <v>0</v>
      </c>
      <c r="AC10" s="27" t="n">
        <f aca="false">IF(COUNT(Sorgo!$E8:$Z8)=0,0,MAX(0,IF((AC$6-$E$3)&lt;1,0,IFERROR(LOOKUP(2,1/(Sorgo!$E8:INDEX(Sorgo!$E8:$Z8,MIN(AC$6-$E$3,22))&lt;&gt;""),Sorgo!$E8:INDEX(Sorgo!$E8:$Z8,MIN(AC$6-$E$3,22))),0))-IF($G$2,0,IF((AC$6-$G$3)&lt;1,0,IFERROR(LOOKUP(2,1/(Sorgo!$E8:INDEX(Sorgo!$E8:$Z8,MIN(AC$6-$G$3,22))&lt;&gt;""),Sorgo!$E8:INDEX(Sorgo!$E8:$Z8,MIN(AC$6-$G$3,22))),0)))))</f>
        <v>0</v>
      </c>
      <c r="AD10" s="27" t="n">
        <f aca="false">IF(COUNT(Sorgo!$E8:$Z8)=0,0,MAX(0,IF((AD$6-$E$3)&lt;1,0,IFERROR(LOOKUP(2,1/(Sorgo!$E8:INDEX(Sorgo!$E8:$Z8,MIN(AD$6-$E$3,22))&lt;&gt;""),Sorgo!$E8:INDEX(Sorgo!$E8:$Z8,MIN(AD$6-$E$3,22))),0))-IF($G$2,0,IF((AD$6-$G$3)&lt;1,0,IFERROR(LOOKUP(2,1/(Sorgo!$E8:INDEX(Sorgo!$E8:$Z8,MIN(AD$6-$G$3,22))&lt;&gt;""),Sorgo!$E8:INDEX(Sorgo!$E8:$Z8,MIN(AD$6-$G$3,22))),0)))))</f>
        <v>0</v>
      </c>
      <c r="AE10" s="27" t="n">
        <f aca="false">IF(COUNT(Sorgo!$E8:$Z8)=0,0,MAX(0,IF((AE$6-$E$3)&lt;1,0,IFERROR(LOOKUP(2,1/(Sorgo!$E8:INDEX(Sorgo!$E8:$Z8,MIN(AE$6-$E$3,22))&lt;&gt;""),Sorgo!$E8:INDEX(Sorgo!$E8:$Z8,MIN(AE$6-$E$3,22))),0))-IF($G$2,0,IF((AE$6-$G$3)&lt;1,0,IFERROR(LOOKUP(2,1/(Sorgo!$E8:INDEX(Sorgo!$E8:$Z8,MIN(AE$6-$G$3,22))&lt;&gt;""),Sorgo!$E8:INDEX(Sorgo!$E8:$Z8,MIN(AE$6-$G$3,22))),0)))))</f>
        <v>0</v>
      </c>
      <c r="AF10" s="27" t="n">
        <f aca="false">IF(COUNT(Sorgo!$E8:$Z8)=0,0,MAX(0,IF((AF$6-$E$3)&lt;1,0,IFERROR(LOOKUP(2,1/(Sorgo!$E8:INDEX(Sorgo!$E8:$Z8,MIN(AF$6-$E$3,22))&lt;&gt;""),Sorgo!$E8:INDEX(Sorgo!$E8:$Z8,MIN(AF$6-$E$3,22))),0))-IF($G$2,0,IF((AF$6-$G$3)&lt;1,0,IFERROR(LOOKUP(2,1/(Sorgo!$E8:INDEX(Sorgo!$E8:$Z8,MIN(AF$6-$G$3,22))&lt;&gt;""),Sorgo!$E8:INDEX(Sorgo!$E8:$Z8,MIN(AF$6-$G$3,22))),0)))))</f>
        <v>0</v>
      </c>
      <c r="AG10" s="27" t="n">
        <f aca="false">IF(COUNT(Sorgo!$E8:$Z8)=0,0,MAX(0,IF((AG$6-$E$3)&lt;1,0,IFERROR(LOOKUP(2,1/(Sorgo!$E8:INDEX(Sorgo!$E8:$Z8,MIN(AG$6-$E$3,22))&lt;&gt;""),Sorgo!$E8:INDEX(Sorgo!$E8:$Z8,MIN(AG$6-$E$3,22))),0))-IF($G$2,0,IF((AG$6-$G$3)&lt;1,0,IFERROR(LOOKUP(2,1/(Sorgo!$E8:INDEX(Sorgo!$E8:$Z8,MIN(AG$6-$G$3,22))&lt;&gt;""),Sorgo!$E8:INDEX(Sorgo!$E8:$Z8,MIN(AG$6-$G$3,22))),0)))))</f>
        <v>0</v>
      </c>
      <c r="AH10" s="27" t="n">
        <f aca="false">IF(COUNT(Sorgo!$E8:$Z8)=0,0,MAX(0,IF((AH$6-$E$3)&lt;1,0,IFERROR(LOOKUP(2,1/(Sorgo!$E8:INDEX(Sorgo!$E8:$Z8,MIN(AH$6-$E$3,22))&lt;&gt;""),Sorgo!$E8:INDEX(Sorgo!$E8:$Z8,MIN(AH$6-$E$3,22))),0))-IF($G$2,0,IF((AH$6-$G$3)&lt;1,0,IFERROR(LOOKUP(2,1/(Sorgo!$E8:INDEX(Sorgo!$E8:$Z8,MIN(AH$6-$G$3,22))&lt;&gt;""),Sorgo!$E8:INDEX(Sorgo!$E8:$Z8,MIN(AH$6-$G$3,22))),0)))))</f>
        <v>0</v>
      </c>
      <c r="AI10" s="27" t="n">
        <f aca="false">IF(COUNT(Sorgo!$E8:$Z8)=0,0,MAX(0,IF((AI$6-$E$3)&lt;1,0,IFERROR(LOOKUP(2,1/(Sorgo!$E8:INDEX(Sorgo!$E8:$Z8,MIN(AI$6-$E$3,22))&lt;&gt;""),Sorgo!$E8:INDEX(Sorgo!$E8:$Z8,MIN(AI$6-$E$3,22))),0))-IF($G$2,0,IF((AI$6-$G$3)&lt;1,0,IFERROR(LOOKUP(2,1/(Sorgo!$E8:INDEX(Sorgo!$E8:$Z8,MIN(AI$6-$G$3,22))&lt;&gt;""),Sorgo!$E8:INDEX(Sorgo!$E8:$Z8,MIN(AI$6-$G$3,22))),0)))))</f>
        <v>0</v>
      </c>
      <c r="AJ10" s="27" t="n">
        <f aca="false">IF(COUNT(Sorgo!$E8:$Z8)=0,0,MAX(0,IF((AJ$6-$E$3)&lt;1,0,IFERROR(LOOKUP(2,1/(Sorgo!$E8:INDEX(Sorgo!$E8:$Z8,MIN(AJ$6-$E$3,22))&lt;&gt;""),Sorgo!$E8:INDEX(Sorgo!$E8:$Z8,MIN(AJ$6-$E$3,22))),0))-IF($G$2,0,IF((AJ$6-$G$3)&lt;1,0,IFERROR(LOOKUP(2,1/(Sorgo!$E8:INDEX(Sorgo!$E8:$Z8,MIN(AJ$6-$G$3,22))&lt;&gt;""),Sorgo!$E8:INDEX(Sorgo!$E8:$Z8,MIN(AJ$6-$G$3,22))),0)))))</f>
        <v>0</v>
      </c>
      <c r="AK10" s="27" t="n">
        <f aca="false">IF(COUNT(Sorgo!$E8:$Z8)=0,0,MAX(0,IF((AK$6-$E$3)&lt;1,0,IFERROR(LOOKUP(2,1/(Sorgo!$E8:INDEX(Sorgo!$E8:$Z8,MIN(AK$6-$E$3,22))&lt;&gt;""),Sorgo!$E8:INDEX(Sorgo!$E8:$Z8,MIN(AK$6-$E$3,22))),0))-IF($G$2,0,IF((AK$6-$G$3)&lt;1,0,IFERROR(LOOKUP(2,1/(Sorgo!$E8:INDEX(Sorgo!$E8:$Z8,MIN(AK$6-$G$3,22))&lt;&gt;""),Sorgo!$E8:INDEX(Sorgo!$E8:$Z8,MIN(AK$6-$G$3,22))),0)))))</f>
        <v>0</v>
      </c>
      <c r="AL10" s="27" t="n">
        <f aca="false">IF(COUNT(Sorgo!$E8:$Z8)=0,0,MAX(0,IF((AL$6-$E$3)&lt;1,0,IFERROR(LOOKUP(2,1/(Sorgo!$E8:INDEX(Sorgo!$E8:$Z8,MIN(AL$6-$E$3,22))&lt;&gt;""),Sorgo!$E8:INDEX(Sorgo!$E8:$Z8,MIN(AL$6-$E$3,22))),0))-IF($G$2,0,IF((AL$6-$G$3)&lt;1,0,IFERROR(LOOKUP(2,1/(Sorgo!$E8:INDEX(Sorgo!$E8:$Z8,MIN(AL$6-$G$3,22))&lt;&gt;""),Sorgo!$E8:INDEX(Sorgo!$E8:$Z8,MIN(AL$6-$G$3,22))),0)))))</f>
        <v>0</v>
      </c>
      <c r="AM10" s="27" t="n">
        <f aca="false">IF(COUNT(Sorgo!$E8:$Z8)=0,0,MAX(0,IF((AM$6-$E$3)&lt;1,0,IFERROR(LOOKUP(2,1/(Sorgo!$E8:INDEX(Sorgo!$E8:$Z8,MIN(AM$6-$E$3,22))&lt;&gt;""),Sorgo!$E8:INDEX(Sorgo!$E8:$Z8,MIN(AM$6-$E$3,22))),0))-IF($G$2,0,IF((AM$6-$G$3)&lt;1,0,IFERROR(LOOKUP(2,1/(Sorgo!$E8:INDEX(Sorgo!$E8:$Z8,MIN(AM$6-$G$3,22))&lt;&gt;""),Sorgo!$E8:INDEX(Sorgo!$E8:$Z8,MIN(AM$6-$G$3,22))),0)))))</f>
        <v>0</v>
      </c>
      <c r="AN10" s="27" t="n">
        <f aca="false">IF(COUNT(Sorgo!$E8:$Z8)=0,0,MAX(0,IF((AN$6-$E$3)&lt;1,0,IFERROR(LOOKUP(2,1/(Sorgo!$E8:INDEX(Sorgo!$E8:$Z8,MIN(AN$6-$E$3,22))&lt;&gt;""),Sorgo!$E8:INDEX(Sorgo!$E8:$Z8,MIN(AN$6-$E$3,22))),0))-IF($G$2,0,IF((AN$6-$G$3)&lt;1,0,IFERROR(LOOKUP(2,1/(Sorgo!$E8:INDEX(Sorgo!$E8:$Z8,MIN(AN$6-$G$3,22))&lt;&gt;""),Sorgo!$E8:INDEX(Sorgo!$E8:$Z8,MIN(AN$6-$G$3,22))),0)))))</f>
        <v>0</v>
      </c>
      <c r="AO10" s="27" t="n">
        <f aca="false">IF(COUNT(Sorgo!$E8:$Z8)=0,0,MAX(0,IF((AO$6-$E$3)&lt;1,0,IFERROR(LOOKUP(2,1/(Sorgo!$E8:INDEX(Sorgo!$E8:$Z8,MIN(AO$6-$E$3,22))&lt;&gt;""),Sorgo!$E8:INDEX(Sorgo!$E8:$Z8,MIN(AO$6-$E$3,22))),0))-IF($G$2,0,IF((AO$6-$G$3)&lt;1,0,IFERROR(LOOKUP(2,1/(Sorgo!$E8:INDEX(Sorgo!$E8:$Z8,MIN(AO$6-$G$3,22))&lt;&gt;""),Sorgo!$E8:INDEX(Sorgo!$E8:$Z8,MIN(AO$6-$G$3,22))),0)))))</f>
        <v>0</v>
      </c>
      <c r="AP10" s="27" t="n">
        <f aca="false">IF(COUNT(Sorgo!$E8:$Z8)=0,0,MAX(0,IF((AP$6-$E$3)&lt;1,0,IFERROR(LOOKUP(2,1/(Sorgo!$E8:INDEX(Sorgo!$E8:$Z8,MIN(AP$6-$E$3,22))&lt;&gt;""),Sorgo!$E8:INDEX(Sorgo!$E8:$Z8,MIN(AP$6-$E$3,22))),0))-IF($G$2,0,IF((AP$6-$G$3)&lt;1,0,IFERROR(LOOKUP(2,1/(Sorgo!$E8:INDEX(Sorgo!$E8:$Z8,MIN(AP$6-$G$3,22))&lt;&gt;""),Sorgo!$E8:INDEX(Sorgo!$E8:$Z8,MIN(AP$6-$G$3,22))),0)))))</f>
        <v>0</v>
      </c>
      <c r="AQ10" s="27" t="n">
        <f aca="false">IF(COUNT(Sorgo!$E8:$Z8)=0,0,MAX(0,IF((AQ$6-$E$3)&lt;1,0,IFERROR(LOOKUP(2,1/(Sorgo!$E8:INDEX(Sorgo!$E8:$Z8,MIN(AQ$6-$E$3,22))&lt;&gt;""),Sorgo!$E8:INDEX(Sorgo!$E8:$Z8,MIN(AQ$6-$E$3,22))),0))-IF($G$2,0,IF((AQ$6-$G$3)&lt;1,0,IFERROR(LOOKUP(2,1/(Sorgo!$E8:INDEX(Sorgo!$E8:$Z8,MIN(AQ$6-$G$3,22))&lt;&gt;""),Sorgo!$E8:INDEX(Sorgo!$E8:$Z8,MIN(AQ$6-$G$3,22))),0)))))</f>
        <v>0</v>
      </c>
      <c r="AR10" s="27" t="n">
        <f aca="false">IF(COUNT(Sorgo!$E8:$Z8)=0,0,MAX(0,IF((AR$6-$E$3)&lt;1,0,IFERROR(LOOKUP(2,1/(Sorgo!$E8:INDEX(Sorgo!$E8:$Z8,MIN(AR$6-$E$3,22))&lt;&gt;""),Sorgo!$E8:INDEX(Sorgo!$E8:$Z8,MIN(AR$6-$E$3,22))),0))-IF($G$2,0,IF((AR$6-$G$3)&lt;1,0,IFERROR(LOOKUP(2,1/(Sorgo!$E8:INDEX(Sorgo!$E8:$Z8,MIN(AR$6-$G$3,22))&lt;&gt;""),Sorgo!$E8:INDEX(Sorgo!$E8:$Z8,MIN(AR$6-$G$3,22))),0)))))</f>
        <v>0</v>
      </c>
      <c r="AS10" s="27" t="n">
        <f aca="false">IF(COUNT(Sorgo!$E8:$Z8)=0,0,MAX(0,IF((AS$6-$E$3)&lt;1,0,IFERROR(LOOKUP(2,1/(Sorgo!$E8:INDEX(Sorgo!$E8:$Z8,MIN(AS$6-$E$3,22))&lt;&gt;""),Sorgo!$E8:INDEX(Sorgo!$E8:$Z8,MIN(AS$6-$E$3,22))),0))-IF($G$2,0,IF((AS$6-$G$3)&lt;1,0,IFERROR(LOOKUP(2,1/(Sorgo!$E8:INDEX(Sorgo!$E8:$Z8,MIN(AS$6-$G$3,22))&lt;&gt;""),Sorgo!$E8:INDEX(Sorgo!$E8:$Z8,MIN(AS$6-$G$3,22))),0)))))</f>
        <v>0</v>
      </c>
      <c r="AT10" s="27" t="n">
        <f aca="false">IF(COUNT(Sorgo!$E8:$Z8)=0,0,MAX(0,IF((AT$6-$E$3)&lt;1,0,IFERROR(LOOKUP(2,1/(Sorgo!$E8:INDEX(Sorgo!$E8:$Z8,MIN(AT$6-$E$3,22))&lt;&gt;""),Sorgo!$E8:INDEX(Sorgo!$E8:$Z8,MIN(AT$6-$E$3,22))),0))-IF($G$2,0,IF((AT$6-$G$3)&lt;1,0,IFERROR(LOOKUP(2,1/(Sorgo!$E8:INDEX(Sorgo!$E8:$Z8,MIN(AT$6-$G$3,22))&lt;&gt;""),Sorgo!$E8:INDEX(Sorgo!$E8:$Z8,MIN(AT$6-$G$3,22))),0)))))</f>
        <v>0</v>
      </c>
      <c r="AU10" s="27" t="n">
        <f aca="false">IF(COUNT(Sorgo!$E8:$Z8)=0,0,MAX(0,IF((AU$6-$E$3)&lt;1,0,IFERROR(LOOKUP(2,1/(Sorgo!$E8:INDEX(Sorgo!$E8:$Z8,MIN(AU$6-$E$3,22))&lt;&gt;""),Sorgo!$E8:INDEX(Sorgo!$E8:$Z8,MIN(AU$6-$E$3,22))),0))-IF($G$2,0,IF((AU$6-$G$3)&lt;1,0,IFERROR(LOOKUP(2,1/(Sorgo!$E8:INDEX(Sorgo!$E8:$Z8,MIN(AU$6-$G$3,22))&lt;&gt;""),Sorgo!$E8:INDEX(Sorgo!$E8:$Z8,MIN(AU$6-$G$3,22))),0)))))</f>
        <v>0</v>
      </c>
      <c r="AV10" s="27" t="n">
        <f aca="false">IF(COUNT(Sorgo!$E8:$Z8)=0,0,MAX(0,IF((AV$6-$E$3)&lt;1,0,IFERROR(LOOKUP(2,1/(Sorgo!$E8:INDEX(Sorgo!$E8:$Z8,MIN(AV$6-$E$3,22))&lt;&gt;""),Sorgo!$E8:INDEX(Sorgo!$E8:$Z8,MIN(AV$6-$E$3,22))),0))-IF($G$2,0,IF((AV$6-$G$3)&lt;1,0,IFERROR(LOOKUP(2,1/(Sorgo!$E8:INDEX(Sorgo!$E8:$Z8,MIN(AV$6-$G$3,22))&lt;&gt;""),Sorgo!$E8:INDEX(Sorgo!$E8:$Z8,MIN(AV$6-$G$3,22))),0)))))</f>
        <v>0</v>
      </c>
      <c r="AW10" s="27" t="n">
        <f aca="false">IF(COUNT(Sorgo!$E8:$Z8)=0,0,MAX(0,IF((AW$6-$E$3)&lt;1,0,IFERROR(LOOKUP(2,1/(Sorgo!$E8:INDEX(Sorgo!$E8:$Z8,MIN(AW$6-$E$3,22))&lt;&gt;""),Sorgo!$E8:INDEX(Sorgo!$E8:$Z8,MIN(AW$6-$E$3,22))),0))-IF($G$2,0,IF((AW$6-$G$3)&lt;1,0,IFERROR(LOOKUP(2,1/(Sorgo!$E8:INDEX(Sorgo!$E8:$Z8,MIN(AW$6-$G$3,22))&lt;&gt;""),Sorgo!$E8:INDEX(Sorgo!$E8:$Z8,MIN(AW$6-$G$3,22))),0)))))</f>
        <v>0</v>
      </c>
      <c r="AX10" s="27" t="n">
        <f aca="false">IF(COUNT(Sorgo!$E8:$Z8)=0,0,MAX(0,IF((AX$6-$E$3)&lt;1,0,IFERROR(LOOKUP(2,1/(Sorgo!$E8:INDEX(Sorgo!$E8:$Z8,MIN(AX$6-$E$3,22))&lt;&gt;""),Sorgo!$E8:INDEX(Sorgo!$E8:$Z8,MIN(AX$6-$E$3,22))),0))-IF($G$2,0,IF((AX$6-$G$3)&lt;1,0,IFERROR(LOOKUP(2,1/(Sorgo!$E8:INDEX(Sorgo!$E8:$Z8,MIN(AX$6-$G$3,22))&lt;&gt;""),Sorgo!$E8:INDEX(Sorgo!$E8:$Z8,MIN(AX$6-$G$3,22))),0)))))</f>
        <v>0</v>
      </c>
      <c r="AY10" s="27" t="n">
        <f aca="false">IF(COUNT(Sorgo!$E8:$Z8)=0,0,MAX(0,IF((AY$6-$E$3)&lt;1,0,IFERROR(LOOKUP(2,1/(Sorgo!$E8:INDEX(Sorgo!$E8:$Z8,MIN(AY$6-$E$3,22))&lt;&gt;""),Sorgo!$E8:INDEX(Sorgo!$E8:$Z8,MIN(AY$6-$E$3,22))),0))-IF($G$2,0,IF((AY$6-$G$3)&lt;1,0,IFERROR(LOOKUP(2,1/(Sorgo!$E8:INDEX(Sorgo!$E8:$Z8,MIN(AY$6-$G$3,22))&lt;&gt;""),Sorgo!$E8:INDEX(Sorgo!$E8:$Z8,MIN(AY$6-$G$3,22))),0)))))</f>
        <v>0</v>
      </c>
      <c r="AZ10" s="27" t="n">
        <f aca="false">IF(COUNT(Sorgo!$E8:$Z8)=0,0,MAX(0,IF((AZ$6-$E$3)&lt;1,0,IFERROR(LOOKUP(2,1/(Sorgo!$E8:INDEX(Sorgo!$E8:$Z8,MIN(AZ$6-$E$3,22))&lt;&gt;""),Sorgo!$E8:INDEX(Sorgo!$E8:$Z8,MIN(AZ$6-$E$3,22))),0))-IF($G$2,0,IF((AZ$6-$G$3)&lt;1,0,IFERROR(LOOKUP(2,1/(Sorgo!$E8:INDEX(Sorgo!$E8:$Z8,MIN(AZ$6-$G$3,22))&lt;&gt;""),Sorgo!$E8:INDEX(Sorgo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IF(COUNT(Sorgo!$E9:$Z9)&gt;0,N(Sorgo!$D9),0)</f>
        <v>0</v>
      </c>
      <c r="E11" s="27" t="n">
        <f aca="false">IF(COUNT(Sorgo!$E9:$Z9)=0,0,MAX(0,IF((E$6-$E$3)&lt;1,0,IFERROR(LOOKUP(2,1/(Sorgo!$E9:INDEX(Sorgo!$E9:$Z9,MIN(E$6-$E$3,22))&lt;&gt;""),Sorgo!$E9:INDEX(Sorgo!$E9:$Z9,MIN(E$6-$E$3,22))),0))-IF($G$2,0,IF((E$6-$G$3)&lt;1,0,IFERROR(LOOKUP(2,1/(Sorgo!$E9:INDEX(Sorgo!$E9:$Z9,MIN(E$6-$G$3,22))&lt;&gt;""),Sorgo!$E9:INDEX(Sorgo!$E9:$Z9,MIN(E$6-$G$3,22))),0)))))</f>
        <v>0</v>
      </c>
      <c r="F11" s="27" t="n">
        <f aca="false">IF(COUNT(Sorgo!$E9:$Z9)=0,0,MAX(0,IF((F$6-$E$3)&lt;1,0,IFERROR(LOOKUP(2,1/(Sorgo!$E9:INDEX(Sorgo!$E9:$Z9,MIN(F$6-$E$3,22))&lt;&gt;""),Sorgo!$E9:INDEX(Sorgo!$E9:$Z9,MIN(F$6-$E$3,22))),0))-IF($G$2,0,IF((F$6-$G$3)&lt;1,0,IFERROR(LOOKUP(2,1/(Sorgo!$E9:INDEX(Sorgo!$E9:$Z9,MIN(F$6-$G$3,22))&lt;&gt;""),Sorgo!$E9:INDEX(Sorgo!$E9:$Z9,MIN(F$6-$G$3,22))),0)))))</f>
        <v>0</v>
      </c>
      <c r="G11" s="27" t="n">
        <f aca="false">IF(COUNT(Sorgo!$E9:$Z9)=0,0,MAX(0,IF((G$6-$E$3)&lt;1,0,IFERROR(LOOKUP(2,1/(Sorgo!$E9:INDEX(Sorgo!$E9:$Z9,MIN(G$6-$E$3,22))&lt;&gt;""),Sorgo!$E9:INDEX(Sorgo!$E9:$Z9,MIN(G$6-$E$3,22))),0))-IF($G$2,0,IF((G$6-$G$3)&lt;1,0,IFERROR(LOOKUP(2,1/(Sorgo!$E9:INDEX(Sorgo!$E9:$Z9,MIN(G$6-$G$3,22))&lt;&gt;""),Sorgo!$E9:INDEX(Sorgo!$E9:$Z9,MIN(G$6-$G$3,22))),0)))))</f>
        <v>0</v>
      </c>
      <c r="H11" s="27" t="n">
        <f aca="false">IF(COUNT(Sorgo!$E9:$Z9)=0,0,MAX(0,IF((H$6-$E$3)&lt;1,0,IFERROR(LOOKUP(2,1/(Sorgo!$E9:INDEX(Sorgo!$E9:$Z9,MIN(H$6-$E$3,22))&lt;&gt;""),Sorgo!$E9:INDEX(Sorgo!$E9:$Z9,MIN(H$6-$E$3,22))),0))-IF($G$2,0,IF((H$6-$G$3)&lt;1,0,IFERROR(LOOKUP(2,1/(Sorgo!$E9:INDEX(Sorgo!$E9:$Z9,MIN(H$6-$G$3,22))&lt;&gt;""),Sorgo!$E9:INDEX(Sorgo!$E9:$Z9,MIN(H$6-$G$3,22))),0)))))</f>
        <v>0</v>
      </c>
      <c r="I11" s="27" t="n">
        <f aca="false">IF(COUNT(Sorgo!$E9:$Z9)=0,0,MAX(0,IF((I$6-$E$3)&lt;1,0,IFERROR(LOOKUP(2,1/(Sorgo!$E9:INDEX(Sorgo!$E9:$Z9,MIN(I$6-$E$3,22))&lt;&gt;""),Sorgo!$E9:INDEX(Sorgo!$E9:$Z9,MIN(I$6-$E$3,22))),0))-IF($G$2,0,IF((I$6-$G$3)&lt;1,0,IFERROR(LOOKUP(2,1/(Sorgo!$E9:INDEX(Sorgo!$E9:$Z9,MIN(I$6-$G$3,22))&lt;&gt;""),Sorgo!$E9:INDEX(Sorgo!$E9:$Z9,MIN(I$6-$G$3,22))),0)))))</f>
        <v>0</v>
      </c>
      <c r="J11" s="27" t="n">
        <f aca="false">IF(COUNT(Sorgo!$E9:$Z9)=0,0,MAX(0,IF((J$6-$E$3)&lt;1,0,IFERROR(LOOKUP(2,1/(Sorgo!$E9:INDEX(Sorgo!$E9:$Z9,MIN(J$6-$E$3,22))&lt;&gt;""),Sorgo!$E9:INDEX(Sorgo!$E9:$Z9,MIN(J$6-$E$3,22))),0))-IF($G$2,0,IF((J$6-$G$3)&lt;1,0,IFERROR(LOOKUP(2,1/(Sorgo!$E9:INDEX(Sorgo!$E9:$Z9,MIN(J$6-$G$3,22))&lt;&gt;""),Sorgo!$E9:INDEX(Sorgo!$E9:$Z9,MIN(J$6-$G$3,22))),0)))))</f>
        <v>0</v>
      </c>
      <c r="K11" s="27" t="n">
        <f aca="false">IF(COUNT(Sorgo!$E9:$Z9)=0,0,MAX(0,IF((K$6-$E$3)&lt;1,0,IFERROR(LOOKUP(2,1/(Sorgo!$E9:INDEX(Sorgo!$E9:$Z9,MIN(K$6-$E$3,22))&lt;&gt;""),Sorgo!$E9:INDEX(Sorgo!$E9:$Z9,MIN(K$6-$E$3,22))),0))-IF($G$2,0,IF((K$6-$G$3)&lt;1,0,IFERROR(LOOKUP(2,1/(Sorgo!$E9:INDEX(Sorgo!$E9:$Z9,MIN(K$6-$G$3,22))&lt;&gt;""),Sorgo!$E9:INDEX(Sorgo!$E9:$Z9,MIN(K$6-$G$3,22))),0)))))</f>
        <v>0</v>
      </c>
      <c r="L11" s="27" t="n">
        <f aca="false">IF(COUNT(Sorgo!$E9:$Z9)=0,0,MAX(0,IF((L$6-$E$3)&lt;1,0,IFERROR(LOOKUP(2,1/(Sorgo!$E9:INDEX(Sorgo!$E9:$Z9,MIN(L$6-$E$3,22))&lt;&gt;""),Sorgo!$E9:INDEX(Sorgo!$E9:$Z9,MIN(L$6-$E$3,22))),0))-IF($G$2,0,IF((L$6-$G$3)&lt;1,0,IFERROR(LOOKUP(2,1/(Sorgo!$E9:INDEX(Sorgo!$E9:$Z9,MIN(L$6-$G$3,22))&lt;&gt;""),Sorgo!$E9:INDEX(Sorgo!$E9:$Z9,MIN(L$6-$G$3,22))),0)))))</f>
        <v>0</v>
      </c>
      <c r="M11" s="27" t="n">
        <f aca="false">IF(COUNT(Sorgo!$E9:$Z9)=0,0,MAX(0,IF((M$6-$E$3)&lt;1,0,IFERROR(LOOKUP(2,1/(Sorgo!$E9:INDEX(Sorgo!$E9:$Z9,MIN(M$6-$E$3,22))&lt;&gt;""),Sorgo!$E9:INDEX(Sorgo!$E9:$Z9,MIN(M$6-$E$3,22))),0))-IF($G$2,0,IF((M$6-$G$3)&lt;1,0,IFERROR(LOOKUP(2,1/(Sorgo!$E9:INDEX(Sorgo!$E9:$Z9,MIN(M$6-$G$3,22))&lt;&gt;""),Sorgo!$E9:INDEX(Sorgo!$E9:$Z9,MIN(M$6-$G$3,22))),0)))))</f>
        <v>0</v>
      </c>
      <c r="N11" s="27" t="n">
        <f aca="false">IF(COUNT(Sorgo!$E9:$Z9)=0,0,MAX(0,IF((N$6-$E$3)&lt;1,0,IFERROR(LOOKUP(2,1/(Sorgo!$E9:INDEX(Sorgo!$E9:$Z9,MIN(N$6-$E$3,22))&lt;&gt;""),Sorgo!$E9:INDEX(Sorgo!$E9:$Z9,MIN(N$6-$E$3,22))),0))-IF($G$2,0,IF((N$6-$G$3)&lt;1,0,IFERROR(LOOKUP(2,1/(Sorgo!$E9:INDEX(Sorgo!$E9:$Z9,MIN(N$6-$G$3,22))&lt;&gt;""),Sorgo!$E9:INDEX(Sorgo!$E9:$Z9,MIN(N$6-$G$3,22))),0)))))</f>
        <v>0</v>
      </c>
      <c r="O11" s="27" t="n">
        <f aca="false">IF(COUNT(Sorgo!$E9:$Z9)=0,0,MAX(0,IF((O$6-$E$3)&lt;1,0,IFERROR(LOOKUP(2,1/(Sorgo!$E9:INDEX(Sorgo!$E9:$Z9,MIN(O$6-$E$3,22))&lt;&gt;""),Sorgo!$E9:INDEX(Sorgo!$E9:$Z9,MIN(O$6-$E$3,22))),0))-IF($G$2,0,IF((O$6-$G$3)&lt;1,0,IFERROR(LOOKUP(2,1/(Sorgo!$E9:INDEX(Sorgo!$E9:$Z9,MIN(O$6-$G$3,22))&lt;&gt;""),Sorgo!$E9:INDEX(Sorgo!$E9:$Z9,MIN(O$6-$G$3,22))),0)))))</f>
        <v>0</v>
      </c>
      <c r="P11" s="27" t="n">
        <f aca="false">IF(COUNT(Sorgo!$E9:$Z9)=0,0,MAX(0,IF((P$6-$E$3)&lt;1,0,IFERROR(LOOKUP(2,1/(Sorgo!$E9:INDEX(Sorgo!$E9:$Z9,MIN(P$6-$E$3,22))&lt;&gt;""),Sorgo!$E9:INDEX(Sorgo!$E9:$Z9,MIN(P$6-$E$3,22))),0))-IF($G$2,0,IF((P$6-$G$3)&lt;1,0,IFERROR(LOOKUP(2,1/(Sorgo!$E9:INDEX(Sorgo!$E9:$Z9,MIN(P$6-$G$3,22))&lt;&gt;""),Sorgo!$E9:INDEX(Sorgo!$E9:$Z9,MIN(P$6-$G$3,22))),0)))))</f>
        <v>0</v>
      </c>
      <c r="Q11" s="27" t="n">
        <f aca="false">IF(COUNT(Sorgo!$E9:$Z9)=0,0,MAX(0,IF((Q$6-$E$3)&lt;1,0,IFERROR(LOOKUP(2,1/(Sorgo!$E9:INDEX(Sorgo!$E9:$Z9,MIN(Q$6-$E$3,22))&lt;&gt;""),Sorgo!$E9:INDEX(Sorgo!$E9:$Z9,MIN(Q$6-$E$3,22))),0))-IF($G$2,0,IF((Q$6-$G$3)&lt;1,0,IFERROR(LOOKUP(2,1/(Sorgo!$E9:INDEX(Sorgo!$E9:$Z9,MIN(Q$6-$G$3,22))&lt;&gt;""),Sorgo!$E9:INDEX(Sorgo!$E9:$Z9,MIN(Q$6-$G$3,22))),0)))))</f>
        <v>0</v>
      </c>
      <c r="R11" s="27" t="n">
        <f aca="false">IF(COUNT(Sorgo!$E9:$Z9)=0,0,MAX(0,IF((R$6-$E$3)&lt;1,0,IFERROR(LOOKUP(2,1/(Sorgo!$E9:INDEX(Sorgo!$E9:$Z9,MIN(R$6-$E$3,22))&lt;&gt;""),Sorgo!$E9:INDEX(Sorgo!$E9:$Z9,MIN(R$6-$E$3,22))),0))-IF($G$2,0,IF((R$6-$G$3)&lt;1,0,IFERROR(LOOKUP(2,1/(Sorgo!$E9:INDEX(Sorgo!$E9:$Z9,MIN(R$6-$G$3,22))&lt;&gt;""),Sorgo!$E9:INDEX(Sorgo!$E9:$Z9,MIN(R$6-$G$3,22))),0)))))</f>
        <v>0</v>
      </c>
      <c r="S11" s="27" t="n">
        <f aca="false">IF(COUNT(Sorgo!$E9:$Z9)=0,0,MAX(0,IF((S$6-$E$3)&lt;1,0,IFERROR(LOOKUP(2,1/(Sorgo!$E9:INDEX(Sorgo!$E9:$Z9,MIN(S$6-$E$3,22))&lt;&gt;""),Sorgo!$E9:INDEX(Sorgo!$E9:$Z9,MIN(S$6-$E$3,22))),0))-IF($G$2,0,IF((S$6-$G$3)&lt;1,0,IFERROR(LOOKUP(2,1/(Sorgo!$E9:INDEX(Sorgo!$E9:$Z9,MIN(S$6-$G$3,22))&lt;&gt;""),Sorgo!$E9:INDEX(Sorgo!$E9:$Z9,MIN(S$6-$G$3,22))),0)))))</f>
        <v>0</v>
      </c>
      <c r="T11" s="27" t="n">
        <f aca="false">IF(COUNT(Sorgo!$E9:$Z9)=0,0,MAX(0,IF((T$6-$E$3)&lt;1,0,IFERROR(LOOKUP(2,1/(Sorgo!$E9:INDEX(Sorgo!$E9:$Z9,MIN(T$6-$E$3,22))&lt;&gt;""),Sorgo!$E9:INDEX(Sorgo!$E9:$Z9,MIN(T$6-$E$3,22))),0))-IF($G$2,0,IF((T$6-$G$3)&lt;1,0,IFERROR(LOOKUP(2,1/(Sorgo!$E9:INDEX(Sorgo!$E9:$Z9,MIN(T$6-$G$3,22))&lt;&gt;""),Sorgo!$E9:INDEX(Sorgo!$E9:$Z9,MIN(T$6-$G$3,22))),0)))))</f>
        <v>0</v>
      </c>
      <c r="U11" s="27" t="n">
        <f aca="false">IF(COUNT(Sorgo!$E9:$Z9)=0,0,MAX(0,IF((U$6-$E$3)&lt;1,0,IFERROR(LOOKUP(2,1/(Sorgo!$E9:INDEX(Sorgo!$E9:$Z9,MIN(U$6-$E$3,22))&lt;&gt;""),Sorgo!$E9:INDEX(Sorgo!$E9:$Z9,MIN(U$6-$E$3,22))),0))-IF($G$2,0,IF((U$6-$G$3)&lt;1,0,IFERROR(LOOKUP(2,1/(Sorgo!$E9:INDEX(Sorgo!$E9:$Z9,MIN(U$6-$G$3,22))&lt;&gt;""),Sorgo!$E9:INDEX(Sorgo!$E9:$Z9,MIN(U$6-$G$3,22))),0)))))</f>
        <v>0</v>
      </c>
      <c r="V11" s="27" t="n">
        <f aca="false">IF(COUNT(Sorgo!$E9:$Z9)=0,0,MAX(0,IF((V$6-$E$3)&lt;1,0,IFERROR(LOOKUP(2,1/(Sorgo!$E9:INDEX(Sorgo!$E9:$Z9,MIN(V$6-$E$3,22))&lt;&gt;""),Sorgo!$E9:INDEX(Sorgo!$E9:$Z9,MIN(V$6-$E$3,22))),0))-IF($G$2,0,IF((V$6-$G$3)&lt;1,0,IFERROR(LOOKUP(2,1/(Sorgo!$E9:INDEX(Sorgo!$E9:$Z9,MIN(V$6-$G$3,22))&lt;&gt;""),Sorgo!$E9:INDEX(Sorgo!$E9:$Z9,MIN(V$6-$G$3,22))),0)))))</f>
        <v>0</v>
      </c>
      <c r="W11" s="27" t="n">
        <f aca="false">IF(COUNT(Sorgo!$E9:$Z9)=0,0,MAX(0,IF((W$6-$E$3)&lt;1,0,IFERROR(LOOKUP(2,1/(Sorgo!$E9:INDEX(Sorgo!$E9:$Z9,MIN(W$6-$E$3,22))&lt;&gt;""),Sorgo!$E9:INDEX(Sorgo!$E9:$Z9,MIN(W$6-$E$3,22))),0))-IF($G$2,0,IF((W$6-$G$3)&lt;1,0,IFERROR(LOOKUP(2,1/(Sorgo!$E9:INDEX(Sorgo!$E9:$Z9,MIN(W$6-$G$3,22))&lt;&gt;""),Sorgo!$E9:INDEX(Sorgo!$E9:$Z9,MIN(W$6-$G$3,22))),0)))))</f>
        <v>0</v>
      </c>
      <c r="X11" s="27" t="n">
        <f aca="false">IF(COUNT(Sorgo!$E9:$Z9)=0,0,MAX(0,IF((X$6-$E$3)&lt;1,0,IFERROR(LOOKUP(2,1/(Sorgo!$E9:INDEX(Sorgo!$E9:$Z9,MIN(X$6-$E$3,22))&lt;&gt;""),Sorgo!$E9:INDEX(Sorgo!$E9:$Z9,MIN(X$6-$E$3,22))),0))-IF($G$2,0,IF((X$6-$G$3)&lt;1,0,IFERROR(LOOKUP(2,1/(Sorgo!$E9:INDEX(Sorgo!$E9:$Z9,MIN(X$6-$G$3,22))&lt;&gt;""),Sorgo!$E9:INDEX(Sorgo!$E9:$Z9,MIN(X$6-$G$3,22))),0)))))</f>
        <v>0</v>
      </c>
      <c r="Y11" s="27" t="n">
        <f aca="false">IF(COUNT(Sorgo!$E9:$Z9)=0,0,MAX(0,IF((Y$6-$E$3)&lt;1,0,IFERROR(LOOKUP(2,1/(Sorgo!$E9:INDEX(Sorgo!$E9:$Z9,MIN(Y$6-$E$3,22))&lt;&gt;""),Sorgo!$E9:INDEX(Sorgo!$E9:$Z9,MIN(Y$6-$E$3,22))),0))-IF($G$2,0,IF((Y$6-$G$3)&lt;1,0,IFERROR(LOOKUP(2,1/(Sorgo!$E9:INDEX(Sorgo!$E9:$Z9,MIN(Y$6-$G$3,22))&lt;&gt;""),Sorgo!$E9:INDEX(Sorgo!$E9:$Z9,MIN(Y$6-$G$3,22))),0)))))</f>
        <v>0</v>
      </c>
      <c r="Z11" s="27" t="n">
        <f aca="false">IF(COUNT(Sorgo!$E9:$Z9)=0,0,MAX(0,IF((Z$6-$E$3)&lt;1,0,IFERROR(LOOKUP(2,1/(Sorgo!$E9:INDEX(Sorgo!$E9:$Z9,MIN(Z$6-$E$3,22))&lt;&gt;""),Sorgo!$E9:INDEX(Sorgo!$E9:$Z9,MIN(Z$6-$E$3,22))),0))-IF($G$2,0,IF((Z$6-$G$3)&lt;1,0,IFERROR(LOOKUP(2,1/(Sorgo!$E9:INDEX(Sorgo!$E9:$Z9,MIN(Z$6-$G$3,22))&lt;&gt;""),Sorgo!$E9:INDEX(Sorgo!$E9:$Z9,MIN(Z$6-$G$3,22))),0)))))</f>
        <v>0</v>
      </c>
      <c r="AA11" s="27" t="n">
        <f aca="false">IF(COUNT(Sorgo!$E9:$Z9)=0,0,MAX(0,IF((AA$6-$E$3)&lt;1,0,IFERROR(LOOKUP(2,1/(Sorgo!$E9:INDEX(Sorgo!$E9:$Z9,MIN(AA$6-$E$3,22))&lt;&gt;""),Sorgo!$E9:INDEX(Sorgo!$E9:$Z9,MIN(AA$6-$E$3,22))),0))-IF($G$2,0,IF((AA$6-$G$3)&lt;1,0,IFERROR(LOOKUP(2,1/(Sorgo!$E9:INDEX(Sorgo!$E9:$Z9,MIN(AA$6-$G$3,22))&lt;&gt;""),Sorgo!$E9:INDEX(Sorgo!$E9:$Z9,MIN(AA$6-$G$3,22))),0)))))</f>
        <v>0</v>
      </c>
      <c r="AB11" s="27" t="n">
        <f aca="false">IF(COUNT(Sorgo!$E9:$Z9)=0,0,MAX(0,IF((AB$6-$E$3)&lt;1,0,IFERROR(LOOKUP(2,1/(Sorgo!$E9:INDEX(Sorgo!$E9:$Z9,MIN(AB$6-$E$3,22))&lt;&gt;""),Sorgo!$E9:INDEX(Sorgo!$E9:$Z9,MIN(AB$6-$E$3,22))),0))-IF($G$2,0,IF((AB$6-$G$3)&lt;1,0,IFERROR(LOOKUP(2,1/(Sorgo!$E9:INDEX(Sorgo!$E9:$Z9,MIN(AB$6-$G$3,22))&lt;&gt;""),Sorgo!$E9:INDEX(Sorgo!$E9:$Z9,MIN(AB$6-$G$3,22))),0)))))</f>
        <v>0</v>
      </c>
      <c r="AC11" s="27" t="n">
        <f aca="false">IF(COUNT(Sorgo!$E9:$Z9)=0,0,MAX(0,IF((AC$6-$E$3)&lt;1,0,IFERROR(LOOKUP(2,1/(Sorgo!$E9:INDEX(Sorgo!$E9:$Z9,MIN(AC$6-$E$3,22))&lt;&gt;""),Sorgo!$E9:INDEX(Sorgo!$E9:$Z9,MIN(AC$6-$E$3,22))),0))-IF($G$2,0,IF((AC$6-$G$3)&lt;1,0,IFERROR(LOOKUP(2,1/(Sorgo!$E9:INDEX(Sorgo!$E9:$Z9,MIN(AC$6-$G$3,22))&lt;&gt;""),Sorgo!$E9:INDEX(Sorgo!$E9:$Z9,MIN(AC$6-$G$3,22))),0)))))</f>
        <v>0</v>
      </c>
      <c r="AD11" s="27" t="n">
        <f aca="false">IF(COUNT(Sorgo!$E9:$Z9)=0,0,MAX(0,IF((AD$6-$E$3)&lt;1,0,IFERROR(LOOKUP(2,1/(Sorgo!$E9:INDEX(Sorgo!$E9:$Z9,MIN(AD$6-$E$3,22))&lt;&gt;""),Sorgo!$E9:INDEX(Sorgo!$E9:$Z9,MIN(AD$6-$E$3,22))),0))-IF($G$2,0,IF((AD$6-$G$3)&lt;1,0,IFERROR(LOOKUP(2,1/(Sorgo!$E9:INDEX(Sorgo!$E9:$Z9,MIN(AD$6-$G$3,22))&lt;&gt;""),Sorgo!$E9:INDEX(Sorgo!$E9:$Z9,MIN(AD$6-$G$3,22))),0)))))</f>
        <v>0</v>
      </c>
      <c r="AE11" s="27" t="n">
        <f aca="false">IF(COUNT(Sorgo!$E9:$Z9)=0,0,MAX(0,IF((AE$6-$E$3)&lt;1,0,IFERROR(LOOKUP(2,1/(Sorgo!$E9:INDEX(Sorgo!$E9:$Z9,MIN(AE$6-$E$3,22))&lt;&gt;""),Sorgo!$E9:INDEX(Sorgo!$E9:$Z9,MIN(AE$6-$E$3,22))),0))-IF($G$2,0,IF((AE$6-$G$3)&lt;1,0,IFERROR(LOOKUP(2,1/(Sorgo!$E9:INDEX(Sorgo!$E9:$Z9,MIN(AE$6-$G$3,22))&lt;&gt;""),Sorgo!$E9:INDEX(Sorgo!$E9:$Z9,MIN(AE$6-$G$3,22))),0)))))</f>
        <v>0</v>
      </c>
      <c r="AF11" s="27" t="n">
        <f aca="false">IF(COUNT(Sorgo!$E9:$Z9)=0,0,MAX(0,IF((AF$6-$E$3)&lt;1,0,IFERROR(LOOKUP(2,1/(Sorgo!$E9:INDEX(Sorgo!$E9:$Z9,MIN(AF$6-$E$3,22))&lt;&gt;""),Sorgo!$E9:INDEX(Sorgo!$E9:$Z9,MIN(AF$6-$E$3,22))),0))-IF($G$2,0,IF((AF$6-$G$3)&lt;1,0,IFERROR(LOOKUP(2,1/(Sorgo!$E9:INDEX(Sorgo!$E9:$Z9,MIN(AF$6-$G$3,22))&lt;&gt;""),Sorgo!$E9:INDEX(Sorgo!$E9:$Z9,MIN(AF$6-$G$3,22))),0)))))</f>
        <v>0</v>
      </c>
      <c r="AG11" s="27" t="n">
        <f aca="false">IF(COUNT(Sorgo!$E9:$Z9)=0,0,MAX(0,IF((AG$6-$E$3)&lt;1,0,IFERROR(LOOKUP(2,1/(Sorgo!$E9:INDEX(Sorgo!$E9:$Z9,MIN(AG$6-$E$3,22))&lt;&gt;""),Sorgo!$E9:INDEX(Sorgo!$E9:$Z9,MIN(AG$6-$E$3,22))),0))-IF($G$2,0,IF((AG$6-$G$3)&lt;1,0,IFERROR(LOOKUP(2,1/(Sorgo!$E9:INDEX(Sorgo!$E9:$Z9,MIN(AG$6-$G$3,22))&lt;&gt;""),Sorgo!$E9:INDEX(Sorgo!$E9:$Z9,MIN(AG$6-$G$3,22))),0)))))</f>
        <v>0</v>
      </c>
      <c r="AH11" s="27" t="n">
        <f aca="false">IF(COUNT(Sorgo!$E9:$Z9)=0,0,MAX(0,IF((AH$6-$E$3)&lt;1,0,IFERROR(LOOKUP(2,1/(Sorgo!$E9:INDEX(Sorgo!$E9:$Z9,MIN(AH$6-$E$3,22))&lt;&gt;""),Sorgo!$E9:INDEX(Sorgo!$E9:$Z9,MIN(AH$6-$E$3,22))),0))-IF($G$2,0,IF((AH$6-$G$3)&lt;1,0,IFERROR(LOOKUP(2,1/(Sorgo!$E9:INDEX(Sorgo!$E9:$Z9,MIN(AH$6-$G$3,22))&lt;&gt;""),Sorgo!$E9:INDEX(Sorgo!$E9:$Z9,MIN(AH$6-$G$3,22))),0)))))</f>
        <v>0</v>
      </c>
      <c r="AI11" s="27" t="n">
        <f aca="false">IF(COUNT(Sorgo!$E9:$Z9)=0,0,MAX(0,IF((AI$6-$E$3)&lt;1,0,IFERROR(LOOKUP(2,1/(Sorgo!$E9:INDEX(Sorgo!$E9:$Z9,MIN(AI$6-$E$3,22))&lt;&gt;""),Sorgo!$E9:INDEX(Sorgo!$E9:$Z9,MIN(AI$6-$E$3,22))),0))-IF($G$2,0,IF((AI$6-$G$3)&lt;1,0,IFERROR(LOOKUP(2,1/(Sorgo!$E9:INDEX(Sorgo!$E9:$Z9,MIN(AI$6-$G$3,22))&lt;&gt;""),Sorgo!$E9:INDEX(Sorgo!$E9:$Z9,MIN(AI$6-$G$3,22))),0)))))</f>
        <v>0</v>
      </c>
      <c r="AJ11" s="27" t="n">
        <f aca="false">IF(COUNT(Sorgo!$E9:$Z9)=0,0,MAX(0,IF((AJ$6-$E$3)&lt;1,0,IFERROR(LOOKUP(2,1/(Sorgo!$E9:INDEX(Sorgo!$E9:$Z9,MIN(AJ$6-$E$3,22))&lt;&gt;""),Sorgo!$E9:INDEX(Sorgo!$E9:$Z9,MIN(AJ$6-$E$3,22))),0))-IF($G$2,0,IF((AJ$6-$G$3)&lt;1,0,IFERROR(LOOKUP(2,1/(Sorgo!$E9:INDEX(Sorgo!$E9:$Z9,MIN(AJ$6-$G$3,22))&lt;&gt;""),Sorgo!$E9:INDEX(Sorgo!$E9:$Z9,MIN(AJ$6-$G$3,22))),0)))))</f>
        <v>0</v>
      </c>
      <c r="AK11" s="27" t="n">
        <f aca="false">IF(COUNT(Sorgo!$E9:$Z9)=0,0,MAX(0,IF((AK$6-$E$3)&lt;1,0,IFERROR(LOOKUP(2,1/(Sorgo!$E9:INDEX(Sorgo!$E9:$Z9,MIN(AK$6-$E$3,22))&lt;&gt;""),Sorgo!$E9:INDEX(Sorgo!$E9:$Z9,MIN(AK$6-$E$3,22))),0))-IF($G$2,0,IF((AK$6-$G$3)&lt;1,0,IFERROR(LOOKUP(2,1/(Sorgo!$E9:INDEX(Sorgo!$E9:$Z9,MIN(AK$6-$G$3,22))&lt;&gt;""),Sorgo!$E9:INDEX(Sorgo!$E9:$Z9,MIN(AK$6-$G$3,22))),0)))))</f>
        <v>0</v>
      </c>
      <c r="AL11" s="27" t="n">
        <f aca="false">IF(COUNT(Sorgo!$E9:$Z9)=0,0,MAX(0,IF((AL$6-$E$3)&lt;1,0,IFERROR(LOOKUP(2,1/(Sorgo!$E9:INDEX(Sorgo!$E9:$Z9,MIN(AL$6-$E$3,22))&lt;&gt;""),Sorgo!$E9:INDEX(Sorgo!$E9:$Z9,MIN(AL$6-$E$3,22))),0))-IF($G$2,0,IF((AL$6-$G$3)&lt;1,0,IFERROR(LOOKUP(2,1/(Sorgo!$E9:INDEX(Sorgo!$E9:$Z9,MIN(AL$6-$G$3,22))&lt;&gt;""),Sorgo!$E9:INDEX(Sorgo!$E9:$Z9,MIN(AL$6-$G$3,22))),0)))))</f>
        <v>0</v>
      </c>
      <c r="AM11" s="27" t="n">
        <f aca="false">IF(COUNT(Sorgo!$E9:$Z9)=0,0,MAX(0,IF((AM$6-$E$3)&lt;1,0,IFERROR(LOOKUP(2,1/(Sorgo!$E9:INDEX(Sorgo!$E9:$Z9,MIN(AM$6-$E$3,22))&lt;&gt;""),Sorgo!$E9:INDEX(Sorgo!$E9:$Z9,MIN(AM$6-$E$3,22))),0))-IF($G$2,0,IF((AM$6-$G$3)&lt;1,0,IFERROR(LOOKUP(2,1/(Sorgo!$E9:INDEX(Sorgo!$E9:$Z9,MIN(AM$6-$G$3,22))&lt;&gt;""),Sorgo!$E9:INDEX(Sorgo!$E9:$Z9,MIN(AM$6-$G$3,22))),0)))))</f>
        <v>0</v>
      </c>
      <c r="AN11" s="27" t="n">
        <f aca="false">IF(COUNT(Sorgo!$E9:$Z9)=0,0,MAX(0,IF((AN$6-$E$3)&lt;1,0,IFERROR(LOOKUP(2,1/(Sorgo!$E9:INDEX(Sorgo!$E9:$Z9,MIN(AN$6-$E$3,22))&lt;&gt;""),Sorgo!$E9:INDEX(Sorgo!$E9:$Z9,MIN(AN$6-$E$3,22))),0))-IF($G$2,0,IF((AN$6-$G$3)&lt;1,0,IFERROR(LOOKUP(2,1/(Sorgo!$E9:INDEX(Sorgo!$E9:$Z9,MIN(AN$6-$G$3,22))&lt;&gt;""),Sorgo!$E9:INDEX(Sorgo!$E9:$Z9,MIN(AN$6-$G$3,22))),0)))))</f>
        <v>0</v>
      </c>
      <c r="AO11" s="27" t="n">
        <f aca="false">IF(COUNT(Sorgo!$E9:$Z9)=0,0,MAX(0,IF((AO$6-$E$3)&lt;1,0,IFERROR(LOOKUP(2,1/(Sorgo!$E9:INDEX(Sorgo!$E9:$Z9,MIN(AO$6-$E$3,22))&lt;&gt;""),Sorgo!$E9:INDEX(Sorgo!$E9:$Z9,MIN(AO$6-$E$3,22))),0))-IF($G$2,0,IF((AO$6-$G$3)&lt;1,0,IFERROR(LOOKUP(2,1/(Sorgo!$E9:INDEX(Sorgo!$E9:$Z9,MIN(AO$6-$G$3,22))&lt;&gt;""),Sorgo!$E9:INDEX(Sorgo!$E9:$Z9,MIN(AO$6-$G$3,22))),0)))))</f>
        <v>0</v>
      </c>
      <c r="AP11" s="27" t="n">
        <f aca="false">IF(COUNT(Sorgo!$E9:$Z9)=0,0,MAX(0,IF((AP$6-$E$3)&lt;1,0,IFERROR(LOOKUP(2,1/(Sorgo!$E9:INDEX(Sorgo!$E9:$Z9,MIN(AP$6-$E$3,22))&lt;&gt;""),Sorgo!$E9:INDEX(Sorgo!$E9:$Z9,MIN(AP$6-$E$3,22))),0))-IF($G$2,0,IF((AP$6-$G$3)&lt;1,0,IFERROR(LOOKUP(2,1/(Sorgo!$E9:INDEX(Sorgo!$E9:$Z9,MIN(AP$6-$G$3,22))&lt;&gt;""),Sorgo!$E9:INDEX(Sorgo!$E9:$Z9,MIN(AP$6-$G$3,22))),0)))))</f>
        <v>0</v>
      </c>
      <c r="AQ11" s="27" t="n">
        <f aca="false">IF(COUNT(Sorgo!$E9:$Z9)=0,0,MAX(0,IF((AQ$6-$E$3)&lt;1,0,IFERROR(LOOKUP(2,1/(Sorgo!$E9:INDEX(Sorgo!$E9:$Z9,MIN(AQ$6-$E$3,22))&lt;&gt;""),Sorgo!$E9:INDEX(Sorgo!$E9:$Z9,MIN(AQ$6-$E$3,22))),0))-IF($G$2,0,IF((AQ$6-$G$3)&lt;1,0,IFERROR(LOOKUP(2,1/(Sorgo!$E9:INDEX(Sorgo!$E9:$Z9,MIN(AQ$6-$G$3,22))&lt;&gt;""),Sorgo!$E9:INDEX(Sorgo!$E9:$Z9,MIN(AQ$6-$G$3,22))),0)))))</f>
        <v>0</v>
      </c>
      <c r="AR11" s="27" t="n">
        <f aca="false">IF(COUNT(Sorgo!$E9:$Z9)=0,0,MAX(0,IF((AR$6-$E$3)&lt;1,0,IFERROR(LOOKUP(2,1/(Sorgo!$E9:INDEX(Sorgo!$E9:$Z9,MIN(AR$6-$E$3,22))&lt;&gt;""),Sorgo!$E9:INDEX(Sorgo!$E9:$Z9,MIN(AR$6-$E$3,22))),0))-IF($G$2,0,IF((AR$6-$G$3)&lt;1,0,IFERROR(LOOKUP(2,1/(Sorgo!$E9:INDEX(Sorgo!$E9:$Z9,MIN(AR$6-$G$3,22))&lt;&gt;""),Sorgo!$E9:INDEX(Sorgo!$E9:$Z9,MIN(AR$6-$G$3,22))),0)))))</f>
        <v>0</v>
      </c>
      <c r="AS11" s="27" t="n">
        <f aca="false">IF(COUNT(Sorgo!$E9:$Z9)=0,0,MAX(0,IF((AS$6-$E$3)&lt;1,0,IFERROR(LOOKUP(2,1/(Sorgo!$E9:INDEX(Sorgo!$E9:$Z9,MIN(AS$6-$E$3,22))&lt;&gt;""),Sorgo!$E9:INDEX(Sorgo!$E9:$Z9,MIN(AS$6-$E$3,22))),0))-IF($G$2,0,IF((AS$6-$G$3)&lt;1,0,IFERROR(LOOKUP(2,1/(Sorgo!$E9:INDEX(Sorgo!$E9:$Z9,MIN(AS$6-$G$3,22))&lt;&gt;""),Sorgo!$E9:INDEX(Sorgo!$E9:$Z9,MIN(AS$6-$G$3,22))),0)))))</f>
        <v>0</v>
      </c>
      <c r="AT11" s="27" t="n">
        <f aca="false">IF(COUNT(Sorgo!$E9:$Z9)=0,0,MAX(0,IF((AT$6-$E$3)&lt;1,0,IFERROR(LOOKUP(2,1/(Sorgo!$E9:INDEX(Sorgo!$E9:$Z9,MIN(AT$6-$E$3,22))&lt;&gt;""),Sorgo!$E9:INDEX(Sorgo!$E9:$Z9,MIN(AT$6-$E$3,22))),0))-IF($G$2,0,IF((AT$6-$G$3)&lt;1,0,IFERROR(LOOKUP(2,1/(Sorgo!$E9:INDEX(Sorgo!$E9:$Z9,MIN(AT$6-$G$3,22))&lt;&gt;""),Sorgo!$E9:INDEX(Sorgo!$E9:$Z9,MIN(AT$6-$G$3,22))),0)))))</f>
        <v>0</v>
      </c>
      <c r="AU11" s="27" t="n">
        <f aca="false">IF(COUNT(Sorgo!$E9:$Z9)=0,0,MAX(0,IF((AU$6-$E$3)&lt;1,0,IFERROR(LOOKUP(2,1/(Sorgo!$E9:INDEX(Sorgo!$E9:$Z9,MIN(AU$6-$E$3,22))&lt;&gt;""),Sorgo!$E9:INDEX(Sorgo!$E9:$Z9,MIN(AU$6-$E$3,22))),0))-IF($G$2,0,IF((AU$6-$G$3)&lt;1,0,IFERROR(LOOKUP(2,1/(Sorgo!$E9:INDEX(Sorgo!$E9:$Z9,MIN(AU$6-$G$3,22))&lt;&gt;""),Sorgo!$E9:INDEX(Sorgo!$E9:$Z9,MIN(AU$6-$G$3,22))),0)))))</f>
        <v>0</v>
      </c>
      <c r="AV11" s="27" t="n">
        <f aca="false">IF(COUNT(Sorgo!$E9:$Z9)=0,0,MAX(0,IF((AV$6-$E$3)&lt;1,0,IFERROR(LOOKUP(2,1/(Sorgo!$E9:INDEX(Sorgo!$E9:$Z9,MIN(AV$6-$E$3,22))&lt;&gt;""),Sorgo!$E9:INDEX(Sorgo!$E9:$Z9,MIN(AV$6-$E$3,22))),0))-IF($G$2,0,IF((AV$6-$G$3)&lt;1,0,IFERROR(LOOKUP(2,1/(Sorgo!$E9:INDEX(Sorgo!$E9:$Z9,MIN(AV$6-$G$3,22))&lt;&gt;""),Sorgo!$E9:INDEX(Sorgo!$E9:$Z9,MIN(AV$6-$G$3,22))),0)))))</f>
        <v>0</v>
      </c>
      <c r="AW11" s="27" t="n">
        <f aca="false">IF(COUNT(Sorgo!$E9:$Z9)=0,0,MAX(0,IF((AW$6-$E$3)&lt;1,0,IFERROR(LOOKUP(2,1/(Sorgo!$E9:INDEX(Sorgo!$E9:$Z9,MIN(AW$6-$E$3,22))&lt;&gt;""),Sorgo!$E9:INDEX(Sorgo!$E9:$Z9,MIN(AW$6-$E$3,22))),0))-IF($G$2,0,IF((AW$6-$G$3)&lt;1,0,IFERROR(LOOKUP(2,1/(Sorgo!$E9:INDEX(Sorgo!$E9:$Z9,MIN(AW$6-$G$3,22))&lt;&gt;""),Sorgo!$E9:INDEX(Sorgo!$E9:$Z9,MIN(AW$6-$G$3,22))),0)))))</f>
        <v>0</v>
      </c>
      <c r="AX11" s="27" t="n">
        <f aca="false">IF(COUNT(Sorgo!$E9:$Z9)=0,0,MAX(0,IF((AX$6-$E$3)&lt;1,0,IFERROR(LOOKUP(2,1/(Sorgo!$E9:INDEX(Sorgo!$E9:$Z9,MIN(AX$6-$E$3,22))&lt;&gt;""),Sorgo!$E9:INDEX(Sorgo!$E9:$Z9,MIN(AX$6-$E$3,22))),0))-IF($G$2,0,IF((AX$6-$G$3)&lt;1,0,IFERROR(LOOKUP(2,1/(Sorgo!$E9:INDEX(Sorgo!$E9:$Z9,MIN(AX$6-$G$3,22))&lt;&gt;""),Sorgo!$E9:INDEX(Sorgo!$E9:$Z9,MIN(AX$6-$G$3,22))),0)))))</f>
        <v>0</v>
      </c>
      <c r="AY11" s="27" t="n">
        <f aca="false">IF(COUNT(Sorgo!$E9:$Z9)=0,0,MAX(0,IF((AY$6-$E$3)&lt;1,0,IFERROR(LOOKUP(2,1/(Sorgo!$E9:INDEX(Sorgo!$E9:$Z9,MIN(AY$6-$E$3,22))&lt;&gt;""),Sorgo!$E9:INDEX(Sorgo!$E9:$Z9,MIN(AY$6-$E$3,22))),0))-IF($G$2,0,IF((AY$6-$G$3)&lt;1,0,IFERROR(LOOKUP(2,1/(Sorgo!$E9:INDEX(Sorgo!$E9:$Z9,MIN(AY$6-$G$3,22))&lt;&gt;""),Sorgo!$E9:INDEX(Sorgo!$E9:$Z9,MIN(AY$6-$G$3,22))),0)))))</f>
        <v>0</v>
      </c>
      <c r="AZ11" s="27" t="n">
        <f aca="false">IF(COUNT(Sorgo!$E9:$Z9)=0,0,MAX(0,IF((AZ$6-$E$3)&lt;1,0,IFERROR(LOOKUP(2,1/(Sorgo!$E9:INDEX(Sorgo!$E9:$Z9,MIN(AZ$6-$E$3,22))&lt;&gt;""),Sorgo!$E9:INDEX(Sorgo!$E9:$Z9,MIN(AZ$6-$E$3,22))),0))-IF($G$2,0,IF((AZ$6-$G$3)&lt;1,0,IFERROR(LOOKUP(2,1/(Sorgo!$E9:INDEX(Sorgo!$E9:$Z9,MIN(AZ$6-$G$3,22))&lt;&gt;""),Sorgo!$E9:INDEX(Sorgo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IF(COUNT(Sorgo!$E10:$Z10)&gt;0,N(Sorgo!$D10),0)</f>
        <v>0</v>
      </c>
      <c r="E12" s="27" t="n">
        <f aca="false">IF(COUNT(Sorgo!$E10:$Z10)=0,0,MAX(0,IF((E$6-$E$3)&lt;1,0,IFERROR(LOOKUP(2,1/(Sorgo!$E10:INDEX(Sorgo!$E10:$Z10,MIN(E$6-$E$3,22))&lt;&gt;""),Sorgo!$E10:INDEX(Sorgo!$E10:$Z10,MIN(E$6-$E$3,22))),0))-IF($G$2,0,IF((E$6-$G$3)&lt;1,0,IFERROR(LOOKUP(2,1/(Sorgo!$E10:INDEX(Sorgo!$E10:$Z10,MIN(E$6-$G$3,22))&lt;&gt;""),Sorgo!$E10:INDEX(Sorgo!$E10:$Z10,MIN(E$6-$G$3,22))),0)))))</f>
        <v>0</v>
      </c>
      <c r="F12" s="27" t="n">
        <f aca="false">IF(COUNT(Sorgo!$E10:$Z10)=0,0,MAX(0,IF((F$6-$E$3)&lt;1,0,IFERROR(LOOKUP(2,1/(Sorgo!$E10:INDEX(Sorgo!$E10:$Z10,MIN(F$6-$E$3,22))&lt;&gt;""),Sorgo!$E10:INDEX(Sorgo!$E10:$Z10,MIN(F$6-$E$3,22))),0))-IF($G$2,0,IF((F$6-$G$3)&lt;1,0,IFERROR(LOOKUP(2,1/(Sorgo!$E10:INDEX(Sorgo!$E10:$Z10,MIN(F$6-$G$3,22))&lt;&gt;""),Sorgo!$E10:INDEX(Sorgo!$E10:$Z10,MIN(F$6-$G$3,22))),0)))))</f>
        <v>0</v>
      </c>
      <c r="G12" s="27" t="n">
        <f aca="false">IF(COUNT(Sorgo!$E10:$Z10)=0,0,MAX(0,IF((G$6-$E$3)&lt;1,0,IFERROR(LOOKUP(2,1/(Sorgo!$E10:INDEX(Sorgo!$E10:$Z10,MIN(G$6-$E$3,22))&lt;&gt;""),Sorgo!$E10:INDEX(Sorgo!$E10:$Z10,MIN(G$6-$E$3,22))),0))-IF($G$2,0,IF((G$6-$G$3)&lt;1,0,IFERROR(LOOKUP(2,1/(Sorgo!$E10:INDEX(Sorgo!$E10:$Z10,MIN(G$6-$G$3,22))&lt;&gt;""),Sorgo!$E10:INDEX(Sorgo!$E10:$Z10,MIN(G$6-$G$3,22))),0)))))</f>
        <v>0</v>
      </c>
      <c r="H12" s="27" t="n">
        <f aca="false">IF(COUNT(Sorgo!$E10:$Z10)=0,0,MAX(0,IF((H$6-$E$3)&lt;1,0,IFERROR(LOOKUP(2,1/(Sorgo!$E10:INDEX(Sorgo!$E10:$Z10,MIN(H$6-$E$3,22))&lt;&gt;""),Sorgo!$E10:INDEX(Sorgo!$E10:$Z10,MIN(H$6-$E$3,22))),0))-IF($G$2,0,IF((H$6-$G$3)&lt;1,0,IFERROR(LOOKUP(2,1/(Sorgo!$E10:INDEX(Sorgo!$E10:$Z10,MIN(H$6-$G$3,22))&lt;&gt;""),Sorgo!$E10:INDEX(Sorgo!$E10:$Z10,MIN(H$6-$G$3,22))),0)))))</f>
        <v>0</v>
      </c>
      <c r="I12" s="27" t="n">
        <f aca="false">IF(COUNT(Sorgo!$E10:$Z10)=0,0,MAX(0,IF((I$6-$E$3)&lt;1,0,IFERROR(LOOKUP(2,1/(Sorgo!$E10:INDEX(Sorgo!$E10:$Z10,MIN(I$6-$E$3,22))&lt;&gt;""),Sorgo!$E10:INDEX(Sorgo!$E10:$Z10,MIN(I$6-$E$3,22))),0))-IF($G$2,0,IF((I$6-$G$3)&lt;1,0,IFERROR(LOOKUP(2,1/(Sorgo!$E10:INDEX(Sorgo!$E10:$Z10,MIN(I$6-$G$3,22))&lt;&gt;""),Sorgo!$E10:INDEX(Sorgo!$E10:$Z10,MIN(I$6-$G$3,22))),0)))))</f>
        <v>0</v>
      </c>
      <c r="J12" s="27" t="n">
        <f aca="false">IF(COUNT(Sorgo!$E10:$Z10)=0,0,MAX(0,IF((J$6-$E$3)&lt;1,0,IFERROR(LOOKUP(2,1/(Sorgo!$E10:INDEX(Sorgo!$E10:$Z10,MIN(J$6-$E$3,22))&lt;&gt;""),Sorgo!$E10:INDEX(Sorgo!$E10:$Z10,MIN(J$6-$E$3,22))),0))-IF($G$2,0,IF((J$6-$G$3)&lt;1,0,IFERROR(LOOKUP(2,1/(Sorgo!$E10:INDEX(Sorgo!$E10:$Z10,MIN(J$6-$G$3,22))&lt;&gt;""),Sorgo!$E10:INDEX(Sorgo!$E10:$Z10,MIN(J$6-$G$3,22))),0)))))</f>
        <v>0</v>
      </c>
      <c r="K12" s="27" t="n">
        <f aca="false">IF(COUNT(Sorgo!$E10:$Z10)=0,0,MAX(0,IF((K$6-$E$3)&lt;1,0,IFERROR(LOOKUP(2,1/(Sorgo!$E10:INDEX(Sorgo!$E10:$Z10,MIN(K$6-$E$3,22))&lt;&gt;""),Sorgo!$E10:INDEX(Sorgo!$E10:$Z10,MIN(K$6-$E$3,22))),0))-IF($G$2,0,IF((K$6-$G$3)&lt;1,0,IFERROR(LOOKUP(2,1/(Sorgo!$E10:INDEX(Sorgo!$E10:$Z10,MIN(K$6-$G$3,22))&lt;&gt;""),Sorgo!$E10:INDEX(Sorgo!$E10:$Z10,MIN(K$6-$G$3,22))),0)))))</f>
        <v>0</v>
      </c>
      <c r="L12" s="27" t="n">
        <f aca="false">IF(COUNT(Sorgo!$E10:$Z10)=0,0,MAX(0,IF((L$6-$E$3)&lt;1,0,IFERROR(LOOKUP(2,1/(Sorgo!$E10:INDEX(Sorgo!$E10:$Z10,MIN(L$6-$E$3,22))&lt;&gt;""),Sorgo!$E10:INDEX(Sorgo!$E10:$Z10,MIN(L$6-$E$3,22))),0))-IF($G$2,0,IF((L$6-$G$3)&lt;1,0,IFERROR(LOOKUP(2,1/(Sorgo!$E10:INDEX(Sorgo!$E10:$Z10,MIN(L$6-$G$3,22))&lt;&gt;""),Sorgo!$E10:INDEX(Sorgo!$E10:$Z10,MIN(L$6-$G$3,22))),0)))))</f>
        <v>0</v>
      </c>
      <c r="M12" s="27" t="n">
        <f aca="false">IF(COUNT(Sorgo!$E10:$Z10)=0,0,MAX(0,IF((M$6-$E$3)&lt;1,0,IFERROR(LOOKUP(2,1/(Sorgo!$E10:INDEX(Sorgo!$E10:$Z10,MIN(M$6-$E$3,22))&lt;&gt;""),Sorgo!$E10:INDEX(Sorgo!$E10:$Z10,MIN(M$6-$E$3,22))),0))-IF($G$2,0,IF((M$6-$G$3)&lt;1,0,IFERROR(LOOKUP(2,1/(Sorgo!$E10:INDEX(Sorgo!$E10:$Z10,MIN(M$6-$G$3,22))&lt;&gt;""),Sorgo!$E10:INDEX(Sorgo!$E10:$Z10,MIN(M$6-$G$3,22))),0)))))</f>
        <v>0</v>
      </c>
      <c r="N12" s="27" t="n">
        <f aca="false">IF(COUNT(Sorgo!$E10:$Z10)=0,0,MAX(0,IF((N$6-$E$3)&lt;1,0,IFERROR(LOOKUP(2,1/(Sorgo!$E10:INDEX(Sorgo!$E10:$Z10,MIN(N$6-$E$3,22))&lt;&gt;""),Sorgo!$E10:INDEX(Sorgo!$E10:$Z10,MIN(N$6-$E$3,22))),0))-IF($G$2,0,IF((N$6-$G$3)&lt;1,0,IFERROR(LOOKUP(2,1/(Sorgo!$E10:INDEX(Sorgo!$E10:$Z10,MIN(N$6-$G$3,22))&lt;&gt;""),Sorgo!$E10:INDEX(Sorgo!$E10:$Z10,MIN(N$6-$G$3,22))),0)))))</f>
        <v>0</v>
      </c>
      <c r="O12" s="27" t="n">
        <f aca="false">IF(COUNT(Sorgo!$E10:$Z10)=0,0,MAX(0,IF((O$6-$E$3)&lt;1,0,IFERROR(LOOKUP(2,1/(Sorgo!$E10:INDEX(Sorgo!$E10:$Z10,MIN(O$6-$E$3,22))&lt;&gt;""),Sorgo!$E10:INDEX(Sorgo!$E10:$Z10,MIN(O$6-$E$3,22))),0))-IF($G$2,0,IF((O$6-$G$3)&lt;1,0,IFERROR(LOOKUP(2,1/(Sorgo!$E10:INDEX(Sorgo!$E10:$Z10,MIN(O$6-$G$3,22))&lt;&gt;""),Sorgo!$E10:INDEX(Sorgo!$E10:$Z10,MIN(O$6-$G$3,22))),0)))))</f>
        <v>0</v>
      </c>
      <c r="P12" s="27" t="n">
        <f aca="false">IF(COUNT(Sorgo!$E10:$Z10)=0,0,MAX(0,IF((P$6-$E$3)&lt;1,0,IFERROR(LOOKUP(2,1/(Sorgo!$E10:INDEX(Sorgo!$E10:$Z10,MIN(P$6-$E$3,22))&lt;&gt;""),Sorgo!$E10:INDEX(Sorgo!$E10:$Z10,MIN(P$6-$E$3,22))),0))-IF($G$2,0,IF((P$6-$G$3)&lt;1,0,IFERROR(LOOKUP(2,1/(Sorgo!$E10:INDEX(Sorgo!$E10:$Z10,MIN(P$6-$G$3,22))&lt;&gt;""),Sorgo!$E10:INDEX(Sorgo!$E10:$Z10,MIN(P$6-$G$3,22))),0)))))</f>
        <v>0</v>
      </c>
      <c r="Q12" s="27" t="n">
        <f aca="false">IF(COUNT(Sorgo!$E10:$Z10)=0,0,MAX(0,IF((Q$6-$E$3)&lt;1,0,IFERROR(LOOKUP(2,1/(Sorgo!$E10:INDEX(Sorgo!$E10:$Z10,MIN(Q$6-$E$3,22))&lt;&gt;""),Sorgo!$E10:INDEX(Sorgo!$E10:$Z10,MIN(Q$6-$E$3,22))),0))-IF($G$2,0,IF((Q$6-$G$3)&lt;1,0,IFERROR(LOOKUP(2,1/(Sorgo!$E10:INDEX(Sorgo!$E10:$Z10,MIN(Q$6-$G$3,22))&lt;&gt;""),Sorgo!$E10:INDEX(Sorgo!$E10:$Z10,MIN(Q$6-$G$3,22))),0)))))</f>
        <v>0</v>
      </c>
      <c r="R12" s="27" t="n">
        <f aca="false">IF(COUNT(Sorgo!$E10:$Z10)=0,0,MAX(0,IF((R$6-$E$3)&lt;1,0,IFERROR(LOOKUP(2,1/(Sorgo!$E10:INDEX(Sorgo!$E10:$Z10,MIN(R$6-$E$3,22))&lt;&gt;""),Sorgo!$E10:INDEX(Sorgo!$E10:$Z10,MIN(R$6-$E$3,22))),0))-IF($G$2,0,IF((R$6-$G$3)&lt;1,0,IFERROR(LOOKUP(2,1/(Sorgo!$E10:INDEX(Sorgo!$E10:$Z10,MIN(R$6-$G$3,22))&lt;&gt;""),Sorgo!$E10:INDEX(Sorgo!$E10:$Z10,MIN(R$6-$G$3,22))),0)))))</f>
        <v>0</v>
      </c>
      <c r="S12" s="27" t="n">
        <f aca="false">IF(COUNT(Sorgo!$E10:$Z10)=0,0,MAX(0,IF((S$6-$E$3)&lt;1,0,IFERROR(LOOKUP(2,1/(Sorgo!$E10:INDEX(Sorgo!$E10:$Z10,MIN(S$6-$E$3,22))&lt;&gt;""),Sorgo!$E10:INDEX(Sorgo!$E10:$Z10,MIN(S$6-$E$3,22))),0))-IF($G$2,0,IF((S$6-$G$3)&lt;1,0,IFERROR(LOOKUP(2,1/(Sorgo!$E10:INDEX(Sorgo!$E10:$Z10,MIN(S$6-$G$3,22))&lt;&gt;""),Sorgo!$E10:INDEX(Sorgo!$E10:$Z10,MIN(S$6-$G$3,22))),0)))))</f>
        <v>0</v>
      </c>
      <c r="T12" s="27" t="n">
        <f aca="false">IF(COUNT(Sorgo!$E10:$Z10)=0,0,MAX(0,IF((T$6-$E$3)&lt;1,0,IFERROR(LOOKUP(2,1/(Sorgo!$E10:INDEX(Sorgo!$E10:$Z10,MIN(T$6-$E$3,22))&lt;&gt;""),Sorgo!$E10:INDEX(Sorgo!$E10:$Z10,MIN(T$6-$E$3,22))),0))-IF($G$2,0,IF((T$6-$G$3)&lt;1,0,IFERROR(LOOKUP(2,1/(Sorgo!$E10:INDEX(Sorgo!$E10:$Z10,MIN(T$6-$G$3,22))&lt;&gt;""),Sorgo!$E10:INDEX(Sorgo!$E10:$Z10,MIN(T$6-$G$3,22))),0)))))</f>
        <v>0</v>
      </c>
      <c r="U12" s="27" t="n">
        <f aca="false">IF(COUNT(Sorgo!$E10:$Z10)=0,0,MAX(0,IF((U$6-$E$3)&lt;1,0,IFERROR(LOOKUP(2,1/(Sorgo!$E10:INDEX(Sorgo!$E10:$Z10,MIN(U$6-$E$3,22))&lt;&gt;""),Sorgo!$E10:INDEX(Sorgo!$E10:$Z10,MIN(U$6-$E$3,22))),0))-IF($G$2,0,IF((U$6-$G$3)&lt;1,0,IFERROR(LOOKUP(2,1/(Sorgo!$E10:INDEX(Sorgo!$E10:$Z10,MIN(U$6-$G$3,22))&lt;&gt;""),Sorgo!$E10:INDEX(Sorgo!$E10:$Z10,MIN(U$6-$G$3,22))),0)))))</f>
        <v>0</v>
      </c>
      <c r="V12" s="27" t="n">
        <f aca="false">IF(COUNT(Sorgo!$E10:$Z10)=0,0,MAX(0,IF((V$6-$E$3)&lt;1,0,IFERROR(LOOKUP(2,1/(Sorgo!$E10:INDEX(Sorgo!$E10:$Z10,MIN(V$6-$E$3,22))&lt;&gt;""),Sorgo!$E10:INDEX(Sorgo!$E10:$Z10,MIN(V$6-$E$3,22))),0))-IF($G$2,0,IF((V$6-$G$3)&lt;1,0,IFERROR(LOOKUP(2,1/(Sorgo!$E10:INDEX(Sorgo!$E10:$Z10,MIN(V$6-$G$3,22))&lt;&gt;""),Sorgo!$E10:INDEX(Sorgo!$E10:$Z10,MIN(V$6-$G$3,22))),0)))))</f>
        <v>0</v>
      </c>
      <c r="W12" s="27" t="n">
        <f aca="false">IF(COUNT(Sorgo!$E10:$Z10)=0,0,MAX(0,IF((W$6-$E$3)&lt;1,0,IFERROR(LOOKUP(2,1/(Sorgo!$E10:INDEX(Sorgo!$E10:$Z10,MIN(W$6-$E$3,22))&lt;&gt;""),Sorgo!$E10:INDEX(Sorgo!$E10:$Z10,MIN(W$6-$E$3,22))),0))-IF($G$2,0,IF((W$6-$G$3)&lt;1,0,IFERROR(LOOKUP(2,1/(Sorgo!$E10:INDEX(Sorgo!$E10:$Z10,MIN(W$6-$G$3,22))&lt;&gt;""),Sorgo!$E10:INDEX(Sorgo!$E10:$Z10,MIN(W$6-$G$3,22))),0)))))</f>
        <v>0</v>
      </c>
      <c r="X12" s="27" t="n">
        <f aca="false">IF(COUNT(Sorgo!$E10:$Z10)=0,0,MAX(0,IF((X$6-$E$3)&lt;1,0,IFERROR(LOOKUP(2,1/(Sorgo!$E10:INDEX(Sorgo!$E10:$Z10,MIN(X$6-$E$3,22))&lt;&gt;""),Sorgo!$E10:INDEX(Sorgo!$E10:$Z10,MIN(X$6-$E$3,22))),0))-IF($G$2,0,IF((X$6-$G$3)&lt;1,0,IFERROR(LOOKUP(2,1/(Sorgo!$E10:INDEX(Sorgo!$E10:$Z10,MIN(X$6-$G$3,22))&lt;&gt;""),Sorgo!$E10:INDEX(Sorgo!$E10:$Z10,MIN(X$6-$G$3,22))),0)))))</f>
        <v>0</v>
      </c>
      <c r="Y12" s="27" t="n">
        <f aca="false">IF(COUNT(Sorgo!$E10:$Z10)=0,0,MAX(0,IF((Y$6-$E$3)&lt;1,0,IFERROR(LOOKUP(2,1/(Sorgo!$E10:INDEX(Sorgo!$E10:$Z10,MIN(Y$6-$E$3,22))&lt;&gt;""),Sorgo!$E10:INDEX(Sorgo!$E10:$Z10,MIN(Y$6-$E$3,22))),0))-IF($G$2,0,IF((Y$6-$G$3)&lt;1,0,IFERROR(LOOKUP(2,1/(Sorgo!$E10:INDEX(Sorgo!$E10:$Z10,MIN(Y$6-$G$3,22))&lt;&gt;""),Sorgo!$E10:INDEX(Sorgo!$E10:$Z10,MIN(Y$6-$G$3,22))),0)))))</f>
        <v>0</v>
      </c>
      <c r="Z12" s="27" t="n">
        <f aca="false">IF(COUNT(Sorgo!$E10:$Z10)=0,0,MAX(0,IF((Z$6-$E$3)&lt;1,0,IFERROR(LOOKUP(2,1/(Sorgo!$E10:INDEX(Sorgo!$E10:$Z10,MIN(Z$6-$E$3,22))&lt;&gt;""),Sorgo!$E10:INDEX(Sorgo!$E10:$Z10,MIN(Z$6-$E$3,22))),0))-IF($G$2,0,IF((Z$6-$G$3)&lt;1,0,IFERROR(LOOKUP(2,1/(Sorgo!$E10:INDEX(Sorgo!$E10:$Z10,MIN(Z$6-$G$3,22))&lt;&gt;""),Sorgo!$E10:INDEX(Sorgo!$E10:$Z10,MIN(Z$6-$G$3,22))),0)))))</f>
        <v>0</v>
      </c>
      <c r="AA12" s="27" t="n">
        <f aca="false">IF(COUNT(Sorgo!$E10:$Z10)=0,0,MAX(0,IF((AA$6-$E$3)&lt;1,0,IFERROR(LOOKUP(2,1/(Sorgo!$E10:INDEX(Sorgo!$E10:$Z10,MIN(AA$6-$E$3,22))&lt;&gt;""),Sorgo!$E10:INDEX(Sorgo!$E10:$Z10,MIN(AA$6-$E$3,22))),0))-IF($G$2,0,IF((AA$6-$G$3)&lt;1,0,IFERROR(LOOKUP(2,1/(Sorgo!$E10:INDEX(Sorgo!$E10:$Z10,MIN(AA$6-$G$3,22))&lt;&gt;""),Sorgo!$E10:INDEX(Sorgo!$E10:$Z10,MIN(AA$6-$G$3,22))),0)))))</f>
        <v>0</v>
      </c>
      <c r="AB12" s="27" t="n">
        <f aca="false">IF(COUNT(Sorgo!$E10:$Z10)=0,0,MAX(0,IF((AB$6-$E$3)&lt;1,0,IFERROR(LOOKUP(2,1/(Sorgo!$E10:INDEX(Sorgo!$E10:$Z10,MIN(AB$6-$E$3,22))&lt;&gt;""),Sorgo!$E10:INDEX(Sorgo!$E10:$Z10,MIN(AB$6-$E$3,22))),0))-IF($G$2,0,IF((AB$6-$G$3)&lt;1,0,IFERROR(LOOKUP(2,1/(Sorgo!$E10:INDEX(Sorgo!$E10:$Z10,MIN(AB$6-$G$3,22))&lt;&gt;""),Sorgo!$E10:INDEX(Sorgo!$E10:$Z10,MIN(AB$6-$G$3,22))),0)))))</f>
        <v>0</v>
      </c>
      <c r="AC12" s="27" t="n">
        <f aca="false">IF(COUNT(Sorgo!$E10:$Z10)=0,0,MAX(0,IF((AC$6-$E$3)&lt;1,0,IFERROR(LOOKUP(2,1/(Sorgo!$E10:INDEX(Sorgo!$E10:$Z10,MIN(AC$6-$E$3,22))&lt;&gt;""),Sorgo!$E10:INDEX(Sorgo!$E10:$Z10,MIN(AC$6-$E$3,22))),0))-IF($G$2,0,IF((AC$6-$G$3)&lt;1,0,IFERROR(LOOKUP(2,1/(Sorgo!$E10:INDEX(Sorgo!$E10:$Z10,MIN(AC$6-$G$3,22))&lt;&gt;""),Sorgo!$E10:INDEX(Sorgo!$E10:$Z10,MIN(AC$6-$G$3,22))),0)))))</f>
        <v>0</v>
      </c>
      <c r="AD12" s="27" t="n">
        <f aca="false">IF(COUNT(Sorgo!$E10:$Z10)=0,0,MAX(0,IF((AD$6-$E$3)&lt;1,0,IFERROR(LOOKUP(2,1/(Sorgo!$E10:INDEX(Sorgo!$E10:$Z10,MIN(AD$6-$E$3,22))&lt;&gt;""),Sorgo!$E10:INDEX(Sorgo!$E10:$Z10,MIN(AD$6-$E$3,22))),0))-IF($G$2,0,IF((AD$6-$G$3)&lt;1,0,IFERROR(LOOKUP(2,1/(Sorgo!$E10:INDEX(Sorgo!$E10:$Z10,MIN(AD$6-$G$3,22))&lt;&gt;""),Sorgo!$E10:INDEX(Sorgo!$E10:$Z10,MIN(AD$6-$G$3,22))),0)))))</f>
        <v>0</v>
      </c>
      <c r="AE12" s="27" t="n">
        <f aca="false">IF(COUNT(Sorgo!$E10:$Z10)=0,0,MAX(0,IF((AE$6-$E$3)&lt;1,0,IFERROR(LOOKUP(2,1/(Sorgo!$E10:INDEX(Sorgo!$E10:$Z10,MIN(AE$6-$E$3,22))&lt;&gt;""),Sorgo!$E10:INDEX(Sorgo!$E10:$Z10,MIN(AE$6-$E$3,22))),0))-IF($G$2,0,IF((AE$6-$G$3)&lt;1,0,IFERROR(LOOKUP(2,1/(Sorgo!$E10:INDEX(Sorgo!$E10:$Z10,MIN(AE$6-$G$3,22))&lt;&gt;""),Sorgo!$E10:INDEX(Sorgo!$E10:$Z10,MIN(AE$6-$G$3,22))),0)))))</f>
        <v>0</v>
      </c>
      <c r="AF12" s="27" t="n">
        <f aca="false">IF(COUNT(Sorgo!$E10:$Z10)=0,0,MAX(0,IF((AF$6-$E$3)&lt;1,0,IFERROR(LOOKUP(2,1/(Sorgo!$E10:INDEX(Sorgo!$E10:$Z10,MIN(AF$6-$E$3,22))&lt;&gt;""),Sorgo!$E10:INDEX(Sorgo!$E10:$Z10,MIN(AF$6-$E$3,22))),0))-IF($G$2,0,IF((AF$6-$G$3)&lt;1,0,IFERROR(LOOKUP(2,1/(Sorgo!$E10:INDEX(Sorgo!$E10:$Z10,MIN(AF$6-$G$3,22))&lt;&gt;""),Sorgo!$E10:INDEX(Sorgo!$E10:$Z10,MIN(AF$6-$G$3,22))),0)))))</f>
        <v>0</v>
      </c>
      <c r="AG12" s="27" t="n">
        <f aca="false">IF(COUNT(Sorgo!$E10:$Z10)=0,0,MAX(0,IF((AG$6-$E$3)&lt;1,0,IFERROR(LOOKUP(2,1/(Sorgo!$E10:INDEX(Sorgo!$E10:$Z10,MIN(AG$6-$E$3,22))&lt;&gt;""),Sorgo!$E10:INDEX(Sorgo!$E10:$Z10,MIN(AG$6-$E$3,22))),0))-IF($G$2,0,IF((AG$6-$G$3)&lt;1,0,IFERROR(LOOKUP(2,1/(Sorgo!$E10:INDEX(Sorgo!$E10:$Z10,MIN(AG$6-$G$3,22))&lt;&gt;""),Sorgo!$E10:INDEX(Sorgo!$E10:$Z10,MIN(AG$6-$G$3,22))),0)))))</f>
        <v>0</v>
      </c>
      <c r="AH12" s="27" t="n">
        <f aca="false">IF(COUNT(Sorgo!$E10:$Z10)=0,0,MAX(0,IF((AH$6-$E$3)&lt;1,0,IFERROR(LOOKUP(2,1/(Sorgo!$E10:INDEX(Sorgo!$E10:$Z10,MIN(AH$6-$E$3,22))&lt;&gt;""),Sorgo!$E10:INDEX(Sorgo!$E10:$Z10,MIN(AH$6-$E$3,22))),0))-IF($G$2,0,IF((AH$6-$G$3)&lt;1,0,IFERROR(LOOKUP(2,1/(Sorgo!$E10:INDEX(Sorgo!$E10:$Z10,MIN(AH$6-$G$3,22))&lt;&gt;""),Sorgo!$E10:INDEX(Sorgo!$E10:$Z10,MIN(AH$6-$G$3,22))),0)))))</f>
        <v>0</v>
      </c>
      <c r="AI12" s="27" t="n">
        <f aca="false">IF(COUNT(Sorgo!$E10:$Z10)=0,0,MAX(0,IF((AI$6-$E$3)&lt;1,0,IFERROR(LOOKUP(2,1/(Sorgo!$E10:INDEX(Sorgo!$E10:$Z10,MIN(AI$6-$E$3,22))&lt;&gt;""),Sorgo!$E10:INDEX(Sorgo!$E10:$Z10,MIN(AI$6-$E$3,22))),0))-IF($G$2,0,IF((AI$6-$G$3)&lt;1,0,IFERROR(LOOKUP(2,1/(Sorgo!$E10:INDEX(Sorgo!$E10:$Z10,MIN(AI$6-$G$3,22))&lt;&gt;""),Sorgo!$E10:INDEX(Sorgo!$E10:$Z10,MIN(AI$6-$G$3,22))),0)))))</f>
        <v>0</v>
      </c>
      <c r="AJ12" s="27" t="n">
        <f aca="false">IF(COUNT(Sorgo!$E10:$Z10)=0,0,MAX(0,IF((AJ$6-$E$3)&lt;1,0,IFERROR(LOOKUP(2,1/(Sorgo!$E10:INDEX(Sorgo!$E10:$Z10,MIN(AJ$6-$E$3,22))&lt;&gt;""),Sorgo!$E10:INDEX(Sorgo!$E10:$Z10,MIN(AJ$6-$E$3,22))),0))-IF($G$2,0,IF((AJ$6-$G$3)&lt;1,0,IFERROR(LOOKUP(2,1/(Sorgo!$E10:INDEX(Sorgo!$E10:$Z10,MIN(AJ$6-$G$3,22))&lt;&gt;""),Sorgo!$E10:INDEX(Sorgo!$E10:$Z10,MIN(AJ$6-$G$3,22))),0)))))</f>
        <v>0</v>
      </c>
      <c r="AK12" s="27" t="n">
        <f aca="false">IF(COUNT(Sorgo!$E10:$Z10)=0,0,MAX(0,IF((AK$6-$E$3)&lt;1,0,IFERROR(LOOKUP(2,1/(Sorgo!$E10:INDEX(Sorgo!$E10:$Z10,MIN(AK$6-$E$3,22))&lt;&gt;""),Sorgo!$E10:INDEX(Sorgo!$E10:$Z10,MIN(AK$6-$E$3,22))),0))-IF($G$2,0,IF((AK$6-$G$3)&lt;1,0,IFERROR(LOOKUP(2,1/(Sorgo!$E10:INDEX(Sorgo!$E10:$Z10,MIN(AK$6-$G$3,22))&lt;&gt;""),Sorgo!$E10:INDEX(Sorgo!$E10:$Z10,MIN(AK$6-$G$3,22))),0)))))</f>
        <v>0</v>
      </c>
      <c r="AL12" s="27" t="n">
        <f aca="false">IF(COUNT(Sorgo!$E10:$Z10)=0,0,MAX(0,IF((AL$6-$E$3)&lt;1,0,IFERROR(LOOKUP(2,1/(Sorgo!$E10:INDEX(Sorgo!$E10:$Z10,MIN(AL$6-$E$3,22))&lt;&gt;""),Sorgo!$E10:INDEX(Sorgo!$E10:$Z10,MIN(AL$6-$E$3,22))),0))-IF($G$2,0,IF((AL$6-$G$3)&lt;1,0,IFERROR(LOOKUP(2,1/(Sorgo!$E10:INDEX(Sorgo!$E10:$Z10,MIN(AL$6-$G$3,22))&lt;&gt;""),Sorgo!$E10:INDEX(Sorgo!$E10:$Z10,MIN(AL$6-$G$3,22))),0)))))</f>
        <v>0</v>
      </c>
      <c r="AM12" s="27" t="n">
        <f aca="false">IF(COUNT(Sorgo!$E10:$Z10)=0,0,MAX(0,IF((AM$6-$E$3)&lt;1,0,IFERROR(LOOKUP(2,1/(Sorgo!$E10:INDEX(Sorgo!$E10:$Z10,MIN(AM$6-$E$3,22))&lt;&gt;""),Sorgo!$E10:INDEX(Sorgo!$E10:$Z10,MIN(AM$6-$E$3,22))),0))-IF($G$2,0,IF((AM$6-$G$3)&lt;1,0,IFERROR(LOOKUP(2,1/(Sorgo!$E10:INDEX(Sorgo!$E10:$Z10,MIN(AM$6-$G$3,22))&lt;&gt;""),Sorgo!$E10:INDEX(Sorgo!$E10:$Z10,MIN(AM$6-$G$3,22))),0)))))</f>
        <v>0</v>
      </c>
      <c r="AN12" s="27" t="n">
        <f aca="false">IF(COUNT(Sorgo!$E10:$Z10)=0,0,MAX(0,IF((AN$6-$E$3)&lt;1,0,IFERROR(LOOKUP(2,1/(Sorgo!$E10:INDEX(Sorgo!$E10:$Z10,MIN(AN$6-$E$3,22))&lt;&gt;""),Sorgo!$E10:INDEX(Sorgo!$E10:$Z10,MIN(AN$6-$E$3,22))),0))-IF($G$2,0,IF((AN$6-$G$3)&lt;1,0,IFERROR(LOOKUP(2,1/(Sorgo!$E10:INDEX(Sorgo!$E10:$Z10,MIN(AN$6-$G$3,22))&lt;&gt;""),Sorgo!$E10:INDEX(Sorgo!$E10:$Z10,MIN(AN$6-$G$3,22))),0)))))</f>
        <v>0</v>
      </c>
      <c r="AO12" s="27" t="n">
        <f aca="false">IF(COUNT(Sorgo!$E10:$Z10)=0,0,MAX(0,IF((AO$6-$E$3)&lt;1,0,IFERROR(LOOKUP(2,1/(Sorgo!$E10:INDEX(Sorgo!$E10:$Z10,MIN(AO$6-$E$3,22))&lt;&gt;""),Sorgo!$E10:INDEX(Sorgo!$E10:$Z10,MIN(AO$6-$E$3,22))),0))-IF($G$2,0,IF((AO$6-$G$3)&lt;1,0,IFERROR(LOOKUP(2,1/(Sorgo!$E10:INDEX(Sorgo!$E10:$Z10,MIN(AO$6-$G$3,22))&lt;&gt;""),Sorgo!$E10:INDEX(Sorgo!$E10:$Z10,MIN(AO$6-$G$3,22))),0)))))</f>
        <v>0</v>
      </c>
      <c r="AP12" s="27" t="n">
        <f aca="false">IF(COUNT(Sorgo!$E10:$Z10)=0,0,MAX(0,IF((AP$6-$E$3)&lt;1,0,IFERROR(LOOKUP(2,1/(Sorgo!$E10:INDEX(Sorgo!$E10:$Z10,MIN(AP$6-$E$3,22))&lt;&gt;""),Sorgo!$E10:INDEX(Sorgo!$E10:$Z10,MIN(AP$6-$E$3,22))),0))-IF($G$2,0,IF((AP$6-$G$3)&lt;1,0,IFERROR(LOOKUP(2,1/(Sorgo!$E10:INDEX(Sorgo!$E10:$Z10,MIN(AP$6-$G$3,22))&lt;&gt;""),Sorgo!$E10:INDEX(Sorgo!$E10:$Z10,MIN(AP$6-$G$3,22))),0)))))</f>
        <v>0</v>
      </c>
      <c r="AQ12" s="27" t="n">
        <f aca="false">IF(COUNT(Sorgo!$E10:$Z10)=0,0,MAX(0,IF((AQ$6-$E$3)&lt;1,0,IFERROR(LOOKUP(2,1/(Sorgo!$E10:INDEX(Sorgo!$E10:$Z10,MIN(AQ$6-$E$3,22))&lt;&gt;""),Sorgo!$E10:INDEX(Sorgo!$E10:$Z10,MIN(AQ$6-$E$3,22))),0))-IF($G$2,0,IF((AQ$6-$G$3)&lt;1,0,IFERROR(LOOKUP(2,1/(Sorgo!$E10:INDEX(Sorgo!$E10:$Z10,MIN(AQ$6-$G$3,22))&lt;&gt;""),Sorgo!$E10:INDEX(Sorgo!$E10:$Z10,MIN(AQ$6-$G$3,22))),0)))))</f>
        <v>0</v>
      </c>
      <c r="AR12" s="27" t="n">
        <f aca="false">IF(COUNT(Sorgo!$E10:$Z10)=0,0,MAX(0,IF((AR$6-$E$3)&lt;1,0,IFERROR(LOOKUP(2,1/(Sorgo!$E10:INDEX(Sorgo!$E10:$Z10,MIN(AR$6-$E$3,22))&lt;&gt;""),Sorgo!$E10:INDEX(Sorgo!$E10:$Z10,MIN(AR$6-$E$3,22))),0))-IF($G$2,0,IF((AR$6-$G$3)&lt;1,0,IFERROR(LOOKUP(2,1/(Sorgo!$E10:INDEX(Sorgo!$E10:$Z10,MIN(AR$6-$G$3,22))&lt;&gt;""),Sorgo!$E10:INDEX(Sorgo!$E10:$Z10,MIN(AR$6-$G$3,22))),0)))))</f>
        <v>0</v>
      </c>
      <c r="AS12" s="27" t="n">
        <f aca="false">IF(COUNT(Sorgo!$E10:$Z10)=0,0,MAX(0,IF((AS$6-$E$3)&lt;1,0,IFERROR(LOOKUP(2,1/(Sorgo!$E10:INDEX(Sorgo!$E10:$Z10,MIN(AS$6-$E$3,22))&lt;&gt;""),Sorgo!$E10:INDEX(Sorgo!$E10:$Z10,MIN(AS$6-$E$3,22))),0))-IF($G$2,0,IF((AS$6-$G$3)&lt;1,0,IFERROR(LOOKUP(2,1/(Sorgo!$E10:INDEX(Sorgo!$E10:$Z10,MIN(AS$6-$G$3,22))&lt;&gt;""),Sorgo!$E10:INDEX(Sorgo!$E10:$Z10,MIN(AS$6-$G$3,22))),0)))))</f>
        <v>0</v>
      </c>
      <c r="AT12" s="27" t="n">
        <f aca="false">IF(COUNT(Sorgo!$E10:$Z10)=0,0,MAX(0,IF((AT$6-$E$3)&lt;1,0,IFERROR(LOOKUP(2,1/(Sorgo!$E10:INDEX(Sorgo!$E10:$Z10,MIN(AT$6-$E$3,22))&lt;&gt;""),Sorgo!$E10:INDEX(Sorgo!$E10:$Z10,MIN(AT$6-$E$3,22))),0))-IF($G$2,0,IF((AT$6-$G$3)&lt;1,0,IFERROR(LOOKUP(2,1/(Sorgo!$E10:INDEX(Sorgo!$E10:$Z10,MIN(AT$6-$G$3,22))&lt;&gt;""),Sorgo!$E10:INDEX(Sorgo!$E10:$Z10,MIN(AT$6-$G$3,22))),0)))))</f>
        <v>0</v>
      </c>
      <c r="AU12" s="27" t="n">
        <f aca="false">IF(COUNT(Sorgo!$E10:$Z10)=0,0,MAX(0,IF((AU$6-$E$3)&lt;1,0,IFERROR(LOOKUP(2,1/(Sorgo!$E10:INDEX(Sorgo!$E10:$Z10,MIN(AU$6-$E$3,22))&lt;&gt;""),Sorgo!$E10:INDEX(Sorgo!$E10:$Z10,MIN(AU$6-$E$3,22))),0))-IF($G$2,0,IF((AU$6-$G$3)&lt;1,0,IFERROR(LOOKUP(2,1/(Sorgo!$E10:INDEX(Sorgo!$E10:$Z10,MIN(AU$6-$G$3,22))&lt;&gt;""),Sorgo!$E10:INDEX(Sorgo!$E10:$Z10,MIN(AU$6-$G$3,22))),0)))))</f>
        <v>0</v>
      </c>
      <c r="AV12" s="27" t="n">
        <f aca="false">IF(COUNT(Sorgo!$E10:$Z10)=0,0,MAX(0,IF((AV$6-$E$3)&lt;1,0,IFERROR(LOOKUP(2,1/(Sorgo!$E10:INDEX(Sorgo!$E10:$Z10,MIN(AV$6-$E$3,22))&lt;&gt;""),Sorgo!$E10:INDEX(Sorgo!$E10:$Z10,MIN(AV$6-$E$3,22))),0))-IF($G$2,0,IF((AV$6-$G$3)&lt;1,0,IFERROR(LOOKUP(2,1/(Sorgo!$E10:INDEX(Sorgo!$E10:$Z10,MIN(AV$6-$G$3,22))&lt;&gt;""),Sorgo!$E10:INDEX(Sorgo!$E10:$Z10,MIN(AV$6-$G$3,22))),0)))))</f>
        <v>0</v>
      </c>
      <c r="AW12" s="27" t="n">
        <f aca="false">IF(COUNT(Sorgo!$E10:$Z10)=0,0,MAX(0,IF((AW$6-$E$3)&lt;1,0,IFERROR(LOOKUP(2,1/(Sorgo!$E10:INDEX(Sorgo!$E10:$Z10,MIN(AW$6-$E$3,22))&lt;&gt;""),Sorgo!$E10:INDEX(Sorgo!$E10:$Z10,MIN(AW$6-$E$3,22))),0))-IF($G$2,0,IF((AW$6-$G$3)&lt;1,0,IFERROR(LOOKUP(2,1/(Sorgo!$E10:INDEX(Sorgo!$E10:$Z10,MIN(AW$6-$G$3,22))&lt;&gt;""),Sorgo!$E10:INDEX(Sorgo!$E10:$Z10,MIN(AW$6-$G$3,22))),0)))))</f>
        <v>0</v>
      </c>
      <c r="AX12" s="27" t="n">
        <f aca="false">IF(COUNT(Sorgo!$E10:$Z10)=0,0,MAX(0,IF((AX$6-$E$3)&lt;1,0,IFERROR(LOOKUP(2,1/(Sorgo!$E10:INDEX(Sorgo!$E10:$Z10,MIN(AX$6-$E$3,22))&lt;&gt;""),Sorgo!$E10:INDEX(Sorgo!$E10:$Z10,MIN(AX$6-$E$3,22))),0))-IF($G$2,0,IF((AX$6-$G$3)&lt;1,0,IFERROR(LOOKUP(2,1/(Sorgo!$E10:INDEX(Sorgo!$E10:$Z10,MIN(AX$6-$G$3,22))&lt;&gt;""),Sorgo!$E10:INDEX(Sorgo!$E10:$Z10,MIN(AX$6-$G$3,22))),0)))))</f>
        <v>0</v>
      </c>
      <c r="AY12" s="27" t="n">
        <f aca="false">IF(COUNT(Sorgo!$E10:$Z10)=0,0,MAX(0,IF((AY$6-$E$3)&lt;1,0,IFERROR(LOOKUP(2,1/(Sorgo!$E10:INDEX(Sorgo!$E10:$Z10,MIN(AY$6-$E$3,22))&lt;&gt;""),Sorgo!$E10:INDEX(Sorgo!$E10:$Z10,MIN(AY$6-$E$3,22))),0))-IF($G$2,0,IF((AY$6-$G$3)&lt;1,0,IFERROR(LOOKUP(2,1/(Sorgo!$E10:INDEX(Sorgo!$E10:$Z10,MIN(AY$6-$G$3,22))&lt;&gt;""),Sorgo!$E10:INDEX(Sorgo!$E10:$Z10,MIN(AY$6-$G$3,22))),0)))))</f>
        <v>0</v>
      </c>
      <c r="AZ12" s="27" t="n">
        <f aca="false">IF(COUNT(Sorgo!$E10:$Z10)=0,0,MAX(0,IF((AZ$6-$E$3)&lt;1,0,IFERROR(LOOKUP(2,1/(Sorgo!$E10:INDEX(Sorgo!$E10:$Z10,MIN(AZ$6-$E$3,22))&lt;&gt;""),Sorgo!$E10:INDEX(Sorgo!$E10:$Z10,MIN(AZ$6-$E$3,22))),0))-IF($G$2,0,IF((AZ$6-$G$3)&lt;1,0,IFERROR(LOOKUP(2,1/(Sorgo!$E10:INDEX(Sorgo!$E10:$Z10,MIN(AZ$6-$G$3,22))&lt;&gt;""),Sorgo!$E10:INDEX(Sorgo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IF(COUNT(Sorgo!$E11:$Z11)&gt;0,N(Sorgo!$D11),0)</f>
        <v>0</v>
      </c>
      <c r="E13" s="27" t="n">
        <f aca="false">IF(COUNT(Sorgo!$E11:$Z11)=0,0,MAX(0,IF((E$6-$E$3)&lt;1,0,IFERROR(LOOKUP(2,1/(Sorgo!$E11:INDEX(Sorgo!$E11:$Z11,MIN(E$6-$E$3,22))&lt;&gt;""),Sorgo!$E11:INDEX(Sorgo!$E11:$Z11,MIN(E$6-$E$3,22))),0))-IF($G$2,0,IF((E$6-$G$3)&lt;1,0,IFERROR(LOOKUP(2,1/(Sorgo!$E11:INDEX(Sorgo!$E11:$Z11,MIN(E$6-$G$3,22))&lt;&gt;""),Sorgo!$E11:INDEX(Sorgo!$E11:$Z11,MIN(E$6-$G$3,22))),0)))))</f>
        <v>0</v>
      </c>
      <c r="F13" s="27" t="n">
        <f aca="false">IF(COUNT(Sorgo!$E11:$Z11)=0,0,MAX(0,IF((F$6-$E$3)&lt;1,0,IFERROR(LOOKUP(2,1/(Sorgo!$E11:INDEX(Sorgo!$E11:$Z11,MIN(F$6-$E$3,22))&lt;&gt;""),Sorgo!$E11:INDEX(Sorgo!$E11:$Z11,MIN(F$6-$E$3,22))),0))-IF($G$2,0,IF((F$6-$G$3)&lt;1,0,IFERROR(LOOKUP(2,1/(Sorgo!$E11:INDEX(Sorgo!$E11:$Z11,MIN(F$6-$G$3,22))&lt;&gt;""),Sorgo!$E11:INDEX(Sorgo!$E11:$Z11,MIN(F$6-$G$3,22))),0)))))</f>
        <v>0</v>
      </c>
      <c r="G13" s="27" t="n">
        <f aca="false">IF(COUNT(Sorgo!$E11:$Z11)=0,0,MAX(0,IF((G$6-$E$3)&lt;1,0,IFERROR(LOOKUP(2,1/(Sorgo!$E11:INDEX(Sorgo!$E11:$Z11,MIN(G$6-$E$3,22))&lt;&gt;""),Sorgo!$E11:INDEX(Sorgo!$E11:$Z11,MIN(G$6-$E$3,22))),0))-IF($G$2,0,IF((G$6-$G$3)&lt;1,0,IFERROR(LOOKUP(2,1/(Sorgo!$E11:INDEX(Sorgo!$E11:$Z11,MIN(G$6-$G$3,22))&lt;&gt;""),Sorgo!$E11:INDEX(Sorgo!$E11:$Z11,MIN(G$6-$G$3,22))),0)))))</f>
        <v>0</v>
      </c>
      <c r="H13" s="27" t="n">
        <f aca="false">IF(COUNT(Sorgo!$E11:$Z11)=0,0,MAX(0,IF((H$6-$E$3)&lt;1,0,IFERROR(LOOKUP(2,1/(Sorgo!$E11:INDEX(Sorgo!$E11:$Z11,MIN(H$6-$E$3,22))&lt;&gt;""),Sorgo!$E11:INDEX(Sorgo!$E11:$Z11,MIN(H$6-$E$3,22))),0))-IF($G$2,0,IF((H$6-$G$3)&lt;1,0,IFERROR(LOOKUP(2,1/(Sorgo!$E11:INDEX(Sorgo!$E11:$Z11,MIN(H$6-$G$3,22))&lt;&gt;""),Sorgo!$E11:INDEX(Sorgo!$E11:$Z11,MIN(H$6-$G$3,22))),0)))))</f>
        <v>0</v>
      </c>
      <c r="I13" s="27" t="n">
        <f aca="false">IF(COUNT(Sorgo!$E11:$Z11)=0,0,MAX(0,IF((I$6-$E$3)&lt;1,0,IFERROR(LOOKUP(2,1/(Sorgo!$E11:INDEX(Sorgo!$E11:$Z11,MIN(I$6-$E$3,22))&lt;&gt;""),Sorgo!$E11:INDEX(Sorgo!$E11:$Z11,MIN(I$6-$E$3,22))),0))-IF($G$2,0,IF((I$6-$G$3)&lt;1,0,IFERROR(LOOKUP(2,1/(Sorgo!$E11:INDEX(Sorgo!$E11:$Z11,MIN(I$6-$G$3,22))&lt;&gt;""),Sorgo!$E11:INDEX(Sorgo!$E11:$Z11,MIN(I$6-$G$3,22))),0)))))</f>
        <v>0</v>
      </c>
      <c r="J13" s="27" t="n">
        <f aca="false">IF(COUNT(Sorgo!$E11:$Z11)=0,0,MAX(0,IF((J$6-$E$3)&lt;1,0,IFERROR(LOOKUP(2,1/(Sorgo!$E11:INDEX(Sorgo!$E11:$Z11,MIN(J$6-$E$3,22))&lt;&gt;""),Sorgo!$E11:INDEX(Sorgo!$E11:$Z11,MIN(J$6-$E$3,22))),0))-IF($G$2,0,IF((J$6-$G$3)&lt;1,0,IFERROR(LOOKUP(2,1/(Sorgo!$E11:INDEX(Sorgo!$E11:$Z11,MIN(J$6-$G$3,22))&lt;&gt;""),Sorgo!$E11:INDEX(Sorgo!$E11:$Z11,MIN(J$6-$G$3,22))),0)))))</f>
        <v>0</v>
      </c>
      <c r="K13" s="27" t="n">
        <f aca="false">IF(COUNT(Sorgo!$E11:$Z11)=0,0,MAX(0,IF((K$6-$E$3)&lt;1,0,IFERROR(LOOKUP(2,1/(Sorgo!$E11:INDEX(Sorgo!$E11:$Z11,MIN(K$6-$E$3,22))&lt;&gt;""),Sorgo!$E11:INDEX(Sorgo!$E11:$Z11,MIN(K$6-$E$3,22))),0))-IF($G$2,0,IF((K$6-$G$3)&lt;1,0,IFERROR(LOOKUP(2,1/(Sorgo!$E11:INDEX(Sorgo!$E11:$Z11,MIN(K$6-$G$3,22))&lt;&gt;""),Sorgo!$E11:INDEX(Sorgo!$E11:$Z11,MIN(K$6-$G$3,22))),0)))))</f>
        <v>0</v>
      </c>
      <c r="L13" s="27" t="n">
        <f aca="false">IF(COUNT(Sorgo!$E11:$Z11)=0,0,MAX(0,IF((L$6-$E$3)&lt;1,0,IFERROR(LOOKUP(2,1/(Sorgo!$E11:INDEX(Sorgo!$E11:$Z11,MIN(L$6-$E$3,22))&lt;&gt;""),Sorgo!$E11:INDEX(Sorgo!$E11:$Z11,MIN(L$6-$E$3,22))),0))-IF($G$2,0,IF((L$6-$G$3)&lt;1,0,IFERROR(LOOKUP(2,1/(Sorgo!$E11:INDEX(Sorgo!$E11:$Z11,MIN(L$6-$G$3,22))&lt;&gt;""),Sorgo!$E11:INDEX(Sorgo!$E11:$Z11,MIN(L$6-$G$3,22))),0)))))</f>
        <v>0</v>
      </c>
      <c r="M13" s="27" t="n">
        <f aca="false">IF(COUNT(Sorgo!$E11:$Z11)=0,0,MAX(0,IF((M$6-$E$3)&lt;1,0,IFERROR(LOOKUP(2,1/(Sorgo!$E11:INDEX(Sorgo!$E11:$Z11,MIN(M$6-$E$3,22))&lt;&gt;""),Sorgo!$E11:INDEX(Sorgo!$E11:$Z11,MIN(M$6-$E$3,22))),0))-IF($G$2,0,IF((M$6-$G$3)&lt;1,0,IFERROR(LOOKUP(2,1/(Sorgo!$E11:INDEX(Sorgo!$E11:$Z11,MIN(M$6-$G$3,22))&lt;&gt;""),Sorgo!$E11:INDEX(Sorgo!$E11:$Z11,MIN(M$6-$G$3,22))),0)))))</f>
        <v>0</v>
      </c>
      <c r="N13" s="27" t="n">
        <f aca="false">IF(COUNT(Sorgo!$E11:$Z11)=0,0,MAX(0,IF((N$6-$E$3)&lt;1,0,IFERROR(LOOKUP(2,1/(Sorgo!$E11:INDEX(Sorgo!$E11:$Z11,MIN(N$6-$E$3,22))&lt;&gt;""),Sorgo!$E11:INDEX(Sorgo!$E11:$Z11,MIN(N$6-$E$3,22))),0))-IF($G$2,0,IF((N$6-$G$3)&lt;1,0,IFERROR(LOOKUP(2,1/(Sorgo!$E11:INDEX(Sorgo!$E11:$Z11,MIN(N$6-$G$3,22))&lt;&gt;""),Sorgo!$E11:INDEX(Sorgo!$E11:$Z11,MIN(N$6-$G$3,22))),0)))))</f>
        <v>0</v>
      </c>
      <c r="O13" s="27" t="n">
        <f aca="false">IF(COUNT(Sorgo!$E11:$Z11)=0,0,MAX(0,IF((O$6-$E$3)&lt;1,0,IFERROR(LOOKUP(2,1/(Sorgo!$E11:INDEX(Sorgo!$E11:$Z11,MIN(O$6-$E$3,22))&lt;&gt;""),Sorgo!$E11:INDEX(Sorgo!$E11:$Z11,MIN(O$6-$E$3,22))),0))-IF($G$2,0,IF((O$6-$G$3)&lt;1,0,IFERROR(LOOKUP(2,1/(Sorgo!$E11:INDEX(Sorgo!$E11:$Z11,MIN(O$6-$G$3,22))&lt;&gt;""),Sorgo!$E11:INDEX(Sorgo!$E11:$Z11,MIN(O$6-$G$3,22))),0)))))</f>
        <v>0</v>
      </c>
      <c r="P13" s="27" t="n">
        <f aca="false">IF(COUNT(Sorgo!$E11:$Z11)=0,0,MAX(0,IF((P$6-$E$3)&lt;1,0,IFERROR(LOOKUP(2,1/(Sorgo!$E11:INDEX(Sorgo!$E11:$Z11,MIN(P$6-$E$3,22))&lt;&gt;""),Sorgo!$E11:INDEX(Sorgo!$E11:$Z11,MIN(P$6-$E$3,22))),0))-IF($G$2,0,IF((P$6-$G$3)&lt;1,0,IFERROR(LOOKUP(2,1/(Sorgo!$E11:INDEX(Sorgo!$E11:$Z11,MIN(P$6-$G$3,22))&lt;&gt;""),Sorgo!$E11:INDEX(Sorgo!$E11:$Z11,MIN(P$6-$G$3,22))),0)))))</f>
        <v>0</v>
      </c>
      <c r="Q13" s="27" t="n">
        <f aca="false">IF(COUNT(Sorgo!$E11:$Z11)=0,0,MAX(0,IF((Q$6-$E$3)&lt;1,0,IFERROR(LOOKUP(2,1/(Sorgo!$E11:INDEX(Sorgo!$E11:$Z11,MIN(Q$6-$E$3,22))&lt;&gt;""),Sorgo!$E11:INDEX(Sorgo!$E11:$Z11,MIN(Q$6-$E$3,22))),0))-IF($G$2,0,IF((Q$6-$G$3)&lt;1,0,IFERROR(LOOKUP(2,1/(Sorgo!$E11:INDEX(Sorgo!$E11:$Z11,MIN(Q$6-$G$3,22))&lt;&gt;""),Sorgo!$E11:INDEX(Sorgo!$E11:$Z11,MIN(Q$6-$G$3,22))),0)))))</f>
        <v>0</v>
      </c>
      <c r="R13" s="27" t="n">
        <f aca="false">IF(COUNT(Sorgo!$E11:$Z11)=0,0,MAX(0,IF((R$6-$E$3)&lt;1,0,IFERROR(LOOKUP(2,1/(Sorgo!$E11:INDEX(Sorgo!$E11:$Z11,MIN(R$6-$E$3,22))&lt;&gt;""),Sorgo!$E11:INDEX(Sorgo!$E11:$Z11,MIN(R$6-$E$3,22))),0))-IF($G$2,0,IF((R$6-$G$3)&lt;1,0,IFERROR(LOOKUP(2,1/(Sorgo!$E11:INDEX(Sorgo!$E11:$Z11,MIN(R$6-$G$3,22))&lt;&gt;""),Sorgo!$E11:INDEX(Sorgo!$E11:$Z11,MIN(R$6-$G$3,22))),0)))))</f>
        <v>0</v>
      </c>
      <c r="S13" s="27" t="n">
        <f aca="false">IF(COUNT(Sorgo!$E11:$Z11)=0,0,MAX(0,IF((S$6-$E$3)&lt;1,0,IFERROR(LOOKUP(2,1/(Sorgo!$E11:INDEX(Sorgo!$E11:$Z11,MIN(S$6-$E$3,22))&lt;&gt;""),Sorgo!$E11:INDEX(Sorgo!$E11:$Z11,MIN(S$6-$E$3,22))),0))-IF($G$2,0,IF((S$6-$G$3)&lt;1,0,IFERROR(LOOKUP(2,1/(Sorgo!$E11:INDEX(Sorgo!$E11:$Z11,MIN(S$6-$G$3,22))&lt;&gt;""),Sorgo!$E11:INDEX(Sorgo!$E11:$Z11,MIN(S$6-$G$3,22))),0)))))</f>
        <v>0</v>
      </c>
      <c r="T13" s="27" t="n">
        <f aca="false">IF(COUNT(Sorgo!$E11:$Z11)=0,0,MAX(0,IF((T$6-$E$3)&lt;1,0,IFERROR(LOOKUP(2,1/(Sorgo!$E11:INDEX(Sorgo!$E11:$Z11,MIN(T$6-$E$3,22))&lt;&gt;""),Sorgo!$E11:INDEX(Sorgo!$E11:$Z11,MIN(T$6-$E$3,22))),0))-IF($G$2,0,IF((T$6-$G$3)&lt;1,0,IFERROR(LOOKUP(2,1/(Sorgo!$E11:INDEX(Sorgo!$E11:$Z11,MIN(T$6-$G$3,22))&lt;&gt;""),Sorgo!$E11:INDEX(Sorgo!$E11:$Z11,MIN(T$6-$G$3,22))),0)))))</f>
        <v>0</v>
      </c>
      <c r="U13" s="27" t="n">
        <f aca="false">IF(COUNT(Sorgo!$E11:$Z11)=0,0,MAX(0,IF((U$6-$E$3)&lt;1,0,IFERROR(LOOKUP(2,1/(Sorgo!$E11:INDEX(Sorgo!$E11:$Z11,MIN(U$6-$E$3,22))&lt;&gt;""),Sorgo!$E11:INDEX(Sorgo!$E11:$Z11,MIN(U$6-$E$3,22))),0))-IF($G$2,0,IF((U$6-$G$3)&lt;1,0,IFERROR(LOOKUP(2,1/(Sorgo!$E11:INDEX(Sorgo!$E11:$Z11,MIN(U$6-$G$3,22))&lt;&gt;""),Sorgo!$E11:INDEX(Sorgo!$E11:$Z11,MIN(U$6-$G$3,22))),0)))))</f>
        <v>0</v>
      </c>
      <c r="V13" s="27" t="n">
        <f aca="false">IF(COUNT(Sorgo!$E11:$Z11)=0,0,MAX(0,IF((V$6-$E$3)&lt;1,0,IFERROR(LOOKUP(2,1/(Sorgo!$E11:INDEX(Sorgo!$E11:$Z11,MIN(V$6-$E$3,22))&lt;&gt;""),Sorgo!$E11:INDEX(Sorgo!$E11:$Z11,MIN(V$6-$E$3,22))),0))-IF($G$2,0,IF((V$6-$G$3)&lt;1,0,IFERROR(LOOKUP(2,1/(Sorgo!$E11:INDEX(Sorgo!$E11:$Z11,MIN(V$6-$G$3,22))&lt;&gt;""),Sorgo!$E11:INDEX(Sorgo!$E11:$Z11,MIN(V$6-$G$3,22))),0)))))</f>
        <v>0</v>
      </c>
      <c r="W13" s="27" t="n">
        <f aca="false">IF(COUNT(Sorgo!$E11:$Z11)=0,0,MAX(0,IF((W$6-$E$3)&lt;1,0,IFERROR(LOOKUP(2,1/(Sorgo!$E11:INDEX(Sorgo!$E11:$Z11,MIN(W$6-$E$3,22))&lt;&gt;""),Sorgo!$E11:INDEX(Sorgo!$E11:$Z11,MIN(W$6-$E$3,22))),0))-IF($G$2,0,IF((W$6-$G$3)&lt;1,0,IFERROR(LOOKUP(2,1/(Sorgo!$E11:INDEX(Sorgo!$E11:$Z11,MIN(W$6-$G$3,22))&lt;&gt;""),Sorgo!$E11:INDEX(Sorgo!$E11:$Z11,MIN(W$6-$G$3,22))),0)))))</f>
        <v>0</v>
      </c>
      <c r="X13" s="27" t="n">
        <f aca="false">IF(COUNT(Sorgo!$E11:$Z11)=0,0,MAX(0,IF((X$6-$E$3)&lt;1,0,IFERROR(LOOKUP(2,1/(Sorgo!$E11:INDEX(Sorgo!$E11:$Z11,MIN(X$6-$E$3,22))&lt;&gt;""),Sorgo!$E11:INDEX(Sorgo!$E11:$Z11,MIN(X$6-$E$3,22))),0))-IF($G$2,0,IF((X$6-$G$3)&lt;1,0,IFERROR(LOOKUP(2,1/(Sorgo!$E11:INDEX(Sorgo!$E11:$Z11,MIN(X$6-$G$3,22))&lt;&gt;""),Sorgo!$E11:INDEX(Sorgo!$E11:$Z11,MIN(X$6-$G$3,22))),0)))))</f>
        <v>0</v>
      </c>
      <c r="Y13" s="27" t="n">
        <f aca="false">IF(COUNT(Sorgo!$E11:$Z11)=0,0,MAX(0,IF((Y$6-$E$3)&lt;1,0,IFERROR(LOOKUP(2,1/(Sorgo!$E11:INDEX(Sorgo!$E11:$Z11,MIN(Y$6-$E$3,22))&lt;&gt;""),Sorgo!$E11:INDEX(Sorgo!$E11:$Z11,MIN(Y$6-$E$3,22))),0))-IF($G$2,0,IF((Y$6-$G$3)&lt;1,0,IFERROR(LOOKUP(2,1/(Sorgo!$E11:INDEX(Sorgo!$E11:$Z11,MIN(Y$6-$G$3,22))&lt;&gt;""),Sorgo!$E11:INDEX(Sorgo!$E11:$Z11,MIN(Y$6-$G$3,22))),0)))))</f>
        <v>0</v>
      </c>
      <c r="Z13" s="27" t="n">
        <f aca="false">IF(COUNT(Sorgo!$E11:$Z11)=0,0,MAX(0,IF((Z$6-$E$3)&lt;1,0,IFERROR(LOOKUP(2,1/(Sorgo!$E11:INDEX(Sorgo!$E11:$Z11,MIN(Z$6-$E$3,22))&lt;&gt;""),Sorgo!$E11:INDEX(Sorgo!$E11:$Z11,MIN(Z$6-$E$3,22))),0))-IF($G$2,0,IF((Z$6-$G$3)&lt;1,0,IFERROR(LOOKUP(2,1/(Sorgo!$E11:INDEX(Sorgo!$E11:$Z11,MIN(Z$6-$G$3,22))&lt;&gt;""),Sorgo!$E11:INDEX(Sorgo!$E11:$Z11,MIN(Z$6-$G$3,22))),0)))))</f>
        <v>0</v>
      </c>
      <c r="AA13" s="27" t="n">
        <f aca="false">IF(COUNT(Sorgo!$E11:$Z11)=0,0,MAX(0,IF((AA$6-$E$3)&lt;1,0,IFERROR(LOOKUP(2,1/(Sorgo!$E11:INDEX(Sorgo!$E11:$Z11,MIN(AA$6-$E$3,22))&lt;&gt;""),Sorgo!$E11:INDEX(Sorgo!$E11:$Z11,MIN(AA$6-$E$3,22))),0))-IF($G$2,0,IF((AA$6-$G$3)&lt;1,0,IFERROR(LOOKUP(2,1/(Sorgo!$E11:INDEX(Sorgo!$E11:$Z11,MIN(AA$6-$G$3,22))&lt;&gt;""),Sorgo!$E11:INDEX(Sorgo!$E11:$Z11,MIN(AA$6-$G$3,22))),0)))))</f>
        <v>0</v>
      </c>
      <c r="AB13" s="27" t="n">
        <f aca="false">IF(COUNT(Sorgo!$E11:$Z11)=0,0,MAX(0,IF((AB$6-$E$3)&lt;1,0,IFERROR(LOOKUP(2,1/(Sorgo!$E11:INDEX(Sorgo!$E11:$Z11,MIN(AB$6-$E$3,22))&lt;&gt;""),Sorgo!$E11:INDEX(Sorgo!$E11:$Z11,MIN(AB$6-$E$3,22))),0))-IF($G$2,0,IF((AB$6-$G$3)&lt;1,0,IFERROR(LOOKUP(2,1/(Sorgo!$E11:INDEX(Sorgo!$E11:$Z11,MIN(AB$6-$G$3,22))&lt;&gt;""),Sorgo!$E11:INDEX(Sorgo!$E11:$Z11,MIN(AB$6-$G$3,22))),0)))))</f>
        <v>0</v>
      </c>
      <c r="AC13" s="27" t="n">
        <f aca="false">IF(COUNT(Sorgo!$E11:$Z11)=0,0,MAX(0,IF((AC$6-$E$3)&lt;1,0,IFERROR(LOOKUP(2,1/(Sorgo!$E11:INDEX(Sorgo!$E11:$Z11,MIN(AC$6-$E$3,22))&lt;&gt;""),Sorgo!$E11:INDEX(Sorgo!$E11:$Z11,MIN(AC$6-$E$3,22))),0))-IF($G$2,0,IF((AC$6-$G$3)&lt;1,0,IFERROR(LOOKUP(2,1/(Sorgo!$E11:INDEX(Sorgo!$E11:$Z11,MIN(AC$6-$G$3,22))&lt;&gt;""),Sorgo!$E11:INDEX(Sorgo!$E11:$Z11,MIN(AC$6-$G$3,22))),0)))))</f>
        <v>0</v>
      </c>
      <c r="AD13" s="27" t="n">
        <f aca="false">IF(COUNT(Sorgo!$E11:$Z11)=0,0,MAX(0,IF((AD$6-$E$3)&lt;1,0,IFERROR(LOOKUP(2,1/(Sorgo!$E11:INDEX(Sorgo!$E11:$Z11,MIN(AD$6-$E$3,22))&lt;&gt;""),Sorgo!$E11:INDEX(Sorgo!$E11:$Z11,MIN(AD$6-$E$3,22))),0))-IF($G$2,0,IF((AD$6-$G$3)&lt;1,0,IFERROR(LOOKUP(2,1/(Sorgo!$E11:INDEX(Sorgo!$E11:$Z11,MIN(AD$6-$G$3,22))&lt;&gt;""),Sorgo!$E11:INDEX(Sorgo!$E11:$Z11,MIN(AD$6-$G$3,22))),0)))))</f>
        <v>0</v>
      </c>
      <c r="AE13" s="27" t="n">
        <f aca="false">IF(COUNT(Sorgo!$E11:$Z11)=0,0,MAX(0,IF((AE$6-$E$3)&lt;1,0,IFERROR(LOOKUP(2,1/(Sorgo!$E11:INDEX(Sorgo!$E11:$Z11,MIN(AE$6-$E$3,22))&lt;&gt;""),Sorgo!$E11:INDEX(Sorgo!$E11:$Z11,MIN(AE$6-$E$3,22))),0))-IF($G$2,0,IF((AE$6-$G$3)&lt;1,0,IFERROR(LOOKUP(2,1/(Sorgo!$E11:INDEX(Sorgo!$E11:$Z11,MIN(AE$6-$G$3,22))&lt;&gt;""),Sorgo!$E11:INDEX(Sorgo!$E11:$Z11,MIN(AE$6-$G$3,22))),0)))))</f>
        <v>0</v>
      </c>
      <c r="AF13" s="27" t="n">
        <f aca="false">IF(COUNT(Sorgo!$E11:$Z11)=0,0,MAX(0,IF((AF$6-$E$3)&lt;1,0,IFERROR(LOOKUP(2,1/(Sorgo!$E11:INDEX(Sorgo!$E11:$Z11,MIN(AF$6-$E$3,22))&lt;&gt;""),Sorgo!$E11:INDEX(Sorgo!$E11:$Z11,MIN(AF$6-$E$3,22))),0))-IF($G$2,0,IF((AF$6-$G$3)&lt;1,0,IFERROR(LOOKUP(2,1/(Sorgo!$E11:INDEX(Sorgo!$E11:$Z11,MIN(AF$6-$G$3,22))&lt;&gt;""),Sorgo!$E11:INDEX(Sorgo!$E11:$Z11,MIN(AF$6-$G$3,22))),0)))))</f>
        <v>0</v>
      </c>
      <c r="AG13" s="27" t="n">
        <f aca="false">IF(COUNT(Sorgo!$E11:$Z11)=0,0,MAX(0,IF((AG$6-$E$3)&lt;1,0,IFERROR(LOOKUP(2,1/(Sorgo!$E11:INDEX(Sorgo!$E11:$Z11,MIN(AG$6-$E$3,22))&lt;&gt;""),Sorgo!$E11:INDEX(Sorgo!$E11:$Z11,MIN(AG$6-$E$3,22))),0))-IF($G$2,0,IF((AG$6-$G$3)&lt;1,0,IFERROR(LOOKUP(2,1/(Sorgo!$E11:INDEX(Sorgo!$E11:$Z11,MIN(AG$6-$G$3,22))&lt;&gt;""),Sorgo!$E11:INDEX(Sorgo!$E11:$Z11,MIN(AG$6-$G$3,22))),0)))))</f>
        <v>0</v>
      </c>
      <c r="AH13" s="27" t="n">
        <f aca="false">IF(COUNT(Sorgo!$E11:$Z11)=0,0,MAX(0,IF((AH$6-$E$3)&lt;1,0,IFERROR(LOOKUP(2,1/(Sorgo!$E11:INDEX(Sorgo!$E11:$Z11,MIN(AH$6-$E$3,22))&lt;&gt;""),Sorgo!$E11:INDEX(Sorgo!$E11:$Z11,MIN(AH$6-$E$3,22))),0))-IF($G$2,0,IF((AH$6-$G$3)&lt;1,0,IFERROR(LOOKUP(2,1/(Sorgo!$E11:INDEX(Sorgo!$E11:$Z11,MIN(AH$6-$G$3,22))&lt;&gt;""),Sorgo!$E11:INDEX(Sorgo!$E11:$Z11,MIN(AH$6-$G$3,22))),0)))))</f>
        <v>0</v>
      </c>
      <c r="AI13" s="27" t="n">
        <f aca="false">IF(COUNT(Sorgo!$E11:$Z11)=0,0,MAX(0,IF((AI$6-$E$3)&lt;1,0,IFERROR(LOOKUP(2,1/(Sorgo!$E11:INDEX(Sorgo!$E11:$Z11,MIN(AI$6-$E$3,22))&lt;&gt;""),Sorgo!$E11:INDEX(Sorgo!$E11:$Z11,MIN(AI$6-$E$3,22))),0))-IF($G$2,0,IF((AI$6-$G$3)&lt;1,0,IFERROR(LOOKUP(2,1/(Sorgo!$E11:INDEX(Sorgo!$E11:$Z11,MIN(AI$6-$G$3,22))&lt;&gt;""),Sorgo!$E11:INDEX(Sorgo!$E11:$Z11,MIN(AI$6-$G$3,22))),0)))))</f>
        <v>0</v>
      </c>
      <c r="AJ13" s="27" t="n">
        <f aca="false">IF(COUNT(Sorgo!$E11:$Z11)=0,0,MAX(0,IF((AJ$6-$E$3)&lt;1,0,IFERROR(LOOKUP(2,1/(Sorgo!$E11:INDEX(Sorgo!$E11:$Z11,MIN(AJ$6-$E$3,22))&lt;&gt;""),Sorgo!$E11:INDEX(Sorgo!$E11:$Z11,MIN(AJ$6-$E$3,22))),0))-IF($G$2,0,IF((AJ$6-$G$3)&lt;1,0,IFERROR(LOOKUP(2,1/(Sorgo!$E11:INDEX(Sorgo!$E11:$Z11,MIN(AJ$6-$G$3,22))&lt;&gt;""),Sorgo!$E11:INDEX(Sorgo!$E11:$Z11,MIN(AJ$6-$G$3,22))),0)))))</f>
        <v>0</v>
      </c>
      <c r="AK13" s="27" t="n">
        <f aca="false">IF(COUNT(Sorgo!$E11:$Z11)=0,0,MAX(0,IF((AK$6-$E$3)&lt;1,0,IFERROR(LOOKUP(2,1/(Sorgo!$E11:INDEX(Sorgo!$E11:$Z11,MIN(AK$6-$E$3,22))&lt;&gt;""),Sorgo!$E11:INDEX(Sorgo!$E11:$Z11,MIN(AK$6-$E$3,22))),0))-IF($G$2,0,IF((AK$6-$G$3)&lt;1,0,IFERROR(LOOKUP(2,1/(Sorgo!$E11:INDEX(Sorgo!$E11:$Z11,MIN(AK$6-$G$3,22))&lt;&gt;""),Sorgo!$E11:INDEX(Sorgo!$E11:$Z11,MIN(AK$6-$G$3,22))),0)))))</f>
        <v>0</v>
      </c>
      <c r="AL13" s="27" t="n">
        <f aca="false">IF(COUNT(Sorgo!$E11:$Z11)=0,0,MAX(0,IF((AL$6-$E$3)&lt;1,0,IFERROR(LOOKUP(2,1/(Sorgo!$E11:INDEX(Sorgo!$E11:$Z11,MIN(AL$6-$E$3,22))&lt;&gt;""),Sorgo!$E11:INDEX(Sorgo!$E11:$Z11,MIN(AL$6-$E$3,22))),0))-IF($G$2,0,IF((AL$6-$G$3)&lt;1,0,IFERROR(LOOKUP(2,1/(Sorgo!$E11:INDEX(Sorgo!$E11:$Z11,MIN(AL$6-$G$3,22))&lt;&gt;""),Sorgo!$E11:INDEX(Sorgo!$E11:$Z11,MIN(AL$6-$G$3,22))),0)))))</f>
        <v>0</v>
      </c>
      <c r="AM13" s="27" t="n">
        <f aca="false">IF(COUNT(Sorgo!$E11:$Z11)=0,0,MAX(0,IF((AM$6-$E$3)&lt;1,0,IFERROR(LOOKUP(2,1/(Sorgo!$E11:INDEX(Sorgo!$E11:$Z11,MIN(AM$6-$E$3,22))&lt;&gt;""),Sorgo!$E11:INDEX(Sorgo!$E11:$Z11,MIN(AM$6-$E$3,22))),0))-IF($G$2,0,IF((AM$6-$G$3)&lt;1,0,IFERROR(LOOKUP(2,1/(Sorgo!$E11:INDEX(Sorgo!$E11:$Z11,MIN(AM$6-$G$3,22))&lt;&gt;""),Sorgo!$E11:INDEX(Sorgo!$E11:$Z11,MIN(AM$6-$G$3,22))),0)))))</f>
        <v>0</v>
      </c>
      <c r="AN13" s="27" t="n">
        <f aca="false">IF(COUNT(Sorgo!$E11:$Z11)=0,0,MAX(0,IF((AN$6-$E$3)&lt;1,0,IFERROR(LOOKUP(2,1/(Sorgo!$E11:INDEX(Sorgo!$E11:$Z11,MIN(AN$6-$E$3,22))&lt;&gt;""),Sorgo!$E11:INDEX(Sorgo!$E11:$Z11,MIN(AN$6-$E$3,22))),0))-IF($G$2,0,IF((AN$6-$G$3)&lt;1,0,IFERROR(LOOKUP(2,1/(Sorgo!$E11:INDEX(Sorgo!$E11:$Z11,MIN(AN$6-$G$3,22))&lt;&gt;""),Sorgo!$E11:INDEX(Sorgo!$E11:$Z11,MIN(AN$6-$G$3,22))),0)))))</f>
        <v>0</v>
      </c>
      <c r="AO13" s="27" t="n">
        <f aca="false">IF(COUNT(Sorgo!$E11:$Z11)=0,0,MAX(0,IF((AO$6-$E$3)&lt;1,0,IFERROR(LOOKUP(2,1/(Sorgo!$E11:INDEX(Sorgo!$E11:$Z11,MIN(AO$6-$E$3,22))&lt;&gt;""),Sorgo!$E11:INDEX(Sorgo!$E11:$Z11,MIN(AO$6-$E$3,22))),0))-IF($G$2,0,IF((AO$6-$G$3)&lt;1,0,IFERROR(LOOKUP(2,1/(Sorgo!$E11:INDEX(Sorgo!$E11:$Z11,MIN(AO$6-$G$3,22))&lt;&gt;""),Sorgo!$E11:INDEX(Sorgo!$E11:$Z11,MIN(AO$6-$G$3,22))),0)))))</f>
        <v>0</v>
      </c>
      <c r="AP13" s="27" t="n">
        <f aca="false">IF(COUNT(Sorgo!$E11:$Z11)=0,0,MAX(0,IF((AP$6-$E$3)&lt;1,0,IFERROR(LOOKUP(2,1/(Sorgo!$E11:INDEX(Sorgo!$E11:$Z11,MIN(AP$6-$E$3,22))&lt;&gt;""),Sorgo!$E11:INDEX(Sorgo!$E11:$Z11,MIN(AP$6-$E$3,22))),0))-IF($G$2,0,IF((AP$6-$G$3)&lt;1,0,IFERROR(LOOKUP(2,1/(Sorgo!$E11:INDEX(Sorgo!$E11:$Z11,MIN(AP$6-$G$3,22))&lt;&gt;""),Sorgo!$E11:INDEX(Sorgo!$E11:$Z11,MIN(AP$6-$G$3,22))),0)))))</f>
        <v>0</v>
      </c>
      <c r="AQ13" s="27" t="n">
        <f aca="false">IF(COUNT(Sorgo!$E11:$Z11)=0,0,MAX(0,IF((AQ$6-$E$3)&lt;1,0,IFERROR(LOOKUP(2,1/(Sorgo!$E11:INDEX(Sorgo!$E11:$Z11,MIN(AQ$6-$E$3,22))&lt;&gt;""),Sorgo!$E11:INDEX(Sorgo!$E11:$Z11,MIN(AQ$6-$E$3,22))),0))-IF($G$2,0,IF((AQ$6-$G$3)&lt;1,0,IFERROR(LOOKUP(2,1/(Sorgo!$E11:INDEX(Sorgo!$E11:$Z11,MIN(AQ$6-$G$3,22))&lt;&gt;""),Sorgo!$E11:INDEX(Sorgo!$E11:$Z11,MIN(AQ$6-$G$3,22))),0)))))</f>
        <v>0</v>
      </c>
      <c r="AR13" s="27" t="n">
        <f aca="false">IF(COUNT(Sorgo!$E11:$Z11)=0,0,MAX(0,IF((AR$6-$E$3)&lt;1,0,IFERROR(LOOKUP(2,1/(Sorgo!$E11:INDEX(Sorgo!$E11:$Z11,MIN(AR$6-$E$3,22))&lt;&gt;""),Sorgo!$E11:INDEX(Sorgo!$E11:$Z11,MIN(AR$6-$E$3,22))),0))-IF($G$2,0,IF((AR$6-$G$3)&lt;1,0,IFERROR(LOOKUP(2,1/(Sorgo!$E11:INDEX(Sorgo!$E11:$Z11,MIN(AR$6-$G$3,22))&lt;&gt;""),Sorgo!$E11:INDEX(Sorgo!$E11:$Z11,MIN(AR$6-$G$3,22))),0)))))</f>
        <v>0</v>
      </c>
      <c r="AS13" s="27" t="n">
        <f aca="false">IF(COUNT(Sorgo!$E11:$Z11)=0,0,MAX(0,IF((AS$6-$E$3)&lt;1,0,IFERROR(LOOKUP(2,1/(Sorgo!$E11:INDEX(Sorgo!$E11:$Z11,MIN(AS$6-$E$3,22))&lt;&gt;""),Sorgo!$E11:INDEX(Sorgo!$E11:$Z11,MIN(AS$6-$E$3,22))),0))-IF($G$2,0,IF((AS$6-$G$3)&lt;1,0,IFERROR(LOOKUP(2,1/(Sorgo!$E11:INDEX(Sorgo!$E11:$Z11,MIN(AS$6-$G$3,22))&lt;&gt;""),Sorgo!$E11:INDEX(Sorgo!$E11:$Z11,MIN(AS$6-$G$3,22))),0)))))</f>
        <v>0</v>
      </c>
      <c r="AT13" s="27" t="n">
        <f aca="false">IF(COUNT(Sorgo!$E11:$Z11)=0,0,MAX(0,IF((AT$6-$E$3)&lt;1,0,IFERROR(LOOKUP(2,1/(Sorgo!$E11:INDEX(Sorgo!$E11:$Z11,MIN(AT$6-$E$3,22))&lt;&gt;""),Sorgo!$E11:INDEX(Sorgo!$E11:$Z11,MIN(AT$6-$E$3,22))),0))-IF($G$2,0,IF((AT$6-$G$3)&lt;1,0,IFERROR(LOOKUP(2,1/(Sorgo!$E11:INDEX(Sorgo!$E11:$Z11,MIN(AT$6-$G$3,22))&lt;&gt;""),Sorgo!$E11:INDEX(Sorgo!$E11:$Z11,MIN(AT$6-$G$3,22))),0)))))</f>
        <v>0</v>
      </c>
      <c r="AU13" s="27" t="n">
        <f aca="false">IF(COUNT(Sorgo!$E11:$Z11)=0,0,MAX(0,IF((AU$6-$E$3)&lt;1,0,IFERROR(LOOKUP(2,1/(Sorgo!$E11:INDEX(Sorgo!$E11:$Z11,MIN(AU$6-$E$3,22))&lt;&gt;""),Sorgo!$E11:INDEX(Sorgo!$E11:$Z11,MIN(AU$6-$E$3,22))),0))-IF($G$2,0,IF((AU$6-$G$3)&lt;1,0,IFERROR(LOOKUP(2,1/(Sorgo!$E11:INDEX(Sorgo!$E11:$Z11,MIN(AU$6-$G$3,22))&lt;&gt;""),Sorgo!$E11:INDEX(Sorgo!$E11:$Z11,MIN(AU$6-$G$3,22))),0)))))</f>
        <v>0</v>
      </c>
      <c r="AV13" s="27" t="n">
        <f aca="false">IF(COUNT(Sorgo!$E11:$Z11)=0,0,MAX(0,IF((AV$6-$E$3)&lt;1,0,IFERROR(LOOKUP(2,1/(Sorgo!$E11:INDEX(Sorgo!$E11:$Z11,MIN(AV$6-$E$3,22))&lt;&gt;""),Sorgo!$E11:INDEX(Sorgo!$E11:$Z11,MIN(AV$6-$E$3,22))),0))-IF($G$2,0,IF((AV$6-$G$3)&lt;1,0,IFERROR(LOOKUP(2,1/(Sorgo!$E11:INDEX(Sorgo!$E11:$Z11,MIN(AV$6-$G$3,22))&lt;&gt;""),Sorgo!$E11:INDEX(Sorgo!$E11:$Z11,MIN(AV$6-$G$3,22))),0)))))</f>
        <v>0</v>
      </c>
      <c r="AW13" s="27" t="n">
        <f aca="false">IF(COUNT(Sorgo!$E11:$Z11)=0,0,MAX(0,IF((AW$6-$E$3)&lt;1,0,IFERROR(LOOKUP(2,1/(Sorgo!$E11:INDEX(Sorgo!$E11:$Z11,MIN(AW$6-$E$3,22))&lt;&gt;""),Sorgo!$E11:INDEX(Sorgo!$E11:$Z11,MIN(AW$6-$E$3,22))),0))-IF($G$2,0,IF((AW$6-$G$3)&lt;1,0,IFERROR(LOOKUP(2,1/(Sorgo!$E11:INDEX(Sorgo!$E11:$Z11,MIN(AW$6-$G$3,22))&lt;&gt;""),Sorgo!$E11:INDEX(Sorgo!$E11:$Z11,MIN(AW$6-$G$3,22))),0)))))</f>
        <v>0</v>
      </c>
      <c r="AX13" s="27" t="n">
        <f aca="false">IF(COUNT(Sorgo!$E11:$Z11)=0,0,MAX(0,IF((AX$6-$E$3)&lt;1,0,IFERROR(LOOKUP(2,1/(Sorgo!$E11:INDEX(Sorgo!$E11:$Z11,MIN(AX$6-$E$3,22))&lt;&gt;""),Sorgo!$E11:INDEX(Sorgo!$E11:$Z11,MIN(AX$6-$E$3,22))),0))-IF($G$2,0,IF((AX$6-$G$3)&lt;1,0,IFERROR(LOOKUP(2,1/(Sorgo!$E11:INDEX(Sorgo!$E11:$Z11,MIN(AX$6-$G$3,22))&lt;&gt;""),Sorgo!$E11:INDEX(Sorgo!$E11:$Z11,MIN(AX$6-$G$3,22))),0)))))</f>
        <v>0</v>
      </c>
      <c r="AY13" s="27" t="n">
        <f aca="false">IF(COUNT(Sorgo!$E11:$Z11)=0,0,MAX(0,IF((AY$6-$E$3)&lt;1,0,IFERROR(LOOKUP(2,1/(Sorgo!$E11:INDEX(Sorgo!$E11:$Z11,MIN(AY$6-$E$3,22))&lt;&gt;""),Sorgo!$E11:INDEX(Sorgo!$E11:$Z11,MIN(AY$6-$E$3,22))),0))-IF($G$2,0,IF((AY$6-$G$3)&lt;1,0,IFERROR(LOOKUP(2,1/(Sorgo!$E11:INDEX(Sorgo!$E11:$Z11,MIN(AY$6-$G$3,22))&lt;&gt;""),Sorgo!$E11:INDEX(Sorgo!$E11:$Z11,MIN(AY$6-$G$3,22))),0)))))</f>
        <v>0</v>
      </c>
      <c r="AZ13" s="27" t="n">
        <f aca="false">IF(COUNT(Sorgo!$E11:$Z11)=0,0,MAX(0,IF((AZ$6-$E$3)&lt;1,0,IFERROR(LOOKUP(2,1/(Sorgo!$E11:INDEX(Sorgo!$E11:$Z11,MIN(AZ$6-$E$3,22))&lt;&gt;""),Sorgo!$E11:INDEX(Sorgo!$E11:$Z11,MIN(AZ$6-$E$3,22))),0))-IF($G$2,0,IF((AZ$6-$G$3)&lt;1,0,IFERROR(LOOKUP(2,1/(Sorgo!$E11:INDEX(Sorgo!$E11:$Z11,MIN(AZ$6-$G$3,22))&lt;&gt;""),Sorgo!$E11:INDEX(Sorgo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IF(COUNT(Sorgo!$E12:$Z12)&gt;0,N(Sorgo!$D12),0)</f>
        <v>0</v>
      </c>
      <c r="E14" s="27" t="n">
        <f aca="false">IF(COUNT(Sorgo!$E12:$Z12)=0,0,MAX(0,IF((E$6-$E$3)&lt;1,0,IFERROR(LOOKUP(2,1/(Sorgo!$E12:INDEX(Sorgo!$E12:$Z12,MIN(E$6-$E$3,22))&lt;&gt;""),Sorgo!$E12:INDEX(Sorgo!$E12:$Z12,MIN(E$6-$E$3,22))),0))-IF($G$2,0,IF((E$6-$G$3)&lt;1,0,IFERROR(LOOKUP(2,1/(Sorgo!$E12:INDEX(Sorgo!$E12:$Z12,MIN(E$6-$G$3,22))&lt;&gt;""),Sorgo!$E12:INDEX(Sorgo!$E12:$Z12,MIN(E$6-$G$3,22))),0)))))</f>
        <v>0</v>
      </c>
      <c r="F14" s="27" t="n">
        <f aca="false">IF(COUNT(Sorgo!$E12:$Z12)=0,0,MAX(0,IF((F$6-$E$3)&lt;1,0,IFERROR(LOOKUP(2,1/(Sorgo!$E12:INDEX(Sorgo!$E12:$Z12,MIN(F$6-$E$3,22))&lt;&gt;""),Sorgo!$E12:INDEX(Sorgo!$E12:$Z12,MIN(F$6-$E$3,22))),0))-IF($G$2,0,IF((F$6-$G$3)&lt;1,0,IFERROR(LOOKUP(2,1/(Sorgo!$E12:INDEX(Sorgo!$E12:$Z12,MIN(F$6-$G$3,22))&lt;&gt;""),Sorgo!$E12:INDEX(Sorgo!$E12:$Z12,MIN(F$6-$G$3,22))),0)))))</f>
        <v>0</v>
      </c>
      <c r="G14" s="27" t="n">
        <f aca="false">IF(COUNT(Sorgo!$E12:$Z12)=0,0,MAX(0,IF((G$6-$E$3)&lt;1,0,IFERROR(LOOKUP(2,1/(Sorgo!$E12:INDEX(Sorgo!$E12:$Z12,MIN(G$6-$E$3,22))&lt;&gt;""),Sorgo!$E12:INDEX(Sorgo!$E12:$Z12,MIN(G$6-$E$3,22))),0))-IF($G$2,0,IF((G$6-$G$3)&lt;1,0,IFERROR(LOOKUP(2,1/(Sorgo!$E12:INDEX(Sorgo!$E12:$Z12,MIN(G$6-$G$3,22))&lt;&gt;""),Sorgo!$E12:INDEX(Sorgo!$E12:$Z12,MIN(G$6-$G$3,22))),0)))))</f>
        <v>0</v>
      </c>
      <c r="H14" s="27" t="n">
        <f aca="false">IF(COUNT(Sorgo!$E12:$Z12)=0,0,MAX(0,IF((H$6-$E$3)&lt;1,0,IFERROR(LOOKUP(2,1/(Sorgo!$E12:INDEX(Sorgo!$E12:$Z12,MIN(H$6-$E$3,22))&lt;&gt;""),Sorgo!$E12:INDEX(Sorgo!$E12:$Z12,MIN(H$6-$E$3,22))),0))-IF($G$2,0,IF((H$6-$G$3)&lt;1,0,IFERROR(LOOKUP(2,1/(Sorgo!$E12:INDEX(Sorgo!$E12:$Z12,MIN(H$6-$G$3,22))&lt;&gt;""),Sorgo!$E12:INDEX(Sorgo!$E12:$Z12,MIN(H$6-$G$3,22))),0)))))</f>
        <v>0</v>
      </c>
      <c r="I14" s="27" t="n">
        <f aca="false">IF(COUNT(Sorgo!$E12:$Z12)=0,0,MAX(0,IF((I$6-$E$3)&lt;1,0,IFERROR(LOOKUP(2,1/(Sorgo!$E12:INDEX(Sorgo!$E12:$Z12,MIN(I$6-$E$3,22))&lt;&gt;""),Sorgo!$E12:INDEX(Sorgo!$E12:$Z12,MIN(I$6-$E$3,22))),0))-IF($G$2,0,IF((I$6-$G$3)&lt;1,0,IFERROR(LOOKUP(2,1/(Sorgo!$E12:INDEX(Sorgo!$E12:$Z12,MIN(I$6-$G$3,22))&lt;&gt;""),Sorgo!$E12:INDEX(Sorgo!$E12:$Z12,MIN(I$6-$G$3,22))),0)))))</f>
        <v>0</v>
      </c>
      <c r="J14" s="27" t="n">
        <f aca="false">IF(COUNT(Sorgo!$E12:$Z12)=0,0,MAX(0,IF((J$6-$E$3)&lt;1,0,IFERROR(LOOKUP(2,1/(Sorgo!$E12:INDEX(Sorgo!$E12:$Z12,MIN(J$6-$E$3,22))&lt;&gt;""),Sorgo!$E12:INDEX(Sorgo!$E12:$Z12,MIN(J$6-$E$3,22))),0))-IF($G$2,0,IF((J$6-$G$3)&lt;1,0,IFERROR(LOOKUP(2,1/(Sorgo!$E12:INDEX(Sorgo!$E12:$Z12,MIN(J$6-$G$3,22))&lt;&gt;""),Sorgo!$E12:INDEX(Sorgo!$E12:$Z12,MIN(J$6-$G$3,22))),0)))))</f>
        <v>0</v>
      </c>
      <c r="K14" s="27" t="n">
        <f aca="false">IF(COUNT(Sorgo!$E12:$Z12)=0,0,MAX(0,IF((K$6-$E$3)&lt;1,0,IFERROR(LOOKUP(2,1/(Sorgo!$E12:INDEX(Sorgo!$E12:$Z12,MIN(K$6-$E$3,22))&lt;&gt;""),Sorgo!$E12:INDEX(Sorgo!$E12:$Z12,MIN(K$6-$E$3,22))),0))-IF($G$2,0,IF((K$6-$G$3)&lt;1,0,IFERROR(LOOKUP(2,1/(Sorgo!$E12:INDEX(Sorgo!$E12:$Z12,MIN(K$6-$G$3,22))&lt;&gt;""),Sorgo!$E12:INDEX(Sorgo!$E12:$Z12,MIN(K$6-$G$3,22))),0)))))</f>
        <v>0</v>
      </c>
      <c r="L14" s="27" t="n">
        <f aca="false">IF(COUNT(Sorgo!$E12:$Z12)=0,0,MAX(0,IF((L$6-$E$3)&lt;1,0,IFERROR(LOOKUP(2,1/(Sorgo!$E12:INDEX(Sorgo!$E12:$Z12,MIN(L$6-$E$3,22))&lt;&gt;""),Sorgo!$E12:INDEX(Sorgo!$E12:$Z12,MIN(L$6-$E$3,22))),0))-IF($G$2,0,IF((L$6-$G$3)&lt;1,0,IFERROR(LOOKUP(2,1/(Sorgo!$E12:INDEX(Sorgo!$E12:$Z12,MIN(L$6-$G$3,22))&lt;&gt;""),Sorgo!$E12:INDEX(Sorgo!$E12:$Z12,MIN(L$6-$G$3,22))),0)))))</f>
        <v>0</v>
      </c>
      <c r="M14" s="27" t="n">
        <f aca="false">IF(COUNT(Sorgo!$E12:$Z12)=0,0,MAX(0,IF((M$6-$E$3)&lt;1,0,IFERROR(LOOKUP(2,1/(Sorgo!$E12:INDEX(Sorgo!$E12:$Z12,MIN(M$6-$E$3,22))&lt;&gt;""),Sorgo!$E12:INDEX(Sorgo!$E12:$Z12,MIN(M$6-$E$3,22))),0))-IF($G$2,0,IF((M$6-$G$3)&lt;1,0,IFERROR(LOOKUP(2,1/(Sorgo!$E12:INDEX(Sorgo!$E12:$Z12,MIN(M$6-$G$3,22))&lt;&gt;""),Sorgo!$E12:INDEX(Sorgo!$E12:$Z12,MIN(M$6-$G$3,22))),0)))))</f>
        <v>0</v>
      </c>
      <c r="N14" s="27" t="n">
        <f aca="false">IF(COUNT(Sorgo!$E12:$Z12)=0,0,MAX(0,IF((N$6-$E$3)&lt;1,0,IFERROR(LOOKUP(2,1/(Sorgo!$E12:INDEX(Sorgo!$E12:$Z12,MIN(N$6-$E$3,22))&lt;&gt;""),Sorgo!$E12:INDEX(Sorgo!$E12:$Z12,MIN(N$6-$E$3,22))),0))-IF($G$2,0,IF((N$6-$G$3)&lt;1,0,IFERROR(LOOKUP(2,1/(Sorgo!$E12:INDEX(Sorgo!$E12:$Z12,MIN(N$6-$G$3,22))&lt;&gt;""),Sorgo!$E12:INDEX(Sorgo!$E12:$Z12,MIN(N$6-$G$3,22))),0)))))</f>
        <v>0</v>
      </c>
      <c r="O14" s="27" t="n">
        <f aca="false">IF(COUNT(Sorgo!$E12:$Z12)=0,0,MAX(0,IF((O$6-$E$3)&lt;1,0,IFERROR(LOOKUP(2,1/(Sorgo!$E12:INDEX(Sorgo!$E12:$Z12,MIN(O$6-$E$3,22))&lt;&gt;""),Sorgo!$E12:INDEX(Sorgo!$E12:$Z12,MIN(O$6-$E$3,22))),0))-IF($G$2,0,IF((O$6-$G$3)&lt;1,0,IFERROR(LOOKUP(2,1/(Sorgo!$E12:INDEX(Sorgo!$E12:$Z12,MIN(O$6-$G$3,22))&lt;&gt;""),Sorgo!$E12:INDEX(Sorgo!$E12:$Z12,MIN(O$6-$G$3,22))),0)))))</f>
        <v>0</v>
      </c>
      <c r="P14" s="27" t="n">
        <f aca="false">IF(COUNT(Sorgo!$E12:$Z12)=0,0,MAX(0,IF((P$6-$E$3)&lt;1,0,IFERROR(LOOKUP(2,1/(Sorgo!$E12:INDEX(Sorgo!$E12:$Z12,MIN(P$6-$E$3,22))&lt;&gt;""),Sorgo!$E12:INDEX(Sorgo!$E12:$Z12,MIN(P$6-$E$3,22))),0))-IF($G$2,0,IF((P$6-$G$3)&lt;1,0,IFERROR(LOOKUP(2,1/(Sorgo!$E12:INDEX(Sorgo!$E12:$Z12,MIN(P$6-$G$3,22))&lt;&gt;""),Sorgo!$E12:INDEX(Sorgo!$E12:$Z12,MIN(P$6-$G$3,22))),0)))))</f>
        <v>0</v>
      </c>
      <c r="Q14" s="27" t="n">
        <f aca="false">IF(COUNT(Sorgo!$E12:$Z12)=0,0,MAX(0,IF((Q$6-$E$3)&lt;1,0,IFERROR(LOOKUP(2,1/(Sorgo!$E12:INDEX(Sorgo!$E12:$Z12,MIN(Q$6-$E$3,22))&lt;&gt;""),Sorgo!$E12:INDEX(Sorgo!$E12:$Z12,MIN(Q$6-$E$3,22))),0))-IF($G$2,0,IF((Q$6-$G$3)&lt;1,0,IFERROR(LOOKUP(2,1/(Sorgo!$E12:INDEX(Sorgo!$E12:$Z12,MIN(Q$6-$G$3,22))&lt;&gt;""),Sorgo!$E12:INDEX(Sorgo!$E12:$Z12,MIN(Q$6-$G$3,22))),0)))))</f>
        <v>0</v>
      </c>
      <c r="R14" s="27" t="n">
        <f aca="false">IF(COUNT(Sorgo!$E12:$Z12)=0,0,MAX(0,IF((R$6-$E$3)&lt;1,0,IFERROR(LOOKUP(2,1/(Sorgo!$E12:INDEX(Sorgo!$E12:$Z12,MIN(R$6-$E$3,22))&lt;&gt;""),Sorgo!$E12:INDEX(Sorgo!$E12:$Z12,MIN(R$6-$E$3,22))),0))-IF($G$2,0,IF((R$6-$G$3)&lt;1,0,IFERROR(LOOKUP(2,1/(Sorgo!$E12:INDEX(Sorgo!$E12:$Z12,MIN(R$6-$G$3,22))&lt;&gt;""),Sorgo!$E12:INDEX(Sorgo!$E12:$Z12,MIN(R$6-$G$3,22))),0)))))</f>
        <v>0</v>
      </c>
      <c r="S14" s="27" t="n">
        <f aca="false">IF(COUNT(Sorgo!$E12:$Z12)=0,0,MAX(0,IF((S$6-$E$3)&lt;1,0,IFERROR(LOOKUP(2,1/(Sorgo!$E12:INDEX(Sorgo!$E12:$Z12,MIN(S$6-$E$3,22))&lt;&gt;""),Sorgo!$E12:INDEX(Sorgo!$E12:$Z12,MIN(S$6-$E$3,22))),0))-IF($G$2,0,IF((S$6-$G$3)&lt;1,0,IFERROR(LOOKUP(2,1/(Sorgo!$E12:INDEX(Sorgo!$E12:$Z12,MIN(S$6-$G$3,22))&lt;&gt;""),Sorgo!$E12:INDEX(Sorgo!$E12:$Z12,MIN(S$6-$G$3,22))),0)))))</f>
        <v>0</v>
      </c>
      <c r="T14" s="27" t="n">
        <f aca="false">IF(COUNT(Sorgo!$E12:$Z12)=0,0,MAX(0,IF((T$6-$E$3)&lt;1,0,IFERROR(LOOKUP(2,1/(Sorgo!$E12:INDEX(Sorgo!$E12:$Z12,MIN(T$6-$E$3,22))&lt;&gt;""),Sorgo!$E12:INDEX(Sorgo!$E12:$Z12,MIN(T$6-$E$3,22))),0))-IF($G$2,0,IF((T$6-$G$3)&lt;1,0,IFERROR(LOOKUP(2,1/(Sorgo!$E12:INDEX(Sorgo!$E12:$Z12,MIN(T$6-$G$3,22))&lt;&gt;""),Sorgo!$E12:INDEX(Sorgo!$E12:$Z12,MIN(T$6-$G$3,22))),0)))))</f>
        <v>0</v>
      </c>
      <c r="U14" s="27" t="n">
        <f aca="false">IF(COUNT(Sorgo!$E12:$Z12)=0,0,MAX(0,IF((U$6-$E$3)&lt;1,0,IFERROR(LOOKUP(2,1/(Sorgo!$E12:INDEX(Sorgo!$E12:$Z12,MIN(U$6-$E$3,22))&lt;&gt;""),Sorgo!$E12:INDEX(Sorgo!$E12:$Z12,MIN(U$6-$E$3,22))),0))-IF($G$2,0,IF((U$6-$G$3)&lt;1,0,IFERROR(LOOKUP(2,1/(Sorgo!$E12:INDEX(Sorgo!$E12:$Z12,MIN(U$6-$G$3,22))&lt;&gt;""),Sorgo!$E12:INDEX(Sorgo!$E12:$Z12,MIN(U$6-$G$3,22))),0)))))</f>
        <v>0</v>
      </c>
      <c r="V14" s="27" t="n">
        <f aca="false">IF(COUNT(Sorgo!$E12:$Z12)=0,0,MAX(0,IF((V$6-$E$3)&lt;1,0,IFERROR(LOOKUP(2,1/(Sorgo!$E12:INDEX(Sorgo!$E12:$Z12,MIN(V$6-$E$3,22))&lt;&gt;""),Sorgo!$E12:INDEX(Sorgo!$E12:$Z12,MIN(V$6-$E$3,22))),0))-IF($G$2,0,IF((V$6-$G$3)&lt;1,0,IFERROR(LOOKUP(2,1/(Sorgo!$E12:INDEX(Sorgo!$E12:$Z12,MIN(V$6-$G$3,22))&lt;&gt;""),Sorgo!$E12:INDEX(Sorgo!$E12:$Z12,MIN(V$6-$G$3,22))),0)))))</f>
        <v>0</v>
      </c>
      <c r="W14" s="27" t="n">
        <f aca="false">IF(COUNT(Sorgo!$E12:$Z12)=0,0,MAX(0,IF((W$6-$E$3)&lt;1,0,IFERROR(LOOKUP(2,1/(Sorgo!$E12:INDEX(Sorgo!$E12:$Z12,MIN(W$6-$E$3,22))&lt;&gt;""),Sorgo!$E12:INDEX(Sorgo!$E12:$Z12,MIN(W$6-$E$3,22))),0))-IF($G$2,0,IF((W$6-$G$3)&lt;1,0,IFERROR(LOOKUP(2,1/(Sorgo!$E12:INDEX(Sorgo!$E12:$Z12,MIN(W$6-$G$3,22))&lt;&gt;""),Sorgo!$E12:INDEX(Sorgo!$E12:$Z12,MIN(W$6-$G$3,22))),0)))))</f>
        <v>0</v>
      </c>
      <c r="X14" s="27" t="n">
        <f aca="false">IF(COUNT(Sorgo!$E12:$Z12)=0,0,MAX(0,IF((X$6-$E$3)&lt;1,0,IFERROR(LOOKUP(2,1/(Sorgo!$E12:INDEX(Sorgo!$E12:$Z12,MIN(X$6-$E$3,22))&lt;&gt;""),Sorgo!$E12:INDEX(Sorgo!$E12:$Z12,MIN(X$6-$E$3,22))),0))-IF($G$2,0,IF((X$6-$G$3)&lt;1,0,IFERROR(LOOKUP(2,1/(Sorgo!$E12:INDEX(Sorgo!$E12:$Z12,MIN(X$6-$G$3,22))&lt;&gt;""),Sorgo!$E12:INDEX(Sorgo!$E12:$Z12,MIN(X$6-$G$3,22))),0)))))</f>
        <v>0</v>
      </c>
      <c r="Y14" s="27" t="n">
        <f aca="false">IF(COUNT(Sorgo!$E12:$Z12)=0,0,MAX(0,IF((Y$6-$E$3)&lt;1,0,IFERROR(LOOKUP(2,1/(Sorgo!$E12:INDEX(Sorgo!$E12:$Z12,MIN(Y$6-$E$3,22))&lt;&gt;""),Sorgo!$E12:INDEX(Sorgo!$E12:$Z12,MIN(Y$6-$E$3,22))),0))-IF($G$2,0,IF((Y$6-$G$3)&lt;1,0,IFERROR(LOOKUP(2,1/(Sorgo!$E12:INDEX(Sorgo!$E12:$Z12,MIN(Y$6-$G$3,22))&lt;&gt;""),Sorgo!$E12:INDEX(Sorgo!$E12:$Z12,MIN(Y$6-$G$3,22))),0)))))</f>
        <v>0</v>
      </c>
      <c r="Z14" s="27" t="n">
        <f aca="false">IF(COUNT(Sorgo!$E12:$Z12)=0,0,MAX(0,IF((Z$6-$E$3)&lt;1,0,IFERROR(LOOKUP(2,1/(Sorgo!$E12:INDEX(Sorgo!$E12:$Z12,MIN(Z$6-$E$3,22))&lt;&gt;""),Sorgo!$E12:INDEX(Sorgo!$E12:$Z12,MIN(Z$6-$E$3,22))),0))-IF($G$2,0,IF((Z$6-$G$3)&lt;1,0,IFERROR(LOOKUP(2,1/(Sorgo!$E12:INDEX(Sorgo!$E12:$Z12,MIN(Z$6-$G$3,22))&lt;&gt;""),Sorgo!$E12:INDEX(Sorgo!$E12:$Z12,MIN(Z$6-$G$3,22))),0)))))</f>
        <v>0</v>
      </c>
      <c r="AA14" s="27" t="n">
        <f aca="false">IF(COUNT(Sorgo!$E12:$Z12)=0,0,MAX(0,IF((AA$6-$E$3)&lt;1,0,IFERROR(LOOKUP(2,1/(Sorgo!$E12:INDEX(Sorgo!$E12:$Z12,MIN(AA$6-$E$3,22))&lt;&gt;""),Sorgo!$E12:INDEX(Sorgo!$E12:$Z12,MIN(AA$6-$E$3,22))),0))-IF($G$2,0,IF((AA$6-$G$3)&lt;1,0,IFERROR(LOOKUP(2,1/(Sorgo!$E12:INDEX(Sorgo!$E12:$Z12,MIN(AA$6-$G$3,22))&lt;&gt;""),Sorgo!$E12:INDEX(Sorgo!$E12:$Z12,MIN(AA$6-$G$3,22))),0)))))</f>
        <v>0</v>
      </c>
      <c r="AB14" s="27" t="n">
        <f aca="false">IF(COUNT(Sorgo!$E12:$Z12)=0,0,MAX(0,IF((AB$6-$E$3)&lt;1,0,IFERROR(LOOKUP(2,1/(Sorgo!$E12:INDEX(Sorgo!$E12:$Z12,MIN(AB$6-$E$3,22))&lt;&gt;""),Sorgo!$E12:INDEX(Sorgo!$E12:$Z12,MIN(AB$6-$E$3,22))),0))-IF($G$2,0,IF((AB$6-$G$3)&lt;1,0,IFERROR(LOOKUP(2,1/(Sorgo!$E12:INDEX(Sorgo!$E12:$Z12,MIN(AB$6-$G$3,22))&lt;&gt;""),Sorgo!$E12:INDEX(Sorgo!$E12:$Z12,MIN(AB$6-$G$3,22))),0)))))</f>
        <v>0</v>
      </c>
      <c r="AC14" s="27" t="n">
        <f aca="false">IF(COUNT(Sorgo!$E12:$Z12)=0,0,MAX(0,IF((AC$6-$E$3)&lt;1,0,IFERROR(LOOKUP(2,1/(Sorgo!$E12:INDEX(Sorgo!$E12:$Z12,MIN(AC$6-$E$3,22))&lt;&gt;""),Sorgo!$E12:INDEX(Sorgo!$E12:$Z12,MIN(AC$6-$E$3,22))),0))-IF($G$2,0,IF((AC$6-$G$3)&lt;1,0,IFERROR(LOOKUP(2,1/(Sorgo!$E12:INDEX(Sorgo!$E12:$Z12,MIN(AC$6-$G$3,22))&lt;&gt;""),Sorgo!$E12:INDEX(Sorgo!$E12:$Z12,MIN(AC$6-$G$3,22))),0)))))</f>
        <v>0</v>
      </c>
      <c r="AD14" s="27" t="n">
        <f aca="false">IF(COUNT(Sorgo!$E12:$Z12)=0,0,MAX(0,IF((AD$6-$E$3)&lt;1,0,IFERROR(LOOKUP(2,1/(Sorgo!$E12:INDEX(Sorgo!$E12:$Z12,MIN(AD$6-$E$3,22))&lt;&gt;""),Sorgo!$E12:INDEX(Sorgo!$E12:$Z12,MIN(AD$6-$E$3,22))),0))-IF($G$2,0,IF((AD$6-$G$3)&lt;1,0,IFERROR(LOOKUP(2,1/(Sorgo!$E12:INDEX(Sorgo!$E12:$Z12,MIN(AD$6-$G$3,22))&lt;&gt;""),Sorgo!$E12:INDEX(Sorgo!$E12:$Z12,MIN(AD$6-$G$3,22))),0)))))</f>
        <v>0</v>
      </c>
      <c r="AE14" s="27" t="n">
        <f aca="false">IF(COUNT(Sorgo!$E12:$Z12)=0,0,MAX(0,IF((AE$6-$E$3)&lt;1,0,IFERROR(LOOKUP(2,1/(Sorgo!$E12:INDEX(Sorgo!$E12:$Z12,MIN(AE$6-$E$3,22))&lt;&gt;""),Sorgo!$E12:INDEX(Sorgo!$E12:$Z12,MIN(AE$6-$E$3,22))),0))-IF($G$2,0,IF((AE$6-$G$3)&lt;1,0,IFERROR(LOOKUP(2,1/(Sorgo!$E12:INDEX(Sorgo!$E12:$Z12,MIN(AE$6-$G$3,22))&lt;&gt;""),Sorgo!$E12:INDEX(Sorgo!$E12:$Z12,MIN(AE$6-$G$3,22))),0)))))</f>
        <v>0</v>
      </c>
      <c r="AF14" s="27" t="n">
        <f aca="false">IF(COUNT(Sorgo!$E12:$Z12)=0,0,MAX(0,IF((AF$6-$E$3)&lt;1,0,IFERROR(LOOKUP(2,1/(Sorgo!$E12:INDEX(Sorgo!$E12:$Z12,MIN(AF$6-$E$3,22))&lt;&gt;""),Sorgo!$E12:INDEX(Sorgo!$E12:$Z12,MIN(AF$6-$E$3,22))),0))-IF($G$2,0,IF((AF$6-$G$3)&lt;1,0,IFERROR(LOOKUP(2,1/(Sorgo!$E12:INDEX(Sorgo!$E12:$Z12,MIN(AF$6-$G$3,22))&lt;&gt;""),Sorgo!$E12:INDEX(Sorgo!$E12:$Z12,MIN(AF$6-$G$3,22))),0)))))</f>
        <v>0</v>
      </c>
      <c r="AG14" s="27" t="n">
        <f aca="false">IF(COUNT(Sorgo!$E12:$Z12)=0,0,MAX(0,IF((AG$6-$E$3)&lt;1,0,IFERROR(LOOKUP(2,1/(Sorgo!$E12:INDEX(Sorgo!$E12:$Z12,MIN(AG$6-$E$3,22))&lt;&gt;""),Sorgo!$E12:INDEX(Sorgo!$E12:$Z12,MIN(AG$6-$E$3,22))),0))-IF($G$2,0,IF((AG$6-$G$3)&lt;1,0,IFERROR(LOOKUP(2,1/(Sorgo!$E12:INDEX(Sorgo!$E12:$Z12,MIN(AG$6-$G$3,22))&lt;&gt;""),Sorgo!$E12:INDEX(Sorgo!$E12:$Z12,MIN(AG$6-$G$3,22))),0)))))</f>
        <v>0</v>
      </c>
      <c r="AH14" s="27" t="n">
        <f aca="false">IF(COUNT(Sorgo!$E12:$Z12)=0,0,MAX(0,IF((AH$6-$E$3)&lt;1,0,IFERROR(LOOKUP(2,1/(Sorgo!$E12:INDEX(Sorgo!$E12:$Z12,MIN(AH$6-$E$3,22))&lt;&gt;""),Sorgo!$E12:INDEX(Sorgo!$E12:$Z12,MIN(AH$6-$E$3,22))),0))-IF($G$2,0,IF((AH$6-$G$3)&lt;1,0,IFERROR(LOOKUP(2,1/(Sorgo!$E12:INDEX(Sorgo!$E12:$Z12,MIN(AH$6-$G$3,22))&lt;&gt;""),Sorgo!$E12:INDEX(Sorgo!$E12:$Z12,MIN(AH$6-$G$3,22))),0)))))</f>
        <v>0</v>
      </c>
      <c r="AI14" s="27" t="n">
        <f aca="false">IF(COUNT(Sorgo!$E12:$Z12)=0,0,MAX(0,IF((AI$6-$E$3)&lt;1,0,IFERROR(LOOKUP(2,1/(Sorgo!$E12:INDEX(Sorgo!$E12:$Z12,MIN(AI$6-$E$3,22))&lt;&gt;""),Sorgo!$E12:INDEX(Sorgo!$E12:$Z12,MIN(AI$6-$E$3,22))),0))-IF($G$2,0,IF((AI$6-$G$3)&lt;1,0,IFERROR(LOOKUP(2,1/(Sorgo!$E12:INDEX(Sorgo!$E12:$Z12,MIN(AI$6-$G$3,22))&lt;&gt;""),Sorgo!$E12:INDEX(Sorgo!$E12:$Z12,MIN(AI$6-$G$3,22))),0)))))</f>
        <v>0</v>
      </c>
      <c r="AJ14" s="27" t="n">
        <f aca="false">IF(COUNT(Sorgo!$E12:$Z12)=0,0,MAX(0,IF((AJ$6-$E$3)&lt;1,0,IFERROR(LOOKUP(2,1/(Sorgo!$E12:INDEX(Sorgo!$E12:$Z12,MIN(AJ$6-$E$3,22))&lt;&gt;""),Sorgo!$E12:INDEX(Sorgo!$E12:$Z12,MIN(AJ$6-$E$3,22))),0))-IF($G$2,0,IF((AJ$6-$G$3)&lt;1,0,IFERROR(LOOKUP(2,1/(Sorgo!$E12:INDEX(Sorgo!$E12:$Z12,MIN(AJ$6-$G$3,22))&lt;&gt;""),Sorgo!$E12:INDEX(Sorgo!$E12:$Z12,MIN(AJ$6-$G$3,22))),0)))))</f>
        <v>0</v>
      </c>
      <c r="AK14" s="27" t="n">
        <f aca="false">IF(COUNT(Sorgo!$E12:$Z12)=0,0,MAX(0,IF((AK$6-$E$3)&lt;1,0,IFERROR(LOOKUP(2,1/(Sorgo!$E12:INDEX(Sorgo!$E12:$Z12,MIN(AK$6-$E$3,22))&lt;&gt;""),Sorgo!$E12:INDEX(Sorgo!$E12:$Z12,MIN(AK$6-$E$3,22))),0))-IF($G$2,0,IF((AK$6-$G$3)&lt;1,0,IFERROR(LOOKUP(2,1/(Sorgo!$E12:INDEX(Sorgo!$E12:$Z12,MIN(AK$6-$G$3,22))&lt;&gt;""),Sorgo!$E12:INDEX(Sorgo!$E12:$Z12,MIN(AK$6-$G$3,22))),0)))))</f>
        <v>0</v>
      </c>
      <c r="AL14" s="27" t="n">
        <f aca="false">IF(COUNT(Sorgo!$E12:$Z12)=0,0,MAX(0,IF((AL$6-$E$3)&lt;1,0,IFERROR(LOOKUP(2,1/(Sorgo!$E12:INDEX(Sorgo!$E12:$Z12,MIN(AL$6-$E$3,22))&lt;&gt;""),Sorgo!$E12:INDEX(Sorgo!$E12:$Z12,MIN(AL$6-$E$3,22))),0))-IF($G$2,0,IF((AL$6-$G$3)&lt;1,0,IFERROR(LOOKUP(2,1/(Sorgo!$E12:INDEX(Sorgo!$E12:$Z12,MIN(AL$6-$G$3,22))&lt;&gt;""),Sorgo!$E12:INDEX(Sorgo!$E12:$Z12,MIN(AL$6-$G$3,22))),0)))))</f>
        <v>0</v>
      </c>
      <c r="AM14" s="27" t="n">
        <f aca="false">IF(COUNT(Sorgo!$E12:$Z12)=0,0,MAX(0,IF((AM$6-$E$3)&lt;1,0,IFERROR(LOOKUP(2,1/(Sorgo!$E12:INDEX(Sorgo!$E12:$Z12,MIN(AM$6-$E$3,22))&lt;&gt;""),Sorgo!$E12:INDEX(Sorgo!$E12:$Z12,MIN(AM$6-$E$3,22))),0))-IF($G$2,0,IF((AM$6-$G$3)&lt;1,0,IFERROR(LOOKUP(2,1/(Sorgo!$E12:INDEX(Sorgo!$E12:$Z12,MIN(AM$6-$G$3,22))&lt;&gt;""),Sorgo!$E12:INDEX(Sorgo!$E12:$Z12,MIN(AM$6-$G$3,22))),0)))))</f>
        <v>0</v>
      </c>
      <c r="AN14" s="27" t="n">
        <f aca="false">IF(COUNT(Sorgo!$E12:$Z12)=0,0,MAX(0,IF((AN$6-$E$3)&lt;1,0,IFERROR(LOOKUP(2,1/(Sorgo!$E12:INDEX(Sorgo!$E12:$Z12,MIN(AN$6-$E$3,22))&lt;&gt;""),Sorgo!$E12:INDEX(Sorgo!$E12:$Z12,MIN(AN$6-$E$3,22))),0))-IF($G$2,0,IF((AN$6-$G$3)&lt;1,0,IFERROR(LOOKUP(2,1/(Sorgo!$E12:INDEX(Sorgo!$E12:$Z12,MIN(AN$6-$G$3,22))&lt;&gt;""),Sorgo!$E12:INDEX(Sorgo!$E12:$Z12,MIN(AN$6-$G$3,22))),0)))))</f>
        <v>0</v>
      </c>
      <c r="AO14" s="27" t="n">
        <f aca="false">IF(COUNT(Sorgo!$E12:$Z12)=0,0,MAX(0,IF((AO$6-$E$3)&lt;1,0,IFERROR(LOOKUP(2,1/(Sorgo!$E12:INDEX(Sorgo!$E12:$Z12,MIN(AO$6-$E$3,22))&lt;&gt;""),Sorgo!$E12:INDEX(Sorgo!$E12:$Z12,MIN(AO$6-$E$3,22))),0))-IF($G$2,0,IF((AO$6-$G$3)&lt;1,0,IFERROR(LOOKUP(2,1/(Sorgo!$E12:INDEX(Sorgo!$E12:$Z12,MIN(AO$6-$G$3,22))&lt;&gt;""),Sorgo!$E12:INDEX(Sorgo!$E12:$Z12,MIN(AO$6-$G$3,22))),0)))))</f>
        <v>0</v>
      </c>
      <c r="AP14" s="27" t="n">
        <f aca="false">IF(COUNT(Sorgo!$E12:$Z12)=0,0,MAX(0,IF((AP$6-$E$3)&lt;1,0,IFERROR(LOOKUP(2,1/(Sorgo!$E12:INDEX(Sorgo!$E12:$Z12,MIN(AP$6-$E$3,22))&lt;&gt;""),Sorgo!$E12:INDEX(Sorgo!$E12:$Z12,MIN(AP$6-$E$3,22))),0))-IF($G$2,0,IF((AP$6-$G$3)&lt;1,0,IFERROR(LOOKUP(2,1/(Sorgo!$E12:INDEX(Sorgo!$E12:$Z12,MIN(AP$6-$G$3,22))&lt;&gt;""),Sorgo!$E12:INDEX(Sorgo!$E12:$Z12,MIN(AP$6-$G$3,22))),0)))))</f>
        <v>0</v>
      </c>
      <c r="AQ14" s="27" t="n">
        <f aca="false">IF(COUNT(Sorgo!$E12:$Z12)=0,0,MAX(0,IF((AQ$6-$E$3)&lt;1,0,IFERROR(LOOKUP(2,1/(Sorgo!$E12:INDEX(Sorgo!$E12:$Z12,MIN(AQ$6-$E$3,22))&lt;&gt;""),Sorgo!$E12:INDEX(Sorgo!$E12:$Z12,MIN(AQ$6-$E$3,22))),0))-IF($G$2,0,IF((AQ$6-$G$3)&lt;1,0,IFERROR(LOOKUP(2,1/(Sorgo!$E12:INDEX(Sorgo!$E12:$Z12,MIN(AQ$6-$G$3,22))&lt;&gt;""),Sorgo!$E12:INDEX(Sorgo!$E12:$Z12,MIN(AQ$6-$G$3,22))),0)))))</f>
        <v>0</v>
      </c>
      <c r="AR14" s="27" t="n">
        <f aca="false">IF(COUNT(Sorgo!$E12:$Z12)=0,0,MAX(0,IF((AR$6-$E$3)&lt;1,0,IFERROR(LOOKUP(2,1/(Sorgo!$E12:INDEX(Sorgo!$E12:$Z12,MIN(AR$6-$E$3,22))&lt;&gt;""),Sorgo!$E12:INDEX(Sorgo!$E12:$Z12,MIN(AR$6-$E$3,22))),0))-IF($G$2,0,IF((AR$6-$G$3)&lt;1,0,IFERROR(LOOKUP(2,1/(Sorgo!$E12:INDEX(Sorgo!$E12:$Z12,MIN(AR$6-$G$3,22))&lt;&gt;""),Sorgo!$E12:INDEX(Sorgo!$E12:$Z12,MIN(AR$6-$G$3,22))),0)))))</f>
        <v>0</v>
      </c>
      <c r="AS14" s="27" t="n">
        <f aca="false">IF(COUNT(Sorgo!$E12:$Z12)=0,0,MAX(0,IF((AS$6-$E$3)&lt;1,0,IFERROR(LOOKUP(2,1/(Sorgo!$E12:INDEX(Sorgo!$E12:$Z12,MIN(AS$6-$E$3,22))&lt;&gt;""),Sorgo!$E12:INDEX(Sorgo!$E12:$Z12,MIN(AS$6-$E$3,22))),0))-IF($G$2,0,IF((AS$6-$G$3)&lt;1,0,IFERROR(LOOKUP(2,1/(Sorgo!$E12:INDEX(Sorgo!$E12:$Z12,MIN(AS$6-$G$3,22))&lt;&gt;""),Sorgo!$E12:INDEX(Sorgo!$E12:$Z12,MIN(AS$6-$G$3,22))),0)))))</f>
        <v>0</v>
      </c>
      <c r="AT14" s="27" t="n">
        <f aca="false">IF(COUNT(Sorgo!$E12:$Z12)=0,0,MAX(0,IF((AT$6-$E$3)&lt;1,0,IFERROR(LOOKUP(2,1/(Sorgo!$E12:INDEX(Sorgo!$E12:$Z12,MIN(AT$6-$E$3,22))&lt;&gt;""),Sorgo!$E12:INDEX(Sorgo!$E12:$Z12,MIN(AT$6-$E$3,22))),0))-IF($G$2,0,IF((AT$6-$G$3)&lt;1,0,IFERROR(LOOKUP(2,1/(Sorgo!$E12:INDEX(Sorgo!$E12:$Z12,MIN(AT$6-$G$3,22))&lt;&gt;""),Sorgo!$E12:INDEX(Sorgo!$E12:$Z12,MIN(AT$6-$G$3,22))),0)))))</f>
        <v>0</v>
      </c>
      <c r="AU14" s="27" t="n">
        <f aca="false">IF(COUNT(Sorgo!$E12:$Z12)=0,0,MAX(0,IF((AU$6-$E$3)&lt;1,0,IFERROR(LOOKUP(2,1/(Sorgo!$E12:INDEX(Sorgo!$E12:$Z12,MIN(AU$6-$E$3,22))&lt;&gt;""),Sorgo!$E12:INDEX(Sorgo!$E12:$Z12,MIN(AU$6-$E$3,22))),0))-IF($G$2,0,IF((AU$6-$G$3)&lt;1,0,IFERROR(LOOKUP(2,1/(Sorgo!$E12:INDEX(Sorgo!$E12:$Z12,MIN(AU$6-$G$3,22))&lt;&gt;""),Sorgo!$E12:INDEX(Sorgo!$E12:$Z12,MIN(AU$6-$G$3,22))),0)))))</f>
        <v>0</v>
      </c>
      <c r="AV14" s="27" t="n">
        <f aca="false">IF(COUNT(Sorgo!$E12:$Z12)=0,0,MAX(0,IF((AV$6-$E$3)&lt;1,0,IFERROR(LOOKUP(2,1/(Sorgo!$E12:INDEX(Sorgo!$E12:$Z12,MIN(AV$6-$E$3,22))&lt;&gt;""),Sorgo!$E12:INDEX(Sorgo!$E12:$Z12,MIN(AV$6-$E$3,22))),0))-IF($G$2,0,IF((AV$6-$G$3)&lt;1,0,IFERROR(LOOKUP(2,1/(Sorgo!$E12:INDEX(Sorgo!$E12:$Z12,MIN(AV$6-$G$3,22))&lt;&gt;""),Sorgo!$E12:INDEX(Sorgo!$E12:$Z12,MIN(AV$6-$G$3,22))),0)))))</f>
        <v>0</v>
      </c>
      <c r="AW14" s="27" t="n">
        <f aca="false">IF(COUNT(Sorgo!$E12:$Z12)=0,0,MAX(0,IF((AW$6-$E$3)&lt;1,0,IFERROR(LOOKUP(2,1/(Sorgo!$E12:INDEX(Sorgo!$E12:$Z12,MIN(AW$6-$E$3,22))&lt;&gt;""),Sorgo!$E12:INDEX(Sorgo!$E12:$Z12,MIN(AW$6-$E$3,22))),0))-IF($G$2,0,IF((AW$6-$G$3)&lt;1,0,IFERROR(LOOKUP(2,1/(Sorgo!$E12:INDEX(Sorgo!$E12:$Z12,MIN(AW$6-$G$3,22))&lt;&gt;""),Sorgo!$E12:INDEX(Sorgo!$E12:$Z12,MIN(AW$6-$G$3,22))),0)))))</f>
        <v>0</v>
      </c>
      <c r="AX14" s="27" t="n">
        <f aca="false">IF(COUNT(Sorgo!$E12:$Z12)=0,0,MAX(0,IF((AX$6-$E$3)&lt;1,0,IFERROR(LOOKUP(2,1/(Sorgo!$E12:INDEX(Sorgo!$E12:$Z12,MIN(AX$6-$E$3,22))&lt;&gt;""),Sorgo!$E12:INDEX(Sorgo!$E12:$Z12,MIN(AX$6-$E$3,22))),0))-IF($G$2,0,IF((AX$6-$G$3)&lt;1,0,IFERROR(LOOKUP(2,1/(Sorgo!$E12:INDEX(Sorgo!$E12:$Z12,MIN(AX$6-$G$3,22))&lt;&gt;""),Sorgo!$E12:INDEX(Sorgo!$E12:$Z12,MIN(AX$6-$G$3,22))),0)))))</f>
        <v>0</v>
      </c>
      <c r="AY14" s="27" t="n">
        <f aca="false">IF(COUNT(Sorgo!$E12:$Z12)=0,0,MAX(0,IF((AY$6-$E$3)&lt;1,0,IFERROR(LOOKUP(2,1/(Sorgo!$E12:INDEX(Sorgo!$E12:$Z12,MIN(AY$6-$E$3,22))&lt;&gt;""),Sorgo!$E12:INDEX(Sorgo!$E12:$Z12,MIN(AY$6-$E$3,22))),0))-IF($G$2,0,IF((AY$6-$G$3)&lt;1,0,IFERROR(LOOKUP(2,1/(Sorgo!$E12:INDEX(Sorgo!$E12:$Z12,MIN(AY$6-$G$3,22))&lt;&gt;""),Sorgo!$E12:INDEX(Sorgo!$E12:$Z12,MIN(AY$6-$G$3,22))),0)))))</f>
        <v>0</v>
      </c>
      <c r="AZ14" s="27" t="n">
        <f aca="false">IF(COUNT(Sorgo!$E12:$Z12)=0,0,MAX(0,IF((AZ$6-$E$3)&lt;1,0,IFERROR(LOOKUP(2,1/(Sorgo!$E12:INDEX(Sorgo!$E12:$Z12,MIN(AZ$6-$E$3,22))&lt;&gt;""),Sorgo!$E12:INDEX(Sorgo!$E12:$Z12,MIN(AZ$6-$E$3,22))),0))-IF($G$2,0,IF((AZ$6-$G$3)&lt;1,0,IFERROR(LOOKUP(2,1/(Sorgo!$E12:INDEX(Sorgo!$E12:$Z12,MIN(AZ$6-$G$3,22))&lt;&gt;""),Sorgo!$E12:INDEX(Sorgo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IF(COUNT(Sorgo!$E13:$Z13)&gt;0,N(Sorgo!$D13),0)</f>
        <v>0</v>
      </c>
      <c r="E15" s="27" t="n">
        <f aca="false">IF(COUNT(Sorgo!$E13:$Z13)=0,0,MAX(0,IF((E$6-$E$3)&lt;1,0,IFERROR(LOOKUP(2,1/(Sorgo!$E13:INDEX(Sorgo!$E13:$Z13,MIN(E$6-$E$3,22))&lt;&gt;""),Sorgo!$E13:INDEX(Sorgo!$E13:$Z13,MIN(E$6-$E$3,22))),0))-IF($G$2,0,IF((E$6-$G$3)&lt;1,0,IFERROR(LOOKUP(2,1/(Sorgo!$E13:INDEX(Sorgo!$E13:$Z13,MIN(E$6-$G$3,22))&lt;&gt;""),Sorgo!$E13:INDEX(Sorgo!$E13:$Z13,MIN(E$6-$G$3,22))),0)))))</f>
        <v>0</v>
      </c>
      <c r="F15" s="27" t="n">
        <f aca="false">IF(COUNT(Sorgo!$E13:$Z13)=0,0,MAX(0,IF((F$6-$E$3)&lt;1,0,IFERROR(LOOKUP(2,1/(Sorgo!$E13:INDEX(Sorgo!$E13:$Z13,MIN(F$6-$E$3,22))&lt;&gt;""),Sorgo!$E13:INDEX(Sorgo!$E13:$Z13,MIN(F$6-$E$3,22))),0))-IF($G$2,0,IF((F$6-$G$3)&lt;1,0,IFERROR(LOOKUP(2,1/(Sorgo!$E13:INDEX(Sorgo!$E13:$Z13,MIN(F$6-$G$3,22))&lt;&gt;""),Sorgo!$E13:INDEX(Sorgo!$E13:$Z13,MIN(F$6-$G$3,22))),0)))))</f>
        <v>0</v>
      </c>
      <c r="G15" s="27" t="n">
        <f aca="false">IF(COUNT(Sorgo!$E13:$Z13)=0,0,MAX(0,IF((G$6-$E$3)&lt;1,0,IFERROR(LOOKUP(2,1/(Sorgo!$E13:INDEX(Sorgo!$E13:$Z13,MIN(G$6-$E$3,22))&lt;&gt;""),Sorgo!$E13:INDEX(Sorgo!$E13:$Z13,MIN(G$6-$E$3,22))),0))-IF($G$2,0,IF((G$6-$G$3)&lt;1,0,IFERROR(LOOKUP(2,1/(Sorgo!$E13:INDEX(Sorgo!$E13:$Z13,MIN(G$6-$G$3,22))&lt;&gt;""),Sorgo!$E13:INDEX(Sorgo!$E13:$Z13,MIN(G$6-$G$3,22))),0)))))</f>
        <v>0</v>
      </c>
      <c r="H15" s="27" t="n">
        <f aca="false">IF(COUNT(Sorgo!$E13:$Z13)=0,0,MAX(0,IF((H$6-$E$3)&lt;1,0,IFERROR(LOOKUP(2,1/(Sorgo!$E13:INDEX(Sorgo!$E13:$Z13,MIN(H$6-$E$3,22))&lt;&gt;""),Sorgo!$E13:INDEX(Sorgo!$E13:$Z13,MIN(H$6-$E$3,22))),0))-IF($G$2,0,IF((H$6-$G$3)&lt;1,0,IFERROR(LOOKUP(2,1/(Sorgo!$E13:INDEX(Sorgo!$E13:$Z13,MIN(H$6-$G$3,22))&lt;&gt;""),Sorgo!$E13:INDEX(Sorgo!$E13:$Z13,MIN(H$6-$G$3,22))),0)))))</f>
        <v>0</v>
      </c>
      <c r="I15" s="27" t="n">
        <f aca="false">IF(COUNT(Sorgo!$E13:$Z13)=0,0,MAX(0,IF((I$6-$E$3)&lt;1,0,IFERROR(LOOKUP(2,1/(Sorgo!$E13:INDEX(Sorgo!$E13:$Z13,MIN(I$6-$E$3,22))&lt;&gt;""),Sorgo!$E13:INDEX(Sorgo!$E13:$Z13,MIN(I$6-$E$3,22))),0))-IF($G$2,0,IF((I$6-$G$3)&lt;1,0,IFERROR(LOOKUP(2,1/(Sorgo!$E13:INDEX(Sorgo!$E13:$Z13,MIN(I$6-$G$3,22))&lt;&gt;""),Sorgo!$E13:INDEX(Sorgo!$E13:$Z13,MIN(I$6-$G$3,22))),0)))))</f>
        <v>0</v>
      </c>
      <c r="J15" s="27" t="n">
        <f aca="false">IF(COUNT(Sorgo!$E13:$Z13)=0,0,MAX(0,IF((J$6-$E$3)&lt;1,0,IFERROR(LOOKUP(2,1/(Sorgo!$E13:INDEX(Sorgo!$E13:$Z13,MIN(J$6-$E$3,22))&lt;&gt;""),Sorgo!$E13:INDEX(Sorgo!$E13:$Z13,MIN(J$6-$E$3,22))),0))-IF($G$2,0,IF((J$6-$G$3)&lt;1,0,IFERROR(LOOKUP(2,1/(Sorgo!$E13:INDEX(Sorgo!$E13:$Z13,MIN(J$6-$G$3,22))&lt;&gt;""),Sorgo!$E13:INDEX(Sorgo!$E13:$Z13,MIN(J$6-$G$3,22))),0)))))</f>
        <v>0</v>
      </c>
      <c r="K15" s="27" t="n">
        <f aca="false">IF(COUNT(Sorgo!$E13:$Z13)=0,0,MAX(0,IF((K$6-$E$3)&lt;1,0,IFERROR(LOOKUP(2,1/(Sorgo!$E13:INDEX(Sorgo!$E13:$Z13,MIN(K$6-$E$3,22))&lt;&gt;""),Sorgo!$E13:INDEX(Sorgo!$E13:$Z13,MIN(K$6-$E$3,22))),0))-IF($G$2,0,IF((K$6-$G$3)&lt;1,0,IFERROR(LOOKUP(2,1/(Sorgo!$E13:INDEX(Sorgo!$E13:$Z13,MIN(K$6-$G$3,22))&lt;&gt;""),Sorgo!$E13:INDEX(Sorgo!$E13:$Z13,MIN(K$6-$G$3,22))),0)))))</f>
        <v>0</v>
      </c>
      <c r="L15" s="27" t="n">
        <f aca="false">IF(COUNT(Sorgo!$E13:$Z13)=0,0,MAX(0,IF((L$6-$E$3)&lt;1,0,IFERROR(LOOKUP(2,1/(Sorgo!$E13:INDEX(Sorgo!$E13:$Z13,MIN(L$6-$E$3,22))&lt;&gt;""),Sorgo!$E13:INDEX(Sorgo!$E13:$Z13,MIN(L$6-$E$3,22))),0))-IF($G$2,0,IF((L$6-$G$3)&lt;1,0,IFERROR(LOOKUP(2,1/(Sorgo!$E13:INDEX(Sorgo!$E13:$Z13,MIN(L$6-$G$3,22))&lt;&gt;""),Sorgo!$E13:INDEX(Sorgo!$E13:$Z13,MIN(L$6-$G$3,22))),0)))))</f>
        <v>0</v>
      </c>
      <c r="M15" s="27" t="n">
        <f aca="false">IF(COUNT(Sorgo!$E13:$Z13)=0,0,MAX(0,IF((M$6-$E$3)&lt;1,0,IFERROR(LOOKUP(2,1/(Sorgo!$E13:INDEX(Sorgo!$E13:$Z13,MIN(M$6-$E$3,22))&lt;&gt;""),Sorgo!$E13:INDEX(Sorgo!$E13:$Z13,MIN(M$6-$E$3,22))),0))-IF($G$2,0,IF((M$6-$G$3)&lt;1,0,IFERROR(LOOKUP(2,1/(Sorgo!$E13:INDEX(Sorgo!$E13:$Z13,MIN(M$6-$G$3,22))&lt;&gt;""),Sorgo!$E13:INDEX(Sorgo!$E13:$Z13,MIN(M$6-$G$3,22))),0)))))</f>
        <v>0</v>
      </c>
      <c r="N15" s="27" t="n">
        <f aca="false">IF(COUNT(Sorgo!$E13:$Z13)=0,0,MAX(0,IF((N$6-$E$3)&lt;1,0,IFERROR(LOOKUP(2,1/(Sorgo!$E13:INDEX(Sorgo!$E13:$Z13,MIN(N$6-$E$3,22))&lt;&gt;""),Sorgo!$E13:INDEX(Sorgo!$E13:$Z13,MIN(N$6-$E$3,22))),0))-IF($G$2,0,IF((N$6-$G$3)&lt;1,0,IFERROR(LOOKUP(2,1/(Sorgo!$E13:INDEX(Sorgo!$E13:$Z13,MIN(N$6-$G$3,22))&lt;&gt;""),Sorgo!$E13:INDEX(Sorgo!$E13:$Z13,MIN(N$6-$G$3,22))),0)))))</f>
        <v>0</v>
      </c>
      <c r="O15" s="27" t="n">
        <f aca="false">IF(COUNT(Sorgo!$E13:$Z13)=0,0,MAX(0,IF((O$6-$E$3)&lt;1,0,IFERROR(LOOKUP(2,1/(Sorgo!$E13:INDEX(Sorgo!$E13:$Z13,MIN(O$6-$E$3,22))&lt;&gt;""),Sorgo!$E13:INDEX(Sorgo!$E13:$Z13,MIN(O$6-$E$3,22))),0))-IF($G$2,0,IF((O$6-$G$3)&lt;1,0,IFERROR(LOOKUP(2,1/(Sorgo!$E13:INDEX(Sorgo!$E13:$Z13,MIN(O$6-$G$3,22))&lt;&gt;""),Sorgo!$E13:INDEX(Sorgo!$E13:$Z13,MIN(O$6-$G$3,22))),0)))))</f>
        <v>0</v>
      </c>
      <c r="P15" s="27" t="n">
        <f aca="false">IF(COUNT(Sorgo!$E13:$Z13)=0,0,MAX(0,IF((P$6-$E$3)&lt;1,0,IFERROR(LOOKUP(2,1/(Sorgo!$E13:INDEX(Sorgo!$E13:$Z13,MIN(P$6-$E$3,22))&lt;&gt;""),Sorgo!$E13:INDEX(Sorgo!$E13:$Z13,MIN(P$6-$E$3,22))),0))-IF($G$2,0,IF((P$6-$G$3)&lt;1,0,IFERROR(LOOKUP(2,1/(Sorgo!$E13:INDEX(Sorgo!$E13:$Z13,MIN(P$6-$G$3,22))&lt;&gt;""),Sorgo!$E13:INDEX(Sorgo!$E13:$Z13,MIN(P$6-$G$3,22))),0)))))</f>
        <v>0</v>
      </c>
      <c r="Q15" s="27" t="n">
        <f aca="false">IF(COUNT(Sorgo!$E13:$Z13)=0,0,MAX(0,IF((Q$6-$E$3)&lt;1,0,IFERROR(LOOKUP(2,1/(Sorgo!$E13:INDEX(Sorgo!$E13:$Z13,MIN(Q$6-$E$3,22))&lt;&gt;""),Sorgo!$E13:INDEX(Sorgo!$E13:$Z13,MIN(Q$6-$E$3,22))),0))-IF($G$2,0,IF((Q$6-$G$3)&lt;1,0,IFERROR(LOOKUP(2,1/(Sorgo!$E13:INDEX(Sorgo!$E13:$Z13,MIN(Q$6-$G$3,22))&lt;&gt;""),Sorgo!$E13:INDEX(Sorgo!$E13:$Z13,MIN(Q$6-$G$3,22))),0)))))</f>
        <v>0</v>
      </c>
      <c r="R15" s="27" t="n">
        <f aca="false">IF(COUNT(Sorgo!$E13:$Z13)=0,0,MAX(0,IF((R$6-$E$3)&lt;1,0,IFERROR(LOOKUP(2,1/(Sorgo!$E13:INDEX(Sorgo!$E13:$Z13,MIN(R$6-$E$3,22))&lt;&gt;""),Sorgo!$E13:INDEX(Sorgo!$E13:$Z13,MIN(R$6-$E$3,22))),0))-IF($G$2,0,IF((R$6-$G$3)&lt;1,0,IFERROR(LOOKUP(2,1/(Sorgo!$E13:INDEX(Sorgo!$E13:$Z13,MIN(R$6-$G$3,22))&lt;&gt;""),Sorgo!$E13:INDEX(Sorgo!$E13:$Z13,MIN(R$6-$G$3,22))),0)))))</f>
        <v>0</v>
      </c>
      <c r="S15" s="27" t="n">
        <f aca="false">IF(COUNT(Sorgo!$E13:$Z13)=0,0,MAX(0,IF((S$6-$E$3)&lt;1,0,IFERROR(LOOKUP(2,1/(Sorgo!$E13:INDEX(Sorgo!$E13:$Z13,MIN(S$6-$E$3,22))&lt;&gt;""),Sorgo!$E13:INDEX(Sorgo!$E13:$Z13,MIN(S$6-$E$3,22))),0))-IF($G$2,0,IF((S$6-$G$3)&lt;1,0,IFERROR(LOOKUP(2,1/(Sorgo!$E13:INDEX(Sorgo!$E13:$Z13,MIN(S$6-$G$3,22))&lt;&gt;""),Sorgo!$E13:INDEX(Sorgo!$E13:$Z13,MIN(S$6-$G$3,22))),0)))))</f>
        <v>0</v>
      </c>
      <c r="T15" s="27" t="n">
        <f aca="false">IF(COUNT(Sorgo!$E13:$Z13)=0,0,MAX(0,IF((T$6-$E$3)&lt;1,0,IFERROR(LOOKUP(2,1/(Sorgo!$E13:INDEX(Sorgo!$E13:$Z13,MIN(T$6-$E$3,22))&lt;&gt;""),Sorgo!$E13:INDEX(Sorgo!$E13:$Z13,MIN(T$6-$E$3,22))),0))-IF($G$2,0,IF((T$6-$G$3)&lt;1,0,IFERROR(LOOKUP(2,1/(Sorgo!$E13:INDEX(Sorgo!$E13:$Z13,MIN(T$6-$G$3,22))&lt;&gt;""),Sorgo!$E13:INDEX(Sorgo!$E13:$Z13,MIN(T$6-$G$3,22))),0)))))</f>
        <v>0</v>
      </c>
      <c r="U15" s="27" t="n">
        <f aca="false">IF(COUNT(Sorgo!$E13:$Z13)=0,0,MAX(0,IF((U$6-$E$3)&lt;1,0,IFERROR(LOOKUP(2,1/(Sorgo!$E13:INDEX(Sorgo!$E13:$Z13,MIN(U$6-$E$3,22))&lt;&gt;""),Sorgo!$E13:INDEX(Sorgo!$E13:$Z13,MIN(U$6-$E$3,22))),0))-IF($G$2,0,IF((U$6-$G$3)&lt;1,0,IFERROR(LOOKUP(2,1/(Sorgo!$E13:INDEX(Sorgo!$E13:$Z13,MIN(U$6-$G$3,22))&lt;&gt;""),Sorgo!$E13:INDEX(Sorgo!$E13:$Z13,MIN(U$6-$G$3,22))),0)))))</f>
        <v>0</v>
      </c>
      <c r="V15" s="27" t="n">
        <f aca="false">IF(COUNT(Sorgo!$E13:$Z13)=0,0,MAX(0,IF((V$6-$E$3)&lt;1,0,IFERROR(LOOKUP(2,1/(Sorgo!$E13:INDEX(Sorgo!$E13:$Z13,MIN(V$6-$E$3,22))&lt;&gt;""),Sorgo!$E13:INDEX(Sorgo!$E13:$Z13,MIN(V$6-$E$3,22))),0))-IF($G$2,0,IF((V$6-$G$3)&lt;1,0,IFERROR(LOOKUP(2,1/(Sorgo!$E13:INDEX(Sorgo!$E13:$Z13,MIN(V$6-$G$3,22))&lt;&gt;""),Sorgo!$E13:INDEX(Sorgo!$E13:$Z13,MIN(V$6-$G$3,22))),0)))))</f>
        <v>0</v>
      </c>
      <c r="W15" s="27" t="n">
        <f aca="false">IF(COUNT(Sorgo!$E13:$Z13)=0,0,MAX(0,IF((W$6-$E$3)&lt;1,0,IFERROR(LOOKUP(2,1/(Sorgo!$E13:INDEX(Sorgo!$E13:$Z13,MIN(W$6-$E$3,22))&lt;&gt;""),Sorgo!$E13:INDEX(Sorgo!$E13:$Z13,MIN(W$6-$E$3,22))),0))-IF($G$2,0,IF((W$6-$G$3)&lt;1,0,IFERROR(LOOKUP(2,1/(Sorgo!$E13:INDEX(Sorgo!$E13:$Z13,MIN(W$6-$G$3,22))&lt;&gt;""),Sorgo!$E13:INDEX(Sorgo!$E13:$Z13,MIN(W$6-$G$3,22))),0)))))</f>
        <v>0</v>
      </c>
      <c r="X15" s="27" t="n">
        <f aca="false">IF(COUNT(Sorgo!$E13:$Z13)=0,0,MAX(0,IF((X$6-$E$3)&lt;1,0,IFERROR(LOOKUP(2,1/(Sorgo!$E13:INDEX(Sorgo!$E13:$Z13,MIN(X$6-$E$3,22))&lt;&gt;""),Sorgo!$E13:INDEX(Sorgo!$E13:$Z13,MIN(X$6-$E$3,22))),0))-IF($G$2,0,IF((X$6-$G$3)&lt;1,0,IFERROR(LOOKUP(2,1/(Sorgo!$E13:INDEX(Sorgo!$E13:$Z13,MIN(X$6-$G$3,22))&lt;&gt;""),Sorgo!$E13:INDEX(Sorgo!$E13:$Z13,MIN(X$6-$G$3,22))),0)))))</f>
        <v>0</v>
      </c>
      <c r="Y15" s="27" t="n">
        <f aca="false">IF(COUNT(Sorgo!$E13:$Z13)=0,0,MAX(0,IF((Y$6-$E$3)&lt;1,0,IFERROR(LOOKUP(2,1/(Sorgo!$E13:INDEX(Sorgo!$E13:$Z13,MIN(Y$6-$E$3,22))&lt;&gt;""),Sorgo!$E13:INDEX(Sorgo!$E13:$Z13,MIN(Y$6-$E$3,22))),0))-IF($G$2,0,IF((Y$6-$G$3)&lt;1,0,IFERROR(LOOKUP(2,1/(Sorgo!$E13:INDEX(Sorgo!$E13:$Z13,MIN(Y$6-$G$3,22))&lt;&gt;""),Sorgo!$E13:INDEX(Sorgo!$E13:$Z13,MIN(Y$6-$G$3,22))),0)))))</f>
        <v>0</v>
      </c>
      <c r="Z15" s="27" t="n">
        <f aca="false">IF(COUNT(Sorgo!$E13:$Z13)=0,0,MAX(0,IF((Z$6-$E$3)&lt;1,0,IFERROR(LOOKUP(2,1/(Sorgo!$E13:INDEX(Sorgo!$E13:$Z13,MIN(Z$6-$E$3,22))&lt;&gt;""),Sorgo!$E13:INDEX(Sorgo!$E13:$Z13,MIN(Z$6-$E$3,22))),0))-IF($G$2,0,IF((Z$6-$G$3)&lt;1,0,IFERROR(LOOKUP(2,1/(Sorgo!$E13:INDEX(Sorgo!$E13:$Z13,MIN(Z$6-$G$3,22))&lt;&gt;""),Sorgo!$E13:INDEX(Sorgo!$E13:$Z13,MIN(Z$6-$G$3,22))),0)))))</f>
        <v>0</v>
      </c>
      <c r="AA15" s="27" t="n">
        <f aca="false">IF(COUNT(Sorgo!$E13:$Z13)=0,0,MAX(0,IF((AA$6-$E$3)&lt;1,0,IFERROR(LOOKUP(2,1/(Sorgo!$E13:INDEX(Sorgo!$E13:$Z13,MIN(AA$6-$E$3,22))&lt;&gt;""),Sorgo!$E13:INDEX(Sorgo!$E13:$Z13,MIN(AA$6-$E$3,22))),0))-IF($G$2,0,IF((AA$6-$G$3)&lt;1,0,IFERROR(LOOKUP(2,1/(Sorgo!$E13:INDEX(Sorgo!$E13:$Z13,MIN(AA$6-$G$3,22))&lt;&gt;""),Sorgo!$E13:INDEX(Sorgo!$E13:$Z13,MIN(AA$6-$G$3,22))),0)))))</f>
        <v>0</v>
      </c>
      <c r="AB15" s="27" t="n">
        <f aca="false">IF(COUNT(Sorgo!$E13:$Z13)=0,0,MAX(0,IF((AB$6-$E$3)&lt;1,0,IFERROR(LOOKUP(2,1/(Sorgo!$E13:INDEX(Sorgo!$E13:$Z13,MIN(AB$6-$E$3,22))&lt;&gt;""),Sorgo!$E13:INDEX(Sorgo!$E13:$Z13,MIN(AB$6-$E$3,22))),0))-IF($G$2,0,IF((AB$6-$G$3)&lt;1,0,IFERROR(LOOKUP(2,1/(Sorgo!$E13:INDEX(Sorgo!$E13:$Z13,MIN(AB$6-$G$3,22))&lt;&gt;""),Sorgo!$E13:INDEX(Sorgo!$E13:$Z13,MIN(AB$6-$G$3,22))),0)))))</f>
        <v>0</v>
      </c>
      <c r="AC15" s="27" t="n">
        <f aca="false">IF(COUNT(Sorgo!$E13:$Z13)=0,0,MAX(0,IF((AC$6-$E$3)&lt;1,0,IFERROR(LOOKUP(2,1/(Sorgo!$E13:INDEX(Sorgo!$E13:$Z13,MIN(AC$6-$E$3,22))&lt;&gt;""),Sorgo!$E13:INDEX(Sorgo!$E13:$Z13,MIN(AC$6-$E$3,22))),0))-IF($G$2,0,IF((AC$6-$G$3)&lt;1,0,IFERROR(LOOKUP(2,1/(Sorgo!$E13:INDEX(Sorgo!$E13:$Z13,MIN(AC$6-$G$3,22))&lt;&gt;""),Sorgo!$E13:INDEX(Sorgo!$E13:$Z13,MIN(AC$6-$G$3,22))),0)))))</f>
        <v>0</v>
      </c>
      <c r="AD15" s="27" t="n">
        <f aca="false">IF(COUNT(Sorgo!$E13:$Z13)=0,0,MAX(0,IF((AD$6-$E$3)&lt;1,0,IFERROR(LOOKUP(2,1/(Sorgo!$E13:INDEX(Sorgo!$E13:$Z13,MIN(AD$6-$E$3,22))&lt;&gt;""),Sorgo!$E13:INDEX(Sorgo!$E13:$Z13,MIN(AD$6-$E$3,22))),0))-IF($G$2,0,IF((AD$6-$G$3)&lt;1,0,IFERROR(LOOKUP(2,1/(Sorgo!$E13:INDEX(Sorgo!$E13:$Z13,MIN(AD$6-$G$3,22))&lt;&gt;""),Sorgo!$E13:INDEX(Sorgo!$E13:$Z13,MIN(AD$6-$G$3,22))),0)))))</f>
        <v>0</v>
      </c>
      <c r="AE15" s="27" t="n">
        <f aca="false">IF(COUNT(Sorgo!$E13:$Z13)=0,0,MAX(0,IF((AE$6-$E$3)&lt;1,0,IFERROR(LOOKUP(2,1/(Sorgo!$E13:INDEX(Sorgo!$E13:$Z13,MIN(AE$6-$E$3,22))&lt;&gt;""),Sorgo!$E13:INDEX(Sorgo!$E13:$Z13,MIN(AE$6-$E$3,22))),0))-IF($G$2,0,IF((AE$6-$G$3)&lt;1,0,IFERROR(LOOKUP(2,1/(Sorgo!$E13:INDEX(Sorgo!$E13:$Z13,MIN(AE$6-$G$3,22))&lt;&gt;""),Sorgo!$E13:INDEX(Sorgo!$E13:$Z13,MIN(AE$6-$G$3,22))),0)))))</f>
        <v>0</v>
      </c>
      <c r="AF15" s="27" t="n">
        <f aca="false">IF(COUNT(Sorgo!$E13:$Z13)=0,0,MAX(0,IF((AF$6-$E$3)&lt;1,0,IFERROR(LOOKUP(2,1/(Sorgo!$E13:INDEX(Sorgo!$E13:$Z13,MIN(AF$6-$E$3,22))&lt;&gt;""),Sorgo!$E13:INDEX(Sorgo!$E13:$Z13,MIN(AF$6-$E$3,22))),0))-IF($G$2,0,IF((AF$6-$G$3)&lt;1,0,IFERROR(LOOKUP(2,1/(Sorgo!$E13:INDEX(Sorgo!$E13:$Z13,MIN(AF$6-$G$3,22))&lt;&gt;""),Sorgo!$E13:INDEX(Sorgo!$E13:$Z13,MIN(AF$6-$G$3,22))),0)))))</f>
        <v>0</v>
      </c>
      <c r="AG15" s="27" t="n">
        <f aca="false">IF(COUNT(Sorgo!$E13:$Z13)=0,0,MAX(0,IF((AG$6-$E$3)&lt;1,0,IFERROR(LOOKUP(2,1/(Sorgo!$E13:INDEX(Sorgo!$E13:$Z13,MIN(AG$6-$E$3,22))&lt;&gt;""),Sorgo!$E13:INDEX(Sorgo!$E13:$Z13,MIN(AG$6-$E$3,22))),0))-IF($G$2,0,IF((AG$6-$G$3)&lt;1,0,IFERROR(LOOKUP(2,1/(Sorgo!$E13:INDEX(Sorgo!$E13:$Z13,MIN(AG$6-$G$3,22))&lt;&gt;""),Sorgo!$E13:INDEX(Sorgo!$E13:$Z13,MIN(AG$6-$G$3,22))),0)))))</f>
        <v>0</v>
      </c>
      <c r="AH15" s="27" t="n">
        <f aca="false">IF(COUNT(Sorgo!$E13:$Z13)=0,0,MAX(0,IF((AH$6-$E$3)&lt;1,0,IFERROR(LOOKUP(2,1/(Sorgo!$E13:INDEX(Sorgo!$E13:$Z13,MIN(AH$6-$E$3,22))&lt;&gt;""),Sorgo!$E13:INDEX(Sorgo!$E13:$Z13,MIN(AH$6-$E$3,22))),0))-IF($G$2,0,IF((AH$6-$G$3)&lt;1,0,IFERROR(LOOKUP(2,1/(Sorgo!$E13:INDEX(Sorgo!$E13:$Z13,MIN(AH$6-$G$3,22))&lt;&gt;""),Sorgo!$E13:INDEX(Sorgo!$E13:$Z13,MIN(AH$6-$G$3,22))),0)))))</f>
        <v>0</v>
      </c>
      <c r="AI15" s="27" t="n">
        <f aca="false">IF(COUNT(Sorgo!$E13:$Z13)=0,0,MAX(0,IF((AI$6-$E$3)&lt;1,0,IFERROR(LOOKUP(2,1/(Sorgo!$E13:INDEX(Sorgo!$E13:$Z13,MIN(AI$6-$E$3,22))&lt;&gt;""),Sorgo!$E13:INDEX(Sorgo!$E13:$Z13,MIN(AI$6-$E$3,22))),0))-IF($G$2,0,IF((AI$6-$G$3)&lt;1,0,IFERROR(LOOKUP(2,1/(Sorgo!$E13:INDEX(Sorgo!$E13:$Z13,MIN(AI$6-$G$3,22))&lt;&gt;""),Sorgo!$E13:INDEX(Sorgo!$E13:$Z13,MIN(AI$6-$G$3,22))),0)))))</f>
        <v>0</v>
      </c>
      <c r="AJ15" s="27" t="n">
        <f aca="false">IF(COUNT(Sorgo!$E13:$Z13)=0,0,MAX(0,IF((AJ$6-$E$3)&lt;1,0,IFERROR(LOOKUP(2,1/(Sorgo!$E13:INDEX(Sorgo!$E13:$Z13,MIN(AJ$6-$E$3,22))&lt;&gt;""),Sorgo!$E13:INDEX(Sorgo!$E13:$Z13,MIN(AJ$6-$E$3,22))),0))-IF($G$2,0,IF((AJ$6-$G$3)&lt;1,0,IFERROR(LOOKUP(2,1/(Sorgo!$E13:INDEX(Sorgo!$E13:$Z13,MIN(AJ$6-$G$3,22))&lt;&gt;""),Sorgo!$E13:INDEX(Sorgo!$E13:$Z13,MIN(AJ$6-$G$3,22))),0)))))</f>
        <v>0</v>
      </c>
      <c r="AK15" s="27" t="n">
        <f aca="false">IF(COUNT(Sorgo!$E13:$Z13)=0,0,MAX(0,IF((AK$6-$E$3)&lt;1,0,IFERROR(LOOKUP(2,1/(Sorgo!$E13:INDEX(Sorgo!$E13:$Z13,MIN(AK$6-$E$3,22))&lt;&gt;""),Sorgo!$E13:INDEX(Sorgo!$E13:$Z13,MIN(AK$6-$E$3,22))),0))-IF($G$2,0,IF((AK$6-$G$3)&lt;1,0,IFERROR(LOOKUP(2,1/(Sorgo!$E13:INDEX(Sorgo!$E13:$Z13,MIN(AK$6-$G$3,22))&lt;&gt;""),Sorgo!$E13:INDEX(Sorgo!$E13:$Z13,MIN(AK$6-$G$3,22))),0)))))</f>
        <v>0</v>
      </c>
      <c r="AL15" s="27" t="n">
        <f aca="false">IF(COUNT(Sorgo!$E13:$Z13)=0,0,MAX(0,IF((AL$6-$E$3)&lt;1,0,IFERROR(LOOKUP(2,1/(Sorgo!$E13:INDEX(Sorgo!$E13:$Z13,MIN(AL$6-$E$3,22))&lt;&gt;""),Sorgo!$E13:INDEX(Sorgo!$E13:$Z13,MIN(AL$6-$E$3,22))),0))-IF($G$2,0,IF((AL$6-$G$3)&lt;1,0,IFERROR(LOOKUP(2,1/(Sorgo!$E13:INDEX(Sorgo!$E13:$Z13,MIN(AL$6-$G$3,22))&lt;&gt;""),Sorgo!$E13:INDEX(Sorgo!$E13:$Z13,MIN(AL$6-$G$3,22))),0)))))</f>
        <v>0</v>
      </c>
      <c r="AM15" s="27" t="n">
        <f aca="false">IF(COUNT(Sorgo!$E13:$Z13)=0,0,MAX(0,IF((AM$6-$E$3)&lt;1,0,IFERROR(LOOKUP(2,1/(Sorgo!$E13:INDEX(Sorgo!$E13:$Z13,MIN(AM$6-$E$3,22))&lt;&gt;""),Sorgo!$E13:INDEX(Sorgo!$E13:$Z13,MIN(AM$6-$E$3,22))),0))-IF($G$2,0,IF((AM$6-$G$3)&lt;1,0,IFERROR(LOOKUP(2,1/(Sorgo!$E13:INDEX(Sorgo!$E13:$Z13,MIN(AM$6-$G$3,22))&lt;&gt;""),Sorgo!$E13:INDEX(Sorgo!$E13:$Z13,MIN(AM$6-$G$3,22))),0)))))</f>
        <v>0</v>
      </c>
      <c r="AN15" s="27" t="n">
        <f aca="false">IF(COUNT(Sorgo!$E13:$Z13)=0,0,MAX(0,IF((AN$6-$E$3)&lt;1,0,IFERROR(LOOKUP(2,1/(Sorgo!$E13:INDEX(Sorgo!$E13:$Z13,MIN(AN$6-$E$3,22))&lt;&gt;""),Sorgo!$E13:INDEX(Sorgo!$E13:$Z13,MIN(AN$6-$E$3,22))),0))-IF($G$2,0,IF((AN$6-$G$3)&lt;1,0,IFERROR(LOOKUP(2,1/(Sorgo!$E13:INDEX(Sorgo!$E13:$Z13,MIN(AN$6-$G$3,22))&lt;&gt;""),Sorgo!$E13:INDEX(Sorgo!$E13:$Z13,MIN(AN$6-$G$3,22))),0)))))</f>
        <v>0</v>
      </c>
      <c r="AO15" s="27" t="n">
        <f aca="false">IF(COUNT(Sorgo!$E13:$Z13)=0,0,MAX(0,IF((AO$6-$E$3)&lt;1,0,IFERROR(LOOKUP(2,1/(Sorgo!$E13:INDEX(Sorgo!$E13:$Z13,MIN(AO$6-$E$3,22))&lt;&gt;""),Sorgo!$E13:INDEX(Sorgo!$E13:$Z13,MIN(AO$6-$E$3,22))),0))-IF($G$2,0,IF((AO$6-$G$3)&lt;1,0,IFERROR(LOOKUP(2,1/(Sorgo!$E13:INDEX(Sorgo!$E13:$Z13,MIN(AO$6-$G$3,22))&lt;&gt;""),Sorgo!$E13:INDEX(Sorgo!$E13:$Z13,MIN(AO$6-$G$3,22))),0)))))</f>
        <v>0</v>
      </c>
      <c r="AP15" s="27" t="n">
        <f aca="false">IF(COUNT(Sorgo!$E13:$Z13)=0,0,MAX(0,IF((AP$6-$E$3)&lt;1,0,IFERROR(LOOKUP(2,1/(Sorgo!$E13:INDEX(Sorgo!$E13:$Z13,MIN(AP$6-$E$3,22))&lt;&gt;""),Sorgo!$E13:INDEX(Sorgo!$E13:$Z13,MIN(AP$6-$E$3,22))),0))-IF($G$2,0,IF((AP$6-$G$3)&lt;1,0,IFERROR(LOOKUP(2,1/(Sorgo!$E13:INDEX(Sorgo!$E13:$Z13,MIN(AP$6-$G$3,22))&lt;&gt;""),Sorgo!$E13:INDEX(Sorgo!$E13:$Z13,MIN(AP$6-$G$3,22))),0)))))</f>
        <v>0</v>
      </c>
      <c r="AQ15" s="27" t="n">
        <f aca="false">IF(COUNT(Sorgo!$E13:$Z13)=0,0,MAX(0,IF((AQ$6-$E$3)&lt;1,0,IFERROR(LOOKUP(2,1/(Sorgo!$E13:INDEX(Sorgo!$E13:$Z13,MIN(AQ$6-$E$3,22))&lt;&gt;""),Sorgo!$E13:INDEX(Sorgo!$E13:$Z13,MIN(AQ$6-$E$3,22))),0))-IF($G$2,0,IF((AQ$6-$G$3)&lt;1,0,IFERROR(LOOKUP(2,1/(Sorgo!$E13:INDEX(Sorgo!$E13:$Z13,MIN(AQ$6-$G$3,22))&lt;&gt;""),Sorgo!$E13:INDEX(Sorgo!$E13:$Z13,MIN(AQ$6-$G$3,22))),0)))))</f>
        <v>0</v>
      </c>
      <c r="AR15" s="27" t="n">
        <f aca="false">IF(COUNT(Sorgo!$E13:$Z13)=0,0,MAX(0,IF((AR$6-$E$3)&lt;1,0,IFERROR(LOOKUP(2,1/(Sorgo!$E13:INDEX(Sorgo!$E13:$Z13,MIN(AR$6-$E$3,22))&lt;&gt;""),Sorgo!$E13:INDEX(Sorgo!$E13:$Z13,MIN(AR$6-$E$3,22))),0))-IF($G$2,0,IF((AR$6-$G$3)&lt;1,0,IFERROR(LOOKUP(2,1/(Sorgo!$E13:INDEX(Sorgo!$E13:$Z13,MIN(AR$6-$G$3,22))&lt;&gt;""),Sorgo!$E13:INDEX(Sorgo!$E13:$Z13,MIN(AR$6-$G$3,22))),0)))))</f>
        <v>0</v>
      </c>
      <c r="AS15" s="27" t="n">
        <f aca="false">IF(COUNT(Sorgo!$E13:$Z13)=0,0,MAX(0,IF((AS$6-$E$3)&lt;1,0,IFERROR(LOOKUP(2,1/(Sorgo!$E13:INDEX(Sorgo!$E13:$Z13,MIN(AS$6-$E$3,22))&lt;&gt;""),Sorgo!$E13:INDEX(Sorgo!$E13:$Z13,MIN(AS$6-$E$3,22))),0))-IF($G$2,0,IF((AS$6-$G$3)&lt;1,0,IFERROR(LOOKUP(2,1/(Sorgo!$E13:INDEX(Sorgo!$E13:$Z13,MIN(AS$6-$G$3,22))&lt;&gt;""),Sorgo!$E13:INDEX(Sorgo!$E13:$Z13,MIN(AS$6-$G$3,22))),0)))))</f>
        <v>0</v>
      </c>
      <c r="AT15" s="27" t="n">
        <f aca="false">IF(COUNT(Sorgo!$E13:$Z13)=0,0,MAX(0,IF((AT$6-$E$3)&lt;1,0,IFERROR(LOOKUP(2,1/(Sorgo!$E13:INDEX(Sorgo!$E13:$Z13,MIN(AT$6-$E$3,22))&lt;&gt;""),Sorgo!$E13:INDEX(Sorgo!$E13:$Z13,MIN(AT$6-$E$3,22))),0))-IF($G$2,0,IF((AT$6-$G$3)&lt;1,0,IFERROR(LOOKUP(2,1/(Sorgo!$E13:INDEX(Sorgo!$E13:$Z13,MIN(AT$6-$G$3,22))&lt;&gt;""),Sorgo!$E13:INDEX(Sorgo!$E13:$Z13,MIN(AT$6-$G$3,22))),0)))))</f>
        <v>0</v>
      </c>
      <c r="AU15" s="27" t="n">
        <f aca="false">IF(COUNT(Sorgo!$E13:$Z13)=0,0,MAX(0,IF((AU$6-$E$3)&lt;1,0,IFERROR(LOOKUP(2,1/(Sorgo!$E13:INDEX(Sorgo!$E13:$Z13,MIN(AU$6-$E$3,22))&lt;&gt;""),Sorgo!$E13:INDEX(Sorgo!$E13:$Z13,MIN(AU$6-$E$3,22))),0))-IF($G$2,0,IF((AU$6-$G$3)&lt;1,0,IFERROR(LOOKUP(2,1/(Sorgo!$E13:INDEX(Sorgo!$E13:$Z13,MIN(AU$6-$G$3,22))&lt;&gt;""),Sorgo!$E13:INDEX(Sorgo!$E13:$Z13,MIN(AU$6-$G$3,22))),0)))))</f>
        <v>0</v>
      </c>
      <c r="AV15" s="27" t="n">
        <f aca="false">IF(COUNT(Sorgo!$E13:$Z13)=0,0,MAX(0,IF((AV$6-$E$3)&lt;1,0,IFERROR(LOOKUP(2,1/(Sorgo!$E13:INDEX(Sorgo!$E13:$Z13,MIN(AV$6-$E$3,22))&lt;&gt;""),Sorgo!$E13:INDEX(Sorgo!$E13:$Z13,MIN(AV$6-$E$3,22))),0))-IF($G$2,0,IF((AV$6-$G$3)&lt;1,0,IFERROR(LOOKUP(2,1/(Sorgo!$E13:INDEX(Sorgo!$E13:$Z13,MIN(AV$6-$G$3,22))&lt;&gt;""),Sorgo!$E13:INDEX(Sorgo!$E13:$Z13,MIN(AV$6-$G$3,22))),0)))))</f>
        <v>0</v>
      </c>
      <c r="AW15" s="27" t="n">
        <f aca="false">IF(COUNT(Sorgo!$E13:$Z13)=0,0,MAX(0,IF((AW$6-$E$3)&lt;1,0,IFERROR(LOOKUP(2,1/(Sorgo!$E13:INDEX(Sorgo!$E13:$Z13,MIN(AW$6-$E$3,22))&lt;&gt;""),Sorgo!$E13:INDEX(Sorgo!$E13:$Z13,MIN(AW$6-$E$3,22))),0))-IF($G$2,0,IF((AW$6-$G$3)&lt;1,0,IFERROR(LOOKUP(2,1/(Sorgo!$E13:INDEX(Sorgo!$E13:$Z13,MIN(AW$6-$G$3,22))&lt;&gt;""),Sorgo!$E13:INDEX(Sorgo!$E13:$Z13,MIN(AW$6-$G$3,22))),0)))))</f>
        <v>0</v>
      </c>
      <c r="AX15" s="27" t="n">
        <f aca="false">IF(COUNT(Sorgo!$E13:$Z13)=0,0,MAX(0,IF((AX$6-$E$3)&lt;1,0,IFERROR(LOOKUP(2,1/(Sorgo!$E13:INDEX(Sorgo!$E13:$Z13,MIN(AX$6-$E$3,22))&lt;&gt;""),Sorgo!$E13:INDEX(Sorgo!$E13:$Z13,MIN(AX$6-$E$3,22))),0))-IF($G$2,0,IF((AX$6-$G$3)&lt;1,0,IFERROR(LOOKUP(2,1/(Sorgo!$E13:INDEX(Sorgo!$E13:$Z13,MIN(AX$6-$G$3,22))&lt;&gt;""),Sorgo!$E13:INDEX(Sorgo!$E13:$Z13,MIN(AX$6-$G$3,22))),0)))))</f>
        <v>0</v>
      </c>
      <c r="AY15" s="27" t="n">
        <f aca="false">IF(COUNT(Sorgo!$E13:$Z13)=0,0,MAX(0,IF((AY$6-$E$3)&lt;1,0,IFERROR(LOOKUP(2,1/(Sorgo!$E13:INDEX(Sorgo!$E13:$Z13,MIN(AY$6-$E$3,22))&lt;&gt;""),Sorgo!$E13:INDEX(Sorgo!$E13:$Z13,MIN(AY$6-$E$3,22))),0))-IF($G$2,0,IF((AY$6-$G$3)&lt;1,0,IFERROR(LOOKUP(2,1/(Sorgo!$E13:INDEX(Sorgo!$E13:$Z13,MIN(AY$6-$G$3,22))&lt;&gt;""),Sorgo!$E13:INDEX(Sorgo!$E13:$Z13,MIN(AY$6-$G$3,22))),0)))))</f>
        <v>0</v>
      </c>
      <c r="AZ15" s="27" t="n">
        <f aca="false">IF(COUNT(Sorgo!$E13:$Z13)=0,0,MAX(0,IF((AZ$6-$E$3)&lt;1,0,IFERROR(LOOKUP(2,1/(Sorgo!$E13:INDEX(Sorgo!$E13:$Z13,MIN(AZ$6-$E$3,22))&lt;&gt;""),Sorgo!$E13:INDEX(Sorgo!$E13:$Z13,MIN(AZ$6-$E$3,22))),0))-IF($G$2,0,IF((AZ$6-$G$3)&lt;1,0,IFERROR(LOOKUP(2,1/(Sorgo!$E13:INDEX(Sorgo!$E13:$Z13,MIN(AZ$6-$G$3,22))&lt;&gt;""),Sorgo!$E13:INDEX(Sorgo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IF(COUNT(Sorgo!$E14:$Z14)&gt;0,N(Sorgo!$D14),0)</f>
        <v>0</v>
      </c>
      <c r="E16" s="27" t="n">
        <f aca="false">IF(COUNT(Sorgo!$E14:$Z14)=0,0,MAX(0,IF((E$6-$E$3)&lt;1,0,IFERROR(LOOKUP(2,1/(Sorgo!$E14:INDEX(Sorgo!$E14:$Z14,MIN(E$6-$E$3,22))&lt;&gt;""),Sorgo!$E14:INDEX(Sorgo!$E14:$Z14,MIN(E$6-$E$3,22))),0))-IF($G$2,0,IF((E$6-$G$3)&lt;1,0,IFERROR(LOOKUP(2,1/(Sorgo!$E14:INDEX(Sorgo!$E14:$Z14,MIN(E$6-$G$3,22))&lt;&gt;""),Sorgo!$E14:INDEX(Sorgo!$E14:$Z14,MIN(E$6-$G$3,22))),0)))))</f>
        <v>0</v>
      </c>
      <c r="F16" s="27" t="n">
        <f aca="false">IF(COUNT(Sorgo!$E14:$Z14)=0,0,MAX(0,IF((F$6-$E$3)&lt;1,0,IFERROR(LOOKUP(2,1/(Sorgo!$E14:INDEX(Sorgo!$E14:$Z14,MIN(F$6-$E$3,22))&lt;&gt;""),Sorgo!$E14:INDEX(Sorgo!$E14:$Z14,MIN(F$6-$E$3,22))),0))-IF($G$2,0,IF((F$6-$G$3)&lt;1,0,IFERROR(LOOKUP(2,1/(Sorgo!$E14:INDEX(Sorgo!$E14:$Z14,MIN(F$6-$G$3,22))&lt;&gt;""),Sorgo!$E14:INDEX(Sorgo!$E14:$Z14,MIN(F$6-$G$3,22))),0)))))</f>
        <v>0</v>
      </c>
      <c r="G16" s="27" t="n">
        <f aca="false">IF(COUNT(Sorgo!$E14:$Z14)=0,0,MAX(0,IF((G$6-$E$3)&lt;1,0,IFERROR(LOOKUP(2,1/(Sorgo!$E14:INDEX(Sorgo!$E14:$Z14,MIN(G$6-$E$3,22))&lt;&gt;""),Sorgo!$E14:INDEX(Sorgo!$E14:$Z14,MIN(G$6-$E$3,22))),0))-IF($G$2,0,IF((G$6-$G$3)&lt;1,0,IFERROR(LOOKUP(2,1/(Sorgo!$E14:INDEX(Sorgo!$E14:$Z14,MIN(G$6-$G$3,22))&lt;&gt;""),Sorgo!$E14:INDEX(Sorgo!$E14:$Z14,MIN(G$6-$G$3,22))),0)))))</f>
        <v>0</v>
      </c>
      <c r="H16" s="27" t="n">
        <f aca="false">IF(COUNT(Sorgo!$E14:$Z14)=0,0,MAX(0,IF((H$6-$E$3)&lt;1,0,IFERROR(LOOKUP(2,1/(Sorgo!$E14:INDEX(Sorgo!$E14:$Z14,MIN(H$6-$E$3,22))&lt;&gt;""),Sorgo!$E14:INDEX(Sorgo!$E14:$Z14,MIN(H$6-$E$3,22))),0))-IF($G$2,0,IF((H$6-$G$3)&lt;1,0,IFERROR(LOOKUP(2,1/(Sorgo!$E14:INDEX(Sorgo!$E14:$Z14,MIN(H$6-$G$3,22))&lt;&gt;""),Sorgo!$E14:INDEX(Sorgo!$E14:$Z14,MIN(H$6-$G$3,22))),0)))))</f>
        <v>0</v>
      </c>
      <c r="I16" s="27" t="n">
        <f aca="false">IF(COUNT(Sorgo!$E14:$Z14)=0,0,MAX(0,IF((I$6-$E$3)&lt;1,0,IFERROR(LOOKUP(2,1/(Sorgo!$E14:INDEX(Sorgo!$E14:$Z14,MIN(I$6-$E$3,22))&lt;&gt;""),Sorgo!$E14:INDEX(Sorgo!$E14:$Z14,MIN(I$6-$E$3,22))),0))-IF($G$2,0,IF((I$6-$G$3)&lt;1,0,IFERROR(LOOKUP(2,1/(Sorgo!$E14:INDEX(Sorgo!$E14:$Z14,MIN(I$6-$G$3,22))&lt;&gt;""),Sorgo!$E14:INDEX(Sorgo!$E14:$Z14,MIN(I$6-$G$3,22))),0)))))</f>
        <v>0</v>
      </c>
      <c r="J16" s="27" t="n">
        <f aca="false">IF(COUNT(Sorgo!$E14:$Z14)=0,0,MAX(0,IF((J$6-$E$3)&lt;1,0,IFERROR(LOOKUP(2,1/(Sorgo!$E14:INDEX(Sorgo!$E14:$Z14,MIN(J$6-$E$3,22))&lt;&gt;""),Sorgo!$E14:INDEX(Sorgo!$E14:$Z14,MIN(J$6-$E$3,22))),0))-IF($G$2,0,IF((J$6-$G$3)&lt;1,0,IFERROR(LOOKUP(2,1/(Sorgo!$E14:INDEX(Sorgo!$E14:$Z14,MIN(J$6-$G$3,22))&lt;&gt;""),Sorgo!$E14:INDEX(Sorgo!$E14:$Z14,MIN(J$6-$G$3,22))),0)))))</f>
        <v>0</v>
      </c>
      <c r="K16" s="27" t="n">
        <f aca="false">IF(COUNT(Sorgo!$E14:$Z14)=0,0,MAX(0,IF((K$6-$E$3)&lt;1,0,IFERROR(LOOKUP(2,1/(Sorgo!$E14:INDEX(Sorgo!$E14:$Z14,MIN(K$6-$E$3,22))&lt;&gt;""),Sorgo!$E14:INDEX(Sorgo!$E14:$Z14,MIN(K$6-$E$3,22))),0))-IF($G$2,0,IF((K$6-$G$3)&lt;1,0,IFERROR(LOOKUP(2,1/(Sorgo!$E14:INDEX(Sorgo!$E14:$Z14,MIN(K$6-$G$3,22))&lt;&gt;""),Sorgo!$E14:INDEX(Sorgo!$E14:$Z14,MIN(K$6-$G$3,22))),0)))))</f>
        <v>0</v>
      </c>
      <c r="L16" s="27" t="n">
        <f aca="false">IF(COUNT(Sorgo!$E14:$Z14)=0,0,MAX(0,IF((L$6-$E$3)&lt;1,0,IFERROR(LOOKUP(2,1/(Sorgo!$E14:INDEX(Sorgo!$E14:$Z14,MIN(L$6-$E$3,22))&lt;&gt;""),Sorgo!$E14:INDEX(Sorgo!$E14:$Z14,MIN(L$6-$E$3,22))),0))-IF($G$2,0,IF((L$6-$G$3)&lt;1,0,IFERROR(LOOKUP(2,1/(Sorgo!$E14:INDEX(Sorgo!$E14:$Z14,MIN(L$6-$G$3,22))&lt;&gt;""),Sorgo!$E14:INDEX(Sorgo!$E14:$Z14,MIN(L$6-$G$3,22))),0)))))</f>
        <v>0</v>
      </c>
      <c r="M16" s="27" t="n">
        <f aca="false">IF(COUNT(Sorgo!$E14:$Z14)=0,0,MAX(0,IF((M$6-$E$3)&lt;1,0,IFERROR(LOOKUP(2,1/(Sorgo!$E14:INDEX(Sorgo!$E14:$Z14,MIN(M$6-$E$3,22))&lt;&gt;""),Sorgo!$E14:INDEX(Sorgo!$E14:$Z14,MIN(M$6-$E$3,22))),0))-IF($G$2,0,IF((M$6-$G$3)&lt;1,0,IFERROR(LOOKUP(2,1/(Sorgo!$E14:INDEX(Sorgo!$E14:$Z14,MIN(M$6-$G$3,22))&lt;&gt;""),Sorgo!$E14:INDEX(Sorgo!$E14:$Z14,MIN(M$6-$G$3,22))),0)))))</f>
        <v>0</v>
      </c>
      <c r="N16" s="27" t="n">
        <f aca="false">IF(COUNT(Sorgo!$E14:$Z14)=0,0,MAX(0,IF((N$6-$E$3)&lt;1,0,IFERROR(LOOKUP(2,1/(Sorgo!$E14:INDEX(Sorgo!$E14:$Z14,MIN(N$6-$E$3,22))&lt;&gt;""),Sorgo!$E14:INDEX(Sorgo!$E14:$Z14,MIN(N$6-$E$3,22))),0))-IF($G$2,0,IF((N$6-$G$3)&lt;1,0,IFERROR(LOOKUP(2,1/(Sorgo!$E14:INDEX(Sorgo!$E14:$Z14,MIN(N$6-$G$3,22))&lt;&gt;""),Sorgo!$E14:INDEX(Sorgo!$E14:$Z14,MIN(N$6-$G$3,22))),0)))))</f>
        <v>0</v>
      </c>
      <c r="O16" s="27" t="n">
        <f aca="false">IF(COUNT(Sorgo!$E14:$Z14)=0,0,MAX(0,IF((O$6-$E$3)&lt;1,0,IFERROR(LOOKUP(2,1/(Sorgo!$E14:INDEX(Sorgo!$E14:$Z14,MIN(O$6-$E$3,22))&lt;&gt;""),Sorgo!$E14:INDEX(Sorgo!$E14:$Z14,MIN(O$6-$E$3,22))),0))-IF($G$2,0,IF((O$6-$G$3)&lt;1,0,IFERROR(LOOKUP(2,1/(Sorgo!$E14:INDEX(Sorgo!$E14:$Z14,MIN(O$6-$G$3,22))&lt;&gt;""),Sorgo!$E14:INDEX(Sorgo!$E14:$Z14,MIN(O$6-$G$3,22))),0)))))</f>
        <v>0</v>
      </c>
      <c r="P16" s="27" t="n">
        <f aca="false">IF(COUNT(Sorgo!$E14:$Z14)=0,0,MAX(0,IF((P$6-$E$3)&lt;1,0,IFERROR(LOOKUP(2,1/(Sorgo!$E14:INDEX(Sorgo!$E14:$Z14,MIN(P$6-$E$3,22))&lt;&gt;""),Sorgo!$E14:INDEX(Sorgo!$E14:$Z14,MIN(P$6-$E$3,22))),0))-IF($G$2,0,IF((P$6-$G$3)&lt;1,0,IFERROR(LOOKUP(2,1/(Sorgo!$E14:INDEX(Sorgo!$E14:$Z14,MIN(P$6-$G$3,22))&lt;&gt;""),Sorgo!$E14:INDEX(Sorgo!$E14:$Z14,MIN(P$6-$G$3,22))),0)))))</f>
        <v>0</v>
      </c>
      <c r="Q16" s="27" t="n">
        <f aca="false">IF(COUNT(Sorgo!$E14:$Z14)=0,0,MAX(0,IF((Q$6-$E$3)&lt;1,0,IFERROR(LOOKUP(2,1/(Sorgo!$E14:INDEX(Sorgo!$E14:$Z14,MIN(Q$6-$E$3,22))&lt;&gt;""),Sorgo!$E14:INDEX(Sorgo!$E14:$Z14,MIN(Q$6-$E$3,22))),0))-IF($G$2,0,IF((Q$6-$G$3)&lt;1,0,IFERROR(LOOKUP(2,1/(Sorgo!$E14:INDEX(Sorgo!$E14:$Z14,MIN(Q$6-$G$3,22))&lt;&gt;""),Sorgo!$E14:INDEX(Sorgo!$E14:$Z14,MIN(Q$6-$G$3,22))),0)))))</f>
        <v>0</v>
      </c>
      <c r="R16" s="27" t="n">
        <f aca="false">IF(COUNT(Sorgo!$E14:$Z14)=0,0,MAX(0,IF((R$6-$E$3)&lt;1,0,IFERROR(LOOKUP(2,1/(Sorgo!$E14:INDEX(Sorgo!$E14:$Z14,MIN(R$6-$E$3,22))&lt;&gt;""),Sorgo!$E14:INDEX(Sorgo!$E14:$Z14,MIN(R$6-$E$3,22))),0))-IF($G$2,0,IF((R$6-$G$3)&lt;1,0,IFERROR(LOOKUP(2,1/(Sorgo!$E14:INDEX(Sorgo!$E14:$Z14,MIN(R$6-$G$3,22))&lt;&gt;""),Sorgo!$E14:INDEX(Sorgo!$E14:$Z14,MIN(R$6-$G$3,22))),0)))))</f>
        <v>0</v>
      </c>
      <c r="S16" s="27" t="n">
        <f aca="false">IF(COUNT(Sorgo!$E14:$Z14)=0,0,MAX(0,IF((S$6-$E$3)&lt;1,0,IFERROR(LOOKUP(2,1/(Sorgo!$E14:INDEX(Sorgo!$E14:$Z14,MIN(S$6-$E$3,22))&lt;&gt;""),Sorgo!$E14:INDEX(Sorgo!$E14:$Z14,MIN(S$6-$E$3,22))),0))-IF($G$2,0,IF((S$6-$G$3)&lt;1,0,IFERROR(LOOKUP(2,1/(Sorgo!$E14:INDEX(Sorgo!$E14:$Z14,MIN(S$6-$G$3,22))&lt;&gt;""),Sorgo!$E14:INDEX(Sorgo!$E14:$Z14,MIN(S$6-$G$3,22))),0)))))</f>
        <v>0</v>
      </c>
      <c r="T16" s="27" t="n">
        <f aca="false">IF(COUNT(Sorgo!$E14:$Z14)=0,0,MAX(0,IF((T$6-$E$3)&lt;1,0,IFERROR(LOOKUP(2,1/(Sorgo!$E14:INDEX(Sorgo!$E14:$Z14,MIN(T$6-$E$3,22))&lt;&gt;""),Sorgo!$E14:INDEX(Sorgo!$E14:$Z14,MIN(T$6-$E$3,22))),0))-IF($G$2,0,IF((T$6-$G$3)&lt;1,0,IFERROR(LOOKUP(2,1/(Sorgo!$E14:INDEX(Sorgo!$E14:$Z14,MIN(T$6-$G$3,22))&lt;&gt;""),Sorgo!$E14:INDEX(Sorgo!$E14:$Z14,MIN(T$6-$G$3,22))),0)))))</f>
        <v>0</v>
      </c>
      <c r="U16" s="27" t="n">
        <f aca="false">IF(COUNT(Sorgo!$E14:$Z14)=0,0,MAX(0,IF((U$6-$E$3)&lt;1,0,IFERROR(LOOKUP(2,1/(Sorgo!$E14:INDEX(Sorgo!$E14:$Z14,MIN(U$6-$E$3,22))&lt;&gt;""),Sorgo!$E14:INDEX(Sorgo!$E14:$Z14,MIN(U$6-$E$3,22))),0))-IF($G$2,0,IF((U$6-$G$3)&lt;1,0,IFERROR(LOOKUP(2,1/(Sorgo!$E14:INDEX(Sorgo!$E14:$Z14,MIN(U$6-$G$3,22))&lt;&gt;""),Sorgo!$E14:INDEX(Sorgo!$E14:$Z14,MIN(U$6-$G$3,22))),0)))))</f>
        <v>0</v>
      </c>
      <c r="V16" s="27" t="n">
        <f aca="false">IF(COUNT(Sorgo!$E14:$Z14)=0,0,MAX(0,IF((V$6-$E$3)&lt;1,0,IFERROR(LOOKUP(2,1/(Sorgo!$E14:INDEX(Sorgo!$E14:$Z14,MIN(V$6-$E$3,22))&lt;&gt;""),Sorgo!$E14:INDEX(Sorgo!$E14:$Z14,MIN(V$6-$E$3,22))),0))-IF($G$2,0,IF((V$6-$G$3)&lt;1,0,IFERROR(LOOKUP(2,1/(Sorgo!$E14:INDEX(Sorgo!$E14:$Z14,MIN(V$6-$G$3,22))&lt;&gt;""),Sorgo!$E14:INDEX(Sorgo!$E14:$Z14,MIN(V$6-$G$3,22))),0)))))</f>
        <v>0</v>
      </c>
      <c r="W16" s="27" t="n">
        <f aca="false">IF(COUNT(Sorgo!$E14:$Z14)=0,0,MAX(0,IF((W$6-$E$3)&lt;1,0,IFERROR(LOOKUP(2,1/(Sorgo!$E14:INDEX(Sorgo!$E14:$Z14,MIN(W$6-$E$3,22))&lt;&gt;""),Sorgo!$E14:INDEX(Sorgo!$E14:$Z14,MIN(W$6-$E$3,22))),0))-IF($G$2,0,IF((W$6-$G$3)&lt;1,0,IFERROR(LOOKUP(2,1/(Sorgo!$E14:INDEX(Sorgo!$E14:$Z14,MIN(W$6-$G$3,22))&lt;&gt;""),Sorgo!$E14:INDEX(Sorgo!$E14:$Z14,MIN(W$6-$G$3,22))),0)))))</f>
        <v>0</v>
      </c>
      <c r="X16" s="27" t="n">
        <f aca="false">IF(COUNT(Sorgo!$E14:$Z14)=0,0,MAX(0,IF((X$6-$E$3)&lt;1,0,IFERROR(LOOKUP(2,1/(Sorgo!$E14:INDEX(Sorgo!$E14:$Z14,MIN(X$6-$E$3,22))&lt;&gt;""),Sorgo!$E14:INDEX(Sorgo!$E14:$Z14,MIN(X$6-$E$3,22))),0))-IF($G$2,0,IF((X$6-$G$3)&lt;1,0,IFERROR(LOOKUP(2,1/(Sorgo!$E14:INDEX(Sorgo!$E14:$Z14,MIN(X$6-$G$3,22))&lt;&gt;""),Sorgo!$E14:INDEX(Sorgo!$E14:$Z14,MIN(X$6-$G$3,22))),0)))))</f>
        <v>0</v>
      </c>
      <c r="Y16" s="27" t="n">
        <f aca="false">IF(COUNT(Sorgo!$E14:$Z14)=0,0,MAX(0,IF((Y$6-$E$3)&lt;1,0,IFERROR(LOOKUP(2,1/(Sorgo!$E14:INDEX(Sorgo!$E14:$Z14,MIN(Y$6-$E$3,22))&lt;&gt;""),Sorgo!$E14:INDEX(Sorgo!$E14:$Z14,MIN(Y$6-$E$3,22))),0))-IF($G$2,0,IF((Y$6-$G$3)&lt;1,0,IFERROR(LOOKUP(2,1/(Sorgo!$E14:INDEX(Sorgo!$E14:$Z14,MIN(Y$6-$G$3,22))&lt;&gt;""),Sorgo!$E14:INDEX(Sorgo!$E14:$Z14,MIN(Y$6-$G$3,22))),0)))))</f>
        <v>0</v>
      </c>
      <c r="Z16" s="27" t="n">
        <f aca="false">IF(COUNT(Sorgo!$E14:$Z14)=0,0,MAX(0,IF((Z$6-$E$3)&lt;1,0,IFERROR(LOOKUP(2,1/(Sorgo!$E14:INDEX(Sorgo!$E14:$Z14,MIN(Z$6-$E$3,22))&lt;&gt;""),Sorgo!$E14:INDEX(Sorgo!$E14:$Z14,MIN(Z$6-$E$3,22))),0))-IF($G$2,0,IF((Z$6-$G$3)&lt;1,0,IFERROR(LOOKUP(2,1/(Sorgo!$E14:INDEX(Sorgo!$E14:$Z14,MIN(Z$6-$G$3,22))&lt;&gt;""),Sorgo!$E14:INDEX(Sorgo!$E14:$Z14,MIN(Z$6-$G$3,22))),0)))))</f>
        <v>0</v>
      </c>
      <c r="AA16" s="27" t="n">
        <f aca="false">IF(COUNT(Sorgo!$E14:$Z14)=0,0,MAX(0,IF((AA$6-$E$3)&lt;1,0,IFERROR(LOOKUP(2,1/(Sorgo!$E14:INDEX(Sorgo!$E14:$Z14,MIN(AA$6-$E$3,22))&lt;&gt;""),Sorgo!$E14:INDEX(Sorgo!$E14:$Z14,MIN(AA$6-$E$3,22))),0))-IF($G$2,0,IF((AA$6-$G$3)&lt;1,0,IFERROR(LOOKUP(2,1/(Sorgo!$E14:INDEX(Sorgo!$E14:$Z14,MIN(AA$6-$G$3,22))&lt;&gt;""),Sorgo!$E14:INDEX(Sorgo!$E14:$Z14,MIN(AA$6-$G$3,22))),0)))))</f>
        <v>0</v>
      </c>
      <c r="AB16" s="27" t="n">
        <f aca="false">IF(COUNT(Sorgo!$E14:$Z14)=0,0,MAX(0,IF((AB$6-$E$3)&lt;1,0,IFERROR(LOOKUP(2,1/(Sorgo!$E14:INDEX(Sorgo!$E14:$Z14,MIN(AB$6-$E$3,22))&lt;&gt;""),Sorgo!$E14:INDEX(Sorgo!$E14:$Z14,MIN(AB$6-$E$3,22))),0))-IF($G$2,0,IF((AB$6-$G$3)&lt;1,0,IFERROR(LOOKUP(2,1/(Sorgo!$E14:INDEX(Sorgo!$E14:$Z14,MIN(AB$6-$G$3,22))&lt;&gt;""),Sorgo!$E14:INDEX(Sorgo!$E14:$Z14,MIN(AB$6-$G$3,22))),0)))))</f>
        <v>0</v>
      </c>
      <c r="AC16" s="27" t="n">
        <f aca="false">IF(COUNT(Sorgo!$E14:$Z14)=0,0,MAX(0,IF((AC$6-$E$3)&lt;1,0,IFERROR(LOOKUP(2,1/(Sorgo!$E14:INDEX(Sorgo!$E14:$Z14,MIN(AC$6-$E$3,22))&lt;&gt;""),Sorgo!$E14:INDEX(Sorgo!$E14:$Z14,MIN(AC$6-$E$3,22))),0))-IF($G$2,0,IF((AC$6-$G$3)&lt;1,0,IFERROR(LOOKUP(2,1/(Sorgo!$E14:INDEX(Sorgo!$E14:$Z14,MIN(AC$6-$G$3,22))&lt;&gt;""),Sorgo!$E14:INDEX(Sorgo!$E14:$Z14,MIN(AC$6-$G$3,22))),0)))))</f>
        <v>0</v>
      </c>
      <c r="AD16" s="27" t="n">
        <f aca="false">IF(COUNT(Sorgo!$E14:$Z14)=0,0,MAX(0,IF((AD$6-$E$3)&lt;1,0,IFERROR(LOOKUP(2,1/(Sorgo!$E14:INDEX(Sorgo!$E14:$Z14,MIN(AD$6-$E$3,22))&lt;&gt;""),Sorgo!$E14:INDEX(Sorgo!$E14:$Z14,MIN(AD$6-$E$3,22))),0))-IF($G$2,0,IF((AD$6-$G$3)&lt;1,0,IFERROR(LOOKUP(2,1/(Sorgo!$E14:INDEX(Sorgo!$E14:$Z14,MIN(AD$6-$G$3,22))&lt;&gt;""),Sorgo!$E14:INDEX(Sorgo!$E14:$Z14,MIN(AD$6-$G$3,22))),0)))))</f>
        <v>0</v>
      </c>
      <c r="AE16" s="27" t="n">
        <f aca="false">IF(COUNT(Sorgo!$E14:$Z14)=0,0,MAX(0,IF((AE$6-$E$3)&lt;1,0,IFERROR(LOOKUP(2,1/(Sorgo!$E14:INDEX(Sorgo!$E14:$Z14,MIN(AE$6-$E$3,22))&lt;&gt;""),Sorgo!$E14:INDEX(Sorgo!$E14:$Z14,MIN(AE$6-$E$3,22))),0))-IF($G$2,0,IF((AE$6-$G$3)&lt;1,0,IFERROR(LOOKUP(2,1/(Sorgo!$E14:INDEX(Sorgo!$E14:$Z14,MIN(AE$6-$G$3,22))&lt;&gt;""),Sorgo!$E14:INDEX(Sorgo!$E14:$Z14,MIN(AE$6-$G$3,22))),0)))))</f>
        <v>0</v>
      </c>
      <c r="AF16" s="27" t="n">
        <f aca="false">IF(COUNT(Sorgo!$E14:$Z14)=0,0,MAX(0,IF((AF$6-$E$3)&lt;1,0,IFERROR(LOOKUP(2,1/(Sorgo!$E14:INDEX(Sorgo!$E14:$Z14,MIN(AF$6-$E$3,22))&lt;&gt;""),Sorgo!$E14:INDEX(Sorgo!$E14:$Z14,MIN(AF$6-$E$3,22))),0))-IF($G$2,0,IF((AF$6-$G$3)&lt;1,0,IFERROR(LOOKUP(2,1/(Sorgo!$E14:INDEX(Sorgo!$E14:$Z14,MIN(AF$6-$G$3,22))&lt;&gt;""),Sorgo!$E14:INDEX(Sorgo!$E14:$Z14,MIN(AF$6-$G$3,22))),0)))))</f>
        <v>0</v>
      </c>
      <c r="AG16" s="27" t="n">
        <f aca="false">IF(COUNT(Sorgo!$E14:$Z14)=0,0,MAX(0,IF((AG$6-$E$3)&lt;1,0,IFERROR(LOOKUP(2,1/(Sorgo!$E14:INDEX(Sorgo!$E14:$Z14,MIN(AG$6-$E$3,22))&lt;&gt;""),Sorgo!$E14:INDEX(Sorgo!$E14:$Z14,MIN(AG$6-$E$3,22))),0))-IF($G$2,0,IF((AG$6-$G$3)&lt;1,0,IFERROR(LOOKUP(2,1/(Sorgo!$E14:INDEX(Sorgo!$E14:$Z14,MIN(AG$6-$G$3,22))&lt;&gt;""),Sorgo!$E14:INDEX(Sorgo!$E14:$Z14,MIN(AG$6-$G$3,22))),0)))))</f>
        <v>0</v>
      </c>
      <c r="AH16" s="27" t="n">
        <f aca="false">IF(COUNT(Sorgo!$E14:$Z14)=0,0,MAX(0,IF((AH$6-$E$3)&lt;1,0,IFERROR(LOOKUP(2,1/(Sorgo!$E14:INDEX(Sorgo!$E14:$Z14,MIN(AH$6-$E$3,22))&lt;&gt;""),Sorgo!$E14:INDEX(Sorgo!$E14:$Z14,MIN(AH$6-$E$3,22))),0))-IF($G$2,0,IF((AH$6-$G$3)&lt;1,0,IFERROR(LOOKUP(2,1/(Sorgo!$E14:INDEX(Sorgo!$E14:$Z14,MIN(AH$6-$G$3,22))&lt;&gt;""),Sorgo!$E14:INDEX(Sorgo!$E14:$Z14,MIN(AH$6-$G$3,22))),0)))))</f>
        <v>0</v>
      </c>
      <c r="AI16" s="27" t="n">
        <f aca="false">IF(COUNT(Sorgo!$E14:$Z14)=0,0,MAX(0,IF((AI$6-$E$3)&lt;1,0,IFERROR(LOOKUP(2,1/(Sorgo!$E14:INDEX(Sorgo!$E14:$Z14,MIN(AI$6-$E$3,22))&lt;&gt;""),Sorgo!$E14:INDEX(Sorgo!$E14:$Z14,MIN(AI$6-$E$3,22))),0))-IF($G$2,0,IF((AI$6-$G$3)&lt;1,0,IFERROR(LOOKUP(2,1/(Sorgo!$E14:INDEX(Sorgo!$E14:$Z14,MIN(AI$6-$G$3,22))&lt;&gt;""),Sorgo!$E14:INDEX(Sorgo!$E14:$Z14,MIN(AI$6-$G$3,22))),0)))))</f>
        <v>0</v>
      </c>
      <c r="AJ16" s="27" t="n">
        <f aca="false">IF(COUNT(Sorgo!$E14:$Z14)=0,0,MAX(0,IF((AJ$6-$E$3)&lt;1,0,IFERROR(LOOKUP(2,1/(Sorgo!$E14:INDEX(Sorgo!$E14:$Z14,MIN(AJ$6-$E$3,22))&lt;&gt;""),Sorgo!$E14:INDEX(Sorgo!$E14:$Z14,MIN(AJ$6-$E$3,22))),0))-IF($G$2,0,IF((AJ$6-$G$3)&lt;1,0,IFERROR(LOOKUP(2,1/(Sorgo!$E14:INDEX(Sorgo!$E14:$Z14,MIN(AJ$6-$G$3,22))&lt;&gt;""),Sorgo!$E14:INDEX(Sorgo!$E14:$Z14,MIN(AJ$6-$G$3,22))),0)))))</f>
        <v>0</v>
      </c>
      <c r="AK16" s="27" t="n">
        <f aca="false">IF(COUNT(Sorgo!$E14:$Z14)=0,0,MAX(0,IF((AK$6-$E$3)&lt;1,0,IFERROR(LOOKUP(2,1/(Sorgo!$E14:INDEX(Sorgo!$E14:$Z14,MIN(AK$6-$E$3,22))&lt;&gt;""),Sorgo!$E14:INDEX(Sorgo!$E14:$Z14,MIN(AK$6-$E$3,22))),0))-IF($G$2,0,IF((AK$6-$G$3)&lt;1,0,IFERROR(LOOKUP(2,1/(Sorgo!$E14:INDEX(Sorgo!$E14:$Z14,MIN(AK$6-$G$3,22))&lt;&gt;""),Sorgo!$E14:INDEX(Sorgo!$E14:$Z14,MIN(AK$6-$G$3,22))),0)))))</f>
        <v>0</v>
      </c>
      <c r="AL16" s="27" t="n">
        <f aca="false">IF(COUNT(Sorgo!$E14:$Z14)=0,0,MAX(0,IF((AL$6-$E$3)&lt;1,0,IFERROR(LOOKUP(2,1/(Sorgo!$E14:INDEX(Sorgo!$E14:$Z14,MIN(AL$6-$E$3,22))&lt;&gt;""),Sorgo!$E14:INDEX(Sorgo!$E14:$Z14,MIN(AL$6-$E$3,22))),0))-IF($G$2,0,IF((AL$6-$G$3)&lt;1,0,IFERROR(LOOKUP(2,1/(Sorgo!$E14:INDEX(Sorgo!$E14:$Z14,MIN(AL$6-$G$3,22))&lt;&gt;""),Sorgo!$E14:INDEX(Sorgo!$E14:$Z14,MIN(AL$6-$G$3,22))),0)))))</f>
        <v>0</v>
      </c>
      <c r="AM16" s="27" t="n">
        <f aca="false">IF(COUNT(Sorgo!$E14:$Z14)=0,0,MAX(0,IF((AM$6-$E$3)&lt;1,0,IFERROR(LOOKUP(2,1/(Sorgo!$E14:INDEX(Sorgo!$E14:$Z14,MIN(AM$6-$E$3,22))&lt;&gt;""),Sorgo!$E14:INDEX(Sorgo!$E14:$Z14,MIN(AM$6-$E$3,22))),0))-IF($G$2,0,IF((AM$6-$G$3)&lt;1,0,IFERROR(LOOKUP(2,1/(Sorgo!$E14:INDEX(Sorgo!$E14:$Z14,MIN(AM$6-$G$3,22))&lt;&gt;""),Sorgo!$E14:INDEX(Sorgo!$E14:$Z14,MIN(AM$6-$G$3,22))),0)))))</f>
        <v>0</v>
      </c>
      <c r="AN16" s="27" t="n">
        <f aca="false">IF(COUNT(Sorgo!$E14:$Z14)=0,0,MAX(0,IF((AN$6-$E$3)&lt;1,0,IFERROR(LOOKUP(2,1/(Sorgo!$E14:INDEX(Sorgo!$E14:$Z14,MIN(AN$6-$E$3,22))&lt;&gt;""),Sorgo!$E14:INDEX(Sorgo!$E14:$Z14,MIN(AN$6-$E$3,22))),0))-IF($G$2,0,IF((AN$6-$G$3)&lt;1,0,IFERROR(LOOKUP(2,1/(Sorgo!$E14:INDEX(Sorgo!$E14:$Z14,MIN(AN$6-$G$3,22))&lt;&gt;""),Sorgo!$E14:INDEX(Sorgo!$E14:$Z14,MIN(AN$6-$G$3,22))),0)))))</f>
        <v>0</v>
      </c>
      <c r="AO16" s="27" t="n">
        <f aca="false">IF(COUNT(Sorgo!$E14:$Z14)=0,0,MAX(0,IF((AO$6-$E$3)&lt;1,0,IFERROR(LOOKUP(2,1/(Sorgo!$E14:INDEX(Sorgo!$E14:$Z14,MIN(AO$6-$E$3,22))&lt;&gt;""),Sorgo!$E14:INDEX(Sorgo!$E14:$Z14,MIN(AO$6-$E$3,22))),0))-IF($G$2,0,IF((AO$6-$G$3)&lt;1,0,IFERROR(LOOKUP(2,1/(Sorgo!$E14:INDEX(Sorgo!$E14:$Z14,MIN(AO$6-$G$3,22))&lt;&gt;""),Sorgo!$E14:INDEX(Sorgo!$E14:$Z14,MIN(AO$6-$G$3,22))),0)))))</f>
        <v>0</v>
      </c>
      <c r="AP16" s="27" t="n">
        <f aca="false">IF(COUNT(Sorgo!$E14:$Z14)=0,0,MAX(0,IF((AP$6-$E$3)&lt;1,0,IFERROR(LOOKUP(2,1/(Sorgo!$E14:INDEX(Sorgo!$E14:$Z14,MIN(AP$6-$E$3,22))&lt;&gt;""),Sorgo!$E14:INDEX(Sorgo!$E14:$Z14,MIN(AP$6-$E$3,22))),0))-IF($G$2,0,IF((AP$6-$G$3)&lt;1,0,IFERROR(LOOKUP(2,1/(Sorgo!$E14:INDEX(Sorgo!$E14:$Z14,MIN(AP$6-$G$3,22))&lt;&gt;""),Sorgo!$E14:INDEX(Sorgo!$E14:$Z14,MIN(AP$6-$G$3,22))),0)))))</f>
        <v>0</v>
      </c>
      <c r="AQ16" s="27" t="n">
        <f aca="false">IF(COUNT(Sorgo!$E14:$Z14)=0,0,MAX(0,IF((AQ$6-$E$3)&lt;1,0,IFERROR(LOOKUP(2,1/(Sorgo!$E14:INDEX(Sorgo!$E14:$Z14,MIN(AQ$6-$E$3,22))&lt;&gt;""),Sorgo!$E14:INDEX(Sorgo!$E14:$Z14,MIN(AQ$6-$E$3,22))),0))-IF($G$2,0,IF((AQ$6-$G$3)&lt;1,0,IFERROR(LOOKUP(2,1/(Sorgo!$E14:INDEX(Sorgo!$E14:$Z14,MIN(AQ$6-$G$3,22))&lt;&gt;""),Sorgo!$E14:INDEX(Sorgo!$E14:$Z14,MIN(AQ$6-$G$3,22))),0)))))</f>
        <v>0</v>
      </c>
      <c r="AR16" s="27" t="n">
        <f aca="false">IF(COUNT(Sorgo!$E14:$Z14)=0,0,MAX(0,IF((AR$6-$E$3)&lt;1,0,IFERROR(LOOKUP(2,1/(Sorgo!$E14:INDEX(Sorgo!$E14:$Z14,MIN(AR$6-$E$3,22))&lt;&gt;""),Sorgo!$E14:INDEX(Sorgo!$E14:$Z14,MIN(AR$6-$E$3,22))),0))-IF($G$2,0,IF((AR$6-$G$3)&lt;1,0,IFERROR(LOOKUP(2,1/(Sorgo!$E14:INDEX(Sorgo!$E14:$Z14,MIN(AR$6-$G$3,22))&lt;&gt;""),Sorgo!$E14:INDEX(Sorgo!$E14:$Z14,MIN(AR$6-$G$3,22))),0)))))</f>
        <v>0</v>
      </c>
      <c r="AS16" s="27" t="n">
        <f aca="false">IF(COUNT(Sorgo!$E14:$Z14)=0,0,MAX(0,IF((AS$6-$E$3)&lt;1,0,IFERROR(LOOKUP(2,1/(Sorgo!$E14:INDEX(Sorgo!$E14:$Z14,MIN(AS$6-$E$3,22))&lt;&gt;""),Sorgo!$E14:INDEX(Sorgo!$E14:$Z14,MIN(AS$6-$E$3,22))),0))-IF($G$2,0,IF((AS$6-$G$3)&lt;1,0,IFERROR(LOOKUP(2,1/(Sorgo!$E14:INDEX(Sorgo!$E14:$Z14,MIN(AS$6-$G$3,22))&lt;&gt;""),Sorgo!$E14:INDEX(Sorgo!$E14:$Z14,MIN(AS$6-$G$3,22))),0)))))</f>
        <v>0</v>
      </c>
      <c r="AT16" s="27" t="n">
        <f aca="false">IF(COUNT(Sorgo!$E14:$Z14)=0,0,MAX(0,IF((AT$6-$E$3)&lt;1,0,IFERROR(LOOKUP(2,1/(Sorgo!$E14:INDEX(Sorgo!$E14:$Z14,MIN(AT$6-$E$3,22))&lt;&gt;""),Sorgo!$E14:INDEX(Sorgo!$E14:$Z14,MIN(AT$6-$E$3,22))),0))-IF($G$2,0,IF((AT$6-$G$3)&lt;1,0,IFERROR(LOOKUP(2,1/(Sorgo!$E14:INDEX(Sorgo!$E14:$Z14,MIN(AT$6-$G$3,22))&lt;&gt;""),Sorgo!$E14:INDEX(Sorgo!$E14:$Z14,MIN(AT$6-$G$3,22))),0)))))</f>
        <v>0</v>
      </c>
      <c r="AU16" s="27" t="n">
        <f aca="false">IF(COUNT(Sorgo!$E14:$Z14)=0,0,MAX(0,IF((AU$6-$E$3)&lt;1,0,IFERROR(LOOKUP(2,1/(Sorgo!$E14:INDEX(Sorgo!$E14:$Z14,MIN(AU$6-$E$3,22))&lt;&gt;""),Sorgo!$E14:INDEX(Sorgo!$E14:$Z14,MIN(AU$6-$E$3,22))),0))-IF($G$2,0,IF((AU$6-$G$3)&lt;1,0,IFERROR(LOOKUP(2,1/(Sorgo!$E14:INDEX(Sorgo!$E14:$Z14,MIN(AU$6-$G$3,22))&lt;&gt;""),Sorgo!$E14:INDEX(Sorgo!$E14:$Z14,MIN(AU$6-$G$3,22))),0)))))</f>
        <v>0</v>
      </c>
      <c r="AV16" s="27" t="n">
        <f aca="false">IF(COUNT(Sorgo!$E14:$Z14)=0,0,MAX(0,IF((AV$6-$E$3)&lt;1,0,IFERROR(LOOKUP(2,1/(Sorgo!$E14:INDEX(Sorgo!$E14:$Z14,MIN(AV$6-$E$3,22))&lt;&gt;""),Sorgo!$E14:INDEX(Sorgo!$E14:$Z14,MIN(AV$6-$E$3,22))),0))-IF($G$2,0,IF((AV$6-$G$3)&lt;1,0,IFERROR(LOOKUP(2,1/(Sorgo!$E14:INDEX(Sorgo!$E14:$Z14,MIN(AV$6-$G$3,22))&lt;&gt;""),Sorgo!$E14:INDEX(Sorgo!$E14:$Z14,MIN(AV$6-$G$3,22))),0)))))</f>
        <v>0</v>
      </c>
      <c r="AW16" s="27" t="n">
        <f aca="false">IF(COUNT(Sorgo!$E14:$Z14)=0,0,MAX(0,IF((AW$6-$E$3)&lt;1,0,IFERROR(LOOKUP(2,1/(Sorgo!$E14:INDEX(Sorgo!$E14:$Z14,MIN(AW$6-$E$3,22))&lt;&gt;""),Sorgo!$E14:INDEX(Sorgo!$E14:$Z14,MIN(AW$6-$E$3,22))),0))-IF($G$2,0,IF((AW$6-$G$3)&lt;1,0,IFERROR(LOOKUP(2,1/(Sorgo!$E14:INDEX(Sorgo!$E14:$Z14,MIN(AW$6-$G$3,22))&lt;&gt;""),Sorgo!$E14:INDEX(Sorgo!$E14:$Z14,MIN(AW$6-$G$3,22))),0)))))</f>
        <v>0</v>
      </c>
      <c r="AX16" s="27" t="n">
        <f aca="false">IF(COUNT(Sorgo!$E14:$Z14)=0,0,MAX(0,IF((AX$6-$E$3)&lt;1,0,IFERROR(LOOKUP(2,1/(Sorgo!$E14:INDEX(Sorgo!$E14:$Z14,MIN(AX$6-$E$3,22))&lt;&gt;""),Sorgo!$E14:INDEX(Sorgo!$E14:$Z14,MIN(AX$6-$E$3,22))),0))-IF($G$2,0,IF((AX$6-$G$3)&lt;1,0,IFERROR(LOOKUP(2,1/(Sorgo!$E14:INDEX(Sorgo!$E14:$Z14,MIN(AX$6-$G$3,22))&lt;&gt;""),Sorgo!$E14:INDEX(Sorgo!$E14:$Z14,MIN(AX$6-$G$3,22))),0)))))</f>
        <v>0</v>
      </c>
      <c r="AY16" s="27" t="n">
        <f aca="false">IF(COUNT(Sorgo!$E14:$Z14)=0,0,MAX(0,IF((AY$6-$E$3)&lt;1,0,IFERROR(LOOKUP(2,1/(Sorgo!$E14:INDEX(Sorgo!$E14:$Z14,MIN(AY$6-$E$3,22))&lt;&gt;""),Sorgo!$E14:INDEX(Sorgo!$E14:$Z14,MIN(AY$6-$E$3,22))),0))-IF($G$2,0,IF((AY$6-$G$3)&lt;1,0,IFERROR(LOOKUP(2,1/(Sorgo!$E14:INDEX(Sorgo!$E14:$Z14,MIN(AY$6-$G$3,22))&lt;&gt;""),Sorgo!$E14:INDEX(Sorgo!$E14:$Z14,MIN(AY$6-$G$3,22))),0)))))</f>
        <v>0</v>
      </c>
      <c r="AZ16" s="27" t="n">
        <f aca="false">IF(COUNT(Sorgo!$E14:$Z14)=0,0,MAX(0,IF((AZ$6-$E$3)&lt;1,0,IFERROR(LOOKUP(2,1/(Sorgo!$E14:INDEX(Sorgo!$E14:$Z14,MIN(AZ$6-$E$3,22))&lt;&gt;""),Sorgo!$E14:INDEX(Sorgo!$E14:$Z14,MIN(AZ$6-$E$3,22))),0))-IF($G$2,0,IF((AZ$6-$G$3)&lt;1,0,IFERROR(LOOKUP(2,1/(Sorgo!$E14:INDEX(Sorgo!$E14:$Z14,MIN(AZ$6-$G$3,22))&lt;&gt;""),Sorgo!$E14:INDEX(Sorgo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IF(COUNT(Sorgo!$E15:$Z15)&gt;0,N(Sorgo!$D15),0)</f>
        <v>0</v>
      </c>
      <c r="E17" s="27" t="n">
        <f aca="false">IF(COUNT(Sorgo!$E15:$Z15)=0,0,MAX(0,IF((E$6-$E$3)&lt;1,0,IFERROR(LOOKUP(2,1/(Sorgo!$E15:INDEX(Sorgo!$E15:$Z15,MIN(E$6-$E$3,22))&lt;&gt;""),Sorgo!$E15:INDEX(Sorgo!$E15:$Z15,MIN(E$6-$E$3,22))),0))-IF($G$2,0,IF((E$6-$G$3)&lt;1,0,IFERROR(LOOKUP(2,1/(Sorgo!$E15:INDEX(Sorgo!$E15:$Z15,MIN(E$6-$G$3,22))&lt;&gt;""),Sorgo!$E15:INDEX(Sorgo!$E15:$Z15,MIN(E$6-$G$3,22))),0)))))</f>
        <v>0</v>
      </c>
      <c r="F17" s="27" t="n">
        <f aca="false">IF(COUNT(Sorgo!$E15:$Z15)=0,0,MAX(0,IF((F$6-$E$3)&lt;1,0,IFERROR(LOOKUP(2,1/(Sorgo!$E15:INDEX(Sorgo!$E15:$Z15,MIN(F$6-$E$3,22))&lt;&gt;""),Sorgo!$E15:INDEX(Sorgo!$E15:$Z15,MIN(F$6-$E$3,22))),0))-IF($G$2,0,IF((F$6-$G$3)&lt;1,0,IFERROR(LOOKUP(2,1/(Sorgo!$E15:INDEX(Sorgo!$E15:$Z15,MIN(F$6-$G$3,22))&lt;&gt;""),Sorgo!$E15:INDEX(Sorgo!$E15:$Z15,MIN(F$6-$G$3,22))),0)))))</f>
        <v>0</v>
      </c>
      <c r="G17" s="27" t="n">
        <f aca="false">IF(COUNT(Sorgo!$E15:$Z15)=0,0,MAX(0,IF((G$6-$E$3)&lt;1,0,IFERROR(LOOKUP(2,1/(Sorgo!$E15:INDEX(Sorgo!$E15:$Z15,MIN(G$6-$E$3,22))&lt;&gt;""),Sorgo!$E15:INDEX(Sorgo!$E15:$Z15,MIN(G$6-$E$3,22))),0))-IF($G$2,0,IF((G$6-$G$3)&lt;1,0,IFERROR(LOOKUP(2,1/(Sorgo!$E15:INDEX(Sorgo!$E15:$Z15,MIN(G$6-$G$3,22))&lt;&gt;""),Sorgo!$E15:INDEX(Sorgo!$E15:$Z15,MIN(G$6-$G$3,22))),0)))))</f>
        <v>0</v>
      </c>
      <c r="H17" s="27" t="n">
        <f aca="false">IF(COUNT(Sorgo!$E15:$Z15)=0,0,MAX(0,IF((H$6-$E$3)&lt;1,0,IFERROR(LOOKUP(2,1/(Sorgo!$E15:INDEX(Sorgo!$E15:$Z15,MIN(H$6-$E$3,22))&lt;&gt;""),Sorgo!$E15:INDEX(Sorgo!$E15:$Z15,MIN(H$6-$E$3,22))),0))-IF($G$2,0,IF((H$6-$G$3)&lt;1,0,IFERROR(LOOKUP(2,1/(Sorgo!$E15:INDEX(Sorgo!$E15:$Z15,MIN(H$6-$G$3,22))&lt;&gt;""),Sorgo!$E15:INDEX(Sorgo!$E15:$Z15,MIN(H$6-$G$3,22))),0)))))</f>
        <v>0</v>
      </c>
      <c r="I17" s="27" t="n">
        <f aca="false">IF(COUNT(Sorgo!$E15:$Z15)=0,0,MAX(0,IF((I$6-$E$3)&lt;1,0,IFERROR(LOOKUP(2,1/(Sorgo!$E15:INDEX(Sorgo!$E15:$Z15,MIN(I$6-$E$3,22))&lt;&gt;""),Sorgo!$E15:INDEX(Sorgo!$E15:$Z15,MIN(I$6-$E$3,22))),0))-IF($G$2,0,IF((I$6-$G$3)&lt;1,0,IFERROR(LOOKUP(2,1/(Sorgo!$E15:INDEX(Sorgo!$E15:$Z15,MIN(I$6-$G$3,22))&lt;&gt;""),Sorgo!$E15:INDEX(Sorgo!$E15:$Z15,MIN(I$6-$G$3,22))),0)))))</f>
        <v>0</v>
      </c>
      <c r="J17" s="27" t="n">
        <f aca="false">IF(COUNT(Sorgo!$E15:$Z15)=0,0,MAX(0,IF((J$6-$E$3)&lt;1,0,IFERROR(LOOKUP(2,1/(Sorgo!$E15:INDEX(Sorgo!$E15:$Z15,MIN(J$6-$E$3,22))&lt;&gt;""),Sorgo!$E15:INDEX(Sorgo!$E15:$Z15,MIN(J$6-$E$3,22))),0))-IF($G$2,0,IF((J$6-$G$3)&lt;1,0,IFERROR(LOOKUP(2,1/(Sorgo!$E15:INDEX(Sorgo!$E15:$Z15,MIN(J$6-$G$3,22))&lt;&gt;""),Sorgo!$E15:INDEX(Sorgo!$E15:$Z15,MIN(J$6-$G$3,22))),0)))))</f>
        <v>0</v>
      </c>
      <c r="K17" s="27" t="n">
        <f aca="false">IF(COUNT(Sorgo!$E15:$Z15)=0,0,MAX(0,IF((K$6-$E$3)&lt;1,0,IFERROR(LOOKUP(2,1/(Sorgo!$E15:INDEX(Sorgo!$E15:$Z15,MIN(K$6-$E$3,22))&lt;&gt;""),Sorgo!$E15:INDEX(Sorgo!$E15:$Z15,MIN(K$6-$E$3,22))),0))-IF($G$2,0,IF((K$6-$G$3)&lt;1,0,IFERROR(LOOKUP(2,1/(Sorgo!$E15:INDEX(Sorgo!$E15:$Z15,MIN(K$6-$G$3,22))&lt;&gt;""),Sorgo!$E15:INDEX(Sorgo!$E15:$Z15,MIN(K$6-$G$3,22))),0)))))</f>
        <v>0</v>
      </c>
      <c r="L17" s="27" t="n">
        <f aca="false">IF(COUNT(Sorgo!$E15:$Z15)=0,0,MAX(0,IF((L$6-$E$3)&lt;1,0,IFERROR(LOOKUP(2,1/(Sorgo!$E15:INDEX(Sorgo!$E15:$Z15,MIN(L$6-$E$3,22))&lt;&gt;""),Sorgo!$E15:INDEX(Sorgo!$E15:$Z15,MIN(L$6-$E$3,22))),0))-IF($G$2,0,IF((L$6-$G$3)&lt;1,0,IFERROR(LOOKUP(2,1/(Sorgo!$E15:INDEX(Sorgo!$E15:$Z15,MIN(L$6-$G$3,22))&lt;&gt;""),Sorgo!$E15:INDEX(Sorgo!$E15:$Z15,MIN(L$6-$G$3,22))),0)))))</f>
        <v>0</v>
      </c>
      <c r="M17" s="27" t="n">
        <f aca="false">IF(COUNT(Sorgo!$E15:$Z15)=0,0,MAX(0,IF((M$6-$E$3)&lt;1,0,IFERROR(LOOKUP(2,1/(Sorgo!$E15:INDEX(Sorgo!$E15:$Z15,MIN(M$6-$E$3,22))&lt;&gt;""),Sorgo!$E15:INDEX(Sorgo!$E15:$Z15,MIN(M$6-$E$3,22))),0))-IF($G$2,0,IF((M$6-$G$3)&lt;1,0,IFERROR(LOOKUP(2,1/(Sorgo!$E15:INDEX(Sorgo!$E15:$Z15,MIN(M$6-$G$3,22))&lt;&gt;""),Sorgo!$E15:INDEX(Sorgo!$E15:$Z15,MIN(M$6-$G$3,22))),0)))))</f>
        <v>0</v>
      </c>
      <c r="N17" s="27" t="n">
        <f aca="false">IF(COUNT(Sorgo!$E15:$Z15)=0,0,MAX(0,IF((N$6-$E$3)&lt;1,0,IFERROR(LOOKUP(2,1/(Sorgo!$E15:INDEX(Sorgo!$E15:$Z15,MIN(N$6-$E$3,22))&lt;&gt;""),Sorgo!$E15:INDEX(Sorgo!$E15:$Z15,MIN(N$6-$E$3,22))),0))-IF($G$2,0,IF((N$6-$G$3)&lt;1,0,IFERROR(LOOKUP(2,1/(Sorgo!$E15:INDEX(Sorgo!$E15:$Z15,MIN(N$6-$G$3,22))&lt;&gt;""),Sorgo!$E15:INDEX(Sorgo!$E15:$Z15,MIN(N$6-$G$3,22))),0)))))</f>
        <v>0</v>
      </c>
      <c r="O17" s="27" t="n">
        <f aca="false">IF(COUNT(Sorgo!$E15:$Z15)=0,0,MAX(0,IF((O$6-$E$3)&lt;1,0,IFERROR(LOOKUP(2,1/(Sorgo!$E15:INDEX(Sorgo!$E15:$Z15,MIN(O$6-$E$3,22))&lt;&gt;""),Sorgo!$E15:INDEX(Sorgo!$E15:$Z15,MIN(O$6-$E$3,22))),0))-IF($G$2,0,IF((O$6-$G$3)&lt;1,0,IFERROR(LOOKUP(2,1/(Sorgo!$E15:INDEX(Sorgo!$E15:$Z15,MIN(O$6-$G$3,22))&lt;&gt;""),Sorgo!$E15:INDEX(Sorgo!$E15:$Z15,MIN(O$6-$G$3,22))),0)))))</f>
        <v>0</v>
      </c>
      <c r="P17" s="27" t="n">
        <f aca="false">IF(COUNT(Sorgo!$E15:$Z15)=0,0,MAX(0,IF((P$6-$E$3)&lt;1,0,IFERROR(LOOKUP(2,1/(Sorgo!$E15:INDEX(Sorgo!$E15:$Z15,MIN(P$6-$E$3,22))&lt;&gt;""),Sorgo!$E15:INDEX(Sorgo!$E15:$Z15,MIN(P$6-$E$3,22))),0))-IF($G$2,0,IF((P$6-$G$3)&lt;1,0,IFERROR(LOOKUP(2,1/(Sorgo!$E15:INDEX(Sorgo!$E15:$Z15,MIN(P$6-$G$3,22))&lt;&gt;""),Sorgo!$E15:INDEX(Sorgo!$E15:$Z15,MIN(P$6-$G$3,22))),0)))))</f>
        <v>0</v>
      </c>
      <c r="Q17" s="27" t="n">
        <f aca="false">IF(COUNT(Sorgo!$E15:$Z15)=0,0,MAX(0,IF((Q$6-$E$3)&lt;1,0,IFERROR(LOOKUP(2,1/(Sorgo!$E15:INDEX(Sorgo!$E15:$Z15,MIN(Q$6-$E$3,22))&lt;&gt;""),Sorgo!$E15:INDEX(Sorgo!$E15:$Z15,MIN(Q$6-$E$3,22))),0))-IF($G$2,0,IF((Q$6-$G$3)&lt;1,0,IFERROR(LOOKUP(2,1/(Sorgo!$E15:INDEX(Sorgo!$E15:$Z15,MIN(Q$6-$G$3,22))&lt;&gt;""),Sorgo!$E15:INDEX(Sorgo!$E15:$Z15,MIN(Q$6-$G$3,22))),0)))))</f>
        <v>0</v>
      </c>
      <c r="R17" s="27" t="n">
        <f aca="false">IF(COUNT(Sorgo!$E15:$Z15)=0,0,MAX(0,IF((R$6-$E$3)&lt;1,0,IFERROR(LOOKUP(2,1/(Sorgo!$E15:INDEX(Sorgo!$E15:$Z15,MIN(R$6-$E$3,22))&lt;&gt;""),Sorgo!$E15:INDEX(Sorgo!$E15:$Z15,MIN(R$6-$E$3,22))),0))-IF($G$2,0,IF((R$6-$G$3)&lt;1,0,IFERROR(LOOKUP(2,1/(Sorgo!$E15:INDEX(Sorgo!$E15:$Z15,MIN(R$6-$G$3,22))&lt;&gt;""),Sorgo!$E15:INDEX(Sorgo!$E15:$Z15,MIN(R$6-$G$3,22))),0)))))</f>
        <v>0</v>
      </c>
      <c r="S17" s="27" t="n">
        <f aca="false">IF(COUNT(Sorgo!$E15:$Z15)=0,0,MAX(0,IF((S$6-$E$3)&lt;1,0,IFERROR(LOOKUP(2,1/(Sorgo!$E15:INDEX(Sorgo!$E15:$Z15,MIN(S$6-$E$3,22))&lt;&gt;""),Sorgo!$E15:INDEX(Sorgo!$E15:$Z15,MIN(S$6-$E$3,22))),0))-IF($G$2,0,IF((S$6-$G$3)&lt;1,0,IFERROR(LOOKUP(2,1/(Sorgo!$E15:INDEX(Sorgo!$E15:$Z15,MIN(S$6-$G$3,22))&lt;&gt;""),Sorgo!$E15:INDEX(Sorgo!$E15:$Z15,MIN(S$6-$G$3,22))),0)))))</f>
        <v>0</v>
      </c>
      <c r="T17" s="27" t="n">
        <f aca="false">IF(COUNT(Sorgo!$E15:$Z15)=0,0,MAX(0,IF((T$6-$E$3)&lt;1,0,IFERROR(LOOKUP(2,1/(Sorgo!$E15:INDEX(Sorgo!$E15:$Z15,MIN(T$6-$E$3,22))&lt;&gt;""),Sorgo!$E15:INDEX(Sorgo!$E15:$Z15,MIN(T$6-$E$3,22))),0))-IF($G$2,0,IF((T$6-$G$3)&lt;1,0,IFERROR(LOOKUP(2,1/(Sorgo!$E15:INDEX(Sorgo!$E15:$Z15,MIN(T$6-$G$3,22))&lt;&gt;""),Sorgo!$E15:INDEX(Sorgo!$E15:$Z15,MIN(T$6-$G$3,22))),0)))))</f>
        <v>0</v>
      </c>
      <c r="U17" s="27" t="n">
        <f aca="false">IF(COUNT(Sorgo!$E15:$Z15)=0,0,MAX(0,IF((U$6-$E$3)&lt;1,0,IFERROR(LOOKUP(2,1/(Sorgo!$E15:INDEX(Sorgo!$E15:$Z15,MIN(U$6-$E$3,22))&lt;&gt;""),Sorgo!$E15:INDEX(Sorgo!$E15:$Z15,MIN(U$6-$E$3,22))),0))-IF($G$2,0,IF((U$6-$G$3)&lt;1,0,IFERROR(LOOKUP(2,1/(Sorgo!$E15:INDEX(Sorgo!$E15:$Z15,MIN(U$6-$G$3,22))&lt;&gt;""),Sorgo!$E15:INDEX(Sorgo!$E15:$Z15,MIN(U$6-$G$3,22))),0)))))</f>
        <v>0</v>
      </c>
      <c r="V17" s="27" t="n">
        <f aca="false">IF(COUNT(Sorgo!$E15:$Z15)=0,0,MAX(0,IF((V$6-$E$3)&lt;1,0,IFERROR(LOOKUP(2,1/(Sorgo!$E15:INDEX(Sorgo!$E15:$Z15,MIN(V$6-$E$3,22))&lt;&gt;""),Sorgo!$E15:INDEX(Sorgo!$E15:$Z15,MIN(V$6-$E$3,22))),0))-IF($G$2,0,IF((V$6-$G$3)&lt;1,0,IFERROR(LOOKUP(2,1/(Sorgo!$E15:INDEX(Sorgo!$E15:$Z15,MIN(V$6-$G$3,22))&lt;&gt;""),Sorgo!$E15:INDEX(Sorgo!$E15:$Z15,MIN(V$6-$G$3,22))),0)))))</f>
        <v>0</v>
      </c>
      <c r="W17" s="27" t="n">
        <f aca="false">IF(COUNT(Sorgo!$E15:$Z15)=0,0,MAX(0,IF((W$6-$E$3)&lt;1,0,IFERROR(LOOKUP(2,1/(Sorgo!$E15:INDEX(Sorgo!$E15:$Z15,MIN(W$6-$E$3,22))&lt;&gt;""),Sorgo!$E15:INDEX(Sorgo!$E15:$Z15,MIN(W$6-$E$3,22))),0))-IF($G$2,0,IF((W$6-$G$3)&lt;1,0,IFERROR(LOOKUP(2,1/(Sorgo!$E15:INDEX(Sorgo!$E15:$Z15,MIN(W$6-$G$3,22))&lt;&gt;""),Sorgo!$E15:INDEX(Sorgo!$E15:$Z15,MIN(W$6-$G$3,22))),0)))))</f>
        <v>0</v>
      </c>
      <c r="X17" s="27" t="n">
        <f aca="false">IF(COUNT(Sorgo!$E15:$Z15)=0,0,MAX(0,IF((X$6-$E$3)&lt;1,0,IFERROR(LOOKUP(2,1/(Sorgo!$E15:INDEX(Sorgo!$E15:$Z15,MIN(X$6-$E$3,22))&lt;&gt;""),Sorgo!$E15:INDEX(Sorgo!$E15:$Z15,MIN(X$6-$E$3,22))),0))-IF($G$2,0,IF((X$6-$G$3)&lt;1,0,IFERROR(LOOKUP(2,1/(Sorgo!$E15:INDEX(Sorgo!$E15:$Z15,MIN(X$6-$G$3,22))&lt;&gt;""),Sorgo!$E15:INDEX(Sorgo!$E15:$Z15,MIN(X$6-$G$3,22))),0)))))</f>
        <v>0</v>
      </c>
      <c r="Y17" s="27" t="n">
        <f aca="false">IF(COUNT(Sorgo!$E15:$Z15)=0,0,MAX(0,IF((Y$6-$E$3)&lt;1,0,IFERROR(LOOKUP(2,1/(Sorgo!$E15:INDEX(Sorgo!$E15:$Z15,MIN(Y$6-$E$3,22))&lt;&gt;""),Sorgo!$E15:INDEX(Sorgo!$E15:$Z15,MIN(Y$6-$E$3,22))),0))-IF($G$2,0,IF((Y$6-$G$3)&lt;1,0,IFERROR(LOOKUP(2,1/(Sorgo!$E15:INDEX(Sorgo!$E15:$Z15,MIN(Y$6-$G$3,22))&lt;&gt;""),Sorgo!$E15:INDEX(Sorgo!$E15:$Z15,MIN(Y$6-$G$3,22))),0)))))</f>
        <v>0</v>
      </c>
      <c r="Z17" s="27" t="n">
        <f aca="false">IF(COUNT(Sorgo!$E15:$Z15)=0,0,MAX(0,IF((Z$6-$E$3)&lt;1,0,IFERROR(LOOKUP(2,1/(Sorgo!$E15:INDEX(Sorgo!$E15:$Z15,MIN(Z$6-$E$3,22))&lt;&gt;""),Sorgo!$E15:INDEX(Sorgo!$E15:$Z15,MIN(Z$6-$E$3,22))),0))-IF($G$2,0,IF((Z$6-$G$3)&lt;1,0,IFERROR(LOOKUP(2,1/(Sorgo!$E15:INDEX(Sorgo!$E15:$Z15,MIN(Z$6-$G$3,22))&lt;&gt;""),Sorgo!$E15:INDEX(Sorgo!$E15:$Z15,MIN(Z$6-$G$3,22))),0)))))</f>
        <v>0</v>
      </c>
      <c r="AA17" s="27" t="n">
        <f aca="false">IF(COUNT(Sorgo!$E15:$Z15)=0,0,MAX(0,IF((AA$6-$E$3)&lt;1,0,IFERROR(LOOKUP(2,1/(Sorgo!$E15:INDEX(Sorgo!$E15:$Z15,MIN(AA$6-$E$3,22))&lt;&gt;""),Sorgo!$E15:INDEX(Sorgo!$E15:$Z15,MIN(AA$6-$E$3,22))),0))-IF($G$2,0,IF((AA$6-$G$3)&lt;1,0,IFERROR(LOOKUP(2,1/(Sorgo!$E15:INDEX(Sorgo!$E15:$Z15,MIN(AA$6-$G$3,22))&lt;&gt;""),Sorgo!$E15:INDEX(Sorgo!$E15:$Z15,MIN(AA$6-$G$3,22))),0)))))</f>
        <v>0</v>
      </c>
      <c r="AB17" s="27" t="n">
        <f aca="false">IF(COUNT(Sorgo!$E15:$Z15)=0,0,MAX(0,IF((AB$6-$E$3)&lt;1,0,IFERROR(LOOKUP(2,1/(Sorgo!$E15:INDEX(Sorgo!$E15:$Z15,MIN(AB$6-$E$3,22))&lt;&gt;""),Sorgo!$E15:INDEX(Sorgo!$E15:$Z15,MIN(AB$6-$E$3,22))),0))-IF($G$2,0,IF((AB$6-$G$3)&lt;1,0,IFERROR(LOOKUP(2,1/(Sorgo!$E15:INDEX(Sorgo!$E15:$Z15,MIN(AB$6-$G$3,22))&lt;&gt;""),Sorgo!$E15:INDEX(Sorgo!$E15:$Z15,MIN(AB$6-$G$3,22))),0)))))</f>
        <v>0</v>
      </c>
      <c r="AC17" s="27" t="n">
        <f aca="false">IF(COUNT(Sorgo!$E15:$Z15)=0,0,MAX(0,IF((AC$6-$E$3)&lt;1,0,IFERROR(LOOKUP(2,1/(Sorgo!$E15:INDEX(Sorgo!$E15:$Z15,MIN(AC$6-$E$3,22))&lt;&gt;""),Sorgo!$E15:INDEX(Sorgo!$E15:$Z15,MIN(AC$6-$E$3,22))),0))-IF($G$2,0,IF((AC$6-$G$3)&lt;1,0,IFERROR(LOOKUP(2,1/(Sorgo!$E15:INDEX(Sorgo!$E15:$Z15,MIN(AC$6-$G$3,22))&lt;&gt;""),Sorgo!$E15:INDEX(Sorgo!$E15:$Z15,MIN(AC$6-$G$3,22))),0)))))</f>
        <v>0</v>
      </c>
      <c r="AD17" s="27" t="n">
        <f aca="false">IF(COUNT(Sorgo!$E15:$Z15)=0,0,MAX(0,IF((AD$6-$E$3)&lt;1,0,IFERROR(LOOKUP(2,1/(Sorgo!$E15:INDEX(Sorgo!$E15:$Z15,MIN(AD$6-$E$3,22))&lt;&gt;""),Sorgo!$E15:INDEX(Sorgo!$E15:$Z15,MIN(AD$6-$E$3,22))),0))-IF($G$2,0,IF((AD$6-$G$3)&lt;1,0,IFERROR(LOOKUP(2,1/(Sorgo!$E15:INDEX(Sorgo!$E15:$Z15,MIN(AD$6-$G$3,22))&lt;&gt;""),Sorgo!$E15:INDEX(Sorgo!$E15:$Z15,MIN(AD$6-$G$3,22))),0)))))</f>
        <v>0</v>
      </c>
      <c r="AE17" s="27" t="n">
        <f aca="false">IF(COUNT(Sorgo!$E15:$Z15)=0,0,MAX(0,IF((AE$6-$E$3)&lt;1,0,IFERROR(LOOKUP(2,1/(Sorgo!$E15:INDEX(Sorgo!$E15:$Z15,MIN(AE$6-$E$3,22))&lt;&gt;""),Sorgo!$E15:INDEX(Sorgo!$E15:$Z15,MIN(AE$6-$E$3,22))),0))-IF($G$2,0,IF((AE$6-$G$3)&lt;1,0,IFERROR(LOOKUP(2,1/(Sorgo!$E15:INDEX(Sorgo!$E15:$Z15,MIN(AE$6-$G$3,22))&lt;&gt;""),Sorgo!$E15:INDEX(Sorgo!$E15:$Z15,MIN(AE$6-$G$3,22))),0)))))</f>
        <v>0</v>
      </c>
      <c r="AF17" s="27" t="n">
        <f aca="false">IF(COUNT(Sorgo!$E15:$Z15)=0,0,MAX(0,IF((AF$6-$E$3)&lt;1,0,IFERROR(LOOKUP(2,1/(Sorgo!$E15:INDEX(Sorgo!$E15:$Z15,MIN(AF$6-$E$3,22))&lt;&gt;""),Sorgo!$E15:INDEX(Sorgo!$E15:$Z15,MIN(AF$6-$E$3,22))),0))-IF($G$2,0,IF((AF$6-$G$3)&lt;1,0,IFERROR(LOOKUP(2,1/(Sorgo!$E15:INDEX(Sorgo!$E15:$Z15,MIN(AF$6-$G$3,22))&lt;&gt;""),Sorgo!$E15:INDEX(Sorgo!$E15:$Z15,MIN(AF$6-$G$3,22))),0)))))</f>
        <v>0</v>
      </c>
      <c r="AG17" s="27" t="n">
        <f aca="false">IF(COUNT(Sorgo!$E15:$Z15)=0,0,MAX(0,IF((AG$6-$E$3)&lt;1,0,IFERROR(LOOKUP(2,1/(Sorgo!$E15:INDEX(Sorgo!$E15:$Z15,MIN(AG$6-$E$3,22))&lt;&gt;""),Sorgo!$E15:INDEX(Sorgo!$E15:$Z15,MIN(AG$6-$E$3,22))),0))-IF($G$2,0,IF((AG$6-$G$3)&lt;1,0,IFERROR(LOOKUP(2,1/(Sorgo!$E15:INDEX(Sorgo!$E15:$Z15,MIN(AG$6-$G$3,22))&lt;&gt;""),Sorgo!$E15:INDEX(Sorgo!$E15:$Z15,MIN(AG$6-$G$3,22))),0)))))</f>
        <v>0</v>
      </c>
      <c r="AH17" s="27" t="n">
        <f aca="false">IF(COUNT(Sorgo!$E15:$Z15)=0,0,MAX(0,IF((AH$6-$E$3)&lt;1,0,IFERROR(LOOKUP(2,1/(Sorgo!$E15:INDEX(Sorgo!$E15:$Z15,MIN(AH$6-$E$3,22))&lt;&gt;""),Sorgo!$E15:INDEX(Sorgo!$E15:$Z15,MIN(AH$6-$E$3,22))),0))-IF($G$2,0,IF((AH$6-$G$3)&lt;1,0,IFERROR(LOOKUP(2,1/(Sorgo!$E15:INDEX(Sorgo!$E15:$Z15,MIN(AH$6-$G$3,22))&lt;&gt;""),Sorgo!$E15:INDEX(Sorgo!$E15:$Z15,MIN(AH$6-$G$3,22))),0)))))</f>
        <v>0</v>
      </c>
      <c r="AI17" s="27" t="n">
        <f aca="false">IF(COUNT(Sorgo!$E15:$Z15)=0,0,MAX(0,IF((AI$6-$E$3)&lt;1,0,IFERROR(LOOKUP(2,1/(Sorgo!$E15:INDEX(Sorgo!$E15:$Z15,MIN(AI$6-$E$3,22))&lt;&gt;""),Sorgo!$E15:INDEX(Sorgo!$E15:$Z15,MIN(AI$6-$E$3,22))),0))-IF($G$2,0,IF((AI$6-$G$3)&lt;1,0,IFERROR(LOOKUP(2,1/(Sorgo!$E15:INDEX(Sorgo!$E15:$Z15,MIN(AI$6-$G$3,22))&lt;&gt;""),Sorgo!$E15:INDEX(Sorgo!$E15:$Z15,MIN(AI$6-$G$3,22))),0)))))</f>
        <v>0</v>
      </c>
      <c r="AJ17" s="27" t="n">
        <f aca="false">IF(COUNT(Sorgo!$E15:$Z15)=0,0,MAX(0,IF((AJ$6-$E$3)&lt;1,0,IFERROR(LOOKUP(2,1/(Sorgo!$E15:INDEX(Sorgo!$E15:$Z15,MIN(AJ$6-$E$3,22))&lt;&gt;""),Sorgo!$E15:INDEX(Sorgo!$E15:$Z15,MIN(AJ$6-$E$3,22))),0))-IF($G$2,0,IF((AJ$6-$G$3)&lt;1,0,IFERROR(LOOKUP(2,1/(Sorgo!$E15:INDEX(Sorgo!$E15:$Z15,MIN(AJ$6-$G$3,22))&lt;&gt;""),Sorgo!$E15:INDEX(Sorgo!$E15:$Z15,MIN(AJ$6-$G$3,22))),0)))))</f>
        <v>0</v>
      </c>
      <c r="AK17" s="27" t="n">
        <f aca="false">IF(COUNT(Sorgo!$E15:$Z15)=0,0,MAX(0,IF((AK$6-$E$3)&lt;1,0,IFERROR(LOOKUP(2,1/(Sorgo!$E15:INDEX(Sorgo!$E15:$Z15,MIN(AK$6-$E$3,22))&lt;&gt;""),Sorgo!$E15:INDEX(Sorgo!$E15:$Z15,MIN(AK$6-$E$3,22))),0))-IF($G$2,0,IF((AK$6-$G$3)&lt;1,0,IFERROR(LOOKUP(2,1/(Sorgo!$E15:INDEX(Sorgo!$E15:$Z15,MIN(AK$6-$G$3,22))&lt;&gt;""),Sorgo!$E15:INDEX(Sorgo!$E15:$Z15,MIN(AK$6-$G$3,22))),0)))))</f>
        <v>0</v>
      </c>
      <c r="AL17" s="27" t="n">
        <f aca="false">IF(COUNT(Sorgo!$E15:$Z15)=0,0,MAX(0,IF((AL$6-$E$3)&lt;1,0,IFERROR(LOOKUP(2,1/(Sorgo!$E15:INDEX(Sorgo!$E15:$Z15,MIN(AL$6-$E$3,22))&lt;&gt;""),Sorgo!$E15:INDEX(Sorgo!$E15:$Z15,MIN(AL$6-$E$3,22))),0))-IF($G$2,0,IF((AL$6-$G$3)&lt;1,0,IFERROR(LOOKUP(2,1/(Sorgo!$E15:INDEX(Sorgo!$E15:$Z15,MIN(AL$6-$G$3,22))&lt;&gt;""),Sorgo!$E15:INDEX(Sorgo!$E15:$Z15,MIN(AL$6-$G$3,22))),0)))))</f>
        <v>0</v>
      </c>
      <c r="AM17" s="27" t="n">
        <f aca="false">IF(COUNT(Sorgo!$E15:$Z15)=0,0,MAX(0,IF((AM$6-$E$3)&lt;1,0,IFERROR(LOOKUP(2,1/(Sorgo!$E15:INDEX(Sorgo!$E15:$Z15,MIN(AM$6-$E$3,22))&lt;&gt;""),Sorgo!$E15:INDEX(Sorgo!$E15:$Z15,MIN(AM$6-$E$3,22))),0))-IF($G$2,0,IF((AM$6-$G$3)&lt;1,0,IFERROR(LOOKUP(2,1/(Sorgo!$E15:INDEX(Sorgo!$E15:$Z15,MIN(AM$6-$G$3,22))&lt;&gt;""),Sorgo!$E15:INDEX(Sorgo!$E15:$Z15,MIN(AM$6-$G$3,22))),0)))))</f>
        <v>0</v>
      </c>
      <c r="AN17" s="27" t="n">
        <f aca="false">IF(COUNT(Sorgo!$E15:$Z15)=0,0,MAX(0,IF((AN$6-$E$3)&lt;1,0,IFERROR(LOOKUP(2,1/(Sorgo!$E15:INDEX(Sorgo!$E15:$Z15,MIN(AN$6-$E$3,22))&lt;&gt;""),Sorgo!$E15:INDEX(Sorgo!$E15:$Z15,MIN(AN$6-$E$3,22))),0))-IF($G$2,0,IF((AN$6-$G$3)&lt;1,0,IFERROR(LOOKUP(2,1/(Sorgo!$E15:INDEX(Sorgo!$E15:$Z15,MIN(AN$6-$G$3,22))&lt;&gt;""),Sorgo!$E15:INDEX(Sorgo!$E15:$Z15,MIN(AN$6-$G$3,22))),0)))))</f>
        <v>0</v>
      </c>
      <c r="AO17" s="27" t="n">
        <f aca="false">IF(COUNT(Sorgo!$E15:$Z15)=0,0,MAX(0,IF((AO$6-$E$3)&lt;1,0,IFERROR(LOOKUP(2,1/(Sorgo!$E15:INDEX(Sorgo!$E15:$Z15,MIN(AO$6-$E$3,22))&lt;&gt;""),Sorgo!$E15:INDEX(Sorgo!$E15:$Z15,MIN(AO$6-$E$3,22))),0))-IF($G$2,0,IF((AO$6-$G$3)&lt;1,0,IFERROR(LOOKUP(2,1/(Sorgo!$E15:INDEX(Sorgo!$E15:$Z15,MIN(AO$6-$G$3,22))&lt;&gt;""),Sorgo!$E15:INDEX(Sorgo!$E15:$Z15,MIN(AO$6-$G$3,22))),0)))))</f>
        <v>0</v>
      </c>
      <c r="AP17" s="27" t="n">
        <f aca="false">IF(COUNT(Sorgo!$E15:$Z15)=0,0,MAX(0,IF((AP$6-$E$3)&lt;1,0,IFERROR(LOOKUP(2,1/(Sorgo!$E15:INDEX(Sorgo!$E15:$Z15,MIN(AP$6-$E$3,22))&lt;&gt;""),Sorgo!$E15:INDEX(Sorgo!$E15:$Z15,MIN(AP$6-$E$3,22))),0))-IF($G$2,0,IF((AP$6-$G$3)&lt;1,0,IFERROR(LOOKUP(2,1/(Sorgo!$E15:INDEX(Sorgo!$E15:$Z15,MIN(AP$6-$G$3,22))&lt;&gt;""),Sorgo!$E15:INDEX(Sorgo!$E15:$Z15,MIN(AP$6-$G$3,22))),0)))))</f>
        <v>0</v>
      </c>
      <c r="AQ17" s="27" t="n">
        <f aca="false">IF(COUNT(Sorgo!$E15:$Z15)=0,0,MAX(0,IF((AQ$6-$E$3)&lt;1,0,IFERROR(LOOKUP(2,1/(Sorgo!$E15:INDEX(Sorgo!$E15:$Z15,MIN(AQ$6-$E$3,22))&lt;&gt;""),Sorgo!$E15:INDEX(Sorgo!$E15:$Z15,MIN(AQ$6-$E$3,22))),0))-IF($G$2,0,IF((AQ$6-$G$3)&lt;1,0,IFERROR(LOOKUP(2,1/(Sorgo!$E15:INDEX(Sorgo!$E15:$Z15,MIN(AQ$6-$G$3,22))&lt;&gt;""),Sorgo!$E15:INDEX(Sorgo!$E15:$Z15,MIN(AQ$6-$G$3,22))),0)))))</f>
        <v>0</v>
      </c>
      <c r="AR17" s="27" t="n">
        <f aca="false">IF(COUNT(Sorgo!$E15:$Z15)=0,0,MAX(0,IF((AR$6-$E$3)&lt;1,0,IFERROR(LOOKUP(2,1/(Sorgo!$E15:INDEX(Sorgo!$E15:$Z15,MIN(AR$6-$E$3,22))&lt;&gt;""),Sorgo!$E15:INDEX(Sorgo!$E15:$Z15,MIN(AR$6-$E$3,22))),0))-IF($G$2,0,IF((AR$6-$G$3)&lt;1,0,IFERROR(LOOKUP(2,1/(Sorgo!$E15:INDEX(Sorgo!$E15:$Z15,MIN(AR$6-$G$3,22))&lt;&gt;""),Sorgo!$E15:INDEX(Sorgo!$E15:$Z15,MIN(AR$6-$G$3,22))),0)))))</f>
        <v>0</v>
      </c>
      <c r="AS17" s="27" t="n">
        <f aca="false">IF(COUNT(Sorgo!$E15:$Z15)=0,0,MAX(0,IF((AS$6-$E$3)&lt;1,0,IFERROR(LOOKUP(2,1/(Sorgo!$E15:INDEX(Sorgo!$E15:$Z15,MIN(AS$6-$E$3,22))&lt;&gt;""),Sorgo!$E15:INDEX(Sorgo!$E15:$Z15,MIN(AS$6-$E$3,22))),0))-IF($G$2,0,IF((AS$6-$G$3)&lt;1,0,IFERROR(LOOKUP(2,1/(Sorgo!$E15:INDEX(Sorgo!$E15:$Z15,MIN(AS$6-$G$3,22))&lt;&gt;""),Sorgo!$E15:INDEX(Sorgo!$E15:$Z15,MIN(AS$6-$G$3,22))),0)))))</f>
        <v>0</v>
      </c>
      <c r="AT17" s="27" t="n">
        <f aca="false">IF(COUNT(Sorgo!$E15:$Z15)=0,0,MAX(0,IF((AT$6-$E$3)&lt;1,0,IFERROR(LOOKUP(2,1/(Sorgo!$E15:INDEX(Sorgo!$E15:$Z15,MIN(AT$6-$E$3,22))&lt;&gt;""),Sorgo!$E15:INDEX(Sorgo!$E15:$Z15,MIN(AT$6-$E$3,22))),0))-IF($G$2,0,IF((AT$6-$G$3)&lt;1,0,IFERROR(LOOKUP(2,1/(Sorgo!$E15:INDEX(Sorgo!$E15:$Z15,MIN(AT$6-$G$3,22))&lt;&gt;""),Sorgo!$E15:INDEX(Sorgo!$E15:$Z15,MIN(AT$6-$G$3,22))),0)))))</f>
        <v>0</v>
      </c>
      <c r="AU17" s="27" t="n">
        <f aca="false">IF(COUNT(Sorgo!$E15:$Z15)=0,0,MAX(0,IF((AU$6-$E$3)&lt;1,0,IFERROR(LOOKUP(2,1/(Sorgo!$E15:INDEX(Sorgo!$E15:$Z15,MIN(AU$6-$E$3,22))&lt;&gt;""),Sorgo!$E15:INDEX(Sorgo!$E15:$Z15,MIN(AU$6-$E$3,22))),0))-IF($G$2,0,IF((AU$6-$G$3)&lt;1,0,IFERROR(LOOKUP(2,1/(Sorgo!$E15:INDEX(Sorgo!$E15:$Z15,MIN(AU$6-$G$3,22))&lt;&gt;""),Sorgo!$E15:INDEX(Sorgo!$E15:$Z15,MIN(AU$6-$G$3,22))),0)))))</f>
        <v>0</v>
      </c>
      <c r="AV17" s="27" t="n">
        <f aca="false">IF(COUNT(Sorgo!$E15:$Z15)=0,0,MAX(0,IF((AV$6-$E$3)&lt;1,0,IFERROR(LOOKUP(2,1/(Sorgo!$E15:INDEX(Sorgo!$E15:$Z15,MIN(AV$6-$E$3,22))&lt;&gt;""),Sorgo!$E15:INDEX(Sorgo!$E15:$Z15,MIN(AV$6-$E$3,22))),0))-IF($G$2,0,IF((AV$6-$G$3)&lt;1,0,IFERROR(LOOKUP(2,1/(Sorgo!$E15:INDEX(Sorgo!$E15:$Z15,MIN(AV$6-$G$3,22))&lt;&gt;""),Sorgo!$E15:INDEX(Sorgo!$E15:$Z15,MIN(AV$6-$G$3,22))),0)))))</f>
        <v>0</v>
      </c>
      <c r="AW17" s="27" t="n">
        <f aca="false">IF(COUNT(Sorgo!$E15:$Z15)=0,0,MAX(0,IF((AW$6-$E$3)&lt;1,0,IFERROR(LOOKUP(2,1/(Sorgo!$E15:INDEX(Sorgo!$E15:$Z15,MIN(AW$6-$E$3,22))&lt;&gt;""),Sorgo!$E15:INDEX(Sorgo!$E15:$Z15,MIN(AW$6-$E$3,22))),0))-IF($G$2,0,IF((AW$6-$G$3)&lt;1,0,IFERROR(LOOKUP(2,1/(Sorgo!$E15:INDEX(Sorgo!$E15:$Z15,MIN(AW$6-$G$3,22))&lt;&gt;""),Sorgo!$E15:INDEX(Sorgo!$E15:$Z15,MIN(AW$6-$G$3,22))),0)))))</f>
        <v>0</v>
      </c>
      <c r="AX17" s="27" t="n">
        <f aca="false">IF(COUNT(Sorgo!$E15:$Z15)=0,0,MAX(0,IF((AX$6-$E$3)&lt;1,0,IFERROR(LOOKUP(2,1/(Sorgo!$E15:INDEX(Sorgo!$E15:$Z15,MIN(AX$6-$E$3,22))&lt;&gt;""),Sorgo!$E15:INDEX(Sorgo!$E15:$Z15,MIN(AX$6-$E$3,22))),0))-IF($G$2,0,IF((AX$6-$G$3)&lt;1,0,IFERROR(LOOKUP(2,1/(Sorgo!$E15:INDEX(Sorgo!$E15:$Z15,MIN(AX$6-$G$3,22))&lt;&gt;""),Sorgo!$E15:INDEX(Sorgo!$E15:$Z15,MIN(AX$6-$G$3,22))),0)))))</f>
        <v>0</v>
      </c>
      <c r="AY17" s="27" t="n">
        <f aca="false">IF(COUNT(Sorgo!$E15:$Z15)=0,0,MAX(0,IF((AY$6-$E$3)&lt;1,0,IFERROR(LOOKUP(2,1/(Sorgo!$E15:INDEX(Sorgo!$E15:$Z15,MIN(AY$6-$E$3,22))&lt;&gt;""),Sorgo!$E15:INDEX(Sorgo!$E15:$Z15,MIN(AY$6-$E$3,22))),0))-IF($G$2,0,IF((AY$6-$G$3)&lt;1,0,IFERROR(LOOKUP(2,1/(Sorgo!$E15:INDEX(Sorgo!$E15:$Z15,MIN(AY$6-$G$3,22))&lt;&gt;""),Sorgo!$E15:INDEX(Sorgo!$E15:$Z15,MIN(AY$6-$G$3,22))),0)))))</f>
        <v>0</v>
      </c>
      <c r="AZ17" s="27" t="n">
        <f aca="false">IF(COUNT(Sorgo!$E15:$Z15)=0,0,MAX(0,IF((AZ$6-$E$3)&lt;1,0,IFERROR(LOOKUP(2,1/(Sorgo!$E15:INDEX(Sorgo!$E15:$Z15,MIN(AZ$6-$E$3,22))&lt;&gt;""),Sorgo!$E15:INDEX(Sorgo!$E15:$Z15,MIN(AZ$6-$E$3,22))),0))-IF($G$2,0,IF((AZ$6-$G$3)&lt;1,0,IFERROR(LOOKUP(2,1/(Sorgo!$E15:INDEX(Sorgo!$E15:$Z15,MIN(AZ$6-$G$3,22))&lt;&gt;""),Sorgo!$E15:INDEX(Sorgo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IF(COUNT(Sorgo!$E16:$Z16)&gt;0,N(Sorgo!$D16),0)</f>
        <v>0</v>
      </c>
      <c r="E18" s="27" t="n">
        <f aca="false">IF(COUNT(Sorgo!$E16:$Z16)=0,0,MAX(0,IF((E$6-$E$3)&lt;1,0,IFERROR(LOOKUP(2,1/(Sorgo!$E16:INDEX(Sorgo!$E16:$Z16,MIN(E$6-$E$3,22))&lt;&gt;""),Sorgo!$E16:INDEX(Sorgo!$E16:$Z16,MIN(E$6-$E$3,22))),0))-IF($G$2,0,IF((E$6-$G$3)&lt;1,0,IFERROR(LOOKUP(2,1/(Sorgo!$E16:INDEX(Sorgo!$E16:$Z16,MIN(E$6-$G$3,22))&lt;&gt;""),Sorgo!$E16:INDEX(Sorgo!$E16:$Z16,MIN(E$6-$G$3,22))),0)))))</f>
        <v>0</v>
      </c>
      <c r="F18" s="27" t="n">
        <f aca="false">IF(COUNT(Sorgo!$E16:$Z16)=0,0,MAX(0,IF((F$6-$E$3)&lt;1,0,IFERROR(LOOKUP(2,1/(Sorgo!$E16:INDEX(Sorgo!$E16:$Z16,MIN(F$6-$E$3,22))&lt;&gt;""),Sorgo!$E16:INDEX(Sorgo!$E16:$Z16,MIN(F$6-$E$3,22))),0))-IF($G$2,0,IF((F$6-$G$3)&lt;1,0,IFERROR(LOOKUP(2,1/(Sorgo!$E16:INDEX(Sorgo!$E16:$Z16,MIN(F$6-$G$3,22))&lt;&gt;""),Sorgo!$E16:INDEX(Sorgo!$E16:$Z16,MIN(F$6-$G$3,22))),0)))))</f>
        <v>0</v>
      </c>
      <c r="G18" s="27" t="n">
        <f aca="false">IF(COUNT(Sorgo!$E16:$Z16)=0,0,MAX(0,IF((G$6-$E$3)&lt;1,0,IFERROR(LOOKUP(2,1/(Sorgo!$E16:INDEX(Sorgo!$E16:$Z16,MIN(G$6-$E$3,22))&lt;&gt;""),Sorgo!$E16:INDEX(Sorgo!$E16:$Z16,MIN(G$6-$E$3,22))),0))-IF($G$2,0,IF((G$6-$G$3)&lt;1,0,IFERROR(LOOKUP(2,1/(Sorgo!$E16:INDEX(Sorgo!$E16:$Z16,MIN(G$6-$G$3,22))&lt;&gt;""),Sorgo!$E16:INDEX(Sorgo!$E16:$Z16,MIN(G$6-$G$3,22))),0)))))</f>
        <v>0</v>
      </c>
      <c r="H18" s="27" t="n">
        <f aca="false">IF(COUNT(Sorgo!$E16:$Z16)=0,0,MAX(0,IF((H$6-$E$3)&lt;1,0,IFERROR(LOOKUP(2,1/(Sorgo!$E16:INDEX(Sorgo!$E16:$Z16,MIN(H$6-$E$3,22))&lt;&gt;""),Sorgo!$E16:INDEX(Sorgo!$E16:$Z16,MIN(H$6-$E$3,22))),0))-IF($G$2,0,IF((H$6-$G$3)&lt;1,0,IFERROR(LOOKUP(2,1/(Sorgo!$E16:INDEX(Sorgo!$E16:$Z16,MIN(H$6-$G$3,22))&lt;&gt;""),Sorgo!$E16:INDEX(Sorgo!$E16:$Z16,MIN(H$6-$G$3,22))),0)))))</f>
        <v>0</v>
      </c>
      <c r="I18" s="27" t="n">
        <f aca="false">IF(COUNT(Sorgo!$E16:$Z16)=0,0,MAX(0,IF((I$6-$E$3)&lt;1,0,IFERROR(LOOKUP(2,1/(Sorgo!$E16:INDEX(Sorgo!$E16:$Z16,MIN(I$6-$E$3,22))&lt;&gt;""),Sorgo!$E16:INDEX(Sorgo!$E16:$Z16,MIN(I$6-$E$3,22))),0))-IF($G$2,0,IF((I$6-$G$3)&lt;1,0,IFERROR(LOOKUP(2,1/(Sorgo!$E16:INDEX(Sorgo!$E16:$Z16,MIN(I$6-$G$3,22))&lt;&gt;""),Sorgo!$E16:INDEX(Sorgo!$E16:$Z16,MIN(I$6-$G$3,22))),0)))))</f>
        <v>0</v>
      </c>
      <c r="J18" s="27" t="n">
        <f aca="false">IF(COUNT(Sorgo!$E16:$Z16)=0,0,MAX(0,IF((J$6-$E$3)&lt;1,0,IFERROR(LOOKUP(2,1/(Sorgo!$E16:INDEX(Sorgo!$E16:$Z16,MIN(J$6-$E$3,22))&lt;&gt;""),Sorgo!$E16:INDEX(Sorgo!$E16:$Z16,MIN(J$6-$E$3,22))),0))-IF($G$2,0,IF((J$6-$G$3)&lt;1,0,IFERROR(LOOKUP(2,1/(Sorgo!$E16:INDEX(Sorgo!$E16:$Z16,MIN(J$6-$G$3,22))&lt;&gt;""),Sorgo!$E16:INDEX(Sorgo!$E16:$Z16,MIN(J$6-$G$3,22))),0)))))</f>
        <v>0</v>
      </c>
      <c r="K18" s="27" t="n">
        <f aca="false">IF(COUNT(Sorgo!$E16:$Z16)=0,0,MAX(0,IF((K$6-$E$3)&lt;1,0,IFERROR(LOOKUP(2,1/(Sorgo!$E16:INDEX(Sorgo!$E16:$Z16,MIN(K$6-$E$3,22))&lt;&gt;""),Sorgo!$E16:INDEX(Sorgo!$E16:$Z16,MIN(K$6-$E$3,22))),0))-IF($G$2,0,IF((K$6-$G$3)&lt;1,0,IFERROR(LOOKUP(2,1/(Sorgo!$E16:INDEX(Sorgo!$E16:$Z16,MIN(K$6-$G$3,22))&lt;&gt;""),Sorgo!$E16:INDEX(Sorgo!$E16:$Z16,MIN(K$6-$G$3,22))),0)))))</f>
        <v>0</v>
      </c>
      <c r="L18" s="27" t="n">
        <f aca="false">IF(COUNT(Sorgo!$E16:$Z16)=0,0,MAX(0,IF((L$6-$E$3)&lt;1,0,IFERROR(LOOKUP(2,1/(Sorgo!$E16:INDEX(Sorgo!$E16:$Z16,MIN(L$6-$E$3,22))&lt;&gt;""),Sorgo!$E16:INDEX(Sorgo!$E16:$Z16,MIN(L$6-$E$3,22))),0))-IF($G$2,0,IF((L$6-$G$3)&lt;1,0,IFERROR(LOOKUP(2,1/(Sorgo!$E16:INDEX(Sorgo!$E16:$Z16,MIN(L$6-$G$3,22))&lt;&gt;""),Sorgo!$E16:INDEX(Sorgo!$E16:$Z16,MIN(L$6-$G$3,22))),0)))))</f>
        <v>0</v>
      </c>
      <c r="M18" s="27" t="n">
        <f aca="false">IF(COUNT(Sorgo!$E16:$Z16)=0,0,MAX(0,IF((M$6-$E$3)&lt;1,0,IFERROR(LOOKUP(2,1/(Sorgo!$E16:INDEX(Sorgo!$E16:$Z16,MIN(M$6-$E$3,22))&lt;&gt;""),Sorgo!$E16:INDEX(Sorgo!$E16:$Z16,MIN(M$6-$E$3,22))),0))-IF($G$2,0,IF((M$6-$G$3)&lt;1,0,IFERROR(LOOKUP(2,1/(Sorgo!$E16:INDEX(Sorgo!$E16:$Z16,MIN(M$6-$G$3,22))&lt;&gt;""),Sorgo!$E16:INDEX(Sorgo!$E16:$Z16,MIN(M$6-$G$3,22))),0)))))</f>
        <v>0</v>
      </c>
      <c r="N18" s="27" t="n">
        <f aca="false">IF(COUNT(Sorgo!$E16:$Z16)=0,0,MAX(0,IF((N$6-$E$3)&lt;1,0,IFERROR(LOOKUP(2,1/(Sorgo!$E16:INDEX(Sorgo!$E16:$Z16,MIN(N$6-$E$3,22))&lt;&gt;""),Sorgo!$E16:INDEX(Sorgo!$E16:$Z16,MIN(N$6-$E$3,22))),0))-IF($G$2,0,IF((N$6-$G$3)&lt;1,0,IFERROR(LOOKUP(2,1/(Sorgo!$E16:INDEX(Sorgo!$E16:$Z16,MIN(N$6-$G$3,22))&lt;&gt;""),Sorgo!$E16:INDEX(Sorgo!$E16:$Z16,MIN(N$6-$G$3,22))),0)))))</f>
        <v>0</v>
      </c>
      <c r="O18" s="27" t="n">
        <f aca="false">IF(COUNT(Sorgo!$E16:$Z16)=0,0,MAX(0,IF((O$6-$E$3)&lt;1,0,IFERROR(LOOKUP(2,1/(Sorgo!$E16:INDEX(Sorgo!$E16:$Z16,MIN(O$6-$E$3,22))&lt;&gt;""),Sorgo!$E16:INDEX(Sorgo!$E16:$Z16,MIN(O$6-$E$3,22))),0))-IF($G$2,0,IF((O$6-$G$3)&lt;1,0,IFERROR(LOOKUP(2,1/(Sorgo!$E16:INDEX(Sorgo!$E16:$Z16,MIN(O$6-$G$3,22))&lt;&gt;""),Sorgo!$E16:INDEX(Sorgo!$E16:$Z16,MIN(O$6-$G$3,22))),0)))))</f>
        <v>0</v>
      </c>
      <c r="P18" s="27" t="n">
        <f aca="false">IF(COUNT(Sorgo!$E16:$Z16)=0,0,MAX(0,IF((P$6-$E$3)&lt;1,0,IFERROR(LOOKUP(2,1/(Sorgo!$E16:INDEX(Sorgo!$E16:$Z16,MIN(P$6-$E$3,22))&lt;&gt;""),Sorgo!$E16:INDEX(Sorgo!$E16:$Z16,MIN(P$6-$E$3,22))),0))-IF($G$2,0,IF((P$6-$G$3)&lt;1,0,IFERROR(LOOKUP(2,1/(Sorgo!$E16:INDEX(Sorgo!$E16:$Z16,MIN(P$6-$G$3,22))&lt;&gt;""),Sorgo!$E16:INDEX(Sorgo!$E16:$Z16,MIN(P$6-$G$3,22))),0)))))</f>
        <v>0</v>
      </c>
      <c r="Q18" s="27" t="n">
        <f aca="false">IF(COUNT(Sorgo!$E16:$Z16)=0,0,MAX(0,IF((Q$6-$E$3)&lt;1,0,IFERROR(LOOKUP(2,1/(Sorgo!$E16:INDEX(Sorgo!$E16:$Z16,MIN(Q$6-$E$3,22))&lt;&gt;""),Sorgo!$E16:INDEX(Sorgo!$E16:$Z16,MIN(Q$6-$E$3,22))),0))-IF($G$2,0,IF((Q$6-$G$3)&lt;1,0,IFERROR(LOOKUP(2,1/(Sorgo!$E16:INDEX(Sorgo!$E16:$Z16,MIN(Q$6-$G$3,22))&lt;&gt;""),Sorgo!$E16:INDEX(Sorgo!$E16:$Z16,MIN(Q$6-$G$3,22))),0)))))</f>
        <v>0</v>
      </c>
      <c r="R18" s="27" t="n">
        <f aca="false">IF(COUNT(Sorgo!$E16:$Z16)=0,0,MAX(0,IF((R$6-$E$3)&lt;1,0,IFERROR(LOOKUP(2,1/(Sorgo!$E16:INDEX(Sorgo!$E16:$Z16,MIN(R$6-$E$3,22))&lt;&gt;""),Sorgo!$E16:INDEX(Sorgo!$E16:$Z16,MIN(R$6-$E$3,22))),0))-IF($G$2,0,IF((R$6-$G$3)&lt;1,0,IFERROR(LOOKUP(2,1/(Sorgo!$E16:INDEX(Sorgo!$E16:$Z16,MIN(R$6-$G$3,22))&lt;&gt;""),Sorgo!$E16:INDEX(Sorgo!$E16:$Z16,MIN(R$6-$G$3,22))),0)))))</f>
        <v>0</v>
      </c>
      <c r="S18" s="27" t="n">
        <f aca="false">IF(COUNT(Sorgo!$E16:$Z16)=0,0,MAX(0,IF((S$6-$E$3)&lt;1,0,IFERROR(LOOKUP(2,1/(Sorgo!$E16:INDEX(Sorgo!$E16:$Z16,MIN(S$6-$E$3,22))&lt;&gt;""),Sorgo!$E16:INDEX(Sorgo!$E16:$Z16,MIN(S$6-$E$3,22))),0))-IF($G$2,0,IF((S$6-$G$3)&lt;1,0,IFERROR(LOOKUP(2,1/(Sorgo!$E16:INDEX(Sorgo!$E16:$Z16,MIN(S$6-$G$3,22))&lt;&gt;""),Sorgo!$E16:INDEX(Sorgo!$E16:$Z16,MIN(S$6-$G$3,22))),0)))))</f>
        <v>0</v>
      </c>
      <c r="T18" s="27" t="n">
        <f aca="false">IF(COUNT(Sorgo!$E16:$Z16)=0,0,MAX(0,IF((T$6-$E$3)&lt;1,0,IFERROR(LOOKUP(2,1/(Sorgo!$E16:INDEX(Sorgo!$E16:$Z16,MIN(T$6-$E$3,22))&lt;&gt;""),Sorgo!$E16:INDEX(Sorgo!$E16:$Z16,MIN(T$6-$E$3,22))),0))-IF($G$2,0,IF((T$6-$G$3)&lt;1,0,IFERROR(LOOKUP(2,1/(Sorgo!$E16:INDEX(Sorgo!$E16:$Z16,MIN(T$6-$G$3,22))&lt;&gt;""),Sorgo!$E16:INDEX(Sorgo!$E16:$Z16,MIN(T$6-$G$3,22))),0)))))</f>
        <v>0</v>
      </c>
      <c r="U18" s="27" t="n">
        <f aca="false">IF(COUNT(Sorgo!$E16:$Z16)=0,0,MAX(0,IF((U$6-$E$3)&lt;1,0,IFERROR(LOOKUP(2,1/(Sorgo!$E16:INDEX(Sorgo!$E16:$Z16,MIN(U$6-$E$3,22))&lt;&gt;""),Sorgo!$E16:INDEX(Sorgo!$E16:$Z16,MIN(U$6-$E$3,22))),0))-IF($G$2,0,IF((U$6-$G$3)&lt;1,0,IFERROR(LOOKUP(2,1/(Sorgo!$E16:INDEX(Sorgo!$E16:$Z16,MIN(U$6-$G$3,22))&lt;&gt;""),Sorgo!$E16:INDEX(Sorgo!$E16:$Z16,MIN(U$6-$G$3,22))),0)))))</f>
        <v>0</v>
      </c>
      <c r="V18" s="27" t="n">
        <f aca="false">IF(COUNT(Sorgo!$E16:$Z16)=0,0,MAX(0,IF((V$6-$E$3)&lt;1,0,IFERROR(LOOKUP(2,1/(Sorgo!$E16:INDEX(Sorgo!$E16:$Z16,MIN(V$6-$E$3,22))&lt;&gt;""),Sorgo!$E16:INDEX(Sorgo!$E16:$Z16,MIN(V$6-$E$3,22))),0))-IF($G$2,0,IF((V$6-$G$3)&lt;1,0,IFERROR(LOOKUP(2,1/(Sorgo!$E16:INDEX(Sorgo!$E16:$Z16,MIN(V$6-$G$3,22))&lt;&gt;""),Sorgo!$E16:INDEX(Sorgo!$E16:$Z16,MIN(V$6-$G$3,22))),0)))))</f>
        <v>0</v>
      </c>
      <c r="W18" s="27" t="n">
        <f aca="false">IF(COUNT(Sorgo!$E16:$Z16)=0,0,MAX(0,IF((W$6-$E$3)&lt;1,0,IFERROR(LOOKUP(2,1/(Sorgo!$E16:INDEX(Sorgo!$E16:$Z16,MIN(W$6-$E$3,22))&lt;&gt;""),Sorgo!$E16:INDEX(Sorgo!$E16:$Z16,MIN(W$6-$E$3,22))),0))-IF($G$2,0,IF((W$6-$G$3)&lt;1,0,IFERROR(LOOKUP(2,1/(Sorgo!$E16:INDEX(Sorgo!$E16:$Z16,MIN(W$6-$G$3,22))&lt;&gt;""),Sorgo!$E16:INDEX(Sorgo!$E16:$Z16,MIN(W$6-$G$3,22))),0)))))</f>
        <v>0</v>
      </c>
      <c r="X18" s="27" t="n">
        <f aca="false">IF(COUNT(Sorgo!$E16:$Z16)=0,0,MAX(0,IF((X$6-$E$3)&lt;1,0,IFERROR(LOOKUP(2,1/(Sorgo!$E16:INDEX(Sorgo!$E16:$Z16,MIN(X$6-$E$3,22))&lt;&gt;""),Sorgo!$E16:INDEX(Sorgo!$E16:$Z16,MIN(X$6-$E$3,22))),0))-IF($G$2,0,IF((X$6-$G$3)&lt;1,0,IFERROR(LOOKUP(2,1/(Sorgo!$E16:INDEX(Sorgo!$E16:$Z16,MIN(X$6-$G$3,22))&lt;&gt;""),Sorgo!$E16:INDEX(Sorgo!$E16:$Z16,MIN(X$6-$G$3,22))),0)))))</f>
        <v>0</v>
      </c>
      <c r="Y18" s="27" t="n">
        <f aca="false">IF(COUNT(Sorgo!$E16:$Z16)=0,0,MAX(0,IF((Y$6-$E$3)&lt;1,0,IFERROR(LOOKUP(2,1/(Sorgo!$E16:INDEX(Sorgo!$E16:$Z16,MIN(Y$6-$E$3,22))&lt;&gt;""),Sorgo!$E16:INDEX(Sorgo!$E16:$Z16,MIN(Y$6-$E$3,22))),0))-IF($G$2,0,IF((Y$6-$G$3)&lt;1,0,IFERROR(LOOKUP(2,1/(Sorgo!$E16:INDEX(Sorgo!$E16:$Z16,MIN(Y$6-$G$3,22))&lt;&gt;""),Sorgo!$E16:INDEX(Sorgo!$E16:$Z16,MIN(Y$6-$G$3,22))),0)))))</f>
        <v>0</v>
      </c>
      <c r="Z18" s="27" t="n">
        <f aca="false">IF(COUNT(Sorgo!$E16:$Z16)=0,0,MAX(0,IF((Z$6-$E$3)&lt;1,0,IFERROR(LOOKUP(2,1/(Sorgo!$E16:INDEX(Sorgo!$E16:$Z16,MIN(Z$6-$E$3,22))&lt;&gt;""),Sorgo!$E16:INDEX(Sorgo!$E16:$Z16,MIN(Z$6-$E$3,22))),0))-IF($G$2,0,IF((Z$6-$G$3)&lt;1,0,IFERROR(LOOKUP(2,1/(Sorgo!$E16:INDEX(Sorgo!$E16:$Z16,MIN(Z$6-$G$3,22))&lt;&gt;""),Sorgo!$E16:INDEX(Sorgo!$E16:$Z16,MIN(Z$6-$G$3,22))),0)))))</f>
        <v>0</v>
      </c>
      <c r="AA18" s="27" t="n">
        <f aca="false">IF(COUNT(Sorgo!$E16:$Z16)=0,0,MAX(0,IF((AA$6-$E$3)&lt;1,0,IFERROR(LOOKUP(2,1/(Sorgo!$E16:INDEX(Sorgo!$E16:$Z16,MIN(AA$6-$E$3,22))&lt;&gt;""),Sorgo!$E16:INDEX(Sorgo!$E16:$Z16,MIN(AA$6-$E$3,22))),0))-IF($G$2,0,IF((AA$6-$G$3)&lt;1,0,IFERROR(LOOKUP(2,1/(Sorgo!$E16:INDEX(Sorgo!$E16:$Z16,MIN(AA$6-$G$3,22))&lt;&gt;""),Sorgo!$E16:INDEX(Sorgo!$E16:$Z16,MIN(AA$6-$G$3,22))),0)))))</f>
        <v>0</v>
      </c>
      <c r="AB18" s="27" t="n">
        <f aca="false">IF(COUNT(Sorgo!$E16:$Z16)=0,0,MAX(0,IF((AB$6-$E$3)&lt;1,0,IFERROR(LOOKUP(2,1/(Sorgo!$E16:INDEX(Sorgo!$E16:$Z16,MIN(AB$6-$E$3,22))&lt;&gt;""),Sorgo!$E16:INDEX(Sorgo!$E16:$Z16,MIN(AB$6-$E$3,22))),0))-IF($G$2,0,IF((AB$6-$G$3)&lt;1,0,IFERROR(LOOKUP(2,1/(Sorgo!$E16:INDEX(Sorgo!$E16:$Z16,MIN(AB$6-$G$3,22))&lt;&gt;""),Sorgo!$E16:INDEX(Sorgo!$E16:$Z16,MIN(AB$6-$G$3,22))),0)))))</f>
        <v>0</v>
      </c>
      <c r="AC18" s="27" t="n">
        <f aca="false">IF(COUNT(Sorgo!$E16:$Z16)=0,0,MAX(0,IF((AC$6-$E$3)&lt;1,0,IFERROR(LOOKUP(2,1/(Sorgo!$E16:INDEX(Sorgo!$E16:$Z16,MIN(AC$6-$E$3,22))&lt;&gt;""),Sorgo!$E16:INDEX(Sorgo!$E16:$Z16,MIN(AC$6-$E$3,22))),0))-IF($G$2,0,IF((AC$6-$G$3)&lt;1,0,IFERROR(LOOKUP(2,1/(Sorgo!$E16:INDEX(Sorgo!$E16:$Z16,MIN(AC$6-$G$3,22))&lt;&gt;""),Sorgo!$E16:INDEX(Sorgo!$E16:$Z16,MIN(AC$6-$G$3,22))),0)))))</f>
        <v>0</v>
      </c>
      <c r="AD18" s="27" t="n">
        <f aca="false">IF(COUNT(Sorgo!$E16:$Z16)=0,0,MAX(0,IF((AD$6-$E$3)&lt;1,0,IFERROR(LOOKUP(2,1/(Sorgo!$E16:INDEX(Sorgo!$E16:$Z16,MIN(AD$6-$E$3,22))&lt;&gt;""),Sorgo!$E16:INDEX(Sorgo!$E16:$Z16,MIN(AD$6-$E$3,22))),0))-IF($G$2,0,IF((AD$6-$G$3)&lt;1,0,IFERROR(LOOKUP(2,1/(Sorgo!$E16:INDEX(Sorgo!$E16:$Z16,MIN(AD$6-$G$3,22))&lt;&gt;""),Sorgo!$E16:INDEX(Sorgo!$E16:$Z16,MIN(AD$6-$G$3,22))),0)))))</f>
        <v>0</v>
      </c>
      <c r="AE18" s="27" t="n">
        <f aca="false">IF(COUNT(Sorgo!$E16:$Z16)=0,0,MAX(0,IF((AE$6-$E$3)&lt;1,0,IFERROR(LOOKUP(2,1/(Sorgo!$E16:INDEX(Sorgo!$E16:$Z16,MIN(AE$6-$E$3,22))&lt;&gt;""),Sorgo!$E16:INDEX(Sorgo!$E16:$Z16,MIN(AE$6-$E$3,22))),0))-IF($G$2,0,IF((AE$6-$G$3)&lt;1,0,IFERROR(LOOKUP(2,1/(Sorgo!$E16:INDEX(Sorgo!$E16:$Z16,MIN(AE$6-$G$3,22))&lt;&gt;""),Sorgo!$E16:INDEX(Sorgo!$E16:$Z16,MIN(AE$6-$G$3,22))),0)))))</f>
        <v>0</v>
      </c>
      <c r="AF18" s="27" t="n">
        <f aca="false">IF(COUNT(Sorgo!$E16:$Z16)=0,0,MAX(0,IF((AF$6-$E$3)&lt;1,0,IFERROR(LOOKUP(2,1/(Sorgo!$E16:INDEX(Sorgo!$E16:$Z16,MIN(AF$6-$E$3,22))&lt;&gt;""),Sorgo!$E16:INDEX(Sorgo!$E16:$Z16,MIN(AF$6-$E$3,22))),0))-IF($G$2,0,IF((AF$6-$G$3)&lt;1,0,IFERROR(LOOKUP(2,1/(Sorgo!$E16:INDEX(Sorgo!$E16:$Z16,MIN(AF$6-$G$3,22))&lt;&gt;""),Sorgo!$E16:INDEX(Sorgo!$E16:$Z16,MIN(AF$6-$G$3,22))),0)))))</f>
        <v>0</v>
      </c>
      <c r="AG18" s="27" t="n">
        <f aca="false">IF(COUNT(Sorgo!$E16:$Z16)=0,0,MAX(0,IF((AG$6-$E$3)&lt;1,0,IFERROR(LOOKUP(2,1/(Sorgo!$E16:INDEX(Sorgo!$E16:$Z16,MIN(AG$6-$E$3,22))&lt;&gt;""),Sorgo!$E16:INDEX(Sorgo!$E16:$Z16,MIN(AG$6-$E$3,22))),0))-IF($G$2,0,IF((AG$6-$G$3)&lt;1,0,IFERROR(LOOKUP(2,1/(Sorgo!$E16:INDEX(Sorgo!$E16:$Z16,MIN(AG$6-$G$3,22))&lt;&gt;""),Sorgo!$E16:INDEX(Sorgo!$E16:$Z16,MIN(AG$6-$G$3,22))),0)))))</f>
        <v>0</v>
      </c>
      <c r="AH18" s="27" t="n">
        <f aca="false">IF(COUNT(Sorgo!$E16:$Z16)=0,0,MAX(0,IF((AH$6-$E$3)&lt;1,0,IFERROR(LOOKUP(2,1/(Sorgo!$E16:INDEX(Sorgo!$E16:$Z16,MIN(AH$6-$E$3,22))&lt;&gt;""),Sorgo!$E16:INDEX(Sorgo!$E16:$Z16,MIN(AH$6-$E$3,22))),0))-IF($G$2,0,IF((AH$6-$G$3)&lt;1,0,IFERROR(LOOKUP(2,1/(Sorgo!$E16:INDEX(Sorgo!$E16:$Z16,MIN(AH$6-$G$3,22))&lt;&gt;""),Sorgo!$E16:INDEX(Sorgo!$E16:$Z16,MIN(AH$6-$G$3,22))),0)))))</f>
        <v>0</v>
      </c>
      <c r="AI18" s="27" t="n">
        <f aca="false">IF(COUNT(Sorgo!$E16:$Z16)=0,0,MAX(0,IF((AI$6-$E$3)&lt;1,0,IFERROR(LOOKUP(2,1/(Sorgo!$E16:INDEX(Sorgo!$E16:$Z16,MIN(AI$6-$E$3,22))&lt;&gt;""),Sorgo!$E16:INDEX(Sorgo!$E16:$Z16,MIN(AI$6-$E$3,22))),0))-IF($G$2,0,IF((AI$6-$G$3)&lt;1,0,IFERROR(LOOKUP(2,1/(Sorgo!$E16:INDEX(Sorgo!$E16:$Z16,MIN(AI$6-$G$3,22))&lt;&gt;""),Sorgo!$E16:INDEX(Sorgo!$E16:$Z16,MIN(AI$6-$G$3,22))),0)))))</f>
        <v>0</v>
      </c>
      <c r="AJ18" s="27" t="n">
        <f aca="false">IF(COUNT(Sorgo!$E16:$Z16)=0,0,MAX(0,IF((AJ$6-$E$3)&lt;1,0,IFERROR(LOOKUP(2,1/(Sorgo!$E16:INDEX(Sorgo!$E16:$Z16,MIN(AJ$6-$E$3,22))&lt;&gt;""),Sorgo!$E16:INDEX(Sorgo!$E16:$Z16,MIN(AJ$6-$E$3,22))),0))-IF($G$2,0,IF((AJ$6-$G$3)&lt;1,0,IFERROR(LOOKUP(2,1/(Sorgo!$E16:INDEX(Sorgo!$E16:$Z16,MIN(AJ$6-$G$3,22))&lt;&gt;""),Sorgo!$E16:INDEX(Sorgo!$E16:$Z16,MIN(AJ$6-$G$3,22))),0)))))</f>
        <v>0</v>
      </c>
      <c r="AK18" s="27" t="n">
        <f aca="false">IF(COUNT(Sorgo!$E16:$Z16)=0,0,MAX(0,IF((AK$6-$E$3)&lt;1,0,IFERROR(LOOKUP(2,1/(Sorgo!$E16:INDEX(Sorgo!$E16:$Z16,MIN(AK$6-$E$3,22))&lt;&gt;""),Sorgo!$E16:INDEX(Sorgo!$E16:$Z16,MIN(AK$6-$E$3,22))),0))-IF($G$2,0,IF((AK$6-$G$3)&lt;1,0,IFERROR(LOOKUP(2,1/(Sorgo!$E16:INDEX(Sorgo!$E16:$Z16,MIN(AK$6-$G$3,22))&lt;&gt;""),Sorgo!$E16:INDEX(Sorgo!$E16:$Z16,MIN(AK$6-$G$3,22))),0)))))</f>
        <v>0</v>
      </c>
      <c r="AL18" s="27" t="n">
        <f aca="false">IF(COUNT(Sorgo!$E16:$Z16)=0,0,MAX(0,IF((AL$6-$E$3)&lt;1,0,IFERROR(LOOKUP(2,1/(Sorgo!$E16:INDEX(Sorgo!$E16:$Z16,MIN(AL$6-$E$3,22))&lt;&gt;""),Sorgo!$E16:INDEX(Sorgo!$E16:$Z16,MIN(AL$6-$E$3,22))),0))-IF($G$2,0,IF((AL$6-$G$3)&lt;1,0,IFERROR(LOOKUP(2,1/(Sorgo!$E16:INDEX(Sorgo!$E16:$Z16,MIN(AL$6-$G$3,22))&lt;&gt;""),Sorgo!$E16:INDEX(Sorgo!$E16:$Z16,MIN(AL$6-$G$3,22))),0)))))</f>
        <v>0</v>
      </c>
      <c r="AM18" s="27" t="n">
        <f aca="false">IF(COUNT(Sorgo!$E16:$Z16)=0,0,MAX(0,IF((AM$6-$E$3)&lt;1,0,IFERROR(LOOKUP(2,1/(Sorgo!$E16:INDEX(Sorgo!$E16:$Z16,MIN(AM$6-$E$3,22))&lt;&gt;""),Sorgo!$E16:INDEX(Sorgo!$E16:$Z16,MIN(AM$6-$E$3,22))),0))-IF($G$2,0,IF((AM$6-$G$3)&lt;1,0,IFERROR(LOOKUP(2,1/(Sorgo!$E16:INDEX(Sorgo!$E16:$Z16,MIN(AM$6-$G$3,22))&lt;&gt;""),Sorgo!$E16:INDEX(Sorgo!$E16:$Z16,MIN(AM$6-$G$3,22))),0)))))</f>
        <v>0</v>
      </c>
      <c r="AN18" s="27" t="n">
        <f aca="false">IF(COUNT(Sorgo!$E16:$Z16)=0,0,MAX(0,IF((AN$6-$E$3)&lt;1,0,IFERROR(LOOKUP(2,1/(Sorgo!$E16:INDEX(Sorgo!$E16:$Z16,MIN(AN$6-$E$3,22))&lt;&gt;""),Sorgo!$E16:INDEX(Sorgo!$E16:$Z16,MIN(AN$6-$E$3,22))),0))-IF($G$2,0,IF((AN$6-$G$3)&lt;1,0,IFERROR(LOOKUP(2,1/(Sorgo!$E16:INDEX(Sorgo!$E16:$Z16,MIN(AN$6-$G$3,22))&lt;&gt;""),Sorgo!$E16:INDEX(Sorgo!$E16:$Z16,MIN(AN$6-$G$3,22))),0)))))</f>
        <v>0</v>
      </c>
      <c r="AO18" s="27" t="n">
        <f aca="false">IF(COUNT(Sorgo!$E16:$Z16)=0,0,MAX(0,IF((AO$6-$E$3)&lt;1,0,IFERROR(LOOKUP(2,1/(Sorgo!$E16:INDEX(Sorgo!$E16:$Z16,MIN(AO$6-$E$3,22))&lt;&gt;""),Sorgo!$E16:INDEX(Sorgo!$E16:$Z16,MIN(AO$6-$E$3,22))),0))-IF($G$2,0,IF((AO$6-$G$3)&lt;1,0,IFERROR(LOOKUP(2,1/(Sorgo!$E16:INDEX(Sorgo!$E16:$Z16,MIN(AO$6-$G$3,22))&lt;&gt;""),Sorgo!$E16:INDEX(Sorgo!$E16:$Z16,MIN(AO$6-$G$3,22))),0)))))</f>
        <v>0</v>
      </c>
      <c r="AP18" s="27" t="n">
        <f aca="false">IF(COUNT(Sorgo!$E16:$Z16)=0,0,MAX(0,IF((AP$6-$E$3)&lt;1,0,IFERROR(LOOKUP(2,1/(Sorgo!$E16:INDEX(Sorgo!$E16:$Z16,MIN(AP$6-$E$3,22))&lt;&gt;""),Sorgo!$E16:INDEX(Sorgo!$E16:$Z16,MIN(AP$6-$E$3,22))),0))-IF($G$2,0,IF((AP$6-$G$3)&lt;1,0,IFERROR(LOOKUP(2,1/(Sorgo!$E16:INDEX(Sorgo!$E16:$Z16,MIN(AP$6-$G$3,22))&lt;&gt;""),Sorgo!$E16:INDEX(Sorgo!$E16:$Z16,MIN(AP$6-$G$3,22))),0)))))</f>
        <v>0</v>
      </c>
      <c r="AQ18" s="27" t="n">
        <f aca="false">IF(COUNT(Sorgo!$E16:$Z16)=0,0,MAX(0,IF((AQ$6-$E$3)&lt;1,0,IFERROR(LOOKUP(2,1/(Sorgo!$E16:INDEX(Sorgo!$E16:$Z16,MIN(AQ$6-$E$3,22))&lt;&gt;""),Sorgo!$E16:INDEX(Sorgo!$E16:$Z16,MIN(AQ$6-$E$3,22))),0))-IF($G$2,0,IF((AQ$6-$G$3)&lt;1,0,IFERROR(LOOKUP(2,1/(Sorgo!$E16:INDEX(Sorgo!$E16:$Z16,MIN(AQ$6-$G$3,22))&lt;&gt;""),Sorgo!$E16:INDEX(Sorgo!$E16:$Z16,MIN(AQ$6-$G$3,22))),0)))))</f>
        <v>0</v>
      </c>
      <c r="AR18" s="27" t="n">
        <f aca="false">IF(COUNT(Sorgo!$E16:$Z16)=0,0,MAX(0,IF((AR$6-$E$3)&lt;1,0,IFERROR(LOOKUP(2,1/(Sorgo!$E16:INDEX(Sorgo!$E16:$Z16,MIN(AR$6-$E$3,22))&lt;&gt;""),Sorgo!$E16:INDEX(Sorgo!$E16:$Z16,MIN(AR$6-$E$3,22))),0))-IF($G$2,0,IF((AR$6-$G$3)&lt;1,0,IFERROR(LOOKUP(2,1/(Sorgo!$E16:INDEX(Sorgo!$E16:$Z16,MIN(AR$6-$G$3,22))&lt;&gt;""),Sorgo!$E16:INDEX(Sorgo!$E16:$Z16,MIN(AR$6-$G$3,22))),0)))))</f>
        <v>0</v>
      </c>
      <c r="AS18" s="27" t="n">
        <f aca="false">IF(COUNT(Sorgo!$E16:$Z16)=0,0,MAX(0,IF((AS$6-$E$3)&lt;1,0,IFERROR(LOOKUP(2,1/(Sorgo!$E16:INDEX(Sorgo!$E16:$Z16,MIN(AS$6-$E$3,22))&lt;&gt;""),Sorgo!$E16:INDEX(Sorgo!$E16:$Z16,MIN(AS$6-$E$3,22))),0))-IF($G$2,0,IF((AS$6-$G$3)&lt;1,0,IFERROR(LOOKUP(2,1/(Sorgo!$E16:INDEX(Sorgo!$E16:$Z16,MIN(AS$6-$G$3,22))&lt;&gt;""),Sorgo!$E16:INDEX(Sorgo!$E16:$Z16,MIN(AS$6-$G$3,22))),0)))))</f>
        <v>0</v>
      </c>
      <c r="AT18" s="27" t="n">
        <f aca="false">IF(COUNT(Sorgo!$E16:$Z16)=0,0,MAX(0,IF((AT$6-$E$3)&lt;1,0,IFERROR(LOOKUP(2,1/(Sorgo!$E16:INDEX(Sorgo!$E16:$Z16,MIN(AT$6-$E$3,22))&lt;&gt;""),Sorgo!$E16:INDEX(Sorgo!$E16:$Z16,MIN(AT$6-$E$3,22))),0))-IF($G$2,0,IF((AT$6-$G$3)&lt;1,0,IFERROR(LOOKUP(2,1/(Sorgo!$E16:INDEX(Sorgo!$E16:$Z16,MIN(AT$6-$G$3,22))&lt;&gt;""),Sorgo!$E16:INDEX(Sorgo!$E16:$Z16,MIN(AT$6-$G$3,22))),0)))))</f>
        <v>0</v>
      </c>
      <c r="AU18" s="27" t="n">
        <f aca="false">IF(COUNT(Sorgo!$E16:$Z16)=0,0,MAX(0,IF((AU$6-$E$3)&lt;1,0,IFERROR(LOOKUP(2,1/(Sorgo!$E16:INDEX(Sorgo!$E16:$Z16,MIN(AU$6-$E$3,22))&lt;&gt;""),Sorgo!$E16:INDEX(Sorgo!$E16:$Z16,MIN(AU$6-$E$3,22))),0))-IF($G$2,0,IF((AU$6-$G$3)&lt;1,0,IFERROR(LOOKUP(2,1/(Sorgo!$E16:INDEX(Sorgo!$E16:$Z16,MIN(AU$6-$G$3,22))&lt;&gt;""),Sorgo!$E16:INDEX(Sorgo!$E16:$Z16,MIN(AU$6-$G$3,22))),0)))))</f>
        <v>0</v>
      </c>
      <c r="AV18" s="27" t="n">
        <f aca="false">IF(COUNT(Sorgo!$E16:$Z16)=0,0,MAX(0,IF((AV$6-$E$3)&lt;1,0,IFERROR(LOOKUP(2,1/(Sorgo!$E16:INDEX(Sorgo!$E16:$Z16,MIN(AV$6-$E$3,22))&lt;&gt;""),Sorgo!$E16:INDEX(Sorgo!$E16:$Z16,MIN(AV$6-$E$3,22))),0))-IF($G$2,0,IF((AV$6-$G$3)&lt;1,0,IFERROR(LOOKUP(2,1/(Sorgo!$E16:INDEX(Sorgo!$E16:$Z16,MIN(AV$6-$G$3,22))&lt;&gt;""),Sorgo!$E16:INDEX(Sorgo!$E16:$Z16,MIN(AV$6-$G$3,22))),0)))))</f>
        <v>0</v>
      </c>
      <c r="AW18" s="27" t="n">
        <f aca="false">IF(COUNT(Sorgo!$E16:$Z16)=0,0,MAX(0,IF((AW$6-$E$3)&lt;1,0,IFERROR(LOOKUP(2,1/(Sorgo!$E16:INDEX(Sorgo!$E16:$Z16,MIN(AW$6-$E$3,22))&lt;&gt;""),Sorgo!$E16:INDEX(Sorgo!$E16:$Z16,MIN(AW$6-$E$3,22))),0))-IF($G$2,0,IF((AW$6-$G$3)&lt;1,0,IFERROR(LOOKUP(2,1/(Sorgo!$E16:INDEX(Sorgo!$E16:$Z16,MIN(AW$6-$G$3,22))&lt;&gt;""),Sorgo!$E16:INDEX(Sorgo!$E16:$Z16,MIN(AW$6-$G$3,22))),0)))))</f>
        <v>0</v>
      </c>
      <c r="AX18" s="27" t="n">
        <f aca="false">IF(COUNT(Sorgo!$E16:$Z16)=0,0,MAX(0,IF((AX$6-$E$3)&lt;1,0,IFERROR(LOOKUP(2,1/(Sorgo!$E16:INDEX(Sorgo!$E16:$Z16,MIN(AX$6-$E$3,22))&lt;&gt;""),Sorgo!$E16:INDEX(Sorgo!$E16:$Z16,MIN(AX$6-$E$3,22))),0))-IF($G$2,0,IF((AX$6-$G$3)&lt;1,0,IFERROR(LOOKUP(2,1/(Sorgo!$E16:INDEX(Sorgo!$E16:$Z16,MIN(AX$6-$G$3,22))&lt;&gt;""),Sorgo!$E16:INDEX(Sorgo!$E16:$Z16,MIN(AX$6-$G$3,22))),0)))))</f>
        <v>0</v>
      </c>
      <c r="AY18" s="27" t="n">
        <f aca="false">IF(COUNT(Sorgo!$E16:$Z16)=0,0,MAX(0,IF((AY$6-$E$3)&lt;1,0,IFERROR(LOOKUP(2,1/(Sorgo!$E16:INDEX(Sorgo!$E16:$Z16,MIN(AY$6-$E$3,22))&lt;&gt;""),Sorgo!$E16:INDEX(Sorgo!$E16:$Z16,MIN(AY$6-$E$3,22))),0))-IF($G$2,0,IF((AY$6-$G$3)&lt;1,0,IFERROR(LOOKUP(2,1/(Sorgo!$E16:INDEX(Sorgo!$E16:$Z16,MIN(AY$6-$G$3,22))&lt;&gt;""),Sorgo!$E16:INDEX(Sorgo!$E16:$Z16,MIN(AY$6-$G$3,22))),0)))))</f>
        <v>0</v>
      </c>
      <c r="AZ18" s="27" t="n">
        <f aca="false">IF(COUNT(Sorgo!$E16:$Z16)=0,0,MAX(0,IF((AZ$6-$E$3)&lt;1,0,IFERROR(LOOKUP(2,1/(Sorgo!$E16:INDEX(Sorgo!$E16:$Z16,MIN(AZ$6-$E$3,22))&lt;&gt;""),Sorgo!$E16:INDEX(Sorgo!$E16:$Z16,MIN(AZ$6-$E$3,22))),0))-IF($G$2,0,IF((AZ$6-$G$3)&lt;1,0,IFERROR(LOOKUP(2,1/(Sorgo!$E16:INDEX(Sorgo!$E16:$Z16,MIN(AZ$6-$G$3,22))&lt;&gt;""),Sorgo!$E16:INDEX(Sorgo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IF(COUNT(Sorgo!$E17:$Z17)&gt;0,N(Sorgo!$D17),0)</f>
        <v>0</v>
      </c>
      <c r="E19" s="27" t="n">
        <f aca="false">IF(COUNT(Sorgo!$E17:$Z17)=0,0,MAX(0,IF((E$6-$E$3)&lt;1,0,IFERROR(LOOKUP(2,1/(Sorgo!$E17:INDEX(Sorgo!$E17:$Z17,MIN(E$6-$E$3,22))&lt;&gt;""),Sorgo!$E17:INDEX(Sorgo!$E17:$Z17,MIN(E$6-$E$3,22))),0))-IF($G$2,0,IF((E$6-$G$3)&lt;1,0,IFERROR(LOOKUP(2,1/(Sorgo!$E17:INDEX(Sorgo!$E17:$Z17,MIN(E$6-$G$3,22))&lt;&gt;""),Sorgo!$E17:INDEX(Sorgo!$E17:$Z17,MIN(E$6-$G$3,22))),0)))))</f>
        <v>0</v>
      </c>
      <c r="F19" s="27" t="n">
        <f aca="false">IF(COUNT(Sorgo!$E17:$Z17)=0,0,MAX(0,IF((F$6-$E$3)&lt;1,0,IFERROR(LOOKUP(2,1/(Sorgo!$E17:INDEX(Sorgo!$E17:$Z17,MIN(F$6-$E$3,22))&lt;&gt;""),Sorgo!$E17:INDEX(Sorgo!$E17:$Z17,MIN(F$6-$E$3,22))),0))-IF($G$2,0,IF((F$6-$G$3)&lt;1,0,IFERROR(LOOKUP(2,1/(Sorgo!$E17:INDEX(Sorgo!$E17:$Z17,MIN(F$6-$G$3,22))&lt;&gt;""),Sorgo!$E17:INDEX(Sorgo!$E17:$Z17,MIN(F$6-$G$3,22))),0)))))</f>
        <v>0</v>
      </c>
      <c r="G19" s="27" t="n">
        <f aca="false">IF(COUNT(Sorgo!$E17:$Z17)=0,0,MAX(0,IF((G$6-$E$3)&lt;1,0,IFERROR(LOOKUP(2,1/(Sorgo!$E17:INDEX(Sorgo!$E17:$Z17,MIN(G$6-$E$3,22))&lt;&gt;""),Sorgo!$E17:INDEX(Sorgo!$E17:$Z17,MIN(G$6-$E$3,22))),0))-IF($G$2,0,IF((G$6-$G$3)&lt;1,0,IFERROR(LOOKUP(2,1/(Sorgo!$E17:INDEX(Sorgo!$E17:$Z17,MIN(G$6-$G$3,22))&lt;&gt;""),Sorgo!$E17:INDEX(Sorgo!$E17:$Z17,MIN(G$6-$G$3,22))),0)))))</f>
        <v>0</v>
      </c>
      <c r="H19" s="27" t="n">
        <f aca="false">IF(COUNT(Sorgo!$E17:$Z17)=0,0,MAX(0,IF((H$6-$E$3)&lt;1,0,IFERROR(LOOKUP(2,1/(Sorgo!$E17:INDEX(Sorgo!$E17:$Z17,MIN(H$6-$E$3,22))&lt;&gt;""),Sorgo!$E17:INDEX(Sorgo!$E17:$Z17,MIN(H$6-$E$3,22))),0))-IF($G$2,0,IF((H$6-$G$3)&lt;1,0,IFERROR(LOOKUP(2,1/(Sorgo!$E17:INDEX(Sorgo!$E17:$Z17,MIN(H$6-$G$3,22))&lt;&gt;""),Sorgo!$E17:INDEX(Sorgo!$E17:$Z17,MIN(H$6-$G$3,22))),0)))))</f>
        <v>0</v>
      </c>
      <c r="I19" s="27" t="n">
        <f aca="false">IF(COUNT(Sorgo!$E17:$Z17)=0,0,MAX(0,IF((I$6-$E$3)&lt;1,0,IFERROR(LOOKUP(2,1/(Sorgo!$E17:INDEX(Sorgo!$E17:$Z17,MIN(I$6-$E$3,22))&lt;&gt;""),Sorgo!$E17:INDEX(Sorgo!$E17:$Z17,MIN(I$6-$E$3,22))),0))-IF($G$2,0,IF((I$6-$G$3)&lt;1,0,IFERROR(LOOKUP(2,1/(Sorgo!$E17:INDEX(Sorgo!$E17:$Z17,MIN(I$6-$G$3,22))&lt;&gt;""),Sorgo!$E17:INDEX(Sorgo!$E17:$Z17,MIN(I$6-$G$3,22))),0)))))</f>
        <v>0</v>
      </c>
      <c r="J19" s="27" t="n">
        <f aca="false">IF(COUNT(Sorgo!$E17:$Z17)=0,0,MAX(0,IF((J$6-$E$3)&lt;1,0,IFERROR(LOOKUP(2,1/(Sorgo!$E17:INDEX(Sorgo!$E17:$Z17,MIN(J$6-$E$3,22))&lt;&gt;""),Sorgo!$E17:INDEX(Sorgo!$E17:$Z17,MIN(J$6-$E$3,22))),0))-IF($G$2,0,IF((J$6-$G$3)&lt;1,0,IFERROR(LOOKUP(2,1/(Sorgo!$E17:INDEX(Sorgo!$E17:$Z17,MIN(J$6-$G$3,22))&lt;&gt;""),Sorgo!$E17:INDEX(Sorgo!$E17:$Z17,MIN(J$6-$G$3,22))),0)))))</f>
        <v>0</v>
      </c>
      <c r="K19" s="27" t="n">
        <f aca="false">IF(COUNT(Sorgo!$E17:$Z17)=0,0,MAX(0,IF((K$6-$E$3)&lt;1,0,IFERROR(LOOKUP(2,1/(Sorgo!$E17:INDEX(Sorgo!$E17:$Z17,MIN(K$6-$E$3,22))&lt;&gt;""),Sorgo!$E17:INDEX(Sorgo!$E17:$Z17,MIN(K$6-$E$3,22))),0))-IF($G$2,0,IF((K$6-$G$3)&lt;1,0,IFERROR(LOOKUP(2,1/(Sorgo!$E17:INDEX(Sorgo!$E17:$Z17,MIN(K$6-$G$3,22))&lt;&gt;""),Sorgo!$E17:INDEX(Sorgo!$E17:$Z17,MIN(K$6-$G$3,22))),0)))))</f>
        <v>0</v>
      </c>
      <c r="L19" s="27" t="n">
        <f aca="false">IF(COUNT(Sorgo!$E17:$Z17)=0,0,MAX(0,IF((L$6-$E$3)&lt;1,0,IFERROR(LOOKUP(2,1/(Sorgo!$E17:INDEX(Sorgo!$E17:$Z17,MIN(L$6-$E$3,22))&lt;&gt;""),Sorgo!$E17:INDEX(Sorgo!$E17:$Z17,MIN(L$6-$E$3,22))),0))-IF($G$2,0,IF((L$6-$G$3)&lt;1,0,IFERROR(LOOKUP(2,1/(Sorgo!$E17:INDEX(Sorgo!$E17:$Z17,MIN(L$6-$G$3,22))&lt;&gt;""),Sorgo!$E17:INDEX(Sorgo!$E17:$Z17,MIN(L$6-$G$3,22))),0)))))</f>
        <v>0</v>
      </c>
      <c r="M19" s="27" t="n">
        <f aca="false">IF(COUNT(Sorgo!$E17:$Z17)=0,0,MAX(0,IF((M$6-$E$3)&lt;1,0,IFERROR(LOOKUP(2,1/(Sorgo!$E17:INDEX(Sorgo!$E17:$Z17,MIN(M$6-$E$3,22))&lt;&gt;""),Sorgo!$E17:INDEX(Sorgo!$E17:$Z17,MIN(M$6-$E$3,22))),0))-IF($G$2,0,IF((M$6-$G$3)&lt;1,0,IFERROR(LOOKUP(2,1/(Sorgo!$E17:INDEX(Sorgo!$E17:$Z17,MIN(M$6-$G$3,22))&lt;&gt;""),Sorgo!$E17:INDEX(Sorgo!$E17:$Z17,MIN(M$6-$G$3,22))),0)))))</f>
        <v>0</v>
      </c>
      <c r="N19" s="27" t="n">
        <f aca="false">IF(COUNT(Sorgo!$E17:$Z17)=0,0,MAX(0,IF((N$6-$E$3)&lt;1,0,IFERROR(LOOKUP(2,1/(Sorgo!$E17:INDEX(Sorgo!$E17:$Z17,MIN(N$6-$E$3,22))&lt;&gt;""),Sorgo!$E17:INDEX(Sorgo!$E17:$Z17,MIN(N$6-$E$3,22))),0))-IF($G$2,0,IF((N$6-$G$3)&lt;1,0,IFERROR(LOOKUP(2,1/(Sorgo!$E17:INDEX(Sorgo!$E17:$Z17,MIN(N$6-$G$3,22))&lt;&gt;""),Sorgo!$E17:INDEX(Sorgo!$E17:$Z17,MIN(N$6-$G$3,22))),0)))))</f>
        <v>0</v>
      </c>
      <c r="O19" s="27" t="n">
        <f aca="false">IF(COUNT(Sorgo!$E17:$Z17)=0,0,MAX(0,IF((O$6-$E$3)&lt;1,0,IFERROR(LOOKUP(2,1/(Sorgo!$E17:INDEX(Sorgo!$E17:$Z17,MIN(O$6-$E$3,22))&lt;&gt;""),Sorgo!$E17:INDEX(Sorgo!$E17:$Z17,MIN(O$6-$E$3,22))),0))-IF($G$2,0,IF((O$6-$G$3)&lt;1,0,IFERROR(LOOKUP(2,1/(Sorgo!$E17:INDEX(Sorgo!$E17:$Z17,MIN(O$6-$G$3,22))&lt;&gt;""),Sorgo!$E17:INDEX(Sorgo!$E17:$Z17,MIN(O$6-$G$3,22))),0)))))</f>
        <v>0</v>
      </c>
      <c r="P19" s="27" t="n">
        <f aca="false">IF(COUNT(Sorgo!$E17:$Z17)=0,0,MAX(0,IF((P$6-$E$3)&lt;1,0,IFERROR(LOOKUP(2,1/(Sorgo!$E17:INDEX(Sorgo!$E17:$Z17,MIN(P$6-$E$3,22))&lt;&gt;""),Sorgo!$E17:INDEX(Sorgo!$E17:$Z17,MIN(P$6-$E$3,22))),0))-IF($G$2,0,IF((P$6-$G$3)&lt;1,0,IFERROR(LOOKUP(2,1/(Sorgo!$E17:INDEX(Sorgo!$E17:$Z17,MIN(P$6-$G$3,22))&lt;&gt;""),Sorgo!$E17:INDEX(Sorgo!$E17:$Z17,MIN(P$6-$G$3,22))),0)))))</f>
        <v>0</v>
      </c>
      <c r="Q19" s="27" t="n">
        <f aca="false">IF(COUNT(Sorgo!$E17:$Z17)=0,0,MAX(0,IF((Q$6-$E$3)&lt;1,0,IFERROR(LOOKUP(2,1/(Sorgo!$E17:INDEX(Sorgo!$E17:$Z17,MIN(Q$6-$E$3,22))&lt;&gt;""),Sorgo!$E17:INDEX(Sorgo!$E17:$Z17,MIN(Q$6-$E$3,22))),0))-IF($G$2,0,IF((Q$6-$G$3)&lt;1,0,IFERROR(LOOKUP(2,1/(Sorgo!$E17:INDEX(Sorgo!$E17:$Z17,MIN(Q$6-$G$3,22))&lt;&gt;""),Sorgo!$E17:INDEX(Sorgo!$E17:$Z17,MIN(Q$6-$G$3,22))),0)))))</f>
        <v>0</v>
      </c>
      <c r="R19" s="27" t="n">
        <f aca="false">IF(COUNT(Sorgo!$E17:$Z17)=0,0,MAX(0,IF((R$6-$E$3)&lt;1,0,IFERROR(LOOKUP(2,1/(Sorgo!$E17:INDEX(Sorgo!$E17:$Z17,MIN(R$6-$E$3,22))&lt;&gt;""),Sorgo!$E17:INDEX(Sorgo!$E17:$Z17,MIN(R$6-$E$3,22))),0))-IF($G$2,0,IF((R$6-$G$3)&lt;1,0,IFERROR(LOOKUP(2,1/(Sorgo!$E17:INDEX(Sorgo!$E17:$Z17,MIN(R$6-$G$3,22))&lt;&gt;""),Sorgo!$E17:INDEX(Sorgo!$E17:$Z17,MIN(R$6-$G$3,22))),0)))))</f>
        <v>0</v>
      </c>
      <c r="S19" s="27" t="n">
        <f aca="false">IF(COUNT(Sorgo!$E17:$Z17)=0,0,MAX(0,IF((S$6-$E$3)&lt;1,0,IFERROR(LOOKUP(2,1/(Sorgo!$E17:INDEX(Sorgo!$E17:$Z17,MIN(S$6-$E$3,22))&lt;&gt;""),Sorgo!$E17:INDEX(Sorgo!$E17:$Z17,MIN(S$6-$E$3,22))),0))-IF($G$2,0,IF((S$6-$G$3)&lt;1,0,IFERROR(LOOKUP(2,1/(Sorgo!$E17:INDEX(Sorgo!$E17:$Z17,MIN(S$6-$G$3,22))&lt;&gt;""),Sorgo!$E17:INDEX(Sorgo!$E17:$Z17,MIN(S$6-$G$3,22))),0)))))</f>
        <v>0</v>
      </c>
      <c r="T19" s="27" t="n">
        <f aca="false">IF(COUNT(Sorgo!$E17:$Z17)=0,0,MAX(0,IF((T$6-$E$3)&lt;1,0,IFERROR(LOOKUP(2,1/(Sorgo!$E17:INDEX(Sorgo!$E17:$Z17,MIN(T$6-$E$3,22))&lt;&gt;""),Sorgo!$E17:INDEX(Sorgo!$E17:$Z17,MIN(T$6-$E$3,22))),0))-IF($G$2,0,IF((T$6-$G$3)&lt;1,0,IFERROR(LOOKUP(2,1/(Sorgo!$E17:INDEX(Sorgo!$E17:$Z17,MIN(T$6-$G$3,22))&lt;&gt;""),Sorgo!$E17:INDEX(Sorgo!$E17:$Z17,MIN(T$6-$G$3,22))),0)))))</f>
        <v>0</v>
      </c>
      <c r="U19" s="27" t="n">
        <f aca="false">IF(COUNT(Sorgo!$E17:$Z17)=0,0,MAX(0,IF((U$6-$E$3)&lt;1,0,IFERROR(LOOKUP(2,1/(Sorgo!$E17:INDEX(Sorgo!$E17:$Z17,MIN(U$6-$E$3,22))&lt;&gt;""),Sorgo!$E17:INDEX(Sorgo!$E17:$Z17,MIN(U$6-$E$3,22))),0))-IF($G$2,0,IF((U$6-$G$3)&lt;1,0,IFERROR(LOOKUP(2,1/(Sorgo!$E17:INDEX(Sorgo!$E17:$Z17,MIN(U$6-$G$3,22))&lt;&gt;""),Sorgo!$E17:INDEX(Sorgo!$E17:$Z17,MIN(U$6-$G$3,22))),0)))))</f>
        <v>0</v>
      </c>
      <c r="V19" s="27" t="n">
        <f aca="false">IF(COUNT(Sorgo!$E17:$Z17)=0,0,MAX(0,IF((V$6-$E$3)&lt;1,0,IFERROR(LOOKUP(2,1/(Sorgo!$E17:INDEX(Sorgo!$E17:$Z17,MIN(V$6-$E$3,22))&lt;&gt;""),Sorgo!$E17:INDEX(Sorgo!$E17:$Z17,MIN(V$6-$E$3,22))),0))-IF($G$2,0,IF((V$6-$G$3)&lt;1,0,IFERROR(LOOKUP(2,1/(Sorgo!$E17:INDEX(Sorgo!$E17:$Z17,MIN(V$6-$G$3,22))&lt;&gt;""),Sorgo!$E17:INDEX(Sorgo!$E17:$Z17,MIN(V$6-$G$3,22))),0)))))</f>
        <v>0</v>
      </c>
      <c r="W19" s="27" t="n">
        <f aca="false">IF(COUNT(Sorgo!$E17:$Z17)=0,0,MAX(0,IF((W$6-$E$3)&lt;1,0,IFERROR(LOOKUP(2,1/(Sorgo!$E17:INDEX(Sorgo!$E17:$Z17,MIN(W$6-$E$3,22))&lt;&gt;""),Sorgo!$E17:INDEX(Sorgo!$E17:$Z17,MIN(W$6-$E$3,22))),0))-IF($G$2,0,IF((W$6-$G$3)&lt;1,0,IFERROR(LOOKUP(2,1/(Sorgo!$E17:INDEX(Sorgo!$E17:$Z17,MIN(W$6-$G$3,22))&lt;&gt;""),Sorgo!$E17:INDEX(Sorgo!$E17:$Z17,MIN(W$6-$G$3,22))),0)))))</f>
        <v>0</v>
      </c>
      <c r="X19" s="27" t="n">
        <f aca="false">IF(COUNT(Sorgo!$E17:$Z17)=0,0,MAX(0,IF((X$6-$E$3)&lt;1,0,IFERROR(LOOKUP(2,1/(Sorgo!$E17:INDEX(Sorgo!$E17:$Z17,MIN(X$6-$E$3,22))&lt;&gt;""),Sorgo!$E17:INDEX(Sorgo!$E17:$Z17,MIN(X$6-$E$3,22))),0))-IF($G$2,0,IF((X$6-$G$3)&lt;1,0,IFERROR(LOOKUP(2,1/(Sorgo!$E17:INDEX(Sorgo!$E17:$Z17,MIN(X$6-$G$3,22))&lt;&gt;""),Sorgo!$E17:INDEX(Sorgo!$E17:$Z17,MIN(X$6-$G$3,22))),0)))))</f>
        <v>0</v>
      </c>
      <c r="Y19" s="27" t="n">
        <f aca="false">IF(COUNT(Sorgo!$E17:$Z17)=0,0,MAX(0,IF((Y$6-$E$3)&lt;1,0,IFERROR(LOOKUP(2,1/(Sorgo!$E17:INDEX(Sorgo!$E17:$Z17,MIN(Y$6-$E$3,22))&lt;&gt;""),Sorgo!$E17:INDEX(Sorgo!$E17:$Z17,MIN(Y$6-$E$3,22))),0))-IF($G$2,0,IF((Y$6-$G$3)&lt;1,0,IFERROR(LOOKUP(2,1/(Sorgo!$E17:INDEX(Sorgo!$E17:$Z17,MIN(Y$6-$G$3,22))&lt;&gt;""),Sorgo!$E17:INDEX(Sorgo!$E17:$Z17,MIN(Y$6-$G$3,22))),0)))))</f>
        <v>0</v>
      </c>
      <c r="Z19" s="27" t="n">
        <f aca="false">IF(COUNT(Sorgo!$E17:$Z17)=0,0,MAX(0,IF((Z$6-$E$3)&lt;1,0,IFERROR(LOOKUP(2,1/(Sorgo!$E17:INDEX(Sorgo!$E17:$Z17,MIN(Z$6-$E$3,22))&lt;&gt;""),Sorgo!$E17:INDEX(Sorgo!$E17:$Z17,MIN(Z$6-$E$3,22))),0))-IF($G$2,0,IF((Z$6-$G$3)&lt;1,0,IFERROR(LOOKUP(2,1/(Sorgo!$E17:INDEX(Sorgo!$E17:$Z17,MIN(Z$6-$G$3,22))&lt;&gt;""),Sorgo!$E17:INDEX(Sorgo!$E17:$Z17,MIN(Z$6-$G$3,22))),0)))))</f>
        <v>0</v>
      </c>
      <c r="AA19" s="27" t="n">
        <f aca="false">IF(COUNT(Sorgo!$E17:$Z17)=0,0,MAX(0,IF((AA$6-$E$3)&lt;1,0,IFERROR(LOOKUP(2,1/(Sorgo!$E17:INDEX(Sorgo!$E17:$Z17,MIN(AA$6-$E$3,22))&lt;&gt;""),Sorgo!$E17:INDEX(Sorgo!$E17:$Z17,MIN(AA$6-$E$3,22))),0))-IF($G$2,0,IF((AA$6-$G$3)&lt;1,0,IFERROR(LOOKUP(2,1/(Sorgo!$E17:INDEX(Sorgo!$E17:$Z17,MIN(AA$6-$G$3,22))&lt;&gt;""),Sorgo!$E17:INDEX(Sorgo!$E17:$Z17,MIN(AA$6-$G$3,22))),0)))))</f>
        <v>0</v>
      </c>
      <c r="AB19" s="27" t="n">
        <f aca="false">IF(COUNT(Sorgo!$E17:$Z17)=0,0,MAX(0,IF((AB$6-$E$3)&lt;1,0,IFERROR(LOOKUP(2,1/(Sorgo!$E17:INDEX(Sorgo!$E17:$Z17,MIN(AB$6-$E$3,22))&lt;&gt;""),Sorgo!$E17:INDEX(Sorgo!$E17:$Z17,MIN(AB$6-$E$3,22))),0))-IF($G$2,0,IF((AB$6-$G$3)&lt;1,0,IFERROR(LOOKUP(2,1/(Sorgo!$E17:INDEX(Sorgo!$E17:$Z17,MIN(AB$6-$G$3,22))&lt;&gt;""),Sorgo!$E17:INDEX(Sorgo!$E17:$Z17,MIN(AB$6-$G$3,22))),0)))))</f>
        <v>0</v>
      </c>
      <c r="AC19" s="27" t="n">
        <f aca="false">IF(COUNT(Sorgo!$E17:$Z17)=0,0,MAX(0,IF((AC$6-$E$3)&lt;1,0,IFERROR(LOOKUP(2,1/(Sorgo!$E17:INDEX(Sorgo!$E17:$Z17,MIN(AC$6-$E$3,22))&lt;&gt;""),Sorgo!$E17:INDEX(Sorgo!$E17:$Z17,MIN(AC$6-$E$3,22))),0))-IF($G$2,0,IF((AC$6-$G$3)&lt;1,0,IFERROR(LOOKUP(2,1/(Sorgo!$E17:INDEX(Sorgo!$E17:$Z17,MIN(AC$6-$G$3,22))&lt;&gt;""),Sorgo!$E17:INDEX(Sorgo!$E17:$Z17,MIN(AC$6-$G$3,22))),0)))))</f>
        <v>0</v>
      </c>
      <c r="AD19" s="27" t="n">
        <f aca="false">IF(COUNT(Sorgo!$E17:$Z17)=0,0,MAX(0,IF((AD$6-$E$3)&lt;1,0,IFERROR(LOOKUP(2,1/(Sorgo!$E17:INDEX(Sorgo!$E17:$Z17,MIN(AD$6-$E$3,22))&lt;&gt;""),Sorgo!$E17:INDEX(Sorgo!$E17:$Z17,MIN(AD$6-$E$3,22))),0))-IF($G$2,0,IF((AD$6-$G$3)&lt;1,0,IFERROR(LOOKUP(2,1/(Sorgo!$E17:INDEX(Sorgo!$E17:$Z17,MIN(AD$6-$G$3,22))&lt;&gt;""),Sorgo!$E17:INDEX(Sorgo!$E17:$Z17,MIN(AD$6-$G$3,22))),0)))))</f>
        <v>0</v>
      </c>
      <c r="AE19" s="27" t="n">
        <f aca="false">IF(COUNT(Sorgo!$E17:$Z17)=0,0,MAX(0,IF((AE$6-$E$3)&lt;1,0,IFERROR(LOOKUP(2,1/(Sorgo!$E17:INDEX(Sorgo!$E17:$Z17,MIN(AE$6-$E$3,22))&lt;&gt;""),Sorgo!$E17:INDEX(Sorgo!$E17:$Z17,MIN(AE$6-$E$3,22))),0))-IF($G$2,0,IF((AE$6-$G$3)&lt;1,0,IFERROR(LOOKUP(2,1/(Sorgo!$E17:INDEX(Sorgo!$E17:$Z17,MIN(AE$6-$G$3,22))&lt;&gt;""),Sorgo!$E17:INDEX(Sorgo!$E17:$Z17,MIN(AE$6-$G$3,22))),0)))))</f>
        <v>0</v>
      </c>
      <c r="AF19" s="27" t="n">
        <f aca="false">IF(COUNT(Sorgo!$E17:$Z17)=0,0,MAX(0,IF((AF$6-$E$3)&lt;1,0,IFERROR(LOOKUP(2,1/(Sorgo!$E17:INDEX(Sorgo!$E17:$Z17,MIN(AF$6-$E$3,22))&lt;&gt;""),Sorgo!$E17:INDEX(Sorgo!$E17:$Z17,MIN(AF$6-$E$3,22))),0))-IF($G$2,0,IF((AF$6-$G$3)&lt;1,0,IFERROR(LOOKUP(2,1/(Sorgo!$E17:INDEX(Sorgo!$E17:$Z17,MIN(AF$6-$G$3,22))&lt;&gt;""),Sorgo!$E17:INDEX(Sorgo!$E17:$Z17,MIN(AF$6-$G$3,22))),0)))))</f>
        <v>0</v>
      </c>
      <c r="AG19" s="27" t="n">
        <f aca="false">IF(COUNT(Sorgo!$E17:$Z17)=0,0,MAX(0,IF((AG$6-$E$3)&lt;1,0,IFERROR(LOOKUP(2,1/(Sorgo!$E17:INDEX(Sorgo!$E17:$Z17,MIN(AG$6-$E$3,22))&lt;&gt;""),Sorgo!$E17:INDEX(Sorgo!$E17:$Z17,MIN(AG$6-$E$3,22))),0))-IF($G$2,0,IF((AG$6-$G$3)&lt;1,0,IFERROR(LOOKUP(2,1/(Sorgo!$E17:INDEX(Sorgo!$E17:$Z17,MIN(AG$6-$G$3,22))&lt;&gt;""),Sorgo!$E17:INDEX(Sorgo!$E17:$Z17,MIN(AG$6-$G$3,22))),0)))))</f>
        <v>0</v>
      </c>
      <c r="AH19" s="27" t="n">
        <f aca="false">IF(COUNT(Sorgo!$E17:$Z17)=0,0,MAX(0,IF((AH$6-$E$3)&lt;1,0,IFERROR(LOOKUP(2,1/(Sorgo!$E17:INDEX(Sorgo!$E17:$Z17,MIN(AH$6-$E$3,22))&lt;&gt;""),Sorgo!$E17:INDEX(Sorgo!$E17:$Z17,MIN(AH$6-$E$3,22))),0))-IF($G$2,0,IF((AH$6-$G$3)&lt;1,0,IFERROR(LOOKUP(2,1/(Sorgo!$E17:INDEX(Sorgo!$E17:$Z17,MIN(AH$6-$G$3,22))&lt;&gt;""),Sorgo!$E17:INDEX(Sorgo!$E17:$Z17,MIN(AH$6-$G$3,22))),0)))))</f>
        <v>0</v>
      </c>
      <c r="AI19" s="27" t="n">
        <f aca="false">IF(COUNT(Sorgo!$E17:$Z17)=0,0,MAX(0,IF((AI$6-$E$3)&lt;1,0,IFERROR(LOOKUP(2,1/(Sorgo!$E17:INDEX(Sorgo!$E17:$Z17,MIN(AI$6-$E$3,22))&lt;&gt;""),Sorgo!$E17:INDEX(Sorgo!$E17:$Z17,MIN(AI$6-$E$3,22))),0))-IF($G$2,0,IF((AI$6-$G$3)&lt;1,0,IFERROR(LOOKUP(2,1/(Sorgo!$E17:INDEX(Sorgo!$E17:$Z17,MIN(AI$6-$G$3,22))&lt;&gt;""),Sorgo!$E17:INDEX(Sorgo!$E17:$Z17,MIN(AI$6-$G$3,22))),0)))))</f>
        <v>0</v>
      </c>
      <c r="AJ19" s="27" t="n">
        <f aca="false">IF(COUNT(Sorgo!$E17:$Z17)=0,0,MAX(0,IF((AJ$6-$E$3)&lt;1,0,IFERROR(LOOKUP(2,1/(Sorgo!$E17:INDEX(Sorgo!$E17:$Z17,MIN(AJ$6-$E$3,22))&lt;&gt;""),Sorgo!$E17:INDEX(Sorgo!$E17:$Z17,MIN(AJ$6-$E$3,22))),0))-IF($G$2,0,IF((AJ$6-$G$3)&lt;1,0,IFERROR(LOOKUP(2,1/(Sorgo!$E17:INDEX(Sorgo!$E17:$Z17,MIN(AJ$6-$G$3,22))&lt;&gt;""),Sorgo!$E17:INDEX(Sorgo!$E17:$Z17,MIN(AJ$6-$G$3,22))),0)))))</f>
        <v>0</v>
      </c>
      <c r="AK19" s="27" t="n">
        <f aca="false">IF(COUNT(Sorgo!$E17:$Z17)=0,0,MAX(0,IF((AK$6-$E$3)&lt;1,0,IFERROR(LOOKUP(2,1/(Sorgo!$E17:INDEX(Sorgo!$E17:$Z17,MIN(AK$6-$E$3,22))&lt;&gt;""),Sorgo!$E17:INDEX(Sorgo!$E17:$Z17,MIN(AK$6-$E$3,22))),0))-IF($G$2,0,IF((AK$6-$G$3)&lt;1,0,IFERROR(LOOKUP(2,1/(Sorgo!$E17:INDEX(Sorgo!$E17:$Z17,MIN(AK$6-$G$3,22))&lt;&gt;""),Sorgo!$E17:INDEX(Sorgo!$E17:$Z17,MIN(AK$6-$G$3,22))),0)))))</f>
        <v>0</v>
      </c>
      <c r="AL19" s="27" t="n">
        <f aca="false">IF(COUNT(Sorgo!$E17:$Z17)=0,0,MAX(0,IF((AL$6-$E$3)&lt;1,0,IFERROR(LOOKUP(2,1/(Sorgo!$E17:INDEX(Sorgo!$E17:$Z17,MIN(AL$6-$E$3,22))&lt;&gt;""),Sorgo!$E17:INDEX(Sorgo!$E17:$Z17,MIN(AL$6-$E$3,22))),0))-IF($G$2,0,IF((AL$6-$G$3)&lt;1,0,IFERROR(LOOKUP(2,1/(Sorgo!$E17:INDEX(Sorgo!$E17:$Z17,MIN(AL$6-$G$3,22))&lt;&gt;""),Sorgo!$E17:INDEX(Sorgo!$E17:$Z17,MIN(AL$6-$G$3,22))),0)))))</f>
        <v>0</v>
      </c>
      <c r="AM19" s="27" t="n">
        <f aca="false">IF(COUNT(Sorgo!$E17:$Z17)=0,0,MAX(0,IF((AM$6-$E$3)&lt;1,0,IFERROR(LOOKUP(2,1/(Sorgo!$E17:INDEX(Sorgo!$E17:$Z17,MIN(AM$6-$E$3,22))&lt;&gt;""),Sorgo!$E17:INDEX(Sorgo!$E17:$Z17,MIN(AM$6-$E$3,22))),0))-IF($G$2,0,IF((AM$6-$G$3)&lt;1,0,IFERROR(LOOKUP(2,1/(Sorgo!$E17:INDEX(Sorgo!$E17:$Z17,MIN(AM$6-$G$3,22))&lt;&gt;""),Sorgo!$E17:INDEX(Sorgo!$E17:$Z17,MIN(AM$6-$G$3,22))),0)))))</f>
        <v>0</v>
      </c>
      <c r="AN19" s="27" t="n">
        <f aca="false">IF(COUNT(Sorgo!$E17:$Z17)=0,0,MAX(0,IF((AN$6-$E$3)&lt;1,0,IFERROR(LOOKUP(2,1/(Sorgo!$E17:INDEX(Sorgo!$E17:$Z17,MIN(AN$6-$E$3,22))&lt;&gt;""),Sorgo!$E17:INDEX(Sorgo!$E17:$Z17,MIN(AN$6-$E$3,22))),0))-IF($G$2,0,IF((AN$6-$G$3)&lt;1,0,IFERROR(LOOKUP(2,1/(Sorgo!$E17:INDEX(Sorgo!$E17:$Z17,MIN(AN$6-$G$3,22))&lt;&gt;""),Sorgo!$E17:INDEX(Sorgo!$E17:$Z17,MIN(AN$6-$G$3,22))),0)))))</f>
        <v>0</v>
      </c>
      <c r="AO19" s="27" t="n">
        <f aca="false">IF(COUNT(Sorgo!$E17:$Z17)=0,0,MAX(0,IF((AO$6-$E$3)&lt;1,0,IFERROR(LOOKUP(2,1/(Sorgo!$E17:INDEX(Sorgo!$E17:$Z17,MIN(AO$6-$E$3,22))&lt;&gt;""),Sorgo!$E17:INDEX(Sorgo!$E17:$Z17,MIN(AO$6-$E$3,22))),0))-IF($G$2,0,IF((AO$6-$G$3)&lt;1,0,IFERROR(LOOKUP(2,1/(Sorgo!$E17:INDEX(Sorgo!$E17:$Z17,MIN(AO$6-$G$3,22))&lt;&gt;""),Sorgo!$E17:INDEX(Sorgo!$E17:$Z17,MIN(AO$6-$G$3,22))),0)))))</f>
        <v>0</v>
      </c>
      <c r="AP19" s="27" t="n">
        <f aca="false">IF(COUNT(Sorgo!$E17:$Z17)=0,0,MAX(0,IF((AP$6-$E$3)&lt;1,0,IFERROR(LOOKUP(2,1/(Sorgo!$E17:INDEX(Sorgo!$E17:$Z17,MIN(AP$6-$E$3,22))&lt;&gt;""),Sorgo!$E17:INDEX(Sorgo!$E17:$Z17,MIN(AP$6-$E$3,22))),0))-IF($G$2,0,IF((AP$6-$G$3)&lt;1,0,IFERROR(LOOKUP(2,1/(Sorgo!$E17:INDEX(Sorgo!$E17:$Z17,MIN(AP$6-$G$3,22))&lt;&gt;""),Sorgo!$E17:INDEX(Sorgo!$E17:$Z17,MIN(AP$6-$G$3,22))),0)))))</f>
        <v>0</v>
      </c>
      <c r="AQ19" s="27" t="n">
        <f aca="false">IF(COUNT(Sorgo!$E17:$Z17)=0,0,MAX(0,IF((AQ$6-$E$3)&lt;1,0,IFERROR(LOOKUP(2,1/(Sorgo!$E17:INDEX(Sorgo!$E17:$Z17,MIN(AQ$6-$E$3,22))&lt;&gt;""),Sorgo!$E17:INDEX(Sorgo!$E17:$Z17,MIN(AQ$6-$E$3,22))),0))-IF($G$2,0,IF((AQ$6-$G$3)&lt;1,0,IFERROR(LOOKUP(2,1/(Sorgo!$E17:INDEX(Sorgo!$E17:$Z17,MIN(AQ$6-$G$3,22))&lt;&gt;""),Sorgo!$E17:INDEX(Sorgo!$E17:$Z17,MIN(AQ$6-$G$3,22))),0)))))</f>
        <v>0</v>
      </c>
      <c r="AR19" s="27" t="n">
        <f aca="false">IF(COUNT(Sorgo!$E17:$Z17)=0,0,MAX(0,IF((AR$6-$E$3)&lt;1,0,IFERROR(LOOKUP(2,1/(Sorgo!$E17:INDEX(Sorgo!$E17:$Z17,MIN(AR$6-$E$3,22))&lt;&gt;""),Sorgo!$E17:INDEX(Sorgo!$E17:$Z17,MIN(AR$6-$E$3,22))),0))-IF($G$2,0,IF((AR$6-$G$3)&lt;1,0,IFERROR(LOOKUP(2,1/(Sorgo!$E17:INDEX(Sorgo!$E17:$Z17,MIN(AR$6-$G$3,22))&lt;&gt;""),Sorgo!$E17:INDEX(Sorgo!$E17:$Z17,MIN(AR$6-$G$3,22))),0)))))</f>
        <v>0</v>
      </c>
      <c r="AS19" s="27" t="n">
        <f aca="false">IF(COUNT(Sorgo!$E17:$Z17)=0,0,MAX(0,IF((AS$6-$E$3)&lt;1,0,IFERROR(LOOKUP(2,1/(Sorgo!$E17:INDEX(Sorgo!$E17:$Z17,MIN(AS$6-$E$3,22))&lt;&gt;""),Sorgo!$E17:INDEX(Sorgo!$E17:$Z17,MIN(AS$6-$E$3,22))),0))-IF($G$2,0,IF((AS$6-$G$3)&lt;1,0,IFERROR(LOOKUP(2,1/(Sorgo!$E17:INDEX(Sorgo!$E17:$Z17,MIN(AS$6-$G$3,22))&lt;&gt;""),Sorgo!$E17:INDEX(Sorgo!$E17:$Z17,MIN(AS$6-$G$3,22))),0)))))</f>
        <v>0</v>
      </c>
      <c r="AT19" s="27" t="n">
        <f aca="false">IF(COUNT(Sorgo!$E17:$Z17)=0,0,MAX(0,IF((AT$6-$E$3)&lt;1,0,IFERROR(LOOKUP(2,1/(Sorgo!$E17:INDEX(Sorgo!$E17:$Z17,MIN(AT$6-$E$3,22))&lt;&gt;""),Sorgo!$E17:INDEX(Sorgo!$E17:$Z17,MIN(AT$6-$E$3,22))),0))-IF($G$2,0,IF((AT$6-$G$3)&lt;1,0,IFERROR(LOOKUP(2,1/(Sorgo!$E17:INDEX(Sorgo!$E17:$Z17,MIN(AT$6-$G$3,22))&lt;&gt;""),Sorgo!$E17:INDEX(Sorgo!$E17:$Z17,MIN(AT$6-$G$3,22))),0)))))</f>
        <v>0</v>
      </c>
      <c r="AU19" s="27" t="n">
        <f aca="false">IF(COUNT(Sorgo!$E17:$Z17)=0,0,MAX(0,IF((AU$6-$E$3)&lt;1,0,IFERROR(LOOKUP(2,1/(Sorgo!$E17:INDEX(Sorgo!$E17:$Z17,MIN(AU$6-$E$3,22))&lt;&gt;""),Sorgo!$E17:INDEX(Sorgo!$E17:$Z17,MIN(AU$6-$E$3,22))),0))-IF($G$2,0,IF((AU$6-$G$3)&lt;1,0,IFERROR(LOOKUP(2,1/(Sorgo!$E17:INDEX(Sorgo!$E17:$Z17,MIN(AU$6-$G$3,22))&lt;&gt;""),Sorgo!$E17:INDEX(Sorgo!$E17:$Z17,MIN(AU$6-$G$3,22))),0)))))</f>
        <v>0</v>
      </c>
      <c r="AV19" s="27" t="n">
        <f aca="false">IF(COUNT(Sorgo!$E17:$Z17)=0,0,MAX(0,IF((AV$6-$E$3)&lt;1,0,IFERROR(LOOKUP(2,1/(Sorgo!$E17:INDEX(Sorgo!$E17:$Z17,MIN(AV$6-$E$3,22))&lt;&gt;""),Sorgo!$E17:INDEX(Sorgo!$E17:$Z17,MIN(AV$6-$E$3,22))),0))-IF($G$2,0,IF((AV$6-$G$3)&lt;1,0,IFERROR(LOOKUP(2,1/(Sorgo!$E17:INDEX(Sorgo!$E17:$Z17,MIN(AV$6-$G$3,22))&lt;&gt;""),Sorgo!$E17:INDEX(Sorgo!$E17:$Z17,MIN(AV$6-$G$3,22))),0)))))</f>
        <v>0</v>
      </c>
      <c r="AW19" s="27" t="n">
        <f aca="false">IF(COUNT(Sorgo!$E17:$Z17)=0,0,MAX(0,IF((AW$6-$E$3)&lt;1,0,IFERROR(LOOKUP(2,1/(Sorgo!$E17:INDEX(Sorgo!$E17:$Z17,MIN(AW$6-$E$3,22))&lt;&gt;""),Sorgo!$E17:INDEX(Sorgo!$E17:$Z17,MIN(AW$6-$E$3,22))),0))-IF($G$2,0,IF((AW$6-$G$3)&lt;1,0,IFERROR(LOOKUP(2,1/(Sorgo!$E17:INDEX(Sorgo!$E17:$Z17,MIN(AW$6-$G$3,22))&lt;&gt;""),Sorgo!$E17:INDEX(Sorgo!$E17:$Z17,MIN(AW$6-$G$3,22))),0)))))</f>
        <v>0</v>
      </c>
      <c r="AX19" s="27" t="n">
        <f aca="false">IF(COUNT(Sorgo!$E17:$Z17)=0,0,MAX(0,IF((AX$6-$E$3)&lt;1,0,IFERROR(LOOKUP(2,1/(Sorgo!$E17:INDEX(Sorgo!$E17:$Z17,MIN(AX$6-$E$3,22))&lt;&gt;""),Sorgo!$E17:INDEX(Sorgo!$E17:$Z17,MIN(AX$6-$E$3,22))),0))-IF($G$2,0,IF((AX$6-$G$3)&lt;1,0,IFERROR(LOOKUP(2,1/(Sorgo!$E17:INDEX(Sorgo!$E17:$Z17,MIN(AX$6-$G$3,22))&lt;&gt;""),Sorgo!$E17:INDEX(Sorgo!$E17:$Z17,MIN(AX$6-$G$3,22))),0)))))</f>
        <v>0</v>
      </c>
      <c r="AY19" s="27" t="n">
        <f aca="false">IF(COUNT(Sorgo!$E17:$Z17)=0,0,MAX(0,IF((AY$6-$E$3)&lt;1,0,IFERROR(LOOKUP(2,1/(Sorgo!$E17:INDEX(Sorgo!$E17:$Z17,MIN(AY$6-$E$3,22))&lt;&gt;""),Sorgo!$E17:INDEX(Sorgo!$E17:$Z17,MIN(AY$6-$E$3,22))),0))-IF($G$2,0,IF((AY$6-$G$3)&lt;1,0,IFERROR(LOOKUP(2,1/(Sorgo!$E17:INDEX(Sorgo!$E17:$Z17,MIN(AY$6-$G$3,22))&lt;&gt;""),Sorgo!$E17:INDEX(Sorgo!$E17:$Z17,MIN(AY$6-$G$3,22))),0)))))</f>
        <v>0</v>
      </c>
      <c r="AZ19" s="27" t="n">
        <f aca="false">IF(COUNT(Sorgo!$E17:$Z17)=0,0,MAX(0,IF((AZ$6-$E$3)&lt;1,0,IFERROR(LOOKUP(2,1/(Sorgo!$E17:INDEX(Sorgo!$E17:$Z17,MIN(AZ$6-$E$3,22))&lt;&gt;""),Sorgo!$E17:INDEX(Sorgo!$E17:$Z17,MIN(AZ$6-$E$3,22))),0))-IF($G$2,0,IF((AZ$6-$G$3)&lt;1,0,IFERROR(LOOKUP(2,1/(Sorgo!$E17:INDEX(Sorgo!$E17:$Z17,MIN(AZ$6-$G$3,22))&lt;&gt;""),Sorgo!$E17:INDEX(Sorgo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IF(COUNT(Sorgo!$E18:$Z18)&gt;0,N(Sorgo!$D18),0)</f>
        <v>0</v>
      </c>
      <c r="E20" s="27" t="n">
        <f aca="false">IF(COUNT(Sorgo!$E18:$Z18)=0,0,MAX(0,IF((E$6-$E$3)&lt;1,0,IFERROR(LOOKUP(2,1/(Sorgo!$E18:INDEX(Sorgo!$E18:$Z18,MIN(E$6-$E$3,22))&lt;&gt;""),Sorgo!$E18:INDEX(Sorgo!$E18:$Z18,MIN(E$6-$E$3,22))),0))-IF($G$2,0,IF((E$6-$G$3)&lt;1,0,IFERROR(LOOKUP(2,1/(Sorgo!$E18:INDEX(Sorgo!$E18:$Z18,MIN(E$6-$G$3,22))&lt;&gt;""),Sorgo!$E18:INDEX(Sorgo!$E18:$Z18,MIN(E$6-$G$3,22))),0)))))</f>
        <v>0</v>
      </c>
      <c r="F20" s="27" t="n">
        <f aca="false">IF(COUNT(Sorgo!$E18:$Z18)=0,0,MAX(0,IF((F$6-$E$3)&lt;1,0,IFERROR(LOOKUP(2,1/(Sorgo!$E18:INDEX(Sorgo!$E18:$Z18,MIN(F$6-$E$3,22))&lt;&gt;""),Sorgo!$E18:INDEX(Sorgo!$E18:$Z18,MIN(F$6-$E$3,22))),0))-IF($G$2,0,IF((F$6-$G$3)&lt;1,0,IFERROR(LOOKUP(2,1/(Sorgo!$E18:INDEX(Sorgo!$E18:$Z18,MIN(F$6-$G$3,22))&lt;&gt;""),Sorgo!$E18:INDEX(Sorgo!$E18:$Z18,MIN(F$6-$G$3,22))),0)))))</f>
        <v>0</v>
      </c>
      <c r="G20" s="27" t="n">
        <f aca="false">IF(COUNT(Sorgo!$E18:$Z18)=0,0,MAX(0,IF((G$6-$E$3)&lt;1,0,IFERROR(LOOKUP(2,1/(Sorgo!$E18:INDEX(Sorgo!$E18:$Z18,MIN(G$6-$E$3,22))&lt;&gt;""),Sorgo!$E18:INDEX(Sorgo!$E18:$Z18,MIN(G$6-$E$3,22))),0))-IF($G$2,0,IF((G$6-$G$3)&lt;1,0,IFERROR(LOOKUP(2,1/(Sorgo!$E18:INDEX(Sorgo!$E18:$Z18,MIN(G$6-$G$3,22))&lt;&gt;""),Sorgo!$E18:INDEX(Sorgo!$E18:$Z18,MIN(G$6-$G$3,22))),0)))))</f>
        <v>0</v>
      </c>
      <c r="H20" s="27" t="n">
        <f aca="false">IF(COUNT(Sorgo!$E18:$Z18)=0,0,MAX(0,IF((H$6-$E$3)&lt;1,0,IFERROR(LOOKUP(2,1/(Sorgo!$E18:INDEX(Sorgo!$E18:$Z18,MIN(H$6-$E$3,22))&lt;&gt;""),Sorgo!$E18:INDEX(Sorgo!$E18:$Z18,MIN(H$6-$E$3,22))),0))-IF($G$2,0,IF((H$6-$G$3)&lt;1,0,IFERROR(LOOKUP(2,1/(Sorgo!$E18:INDEX(Sorgo!$E18:$Z18,MIN(H$6-$G$3,22))&lt;&gt;""),Sorgo!$E18:INDEX(Sorgo!$E18:$Z18,MIN(H$6-$G$3,22))),0)))))</f>
        <v>0</v>
      </c>
      <c r="I20" s="27" t="n">
        <f aca="false">IF(COUNT(Sorgo!$E18:$Z18)=0,0,MAX(0,IF((I$6-$E$3)&lt;1,0,IFERROR(LOOKUP(2,1/(Sorgo!$E18:INDEX(Sorgo!$E18:$Z18,MIN(I$6-$E$3,22))&lt;&gt;""),Sorgo!$E18:INDEX(Sorgo!$E18:$Z18,MIN(I$6-$E$3,22))),0))-IF($G$2,0,IF((I$6-$G$3)&lt;1,0,IFERROR(LOOKUP(2,1/(Sorgo!$E18:INDEX(Sorgo!$E18:$Z18,MIN(I$6-$G$3,22))&lt;&gt;""),Sorgo!$E18:INDEX(Sorgo!$E18:$Z18,MIN(I$6-$G$3,22))),0)))))</f>
        <v>0</v>
      </c>
      <c r="J20" s="27" t="n">
        <f aca="false">IF(COUNT(Sorgo!$E18:$Z18)=0,0,MAX(0,IF((J$6-$E$3)&lt;1,0,IFERROR(LOOKUP(2,1/(Sorgo!$E18:INDEX(Sorgo!$E18:$Z18,MIN(J$6-$E$3,22))&lt;&gt;""),Sorgo!$E18:INDEX(Sorgo!$E18:$Z18,MIN(J$6-$E$3,22))),0))-IF($G$2,0,IF((J$6-$G$3)&lt;1,0,IFERROR(LOOKUP(2,1/(Sorgo!$E18:INDEX(Sorgo!$E18:$Z18,MIN(J$6-$G$3,22))&lt;&gt;""),Sorgo!$E18:INDEX(Sorgo!$E18:$Z18,MIN(J$6-$G$3,22))),0)))))</f>
        <v>0</v>
      </c>
      <c r="K20" s="27" t="n">
        <f aca="false">IF(COUNT(Sorgo!$E18:$Z18)=0,0,MAX(0,IF((K$6-$E$3)&lt;1,0,IFERROR(LOOKUP(2,1/(Sorgo!$E18:INDEX(Sorgo!$E18:$Z18,MIN(K$6-$E$3,22))&lt;&gt;""),Sorgo!$E18:INDEX(Sorgo!$E18:$Z18,MIN(K$6-$E$3,22))),0))-IF($G$2,0,IF((K$6-$G$3)&lt;1,0,IFERROR(LOOKUP(2,1/(Sorgo!$E18:INDEX(Sorgo!$E18:$Z18,MIN(K$6-$G$3,22))&lt;&gt;""),Sorgo!$E18:INDEX(Sorgo!$E18:$Z18,MIN(K$6-$G$3,22))),0)))))</f>
        <v>0</v>
      </c>
      <c r="L20" s="27" t="n">
        <f aca="false">IF(COUNT(Sorgo!$E18:$Z18)=0,0,MAX(0,IF((L$6-$E$3)&lt;1,0,IFERROR(LOOKUP(2,1/(Sorgo!$E18:INDEX(Sorgo!$E18:$Z18,MIN(L$6-$E$3,22))&lt;&gt;""),Sorgo!$E18:INDEX(Sorgo!$E18:$Z18,MIN(L$6-$E$3,22))),0))-IF($G$2,0,IF((L$6-$G$3)&lt;1,0,IFERROR(LOOKUP(2,1/(Sorgo!$E18:INDEX(Sorgo!$E18:$Z18,MIN(L$6-$G$3,22))&lt;&gt;""),Sorgo!$E18:INDEX(Sorgo!$E18:$Z18,MIN(L$6-$G$3,22))),0)))))</f>
        <v>0</v>
      </c>
      <c r="M20" s="27" t="n">
        <f aca="false">IF(COUNT(Sorgo!$E18:$Z18)=0,0,MAX(0,IF((M$6-$E$3)&lt;1,0,IFERROR(LOOKUP(2,1/(Sorgo!$E18:INDEX(Sorgo!$E18:$Z18,MIN(M$6-$E$3,22))&lt;&gt;""),Sorgo!$E18:INDEX(Sorgo!$E18:$Z18,MIN(M$6-$E$3,22))),0))-IF($G$2,0,IF((M$6-$G$3)&lt;1,0,IFERROR(LOOKUP(2,1/(Sorgo!$E18:INDEX(Sorgo!$E18:$Z18,MIN(M$6-$G$3,22))&lt;&gt;""),Sorgo!$E18:INDEX(Sorgo!$E18:$Z18,MIN(M$6-$G$3,22))),0)))))</f>
        <v>0</v>
      </c>
      <c r="N20" s="27" t="n">
        <f aca="false">IF(COUNT(Sorgo!$E18:$Z18)=0,0,MAX(0,IF((N$6-$E$3)&lt;1,0,IFERROR(LOOKUP(2,1/(Sorgo!$E18:INDEX(Sorgo!$E18:$Z18,MIN(N$6-$E$3,22))&lt;&gt;""),Sorgo!$E18:INDEX(Sorgo!$E18:$Z18,MIN(N$6-$E$3,22))),0))-IF($G$2,0,IF((N$6-$G$3)&lt;1,0,IFERROR(LOOKUP(2,1/(Sorgo!$E18:INDEX(Sorgo!$E18:$Z18,MIN(N$6-$G$3,22))&lt;&gt;""),Sorgo!$E18:INDEX(Sorgo!$E18:$Z18,MIN(N$6-$G$3,22))),0)))))</f>
        <v>0</v>
      </c>
      <c r="O20" s="27" t="n">
        <f aca="false">IF(COUNT(Sorgo!$E18:$Z18)=0,0,MAX(0,IF((O$6-$E$3)&lt;1,0,IFERROR(LOOKUP(2,1/(Sorgo!$E18:INDEX(Sorgo!$E18:$Z18,MIN(O$6-$E$3,22))&lt;&gt;""),Sorgo!$E18:INDEX(Sorgo!$E18:$Z18,MIN(O$6-$E$3,22))),0))-IF($G$2,0,IF((O$6-$G$3)&lt;1,0,IFERROR(LOOKUP(2,1/(Sorgo!$E18:INDEX(Sorgo!$E18:$Z18,MIN(O$6-$G$3,22))&lt;&gt;""),Sorgo!$E18:INDEX(Sorgo!$E18:$Z18,MIN(O$6-$G$3,22))),0)))))</f>
        <v>0</v>
      </c>
      <c r="P20" s="27" t="n">
        <f aca="false">IF(COUNT(Sorgo!$E18:$Z18)=0,0,MAX(0,IF((P$6-$E$3)&lt;1,0,IFERROR(LOOKUP(2,1/(Sorgo!$E18:INDEX(Sorgo!$E18:$Z18,MIN(P$6-$E$3,22))&lt;&gt;""),Sorgo!$E18:INDEX(Sorgo!$E18:$Z18,MIN(P$6-$E$3,22))),0))-IF($G$2,0,IF((P$6-$G$3)&lt;1,0,IFERROR(LOOKUP(2,1/(Sorgo!$E18:INDEX(Sorgo!$E18:$Z18,MIN(P$6-$G$3,22))&lt;&gt;""),Sorgo!$E18:INDEX(Sorgo!$E18:$Z18,MIN(P$6-$G$3,22))),0)))))</f>
        <v>0</v>
      </c>
      <c r="Q20" s="27" t="n">
        <f aca="false">IF(COUNT(Sorgo!$E18:$Z18)=0,0,MAX(0,IF((Q$6-$E$3)&lt;1,0,IFERROR(LOOKUP(2,1/(Sorgo!$E18:INDEX(Sorgo!$E18:$Z18,MIN(Q$6-$E$3,22))&lt;&gt;""),Sorgo!$E18:INDEX(Sorgo!$E18:$Z18,MIN(Q$6-$E$3,22))),0))-IF($G$2,0,IF((Q$6-$G$3)&lt;1,0,IFERROR(LOOKUP(2,1/(Sorgo!$E18:INDEX(Sorgo!$E18:$Z18,MIN(Q$6-$G$3,22))&lt;&gt;""),Sorgo!$E18:INDEX(Sorgo!$E18:$Z18,MIN(Q$6-$G$3,22))),0)))))</f>
        <v>0</v>
      </c>
      <c r="R20" s="27" t="n">
        <f aca="false">IF(COUNT(Sorgo!$E18:$Z18)=0,0,MAX(0,IF((R$6-$E$3)&lt;1,0,IFERROR(LOOKUP(2,1/(Sorgo!$E18:INDEX(Sorgo!$E18:$Z18,MIN(R$6-$E$3,22))&lt;&gt;""),Sorgo!$E18:INDEX(Sorgo!$E18:$Z18,MIN(R$6-$E$3,22))),0))-IF($G$2,0,IF((R$6-$G$3)&lt;1,0,IFERROR(LOOKUP(2,1/(Sorgo!$E18:INDEX(Sorgo!$E18:$Z18,MIN(R$6-$G$3,22))&lt;&gt;""),Sorgo!$E18:INDEX(Sorgo!$E18:$Z18,MIN(R$6-$G$3,22))),0)))))</f>
        <v>0</v>
      </c>
      <c r="S20" s="27" t="n">
        <f aca="false">IF(COUNT(Sorgo!$E18:$Z18)=0,0,MAX(0,IF((S$6-$E$3)&lt;1,0,IFERROR(LOOKUP(2,1/(Sorgo!$E18:INDEX(Sorgo!$E18:$Z18,MIN(S$6-$E$3,22))&lt;&gt;""),Sorgo!$E18:INDEX(Sorgo!$E18:$Z18,MIN(S$6-$E$3,22))),0))-IF($G$2,0,IF((S$6-$G$3)&lt;1,0,IFERROR(LOOKUP(2,1/(Sorgo!$E18:INDEX(Sorgo!$E18:$Z18,MIN(S$6-$G$3,22))&lt;&gt;""),Sorgo!$E18:INDEX(Sorgo!$E18:$Z18,MIN(S$6-$G$3,22))),0)))))</f>
        <v>0</v>
      </c>
      <c r="T20" s="27" t="n">
        <f aca="false">IF(COUNT(Sorgo!$E18:$Z18)=0,0,MAX(0,IF((T$6-$E$3)&lt;1,0,IFERROR(LOOKUP(2,1/(Sorgo!$E18:INDEX(Sorgo!$E18:$Z18,MIN(T$6-$E$3,22))&lt;&gt;""),Sorgo!$E18:INDEX(Sorgo!$E18:$Z18,MIN(T$6-$E$3,22))),0))-IF($G$2,0,IF((T$6-$G$3)&lt;1,0,IFERROR(LOOKUP(2,1/(Sorgo!$E18:INDEX(Sorgo!$E18:$Z18,MIN(T$6-$G$3,22))&lt;&gt;""),Sorgo!$E18:INDEX(Sorgo!$E18:$Z18,MIN(T$6-$G$3,22))),0)))))</f>
        <v>0</v>
      </c>
      <c r="U20" s="27" t="n">
        <f aca="false">IF(COUNT(Sorgo!$E18:$Z18)=0,0,MAX(0,IF((U$6-$E$3)&lt;1,0,IFERROR(LOOKUP(2,1/(Sorgo!$E18:INDEX(Sorgo!$E18:$Z18,MIN(U$6-$E$3,22))&lt;&gt;""),Sorgo!$E18:INDEX(Sorgo!$E18:$Z18,MIN(U$6-$E$3,22))),0))-IF($G$2,0,IF((U$6-$G$3)&lt;1,0,IFERROR(LOOKUP(2,1/(Sorgo!$E18:INDEX(Sorgo!$E18:$Z18,MIN(U$6-$G$3,22))&lt;&gt;""),Sorgo!$E18:INDEX(Sorgo!$E18:$Z18,MIN(U$6-$G$3,22))),0)))))</f>
        <v>0</v>
      </c>
      <c r="V20" s="27" t="n">
        <f aca="false">IF(COUNT(Sorgo!$E18:$Z18)=0,0,MAX(0,IF((V$6-$E$3)&lt;1,0,IFERROR(LOOKUP(2,1/(Sorgo!$E18:INDEX(Sorgo!$E18:$Z18,MIN(V$6-$E$3,22))&lt;&gt;""),Sorgo!$E18:INDEX(Sorgo!$E18:$Z18,MIN(V$6-$E$3,22))),0))-IF($G$2,0,IF((V$6-$G$3)&lt;1,0,IFERROR(LOOKUP(2,1/(Sorgo!$E18:INDEX(Sorgo!$E18:$Z18,MIN(V$6-$G$3,22))&lt;&gt;""),Sorgo!$E18:INDEX(Sorgo!$E18:$Z18,MIN(V$6-$G$3,22))),0)))))</f>
        <v>0</v>
      </c>
      <c r="W20" s="27" t="n">
        <f aca="false">IF(COUNT(Sorgo!$E18:$Z18)=0,0,MAX(0,IF((W$6-$E$3)&lt;1,0,IFERROR(LOOKUP(2,1/(Sorgo!$E18:INDEX(Sorgo!$E18:$Z18,MIN(W$6-$E$3,22))&lt;&gt;""),Sorgo!$E18:INDEX(Sorgo!$E18:$Z18,MIN(W$6-$E$3,22))),0))-IF($G$2,0,IF((W$6-$G$3)&lt;1,0,IFERROR(LOOKUP(2,1/(Sorgo!$E18:INDEX(Sorgo!$E18:$Z18,MIN(W$6-$G$3,22))&lt;&gt;""),Sorgo!$E18:INDEX(Sorgo!$E18:$Z18,MIN(W$6-$G$3,22))),0)))))</f>
        <v>0</v>
      </c>
      <c r="X20" s="27" t="n">
        <f aca="false">IF(COUNT(Sorgo!$E18:$Z18)=0,0,MAX(0,IF((X$6-$E$3)&lt;1,0,IFERROR(LOOKUP(2,1/(Sorgo!$E18:INDEX(Sorgo!$E18:$Z18,MIN(X$6-$E$3,22))&lt;&gt;""),Sorgo!$E18:INDEX(Sorgo!$E18:$Z18,MIN(X$6-$E$3,22))),0))-IF($G$2,0,IF((X$6-$G$3)&lt;1,0,IFERROR(LOOKUP(2,1/(Sorgo!$E18:INDEX(Sorgo!$E18:$Z18,MIN(X$6-$G$3,22))&lt;&gt;""),Sorgo!$E18:INDEX(Sorgo!$E18:$Z18,MIN(X$6-$G$3,22))),0)))))</f>
        <v>0</v>
      </c>
      <c r="Y20" s="27" t="n">
        <f aca="false">IF(COUNT(Sorgo!$E18:$Z18)=0,0,MAX(0,IF((Y$6-$E$3)&lt;1,0,IFERROR(LOOKUP(2,1/(Sorgo!$E18:INDEX(Sorgo!$E18:$Z18,MIN(Y$6-$E$3,22))&lt;&gt;""),Sorgo!$E18:INDEX(Sorgo!$E18:$Z18,MIN(Y$6-$E$3,22))),0))-IF($G$2,0,IF((Y$6-$G$3)&lt;1,0,IFERROR(LOOKUP(2,1/(Sorgo!$E18:INDEX(Sorgo!$E18:$Z18,MIN(Y$6-$G$3,22))&lt;&gt;""),Sorgo!$E18:INDEX(Sorgo!$E18:$Z18,MIN(Y$6-$G$3,22))),0)))))</f>
        <v>0</v>
      </c>
      <c r="Z20" s="27" t="n">
        <f aca="false">IF(COUNT(Sorgo!$E18:$Z18)=0,0,MAX(0,IF((Z$6-$E$3)&lt;1,0,IFERROR(LOOKUP(2,1/(Sorgo!$E18:INDEX(Sorgo!$E18:$Z18,MIN(Z$6-$E$3,22))&lt;&gt;""),Sorgo!$E18:INDEX(Sorgo!$E18:$Z18,MIN(Z$6-$E$3,22))),0))-IF($G$2,0,IF((Z$6-$G$3)&lt;1,0,IFERROR(LOOKUP(2,1/(Sorgo!$E18:INDEX(Sorgo!$E18:$Z18,MIN(Z$6-$G$3,22))&lt;&gt;""),Sorgo!$E18:INDEX(Sorgo!$E18:$Z18,MIN(Z$6-$G$3,22))),0)))))</f>
        <v>0</v>
      </c>
      <c r="AA20" s="27" t="n">
        <f aca="false">IF(COUNT(Sorgo!$E18:$Z18)=0,0,MAX(0,IF((AA$6-$E$3)&lt;1,0,IFERROR(LOOKUP(2,1/(Sorgo!$E18:INDEX(Sorgo!$E18:$Z18,MIN(AA$6-$E$3,22))&lt;&gt;""),Sorgo!$E18:INDEX(Sorgo!$E18:$Z18,MIN(AA$6-$E$3,22))),0))-IF($G$2,0,IF((AA$6-$G$3)&lt;1,0,IFERROR(LOOKUP(2,1/(Sorgo!$E18:INDEX(Sorgo!$E18:$Z18,MIN(AA$6-$G$3,22))&lt;&gt;""),Sorgo!$E18:INDEX(Sorgo!$E18:$Z18,MIN(AA$6-$G$3,22))),0)))))</f>
        <v>0</v>
      </c>
      <c r="AB20" s="27" t="n">
        <f aca="false">IF(COUNT(Sorgo!$E18:$Z18)=0,0,MAX(0,IF((AB$6-$E$3)&lt;1,0,IFERROR(LOOKUP(2,1/(Sorgo!$E18:INDEX(Sorgo!$E18:$Z18,MIN(AB$6-$E$3,22))&lt;&gt;""),Sorgo!$E18:INDEX(Sorgo!$E18:$Z18,MIN(AB$6-$E$3,22))),0))-IF($G$2,0,IF((AB$6-$G$3)&lt;1,0,IFERROR(LOOKUP(2,1/(Sorgo!$E18:INDEX(Sorgo!$E18:$Z18,MIN(AB$6-$G$3,22))&lt;&gt;""),Sorgo!$E18:INDEX(Sorgo!$E18:$Z18,MIN(AB$6-$G$3,22))),0)))))</f>
        <v>0</v>
      </c>
      <c r="AC20" s="27" t="n">
        <f aca="false">IF(COUNT(Sorgo!$E18:$Z18)=0,0,MAX(0,IF((AC$6-$E$3)&lt;1,0,IFERROR(LOOKUP(2,1/(Sorgo!$E18:INDEX(Sorgo!$E18:$Z18,MIN(AC$6-$E$3,22))&lt;&gt;""),Sorgo!$E18:INDEX(Sorgo!$E18:$Z18,MIN(AC$6-$E$3,22))),0))-IF($G$2,0,IF((AC$6-$G$3)&lt;1,0,IFERROR(LOOKUP(2,1/(Sorgo!$E18:INDEX(Sorgo!$E18:$Z18,MIN(AC$6-$G$3,22))&lt;&gt;""),Sorgo!$E18:INDEX(Sorgo!$E18:$Z18,MIN(AC$6-$G$3,22))),0)))))</f>
        <v>0</v>
      </c>
      <c r="AD20" s="27" t="n">
        <f aca="false">IF(COUNT(Sorgo!$E18:$Z18)=0,0,MAX(0,IF((AD$6-$E$3)&lt;1,0,IFERROR(LOOKUP(2,1/(Sorgo!$E18:INDEX(Sorgo!$E18:$Z18,MIN(AD$6-$E$3,22))&lt;&gt;""),Sorgo!$E18:INDEX(Sorgo!$E18:$Z18,MIN(AD$6-$E$3,22))),0))-IF($G$2,0,IF((AD$6-$G$3)&lt;1,0,IFERROR(LOOKUP(2,1/(Sorgo!$E18:INDEX(Sorgo!$E18:$Z18,MIN(AD$6-$G$3,22))&lt;&gt;""),Sorgo!$E18:INDEX(Sorgo!$E18:$Z18,MIN(AD$6-$G$3,22))),0)))))</f>
        <v>0</v>
      </c>
      <c r="AE20" s="27" t="n">
        <f aca="false">IF(COUNT(Sorgo!$E18:$Z18)=0,0,MAX(0,IF((AE$6-$E$3)&lt;1,0,IFERROR(LOOKUP(2,1/(Sorgo!$E18:INDEX(Sorgo!$E18:$Z18,MIN(AE$6-$E$3,22))&lt;&gt;""),Sorgo!$E18:INDEX(Sorgo!$E18:$Z18,MIN(AE$6-$E$3,22))),0))-IF($G$2,0,IF((AE$6-$G$3)&lt;1,0,IFERROR(LOOKUP(2,1/(Sorgo!$E18:INDEX(Sorgo!$E18:$Z18,MIN(AE$6-$G$3,22))&lt;&gt;""),Sorgo!$E18:INDEX(Sorgo!$E18:$Z18,MIN(AE$6-$G$3,22))),0)))))</f>
        <v>0</v>
      </c>
      <c r="AF20" s="27" t="n">
        <f aca="false">IF(COUNT(Sorgo!$E18:$Z18)=0,0,MAX(0,IF((AF$6-$E$3)&lt;1,0,IFERROR(LOOKUP(2,1/(Sorgo!$E18:INDEX(Sorgo!$E18:$Z18,MIN(AF$6-$E$3,22))&lt;&gt;""),Sorgo!$E18:INDEX(Sorgo!$E18:$Z18,MIN(AF$6-$E$3,22))),0))-IF($G$2,0,IF((AF$6-$G$3)&lt;1,0,IFERROR(LOOKUP(2,1/(Sorgo!$E18:INDEX(Sorgo!$E18:$Z18,MIN(AF$6-$G$3,22))&lt;&gt;""),Sorgo!$E18:INDEX(Sorgo!$E18:$Z18,MIN(AF$6-$G$3,22))),0)))))</f>
        <v>0</v>
      </c>
      <c r="AG20" s="27" t="n">
        <f aca="false">IF(COUNT(Sorgo!$E18:$Z18)=0,0,MAX(0,IF((AG$6-$E$3)&lt;1,0,IFERROR(LOOKUP(2,1/(Sorgo!$E18:INDEX(Sorgo!$E18:$Z18,MIN(AG$6-$E$3,22))&lt;&gt;""),Sorgo!$E18:INDEX(Sorgo!$E18:$Z18,MIN(AG$6-$E$3,22))),0))-IF($G$2,0,IF((AG$6-$G$3)&lt;1,0,IFERROR(LOOKUP(2,1/(Sorgo!$E18:INDEX(Sorgo!$E18:$Z18,MIN(AG$6-$G$3,22))&lt;&gt;""),Sorgo!$E18:INDEX(Sorgo!$E18:$Z18,MIN(AG$6-$G$3,22))),0)))))</f>
        <v>0</v>
      </c>
      <c r="AH20" s="27" t="n">
        <f aca="false">IF(COUNT(Sorgo!$E18:$Z18)=0,0,MAX(0,IF((AH$6-$E$3)&lt;1,0,IFERROR(LOOKUP(2,1/(Sorgo!$E18:INDEX(Sorgo!$E18:$Z18,MIN(AH$6-$E$3,22))&lt;&gt;""),Sorgo!$E18:INDEX(Sorgo!$E18:$Z18,MIN(AH$6-$E$3,22))),0))-IF($G$2,0,IF((AH$6-$G$3)&lt;1,0,IFERROR(LOOKUP(2,1/(Sorgo!$E18:INDEX(Sorgo!$E18:$Z18,MIN(AH$6-$G$3,22))&lt;&gt;""),Sorgo!$E18:INDEX(Sorgo!$E18:$Z18,MIN(AH$6-$G$3,22))),0)))))</f>
        <v>0</v>
      </c>
      <c r="AI20" s="27" t="n">
        <f aca="false">IF(COUNT(Sorgo!$E18:$Z18)=0,0,MAX(0,IF((AI$6-$E$3)&lt;1,0,IFERROR(LOOKUP(2,1/(Sorgo!$E18:INDEX(Sorgo!$E18:$Z18,MIN(AI$6-$E$3,22))&lt;&gt;""),Sorgo!$E18:INDEX(Sorgo!$E18:$Z18,MIN(AI$6-$E$3,22))),0))-IF($G$2,0,IF((AI$6-$G$3)&lt;1,0,IFERROR(LOOKUP(2,1/(Sorgo!$E18:INDEX(Sorgo!$E18:$Z18,MIN(AI$6-$G$3,22))&lt;&gt;""),Sorgo!$E18:INDEX(Sorgo!$E18:$Z18,MIN(AI$6-$G$3,22))),0)))))</f>
        <v>0</v>
      </c>
      <c r="AJ20" s="27" t="n">
        <f aca="false">IF(COUNT(Sorgo!$E18:$Z18)=0,0,MAX(0,IF((AJ$6-$E$3)&lt;1,0,IFERROR(LOOKUP(2,1/(Sorgo!$E18:INDEX(Sorgo!$E18:$Z18,MIN(AJ$6-$E$3,22))&lt;&gt;""),Sorgo!$E18:INDEX(Sorgo!$E18:$Z18,MIN(AJ$6-$E$3,22))),0))-IF($G$2,0,IF((AJ$6-$G$3)&lt;1,0,IFERROR(LOOKUP(2,1/(Sorgo!$E18:INDEX(Sorgo!$E18:$Z18,MIN(AJ$6-$G$3,22))&lt;&gt;""),Sorgo!$E18:INDEX(Sorgo!$E18:$Z18,MIN(AJ$6-$G$3,22))),0)))))</f>
        <v>0</v>
      </c>
      <c r="AK20" s="27" t="n">
        <f aca="false">IF(COUNT(Sorgo!$E18:$Z18)=0,0,MAX(0,IF((AK$6-$E$3)&lt;1,0,IFERROR(LOOKUP(2,1/(Sorgo!$E18:INDEX(Sorgo!$E18:$Z18,MIN(AK$6-$E$3,22))&lt;&gt;""),Sorgo!$E18:INDEX(Sorgo!$E18:$Z18,MIN(AK$6-$E$3,22))),0))-IF($G$2,0,IF((AK$6-$G$3)&lt;1,0,IFERROR(LOOKUP(2,1/(Sorgo!$E18:INDEX(Sorgo!$E18:$Z18,MIN(AK$6-$G$3,22))&lt;&gt;""),Sorgo!$E18:INDEX(Sorgo!$E18:$Z18,MIN(AK$6-$G$3,22))),0)))))</f>
        <v>0</v>
      </c>
      <c r="AL20" s="27" t="n">
        <f aca="false">IF(COUNT(Sorgo!$E18:$Z18)=0,0,MAX(0,IF((AL$6-$E$3)&lt;1,0,IFERROR(LOOKUP(2,1/(Sorgo!$E18:INDEX(Sorgo!$E18:$Z18,MIN(AL$6-$E$3,22))&lt;&gt;""),Sorgo!$E18:INDEX(Sorgo!$E18:$Z18,MIN(AL$6-$E$3,22))),0))-IF($G$2,0,IF((AL$6-$G$3)&lt;1,0,IFERROR(LOOKUP(2,1/(Sorgo!$E18:INDEX(Sorgo!$E18:$Z18,MIN(AL$6-$G$3,22))&lt;&gt;""),Sorgo!$E18:INDEX(Sorgo!$E18:$Z18,MIN(AL$6-$G$3,22))),0)))))</f>
        <v>0</v>
      </c>
      <c r="AM20" s="27" t="n">
        <f aca="false">IF(COUNT(Sorgo!$E18:$Z18)=0,0,MAX(0,IF((AM$6-$E$3)&lt;1,0,IFERROR(LOOKUP(2,1/(Sorgo!$E18:INDEX(Sorgo!$E18:$Z18,MIN(AM$6-$E$3,22))&lt;&gt;""),Sorgo!$E18:INDEX(Sorgo!$E18:$Z18,MIN(AM$6-$E$3,22))),0))-IF($G$2,0,IF((AM$6-$G$3)&lt;1,0,IFERROR(LOOKUP(2,1/(Sorgo!$E18:INDEX(Sorgo!$E18:$Z18,MIN(AM$6-$G$3,22))&lt;&gt;""),Sorgo!$E18:INDEX(Sorgo!$E18:$Z18,MIN(AM$6-$G$3,22))),0)))))</f>
        <v>0</v>
      </c>
      <c r="AN20" s="27" t="n">
        <f aca="false">IF(COUNT(Sorgo!$E18:$Z18)=0,0,MAX(0,IF((AN$6-$E$3)&lt;1,0,IFERROR(LOOKUP(2,1/(Sorgo!$E18:INDEX(Sorgo!$E18:$Z18,MIN(AN$6-$E$3,22))&lt;&gt;""),Sorgo!$E18:INDEX(Sorgo!$E18:$Z18,MIN(AN$6-$E$3,22))),0))-IF($G$2,0,IF((AN$6-$G$3)&lt;1,0,IFERROR(LOOKUP(2,1/(Sorgo!$E18:INDEX(Sorgo!$E18:$Z18,MIN(AN$6-$G$3,22))&lt;&gt;""),Sorgo!$E18:INDEX(Sorgo!$E18:$Z18,MIN(AN$6-$G$3,22))),0)))))</f>
        <v>0</v>
      </c>
      <c r="AO20" s="27" t="n">
        <f aca="false">IF(COUNT(Sorgo!$E18:$Z18)=0,0,MAX(0,IF((AO$6-$E$3)&lt;1,0,IFERROR(LOOKUP(2,1/(Sorgo!$E18:INDEX(Sorgo!$E18:$Z18,MIN(AO$6-$E$3,22))&lt;&gt;""),Sorgo!$E18:INDEX(Sorgo!$E18:$Z18,MIN(AO$6-$E$3,22))),0))-IF($G$2,0,IF((AO$6-$G$3)&lt;1,0,IFERROR(LOOKUP(2,1/(Sorgo!$E18:INDEX(Sorgo!$E18:$Z18,MIN(AO$6-$G$3,22))&lt;&gt;""),Sorgo!$E18:INDEX(Sorgo!$E18:$Z18,MIN(AO$6-$G$3,22))),0)))))</f>
        <v>0</v>
      </c>
      <c r="AP20" s="27" t="n">
        <f aca="false">IF(COUNT(Sorgo!$E18:$Z18)=0,0,MAX(0,IF((AP$6-$E$3)&lt;1,0,IFERROR(LOOKUP(2,1/(Sorgo!$E18:INDEX(Sorgo!$E18:$Z18,MIN(AP$6-$E$3,22))&lt;&gt;""),Sorgo!$E18:INDEX(Sorgo!$E18:$Z18,MIN(AP$6-$E$3,22))),0))-IF($G$2,0,IF((AP$6-$G$3)&lt;1,0,IFERROR(LOOKUP(2,1/(Sorgo!$E18:INDEX(Sorgo!$E18:$Z18,MIN(AP$6-$G$3,22))&lt;&gt;""),Sorgo!$E18:INDEX(Sorgo!$E18:$Z18,MIN(AP$6-$G$3,22))),0)))))</f>
        <v>0</v>
      </c>
      <c r="AQ20" s="27" t="n">
        <f aca="false">IF(COUNT(Sorgo!$E18:$Z18)=0,0,MAX(0,IF((AQ$6-$E$3)&lt;1,0,IFERROR(LOOKUP(2,1/(Sorgo!$E18:INDEX(Sorgo!$E18:$Z18,MIN(AQ$6-$E$3,22))&lt;&gt;""),Sorgo!$E18:INDEX(Sorgo!$E18:$Z18,MIN(AQ$6-$E$3,22))),0))-IF($G$2,0,IF((AQ$6-$G$3)&lt;1,0,IFERROR(LOOKUP(2,1/(Sorgo!$E18:INDEX(Sorgo!$E18:$Z18,MIN(AQ$6-$G$3,22))&lt;&gt;""),Sorgo!$E18:INDEX(Sorgo!$E18:$Z18,MIN(AQ$6-$G$3,22))),0)))))</f>
        <v>0</v>
      </c>
      <c r="AR20" s="27" t="n">
        <f aca="false">IF(COUNT(Sorgo!$E18:$Z18)=0,0,MAX(0,IF((AR$6-$E$3)&lt;1,0,IFERROR(LOOKUP(2,1/(Sorgo!$E18:INDEX(Sorgo!$E18:$Z18,MIN(AR$6-$E$3,22))&lt;&gt;""),Sorgo!$E18:INDEX(Sorgo!$E18:$Z18,MIN(AR$6-$E$3,22))),0))-IF($G$2,0,IF((AR$6-$G$3)&lt;1,0,IFERROR(LOOKUP(2,1/(Sorgo!$E18:INDEX(Sorgo!$E18:$Z18,MIN(AR$6-$G$3,22))&lt;&gt;""),Sorgo!$E18:INDEX(Sorgo!$E18:$Z18,MIN(AR$6-$G$3,22))),0)))))</f>
        <v>0</v>
      </c>
      <c r="AS20" s="27" t="n">
        <f aca="false">IF(COUNT(Sorgo!$E18:$Z18)=0,0,MAX(0,IF((AS$6-$E$3)&lt;1,0,IFERROR(LOOKUP(2,1/(Sorgo!$E18:INDEX(Sorgo!$E18:$Z18,MIN(AS$6-$E$3,22))&lt;&gt;""),Sorgo!$E18:INDEX(Sorgo!$E18:$Z18,MIN(AS$6-$E$3,22))),0))-IF($G$2,0,IF((AS$6-$G$3)&lt;1,0,IFERROR(LOOKUP(2,1/(Sorgo!$E18:INDEX(Sorgo!$E18:$Z18,MIN(AS$6-$G$3,22))&lt;&gt;""),Sorgo!$E18:INDEX(Sorgo!$E18:$Z18,MIN(AS$6-$G$3,22))),0)))))</f>
        <v>0</v>
      </c>
      <c r="AT20" s="27" t="n">
        <f aca="false">IF(COUNT(Sorgo!$E18:$Z18)=0,0,MAX(0,IF((AT$6-$E$3)&lt;1,0,IFERROR(LOOKUP(2,1/(Sorgo!$E18:INDEX(Sorgo!$E18:$Z18,MIN(AT$6-$E$3,22))&lt;&gt;""),Sorgo!$E18:INDEX(Sorgo!$E18:$Z18,MIN(AT$6-$E$3,22))),0))-IF($G$2,0,IF((AT$6-$G$3)&lt;1,0,IFERROR(LOOKUP(2,1/(Sorgo!$E18:INDEX(Sorgo!$E18:$Z18,MIN(AT$6-$G$3,22))&lt;&gt;""),Sorgo!$E18:INDEX(Sorgo!$E18:$Z18,MIN(AT$6-$G$3,22))),0)))))</f>
        <v>0</v>
      </c>
      <c r="AU20" s="27" t="n">
        <f aca="false">IF(COUNT(Sorgo!$E18:$Z18)=0,0,MAX(0,IF((AU$6-$E$3)&lt;1,0,IFERROR(LOOKUP(2,1/(Sorgo!$E18:INDEX(Sorgo!$E18:$Z18,MIN(AU$6-$E$3,22))&lt;&gt;""),Sorgo!$E18:INDEX(Sorgo!$E18:$Z18,MIN(AU$6-$E$3,22))),0))-IF($G$2,0,IF((AU$6-$G$3)&lt;1,0,IFERROR(LOOKUP(2,1/(Sorgo!$E18:INDEX(Sorgo!$E18:$Z18,MIN(AU$6-$G$3,22))&lt;&gt;""),Sorgo!$E18:INDEX(Sorgo!$E18:$Z18,MIN(AU$6-$G$3,22))),0)))))</f>
        <v>0</v>
      </c>
      <c r="AV20" s="27" t="n">
        <f aca="false">IF(COUNT(Sorgo!$E18:$Z18)=0,0,MAX(0,IF((AV$6-$E$3)&lt;1,0,IFERROR(LOOKUP(2,1/(Sorgo!$E18:INDEX(Sorgo!$E18:$Z18,MIN(AV$6-$E$3,22))&lt;&gt;""),Sorgo!$E18:INDEX(Sorgo!$E18:$Z18,MIN(AV$6-$E$3,22))),0))-IF($G$2,0,IF((AV$6-$G$3)&lt;1,0,IFERROR(LOOKUP(2,1/(Sorgo!$E18:INDEX(Sorgo!$E18:$Z18,MIN(AV$6-$G$3,22))&lt;&gt;""),Sorgo!$E18:INDEX(Sorgo!$E18:$Z18,MIN(AV$6-$G$3,22))),0)))))</f>
        <v>0</v>
      </c>
      <c r="AW20" s="27" t="n">
        <f aca="false">IF(COUNT(Sorgo!$E18:$Z18)=0,0,MAX(0,IF((AW$6-$E$3)&lt;1,0,IFERROR(LOOKUP(2,1/(Sorgo!$E18:INDEX(Sorgo!$E18:$Z18,MIN(AW$6-$E$3,22))&lt;&gt;""),Sorgo!$E18:INDEX(Sorgo!$E18:$Z18,MIN(AW$6-$E$3,22))),0))-IF($G$2,0,IF((AW$6-$G$3)&lt;1,0,IFERROR(LOOKUP(2,1/(Sorgo!$E18:INDEX(Sorgo!$E18:$Z18,MIN(AW$6-$G$3,22))&lt;&gt;""),Sorgo!$E18:INDEX(Sorgo!$E18:$Z18,MIN(AW$6-$G$3,22))),0)))))</f>
        <v>0</v>
      </c>
      <c r="AX20" s="27" t="n">
        <f aca="false">IF(COUNT(Sorgo!$E18:$Z18)=0,0,MAX(0,IF((AX$6-$E$3)&lt;1,0,IFERROR(LOOKUP(2,1/(Sorgo!$E18:INDEX(Sorgo!$E18:$Z18,MIN(AX$6-$E$3,22))&lt;&gt;""),Sorgo!$E18:INDEX(Sorgo!$E18:$Z18,MIN(AX$6-$E$3,22))),0))-IF($G$2,0,IF((AX$6-$G$3)&lt;1,0,IFERROR(LOOKUP(2,1/(Sorgo!$E18:INDEX(Sorgo!$E18:$Z18,MIN(AX$6-$G$3,22))&lt;&gt;""),Sorgo!$E18:INDEX(Sorgo!$E18:$Z18,MIN(AX$6-$G$3,22))),0)))))</f>
        <v>0</v>
      </c>
      <c r="AY20" s="27" t="n">
        <f aca="false">IF(COUNT(Sorgo!$E18:$Z18)=0,0,MAX(0,IF((AY$6-$E$3)&lt;1,0,IFERROR(LOOKUP(2,1/(Sorgo!$E18:INDEX(Sorgo!$E18:$Z18,MIN(AY$6-$E$3,22))&lt;&gt;""),Sorgo!$E18:INDEX(Sorgo!$E18:$Z18,MIN(AY$6-$E$3,22))),0))-IF($G$2,0,IF((AY$6-$G$3)&lt;1,0,IFERROR(LOOKUP(2,1/(Sorgo!$E18:INDEX(Sorgo!$E18:$Z18,MIN(AY$6-$G$3,22))&lt;&gt;""),Sorgo!$E18:INDEX(Sorgo!$E18:$Z18,MIN(AY$6-$G$3,22))),0)))))</f>
        <v>0</v>
      </c>
      <c r="AZ20" s="27" t="n">
        <f aca="false">IF(COUNT(Sorgo!$E18:$Z18)=0,0,MAX(0,IF((AZ$6-$E$3)&lt;1,0,IFERROR(LOOKUP(2,1/(Sorgo!$E18:INDEX(Sorgo!$E18:$Z18,MIN(AZ$6-$E$3,22))&lt;&gt;""),Sorgo!$E18:INDEX(Sorgo!$E18:$Z18,MIN(AZ$6-$E$3,22))),0))-IF($G$2,0,IF((AZ$6-$G$3)&lt;1,0,IFERROR(LOOKUP(2,1/(Sorgo!$E18:INDEX(Sorgo!$E18:$Z18,MIN(AZ$6-$G$3,22))&lt;&gt;""),Sorgo!$E18:INDEX(Sorgo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IF(COUNT(Sorgo!$E19:$Z19)&gt;0,N(Sorgo!$D19),0)</f>
        <v>0</v>
      </c>
      <c r="E21" s="27" t="n">
        <f aca="false">IF(COUNT(Sorgo!$E19:$Z19)=0,0,MAX(0,IF((E$6-$E$3)&lt;1,0,IFERROR(LOOKUP(2,1/(Sorgo!$E19:INDEX(Sorgo!$E19:$Z19,MIN(E$6-$E$3,22))&lt;&gt;""),Sorgo!$E19:INDEX(Sorgo!$E19:$Z19,MIN(E$6-$E$3,22))),0))-IF($G$2,0,IF((E$6-$G$3)&lt;1,0,IFERROR(LOOKUP(2,1/(Sorgo!$E19:INDEX(Sorgo!$E19:$Z19,MIN(E$6-$G$3,22))&lt;&gt;""),Sorgo!$E19:INDEX(Sorgo!$E19:$Z19,MIN(E$6-$G$3,22))),0)))))</f>
        <v>0</v>
      </c>
      <c r="F21" s="27" t="n">
        <f aca="false">IF(COUNT(Sorgo!$E19:$Z19)=0,0,MAX(0,IF((F$6-$E$3)&lt;1,0,IFERROR(LOOKUP(2,1/(Sorgo!$E19:INDEX(Sorgo!$E19:$Z19,MIN(F$6-$E$3,22))&lt;&gt;""),Sorgo!$E19:INDEX(Sorgo!$E19:$Z19,MIN(F$6-$E$3,22))),0))-IF($G$2,0,IF((F$6-$G$3)&lt;1,0,IFERROR(LOOKUP(2,1/(Sorgo!$E19:INDEX(Sorgo!$E19:$Z19,MIN(F$6-$G$3,22))&lt;&gt;""),Sorgo!$E19:INDEX(Sorgo!$E19:$Z19,MIN(F$6-$G$3,22))),0)))))</f>
        <v>0</v>
      </c>
      <c r="G21" s="27" t="n">
        <f aca="false">IF(COUNT(Sorgo!$E19:$Z19)=0,0,MAX(0,IF((G$6-$E$3)&lt;1,0,IFERROR(LOOKUP(2,1/(Sorgo!$E19:INDEX(Sorgo!$E19:$Z19,MIN(G$6-$E$3,22))&lt;&gt;""),Sorgo!$E19:INDEX(Sorgo!$E19:$Z19,MIN(G$6-$E$3,22))),0))-IF($G$2,0,IF((G$6-$G$3)&lt;1,0,IFERROR(LOOKUP(2,1/(Sorgo!$E19:INDEX(Sorgo!$E19:$Z19,MIN(G$6-$G$3,22))&lt;&gt;""),Sorgo!$E19:INDEX(Sorgo!$E19:$Z19,MIN(G$6-$G$3,22))),0)))))</f>
        <v>0</v>
      </c>
      <c r="H21" s="27" t="n">
        <f aca="false">IF(COUNT(Sorgo!$E19:$Z19)=0,0,MAX(0,IF((H$6-$E$3)&lt;1,0,IFERROR(LOOKUP(2,1/(Sorgo!$E19:INDEX(Sorgo!$E19:$Z19,MIN(H$6-$E$3,22))&lt;&gt;""),Sorgo!$E19:INDEX(Sorgo!$E19:$Z19,MIN(H$6-$E$3,22))),0))-IF($G$2,0,IF((H$6-$G$3)&lt;1,0,IFERROR(LOOKUP(2,1/(Sorgo!$E19:INDEX(Sorgo!$E19:$Z19,MIN(H$6-$G$3,22))&lt;&gt;""),Sorgo!$E19:INDEX(Sorgo!$E19:$Z19,MIN(H$6-$G$3,22))),0)))))</f>
        <v>0</v>
      </c>
      <c r="I21" s="27" t="n">
        <f aca="false">IF(COUNT(Sorgo!$E19:$Z19)=0,0,MAX(0,IF((I$6-$E$3)&lt;1,0,IFERROR(LOOKUP(2,1/(Sorgo!$E19:INDEX(Sorgo!$E19:$Z19,MIN(I$6-$E$3,22))&lt;&gt;""),Sorgo!$E19:INDEX(Sorgo!$E19:$Z19,MIN(I$6-$E$3,22))),0))-IF($G$2,0,IF((I$6-$G$3)&lt;1,0,IFERROR(LOOKUP(2,1/(Sorgo!$E19:INDEX(Sorgo!$E19:$Z19,MIN(I$6-$G$3,22))&lt;&gt;""),Sorgo!$E19:INDEX(Sorgo!$E19:$Z19,MIN(I$6-$G$3,22))),0)))))</f>
        <v>0</v>
      </c>
      <c r="J21" s="27" t="n">
        <f aca="false">IF(COUNT(Sorgo!$E19:$Z19)=0,0,MAX(0,IF((J$6-$E$3)&lt;1,0,IFERROR(LOOKUP(2,1/(Sorgo!$E19:INDEX(Sorgo!$E19:$Z19,MIN(J$6-$E$3,22))&lt;&gt;""),Sorgo!$E19:INDEX(Sorgo!$E19:$Z19,MIN(J$6-$E$3,22))),0))-IF($G$2,0,IF((J$6-$G$3)&lt;1,0,IFERROR(LOOKUP(2,1/(Sorgo!$E19:INDEX(Sorgo!$E19:$Z19,MIN(J$6-$G$3,22))&lt;&gt;""),Sorgo!$E19:INDEX(Sorgo!$E19:$Z19,MIN(J$6-$G$3,22))),0)))))</f>
        <v>0</v>
      </c>
      <c r="K21" s="27" t="n">
        <f aca="false">IF(COUNT(Sorgo!$E19:$Z19)=0,0,MAX(0,IF((K$6-$E$3)&lt;1,0,IFERROR(LOOKUP(2,1/(Sorgo!$E19:INDEX(Sorgo!$E19:$Z19,MIN(K$6-$E$3,22))&lt;&gt;""),Sorgo!$E19:INDEX(Sorgo!$E19:$Z19,MIN(K$6-$E$3,22))),0))-IF($G$2,0,IF((K$6-$G$3)&lt;1,0,IFERROR(LOOKUP(2,1/(Sorgo!$E19:INDEX(Sorgo!$E19:$Z19,MIN(K$6-$G$3,22))&lt;&gt;""),Sorgo!$E19:INDEX(Sorgo!$E19:$Z19,MIN(K$6-$G$3,22))),0)))))</f>
        <v>0</v>
      </c>
      <c r="L21" s="27" t="n">
        <f aca="false">IF(COUNT(Sorgo!$E19:$Z19)=0,0,MAX(0,IF((L$6-$E$3)&lt;1,0,IFERROR(LOOKUP(2,1/(Sorgo!$E19:INDEX(Sorgo!$E19:$Z19,MIN(L$6-$E$3,22))&lt;&gt;""),Sorgo!$E19:INDEX(Sorgo!$E19:$Z19,MIN(L$6-$E$3,22))),0))-IF($G$2,0,IF((L$6-$G$3)&lt;1,0,IFERROR(LOOKUP(2,1/(Sorgo!$E19:INDEX(Sorgo!$E19:$Z19,MIN(L$6-$G$3,22))&lt;&gt;""),Sorgo!$E19:INDEX(Sorgo!$E19:$Z19,MIN(L$6-$G$3,22))),0)))))</f>
        <v>0</v>
      </c>
      <c r="M21" s="27" t="n">
        <f aca="false">IF(COUNT(Sorgo!$E19:$Z19)=0,0,MAX(0,IF((M$6-$E$3)&lt;1,0,IFERROR(LOOKUP(2,1/(Sorgo!$E19:INDEX(Sorgo!$E19:$Z19,MIN(M$6-$E$3,22))&lt;&gt;""),Sorgo!$E19:INDEX(Sorgo!$E19:$Z19,MIN(M$6-$E$3,22))),0))-IF($G$2,0,IF((M$6-$G$3)&lt;1,0,IFERROR(LOOKUP(2,1/(Sorgo!$E19:INDEX(Sorgo!$E19:$Z19,MIN(M$6-$G$3,22))&lt;&gt;""),Sorgo!$E19:INDEX(Sorgo!$E19:$Z19,MIN(M$6-$G$3,22))),0)))))</f>
        <v>0</v>
      </c>
      <c r="N21" s="27" t="n">
        <f aca="false">IF(COUNT(Sorgo!$E19:$Z19)=0,0,MAX(0,IF((N$6-$E$3)&lt;1,0,IFERROR(LOOKUP(2,1/(Sorgo!$E19:INDEX(Sorgo!$E19:$Z19,MIN(N$6-$E$3,22))&lt;&gt;""),Sorgo!$E19:INDEX(Sorgo!$E19:$Z19,MIN(N$6-$E$3,22))),0))-IF($G$2,0,IF((N$6-$G$3)&lt;1,0,IFERROR(LOOKUP(2,1/(Sorgo!$E19:INDEX(Sorgo!$E19:$Z19,MIN(N$6-$G$3,22))&lt;&gt;""),Sorgo!$E19:INDEX(Sorgo!$E19:$Z19,MIN(N$6-$G$3,22))),0)))))</f>
        <v>0</v>
      </c>
      <c r="O21" s="27" t="n">
        <f aca="false">IF(COUNT(Sorgo!$E19:$Z19)=0,0,MAX(0,IF((O$6-$E$3)&lt;1,0,IFERROR(LOOKUP(2,1/(Sorgo!$E19:INDEX(Sorgo!$E19:$Z19,MIN(O$6-$E$3,22))&lt;&gt;""),Sorgo!$E19:INDEX(Sorgo!$E19:$Z19,MIN(O$6-$E$3,22))),0))-IF($G$2,0,IF((O$6-$G$3)&lt;1,0,IFERROR(LOOKUP(2,1/(Sorgo!$E19:INDEX(Sorgo!$E19:$Z19,MIN(O$6-$G$3,22))&lt;&gt;""),Sorgo!$E19:INDEX(Sorgo!$E19:$Z19,MIN(O$6-$G$3,22))),0)))))</f>
        <v>0</v>
      </c>
      <c r="P21" s="27" t="n">
        <f aca="false">IF(COUNT(Sorgo!$E19:$Z19)=0,0,MAX(0,IF((P$6-$E$3)&lt;1,0,IFERROR(LOOKUP(2,1/(Sorgo!$E19:INDEX(Sorgo!$E19:$Z19,MIN(P$6-$E$3,22))&lt;&gt;""),Sorgo!$E19:INDEX(Sorgo!$E19:$Z19,MIN(P$6-$E$3,22))),0))-IF($G$2,0,IF((P$6-$G$3)&lt;1,0,IFERROR(LOOKUP(2,1/(Sorgo!$E19:INDEX(Sorgo!$E19:$Z19,MIN(P$6-$G$3,22))&lt;&gt;""),Sorgo!$E19:INDEX(Sorgo!$E19:$Z19,MIN(P$6-$G$3,22))),0)))))</f>
        <v>0</v>
      </c>
      <c r="Q21" s="27" t="n">
        <f aca="false">IF(COUNT(Sorgo!$E19:$Z19)=0,0,MAX(0,IF((Q$6-$E$3)&lt;1,0,IFERROR(LOOKUP(2,1/(Sorgo!$E19:INDEX(Sorgo!$E19:$Z19,MIN(Q$6-$E$3,22))&lt;&gt;""),Sorgo!$E19:INDEX(Sorgo!$E19:$Z19,MIN(Q$6-$E$3,22))),0))-IF($G$2,0,IF((Q$6-$G$3)&lt;1,0,IFERROR(LOOKUP(2,1/(Sorgo!$E19:INDEX(Sorgo!$E19:$Z19,MIN(Q$6-$G$3,22))&lt;&gt;""),Sorgo!$E19:INDEX(Sorgo!$E19:$Z19,MIN(Q$6-$G$3,22))),0)))))</f>
        <v>0</v>
      </c>
      <c r="R21" s="27" t="n">
        <f aca="false">IF(COUNT(Sorgo!$E19:$Z19)=0,0,MAX(0,IF((R$6-$E$3)&lt;1,0,IFERROR(LOOKUP(2,1/(Sorgo!$E19:INDEX(Sorgo!$E19:$Z19,MIN(R$6-$E$3,22))&lt;&gt;""),Sorgo!$E19:INDEX(Sorgo!$E19:$Z19,MIN(R$6-$E$3,22))),0))-IF($G$2,0,IF((R$6-$G$3)&lt;1,0,IFERROR(LOOKUP(2,1/(Sorgo!$E19:INDEX(Sorgo!$E19:$Z19,MIN(R$6-$G$3,22))&lt;&gt;""),Sorgo!$E19:INDEX(Sorgo!$E19:$Z19,MIN(R$6-$G$3,22))),0)))))</f>
        <v>0</v>
      </c>
      <c r="S21" s="27" t="n">
        <f aca="false">IF(COUNT(Sorgo!$E19:$Z19)=0,0,MAX(0,IF((S$6-$E$3)&lt;1,0,IFERROR(LOOKUP(2,1/(Sorgo!$E19:INDEX(Sorgo!$E19:$Z19,MIN(S$6-$E$3,22))&lt;&gt;""),Sorgo!$E19:INDEX(Sorgo!$E19:$Z19,MIN(S$6-$E$3,22))),0))-IF($G$2,0,IF((S$6-$G$3)&lt;1,0,IFERROR(LOOKUP(2,1/(Sorgo!$E19:INDEX(Sorgo!$E19:$Z19,MIN(S$6-$G$3,22))&lt;&gt;""),Sorgo!$E19:INDEX(Sorgo!$E19:$Z19,MIN(S$6-$G$3,22))),0)))))</f>
        <v>0</v>
      </c>
      <c r="T21" s="27" t="n">
        <f aca="false">IF(COUNT(Sorgo!$E19:$Z19)=0,0,MAX(0,IF((T$6-$E$3)&lt;1,0,IFERROR(LOOKUP(2,1/(Sorgo!$E19:INDEX(Sorgo!$E19:$Z19,MIN(T$6-$E$3,22))&lt;&gt;""),Sorgo!$E19:INDEX(Sorgo!$E19:$Z19,MIN(T$6-$E$3,22))),0))-IF($G$2,0,IF((T$6-$G$3)&lt;1,0,IFERROR(LOOKUP(2,1/(Sorgo!$E19:INDEX(Sorgo!$E19:$Z19,MIN(T$6-$G$3,22))&lt;&gt;""),Sorgo!$E19:INDEX(Sorgo!$E19:$Z19,MIN(T$6-$G$3,22))),0)))))</f>
        <v>0</v>
      </c>
      <c r="U21" s="27" t="n">
        <f aca="false">IF(COUNT(Sorgo!$E19:$Z19)=0,0,MAX(0,IF((U$6-$E$3)&lt;1,0,IFERROR(LOOKUP(2,1/(Sorgo!$E19:INDEX(Sorgo!$E19:$Z19,MIN(U$6-$E$3,22))&lt;&gt;""),Sorgo!$E19:INDEX(Sorgo!$E19:$Z19,MIN(U$6-$E$3,22))),0))-IF($G$2,0,IF((U$6-$G$3)&lt;1,0,IFERROR(LOOKUP(2,1/(Sorgo!$E19:INDEX(Sorgo!$E19:$Z19,MIN(U$6-$G$3,22))&lt;&gt;""),Sorgo!$E19:INDEX(Sorgo!$E19:$Z19,MIN(U$6-$G$3,22))),0)))))</f>
        <v>0</v>
      </c>
      <c r="V21" s="27" t="n">
        <f aca="false">IF(COUNT(Sorgo!$E19:$Z19)=0,0,MAX(0,IF((V$6-$E$3)&lt;1,0,IFERROR(LOOKUP(2,1/(Sorgo!$E19:INDEX(Sorgo!$E19:$Z19,MIN(V$6-$E$3,22))&lt;&gt;""),Sorgo!$E19:INDEX(Sorgo!$E19:$Z19,MIN(V$6-$E$3,22))),0))-IF($G$2,0,IF((V$6-$G$3)&lt;1,0,IFERROR(LOOKUP(2,1/(Sorgo!$E19:INDEX(Sorgo!$E19:$Z19,MIN(V$6-$G$3,22))&lt;&gt;""),Sorgo!$E19:INDEX(Sorgo!$E19:$Z19,MIN(V$6-$G$3,22))),0)))))</f>
        <v>0</v>
      </c>
      <c r="W21" s="27" t="n">
        <f aca="false">IF(COUNT(Sorgo!$E19:$Z19)=0,0,MAX(0,IF((W$6-$E$3)&lt;1,0,IFERROR(LOOKUP(2,1/(Sorgo!$E19:INDEX(Sorgo!$E19:$Z19,MIN(W$6-$E$3,22))&lt;&gt;""),Sorgo!$E19:INDEX(Sorgo!$E19:$Z19,MIN(W$6-$E$3,22))),0))-IF($G$2,0,IF((W$6-$G$3)&lt;1,0,IFERROR(LOOKUP(2,1/(Sorgo!$E19:INDEX(Sorgo!$E19:$Z19,MIN(W$6-$G$3,22))&lt;&gt;""),Sorgo!$E19:INDEX(Sorgo!$E19:$Z19,MIN(W$6-$G$3,22))),0)))))</f>
        <v>0</v>
      </c>
      <c r="X21" s="27" t="n">
        <f aca="false">IF(COUNT(Sorgo!$E19:$Z19)=0,0,MAX(0,IF((X$6-$E$3)&lt;1,0,IFERROR(LOOKUP(2,1/(Sorgo!$E19:INDEX(Sorgo!$E19:$Z19,MIN(X$6-$E$3,22))&lt;&gt;""),Sorgo!$E19:INDEX(Sorgo!$E19:$Z19,MIN(X$6-$E$3,22))),0))-IF($G$2,0,IF((X$6-$G$3)&lt;1,0,IFERROR(LOOKUP(2,1/(Sorgo!$E19:INDEX(Sorgo!$E19:$Z19,MIN(X$6-$G$3,22))&lt;&gt;""),Sorgo!$E19:INDEX(Sorgo!$E19:$Z19,MIN(X$6-$G$3,22))),0)))))</f>
        <v>0</v>
      </c>
      <c r="Y21" s="27" t="n">
        <f aca="false">IF(COUNT(Sorgo!$E19:$Z19)=0,0,MAX(0,IF((Y$6-$E$3)&lt;1,0,IFERROR(LOOKUP(2,1/(Sorgo!$E19:INDEX(Sorgo!$E19:$Z19,MIN(Y$6-$E$3,22))&lt;&gt;""),Sorgo!$E19:INDEX(Sorgo!$E19:$Z19,MIN(Y$6-$E$3,22))),0))-IF($G$2,0,IF((Y$6-$G$3)&lt;1,0,IFERROR(LOOKUP(2,1/(Sorgo!$E19:INDEX(Sorgo!$E19:$Z19,MIN(Y$6-$G$3,22))&lt;&gt;""),Sorgo!$E19:INDEX(Sorgo!$E19:$Z19,MIN(Y$6-$G$3,22))),0)))))</f>
        <v>0</v>
      </c>
      <c r="Z21" s="27" t="n">
        <f aca="false">IF(COUNT(Sorgo!$E19:$Z19)=0,0,MAX(0,IF((Z$6-$E$3)&lt;1,0,IFERROR(LOOKUP(2,1/(Sorgo!$E19:INDEX(Sorgo!$E19:$Z19,MIN(Z$6-$E$3,22))&lt;&gt;""),Sorgo!$E19:INDEX(Sorgo!$E19:$Z19,MIN(Z$6-$E$3,22))),0))-IF($G$2,0,IF((Z$6-$G$3)&lt;1,0,IFERROR(LOOKUP(2,1/(Sorgo!$E19:INDEX(Sorgo!$E19:$Z19,MIN(Z$6-$G$3,22))&lt;&gt;""),Sorgo!$E19:INDEX(Sorgo!$E19:$Z19,MIN(Z$6-$G$3,22))),0)))))</f>
        <v>0</v>
      </c>
      <c r="AA21" s="27" t="n">
        <f aca="false">IF(COUNT(Sorgo!$E19:$Z19)=0,0,MAX(0,IF((AA$6-$E$3)&lt;1,0,IFERROR(LOOKUP(2,1/(Sorgo!$E19:INDEX(Sorgo!$E19:$Z19,MIN(AA$6-$E$3,22))&lt;&gt;""),Sorgo!$E19:INDEX(Sorgo!$E19:$Z19,MIN(AA$6-$E$3,22))),0))-IF($G$2,0,IF((AA$6-$G$3)&lt;1,0,IFERROR(LOOKUP(2,1/(Sorgo!$E19:INDEX(Sorgo!$E19:$Z19,MIN(AA$6-$G$3,22))&lt;&gt;""),Sorgo!$E19:INDEX(Sorgo!$E19:$Z19,MIN(AA$6-$G$3,22))),0)))))</f>
        <v>0</v>
      </c>
      <c r="AB21" s="27" t="n">
        <f aca="false">IF(COUNT(Sorgo!$E19:$Z19)=0,0,MAX(0,IF((AB$6-$E$3)&lt;1,0,IFERROR(LOOKUP(2,1/(Sorgo!$E19:INDEX(Sorgo!$E19:$Z19,MIN(AB$6-$E$3,22))&lt;&gt;""),Sorgo!$E19:INDEX(Sorgo!$E19:$Z19,MIN(AB$6-$E$3,22))),0))-IF($G$2,0,IF((AB$6-$G$3)&lt;1,0,IFERROR(LOOKUP(2,1/(Sorgo!$E19:INDEX(Sorgo!$E19:$Z19,MIN(AB$6-$G$3,22))&lt;&gt;""),Sorgo!$E19:INDEX(Sorgo!$E19:$Z19,MIN(AB$6-$G$3,22))),0)))))</f>
        <v>0</v>
      </c>
      <c r="AC21" s="27" t="n">
        <f aca="false">IF(COUNT(Sorgo!$E19:$Z19)=0,0,MAX(0,IF((AC$6-$E$3)&lt;1,0,IFERROR(LOOKUP(2,1/(Sorgo!$E19:INDEX(Sorgo!$E19:$Z19,MIN(AC$6-$E$3,22))&lt;&gt;""),Sorgo!$E19:INDEX(Sorgo!$E19:$Z19,MIN(AC$6-$E$3,22))),0))-IF($G$2,0,IF((AC$6-$G$3)&lt;1,0,IFERROR(LOOKUP(2,1/(Sorgo!$E19:INDEX(Sorgo!$E19:$Z19,MIN(AC$6-$G$3,22))&lt;&gt;""),Sorgo!$E19:INDEX(Sorgo!$E19:$Z19,MIN(AC$6-$G$3,22))),0)))))</f>
        <v>0</v>
      </c>
      <c r="AD21" s="27" t="n">
        <f aca="false">IF(COUNT(Sorgo!$E19:$Z19)=0,0,MAX(0,IF((AD$6-$E$3)&lt;1,0,IFERROR(LOOKUP(2,1/(Sorgo!$E19:INDEX(Sorgo!$E19:$Z19,MIN(AD$6-$E$3,22))&lt;&gt;""),Sorgo!$E19:INDEX(Sorgo!$E19:$Z19,MIN(AD$6-$E$3,22))),0))-IF($G$2,0,IF((AD$6-$G$3)&lt;1,0,IFERROR(LOOKUP(2,1/(Sorgo!$E19:INDEX(Sorgo!$E19:$Z19,MIN(AD$6-$G$3,22))&lt;&gt;""),Sorgo!$E19:INDEX(Sorgo!$E19:$Z19,MIN(AD$6-$G$3,22))),0)))))</f>
        <v>0</v>
      </c>
      <c r="AE21" s="27" t="n">
        <f aca="false">IF(COUNT(Sorgo!$E19:$Z19)=0,0,MAX(0,IF((AE$6-$E$3)&lt;1,0,IFERROR(LOOKUP(2,1/(Sorgo!$E19:INDEX(Sorgo!$E19:$Z19,MIN(AE$6-$E$3,22))&lt;&gt;""),Sorgo!$E19:INDEX(Sorgo!$E19:$Z19,MIN(AE$6-$E$3,22))),0))-IF($G$2,0,IF((AE$6-$G$3)&lt;1,0,IFERROR(LOOKUP(2,1/(Sorgo!$E19:INDEX(Sorgo!$E19:$Z19,MIN(AE$6-$G$3,22))&lt;&gt;""),Sorgo!$E19:INDEX(Sorgo!$E19:$Z19,MIN(AE$6-$G$3,22))),0)))))</f>
        <v>0</v>
      </c>
      <c r="AF21" s="27" t="n">
        <f aca="false">IF(COUNT(Sorgo!$E19:$Z19)=0,0,MAX(0,IF((AF$6-$E$3)&lt;1,0,IFERROR(LOOKUP(2,1/(Sorgo!$E19:INDEX(Sorgo!$E19:$Z19,MIN(AF$6-$E$3,22))&lt;&gt;""),Sorgo!$E19:INDEX(Sorgo!$E19:$Z19,MIN(AF$6-$E$3,22))),0))-IF($G$2,0,IF((AF$6-$G$3)&lt;1,0,IFERROR(LOOKUP(2,1/(Sorgo!$E19:INDEX(Sorgo!$E19:$Z19,MIN(AF$6-$G$3,22))&lt;&gt;""),Sorgo!$E19:INDEX(Sorgo!$E19:$Z19,MIN(AF$6-$G$3,22))),0)))))</f>
        <v>0</v>
      </c>
      <c r="AG21" s="27" t="n">
        <f aca="false">IF(COUNT(Sorgo!$E19:$Z19)=0,0,MAX(0,IF((AG$6-$E$3)&lt;1,0,IFERROR(LOOKUP(2,1/(Sorgo!$E19:INDEX(Sorgo!$E19:$Z19,MIN(AG$6-$E$3,22))&lt;&gt;""),Sorgo!$E19:INDEX(Sorgo!$E19:$Z19,MIN(AG$6-$E$3,22))),0))-IF($G$2,0,IF((AG$6-$G$3)&lt;1,0,IFERROR(LOOKUP(2,1/(Sorgo!$E19:INDEX(Sorgo!$E19:$Z19,MIN(AG$6-$G$3,22))&lt;&gt;""),Sorgo!$E19:INDEX(Sorgo!$E19:$Z19,MIN(AG$6-$G$3,22))),0)))))</f>
        <v>0</v>
      </c>
      <c r="AH21" s="27" t="n">
        <f aca="false">IF(COUNT(Sorgo!$E19:$Z19)=0,0,MAX(0,IF((AH$6-$E$3)&lt;1,0,IFERROR(LOOKUP(2,1/(Sorgo!$E19:INDEX(Sorgo!$E19:$Z19,MIN(AH$6-$E$3,22))&lt;&gt;""),Sorgo!$E19:INDEX(Sorgo!$E19:$Z19,MIN(AH$6-$E$3,22))),0))-IF($G$2,0,IF((AH$6-$G$3)&lt;1,0,IFERROR(LOOKUP(2,1/(Sorgo!$E19:INDEX(Sorgo!$E19:$Z19,MIN(AH$6-$G$3,22))&lt;&gt;""),Sorgo!$E19:INDEX(Sorgo!$E19:$Z19,MIN(AH$6-$G$3,22))),0)))))</f>
        <v>0</v>
      </c>
      <c r="AI21" s="27" t="n">
        <f aca="false">IF(COUNT(Sorgo!$E19:$Z19)=0,0,MAX(0,IF((AI$6-$E$3)&lt;1,0,IFERROR(LOOKUP(2,1/(Sorgo!$E19:INDEX(Sorgo!$E19:$Z19,MIN(AI$6-$E$3,22))&lt;&gt;""),Sorgo!$E19:INDEX(Sorgo!$E19:$Z19,MIN(AI$6-$E$3,22))),0))-IF($G$2,0,IF((AI$6-$G$3)&lt;1,0,IFERROR(LOOKUP(2,1/(Sorgo!$E19:INDEX(Sorgo!$E19:$Z19,MIN(AI$6-$G$3,22))&lt;&gt;""),Sorgo!$E19:INDEX(Sorgo!$E19:$Z19,MIN(AI$6-$G$3,22))),0)))))</f>
        <v>0</v>
      </c>
      <c r="AJ21" s="27" t="n">
        <f aca="false">IF(COUNT(Sorgo!$E19:$Z19)=0,0,MAX(0,IF((AJ$6-$E$3)&lt;1,0,IFERROR(LOOKUP(2,1/(Sorgo!$E19:INDEX(Sorgo!$E19:$Z19,MIN(AJ$6-$E$3,22))&lt;&gt;""),Sorgo!$E19:INDEX(Sorgo!$E19:$Z19,MIN(AJ$6-$E$3,22))),0))-IF($G$2,0,IF((AJ$6-$G$3)&lt;1,0,IFERROR(LOOKUP(2,1/(Sorgo!$E19:INDEX(Sorgo!$E19:$Z19,MIN(AJ$6-$G$3,22))&lt;&gt;""),Sorgo!$E19:INDEX(Sorgo!$E19:$Z19,MIN(AJ$6-$G$3,22))),0)))))</f>
        <v>0</v>
      </c>
      <c r="AK21" s="27" t="n">
        <f aca="false">IF(COUNT(Sorgo!$E19:$Z19)=0,0,MAX(0,IF((AK$6-$E$3)&lt;1,0,IFERROR(LOOKUP(2,1/(Sorgo!$E19:INDEX(Sorgo!$E19:$Z19,MIN(AK$6-$E$3,22))&lt;&gt;""),Sorgo!$E19:INDEX(Sorgo!$E19:$Z19,MIN(AK$6-$E$3,22))),0))-IF($G$2,0,IF((AK$6-$G$3)&lt;1,0,IFERROR(LOOKUP(2,1/(Sorgo!$E19:INDEX(Sorgo!$E19:$Z19,MIN(AK$6-$G$3,22))&lt;&gt;""),Sorgo!$E19:INDEX(Sorgo!$E19:$Z19,MIN(AK$6-$G$3,22))),0)))))</f>
        <v>0</v>
      </c>
      <c r="AL21" s="27" t="n">
        <f aca="false">IF(COUNT(Sorgo!$E19:$Z19)=0,0,MAX(0,IF((AL$6-$E$3)&lt;1,0,IFERROR(LOOKUP(2,1/(Sorgo!$E19:INDEX(Sorgo!$E19:$Z19,MIN(AL$6-$E$3,22))&lt;&gt;""),Sorgo!$E19:INDEX(Sorgo!$E19:$Z19,MIN(AL$6-$E$3,22))),0))-IF($G$2,0,IF((AL$6-$G$3)&lt;1,0,IFERROR(LOOKUP(2,1/(Sorgo!$E19:INDEX(Sorgo!$E19:$Z19,MIN(AL$6-$G$3,22))&lt;&gt;""),Sorgo!$E19:INDEX(Sorgo!$E19:$Z19,MIN(AL$6-$G$3,22))),0)))))</f>
        <v>0</v>
      </c>
      <c r="AM21" s="27" t="n">
        <f aca="false">IF(COUNT(Sorgo!$E19:$Z19)=0,0,MAX(0,IF((AM$6-$E$3)&lt;1,0,IFERROR(LOOKUP(2,1/(Sorgo!$E19:INDEX(Sorgo!$E19:$Z19,MIN(AM$6-$E$3,22))&lt;&gt;""),Sorgo!$E19:INDEX(Sorgo!$E19:$Z19,MIN(AM$6-$E$3,22))),0))-IF($G$2,0,IF((AM$6-$G$3)&lt;1,0,IFERROR(LOOKUP(2,1/(Sorgo!$E19:INDEX(Sorgo!$E19:$Z19,MIN(AM$6-$G$3,22))&lt;&gt;""),Sorgo!$E19:INDEX(Sorgo!$E19:$Z19,MIN(AM$6-$G$3,22))),0)))))</f>
        <v>0</v>
      </c>
      <c r="AN21" s="27" t="n">
        <f aca="false">IF(COUNT(Sorgo!$E19:$Z19)=0,0,MAX(0,IF((AN$6-$E$3)&lt;1,0,IFERROR(LOOKUP(2,1/(Sorgo!$E19:INDEX(Sorgo!$E19:$Z19,MIN(AN$6-$E$3,22))&lt;&gt;""),Sorgo!$E19:INDEX(Sorgo!$E19:$Z19,MIN(AN$6-$E$3,22))),0))-IF($G$2,0,IF((AN$6-$G$3)&lt;1,0,IFERROR(LOOKUP(2,1/(Sorgo!$E19:INDEX(Sorgo!$E19:$Z19,MIN(AN$6-$G$3,22))&lt;&gt;""),Sorgo!$E19:INDEX(Sorgo!$E19:$Z19,MIN(AN$6-$G$3,22))),0)))))</f>
        <v>0</v>
      </c>
      <c r="AO21" s="27" t="n">
        <f aca="false">IF(COUNT(Sorgo!$E19:$Z19)=0,0,MAX(0,IF((AO$6-$E$3)&lt;1,0,IFERROR(LOOKUP(2,1/(Sorgo!$E19:INDEX(Sorgo!$E19:$Z19,MIN(AO$6-$E$3,22))&lt;&gt;""),Sorgo!$E19:INDEX(Sorgo!$E19:$Z19,MIN(AO$6-$E$3,22))),0))-IF($G$2,0,IF((AO$6-$G$3)&lt;1,0,IFERROR(LOOKUP(2,1/(Sorgo!$E19:INDEX(Sorgo!$E19:$Z19,MIN(AO$6-$G$3,22))&lt;&gt;""),Sorgo!$E19:INDEX(Sorgo!$E19:$Z19,MIN(AO$6-$G$3,22))),0)))))</f>
        <v>0</v>
      </c>
      <c r="AP21" s="27" t="n">
        <f aca="false">IF(COUNT(Sorgo!$E19:$Z19)=0,0,MAX(0,IF((AP$6-$E$3)&lt;1,0,IFERROR(LOOKUP(2,1/(Sorgo!$E19:INDEX(Sorgo!$E19:$Z19,MIN(AP$6-$E$3,22))&lt;&gt;""),Sorgo!$E19:INDEX(Sorgo!$E19:$Z19,MIN(AP$6-$E$3,22))),0))-IF($G$2,0,IF((AP$6-$G$3)&lt;1,0,IFERROR(LOOKUP(2,1/(Sorgo!$E19:INDEX(Sorgo!$E19:$Z19,MIN(AP$6-$G$3,22))&lt;&gt;""),Sorgo!$E19:INDEX(Sorgo!$E19:$Z19,MIN(AP$6-$G$3,22))),0)))))</f>
        <v>0</v>
      </c>
      <c r="AQ21" s="27" t="n">
        <f aca="false">IF(COUNT(Sorgo!$E19:$Z19)=0,0,MAX(0,IF((AQ$6-$E$3)&lt;1,0,IFERROR(LOOKUP(2,1/(Sorgo!$E19:INDEX(Sorgo!$E19:$Z19,MIN(AQ$6-$E$3,22))&lt;&gt;""),Sorgo!$E19:INDEX(Sorgo!$E19:$Z19,MIN(AQ$6-$E$3,22))),0))-IF($G$2,0,IF((AQ$6-$G$3)&lt;1,0,IFERROR(LOOKUP(2,1/(Sorgo!$E19:INDEX(Sorgo!$E19:$Z19,MIN(AQ$6-$G$3,22))&lt;&gt;""),Sorgo!$E19:INDEX(Sorgo!$E19:$Z19,MIN(AQ$6-$G$3,22))),0)))))</f>
        <v>0</v>
      </c>
      <c r="AR21" s="27" t="n">
        <f aca="false">IF(COUNT(Sorgo!$E19:$Z19)=0,0,MAX(0,IF((AR$6-$E$3)&lt;1,0,IFERROR(LOOKUP(2,1/(Sorgo!$E19:INDEX(Sorgo!$E19:$Z19,MIN(AR$6-$E$3,22))&lt;&gt;""),Sorgo!$E19:INDEX(Sorgo!$E19:$Z19,MIN(AR$6-$E$3,22))),0))-IF($G$2,0,IF((AR$6-$G$3)&lt;1,0,IFERROR(LOOKUP(2,1/(Sorgo!$E19:INDEX(Sorgo!$E19:$Z19,MIN(AR$6-$G$3,22))&lt;&gt;""),Sorgo!$E19:INDEX(Sorgo!$E19:$Z19,MIN(AR$6-$G$3,22))),0)))))</f>
        <v>0</v>
      </c>
      <c r="AS21" s="27" t="n">
        <f aca="false">IF(COUNT(Sorgo!$E19:$Z19)=0,0,MAX(0,IF((AS$6-$E$3)&lt;1,0,IFERROR(LOOKUP(2,1/(Sorgo!$E19:INDEX(Sorgo!$E19:$Z19,MIN(AS$6-$E$3,22))&lt;&gt;""),Sorgo!$E19:INDEX(Sorgo!$E19:$Z19,MIN(AS$6-$E$3,22))),0))-IF($G$2,0,IF((AS$6-$G$3)&lt;1,0,IFERROR(LOOKUP(2,1/(Sorgo!$E19:INDEX(Sorgo!$E19:$Z19,MIN(AS$6-$G$3,22))&lt;&gt;""),Sorgo!$E19:INDEX(Sorgo!$E19:$Z19,MIN(AS$6-$G$3,22))),0)))))</f>
        <v>0</v>
      </c>
      <c r="AT21" s="27" t="n">
        <f aca="false">IF(COUNT(Sorgo!$E19:$Z19)=0,0,MAX(0,IF((AT$6-$E$3)&lt;1,0,IFERROR(LOOKUP(2,1/(Sorgo!$E19:INDEX(Sorgo!$E19:$Z19,MIN(AT$6-$E$3,22))&lt;&gt;""),Sorgo!$E19:INDEX(Sorgo!$E19:$Z19,MIN(AT$6-$E$3,22))),0))-IF($G$2,0,IF((AT$6-$G$3)&lt;1,0,IFERROR(LOOKUP(2,1/(Sorgo!$E19:INDEX(Sorgo!$E19:$Z19,MIN(AT$6-$G$3,22))&lt;&gt;""),Sorgo!$E19:INDEX(Sorgo!$E19:$Z19,MIN(AT$6-$G$3,22))),0)))))</f>
        <v>0</v>
      </c>
      <c r="AU21" s="27" t="n">
        <f aca="false">IF(COUNT(Sorgo!$E19:$Z19)=0,0,MAX(0,IF((AU$6-$E$3)&lt;1,0,IFERROR(LOOKUP(2,1/(Sorgo!$E19:INDEX(Sorgo!$E19:$Z19,MIN(AU$6-$E$3,22))&lt;&gt;""),Sorgo!$E19:INDEX(Sorgo!$E19:$Z19,MIN(AU$6-$E$3,22))),0))-IF($G$2,0,IF((AU$6-$G$3)&lt;1,0,IFERROR(LOOKUP(2,1/(Sorgo!$E19:INDEX(Sorgo!$E19:$Z19,MIN(AU$6-$G$3,22))&lt;&gt;""),Sorgo!$E19:INDEX(Sorgo!$E19:$Z19,MIN(AU$6-$G$3,22))),0)))))</f>
        <v>0</v>
      </c>
      <c r="AV21" s="27" t="n">
        <f aca="false">IF(COUNT(Sorgo!$E19:$Z19)=0,0,MAX(0,IF((AV$6-$E$3)&lt;1,0,IFERROR(LOOKUP(2,1/(Sorgo!$E19:INDEX(Sorgo!$E19:$Z19,MIN(AV$6-$E$3,22))&lt;&gt;""),Sorgo!$E19:INDEX(Sorgo!$E19:$Z19,MIN(AV$6-$E$3,22))),0))-IF($G$2,0,IF((AV$6-$G$3)&lt;1,0,IFERROR(LOOKUP(2,1/(Sorgo!$E19:INDEX(Sorgo!$E19:$Z19,MIN(AV$6-$G$3,22))&lt;&gt;""),Sorgo!$E19:INDEX(Sorgo!$E19:$Z19,MIN(AV$6-$G$3,22))),0)))))</f>
        <v>0</v>
      </c>
      <c r="AW21" s="27" t="n">
        <f aca="false">IF(COUNT(Sorgo!$E19:$Z19)=0,0,MAX(0,IF((AW$6-$E$3)&lt;1,0,IFERROR(LOOKUP(2,1/(Sorgo!$E19:INDEX(Sorgo!$E19:$Z19,MIN(AW$6-$E$3,22))&lt;&gt;""),Sorgo!$E19:INDEX(Sorgo!$E19:$Z19,MIN(AW$6-$E$3,22))),0))-IF($G$2,0,IF((AW$6-$G$3)&lt;1,0,IFERROR(LOOKUP(2,1/(Sorgo!$E19:INDEX(Sorgo!$E19:$Z19,MIN(AW$6-$G$3,22))&lt;&gt;""),Sorgo!$E19:INDEX(Sorgo!$E19:$Z19,MIN(AW$6-$G$3,22))),0)))))</f>
        <v>0</v>
      </c>
      <c r="AX21" s="27" t="n">
        <f aca="false">IF(COUNT(Sorgo!$E19:$Z19)=0,0,MAX(0,IF((AX$6-$E$3)&lt;1,0,IFERROR(LOOKUP(2,1/(Sorgo!$E19:INDEX(Sorgo!$E19:$Z19,MIN(AX$6-$E$3,22))&lt;&gt;""),Sorgo!$E19:INDEX(Sorgo!$E19:$Z19,MIN(AX$6-$E$3,22))),0))-IF($G$2,0,IF((AX$6-$G$3)&lt;1,0,IFERROR(LOOKUP(2,1/(Sorgo!$E19:INDEX(Sorgo!$E19:$Z19,MIN(AX$6-$G$3,22))&lt;&gt;""),Sorgo!$E19:INDEX(Sorgo!$E19:$Z19,MIN(AX$6-$G$3,22))),0)))))</f>
        <v>0</v>
      </c>
      <c r="AY21" s="27" t="n">
        <f aca="false">IF(COUNT(Sorgo!$E19:$Z19)=0,0,MAX(0,IF((AY$6-$E$3)&lt;1,0,IFERROR(LOOKUP(2,1/(Sorgo!$E19:INDEX(Sorgo!$E19:$Z19,MIN(AY$6-$E$3,22))&lt;&gt;""),Sorgo!$E19:INDEX(Sorgo!$E19:$Z19,MIN(AY$6-$E$3,22))),0))-IF($G$2,0,IF((AY$6-$G$3)&lt;1,0,IFERROR(LOOKUP(2,1/(Sorgo!$E19:INDEX(Sorgo!$E19:$Z19,MIN(AY$6-$G$3,22))&lt;&gt;""),Sorgo!$E19:INDEX(Sorgo!$E19:$Z19,MIN(AY$6-$G$3,22))),0)))))</f>
        <v>0</v>
      </c>
      <c r="AZ21" s="27" t="n">
        <f aca="false">IF(COUNT(Sorgo!$E19:$Z19)=0,0,MAX(0,IF((AZ$6-$E$3)&lt;1,0,IFERROR(LOOKUP(2,1/(Sorgo!$E19:INDEX(Sorgo!$E19:$Z19,MIN(AZ$6-$E$3,22))&lt;&gt;""),Sorgo!$E19:INDEX(Sorgo!$E19:$Z19,MIN(AZ$6-$E$3,22))),0))-IF($G$2,0,IF((AZ$6-$G$3)&lt;1,0,IFERROR(LOOKUP(2,1/(Sorgo!$E19:INDEX(Sorgo!$E19:$Z19,MIN(AZ$6-$G$3,22))&lt;&gt;""),Sorgo!$E19:INDEX(Sorgo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IF(COUNT(Sorgo!$E20:$Z20)&gt;0,N(Sorgo!$D20),0)</f>
        <v>0</v>
      </c>
      <c r="E22" s="27" t="n">
        <f aca="false">IF(COUNT(Sorgo!$E20:$Z20)=0,0,MAX(0,IF((E$6-$E$3)&lt;1,0,IFERROR(LOOKUP(2,1/(Sorgo!$E20:INDEX(Sorgo!$E20:$Z20,MIN(E$6-$E$3,22))&lt;&gt;""),Sorgo!$E20:INDEX(Sorgo!$E20:$Z20,MIN(E$6-$E$3,22))),0))-IF($G$2,0,IF((E$6-$G$3)&lt;1,0,IFERROR(LOOKUP(2,1/(Sorgo!$E20:INDEX(Sorgo!$E20:$Z20,MIN(E$6-$G$3,22))&lt;&gt;""),Sorgo!$E20:INDEX(Sorgo!$E20:$Z20,MIN(E$6-$G$3,22))),0)))))</f>
        <v>0</v>
      </c>
      <c r="F22" s="27" t="n">
        <f aca="false">IF(COUNT(Sorgo!$E20:$Z20)=0,0,MAX(0,IF((F$6-$E$3)&lt;1,0,IFERROR(LOOKUP(2,1/(Sorgo!$E20:INDEX(Sorgo!$E20:$Z20,MIN(F$6-$E$3,22))&lt;&gt;""),Sorgo!$E20:INDEX(Sorgo!$E20:$Z20,MIN(F$6-$E$3,22))),0))-IF($G$2,0,IF((F$6-$G$3)&lt;1,0,IFERROR(LOOKUP(2,1/(Sorgo!$E20:INDEX(Sorgo!$E20:$Z20,MIN(F$6-$G$3,22))&lt;&gt;""),Sorgo!$E20:INDEX(Sorgo!$E20:$Z20,MIN(F$6-$G$3,22))),0)))))</f>
        <v>0</v>
      </c>
      <c r="G22" s="27" t="n">
        <f aca="false">IF(COUNT(Sorgo!$E20:$Z20)=0,0,MAX(0,IF((G$6-$E$3)&lt;1,0,IFERROR(LOOKUP(2,1/(Sorgo!$E20:INDEX(Sorgo!$E20:$Z20,MIN(G$6-$E$3,22))&lt;&gt;""),Sorgo!$E20:INDEX(Sorgo!$E20:$Z20,MIN(G$6-$E$3,22))),0))-IF($G$2,0,IF((G$6-$G$3)&lt;1,0,IFERROR(LOOKUP(2,1/(Sorgo!$E20:INDEX(Sorgo!$E20:$Z20,MIN(G$6-$G$3,22))&lt;&gt;""),Sorgo!$E20:INDEX(Sorgo!$E20:$Z20,MIN(G$6-$G$3,22))),0)))))</f>
        <v>0</v>
      </c>
      <c r="H22" s="27" t="n">
        <f aca="false">IF(COUNT(Sorgo!$E20:$Z20)=0,0,MAX(0,IF((H$6-$E$3)&lt;1,0,IFERROR(LOOKUP(2,1/(Sorgo!$E20:INDEX(Sorgo!$E20:$Z20,MIN(H$6-$E$3,22))&lt;&gt;""),Sorgo!$E20:INDEX(Sorgo!$E20:$Z20,MIN(H$6-$E$3,22))),0))-IF($G$2,0,IF((H$6-$G$3)&lt;1,0,IFERROR(LOOKUP(2,1/(Sorgo!$E20:INDEX(Sorgo!$E20:$Z20,MIN(H$6-$G$3,22))&lt;&gt;""),Sorgo!$E20:INDEX(Sorgo!$E20:$Z20,MIN(H$6-$G$3,22))),0)))))</f>
        <v>0</v>
      </c>
      <c r="I22" s="27" t="n">
        <f aca="false">IF(COUNT(Sorgo!$E20:$Z20)=0,0,MAX(0,IF((I$6-$E$3)&lt;1,0,IFERROR(LOOKUP(2,1/(Sorgo!$E20:INDEX(Sorgo!$E20:$Z20,MIN(I$6-$E$3,22))&lt;&gt;""),Sorgo!$E20:INDEX(Sorgo!$E20:$Z20,MIN(I$6-$E$3,22))),0))-IF($G$2,0,IF((I$6-$G$3)&lt;1,0,IFERROR(LOOKUP(2,1/(Sorgo!$E20:INDEX(Sorgo!$E20:$Z20,MIN(I$6-$G$3,22))&lt;&gt;""),Sorgo!$E20:INDEX(Sorgo!$E20:$Z20,MIN(I$6-$G$3,22))),0)))))</f>
        <v>0</v>
      </c>
      <c r="J22" s="27" t="n">
        <f aca="false">IF(COUNT(Sorgo!$E20:$Z20)=0,0,MAX(0,IF((J$6-$E$3)&lt;1,0,IFERROR(LOOKUP(2,1/(Sorgo!$E20:INDEX(Sorgo!$E20:$Z20,MIN(J$6-$E$3,22))&lt;&gt;""),Sorgo!$E20:INDEX(Sorgo!$E20:$Z20,MIN(J$6-$E$3,22))),0))-IF($G$2,0,IF((J$6-$G$3)&lt;1,0,IFERROR(LOOKUP(2,1/(Sorgo!$E20:INDEX(Sorgo!$E20:$Z20,MIN(J$6-$G$3,22))&lt;&gt;""),Sorgo!$E20:INDEX(Sorgo!$E20:$Z20,MIN(J$6-$G$3,22))),0)))))</f>
        <v>0</v>
      </c>
      <c r="K22" s="27" t="n">
        <f aca="false">IF(COUNT(Sorgo!$E20:$Z20)=0,0,MAX(0,IF((K$6-$E$3)&lt;1,0,IFERROR(LOOKUP(2,1/(Sorgo!$E20:INDEX(Sorgo!$E20:$Z20,MIN(K$6-$E$3,22))&lt;&gt;""),Sorgo!$E20:INDEX(Sorgo!$E20:$Z20,MIN(K$6-$E$3,22))),0))-IF($G$2,0,IF((K$6-$G$3)&lt;1,0,IFERROR(LOOKUP(2,1/(Sorgo!$E20:INDEX(Sorgo!$E20:$Z20,MIN(K$6-$G$3,22))&lt;&gt;""),Sorgo!$E20:INDEX(Sorgo!$E20:$Z20,MIN(K$6-$G$3,22))),0)))))</f>
        <v>0</v>
      </c>
      <c r="L22" s="27" t="n">
        <f aca="false">IF(COUNT(Sorgo!$E20:$Z20)=0,0,MAX(0,IF((L$6-$E$3)&lt;1,0,IFERROR(LOOKUP(2,1/(Sorgo!$E20:INDEX(Sorgo!$E20:$Z20,MIN(L$6-$E$3,22))&lt;&gt;""),Sorgo!$E20:INDEX(Sorgo!$E20:$Z20,MIN(L$6-$E$3,22))),0))-IF($G$2,0,IF((L$6-$G$3)&lt;1,0,IFERROR(LOOKUP(2,1/(Sorgo!$E20:INDEX(Sorgo!$E20:$Z20,MIN(L$6-$G$3,22))&lt;&gt;""),Sorgo!$E20:INDEX(Sorgo!$E20:$Z20,MIN(L$6-$G$3,22))),0)))))</f>
        <v>0</v>
      </c>
      <c r="M22" s="27" t="n">
        <f aca="false">IF(COUNT(Sorgo!$E20:$Z20)=0,0,MAX(0,IF((M$6-$E$3)&lt;1,0,IFERROR(LOOKUP(2,1/(Sorgo!$E20:INDEX(Sorgo!$E20:$Z20,MIN(M$6-$E$3,22))&lt;&gt;""),Sorgo!$E20:INDEX(Sorgo!$E20:$Z20,MIN(M$6-$E$3,22))),0))-IF($G$2,0,IF((M$6-$G$3)&lt;1,0,IFERROR(LOOKUP(2,1/(Sorgo!$E20:INDEX(Sorgo!$E20:$Z20,MIN(M$6-$G$3,22))&lt;&gt;""),Sorgo!$E20:INDEX(Sorgo!$E20:$Z20,MIN(M$6-$G$3,22))),0)))))</f>
        <v>0</v>
      </c>
      <c r="N22" s="27" t="n">
        <f aca="false">IF(COUNT(Sorgo!$E20:$Z20)=0,0,MAX(0,IF((N$6-$E$3)&lt;1,0,IFERROR(LOOKUP(2,1/(Sorgo!$E20:INDEX(Sorgo!$E20:$Z20,MIN(N$6-$E$3,22))&lt;&gt;""),Sorgo!$E20:INDEX(Sorgo!$E20:$Z20,MIN(N$6-$E$3,22))),0))-IF($G$2,0,IF((N$6-$G$3)&lt;1,0,IFERROR(LOOKUP(2,1/(Sorgo!$E20:INDEX(Sorgo!$E20:$Z20,MIN(N$6-$G$3,22))&lt;&gt;""),Sorgo!$E20:INDEX(Sorgo!$E20:$Z20,MIN(N$6-$G$3,22))),0)))))</f>
        <v>0</v>
      </c>
      <c r="O22" s="27" t="n">
        <f aca="false">IF(COUNT(Sorgo!$E20:$Z20)=0,0,MAX(0,IF((O$6-$E$3)&lt;1,0,IFERROR(LOOKUP(2,1/(Sorgo!$E20:INDEX(Sorgo!$E20:$Z20,MIN(O$6-$E$3,22))&lt;&gt;""),Sorgo!$E20:INDEX(Sorgo!$E20:$Z20,MIN(O$6-$E$3,22))),0))-IF($G$2,0,IF((O$6-$G$3)&lt;1,0,IFERROR(LOOKUP(2,1/(Sorgo!$E20:INDEX(Sorgo!$E20:$Z20,MIN(O$6-$G$3,22))&lt;&gt;""),Sorgo!$E20:INDEX(Sorgo!$E20:$Z20,MIN(O$6-$G$3,22))),0)))))</f>
        <v>0</v>
      </c>
      <c r="P22" s="27" t="n">
        <f aca="false">IF(COUNT(Sorgo!$E20:$Z20)=0,0,MAX(0,IF((P$6-$E$3)&lt;1,0,IFERROR(LOOKUP(2,1/(Sorgo!$E20:INDEX(Sorgo!$E20:$Z20,MIN(P$6-$E$3,22))&lt;&gt;""),Sorgo!$E20:INDEX(Sorgo!$E20:$Z20,MIN(P$6-$E$3,22))),0))-IF($G$2,0,IF((P$6-$G$3)&lt;1,0,IFERROR(LOOKUP(2,1/(Sorgo!$E20:INDEX(Sorgo!$E20:$Z20,MIN(P$6-$G$3,22))&lt;&gt;""),Sorgo!$E20:INDEX(Sorgo!$E20:$Z20,MIN(P$6-$G$3,22))),0)))))</f>
        <v>0</v>
      </c>
      <c r="Q22" s="27" t="n">
        <f aca="false">IF(COUNT(Sorgo!$E20:$Z20)=0,0,MAX(0,IF((Q$6-$E$3)&lt;1,0,IFERROR(LOOKUP(2,1/(Sorgo!$E20:INDEX(Sorgo!$E20:$Z20,MIN(Q$6-$E$3,22))&lt;&gt;""),Sorgo!$E20:INDEX(Sorgo!$E20:$Z20,MIN(Q$6-$E$3,22))),0))-IF($G$2,0,IF((Q$6-$G$3)&lt;1,0,IFERROR(LOOKUP(2,1/(Sorgo!$E20:INDEX(Sorgo!$E20:$Z20,MIN(Q$6-$G$3,22))&lt;&gt;""),Sorgo!$E20:INDEX(Sorgo!$E20:$Z20,MIN(Q$6-$G$3,22))),0)))))</f>
        <v>0</v>
      </c>
      <c r="R22" s="27" t="n">
        <f aca="false">IF(COUNT(Sorgo!$E20:$Z20)=0,0,MAX(0,IF((R$6-$E$3)&lt;1,0,IFERROR(LOOKUP(2,1/(Sorgo!$E20:INDEX(Sorgo!$E20:$Z20,MIN(R$6-$E$3,22))&lt;&gt;""),Sorgo!$E20:INDEX(Sorgo!$E20:$Z20,MIN(R$6-$E$3,22))),0))-IF($G$2,0,IF((R$6-$G$3)&lt;1,0,IFERROR(LOOKUP(2,1/(Sorgo!$E20:INDEX(Sorgo!$E20:$Z20,MIN(R$6-$G$3,22))&lt;&gt;""),Sorgo!$E20:INDEX(Sorgo!$E20:$Z20,MIN(R$6-$G$3,22))),0)))))</f>
        <v>0</v>
      </c>
      <c r="S22" s="27" t="n">
        <f aca="false">IF(COUNT(Sorgo!$E20:$Z20)=0,0,MAX(0,IF((S$6-$E$3)&lt;1,0,IFERROR(LOOKUP(2,1/(Sorgo!$E20:INDEX(Sorgo!$E20:$Z20,MIN(S$6-$E$3,22))&lt;&gt;""),Sorgo!$E20:INDEX(Sorgo!$E20:$Z20,MIN(S$6-$E$3,22))),0))-IF($G$2,0,IF((S$6-$G$3)&lt;1,0,IFERROR(LOOKUP(2,1/(Sorgo!$E20:INDEX(Sorgo!$E20:$Z20,MIN(S$6-$G$3,22))&lt;&gt;""),Sorgo!$E20:INDEX(Sorgo!$E20:$Z20,MIN(S$6-$G$3,22))),0)))))</f>
        <v>0</v>
      </c>
      <c r="T22" s="27" t="n">
        <f aca="false">IF(COUNT(Sorgo!$E20:$Z20)=0,0,MAX(0,IF((T$6-$E$3)&lt;1,0,IFERROR(LOOKUP(2,1/(Sorgo!$E20:INDEX(Sorgo!$E20:$Z20,MIN(T$6-$E$3,22))&lt;&gt;""),Sorgo!$E20:INDEX(Sorgo!$E20:$Z20,MIN(T$6-$E$3,22))),0))-IF($G$2,0,IF((T$6-$G$3)&lt;1,0,IFERROR(LOOKUP(2,1/(Sorgo!$E20:INDEX(Sorgo!$E20:$Z20,MIN(T$6-$G$3,22))&lt;&gt;""),Sorgo!$E20:INDEX(Sorgo!$E20:$Z20,MIN(T$6-$G$3,22))),0)))))</f>
        <v>0</v>
      </c>
      <c r="U22" s="27" t="n">
        <f aca="false">IF(COUNT(Sorgo!$E20:$Z20)=0,0,MAX(0,IF((U$6-$E$3)&lt;1,0,IFERROR(LOOKUP(2,1/(Sorgo!$E20:INDEX(Sorgo!$E20:$Z20,MIN(U$6-$E$3,22))&lt;&gt;""),Sorgo!$E20:INDEX(Sorgo!$E20:$Z20,MIN(U$6-$E$3,22))),0))-IF($G$2,0,IF((U$6-$G$3)&lt;1,0,IFERROR(LOOKUP(2,1/(Sorgo!$E20:INDEX(Sorgo!$E20:$Z20,MIN(U$6-$G$3,22))&lt;&gt;""),Sorgo!$E20:INDEX(Sorgo!$E20:$Z20,MIN(U$6-$G$3,22))),0)))))</f>
        <v>0</v>
      </c>
      <c r="V22" s="27" t="n">
        <f aca="false">IF(COUNT(Sorgo!$E20:$Z20)=0,0,MAX(0,IF((V$6-$E$3)&lt;1,0,IFERROR(LOOKUP(2,1/(Sorgo!$E20:INDEX(Sorgo!$E20:$Z20,MIN(V$6-$E$3,22))&lt;&gt;""),Sorgo!$E20:INDEX(Sorgo!$E20:$Z20,MIN(V$6-$E$3,22))),0))-IF($G$2,0,IF((V$6-$G$3)&lt;1,0,IFERROR(LOOKUP(2,1/(Sorgo!$E20:INDEX(Sorgo!$E20:$Z20,MIN(V$6-$G$3,22))&lt;&gt;""),Sorgo!$E20:INDEX(Sorgo!$E20:$Z20,MIN(V$6-$G$3,22))),0)))))</f>
        <v>0</v>
      </c>
      <c r="W22" s="27" t="n">
        <f aca="false">IF(COUNT(Sorgo!$E20:$Z20)=0,0,MAX(0,IF((W$6-$E$3)&lt;1,0,IFERROR(LOOKUP(2,1/(Sorgo!$E20:INDEX(Sorgo!$E20:$Z20,MIN(W$6-$E$3,22))&lt;&gt;""),Sorgo!$E20:INDEX(Sorgo!$E20:$Z20,MIN(W$6-$E$3,22))),0))-IF($G$2,0,IF((W$6-$G$3)&lt;1,0,IFERROR(LOOKUP(2,1/(Sorgo!$E20:INDEX(Sorgo!$E20:$Z20,MIN(W$6-$G$3,22))&lt;&gt;""),Sorgo!$E20:INDEX(Sorgo!$E20:$Z20,MIN(W$6-$G$3,22))),0)))))</f>
        <v>0</v>
      </c>
      <c r="X22" s="27" t="n">
        <f aca="false">IF(COUNT(Sorgo!$E20:$Z20)=0,0,MAX(0,IF((X$6-$E$3)&lt;1,0,IFERROR(LOOKUP(2,1/(Sorgo!$E20:INDEX(Sorgo!$E20:$Z20,MIN(X$6-$E$3,22))&lt;&gt;""),Sorgo!$E20:INDEX(Sorgo!$E20:$Z20,MIN(X$6-$E$3,22))),0))-IF($G$2,0,IF((X$6-$G$3)&lt;1,0,IFERROR(LOOKUP(2,1/(Sorgo!$E20:INDEX(Sorgo!$E20:$Z20,MIN(X$6-$G$3,22))&lt;&gt;""),Sorgo!$E20:INDEX(Sorgo!$E20:$Z20,MIN(X$6-$G$3,22))),0)))))</f>
        <v>0</v>
      </c>
      <c r="Y22" s="27" t="n">
        <f aca="false">IF(COUNT(Sorgo!$E20:$Z20)=0,0,MAX(0,IF((Y$6-$E$3)&lt;1,0,IFERROR(LOOKUP(2,1/(Sorgo!$E20:INDEX(Sorgo!$E20:$Z20,MIN(Y$6-$E$3,22))&lt;&gt;""),Sorgo!$E20:INDEX(Sorgo!$E20:$Z20,MIN(Y$6-$E$3,22))),0))-IF($G$2,0,IF((Y$6-$G$3)&lt;1,0,IFERROR(LOOKUP(2,1/(Sorgo!$E20:INDEX(Sorgo!$E20:$Z20,MIN(Y$6-$G$3,22))&lt;&gt;""),Sorgo!$E20:INDEX(Sorgo!$E20:$Z20,MIN(Y$6-$G$3,22))),0)))))</f>
        <v>0</v>
      </c>
      <c r="Z22" s="27" t="n">
        <f aca="false">IF(COUNT(Sorgo!$E20:$Z20)=0,0,MAX(0,IF((Z$6-$E$3)&lt;1,0,IFERROR(LOOKUP(2,1/(Sorgo!$E20:INDEX(Sorgo!$E20:$Z20,MIN(Z$6-$E$3,22))&lt;&gt;""),Sorgo!$E20:INDEX(Sorgo!$E20:$Z20,MIN(Z$6-$E$3,22))),0))-IF($G$2,0,IF((Z$6-$G$3)&lt;1,0,IFERROR(LOOKUP(2,1/(Sorgo!$E20:INDEX(Sorgo!$E20:$Z20,MIN(Z$6-$G$3,22))&lt;&gt;""),Sorgo!$E20:INDEX(Sorgo!$E20:$Z20,MIN(Z$6-$G$3,22))),0)))))</f>
        <v>0</v>
      </c>
      <c r="AA22" s="27" t="n">
        <f aca="false">IF(COUNT(Sorgo!$E20:$Z20)=0,0,MAX(0,IF((AA$6-$E$3)&lt;1,0,IFERROR(LOOKUP(2,1/(Sorgo!$E20:INDEX(Sorgo!$E20:$Z20,MIN(AA$6-$E$3,22))&lt;&gt;""),Sorgo!$E20:INDEX(Sorgo!$E20:$Z20,MIN(AA$6-$E$3,22))),0))-IF($G$2,0,IF((AA$6-$G$3)&lt;1,0,IFERROR(LOOKUP(2,1/(Sorgo!$E20:INDEX(Sorgo!$E20:$Z20,MIN(AA$6-$G$3,22))&lt;&gt;""),Sorgo!$E20:INDEX(Sorgo!$E20:$Z20,MIN(AA$6-$G$3,22))),0)))))</f>
        <v>0</v>
      </c>
      <c r="AB22" s="27" t="n">
        <f aca="false">IF(COUNT(Sorgo!$E20:$Z20)=0,0,MAX(0,IF((AB$6-$E$3)&lt;1,0,IFERROR(LOOKUP(2,1/(Sorgo!$E20:INDEX(Sorgo!$E20:$Z20,MIN(AB$6-$E$3,22))&lt;&gt;""),Sorgo!$E20:INDEX(Sorgo!$E20:$Z20,MIN(AB$6-$E$3,22))),0))-IF($G$2,0,IF((AB$6-$G$3)&lt;1,0,IFERROR(LOOKUP(2,1/(Sorgo!$E20:INDEX(Sorgo!$E20:$Z20,MIN(AB$6-$G$3,22))&lt;&gt;""),Sorgo!$E20:INDEX(Sorgo!$E20:$Z20,MIN(AB$6-$G$3,22))),0)))))</f>
        <v>0</v>
      </c>
      <c r="AC22" s="27" t="n">
        <f aca="false">IF(COUNT(Sorgo!$E20:$Z20)=0,0,MAX(0,IF((AC$6-$E$3)&lt;1,0,IFERROR(LOOKUP(2,1/(Sorgo!$E20:INDEX(Sorgo!$E20:$Z20,MIN(AC$6-$E$3,22))&lt;&gt;""),Sorgo!$E20:INDEX(Sorgo!$E20:$Z20,MIN(AC$6-$E$3,22))),0))-IF($G$2,0,IF((AC$6-$G$3)&lt;1,0,IFERROR(LOOKUP(2,1/(Sorgo!$E20:INDEX(Sorgo!$E20:$Z20,MIN(AC$6-$G$3,22))&lt;&gt;""),Sorgo!$E20:INDEX(Sorgo!$E20:$Z20,MIN(AC$6-$G$3,22))),0)))))</f>
        <v>0</v>
      </c>
      <c r="AD22" s="27" t="n">
        <f aca="false">IF(COUNT(Sorgo!$E20:$Z20)=0,0,MAX(0,IF((AD$6-$E$3)&lt;1,0,IFERROR(LOOKUP(2,1/(Sorgo!$E20:INDEX(Sorgo!$E20:$Z20,MIN(AD$6-$E$3,22))&lt;&gt;""),Sorgo!$E20:INDEX(Sorgo!$E20:$Z20,MIN(AD$6-$E$3,22))),0))-IF($G$2,0,IF((AD$6-$G$3)&lt;1,0,IFERROR(LOOKUP(2,1/(Sorgo!$E20:INDEX(Sorgo!$E20:$Z20,MIN(AD$6-$G$3,22))&lt;&gt;""),Sorgo!$E20:INDEX(Sorgo!$E20:$Z20,MIN(AD$6-$G$3,22))),0)))))</f>
        <v>0</v>
      </c>
      <c r="AE22" s="27" t="n">
        <f aca="false">IF(COUNT(Sorgo!$E20:$Z20)=0,0,MAX(0,IF((AE$6-$E$3)&lt;1,0,IFERROR(LOOKUP(2,1/(Sorgo!$E20:INDEX(Sorgo!$E20:$Z20,MIN(AE$6-$E$3,22))&lt;&gt;""),Sorgo!$E20:INDEX(Sorgo!$E20:$Z20,MIN(AE$6-$E$3,22))),0))-IF($G$2,0,IF((AE$6-$G$3)&lt;1,0,IFERROR(LOOKUP(2,1/(Sorgo!$E20:INDEX(Sorgo!$E20:$Z20,MIN(AE$6-$G$3,22))&lt;&gt;""),Sorgo!$E20:INDEX(Sorgo!$E20:$Z20,MIN(AE$6-$G$3,22))),0)))))</f>
        <v>0</v>
      </c>
      <c r="AF22" s="27" t="n">
        <f aca="false">IF(COUNT(Sorgo!$E20:$Z20)=0,0,MAX(0,IF((AF$6-$E$3)&lt;1,0,IFERROR(LOOKUP(2,1/(Sorgo!$E20:INDEX(Sorgo!$E20:$Z20,MIN(AF$6-$E$3,22))&lt;&gt;""),Sorgo!$E20:INDEX(Sorgo!$E20:$Z20,MIN(AF$6-$E$3,22))),0))-IF($G$2,0,IF((AF$6-$G$3)&lt;1,0,IFERROR(LOOKUP(2,1/(Sorgo!$E20:INDEX(Sorgo!$E20:$Z20,MIN(AF$6-$G$3,22))&lt;&gt;""),Sorgo!$E20:INDEX(Sorgo!$E20:$Z20,MIN(AF$6-$G$3,22))),0)))))</f>
        <v>0</v>
      </c>
      <c r="AG22" s="27" t="n">
        <f aca="false">IF(COUNT(Sorgo!$E20:$Z20)=0,0,MAX(0,IF((AG$6-$E$3)&lt;1,0,IFERROR(LOOKUP(2,1/(Sorgo!$E20:INDEX(Sorgo!$E20:$Z20,MIN(AG$6-$E$3,22))&lt;&gt;""),Sorgo!$E20:INDEX(Sorgo!$E20:$Z20,MIN(AG$6-$E$3,22))),0))-IF($G$2,0,IF((AG$6-$G$3)&lt;1,0,IFERROR(LOOKUP(2,1/(Sorgo!$E20:INDEX(Sorgo!$E20:$Z20,MIN(AG$6-$G$3,22))&lt;&gt;""),Sorgo!$E20:INDEX(Sorgo!$E20:$Z20,MIN(AG$6-$G$3,22))),0)))))</f>
        <v>0</v>
      </c>
      <c r="AH22" s="27" t="n">
        <f aca="false">IF(COUNT(Sorgo!$E20:$Z20)=0,0,MAX(0,IF((AH$6-$E$3)&lt;1,0,IFERROR(LOOKUP(2,1/(Sorgo!$E20:INDEX(Sorgo!$E20:$Z20,MIN(AH$6-$E$3,22))&lt;&gt;""),Sorgo!$E20:INDEX(Sorgo!$E20:$Z20,MIN(AH$6-$E$3,22))),0))-IF($G$2,0,IF((AH$6-$G$3)&lt;1,0,IFERROR(LOOKUP(2,1/(Sorgo!$E20:INDEX(Sorgo!$E20:$Z20,MIN(AH$6-$G$3,22))&lt;&gt;""),Sorgo!$E20:INDEX(Sorgo!$E20:$Z20,MIN(AH$6-$G$3,22))),0)))))</f>
        <v>0</v>
      </c>
      <c r="AI22" s="27" t="n">
        <f aca="false">IF(COUNT(Sorgo!$E20:$Z20)=0,0,MAX(0,IF((AI$6-$E$3)&lt;1,0,IFERROR(LOOKUP(2,1/(Sorgo!$E20:INDEX(Sorgo!$E20:$Z20,MIN(AI$6-$E$3,22))&lt;&gt;""),Sorgo!$E20:INDEX(Sorgo!$E20:$Z20,MIN(AI$6-$E$3,22))),0))-IF($G$2,0,IF((AI$6-$G$3)&lt;1,0,IFERROR(LOOKUP(2,1/(Sorgo!$E20:INDEX(Sorgo!$E20:$Z20,MIN(AI$6-$G$3,22))&lt;&gt;""),Sorgo!$E20:INDEX(Sorgo!$E20:$Z20,MIN(AI$6-$G$3,22))),0)))))</f>
        <v>0</v>
      </c>
      <c r="AJ22" s="27" t="n">
        <f aca="false">IF(COUNT(Sorgo!$E20:$Z20)=0,0,MAX(0,IF((AJ$6-$E$3)&lt;1,0,IFERROR(LOOKUP(2,1/(Sorgo!$E20:INDEX(Sorgo!$E20:$Z20,MIN(AJ$6-$E$3,22))&lt;&gt;""),Sorgo!$E20:INDEX(Sorgo!$E20:$Z20,MIN(AJ$6-$E$3,22))),0))-IF($G$2,0,IF((AJ$6-$G$3)&lt;1,0,IFERROR(LOOKUP(2,1/(Sorgo!$E20:INDEX(Sorgo!$E20:$Z20,MIN(AJ$6-$G$3,22))&lt;&gt;""),Sorgo!$E20:INDEX(Sorgo!$E20:$Z20,MIN(AJ$6-$G$3,22))),0)))))</f>
        <v>0</v>
      </c>
      <c r="AK22" s="27" t="n">
        <f aca="false">IF(COUNT(Sorgo!$E20:$Z20)=0,0,MAX(0,IF((AK$6-$E$3)&lt;1,0,IFERROR(LOOKUP(2,1/(Sorgo!$E20:INDEX(Sorgo!$E20:$Z20,MIN(AK$6-$E$3,22))&lt;&gt;""),Sorgo!$E20:INDEX(Sorgo!$E20:$Z20,MIN(AK$6-$E$3,22))),0))-IF($G$2,0,IF((AK$6-$G$3)&lt;1,0,IFERROR(LOOKUP(2,1/(Sorgo!$E20:INDEX(Sorgo!$E20:$Z20,MIN(AK$6-$G$3,22))&lt;&gt;""),Sorgo!$E20:INDEX(Sorgo!$E20:$Z20,MIN(AK$6-$G$3,22))),0)))))</f>
        <v>0</v>
      </c>
      <c r="AL22" s="27" t="n">
        <f aca="false">IF(COUNT(Sorgo!$E20:$Z20)=0,0,MAX(0,IF((AL$6-$E$3)&lt;1,0,IFERROR(LOOKUP(2,1/(Sorgo!$E20:INDEX(Sorgo!$E20:$Z20,MIN(AL$6-$E$3,22))&lt;&gt;""),Sorgo!$E20:INDEX(Sorgo!$E20:$Z20,MIN(AL$6-$E$3,22))),0))-IF($G$2,0,IF((AL$6-$G$3)&lt;1,0,IFERROR(LOOKUP(2,1/(Sorgo!$E20:INDEX(Sorgo!$E20:$Z20,MIN(AL$6-$G$3,22))&lt;&gt;""),Sorgo!$E20:INDEX(Sorgo!$E20:$Z20,MIN(AL$6-$G$3,22))),0)))))</f>
        <v>0</v>
      </c>
      <c r="AM22" s="27" t="n">
        <f aca="false">IF(COUNT(Sorgo!$E20:$Z20)=0,0,MAX(0,IF((AM$6-$E$3)&lt;1,0,IFERROR(LOOKUP(2,1/(Sorgo!$E20:INDEX(Sorgo!$E20:$Z20,MIN(AM$6-$E$3,22))&lt;&gt;""),Sorgo!$E20:INDEX(Sorgo!$E20:$Z20,MIN(AM$6-$E$3,22))),0))-IF($G$2,0,IF((AM$6-$G$3)&lt;1,0,IFERROR(LOOKUP(2,1/(Sorgo!$E20:INDEX(Sorgo!$E20:$Z20,MIN(AM$6-$G$3,22))&lt;&gt;""),Sorgo!$E20:INDEX(Sorgo!$E20:$Z20,MIN(AM$6-$G$3,22))),0)))))</f>
        <v>0</v>
      </c>
      <c r="AN22" s="27" t="n">
        <f aca="false">IF(COUNT(Sorgo!$E20:$Z20)=0,0,MAX(0,IF((AN$6-$E$3)&lt;1,0,IFERROR(LOOKUP(2,1/(Sorgo!$E20:INDEX(Sorgo!$E20:$Z20,MIN(AN$6-$E$3,22))&lt;&gt;""),Sorgo!$E20:INDEX(Sorgo!$E20:$Z20,MIN(AN$6-$E$3,22))),0))-IF($G$2,0,IF((AN$6-$G$3)&lt;1,0,IFERROR(LOOKUP(2,1/(Sorgo!$E20:INDEX(Sorgo!$E20:$Z20,MIN(AN$6-$G$3,22))&lt;&gt;""),Sorgo!$E20:INDEX(Sorgo!$E20:$Z20,MIN(AN$6-$G$3,22))),0)))))</f>
        <v>0</v>
      </c>
      <c r="AO22" s="27" t="n">
        <f aca="false">IF(COUNT(Sorgo!$E20:$Z20)=0,0,MAX(0,IF((AO$6-$E$3)&lt;1,0,IFERROR(LOOKUP(2,1/(Sorgo!$E20:INDEX(Sorgo!$E20:$Z20,MIN(AO$6-$E$3,22))&lt;&gt;""),Sorgo!$E20:INDEX(Sorgo!$E20:$Z20,MIN(AO$6-$E$3,22))),0))-IF($G$2,0,IF((AO$6-$G$3)&lt;1,0,IFERROR(LOOKUP(2,1/(Sorgo!$E20:INDEX(Sorgo!$E20:$Z20,MIN(AO$6-$G$3,22))&lt;&gt;""),Sorgo!$E20:INDEX(Sorgo!$E20:$Z20,MIN(AO$6-$G$3,22))),0)))))</f>
        <v>0</v>
      </c>
      <c r="AP22" s="27" t="n">
        <f aca="false">IF(COUNT(Sorgo!$E20:$Z20)=0,0,MAX(0,IF((AP$6-$E$3)&lt;1,0,IFERROR(LOOKUP(2,1/(Sorgo!$E20:INDEX(Sorgo!$E20:$Z20,MIN(AP$6-$E$3,22))&lt;&gt;""),Sorgo!$E20:INDEX(Sorgo!$E20:$Z20,MIN(AP$6-$E$3,22))),0))-IF($G$2,0,IF((AP$6-$G$3)&lt;1,0,IFERROR(LOOKUP(2,1/(Sorgo!$E20:INDEX(Sorgo!$E20:$Z20,MIN(AP$6-$G$3,22))&lt;&gt;""),Sorgo!$E20:INDEX(Sorgo!$E20:$Z20,MIN(AP$6-$G$3,22))),0)))))</f>
        <v>0</v>
      </c>
      <c r="AQ22" s="27" t="n">
        <f aca="false">IF(COUNT(Sorgo!$E20:$Z20)=0,0,MAX(0,IF((AQ$6-$E$3)&lt;1,0,IFERROR(LOOKUP(2,1/(Sorgo!$E20:INDEX(Sorgo!$E20:$Z20,MIN(AQ$6-$E$3,22))&lt;&gt;""),Sorgo!$E20:INDEX(Sorgo!$E20:$Z20,MIN(AQ$6-$E$3,22))),0))-IF($G$2,0,IF((AQ$6-$G$3)&lt;1,0,IFERROR(LOOKUP(2,1/(Sorgo!$E20:INDEX(Sorgo!$E20:$Z20,MIN(AQ$6-$G$3,22))&lt;&gt;""),Sorgo!$E20:INDEX(Sorgo!$E20:$Z20,MIN(AQ$6-$G$3,22))),0)))))</f>
        <v>0</v>
      </c>
      <c r="AR22" s="27" t="n">
        <f aca="false">IF(COUNT(Sorgo!$E20:$Z20)=0,0,MAX(0,IF((AR$6-$E$3)&lt;1,0,IFERROR(LOOKUP(2,1/(Sorgo!$E20:INDEX(Sorgo!$E20:$Z20,MIN(AR$6-$E$3,22))&lt;&gt;""),Sorgo!$E20:INDEX(Sorgo!$E20:$Z20,MIN(AR$6-$E$3,22))),0))-IF($G$2,0,IF((AR$6-$G$3)&lt;1,0,IFERROR(LOOKUP(2,1/(Sorgo!$E20:INDEX(Sorgo!$E20:$Z20,MIN(AR$6-$G$3,22))&lt;&gt;""),Sorgo!$E20:INDEX(Sorgo!$E20:$Z20,MIN(AR$6-$G$3,22))),0)))))</f>
        <v>0</v>
      </c>
      <c r="AS22" s="27" t="n">
        <f aca="false">IF(COUNT(Sorgo!$E20:$Z20)=0,0,MAX(0,IF((AS$6-$E$3)&lt;1,0,IFERROR(LOOKUP(2,1/(Sorgo!$E20:INDEX(Sorgo!$E20:$Z20,MIN(AS$6-$E$3,22))&lt;&gt;""),Sorgo!$E20:INDEX(Sorgo!$E20:$Z20,MIN(AS$6-$E$3,22))),0))-IF($G$2,0,IF((AS$6-$G$3)&lt;1,0,IFERROR(LOOKUP(2,1/(Sorgo!$E20:INDEX(Sorgo!$E20:$Z20,MIN(AS$6-$G$3,22))&lt;&gt;""),Sorgo!$E20:INDEX(Sorgo!$E20:$Z20,MIN(AS$6-$G$3,22))),0)))))</f>
        <v>0</v>
      </c>
      <c r="AT22" s="27" t="n">
        <f aca="false">IF(COUNT(Sorgo!$E20:$Z20)=0,0,MAX(0,IF((AT$6-$E$3)&lt;1,0,IFERROR(LOOKUP(2,1/(Sorgo!$E20:INDEX(Sorgo!$E20:$Z20,MIN(AT$6-$E$3,22))&lt;&gt;""),Sorgo!$E20:INDEX(Sorgo!$E20:$Z20,MIN(AT$6-$E$3,22))),0))-IF($G$2,0,IF((AT$6-$G$3)&lt;1,0,IFERROR(LOOKUP(2,1/(Sorgo!$E20:INDEX(Sorgo!$E20:$Z20,MIN(AT$6-$G$3,22))&lt;&gt;""),Sorgo!$E20:INDEX(Sorgo!$E20:$Z20,MIN(AT$6-$G$3,22))),0)))))</f>
        <v>0</v>
      </c>
      <c r="AU22" s="27" t="n">
        <f aca="false">IF(COUNT(Sorgo!$E20:$Z20)=0,0,MAX(0,IF((AU$6-$E$3)&lt;1,0,IFERROR(LOOKUP(2,1/(Sorgo!$E20:INDEX(Sorgo!$E20:$Z20,MIN(AU$6-$E$3,22))&lt;&gt;""),Sorgo!$E20:INDEX(Sorgo!$E20:$Z20,MIN(AU$6-$E$3,22))),0))-IF($G$2,0,IF((AU$6-$G$3)&lt;1,0,IFERROR(LOOKUP(2,1/(Sorgo!$E20:INDEX(Sorgo!$E20:$Z20,MIN(AU$6-$G$3,22))&lt;&gt;""),Sorgo!$E20:INDEX(Sorgo!$E20:$Z20,MIN(AU$6-$G$3,22))),0)))))</f>
        <v>0</v>
      </c>
      <c r="AV22" s="27" t="n">
        <f aca="false">IF(COUNT(Sorgo!$E20:$Z20)=0,0,MAX(0,IF((AV$6-$E$3)&lt;1,0,IFERROR(LOOKUP(2,1/(Sorgo!$E20:INDEX(Sorgo!$E20:$Z20,MIN(AV$6-$E$3,22))&lt;&gt;""),Sorgo!$E20:INDEX(Sorgo!$E20:$Z20,MIN(AV$6-$E$3,22))),0))-IF($G$2,0,IF((AV$6-$G$3)&lt;1,0,IFERROR(LOOKUP(2,1/(Sorgo!$E20:INDEX(Sorgo!$E20:$Z20,MIN(AV$6-$G$3,22))&lt;&gt;""),Sorgo!$E20:INDEX(Sorgo!$E20:$Z20,MIN(AV$6-$G$3,22))),0)))))</f>
        <v>0</v>
      </c>
      <c r="AW22" s="27" t="n">
        <f aca="false">IF(COUNT(Sorgo!$E20:$Z20)=0,0,MAX(0,IF((AW$6-$E$3)&lt;1,0,IFERROR(LOOKUP(2,1/(Sorgo!$E20:INDEX(Sorgo!$E20:$Z20,MIN(AW$6-$E$3,22))&lt;&gt;""),Sorgo!$E20:INDEX(Sorgo!$E20:$Z20,MIN(AW$6-$E$3,22))),0))-IF($G$2,0,IF((AW$6-$G$3)&lt;1,0,IFERROR(LOOKUP(2,1/(Sorgo!$E20:INDEX(Sorgo!$E20:$Z20,MIN(AW$6-$G$3,22))&lt;&gt;""),Sorgo!$E20:INDEX(Sorgo!$E20:$Z20,MIN(AW$6-$G$3,22))),0)))))</f>
        <v>0</v>
      </c>
      <c r="AX22" s="27" t="n">
        <f aca="false">IF(COUNT(Sorgo!$E20:$Z20)=0,0,MAX(0,IF((AX$6-$E$3)&lt;1,0,IFERROR(LOOKUP(2,1/(Sorgo!$E20:INDEX(Sorgo!$E20:$Z20,MIN(AX$6-$E$3,22))&lt;&gt;""),Sorgo!$E20:INDEX(Sorgo!$E20:$Z20,MIN(AX$6-$E$3,22))),0))-IF($G$2,0,IF((AX$6-$G$3)&lt;1,0,IFERROR(LOOKUP(2,1/(Sorgo!$E20:INDEX(Sorgo!$E20:$Z20,MIN(AX$6-$G$3,22))&lt;&gt;""),Sorgo!$E20:INDEX(Sorgo!$E20:$Z20,MIN(AX$6-$G$3,22))),0)))))</f>
        <v>0</v>
      </c>
      <c r="AY22" s="27" t="n">
        <f aca="false">IF(COUNT(Sorgo!$E20:$Z20)=0,0,MAX(0,IF((AY$6-$E$3)&lt;1,0,IFERROR(LOOKUP(2,1/(Sorgo!$E20:INDEX(Sorgo!$E20:$Z20,MIN(AY$6-$E$3,22))&lt;&gt;""),Sorgo!$E20:INDEX(Sorgo!$E20:$Z20,MIN(AY$6-$E$3,22))),0))-IF($G$2,0,IF((AY$6-$G$3)&lt;1,0,IFERROR(LOOKUP(2,1/(Sorgo!$E20:INDEX(Sorgo!$E20:$Z20,MIN(AY$6-$G$3,22))&lt;&gt;""),Sorgo!$E20:INDEX(Sorgo!$E20:$Z20,MIN(AY$6-$G$3,22))),0)))))</f>
        <v>0</v>
      </c>
      <c r="AZ22" s="27" t="n">
        <f aca="false">IF(COUNT(Sorgo!$E20:$Z20)=0,0,MAX(0,IF((AZ$6-$E$3)&lt;1,0,IFERROR(LOOKUP(2,1/(Sorgo!$E20:INDEX(Sorgo!$E20:$Z20,MIN(AZ$6-$E$3,22))&lt;&gt;""),Sorgo!$E20:INDEX(Sorgo!$E20:$Z20,MIN(AZ$6-$E$3,22))),0))-IF($G$2,0,IF((AZ$6-$G$3)&lt;1,0,IFERROR(LOOKUP(2,1/(Sorgo!$E20:INDEX(Sorgo!$E20:$Z20,MIN(AZ$6-$G$3,22))&lt;&gt;""),Sorgo!$E20:INDEX(Sorgo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IF(COUNT(Sorgo!$E21:$Z21)&gt;0,N(Sorgo!$D21),0)</f>
        <v>0</v>
      </c>
      <c r="E23" s="27" t="n">
        <f aca="false">IF(COUNT(Sorgo!$E21:$Z21)=0,0,MAX(0,IF((E$6-$E$3)&lt;1,0,IFERROR(LOOKUP(2,1/(Sorgo!$E21:INDEX(Sorgo!$E21:$Z21,MIN(E$6-$E$3,22))&lt;&gt;""),Sorgo!$E21:INDEX(Sorgo!$E21:$Z21,MIN(E$6-$E$3,22))),0))-IF($G$2,0,IF((E$6-$G$3)&lt;1,0,IFERROR(LOOKUP(2,1/(Sorgo!$E21:INDEX(Sorgo!$E21:$Z21,MIN(E$6-$G$3,22))&lt;&gt;""),Sorgo!$E21:INDEX(Sorgo!$E21:$Z21,MIN(E$6-$G$3,22))),0)))))</f>
        <v>0</v>
      </c>
      <c r="F23" s="27" t="n">
        <f aca="false">IF(COUNT(Sorgo!$E21:$Z21)=0,0,MAX(0,IF((F$6-$E$3)&lt;1,0,IFERROR(LOOKUP(2,1/(Sorgo!$E21:INDEX(Sorgo!$E21:$Z21,MIN(F$6-$E$3,22))&lt;&gt;""),Sorgo!$E21:INDEX(Sorgo!$E21:$Z21,MIN(F$6-$E$3,22))),0))-IF($G$2,0,IF((F$6-$G$3)&lt;1,0,IFERROR(LOOKUP(2,1/(Sorgo!$E21:INDEX(Sorgo!$E21:$Z21,MIN(F$6-$G$3,22))&lt;&gt;""),Sorgo!$E21:INDEX(Sorgo!$E21:$Z21,MIN(F$6-$G$3,22))),0)))))</f>
        <v>0</v>
      </c>
      <c r="G23" s="27" t="n">
        <f aca="false">IF(COUNT(Sorgo!$E21:$Z21)=0,0,MAX(0,IF((G$6-$E$3)&lt;1,0,IFERROR(LOOKUP(2,1/(Sorgo!$E21:INDEX(Sorgo!$E21:$Z21,MIN(G$6-$E$3,22))&lt;&gt;""),Sorgo!$E21:INDEX(Sorgo!$E21:$Z21,MIN(G$6-$E$3,22))),0))-IF($G$2,0,IF((G$6-$G$3)&lt;1,0,IFERROR(LOOKUP(2,1/(Sorgo!$E21:INDEX(Sorgo!$E21:$Z21,MIN(G$6-$G$3,22))&lt;&gt;""),Sorgo!$E21:INDEX(Sorgo!$E21:$Z21,MIN(G$6-$G$3,22))),0)))))</f>
        <v>0</v>
      </c>
      <c r="H23" s="27" t="n">
        <f aca="false">IF(COUNT(Sorgo!$E21:$Z21)=0,0,MAX(0,IF((H$6-$E$3)&lt;1,0,IFERROR(LOOKUP(2,1/(Sorgo!$E21:INDEX(Sorgo!$E21:$Z21,MIN(H$6-$E$3,22))&lt;&gt;""),Sorgo!$E21:INDEX(Sorgo!$E21:$Z21,MIN(H$6-$E$3,22))),0))-IF($G$2,0,IF((H$6-$G$3)&lt;1,0,IFERROR(LOOKUP(2,1/(Sorgo!$E21:INDEX(Sorgo!$E21:$Z21,MIN(H$6-$G$3,22))&lt;&gt;""),Sorgo!$E21:INDEX(Sorgo!$E21:$Z21,MIN(H$6-$G$3,22))),0)))))</f>
        <v>0</v>
      </c>
      <c r="I23" s="27" t="n">
        <f aca="false">IF(COUNT(Sorgo!$E21:$Z21)=0,0,MAX(0,IF((I$6-$E$3)&lt;1,0,IFERROR(LOOKUP(2,1/(Sorgo!$E21:INDEX(Sorgo!$E21:$Z21,MIN(I$6-$E$3,22))&lt;&gt;""),Sorgo!$E21:INDEX(Sorgo!$E21:$Z21,MIN(I$6-$E$3,22))),0))-IF($G$2,0,IF((I$6-$G$3)&lt;1,0,IFERROR(LOOKUP(2,1/(Sorgo!$E21:INDEX(Sorgo!$E21:$Z21,MIN(I$6-$G$3,22))&lt;&gt;""),Sorgo!$E21:INDEX(Sorgo!$E21:$Z21,MIN(I$6-$G$3,22))),0)))))</f>
        <v>0</v>
      </c>
      <c r="J23" s="27" t="n">
        <f aca="false">IF(COUNT(Sorgo!$E21:$Z21)=0,0,MAX(0,IF((J$6-$E$3)&lt;1,0,IFERROR(LOOKUP(2,1/(Sorgo!$E21:INDEX(Sorgo!$E21:$Z21,MIN(J$6-$E$3,22))&lt;&gt;""),Sorgo!$E21:INDEX(Sorgo!$E21:$Z21,MIN(J$6-$E$3,22))),0))-IF($G$2,0,IF((J$6-$G$3)&lt;1,0,IFERROR(LOOKUP(2,1/(Sorgo!$E21:INDEX(Sorgo!$E21:$Z21,MIN(J$6-$G$3,22))&lt;&gt;""),Sorgo!$E21:INDEX(Sorgo!$E21:$Z21,MIN(J$6-$G$3,22))),0)))))</f>
        <v>0</v>
      </c>
      <c r="K23" s="27" t="n">
        <f aca="false">IF(COUNT(Sorgo!$E21:$Z21)=0,0,MAX(0,IF((K$6-$E$3)&lt;1,0,IFERROR(LOOKUP(2,1/(Sorgo!$E21:INDEX(Sorgo!$E21:$Z21,MIN(K$6-$E$3,22))&lt;&gt;""),Sorgo!$E21:INDEX(Sorgo!$E21:$Z21,MIN(K$6-$E$3,22))),0))-IF($G$2,0,IF((K$6-$G$3)&lt;1,0,IFERROR(LOOKUP(2,1/(Sorgo!$E21:INDEX(Sorgo!$E21:$Z21,MIN(K$6-$G$3,22))&lt;&gt;""),Sorgo!$E21:INDEX(Sorgo!$E21:$Z21,MIN(K$6-$G$3,22))),0)))))</f>
        <v>0</v>
      </c>
      <c r="L23" s="27" t="n">
        <f aca="false">IF(COUNT(Sorgo!$E21:$Z21)=0,0,MAX(0,IF((L$6-$E$3)&lt;1,0,IFERROR(LOOKUP(2,1/(Sorgo!$E21:INDEX(Sorgo!$E21:$Z21,MIN(L$6-$E$3,22))&lt;&gt;""),Sorgo!$E21:INDEX(Sorgo!$E21:$Z21,MIN(L$6-$E$3,22))),0))-IF($G$2,0,IF((L$6-$G$3)&lt;1,0,IFERROR(LOOKUP(2,1/(Sorgo!$E21:INDEX(Sorgo!$E21:$Z21,MIN(L$6-$G$3,22))&lt;&gt;""),Sorgo!$E21:INDEX(Sorgo!$E21:$Z21,MIN(L$6-$G$3,22))),0)))))</f>
        <v>0</v>
      </c>
      <c r="M23" s="27" t="n">
        <f aca="false">IF(COUNT(Sorgo!$E21:$Z21)=0,0,MAX(0,IF((M$6-$E$3)&lt;1,0,IFERROR(LOOKUP(2,1/(Sorgo!$E21:INDEX(Sorgo!$E21:$Z21,MIN(M$6-$E$3,22))&lt;&gt;""),Sorgo!$E21:INDEX(Sorgo!$E21:$Z21,MIN(M$6-$E$3,22))),0))-IF($G$2,0,IF((M$6-$G$3)&lt;1,0,IFERROR(LOOKUP(2,1/(Sorgo!$E21:INDEX(Sorgo!$E21:$Z21,MIN(M$6-$G$3,22))&lt;&gt;""),Sorgo!$E21:INDEX(Sorgo!$E21:$Z21,MIN(M$6-$G$3,22))),0)))))</f>
        <v>0</v>
      </c>
      <c r="N23" s="27" t="n">
        <f aca="false">IF(COUNT(Sorgo!$E21:$Z21)=0,0,MAX(0,IF((N$6-$E$3)&lt;1,0,IFERROR(LOOKUP(2,1/(Sorgo!$E21:INDEX(Sorgo!$E21:$Z21,MIN(N$6-$E$3,22))&lt;&gt;""),Sorgo!$E21:INDEX(Sorgo!$E21:$Z21,MIN(N$6-$E$3,22))),0))-IF($G$2,0,IF((N$6-$G$3)&lt;1,0,IFERROR(LOOKUP(2,1/(Sorgo!$E21:INDEX(Sorgo!$E21:$Z21,MIN(N$6-$G$3,22))&lt;&gt;""),Sorgo!$E21:INDEX(Sorgo!$E21:$Z21,MIN(N$6-$G$3,22))),0)))))</f>
        <v>0</v>
      </c>
      <c r="O23" s="27" t="n">
        <f aca="false">IF(COUNT(Sorgo!$E21:$Z21)=0,0,MAX(0,IF((O$6-$E$3)&lt;1,0,IFERROR(LOOKUP(2,1/(Sorgo!$E21:INDEX(Sorgo!$E21:$Z21,MIN(O$6-$E$3,22))&lt;&gt;""),Sorgo!$E21:INDEX(Sorgo!$E21:$Z21,MIN(O$6-$E$3,22))),0))-IF($G$2,0,IF((O$6-$G$3)&lt;1,0,IFERROR(LOOKUP(2,1/(Sorgo!$E21:INDEX(Sorgo!$E21:$Z21,MIN(O$6-$G$3,22))&lt;&gt;""),Sorgo!$E21:INDEX(Sorgo!$E21:$Z21,MIN(O$6-$G$3,22))),0)))))</f>
        <v>0</v>
      </c>
      <c r="P23" s="27" t="n">
        <f aca="false">IF(COUNT(Sorgo!$E21:$Z21)=0,0,MAX(0,IF((P$6-$E$3)&lt;1,0,IFERROR(LOOKUP(2,1/(Sorgo!$E21:INDEX(Sorgo!$E21:$Z21,MIN(P$6-$E$3,22))&lt;&gt;""),Sorgo!$E21:INDEX(Sorgo!$E21:$Z21,MIN(P$6-$E$3,22))),0))-IF($G$2,0,IF((P$6-$G$3)&lt;1,0,IFERROR(LOOKUP(2,1/(Sorgo!$E21:INDEX(Sorgo!$E21:$Z21,MIN(P$6-$G$3,22))&lt;&gt;""),Sorgo!$E21:INDEX(Sorgo!$E21:$Z21,MIN(P$6-$G$3,22))),0)))))</f>
        <v>0</v>
      </c>
      <c r="Q23" s="27" t="n">
        <f aca="false">IF(COUNT(Sorgo!$E21:$Z21)=0,0,MAX(0,IF((Q$6-$E$3)&lt;1,0,IFERROR(LOOKUP(2,1/(Sorgo!$E21:INDEX(Sorgo!$E21:$Z21,MIN(Q$6-$E$3,22))&lt;&gt;""),Sorgo!$E21:INDEX(Sorgo!$E21:$Z21,MIN(Q$6-$E$3,22))),0))-IF($G$2,0,IF((Q$6-$G$3)&lt;1,0,IFERROR(LOOKUP(2,1/(Sorgo!$E21:INDEX(Sorgo!$E21:$Z21,MIN(Q$6-$G$3,22))&lt;&gt;""),Sorgo!$E21:INDEX(Sorgo!$E21:$Z21,MIN(Q$6-$G$3,22))),0)))))</f>
        <v>0</v>
      </c>
      <c r="R23" s="27" t="n">
        <f aca="false">IF(COUNT(Sorgo!$E21:$Z21)=0,0,MAX(0,IF((R$6-$E$3)&lt;1,0,IFERROR(LOOKUP(2,1/(Sorgo!$E21:INDEX(Sorgo!$E21:$Z21,MIN(R$6-$E$3,22))&lt;&gt;""),Sorgo!$E21:INDEX(Sorgo!$E21:$Z21,MIN(R$6-$E$3,22))),0))-IF($G$2,0,IF((R$6-$G$3)&lt;1,0,IFERROR(LOOKUP(2,1/(Sorgo!$E21:INDEX(Sorgo!$E21:$Z21,MIN(R$6-$G$3,22))&lt;&gt;""),Sorgo!$E21:INDEX(Sorgo!$E21:$Z21,MIN(R$6-$G$3,22))),0)))))</f>
        <v>0</v>
      </c>
      <c r="S23" s="27" t="n">
        <f aca="false">IF(COUNT(Sorgo!$E21:$Z21)=0,0,MAX(0,IF((S$6-$E$3)&lt;1,0,IFERROR(LOOKUP(2,1/(Sorgo!$E21:INDEX(Sorgo!$E21:$Z21,MIN(S$6-$E$3,22))&lt;&gt;""),Sorgo!$E21:INDEX(Sorgo!$E21:$Z21,MIN(S$6-$E$3,22))),0))-IF($G$2,0,IF((S$6-$G$3)&lt;1,0,IFERROR(LOOKUP(2,1/(Sorgo!$E21:INDEX(Sorgo!$E21:$Z21,MIN(S$6-$G$3,22))&lt;&gt;""),Sorgo!$E21:INDEX(Sorgo!$E21:$Z21,MIN(S$6-$G$3,22))),0)))))</f>
        <v>0</v>
      </c>
      <c r="T23" s="27" t="n">
        <f aca="false">IF(COUNT(Sorgo!$E21:$Z21)=0,0,MAX(0,IF((T$6-$E$3)&lt;1,0,IFERROR(LOOKUP(2,1/(Sorgo!$E21:INDEX(Sorgo!$E21:$Z21,MIN(T$6-$E$3,22))&lt;&gt;""),Sorgo!$E21:INDEX(Sorgo!$E21:$Z21,MIN(T$6-$E$3,22))),0))-IF($G$2,0,IF((T$6-$G$3)&lt;1,0,IFERROR(LOOKUP(2,1/(Sorgo!$E21:INDEX(Sorgo!$E21:$Z21,MIN(T$6-$G$3,22))&lt;&gt;""),Sorgo!$E21:INDEX(Sorgo!$E21:$Z21,MIN(T$6-$G$3,22))),0)))))</f>
        <v>0</v>
      </c>
      <c r="U23" s="27" t="n">
        <f aca="false">IF(COUNT(Sorgo!$E21:$Z21)=0,0,MAX(0,IF((U$6-$E$3)&lt;1,0,IFERROR(LOOKUP(2,1/(Sorgo!$E21:INDEX(Sorgo!$E21:$Z21,MIN(U$6-$E$3,22))&lt;&gt;""),Sorgo!$E21:INDEX(Sorgo!$E21:$Z21,MIN(U$6-$E$3,22))),0))-IF($G$2,0,IF((U$6-$G$3)&lt;1,0,IFERROR(LOOKUP(2,1/(Sorgo!$E21:INDEX(Sorgo!$E21:$Z21,MIN(U$6-$G$3,22))&lt;&gt;""),Sorgo!$E21:INDEX(Sorgo!$E21:$Z21,MIN(U$6-$G$3,22))),0)))))</f>
        <v>0</v>
      </c>
      <c r="V23" s="27" t="n">
        <f aca="false">IF(COUNT(Sorgo!$E21:$Z21)=0,0,MAX(0,IF((V$6-$E$3)&lt;1,0,IFERROR(LOOKUP(2,1/(Sorgo!$E21:INDEX(Sorgo!$E21:$Z21,MIN(V$6-$E$3,22))&lt;&gt;""),Sorgo!$E21:INDEX(Sorgo!$E21:$Z21,MIN(V$6-$E$3,22))),0))-IF($G$2,0,IF((V$6-$G$3)&lt;1,0,IFERROR(LOOKUP(2,1/(Sorgo!$E21:INDEX(Sorgo!$E21:$Z21,MIN(V$6-$G$3,22))&lt;&gt;""),Sorgo!$E21:INDEX(Sorgo!$E21:$Z21,MIN(V$6-$G$3,22))),0)))))</f>
        <v>0</v>
      </c>
      <c r="W23" s="27" t="n">
        <f aca="false">IF(COUNT(Sorgo!$E21:$Z21)=0,0,MAX(0,IF((W$6-$E$3)&lt;1,0,IFERROR(LOOKUP(2,1/(Sorgo!$E21:INDEX(Sorgo!$E21:$Z21,MIN(W$6-$E$3,22))&lt;&gt;""),Sorgo!$E21:INDEX(Sorgo!$E21:$Z21,MIN(W$6-$E$3,22))),0))-IF($G$2,0,IF((W$6-$G$3)&lt;1,0,IFERROR(LOOKUP(2,1/(Sorgo!$E21:INDEX(Sorgo!$E21:$Z21,MIN(W$6-$G$3,22))&lt;&gt;""),Sorgo!$E21:INDEX(Sorgo!$E21:$Z21,MIN(W$6-$G$3,22))),0)))))</f>
        <v>0</v>
      </c>
      <c r="X23" s="27" t="n">
        <f aca="false">IF(COUNT(Sorgo!$E21:$Z21)=0,0,MAX(0,IF((X$6-$E$3)&lt;1,0,IFERROR(LOOKUP(2,1/(Sorgo!$E21:INDEX(Sorgo!$E21:$Z21,MIN(X$6-$E$3,22))&lt;&gt;""),Sorgo!$E21:INDEX(Sorgo!$E21:$Z21,MIN(X$6-$E$3,22))),0))-IF($G$2,0,IF((X$6-$G$3)&lt;1,0,IFERROR(LOOKUP(2,1/(Sorgo!$E21:INDEX(Sorgo!$E21:$Z21,MIN(X$6-$G$3,22))&lt;&gt;""),Sorgo!$E21:INDEX(Sorgo!$E21:$Z21,MIN(X$6-$G$3,22))),0)))))</f>
        <v>0</v>
      </c>
      <c r="Y23" s="27" t="n">
        <f aca="false">IF(COUNT(Sorgo!$E21:$Z21)=0,0,MAX(0,IF((Y$6-$E$3)&lt;1,0,IFERROR(LOOKUP(2,1/(Sorgo!$E21:INDEX(Sorgo!$E21:$Z21,MIN(Y$6-$E$3,22))&lt;&gt;""),Sorgo!$E21:INDEX(Sorgo!$E21:$Z21,MIN(Y$6-$E$3,22))),0))-IF($G$2,0,IF((Y$6-$G$3)&lt;1,0,IFERROR(LOOKUP(2,1/(Sorgo!$E21:INDEX(Sorgo!$E21:$Z21,MIN(Y$6-$G$3,22))&lt;&gt;""),Sorgo!$E21:INDEX(Sorgo!$E21:$Z21,MIN(Y$6-$G$3,22))),0)))))</f>
        <v>0</v>
      </c>
      <c r="Z23" s="27" t="n">
        <f aca="false">IF(COUNT(Sorgo!$E21:$Z21)=0,0,MAX(0,IF((Z$6-$E$3)&lt;1,0,IFERROR(LOOKUP(2,1/(Sorgo!$E21:INDEX(Sorgo!$E21:$Z21,MIN(Z$6-$E$3,22))&lt;&gt;""),Sorgo!$E21:INDEX(Sorgo!$E21:$Z21,MIN(Z$6-$E$3,22))),0))-IF($G$2,0,IF((Z$6-$G$3)&lt;1,0,IFERROR(LOOKUP(2,1/(Sorgo!$E21:INDEX(Sorgo!$E21:$Z21,MIN(Z$6-$G$3,22))&lt;&gt;""),Sorgo!$E21:INDEX(Sorgo!$E21:$Z21,MIN(Z$6-$G$3,22))),0)))))</f>
        <v>0</v>
      </c>
      <c r="AA23" s="27" t="n">
        <f aca="false">IF(COUNT(Sorgo!$E21:$Z21)=0,0,MAX(0,IF((AA$6-$E$3)&lt;1,0,IFERROR(LOOKUP(2,1/(Sorgo!$E21:INDEX(Sorgo!$E21:$Z21,MIN(AA$6-$E$3,22))&lt;&gt;""),Sorgo!$E21:INDEX(Sorgo!$E21:$Z21,MIN(AA$6-$E$3,22))),0))-IF($G$2,0,IF((AA$6-$G$3)&lt;1,0,IFERROR(LOOKUP(2,1/(Sorgo!$E21:INDEX(Sorgo!$E21:$Z21,MIN(AA$6-$G$3,22))&lt;&gt;""),Sorgo!$E21:INDEX(Sorgo!$E21:$Z21,MIN(AA$6-$G$3,22))),0)))))</f>
        <v>0</v>
      </c>
      <c r="AB23" s="27" t="n">
        <f aca="false">IF(COUNT(Sorgo!$E21:$Z21)=0,0,MAX(0,IF((AB$6-$E$3)&lt;1,0,IFERROR(LOOKUP(2,1/(Sorgo!$E21:INDEX(Sorgo!$E21:$Z21,MIN(AB$6-$E$3,22))&lt;&gt;""),Sorgo!$E21:INDEX(Sorgo!$E21:$Z21,MIN(AB$6-$E$3,22))),0))-IF($G$2,0,IF((AB$6-$G$3)&lt;1,0,IFERROR(LOOKUP(2,1/(Sorgo!$E21:INDEX(Sorgo!$E21:$Z21,MIN(AB$6-$G$3,22))&lt;&gt;""),Sorgo!$E21:INDEX(Sorgo!$E21:$Z21,MIN(AB$6-$G$3,22))),0)))))</f>
        <v>0</v>
      </c>
      <c r="AC23" s="27" t="n">
        <f aca="false">IF(COUNT(Sorgo!$E21:$Z21)=0,0,MAX(0,IF((AC$6-$E$3)&lt;1,0,IFERROR(LOOKUP(2,1/(Sorgo!$E21:INDEX(Sorgo!$E21:$Z21,MIN(AC$6-$E$3,22))&lt;&gt;""),Sorgo!$E21:INDEX(Sorgo!$E21:$Z21,MIN(AC$6-$E$3,22))),0))-IF($G$2,0,IF((AC$6-$G$3)&lt;1,0,IFERROR(LOOKUP(2,1/(Sorgo!$E21:INDEX(Sorgo!$E21:$Z21,MIN(AC$6-$G$3,22))&lt;&gt;""),Sorgo!$E21:INDEX(Sorgo!$E21:$Z21,MIN(AC$6-$G$3,22))),0)))))</f>
        <v>0</v>
      </c>
      <c r="AD23" s="27" t="n">
        <f aca="false">IF(COUNT(Sorgo!$E21:$Z21)=0,0,MAX(0,IF((AD$6-$E$3)&lt;1,0,IFERROR(LOOKUP(2,1/(Sorgo!$E21:INDEX(Sorgo!$E21:$Z21,MIN(AD$6-$E$3,22))&lt;&gt;""),Sorgo!$E21:INDEX(Sorgo!$E21:$Z21,MIN(AD$6-$E$3,22))),0))-IF($G$2,0,IF((AD$6-$G$3)&lt;1,0,IFERROR(LOOKUP(2,1/(Sorgo!$E21:INDEX(Sorgo!$E21:$Z21,MIN(AD$6-$G$3,22))&lt;&gt;""),Sorgo!$E21:INDEX(Sorgo!$E21:$Z21,MIN(AD$6-$G$3,22))),0)))))</f>
        <v>0</v>
      </c>
      <c r="AE23" s="27" t="n">
        <f aca="false">IF(COUNT(Sorgo!$E21:$Z21)=0,0,MAX(0,IF((AE$6-$E$3)&lt;1,0,IFERROR(LOOKUP(2,1/(Sorgo!$E21:INDEX(Sorgo!$E21:$Z21,MIN(AE$6-$E$3,22))&lt;&gt;""),Sorgo!$E21:INDEX(Sorgo!$E21:$Z21,MIN(AE$6-$E$3,22))),0))-IF($G$2,0,IF((AE$6-$G$3)&lt;1,0,IFERROR(LOOKUP(2,1/(Sorgo!$E21:INDEX(Sorgo!$E21:$Z21,MIN(AE$6-$G$3,22))&lt;&gt;""),Sorgo!$E21:INDEX(Sorgo!$E21:$Z21,MIN(AE$6-$G$3,22))),0)))))</f>
        <v>0</v>
      </c>
      <c r="AF23" s="27" t="n">
        <f aca="false">IF(COUNT(Sorgo!$E21:$Z21)=0,0,MAX(0,IF((AF$6-$E$3)&lt;1,0,IFERROR(LOOKUP(2,1/(Sorgo!$E21:INDEX(Sorgo!$E21:$Z21,MIN(AF$6-$E$3,22))&lt;&gt;""),Sorgo!$E21:INDEX(Sorgo!$E21:$Z21,MIN(AF$6-$E$3,22))),0))-IF($G$2,0,IF((AF$6-$G$3)&lt;1,0,IFERROR(LOOKUP(2,1/(Sorgo!$E21:INDEX(Sorgo!$E21:$Z21,MIN(AF$6-$G$3,22))&lt;&gt;""),Sorgo!$E21:INDEX(Sorgo!$E21:$Z21,MIN(AF$6-$G$3,22))),0)))))</f>
        <v>0</v>
      </c>
      <c r="AG23" s="27" t="n">
        <f aca="false">IF(COUNT(Sorgo!$E21:$Z21)=0,0,MAX(0,IF((AG$6-$E$3)&lt;1,0,IFERROR(LOOKUP(2,1/(Sorgo!$E21:INDEX(Sorgo!$E21:$Z21,MIN(AG$6-$E$3,22))&lt;&gt;""),Sorgo!$E21:INDEX(Sorgo!$E21:$Z21,MIN(AG$6-$E$3,22))),0))-IF($G$2,0,IF((AG$6-$G$3)&lt;1,0,IFERROR(LOOKUP(2,1/(Sorgo!$E21:INDEX(Sorgo!$E21:$Z21,MIN(AG$6-$G$3,22))&lt;&gt;""),Sorgo!$E21:INDEX(Sorgo!$E21:$Z21,MIN(AG$6-$G$3,22))),0)))))</f>
        <v>0</v>
      </c>
      <c r="AH23" s="27" t="n">
        <f aca="false">IF(COUNT(Sorgo!$E21:$Z21)=0,0,MAX(0,IF((AH$6-$E$3)&lt;1,0,IFERROR(LOOKUP(2,1/(Sorgo!$E21:INDEX(Sorgo!$E21:$Z21,MIN(AH$6-$E$3,22))&lt;&gt;""),Sorgo!$E21:INDEX(Sorgo!$E21:$Z21,MIN(AH$6-$E$3,22))),0))-IF($G$2,0,IF((AH$6-$G$3)&lt;1,0,IFERROR(LOOKUP(2,1/(Sorgo!$E21:INDEX(Sorgo!$E21:$Z21,MIN(AH$6-$G$3,22))&lt;&gt;""),Sorgo!$E21:INDEX(Sorgo!$E21:$Z21,MIN(AH$6-$G$3,22))),0)))))</f>
        <v>0</v>
      </c>
      <c r="AI23" s="27" t="n">
        <f aca="false">IF(COUNT(Sorgo!$E21:$Z21)=0,0,MAX(0,IF((AI$6-$E$3)&lt;1,0,IFERROR(LOOKUP(2,1/(Sorgo!$E21:INDEX(Sorgo!$E21:$Z21,MIN(AI$6-$E$3,22))&lt;&gt;""),Sorgo!$E21:INDEX(Sorgo!$E21:$Z21,MIN(AI$6-$E$3,22))),0))-IF($G$2,0,IF((AI$6-$G$3)&lt;1,0,IFERROR(LOOKUP(2,1/(Sorgo!$E21:INDEX(Sorgo!$E21:$Z21,MIN(AI$6-$G$3,22))&lt;&gt;""),Sorgo!$E21:INDEX(Sorgo!$E21:$Z21,MIN(AI$6-$G$3,22))),0)))))</f>
        <v>0</v>
      </c>
      <c r="AJ23" s="27" t="n">
        <f aca="false">IF(COUNT(Sorgo!$E21:$Z21)=0,0,MAX(0,IF((AJ$6-$E$3)&lt;1,0,IFERROR(LOOKUP(2,1/(Sorgo!$E21:INDEX(Sorgo!$E21:$Z21,MIN(AJ$6-$E$3,22))&lt;&gt;""),Sorgo!$E21:INDEX(Sorgo!$E21:$Z21,MIN(AJ$6-$E$3,22))),0))-IF($G$2,0,IF((AJ$6-$G$3)&lt;1,0,IFERROR(LOOKUP(2,1/(Sorgo!$E21:INDEX(Sorgo!$E21:$Z21,MIN(AJ$6-$G$3,22))&lt;&gt;""),Sorgo!$E21:INDEX(Sorgo!$E21:$Z21,MIN(AJ$6-$G$3,22))),0)))))</f>
        <v>0</v>
      </c>
      <c r="AK23" s="27" t="n">
        <f aca="false">IF(COUNT(Sorgo!$E21:$Z21)=0,0,MAX(0,IF((AK$6-$E$3)&lt;1,0,IFERROR(LOOKUP(2,1/(Sorgo!$E21:INDEX(Sorgo!$E21:$Z21,MIN(AK$6-$E$3,22))&lt;&gt;""),Sorgo!$E21:INDEX(Sorgo!$E21:$Z21,MIN(AK$6-$E$3,22))),0))-IF($G$2,0,IF((AK$6-$G$3)&lt;1,0,IFERROR(LOOKUP(2,1/(Sorgo!$E21:INDEX(Sorgo!$E21:$Z21,MIN(AK$6-$G$3,22))&lt;&gt;""),Sorgo!$E21:INDEX(Sorgo!$E21:$Z21,MIN(AK$6-$G$3,22))),0)))))</f>
        <v>0</v>
      </c>
      <c r="AL23" s="27" t="n">
        <f aca="false">IF(COUNT(Sorgo!$E21:$Z21)=0,0,MAX(0,IF((AL$6-$E$3)&lt;1,0,IFERROR(LOOKUP(2,1/(Sorgo!$E21:INDEX(Sorgo!$E21:$Z21,MIN(AL$6-$E$3,22))&lt;&gt;""),Sorgo!$E21:INDEX(Sorgo!$E21:$Z21,MIN(AL$6-$E$3,22))),0))-IF($G$2,0,IF((AL$6-$G$3)&lt;1,0,IFERROR(LOOKUP(2,1/(Sorgo!$E21:INDEX(Sorgo!$E21:$Z21,MIN(AL$6-$G$3,22))&lt;&gt;""),Sorgo!$E21:INDEX(Sorgo!$E21:$Z21,MIN(AL$6-$G$3,22))),0)))))</f>
        <v>0</v>
      </c>
      <c r="AM23" s="27" t="n">
        <f aca="false">IF(COUNT(Sorgo!$E21:$Z21)=0,0,MAX(0,IF((AM$6-$E$3)&lt;1,0,IFERROR(LOOKUP(2,1/(Sorgo!$E21:INDEX(Sorgo!$E21:$Z21,MIN(AM$6-$E$3,22))&lt;&gt;""),Sorgo!$E21:INDEX(Sorgo!$E21:$Z21,MIN(AM$6-$E$3,22))),0))-IF($G$2,0,IF((AM$6-$G$3)&lt;1,0,IFERROR(LOOKUP(2,1/(Sorgo!$E21:INDEX(Sorgo!$E21:$Z21,MIN(AM$6-$G$3,22))&lt;&gt;""),Sorgo!$E21:INDEX(Sorgo!$E21:$Z21,MIN(AM$6-$G$3,22))),0)))))</f>
        <v>0</v>
      </c>
      <c r="AN23" s="27" t="n">
        <f aca="false">IF(COUNT(Sorgo!$E21:$Z21)=0,0,MAX(0,IF((AN$6-$E$3)&lt;1,0,IFERROR(LOOKUP(2,1/(Sorgo!$E21:INDEX(Sorgo!$E21:$Z21,MIN(AN$6-$E$3,22))&lt;&gt;""),Sorgo!$E21:INDEX(Sorgo!$E21:$Z21,MIN(AN$6-$E$3,22))),0))-IF($G$2,0,IF((AN$6-$G$3)&lt;1,0,IFERROR(LOOKUP(2,1/(Sorgo!$E21:INDEX(Sorgo!$E21:$Z21,MIN(AN$6-$G$3,22))&lt;&gt;""),Sorgo!$E21:INDEX(Sorgo!$E21:$Z21,MIN(AN$6-$G$3,22))),0)))))</f>
        <v>0</v>
      </c>
      <c r="AO23" s="27" t="n">
        <f aca="false">IF(COUNT(Sorgo!$E21:$Z21)=0,0,MAX(0,IF((AO$6-$E$3)&lt;1,0,IFERROR(LOOKUP(2,1/(Sorgo!$E21:INDEX(Sorgo!$E21:$Z21,MIN(AO$6-$E$3,22))&lt;&gt;""),Sorgo!$E21:INDEX(Sorgo!$E21:$Z21,MIN(AO$6-$E$3,22))),0))-IF($G$2,0,IF((AO$6-$G$3)&lt;1,0,IFERROR(LOOKUP(2,1/(Sorgo!$E21:INDEX(Sorgo!$E21:$Z21,MIN(AO$6-$G$3,22))&lt;&gt;""),Sorgo!$E21:INDEX(Sorgo!$E21:$Z21,MIN(AO$6-$G$3,22))),0)))))</f>
        <v>0</v>
      </c>
      <c r="AP23" s="27" t="n">
        <f aca="false">IF(COUNT(Sorgo!$E21:$Z21)=0,0,MAX(0,IF((AP$6-$E$3)&lt;1,0,IFERROR(LOOKUP(2,1/(Sorgo!$E21:INDEX(Sorgo!$E21:$Z21,MIN(AP$6-$E$3,22))&lt;&gt;""),Sorgo!$E21:INDEX(Sorgo!$E21:$Z21,MIN(AP$6-$E$3,22))),0))-IF($G$2,0,IF((AP$6-$G$3)&lt;1,0,IFERROR(LOOKUP(2,1/(Sorgo!$E21:INDEX(Sorgo!$E21:$Z21,MIN(AP$6-$G$3,22))&lt;&gt;""),Sorgo!$E21:INDEX(Sorgo!$E21:$Z21,MIN(AP$6-$G$3,22))),0)))))</f>
        <v>0</v>
      </c>
      <c r="AQ23" s="27" t="n">
        <f aca="false">IF(COUNT(Sorgo!$E21:$Z21)=0,0,MAX(0,IF((AQ$6-$E$3)&lt;1,0,IFERROR(LOOKUP(2,1/(Sorgo!$E21:INDEX(Sorgo!$E21:$Z21,MIN(AQ$6-$E$3,22))&lt;&gt;""),Sorgo!$E21:INDEX(Sorgo!$E21:$Z21,MIN(AQ$6-$E$3,22))),0))-IF($G$2,0,IF((AQ$6-$G$3)&lt;1,0,IFERROR(LOOKUP(2,1/(Sorgo!$E21:INDEX(Sorgo!$E21:$Z21,MIN(AQ$6-$G$3,22))&lt;&gt;""),Sorgo!$E21:INDEX(Sorgo!$E21:$Z21,MIN(AQ$6-$G$3,22))),0)))))</f>
        <v>0</v>
      </c>
      <c r="AR23" s="27" t="n">
        <f aca="false">IF(COUNT(Sorgo!$E21:$Z21)=0,0,MAX(0,IF((AR$6-$E$3)&lt;1,0,IFERROR(LOOKUP(2,1/(Sorgo!$E21:INDEX(Sorgo!$E21:$Z21,MIN(AR$6-$E$3,22))&lt;&gt;""),Sorgo!$E21:INDEX(Sorgo!$E21:$Z21,MIN(AR$6-$E$3,22))),0))-IF($G$2,0,IF((AR$6-$G$3)&lt;1,0,IFERROR(LOOKUP(2,1/(Sorgo!$E21:INDEX(Sorgo!$E21:$Z21,MIN(AR$6-$G$3,22))&lt;&gt;""),Sorgo!$E21:INDEX(Sorgo!$E21:$Z21,MIN(AR$6-$G$3,22))),0)))))</f>
        <v>0</v>
      </c>
      <c r="AS23" s="27" t="n">
        <f aca="false">IF(COUNT(Sorgo!$E21:$Z21)=0,0,MAX(0,IF((AS$6-$E$3)&lt;1,0,IFERROR(LOOKUP(2,1/(Sorgo!$E21:INDEX(Sorgo!$E21:$Z21,MIN(AS$6-$E$3,22))&lt;&gt;""),Sorgo!$E21:INDEX(Sorgo!$E21:$Z21,MIN(AS$6-$E$3,22))),0))-IF($G$2,0,IF((AS$6-$G$3)&lt;1,0,IFERROR(LOOKUP(2,1/(Sorgo!$E21:INDEX(Sorgo!$E21:$Z21,MIN(AS$6-$G$3,22))&lt;&gt;""),Sorgo!$E21:INDEX(Sorgo!$E21:$Z21,MIN(AS$6-$G$3,22))),0)))))</f>
        <v>0</v>
      </c>
      <c r="AT23" s="27" t="n">
        <f aca="false">IF(COUNT(Sorgo!$E21:$Z21)=0,0,MAX(0,IF((AT$6-$E$3)&lt;1,0,IFERROR(LOOKUP(2,1/(Sorgo!$E21:INDEX(Sorgo!$E21:$Z21,MIN(AT$6-$E$3,22))&lt;&gt;""),Sorgo!$E21:INDEX(Sorgo!$E21:$Z21,MIN(AT$6-$E$3,22))),0))-IF($G$2,0,IF((AT$6-$G$3)&lt;1,0,IFERROR(LOOKUP(2,1/(Sorgo!$E21:INDEX(Sorgo!$E21:$Z21,MIN(AT$6-$G$3,22))&lt;&gt;""),Sorgo!$E21:INDEX(Sorgo!$E21:$Z21,MIN(AT$6-$G$3,22))),0)))))</f>
        <v>0</v>
      </c>
      <c r="AU23" s="27" t="n">
        <f aca="false">IF(COUNT(Sorgo!$E21:$Z21)=0,0,MAX(0,IF((AU$6-$E$3)&lt;1,0,IFERROR(LOOKUP(2,1/(Sorgo!$E21:INDEX(Sorgo!$E21:$Z21,MIN(AU$6-$E$3,22))&lt;&gt;""),Sorgo!$E21:INDEX(Sorgo!$E21:$Z21,MIN(AU$6-$E$3,22))),0))-IF($G$2,0,IF((AU$6-$G$3)&lt;1,0,IFERROR(LOOKUP(2,1/(Sorgo!$E21:INDEX(Sorgo!$E21:$Z21,MIN(AU$6-$G$3,22))&lt;&gt;""),Sorgo!$E21:INDEX(Sorgo!$E21:$Z21,MIN(AU$6-$G$3,22))),0)))))</f>
        <v>0</v>
      </c>
      <c r="AV23" s="27" t="n">
        <f aca="false">IF(COUNT(Sorgo!$E21:$Z21)=0,0,MAX(0,IF((AV$6-$E$3)&lt;1,0,IFERROR(LOOKUP(2,1/(Sorgo!$E21:INDEX(Sorgo!$E21:$Z21,MIN(AV$6-$E$3,22))&lt;&gt;""),Sorgo!$E21:INDEX(Sorgo!$E21:$Z21,MIN(AV$6-$E$3,22))),0))-IF($G$2,0,IF((AV$6-$G$3)&lt;1,0,IFERROR(LOOKUP(2,1/(Sorgo!$E21:INDEX(Sorgo!$E21:$Z21,MIN(AV$6-$G$3,22))&lt;&gt;""),Sorgo!$E21:INDEX(Sorgo!$E21:$Z21,MIN(AV$6-$G$3,22))),0)))))</f>
        <v>0</v>
      </c>
      <c r="AW23" s="27" t="n">
        <f aca="false">IF(COUNT(Sorgo!$E21:$Z21)=0,0,MAX(0,IF((AW$6-$E$3)&lt;1,0,IFERROR(LOOKUP(2,1/(Sorgo!$E21:INDEX(Sorgo!$E21:$Z21,MIN(AW$6-$E$3,22))&lt;&gt;""),Sorgo!$E21:INDEX(Sorgo!$E21:$Z21,MIN(AW$6-$E$3,22))),0))-IF($G$2,0,IF((AW$6-$G$3)&lt;1,0,IFERROR(LOOKUP(2,1/(Sorgo!$E21:INDEX(Sorgo!$E21:$Z21,MIN(AW$6-$G$3,22))&lt;&gt;""),Sorgo!$E21:INDEX(Sorgo!$E21:$Z21,MIN(AW$6-$G$3,22))),0)))))</f>
        <v>0</v>
      </c>
      <c r="AX23" s="27" t="n">
        <f aca="false">IF(COUNT(Sorgo!$E21:$Z21)=0,0,MAX(0,IF((AX$6-$E$3)&lt;1,0,IFERROR(LOOKUP(2,1/(Sorgo!$E21:INDEX(Sorgo!$E21:$Z21,MIN(AX$6-$E$3,22))&lt;&gt;""),Sorgo!$E21:INDEX(Sorgo!$E21:$Z21,MIN(AX$6-$E$3,22))),0))-IF($G$2,0,IF((AX$6-$G$3)&lt;1,0,IFERROR(LOOKUP(2,1/(Sorgo!$E21:INDEX(Sorgo!$E21:$Z21,MIN(AX$6-$G$3,22))&lt;&gt;""),Sorgo!$E21:INDEX(Sorgo!$E21:$Z21,MIN(AX$6-$G$3,22))),0)))))</f>
        <v>0</v>
      </c>
      <c r="AY23" s="27" t="n">
        <f aca="false">IF(COUNT(Sorgo!$E21:$Z21)=0,0,MAX(0,IF((AY$6-$E$3)&lt;1,0,IFERROR(LOOKUP(2,1/(Sorgo!$E21:INDEX(Sorgo!$E21:$Z21,MIN(AY$6-$E$3,22))&lt;&gt;""),Sorgo!$E21:INDEX(Sorgo!$E21:$Z21,MIN(AY$6-$E$3,22))),0))-IF($G$2,0,IF((AY$6-$G$3)&lt;1,0,IFERROR(LOOKUP(2,1/(Sorgo!$E21:INDEX(Sorgo!$E21:$Z21,MIN(AY$6-$G$3,22))&lt;&gt;""),Sorgo!$E21:INDEX(Sorgo!$E21:$Z21,MIN(AY$6-$G$3,22))),0)))))</f>
        <v>0</v>
      </c>
      <c r="AZ23" s="27" t="n">
        <f aca="false">IF(COUNT(Sorgo!$E21:$Z21)=0,0,MAX(0,IF((AZ$6-$E$3)&lt;1,0,IFERROR(LOOKUP(2,1/(Sorgo!$E21:INDEX(Sorgo!$E21:$Z21,MIN(AZ$6-$E$3,22))&lt;&gt;""),Sorgo!$E21:INDEX(Sorgo!$E21:$Z21,MIN(AZ$6-$E$3,22))),0))-IF($G$2,0,IF((AZ$6-$G$3)&lt;1,0,IFERROR(LOOKUP(2,1/(Sorgo!$E21:INDEX(Sorgo!$E21:$Z21,MIN(AZ$6-$G$3,22))&lt;&gt;""),Sorgo!$E21:INDEX(Sorgo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IF(COUNT(Sorgo!$E22:$Z22)&gt;0,N(Sorgo!$D22),0)</f>
        <v>0</v>
      </c>
      <c r="E24" s="27" t="n">
        <f aca="false">IF(COUNT(Sorgo!$E22:$Z22)=0,0,MAX(0,IF((E$6-$E$3)&lt;1,0,IFERROR(LOOKUP(2,1/(Sorgo!$E22:INDEX(Sorgo!$E22:$Z22,MIN(E$6-$E$3,22))&lt;&gt;""),Sorgo!$E22:INDEX(Sorgo!$E22:$Z22,MIN(E$6-$E$3,22))),0))-IF($G$2,0,IF((E$6-$G$3)&lt;1,0,IFERROR(LOOKUP(2,1/(Sorgo!$E22:INDEX(Sorgo!$E22:$Z22,MIN(E$6-$G$3,22))&lt;&gt;""),Sorgo!$E22:INDEX(Sorgo!$E22:$Z22,MIN(E$6-$G$3,22))),0)))))</f>
        <v>0</v>
      </c>
      <c r="F24" s="27" t="n">
        <f aca="false">IF(COUNT(Sorgo!$E22:$Z22)=0,0,MAX(0,IF((F$6-$E$3)&lt;1,0,IFERROR(LOOKUP(2,1/(Sorgo!$E22:INDEX(Sorgo!$E22:$Z22,MIN(F$6-$E$3,22))&lt;&gt;""),Sorgo!$E22:INDEX(Sorgo!$E22:$Z22,MIN(F$6-$E$3,22))),0))-IF($G$2,0,IF((F$6-$G$3)&lt;1,0,IFERROR(LOOKUP(2,1/(Sorgo!$E22:INDEX(Sorgo!$E22:$Z22,MIN(F$6-$G$3,22))&lt;&gt;""),Sorgo!$E22:INDEX(Sorgo!$E22:$Z22,MIN(F$6-$G$3,22))),0)))))</f>
        <v>0</v>
      </c>
      <c r="G24" s="27" t="n">
        <f aca="false">IF(COUNT(Sorgo!$E22:$Z22)=0,0,MAX(0,IF((G$6-$E$3)&lt;1,0,IFERROR(LOOKUP(2,1/(Sorgo!$E22:INDEX(Sorgo!$E22:$Z22,MIN(G$6-$E$3,22))&lt;&gt;""),Sorgo!$E22:INDEX(Sorgo!$E22:$Z22,MIN(G$6-$E$3,22))),0))-IF($G$2,0,IF((G$6-$G$3)&lt;1,0,IFERROR(LOOKUP(2,1/(Sorgo!$E22:INDEX(Sorgo!$E22:$Z22,MIN(G$6-$G$3,22))&lt;&gt;""),Sorgo!$E22:INDEX(Sorgo!$E22:$Z22,MIN(G$6-$G$3,22))),0)))))</f>
        <v>0</v>
      </c>
      <c r="H24" s="27" t="n">
        <f aca="false">IF(COUNT(Sorgo!$E22:$Z22)=0,0,MAX(0,IF((H$6-$E$3)&lt;1,0,IFERROR(LOOKUP(2,1/(Sorgo!$E22:INDEX(Sorgo!$E22:$Z22,MIN(H$6-$E$3,22))&lt;&gt;""),Sorgo!$E22:INDEX(Sorgo!$E22:$Z22,MIN(H$6-$E$3,22))),0))-IF($G$2,0,IF((H$6-$G$3)&lt;1,0,IFERROR(LOOKUP(2,1/(Sorgo!$E22:INDEX(Sorgo!$E22:$Z22,MIN(H$6-$G$3,22))&lt;&gt;""),Sorgo!$E22:INDEX(Sorgo!$E22:$Z22,MIN(H$6-$G$3,22))),0)))))</f>
        <v>0</v>
      </c>
      <c r="I24" s="27" t="n">
        <f aca="false">IF(COUNT(Sorgo!$E22:$Z22)=0,0,MAX(0,IF((I$6-$E$3)&lt;1,0,IFERROR(LOOKUP(2,1/(Sorgo!$E22:INDEX(Sorgo!$E22:$Z22,MIN(I$6-$E$3,22))&lt;&gt;""),Sorgo!$E22:INDEX(Sorgo!$E22:$Z22,MIN(I$6-$E$3,22))),0))-IF($G$2,0,IF((I$6-$G$3)&lt;1,0,IFERROR(LOOKUP(2,1/(Sorgo!$E22:INDEX(Sorgo!$E22:$Z22,MIN(I$6-$G$3,22))&lt;&gt;""),Sorgo!$E22:INDEX(Sorgo!$E22:$Z22,MIN(I$6-$G$3,22))),0)))))</f>
        <v>0</v>
      </c>
      <c r="J24" s="27" t="n">
        <f aca="false">IF(COUNT(Sorgo!$E22:$Z22)=0,0,MAX(0,IF((J$6-$E$3)&lt;1,0,IFERROR(LOOKUP(2,1/(Sorgo!$E22:INDEX(Sorgo!$E22:$Z22,MIN(J$6-$E$3,22))&lt;&gt;""),Sorgo!$E22:INDEX(Sorgo!$E22:$Z22,MIN(J$6-$E$3,22))),0))-IF($G$2,0,IF((J$6-$G$3)&lt;1,0,IFERROR(LOOKUP(2,1/(Sorgo!$E22:INDEX(Sorgo!$E22:$Z22,MIN(J$6-$G$3,22))&lt;&gt;""),Sorgo!$E22:INDEX(Sorgo!$E22:$Z22,MIN(J$6-$G$3,22))),0)))))</f>
        <v>0</v>
      </c>
      <c r="K24" s="27" t="n">
        <f aca="false">IF(COUNT(Sorgo!$E22:$Z22)=0,0,MAX(0,IF((K$6-$E$3)&lt;1,0,IFERROR(LOOKUP(2,1/(Sorgo!$E22:INDEX(Sorgo!$E22:$Z22,MIN(K$6-$E$3,22))&lt;&gt;""),Sorgo!$E22:INDEX(Sorgo!$E22:$Z22,MIN(K$6-$E$3,22))),0))-IF($G$2,0,IF((K$6-$G$3)&lt;1,0,IFERROR(LOOKUP(2,1/(Sorgo!$E22:INDEX(Sorgo!$E22:$Z22,MIN(K$6-$G$3,22))&lt;&gt;""),Sorgo!$E22:INDEX(Sorgo!$E22:$Z22,MIN(K$6-$G$3,22))),0)))))</f>
        <v>0</v>
      </c>
      <c r="L24" s="27" t="n">
        <f aca="false">IF(COUNT(Sorgo!$E22:$Z22)=0,0,MAX(0,IF((L$6-$E$3)&lt;1,0,IFERROR(LOOKUP(2,1/(Sorgo!$E22:INDEX(Sorgo!$E22:$Z22,MIN(L$6-$E$3,22))&lt;&gt;""),Sorgo!$E22:INDEX(Sorgo!$E22:$Z22,MIN(L$6-$E$3,22))),0))-IF($G$2,0,IF((L$6-$G$3)&lt;1,0,IFERROR(LOOKUP(2,1/(Sorgo!$E22:INDEX(Sorgo!$E22:$Z22,MIN(L$6-$G$3,22))&lt;&gt;""),Sorgo!$E22:INDEX(Sorgo!$E22:$Z22,MIN(L$6-$G$3,22))),0)))))</f>
        <v>0</v>
      </c>
      <c r="M24" s="27" t="n">
        <f aca="false">IF(COUNT(Sorgo!$E22:$Z22)=0,0,MAX(0,IF((M$6-$E$3)&lt;1,0,IFERROR(LOOKUP(2,1/(Sorgo!$E22:INDEX(Sorgo!$E22:$Z22,MIN(M$6-$E$3,22))&lt;&gt;""),Sorgo!$E22:INDEX(Sorgo!$E22:$Z22,MIN(M$6-$E$3,22))),0))-IF($G$2,0,IF((M$6-$G$3)&lt;1,0,IFERROR(LOOKUP(2,1/(Sorgo!$E22:INDEX(Sorgo!$E22:$Z22,MIN(M$6-$G$3,22))&lt;&gt;""),Sorgo!$E22:INDEX(Sorgo!$E22:$Z22,MIN(M$6-$G$3,22))),0)))))</f>
        <v>0</v>
      </c>
      <c r="N24" s="27" t="n">
        <f aca="false">IF(COUNT(Sorgo!$E22:$Z22)=0,0,MAX(0,IF((N$6-$E$3)&lt;1,0,IFERROR(LOOKUP(2,1/(Sorgo!$E22:INDEX(Sorgo!$E22:$Z22,MIN(N$6-$E$3,22))&lt;&gt;""),Sorgo!$E22:INDEX(Sorgo!$E22:$Z22,MIN(N$6-$E$3,22))),0))-IF($G$2,0,IF((N$6-$G$3)&lt;1,0,IFERROR(LOOKUP(2,1/(Sorgo!$E22:INDEX(Sorgo!$E22:$Z22,MIN(N$6-$G$3,22))&lt;&gt;""),Sorgo!$E22:INDEX(Sorgo!$E22:$Z22,MIN(N$6-$G$3,22))),0)))))</f>
        <v>0</v>
      </c>
      <c r="O24" s="27" t="n">
        <f aca="false">IF(COUNT(Sorgo!$E22:$Z22)=0,0,MAX(0,IF((O$6-$E$3)&lt;1,0,IFERROR(LOOKUP(2,1/(Sorgo!$E22:INDEX(Sorgo!$E22:$Z22,MIN(O$6-$E$3,22))&lt;&gt;""),Sorgo!$E22:INDEX(Sorgo!$E22:$Z22,MIN(O$6-$E$3,22))),0))-IF($G$2,0,IF((O$6-$G$3)&lt;1,0,IFERROR(LOOKUP(2,1/(Sorgo!$E22:INDEX(Sorgo!$E22:$Z22,MIN(O$6-$G$3,22))&lt;&gt;""),Sorgo!$E22:INDEX(Sorgo!$E22:$Z22,MIN(O$6-$G$3,22))),0)))))</f>
        <v>0</v>
      </c>
      <c r="P24" s="27" t="n">
        <f aca="false">IF(COUNT(Sorgo!$E22:$Z22)=0,0,MAX(0,IF((P$6-$E$3)&lt;1,0,IFERROR(LOOKUP(2,1/(Sorgo!$E22:INDEX(Sorgo!$E22:$Z22,MIN(P$6-$E$3,22))&lt;&gt;""),Sorgo!$E22:INDEX(Sorgo!$E22:$Z22,MIN(P$6-$E$3,22))),0))-IF($G$2,0,IF((P$6-$G$3)&lt;1,0,IFERROR(LOOKUP(2,1/(Sorgo!$E22:INDEX(Sorgo!$E22:$Z22,MIN(P$6-$G$3,22))&lt;&gt;""),Sorgo!$E22:INDEX(Sorgo!$E22:$Z22,MIN(P$6-$G$3,22))),0)))))</f>
        <v>0</v>
      </c>
      <c r="Q24" s="27" t="n">
        <f aca="false">IF(COUNT(Sorgo!$E22:$Z22)=0,0,MAX(0,IF((Q$6-$E$3)&lt;1,0,IFERROR(LOOKUP(2,1/(Sorgo!$E22:INDEX(Sorgo!$E22:$Z22,MIN(Q$6-$E$3,22))&lt;&gt;""),Sorgo!$E22:INDEX(Sorgo!$E22:$Z22,MIN(Q$6-$E$3,22))),0))-IF($G$2,0,IF((Q$6-$G$3)&lt;1,0,IFERROR(LOOKUP(2,1/(Sorgo!$E22:INDEX(Sorgo!$E22:$Z22,MIN(Q$6-$G$3,22))&lt;&gt;""),Sorgo!$E22:INDEX(Sorgo!$E22:$Z22,MIN(Q$6-$G$3,22))),0)))))</f>
        <v>0</v>
      </c>
      <c r="R24" s="27" t="n">
        <f aca="false">IF(COUNT(Sorgo!$E22:$Z22)=0,0,MAX(0,IF((R$6-$E$3)&lt;1,0,IFERROR(LOOKUP(2,1/(Sorgo!$E22:INDEX(Sorgo!$E22:$Z22,MIN(R$6-$E$3,22))&lt;&gt;""),Sorgo!$E22:INDEX(Sorgo!$E22:$Z22,MIN(R$6-$E$3,22))),0))-IF($G$2,0,IF((R$6-$G$3)&lt;1,0,IFERROR(LOOKUP(2,1/(Sorgo!$E22:INDEX(Sorgo!$E22:$Z22,MIN(R$6-$G$3,22))&lt;&gt;""),Sorgo!$E22:INDEX(Sorgo!$E22:$Z22,MIN(R$6-$G$3,22))),0)))))</f>
        <v>0</v>
      </c>
      <c r="S24" s="27" t="n">
        <f aca="false">IF(COUNT(Sorgo!$E22:$Z22)=0,0,MAX(0,IF((S$6-$E$3)&lt;1,0,IFERROR(LOOKUP(2,1/(Sorgo!$E22:INDEX(Sorgo!$E22:$Z22,MIN(S$6-$E$3,22))&lt;&gt;""),Sorgo!$E22:INDEX(Sorgo!$E22:$Z22,MIN(S$6-$E$3,22))),0))-IF($G$2,0,IF((S$6-$G$3)&lt;1,0,IFERROR(LOOKUP(2,1/(Sorgo!$E22:INDEX(Sorgo!$E22:$Z22,MIN(S$6-$G$3,22))&lt;&gt;""),Sorgo!$E22:INDEX(Sorgo!$E22:$Z22,MIN(S$6-$G$3,22))),0)))))</f>
        <v>0</v>
      </c>
      <c r="T24" s="27" t="n">
        <f aca="false">IF(COUNT(Sorgo!$E22:$Z22)=0,0,MAX(0,IF((T$6-$E$3)&lt;1,0,IFERROR(LOOKUP(2,1/(Sorgo!$E22:INDEX(Sorgo!$E22:$Z22,MIN(T$6-$E$3,22))&lt;&gt;""),Sorgo!$E22:INDEX(Sorgo!$E22:$Z22,MIN(T$6-$E$3,22))),0))-IF($G$2,0,IF((T$6-$G$3)&lt;1,0,IFERROR(LOOKUP(2,1/(Sorgo!$E22:INDEX(Sorgo!$E22:$Z22,MIN(T$6-$G$3,22))&lt;&gt;""),Sorgo!$E22:INDEX(Sorgo!$E22:$Z22,MIN(T$6-$G$3,22))),0)))))</f>
        <v>0</v>
      </c>
      <c r="U24" s="27" t="n">
        <f aca="false">IF(COUNT(Sorgo!$E22:$Z22)=0,0,MAX(0,IF((U$6-$E$3)&lt;1,0,IFERROR(LOOKUP(2,1/(Sorgo!$E22:INDEX(Sorgo!$E22:$Z22,MIN(U$6-$E$3,22))&lt;&gt;""),Sorgo!$E22:INDEX(Sorgo!$E22:$Z22,MIN(U$6-$E$3,22))),0))-IF($G$2,0,IF((U$6-$G$3)&lt;1,0,IFERROR(LOOKUP(2,1/(Sorgo!$E22:INDEX(Sorgo!$E22:$Z22,MIN(U$6-$G$3,22))&lt;&gt;""),Sorgo!$E22:INDEX(Sorgo!$E22:$Z22,MIN(U$6-$G$3,22))),0)))))</f>
        <v>0</v>
      </c>
      <c r="V24" s="27" t="n">
        <f aca="false">IF(COUNT(Sorgo!$E22:$Z22)=0,0,MAX(0,IF((V$6-$E$3)&lt;1,0,IFERROR(LOOKUP(2,1/(Sorgo!$E22:INDEX(Sorgo!$E22:$Z22,MIN(V$6-$E$3,22))&lt;&gt;""),Sorgo!$E22:INDEX(Sorgo!$E22:$Z22,MIN(V$6-$E$3,22))),0))-IF($G$2,0,IF((V$6-$G$3)&lt;1,0,IFERROR(LOOKUP(2,1/(Sorgo!$E22:INDEX(Sorgo!$E22:$Z22,MIN(V$6-$G$3,22))&lt;&gt;""),Sorgo!$E22:INDEX(Sorgo!$E22:$Z22,MIN(V$6-$G$3,22))),0)))))</f>
        <v>0</v>
      </c>
      <c r="W24" s="27" t="n">
        <f aca="false">IF(COUNT(Sorgo!$E22:$Z22)=0,0,MAX(0,IF((W$6-$E$3)&lt;1,0,IFERROR(LOOKUP(2,1/(Sorgo!$E22:INDEX(Sorgo!$E22:$Z22,MIN(W$6-$E$3,22))&lt;&gt;""),Sorgo!$E22:INDEX(Sorgo!$E22:$Z22,MIN(W$6-$E$3,22))),0))-IF($G$2,0,IF((W$6-$G$3)&lt;1,0,IFERROR(LOOKUP(2,1/(Sorgo!$E22:INDEX(Sorgo!$E22:$Z22,MIN(W$6-$G$3,22))&lt;&gt;""),Sorgo!$E22:INDEX(Sorgo!$E22:$Z22,MIN(W$6-$G$3,22))),0)))))</f>
        <v>0</v>
      </c>
      <c r="X24" s="27" t="n">
        <f aca="false">IF(COUNT(Sorgo!$E22:$Z22)=0,0,MAX(0,IF((X$6-$E$3)&lt;1,0,IFERROR(LOOKUP(2,1/(Sorgo!$E22:INDEX(Sorgo!$E22:$Z22,MIN(X$6-$E$3,22))&lt;&gt;""),Sorgo!$E22:INDEX(Sorgo!$E22:$Z22,MIN(X$6-$E$3,22))),0))-IF($G$2,0,IF((X$6-$G$3)&lt;1,0,IFERROR(LOOKUP(2,1/(Sorgo!$E22:INDEX(Sorgo!$E22:$Z22,MIN(X$6-$G$3,22))&lt;&gt;""),Sorgo!$E22:INDEX(Sorgo!$E22:$Z22,MIN(X$6-$G$3,22))),0)))))</f>
        <v>0</v>
      </c>
      <c r="Y24" s="27" t="n">
        <f aca="false">IF(COUNT(Sorgo!$E22:$Z22)=0,0,MAX(0,IF((Y$6-$E$3)&lt;1,0,IFERROR(LOOKUP(2,1/(Sorgo!$E22:INDEX(Sorgo!$E22:$Z22,MIN(Y$6-$E$3,22))&lt;&gt;""),Sorgo!$E22:INDEX(Sorgo!$E22:$Z22,MIN(Y$6-$E$3,22))),0))-IF($G$2,0,IF((Y$6-$G$3)&lt;1,0,IFERROR(LOOKUP(2,1/(Sorgo!$E22:INDEX(Sorgo!$E22:$Z22,MIN(Y$6-$G$3,22))&lt;&gt;""),Sorgo!$E22:INDEX(Sorgo!$E22:$Z22,MIN(Y$6-$G$3,22))),0)))))</f>
        <v>0</v>
      </c>
      <c r="Z24" s="27" t="n">
        <f aca="false">IF(COUNT(Sorgo!$E22:$Z22)=0,0,MAX(0,IF((Z$6-$E$3)&lt;1,0,IFERROR(LOOKUP(2,1/(Sorgo!$E22:INDEX(Sorgo!$E22:$Z22,MIN(Z$6-$E$3,22))&lt;&gt;""),Sorgo!$E22:INDEX(Sorgo!$E22:$Z22,MIN(Z$6-$E$3,22))),0))-IF($G$2,0,IF((Z$6-$G$3)&lt;1,0,IFERROR(LOOKUP(2,1/(Sorgo!$E22:INDEX(Sorgo!$E22:$Z22,MIN(Z$6-$G$3,22))&lt;&gt;""),Sorgo!$E22:INDEX(Sorgo!$E22:$Z22,MIN(Z$6-$G$3,22))),0)))))</f>
        <v>0</v>
      </c>
      <c r="AA24" s="27" t="n">
        <f aca="false">IF(COUNT(Sorgo!$E22:$Z22)=0,0,MAX(0,IF((AA$6-$E$3)&lt;1,0,IFERROR(LOOKUP(2,1/(Sorgo!$E22:INDEX(Sorgo!$E22:$Z22,MIN(AA$6-$E$3,22))&lt;&gt;""),Sorgo!$E22:INDEX(Sorgo!$E22:$Z22,MIN(AA$6-$E$3,22))),0))-IF($G$2,0,IF((AA$6-$G$3)&lt;1,0,IFERROR(LOOKUP(2,1/(Sorgo!$E22:INDEX(Sorgo!$E22:$Z22,MIN(AA$6-$G$3,22))&lt;&gt;""),Sorgo!$E22:INDEX(Sorgo!$E22:$Z22,MIN(AA$6-$G$3,22))),0)))))</f>
        <v>0</v>
      </c>
      <c r="AB24" s="27" t="n">
        <f aca="false">IF(COUNT(Sorgo!$E22:$Z22)=0,0,MAX(0,IF((AB$6-$E$3)&lt;1,0,IFERROR(LOOKUP(2,1/(Sorgo!$E22:INDEX(Sorgo!$E22:$Z22,MIN(AB$6-$E$3,22))&lt;&gt;""),Sorgo!$E22:INDEX(Sorgo!$E22:$Z22,MIN(AB$6-$E$3,22))),0))-IF($G$2,0,IF((AB$6-$G$3)&lt;1,0,IFERROR(LOOKUP(2,1/(Sorgo!$E22:INDEX(Sorgo!$E22:$Z22,MIN(AB$6-$G$3,22))&lt;&gt;""),Sorgo!$E22:INDEX(Sorgo!$E22:$Z22,MIN(AB$6-$G$3,22))),0)))))</f>
        <v>0</v>
      </c>
      <c r="AC24" s="27" t="n">
        <f aca="false">IF(COUNT(Sorgo!$E22:$Z22)=0,0,MAX(0,IF((AC$6-$E$3)&lt;1,0,IFERROR(LOOKUP(2,1/(Sorgo!$E22:INDEX(Sorgo!$E22:$Z22,MIN(AC$6-$E$3,22))&lt;&gt;""),Sorgo!$E22:INDEX(Sorgo!$E22:$Z22,MIN(AC$6-$E$3,22))),0))-IF($G$2,0,IF((AC$6-$G$3)&lt;1,0,IFERROR(LOOKUP(2,1/(Sorgo!$E22:INDEX(Sorgo!$E22:$Z22,MIN(AC$6-$G$3,22))&lt;&gt;""),Sorgo!$E22:INDEX(Sorgo!$E22:$Z22,MIN(AC$6-$G$3,22))),0)))))</f>
        <v>0</v>
      </c>
      <c r="AD24" s="27" t="n">
        <f aca="false">IF(COUNT(Sorgo!$E22:$Z22)=0,0,MAX(0,IF((AD$6-$E$3)&lt;1,0,IFERROR(LOOKUP(2,1/(Sorgo!$E22:INDEX(Sorgo!$E22:$Z22,MIN(AD$6-$E$3,22))&lt;&gt;""),Sorgo!$E22:INDEX(Sorgo!$E22:$Z22,MIN(AD$6-$E$3,22))),0))-IF($G$2,0,IF((AD$6-$G$3)&lt;1,0,IFERROR(LOOKUP(2,1/(Sorgo!$E22:INDEX(Sorgo!$E22:$Z22,MIN(AD$6-$G$3,22))&lt;&gt;""),Sorgo!$E22:INDEX(Sorgo!$E22:$Z22,MIN(AD$6-$G$3,22))),0)))))</f>
        <v>0</v>
      </c>
      <c r="AE24" s="27" t="n">
        <f aca="false">IF(COUNT(Sorgo!$E22:$Z22)=0,0,MAX(0,IF((AE$6-$E$3)&lt;1,0,IFERROR(LOOKUP(2,1/(Sorgo!$E22:INDEX(Sorgo!$E22:$Z22,MIN(AE$6-$E$3,22))&lt;&gt;""),Sorgo!$E22:INDEX(Sorgo!$E22:$Z22,MIN(AE$6-$E$3,22))),0))-IF($G$2,0,IF((AE$6-$G$3)&lt;1,0,IFERROR(LOOKUP(2,1/(Sorgo!$E22:INDEX(Sorgo!$E22:$Z22,MIN(AE$6-$G$3,22))&lt;&gt;""),Sorgo!$E22:INDEX(Sorgo!$E22:$Z22,MIN(AE$6-$G$3,22))),0)))))</f>
        <v>0</v>
      </c>
      <c r="AF24" s="27" t="n">
        <f aca="false">IF(COUNT(Sorgo!$E22:$Z22)=0,0,MAX(0,IF((AF$6-$E$3)&lt;1,0,IFERROR(LOOKUP(2,1/(Sorgo!$E22:INDEX(Sorgo!$E22:$Z22,MIN(AF$6-$E$3,22))&lt;&gt;""),Sorgo!$E22:INDEX(Sorgo!$E22:$Z22,MIN(AF$6-$E$3,22))),0))-IF($G$2,0,IF((AF$6-$G$3)&lt;1,0,IFERROR(LOOKUP(2,1/(Sorgo!$E22:INDEX(Sorgo!$E22:$Z22,MIN(AF$6-$G$3,22))&lt;&gt;""),Sorgo!$E22:INDEX(Sorgo!$E22:$Z22,MIN(AF$6-$G$3,22))),0)))))</f>
        <v>0</v>
      </c>
      <c r="AG24" s="27" t="n">
        <f aca="false">IF(COUNT(Sorgo!$E22:$Z22)=0,0,MAX(0,IF((AG$6-$E$3)&lt;1,0,IFERROR(LOOKUP(2,1/(Sorgo!$E22:INDEX(Sorgo!$E22:$Z22,MIN(AG$6-$E$3,22))&lt;&gt;""),Sorgo!$E22:INDEX(Sorgo!$E22:$Z22,MIN(AG$6-$E$3,22))),0))-IF($G$2,0,IF((AG$6-$G$3)&lt;1,0,IFERROR(LOOKUP(2,1/(Sorgo!$E22:INDEX(Sorgo!$E22:$Z22,MIN(AG$6-$G$3,22))&lt;&gt;""),Sorgo!$E22:INDEX(Sorgo!$E22:$Z22,MIN(AG$6-$G$3,22))),0)))))</f>
        <v>0</v>
      </c>
      <c r="AH24" s="27" t="n">
        <f aca="false">IF(COUNT(Sorgo!$E22:$Z22)=0,0,MAX(0,IF((AH$6-$E$3)&lt;1,0,IFERROR(LOOKUP(2,1/(Sorgo!$E22:INDEX(Sorgo!$E22:$Z22,MIN(AH$6-$E$3,22))&lt;&gt;""),Sorgo!$E22:INDEX(Sorgo!$E22:$Z22,MIN(AH$6-$E$3,22))),0))-IF($G$2,0,IF((AH$6-$G$3)&lt;1,0,IFERROR(LOOKUP(2,1/(Sorgo!$E22:INDEX(Sorgo!$E22:$Z22,MIN(AH$6-$G$3,22))&lt;&gt;""),Sorgo!$E22:INDEX(Sorgo!$E22:$Z22,MIN(AH$6-$G$3,22))),0)))))</f>
        <v>0</v>
      </c>
      <c r="AI24" s="27" t="n">
        <f aca="false">IF(COUNT(Sorgo!$E22:$Z22)=0,0,MAX(0,IF((AI$6-$E$3)&lt;1,0,IFERROR(LOOKUP(2,1/(Sorgo!$E22:INDEX(Sorgo!$E22:$Z22,MIN(AI$6-$E$3,22))&lt;&gt;""),Sorgo!$E22:INDEX(Sorgo!$E22:$Z22,MIN(AI$6-$E$3,22))),0))-IF($G$2,0,IF((AI$6-$G$3)&lt;1,0,IFERROR(LOOKUP(2,1/(Sorgo!$E22:INDEX(Sorgo!$E22:$Z22,MIN(AI$6-$G$3,22))&lt;&gt;""),Sorgo!$E22:INDEX(Sorgo!$E22:$Z22,MIN(AI$6-$G$3,22))),0)))))</f>
        <v>0</v>
      </c>
      <c r="AJ24" s="27" t="n">
        <f aca="false">IF(COUNT(Sorgo!$E22:$Z22)=0,0,MAX(0,IF((AJ$6-$E$3)&lt;1,0,IFERROR(LOOKUP(2,1/(Sorgo!$E22:INDEX(Sorgo!$E22:$Z22,MIN(AJ$6-$E$3,22))&lt;&gt;""),Sorgo!$E22:INDEX(Sorgo!$E22:$Z22,MIN(AJ$6-$E$3,22))),0))-IF($G$2,0,IF((AJ$6-$G$3)&lt;1,0,IFERROR(LOOKUP(2,1/(Sorgo!$E22:INDEX(Sorgo!$E22:$Z22,MIN(AJ$6-$G$3,22))&lt;&gt;""),Sorgo!$E22:INDEX(Sorgo!$E22:$Z22,MIN(AJ$6-$G$3,22))),0)))))</f>
        <v>0</v>
      </c>
      <c r="AK24" s="27" t="n">
        <f aca="false">IF(COUNT(Sorgo!$E22:$Z22)=0,0,MAX(0,IF((AK$6-$E$3)&lt;1,0,IFERROR(LOOKUP(2,1/(Sorgo!$E22:INDEX(Sorgo!$E22:$Z22,MIN(AK$6-$E$3,22))&lt;&gt;""),Sorgo!$E22:INDEX(Sorgo!$E22:$Z22,MIN(AK$6-$E$3,22))),0))-IF($G$2,0,IF((AK$6-$G$3)&lt;1,0,IFERROR(LOOKUP(2,1/(Sorgo!$E22:INDEX(Sorgo!$E22:$Z22,MIN(AK$6-$G$3,22))&lt;&gt;""),Sorgo!$E22:INDEX(Sorgo!$E22:$Z22,MIN(AK$6-$G$3,22))),0)))))</f>
        <v>0</v>
      </c>
      <c r="AL24" s="27" t="n">
        <f aca="false">IF(COUNT(Sorgo!$E22:$Z22)=0,0,MAX(0,IF((AL$6-$E$3)&lt;1,0,IFERROR(LOOKUP(2,1/(Sorgo!$E22:INDEX(Sorgo!$E22:$Z22,MIN(AL$6-$E$3,22))&lt;&gt;""),Sorgo!$E22:INDEX(Sorgo!$E22:$Z22,MIN(AL$6-$E$3,22))),0))-IF($G$2,0,IF((AL$6-$G$3)&lt;1,0,IFERROR(LOOKUP(2,1/(Sorgo!$E22:INDEX(Sorgo!$E22:$Z22,MIN(AL$6-$G$3,22))&lt;&gt;""),Sorgo!$E22:INDEX(Sorgo!$E22:$Z22,MIN(AL$6-$G$3,22))),0)))))</f>
        <v>0</v>
      </c>
      <c r="AM24" s="27" t="n">
        <f aca="false">IF(COUNT(Sorgo!$E22:$Z22)=0,0,MAX(0,IF((AM$6-$E$3)&lt;1,0,IFERROR(LOOKUP(2,1/(Sorgo!$E22:INDEX(Sorgo!$E22:$Z22,MIN(AM$6-$E$3,22))&lt;&gt;""),Sorgo!$E22:INDEX(Sorgo!$E22:$Z22,MIN(AM$6-$E$3,22))),0))-IF($G$2,0,IF((AM$6-$G$3)&lt;1,0,IFERROR(LOOKUP(2,1/(Sorgo!$E22:INDEX(Sorgo!$E22:$Z22,MIN(AM$6-$G$3,22))&lt;&gt;""),Sorgo!$E22:INDEX(Sorgo!$E22:$Z22,MIN(AM$6-$G$3,22))),0)))))</f>
        <v>0</v>
      </c>
      <c r="AN24" s="27" t="n">
        <f aca="false">IF(COUNT(Sorgo!$E22:$Z22)=0,0,MAX(0,IF((AN$6-$E$3)&lt;1,0,IFERROR(LOOKUP(2,1/(Sorgo!$E22:INDEX(Sorgo!$E22:$Z22,MIN(AN$6-$E$3,22))&lt;&gt;""),Sorgo!$E22:INDEX(Sorgo!$E22:$Z22,MIN(AN$6-$E$3,22))),0))-IF($G$2,0,IF((AN$6-$G$3)&lt;1,0,IFERROR(LOOKUP(2,1/(Sorgo!$E22:INDEX(Sorgo!$E22:$Z22,MIN(AN$6-$G$3,22))&lt;&gt;""),Sorgo!$E22:INDEX(Sorgo!$E22:$Z22,MIN(AN$6-$G$3,22))),0)))))</f>
        <v>0</v>
      </c>
      <c r="AO24" s="27" t="n">
        <f aca="false">IF(COUNT(Sorgo!$E22:$Z22)=0,0,MAX(0,IF((AO$6-$E$3)&lt;1,0,IFERROR(LOOKUP(2,1/(Sorgo!$E22:INDEX(Sorgo!$E22:$Z22,MIN(AO$6-$E$3,22))&lt;&gt;""),Sorgo!$E22:INDEX(Sorgo!$E22:$Z22,MIN(AO$6-$E$3,22))),0))-IF($G$2,0,IF((AO$6-$G$3)&lt;1,0,IFERROR(LOOKUP(2,1/(Sorgo!$E22:INDEX(Sorgo!$E22:$Z22,MIN(AO$6-$G$3,22))&lt;&gt;""),Sorgo!$E22:INDEX(Sorgo!$E22:$Z22,MIN(AO$6-$G$3,22))),0)))))</f>
        <v>0</v>
      </c>
      <c r="AP24" s="27" t="n">
        <f aca="false">IF(COUNT(Sorgo!$E22:$Z22)=0,0,MAX(0,IF((AP$6-$E$3)&lt;1,0,IFERROR(LOOKUP(2,1/(Sorgo!$E22:INDEX(Sorgo!$E22:$Z22,MIN(AP$6-$E$3,22))&lt;&gt;""),Sorgo!$E22:INDEX(Sorgo!$E22:$Z22,MIN(AP$6-$E$3,22))),0))-IF($G$2,0,IF((AP$6-$G$3)&lt;1,0,IFERROR(LOOKUP(2,1/(Sorgo!$E22:INDEX(Sorgo!$E22:$Z22,MIN(AP$6-$G$3,22))&lt;&gt;""),Sorgo!$E22:INDEX(Sorgo!$E22:$Z22,MIN(AP$6-$G$3,22))),0)))))</f>
        <v>0</v>
      </c>
      <c r="AQ24" s="27" t="n">
        <f aca="false">IF(COUNT(Sorgo!$E22:$Z22)=0,0,MAX(0,IF((AQ$6-$E$3)&lt;1,0,IFERROR(LOOKUP(2,1/(Sorgo!$E22:INDEX(Sorgo!$E22:$Z22,MIN(AQ$6-$E$3,22))&lt;&gt;""),Sorgo!$E22:INDEX(Sorgo!$E22:$Z22,MIN(AQ$6-$E$3,22))),0))-IF($G$2,0,IF((AQ$6-$G$3)&lt;1,0,IFERROR(LOOKUP(2,1/(Sorgo!$E22:INDEX(Sorgo!$E22:$Z22,MIN(AQ$6-$G$3,22))&lt;&gt;""),Sorgo!$E22:INDEX(Sorgo!$E22:$Z22,MIN(AQ$6-$G$3,22))),0)))))</f>
        <v>0</v>
      </c>
      <c r="AR24" s="27" t="n">
        <f aca="false">IF(COUNT(Sorgo!$E22:$Z22)=0,0,MAX(0,IF((AR$6-$E$3)&lt;1,0,IFERROR(LOOKUP(2,1/(Sorgo!$E22:INDEX(Sorgo!$E22:$Z22,MIN(AR$6-$E$3,22))&lt;&gt;""),Sorgo!$E22:INDEX(Sorgo!$E22:$Z22,MIN(AR$6-$E$3,22))),0))-IF($G$2,0,IF((AR$6-$G$3)&lt;1,0,IFERROR(LOOKUP(2,1/(Sorgo!$E22:INDEX(Sorgo!$E22:$Z22,MIN(AR$6-$G$3,22))&lt;&gt;""),Sorgo!$E22:INDEX(Sorgo!$E22:$Z22,MIN(AR$6-$G$3,22))),0)))))</f>
        <v>0</v>
      </c>
      <c r="AS24" s="27" t="n">
        <f aca="false">IF(COUNT(Sorgo!$E22:$Z22)=0,0,MAX(0,IF((AS$6-$E$3)&lt;1,0,IFERROR(LOOKUP(2,1/(Sorgo!$E22:INDEX(Sorgo!$E22:$Z22,MIN(AS$6-$E$3,22))&lt;&gt;""),Sorgo!$E22:INDEX(Sorgo!$E22:$Z22,MIN(AS$6-$E$3,22))),0))-IF($G$2,0,IF((AS$6-$G$3)&lt;1,0,IFERROR(LOOKUP(2,1/(Sorgo!$E22:INDEX(Sorgo!$E22:$Z22,MIN(AS$6-$G$3,22))&lt;&gt;""),Sorgo!$E22:INDEX(Sorgo!$E22:$Z22,MIN(AS$6-$G$3,22))),0)))))</f>
        <v>0</v>
      </c>
      <c r="AT24" s="27" t="n">
        <f aca="false">IF(COUNT(Sorgo!$E22:$Z22)=0,0,MAX(0,IF((AT$6-$E$3)&lt;1,0,IFERROR(LOOKUP(2,1/(Sorgo!$E22:INDEX(Sorgo!$E22:$Z22,MIN(AT$6-$E$3,22))&lt;&gt;""),Sorgo!$E22:INDEX(Sorgo!$E22:$Z22,MIN(AT$6-$E$3,22))),0))-IF($G$2,0,IF((AT$6-$G$3)&lt;1,0,IFERROR(LOOKUP(2,1/(Sorgo!$E22:INDEX(Sorgo!$E22:$Z22,MIN(AT$6-$G$3,22))&lt;&gt;""),Sorgo!$E22:INDEX(Sorgo!$E22:$Z22,MIN(AT$6-$G$3,22))),0)))))</f>
        <v>0</v>
      </c>
      <c r="AU24" s="27" t="n">
        <f aca="false">IF(COUNT(Sorgo!$E22:$Z22)=0,0,MAX(0,IF((AU$6-$E$3)&lt;1,0,IFERROR(LOOKUP(2,1/(Sorgo!$E22:INDEX(Sorgo!$E22:$Z22,MIN(AU$6-$E$3,22))&lt;&gt;""),Sorgo!$E22:INDEX(Sorgo!$E22:$Z22,MIN(AU$6-$E$3,22))),0))-IF($G$2,0,IF((AU$6-$G$3)&lt;1,0,IFERROR(LOOKUP(2,1/(Sorgo!$E22:INDEX(Sorgo!$E22:$Z22,MIN(AU$6-$G$3,22))&lt;&gt;""),Sorgo!$E22:INDEX(Sorgo!$E22:$Z22,MIN(AU$6-$G$3,22))),0)))))</f>
        <v>0</v>
      </c>
      <c r="AV24" s="27" t="n">
        <f aca="false">IF(COUNT(Sorgo!$E22:$Z22)=0,0,MAX(0,IF((AV$6-$E$3)&lt;1,0,IFERROR(LOOKUP(2,1/(Sorgo!$E22:INDEX(Sorgo!$E22:$Z22,MIN(AV$6-$E$3,22))&lt;&gt;""),Sorgo!$E22:INDEX(Sorgo!$E22:$Z22,MIN(AV$6-$E$3,22))),0))-IF($G$2,0,IF((AV$6-$G$3)&lt;1,0,IFERROR(LOOKUP(2,1/(Sorgo!$E22:INDEX(Sorgo!$E22:$Z22,MIN(AV$6-$G$3,22))&lt;&gt;""),Sorgo!$E22:INDEX(Sorgo!$E22:$Z22,MIN(AV$6-$G$3,22))),0)))))</f>
        <v>0</v>
      </c>
      <c r="AW24" s="27" t="n">
        <f aca="false">IF(COUNT(Sorgo!$E22:$Z22)=0,0,MAX(0,IF((AW$6-$E$3)&lt;1,0,IFERROR(LOOKUP(2,1/(Sorgo!$E22:INDEX(Sorgo!$E22:$Z22,MIN(AW$6-$E$3,22))&lt;&gt;""),Sorgo!$E22:INDEX(Sorgo!$E22:$Z22,MIN(AW$6-$E$3,22))),0))-IF($G$2,0,IF((AW$6-$G$3)&lt;1,0,IFERROR(LOOKUP(2,1/(Sorgo!$E22:INDEX(Sorgo!$E22:$Z22,MIN(AW$6-$G$3,22))&lt;&gt;""),Sorgo!$E22:INDEX(Sorgo!$E22:$Z22,MIN(AW$6-$G$3,22))),0)))))</f>
        <v>0</v>
      </c>
      <c r="AX24" s="27" t="n">
        <f aca="false">IF(COUNT(Sorgo!$E22:$Z22)=0,0,MAX(0,IF((AX$6-$E$3)&lt;1,0,IFERROR(LOOKUP(2,1/(Sorgo!$E22:INDEX(Sorgo!$E22:$Z22,MIN(AX$6-$E$3,22))&lt;&gt;""),Sorgo!$E22:INDEX(Sorgo!$E22:$Z22,MIN(AX$6-$E$3,22))),0))-IF($G$2,0,IF((AX$6-$G$3)&lt;1,0,IFERROR(LOOKUP(2,1/(Sorgo!$E22:INDEX(Sorgo!$E22:$Z22,MIN(AX$6-$G$3,22))&lt;&gt;""),Sorgo!$E22:INDEX(Sorgo!$E22:$Z22,MIN(AX$6-$G$3,22))),0)))))</f>
        <v>0</v>
      </c>
      <c r="AY24" s="27" t="n">
        <f aca="false">IF(COUNT(Sorgo!$E22:$Z22)=0,0,MAX(0,IF((AY$6-$E$3)&lt;1,0,IFERROR(LOOKUP(2,1/(Sorgo!$E22:INDEX(Sorgo!$E22:$Z22,MIN(AY$6-$E$3,22))&lt;&gt;""),Sorgo!$E22:INDEX(Sorgo!$E22:$Z22,MIN(AY$6-$E$3,22))),0))-IF($G$2,0,IF((AY$6-$G$3)&lt;1,0,IFERROR(LOOKUP(2,1/(Sorgo!$E22:INDEX(Sorgo!$E22:$Z22,MIN(AY$6-$G$3,22))&lt;&gt;""),Sorgo!$E22:INDEX(Sorgo!$E22:$Z22,MIN(AY$6-$G$3,22))),0)))))</f>
        <v>0</v>
      </c>
      <c r="AZ24" s="27" t="n">
        <f aca="false">IF(COUNT(Sorgo!$E22:$Z22)=0,0,MAX(0,IF((AZ$6-$E$3)&lt;1,0,IFERROR(LOOKUP(2,1/(Sorgo!$E22:INDEX(Sorgo!$E22:$Z22,MIN(AZ$6-$E$3,22))&lt;&gt;""),Sorgo!$E22:INDEX(Sorgo!$E22:$Z22,MIN(AZ$6-$E$3,22))),0))-IF($G$2,0,IF((AZ$6-$G$3)&lt;1,0,IFERROR(LOOKUP(2,1/(Sorgo!$E22:INDEX(Sorgo!$E22:$Z22,MIN(AZ$6-$G$3,22))&lt;&gt;""),Sorgo!$E22:INDEX(Sorgo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IF(COUNT(Sorgo!$E23:$Z23)&gt;0,N(Sorgo!$D23),0)</f>
        <v>0</v>
      </c>
      <c r="E25" s="27" t="n">
        <f aca="false">IF(COUNT(Sorgo!$E23:$Z23)=0,0,MAX(0,IF((E$6-$E$3)&lt;1,0,IFERROR(LOOKUP(2,1/(Sorgo!$E23:INDEX(Sorgo!$E23:$Z23,MIN(E$6-$E$3,22))&lt;&gt;""),Sorgo!$E23:INDEX(Sorgo!$E23:$Z23,MIN(E$6-$E$3,22))),0))-IF($G$2,0,IF((E$6-$G$3)&lt;1,0,IFERROR(LOOKUP(2,1/(Sorgo!$E23:INDEX(Sorgo!$E23:$Z23,MIN(E$6-$G$3,22))&lt;&gt;""),Sorgo!$E23:INDEX(Sorgo!$E23:$Z23,MIN(E$6-$G$3,22))),0)))))</f>
        <v>0</v>
      </c>
      <c r="F25" s="27" t="n">
        <f aca="false">IF(COUNT(Sorgo!$E23:$Z23)=0,0,MAX(0,IF((F$6-$E$3)&lt;1,0,IFERROR(LOOKUP(2,1/(Sorgo!$E23:INDEX(Sorgo!$E23:$Z23,MIN(F$6-$E$3,22))&lt;&gt;""),Sorgo!$E23:INDEX(Sorgo!$E23:$Z23,MIN(F$6-$E$3,22))),0))-IF($G$2,0,IF((F$6-$G$3)&lt;1,0,IFERROR(LOOKUP(2,1/(Sorgo!$E23:INDEX(Sorgo!$E23:$Z23,MIN(F$6-$G$3,22))&lt;&gt;""),Sorgo!$E23:INDEX(Sorgo!$E23:$Z23,MIN(F$6-$G$3,22))),0)))))</f>
        <v>0</v>
      </c>
      <c r="G25" s="27" t="n">
        <f aca="false">IF(COUNT(Sorgo!$E23:$Z23)=0,0,MAX(0,IF((G$6-$E$3)&lt;1,0,IFERROR(LOOKUP(2,1/(Sorgo!$E23:INDEX(Sorgo!$E23:$Z23,MIN(G$6-$E$3,22))&lt;&gt;""),Sorgo!$E23:INDEX(Sorgo!$E23:$Z23,MIN(G$6-$E$3,22))),0))-IF($G$2,0,IF((G$6-$G$3)&lt;1,0,IFERROR(LOOKUP(2,1/(Sorgo!$E23:INDEX(Sorgo!$E23:$Z23,MIN(G$6-$G$3,22))&lt;&gt;""),Sorgo!$E23:INDEX(Sorgo!$E23:$Z23,MIN(G$6-$G$3,22))),0)))))</f>
        <v>0</v>
      </c>
      <c r="H25" s="27" t="n">
        <f aca="false">IF(COUNT(Sorgo!$E23:$Z23)=0,0,MAX(0,IF((H$6-$E$3)&lt;1,0,IFERROR(LOOKUP(2,1/(Sorgo!$E23:INDEX(Sorgo!$E23:$Z23,MIN(H$6-$E$3,22))&lt;&gt;""),Sorgo!$E23:INDEX(Sorgo!$E23:$Z23,MIN(H$6-$E$3,22))),0))-IF($G$2,0,IF((H$6-$G$3)&lt;1,0,IFERROR(LOOKUP(2,1/(Sorgo!$E23:INDEX(Sorgo!$E23:$Z23,MIN(H$6-$G$3,22))&lt;&gt;""),Sorgo!$E23:INDEX(Sorgo!$E23:$Z23,MIN(H$6-$G$3,22))),0)))))</f>
        <v>0</v>
      </c>
      <c r="I25" s="27" t="n">
        <f aca="false">IF(COUNT(Sorgo!$E23:$Z23)=0,0,MAX(0,IF((I$6-$E$3)&lt;1,0,IFERROR(LOOKUP(2,1/(Sorgo!$E23:INDEX(Sorgo!$E23:$Z23,MIN(I$6-$E$3,22))&lt;&gt;""),Sorgo!$E23:INDEX(Sorgo!$E23:$Z23,MIN(I$6-$E$3,22))),0))-IF($G$2,0,IF((I$6-$G$3)&lt;1,0,IFERROR(LOOKUP(2,1/(Sorgo!$E23:INDEX(Sorgo!$E23:$Z23,MIN(I$6-$G$3,22))&lt;&gt;""),Sorgo!$E23:INDEX(Sorgo!$E23:$Z23,MIN(I$6-$G$3,22))),0)))))</f>
        <v>0</v>
      </c>
      <c r="J25" s="27" t="n">
        <f aca="false">IF(COUNT(Sorgo!$E23:$Z23)=0,0,MAX(0,IF((J$6-$E$3)&lt;1,0,IFERROR(LOOKUP(2,1/(Sorgo!$E23:INDEX(Sorgo!$E23:$Z23,MIN(J$6-$E$3,22))&lt;&gt;""),Sorgo!$E23:INDEX(Sorgo!$E23:$Z23,MIN(J$6-$E$3,22))),0))-IF($G$2,0,IF((J$6-$G$3)&lt;1,0,IFERROR(LOOKUP(2,1/(Sorgo!$E23:INDEX(Sorgo!$E23:$Z23,MIN(J$6-$G$3,22))&lt;&gt;""),Sorgo!$E23:INDEX(Sorgo!$E23:$Z23,MIN(J$6-$G$3,22))),0)))))</f>
        <v>0</v>
      </c>
      <c r="K25" s="27" t="n">
        <f aca="false">IF(COUNT(Sorgo!$E23:$Z23)=0,0,MAX(0,IF((K$6-$E$3)&lt;1,0,IFERROR(LOOKUP(2,1/(Sorgo!$E23:INDEX(Sorgo!$E23:$Z23,MIN(K$6-$E$3,22))&lt;&gt;""),Sorgo!$E23:INDEX(Sorgo!$E23:$Z23,MIN(K$6-$E$3,22))),0))-IF($G$2,0,IF((K$6-$G$3)&lt;1,0,IFERROR(LOOKUP(2,1/(Sorgo!$E23:INDEX(Sorgo!$E23:$Z23,MIN(K$6-$G$3,22))&lt;&gt;""),Sorgo!$E23:INDEX(Sorgo!$E23:$Z23,MIN(K$6-$G$3,22))),0)))))</f>
        <v>0</v>
      </c>
      <c r="L25" s="27" t="n">
        <f aca="false">IF(COUNT(Sorgo!$E23:$Z23)=0,0,MAX(0,IF((L$6-$E$3)&lt;1,0,IFERROR(LOOKUP(2,1/(Sorgo!$E23:INDEX(Sorgo!$E23:$Z23,MIN(L$6-$E$3,22))&lt;&gt;""),Sorgo!$E23:INDEX(Sorgo!$E23:$Z23,MIN(L$6-$E$3,22))),0))-IF($G$2,0,IF((L$6-$G$3)&lt;1,0,IFERROR(LOOKUP(2,1/(Sorgo!$E23:INDEX(Sorgo!$E23:$Z23,MIN(L$6-$G$3,22))&lt;&gt;""),Sorgo!$E23:INDEX(Sorgo!$E23:$Z23,MIN(L$6-$G$3,22))),0)))))</f>
        <v>0</v>
      </c>
      <c r="M25" s="27" t="n">
        <f aca="false">IF(COUNT(Sorgo!$E23:$Z23)=0,0,MAX(0,IF((M$6-$E$3)&lt;1,0,IFERROR(LOOKUP(2,1/(Sorgo!$E23:INDEX(Sorgo!$E23:$Z23,MIN(M$6-$E$3,22))&lt;&gt;""),Sorgo!$E23:INDEX(Sorgo!$E23:$Z23,MIN(M$6-$E$3,22))),0))-IF($G$2,0,IF((M$6-$G$3)&lt;1,0,IFERROR(LOOKUP(2,1/(Sorgo!$E23:INDEX(Sorgo!$E23:$Z23,MIN(M$6-$G$3,22))&lt;&gt;""),Sorgo!$E23:INDEX(Sorgo!$E23:$Z23,MIN(M$6-$G$3,22))),0)))))</f>
        <v>0</v>
      </c>
      <c r="N25" s="27" t="n">
        <f aca="false">IF(COUNT(Sorgo!$E23:$Z23)=0,0,MAX(0,IF((N$6-$E$3)&lt;1,0,IFERROR(LOOKUP(2,1/(Sorgo!$E23:INDEX(Sorgo!$E23:$Z23,MIN(N$6-$E$3,22))&lt;&gt;""),Sorgo!$E23:INDEX(Sorgo!$E23:$Z23,MIN(N$6-$E$3,22))),0))-IF($G$2,0,IF((N$6-$G$3)&lt;1,0,IFERROR(LOOKUP(2,1/(Sorgo!$E23:INDEX(Sorgo!$E23:$Z23,MIN(N$6-$G$3,22))&lt;&gt;""),Sorgo!$E23:INDEX(Sorgo!$E23:$Z23,MIN(N$6-$G$3,22))),0)))))</f>
        <v>0</v>
      </c>
      <c r="O25" s="27" t="n">
        <f aca="false">IF(COUNT(Sorgo!$E23:$Z23)=0,0,MAX(0,IF((O$6-$E$3)&lt;1,0,IFERROR(LOOKUP(2,1/(Sorgo!$E23:INDEX(Sorgo!$E23:$Z23,MIN(O$6-$E$3,22))&lt;&gt;""),Sorgo!$E23:INDEX(Sorgo!$E23:$Z23,MIN(O$6-$E$3,22))),0))-IF($G$2,0,IF((O$6-$G$3)&lt;1,0,IFERROR(LOOKUP(2,1/(Sorgo!$E23:INDEX(Sorgo!$E23:$Z23,MIN(O$6-$G$3,22))&lt;&gt;""),Sorgo!$E23:INDEX(Sorgo!$E23:$Z23,MIN(O$6-$G$3,22))),0)))))</f>
        <v>0</v>
      </c>
      <c r="P25" s="27" t="n">
        <f aca="false">IF(COUNT(Sorgo!$E23:$Z23)=0,0,MAX(0,IF((P$6-$E$3)&lt;1,0,IFERROR(LOOKUP(2,1/(Sorgo!$E23:INDEX(Sorgo!$E23:$Z23,MIN(P$6-$E$3,22))&lt;&gt;""),Sorgo!$E23:INDEX(Sorgo!$E23:$Z23,MIN(P$6-$E$3,22))),0))-IF($G$2,0,IF((P$6-$G$3)&lt;1,0,IFERROR(LOOKUP(2,1/(Sorgo!$E23:INDEX(Sorgo!$E23:$Z23,MIN(P$6-$G$3,22))&lt;&gt;""),Sorgo!$E23:INDEX(Sorgo!$E23:$Z23,MIN(P$6-$G$3,22))),0)))))</f>
        <v>0</v>
      </c>
      <c r="Q25" s="27" t="n">
        <f aca="false">IF(COUNT(Sorgo!$E23:$Z23)=0,0,MAX(0,IF((Q$6-$E$3)&lt;1,0,IFERROR(LOOKUP(2,1/(Sorgo!$E23:INDEX(Sorgo!$E23:$Z23,MIN(Q$6-$E$3,22))&lt;&gt;""),Sorgo!$E23:INDEX(Sorgo!$E23:$Z23,MIN(Q$6-$E$3,22))),0))-IF($G$2,0,IF((Q$6-$G$3)&lt;1,0,IFERROR(LOOKUP(2,1/(Sorgo!$E23:INDEX(Sorgo!$E23:$Z23,MIN(Q$6-$G$3,22))&lt;&gt;""),Sorgo!$E23:INDEX(Sorgo!$E23:$Z23,MIN(Q$6-$G$3,22))),0)))))</f>
        <v>0</v>
      </c>
      <c r="R25" s="27" t="n">
        <f aca="false">IF(COUNT(Sorgo!$E23:$Z23)=0,0,MAX(0,IF((R$6-$E$3)&lt;1,0,IFERROR(LOOKUP(2,1/(Sorgo!$E23:INDEX(Sorgo!$E23:$Z23,MIN(R$6-$E$3,22))&lt;&gt;""),Sorgo!$E23:INDEX(Sorgo!$E23:$Z23,MIN(R$6-$E$3,22))),0))-IF($G$2,0,IF((R$6-$G$3)&lt;1,0,IFERROR(LOOKUP(2,1/(Sorgo!$E23:INDEX(Sorgo!$E23:$Z23,MIN(R$6-$G$3,22))&lt;&gt;""),Sorgo!$E23:INDEX(Sorgo!$E23:$Z23,MIN(R$6-$G$3,22))),0)))))</f>
        <v>0</v>
      </c>
      <c r="S25" s="27" t="n">
        <f aca="false">IF(COUNT(Sorgo!$E23:$Z23)=0,0,MAX(0,IF((S$6-$E$3)&lt;1,0,IFERROR(LOOKUP(2,1/(Sorgo!$E23:INDEX(Sorgo!$E23:$Z23,MIN(S$6-$E$3,22))&lt;&gt;""),Sorgo!$E23:INDEX(Sorgo!$E23:$Z23,MIN(S$6-$E$3,22))),0))-IF($G$2,0,IF((S$6-$G$3)&lt;1,0,IFERROR(LOOKUP(2,1/(Sorgo!$E23:INDEX(Sorgo!$E23:$Z23,MIN(S$6-$G$3,22))&lt;&gt;""),Sorgo!$E23:INDEX(Sorgo!$E23:$Z23,MIN(S$6-$G$3,22))),0)))))</f>
        <v>0</v>
      </c>
      <c r="T25" s="27" t="n">
        <f aca="false">IF(COUNT(Sorgo!$E23:$Z23)=0,0,MAX(0,IF((T$6-$E$3)&lt;1,0,IFERROR(LOOKUP(2,1/(Sorgo!$E23:INDEX(Sorgo!$E23:$Z23,MIN(T$6-$E$3,22))&lt;&gt;""),Sorgo!$E23:INDEX(Sorgo!$E23:$Z23,MIN(T$6-$E$3,22))),0))-IF($G$2,0,IF((T$6-$G$3)&lt;1,0,IFERROR(LOOKUP(2,1/(Sorgo!$E23:INDEX(Sorgo!$E23:$Z23,MIN(T$6-$G$3,22))&lt;&gt;""),Sorgo!$E23:INDEX(Sorgo!$E23:$Z23,MIN(T$6-$G$3,22))),0)))))</f>
        <v>0</v>
      </c>
      <c r="U25" s="27" t="n">
        <f aca="false">IF(COUNT(Sorgo!$E23:$Z23)=0,0,MAX(0,IF((U$6-$E$3)&lt;1,0,IFERROR(LOOKUP(2,1/(Sorgo!$E23:INDEX(Sorgo!$E23:$Z23,MIN(U$6-$E$3,22))&lt;&gt;""),Sorgo!$E23:INDEX(Sorgo!$E23:$Z23,MIN(U$6-$E$3,22))),0))-IF($G$2,0,IF((U$6-$G$3)&lt;1,0,IFERROR(LOOKUP(2,1/(Sorgo!$E23:INDEX(Sorgo!$E23:$Z23,MIN(U$6-$G$3,22))&lt;&gt;""),Sorgo!$E23:INDEX(Sorgo!$E23:$Z23,MIN(U$6-$G$3,22))),0)))))</f>
        <v>0</v>
      </c>
      <c r="V25" s="27" t="n">
        <f aca="false">IF(COUNT(Sorgo!$E23:$Z23)=0,0,MAX(0,IF((V$6-$E$3)&lt;1,0,IFERROR(LOOKUP(2,1/(Sorgo!$E23:INDEX(Sorgo!$E23:$Z23,MIN(V$6-$E$3,22))&lt;&gt;""),Sorgo!$E23:INDEX(Sorgo!$E23:$Z23,MIN(V$6-$E$3,22))),0))-IF($G$2,0,IF((V$6-$G$3)&lt;1,0,IFERROR(LOOKUP(2,1/(Sorgo!$E23:INDEX(Sorgo!$E23:$Z23,MIN(V$6-$G$3,22))&lt;&gt;""),Sorgo!$E23:INDEX(Sorgo!$E23:$Z23,MIN(V$6-$G$3,22))),0)))))</f>
        <v>0</v>
      </c>
      <c r="W25" s="27" t="n">
        <f aca="false">IF(COUNT(Sorgo!$E23:$Z23)=0,0,MAX(0,IF((W$6-$E$3)&lt;1,0,IFERROR(LOOKUP(2,1/(Sorgo!$E23:INDEX(Sorgo!$E23:$Z23,MIN(W$6-$E$3,22))&lt;&gt;""),Sorgo!$E23:INDEX(Sorgo!$E23:$Z23,MIN(W$6-$E$3,22))),0))-IF($G$2,0,IF((W$6-$G$3)&lt;1,0,IFERROR(LOOKUP(2,1/(Sorgo!$E23:INDEX(Sorgo!$E23:$Z23,MIN(W$6-$G$3,22))&lt;&gt;""),Sorgo!$E23:INDEX(Sorgo!$E23:$Z23,MIN(W$6-$G$3,22))),0)))))</f>
        <v>0</v>
      </c>
      <c r="X25" s="27" t="n">
        <f aca="false">IF(COUNT(Sorgo!$E23:$Z23)=0,0,MAX(0,IF((X$6-$E$3)&lt;1,0,IFERROR(LOOKUP(2,1/(Sorgo!$E23:INDEX(Sorgo!$E23:$Z23,MIN(X$6-$E$3,22))&lt;&gt;""),Sorgo!$E23:INDEX(Sorgo!$E23:$Z23,MIN(X$6-$E$3,22))),0))-IF($G$2,0,IF((X$6-$G$3)&lt;1,0,IFERROR(LOOKUP(2,1/(Sorgo!$E23:INDEX(Sorgo!$E23:$Z23,MIN(X$6-$G$3,22))&lt;&gt;""),Sorgo!$E23:INDEX(Sorgo!$E23:$Z23,MIN(X$6-$G$3,22))),0)))))</f>
        <v>0</v>
      </c>
      <c r="Y25" s="27" t="n">
        <f aca="false">IF(COUNT(Sorgo!$E23:$Z23)=0,0,MAX(0,IF((Y$6-$E$3)&lt;1,0,IFERROR(LOOKUP(2,1/(Sorgo!$E23:INDEX(Sorgo!$E23:$Z23,MIN(Y$6-$E$3,22))&lt;&gt;""),Sorgo!$E23:INDEX(Sorgo!$E23:$Z23,MIN(Y$6-$E$3,22))),0))-IF($G$2,0,IF((Y$6-$G$3)&lt;1,0,IFERROR(LOOKUP(2,1/(Sorgo!$E23:INDEX(Sorgo!$E23:$Z23,MIN(Y$6-$G$3,22))&lt;&gt;""),Sorgo!$E23:INDEX(Sorgo!$E23:$Z23,MIN(Y$6-$G$3,22))),0)))))</f>
        <v>0</v>
      </c>
      <c r="Z25" s="27" t="n">
        <f aca="false">IF(COUNT(Sorgo!$E23:$Z23)=0,0,MAX(0,IF((Z$6-$E$3)&lt;1,0,IFERROR(LOOKUP(2,1/(Sorgo!$E23:INDEX(Sorgo!$E23:$Z23,MIN(Z$6-$E$3,22))&lt;&gt;""),Sorgo!$E23:INDEX(Sorgo!$E23:$Z23,MIN(Z$6-$E$3,22))),0))-IF($G$2,0,IF((Z$6-$G$3)&lt;1,0,IFERROR(LOOKUP(2,1/(Sorgo!$E23:INDEX(Sorgo!$E23:$Z23,MIN(Z$6-$G$3,22))&lt;&gt;""),Sorgo!$E23:INDEX(Sorgo!$E23:$Z23,MIN(Z$6-$G$3,22))),0)))))</f>
        <v>0</v>
      </c>
      <c r="AA25" s="27" t="n">
        <f aca="false">IF(COUNT(Sorgo!$E23:$Z23)=0,0,MAX(0,IF((AA$6-$E$3)&lt;1,0,IFERROR(LOOKUP(2,1/(Sorgo!$E23:INDEX(Sorgo!$E23:$Z23,MIN(AA$6-$E$3,22))&lt;&gt;""),Sorgo!$E23:INDEX(Sorgo!$E23:$Z23,MIN(AA$6-$E$3,22))),0))-IF($G$2,0,IF((AA$6-$G$3)&lt;1,0,IFERROR(LOOKUP(2,1/(Sorgo!$E23:INDEX(Sorgo!$E23:$Z23,MIN(AA$6-$G$3,22))&lt;&gt;""),Sorgo!$E23:INDEX(Sorgo!$E23:$Z23,MIN(AA$6-$G$3,22))),0)))))</f>
        <v>0</v>
      </c>
      <c r="AB25" s="27" t="n">
        <f aca="false">IF(COUNT(Sorgo!$E23:$Z23)=0,0,MAX(0,IF((AB$6-$E$3)&lt;1,0,IFERROR(LOOKUP(2,1/(Sorgo!$E23:INDEX(Sorgo!$E23:$Z23,MIN(AB$6-$E$3,22))&lt;&gt;""),Sorgo!$E23:INDEX(Sorgo!$E23:$Z23,MIN(AB$6-$E$3,22))),0))-IF($G$2,0,IF((AB$6-$G$3)&lt;1,0,IFERROR(LOOKUP(2,1/(Sorgo!$E23:INDEX(Sorgo!$E23:$Z23,MIN(AB$6-$G$3,22))&lt;&gt;""),Sorgo!$E23:INDEX(Sorgo!$E23:$Z23,MIN(AB$6-$G$3,22))),0)))))</f>
        <v>0</v>
      </c>
      <c r="AC25" s="27" t="n">
        <f aca="false">IF(COUNT(Sorgo!$E23:$Z23)=0,0,MAX(0,IF((AC$6-$E$3)&lt;1,0,IFERROR(LOOKUP(2,1/(Sorgo!$E23:INDEX(Sorgo!$E23:$Z23,MIN(AC$6-$E$3,22))&lt;&gt;""),Sorgo!$E23:INDEX(Sorgo!$E23:$Z23,MIN(AC$6-$E$3,22))),0))-IF($G$2,0,IF((AC$6-$G$3)&lt;1,0,IFERROR(LOOKUP(2,1/(Sorgo!$E23:INDEX(Sorgo!$E23:$Z23,MIN(AC$6-$G$3,22))&lt;&gt;""),Sorgo!$E23:INDEX(Sorgo!$E23:$Z23,MIN(AC$6-$G$3,22))),0)))))</f>
        <v>0</v>
      </c>
      <c r="AD25" s="27" t="n">
        <f aca="false">IF(COUNT(Sorgo!$E23:$Z23)=0,0,MAX(0,IF((AD$6-$E$3)&lt;1,0,IFERROR(LOOKUP(2,1/(Sorgo!$E23:INDEX(Sorgo!$E23:$Z23,MIN(AD$6-$E$3,22))&lt;&gt;""),Sorgo!$E23:INDEX(Sorgo!$E23:$Z23,MIN(AD$6-$E$3,22))),0))-IF($G$2,0,IF((AD$6-$G$3)&lt;1,0,IFERROR(LOOKUP(2,1/(Sorgo!$E23:INDEX(Sorgo!$E23:$Z23,MIN(AD$6-$G$3,22))&lt;&gt;""),Sorgo!$E23:INDEX(Sorgo!$E23:$Z23,MIN(AD$6-$G$3,22))),0)))))</f>
        <v>0</v>
      </c>
      <c r="AE25" s="27" t="n">
        <f aca="false">IF(COUNT(Sorgo!$E23:$Z23)=0,0,MAX(0,IF((AE$6-$E$3)&lt;1,0,IFERROR(LOOKUP(2,1/(Sorgo!$E23:INDEX(Sorgo!$E23:$Z23,MIN(AE$6-$E$3,22))&lt;&gt;""),Sorgo!$E23:INDEX(Sorgo!$E23:$Z23,MIN(AE$6-$E$3,22))),0))-IF($G$2,0,IF((AE$6-$G$3)&lt;1,0,IFERROR(LOOKUP(2,1/(Sorgo!$E23:INDEX(Sorgo!$E23:$Z23,MIN(AE$6-$G$3,22))&lt;&gt;""),Sorgo!$E23:INDEX(Sorgo!$E23:$Z23,MIN(AE$6-$G$3,22))),0)))))</f>
        <v>0</v>
      </c>
      <c r="AF25" s="27" t="n">
        <f aca="false">IF(COUNT(Sorgo!$E23:$Z23)=0,0,MAX(0,IF((AF$6-$E$3)&lt;1,0,IFERROR(LOOKUP(2,1/(Sorgo!$E23:INDEX(Sorgo!$E23:$Z23,MIN(AF$6-$E$3,22))&lt;&gt;""),Sorgo!$E23:INDEX(Sorgo!$E23:$Z23,MIN(AF$6-$E$3,22))),0))-IF($G$2,0,IF((AF$6-$G$3)&lt;1,0,IFERROR(LOOKUP(2,1/(Sorgo!$E23:INDEX(Sorgo!$E23:$Z23,MIN(AF$6-$G$3,22))&lt;&gt;""),Sorgo!$E23:INDEX(Sorgo!$E23:$Z23,MIN(AF$6-$G$3,22))),0)))))</f>
        <v>0</v>
      </c>
      <c r="AG25" s="27" t="n">
        <f aca="false">IF(COUNT(Sorgo!$E23:$Z23)=0,0,MAX(0,IF((AG$6-$E$3)&lt;1,0,IFERROR(LOOKUP(2,1/(Sorgo!$E23:INDEX(Sorgo!$E23:$Z23,MIN(AG$6-$E$3,22))&lt;&gt;""),Sorgo!$E23:INDEX(Sorgo!$E23:$Z23,MIN(AG$6-$E$3,22))),0))-IF($G$2,0,IF((AG$6-$G$3)&lt;1,0,IFERROR(LOOKUP(2,1/(Sorgo!$E23:INDEX(Sorgo!$E23:$Z23,MIN(AG$6-$G$3,22))&lt;&gt;""),Sorgo!$E23:INDEX(Sorgo!$E23:$Z23,MIN(AG$6-$G$3,22))),0)))))</f>
        <v>0</v>
      </c>
      <c r="AH25" s="27" t="n">
        <f aca="false">IF(COUNT(Sorgo!$E23:$Z23)=0,0,MAX(0,IF((AH$6-$E$3)&lt;1,0,IFERROR(LOOKUP(2,1/(Sorgo!$E23:INDEX(Sorgo!$E23:$Z23,MIN(AH$6-$E$3,22))&lt;&gt;""),Sorgo!$E23:INDEX(Sorgo!$E23:$Z23,MIN(AH$6-$E$3,22))),0))-IF($G$2,0,IF((AH$6-$G$3)&lt;1,0,IFERROR(LOOKUP(2,1/(Sorgo!$E23:INDEX(Sorgo!$E23:$Z23,MIN(AH$6-$G$3,22))&lt;&gt;""),Sorgo!$E23:INDEX(Sorgo!$E23:$Z23,MIN(AH$6-$G$3,22))),0)))))</f>
        <v>0</v>
      </c>
      <c r="AI25" s="27" t="n">
        <f aca="false">IF(COUNT(Sorgo!$E23:$Z23)=0,0,MAX(0,IF((AI$6-$E$3)&lt;1,0,IFERROR(LOOKUP(2,1/(Sorgo!$E23:INDEX(Sorgo!$E23:$Z23,MIN(AI$6-$E$3,22))&lt;&gt;""),Sorgo!$E23:INDEX(Sorgo!$E23:$Z23,MIN(AI$6-$E$3,22))),0))-IF($G$2,0,IF((AI$6-$G$3)&lt;1,0,IFERROR(LOOKUP(2,1/(Sorgo!$E23:INDEX(Sorgo!$E23:$Z23,MIN(AI$6-$G$3,22))&lt;&gt;""),Sorgo!$E23:INDEX(Sorgo!$E23:$Z23,MIN(AI$6-$G$3,22))),0)))))</f>
        <v>0</v>
      </c>
      <c r="AJ25" s="27" t="n">
        <f aca="false">IF(COUNT(Sorgo!$E23:$Z23)=0,0,MAX(0,IF((AJ$6-$E$3)&lt;1,0,IFERROR(LOOKUP(2,1/(Sorgo!$E23:INDEX(Sorgo!$E23:$Z23,MIN(AJ$6-$E$3,22))&lt;&gt;""),Sorgo!$E23:INDEX(Sorgo!$E23:$Z23,MIN(AJ$6-$E$3,22))),0))-IF($G$2,0,IF((AJ$6-$G$3)&lt;1,0,IFERROR(LOOKUP(2,1/(Sorgo!$E23:INDEX(Sorgo!$E23:$Z23,MIN(AJ$6-$G$3,22))&lt;&gt;""),Sorgo!$E23:INDEX(Sorgo!$E23:$Z23,MIN(AJ$6-$G$3,22))),0)))))</f>
        <v>0</v>
      </c>
      <c r="AK25" s="27" t="n">
        <f aca="false">IF(COUNT(Sorgo!$E23:$Z23)=0,0,MAX(0,IF((AK$6-$E$3)&lt;1,0,IFERROR(LOOKUP(2,1/(Sorgo!$E23:INDEX(Sorgo!$E23:$Z23,MIN(AK$6-$E$3,22))&lt;&gt;""),Sorgo!$E23:INDEX(Sorgo!$E23:$Z23,MIN(AK$6-$E$3,22))),0))-IF($G$2,0,IF((AK$6-$G$3)&lt;1,0,IFERROR(LOOKUP(2,1/(Sorgo!$E23:INDEX(Sorgo!$E23:$Z23,MIN(AK$6-$G$3,22))&lt;&gt;""),Sorgo!$E23:INDEX(Sorgo!$E23:$Z23,MIN(AK$6-$G$3,22))),0)))))</f>
        <v>0</v>
      </c>
      <c r="AL25" s="27" t="n">
        <f aca="false">IF(COUNT(Sorgo!$E23:$Z23)=0,0,MAX(0,IF((AL$6-$E$3)&lt;1,0,IFERROR(LOOKUP(2,1/(Sorgo!$E23:INDEX(Sorgo!$E23:$Z23,MIN(AL$6-$E$3,22))&lt;&gt;""),Sorgo!$E23:INDEX(Sorgo!$E23:$Z23,MIN(AL$6-$E$3,22))),0))-IF($G$2,0,IF((AL$6-$G$3)&lt;1,0,IFERROR(LOOKUP(2,1/(Sorgo!$E23:INDEX(Sorgo!$E23:$Z23,MIN(AL$6-$G$3,22))&lt;&gt;""),Sorgo!$E23:INDEX(Sorgo!$E23:$Z23,MIN(AL$6-$G$3,22))),0)))))</f>
        <v>0</v>
      </c>
      <c r="AM25" s="27" t="n">
        <f aca="false">IF(COUNT(Sorgo!$E23:$Z23)=0,0,MAX(0,IF((AM$6-$E$3)&lt;1,0,IFERROR(LOOKUP(2,1/(Sorgo!$E23:INDEX(Sorgo!$E23:$Z23,MIN(AM$6-$E$3,22))&lt;&gt;""),Sorgo!$E23:INDEX(Sorgo!$E23:$Z23,MIN(AM$6-$E$3,22))),0))-IF($G$2,0,IF((AM$6-$G$3)&lt;1,0,IFERROR(LOOKUP(2,1/(Sorgo!$E23:INDEX(Sorgo!$E23:$Z23,MIN(AM$6-$G$3,22))&lt;&gt;""),Sorgo!$E23:INDEX(Sorgo!$E23:$Z23,MIN(AM$6-$G$3,22))),0)))))</f>
        <v>0</v>
      </c>
      <c r="AN25" s="27" t="n">
        <f aca="false">IF(COUNT(Sorgo!$E23:$Z23)=0,0,MAX(0,IF((AN$6-$E$3)&lt;1,0,IFERROR(LOOKUP(2,1/(Sorgo!$E23:INDEX(Sorgo!$E23:$Z23,MIN(AN$6-$E$3,22))&lt;&gt;""),Sorgo!$E23:INDEX(Sorgo!$E23:$Z23,MIN(AN$6-$E$3,22))),0))-IF($G$2,0,IF((AN$6-$G$3)&lt;1,0,IFERROR(LOOKUP(2,1/(Sorgo!$E23:INDEX(Sorgo!$E23:$Z23,MIN(AN$6-$G$3,22))&lt;&gt;""),Sorgo!$E23:INDEX(Sorgo!$E23:$Z23,MIN(AN$6-$G$3,22))),0)))))</f>
        <v>0</v>
      </c>
      <c r="AO25" s="27" t="n">
        <f aca="false">IF(COUNT(Sorgo!$E23:$Z23)=0,0,MAX(0,IF((AO$6-$E$3)&lt;1,0,IFERROR(LOOKUP(2,1/(Sorgo!$E23:INDEX(Sorgo!$E23:$Z23,MIN(AO$6-$E$3,22))&lt;&gt;""),Sorgo!$E23:INDEX(Sorgo!$E23:$Z23,MIN(AO$6-$E$3,22))),0))-IF($G$2,0,IF((AO$6-$G$3)&lt;1,0,IFERROR(LOOKUP(2,1/(Sorgo!$E23:INDEX(Sorgo!$E23:$Z23,MIN(AO$6-$G$3,22))&lt;&gt;""),Sorgo!$E23:INDEX(Sorgo!$E23:$Z23,MIN(AO$6-$G$3,22))),0)))))</f>
        <v>0</v>
      </c>
      <c r="AP25" s="27" t="n">
        <f aca="false">IF(COUNT(Sorgo!$E23:$Z23)=0,0,MAX(0,IF((AP$6-$E$3)&lt;1,0,IFERROR(LOOKUP(2,1/(Sorgo!$E23:INDEX(Sorgo!$E23:$Z23,MIN(AP$6-$E$3,22))&lt;&gt;""),Sorgo!$E23:INDEX(Sorgo!$E23:$Z23,MIN(AP$6-$E$3,22))),0))-IF($G$2,0,IF((AP$6-$G$3)&lt;1,0,IFERROR(LOOKUP(2,1/(Sorgo!$E23:INDEX(Sorgo!$E23:$Z23,MIN(AP$6-$G$3,22))&lt;&gt;""),Sorgo!$E23:INDEX(Sorgo!$E23:$Z23,MIN(AP$6-$G$3,22))),0)))))</f>
        <v>0</v>
      </c>
      <c r="AQ25" s="27" t="n">
        <f aca="false">IF(COUNT(Sorgo!$E23:$Z23)=0,0,MAX(0,IF((AQ$6-$E$3)&lt;1,0,IFERROR(LOOKUP(2,1/(Sorgo!$E23:INDEX(Sorgo!$E23:$Z23,MIN(AQ$6-$E$3,22))&lt;&gt;""),Sorgo!$E23:INDEX(Sorgo!$E23:$Z23,MIN(AQ$6-$E$3,22))),0))-IF($G$2,0,IF((AQ$6-$G$3)&lt;1,0,IFERROR(LOOKUP(2,1/(Sorgo!$E23:INDEX(Sorgo!$E23:$Z23,MIN(AQ$6-$G$3,22))&lt;&gt;""),Sorgo!$E23:INDEX(Sorgo!$E23:$Z23,MIN(AQ$6-$G$3,22))),0)))))</f>
        <v>0</v>
      </c>
      <c r="AR25" s="27" t="n">
        <f aca="false">IF(COUNT(Sorgo!$E23:$Z23)=0,0,MAX(0,IF((AR$6-$E$3)&lt;1,0,IFERROR(LOOKUP(2,1/(Sorgo!$E23:INDEX(Sorgo!$E23:$Z23,MIN(AR$6-$E$3,22))&lt;&gt;""),Sorgo!$E23:INDEX(Sorgo!$E23:$Z23,MIN(AR$6-$E$3,22))),0))-IF($G$2,0,IF((AR$6-$G$3)&lt;1,0,IFERROR(LOOKUP(2,1/(Sorgo!$E23:INDEX(Sorgo!$E23:$Z23,MIN(AR$6-$G$3,22))&lt;&gt;""),Sorgo!$E23:INDEX(Sorgo!$E23:$Z23,MIN(AR$6-$G$3,22))),0)))))</f>
        <v>0</v>
      </c>
      <c r="AS25" s="27" t="n">
        <f aca="false">IF(COUNT(Sorgo!$E23:$Z23)=0,0,MAX(0,IF((AS$6-$E$3)&lt;1,0,IFERROR(LOOKUP(2,1/(Sorgo!$E23:INDEX(Sorgo!$E23:$Z23,MIN(AS$6-$E$3,22))&lt;&gt;""),Sorgo!$E23:INDEX(Sorgo!$E23:$Z23,MIN(AS$6-$E$3,22))),0))-IF($G$2,0,IF((AS$6-$G$3)&lt;1,0,IFERROR(LOOKUP(2,1/(Sorgo!$E23:INDEX(Sorgo!$E23:$Z23,MIN(AS$6-$G$3,22))&lt;&gt;""),Sorgo!$E23:INDEX(Sorgo!$E23:$Z23,MIN(AS$6-$G$3,22))),0)))))</f>
        <v>0</v>
      </c>
      <c r="AT25" s="27" t="n">
        <f aca="false">IF(COUNT(Sorgo!$E23:$Z23)=0,0,MAX(0,IF((AT$6-$E$3)&lt;1,0,IFERROR(LOOKUP(2,1/(Sorgo!$E23:INDEX(Sorgo!$E23:$Z23,MIN(AT$6-$E$3,22))&lt;&gt;""),Sorgo!$E23:INDEX(Sorgo!$E23:$Z23,MIN(AT$6-$E$3,22))),0))-IF($G$2,0,IF((AT$6-$G$3)&lt;1,0,IFERROR(LOOKUP(2,1/(Sorgo!$E23:INDEX(Sorgo!$E23:$Z23,MIN(AT$6-$G$3,22))&lt;&gt;""),Sorgo!$E23:INDEX(Sorgo!$E23:$Z23,MIN(AT$6-$G$3,22))),0)))))</f>
        <v>0</v>
      </c>
      <c r="AU25" s="27" t="n">
        <f aca="false">IF(COUNT(Sorgo!$E23:$Z23)=0,0,MAX(0,IF((AU$6-$E$3)&lt;1,0,IFERROR(LOOKUP(2,1/(Sorgo!$E23:INDEX(Sorgo!$E23:$Z23,MIN(AU$6-$E$3,22))&lt;&gt;""),Sorgo!$E23:INDEX(Sorgo!$E23:$Z23,MIN(AU$6-$E$3,22))),0))-IF($G$2,0,IF((AU$6-$G$3)&lt;1,0,IFERROR(LOOKUP(2,1/(Sorgo!$E23:INDEX(Sorgo!$E23:$Z23,MIN(AU$6-$G$3,22))&lt;&gt;""),Sorgo!$E23:INDEX(Sorgo!$E23:$Z23,MIN(AU$6-$G$3,22))),0)))))</f>
        <v>0</v>
      </c>
      <c r="AV25" s="27" t="n">
        <f aca="false">IF(COUNT(Sorgo!$E23:$Z23)=0,0,MAX(0,IF((AV$6-$E$3)&lt;1,0,IFERROR(LOOKUP(2,1/(Sorgo!$E23:INDEX(Sorgo!$E23:$Z23,MIN(AV$6-$E$3,22))&lt;&gt;""),Sorgo!$E23:INDEX(Sorgo!$E23:$Z23,MIN(AV$6-$E$3,22))),0))-IF($G$2,0,IF((AV$6-$G$3)&lt;1,0,IFERROR(LOOKUP(2,1/(Sorgo!$E23:INDEX(Sorgo!$E23:$Z23,MIN(AV$6-$G$3,22))&lt;&gt;""),Sorgo!$E23:INDEX(Sorgo!$E23:$Z23,MIN(AV$6-$G$3,22))),0)))))</f>
        <v>0</v>
      </c>
      <c r="AW25" s="27" t="n">
        <f aca="false">IF(COUNT(Sorgo!$E23:$Z23)=0,0,MAX(0,IF((AW$6-$E$3)&lt;1,0,IFERROR(LOOKUP(2,1/(Sorgo!$E23:INDEX(Sorgo!$E23:$Z23,MIN(AW$6-$E$3,22))&lt;&gt;""),Sorgo!$E23:INDEX(Sorgo!$E23:$Z23,MIN(AW$6-$E$3,22))),0))-IF($G$2,0,IF((AW$6-$G$3)&lt;1,0,IFERROR(LOOKUP(2,1/(Sorgo!$E23:INDEX(Sorgo!$E23:$Z23,MIN(AW$6-$G$3,22))&lt;&gt;""),Sorgo!$E23:INDEX(Sorgo!$E23:$Z23,MIN(AW$6-$G$3,22))),0)))))</f>
        <v>0</v>
      </c>
      <c r="AX25" s="27" t="n">
        <f aca="false">IF(COUNT(Sorgo!$E23:$Z23)=0,0,MAX(0,IF((AX$6-$E$3)&lt;1,0,IFERROR(LOOKUP(2,1/(Sorgo!$E23:INDEX(Sorgo!$E23:$Z23,MIN(AX$6-$E$3,22))&lt;&gt;""),Sorgo!$E23:INDEX(Sorgo!$E23:$Z23,MIN(AX$6-$E$3,22))),0))-IF($G$2,0,IF((AX$6-$G$3)&lt;1,0,IFERROR(LOOKUP(2,1/(Sorgo!$E23:INDEX(Sorgo!$E23:$Z23,MIN(AX$6-$G$3,22))&lt;&gt;""),Sorgo!$E23:INDEX(Sorgo!$E23:$Z23,MIN(AX$6-$G$3,22))),0)))))</f>
        <v>0</v>
      </c>
      <c r="AY25" s="27" t="n">
        <f aca="false">IF(COUNT(Sorgo!$E23:$Z23)=0,0,MAX(0,IF((AY$6-$E$3)&lt;1,0,IFERROR(LOOKUP(2,1/(Sorgo!$E23:INDEX(Sorgo!$E23:$Z23,MIN(AY$6-$E$3,22))&lt;&gt;""),Sorgo!$E23:INDEX(Sorgo!$E23:$Z23,MIN(AY$6-$E$3,22))),0))-IF($G$2,0,IF((AY$6-$G$3)&lt;1,0,IFERROR(LOOKUP(2,1/(Sorgo!$E23:INDEX(Sorgo!$E23:$Z23,MIN(AY$6-$G$3,22))&lt;&gt;""),Sorgo!$E23:INDEX(Sorgo!$E23:$Z23,MIN(AY$6-$G$3,22))),0)))))</f>
        <v>0</v>
      </c>
      <c r="AZ25" s="27" t="n">
        <f aca="false">IF(COUNT(Sorgo!$E23:$Z23)=0,0,MAX(0,IF((AZ$6-$E$3)&lt;1,0,IFERROR(LOOKUP(2,1/(Sorgo!$E23:INDEX(Sorgo!$E23:$Z23,MIN(AZ$6-$E$3,22))&lt;&gt;""),Sorgo!$E23:INDEX(Sorgo!$E23:$Z23,MIN(AZ$6-$E$3,22))),0))-IF($G$2,0,IF((AZ$6-$G$3)&lt;1,0,IFERROR(LOOKUP(2,1/(Sorgo!$E23:INDEX(Sorgo!$E23:$Z23,MIN(AZ$6-$G$3,22))&lt;&gt;""),Sorgo!$E23:INDEX(Sorgo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IF(COUNT(Sorgo!$E24:$Z24)&gt;0,N(Sorgo!$D24),0)</f>
        <v>0</v>
      </c>
      <c r="E26" s="27" t="n">
        <f aca="false">IF(COUNT(Sorgo!$E24:$Z24)=0,0,MAX(0,IF((E$6-$E$3)&lt;1,0,IFERROR(LOOKUP(2,1/(Sorgo!$E24:INDEX(Sorgo!$E24:$Z24,MIN(E$6-$E$3,22))&lt;&gt;""),Sorgo!$E24:INDEX(Sorgo!$E24:$Z24,MIN(E$6-$E$3,22))),0))-IF($G$2,0,IF((E$6-$G$3)&lt;1,0,IFERROR(LOOKUP(2,1/(Sorgo!$E24:INDEX(Sorgo!$E24:$Z24,MIN(E$6-$G$3,22))&lt;&gt;""),Sorgo!$E24:INDEX(Sorgo!$E24:$Z24,MIN(E$6-$G$3,22))),0)))))</f>
        <v>0</v>
      </c>
      <c r="F26" s="27" t="n">
        <f aca="false">IF(COUNT(Sorgo!$E24:$Z24)=0,0,MAX(0,IF((F$6-$E$3)&lt;1,0,IFERROR(LOOKUP(2,1/(Sorgo!$E24:INDEX(Sorgo!$E24:$Z24,MIN(F$6-$E$3,22))&lt;&gt;""),Sorgo!$E24:INDEX(Sorgo!$E24:$Z24,MIN(F$6-$E$3,22))),0))-IF($G$2,0,IF((F$6-$G$3)&lt;1,0,IFERROR(LOOKUP(2,1/(Sorgo!$E24:INDEX(Sorgo!$E24:$Z24,MIN(F$6-$G$3,22))&lt;&gt;""),Sorgo!$E24:INDEX(Sorgo!$E24:$Z24,MIN(F$6-$G$3,22))),0)))))</f>
        <v>0</v>
      </c>
      <c r="G26" s="27" t="n">
        <f aca="false">IF(COUNT(Sorgo!$E24:$Z24)=0,0,MAX(0,IF((G$6-$E$3)&lt;1,0,IFERROR(LOOKUP(2,1/(Sorgo!$E24:INDEX(Sorgo!$E24:$Z24,MIN(G$6-$E$3,22))&lt;&gt;""),Sorgo!$E24:INDEX(Sorgo!$E24:$Z24,MIN(G$6-$E$3,22))),0))-IF($G$2,0,IF((G$6-$G$3)&lt;1,0,IFERROR(LOOKUP(2,1/(Sorgo!$E24:INDEX(Sorgo!$E24:$Z24,MIN(G$6-$G$3,22))&lt;&gt;""),Sorgo!$E24:INDEX(Sorgo!$E24:$Z24,MIN(G$6-$G$3,22))),0)))))</f>
        <v>0</v>
      </c>
      <c r="H26" s="27" t="n">
        <f aca="false">IF(COUNT(Sorgo!$E24:$Z24)=0,0,MAX(0,IF((H$6-$E$3)&lt;1,0,IFERROR(LOOKUP(2,1/(Sorgo!$E24:INDEX(Sorgo!$E24:$Z24,MIN(H$6-$E$3,22))&lt;&gt;""),Sorgo!$E24:INDEX(Sorgo!$E24:$Z24,MIN(H$6-$E$3,22))),0))-IF($G$2,0,IF((H$6-$G$3)&lt;1,0,IFERROR(LOOKUP(2,1/(Sorgo!$E24:INDEX(Sorgo!$E24:$Z24,MIN(H$6-$G$3,22))&lt;&gt;""),Sorgo!$E24:INDEX(Sorgo!$E24:$Z24,MIN(H$6-$G$3,22))),0)))))</f>
        <v>0</v>
      </c>
      <c r="I26" s="27" t="n">
        <f aca="false">IF(COUNT(Sorgo!$E24:$Z24)=0,0,MAX(0,IF((I$6-$E$3)&lt;1,0,IFERROR(LOOKUP(2,1/(Sorgo!$E24:INDEX(Sorgo!$E24:$Z24,MIN(I$6-$E$3,22))&lt;&gt;""),Sorgo!$E24:INDEX(Sorgo!$E24:$Z24,MIN(I$6-$E$3,22))),0))-IF($G$2,0,IF((I$6-$G$3)&lt;1,0,IFERROR(LOOKUP(2,1/(Sorgo!$E24:INDEX(Sorgo!$E24:$Z24,MIN(I$6-$G$3,22))&lt;&gt;""),Sorgo!$E24:INDEX(Sorgo!$E24:$Z24,MIN(I$6-$G$3,22))),0)))))</f>
        <v>0</v>
      </c>
      <c r="J26" s="27" t="n">
        <f aca="false">IF(COUNT(Sorgo!$E24:$Z24)=0,0,MAX(0,IF((J$6-$E$3)&lt;1,0,IFERROR(LOOKUP(2,1/(Sorgo!$E24:INDEX(Sorgo!$E24:$Z24,MIN(J$6-$E$3,22))&lt;&gt;""),Sorgo!$E24:INDEX(Sorgo!$E24:$Z24,MIN(J$6-$E$3,22))),0))-IF($G$2,0,IF((J$6-$G$3)&lt;1,0,IFERROR(LOOKUP(2,1/(Sorgo!$E24:INDEX(Sorgo!$E24:$Z24,MIN(J$6-$G$3,22))&lt;&gt;""),Sorgo!$E24:INDEX(Sorgo!$E24:$Z24,MIN(J$6-$G$3,22))),0)))))</f>
        <v>0</v>
      </c>
      <c r="K26" s="27" t="n">
        <f aca="false">IF(COUNT(Sorgo!$E24:$Z24)=0,0,MAX(0,IF((K$6-$E$3)&lt;1,0,IFERROR(LOOKUP(2,1/(Sorgo!$E24:INDEX(Sorgo!$E24:$Z24,MIN(K$6-$E$3,22))&lt;&gt;""),Sorgo!$E24:INDEX(Sorgo!$E24:$Z24,MIN(K$6-$E$3,22))),0))-IF($G$2,0,IF((K$6-$G$3)&lt;1,0,IFERROR(LOOKUP(2,1/(Sorgo!$E24:INDEX(Sorgo!$E24:$Z24,MIN(K$6-$G$3,22))&lt;&gt;""),Sorgo!$E24:INDEX(Sorgo!$E24:$Z24,MIN(K$6-$G$3,22))),0)))))</f>
        <v>0</v>
      </c>
      <c r="L26" s="27" t="n">
        <f aca="false">IF(COUNT(Sorgo!$E24:$Z24)=0,0,MAX(0,IF((L$6-$E$3)&lt;1,0,IFERROR(LOOKUP(2,1/(Sorgo!$E24:INDEX(Sorgo!$E24:$Z24,MIN(L$6-$E$3,22))&lt;&gt;""),Sorgo!$E24:INDEX(Sorgo!$E24:$Z24,MIN(L$6-$E$3,22))),0))-IF($G$2,0,IF((L$6-$G$3)&lt;1,0,IFERROR(LOOKUP(2,1/(Sorgo!$E24:INDEX(Sorgo!$E24:$Z24,MIN(L$6-$G$3,22))&lt;&gt;""),Sorgo!$E24:INDEX(Sorgo!$E24:$Z24,MIN(L$6-$G$3,22))),0)))))</f>
        <v>0</v>
      </c>
      <c r="M26" s="27" t="n">
        <f aca="false">IF(COUNT(Sorgo!$E24:$Z24)=0,0,MAX(0,IF((M$6-$E$3)&lt;1,0,IFERROR(LOOKUP(2,1/(Sorgo!$E24:INDEX(Sorgo!$E24:$Z24,MIN(M$6-$E$3,22))&lt;&gt;""),Sorgo!$E24:INDEX(Sorgo!$E24:$Z24,MIN(M$6-$E$3,22))),0))-IF($G$2,0,IF((M$6-$G$3)&lt;1,0,IFERROR(LOOKUP(2,1/(Sorgo!$E24:INDEX(Sorgo!$E24:$Z24,MIN(M$6-$G$3,22))&lt;&gt;""),Sorgo!$E24:INDEX(Sorgo!$E24:$Z24,MIN(M$6-$G$3,22))),0)))))</f>
        <v>0</v>
      </c>
      <c r="N26" s="27" t="n">
        <f aca="false">IF(COUNT(Sorgo!$E24:$Z24)=0,0,MAX(0,IF((N$6-$E$3)&lt;1,0,IFERROR(LOOKUP(2,1/(Sorgo!$E24:INDEX(Sorgo!$E24:$Z24,MIN(N$6-$E$3,22))&lt;&gt;""),Sorgo!$E24:INDEX(Sorgo!$E24:$Z24,MIN(N$6-$E$3,22))),0))-IF($G$2,0,IF((N$6-$G$3)&lt;1,0,IFERROR(LOOKUP(2,1/(Sorgo!$E24:INDEX(Sorgo!$E24:$Z24,MIN(N$6-$G$3,22))&lt;&gt;""),Sorgo!$E24:INDEX(Sorgo!$E24:$Z24,MIN(N$6-$G$3,22))),0)))))</f>
        <v>0</v>
      </c>
      <c r="O26" s="27" t="n">
        <f aca="false">IF(COUNT(Sorgo!$E24:$Z24)=0,0,MAX(0,IF((O$6-$E$3)&lt;1,0,IFERROR(LOOKUP(2,1/(Sorgo!$E24:INDEX(Sorgo!$E24:$Z24,MIN(O$6-$E$3,22))&lt;&gt;""),Sorgo!$E24:INDEX(Sorgo!$E24:$Z24,MIN(O$6-$E$3,22))),0))-IF($G$2,0,IF((O$6-$G$3)&lt;1,0,IFERROR(LOOKUP(2,1/(Sorgo!$E24:INDEX(Sorgo!$E24:$Z24,MIN(O$6-$G$3,22))&lt;&gt;""),Sorgo!$E24:INDEX(Sorgo!$E24:$Z24,MIN(O$6-$G$3,22))),0)))))</f>
        <v>0</v>
      </c>
      <c r="P26" s="27" t="n">
        <f aca="false">IF(COUNT(Sorgo!$E24:$Z24)=0,0,MAX(0,IF((P$6-$E$3)&lt;1,0,IFERROR(LOOKUP(2,1/(Sorgo!$E24:INDEX(Sorgo!$E24:$Z24,MIN(P$6-$E$3,22))&lt;&gt;""),Sorgo!$E24:INDEX(Sorgo!$E24:$Z24,MIN(P$6-$E$3,22))),0))-IF($G$2,0,IF((P$6-$G$3)&lt;1,0,IFERROR(LOOKUP(2,1/(Sorgo!$E24:INDEX(Sorgo!$E24:$Z24,MIN(P$6-$G$3,22))&lt;&gt;""),Sorgo!$E24:INDEX(Sorgo!$E24:$Z24,MIN(P$6-$G$3,22))),0)))))</f>
        <v>0</v>
      </c>
      <c r="Q26" s="27" t="n">
        <f aca="false">IF(COUNT(Sorgo!$E24:$Z24)=0,0,MAX(0,IF((Q$6-$E$3)&lt;1,0,IFERROR(LOOKUP(2,1/(Sorgo!$E24:INDEX(Sorgo!$E24:$Z24,MIN(Q$6-$E$3,22))&lt;&gt;""),Sorgo!$E24:INDEX(Sorgo!$E24:$Z24,MIN(Q$6-$E$3,22))),0))-IF($G$2,0,IF((Q$6-$G$3)&lt;1,0,IFERROR(LOOKUP(2,1/(Sorgo!$E24:INDEX(Sorgo!$E24:$Z24,MIN(Q$6-$G$3,22))&lt;&gt;""),Sorgo!$E24:INDEX(Sorgo!$E24:$Z24,MIN(Q$6-$G$3,22))),0)))))</f>
        <v>0</v>
      </c>
      <c r="R26" s="27" t="n">
        <f aca="false">IF(COUNT(Sorgo!$E24:$Z24)=0,0,MAX(0,IF((R$6-$E$3)&lt;1,0,IFERROR(LOOKUP(2,1/(Sorgo!$E24:INDEX(Sorgo!$E24:$Z24,MIN(R$6-$E$3,22))&lt;&gt;""),Sorgo!$E24:INDEX(Sorgo!$E24:$Z24,MIN(R$6-$E$3,22))),0))-IF($G$2,0,IF((R$6-$G$3)&lt;1,0,IFERROR(LOOKUP(2,1/(Sorgo!$E24:INDEX(Sorgo!$E24:$Z24,MIN(R$6-$G$3,22))&lt;&gt;""),Sorgo!$E24:INDEX(Sorgo!$E24:$Z24,MIN(R$6-$G$3,22))),0)))))</f>
        <v>0</v>
      </c>
      <c r="S26" s="27" t="n">
        <f aca="false">IF(COUNT(Sorgo!$E24:$Z24)=0,0,MAX(0,IF((S$6-$E$3)&lt;1,0,IFERROR(LOOKUP(2,1/(Sorgo!$E24:INDEX(Sorgo!$E24:$Z24,MIN(S$6-$E$3,22))&lt;&gt;""),Sorgo!$E24:INDEX(Sorgo!$E24:$Z24,MIN(S$6-$E$3,22))),0))-IF($G$2,0,IF((S$6-$G$3)&lt;1,0,IFERROR(LOOKUP(2,1/(Sorgo!$E24:INDEX(Sorgo!$E24:$Z24,MIN(S$6-$G$3,22))&lt;&gt;""),Sorgo!$E24:INDEX(Sorgo!$E24:$Z24,MIN(S$6-$G$3,22))),0)))))</f>
        <v>0</v>
      </c>
      <c r="T26" s="27" t="n">
        <f aca="false">IF(COUNT(Sorgo!$E24:$Z24)=0,0,MAX(0,IF((T$6-$E$3)&lt;1,0,IFERROR(LOOKUP(2,1/(Sorgo!$E24:INDEX(Sorgo!$E24:$Z24,MIN(T$6-$E$3,22))&lt;&gt;""),Sorgo!$E24:INDEX(Sorgo!$E24:$Z24,MIN(T$6-$E$3,22))),0))-IF($G$2,0,IF((T$6-$G$3)&lt;1,0,IFERROR(LOOKUP(2,1/(Sorgo!$E24:INDEX(Sorgo!$E24:$Z24,MIN(T$6-$G$3,22))&lt;&gt;""),Sorgo!$E24:INDEX(Sorgo!$E24:$Z24,MIN(T$6-$G$3,22))),0)))))</f>
        <v>0</v>
      </c>
      <c r="U26" s="27" t="n">
        <f aca="false">IF(COUNT(Sorgo!$E24:$Z24)=0,0,MAX(0,IF((U$6-$E$3)&lt;1,0,IFERROR(LOOKUP(2,1/(Sorgo!$E24:INDEX(Sorgo!$E24:$Z24,MIN(U$6-$E$3,22))&lt;&gt;""),Sorgo!$E24:INDEX(Sorgo!$E24:$Z24,MIN(U$6-$E$3,22))),0))-IF($G$2,0,IF((U$6-$G$3)&lt;1,0,IFERROR(LOOKUP(2,1/(Sorgo!$E24:INDEX(Sorgo!$E24:$Z24,MIN(U$6-$G$3,22))&lt;&gt;""),Sorgo!$E24:INDEX(Sorgo!$E24:$Z24,MIN(U$6-$G$3,22))),0)))))</f>
        <v>0</v>
      </c>
      <c r="V26" s="27" t="n">
        <f aca="false">IF(COUNT(Sorgo!$E24:$Z24)=0,0,MAX(0,IF((V$6-$E$3)&lt;1,0,IFERROR(LOOKUP(2,1/(Sorgo!$E24:INDEX(Sorgo!$E24:$Z24,MIN(V$6-$E$3,22))&lt;&gt;""),Sorgo!$E24:INDEX(Sorgo!$E24:$Z24,MIN(V$6-$E$3,22))),0))-IF($G$2,0,IF((V$6-$G$3)&lt;1,0,IFERROR(LOOKUP(2,1/(Sorgo!$E24:INDEX(Sorgo!$E24:$Z24,MIN(V$6-$G$3,22))&lt;&gt;""),Sorgo!$E24:INDEX(Sorgo!$E24:$Z24,MIN(V$6-$G$3,22))),0)))))</f>
        <v>0</v>
      </c>
      <c r="W26" s="27" t="n">
        <f aca="false">IF(COUNT(Sorgo!$E24:$Z24)=0,0,MAX(0,IF((W$6-$E$3)&lt;1,0,IFERROR(LOOKUP(2,1/(Sorgo!$E24:INDEX(Sorgo!$E24:$Z24,MIN(W$6-$E$3,22))&lt;&gt;""),Sorgo!$E24:INDEX(Sorgo!$E24:$Z24,MIN(W$6-$E$3,22))),0))-IF($G$2,0,IF((W$6-$G$3)&lt;1,0,IFERROR(LOOKUP(2,1/(Sorgo!$E24:INDEX(Sorgo!$E24:$Z24,MIN(W$6-$G$3,22))&lt;&gt;""),Sorgo!$E24:INDEX(Sorgo!$E24:$Z24,MIN(W$6-$G$3,22))),0)))))</f>
        <v>0</v>
      </c>
      <c r="X26" s="27" t="n">
        <f aca="false">IF(COUNT(Sorgo!$E24:$Z24)=0,0,MAX(0,IF((X$6-$E$3)&lt;1,0,IFERROR(LOOKUP(2,1/(Sorgo!$E24:INDEX(Sorgo!$E24:$Z24,MIN(X$6-$E$3,22))&lt;&gt;""),Sorgo!$E24:INDEX(Sorgo!$E24:$Z24,MIN(X$6-$E$3,22))),0))-IF($G$2,0,IF((X$6-$G$3)&lt;1,0,IFERROR(LOOKUP(2,1/(Sorgo!$E24:INDEX(Sorgo!$E24:$Z24,MIN(X$6-$G$3,22))&lt;&gt;""),Sorgo!$E24:INDEX(Sorgo!$E24:$Z24,MIN(X$6-$G$3,22))),0)))))</f>
        <v>0</v>
      </c>
      <c r="Y26" s="27" t="n">
        <f aca="false">IF(COUNT(Sorgo!$E24:$Z24)=0,0,MAX(0,IF((Y$6-$E$3)&lt;1,0,IFERROR(LOOKUP(2,1/(Sorgo!$E24:INDEX(Sorgo!$E24:$Z24,MIN(Y$6-$E$3,22))&lt;&gt;""),Sorgo!$E24:INDEX(Sorgo!$E24:$Z24,MIN(Y$6-$E$3,22))),0))-IF($G$2,0,IF((Y$6-$G$3)&lt;1,0,IFERROR(LOOKUP(2,1/(Sorgo!$E24:INDEX(Sorgo!$E24:$Z24,MIN(Y$6-$G$3,22))&lt;&gt;""),Sorgo!$E24:INDEX(Sorgo!$E24:$Z24,MIN(Y$6-$G$3,22))),0)))))</f>
        <v>0</v>
      </c>
      <c r="Z26" s="27" t="n">
        <f aca="false">IF(COUNT(Sorgo!$E24:$Z24)=0,0,MAX(0,IF((Z$6-$E$3)&lt;1,0,IFERROR(LOOKUP(2,1/(Sorgo!$E24:INDEX(Sorgo!$E24:$Z24,MIN(Z$6-$E$3,22))&lt;&gt;""),Sorgo!$E24:INDEX(Sorgo!$E24:$Z24,MIN(Z$6-$E$3,22))),0))-IF($G$2,0,IF((Z$6-$G$3)&lt;1,0,IFERROR(LOOKUP(2,1/(Sorgo!$E24:INDEX(Sorgo!$E24:$Z24,MIN(Z$6-$G$3,22))&lt;&gt;""),Sorgo!$E24:INDEX(Sorgo!$E24:$Z24,MIN(Z$6-$G$3,22))),0)))))</f>
        <v>0</v>
      </c>
      <c r="AA26" s="27" t="n">
        <f aca="false">IF(COUNT(Sorgo!$E24:$Z24)=0,0,MAX(0,IF((AA$6-$E$3)&lt;1,0,IFERROR(LOOKUP(2,1/(Sorgo!$E24:INDEX(Sorgo!$E24:$Z24,MIN(AA$6-$E$3,22))&lt;&gt;""),Sorgo!$E24:INDEX(Sorgo!$E24:$Z24,MIN(AA$6-$E$3,22))),0))-IF($G$2,0,IF((AA$6-$G$3)&lt;1,0,IFERROR(LOOKUP(2,1/(Sorgo!$E24:INDEX(Sorgo!$E24:$Z24,MIN(AA$6-$G$3,22))&lt;&gt;""),Sorgo!$E24:INDEX(Sorgo!$E24:$Z24,MIN(AA$6-$G$3,22))),0)))))</f>
        <v>0</v>
      </c>
      <c r="AB26" s="27" t="n">
        <f aca="false">IF(COUNT(Sorgo!$E24:$Z24)=0,0,MAX(0,IF((AB$6-$E$3)&lt;1,0,IFERROR(LOOKUP(2,1/(Sorgo!$E24:INDEX(Sorgo!$E24:$Z24,MIN(AB$6-$E$3,22))&lt;&gt;""),Sorgo!$E24:INDEX(Sorgo!$E24:$Z24,MIN(AB$6-$E$3,22))),0))-IF($G$2,0,IF((AB$6-$G$3)&lt;1,0,IFERROR(LOOKUP(2,1/(Sorgo!$E24:INDEX(Sorgo!$E24:$Z24,MIN(AB$6-$G$3,22))&lt;&gt;""),Sorgo!$E24:INDEX(Sorgo!$E24:$Z24,MIN(AB$6-$G$3,22))),0)))))</f>
        <v>0</v>
      </c>
      <c r="AC26" s="27" t="n">
        <f aca="false">IF(COUNT(Sorgo!$E24:$Z24)=0,0,MAX(0,IF((AC$6-$E$3)&lt;1,0,IFERROR(LOOKUP(2,1/(Sorgo!$E24:INDEX(Sorgo!$E24:$Z24,MIN(AC$6-$E$3,22))&lt;&gt;""),Sorgo!$E24:INDEX(Sorgo!$E24:$Z24,MIN(AC$6-$E$3,22))),0))-IF($G$2,0,IF((AC$6-$G$3)&lt;1,0,IFERROR(LOOKUP(2,1/(Sorgo!$E24:INDEX(Sorgo!$E24:$Z24,MIN(AC$6-$G$3,22))&lt;&gt;""),Sorgo!$E24:INDEX(Sorgo!$E24:$Z24,MIN(AC$6-$G$3,22))),0)))))</f>
        <v>0</v>
      </c>
      <c r="AD26" s="27" t="n">
        <f aca="false">IF(COUNT(Sorgo!$E24:$Z24)=0,0,MAX(0,IF((AD$6-$E$3)&lt;1,0,IFERROR(LOOKUP(2,1/(Sorgo!$E24:INDEX(Sorgo!$E24:$Z24,MIN(AD$6-$E$3,22))&lt;&gt;""),Sorgo!$E24:INDEX(Sorgo!$E24:$Z24,MIN(AD$6-$E$3,22))),0))-IF($G$2,0,IF((AD$6-$G$3)&lt;1,0,IFERROR(LOOKUP(2,1/(Sorgo!$E24:INDEX(Sorgo!$E24:$Z24,MIN(AD$6-$G$3,22))&lt;&gt;""),Sorgo!$E24:INDEX(Sorgo!$E24:$Z24,MIN(AD$6-$G$3,22))),0)))))</f>
        <v>0</v>
      </c>
      <c r="AE26" s="27" t="n">
        <f aca="false">IF(COUNT(Sorgo!$E24:$Z24)=0,0,MAX(0,IF((AE$6-$E$3)&lt;1,0,IFERROR(LOOKUP(2,1/(Sorgo!$E24:INDEX(Sorgo!$E24:$Z24,MIN(AE$6-$E$3,22))&lt;&gt;""),Sorgo!$E24:INDEX(Sorgo!$E24:$Z24,MIN(AE$6-$E$3,22))),0))-IF($G$2,0,IF((AE$6-$G$3)&lt;1,0,IFERROR(LOOKUP(2,1/(Sorgo!$E24:INDEX(Sorgo!$E24:$Z24,MIN(AE$6-$G$3,22))&lt;&gt;""),Sorgo!$E24:INDEX(Sorgo!$E24:$Z24,MIN(AE$6-$G$3,22))),0)))))</f>
        <v>0</v>
      </c>
      <c r="AF26" s="27" t="n">
        <f aca="false">IF(COUNT(Sorgo!$E24:$Z24)=0,0,MAX(0,IF((AF$6-$E$3)&lt;1,0,IFERROR(LOOKUP(2,1/(Sorgo!$E24:INDEX(Sorgo!$E24:$Z24,MIN(AF$6-$E$3,22))&lt;&gt;""),Sorgo!$E24:INDEX(Sorgo!$E24:$Z24,MIN(AF$6-$E$3,22))),0))-IF($G$2,0,IF((AF$6-$G$3)&lt;1,0,IFERROR(LOOKUP(2,1/(Sorgo!$E24:INDEX(Sorgo!$E24:$Z24,MIN(AF$6-$G$3,22))&lt;&gt;""),Sorgo!$E24:INDEX(Sorgo!$E24:$Z24,MIN(AF$6-$G$3,22))),0)))))</f>
        <v>0</v>
      </c>
      <c r="AG26" s="27" t="n">
        <f aca="false">IF(COUNT(Sorgo!$E24:$Z24)=0,0,MAX(0,IF((AG$6-$E$3)&lt;1,0,IFERROR(LOOKUP(2,1/(Sorgo!$E24:INDEX(Sorgo!$E24:$Z24,MIN(AG$6-$E$3,22))&lt;&gt;""),Sorgo!$E24:INDEX(Sorgo!$E24:$Z24,MIN(AG$6-$E$3,22))),0))-IF($G$2,0,IF((AG$6-$G$3)&lt;1,0,IFERROR(LOOKUP(2,1/(Sorgo!$E24:INDEX(Sorgo!$E24:$Z24,MIN(AG$6-$G$3,22))&lt;&gt;""),Sorgo!$E24:INDEX(Sorgo!$E24:$Z24,MIN(AG$6-$G$3,22))),0)))))</f>
        <v>0</v>
      </c>
      <c r="AH26" s="27" t="n">
        <f aca="false">IF(COUNT(Sorgo!$E24:$Z24)=0,0,MAX(0,IF((AH$6-$E$3)&lt;1,0,IFERROR(LOOKUP(2,1/(Sorgo!$E24:INDEX(Sorgo!$E24:$Z24,MIN(AH$6-$E$3,22))&lt;&gt;""),Sorgo!$E24:INDEX(Sorgo!$E24:$Z24,MIN(AH$6-$E$3,22))),0))-IF($G$2,0,IF((AH$6-$G$3)&lt;1,0,IFERROR(LOOKUP(2,1/(Sorgo!$E24:INDEX(Sorgo!$E24:$Z24,MIN(AH$6-$G$3,22))&lt;&gt;""),Sorgo!$E24:INDEX(Sorgo!$E24:$Z24,MIN(AH$6-$G$3,22))),0)))))</f>
        <v>0</v>
      </c>
      <c r="AI26" s="27" t="n">
        <f aca="false">IF(COUNT(Sorgo!$E24:$Z24)=0,0,MAX(0,IF((AI$6-$E$3)&lt;1,0,IFERROR(LOOKUP(2,1/(Sorgo!$E24:INDEX(Sorgo!$E24:$Z24,MIN(AI$6-$E$3,22))&lt;&gt;""),Sorgo!$E24:INDEX(Sorgo!$E24:$Z24,MIN(AI$6-$E$3,22))),0))-IF($G$2,0,IF((AI$6-$G$3)&lt;1,0,IFERROR(LOOKUP(2,1/(Sorgo!$E24:INDEX(Sorgo!$E24:$Z24,MIN(AI$6-$G$3,22))&lt;&gt;""),Sorgo!$E24:INDEX(Sorgo!$E24:$Z24,MIN(AI$6-$G$3,22))),0)))))</f>
        <v>0</v>
      </c>
      <c r="AJ26" s="27" t="n">
        <f aca="false">IF(COUNT(Sorgo!$E24:$Z24)=0,0,MAX(0,IF((AJ$6-$E$3)&lt;1,0,IFERROR(LOOKUP(2,1/(Sorgo!$E24:INDEX(Sorgo!$E24:$Z24,MIN(AJ$6-$E$3,22))&lt;&gt;""),Sorgo!$E24:INDEX(Sorgo!$E24:$Z24,MIN(AJ$6-$E$3,22))),0))-IF($G$2,0,IF((AJ$6-$G$3)&lt;1,0,IFERROR(LOOKUP(2,1/(Sorgo!$E24:INDEX(Sorgo!$E24:$Z24,MIN(AJ$6-$G$3,22))&lt;&gt;""),Sorgo!$E24:INDEX(Sorgo!$E24:$Z24,MIN(AJ$6-$G$3,22))),0)))))</f>
        <v>0</v>
      </c>
      <c r="AK26" s="27" t="n">
        <f aca="false">IF(COUNT(Sorgo!$E24:$Z24)=0,0,MAX(0,IF((AK$6-$E$3)&lt;1,0,IFERROR(LOOKUP(2,1/(Sorgo!$E24:INDEX(Sorgo!$E24:$Z24,MIN(AK$6-$E$3,22))&lt;&gt;""),Sorgo!$E24:INDEX(Sorgo!$E24:$Z24,MIN(AK$6-$E$3,22))),0))-IF($G$2,0,IF((AK$6-$G$3)&lt;1,0,IFERROR(LOOKUP(2,1/(Sorgo!$E24:INDEX(Sorgo!$E24:$Z24,MIN(AK$6-$G$3,22))&lt;&gt;""),Sorgo!$E24:INDEX(Sorgo!$E24:$Z24,MIN(AK$6-$G$3,22))),0)))))</f>
        <v>0</v>
      </c>
      <c r="AL26" s="27" t="n">
        <f aca="false">IF(COUNT(Sorgo!$E24:$Z24)=0,0,MAX(0,IF((AL$6-$E$3)&lt;1,0,IFERROR(LOOKUP(2,1/(Sorgo!$E24:INDEX(Sorgo!$E24:$Z24,MIN(AL$6-$E$3,22))&lt;&gt;""),Sorgo!$E24:INDEX(Sorgo!$E24:$Z24,MIN(AL$6-$E$3,22))),0))-IF($G$2,0,IF((AL$6-$G$3)&lt;1,0,IFERROR(LOOKUP(2,1/(Sorgo!$E24:INDEX(Sorgo!$E24:$Z24,MIN(AL$6-$G$3,22))&lt;&gt;""),Sorgo!$E24:INDEX(Sorgo!$E24:$Z24,MIN(AL$6-$G$3,22))),0)))))</f>
        <v>0</v>
      </c>
      <c r="AM26" s="27" t="n">
        <f aca="false">IF(COUNT(Sorgo!$E24:$Z24)=0,0,MAX(0,IF((AM$6-$E$3)&lt;1,0,IFERROR(LOOKUP(2,1/(Sorgo!$E24:INDEX(Sorgo!$E24:$Z24,MIN(AM$6-$E$3,22))&lt;&gt;""),Sorgo!$E24:INDEX(Sorgo!$E24:$Z24,MIN(AM$6-$E$3,22))),0))-IF($G$2,0,IF((AM$6-$G$3)&lt;1,0,IFERROR(LOOKUP(2,1/(Sorgo!$E24:INDEX(Sorgo!$E24:$Z24,MIN(AM$6-$G$3,22))&lt;&gt;""),Sorgo!$E24:INDEX(Sorgo!$E24:$Z24,MIN(AM$6-$G$3,22))),0)))))</f>
        <v>0</v>
      </c>
      <c r="AN26" s="27" t="n">
        <f aca="false">IF(COUNT(Sorgo!$E24:$Z24)=0,0,MAX(0,IF((AN$6-$E$3)&lt;1,0,IFERROR(LOOKUP(2,1/(Sorgo!$E24:INDEX(Sorgo!$E24:$Z24,MIN(AN$6-$E$3,22))&lt;&gt;""),Sorgo!$E24:INDEX(Sorgo!$E24:$Z24,MIN(AN$6-$E$3,22))),0))-IF($G$2,0,IF((AN$6-$G$3)&lt;1,0,IFERROR(LOOKUP(2,1/(Sorgo!$E24:INDEX(Sorgo!$E24:$Z24,MIN(AN$6-$G$3,22))&lt;&gt;""),Sorgo!$E24:INDEX(Sorgo!$E24:$Z24,MIN(AN$6-$G$3,22))),0)))))</f>
        <v>0</v>
      </c>
      <c r="AO26" s="27" t="n">
        <f aca="false">IF(COUNT(Sorgo!$E24:$Z24)=0,0,MAX(0,IF((AO$6-$E$3)&lt;1,0,IFERROR(LOOKUP(2,1/(Sorgo!$E24:INDEX(Sorgo!$E24:$Z24,MIN(AO$6-$E$3,22))&lt;&gt;""),Sorgo!$E24:INDEX(Sorgo!$E24:$Z24,MIN(AO$6-$E$3,22))),0))-IF($G$2,0,IF((AO$6-$G$3)&lt;1,0,IFERROR(LOOKUP(2,1/(Sorgo!$E24:INDEX(Sorgo!$E24:$Z24,MIN(AO$6-$G$3,22))&lt;&gt;""),Sorgo!$E24:INDEX(Sorgo!$E24:$Z24,MIN(AO$6-$G$3,22))),0)))))</f>
        <v>0</v>
      </c>
      <c r="AP26" s="27" t="n">
        <f aca="false">IF(COUNT(Sorgo!$E24:$Z24)=0,0,MAX(0,IF((AP$6-$E$3)&lt;1,0,IFERROR(LOOKUP(2,1/(Sorgo!$E24:INDEX(Sorgo!$E24:$Z24,MIN(AP$6-$E$3,22))&lt;&gt;""),Sorgo!$E24:INDEX(Sorgo!$E24:$Z24,MIN(AP$6-$E$3,22))),0))-IF($G$2,0,IF((AP$6-$G$3)&lt;1,0,IFERROR(LOOKUP(2,1/(Sorgo!$E24:INDEX(Sorgo!$E24:$Z24,MIN(AP$6-$G$3,22))&lt;&gt;""),Sorgo!$E24:INDEX(Sorgo!$E24:$Z24,MIN(AP$6-$G$3,22))),0)))))</f>
        <v>0</v>
      </c>
      <c r="AQ26" s="27" t="n">
        <f aca="false">IF(COUNT(Sorgo!$E24:$Z24)=0,0,MAX(0,IF((AQ$6-$E$3)&lt;1,0,IFERROR(LOOKUP(2,1/(Sorgo!$E24:INDEX(Sorgo!$E24:$Z24,MIN(AQ$6-$E$3,22))&lt;&gt;""),Sorgo!$E24:INDEX(Sorgo!$E24:$Z24,MIN(AQ$6-$E$3,22))),0))-IF($G$2,0,IF((AQ$6-$G$3)&lt;1,0,IFERROR(LOOKUP(2,1/(Sorgo!$E24:INDEX(Sorgo!$E24:$Z24,MIN(AQ$6-$G$3,22))&lt;&gt;""),Sorgo!$E24:INDEX(Sorgo!$E24:$Z24,MIN(AQ$6-$G$3,22))),0)))))</f>
        <v>0</v>
      </c>
      <c r="AR26" s="27" t="n">
        <f aca="false">IF(COUNT(Sorgo!$E24:$Z24)=0,0,MAX(0,IF((AR$6-$E$3)&lt;1,0,IFERROR(LOOKUP(2,1/(Sorgo!$E24:INDEX(Sorgo!$E24:$Z24,MIN(AR$6-$E$3,22))&lt;&gt;""),Sorgo!$E24:INDEX(Sorgo!$E24:$Z24,MIN(AR$6-$E$3,22))),0))-IF($G$2,0,IF((AR$6-$G$3)&lt;1,0,IFERROR(LOOKUP(2,1/(Sorgo!$E24:INDEX(Sorgo!$E24:$Z24,MIN(AR$6-$G$3,22))&lt;&gt;""),Sorgo!$E24:INDEX(Sorgo!$E24:$Z24,MIN(AR$6-$G$3,22))),0)))))</f>
        <v>0</v>
      </c>
      <c r="AS26" s="27" t="n">
        <f aca="false">IF(COUNT(Sorgo!$E24:$Z24)=0,0,MAX(0,IF((AS$6-$E$3)&lt;1,0,IFERROR(LOOKUP(2,1/(Sorgo!$E24:INDEX(Sorgo!$E24:$Z24,MIN(AS$6-$E$3,22))&lt;&gt;""),Sorgo!$E24:INDEX(Sorgo!$E24:$Z24,MIN(AS$6-$E$3,22))),0))-IF($G$2,0,IF((AS$6-$G$3)&lt;1,0,IFERROR(LOOKUP(2,1/(Sorgo!$E24:INDEX(Sorgo!$E24:$Z24,MIN(AS$6-$G$3,22))&lt;&gt;""),Sorgo!$E24:INDEX(Sorgo!$E24:$Z24,MIN(AS$6-$G$3,22))),0)))))</f>
        <v>0</v>
      </c>
      <c r="AT26" s="27" t="n">
        <f aca="false">IF(COUNT(Sorgo!$E24:$Z24)=0,0,MAX(0,IF((AT$6-$E$3)&lt;1,0,IFERROR(LOOKUP(2,1/(Sorgo!$E24:INDEX(Sorgo!$E24:$Z24,MIN(AT$6-$E$3,22))&lt;&gt;""),Sorgo!$E24:INDEX(Sorgo!$E24:$Z24,MIN(AT$6-$E$3,22))),0))-IF($G$2,0,IF((AT$6-$G$3)&lt;1,0,IFERROR(LOOKUP(2,1/(Sorgo!$E24:INDEX(Sorgo!$E24:$Z24,MIN(AT$6-$G$3,22))&lt;&gt;""),Sorgo!$E24:INDEX(Sorgo!$E24:$Z24,MIN(AT$6-$G$3,22))),0)))))</f>
        <v>0</v>
      </c>
      <c r="AU26" s="27" t="n">
        <f aca="false">IF(COUNT(Sorgo!$E24:$Z24)=0,0,MAX(0,IF((AU$6-$E$3)&lt;1,0,IFERROR(LOOKUP(2,1/(Sorgo!$E24:INDEX(Sorgo!$E24:$Z24,MIN(AU$6-$E$3,22))&lt;&gt;""),Sorgo!$E24:INDEX(Sorgo!$E24:$Z24,MIN(AU$6-$E$3,22))),0))-IF($G$2,0,IF((AU$6-$G$3)&lt;1,0,IFERROR(LOOKUP(2,1/(Sorgo!$E24:INDEX(Sorgo!$E24:$Z24,MIN(AU$6-$G$3,22))&lt;&gt;""),Sorgo!$E24:INDEX(Sorgo!$E24:$Z24,MIN(AU$6-$G$3,22))),0)))))</f>
        <v>0</v>
      </c>
      <c r="AV26" s="27" t="n">
        <f aca="false">IF(COUNT(Sorgo!$E24:$Z24)=0,0,MAX(0,IF((AV$6-$E$3)&lt;1,0,IFERROR(LOOKUP(2,1/(Sorgo!$E24:INDEX(Sorgo!$E24:$Z24,MIN(AV$6-$E$3,22))&lt;&gt;""),Sorgo!$E24:INDEX(Sorgo!$E24:$Z24,MIN(AV$6-$E$3,22))),0))-IF($G$2,0,IF((AV$6-$G$3)&lt;1,0,IFERROR(LOOKUP(2,1/(Sorgo!$E24:INDEX(Sorgo!$E24:$Z24,MIN(AV$6-$G$3,22))&lt;&gt;""),Sorgo!$E24:INDEX(Sorgo!$E24:$Z24,MIN(AV$6-$G$3,22))),0)))))</f>
        <v>0</v>
      </c>
      <c r="AW26" s="27" t="n">
        <f aca="false">IF(COUNT(Sorgo!$E24:$Z24)=0,0,MAX(0,IF((AW$6-$E$3)&lt;1,0,IFERROR(LOOKUP(2,1/(Sorgo!$E24:INDEX(Sorgo!$E24:$Z24,MIN(AW$6-$E$3,22))&lt;&gt;""),Sorgo!$E24:INDEX(Sorgo!$E24:$Z24,MIN(AW$6-$E$3,22))),0))-IF($G$2,0,IF((AW$6-$G$3)&lt;1,0,IFERROR(LOOKUP(2,1/(Sorgo!$E24:INDEX(Sorgo!$E24:$Z24,MIN(AW$6-$G$3,22))&lt;&gt;""),Sorgo!$E24:INDEX(Sorgo!$E24:$Z24,MIN(AW$6-$G$3,22))),0)))))</f>
        <v>0</v>
      </c>
      <c r="AX26" s="27" t="n">
        <f aca="false">IF(COUNT(Sorgo!$E24:$Z24)=0,0,MAX(0,IF((AX$6-$E$3)&lt;1,0,IFERROR(LOOKUP(2,1/(Sorgo!$E24:INDEX(Sorgo!$E24:$Z24,MIN(AX$6-$E$3,22))&lt;&gt;""),Sorgo!$E24:INDEX(Sorgo!$E24:$Z24,MIN(AX$6-$E$3,22))),0))-IF($G$2,0,IF((AX$6-$G$3)&lt;1,0,IFERROR(LOOKUP(2,1/(Sorgo!$E24:INDEX(Sorgo!$E24:$Z24,MIN(AX$6-$G$3,22))&lt;&gt;""),Sorgo!$E24:INDEX(Sorgo!$E24:$Z24,MIN(AX$6-$G$3,22))),0)))))</f>
        <v>0</v>
      </c>
      <c r="AY26" s="27" t="n">
        <f aca="false">IF(COUNT(Sorgo!$E24:$Z24)=0,0,MAX(0,IF((AY$6-$E$3)&lt;1,0,IFERROR(LOOKUP(2,1/(Sorgo!$E24:INDEX(Sorgo!$E24:$Z24,MIN(AY$6-$E$3,22))&lt;&gt;""),Sorgo!$E24:INDEX(Sorgo!$E24:$Z24,MIN(AY$6-$E$3,22))),0))-IF($G$2,0,IF((AY$6-$G$3)&lt;1,0,IFERROR(LOOKUP(2,1/(Sorgo!$E24:INDEX(Sorgo!$E24:$Z24,MIN(AY$6-$G$3,22))&lt;&gt;""),Sorgo!$E24:INDEX(Sorgo!$E24:$Z24,MIN(AY$6-$G$3,22))),0)))))</f>
        <v>0</v>
      </c>
      <c r="AZ26" s="27" t="n">
        <f aca="false">IF(COUNT(Sorgo!$E24:$Z24)=0,0,MAX(0,IF((AZ$6-$E$3)&lt;1,0,IFERROR(LOOKUP(2,1/(Sorgo!$E24:INDEX(Sorgo!$E24:$Z24,MIN(AZ$6-$E$3,22))&lt;&gt;""),Sorgo!$E24:INDEX(Sorgo!$E24:$Z24,MIN(AZ$6-$E$3,22))),0))-IF($G$2,0,IF((AZ$6-$G$3)&lt;1,0,IFERROR(LOOKUP(2,1/(Sorgo!$E24:INDEX(Sorgo!$E24:$Z24,MIN(AZ$6-$G$3,22))&lt;&gt;""),Sorgo!$E24:INDEX(Sorgo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IF(COUNT(Sorgo!$E25:$Z25)&gt;0,N(Sorgo!$D25),0)</f>
        <v>0</v>
      </c>
      <c r="E27" s="27" t="n">
        <f aca="false">IF(COUNT(Sorgo!$E25:$Z25)=0,0,MAX(0,IF((E$6-$E$3)&lt;1,0,IFERROR(LOOKUP(2,1/(Sorgo!$E25:INDEX(Sorgo!$E25:$Z25,MIN(E$6-$E$3,22))&lt;&gt;""),Sorgo!$E25:INDEX(Sorgo!$E25:$Z25,MIN(E$6-$E$3,22))),0))-IF($G$2,0,IF((E$6-$G$3)&lt;1,0,IFERROR(LOOKUP(2,1/(Sorgo!$E25:INDEX(Sorgo!$E25:$Z25,MIN(E$6-$G$3,22))&lt;&gt;""),Sorgo!$E25:INDEX(Sorgo!$E25:$Z25,MIN(E$6-$G$3,22))),0)))))</f>
        <v>0</v>
      </c>
      <c r="F27" s="27" t="n">
        <f aca="false">IF(COUNT(Sorgo!$E25:$Z25)=0,0,MAX(0,IF((F$6-$E$3)&lt;1,0,IFERROR(LOOKUP(2,1/(Sorgo!$E25:INDEX(Sorgo!$E25:$Z25,MIN(F$6-$E$3,22))&lt;&gt;""),Sorgo!$E25:INDEX(Sorgo!$E25:$Z25,MIN(F$6-$E$3,22))),0))-IF($G$2,0,IF((F$6-$G$3)&lt;1,0,IFERROR(LOOKUP(2,1/(Sorgo!$E25:INDEX(Sorgo!$E25:$Z25,MIN(F$6-$G$3,22))&lt;&gt;""),Sorgo!$E25:INDEX(Sorgo!$E25:$Z25,MIN(F$6-$G$3,22))),0)))))</f>
        <v>0</v>
      </c>
      <c r="G27" s="27" t="n">
        <f aca="false">IF(COUNT(Sorgo!$E25:$Z25)=0,0,MAX(0,IF((G$6-$E$3)&lt;1,0,IFERROR(LOOKUP(2,1/(Sorgo!$E25:INDEX(Sorgo!$E25:$Z25,MIN(G$6-$E$3,22))&lt;&gt;""),Sorgo!$E25:INDEX(Sorgo!$E25:$Z25,MIN(G$6-$E$3,22))),0))-IF($G$2,0,IF((G$6-$G$3)&lt;1,0,IFERROR(LOOKUP(2,1/(Sorgo!$E25:INDEX(Sorgo!$E25:$Z25,MIN(G$6-$G$3,22))&lt;&gt;""),Sorgo!$E25:INDEX(Sorgo!$E25:$Z25,MIN(G$6-$G$3,22))),0)))))</f>
        <v>0</v>
      </c>
      <c r="H27" s="27" t="n">
        <f aca="false">IF(COUNT(Sorgo!$E25:$Z25)=0,0,MAX(0,IF((H$6-$E$3)&lt;1,0,IFERROR(LOOKUP(2,1/(Sorgo!$E25:INDEX(Sorgo!$E25:$Z25,MIN(H$6-$E$3,22))&lt;&gt;""),Sorgo!$E25:INDEX(Sorgo!$E25:$Z25,MIN(H$6-$E$3,22))),0))-IF($G$2,0,IF((H$6-$G$3)&lt;1,0,IFERROR(LOOKUP(2,1/(Sorgo!$E25:INDEX(Sorgo!$E25:$Z25,MIN(H$6-$G$3,22))&lt;&gt;""),Sorgo!$E25:INDEX(Sorgo!$E25:$Z25,MIN(H$6-$G$3,22))),0)))))</f>
        <v>0</v>
      </c>
      <c r="I27" s="27" t="n">
        <f aca="false">IF(COUNT(Sorgo!$E25:$Z25)=0,0,MAX(0,IF((I$6-$E$3)&lt;1,0,IFERROR(LOOKUP(2,1/(Sorgo!$E25:INDEX(Sorgo!$E25:$Z25,MIN(I$6-$E$3,22))&lt;&gt;""),Sorgo!$E25:INDEX(Sorgo!$E25:$Z25,MIN(I$6-$E$3,22))),0))-IF($G$2,0,IF((I$6-$G$3)&lt;1,0,IFERROR(LOOKUP(2,1/(Sorgo!$E25:INDEX(Sorgo!$E25:$Z25,MIN(I$6-$G$3,22))&lt;&gt;""),Sorgo!$E25:INDEX(Sorgo!$E25:$Z25,MIN(I$6-$G$3,22))),0)))))</f>
        <v>0</v>
      </c>
      <c r="J27" s="27" t="n">
        <f aca="false">IF(COUNT(Sorgo!$E25:$Z25)=0,0,MAX(0,IF((J$6-$E$3)&lt;1,0,IFERROR(LOOKUP(2,1/(Sorgo!$E25:INDEX(Sorgo!$E25:$Z25,MIN(J$6-$E$3,22))&lt;&gt;""),Sorgo!$E25:INDEX(Sorgo!$E25:$Z25,MIN(J$6-$E$3,22))),0))-IF($G$2,0,IF((J$6-$G$3)&lt;1,0,IFERROR(LOOKUP(2,1/(Sorgo!$E25:INDEX(Sorgo!$E25:$Z25,MIN(J$6-$G$3,22))&lt;&gt;""),Sorgo!$E25:INDEX(Sorgo!$E25:$Z25,MIN(J$6-$G$3,22))),0)))))</f>
        <v>0</v>
      </c>
      <c r="K27" s="27" t="n">
        <f aca="false">IF(COUNT(Sorgo!$E25:$Z25)=0,0,MAX(0,IF((K$6-$E$3)&lt;1,0,IFERROR(LOOKUP(2,1/(Sorgo!$E25:INDEX(Sorgo!$E25:$Z25,MIN(K$6-$E$3,22))&lt;&gt;""),Sorgo!$E25:INDEX(Sorgo!$E25:$Z25,MIN(K$6-$E$3,22))),0))-IF($G$2,0,IF((K$6-$G$3)&lt;1,0,IFERROR(LOOKUP(2,1/(Sorgo!$E25:INDEX(Sorgo!$E25:$Z25,MIN(K$6-$G$3,22))&lt;&gt;""),Sorgo!$E25:INDEX(Sorgo!$E25:$Z25,MIN(K$6-$G$3,22))),0)))))</f>
        <v>0</v>
      </c>
      <c r="L27" s="27" t="n">
        <f aca="false">IF(COUNT(Sorgo!$E25:$Z25)=0,0,MAX(0,IF((L$6-$E$3)&lt;1,0,IFERROR(LOOKUP(2,1/(Sorgo!$E25:INDEX(Sorgo!$E25:$Z25,MIN(L$6-$E$3,22))&lt;&gt;""),Sorgo!$E25:INDEX(Sorgo!$E25:$Z25,MIN(L$6-$E$3,22))),0))-IF($G$2,0,IF((L$6-$G$3)&lt;1,0,IFERROR(LOOKUP(2,1/(Sorgo!$E25:INDEX(Sorgo!$E25:$Z25,MIN(L$6-$G$3,22))&lt;&gt;""),Sorgo!$E25:INDEX(Sorgo!$E25:$Z25,MIN(L$6-$G$3,22))),0)))))</f>
        <v>0</v>
      </c>
      <c r="M27" s="27" t="n">
        <f aca="false">IF(COUNT(Sorgo!$E25:$Z25)=0,0,MAX(0,IF((M$6-$E$3)&lt;1,0,IFERROR(LOOKUP(2,1/(Sorgo!$E25:INDEX(Sorgo!$E25:$Z25,MIN(M$6-$E$3,22))&lt;&gt;""),Sorgo!$E25:INDEX(Sorgo!$E25:$Z25,MIN(M$6-$E$3,22))),0))-IF($G$2,0,IF((M$6-$G$3)&lt;1,0,IFERROR(LOOKUP(2,1/(Sorgo!$E25:INDEX(Sorgo!$E25:$Z25,MIN(M$6-$G$3,22))&lt;&gt;""),Sorgo!$E25:INDEX(Sorgo!$E25:$Z25,MIN(M$6-$G$3,22))),0)))))</f>
        <v>0</v>
      </c>
      <c r="N27" s="27" t="n">
        <f aca="false">IF(COUNT(Sorgo!$E25:$Z25)=0,0,MAX(0,IF((N$6-$E$3)&lt;1,0,IFERROR(LOOKUP(2,1/(Sorgo!$E25:INDEX(Sorgo!$E25:$Z25,MIN(N$6-$E$3,22))&lt;&gt;""),Sorgo!$E25:INDEX(Sorgo!$E25:$Z25,MIN(N$6-$E$3,22))),0))-IF($G$2,0,IF((N$6-$G$3)&lt;1,0,IFERROR(LOOKUP(2,1/(Sorgo!$E25:INDEX(Sorgo!$E25:$Z25,MIN(N$6-$G$3,22))&lt;&gt;""),Sorgo!$E25:INDEX(Sorgo!$E25:$Z25,MIN(N$6-$G$3,22))),0)))))</f>
        <v>0</v>
      </c>
      <c r="O27" s="27" t="n">
        <f aca="false">IF(COUNT(Sorgo!$E25:$Z25)=0,0,MAX(0,IF((O$6-$E$3)&lt;1,0,IFERROR(LOOKUP(2,1/(Sorgo!$E25:INDEX(Sorgo!$E25:$Z25,MIN(O$6-$E$3,22))&lt;&gt;""),Sorgo!$E25:INDEX(Sorgo!$E25:$Z25,MIN(O$6-$E$3,22))),0))-IF($G$2,0,IF((O$6-$G$3)&lt;1,0,IFERROR(LOOKUP(2,1/(Sorgo!$E25:INDEX(Sorgo!$E25:$Z25,MIN(O$6-$G$3,22))&lt;&gt;""),Sorgo!$E25:INDEX(Sorgo!$E25:$Z25,MIN(O$6-$G$3,22))),0)))))</f>
        <v>0</v>
      </c>
      <c r="P27" s="27" t="n">
        <f aca="false">IF(COUNT(Sorgo!$E25:$Z25)=0,0,MAX(0,IF((P$6-$E$3)&lt;1,0,IFERROR(LOOKUP(2,1/(Sorgo!$E25:INDEX(Sorgo!$E25:$Z25,MIN(P$6-$E$3,22))&lt;&gt;""),Sorgo!$E25:INDEX(Sorgo!$E25:$Z25,MIN(P$6-$E$3,22))),0))-IF($G$2,0,IF((P$6-$G$3)&lt;1,0,IFERROR(LOOKUP(2,1/(Sorgo!$E25:INDEX(Sorgo!$E25:$Z25,MIN(P$6-$G$3,22))&lt;&gt;""),Sorgo!$E25:INDEX(Sorgo!$E25:$Z25,MIN(P$6-$G$3,22))),0)))))</f>
        <v>0</v>
      </c>
      <c r="Q27" s="27" t="n">
        <f aca="false">IF(COUNT(Sorgo!$E25:$Z25)=0,0,MAX(0,IF((Q$6-$E$3)&lt;1,0,IFERROR(LOOKUP(2,1/(Sorgo!$E25:INDEX(Sorgo!$E25:$Z25,MIN(Q$6-$E$3,22))&lt;&gt;""),Sorgo!$E25:INDEX(Sorgo!$E25:$Z25,MIN(Q$6-$E$3,22))),0))-IF($G$2,0,IF((Q$6-$G$3)&lt;1,0,IFERROR(LOOKUP(2,1/(Sorgo!$E25:INDEX(Sorgo!$E25:$Z25,MIN(Q$6-$G$3,22))&lt;&gt;""),Sorgo!$E25:INDEX(Sorgo!$E25:$Z25,MIN(Q$6-$G$3,22))),0)))))</f>
        <v>0</v>
      </c>
      <c r="R27" s="27" t="n">
        <f aca="false">IF(COUNT(Sorgo!$E25:$Z25)=0,0,MAX(0,IF((R$6-$E$3)&lt;1,0,IFERROR(LOOKUP(2,1/(Sorgo!$E25:INDEX(Sorgo!$E25:$Z25,MIN(R$6-$E$3,22))&lt;&gt;""),Sorgo!$E25:INDEX(Sorgo!$E25:$Z25,MIN(R$6-$E$3,22))),0))-IF($G$2,0,IF((R$6-$G$3)&lt;1,0,IFERROR(LOOKUP(2,1/(Sorgo!$E25:INDEX(Sorgo!$E25:$Z25,MIN(R$6-$G$3,22))&lt;&gt;""),Sorgo!$E25:INDEX(Sorgo!$E25:$Z25,MIN(R$6-$G$3,22))),0)))))</f>
        <v>0</v>
      </c>
      <c r="S27" s="27" t="n">
        <f aca="false">IF(COUNT(Sorgo!$E25:$Z25)=0,0,MAX(0,IF((S$6-$E$3)&lt;1,0,IFERROR(LOOKUP(2,1/(Sorgo!$E25:INDEX(Sorgo!$E25:$Z25,MIN(S$6-$E$3,22))&lt;&gt;""),Sorgo!$E25:INDEX(Sorgo!$E25:$Z25,MIN(S$6-$E$3,22))),0))-IF($G$2,0,IF((S$6-$G$3)&lt;1,0,IFERROR(LOOKUP(2,1/(Sorgo!$E25:INDEX(Sorgo!$E25:$Z25,MIN(S$6-$G$3,22))&lt;&gt;""),Sorgo!$E25:INDEX(Sorgo!$E25:$Z25,MIN(S$6-$G$3,22))),0)))))</f>
        <v>0</v>
      </c>
      <c r="T27" s="27" t="n">
        <f aca="false">IF(COUNT(Sorgo!$E25:$Z25)=0,0,MAX(0,IF((T$6-$E$3)&lt;1,0,IFERROR(LOOKUP(2,1/(Sorgo!$E25:INDEX(Sorgo!$E25:$Z25,MIN(T$6-$E$3,22))&lt;&gt;""),Sorgo!$E25:INDEX(Sorgo!$E25:$Z25,MIN(T$6-$E$3,22))),0))-IF($G$2,0,IF((T$6-$G$3)&lt;1,0,IFERROR(LOOKUP(2,1/(Sorgo!$E25:INDEX(Sorgo!$E25:$Z25,MIN(T$6-$G$3,22))&lt;&gt;""),Sorgo!$E25:INDEX(Sorgo!$E25:$Z25,MIN(T$6-$G$3,22))),0)))))</f>
        <v>0</v>
      </c>
      <c r="U27" s="27" t="n">
        <f aca="false">IF(COUNT(Sorgo!$E25:$Z25)=0,0,MAX(0,IF((U$6-$E$3)&lt;1,0,IFERROR(LOOKUP(2,1/(Sorgo!$E25:INDEX(Sorgo!$E25:$Z25,MIN(U$6-$E$3,22))&lt;&gt;""),Sorgo!$E25:INDEX(Sorgo!$E25:$Z25,MIN(U$6-$E$3,22))),0))-IF($G$2,0,IF((U$6-$G$3)&lt;1,0,IFERROR(LOOKUP(2,1/(Sorgo!$E25:INDEX(Sorgo!$E25:$Z25,MIN(U$6-$G$3,22))&lt;&gt;""),Sorgo!$E25:INDEX(Sorgo!$E25:$Z25,MIN(U$6-$G$3,22))),0)))))</f>
        <v>0</v>
      </c>
      <c r="V27" s="27" t="n">
        <f aca="false">IF(COUNT(Sorgo!$E25:$Z25)=0,0,MAX(0,IF((V$6-$E$3)&lt;1,0,IFERROR(LOOKUP(2,1/(Sorgo!$E25:INDEX(Sorgo!$E25:$Z25,MIN(V$6-$E$3,22))&lt;&gt;""),Sorgo!$E25:INDEX(Sorgo!$E25:$Z25,MIN(V$6-$E$3,22))),0))-IF($G$2,0,IF((V$6-$G$3)&lt;1,0,IFERROR(LOOKUP(2,1/(Sorgo!$E25:INDEX(Sorgo!$E25:$Z25,MIN(V$6-$G$3,22))&lt;&gt;""),Sorgo!$E25:INDEX(Sorgo!$E25:$Z25,MIN(V$6-$G$3,22))),0)))))</f>
        <v>0</v>
      </c>
      <c r="W27" s="27" t="n">
        <f aca="false">IF(COUNT(Sorgo!$E25:$Z25)=0,0,MAX(0,IF((W$6-$E$3)&lt;1,0,IFERROR(LOOKUP(2,1/(Sorgo!$E25:INDEX(Sorgo!$E25:$Z25,MIN(W$6-$E$3,22))&lt;&gt;""),Sorgo!$E25:INDEX(Sorgo!$E25:$Z25,MIN(W$6-$E$3,22))),0))-IF($G$2,0,IF((W$6-$G$3)&lt;1,0,IFERROR(LOOKUP(2,1/(Sorgo!$E25:INDEX(Sorgo!$E25:$Z25,MIN(W$6-$G$3,22))&lt;&gt;""),Sorgo!$E25:INDEX(Sorgo!$E25:$Z25,MIN(W$6-$G$3,22))),0)))))</f>
        <v>0</v>
      </c>
      <c r="X27" s="27" t="n">
        <f aca="false">IF(COUNT(Sorgo!$E25:$Z25)=0,0,MAX(0,IF((X$6-$E$3)&lt;1,0,IFERROR(LOOKUP(2,1/(Sorgo!$E25:INDEX(Sorgo!$E25:$Z25,MIN(X$6-$E$3,22))&lt;&gt;""),Sorgo!$E25:INDEX(Sorgo!$E25:$Z25,MIN(X$6-$E$3,22))),0))-IF($G$2,0,IF((X$6-$G$3)&lt;1,0,IFERROR(LOOKUP(2,1/(Sorgo!$E25:INDEX(Sorgo!$E25:$Z25,MIN(X$6-$G$3,22))&lt;&gt;""),Sorgo!$E25:INDEX(Sorgo!$E25:$Z25,MIN(X$6-$G$3,22))),0)))))</f>
        <v>0</v>
      </c>
      <c r="Y27" s="27" t="n">
        <f aca="false">IF(COUNT(Sorgo!$E25:$Z25)=0,0,MAX(0,IF((Y$6-$E$3)&lt;1,0,IFERROR(LOOKUP(2,1/(Sorgo!$E25:INDEX(Sorgo!$E25:$Z25,MIN(Y$6-$E$3,22))&lt;&gt;""),Sorgo!$E25:INDEX(Sorgo!$E25:$Z25,MIN(Y$6-$E$3,22))),0))-IF($G$2,0,IF((Y$6-$G$3)&lt;1,0,IFERROR(LOOKUP(2,1/(Sorgo!$E25:INDEX(Sorgo!$E25:$Z25,MIN(Y$6-$G$3,22))&lt;&gt;""),Sorgo!$E25:INDEX(Sorgo!$E25:$Z25,MIN(Y$6-$G$3,22))),0)))))</f>
        <v>0</v>
      </c>
      <c r="Z27" s="27" t="n">
        <f aca="false">IF(COUNT(Sorgo!$E25:$Z25)=0,0,MAX(0,IF((Z$6-$E$3)&lt;1,0,IFERROR(LOOKUP(2,1/(Sorgo!$E25:INDEX(Sorgo!$E25:$Z25,MIN(Z$6-$E$3,22))&lt;&gt;""),Sorgo!$E25:INDEX(Sorgo!$E25:$Z25,MIN(Z$6-$E$3,22))),0))-IF($G$2,0,IF((Z$6-$G$3)&lt;1,0,IFERROR(LOOKUP(2,1/(Sorgo!$E25:INDEX(Sorgo!$E25:$Z25,MIN(Z$6-$G$3,22))&lt;&gt;""),Sorgo!$E25:INDEX(Sorgo!$E25:$Z25,MIN(Z$6-$G$3,22))),0)))))</f>
        <v>0</v>
      </c>
      <c r="AA27" s="27" t="n">
        <f aca="false">IF(COUNT(Sorgo!$E25:$Z25)=0,0,MAX(0,IF((AA$6-$E$3)&lt;1,0,IFERROR(LOOKUP(2,1/(Sorgo!$E25:INDEX(Sorgo!$E25:$Z25,MIN(AA$6-$E$3,22))&lt;&gt;""),Sorgo!$E25:INDEX(Sorgo!$E25:$Z25,MIN(AA$6-$E$3,22))),0))-IF($G$2,0,IF((AA$6-$G$3)&lt;1,0,IFERROR(LOOKUP(2,1/(Sorgo!$E25:INDEX(Sorgo!$E25:$Z25,MIN(AA$6-$G$3,22))&lt;&gt;""),Sorgo!$E25:INDEX(Sorgo!$E25:$Z25,MIN(AA$6-$G$3,22))),0)))))</f>
        <v>0</v>
      </c>
      <c r="AB27" s="27" t="n">
        <f aca="false">IF(COUNT(Sorgo!$E25:$Z25)=0,0,MAX(0,IF((AB$6-$E$3)&lt;1,0,IFERROR(LOOKUP(2,1/(Sorgo!$E25:INDEX(Sorgo!$E25:$Z25,MIN(AB$6-$E$3,22))&lt;&gt;""),Sorgo!$E25:INDEX(Sorgo!$E25:$Z25,MIN(AB$6-$E$3,22))),0))-IF($G$2,0,IF((AB$6-$G$3)&lt;1,0,IFERROR(LOOKUP(2,1/(Sorgo!$E25:INDEX(Sorgo!$E25:$Z25,MIN(AB$6-$G$3,22))&lt;&gt;""),Sorgo!$E25:INDEX(Sorgo!$E25:$Z25,MIN(AB$6-$G$3,22))),0)))))</f>
        <v>0</v>
      </c>
      <c r="AC27" s="27" t="n">
        <f aca="false">IF(COUNT(Sorgo!$E25:$Z25)=0,0,MAX(0,IF((AC$6-$E$3)&lt;1,0,IFERROR(LOOKUP(2,1/(Sorgo!$E25:INDEX(Sorgo!$E25:$Z25,MIN(AC$6-$E$3,22))&lt;&gt;""),Sorgo!$E25:INDEX(Sorgo!$E25:$Z25,MIN(AC$6-$E$3,22))),0))-IF($G$2,0,IF((AC$6-$G$3)&lt;1,0,IFERROR(LOOKUP(2,1/(Sorgo!$E25:INDEX(Sorgo!$E25:$Z25,MIN(AC$6-$G$3,22))&lt;&gt;""),Sorgo!$E25:INDEX(Sorgo!$E25:$Z25,MIN(AC$6-$G$3,22))),0)))))</f>
        <v>0</v>
      </c>
      <c r="AD27" s="27" t="n">
        <f aca="false">IF(COUNT(Sorgo!$E25:$Z25)=0,0,MAX(0,IF((AD$6-$E$3)&lt;1,0,IFERROR(LOOKUP(2,1/(Sorgo!$E25:INDEX(Sorgo!$E25:$Z25,MIN(AD$6-$E$3,22))&lt;&gt;""),Sorgo!$E25:INDEX(Sorgo!$E25:$Z25,MIN(AD$6-$E$3,22))),0))-IF($G$2,0,IF((AD$6-$G$3)&lt;1,0,IFERROR(LOOKUP(2,1/(Sorgo!$E25:INDEX(Sorgo!$E25:$Z25,MIN(AD$6-$G$3,22))&lt;&gt;""),Sorgo!$E25:INDEX(Sorgo!$E25:$Z25,MIN(AD$6-$G$3,22))),0)))))</f>
        <v>0</v>
      </c>
      <c r="AE27" s="27" t="n">
        <f aca="false">IF(COUNT(Sorgo!$E25:$Z25)=0,0,MAX(0,IF((AE$6-$E$3)&lt;1,0,IFERROR(LOOKUP(2,1/(Sorgo!$E25:INDEX(Sorgo!$E25:$Z25,MIN(AE$6-$E$3,22))&lt;&gt;""),Sorgo!$E25:INDEX(Sorgo!$E25:$Z25,MIN(AE$6-$E$3,22))),0))-IF($G$2,0,IF((AE$6-$G$3)&lt;1,0,IFERROR(LOOKUP(2,1/(Sorgo!$E25:INDEX(Sorgo!$E25:$Z25,MIN(AE$6-$G$3,22))&lt;&gt;""),Sorgo!$E25:INDEX(Sorgo!$E25:$Z25,MIN(AE$6-$G$3,22))),0)))))</f>
        <v>0</v>
      </c>
      <c r="AF27" s="27" t="n">
        <f aca="false">IF(COUNT(Sorgo!$E25:$Z25)=0,0,MAX(0,IF((AF$6-$E$3)&lt;1,0,IFERROR(LOOKUP(2,1/(Sorgo!$E25:INDEX(Sorgo!$E25:$Z25,MIN(AF$6-$E$3,22))&lt;&gt;""),Sorgo!$E25:INDEX(Sorgo!$E25:$Z25,MIN(AF$6-$E$3,22))),0))-IF($G$2,0,IF((AF$6-$G$3)&lt;1,0,IFERROR(LOOKUP(2,1/(Sorgo!$E25:INDEX(Sorgo!$E25:$Z25,MIN(AF$6-$G$3,22))&lt;&gt;""),Sorgo!$E25:INDEX(Sorgo!$E25:$Z25,MIN(AF$6-$G$3,22))),0)))))</f>
        <v>0</v>
      </c>
      <c r="AG27" s="27" t="n">
        <f aca="false">IF(COUNT(Sorgo!$E25:$Z25)=0,0,MAX(0,IF((AG$6-$E$3)&lt;1,0,IFERROR(LOOKUP(2,1/(Sorgo!$E25:INDEX(Sorgo!$E25:$Z25,MIN(AG$6-$E$3,22))&lt;&gt;""),Sorgo!$E25:INDEX(Sorgo!$E25:$Z25,MIN(AG$6-$E$3,22))),0))-IF($G$2,0,IF((AG$6-$G$3)&lt;1,0,IFERROR(LOOKUP(2,1/(Sorgo!$E25:INDEX(Sorgo!$E25:$Z25,MIN(AG$6-$G$3,22))&lt;&gt;""),Sorgo!$E25:INDEX(Sorgo!$E25:$Z25,MIN(AG$6-$G$3,22))),0)))))</f>
        <v>0</v>
      </c>
      <c r="AH27" s="27" t="n">
        <f aca="false">IF(COUNT(Sorgo!$E25:$Z25)=0,0,MAX(0,IF((AH$6-$E$3)&lt;1,0,IFERROR(LOOKUP(2,1/(Sorgo!$E25:INDEX(Sorgo!$E25:$Z25,MIN(AH$6-$E$3,22))&lt;&gt;""),Sorgo!$E25:INDEX(Sorgo!$E25:$Z25,MIN(AH$6-$E$3,22))),0))-IF($G$2,0,IF((AH$6-$G$3)&lt;1,0,IFERROR(LOOKUP(2,1/(Sorgo!$E25:INDEX(Sorgo!$E25:$Z25,MIN(AH$6-$G$3,22))&lt;&gt;""),Sorgo!$E25:INDEX(Sorgo!$E25:$Z25,MIN(AH$6-$G$3,22))),0)))))</f>
        <v>0</v>
      </c>
      <c r="AI27" s="27" t="n">
        <f aca="false">IF(COUNT(Sorgo!$E25:$Z25)=0,0,MAX(0,IF((AI$6-$E$3)&lt;1,0,IFERROR(LOOKUP(2,1/(Sorgo!$E25:INDEX(Sorgo!$E25:$Z25,MIN(AI$6-$E$3,22))&lt;&gt;""),Sorgo!$E25:INDEX(Sorgo!$E25:$Z25,MIN(AI$6-$E$3,22))),0))-IF($G$2,0,IF((AI$6-$G$3)&lt;1,0,IFERROR(LOOKUP(2,1/(Sorgo!$E25:INDEX(Sorgo!$E25:$Z25,MIN(AI$6-$G$3,22))&lt;&gt;""),Sorgo!$E25:INDEX(Sorgo!$E25:$Z25,MIN(AI$6-$G$3,22))),0)))))</f>
        <v>0</v>
      </c>
      <c r="AJ27" s="27" t="n">
        <f aca="false">IF(COUNT(Sorgo!$E25:$Z25)=0,0,MAX(0,IF((AJ$6-$E$3)&lt;1,0,IFERROR(LOOKUP(2,1/(Sorgo!$E25:INDEX(Sorgo!$E25:$Z25,MIN(AJ$6-$E$3,22))&lt;&gt;""),Sorgo!$E25:INDEX(Sorgo!$E25:$Z25,MIN(AJ$6-$E$3,22))),0))-IF($G$2,0,IF((AJ$6-$G$3)&lt;1,0,IFERROR(LOOKUP(2,1/(Sorgo!$E25:INDEX(Sorgo!$E25:$Z25,MIN(AJ$6-$G$3,22))&lt;&gt;""),Sorgo!$E25:INDEX(Sorgo!$E25:$Z25,MIN(AJ$6-$G$3,22))),0)))))</f>
        <v>0</v>
      </c>
      <c r="AK27" s="27" t="n">
        <f aca="false">IF(COUNT(Sorgo!$E25:$Z25)=0,0,MAX(0,IF((AK$6-$E$3)&lt;1,0,IFERROR(LOOKUP(2,1/(Sorgo!$E25:INDEX(Sorgo!$E25:$Z25,MIN(AK$6-$E$3,22))&lt;&gt;""),Sorgo!$E25:INDEX(Sorgo!$E25:$Z25,MIN(AK$6-$E$3,22))),0))-IF($G$2,0,IF((AK$6-$G$3)&lt;1,0,IFERROR(LOOKUP(2,1/(Sorgo!$E25:INDEX(Sorgo!$E25:$Z25,MIN(AK$6-$G$3,22))&lt;&gt;""),Sorgo!$E25:INDEX(Sorgo!$E25:$Z25,MIN(AK$6-$G$3,22))),0)))))</f>
        <v>0</v>
      </c>
      <c r="AL27" s="27" t="n">
        <f aca="false">IF(COUNT(Sorgo!$E25:$Z25)=0,0,MAX(0,IF((AL$6-$E$3)&lt;1,0,IFERROR(LOOKUP(2,1/(Sorgo!$E25:INDEX(Sorgo!$E25:$Z25,MIN(AL$6-$E$3,22))&lt;&gt;""),Sorgo!$E25:INDEX(Sorgo!$E25:$Z25,MIN(AL$6-$E$3,22))),0))-IF($G$2,0,IF((AL$6-$G$3)&lt;1,0,IFERROR(LOOKUP(2,1/(Sorgo!$E25:INDEX(Sorgo!$E25:$Z25,MIN(AL$6-$G$3,22))&lt;&gt;""),Sorgo!$E25:INDEX(Sorgo!$E25:$Z25,MIN(AL$6-$G$3,22))),0)))))</f>
        <v>0</v>
      </c>
      <c r="AM27" s="27" t="n">
        <f aca="false">IF(COUNT(Sorgo!$E25:$Z25)=0,0,MAX(0,IF((AM$6-$E$3)&lt;1,0,IFERROR(LOOKUP(2,1/(Sorgo!$E25:INDEX(Sorgo!$E25:$Z25,MIN(AM$6-$E$3,22))&lt;&gt;""),Sorgo!$E25:INDEX(Sorgo!$E25:$Z25,MIN(AM$6-$E$3,22))),0))-IF($G$2,0,IF((AM$6-$G$3)&lt;1,0,IFERROR(LOOKUP(2,1/(Sorgo!$E25:INDEX(Sorgo!$E25:$Z25,MIN(AM$6-$G$3,22))&lt;&gt;""),Sorgo!$E25:INDEX(Sorgo!$E25:$Z25,MIN(AM$6-$G$3,22))),0)))))</f>
        <v>0</v>
      </c>
      <c r="AN27" s="27" t="n">
        <f aca="false">IF(COUNT(Sorgo!$E25:$Z25)=0,0,MAX(0,IF((AN$6-$E$3)&lt;1,0,IFERROR(LOOKUP(2,1/(Sorgo!$E25:INDEX(Sorgo!$E25:$Z25,MIN(AN$6-$E$3,22))&lt;&gt;""),Sorgo!$E25:INDEX(Sorgo!$E25:$Z25,MIN(AN$6-$E$3,22))),0))-IF($G$2,0,IF((AN$6-$G$3)&lt;1,0,IFERROR(LOOKUP(2,1/(Sorgo!$E25:INDEX(Sorgo!$E25:$Z25,MIN(AN$6-$G$3,22))&lt;&gt;""),Sorgo!$E25:INDEX(Sorgo!$E25:$Z25,MIN(AN$6-$G$3,22))),0)))))</f>
        <v>0</v>
      </c>
      <c r="AO27" s="27" t="n">
        <f aca="false">IF(COUNT(Sorgo!$E25:$Z25)=0,0,MAX(0,IF((AO$6-$E$3)&lt;1,0,IFERROR(LOOKUP(2,1/(Sorgo!$E25:INDEX(Sorgo!$E25:$Z25,MIN(AO$6-$E$3,22))&lt;&gt;""),Sorgo!$E25:INDEX(Sorgo!$E25:$Z25,MIN(AO$6-$E$3,22))),0))-IF($G$2,0,IF((AO$6-$G$3)&lt;1,0,IFERROR(LOOKUP(2,1/(Sorgo!$E25:INDEX(Sorgo!$E25:$Z25,MIN(AO$6-$G$3,22))&lt;&gt;""),Sorgo!$E25:INDEX(Sorgo!$E25:$Z25,MIN(AO$6-$G$3,22))),0)))))</f>
        <v>0</v>
      </c>
      <c r="AP27" s="27" t="n">
        <f aca="false">IF(COUNT(Sorgo!$E25:$Z25)=0,0,MAX(0,IF((AP$6-$E$3)&lt;1,0,IFERROR(LOOKUP(2,1/(Sorgo!$E25:INDEX(Sorgo!$E25:$Z25,MIN(AP$6-$E$3,22))&lt;&gt;""),Sorgo!$E25:INDEX(Sorgo!$E25:$Z25,MIN(AP$6-$E$3,22))),0))-IF($G$2,0,IF((AP$6-$G$3)&lt;1,0,IFERROR(LOOKUP(2,1/(Sorgo!$E25:INDEX(Sorgo!$E25:$Z25,MIN(AP$6-$G$3,22))&lt;&gt;""),Sorgo!$E25:INDEX(Sorgo!$E25:$Z25,MIN(AP$6-$G$3,22))),0)))))</f>
        <v>0</v>
      </c>
      <c r="AQ27" s="27" t="n">
        <f aca="false">IF(COUNT(Sorgo!$E25:$Z25)=0,0,MAX(0,IF((AQ$6-$E$3)&lt;1,0,IFERROR(LOOKUP(2,1/(Sorgo!$E25:INDEX(Sorgo!$E25:$Z25,MIN(AQ$6-$E$3,22))&lt;&gt;""),Sorgo!$E25:INDEX(Sorgo!$E25:$Z25,MIN(AQ$6-$E$3,22))),0))-IF($G$2,0,IF((AQ$6-$G$3)&lt;1,0,IFERROR(LOOKUP(2,1/(Sorgo!$E25:INDEX(Sorgo!$E25:$Z25,MIN(AQ$6-$G$3,22))&lt;&gt;""),Sorgo!$E25:INDEX(Sorgo!$E25:$Z25,MIN(AQ$6-$G$3,22))),0)))))</f>
        <v>0</v>
      </c>
      <c r="AR27" s="27" t="n">
        <f aca="false">IF(COUNT(Sorgo!$E25:$Z25)=0,0,MAX(0,IF((AR$6-$E$3)&lt;1,0,IFERROR(LOOKUP(2,1/(Sorgo!$E25:INDEX(Sorgo!$E25:$Z25,MIN(AR$6-$E$3,22))&lt;&gt;""),Sorgo!$E25:INDEX(Sorgo!$E25:$Z25,MIN(AR$6-$E$3,22))),0))-IF($G$2,0,IF((AR$6-$G$3)&lt;1,0,IFERROR(LOOKUP(2,1/(Sorgo!$E25:INDEX(Sorgo!$E25:$Z25,MIN(AR$6-$G$3,22))&lt;&gt;""),Sorgo!$E25:INDEX(Sorgo!$E25:$Z25,MIN(AR$6-$G$3,22))),0)))))</f>
        <v>0</v>
      </c>
      <c r="AS27" s="27" t="n">
        <f aca="false">IF(COUNT(Sorgo!$E25:$Z25)=0,0,MAX(0,IF((AS$6-$E$3)&lt;1,0,IFERROR(LOOKUP(2,1/(Sorgo!$E25:INDEX(Sorgo!$E25:$Z25,MIN(AS$6-$E$3,22))&lt;&gt;""),Sorgo!$E25:INDEX(Sorgo!$E25:$Z25,MIN(AS$6-$E$3,22))),0))-IF($G$2,0,IF((AS$6-$G$3)&lt;1,0,IFERROR(LOOKUP(2,1/(Sorgo!$E25:INDEX(Sorgo!$E25:$Z25,MIN(AS$6-$G$3,22))&lt;&gt;""),Sorgo!$E25:INDEX(Sorgo!$E25:$Z25,MIN(AS$6-$G$3,22))),0)))))</f>
        <v>0</v>
      </c>
      <c r="AT27" s="27" t="n">
        <f aca="false">IF(COUNT(Sorgo!$E25:$Z25)=0,0,MAX(0,IF((AT$6-$E$3)&lt;1,0,IFERROR(LOOKUP(2,1/(Sorgo!$E25:INDEX(Sorgo!$E25:$Z25,MIN(AT$6-$E$3,22))&lt;&gt;""),Sorgo!$E25:INDEX(Sorgo!$E25:$Z25,MIN(AT$6-$E$3,22))),0))-IF($G$2,0,IF((AT$6-$G$3)&lt;1,0,IFERROR(LOOKUP(2,1/(Sorgo!$E25:INDEX(Sorgo!$E25:$Z25,MIN(AT$6-$G$3,22))&lt;&gt;""),Sorgo!$E25:INDEX(Sorgo!$E25:$Z25,MIN(AT$6-$G$3,22))),0)))))</f>
        <v>0</v>
      </c>
      <c r="AU27" s="27" t="n">
        <f aca="false">IF(COUNT(Sorgo!$E25:$Z25)=0,0,MAX(0,IF((AU$6-$E$3)&lt;1,0,IFERROR(LOOKUP(2,1/(Sorgo!$E25:INDEX(Sorgo!$E25:$Z25,MIN(AU$6-$E$3,22))&lt;&gt;""),Sorgo!$E25:INDEX(Sorgo!$E25:$Z25,MIN(AU$6-$E$3,22))),0))-IF($G$2,0,IF((AU$6-$G$3)&lt;1,0,IFERROR(LOOKUP(2,1/(Sorgo!$E25:INDEX(Sorgo!$E25:$Z25,MIN(AU$6-$G$3,22))&lt;&gt;""),Sorgo!$E25:INDEX(Sorgo!$E25:$Z25,MIN(AU$6-$G$3,22))),0)))))</f>
        <v>0</v>
      </c>
      <c r="AV27" s="27" t="n">
        <f aca="false">IF(COUNT(Sorgo!$E25:$Z25)=0,0,MAX(0,IF((AV$6-$E$3)&lt;1,0,IFERROR(LOOKUP(2,1/(Sorgo!$E25:INDEX(Sorgo!$E25:$Z25,MIN(AV$6-$E$3,22))&lt;&gt;""),Sorgo!$E25:INDEX(Sorgo!$E25:$Z25,MIN(AV$6-$E$3,22))),0))-IF($G$2,0,IF((AV$6-$G$3)&lt;1,0,IFERROR(LOOKUP(2,1/(Sorgo!$E25:INDEX(Sorgo!$E25:$Z25,MIN(AV$6-$G$3,22))&lt;&gt;""),Sorgo!$E25:INDEX(Sorgo!$E25:$Z25,MIN(AV$6-$G$3,22))),0)))))</f>
        <v>0</v>
      </c>
      <c r="AW27" s="27" t="n">
        <f aca="false">IF(COUNT(Sorgo!$E25:$Z25)=0,0,MAX(0,IF((AW$6-$E$3)&lt;1,0,IFERROR(LOOKUP(2,1/(Sorgo!$E25:INDEX(Sorgo!$E25:$Z25,MIN(AW$6-$E$3,22))&lt;&gt;""),Sorgo!$E25:INDEX(Sorgo!$E25:$Z25,MIN(AW$6-$E$3,22))),0))-IF($G$2,0,IF((AW$6-$G$3)&lt;1,0,IFERROR(LOOKUP(2,1/(Sorgo!$E25:INDEX(Sorgo!$E25:$Z25,MIN(AW$6-$G$3,22))&lt;&gt;""),Sorgo!$E25:INDEX(Sorgo!$E25:$Z25,MIN(AW$6-$G$3,22))),0)))))</f>
        <v>0</v>
      </c>
      <c r="AX27" s="27" t="n">
        <f aca="false">IF(COUNT(Sorgo!$E25:$Z25)=0,0,MAX(0,IF((AX$6-$E$3)&lt;1,0,IFERROR(LOOKUP(2,1/(Sorgo!$E25:INDEX(Sorgo!$E25:$Z25,MIN(AX$6-$E$3,22))&lt;&gt;""),Sorgo!$E25:INDEX(Sorgo!$E25:$Z25,MIN(AX$6-$E$3,22))),0))-IF($G$2,0,IF((AX$6-$G$3)&lt;1,0,IFERROR(LOOKUP(2,1/(Sorgo!$E25:INDEX(Sorgo!$E25:$Z25,MIN(AX$6-$G$3,22))&lt;&gt;""),Sorgo!$E25:INDEX(Sorgo!$E25:$Z25,MIN(AX$6-$G$3,22))),0)))))</f>
        <v>0</v>
      </c>
      <c r="AY27" s="27" t="n">
        <f aca="false">IF(COUNT(Sorgo!$E25:$Z25)=0,0,MAX(0,IF((AY$6-$E$3)&lt;1,0,IFERROR(LOOKUP(2,1/(Sorgo!$E25:INDEX(Sorgo!$E25:$Z25,MIN(AY$6-$E$3,22))&lt;&gt;""),Sorgo!$E25:INDEX(Sorgo!$E25:$Z25,MIN(AY$6-$E$3,22))),0))-IF($G$2,0,IF((AY$6-$G$3)&lt;1,0,IFERROR(LOOKUP(2,1/(Sorgo!$E25:INDEX(Sorgo!$E25:$Z25,MIN(AY$6-$G$3,22))&lt;&gt;""),Sorgo!$E25:INDEX(Sorgo!$E25:$Z25,MIN(AY$6-$G$3,22))),0)))))</f>
        <v>0</v>
      </c>
      <c r="AZ27" s="27" t="n">
        <f aca="false">IF(COUNT(Sorgo!$E25:$Z25)=0,0,MAX(0,IF((AZ$6-$E$3)&lt;1,0,IFERROR(LOOKUP(2,1/(Sorgo!$E25:INDEX(Sorgo!$E25:$Z25,MIN(AZ$6-$E$3,22))&lt;&gt;""),Sorgo!$E25:INDEX(Sorgo!$E25:$Z25,MIN(AZ$6-$E$3,22))),0))-IF($G$2,0,IF((AZ$6-$G$3)&lt;1,0,IFERROR(LOOKUP(2,1/(Sorgo!$E25:INDEX(Sorgo!$E25:$Z25,MIN(AZ$6-$G$3,22))&lt;&gt;""),Sorgo!$E25:INDEX(Sorgo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IF(COUNT(Sorgo!$E26:$Z26)&gt;0,N(Sorgo!$D26),0)</f>
        <v>0</v>
      </c>
      <c r="E28" s="27" t="n">
        <f aca="false">IF(COUNT(Sorgo!$E26:$Z26)=0,0,MAX(0,IF((E$6-$E$3)&lt;1,0,IFERROR(LOOKUP(2,1/(Sorgo!$E26:INDEX(Sorgo!$E26:$Z26,MIN(E$6-$E$3,22))&lt;&gt;""),Sorgo!$E26:INDEX(Sorgo!$E26:$Z26,MIN(E$6-$E$3,22))),0))-IF($G$2,0,IF((E$6-$G$3)&lt;1,0,IFERROR(LOOKUP(2,1/(Sorgo!$E26:INDEX(Sorgo!$E26:$Z26,MIN(E$6-$G$3,22))&lt;&gt;""),Sorgo!$E26:INDEX(Sorgo!$E26:$Z26,MIN(E$6-$G$3,22))),0)))))</f>
        <v>0</v>
      </c>
      <c r="F28" s="27" t="n">
        <f aca="false">IF(COUNT(Sorgo!$E26:$Z26)=0,0,MAX(0,IF((F$6-$E$3)&lt;1,0,IFERROR(LOOKUP(2,1/(Sorgo!$E26:INDEX(Sorgo!$E26:$Z26,MIN(F$6-$E$3,22))&lt;&gt;""),Sorgo!$E26:INDEX(Sorgo!$E26:$Z26,MIN(F$6-$E$3,22))),0))-IF($G$2,0,IF((F$6-$G$3)&lt;1,0,IFERROR(LOOKUP(2,1/(Sorgo!$E26:INDEX(Sorgo!$E26:$Z26,MIN(F$6-$G$3,22))&lt;&gt;""),Sorgo!$E26:INDEX(Sorgo!$E26:$Z26,MIN(F$6-$G$3,22))),0)))))</f>
        <v>0</v>
      </c>
      <c r="G28" s="27" t="n">
        <f aca="false">IF(COUNT(Sorgo!$E26:$Z26)=0,0,MAX(0,IF((G$6-$E$3)&lt;1,0,IFERROR(LOOKUP(2,1/(Sorgo!$E26:INDEX(Sorgo!$E26:$Z26,MIN(G$6-$E$3,22))&lt;&gt;""),Sorgo!$E26:INDEX(Sorgo!$E26:$Z26,MIN(G$6-$E$3,22))),0))-IF($G$2,0,IF((G$6-$G$3)&lt;1,0,IFERROR(LOOKUP(2,1/(Sorgo!$E26:INDEX(Sorgo!$E26:$Z26,MIN(G$6-$G$3,22))&lt;&gt;""),Sorgo!$E26:INDEX(Sorgo!$E26:$Z26,MIN(G$6-$G$3,22))),0)))))</f>
        <v>0</v>
      </c>
      <c r="H28" s="27" t="n">
        <f aca="false">IF(COUNT(Sorgo!$E26:$Z26)=0,0,MAX(0,IF((H$6-$E$3)&lt;1,0,IFERROR(LOOKUP(2,1/(Sorgo!$E26:INDEX(Sorgo!$E26:$Z26,MIN(H$6-$E$3,22))&lt;&gt;""),Sorgo!$E26:INDEX(Sorgo!$E26:$Z26,MIN(H$6-$E$3,22))),0))-IF($G$2,0,IF((H$6-$G$3)&lt;1,0,IFERROR(LOOKUP(2,1/(Sorgo!$E26:INDEX(Sorgo!$E26:$Z26,MIN(H$6-$G$3,22))&lt;&gt;""),Sorgo!$E26:INDEX(Sorgo!$E26:$Z26,MIN(H$6-$G$3,22))),0)))))</f>
        <v>0</v>
      </c>
      <c r="I28" s="27" t="n">
        <f aca="false">IF(COUNT(Sorgo!$E26:$Z26)=0,0,MAX(0,IF((I$6-$E$3)&lt;1,0,IFERROR(LOOKUP(2,1/(Sorgo!$E26:INDEX(Sorgo!$E26:$Z26,MIN(I$6-$E$3,22))&lt;&gt;""),Sorgo!$E26:INDEX(Sorgo!$E26:$Z26,MIN(I$6-$E$3,22))),0))-IF($G$2,0,IF((I$6-$G$3)&lt;1,0,IFERROR(LOOKUP(2,1/(Sorgo!$E26:INDEX(Sorgo!$E26:$Z26,MIN(I$6-$G$3,22))&lt;&gt;""),Sorgo!$E26:INDEX(Sorgo!$E26:$Z26,MIN(I$6-$G$3,22))),0)))))</f>
        <v>0</v>
      </c>
      <c r="J28" s="27" t="n">
        <f aca="false">IF(COUNT(Sorgo!$E26:$Z26)=0,0,MAX(0,IF((J$6-$E$3)&lt;1,0,IFERROR(LOOKUP(2,1/(Sorgo!$E26:INDEX(Sorgo!$E26:$Z26,MIN(J$6-$E$3,22))&lt;&gt;""),Sorgo!$E26:INDEX(Sorgo!$E26:$Z26,MIN(J$6-$E$3,22))),0))-IF($G$2,0,IF((J$6-$G$3)&lt;1,0,IFERROR(LOOKUP(2,1/(Sorgo!$E26:INDEX(Sorgo!$E26:$Z26,MIN(J$6-$G$3,22))&lt;&gt;""),Sorgo!$E26:INDEX(Sorgo!$E26:$Z26,MIN(J$6-$G$3,22))),0)))))</f>
        <v>0</v>
      </c>
      <c r="K28" s="27" t="n">
        <f aca="false">IF(COUNT(Sorgo!$E26:$Z26)=0,0,MAX(0,IF((K$6-$E$3)&lt;1,0,IFERROR(LOOKUP(2,1/(Sorgo!$E26:INDEX(Sorgo!$E26:$Z26,MIN(K$6-$E$3,22))&lt;&gt;""),Sorgo!$E26:INDEX(Sorgo!$E26:$Z26,MIN(K$6-$E$3,22))),0))-IF($G$2,0,IF((K$6-$G$3)&lt;1,0,IFERROR(LOOKUP(2,1/(Sorgo!$E26:INDEX(Sorgo!$E26:$Z26,MIN(K$6-$G$3,22))&lt;&gt;""),Sorgo!$E26:INDEX(Sorgo!$E26:$Z26,MIN(K$6-$G$3,22))),0)))))</f>
        <v>0</v>
      </c>
      <c r="L28" s="27" t="n">
        <f aca="false">IF(COUNT(Sorgo!$E26:$Z26)=0,0,MAX(0,IF((L$6-$E$3)&lt;1,0,IFERROR(LOOKUP(2,1/(Sorgo!$E26:INDEX(Sorgo!$E26:$Z26,MIN(L$6-$E$3,22))&lt;&gt;""),Sorgo!$E26:INDEX(Sorgo!$E26:$Z26,MIN(L$6-$E$3,22))),0))-IF($G$2,0,IF((L$6-$G$3)&lt;1,0,IFERROR(LOOKUP(2,1/(Sorgo!$E26:INDEX(Sorgo!$E26:$Z26,MIN(L$6-$G$3,22))&lt;&gt;""),Sorgo!$E26:INDEX(Sorgo!$E26:$Z26,MIN(L$6-$G$3,22))),0)))))</f>
        <v>0</v>
      </c>
      <c r="M28" s="27" t="n">
        <f aca="false">IF(COUNT(Sorgo!$E26:$Z26)=0,0,MAX(0,IF((M$6-$E$3)&lt;1,0,IFERROR(LOOKUP(2,1/(Sorgo!$E26:INDEX(Sorgo!$E26:$Z26,MIN(M$6-$E$3,22))&lt;&gt;""),Sorgo!$E26:INDEX(Sorgo!$E26:$Z26,MIN(M$6-$E$3,22))),0))-IF($G$2,0,IF((M$6-$G$3)&lt;1,0,IFERROR(LOOKUP(2,1/(Sorgo!$E26:INDEX(Sorgo!$E26:$Z26,MIN(M$6-$G$3,22))&lt;&gt;""),Sorgo!$E26:INDEX(Sorgo!$E26:$Z26,MIN(M$6-$G$3,22))),0)))))</f>
        <v>0</v>
      </c>
      <c r="N28" s="27" t="n">
        <f aca="false">IF(COUNT(Sorgo!$E26:$Z26)=0,0,MAX(0,IF((N$6-$E$3)&lt;1,0,IFERROR(LOOKUP(2,1/(Sorgo!$E26:INDEX(Sorgo!$E26:$Z26,MIN(N$6-$E$3,22))&lt;&gt;""),Sorgo!$E26:INDEX(Sorgo!$E26:$Z26,MIN(N$6-$E$3,22))),0))-IF($G$2,0,IF((N$6-$G$3)&lt;1,0,IFERROR(LOOKUP(2,1/(Sorgo!$E26:INDEX(Sorgo!$E26:$Z26,MIN(N$6-$G$3,22))&lt;&gt;""),Sorgo!$E26:INDEX(Sorgo!$E26:$Z26,MIN(N$6-$G$3,22))),0)))))</f>
        <v>0</v>
      </c>
      <c r="O28" s="27" t="n">
        <f aca="false">IF(COUNT(Sorgo!$E26:$Z26)=0,0,MAX(0,IF((O$6-$E$3)&lt;1,0,IFERROR(LOOKUP(2,1/(Sorgo!$E26:INDEX(Sorgo!$E26:$Z26,MIN(O$6-$E$3,22))&lt;&gt;""),Sorgo!$E26:INDEX(Sorgo!$E26:$Z26,MIN(O$6-$E$3,22))),0))-IF($G$2,0,IF((O$6-$G$3)&lt;1,0,IFERROR(LOOKUP(2,1/(Sorgo!$E26:INDEX(Sorgo!$E26:$Z26,MIN(O$6-$G$3,22))&lt;&gt;""),Sorgo!$E26:INDEX(Sorgo!$E26:$Z26,MIN(O$6-$G$3,22))),0)))))</f>
        <v>0</v>
      </c>
      <c r="P28" s="27" t="n">
        <f aca="false">IF(COUNT(Sorgo!$E26:$Z26)=0,0,MAX(0,IF((P$6-$E$3)&lt;1,0,IFERROR(LOOKUP(2,1/(Sorgo!$E26:INDEX(Sorgo!$E26:$Z26,MIN(P$6-$E$3,22))&lt;&gt;""),Sorgo!$E26:INDEX(Sorgo!$E26:$Z26,MIN(P$6-$E$3,22))),0))-IF($G$2,0,IF((P$6-$G$3)&lt;1,0,IFERROR(LOOKUP(2,1/(Sorgo!$E26:INDEX(Sorgo!$E26:$Z26,MIN(P$6-$G$3,22))&lt;&gt;""),Sorgo!$E26:INDEX(Sorgo!$E26:$Z26,MIN(P$6-$G$3,22))),0)))))</f>
        <v>0</v>
      </c>
      <c r="Q28" s="27" t="n">
        <f aca="false">IF(COUNT(Sorgo!$E26:$Z26)=0,0,MAX(0,IF((Q$6-$E$3)&lt;1,0,IFERROR(LOOKUP(2,1/(Sorgo!$E26:INDEX(Sorgo!$E26:$Z26,MIN(Q$6-$E$3,22))&lt;&gt;""),Sorgo!$E26:INDEX(Sorgo!$E26:$Z26,MIN(Q$6-$E$3,22))),0))-IF($G$2,0,IF((Q$6-$G$3)&lt;1,0,IFERROR(LOOKUP(2,1/(Sorgo!$E26:INDEX(Sorgo!$E26:$Z26,MIN(Q$6-$G$3,22))&lt;&gt;""),Sorgo!$E26:INDEX(Sorgo!$E26:$Z26,MIN(Q$6-$G$3,22))),0)))))</f>
        <v>0</v>
      </c>
      <c r="R28" s="27" t="n">
        <f aca="false">IF(COUNT(Sorgo!$E26:$Z26)=0,0,MAX(0,IF((R$6-$E$3)&lt;1,0,IFERROR(LOOKUP(2,1/(Sorgo!$E26:INDEX(Sorgo!$E26:$Z26,MIN(R$6-$E$3,22))&lt;&gt;""),Sorgo!$E26:INDEX(Sorgo!$E26:$Z26,MIN(R$6-$E$3,22))),0))-IF($G$2,0,IF((R$6-$G$3)&lt;1,0,IFERROR(LOOKUP(2,1/(Sorgo!$E26:INDEX(Sorgo!$E26:$Z26,MIN(R$6-$G$3,22))&lt;&gt;""),Sorgo!$E26:INDEX(Sorgo!$E26:$Z26,MIN(R$6-$G$3,22))),0)))))</f>
        <v>0</v>
      </c>
      <c r="S28" s="27" t="n">
        <f aca="false">IF(COUNT(Sorgo!$E26:$Z26)=0,0,MAX(0,IF((S$6-$E$3)&lt;1,0,IFERROR(LOOKUP(2,1/(Sorgo!$E26:INDEX(Sorgo!$E26:$Z26,MIN(S$6-$E$3,22))&lt;&gt;""),Sorgo!$E26:INDEX(Sorgo!$E26:$Z26,MIN(S$6-$E$3,22))),0))-IF($G$2,0,IF((S$6-$G$3)&lt;1,0,IFERROR(LOOKUP(2,1/(Sorgo!$E26:INDEX(Sorgo!$E26:$Z26,MIN(S$6-$G$3,22))&lt;&gt;""),Sorgo!$E26:INDEX(Sorgo!$E26:$Z26,MIN(S$6-$G$3,22))),0)))))</f>
        <v>0</v>
      </c>
      <c r="T28" s="27" t="n">
        <f aca="false">IF(COUNT(Sorgo!$E26:$Z26)=0,0,MAX(0,IF((T$6-$E$3)&lt;1,0,IFERROR(LOOKUP(2,1/(Sorgo!$E26:INDEX(Sorgo!$E26:$Z26,MIN(T$6-$E$3,22))&lt;&gt;""),Sorgo!$E26:INDEX(Sorgo!$E26:$Z26,MIN(T$6-$E$3,22))),0))-IF($G$2,0,IF((T$6-$G$3)&lt;1,0,IFERROR(LOOKUP(2,1/(Sorgo!$E26:INDEX(Sorgo!$E26:$Z26,MIN(T$6-$G$3,22))&lt;&gt;""),Sorgo!$E26:INDEX(Sorgo!$E26:$Z26,MIN(T$6-$G$3,22))),0)))))</f>
        <v>0</v>
      </c>
      <c r="U28" s="27" t="n">
        <f aca="false">IF(COUNT(Sorgo!$E26:$Z26)=0,0,MAX(0,IF((U$6-$E$3)&lt;1,0,IFERROR(LOOKUP(2,1/(Sorgo!$E26:INDEX(Sorgo!$E26:$Z26,MIN(U$6-$E$3,22))&lt;&gt;""),Sorgo!$E26:INDEX(Sorgo!$E26:$Z26,MIN(U$6-$E$3,22))),0))-IF($G$2,0,IF((U$6-$G$3)&lt;1,0,IFERROR(LOOKUP(2,1/(Sorgo!$E26:INDEX(Sorgo!$E26:$Z26,MIN(U$6-$G$3,22))&lt;&gt;""),Sorgo!$E26:INDEX(Sorgo!$E26:$Z26,MIN(U$6-$G$3,22))),0)))))</f>
        <v>0</v>
      </c>
      <c r="V28" s="27" t="n">
        <f aca="false">IF(COUNT(Sorgo!$E26:$Z26)=0,0,MAX(0,IF((V$6-$E$3)&lt;1,0,IFERROR(LOOKUP(2,1/(Sorgo!$E26:INDEX(Sorgo!$E26:$Z26,MIN(V$6-$E$3,22))&lt;&gt;""),Sorgo!$E26:INDEX(Sorgo!$E26:$Z26,MIN(V$6-$E$3,22))),0))-IF($G$2,0,IF((V$6-$G$3)&lt;1,0,IFERROR(LOOKUP(2,1/(Sorgo!$E26:INDEX(Sorgo!$E26:$Z26,MIN(V$6-$G$3,22))&lt;&gt;""),Sorgo!$E26:INDEX(Sorgo!$E26:$Z26,MIN(V$6-$G$3,22))),0)))))</f>
        <v>0</v>
      </c>
      <c r="W28" s="27" t="n">
        <f aca="false">IF(COUNT(Sorgo!$E26:$Z26)=0,0,MAX(0,IF((W$6-$E$3)&lt;1,0,IFERROR(LOOKUP(2,1/(Sorgo!$E26:INDEX(Sorgo!$E26:$Z26,MIN(W$6-$E$3,22))&lt;&gt;""),Sorgo!$E26:INDEX(Sorgo!$E26:$Z26,MIN(W$6-$E$3,22))),0))-IF($G$2,0,IF((W$6-$G$3)&lt;1,0,IFERROR(LOOKUP(2,1/(Sorgo!$E26:INDEX(Sorgo!$E26:$Z26,MIN(W$6-$G$3,22))&lt;&gt;""),Sorgo!$E26:INDEX(Sorgo!$E26:$Z26,MIN(W$6-$G$3,22))),0)))))</f>
        <v>0</v>
      </c>
      <c r="X28" s="27" t="n">
        <f aca="false">IF(COUNT(Sorgo!$E26:$Z26)=0,0,MAX(0,IF((X$6-$E$3)&lt;1,0,IFERROR(LOOKUP(2,1/(Sorgo!$E26:INDEX(Sorgo!$E26:$Z26,MIN(X$6-$E$3,22))&lt;&gt;""),Sorgo!$E26:INDEX(Sorgo!$E26:$Z26,MIN(X$6-$E$3,22))),0))-IF($G$2,0,IF((X$6-$G$3)&lt;1,0,IFERROR(LOOKUP(2,1/(Sorgo!$E26:INDEX(Sorgo!$E26:$Z26,MIN(X$6-$G$3,22))&lt;&gt;""),Sorgo!$E26:INDEX(Sorgo!$E26:$Z26,MIN(X$6-$G$3,22))),0)))))</f>
        <v>0</v>
      </c>
      <c r="Y28" s="27" t="n">
        <f aca="false">IF(COUNT(Sorgo!$E26:$Z26)=0,0,MAX(0,IF((Y$6-$E$3)&lt;1,0,IFERROR(LOOKUP(2,1/(Sorgo!$E26:INDEX(Sorgo!$E26:$Z26,MIN(Y$6-$E$3,22))&lt;&gt;""),Sorgo!$E26:INDEX(Sorgo!$E26:$Z26,MIN(Y$6-$E$3,22))),0))-IF($G$2,0,IF((Y$6-$G$3)&lt;1,0,IFERROR(LOOKUP(2,1/(Sorgo!$E26:INDEX(Sorgo!$E26:$Z26,MIN(Y$6-$G$3,22))&lt;&gt;""),Sorgo!$E26:INDEX(Sorgo!$E26:$Z26,MIN(Y$6-$G$3,22))),0)))))</f>
        <v>0</v>
      </c>
      <c r="Z28" s="27" t="n">
        <f aca="false">IF(COUNT(Sorgo!$E26:$Z26)=0,0,MAX(0,IF((Z$6-$E$3)&lt;1,0,IFERROR(LOOKUP(2,1/(Sorgo!$E26:INDEX(Sorgo!$E26:$Z26,MIN(Z$6-$E$3,22))&lt;&gt;""),Sorgo!$E26:INDEX(Sorgo!$E26:$Z26,MIN(Z$6-$E$3,22))),0))-IF($G$2,0,IF((Z$6-$G$3)&lt;1,0,IFERROR(LOOKUP(2,1/(Sorgo!$E26:INDEX(Sorgo!$E26:$Z26,MIN(Z$6-$G$3,22))&lt;&gt;""),Sorgo!$E26:INDEX(Sorgo!$E26:$Z26,MIN(Z$6-$G$3,22))),0)))))</f>
        <v>0</v>
      </c>
      <c r="AA28" s="27" t="n">
        <f aca="false">IF(COUNT(Sorgo!$E26:$Z26)=0,0,MAX(0,IF((AA$6-$E$3)&lt;1,0,IFERROR(LOOKUP(2,1/(Sorgo!$E26:INDEX(Sorgo!$E26:$Z26,MIN(AA$6-$E$3,22))&lt;&gt;""),Sorgo!$E26:INDEX(Sorgo!$E26:$Z26,MIN(AA$6-$E$3,22))),0))-IF($G$2,0,IF((AA$6-$G$3)&lt;1,0,IFERROR(LOOKUP(2,1/(Sorgo!$E26:INDEX(Sorgo!$E26:$Z26,MIN(AA$6-$G$3,22))&lt;&gt;""),Sorgo!$E26:INDEX(Sorgo!$E26:$Z26,MIN(AA$6-$G$3,22))),0)))))</f>
        <v>0</v>
      </c>
      <c r="AB28" s="27" t="n">
        <f aca="false">IF(COUNT(Sorgo!$E26:$Z26)=0,0,MAX(0,IF((AB$6-$E$3)&lt;1,0,IFERROR(LOOKUP(2,1/(Sorgo!$E26:INDEX(Sorgo!$E26:$Z26,MIN(AB$6-$E$3,22))&lt;&gt;""),Sorgo!$E26:INDEX(Sorgo!$E26:$Z26,MIN(AB$6-$E$3,22))),0))-IF($G$2,0,IF((AB$6-$G$3)&lt;1,0,IFERROR(LOOKUP(2,1/(Sorgo!$E26:INDEX(Sorgo!$E26:$Z26,MIN(AB$6-$G$3,22))&lt;&gt;""),Sorgo!$E26:INDEX(Sorgo!$E26:$Z26,MIN(AB$6-$G$3,22))),0)))))</f>
        <v>0</v>
      </c>
      <c r="AC28" s="27" t="n">
        <f aca="false">IF(COUNT(Sorgo!$E26:$Z26)=0,0,MAX(0,IF((AC$6-$E$3)&lt;1,0,IFERROR(LOOKUP(2,1/(Sorgo!$E26:INDEX(Sorgo!$E26:$Z26,MIN(AC$6-$E$3,22))&lt;&gt;""),Sorgo!$E26:INDEX(Sorgo!$E26:$Z26,MIN(AC$6-$E$3,22))),0))-IF($G$2,0,IF((AC$6-$G$3)&lt;1,0,IFERROR(LOOKUP(2,1/(Sorgo!$E26:INDEX(Sorgo!$E26:$Z26,MIN(AC$6-$G$3,22))&lt;&gt;""),Sorgo!$E26:INDEX(Sorgo!$E26:$Z26,MIN(AC$6-$G$3,22))),0)))))</f>
        <v>0</v>
      </c>
      <c r="AD28" s="27" t="n">
        <f aca="false">IF(COUNT(Sorgo!$E26:$Z26)=0,0,MAX(0,IF((AD$6-$E$3)&lt;1,0,IFERROR(LOOKUP(2,1/(Sorgo!$E26:INDEX(Sorgo!$E26:$Z26,MIN(AD$6-$E$3,22))&lt;&gt;""),Sorgo!$E26:INDEX(Sorgo!$E26:$Z26,MIN(AD$6-$E$3,22))),0))-IF($G$2,0,IF((AD$6-$G$3)&lt;1,0,IFERROR(LOOKUP(2,1/(Sorgo!$E26:INDEX(Sorgo!$E26:$Z26,MIN(AD$6-$G$3,22))&lt;&gt;""),Sorgo!$E26:INDEX(Sorgo!$E26:$Z26,MIN(AD$6-$G$3,22))),0)))))</f>
        <v>0</v>
      </c>
      <c r="AE28" s="27" t="n">
        <f aca="false">IF(COUNT(Sorgo!$E26:$Z26)=0,0,MAX(0,IF((AE$6-$E$3)&lt;1,0,IFERROR(LOOKUP(2,1/(Sorgo!$E26:INDEX(Sorgo!$E26:$Z26,MIN(AE$6-$E$3,22))&lt;&gt;""),Sorgo!$E26:INDEX(Sorgo!$E26:$Z26,MIN(AE$6-$E$3,22))),0))-IF($G$2,0,IF((AE$6-$G$3)&lt;1,0,IFERROR(LOOKUP(2,1/(Sorgo!$E26:INDEX(Sorgo!$E26:$Z26,MIN(AE$6-$G$3,22))&lt;&gt;""),Sorgo!$E26:INDEX(Sorgo!$E26:$Z26,MIN(AE$6-$G$3,22))),0)))))</f>
        <v>0</v>
      </c>
      <c r="AF28" s="27" t="n">
        <f aca="false">IF(COUNT(Sorgo!$E26:$Z26)=0,0,MAX(0,IF((AF$6-$E$3)&lt;1,0,IFERROR(LOOKUP(2,1/(Sorgo!$E26:INDEX(Sorgo!$E26:$Z26,MIN(AF$6-$E$3,22))&lt;&gt;""),Sorgo!$E26:INDEX(Sorgo!$E26:$Z26,MIN(AF$6-$E$3,22))),0))-IF($G$2,0,IF((AF$6-$G$3)&lt;1,0,IFERROR(LOOKUP(2,1/(Sorgo!$E26:INDEX(Sorgo!$E26:$Z26,MIN(AF$6-$G$3,22))&lt;&gt;""),Sorgo!$E26:INDEX(Sorgo!$E26:$Z26,MIN(AF$6-$G$3,22))),0)))))</f>
        <v>0</v>
      </c>
      <c r="AG28" s="27" t="n">
        <f aca="false">IF(COUNT(Sorgo!$E26:$Z26)=0,0,MAX(0,IF((AG$6-$E$3)&lt;1,0,IFERROR(LOOKUP(2,1/(Sorgo!$E26:INDEX(Sorgo!$E26:$Z26,MIN(AG$6-$E$3,22))&lt;&gt;""),Sorgo!$E26:INDEX(Sorgo!$E26:$Z26,MIN(AG$6-$E$3,22))),0))-IF($G$2,0,IF((AG$6-$G$3)&lt;1,0,IFERROR(LOOKUP(2,1/(Sorgo!$E26:INDEX(Sorgo!$E26:$Z26,MIN(AG$6-$G$3,22))&lt;&gt;""),Sorgo!$E26:INDEX(Sorgo!$E26:$Z26,MIN(AG$6-$G$3,22))),0)))))</f>
        <v>0</v>
      </c>
      <c r="AH28" s="27" t="n">
        <f aca="false">IF(COUNT(Sorgo!$E26:$Z26)=0,0,MAX(0,IF((AH$6-$E$3)&lt;1,0,IFERROR(LOOKUP(2,1/(Sorgo!$E26:INDEX(Sorgo!$E26:$Z26,MIN(AH$6-$E$3,22))&lt;&gt;""),Sorgo!$E26:INDEX(Sorgo!$E26:$Z26,MIN(AH$6-$E$3,22))),0))-IF($G$2,0,IF((AH$6-$G$3)&lt;1,0,IFERROR(LOOKUP(2,1/(Sorgo!$E26:INDEX(Sorgo!$E26:$Z26,MIN(AH$6-$G$3,22))&lt;&gt;""),Sorgo!$E26:INDEX(Sorgo!$E26:$Z26,MIN(AH$6-$G$3,22))),0)))))</f>
        <v>0</v>
      </c>
      <c r="AI28" s="27" t="n">
        <f aca="false">IF(COUNT(Sorgo!$E26:$Z26)=0,0,MAX(0,IF((AI$6-$E$3)&lt;1,0,IFERROR(LOOKUP(2,1/(Sorgo!$E26:INDEX(Sorgo!$E26:$Z26,MIN(AI$6-$E$3,22))&lt;&gt;""),Sorgo!$E26:INDEX(Sorgo!$E26:$Z26,MIN(AI$6-$E$3,22))),0))-IF($G$2,0,IF((AI$6-$G$3)&lt;1,0,IFERROR(LOOKUP(2,1/(Sorgo!$E26:INDEX(Sorgo!$E26:$Z26,MIN(AI$6-$G$3,22))&lt;&gt;""),Sorgo!$E26:INDEX(Sorgo!$E26:$Z26,MIN(AI$6-$G$3,22))),0)))))</f>
        <v>0</v>
      </c>
      <c r="AJ28" s="27" t="n">
        <f aca="false">IF(COUNT(Sorgo!$E26:$Z26)=0,0,MAX(0,IF((AJ$6-$E$3)&lt;1,0,IFERROR(LOOKUP(2,1/(Sorgo!$E26:INDEX(Sorgo!$E26:$Z26,MIN(AJ$6-$E$3,22))&lt;&gt;""),Sorgo!$E26:INDEX(Sorgo!$E26:$Z26,MIN(AJ$6-$E$3,22))),0))-IF($G$2,0,IF((AJ$6-$G$3)&lt;1,0,IFERROR(LOOKUP(2,1/(Sorgo!$E26:INDEX(Sorgo!$E26:$Z26,MIN(AJ$6-$G$3,22))&lt;&gt;""),Sorgo!$E26:INDEX(Sorgo!$E26:$Z26,MIN(AJ$6-$G$3,22))),0)))))</f>
        <v>0</v>
      </c>
      <c r="AK28" s="27" t="n">
        <f aca="false">IF(COUNT(Sorgo!$E26:$Z26)=0,0,MAX(0,IF((AK$6-$E$3)&lt;1,0,IFERROR(LOOKUP(2,1/(Sorgo!$E26:INDEX(Sorgo!$E26:$Z26,MIN(AK$6-$E$3,22))&lt;&gt;""),Sorgo!$E26:INDEX(Sorgo!$E26:$Z26,MIN(AK$6-$E$3,22))),0))-IF($G$2,0,IF((AK$6-$G$3)&lt;1,0,IFERROR(LOOKUP(2,1/(Sorgo!$E26:INDEX(Sorgo!$E26:$Z26,MIN(AK$6-$G$3,22))&lt;&gt;""),Sorgo!$E26:INDEX(Sorgo!$E26:$Z26,MIN(AK$6-$G$3,22))),0)))))</f>
        <v>0</v>
      </c>
      <c r="AL28" s="27" t="n">
        <f aca="false">IF(COUNT(Sorgo!$E26:$Z26)=0,0,MAX(0,IF((AL$6-$E$3)&lt;1,0,IFERROR(LOOKUP(2,1/(Sorgo!$E26:INDEX(Sorgo!$E26:$Z26,MIN(AL$6-$E$3,22))&lt;&gt;""),Sorgo!$E26:INDEX(Sorgo!$E26:$Z26,MIN(AL$6-$E$3,22))),0))-IF($G$2,0,IF((AL$6-$G$3)&lt;1,0,IFERROR(LOOKUP(2,1/(Sorgo!$E26:INDEX(Sorgo!$E26:$Z26,MIN(AL$6-$G$3,22))&lt;&gt;""),Sorgo!$E26:INDEX(Sorgo!$E26:$Z26,MIN(AL$6-$G$3,22))),0)))))</f>
        <v>0</v>
      </c>
      <c r="AM28" s="27" t="n">
        <f aca="false">IF(COUNT(Sorgo!$E26:$Z26)=0,0,MAX(0,IF((AM$6-$E$3)&lt;1,0,IFERROR(LOOKUP(2,1/(Sorgo!$E26:INDEX(Sorgo!$E26:$Z26,MIN(AM$6-$E$3,22))&lt;&gt;""),Sorgo!$E26:INDEX(Sorgo!$E26:$Z26,MIN(AM$6-$E$3,22))),0))-IF($G$2,0,IF((AM$6-$G$3)&lt;1,0,IFERROR(LOOKUP(2,1/(Sorgo!$E26:INDEX(Sorgo!$E26:$Z26,MIN(AM$6-$G$3,22))&lt;&gt;""),Sorgo!$E26:INDEX(Sorgo!$E26:$Z26,MIN(AM$6-$G$3,22))),0)))))</f>
        <v>0</v>
      </c>
      <c r="AN28" s="27" t="n">
        <f aca="false">IF(COUNT(Sorgo!$E26:$Z26)=0,0,MAX(0,IF((AN$6-$E$3)&lt;1,0,IFERROR(LOOKUP(2,1/(Sorgo!$E26:INDEX(Sorgo!$E26:$Z26,MIN(AN$6-$E$3,22))&lt;&gt;""),Sorgo!$E26:INDEX(Sorgo!$E26:$Z26,MIN(AN$6-$E$3,22))),0))-IF($G$2,0,IF((AN$6-$G$3)&lt;1,0,IFERROR(LOOKUP(2,1/(Sorgo!$E26:INDEX(Sorgo!$E26:$Z26,MIN(AN$6-$G$3,22))&lt;&gt;""),Sorgo!$E26:INDEX(Sorgo!$E26:$Z26,MIN(AN$6-$G$3,22))),0)))))</f>
        <v>0</v>
      </c>
      <c r="AO28" s="27" t="n">
        <f aca="false">IF(COUNT(Sorgo!$E26:$Z26)=0,0,MAX(0,IF((AO$6-$E$3)&lt;1,0,IFERROR(LOOKUP(2,1/(Sorgo!$E26:INDEX(Sorgo!$E26:$Z26,MIN(AO$6-$E$3,22))&lt;&gt;""),Sorgo!$E26:INDEX(Sorgo!$E26:$Z26,MIN(AO$6-$E$3,22))),0))-IF($G$2,0,IF((AO$6-$G$3)&lt;1,0,IFERROR(LOOKUP(2,1/(Sorgo!$E26:INDEX(Sorgo!$E26:$Z26,MIN(AO$6-$G$3,22))&lt;&gt;""),Sorgo!$E26:INDEX(Sorgo!$E26:$Z26,MIN(AO$6-$G$3,22))),0)))))</f>
        <v>0</v>
      </c>
      <c r="AP28" s="27" t="n">
        <f aca="false">IF(COUNT(Sorgo!$E26:$Z26)=0,0,MAX(0,IF((AP$6-$E$3)&lt;1,0,IFERROR(LOOKUP(2,1/(Sorgo!$E26:INDEX(Sorgo!$E26:$Z26,MIN(AP$6-$E$3,22))&lt;&gt;""),Sorgo!$E26:INDEX(Sorgo!$E26:$Z26,MIN(AP$6-$E$3,22))),0))-IF($G$2,0,IF((AP$6-$G$3)&lt;1,0,IFERROR(LOOKUP(2,1/(Sorgo!$E26:INDEX(Sorgo!$E26:$Z26,MIN(AP$6-$G$3,22))&lt;&gt;""),Sorgo!$E26:INDEX(Sorgo!$E26:$Z26,MIN(AP$6-$G$3,22))),0)))))</f>
        <v>0</v>
      </c>
      <c r="AQ28" s="27" t="n">
        <f aca="false">IF(COUNT(Sorgo!$E26:$Z26)=0,0,MAX(0,IF((AQ$6-$E$3)&lt;1,0,IFERROR(LOOKUP(2,1/(Sorgo!$E26:INDEX(Sorgo!$E26:$Z26,MIN(AQ$6-$E$3,22))&lt;&gt;""),Sorgo!$E26:INDEX(Sorgo!$E26:$Z26,MIN(AQ$6-$E$3,22))),0))-IF($G$2,0,IF((AQ$6-$G$3)&lt;1,0,IFERROR(LOOKUP(2,1/(Sorgo!$E26:INDEX(Sorgo!$E26:$Z26,MIN(AQ$6-$G$3,22))&lt;&gt;""),Sorgo!$E26:INDEX(Sorgo!$E26:$Z26,MIN(AQ$6-$G$3,22))),0)))))</f>
        <v>0</v>
      </c>
      <c r="AR28" s="27" t="n">
        <f aca="false">IF(COUNT(Sorgo!$E26:$Z26)=0,0,MAX(0,IF((AR$6-$E$3)&lt;1,0,IFERROR(LOOKUP(2,1/(Sorgo!$E26:INDEX(Sorgo!$E26:$Z26,MIN(AR$6-$E$3,22))&lt;&gt;""),Sorgo!$E26:INDEX(Sorgo!$E26:$Z26,MIN(AR$6-$E$3,22))),0))-IF($G$2,0,IF((AR$6-$G$3)&lt;1,0,IFERROR(LOOKUP(2,1/(Sorgo!$E26:INDEX(Sorgo!$E26:$Z26,MIN(AR$6-$G$3,22))&lt;&gt;""),Sorgo!$E26:INDEX(Sorgo!$E26:$Z26,MIN(AR$6-$G$3,22))),0)))))</f>
        <v>0</v>
      </c>
      <c r="AS28" s="27" t="n">
        <f aca="false">IF(COUNT(Sorgo!$E26:$Z26)=0,0,MAX(0,IF((AS$6-$E$3)&lt;1,0,IFERROR(LOOKUP(2,1/(Sorgo!$E26:INDEX(Sorgo!$E26:$Z26,MIN(AS$6-$E$3,22))&lt;&gt;""),Sorgo!$E26:INDEX(Sorgo!$E26:$Z26,MIN(AS$6-$E$3,22))),0))-IF($G$2,0,IF((AS$6-$G$3)&lt;1,0,IFERROR(LOOKUP(2,1/(Sorgo!$E26:INDEX(Sorgo!$E26:$Z26,MIN(AS$6-$G$3,22))&lt;&gt;""),Sorgo!$E26:INDEX(Sorgo!$E26:$Z26,MIN(AS$6-$G$3,22))),0)))))</f>
        <v>0</v>
      </c>
      <c r="AT28" s="27" t="n">
        <f aca="false">IF(COUNT(Sorgo!$E26:$Z26)=0,0,MAX(0,IF((AT$6-$E$3)&lt;1,0,IFERROR(LOOKUP(2,1/(Sorgo!$E26:INDEX(Sorgo!$E26:$Z26,MIN(AT$6-$E$3,22))&lt;&gt;""),Sorgo!$E26:INDEX(Sorgo!$E26:$Z26,MIN(AT$6-$E$3,22))),0))-IF($G$2,0,IF((AT$6-$G$3)&lt;1,0,IFERROR(LOOKUP(2,1/(Sorgo!$E26:INDEX(Sorgo!$E26:$Z26,MIN(AT$6-$G$3,22))&lt;&gt;""),Sorgo!$E26:INDEX(Sorgo!$E26:$Z26,MIN(AT$6-$G$3,22))),0)))))</f>
        <v>0</v>
      </c>
      <c r="AU28" s="27" t="n">
        <f aca="false">IF(COUNT(Sorgo!$E26:$Z26)=0,0,MAX(0,IF((AU$6-$E$3)&lt;1,0,IFERROR(LOOKUP(2,1/(Sorgo!$E26:INDEX(Sorgo!$E26:$Z26,MIN(AU$6-$E$3,22))&lt;&gt;""),Sorgo!$E26:INDEX(Sorgo!$E26:$Z26,MIN(AU$6-$E$3,22))),0))-IF($G$2,0,IF((AU$6-$G$3)&lt;1,0,IFERROR(LOOKUP(2,1/(Sorgo!$E26:INDEX(Sorgo!$E26:$Z26,MIN(AU$6-$G$3,22))&lt;&gt;""),Sorgo!$E26:INDEX(Sorgo!$E26:$Z26,MIN(AU$6-$G$3,22))),0)))))</f>
        <v>0</v>
      </c>
      <c r="AV28" s="27" t="n">
        <f aca="false">IF(COUNT(Sorgo!$E26:$Z26)=0,0,MAX(0,IF((AV$6-$E$3)&lt;1,0,IFERROR(LOOKUP(2,1/(Sorgo!$E26:INDEX(Sorgo!$E26:$Z26,MIN(AV$6-$E$3,22))&lt;&gt;""),Sorgo!$E26:INDEX(Sorgo!$E26:$Z26,MIN(AV$6-$E$3,22))),0))-IF($G$2,0,IF((AV$6-$G$3)&lt;1,0,IFERROR(LOOKUP(2,1/(Sorgo!$E26:INDEX(Sorgo!$E26:$Z26,MIN(AV$6-$G$3,22))&lt;&gt;""),Sorgo!$E26:INDEX(Sorgo!$E26:$Z26,MIN(AV$6-$G$3,22))),0)))))</f>
        <v>0</v>
      </c>
      <c r="AW28" s="27" t="n">
        <f aca="false">IF(COUNT(Sorgo!$E26:$Z26)=0,0,MAX(0,IF((AW$6-$E$3)&lt;1,0,IFERROR(LOOKUP(2,1/(Sorgo!$E26:INDEX(Sorgo!$E26:$Z26,MIN(AW$6-$E$3,22))&lt;&gt;""),Sorgo!$E26:INDEX(Sorgo!$E26:$Z26,MIN(AW$6-$E$3,22))),0))-IF($G$2,0,IF((AW$6-$G$3)&lt;1,0,IFERROR(LOOKUP(2,1/(Sorgo!$E26:INDEX(Sorgo!$E26:$Z26,MIN(AW$6-$G$3,22))&lt;&gt;""),Sorgo!$E26:INDEX(Sorgo!$E26:$Z26,MIN(AW$6-$G$3,22))),0)))))</f>
        <v>0</v>
      </c>
      <c r="AX28" s="27" t="n">
        <f aca="false">IF(COUNT(Sorgo!$E26:$Z26)=0,0,MAX(0,IF((AX$6-$E$3)&lt;1,0,IFERROR(LOOKUP(2,1/(Sorgo!$E26:INDEX(Sorgo!$E26:$Z26,MIN(AX$6-$E$3,22))&lt;&gt;""),Sorgo!$E26:INDEX(Sorgo!$E26:$Z26,MIN(AX$6-$E$3,22))),0))-IF($G$2,0,IF((AX$6-$G$3)&lt;1,0,IFERROR(LOOKUP(2,1/(Sorgo!$E26:INDEX(Sorgo!$E26:$Z26,MIN(AX$6-$G$3,22))&lt;&gt;""),Sorgo!$E26:INDEX(Sorgo!$E26:$Z26,MIN(AX$6-$G$3,22))),0)))))</f>
        <v>0</v>
      </c>
      <c r="AY28" s="27" t="n">
        <f aca="false">IF(COUNT(Sorgo!$E26:$Z26)=0,0,MAX(0,IF((AY$6-$E$3)&lt;1,0,IFERROR(LOOKUP(2,1/(Sorgo!$E26:INDEX(Sorgo!$E26:$Z26,MIN(AY$6-$E$3,22))&lt;&gt;""),Sorgo!$E26:INDEX(Sorgo!$E26:$Z26,MIN(AY$6-$E$3,22))),0))-IF($G$2,0,IF((AY$6-$G$3)&lt;1,0,IFERROR(LOOKUP(2,1/(Sorgo!$E26:INDEX(Sorgo!$E26:$Z26,MIN(AY$6-$G$3,22))&lt;&gt;""),Sorgo!$E26:INDEX(Sorgo!$E26:$Z26,MIN(AY$6-$G$3,22))),0)))))</f>
        <v>0</v>
      </c>
      <c r="AZ28" s="27" t="n">
        <f aca="false">IF(COUNT(Sorgo!$E26:$Z26)=0,0,MAX(0,IF((AZ$6-$E$3)&lt;1,0,IFERROR(LOOKUP(2,1/(Sorgo!$E26:INDEX(Sorgo!$E26:$Z26,MIN(AZ$6-$E$3,22))&lt;&gt;""),Sorgo!$E26:INDEX(Sorgo!$E26:$Z26,MIN(AZ$6-$E$3,22))),0))-IF($G$2,0,IF((AZ$6-$G$3)&lt;1,0,IFERROR(LOOKUP(2,1/(Sorgo!$E26:INDEX(Sorgo!$E26:$Z26,MIN(AZ$6-$G$3,22))&lt;&gt;""),Sorgo!$E26:INDEX(Sorgo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IF(COUNT(Sorgo!$E27:$Z27)&gt;0,N(Sorgo!$D27),0)</f>
        <v>0</v>
      </c>
      <c r="E29" s="27" t="n">
        <f aca="false">IF(COUNT(Sorgo!$E27:$Z27)=0,0,MAX(0,IF((E$6-$E$3)&lt;1,0,IFERROR(LOOKUP(2,1/(Sorgo!$E27:INDEX(Sorgo!$E27:$Z27,MIN(E$6-$E$3,22))&lt;&gt;""),Sorgo!$E27:INDEX(Sorgo!$E27:$Z27,MIN(E$6-$E$3,22))),0))-IF($G$2,0,IF((E$6-$G$3)&lt;1,0,IFERROR(LOOKUP(2,1/(Sorgo!$E27:INDEX(Sorgo!$E27:$Z27,MIN(E$6-$G$3,22))&lt;&gt;""),Sorgo!$E27:INDEX(Sorgo!$E27:$Z27,MIN(E$6-$G$3,22))),0)))))</f>
        <v>0</v>
      </c>
      <c r="F29" s="27" t="n">
        <f aca="false">IF(COUNT(Sorgo!$E27:$Z27)=0,0,MAX(0,IF((F$6-$E$3)&lt;1,0,IFERROR(LOOKUP(2,1/(Sorgo!$E27:INDEX(Sorgo!$E27:$Z27,MIN(F$6-$E$3,22))&lt;&gt;""),Sorgo!$E27:INDEX(Sorgo!$E27:$Z27,MIN(F$6-$E$3,22))),0))-IF($G$2,0,IF((F$6-$G$3)&lt;1,0,IFERROR(LOOKUP(2,1/(Sorgo!$E27:INDEX(Sorgo!$E27:$Z27,MIN(F$6-$G$3,22))&lt;&gt;""),Sorgo!$E27:INDEX(Sorgo!$E27:$Z27,MIN(F$6-$G$3,22))),0)))))</f>
        <v>0</v>
      </c>
      <c r="G29" s="27" t="n">
        <f aca="false">IF(COUNT(Sorgo!$E27:$Z27)=0,0,MAX(0,IF((G$6-$E$3)&lt;1,0,IFERROR(LOOKUP(2,1/(Sorgo!$E27:INDEX(Sorgo!$E27:$Z27,MIN(G$6-$E$3,22))&lt;&gt;""),Sorgo!$E27:INDEX(Sorgo!$E27:$Z27,MIN(G$6-$E$3,22))),0))-IF($G$2,0,IF((G$6-$G$3)&lt;1,0,IFERROR(LOOKUP(2,1/(Sorgo!$E27:INDEX(Sorgo!$E27:$Z27,MIN(G$6-$G$3,22))&lt;&gt;""),Sorgo!$E27:INDEX(Sorgo!$E27:$Z27,MIN(G$6-$G$3,22))),0)))))</f>
        <v>0</v>
      </c>
      <c r="H29" s="27" t="n">
        <f aca="false">IF(COUNT(Sorgo!$E27:$Z27)=0,0,MAX(0,IF((H$6-$E$3)&lt;1,0,IFERROR(LOOKUP(2,1/(Sorgo!$E27:INDEX(Sorgo!$E27:$Z27,MIN(H$6-$E$3,22))&lt;&gt;""),Sorgo!$E27:INDEX(Sorgo!$E27:$Z27,MIN(H$6-$E$3,22))),0))-IF($G$2,0,IF((H$6-$G$3)&lt;1,0,IFERROR(LOOKUP(2,1/(Sorgo!$E27:INDEX(Sorgo!$E27:$Z27,MIN(H$6-$G$3,22))&lt;&gt;""),Sorgo!$E27:INDEX(Sorgo!$E27:$Z27,MIN(H$6-$G$3,22))),0)))))</f>
        <v>0</v>
      </c>
      <c r="I29" s="27" t="n">
        <f aca="false">IF(COUNT(Sorgo!$E27:$Z27)=0,0,MAX(0,IF((I$6-$E$3)&lt;1,0,IFERROR(LOOKUP(2,1/(Sorgo!$E27:INDEX(Sorgo!$E27:$Z27,MIN(I$6-$E$3,22))&lt;&gt;""),Sorgo!$E27:INDEX(Sorgo!$E27:$Z27,MIN(I$6-$E$3,22))),0))-IF($G$2,0,IF((I$6-$G$3)&lt;1,0,IFERROR(LOOKUP(2,1/(Sorgo!$E27:INDEX(Sorgo!$E27:$Z27,MIN(I$6-$G$3,22))&lt;&gt;""),Sorgo!$E27:INDEX(Sorgo!$E27:$Z27,MIN(I$6-$G$3,22))),0)))))</f>
        <v>0</v>
      </c>
      <c r="J29" s="27" t="n">
        <f aca="false">IF(COUNT(Sorgo!$E27:$Z27)=0,0,MAX(0,IF((J$6-$E$3)&lt;1,0,IFERROR(LOOKUP(2,1/(Sorgo!$E27:INDEX(Sorgo!$E27:$Z27,MIN(J$6-$E$3,22))&lt;&gt;""),Sorgo!$E27:INDEX(Sorgo!$E27:$Z27,MIN(J$6-$E$3,22))),0))-IF($G$2,0,IF((J$6-$G$3)&lt;1,0,IFERROR(LOOKUP(2,1/(Sorgo!$E27:INDEX(Sorgo!$E27:$Z27,MIN(J$6-$G$3,22))&lt;&gt;""),Sorgo!$E27:INDEX(Sorgo!$E27:$Z27,MIN(J$6-$G$3,22))),0)))))</f>
        <v>0</v>
      </c>
      <c r="K29" s="27" t="n">
        <f aca="false">IF(COUNT(Sorgo!$E27:$Z27)=0,0,MAX(0,IF((K$6-$E$3)&lt;1,0,IFERROR(LOOKUP(2,1/(Sorgo!$E27:INDEX(Sorgo!$E27:$Z27,MIN(K$6-$E$3,22))&lt;&gt;""),Sorgo!$E27:INDEX(Sorgo!$E27:$Z27,MIN(K$6-$E$3,22))),0))-IF($G$2,0,IF((K$6-$G$3)&lt;1,0,IFERROR(LOOKUP(2,1/(Sorgo!$E27:INDEX(Sorgo!$E27:$Z27,MIN(K$6-$G$3,22))&lt;&gt;""),Sorgo!$E27:INDEX(Sorgo!$E27:$Z27,MIN(K$6-$G$3,22))),0)))))</f>
        <v>0</v>
      </c>
      <c r="L29" s="27" t="n">
        <f aca="false">IF(COUNT(Sorgo!$E27:$Z27)=0,0,MAX(0,IF((L$6-$E$3)&lt;1,0,IFERROR(LOOKUP(2,1/(Sorgo!$E27:INDEX(Sorgo!$E27:$Z27,MIN(L$6-$E$3,22))&lt;&gt;""),Sorgo!$E27:INDEX(Sorgo!$E27:$Z27,MIN(L$6-$E$3,22))),0))-IF($G$2,0,IF((L$6-$G$3)&lt;1,0,IFERROR(LOOKUP(2,1/(Sorgo!$E27:INDEX(Sorgo!$E27:$Z27,MIN(L$6-$G$3,22))&lt;&gt;""),Sorgo!$E27:INDEX(Sorgo!$E27:$Z27,MIN(L$6-$G$3,22))),0)))))</f>
        <v>0</v>
      </c>
      <c r="M29" s="27" t="n">
        <f aca="false">IF(COUNT(Sorgo!$E27:$Z27)=0,0,MAX(0,IF((M$6-$E$3)&lt;1,0,IFERROR(LOOKUP(2,1/(Sorgo!$E27:INDEX(Sorgo!$E27:$Z27,MIN(M$6-$E$3,22))&lt;&gt;""),Sorgo!$E27:INDEX(Sorgo!$E27:$Z27,MIN(M$6-$E$3,22))),0))-IF($G$2,0,IF((M$6-$G$3)&lt;1,0,IFERROR(LOOKUP(2,1/(Sorgo!$E27:INDEX(Sorgo!$E27:$Z27,MIN(M$6-$G$3,22))&lt;&gt;""),Sorgo!$E27:INDEX(Sorgo!$E27:$Z27,MIN(M$6-$G$3,22))),0)))))</f>
        <v>0</v>
      </c>
      <c r="N29" s="27" t="n">
        <f aca="false">IF(COUNT(Sorgo!$E27:$Z27)=0,0,MAX(0,IF((N$6-$E$3)&lt;1,0,IFERROR(LOOKUP(2,1/(Sorgo!$E27:INDEX(Sorgo!$E27:$Z27,MIN(N$6-$E$3,22))&lt;&gt;""),Sorgo!$E27:INDEX(Sorgo!$E27:$Z27,MIN(N$6-$E$3,22))),0))-IF($G$2,0,IF((N$6-$G$3)&lt;1,0,IFERROR(LOOKUP(2,1/(Sorgo!$E27:INDEX(Sorgo!$E27:$Z27,MIN(N$6-$G$3,22))&lt;&gt;""),Sorgo!$E27:INDEX(Sorgo!$E27:$Z27,MIN(N$6-$G$3,22))),0)))))</f>
        <v>0</v>
      </c>
      <c r="O29" s="27" t="n">
        <f aca="false">IF(COUNT(Sorgo!$E27:$Z27)=0,0,MAX(0,IF((O$6-$E$3)&lt;1,0,IFERROR(LOOKUP(2,1/(Sorgo!$E27:INDEX(Sorgo!$E27:$Z27,MIN(O$6-$E$3,22))&lt;&gt;""),Sorgo!$E27:INDEX(Sorgo!$E27:$Z27,MIN(O$6-$E$3,22))),0))-IF($G$2,0,IF((O$6-$G$3)&lt;1,0,IFERROR(LOOKUP(2,1/(Sorgo!$E27:INDEX(Sorgo!$E27:$Z27,MIN(O$6-$G$3,22))&lt;&gt;""),Sorgo!$E27:INDEX(Sorgo!$E27:$Z27,MIN(O$6-$G$3,22))),0)))))</f>
        <v>0</v>
      </c>
      <c r="P29" s="27" t="n">
        <f aca="false">IF(COUNT(Sorgo!$E27:$Z27)=0,0,MAX(0,IF((P$6-$E$3)&lt;1,0,IFERROR(LOOKUP(2,1/(Sorgo!$E27:INDEX(Sorgo!$E27:$Z27,MIN(P$6-$E$3,22))&lt;&gt;""),Sorgo!$E27:INDEX(Sorgo!$E27:$Z27,MIN(P$6-$E$3,22))),0))-IF($G$2,0,IF((P$6-$G$3)&lt;1,0,IFERROR(LOOKUP(2,1/(Sorgo!$E27:INDEX(Sorgo!$E27:$Z27,MIN(P$6-$G$3,22))&lt;&gt;""),Sorgo!$E27:INDEX(Sorgo!$E27:$Z27,MIN(P$6-$G$3,22))),0)))))</f>
        <v>0</v>
      </c>
      <c r="Q29" s="27" t="n">
        <f aca="false">IF(COUNT(Sorgo!$E27:$Z27)=0,0,MAX(0,IF((Q$6-$E$3)&lt;1,0,IFERROR(LOOKUP(2,1/(Sorgo!$E27:INDEX(Sorgo!$E27:$Z27,MIN(Q$6-$E$3,22))&lt;&gt;""),Sorgo!$E27:INDEX(Sorgo!$E27:$Z27,MIN(Q$6-$E$3,22))),0))-IF($G$2,0,IF((Q$6-$G$3)&lt;1,0,IFERROR(LOOKUP(2,1/(Sorgo!$E27:INDEX(Sorgo!$E27:$Z27,MIN(Q$6-$G$3,22))&lt;&gt;""),Sorgo!$E27:INDEX(Sorgo!$E27:$Z27,MIN(Q$6-$G$3,22))),0)))))</f>
        <v>0</v>
      </c>
      <c r="R29" s="27" t="n">
        <f aca="false">IF(COUNT(Sorgo!$E27:$Z27)=0,0,MAX(0,IF((R$6-$E$3)&lt;1,0,IFERROR(LOOKUP(2,1/(Sorgo!$E27:INDEX(Sorgo!$E27:$Z27,MIN(R$6-$E$3,22))&lt;&gt;""),Sorgo!$E27:INDEX(Sorgo!$E27:$Z27,MIN(R$6-$E$3,22))),0))-IF($G$2,0,IF((R$6-$G$3)&lt;1,0,IFERROR(LOOKUP(2,1/(Sorgo!$E27:INDEX(Sorgo!$E27:$Z27,MIN(R$6-$G$3,22))&lt;&gt;""),Sorgo!$E27:INDEX(Sorgo!$E27:$Z27,MIN(R$6-$G$3,22))),0)))))</f>
        <v>0</v>
      </c>
      <c r="S29" s="27" t="n">
        <f aca="false">IF(COUNT(Sorgo!$E27:$Z27)=0,0,MAX(0,IF((S$6-$E$3)&lt;1,0,IFERROR(LOOKUP(2,1/(Sorgo!$E27:INDEX(Sorgo!$E27:$Z27,MIN(S$6-$E$3,22))&lt;&gt;""),Sorgo!$E27:INDEX(Sorgo!$E27:$Z27,MIN(S$6-$E$3,22))),0))-IF($G$2,0,IF((S$6-$G$3)&lt;1,0,IFERROR(LOOKUP(2,1/(Sorgo!$E27:INDEX(Sorgo!$E27:$Z27,MIN(S$6-$G$3,22))&lt;&gt;""),Sorgo!$E27:INDEX(Sorgo!$E27:$Z27,MIN(S$6-$G$3,22))),0)))))</f>
        <v>0</v>
      </c>
      <c r="T29" s="27" t="n">
        <f aca="false">IF(COUNT(Sorgo!$E27:$Z27)=0,0,MAX(0,IF((T$6-$E$3)&lt;1,0,IFERROR(LOOKUP(2,1/(Sorgo!$E27:INDEX(Sorgo!$E27:$Z27,MIN(T$6-$E$3,22))&lt;&gt;""),Sorgo!$E27:INDEX(Sorgo!$E27:$Z27,MIN(T$6-$E$3,22))),0))-IF($G$2,0,IF((T$6-$G$3)&lt;1,0,IFERROR(LOOKUP(2,1/(Sorgo!$E27:INDEX(Sorgo!$E27:$Z27,MIN(T$6-$G$3,22))&lt;&gt;""),Sorgo!$E27:INDEX(Sorgo!$E27:$Z27,MIN(T$6-$G$3,22))),0)))))</f>
        <v>0</v>
      </c>
      <c r="U29" s="27" t="n">
        <f aca="false">IF(COUNT(Sorgo!$E27:$Z27)=0,0,MAX(0,IF((U$6-$E$3)&lt;1,0,IFERROR(LOOKUP(2,1/(Sorgo!$E27:INDEX(Sorgo!$E27:$Z27,MIN(U$6-$E$3,22))&lt;&gt;""),Sorgo!$E27:INDEX(Sorgo!$E27:$Z27,MIN(U$6-$E$3,22))),0))-IF($G$2,0,IF((U$6-$G$3)&lt;1,0,IFERROR(LOOKUP(2,1/(Sorgo!$E27:INDEX(Sorgo!$E27:$Z27,MIN(U$6-$G$3,22))&lt;&gt;""),Sorgo!$E27:INDEX(Sorgo!$E27:$Z27,MIN(U$6-$G$3,22))),0)))))</f>
        <v>0</v>
      </c>
      <c r="V29" s="27" t="n">
        <f aca="false">IF(COUNT(Sorgo!$E27:$Z27)=0,0,MAX(0,IF((V$6-$E$3)&lt;1,0,IFERROR(LOOKUP(2,1/(Sorgo!$E27:INDEX(Sorgo!$E27:$Z27,MIN(V$6-$E$3,22))&lt;&gt;""),Sorgo!$E27:INDEX(Sorgo!$E27:$Z27,MIN(V$6-$E$3,22))),0))-IF($G$2,0,IF((V$6-$G$3)&lt;1,0,IFERROR(LOOKUP(2,1/(Sorgo!$E27:INDEX(Sorgo!$E27:$Z27,MIN(V$6-$G$3,22))&lt;&gt;""),Sorgo!$E27:INDEX(Sorgo!$E27:$Z27,MIN(V$6-$G$3,22))),0)))))</f>
        <v>0</v>
      </c>
      <c r="W29" s="27" t="n">
        <f aca="false">IF(COUNT(Sorgo!$E27:$Z27)=0,0,MAX(0,IF((W$6-$E$3)&lt;1,0,IFERROR(LOOKUP(2,1/(Sorgo!$E27:INDEX(Sorgo!$E27:$Z27,MIN(W$6-$E$3,22))&lt;&gt;""),Sorgo!$E27:INDEX(Sorgo!$E27:$Z27,MIN(W$6-$E$3,22))),0))-IF($G$2,0,IF((W$6-$G$3)&lt;1,0,IFERROR(LOOKUP(2,1/(Sorgo!$E27:INDEX(Sorgo!$E27:$Z27,MIN(W$6-$G$3,22))&lt;&gt;""),Sorgo!$E27:INDEX(Sorgo!$E27:$Z27,MIN(W$6-$G$3,22))),0)))))</f>
        <v>0</v>
      </c>
      <c r="X29" s="27" t="n">
        <f aca="false">IF(COUNT(Sorgo!$E27:$Z27)=0,0,MAX(0,IF((X$6-$E$3)&lt;1,0,IFERROR(LOOKUP(2,1/(Sorgo!$E27:INDEX(Sorgo!$E27:$Z27,MIN(X$6-$E$3,22))&lt;&gt;""),Sorgo!$E27:INDEX(Sorgo!$E27:$Z27,MIN(X$6-$E$3,22))),0))-IF($G$2,0,IF((X$6-$G$3)&lt;1,0,IFERROR(LOOKUP(2,1/(Sorgo!$E27:INDEX(Sorgo!$E27:$Z27,MIN(X$6-$G$3,22))&lt;&gt;""),Sorgo!$E27:INDEX(Sorgo!$E27:$Z27,MIN(X$6-$G$3,22))),0)))))</f>
        <v>0</v>
      </c>
      <c r="Y29" s="27" t="n">
        <f aca="false">IF(COUNT(Sorgo!$E27:$Z27)=0,0,MAX(0,IF((Y$6-$E$3)&lt;1,0,IFERROR(LOOKUP(2,1/(Sorgo!$E27:INDEX(Sorgo!$E27:$Z27,MIN(Y$6-$E$3,22))&lt;&gt;""),Sorgo!$E27:INDEX(Sorgo!$E27:$Z27,MIN(Y$6-$E$3,22))),0))-IF($G$2,0,IF((Y$6-$G$3)&lt;1,0,IFERROR(LOOKUP(2,1/(Sorgo!$E27:INDEX(Sorgo!$E27:$Z27,MIN(Y$6-$G$3,22))&lt;&gt;""),Sorgo!$E27:INDEX(Sorgo!$E27:$Z27,MIN(Y$6-$G$3,22))),0)))))</f>
        <v>0</v>
      </c>
      <c r="Z29" s="27" t="n">
        <f aca="false">IF(COUNT(Sorgo!$E27:$Z27)=0,0,MAX(0,IF((Z$6-$E$3)&lt;1,0,IFERROR(LOOKUP(2,1/(Sorgo!$E27:INDEX(Sorgo!$E27:$Z27,MIN(Z$6-$E$3,22))&lt;&gt;""),Sorgo!$E27:INDEX(Sorgo!$E27:$Z27,MIN(Z$6-$E$3,22))),0))-IF($G$2,0,IF((Z$6-$G$3)&lt;1,0,IFERROR(LOOKUP(2,1/(Sorgo!$E27:INDEX(Sorgo!$E27:$Z27,MIN(Z$6-$G$3,22))&lt;&gt;""),Sorgo!$E27:INDEX(Sorgo!$E27:$Z27,MIN(Z$6-$G$3,22))),0)))))</f>
        <v>0</v>
      </c>
      <c r="AA29" s="27" t="n">
        <f aca="false">IF(COUNT(Sorgo!$E27:$Z27)=0,0,MAX(0,IF((AA$6-$E$3)&lt;1,0,IFERROR(LOOKUP(2,1/(Sorgo!$E27:INDEX(Sorgo!$E27:$Z27,MIN(AA$6-$E$3,22))&lt;&gt;""),Sorgo!$E27:INDEX(Sorgo!$E27:$Z27,MIN(AA$6-$E$3,22))),0))-IF($G$2,0,IF((AA$6-$G$3)&lt;1,0,IFERROR(LOOKUP(2,1/(Sorgo!$E27:INDEX(Sorgo!$E27:$Z27,MIN(AA$6-$G$3,22))&lt;&gt;""),Sorgo!$E27:INDEX(Sorgo!$E27:$Z27,MIN(AA$6-$G$3,22))),0)))))</f>
        <v>0</v>
      </c>
      <c r="AB29" s="27" t="n">
        <f aca="false">IF(COUNT(Sorgo!$E27:$Z27)=0,0,MAX(0,IF((AB$6-$E$3)&lt;1,0,IFERROR(LOOKUP(2,1/(Sorgo!$E27:INDEX(Sorgo!$E27:$Z27,MIN(AB$6-$E$3,22))&lt;&gt;""),Sorgo!$E27:INDEX(Sorgo!$E27:$Z27,MIN(AB$6-$E$3,22))),0))-IF($G$2,0,IF((AB$6-$G$3)&lt;1,0,IFERROR(LOOKUP(2,1/(Sorgo!$E27:INDEX(Sorgo!$E27:$Z27,MIN(AB$6-$G$3,22))&lt;&gt;""),Sorgo!$E27:INDEX(Sorgo!$E27:$Z27,MIN(AB$6-$G$3,22))),0)))))</f>
        <v>0</v>
      </c>
      <c r="AC29" s="27" t="n">
        <f aca="false">IF(COUNT(Sorgo!$E27:$Z27)=0,0,MAX(0,IF((AC$6-$E$3)&lt;1,0,IFERROR(LOOKUP(2,1/(Sorgo!$E27:INDEX(Sorgo!$E27:$Z27,MIN(AC$6-$E$3,22))&lt;&gt;""),Sorgo!$E27:INDEX(Sorgo!$E27:$Z27,MIN(AC$6-$E$3,22))),0))-IF($G$2,0,IF((AC$6-$G$3)&lt;1,0,IFERROR(LOOKUP(2,1/(Sorgo!$E27:INDEX(Sorgo!$E27:$Z27,MIN(AC$6-$G$3,22))&lt;&gt;""),Sorgo!$E27:INDEX(Sorgo!$E27:$Z27,MIN(AC$6-$G$3,22))),0)))))</f>
        <v>0</v>
      </c>
      <c r="AD29" s="27" t="n">
        <f aca="false">IF(COUNT(Sorgo!$E27:$Z27)=0,0,MAX(0,IF((AD$6-$E$3)&lt;1,0,IFERROR(LOOKUP(2,1/(Sorgo!$E27:INDEX(Sorgo!$E27:$Z27,MIN(AD$6-$E$3,22))&lt;&gt;""),Sorgo!$E27:INDEX(Sorgo!$E27:$Z27,MIN(AD$6-$E$3,22))),0))-IF($G$2,0,IF((AD$6-$G$3)&lt;1,0,IFERROR(LOOKUP(2,1/(Sorgo!$E27:INDEX(Sorgo!$E27:$Z27,MIN(AD$6-$G$3,22))&lt;&gt;""),Sorgo!$E27:INDEX(Sorgo!$E27:$Z27,MIN(AD$6-$G$3,22))),0)))))</f>
        <v>0</v>
      </c>
      <c r="AE29" s="27" t="n">
        <f aca="false">IF(COUNT(Sorgo!$E27:$Z27)=0,0,MAX(0,IF((AE$6-$E$3)&lt;1,0,IFERROR(LOOKUP(2,1/(Sorgo!$E27:INDEX(Sorgo!$E27:$Z27,MIN(AE$6-$E$3,22))&lt;&gt;""),Sorgo!$E27:INDEX(Sorgo!$E27:$Z27,MIN(AE$6-$E$3,22))),0))-IF($G$2,0,IF((AE$6-$G$3)&lt;1,0,IFERROR(LOOKUP(2,1/(Sorgo!$E27:INDEX(Sorgo!$E27:$Z27,MIN(AE$6-$G$3,22))&lt;&gt;""),Sorgo!$E27:INDEX(Sorgo!$E27:$Z27,MIN(AE$6-$G$3,22))),0)))))</f>
        <v>0</v>
      </c>
      <c r="AF29" s="27" t="n">
        <f aca="false">IF(COUNT(Sorgo!$E27:$Z27)=0,0,MAX(0,IF((AF$6-$E$3)&lt;1,0,IFERROR(LOOKUP(2,1/(Sorgo!$E27:INDEX(Sorgo!$E27:$Z27,MIN(AF$6-$E$3,22))&lt;&gt;""),Sorgo!$E27:INDEX(Sorgo!$E27:$Z27,MIN(AF$6-$E$3,22))),0))-IF($G$2,0,IF((AF$6-$G$3)&lt;1,0,IFERROR(LOOKUP(2,1/(Sorgo!$E27:INDEX(Sorgo!$E27:$Z27,MIN(AF$6-$G$3,22))&lt;&gt;""),Sorgo!$E27:INDEX(Sorgo!$E27:$Z27,MIN(AF$6-$G$3,22))),0)))))</f>
        <v>0</v>
      </c>
      <c r="AG29" s="27" t="n">
        <f aca="false">IF(COUNT(Sorgo!$E27:$Z27)=0,0,MAX(0,IF((AG$6-$E$3)&lt;1,0,IFERROR(LOOKUP(2,1/(Sorgo!$E27:INDEX(Sorgo!$E27:$Z27,MIN(AG$6-$E$3,22))&lt;&gt;""),Sorgo!$E27:INDEX(Sorgo!$E27:$Z27,MIN(AG$6-$E$3,22))),0))-IF($G$2,0,IF((AG$6-$G$3)&lt;1,0,IFERROR(LOOKUP(2,1/(Sorgo!$E27:INDEX(Sorgo!$E27:$Z27,MIN(AG$6-$G$3,22))&lt;&gt;""),Sorgo!$E27:INDEX(Sorgo!$E27:$Z27,MIN(AG$6-$G$3,22))),0)))))</f>
        <v>0</v>
      </c>
      <c r="AH29" s="27" t="n">
        <f aca="false">IF(COUNT(Sorgo!$E27:$Z27)=0,0,MAX(0,IF((AH$6-$E$3)&lt;1,0,IFERROR(LOOKUP(2,1/(Sorgo!$E27:INDEX(Sorgo!$E27:$Z27,MIN(AH$6-$E$3,22))&lt;&gt;""),Sorgo!$E27:INDEX(Sorgo!$E27:$Z27,MIN(AH$6-$E$3,22))),0))-IF($G$2,0,IF((AH$6-$G$3)&lt;1,0,IFERROR(LOOKUP(2,1/(Sorgo!$E27:INDEX(Sorgo!$E27:$Z27,MIN(AH$6-$G$3,22))&lt;&gt;""),Sorgo!$E27:INDEX(Sorgo!$E27:$Z27,MIN(AH$6-$G$3,22))),0)))))</f>
        <v>0</v>
      </c>
      <c r="AI29" s="27" t="n">
        <f aca="false">IF(COUNT(Sorgo!$E27:$Z27)=0,0,MAX(0,IF((AI$6-$E$3)&lt;1,0,IFERROR(LOOKUP(2,1/(Sorgo!$E27:INDEX(Sorgo!$E27:$Z27,MIN(AI$6-$E$3,22))&lt;&gt;""),Sorgo!$E27:INDEX(Sorgo!$E27:$Z27,MIN(AI$6-$E$3,22))),0))-IF($G$2,0,IF((AI$6-$G$3)&lt;1,0,IFERROR(LOOKUP(2,1/(Sorgo!$E27:INDEX(Sorgo!$E27:$Z27,MIN(AI$6-$G$3,22))&lt;&gt;""),Sorgo!$E27:INDEX(Sorgo!$E27:$Z27,MIN(AI$6-$G$3,22))),0)))))</f>
        <v>0</v>
      </c>
      <c r="AJ29" s="27" t="n">
        <f aca="false">IF(COUNT(Sorgo!$E27:$Z27)=0,0,MAX(0,IF((AJ$6-$E$3)&lt;1,0,IFERROR(LOOKUP(2,1/(Sorgo!$E27:INDEX(Sorgo!$E27:$Z27,MIN(AJ$6-$E$3,22))&lt;&gt;""),Sorgo!$E27:INDEX(Sorgo!$E27:$Z27,MIN(AJ$6-$E$3,22))),0))-IF($G$2,0,IF((AJ$6-$G$3)&lt;1,0,IFERROR(LOOKUP(2,1/(Sorgo!$E27:INDEX(Sorgo!$E27:$Z27,MIN(AJ$6-$G$3,22))&lt;&gt;""),Sorgo!$E27:INDEX(Sorgo!$E27:$Z27,MIN(AJ$6-$G$3,22))),0)))))</f>
        <v>0</v>
      </c>
      <c r="AK29" s="27" t="n">
        <f aca="false">IF(COUNT(Sorgo!$E27:$Z27)=0,0,MAX(0,IF((AK$6-$E$3)&lt;1,0,IFERROR(LOOKUP(2,1/(Sorgo!$E27:INDEX(Sorgo!$E27:$Z27,MIN(AK$6-$E$3,22))&lt;&gt;""),Sorgo!$E27:INDEX(Sorgo!$E27:$Z27,MIN(AK$6-$E$3,22))),0))-IF($G$2,0,IF((AK$6-$G$3)&lt;1,0,IFERROR(LOOKUP(2,1/(Sorgo!$E27:INDEX(Sorgo!$E27:$Z27,MIN(AK$6-$G$3,22))&lt;&gt;""),Sorgo!$E27:INDEX(Sorgo!$E27:$Z27,MIN(AK$6-$G$3,22))),0)))))</f>
        <v>0</v>
      </c>
      <c r="AL29" s="27" t="n">
        <f aca="false">IF(COUNT(Sorgo!$E27:$Z27)=0,0,MAX(0,IF((AL$6-$E$3)&lt;1,0,IFERROR(LOOKUP(2,1/(Sorgo!$E27:INDEX(Sorgo!$E27:$Z27,MIN(AL$6-$E$3,22))&lt;&gt;""),Sorgo!$E27:INDEX(Sorgo!$E27:$Z27,MIN(AL$6-$E$3,22))),0))-IF($G$2,0,IF((AL$6-$G$3)&lt;1,0,IFERROR(LOOKUP(2,1/(Sorgo!$E27:INDEX(Sorgo!$E27:$Z27,MIN(AL$6-$G$3,22))&lt;&gt;""),Sorgo!$E27:INDEX(Sorgo!$E27:$Z27,MIN(AL$6-$G$3,22))),0)))))</f>
        <v>0</v>
      </c>
      <c r="AM29" s="27" t="n">
        <f aca="false">IF(COUNT(Sorgo!$E27:$Z27)=0,0,MAX(0,IF((AM$6-$E$3)&lt;1,0,IFERROR(LOOKUP(2,1/(Sorgo!$E27:INDEX(Sorgo!$E27:$Z27,MIN(AM$6-$E$3,22))&lt;&gt;""),Sorgo!$E27:INDEX(Sorgo!$E27:$Z27,MIN(AM$6-$E$3,22))),0))-IF($G$2,0,IF((AM$6-$G$3)&lt;1,0,IFERROR(LOOKUP(2,1/(Sorgo!$E27:INDEX(Sorgo!$E27:$Z27,MIN(AM$6-$G$3,22))&lt;&gt;""),Sorgo!$E27:INDEX(Sorgo!$E27:$Z27,MIN(AM$6-$G$3,22))),0)))))</f>
        <v>0</v>
      </c>
      <c r="AN29" s="27" t="n">
        <f aca="false">IF(COUNT(Sorgo!$E27:$Z27)=0,0,MAX(0,IF((AN$6-$E$3)&lt;1,0,IFERROR(LOOKUP(2,1/(Sorgo!$E27:INDEX(Sorgo!$E27:$Z27,MIN(AN$6-$E$3,22))&lt;&gt;""),Sorgo!$E27:INDEX(Sorgo!$E27:$Z27,MIN(AN$6-$E$3,22))),0))-IF($G$2,0,IF((AN$6-$G$3)&lt;1,0,IFERROR(LOOKUP(2,1/(Sorgo!$E27:INDEX(Sorgo!$E27:$Z27,MIN(AN$6-$G$3,22))&lt;&gt;""),Sorgo!$E27:INDEX(Sorgo!$E27:$Z27,MIN(AN$6-$G$3,22))),0)))))</f>
        <v>0</v>
      </c>
      <c r="AO29" s="27" t="n">
        <f aca="false">IF(COUNT(Sorgo!$E27:$Z27)=0,0,MAX(0,IF((AO$6-$E$3)&lt;1,0,IFERROR(LOOKUP(2,1/(Sorgo!$E27:INDEX(Sorgo!$E27:$Z27,MIN(AO$6-$E$3,22))&lt;&gt;""),Sorgo!$E27:INDEX(Sorgo!$E27:$Z27,MIN(AO$6-$E$3,22))),0))-IF($G$2,0,IF((AO$6-$G$3)&lt;1,0,IFERROR(LOOKUP(2,1/(Sorgo!$E27:INDEX(Sorgo!$E27:$Z27,MIN(AO$6-$G$3,22))&lt;&gt;""),Sorgo!$E27:INDEX(Sorgo!$E27:$Z27,MIN(AO$6-$G$3,22))),0)))))</f>
        <v>0</v>
      </c>
      <c r="AP29" s="27" t="n">
        <f aca="false">IF(COUNT(Sorgo!$E27:$Z27)=0,0,MAX(0,IF((AP$6-$E$3)&lt;1,0,IFERROR(LOOKUP(2,1/(Sorgo!$E27:INDEX(Sorgo!$E27:$Z27,MIN(AP$6-$E$3,22))&lt;&gt;""),Sorgo!$E27:INDEX(Sorgo!$E27:$Z27,MIN(AP$6-$E$3,22))),0))-IF($G$2,0,IF((AP$6-$G$3)&lt;1,0,IFERROR(LOOKUP(2,1/(Sorgo!$E27:INDEX(Sorgo!$E27:$Z27,MIN(AP$6-$G$3,22))&lt;&gt;""),Sorgo!$E27:INDEX(Sorgo!$E27:$Z27,MIN(AP$6-$G$3,22))),0)))))</f>
        <v>0</v>
      </c>
      <c r="AQ29" s="27" t="n">
        <f aca="false">IF(COUNT(Sorgo!$E27:$Z27)=0,0,MAX(0,IF((AQ$6-$E$3)&lt;1,0,IFERROR(LOOKUP(2,1/(Sorgo!$E27:INDEX(Sorgo!$E27:$Z27,MIN(AQ$6-$E$3,22))&lt;&gt;""),Sorgo!$E27:INDEX(Sorgo!$E27:$Z27,MIN(AQ$6-$E$3,22))),0))-IF($G$2,0,IF((AQ$6-$G$3)&lt;1,0,IFERROR(LOOKUP(2,1/(Sorgo!$E27:INDEX(Sorgo!$E27:$Z27,MIN(AQ$6-$G$3,22))&lt;&gt;""),Sorgo!$E27:INDEX(Sorgo!$E27:$Z27,MIN(AQ$6-$G$3,22))),0)))))</f>
        <v>0</v>
      </c>
      <c r="AR29" s="27" t="n">
        <f aca="false">IF(COUNT(Sorgo!$E27:$Z27)=0,0,MAX(0,IF((AR$6-$E$3)&lt;1,0,IFERROR(LOOKUP(2,1/(Sorgo!$E27:INDEX(Sorgo!$E27:$Z27,MIN(AR$6-$E$3,22))&lt;&gt;""),Sorgo!$E27:INDEX(Sorgo!$E27:$Z27,MIN(AR$6-$E$3,22))),0))-IF($G$2,0,IF((AR$6-$G$3)&lt;1,0,IFERROR(LOOKUP(2,1/(Sorgo!$E27:INDEX(Sorgo!$E27:$Z27,MIN(AR$6-$G$3,22))&lt;&gt;""),Sorgo!$E27:INDEX(Sorgo!$E27:$Z27,MIN(AR$6-$G$3,22))),0)))))</f>
        <v>0</v>
      </c>
      <c r="AS29" s="27" t="n">
        <f aca="false">IF(COUNT(Sorgo!$E27:$Z27)=0,0,MAX(0,IF((AS$6-$E$3)&lt;1,0,IFERROR(LOOKUP(2,1/(Sorgo!$E27:INDEX(Sorgo!$E27:$Z27,MIN(AS$6-$E$3,22))&lt;&gt;""),Sorgo!$E27:INDEX(Sorgo!$E27:$Z27,MIN(AS$6-$E$3,22))),0))-IF($G$2,0,IF((AS$6-$G$3)&lt;1,0,IFERROR(LOOKUP(2,1/(Sorgo!$E27:INDEX(Sorgo!$E27:$Z27,MIN(AS$6-$G$3,22))&lt;&gt;""),Sorgo!$E27:INDEX(Sorgo!$E27:$Z27,MIN(AS$6-$G$3,22))),0)))))</f>
        <v>0</v>
      </c>
      <c r="AT29" s="27" t="n">
        <f aca="false">IF(COUNT(Sorgo!$E27:$Z27)=0,0,MAX(0,IF((AT$6-$E$3)&lt;1,0,IFERROR(LOOKUP(2,1/(Sorgo!$E27:INDEX(Sorgo!$E27:$Z27,MIN(AT$6-$E$3,22))&lt;&gt;""),Sorgo!$E27:INDEX(Sorgo!$E27:$Z27,MIN(AT$6-$E$3,22))),0))-IF($G$2,0,IF((AT$6-$G$3)&lt;1,0,IFERROR(LOOKUP(2,1/(Sorgo!$E27:INDEX(Sorgo!$E27:$Z27,MIN(AT$6-$G$3,22))&lt;&gt;""),Sorgo!$E27:INDEX(Sorgo!$E27:$Z27,MIN(AT$6-$G$3,22))),0)))))</f>
        <v>0</v>
      </c>
      <c r="AU29" s="27" t="n">
        <f aca="false">IF(COUNT(Sorgo!$E27:$Z27)=0,0,MAX(0,IF((AU$6-$E$3)&lt;1,0,IFERROR(LOOKUP(2,1/(Sorgo!$E27:INDEX(Sorgo!$E27:$Z27,MIN(AU$6-$E$3,22))&lt;&gt;""),Sorgo!$E27:INDEX(Sorgo!$E27:$Z27,MIN(AU$6-$E$3,22))),0))-IF($G$2,0,IF((AU$6-$G$3)&lt;1,0,IFERROR(LOOKUP(2,1/(Sorgo!$E27:INDEX(Sorgo!$E27:$Z27,MIN(AU$6-$G$3,22))&lt;&gt;""),Sorgo!$E27:INDEX(Sorgo!$E27:$Z27,MIN(AU$6-$G$3,22))),0)))))</f>
        <v>0</v>
      </c>
      <c r="AV29" s="27" t="n">
        <f aca="false">IF(COUNT(Sorgo!$E27:$Z27)=0,0,MAX(0,IF((AV$6-$E$3)&lt;1,0,IFERROR(LOOKUP(2,1/(Sorgo!$E27:INDEX(Sorgo!$E27:$Z27,MIN(AV$6-$E$3,22))&lt;&gt;""),Sorgo!$E27:INDEX(Sorgo!$E27:$Z27,MIN(AV$6-$E$3,22))),0))-IF($G$2,0,IF((AV$6-$G$3)&lt;1,0,IFERROR(LOOKUP(2,1/(Sorgo!$E27:INDEX(Sorgo!$E27:$Z27,MIN(AV$6-$G$3,22))&lt;&gt;""),Sorgo!$E27:INDEX(Sorgo!$E27:$Z27,MIN(AV$6-$G$3,22))),0)))))</f>
        <v>0</v>
      </c>
      <c r="AW29" s="27" t="n">
        <f aca="false">IF(COUNT(Sorgo!$E27:$Z27)=0,0,MAX(0,IF((AW$6-$E$3)&lt;1,0,IFERROR(LOOKUP(2,1/(Sorgo!$E27:INDEX(Sorgo!$E27:$Z27,MIN(AW$6-$E$3,22))&lt;&gt;""),Sorgo!$E27:INDEX(Sorgo!$E27:$Z27,MIN(AW$6-$E$3,22))),0))-IF($G$2,0,IF((AW$6-$G$3)&lt;1,0,IFERROR(LOOKUP(2,1/(Sorgo!$E27:INDEX(Sorgo!$E27:$Z27,MIN(AW$6-$G$3,22))&lt;&gt;""),Sorgo!$E27:INDEX(Sorgo!$E27:$Z27,MIN(AW$6-$G$3,22))),0)))))</f>
        <v>0</v>
      </c>
      <c r="AX29" s="27" t="n">
        <f aca="false">IF(COUNT(Sorgo!$E27:$Z27)=0,0,MAX(0,IF((AX$6-$E$3)&lt;1,0,IFERROR(LOOKUP(2,1/(Sorgo!$E27:INDEX(Sorgo!$E27:$Z27,MIN(AX$6-$E$3,22))&lt;&gt;""),Sorgo!$E27:INDEX(Sorgo!$E27:$Z27,MIN(AX$6-$E$3,22))),0))-IF($G$2,0,IF((AX$6-$G$3)&lt;1,0,IFERROR(LOOKUP(2,1/(Sorgo!$E27:INDEX(Sorgo!$E27:$Z27,MIN(AX$6-$G$3,22))&lt;&gt;""),Sorgo!$E27:INDEX(Sorgo!$E27:$Z27,MIN(AX$6-$G$3,22))),0)))))</f>
        <v>0</v>
      </c>
      <c r="AY29" s="27" t="n">
        <f aca="false">IF(COUNT(Sorgo!$E27:$Z27)=0,0,MAX(0,IF((AY$6-$E$3)&lt;1,0,IFERROR(LOOKUP(2,1/(Sorgo!$E27:INDEX(Sorgo!$E27:$Z27,MIN(AY$6-$E$3,22))&lt;&gt;""),Sorgo!$E27:INDEX(Sorgo!$E27:$Z27,MIN(AY$6-$E$3,22))),0))-IF($G$2,0,IF((AY$6-$G$3)&lt;1,0,IFERROR(LOOKUP(2,1/(Sorgo!$E27:INDEX(Sorgo!$E27:$Z27,MIN(AY$6-$G$3,22))&lt;&gt;""),Sorgo!$E27:INDEX(Sorgo!$E27:$Z27,MIN(AY$6-$G$3,22))),0)))))</f>
        <v>0</v>
      </c>
      <c r="AZ29" s="27" t="n">
        <f aca="false">IF(COUNT(Sorgo!$E27:$Z27)=0,0,MAX(0,IF((AZ$6-$E$3)&lt;1,0,IFERROR(LOOKUP(2,1/(Sorgo!$E27:INDEX(Sorgo!$E27:$Z27,MIN(AZ$6-$E$3,22))&lt;&gt;""),Sorgo!$E27:INDEX(Sorgo!$E27:$Z27,MIN(AZ$6-$E$3,22))),0))-IF($G$2,0,IF((AZ$6-$G$3)&lt;1,0,IFERROR(LOOKUP(2,1/(Sorgo!$E27:INDEX(Sorgo!$E27:$Z27,MIN(AZ$6-$G$3,22))&lt;&gt;""),Sorgo!$E27:INDEX(Sorgo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IF(COUNT(Sorgo!$E28:$Z28)&gt;0,N(Sorgo!$D28),0)</f>
        <v>0</v>
      </c>
      <c r="E30" s="27" t="n">
        <f aca="false">IF(COUNT(Sorgo!$E28:$Z28)=0,0,MAX(0,IF((E$6-$E$3)&lt;1,0,IFERROR(LOOKUP(2,1/(Sorgo!$E28:INDEX(Sorgo!$E28:$Z28,MIN(E$6-$E$3,22))&lt;&gt;""),Sorgo!$E28:INDEX(Sorgo!$E28:$Z28,MIN(E$6-$E$3,22))),0))-IF($G$2,0,IF((E$6-$G$3)&lt;1,0,IFERROR(LOOKUP(2,1/(Sorgo!$E28:INDEX(Sorgo!$E28:$Z28,MIN(E$6-$G$3,22))&lt;&gt;""),Sorgo!$E28:INDEX(Sorgo!$E28:$Z28,MIN(E$6-$G$3,22))),0)))))</f>
        <v>0</v>
      </c>
      <c r="F30" s="27" t="n">
        <f aca="false">IF(COUNT(Sorgo!$E28:$Z28)=0,0,MAX(0,IF((F$6-$E$3)&lt;1,0,IFERROR(LOOKUP(2,1/(Sorgo!$E28:INDEX(Sorgo!$E28:$Z28,MIN(F$6-$E$3,22))&lt;&gt;""),Sorgo!$E28:INDEX(Sorgo!$E28:$Z28,MIN(F$6-$E$3,22))),0))-IF($G$2,0,IF((F$6-$G$3)&lt;1,0,IFERROR(LOOKUP(2,1/(Sorgo!$E28:INDEX(Sorgo!$E28:$Z28,MIN(F$6-$G$3,22))&lt;&gt;""),Sorgo!$E28:INDEX(Sorgo!$E28:$Z28,MIN(F$6-$G$3,22))),0)))))</f>
        <v>0</v>
      </c>
      <c r="G30" s="27" t="n">
        <f aca="false">IF(COUNT(Sorgo!$E28:$Z28)=0,0,MAX(0,IF((G$6-$E$3)&lt;1,0,IFERROR(LOOKUP(2,1/(Sorgo!$E28:INDEX(Sorgo!$E28:$Z28,MIN(G$6-$E$3,22))&lt;&gt;""),Sorgo!$E28:INDEX(Sorgo!$E28:$Z28,MIN(G$6-$E$3,22))),0))-IF($G$2,0,IF((G$6-$G$3)&lt;1,0,IFERROR(LOOKUP(2,1/(Sorgo!$E28:INDEX(Sorgo!$E28:$Z28,MIN(G$6-$G$3,22))&lt;&gt;""),Sorgo!$E28:INDEX(Sorgo!$E28:$Z28,MIN(G$6-$G$3,22))),0)))))</f>
        <v>0</v>
      </c>
      <c r="H30" s="27" t="n">
        <f aca="false">IF(COUNT(Sorgo!$E28:$Z28)=0,0,MAX(0,IF((H$6-$E$3)&lt;1,0,IFERROR(LOOKUP(2,1/(Sorgo!$E28:INDEX(Sorgo!$E28:$Z28,MIN(H$6-$E$3,22))&lt;&gt;""),Sorgo!$E28:INDEX(Sorgo!$E28:$Z28,MIN(H$6-$E$3,22))),0))-IF($G$2,0,IF((H$6-$G$3)&lt;1,0,IFERROR(LOOKUP(2,1/(Sorgo!$E28:INDEX(Sorgo!$E28:$Z28,MIN(H$6-$G$3,22))&lt;&gt;""),Sorgo!$E28:INDEX(Sorgo!$E28:$Z28,MIN(H$6-$G$3,22))),0)))))</f>
        <v>0</v>
      </c>
      <c r="I30" s="27" t="n">
        <f aca="false">IF(COUNT(Sorgo!$E28:$Z28)=0,0,MAX(0,IF((I$6-$E$3)&lt;1,0,IFERROR(LOOKUP(2,1/(Sorgo!$E28:INDEX(Sorgo!$E28:$Z28,MIN(I$6-$E$3,22))&lt;&gt;""),Sorgo!$E28:INDEX(Sorgo!$E28:$Z28,MIN(I$6-$E$3,22))),0))-IF($G$2,0,IF((I$6-$G$3)&lt;1,0,IFERROR(LOOKUP(2,1/(Sorgo!$E28:INDEX(Sorgo!$E28:$Z28,MIN(I$6-$G$3,22))&lt;&gt;""),Sorgo!$E28:INDEX(Sorgo!$E28:$Z28,MIN(I$6-$G$3,22))),0)))))</f>
        <v>0</v>
      </c>
      <c r="J30" s="27" t="n">
        <f aca="false">IF(COUNT(Sorgo!$E28:$Z28)=0,0,MAX(0,IF((J$6-$E$3)&lt;1,0,IFERROR(LOOKUP(2,1/(Sorgo!$E28:INDEX(Sorgo!$E28:$Z28,MIN(J$6-$E$3,22))&lt;&gt;""),Sorgo!$E28:INDEX(Sorgo!$E28:$Z28,MIN(J$6-$E$3,22))),0))-IF($G$2,0,IF((J$6-$G$3)&lt;1,0,IFERROR(LOOKUP(2,1/(Sorgo!$E28:INDEX(Sorgo!$E28:$Z28,MIN(J$6-$G$3,22))&lt;&gt;""),Sorgo!$E28:INDEX(Sorgo!$E28:$Z28,MIN(J$6-$G$3,22))),0)))))</f>
        <v>0</v>
      </c>
      <c r="K30" s="27" t="n">
        <f aca="false">IF(COUNT(Sorgo!$E28:$Z28)=0,0,MAX(0,IF((K$6-$E$3)&lt;1,0,IFERROR(LOOKUP(2,1/(Sorgo!$E28:INDEX(Sorgo!$E28:$Z28,MIN(K$6-$E$3,22))&lt;&gt;""),Sorgo!$E28:INDEX(Sorgo!$E28:$Z28,MIN(K$6-$E$3,22))),0))-IF($G$2,0,IF((K$6-$G$3)&lt;1,0,IFERROR(LOOKUP(2,1/(Sorgo!$E28:INDEX(Sorgo!$E28:$Z28,MIN(K$6-$G$3,22))&lt;&gt;""),Sorgo!$E28:INDEX(Sorgo!$E28:$Z28,MIN(K$6-$G$3,22))),0)))))</f>
        <v>0</v>
      </c>
      <c r="L30" s="27" t="n">
        <f aca="false">IF(COUNT(Sorgo!$E28:$Z28)=0,0,MAX(0,IF((L$6-$E$3)&lt;1,0,IFERROR(LOOKUP(2,1/(Sorgo!$E28:INDEX(Sorgo!$E28:$Z28,MIN(L$6-$E$3,22))&lt;&gt;""),Sorgo!$E28:INDEX(Sorgo!$E28:$Z28,MIN(L$6-$E$3,22))),0))-IF($G$2,0,IF((L$6-$G$3)&lt;1,0,IFERROR(LOOKUP(2,1/(Sorgo!$E28:INDEX(Sorgo!$E28:$Z28,MIN(L$6-$G$3,22))&lt;&gt;""),Sorgo!$E28:INDEX(Sorgo!$E28:$Z28,MIN(L$6-$G$3,22))),0)))))</f>
        <v>0</v>
      </c>
      <c r="M30" s="27" t="n">
        <f aca="false">IF(COUNT(Sorgo!$E28:$Z28)=0,0,MAX(0,IF((M$6-$E$3)&lt;1,0,IFERROR(LOOKUP(2,1/(Sorgo!$E28:INDEX(Sorgo!$E28:$Z28,MIN(M$6-$E$3,22))&lt;&gt;""),Sorgo!$E28:INDEX(Sorgo!$E28:$Z28,MIN(M$6-$E$3,22))),0))-IF($G$2,0,IF((M$6-$G$3)&lt;1,0,IFERROR(LOOKUP(2,1/(Sorgo!$E28:INDEX(Sorgo!$E28:$Z28,MIN(M$6-$G$3,22))&lt;&gt;""),Sorgo!$E28:INDEX(Sorgo!$E28:$Z28,MIN(M$6-$G$3,22))),0)))))</f>
        <v>0</v>
      </c>
      <c r="N30" s="27" t="n">
        <f aca="false">IF(COUNT(Sorgo!$E28:$Z28)=0,0,MAX(0,IF((N$6-$E$3)&lt;1,0,IFERROR(LOOKUP(2,1/(Sorgo!$E28:INDEX(Sorgo!$E28:$Z28,MIN(N$6-$E$3,22))&lt;&gt;""),Sorgo!$E28:INDEX(Sorgo!$E28:$Z28,MIN(N$6-$E$3,22))),0))-IF($G$2,0,IF((N$6-$G$3)&lt;1,0,IFERROR(LOOKUP(2,1/(Sorgo!$E28:INDEX(Sorgo!$E28:$Z28,MIN(N$6-$G$3,22))&lt;&gt;""),Sorgo!$E28:INDEX(Sorgo!$E28:$Z28,MIN(N$6-$G$3,22))),0)))))</f>
        <v>0</v>
      </c>
      <c r="O30" s="27" t="n">
        <f aca="false">IF(COUNT(Sorgo!$E28:$Z28)=0,0,MAX(0,IF((O$6-$E$3)&lt;1,0,IFERROR(LOOKUP(2,1/(Sorgo!$E28:INDEX(Sorgo!$E28:$Z28,MIN(O$6-$E$3,22))&lt;&gt;""),Sorgo!$E28:INDEX(Sorgo!$E28:$Z28,MIN(O$6-$E$3,22))),0))-IF($G$2,0,IF((O$6-$G$3)&lt;1,0,IFERROR(LOOKUP(2,1/(Sorgo!$E28:INDEX(Sorgo!$E28:$Z28,MIN(O$6-$G$3,22))&lt;&gt;""),Sorgo!$E28:INDEX(Sorgo!$E28:$Z28,MIN(O$6-$G$3,22))),0)))))</f>
        <v>0</v>
      </c>
      <c r="P30" s="27" t="n">
        <f aca="false">IF(COUNT(Sorgo!$E28:$Z28)=0,0,MAX(0,IF((P$6-$E$3)&lt;1,0,IFERROR(LOOKUP(2,1/(Sorgo!$E28:INDEX(Sorgo!$E28:$Z28,MIN(P$6-$E$3,22))&lt;&gt;""),Sorgo!$E28:INDEX(Sorgo!$E28:$Z28,MIN(P$6-$E$3,22))),0))-IF($G$2,0,IF((P$6-$G$3)&lt;1,0,IFERROR(LOOKUP(2,1/(Sorgo!$E28:INDEX(Sorgo!$E28:$Z28,MIN(P$6-$G$3,22))&lt;&gt;""),Sorgo!$E28:INDEX(Sorgo!$E28:$Z28,MIN(P$6-$G$3,22))),0)))))</f>
        <v>0</v>
      </c>
      <c r="Q30" s="27" t="n">
        <f aca="false">IF(COUNT(Sorgo!$E28:$Z28)=0,0,MAX(0,IF((Q$6-$E$3)&lt;1,0,IFERROR(LOOKUP(2,1/(Sorgo!$E28:INDEX(Sorgo!$E28:$Z28,MIN(Q$6-$E$3,22))&lt;&gt;""),Sorgo!$E28:INDEX(Sorgo!$E28:$Z28,MIN(Q$6-$E$3,22))),0))-IF($G$2,0,IF((Q$6-$G$3)&lt;1,0,IFERROR(LOOKUP(2,1/(Sorgo!$E28:INDEX(Sorgo!$E28:$Z28,MIN(Q$6-$G$3,22))&lt;&gt;""),Sorgo!$E28:INDEX(Sorgo!$E28:$Z28,MIN(Q$6-$G$3,22))),0)))))</f>
        <v>0</v>
      </c>
      <c r="R30" s="27" t="n">
        <f aca="false">IF(COUNT(Sorgo!$E28:$Z28)=0,0,MAX(0,IF((R$6-$E$3)&lt;1,0,IFERROR(LOOKUP(2,1/(Sorgo!$E28:INDEX(Sorgo!$E28:$Z28,MIN(R$6-$E$3,22))&lt;&gt;""),Sorgo!$E28:INDEX(Sorgo!$E28:$Z28,MIN(R$6-$E$3,22))),0))-IF($G$2,0,IF((R$6-$G$3)&lt;1,0,IFERROR(LOOKUP(2,1/(Sorgo!$E28:INDEX(Sorgo!$E28:$Z28,MIN(R$6-$G$3,22))&lt;&gt;""),Sorgo!$E28:INDEX(Sorgo!$E28:$Z28,MIN(R$6-$G$3,22))),0)))))</f>
        <v>0</v>
      </c>
      <c r="S30" s="27" t="n">
        <f aca="false">IF(COUNT(Sorgo!$E28:$Z28)=0,0,MAX(0,IF((S$6-$E$3)&lt;1,0,IFERROR(LOOKUP(2,1/(Sorgo!$E28:INDEX(Sorgo!$E28:$Z28,MIN(S$6-$E$3,22))&lt;&gt;""),Sorgo!$E28:INDEX(Sorgo!$E28:$Z28,MIN(S$6-$E$3,22))),0))-IF($G$2,0,IF((S$6-$G$3)&lt;1,0,IFERROR(LOOKUP(2,1/(Sorgo!$E28:INDEX(Sorgo!$E28:$Z28,MIN(S$6-$G$3,22))&lt;&gt;""),Sorgo!$E28:INDEX(Sorgo!$E28:$Z28,MIN(S$6-$G$3,22))),0)))))</f>
        <v>0</v>
      </c>
      <c r="T30" s="27" t="n">
        <f aca="false">IF(COUNT(Sorgo!$E28:$Z28)=0,0,MAX(0,IF((T$6-$E$3)&lt;1,0,IFERROR(LOOKUP(2,1/(Sorgo!$E28:INDEX(Sorgo!$E28:$Z28,MIN(T$6-$E$3,22))&lt;&gt;""),Sorgo!$E28:INDEX(Sorgo!$E28:$Z28,MIN(T$6-$E$3,22))),0))-IF($G$2,0,IF((T$6-$G$3)&lt;1,0,IFERROR(LOOKUP(2,1/(Sorgo!$E28:INDEX(Sorgo!$E28:$Z28,MIN(T$6-$G$3,22))&lt;&gt;""),Sorgo!$E28:INDEX(Sorgo!$E28:$Z28,MIN(T$6-$G$3,22))),0)))))</f>
        <v>0</v>
      </c>
      <c r="U30" s="27" t="n">
        <f aca="false">IF(COUNT(Sorgo!$E28:$Z28)=0,0,MAX(0,IF((U$6-$E$3)&lt;1,0,IFERROR(LOOKUP(2,1/(Sorgo!$E28:INDEX(Sorgo!$E28:$Z28,MIN(U$6-$E$3,22))&lt;&gt;""),Sorgo!$E28:INDEX(Sorgo!$E28:$Z28,MIN(U$6-$E$3,22))),0))-IF($G$2,0,IF((U$6-$G$3)&lt;1,0,IFERROR(LOOKUP(2,1/(Sorgo!$E28:INDEX(Sorgo!$E28:$Z28,MIN(U$6-$G$3,22))&lt;&gt;""),Sorgo!$E28:INDEX(Sorgo!$E28:$Z28,MIN(U$6-$G$3,22))),0)))))</f>
        <v>0</v>
      </c>
      <c r="V30" s="27" t="n">
        <f aca="false">IF(COUNT(Sorgo!$E28:$Z28)=0,0,MAX(0,IF((V$6-$E$3)&lt;1,0,IFERROR(LOOKUP(2,1/(Sorgo!$E28:INDEX(Sorgo!$E28:$Z28,MIN(V$6-$E$3,22))&lt;&gt;""),Sorgo!$E28:INDEX(Sorgo!$E28:$Z28,MIN(V$6-$E$3,22))),0))-IF($G$2,0,IF((V$6-$G$3)&lt;1,0,IFERROR(LOOKUP(2,1/(Sorgo!$E28:INDEX(Sorgo!$E28:$Z28,MIN(V$6-$G$3,22))&lt;&gt;""),Sorgo!$E28:INDEX(Sorgo!$E28:$Z28,MIN(V$6-$G$3,22))),0)))))</f>
        <v>0</v>
      </c>
      <c r="W30" s="27" t="n">
        <f aca="false">IF(COUNT(Sorgo!$E28:$Z28)=0,0,MAX(0,IF((W$6-$E$3)&lt;1,0,IFERROR(LOOKUP(2,1/(Sorgo!$E28:INDEX(Sorgo!$E28:$Z28,MIN(W$6-$E$3,22))&lt;&gt;""),Sorgo!$E28:INDEX(Sorgo!$E28:$Z28,MIN(W$6-$E$3,22))),0))-IF($G$2,0,IF((W$6-$G$3)&lt;1,0,IFERROR(LOOKUP(2,1/(Sorgo!$E28:INDEX(Sorgo!$E28:$Z28,MIN(W$6-$G$3,22))&lt;&gt;""),Sorgo!$E28:INDEX(Sorgo!$E28:$Z28,MIN(W$6-$G$3,22))),0)))))</f>
        <v>0</v>
      </c>
      <c r="X30" s="27" t="n">
        <f aca="false">IF(COUNT(Sorgo!$E28:$Z28)=0,0,MAX(0,IF((X$6-$E$3)&lt;1,0,IFERROR(LOOKUP(2,1/(Sorgo!$E28:INDEX(Sorgo!$E28:$Z28,MIN(X$6-$E$3,22))&lt;&gt;""),Sorgo!$E28:INDEX(Sorgo!$E28:$Z28,MIN(X$6-$E$3,22))),0))-IF($G$2,0,IF((X$6-$G$3)&lt;1,0,IFERROR(LOOKUP(2,1/(Sorgo!$E28:INDEX(Sorgo!$E28:$Z28,MIN(X$6-$G$3,22))&lt;&gt;""),Sorgo!$E28:INDEX(Sorgo!$E28:$Z28,MIN(X$6-$G$3,22))),0)))))</f>
        <v>0</v>
      </c>
      <c r="Y30" s="27" t="n">
        <f aca="false">IF(COUNT(Sorgo!$E28:$Z28)=0,0,MAX(0,IF((Y$6-$E$3)&lt;1,0,IFERROR(LOOKUP(2,1/(Sorgo!$E28:INDEX(Sorgo!$E28:$Z28,MIN(Y$6-$E$3,22))&lt;&gt;""),Sorgo!$E28:INDEX(Sorgo!$E28:$Z28,MIN(Y$6-$E$3,22))),0))-IF($G$2,0,IF((Y$6-$G$3)&lt;1,0,IFERROR(LOOKUP(2,1/(Sorgo!$E28:INDEX(Sorgo!$E28:$Z28,MIN(Y$6-$G$3,22))&lt;&gt;""),Sorgo!$E28:INDEX(Sorgo!$E28:$Z28,MIN(Y$6-$G$3,22))),0)))))</f>
        <v>0</v>
      </c>
      <c r="Z30" s="27" t="n">
        <f aca="false">IF(COUNT(Sorgo!$E28:$Z28)=0,0,MAX(0,IF((Z$6-$E$3)&lt;1,0,IFERROR(LOOKUP(2,1/(Sorgo!$E28:INDEX(Sorgo!$E28:$Z28,MIN(Z$6-$E$3,22))&lt;&gt;""),Sorgo!$E28:INDEX(Sorgo!$E28:$Z28,MIN(Z$6-$E$3,22))),0))-IF($G$2,0,IF((Z$6-$G$3)&lt;1,0,IFERROR(LOOKUP(2,1/(Sorgo!$E28:INDEX(Sorgo!$E28:$Z28,MIN(Z$6-$G$3,22))&lt;&gt;""),Sorgo!$E28:INDEX(Sorgo!$E28:$Z28,MIN(Z$6-$G$3,22))),0)))))</f>
        <v>0</v>
      </c>
      <c r="AA30" s="27" t="n">
        <f aca="false">IF(COUNT(Sorgo!$E28:$Z28)=0,0,MAX(0,IF((AA$6-$E$3)&lt;1,0,IFERROR(LOOKUP(2,1/(Sorgo!$E28:INDEX(Sorgo!$E28:$Z28,MIN(AA$6-$E$3,22))&lt;&gt;""),Sorgo!$E28:INDEX(Sorgo!$E28:$Z28,MIN(AA$6-$E$3,22))),0))-IF($G$2,0,IF((AA$6-$G$3)&lt;1,0,IFERROR(LOOKUP(2,1/(Sorgo!$E28:INDEX(Sorgo!$E28:$Z28,MIN(AA$6-$G$3,22))&lt;&gt;""),Sorgo!$E28:INDEX(Sorgo!$E28:$Z28,MIN(AA$6-$G$3,22))),0)))))</f>
        <v>0</v>
      </c>
      <c r="AB30" s="27" t="n">
        <f aca="false">IF(COUNT(Sorgo!$E28:$Z28)=0,0,MAX(0,IF((AB$6-$E$3)&lt;1,0,IFERROR(LOOKUP(2,1/(Sorgo!$E28:INDEX(Sorgo!$E28:$Z28,MIN(AB$6-$E$3,22))&lt;&gt;""),Sorgo!$E28:INDEX(Sorgo!$E28:$Z28,MIN(AB$6-$E$3,22))),0))-IF($G$2,0,IF((AB$6-$G$3)&lt;1,0,IFERROR(LOOKUP(2,1/(Sorgo!$E28:INDEX(Sorgo!$E28:$Z28,MIN(AB$6-$G$3,22))&lt;&gt;""),Sorgo!$E28:INDEX(Sorgo!$E28:$Z28,MIN(AB$6-$G$3,22))),0)))))</f>
        <v>0</v>
      </c>
      <c r="AC30" s="27" t="n">
        <f aca="false">IF(COUNT(Sorgo!$E28:$Z28)=0,0,MAX(0,IF((AC$6-$E$3)&lt;1,0,IFERROR(LOOKUP(2,1/(Sorgo!$E28:INDEX(Sorgo!$E28:$Z28,MIN(AC$6-$E$3,22))&lt;&gt;""),Sorgo!$E28:INDEX(Sorgo!$E28:$Z28,MIN(AC$6-$E$3,22))),0))-IF($G$2,0,IF((AC$6-$G$3)&lt;1,0,IFERROR(LOOKUP(2,1/(Sorgo!$E28:INDEX(Sorgo!$E28:$Z28,MIN(AC$6-$G$3,22))&lt;&gt;""),Sorgo!$E28:INDEX(Sorgo!$E28:$Z28,MIN(AC$6-$G$3,22))),0)))))</f>
        <v>0</v>
      </c>
      <c r="AD30" s="27" t="n">
        <f aca="false">IF(COUNT(Sorgo!$E28:$Z28)=0,0,MAX(0,IF((AD$6-$E$3)&lt;1,0,IFERROR(LOOKUP(2,1/(Sorgo!$E28:INDEX(Sorgo!$E28:$Z28,MIN(AD$6-$E$3,22))&lt;&gt;""),Sorgo!$E28:INDEX(Sorgo!$E28:$Z28,MIN(AD$6-$E$3,22))),0))-IF($G$2,0,IF((AD$6-$G$3)&lt;1,0,IFERROR(LOOKUP(2,1/(Sorgo!$E28:INDEX(Sorgo!$E28:$Z28,MIN(AD$6-$G$3,22))&lt;&gt;""),Sorgo!$E28:INDEX(Sorgo!$E28:$Z28,MIN(AD$6-$G$3,22))),0)))))</f>
        <v>0</v>
      </c>
      <c r="AE30" s="27" t="n">
        <f aca="false">IF(COUNT(Sorgo!$E28:$Z28)=0,0,MAX(0,IF((AE$6-$E$3)&lt;1,0,IFERROR(LOOKUP(2,1/(Sorgo!$E28:INDEX(Sorgo!$E28:$Z28,MIN(AE$6-$E$3,22))&lt;&gt;""),Sorgo!$E28:INDEX(Sorgo!$E28:$Z28,MIN(AE$6-$E$3,22))),0))-IF($G$2,0,IF((AE$6-$G$3)&lt;1,0,IFERROR(LOOKUP(2,1/(Sorgo!$E28:INDEX(Sorgo!$E28:$Z28,MIN(AE$6-$G$3,22))&lt;&gt;""),Sorgo!$E28:INDEX(Sorgo!$E28:$Z28,MIN(AE$6-$G$3,22))),0)))))</f>
        <v>0</v>
      </c>
      <c r="AF30" s="27" t="n">
        <f aca="false">IF(COUNT(Sorgo!$E28:$Z28)=0,0,MAX(0,IF((AF$6-$E$3)&lt;1,0,IFERROR(LOOKUP(2,1/(Sorgo!$E28:INDEX(Sorgo!$E28:$Z28,MIN(AF$6-$E$3,22))&lt;&gt;""),Sorgo!$E28:INDEX(Sorgo!$E28:$Z28,MIN(AF$6-$E$3,22))),0))-IF($G$2,0,IF((AF$6-$G$3)&lt;1,0,IFERROR(LOOKUP(2,1/(Sorgo!$E28:INDEX(Sorgo!$E28:$Z28,MIN(AF$6-$G$3,22))&lt;&gt;""),Sorgo!$E28:INDEX(Sorgo!$E28:$Z28,MIN(AF$6-$G$3,22))),0)))))</f>
        <v>0</v>
      </c>
      <c r="AG30" s="27" t="n">
        <f aca="false">IF(COUNT(Sorgo!$E28:$Z28)=0,0,MAX(0,IF((AG$6-$E$3)&lt;1,0,IFERROR(LOOKUP(2,1/(Sorgo!$E28:INDEX(Sorgo!$E28:$Z28,MIN(AG$6-$E$3,22))&lt;&gt;""),Sorgo!$E28:INDEX(Sorgo!$E28:$Z28,MIN(AG$6-$E$3,22))),0))-IF($G$2,0,IF((AG$6-$G$3)&lt;1,0,IFERROR(LOOKUP(2,1/(Sorgo!$E28:INDEX(Sorgo!$E28:$Z28,MIN(AG$6-$G$3,22))&lt;&gt;""),Sorgo!$E28:INDEX(Sorgo!$E28:$Z28,MIN(AG$6-$G$3,22))),0)))))</f>
        <v>0</v>
      </c>
      <c r="AH30" s="27" t="n">
        <f aca="false">IF(COUNT(Sorgo!$E28:$Z28)=0,0,MAX(0,IF((AH$6-$E$3)&lt;1,0,IFERROR(LOOKUP(2,1/(Sorgo!$E28:INDEX(Sorgo!$E28:$Z28,MIN(AH$6-$E$3,22))&lt;&gt;""),Sorgo!$E28:INDEX(Sorgo!$E28:$Z28,MIN(AH$6-$E$3,22))),0))-IF($G$2,0,IF((AH$6-$G$3)&lt;1,0,IFERROR(LOOKUP(2,1/(Sorgo!$E28:INDEX(Sorgo!$E28:$Z28,MIN(AH$6-$G$3,22))&lt;&gt;""),Sorgo!$E28:INDEX(Sorgo!$E28:$Z28,MIN(AH$6-$G$3,22))),0)))))</f>
        <v>0</v>
      </c>
      <c r="AI30" s="27" t="n">
        <f aca="false">IF(COUNT(Sorgo!$E28:$Z28)=0,0,MAX(0,IF((AI$6-$E$3)&lt;1,0,IFERROR(LOOKUP(2,1/(Sorgo!$E28:INDEX(Sorgo!$E28:$Z28,MIN(AI$6-$E$3,22))&lt;&gt;""),Sorgo!$E28:INDEX(Sorgo!$E28:$Z28,MIN(AI$6-$E$3,22))),0))-IF($G$2,0,IF((AI$6-$G$3)&lt;1,0,IFERROR(LOOKUP(2,1/(Sorgo!$E28:INDEX(Sorgo!$E28:$Z28,MIN(AI$6-$G$3,22))&lt;&gt;""),Sorgo!$E28:INDEX(Sorgo!$E28:$Z28,MIN(AI$6-$G$3,22))),0)))))</f>
        <v>0</v>
      </c>
      <c r="AJ30" s="27" t="n">
        <f aca="false">IF(COUNT(Sorgo!$E28:$Z28)=0,0,MAX(0,IF((AJ$6-$E$3)&lt;1,0,IFERROR(LOOKUP(2,1/(Sorgo!$E28:INDEX(Sorgo!$E28:$Z28,MIN(AJ$6-$E$3,22))&lt;&gt;""),Sorgo!$E28:INDEX(Sorgo!$E28:$Z28,MIN(AJ$6-$E$3,22))),0))-IF($G$2,0,IF((AJ$6-$G$3)&lt;1,0,IFERROR(LOOKUP(2,1/(Sorgo!$E28:INDEX(Sorgo!$E28:$Z28,MIN(AJ$6-$G$3,22))&lt;&gt;""),Sorgo!$E28:INDEX(Sorgo!$E28:$Z28,MIN(AJ$6-$G$3,22))),0)))))</f>
        <v>0</v>
      </c>
      <c r="AK30" s="27" t="n">
        <f aca="false">IF(COUNT(Sorgo!$E28:$Z28)=0,0,MAX(0,IF((AK$6-$E$3)&lt;1,0,IFERROR(LOOKUP(2,1/(Sorgo!$E28:INDEX(Sorgo!$E28:$Z28,MIN(AK$6-$E$3,22))&lt;&gt;""),Sorgo!$E28:INDEX(Sorgo!$E28:$Z28,MIN(AK$6-$E$3,22))),0))-IF($G$2,0,IF((AK$6-$G$3)&lt;1,0,IFERROR(LOOKUP(2,1/(Sorgo!$E28:INDEX(Sorgo!$E28:$Z28,MIN(AK$6-$G$3,22))&lt;&gt;""),Sorgo!$E28:INDEX(Sorgo!$E28:$Z28,MIN(AK$6-$G$3,22))),0)))))</f>
        <v>0</v>
      </c>
      <c r="AL30" s="27" t="n">
        <f aca="false">IF(COUNT(Sorgo!$E28:$Z28)=0,0,MAX(0,IF((AL$6-$E$3)&lt;1,0,IFERROR(LOOKUP(2,1/(Sorgo!$E28:INDEX(Sorgo!$E28:$Z28,MIN(AL$6-$E$3,22))&lt;&gt;""),Sorgo!$E28:INDEX(Sorgo!$E28:$Z28,MIN(AL$6-$E$3,22))),0))-IF($G$2,0,IF((AL$6-$G$3)&lt;1,0,IFERROR(LOOKUP(2,1/(Sorgo!$E28:INDEX(Sorgo!$E28:$Z28,MIN(AL$6-$G$3,22))&lt;&gt;""),Sorgo!$E28:INDEX(Sorgo!$E28:$Z28,MIN(AL$6-$G$3,22))),0)))))</f>
        <v>0</v>
      </c>
      <c r="AM30" s="27" t="n">
        <f aca="false">IF(COUNT(Sorgo!$E28:$Z28)=0,0,MAX(0,IF((AM$6-$E$3)&lt;1,0,IFERROR(LOOKUP(2,1/(Sorgo!$E28:INDEX(Sorgo!$E28:$Z28,MIN(AM$6-$E$3,22))&lt;&gt;""),Sorgo!$E28:INDEX(Sorgo!$E28:$Z28,MIN(AM$6-$E$3,22))),0))-IF($G$2,0,IF((AM$6-$G$3)&lt;1,0,IFERROR(LOOKUP(2,1/(Sorgo!$E28:INDEX(Sorgo!$E28:$Z28,MIN(AM$6-$G$3,22))&lt;&gt;""),Sorgo!$E28:INDEX(Sorgo!$E28:$Z28,MIN(AM$6-$G$3,22))),0)))))</f>
        <v>0</v>
      </c>
      <c r="AN30" s="27" t="n">
        <f aca="false">IF(COUNT(Sorgo!$E28:$Z28)=0,0,MAX(0,IF((AN$6-$E$3)&lt;1,0,IFERROR(LOOKUP(2,1/(Sorgo!$E28:INDEX(Sorgo!$E28:$Z28,MIN(AN$6-$E$3,22))&lt;&gt;""),Sorgo!$E28:INDEX(Sorgo!$E28:$Z28,MIN(AN$6-$E$3,22))),0))-IF($G$2,0,IF((AN$6-$G$3)&lt;1,0,IFERROR(LOOKUP(2,1/(Sorgo!$E28:INDEX(Sorgo!$E28:$Z28,MIN(AN$6-$G$3,22))&lt;&gt;""),Sorgo!$E28:INDEX(Sorgo!$E28:$Z28,MIN(AN$6-$G$3,22))),0)))))</f>
        <v>0</v>
      </c>
      <c r="AO30" s="27" t="n">
        <f aca="false">IF(COUNT(Sorgo!$E28:$Z28)=0,0,MAX(0,IF((AO$6-$E$3)&lt;1,0,IFERROR(LOOKUP(2,1/(Sorgo!$E28:INDEX(Sorgo!$E28:$Z28,MIN(AO$6-$E$3,22))&lt;&gt;""),Sorgo!$E28:INDEX(Sorgo!$E28:$Z28,MIN(AO$6-$E$3,22))),0))-IF($G$2,0,IF((AO$6-$G$3)&lt;1,0,IFERROR(LOOKUP(2,1/(Sorgo!$E28:INDEX(Sorgo!$E28:$Z28,MIN(AO$6-$G$3,22))&lt;&gt;""),Sorgo!$E28:INDEX(Sorgo!$E28:$Z28,MIN(AO$6-$G$3,22))),0)))))</f>
        <v>0</v>
      </c>
      <c r="AP30" s="27" t="n">
        <f aca="false">IF(COUNT(Sorgo!$E28:$Z28)=0,0,MAX(0,IF((AP$6-$E$3)&lt;1,0,IFERROR(LOOKUP(2,1/(Sorgo!$E28:INDEX(Sorgo!$E28:$Z28,MIN(AP$6-$E$3,22))&lt;&gt;""),Sorgo!$E28:INDEX(Sorgo!$E28:$Z28,MIN(AP$6-$E$3,22))),0))-IF($G$2,0,IF((AP$6-$G$3)&lt;1,0,IFERROR(LOOKUP(2,1/(Sorgo!$E28:INDEX(Sorgo!$E28:$Z28,MIN(AP$6-$G$3,22))&lt;&gt;""),Sorgo!$E28:INDEX(Sorgo!$E28:$Z28,MIN(AP$6-$G$3,22))),0)))))</f>
        <v>0</v>
      </c>
      <c r="AQ30" s="27" t="n">
        <f aca="false">IF(COUNT(Sorgo!$E28:$Z28)=0,0,MAX(0,IF((AQ$6-$E$3)&lt;1,0,IFERROR(LOOKUP(2,1/(Sorgo!$E28:INDEX(Sorgo!$E28:$Z28,MIN(AQ$6-$E$3,22))&lt;&gt;""),Sorgo!$E28:INDEX(Sorgo!$E28:$Z28,MIN(AQ$6-$E$3,22))),0))-IF($G$2,0,IF((AQ$6-$G$3)&lt;1,0,IFERROR(LOOKUP(2,1/(Sorgo!$E28:INDEX(Sorgo!$E28:$Z28,MIN(AQ$6-$G$3,22))&lt;&gt;""),Sorgo!$E28:INDEX(Sorgo!$E28:$Z28,MIN(AQ$6-$G$3,22))),0)))))</f>
        <v>0</v>
      </c>
      <c r="AR30" s="27" t="n">
        <f aca="false">IF(COUNT(Sorgo!$E28:$Z28)=0,0,MAX(0,IF((AR$6-$E$3)&lt;1,0,IFERROR(LOOKUP(2,1/(Sorgo!$E28:INDEX(Sorgo!$E28:$Z28,MIN(AR$6-$E$3,22))&lt;&gt;""),Sorgo!$E28:INDEX(Sorgo!$E28:$Z28,MIN(AR$6-$E$3,22))),0))-IF($G$2,0,IF((AR$6-$G$3)&lt;1,0,IFERROR(LOOKUP(2,1/(Sorgo!$E28:INDEX(Sorgo!$E28:$Z28,MIN(AR$6-$G$3,22))&lt;&gt;""),Sorgo!$E28:INDEX(Sorgo!$E28:$Z28,MIN(AR$6-$G$3,22))),0)))))</f>
        <v>0</v>
      </c>
      <c r="AS30" s="27" t="n">
        <f aca="false">IF(COUNT(Sorgo!$E28:$Z28)=0,0,MAX(0,IF((AS$6-$E$3)&lt;1,0,IFERROR(LOOKUP(2,1/(Sorgo!$E28:INDEX(Sorgo!$E28:$Z28,MIN(AS$6-$E$3,22))&lt;&gt;""),Sorgo!$E28:INDEX(Sorgo!$E28:$Z28,MIN(AS$6-$E$3,22))),0))-IF($G$2,0,IF((AS$6-$G$3)&lt;1,0,IFERROR(LOOKUP(2,1/(Sorgo!$E28:INDEX(Sorgo!$E28:$Z28,MIN(AS$6-$G$3,22))&lt;&gt;""),Sorgo!$E28:INDEX(Sorgo!$E28:$Z28,MIN(AS$6-$G$3,22))),0)))))</f>
        <v>0</v>
      </c>
      <c r="AT30" s="27" t="n">
        <f aca="false">IF(COUNT(Sorgo!$E28:$Z28)=0,0,MAX(0,IF((AT$6-$E$3)&lt;1,0,IFERROR(LOOKUP(2,1/(Sorgo!$E28:INDEX(Sorgo!$E28:$Z28,MIN(AT$6-$E$3,22))&lt;&gt;""),Sorgo!$E28:INDEX(Sorgo!$E28:$Z28,MIN(AT$6-$E$3,22))),0))-IF($G$2,0,IF((AT$6-$G$3)&lt;1,0,IFERROR(LOOKUP(2,1/(Sorgo!$E28:INDEX(Sorgo!$E28:$Z28,MIN(AT$6-$G$3,22))&lt;&gt;""),Sorgo!$E28:INDEX(Sorgo!$E28:$Z28,MIN(AT$6-$G$3,22))),0)))))</f>
        <v>0</v>
      </c>
      <c r="AU30" s="27" t="n">
        <f aca="false">IF(COUNT(Sorgo!$E28:$Z28)=0,0,MAX(0,IF((AU$6-$E$3)&lt;1,0,IFERROR(LOOKUP(2,1/(Sorgo!$E28:INDEX(Sorgo!$E28:$Z28,MIN(AU$6-$E$3,22))&lt;&gt;""),Sorgo!$E28:INDEX(Sorgo!$E28:$Z28,MIN(AU$6-$E$3,22))),0))-IF($G$2,0,IF((AU$6-$G$3)&lt;1,0,IFERROR(LOOKUP(2,1/(Sorgo!$E28:INDEX(Sorgo!$E28:$Z28,MIN(AU$6-$G$3,22))&lt;&gt;""),Sorgo!$E28:INDEX(Sorgo!$E28:$Z28,MIN(AU$6-$G$3,22))),0)))))</f>
        <v>0</v>
      </c>
      <c r="AV30" s="27" t="n">
        <f aca="false">IF(COUNT(Sorgo!$E28:$Z28)=0,0,MAX(0,IF((AV$6-$E$3)&lt;1,0,IFERROR(LOOKUP(2,1/(Sorgo!$E28:INDEX(Sorgo!$E28:$Z28,MIN(AV$6-$E$3,22))&lt;&gt;""),Sorgo!$E28:INDEX(Sorgo!$E28:$Z28,MIN(AV$6-$E$3,22))),0))-IF($G$2,0,IF((AV$6-$G$3)&lt;1,0,IFERROR(LOOKUP(2,1/(Sorgo!$E28:INDEX(Sorgo!$E28:$Z28,MIN(AV$6-$G$3,22))&lt;&gt;""),Sorgo!$E28:INDEX(Sorgo!$E28:$Z28,MIN(AV$6-$G$3,22))),0)))))</f>
        <v>0</v>
      </c>
      <c r="AW30" s="27" t="n">
        <f aca="false">IF(COUNT(Sorgo!$E28:$Z28)=0,0,MAX(0,IF((AW$6-$E$3)&lt;1,0,IFERROR(LOOKUP(2,1/(Sorgo!$E28:INDEX(Sorgo!$E28:$Z28,MIN(AW$6-$E$3,22))&lt;&gt;""),Sorgo!$E28:INDEX(Sorgo!$E28:$Z28,MIN(AW$6-$E$3,22))),0))-IF($G$2,0,IF((AW$6-$G$3)&lt;1,0,IFERROR(LOOKUP(2,1/(Sorgo!$E28:INDEX(Sorgo!$E28:$Z28,MIN(AW$6-$G$3,22))&lt;&gt;""),Sorgo!$E28:INDEX(Sorgo!$E28:$Z28,MIN(AW$6-$G$3,22))),0)))))</f>
        <v>0</v>
      </c>
      <c r="AX30" s="27" t="n">
        <f aca="false">IF(COUNT(Sorgo!$E28:$Z28)=0,0,MAX(0,IF((AX$6-$E$3)&lt;1,0,IFERROR(LOOKUP(2,1/(Sorgo!$E28:INDEX(Sorgo!$E28:$Z28,MIN(AX$6-$E$3,22))&lt;&gt;""),Sorgo!$E28:INDEX(Sorgo!$E28:$Z28,MIN(AX$6-$E$3,22))),0))-IF($G$2,0,IF((AX$6-$G$3)&lt;1,0,IFERROR(LOOKUP(2,1/(Sorgo!$E28:INDEX(Sorgo!$E28:$Z28,MIN(AX$6-$G$3,22))&lt;&gt;""),Sorgo!$E28:INDEX(Sorgo!$E28:$Z28,MIN(AX$6-$G$3,22))),0)))))</f>
        <v>0</v>
      </c>
      <c r="AY30" s="27" t="n">
        <f aca="false">IF(COUNT(Sorgo!$E28:$Z28)=0,0,MAX(0,IF((AY$6-$E$3)&lt;1,0,IFERROR(LOOKUP(2,1/(Sorgo!$E28:INDEX(Sorgo!$E28:$Z28,MIN(AY$6-$E$3,22))&lt;&gt;""),Sorgo!$E28:INDEX(Sorgo!$E28:$Z28,MIN(AY$6-$E$3,22))),0))-IF($G$2,0,IF((AY$6-$G$3)&lt;1,0,IFERROR(LOOKUP(2,1/(Sorgo!$E28:INDEX(Sorgo!$E28:$Z28,MIN(AY$6-$G$3,22))&lt;&gt;""),Sorgo!$E28:INDEX(Sorgo!$E28:$Z28,MIN(AY$6-$G$3,22))),0)))))</f>
        <v>0</v>
      </c>
      <c r="AZ30" s="27" t="n">
        <f aca="false">IF(COUNT(Sorgo!$E28:$Z28)=0,0,MAX(0,IF((AZ$6-$E$3)&lt;1,0,IFERROR(LOOKUP(2,1/(Sorgo!$E28:INDEX(Sorgo!$E28:$Z28,MIN(AZ$6-$E$3,22))&lt;&gt;""),Sorgo!$E28:INDEX(Sorgo!$E28:$Z28,MIN(AZ$6-$E$3,22))),0))-IF($G$2,0,IF((AZ$6-$G$3)&lt;1,0,IFERROR(LOOKUP(2,1/(Sorgo!$E28:INDEX(Sorgo!$E28:$Z28,MIN(AZ$6-$G$3,22))&lt;&gt;""),Sorgo!$E28:INDEX(Sorgo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IF(COUNT(Sorgo!$E29:$Z29)&gt;0,N(Sorgo!$D29),0)</f>
        <v>0</v>
      </c>
      <c r="E31" s="27" t="n">
        <f aca="false">IF(COUNT(Sorgo!$E29:$Z29)=0,0,MAX(0,IF((E$6-$E$3)&lt;1,0,IFERROR(LOOKUP(2,1/(Sorgo!$E29:INDEX(Sorgo!$E29:$Z29,MIN(E$6-$E$3,22))&lt;&gt;""),Sorgo!$E29:INDEX(Sorgo!$E29:$Z29,MIN(E$6-$E$3,22))),0))-IF($G$2,0,IF((E$6-$G$3)&lt;1,0,IFERROR(LOOKUP(2,1/(Sorgo!$E29:INDEX(Sorgo!$E29:$Z29,MIN(E$6-$G$3,22))&lt;&gt;""),Sorgo!$E29:INDEX(Sorgo!$E29:$Z29,MIN(E$6-$G$3,22))),0)))))</f>
        <v>0</v>
      </c>
      <c r="F31" s="27" t="n">
        <f aca="false">IF(COUNT(Sorgo!$E29:$Z29)=0,0,MAX(0,IF((F$6-$E$3)&lt;1,0,IFERROR(LOOKUP(2,1/(Sorgo!$E29:INDEX(Sorgo!$E29:$Z29,MIN(F$6-$E$3,22))&lt;&gt;""),Sorgo!$E29:INDEX(Sorgo!$E29:$Z29,MIN(F$6-$E$3,22))),0))-IF($G$2,0,IF((F$6-$G$3)&lt;1,0,IFERROR(LOOKUP(2,1/(Sorgo!$E29:INDEX(Sorgo!$E29:$Z29,MIN(F$6-$G$3,22))&lt;&gt;""),Sorgo!$E29:INDEX(Sorgo!$E29:$Z29,MIN(F$6-$G$3,22))),0)))))</f>
        <v>0</v>
      </c>
      <c r="G31" s="27" t="n">
        <f aca="false">IF(COUNT(Sorgo!$E29:$Z29)=0,0,MAX(0,IF((G$6-$E$3)&lt;1,0,IFERROR(LOOKUP(2,1/(Sorgo!$E29:INDEX(Sorgo!$E29:$Z29,MIN(G$6-$E$3,22))&lt;&gt;""),Sorgo!$E29:INDEX(Sorgo!$E29:$Z29,MIN(G$6-$E$3,22))),0))-IF($G$2,0,IF((G$6-$G$3)&lt;1,0,IFERROR(LOOKUP(2,1/(Sorgo!$E29:INDEX(Sorgo!$E29:$Z29,MIN(G$6-$G$3,22))&lt;&gt;""),Sorgo!$E29:INDEX(Sorgo!$E29:$Z29,MIN(G$6-$G$3,22))),0)))))</f>
        <v>0</v>
      </c>
      <c r="H31" s="27" t="n">
        <f aca="false">IF(COUNT(Sorgo!$E29:$Z29)=0,0,MAX(0,IF((H$6-$E$3)&lt;1,0,IFERROR(LOOKUP(2,1/(Sorgo!$E29:INDEX(Sorgo!$E29:$Z29,MIN(H$6-$E$3,22))&lt;&gt;""),Sorgo!$E29:INDEX(Sorgo!$E29:$Z29,MIN(H$6-$E$3,22))),0))-IF($G$2,0,IF((H$6-$G$3)&lt;1,0,IFERROR(LOOKUP(2,1/(Sorgo!$E29:INDEX(Sorgo!$E29:$Z29,MIN(H$6-$G$3,22))&lt;&gt;""),Sorgo!$E29:INDEX(Sorgo!$E29:$Z29,MIN(H$6-$G$3,22))),0)))))</f>
        <v>0</v>
      </c>
      <c r="I31" s="27" t="n">
        <f aca="false">IF(COUNT(Sorgo!$E29:$Z29)=0,0,MAX(0,IF((I$6-$E$3)&lt;1,0,IFERROR(LOOKUP(2,1/(Sorgo!$E29:INDEX(Sorgo!$E29:$Z29,MIN(I$6-$E$3,22))&lt;&gt;""),Sorgo!$E29:INDEX(Sorgo!$E29:$Z29,MIN(I$6-$E$3,22))),0))-IF($G$2,0,IF((I$6-$G$3)&lt;1,0,IFERROR(LOOKUP(2,1/(Sorgo!$E29:INDEX(Sorgo!$E29:$Z29,MIN(I$6-$G$3,22))&lt;&gt;""),Sorgo!$E29:INDEX(Sorgo!$E29:$Z29,MIN(I$6-$G$3,22))),0)))))</f>
        <v>0</v>
      </c>
      <c r="J31" s="27" t="n">
        <f aca="false">IF(COUNT(Sorgo!$E29:$Z29)=0,0,MAX(0,IF((J$6-$E$3)&lt;1,0,IFERROR(LOOKUP(2,1/(Sorgo!$E29:INDEX(Sorgo!$E29:$Z29,MIN(J$6-$E$3,22))&lt;&gt;""),Sorgo!$E29:INDEX(Sorgo!$E29:$Z29,MIN(J$6-$E$3,22))),0))-IF($G$2,0,IF((J$6-$G$3)&lt;1,0,IFERROR(LOOKUP(2,1/(Sorgo!$E29:INDEX(Sorgo!$E29:$Z29,MIN(J$6-$G$3,22))&lt;&gt;""),Sorgo!$E29:INDEX(Sorgo!$E29:$Z29,MIN(J$6-$G$3,22))),0)))))</f>
        <v>0</v>
      </c>
      <c r="K31" s="27" t="n">
        <f aca="false">IF(COUNT(Sorgo!$E29:$Z29)=0,0,MAX(0,IF((K$6-$E$3)&lt;1,0,IFERROR(LOOKUP(2,1/(Sorgo!$E29:INDEX(Sorgo!$E29:$Z29,MIN(K$6-$E$3,22))&lt;&gt;""),Sorgo!$E29:INDEX(Sorgo!$E29:$Z29,MIN(K$6-$E$3,22))),0))-IF($G$2,0,IF((K$6-$G$3)&lt;1,0,IFERROR(LOOKUP(2,1/(Sorgo!$E29:INDEX(Sorgo!$E29:$Z29,MIN(K$6-$G$3,22))&lt;&gt;""),Sorgo!$E29:INDEX(Sorgo!$E29:$Z29,MIN(K$6-$G$3,22))),0)))))</f>
        <v>0</v>
      </c>
      <c r="L31" s="27" t="n">
        <f aca="false">IF(COUNT(Sorgo!$E29:$Z29)=0,0,MAX(0,IF((L$6-$E$3)&lt;1,0,IFERROR(LOOKUP(2,1/(Sorgo!$E29:INDEX(Sorgo!$E29:$Z29,MIN(L$6-$E$3,22))&lt;&gt;""),Sorgo!$E29:INDEX(Sorgo!$E29:$Z29,MIN(L$6-$E$3,22))),0))-IF($G$2,0,IF((L$6-$G$3)&lt;1,0,IFERROR(LOOKUP(2,1/(Sorgo!$E29:INDEX(Sorgo!$E29:$Z29,MIN(L$6-$G$3,22))&lt;&gt;""),Sorgo!$E29:INDEX(Sorgo!$E29:$Z29,MIN(L$6-$G$3,22))),0)))))</f>
        <v>0</v>
      </c>
      <c r="M31" s="27" t="n">
        <f aca="false">IF(COUNT(Sorgo!$E29:$Z29)=0,0,MAX(0,IF((M$6-$E$3)&lt;1,0,IFERROR(LOOKUP(2,1/(Sorgo!$E29:INDEX(Sorgo!$E29:$Z29,MIN(M$6-$E$3,22))&lt;&gt;""),Sorgo!$E29:INDEX(Sorgo!$E29:$Z29,MIN(M$6-$E$3,22))),0))-IF($G$2,0,IF((M$6-$G$3)&lt;1,0,IFERROR(LOOKUP(2,1/(Sorgo!$E29:INDEX(Sorgo!$E29:$Z29,MIN(M$6-$G$3,22))&lt;&gt;""),Sorgo!$E29:INDEX(Sorgo!$E29:$Z29,MIN(M$6-$G$3,22))),0)))))</f>
        <v>0</v>
      </c>
      <c r="N31" s="27" t="n">
        <f aca="false">IF(COUNT(Sorgo!$E29:$Z29)=0,0,MAX(0,IF((N$6-$E$3)&lt;1,0,IFERROR(LOOKUP(2,1/(Sorgo!$E29:INDEX(Sorgo!$E29:$Z29,MIN(N$6-$E$3,22))&lt;&gt;""),Sorgo!$E29:INDEX(Sorgo!$E29:$Z29,MIN(N$6-$E$3,22))),0))-IF($G$2,0,IF((N$6-$G$3)&lt;1,0,IFERROR(LOOKUP(2,1/(Sorgo!$E29:INDEX(Sorgo!$E29:$Z29,MIN(N$6-$G$3,22))&lt;&gt;""),Sorgo!$E29:INDEX(Sorgo!$E29:$Z29,MIN(N$6-$G$3,22))),0)))))</f>
        <v>0</v>
      </c>
      <c r="O31" s="27" t="n">
        <f aca="false">IF(COUNT(Sorgo!$E29:$Z29)=0,0,MAX(0,IF((O$6-$E$3)&lt;1,0,IFERROR(LOOKUP(2,1/(Sorgo!$E29:INDEX(Sorgo!$E29:$Z29,MIN(O$6-$E$3,22))&lt;&gt;""),Sorgo!$E29:INDEX(Sorgo!$E29:$Z29,MIN(O$6-$E$3,22))),0))-IF($G$2,0,IF((O$6-$G$3)&lt;1,0,IFERROR(LOOKUP(2,1/(Sorgo!$E29:INDEX(Sorgo!$E29:$Z29,MIN(O$6-$G$3,22))&lt;&gt;""),Sorgo!$E29:INDEX(Sorgo!$E29:$Z29,MIN(O$6-$G$3,22))),0)))))</f>
        <v>0</v>
      </c>
      <c r="P31" s="27" t="n">
        <f aca="false">IF(COUNT(Sorgo!$E29:$Z29)=0,0,MAX(0,IF((P$6-$E$3)&lt;1,0,IFERROR(LOOKUP(2,1/(Sorgo!$E29:INDEX(Sorgo!$E29:$Z29,MIN(P$6-$E$3,22))&lt;&gt;""),Sorgo!$E29:INDEX(Sorgo!$E29:$Z29,MIN(P$6-$E$3,22))),0))-IF($G$2,0,IF((P$6-$G$3)&lt;1,0,IFERROR(LOOKUP(2,1/(Sorgo!$E29:INDEX(Sorgo!$E29:$Z29,MIN(P$6-$G$3,22))&lt;&gt;""),Sorgo!$E29:INDEX(Sorgo!$E29:$Z29,MIN(P$6-$G$3,22))),0)))))</f>
        <v>0</v>
      </c>
      <c r="Q31" s="27" t="n">
        <f aca="false">IF(COUNT(Sorgo!$E29:$Z29)=0,0,MAX(0,IF((Q$6-$E$3)&lt;1,0,IFERROR(LOOKUP(2,1/(Sorgo!$E29:INDEX(Sorgo!$E29:$Z29,MIN(Q$6-$E$3,22))&lt;&gt;""),Sorgo!$E29:INDEX(Sorgo!$E29:$Z29,MIN(Q$6-$E$3,22))),0))-IF($G$2,0,IF((Q$6-$G$3)&lt;1,0,IFERROR(LOOKUP(2,1/(Sorgo!$E29:INDEX(Sorgo!$E29:$Z29,MIN(Q$6-$G$3,22))&lt;&gt;""),Sorgo!$E29:INDEX(Sorgo!$E29:$Z29,MIN(Q$6-$G$3,22))),0)))))</f>
        <v>0</v>
      </c>
      <c r="R31" s="27" t="n">
        <f aca="false">IF(COUNT(Sorgo!$E29:$Z29)=0,0,MAX(0,IF((R$6-$E$3)&lt;1,0,IFERROR(LOOKUP(2,1/(Sorgo!$E29:INDEX(Sorgo!$E29:$Z29,MIN(R$6-$E$3,22))&lt;&gt;""),Sorgo!$E29:INDEX(Sorgo!$E29:$Z29,MIN(R$6-$E$3,22))),0))-IF($G$2,0,IF((R$6-$G$3)&lt;1,0,IFERROR(LOOKUP(2,1/(Sorgo!$E29:INDEX(Sorgo!$E29:$Z29,MIN(R$6-$G$3,22))&lt;&gt;""),Sorgo!$E29:INDEX(Sorgo!$E29:$Z29,MIN(R$6-$G$3,22))),0)))))</f>
        <v>0</v>
      </c>
      <c r="S31" s="27" t="n">
        <f aca="false">IF(COUNT(Sorgo!$E29:$Z29)=0,0,MAX(0,IF((S$6-$E$3)&lt;1,0,IFERROR(LOOKUP(2,1/(Sorgo!$E29:INDEX(Sorgo!$E29:$Z29,MIN(S$6-$E$3,22))&lt;&gt;""),Sorgo!$E29:INDEX(Sorgo!$E29:$Z29,MIN(S$6-$E$3,22))),0))-IF($G$2,0,IF((S$6-$G$3)&lt;1,0,IFERROR(LOOKUP(2,1/(Sorgo!$E29:INDEX(Sorgo!$E29:$Z29,MIN(S$6-$G$3,22))&lt;&gt;""),Sorgo!$E29:INDEX(Sorgo!$E29:$Z29,MIN(S$6-$G$3,22))),0)))))</f>
        <v>0</v>
      </c>
      <c r="T31" s="27" t="n">
        <f aca="false">IF(COUNT(Sorgo!$E29:$Z29)=0,0,MAX(0,IF((T$6-$E$3)&lt;1,0,IFERROR(LOOKUP(2,1/(Sorgo!$E29:INDEX(Sorgo!$E29:$Z29,MIN(T$6-$E$3,22))&lt;&gt;""),Sorgo!$E29:INDEX(Sorgo!$E29:$Z29,MIN(T$6-$E$3,22))),0))-IF($G$2,0,IF((T$6-$G$3)&lt;1,0,IFERROR(LOOKUP(2,1/(Sorgo!$E29:INDEX(Sorgo!$E29:$Z29,MIN(T$6-$G$3,22))&lt;&gt;""),Sorgo!$E29:INDEX(Sorgo!$E29:$Z29,MIN(T$6-$G$3,22))),0)))))</f>
        <v>0</v>
      </c>
      <c r="U31" s="27" t="n">
        <f aca="false">IF(COUNT(Sorgo!$E29:$Z29)=0,0,MAX(0,IF((U$6-$E$3)&lt;1,0,IFERROR(LOOKUP(2,1/(Sorgo!$E29:INDEX(Sorgo!$E29:$Z29,MIN(U$6-$E$3,22))&lt;&gt;""),Sorgo!$E29:INDEX(Sorgo!$E29:$Z29,MIN(U$6-$E$3,22))),0))-IF($G$2,0,IF((U$6-$G$3)&lt;1,0,IFERROR(LOOKUP(2,1/(Sorgo!$E29:INDEX(Sorgo!$E29:$Z29,MIN(U$6-$G$3,22))&lt;&gt;""),Sorgo!$E29:INDEX(Sorgo!$E29:$Z29,MIN(U$6-$G$3,22))),0)))))</f>
        <v>0</v>
      </c>
      <c r="V31" s="27" t="n">
        <f aca="false">IF(COUNT(Sorgo!$E29:$Z29)=0,0,MAX(0,IF((V$6-$E$3)&lt;1,0,IFERROR(LOOKUP(2,1/(Sorgo!$E29:INDEX(Sorgo!$E29:$Z29,MIN(V$6-$E$3,22))&lt;&gt;""),Sorgo!$E29:INDEX(Sorgo!$E29:$Z29,MIN(V$6-$E$3,22))),0))-IF($G$2,0,IF((V$6-$G$3)&lt;1,0,IFERROR(LOOKUP(2,1/(Sorgo!$E29:INDEX(Sorgo!$E29:$Z29,MIN(V$6-$G$3,22))&lt;&gt;""),Sorgo!$E29:INDEX(Sorgo!$E29:$Z29,MIN(V$6-$G$3,22))),0)))))</f>
        <v>0</v>
      </c>
      <c r="W31" s="27" t="n">
        <f aca="false">IF(COUNT(Sorgo!$E29:$Z29)=0,0,MAX(0,IF((W$6-$E$3)&lt;1,0,IFERROR(LOOKUP(2,1/(Sorgo!$E29:INDEX(Sorgo!$E29:$Z29,MIN(W$6-$E$3,22))&lt;&gt;""),Sorgo!$E29:INDEX(Sorgo!$E29:$Z29,MIN(W$6-$E$3,22))),0))-IF($G$2,0,IF((W$6-$G$3)&lt;1,0,IFERROR(LOOKUP(2,1/(Sorgo!$E29:INDEX(Sorgo!$E29:$Z29,MIN(W$6-$G$3,22))&lt;&gt;""),Sorgo!$E29:INDEX(Sorgo!$E29:$Z29,MIN(W$6-$G$3,22))),0)))))</f>
        <v>0</v>
      </c>
      <c r="X31" s="27" t="n">
        <f aca="false">IF(COUNT(Sorgo!$E29:$Z29)=0,0,MAX(0,IF((X$6-$E$3)&lt;1,0,IFERROR(LOOKUP(2,1/(Sorgo!$E29:INDEX(Sorgo!$E29:$Z29,MIN(X$6-$E$3,22))&lt;&gt;""),Sorgo!$E29:INDEX(Sorgo!$E29:$Z29,MIN(X$6-$E$3,22))),0))-IF($G$2,0,IF((X$6-$G$3)&lt;1,0,IFERROR(LOOKUP(2,1/(Sorgo!$E29:INDEX(Sorgo!$E29:$Z29,MIN(X$6-$G$3,22))&lt;&gt;""),Sorgo!$E29:INDEX(Sorgo!$E29:$Z29,MIN(X$6-$G$3,22))),0)))))</f>
        <v>0</v>
      </c>
      <c r="Y31" s="27" t="n">
        <f aca="false">IF(COUNT(Sorgo!$E29:$Z29)=0,0,MAX(0,IF((Y$6-$E$3)&lt;1,0,IFERROR(LOOKUP(2,1/(Sorgo!$E29:INDEX(Sorgo!$E29:$Z29,MIN(Y$6-$E$3,22))&lt;&gt;""),Sorgo!$E29:INDEX(Sorgo!$E29:$Z29,MIN(Y$6-$E$3,22))),0))-IF($G$2,0,IF((Y$6-$G$3)&lt;1,0,IFERROR(LOOKUP(2,1/(Sorgo!$E29:INDEX(Sorgo!$E29:$Z29,MIN(Y$6-$G$3,22))&lt;&gt;""),Sorgo!$E29:INDEX(Sorgo!$E29:$Z29,MIN(Y$6-$G$3,22))),0)))))</f>
        <v>0</v>
      </c>
      <c r="Z31" s="27" t="n">
        <f aca="false">IF(COUNT(Sorgo!$E29:$Z29)=0,0,MAX(0,IF((Z$6-$E$3)&lt;1,0,IFERROR(LOOKUP(2,1/(Sorgo!$E29:INDEX(Sorgo!$E29:$Z29,MIN(Z$6-$E$3,22))&lt;&gt;""),Sorgo!$E29:INDEX(Sorgo!$E29:$Z29,MIN(Z$6-$E$3,22))),0))-IF($G$2,0,IF((Z$6-$G$3)&lt;1,0,IFERROR(LOOKUP(2,1/(Sorgo!$E29:INDEX(Sorgo!$E29:$Z29,MIN(Z$6-$G$3,22))&lt;&gt;""),Sorgo!$E29:INDEX(Sorgo!$E29:$Z29,MIN(Z$6-$G$3,22))),0)))))</f>
        <v>0</v>
      </c>
      <c r="AA31" s="27" t="n">
        <f aca="false">IF(COUNT(Sorgo!$E29:$Z29)=0,0,MAX(0,IF((AA$6-$E$3)&lt;1,0,IFERROR(LOOKUP(2,1/(Sorgo!$E29:INDEX(Sorgo!$E29:$Z29,MIN(AA$6-$E$3,22))&lt;&gt;""),Sorgo!$E29:INDEX(Sorgo!$E29:$Z29,MIN(AA$6-$E$3,22))),0))-IF($G$2,0,IF((AA$6-$G$3)&lt;1,0,IFERROR(LOOKUP(2,1/(Sorgo!$E29:INDEX(Sorgo!$E29:$Z29,MIN(AA$6-$G$3,22))&lt;&gt;""),Sorgo!$E29:INDEX(Sorgo!$E29:$Z29,MIN(AA$6-$G$3,22))),0)))))</f>
        <v>0</v>
      </c>
      <c r="AB31" s="27" t="n">
        <f aca="false">IF(COUNT(Sorgo!$E29:$Z29)=0,0,MAX(0,IF((AB$6-$E$3)&lt;1,0,IFERROR(LOOKUP(2,1/(Sorgo!$E29:INDEX(Sorgo!$E29:$Z29,MIN(AB$6-$E$3,22))&lt;&gt;""),Sorgo!$E29:INDEX(Sorgo!$E29:$Z29,MIN(AB$6-$E$3,22))),0))-IF($G$2,0,IF((AB$6-$G$3)&lt;1,0,IFERROR(LOOKUP(2,1/(Sorgo!$E29:INDEX(Sorgo!$E29:$Z29,MIN(AB$6-$G$3,22))&lt;&gt;""),Sorgo!$E29:INDEX(Sorgo!$E29:$Z29,MIN(AB$6-$G$3,22))),0)))))</f>
        <v>0</v>
      </c>
      <c r="AC31" s="27" t="n">
        <f aca="false">IF(COUNT(Sorgo!$E29:$Z29)=0,0,MAX(0,IF((AC$6-$E$3)&lt;1,0,IFERROR(LOOKUP(2,1/(Sorgo!$E29:INDEX(Sorgo!$E29:$Z29,MIN(AC$6-$E$3,22))&lt;&gt;""),Sorgo!$E29:INDEX(Sorgo!$E29:$Z29,MIN(AC$6-$E$3,22))),0))-IF($G$2,0,IF((AC$6-$G$3)&lt;1,0,IFERROR(LOOKUP(2,1/(Sorgo!$E29:INDEX(Sorgo!$E29:$Z29,MIN(AC$6-$G$3,22))&lt;&gt;""),Sorgo!$E29:INDEX(Sorgo!$E29:$Z29,MIN(AC$6-$G$3,22))),0)))))</f>
        <v>0</v>
      </c>
      <c r="AD31" s="27" t="n">
        <f aca="false">IF(COUNT(Sorgo!$E29:$Z29)=0,0,MAX(0,IF((AD$6-$E$3)&lt;1,0,IFERROR(LOOKUP(2,1/(Sorgo!$E29:INDEX(Sorgo!$E29:$Z29,MIN(AD$6-$E$3,22))&lt;&gt;""),Sorgo!$E29:INDEX(Sorgo!$E29:$Z29,MIN(AD$6-$E$3,22))),0))-IF($G$2,0,IF((AD$6-$G$3)&lt;1,0,IFERROR(LOOKUP(2,1/(Sorgo!$E29:INDEX(Sorgo!$E29:$Z29,MIN(AD$6-$G$3,22))&lt;&gt;""),Sorgo!$E29:INDEX(Sorgo!$E29:$Z29,MIN(AD$6-$G$3,22))),0)))))</f>
        <v>0</v>
      </c>
      <c r="AE31" s="27" t="n">
        <f aca="false">IF(COUNT(Sorgo!$E29:$Z29)=0,0,MAX(0,IF((AE$6-$E$3)&lt;1,0,IFERROR(LOOKUP(2,1/(Sorgo!$E29:INDEX(Sorgo!$E29:$Z29,MIN(AE$6-$E$3,22))&lt;&gt;""),Sorgo!$E29:INDEX(Sorgo!$E29:$Z29,MIN(AE$6-$E$3,22))),0))-IF($G$2,0,IF((AE$6-$G$3)&lt;1,0,IFERROR(LOOKUP(2,1/(Sorgo!$E29:INDEX(Sorgo!$E29:$Z29,MIN(AE$6-$G$3,22))&lt;&gt;""),Sorgo!$E29:INDEX(Sorgo!$E29:$Z29,MIN(AE$6-$G$3,22))),0)))))</f>
        <v>0</v>
      </c>
      <c r="AF31" s="27" t="n">
        <f aca="false">IF(COUNT(Sorgo!$E29:$Z29)=0,0,MAX(0,IF((AF$6-$E$3)&lt;1,0,IFERROR(LOOKUP(2,1/(Sorgo!$E29:INDEX(Sorgo!$E29:$Z29,MIN(AF$6-$E$3,22))&lt;&gt;""),Sorgo!$E29:INDEX(Sorgo!$E29:$Z29,MIN(AF$6-$E$3,22))),0))-IF($G$2,0,IF((AF$6-$G$3)&lt;1,0,IFERROR(LOOKUP(2,1/(Sorgo!$E29:INDEX(Sorgo!$E29:$Z29,MIN(AF$6-$G$3,22))&lt;&gt;""),Sorgo!$E29:INDEX(Sorgo!$E29:$Z29,MIN(AF$6-$G$3,22))),0)))))</f>
        <v>0</v>
      </c>
      <c r="AG31" s="27" t="n">
        <f aca="false">IF(COUNT(Sorgo!$E29:$Z29)=0,0,MAX(0,IF((AG$6-$E$3)&lt;1,0,IFERROR(LOOKUP(2,1/(Sorgo!$E29:INDEX(Sorgo!$E29:$Z29,MIN(AG$6-$E$3,22))&lt;&gt;""),Sorgo!$E29:INDEX(Sorgo!$E29:$Z29,MIN(AG$6-$E$3,22))),0))-IF($G$2,0,IF((AG$6-$G$3)&lt;1,0,IFERROR(LOOKUP(2,1/(Sorgo!$E29:INDEX(Sorgo!$E29:$Z29,MIN(AG$6-$G$3,22))&lt;&gt;""),Sorgo!$E29:INDEX(Sorgo!$E29:$Z29,MIN(AG$6-$G$3,22))),0)))))</f>
        <v>0</v>
      </c>
      <c r="AH31" s="27" t="n">
        <f aca="false">IF(COUNT(Sorgo!$E29:$Z29)=0,0,MAX(0,IF((AH$6-$E$3)&lt;1,0,IFERROR(LOOKUP(2,1/(Sorgo!$E29:INDEX(Sorgo!$E29:$Z29,MIN(AH$6-$E$3,22))&lt;&gt;""),Sorgo!$E29:INDEX(Sorgo!$E29:$Z29,MIN(AH$6-$E$3,22))),0))-IF($G$2,0,IF((AH$6-$G$3)&lt;1,0,IFERROR(LOOKUP(2,1/(Sorgo!$E29:INDEX(Sorgo!$E29:$Z29,MIN(AH$6-$G$3,22))&lt;&gt;""),Sorgo!$E29:INDEX(Sorgo!$E29:$Z29,MIN(AH$6-$G$3,22))),0)))))</f>
        <v>0</v>
      </c>
      <c r="AI31" s="27" t="n">
        <f aca="false">IF(COUNT(Sorgo!$E29:$Z29)=0,0,MAX(0,IF((AI$6-$E$3)&lt;1,0,IFERROR(LOOKUP(2,1/(Sorgo!$E29:INDEX(Sorgo!$E29:$Z29,MIN(AI$6-$E$3,22))&lt;&gt;""),Sorgo!$E29:INDEX(Sorgo!$E29:$Z29,MIN(AI$6-$E$3,22))),0))-IF($G$2,0,IF((AI$6-$G$3)&lt;1,0,IFERROR(LOOKUP(2,1/(Sorgo!$E29:INDEX(Sorgo!$E29:$Z29,MIN(AI$6-$G$3,22))&lt;&gt;""),Sorgo!$E29:INDEX(Sorgo!$E29:$Z29,MIN(AI$6-$G$3,22))),0)))))</f>
        <v>0</v>
      </c>
      <c r="AJ31" s="27" t="n">
        <f aca="false">IF(COUNT(Sorgo!$E29:$Z29)=0,0,MAX(0,IF((AJ$6-$E$3)&lt;1,0,IFERROR(LOOKUP(2,1/(Sorgo!$E29:INDEX(Sorgo!$E29:$Z29,MIN(AJ$6-$E$3,22))&lt;&gt;""),Sorgo!$E29:INDEX(Sorgo!$E29:$Z29,MIN(AJ$6-$E$3,22))),0))-IF($G$2,0,IF((AJ$6-$G$3)&lt;1,0,IFERROR(LOOKUP(2,1/(Sorgo!$E29:INDEX(Sorgo!$E29:$Z29,MIN(AJ$6-$G$3,22))&lt;&gt;""),Sorgo!$E29:INDEX(Sorgo!$E29:$Z29,MIN(AJ$6-$G$3,22))),0)))))</f>
        <v>0</v>
      </c>
      <c r="AK31" s="27" t="n">
        <f aca="false">IF(COUNT(Sorgo!$E29:$Z29)=0,0,MAX(0,IF((AK$6-$E$3)&lt;1,0,IFERROR(LOOKUP(2,1/(Sorgo!$E29:INDEX(Sorgo!$E29:$Z29,MIN(AK$6-$E$3,22))&lt;&gt;""),Sorgo!$E29:INDEX(Sorgo!$E29:$Z29,MIN(AK$6-$E$3,22))),0))-IF($G$2,0,IF((AK$6-$G$3)&lt;1,0,IFERROR(LOOKUP(2,1/(Sorgo!$E29:INDEX(Sorgo!$E29:$Z29,MIN(AK$6-$G$3,22))&lt;&gt;""),Sorgo!$E29:INDEX(Sorgo!$E29:$Z29,MIN(AK$6-$G$3,22))),0)))))</f>
        <v>0</v>
      </c>
      <c r="AL31" s="27" t="n">
        <f aca="false">IF(COUNT(Sorgo!$E29:$Z29)=0,0,MAX(0,IF((AL$6-$E$3)&lt;1,0,IFERROR(LOOKUP(2,1/(Sorgo!$E29:INDEX(Sorgo!$E29:$Z29,MIN(AL$6-$E$3,22))&lt;&gt;""),Sorgo!$E29:INDEX(Sorgo!$E29:$Z29,MIN(AL$6-$E$3,22))),0))-IF($G$2,0,IF((AL$6-$G$3)&lt;1,0,IFERROR(LOOKUP(2,1/(Sorgo!$E29:INDEX(Sorgo!$E29:$Z29,MIN(AL$6-$G$3,22))&lt;&gt;""),Sorgo!$E29:INDEX(Sorgo!$E29:$Z29,MIN(AL$6-$G$3,22))),0)))))</f>
        <v>0</v>
      </c>
      <c r="AM31" s="27" t="n">
        <f aca="false">IF(COUNT(Sorgo!$E29:$Z29)=0,0,MAX(0,IF((AM$6-$E$3)&lt;1,0,IFERROR(LOOKUP(2,1/(Sorgo!$E29:INDEX(Sorgo!$E29:$Z29,MIN(AM$6-$E$3,22))&lt;&gt;""),Sorgo!$E29:INDEX(Sorgo!$E29:$Z29,MIN(AM$6-$E$3,22))),0))-IF($G$2,0,IF((AM$6-$G$3)&lt;1,0,IFERROR(LOOKUP(2,1/(Sorgo!$E29:INDEX(Sorgo!$E29:$Z29,MIN(AM$6-$G$3,22))&lt;&gt;""),Sorgo!$E29:INDEX(Sorgo!$E29:$Z29,MIN(AM$6-$G$3,22))),0)))))</f>
        <v>0</v>
      </c>
      <c r="AN31" s="27" t="n">
        <f aca="false">IF(COUNT(Sorgo!$E29:$Z29)=0,0,MAX(0,IF((AN$6-$E$3)&lt;1,0,IFERROR(LOOKUP(2,1/(Sorgo!$E29:INDEX(Sorgo!$E29:$Z29,MIN(AN$6-$E$3,22))&lt;&gt;""),Sorgo!$E29:INDEX(Sorgo!$E29:$Z29,MIN(AN$6-$E$3,22))),0))-IF($G$2,0,IF((AN$6-$G$3)&lt;1,0,IFERROR(LOOKUP(2,1/(Sorgo!$E29:INDEX(Sorgo!$E29:$Z29,MIN(AN$6-$G$3,22))&lt;&gt;""),Sorgo!$E29:INDEX(Sorgo!$E29:$Z29,MIN(AN$6-$G$3,22))),0)))))</f>
        <v>0</v>
      </c>
      <c r="AO31" s="27" t="n">
        <f aca="false">IF(COUNT(Sorgo!$E29:$Z29)=0,0,MAX(0,IF((AO$6-$E$3)&lt;1,0,IFERROR(LOOKUP(2,1/(Sorgo!$E29:INDEX(Sorgo!$E29:$Z29,MIN(AO$6-$E$3,22))&lt;&gt;""),Sorgo!$E29:INDEX(Sorgo!$E29:$Z29,MIN(AO$6-$E$3,22))),0))-IF($G$2,0,IF((AO$6-$G$3)&lt;1,0,IFERROR(LOOKUP(2,1/(Sorgo!$E29:INDEX(Sorgo!$E29:$Z29,MIN(AO$6-$G$3,22))&lt;&gt;""),Sorgo!$E29:INDEX(Sorgo!$E29:$Z29,MIN(AO$6-$G$3,22))),0)))))</f>
        <v>0</v>
      </c>
      <c r="AP31" s="27" t="n">
        <f aca="false">IF(COUNT(Sorgo!$E29:$Z29)=0,0,MAX(0,IF((AP$6-$E$3)&lt;1,0,IFERROR(LOOKUP(2,1/(Sorgo!$E29:INDEX(Sorgo!$E29:$Z29,MIN(AP$6-$E$3,22))&lt;&gt;""),Sorgo!$E29:INDEX(Sorgo!$E29:$Z29,MIN(AP$6-$E$3,22))),0))-IF($G$2,0,IF((AP$6-$G$3)&lt;1,0,IFERROR(LOOKUP(2,1/(Sorgo!$E29:INDEX(Sorgo!$E29:$Z29,MIN(AP$6-$G$3,22))&lt;&gt;""),Sorgo!$E29:INDEX(Sorgo!$E29:$Z29,MIN(AP$6-$G$3,22))),0)))))</f>
        <v>0</v>
      </c>
      <c r="AQ31" s="27" t="n">
        <f aca="false">IF(COUNT(Sorgo!$E29:$Z29)=0,0,MAX(0,IF((AQ$6-$E$3)&lt;1,0,IFERROR(LOOKUP(2,1/(Sorgo!$E29:INDEX(Sorgo!$E29:$Z29,MIN(AQ$6-$E$3,22))&lt;&gt;""),Sorgo!$E29:INDEX(Sorgo!$E29:$Z29,MIN(AQ$6-$E$3,22))),0))-IF($G$2,0,IF((AQ$6-$G$3)&lt;1,0,IFERROR(LOOKUP(2,1/(Sorgo!$E29:INDEX(Sorgo!$E29:$Z29,MIN(AQ$6-$G$3,22))&lt;&gt;""),Sorgo!$E29:INDEX(Sorgo!$E29:$Z29,MIN(AQ$6-$G$3,22))),0)))))</f>
        <v>0</v>
      </c>
      <c r="AR31" s="27" t="n">
        <f aca="false">IF(COUNT(Sorgo!$E29:$Z29)=0,0,MAX(0,IF((AR$6-$E$3)&lt;1,0,IFERROR(LOOKUP(2,1/(Sorgo!$E29:INDEX(Sorgo!$E29:$Z29,MIN(AR$6-$E$3,22))&lt;&gt;""),Sorgo!$E29:INDEX(Sorgo!$E29:$Z29,MIN(AR$6-$E$3,22))),0))-IF($G$2,0,IF((AR$6-$G$3)&lt;1,0,IFERROR(LOOKUP(2,1/(Sorgo!$E29:INDEX(Sorgo!$E29:$Z29,MIN(AR$6-$G$3,22))&lt;&gt;""),Sorgo!$E29:INDEX(Sorgo!$E29:$Z29,MIN(AR$6-$G$3,22))),0)))))</f>
        <v>0</v>
      </c>
      <c r="AS31" s="27" t="n">
        <f aca="false">IF(COUNT(Sorgo!$E29:$Z29)=0,0,MAX(0,IF((AS$6-$E$3)&lt;1,0,IFERROR(LOOKUP(2,1/(Sorgo!$E29:INDEX(Sorgo!$E29:$Z29,MIN(AS$6-$E$3,22))&lt;&gt;""),Sorgo!$E29:INDEX(Sorgo!$E29:$Z29,MIN(AS$6-$E$3,22))),0))-IF($G$2,0,IF((AS$6-$G$3)&lt;1,0,IFERROR(LOOKUP(2,1/(Sorgo!$E29:INDEX(Sorgo!$E29:$Z29,MIN(AS$6-$G$3,22))&lt;&gt;""),Sorgo!$E29:INDEX(Sorgo!$E29:$Z29,MIN(AS$6-$G$3,22))),0)))))</f>
        <v>0</v>
      </c>
      <c r="AT31" s="27" t="n">
        <f aca="false">IF(COUNT(Sorgo!$E29:$Z29)=0,0,MAX(0,IF((AT$6-$E$3)&lt;1,0,IFERROR(LOOKUP(2,1/(Sorgo!$E29:INDEX(Sorgo!$E29:$Z29,MIN(AT$6-$E$3,22))&lt;&gt;""),Sorgo!$E29:INDEX(Sorgo!$E29:$Z29,MIN(AT$6-$E$3,22))),0))-IF($G$2,0,IF((AT$6-$G$3)&lt;1,0,IFERROR(LOOKUP(2,1/(Sorgo!$E29:INDEX(Sorgo!$E29:$Z29,MIN(AT$6-$G$3,22))&lt;&gt;""),Sorgo!$E29:INDEX(Sorgo!$E29:$Z29,MIN(AT$6-$G$3,22))),0)))))</f>
        <v>0</v>
      </c>
      <c r="AU31" s="27" t="n">
        <f aca="false">IF(COUNT(Sorgo!$E29:$Z29)=0,0,MAX(0,IF((AU$6-$E$3)&lt;1,0,IFERROR(LOOKUP(2,1/(Sorgo!$E29:INDEX(Sorgo!$E29:$Z29,MIN(AU$6-$E$3,22))&lt;&gt;""),Sorgo!$E29:INDEX(Sorgo!$E29:$Z29,MIN(AU$6-$E$3,22))),0))-IF($G$2,0,IF((AU$6-$G$3)&lt;1,0,IFERROR(LOOKUP(2,1/(Sorgo!$E29:INDEX(Sorgo!$E29:$Z29,MIN(AU$6-$G$3,22))&lt;&gt;""),Sorgo!$E29:INDEX(Sorgo!$E29:$Z29,MIN(AU$6-$G$3,22))),0)))))</f>
        <v>0</v>
      </c>
      <c r="AV31" s="27" t="n">
        <f aca="false">IF(COUNT(Sorgo!$E29:$Z29)=0,0,MAX(0,IF((AV$6-$E$3)&lt;1,0,IFERROR(LOOKUP(2,1/(Sorgo!$E29:INDEX(Sorgo!$E29:$Z29,MIN(AV$6-$E$3,22))&lt;&gt;""),Sorgo!$E29:INDEX(Sorgo!$E29:$Z29,MIN(AV$6-$E$3,22))),0))-IF($G$2,0,IF((AV$6-$G$3)&lt;1,0,IFERROR(LOOKUP(2,1/(Sorgo!$E29:INDEX(Sorgo!$E29:$Z29,MIN(AV$6-$G$3,22))&lt;&gt;""),Sorgo!$E29:INDEX(Sorgo!$E29:$Z29,MIN(AV$6-$G$3,22))),0)))))</f>
        <v>0</v>
      </c>
      <c r="AW31" s="27" t="n">
        <f aca="false">IF(COUNT(Sorgo!$E29:$Z29)=0,0,MAX(0,IF((AW$6-$E$3)&lt;1,0,IFERROR(LOOKUP(2,1/(Sorgo!$E29:INDEX(Sorgo!$E29:$Z29,MIN(AW$6-$E$3,22))&lt;&gt;""),Sorgo!$E29:INDEX(Sorgo!$E29:$Z29,MIN(AW$6-$E$3,22))),0))-IF($G$2,0,IF((AW$6-$G$3)&lt;1,0,IFERROR(LOOKUP(2,1/(Sorgo!$E29:INDEX(Sorgo!$E29:$Z29,MIN(AW$6-$G$3,22))&lt;&gt;""),Sorgo!$E29:INDEX(Sorgo!$E29:$Z29,MIN(AW$6-$G$3,22))),0)))))</f>
        <v>0</v>
      </c>
      <c r="AX31" s="27" t="n">
        <f aca="false">IF(COUNT(Sorgo!$E29:$Z29)=0,0,MAX(0,IF((AX$6-$E$3)&lt;1,0,IFERROR(LOOKUP(2,1/(Sorgo!$E29:INDEX(Sorgo!$E29:$Z29,MIN(AX$6-$E$3,22))&lt;&gt;""),Sorgo!$E29:INDEX(Sorgo!$E29:$Z29,MIN(AX$6-$E$3,22))),0))-IF($G$2,0,IF((AX$6-$G$3)&lt;1,0,IFERROR(LOOKUP(2,1/(Sorgo!$E29:INDEX(Sorgo!$E29:$Z29,MIN(AX$6-$G$3,22))&lt;&gt;""),Sorgo!$E29:INDEX(Sorgo!$E29:$Z29,MIN(AX$6-$G$3,22))),0)))))</f>
        <v>0</v>
      </c>
      <c r="AY31" s="27" t="n">
        <f aca="false">IF(COUNT(Sorgo!$E29:$Z29)=0,0,MAX(0,IF((AY$6-$E$3)&lt;1,0,IFERROR(LOOKUP(2,1/(Sorgo!$E29:INDEX(Sorgo!$E29:$Z29,MIN(AY$6-$E$3,22))&lt;&gt;""),Sorgo!$E29:INDEX(Sorgo!$E29:$Z29,MIN(AY$6-$E$3,22))),0))-IF($G$2,0,IF((AY$6-$G$3)&lt;1,0,IFERROR(LOOKUP(2,1/(Sorgo!$E29:INDEX(Sorgo!$E29:$Z29,MIN(AY$6-$G$3,22))&lt;&gt;""),Sorgo!$E29:INDEX(Sorgo!$E29:$Z29,MIN(AY$6-$G$3,22))),0)))))</f>
        <v>0</v>
      </c>
      <c r="AZ31" s="27" t="n">
        <f aca="false">IF(COUNT(Sorgo!$E29:$Z29)=0,0,MAX(0,IF((AZ$6-$E$3)&lt;1,0,IFERROR(LOOKUP(2,1/(Sorgo!$E29:INDEX(Sorgo!$E29:$Z29,MIN(AZ$6-$E$3,22))&lt;&gt;""),Sorgo!$E29:INDEX(Sorgo!$E29:$Z29,MIN(AZ$6-$E$3,22))),0))-IF($G$2,0,IF((AZ$6-$G$3)&lt;1,0,IFERROR(LOOKUP(2,1/(Sorgo!$E29:INDEX(Sorgo!$E29:$Z29,MIN(AZ$6-$G$3,22))&lt;&gt;""),Sorgo!$E29:INDEX(Sorgo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IF(COUNT(Sorgo!$E30:$Z30)&gt;0,N(Sorgo!$D30),0)</f>
        <v>0</v>
      </c>
      <c r="E32" s="27" t="n">
        <f aca="false">IF(COUNT(Sorgo!$E30:$Z30)=0,0,MAX(0,IF((E$6-$E$3)&lt;1,0,IFERROR(LOOKUP(2,1/(Sorgo!$E30:INDEX(Sorgo!$E30:$Z30,MIN(E$6-$E$3,22))&lt;&gt;""),Sorgo!$E30:INDEX(Sorgo!$E30:$Z30,MIN(E$6-$E$3,22))),0))-IF($G$2,0,IF((E$6-$G$3)&lt;1,0,IFERROR(LOOKUP(2,1/(Sorgo!$E30:INDEX(Sorgo!$E30:$Z30,MIN(E$6-$G$3,22))&lt;&gt;""),Sorgo!$E30:INDEX(Sorgo!$E30:$Z30,MIN(E$6-$G$3,22))),0)))))</f>
        <v>0</v>
      </c>
      <c r="F32" s="27" t="n">
        <f aca="false">IF(COUNT(Sorgo!$E30:$Z30)=0,0,MAX(0,IF((F$6-$E$3)&lt;1,0,IFERROR(LOOKUP(2,1/(Sorgo!$E30:INDEX(Sorgo!$E30:$Z30,MIN(F$6-$E$3,22))&lt;&gt;""),Sorgo!$E30:INDEX(Sorgo!$E30:$Z30,MIN(F$6-$E$3,22))),0))-IF($G$2,0,IF((F$6-$G$3)&lt;1,0,IFERROR(LOOKUP(2,1/(Sorgo!$E30:INDEX(Sorgo!$E30:$Z30,MIN(F$6-$G$3,22))&lt;&gt;""),Sorgo!$E30:INDEX(Sorgo!$E30:$Z30,MIN(F$6-$G$3,22))),0)))))</f>
        <v>0</v>
      </c>
      <c r="G32" s="27" t="n">
        <f aca="false">IF(COUNT(Sorgo!$E30:$Z30)=0,0,MAX(0,IF((G$6-$E$3)&lt;1,0,IFERROR(LOOKUP(2,1/(Sorgo!$E30:INDEX(Sorgo!$E30:$Z30,MIN(G$6-$E$3,22))&lt;&gt;""),Sorgo!$E30:INDEX(Sorgo!$E30:$Z30,MIN(G$6-$E$3,22))),0))-IF($G$2,0,IF((G$6-$G$3)&lt;1,0,IFERROR(LOOKUP(2,1/(Sorgo!$E30:INDEX(Sorgo!$E30:$Z30,MIN(G$6-$G$3,22))&lt;&gt;""),Sorgo!$E30:INDEX(Sorgo!$E30:$Z30,MIN(G$6-$G$3,22))),0)))))</f>
        <v>0</v>
      </c>
      <c r="H32" s="27" t="n">
        <f aca="false">IF(COUNT(Sorgo!$E30:$Z30)=0,0,MAX(0,IF((H$6-$E$3)&lt;1,0,IFERROR(LOOKUP(2,1/(Sorgo!$E30:INDEX(Sorgo!$E30:$Z30,MIN(H$6-$E$3,22))&lt;&gt;""),Sorgo!$E30:INDEX(Sorgo!$E30:$Z30,MIN(H$6-$E$3,22))),0))-IF($G$2,0,IF((H$6-$G$3)&lt;1,0,IFERROR(LOOKUP(2,1/(Sorgo!$E30:INDEX(Sorgo!$E30:$Z30,MIN(H$6-$G$3,22))&lt;&gt;""),Sorgo!$E30:INDEX(Sorgo!$E30:$Z30,MIN(H$6-$G$3,22))),0)))))</f>
        <v>0</v>
      </c>
      <c r="I32" s="27" t="n">
        <f aca="false">IF(COUNT(Sorgo!$E30:$Z30)=0,0,MAX(0,IF((I$6-$E$3)&lt;1,0,IFERROR(LOOKUP(2,1/(Sorgo!$E30:INDEX(Sorgo!$E30:$Z30,MIN(I$6-$E$3,22))&lt;&gt;""),Sorgo!$E30:INDEX(Sorgo!$E30:$Z30,MIN(I$6-$E$3,22))),0))-IF($G$2,0,IF((I$6-$G$3)&lt;1,0,IFERROR(LOOKUP(2,1/(Sorgo!$E30:INDEX(Sorgo!$E30:$Z30,MIN(I$6-$G$3,22))&lt;&gt;""),Sorgo!$E30:INDEX(Sorgo!$E30:$Z30,MIN(I$6-$G$3,22))),0)))))</f>
        <v>0</v>
      </c>
      <c r="J32" s="27" t="n">
        <f aca="false">IF(COUNT(Sorgo!$E30:$Z30)=0,0,MAX(0,IF((J$6-$E$3)&lt;1,0,IFERROR(LOOKUP(2,1/(Sorgo!$E30:INDEX(Sorgo!$E30:$Z30,MIN(J$6-$E$3,22))&lt;&gt;""),Sorgo!$E30:INDEX(Sorgo!$E30:$Z30,MIN(J$6-$E$3,22))),0))-IF($G$2,0,IF((J$6-$G$3)&lt;1,0,IFERROR(LOOKUP(2,1/(Sorgo!$E30:INDEX(Sorgo!$E30:$Z30,MIN(J$6-$G$3,22))&lt;&gt;""),Sorgo!$E30:INDEX(Sorgo!$E30:$Z30,MIN(J$6-$G$3,22))),0)))))</f>
        <v>0</v>
      </c>
      <c r="K32" s="27" t="n">
        <f aca="false">IF(COUNT(Sorgo!$E30:$Z30)=0,0,MAX(0,IF((K$6-$E$3)&lt;1,0,IFERROR(LOOKUP(2,1/(Sorgo!$E30:INDEX(Sorgo!$E30:$Z30,MIN(K$6-$E$3,22))&lt;&gt;""),Sorgo!$E30:INDEX(Sorgo!$E30:$Z30,MIN(K$6-$E$3,22))),0))-IF($G$2,0,IF((K$6-$G$3)&lt;1,0,IFERROR(LOOKUP(2,1/(Sorgo!$E30:INDEX(Sorgo!$E30:$Z30,MIN(K$6-$G$3,22))&lt;&gt;""),Sorgo!$E30:INDEX(Sorgo!$E30:$Z30,MIN(K$6-$G$3,22))),0)))))</f>
        <v>0</v>
      </c>
      <c r="L32" s="27" t="n">
        <f aca="false">IF(COUNT(Sorgo!$E30:$Z30)=0,0,MAX(0,IF((L$6-$E$3)&lt;1,0,IFERROR(LOOKUP(2,1/(Sorgo!$E30:INDEX(Sorgo!$E30:$Z30,MIN(L$6-$E$3,22))&lt;&gt;""),Sorgo!$E30:INDEX(Sorgo!$E30:$Z30,MIN(L$6-$E$3,22))),0))-IF($G$2,0,IF((L$6-$G$3)&lt;1,0,IFERROR(LOOKUP(2,1/(Sorgo!$E30:INDEX(Sorgo!$E30:$Z30,MIN(L$6-$G$3,22))&lt;&gt;""),Sorgo!$E30:INDEX(Sorgo!$E30:$Z30,MIN(L$6-$G$3,22))),0)))))</f>
        <v>0</v>
      </c>
      <c r="M32" s="27" t="n">
        <f aca="false">IF(COUNT(Sorgo!$E30:$Z30)=0,0,MAX(0,IF((M$6-$E$3)&lt;1,0,IFERROR(LOOKUP(2,1/(Sorgo!$E30:INDEX(Sorgo!$E30:$Z30,MIN(M$6-$E$3,22))&lt;&gt;""),Sorgo!$E30:INDEX(Sorgo!$E30:$Z30,MIN(M$6-$E$3,22))),0))-IF($G$2,0,IF((M$6-$G$3)&lt;1,0,IFERROR(LOOKUP(2,1/(Sorgo!$E30:INDEX(Sorgo!$E30:$Z30,MIN(M$6-$G$3,22))&lt;&gt;""),Sorgo!$E30:INDEX(Sorgo!$E30:$Z30,MIN(M$6-$G$3,22))),0)))))</f>
        <v>0</v>
      </c>
      <c r="N32" s="27" t="n">
        <f aca="false">IF(COUNT(Sorgo!$E30:$Z30)=0,0,MAX(0,IF((N$6-$E$3)&lt;1,0,IFERROR(LOOKUP(2,1/(Sorgo!$E30:INDEX(Sorgo!$E30:$Z30,MIN(N$6-$E$3,22))&lt;&gt;""),Sorgo!$E30:INDEX(Sorgo!$E30:$Z30,MIN(N$6-$E$3,22))),0))-IF($G$2,0,IF((N$6-$G$3)&lt;1,0,IFERROR(LOOKUP(2,1/(Sorgo!$E30:INDEX(Sorgo!$E30:$Z30,MIN(N$6-$G$3,22))&lt;&gt;""),Sorgo!$E30:INDEX(Sorgo!$E30:$Z30,MIN(N$6-$G$3,22))),0)))))</f>
        <v>0</v>
      </c>
      <c r="O32" s="27" t="n">
        <f aca="false">IF(COUNT(Sorgo!$E30:$Z30)=0,0,MAX(0,IF((O$6-$E$3)&lt;1,0,IFERROR(LOOKUP(2,1/(Sorgo!$E30:INDEX(Sorgo!$E30:$Z30,MIN(O$6-$E$3,22))&lt;&gt;""),Sorgo!$E30:INDEX(Sorgo!$E30:$Z30,MIN(O$6-$E$3,22))),0))-IF($G$2,0,IF((O$6-$G$3)&lt;1,0,IFERROR(LOOKUP(2,1/(Sorgo!$E30:INDEX(Sorgo!$E30:$Z30,MIN(O$6-$G$3,22))&lt;&gt;""),Sorgo!$E30:INDEX(Sorgo!$E30:$Z30,MIN(O$6-$G$3,22))),0)))))</f>
        <v>0</v>
      </c>
      <c r="P32" s="27" t="n">
        <f aca="false">IF(COUNT(Sorgo!$E30:$Z30)=0,0,MAX(0,IF((P$6-$E$3)&lt;1,0,IFERROR(LOOKUP(2,1/(Sorgo!$E30:INDEX(Sorgo!$E30:$Z30,MIN(P$6-$E$3,22))&lt;&gt;""),Sorgo!$E30:INDEX(Sorgo!$E30:$Z30,MIN(P$6-$E$3,22))),0))-IF($G$2,0,IF((P$6-$G$3)&lt;1,0,IFERROR(LOOKUP(2,1/(Sorgo!$E30:INDEX(Sorgo!$E30:$Z30,MIN(P$6-$G$3,22))&lt;&gt;""),Sorgo!$E30:INDEX(Sorgo!$E30:$Z30,MIN(P$6-$G$3,22))),0)))))</f>
        <v>0</v>
      </c>
      <c r="Q32" s="27" t="n">
        <f aca="false">IF(COUNT(Sorgo!$E30:$Z30)=0,0,MAX(0,IF((Q$6-$E$3)&lt;1,0,IFERROR(LOOKUP(2,1/(Sorgo!$E30:INDEX(Sorgo!$E30:$Z30,MIN(Q$6-$E$3,22))&lt;&gt;""),Sorgo!$E30:INDEX(Sorgo!$E30:$Z30,MIN(Q$6-$E$3,22))),0))-IF($G$2,0,IF((Q$6-$G$3)&lt;1,0,IFERROR(LOOKUP(2,1/(Sorgo!$E30:INDEX(Sorgo!$E30:$Z30,MIN(Q$6-$G$3,22))&lt;&gt;""),Sorgo!$E30:INDEX(Sorgo!$E30:$Z30,MIN(Q$6-$G$3,22))),0)))))</f>
        <v>0</v>
      </c>
      <c r="R32" s="27" t="n">
        <f aca="false">IF(COUNT(Sorgo!$E30:$Z30)=0,0,MAX(0,IF((R$6-$E$3)&lt;1,0,IFERROR(LOOKUP(2,1/(Sorgo!$E30:INDEX(Sorgo!$E30:$Z30,MIN(R$6-$E$3,22))&lt;&gt;""),Sorgo!$E30:INDEX(Sorgo!$E30:$Z30,MIN(R$6-$E$3,22))),0))-IF($G$2,0,IF((R$6-$G$3)&lt;1,0,IFERROR(LOOKUP(2,1/(Sorgo!$E30:INDEX(Sorgo!$E30:$Z30,MIN(R$6-$G$3,22))&lt;&gt;""),Sorgo!$E30:INDEX(Sorgo!$E30:$Z30,MIN(R$6-$G$3,22))),0)))))</f>
        <v>0</v>
      </c>
      <c r="S32" s="27" t="n">
        <f aca="false">IF(COUNT(Sorgo!$E30:$Z30)=0,0,MAX(0,IF((S$6-$E$3)&lt;1,0,IFERROR(LOOKUP(2,1/(Sorgo!$E30:INDEX(Sorgo!$E30:$Z30,MIN(S$6-$E$3,22))&lt;&gt;""),Sorgo!$E30:INDEX(Sorgo!$E30:$Z30,MIN(S$6-$E$3,22))),0))-IF($G$2,0,IF((S$6-$G$3)&lt;1,0,IFERROR(LOOKUP(2,1/(Sorgo!$E30:INDEX(Sorgo!$E30:$Z30,MIN(S$6-$G$3,22))&lt;&gt;""),Sorgo!$E30:INDEX(Sorgo!$E30:$Z30,MIN(S$6-$G$3,22))),0)))))</f>
        <v>0</v>
      </c>
      <c r="T32" s="27" t="n">
        <f aca="false">IF(COUNT(Sorgo!$E30:$Z30)=0,0,MAX(0,IF((T$6-$E$3)&lt;1,0,IFERROR(LOOKUP(2,1/(Sorgo!$E30:INDEX(Sorgo!$E30:$Z30,MIN(T$6-$E$3,22))&lt;&gt;""),Sorgo!$E30:INDEX(Sorgo!$E30:$Z30,MIN(T$6-$E$3,22))),0))-IF($G$2,0,IF((T$6-$G$3)&lt;1,0,IFERROR(LOOKUP(2,1/(Sorgo!$E30:INDEX(Sorgo!$E30:$Z30,MIN(T$6-$G$3,22))&lt;&gt;""),Sorgo!$E30:INDEX(Sorgo!$E30:$Z30,MIN(T$6-$G$3,22))),0)))))</f>
        <v>0</v>
      </c>
      <c r="U32" s="27" t="n">
        <f aca="false">IF(COUNT(Sorgo!$E30:$Z30)=0,0,MAX(0,IF((U$6-$E$3)&lt;1,0,IFERROR(LOOKUP(2,1/(Sorgo!$E30:INDEX(Sorgo!$E30:$Z30,MIN(U$6-$E$3,22))&lt;&gt;""),Sorgo!$E30:INDEX(Sorgo!$E30:$Z30,MIN(U$6-$E$3,22))),0))-IF($G$2,0,IF((U$6-$G$3)&lt;1,0,IFERROR(LOOKUP(2,1/(Sorgo!$E30:INDEX(Sorgo!$E30:$Z30,MIN(U$6-$G$3,22))&lt;&gt;""),Sorgo!$E30:INDEX(Sorgo!$E30:$Z30,MIN(U$6-$G$3,22))),0)))))</f>
        <v>0</v>
      </c>
      <c r="V32" s="27" t="n">
        <f aca="false">IF(COUNT(Sorgo!$E30:$Z30)=0,0,MAX(0,IF((V$6-$E$3)&lt;1,0,IFERROR(LOOKUP(2,1/(Sorgo!$E30:INDEX(Sorgo!$E30:$Z30,MIN(V$6-$E$3,22))&lt;&gt;""),Sorgo!$E30:INDEX(Sorgo!$E30:$Z30,MIN(V$6-$E$3,22))),0))-IF($G$2,0,IF((V$6-$G$3)&lt;1,0,IFERROR(LOOKUP(2,1/(Sorgo!$E30:INDEX(Sorgo!$E30:$Z30,MIN(V$6-$G$3,22))&lt;&gt;""),Sorgo!$E30:INDEX(Sorgo!$E30:$Z30,MIN(V$6-$G$3,22))),0)))))</f>
        <v>0</v>
      </c>
      <c r="W32" s="27" t="n">
        <f aca="false">IF(COUNT(Sorgo!$E30:$Z30)=0,0,MAX(0,IF((W$6-$E$3)&lt;1,0,IFERROR(LOOKUP(2,1/(Sorgo!$E30:INDEX(Sorgo!$E30:$Z30,MIN(W$6-$E$3,22))&lt;&gt;""),Sorgo!$E30:INDEX(Sorgo!$E30:$Z30,MIN(W$6-$E$3,22))),0))-IF($G$2,0,IF((W$6-$G$3)&lt;1,0,IFERROR(LOOKUP(2,1/(Sorgo!$E30:INDEX(Sorgo!$E30:$Z30,MIN(W$6-$G$3,22))&lt;&gt;""),Sorgo!$E30:INDEX(Sorgo!$E30:$Z30,MIN(W$6-$G$3,22))),0)))))</f>
        <v>0</v>
      </c>
      <c r="X32" s="27" t="n">
        <f aca="false">IF(COUNT(Sorgo!$E30:$Z30)=0,0,MAX(0,IF((X$6-$E$3)&lt;1,0,IFERROR(LOOKUP(2,1/(Sorgo!$E30:INDEX(Sorgo!$E30:$Z30,MIN(X$6-$E$3,22))&lt;&gt;""),Sorgo!$E30:INDEX(Sorgo!$E30:$Z30,MIN(X$6-$E$3,22))),0))-IF($G$2,0,IF((X$6-$G$3)&lt;1,0,IFERROR(LOOKUP(2,1/(Sorgo!$E30:INDEX(Sorgo!$E30:$Z30,MIN(X$6-$G$3,22))&lt;&gt;""),Sorgo!$E30:INDEX(Sorgo!$E30:$Z30,MIN(X$6-$G$3,22))),0)))))</f>
        <v>0</v>
      </c>
      <c r="Y32" s="27" t="n">
        <f aca="false">IF(COUNT(Sorgo!$E30:$Z30)=0,0,MAX(0,IF((Y$6-$E$3)&lt;1,0,IFERROR(LOOKUP(2,1/(Sorgo!$E30:INDEX(Sorgo!$E30:$Z30,MIN(Y$6-$E$3,22))&lt;&gt;""),Sorgo!$E30:INDEX(Sorgo!$E30:$Z30,MIN(Y$6-$E$3,22))),0))-IF($G$2,0,IF((Y$6-$G$3)&lt;1,0,IFERROR(LOOKUP(2,1/(Sorgo!$E30:INDEX(Sorgo!$E30:$Z30,MIN(Y$6-$G$3,22))&lt;&gt;""),Sorgo!$E30:INDEX(Sorgo!$E30:$Z30,MIN(Y$6-$G$3,22))),0)))))</f>
        <v>0</v>
      </c>
      <c r="Z32" s="27" t="n">
        <f aca="false">IF(COUNT(Sorgo!$E30:$Z30)=0,0,MAX(0,IF((Z$6-$E$3)&lt;1,0,IFERROR(LOOKUP(2,1/(Sorgo!$E30:INDEX(Sorgo!$E30:$Z30,MIN(Z$6-$E$3,22))&lt;&gt;""),Sorgo!$E30:INDEX(Sorgo!$E30:$Z30,MIN(Z$6-$E$3,22))),0))-IF($G$2,0,IF((Z$6-$G$3)&lt;1,0,IFERROR(LOOKUP(2,1/(Sorgo!$E30:INDEX(Sorgo!$E30:$Z30,MIN(Z$6-$G$3,22))&lt;&gt;""),Sorgo!$E30:INDEX(Sorgo!$E30:$Z30,MIN(Z$6-$G$3,22))),0)))))</f>
        <v>0</v>
      </c>
      <c r="AA32" s="27" t="n">
        <f aca="false">IF(COUNT(Sorgo!$E30:$Z30)=0,0,MAX(0,IF((AA$6-$E$3)&lt;1,0,IFERROR(LOOKUP(2,1/(Sorgo!$E30:INDEX(Sorgo!$E30:$Z30,MIN(AA$6-$E$3,22))&lt;&gt;""),Sorgo!$E30:INDEX(Sorgo!$E30:$Z30,MIN(AA$6-$E$3,22))),0))-IF($G$2,0,IF((AA$6-$G$3)&lt;1,0,IFERROR(LOOKUP(2,1/(Sorgo!$E30:INDEX(Sorgo!$E30:$Z30,MIN(AA$6-$G$3,22))&lt;&gt;""),Sorgo!$E30:INDEX(Sorgo!$E30:$Z30,MIN(AA$6-$G$3,22))),0)))))</f>
        <v>0</v>
      </c>
      <c r="AB32" s="27" t="n">
        <f aca="false">IF(COUNT(Sorgo!$E30:$Z30)=0,0,MAX(0,IF((AB$6-$E$3)&lt;1,0,IFERROR(LOOKUP(2,1/(Sorgo!$E30:INDEX(Sorgo!$E30:$Z30,MIN(AB$6-$E$3,22))&lt;&gt;""),Sorgo!$E30:INDEX(Sorgo!$E30:$Z30,MIN(AB$6-$E$3,22))),0))-IF($G$2,0,IF((AB$6-$G$3)&lt;1,0,IFERROR(LOOKUP(2,1/(Sorgo!$E30:INDEX(Sorgo!$E30:$Z30,MIN(AB$6-$G$3,22))&lt;&gt;""),Sorgo!$E30:INDEX(Sorgo!$E30:$Z30,MIN(AB$6-$G$3,22))),0)))))</f>
        <v>0</v>
      </c>
      <c r="AC32" s="27" t="n">
        <f aca="false">IF(COUNT(Sorgo!$E30:$Z30)=0,0,MAX(0,IF((AC$6-$E$3)&lt;1,0,IFERROR(LOOKUP(2,1/(Sorgo!$E30:INDEX(Sorgo!$E30:$Z30,MIN(AC$6-$E$3,22))&lt;&gt;""),Sorgo!$E30:INDEX(Sorgo!$E30:$Z30,MIN(AC$6-$E$3,22))),0))-IF($G$2,0,IF((AC$6-$G$3)&lt;1,0,IFERROR(LOOKUP(2,1/(Sorgo!$E30:INDEX(Sorgo!$E30:$Z30,MIN(AC$6-$G$3,22))&lt;&gt;""),Sorgo!$E30:INDEX(Sorgo!$E30:$Z30,MIN(AC$6-$G$3,22))),0)))))</f>
        <v>0</v>
      </c>
      <c r="AD32" s="27" t="n">
        <f aca="false">IF(COUNT(Sorgo!$E30:$Z30)=0,0,MAX(0,IF((AD$6-$E$3)&lt;1,0,IFERROR(LOOKUP(2,1/(Sorgo!$E30:INDEX(Sorgo!$E30:$Z30,MIN(AD$6-$E$3,22))&lt;&gt;""),Sorgo!$E30:INDEX(Sorgo!$E30:$Z30,MIN(AD$6-$E$3,22))),0))-IF($G$2,0,IF((AD$6-$G$3)&lt;1,0,IFERROR(LOOKUP(2,1/(Sorgo!$E30:INDEX(Sorgo!$E30:$Z30,MIN(AD$6-$G$3,22))&lt;&gt;""),Sorgo!$E30:INDEX(Sorgo!$E30:$Z30,MIN(AD$6-$G$3,22))),0)))))</f>
        <v>0</v>
      </c>
      <c r="AE32" s="27" t="n">
        <f aca="false">IF(COUNT(Sorgo!$E30:$Z30)=0,0,MAX(0,IF((AE$6-$E$3)&lt;1,0,IFERROR(LOOKUP(2,1/(Sorgo!$E30:INDEX(Sorgo!$E30:$Z30,MIN(AE$6-$E$3,22))&lt;&gt;""),Sorgo!$E30:INDEX(Sorgo!$E30:$Z30,MIN(AE$6-$E$3,22))),0))-IF($G$2,0,IF((AE$6-$G$3)&lt;1,0,IFERROR(LOOKUP(2,1/(Sorgo!$E30:INDEX(Sorgo!$E30:$Z30,MIN(AE$6-$G$3,22))&lt;&gt;""),Sorgo!$E30:INDEX(Sorgo!$E30:$Z30,MIN(AE$6-$G$3,22))),0)))))</f>
        <v>0</v>
      </c>
      <c r="AF32" s="27" t="n">
        <f aca="false">IF(COUNT(Sorgo!$E30:$Z30)=0,0,MAX(0,IF((AF$6-$E$3)&lt;1,0,IFERROR(LOOKUP(2,1/(Sorgo!$E30:INDEX(Sorgo!$E30:$Z30,MIN(AF$6-$E$3,22))&lt;&gt;""),Sorgo!$E30:INDEX(Sorgo!$E30:$Z30,MIN(AF$6-$E$3,22))),0))-IF($G$2,0,IF((AF$6-$G$3)&lt;1,0,IFERROR(LOOKUP(2,1/(Sorgo!$E30:INDEX(Sorgo!$E30:$Z30,MIN(AF$6-$G$3,22))&lt;&gt;""),Sorgo!$E30:INDEX(Sorgo!$E30:$Z30,MIN(AF$6-$G$3,22))),0)))))</f>
        <v>0</v>
      </c>
      <c r="AG32" s="27" t="n">
        <f aca="false">IF(COUNT(Sorgo!$E30:$Z30)=0,0,MAX(0,IF((AG$6-$E$3)&lt;1,0,IFERROR(LOOKUP(2,1/(Sorgo!$E30:INDEX(Sorgo!$E30:$Z30,MIN(AG$6-$E$3,22))&lt;&gt;""),Sorgo!$E30:INDEX(Sorgo!$E30:$Z30,MIN(AG$6-$E$3,22))),0))-IF($G$2,0,IF((AG$6-$G$3)&lt;1,0,IFERROR(LOOKUP(2,1/(Sorgo!$E30:INDEX(Sorgo!$E30:$Z30,MIN(AG$6-$G$3,22))&lt;&gt;""),Sorgo!$E30:INDEX(Sorgo!$E30:$Z30,MIN(AG$6-$G$3,22))),0)))))</f>
        <v>0</v>
      </c>
      <c r="AH32" s="27" t="n">
        <f aca="false">IF(COUNT(Sorgo!$E30:$Z30)=0,0,MAX(0,IF((AH$6-$E$3)&lt;1,0,IFERROR(LOOKUP(2,1/(Sorgo!$E30:INDEX(Sorgo!$E30:$Z30,MIN(AH$6-$E$3,22))&lt;&gt;""),Sorgo!$E30:INDEX(Sorgo!$E30:$Z30,MIN(AH$6-$E$3,22))),0))-IF($G$2,0,IF((AH$6-$G$3)&lt;1,0,IFERROR(LOOKUP(2,1/(Sorgo!$E30:INDEX(Sorgo!$E30:$Z30,MIN(AH$6-$G$3,22))&lt;&gt;""),Sorgo!$E30:INDEX(Sorgo!$E30:$Z30,MIN(AH$6-$G$3,22))),0)))))</f>
        <v>0</v>
      </c>
      <c r="AI32" s="27" t="n">
        <f aca="false">IF(COUNT(Sorgo!$E30:$Z30)=0,0,MAX(0,IF((AI$6-$E$3)&lt;1,0,IFERROR(LOOKUP(2,1/(Sorgo!$E30:INDEX(Sorgo!$E30:$Z30,MIN(AI$6-$E$3,22))&lt;&gt;""),Sorgo!$E30:INDEX(Sorgo!$E30:$Z30,MIN(AI$6-$E$3,22))),0))-IF($G$2,0,IF((AI$6-$G$3)&lt;1,0,IFERROR(LOOKUP(2,1/(Sorgo!$E30:INDEX(Sorgo!$E30:$Z30,MIN(AI$6-$G$3,22))&lt;&gt;""),Sorgo!$E30:INDEX(Sorgo!$E30:$Z30,MIN(AI$6-$G$3,22))),0)))))</f>
        <v>0</v>
      </c>
      <c r="AJ32" s="27" t="n">
        <f aca="false">IF(COUNT(Sorgo!$E30:$Z30)=0,0,MAX(0,IF((AJ$6-$E$3)&lt;1,0,IFERROR(LOOKUP(2,1/(Sorgo!$E30:INDEX(Sorgo!$E30:$Z30,MIN(AJ$6-$E$3,22))&lt;&gt;""),Sorgo!$E30:INDEX(Sorgo!$E30:$Z30,MIN(AJ$6-$E$3,22))),0))-IF($G$2,0,IF((AJ$6-$G$3)&lt;1,0,IFERROR(LOOKUP(2,1/(Sorgo!$E30:INDEX(Sorgo!$E30:$Z30,MIN(AJ$6-$G$3,22))&lt;&gt;""),Sorgo!$E30:INDEX(Sorgo!$E30:$Z30,MIN(AJ$6-$G$3,22))),0)))))</f>
        <v>0</v>
      </c>
      <c r="AK32" s="27" t="n">
        <f aca="false">IF(COUNT(Sorgo!$E30:$Z30)=0,0,MAX(0,IF((AK$6-$E$3)&lt;1,0,IFERROR(LOOKUP(2,1/(Sorgo!$E30:INDEX(Sorgo!$E30:$Z30,MIN(AK$6-$E$3,22))&lt;&gt;""),Sorgo!$E30:INDEX(Sorgo!$E30:$Z30,MIN(AK$6-$E$3,22))),0))-IF($G$2,0,IF((AK$6-$G$3)&lt;1,0,IFERROR(LOOKUP(2,1/(Sorgo!$E30:INDEX(Sorgo!$E30:$Z30,MIN(AK$6-$G$3,22))&lt;&gt;""),Sorgo!$E30:INDEX(Sorgo!$E30:$Z30,MIN(AK$6-$G$3,22))),0)))))</f>
        <v>0</v>
      </c>
      <c r="AL32" s="27" t="n">
        <f aca="false">IF(COUNT(Sorgo!$E30:$Z30)=0,0,MAX(0,IF((AL$6-$E$3)&lt;1,0,IFERROR(LOOKUP(2,1/(Sorgo!$E30:INDEX(Sorgo!$E30:$Z30,MIN(AL$6-$E$3,22))&lt;&gt;""),Sorgo!$E30:INDEX(Sorgo!$E30:$Z30,MIN(AL$6-$E$3,22))),0))-IF($G$2,0,IF((AL$6-$G$3)&lt;1,0,IFERROR(LOOKUP(2,1/(Sorgo!$E30:INDEX(Sorgo!$E30:$Z30,MIN(AL$6-$G$3,22))&lt;&gt;""),Sorgo!$E30:INDEX(Sorgo!$E30:$Z30,MIN(AL$6-$G$3,22))),0)))))</f>
        <v>0</v>
      </c>
      <c r="AM32" s="27" t="n">
        <f aca="false">IF(COUNT(Sorgo!$E30:$Z30)=0,0,MAX(0,IF((AM$6-$E$3)&lt;1,0,IFERROR(LOOKUP(2,1/(Sorgo!$E30:INDEX(Sorgo!$E30:$Z30,MIN(AM$6-$E$3,22))&lt;&gt;""),Sorgo!$E30:INDEX(Sorgo!$E30:$Z30,MIN(AM$6-$E$3,22))),0))-IF($G$2,0,IF((AM$6-$G$3)&lt;1,0,IFERROR(LOOKUP(2,1/(Sorgo!$E30:INDEX(Sorgo!$E30:$Z30,MIN(AM$6-$G$3,22))&lt;&gt;""),Sorgo!$E30:INDEX(Sorgo!$E30:$Z30,MIN(AM$6-$G$3,22))),0)))))</f>
        <v>0</v>
      </c>
      <c r="AN32" s="27" t="n">
        <f aca="false">IF(COUNT(Sorgo!$E30:$Z30)=0,0,MAX(0,IF((AN$6-$E$3)&lt;1,0,IFERROR(LOOKUP(2,1/(Sorgo!$E30:INDEX(Sorgo!$E30:$Z30,MIN(AN$6-$E$3,22))&lt;&gt;""),Sorgo!$E30:INDEX(Sorgo!$E30:$Z30,MIN(AN$6-$E$3,22))),0))-IF($G$2,0,IF((AN$6-$G$3)&lt;1,0,IFERROR(LOOKUP(2,1/(Sorgo!$E30:INDEX(Sorgo!$E30:$Z30,MIN(AN$6-$G$3,22))&lt;&gt;""),Sorgo!$E30:INDEX(Sorgo!$E30:$Z30,MIN(AN$6-$G$3,22))),0)))))</f>
        <v>0</v>
      </c>
      <c r="AO32" s="27" t="n">
        <f aca="false">IF(COUNT(Sorgo!$E30:$Z30)=0,0,MAX(0,IF((AO$6-$E$3)&lt;1,0,IFERROR(LOOKUP(2,1/(Sorgo!$E30:INDEX(Sorgo!$E30:$Z30,MIN(AO$6-$E$3,22))&lt;&gt;""),Sorgo!$E30:INDEX(Sorgo!$E30:$Z30,MIN(AO$6-$E$3,22))),0))-IF($G$2,0,IF((AO$6-$G$3)&lt;1,0,IFERROR(LOOKUP(2,1/(Sorgo!$E30:INDEX(Sorgo!$E30:$Z30,MIN(AO$6-$G$3,22))&lt;&gt;""),Sorgo!$E30:INDEX(Sorgo!$E30:$Z30,MIN(AO$6-$G$3,22))),0)))))</f>
        <v>0</v>
      </c>
      <c r="AP32" s="27" t="n">
        <f aca="false">IF(COUNT(Sorgo!$E30:$Z30)=0,0,MAX(0,IF((AP$6-$E$3)&lt;1,0,IFERROR(LOOKUP(2,1/(Sorgo!$E30:INDEX(Sorgo!$E30:$Z30,MIN(AP$6-$E$3,22))&lt;&gt;""),Sorgo!$E30:INDEX(Sorgo!$E30:$Z30,MIN(AP$6-$E$3,22))),0))-IF($G$2,0,IF((AP$6-$G$3)&lt;1,0,IFERROR(LOOKUP(2,1/(Sorgo!$E30:INDEX(Sorgo!$E30:$Z30,MIN(AP$6-$G$3,22))&lt;&gt;""),Sorgo!$E30:INDEX(Sorgo!$E30:$Z30,MIN(AP$6-$G$3,22))),0)))))</f>
        <v>0</v>
      </c>
      <c r="AQ32" s="27" t="n">
        <f aca="false">IF(COUNT(Sorgo!$E30:$Z30)=0,0,MAX(0,IF((AQ$6-$E$3)&lt;1,0,IFERROR(LOOKUP(2,1/(Sorgo!$E30:INDEX(Sorgo!$E30:$Z30,MIN(AQ$6-$E$3,22))&lt;&gt;""),Sorgo!$E30:INDEX(Sorgo!$E30:$Z30,MIN(AQ$6-$E$3,22))),0))-IF($G$2,0,IF((AQ$6-$G$3)&lt;1,0,IFERROR(LOOKUP(2,1/(Sorgo!$E30:INDEX(Sorgo!$E30:$Z30,MIN(AQ$6-$G$3,22))&lt;&gt;""),Sorgo!$E30:INDEX(Sorgo!$E30:$Z30,MIN(AQ$6-$G$3,22))),0)))))</f>
        <v>0</v>
      </c>
      <c r="AR32" s="27" t="n">
        <f aca="false">IF(COUNT(Sorgo!$E30:$Z30)=0,0,MAX(0,IF((AR$6-$E$3)&lt;1,0,IFERROR(LOOKUP(2,1/(Sorgo!$E30:INDEX(Sorgo!$E30:$Z30,MIN(AR$6-$E$3,22))&lt;&gt;""),Sorgo!$E30:INDEX(Sorgo!$E30:$Z30,MIN(AR$6-$E$3,22))),0))-IF($G$2,0,IF((AR$6-$G$3)&lt;1,0,IFERROR(LOOKUP(2,1/(Sorgo!$E30:INDEX(Sorgo!$E30:$Z30,MIN(AR$6-$G$3,22))&lt;&gt;""),Sorgo!$E30:INDEX(Sorgo!$E30:$Z30,MIN(AR$6-$G$3,22))),0)))))</f>
        <v>0</v>
      </c>
      <c r="AS32" s="27" t="n">
        <f aca="false">IF(COUNT(Sorgo!$E30:$Z30)=0,0,MAX(0,IF((AS$6-$E$3)&lt;1,0,IFERROR(LOOKUP(2,1/(Sorgo!$E30:INDEX(Sorgo!$E30:$Z30,MIN(AS$6-$E$3,22))&lt;&gt;""),Sorgo!$E30:INDEX(Sorgo!$E30:$Z30,MIN(AS$6-$E$3,22))),0))-IF($G$2,0,IF((AS$6-$G$3)&lt;1,0,IFERROR(LOOKUP(2,1/(Sorgo!$E30:INDEX(Sorgo!$E30:$Z30,MIN(AS$6-$G$3,22))&lt;&gt;""),Sorgo!$E30:INDEX(Sorgo!$E30:$Z30,MIN(AS$6-$G$3,22))),0)))))</f>
        <v>0</v>
      </c>
      <c r="AT32" s="27" t="n">
        <f aca="false">IF(COUNT(Sorgo!$E30:$Z30)=0,0,MAX(0,IF((AT$6-$E$3)&lt;1,0,IFERROR(LOOKUP(2,1/(Sorgo!$E30:INDEX(Sorgo!$E30:$Z30,MIN(AT$6-$E$3,22))&lt;&gt;""),Sorgo!$E30:INDEX(Sorgo!$E30:$Z30,MIN(AT$6-$E$3,22))),0))-IF($G$2,0,IF((AT$6-$G$3)&lt;1,0,IFERROR(LOOKUP(2,1/(Sorgo!$E30:INDEX(Sorgo!$E30:$Z30,MIN(AT$6-$G$3,22))&lt;&gt;""),Sorgo!$E30:INDEX(Sorgo!$E30:$Z30,MIN(AT$6-$G$3,22))),0)))))</f>
        <v>0</v>
      </c>
      <c r="AU32" s="27" t="n">
        <f aca="false">IF(COUNT(Sorgo!$E30:$Z30)=0,0,MAX(0,IF((AU$6-$E$3)&lt;1,0,IFERROR(LOOKUP(2,1/(Sorgo!$E30:INDEX(Sorgo!$E30:$Z30,MIN(AU$6-$E$3,22))&lt;&gt;""),Sorgo!$E30:INDEX(Sorgo!$E30:$Z30,MIN(AU$6-$E$3,22))),0))-IF($G$2,0,IF((AU$6-$G$3)&lt;1,0,IFERROR(LOOKUP(2,1/(Sorgo!$E30:INDEX(Sorgo!$E30:$Z30,MIN(AU$6-$G$3,22))&lt;&gt;""),Sorgo!$E30:INDEX(Sorgo!$E30:$Z30,MIN(AU$6-$G$3,22))),0)))))</f>
        <v>0</v>
      </c>
      <c r="AV32" s="27" t="n">
        <f aca="false">IF(COUNT(Sorgo!$E30:$Z30)=0,0,MAX(0,IF((AV$6-$E$3)&lt;1,0,IFERROR(LOOKUP(2,1/(Sorgo!$E30:INDEX(Sorgo!$E30:$Z30,MIN(AV$6-$E$3,22))&lt;&gt;""),Sorgo!$E30:INDEX(Sorgo!$E30:$Z30,MIN(AV$6-$E$3,22))),0))-IF($G$2,0,IF((AV$6-$G$3)&lt;1,0,IFERROR(LOOKUP(2,1/(Sorgo!$E30:INDEX(Sorgo!$E30:$Z30,MIN(AV$6-$G$3,22))&lt;&gt;""),Sorgo!$E30:INDEX(Sorgo!$E30:$Z30,MIN(AV$6-$G$3,22))),0)))))</f>
        <v>0</v>
      </c>
      <c r="AW32" s="27" t="n">
        <f aca="false">IF(COUNT(Sorgo!$E30:$Z30)=0,0,MAX(0,IF((AW$6-$E$3)&lt;1,0,IFERROR(LOOKUP(2,1/(Sorgo!$E30:INDEX(Sorgo!$E30:$Z30,MIN(AW$6-$E$3,22))&lt;&gt;""),Sorgo!$E30:INDEX(Sorgo!$E30:$Z30,MIN(AW$6-$E$3,22))),0))-IF($G$2,0,IF((AW$6-$G$3)&lt;1,0,IFERROR(LOOKUP(2,1/(Sorgo!$E30:INDEX(Sorgo!$E30:$Z30,MIN(AW$6-$G$3,22))&lt;&gt;""),Sorgo!$E30:INDEX(Sorgo!$E30:$Z30,MIN(AW$6-$G$3,22))),0)))))</f>
        <v>0</v>
      </c>
      <c r="AX32" s="27" t="n">
        <f aca="false">IF(COUNT(Sorgo!$E30:$Z30)=0,0,MAX(0,IF((AX$6-$E$3)&lt;1,0,IFERROR(LOOKUP(2,1/(Sorgo!$E30:INDEX(Sorgo!$E30:$Z30,MIN(AX$6-$E$3,22))&lt;&gt;""),Sorgo!$E30:INDEX(Sorgo!$E30:$Z30,MIN(AX$6-$E$3,22))),0))-IF($G$2,0,IF((AX$6-$G$3)&lt;1,0,IFERROR(LOOKUP(2,1/(Sorgo!$E30:INDEX(Sorgo!$E30:$Z30,MIN(AX$6-$G$3,22))&lt;&gt;""),Sorgo!$E30:INDEX(Sorgo!$E30:$Z30,MIN(AX$6-$G$3,22))),0)))))</f>
        <v>0</v>
      </c>
      <c r="AY32" s="27" t="n">
        <f aca="false">IF(COUNT(Sorgo!$E30:$Z30)=0,0,MAX(0,IF((AY$6-$E$3)&lt;1,0,IFERROR(LOOKUP(2,1/(Sorgo!$E30:INDEX(Sorgo!$E30:$Z30,MIN(AY$6-$E$3,22))&lt;&gt;""),Sorgo!$E30:INDEX(Sorgo!$E30:$Z30,MIN(AY$6-$E$3,22))),0))-IF($G$2,0,IF((AY$6-$G$3)&lt;1,0,IFERROR(LOOKUP(2,1/(Sorgo!$E30:INDEX(Sorgo!$E30:$Z30,MIN(AY$6-$G$3,22))&lt;&gt;""),Sorgo!$E30:INDEX(Sorgo!$E30:$Z30,MIN(AY$6-$G$3,22))),0)))))</f>
        <v>0</v>
      </c>
      <c r="AZ32" s="27" t="n">
        <f aca="false">IF(COUNT(Sorgo!$E30:$Z30)=0,0,MAX(0,IF((AZ$6-$E$3)&lt;1,0,IFERROR(LOOKUP(2,1/(Sorgo!$E30:INDEX(Sorgo!$E30:$Z30,MIN(AZ$6-$E$3,22))&lt;&gt;""),Sorgo!$E30:INDEX(Sorgo!$E30:$Z30,MIN(AZ$6-$E$3,22))),0))-IF($G$2,0,IF((AZ$6-$G$3)&lt;1,0,IFERROR(LOOKUP(2,1/(Sorgo!$E30:INDEX(Sorgo!$E30:$Z30,MIN(AZ$6-$G$3,22))&lt;&gt;""),Sorgo!$E30:INDEX(Sorgo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IF(COUNT(Sorgo!$E31:$Z31)&gt;0,N(Sorgo!$D31),0)</f>
        <v>0</v>
      </c>
      <c r="E33" s="27" t="n">
        <f aca="false">IF(COUNT(Sorgo!$E31:$Z31)=0,0,MAX(0,IF((E$6-$E$3)&lt;1,0,IFERROR(LOOKUP(2,1/(Sorgo!$E31:INDEX(Sorgo!$E31:$Z31,MIN(E$6-$E$3,22))&lt;&gt;""),Sorgo!$E31:INDEX(Sorgo!$E31:$Z31,MIN(E$6-$E$3,22))),0))-IF($G$2,0,IF((E$6-$G$3)&lt;1,0,IFERROR(LOOKUP(2,1/(Sorgo!$E31:INDEX(Sorgo!$E31:$Z31,MIN(E$6-$G$3,22))&lt;&gt;""),Sorgo!$E31:INDEX(Sorgo!$E31:$Z31,MIN(E$6-$G$3,22))),0)))))</f>
        <v>0</v>
      </c>
      <c r="F33" s="27" t="n">
        <f aca="false">IF(COUNT(Sorgo!$E31:$Z31)=0,0,MAX(0,IF((F$6-$E$3)&lt;1,0,IFERROR(LOOKUP(2,1/(Sorgo!$E31:INDEX(Sorgo!$E31:$Z31,MIN(F$6-$E$3,22))&lt;&gt;""),Sorgo!$E31:INDEX(Sorgo!$E31:$Z31,MIN(F$6-$E$3,22))),0))-IF($G$2,0,IF((F$6-$G$3)&lt;1,0,IFERROR(LOOKUP(2,1/(Sorgo!$E31:INDEX(Sorgo!$E31:$Z31,MIN(F$6-$G$3,22))&lt;&gt;""),Sorgo!$E31:INDEX(Sorgo!$E31:$Z31,MIN(F$6-$G$3,22))),0)))))</f>
        <v>0</v>
      </c>
      <c r="G33" s="27" t="n">
        <f aca="false">IF(COUNT(Sorgo!$E31:$Z31)=0,0,MAX(0,IF((G$6-$E$3)&lt;1,0,IFERROR(LOOKUP(2,1/(Sorgo!$E31:INDEX(Sorgo!$E31:$Z31,MIN(G$6-$E$3,22))&lt;&gt;""),Sorgo!$E31:INDEX(Sorgo!$E31:$Z31,MIN(G$6-$E$3,22))),0))-IF($G$2,0,IF((G$6-$G$3)&lt;1,0,IFERROR(LOOKUP(2,1/(Sorgo!$E31:INDEX(Sorgo!$E31:$Z31,MIN(G$6-$G$3,22))&lt;&gt;""),Sorgo!$E31:INDEX(Sorgo!$E31:$Z31,MIN(G$6-$G$3,22))),0)))))</f>
        <v>0</v>
      </c>
      <c r="H33" s="27" t="n">
        <f aca="false">IF(COUNT(Sorgo!$E31:$Z31)=0,0,MAX(0,IF((H$6-$E$3)&lt;1,0,IFERROR(LOOKUP(2,1/(Sorgo!$E31:INDEX(Sorgo!$E31:$Z31,MIN(H$6-$E$3,22))&lt;&gt;""),Sorgo!$E31:INDEX(Sorgo!$E31:$Z31,MIN(H$6-$E$3,22))),0))-IF($G$2,0,IF((H$6-$G$3)&lt;1,0,IFERROR(LOOKUP(2,1/(Sorgo!$E31:INDEX(Sorgo!$E31:$Z31,MIN(H$6-$G$3,22))&lt;&gt;""),Sorgo!$E31:INDEX(Sorgo!$E31:$Z31,MIN(H$6-$G$3,22))),0)))))</f>
        <v>0</v>
      </c>
      <c r="I33" s="27" t="n">
        <f aca="false">IF(COUNT(Sorgo!$E31:$Z31)=0,0,MAX(0,IF((I$6-$E$3)&lt;1,0,IFERROR(LOOKUP(2,1/(Sorgo!$E31:INDEX(Sorgo!$E31:$Z31,MIN(I$6-$E$3,22))&lt;&gt;""),Sorgo!$E31:INDEX(Sorgo!$E31:$Z31,MIN(I$6-$E$3,22))),0))-IF($G$2,0,IF((I$6-$G$3)&lt;1,0,IFERROR(LOOKUP(2,1/(Sorgo!$E31:INDEX(Sorgo!$E31:$Z31,MIN(I$6-$G$3,22))&lt;&gt;""),Sorgo!$E31:INDEX(Sorgo!$E31:$Z31,MIN(I$6-$G$3,22))),0)))))</f>
        <v>0</v>
      </c>
      <c r="J33" s="27" t="n">
        <f aca="false">IF(COUNT(Sorgo!$E31:$Z31)=0,0,MAX(0,IF((J$6-$E$3)&lt;1,0,IFERROR(LOOKUP(2,1/(Sorgo!$E31:INDEX(Sorgo!$E31:$Z31,MIN(J$6-$E$3,22))&lt;&gt;""),Sorgo!$E31:INDEX(Sorgo!$E31:$Z31,MIN(J$6-$E$3,22))),0))-IF($G$2,0,IF((J$6-$G$3)&lt;1,0,IFERROR(LOOKUP(2,1/(Sorgo!$E31:INDEX(Sorgo!$E31:$Z31,MIN(J$6-$G$3,22))&lt;&gt;""),Sorgo!$E31:INDEX(Sorgo!$E31:$Z31,MIN(J$6-$G$3,22))),0)))))</f>
        <v>0</v>
      </c>
      <c r="K33" s="27" t="n">
        <f aca="false">IF(COUNT(Sorgo!$E31:$Z31)=0,0,MAX(0,IF((K$6-$E$3)&lt;1,0,IFERROR(LOOKUP(2,1/(Sorgo!$E31:INDEX(Sorgo!$E31:$Z31,MIN(K$6-$E$3,22))&lt;&gt;""),Sorgo!$E31:INDEX(Sorgo!$E31:$Z31,MIN(K$6-$E$3,22))),0))-IF($G$2,0,IF((K$6-$G$3)&lt;1,0,IFERROR(LOOKUP(2,1/(Sorgo!$E31:INDEX(Sorgo!$E31:$Z31,MIN(K$6-$G$3,22))&lt;&gt;""),Sorgo!$E31:INDEX(Sorgo!$E31:$Z31,MIN(K$6-$G$3,22))),0)))))</f>
        <v>0</v>
      </c>
      <c r="L33" s="27" t="n">
        <f aca="false">IF(COUNT(Sorgo!$E31:$Z31)=0,0,MAX(0,IF((L$6-$E$3)&lt;1,0,IFERROR(LOOKUP(2,1/(Sorgo!$E31:INDEX(Sorgo!$E31:$Z31,MIN(L$6-$E$3,22))&lt;&gt;""),Sorgo!$E31:INDEX(Sorgo!$E31:$Z31,MIN(L$6-$E$3,22))),0))-IF($G$2,0,IF((L$6-$G$3)&lt;1,0,IFERROR(LOOKUP(2,1/(Sorgo!$E31:INDEX(Sorgo!$E31:$Z31,MIN(L$6-$G$3,22))&lt;&gt;""),Sorgo!$E31:INDEX(Sorgo!$E31:$Z31,MIN(L$6-$G$3,22))),0)))))</f>
        <v>0</v>
      </c>
      <c r="M33" s="27" t="n">
        <f aca="false">IF(COUNT(Sorgo!$E31:$Z31)=0,0,MAX(0,IF((M$6-$E$3)&lt;1,0,IFERROR(LOOKUP(2,1/(Sorgo!$E31:INDEX(Sorgo!$E31:$Z31,MIN(M$6-$E$3,22))&lt;&gt;""),Sorgo!$E31:INDEX(Sorgo!$E31:$Z31,MIN(M$6-$E$3,22))),0))-IF($G$2,0,IF((M$6-$G$3)&lt;1,0,IFERROR(LOOKUP(2,1/(Sorgo!$E31:INDEX(Sorgo!$E31:$Z31,MIN(M$6-$G$3,22))&lt;&gt;""),Sorgo!$E31:INDEX(Sorgo!$E31:$Z31,MIN(M$6-$G$3,22))),0)))))</f>
        <v>0</v>
      </c>
      <c r="N33" s="27" t="n">
        <f aca="false">IF(COUNT(Sorgo!$E31:$Z31)=0,0,MAX(0,IF((N$6-$E$3)&lt;1,0,IFERROR(LOOKUP(2,1/(Sorgo!$E31:INDEX(Sorgo!$E31:$Z31,MIN(N$6-$E$3,22))&lt;&gt;""),Sorgo!$E31:INDEX(Sorgo!$E31:$Z31,MIN(N$6-$E$3,22))),0))-IF($G$2,0,IF((N$6-$G$3)&lt;1,0,IFERROR(LOOKUP(2,1/(Sorgo!$E31:INDEX(Sorgo!$E31:$Z31,MIN(N$6-$G$3,22))&lt;&gt;""),Sorgo!$E31:INDEX(Sorgo!$E31:$Z31,MIN(N$6-$G$3,22))),0)))))</f>
        <v>0</v>
      </c>
      <c r="O33" s="27" t="n">
        <f aca="false">IF(COUNT(Sorgo!$E31:$Z31)=0,0,MAX(0,IF((O$6-$E$3)&lt;1,0,IFERROR(LOOKUP(2,1/(Sorgo!$E31:INDEX(Sorgo!$E31:$Z31,MIN(O$6-$E$3,22))&lt;&gt;""),Sorgo!$E31:INDEX(Sorgo!$E31:$Z31,MIN(O$6-$E$3,22))),0))-IF($G$2,0,IF((O$6-$G$3)&lt;1,0,IFERROR(LOOKUP(2,1/(Sorgo!$E31:INDEX(Sorgo!$E31:$Z31,MIN(O$6-$G$3,22))&lt;&gt;""),Sorgo!$E31:INDEX(Sorgo!$E31:$Z31,MIN(O$6-$G$3,22))),0)))))</f>
        <v>0</v>
      </c>
      <c r="P33" s="27" t="n">
        <f aca="false">IF(COUNT(Sorgo!$E31:$Z31)=0,0,MAX(0,IF((P$6-$E$3)&lt;1,0,IFERROR(LOOKUP(2,1/(Sorgo!$E31:INDEX(Sorgo!$E31:$Z31,MIN(P$6-$E$3,22))&lt;&gt;""),Sorgo!$E31:INDEX(Sorgo!$E31:$Z31,MIN(P$6-$E$3,22))),0))-IF($G$2,0,IF((P$6-$G$3)&lt;1,0,IFERROR(LOOKUP(2,1/(Sorgo!$E31:INDEX(Sorgo!$E31:$Z31,MIN(P$6-$G$3,22))&lt;&gt;""),Sorgo!$E31:INDEX(Sorgo!$E31:$Z31,MIN(P$6-$G$3,22))),0)))))</f>
        <v>0</v>
      </c>
      <c r="Q33" s="27" t="n">
        <f aca="false">IF(COUNT(Sorgo!$E31:$Z31)=0,0,MAX(0,IF((Q$6-$E$3)&lt;1,0,IFERROR(LOOKUP(2,1/(Sorgo!$E31:INDEX(Sorgo!$E31:$Z31,MIN(Q$6-$E$3,22))&lt;&gt;""),Sorgo!$E31:INDEX(Sorgo!$E31:$Z31,MIN(Q$6-$E$3,22))),0))-IF($G$2,0,IF((Q$6-$G$3)&lt;1,0,IFERROR(LOOKUP(2,1/(Sorgo!$E31:INDEX(Sorgo!$E31:$Z31,MIN(Q$6-$G$3,22))&lt;&gt;""),Sorgo!$E31:INDEX(Sorgo!$E31:$Z31,MIN(Q$6-$G$3,22))),0)))))</f>
        <v>0</v>
      </c>
      <c r="R33" s="27" t="n">
        <f aca="false">IF(COUNT(Sorgo!$E31:$Z31)=0,0,MAX(0,IF((R$6-$E$3)&lt;1,0,IFERROR(LOOKUP(2,1/(Sorgo!$E31:INDEX(Sorgo!$E31:$Z31,MIN(R$6-$E$3,22))&lt;&gt;""),Sorgo!$E31:INDEX(Sorgo!$E31:$Z31,MIN(R$6-$E$3,22))),0))-IF($G$2,0,IF((R$6-$G$3)&lt;1,0,IFERROR(LOOKUP(2,1/(Sorgo!$E31:INDEX(Sorgo!$E31:$Z31,MIN(R$6-$G$3,22))&lt;&gt;""),Sorgo!$E31:INDEX(Sorgo!$E31:$Z31,MIN(R$6-$G$3,22))),0)))))</f>
        <v>0</v>
      </c>
      <c r="S33" s="27" t="n">
        <f aca="false">IF(COUNT(Sorgo!$E31:$Z31)=0,0,MAX(0,IF((S$6-$E$3)&lt;1,0,IFERROR(LOOKUP(2,1/(Sorgo!$E31:INDEX(Sorgo!$E31:$Z31,MIN(S$6-$E$3,22))&lt;&gt;""),Sorgo!$E31:INDEX(Sorgo!$E31:$Z31,MIN(S$6-$E$3,22))),0))-IF($G$2,0,IF((S$6-$G$3)&lt;1,0,IFERROR(LOOKUP(2,1/(Sorgo!$E31:INDEX(Sorgo!$E31:$Z31,MIN(S$6-$G$3,22))&lt;&gt;""),Sorgo!$E31:INDEX(Sorgo!$E31:$Z31,MIN(S$6-$G$3,22))),0)))))</f>
        <v>0</v>
      </c>
      <c r="T33" s="27" t="n">
        <f aca="false">IF(COUNT(Sorgo!$E31:$Z31)=0,0,MAX(0,IF((T$6-$E$3)&lt;1,0,IFERROR(LOOKUP(2,1/(Sorgo!$E31:INDEX(Sorgo!$E31:$Z31,MIN(T$6-$E$3,22))&lt;&gt;""),Sorgo!$E31:INDEX(Sorgo!$E31:$Z31,MIN(T$6-$E$3,22))),0))-IF($G$2,0,IF((T$6-$G$3)&lt;1,0,IFERROR(LOOKUP(2,1/(Sorgo!$E31:INDEX(Sorgo!$E31:$Z31,MIN(T$6-$G$3,22))&lt;&gt;""),Sorgo!$E31:INDEX(Sorgo!$E31:$Z31,MIN(T$6-$G$3,22))),0)))))</f>
        <v>0</v>
      </c>
      <c r="U33" s="27" t="n">
        <f aca="false">IF(COUNT(Sorgo!$E31:$Z31)=0,0,MAX(0,IF((U$6-$E$3)&lt;1,0,IFERROR(LOOKUP(2,1/(Sorgo!$E31:INDEX(Sorgo!$E31:$Z31,MIN(U$6-$E$3,22))&lt;&gt;""),Sorgo!$E31:INDEX(Sorgo!$E31:$Z31,MIN(U$6-$E$3,22))),0))-IF($G$2,0,IF((U$6-$G$3)&lt;1,0,IFERROR(LOOKUP(2,1/(Sorgo!$E31:INDEX(Sorgo!$E31:$Z31,MIN(U$6-$G$3,22))&lt;&gt;""),Sorgo!$E31:INDEX(Sorgo!$E31:$Z31,MIN(U$6-$G$3,22))),0)))))</f>
        <v>0</v>
      </c>
      <c r="V33" s="27" t="n">
        <f aca="false">IF(COUNT(Sorgo!$E31:$Z31)=0,0,MAX(0,IF((V$6-$E$3)&lt;1,0,IFERROR(LOOKUP(2,1/(Sorgo!$E31:INDEX(Sorgo!$E31:$Z31,MIN(V$6-$E$3,22))&lt;&gt;""),Sorgo!$E31:INDEX(Sorgo!$E31:$Z31,MIN(V$6-$E$3,22))),0))-IF($G$2,0,IF((V$6-$G$3)&lt;1,0,IFERROR(LOOKUP(2,1/(Sorgo!$E31:INDEX(Sorgo!$E31:$Z31,MIN(V$6-$G$3,22))&lt;&gt;""),Sorgo!$E31:INDEX(Sorgo!$E31:$Z31,MIN(V$6-$G$3,22))),0)))))</f>
        <v>0</v>
      </c>
      <c r="W33" s="27" t="n">
        <f aca="false">IF(COUNT(Sorgo!$E31:$Z31)=0,0,MAX(0,IF((W$6-$E$3)&lt;1,0,IFERROR(LOOKUP(2,1/(Sorgo!$E31:INDEX(Sorgo!$E31:$Z31,MIN(W$6-$E$3,22))&lt;&gt;""),Sorgo!$E31:INDEX(Sorgo!$E31:$Z31,MIN(W$6-$E$3,22))),0))-IF($G$2,0,IF((W$6-$G$3)&lt;1,0,IFERROR(LOOKUP(2,1/(Sorgo!$E31:INDEX(Sorgo!$E31:$Z31,MIN(W$6-$G$3,22))&lt;&gt;""),Sorgo!$E31:INDEX(Sorgo!$E31:$Z31,MIN(W$6-$G$3,22))),0)))))</f>
        <v>0</v>
      </c>
      <c r="X33" s="27" t="n">
        <f aca="false">IF(COUNT(Sorgo!$E31:$Z31)=0,0,MAX(0,IF((X$6-$E$3)&lt;1,0,IFERROR(LOOKUP(2,1/(Sorgo!$E31:INDEX(Sorgo!$E31:$Z31,MIN(X$6-$E$3,22))&lt;&gt;""),Sorgo!$E31:INDEX(Sorgo!$E31:$Z31,MIN(X$6-$E$3,22))),0))-IF($G$2,0,IF((X$6-$G$3)&lt;1,0,IFERROR(LOOKUP(2,1/(Sorgo!$E31:INDEX(Sorgo!$E31:$Z31,MIN(X$6-$G$3,22))&lt;&gt;""),Sorgo!$E31:INDEX(Sorgo!$E31:$Z31,MIN(X$6-$G$3,22))),0)))))</f>
        <v>0</v>
      </c>
      <c r="Y33" s="27" t="n">
        <f aca="false">IF(COUNT(Sorgo!$E31:$Z31)=0,0,MAX(0,IF((Y$6-$E$3)&lt;1,0,IFERROR(LOOKUP(2,1/(Sorgo!$E31:INDEX(Sorgo!$E31:$Z31,MIN(Y$6-$E$3,22))&lt;&gt;""),Sorgo!$E31:INDEX(Sorgo!$E31:$Z31,MIN(Y$6-$E$3,22))),0))-IF($G$2,0,IF((Y$6-$G$3)&lt;1,0,IFERROR(LOOKUP(2,1/(Sorgo!$E31:INDEX(Sorgo!$E31:$Z31,MIN(Y$6-$G$3,22))&lt;&gt;""),Sorgo!$E31:INDEX(Sorgo!$E31:$Z31,MIN(Y$6-$G$3,22))),0)))))</f>
        <v>0</v>
      </c>
      <c r="Z33" s="27" t="n">
        <f aca="false">IF(COUNT(Sorgo!$E31:$Z31)=0,0,MAX(0,IF((Z$6-$E$3)&lt;1,0,IFERROR(LOOKUP(2,1/(Sorgo!$E31:INDEX(Sorgo!$E31:$Z31,MIN(Z$6-$E$3,22))&lt;&gt;""),Sorgo!$E31:INDEX(Sorgo!$E31:$Z31,MIN(Z$6-$E$3,22))),0))-IF($G$2,0,IF((Z$6-$G$3)&lt;1,0,IFERROR(LOOKUP(2,1/(Sorgo!$E31:INDEX(Sorgo!$E31:$Z31,MIN(Z$6-$G$3,22))&lt;&gt;""),Sorgo!$E31:INDEX(Sorgo!$E31:$Z31,MIN(Z$6-$G$3,22))),0)))))</f>
        <v>0</v>
      </c>
      <c r="AA33" s="27" t="n">
        <f aca="false">IF(COUNT(Sorgo!$E31:$Z31)=0,0,MAX(0,IF((AA$6-$E$3)&lt;1,0,IFERROR(LOOKUP(2,1/(Sorgo!$E31:INDEX(Sorgo!$E31:$Z31,MIN(AA$6-$E$3,22))&lt;&gt;""),Sorgo!$E31:INDEX(Sorgo!$E31:$Z31,MIN(AA$6-$E$3,22))),0))-IF($G$2,0,IF((AA$6-$G$3)&lt;1,0,IFERROR(LOOKUP(2,1/(Sorgo!$E31:INDEX(Sorgo!$E31:$Z31,MIN(AA$6-$G$3,22))&lt;&gt;""),Sorgo!$E31:INDEX(Sorgo!$E31:$Z31,MIN(AA$6-$G$3,22))),0)))))</f>
        <v>0</v>
      </c>
      <c r="AB33" s="27" t="n">
        <f aca="false">IF(COUNT(Sorgo!$E31:$Z31)=0,0,MAX(0,IF((AB$6-$E$3)&lt;1,0,IFERROR(LOOKUP(2,1/(Sorgo!$E31:INDEX(Sorgo!$E31:$Z31,MIN(AB$6-$E$3,22))&lt;&gt;""),Sorgo!$E31:INDEX(Sorgo!$E31:$Z31,MIN(AB$6-$E$3,22))),0))-IF($G$2,0,IF((AB$6-$G$3)&lt;1,0,IFERROR(LOOKUP(2,1/(Sorgo!$E31:INDEX(Sorgo!$E31:$Z31,MIN(AB$6-$G$3,22))&lt;&gt;""),Sorgo!$E31:INDEX(Sorgo!$E31:$Z31,MIN(AB$6-$G$3,22))),0)))))</f>
        <v>0</v>
      </c>
      <c r="AC33" s="27" t="n">
        <f aca="false">IF(COUNT(Sorgo!$E31:$Z31)=0,0,MAX(0,IF((AC$6-$E$3)&lt;1,0,IFERROR(LOOKUP(2,1/(Sorgo!$E31:INDEX(Sorgo!$E31:$Z31,MIN(AC$6-$E$3,22))&lt;&gt;""),Sorgo!$E31:INDEX(Sorgo!$E31:$Z31,MIN(AC$6-$E$3,22))),0))-IF($G$2,0,IF((AC$6-$G$3)&lt;1,0,IFERROR(LOOKUP(2,1/(Sorgo!$E31:INDEX(Sorgo!$E31:$Z31,MIN(AC$6-$G$3,22))&lt;&gt;""),Sorgo!$E31:INDEX(Sorgo!$E31:$Z31,MIN(AC$6-$G$3,22))),0)))))</f>
        <v>0</v>
      </c>
      <c r="AD33" s="27" t="n">
        <f aca="false">IF(COUNT(Sorgo!$E31:$Z31)=0,0,MAX(0,IF((AD$6-$E$3)&lt;1,0,IFERROR(LOOKUP(2,1/(Sorgo!$E31:INDEX(Sorgo!$E31:$Z31,MIN(AD$6-$E$3,22))&lt;&gt;""),Sorgo!$E31:INDEX(Sorgo!$E31:$Z31,MIN(AD$6-$E$3,22))),0))-IF($G$2,0,IF((AD$6-$G$3)&lt;1,0,IFERROR(LOOKUP(2,1/(Sorgo!$E31:INDEX(Sorgo!$E31:$Z31,MIN(AD$6-$G$3,22))&lt;&gt;""),Sorgo!$E31:INDEX(Sorgo!$E31:$Z31,MIN(AD$6-$G$3,22))),0)))))</f>
        <v>0</v>
      </c>
      <c r="AE33" s="27" t="n">
        <f aca="false">IF(COUNT(Sorgo!$E31:$Z31)=0,0,MAX(0,IF((AE$6-$E$3)&lt;1,0,IFERROR(LOOKUP(2,1/(Sorgo!$E31:INDEX(Sorgo!$E31:$Z31,MIN(AE$6-$E$3,22))&lt;&gt;""),Sorgo!$E31:INDEX(Sorgo!$E31:$Z31,MIN(AE$6-$E$3,22))),0))-IF($G$2,0,IF((AE$6-$G$3)&lt;1,0,IFERROR(LOOKUP(2,1/(Sorgo!$E31:INDEX(Sorgo!$E31:$Z31,MIN(AE$6-$G$3,22))&lt;&gt;""),Sorgo!$E31:INDEX(Sorgo!$E31:$Z31,MIN(AE$6-$G$3,22))),0)))))</f>
        <v>0</v>
      </c>
      <c r="AF33" s="27" t="n">
        <f aca="false">IF(COUNT(Sorgo!$E31:$Z31)=0,0,MAX(0,IF((AF$6-$E$3)&lt;1,0,IFERROR(LOOKUP(2,1/(Sorgo!$E31:INDEX(Sorgo!$E31:$Z31,MIN(AF$6-$E$3,22))&lt;&gt;""),Sorgo!$E31:INDEX(Sorgo!$E31:$Z31,MIN(AF$6-$E$3,22))),0))-IF($G$2,0,IF((AF$6-$G$3)&lt;1,0,IFERROR(LOOKUP(2,1/(Sorgo!$E31:INDEX(Sorgo!$E31:$Z31,MIN(AF$6-$G$3,22))&lt;&gt;""),Sorgo!$E31:INDEX(Sorgo!$E31:$Z31,MIN(AF$6-$G$3,22))),0)))))</f>
        <v>0</v>
      </c>
      <c r="AG33" s="27" t="n">
        <f aca="false">IF(COUNT(Sorgo!$E31:$Z31)=0,0,MAX(0,IF((AG$6-$E$3)&lt;1,0,IFERROR(LOOKUP(2,1/(Sorgo!$E31:INDEX(Sorgo!$E31:$Z31,MIN(AG$6-$E$3,22))&lt;&gt;""),Sorgo!$E31:INDEX(Sorgo!$E31:$Z31,MIN(AG$6-$E$3,22))),0))-IF($G$2,0,IF((AG$6-$G$3)&lt;1,0,IFERROR(LOOKUP(2,1/(Sorgo!$E31:INDEX(Sorgo!$E31:$Z31,MIN(AG$6-$G$3,22))&lt;&gt;""),Sorgo!$E31:INDEX(Sorgo!$E31:$Z31,MIN(AG$6-$G$3,22))),0)))))</f>
        <v>0</v>
      </c>
      <c r="AH33" s="27" t="n">
        <f aca="false">IF(COUNT(Sorgo!$E31:$Z31)=0,0,MAX(0,IF((AH$6-$E$3)&lt;1,0,IFERROR(LOOKUP(2,1/(Sorgo!$E31:INDEX(Sorgo!$E31:$Z31,MIN(AH$6-$E$3,22))&lt;&gt;""),Sorgo!$E31:INDEX(Sorgo!$E31:$Z31,MIN(AH$6-$E$3,22))),0))-IF($G$2,0,IF((AH$6-$G$3)&lt;1,0,IFERROR(LOOKUP(2,1/(Sorgo!$E31:INDEX(Sorgo!$E31:$Z31,MIN(AH$6-$G$3,22))&lt;&gt;""),Sorgo!$E31:INDEX(Sorgo!$E31:$Z31,MIN(AH$6-$G$3,22))),0)))))</f>
        <v>0</v>
      </c>
      <c r="AI33" s="27" t="n">
        <f aca="false">IF(COUNT(Sorgo!$E31:$Z31)=0,0,MAX(0,IF((AI$6-$E$3)&lt;1,0,IFERROR(LOOKUP(2,1/(Sorgo!$E31:INDEX(Sorgo!$E31:$Z31,MIN(AI$6-$E$3,22))&lt;&gt;""),Sorgo!$E31:INDEX(Sorgo!$E31:$Z31,MIN(AI$6-$E$3,22))),0))-IF($G$2,0,IF((AI$6-$G$3)&lt;1,0,IFERROR(LOOKUP(2,1/(Sorgo!$E31:INDEX(Sorgo!$E31:$Z31,MIN(AI$6-$G$3,22))&lt;&gt;""),Sorgo!$E31:INDEX(Sorgo!$E31:$Z31,MIN(AI$6-$G$3,22))),0)))))</f>
        <v>0</v>
      </c>
      <c r="AJ33" s="27" t="n">
        <f aca="false">IF(COUNT(Sorgo!$E31:$Z31)=0,0,MAX(0,IF((AJ$6-$E$3)&lt;1,0,IFERROR(LOOKUP(2,1/(Sorgo!$E31:INDEX(Sorgo!$E31:$Z31,MIN(AJ$6-$E$3,22))&lt;&gt;""),Sorgo!$E31:INDEX(Sorgo!$E31:$Z31,MIN(AJ$6-$E$3,22))),0))-IF($G$2,0,IF((AJ$6-$G$3)&lt;1,0,IFERROR(LOOKUP(2,1/(Sorgo!$E31:INDEX(Sorgo!$E31:$Z31,MIN(AJ$6-$G$3,22))&lt;&gt;""),Sorgo!$E31:INDEX(Sorgo!$E31:$Z31,MIN(AJ$6-$G$3,22))),0)))))</f>
        <v>0</v>
      </c>
      <c r="AK33" s="27" t="n">
        <f aca="false">IF(COUNT(Sorgo!$E31:$Z31)=0,0,MAX(0,IF((AK$6-$E$3)&lt;1,0,IFERROR(LOOKUP(2,1/(Sorgo!$E31:INDEX(Sorgo!$E31:$Z31,MIN(AK$6-$E$3,22))&lt;&gt;""),Sorgo!$E31:INDEX(Sorgo!$E31:$Z31,MIN(AK$6-$E$3,22))),0))-IF($G$2,0,IF((AK$6-$G$3)&lt;1,0,IFERROR(LOOKUP(2,1/(Sorgo!$E31:INDEX(Sorgo!$E31:$Z31,MIN(AK$6-$G$3,22))&lt;&gt;""),Sorgo!$E31:INDEX(Sorgo!$E31:$Z31,MIN(AK$6-$G$3,22))),0)))))</f>
        <v>0</v>
      </c>
      <c r="AL33" s="27" t="n">
        <f aca="false">IF(COUNT(Sorgo!$E31:$Z31)=0,0,MAX(0,IF((AL$6-$E$3)&lt;1,0,IFERROR(LOOKUP(2,1/(Sorgo!$E31:INDEX(Sorgo!$E31:$Z31,MIN(AL$6-$E$3,22))&lt;&gt;""),Sorgo!$E31:INDEX(Sorgo!$E31:$Z31,MIN(AL$6-$E$3,22))),0))-IF($G$2,0,IF((AL$6-$G$3)&lt;1,0,IFERROR(LOOKUP(2,1/(Sorgo!$E31:INDEX(Sorgo!$E31:$Z31,MIN(AL$6-$G$3,22))&lt;&gt;""),Sorgo!$E31:INDEX(Sorgo!$E31:$Z31,MIN(AL$6-$G$3,22))),0)))))</f>
        <v>0</v>
      </c>
      <c r="AM33" s="27" t="n">
        <f aca="false">IF(COUNT(Sorgo!$E31:$Z31)=0,0,MAX(0,IF((AM$6-$E$3)&lt;1,0,IFERROR(LOOKUP(2,1/(Sorgo!$E31:INDEX(Sorgo!$E31:$Z31,MIN(AM$6-$E$3,22))&lt;&gt;""),Sorgo!$E31:INDEX(Sorgo!$E31:$Z31,MIN(AM$6-$E$3,22))),0))-IF($G$2,0,IF((AM$6-$G$3)&lt;1,0,IFERROR(LOOKUP(2,1/(Sorgo!$E31:INDEX(Sorgo!$E31:$Z31,MIN(AM$6-$G$3,22))&lt;&gt;""),Sorgo!$E31:INDEX(Sorgo!$E31:$Z31,MIN(AM$6-$G$3,22))),0)))))</f>
        <v>0</v>
      </c>
      <c r="AN33" s="27" t="n">
        <f aca="false">IF(COUNT(Sorgo!$E31:$Z31)=0,0,MAX(0,IF((AN$6-$E$3)&lt;1,0,IFERROR(LOOKUP(2,1/(Sorgo!$E31:INDEX(Sorgo!$E31:$Z31,MIN(AN$6-$E$3,22))&lt;&gt;""),Sorgo!$E31:INDEX(Sorgo!$E31:$Z31,MIN(AN$6-$E$3,22))),0))-IF($G$2,0,IF((AN$6-$G$3)&lt;1,0,IFERROR(LOOKUP(2,1/(Sorgo!$E31:INDEX(Sorgo!$E31:$Z31,MIN(AN$6-$G$3,22))&lt;&gt;""),Sorgo!$E31:INDEX(Sorgo!$E31:$Z31,MIN(AN$6-$G$3,22))),0)))))</f>
        <v>0</v>
      </c>
      <c r="AO33" s="27" t="n">
        <f aca="false">IF(COUNT(Sorgo!$E31:$Z31)=0,0,MAX(0,IF((AO$6-$E$3)&lt;1,0,IFERROR(LOOKUP(2,1/(Sorgo!$E31:INDEX(Sorgo!$E31:$Z31,MIN(AO$6-$E$3,22))&lt;&gt;""),Sorgo!$E31:INDEX(Sorgo!$E31:$Z31,MIN(AO$6-$E$3,22))),0))-IF($G$2,0,IF((AO$6-$G$3)&lt;1,0,IFERROR(LOOKUP(2,1/(Sorgo!$E31:INDEX(Sorgo!$E31:$Z31,MIN(AO$6-$G$3,22))&lt;&gt;""),Sorgo!$E31:INDEX(Sorgo!$E31:$Z31,MIN(AO$6-$G$3,22))),0)))))</f>
        <v>0</v>
      </c>
      <c r="AP33" s="27" t="n">
        <f aca="false">IF(COUNT(Sorgo!$E31:$Z31)=0,0,MAX(0,IF((AP$6-$E$3)&lt;1,0,IFERROR(LOOKUP(2,1/(Sorgo!$E31:INDEX(Sorgo!$E31:$Z31,MIN(AP$6-$E$3,22))&lt;&gt;""),Sorgo!$E31:INDEX(Sorgo!$E31:$Z31,MIN(AP$6-$E$3,22))),0))-IF($G$2,0,IF((AP$6-$G$3)&lt;1,0,IFERROR(LOOKUP(2,1/(Sorgo!$E31:INDEX(Sorgo!$E31:$Z31,MIN(AP$6-$G$3,22))&lt;&gt;""),Sorgo!$E31:INDEX(Sorgo!$E31:$Z31,MIN(AP$6-$G$3,22))),0)))))</f>
        <v>0</v>
      </c>
      <c r="AQ33" s="27" t="n">
        <f aca="false">IF(COUNT(Sorgo!$E31:$Z31)=0,0,MAX(0,IF((AQ$6-$E$3)&lt;1,0,IFERROR(LOOKUP(2,1/(Sorgo!$E31:INDEX(Sorgo!$E31:$Z31,MIN(AQ$6-$E$3,22))&lt;&gt;""),Sorgo!$E31:INDEX(Sorgo!$E31:$Z31,MIN(AQ$6-$E$3,22))),0))-IF($G$2,0,IF((AQ$6-$G$3)&lt;1,0,IFERROR(LOOKUP(2,1/(Sorgo!$E31:INDEX(Sorgo!$E31:$Z31,MIN(AQ$6-$G$3,22))&lt;&gt;""),Sorgo!$E31:INDEX(Sorgo!$E31:$Z31,MIN(AQ$6-$G$3,22))),0)))))</f>
        <v>0</v>
      </c>
      <c r="AR33" s="27" t="n">
        <f aca="false">IF(COUNT(Sorgo!$E31:$Z31)=0,0,MAX(0,IF((AR$6-$E$3)&lt;1,0,IFERROR(LOOKUP(2,1/(Sorgo!$E31:INDEX(Sorgo!$E31:$Z31,MIN(AR$6-$E$3,22))&lt;&gt;""),Sorgo!$E31:INDEX(Sorgo!$E31:$Z31,MIN(AR$6-$E$3,22))),0))-IF($G$2,0,IF((AR$6-$G$3)&lt;1,0,IFERROR(LOOKUP(2,1/(Sorgo!$E31:INDEX(Sorgo!$E31:$Z31,MIN(AR$6-$G$3,22))&lt;&gt;""),Sorgo!$E31:INDEX(Sorgo!$E31:$Z31,MIN(AR$6-$G$3,22))),0)))))</f>
        <v>0</v>
      </c>
      <c r="AS33" s="27" t="n">
        <f aca="false">IF(COUNT(Sorgo!$E31:$Z31)=0,0,MAX(0,IF((AS$6-$E$3)&lt;1,0,IFERROR(LOOKUP(2,1/(Sorgo!$E31:INDEX(Sorgo!$E31:$Z31,MIN(AS$6-$E$3,22))&lt;&gt;""),Sorgo!$E31:INDEX(Sorgo!$E31:$Z31,MIN(AS$6-$E$3,22))),0))-IF($G$2,0,IF((AS$6-$G$3)&lt;1,0,IFERROR(LOOKUP(2,1/(Sorgo!$E31:INDEX(Sorgo!$E31:$Z31,MIN(AS$6-$G$3,22))&lt;&gt;""),Sorgo!$E31:INDEX(Sorgo!$E31:$Z31,MIN(AS$6-$G$3,22))),0)))))</f>
        <v>0</v>
      </c>
      <c r="AT33" s="27" t="n">
        <f aca="false">IF(COUNT(Sorgo!$E31:$Z31)=0,0,MAX(0,IF((AT$6-$E$3)&lt;1,0,IFERROR(LOOKUP(2,1/(Sorgo!$E31:INDEX(Sorgo!$E31:$Z31,MIN(AT$6-$E$3,22))&lt;&gt;""),Sorgo!$E31:INDEX(Sorgo!$E31:$Z31,MIN(AT$6-$E$3,22))),0))-IF($G$2,0,IF((AT$6-$G$3)&lt;1,0,IFERROR(LOOKUP(2,1/(Sorgo!$E31:INDEX(Sorgo!$E31:$Z31,MIN(AT$6-$G$3,22))&lt;&gt;""),Sorgo!$E31:INDEX(Sorgo!$E31:$Z31,MIN(AT$6-$G$3,22))),0)))))</f>
        <v>0</v>
      </c>
      <c r="AU33" s="27" t="n">
        <f aca="false">IF(COUNT(Sorgo!$E31:$Z31)=0,0,MAX(0,IF((AU$6-$E$3)&lt;1,0,IFERROR(LOOKUP(2,1/(Sorgo!$E31:INDEX(Sorgo!$E31:$Z31,MIN(AU$6-$E$3,22))&lt;&gt;""),Sorgo!$E31:INDEX(Sorgo!$E31:$Z31,MIN(AU$6-$E$3,22))),0))-IF($G$2,0,IF((AU$6-$G$3)&lt;1,0,IFERROR(LOOKUP(2,1/(Sorgo!$E31:INDEX(Sorgo!$E31:$Z31,MIN(AU$6-$G$3,22))&lt;&gt;""),Sorgo!$E31:INDEX(Sorgo!$E31:$Z31,MIN(AU$6-$G$3,22))),0)))))</f>
        <v>0</v>
      </c>
      <c r="AV33" s="27" t="n">
        <f aca="false">IF(COUNT(Sorgo!$E31:$Z31)=0,0,MAX(0,IF((AV$6-$E$3)&lt;1,0,IFERROR(LOOKUP(2,1/(Sorgo!$E31:INDEX(Sorgo!$E31:$Z31,MIN(AV$6-$E$3,22))&lt;&gt;""),Sorgo!$E31:INDEX(Sorgo!$E31:$Z31,MIN(AV$6-$E$3,22))),0))-IF($G$2,0,IF((AV$6-$G$3)&lt;1,0,IFERROR(LOOKUP(2,1/(Sorgo!$E31:INDEX(Sorgo!$E31:$Z31,MIN(AV$6-$G$3,22))&lt;&gt;""),Sorgo!$E31:INDEX(Sorgo!$E31:$Z31,MIN(AV$6-$G$3,22))),0)))))</f>
        <v>0</v>
      </c>
      <c r="AW33" s="27" t="n">
        <f aca="false">IF(COUNT(Sorgo!$E31:$Z31)=0,0,MAX(0,IF((AW$6-$E$3)&lt;1,0,IFERROR(LOOKUP(2,1/(Sorgo!$E31:INDEX(Sorgo!$E31:$Z31,MIN(AW$6-$E$3,22))&lt;&gt;""),Sorgo!$E31:INDEX(Sorgo!$E31:$Z31,MIN(AW$6-$E$3,22))),0))-IF($G$2,0,IF((AW$6-$G$3)&lt;1,0,IFERROR(LOOKUP(2,1/(Sorgo!$E31:INDEX(Sorgo!$E31:$Z31,MIN(AW$6-$G$3,22))&lt;&gt;""),Sorgo!$E31:INDEX(Sorgo!$E31:$Z31,MIN(AW$6-$G$3,22))),0)))))</f>
        <v>0</v>
      </c>
      <c r="AX33" s="27" t="n">
        <f aca="false">IF(COUNT(Sorgo!$E31:$Z31)=0,0,MAX(0,IF((AX$6-$E$3)&lt;1,0,IFERROR(LOOKUP(2,1/(Sorgo!$E31:INDEX(Sorgo!$E31:$Z31,MIN(AX$6-$E$3,22))&lt;&gt;""),Sorgo!$E31:INDEX(Sorgo!$E31:$Z31,MIN(AX$6-$E$3,22))),0))-IF($G$2,0,IF((AX$6-$G$3)&lt;1,0,IFERROR(LOOKUP(2,1/(Sorgo!$E31:INDEX(Sorgo!$E31:$Z31,MIN(AX$6-$G$3,22))&lt;&gt;""),Sorgo!$E31:INDEX(Sorgo!$E31:$Z31,MIN(AX$6-$G$3,22))),0)))))</f>
        <v>0</v>
      </c>
      <c r="AY33" s="27" t="n">
        <f aca="false">IF(COUNT(Sorgo!$E31:$Z31)=0,0,MAX(0,IF((AY$6-$E$3)&lt;1,0,IFERROR(LOOKUP(2,1/(Sorgo!$E31:INDEX(Sorgo!$E31:$Z31,MIN(AY$6-$E$3,22))&lt;&gt;""),Sorgo!$E31:INDEX(Sorgo!$E31:$Z31,MIN(AY$6-$E$3,22))),0))-IF($G$2,0,IF((AY$6-$G$3)&lt;1,0,IFERROR(LOOKUP(2,1/(Sorgo!$E31:INDEX(Sorgo!$E31:$Z31,MIN(AY$6-$G$3,22))&lt;&gt;""),Sorgo!$E31:INDEX(Sorgo!$E31:$Z31,MIN(AY$6-$G$3,22))),0)))))</f>
        <v>0</v>
      </c>
      <c r="AZ33" s="27" t="n">
        <f aca="false">IF(COUNT(Sorgo!$E31:$Z31)=0,0,MAX(0,IF((AZ$6-$E$3)&lt;1,0,IFERROR(LOOKUP(2,1/(Sorgo!$E31:INDEX(Sorgo!$E31:$Z31,MIN(AZ$6-$E$3,22))&lt;&gt;""),Sorgo!$E31:INDEX(Sorgo!$E31:$Z31,MIN(AZ$6-$E$3,22))),0))-IF($G$2,0,IF((AZ$6-$G$3)&lt;1,0,IFERROR(LOOKUP(2,1/(Sorgo!$E31:INDEX(Sorgo!$E31:$Z31,MIN(AZ$6-$G$3,22))&lt;&gt;""),Sorgo!$E31:INDEX(Sorgo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IF(COUNT(Sorgo!$E32:$Z32)&gt;0,N(Sorgo!$D32),0)</f>
        <v>0</v>
      </c>
      <c r="E34" s="27" t="n">
        <f aca="false">IF(COUNT(Sorgo!$E32:$Z32)=0,0,MAX(0,IF((E$6-$E$3)&lt;1,0,IFERROR(LOOKUP(2,1/(Sorgo!$E32:INDEX(Sorgo!$E32:$Z32,MIN(E$6-$E$3,22))&lt;&gt;""),Sorgo!$E32:INDEX(Sorgo!$E32:$Z32,MIN(E$6-$E$3,22))),0))-IF($G$2,0,IF((E$6-$G$3)&lt;1,0,IFERROR(LOOKUP(2,1/(Sorgo!$E32:INDEX(Sorgo!$E32:$Z32,MIN(E$6-$G$3,22))&lt;&gt;""),Sorgo!$E32:INDEX(Sorgo!$E32:$Z32,MIN(E$6-$G$3,22))),0)))))</f>
        <v>0</v>
      </c>
      <c r="F34" s="27" t="n">
        <f aca="false">IF(COUNT(Sorgo!$E32:$Z32)=0,0,MAX(0,IF((F$6-$E$3)&lt;1,0,IFERROR(LOOKUP(2,1/(Sorgo!$E32:INDEX(Sorgo!$E32:$Z32,MIN(F$6-$E$3,22))&lt;&gt;""),Sorgo!$E32:INDEX(Sorgo!$E32:$Z32,MIN(F$6-$E$3,22))),0))-IF($G$2,0,IF((F$6-$G$3)&lt;1,0,IFERROR(LOOKUP(2,1/(Sorgo!$E32:INDEX(Sorgo!$E32:$Z32,MIN(F$6-$G$3,22))&lt;&gt;""),Sorgo!$E32:INDEX(Sorgo!$E32:$Z32,MIN(F$6-$G$3,22))),0)))))</f>
        <v>0</v>
      </c>
      <c r="G34" s="27" t="n">
        <f aca="false">IF(COUNT(Sorgo!$E32:$Z32)=0,0,MAX(0,IF((G$6-$E$3)&lt;1,0,IFERROR(LOOKUP(2,1/(Sorgo!$E32:INDEX(Sorgo!$E32:$Z32,MIN(G$6-$E$3,22))&lt;&gt;""),Sorgo!$E32:INDEX(Sorgo!$E32:$Z32,MIN(G$6-$E$3,22))),0))-IF($G$2,0,IF((G$6-$G$3)&lt;1,0,IFERROR(LOOKUP(2,1/(Sorgo!$E32:INDEX(Sorgo!$E32:$Z32,MIN(G$6-$G$3,22))&lt;&gt;""),Sorgo!$E32:INDEX(Sorgo!$E32:$Z32,MIN(G$6-$G$3,22))),0)))))</f>
        <v>0</v>
      </c>
      <c r="H34" s="27" t="n">
        <f aca="false">IF(COUNT(Sorgo!$E32:$Z32)=0,0,MAX(0,IF((H$6-$E$3)&lt;1,0,IFERROR(LOOKUP(2,1/(Sorgo!$E32:INDEX(Sorgo!$E32:$Z32,MIN(H$6-$E$3,22))&lt;&gt;""),Sorgo!$E32:INDEX(Sorgo!$E32:$Z32,MIN(H$6-$E$3,22))),0))-IF($G$2,0,IF((H$6-$G$3)&lt;1,0,IFERROR(LOOKUP(2,1/(Sorgo!$E32:INDEX(Sorgo!$E32:$Z32,MIN(H$6-$G$3,22))&lt;&gt;""),Sorgo!$E32:INDEX(Sorgo!$E32:$Z32,MIN(H$6-$G$3,22))),0)))))</f>
        <v>0</v>
      </c>
      <c r="I34" s="27" t="n">
        <f aca="false">IF(COUNT(Sorgo!$E32:$Z32)=0,0,MAX(0,IF((I$6-$E$3)&lt;1,0,IFERROR(LOOKUP(2,1/(Sorgo!$E32:INDEX(Sorgo!$E32:$Z32,MIN(I$6-$E$3,22))&lt;&gt;""),Sorgo!$E32:INDEX(Sorgo!$E32:$Z32,MIN(I$6-$E$3,22))),0))-IF($G$2,0,IF((I$6-$G$3)&lt;1,0,IFERROR(LOOKUP(2,1/(Sorgo!$E32:INDEX(Sorgo!$E32:$Z32,MIN(I$6-$G$3,22))&lt;&gt;""),Sorgo!$E32:INDEX(Sorgo!$E32:$Z32,MIN(I$6-$G$3,22))),0)))))</f>
        <v>0</v>
      </c>
      <c r="J34" s="27" t="n">
        <f aca="false">IF(COUNT(Sorgo!$E32:$Z32)=0,0,MAX(0,IF((J$6-$E$3)&lt;1,0,IFERROR(LOOKUP(2,1/(Sorgo!$E32:INDEX(Sorgo!$E32:$Z32,MIN(J$6-$E$3,22))&lt;&gt;""),Sorgo!$E32:INDEX(Sorgo!$E32:$Z32,MIN(J$6-$E$3,22))),0))-IF($G$2,0,IF((J$6-$G$3)&lt;1,0,IFERROR(LOOKUP(2,1/(Sorgo!$E32:INDEX(Sorgo!$E32:$Z32,MIN(J$6-$G$3,22))&lt;&gt;""),Sorgo!$E32:INDEX(Sorgo!$E32:$Z32,MIN(J$6-$G$3,22))),0)))))</f>
        <v>0</v>
      </c>
      <c r="K34" s="27" t="n">
        <f aca="false">IF(COUNT(Sorgo!$E32:$Z32)=0,0,MAX(0,IF((K$6-$E$3)&lt;1,0,IFERROR(LOOKUP(2,1/(Sorgo!$E32:INDEX(Sorgo!$E32:$Z32,MIN(K$6-$E$3,22))&lt;&gt;""),Sorgo!$E32:INDEX(Sorgo!$E32:$Z32,MIN(K$6-$E$3,22))),0))-IF($G$2,0,IF((K$6-$G$3)&lt;1,0,IFERROR(LOOKUP(2,1/(Sorgo!$E32:INDEX(Sorgo!$E32:$Z32,MIN(K$6-$G$3,22))&lt;&gt;""),Sorgo!$E32:INDEX(Sorgo!$E32:$Z32,MIN(K$6-$G$3,22))),0)))))</f>
        <v>0</v>
      </c>
      <c r="L34" s="27" t="n">
        <f aca="false">IF(COUNT(Sorgo!$E32:$Z32)=0,0,MAX(0,IF((L$6-$E$3)&lt;1,0,IFERROR(LOOKUP(2,1/(Sorgo!$E32:INDEX(Sorgo!$E32:$Z32,MIN(L$6-$E$3,22))&lt;&gt;""),Sorgo!$E32:INDEX(Sorgo!$E32:$Z32,MIN(L$6-$E$3,22))),0))-IF($G$2,0,IF((L$6-$G$3)&lt;1,0,IFERROR(LOOKUP(2,1/(Sorgo!$E32:INDEX(Sorgo!$E32:$Z32,MIN(L$6-$G$3,22))&lt;&gt;""),Sorgo!$E32:INDEX(Sorgo!$E32:$Z32,MIN(L$6-$G$3,22))),0)))))</f>
        <v>0</v>
      </c>
      <c r="M34" s="27" t="n">
        <f aca="false">IF(COUNT(Sorgo!$E32:$Z32)=0,0,MAX(0,IF((M$6-$E$3)&lt;1,0,IFERROR(LOOKUP(2,1/(Sorgo!$E32:INDEX(Sorgo!$E32:$Z32,MIN(M$6-$E$3,22))&lt;&gt;""),Sorgo!$E32:INDEX(Sorgo!$E32:$Z32,MIN(M$6-$E$3,22))),0))-IF($G$2,0,IF((M$6-$G$3)&lt;1,0,IFERROR(LOOKUP(2,1/(Sorgo!$E32:INDEX(Sorgo!$E32:$Z32,MIN(M$6-$G$3,22))&lt;&gt;""),Sorgo!$E32:INDEX(Sorgo!$E32:$Z32,MIN(M$6-$G$3,22))),0)))))</f>
        <v>0</v>
      </c>
      <c r="N34" s="27" t="n">
        <f aca="false">IF(COUNT(Sorgo!$E32:$Z32)=0,0,MAX(0,IF((N$6-$E$3)&lt;1,0,IFERROR(LOOKUP(2,1/(Sorgo!$E32:INDEX(Sorgo!$E32:$Z32,MIN(N$6-$E$3,22))&lt;&gt;""),Sorgo!$E32:INDEX(Sorgo!$E32:$Z32,MIN(N$6-$E$3,22))),0))-IF($G$2,0,IF((N$6-$G$3)&lt;1,0,IFERROR(LOOKUP(2,1/(Sorgo!$E32:INDEX(Sorgo!$E32:$Z32,MIN(N$6-$G$3,22))&lt;&gt;""),Sorgo!$E32:INDEX(Sorgo!$E32:$Z32,MIN(N$6-$G$3,22))),0)))))</f>
        <v>0</v>
      </c>
      <c r="O34" s="27" t="n">
        <f aca="false">IF(COUNT(Sorgo!$E32:$Z32)=0,0,MAX(0,IF((O$6-$E$3)&lt;1,0,IFERROR(LOOKUP(2,1/(Sorgo!$E32:INDEX(Sorgo!$E32:$Z32,MIN(O$6-$E$3,22))&lt;&gt;""),Sorgo!$E32:INDEX(Sorgo!$E32:$Z32,MIN(O$6-$E$3,22))),0))-IF($G$2,0,IF((O$6-$G$3)&lt;1,0,IFERROR(LOOKUP(2,1/(Sorgo!$E32:INDEX(Sorgo!$E32:$Z32,MIN(O$6-$G$3,22))&lt;&gt;""),Sorgo!$E32:INDEX(Sorgo!$E32:$Z32,MIN(O$6-$G$3,22))),0)))))</f>
        <v>0</v>
      </c>
      <c r="P34" s="27" t="n">
        <f aca="false">IF(COUNT(Sorgo!$E32:$Z32)=0,0,MAX(0,IF((P$6-$E$3)&lt;1,0,IFERROR(LOOKUP(2,1/(Sorgo!$E32:INDEX(Sorgo!$E32:$Z32,MIN(P$6-$E$3,22))&lt;&gt;""),Sorgo!$E32:INDEX(Sorgo!$E32:$Z32,MIN(P$6-$E$3,22))),0))-IF($G$2,0,IF((P$6-$G$3)&lt;1,0,IFERROR(LOOKUP(2,1/(Sorgo!$E32:INDEX(Sorgo!$E32:$Z32,MIN(P$6-$G$3,22))&lt;&gt;""),Sorgo!$E32:INDEX(Sorgo!$E32:$Z32,MIN(P$6-$G$3,22))),0)))))</f>
        <v>0</v>
      </c>
      <c r="Q34" s="27" t="n">
        <f aca="false">IF(COUNT(Sorgo!$E32:$Z32)=0,0,MAX(0,IF((Q$6-$E$3)&lt;1,0,IFERROR(LOOKUP(2,1/(Sorgo!$E32:INDEX(Sorgo!$E32:$Z32,MIN(Q$6-$E$3,22))&lt;&gt;""),Sorgo!$E32:INDEX(Sorgo!$E32:$Z32,MIN(Q$6-$E$3,22))),0))-IF($G$2,0,IF((Q$6-$G$3)&lt;1,0,IFERROR(LOOKUP(2,1/(Sorgo!$E32:INDEX(Sorgo!$E32:$Z32,MIN(Q$6-$G$3,22))&lt;&gt;""),Sorgo!$E32:INDEX(Sorgo!$E32:$Z32,MIN(Q$6-$G$3,22))),0)))))</f>
        <v>0</v>
      </c>
      <c r="R34" s="27" t="n">
        <f aca="false">IF(COUNT(Sorgo!$E32:$Z32)=0,0,MAX(0,IF((R$6-$E$3)&lt;1,0,IFERROR(LOOKUP(2,1/(Sorgo!$E32:INDEX(Sorgo!$E32:$Z32,MIN(R$6-$E$3,22))&lt;&gt;""),Sorgo!$E32:INDEX(Sorgo!$E32:$Z32,MIN(R$6-$E$3,22))),0))-IF($G$2,0,IF((R$6-$G$3)&lt;1,0,IFERROR(LOOKUP(2,1/(Sorgo!$E32:INDEX(Sorgo!$E32:$Z32,MIN(R$6-$G$3,22))&lt;&gt;""),Sorgo!$E32:INDEX(Sorgo!$E32:$Z32,MIN(R$6-$G$3,22))),0)))))</f>
        <v>0</v>
      </c>
      <c r="S34" s="27" t="n">
        <f aca="false">IF(COUNT(Sorgo!$E32:$Z32)=0,0,MAX(0,IF((S$6-$E$3)&lt;1,0,IFERROR(LOOKUP(2,1/(Sorgo!$E32:INDEX(Sorgo!$E32:$Z32,MIN(S$6-$E$3,22))&lt;&gt;""),Sorgo!$E32:INDEX(Sorgo!$E32:$Z32,MIN(S$6-$E$3,22))),0))-IF($G$2,0,IF((S$6-$G$3)&lt;1,0,IFERROR(LOOKUP(2,1/(Sorgo!$E32:INDEX(Sorgo!$E32:$Z32,MIN(S$6-$G$3,22))&lt;&gt;""),Sorgo!$E32:INDEX(Sorgo!$E32:$Z32,MIN(S$6-$G$3,22))),0)))))</f>
        <v>0</v>
      </c>
      <c r="T34" s="27" t="n">
        <f aca="false">IF(COUNT(Sorgo!$E32:$Z32)=0,0,MAX(0,IF((T$6-$E$3)&lt;1,0,IFERROR(LOOKUP(2,1/(Sorgo!$E32:INDEX(Sorgo!$E32:$Z32,MIN(T$6-$E$3,22))&lt;&gt;""),Sorgo!$E32:INDEX(Sorgo!$E32:$Z32,MIN(T$6-$E$3,22))),0))-IF($G$2,0,IF((T$6-$G$3)&lt;1,0,IFERROR(LOOKUP(2,1/(Sorgo!$E32:INDEX(Sorgo!$E32:$Z32,MIN(T$6-$G$3,22))&lt;&gt;""),Sorgo!$E32:INDEX(Sorgo!$E32:$Z32,MIN(T$6-$G$3,22))),0)))))</f>
        <v>0</v>
      </c>
      <c r="U34" s="27" t="n">
        <f aca="false">IF(COUNT(Sorgo!$E32:$Z32)=0,0,MAX(0,IF((U$6-$E$3)&lt;1,0,IFERROR(LOOKUP(2,1/(Sorgo!$E32:INDEX(Sorgo!$E32:$Z32,MIN(U$6-$E$3,22))&lt;&gt;""),Sorgo!$E32:INDEX(Sorgo!$E32:$Z32,MIN(U$6-$E$3,22))),0))-IF($G$2,0,IF((U$6-$G$3)&lt;1,0,IFERROR(LOOKUP(2,1/(Sorgo!$E32:INDEX(Sorgo!$E32:$Z32,MIN(U$6-$G$3,22))&lt;&gt;""),Sorgo!$E32:INDEX(Sorgo!$E32:$Z32,MIN(U$6-$G$3,22))),0)))))</f>
        <v>0</v>
      </c>
      <c r="V34" s="27" t="n">
        <f aca="false">IF(COUNT(Sorgo!$E32:$Z32)=0,0,MAX(0,IF((V$6-$E$3)&lt;1,0,IFERROR(LOOKUP(2,1/(Sorgo!$E32:INDEX(Sorgo!$E32:$Z32,MIN(V$6-$E$3,22))&lt;&gt;""),Sorgo!$E32:INDEX(Sorgo!$E32:$Z32,MIN(V$6-$E$3,22))),0))-IF($G$2,0,IF((V$6-$G$3)&lt;1,0,IFERROR(LOOKUP(2,1/(Sorgo!$E32:INDEX(Sorgo!$E32:$Z32,MIN(V$6-$G$3,22))&lt;&gt;""),Sorgo!$E32:INDEX(Sorgo!$E32:$Z32,MIN(V$6-$G$3,22))),0)))))</f>
        <v>0</v>
      </c>
      <c r="W34" s="27" t="n">
        <f aca="false">IF(COUNT(Sorgo!$E32:$Z32)=0,0,MAX(0,IF((W$6-$E$3)&lt;1,0,IFERROR(LOOKUP(2,1/(Sorgo!$E32:INDEX(Sorgo!$E32:$Z32,MIN(W$6-$E$3,22))&lt;&gt;""),Sorgo!$E32:INDEX(Sorgo!$E32:$Z32,MIN(W$6-$E$3,22))),0))-IF($G$2,0,IF((W$6-$G$3)&lt;1,0,IFERROR(LOOKUP(2,1/(Sorgo!$E32:INDEX(Sorgo!$E32:$Z32,MIN(W$6-$G$3,22))&lt;&gt;""),Sorgo!$E32:INDEX(Sorgo!$E32:$Z32,MIN(W$6-$G$3,22))),0)))))</f>
        <v>0</v>
      </c>
      <c r="X34" s="27" t="n">
        <f aca="false">IF(COUNT(Sorgo!$E32:$Z32)=0,0,MAX(0,IF((X$6-$E$3)&lt;1,0,IFERROR(LOOKUP(2,1/(Sorgo!$E32:INDEX(Sorgo!$E32:$Z32,MIN(X$6-$E$3,22))&lt;&gt;""),Sorgo!$E32:INDEX(Sorgo!$E32:$Z32,MIN(X$6-$E$3,22))),0))-IF($G$2,0,IF((X$6-$G$3)&lt;1,0,IFERROR(LOOKUP(2,1/(Sorgo!$E32:INDEX(Sorgo!$E32:$Z32,MIN(X$6-$G$3,22))&lt;&gt;""),Sorgo!$E32:INDEX(Sorgo!$E32:$Z32,MIN(X$6-$G$3,22))),0)))))</f>
        <v>0</v>
      </c>
      <c r="Y34" s="27" t="n">
        <f aca="false">IF(COUNT(Sorgo!$E32:$Z32)=0,0,MAX(0,IF((Y$6-$E$3)&lt;1,0,IFERROR(LOOKUP(2,1/(Sorgo!$E32:INDEX(Sorgo!$E32:$Z32,MIN(Y$6-$E$3,22))&lt;&gt;""),Sorgo!$E32:INDEX(Sorgo!$E32:$Z32,MIN(Y$6-$E$3,22))),0))-IF($G$2,0,IF((Y$6-$G$3)&lt;1,0,IFERROR(LOOKUP(2,1/(Sorgo!$E32:INDEX(Sorgo!$E32:$Z32,MIN(Y$6-$G$3,22))&lt;&gt;""),Sorgo!$E32:INDEX(Sorgo!$E32:$Z32,MIN(Y$6-$G$3,22))),0)))))</f>
        <v>0</v>
      </c>
      <c r="Z34" s="27" t="n">
        <f aca="false">IF(COUNT(Sorgo!$E32:$Z32)=0,0,MAX(0,IF((Z$6-$E$3)&lt;1,0,IFERROR(LOOKUP(2,1/(Sorgo!$E32:INDEX(Sorgo!$E32:$Z32,MIN(Z$6-$E$3,22))&lt;&gt;""),Sorgo!$E32:INDEX(Sorgo!$E32:$Z32,MIN(Z$6-$E$3,22))),0))-IF($G$2,0,IF((Z$6-$G$3)&lt;1,0,IFERROR(LOOKUP(2,1/(Sorgo!$E32:INDEX(Sorgo!$E32:$Z32,MIN(Z$6-$G$3,22))&lt;&gt;""),Sorgo!$E32:INDEX(Sorgo!$E32:$Z32,MIN(Z$6-$G$3,22))),0)))))</f>
        <v>0</v>
      </c>
      <c r="AA34" s="27" t="n">
        <f aca="false">IF(COUNT(Sorgo!$E32:$Z32)=0,0,MAX(0,IF((AA$6-$E$3)&lt;1,0,IFERROR(LOOKUP(2,1/(Sorgo!$E32:INDEX(Sorgo!$E32:$Z32,MIN(AA$6-$E$3,22))&lt;&gt;""),Sorgo!$E32:INDEX(Sorgo!$E32:$Z32,MIN(AA$6-$E$3,22))),0))-IF($G$2,0,IF((AA$6-$G$3)&lt;1,0,IFERROR(LOOKUP(2,1/(Sorgo!$E32:INDEX(Sorgo!$E32:$Z32,MIN(AA$6-$G$3,22))&lt;&gt;""),Sorgo!$E32:INDEX(Sorgo!$E32:$Z32,MIN(AA$6-$G$3,22))),0)))))</f>
        <v>0</v>
      </c>
      <c r="AB34" s="27" t="n">
        <f aca="false">IF(COUNT(Sorgo!$E32:$Z32)=0,0,MAX(0,IF((AB$6-$E$3)&lt;1,0,IFERROR(LOOKUP(2,1/(Sorgo!$E32:INDEX(Sorgo!$E32:$Z32,MIN(AB$6-$E$3,22))&lt;&gt;""),Sorgo!$E32:INDEX(Sorgo!$E32:$Z32,MIN(AB$6-$E$3,22))),0))-IF($G$2,0,IF((AB$6-$G$3)&lt;1,0,IFERROR(LOOKUP(2,1/(Sorgo!$E32:INDEX(Sorgo!$E32:$Z32,MIN(AB$6-$G$3,22))&lt;&gt;""),Sorgo!$E32:INDEX(Sorgo!$E32:$Z32,MIN(AB$6-$G$3,22))),0)))))</f>
        <v>0</v>
      </c>
      <c r="AC34" s="27" t="n">
        <f aca="false">IF(COUNT(Sorgo!$E32:$Z32)=0,0,MAX(0,IF((AC$6-$E$3)&lt;1,0,IFERROR(LOOKUP(2,1/(Sorgo!$E32:INDEX(Sorgo!$E32:$Z32,MIN(AC$6-$E$3,22))&lt;&gt;""),Sorgo!$E32:INDEX(Sorgo!$E32:$Z32,MIN(AC$6-$E$3,22))),0))-IF($G$2,0,IF((AC$6-$G$3)&lt;1,0,IFERROR(LOOKUP(2,1/(Sorgo!$E32:INDEX(Sorgo!$E32:$Z32,MIN(AC$6-$G$3,22))&lt;&gt;""),Sorgo!$E32:INDEX(Sorgo!$E32:$Z32,MIN(AC$6-$G$3,22))),0)))))</f>
        <v>0</v>
      </c>
      <c r="AD34" s="27" t="n">
        <f aca="false">IF(COUNT(Sorgo!$E32:$Z32)=0,0,MAX(0,IF((AD$6-$E$3)&lt;1,0,IFERROR(LOOKUP(2,1/(Sorgo!$E32:INDEX(Sorgo!$E32:$Z32,MIN(AD$6-$E$3,22))&lt;&gt;""),Sorgo!$E32:INDEX(Sorgo!$E32:$Z32,MIN(AD$6-$E$3,22))),0))-IF($G$2,0,IF((AD$6-$G$3)&lt;1,0,IFERROR(LOOKUP(2,1/(Sorgo!$E32:INDEX(Sorgo!$E32:$Z32,MIN(AD$6-$G$3,22))&lt;&gt;""),Sorgo!$E32:INDEX(Sorgo!$E32:$Z32,MIN(AD$6-$G$3,22))),0)))))</f>
        <v>0</v>
      </c>
      <c r="AE34" s="27" t="n">
        <f aca="false">IF(COUNT(Sorgo!$E32:$Z32)=0,0,MAX(0,IF((AE$6-$E$3)&lt;1,0,IFERROR(LOOKUP(2,1/(Sorgo!$E32:INDEX(Sorgo!$E32:$Z32,MIN(AE$6-$E$3,22))&lt;&gt;""),Sorgo!$E32:INDEX(Sorgo!$E32:$Z32,MIN(AE$6-$E$3,22))),0))-IF($G$2,0,IF((AE$6-$G$3)&lt;1,0,IFERROR(LOOKUP(2,1/(Sorgo!$E32:INDEX(Sorgo!$E32:$Z32,MIN(AE$6-$G$3,22))&lt;&gt;""),Sorgo!$E32:INDEX(Sorgo!$E32:$Z32,MIN(AE$6-$G$3,22))),0)))))</f>
        <v>0</v>
      </c>
      <c r="AF34" s="27" t="n">
        <f aca="false">IF(COUNT(Sorgo!$E32:$Z32)=0,0,MAX(0,IF((AF$6-$E$3)&lt;1,0,IFERROR(LOOKUP(2,1/(Sorgo!$E32:INDEX(Sorgo!$E32:$Z32,MIN(AF$6-$E$3,22))&lt;&gt;""),Sorgo!$E32:INDEX(Sorgo!$E32:$Z32,MIN(AF$6-$E$3,22))),0))-IF($G$2,0,IF((AF$6-$G$3)&lt;1,0,IFERROR(LOOKUP(2,1/(Sorgo!$E32:INDEX(Sorgo!$E32:$Z32,MIN(AF$6-$G$3,22))&lt;&gt;""),Sorgo!$E32:INDEX(Sorgo!$E32:$Z32,MIN(AF$6-$G$3,22))),0)))))</f>
        <v>0</v>
      </c>
      <c r="AG34" s="27" t="n">
        <f aca="false">IF(COUNT(Sorgo!$E32:$Z32)=0,0,MAX(0,IF((AG$6-$E$3)&lt;1,0,IFERROR(LOOKUP(2,1/(Sorgo!$E32:INDEX(Sorgo!$E32:$Z32,MIN(AG$6-$E$3,22))&lt;&gt;""),Sorgo!$E32:INDEX(Sorgo!$E32:$Z32,MIN(AG$6-$E$3,22))),0))-IF($G$2,0,IF((AG$6-$G$3)&lt;1,0,IFERROR(LOOKUP(2,1/(Sorgo!$E32:INDEX(Sorgo!$E32:$Z32,MIN(AG$6-$G$3,22))&lt;&gt;""),Sorgo!$E32:INDEX(Sorgo!$E32:$Z32,MIN(AG$6-$G$3,22))),0)))))</f>
        <v>0</v>
      </c>
      <c r="AH34" s="27" t="n">
        <f aca="false">IF(COUNT(Sorgo!$E32:$Z32)=0,0,MAX(0,IF((AH$6-$E$3)&lt;1,0,IFERROR(LOOKUP(2,1/(Sorgo!$E32:INDEX(Sorgo!$E32:$Z32,MIN(AH$6-$E$3,22))&lt;&gt;""),Sorgo!$E32:INDEX(Sorgo!$E32:$Z32,MIN(AH$6-$E$3,22))),0))-IF($G$2,0,IF((AH$6-$G$3)&lt;1,0,IFERROR(LOOKUP(2,1/(Sorgo!$E32:INDEX(Sorgo!$E32:$Z32,MIN(AH$6-$G$3,22))&lt;&gt;""),Sorgo!$E32:INDEX(Sorgo!$E32:$Z32,MIN(AH$6-$G$3,22))),0)))))</f>
        <v>0</v>
      </c>
      <c r="AI34" s="27" t="n">
        <f aca="false">IF(COUNT(Sorgo!$E32:$Z32)=0,0,MAX(0,IF((AI$6-$E$3)&lt;1,0,IFERROR(LOOKUP(2,1/(Sorgo!$E32:INDEX(Sorgo!$E32:$Z32,MIN(AI$6-$E$3,22))&lt;&gt;""),Sorgo!$E32:INDEX(Sorgo!$E32:$Z32,MIN(AI$6-$E$3,22))),0))-IF($G$2,0,IF((AI$6-$G$3)&lt;1,0,IFERROR(LOOKUP(2,1/(Sorgo!$E32:INDEX(Sorgo!$E32:$Z32,MIN(AI$6-$G$3,22))&lt;&gt;""),Sorgo!$E32:INDEX(Sorgo!$E32:$Z32,MIN(AI$6-$G$3,22))),0)))))</f>
        <v>0</v>
      </c>
      <c r="AJ34" s="27" t="n">
        <f aca="false">IF(COUNT(Sorgo!$E32:$Z32)=0,0,MAX(0,IF((AJ$6-$E$3)&lt;1,0,IFERROR(LOOKUP(2,1/(Sorgo!$E32:INDEX(Sorgo!$E32:$Z32,MIN(AJ$6-$E$3,22))&lt;&gt;""),Sorgo!$E32:INDEX(Sorgo!$E32:$Z32,MIN(AJ$6-$E$3,22))),0))-IF($G$2,0,IF((AJ$6-$G$3)&lt;1,0,IFERROR(LOOKUP(2,1/(Sorgo!$E32:INDEX(Sorgo!$E32:$Z32,MIN(AJ$6-$G$3,22))&lt;&gt;""),Sorgo!$E32:INDEX(Sorgo!$E32:$Z32,MIN(AJ$6-$G$3,22))),0)))))</f>
        <v>0</v>
      </c>
      <c r="AK34" s="27" t="n">
        <f aca="false">IF(COUNT(Sorgo!$E32:$Z32)=0,0,MAX(0,IF((AK$6-$E$3)&lt;1,0,IFERROR(LOOKUP(2,1/(Sorgo!$E32:INDEX(Sorgo!$E32:$Z32,MIN(AK$6-$E$3,22))&lt;&gt;""),Sorgo!$E32:INDEX(Sorgo!$E32:$Z32,MIN(AK$6-$E$3,22))),0))-IF($G$2,0,IF((AK$6-$G$3)&lt;1,0,IFERROR(LOOKUP(2,1/(Sorgo!$E32:INDEX(Sorgo!$E32:$Z32,MIN(AK$6-$G$3,22))&lt;&gt;""),Sorgo!$E32:INDEX(Sorgo!$E32:$Z32,MIN(AK$6-$G$3,22))),0)))))</f>
        <v>0</v>
      </c>
      <c r="AL34" s="27" t="n">
        <f aca="false">IF(COUNT(Sorgo!$E32:$Z32)=0,0,MAX(0,IF((AL$6-$E$3)&lt;1,0,IFERROR(LOOKUP(2,1/(Sorgo!$E32:INDEX(Sorgo!$E32:$Z32,MIN(AL$6-$E$3,22))&lt;&gt;""),Sorgo!$E32:INDEX(Sorgo!$E32:$Z32,MIN(AL$6-$E$3,22))),0))-IF($G$2,0,IF((AL$6-$G$3)&lt;1,0,IFERROR(LOOKUP(2,1/(Sorgo!$E32:INDEX(Sorgo!$E32:$Z32,MIN(AL$6-$G$3,22))&lt;&gt;""),Sorgo!$E32:INDEX(Sorgo!$E32:$Z32,MIN(AL$6-$G$3,22))),0)))))</f>
        <v>0</v>
      </c>
      <c r="AM34" s="27" t="n">
        <f aca="false">IF(COUNT(Sorgo!$E32:$Z32)=0,0,MAX(0,IF((AM$6-$E$3)&lt;1,0,IFERROR(LOOKUP(2,1/(Sorgo!$E32:INDEX(Sorgo!$E32:$Z32,MIN(AM$6-$E$3,22))&lt;&gt;""),Sorgo!$E32:INDEX(Sorgo!$E32:$Z32,MIN(AM$6-$E$3,22))),0))-IF($G$2,0,IF((AM$6-$G$3)&lt;1,0,IFERROR(LOOKUP(2,1/(Sorgo!$E32:INDEX(Sorgo!$E32:$Z32,MIN(AM$6-$G$3,22))&lt;&gt;""),Sorgo!$E32:INDEX(Sorgo!$E32:$Z32,MIN(AM$6-$G$3,22))),0)))))</f>
        <v>0</v>
      </c>
      <c r="AN34" s="27" t="n">
        <f aca="false">IF(COUNT(Sorgo!$E32:$Z32)=0,0,MAX(0,IF((AN$6-$E$3)&lt;1,0,IFERROR(LOOKUP(2,1/(Sorgo!$E32:INDEX(Sorgo!$E32:$Z32,MIN(AN$6-$E$3,22))&lt;&gt;""),Sorgo!$E32:INDEX(Sorgo!$E32:$Z32,MIN(AN$6-$E$3,22))),0))-IF($G$2,0,IF((AN$6-$G$3)&lt;1,0,IFERROR(LOOKUP(2,1/(Sorgo!$E32:INDEX(Sorgo!$E32:$Z32,MIN(AN$6-$G$3,22))&lt;&gt;""),Sorgo!$E32:INDEX(Sorgo!$E32:$Z32,MIN(AN$6-$G$3,22))),0)))))</f>
        <v>0</v>
      </c>
      <c r="AO34" s="27" t="n">
        <f aca="false">IF(COUNT(Sorgo!$E32:$Z32)=0,0,MAX(0,IF((AO$6-$E$3)&lt;1,0,IFERROR(LOOKUP(2,1/(Sorgo!$E32:INDEX(Sorgo!$E32:$Z32,MIN(AO$6-$E$3,22))&lt;&gt;""),Sorgo!$E32:INDEX(Sorgo!$E32:$Z32,MIN(AO$6-$E$3,22))),0))-IF($G$2,0,IF((AO$6-$G$3)&lt;1,0,IFERROR(LOOKUP(2,1/(Sorgo!$E32:INDEX(Sorgo!$E32:$Z32,MIN(AO$6-$G$3,22))&lt;&gt;""),Sorgo!$E32:INDEX(Sorgo!$E32:$Z32,MIN(AO$6-$G$3,22))),0)))))</f>
        <v>0</v>
      </c>
      <c r="AP34" s="27" t="n">
        <f aca="false">IF(COUNT(Sorgo!$E32:$Z32)=0,0,MAX(0,IF((AP$6-$E$3)&lt;1,0,IFERROR(LOOKUP(2,1/(Sorgo!$E32:INDEX(Sorgo!$E32:$Z32,MIN(AP$6-$E$3,22))&lt;&gt;""),Sorgo!$E32:INDEX(Sorgo!$E32:$Z32,MIN(AP$6-$E$3,22))),0))-IF($G$2,0,IF((AP$6-$G$3)&lt;1,0,IFERROR(LOOKUP(2,1/(Sorgo!$E32:INDEX(Sorgo!$E32:$Z32,MIN(AP$6-$G$3,22))&lt;&gt;""),Sorgo!$E32:INDEX(Sorgo!$E32:$Z32,MIN(AP$6-$G$3,22))),0)))))</f>
        <v>0</v>
      </c>
      <c r="AQ34" s="27" t="n">
        <f aca="false">IF(COUNT(Sorgo!$E32:$Z32)=0,0,MAX(0,IF((AQ$6-$E$3)&lt;1,0,IFERROR(LOOKUP(2,1/(Sorgo!$E32:INDEX(Sorgo!$E32:$Z32,MIN(AQ$6-$E$3,22))&lt;&gt;""),Sorgo!$E32:INDEX(Sorgo!$E32:$Z32,MIN(AQ$6-$E$3,22))),0))-IF($G$2,0,IF((AQ$6-$G$3)&lt;1,0,IFERROR(LOOKUP(2,1/(Sorgo!$E32:INDEX(Sorgo!$E32:$Z32,MIN(AQ$6-$G$3,22))&lt;&gt;""),Sorgo!$E32:INDEX(Sorgo!$E32:$Z32,MIN(AQ$6-$G$3,22))),0)))))</f>
        <v>0</v>
      </c>
      <c r="AR34" s="27" t="n">
        <f aca="false">IF(COUNT(Sorgo!$E32:$Z32)=0,0,MAX(0,IF((AR$6-$E$3)&lt;1,0,IFERROR(LOOKUP(2,1/(Sorgo!$E32:INDEX(Sorgo!$E32:$Z32,MIN(AR$6-$E$3,22))&lt;&gt;""),Sorgo!$E32:INDEX(Sorgo!$E32:$Z32,MIN(AR$6-$E$3,22))),0))-IF($G$2,0,IF((AR$6-$G$3)&lt;1,0,IFERROR(LOOKUP(2,1/(Sorgo!$E32:INDEX(Sorgo!$E32:$Z32,MIN(AR$6-$G$3,22))&lt;&gt;""),Sorgo!$E32:INDEX(Sorgo!$E32:$Z32,MIN(AR$6-$G$3,22))),0)))))</f>
        <v>0</v>
      </c>
      <c r="AS34" s="27" t="n">
        <f aca="false">IF(COUNT(Sorgo!$E32:$Z32)=0,0,MAX(0,IF((AS$6-$E$3)&lt;1,0,IFERROR(LOOKUP(2,1/(Sorgo!$E32:INDEX(Sorgo!$E32:$Z32,MIN(AS$6-$E$3,22))&lt;&gt;""),Sorgo!$E32:INDEX(Sorgo!$E32:$Z32,MIN(AS$6-$E$3,22))),0))-IF($G$2,0,IF((AS$6-$G$3)&lt;1,0,IFERROR(LOOKUP(2,1/(Sorgo!$E32:INDEX(Sorgo!$E32:$Z32,MIN(AS$6-$G$3,22))&lt;&gt;""),Sorgo!$E32:INDEX(Sorgo!$E32:$Z32,MIN(AS$6-$G$3,22))),0)))))</f>
        <v>0</v>
      </c>
      <c r="AT34" s="27" t="n">
        <f aca="false">IF(COUNT(Sorgo!$E32:$Z32)=0,0,MAX(0,IF((AT$6-$E$3)&lt;1,0,IFERROR(LOOKUP(2,1/(Sorgo!$E32:INDEX(Sorgo!$E32:$Z32,MIN(AT$6-$E$3,22))&lt;&gt;""),Sorgo!$E32:INDEX(Sorgo!$E32:$Z32,MIN(AT$6-$E$3,22))),0))-IF($G$2,0,IF((AT$6-$G$3)&lt;1,0,IFERROR(LOOKUP(2,1/(Sorgo!$E32:INDEX(Sorgo!$E32:$Z32,MIN(AT$6-$G$3,22))&lt;&gt;""),Sorgo!$E32:INDEX(Sorgo!$E32:$Z32,MIN(AT$6-$G$3,22))),0)))))</f>
        <v>0</v>
      </c>
      <c r="AU34" s="27" t="n">
        <f aca="false">IF(COUNT(Sorgo!$E32:$Z32)=0,0,MAX(0,IF((AU$6-$E$3)&lt;1,0,IFERROR(LOOKUP(2,1/(Sorgo!$E32:INDEX(Sorgo!$E32:$Z32,MIN(AU$6-$E$3,22))&lt;&gt;""),Sorgo!$E32:INDEX(Sorgo!$E32:$Z32,MIN(AU$6-$E$3,22))),0))-IF($G$2,0,IF((AU$6-$G$3)&lt;1,0,IFERROR(LOOKUP(2,1/(Sorgo!$E32:INDEX(Sorgo!$E32:$Z32,MIN(AU$6-$G$3,22))&lt;&gt;""),Sorgo!$E32:INDEX(Sorgo!$E32:$Z32,MIN(AU$6-$G$3,22))),0)))))</f>
        <v>0</v>
      </c>
      <c r="AV34" s="27" t="n">
        <f aca="false">IF(COUNT(Sorgo!$E32:$Z32)=0,0,MAX(0,IF((AV$6-$E$3)&lt;1,0,IFERROR(LOOKUP(2,1/(Sorgo!$E32:INDEX(Sorgo!$E32:$Z32,MIN(AV$6-$E$3,22))&lt;&gt;""),Sorgo!$E32:INDEX(Sorgo!$E32:$Z32,MIN(AV$6-$E$3,22))),0))-IF($G$2,0,IF((AV$6-$G$3)&lt;1,0,IFERROR(LOOKUP(2,1/(Sorgo!$E32:INDEX(Sorgo!$E32:$Z32,MIN(AV$6-$G$3,22))&lt;&gt;""),Sorgo!$E32:INDEX(Sorgo!$E32:$Z32,MIN(AV$6-$G$3,22))),0)))))</f>
        <v>0</v>
      </c>
      <c r="AW34" s="27" t="n">
        <f aca="false">IF(COUNT(Sorgo!$E32:$Z32)=0,0,MAX(0,IF((AW$6-$E$3)&lt;1,0,IFERROR(LOOKUP(2,1/(Sorgo!$E32:INDEX(Sorgo!$E32:$Z32,MIN(AW$6-$E$3,22))&lt;&gt;""),Sorgo!$E32:INDEX(Sorgo!$E32:$Z32,MIN(AW$6-$E$3,22))),0))-IF($G$2,0,IF((AW$6-$G$3)&lt;1,0,IFERROR(LOOKUP(2,1/(Sorgo!$E32:INDEX(Sorgo!$E32:$Z32,MIN(AW$6-$G$3,22))&lt;&gt;""),Sorgo!$E32:INDEX(Sorgo!$E32:$Z32,MIN(AW$6-$G$3,22))),0)))))</f>
        <v>0</v>
      </c>
      <c r="AX34" s="27" t="n">
        <f aca="false">IF(COUNT(Sorgo!$E32:$Z32)=0,0,MAX(0,IF((AX$6-$E$3)&lt;1,0,IFERROR(LOOKUP(2,1/(Sorgo!$E32:INDEX(Sorgo!$E32:$Z32,MIN(AX$6-$E$3,22))&lt;&gt;""),Sorgo!$E32:INDEX(Sorgo!$E32:$Z32,MIN(AX$6-$E$3,22))),0))-IF($G$2,0,IF((AX$6-$G$3)&lt;1,0,IFERROR(LOOKUP(2,1/(Sorgo!$E32:INDEX(Sorgo!$E32:$Z32,MIN(AX$6-$G$3,22))&lt;&gt;""),Sorgo!$E32:INDEX(Sorgo!$E32:$Z32,MIN(AX$6-$G$3,22))),0)))))</f>
        <v>0</v>
      </c>
      <c r="AY34" s="27" t="n">
        <f aca="false">IF(COUNT(Sorgo!$E32:$Z32)=0,0,MAX(0,IF((AY$6-$E$3)&lt;1,0,IFERROR(LOOKUP(2,1/(Sorgo!$E32:INDEX(Sorgo!$E32:$Z32,MIN(AY$6-$E$3,22))&lt;&gt;""),Sorgo!$E32:INDEX(Sorgo!$E32:$Z32,MIN(AY$6-$E$3,22))),0))-IF($G$2,0,IF((AY$6-$G$3)&lt;1,0,IFERROR(LOOKUP(2,1/(Sorgo!$E32:INDEX(Sorgo!$E32:$Z32,MIN(AY$6-$G$3,22))&lt;&gt;""),Sorgo!$E32:INDEX(Sorgo!$E32:$Z32,MIN(AY$6-$G$3,22))),0)))))</f>
        <v>0</v>
      </c>
      <c r="AZ34" s="27" t="n">
        <f aca="false">IF(COUNT(Sorgo!$E32:$Z32)=0,0,MAX(0,IF((AZ$6-$E$3)&lt;1,0,IFERROR(LOOKUP(2,1/(Sorgo!$E32:INDEX(Sorgo!$E32:$Z32,MIN(AZ$6-$E$3,22))&lt;&gt;""),Sorgo!$E32:INDEX(Sorgo!$E32:$Z32,MIN(AZ$6-$E$3,22))),0))-IF($G$2,0,IF((AZ$6-$G$3)&lt;1,0,IFERROR(LOOKUP(2,1/(Sorgo!$E32:INDEX(Sorgo!$E32:$Z32,MIN(AZ$6-$G$3,22))&lt;&gt;""),Sorgo!$E32:INDEX(Sorgo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IF(COUNT(Sorgo!$E33:$Z33)&gt;0,N(Sorgo!$D33),0)</f>
        <v>0</v>
      </c>
      <c r="E35" s="27" t="n">
        <f aca="false">IF(COUNT(Sorgo!$E33:$Z33)=0,0,MAX(0,IF((E$6-$E$3)&lt;1,0,IFERROR(LOOKUP(2,1/(Sorgo!$E33:INDEX(Sorgo!$E33:$Z33,MIN(E$6-$E$3,22))&lt;&gt;""),Sorgo!$E33:INDEX(Sorgo!$E33:$Z33,MIN(E$6-$E$3,22))),0))-IF($G$2,0,IF((E$6-$G$3)&lt;1,0,IFERROR(LOOKUP(2,1/(Sorgo!$E33:INDEX(Sorgo!$E33:$Z33,MIN(E$6-$G$3,22))&lt;&gt;""),Sorgo!$E33:INDEX(Sorgo!$E33:$Z33,MIN(E$6-$G$3,22))),0)))))</f>
        <v>0</v>
      </c>
      <c r="F35" s="27" t="n">
        <f aca="false">IF(COUNT(Sorgo!$E33:$Z33)=0,0,MAX(0,IF((F$6-$E$3)&lt;1,0,IFERROR(LOOKUP(2,1/(Sorgo!$E33:INDEX(Sorgo!$E33:$Z33,MIN(F$6-$E$3,22))&lt;&gt;""),Sorgo!$E33:INDEX(Sorgo!$E33:$Z33,MIN(F$6-$E$3,22))),0))-IF($G$2,0,IF((F$6-$G$3)&lt;1,0,IFERROR(LOOKUP(2,1/(Sorgo!$E33:INDEX(Sorgo!$E33:$Z33,MIN(F$6-$G$3,22))&lt;&gt;""),Sorgo!$E33:INDEX(Sorgo!$E33:$Z33,MIN(F$6-$G$3,22))),0)))))</f>
        <v>0</v>
      </c>
      <c r="G35" s="27" t="n">
        <f aca="false">IF(COUNT(Sorgo!$E33:$Z33)=0,0,MAX(0,IF((G$6-$E$3)&lt;1,0,IFERROR(LOOKUP(2,1/(Sorgo!$E33:INDEX(Sorgo!$E33:$Z33,MIN(G$6-$E$3,22))&lt;&gt;""),Sorgo!$E33:INDEX(Sorgo!$E33:$Z33,MIN(G$6-$E$3,22))),0))-IF($G$2,0,IF((G$6-$G$3)&lt;1,0,IFERROR(LOOKUP(2,1/(Sorgo!$E33:INDEX(Sorgo!$E33:$Z33,MIN(G$6-$G$3,22))&lt;&gt;""),Sorgo!$E33:INDEX(Sorgo!$E33:$Z33,MIN(G$6-$G$3,22))),0)))))</f>
        <v>0</v>
      </c>
      <c r="H35" s="27" t="n">
        <f aca="false">IF(COUNT(Sorgo!$E33:$Z33)=0,0,MAX(0,IF((H$6-$E$3)&lt;1,0,IFERROR(LOOKUP(2,1/(Sorgo!$E33:INDEX(Sorgo!$E33:$Z33,MIN(H$6-$E$3,22))&lt;&gt;""),Sorgo!$E33:INDEX(Sorgo!$E33:$Z33,MIN(H$6-$E$3,22))),0))-IF($G$2,0,IF((H$6-$G$3)&lt;1,0,IFERROR(LOOKUP(2,1/(Sorgo!$E33:INDEX(Sorgo!$E33:$Z33,MIN(H$6-$G$3,22))&lt;&gt;""),Sorgo!$E33:INDEX(Sorgo!$E33:$Z33,MIN(H$6-$G$3,22))),0)))))</f>
        <v>0</v>
      </c>
      <c r="I35" s="27" t="n">
        <f aca="false">IF(COUNT(Sorgo!$E33:$Z33)=0,0,MAX(0,IF((I$6-$E$3)&lt;1,0,IFERROR(LOOKUP(2,1/(Sorgo!$E33:INDEX(Sorgo!$E33:$Z33,MIN(I$6-$E$3,22))&lt;&gt;""),Sorgo!$E33:INDEX(Sorgo!$E33:$Z33,MIN(I$6-$E$3,22))),0))-IF($G$2,0,IF((I$6-$G$3)&lt;1,0,IFERROR(LOOKUP(2,1/(Sorgo!$E33:INDEX(Sorgo!$E33:$Z33,MIN(I$6-$G$3,22))&lt;&gt;""),Sorgo!$E33:INDEX(Sorgo!$E33:$Z33,MIN(I$6-$G$3,22))),0)))))</f>
        <v>0</v>
      </c>
      <c r="J35" s="27" t="n">
        <f aca="false">IF(COUNT(Sorgo!$E33:$Z33)=0,0,MAX(0,IF((J$6-$E$3)&lt;1,0,IFERROR(LOOKUP(2,1/(Sorgo!$E33:INDEX(Sorgo!$E33:$Z33,MIN(J$6-$E$3,22))&lt;&gt;""),Sorgo!$E33:INDEX(Sorgo!$E33:$Z33,MIN(J$6-$E$3,22))),0))-IF($G$2,0,IF((J$6-$G$3)&lt;1,0,IFERROR(LOOKUP(2,1/(Sorgo!$E33:INDEX(Sorgo!$E33:$Z33,MIN(J$6-$G$3,22))&lt;&gt;""),Sorgo!$E33:INDEX(Sorgo!$E33:$Z33,MIN(J$6-$G$3,22))),0)))))</f>
        <v>0</v>
      </c>
      <c r="K35" s="27" t="n">
        <f aca="false">IF(COUNT(Sorgo!$E33:$Z33)=0,0,MAX(0,IF((K$6-$E$3)&lt;1,0,IFERROR(LOOKUP(2,1/(Sorgo!$E33:INDEX(Sorgo!$E33:$Z33,MIN(K$6-$E$3,22))&lt;&gt;""),Sorgo!$E33:INDEX(Sorgo!$E33:$Z33,MIN(K$6-$E$3,22))),0))-IF($G$2,0,IF((K$6-$G$3)&lt;1,0,IFERROR(LOOKUP(2,1/(Sorgo!$E33:INDEX(Sorgo!$E33:$Z33,MIN(K$6-$G$3,22))&lt;&gt;""),Sorgo!$E33:INDEX(Sorgo!$E33:$Z33,MIN(K$6-$G$3,22))),0)))))</f>
        <v>0</v>
      </c>
      <c r="L35" s="27" t="n">
        <f aca="false">IF(COUNT(Sorgo!$E33:$Z33)=0,0,MAX(0,IF((L$6-$E$3)&lt;1,0,IFERROR(LOOKUP(2,1/(Sorgo!$E33:INDEX(Sorgo!$E33:$Z33,MIN(L$6-$E$3,22))&lt;&gt;""),Sorgo!$E33:INDEX(Sorgo!$E33:$Z33,MIN(L$6-$E$3,22))),0))-IF($G$2,0,IF((L$6-$G$3)&lt;1,0,IFERROR(LOOKUP(2,1/(Sorgo!$E33:INDEX(Sorgo!$E33:$Z33,MIN(L$6-$G$3,22))&lt;&gt;""),Sorgo!$E33:INDEX(Sorgo!$E33:$Z33,MIN(L$6-$G$3,22))),0)))))</f>
        <v>0</v>
      </c>
      <c r="M35" s="27" t="n">
        <f aca="false">IF(COUNT(Sorgo!$E33:$Z33)=0,0,MAX(0,IF((M$6-$E$3)&lt;1,0,IFERROR(LOOKUP(2,1/(Sorgo!$E33:INDEX(Sorgo!$E33:$Z33,MIN(M$6-$E$3,22))&lt;&gt;""),Sorgo!$E33:INDEX(Sorgo!$E33:$Z33,MIN(M$6-$E$3,22))),0))-IF($G$2,0,IF((M$6-$G$3)&lt;1,0,IFERROR(LOOKUP(2,1/(Sorgo!$E33:INDEX(Sorgo!$E33:$Z33,MIN(M$6-$G$3,22))&lt;&gt;""),Sorgo!$E33:INDEX(Sorgo!$E33:$Z33,MIN(M$6-$G$3,22))),0)))))</f>
        <v>0</v>
      </c>
      <c r="N35" s="27" t="n">
        <f aca="false">IF(COUNT(Sorgo!$E33:$Z33)=0,0,MAX(0,IF((N$6-$E$3)&lt;1,0,IFERROR(LOOKUP(2,1/(Sorgo!$E33:INDEX(Sorgo!$E33:$Z33,MIN(N$6-$E$3,22))&lt;&gt;""),Sorgo!$E33:INDEX(Sorgo!$E33:$Z33,MIN(N$6-$E$3,22))),0))-IF($G$2,0,IF((N$6-$G$3)&lt;1,0,IFERROR(LOOKUP(2,1/(Sorgo!$E33:INDEX(Sorgo!$E33:$Z33,MIN(N$6-$G$3,22))&lt;&gt;""),Sorgo!$E33:INDEX(Sorgo!$E33:$Z33,MIN(N$6-$G$3,22))),0)))))</f>
        <v>0</v>
      </c>
      <c r="O35" s="27" t="n">
        <f aca="false">IF(COUNT(Sorgo!$E33:$Z33)=0,0,MAX(0,IF((O$6-$E$3)&lt;1,0,IFERROR(LOOKUP(2,1/(Sorgo!$E33:INDEX(Sorgo!$E33:$Z33,MIN(O$6-$E$3,22))&lt;&gt;""),Sorgo!$E33:INDEX(Sorgo!$E33:$Z33,MIN(O$6-$E$3,22))),0))-IF($G$2,0,IF((O$6-$G$3)&lt;1,0,IFERROR(LOOKUP(2,1/(Sorgo!$E33:INDEX(Sorgo!$E33:$Z33,MIN(O$6-$G$3,22))&lt;&gt;""),Sorgo!$E33:INDEX(Sorgo!$E33:$Z33,MIN(O$6-$G$3,22))),0)))))</f>
        <v>0</v>
      </c>
      <c r="P35" s="27" t="n">
        <f aca="false">IF(COUNT(Sorgo!$E33:$Z33)=0,0,MAX(0,IF((P$6-$E$3)&lt;1,0,IFERROR(LOOKUP(2,1/(Sorgo!$E33:INDEX(Sorgo!$E33:$Z33,MIN(P$6-$E$3,22))&lt;&gt;""),Sorgo!$E33:INDEX(Sorgo!$E33:$Z33,MIN(P$6-$E$3,22))),0))-IF($G$2,0,IF((P$6-$G$3)&lt;1,0,IFERROR(LOOKUP(2,1/(Sorgo!$E33:INDEX(Sorgo!$E33:$Z33,MIN(P$6-$G$3,22))&lt;&gt;""),Sorgo!$E33:INDEX(Sorgo!$E33:$Z33,MIN(P$6-$G$3,22))),0)))))</f>
        <v>0</v>
      </c>
      <c r="Q35" s="27" t="n">
        <f aca="false">IF(COUNT(Sorgo!$E33:$Z33)=0,0,MAX(0,IF((Q$6-$E$3)&lt;1,0,IFERROR(LOOKUP(2,1/(Sorgo!$E33:INDEX(Sorgo!$E33:$Z33,MIN(Q$6-$E$3,22))&lt;&gt;""),Sorgo!$E33:INDEX(Sorgo!$E33:$Z33,MIN(Q$6-$E$3,22))),0))-IF($G$2,0,IF((Q$6-$G$3)&lt;1,0,IFERROR(LOOKUP(2,1/(Sorgo!$E33:INDEX(Sorgo!$E33:$Z33,MIN(Q$6-$G$3,22))&lt;&gt;""),Sorgo!$E33:INDEX(Sorgo!$E33:$Z33,MIN(Q$6-$G$3,22))),0)))))</f>
        <v>0</v>
      </c>
      <c r="R35" s="27" t="n">
        <f aca="false">IF(COUNT(Sorgo!$E33:$Z33)=0,0,MAX(0,IF((R$6-$E$3)&lt;1,0,IFERROR(LOOKUP(2,1/(Sorgo!$E33:INDEX(Sorgo!$E33:$Z33,MIN(R$6-$E$3,22))&lt;&gt;""),Sorgo!$E33:INDEX(Sorgo!$E33:$Z33,MIN(R$6-$E$3,22))),0))-IF($G$2,0,IF((R$6-$G$3)&lt;1,0,IFERROR(LOOKUP(2,1/(Sorgo!$E33:INDEX(Sorgo!$E33:$Z33,MIN(R$6-$G$3,22))&lt;&gt;""),Sorgo!$E33:INDEX(Sorgo!$E33:$Z33,MIN(R$6-$G$3,22))),0)))))</f>
        <v>0</v>
      </c>
      <c r="S35" s="27" t="n">
        <f aca="false">IF(COUNT(Sorgo!$E33:$Z33)=0,0,MAX(0,IF((S$6-$E$3)&lt;1,0,IFERROR(LOOKUP(2,1/(Sorgo!$E33:INDEX(Sorgo!$E33:$Z33,MIN(S$6-$E$3,22))&lt;&gt;""),Sorgo!$E33:INDEX(Sorgo!$E33:$Z33,MIN(S$6-$E$3,22))),0))-IF($G$2,0,IF((S$6-$G$3)&lt;1,0,IFERROR(LOOKUP(2,1/(Sorgo!$E33:INDEX(Sorgo!$E33:$Z33,MIN(S$6-$G$3,22))&lt;&gt;""),Sorgo!$E33:INDEX(Sorgo!$E33:$Z33,MIN(S$6-$G$3,22))),0)))))</f>
        <v>0</v>
      </c>
      <c r="T35" s="27" t="n">
        <f aca="false">IF(COUNT(Sorgo!$E33:$Z33)=0,0,MAX(0,IF((T$6-$E$3)&lt;1,0,IFERROR(LOOKUP(2,1/(Sorgo!$E33:INDEX(Sorgo!$E33:$Z33,MIN(T$6-$E$3,22))&lt;&gt;""),Sorgo!$E33:INDEX(Sorgo!$E33:$Z33,MIN(T$6-$E$3,22))),0))-IF($G$2,0,IF((T$6-$G$3)&lt;1,0,IFERROR(LOOKUP(2,1/(Sorgo!$E33:INDEX(Sorgo!$E33:$Z33,MIN(T$6-$G$3,22))&lt;&gt;""),Sorgo!$E33:INDEX(Sorgo!$E33:$Z33,MIN(T$6-$G$3,22))),0)))))</f>
        <v>0</v>
      </c>
      <c r="U35" s="27" t="n">
        <f aca="false">IF(COUNT(Sorgo!$E33:$Z33)=0,0,MAX(0,IF((U$6-$E$3)&lt;1,0,IFERROR(LOOKUP(2,1/(Sorgo!$E33:INDEX(Sorgo!$E33:$Z33,MIN(U$6-$E$3,22))&lt;&gt;""),Sorgo!$E33:INDEX(Sorgo!$E33:$Z33,MIN(U$6-$E$3,22))),0))-IF($G$2,0,IF((U$6-$G$3)&lt;1,0,IFERROR(LOOKUP(2,1/(Sorgo!$E33:INDEX(Sorgo!$E33:$Z33,MIN(U$6-$G$3,22))&lt;&gt;""),Sorgo!$E33:INDEX(Sorgo!$E33:$Z33,MIN(U$6-$G$3,22))),0)))))</f>
        <v>0</v>
      </c>
      <c r="V35" s="27" t="n">
        <f aca="false">IF(COUNT(Sorgo!$E33:$Z33)=0,0,MAX(0,IF((V$6-$E$3)&lt;1,0,IFERROR(LOOKUP(2,1/(Sorgo!$E33:INDEX(Sorgo!$E33:$Z33,MIN(V$6-$E$3,22))&lt;&gt;""),Sorgo!$E33:INDEX(Sorgo!$E33:$Z33,MIN(V$6-$E$3,22))),0))-IF($G$2,0,IF((V$6-$G$3)&lt;1,0,IFERROR(LOOKUP(2,1/(Sorgo!$E33:INDEX(Sorgo!$E33:$Z33,MIN(V$6-$G$3,22))&lt;&gt;""),Sorgo!$E33:INDEX(Sorgo!$E33:$Z33,MIN(V$6-$G$3,22))),0)))))</f>
        <v>0</v>
      </c>
      <c r="W35" s="27" t="n">
        <f aca="false">IF(COUNT(Sorgo!$E33:$Z33)=0,0,MAX(0,IF((W$6-$E$3)&lt;1,0,IFERROR(LOOKUP(2,1/(Sorgo!$E33:INDEX(Sorgo!$E33:$Z33,MIN(W$6-$E$3,22))&lt;&gt;""),Sorgo!$E33:INDEX(Sorgo!$E33:$Z33,MIN(W$6-$E$3,22))),0))-IF($G$2,0,IF((W$6-$G$3)&lt;1,0,IFERROR(LOOKUP(2,1/(Sorgo!$E33:INDEX(Sorgo!$E33:$Z33,MIN(W$6-$G$3,22))&lt;&gt;""),Sorgo!$E33:INDEX(Sorgo!$E33:$Z33,MIN(W$6-$G$3,22))),0)))))</f>
        <v>0</v>
      </c>
      <c r="X35" s="27" t="n">
        <f aca="false">IF(COUNT(Sorgo!$E33:$Z33)=0,0,MAX(0,IF((X$6-$E$3)&lt;1,0,IFERROR(LOOKUP(2,1/(Sorgo!$E33:INDEX(Sorgo!$E33:$Z33,MIN(X$6-$E$3,22))&lt;&gt;""),Sorgo!$E33:INDEX(Sorgo!$E33:$Z33,MIN(X$6-$E$3,22))),0))-IF($G$2,0,IF((X$6-$G$3)&lt;1,0,IFERROR(LOOKUP(2,1/(Sorgo!$E33:INDEX(Sorgo!$E33:$Z33,MIN(X$6-$G$3,22))&lt;&gt;""),Sorgo!$E33:INDEX(Sorgo!$E33:$Z33,MIN(X$6-$G$3,22))),0)))))</f>
        <v>0</v>
      </c>
      <c r="Y35" s="27" t="n">
        <f aca="false">IF(COUNT(Sorgo!$E33:$Z33)=0,0,MAX(0,IF((Y$6-$E$3)&lt;1,0,IFERROR(LOOKUP(2,1/(Sorgo!$E33:INDEX(Sorgo!$E33:$Z33,MIN(Y$6-$E$3,22))&lt;&gt;""),Sorgo!$E33:INDEX(Sorgo!$E33:$Z33,MIN(Y$6-$E$3,22))),0))-IF($G$2,0,IF((Y$6-$G$3)&lt;1,0,IFERROR(LOOKUP(2,1/(Sorgo!$E33:INDEX(Sorgo!$E33:$Z33,MIN(Y$6-$G$3,22))&lt;&gt;""),Sorgo!$E33:INDEX(Sorgo!$E33:$Z33,MIN(Y$6-$G$3,22))),0)))))</f>
        <v>0</v>
      </c>
      <c r="Z35" s="27" t="n">
        <f aca="false">IF(COUNT(Sorgo!$E33:$Z33)=0,0,MAX(0,IF((Z$6-$E$3)&lt;1,0,IFERROR(LOOKUP(2,1/(Sorgo!$E33:INDEX(Sorgo!$E33:$Z33,MIN(Z$6-$E$3,22))&lt;&gt;""),Sorgo!$E33:INDEX(Sorgo!$E33:$Z33,MIN(Z$6-$E$3,22))),0))-IF($G$2,0,IF((Z$6-$G$3)&lt;1,0,IFERROR(LOOKUP(2,1/(Sorgo!$E33:INDEX(Sorgo!$E33:$Z33,MIN(Z$6-$G$3,22))&lt;&gt;""),Sorgo!$E33:INDEX(Sorgo!$E33:$Z33,MIN(Z$6-$G$3,22))),0)))))</f>
        <v>0</v>
      </c>
      <c r="AA35" s="27" t="n">
        <f aca="false">IF(COUNT(Sorgo!$E33:$Z33)=0,0,MAX(0,IF((AA$6-$E$3)&lt;1,0,IFERROR(LOOKUP(2,1/(Sorgo!$E33:INDEX(Sorgo!$E33:$Z33,MIN(AA$6-$E$3,22))&lt;&gt;""),Sorgo!$E33:INDEX(Sorgo!$E33:$Z33,MIN(AA$6-$E$3,22))),0))-IF($G$2,0,IF((AA$6-$G$3)&lt;1,0,IFERROR(LOOKUP(2,1/(Sorgo!$E33:INDEX(Sorgo!$E33:$Z33,MIN(AA$6-$G$3,22))&lt;&gt;""),Sorgo!$E33:INDEX(Sorgo!$E33:$Z33,MIN(AA$6-$G$3,22))),0)))))</f>
        <v>0</v>
      </c>
      <c r="AB35" s="27" t="n">
        <f aca="false">IF(COUNT(Sorgo!$E33:$Z33)=0,0,MAX(0,IF((AB$6-$E$3)&lt;1,0,IFERROR(LOOKUP(2,1/(Sorgo!$E33:INDEX(Sorgo!$E33:$Z33,MIN(AB$6-$E$3,22))&lt;&gt;""),Sorgo!$E33:INDEX(Sorgo!$E33:$Z33,MIN(AB$6-$E$3,22))),0))-IF($G$2,0,IF((AB$6-$G$3)&lt;1,0,IFERROR(LOOKUP(2,1/(Sorgo!$E33:INDEX(Sorgo!$E33:$Z33,MIN(AB$6-$G$3,22))&lt;&gt;""),Sorgo!$E33:INDEX(Sorgo!$E33:$Z33,MIN(AB$6-$G$3,22))),0)))))</f>
        <v>0</v>
      </c>
      <c r="AC35" s="27" t="n">
        <f aca="false">IF(COUNT(Sorgo!$E33:$Z33)=0,0,MAX(0,IF((AC$6-$E$3)&lt;1,0,IFERROR(LOOKUP(2,1/(Sorgo!$E33:INDEX(Sorgo!$E33:$Z33,MIN(AC$6-$E$3,22))&lt;&gt;""),Sorgo!$E33:INDEX(Sorgo!$E33:$Z33,MIN(AC$6-$E$3,22))),0))-IF($G$2,0,IF((AC$6-$G$3)&lt;1,0,IFERROR(LOOKUP(2,1/(Sorgo!$E33:INDEX(Sorgo!$E33:$Z33,MIN(AC$6-$G$3,22))&lt;&gt;""),Sorgo!$E33:INDEX(Sorgo!$E33:$Z33,MIN(AC$6-$G$3,22))),0)))))</f>
        <v>0</v>
      </c>
      <c r="AD35" s="27" t="n">
        <f aca="false">IF(COUNT(Sorgo!$E33:$Z33)=0,0,MAX(0,IF((AD$6-$E$3)&lt;1,0,IFERROR(LOOKUP(2,1/(Sorgo!$E33:INDEX(Sorgo!$E33:$Z33,MIN(AD$6-$E$3,22))&lt;&gt;""),Sorgo!$E33:INDEX(Sorgo!$E33:$Z33,MIN(AD$6-$E$3,22))),0))-IF($G$2,0,IF((AD$6-$G$3)&lt;1,0,IFERROR(LOOKUP(2,1/(Sorgo!$E33:INDEX(Sorgo!$E33:$Z33,MIN(AD$6-$G$3,22))&lt;&gt;""),Sorgo!$E33:INDEX(Sorgo!$E33:$Z33,MIN(AD$6-$G$3,22))),0)))))</f>
        <v>0</v>
      </c>
      <c r="AE35" s="27" t="n">
        <f aca="false">IF(COUNT(Sorgo!$E33:$Z33)=0,0,MAX(0,IF((AE$6-$E$3)&lt;1,0,IFERROR(LOOKUP(2,1/(Sorgo!$E33:INDEX(Sorgo!$E33:$Z33,MIN(AE$6-$E$3,22))&lt;&gt;""),Sorgo!$E33:INDEX(Sorgo!$E33:$Z33,MIN(AE$6-$E$3,22))),0))-IF($G$2,0,IF((AE$6-$G$3)&lt;1,0,IFERROR(LOOKUP(2,1/(Sorgo!$E33:INDEX(Sorgo!$E33:$Z33,MIN(AE$6-$G$3,22))&lt;&gt;""),Sorgo!$E33:INDEX(Sorgo!$E33:$Z33,MIN(AE$6-$G$3,22))),0)))))</f>
        <v>0</v>
      </c>
      <c r="AF35" s="27" t="n">
        <f aca="false">IF(COUNT(Sorgo!$E33:$Z33)=0,0,MAX(0,IF((AF$6-$E$3)&lt;1,0,IFERROR(LOOKUP(2,1/(Sorgo!$E33:INDEX(Sorgo!$E33:$Z33,MIN(AF$6-$E$3,22))&lt;&gt;""),Sorgo!$E33:INDEX(Sorgo!$E33:$Z33,MIN(AF$6-$E$3,22))),0))-IF($G$2,0,IF((AF$6-$G$3)&lt;1,0,IFERROR(LOOKUP(2,1/(Sorgo!$E33:INDEX(Sorgo!$E33:$Z33,MIN(AF$6-$G$3,22))&lt;&gt;""),Sorgo!$E33:INDEX(Sorgo!$E33:$Z33,MIN(AF$6-$G$3,22))),0)))))</f>
        <v>0</v>
      </c>
      <c r="AG35" s="27" t="n">
        <f aca="false">IF(COUNT(Sorgo!$E33:$Z33)=0,0,MAX(0,IF((AG$6-$E$3)&lt;1,0,IFERROR(LOOKUP(2,1/(Sorgo!$E33:INDEX(Sorgo!$E33:$Z33,MIN(AG$6-$E$3,22))&lt;&gt;""),Sorgo!$E33:INDEX(Sorgo!$E33:$Z33,MIN(AG$6-$E$3,22))),0))-IF($G$2,0,IF((AG$6-$G$3)&lt;1,0,IFERROR(LOOKUP(2,1/(Sorgo!$E33:INDEX(Sorgo!$E33:$Z33,MIN(AG$6-$G$3,22))&lt;&gt;""),Sorgo!$E33:INDEX(Sorgo!$E33:$Z33,MIN(AG$6-$G$3,22))),0)))))</f>
        <v>0</v>
      </c>
      <c r="AH35" s="27" t="n">
        <f aca="false">IF(COUNT(Sorgo!$E33:$Z33)=0,0,MAX(0,IF((AH$6-$E$3)&lt;1,0,IFERROR(LOOKUP(2,1/(Sorgo!$E33:INDEX(Sorgo!$E33:$Z33,MIN(AH$6-$E$3,22))&lt;&gt;""),Sorgo!$E33:INDEX(Sorgo!$E33:$Z33,MIN(AH$6-$E$3,22))),0))-IF($G$2,0,IF((AH$6-$G$3)&lt;1,0,IFERROR(LOOKUP(2,1/(Sorgo!$E33:INDEX(Sorgo!$E33:$Z33,MIN(AH$6-$G$3,22))&lt;&gt;""),Sorgo!$E33:INDEX(Sorgo!$E33:$Z33,MIN(AH$6-$G$3,22))),0)))))</f>
        <v>0</v>
      </c>
      <c r="AI35" s="27" t="n">
        <f aca="false">IF(COUNT(Sorgo!$E33:$Z33)=0,0,MAX(0,IF((AI$6-$E$3)&lt;1,0,IFERROR(LOOKUP(2,1/(Sorgo!$E33:INDEX(Sorgo!$E33:$Z33,MIN(AI$6-$E$3,22))&lt;&gt;""),Sorgo!$E33:INDEX(Sorgo!$E33:$Z33,MIN(AI$6-$E$3,22))),0))-IF($G$2,0,IF((AI$6-$G$3)&lt;1,0,IFERROR(LOOKUP(2,1/(Sorgo!$E33:INDEX(Sorgo!$E33:$Z33,MIN(AI$6-$G$3,22))&lt;&gt;""),Sorgo!$E33:INDEX(Sorgo!$E33:$Z33,MIN(AI$6-$G$3,22))),0)))))</f>
        <v>0</v>
      </c>
      <c r="AJ35" s="27" t="n">
        <f aca="false">IF(COUNT(Sorgo!$E33:$Z33)=0,0,MAX(0,IF((AJ$6-$E$3)&lt;1,0,IFERROR(LOOKUP(2,1/(Sorgo!$E33:INDEX(Sorgo!$E33:$Z33,MIN(AJ$6-$E$3,22))&lt;&gt;""),Sorgo!$E33:INDEX(Sorgo!$E33:$Z33,MIN(AJ$6-$E$3,22))),0))-IF($G$2,0,IF((AJ$6-$G$3)&lt;1,0,IFERROR(LOOKUP(2,1/(Sorgo!$E33:INDEX(Sorgo!$E33:$Z33,MIN(AJ$6-$G$3,22))&lt;&gt;""),Sorgo!$E33:INDEX(Sorgo!$E33:$Z33,MIN(AJ$6-$G$3,22))),0)))))</f>
        <v>0</v>
      </c>
      <c r="AK35" s="27" t="n">
        <f aca="false">IF(COUNT(Sorgo!$E33:$Z33)=0,0,MAX(0,IF((AK$6-$E$3)&lt;1,0,IFERROR(LOOKUP(2,1/(Sorgo!$E33:INDEX(Sorgo!$E33:$Z33,MIN(AK$6-$E$3,22))&lt;&gt;""),Sorgo!$E33:INDEX(Sorgo!$E33:$Z33,MIN(AK$6-$E$3,22))),0))-IF($G$2,0,IF((AK$6-$G$3)&lt;1,0,IFERROR(LOOKUP(2,1/(Sorgo!$E33:INDEX(Sorgo!$E33:$Z33,MIN(AK$6-$G$3,22))&lt;&gt;""),Sorgo!$E33:INDEX(Sorgo!$E33:$Z33,MIN(AK$6-$G$3,22))),0)))))</f>
        <v>0</v>
      </c>
      <c r="AL35" s="27" t="n">
        <f aca="false">IF(COUNT(Sorgo!$E33:$Z33)=0,0,MAX(0,IF((AL$6-$E$3)&lt;1,0,IFERROR(LOOKUP(2,1/(Sorgo!$E33:INDEX(Sorgo!$E33:$Z33,MIN(AL$6-$E$3,22))&lt;&gt;""),Sorgo!$E33:INDEX(Sorgo!$E33:$Z33,MIN(AL$6-$E$3,22))),0))-IF($G$2,0,IF((AL$6-$G$3)&lt;1,0,IFERROR(LOOKUP(2,1/(Sorgo!$E33:INDEX(Sorgo!$E33:$Z33,MIN(AL$6-$G$3,22))&lt;&gt;""),Sorgo!$E33:INDEX(Sorgo!$E33:$Z33,MIN(AL$6-$G$3,22))),0)))))</f>
        <v>0</v>
      </c>
      <c r="AM35" s="27" t="n">
        <f aca="false">IF(COUNT(Sorgo!$E33:$Z33)=0,0,MAX(0,IF((AM$6-$E$3)&lt;1,0,IFERROR(LOOKUP(2,1/(Sorgo!$E33:INDEX(Sorgo!$E33:$Z33,MIN(AM$6-$E$3,22))&lt;&gt;""),Sorgo!$E33:INDEX(Sorgo!$E33:$Z33,MIN(AM$6-$E$3,22))),0))-IF($G$2,0,IF((AM$6-$G$3)&lt;1,0,IFERROR(LOOKUP(2,1/(Sorgo!$E33:INDEX(Sorgo!$E33:$Z33,MIN(AM$6-$G$3,22))&lt;&gt;""),Sorgo!$E33:INDEX(Sorgo!$E33:$Z33,MIN(AM$6-$G$3,22))),0)))))</f>
        <v>0</v>
      </c>
      <c r="AN35" s="27" t="n">
        <f aca="false">IF(COUNT(Sorgo!$E33:$Z33)=0,0,MAX(0,IF((AN$6-$E$3)&lt;1,0,IFERROR(LOOKUP(2,1/(Sorgo!$E33:INDEX(Sorgo!$E33:$Z33,MIN(AN$6-$E$3,22))&lt;&gt;""),Sorgo!$E33:INDEX(Sorgo!$E33:$Z33,MIN(AN$6-$E$3,22))),0))-IF($G$2,0,IF((AN$6-$G$3)&lt;1,0,IFERROR(LOOKUP(2,1/(Sorgo!$E33:INDEX(Sorgo!$E33:$Z33,MIN(AN$6-$G$3,22))&lt;&gt;""),Sorgo!$E33:INDEX(Sorgo!$E33:$Z33,MIN(AN$6-$G$3,22))),0)))))</f>
        <v>0</v>
      </c>
      <c r="AO35" s="27" t="n">
        <f aca="false">IF(COUNT(Sorgo!$E33:$Z33)=0,0,MAX(0,IF((AO$6-$E$3)&lt;1,0,IFERROR(LOOKUP(2,1/(Sorgo!$E33:INDEX(Sorgo!$E33:$Z33,MIN(AO$6-$E$3,22))&lt;&gt;""),Sorgo!$E33:INDEX(Sorgo!$E33:$Z33,MIN(AO$6-$E$3,22))),0))-IF($G$2,0,IF((AO$6-$G$3)&lt;1,0,IFERROR(LOOKUP(2,1/(Sorgo!$E33:INDEX(Sorgo!$E33:$Z33,MIN(AO$6-$G$3,22))&lt;&gt;""),Sorgo!$E33:INDEX(Sorgo!$E33:$Z33,MIN(AO$6-$G$3,22))),0)))))</f>
        <v>0</v>
      </c>
      <c r="AP35" s="27" t="n">
        <f aca="false">IF(COUNT(Sorgo!$E33:$Z33)=0,0,MAX(0,IF((AP$6-$E$3)&lt;1,0,IFERROR(LOOKUP(2,1/(Sorgo!$E33:INDEX(Sorgo!$E33:$Z33,MIN(AP$6-$E$3,22))&lt;&gt;""),Sorgo!$E33:INDEX(Sorgo!$E33:$Z33,MIN(AP$6-$E$3,22))),0))-IF($G$2,0,IF((AP$6-$G$3)&lt;1,0,IFERROR(LOOKUP(2,1/(Sorgo!$E33:INDEX(Sorgo!$E33:$Z33,MIN(AP$6-$G$3,22))&lt;&gt;""),Sorgo!$E33:INDEX(Sorgo!$E33:$Z33,MIN(AP$6-$G$3,22))),0)))))</f>
        <v>0</v>
      </c>
      <c r="AQ35" s="27" t="n">
        <f aca="false">IF(COUNT(Sorgo!$E33:$Z33)=0,0,MAX(0,IF((AQ$6-$E$3)&lt;1,0,IFERROR(LOOKUP(2,1/(Sorgo!$E33:INDEX(Sorgo!$E33:$Z33,MIN(AQ$6-$E$3,22))&lt;&gt;""),Sorgo!$E33:INDEX(Sorgo!$E33:$Z33,MIN(AQ$6-$E$3,22))),0))-IF($G$2,0,IF((AQ$6-$G$3)&lt;1,0,IFERROR(LOOKUP(2,1/(Sorgo!$E33:INDEX(Sorgo!$E33:$Z33,MIN(AQ$6-$G$3,22))&lt;&gt;""),Sorgo!$E33:INDEX(Sorgo!$E33:$Z33,MIN(AQ$6-$G$3,22))),0)))))</f>
        <v>0</v>
      </c>
      <c r="AR35" s="27" t="n">
        <f aca="false">IF(COUNT(Sorgo!$E33:$Z33)=0,0,MAX(0,IF((AR$6-$E$3)&lt;1,0,IFERROR(LOOKUP(2,1/(Sorgo!$E33:INDEX(Sorgo!$E33:$Z33,MIN(AR$6-$E$3,22))&lt;&gt;""),Sorgo!$E33:INDEX(Sorgo!$E33:$Z33,MIN(AR$6-$E$3,22))),0))-IF($G$2,0,IF((AR$6-$G$3)&lt;1,0,IFERROR(LOOKUP(2,1/(Sorgo!$E33:INDEX(Sorgo!$E33:$Z33,MIN(AR$6-$G$3,22))&lt;&gt;""),Sorgo!$E33:INDEX(Sorgo!$E33:$Z33,MIN(AR$6-$G$3,22))),0)))))</f>
        <v>0</v>
      </c>
      <c r="AS35" s="27" t="n">
        <f aca="false">IF(COUNT(Sorgo!$E33:$Z33)=0,0,MAX(0,IF((AS$6-$E$3)&lt;1,0,IFERROR(LOOKUP(2,1/(Sorgo!$E33:INDEX(Sorgo!$E33:$Z33,MIN(AS$6-$E$3,22))&lt;&gt;""),Sorgo!$E33:INDEX(Sorgo!$E33:$Z33,MIN(AS$6-$E$3,22))),0))-IF($G$2,0,IF((AS$6-$G$3)&lt;1,0,IFERROR(LOOKUP(2,1/(Sorgo!$E33:INDEX(Sorgo!$E33:$Z33,MIN(AS$6-$G$3,22))&lt;&gt;""),Sorgo!$E33:INDEX(Sorgo!$E33:$Z33,MIN(AS$6-$G$3,22))),0)))))</f>
        <v>0</v>
      </c>
      <c r="AT35" s="27" t="n">
        <f aca="false">IF(COUNT(Sorgo!$E33:$Z33)=0,0,MAX(0,IF((AT$6-$E$3)&lt;1,0,IFERROR(LOOKUP(2,1/(Sorgo!$E33:INDEX(Sorgo!$E33:$Z33,MIN(AT$6-$E$3,22))&lt;&gt;""),Sorgo!$E33:INDEX(Sorgo!$E33:$Z33,MIN(AT$6-$E$3,22))),0))-IF($G$2,0,IF((AT$6-$G$3)&lt;1,0,IFERROR(LOOKUP(2,1/(Sorgo!$E33:INDEX(Sorgo!$E33:$Z33,MIN(AT$6-$G$3,22))&lt;&gt;""),Sorgo!$E33:INDEX(Sorgo!$E33:$Z33,MIN(AT$6-$G$3,22))),0)))))</f>
        <v>0</v>
      </c>
      <c r="AU35" s="27" t="n">
        <f aca="false">IF(COUNT(Sorgo!$E33:$Z33)=0,0,MAX(0,IF((AU$6-$E$3)&lt;1,0,IFERROR(LOOKUP(2,1/(Sorgo!$E33:INDEX(Sorgo!$E33:$Z33,MIN(AU$6-$E$3,22))&lt;&gt;""),Sorgo!$E33:INDEX(Sorgo!$E33:$Z33,MIN(AU$6-$E$3,22))),0))-IF($G$2,0,IF((AU$6-$G$3)&lt;1,0,IFERROR(LOOKUP(2,1/(Sorgo!$E33:INDEX(Sorgo!$E33:$Z33,MIN(AU$6-$G$3,22))&lt;&gt;""),Sorgo!$E33:INDEX(Sorgo!$E33:$Z33,MIN(AU$6-$G$3,22))),0)))))</f>
        <v>0</v>
      </c>
      <c r="AV35" s="27" t="n">
        <f aca="false">IF(COUNT(Sorgo!$E33:$Z33)=0,0,MAX(0,IF((AV$6-$E$3)&lt;1,0,IFERROR(LOOKUP(2,1/(Sorgo!$E33:INDEX(Sorgo!$E33:$Z33,MIN(AV$6-$E$3,22))&lt;&gt;""),Sorgo!$E33:INDEX(Sorgo!$E33:$Z33,MIN(AV$6-$E$3,22))),0))-IF($G$2,0,IF((AV$6-$G$3)&lt;1,0,IFERROR(LOOKUP(2,1/(Sorgo!$E33:INDEX(Sorgo!$E33:$Z33,MIN(AV$6-$G$3,22))&lt;&gt;""),Sorgo!$E33:INDEX(Sorgo!$E33:$Z33,MIN(AV$6-$G$3,22))),0)))))</f>
        <v>0</v>
      </c>
      <c r="AW35" s="27" t="n">
        <f aca="false">IF(COUNT(Sorgo!$E33:$Z33)=0,0,MAX(0,IF((AW$6-$E$3)&lt;1,0,IFERROR(LOOKUP(2,1/(Sorgo!$E33:INDEX(Sorgo!$E33:$Z33,MIN(AW$6-$E$3,22))&lt;&gt;""),Sorgo!$E33:INDEX(Sorgo!$E33:$Z33,MIN(AW$6-$E$3,22))),0))-IF($G$2,0,IF((AW$6-$G$3)&lt;1,0,IFERROR(LOOKUP(2,1/(Sorgo!$E33:INDEX(Sorgo!$E33:$Z33,MIN(AW$6-$G$3,22))&lt;&gt;""),Sorgo!$E33:INDEX(Sorgo!$E33:$Z33,MIN(AW$6-$G$3,22))),0)))))</f>
        <v>0</v>
      </c>
      <c r="AX35" s="27" t="n">
        <f aca="false">IF(COUNT(Sorgo!$E33:$Z33)=0,0,MAX(0,IF((AX$6-$E$3)&lt;1,0,IFERROR(LOOKUP(2,1/(Sorgo!$E33:INDEX(Sorgo!$E33:$Z33,MIN(AX$6-$E$3,22))&lt;&gt;""),Sorgo!$E33:INDEX(Sorgo!$E33:$Z33,MIN(AX$6-$E$3,22))),0))-IF($G$2,0,IF((AX$6-$G$3)&lt;1,0,IFERROR(LOOKUP(2,1/(Sorgo!$E33:INDEX(Sorgo!$E33:$Z33,MIN(AX$6-$G$3,22))&lt;&gt;""),Sorgo!$E33:INDEX(Sorgo!$E33:$Z33,MIN(AX$6-$G$3,22))),0)))))</f>
        <v>0</v>
      </c>
      <c r="AY35" s="27" t="n">
        <f aca="false">IF(COUNT(Sorgo!$E33:$Z33)=0,0,MAX(0,IF((AY$6-$E$3)&lt;1,0,IFERROR(LOOKUP(2,1/(Sorgo!$E33:INDEX(Sorgo!$E33:$Z33,MIN(AY$6-$E$3,22))&lt;&gt;""),Sorgo!$E33:INDEX(Sorgo!$E33:$Z33,MIN(AY$6-$E$3,22))),0))-IF($G$2,0,IF((AY$6-$G$3)&lt;1,0,IFERROR(LOOKUP(2,1/(Sorgo!$E33:INDEX(Sorgo!$E33:$Z33,MIN(AY$6-$G$3,22))&lt;&gt;""),Sorgo!$E33:INDEX(Sorgo!$E33:$Z33,MIN(AY$6-$G$3,22))),0)))))</f>
        <v>0</v>
      </c>
      <c r="AZ35" s="27" t="n">
        <f aca="false">IF(COUNT(Sorgo!$E33:$Z33)=0,0,MAX(0,IF((AZ$6-$E$3)&lt;1,0,IFERROR(LOOKUP(2,1/(Sorgo!$E33:INDEX(Sorgo!$E33:$Z33,MIN(AZ$6-$E$3,22))&lt;&gt;""),Sorgo!$E33:INDEX(Sorgo!$E33:$Z33,MIN(AZ$6-$E$3,22))),0))-IF($G$2,0,IF((AZ$6-$G$3)&lt;1,0,IFERROR(LOOKUP(2,1/(Sorgo!$E33:INDEX(Sorgo!$E33:$Z33,MIN(AZ$6-$G$3,22))&lt;&gt;""),Sorgo!$E33:INDEX(Sorgo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IF(COUNT(Sorgo!$E34:$Z34)&gt;0,N(Sorgo!$D34),0)</f>
        <v>0</v>
      </c>
      <c r="E36" s="27" t="n">
        <f aca="false">IF(COUNT(Sorgo!$E34:$Z34)=0,0,MAX(0,IF((E$6-$E$3)&lt;1,0,IFERROR(LOOKUP(2,1/(Sorgo!$E34:INDEX(Sorgo!$E34:$Z34,MIN(E$6-$E$3,22))&lt;&gt;""),Sorgo!$E34:INDEX(Sorgo!$E34:$Z34,MIN(E$6-$E$3,22))),0))-IF($G$2,0,IF((E$6-$G$3)&lt;1,0,IFERROR(LOOKUP(2,1/(Sorgo!$E34:INDEX(Sorgo!$E34:$Z34,MIN(E$6-$G$3,22))&lt;&gt;""),Sorgo!$E34:INDEX(Sorgo!$E34:$Z34,MIN(E$6-$G$3,22))),0)))))</f>
        <v>0</v>
      </c>
      <c r="F36" s="27" t="n">
        <f aca="false">IF(COUNT(Sorgo!$E34:$Z34)=0,0,MAX(0,IF((F$6-$E$3)&lt;1,0,IFERROR(LOOKUP(2,1/(Sorgo!$E34:INDEX(Sorgo!$E34:$Z34,MIN(F$6-$E$3,22))&lt;&gt;""),Sorgo!$E34:INDEX(Sorgo!$E34:$Z34,MIN(F$6-$E$3,22))),0))-IF($G$2,0,IF((F$6-$G$3)&lt;1,0,IFERROR(LOOKUP(2,1/(Sorgo!$E34:INDEX(Sorgo!$E34:$Z34,MIN(F$6-$G$3,22))&lt;&gt;""),Sorgo!$E34:INDEX(Sorgo!$E34:$Z34,MIN(F$6-$G$3,22))),0)))))</f>
        <v>0</v>
      </c>
      <c r="G36" s="27" t="n">
        <f aca="false">IF(COUNT(Sorgo!$E34:$Z34)=0,0,MAX(0,IF((G$6-$E$3)&lt;1,0,IFERROR(LOOKUP(2,1/(Sorgo!$E34:INDEX(Sorgo!$E34:$Z34,MIN(G$6-$E$3,22))&lt;&gt;""),Sorgo!$E34:INDEX(Sorgo!$E34:$Z34,MIN(G$6-$E$3,22))),0))-IF($G$2,0,IF((G$6-$G$3)&lt;1,0,IFERROR(LOOKUP(2,1/(Sorgo!$E34:INDEX(Sorgo!$E34:$Z34,MIN(G$6-$G$3,22))&lt;&gt;""),Sorgo!$E34:INDEX(Sorgo!$E34:$Z34,MIN(G$6-$G$3,22))),0)))))</f>
        <v>0</v>
      </c>
      <c r="H36" s="27" t="n">
        <f aca="false">IF(COUNT(Sorgo!$E34:$Z34)=0,0,MAX(0,IF((H$6-$E$3)&lt;1,0,IFERROR(LOOKUP(2,1/(Sorgo!$E34:INDEX(Sorgo!$E34:$Z34,MIN(H$6-$E$3,22))&lt;&gt;""),Sorgo!$E34:INDEX(Sorgo!$E34:$Z34,MIN(H$6-$E$3,22))),0))-IF($G$2,0,IF((H$6-$G$3)&lt;1,0,IFERROR(LOOKUP(2,1/(Sorgo!$E34:INDEX(Sorgo!$E34:$Z34,MIN(H$6-$G$3,22))&lt;&gt;""),Sorgo!$E34:INDEX(Sorgo!$E34:$Z34,MIN(H$6-$G$3,22))),0)))))</f>
        <v>0</v>
      </c>
      <c r="I36" s="27" t="n">
        <f aca="false">IF(COUNT(Sorgo!$E34:$Z34)=0,0,MAX(0,IF((I$6-$E$3)&lt;1,0,IFERROR(LOOKUP(2,1/(Sorgo!$E34:INDEX(Sorgo!$E34:$Z34,MIN(I$6-$E$3,22))&lt;&gt;""),Sorgo!$E34:INDEX(Sorgo!$E34:$Z34,MIN(I$6-$E$3,22))),0))-IF($G$2,0,IF((I$6-$G$3)&lt;1,0,IFERROR(LOOKUP(2,1/(Sorgo!$E34:INDEX(Sorgo!$E34:$Z34,MIN(I$6-$G$3,22))&lt;&gt;""),Sorgo!$E34:INDEX(Sorgo!$E34:$Z34,MIN(I$6-$G$3,22))),0)))))</f>
        <v>0</v>
      </c>
      <c r="J36" s="27" t="n">
        <f aca="false">IF(COUNT(Sorgo!$E34:$Z34)=0,0,MAX(0,IF((J$6-$E$3)&lt;1,0,IFERROR(LOOKUP(2,1/(Sorgo!$E34:INDEX(Sorgo!$E34:$Z34,MIN(J$6-$E$3,22))&lt;&gt;""),Sorgo!$E34:INDEX(Sorgo!$E34:$Z34,MIN(J$6-$E$3,22))),0))-IF($G$2,0,IF((J$6-$G$3)&lt;1,0,IFERROR(LOOKUP(2,1/(Sorgo!$E34:INDEX(Sorgo!$E34:$Z34,MIN(J$6-$G$3,22))&lt;&gt;""),Sorgo!$E34:INDEX(Sorgo!$E34:$Z34,MIN(J$6-$G$3,22))),0)))))</f>
        <v>0</v>
      </c>
      <c r="K36" s="27" t="n">
        <f aca="false">IF(COUNT(Sorgo!$E34:$Z34)=0,0,MAX(0,IF((K$6-$E$3)&lt;1,0,IFERROR(LOOKUP(2,1/(Sorgo!$E34:INDEX(Sorgo!$E34:$Z34,MIN(K$6-$E$3,22))&lt;&gt;""),Sorgo!$E34:INDEX(Sorgo!$E34:$Z34,MIN(K$6-$E$3,22))),0))-IF($G$2,0,IF((K$6-$G$3)&lt;1,0,IFERROR(LOOKUP(2,1/(Sorgo!$E34:INDEX(Sorgo!$E34:$Z34,MIN(K$6-$G$3,22))&lt;&gt;""),Sorgo!$E34:INDEX(Sorgo!$E34:$Z34,MIN(K$6-$G$3,22))),0)))))</f>
        <v>0</v>
      </c>
      <c r="L36" s="27" t="n">
        <f aca="false">IF(COUNT(Sorgo!$E34:$Z34)=0,0,MAX(0,IF((L$6-$E$3)&lt;1,0,IFERROR(LOOKUP(2,1/(Sorgo!$E34:INDEX(Sorgo!$E34:$Z34,MIN(L$6-$E$3,22))&lt;&gt;""),Sorgo!$E34:INDEX(Sorgo!$E34:$Z34,MIN(L$6-$E$3,22))),0))-IF($G$2,0,IF((L$6-$G$3)&lt;1,0,IFERROR(LOOKUP(2,1/(Sorgo!$E34:INDEX(Sorgo!$E34:$Z34,MIN(L$6-$G$3,22))&lt;&gt;""),Sorgo!$E34:INDEX(Sorgo!$E34:$Z34,MIN(L$6-$G$3,22))),0)))))</f>
        <v>0</v>
      </c>
      <c r="M36" s="27" t="n">
        <f aca="false">IF(COUNT(Sorgo!$E34:$Z34)=0,0,MAX(0,IF((M$6-$E$3)&lt;1,0,IFERROR(LOOKUP(2,1/(Sorgo!$E34:INDEX(Sorgo!$E34:$Z34,MIN(M$6-$E$3,22))&lt;&gt;""),Sorgo!$E34:INDEX(Sorgo!$E34:$Z34,MIN(M$6-$E$3,22))),0))-IF($G$2,0,IF((M$6-$G$3)&lt;1,0,IFERROR(LOOKUP(2,1/(Sorgo!$E34:INDEX(Sorgo!$E34:$Z34,MIN(M$6-$G$3,22))&lt;&gt;""),Sorgo!$E34:INDEX(Sorgo!$E34:$Z34,MIN(M$6-$G$3,22))),0)))))</f>
        <v>0</v>
      </c>
      <c r="N36" s="27" t="n">
        <f aca="false">IF(COUNT(Sorgo!$E34:$Z34)=0,0,MAX(0,IF((N$6-$E$3)&lt;1,0,IFERROR(LOOKUP(2,1/(Sorgo!$E34:INDEX(Sorgo!$E34:$Z34,MIN(N$6-$E$3,22))&lt;&gt;""),Sorgo!$E34:INDEX(Sorgo!$E34:$Z34,MIN(N$6-$E$3,22))),0))-IF($G$2,0,IF((N$6-$G$3)&lt;1,0,IFERROR(LOOKUP(2,1/(Sorgo!$E34:INDEX(Sorgo!$E34:$Z34,MIN(N$6-$G$3,22))&lt;&gt;""),Sorgo!$E34:INDEX(Sorgo!$E34:$Z34,MIN(N$6-$G$3,22))),0)))))</f>
        <v>0</v>
      </c>
      <c r="O36" s="27" t="n">
        <f aca="false">IF(COUNT(Sorgo!$E34:$Z34)=0,0,MAX(0,IF((O$6-$E$3)&lt;1,0,IFERROR(LOOKUP(2,1/(Sorgo!$E34:INDEX(Sorgo!$E34:$Z34,MIN(O$6-$E$3,22))&lt;&gt;""),Sorgo!$E34:INDEX(Sorgo!$E34:$Z34,MIN(O$6-$E$3,22))),0))-IF($G$2,0,IF((O$6-$G$3)&lt;1,0,IFERROR(LOOKUP(2,1/(Sorgo!$E34:INDEX(Sorgo!$E34:$Z34,MIN(O$6-$G$3,22))&lt;&gt;""),Sorgo!$E34:INDEX(Sorgo!$E34:$Z34,MIN(O$6-$G$3,22))),0)))))</f>
        <v>0</v>
      </c>
      <c r="P36" s="27" t="n">
        <f aca="false">IF(COUNT(Sorgo!$E34:$Z34)=0,0,MAX(0,IF((P$6-$E$3)&lt;1,0,IFERROR(LOOKUP(2,1/(Sorgo!$E34:INDEX(Sorgo!$E34:$Z34,MIN(P$6-$E$3,22))&lt;&gt;""),Sorgo!$E34:INDEX(Sorgo!$E34:$Z34,MIN(P$6-$E$3,22))),0))-IF($G$2,0,IF((P$6-$G$3)&lt;1,0,IFERROR(LOOKUP(2,1/(Sorgo!$E34:INDEX(Sorgo!$E34:$Z34,MIN(P$6-$G$3,22))&lt;&gt;""),Sorgo!$E34:INDEX(Sorgo!$E34:$Z34,MIN(P$6-$G$3,22))),0)))))</f>
        <v>0</v>
      </c>
      <c r="Q36" s="27" t="n">
        <f aca="false">IF(COUNT(Sorgo!$E34:$Z34)=0,0,MAX(0,IF((Q$6-$E$3)&lt;1,0,IFERROR(LOOKUP(2,1/(Sorgo!$E34:INDEX(Sorgo!$E34:$Z34,MIN(Q$6-$E$3,22))&lt;&gt;""),Sorgo!$E34:INDEX(Sorgo!$E34:$Z34,MIN(Q$6-$E$3,22))),0))-IF($G$2,0,IF((Q$6-$G$3)&lt;1,0,IFERROR(LOOKUP(2,1/(Sorgo!$E34:INDEX(Sorgo!$E34:$Z34,MIN(Q$6-$G$3,22))&lt;&gt;""),Sorgo!$E34:INDEX(Sorgo!$E34:$Z34,MIN(Q$6-$G$3,22))),0)))))</f>
        <v>0</v>
      </c>
      <c r="R36" s="27" t="n">
        <f aca="false">IF(COUNT(Sorgo!$E34:$Z34)=0,0,MAX(0,IF((R$6-$E$3)&lt;1,0,IFERROR(LOOKUP(2,1/(Sorgo!$E34:INDEX(Sorgo!$E34:$Z34,MIN(R$6-$E$3,22))&lt;&gt;""),Sorgo!$E34:INDEX(Sorgo!$E34:$Z34,MIN(R$6-$E$3,22))),0))-IF($G$2,0,IF((R$6-$G$3)&lt;1,0,IFERROR(LOOKUP(2,1/(Sorgo!$E34:INDEX(Sorgo!$E34:$Z34,MIN(R$6-$G$3,22))&lt;&gt;""),Sorgo!$E34:INDEX(Sorgo!$E34:$Z34,MIN(R$6-$G$3,22))),0)))))</f>
        <v>0</v>
      </c>
      <c r="S36" s="27" t="n">
        <f aca="false">IF(COUNT(Sorgo!$E34:$Z34)=0,0,MAX(0,IF((S$6-$E$3)&lt;1,0,IFERROR(LOOKUP(2,1/(Sorgo!$E34:INDEX(Sorgo!$E34:$Z34,MIN(S$6-$E$3,22))&lt;&gt;""),Sorgo!$E34:INDEX(Sorgo!$E34:$Z34,MIN(S$6-$E$3,22))),0))-IF($G$2,0,IF((S$6-$G$3)&lt;1,0,IFERROR(LOOKUP(2,1/(Sorgo!$E34:INDEX(Sorgo!$E34:$Z34,MIN(S$6-$G$3,22))&lt;&gt;""),Sorgo!$E34:INDEX(Sorgo!$E34:$Z34,MIN(S$6-$G$3,22))),0)))))</f>
        <v>0</v>
      </c>
      <c r="T36" s="27" t="n">
        <f aca="false">IF(COUNT(Sorgo!$E34:$Z34)=0,0,MAX(0,IF((T$6-$E$3)&lt;1,0,IFERROR(LOOKUP(2,1/(Sorgo!$E34:INDEX(Sorgo!$E34:$Z34,MIN(T$6-$E$3,22))&lt;&gt;""),Sorgo!$E34:INDEX(Sorgo!$E34:$Z34,MIN(T$6-$E$3,22))),0))-IF($G$2,0,IF((T$6-$G$3)&lt;1,0,IFERROR(LOOKUP(2,1/(Sorgo!$E34:INDEX(Sorgo!$E34:$Z34,MIN(T$6-$G$3,22))&lt;&gt;""),Sorgo!$E34:INDEX(Sorgo!$E34:$Z34,MIN(T$6-$G$3,22))),0)))))</f>
        <v>0</v>
      </c>
      <c r="U36" s="27" t="n">
        <f aca="false">IF(COUNT(Sorgo!$E34:$Z34)=0,0,MAX(0,IF((U$6-$E$3)&lt;1,0,IFERROR(LOOKUP(2,1/(Sorgo!$E34:INDEX(Sorgo!$E34:$Z34,MIN(U$6-$E$3,22))&lt;&gt;""),Sorgo!$E34:INDEX(Sorgo!$E34:$Z34,MIN(U$6-$E$3,22))),0))-IF($G$2,0,IF((U$6-$G$3)&lt;1,0,IFERROR(LOOKUP(2,1/(Sorgo!$E34:INDEX(Sorgo!$E34:$Z34,MIN(U$6-$G$3,22))&lt;&gt;""),Sorgo!$E34:INDEX(Sorgo!$E34:$Z34,MIN(U$6-$G$3,22))),0)))))</f>
        <v>0</v>
      </c>
      <c r="V36" s="27" t="n">
        <f aca="false">IF(COUNT(Sorgo!$E34:$Z34)=0,0,MAX(0,IF((V$6-$E$3)&lt;1,0,IFERROR(LOOKUP(2,1/(Sorgo!$E34:INDEX(Sorgo!$E34:$Z34,MIN(V$6-$E$3,22))&lt;&gt;""),Sorgo!$E34:INDEX(Sorgo!$E34:$Z34,MIN(V$6-$E$3,22))),0))-IF($G$2,0,IF((V$6-$G$3)&lt;1,0,IFERROR(LOOKUP(2,1/(Sorgo!$E34:INDEX(Sorgo!$E34:$Z34,MIN(V$6-$G$3,22))&lt;&gt;""),Sorgo!$E34:INDEX(Sorgo!$E34:$Z34,MIN(V$6-$G$3,22))),0)))))</f>
        <v>0</v>
      </c>
      <c r="W36" s="27" t="n">
        <f aca="false">IF(COUNT(Sorgo!$E34:$Z34)=0,0,MAX(0,IF((W$6-$E$3)&lt;1,0,IFERROR(LOOKUP(2,1/(Sorgo!$E34:INDEX(Sorgo!$E34:$Z34,MIN(W$6-$E$3,22))&lt;&gt;""),Sorgo!$E34:INDEX(Sorgo!$E34:$Z34,MIN(W$6-$E$3,22))),0))-IF($G$2,0,IF((W$6-$G$3)&lt;1,0,IFERROR(LOOKUP(2,1/(Sorgo!$E34:INDEX(Sorgo!$E34:$Z34,MIN(W$6-$G$3,22))&lt;&gt;""),Sorgo!$E34:INDEX(Sorgo!$E34:$Z34,MIN(W$6-$G$3,22))),0)))))</f>
        <v>0</v>
      </c>
      <c r="X36" s="27" t="n">
        <f aca="false">IF(COUNT(Sorgo!$E34:$Z34)=0,0,MAX(0,IF((X$6-$E$3)&lt;1,0,IFERROR(LOOKUP(2,1/(Sorgo!$E34:INDEX(Sorgo!$E34:$Z34,MIN(X$6-$E$3,22))&lt;&gt;""),Sorgo!$E34:INDEX(Sorgo!$E34:$Z34,MIN(X$6-$E$3,22))),0))-IF($G$2,0,IF((X$6-$G$3)&lt;1,0,IFERROR(LOOKUP(2,1/(Sorgo!$E34:INDEX(Sorgo!$E34:$Z34,MIN(X$6-$G$3,22))&lt;&gt;""),Sorgo!$E34:INDEX(Sorgo!$E34:$Z34,MIN(X$6-$G$3,22))),0)))))</f>
        <v>0</v>
      </c>
      <c r="Y36" s="27" t="n">
        <f aca="false">IF(COUNT(Sorgo!$E34:$Z34)=0,0,MAX(0,IF((Y$6-$E$3)&lt;1,0,IFERROR(LOOKUP(2,1/(Sorgo!$E34:INDEX(Sorgo!$E34:$Z34,MIN(Y$6-$E$3,22))&lt;&gt;""),Sorgo!$E34:INDEX(Sorgo!$E34:$Z34,MIN(Y$6-$E$3,22))),0))-IF($G$2,0,IF((Y$6-$G$3)&lt;1,0,IFERROR(LOOKUP(2,1/(Sorgo!$E34:INDEX(Sorgo!$E34:$Z34,MIN(Y$6-$G$3,22))&lt;&gt;""),Sorgo!$E34:INDEX(Sorgo!$E34:$Z34,MIN(Y$6-$G$3,22))),0)))))</f>
        <v>0</v>
      </c>
      <c r="Z36" s="27" t="n">
        <f aca="false">IF(COUNT(Sorgo!$E34:$Z34)=0,0,MAX(0,IF((Z$6-$E$3)&lt;1,0,IFERROR(LOOKUP(2,1/(Sorgo!$E34:INDEX(Sorgo!$E34:$Z34,MIN(Z$6-$E$3,22))&lt;&gt;""),Sorgo!$E34:INDEX(Sorgo!$E34:$Z34,MIN(Z$6-$E$3,22))),0))-IF($G$2,0,IF((Z$6-$G$3)&lt;1,0,IFERROR(LOOKUP(2,1/(Sorgo!$E34:INDEX(Sorgo!$E34:$Z34,MIN(Z$6-$G$3,22))&lt;&gt;""),Sorgo!$E34:INDEX(Sorgo!$E34:$Z34,MIN(Z$6-$G$3,22))),0)))))</f>
        <v>0</v>
      </c>
      <c r="AA36" s="27" t="n">
        <f aca="false">IF(COUNT(Sorgo!$E34:$Z34)=0,0,MAX(0,IF((AA$6-$E$3)&lt;1,0,IFERROR(LOOKUP(2,1/(Sorgo!$E34:INDEX(Sorgo!$E34:$Z34,MIN(AA$6-$E$3,22))&lt;&gt;""),Sorgo!$E34:INDEX(Sorgo!$E34:$Z34,MIN(AA$6-$E$3,22))),0))-IF($G$2,0,IF((AA$6-$G$3)&lt;1,0,IFERROR(LOOKUP(2,1/(Sorgo!$E34:INDEX(Sorgo!$E34:$Z34,MIN(AA$6-$G$3,22))&lt;&gt;""),Sorgo!$E34:INDEX(Sorgo!$E34:$Z34,MIN(AA$6-$G$3,22))),0)))))</f>
        <v>0</v>
      </c>
      <c r="AB36" s="27" t="n">
        <f aca="false">IF(COUNT(Sorgo!$E34:$Z34)=0,0,MAX(0,IF((AB$6-$E$3)&lt;1,0,IFERROR(LOOKUP(2,1/(Sorgo!$E34:INDEX(Sorgo!$E34:$Z34,MIN(AB$6-$E$3,22))&lt;&gt;""),Sorgo!$E34:INDEX(Sorgo!$E34:$Z34,MIN(AB$6-$E$3,22))),0))-IF($G$2,0,IF((AB$6-$G$3)&lt;1,0,IFERROR(LOOKUP(2,1/(Sorgo!$E34:INDEX(Sorgo!$E34:$Z34,MIN(AB$6-$G$3,22))&lt;&gt;""),Sorgo!$E34:INDEX(Sorgo!$E34:$Z34,MIN(AB$6-$G$3,22))),0)))))</f>
        <v>0</v>
      </c>
      <c r="AC36" s="27" t="n">
        <f aca="false">IF(COUNT(Sorgo!$E34:$Z34)=0,0,MAX(0,IF((AC$6-$E$3)&lt;1,0,IFERROR(LOOKUP(2,1/(Sorgo!$E34:INDEX(Sorgo!$E34:$Z34,MIN(AC$6-$E$3,22))&lt;&gt;""),Sorgo!$E34:INDEX(Sorgo!$E34:$Z34,MIN(AC$6-$E$3,22))),0))-IF($G$2,0,IF((AC$6-$G$3)&lt;1,0,IFERROR(LOOKUP(2,1/(Sorgo!$E34:INDEX(Sorgo!$E34:$Z34,MIN(AC$6-$G$3,22))&lt;&gt;""),Sorgo!$E34:INDEX(Sorgo!$E34:$Z34,MIN(AC$6-$G$3,22))),0)))))</f>
        <v>0</v>
      </c>
      <c r="AD36" s="27" t="n">
        <f aca="false">IF(COUNT(Sorgo!$E34:$Z34)=0,0,MAX(0,IF((AD$6-$E$3)&lt;1,0,IFERROR(LOOKUP(2,1/(Sorgo!$E34:INDEX(Sorgo!$E34:$Z34,MIN(AD$6-$E$3,22))&lt;&gt;""),Sorgo!$E34:INDEX(Sorgo!$E34:$Z34,MIN(AD$6-$E$3,22))),0))-IF($G$2,0,IF((AD$6-$G$3)&lt;1,0,IFERROR(LOOKUP(2,1/(Sorgo!$E34:INDEX(Sorgo!$E34:$Z34,MIN(AD$6-$G$3,22))&lt;&gt;""),Sorgo!$E34:INDEX(Sorgo!$E34:$Z34,MIN(AD$6-$G$3,22))),0)))))</f>
        <v>0</v>
      </c>
      <c r="AE36" s="27" t="n">
        <f aca="false">IF(COUNT(Sorgo!$E34:$Z34)=0,0,MAX(0,IF((AE$6-$E$3)&lt;1,0,IFERROR(LOOKUP(2,1/(Sorgo!$E34:INDEX(Sorgo!$E34:$Z34,MIN(AE$6-$E$3,22))&lt;&gt;""),Sorgo!$E34:INDEX(Sorgo!$E34:$Z34,MIN(AE$6-$E$3,22))),0))-IF($G$2,0,IF((AE$6-$G$3)&lt;1,0,IFERROR(LOOKUP(2,1/(Sorgo!$E34:INDEX(Sorgo!$E34:$Z34,MIN(AE$6-$G$3,22))&lt;&gt;""),Sorgo!$E34:INDEX(Sorgo!$E34:$Z34,MIN(AE$6-$G$3,22))),0)))))</f>
        <v>0</v>
      </c>
      <c r="AF36" s="27" t="n">
        <f aca="false">IF(COUNT(Sorgo!$E34:$Z34)=0,0,MAX(0,IF((AF$6-$E$3)&lt;1,0,IFERROR(LOOKUP(2,1/(Sorgo!$E34:INDEX(Sorgo!$E34:$Z34,MIN(AF$6-$E$3,22))&lt;&gt;""),Sorgo!$E34:INDEX(Sorgo!$E34:$Z34,MIN(AF$6-$E$3,22))),0))-IF($G$2,0,IF((AF$6-$G$3)&lt;1,0,IFERROR(LOOKUP(2,1/(Sorgo!$E34:INDEX(Sorgo!$E34:$Z34,MIN(AF$6-$G$3,22))&lt;&gt;""),Sorgo!$E34:INDEX(Sorgo!$E34:$Z34,MIN(AF$6-$G$3,22))),0)))))</f>
        <v>0</v>
      </c>
      <c r="AG36" s="27" t="n">
        <f aca="false">IF(COUNT(Sorgo!$E34:$Z34)=0,0,MAX(0,IF((AG$6-$E$3)&lt;1,0,IFERROR(LOOKUP(2,1/(Sorgo!$E34:INDEX(Sorgo!$E34:$Z34,MIN(AG$6-$E$3,22))&lt;&gt;""),Sorgo!$E34:INDEX(Sorgo!$E34:$Z34,MIN(AG$6-$E$3,22))),0))-IF($G$2,0,IF((AG$6-$G$3)&lt;1,0,IFERROR(LOOKUP(2,1/(Sorgo!$E34:INDEX(Sorgo!$E34:$Z34,MIN(AG$6-$G$3,22))&lt;&gt;""),Sorgo!$E34:INDEX(Sorgo!$E34:$Z34,MIN(AG$6-$G$3,22))),0)))))</f>
        <v>0</v>
      </c>
      <c r="AH36" s="27" t="n">
        <f aca="false">IF(COUNT(Sorgo!$E34:$Z34)=0,0,MAX(0,IF((AH$6-$E$3)&lt;1,0,IFERROR(LOOKUP(2,1/(Sorgo!$E34:INDEX(Sorgo!$E34:$Z34,MIN(AH$6-$E$3,22))&lt;&gt;""),Sorgo!$E34:INDEX(Sorgo!$E34:$Z34,MIN(AH$6-$E$3,22))),0))-IF($G$2,0,IF((AH$6-$G$3)&lt;1,0,IFERROR(LOOKUP(2,1/(Sorgo!$E34:INDEX(Sorgo!$E34:$Z34,MIN(AH$6-$G$3,22))&lt;&gt;""),Sorgo!$E34:INDEX(Sorgo!$E34:$Z34,MIN(AH$6-$G$3,22))),0)))))</f>
        <v>0</v>
      </c>
      <c r="AI36" s="27" t="n">
        <f aca="false">IF(COUNT(Sorgo!$E34:$Z34)=0,0,MAX(0,IF((AI$6-$E$3)&lt;1,0,IFERROR(LOOKUP(2,1/(Sorgo!$E34:INDEX(Sorgo!$E34:$Z34,MIN(AI$6-$E$3,22))&lt;&gt;""),Sorgo!$E34:INDEX(Sorgo!$E34:$Z34,MIN(AI$6-$E$3,22))),0))-IF($G$2,0,IF((AI$6-$G$3)&lt;1,0,IFERROR(LOOKUP(2,1/(Sorgo!$E34:INDEX(Sorgo!$E34:$Z34,MIN(AI$6-$G$3,22))&lt;&gt;""),Sorgo!$E34:INDEX(Sorgo!$E34:$Z34,MIN(AI$6-$G$3,22))),0)))))</f>
        <v>0</v>
      </c>
      <c r="AJ36" s="27" t="n">
        <f aca="false">IF(COUNT(Sorgo!$E34:$Z34)=0,0,MAX(0,IF((AJ$6-$E$3)&lt;1,0,IFERROR(LOOKUP(2,1/(Sorgo!$E34:INDEX(Sorgo!$E34:$Z34,MIN(AJ$6-$E$3,22))&lt;&gt;""),Sorgo!$E34:INDEX(Sorgo!$E34:$Z34,MIN(AJ$6-$E$3,22))),0))-IF($G$2,0,IF((AJ$6-$G$3)&lt;1,0,IFERROR(LOOKUP(2,1/(Sorgo!$E34:INDEX(Sorgo!$E34:$Z34,MIN(AJ$6-$G$3,22))&lt;&gt;""),Sorgo!$E34:INDEX(Sorgo!$E34:$Z34,MIN(AJ$6-$G$3,22))),0)))))</f>
        <v>0</v>
      </c>
      <c r="AK36" s="27" t="n">
        <f aca="false">IF(COUNT(Sorgo!$E34:$Z34)=0,0,MAX(0,IF((AK$6-$E$3)&lt;1,0,IFERROR(LOOKUP(2,1/(Sorgo!$E34:INDEX(Sorgo!$E34:$Z34,MIN(AK$6-$E$3,22))&lt;&gt;""),Sorgo!$E34:INDEX(Sorgo!$E34:$Z34,MIN(AK$6-$E$3,22))),0))-IF($G$2,0,IF((AK$6-$G$3)&lt;1,0,IFERROR(LOOKUP(2,1/(Sorgo!$E34:INDEX(Sorgo!$E34:$Z34,MIN(AK$6-$G$3,22))&lt;&gt;""),Sorgo!$E34:INDEX(Sorgo!$E34:$Z34,MIN(AK$6-$G$3,22))),0)))))</f>
        <v>0</v>
      </c>
      <c r="AL36" s="27" t="n">
        <f aca="false">IF(COUNT(Sorgo!$E34:$Z34)=0,0,MAX(0,IF((AL$6-$E$3)&lt;1,0,IFERROR(LOOKUP(2,1/(Sorgo!$E34:INDEX(Sorgo!$E34:$Z34,MIN(AL$6-$E$3,22))&lt;&gt;""),Sorgo!$E34:INDEX(Sorgo!$E34:$Z34,MIN(AL$6-$E$3,22))),0))-IF($G$2,0,IF((AL$6-$G$3)&lt;1,0,IFERROR(LOOKUP(2,1/(Sorgo!$E34:INDEX(Sorgo!$E34:$Z34,MIN(AL$6-$G$3,22))&lt;&gt;""),Sorgo!$E34:INDEX(Sorgo!$E34:$Z34,MIN(AL$6-$G$3,22))),0)))))</f>
        <v>0</v>
      </c>
      <c r="AM36" s="27" t="n">
        <f aca="false">IF(COUNT(Sorgo!$E34:$Z34)=0,0,MAX(0,IF((AM$6-$E$3)&lt;1,0,IFERROR(LOOKUP(2,1/(Sorgo!$E34:INDEX(Sorgo!$E34:$Z34,MIN(AM$6-$E$3,22))&lt;&gt;""),Sorgo!$E34:INDEX(Sorgo!$E34:$Z34,MIN(AM$6-$E$3,22))),0))-IF($G$2,0,IF((AM$6-$G$3)&lt;1,0,IFERROR(LOOKUP(2,1/(Sorgo!$E34:INDEX(Sorgo!$E34:$Z34,MIN(AM$6-$G$3,22))&lt;&gt;""),Sorgo!$E34:INDEX(Sorgo!$E34:$Z34,MIN(AM$6-$G$3,22))),0)))))</f>
        <v>0</v>
      </c>
      <c r="AN36" s="27" t="n">
        <f aca="false">IF(COUNT(Sorgo!$E34:$Z34)=0,0,MAX(0,IF((AN$6-$E$3)&lt;1,0,IFERROR(LOOKUP(2,1/(Sorgo!$E34:INDEX(Sorgo!$E34:$Z34,MIN(AN$6-$E$3,22))&lt;&gt;""),Sorgo!$E34:INDEX(Sorgo!$E34:$Z34,MIN(AN$6-$E$3,22))),0))-IF($G$2,0,IF((AN$6-$G$3)&lt;1,0,IFERROR(LOOKUP(2,1/(Sorgo!$E34:INDEX(Sorgo!$E34:$Z34,MIN(AN$6-$G$3,22))&lt;&gt;""),Sorgo!$E34:INDEX(Sorgo!$E34:$Z34,MIN(AN$6-$G$3,22))),0)))))</f>
        <v>0</v>
      </c>
      <c r="AO36" s="27" t="n">
        <f aca="false">IF(COUNT(Sorgo!$E34:$Z34)=0,0,MAX(0,IF((AO$6-$E$3)&lt;1,0,IFERROR(LOOKUP(2,1/(Sorgo!$E34:INDEX(Sorgo!$E34:$Z34,MIN(AO$6-$E$3,22))&lt;&gt;""),Sorgo!$E34:INDEX(Sorgo!$E34:$Z34,MIN(AO$6-$E$3,22))),0))-IF($G$2,0,IF((AO$6-$G$3)&lt;1,0,IFERROR(LOOKUP(2,1/(Sorgo!$E34:INDEX(Sorgo!$E34:$Z34,MIN(AO$6-$G$3,22))&lt;&gt;""),Sorgo!$E34:INDEX(Sorgo!$E34:$Z34,MIN(AO$6-$G$3,22))),0)))))</f>
        <v>0</v>
      </c>
      <c r="AP36" s="27" t="n">
        <f aca="false">IF(COUNT(Sorgo!$E34:$Z34)=0,0,MAX(0,IF((AP$6-$E$3)&lt;1,0,IFERROR(LOOKUP(2,1/(Sorgo!$E34:INDEX(Sorgo!$E34:$Z34,MIN(AP$6-$E$3,22))&lt;&gt;""),Sorgo!$E34:INDEX(Sorgo!$E34:$Z34,MIN(AP$6-$E$3,22))),0))-IF($G$2,0,IF((AP$6-$G$3)&lt;1,0,IFERROR(LOOKUP(2,1/(Sorgo!$E34:INDEX(Sorgo!$E34:$Z34,MIN(AP$6-$G$3,22))&lt;&gt;""),Sorgo!$E34:INDEX(Sorgo!$E34:$Z34,MIN(AP$6-$G$3,22))),0)))))</f>
        <v>0</v>
      </c>
      <c r="AQ36" s="27" t="n">
        <f aca="false">IF(COUNT(Sorgo!$E34:$Z34)=0,0,MAX(0,IF((AQ$6-$E$3)&lt;1,0,IFERROR(LOOKUP(2,1/(Sorgo!$E34:INDEX(Sorgo!$E34:$Z34,MIN(AQ$6-$E$3,22))&lt;&gt;""),Sorgo!$E34:INDEX(Sorgo!$E34:$Z34,MIN(AQ$6-$E$3,22))),0))-IF($G$2,0,IF((AQ$6-$G$3)&lt;1,0,IFERROR(LOOKUP(2,1/(Sorgo!$E34:INDEX(Sorgo!$E34:$Z34,MIN(AQ$6-$G$3,22))&lt;&gt;""),Sorgo!$E34:INDEX(Sorgo!$E34:$Z34,MIN(AQ$6-$G$3,22))),0)))))</f>
        <v>0</v>
      </c>
      <c r="AR36" s="27" t="n">
        <f aca="false">IF(COUNT(Sorgo!$E34:$Z34)=0,0,MAX(0,IF((AR$6-$E$3)&lt;1,0,IFERROR(LOOKUP(2,1/(Sorgo!$E34:INDEX(Sorgo!$E34:$Z34,MIN(AR$6-$E$3,22))&lt;&gt;""),Sorgo!$E34:INDEX(Sorgo!$E34:$Z34,MIN(AR$6-$E$3,22))),0))-IF($G$2,0,IF((AR$6-$G$3)&lt;1,0,IFERROR(LOOKUP(2,1/(Sorgo!$E34:INDEX(Sorgo!$E34:$Z34,MIN(AR$6-$G$3,22))&lt;&gt;""),Sorgo!$E34:INDEX(Sorgo!$E34:$Z34,MIN(AR$6-$G$3,22))),0)))))</f>
        <v>0</v>
      </c>
      <c r="AS36" s="27" t="n">
        <f aca="false">IF(COUNT(Sorgo!$E34:$Z34)=0,0,MAX(0,IF((AS$6-$E$3)&lt;1,0,IFERROR(LOOKUP(2,1/(Sorgo!$E34:INDEX(Sorgo!$E34:$Z34,MIN(AS$6-$E$3,22))&lt;&gt;""),Sorgo!$E34:INDEX(Sorgo!$E34:$Z34,MIN(AS$6-$E$3,22))),0))-IF($G$2,0,IF((AS$6-$G$3)&lt;1,0,IFERROR(LOOKUP(2,1/(Sorgo!$E34:INDEX(Sorgo!$E34:$Z34,MIN(AS$6-$G$3,22))&lt;&gt;""),Sorgo!$E34:INDEX(Sorgo!$E34:$Z34,MIN(AS$6-$G$3,22))),0)))))</f>
        <v>0</v>
      </c>
      <c r="AT36" s="27" t="n">
        <f aca="false">IF(COUNT(Sorgo!$E34:$Z34)=0,0,MAX(0,IF((AT$6-$E$3)&lt;1,0,IFERROR(LOOKUP(2,1/(Sorgo!$E34:INDEX(Sorgo!$E34:$Z34,MIN(AT$6-$E$3,22))&lt;&gt;""),Sorgo!$E34:INDEX(Sorgo!$E34:$Z34,MIN(AT$6-$E$3,22))),0))-IF($G$2,0,IF((AT$6-$G$3)&lt;1,0,IFERROR(LOOKUP(2,1/(Sorgo!$E34:INDEX(Sorgo!$E34:$Z34,MIN(AT$6-$G$3,22))&lt;&gt;""),Sorgo!$E34:INDEX(Sorgo!$E34:$Z34,MIN(AT$6-$G$3,22))),0)))))</f>
        <v>0</v>
      </c>
      <c r="AU36" s="27" t="n">
        <f aca="false">IF(COUNT(Sorgo!$E34:$Z34)=0,0,MAX(0,IF((AU$6-$E$3)&lt;1,0,IFERROR(LOOKUP(2,1/(Sorgo!$E34:INDEX(Sorgo!$E34:$Z34,MIN(AU$6-$E$3,22))&lt;&gt;""),Sorgo!$E34:INDEX(Sorgo!$E34:$Z34,MIN(AU$6-$E$3,22))),0))-IF($G$2,0,IF((AU$6-$G$3)&lt;1,0,IFERROR(LOOKUP(2,1/(Sorgo!$E34:INDEX(Sorgo!$E34:$Z34,MIN(AU$6-$G$3,22))&lt;&gt;""),Sorgo!$E34:INDEX(Sorgo!$E34:$Z34,MIN(AU$6-$G$3,22))),0)))))</f>
        <v>0</v>
      </c>
      <c r="AV36" s="27" t="n">
        <f aca="false">IF(COUNT(Sorgo!$E34:$Z34)=0,0,MAX(0,IF((AV$6-$E$3)&lt;1,0,IFERROR(LOOKUP(2,1/(Sorgo!$E34:INDEX(Sorgo!$E34:$Z34,MIN(AV$6-$E$3,22))&lt;&gt;""),Sorgo!$E34:INDEX(Sorgo!$E34:$Z34,MIN(AV$6-$E$3,22))),0))-IF($G$2,0,IF((AV$6-$G$3)&lt;1,0,IFERROR(LOOKUP(2,1/(Sorgo!$E34:INDEX(Sorgo!$E34:$Z34,MIN(AV$6-$G$3,22))&lt;&gt;""),Sorgo!$E34:INDEX(Sorgo!$E34:$Z34,MIN(AV$6-$G$3,22))),0)))))</f>
        <v>0</v>
      </c>
      <c r="AW36" s="27" t="n">
        <f aca="false">IF(COUNT(Sorgo!$E34:$Z34)=0,0,MAX(0,IF((AW$6-$E$3)&lt;1,0,IFERROR(LOOKUP(2,1/(Sorgo!$E34:INDEX(Sorgo!$E34:$Z34,MIN(AW$6-$E$3,22))&lt;&gt;""),Sorgo!$E34:INDEX(Sorgo!$E34:$Z34,MIN(AW$6-$E$3,22))),0))-IF($G$2,0,IF((AW$6-$G$3)&lt;1,0,IFERROR(LOOKUP(2,1/(Sorgo!$E34:INDEX(Sorgo!$E34:$Z34,MIN(AW$6-$G$3,22))&lt;&gt;""),Sorgo!$E34:INDEX(Sorgo!$E34:$Z34,MIN(AW$6-$G$3,22))),0)))))</f>
        <v>0</v>
      </c>
      <c r="AX36" s="27" t="n">
        <f aca="false">IF(COUNT(Sorgo!$E34:$Z34)=0,0,MAX(0,IF((AX$6-$E$3)&lt;1,0,IFERROR(LOOKUP(2,1/(Sorgo!$E34:INDEX(Sorgo!$E34:$Z34,MIN(AX$6-$E$3,22))&lt;&gt;""),Sorgo!$E34:INDEX(Sorgo!$E34:$Z34,MIN(AX$6-$E$3,22))),0))-IF($G$2,0,IF((AX$6-$G$3)&lt;1,0,IFERROR(LOOKUP(2,1/(Sorgo!$E34:INDEX(Sorgo!$E34:$Z34,MIN(AX$6-$G$3,22))&lt;&gt;""),Sorgo!$E34:INDEX(Sorgo!$E34:$Z34,MIN(AX$6-$G$3,22))),0)))))</f>
        <v>0</v>
      </c>
      <c r="AY36" s="27" t="n">
        <f aca="false">IF(COUNT(Sorgo!$E34:$Z34)=0,0,MAX(0,IF((AY$6-$E$3)&lt;1,0,IFERROR(LOOKUP(2,1/(Sorgo!$E34:INDEX(Sorgo!$E34:$Z34,MIN(AY$6-$E$3,22))&lt;&gt;""),Sorgo!$E34:INDEX(Sorgo!$E34:$Z34,MIN(AY$6-$E$3,22))),0))-IF($G$2,0,IF((AY$6-$G$3)&lt;1,0,IFERROR(LOOKUP(2,1/(Sorgo!$E34:INDEX(Sorgo!$E34:$Z34,MIN(AY$6-$G$3,22))&lt;&gt;""),Sorgo!$E34:INDEX(Sorgo!$E34:$Z34,MIN(AY$6-$G$3,22))),0)))))</f>
        <v>0</v>
      </c>
      <c r="AZ36" s="27" t="n">
        <f aca="false">IF(COUNT(Sorgo!$E34:$Z34)=0,0,MAX(0,IF((AZ$6-$E$3)&lt;1,0,IFERROR(LOOKUP(2,1/(Sorgo!$E34:INDEX(Sorgo!$E34:$Z34,MIN(AZ$6-$E$3,22))&lt;&gt;""),Sorgo!$E34:INDEX(Sorgo!$E34:$Z34,MIN(AZ$6-$E$3,22))),0))-IF($G$2,0,IF((AZ$6-$G$3)&lt;1,0,IFERROR(LOOKUP(2,1/(Sorgo!$E34:INDEX(Sorgo!$E34:$Z34,MIN(AZ$6-$G$3,22))&lt;&gt;""),Sorgo!$E34:INDEX(Sorgo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IF(COUNT(Sorgo!$E35:$Z35)&gt;0,N(Sorgo!$D35),0)</f>
        <v>0</v>
      </c>
      <c r="E37" s="27" t="n">
        <f aca="false">IF(COUNT(Sorgo!$E35:$Z35)=0,0,MAX(0,IF((E$6-$E$3)&lt;1,0,IFERROR(LOOKUP(2,1/(Sorgo!$E35:INDEX(Sorgo!$E35:$Z35,MIN(E$6-$E$3,22))&lt;&gt;""),Sorgo!$E35:INDEX(Sorgo!$E35:$Z35,MIN(E$6-$E$3,22))),0))-IF($G$2,0,IF((E$6-$G$3)&lt;1,0,IFERROR(LOOKUP(2,1/(Sorgo!$E35:INDEX(Sorgo!$E35:$Z35,MIN(E$6-$G$3,22))&lt;&gt;""),Sorgo!$E35:INDEX(Sorgo!$E35:$Z35,MIN(E$6-$G$3,22))),0)))))</f>
        <v>0</v>
      </c>
      <c r="F37" s="27" t="n">
        <f aca="false">IF(COUNT(Sorgo!$E35:$Z35)=0,0,MAX(0,IF((F$6-$E$3)&lt;1,0,IFERROR(LOOKUP(2,1/(Sorgo!$E35:INDEX(Sorgo!$E35:$Z35,MIN(F$6-$E$3,22))&lt;&gt;""),Sorgo!$E35:INDEX(Sorgo!$E35:$Z35,MIN(F$6-$E$3,22))),0))-IF($G$2,0,IF((F$6-$G$3)&lt;1,0,IFERROR(LOOKUP(2,1/(Sorgo!$E35:INDEX(Sorgo!$E35:$Z35,MIN(F$6-$G$3,22))&lt;&gt;""),Sorgo!$E35:INDEX(Sorgo!$E35:$Z35,MIN(F$6-$G$3,22))),0)))))</f>
        <v>0</v>
      </c>
      <c r="G37" s="27" t="n">
        <f aca="false">IF(COUNT(Sorgo!$E35:$Z35)=0,0,MAX(0,IF((G$6-$E$3)&lt;1,0,IFERROR(LOOKUP(2,1/(Sorgo!$E35:INDEX(Sorgo!$E35:$Z35,MIN(G$6-$E$3,22))&lt;&gt;""),Sorgo!$E35:INDEX(Sorgo!$E35:$Z35,MIN(G$6-$E$3,22))),0))-IF($G$2,0,IF((G$6-$G$3)&lt;1,0,IFERROR(LOOKUP(2,1/(Sorgo!$E35:INDEX(Sorgo!$E35:$Z35,MIN(G$6-$G$3,22))&lt;&gt;""),Sorgo!$E35:INDEX(Sorgo!$E35:$Z35,MIN(G$6-$G$3,22))),0)))))</f>
        <v>0</v>
      </c>
      <c r="H37" s="27" t="n">
        <f aca="false">IF(COUNT(Sorgo!$E35:$Z35)=0,0,MAX(0,IF((H$6-$E$3)&lt;1,0,IFERROR(LOOKUP(2,1/(Sorgo!$E35:INDEX(Sorgo!$E35:$Z35,MIN(H$6-$E$3,22))&lt;&gt;""),Sorgo!$E35:INDEX(Sorgo!$E35:$Z35,MIN(H$6-$E$3,22))),0))-IF($G$2,0,IF((H$6-$G$3)&lt;1,0,IFERROR(LOOKUP(2,1/(Sorgo!$E35:INDEX(Sorgo!$E35:$Z35,MIN(H$6-$G$3,22))&lt;&gt;""),Sorgo!$E35:INDEX(Sorgo!$E35:$Z35,MIN(H$6-$G$3,22))),0)))))</f>
        <v>0</v>
      </c>
      <c r="I37" s="27" t="n">
        <f aca="false">IF(COUNT(Sorgo!$E35:$Z35)=0,0,MAX(0,IF((I$6-$E$3)&lt;1,0,IFERROR(LOOKUP(2,1/(Sorgo!$E35:INDEX(Sorgo!$E35:$Z35,MIN(I$6-$E$3,22))&lt;&gt;""),Sorgo!$E35:INDEX(Sorgo!$E35:$Z35,MIN(I$6-$E$3,22))),0))-IF($G$2,0,IF((I$6-$G$3)&lt;1,0,IFERROR(LOOKUP(2,1/(Sorgo!$E35:INDEX(Sorgo!$E35:$Z35,MIN(I$6-$G$3,22))&lt;&gt;""),Sorgo!$E35:INDEX(Sorgo!$E35:$Z35,MIN(I$6-$G$3,22))),0)))))</f>
        <v>0</v>
      </c>
      <c r="J37" s="27" t="n">
        <f aca="false">IF(COUNT(Sorgo!$E35:$Z35)=0,0,MAX(0,IF((J$6-$E$3)&lt;1,0,IFERROR(LOOKUP(2,1/(Sorgo!$E35:INDEX(Sorgo!$E35:$Z35,MIN(J$6-$E$3,22))&lt;&gt;""),Sorgo!$E35:INDEX(Sorgo!$E35:$Z35,MIN(J$6-$E$3,22))),0))-IF($G$2,0,IF((J$6-$G$3)&lt;1,0,IFERROR(LOOKUP(2,1/(Sorgo!$E35:INDEX(Sorgo!$E35:$Z35,MIN(J$6-$G$3,22))&lt;&gt;""),Sorgo!$E35:INDEX(Sorgo!$E35:$Z35,MIN(J$6-$G$3,22))),0)))))</f>
        <v>0</v>
      </c>
      <c r="K37" s="27" t="n">
        <f aca="false">IF(COUNT(Sorgo!$E35:$Z35)=0,0,MAX(0,IF((K$6-$E$3)&lt;1,0,IFERROR(LOOKUP(2,1/(Sorgo!$E35:INDEX(Sorgo!$E35:$Z35,MIN(K$6-$E$3,22))&lt;&gt;""),Sorgo!$E35:INDEX(Sorgo!$E35:$Z35,MIN(K$6-$E$3,22))),0))-IF($G$2,0,IF((K$6-$G$3)&lt;1,0,IFERROR(LOOKUP(2,1/(Sorgo!$E35:INDEX(Sorgo!$E35:$Z35,MIN(K$6-$G$3,22))&lt;&gt;""),Sorgo!$E35:INDEX(Sorgo!$E35:$Z35,MIN(K$6-$G$3,22))),0)))))</f>
        <v>0</v>
      </c>
      <c r="L37" s="27" t="n">
        <f aca="false">IF(COUNT(Sorgo!$E35:$Z35)=0,0,MAX(0,IF((L$6-$E$3)&lt;1,0,IFERROR(LOOKUP(2,1/(Sorgo!$E35:INDEX(Sorgo!$E35:$Z35,MIN(L$6-$E$3,22))&lt;&gt;""),Sorgo!$E35:INDEX(Sorgo!$E35:$Z35,MIN(L$6-$E$3,22))),0))-IF($G$2,0,IF((L$6-$G$3)&lt;1,0,IFERROR(LOOKUP(2,1/(Sorgo!$E35:INDEX(Sorgo!$E35:$Z35,MIN(L$6-$G$3,22))&lt;&gt;""),Sorgo!$E35:INDEX(Sorgo!$E35:$Z35,MIN(L$6-$G$3,22))),0)))))</f>
        <v>0</v>
      </c>
      <c r="M37" s="27" t="n">
        <f aca="false">IF(COUNT(Sorgo!$E35:$Z35)=0,0,MAX(0,IF((M$6-$E$3)&lt;1,0,IFERROR(LOOKUP(2,1/(Sorgo!$E35:INDEX(Sorgo!$E35:$Z35,MIN(M$6-$E$3,22))&lt;&gt;""),Sorgo!$E35:INDEX(Sorgo!$E35:$Z35,MIN(M$6-$E$3,22))),0))-IF($G$2,0,IF((M$6-$G$3)&lt;1,0,IFERROR(LOOKUP(2,1/(Sorgo!$E35:INDEX(Sorgo!$E35:$Z35,MIN(M$6-$G$3,22))&lt;&gt;""),Sorgo!$E35:INDEX(Sorgo!$E35:$Z35,MIN(M$6-$G$3,22))),0)))))</f>
        <v>0</v>
      </c>
      <c r="N37" s="27" t="n">
        <f aca="false">IF(COUNT(Sorgo!$E35:$Z35)=0,0,MAX(0,IF((N$6-$E$3)&lt;1,0,IFERROR(LOOKUP(2,1/(Sorgo!$E35:INDEX(Sorgo!$E35:$Z35,MIN(N$6-$E$3,22))&lt;&gt;""),Sorgo!$E35:INDEX(Sorgo!$E35:$Z35,MIN(N$6-$E$3,22))),0))-IF($G$2,0,IF((N$6-$G$3)&lt;1,0,IFERROR(LOOKUP(2,1/(Sorgo!$E35:INDEX(Sorgo!$E35:$Z35,MIN(N$6-$G$3,22))&lt;&gt;""),Sorgo!$E35:INDEX(Sorgo!$E35:$Z35,MIN(N$6-$G$3,22))),0)))))</f>
        <v>0</v>
      </c>
      <c r="O37" s="27" t="n">
        <f aca="false">IF(COUNT(Sorgo!$E35:$Z35)=0,0,MAX(0,IF((O$6-$E$3)&lt;1,0,IFERROR(LOOKUP(2,1/(Sorgo!$E35:INDEX(Sorgo!$E35:$Z35,MIN(O$6-$E$3,22))&lt;&gt;""),Sorgo!$E35:INDEX(Sorgo!$E35:$Z35,MIN(O$6-$E$3,22))),0))-IF($G$2,0,IF((O$6-$G$3)&lt;1,0,IFERROR(LOOKUP(2,1/(Sorgo!$E35:INDEX(Sorgo!$E35:$Z35,MIN(O$6-$G$3,22))&lt;&gt;""),Sorgo!$E35:INDEX(Sorgo!$E35:$Z35,MIN(O$6-$G$3,22))),0)))))</f>
        <v>0</v>
      </c>
      <c r="P37" s="27" t="n">
        <f aca="false">IF(COUNT(Sorgo!$E35:$Z35)=0,0,MAX(0,IF((P$6-$E$3)&lt;1,0,IFERROR(LOOKUP(2,1/(Sorgo!$E35:INDEX(Sorgo!$E35:$Z35,MIN(P$6-$E$3,22))&lt;&gt;""),Sorgo!$E35:INDEX(Sorgo!$E35:$Z35,MIN(P$6-$E$3,22))),0))-IF($G$2,0,IF((P$6-$G$3)&lt;1,0,IFERROR(LOOKUP(2,1/(Sorgo!$E35:INDEX(Sorgo!$E35:$Z35,MIN(P$6-$G$3,22))&lt;&gt;""),Sorgo!$E35:INDEX(Sorgo!$E35:$Z35,MIN(P$6-$G$3,22))),0)))))</f>
        <v>0</v>
      </c>
      <c r="Q37" s="27" t="n">
        <f aca="false">IF(COUNT(Sorgo!$E35:$Z35)=0,0,MAX(0,IF((Q$6-$E$3)&lt;1,0,IFERROR(LOOKUP(2,1/(Sorgo!$E35:INDEX(Sorgo!$E35:$Z35,MIN(Q$6-$E$3,22))&lt;&gt;""),Sorgo!$E35:INDEX(Sorgo!$E35:$Z35,MIN(Q$6-$E$3,22))),0))-IF($G$2,0,IF((Q$6-$G$3)&lt;1,0,IFERROR(LOOKUP(2,1/(Sorgo!$E35:INDEX(Sorgo!$E35:$Z35,MIN(Q$6-$G$3,22))&lt;&gt;""),Sorgo!$E35:INDEX(Sorgo!$E35:$Z35,MIN(Q$6-$G$3,22))),0)))))</f>
        <v>0</v>
      </c>
      <c r="R37" s="27" t="n">
        <f aca="false">IF(COUNT(Sorgo!$E35:$Z35)=0,0,MAX(0,IF((R$6-$E$3)&lt;1,0,IFERROR(LOOKUP(2,1/(Sorgo!$E35:INDEX(Sorgo!$E35:$Z35,MIN(R$6-$E$3,22))&lt;&gt;""),Sorgo!$E35:INDEX(Sorgo!$E35:$Z35,MIN(R$6-$E$3,22))),0))-IF($G$2,0,IF((R$6-$G$3)&lt;1,0,IFERROR(LOOKUP(2,1/(Sorgo!$E35:INDEX(Sorgo!$E35:$Z35,MIN(R$6-$G$3,22))&lt;&gt;""),Sorgo!$E35:INDEX(Sorgo!$E35:$Z35,MIN(R$6-$G$3,22))),0)))))</f>
        <v>0</v>
      </c>
      <c r="S37" s="27" t="n">
        <f aca="false">IF(COUNT(Sorgo!$E35:$Z35)=0,0,MAX(0,IF((S$6-$E$3)&lt;1,0,IFERROR(LOOKUP(2,1/(Sorgo!$E35:INDEX(Sorgo!$E35:$Z35,MIN(S$6-$E$3,22))&lt;&gt;""),Sorgo!$E35:INDEX(Sorgo!$E35:$Z35,MIN(S$6-$E$3,22))),0))-IF($G$2,0,IF((S$6-$G$3)&lt;1,0,IFERROR(LOOKUP(2,1/(Sorgo!$E35:INDEX(Sorgo!$E35:$Z35,MIN(S$6-$G$3,22))&lt;&gt;""),Sorgo!$E35:INDEX(Sorgo!$E35:$Z35,MIN(S$6-$G$3,22))),0)))))</f>
        <v>0</v>
      </c>
      <c r="T37" s="27" t="n">
        <f aca="false">IF(COUNT(Sorgo!$E35:$Z35)=0,0,MAX(0,IF((T$6-$E$3)&lt;1,0,IFERROR(LOOKUP(2,1/(Sorgo!$E35:INDEX(Sorgo!$E35:$Z35,MIN(T$6-$E$3,22))&lt;&gt;""),Sorgo!$E35:INDEX(Sorgo!$E35:$Z35,MIN(T$6-$E$3,22))),0))-IF($G$2,0,IF((T$6-$G$3)&lt;1,0,IFERROR(LOOKUP(2,1/(Sorgo!$E35:INDEX(Sorgo!$E35:$Z35,MIN(T$6-$G$3,22))&lt;&gt;""),Sorgo!$E35:INDEX(Sorgo!$E35:$Z35,MIN(T$6-$G$3,22))),0)))))</f>
        <v>0</v>
      </c>
      <c r="U37" s="27" t="n">
        <f aca="false">IF(COUNT(Sorgo!$E35:$Z35)=0,0,MAX(0,IF((U$6-$E$3)&lt;1,0,IFERROR(LOOKUP(2,1/(Sorgo!$E35:INDEX(Sorgo!$E35:$Z35,MIN(U$6-$E$3,22))&lt;&gt;""),Sorgo!$E35:INDEX(Sorgo!$E35:$Z35,MIN(U$6-$E$3,22))),0))-IF($G$2,0,IF((U$6-$G$3)&lt;1,0,IFERROR(LOOKUP(2,1/(Sorgo!$E35:INDEX(Sorgo!$E35:$Z35,MIN(U$6-$G$3,22))&lt;&gt;""),Sorgo!$E35:INDEX(Sorgo!$E35:$Z35,MIN(U$6-$G$3,22))),0)))))</f>
        <v>0</v>
      </c>
      <c r="V37" s="27" t="n">
        <f aca="false">IF(COUNT(Sorgo!$E35:$Z35)=0,0,MAX(0,IF((V$6-$E$3)&lt;1,0,IFERROR(LOOKUP(2,1/(Sorgo!$E35:INDEX(Sorgo!$E35:$Z35,MIN(V$6-$E$3,22))&lt;&gt;""),Sorgo!$E35:INDEX(Sorgo!$E35:$Z35,MIN(V$6-$E$3,22))),0))-IF($G$2,0,IF((V$6-$G$3)&lt;1,0,IFERROR(LOOKUP(2,1/(Sorgo!$E35:INDEX(Sorgo!$E35:$Z35,MIN(V$6-$G$3,22))&lt;&gt;""),Sorgo!$E35:INDEX(Sorgo!$E35:$Z35,MIN(V$6-$G$3,22))),0)))))</f>
        <v>0</v>
      </c>
      <c r="W37" s="27" t="n">
        <f aca="false">IF(COUNT(Sorgo!$E35:$Z35)=0,0,MAX(0,IF((W$6-$E$3)&lt;1,0,IFERROR(LOOKUP(2,1/(Sorgo!$E35:INDEX(Sorgo!$E35:$Z35,MIN(W$6-$E$3,22))&lt;&gt;""),Sorgo!$E35:INDEX(Sorgo!$E35:$Z35,MIN(W$6-$E$3,22))),0))-IF($G$2,0,IF((W$6-$G$3)&lt;1,0,IFERROR(LOOKUP(2,1/(Sorgo!$E35:INDEX(Sorgo!$E35:$Z35,MIN(W$6-$G$3,22))&lt;&gt;""),Sorgo!$E35:INDEX(Sorgo!$E35:$Z35,MIN(W$6-$G$3,22))),0)))))</f>
        <v>0</v>
      </c>
      <c r="X37" s="27" t="n">
        <f aca="false">IF(COUNT(Sorgo!$E35:$Z35)=0,0,MAX(0,IF((X$6-$E$3)&lt;1,0,IFERROR(LOOKUP(2,1/(Sorgo!$E35:INDEX(Sorgo!$E35:$Z35,MIN(X$6-$E$3,22))&lt;&gt;""),Sorgo!$E35:INDEX(Sorgo!$E35:$Z35,MIN(X$6-$E$3,22))),0))-IF($G$2,0,IF((X$6-$G$3)&lt;1,0,IFERROR(LOOKUP(2,1/(Sorgo!$E35:INDEX(Sorgo!$E35:$Z35,MIN(X$6-$G$3,22))&lt;&gt;""),Sorgo!$E35:INDEX(Sorgo!$E35:$Z35,MIN(X$6-$G$3,22))),0)))))</f>
        <v>0</v>
      </c>
      <c r="Y37" s="27" t="n">
        <f aca="false">IF(COUNT(Sorgo!$E35:$Z35)=0,0,MAX(0,IF((Y$6-$E$3)&lt;1,0,IFERROR(LOOKUP(2,1/(Sorgo!$E35:INDEX(Sorgo!$E35:$Z35,MIN(Y$6-$E$3,22))&lt;&gt;""),Sorgo!$E35:INDEX(Sorgo!$E35:$Z35,MIN(Y$6-$E$3,22))),0))-IF($G$2,0,IF((Y$6-$G$3)&lt;1,0,IFERROR(LOOKUP(2,1/(Sorgo!$E35:INDEX(Sorgo!$E35:$Z35,MIN(Y$6-$G$3,22))&lt;&gt;""),Sorgo!$E35:INDEX(Sorgo!$E35:$Z35,MIN(Y$6-$G$3,22))),0)))))</f>
        <v>0</v>
      </c>
      <c r="Z37" s="27" t="n">
        <f aca="false">IF(COUNT(Sorgo!$E35:$Z35)=0,0,MAX(0,IF((Z$6-$E$3)&lt;1,0,IFERROR(LOOKUP(2,1/(Sorgo!$E35:INDEX(Sorgo!$E35:$Z35,MIN(Z$6-$E$3,22))&lt;&gt;""),Sorgo!$E35:INDEX(Sorgo!$E35:$Z35,MIN(Z$6-$E$3,22))),0))-IF($G$2,0,IF((Z$6-$G$3)&lt;1,0,IFERROR(LOOKUP(2,1/(Sorgo!$E35:INDEX(Sorgo!$E35:$Z35,MIN(Z$6-$G$3,22))&lt;&gt;""),Sorgo!$E35:INDEX(Sorgo!$E35:$Z35,MIN(Z$6-$G$3,22))),0)))))</f>
        <v>0</v>
      </c>
      <c r="AA37" s="27" t="n">
        <f aca="false">IF(COUNT(Sorgo!$E35:$Z35)=0,0,MAX(0,IF((AA$6-$E$3)&lt;1,0,IFERROR(LOOKUP(2,1/(Sorgo!$E35:INDEX(Sorgo!$E35:$Z35,MIN(AA$6-$E$3,22))&lt;&gt;""),Sorgo!$E35:INDEX(Sorgo!$E35:$Z35,MIN(AA$6-$E$3,22))),0))-IF($G$2,0,IF((AA$6-$G$3)&lt;1,0,IFERROR(LOOKUP(2,1/(Sorgo!$E35:INDEX(Sorgo!$E35:$Z35,MIN(AA$6-$G$3,22))&lt;&gt;""),Sorgo!$E35:INDEX(Sorgo!$E35:$Z35,MIN(AA$6-$G$3,22))),0)))))</f>
        <v>0</v>
      </c>
      <c r="AB37" s="27" t="n">
        <f aca="false">IF(COUNT(Sorgo!$E35:$Z35)=0,0,MAX(0,IF((AB$6-$E$3)&lt;1,0,IFERROR(LOOKUP(2,1/(Sorgo!$E35:INDEX(Sorgo!$E35:$Z35,MIN(AB$6-$E$3,22))&lt;&gt;""),Sorgo!$E35:INDEX(Sorgo!$E35:$Z35,MIN(AB$6-$E$3,22))),0))-IF($G$2,0,IF((AB$6-$G$3)&lt;1,0,IFERROR(LOOKUP(2,1/(Sorgo!$E35:INDEX(Sorgo!$E35:$Z35,MIN(AB$6-$G$3,22))&lt;&gt;""),Sorgo!$E35:INDEX(Sorgo!$E35:$Z35,MIN(AB$6-$G$3,22))),0)))))</f>
        <v>0</v>
      </c>
      <c r="AC37" s="27" t="n">
        <f aca="false">IF(COUNT(Sorgo!$E35:$Z35)=0,0,MAX(0,IF((AC$6-$E$3)&lt;1,0,IFERROR(LOOKUP(2,1/(Sorgo!$E35:INDEX(Sorgo!$E35:$Z35,MIN(AC$6-$E$3,22))&lt;&gt;""),Sorgo!$E35:INDEX(Sorgo!$E35:$Z35,MIN(AC$6-$E$3,22))),0))-IF($G$2,0,IF((AC$6-$G$3)&lt;1,0,IFERROR(LOOKUP(2,1/(Sorgo!$E35:INDEX(Sorgo!$E35:$Z35,MIN(AC$6-$G$3,22))&lt;&gt;""),Sorgo!$E35:INDEX(Sorgo!$E35:$Z35,MIN(AC$6-$G$3,22))),0)))))</f>
        <v>0</v>
      </c>
      <c r="AD37" s="27" t="n">
        <f aca="false">IF(COUNT(Sorgo!$E35:$Z35)=0,0,MAX(0,IF((AD$6-$E$3)&lt;1,0,IFERROR(LOOKUP(2,1/(Sorgo!$E35:INDEX(Sorgo!$E35:$Z35,MIN(AD$6-$E$3,22))&lt;&gt;""),Sorgo!$E35:INDEX(Sorgo!$E35:$Z35,MIN(AD$6-$E$3,22))),0))-IF($G$2,0,IF((AD$6-$G$3)&lt;1,0,IFERROR(LOOKUP(2,1/(Sorgo!$E35:INDEX(Sorgo!$E35:$Z35,MIN(AD$6-$G$3,22))&lt;&gt;""),Sorgo!$E35:INDEX(Sorgo!$E35:$Z35,MIN(AD$6-$G$3,22))),0)))))</f>
        <v>0</v>
      </c>
      <c r="AE37" s="27" t="n">
        <f aca="false">IF(COUNT(Sorgo!$E35:$Z35)=0,0,MAX(0,IF((AE$6-$E$3)&lt;1,0,IFERROR(LOOKUP(2,1/(Sorgo!$E35:INDEX(Sorgo!$E35:$Z35,MIN(AE$6-$E$3,22))&lt;&gt;""),Sorgo!$E35:INDEX(Sorgo!$E35:$Z35,MIN(AE$6-$E$3,22))),0))-IF($G$2,0,IF((AE$6-$G$3)&lt;1,0,IFERROR(LOOKUP(2,1/(Sorgo!$E35:INDEX(Sorgo!$E35:$Z35,MIN(AE$6-$G$3,22))&lt;&gt;""),Sorgo!$E35:INDEX(Sorgo!$E35:$Z35,MIN(AE$6-$G$3,22))),0)))))</f>
        <v>0</v>
      </c>
      <c r="AF37" s="27" t="n">
        <f aca="false">IF(COUNT(Sorgo!$E35:$Z35)=0,0,MAX(0,IF((AF$6-$E$3)&lt;1,0,IFERROR(LOOKUP(2,1/(Sorgo!$E35:INDEX(Sorgo!$E35:$Z35,MIN(AF$6-$E$3,22))&lt;&gt;""),Sorgo!$E35:INDEX(Sorgo!$E35:$Z35,MIN(AF$6-$E$3,22))),0))-IF($G$2,0,IF((AF$6-$G$3)&lt;1,0,IFERROR(LOOKUP(2,1/(Sorgo!$E35:INDEX(Sorgo!$E35:$Z35,MIN(AF$6-$G$3,22))&lt;&gt;""),Sorgo!$E35:INDEX(Sorgo!$E35:$Z35,MIN(AF$6-$G$3,22))),0)))))</f>
        <v>0</v>
      </c>
      <c r="AG37" s="27" t="n">
        <f aca="false">IF(COUNT(Sorgo!$E35:$Z35)=0,0,MAX(0,IF((AG$6-$E$3)&lt;1,0,IFERROR(LOOKUP(2,1/(Sorgo!$E35:INDEX(Sorgo!$E35:$Z35,MIN(AG$6-$E$3,22))&lt;&gt;""),Sorgo!$E35:INDEX(Sorgo!$E35:$Z35,MIN(AG$6-$E$3,22))),0))-IF($G$2,0,IF((AG$6-$G$3)&lt;1,0,IFERROR(LOOKUP(2,1/(Sorgo!$E35:INDEX(Sorgo!$E35:$Z35,MIN(AG$6-$G$3,22))&lt;&gt;""),Sorgo!$E35:INDEX(Sorgo!$E35:$Z35,MIN(AG$6-$G$3,22))),0)))))</f>
        <v>0</v>
      </c>
      <c r="AH37" s="27" t="n">
        <f aca="false">IF(COUNT(Sorgo!$E35:$Z35)=0,0,MAX(0,IF((AH$6-$E$3)&lt;1,0,IFERROR(LOOKUP(2,1/(Sorgo!$E35:INDEX(Sorgo!$E35:$Z35,MIN(AH$6-$E$3,22))&lt;&gt;""),Sorgo!$E35:INDEX(Sorgo!$E35:$Z35,MIN(AH$6-$E$3,22))),0))-IF($G$2,0,IF((AH$6-$G$3)&lt;1,0,IFERROR(LOOKUP(2,1/(Sorgo!$E35:INDEX(Sorgo!$E35:$Z35,MIN(AH$6-$G$3,22))&lt;&gt;""),Sorgo!$E35:INDEX(Sorgo!$E35:$Z35,MIN(AH$6-$G$3,22))),0)))))</f>
        <v>0</v>
      </c>
      <c r="AI37" s="27" t="n">
        <f aca="false">IF(COUNT(Sorgo!$E35:$Z35)=0,0,MAX(0,IF((AI$6-$E$3)&lt;1,0,IFERROR(LOOKUP(2,1/(Sorgo!$E35:INDEX(Sorgo!$E35:$Z35,MIN(AI$6-$E$3,22))&lt;&gt;""),Sorgo!$E35:INDEX(Sorgo!$E35:$Z35,MIN(AI$6-$E$3,22))),0))-IF($G$2,0,IF((AI$6-$G$3)&lt;1,0,IFERROR(LOOKUP(2,1/(Sorgo!$E35:INDEX(Sorgo!$E35:$Z35,MIN(AI$6-$G$3,22))&lt;&gt;""),Sorgo!$E35:INDEX(Sorgo!$E35:$Z35,MIN(AI$6-$G$3,22))),0)))))</f>
        <v>0</v>
      </c>
      <c r="AJ37" s="27" t="n">
        <f aca="false">IF(COUNT(Sorgo!$E35:$Z35)=0,0,MAX(0,IF((AJ$6-$E$3)&lt;1,0,IFERROR(LOOKUP(2,1/(Sorgo!$E35:INDEX(Sorgo!$E35:$Z35,MIN(AJ$6-$E$3,22))&lt;&gt;""),Sorgo!$E35:INDEX(Sorgo!$E35:$Z35,MIN(AJ$6-$E$3,22))),0))-IF($G$2,0,IF((AJ$6-$G$3)&lt;1,0,IFERROR(LOOKUP(2,1/(Sorgo!$E35:INDEX(Sorgo!$E35:$Z35,MIN(AJ$6-$G$3,22))&lt;&gt;""),Sorgo!$E35:INDEX(Sorgo!$E35:$Z35,MIN(AJ$6-$G$3,22))),0)))))</f>
        <v>0</v>
      </c>
      <c r="AK37" s="27" t="n">
        <f aca="false">IF(COUNT(Sorgo!$E35:$Z35)=0,0,MAX(0,IF((AK$6-$E$3)&lt;1,0,IFERROR(LOOKUP(2,1/(Sorgo!$E35:INDEX(Sorgo!$E35:$Z35,MIN(AK$6-$E$3,22))&lt;&gt;""),Sorgo!$E35:INDEX(Sorgo!$E35:$Z35,MIN(AK$6-$E$3,22))),0))-IF($G$2,0,IF((AK$6-$G$3)&lt;1,0,IFERROR(LOOKUP(2,1/(Sorgo!$E35:INDEX(Sorgo!$E35:$Z35,MIN(AK$6-$G$3,22))&lt;&gt;""),Sorgo!$E35:INDEX(Sorgo!$E35:$Z35,MIN(AK$6-$G$3,22))),0)))))</f>
        <v>0</v>
      </c>
      <c r="AL37" s="27" t="n">
        <f aca="false">IF(COUNT(Sorgo!$E35:$Z35)=0,0,MAX(0,IF((AL$6-$E$3)&lt;1,0,IFERROR(LOOKUP(2,1/(Sorgo!$E35:INDEX(Sorgo!$E35:$Z35,MIN(AL$6-$E$3,22))&lt;&gt;""),Sorgo!$E35:INDEX(Sorgo!$E35:$Z35,MIN(AL$6-$E$3,22))),0))-IF($G$2,0,IF((AL$6-$G$3)&lt;1,0,IFERROR(LOOKUP(2,1/(Sorgo!$E35:INDEX(Sorgo!$E35:$Z35,MIN(AL$6-$G$3,22))&lt;&gt;""),Sorgo!$E35:INDEX(Sorgo!$E35:$Z35,MIN(AL$6-$G$3,22))),0)))))</f>
        <v>0</v>
      </c>
      <c r="AM37" s="27" t="n">
        <f aca="false">IF(COUNT(Sorgo!$E35:$Z35)=0,0,MAX(0,IF((AM$6-$E$3)&lt;1,0,IFERROR(LOOKUP(2,1/(Sorgo!$E35:INDEX(Sorgo!$E35:$Z35,MIN(AM$6-$E$3,22))&lt;&gt;""),Sorgo!$E35:INDEX(Sorgo!$E35:$Z35,MIN(AM$6-$E$3,22))),0))-IF($G$2,0,IF((AM$6-$G$3)&lt;1,0,IFERROR(LOOKUP(2,1/(Sorgo!$E35:INDEX(Sorgo!$E35:$Z35,MIN(AM$6-$G$3,22))&lt;&gt;""),Sorgo!$E35:INDEX(Sorgo!$E35:$Z35,MIN(AM$6-$G$3,22))),0)))))</f>
        <v>0</v>
      </c>
      <c r="AN37" s="27" t="n">
        <f aca="false">IF(COUNT(Sorgo!$E35:$Z35)=0,0,MAX(0,IF((AN$6-$E$3)&lt;1,0,IFERROR(LOOKUP(2,1/(Sorgo!$E35:INDEX(Sorgo!$E35:$Z35,MIN(AN$6-$E$3,22))&lt;&gt;""),Sorgo!$E35:INDEX(Sorgo!$E35:$Z35,MIN(AN$6-$E$3,22))),0))-IF($G$2,0,IF((AN$6-$G$3)&lt;1,0,IFERROR(LOOKUP(2,1/(Sorgo!$E35:INDEX(Sorgo!$E35:$Z35,MIN(AN$6-$G$3,22))&lt;&gt;""),Sorgo!$E35:INDEX(Sorgo!$E35:$Z35,MIN(AN$6-$G$3,22))),0)))))</f>
        <v>0</v>
      </c>
      <c r="AO37" s="27" t="n">
        <f aca="false">IF(COUNT(Sorgo!$E35:$Z35)=0,0,MAX(0,IF((AO$6-$E$3)&lt;1,0,IFERROR(LOOKUP(2,1/(Sorgo!$E35:INDEX(Sorgo!$E35:$Z35,MIN(AO$6-$E$3,22))&lt;&gt;""),Sorgo!$E35:INDEX(Sorgo!$E35:$Z35,MIN(AO$6-$E$3,22))),0))-IF($G$2,0,IF((AO$6-$G$3)&lt;1,0,IFERROR(LOOKUP(2,1/(Sorgo!$E35:INDEX(Sorgo!$E35:$Z35,MIN(AO$6-$G$3,22))&lt;&gt;""),Sorgo!$E35:INDEX(Sorgo!$E35:$Z35,MIN(AO$6-$G$3,22))),0)))))</f>
        <v>0</v>
      </c>
      <c r="AP37" s="27" t="n">
        <f aca="false">IF(COUNT(Sorgo!$E35:$Z35)=0,0,MAX(0,IF((AP$6-$E$3)&lt;1,0,IFERROR(LOOKUP(2,1/(Sorgo!$E35:INDEX(Sorgo!$E35:$Z35,MIN(AP$6-$E$3,22))&lt;&gt;""),Sorgo!$E35:INDEX(Sorgo!$E35:$Z35,MIN(AP$6-$E$3,22))),0))-IF($G$2,0,IF((AP$6-$G$3)&lt;1,0,IFERROR(LOOKUP(2,1/(Sorgo!$E35:INDEX(Sorgo!$E35:$Z35,MIN(AP$6-$G$3,22))&lt;&gt;""),Sorgo!$E35:INDEX(Sorgo!$E35:$Z35,MIN(AP$6-$G$3,22))),0)))))</f>
        <v>0</v>
      </c>
      <c r="AQ37" s="27" t="n">
        <f aca="false">IF(COUNT(Sorgo!$E35:$Z35)=0,0,MAX(0,IF((AQ$6-$E$3)&lt;1,0,IFERROR(LOOKUP(2,1/(Sorgo!$E35:INDEX(Sorgo!$E35:$Z35,MIN(AQ$6-$E$3,22))&lt;&gt;""),Sorgo!$E35:INDEX(Sorgo!$E35:$Z35,MIN(AQ$6-$E$3,22))),0))-IF($G$2,0,IF((AQ$6-$G$3)&lt;1,0,IFERROR(LOOKUP(2,1/(Sorgo!$E35:INDEX(Sorgo!$E35:$Z35,MIN(AQ$6-$G$3,22))&lt;&gt;""),Sorgo!$E35:INDEX(Sorgo!$E35:$Z35,MIN(AQ$6-$G$3,22))),0)))))</f>
        <v>0</v>
      </c>
      <c r="AR37" s="27" t="n">
        <f aca="false">IF(COUNT(Sorgo!$E35:$Z35)=0,0,MAX(0,IF((AR$6-$E$3)&lt;1,0,IFERROR(LOOKUP(2,1/(Sorgo!$E35:INDEX(Sorgo!$E35:$Z35,MIN(AR$6-$E$3,22))&lt;&gt;""),Sorgo!$E35:INDEX(Sorgo!$E35:$Z35,MIN(AR$6-$E$3,22))),0))-IF($G$2,0,IF((AR$6-$G$3)&lt;1,0,IFERROR(LOOKUP(2,1/(Sorgo!$E35:INDEX(Sorgo!$E35:$Z35,MIN(AR$6-$G$3,22))&lt;&gt;""),Sorgo!$E35:INDEX(Sorgo!$E35:$Z35,MIN(AR$6-$G$3,22))),0)))))</f>
        <v>0</v>
      </c>
      <c r="AS37" s="27" t="n">
        <f aca="false">IF(COUNT(Sorgo!$E35:$Z35)=0,0,MAX(0,IF((AS$6-$E$3)&lt;1,0,IFERROR(LOOKUP(2,1/(Sorgo!$E35:INDEX(Sorgo!$E35:$Z35,MIN(AS$6-$E$3,22))&lt;&gt;""),Sorgo!$E35:INDEX(Sorgo!$E35:$Z35,MIN(AS$6-$E$3,22))),0))-IF($G$2,0,IF((AS$6-$G$3)&lt;1,0,IFERROR(LOOKUP(2,1/(Sorgo!$E35:INDEX(Sorgo!$E35:$Z35,MIN(AS$6-$G$3,22))&lt;&gt;""),Sorgo!$E35:INDEX(Sorgo!$E35:$Z35,MIN(AS$6-$G$3,22))),0)))))</f>
        <v>0</v>
      </c>
      <c r="AT37" s="27" t="n">
        <f aca="false">IF(COUNT(Sorgo!$E35:$Z35)=0,0,MAX(0,IF((AT$6-$E$3)&lt;1,0,IFERROR(LOOKUP(2,1/(Sorgo!$E35:INDEX(Sorgo!$E35:$Z35,MIN(AT$6-$E$3,22))&lt;&gt;""),Sorgo!$E35:INDEX(Sorgo!$E35:$Z35,MIN(AT$6-$E$3,22))),0))-IF($G$2,0,IF((AT$6-$G$3)&lt;1,0,IFERROR(LOOKUP(2,1/(Sorgo!$E35:INDEX(Sorgo!$E35:$Z35,MIN(AT$6-$G$3,22))&lt;&gt;""),Sorgo!$E35:INDEX(Sorgo!$E35:$Z35,MIN(AT$6-$G$3,22))),0)))))</f>
        <v>0</v>
      </c>
      <c r="AU37" s="27" t="n">
        <f aca="false">IF(COUNT(Sorgo!$E35:$Z35)=0,0,MAX(0,IF((AU$6-$E$3)&lt;1,0,IFERROR(LOOKUP(2,1/(Sorgo!$E35:INDEX(Sorgo!$E35:$Z35,MIN(AU$6-$E$3,22))&lt;&gt;""),Sorgo!$E35:INDEX(Sorgo!$E35:$Z35,MIN(AU$6-$E$3,22))),0))-IF($G$2,0,IF((AU$6-$G$3)&lt;1,0,IFERROR(LOOKUP(2,1/(Sorgo!$E35:INDEX(Sorgo!$E35:$Z35,MIN(AU$6-$G$3,22))&lt;&gt;""),Sorgo!$E35:INDEX(Sorgo!$E35:$Z35,MIN(AU$6-$G$3,22))),0)))))</f>
        <v>0</v>
      </c>
      <c r="AV37" s="27" t="n">
        <f aca="false">IF(COUNT(Sorgo!$E35:$Z35)=0,0,MAX(0,IF((AV$6-$E$3)&lt;1,0,IFERROR(LOOKUP(2,1/(Sorgo!$E35:INDEX(Sorgo!$E35:$Z35,MIN(AV$6-$E$3,22))&lt;&gt;""),Sorgo!$E35:INDEX(Sorgo!$E35:$Z35,MIN(AV$6-$E$3,22))),0))-IF($G$2,0,IF((AV$6-$G$3)&lt;1,0,IFERROR(LOOKUP(2,1/(Sorgo!$E35:INDEX(Sorgo!$E35:$Z35,MIN(AV$6-$G$3,22))&lt;&gt;""),Sorgo!$E35:INDEX(Sorgo!$E35:$Z35,MIN(AV$6-$G$3,22))),0)))))</f>
        <v>0</v>
      </c>
      <c r="AW37" s="27" t="n">
        <f aca="false">IF(COUNT(Sorgo!$E35:$Z35)=0,0,MAX(0,IF((AW$6-$E$3)&lt;1,0,IFERROR(LOOKUP(2,1/(Sorgo!$E35:INDEX(Sorgo!$E35:$Z35,MIN(AW$6-$E$3,22))&lt;&gt;""),Sorgo!$E35:INDEX(Sorgo!$E35:$Z35,MIN(AW$6-$E$3,22))),0))-IF($G$2,0,IF((AW$6-$G$3)&lt;1,0,IFERROR(LOOKUP(2,1/(Sorgo!$E35:INDEX(Sorgo!$E35:$Z35,MIN(AW$6-$G$3,22))&lt;&gt;""),Sorgo!$E35:INDEX(Sorgo!$E35:$Z35,MIN(AW$6-$G$3,22))),0)))))</f>
        <v>0</v>
      </c>
      <c r="AX37" s="27" t="n">
        <f aca="false">IF(COUNT(Sorgo!$E35:$Z35)=0,0,MAX(0,IF((AX$6-$E$3)&lt;1,0,IFERROR(LOOKUP(2,1/(Sorgo!$E35:INDEX(Sorgo!$E35:$Z35,MIN(AX$6-$E$3,22))&lt;&gt;""),Sorgo!$E35:INDEX(Sorgo!$E35:$Z35,MIN(AX$6-$E$3,22))),0))-IF($G$2,0,IF((AX$6-$G$3)&lt;1,0,IFERROR(LOOKUP(2,1/(Sorgo!$E35:INDEX(Sorgo!$E35:$Z35,MIN(AX$6-$G$3,22))&lt;&gt;""),Sorgo!$E35:INDEX(Sorgo!$E35:$Z35,MIN(AX$6-$G$3,22))),0)))))</f>
        <v>0</v>
      </c>
      <c r="AY37" s="27" t="n">
        <f aca="false">IF(COUNT(Sorgo!$E35:$Z35)=0,0,MAX(0,IF((AY$6-$E$3)&lt;1,0,IFERROR(LOOKUP(2,1/(Sorgo!$E35:INDEX(Sorgo!$E35:$Z35,MIN(AY$6-$E$3,22))&lt;&gt;""),Sorgo!$E35:INDEX(Sorgo!$E35:$Z35,MIN(AY$6-$E$3,22))),0))-IF($G$2,0,IF((AY$6-$G$3)&lt;1,0,IFERROR(LOOKUP(2,1/(Sorgo!$E35:INDEX(Sorgo!$E35:$Z35,MIN(AY$6-$G$3,22))&lt;&gt;""),Sorgo!$E35:INDEX(Sorgo!$E35:$Z35,MIN(AY$6-$G$3,22))),0)))))</f>
        <v>0</v>
      </c>
      <c r="AZ37" s="27" t="n">
        <f aca="false">IF(COUNT(Sorgo!$E35:$Z35)=0,0,MAX(0,IF((AZ$6-$E$3)&lt;1,0,IFERROR(LOOKUP(2,1/(Sorgo!$E35:INDEX(Sorgo!$E35:$Z35,MIN(AZ$6-$E$3,22))&lt;&gt;""),Sorgo!$E35:INDEX(Sorgo!$E35:$Z35,MIN(AZ$6-$E$3,22))),0))-IF($G$2,0,IF((AZ$6-$G$3)&lt;1,0,IFERROR(LOOKUP(2,1/(Sorgo!$E35:INDEX(Sorgo!$E35:$Z35,MIN(AZ$6-$G$3,22))&lt;&gt;""),Sorgo!$E35:INDEX(Sorgo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IF(COUNT(Sorgo!$E36:$Z36)&gt;0,N(Sorgo!$D36),0)</f>
        <v>0</v>
      </c>
      <c r="E38" s="27" t="n">
        <f aca="false">IF(COUNT(Sorgo!$E36:$Z36)=0,0,MAX(0,IF((E$6-$E$3)&lt;1,0,IFERROR(LOOKUP(2,1/(Sorgo!$E36:INDEX(Sorgo!$E36:$Z36,MIN(E$6-$E$3,22))&lt;&gt;""),Sorgo!$E36:INDEX(Sorgo!$E36:$Z36,MIN(E$6-$E$3,22))),0))-IF($G$2,0,IF((E$6-$G$3)&lt;1,0,IFERROR(LOOKUP(2,1/(Sorgo!$E36:INDEX(Sorgo!$E36:$Z36,MIN(E$6-$G$3,22))&lt;&gt;""),Sorgo!$E36:INDEX(Sorgo!$E36:$Z36,MIN(E$6-$G$3,22))),0)))))</f>
        <v>0</v>
      </c>
      <c r="F38" s="27" t="n">
        <f aca="false">IF(COUNT(Sorgo!$E36:$Z36)=0,0,MAX(0,IF((F$6-$E$3)&lt;1,0,IFERROR(LOOKUP(2,1/(Sorgo!$E36:INDEX(Sorgo!$E36:$Z36,MIN(F$6-$E$3,22))&lt;&gt;""),Sorgo!$E36:INDEX(Sorgo!$E36:$Z36,MIN(F$6-$E$3,22))),0))-IF($G$2,0,IF((F$6-$G$3)&lt;1,0,IFERROR(LOOKUP(2,1/(Sorgo!$E36:INDEX(Sorgo!$E36:$Z36,MIN(F$6-$G$3,22))&lt;&gt;""),Sorgo!$E36:INDEX(Sorgo!$E36:$Z36,MIN(F$6-$G$3,22))),0)))))</f>
        <v>0</v>
      </c>
      <c r="G38" s="27" t="n">
        <f aca="false">IF(COUNT(Sorgo!$E36:$Z36)=0,0,MAX(0,IF((G$6-$E$3)&lt;1,0,IFERROR(LOOKUP(2,1/(Sorgo!$E36:INDEX(Sorgo!$E36:$Z36,MIN(G$6-$E$3,22))&lt;&gt;""),Sorgo!$E36:INDEX(Sorgo!$E36:$Z36,MIN(G$6-$E$3,22))),0))-IF($G$2,0,IF((G$6-$G$3)&lt;1,0,IFERROR(LOOKUP(2,1/(Sorgo!$E36:INDEX(Sorgo!$E36:$Z36,MIN(G$6-$G$3,22))&lt;&gt;""),Sorgo!$E36:INDEX(Sorgo!$E36:$Z36,MIN(G$6-$G$3,22))),0)))))</f>
        <v>0</v>
      </c>
      <c r="H38" s="27" t="n">
        <f aca="false">IF(COUNT(Sorgo!$E36:$Z36)=0,0,MAX(0,IF((H$6-$E$3)&lt;1,0,IFERROR(LOOKUP(2,1/(Sorgo!$E36:INDEX(Sorgo!$E36:$Z36,MIN(H$6-$E$3,22))&lt;&gt;""),Sorgo!$E36:INDEX(Sorgo!$E36:$Z36,MIN(H$6-$E$3,22))),0))-IF($G$2,0,IF((H$6-$G$3)&lt;1,0,IFERROR(LOOKUP(2,1/(Sorgo!$E36:INDEX(Sorgo!$E36:$Z36,MIN(H$6-$G$3,22))&lt;&gt;""),Sorgo!$E36:INDEX(Sorgo!$E36:$Z36,MIN(H$6-$G$3,22))),0)))))</f>
        <v>0</v>
      </c>
      <c r="I38" s="27" t="n">
        <f aca="false">IF(COUNT(Sorgo!$E36:$Z36)=0,0,MAX(0,IF((I$6-$E$3)&lt;1,0,IFERROR(LOOKUP(2,1/(Sorgo!$E36:INDEX(Sorgo!$E36:$Z36,MIN(I$6-$E$3,22))&lt;&gt;""),Sorgo!$E36:INDEX(Sorgo!$E36:$Z36,MIN(I$6-$E$3,22))),0))-IF($G$2,0,IF((I$6-$G$3)&lt;1,0,IFERROR(LOOKUP(2,1/(Sorgo!$E36:INDEX(Sorgo!$E36:$Z36,MIN(I$6-$G$3,22))&lt;&gt;""),Sorgo!$E36:INDEX(Sorgo!$E36:$Z36,MIN(I$6-$G$3,22))),0)))))</f>
        <v>0</v>
      </c>
      <c r="J38" s="27" t="n">
        <f aca="false">IF(COUNT(Sorgo!$E36:$Z36)=0,0,MAX(0,IF((J$6-$E$3)&lt;1,0,IFERROR(LOOKUP(2,1/(Sorgo!$E36:INDEX(Sorgo!$E36:$Z36,MIN(J$6-$E$3,22))&lt;&gt;""),Sorgo!$E36:INDEX(Sorgo!$E36:$Z36,MIN(J$6-$E$3,22))),0))-IF($G$2,0,IF((J$6-$G$3)&lt;1,0,IFERROR(LOOKUP(2,1/(Sorgo!$E36:INDEX(Sorgo!$E36:$Z36,MIN(J$6-$G$3,22))&lt;&gt;""),Sorgo!$E36:INDEX(Sorgo!$E36:$Z36,MIN(J$6-$G$3,22))),0)))))</f>
        <v>0</v>
      </c>
      <c r="K38" s="27" t="n">
        <f aca="false">IF(COUNT(Sorgo!$E36:$Z36)=0,0,MAX(0,IF((K$6-$E$3)&lt;1,0,IFERROR(LOOKUP(2,1/(Sorgo!$E36:INDEX(Sorgo!$E36:$Z36,MIN(K$6-$E$3,22))&lt;&gt;""),Sorgo!$E36:INDEX(Sorgo!$E36:$Z36,MIN(K$6-$E$3,22))),0))-IF($G$2,0,IF((K$6-$G$3)&lt;1,0,IFERROR(LOOKUP(2,1/(Sorgo!$E36:INDEX(Sorgo!$E36:$Z36,MIN(K$6-$G$3,22))&lt;&gt;""),Sorgo!$E36:INDEX(Sorgo!$E36:$Z36,MIN(K$6-$G$3,22))),0)))))</f>
        <v>0</v>
      </c>
      <c r="L38" s="27" t="n">
        <f aca="false">IF(COUNT(Sorgo!$E36:$Z36)=0,0,MAX(0,IF((L$6-$E$3)&lt;1,0,IFERROR(LOOKUP(2,1/(Sorgo!$E36:INDEX(Sorgo!$E36:$Z36,MIN(L$6-$E$3,22))&lt;&gt;""),Sorgo!$E36:INDEX(Sorgo!$E36:$Z36,MIN(L$6-$E$3,22))),0))-IF($G$2,0,IF((L$6-$G$3)&lt;1,0,IFERROR(LOOKUP(2,1/(Sorgo!$E36:INDEX(Sorgo!$E36:$Z36,MIN(L$6-$G$3,22))&lt;&gt;""),Sorgo!$E36:INDEX(Sorgo!$E36:$Z36,MIN(L$6-$G$3,22))),0)))))</f>
        <v>0</v>
      </c>
      <c r="M38" s="27" t="n">
        <f aca="false">IF(COUNT(Sorgo!$E36:$Z36)=0,0,MAX(0,IF((M$6-$E$3)&lt;1,0,IFERROR(LOOKUP(2,1/(Sorgo!$E36:INDEX(Sorgo!$E36:$Z36,MIN(M$6-$E$3,22))&lt;&gt;""),Sorgo!$E36:INDEX(Sorgo!$E36:$Z36,MIN(M$6-$E$3,22))),0))-IF($G$2,0,IF((M$6-$G$3)&lt;1,0,IFERROR(LOOKUP(2,1/(Sorgo!$E36:INDEX(Sorgo!$E36:$Z36,MIN(M$6-$G$3,22))&lt;&gt;""),Sorgo!$E36:INDEX(Sorgo!$E36:$Z36,MIN(M$6-$G$3,22))),0)))))</f>
        <v>0</v>
      </c>
      <c r="N38" s="27" t="n">
        <f aca="false">IF(COUNT(Sorgo!$E36:$Z36)=0,0,MAX(0,IF((N$6-$E$3)&lt;1,0,IFERROR(LOOKUP(2,1/(Sorgo!$E36:INDEX(Sorgo!$E36:$Z36,MIN(N$6-$E$3,22))&lt;&gt;""),Sorgo!$E36:INDEX(Sorgo!$E36:$Z36,MIN(N$6-$E$3,22))),0))-IF($G$2,0,IF((N$6-$G$3)&lt;1,0,IFERROR(LOOKUP(2,1/(Sorgo!$E36:INDEX(Sorgo!$E36:$Z36,MIN(N$6-$G$3,22))&lt;&gt;""),Sorgo!$E36:INDEX(Sorgo!$E36:$Z36,MIN(N$6-$G$3,22))),0)))))</f>
        <v>0</v>
      </c>
      <c r="O38" s="27" t="n">
        <f aca="false">IF(COUNT(Sorgo!$E36:$Z36)=0,0,MAX(0,IF((O$6-$E$3)&lt;1,0,IFERROR(LOOKUP(2,1/(Sorgo!$E36:INDEX(Sorgo!$E36:$Z36,MIN(O$6-$E$3,22))&lt;&gt;""),Sorgo!$E36:INDEX(Sorgo!$E36:$Z36,MIN(O$6-$E$3,22))),0))-IF($G$2,0,IF((O$6-$G$3)&lt;1,0,IFERROR(LOOKUP(2,1/(Sorgo!$E36:INDEX(Sorgo!$E36:$Z36,MIN(O$6-$G$3,22))&lt;&gt;""),Sorgo!$E36:INDEX(Sorgo!$E36:$Z36,MIN(O$6-$G$3,22))),0)))))</f>
        <v>0</v>
      </c>
      <c r="P38" s="27" t="n">
        <f aca="false">IF(COUNT(Sorgo!$E36:$Z36)=0,0,MAX(0,IF((P$6-$E$3)&lt;1,0,IFERROR(LOOKUP(2,1/(Sorgo!$E36:INDEX(Sorgo!$E36:$Z36,MIN(P$6-$E$3,22))&lt;&gt;""),Sorgo!$E36:INDEX(Sorgo!$E36:$Z36,MIN(P$6-$E$3,22))),0))-IF($G$2,0,IF((P$6-$G$3)&lt;1,0,IFERROR(LOOKUP(2,1/(Sorgo!$E36:INDEX(Sorgo!$E36:$Z36,MIN(P$6-$G$3,22))&lt;&gt;""),Sorgo!$E36:INDEX(Sorgo!$E36:$Z36,MIN(P$6-$G$3,22))),0)))))</f>
        <v>0</v>
      </c>
      <c r="Q38" s="27" t="n">
        <f aca="false">IF(COUNT(Sorgo!$E36:$Z36)=0,0,MAX(0,IF((Q$6-$E$3)&lt;1,0,IFERROR(LOOKUP(2,1/(Sorgo!$E36:INDEX(Sorgo!$E36:$Z36,MIN(Q$6-$E$3,22))&lt;&gt;""),Sorgo!$E36:INDEX(Sorgo!$E36:$Z36,MIN(Q$6-$E$3,22))),0))-IF($G$2,0,IF((Q$6-$G$3)&lt;1,0,IFERROR(LOOKUP(2,1/(Sorgo!$E36:INDEX(Sorgo!$E36:$Z36,MIN(Q$6-$G$3,22))&lt;&gt;""),Sorgo!$E36:INDEX(Sorgo!$E36:$Z36,MIN(Q$6-$G$3,22))),0)))))</f>
        <v>0</v>
      </c>
      <c r="R38" s="27" t="n">
        <f aca="false">IF(COUNT(Sorgo!$E36:$Z36)=0,0,MAX(0,IF((R$6-$E$3)&lt;1,0,IFERROR(LOOKUP(2,1/(Sorgo!$E36:INDEX(Sorgo!$E36:$Z36,MIN(R$6-$E$3,22))&lt;&gt;""),Sorgo!$E36:INDEX(Sorgo!$E36:$Z36,MIN(R$6-$E$3,22))),0))-IF($G$2,0,IF((R$6-$G$3)&lt;1,0,IFERROR(LOOKUP(2,1/(Sorgo!$E36:INDEX(Sorgo!$E36:$Z36,MIN(R$6-$G$3,22))&lt;&gt;""),Sorgo!$E36:INDEX(Sorgo!$E36:$Z36,MIN(R$6-$G$3,22))),0)))))</f>
        <v>0</v>
      </c>
      <c r="S38" s="27" t="n">
        <f aca="false">IF(COUNT(Sorgo!$E36:$Z36)=0,0,MAX(0,IF((S$6-$E$3)&lt;1,0,IFERROR(LOOKUP(2,1/(Sorgo!$E36:INDEX(Sorgo!$E36:$Z36,MIN(S$6-$E$3,22))&lt;&gt;""),Sorgo!$E36:INDEX(Sorgo!$E36:$Z36,MIN(S$6-$E$3,22))),0))-IF($G$2,0,IF((S$6-$G$3)&lt;1,0,IFERROR(LOOKUP(2,1/(Sorgo!$E36:INDEX(Sorgo!$E36:$Z36,MIN(S$6-$G$3,22))&lt;&gt;""),Sorgo!$E36:INDEX(Sorgo!$E36:$Z36,MIN(S$6-$G$3,22))),0)))))</f>
        <v>0</v>
      </c>
      <c r="T38" s="27" t="n">
        <f aca="false">IF(COUNT(Sorgo!$E36:$Z36)=0,0,MAX(0,IF((T$6-$E$3)&lt;1,0,IFERROR(LOOKUP(2,1/(Sorgo!$E36:INDEX(Sorgo!$E36:$Z36,MIN(T$6-$E$3,22))&lt;&gt;""),Sorgo!$E36:INDEX(Sorgo!$E36:$Z36,MIN(T$6-$E$3,22))),0))-IF($G$2,0,IF((T$6-$G$3)&lt;1,0,IFERROR(LOOKUP(2,1/(Sorgo!$E36:INDEX(Sorgo!$E36:$Z36,MIN(T$6-$G$3,22))&lt;&gt;""),Sorgo!$E36:INDEX(Sorgo!$E36:$Z36,MIN(T$6-$G$3,22))),0)))))</f>
        <v>0</v>
      </c>
      <c r="U38" s="27" t="n">
        <f aca="false">IF(COUNT(Sorgo!$E36:$Z36)=0,0,MAX(0,IF((U$6-$E$3)&lt;1,0,IFERROR(LOOKUP(2,1/(Sorgo!$E36:INDEX(Sorgo!$E36:$Z36,MIN(U$6-$E$3,22))&lt;&gt;""),Sorgo!$E36:INDEX(Sorgo!$E36:$Z36,MIN(U$6-$E$3,22))),0))-IF($G$2,0,IF((U$6-$G$3)&lt;1,0,IFERROR(LOOKUP(2,1/(Sorgo!$E36:INDEX(Sorgo!$E36:$Z36,MIN(U$6-$G$3,22))&lt;&gt;""),Sorgo!$E36:INDEX(Sorgo!$E36:$Z36,MIN(U$6-$G$3,22))),0)))))</f>
        <v>0</v>
      </c>
      <c r="V38" s="27" t="n">
        <f aca="false">IF(COUNT(Sorgo!$E36:$Z36)=0,0,MAX(0,IF((V$6-$E$3)&lt;1,0,IFERROR(LOOKUP(2,1/(Sorgo!$E36:INDEX(Sorgo!$E36:$Z36,MIN(V$6-$E$3,22))&lt;&gt;""),Sorgo!$E36:INDEX(Sorgo!$E36:$Z36,MIN(V$6-$E$3,22))),0))-IF($G$2,0,IF((V$6-$G$3)&lt;1,0,IFERROR(LOOKUP(2,1/(Sorgo!$E36:INDEX(Sorgo!$E36:$Z36,MIN(V$6-$G$3,22))&lt;&gt;""),Sorgo!$E36:INDEX(Sorgo!$E36:$Z36,MIN(V$6-$G$3,22))),0)))))</f>
        <v>0</v>
      </c>
      <c r="W38" s="27" t="n">
        <f aca="false">IF(COUNT(Sorgo!$E36:$Z36)=0,0,MAX(0,IF((W$6-$E$3)&lt;1,0,IFERROR(LOOKUP(2,1/(Sorgo!$E36:INDEX(Sorgo!$E36:$Z36,MIN(W$6-$E$3,22))&lt;&gt;""),Sorgo!$E36:INDEX(Sorgo!$E36:$Z36,MIN(W$6-$E$3,22))),0))-IF($G$2,0,IF((W$6-$G$3)&lt;1,0,IFERROR(LOOKUP(2,1/(Sorgo!$E36:INDEX(Sorgo!$E36:$Z36,MIN(W$6-$G$3,22))&lt;&gt;""),Sorgo!$E36:INDEX(Sorgo!$E36:$Z36,MIN(W$6-$G$3,22))),0)))))</f>
        <v>0</v>
      </c>
      <c r="X38" s="27" t="n">
        <f aca="false">IF(COUNT(Sorgo!$E36:$Z36)=0,0,MAX(0,IF((X$6-$E$3)&lt;1,0,IFERROR(LOOKUP(2,1/(Sorgo!$E36:INDEX(Sorgo!$E36:$Z36,MIN(X$6-$E$3,22))&lt;&gt;""),Sorgo!$E36:INDEX(Sorgo!$E36:$Z36,MIN(X$6-$E$3,22))),0))-IF($G$2,0,IF((X$6-$G$3)&lt;1,0,IFERROR(LOOKUP(2,1/(Sorgo!$E36:INDEX(Sorgo!$E36:$Z36,MIN(X$6-$G$3,22))&lt;&gt;""),Sorgo!$E36:INDEX(Sorgo!$E36:$Z36,MIN(X$6-$G$3,22))),0)))))</f>
        <v>0</v>
      </c>
      <c r="Y38" s="27" t="n">
        <f aca="false">IF(COUNT(Sorgo!$E36:$Z36)=0,0,MAX(0,IF((Y$6-$E$3)&lt;1,0,IFERROR(LOOKUP(2,1/(Sorgo!$E36:INDEX(Sorgo!$E36:$Z36,MIN(Y$6-$E$3,22))&lt;&gt;""),Sorgo!$E36:INDEX(Sorgo!$E36:$Z36,MIN(Y$6-$E$3,22))),0))-IF($G$2,0,IF((Y$6-$G$3)&lt;1,0,IFERROR(LOOKUP(2,1/(Sorgo!$E36:INDEX(Sorgo!$E36:$Z36,MIN(Y$6-$G$3,22))&lt;&gt;""),Sorgo!$E36:INDEX(Sorgo!$E36:$Z36,MIN(Y$6-$G$3,22))),0)))))</f>
        <v>0</v>
      </c>
      <c r="Z38" s="27" t="n">
        <f aca="false">IF(COUNT(Sorgo!$E36:$Z36)=0,0,MAX(0,IF((Z$6-$E$3)&lt;1,0,IFERROR(LOOKUP(2,1/(Sorgo!$E36:INDEX(Sorgo!$E36:$Z36,MIN(Z$6-$E$3,22))&lt;&gt;""),Sorgo!$E36:INDEX(Sorgo!$E36:$Z36,MIN(Z$6-$E$3,22))),0))-IF($G$2,0,IF((Z$6-$G$3)&lt;1,0,IFERROR(LOOKUP(2,1/(Sorgo!$E36:INDEX(Sorgo!$E36:$Z36,MIN(Z$6-$G$3,22))&lt;&gt;""),Sorgo!$E36:INDEX(Sorgo!$E36:$Z36,MIN(Z$6-$G$3,22))),0)))))</f>
        <v>0</v>
      </c>
      <c r="AA38" s="27" t="n">
        <f aca="false">IF(COUNT(Sorgo!$E36:$Z36)=0,0,MAX(0,IF((AA$6-$E$3)&lt;1,0,IFERROR(LOOKUP(2,1/(Sorgo!$E36:INDEX(Sorgo!$E36:$Z36,MIN(AA$6-$E$3,22))&lt;&gt;""),Sorgo!$E36:INDEX(Sorgo!$E36:$Z36,MIN(AA$6-$E$3,22))),0))-IF($G$2,0,IF((AA$6-$G$3)&lt;1,0,IFERROR(LOOKUP(2,1/(Sorgo!$E36:INDEX(Sorgo!$E36:$Z36,MIN(AA$6-$G$3,22))&lt;&gt;""),Sorgo!$E36:INDEX(Sorgo!$E36:$Z36,MIN(AA$6-$G$3,22))),0)))))</f>
        <v>0</v>
      </c>
      <c r="AB38" s="27" t="n">
        <f aca="false">IF(COUNT(Sorgo!$E36:$Z36)=0,0,MAX(0,IF((AB$6-$E$3)&lt;1,0,IFERROR(LOOKUP(2,1/(Sorgo!$E36:INDEX(Sorgo!$E36:$Z36,MIN(AB$6-$E$3,22))&lt;&gt;""),Sorgo!$E36:INDEX(Sorgo!$E36:$Z36,MIN(AB$6-$E$3,22))),0))-IF($G$2,0,IF((AB$6-$G$3)&lt;1,0,IFERROR(LOOKUP(2,1/(Sorgo!$E36:INDEX(Sorgo!$E36:$Z36,MIN(AB$6-$G$3,22))&lt;&gt;""),Sorgo!$E36:INDEX(Sorgo!$E36:$Z36,MIN(AB$6-$G$3,22))),0)))))</f>
        <v>0</v>
      </c>
      <c r="AC38" s="27" t="n">
        <f aca="false">IF(COUNT(Sorgo!$E36:$Z36)=0,0,MAX(0,IF((AC$6-$E$3)&lt;1,0,IFERROR(LOOKUP(2,1/(Sorgo!$E36:INDEX(Sorgo!$E36:$Z36,MIN(AC$6-$E$3,22))&lt;&gt;""),Sorgo!$E36:INDEX(Sorgo!$E36:$Z36,MIN(AC$6-$E$3,22))),0))-IF($G$2,0,IF((AC$6-$G$3)&lt;1,0,IFERROR(LOOKUP(2,1/(Sorgo!$E36:INDEX(Sorgo!$E36:$Z36,MIN(AC$6-$G$3,22))&lt;&gt;""),Sorgo!$E36:INDEX(Sorgo!$E36:$Z36,MIN(AC$6-$G$3,22))),0)))))</f>
        <v>0</v>
      </c>
      <c r="AD38" s="27" t="n">
        <f aca="false">IF(COUNT(Sorgo!$E36:$Z36)=0,0,MAX(0,IF((AD$6-$E$3)&lt;1,0,IFERROR(LOOKUP(2,1/(Sorgo!$E36:INDEX(Sorgo!$E36:$Z36,MIN(AD$6-$E$3,22))&lt;&gt;""),Sorgo!$E36:INDEX(Sorgo!$E36:$Z36,MIN(AD$6-$E$3,22))),0))-IF($G$2,0,IF((AD$6-$G$3)&lt;1,0,IFERROR(LOOKUP(2,1/(Sorgo!$E36:INDEX(Sorgo!$E36:$Z36,MIN(AD$6-$G$3,22))&lt;&gt;""),Sorgo!$E36:INDEX(Sorgo!$E36:$Z36,MIN(AD$6-$G$3,22))),0)))))</f>
        <v>0</v>
      </c>
      <c r="AE38" s="27" t="n">
        <f aca="false">IF(COUNT(Sorgo!$E36:$Z36)=0,0,MAX(0,IF((AE$6-$E$3)&lt;1,0,IFERROR(LOOKUP(2,1/(Sorgo!$E36:INDEX(Sorgo!$E36:$Z36,MIN(AE$6-$E$3,22))&lt;&gt;""),Sorgo!$E36:INDEX(Sorgo!$E36:$Z36,MIN(AE$6-$E$3,22))),0))-IF($G$2,0,IF((AE$6-$G$3)&lt;1,0,IFERROR(LOOKUP(2,1/(Sorgo!$E36:INDEX(Sorgo!$E36:$Z36,MIN(AE$6-$G$3,22))&lt;&gt;""),Sorgo!$E36:INDEX(Sorgo!$E36:$Z36,MIN(AE$6-$G$3,22))),0)))))</f>
        <v>0</v>
      </c>
      <c r="AF38" s="27" t="n">
        <f aca="false">IF(COUNT(Sorgo!$E36:$Z36)=0,0,MAX(0,IF((AF$6-$E$3)&lt;1,0,IFERROR(LOOKUP(2,1/(Sorgo!$E36:INDEX(Sorgo!$E36:$Z36,MIN(AF$6-$E$3,22))&lt;&gt;""),Sorgo!$E36:INDEX(Sorgo!$E36:$Z36,MIN(AF$6-$E$3,22))),0))-IF($G$2,0,IF((AF$6-$G$3)&lt;1,0,IFERROR(LOOKUP(2,1/(Sorgo!$E36:INDEX(Sorgo!$E36:$Z36,MIN(AF$6-$G$3,22))&lt;&gt;""),Sorgo!$E36:INDEX(Sorgo!$E36:$Z36,MIN(AF$6-$G$3,22))),0)))))</f>
        <v>0</v>
      </c>
      <c r="AG38" s="27" t="n">
        <f aca="false">IF(COUNT(Sorgo!$E36:$Z36)=0,0,MAX(0,IF((AG$6-$E$3)&lt;1,0,IFERROR(LOOKUP(2,1/(Sorgo!$E36:INDEX(Sorgo!$E36:$Z36,MIN(AG$6-$E$3,22))&lt;&gt;""),Sorgo!$E36:INDEX(Sorgo!$E36:$Z36,MIN(AG$6-$E$3,22))),0))-IF($G$2,0,IF((AG$6-$G$3)&lt;1,0,IFERROR(LOOKUP(2,1/(Sorgo!$E36:INDEX(Sorgo!$E36:$Z36,MIN(AG$6-$G$3,22))&lt;&gt;""),Sorgo!$E36:INDEX(Sorgo!$E36:$Z36,MIN(AG$6-$G$3,22))),0)))))</f>
        <v>0</v>
      </c>
      <c r="AH38" s="27" t="n">
        <f aca="false">IF(COUNT(Sorgo!$E36:$Z36)=0,0,MAX(0,IF((AH$6-$E$3)&lt;1,0,IFERROR(LOOKUP(2,1/(Sorgo!$E36:INDEX(Sorgo!$E36:$Z36,MIN(AH$6-$E$3,22))&lt;&gt;""),Sorgo!$E36:INDEX(Sorgo!$E36:$Z36,MIN(AH$6-$E$3,22))),0))-IF($G$2,0,IF((AH$6-$G$3)&lt;1,0,IFERROR(LOOKUP(2,1/(Sorgo!$E36:INDEX(Sorgo!$E36:$Z36,MIN(AH$6-$G$3,22))&lt;&gt;""),Sorgo!$E36:INDEX(Sorgo!$E36:$Z36,MIN(AH$6-$G$3,22))),0)))))</f>
        <v>0</v>
      </c>
      <c r="AI38" s="27" t="n">
        <f aca="false">IF(COUNT(Sorgo!$E36:$Z36)=0,0,MAX(0,IF((AI$6-$E$3)&lt;1,0,IFERROR(LOOKUP(2,1/(Sorgo!$E36:INDEX(Sorgo!$E36:$Z36,MIN(AI$6-$E$3,22))&lt;&gt;""),Sorgo!$E36:INDEX(Sorgo!$E36:$Z36,MIN(AI$6-$E$3,22))),0))-IF($G$2,0,IF((AI$6-$G$3)&lt;1,0,IFERROR(LOOKUP(2,1/(Sorgo!$E36:INDEX(Sorgo!$E36:$Z36,MIN(AI$6-$G$3,22))&lt;&gt;""),Sorgo!$E36:INDEX(Sorgo!$E36:$Z36,MIN(AI$6-$G$3,22))),0)))))</f>
        <v>0</v>
      </c>
      <c r="AJ38" s="27" t="n">
        <f aca="false">IF(COUNT(Sorgo!$E36:$Z36)=0,0,MAX(0,IF((AJ$6-$E$3)&lt;1,0,IFERROR(LOOKUP(2,1/(Sorgo!$E36:INDEX(Sorgo!$E36:$Z36,MIN(AJ$6-$E$3,22))&lt;&gt;""),Sorgo!$E36:INDEX(Sorgo!$E36:$Z36,MIN(AJ$6-$E$3,22))),0))-IF($G$2,0,IF((AJ$6-$G$3)&lt;1,0,IFERROR(LOOKUP(2,1/(Sorgo!$E36:INDEX(Sorgo!$E36:$Z36,MIN(AJ$6-$G$3,22))&lt;&gt;""),Sorgo!$E36:INDEX(Sorgo!$E36:$Z36,MIN(AJ$6-$G$3,22))),0)))))</f>
        <v>0</v>
      </c>
      <c r="AK38" s="27" t="n">
        <f aca="false">IF(COUNT(Sorgo!$E36:$Z36)=0,0,MAX(0,IF((AK$6-$E$3)&lt;1,0,IFERROR(LOOKUP(2,1/(Sorgo!$E36:INDEX(Sorgo!$E36:$Z36,MIN(AK$6-$E$3,22))&lt;&gt;""),Sorgo!$E36:INDEX(Sorgo!$E36:$Z36,MIN(AK$6-$E$3,22))),0))-IF($G$2,0,IF((AK$6-$G$3)&lt;1,0,IFERROR(LOOKUP(2,1/(Sorgo!$E36:INDEX(Sorgo!$E36:$Z36,MIN(AK$6-$G$3,22))&lt;&gt;""),Sorgo!$E36:INDEX(Sorgo!$E36:$Z36,MIN(AK$6-$G$3,22))),0)))))</f>
        <v>0</v>
      </c>
      <c r="AL38" s="27" t="n">
        <f aca="false">IF(COUNT(Sorgo!$E36:$Z36)=0,0,MAX(0,IF((AL$6-$E$3)&lt;1,0,IFERROR(LOOKUP(2,1/(Sorgo!$E36:INDEX(Sorgo!$E36:$Z36,MIN(AL$6-$E$3,22))&lt;&gt;""),Sorgo!$E36:INDEX(Sorgo!$E36:$Z36,MIN(AL$6-$E$3,22))),0))-IF($G$2,0,IF((AL$6-$G$3)&lt;1,0,IFERROR(LOOKUP(2,1/(Sorgo!$E36:INDEX(Sorgo!$E36:$Z36,MIN(AL$6-$G$3,22))&lt;&gt;""),Sorgo!$E36:INDEX(Sorgo!$E36:$Z36,MIN(AL$6-$G$3,22))),0)))))</f>
        <v>0</v>
      </c>
      <c r="AM38" s="27" t="n">
        <f aca="false">IF(COUNT(Sorgo!$E36:$Z36)=0,0,MAX(0,IF((AM$6-$E$3)&lt;1,0,IFERROR(LOOKUP(2,1/(Sorgo!$E36:INDEX(Sorgo!$E36:$Z36,MIN(AM$6-$E$3,22))&lt;&gt;""),Sorgo!$E36:INDEX(Sorgo!$E36:$Z36,MIN(AM$6-$E$3,22))),0))-IF($G$2,0,IF((AM$6-$G$3)&lt;1,0,IFERROR(LOOKUP(2,1/(Sorgo!$E36:INDEX(Sorgo!$E36:$Z36,MIN(AM$6-$G$3,22))&lt;&gt;""),Sorgo!$E36:INDEX(Sorgo!$E36:$Z36,MIN(AM$6-$G$3,22))),0)))))</f>
        <v>0</v>
      </c>
      <c r="AN38" s="27" t="n">
        <f aca="false">IF(COUNT(Sorgo!$E36:$Z36)=0,0,MAX(0,IF((AN$6-$E$3)&lt;1,0,IFERROR(LOOKUP(2,1/(Sorgo!$E36:INDEX(Sorgo!$E36:$Z36,MIN(AN$6-$E$3,22))&lt;&gt;""),Sorgo!$E36:INDEX(Sorgo!$E36:$Z36,MIN(AN$6-$E$3,22))),0))-IF($G$2,0,IF((AN$6-$G$3)&lt;1,0,IFERROR(LOOKUP(2,1/(Sorgo!$E36:INDEX(Sorgo!$E36:$Z36,MIN(AN$6-$G$3,22))&lt;&gt;""),Sorgo!$E36:INDEX(Sorgo!$E36:$Z36,MIN(AN$6-$G$3,22))),0)))))</f>
        <v>0</v>
      </c>
      <c r="AO38" s="27" t="n">
        <f aca="false">IF(COUNT(Sorgo!$E36:$Z36)=0,0,MAX(0,IF((AO$6-$E$3)&lt;1,0,IFERROR(LOOKUP(2,1/(Sorgo!$E36:INDEX(Sorgo!$E36:$Z36,MIN(AO$6-$E$3,22))&lt;&gt;""),Sorgo!$E36:INDEX(Sorgo!$E36:$Z36,MIN(AO$6-$E$3,22))),0))-IF($G$2,0,IF((AO$6-$G$3)&lt;1,0,IFERROR(LOOKUP(2,1/(Sorgo!$E36:INDEX(Sorgo!$E36:$Z36,MIN(AO$6-$G$3,22))&lt;&gt;""),Sorgo!$E36:INDEX(Sorgo!$E36:$Z36,MIN(AO$6-$G$3,22))),0)))))</f>
        <v>0</v>
      </c>
      <c r="AP38" s="27" t="n">
        <f aca="false">IF(COUNT(Sorgo!$E36:$Z36)=0,0,MAX(0,IF((AP$6-$E$3)&lt;1,0,IFERROR(LOOKUP(2,1/(Sorgo!$E36:INDEX(Sorgo!$E36:$Z36,MIN(AP$6-$E$3,22))&lt;&gt;""),Sorgo!$E36:INDEX(Sorgo!$E36:$Z36,MIN(AP$6-$E$3,22))),0))-IF($G$2,0,IF((AP$6-$G$3)&lt;1,0,IFERROR(LOOKUP(2,1/(Sorgo!$E36:INDEX(Sorgo!$E36:$Z36,MIN(AP$6-$G$3,22))&lt;&gt;""),Sorgo!$E36:INDEX(Sorgo!$E36:$Z36,MIN(AP$6-$G$3,22))),0)))))</f>
        <v>0</v>
      </c>
      <c r="AQ38" s="27" t="n">
        <f aca="false">IF(COUNT(Sorgo!$E36:$Z36)=0,0,MAX(0,IF((AQ$6-$E$3)&lt;1,0,IFERROR(LOOKUP(2,1/(Sorgo!$E36:INDEX(Sorgo!$E36:$Z36,MIN(AQ$6-$E$3,22))&lt;&gt;""),Sorgo!$E36:INDEX(Sorgo!$E36:$Z36,MIN(AQ$6-$E$3,22))),0))-IF($G$2,0,IF((AQ$6-$G$3)&lt;1,0,IFERROR(LOOKUP(2,1/(Sorgo!$E36:INDEX(Sorgo!$E36:$Z36,MIN(AQ$6-$G$3,22))&lt;&gt;""),Sorgo!$E36:INDEX(Sorgo!$E36:$Z36,MIN(AQ$6-$G$3,22))),0)))))</f>
        <v>0</v>
      </c>
      <c r="AR38" s="27" t="n">
        <f aca="false">IF(COUNT(Sorgo!$E36:$Z36)=0,0,MAX(0,IF((AR$6-$E$3)&lt;1,0,IFERROR(LOOKUP(2,1/(Sorgo!$E36:INDEX(Sorgo!$E36:$Z36,MIN(AR$6-$E$3,22))&lt;&gt;""),Sorgo!$E36:INDEX(Sorgo!$E36:$Z36,MIN(AR$6-$E$3,22))),0))-IF($G$2,0,IF((AR$6-$G$3)&lt;1,0,IFERROR(LOOKUP(2,1/(Sorgo!$E36:INDEX(Sorgo!$E36:$Z36,MIN(AR$6-$G$3,22))&lt;&gt;""),Sorgo!$E36:INDEX(Sorgo!$E36:$Z36,MIN(AR$6-$G$3,22))),0)))))</f>
        <v>0</v>
      </c>
      <c r="AS38" s="27" t="n">
        <f aca="false">IF(COUNT(Sorgo!$E36:$Z36)=0,0,MAX(0,IF((AS$6-$E$3)&lt;1,0,IFERROR(LOOKUP(2,1/(Sorgo!$E36:INDEX(Sorgo!$E36:$Z36,MIN(AS$6-$E$3,22))&lt;&gt;""),Sorgo!$E36:INDEX(Sorgo!$E36:$Z36,MIN(AS$6-$E$3,22))),0))-IF($G$2,0,IF((AS$6-$G$3)&lt;1,0,IFERROR(LOOKUP(2,1/(Sorgo!$E36:INDEX(Sorgo!$E36:$Z36,MIN(AS$6-$G$3,22))&lt;&gt;""),Sorgo!$E36:INDEX(Sorgo!$E36:$Z36,MIN(AS$6-$G$3,22))),0)))))</f>
        <v>0</v>
      </c>
      <c r="AT38" s="27" t="n">
        <f aca="false">IF(COUNT(Sorgo!$E36:$Z36)=0,0,MAX(0,IF((AT$6-$E$3)&lt;1,0,IFERROR(LOOKUP(2,1/(Sorgo!$E36:INDEX(Sorgo!$E36:$Z36,MIN(AT$6-$E$3,22))&lt;&gt;""),Sorgo!$E36:INDEX(Sorgo!$E36:$Z36,MIN(AT$6-$E$3,22))),0))-IF($G$2,0,IF((AT$6-$G$3)&lt;1,0,IFERROR(LOOKUP(2,1/(Sorgo!$E36:INDEX(Sorgo!$E36:$Z36,MIN(AT$6-$G$3,22))&lt;&gt;""),Sorgo!$E36:INDEX(Sorgo!$E36:$Z36,MIN(AT$6-$G$3,22))),0)))))</f>
        <v>0</v>
      </c>
      <c r="AU38" s="27" t="n">
        <f aca="false">IF(COUNT(Sorgo!$E36:$Z36)=0,0,MAX(0,IF((AU$6-$E$3)&lt;1,0,IFERROR(LOOKUP(2,1/(Sorgo!$E36:INDEX(Sorgo!$E36:$Z36,MIN(AU$6-$E$3,22))&lt;&gt;""),Sorgo!$E36:INDEX(Sorgo!$E36:$Z36,MIN(AU$6-$E$3,22))),0))-IF($G$2,0,IF((AU$6-$G$3)&lt;1,0,IFERROR(LOOKUP(2,1/(Sorgo!$E36:INDEX(Sorgo!$E36:$Z36,MIN(AU$6-$G$3,22))&lt;&gt;""),Sorgo!$E36:INDEX(Sorgo!$E36:$Z36,MIN(AU$6-$G$3,22))),0)))))</f>
        <v>0</v>
      </c>
      <c r="AV38" s="27" t="n">
        <f aca="false">IF(COUNT(Sorgo!$E36:$Z36)=0,0,MAX(0,IF((AV$6-$E$3)&lt;1,0,IFERROR(LOOKUP(2,1/(Sorgo!$E36:INDEX(Sorgo!$E36:$Z36,MIN(AV$6-$E$3,22))&lt;&gt;""),Sorgo!$E36:INDEX(Sorgo!$E36:$Z36,MIN(AV$6-$E$3,22))),0))-IF($G$2,0,IF((AV$6-$G$3)&lt;1,0,IFERROR(LOOKUP(2,1/(Sorgo!$E36:INDEX(Sorgo!$E36:$Z36,MIN(AV$6-$G$3,22))&lt;&gt;""),Sorgo!$E36:INDEX(Sorgo!$E36:$Z36,MIN(AV$6-$G$3,22))),0)))))</f>
        <v>0</v>
      </c>
      <c r="AW38" s="27" t="n">
        <f aca="false">IF(COUNT(Sorgo!$E36:$Z36)=0,0,MAX(0,IF((AW$6-$E$3)&lt;1,0,IFERROR(LOOKUP(2,1/(Sorgo!$E36:INDEX(Sorgo!$E36:$Z36,MIN(AW$6-$E$3,22))&lt;&gt;""),Sorgo!$E36:INDEX(Sorgo!$E36:$Z36,MIN(AW$6-$E$3,22))),0))-IF($G$2,0,IF((AW$6-$G$3)&lt;1,0,IFERROR(LOOKUP(2,1/(Sorgo!$E36:INDEX(Sorgo!$E36:$Z36,MIN(AW$6-$G$3,22))&lt;&gt;""),Sorgo!$E36:INDEX(Sorgo!$E36:$Z36,MIN(AW$6-$G$3,22))),0)))))</f>
        <v>0</v>
      </c>
      <c r="AX38" s="27" t="n">
        <f aca="false">IF(COUNT(Sorgo!$E36:$Z36)=0,0,MAX(0,IF((AX$6-$E$3)&lt;1,0,IFERROR(LOOKUP(2,1/(Sorgo!$E36:INDEX(Sorgo!$E36:$Z36,MIN(AX$6-$E$3,22))&lt;&gt;""),Sorgo!$E36:INDEX(Sorgo!$E36:$Z36,MIN(AX$6-$E$3,22))),0))-IF($G$2,0,IF((AX$6-$G$3)&lt;1,0,IFERROR(LOOKUP(2,1/(Sorgo!$E36:INDEX(Sorgo!$E36:$Z36,MIN(AX$6-$G$3,22))&lt;&gt;""),Sorgo!$E36:INDEX(Sorgo!$E36:$Z36,MIN(AX$6-$G$3,22))),0)))))</f>
        <v>0</v>
      </c>
      <c r="AY38" s="27" t="n">
        <f aca="false">IF(COUNT(Sorgo!$E36:$Z36)=0,0,MAX(0,IF((AY$6-$E$3)&lt;1,0,IFERROR(LOOKUP(2,1/(Sorgo!$E36:INDEX(Sorgo!$E36:$Z36,MIN(AY$6-$E$3,22))&lt;&gt;""),Sorgo!$E36:INDEX(Sorgo!$E36:$Z36,MIN(AY$6-$E$3,22))),0))-IF($G$2,0,IF((AY$6-$G$3)&lt;1,0,IFERROR(LOOKUP(2,1/(Sorgo!$E36:INDEX(Sorgo!$E36:$Z36,MIN(AY$6-$G$3,22))&lt;&gt;""),Sorgo!$E36:INDEX(Sorgo!$E36:$Z36,MIN(AY$6-$G$3,22))),0)))))</f>
        <v>0</v>
      </c>
      <c r="AZ38" s="27" t="n">
        <f aca="false">IF(COUNT(Sorgo!$E36:$Z36)=0,0,MAX(0,IF((AZ$6-$E$3)&lt;1,0,IFERROR(LOOKUP(2,1/(Sorgo!$E36:INDEX(Sorgo!$E36:$Z36,MIN(AZ$6-$E$3,22))&lt;&gt;""),Sorgo!$E36:INDEX(Sorgo!$E36:$Z36,MIN(AZ$6-$E$3,22))),0))-IF($G$2,0,IF((AZ$6-$G$3)&lt;1,0,IFERROR(LOOKUP(2,1/(Sorgo!$E36:INDEX(Sorgo!$E36:$Z36,MIN(AZ$6-$G$3,22))&lt;&gt;""),Sorgo!$E36:INDEX(Sorgo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IF(COUNT(Sorgo!$E37:$Z37)&gt;0,N(Sorgo!$D37),0)</f>
        <v>0</v>
      </c>
      <c r="E39" s="27" t="n">
        <f aca="false">IF(COUNT(Sorgo!$E37:$Z37)=0,0,MAX(0,IF((E$6-$E$3)&lt;1,0,IFERROR(LOOKUP(2,1/(Sorgo!$E37:INDEX(Sorgo!$E37:$Z37,MIN(E$6-$E$3,22))&lt;&gt;""),Sorgo!$E37:INDEX(Sorgo!$E37:$Z37,MIN(E$6-$E$3,22))),0))-IF($G$2,0,IF((E$6-$G$3)&lt;1,0,IFERROR(LOOKUP(2,1/(Sorgo!$E37:INDEX(Sorgo!$E37:$Z37,MIN(E$6-$G$3,22))&lt;&gt;""),Sorgo!$E37:INDEX(Sorgo!$E37:$Z37,MIN(E$6-$G$3,22))),0)))))</f>
        <v>0</v>
      </c>
      <c r="F39" s="27" t="n">
        <f aca="false">IF(COUNT(Sorgo!$E37:$Z37)=0,0,MAX(0,IF((F$6-$E$3)&lt;1,0,IFERROR(LOOKUP(2,1/(Sorgo!$E37:INDEX(Sorgo!$E37:$Z37,MIN(F$6-$E$3,22))&lt;&gt;""),Sorgo!$E37:INDEX(Sorgo!$E37:$Z37,MIN(F$6-$E$3,22))),0))-IF($G$2,0,IF((F$6-$G$3)&lt;1,0,IFERROR(LOOKUP(2,1/(Sorgo!$E37:INDEX(Sorgo!$E37:$Z37,MIN(F$6-$G$3,22))&lt;&gt;""),Sorgo!$E37:INDEX(Sorgo!$E37:$Z37,MIN(F$6-$G$3,22))),0)))))</f>
        <v>0</v>
      </c>
      <c r="G39" s="27" t="n">
        <f aca="false">IF(COUNT(Sorgo!$E37:$Z37)=0,0,MAX(0,IF((G$6-$E$3)&lt;1,0,IFERROR(LOOKUP(2,1/(Sorgo!$E37:INDEX(Sorgo!$E37:$Z37,MIN(G$6-$E$3,22))&lt;&gt;""),Sorgo!$E37:INDEX(Sorgo!$E37:$Z37,MIN(G$6-$E$3,22))),0))-IF($G$2,0,IF((G$6-$G$3)&lt;1,0,IFERROR(LOOKUP(2,1/(Sorgo!$E37:INDEX(Sorgo!$E37:$Z37,MIN(G$6-$G$3,22))&lt;&gt;""),Sorgo!$E37:INDEX(Sorgo!$E37:$Z37,MIN(G$6-$G$3,22))),0)))))</f>
        <v>0</v>
      </c>
      <c r="H39" s="27" t="n">
        <f aca="false">IF(COUNT(Sorgo!$E37:$Z37)=0,0,MAX(0,IF((H$6-$E$3)&lt;1,0,IFERROR(LOOKUP(2,1/(Sorgo!$E37:INDEX(Sorgo!$E37:$Z37,MIN(H$6-$E$3,22))&lt;&gt;""),Sorgo!$E37:INDEX(Sorgo!$E37:$Z37,MIN(H$6-$E$3,22))),0))-IF($G$2,0,IF((H$6-$G$3)&lt;1,0,IFERROR(LOOKUP(2,1/(Sorgo!$E37:INDEX(Sorgo!$E37:$Z37,MIN(H$6-$G$3,22))&lt;&gt;""),Sorgo!$E37:INDEX(Sorgo!$E37:$Z37,MIN(H$6-$G$3,22))),0)))))</f>
        <v>0</v>
      </c>
      <c r="I39" s="27" t="n">
        <f aca="false">IF(COUNT(Sorgo!$E37:$Z37)=0,0,MAX(0,IF((I$6-$E$3)&lt;1,0,IFERROR(LOOKUP(2,1/(Sorgo!$E37:INDEX(Sorgo!$E37:$Z37,MIN(I$6-$E$3,22))&lt;&gt;""),Sorgo!$E37:INDEX(Sorgo!$E37:$Z37,MIN(I$6-$E$3,22))),0))-IF($G$2,0,IF((I$6-$G$3)&lt;1,0,IFERROR(LOOKUP(2,1/(Sorgo!$E37:INDEX(Sorgo!$E37:$Z37,MIN(I$6-$G$3,22))&lt;&gt;""),Sorgo!$E37:INDEX(Sorgo!$E37:$Z37,MIN(I$6-$G$3,22))),0)))))</f>
        <v>0</v>
      </c>
      <c r="J39" s="27" t="n">
        <f aca="false">IF(COUNT(Sorgo!$E37:$Z37)=0,0,MAX(0,IF((J$6-$E$3)&lt;1,0,IFERROR(LOOKUP(2,1/(Sorgo!$E37:INDEX(Sorgo!$E37:$Z37,MIN(J$6-$E$3,22))&lt;&gt;""),Sorgo!$E37:INDEX(Sorgo!$E37:$Z37,MIN(J$6-$E$3,22))),0))-IF($G$2,0,IF((J$6-$G$3)&lt;1,0,IFERROR(LOOKUP(2,1/(Sorgo!$E37:INDEX(Sorgo!$E37:$Z37,MIN(J$6-$G$3,22))&lt;&gt;""),Sorgo!$E37:INDEX(Sorgo!$E37:$Z37,MIN(J$6-$G$3,22))),0)))))</f>
        <v>0</v>
      </c>
      <c r="K39" s="27" t="n">
        <f aca="false">IF(COUNT(Sorgo!$E37:$Z37)=0,0,MAX(0,IF((K$6-$E$3)&lt;1,0,IFERROR(LOOKUP(2,1/(Sorgo!$E37:INDEX(Sorgo!$E37:$Z37,MIN(K$6-$E$3,22))&lt;&gt;""),Sorgo!$E37:INDEX(Sorgo!$E37:$Z37,MIN(K$6-$E$3,22))),0))-IF($G$2,0,IF((K$6-$G$3)&lt;1,0,IFERROR(LOOKUP(2,1/(Sorgo!$E37:INDEX(Sorgo!$E37:$Z37,MIN(K$6-$G$3,22))&lt;&gt;""),Sorgo!$E37:INDEX(Sorgo!$E37:$Z37,MIN(K$6-$G$3,22))),0)))))</f>
        <v>0</v>
      </c>
      <c r="L39" s="27" t="n">
        <f aca="false">IF(COUNT(Sorgo!$E37:$Z37)=0,0,MAX(0,IF((L$6-$E$3)&lt;1,0,IFERROR(LOOKUP(2,1/(Sorgo!$E37:INDEX(Sorgo!$E37:$Z37,MIN(L$6-$E$3,22))&lt;&gt;""),Sorgo!$E37:INDEX(Sorgo!$E37:$Z37,MIN(L$6-$E$3,22))),0))-IF($G$2,0,IF((L$6-$G$3)&lt;1,0,IFERROR(LOOKUP(2,1/(Sorgo!$E37:INDEX(Sorgo!$E37:$Z37,MIN(L$6-$G$3,22))&lt;&gt;""),Sorgo!$E37:INDEX(Sorgo!$E37:$Z37,MIN(L$6-$G$3,22))),0)))))</f>
        <v>0</v>
      </c>
      <c r="M39" s="27" t="n">
        <f aca="false">IF(COUNT(Sorgo!$E37:$Z37)=0,0,MAX(0,IF((M$6-$E$3)&lt;1,0,IFERROR(LOOKUP(2,1/(Sorgo!$E37:INDEX(Sorgo!$E37:$Z37,MIN(M$6-$E$3,22))&lt;&gt;""),Sorgo!$E37:INDEX(Sorgo!$E37:$Z37,MIN(M$6-$E$3,22))),0))-IF($G$2,0,IF((M$6-$G$3)&lt;1,0,IFERROR(LOOKUP(2,1/(Sorgo!$E37:INDEX(Sorgo!$E37:$Z37,MIN(M$6-$G$3,22))&lt;&gt;""),Sorgo!$E37:INDEX(Sorgo!$E37:$Z37,MIN(M$6-$G$3,22))),0)))))</f>
        <v>0</v>
      </c>
      <c r="N39" s="27" t="n">
        <f aca="false">IF(COUNT(Sorgo!$E37:$Z37)=0,0,MAX(0,IF((N$6-$E$3)&lt;1,0,IFERROR(LOOKUP(2,1/(Sorgo!$E37:INDEX(Sorgo!$E37:$Z37,MIN(N$6-$E$3,22))&lt;&gt;""),Sorgo!$E37:INDEX(Sorgo!$E37:$Z37,MIN(N$6-$E$3,22))),0))-IF($G$2,0,IF((N$6-$G$3)&lt;1,0,IFERROR(LOOKUP(2,1/(Sorgo!$E37:INDEX(Sorgo!$E37:$Z37,MIN(N$6-$G$3,22))&lt;&gt;""),Sorgo!$E37:INDEX(Sorgo!$E37:$Z37,MIN(N$6-$G$3,22))),0)))))</f>
        <v>0</v>
      </c>
      <c r="O39" s="27" t="n">
        <f aca="false">IF(COUNT(Sorgo!$E37:$Z37)=0,0,MAX(0,IF((O$6-$E$3)&lt;1,0,IFERROR(LOOKUP(2,1/(Sorgo!$E37:INDEX(Sorgo!$E37:$Z37,MIN(O$6-$E$3,22))&lt;&gt;""),Sorgo!$E37:INDEX(Sorgo!$E37:$Z37,MIN(O$6-$E$3,22))),0))-IF($G$2,0,IF((O$6-$G$3)&lt;1,0,IFERROR(LOOKUP(2,1/(Sorgo!$E37:INDEX(Sorgo!$E37:$Z37,MIN(O$6-$G$3,22))&lt;&gt;""),Sorgo!$E37:INDEX(Sorgo!$E37:$Z37,MIN(O$6-$G$3,22))),0)))))</f>
        <v>0</v>
      </c>
      <c r="P39" s="27" t="n">
        <f aca="false">IF(COUNT(Sorgo!$E37:$Z37)=0,0,MAX(0,IF((P$6-$E$3)&lt;1,0,IFERROR(LOOKUP(2,1/(Sorgo!$E37:INDEX(Sorgo!$E37:$Z37,MIN(P$6-$E$3,22))&lt;&gt;""),Sorgo!$E37:INDEX(Sorgo!$E37:$Z37,MIN(P$6-$E$3,22))),0))-IF($G$2,0,IF((P$6-$G$3)&lt;1,0,IFERROR(LOOKUP(2,1/(Sorgo!$E37:INDEX(Sorgo!$E37:$Z37,MIN(P$6-$G$3,22))&lt;&gt;""),Sorgo!$E37:INDEX(Sorgo!$E37:$Z37,MIN(P$6-$G$3,22))),0)))))</f>
        <v>0</v>
      </c>
      <c r="Q39" s="27" t="n">
        <f aca="false">IF(COUNT(Sorgo!$E37:$Z37)=0,0,MAX(0,IF((Q$6-$E$3)&lt;1,0,IFERROR(LOOKUP(2,1/(Sorgo!$E37:INDEX(Sorgo!$E37:$Z37,MIN(Q$6-$E$3,22))&lt;&gt;""),Sorgo!$E37:INDEX(Sorgo!$E37:$Z37,MIN(Q$6-$E$3,22))),0))-IF($G$2,0,IF((Q$6-$G$3)&lt;1,0,IFERROR(LOOKUP(2,1/(Sorgo!$E37:INDEX(Sorgo!$E37:$Z37,MIN(Q$6-$G$3,22))&lt;&gt;""),Sorgo!$E37:INDEX(Sorgo!$E37:$Z37,MIN(Q$6-$G$3,22))),0)))))</f>
        <v>0</v>
      </c>
      <c r="R39" s="27" t="n">
        <f aca="false">IF(COUNT(Sorgo!$E37:$Z37)=0,0,MAX(0,IF((R$6-$E$3)&lt;1,0,IFERROR(LOOKUP(2,1/(Sorgo!$E37:INDEX(Sorgo!$E37:$Z37,MIN(R$6-$E$3,22))&lt;&gt;""),Sorgo!$E37:INDEX(Sorgo!$E37:$Z37,MIN(R$6-$E$3,22))),0))-IF($G$2,0,IF((R$6-$G$3)&lt;1,0,IFERROR(LOOKUP(2,1/(Sorgo!$E37:INDEX(Sorgo!$E37:$Z37,MIN(R$6-$G$3,22))&lt;&gt;""),Sorgo!$E37:INDEX(Sorgo!$E37:$Z37,MIN(R$6-$G$3,22))),0)))))</f>
        <v>0</v>
      </c>
      <c r="S39" s="27" t="n">
        <f aca="false">IF(COUNT(Sorgo!$E37:$Z37)=0,0,MAX(0,IF((S$6-$E$3)&lt;1,0,IFERROR(LOOKUP(2,1/(Sorgo!$E37:INDEX(Sorgo!$E37:$Z37,MIN(S$6-$E$3,22))&lt;&gt;""),Sorgo!$E37:INDEX(Sorgo!$E37:$Z37,MIN(S$6-$E$3,22))),0))-IF($G$2,0,IF((S$6-$G$3)&lt;1,0,IFERROR(LOOKUP(2,1/(Sorgo!$E37:INDEX(Sorgo!$E37:$Z37,MIN(S$6-$G$3,22))&lt;&gt;""),Sorgo!$E37:INDEX(Sorgo!$E37:$Z37,MIN(S$6-$G$3,22))),0)))))</f>
        <v>0</v>
      </c>
      <c r="T39" s="27" t="n">
        <f aca="false">IF(COUNT(Sorgo!$E37:$Z37)=0,0,MAX(0,IF((T$6-$E$3)&lt;1,0,IFERROR(LOOKUP(2,1/(Sorgo!$E37:INDEX(Sorgo!$E37:$Z37,MIN(T$6-$E$3,22))&lt;&gt;""),Sorgo!$E37:INDEX(Sorgo!$E37:$Z37,MIN(T$6-$E$3,22))),0))-IF($G$2,0,IF((T$6-$G$3)&lt;1,0,IFERROR(LOOKUP(2,1/(Sorgo!$E37:INDEX(Sorgo!$E37:$Z37,MIN(T$6-$G$3,22))&lt;&gt;""),Sorgo!$E37:INDEX(Sorgo!$E37:$Z37,MIN(T$6-$G$3,22))),0)))))</f>
        <v>0</v>
      </c>
      <c r="U39" s="27" t="n">
        <f aca="false">IF(COUNT(Sorgo!$E37:$Z37)=0,0,MAX(0,IF((U$6-$E$3)&lt;1,0,IFERROR(LOOKUP(2,1/(Sorgo!$E37:INDEX(Sorgo!$E37:$Z37,MIN(U$6-$E$3,22))&lt;&gt;""),Sorgo!$E37:INDEX(Sorgo!$E37:$Z37,MIN(U$6-$E$3,22))),0))-IF($G$2,0,IF((U$6-$G$3)&lt;1,0,IFERROR(LOOKUP(2,1/(Sorgo!$E37:INDEX(Sorgo!$E37:$Z37,MIN(U$6-$G$3,22))&lt;&gt;""),Sorgo!$E37:INDEX(Sorgo!$E37:$Z37,MIN(U$6-$G$3,22))),0)))))</f>
        <v>0</v>
      </c>
      <c r="V39" s="27" t="n">
        <f aca="false">IF(COUNT(Sorgo!$E37:$Z37)=0,0,MAX(0,IF((V$6-$E$3)&lt;1,0,IFERROR(LOOKUP(2,1/(Sorgo!$E37:INDEX(Sorgo!$E37:$Z37,MIN(V$6-$E$3,22))&lt;&gt;""),Sorgo!$E37:INDEX(Sorgo!$E37:$Z37,MIN(V$6-$E$3,22))),0))-IF($G$2,0,IF((V$6-$G$3)&lt;1,0,IFERROR(LOOKUP(2,1/(Sorgo!$E37:INDEX(Sorgo!$E37:$Z37,MIN(V$6-$G$3,22))&lt;&gt;""),Sorgo!$E37:INDEX(Sorgo!$E37:$Z37,MIN(V$6-$G$3,22))),0)))))</f>
        <v>0</v>
      </c>
      <c r="W39" s="27" t="n">
        <f aca="false">IF(COUNT(Sorgo!$E37:$Z37)=0,0,MAX(0,IF((W$6-$E$3)&lt;1,0,IFERROR(LOOKUP(2,1/(Sorgo!$E37:INDEX(Sorgo!$E37:$Z37,MIN(W$6-$E$3,22))&lt;&gt;""),Sorgo!$E37:INDEX(Sorgo!$E37:$Z37,MIN(W$6-$E$3,22))),0))-IF($G$2,0,IF((W$6-$G$3)&lt;1,0,IFERROR(LOOKUP(2,1/(Sorgo!$E37:INDEX(Sorgo!$E37:$Z37,MIN(W$6-$G$3,22))&lt;&gt;""),Sorgo!$E37:INDEX(Sorgo!$E37:$Z37,MIN(W$6-$G$3,22))),0)))))</f>
        <v>0</v>
      </c>
      <c r="X39" s="27" t="n">
        <f aca="false">IF(COUNT(Sorgo!$E37:$Z37)=0,0,MAX(0,IF((X$6-$E$3)&lt;1,0,IFERROR(LOOKUP(2,1/(Sorgo!$E37:INDEX(Sorgo!$E37:$Z37,MIN(X$6-$E$3,22))&lt;&gt;""),Sorgo!$E37:INDEX(Sorgo!$E37:$Z37,MIN(X$6-$E$3,22))),0))-IF($G$2,0,IF((X$6-$G$3)&lt;1,0,IFERROR(LOOKUP(2,1/(Sorgo!$E37:INDEX(Sorgo!$E37:$Z37,MIN(X$6-$G$3,22))&lt;&gt;""),Sorgo!$E37:INDEX(Sorgo!$E37:$Z37,MIN(X$6-$G$3,22))),0)))))</f>
        <v>0</v>
      </c>
      <c r="Y39" s="27" t="n">
        <f aca="false">IF(COUNT(Sorgo!$E37:$Z37)=0,0,MAX(0,IF((Y$6-$E$3)&lt;1,0,IFERROR(LOOKUP(2,1/(Sorgo!$E37:INDEX(Sorgo!$E37:$Z37,MIN(Y$6-$E$3,22))&lt;&gt;""),Sorgo!$E37:INDEX(Sorgo!$E37:$Z37,MIN(Y$6-$E$3,22))),0))-IF($G$2,0,IF((Y$6-$G$3)&lt;1,0,IFERROR(LOOKUP(2,1/(Sorgo!$E37:INDEX(Sorgo!$E37:$Z37,MIN(Y$6-$G$3,22))&lt;&gt;""),Sorgo!$E37:INDEX(Sorgo!$E37:$Z37,MIN(Y$6-$G$3,22))),0)))))</f>
        <v>0</v>
      </c>
      <c r="Z39" s="27" t="n">
        <f aca="false">IF(COUNT(Sorgo!$E37:$Z37)=0,0,MAX(0,IF((Z$6-$E$3)&lt;1,0,IFERROR(LOOKUP(2,1/(Sorgo!$E37:INDEX(Sorgo!$E37:$Z37,MIN(Z$6-$E$3,22))&lt;&gt;""),Sorgo!$E37:INDEX(Sorgo!$E37:$Z37,MIN(Z$6-$E$3,22))),0))-IF($G$2,0,IF((Z$6-$G$3)&lt;1,0,IFERROR(LOOKUP(2,1/(Sorgo!$E37:INDEX(Sorgo!$E37:$Z37,MIN(Z$6-$G$3,22))&lt;&gt;""),Sorgo!$E37:INDEX(Sorgo!$E37:$Z37,MIN(Z$6-$G$3,22))),0)))))</f>
        <v>0</v>
      </c>
      <c r="AA39" s="27" t="n">
        <f aca="false">IF(COUNT(Sorgo!$E37:$Z37)=0,0,MAX(0,IF((AA$6-$E$3)&lt;1,0,IFERROR(LOOKUP(2,1/(Sorgo!$E37:INDEX(Sorgo!$E37:$Z37,MIN(AA$6-$E$3,22))&lt;&gt;""),Sorgo!$E37:INDEX(Sorgo!$E37:$Z37,MIN(AA$6-$E$3,22))),0))-IF($G$2,0,IF((AA$6-$G$3)&lt;1,0,IFERROR(LOOKUP(2,1/(Sorgo!$E37:INDEX(Sorgo!$E37:$Z37,MIN(AA$6-$G$3,22))&lt;&gt;""),Sorgo!$E37:INDEX(Sorgo!$E37:$Z37,MIN(AA$6-$G$3,22))),0)))))</f>
        <v>0</v>
      </c>
      <c r="AB39" s="27" t="n">
        <f aca="false">IF(COUNT(Sorgo!$E37:$Z37)=0,0,MAX(0,IF((AB$6-$E$3)&lt;1,0,IFERROR(LOOKUP(2,1/(Sorgo!$E37:INDEX(Sorgo!$E37:$Z37,MIN(AB$6-$E$3,22))&lt;&gt;""),Sorgo!$E37:INDEX(Sorgo!$E37:$Z37,MIN(AB$6-$E$3,22))),0))-IF($G$2,0,IF((AB$6-$G$3)&lt;1,0,IFERROR(LOOKUP(2,1/(Sorgo!$E37:INDEX(Sorgo!$E37:$Z37,MIN(AB$6-$G$3,22))&lt;&gt;""),Sorgo!$E37:INDEX(Sorgo!$E37:$Z37,MIN(AB$6-$G$3,22))),0)))))</f>
        <v>0</v>
      </c>
      <c r="AC39" s="27" t="n">
        <f aca="false">IF(COUNT(Sorgo!$E37:$Z37)=0,0,MAX(0,IF((AC$6-$E$3)&lt;1,0,IFERROR(LOOKUP(2,1/(Sorgo!$E37:INDEX(Sorgo!$E37:$Z37,MIN(AC$6-$E$3,22))&lt;&gt;""),Sorgo!$E37:INDEX(Sorgo!$E37:$Z37,MIN(AC$6-$E$3,22))),0))-IF($G$2,0,IF((AC$6-$G$3)&lt;1,0,IFERROR(LOOKUP(2,1/(Sorgo!$E37:INDEX(Sorgo!$E37:$Z37,MIN(AC$6-$G$3,22))&lt;&gt;""),Sorgo!$E37:INDEX(Sorgo!$E37:$Z37,MIN(AC$6-$G$3,22))),0)))))</f>
        <v>0</v>
      </c>
      <c r="AD39" s="27" t="n">
        <f aca="false">IF(COUNT(Sorgo!$E37:$Z37)=0,0,MAX(0,IF((AD$6-$E$3)&lt;1,0,IFERROR(LOOKUP(2,1/(Sorgo!$E37:INDEX(Sorgo!$E37:$Z37,MIN(AD$6-$E$3,22))&lt;&gt;""),Sorgo!$E37:INDEX(Sorgo!$E37:$Z37,MIN(AD$6-$E$3,22))),0))-IF($G$2,0,IF((AD$6-$G$3)&lt;1,0,IFERROR(LOOKUP(2,1/(Sorgo!$E37:INDEX(Sorgo!$E37:$Z37,MIN(AD$6-$G$3,22))&lt;&gt;""),Sorgo!$E37:INDEX(Sorgo!$E37:$Z37,MIN(AD$6-$G$3,22))),0)))))</f>
        <v>0</v>
      </c>
      <c r="AE39" s="27" t="n">
        <f aca="false">IF(COUNT(Sorgo!$E37:$Z37)=0,0,MAX(0,IF((AE$6-$E$3)&lt;1,0,IFERROR(LOOKUP(2,1/(Sorgo!$E37:INDEX(Sorgo!$E37:$Z37,MIN(AE$6-$E$3,22))&lt;&gt;""),Sorgo!$E37:INDEX(Sorgo!$E37:$Z37,MIN(AE$6-$E$3,22))),0))-IF($G$2,0,IF((AE$6-$G$3)&lt;1,0,IFERROR(LOOKUP(2,1/(Sorgo!$E37:INDEX(Sorgo!$E37:$Z37,MIN(AE$6-$G$3,22))&lt;&gt;""),Sorgo!$E37:INDEX(Sorgo!$E37:$Z37,MIN(AE$6-$G$3,22))),0)))))</f>
        <v>0</v>
      </c>
      <c r="AF39" s="27" t="n">
        <f aca="false">IF(COUNT(Sorgo!$E37:$Z37)=0,0,MAX(0,IF((AF$6-$E$3)&lt;1,0,IFERROR(LOOKUP(2,1/(Sorgo!$E37:INDEX(Sorgo!$E37:$Z37,MIN(AF$6-$E$3,22))&lt;&gt;""),Sorgo!$E37:INDEX(Sorgo!$E37:$Z37,MIN(AF$6-$E$3,22))),0))-IF($G$2,0,IF((AF$6-$G$3)&lt;1,0,IFERROR(LOOKUP(2,1/(Sorgo!$E37:INDEX(Sorgo!$E37:$Z37,MIN(AF$6-$G$3,22))&lt;&gt;""),Sorgo!$E37:INDEX(Sorgo!$E37:$Z37,MIN(AF$6-$G$3,22))),0)))))</f>
        <v>0</v>
      </c>
      <c r="AG39" s="27" t="n">
        <f aca="false">IF(COUNT(Sorgo!$E37:$Z37)=0,0,MAX(0,IF((AG$6-$E$3)&lt;1,0,IFERROR(LOOKUP(2,1/(Sorgo!$E37:INDEX(Sorgo!$E37:$Z37,MIN(AG$6-$E$3,22))&lt;&gt;""),Sorgo!$E37:INDEX(Sorgo!$E37:$Z37,MIN(AG$6-$E$3,22))),0))-IF($G$2,0,IF((AG$6-$G$3)&lt;1,0,IFERROR(LOOKUP(2,1/(Sorgo!$E37:INDEX(Sorgo!$E37:$Z37,MIN(AG$6-$G$3,22))&lt;&gt;""),Sorgo!$E37:INDEX(Sorgo!$E37:$Z37,MIN(AG$6-$G$3,22))),0)))))</f>
        <v>0</v>
      </c>
      <c r="AH39" s="27" t="n">
        <f aca="false">IF(COUNT(Sorgo!$E37:$Z37)=0,0,MAX(0,IF((AH$6-$E$3)&lt;1,0,IFERROR(LOOKUP(2,1/(Sorgo!$E37:INDEX(Sorgo!$E37:$Z37,MIN(AH$6-$E$3,22))&lt;&gt;""),Sorgo!$E37:INDEX(Sorgo!$E37:$Z37,MIN(AH$6-$E$3,22))),0))-IF($G$2,0,IF((AH$6-$G$3)&lt;1,0,IFERROR(LOOKUP(2,1/(Sorgo!$E37:INDEX(Sorgo!$E37:$Z37,MIN(AH$6-$G$3,22))&lt;&gt;""),Sorgo!$E37:INDEX(Sorgo!$E37:$Z37,MIN(AH$6-$G$3,22))),0)))))</f>
        <v>0</v>
      </c>
      <c r="AI39" s="27" t="n">
        <f aca="false">IF(COUNT(Sorgo!$E37:$Z37)=0,0,MAX(0,IF((AI$6-$E$3)&lt;1,0,IFERROR(LOOKUP(2,1/(Sorgo!$E37:INDEX(Sorgo!$E37:$Z37,MIN(AI$6-$E$3,22))&lt;&gt;""),Sorgo!$E37:INDEX(Sorgo!$E37:$Z37,MIN(AI$6-$E$3,22))),0))-IF($G$2,0,IF((AI$6-$G$3)&lt;1,0,IFERROR(LOOKUP(2,1/(Sorgo!$E37:INDEX(Sorgo!$E37:$Z37,MIN(AI$6-$G$3,22))&lt;&gt;""),Sorgo!$E37:INDEX(Sorgo!$E37:$Z37,MIN(AI$6-$G$3,22))),0)))))</f>
        <v>0</v>
      </c>
      <c r="AJ39" s="27" t="n">
        <f aca="false">IF(COUNT(Sorgo!$E37:$Z37)=0,0,MAX(0,IF((AJ$6-$E$3)&lt;1,0,IFERROR(LOOKUP(2,1/(Sorgo!$E37:INDEX(Sorgo!$E37:$Z37,MIN(AJ$6-$E$3,22))&lt;&gt;""),Sorgo!$E37:INDEX(Sorgo!$E37:$Z37,MIN(AJ$6-$E$3,22))),0))-IF($G$2,0,IF((AJ$6-$G$3)&lt;1,0,IFERROR(LOOKUP(2,1/(Sorgo!$E37:INDEX(Sorgo!$E37:$Z37,MIN(AJ$6-$G$3,22))&lt;&gt;""),Sorgo!$E37:INDEX(Sorgo!$E37:$Z37,MIN(AJ$6-$G$3,22))),0)))))</f>
        <v>0</v>
      </c>
      <c r="AK39" s="27" t="n">
        <f aca="false">IF(COUNT(Sorgo!$E37:$Z37)=0,0,MAX(0,IF((AK$6-$E$3)&lt;1,0,IFERROR(LOOKUP(2,1/(Sorgo!$E37:INDEX(Sorgo!$E37:$Z37,MIN(AK$6-$E$3,22))&lt;&gt;""),Sorgo!$E37:INDEX(Sorgo!$E37:$Z37,MIN(AK$6-$E$3,22))),0))-IF($G$2,0,IF((AK$6-$G$3)&lt;1,0,IFERROR(LOOKUP(2,1/(Sorgo!$E37:INDEX(Sorgo!$E37:$Z37,MIN(AK$6-$G$3,22))&lt;&gt;""),Sorgo!$E37:INDEX(Sorgo!$E37:$Z37,MIN(AK$6-$G$3,22))),0)))))</f>
        <v>0</v>
      </c>
      <c r="AL39" s="27" t="n">
        <f aca="false">IF(COUNT(Sorgo!$E37:$Z37)=0,0,MAX(0,IF((AL$6-$E$3)&lt;1,0,IFERROR(LOOKUP(2,1/(Sorgo!$E37:INDEX(Sorgo!$E37:$Z37,MIN(AL$6-$E$3,22))&lt;&gt;""),Sorgo!$E37:INDEX(Sorgo!$E37:$Z37,MIN(AL$6-$E$3,22))),0))-IF($G$2,0,IF((AL$6-$G$3)&lt;1,0,IFERROR(LOOKUP(2,1/(Sorgo!$E37:INDEX(Sorgo!$E37:$Z37,MIN(AL$6-$G$3,22))&lt;&gt;""),Sorgo!$E37:INDEX(Sorgo!$E37:$Z37,MIN(AL$6-$G$3,22))),0)))))</f>
        <v>0</v>
      </c>
      <c r="AM39" s="27" t="n">
        <f aca="false">IF(COUNT(Sorgo!$E37:$Z37)=0,0,MAX(0,IF((AM$6-$E$3)&lt;1,0,IFERROR(LOOKUP(2,1/(Sorgo!$E37:INDEX(Sorgo!$E37:$Z37,MIN(AM$6-$E$3,22))&lt;&gt;""),Sorgo!$E37:INDEX(Sorgo!$E37:$Z37,MIN(AM$6-$E$3,22))),0))-IF($G$2,0,IF((AM$6-$G$3)&lt;1,0,IFERROR(LOOKUP(2,1/(Sorgo!$E37:INDEX(Sorgo!$E37:$Z37,MIN(AM$6-$G$3,22))&lt;&gt;""),Sorgo!$E37:INDEX(Sorgo!$E37:$Z37,MIN(AM$6-$G$3,22))),0)))))</f>
        <v>0</v>
      </c>
      <c r="AN39" s="27" t="n">
        <f aca="false">IF(COUNT(Sorgo!$E37:$Z37)=0,0,MAX(0,IF((AN$6-$E$3)&lt;1,0,IFERROR(LOOKUP(2,1/(Sorgo!$E37:INDEX(Sorgo!$E37:$Z37,MIN(AN$6-$E$3,22))&lt;&gt;""),Sorgo!$E37:INDEX(Sorgo!$E37:$Z37,MIN(AN$6-$E$3,22))),0))-IF($G$2,0,IF((AN$6-$G$3)&lt;1,0,IFERROR(LOOKUP(2,1/(Sorgo!$E37:INDEX(Sorgo!$E37:$Z37,MIN(AN$6-$G$3,22))&lt;&gt;""),Sorgo!$E37:INDEX(Sorgo!$E37:$Z37,MIN(AN$6-$G$3,22))),0)))))</f>
        <v>0</v>
      </c>
      <c r="AO39" s="27" t="n">
        <f aca="false">IF(COUNT(Sorgo!$E37:$Z37)=0,0,MAX(0,IF((AO$6-$E$3)&lt;1,0,IFERROR(LOOKUP(2,1/(Sorgo!$E37:INDEX(Sorgo!$E37:$Z37,MIN(AO$6-$E$3,22))&lt;&gt;""),Sorgo!$E37:INDEX(Sorgo!$E37:$Z37,MIN(AO$6-$E$3,22))),0))-IF($G$2,0,IF((AO$6-$G$3)&lt;1,0,IFERROR(LOOKUP(2,1/(Sorgo!$E37:INDEX(Sorgo!$E37:$Z37,MIN(AO$6-$G$3,22))&lt;&gt;""),Sorgo!$E37:INDEX(Sorgo!$E37:$Z37,MIN(AO$6-$G$3,22))),0)))))</f>
        <v>0</v>
      </c>
      <c r="AP39" s="27" t="n">
        <f aca="false">IF(COUNT(Sorgo!$E37:$Z37)=0,0,MAX(0,IF((AP$6-$E$3)&lt;1,0,IFERROR(LOOKUP(2,1/(Sorgo!$E37:INDEX(Sorgo!$E37:$Z37,MIN(AP$6-$E$3,22))&lt;&gt;""),Sorgo!$E37:INDEX(Sorgo!$E37:$Z37,MIN(AP$6-$E$3,22))),0))-IF($G$2,0,IF((AP$6-$G$3)&lt;1,0,IFERROR(LOOKUP(2,1/(Sorgo!$E37:INDEX(Sorgo!$E37:$Z37,MIN(AP$6-$G$3,22))&lt;&gt;""),Sorgo!$E37:INDEX(Sorgo!$E37:$Z37,MIN(AP$6-$G$3,22))),0)))))</f>
        <v>0</v>
      </c>
      <c r="AQ39" s="27" t="n">
        <f aca="false">IF(COUNT(Sorgo!$E37:$Z37)=0,0,MAX(0,IF((AQ$6-$E$3)&lt;1,0,IFERROR(LOOKUP(2,1/(Sorgo!$E37:INDEX(Sorgo!$E37:$Z37,MIN(AQ$6-$E$3,22))&lt;&gt;""),Sorgo!$E37:INDEX(Sorgo!$E37:$Z37,MIN(AQ$6-$E$3,22))),0))-IF($G$2,0,IF((AQ$6-$G$3)&lt;1,0,IFERROR(LOOKUP(2,1/(Sorgo!$E37:INDEX(Sorgo!$E37:$Z37,MIN(AQ$6-$G$3,22))&lt;&gt;""),Sorgo!$E37:INDEX(Sorgo!$E37:$Z37,MIN(AQ$6-$G$3,22))),0)))))</f>
        <v>0</v>
      </c>
      <c r="AR39" s="27" t="n">
        <f aca="false">IF(COUNT(Sorgo!$E37:$Z37)=0,0,MAX(0,IF((AR$6-$E$3)&lt;1,0,IFERROR(LOOKUP(2,1/(Sorgo!$E37:INDEX(Sorgo!$E37:$Z37,MIN(AR$6-$E$3,22))&lt;&gt;""),Sorgo!$E37:INDEX(Sorgo!$E37:$Z37,MIN(AR$6-$E$3,22))),0))-IF($G$2,0,IF((AR$6-$G$3)&lt;1,0,IFERROR(LOOKUP(2,1/(Sorgo!$E37:INDEX(Sorgo!$E37:$Z37,MIN(AR$6-$G$3,22))&lt;&gt;""),Sorgo!$E37:INDEX(Sorgo!$E37:$Z37,MIN(AR$6-$G$3,22))),0)))))</f>
        <v>0</v>
      </c>
      <c r="AS39" s="27" t="n">
        <f aca="false">IF(COUNT(Sorgo!$E37:$Z37)=0,0,MAX(0,IF((AS$6-$E$3)&lt;1,0,IFERROR(LOOKUP(2,1/(Sorgo!$E37:INDEX(Sorgo!$E37:$Z37,MIN(AS$6-$E$3,22))&lt;&gt;""),Sorgo!$E37:INDEX(Sorgo!$E37:$Z37,MIN(AS$6-$E$3,22))),0))-IF($G$2,0,IF((AS$6-$G$3)&lt;1,0,IFERROR(LOOKUP(2,1/(Sorgo!$E37:INDEX(Sorgo!$E37:$Z37,MIN(AS$6-$G$3,22))&lt;&gt;""),Sorgo!$E37:INDEX(Sorgo!$E37:$Z37,MIN(AS$6-$G$3,22))),0)))))</f>
        <v>0</v>
      </c>
      <c r="AT39" s="27" t="n">
        <f aca="false">IF(COUNT(Sorgo!$E37:$Z37)=0,0,MAX(0,IF((AT$6-$E$3)&lt;1,0,IFERROR(LOOKUP(2,1/(Sorgo!$E37:INDEX(Sorgo!$E37:$Z37,MIN(AT$6-$E$3,22))&lt;&gt;""),Sorgo!$E37:INDEX(Sorgo!$E37:$Z37,MIN(AT$6-$E$3,22))),0))-IF($G$2,0,IF((AT$6-$G$3)&lt;1,0,IFERROR(LOOKUP(2,1/(Sorgo!$E37:INDEX(Sorgo!$E37:$Z37,MIN(AT$6-$G$3,22))&lt;&gt;""),Sorgo!$E37:INDEX(Sorgo!$E37:$Z37,MIN(AT$6-$G$3,22))),0)))))</f>
        <v>0</v>
      </c>
      <c r="AU39" s="27" t="n">
        <f aca="false">IF(COUNT(Sorgo!$E37:$Z37)=0,0,MAX(0,IF((AU$6-$E$3)&lt;1,0,IFERROR(LOOKUP(2,1/(Sorgo!$E37:INDEX(Sorgo!$E37:$Z37,MIN(AU$6-$E$3,22))&lt;&gt;""),Sorgo!$E37:INDEX(Sorgo!$E37:$Z37,MIN(AU$6-$E$3,22))),0))-IF($G$2,0,IF((AU$6-$G$3)&lt;1,0,IFERROR(LOOKUP(2,1/(Sorgo!$E37:INDEX(Sorgo!$E37:$Z37,MIN(AU$6-$G$3,22))&lt;&gt;""),Sorgo!$E37:INDEX(Sorgo!$E37:$Z37,MIN(AU$6-$G$3,22))),0)))))</f>
        <v>0</v>
      </c>
      <c r="AV39" s="27" t="n">
        <f aca="false">IF(COUNT(Sorgo!$E37:$Z37)=0,0,MAX(0,IF((AV$6-$E$3)&lt;1,0,IFERROR(LOOKUP(2,1/(Sorgo!$E37:INDEX(Sorgo!$E37:$Z37,MIN(AV$6-$E$3,22))&lt;&gt;""),Sorgo!$E37:INDEX(Sorgo!$E37:$Z37,MIN(AV$6-$E$3,22))),0))-IF($G$2,0,IF((AV$6-$G$3)&lt;1,0,IFERROR(LOOKUP(2,1/(Sorgo!$E37:INDEX(Sorgo!$E37:$Z37,MIN(AV$6-$G$3,22))&lt;&gt;""),Sorgo!$E37:INDEX(Sorgo!$E37:$Z37,MIN(AV$6-$G$3,22))),0)))))</f>
        <v>0</v>
      </c>
      <c r="AW39" s="27" t="n">
        <f aca="false">IF(COUNT(Sorgo!$E37:$Z37)=0,0,MAX(0,IF((AW$6-$E$3)&lt;1,0,IFERROR(LOOKUP(2,1/(Sorgo!$E37:INDEX(Sorgo!$E37:$Z37,MIN(AW$6-$E$3,22))&lt;&gt;""),Sorgo!$E37:INDEX(Sorgo!$E37:$Z37,MIN(AW$6-$E$3,22))),0))-IF($G$2,0,IF((AW$6-$G$3)&lt;1,0,IFERROR(LOOKUP(2,1/(Sorgo!$E37:INDEX(Sorgo!$E37:$Z37,MIN(AW$6-$G$3,22))&lt;&gt;""),Sorgo!$E37:INDEX(Sorgo!$E37:$Z37,MIN(AW$6-$G$3,22))),0)))))</f>
        <v>0</v>
      </c>
      <c r="AX39" s="27" t="n">
        <f aca="false">IF(COUNT(Sorgo!$E37:$Z37)=0,0,MAX(0,IF((AX$6-$E$3)&lt;1,0,IFERROR(LOOKUP(2,1/(Sorgo!$E37:INDEX(Sorgo!$E37:$Z37,MIN(AX$6-$E$3,22))&lt;&gt;""),Sorgo!$E37:INDEX(Sorgo!$E37:$Z37,MIN(AX$6-$E$3,22))),0))-IF($G$2,0,IF((AX$6-$G$3)&lt;1,0,IFERROR(LOOKUP(2,1/(Sorgo!$E37:INDEX(Sorgo!$E37:$Z37,MIN(AX$6-$G$3,22))&lt;&gt;""),Sorgo!$E37:INDEX(Sorgo!$E37:$Z37,MIN(AX$6-$G$3,22))),0)))))</f>
        <v>0</v>
      </c>
      <c r="AY39" s="27" t="n">
        <f aca="false">IF(COUNT(Sorgo!$E37:$Z37)=0,0,MAX(0,IF((AY$6-$E$3)&lt;1,0,IFERROR(LOOKUP(2,1/(Sorgo!$E37:INDEX(Sorgo!$E37:$Z37,MIN(AY$6-$E$3,22))&lt;&gt;""),Sorgo!$E37:INDEX(Sorgo!$E37:$Z37,MIN(AY$6-$E$3,22))),0))-IF($G$2,0,IF((AY$6-$G$3)&lt;1,0,IFERROR(LOOKUP(2,1/(Sorgo!$E37:INDEX(Sorgo!$E37:$Z37,MIN(AY$6-$G$3,22))&lt;&gt;""),Sorgo!$E37:INDEX(Sorgo!$E37:$Z37,MIN(AY$6-$G$3,22))),0)))))</f>
        <v>0</v>
      </c>
      <c r="AZ39" s="27" t="n">
        <f aca="false">IF(COUNT(Sorgo!$E37:$Z37)=0,0,MAX(0,IF((AZ$6-$E$3)&lt;1,0,IFERROR(LOOKUP(2,1/(Sorgo!$E37:INDEX(Sorgo!$E37:$Z37,MIN(AZ$6-$E$3,22))&lt;&gt;""),Sorgo!$E37:INDEX(Sorgo!$E37:$Z37,MIN(AZ$6-$E$3,22))),0))-IF($G$2,0,IF((AZ$6-$G$3)&lt;1,0,IFERROR(LOOKUP(2,1/(Sorgo!$E37:INDEX(Sorgo!$E37:$Z37,MIN(AZ$6-$G$3,22))&lt;&gt;""),Sorgo!$E37:INDEX(Sorgo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IF(COUNT(Sorgo!$E38:$Z38)&gt;0,N(Sorgo!$D38),0)</f>
        <v>0</v>
      </c>
      <c r="E40" s="27" t="n">
        <f aca="false">IF(COUNT(Sorgo!$E38:$Z38)=0,0,MAX(0,IF((E$6-$E$3)&lt;1,0,IFERROR(LOOKUP(2,1/(Sorgo!$E38:INDEX(Sorgo!$E38:$Z38,MIN(E$6-$E$3,22))&lt;&gt;""),Sorgo!$E38:INDEX(Sorgo!$E38:$Z38,MIN(E$6-$E$3,22))),0))-IF($G$2,0,IF((E$6-$G$3)&lt;1,0,IFERROR(LOOKUP(2,1/(Sorgo!$E38:INDEX(Sorgo!$E38:$Z38,MIN(E$6-$G$3,22))&lt;&gt;""),Sorgo!$E38:INDEX(Sorgo!$E38:$Z38,MIN(E$6-$G$3,22))),0)))))</f>
        <v>0</v>
      </c>
      <c r="F40" s="27" t="n">
        <f aca="false">IF(COUNT(Sorgo!$E38:$Z38)=0,0,MAX(0,IF((F$6-$E$3)&lt;1,0,IFERROR(LOOKUP(2,1/(Sorgo!$E38:INDEX(Sorgo!$E38:$Z38,MIN(F$6-$E$3,22))&lt;&gt;""),Sorgo!$E38:INDEX(Sorgo!$E38:$Z38,MIN(F$6-$E$3,22))),0))-IF($G$2,0,IF((F$6-$G$3)&lt;1,0,IFERROR(LOOKUP(2,1/(Sorgo!$E38:INDEX(Sorgo!$E38:$Z38,MIN(F$6-$G$3,22))&lt;&gt;""),Sorgo!$E38:INDEX(Sorgo!$E38:$Z38,MIN(F$6-$G$3,22))),0)))))</f>
        <v>0</v>
      </c>
      <c r="G40" s="27" t="n">
        <f aca="false">IF(COUNT(Sorgo!$E38:$Z38)=0,0,MAX(0,IF((G$6-$E$3)&lt;1,0,IFERROR(LOOKUP(2,1/(Sorgo!$E38:INDEX(Sorgo!$E38:$Z38,MIN(G$6-$E$3,22))&lt;&gt;""),Sorgo!$E38:INDEX(Sorgo!$E38:$Z38,MIN(G$6-$E$3,22))),0))-IF($G$2,0,IF((G$6-$G$3)&lt;1,0,IFERROR(LOOKUP(2,1/(Sorgo!$E38:INDEX(Sorgo!$E38:$Z38,MIN(G$6-$G$3,22))&lt;&gt;""),Sorgo!$E38:INDEX(Sorgo!$E38:$Z38,MIN(G$6-$G$3,22))),0)))))</f>
        <v>0</v>
      </c>
      <c r="H40" s="27" t="n">
        <f aca="false">IF(COUNT(Sorgo!$E38:$Z38)=0,0,MAX(0,IF((H$6-$E$3)&lt;1,0,IFERROR(LOOKUP(2,1/(Sorgo!$E38:INDEX(Sorgo!$E38:$Z38,MIN(H$6-$E$3,22))&lt;&gt;""),Sorgo!$E38:INDEX(Sorgo!$E38:$Z38,MIN(H$6-$E$3,22))),0))-IF($G$2,0,IF((H$6-$G$3)&lt;1,0,IFERROR(LOOKUP(2,1/(Sorgo!$E38:INDEX(Sorgo!$E38:$Z38,MIN(H$6-$G$3,22))&lt;&gt;""),Sorgo!$E38:INDEX(Sorgo!$E38:$Z38,MIN(H$6-$G$3,22))),0)))))</f>
        <v>0</v>
      </c>
      <c r="I40" s="27" t="n">
        <f aca="false">IF(COUNT(Sorgo!$E38:$Z38)=0,0,MAX(0,IF((I$6-$E$3)&lt;1,0,IFERROR(LOOKUP(2,1/(Sorgo!$E38:INDEX(Sorgo!$E38:$Z38,MIN(I$6-$E$3,22))&lt;&gt;""),Sorgo!$E38:INDEX(Sorgo!$E38:$Z38,MIN(I$6-$E$3,22))),0))-IF($G$2,0,IF((I$6-$G$3)&lt;1,0,IFERROR(LOOKUP(2,1/(Sorgo!$E38:INDEX(Sorgo!$E38:$Z38,MIN(I$6-$G$3,22))&lt;&gt;""),Sorgo!$E38:INDEX(Sorgo!$E38:$Z38,MIN(I$6-$G$3,22))),0)))))</f>
        <v>0</v>
      </c>
      <c r="J40" s="27" t="n">
        <f aca="false">IF(COUNT(Sorgo!$E38:$Z38)=0,0,MAX(0,IF((J$6-$E$3)&lt;1,0,IFERROR(LOOKUP(2,1/(Sorgo!$E38:INDEX(Sorgo!$E38:$Z38,MIN(J$6-$E$3,22))&lt;&gt;""),Sorgo!$E38:INDEX(Sorgo!$E38:$Z38,MIN(J$6-$E$3,22))),0))-IF($G$2,0,IF((J$6-$G$3)&lt;1,0,IFERROR(LOOKUP(2,1/(Sorgo!$E38:INDEX(Sorgo!$E38:$Z38,MIN(J$6-$G$3,22))&lt;&gt;""),Sorgo!$E38:INDEX(Sorgo!$E38:$Z38,MIN(J$6-$G$3,22))),0)))))</f>
        <v>0</v>
      </c>
      <c r="K40" s="27" t="n">
        <f aca="false">IF(COUNT(Sorgo!$E38:$Z38)=0,0,MAX(0,IF((K$6-$E$3)&lt;1,0,IFERROR(LOOKUP(2,1/(Sorgo!$E38:INDEX(Sorgo!$E38:$Z38,MIN(K$6-$E$3,22))&lt;&gt;""),Sorgo!$E38:INDEX(Sorgo!$E38:$Z38,MIN(K$6-$E$3,22))),0))-IF($G$2,0,IF((K$6-$G$3)&lt;1,0,IFERROR(LOOKUP(2,1/(Sorgo!$E38:INDEX(Sorgo!$E38:$Z38,MIN(K$6-$G$3,22))&lt;&gt;""),Sorgo!$E38:INDEX(Sorgo!$E38:$Z38,MIN(K$6-$G$3,22))),0)))))</f>
        <v>0</v>
      </c>
      <c r="L40" s="27" t="n">
        <f aca="false">IF(COUNT(Sorgo!$E38:$Z38)=0,0,MAX(0,IF((L$6-$E$3)&lt;1,0,IFERROR(LOOKUP(2,1/(Sorgo!$E38:INDEX(Sorgo!$E38:$Z38,MIN(L$6-$E$3,22))&lt;&gt;""),Sorgo!$E38:INDEX(Sorgo!$E38:$Z38,MIN(L$6-$E$3,22))),0))-IF($G$2,0,IF((L$6-$G$3)&lt;1,0,IFERROR(LOOKUP(2,1/(Sorgo!$E38:INDEX(Sorgo!$E38:$Z38,MIN(L$6-$G$3,22))&lt;&gt;""),Sorgo!$E38:INDEX(Sorgo!$E38:$Z38,MIN(L$6-$G$3,22))),0)))))</f>
        <v>0</v>
      </c>
      <c r="M40" s="27" t="n">
        <f aca="false">IF(COUNT(Sorgo!$E38:$Z38)=0,0,MAX(0,IF((M$6-$E$3)&lt;1,0,IFERROR(LOOKUP(2,1/(Sorgo!$E38:INDEX(Sorgo!$E38:$Z38,MIN(M$6-$E$3,22))&lt;&gt;""),Sorgo!$E38:INDEX(Sorgo!$E38:$Z38,MIN(M$6-$E$3,22))),0))-IF($G$2,0,IF((M$6-$G$3)&lt;1,0,IFERROR(LOOKUP(2,1/(Sorgo!$E38:INDEX(Sorgo!$E38:$Z38,MIN(M$6-$G$3,22))&lt;&gt;""),Sorgo!$E38:INDEX(Sorgo!$E38:$Z38,MIN(M$6-$G$3,22))),0)))))</f>
        <v>0</v>
      </c>
      <c r="N40" s="27" t="n">
        <f aca="false">IF(COUNT(Sorgo!$E38:$Z38)=0,0,MAX(0,IF((N$6-$E$3)&lt;1,0,IFERROR(LOOKUP(2,1/(Sorgo!$E38:INDEX(Sorgo!$E38:$Z38,MIN(N$6-$E$3,22))&lt;&gt;""),Sorgo!$E38:INDEX(Sorgo!$E38:$Z38,MIN(N$6-$E$3,22))),0))-IF($G$2,0,IF((N$6-$G$3)&lt;1,0,IFERROR(LOOKUP(2,1/(Sorgo!$E38:INDEX(Sorgo!$E38:$Z38,MIN(N$6-$G$3,22))&lt;&gt;""),Sorgo!$E38:INDEX(Sorgo!$E38:$Z38,MIN(N$6-$G$3,22))),0)))))</f>
        <v>0</v>
      </c>
      <c r="O40" s="27" t="n">
        <f aca="false">IF(COUNT(Sorgo!$E38:$Z38)=0,0,MAX(0,IF((O$6-$E$3)&lt;1,0,IFERROR(LOOKUP(2,1/(Sorgo!$E38:INDEX(Sorgo!$E38:$Z38,MIN(O$6-$E$3,22))&lt;&gt;""),Sorgo!$E38:INDEX(Sorgo!$E38:$Z38,MIN(O$6-$E$3,22))),0))-IF($G$2,0,IF((O$6-$G$3)&lt;1,0,IFERROR(LOOKUP(2,1/(Sorgo!$E38:INDEX(Sorgo!$E38:$Z38,MIN(O$6-$G$3,22))&lt;&gt;""),Sorgo!$E38:INDEX(Sorgo!$E38:$Z38,MIN(O$6-$G$3,22))),0)))))</f>
        <v>0</v>
      </c>
      <c r="P40" s="27" t="n">
        <f aca="false">IF(COUNT(Sorgo!$E38:$Z38)=0,0,MAX(0,IF((P$6-$E$3)&lt;1,0,IFERROR(LOOKUP(2,1/(Sorgo!$E38:INDEX(Sorgo!$E38:$Z38,MIN(P$6-$E$3,22))&lt;&gt;""),Sorgo!$E38:INDEX(Sorgo!$E38:$Z38,MIN(P$6-$E$3,22))),0))-IF($G$2,0,IF((P$6-$G$3)&lt;1,0,IFERROR(LOOKUP(2,1/(Sorgo!$E38:INDEX(Sorgo!$E38:$Z38,MIN(P$6-$G$3,22))&lt;&gt;""),Sorgo!$E38:INDEX(Sorgo!$E38:$Z38,MIN(P$6-$G$3,22))),0)))))</f>
        <v>0</v>
      </c>
      <c r="Q40" s="27" t="n">
        <f aca="false">IF(COUNT(Sorgo!$E38:$Z38)=0,0,MAX(0,IF((Q$6-$E$3)&lt;1,0,IFERROR(LOOKUP(2,1/(Sorgo!$E38:INDEX(Sorgo!$E38:$Z38,MIN(Q$6-$E$3,22))&lt;&gt;""),Sorgo!$E38:INDEX(Sorgo!$E38:$Z38,MIN(Q$6-$E$3,22))),0))-IF($G$2,0,IF((Q$6-$G$3)&lt;1,0,IFERROR(LOOKUP(2,1/(Sorgo!$E38:INDEX(Sorgo!$E38:$Z38,MIN(Q$6-$G$3,22))&lt;&gt;""),Sorgo!$E38:INDEX(Sorgo!$E38:$Z38,MIN(Q$6-$G$3,22))),0)))))</f>
        <v>0</v>
      </c>
      <c r="R40" s="27" t="n">
        <f aca="false">IF(COUNT(Sorgo!$E38:$Z38)=0,0,MAX(0,IF((R$6-$E$3)&lt;1,0,IFERROR(LOOKUP(2,1/(Sorgo!$E38:INDEX(Sorgo!$E38:$Z38,MIN(R$6-$E$3,22))&lt;&gt;""),Sorgo!$E38:INDEX(Sorgo!$E38:$Z38,MIN(R$6-$E$3,22))),0))-IF($G$2,0,IF((R$6-$G$3)&lt;1,0,IFERROR(LOOKUP(2,1/(Sorgo!$E38:INDEX(Sorgo!$E38:$Z38,MIN(R$6-$G$3,22))&lt;&gt;""),Sorgo!$E38:INDEX(Sorgo!$E38:$Z38,MIN(R$6-$G$3,22))),0)))))</f>
        <v>0</v>
      </c>
      <c r="S40" s="27" t="n">
        <f aca="false">IF(COUNT(Sorgo!$E38:$Z38)=0,0,MAX(0,IF((S$6-$E$3)&lt;1,0,IFERROR(LOOKUP(2,1/(Sorgo!$E38:INDEX(Sorgo!$E38:$Z38,MIN(S$6-$E$3,22))&lt;&gt;""),Sorgo!$E38:INDEX(Sorgo!$E38:$Z38,MIN(S$6-$E$3,22))),0))-IF($G$2,0,IF((S$6-$G$3)&lt;1,0,IFERROR(LOOKUP(2,1/(Sorgo!$E38:INDEX(Sorgo!$E38:$Z38,MIN(S$6-$G$3,22))&lt;&gt;""),Sorgo!$E38:INDEX(Sorgo!$E38:$Z38,MIN(S$6-$G$3,22))),0)))))</f>
        <v>0</v>
      </c>
      <c r="T40" s="27" t="n">
        <f aca="false">IF(COUNT(Sorgo!$E38:$Z38)=0,0,MAX(0,IF((T$6-$E$3)&lt;1,0,IFERROR(LOOKUP(2,1/(Sorgo!$E38:INDEX(Sorgo!$E38:$Z38,MIN(T$6-$E$3,22))&lt;&gt;""),Sorgo!$E38:INDEX(Sorgo!$E38:$Z38,MIN(T$6-$E$3,22))),0))-IF($G$2,0,IF((T$6-$G$3)&lt;1,0,IFERROR(LOOKUP(2,1/(Sorgo!$E38:INDEX(Sorgo!$E38:$Z38,MIN(T$6-$G$3,22))&lt;&gt;""),Sorgo!$E38:INDEX(Sorgo!$E38:$Z38,MIN(T$6-$G$3,22))),0)))))</f>
        <v>0</v>
      </c>
      <c r="U40" s="27" t="n">
        <f aca="false">IF(COUNT(Sorgo!$E38:$Z38)=0,0,MAX(0,IF((U$6-$E$3)&lt;1,0,IFERROR(LOOKUP(2,1/(Sorgo!$E38:INDEX(Sorgo!$E38:$Z38,MIN(U$6-$E$3,22))&lt;&gt;""),Sorgo!$E38:INDEX(Sorgo!$E38:$Z38,MIN(U$6-$E$3,22))),0))-IF($G$2,0,IF((U$6-$G$3)&lt;1,0,IFERROR(LOOKUP(2,1/(Sorgo!$E38:INDEX(Sorgo!$E38:$Z38,MIN(U$6-$G$3,22))&lt;&gt;""),Sorgo!$E38:INDEX(Sorgo!$E38:$Z38,MIN(U$6-$G$3,22))),0)))))</f>
        <v>0</v>
      </c>
      <c r="V40" s="27" t="n">
        <f aca="false">IF(COUNT(Sorgo!$E38:$Z38)=0,0,MAX(0,IF((V$6-$E$3)&lt;1,0,IFERROR(LOOKUP(2,1/(Sorgo!$E38:INDEX(Sorgo!$E38:$Z38,MIN(V$6-$E$3,22))&lt;&gt;""),Sorgo!$E38:INDEX(Sorgo!$E38:$Z38,MIN(V$6-$E$3,22))),0))-IF($G$2,0,IF((V$6-$G$3)&lt;1,0,IFERROR(LOOKUP(2,1/(Sorgo!$E38:INDEX(Sorgo!$E38:$Z38,MIN(V$6-$G$3,22))&lt;&gt;""),Sorgo!$E38:INDEX(Sorgo!$E38:$Z38,MIN(V$6-$G$3,22))),0)))))</f>
        <v>0</v>
      </c>
      <c r="W40" s="27" t="n">
        <f aca="false">IF(COUNT(Sorgo!$E38:$Z38)=0,0,MAX(0,IF((W$6-$E$3)&lt;1,0,IFERROR(LOOKUP(2,1/(Sorgo!$E38:INDEX(Sorgo!$E38:$Z38,MIN(W$6-$E$3,22))&lt;&gt;""),Sorgo!$E38:INDEX(Sorgo!$E38:$Z38,MIN(W$6-$E$3,22))),0))-IF($G$2,0,IF((W$6-$G$3)&lt;1,0,IFERROR(LOOKUP(2,1/(Sorgo!$E38:INDEX(Sorgo!$E38:$Z38,MIN(W$6-$G$3,22))&lt;&gt;""),Sorgo!$E38:INDEX(Sorgo!$E38:$Z38,MIN(W$6-$G$3,22))),0)))))</f>
        <v>0</v>
      </c>
      <c r="X40" s="27" t="n">
        <f aca="false">IF(COUNT(Sorgo!$E38:$Z38)=0,0,MAX(0,IF((X$6-$E$3)&lt;1,0,IFERROR(LOOKUP(2,1/(Sorgo!$E38:INDEX(Sorgo!$E38:$Z38,MIN(X$6-$E$3,22))&lt;&gt;""),Sorgo!$E38:INDEX(Sorgo!$E38:$Z38,MIN(X$6-$E$3,22))),0))-IF($G$2,0,IF((X$6-$G$3)&lt;1,0,IFERROR(LOOKUP(2,1/(Sorgo!$E38:INDEX(Sorgo!$E38:$Z38,MIN(X$6-$G$3,22))&lt;&gt;""),Sorgo!$E38:INDEX(Sorgo!$E38:$Z38,MIN(X$6-$G$3,22))),0)))))</f>
        <v>0</v>
      </c>
      <c r="Y40" s="27" t="n">
        <f aca="false">IF(COUNT(Sorgo!$E38:$Z38)=0,0,MAX(0,IF((Y$6-$E$3)&lt;1,0,IFERROR(LOOKUP(2,1/(Sorgo!$E38:INDEX(Sorgo!$E38:$Z38,MIN(Y$6-$E$3,22))&lt;&gt;""),Sorgo!$E38:INDEX(Sorgo!$E38:$Z38,MIN(Y$6-$E$3,22))),0))-IF($G$2,0,IF((Y$6-$G$3)&lt;1,0,IFERROR(LOOKUP(2,1/(Sorgo!$E38:INDEX(Sorgo!$E38:$Z38,MIN(Y$6-$G$3,22))&lt;&gt;""),Sorgo!$E38:INDEX(Sorgo!$E38:$Z38,MIN(Y$6-$G$3,22))),0)))))</f>
        <v>0</v>
      </c>
      <c r="Z40" s="27" t="n">
        <f aca="false">IF(COUNT(Sorgo!$E38:$Z38)=0,0,MAX(0,IF((Z$6-$E$3)&lt;1,0,IFERROR(LOOKUP(2,1/(Sorgo!$E38:INDEX(Sorgo!$E38:$Z38,MIN(Z$6-$E$3,22))&lt;&gt;""),Sorgo!$E38:INDEX(Sorgo!$E38:$Z38,MIN(Z$6-$E$3,22))),0))-IF($G$2,0,IF((Z$6-$G$3)&lt;1,0,IFERROR(LOOKUP(2,1/(Sorgo!$E38:INDEX(Sorgo!$E38:$Z38,MIN(Z$6-$G$3,22))&lt;&gt;""),Sorgo!$E38:INDEX(Sorgo!$E38:$Z38,MIN(Z$6-$G$3,22))),0)))))</f>
        <v>0</v>
      </c>
      <c r="AA40" s="27" t="n">
        <f aca="false">IF(COUNT(Sorgo!$E38:$Z38)=0,0,MAX(0,IF((AA$6-$E$3)&lt;1,0,IFERROR(LOOKUP(2,1/(Sorgo!$E38:INDEX(Sorgo!$E38:$Z38,MIN(AA$6-$E$3,22))&lt;&gt;""),Sorgo!$E38:INDEX(Sorgo!$E38:$Z38,MIN(AA$6-$E$3,22))),0))-IF($G$2,0,IF((AA$6-$G$3)&lt;1,0,IFERROR(LOOKUP(2,1/(Sorgo!$E38:INDEX(Sorgo!$E38:$Z38,MIN(AA$6-$G$3,22))&lt;&gt;""),Sorgo!$E38:INDEX(Sorgo!$E38:$Z38,MIN(AA$6-$G$3,22))),0)))))</f>
        <v>0</v>
      </c>
      <c r="AB40" s="27" t="n">
        <f aca="false">IF(COUNT(Sorgo!$E38:$Z38)=0,0,MAX(0,IF((AB$6-$E$3)&lt;1,0,IFERROR(LOOKUP(2,1/(Sorgo!$E38:INDEX(Sorgo!$E38:$Z38,MIN(AB$6-$E$3,22))&lt;&gt;""),Sorgo!$E38:INDEX(Sorgo!$E38:$Z38,MIN(AB$6-$E$3,22))),0))-IF($G$2,0,IF((AB$6-$G$3)&lt;1,0,IFERROR(LOOKUP(2,1/(Sorgo!$E38:INDEX(Sorgo!$E38:$Z38,MIN(AB$6-$G$3,22))&lt;&gt;""),Sorgo!$E38:INDEX(Sorgo!$E38:$Z38,MIN(AB$6-$G$3,22))),0)))))</f>
        <v>0</v>
      </c>
      <c r="AC40" s="27" t="n">
        <f aca="false">IF(COUNT(Sorgo!$E38:$Z38)=0,0,MAX(0,IF((AC$6-$E$3)&lt;1,0,IFERROR(LOOKUP(2,1/(Sorgo!$E38:INDEX(Sorgo!$E38:$Z38,MIN(AC$6-$E$3,22))&lt;&gt;""),Sorgo!$E38:INDEX(Sorgo!$E38:$Z38,MIN(AC$6-$E$3,22))),0))-IF($G$2,0,IF((AC$6-$G$3)&lt;1,0,IFERROR(LOOKUP(2,1/(Sorgo!$E38:INDEX(Sorgo!$E38:$Z38,MIN(AC$6-$G$3,22))&lt;&gt;""),Sorgo!$E38:INDEX(Sorgo!$E38:$Z38,MIN(AC$6-$G$3,22))),0)))))</f>
        <v>0</v>
      </c>
      <c r="AD40" s="27" t="n">
        <f aca="false">IF(COUNT(Sorgo!$E38:$Z38)=0,0,MAX(0,IF((AD$6-$E$3)&lt;1,0,IFERROR(LOOKUP(2,1/(Sorgo!$E38:INDEX(Sorgo!$E38:$Z38,MIN(AD$6-$E$3,22))&lt;&gt;""),Sorgo!$E38:INDEX(Sorgo!$E38:$Z38,MIN(AD$6-$E$3,22))),0))-IF($G$2,0,IF((AD$6-$G$3)&lt;1,0,IFERROR(LOOKUP(2,1/(Sorgo!$E38:INDEX(Sorgo!$E38:$Z38,MIN(AD$6-$G$3,22))&lt;&gt;""),Sorgo!$E38:INDEX(Sorgo!$E38:$Z38,MIN(AD$6-$G$3,22))),0)))))</f>
        <v>0</v>
      </c>
      <c r="AE40" s="27" t="n">
        <f aca="false">IF(COUNT(Sorgo!$E38:$Z38)=0,0,MAX(0,IF((AE$6-$E$3)&lt;1,0,IFERROR(LOOKUP(2,1/(Sorgo!$E38:INDEX(Sorgo!$E38:$Z38,MIN(AE$6-$E$3,22))&lt;&gt;""),Sorgo!$E38:INDEX(Sorgo!$E38:$Z38,MIN(AE$6-$E$3,22))),0))-IF($G$2,0,IF((AE$6-$G$3)&lt;1,0,IFERROR(LOOKUP(2,1/(Sorgo!$E38:INDEX(Sorgo!$E38:$Z38,MIN(AE$6-$G$3,22))&lt;&gt;""),Sorgo!$E38:INDEX(Sorgo!$E38:$Z38,MIN(AE$6-$G$3,22))),0)))))</f>
        <v>0</v>
      </c>
      <c r="AF40" s="27" t="n">
        <f aca="false">IF(COUNT(Sorgo!$E38:$Z38)=0,0,MAX(0,IF((AF$6-$E$3)&lt;1,0,IFERROR(LOOKUP(2,1/(Sorgo!$E38:INDEX(Sorgo!$E38:$Z38,MIN(AF$6-$E$3,22))&lt;&gt;""),Sorgo!$E38:INDEX(Sorgo!$E38:$Z38,MIN(AF$6-$E$3,22))),0))-IF($G$2,0,IF((AF$6-$G$3)&lt;1,0,IFERROR(LOOKUP(2,1/(Sorgo!$E38:INDEX(Sorgo!$E38:$Z38,MIN(AF$6-$G$3,22))&lt;&gt;""),Sorgo!$E38:INDEX(Sorgo!$E38:$Z38,MIN(AF$6-$G$3,22))),0)))))</f>
        <v>0</v>
      </c>
      <c r="AG40" s="27" t="n">
        <f aca="false">IF(COUNT(Sorgo!$E38:$Z38)=0,0,MAX(0,IF((AG$6-$E$3)&lt;1,0,IFERROR(LOOKUP(2,1/(Sorgo!$E38:INDEX(Sorgo!$E38:$Z38,MIN(AG$6-$E$3,22))&lt;&gt;""),Sorgo!$E38:INDEX(Sorgo!$E38:$Z38,MIN(AG$6-$E$3,22))),0))-IF($G$2,0,IF((AG$6-$G$3)&lt;1,0,IFERROR(LOOKUP(2,1/(Sorgo!$E38:INDEX(Sorgo!$E38:$Z38,MIN(AG$6-$G$3,22))&lt;&gt;""),Sorgo!$E38:INDEX(Sorgo!$E38:$Z38,MIN(AG$6-$G$3,22))),0)))))</f>
        <v>0</v>
      </c>
      <c r="AH40" s="27" t="n">
        <f aca="false">IF(COUNT(Sorgo!$E38:$Z38)=0,0,MAX(0,IF((AH$6-$E$3)&lt;1,0,IFERROR(LOOKUP(2,1/(Sorgo!$E38:INDEX(Sorgo!$E38:$Z38,MIN(AH$6-$E$3,22))&lt;&gt;""),Sorgo!$E38:INDEX(Sorgo!$E38:$Z38,MIN(AH$6-$E$3,22))),0))-IF($G$2,0,IF((AH$6-$G$3)&lt;1,0,IFERROR(LOOKUP(2,1/(Sorgo!$E38:INDEX(Sorgo!$E38:$Z38,MIN(AH$6-$G$3,22))&lt;&gt;""),Sorgo!$E38:INDEX(Sorgo!$E38:$Z38,MIN(AH$6-$G$3,22))),0)))))</f>
        <v>0</v>
      </c>
      <c r="AI40" s="27" t="n">
        <f aca="false">IF(COUNT(Sorgo!$E38:$Z38)=0,0,MAX(0,IF((AI$6-$E$3)&lt;1,0,IFERROR(LOOKUP(2,1/(Sorgo!$E38:INDEX(Sorgo!$E38:$Z38,MIN(AI$6-$E$3,22))&lt;&gt;""),Sorgo!$E38:INDEX(Sorgo!$E38:$Z38,MIN(AI$6-$E$3,22))),0))-IF($G$2,0,IF((AI$6-$G$3)&lt;1,0,IFERROR(LOOKUP(2,1/(Sorgo!$E38:INDEX(Sorgo!$E38:$Z38,MIN(AI$6-$G$3,22))&lt;&gt;""),Sorgo!$E38:INDEX(Sorgo!$E38:$Z38,MIN(AI$6-$G$3,22))),0)))))</f>
        <v>0</v>
      </c>
      <c r="AJ40" s="27" t="n">
        <f aca="false">IF(COUNT(Sorgo!$E38:$Z38)=0,0,MAX(0,IF((AJ$6-$E$3)&lt;1,0,IFERROR(LOOKUP(2,1/(Sorgo!$E38:INDEX(Sorgo!$E38:$Z38,MIN(AJ$6-$E$3,22))&lt;&gt;""),Sorgo!$E38:INDEX(Sorgo!$E38:$Z38,MIN(AJ$6-$E$3,22))),0))-IF($G$2,0,IF((AJ$6-$G$3)&lt;1,0,IFERROR(LOOKUP(2,1/(Sorgo!$E38:INDEX(Sorgo!$E38:$Z38,MIN(AJ$6-$G$3,22))&lt;&gt;""),Sorgo!$E38:INDEX(Sorgo!$E38:$Z38,MIN(AJ$6-$G$3,22))),0)))))</f>
        <v>0</v>
      </c>
      <c r="AK40" s="27" t="n">
        <f aca="false">IF(COUNT(Sorgo!$E38:$Z38)=0,0,MAX(0,IF((AK$6-$E$3)&lt;1,0,IFERROR(LOOKUP(2,1/(Sorgo!$E38:INDEX(Sorgo!$E38:$Z38,MIN(AK$6-$E$3,22))&lt;&gt;""),Sorgo!$E38:INDEX(Sorgo!$E38:$Z38,MIN(AK$6-$E$3,22))),0))-IF($G$2,0,IF((AK$6-$G$3)&lt;1,0,IFERROR(LOOKUP(2,1/(Sorgo!$E38:INDEX(Sorgo!$E38:$Z38,MIN(AK$6-$G$3,22))&lt;&gt;""),Sorgo!$E38:INDEX(Sorgo!$E38:$Z38,MIN(AK$6-$G$3,22))),0)))))</f>
        <v>0</v>
      </c>
      <c r="AL40" s="27" t="n">
        <f aca="false">IF(COUNT(Sorgo!$E38:$Z38)=0,0,MAX(0,IF((AL$6-$E$3)&lt;1,0,IFERROR(LOOKUP(2,1/(Sorgo!$E38:INDEX(Sorgo!$E38:$Z38,MIN(AL$6-$E$3,22))&lt;&gt;""),Sorgo!$E38:INDEX(Sorgo!$E38:$Z38,MIN(AL$6-$E$3,22))),0))-IF($G$2,0,IF((AL$6-$G$3)&lt;1,0,IFERROR(LOOKUP(2,1/(Sorgo!$E38:INDEX(Sorgo!$E38:$Z38,MIN(AL$6-$G$3,22))&lt;&gt;""),Sorgo!$E38:INDEX(Sorgo!$E38:$Z38,MIN(AL$6-$G$3,22))),0)))))</f>
        <v>0</v>
      </c>
      <c r="AM40" s="27" t="n">
        <f aca="false">IF(COUNT(Sorgo!$E38:$Z38)=0,0,MAX(0,IF((AM$6-$E$3)&lt;1,0,IFERROR(LOOKUP(2,1/(Sorgo!$E38:INDEX(Sorgo!$E38:$Z38,MIN(AM$6-$E$3,22))&lt;&gt;""),Sorgo!$E38:INDEX(Sorgo!$E38:$Z38,MIN(AM$6-$E$3,22))),0))-IF($G$2,0,IF((AM$6-$G$3)&lt;1,0,IFERROR(LOOKUP(2,1/(Sorgo!$E38:INDEX(Sorgo!$E38:$Z38,MIN(AM$6-$G$3,22))&lt;&gt;""),Sorgo!$E38:INDEX(Sorgo!$E38:$Z38,MIN(AM$6-$G$3,22))),0)))))</f>
        <v>0</v>
      </c>
      <c r="AN40" s="27" t="n">
        <f aca="false">IF(COUNT(Sorgo!$E38:$Z38)=0,0,MAX(0,IF((AN$6-$E$3)&lt;1,0,IFERROR(LOOKUP(2,1/(Sorgo!$E38:INDEX(Sorgo!$E38:$Z38,MIN(AN$6-$E$3,22))&lt;&gt;""),Sorgo!$E38:INDEX(Sorgo!$E38:$Z38,MIN(AN$6-$E$3,22))),0))-IF($G$2,0,IF((AN$6-$G$3)&lt;1,0,IFERROR(LOOKUP(2,1/(Sorgo!$E38:INDEX(Sorgo!$E38:$Z38,MIN(AN$6-$G$3,22))&lt;&gt;""),Sorgo!$E38:INDEX(Sorgo!$E38:$Z38,MIN(AN$6-$G$3,22))),0)))))</f>
        <v>0</v>
      </c>
      <c r="AO40" s="27" t="n">
        <f aca="false">IF(COUNT(Sorgo!$E38:$Z38)=0,0,MAX(0,IF((AO$6-$E$3)&lt;1,0,IFERROR(LOOKUP(2,1/(Sorgo!$E38:INDEX(Sorgo!$E38:$Z38,MIN(AO$6-$E$3,22))&lt;&gt;""),Sorgo!$E38:INDEX(Sorgo!$E38:$Z38,MIN(AO$6-$E$3,22))),0))-IF($G$2,0,IF((AO$6-$G$3)&lt;1,0,IFERROR(LOOKUP(2,1/(Sorgo!$E38:INDEX(Sorgo!$E38:$Z38,MIN(AO$6-$G$3,22))&lt;&gt;""),Sorgo!$E38:INDEX(Sorgo!$E38:$Z38,MIN(AO$6-$G$3,22))),0)))))</f>
        <v>0</v>
      </c>
      <c r="AP40" s="27" t="n">
        <f aca="false">IF(COUNT(Sorgo!$E38:$Z38)=0,0,MAX(0,IF((AP$6-$E$3)&lt;1,0,IFERROR(LOOKUP(2,1/(Sorgo!$E38:INDEX(Sorgo!$E38:$Z38,MIN(AP$6-$E$3,22))&lt;&gt;""),Sorgo!$E38:INDEX(Sorgo!$E38:$Z38,MIN(AP$6-$E$3,22))),0))-IF($G$2,0,IF((AP$6-$G$3)&lt;1,0,IFERROR(LOOKUP(2,1/(Sorgo!$E38:INDEX(Sorgo!$E38:$Z38,MIN(AP$6-$G$3,22))&lt;&gt;""),Sorgo!$E38:INDEX(Sorgo!$E38:$Z38,MIN(AP$6-$G$3,22))),0)))))</f>
        <v>0</v>
      </c>
      <c r="AQ40" s="27" t="n">
        <f aca="false">IF(COUNT(Sorgo!$E38:$Z38)=0,0,MAX(0,IF((AQ$6-$E$3)&lt;1,0,IFERROR(LOOKUP(2,1/(Sorgo!$E38:INDEX(Sorgo!$E38:$Z38,MIN(AQ$6-$E$3,22))&lt;&gt;""),Sorgo!$E38:INDEX(Sorgo!$E38:$Z38,MIN(AQ$6-$E$3,22))),0))-IF($G$2,0,IF((AQ$6-$G$3)&lt;1,0,IFERROR(LOOKUP(2,1/(Sorgo!$E38:INDEX(Sorgo!$E38:$Z38,MIN(AQ$6-$G$3,22))&lt;&gt;""),Sorgo!$E38:INDEX(Sorgo!$E38:$Z38,MIN(AQ$6-$G$3,22))),0)))))</f>
        <v>0</v>
      </c>
      <c r="AR40" s="27" t="n">
        <f aca="false">IF(COUNT(Sorgo!$E38:$Z38)=0,0,MAX(0,IF((AR$6-$E$3)&lt;1,0,IFERROR(LOOKUP(2,1/(Sorgo!$E38:INDEX(Sorgo!$E38:$Z38,MIN(AR$6-$E$3,22))&lt;&gt;""),Sorgo!$E38:INDEX(Sorgo!$E38:$Z38,MIN(AR$6-$E$3,22))),0))-IF($G$2,0,IF((AR$6-$G$3)&lt;1,0,IFERROR(LOOKUP(2,1/(Sorgo!$E38:INDEX(Sorgo!$E38:$Z38,MIN(AR$6-$G$3,22))&lt;&gt;""),Sorgo!$E38:INDEX(Sorgo!$E38:$Z38,MIN(AR$6-$G$3,22))),0)))))</f>
        <v>0</v>
      </c>
      <c r="AS40" s="27" t="n">
        <f aca="false">IF(COUNT(Sorgo!$E38:$Z38)=0,0,MAX(0,IF((AS$6-$E$3)&lt;1,0,IFERROR(LOOKUP(2,1/(Sorgo!$E38:INDEX(Sorgo!$E38:$Z38,MIN(AS$6-$E$3,22))&lt;&gt;""),Sorgo!$E38:INDEX(Sorgo!$E38:$Z38,MIN(AS$6-$E$3,22))),0))-IF($G$2,0,IF((AS$6-$G$3)&lt;1,0,IFERROR(LOOKUP(2,1/(Sorgo!$E38:INDEX(Sorgo!$E38:$Z38,MIN(AS$6-$G$3,22))&lt;&gt;""),Sorgo!$E38:INDEX(Sorgo!$E38:$Z38,MIN(AS$6-$G$3,22))),0)))))</f>
        <v>0</v>
      </c>
      <c r="AT40" s="27" t="n">
        <f aca="false">IF(COUNT(Sorgo!$E38:$Z38)=0,0,MAX(0,IF((AT$6-$E$3)&lt;1,0,IFERROR(LOOKUP(2,1/(Sorgo!$E38:INDEX(Sorgo!$E38:$Z38,MIN(AT$6-$E$3,22))&lt;&gt;""),Sorgo!$E38:INDEX(Sorgo!$E38:$Z38,MIN(AT$6-$E$3,22))),0))-IF($G$2,0,IF((AT$6-$G$3)&lt;1,0,IFERROR(LOOKUP(2,1/(Sorgo!$E38:INDEX(Sorgo!$E38:$Z38,MIN(AT$6-$G$3,22))&lt;&gt;""),Sorgo!$E38:INDEX(Sorgo!$E38:$Z38,MIN(AT$6-$G$3,22))),0)))))</f>
        <v>0</v>
      </c>
      <c r="AU40" s="27" t="n">
        <f aca="false">IF(COUNT(Sorgo!$E38:$Z38)=0,0,MAX(0,IF((AU$6-$E$3)&lt;1,0,IFERROR(LOOKUP(2,1/(Sorgo!$E38:INDEX(Sorgo!$E38:$Z38,MIN(AU$6-$E$3,22))&lt;&gt;""),Sorgo!$E38:INDEX(Sorgo!$E38:$Z38,MIN(AU$6-$E$3,22))),0))-IF($G$2,0,IF((AU$6-$G$3)&lt;1,0,IFERROR(LOOKUP(2,1/(Sorgo!$E38:INDEX(Sorgo!$E38:$Z38,MIN(AU$6-$G$3,22))&lt;&gt;""),Sorgo!$E38:INDEX(Sorgo!$E38:$Z38,MIN(AU$6-$G$3,22))),0)))))</f>
        <v>0</v>
      </c>
      <c r="AV40" s="27" t="n">
        <f aca="false">IF(COUNT(Sorgo!$E38:$Z38)=0,0,MAX(0,IF((AV$6-$E$3)&lt;1,0,IFERROR(LOOKUP(2,1/(Sorgo!$E38:INDEX(Sorgo!$E38:$Z38,MIN(AV$6-$E$3,22))&lt;&gt;""),Sorgo!$E38:INDEX(Sorgo!$E38:$Z38,MIN(AV$6-$E$3,22))),0))-IF($G$2,0,IF((AV$6-$G$3)&lt;1,0,IFERROR(LOOKUP(2,1/(Sorgo!$E38:INDEX(Sorgo!$E38:$Z38,MIN(AV$6-$G$3,22))&lt;&gt;""),Sorgo!$E38:INDEX(Sorgo!$E38:$Z38,MIN(AV$6-$G$3,22))),0)))))</f>
        <v>0</v>
      </c>
      <c r="AW40" s="27" t="n">
        <f aca="false">IF(COUNT(Sorgo!$E38:$Z38)=0,0,MAX(0,IF((AW$6-$E$3)&lt;1,0,IFERROR(LOOKUP(2,1/(Sorgo!$E38:INDEX(Sorgo!$E38:$Z38,MIN(AW$6-$E$3,22))&lt;&gt;""),Sorgo!$E38:INDEX(Sorgo!$E38:$Z38,MIN(AW$6-$E$3,22))),0))-IF($G$2,0,IF((AW$6-$G$3)&lt;1,0,IFERROR(LOOKUP(2,1/(Sorgo!$E38:INDEX(Sorgo!$E38:$Z38,MIN(AW$6-$G$3,22))&lt;&gt;""),Sorgo!$E38:INDEX(Sorgo!$E38:$Z38,MIN(AW$6-$G$3,22))),0)))))</f>
        <v>0</v>
      </c>
      <c r="AX40" s="27" t="n">
        <f aca="false">IF(COUNT(Sorgo!$E38:$Z38)=0,0,MAX(0,IF((AX$6-$E$3)&lt;1,0,IFERROR(LOOKUP(2,1/(Sorgo!$E38:INDEX(Sorgo!$E38:$Z38,MIN(AX$6-$E$3,22))&lt;&gt;""),Sorgo!$E38:INDEX(Sorgo!$E38:$Z38,MIN(AX$6-$E$3,22))),0))-IF($G$2,0,IF((AX$6-$G$3)&lt;1,0,IFERROR(LOOKUP(2,1/(Sorgo!$E38:INDEX(Sorgo!$E38:$Z38,MIN(AX$6-$G$3,22))&lt;&gt;""),Sorgo!$E38:INDEX(Sorgo!$E38:$Z38,MIN(AX$6-$G$3,22))),0)))))</f>
        <v>0</v>
      </c>
      <c r="AY40" s="27" t="n">
        <f aca="false">IF(COUNT(Sorgo!$E38:$Z38)=0,0,MAX(0,IF((AY$6-$E$3)&lt;1,0,IFERROR(LOOKUP(2,1/(Sorgo!$E38:INDEX(Sorgo!$E38:$Z38,MIN(AY$6-$E$3,22))&lt;&gt;""),Sorgo!$E38:INDEX(Sorgo!$E38:$Z38,MIN(AY$6-$E$3,22))),0))-IF($G$2,0,IF((AY$6-$G$3)&lt;1,0,IFERROR(LOOKUP(2,1/(Sorgo!$E38:INDEX(Sorgo!$E38:$Z38,MIN(AY$6-$G$3,22))&lt;&gt;""),Sorgo!$E38:INDEX(Sorgo!$E38:$Z38,MIN(AY$6-$G$3,22))),0)))))</f>
        <v>0</v>
      </c>
      <c r="AZ40" s="27" t="n">
        <f aca="false">IF(COUNT(Sorgo!$E38:$Z38)=0,0,MAX(0,IF((AZ$6-$E$3)&lt;1,0,IFERROR(LOOKUP(2,1/(Sorgo!$E38:INDEX(Sorgo!$E38:$Z38,MIN(AZ$6-$E$3,22))&lt;&gt;""),Sorgo!$E38:INDEX(Sorgo!$E38:$Z38,MIN(AZ$6-$E$3,22))),0))-IF($G$2,0,IF((AZ$6-$G$3)&lt;1,0,IFERROR(LOOKUP(2,1/(Sorgo!$E38:INDEX(Sorgo!$E38:$Z38,MIN(AZ$6-$G$3,22))&lt;&gt;""),Sorgo!$E38:INDEX(Sorgo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IF(COUNT(Sorgo!$E39:$Z39)&gt;0,N(Sorgo!$D39),0)</f>
        <v>0</v>
      </c>
      <c r="E41" s="27" t="n">
        <f aca="false">IF(COUNT(Sorgo!$E39:$Z39)=0,0,MAX(0,IF((E$6-$E$3)&lt;1,0,IFERROR(LOOKUP(2,1/(Sorgo!$E39:INDEX(Sorgo!$E39:$Z39,MIN(E$6-$E$3,22))&lt;&gt;""),Sorgo!$E39:INDEX(Sorgo!$E39:$Z39,MIN(E$6-$E$3,22))),0))-IF($G$2,0,IF((E$6-$G$3)&lt;1,0,IFERROR(LOOKUP(2,1/(Sorgo!$E39:INDEX(Sorgo!$E39:$Z39,MIN(E$6-$G$3,22))&lt;&gt;""),Sorgo!$E39:INDEX(Sorgo!$E39:$Z39,MIN(E$6-$G$3,22))),0)))))</f>
        <v>0</v>
      </c>
      <c r="F41" s="27" t="n">
        <f aca="false">IF(COUNT(Sorgo!$E39:$Z39)=0,0,MAX(0,IF((F$6-$E$3)&lt;1,0,IFERROR(LOOKUP(2,1/(Sorgo!$E39:INDEX(Sorgo!$E39:$Z39,MIN(F$6-$E$3,22))&lt;&gt;""),Sorgo!$E39:INDEX(Sorgo!$E39:$Z39,MIN(F$6-$E$3,22))),0))-IF($G$2,0,IF((F$6-$G$3)&lt;1,0,IFERROR(LOOKUP(2,1/(Sorgo!$E39:INDEX(Sorgo!$E39:$Z39,MIN(F$6-$G$3,22))&lt;&gt;""),Sorgo!$E39:INDEX(Sorgo!$E39:$Z39,MIN(F$6-$G$3,22))),0)))))</f>
        <v>0</v>
      </c>
      <c r="G41" s="27" t="n">
        <f aca="false">IF(COUNT(Sorgo!$E39:$Z39)=0,0,MAX(0,IF((G$6-$E$3)&lt;1,0,IFERROR(LOOKUP(2,1/(Sorgo!$E39:INDEX(Sorgo!$E39:$Z39,MIN(G$6-$E$3,22))&lt;&gt;""),Sorgo!$E39:INDEX(Sorgo!$E39:$Z39,MIN(G$6-$E$3,22))),0))-IF($G$2,0,IF((G$6-$G$3)&lt;1,0,IFERROR(LOOKUP(2,1/(Sorgo!$E39:INDEX(Sorgo!$E39:$Z39,MIN(G$6-$G$3,22))&lt;&gt;""),Sorgo!$E39:INDEX(Sorgo!$E39:$Z39,MIN(G$6-$G$3,22))),0)))))</f>
        <v>0</v>
      </c>
      <c r="H41" s="27" t="n">
        <f aca="false">IF(COUNT(Sorgo!$E39:$Z39)=0,0,MAX(0,IF((H$6-$E$3)&lt;1,0,IFERROR(LOOKUP(2,1/(Sorgo!$E39:INDEX(Sorgo!$E39:$Z39,MIN(H$6-$E$3,22))&lt;&gt;""),Sorgo!$E39:INDEX(Sorgo!$E39:$Z39,MIN(H$6-$E$3,22))),0))-IF($G$2,0,IF((H$6-$G$3)&lt;1,0,IFERROR(LOOKUP(2,1/(Sorgo!$E39:INDEX(Sorgo!$E39:$Z39,MIN(H$6-$G$3,22))&lt;&gt;""),Sorgo!$E39:INDEX(Sorgo!$E39:$Z39,MIN(H$6-$G$3,22))),0)))))</f>
        <v>0</v>
      </c>
      <c r="I41" s="27" t="n">
        <f aca="false">IF(COUNT(Sorgo!$E39:$Z39)=0,0,MAX(0,IF((I$6-$E$3)&lt;1,0,IFERROR(LOOKUP(2,1/(Sorgo!$E39:INDEX(Sorgo!$E39:$Z39,MIN(I$6-$E$3,22))&lt;&gt;""),Sorgo!$E39:INDEX(Sorgo!$E39:$Z39,MIN(I$6-$E$3,22))),0))-IF($G$2,0,IF((I$6-$G$3)&lt;1,0,IFERROR(LOOKUP(2,1/(Sorgo!$E39:INDEX(Sorgo!$E39:$Z39,MIN(I$6-$G$3,22))&lt;&gt;""),Sorgo!$E39:INDEX(Sorgo!$E39:$Z39,MIN(I$6-$G$3,22))),0)))))</f>
        <v>0</v>
      </c>
      <c r="J41" s="27" t="n">
        <f aca="false">IF(COUNT(Sorgo!$E39:$Z39)=0,0,MAX(0,IF((J$6-$E$3)&lt;1,0,IFERROR(LOOKUP(2,1/(Sorgo!$E39:INDEX(Sorgo!$E39:$Z39,MIN(J$6-$E$3,22))&lt;&gt;""),Sorgo!$E39:INDEX(Sorgo!$E39:$Z39,MIN(J$6-$E$3,22))),0))-IF($G$2,0,IF((J$6-$G$3)&lt;1,0,IFERROR(LOOKUP(2,1/(Sorgo!$E39:INDEX(Sorgo!$E39:$Z39,MIN(J$6-$G$3,22))&lt;&gt;""),Sorgo!$E39:INDEX(Sorgo!$E39:$Z39,MIN(J$6-$G$3,22))),0)))))</f>
        <v>0</v>
      </c>
      <c r="K41" s="27" t="n">
        <f aca="false">IF(COUNT(Sorgo!$E39:$Z39)=0,0,MAX(0,IF((K$6-$E$3)&lt;1,0,IFERROR(LOOKUP(2,1/(Sorgo!$E39:INDEX(Sorgo!$E39:$Z39,MIN(K$6-$E$3,22))&lt;&gt;""),Sorgo!$E39:INDEX(Sorgo!$E39:$Z39,MIN(K$6-$E$3,22))),0))-IF($G$2,0,IF((K$6-$G$3)&lt;1,0,IFERROR(LOOKUP(2,1/(Sorgo!$E39:INDEX(Sorgo!$E39:$Z39,MIN(K$6-$G$3,22))&lt;&gt;""),Sorgo!$E39:INDEX(Sorgo!$E39:$Z39,MIN(K$6-$G$3,22))),0)))))</f>
        <v>0</v>
      </c>
      <c r="L41" s="27" t="n">
        <f aca="false">IF(COUNT(Sorgo!$E39:$Z39)=0,0,MAX(0,IF((L$6-$E$3)&lt;1,0,IFERROR(LOOKUP(2,1/(Sorgo!$E39:INDEX(Sorgo!$E39:$Z39,MIN(L$6-$E$3,22))&lt;&gt;""),Sorgo!$E39:INDEX(Sorgo!$E39:$Z39,MIN(L$6-$E$3,22))),0))-IF($G$2,0,IF((L$6-$G$3)&lt;1,0,IFERROR(LOOKUP(2,1/(Sorgo!$E39:INDEX(Sorgo!$E39:$Z39,MIN(L$6-$G$3,22))&lt;&gt;""),Sorgo!$E39:INDEX(Sorgo!$E39:$Z39,MIN(L$6-$G$3,22))),0)))))</f>
        <v>0</v>
      </c>
      <c r="M41" s="27" t="n">
        <f aca="false">IF(COUNT(Sorgo!$E39:$Z39)=0,0,MAX(0,IF((M$6-$E$3)&lt;1,0,IFERROR(LOOKUP(2,1/(Sorgo!$E39:INDEX(Sorgo!$E39:$Z39,MIN(M$6-$E$3,22))&lt;&gt;""),Sorgo!$E39:INDEX(Sorgo!$E39:$Z39,MIN(M$6-$E$3,22))),0))-IF($G$2,0,IF((M$6-$G$3)&lt;1,0,IFERROR(LOOKUP(2,1/(Sorgo!$E39:INDEX(Sorgo!$E39:$Z39,MIN(M$6-$G$3,22))&lt;&gt;""),Sorgo!$E39:INDEX(Sorgo!$E39:$Z39,MIN(M$6-$G$3,22))),0)))))</f>
        <v>0</v>
      </c>
      <c r="N41" s="27" t="n">
        <f aca="false">IF(COUNT(Sorgo!$E39:$Z39)=0,0,MAX(0,IF((N$6-$E$3)&lt;1,0,IFERROR(LOOKUP(2,1/(Sorgo!$E39:INDEX(Sorgo!$E39:$Z39,MIN(N$6-$E$3,22))&lt;&gt;""),Sorgo!$E39:INDEX(Sorgo!$E39:$Z39,MIN(N$6-$E$3,22))),0))-IF($G$2,0,IF((N$6-$G$3)&lt;1,0,IFERROR(LOOKUP(2,1/(Sorgo!$E39:INDEX(Sorgo!$E39:$Z39,MIN(N$6-$G$3,22))&lt;&gt;""),Sorgo!$E39:INDEX(Sorgo!$E39:$Z39,MIN(N$6-$G$3,22))),0)))))</f>
        <v>0</v>
      </c>
      <c r="O41" s="27" t="n">
        <f aca="false">IF(COUNT(Sorgo!$E39:$Z39)=0,0,MAX(0,IF((O$6-$E$3)&lt;1,0,IFERROR(LOOKUP(2,1/(Sorgo!$E39:INDEX(Sorgo!$E39:$Z39,MIN(O$6-$E$3,22))&lt;&gt;""),Sorgo!$E39:INDEX(Sorgo!$E39:$Z39,MIN(O$6-$E$3,22))),0))-IF($G$2,0,IF((O$6-$G$3)&lt;1,0,IFERROR(LOOKUP(2,1/(Sorgo!$E39:INDEX(Sorgo!$E39:$Z39,MIN(O$6-$G$3,22))&lt;&gt;""),Sorgo!$E39:INDEX(Sorgo!$E39:$Z39,MIN(O$6-$G$3,22))),0)))))</f>
        <v>0</v>
      </c>
      <c r="P41" s="27" t="n">
        <f aca="false">IF(COUNT(Sorgo!$E39:$Z39)=0,0,MAX(0,IF((P$6-$E$3)&lt;1,0,IFERROR(LOOKUP(2,1/(Sorgo!$E39:INDEX(Sorgo!$E39:$Z39,MIN(P$6-$E$3,22))&lt;&gt;""),Sorgo!$E39:INDEX(Sorgo!$E39:$Z39,MIN(P$6-$E$3,22))),0))-IF($G$2,0,IF((P$6-$G$3)&lt;1,0,IFERROR(LOOKUP(2,1/(Sorgo!$E39:INDEX(Sorgo!$E39:$Z39,MIN(P$6-$G$3,22))&lt;&gt;""),Sorgo!$E39:INDEX(Sorgo!$E39:$Z39,MIN(P$6-$G$3,22))),0)))))</f>
        <v>0</v>
      </c>
      <c r="Q41" s="27" t="n">
        <f aca="false">IF(COUNT(Sorgo!$E39:$Z39)=0,0,MAX(0,IF((Q$6-$E$3)&lt;1,0,IFERROR(LOOKUP(2,1/(Sorgo!$E39:INDEX(Sorgo!$E39:$Z39,MIN(Q$6-$E$3,22))&lt;&gt;""),Sorgo!$E39:INDEX(Sorgo!$E39:$Z39,MIN(Q$6-$E$3,22))),0))-IF($G$2,0,IF((Q$6-$G$3)&lt;1,0,IFERROR(LOOKUP(2,1/(Sorgo!$E39:INDEX(Sorgo!$E39:$Z39,MIN(Q$6-$G$3,22))&lt;&gt;""),Sorgo!$E39:INDEX(Sorgo!$E39:$Z39,MIN(Q$6-$G$3,22))),0)))))</f>
        <v>0</v>
      </c>
      <c r="R41" s="27" t="n">
        <f aca="false">IF(COUNT(Sorgo!$E39:$Z39)=0,0,MAX(0,IF((R$6-$E$3)&lt;1,0,IFERROR(LOOKUP(2,1/(Sorgo!$E39:INDEX(Sorgo!$E39:$Z39,MIN(R$6-$E$3,22))&lt;&gt;""),Sorgo!$E39:INDEX(Sorgo!$E39:$Z39,MIN(R$6-$E$3,22))),0))-IF($G$2,0,IF((R$6-$G$3)&lt;1,0,IFERROR(LOOKUP(2,1/(Sorgo!$E39:INDEX(Sorgo!$E39:$Z39,MIN(R$6-$G$3,22))&lt;&gt;""),Sorgo!$E39:INDEX(Sorgo!$E39:$Z39,MIN(R$6-$G$3,22))),0)))))</f>
        <v>0</v>
      </c>
      <c r="S41" s="27" t="n">
        <f aca="false">IF(COUNT(Sorgo!$E39:$Z39)=0,0,MAX(0,IF((S$6-$E$3)&lt;1,0,IFERROR(LOOKUP(2,1/(Sorgo!$E39:INDEX(Sorgo!$E39:$Z39,MIN(S$6-$E$3,22))&lt;&gt;""),Sorgo!$E39:INDEX(Sorgo!$E39:$Z39,MIN(S$6-$E$3,22))),0))-IF($G$2,0,IF((S$6-$G$3)&lt;1,0,IFERROR(LOOKUP(2,1/(Sorgo!$E39:INDEX(Sorgo!$E39:$Z39,MIN(S$6-$G$3,22))&lt;&gt;""),Sorgo!$E39:INDEX(Sorgo!$E39:$Z39,MIN(S$6-$G$3,22))),0)))))</f>
        <v>0</v>
      </c>
      <c r="T41" s="27" t="n">
        <f aca="false">IF(COUNT(Sorgo!$E39:$Z39)=0,0,MAX(0,IF((T$6-$E$3)&lt;1,0,IFERROR(LOOKUP(2,1/(Sorgo!$E39:INDEX(Sorgo!$E39:$Z39,MIN(T$6-$E$3,22))&lt;&gt;""),Sorgo!$E39:INDEX(Sorgo!$E39:$Z39,MIN(T$6-$E$3,22))),0))-IF($G$2,0,IF((T$6-$G$3)&lt;1,0,IFERROR(LOOKUP(2,1/(Sorgo!$E39:INDEX(Sorgo!$E39:$Z39,MIN(T$6-$G$3,22))&lt;&gt;""),Sorgo!$E39:INDEX(Sorgo!$E39:$Z39,MIN(T$6-$G$3,22))),0)))))</f>
        <v>0</v>
      </c>
      <c r="U41" s="27" t="n">
        <f aca="false">IF(COUNT(Sorgo!$E39:$Z39)=0,0,MAX(0,IF((U$6-$E$3)&lt;1,0,IFERROR(LOOKUP(2,1/(Sorgo!$E39:INDEX(Sorgo!$E39:$Z39,MIN(U$6-$E$3,22))&lt;&gt;""),Sorgo!$E39:INDEX(Sorgo!$E39:$Z39,MIN(U$6-$E$3,22))),0))-IF($G$2,0,IF((U$6-$G$3)&lt;1,0,IFERROR(LOOKUP(2,1/(Sorgo!$E39:INDEX(Sorgo!$E39:$Z39,MIN(U$6-$G$3,22))&lt;&gt;""),Sorgo!$E39:INDEX(Sorgo!$E39:$Z39,MIN(U$6-$G$3,22))),0)))))</f>
        <v>0</v>
      </c>
      <c r="V41" s="27" t="n">
        <f aca="false">IF(COUNT(Sorgo!$E39:$Z39)=0,0,MAX(0,IF((V$6-$E$3)&lt;1,0,IFERROR(LOOKUP(2,1/(Sorgo!$E39:INDEX(Sorgo!$E39:$Z39,MIN(V$6-$E$3,22))&lt;&gt;""),Sorgo!$E39:INDEX(Sorgo!$E39:$Z39,MIN(V$6-$E$3,22))),0))-IF($G$2,0,IF((V$6-$G$3)&lt;1,0,IFERROR(LOOKUP(2,1/(Sorgo!$E39:INDEX(Sorgo!$E39:$Z39,MIN(V$6-$G$3,22))&lt;&gt;""),Sorgo!$E39:INDEX(Sorgo!$E39:$Z39,MIN(V$6-$G$3,22))),0)))))</f>
        <v>0</v>
      </c>
      <c r="W41" s="27" t="n">
        <f aca="false">IF(COUNT(Sorgo!$E39:$Z39)=0,0,MAX(0,IF((W$6-$E$3)&lt;1,0,IFERROR(LOOKUP(2,1/(Sorgo!$E39:INDEX(Sorgo!$E39:$Z39,MIN(W$6-$E$3,22))&lt;&gt;""),Sorgo!$E39:INDEX(Sorgo!$E39:$Z39,MIN(W$6-$E$3,22))),0))-IF($G$2,0,IF((W$6-$G$3)&lt;1,0,IFERROR(LOOKUP(2,1/(Sorgo!$E39:INDEX(Sorgo!$E39:$Z39,MIN(W$6-$G$3,22))&lt;&gt;""),Sorgo!$E39:INDEX(Sorgo!$E39:$Z39,MIN(W$6-$G$3,22))),0)))))</f>
        <v>0</v>
      </c>
      <c r="X41" s="27" t="n">
        <f aca="false">IF(COUNT(Sorgo!$E39:$Z39)=0,0,MAX(0,IF((X$6-$E$3)&lt;1,0,IFERROR(LOOKUP(2,1/(Sorgo!$E39:INDEX(Sorgo!$E39:$Z39,MIN(X$6-$E$3,22))&lt;&gt;""),Sorgo!$E39:INDEX(Sorgo!$E39:$Z39,MIN(X$6-$E$3,22))),0))-IF($G$2,0,IF((X$6-$G$3)&lt;1,0,IFERROR(LOOKUP(2,1/(Sorgo!$E39:INDEX(Sorgo!$E39:$Z39,MIN(X$6-$G$3,22))&lt;&gt;""),Sorgo!$E39:INDEX(Sorgo!$E39:$Z39,MIN(X$6-$G$3,22))),0)))))</f>
        <v>0</v>
      </c>
      <c r="Y41" s="27" t="n">
        <f aca="false">IF(COUNT(Sorgo!$E39:$Z39)=0,0,MAX(0,IF((Y$6-$E$3)&lt;1,0,IFERROR(LOOKUP(2,1/(Sorgo!$E39:INDEX(Sorgo!$E39:$Z39,MIN(Y$6-$E$3,22))&lt;&gt;""),Sorgo!$E39:INDEX(Sorgo!$E39:$Z39,MIN(Y$6-$E$3,22))),0))-IF($G$2,0,IF((Y$6-$G$3)&lt;1,0,IFERROR(LOOKUP(2,1/(Sorgo!$E39:INDEX(Sorgo!$E39:$Z39,MIN(Y$6-$G$3,22))&lt;&gt;""),Sorgo!$E39:INDEX(Sorgo!$E39:$Z39,MIN(Y$6-$G$3,22))),0)))))</f>
        <v>0</v>
      </c>
      <c r="Z41" s="27" t="n">
        <f aca="false">IF(COUNT(Sorgo!$E39:$Z39)=0,0,MAX(0,IF((Z$6-$E$3)&lt;1,0,IFERROR(LOOKUP(2,1/(Sorgo!$E39:INDEX(Sorgo!$E39:$Z39,MIN(Z$6-$E$3,22))&lt;&gt;""),Sorgo!$E39:INDEX(Sorgo!$E39:$Z39,MIN(Z$6-$E$3,22))),0))-IF($G$2,0,IF((Z$6-$G$3)&lt;1,0,IFERROR(LOOKUP(2,1/(Sorgo!$E39:INDEX(Sorgo!$E39:$Z39,MIN(Z$6-$G$3,22))&lt;&gt;""),Sorgo!$E39:INDEX(Sorgo!$E39:$Z39,MIN(Z$6-$G$3,22))),0)))))</f>
        <v>0</v>
      </c>
      <c r="AA41" s="27" t="n">
        <f aca="false">IF(COUNT(Sorgo!$E39:$Z39)=0,0,MAX(0,IF((AA$6-$E$3)&lt;1,0,IFERROR(LOOKUP(2,1/(Sorgo!$E39:INDEX(Sorgo!$E39:$Z39,MIN(AA$6-$E$3,22))&lt;&gt;""),Sorgo!$E39:INDEX(Sorgo!$E39:$Z39,MIN(AA$6-$E$3,22))),0))-IF($G$2,0,IF((AA$6-$G$3)&lt;1,0,IFERROR(LOOKUP(2,1/(Sorgo!$E39:INDEX(Sorgo!$E39:$Z39,MIN(AA$6-$G$3,22))&lt;&gt;""),Sorgo!$E39:INDEX(Sorgo!$E39:$Z39,MIN(AA$6-$G$3,22))),0)))))</f>
        <v>0</v>
      </c>
      <c r="AB41" s="27" t="n">
        <f aca="false">IF(COUNT(Sorgo!$E39:$Z39)=0,0,MAX(0,IF((AB$6-$E$3)&lt;1,0,IFERROR(LOOKUP(2,1/(Sorgo!$E39:INDEX(Sorgo!$E39:$Z39,MIN(AB$6-$E$3,22))&lt;&gt;""),Sorgo!$E39:INDEX(Sorgo!$E39:$Z39,MIN(AB$6-$E$3,22))),0))-IF($G$2,0,IF((AB$6-$G$3)&lt;1,0,IFERROR(LOOKUP(2,1/(Sorgo!$E39:INDEX(Sorgo!$E39:$Z39,MIN(AB$6-$G$3,22))&lt;&gt;""),Sorgo!$E39:INDEX(Sorgo!$E39:$Z39,MIN(AB$6-$G$3,22))),0)))))</f>
        <v>0</v>
      </c>
      <c r="AC41" s="27" t="n">
        <f aca="false">IF(COUNT(Sorgo!$E39:$Z39)=0,0,MAX(0,IF((AC$6-$E$3)&lt;1,0,IFERROR(LOOKUP(2,1/(Sorgo!$E39:INDEX(Sorgo!$E39:$Z39,MIN(AC$6-$E$3,22))&lt;&gt;""),Sorgo!$E39:INDEX(Sorgo!$E39:$Z39,MIN(AC$6-$E$3,22))),0))-IF($G$2,0,IF((AC$6-$G$3)&lt;1,0,IFERROR(LOOKUP(2,1/(Sorgo!$E39:INDEX(Sorgo!$E39:$Z39,MIN(AC$6-$G$3,22))&lt;&gt;""),Sorgo!$E39:INDEX(Sorgo!$E39:$Z39,MIN(AC$6-$G$3,22))),0)))))</f>
        <v>0</v>
      </c>
      <c r="AD41" s="27" t="n">
        <f aca="false">IF(COUNT(Sorgo!$E39:$Z39)=0,0,MAX(0,IF((AD$6-$E$3)&lt;1,0,IFERROR(LOOKUP(2,1/(Sorgo!$E39:INDEX(Sorgo!$E39:$Z39,MIN(AD$6-$E$3,22))&lt;&gt;""),Sorgo!$E39:INDEX(Sorgo!$E39:$Z39,MIN(AD$6-$E$3,22))),0))-IF($G$2,0,IF((AD$6-$G$3)&lt;1,0,IFERROR(LOOKUP(2,1/(Sorgo!$E39:INDEX(Sorgo!$E39:$Z39,MIN(AD$6-$G$3,22))&lt;&gt;""),Sorgo!$E39:INDEX(Sorgo!$E39:$Z39,MIN(AD$6-$G$3,22))),0)))))</f>
        <v>0</v>
      </c>
      <c r="AE41" s="27" t="n">
        <f aca="false">IF(COUNT(Sorgo!$E39:$Z39)=0,0,MAX(0,IF((AE$6-$E$3)&lt;1,0,IFERROR(LOOKUP(2,1/(Sorgo!$E39:INDEX(Sorgo!$E39:$Z39,MIN(AE$6-$E$3,22))&lt;&gt;""),Sorgo!$E39:INDEX(Sorgo!$E39:$Z39,MIN(AE$6-$E$3,22))),0))-IF($G$2,0,IF((AE$6-$G$3)&lt;1,0,IFERROR(LOOKUP(2,1/(Sorgo!$E39:INDEX(Sorgo!$E39:$Z39,MIN(AE$6-$G$3,22))&lt;&gt;""),Sorgo!$E39:INDEX(Sorgo!$E39:$Z39,MIN(AE$6-$G$3,22))),0)))))</f>
        <v>0</v>
      </c>
      <c r="AF41" s="27" t="n">
        <f aca="false">IF(COUNT(Sorgo!$E39:$Z39)=0,0,MAX(0,IF((AF$6-$E$3)&lt;1,0,IFERROR(LOOKUP(2,1/(Sorgo!$E39:INDEX(Sorgo!$E39:$Z39,MIN(AF$6-$E$3,22))&lt;&gt;""),Sorgo!$E39:INDEX(Sorgo!$E39:$Z39,MIN(AF$6-$E$3,22))),0))-IF($G$2,0,IF((AF$6-$G$3)&lt;1,0,IFERROR(LOOKUP(2,1/(Sorgo!$E39:INDEX(Sorgo!$E39:$Z39,MIN(AF$6-$G$3,22))&lt;&gt;""),Sorgo!$E39:INDEX(Sorgo!$E39:$Z39,MIN(AF$6-$G$3,22))),0)))))</f>
        <v>0</v>
      </c>
      <c r="AG41" s="27" t="n">
        <f aca="false">IF(COUNT(Sorgo!$E39:$Z39)=0,0,MAX(0,IF((AG$6-$E$3)&lt;1,0,IFERROR(LOOKUP(2,1/(Sorgo!$E39:INDEX(Sorgo!$E39:$Z39,MIN(AG$6-$E$3,22))&lt;&gt;""),Sorgo!$E39:INDEX(Sorgo!$E39:$Z39,MIN(AG$6-$E$3,22))),0))-IF($G$2,0,IF((AG$6-$G$3)&lt;1,0,IFERROR(LOOKUP(2,1/(Sorgo!$E39:INDEX(Sorgo!$E39:$Z39,MIN(AG$6-$G$3,22))&lt;&gt;""),Sorgo!$E39:INDEX(Sorgo!$E39:$Z39,MIN(AG$6-$G$3,22))),0)))))</f>
        <v>0</v>
      </c>
      <c r="AH41" s="27" t="n">
        <f aca="false">IF(COUNT(Sorgo!$E39:$Z39)=0,0,MAX(0,IF((AH$6-$E$3)&lt;1,0,IFERROR(LOOKUP(2,1/(Sorgo!$E39:INDEX(Sorgo!$E39:$Z39,MIN(AH$6-$E$3,22))&lt;&gt;""),Sorgo!$E39:INDEX(Sorgo!$E39:$Z39,MIN(AH$6-$E$3,22))),0))-IF($G$2,0,IF((AH$6-$G$3)&lt;1,0,IFERROR(LOOKUP(2,1/(Sorgo!$E39:INDEX(Sorgo!$E39:$Z39,MIN(AH$6-$G$3,22))&lt;&gt;""),Sorgo!$E39:INDEX(Sorgo!$E39:$Z39,MIN(AH$6-$G$3,22))),0)))))</f>
        <v>0</v>
      </c>
      <c r="AI41" s="27" t="n">
        <f aca="false">IF(COUNT(Sorgo!$E39:$Z39)=0,0,MAX(0,IF((AI$6-$E$3)&lt;1,0,IFERROR(LOOKUP(2,1/(Sorgo!$E39:INDEX(Sorgo!$E39:$Z39,MIN(AI$6-$E$3,22))&lt;&gt;""),Sorgo!$E39:INDEX(Sorgo!$E39:$Z39,MIN(AI$6-$E$3,22))),0))-IF($G$2,0,IF((AI$6-$G$3)&lt;1,0,IFERROR(LOOKUP(2,1/(Sorgo!$E39:INDEX(Sorgo!$E39:$Z39,MIN(AI$6-$G$3,22))&lt;&gt;""),Sorgo!$E39:INDEX(Sorgo!$E39:$Z39,MIN(AI$6-$G$3,22))),0)))))</f>
        <v>0</v>
      </c>
      <c r="AJ41" s="27" t="n">
        <f aca="false">IF(COUNT(Sorgo!$E39:$Z39)=0,0,MAX(0,IF((AJ$6-$E$3)&lt;1,0,IFERROR(LOOKUP(2,1/(Sorgo!$E39:INDEX(Sorgo!$E39:$Z39,MIN(AJ$6-$E$3,22))&lt;&gt;""),Sorgo!$E39:INDEX(Sorgo!$E39:$Z39,MIN(AJ$6-$E$3,22))),0))-IF($G$2,0,IF((AJ$6-$G$3)&lt;1,0,IFERROR(LOOKUP(2,1/(Sorgo!$E39:INDEX(Sorgo!$E39:$Z39,MIN(AJ$6-$G$3,22))&lt;&gt;""),Sorgo!$E39:INDEX(Sorgo!$E39:$Z39,MIN(AJ$6-$G$3,22))),0)))))</f>
        <v>0</v>
      </c>
      <c r="AK41" s="27" t="n">
        <f aca="false">IF(COUNT(Sorgo!$E39:$Z39)=0,0,MAX(0,IF((AK$6-$E$3)&lt;1,0,IFERROR(LOOKUP(2,1/(Sorgo!$E39:INDEX(Sorgo!$E39:$Z39,MIN(AK$6-$E$3,22))&lt;&gt;""),Sorgo!$E39:INDEX(Sorgo!$E39:$Z39,MIN(AK$6-$E$3,22))),0))-IF($G$2,0,IF((AK$6-$G$3)&lt;1,0,IFERROR(LOOKUP(2,1/(Sorgo!$E39:INDEX(Sorgo!$E39:$Z39,MIN(AK$6-$G$3,22))&lt;&gt;""),Sorgo!$E39:INDEX(Sorgo!$E39:$Z39,MIN(AK$6-$G$3,22))),0)))))</f>
        <v>0</v>
      </c>
      <c r="AL41" s="27" t="n">
        <f aca="false">IF(COUNT(Sorgo!$E39:$Z39)=0,0,MAX(0,IF((AL$6-$E$3)&lt;1,0,IFERROR(LOOKUP(2,1/(Sorgo!$E39:INDEX(Sorgo!$E39:$Z39,MIN(AL$6-$E$3,22))&lt;&gt;""),Sorgo!$E39:INDEX(Sorgo!$E39:$Z39,MIN(AL$6-$E$3,22))),0))-IF($G$2,0,IF((AL$6-$G$3)&lt;1,0,IFERROR(LOOKUP(2,1/(Sorgo!$E39:INDEX(Sorgo!$E39:$Z39,MIN(AL$6-$G$3,22))&lt;&gt;""),Sorgo!$E39:INDEX(Sorgo!$E39:$Z39,MIN(AL$6-$G$3,22))),0)))))</f>
        <v>0</v>
      </c>
      <c r="AM41" s="27" t="n">
        <f aca="false">IF(COUNT(Sorgo!$E39:$Z39)=0,0,MAX(0,IF((AM$6-$E$3)&lt;1,0,IFERROR(LOOKUP(2,1/(Sorgo!$E39:INDEX(Sorgo!$E39:$Z39,MIN(AM$6-$E$3,22))&lt;&gt;""),Sorgo!$E39:INDEX(Sorgo!$E39:$Z39,MIN(AM$6-$E$3,22))),0))-IF($G$2,0,IF((AM$6-$G$3)&lt;1,0,IFERROR(LOOKUP(2,1/(Sorgo!$E39:INDEX(Sorgo!$E39:$Z39,MIN(AM$6-$G$3,22))&lt;&gt;""),Sorgo!$E39:INDEX(Sorgo!$E39:$Z39,MIN(AM$6-$G$3,22))),0)))))</f>
        <v>0</v>
      </c>
      <c r="AN41" s="27" t="n">
        <f aca="false">IF(COUNT(Sorgo!$E39:$Z39)=0,0,MAX(0,IF((AN$6-$E$3)&lt;1,0,IFERROR(LOOKUP(2,1/(Sorgo!$E39:INDEX(Sorgo!$E39:$Z39,MIN(AN$6-$E$3,22))&lt;&gt;""),Sorgo!$E39:INDEX(Sorgo!$E39:$Z39,MIN(AN$6-$E$3,22))),0))-IF($G$2,0,IF((AN$6-$G$3)&lt;1,0,IFERROR(LOOKUP(2,1/(Sorgo!$E39:INDEX(Sorgo!$E39:$Z39,MIN(AN$6-$G$3,22))&lt;&gt;""),Sorgo!$E39:INDEX(Sorgo!$E39:$Z39,MIN(AN$6-$G$3,22))),0)))))</f>
        <v>0</v>
      </c>
      <c r="AO41" s="27" t="n">
        <f aca="false">IF(COUNT(Sorgo!$E39:$Z39)=0,0,MAX(0,IF((AO$6-$E$3)&lt;1,0,IFERROR(LOOKUP(2,1/(Sorgo!$E39:INDEX(Sorgo!$E39:$Z39,MIN(AO$6-$E$3,22))&lt;&gt;""),Sorgo!$E39:INDEX(Sorgo!$E39:$Z39,MIN(AO$6-$E$3,22))),0))-IF($G$2,0,IF((AO$6-$G$3)&lt;1,0,IFERROR(LOOKUP(2,1/(Sorgo!$E39:INDEX(Sorgo!$E39:$Z39,MIN(AO$6-$G$3,22))&lt;&gt;""),Sorgo!$E39:INDEX(Sorgo!$E39:$Z39,MIN(AO$6-$G$3,22))),0)))))</f>
        <v>0</v>
      </c>
      <c r="AP41" s="27" t="n">
        <f aca="false">IF(COUNT(Sorgo!$E39:$Z39)=0,0,MAX(0,IF((AP$6-$E$3)&lt;1,0,IFERROR(LOOKUP(2,1/(Sorgo!$E39:INDEX(Sorgo!$E39:$Z39,MIN(AP$6-$E$3,22))&lt;&gt;""),Sorgo!$E39:INDEX(Sorgo!$E39:$Z39,MIN(AP$6-$E$3,22))),0))-IF($G$2,0,IF((AP$6-$G$3)&lt;1,0,IFERROR(LOOKUP(2,1/(Sorgo!$E39:INDEX(Sorgo!$E39:$Z39,MIN(AP$6-$G$3,22))&lt;&gt;""),Sorgo!$E39:INDEX(Sorgo!$E39:$Z39,MIN(AP$6-$G$3,22))),0)))))</f>
        <v>0</v>
      </c>
      <c r="AQ41" s="27" t="n">
        <f aca="false">IF(COUNT(Sorgo!$E39:$Z39)=0,0,MAX(0,IF((AQ$6-$E$3)&lt;1,0,IFERROR(LOOKUP(2,1/(Sorgo!$E39:INDEX(Sorgo!$E39:$Z39,MIN(AQ$6-$E$3,22))&lt;&gt;""),Sorgo!$E39:INDEX(Sorgo!$E39:$Z39,MIN(AQ$6-$E$3,22))),0))-IF($G$2,0,IF((AQ$6-$G$3)&lt;1,0,IFERROR(LOOKUP(2,1/(Sorgo!$E39:INDEX(Sorgo!$E39:$Z39,MIN(AQ$6-$G$3,22))&lt;&gt;""),Sorgo!$E39:INDEX(Sorgo!$E39:$Z39,MIN(AQ$6-$G$3,22))),0)))))</f>
        <v>0</v>
      </c>
      <c r="AR41" s="27" t="n">
        <f aca="false">IF(COUNT(Sorgo!$E39:$Z39)=0,0,MAX(0,IF((AR$6-$E$3)&lt;1,0,IFERROR(LOOKUP(2,1/(Sorgo!$E39:INDEX(Sorgo!$E39:$Z39,MIN(AR$6-$E$3,22))&lt;&gt;""),Sorgo!$E39:INDEX(Sorgo!$E39:$Z39,MIN(AR$6-$E$3,22))),0))-IF($G$2,0,IF((AR$6-$G$3)&lt;1,0,IFERROR(LOOKUP(2,1/(Sorgo!$E39:INDEX(Sorgo!$E39:$Z39,MIN(AR$6-$G$3,22))&lt;&gt;""),Sorgo!$E39:INDEX(Sorgo!$E39:$Z39,MIN(AR$6-$G$3,22))),0)))))</f>
        <v>0</v>
      </c>
      <c r="AS41" s="27" t="n">
        <f aca="false">IF(COUNT(Sorgo!$E39:$Z39)=0,0,MAX(0,IF((AS$6-$E$3)&lt;1,0,IFERROR(LOOKUP(2,1/(Sorgo!$E39:INDEX(Sorgo!$E39:$Z39,MIN(AS$6-$E$3,22))&lt;&gt;""),Sorgo!$E39:INDEX(Sorgo!$E39:$Z39,MIN(AS$6-$E$3,22))),0))-IF($G$2,0,IF((AS$6-$G$3)&lt;1,0,IFERROR(LOOKUP(2,1/(Sorgo!$E39:INDEX(Sorgo!$E39:$Z39,MIN(AS$6-$G$3,22))&lt;&gt;""),Sorgo!$E39:INDEX(Sorgo!$E39:$Z39,MIN(AS$6-$G$3,22))),0)))))</f>
        <v>0</v>
      </c>
      <c r="AT41" s="27" t="n">
        <f aca="false">IF(COUNT(Sorgo!$E39:$Z39)=0,0,MAX(0,IF((AT$6-$E$3)&lt;1,0,IFERROR(LOOKUP(2,1/(Sorgo!$E39:INDEX(Sorgo!$E39:$Z39,MIN(AT$6-$E$3,22))&lt;&gt;""),Sorgo!$E39:INDEX(Sorgo!$E39:$Z39,MIN(AT$6-$E$3,22))),0))-IF($G$2,0,IF((AT$6-$G$3)&lt;1,0,IFERROR(LOOKUP(2,1/(Sorgo!$E39:INDEX(Sorgo!$E39:$Z39,MIN(AT$6-$G$3,22))&lt;&gt;""),Sorgo!$E39:INDEX(Sorgo!$E39:$Z39,MIN(AT$6-$G$3,22))),0)))))</f>
        <v>0</v>
      </c>
      <c r="AU41" s="27" t="n">
        <f aca="false">IF(COUNT(Sorgo!$E39:$Z39)=0,0,MAX(0,IF((AU$6-$E$3)&lt;1,0,IFERROR(LOOKUP(2,1/(Sorgo!$E39:INDEX(Sorgo!$E39:$Z39,MIN(AU$6-$E$3,22))&lt;&gt;""),Sorgo!$E39:INDEX(Sorgo!$E39:$Z39,MIN(AU$6-$E$3,22))),0))-IF($G$2,0,IF((AU$6-$G$3)&lt;1,0,IFERROR(LOOKUP(2,1/(Sorgo!$E39:INDEX(Sorgo!$E39:$Z39,MIN(AU$6-$G$3,22))&lt;&gt;""),Sorgo!$E39:INDEX(Sorgo!$E39:$Z39,MIN(AU$6-$G$3,22))),0)))))</f>
        <v>0</v>
      </c>
      <c r="AV41" s="27" t="n">
        <f aca="false">IF(COUNT(Sorgo!$E39:$Z39)=0,0,MAX(0,IF((AV$6-$E$3)&lt;1,0,IFERROR(LOOKUP(2,1/(Sorgo!$E39:INDEX(Sorgo!$E39:$Z39,MIN(AV$6-$E$3,22))&lt;&gt;""),Sorgo!$E39:INDEX(Sorgo!$E39:$Z39,MIN(AV$6-$E$3,22))),0))-IF($G$2,0,IF((AV$6-$G$3)&lt;1,0,IFERROR(LOOKUP(2,1/(Sorgo!$E39:INDEX(Sorgo!$E39:$Z39,MIN(AV$6-$G$3,22))&lt;&gt;""),Sorgo!$E39:INDEX(Sorgo!$E39:$Z39,MIN(AV$6-$G$3,22))),0)))))</f>
        <v>0</v>
      </c>
      <c r="AW41" s="27" t="n">
        <f aca="false">IF(COUNT(Sorgo!$E39:$Z39)=0,0,MAX(0,IF((AW$6-$E$3)&lt;1,0,IFERROR(LOOKUP(2,1/(Sorgo!$E39:INDEX(Sorgo!$E39:$Z39,MIN(AW$6-$E$3,22))&lt;&gt;""),Sorgo!$E39:INDEX(Sorgo!$E39:$Z39,MIN(AW$6-$E$3,22))),0))-IF($G$2,0,IF((AW$6-$G$3)&lt;1,0,IFERROR(LOOKUP(2,1/(Sorgo!$E39:INDEX(Sorgo!$E39:$Z39,MIN(AW$6-$G$3,22))&lt;&gt;""),Sorgo!$E39:INDEX(Sorgo!$E39:$Z39,MIN(AW$6-$G$3,22))),0)))))</f>
        <v>0</v>
      </c>
      <c r="AX41" s="27" t="n">
        <f aca="false">IF(COUNT(Sorgo!$E39:$Z39)=0,0,MAX(0,IF((AX$6-$E$3)&lt;1,0,IFERROR(LOOKUP(2,1/(Sorgo!$E39:INDEX(Sorgo!$E39:$Z39,MIN(AX$6-$E$3,22))&lt;&gt;""),Sorgo!$E39:INDEX(Sorgo!$E39:$Z39,MIN(AX$6-$E$3,22))),0))-IF($G$2,0,IF((AX$6-$G$3)&lt;1,0,IFERROR(LOOKUP(2,1/(Sorgo!$E39:INDEX(Sorgo!$E39:$Z39,MIN(AX$6-$G$3,22))&lt;&gt;""),Sorgo!$E39:INDEX(Sorgo!$E39:$Z39,MIN(AX$6-$G$3,22))),0)))))</f>
        <v>0</v>
      </c>
      <c r="AY41" s="27" t="n">
        <f aca="false">IF(COUNT(Sorgo!$E39:$Z39)=0,0,MAX(0,IF((AY$6-$E$3)&lt;1,0,IFERROR(LOOKUP(2,1/(Sorgo!$E39:INDEX(Sorgo!$E39:$Z39,MIN(AY$6-$E$3,22))&lt;&gt;""),Sorgo!$E39:INDEX(Sorgo!$E39:$Z39,MIN(AY$6-$E$3,22))),0))-IF($G$2,0,IF((AY$6-$G$3)&lt;1,0,IFERROR(LOOKUP(2,1/(Sorgo!$E39:INDEX(Sorgo!$E39:$Z39,MIN(AY$6-$G$3,22))&lt;&gt;""),Sorgo!$E39:INDEX(Sorgo!$E39:$Z39,MIN(AY$6-$G$3,22))),0)))))</f>
        <v>0</v>
      </c>
      <c r="AZ41" s="27" t="n">
        <f aca="false">IF(COUNT(Sorgo!$E39:$Z39)=0,0,MAX(0,IF((AZ$6-$E$3)&lt;1,0,IFERROR(LOOKUP(2,1/(Sorgo!$E39:INDEX(Sorgo!$E39:$Z39,MIN(AZ$6-$E$3,22))&lt;&gt;""),Sorgo!$E39:INDEX(Sorgo!$E39:$Z39,MIN(AZ$6-$E$3,22))),0))-IF($G$2,0,IF((AZ$6-$G$3)&lt;1,0,IFERROR(LOOKUP(2,1/(Sorgo!$E39:INDEX(Sorgo!$E39:$Z39,MIN(AZ$6-$G$3,22))&lt;&gt;""),Sorgo!$E39:INDEX(Sorgo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IF(COUNT(Sorgo!$E40:$Z40)&gt;0,N(Sorgo!$D40),0)</f>
        <v>0</v>
      </c>
      <c r="E42" s="27" t="n">
        <f aca="false">IF(COUNT(Sorgo!$E40:$Z40)=0,0,MAX(0,IF((E$6-$E$3)&lt;1,0,IFERROR(LOOKUP(2,1/(Sorgo!$E40:INDEX(Sorgo!$E40:$Z40,MIN(E$6-$E$3,22))&lt;&gt;""),Sorgo!$E40:INDEX(Sorgo!$E40:$Z40,MIN(E$6-$E$3,22))),0))-IF($G$2,0,IF((E$6-$G$3)&lt;1,0,IFERROR(LOOKUP(2,1/(Sorgo!$E40:INDEX(Sorgo!$E40:$Z40,MIN(E$6-$G$3,22))&lt;&gt;""),Sorgo!$E40:INDEX(Sorgo!$E40:$Z40,MIN(E$6-$G$3,22))),0)))))</f>
        <v>0</v>
      </c>
      <c r="F42" s="27" t="n">
        <f aca="false">IF(COUNT(Sorgo!$E40:$Z40)=0,0,MAX(0,IF((F$6-$E$3)&lt;1,0,IFERROR(LOOKUP(2,1/(Sorgo!$E40:INDEX(Sorgo!$E40:$Z40,MIN(F$6-$E$3,22))&lt;&gt;""),Sorgo!$E40:INDEX(Sorgo!$E40:$Z40,MIN(F$6-$E$3,22))),0))-IF($G$2,0,IF((F$6-$G$3)&lt;1,0,IFERROR(LOOKUP(2,1/(Sorgo!$E40:INDEX(Sorgo!$E40:$Z40,MIN(F$6-$G$3,22))&lt;&gt;""),Sorgo!$E40:INDEX(Sorgo!$E40:$Z40,MIN(F$6-$G$3,22))),0)))))</f>
        <v>0</v>
      </c>
      <c r="G42" s="27" t="n">
        <f aca="false">IF(COUNT(Sorgo!$E40:$Z40)=0,0,MAX(0,IF((G$6-$E$3)&lt;1,0,IFERROR(LOOKUP(2,1/(Sorgo!$E40:INDEX(Sorgo!$E40:$Z40,MIN(G$6-$E$3,22))&lt;&gt;""),Sorgo!$E40:INDEX(Sorgo!$E40:$Z40,MIN(G$6-$E$3,22))),0))-IF($G$2,0,IF((G$6-$G$3)&lt;1,0,IFERROR(LOOKUP(2,1/(Sorgo!$E40:INDEX(Sorgo!$E40:$Z40,MIN(G$6-$G$3,22))&lt;&gt;""),Sorgo!$E40:INDEX(Sorgo!$E40:$Z40,MIN(G$6-$G$3,22))),0)))))</f>
        <v>0</v>
      </c>
      <c r="H42" s="27" t="n">
        <f aca="false">IF(COUNT(Sorgo!$E40:$Z40)=0,0,MAX(0,IF((H$6-$E$3)&lt;1,0,IFERROR(LOOKUP(2,1/(Sorgo!$E40:INDEX(Sorgo!$E40:$Z40,MIN(H$6-$E$3,22))&lt;&gt;""),Sorgo!$E40:INDEX(Sorgo!$E40:$Z40,MIN(H$6-$E$3,22))),0))-IF($G$2,0,IF((H$6-$G$3)&lt;1,0,IFERROR(LOOKUP(2,1/(Sorgo!$E40:INDEX(Sorgo!$E40:$Z40,MIN(H$6-$G$3,22))&lt;&gt;""),Sorgo!$E40:INDEX(Sorgo!$E40:$Z40,MIN(H$6-$G$3,22))),0)))))</f>
        <v>0</v>
      </c>
      <c r="I42" s="27" t="n">
        <f aca="false">IF(COUNT(Sorgo!$E40:$Z40)=0,0,MAX(0,IF((I$6-$E$3)&lt;1,0,IFERROR(LOOKUP(2,1/(Sorgo!$E40:INDEX(Sorgo!$E40:$Z40,MIN(I$6-$E$3,22))&lt;&gt;""),Sorgo!$E40:INDEX(Sorgo!$E40:$Z40,MIN(I$6-$E$3,22))),0))-IF($G$2,0,IF((I$6-$G$3)&lt;1,0,IFERROR(LOOKUP(2,1/(Sorgo!$E40:INDEX(Sorgo!$E40:$Z40,MIN(I$6-$G$3,22))&lt;&gt;""),Sorgo!$E40:INDEX(Sorgo!$E40:$Z40,MIN(I$6-$G$3,22))),0)))))</f>
        <v>0</v>
      </c>
      <c r="J42" s="27" t="n">
        <f aca="false">IF(COUNT(Sorgo!$E40:$Z40)=0,0,MAX(0,IF((J$6-$E$3)&lt;1,0,IFERROR(LOOKUP(2,1/(Sorgo!$E40:INDEX(Sorgo!$E40:$Z40,MIN(J$6-$E$3,22))&lt;&gt;""),Sorgo!$E40:INDEX(Sorgo!$E40:$Z40,MIN(J$6-$E$3,22))),0))-IF($G$2,0,IF((J$6-$G$3)&lt;1,0,IFERROR(LOOKUP(2,1/(Sorgo!$E40:INDEX(Sorgo!$E40:$Z40,MIN(J$6-$G$3,22))&lt;&gt;""),Sorgo!$E40:INDEX(Sorgo!$E40:$Z40,MIN(J$6-$G$3,22))),0)))))</f>
        <v>0</v>
      </c>
      <c r="K42" s="27" t="n">
        <f aca="false">IF(COUNT(Sorgo!$E40:$Z40)=0,0,MAX(0,IF((K$6-$E$3)&lt;1,0,IFERROR(LOOKUP(2,1/(Sorgo!$E40:INDEX(Sorgo!$E40:$Z40,MIN(K$6-$E$3,22))&lt;&gt;""),Sorgo!$E40:INDEX(Sorgo!$E40:$Z40,MIN(K$6-$E$3,22))),0))-IF($G$2,0,IF((K$6-$G$3)&lt;1,0,IFERROR(LOOKUP(2,1/(Sorgo!$E40:INDEX(Sorgo!$E40:$Z40,MIN(K$6-$G$3,22))&lt;&gt;""),Sorgo!$E40:INDEX(Sorgo!$E40:$Z40,MIN(K$6-$G$3,22))),0)))))</f>
        <v>0</v>
      </c>
      <c r="L42" s="27" t="n">
        <f aca="false">IF(COUNT(Sorgo!$E40:$Z40)=0,0,MAX(0,IF((L$6-$E$3)&lt;1,0,IFERROR(LOOKUP(2,1/(Sorgo!$E40:INDEX(Sorgo!$E40:$Z40,MIN(L$6-$E$3,22))&lt;&gt;""),Sorgo!$E40:INDEX(Sorgo!$E40:$Z40,MIN(L$6-$E$3,22))),0))-IF($G$2,0,IF((L$6-$G$3)&lt;1,0,IFERROR(LOOKUP(2,1/(Sorgo!$E40:INDEX(Sorgo!$E40:$Z40,MIN(L$6-$G$3,22))&lt;&gt;""),Sorgo!$E40:INDEX(Sorgo!$E40:$Z40,MIN(L$6-$G$3,22))),0)))))</f>
        <v>0</v>
      </c>
      <c r="M42" s="27" t="n">
        <f aca="false">IF(COUNT(Sorgo!$E40:$Z40)=0,0,MAX(0,IF((M$6-$E$3)&lt;1,0,IFERROR(LOOKUP(2,1/(Sorgo!$E40:INDEX(Sorgo!$E40:$Z40,MIN(M$6-$E$3,22))&lt;&gt;""),Sorgo!$E40:INDEX(Sorgo!$E40:$Z40,MIN(M$6-$E$3,22))),0))-IF($G$2,0,IF((M$6-$G$3)&lt;1,0,IFERROR(LOOKUP(2,1/(Sorgo!$E40:INDEX(Sorgo!$E40:$Z40,MIN(M$6-$G$3,22))&lt;&gt;""),Sorgo!$E40:INDEX(Sorgo!$E40:$Z40,MIN(M$6-$G$3,22))),0)))))</f>
        <v>0</v>
      </c>
      <c r="N42" s="27" t="n">
        <f aca="false">IF(COUNT(Sorgo!$E40:$Z40)=0,0,MAX(0,IF((N$6-$E$3)&lt;1,0,IFERROR(LOOKUP(2,1/(Sorgo!$E40:INDEX(Sorgo!$E40:$Z40,MIN(N$6-$E$3,22))&lt;&gt;""),Sorgo!$E40:INDEX(Sorgo!$E40:$Z40,MIN(N$6-$E$3,22))),0))-IF($G$2,0,IF((N$6-$G$3)&lt;1,0,IFERROR(LOOKUP(2,1/(Sorgo!$E40:INDEX(Sorgo!$E40:$Z40,MIN(N$6-$G$3,22))&lt;&gt;""),Sorgo!$E40:INDEX(Sorgo!$E40:$Z40,MIN(N$6-$G$3,22))),0)))))</f>
        <v>0</v>
      </c>
      <c r="O42" s="27" t="n">
        <f aca="false">IF(COUNT(Sorgo!$E40:$Z40)=0,0,MAX(0,IF((O$6-$E$3)&lt;1,0,IFERROR(LOOKUP(2,1/(Sorgo!$E40:INDEX(Sorgo!$E40:$Z40,MIN(O$6-$E$3,22))&lt;&gt;""),Sorgo!$E40:INDEX(Sorgo!$E40:$Z40,MIN(O$6-$E$3,22))),0))-IF($G$2,0,IF((O$6-$G$3)&lt;1,0,IFERROR(LOOKUP(2,1/(Sorgo!$E40:INDEX(Sorgo!$E40:$Z40,MIN(O$6-$G$3,22))&lt;&gt;""),Sorgo!$E40:INDEX(Sorgo!$E40:$Z40,MIN(O$6-$G$3,22))),0)))))</f>
        <v>0</v>
      </c>
      <c r="P42" s="27" t="n">
        <f aca="false">IF(COUNT(Sorgo!$E40:$Z40)=0,0,MAX(0,IF((P$6-$E$3)&lt;1,0,IFERROR(LOOKUP(2,1/(Sorgo!$E40:INDEX(Sorgo!$E40:$Z40,MIN(P$6-$E$3,22))&lt;&gt;""),Sorgo!$E40:INDEX(Sorgo!$E40:$Z40,MIN(P$6-$E$3,22))),0))-IF($G$2,0,IF((P$6-$G$3)&lt;1,0,IFERROR(LOOKUP(2,1/(Sorgo!$E40:INDEX(Sorgo!$E40:$Z40,MIN(P$6-$G$3,22))&lt;&gt;""),Sorgo!$E40:INDEX(Sorgo!$E40:$Z40,MIN(P$6-$G$3,22))),0)))))</f>
        <v>0</v>
      </c>
      <c r="Q42" s="27" t="n">
        <f aca="false">IF(COUNT(Sorgo!$E40:$Z40)=0,0,MAX(0,IF((Q$6-$E$3)&lt;1,0,IFERROR(LOOKUP(2,1/(Sorgo!$E40:INDEX(Sorgo!$E40:$Z40,MIN(Q$6-$E$3,22))&lt;&gt;""),Sorgo!$E40:INDEX(Sorgo!$E40:$Z40,MIN(Q$6-$E$3,22))),0))-IF($G$2,0,IF((Q$6-$G$3)&lt;1,0,IFERROR(LOOKUP(2,1/(Sorgo!$E40:INDEX(Sorgo!$E40:$Z40,MIN(Q$6-$G$3,22))&lt;&gt;""),Sorgo!$E40:INDEX(Sorgo!$E40:$Z40,MIN(Q$6-$G$3,22))),0)))))</f>
        <v>0</v>
      </c>
      <c r="R42" s="27" t="n">
        <f aca="false">IF(COUNT(Sorgo!$E40:$Z40)=0,0,MAX(0,IF((R$6-$E$3)&lt;1,0,IFERROR(LOOKUP(2,1/(Sorgo!$E40:INDEX(Sorgo!$E40:$Z40,MIN(R$6-$E$3,22))&lt;&gt;""),Sorgo!$E40:INDEX(Sorgo!$E40:$Z40,MIN(R$6-$E$3,22))),0))-IF($G$2,0,IF((R$6-$G$3)&lt;1,0,IFERROR(LOOKUP(2,1/(Sorgo!$E40:INDEX(Sorgo!$E40:$Z40,MIN(R$6-$G$3,22))&lt;&gt;""),Sorgo!$E40:INDEX(Sorgo!$E40:$Z40,MIN(R$6-$G$3,22))),0)))))</f>
        <v>0</v>
      </c>
      <c r="S42" s="27" t="n">
        <f aca="false">IF(COUNT(Sorgo!$E40:$Z40)=0,0,MAX(0,IF((S$6-$E$3)&lt;1,0,IFERROR(LOOKUP(2,1/(Sorgo!$E40:INDEX(Sorgo!$E40:$Z40,MIN(S$6-$E$3,22))&lt;&gt;""),Sorgo!$E40:INDEX(Sorgo!$E40:$Z40,MIN(S$6-$E$3,22))),0))-IF($G$2,0,IF((S$6-$G$3)&lt;1,0,IFERROR(LOOKUP(2,1/(Sorgo!$E40:INDEX(Sorgo!$E40:$Z40,MIN(S$6-$G$3,22))&lt;&gt;""),Sorgo!$E40:INDEX(Sorgo!$E40:$Z40,MIN(S$6-$G$3,22))),0)))))</f>
        <v>0</v>
      </c>
      <c r="T42" s="27" t="n">
        <f aca="false">IF(COUNT(Sorgo!$E40:$Z40)=0,0,MAX(0,IF((T$6-$E$3)&lt;1,0,IFERROR(LOOKUP(2,1/(Sorgo!$E40:INDEX(Sorgo!$E40:$Z40,MIN(T$6-$E$3,22))&lt;&gt;""),Sorgo!$E40:INDEX(Sorgo!$E40:$Z40,MIN(T$6-$E$3,22))),0))-IF($G$2,0,IF((T$6-$G$3)&lt;1,0,IFERROR(LOOKUP(2,1/(Sorgo!$E40:INDEX(Sorgo!$E40:$Z40,MIN(T$6-$G$3,22))&lt;&gt;""),Sorgo!$E40:INDEX(Sorgo!$E40:$Z40,MIN(T$6-$G$3,22))),0)))))</f>
        <v>0</v>
      </c>
      <c r="U42" s="27" t="n">
        <f aca="false">IF(COUNT(Sorgo!$E40:$Z40)=0,0,MAX(0,IF((U$6-$E$3)&lt;1,0,IFERROR(LOOKUP(2,1/(Sorgo!$E40:INDEX(Sorgo!$E40:$Z40,MIN(U$6-$E$3,22))&lt;&gt;""),Sorgo!$E40:INDEX(Sorgo!$E40:$Z40,MIN(U$6-$E$3,22))),0))-IF($G$2,0,IF((U$6-$G$3)&lt;1,0,IFERROR(LOOKUP(2,1/(Sorgo!$E40:INDEX(Sorgo!$E40:$Z40,MIN(U$6-$G$3,22))&lt;&gt;""),Sorgo!$E40:INDEX(Sorgo!$E40:$Z40,MIN(U$6-$G$3,22))),0)))))</f>
        <v>0</v>
      </c>
      <c r="V42" s="27" t="n">
        <f aca="false">IF(COUNT(Sorgo!$E40:$Z40)=0,0,MAX(0,IF((V$6-$E$3)&lt;1,0,IFERROR(LOOKUP(2,1/(Sorgo!$E40:INDEX(Sorgo!$E40:$Z40,MIN(V$6-$E$3,22))&lt;&gt;""),Sorgo!$E40:INDEX(Sorgo!$E40:$Z40,MIN(V$6-$E$3,22))),0))-IF($G$2,0,IF((V$6-$G$3)&lt;1,0,IFERROR(LOOKUP(2,1/(Sorgo!$E40:INDEX(Sorgo!$E40:$Z40,MIN(V$6-$G$3,22))&lt;&gt;""),Sorgo!$E40:INDEX(Sorgo!$E40:$Z40,MIN(V$6-$G$3,22))),0)))))</f>
        <v>0</v>
      </c>
      <c r="W42" s="27" t="n">
        <f aca="false">IF(COUNT(Sorgo!$E40:$Z40)=0,0,MAX(0,IF((W$6-$E$3)&lt;1,0,IFERROR(LOOKUP(2,1/(Sorgo!$E40:INDEX(Sorgo!$E40:$Z40,MIN(W$6-$E$3,22))&lt;&gt;""),Sorgo!$E40:INDEX(Sorgo!$E40:$Z40,MIN(W$6-$E$3,22))),0))-IF($G$2,0,IF((W$6-$G$3)&lt;1,0,IFERROR(LOOKUP(2,1/(Sorgo!$E40:INDEX(Sorgo!$E40:$Z40,MIN(W$6-$G$3,22))&lt;&gt;""),Sorgo!$E40:INDEX(Sorgo!$E40:$Z40,MIN(W$6-$G$3,22))),0)))))</f>
        <v>0</v>
      </c>
      <c r="X42" s="27" t="n">
        <f aca="false">IF(COUNT(Sorgo!$E40:$Z40)=0,0,MAX(0,IF((X$6-$E$3)&lt;1,0,IFERROR(LOOKUP(2,1/(Sorgo!$E40:INDEX(Sorgo!$E40:$Z40,MIN(X$6-$E$3,22))&lt;&gt;""),Sorgo!$E40:INDEX(Sorgo!$E40:$Z40,MIN(X$6-$E$3,22))),0))-IF($G$2,0,IF((X$6-$G$3)&lt;1,0,IFERROR(LOOKUP(2,1/(Sorgo!$E40:INDEX(Sorgo!$E40:$Z40,MIN(X$6-$G$3,22))&lt;&gt;""),Sorgo!$E40:INDEX(Sorgo!$E40:$Z40,MIN(X$6-$G$3,22))),0)))))</f>
        <v>0</v>
      </c>
      <c r="Y42" s="27" t="n">
        <f aca="false">IF(COUNT(Sorgo!$E40:$Z40)=0,0,MAX(0,IF((Y$6-$E$3)&lt;1,0,IFERROR(LOOKUP(2,1/(Sorgo!$E40:INDEX(Sorgo!$E40:$Z40,MIN(Y$6-$E$3,22))&lt;&gt;""),Sorgo!$E40:INDEX(Sorgo!$E40:$Z40,MIN(Y$6-$E$3,22))),0))-IF($G$2,0,IF((Y$6-$G$3)&lt;1,0,IFERROR(LOOKUP(2,1/(Sorgo!$E40:INDEX(Sorgo!$E40:$Z40,MIN(Y$6-$G$3,22))&lt;&gt;""),Sorgo!$E40:INDEX(Sorgo!$E40:$Z40,MIN(Y$6-$G$3,22))),0)))))</f>
        <v>0</v>
      </c>
      <c r="Z42" s="27" t="n">
        <f aca="false">IF(COUNT(Sorgo!$E40:$Z40)=0,0,MAX(0,IF((Z$6-$E$3)&lt;1,0,IFERROR(LOOKUP(2,1/(Sorgo!$E40:INDEX(Sorgo!$E40:$Z40,MIN(Z$6-$E$3,22))&lt;&gt;""),Sorgo!$E40:INDEX(Sorgo!$E40:$Z40,MIN(Z$6-$E$3,22))),0))-IF($G$2,0,IF((Z$6-$G$3)&lt;1,0,IFERROR(LOOKUP(2,1/(Sorgo!$E40:INDEX(Sorgo!$E40:$Z40,MIN(Z$6-$G$3,22))&lt;&gt;""),Sorgo!$E40:INDEX(Sorgo!$E40:$Z40,MIN(Z$6-$G$3,22))),0)))))</f>
        <v>0</v>
      </c>
      <c r="AA42" s="27" t="n">
        <f aca="false">IF(COUNT(Sorgo!$E40:$Z40)=0,0,MAX(0,IF((AA$6-$E$3)&lt;1,0,IFERROR(LOOKUP(2,1/(Sorgo!$E40:INDEX(Sorgo!$E40:$Z40,MIN(AA$6-$E$3,22))&lt;&gt;""),Sorgo!$E40:INDEX(Sorgo!$E40:$Z40,MIN(AA$6-$E$3,22))),0))-IF($G$2,0,IF((AA$6-$G$3)&lt;1,0,IFERROR(LOOKUP(2,1/(Sorgo!$E40:INDEX(Sorgo!$E40:$Z40,MIN(AA$6-$G$3,22))&lt;&gt;""),Sorgo!$E40:INDEX(Sorgo!$E40:$Z40,MIN(AA$6-$G$3,22))),0)))))</f>
        <v>0</v>
      </c>
      <c r="AB42" s="27" t="n">
        <f aca="false">IF(COUNT(Sorgo!$E40:$Z40)=0,0,MAX(0,IF((AB$6-$E$3)&lt;1,0,IFERROR(LOOKUP(2,1/(Sorgo!$E40:INDEX(Sorgo!$E40:$Z40,MIN(AB$6-$E$3,22))&lt;&gt;""),Sorgo!$E40:INDEX(Sorgo!$E40:$Z40,MIN(AB$6-$E$3,22))),0))-IF($G$2,0,IF((AB$6-$G$3)&lt;1,0,IFERROR(LOOKUP(2,1/(Sorgo!$E40:INDEX(Sorgo!$E40:$Z40,MIN(AB$6-$G$3,22))&lt;&gt;""),Sorgo!$E40:INDEX(Sorgo!$E40:$Z40,MIN(AB$6-$G$3,22))),0)))))</f>
        <v>0</v>
      </c>
      <c r="AC42" s="27" t="n">
        <f aca="false">IF(COUNT(Sorgo!$E40:$Z40)=0,0,MAX(0,IF((AC$6-$E$3)&lt;1,0,IFERROR(LOOKUP(2,1/(Sorgo!$E40:INDEX(Sorgo!$E40:$Z40,MIN(AC$6-$E$3,22))&lt;&gt;""),Sorgo!$E40:INDEX(Sorgo!$E40:$Z40,MIN(AC$6-$E$3,22))),0))-IF($G$2,0,IF((AC$6-$G$3)&lt;1,0,IFERROR(LOOKUP(2,1/(Sorgo!$E40:INDEX(Sorgo!$E40:$Z40,MIN(AC$6-$G$3,22))&lt;&gt;""),Sorgo!$E40:INDEX(Sorgo!$E40:$Z40,MIN(AC$6-$G$3,22))),0)))))</f>
        <v>0</v>
      </c>
      <c r="AD42" s="27" t="n">
        <f aca="false">IF(COUNT(Sorgo!$E40:$Z40)=0,0,MAX(0,IF((AD$6-$E$3)&lt;1,0,IFERROR(LOOKUP(2,1/(Sorgo!$E40:INDEX(Sorgo!$E40:$Z40,MIN(AD$6-$E$3,22))&lt;&gt;""),Sorgo!$E40:INDEX(Sorgo!$E40:$Z40,MIN(AD$6-$E$3,22))),0))-IF($G$2,0,IF((AD$6-$G$3)&lt;1,0,IFERROR(LOOKUP(2,1/(Sorgo!$E40:INDEX(Sorgo!$E40:$Z40,MIN(AD$6-$G$3,22))&lt;&gt;""),Sorgo!$E40:INDEX(Sorgo!$E40:$Z40,MIN(AD$6-$G$3,22))),0)))))</f>
        <v>0</v>
      </c>
      <c r="AE42" s="27" t="n">
        <f aca="false">IF(COUNT(Sorgo!$E40:$Z40)=0,0,MAX(0,IF((AE$6-$E$3)&lt;1,0,IFERROR(LOOKUP(2,1/(Sorgo!$E40:INDEX(Sorgo!$E40:$Z40,MIN(AE$6-$E$3,22))&lt;&gt;""),Sorgo!$E40:INDEX(Sorgo!$E40:$Z40,MIN(AE$6-$E$3,22))),0))-IF($G$2,0,IF((AE$6-$G$3)&lt;1,0,IFERROR(LOOKUP(2,1/(Sorgo!$E40:INDEX(Sorgo!$E40:$Z40,MIN(AE$6-$G$3,22))&lt;&gt;""),Sorgo!$E40:INDEX(Sorgo!$E40:$Z40,MIN(AE$6-$G$3,22))),0)))))</f>
        <v>0</v>
      </c>
      <c r="AF42" s="27" t="n">
        <f aca="false">IF(COUNT(Sorgo!$E40:$Z40)=0,0,MAX(0,IF((AF$6-$E$3)&lt;1,0,IFERROR(LOOKUP(2,1/(Sorgo!$E40:INDEX(Sorgo!$E40:$Z40,MIN(AF$6-$E$3,22))&lt;&gt;""),Sorgo!$E40:INDEX(Sorgo!$E40:$Z40,MIN(AF$6-$E$3,22))),0))-IF($G$2,0,IF((AF$6-$G$3)&lt;1,0,IFERROR(LOOKUP(2,1/(Sorgo!$E40:INDEX(Sorgo!$E40:$Z40,MIN(AF$6-$G$3,22))&lt;&gt;""),Sorgo!$E40:INDEX(Sorgo!$E40:$Z40,MIN(AF$6-$G$3,22))),0)))))</f>
        <v>0</v>
      </c>
      <c r="AG42" s="27" t="n">
        <f aca="false">IF(COUNT(Sorgo!$E40:$Z40)=0,0,MAX(0,IF((AG$6-$E$3)&lt;1,0,IFERROR(LOOKUP(2,1/(Sorgo!$E40:INDEX(Sorgo!$E40:$Z40,MIN(AG$6-$E$3,22))&lt;&gt;""),Sorgo!$E40:INDEX(Sorgo!$E40:$Z40,MIN(AG$6-$E$3,22))),0))-IF($G$2,0,IF((AG$6-$G$3)&lt;1,0,IFERROR(LOOKUP(2,1/(Sorgo!$E40:INDEX(Sorgo!$E40:$Z40,MIN(AG$6-$G$3,22))&lt;&gt;""),Sorgo!$E40:INDEX(Sorgo!$E40:$Z40,MIN(AG$6-$G$3,22))),0)))))</f>
        <v>0</v>
      </c>
      <c r="AH42" s="27" t="n">
        <f aca="false">IF(COUNT(Sorgo!$E40:$Z40)=0,0,MAX(0,IF((AH$6-$E$3)&lt;1,0,IFERROR(LOOKUP(2,1/(Sorgo!$E40:INDEX(Sorgo!$E40:$Z40,MIN(AH$6-$E$3,22))&lt;&gt;""),Sorgo!$E40:INDEX(Sorgo!$E40:$Z40,MIN(AH$6-$E$3,22))),0))-IF($G$2,0,IF((AH$6-$G$3)&lt;1,0,IFERROR(LOOKUP(2,1/(Sorgo!$E40:INDEX(Sorgo!$E40:$Z40,MIN(AH$6-$G$3,22))&lt;&gt;""),Sorgo!$E40:INDEX(Sorgo!$E40:$Z40,MIN(AH$6-$G$3,22))),0)))))</f>
        <v>0</v>
      </c>
      <c r="AI42" s="27" t="n">
        <f aca="false">IF(COUNT(Sorgo!$E40:$Z40)=0,0,MAX(0,IF((AI$6-$E$3)&lt;1,0,IFERROR(LOOKUP(2,1/(Sorgo!$E40:INDEX(Sorgo!$E40:$Z40,MIN(AI$6-$E$3,22))&lt;&gt;""),Sorgo!$E40:INDEX(Sorgo!$E40:$Z40,MIN(AI$6-$E$3,22))),0))-IF($G$2,0,IF((AI$6-$G$3)&lt;1,0,IFERROR(LOOKUP(2,1/(Sorgo!$E40:INDEX(Sorgo!$E40:$Z40,MIN(AI$6-$G$3,22))&lt;&gt;""),Sorgo!$E40:INDEX(Sorgo!$E40:$Z40,MIN(AI$6-$G$3,22))),0)))))</f>
        <v>0</v>
      </c>
      <c r="AJ42" s="27" t="n">
        <f aca="false">IF(COUNT(Sorgo!$E40:$Z40)=0,0,MAX(0,IF((AJ$6-$E$3)&lt;1,0,IFERROR(LOOKUP(2,1/(Sorgo!$E40:INDEX(Sorgo!$E40:$Z40,MIN(AJ$6-$E$3,22))&lt;&gt;""),Sorgo!$E40:INDEX(Sorgo!$E40:$Z40,MIN(AJ$6-$E$3,22))),0))-IF($G$2,0,IF((AJ$6-$G$3)&lt;1,0,IFERROR(LOOKUP(2,1/(Sorgo!$E40:INDEX(Sorgo!$E40:$Z40,MIN(AJ$6-$G$3,22))&lt;&gt;""),Sorgo!$E40:INDEX(Sorgo!$E40:$Z40,MIN(AJ$6-$G$3,22))),0)))))</f>
        <v>0</v>
      </c>
      <c r="AK42" s="27" t="n">
        <f aca="false">IF(COUNT(Sorgo!$E40:$Z40)=0,0,MAX(0,IF((AK$6-$E$3)&lt;1,0,IFERROR(LOOKUP(2,1/(Sorgo!$E40:INDEX(Sorgo!$E40:$Z40,MIN(AK$6-$E$3,22))&lt;&gt;""),Sorgo!$E40:INDEX(Sorgo!$E40:$Z40,MIN(AK$6-$E$3,22))),0))-IF($G$2,0,IF((AK$6-$G$3)&lt;1,0,IFERROR(LOOKUP(2,1/(Sorgo!$E40:INDEX(Sorgo!$E40:$Z40,MIN(AK$6-$G$3,22))&lt;&gt;""),Sorgo!$E40:INDEX(Sorgo!$E40:$Z40,MIN(AK$6-$G$3,22))),0)))))</f>
        <v>0</v>
      </c>
      <c r="AL42" s="27" t="n">
        <f aca="false">IF(COUNT(Sorgo!$E40:$Z40)=0,0,MAX(0,IF((AL$6-$E$3)&lt;1,0,IFERROR(LOOKUP(2,1/(Sorgo!$E40:INDEX(Sorgo!$E40:$Z40,MIN(AL$6-$E$3,22))&lt;&gt;""),Sorgo!$E40:INDEX(Sorgo!$E40:$Z40,MIN(AL$6-$E$3,22))),0))-IF($G$2,0,IF((AL$6-$G$3)&lt;1,0,IFERROR(LOOKUP(2,1/(Sorgo!$E40:INDEX(Sorgo!$E40:$Z40,MIN(AL$6-$G$3,22))&lt;&gt;""),Sorgo!$E40:INDEX(Sorgo!$E40:$Z40,MIN(AL$6-$G$3,22))),0)))))</f>
        <v>0</v>
      </c>
      <c r="AM42" s="27" t="n">
        <f aca="false">IF(COUNT(Sorgo!$E40:$Z40)=0,0,MAX(0,IF((AM$6-$E$3)&lt;1,0,IFERROR(LOOKUP(2,1/(Sorgo!$E40:INDEX(Sorgo!$E40:$Z40,MIN(AM$6-$E$3,22))&lt;&gt;""),Sorgo!$E40:INDEX(Sorgo!$E40:$Z40,MIN(AM$6-$E$3,22))),0))-IF($G$2,0,IF((AM$6-$G$3)&lt;1,0,IFERROR(LOOKUP(2,1/(Sorgo!$E40:INDEX(Sorgo!$E40:$Z40,MIN(AM$6-$G$3,22))&lt;&gt;""),Sorgo!$E40:INDEX(Sorgo!$E40:$Z40,MIN(AM$6-$G$3,22))),0)))))</f>
        <v>0</v>
      </c>
      <c r="AN42" s="27" t="n">
        <f aca="false">IF(COUNT(Sorgo!$E40:$Z40)=0,0,MAX(0,IF((AN$6-$E$3)&lt;1,0,IFERROR(LOOKUP(2,1/(Sorgo!$E40:INDEX(Sorgo!$E40:$Z40,MIN(AN$6-$E$3,22))&lt;&gt;""),Sorgo!$E40:INDEX(Sorgo!$E40:$Z40,MIN(AN$6-$E$3,22))),0))-IF($G$2,0,IF((AN$6-$G$3)&lt;1,0,IFERROR(LOOKUP(2,1/(Sorgo!$E40:INDEX(Sorgo!$E40:$Z40,MIN(AN$6-$G$3,22))&lt;&gt;""),Sorgo!$E40:INDEX(Sorgo!$E40:$Z40,MIN(AN$6-$G$3,22))),0)))))</f>
        <v>0</v>
      </c>
      <c r="AO42" s="27" t="n">
        <f aca="false">IF(COUNT(Sorgo!$E40:$Z40)=0,0,MAX(0,IF((AO$6-$E$3)&lt;1,0,IFERROR(LOOKUP(2,1/(Sorgo!$E40:INDEX(Sorgo!$E40:$Z40,MIN(AO$6-$E$3,22))&lt;&gt;""),Sorgo!$E40:INDEX(Sorgo!$E40:$Z40,MIN(AO$6-$E$3,22))),0))-IF($G$2,0,IF((AO$6-$G$3)&lt;1,0,IFERROR(LOOKUP(2,1/(Sorgo!$E40:INDEX(Sorgo!$E40:$Z40,MIN(AO$6-$G$3,22))&lt;&gt;""),Sorgo!$E40:INDEX(Sorgo!$E40:$Z40,MIN(AO$6-$G$3,22))),0)))))</f>
        <v>0</v>
      </c>
      <c r="AP42" s="27" t="n">
        <f aca="false">IF(COUNT(Sorgo!$E40:$Z40)=0,0,MAX(0,IF((AP$6-$E$3)&lt;1,0,IFERROR(LOOKUP(2,1/(Sorgo!$E40:INDEX(Sorgo!$E40:$Z40,MIN(AP$6-$E$3,22))&lt;&gt;""),Sorgo!$E40:INDEX(Sorgo!$E40:$Z40,MIN(AP$6-$E$3,22))),0))-IF($G$2,0,IF((AP$6-$G$3)&lt;1,0,IFERROR(LOOKUP(2,1/(Sorgo!$E40:INDEX(Sorgo!$E40:$Z40,MIN(AP$6-$G$3,22))&lt;&gt;""),Sorgo!$E40:INDEX(Sorgo!$E40:$Z40,MIN(AP$6-$G$3,22))),0)))))</f>
        <v>0</v>
      </c>
      <c r="AQ42" s="27" t="n">
        <f aca="false">IF(COUNT(Sorgo!$E40:$Z40)=0,0,MAX(0,IF((AQ$6-$E$3)&lt;1,0,IFERROR(LOOKUP(2,1/(Sorgo!$E40:INDEX(Sorgo!$E40:$Z40,MIN(AQ$6-$E$3,22))&lt;&gt;""),Sorgo!$E40:INDEX(Sorgo!$E40:$Z40,MIN(AQ$6-$E$3,22))),0))-IF($G$2,0,IF((AQ$6-$G$3)&lt;1,0,IFERROR(LOOKUP(2,1/(Sorgo!$E40:INDEX(Sorgo!$E40:$Z40,MIN(AQ$6-$G$3,22))&lt;&gt;""),Sorgo!$E40:INDEX(Sorgo!$E40:$Z40,MIN(AQ$6-$G$3,22))),0)))))</f>
        <v>0</v>
      </c>
      <c r="AR42" s="27" t="n">
        <f aca="false">IF(COUNT(Sorgo!$E40:$Z40)=0,0,MAX(0,IF((AR$6-$E$3)&lt;1,0,IFERROR(LOOKUP(2,1/(Sorgo!$E40:INDEX(Sorgo!$E40:$Z40,MIN(AR$6-$E$3,22))&lt;&gt;""),Sorgo!$E40:INDEX(Sorgo!$E40:$Z40,MIN(AR$6-$E$3,22))),0))-IF($G$2,0,IF((AR$6-$G$3)&lt;1,0,IFERROR(LOOKUP(2,1/(Sorgo!$E40:INDEX(Sorgo!$E40:$Z40,MIN(AR$6-$G$3,22))&lt;&gt;""),Sorgo!$E40:INDEX(Sorgo!$E40:$Z40,MIN(AR$6-$G$3,22))),0)))))</f>
        <v>0</v>
      </c>
      <c r="AS42" s="27" t="n">
        <f aca="false">IF(COUNT(Sorgo!$E40:$Z40)=0,0,MAX(0,IF((AS$6-$E$3)&lt;1,0,IFERROR(LOOKUP(2,1/(Sorgo!$E40:INDEX(Sorgo!$E40:$Z40,MIN(AS$6-$E$3,22))&lt;&gt;""),Sorgo!$E40:INDEX(Sorgo!$E40:$Z40,MIN(AS$6-$E$3,22))),0))-IF($G$2,0,IF((AS$6-$G$3)&lt;1,0,IFERROR(LOOKUP(2,1/(Sorgo!$E40:INDEX(Sorgo!$E40:$Z40,MIN(AS$6-$G$3,22))&lt;&gt;""),Sorgo!$E40:INDEX(Sorgo!$E40:$Z40,MIN(AS$6-$G$3,22))),0)))))</f>
        <v>0</v>
      </c>
      <c r="AT42" s="27" t="n">
        <f aca="false">IF(COUNT(Sorgo!$E40:$Z40)=0,0,MAX(0,IF((AT$6-$E$3)&lt;1,0,IFERROR(LOOKUP(2,1/(Sorgo!$E40:INDEX(Sorgo!$E40:$Z40,MIN(AT$6-$E$3,22))&lt;&gt;""),Sorgo!$E40:INDEX(Sorgo!$E40:$Z40,MIN(AT$6-$E$3,22))),0))-IF($G$2,0,IF((AT$6-$G$3)&lt;1,0,IFERROR(LOOKUP(2,1/(Sorgo!$E40:INDEX(Sorgo!$E40:$Z40,MIN(AT$6-$G$3,22))&lt;&gt;""),Sorgo!$E40:INDEX(Sorgo!$E40:$Z40,MIN(AT$6-$G$3,22))),0)))))</f>
        <v>0</v>
      </c>
      <c r="AU42" s="27" t="n">
        <f aca="false">IF(COUNT(Sorgo!$E40:$Z40)=0,0,MAX(0,IF((AU$6-$E$3)&lt;1,0,IFERROR(LOOKUP(2,1/(Sorgo!$E40:INDEX(Sorgo!$E40:$Z40,MIN(AU$6-$E$3,22))&lt;&gt;""),Sorgo!$E40:INDEX(Sorgo!$E40:$Z40,MIN(AU$6-$E$3,22))),0))-IF($G$2,0,IF((AU$6-$G$3)&lt;1,0,IFERROR(LOOKUP(2,1/(Sorgo!$E40:INDEX(Sorgo!$E40:$Z40,MIN(AU$6-$G$3,22))&lt;&gt;""),Sorgo!$E40:INDEX(Sorgo!$E40:$Z40,MIN(AU$6-$G$3,22))),0)))))</f>
        <v>0</v>
      </c>
      <c r="AV42" s="27" t="n">
        <f aca="false">IF(COUNT(Sorgo!$E40:$Z40)=0,0,MAX(0,IF((AV$6-$E$3)&lt;1,0,IFERROR(LOOKUP(2,1/(Sorgo!$E40:INDEX(Sorgo!$E40:$Z40,MIN(AV$6-$E$3,22))&lt;&gt;""),Sorgo!$E40:INDEX(Sorgo!$E40:$Z40,MIN(AV$6-$E$3,22))),0))-IF($G$2,0,IF((AV$6-$G$3)&lt;1,0,IFERROR(LOOKUP(2,1/(Sorgo!$E40:INDEX(Sorgo!$E40:$Z40,MIN(AV$6-$G$3,22))&lt;&gt;""),Sorgo!$E40:INDEX(Sorgo!$E40:$Z40,MIN(AV$6-$G$3,22))),0)))))</f>
        <v>0</v>
      </c>
      <c r="AW42" s="27" t="n">
        <f aca="false">IF(COUNT(Sorgo!$E40:$Z40)=0,0,MAX(0,IF((AW$6-$E$3)&lt;1,0,IFERROR(LOOKUP(2,1/(Sorgo!$E40:INDEX(Sorgo!$E40:$Z40,MIN(AW$6-$E$3,22))&lt;&gt;""),Sorgo!$E40:INDEX(Sorgo!$E40:$Z40,MIN(AW$6-$E$3,22))),0))-IF($G$2,0,IF((AW$6-$G$3)&lt;1,0,IFERROR(LOOKUP(2,1/(Sorgo!$E40:INDEX(Sorgo!$E40:$Z40,MIN(AW$6-$G$3,22))&lt;&gt;""),Sorgo!$E40:INDEX(Sorgo!$E40:$Z40,MIN(AW$6-$G$3,22))),0)))))</f>
        <v>0</v>
      </c>
      <c r="AX42" s="27" t="n">
        <f aca="false">IF(COUNT(Sorgo!$E40:$Z40)=0,0,MAX(0,IF((AX$6-$E$3)&lt;1,0,IFERROR(LOOKUP(2,1/(Sorgo!$E40:INDEX(Sorgo!$E40:$Z40,MIN(AX$6-$E$3,22))&lt;&gt;""),Sorgo!$E40:INDEX(Sorgo!$E40:$Z40,MIN(AX$6-$E$3,22))),0))-IF($G$2,0,IF((AX$6-$G$3)&lt;1,0,IFERROR(LOOKUP(2,1/(Sorgo!$E40:INDEX(Sorgo!$E40:$Z40,MIN(AX$6-$G$3,22))&lt;&gt;""),Sorgo!$E40:INDEX(Sorgo!$E40:$Z40,MIN(AX$6-$G$3,22))),0)))))</f>
        <v>0</v>
      </c>
      <c r="AY42" s="27" t="n">
        <f aca="false">IF(COUNT(Sorgo!$E40:$Z40)=0,0,MAX(0,IF((AY$6-$E$3)&lt;1,0,IFERROR(LOOKUP(2,1/(Sorgo!$E40:INDEX(Sorgo!$E40:$Z40,MIN(AY$6-$E$3,22))&lt;&gt;""),Sorgo!$E40:INDEX(Sorgo!$E40:$Z40,MIN(AY$6-$E$3,22))),0))-IF($G$2,0,IF((AY$6-$G$3)&lt;1,0,IFERROR(LOOKUP(2,1/(Sorgo!$E40:INDEX(Sorgo!$E40:$Z40,MIN(AY$6-$G$3,22))&lt;&gt;""),Sorgo!$E40:INDEX(Sorgo!$E40:$Z40,MIN(AY$6-$G$3,22))),0)))))</f>
        <v>0</v>
      </c>
      <c r="AZ42" s="27" t="n">
        <f aca="false">IF(COUNT(Sorgo!$E40:$Z40)=0,0,MAX(0,IF((AZ$6-$E$3)&lt;1,0,IFERROR(LOOKUP(2,1/(Sorgo!$E40:INDEX(Sorgo!$E40:$Z40,MIN(AZ$6-$E$3,22))&lt;&gt;""),Sorgo!$E40:INDEX(Sorgo!$E40:$Z40,MIN(AZ$6-$E$3,22))),0))-IF($G$2,0,IF((AZ$6-$G$3)&lt;1,0,IFERROR(LOOKUP(2,1/(Sorgo!$E40:INDEX(Sorgo!$E40:$Z40,MIN(AZ$6-$G$3,22))&lt;&gt;""),Sorgo!$E40:INDEX(Sorgo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IF(COUNT(Sorgo!$E41:$Z41)&gt;0,N(Sorgo!$D41),0)</f>
        <v>0</v>
      </c>
      <c r="E43" s="27" t="n">
        <f aca="false">IF(COUNT(Sorgo!$E41:$Z41)=0,0,MAX(0,IF((E$6-$E$3)&lt;1,0,IFERROR(LOOKUP(2,1/(Sorgo!$E41:INDEX(Sorgo!$E41:$Z41,MIN(E$6-$E$3,22))&lt;&gt;""),Sorgo!$E41:INDEX(Sorgo!$E41:$Z41,MIN(E$6-$E$3,22))),0))-IF($G$2,0,IF((E$6-$G$3)&lt;1,0,IFERROR(LOOKUP(2,1/(Sorgo!$E41:INDEX(Sorgo!$E41:$Z41,MIN(E$6-$G$3,22))&lt;&gt;""),Sorgo!$E41:INDEX(Sorgo!$E41:$Z41,MIN(E$6-$G$3,22))),0)))))</f>
        <v>0</v>
      </c>
      <c r="F43" s="27" t="n">
        <f aca="false">IF(COUNT(Sorgo!$E41:$Z41)=0,0,MAX(0,IF((F$6-$E$3)&lt;1,0,IFERROR(LOOKUP(2,1/(Sorgo!$E41:INDEX(Sorgo!$E41:$Z41,MIN(F$6-$E$3,22))&lt;&gt;""),Sorgo!$E41:INDEX(Sorgo!$E41:$Z41,MIN(F$6-$E$3,22))),0))-IF($G$2,0,IF((F$6-$G$3)&lt;1,0,IFERROR(LOOKUP(2,1/(Sorgo!$E41:INDEX(Sorgo!$E41:$Z41,MIN(F$6-$G$3,22))&lt;&gt;""),Sorgo!$E41:INDEX(Sorgo!$E41:$Z41,MIN(F$6-$G$3,22))),0)))))</f>
        <v>0</v>
      </c>
      <c r="G43" s="27" t="n">
        <f aca="false">IF(COUNT(Sorgo!$E41:$Z41)=0,0,MAX(0,IF((G$6-$E$3)&lt;1,0,IFERROR(LOOKUP(2,1/(Sorgo!$E41:INDEX(Sorgo!$E41:$Z41,MIN(G$6-$E$3,22))&lt;&gt;""),Sorgo!$E41:INDEX(Sorgo!$E41:$Z41,MIN(G$6-$E$3,22))),0))-IF($G$2,0,IF((G$6-$G$3)&lt;1,0,IFERROR(LOOKUP(2,1/(Sorgo!$E41:INDEX(Sorgo!$E41:$Z41,MIN(G$6-$G$3,22))&lt;&gt;""),Sorgo!$E41:INDEX(Sorgo!$E41:$Z41,MIN(G$6-$G$3,22))),0)))))</f>
        <v>0</v>
      </c>
      <c r="H43" s="27" t="n">
        <f aca="false">IF(COUNT(Sorgo!$E41:$Z41)=0,0,MAX(0,IF((H$6-$E$3)&lt;1,0,IFERROR(LOOKUP(2,1/(Sorgo!$E41:INDEX(Sorgo!$E41:$Z41,MIN(H$6-$E$3,22))&lt;&gt;""),Sorgo!$E41:INDEX(Sorgo!$E41:$Z41,MIN(H$6-$E$3,22))),0))-IF($G$2,0,IF((H$6-$G$3)&lt;1,0,IFERROR(LOOKUP(2,1/(Sorgo!$E41:INDEX(Sorgo!$E41:$Z41,MIN(H$6-$G$3,22))&lt;&gt;""),Sorgo!$E41:INDEX(Sorgo!$E41:$Z41,MIN(H$6-$G$3,22))),0)))))</f>
        <v>0</v>
      </c>
      <c r="I43" s="27" t="n">
        <f aca="false">IF(COUNT(Sorgo!$E41:$Z41)=0,0,MAX(0,IF((I$6-$E$3)&lt;1,0,IFERROR(LOOKUP(2,1/(Sorgo!$E41:INDEX(Sorgo!$E41:$Z41,MIN(I$6-$E$3,22))&lt;&gt;""),Sorgo!$E41:INDEX(Sorgo!$E41:$Z41,MIN(I$6-$E$3,22))),0))-IF($G$2,0,IF((I$6-$G$3)&lt;1,0,IFERROR(LOOKUP(2,1/(Sorgo!$E41:INDEX(Sorgo!$E41:$Z41,MIN(I$6-$G$3,22))&lt;&gt;""),Sorgo!$E41:INDEX(Sorgo!$E41:$Z41,MIN(I$6-$G$3,22))),0)))))</f>
        <v>0</v>
      </c>
      <c r="J43" s="27" t="n">
        <f aca="false">IF(COUNT(Sorgo!$E41:$Z41)=0,0,MAX(0,IF((J$6-$E$3)&lt;1,0,IFERROR(LOOKUP(2,1/(Sorgo!$E41:INDEX(Sorgo!$E41:$Z41,MIN(J$6-$E$3,22))&lt;&gt;""),Sorgo!$E41:INDEX(Sorgo!$E41:$Z41,MIN(J$6-$E$3,22))),0))-IF($G$2,0,IF((J$6-$G$3)&lt;1,0,IFERROR(LOOKUP(2,1/(Sorgo!$E41:INDEX(Sorgo!$E41:$Z41,MIN(J$6-$G$3,22))&lt;&gt;""),Sorgo!$E41:INDEX(Sorgo!$E41:$Z41,MIN(J$6-$G$3,22))),0)))))</f>
        <v>0</v>
      </c>
      <c r="K43" s="27" t="n">
        <f aca="false">IF(COUNT(Sorgo!$E41:$Z41)=0,0,MAX(0,IF((K$6-$E$3)&lt;1,0,IFERROR(LOOKUP(2,1/(Sorgo!$E41:INDEX(Sorgo!$E41:$Z41,MIN(K$6-$E$3,22))&lt;&gt;""),Sorgo!$E41:INDEX(Sorgo!$E41:$Z41,MIN(K$6-$E$3,22))),0))-IF($G$2,0,IF((K$6-$G$3)&lt;1,0,IFERROR(LOOKUP(2,1/(Sorgo!$E41:INDEX(Sorgo!$E41:$Z41,MIN(K$6-$G$3,22))&lt;&gt;""),Sorgo!$E41:INDEX(Sorgo!$E41:$Z41,MIN(K$6-$G$3,22))),0)))))</f>
        <v>0</v>
      </c>
      <c r="L43" s="27" t="n">
        <f aca="false">IF(COUNT(Sorgo!$E41:$Z41)=0,0,MAX(0,IF((L$6-$E$3)&lt;1,0,IFERROR(LOOKUP(2,1/(Sorgo!$E41:INDEX(Sorgo!$E41:$Z41,MIN(L$6-$E$3,22))&lt;&gt;""),Sorgo!$E41:INDEX(Sorgo!$E41:$Z41,MIN(L$6-$E$3,22))),0))-IF($G$2,0,IF((L$6-$G$3)&lt;1,0,IFERROR(LOOKUP(2,1/(Sorgo!$E41:INDEX(Sorgo!$E41:$Z41,MIN(L$6-$G$3,22))&lt;&gt;""),Sorgo!$E41:INDEX(Sorgo!$E41:$Z41,MIN(L$6-$G$3,22))),0)))))</f>
        <v>0</v>
      </c>
      <c r="M43" s="27" t="n">
        <f aca="false">IF(COUNT(Sorgo!$E41:$Z41)=0,0,MAX(0,IF((M$6-$E$3)&lt;1,0,IFERROR(LOOKUP(2,1/(Sorgo!$E41:INDEX(Sorgo!$E41:$Z41,MIN(M$6-$E$3,22))&lt;&gt;""),Sorgo!$E41:INDEX(Sorgo!$E41:$Z41,MIN(M$6-$E$3,22))),0))-IF($G$2,0,IF((M$6-$G$3)&lt;1,0,IFERROR(LOOKUP(2,1/(Sorgo!$E41:INDEX(Sorgo!$E41:$Z41,MIN(M$6-$G$3,22))&lt;&gt;""),Sorgo!$E41:INDEX(Sorgo!$E41:$Z41,MIN(M$6-$G$3,22))),0)))))</f>
        <v>0</v>
      </c>
      <c r="N43" s="27" t="n">
        <f aca="false">IF(COUNT(Sorgo!$E41:$Z41)=0,0,MAX(0,IF((N$6-$E$3)&lt;1,0,IFERROR(LOOKUP(2,1/(Sorgo!$E41:INDEX(Sorgo!$E41:$Z41,MIN(N$6-$E$3,22))&lt;&gt;""),Sorgo!$E41:INDEX(Sorgo!$E41:$Z41,MIN(N$6-$E$3,22))),0))-IF($G$2,0,IF((N$6-$G$3)&lt;1,0,IFERROR(LOOKUP(2,1/(Sorgo!$E41:INDEX(Sorgo!$E41:$Z41,MIN(N$6-$G$3,22))&lt;&gt;""),Sorgo!$E41:INDEX(Sorgo!$E41:$Z41,MIN(N$6-$G$3,22))),0)))))</f>
        <v>0</v>
      </c>
      <c r="O43" s="27" t="n">
        <f aca="false">IF(COUNT(Sorgo!$E41:$Z41)=0,0,MAX(0,IF((O$6-$E$3)&lt;1,0,IFERROR(LOOKUP(2,1/(Sorgo!$E41:INDEX(Sorgo!$E41:$Z41,MIN(O$6-$E$3,22))&lt;&gt;""),Sorgo!$E41:INDEX(Sorgo!$E41:$Z41,MIN(O$6-$E$3,22))),0))-IF($G$2,0,IF((O$6-$G$3)&lt;1,0,IFERROR(LOOKUP(2,1/(Sorgo!$E41:INDEX(Sorgo!$E41:$Z41,MIN(O$6-$G$3,22))&lt;&gt;""),Sorgo!$E41:INDEX(Sorgo!$E41:$Z41,MIN(O$6-$G$3,22))),0)))))</f>
        <v>0</v>
      </c>
      <c r="P43" s="27" t="n">
        <f aca="false">IF(COUNT(Sorgo!$E41:$Z41)=0,0,MAX(0,IF((P$6-$E$3)&lt;1,0,IFERROR(LOOKUP(2,1/(Sorgo!$E41:INDEX(Sorgo!$E41:$Z41,MIN(P$6-$E$3,22))&lt;&gt;""),Sorgo!$E41:INDEX(Sorgo!$E41:$Z41,MIN(P$6-$E$3,22))),0))-IF($G$2,0,IF((P$6-$G$3)&lt;1,0,IFERROR(LOOKUP(2,1/(Sorgo!$E41:INDEX(Sorgo!$E41:$Z41,MIN(P$6-$G$3,22))&lt;&gt;""),Sorgo!$E41:INDEX(Sorgo!$E41:$Z41,MIN(P$6-$G$3,22))),0)))))</f>
        <v>0</v>
      </c>
      <c r="Q43" s="27" t="n">
        <f aca="false">IF(COUNT(Sorgo!$E41:$Z41)=0,0,MAX(0,IF((Q$6-$E$3)&lt;1,0,IFERROR(LOOKUP(2,1/(Sorgo!$E41:INDEX(Sorgo!$E41:$Z41,MIN(Q$6-$E$3,22))&lt;&gt;""),Sorgo!$E41:INDEX(Sorgo!$E41:$Z41,MIN(Q$6-$E$3,22))),0))-IF($G$2,0,IF((Q$6-$G$3)&lt;1,0,IFERROR(LOOKUP(2,1/(Sorgo!$E41:INDEX(Sorgo!$E41:$Z41,MIN(Q$6-$G$3,22))&lt;&gt;""),Sorgo!$E41:INDEX(Sorgo!$E41:$Z41,MIN(Q$6-$G$3,22))),0)))))</f>
        <v>0</v>
      </c>
      <c r="R43" s="27" t="n">
        <f aca="false">IF(COUNT(Sorgo!$E41:$Z41)=0,0,MAX(0,IF((R$6-$E$3)&lt;1,0,IFERROR(LOOKUP(2,1/(Sorgo!$E41:INDEX(Sorgo!$E41:$Z41,MIN(R$6-$E$3,22))&lt;&gt;""),Sorgo!$E41:INDEX(Sorgo!$E41:$Z41,MIN(R$6-$E$3,22))),0))-IF($G$2,0,IF((R$6-$G$3)&lt;1,0,IFERROR(LOOKUP(2,1/(Sorgo!$E41:INDEX(Sorgo!$E41:$Z41,MIN(R$6-$G$3,22))&lt;&gt;""),Sorgo!$E41:INDEX(Sorgo!$E41:$Z41,MIN(R$6-$G$3,22))),0)))))</f>
        <v>0</v>
      </c>
      <c r="S43" s="27" t="n">
        <f aca="false">IF(COUNT(Sorgo!$E41:$Z41)=0,0,MAX(0,IF((S$6-$E$3)&lt;1,0,IFERROR(LOOKUP(2,1/(Sorgo!$E41:INDEX(Sorgo!$E41:$Z41,MIN(S$6-$E$3,22))&lt;&gt;""),Sorgo!$E41:INDEX(Sorgo!$E41:$Z41,MIN(S$6-$E$3,22))),0))-IF($G$2,0,IF((S$6-$G$3)&lt;1,0,IFERROR(LOOKUP(2,1/(Sorgo!$E41:INDEX(Sorgo!$E41:$Z41,MIN(S$6-$G$3,22))&lt;&gt;""),Sorgo!$E41:INDEX(Sorgo!$E41:$Z41,MIN(S$6-$G$3,22))),0)))))</f>
        <v>0</v>
      </c>
      <c r="T43" s="27" t="n">
        <f aca="false">IF(COUNT(Sorgo!$E41:$Z41)=0,0,MAX(0,IF((T$6-$E$3)&lt;1,0,IFERROR(LOOKUP(2,1/(Sorgo!$E41:INDEX(Sorgo!$E41:$Z41,MIN(T$6-$E$3,22))&lt;&gt;""),Sorgo!$E41:INDEX(Sorgo!$E41:$Z41,MIN(T$6-$E$3,22))),0))-IF($G$2,0,IF((T$6-$G$3)&lt;1,0,IFERROR(LOOKUP(2,1/(Sorgo!$E41:INDEX(Sorgo!$E41:$Z41,MIN(T$6-$G$3,22))&lt;&gt;""),Sorgo!$E41:INDEX(Sorgo!$E41:$Z41,MIN(T$6-$G$3,22))),0)))))</f>
        <v>0</v>
      </c>
      <c r="U43" s="27" t="n">
        <f aca="false">IF(COUNT(Sorgo!$E41:$Z41)=0,0,MAX(0,IF((U$6-$E$3)&lt;1,0,IFERROR(LOOKUP(2,1/(Sorgo!$E41:INDEX(Sorgo!$E41:$Z41,MIN(U$6-$E$3,22))&lt;&gt;""),Sorgo!$E41:INDEX(Sorgo!$E41:$Z41,MIN(U$6-$E$3,22))),0))-IF($G$2,0,IF((U$6-$G$3)&lt;1,0,IFERROR(LOOKUP(2,1/(Sorgo!$E41:INDEX(Sorgo!$E41:$Z41,MIN(U$6-$G$3,22))&lt;&gt;""),Sorgo!$E41:INDEX(Sorgo!$E41:$Z41,MIN(U$6-$G$3,22))),0)))))</f>
        <v>0</v>
      </c>
      <c r="V43" s="27" t="n">
        <f aca="false">IF(COUNT(Sorgo!$E41:$Z41)=0,0,MAX(0,IF((V$6-$E$3)&lt;1,0,IFERROR(LOOKUP(2,1/(Sorgo!$E41:INDEX(Sorgo!$E41:$Z41,MIN(V$6-$E$3,22))&lt;&gt;""),Sorgo!$E41:INDEX(Sorgo!$E41:$Z41,MIN(V$6-$E$3,22))),0))-IF($G$2,0,IF((V$6-$G$3)&lt;1,0,IFERROR(LOOKUP(2,1/(Sorgo!$E41:INDEX(Sorgo!$E41:$Z41,MIN(V$6-$G$3,22))&lt;&gt;""),Sorgo!$E41:INDEX(Sorgo!$E41:$Z41,MIN(V$6-$G$3,22))),0)))))</f>
        <v>0</v>
      </c>
      <c r="W43" s="27" t="n">
        <f aca="false">IF(COUNT(Sorgo!$E41:$Z41)=0,0,MAX(0,IF((W$6-$E$3)&lt;1,0,IFERROR(LOOKUP(2,1/(Sorgo!$E41:INDEX(Sorgo!$E41:$Z41,MIN(W$6-$E$3,22))&lt;&gt;""),Sorgo!$E41:INDEX(Sorgo!$E41:$Z41,MIN(W$6-$E$3,22))),0))-IF($G$2,0,IF((W$6-$G$3)&lt;1,0,IFERROR(LOOKUP(2,1/(Sorgo!$E41:INDEX(Sorgo!$E41:$Z41,MIN(W$6-$G$3,22))&lt;&gt;""),Sorgo!$E41:INDEX(Sorgo!$E41:$Z41,MIN(W$6-$G$3,22))),0)))))</f>
        <v>0</v>
      </c>
      <c r="X43" s="27" t="n">
        <f aca="false">IF(COUNT(Sorgo!$E41:$Z41)=0,0,MAX(0,IF((X$6-$E$3)&lt;1,0,IFERROR(LOOKUP(2,1/(Sorgo!$E41:INDEX(Sorgo!$E41:$Z41,MIN(X$6-$E$3,22))&lt;&gt;""),Sorgo!$E41:INDEX(Sorgo!$E41:$Z41,MIN(X$6-$E$3,22))),0))-IF($G$2,0,IF((X$6-$G$3)&lt;1,0,IFERROR(LOOKUP(2,1/(Sorgo!$E41:INDEX(Sorgo!$E41:$Z41,MIN(X$6-$G$3,22))&lt;&gt;""),Sorgo!$E41:INDEX(Sorgo!$E41:$Z41,MIN(X$6-$G$3,22))),0)))))</f>
        <v>0</v>
      </c>
      <c r="Y43" s="27" t="n">
        <f aca="false">IF(COUNT(Sorgo!$E41:$Z41)=0,0,MAX(0,IF((Y$6-$E$3)&lt;1,0,IFERROR(LOOKUP(2,1/(Sorgo!$E41:INDEX(Sorgo!$E41:$Z41,MIN(Y$6-$E$3,22))&lt;&gt;""),Sorgo!$E41:INDEX(Sorgo!$E41:$Z41,MIN(Y$6-$E$3,22))),0))-IF($G$2,0,IF((Y$6-$G$3)&lt;1,0,IFERROR(LOOKUP(2,1/(Sorgo!$E41:INDEX(Sorgo!$E41:$Z41,MIN(Y$6-$G$3,22))&lt;&gt;""),Sorgo!$E41:INDEX(Sorgo!$E41:$Z41,MIN(Y$6-$G$3,22))),0)))))</f>
        <v>0</v>
      </c>
      <c r="Z43" s="27" t="n">
        <f aca="false">IF(COUNT(Sorgo!$E41:$Z41)=0,0,MAX(0,IF((Z$6-$E$3)&lt;1,0,IFERROR(LOOKUP(2,1/(Sorgo!$E41:INDEX(Sorgo!$E41:$Z41,MIN(Z$6-$E$3,22))&lt;&gt;""),Sorgo!$E41:INDEX(Sorgo!$E41:$Z41,MIN(Z$6-$E$3,22))),0))-IF($G$2,0,IF((Z$6-$G$3)&lt;1,0,IFERROR(LOOKUP(2,1/(Sorgo!$E41:INDEX(Sorgo!$E41:$Z41,MIN(Z$6-$G$3,22))&lt;&gt;""),Sorgo!$E41:INDEX(Sorgo!$E41:$Z41,MIN(Z$6-$G$3,22))),0)))))</f>
        <v>0</v>
      </c>
      <c r="AA43" s="27" t="n">
        <f aca="false">IF(COUNT(Sorgo!$E41:$Z41)=0,0,MAX(0,IF((AA$6-$E$3)&lt;1,0,IFERROR(LOOKUP(2,1/(Sorgo!$E41:INDEX(Sorgo!$E41:$Z41,MIN(AA$6-$E$3,22))&lt;&gt;""),Sorgo!$E41:INDEX(Sorgo!$E41:$Z41,MIN(AA$6-$E$3,22))),0))-IF($G$2,0,IF((AA$6-$G$3)&lt;1,0,IFERROR(LOOKUP(2,1/(Sorgo!$E41:INDEX(Sorgo!$E41:$Z41,MIN(AA$6-$G$3,22))&lt;&gt;""),Sorgo!$E41:INDEX(Sorgo!$E41:$Z41,MIN(AA$6-$G$3,22))),0)))))</f>
        <v>0</v>
      </c>
      <c r="AB43" s="27" t="n">
        <f aca="false">IF(COUNT(Sorgo!$E41:$Z41)=0,0,MAX(0,IF((AB$6-$E$3)&lt;1,0,IFERROR(LOOKUP(2,1/(Sorgo!$E41:INDEX(Sorgo!$E41:$Z41,MIN(AB$6-$E$3,22))&lt;&gt;""),Sorgo!$E41:INDEX(Sorgo!$E41:$Z41,MIN(AB$6-$E$3,22))),0))-IF($G$2,0,IF((AB$6-$G$3)&lt;1,0,IFERROR(LOOKUP(2,1/(Sorgo!$E41:INDEX(Sorgo!$E41:$Z41,MIN(AB$6-$G$3,22))&lt;&gt;""),Sorgo!$E41:INDEX(Sorgo!$E41:$Z41,MIN(AB$6-$G$3,22))),0)))))</f>
        <v>0</v>
      </c>
      <c r="AC43" s="27" t="n">
        <f aca="false">IF(COUNT(Sorgo!$E41:$Z41)=0,0,MAX(0,IF((AC$6-$E$3)&lt;1,0,IFERROR(LOOKUP(2,1/(Sorgo!$E41:INDEX(Sorgo!$E41:$Z41,MIN(AC$6-$E$3,22))&lt;&gt;""),Sorgo!$E41:INDEX(Sorgo!$E41:$Z41,MIN(AC$6-$E$3,22))),0))-IF($G$2,0,IF((AC$6-$G$3)&lt;1,0,IFERROR(LOOKUP(2,1/(Sorgo!$E41:INDEX(Sorgo!$E41:$Z41,MIN(AC$6-$G$3,22))&lt;&gt;""),Sorgo!$E41:INDEX(Sorgo!$E41:$Z41,MIN(AC$6-$G$3,22))),0)))))</f>
        <v>0</v>
      </c>
      <c r="AD43" s="27" t="n">
        <f aca="false">IF(COUNT(Sorgo!$E41:$Z41)=0,0,MAX(0,IF((AD$6-$E$3)&lt;1,0,IFERROR(LOOKUP(2,1/(Sorgo!$E41:INDEX(Sorgo!$E41:$Z41,MIN(AD$6-$E$3,22))&lt;&gt;""),Sorgo!$E41:INDEX(Sorgo!$E41:$Z41,MIN(AD$6-$E$3,22))),0))-IF($G$2,0,IF((AD$6-$G$3)&lt;1,0,IFERROR(LOOKUP(2,1/(Sorgo!$E41:INDEX(Sorgo!$E41:$Z41,MIN(AD$6-$G$3,22))&lt;&gt;""),Sorgo!$E41:INDEX(Sorgo!$E41:$Z41,MIN(AD$6-$G$3,22))),0)))))</f>
        <v>0</v>
      </c>
      <c r="AE43" s="27" t="n">
        <f aca="false">IF(COUNT(Sorgo!$E41:$Z41)=0,0,MAX(0,IF((AE$6-$E$3)&lt;1,0,IFERROR(LOOKUP(2,1/(Sorgo!$E41:INDEX(Sorgo!$E41:$Z41,MIN(AE$6-$E$3,22))&lt;&gt;""),Sorgo!$E41:INDEX(Sorgo!$E41:$Z41,MIN(AE$6-$E$3,22))),0))-IF($G$2,0,IF((AE$6-$G$3)&lt;1,0,IFERROR(LOOKUP(2,1/(Sorgo!$E41:INDEX(Sorgo!$E41:$Z41,MIN(AE$6-$G$3,22))&lt;&gt;""),Sorgo!$E41:INDEX(Sorgo!$E41:$Z41,MIN(AE$6-$G$3,22))),0)))))</f>
        <v>0</v>
      </c>
      <c r="AF43" s="27" t="n">
        <f aca="false">IF(COUNT(Sorgo!$E41:$Z41)=0,0,MAX(0,IF((AF$6-$E$3)&lt;1,0,IFERROR(LOOKUP(2,1/(Sorgo!$E41:INDEX(Sorgo!$E41:$Z41,MIN(AF$6-$E$3,22))&lt;&gt;""),Sorgo!$E41:INDEX(Sorgo!$E41:$Z41,MIN(AF$6-$E$3,22))),0))-IF($G$2,0,IF((AF$6-$G$3)&lt;1,0,IFERROR(LOOKUP(2,1/(Sorgo!$E41:INDEX(Sorgo!$E41:$Z41,MIN(AF$6-$G$3,22))&lt;&gt;""),Sorgo!$E41:INDEX(Sorgo!$E41:$Z41,MIN(AF$6-$G$3,22))),0)))))</f>
        <v>0</v>
      </c>
      <c r="AG43" s="27" t="n">
        <f aca="false">IF(COUNT(Sorgo!$E41:$Z41)=0,0,MAX(0,IF((AG$6-$E$3)&lt;1,0,IFERROR(LOOKUP(2,1/(Sorgo!$E41:INDEX(Sorgo!$E41:$Z41,MIN(AG$6-$E$3,22))&lt;&gt;""),Sorgo!$E41:INDEX(Sorgo!$E41:$Z41,MIN(AG$6-$E$3,22))),0))-IF($G$2,0,IF((AG$6-$G$3)&lt;1,0,IFERROR(LOOKUP(2,1/(Sorgo!$E41:INDEX(Sorgo!$E41:$Z41,MIN(AG$6-$G$3,22))&lt;&gt;""),Sorgo!$E41:INDEX(Sorgo!$E41:$Z41,MIN(AG$6-$G$3,22))),0)))))</f>
        <v>0</v>
      </c>
      <c r="AH43" s="27" t="n">
        <f aca="false">IF(COUNT(Sorgo!$E41:$Z41)=0,0,MAX(0,IF((AH$6-$E$3)&lt;1,0,IFERROR(LOOKUP(2,1/(Sorgo!$E41:INDEX(Sorgo!$E41:$Z41,MIN(AH$6-$E$3,22))&lt;&gt;""),Sorgo!$E41:INDEX(Sorgo!$E41:$Z41,MIN(AH$6-$E$3,22))),0))-IF($G$2,0,IF((AH$6-$G$3)&lt;1,0,IFERROR(LOOKUP(2,1/(Sorgo!$E41:INDEX(Sorgo!$E41:$Z41,MIN(AH$6-$G$3,22))&lt;&gt;""),Sorgo!$E41:INDEX(Sorgo!$E41:$Z41,MIN(AH$6-$G$3,22))),0)))))</f>
        <v>0</v>
      </c>
      <c r="AI43" s="27" t="n">
        <f aca="false">IF(COUNT(Sorgo!$E41:$Z41)=0,0,MAX(0,IF((AI$6-$E$3)&lt;1,0,IFERROR(LOOKUP(2,1/(Sorgo!$E41:INDEX(Sorgo!$E41:$Z41,MIN(AI$6-$E$3,22))&lt;&gt;""),Sorgo!$E41:INDEX(Sorgo!$E41:$Z41,MIN(AI$6-$E$3,22))),0))-IF($G$2,0,IF((AI$6-$G$3)&lt;1,0,IFERROR(LOOKUP(2,1/(Sorgo!$E41:INDEX(Sorgo!$E41:$Z41,MIN(AI$6-$G$3,22))&lt;&gt;""),Sorgo!$E41:INDEX(Sorgo!$E41:$Z41,MIN(AI$6-$G$3,22))),0)))))</f>
        <v>0</v>
      </c>
      <c r="AJ43" s="27" t="n">
        <f aca="false">IF(COUNT(Sorgo!$E41:$Z41)=0,0,MAX(0,IF((AJ$6-$E$3)&lt;1,0,IFERROR(LOOKUP(2,1/(Sorgo!$E41:INDEX(Sorgo!$E41:$Z41,MIN(AJ$6-$E$3,22))&lt;&gt;""),Sorgo!$E41:INDEX(Sorgo!$E41:$Z41,MIN(AJ$6-$E$3,22))),0))-IF($G$2,0,IF((AJ$6-$G$3)&lt;1,0,IFERROR(LOOKUP(2,1/(Sorgo!$E41:INDEX(Sorgo!$E41:$Z41,MIN(AJ$6-$G$3,22))&lt;&gt;""),Sorgo!$E41:INDEX(Sorgo!$E41:$Z41,MIN(AJ$6-$G$3,22))),0)))))</f>
        <v>0</v>
      </c>
      <c r="AK43" s="27" t="n">
        <f aca="false">IF(COUNT(Sorgo!$E41:$Z41)=0,0,MAX(0,IF((AK$6-$E$3)&lt;1,0,IFERROR(LOOKUP(2,1/(Sorgo!$E41:INDEX(Sorgo!$E41:$Z41,MIN(AK$6-$E$3,22))&lt;&gt;""),Sorgo!$E41:INDEX(Sorgo!$E41:$Z41,MIN(AK$6-$E$3,22))),0))-IF($G$2,0,IF((AK$6-$G$3)&lt;1,0,IFERROR(LOOKUP(2,1/(Sorgo!$E41:INDEX(Sorgo!$E41:$Z41,MIN(AK$6-$G$3,22))&lt;&gt;""),Sorgo!$E41:INDEX(Sorgo!$E41:$Z41,MIN(AK$6-$G$3,22))),0)))))</f>
        <v>0</v>
      </c>
      <c r="AL43" s="27" t="n">
        <f aca="false">IF(COUNT(Sorgo!$E41:$Z41)=0,0,MAX(0,IF((AL$6-$E$3)&lt;1,0,IFERROR(LOOKUP(2,1/(Sorgo!$E41:INDEX(Sorgo!$E41:$Z41,MIN(AL$6-$E$3,22))&lt;&gt;""),Sorgo!$E41:INDEX(Sorgo!$E41:$Z41,MIN(AL$6-$E$3,22))),0))-IF($G$2,0,IF((AL$6-$G$3)&lt;1,0,IFERROR(LOOKUP(2,1/(Sorgo!$E41:INDEX(Sorgo!$E41:$Z41,MIN(AL$6-$G$3,22))&lt;&gt;""),Sorgo!$E41:INDEX(Sorgo!$E41:$Z41,MIN(AL$6-$G$3,22))),0)))))</f>
        <v>0</v>
      </c>
      <c r="AM43" s="27" t="n">
        <f aca="false">IF(COUNT(Sorgo!$E41:$Z41)=0,0,MAX(0,IF((AM$6-$E$3)&lt;1,0,IFERROR(LOOKUP(2,1/(Sorgo!$E41:INDEX(Sorgo!$E41:$Z41,MIN(AM$6-$E$3,22))&lt;&gt;""),Sorgo!$E41:INDEX(Sorgo!$E41:$Z41,MIN(AM$6-$E$3,22))),0))-IF($G$2,0,IF((AM$6-$G$3)&lt;1,0,IFERROR(LOOKUP(2,1/(Sorgo!$E41:INDEX(Sorgo!$E41:$Z41,MIN(AM$6-$G$3,22))&lt;&gt;""),Sorgo!$E41:INDEX(Sorgo!$E41:$Z41,MIN(AM$6-$G$3,22))),0)))))</f>
        <v>0</v>
      </c>
      <c r="AN43" s="27" t="n">
        <f aca="false">IF(COUNT(Sorgo!$E41:$Z41)=0,0,MAX(0,IF((AN$6-$E$3)&lt;1,0,IFERROR(LOOKUP(2,1/(Sorgo!$E41:INDEX(Sorgo!$E41:$Z41,MIN(AN$6-$E$3,22))&lt;&gt;""),Sorgo!$E41:INDEX(Sorgo!$E41:$Z41,MIN(AN$6-$E$3,22))),0))-IF($G$2,0,IF((AN$6-$G$3)&lt;1,0,IFERROR(LOOKUP(2,1/(Sorgo!$E41:INDEX(Sorgo!$E41:$Z41,MIN(AN$6-$G$3,22))&lt;&gt;""),Sorgo!$E41:INDEX(Sorgo!$E41:$Z41,MIN(AN$6-$G$3,22))),0)))))</f>
        <v>0</v>
      </c>
      <c r="AO43" s="27" t="n">
        <f aca="false">IF(COUNT(Sorgo!$E41:$Z41)=0,0,MAX(0,IF((AO$6-$E$3)&lt;1,0,IFERROR(LOOKUP(2,1/(Sorgo!$E41:INDEX(Sorgo!$E41:$Z41,MIN(AO$6-$E$3,22))&lt;&gt;""),Sorgo!$E41:INDEX(Sorgo!$E41:$Z41,MIN(AO$6-$E$3,22))),0))-IF($G$2,0,IF((AO$6-$G$3)&lt;1,0,IFERROR(LOOKUP(2,1/(Sorgo!$E41:INDEX(Sorgo!$E41:$Z41,MIN(AO$6-$G$3,22))&lt;&gt;""),Sorgo!$E41:INDEX(Sorgo!$E41:$Z41,MIN(AO$6-$G$3,22))),0)))))</f>
        <v>0</v>
      </c>
      <c r="AP43" s="27" t="n">
        <f aca="false">IF(COUNT(Sorgo!$E41:$Z41)=0,0,MAX(0,IF((AP$6-$E$3)&lt;1,0,IFERROR(LOOKUP(2,1/(Sorgo!$E41:INDEX(Sorgo!$E41:$Z41,MIN(AP$6-$E$3,22))&lt;&gt;""),Sorgo!$E41:INDEX(Sorgo!$E41:$Z41,MIN(AP$6-$E$3,22))),0))-IF($G$2,0,IF((AP$6-$G$3)&lt;1,0,IFERROR(LOOKUP(2,1/(Sorgo!$E41:INDEX(Sorgo!$E41:$Z41,MIN(AP$6-$G$3,22))&lt;&gt;""),Sorgo!$E41:INDEX(Sorgo!$E41:$Z41,MIN(AP$6-$G$3,22))),0)))))</f>
        <v>0</v>
      </c>
      <c r="AQ43" s="27" t="n">
        <f aca="false">IF(COUNT(Sorgo!$E41:$Z41)=0,0,MAX(0,IF((AQ$6-$E$3)&lt;1,0,IFERROR(LOOKUP(2,1/(Sorgo!$E41:INDEX(Sorgo!$E41:$Z41,MIN(AQ$6-$E$3,22))&lt;&gt;""),Sorgo!$E41:INDEX(Sorgo!$E41:$Z41,MIN(AQ$6-$E$3,22))),0))-IF($G$2,0,IF((AQ$6-$G$3)&lt;1,0,IFERROR(LOOKUP(2,1/(Sorgo!$E41:INDEX(Sorgo!$E41:$Z41,MIN(AQ$6-$G$3,22))&lt;&gt;""),Sorgo!$E41:INDEX(Sorgo!$E41:$Z41,MIN(AQ$6-$G$3,22))),0)))))</f>
        <v>0</v>
      </c>
      <c r="AR43" s="27" t="n">
        <f aca="false">IF(COUNT(Sorgo!$E41:$Z41)=0,0,MAX(0,IF((AR$6-$E$3)&lt;1,0,IFERROR(LOOKUP(2,1/(Sorgo!$E41:INDEX(Sorgo!$E41:$Z41,MIN(AR$6-$E$3,22))&lt;&gt;""),Sorgo!$E41:INDEX(Sorgo!$E41:$Z41,MIN(AR$6-$E$3,22))),0))-IF($G$2,0,IF((AR$6-$G$3)&lt;1,0,IFERROR(LOOKUP(2,1/(Sorgo!$E41:INDEX(Sorgo!$E41:$Z41,MIN(AR$6-$G$3,22))&lt;&gt;""),Sorgo!$E41:INDEX(Sorgo!$E41:$Z41,MIN(AR$6-$G$3,22))),0)))))</f>
        <v>0</v>
      </c>
      <c r="AS43" s="27" t="n">
        <f aca="false">IF(COUNT(Sorgo!$E41:$Z41)=0,0,MAX(0,IF((AS$6-$E$3)&lt;1,0,IFERROR(LOOKUP(2,1/(Sorgo!$E41:INDEX(Sorgo!$E41:$Z41,MIN(AS$6-$E$3,22))&lt;&gt;""),Sorgo!$E41:INDEX(Sorgo!$E41:$Z41,MIN(AS$6-$E$3,22))),0))-IF($G$2,0,IF((AS$6-$G$3)&lt;1,0,IFERROR(LOOKUP(2,1/(Sorgo!$E41:INDEX(Sorgo!$E41:$Z41,MIN(AS$6-$G$3,22))&lt;&gt;""),Sorgo!$E41:INDEX(Sorgo!$E41:$Z41,MIN(AS$6-$G$3,22))),0)))))</f>
        <v>0</v>
      </c>
      <c r="AT43" s="27" t="n">
        <f aca="false">IF(COUNT(Sorgo!$E41:$Z41)=0,0,MAX(0,IF((AT$6-$E$3)&lt;1,0,IFERROR(LOOKUP(2,1/(Sorgo!$E41:INDEX(Sorgo!$E41:$Z41,MIN(AT$6-$E$3,22))&lt;&gt;""),Sorgo!$E41:INDEX(Sorgo!$E41:$Z41,MIN(AT$6-$E$3,22))),0))-IF($G$2,0,IF((AT$6-$G$3)&lt;1,0,IFERROR(LOOKUP(2,1/(Sorgo!$E41:INDEX(Sorgo!$E41:$Z41,MIN(AT$6-$G$3,22))&lt;&gt;""),Sorgo!$E41:INDEX(Sorgo!$E41:$Z41,MIN(AT$6-$G$3,22))),0)))))</f>
        <v>0</v>
      </c>
      <c r="AU43" s="27" t="n">
        <f aca="false">IF(COUNT(Sorgo!$E41:$Z41)=0,0,MAX(0,IF((AU$6-$E$3)&lt;1,0,IFERROR(LOOKUP(2,1/(Sorgo!$E41:INDEX(Sorgo!$E41:$Z41,MIN(AU$6-$E$3,22))&lt;&gt;""),Sorgo!$E41:INDEX(Sorgo!$E41:$Z41,MIN(AU$6-$E$3,22))),0))-IF($G$2,0,IF((AU$6-$G$3)&lt;1,0,IFERROR(LOOKUP(2,1/(Sorgo!$E41:INDEX(Sorgo!$E41:$Z41,MIN(AU$6-$G$3,22))&lt;&gt;""),Sorgo!$E41:INDEX(Sorgo!$E41:$Z41,MIN(AU$6-$G$3,22))),0)))))</f>
        <v>0</v>
      </c>
      <c r="AV43" s="27" t="n">
        <f aca="false">IF(COUNT(Sorgo!$E41:$Z41)=0,0,MAX(0,IF((AV$6-$E$3)&lt;1,0,IFERROR(LOOKUP(2,1/(Sorgo!$E41:INDEX(Sorgo!$E41:$Z41,MIN(AV$6-$E$3,22))&lt;&gt;""),Sorgo!$E41:INDEX(Sorgo!$E41:$Z41,MIN(AV$6-$E$3,22))),0))-IF($G$2,0,IF((AV$6-$G$3)&lt;1,0,IFERROR(LOOKUP(2,1/(Sorgo!$E41:INDEX(Sorgo!$E41:$Z41,MIN(AV$6-$G$3,22))&lt;&gt;""),Sorgo!$E41:INDEX(Sorgo!$E41:$Z41,MIN(AV$6-$G$3,22))),0)))))</f>
        <v>0</v>
      </c>
      <c r="AW43" s="27" t="n">
        <f aca="false">IF(COUNT(Sorgo!$E41:$Z41)=0,0,MAX(0,IF((AW$6-$E$3)&lt;1,0,IFERROR(LOOKUP(2,1/(Sorgo!$E41:INDEX(Sorgo!$E41:$Z41,MIN(AW$6-$E$3,22))&lt;&gt;""),Sorgo!$E41:INDEX(Sorgo!$E41:$Z41,MIN(AW$6-$E$3,22))),0))-IF($G$2,0,IF((AW$6-$G$3)&lt;1,0,IFERROR(LOOKUP(2,1/(Sorgo!$E41:INDEX(Sorgo!$E41:$Z41,MIN(AW$6-$G$3,22))&lt;&gt;""),Sorgo!$E41:INDEX(Sorgo!$E41:$Z41,MIN(AW$6-$G$3,22))),0)))))</f>
        <v>0</v>
      </c>
      <c r="AX43" s="27" t="n">
        <f aca="false">IF(COUNT(Sorgo!$E41:$Z41)=0,0,MAX(0,IF((AX$6-$E$3)&lt;1,0,IFERROR(LOOKUP(2,1/(Sorgo!$E41:INDEX(Sorgo!$E41:$Z41,MIN(AX$6-$E$3,22))&lt;&gt;""),Sorgo!$E41:INDEX(Sorgo!$E41:$Z41,MIN(AX$6-$E$3,22))),0))-IF($G$2,0,IF((AX$6-$G$3)&lt;1,0,IFERROR(LOOKUP(2,1/(Sorgo!$E41:INDEX(Sorgo!$E41:$Z41,MIN(AX$6-$G$3,22))&lt;&gt;""),Sorgo!$E41:INDEX(Sorgo!$E41:$Z41,MIN(AX$6-$G$3,22))),0)))))</f>
        <v>0</v>
      </c>
      <c r="AY43" s="27" t="n">
        <f aca="false">IF(COUNT(Sorgo!$E41:$Z41)=0,0,MAX(0,IF((AY$6-$E$3)&lt;1,0,IFERROR(LOOKUP(2,1/(Sorgo!$E41:INDEX(Sorgo!$E41:$Z41,MIN(AY$6-$E$3,22))&lt;&gt;""),Sorgo!$E41:INDEX(Sorgo!$E41:$Z41,MIN(AY$6-$E$3,22))),0))-IF($G$2,0,IF((AY$6-$G$3)&lt;1,0,IFERROR(LOOKUP(2,1/(Sorgo!$E41:INDEX(Sorgo!$E41:$Z41,MIN(AY$6-$G$3,22))&lt;&gt;""),Sorgo!$E41:INDEX(Sorgo!$E41:$Z41,MIN(AY$6-$G$3,22))),0)))))</f>
        <v>0</v>
      </c>
      <c r="AZ43" s="27" t="n">
        <f aca="false">IF(COUNT(Sorgo!$E41:$Z41)=0,0,MAX(0,IF((AZ$6-$E$3)&lt;1,0,IFERROR(LOOKUP(2,1/(Sorgo!$E41:INDEX(Sorgo!$E41:$Z41,MIN(AZ$6-$E$3,22))&lt;&gt;""),Sorgo!$E41:INDEX(Sorgo!$E41:$Z41,MIN(AZ$6-$E$3,22))),0))-IF($G$2,0,IF((AZ$6-$G$3)&lt;1,0,IFERROR(LOOKUP(2,1/(Sorgo!$E41:INDEX(Sorgo!$E41:$Z41,MIN(AZ$6-$G$3,22))&lt;&gt;""),Sorgo!$E41:INDEX(Sorgo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IF(COUNT(Sorgo!$E42:$Z42)&gt;0,N(Sorgo!$D42),0)</f>
        <v>0</v>
      </c>
      <c r="E44" s="27" t="n">
        <f aca="false">IF(COUNT(Sorgo!$E42:$Z42)=0,0,MAX(0,IF((E$6-$E$3)&lt;1,0,IFERROR(LOOKUP(2,1/(Sorgo!$E42:INDEX(Sorgo!$E42:$Z42,MIN(E$6-$E$3,22))&lt;&gt;""),Sorgo!$E42:INDEX(Sorgo!$E42:$Z42,MIN(E$6-$E$3,22))),0))-IF($G$2,0,IF((E$6-$G$3)&lt;1,0,IFERROR(LOOKUP(2,1/(Sorgo!$E42:INDEX(Sorgo!$E42:$Z42,MIN(E$6-$G$3,22))&lt;&gt;""),Sorgo!$E42:INDEX(Sorgo!$E42:$Z42,MIN(E$6-$G$3,22))),0)))))</f>
        <v>0</v>
      </c>
      <c r="F44" s="27" t="n">
        <f aca="false">IF(COUNT(Sorgo!$E42:$Z42)=0,0,MAX(0,IF((F$6-$E$3)&lt;1,0,IFERROR(LOOKUP(2,1/(Sorgo!$E42:INDEX(Sorgo!$E42:$Z42,MIN(F$6-$E$3,22))&lt;&gt;""),Sorgo!$E42:INDEX(Sorgo!$E42:$Z42,MIN(F$6-$E$3,22))),0))-IF($G$2,0,IF((F$6-$G$3)&lt;1,0,IFERROR(LOOKUP(2,1/(Sorgo!$E42:INDEX(Sorgo!$E42:$Z42,MIN(F$6-$G$3,22))&lt;&gt;""),Sorgo!$E42:INDEX(Sorgo!$E42:$Z42,MIN(F$6-$G$3,22))),0)))))</f>
        <v>0</v>
      </c>
      <c r="G44" s="27" t="n">
        <f aca="false">IF(COUNT(Sorgo!$E42:$Z42)=0,0,MAX(0,IF((G$6-$E$3)&lt;1,0,IFERROR(LOOKUP(2,1/(Sorgo!$E42:INDEX(Sorgo!$E42:$Z42,MIN(G$6-$E$3,22))&lt;&gt;""),Sorgo!$E42:INDEX(Sorgo!$E42:$Z42,MIN(G$6-$E$3,22))),0))-IF($G$2,0,IF((G$6-$G$3)&lt;1,0,IFERROR(LOOKUP(2,1/(Sorgo!$E42:INDEX(Sorgo!$E42:$Z42,MIN(G$6-$G$3,22))&lt;&gt;""),Sorgo!$E42:INDEX(Sorgo!$E42:$Z42,MIN(G$6-$G$3,22))),0)))))</f>
        <v>0</v>
      </c>
      <c r="H44" s="27" t="n">
        <f aca="false">IF(COUNT(Sorgo!$E42:$Z42)=0,0,MAX(0,IF((H$6-$E$3)&lt;1,0,IFERROR(LOOKUP(2,1/(Sorgo!$E42:INDEX(Sorgo!$E42:$Z42,MIN(H$6-$E$3,22))&lt;&gt;""),Sorgo!$E42:INDEX(Sorgo!$E42:$Z42,MIN(H$6-$E$3,22))),0))-IF($G$2,0,IF((H$6-$G$3)&lt;1,0,IFERROR(LOOKUP(2,1/(Sorgo!$E42:INDEX(Sorgo!$E42:$Z42,MIN(H$6-$G$3,22))&lt;&gt;""),Sorgo!$E42:INDEX(Sorgo!$E42:$Z42,MIN(H$6-$G$3,22))),0)))))</f>
        <v>0</v>
      </c>
      <c r="I44" s="27" t="n">
        <f aca="false">IF(COUNT(Sorgo!$E42:$Z42)=0,0,MAX(0,IF((I$6-$E$3)&lt;1,0,IFERROR(LOOKUP(2,1/(Sorgo!$E42:INDEX(Sorgo!$E42:$Z42,MIN(I$6-$E$3,22))&lt;&gt;""),Sorgo!$E42:INDEX(Sorgo!$E42:$Z42,MIN(I$6-$E$3,22))),0))-IF($G$2,0,IF((I$6-$G$3)&lt;1,0,IFERROR(LOOKUP(2,1/(Sorgo!$E42:INDEX(Sorgo!$E42:$Z42,MIN(I$6-$G$3,22))&lt;&gt;""),Sorgo!$E42:INDEX(Sorgo!$E42:$Z42,MIN(I$6-$G$3,22))),0)))))</f>
        <v>0</v>
      </c>
      <c r="J44" s="27" t="n">
        <f aca="false">IF(COUNT(Sorgo!$E42:$Z42)=0,0,MAX(0,IF((J$6-$E$3)&lt;1,0,IFERROR(LOOKUP(2,1/(Sorgo!$E42:INDEX(Sorgo!$E42:$Z42,MIN(J$6-$E$3,22))&lt;&gt;""),Sorgo!$E42:INDEX(Sorgo!$E42:$Z42,MIN(J$6-$E$3,22))),0))-IF($G$2,0,IF((J$6-$G$3)&lt;1,0,IFERROR(LOOKUP(2,1/(Sorgo!$E42:INDEX(Sorgo!$E42:$Z42,MIN(J$6-$G$3,22))&lt;&gt;""),Sorgo!$E42:INDEX(Sorgo!$E42:$Z42,MIN(J$6-$G$3,22))),0)))))</f>
        <v>0</v>
      </c>
      <c r="K44" s="27" t="n">
        <f aca="false">IF(COUNT(Sorgo!$E42:$Z42)=0,0,MAX(0,IF((K$6-$E$3)&lt;1,0,IFERROR(LOOKUP(2,1/(Sorgo!$E42:INDEX(Sorgo!$E42:$Z42,MIN(K$6-$E$3,22))&lt;&gt;""),Sorgo!$E42:INDEX(Sorgo!$E42:$Z42,MIN(K$6-$E$3,22))),0))-IF($G$2,0,IF((K$6-$G$3)&lt;1,0,IFERROR(LOOKUP(2,1/(Sorgo!$E42:INDEX(Sorgo!$E42:$Z42,MIN(K$6-$G$3,22))&lt;&gt;""),Sorgo!$E42:INDEX(Sorgo!$E42:$Z42,MIN(K$6-$G$3,22))),0)))))</f>
        <v>0</v>
      </c>
      <c r="L44" s="27" t="n">
        <f aca="false">IF(COUNT(Sorgo!$E42:$Z42)=0,0,MAX(0,IF((L$6-$E$3)&lt;1,0,IFERROR(LOOKUP(2,1/(Sorgo!$E42:INDEX(Sorgo!$E42:$Z42,MIN(L$6-$E$3,22))&lt;&gt;""),Sorgo!$E42:INDEX(Sorgo!$E42:$Z42,MIN(L$6-$E$3,22))),0))-IF($G$2,0,IF((L$6-$G$3)&lt;1,0,IFERROR(LOOKUP(2,1/(Sorgo!$E42:INDEX(Sorgo!$E42:$Z42,MIN(L$6-$G$3,22))&lt;&gt;""),Sorgo!$E42:INDEX(Sorgo!$E42:$Z42,MIN(L$6-$G$3,22))),0)))))</f>
        <v>0</v>
      </c>
      <c r="M44" s="27" t="n">
        <f aca="false">IF(COUNT(Sorgo!$E42:$Z42)=0,0,MAX(0,IF((M$6-$E$3)&lt;1,0,IFERROR(LOOKUP(2,1/(Sorgo!$E42:INDEX(Sorgo!$E42:$Z42,MIN(M$6-$E$3,22))&lt;&gt;""),Sorgo!$E42:INDEX(Sorgo!$E42:$Z42,MIN(M$6-$E$3,22))),0))-IF($G$2,0,IF((M$6-$G$3)&lt;1,0,IFERROR(LOOKUP(2,1/(Sorgo!$E42:INDEX(Sorgo!$E42:$Z42,MIN(M$6-$G$3,22))&lt;&gt;""),Sorgo!$E42:INDEX(Sorgo!$E42:$Z42,MIN(M$6-$G$3,22))),0)))))</f>
        <v>0</v>
      </c>
      <c r="N44" s="27" t="n">
        <f aca="false">IF(COUNT(Sorgo!$E42:$Z42)=0,0,MAX(0,IF((N$6-$E$3)&lt;1,0,IFERROR(LOOKUP(2,1/(Sorgo!$E42:INDEX(Sorgo!$E42:$Z42,MIN(N$6-$E$3,22))&lt;&gt;""),Sorgo!$E42:INDEX(Sorgo!$E42:$Z42,MIN(N$6-$E$3,22))),0))-IF($G$2,0,IF((N$6-$G$3)&lt;1,0,IFERROR(LOOKUP(2,1/(Sorgo!$E42:INDEX(Sorgo!$E42:$Z42,MIN(N$6-$G$3,22))&lt;&gt;""),Sorgo!$E42:INDEX(Sorgo!$E42:$Z42,MIN(N$6-$G$3,22))),0)))))</f>
        <v>0</v>
      </c>
      <c r="O44" s="27" t="n">
        <f aca="false">IF(COUNT(Sorgo!$E42:$Z42)=0,0,MAX(0,IF((O$6-$E$3)&lt;1,0,IFERROR(LOOKUP(2,1/(Sorgo!$E42:INDEX(Sorgo!$E42:$Z42,MIN(O$6-$E$3,22))&lt;&gt;""),Sorgo!$E42:INDEX(Sorgo!$E42:$Z42,MIN(O$6-$E$3,22))),0))-IF($G$2,0,IF((O$6-$G$3)&lt;1,0,IFERROR(LOOKUP(2,1/(Sorgo!$E42:INDEX(Sorgo!$E42:$Z42,MIN(O$6-$G$3,22))&lt;&gt;""),Sorgo!$E42:INDEX(Sorgo!$E42:$Z42,MIN(O$6-$G$3,22))),0)))))</f>
        <v>0</v>
      </c>
      <c r="P44" s="27" t="n">
        <f aca="false">IF(COUNT(Sorgo!$E42:$Z42)=0,0,MAX(0,IF((P$6-$E$3)&lt;1,0,IFERROR(LOOKUP(2,1/(Sorgo!$E42:INDEX(Sorgo!$E42:$Z42,MIN(P$6-$E$3,22))&lt;&gt;""),Sorgo!$E42:INDEX(Sorgo!$E42:$Z42,MIN(P$6-$E$3,22))),0))-IF($G$2,0,IF((P$6-$G$3)&lt;1,0,IFERROR(LOOKUP(2,1/(Sorgo!$E42:INDEX(Sorgo!$E42:$Z42,MIN(P$6-$G$3,22))&lt;&gt;""),Sorgo!$E42:INDEX(Sorgo!$E42:$Z42,MIN(P$6-$G$3,22))),0)))))</f>
        <v>0</v>
      </c>
      <c r="Q44" s="27" t="n">
        <f aca="false">IF(COUNT(Sorgo!$E42:$Z42)=0,0,MAX(0,IF((Q$6-$E$3)&lt;1,0,IFERROR(LOOKUP(2,1/(Sorgo!$E42:INDEX(Sorgo!$E42:$Z42,MIN(Q$6-$E$3,22))&lt;&gt;""),Sorgo!$E42:INDEX(Sorgo!$E42:$Z42,MIN(Q$6-$E$3,22))),0))-IF($G$2,0,IF((Q$6-$G$3)&lt;1,0,IFERROR(LOOKUP(2,1/(Sorgo!$E42:INDEX(Sorgo!$E42:$Z42,MIN(Q$6-$G$3,22))&lt;&gt;""),Sorgo!$E42:INDEX(Sorgo!$E42:$Z42,MIN(Q$6-$G$3,22))),0)))))</f>
        <v>0</v>
      </c>
      <c r="R44" s="27" t="n">
        <f aca="false">IF(COUNT(Sorgo!$E42:$Z42)=0,0,MAX(0,IF((R$6-$E$3)&lt;1,0,IFERROR(LOOKUP(2,1/(Sorgo!$E42:INDEX(Sorgo!$E42:$Z42,MIN(R$6-$E$3,22))&lt;&gt;""),Sorgo!$E42:INDEX(Sorgo!$E42:$Z42,MIN(R$6-$E$3,22))),0))-IF($G$2,0,IF((R$6-$G$3)&lt;1,0,IFERROR(LOOKUP(2,1/(Sorgo!$E42:INDEX(Sorgo!$E42:$Z42,MIN(R$6-$G$3,22))&lt;&gt;""),Sorgo!$E42:INDEX(Sorgo!$E42:$Z42,MIN(R$6-$G$3,22))),0)))))</f>
        <v>0</v>
      </c>
      <c r="S44" s="27" t="n">
        <f aca="false">IF(COUNT(Sorgo!$E42:$Z42)=0,0,MAX(0,IF((S$6-$E$3)&lt;1,0,IFERROR(LOOKUP(2,1/(Sorgo!$E42:INDEX(Sorgo!$E42:$Z42,MIN(S$6-$E$3,22))&lt;&gt;""),Sorgo!$E42:INDEX(Sorgo!$E42:$Z42,MIN(S$6-$E$3,22))),0))-IF($G$2,0,IF((S$6-$G$3)&lt;1,0,IFERROR(LOOKUP(2,1/(Sorgo!$E42:INDEX(Sorgo!$E42:$Z42,MIN(S$6-$G$3,22))&lt;&gt;""),Sorgo!$E42:INDEX(Sorgo!$E42:$Z42,MIN(S$6-$G$3,22))),0)))))</f>
        <v>0</v>
      </c>
      <c r="T44" s="27" t="n">
        <f aca="false">IF(COUNT(Sorgo!$E42:$Z42)=0,0,MAX(0,IF((T$6-$E$3)&lt;1,0,IFERROR(LOOKUP(2,1/(Sorgo!$E42:INDEX(Sorgo!$E42:$Z42,MIN(T$6-$E$3,22))&lt;&gt;""),Sorgo!$E42:INDEX(Sorgo!$E42:$Z42,MIN(T$6-$E$3,22))),0))-IF($G$2,0,IF((T$6-$G$3)&lt;1,0,IFERROR(LOOKUP(2,1/(Sorgo!$E42:INDEX(Sorgo!$E42:$Z42,MIN(T$6-$G$3,22))&lt;&gt;""),Sorgo!$E42:INDEX(Sorgo!$E42:$Z42,MIN(T$6-$G$3,22))),0)))))</f>
        <v>0</v>
      </c>
      <c r="U44" s="27" t="n">
        <f aca="false">IF(COUNT(Sorgo!$E42:$Z42)=0,0,MAX(0,IF((U$6-$E$3)&lt;1,0,IFERROR(LOOKUP(2,1/(Sorgo!$E42:INDEX(Sorgo!$E42:$Z42,MIN(U$6-$E$3,22))&lt;&gt;""),Sorgo!$E42:INDEX(Sorgo!$E42:$Z42,MIN(U$6-$E$3,22))),0))-IF($G$2,0,IF((U$6-$G$3)&lt;1,0,IFERROR(LOOKUP(2,1/(Sorgo!$E42:INDEX(Sorgo!$E42:$Z42,MIN(U$6-$G$3,22))&lt;&gt;""),Sorgo!$E42:INDEX(Sorgo!$E42:$Z42,MIN(U$6-$G$3,22))),0)))))</f>
        <v>0</v>
      </c>
      <c r="V44" s="27" t="n">
        <f aca="false">IF(COUNT(Sorgo!$E42:$Z42)=0,0,MAX(0,IF((V$6-$E$3)&lt;1,0,IFERROR(LOOKUP(2,1/(Sorgo!$E42:INDEX(Sorgo!$E42:$Z42,MIN(V$6-$E$3,22))&lt;&gt;""),Sorgo!$E42:INDEX(Sorgo!$E42:$Z42,MIN(V$6-$E$3,22))),0))-IF($G$2,0,IF((V$6-$G$3)&lt;1,0,IFERROR(LOOKUP(2,1/(Sorgo!$E42:INDEX(Sorgo!$E42:$Z42,MIN(V$6-$G$3,22))&lt;&gt;""),Sorgo!$E42:INDEX(Sorgo!$E42:$Z42,MIN(V$6-$G$3,22))),0)))))</f>
        <v>0</v>
      </c>
      <c r="W44" s="27" t="n">
        <f aca="false">IF(COUNT(Sorgo!$E42:$Z42)=0,0,MAX(0,IF((W$6-$E$3)&lt;1,0,IFERROR(LOOKUP(2,1/(Sorgo!$E42:INDEX(Sorgo!$E42:$Z42,MIN(W$6-$E$3,22))&lt;&gt;""),Sorgo!$E42:INDEX(Sorgo!$E42:$Z42,MIN(W$6-$E$3,22))),0))-IF($G$2,0,IF((W$6-$G$3)&lt;1,0,IFERROR(LOOKUP(2,1/(Sorgo!$E42:INDEX(Sorgo!$E42:$Z42,MIN(W$6-$G$3,22))&lt;&gt;""),Sorgo!$E42:INDEX(Sorgo!$E42:$Z42,MIN(W$6-$G$3,22))),0)))))</f>
        <v>0</v>
      </c>
      <c r="X44" s="27" t="n">
        <f aca="false">IF(COUNT(Sorgo!$E42:$Z42)=0,0,MAX(0,IF((X$6-$E$3)&lt;1,0,IFERROR(LOOKUP(2,1/(Sorgo!$E42:INDEX(Sorgo!$E42:$Z42,MIN(X$6-$E$3,22))&lt;&gt;""),Sorgo!$E42:INDEX(Sorgo!$E42:$Z42,MIN(X$6-$E$3,22))),0))-IF($G$2,0,IF((X$6-$G$3)&lt;1,0,IFERROR(LOOKUP(2,1/(Sorgo!$E42:INDEX(Sorgo!$E42:$Z42,MIN(X$6-$G$3,22))&lt;&gt;""),Sorgo!$E42:INDEX(Sorgo!$E42:$Z42,MIN(X$6-$G$3,22))),0)))))</f>
        <v>0</v>
      </c>
      <c r="Y44" s="27" t="n">
        <f aca="false">IF(COUNT(Sorgo!$E42:$Z42)=0,0,MAX(0,IF((Y$6-$E$3)&lt;1,0,IFERROR(LOOKUP(2,1/(Sorgo!$E42:INDEX(Sorgo!$E42:$Z42,MIN(Y$6-$E$3,22))&lt;&gt;""),Sorgo!$E42:INDEX(Sorgo!$E42:$Z42,MIN(Y$6-$E$3,22))),0))-IF($G$2,0,IF((Y$6-$G$3)&lt;1,0,IFERROR(LOOKUP(2,1/(Sorgo!$E42:INDEX(Sorgo!$E42:$Z42,MIN(Y$6-$G$3,22))&lt;&gt;""),Sorgo!$E42:INDEX(Sorgo!$E42:$Z42,MIN(Y$6-$G$3,22))),0)))))</f>
        <v>0</v>
      </c>
      <c r="Z44" s="27" t="n">
        <f aca="false">IF(COUNT(Sorgo!$E42:$Z42)=0,0,MAX(0,IF((Z$6-$E$3)&lt;1,0,IFERROR(LOOKUP(2,1/(Sorgo!$E42:INDEX(Sorgo!$E42:$Z42,MIN(Z$6-$E$3,22))&lt;&gt;""),Sorgo!$E42:INDEX(Sorgo!$E42:$Z42,MIN(Z$6-$E$3,22))),0))-IF($G$2,0,IF((Z$6-$G$3)&lt;1,0,IFERROR(LOOKUP(2,1/(Sorgo!$E42:INDEX(Sorgo!$E42:$Z42,MIN(Z$6-$G$3,22))&lt;&gt;""),Sorgo!$E42:INDEX(Sorgo!$E42:$Z42,MIN(Z$6-$G$3,22))),0)))))</f>
        <v>0</v>
      </c>
      <c r="AA44" s="27" t="n">
        <f aca="false">IF(COUNT(Sorgo!$E42:$Z42)=0,0,MAX(0,IF((AA$6-$E$3)&lt;1,0,IFERROR(LOOKUP(2,1/(Sorgo!$E42:INDEX(Sorgo!$E42:$Z42,MIN(AA$6-$E$3,22))&lt;&gt;""),Sorgo!$E42:INDEX(Sorgo!$E42:$Z42,MIN(AA$6-$E$3,22))),0))-IF($G$2,0,IF((AA$6-$G$3)&lt;1,0,IFERROR(LOOKUP(2,1/(Sorgo!$E42:INDEX(Sorgo!$E42:$Z42,MIN(AA$6-$G$3,22))&lt;&gt;""),Sorgo!$E42:INDEX(Sorgo!$E42:$Z42,MIN(AA$6-$G$3,22))),0)))))</f>
        <v>0</v>
      </c>
      <c r="AB44" s="27" t="n">
        <f aca="false">IF(COUNT(Sorgo!$E42:$Z42)=0,0,MAX(0,IF((AB$6-$E$3)&lt;1,0,IFERROR(LOOKUP(2,1/(Sorgo!$E42:INDEX(Sorgo!$E42:$Z42,MIN(AB$6-$E$3,22))&lt;&gt;""),Sorgo!$E42:INDEX(Sorgo!$E42:$Z42,MIN(AB$6-$E$3,22))),0))-IF($G$2,0,IF((AB$6-$G$3)&lt;1,0,IFERROR(LOOKUP(2,1/(Sorgo!$E42:INDEX(Sorgo!$E42:$Z42,MIN(AB$6-$G$3,22))&lt;&gt;""),Sorgo!$E42:INDEX(Sorgo!$E42:$Z42,MIN(AB$6-$G$3,22))),0)))))</f>
        <v>0</v>
      </c>
      <c r="AC44" s="27" t="n">
        <f aca="false">IF(COUNT(Sorgo!$E42:$Z42)=0,0,MAX(0,IF((AC$6-$E$3)&lt;1,0,IFERROR(LOOKUP(2,1/(Sorgo!$E42:INDEX(Sorgo!$E42:$Z42,MIN(AC$6-$E$3,22))&lt;&gt;""),Sorgo!$E42:INDEX(Sorgo!$E42:$Z42,MIN(AC$6-$E$3,22))),0))-IF($G$2,0,IF((AC$6-$G$3)&lt;1,0,IFERROR(LOOKUP(2,1/(Sorgo!$E42:INDEX(Sorgo!$E42:$Z42,MIN(AC$6-$G$3,22))&lt;&gt;""),Sorgo!$E42:INDEX(Sorgo!$E42:$Z42,MIN(AC$6-$G$3,22))),0)))))</f>
        <v>0</v>
      </c>
      <c r="AD44" s="27" t="n">
        <f aca="false">IF(COUNT(Sorgo!$E42:$Z42)=0,0,MAX(0,IF((AD$6-$E$3)&lt;1,0,IFERROR(LOOKUP(2,1/(Sorgo!$E42:INDEX(Sorgo!$E42:$Z42,MIN(AD$6-$E$3,22))&lt;&gt;""),Sorgo!$E42:INDEX(Sorgo!$E42:$Z42,MIN(AD$6-$E$3,22))),0))-IF($G$2,0,IF((AD$6-$G$3)&lt;1,0,IFERROR(LOOKUP(2,1/(Sorgo!$E42:INDEX(Sorgo!$E42:$Z42,MIN(AD$6-$G$3,22))&lt;&gt;""),Sorgo!$E42:INDEX(Sorgo!$E42:$Z42,MIN(AD$6-$G$3,22))),0)))))</f>
        <v>0</v>
      </c>
      <c r="AE44" s="27" t="n">
        <f aca="false">IF(COUNT(Sorgo!$E42:$Z42)=0,0,MAX(0,IF((AE$6-$E$3)&lt;1,0,IFERROR(LOOKUP(2,1/(Sorgo!$E42:INDEX(Sorgo!$E42:$Z42,MIN(AE$6-$E$3,22))&lt;&gt;""),Sorgo!$E42:INDEX(Sorgo!$E42:$Z42,MIN(AE$6-$E$3,22))),0))-IF($G$2,0,IF((AE$6-$G$3)&lt;1,0,IFERROR(LOOKUP(2,1/(Sorgo!$E42:INDEX(Sorgo!$E42:$Z42,MIN(AE$6-$G$3,22))&lt;&gt;""),Sorgo!$E42:INDEX(Sorgo!$E42:$Z42,MIN(AE$6-$G$3,22))),0)))))</f>
        <v>0</v>
      </c>
      <c r="AF44" s="27" t="n">
        <f aca="false">IF(COUNT(Sorgo!$E42:$Z42)=0,0,MAX(0,IF((AF$6-$E$3)&lt;1,0,IFERROR(LOOKUP(2,1/(Sorgo!$E42:INDEX(Sorgo!$E42:$Z42,MIN(AF$6-$E$3,22))&lt;&gt;""),Sorgo!$E42:INDEX(Sorgo!$E42:$Z42,MIN(AF$6-$E$3,22))),0))-IF($G$2,0,IF((AF$6-$G$3)&lt;1,0,IFERROR(LOOKUP(2,1/(Sorgo!$E42:INDEX(Sorgo!$E42:$Z42,MIN(AF$6-$G$3,22))&lt;&gt;""),Sorgo!$E42:INDEX(Sorgo!$E42:$Z42,MIN(AF$6-$G$3,22))),0)))))</f>
        <v>0</v>
      </c>
      <c r="AG44" s="27" t="n">
        <f aca="false">IF(COUNT(Sorgo!$E42:$Z42)=0,0,MAX(0,IF((AG$6-$E$3)&lt;1,0,IFERROR(LOOKUP(2,1/(Sorgo!$E42:INDEX(Sorgo!$E42:$Z42,MIN(AG$6-$E$3,22))&lt;&gt;""),Sorgo!$E42:INDEX(Sorgo!$E42:$Z42,MIN(AG$6-$E$3,22))),0))-IF($G$2,0,IF((AG$6-$G$3)&lt;1,0,IFERROR(LOOKUP(2,1/(Sorgo!$E42:INDEX(Sorgo!$E42:$Z42,MIN(AG$6-$G$3,22))&lt;&gt;""),Sorgo!$E42:INDEX(Sorgo!$E42:$Z42,MIN(AG$6-$G$3,22))),0)))))</f>
        <v>0</v>
      </c>
      <c r="AH44" s="27" t="n">
        <f aca="false">IF(COUNT(Sorgo!$E42:$Z42)=0,0,MAX(0,IF((AH$6-$E$3)&lt;1,0,IFERROR(LOOKUP(2,1/(Sorgo!$E42:INDEX(Sorgo!$E42:$Z42,MIN(AH$6-$E$3,22))&lt;&gt;""),Sorgo!$E42:INDEX(Sorgo!$E42:$Z42,MIN(AH$6-$E$3,22))),0))-IF($G$2,0,IF((AH$6-$G$3)&lt;1,0,IFERROR(LOOKUP(2,1/(Sorgo!$E42:INDEX(Sorgo!$E42:$Z42,MIN(AH$6-$G$3,22))&lt;&gt;""),Sorgo!$E42:INDEX(Sorgo!$E42:$Z42,MIN(AH$6-$G$3,22))),0)))))</f>
        <v>0</v>
      </c>
      <c r="AI44" s="27" t="n">
        <f aca="false">IF(COUNT(Sorgo!$E42:$Z42)=0,0,MAX(0,IF((AI$6-$E$3)&lt;1,0,IFERROR(LOOKUP(2,1/(Sorgo!$E42:INDEX(Sorgo!$E42:$Z42,MIN(AI$6-$E$3,22))&lt;&gt;""),Sorgo!$E42:INDEX(Sorgo!$E42:$Z42,MIN(AI$6-$E$3,22))),0))-IF($G$2,0,IF((AI$6-$G$3)&lt;1,0,IFERROR(LOOKUP(2,1/(Sorgo!$E42:INDEX(Sorgo!$E42:$Z42,MIN(AI$6-$G$3,22))&lt;&gt;""),Sorgo!$E42:INDEX(Sorgo!$E42:$Z42,MIN(AI$6-$G$3,22))),0)))))</f>
        <v>0</v>
      </c>
      <c r="AJ44" s="27" t="n">
        <f aca="false">IF(COUNT(Sorgo!$E42:$Z42)=0,0,MAX(0,IF((AJ$6-$E$3)&lt;1,0,IFERROR(LOOKUP(2,1/(Sorgo!$E42:INDEX(Sorgo!$E42:$Z42,MIN(AJ$6-$E$3,22))&lt;&gt;""),Sorgo!$E42:INDEX(Sorgo!$E42:$Z42,MIN(AJ$6-$E$3,22))),0))-IF($G$2,0,IF((AJ$6-$G$3)&lt;1,0,IFERROR(LOOKUP(2,1/(Sorgo!$E42:INDEX(Sorgo!$E42:$Z42,MIN(AJ$6-$G$3,22))&lt;&gt;""),Sorgo!$E42:INDEX(Sorgo!$E42:$Z42,MIN(AJ$6-$G$3,22))),0)))))</f>
        <v>0</v>
      </c>
      <c r="AK44" s="27" t="n">
        <f aca="false">IF(COUNT(Sorgo!$E42:$Z42)=0,0,MAX(0,IF((AK$6-$E$3)&lt;1,0,IFERROR(LOOKUP(2,1/(Sorgo!$E42:INDEX(Sorgo!$E42:$Z42,MIN(AK$6-$E$3,22))&lt;&gt;""),Sorgo!$E42:INDEX(Sorgo!$E42:$Z42,MIN(AK$6-$E$3,22))),0))-IF($G$2,0,IF((AK$6-$G$3)&lt;1,0,IFERROR(LOOKUP(2,1/(Sorgo!$E42:INDEX(Sorgo!$E42:$Z42,MIN(AK$6-$G$3,22))&lt;&gt;""),Sorgo!$E42:INDEX(Sorgo!$E42:$Z42,MIN(AK$6-$G$3,22))),0)))))</f>
        <v>0</v>
      </c>
      <c r="AL44" s="27" t="n">
        <f aca="false">IF(COUNT(Sorgo!$E42:$Z42)=0,0,MAX(0,IF((AL$6-$E$3)&lt;1,0,IFERROR(LOOKUP(2,1/(Sorgo!$E42:INDEX(Sorgo!$E42:$Z42,MIN(AL$6-$E$3,22))&lt;&gt;""),Sorgo!$E42:INDEX(Sorgo!$E42:$Z42,MIN(AL$6-$E$3,22))),0))-IF($G$2,0,IF((AL$6-$G$3)&lt;1,0,IFERROR(LOOKUP(2,1/(Sorgo!$E42:INDEX(Sorgo!$E42:$Z42,MIN(AL$6-$G$3,22))&lt;&gt;""),Sorgo!$E42:INDEX(Sorgo!$E42:$Z42,MIN(AL$6-$G$3,22))),0)))))</f>
        <v>0</v>
      </c>
      <c r="AM44" s="27" t="n">
        <f aca="false">IF(COUNT(Sorgo!$E42:$Z42)=0,0,MAX(0,IF((AM$6-$E$3)&lt;1,0,IFERROR(LOOKUP(2,1/(Sorgo!$E42:INDEX(Sorgo!$E42:$Z42,MIN(AM$6-$E$3,22))&lt;&gt;""),Sorgo!$E42:INDEX(Sorgo!$E42:$Z42,MIN(AM$6-$E$3,22))),0))-IF($G$2,0,IF((AM$6-$G$3)&lt;1,0,IFERROR(LOOKUP(2,1/(Sorgo!$E42:INDEX(Sorgo!$E42:$Z42,MIN(AM$6-$G$3,22))&lt;&gt;""),Sorgo!$E42:INDEX(Sorgo!$E42:$Z42,MIN(AM$6-$G$3,22))),0)))))</f>
        <v>0</v>
      </c>
      <c r="AN44" s="27" t="n">
        <f aca="false">IF(COUNT(Sorgo!$E42:$Z42)=0,0,MAX(0,IF((AN$6-$E$3)&lt;1,0,IFERROR(LOOKUP(2,1/(Sorgo!$E42:INDEX(Sorgo!$E42:$Z42,MIN(AN$6-$E$3,22))&lt;&gt;""),Sorgo!$E42:INDEX(Sorgo!$E42:$Z42,MIN(AN$6-$E$3,22))),0))-IF($G$2,0,IF((AN$6-$G$3)&lt;1,0,IFERROR(LOOKUP(2,1/(Sorgo!$E42:INDEX(Sorgo!$E42:$Z42,MIN(AN$6-$G$3,22))&lt;&gt;""),Sorgo!$E42:INDEX(Sorgo!$E42:$Z42,MIN(AN$6-$G$3,22))),0)))))</f>
        <v>0</v>
      </c>
      <c r="AO44" s="27" t="n">
        <f aca="false">IF(COUNT(Sorgo!$E42:$Z42)=0,0,MAX(0,IF((AO$6-$E$3)&lt;1,0,IFERROR(LOOKUP(2,1/(Sorgo!$E42:INDEX(Sorgo!$E42:$Z42,MIN(AO$6-$E$3,22))&lt;&gt;""),Sorgo!$E42:INDEX(Sorgo!$E42:$Z42,MIN(AO$6-$E$3,22))),0))-IF($G$2,0,IF((AO$6-$G$3)&lt;1,0,IFERROR(LOOKUP(2,1/(Sorgo!$E42:INDEX(Sorgo!$E42:$Z42,MIN(AO$6-$G$3,22))&lt;&gt;""),Sorgo!$E42:INDEX(Sorgo!$E42:$Z42,MIN(AO$6-$G$3,22))),0)))))</f>
        <v>0</v>
      </c>
      <c r="AP44" s="27" t="n">
        <f aca="false">IF(COUNT(Sorgo!$E42:$Z42)=0,0,MAX(0,IF((AP$6-$E$3)&lt;1,0,IFERROR(LOOKUP(2,1/(Sorgo!$E42:INDEX(Sorgo!$E42:$Z42,MIN(AP$6-$E$3,22))&lt;&gt;""),Sorgo!$E42:INDEX(Sorgo!$E42:$Z42,MIN(AP$6-$E$3,22))),0))-IF($G$2,0,IF((AP$6-$G$3)&lt;1,0,IFERROR(LOOKUP(2,1/(Sorgo!$E42:INDEX(Sorgo!$E42:$Z42,MIN(AP$6-$G$3,22))&lt;&gt;""),Sorgo!$E42:INDEX(Sorgo!$E42:$Z42,MIN(AP$6-$G$3,22))),0)))))</f>
        <v>0</v>
      </c>
      <c r="AQ44" s="27" t="n">
        <f aca="false">IF(COUNT(Sorgo!$E42:$Z42)=0,0,MAX(0,IF((AQ$6-$E$3)&lt;1,0,IFERROR(LOOKUP(2,1/(Sorgo!$E42:INDEX(Sorgo!$E42:$Z42,MIN(AQ$6-$E$3,22))&lt;&gt;""),Sorgo!$E42:INDEX(Sorgo!$E42:$Z42,MIN(AQ$6-$E$3,22))),0))-IF($G$2,0,IF((AQ$6-$G$3)&lt;1,0,IFERROR(LOOKUP(2,1/(Sorgo!$E42:INDEX(Sorgo!$E42:$Z42,MIN(AQ$6-$G$3,22))&lt;&gt;""),Sorgo!$E42:INDEX(Sorgo!$E42:$Z42,MIN(AQ$6-$G$3,22))),0)))))</f>
        <v>0</v>
      </c>
      <c r="AR44" s="27" t="n">
        <f aca="false">IF(COUNT(Sorgo!$E42:$Z42)=0,0,MAX(0,IF((AR$6-$E$3)&lt;1,0,IFERROR(LOOKUP(2,1/(Sorgo!$E42:INDEX(Sorgo!$E42:$Z42,MIN(AR$6-$E$3,22))&lt;&gt;""),Sorgo!$E42:INDEX(Sorgo!$E42:$Z42,MIN(AR$6-$E$3,22))),0))-IF($G$2,0,IF((AR$6-$G$3)&lt;1,0,IFERROR(LOOKUP(2,1/(Sorgo!$E42:INDEX(Sorgo!$E42:$Z42,MIN(AR$6-$G$3,22))&lt;&gt;""),Sorgo!$E42:INDEX(Sorgo!$E42:$Z42,MIN(AR$6-$G$3,22))),0)))))</f>
        <v>0</v>
      </c>
      <c r="AS44" s="27" t="n">
        <f aca="false">IF(COUNT(Sorgo!$E42:$Z42)=0,0,MAX(0,IF((AS$6-$E$3)&lt;1,0,IFERROR(LOOKUP(2,1/(Sorgo!$E42:INDEX(Sorgo!$E42:$Z42,MIN(AS$6-$E$3,22))&lt;&gt;""),Sorgo!$E42:INDEX(Sorgo!$E42:$Z42,MIN(AS$6-$E$3,22))),0))-IF($G$2,0,IF((AS$6-$G$3)&lt;1,0,IFERROR(LOOKUP(2,1/(Sorgo!$E42:INDEX(Sorgo!$E42:$Z42,MIN(AS$6-$G$3,22))&lt;&gt;""),Sorgo!$E42:INDEX(Sorgo!$E42:$Z42,MIN(AS$6-$G$3,22))),0)))))</f>
        <v>0</v>
      </c>
      <c r="AT44" s="27" t="n">
        <f aca="false">IF(COUNT(Sorgo!$E42:$Z42)=0,0,MAX(0,IF((AT$6-$E$3)&lt;1,0,IFERROR(LOOKUP(2,1/(Sorgo!$E42:INDEX(Sorgo!$E42:$Z42,MIN(AT$6-$E$3,22))&lt;&gt;""),Sorgo!$E42:INDEX(Sorgo!$E42:$Z42,MIN(AT$6-$E$3,22))),0))-IF($G$2,0,IF((AT$6-$G$3)&lt;1,0,IFERROR(LOOKUP(2,1/(Sorgo!$E42:INDEX(Sorgo!$E42:$Z42,MIN(AT$6-$G$3,22))&lt;&gt;""),Sorgo!$E42:INDEX(Sorgo!$E42:$Z42,MIN(AT$6-$G$3,22))),0)))))</f>
        <v>0</v>
      </c>
      <c r="AU44" s="27" t="n">
        <f aca="false">IF(COUNT(Sorgo!$E42:$Z42)=0,0,MAX(0,IF((AU$6-$E$3)&lt;1,0,IFERROR(LOOKUP(2,1/(Sorgo!$E42:INDEX(Sorgo!$E42:$Z42,MIN(AU$6-$E$3,22))&lt;&gt;""),Sorgo!$E42:INDEX(Sorgo!$E42:$Z42,MIN(AU$6-$E$3,22))),0))-IF($G$2,0,IF((AU$6-$G$3)&lt;1,0,IFERROR(LOOKUP(2,1/(Sorgo!$E42:INDEX(Sorgo!$E42:$Z42,MIN(AU$6-$G$3,22))&lt;&gt;""),Sorgo!$E42:INDEX(Sorgo!$E42:$Z42,MIN(AU$6-$G$3,22))),0)))))</f>
        <v>0</v>
      </c>
      <c r="AV44" s="27" t="n">
        <f aca="false">IF(COUNT(Sorgo!$E42:$Z42)=0,0,MAX(0,IF((AV$6-$E$3)&lt;1,0,IFERROR(LOOKUP(2,1/(Sorgo!$E42:INDEX(Sorgo!$E42:$Z42,MIN(AV$6-$E$3,22))&lt;&gt;""),Sorgo!$E42:INDEX(Sorgo!$E42:$Z42,MIN(AV$6-$E$3,22))),0))-IF($G$2,0,IF((AV$6-$G$3)&lt;1,0,IFERROR(LOOKUP(2,1/(Sorgo!$E42:INDEX(Sorgo!$E42:$Z42,MIN(AV$6-$G$3,22))&lt;&gt;""),Sorgo!$E42:INDEX(Sorgo!$E42:$Z42,MIN(AV$6-$G$3,22))),0)))))</f>
        <v>0</v>
      </c>
      <c r="AW44" s="27" t="n">
        <f aca="false">IF(COUNT(Sorgo!$E42:$Z42)=0,0,MAX(0,IF((AW$6-$E$3)&lt;1,0,IFERROR(LOOKUP(2,1/(Sorgo!$E42:INDEX(Sorgo!$E42:$Z42,MIN(AW$6-$E$3,22))&lt;&gt;""),Sorgo!$E42:INDEX(Sorgo!$E42:$Z42,MIN(AW$6-$E$3,22))),0))-IF($G$2,0,IF((AW$6-$G$3)&lt;1,0,IFERROR(LOOKUP(2,1/(Sorgo!$E42:INDEX(Sorgo!$E42:$Z42,MIN(AW$6-$G$3,22))&lt;&gt;""),Sorgo!$E42:INDEX(Sorgo!$E42:$Z42,MIN(AW$6-$G$3,22))),0)))))</f>
        <v>0</v>
      </c>
      <c r="AX44" s="27" t="n">
        <f aca="false">IF(COUNT(Sorgo!$E42:$Z42)=0,0,MAX(0,IF((AX$6-$E$3)&lt;1,0,IFERROR(LOOKUP(2,1/(Sorgo!$E42:INDEX(Sorgo!$E42:$Z42,MIN(AX$6-$E$3,22))&lt;&gt;""),Sorgo!$E42:INDEX(Sorgo!$E42:$Z42,MIN(AX$6-$E$3,22))),0))-IF($G$2,0,IF((AX$6-$G$3)&lt;1,0,IFERROR(LOOKUP(2,1/(Sorgo!$E42:INDEX(Sorgo!$E42:$Z42,MIN(AX$6-$G$3,22))&lt;&gt;""),Sorgo!$E42:INDEX(Sorgo!$E42:$Z42,MIN(AX$6-$G$3,22))),0)))))</f>
        <v>0</v>
      </c>
      <c r="AY44" s="27" t="n">
        <f aca="false">IF(COUNT(Sorgo!$E42:$Z42)=0,0,MAX(0,IF((AY$6-$E$3)&lt;1,0,IFERROR(LOOKUP(2,1/(Sorgo!$E42:INDEX(Sorgo!$E42:$Z42,MIN(AY$6-$E$3,22))&lt;&gt;""),Sorgo!$E42:INDEX(Sorgo!$E42:$Z42,MIN(AY$6-$E$3,22))),0))-IF($G$2,0,IF((AY$6-$G$3)&lt;1,0,IFERROR(LOOKUP(2,1/(Sorgo!$E42:INDEX(Sorgo!$E42:$Z42,MIN(AY$6-$G$3,22))&lt;&gt;""),Sorgo!$E42:INDEX(Sorgo!$E42:$Z42,MIN(AY$6-$G$3,22))),0)))))</f>
        <v>0</v>
      </c>
      <c r="AZ44" s="27" t="n">
        <f aca="false">IF(COUNT(Sorgo!$E42:$Z42)=0,0,MAX(0,IF((AZ$6-$E$3)&lt;1,0,IFERROR(LOOKUP(2,1/(Sorgo!$E42:INDEX(Sorgo!$E42:$Z42,MIN(AZ$6-$E$3,22))&lt;&gt;""),Sorgo!$E42:INDEX(Sorgo!$E42:$Z42,MIN(AZ$6-$E$3,22))),0))-IF($G$2,0,IF((AZ$6-$G$3)&lt;1,0,IFERROR(LOOKUP(2,1/(Sorgo!$E42:INDEX(Sorgo!$E42:$Z42,MIN(AZ$6-$G$3,22))&lt;&gt;""),Sorgo!$E42:INDEX(Sorgo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IF(COUNT(Sorgo!$E43:$Z43)&gt;0,N(Sorgo!$D43),0)</f>
        <v>0</v>
      </c>
      <c r="E45" s="27" t="n">
        <f aca="false">IF(COUNT(Sorgo!$E43:$Z43)=0,0,MAX(0,IF((E$6-$E$3)&lt;1,0,IFERROR(LOOKUP(2,1/(Sorgo!$E43:INDEX(Sorgo!$E43:$Z43,MIN(E$6-$E$3,22))&lt;&gt;""),Sorgo!$E43:INDEX(Sorgo!$E43:$Z43,MIN(E$6-$E$3,22))),0))-IF($G$2,0,IF((E$6-$G$3)&lt;1,0,IFERROR(LOOKUP(2,1/(Sorgo!$E43:INDEX(Sorgo!$E43:$Z43,MIN(E$6-$G$3,22))&lt;&gt;""),Sorgo!$E43:INDEX(Sorgo!$E43:$Z43,MIN(E$6-$G$3,22))),0)))))</f>
        <v>0</v>
      </c>
      <c r="F45" s="27" t="n">
        <f aca="false">IF(COUNT(Sorgo!$E43:$Z43)=0,0,MAX(0,IF((F$6-$E$3)&lt;1,0,IFERROR(LOOKUP(2,1/(Sorgo!$E43:INDEX(Sorgo!$E43:$Z43,MIN(F$6-$E$3,22))&lt;&gt;""),Sorgo!$E43:INDEX(Sorgo!$E43:$Z43,MIN(F$6-$E$3,22))),0))-IF($G$2,0,IF((F$6-$G$3)&lt;1,0,IFERROR(LOOKUP(2,1/(Sorgo!$E43:INDEX(Sorgo!$E43:$Z43,MIN(F$6-$G$3,22))&lt;&gt;""),Sorgo!$E43:INDEX(Sorgo!$E43:$Z43,MIN(F$6-$G$3,22))),0)))))</f>
        <v>0</v>
      </c>
      <c r="G45" s="27" t="n">
        <f aca="false">IF(COUNT(Sorgo!$E43:$Z43)=0,0,MAX(0,IF((G$6-$E$3)&lt;1,0,IFERROR(LOOKUP(2,1/(Sorgo!$E43:INDEX(Sorgo!$E43:$Z43,MIN(G$6-$E$3,22))&lt;&gt;""),Sorgo!$E43:INDEX(Sorgo!$E43:$Z43,MIN(G$6-$E$3,22))),0))-IF($G$2,0,IF((G$6-$G$3)&lt;1,0,IFERROR(LOOKUP(2,1/(Sorgo!$E43:INDEX(Sorgo!$E43:$Z43,MIN(G$6-$G$3,22))&lt;&gt;""),Sorgo!$E43:INDEX(Sorgo!$E43:$Z43,MIN(G$6-$G$3,22))),0)))))</f>
        <v>0</v>
      </c>
      <c r="H45" s="27" t="n">
        <f aca="false">IF(COUNT(Sorgo!$E43:$Z43)=0,0,MAX(0,IF((H$6-$E$3)&lt;1,0,IFERROR(LOOKUP(2,1/(Sorgo!$E43:INDEX(Sorgo!$E43:$Z43,MIN(H$6-$E$3,22))&lt;&gt;""),Sorgo!$E43:INDEX(Sorgo!$E43:$Z43,MIN(H$6-$E$3,22))),0))-IF($G$2,0,IF((H$6-$G$3)&lt;1,0,IFERROR(LOOKUP(2,1/(Sorgo!$E43:INDEX(Sorgo!$E43:$Z43,MIN(H$6-$G$3,22))&lt;&gt;""),Sorgo!$E43:INDEX(Sorgo!$E43:$Z43,MIN(H$6-$G$3,22))),0)))))</f>
        <v>0</v>
      </c>
      <c r="I45" s="27" t="n">
        <f aca="false">IF(COUNT(Sorgo!$E43:$Z43)=0,0,MAX(0,IF((I$6-$E$3)&lt;1,0,IFERROR(LOOKUP(2,1/(Sorgo!$E43:INDEX(Sorgo!$E43:$Z43,MIN(I$6-$E$3,22))&lt;&gt;""),Sorgo!$E43:INDEX(Sorgo!$E43:$Z43,MIN(I$6-$E$3,22))),0))-IF($G$2,0,IF((I$6-$G$3)&lt;1,0,IFERROR(LOOKUP(2,1/(Sorgo!$E43:INDEX(Sorgo!$E43:$Z43,MIN(I$6-$G$3,22))&lt;&gt;""),Sorgo!$E43:INDEX(Sorgo!$E43:$Z43,MIN(I$6-$G$3,22))),0)))))</f>
        <v>0</v>
      </c>
      <c r="J45" s="27" t="n">
        <f aca="false">IF(COUNT(Sorgo!$E43:$Z43)=0,0,MAX(0,IF((J$6-$E$3)&lt;1,0,IFERROR(LOOKUP(2,1/(Sorgo!$E43:INDEX(Sorgo!$E43:$Z43,MIN(J$6-$E$3,22))&lt;&gt;""),Sorgo!$E43:INDEX(Sorgo!$E43:$Z43,MIN(J$6-$E$3,22))),0))-IF($G$2,0,IF((J$6-$G$3)&lt;1,0,IFERROR(LOOKUP(2,1/(Sorgo!$E43:INDEX(Sorgo!$E43:$Z43,MIN(J$6-$G$3,22))&lt;&gt;""),Sorgo!$E43:INDEX(Sorgo!$E43:$Z43,MIN(J$6-$G$3,22))),0)))))</f>
        <v>0</v>
      </c>
      <c r="K45" s="27" t="n">
        <f aca="false">IF(COUNT(Sorgo!$E43:$Z43)=0,0,MAX(0,IF((K$6-$E$3)&lt;1,0,IFERROR(LOOKUP(2,1/(Sorgo!$E43:INDEX(Sorgo!$E43:$Z43,MIN(K$6-$E$3,22))&lt;&gt;""),Sorgo!$E43:INDEX(Sorgo!$E43:$Z43,MIN(K$6-$E$3,22))),0))-IF($G$2,0,IF((K$6-$G$3)&lt;1,0,IFERROR(LOOKUP(2,1/(Sorgo!$E43:INDEX(Sorgo!$E43:$Z43,MIN(K$6-$G$3,22))&lt;&gt;""),Sorgo!$E43:INDEX(Sorgo!$E43:$Z43,MIN(K$6-$G$3,22))),0)))))</f>
        <v>0</v>
      </c>
      <c r="L45" s="27" t="n">
        <f aca="false">IF(COUNT(Sorgo!$E43:$Z43)=0,0,MAX(0,IF((L$6-$E$3)&lt;1,0,IFERROR(LOOKUP(2,1/(Sorgo!$E43:INDEX(Sorgo!$E43:$Z43,MIN(L$6-$E$3,22))&lt;&gt;""),Sorgo!$E43:INDEX(Sorgo!$E43:$Z43,MIN(L$6-$E$3,22))),0))-IF($G$2,0,IF((L$6-$G$3)&lt;1,0,IFERROR(LOOKUP(2,1/(Sorgo!$E43:INDEX(Sorgo!$E43:$Z43,MIN(L$6-$G$3,22))&lt;&gt;""),Sorgo!$E43:INDEX(Sorgo!$E43:$Z43,MIN(L$6-$G$3,22))),0)))))</f>
        <v>0</v>
      </c>
      <c r="M45" s="27" t="n">
        <f aca="false">IF(COUNT(Sorgo!$E43:$Z43)=0,0,MAX(0,IF((M$6-$E$3)&lt;1,0,IFERROR(LOOKUP(2,1/(Sorgo!$E43:INDEX(Sorgo!$E43:$Z43,MIN(M$6-$E$3,22))&lt;&gt;""),Sorgo!$E43:INDEX(Sorgo!$E43:$Z43,MIN(M$6-$E$3,22))),0))-IF($G$2,0,IF((M$6-$G$3)&lt;1,0,IFERROR(LOOKUP(2,1/(Sorgo!$E43:INDEX(Sorgo!$E43:$Z43,MIN(M$6-$G$3,22))&lt;&gt;""),Sorgo!$E43:INDEX(Sorgo!$E43:$Z43,MIN(M$6-$G$3,22))),0)))))</f>
        <v>0</v>
      </c>
      <c r="N45" s="27" t="n">
        <f aca="false">IF(COUNT(Sorgo!$E43:$Z43)=0,0,MAX(0,IF((N$6-$E$3)&lt;1,0,IFERROR(LOOKUP(2,1/(Sorgo!$E43:INDEX(Sorgo!$E43:$Z43,MIN(N$6-$E$3,22))&lt;&gt;""),Sorgo!$E43:INDEX(Sorgo!$E43:$Z43,MIN(N$6-$E$3,22))),0))-IF($G$2,0,IF((N$6-$G$3)&lt;1,0,IFERROR(LOOKUP(2,1/(Sorgo!$E43:INDEX(Sorgo!$E43:$Z43,MIN(N$6-$G$3,22))&lt;&gt;""),Sorgo!$E43:INDEX(Sorgo!$E43:$Z43,MIN(N$6-$G$3,22))),0)))))</f>
        <v>0</v>
      </c>
      <c r="O45" s="27" t="n">
        <f aca="false">IF(COUNT(Sorgo!$E43:$Z43)=0,0,MAX(0,IF((O$6-$E$3)&lt;1,0,IFERROR(LOOKUP(2,1/(Sorgo!$E43:INDEX(Sorgo!$E43:$Z43,MIN(O$6-$E$3,22))&lt;&gt;""),Sorgo!$E43:INDEX(Sorgo!$E43:$Z43,MIN(O$6-$E$3,22))),0))-IF($G$2,0,IF((O$6-$G$3)&lt;1,0,IFERROR(LOOKUP(2,1/(Sorgo!$E43:INDEX(Sorgo!$E43:$Z43,MIN(O$6-$G$3,22))&lt;&gt;""),Sorgo!$E43:INDEX(Sorgo!$E43:$Z43,MIN(O$6-$G$3,22))),0)))))</f>
        <v>0</v>
      </c>
      <c r="P45" s="27" t="n">
        <f aca="false">IF(COUNT(Sorgo!$E43:$Z43)=0,0,MAX(0,IF((P$6-$E$3)&lt;1,0,IFERROR(LOOKUP(2,1/(Sorgo!$E43:INDEX(Sorgo!$E43:$Z43,MIN(P$6-$E$3,22))&lt;&gt;""),Sorgo!$E43:INDEX(Sorgo!$E43:$Z43,MIN(P$6-$E$3,22))),0))-IF($G$2,0,IF((P$6-$G$3)&lt;1,0,IFERROR(LOOKUP(2,1/(Sorgo!$E43:INDEX(Sorgo!$E43:$Z43,MIN(P$6-$G$3,22))&lt;&gt;""),Sorgo!$E43:INDEX(Sorgo!$E43:$Z43,MIN(P$6-$G$3,22))),0)))))</f>
        <v>0</v>
      </c>
      <c r="Q45" s="27" t="n">
        <f aca="false">IF(COUNT(Sorgo!$E43:$Z43)=0,0,MAX(0,IF((Q$6-$E$3)&lt;1,0,IFERROR(LOOKUP(2,1/(Sorgo!$E43:INDEX(Sorgo!$E43:$Z43,MIN(Q$6-$E$3,22))&lt;&gt;""),Sorgo!$E43:INDEX(Sorgo!$E43:$Z43,MIN(Q$6-$E$3,22))),0))-IF($G$2,0,IF((Q$6-$G$3)&lt;1,0,IFERROR(LOOKUP(2,1/(Sorgo!$E43:INDEX(Sorgo!$E43:$Z43,MIN(Q$6-$G$3,22))&lt;&gt;""),Sorgo!$E43:INDEX(Sorgo!$E43:$Z43,MIN(Q$6-$G$3,22))),0)))))</f>
        <v>0</v>
      </c>
      <c r="R45" s="27" t="n">
        <f aca="false">IF(COUNT(Sorgo!$E43:$Z43)=0,0,MAX(0,IF((R$6-$E$3)&lt;1,0,IFERROR(LOOKUP(2,1/(Sorgo!$E43:INDEX(Sorgo!$E43:$Z43,MIN(R$6-$E$3,22))&lt;&gt;""),Sorgo!$E43:INDEX(Sorgo!$E43:$Z43,MIN(R$6-$E$3,22))),0))-IF($G$2,0,IF((R$6-$G$3)&lt;1,0,IFERROR(LOOKUP(2,1/(Sorgo!$E43:INDEX(Sorgo!$E43:$Z43,MIN(R$6-$G$3,22))&lt;&gt;""),Sorgo!$E43:INDEX(Sorgo!$E43:$Z43,MIN(R$6-$G$3,22))),0)))))</f>
        <v>0</v>
      </c>
      <c r="S45" s="27" t="n">
        <f aca="false">IF(COUNT(Sorgo!$E43:$Z43)=0,0,MAX(0,IF((S$6-$E$3)&lt;1,0,IFERROR(LOOKUP(2,1/(Sorgo!$E43:INDEX(Sorgo!$E43:$Z43,MIN(S$6-$E$3,22))&lt;&gt;""),Sorgo!$E43:INDEX(Sorgo!$E43:$Z43,MIN(S$6-$E$3,22))),0))-IF($G$2,0,IF((S$6-$G$3)&lt;1,0,IFERROR(LOOKUP(2,1/(Sorgo!$E43:INDEX(Sorgo!$E43:$Z43,MIN(S$6-$G$3,22))&lt;&gt;""),Sorgo!$E43:INDEX(Sorgo!$E43:$Z43,MIN(S$6-$G$3,22))),0)))))</f>
        <v>0</v>
      </c>
      <c r="T45" s="27" t="n">
        <f aca="false">IF(COUNT(Sorgo!$E43:$Z43)=0,0,MAX(0,IF((T$6-$E$3)&lt;1,0,IFERROR(LOOKUP(2,1/(Sorgo!$E43:INDEX(Sorgo!$E43:$Z43,MIN(T$6-$E$3,22))&lt;&gt;""),Sorgo!$E43:INDEX(Sorgo!$E43:$Z43,MIN(T$6-$E$3,22))),0))-IF($G$2,0,IF((T$6-$G$3)&lt;1,0,IFERROR(LOOKUP(2,1/(Sorgo!$E43:INDEX(Sorgo!$E43:$Z43,MIN(T$6-$G$3,22))&lt;&gt;""),Sorgo!$E43:INDEX(Sorgo!$E43:$Z43,MIN(T$6-$G$3,22))),0)))))</f>
        <v>0</v>
      </c>
      <c r="U45" s="27" t="n">
        <f aca="false">IF(COUNT(Sorgo!$E43:$Z43)=0,0,MAX(0,IF((U$6-$E$3)&lt;1,0,IFERROR(LOOKUP(2,1/(Sorgo!$E43:INDEX(Sorgo!$E43:$Z43,MIN(U$6-$E$3,22))&lt;&gt;""),Sorgo!$E43:INDEX(Sorgo!$E43:$Z43,MIN(U$6-$E$3,22))),0))-IF($G$2,0,IF((U$6-$G$3)&lt;1,0,IFERROR(LOOKUP(2,1/(Sorgo!$E43:INDEX(Sorgo!$E43:$Z43,MIN(U$6-$G$3,22))&lt;&gt;""),Sorgo!$E43:INDEX(Sorgo!$E43:$Z43,MIN(U$6-$G$3,22))),0)))))</f>
        <v>0</v>
      </c>
      <c r="V45" s="27" t="n">
        <f aca="false">IF(COUNT(Sorgo!$E43:$Z43)=0,0,MAX(0,IF((V$6-$E$3)&lt;1,0,IFERROR(LOOKUP(2,1/(Sorgo!$E43:INDEX(Sorgo!$E43:$Z43,MIN(V$6-$E$3,22))&lt;&gt;""),Sorgo!$E43:INDEX(Sorgo!$E43:$Z43,MIN(V$6-$E$3,22))),0))-IF($G$2,0,IF((V$6-$G$3)&lt;1,0,IFERROR(LOOKUP(2,1/(Sorgo!$E43:INDEX(Sorgo!$E43:$Z43,MIN(V$6-$G$3,22))&lt;&gt;""),Sorgo!$E43:INDEX(Sorgo!$E43:$Z43,MIN(V$6-$G$3,22))),0)))))</f>
        <v>0</v>
      </c>
      <c r="W45" s="27" t="n">
        <f aca="false">IF(COUNT(Sorgo!$E43:$Z43)=0,0,MAX(0,IF((W$6-$E$3)&lt;1,0,IFERROR(LOOKUP(2,1/(Sorgo!$E43:INDEX(Sorgo!$E43:$Z43,MIN(W$6-$E$3,22))&lt;&gt;""),Sorgo!$E43:INDEX(Sorgo!$E43:$Z43,MIN(W$6-$E$3,22))),0))-IF($G$2,0,IF((W$6-$G$3)&lt;1,0,IFERROR(LOOKUP(2,1/(Sorgo!$E43:INDEX(Sorgo!$E43:$Z43,MIN(W$6-$G$3,22))&lt;&gt;""),Sorgo!$E43:INDEX(Sorgo!$E43:$Z43,MIN(W$6-$G$3,22))),0)))))</f>
        <v>0</v>
      </c>
      <c r="X45" s="27" t="n">
        <f aca="false">IF(COUNT(Sorgo!$E43:$Z43)=0,0,MAX(0,IF((X$6-$E$3)&lt;1,0,IFERROR(LOOKUP(2,1/(Sorgo!$E43:INDEX(Sorgo!$E43:$Z43,MIN(X$6-$E$3,22))&lt;&gt;""),Sorgo!$E43:INDEX(Sorgo!$E43:$Z43,MIN(X$6-$E$3,22))),0))-IF($G$2,0,IF((X$6-$G$3)&lt;1,0,IFERROR(LOOKUP(2,1/(Sorgo!$E43:INDEX(Sorgo!$E43:$Z43,MIN(X$6-$G$3,22))&lt;&gt;""),Sorgo!$E43:INDEX(Sorgo!$E43:$Z43,MIN(X$6-$G$3,22))),0)))))</f>
        <v>0</v>
      </c>
      <c r="Y45" s="27" t="n">
        <f aca="false">IF(COUNT(Sorgo!$E43:$Z43)=0,0,MAX(0,IF((Y$6-$E$3)&lt;1,0,IFERROR(LOOKUP(2,1/(Sorgo!$E43:INDEX(Sorgo!$E43:$Z43,MIN(Y$6-$E$3,22))&lt;&gt;""),Sorgo!$E43:INDEX(Sorgo!$E43:$Z43,MIN(Y$6-$E$3,22))),0))-IF($G$2,0,IF((Y$6-$G$3)&lt;1,0,IFERROR(LOOKUP(2,1/(Sorgo!$E43:INDEX(Sorgo!$E43:$Z43,MIN(Y$6-$G$3,22))&lt;&gt;""),Sorgo!$E43:INDEX(Sorgo!$E43:$Z43,MIN(Y$6-$G$3,22))),0)))))</f>
        <v>0</v>
      </c>
      <c r="Z45" s="27" t="n">
        <f aca="false">IF(COUNT(Sorgo!$E43:$Z43)=0,0,MAX(0,IF((Z$6-$E$3)&lt;1,0,IFERROR(LOOKUP(2,1/(Sorgo!$E43:INDEX(Sorgo!$E43:$Z43,MIN(Z$6-$E$3,22))&lt;&gt;""),Sorgo!$E43:INDEX(Sorgo!$E43:$Z43,MIN(Z$6-$E$3,22))),0))-IF($G$2,0,IF((Z$6-$G$3)&lt;1,0,IFERROR(LOOKUP(2,1/(Sorgo!$E43:INDEX(Sorgo!$E43:$Z43,MIN(Z$6-$G$3,22))&lt;&gt;""),Sorgo!$E43:INDEX(Sorgo!$E43:$Z43,MIN(Z$6-$G$3,22))),0)))))</f>
        <v>0</v>
      </c>
      <c r="AA45" s="27" t="n">
        <f aca="false">IF(COUNT(Sorgo!$E43:$Z43)=0,0,MAX(0,IF((AA$6-$E$3)&lt;1,0,IFERROR(LOOKUP(2,1/(Sorgo!$E43:INDEX(Sorgo!$E43:$Z43,MIN(AA$6-$E$3,22))&lt;&gt;""),Sorgo!$E43:INDEX(Sorgo!$E43:$Z43,MIN(AA$6-$E$3,22))),0))-IF($G$2,0,IF((AA$6-$G$3)&lt;1,0,IFERROR(LOOKUP(2,1/(Sorgo!$E43:INDEX(Sorgo!$E43:$Z43,MIN(AA$6-$G$3,22))&lt;&gt;""),Sorgo!$E43:INDEX(Sorgo!$E43:$Z43,MIN(AA$6-$G$3,22))),0)))))</f>
        <v>0</v>
      </c>
      <c r="AB45" s="27" t="n">
        <f aca="false">IF(COUNT(Sorgo!$E43:$Z43)=0,0,MAX(0,IF((AB$6-$E$3)&lt;1,0,IFERROR(LOOKUP(2,1/(Sorgo!$E43:INDEX(Sorgo!$E43:$Z43,MIN(AB$6-$E$3,22))&lt;&gt;""),Sorgo!$E43:INDEX(Sorgo!$E43:$Z43,MIN(AB$6-$E$3,22))),0))-IF($G$2,0,IF((AB$6-$G$3)&lt;1,0,IFERROR(LOOKUP(2,1/(Sorgo!$E43:INDEX(Sorgo!$E43:$Z43,MIN(AB$6-$G$3,22))&lt;&gt;""),Sorgo!$E43:INDEX(Sorgo!$E43:$Z43,MIN(AB$6-$G$3,22))),0)))))</f>
        <v>0</v>
      </c>
      <c r="AC45" s="27" t="n">
        <f aca="false">IF(COUNT(Sorgo!$E43:$Z43)=0,0,MAX(0,IF((AC$6-$E$3)&lt;1,0,IFERROR(LOOKUP(2,1/(Sorgo!$E43:INDEX(Sorgo!$E43:$Z43,MIN(AC$6-$E$3,22))&lt;&gt;""),Sorgo!$E43:INDEX(Sorgo!$E43:$Z43,MIN(AC$6-$E$3,22))),0))-IF($G$2,0,IF((AC$6-$G$3)&lt;1,0,IFERROR(LOOKUP(2,1/(Sorgo!$E43:INDEX(Sorgo!$E43:$Z43,MIN(AC$6-$G$3,22))&lt;&gt;""),Sorgo!$E43:INDEX(Sorgo!$E43:$Z43,MIN(AC$6-$G$3,22))),0)))))</f>
        <v>0</v>
      </c>
      <c r="AD45" s="27" t="n">
        <f aca="false">IF(COUNT(Sorgo!$E43:$Z43)=0,0,MAX(0,IF((AD$6-$E$3)&lt;1,0,IFERROR(LOOKUP(2,1/(Sorgo!$E43:INDEX(Sorgo!$E43:$Z43,MIN(AD$6-$E$3,22))&lt;&gt;""),Sorgo!$E43:INDEX(Sorgo!$E43:$Z43,MIN(AD$6-$E$3,22))),0))-IF($G$2,0,IF((AD$6-$G$3)&lt;1,0,IFERROR(LOOKUP(2,1/(Sorgo!$E43:INDEX(Sorgo!$E43:$Z43,MIN(AD$6-$G$3,22))&lt;&gt;""),Sorgo!$E43:INDEX(Sorgo!$E43:$Z43,MIN(AD$6-$G$3,22))),0)))))</f>
        <v>0</v>
      </c>
      <c r="AE45" s="27" t="n">
        <f aca="false">IF(COUNT(Sorgo!$E43:$Z43)=0,0,MAX(0,IF((AE$6-$E$3)&lt;1,0,IFERROR(LOOKUP(2,1/(Sorgo!$E43:INDEX(Sorgo!$E43:$Z43,MIN(AE$6-$E$3,22))&lt;&gt;""),Sorgo!$E43:INDEX(Sorgo!$E43:$Z43,MIN(AE$6-$E$3,22))),0))-IF($G$2,0,IF((AE$6-$G$3)&lt;1,0,IFERROR(LOOKUP(2,1/(Sorgo!$E43:INDEX(Sorgo!$E43:$Z43,MIN(AE$6-$G$3,22))&lt;&gt;""),Sorgo!$E43:INDEX(Sorgo!$E43:$Z43,MIN(AE$6-$G$3,22))),0)))))</f>
        <v>0</v>
      </c>
      <c r="AF45" s="27" t="n">
        <f aca="false">IF(COUNT(Sorgo!$E43:$Z43)=0,0,MAX(0,IF((AF$6-$E$3)&lt;1,0,IFERROR(LOOKUP(2,1/(Sorgo!$E43:INDEX(Sorgo!$E43:$Z43,MIN(AF$6-$E$3,22))&lt;&gt;""),Sorgo!$E43:INDEX(Sorgo!$E43:$Z43,MIN(AF$6-$E$3,22))),0))-IF($G$2,0,IF((AF$6-$G$3)&lt;1,0,IFERROR(LOOKUP(2,1/(Sorgo!$E43:INDEX(Sorgo!$E43:$Z43,MIN(AF$6-$G$3,22))&lt;&gt;""),Sorgo!$E43:INDEX(Sorgo!$E43:$Z43,MIN(AF$6-$G$3,22))),0)))))</f>
        <v>0</v>
      </c>
      <c r="AG45" s="27" t="n">
        <f aca="false">IF(COUNT(Sorgo!$E43:$Z43)=0,0,MAX(0,IF((AG$6-$E$3)&lt;1,0,IFERROR(LOOKUP(2,1/(Sorgo!$E43:INDEX(Sorgo!$E43:$Z43,MIN(AG$6-$E$3,22))&lt;&gt;""),Sorgo!$E43:INDEX(Sorgo!$E43:$Z43,MIN(AG$6-$E$3,22))),0))-IF($G$2,0,IF((AG$6-$G$3)&lt;1,0,IFERROR(LOOKUP(2,1/(Sorgo!$E43:INDEX(Sorgo!$E43:$Z43,MIN(AG$6-$G$3,22))&lt;&gt;""),Sorgo!$E43:INDEX(Sorgo!$E43:$Z43,MIN(AG$6-$G$3,22))),0)))))</f>
        <v>0</v>
      </c>
      <c r="AH45" s="27" t="n">
        <f aca="false">IF(COUNT(Sorgo!$E43:$Z43)=0,0,MAX(0,IF((AH$6-$E$3)&lt;1,0,IFERROR(LOOKUP(2,1/(Sorgo!$E43:INDEX(Sorgo!$E43:$Z43,MIN(AH$6-$E$3,22))&lt;&gt;""),Sorgo!$E43:INDEX(Sorgo!$E43:$Z43,MIN(AH$6-$E$3,22))),0))-IF($G$2,0,IF((AH$6-$G$3)&lt;1,0,IFERROR(LOOKUP(2,1/(Sorgo!$E43:INDEX(Sorgo!$E43:$Z43,MIN(AH$6-$G$3,22))&lt;&gt;""),Sorgo!$E43:INDEX(Sorgo!$E43:$Z43,MIN(AH$6-$G$3,22))),0)))))</f>
        <v>0</v>
      </c>
      <c r="AI45" s="27" t="n">
        <f aca="false">IF(COUNT(Sorgo!$E43:$Z43)=0,0,MAX(0,IF((AI$6-$E$3)&lt;1,0,IFERROR(LOOKUP(2,1/(Sorgo!$E43:INDEX(Sorgo!$E43:$Z43,MIN(AI$6-$E$3,22))&lt;&gt;""),Sorgo!$E43:INDEX(Sorgo!$E43:$Z43,MIN(AI$6-$E$3,22))),0))-IF($G$2,0,IF((AI$6-$G$3)&lt;1,0,IFERROR(LOOKUP(2,1/(Sorgo!$E43:INDEX(Sorgo!$E43:$Z43,MIN(AI$6-$G$3,22))&lt;&gt;""),Sorgo!$E43:INDEX(Sorgo!$E43:$Z43,MIN(AI$6-$G$3,22))),0)))))</f>
        <v>0</v>
      </c>
      <c r="AJ45" s="27" t="n">
        <f aca="false">IF(COUNT(Sorgo!$E43:$Z43)=0,0,MAX(0,IF((AJ$6-$E$3)&lt;1,0,IFERROR(LOOKUP(2,1/(Sorgo!$E43:INDEX(Sorgo!$E43:$Z43,MIN(AJ$6-$E$3,22))&lt;&gt;""),Sorgo!$E43:INDEX(Sorgo!$E43:$Z43,MIN(AJ$6-$E$3,22))),0))-IF($G$2,0,IF((AJ$6-$G$3)&lt;1,0,IFERROR(LOOKUP(2,1/(Sorgo!$E43:INDEX(Sorgo!$E43:$Z43,MIN(AJ$6-$G$3,22))&lt;&gt;""),Sorgo!$E43:INDEX(Sorgo!$E43:$Z43,MIN(AJ$6-$G$3,22))),0)))))</f>
        <v>0</v>
      </c>
      <c r="AK45" s="27" t="n">
        <f aca="false">IF(COUNT(Sorgo!$E43:$Z43)=0,0,MAX(0,IF((AK$6-$E$3)&lt;1,0,IFERROR(LOOKUP(2,1/(Sorgo!$E43:INDEX(Sorgo!$E43:$Z43,MIN(AK$6-$E$3,22))&lt;&gt;""),Sorgo!$E43:INDEX(Sorgo!$E43:$Z43,MIN(AK$6-$E$3,22))),0))-IF($G$2,0,IF((AK$6-$G$3)&lt;1,0,IFERROR(LOOKUP(2,1/(Sorgo!$E43:INDEX(Sorgo!$E43:$Z43,MIN(AK$6-$G$3,22))&lt;&gt;""),Sorgo!$E43:INDEX(Sorgo!$E43:$Z43,MIN(AK$6-$G$3,22))),0)))))</f>
        <v>0</v>
      </c>
      <c r="AL45" s="27" t="n">
        <f aca="false">IF(COUNT(Sorgo!$E43:$Z43)=0,0,MAX(0,IF((AL$6-$E$3)&lt;1,0,IFERROR(LOOKUP(2,1/(Sorgo!$E43:INDEX(Sorgo!$E43:$Z43,MIN(AL$6-$E$3,22))&lt;&gt;""),Sorgo!$E43:INDEX(Sorgo!$E43:$Z43,MIN(AL$6-$E$3,22))),0))-IF($G$2,0,IF((AL$6-$G$3)&lt;1,0,IFERROR(LOOKUP(2,1/(Sorgo!$E43:INDEX(Sorgo!$E43:$Z43,MIN(AL$6-$G$3,22))&lt;&gt;""),Sorgo!$E43:INDEX(Sorgo!$E43:$Z43,MIN(AL$6-$G$3,22))),0)))))</f>
        <v>0</v>
      </c>
      <c r="AM45" s="27" t="n">
        <f aca="false">IF(COUNT(Sorgo!$E43:$Z43)=0,0,MAX(0,IF((AM$6-$E$3)&lt;1,0,IFERROR(LOOKUP(2,1/(Sorgo!$E43:INDEX(Sorgo!$E43:$Z43,MIN(AM$6-$E$3,22))&lt;&gt;""),Sorgo!$E43:INDEX(Sorgo!$E43:$Z43,MIN(AM$6-$E$3,22))),0))-IF($G$2,0,IF((AM$6-$G$3)&lt;1,0,IFERROR(LOOKUP(2,1/(Sorgo!$E43:INDEX(Sorgo!$E43:$Z43,MIN(AM$6-$G$3,22))&lt;&gt;""),Sorgo!$E43:INDEX(Sorgo!$E43:$Z43,MIN(AM$6-$G$3,22))),0)))))</f>
        <v>0</v>
      </c>
      <c r="AN45" s="27" t="n">
        <f aca="false">IF(COUNT(Sorgo!$E43:$Z43)=0,0,MAX(0,IF((AN$6-$E$3)&lt;1,0,IFERROR(LOOKUP(2,1/(Sorgo!$E43:INDEX(Sorgo!$E43:$Z43,MIN(AN$6-$E$3,22))&lt;&gt;""),Sorgo!$E43:INDEX(Sorgo!$E43:$Z43,MIN(AN$6-$E$3,22))),0))-IF($G$2,0,IF((AN$6-$G$3)&lt;1,0,IFERROR(LOOKUP(2,1/(Sorgo!$E43:INDEX(Sorgo!$E43:$Z43,MIN(AN$6-$G$3,22))&lt;&gt;""),Sorgo!$E43:INDEX(Sorgo!$E43:$Z43,MIN(AN$6-$G$3,22))),0)))))</f>
        <v>0</v>
      </c>
      <c r="AO45" s="27" t="n">
        <f aca="false">IF(COUNT(Sorgo!$E43:$Z43)=0,0,MAX(0,IF((AO$6-$E$3)&lt;1,0,IFERROR(LOOKUP(2,1/(Sorgo!$E43:INDEX(Sorgo!$E43:$Z43,MIN(AO$6-$E$3,22))&lt;&gt;""),Sorgo!$E43:INDEX(Sorgo!$E43:$Z43,MIN(AO$6-$E$3,22))),0))-IF($G$2,0,IF((AO$6-$G$3)&lt;1,0,IFERROR(LOOKUP(2,1/(Sorgo!$E43:INDEX(Sorgo!$E43:$Z43,MIN(AO$6-$G$3,22))&lt;&gt;""),Sorgo!$E43:INDEX(Sorgo!$E43:$Z43,MIN(AO$6-$G$3,22))),0)))))</f>
        <v>0</v>
      </c>
      <c r="AP45" s="27" t="n">
        <f aca="false">IF(COUNT(Sorgo!$E43:$Z43)=0,0,MAX(0,IF((AP$6-$E$3)&lt;1,0,IFERROR(LOOKUP(2,1/(Sorgo!$E43:INDEX(Sorgo!$E43:$Z43,MIN(AP$6-$E$3,22))&lt;&gt;""),Sorgo!$E43:INDEX(Sorgo!$E43:$Z43,MIN(AP$6-$E$3,22))),0))-IF($G$2,0,IF((AP$6-$G$3)&lt;1,0,IFERROR(LOOKUP(2,1/(Sorgo!$E43:INDEX(Sorgo!$E43:$Z43,MIN(AP$6-$G$3,22))&lt;&gt;""),Sorgo!$E43:INDEX(Sorgo!$E43:$Z43,MIN(AP$6-$G$3,22))),0)))))</f>
        <v>0</v>
      </c>
      <c r="AQ45" s="27" t="n">
        <f aca="false">IF(COUNT(Sorgo!$E43:$Z43)=0,0,MAX(0,IF((AQ$6-$E$3)&lt;1,0,IFERROR(LOOKUP(2,1/(Sorgo!$E43:INDEX(Sorgo!$E43:$Z43,MIN(AQ$6-$E$3,22))&lt;&gt;""),Sorgo!$E43:INDEX(Sorgo!$E43:$Z43,MIN(AQ$6-$E$3,22))),0))-IF($G$2,0,IF((AQ$6-$G$3)&lt;1,0,IFERROR(LOOKUP(2,1/(Sorgo!$E43:INDEX(Sorgo!$E43:$Z43,MIN(AQ$6-$G$3,22))&lt;&gt;""),Sorgo!$E43:INDEX(Sorgo!$E43:$Z43,MIN(AQ$6-$G$3,22))),0)))))</f>
        <v>0</v>
      </c>
      <c r="AR45" s="27" t="n">
        <f aca="false">IF(COUNT(Sorgo!$E43:$Z43)=0,0,MAX(0,IF((AR$6-$E$3)&lt;1,0,IFERROR(LOOKUP(2,1/(Sorgo!$E43:INDEX(Sorgo!$E43:$Z43,MIN(AR$6-$E$3,22))&lt;&gt;""),Sorgo!$E43:INDEX(Sorgo!$E43:$Z43,MIN(AR$6-$E$3,22))),0))-IF($G$2,0,IF((AR$6-$G$3)&lt;1,0,IFERROR(LOOKUP(2,1/(Sorgo!$E43:INDEX(Sorgo!$E43:$Z43,MIN(AR$6-$G$3,22))&lt;&gt;""),Sorgo!$E43:INDEX(Sorgo!$E43:$Z43,MIN(AR$6-$G$3,22))),0)))))</f>
        <v>0</v>
      </c>
      <c r="AS45" s="27" t="n">
        <f aca="false">IF(COUNT(Sorgo!$E43:$Z43)=0,0,MAX(0,IF((AS$6-$E$3)&lt;1,0,IFERROR(LOOKUP(2,1/(Sorgo!$E43:INDEX(Sorgo!$E43:$Z43,MIN(AS$6-$E$3,22))&lt;&gt;""),Sorgo!$E43:INDEX(Sorgo!$E43:$Z43,MIN(AS$6-$E$3,22))),0))-IF($G$2,0,IF((AS$6-$G$3)&lt;1,0,IFERROR(LOOKUP(2,1/(Sorgo!$E43:INDEX(Sorgo!$E43:$Z43,MIN(AS$6-$G$3,22))&lt;&gt;""),Sorgo!$E43:INDEX(Sorgo!$E43:$Z43,MIN(AS$6-$G$3,22))),0)))))</f>
        <v>0</v>
      </c>
      <c r="AT45" s="27" t="n">
        <f aca="false">IF(COUNT(Sorgo!$E43:$Z43)=0,0,MAX(0,IF((AT$6-$E$3)&lt;1,0,IFERROR(LOOKUP(2,1/(Sorgo!$E43:INDEX(Sorgo!$E43:$Z43,MIN(AT$6-$E$3,22))&lt;&gt;""),Sorgo!$E43:INDEX(Sorgo!$E43:$Z43,MIN(AT$6-$E$3,22))),0))-IF($G$2,0,IF((AT$6-$G$3)&lt;1,0,IFERROR(LOOKUP(2,1/(Sorgo!$E43:INDEX(Sorgo!$E43:$Z43,MIN(AT$6-$G$3,22))&lt;&gt;""),Sorgo!$E43:INDEX(Sorgo!$E43:$Z43,MIN(AT$6-$G$3,22))),0)))))</f>
        <v>0</v>
      </c>
      <c r="AU45" s="27" t="n">
        <f aca="false">IF(COUNT(Sorgo!$E43:$Z43)=0,0,MAX(0,IF((AU$6-$E$3)&lt;1,0,IFERROR(LOOKUP(2,1/(Sorgo!$E43:INDEX(Sorgo!$E43:$Z43,MIN(AU$6-$E$3,22))&lt;&gt;""),Sorgo!$E43:INDEX(Sorgo!$E43:$Z43,MIN(AU$6-$E$3,22))),0))-IF($G$2,0,IF((AU$6-$G$3)&lt;1,0,IFERROR(LOOKUP(2,1/(Sorgo!$E43:INDEX(Sorgo!$E43:$Z43,MIN(AU$6-$G$3,22))&lt;&gt;""),Sorgo!$E43:INDEX(Sorgo!$E43:$Z43,MIN(AU$6-$G$3,22))),0)))))</f>
        <v>0</v>
      </c>
      <c r="AV45" s="27" t="n">
        <f aca="false">IF(COUNT(Sorgo!$E43:$Z43)=0,0,MAX(0,IF((AV$6-$E$3)&lt;1,0,IFERROR(LOOKUP(2,1/(Sorgo!$E43:INDEX(Sorgo!$E43:$Z43,MIN(AV$6-$E$3,22))&lt;&gt;""),Sorgo!$E43:INDEX(Sorgo!$E43:$Z43,MIN(AV$6-$E$3,22))),0))-IF($G$2,0,IF((AV$6-$G$3)&lt;1,0,IFERROR(LOOKUP(2,1/(Sorgo!$E43:INDEX(Sorgo!$E43:$Z43,MIN(AV$6-$G$3,22))&lt;&gt;""),Sorgo!$E43:INDEX(Sorgo!$E43:$Z43,MIN(AV$6-$G$3,22))),0)))))</f>
        <v>0</v>
      </c>
      <c r="AW45" s="27" t="n">
        <f aca="false">IF(COUNT(Sorgo!$E43:$Z43)=0,0,MAX(0,IF((AW$6-$E$3)&lt;1,0,IFERROR(LOOKUP(2,1/(Sorgo!$E43:INDEX(Sorgo!$E43:$Z43,MIN(AW$6-$E$3,22))&lt;&gt;""),Sorgo!$E43:INDEX(Sorgo!$E43:$Z43,MIN(AW$6-$E$3,22))),0))-IF($G$2,0,IF((AW$6-$G$3)&lt;1,0,IFERROR(LOOKUP(2,1/(Sorgo!$E43:INDEX(Sorgo!$E43:$Z43,MIN(AW$6-$G$3,22))&lt;&gt;""),Sorgo!$E43:INDEX(Sorgo!$E43:$Z43,MIN(AW$6-$G$3,22))),0)))))</f>
        <v>0</v>
      </c>
      <c r="AX45" s="27" t="n">
        <f aca="false">IF(COUNT(Sorgo!$E43:$Z43)=0,0,MAX(0,IF((AX$6-$E$3)&lt;1,0,IFERROR(LOOKUP(2,1/(Sorgo!$E43:INDEX(Sorgo!$E43:$Z43,MIN(AX$6-$E$3,22))&lt;&gt;""),Sorgo!$E43:INDEX(Sorgo!$E43:$Z43,MIN(AX$6-$E$3,22))),0))-IF($G$2,0,IF((AX$6-$G$3)&lt;1,0,IFERROR(LOOKUP(2,1/(Sorgo!$E43:INDEX(Sorgo!$E43:$Z43,MIN(AX$6-$G$3,22))&lt;&gt;""),Sorgo!$E43:INDEX(Sorgo!$E43:$Z43,MIN(AX$6-$G$3,22))),0)))))</f>
        <v>0</v>
      </c>
      <c r="AY45" s="27" t="n">
        <f aca="false">IF(COUNT(Sorgo!$E43:$Z43)=0,0,MAX(0,IF((AY$6-$E$3)&lt;1,0,IFERROR(LOOKUP(2,1/(Sorgo!$E43:INDEX(Sorgo!$E43:$Z43,MIN(AY$6-$E$3,22))&lt;&gt;""),Sorgo!$E43:INDEX(Sorgo!$E43:$Z43,MIN(AY$6-$E$3,22))),0))-IF($G$2,0,IF((AY$6-$G$3)&lt;1,0,IFERROR(LOOKUP(2,1/(Sorgo!$E43:INDEX(Sorgo!$E43:$Z43,MIN(AY$6-$G$3,22))&lt;&gt;""),Sorgo!$E43:INDEX(Sorgo!$E43:$Z43,MIN(AY$6-$G$3,22))),0)))))</f>
        <v>0</v>
      </c>
      <c r="AZ45" s="27" t="n">
        <f aca="false">IF(COUNT(Sorgo!$E43:$Z43)=0,0,MAX(0,IF((AZ$6-$E$3)&lt;1,0,IFERROR(LOOKUP(2,1/(Sorgo!$E43:INDEX(Sorgo!$E43:$Z43,MIN(AZ$6-$E$3,22))&lt;&gt;""),Sorgo!$E43:INDEX(Sorgo!$E43:$Z43,MIN(AZ$6-$E$3,22))),0))-IF($G$2,0,IF((AZ$6-$G$3)&lt;1,0,IFERROR(LOOKUP(2,1/(Sorgo!$E43:INDEX(Sorgo!$E43:$Z43,MIN(AZ$6-$G$3,22))&lt;&gt;""),Sorgo!$E43:INDEX(Sorgo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IF(COUNT(Sorgo!$E44:$Z44)&gt;0,N(Sorgo!$D44),0)</f>
        <v>0</v>
      </c>
      <c r="E46" s="27" t="n">
        <f aca="false">IF(COUNT(Sorgo!$E44:$Z44)=0,0,MAX(0,IF((E$6-$E$3)&lt;1,0,IFERROR(LOOKUP(2,1/(Sorgo!$E44:INDEX(Sorgo!$E44:$Z44,MIN(E$6-$E$3,22))&lt;&gt;""),Sorgo!$E44:INDEX(Sorgo!$E44:$Z44,MIN(E$6-$E$3,22))),0))-IF($G$2,0,IF((E$6-$G$3)&lt;1,0,IFERROR(LOOKUP(2,1/(Sorgo!$E44:INDEX(Sorgo!$E44:$Z44,MIN(E$6-$G$3,22))&lt;&gt;""),Sorgo!$E44:INDEX(Sorgo!$E44:$Z44,MIN(E$6-$G$3,22))),0)))))</f>
        <v>0</v>
      </c>
      <c r="F46" s="27" t="n">
        <f aca="false">IF(COUNT(Sorgo!$E44:$Z44)=0,0,MAX(0,IF((F$6-$E$3)&lt;1,0,IFERROR(LOOKUP(2,1/(Sorgo!$E44:INDEX(Sorgo!$E44:$Z44,MIN(F$6-$E$3,22))&lt;&gt;""),Sorgo!$E44:INDEX(Sorgo!$E44:$Z44,MIN(F$6-$E$3,22))),0))-IF($G$2,0,IF((F$6-$G$3)&lt;1,0,IFERROR(LOOKUP(2,1/(Sorgo!$E44:INDEX(Sorgo!$E44:$Z44,MIN(F$6-$G$3,22))&lt;&gt;""),Sorgo!$E44:INDEX(Sorgo!$E44:$Z44,MIN(F$6-$G$3,22))),0)))))</f>
        <v>0</v>
      </c>
      <c r="G46" s="27" t="n">
        <f aca="false">IF(COUNT(Sorgo!$E44:$Z44)=0,0,MAX(0,IF((G$6-$E$3)&lt;1,0,IFERROR(LOOKUP(2,1/(Sorgo!$E44:INDEX(Sorgo!$E44:$Z44,MIN(G$6-$E$3,22))&lt;&gt;""),Sorgo!$E44:INDEX(Sorgo!$E44:$Z44,MIN(G$6-$E$3,22))),0))-IF($G$2,0,IF((G$6-$G$3)&lt;1,0,IFERROR(LOOKUP(2,1/(Sorgo!$E44:INDEX(Sorgo!$E44:$Z44,MIN(G$6-$G$3,22))&lt;&gt;""),Sorgo!$E44:INDEX(Sorgo!$E44:$Z44,MIN(G$6-$G$3,22))),0)))))</f>
        <v>0</v>
      </c>
      <c r="H46" s="27" t="n">
        <f aca="false">IF(COUNT(Sorgo!$E44:$Z44)=0,0,MAX(0,IF((H$6-$E$3)&lt;1,0,IFERROR(LOOKUP(2,1/(Sorgo!$E44:INDEX(Sorgo!$E44:$Z44,MIN(H$6-$E$3,22))&lt;&gt;""),Sorgo!$E44:INDEX(Sorgo!$E44:$Z44,MIN(H$6-$E$3,22))),0))-IF($G$2,0,IF((H$6-$G$3)&lt;1,0,IFERROR(LOOKUP(2,1/(Sorgo!$E44:INDEX(Sorgo!$E44:$Z44,MIN(H$6-$G$3,22))&lt;&gt;""),Sorgo!$E44:INDEX(Sorgo!$E44:$Z44,MIN(H$6-$G$3,22))),0)))))</f>
        <v>0</v>
      </c>
      <c r="I46" s="27" t="n">
        <f aca="false">IF(COUNT(Sorgo!$E44:$Z44)=0,0,MAX(0,IF((I$6-$E$3)&lt;1,0,IFERROR(LOOKUP(2,1/(Sorgo!$E44:INDEX(Sorgo!$E44:$Z44,MIN(I$6-$E$3,22))&lt;&gt;""),Sorgo!$E44:INDEX(Sorgo!$E44:$Z44,MIN(I$6-$E$3,22))),0))-IF($G$2,0,IF((I$6-$G$3)&lt;1,0,IFERROR(LOOKUP(2,1/(Sorgo!$E44:INDEX(Sorgo!$E44:$Z44,MIN(I$6-$G$3,22))&lt;&gt;""),Sorgo!$E44:INDEX(Sorgo!$E44:$Z44,MIN(I$6-$G$3,22))),0)))))</f>
        <v>0</v>
      </c>
      <c r="J46" s="27" t="n">
        <f aca="false">IF(COUNT(Sorgo!$E44:$Z44)=0,0,MAX(0,IF((J$6-$E$3)&lt;1,0,IFERROR(LOOKUP(2,1/(Sorgo!$E44:INDEX(Sorgo!$E44:$Z44,MIN(J$6-$E$3,22))&lt;&gt;""),Sorgo!$E44:INDEX(Sorgo!$E44:$Z44,MIN(J$6-$E$3,22))),0))-IF($G$2,0,IF((J$6-$G$3)&lt;1,0,IFERROR(LOOKUP(2,1/(Sorgo!$E44:INDEX(Sorgo!$E44:$Z44,MIN(J$6-$G$3,22))&lt;&gt;""),Sorgo!$E44:INDEX(Sorgo!$E44:$Z44,MIN(J$6-$G$3,22))),0)))))</f>
        <v>0</v>
      </c>
      <c r="K46" s="27" t="n">
        <f aca="false">IF(COUNT(Sorgo!$E44:$Z44)=0,0,MAX(0,IF((K$6-$E$3)&lt;1,0,IFERROR(LOOKUP(2,1/(Sorgo!$E44:INDEX(Sorgo!$E44:$Z44,MIN(K$6-$E$3,22))&lt;&gt;""),Sorgo!$E44:INDEX(Sorgo!$E44:$Z44,MIN(K$6-$E$3,22))),0))-IF($G$2,0,IF((K$6-$G$3)&lt;1,0,IFERROR(LOOKUP(2,1/(Sorgo!$E44:INDEX(Sorgo!$E44:$Z44,MIN(K$6-$G$3,22))&lt;&gt;""),Sorgo!$E44:INDEX(Sorgo!$E44:$Z44,MIN(K$6-$G$3,22))),0)))))</f>
        <v>0</v>
      </c>
      <c r="L46" s="27" t="n">
        <f aca="false">IF(COUNT(Sorgo!$E44:$Z44)=0,0,MAX(0,IF((L$6-$E$3)&lt;1,0,IFERROR(LOOKUP(2,1/(Sorgo!$E44:INDEX(Sorgo!$E44:$Z44,MIN(L$6-$E$3,22))&lt;&gt;""),Sorgo!$E44:INDEX(Sorgo!$E44:$Z44,MIN(L$6-$E$3,22))),0))-IF($G$2,0,IF((L$6-$G$3)&lt;1,0,IFERROR(LOOKUP(2,1/(Sorgo!$E44:INDEX(Sorgo!$E44:$Z44,MIN(L$6-$G$3,22))&lt;&gt;""),Sorgo!$E44:INDEX(Sorgo!$E44:$Z44,MIN(L$6-$G$3,22))),0)))))</f>
        <v>0</v>
      </c>
      <c r="M46" s="27" t="n">
        <f aca="false">IF(COUNT(Sorgo!$E44:$Z44)=0,0,MAX(0,IF((M$6-$E$3)&lt;1,0,IFERROR(LOOKUP(2,1/(Sorgo!$E44:INDEX(Sorgo!$E44:$Z44,MIN(M$6-$E$3,22))&lt;&gt;""),Sorgo!$E44:INDEX(Sorgo!$E44:$Z44,MIN(M$6-$E$3,22))),0))-IF($G$2,0,IF((M$6-$G$3)&lt;1,0,IFERROR(LOOKUP(2,1/(Sorgo!$E44:INDEX(Sorgo!$E44:$Z44,MIN(M$6-$G$3,22))&lt;&gt;""),Sorgo!$E44:INDEX(Sorgo!$E44:$Z44,MIN(M$6-$G$3,22))),0)))))</f>
        <v>0</v>
      </c>
      <c r="N46" s="27" t="n">
        <f aca="false">IF(COUNT(Sorgo!$E44:$Z44)=0,0,MAX(0,IF((N$6-$E$3)&lt;1,0,IFERROR(LOOKUP(2,1/(Sorgo!$E44:INDEX(Sorgo!$E44:$Z44,MIN(N$6-$E$3,22))&lt;&gt;""),Sorgo!$E44:INDEX(Sorgo!$E44:$Z44,MIN(N$6-$E$3,22))),0))-IF($G$2,0,IF((N$6-$G$3)&lt;1,0,IFERROR(LOOKUP(2,1/(Sorgo!$E44:INDEX(Sorgo!$E44:$Z44,MIN(N$6-$G$3,22))&lt;&gt;""),Sorgo!$E44:INDEX(Sorgo!$E44:$Z44,MIN(N$6-$G$3,22))),0)))))</f>
        <v>0</v>
      </c>
      <c r="O46" s="27" t="n">
        <f aca="false">IF(COUNT(Sorgo!$E44:$Z44)=0,0,MAX(0,IF((O$6-$E$3)&lt;1,0,IFERROR(LOOKUP(2,1/(Sorgo!$E44:INDEX(Sorgo!$E44:$Z44,MIN(O$6-$E$3,22))&lt;&gt;""),Sorgo!$E44:INDEX(Sorgo!$E44:$Z44,MIN(O$6-$E$3,22))),0))-IF($G$2,0,IF((O$6-$G$3)&lt;1,0,IFERROR(LOOKUP(2,1/(Sorgo!$E44:INDEX(Sorgo!$E44:$Z44,MIN(O$6-$G$3,22))&lt;&gt;""),Sorgo!$E44:INDEX(Sorgo!$E44:$Z44,MIN(O$6-$G$3,22))),0)))))</f>
        <v>0</v>
      </c>
      <c r="P46" s="27" t="n">
        <f aca="false">IF(COUNT(Sorgo!$E44:$Z44)=0,0,MAX(0,IF((P$6-$E$3)&lt;1,0,IFERROR(LOOKUP(2,1/(Sorgo!$E44:INDEX(Sorgo!$E44:$Z44,MIN(P$6-$E$3,22))&lt;&gt;""),Sorgo!$E44:INDEX(Sorgo!$E44:$Z44,MIN(P$6-$E$3,22))),0))-IF($G$2,0,IF((P$6-$G$3)&lt;1,0,IFERROR(LOOKUP(2,1/(Sorgo!$E44:INDEX(Sorgo!$E44:$Z44,MIN(P$6-$G$3,22))&lt;&gt;""),Sorgo!$E44:INDEX(Sorgo!$E44:$Z44,MIN(P$6-$G$3,22))),0)))))</f>
        <v>0</v>
      </c>
      <c r="Q46" s="27" t="n">
        <f aca="false">IF(COUNT(Sorgo!$E44:$Z44)=0,0,MAX(0,IF((Q$6-$E$3)&lt;1,0,IFERROR(LOOKUP(2,1/(Sorgo!$E44:INDEX(Sorgo!$E44:$Z44,MIN(Q$6-$E$3,22))&lt;&gt;""),Sorgo!$E44:INDEX(Sorgo!$E44:$Z44,MIN(Q$6-$E$3,22))),0))-IF($G$2,0,IF((Q$6-$G$3)&lt;1,0,IFERROR(LOOKUP(2,1/(Sorgo!$E44:INDEX(Sorgo!$E44:$Z44,MIN(Q$6-$G$3,22))&lt;&gt;""),Sorgo!$E44:INDEX(Sorgo!$E44:$Z44,MIN(Q$6-$G$3,22))),0)))))</f>
        <v>0</v>
      </c>
      <c r="R46" s="27" t="n">
        <f aca="false">IF(COUNT(Sorgo!$E44:$Z44)=0,0,MAX(0,IF((R$6-$E$3)&lt;1,0,IFERROR(LOOKUP(2,1/(Sorgo!$E44:INDEX(Sorgo!$E44:$Z44,MIN(R$6-$E$3,22))&lt;&gt;""),Sorgo!$E44:INDEX(Sorgo!$E44:$Z44,MIN(R$6-$E$3,22))),0))-IF($G$2,0,IF((R$6-$G$3)&lt;1,0,IFERROR(LOOKUP(2,1/(Sorgo!$E44:INDEX(Sorgo!$E44:$Z44,MIN(R$6-$G$3,22))&lt;&gt;""),Sorgo!$E44:INDEX(Sorgo!$E44:$Z44,MIN(R$6-$G$3,22))),0)))))</f>
        <v>0</v>
      </c>
      <c r="S46" s="27" t="n">
        <f aca="false">IF(COUNT(Sorgo!$E44:$Z44)=0,0,MAX(0,IF((S$6-$E$3)&lt;1,0,IFERROR(LOOKUP(2,1/(Sorgo!$E44:INDEX(Sorgo!$E44:$Z44,MIN(S$6-$E$3,22))&lt;&gt;""),Sorgo!$E44:INDEX(Sorgo!$E44:$Z44,MIN(S$6-$E$3,22))),0))-IF($G$2,0,IF((S$6-$G$3)&lt;1,0,IFERROR(LOOKUP(2,1/(Sorgo!$E44:INDEX(Sorgo!$E44:$Z44,MIN(S$6-$G$3,22))&lt;&gt;""),Sorgo!$E44:INDEX(Sorgo!$E44:$Z44,MIN(S$6-$G$3,22))),0)))))</f>
        <v>0</v>
      </c>
      <c r="T46" s="27" t="n">
        <f aca="false">IF(COUNT(Sorgo!$E44:$Z44)=0,0,MAX(0,IF((T$6-$E$3)&lt;1,0,IFERROR(LOOKUP(2,1/(Sorgo!$E44:INDEX(Sorgo!$E44:$Z44,MIN(T$6-$E$3,22))&lt;&gt;""),Sorgo!$E44:INDEX(Sorgo!$E44:$Z44,MIN(T$6-$E$3,22))),0))-IF($G$2,0,IF((T$6-$G$3)&lt;1,0,IFERROR(LOOKUP(2,1/(Sorgo!$E44:INDEX(Sorgo!$E44:$Z44,MIN(T$6-$G$3,22))&lt;&gt;""),Sorgo!$E44:INDEX(Sorgo!$E44:$Z44,MIN(T$6-$G$3,22))),0)))))</f>
        <v>0</v>
      </c>
      <c r="U46" s="27" t="n">
        <f aca="false">IF(COUNT(Sorgo!$E44:$Z44)=0,0,MAX(0,IF((U$6-$E$3)&lt;1,0,IFERROR(LOOKUP(2,1/(Sorgo!$E44:INDEX(Sorgo!$E44:$Z44,MIN(U$6-$E$3,22))&lt;&gt;""),Sorgo!$E44:INDEX(Sorgo!$E44:$Z44,MIN(U$6-$E$3,22))),0))-IF($G$2,0,IF((U$6-$G$3)&lt;1,0,IFERROR(LOOKUP(2,1/(Sorgo!$E44:INDEX(Sorgo!$E44:$Z44,MIN(U$6-$G$3,22))&lt;&gt;""),Sorgo!$E44:INDEX(Sorgo!$E44:$Z44,MIN(U$6-$G$3,22))),0)))))</f>
        <v>0</v>
      </c>
      <c r="V46" s="27" t="n">
        <f aca="false">IF(COUNT(Sorgo!$E44:$Z44)=0,0,MAX(0,IF((V$6-$E$3)&lt;1,0,IFERROR(LOOKUP(2,1/(Sorgo!$E44:INDEX(Sorgo!$E44:$Z44,MIN(V$6-$E$3,22))&lt;&gt;""),Sorgo!$E44:INDEX(Sorgo!$E44:$Z44,MIN(V$6-$E$3,22))),0))-IF($G$2,0,IF((V$6-$G$3)&lt;1,0,IFERROR(LOOKUP(2,1/(Sorgo!$E44:INDEX(Sorgo!$E44:$Z44,MIN(V$6-$G$3,22))&lt;&gt;""),Sorgo!$E44:INDEX(Sorgo!$E44:$Z44,MIN(V$6-$G$3,22))),0)))))</f>
        <v>0</v>
      </c>
      <c r="W46" s="27" t="n">
        <f aca="false">IF(COUNT(Sorgo!$E44:$Z44)=0,0,MAX(0,IF((W$6-$E$3)&lt;1,0,IFERROR(LOOKUP(2,1/(Sorgo!$E44:INDEX(Sorgo!$E44:$Z44,MIN(W$6-$E$3,22))&lt;&gt;""),Sorgo!$E44:INDEX(Sorgo!$E44:$Z44,MIN(W$6-$E$3,22))),0))-IF($G$2,0,IF((W$6-$G$3)&lt;1,0,IFERROR(LOOKUP(2,1/(Sorgo!$E44:INDEX(Sorgo!$E44:$Z44,MIN(W$6-$G$3,22))&lt;&gt;""),Sorgo!$E44:INDEX(Sorgo!$E44:$Z44,MIN(W$6-$G$3,22))),0)))))</f>
        <v>0</v>
      </c>
      <c r="X46" s="27" t="n">
        <f aca="false">IF(COUNT(Sorgo!$E44:$Z44)=0,0,MAX(0,IF((X$6-$E$3)&lt;1,0,IFERROR(LOOKUP(2,1/(Sorgo!$E44:INDEX(Sorgo!$E44:$Z44,MIN(X$6-$E$3,22))&lt;&gt;""),Sorgo!$E44:INDEX(Sorgo!$E44:$Z44,MIN(X$6-$E$3,22))),0))-IF($G$2,0,IF((X$6-$G$3)&lt;1,0,IFERROR(LOOKUP(2,1/(Sorgo!$E44:INDEX(Sorgo!$E44:$Z44,MIN(X$6-$G$3,22))&lt;&gt;""),Sorgo!$E44:INDEX(Sorgo!$E44:$Z44,MIN(X$6-$G$3,22))),0)))))</f>
        <v>0</v>
      </c>
      <c r="Y46" s="27" t="n">
        <f aca="false">IF(COUNT(Sorgo!$E44:$Z44)=0,0,MAX(0,IF((Y$6-$E$3)&lt;1,0,IFERROR(LOOKUP(2,1/(Sorgo!$E44:INDEX(Sorgo!$E44:$Z44,MIN(Y$6-$E$3,22))&lt;&gt;""),Sorgo!$E44:INDEX(Sorgo!$E44:$Z44,MIN(Y$6-$E$3,22))),0))-IF($G$2,0,IF((Y$6-$G$3)&lt;1,0,IFERROR(LOOKUP(2,1/(Sorgo!$E44:INDEX(Sorgo!$E44:$Z44,MIN(Y$6-$G$3,22))&lt;&gt;""),Sorgo!$E44:INDEX(Sorgo!$E44:$Z44,MIN(Y$6-$G$3,22))),0)))))</f>
        <v>0</v>
      </c>
      <c r="Z46" s="27" t="n">
        <f aca="false">IF(COUNT(Sorgo!$E44:$Z44)=0,0,MAX(0,IF((Z$6-$E$3)&lt;1,0,IFERROR(LOOKUP(2,1/(Sorgo!$E44:INDEX(Sorgo!$E44:$Z44,MIN(Z$6-$E$3,22))&lt;&gt;""),Sorgo!$E44:INDEX(Sorgo!$E44:$Z44,MIN(Z$6-$E$3,22))),0))-IF($G$2,0,IF((Z$6-$G$3)&lt;1,0,IFERROR(LOOKUP(2,1/(Sorgo!$E44:INDEX(Sorgo!$E44:$Z44,MIN(Z$6-$G$3,22))&lt;&gt;""),Sorgo!$E44:INDEX(Sorgo!$E44:$Z44,MIN(Z$6-$G$3,22))),0)))))</f>
        <v>0</v>
      </c>
      <c r="AA46" s="27" t="n">
        <f aca="false">IF(COUNT(Sorgo!$E44:$Z44)=0,0,MAX(0,IF((AA$6-$E$3)&lt;1,0,IFERROR(LOOKUP(2,1/(Sorgo!$E44:INDEX(Sorgo!$E44:$Z44,MIN(AA$6-$E$3,22))&lt;&gt;""),Sorgo!$E44:INDEX(Sorgo!$E44:$Z44,MIN(AA$6-$E$3,22))),0))-IF($G$2,0,IF((AA$6-$G$3)&lt;1,0,IFERROR(LOOKUP(2,1/(Sorgo!$E44:INDEX(Sorgo!$E44:$Z44,MIN(AA$6-$G$3,22))&lt;&gt;""),Sorgo!$E44:INDEX(Sorgo!$E44:$Z44,MIN(AA$6-$G$3,22))),0)))))</f>
        <v>0</v>
      </c>
      <c r="AB46" s="27" t="n">
        <f aca="false">IF(COUNT(Sorgo!$E44:$Z44)=0,0,MAX(0,IF((AB$6-$E$3)&lt;1,0,IFERROR(LOOKUP(2,1/(Sorgo!$E44:INDEX(Sorgo!$E44:$Z44,MIN(AB$6-$E$3,22))&lt;&gt;""),Sorgo!$E44:INDEX(Sorgo!$E44:$Z44,MIN(AB$6-$E$3,22))),0))-IF($G$2,0,IF((AB$6-$G$3)&lt;1,0,IFERROR(LOOKUP(2,1/(Sorgo!$E44:INDEX(Sorgo!$E44:$Z44,MIN(AB$6-$G$3,22))&lt;&gt;""),Sorgo!$E44:INDEX(Sorgo!$E44:$Z44,MIN(AB$6-$G$3,22))),0)))))</f>
        <v>0</v>
      </c>
      <c r="AC46" s="27" t="n">
        <f aca="false">IF(COUNT(Sorgo!$E44:$Z44)=0,0,MAX(0,IF((AC$6-$E$3)&lt;1,0,IFERROR(LOOKUP(2,1/(Sorgo!$E44:INDEX(Sorgo!$E44:$Z44,MIN(AC$6-$E$3,22))&lt;&gt;""),Sorgo!$E44:INDEX(Sorgo!$E44:$Z44,MIN(AC$6-$E$3,22))),0))-IF($G$2,0,IF((AC$6-$G$3)&lt;1,0,IFERROR(LOOKUP(2,1/(Sorgo!$E44:INDEX(Sorgo!$E44:$Z44,MIN(AC$6-$G$3,22))&lt;&gt;""),Sorgo!$E44:INDEX(Sorgo!$E44:$Z44,MIN(AC$6-$G$3,22))),0)))))</f>
        <v>0</v>
      </c>
      <c r="AD46" s="27" t="n">
        <f aca="false">IF(COUNT(Sorgo!$E44:$Z44)=0,0,MAX(0,IF((AD$6-$E$3)&lt;1,0,IFERROR(LOOKUP(2,1/(Sorgo!$E44:INDEX(Sorgo!$E44:$Z44,MIN(AD$6-$E$3,22))&lt;&gt;""),Sorgo!$E44:INDEX(Sorgo!$E44:$Z44,MIN(AD$6-$E$3,22))),0))-IF($G$2,0,IF((AD$6-$G$3)&lt;1,0,IFERROR(LOOKUP(2,1/(Sorgo!$E44:INDEX(Sorgo!$E44:$Z44,MIN(AD$6-$G$3,22))&lt;&gt;""),Sorgo!$E44:INDEX(Sorgo!$E44:$Z44,MIN(AD$6-$G$3,22))),0)))))</f>
        <v>0</v>
      </c>
      <c r="AE46" s="27" t="n">
        <f aca="false">IF(COUNT(Sorgo!$E44:$Z44)=0,0,MAX(0,IF((AE$6-$E$3)&lt;1,0,IFERROR(LOOKUP(2,1/(Sorgo!$E44:INDEX(Sorgo!$E44:$Z44,MIN(AE$6-$E$3,22))&lt;&gt;""),Sorgo!$E44:INDEX(Sorgo!$E44:$Z44,MIN(AE$6-$E$3,22))),0))-IF($G$2,0,IF((AE$6-$G$3)&lt;1,0,IFERROR(LOOKUP(2,1/(Sorgo!$E44:INDEX(Sorgo!$E44:$Z44,MIN(AE$6-$G$3,22))&lt;&gt;""),Sorgo!$E44:INDEX(Sorgo!$E44:$Z44,MIN(AE$6-$G$3,22))),0)))))</f>
        <v>0</v>
      </c>
      <c r="AF46" s="27" t="n">
        <f aca="false">IF(COUNT(Sorgo!$E44:$Z44)=0,0,MAX(0,IF((AF$6-$E$3)&lt;1,0,IFERROR(LOOKUP(2,1/(Sorgo!$E44:INDEX(Sorgo!$E44:$Z44,MIN(AF$6-$E$3,22))&lt;&gt;""),Sorgo!$E44:INDEX(Sorgo!$E44:$Z44,MIN(AF$6-$E$3,22))),0))-IF($G$2,0,IF((AF$6-$G$3)&lt;1,0,IFERROR(LOOKUP(2,1/(Sorgo!$E44:INDEX(Sorgo!$E44:$Z44,MIN(AF$6-$G$3,22))&lt;&gt;""),Sorgo!$E44:INDEX(Sorgo!$E44:$Z44,MIN(AF$6-$G$3,22))),0)))))</f>
        <v>0</v>
      </c>
      <c r="AG46" s="27" t="n">
        <f aca="false">IF(COUNT(Sorgo!$E44:$Z44)=0,0,MAX(0,IF((AG$6-$E$3)&lt;1,0,IFERROR(LOOKUP(2,1/(Sorgo!$E44:INDEX(Sorgo!$E44:$Z44,MIN(AG$6-$E$3,22))&lt;&gt;""),Sorgo!$E44:INDEX(Sorgo!$E44:$Z44,MIN(AG$6-$E$3,22))),0))-IF($G$2,0,IF((AG$6-$G$3)&lt;1,0,IFERROR(LOOKUP(2,1/(Sorgo!$E44:INDEX(Sorgo!$E44:$Z44,MIN(AG$6-$G$3,22))&lt;&gt;""),Sorgo!$E44:INDEX(Sorgo!$E44:$Z44,MIN(AG$6-$G$3,22))),0)))))</f>
        <v>0</v>
      </c>
      <c r="AH46" s="27" t="n">
        <f aca="false">IF(COUNT(Sorgo!$E44:$Z44)=0,0,MAX(0,IF((AH$6-$E$3)&lt;1,0,IFERROR(LOOKUP(2,1/(Sorgo!$E44:INDEX(Sorgo!$E44:$Z44,MIN(AH$6-$E$3,22))&lt;&gt;""),Sorgo!$E44:INDEX(Sorgo!$E44:$Z44,MIN(AH$6-$E$3,22))),0))-IF($G$2,0,IF((AH$6-$G$3)&lt;1,0,IFERROR(LOOKUP(2,1/(Sorgo!$E44:INDEX(Sorgo!$E44:$Z44,MIN(AH$6-$G$3,22))&lt;&gt;""),Sorgo!$E44:INDEX(Sorgo!$E44:$Z44,MIN(AH$6-$G$3,22))),0)))))</f>
        <v>0</v>
      </c>
      <c r="AI46" s="27" t="n">
        <f aca="false">IF(COUNT(Sorgo!$E44:$Z44)=0,0,MAX(0,IF((AI$6-$E$3)&lt;1,0,IFERROR(LOOKUP(2,1/(Sorgo!$E44:INDEX(Sorgo!$E44:$Z44,MIN(AI$6-$E$3,22))&lt;&gt;""),Sorgo!$E44:INDEX(Sorgo!$E44:$Z44,MIN(AI$6-$E$3,22))),0))-IF($G$2,0,IF((AI$6-$G$3)&lt;1,0,IFERROR(LOOKUP(2,1/(Sorgo!$E44:INDEX(Sorgo!$E44:$Z44,MIN(AI$6-$G$3,22))&lt;&gt;""),Sorgo!$E44:INDEX(Sorgo!$E44:$Z44,MIN(AI$6-$G$3,22))),0)))))</f>
        <v>0</v>
      </c>
      <c r="AJ46" s="27" t="n">
        <f aca="false">IF(COUNT(Sorgo!$E44:$Z44)=0,0,MAX(0,IF((AJ$6-$E$3)&lt;1,0,IFERROR(LOOKUP(2,1/(Sorgo!$E44:INDEX(Sorgo!$E44:$Z44,MIN(AJ$6-$E$3,22))&lt;&gt;""),Sorgo!$E44:INDEX(Sorgo!$E44:$Z44,MIN(AJ$6-$E$3,22))),0))-IF($G$2,0,IF((AJ$6-$G$3)&lt;1,0,IFERROR(LOOKUP(2,1/(Sorgo!$E44:INDEX(Sorgo!$E44:$Z44,MIN(AJ$6-$G$3,22))&lt;&gt;""),Sorgo!$E44:INDEX(Sorgo!$E44:$Z44,MIN(AJ$6-$G$3,22))),0)))))</f>
        <v>0</v>
      </c>
      <c r="AK46" s="27" t="n">
        <f aca="false">IF(COUNT(Sorgo!$E44:$Z44)=0,0,MAX(0,IF((AK$6-$E$3)&lt;1,0,IFERROR(LOOKUP(2,1/(Sorgo!$E44:INDEX(Sorgo!$E44:$Z44,MIN(AK$6-$E$3,22))&lt;&gt;""),Sorgo!$E44:INDEX(Sorgo!$E44:$Z44,MIN(AK$6-$E$3,22))),0))-IF($G$2,0,IF((AK$6-$G$3)&lt;1,0,IFERROR(LOOKUP(2,1/(Sorgo!$E44:INDEX(Sorgo!$E44:$Z44,MIN(AK$6-$G$3,22))&lt;&gt;""),Sorgo!$E44:INDEX(Sorgo!$E44:$Z44,MIN(AK$6-$G$3,22))),0)))))</f>
        <v>0</v>
      </c>
      <c r="AL46" s="27" t="n">
        <f aca="false">IF(COUNT(Sorgo!$E44:$Z44)=0,0,MAX(0,IF((AL$6-$E$3)&lt;1,0,IFERROR(LOOKUP(2,1/(Sorgo!$E44:INDEX(Sorgo!$E44:$Z44,MIN(AL$6-$E$3,22))&lt;&gt;""),Sorgo!$E44:INDEX(Sorgo!$E44:$Z44,MIN(AL$6-$E$3,22))),0))-IF($G$2,0,IF((AL$6-$G$3)&lt;1,0,IFERROR(LOOKUP(2,1/(Sorgo!$E44:INDEX(Sorgo!$E44:$Z44,MIN(AL$6-$G$3,22))&lt;&gt;""),Sorgo!$E44:INDEX(Sorgo!$E44:$Z44,MIN(AL$6-$G$3,22))),0)))))</f>
        <v>0</v>
      </c>
      <c r="AM46" s="27" t="n">
        <f aca="false">IF(COUNT(Sorgo!$E44:$Z44)=0,0,MAX(0,IF((AM$6-$E$3)&lt;1,0,IFERROR(LOOKUP(2,1/(Sorgo!$E44:INDEX(Sorgo!$E44:$Z44,MIN(AM$6-$E$3,22))&lt;&gt;""),Sorgo!$E44:INDEX(Sorgo!$E44:$Z44,MIN(AM$6-$E$3,22))),0))-IF($G$2,0,IF((AM$6-$G$3)&lt;1,0,IFERROR(LOOKUP(2,1/(Sorgo!$E44:INDEX(Sorgo!$E44:$Z44,MIN(AM$6-$G$3,22))&lt;&gt;""),Sorgo!$E44:INDEX(Sorgo!$E44:$Z44,MIN(AM$6-$G$3,22))),0)))))</f>
        <v>0</v>
      </c>
      <c r="AN46" s="27" t="n">
        <f aca="false">IF(COUNT(Sorgo!$E44:$Z44)=0,0,MAX(0,IF((AN$6-$E$3)&lt;1,0,IFERROR(LOOKUP(2,1/(Sorgo!$E44:INDEX(Sorgo!$E44:$Z44,MIN(AN$6-$E$3,22))&lt;&gt;""),Sorgo!$E44:INDEX(Sorgo!$E44:$Z44,MIN(AN$6-$E$3,22))),0))-IF($G$2,0,IF((AN$6-$G$3)&lt;1,0,IFERROR(LOOKUP(2,1/(Sorgo!$E44:INDEX(Sorgo!$E44:$Z44,MIN(AN$6-$G$3,22))&lt;&gt;""),Sorgo!$E44:INDEX(Sorgo!$E44:$Z44,MIN(AN$6-$G$3,22))),0)))))</f>
        <v>0</v>
      </c>
      <c r="AO46" s="27" t="n">
        <f aca="false">IF(COUNT(Sorgo!$E44:$Z44)=0,0,MAX(0,IF((AO$6-$E$3)&lt;1,0,IFERROR(LOOKUP(2,1/(Sorgo!$E44:INDEX(Sorgo!$E44:$Z44,MIN(AO$6-$E$3,22))&lt;&gt;""),Sorgo!$E44:INDEX(Sorgo!$E44:$Z44,MIN(AO$6-$E$3,22))),0))-IF($G$2,0,IF((AO$6-$G$3)&lt;1,0,IFERROR(LOOKUP(2,1/(Sorgo!$E44:INDEX(Sorgo!$E44:$Z44,MIN(AO$6-$G$3,22))&lt;&gt;""),Sorgo!$E44:INDEX(Sorgo!$E44:$Z44,MIN(AO$6-$G$3,22))),0)))))</f>
        <v>0</v>
      </c>
      <c r="AP46" s="27" t="n">
        <f aca="false">IF(COUNT(Sorgo!$E44:$Z44)=0,0,MAX(0,IF((AP$6-$E$3)&lt;1,0,IFERROR(LOOKUP(2,1/(Sorgo!$E44:INDEX(Sorgo!$E44:$Z44,MIN(AP$6-$E$3,22))&lt;&gt;""),Sorgo!$E44:INDEX(Sorgo!$E44:$Z44,MIN(AP$6-$E$3,22))),0))-IF($G$2,0,IF((AP$6-$G$3)&lt;1,0,IFERROR(LOOKUP(2,1/(Sorgo!$E44:INDEX(Sorgo!$E44:$Z44,MIN(AP$6-$G$3,22))&lt;&gt;""),Sorgo!$E44:INDEX(Sorgo!$E44:$Z44,MIN(AP$6-$G$3,22))),0)))))</f>
        <v>0</v>
      </c>
      <c r="AQ46" s="27" t="n">
        <f aca="false">IF(COUNT(Sorgo!$E44:$Z44)=0,0,MAX(0,IF((AQ$6-$E$3)&lt;1,0,IFERROR(LOOKUP(2,1/(Sorgo!$E44:INDEX(Sorgo!$E44:$Z44,MIN(AQ$6-$E$3,22))&lt;&gt;""),Sorgo!$E44:INDEX(Sorgo!$E44:$Z44,MIN(AQ$6-$E$3,22))),0))-IF($G$2,0,IF((AQ$6-$G$3)&lt;1,0,IFERROR(LOOKUP(2,1/(Sorgo!$E44:INDEX(Sorgo!$E44:$Z44,MIN(AQ$6-$G$3,22))&lt;&gt;""),Sorgo!$E44:INDEX(Sorgo!$E44:$Z44,MIN(AQ$6-$G$3,22))),0)))))</f>
        <v>0</v>
      </c>
      <c r="AR46" s="27" t="n">
        <f aca="false">IF(COUNT(Sorgo!$E44:$Z44)=0,0,MAX(0,IF((AR$6-$E$3)&lt;1,0,IFERROR(LOOKUP(2,1/(Sorgo!$E44:INDEX(Sorgo!$E44:$Z44,MIN(AR$6-$E$3,22))&lt;&gt;""),Sorgo!$E44:INDEX(Sorgo!$E44:$Z44,MIN(AR$6-$E$3,22))),0))-IF($G$2,0,IF((AR$6-$G$3)&lt;1,0,IFERROR(LOOKUP(2,1/(Sorgo!$E44:INDEX(Sorgo!$E44:$Z44,MIN(AR$6-$G$3,22))&lt;&gt;""),Sorgo!$E44:INDEX(Sorgo!$E44:$Z44,MIN(AR$6-$G$3,22))),0)))))</f>
        <v>0</v>
      </c>
      <c r="AS46" s="27" t="n">
        <f aca="false">IF(COUNT(Sorgo!$E44:$Z44)=0,0,MAX(0,IF((AS$6-$E$3)&lt;1,0,IFERROR(LOOKUP(2,1/(Sorgo!$E44:INDEX(Sorgo!$E44:$Z44,MIN(AS$6-$E$3,22))&lt;&gt;""),Sorgo!$E44:INDEX(Sorgo!$E44:$Z44,MIN(AS$6-$E$3,22))),0))-IF($G$2,0,IF((AS$6-$G$3)&lt;1,0,IFERROR(LOOKUP(2,1/(Sorgo!$E44:INDEX(Sorgo!$E44:$Z44,MIN(AS$6-$G$3,22))&lt;&gt;""),Sorgo!$E44:INDEX(Sorgo!$E44:$Z44,MIN(AS$6-$G$3,22))),0)))))</f>
        <v>0</v>
      </c>
      <c r="AT46" s="27" t="n">
        <f aca="false">IF(COUNT(Sorgo!$E44:$Z44)=0,0,MAX(0,IF((AT$6-$E$3)&lt;1,0,IFERROR(LOOKUP(2,1/(Sorgo!$E44:INDEX(Sorgo!$E44:$Z44,MIN(AT$6-$E$3,22))&lt;&gt;""),Sorgo!$E44:INDEX(Sorgo!$E44:$Z44,MIN(AT$6-$E$3,22))),0))-IF($G$2,0,IF((AT$6-$G$3)&lt;1,0,IFERROR(LOOKUP(2,1/(Sorgo!$E44:INDEX(Sorgo!$E44:$Z44,MIN(AT$6-$G$3,22))&lt;&gt;""),Sorgo!$E44:INDEX(Sorgo!$E44:$Z44,MIN(AT$6-$G$3,22))),0)))))</f>
        <v>0</v>
      </c>
      <c r="AU46" s="27" t="n">
        <f aca="false">IF(COUNT(Sorgo!$E44:$Z44)=0,0,MAX(0,IF((AU$6-$E$3)&lt;1,0,IFERROR(LOOKUP(2,1/(Sorgo!$E44:INDEX(Sorgo!$E44:$Z44,MIN(AU$6-$E$3,22))&lt;&gt;""),Sorgo!$E44:INDEX(Sorgo!$E44:$Z44,MIN(AU$6-$E$3,22))),0))-IF($G$2,0,IF((AU$6-$G$3)&lt;1,0,IFERROR(LOOKUP(2,1/(Sorgo!$E44:INDEX(Sorgo!$E44:$Z44,MIN(AU$6-$G$3,22))&lt;&gt;""),Sorgo!$E44:INDEX(Sorgo!$E44:$Z44,MIN(AU$6-$G$3,22))),0)))))</f>
        <v>0</v>
      </c>
      <c r="AV46" s="27" t="n">
        <f aca="false">IF(COUNT(Sorgo!$E44:$Z44)=0,0,MAX(0,IF((AV$6-$E$3)&lt;1,0,IFERROR(LOOKUP(2,1/(Sorgo!$E44:INDEX(Sorgo!$E44:$Z44,MIN(AV$6-$E$3,22))&lt;&gt;""),Sorgo!$E44:INDEX(Sorgo!$E44:$Z44,MIN(AV$6-$E$3,22))),0))-IF($G$2,0,IF((AV$6-$G$3)&lt;1,0,IFERROR(LOOKUP(2,1/(Sorgo!$E44:INDEX(Sorgo!$E44:$Z44,MIN(AV$6-$G$3,22))&lt;&gt;""),Sorgo!$E44:INDEX(Sorgo!$E44:$Z44,MIN(AV$6-$G$3,22))),0)))))</f>
        <v>0</v>
      </c>
      <c r="AW46" s="27" t="n">
        <f aca="false">IF(COUNT(Sorgo!$E44:$Z44)=0,0,MAX(0,IF((AW$6-$E$3)&lt;1,0,IFERROR(LOOKUP(2,1/(Sorgo!$E44:INDEX(Sorgo!$E44:$Z44,MIN(AW$6-$E$3,22))&lt;&gt;""),Sorgo!$E44:INDEX(Sorgo!$E44:$Z44,MIN(AW$6-$E$3,22))),0))-IF($G$2,0,IF((AW$6-$G$3)&lt;1,0,IFERROR(LOOKUP(2,1/(Sorgo!$E44:INDEX(Sorgo!$E44:$Z44,MIN(AW$6-$G$3,22))&lt;&gt;""),Sorgo!$E44:INDEX(Sorgo!$E44:$Z44,MIN(AW$6-$G$3,22))),0)))))</f>
        <v>0</v>
      </c>
      <c r="AX46" s="27" t="n">
        <f aca="false">IF(COUNT(Sorgo!$E44:$Z44)=0,0,MAX(0,IF((AX$6-$E$3)&lt;1,0,IFERROR(LOOKUP(2,1/(Sorgo!$E44:INDEX(Sorgo!$E44:$Z44,MIN(AX$6-$E$3,22))&lt;&gt;""),Sorgo!$E44:INDEX(Sorgo!$E44:$Z44,MIN(AX$6-$E$3,22))),0))-IF($G$2,0,IF((AX$6-$G$3)&lt;1,0,IFERROR(LOOKUP(2,1/(Sorgo!$E44:INDEX(Sorgo!$E44:$Z44,MIN(AX$6-$G$3,22))&lt;&gt;""),Sorgo!$E44:INDEX(Sorgo!$E44:$Z44,MIN(AX$6-$G$3,22))),0)))))</f>
        <v>0</v>
      </c>
      <c r="AY46" s="27" t="n">
        <f aca="false">IF(COUNT(Sorgo!$E44:$Z44)=0,0,MAX(0,IF((AY$6-$E$3)&lt;1,0,IFERROR(LOOKUP(2,1/(Sorgo!$E44:INDEX(Sorgo!$E44:$Z44,MIN(AY$6-$E$3,22))&lt;&gt;""),Sorgo!$E44:INDEX(Sorgo!$E44:$Z44,MIN(AY$6-$E$3,22))),0))-IF($G$2,0,IF((AY$6-$G$3)&lt;1,0,IFERROR(LOOKUP(2,1/(Sorgo!$E44:INDEX(Sorgo!$E44:$Z44,MIN(AY$6-$G$3,22))&lt;&gt;""),Sorgo!$E44:INDEX(Sorgo!$E44:$Z44,MIN(AY$6-$G$3,22))),0)))))</f>
        <v>0</v>
      </c>
      <c r="AZ46" s="27" t="n">
        <f aca="false">IF(COUNT(Sorgo!$E44:$Z44)=0,0,MAX(0,IF((AZ$6-$E$3)&lt;1,0,IFERROR(LOOKUP(2,1/(Sorgo!$E44:INDEX(Sorgo!$E44:$Z44,MIN(AZ$6-$E$3,22))&lt;&gt;""),Sorgo!$E44:INDEX(Sorgo!$E44:$Z44,MIN(AZ$6-$E$3,22))),0))-IF($G$2,0,IF((AZ$6-$G$3)&lt;1,0,IFERROR(LOOKUP(2,1/(Sorgo!$E44:INDEX(Sorgo!$E44:$Z44,MIN(AZ$6-$G$3,22))&lt;&gt;""),Sorgo!$E44:INDEX(Sorgo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IF(COUNT(Sorgo!$E45:$Z45)&gt;0,N(Sorgo!$D45),0)</f>
        <v>0</v>
      </c>
      <c r="E47" s="27" t="n">
        <f aca="false">IF(COUNT(Sorgo!$E45:$Z45)=0,0,MAX(0,IF((E$6-$E$3)&lt;1,0,IFERROR(LOOKUP(2,1/(Sorgo!$E45:INDEX(Sorgo!$E45:$Z45,MIN(E$6-$E$3,22))&lt;&gt;""),Sorgo!$E45:INDEX(Sorgo!$E45:$Z45,MIN(E$6-$E$3,22))),0))-IF($G$2,0,IF((E$6-$G$3)&lt;1,0,IFERROR(LOOKUP(2,1/(Sorgo!$E45:INDEX(Sorgo!$E45:$Z45,MIN(E$6-$G$3,22))&lt;&gt;""),Sorgo!$E45:INDEX(Sorgo!$E45:$Z45,MIN(E$6-$G$3,22))),0)))))</f>
        <v>0</v>
      </c>
      <c r="F47" s="27" t="n">
        <f aca="false">IF(COUNT(Sorgo!$E45:$Z45)=0,0,MAX(0,IF((F$6-$E$3)&lt;1,0,IFERROR(LOOKUP(2,1/(Sorgo!$E45:INDEX(Sorgo!$E45:$Z45,MIN(F$6-$E$3,22))&lt;&gt;""),Sorgo!$E45:INDEX(Sorgo!$E45:$Z45,MIN(F$6-$E$3,22))),0))-IF($G$2,0,IF((F$6-$G$3)&lt;1,0,IFERROR(LOOKUP(2,1/(Sorgo!$E45:INDEX(Sorgo!$E45:$Z45,MIN(F$6-$G$3,22))&lt;&gt;""),Sorgo!$E45:INDEX(Sorgo!$E45:$Z45,MIN(F$6-$G$3,22))),0)))))</f>
        <v>0</v>
      </c>
      <c r="G47" s="27" t="n">
        <f aca="false">IF(COUNT(Sorgo!$E45:$Z45)=0,0,MAX(0,IF((G$6-$E$3)&lt;1,0,IFERROR(LOOKUP(2,1/(Sorgo!$E45:INDEX(Sorgo!$E45:$Z45,MIN(G$6-$E$3,22))&lt;&gt;""),Sorgo!$E45:INDEX(Sorgo!$E45:$Z45,MIN(G$6-$E$3,22))),0))-IF($G$2,0,IF((G$6-$G$3)&lt;1,0,IFERROR(LOOKUP(2,1/(Sorgo!$E45:INDEX(Sorgo!$E45:$Z45,MIN(G$6-$G$3,22))&lt;&gt;""),Sorgo!$E45:INDEX(Sorgo!$E45:$Z45,MIN(G$6-$G$3,22))),0)))))</f>
        <v>0</v>
      </c>
      <c r="H47" s="27" t="n">
        <f aca="false">IF(COUNT(Sorgo!$E45:$Z45)=0,0,MAX(0,IF((H$6-$E$3)&lt;1,0,IFERROR(LOOKUP(2,1/(Sorgo!$E45:INDEX(Sorgo!$E45:$Z45,MIN(H$6-$E$3,22))&lt;&gt;""),Sorgo!$E45:INDEX(Sorgo!$E45:$Z45,MIN(H$6-$E$3,22))),0))-IF($G$2,0,IF((H$6-$G$3)&lt;1,0,IFERROR(LOOKUP(2,1/(Sorgo!$E45:INDEX(Sorgo!$E45:$Z45,MIN(H$6-$G$3,22))&lt;&gt;""),Sorgo!$E45:INDEX(Sorgo!$E45:$Z45,MIN(H$6-$G$3,22))),0)))))</f>
        <v>0</v>
      </c>
      <c r="I47" s="27" t="n">
        <f aca="false">IF(COUNT(Sorgo!$E45:$Z45)=0,0,MAX(0,IF((I$6-$E$3)&lt;1,0,IFERROR(LOOKUP(2,1/(Sorgo!$E45:INDEX(Sorgo!$E45:$Z45,MIN(I$6-$E$3,22))&lt;&gt;""),Sorgo!$E45:INDEX(Sorgo!$E45:$Z45,MIN(I$6-$E$3,22))),0))-IF($G$2,0,IF((I$6-$G$3)&lt;1,0,IFERROR(LOOKUP(2,1/(Sorgo!$E45:INDEX(Sorgo!$E45:$Z45,MIN(I$6-$G$3,22))&lt;&gt;""),Sorgo!$E45:INDEX(Sorgo!$E45:$Z45,MIN(I$6-$G$3,22))),0)))))</f>
        <v>0</v>
      </c>
      <c r="J47" s="27" t="n">
        <f aca="false">IF(COUNT(Sorgo!$E45:$Z45)=0,0,MAX(0,IF((J$6-$E$3)&lt;1,0,IFERROR(LOOKUP(2,1/(Sorgo!$E45:INDEX(Sorgo!$E45:$Z45,MIN(J$6-$E$3,22))&lt;&gt;""),Sorgo!$E45:INDEX(Sorgo!$E45:$Z45,MIN(J$6-$E$3,22))),0))-IF($G$2,0,IF((J$6-$G$3)&lt;1,0,IFERROR(LOOKUP(2,1/(Sorgo!$E45:INDEX(Sorgo!$E45:$Z45,MIN(J$6-$G$3,22))&lt;&gt;""),Sorgo!$E45:INDEX(Sorgo!$E45:$Z45,MIN(J$6-$G$3,22))),0)))))</f>
        <v>0</v>
      </c>
      <c r="K47" s="27" t="n">
        <f aca="false">IF(COUNT(Sorgo!$E45:$Z45)=0,0,MAX(0,IF((K$6-$E$3)&lt;1,0,IFERROR(LOOKUP(2,1/(Sorgo!$E45:INDEX(Sorgo!$E45:$Z45,MIN(K$6-$E$3,22))&lt;&gt;""),Sorgo!$E45:INDEX(Sorgo!$E45:$Z45,MIN(K$6-$E$3,22))),0))-IF($G$2,0,IF((K$6-$G$3)&lt;1,0,IFERROR(LOOKUP(2,1/(Sorgo!$E45:INDEX(Sorgo!$E45:$Z45,MIN(K$6-$G$3,22))&lt;&gt;""),Sorgo!$E45:INDEX(Sorgo!$E45:$Z45,MIN(K$6-$G$3,22))),0)))))</f>
        <v>0</v>
      </c>
      <c r="L47" s="27" t="n">
        <f aca="false">IF(COUNT(Sorgo!$E45:$Z45)=0,0,MAX(0,IF((L$6-$E$3)&lt;1,0,IFERROR(LOOKUP(2,1/(Sorgo!$E45:INDEX(Sorgo!$E45:$Z45,MIN(L$6-$E$3,22))&lt;&gt;""),Sorgo!$E45:INDEX(Sorgo!$E45:$Z45,MIN(L$6-$E$3,22))),0))-IF($G$2,0,IF((L$6-$G$3)&lt;1,0,IFERROR(LOOKUP(2,1/(Sorgo!$E45:INDEX(Sorgo!$E45:$Z45,MIN(L$6-$G$3,22))&lt;&gt;""),Sorgo!$E45:INDEX(Sorgo!$E45:$Z45,MIN(L$6-$G$3,22))),0)))))</f>
        <v>0</v>
      </c>
      <c r="M47" s="27" t="n">
        <f aca="false">IF(COUNT(Sorgo!$E45:$Z45)=0,0,MAX(0,IF((M$6-$E$3)&lt;1,0,IFERROR(LOOKUP(2,1/(Sorgo!$E45:INDEX(Sorgo!$E45:$Z45,MIN(M$6-$E$3,22))&lt;&gt;""),Sorgo!$E45:INDEX(Sorgo!$E45:$Z45,MIN(M$6-$E$3,22))),0))-IF($G$2,0,IF((M$6-$G$3)&lt;1,0,IFERROR(LOOKUP(2,1/(Sorgo!$E45:INDEX(Sorgo!$E45:$Z45,MIN(M$6-$G$3,22))&lt;&gt;""),Sorgo!$E45:INDEX(Sorgo!$E45:$Z45,MIN(M$6-$G$3,22))),0)))))</f>
        <v>0</v>
      </c>
      <c r="N47" s="27" t="n">
        <f aca="false">IF(COUNT(Sorgo!$E45:$Z45)=0,0,MAX(0,IF((N$6-$E$3)&lt;1,0,IFERROR(LOOKUP(2,1/(Sorgo!$E45:INDEX(Sorgo!$E45:$Z45,MIN(N$6-$E$3,22))&lt;&gt;""),Sorgo!$E45:INDEX(Sorgo!$E45:$Z45,MIN(N$6-$E$3,22))),0))-IF($G$2,0,IF((N$6-$G$3)&lt;1,0,IFERROR(LOOKUP(2,1/(Sorgo!$E45:INDEX(Sorgo!$E45:$Z45,MIN(N$6-$G$3,22))&lt;&gt;""),Sorgo!$E45:INDEX(Sorgo!$E45:$Z45,MIN(N$6-$G$3,22))),0)))))</f>
        <v>0</v>
      </c>
      <c r="O47" s="27" t="n">
        <f aca="false">IF(COUNT(Sorgo!$E45:$Z45)=0,0,MAX(0,IF((O$6-$E$3)&lt;1,0,IFERROR(LOOKUP(2,1/(Sorgo!$E45:INDEX(Sorgo!$E45:$Z45,MIN(O$6-$E$3,22))&lt;&gt;""),Sorgo!$E45:INDEX(Sorgo!$E45:$Z45,MIN(O$6-$E$3,22))),0))-IF($G$2,0,IF((O$6-$G$3)&lt;1,0,IFERROR(LOOKUP(2,1/(Sorgo!$E45:INDEX(Sorgo!$E45:$Z45,MIN(O$6-$G$3,22))&lt;&gt;""),Sorgo!$E45:INDEX(Sorgo!$E45:$Z45,MIN(O$6-$G$3,22))),0)))))</f>
        <v>0</v>
      </c>
      <c r="P47" s="27" t="n">
        <f aca="false">IF(COUNT(Sorgo!$E45:$Z45)=0,0,MAX(0,IF((P$6-$E$3)&lt;1,0,IFERROR(LOOKUP(2,1/(Sorgo!$E45:INDEX(Sorgo!$E45:$Z45,MIN(P$6-$E$3,22))&lt;&gt;""),Sorgo!$E45:INDEX(Sorgo!$E45:$Z45,MIN(P$6-$E$3,22))),0))-IF($G$2,0,IF((P$6-$G$3)&lt;1,0,IFERROR(LOOKUP(2,1/(Sorgo!$E45:INDEX(Sorgo!$E45:$Z45,MIN(P$6-$G$3,22))&lt;&gt;""),Sorgo!$E45:INDEX(Sorgo!$E45:$Z45,MIN(P$6-$G$3,22))),0)))))</f>
        <v>0</v>
      </c>
      <c r="Q47" s="27" t="n">
        <f aca="false">IF(COUNT(Sorgo!$E45:$Z45)=0,0,MAX(0,IF((Q$6-$E$3)&lt;1,0,IFERROR(LOOKUP(2,1/(Sorgo!$E45:INDEX(Sorgo!$E45:$Z45,MIN(Q$6-$E$3,22))&lt;&gt;""),Sorgo!$E45:INDEX(Sorgo!$E45:$Z45,MIN(Q$6-$E$3,22))),0))-IF($G$2,0,IF((Q$6-$G$3)&lt;1,0,IFERROR(LOOKUP(2,1/(Sorgo!$E45:INDEX(Sorgo!$E45:$Z45,MIN(Q$6-$G$3,22))&lt;&gt;""),Sorgo!$E45:INDEX(Sorgo!$E45:$Z45,MIN(Q$6-$G$3,22))),0)))))</f>
        <v>0</v>
      </c>
      <c r="R47" s="27" t="n">
        <f aca="false">IF(COUNT(Sorgo!$E45:$Z45)=0,0,MAX(0,IF((R$6-$E$3)&lt;1,0,IFERROR(LOOKUP(2,1/(Sorgo!$E45:INDEX(Sorgo!$E45:$Z45,MIN(R$6-$E$3,22))&lt;&gt;""),Sorgo!$E45:INDEX(Sorgo!$E45:$Z45,MIN(R$6-$E$3,22))),0))-IF($G$2,0,IF((R$6-$G$3)&lt;1,0,IFERROR(LOOKUP(2,1/(Sorgo!$E45:INDEX(Sorgo!$E45:$Z45,MIN(R$6-$G$3,22))&lt;&gt;""),Sorgo!$E45:INDEX(Sorgo!$E45:$Z45,MIN(R$6-$G$3,22))),0)))))</f>
        <v>0</v>
      </c>
      <c r="S47" s="27" t="n">
        <f aca="false">IF(COUNT(Sorgo!$E45:$Z45)=0,0,MAX(0,IF((S$6-$E$3)&lt;1,0,IFERROR(LOOKUP(2,1/(Sorgo!$E45:INDEX(Sorgo!$E45:$Z45,MIN(S$6-$E$3,22))&lt;&gt;""),Sorgo!$E45:INDEX(Sorgo!$E45:$Z45,MIN(S$6-$E$3,22))),0))-IF($G$2,0,IF((S$6-$G$3)&lt;1,0,IFERROR(LOOKUP(2,1/(Sorgo!$E45:INDEX(Sorgo!$E45:$Z45,MIN(S$6-$G$3,22))&lt;&gt;""),Sorgo!$E45:INDEX(Sorgo!$E45:$Z45,MIN(S$6-$G$3,22))),0)))))</f>
        <v>0</v>
      </c>
      <c r="T47" s="27" t="n">
        <f aca="false">IF(COUNT(Sorgo!$E45:$Z45)=0,0,MAX(0,IF((T$6-$E$3)&lt;1,0,IFERROR(LOOKUP(2,1/(Sorgo!$E45:INDEX(Sorgo!$E45:$Z45,MIN(T$6-$E$3,22))&lt;&gt;""),Sorgo!$E45:INDEX(Sorgo!$E45:$Z45,MIN(T$6-$E$3,22))),0))-IF($G$2,0,IF((T$6-$G$3)&lt;1,0,IFERROR(LOOKUP(2,1/(Sorgo!$E45:INDEX(Sorgo!$E45:$Z45,MIN(T$6-$G$3,22))&lt;&gt;""),Sorgo!$E45:INDEX(Sorgo!$E45:$Z45,MIN(T$6-$G$3,22))),0)))))</f>
        <v>0</v>
      </c>
      <c r="U47" s="27" t="n">
        <f aca="false">IF(COUNT(Sorgo!$E45:$Z45)=0,0,MAX(0,IF((U$6-$E$3)&lt;1,0,IFERROR(LOOKUP(2,1/(Sorgo!$E45:INDEX(Sorgo!$E45:$Z45,MIN(U$6-$E$3,22))&lt;&gt;""),Sorgo!$E45:INDEX(Sorgo!$E45:$Z45,MIN(U$6-$E$3,22))),0))-IF($G$2,0,IF((U$6-$G$3)&lt;1,0,IFERROR(LOOKUP(2,1/(Sorgo!$E45:INDEX(Sorgo!$E45:$Z45,MIN(U$6-$G$3,22))&lt;&gt;""),Sorgo!$E45:INDEX(Sorgo!$E45:$Z45,MIN(U$6-$G$3,22))),0)))))</f>
        <v>0</v>
      </c>
      <c r="V47" s="27" t="n">
        <f aca="false">IF(COUNT(Sorgo!$E45:$Z45)=0,0,MAX(0,IF((V$6-$E$3)&lt;1,0,IFERROR(LOOKUP(2,1/(Sorgo!$E45:INDEX(Sorgo!$E45:$Z45,MIN(V$6-$E$3,22))&lt;&gt;""),Sorgo!$E45:INDEX(Sorgo!$E45:$Z45,MIN(V$6-$E$3,22))),0))-IF($G$2,0,IF((V$6-$G$3)&lt;1,0,IFERROR(LOOKUP(2,1/(Sorgo!$E45:INDEX(Sorgo!$E45:$Z45,MIN(V$6-$G$3,22))&lt;&gt;""),Sorgo!$E45:INDEX(Sorgo!$E45:$Z45,MIN(V$6-$G$3,22))),0)))))</f>
        <v>0</v>
      </c>
      <c r="W47" s="27" t="n">
        <f aca="false">IF(COUNT(Sorgo!$E45:$Z45)=0,0,MAX(0,IF((W$6-$E$3)&lt;1,0,IFERROR(LOOKUP(2,1/(Sorgo!$E45:INDEX(Sorgo!$E45:$Z45,MIN(W$6-$E$3,22))&lt;&gt;""),Sorgo!$E45:INDEX(Sorgo!$E45:$Z45,MIN(W$6-$E$3,22))),0))-IF($G$2,0,IF((W$6-$G$3)&lt;1,0,IFERROR(LOOKUP(2,1/(Sorgo!$E45:INDEX(Sorgo!$E45:$Z45,MIN(W$6-$G$3,22))&lt;&gt;""),Sorgo!$E45:INDEX(Sorgo!$E45:$Z45,MIN(W$6-$G$3,22))),0)))))</f>
        <v>0</v>
      </c>
      <c r="X47" s="27" t="n">
        <f aca="false">IF(COUNT(Sorgo!$E45:$Z45)=0,0,MAX(0,IF((X$6-$E$3)&lt;1,0,IFERROR(LOOKUP(2,1/(Sorgo!$E45:INDEX(Sorgo!$E45:$Z45,MIN(X$6-$E$3,22))&lt;&gt;""),Sorgo!$E45:INDEX(Sorgo!$E45:$Z45,MIN(X$6-$E$3,22))),0))-IF($G$2,0,IF((X$6-$G$3)&lt;1,0,IFERROR(LOOKUP(2,1/(Sorgo!$E45:INDEX(Sorgo!$E45:$Z45,MIN(X$6-$G$3,22))&lt;&gt;""),Sorgo!$E45:INDEX(Sorgo!$E45:$Z45,MIN(X$6-$G$3,22))),0)))))</f>
        <v>0</v>
      </c>
      <c r="Y47" s="27" t="n">
        <f aca="false">IF(COUNT(Sorgo!$E45:$Z45)=0,0,MAX(0,IF((Y$6-$E$3)&lt;1,0,IFERROR(LOOKUP(2,1/(Sorgo!$E45:INDEX(Sorgo!$E45:$Z45,MIN(Y$6-$E$3,22))&lt;&gt;""),Sorgo!$E45:INDEX(Sorgo!$E45:$Z45,MIN(Y$6-$E$3,22))),0))-IF($G$2,0,IF((Y$6-$G$3)&lt;1,0,IFERROR(LOOKUP(2,1/(Sorgo!$E45:INDEX(Sorgo!$E45:$Z45,MIN(Y$6-$G$3,22))&lt;&gt;""),Sorgo!$E45:INDEX(Sorgo!$E45:$Z45,MIN(Y$6-$G$3,22))),0)))))</f>
        <v>0</v>
      </c>
      <c r="Z47" s="27" t="n">
        <f aca="false">IF(COUNT(Sorgo!$E45:$Z45)=0,0,MAX(0,IF((Z$6-$E$3)&lt;1,0,IFERROR(LOOKUP(2,1/(Sorgo!$E45:INDEX(Sorgo!$E45:$Z45,MIN(Z$6-$E$3,22))&lt;&gt;""),Sorgo!$E45:INDEX(Sorgo!$E45:$Z45,MIN(Z$6-$E$3,22))),0))-IF($G$2,0,IF((Z$6-$G$3)&lt;1,0,IFERROR(LOOKUP(2,1/(Sorgo!$E45:INDEX(Sorgo!$E45:$Z45,MIN(Z$6-$G$3,22))&lt;&gt;""),Sorgo!$E45:INDEX(Sorgo!$E45:$Z45,MIN(Z$6-$G$3,22))),0)))))</f>
        <v>0</v>
      </c>
      <c r="AA47" s="27" t="n">
        <f aca="false">IF(COUNT(Sorgo!$E45:$Z45)=0,0,MAX(0,IF((AA$6-$E$3)&lt;1,0,IFERROR(LOOKUP(2,1/(Sorgo!$E45:INDEX(Sorgo!$E45:$Z45,MIN(AA$6-$E$3,22))&lt;&gt;""),Sorgo!$E45:INDEX(Sorgo!$E45:$Z45,MIN(AA$6-$E$3,22))),0))-IF($G$2,0,IF((AA$6-$G$3)&lt;1,0,IFERROR(LOOKUP(2,1/(Sorgo!$E45:INDEX(Sorgo!$E45:$Z45,MIN(AA$6-$G$3,22))&lt;&gt;""),Sorgo!$E45:INDEX(Sorgo!$E45:$Z45,MIN(AA$6-$G$3,22))),0)))))</f>
        <v>0</v>
      </c>
      <c r="AB47" s="27" t="n">
        <f aca="false">IF(COUNT(Sorgo!$E45:$Z45)=0,0,MAX(0,IF((AB$6-$E$3)&lt;1,0,IFERROR(LOOKUP(2,1/(Sorgo!$E45:INDEX(Sorgo!$E45:$Z45,MIN(AB$6-$E$3,22))&lt;&gt;""),Sorgo!$E45:INDEX(Sorgo!$E45:$Z45,MIN(AB$6-$E$3,22))),0))-IF($G$2,0,IF((AB$6-$G$3)&lt;1,0,IFERROR(LOOKUP(2,1/(Sorgo!$E45:INDEX(Sorgo!$E45:$Z45,MIN(AB$6-$G$3,22))&lt;&gt;""),Sorgo!$E45:INDEX(Sorgo!$E45:$Z45,MIN(AB$6-$G$3,22))),0)))))</f>
        <v>0</v>
      </c>
      <c r="AC47" s="27" t="n">
        <f aca="false">IF(COUNT(Sorgo!$E45:$Z45)=0,0,MAX(0,IF((AC$6-$E$3)&lt;1,0,IFERROR(LOOKUP(2,1/(Sorgo!$E45:INDEX(Sorgo!$E45:$Z45,MIN(AC$6-$E$3,22))&lt;&gt;""),Sorgo!$E45:INDEX(Sorgo!$E45:$Z45,MIN(AC$6-$E$3,22))),0))-IF($G$2,0,IF((AC$6-$G$3)&lt;1,0,IFERROR(LOOKUP(2,1/(Sorgo!$E45:INDEX(Sorgo!$E45:$Z45,MIN(AC$6-$G$3,22))&lt;&gt;""),Sorgo!$E45:INDEX(Sorgo!$E45:$Z45,MIN(AC$6-$G$3,22))),0)))))</f>
        <v>0</v>
      </c>
      <c r="AD47" s="27" t="n">
        <f aca="false">IF(COUNT(Sorgo!$E45:$Z45)=0,0,MAX(0,IF((AD$6-$E$3)&lt;1,0,IFERROR(LOOKUP(2,1/(Sorgo!$E45:INDEX(Sorgo!$E45:$Z45,MIN(AD$6-$E$3,22))&lt;&gt;""),Sorgo!$E45:INDEX(Sorgo!$E45:$Z45,MIN(AD$6-$E$3,22))),0))-IF($G$2,0,IF((AD$6-$G$3)&lt;1,0,IFERROR(LOOKUP(2,1/(Sorgo!$E45:INDEX(Sorgo!$E45:$Z45,MIN(AD$6-$G$3,22))&lt;&gt;""),Sorgo!$E45:INDEX(Sorgo!$E45:$Z45,MIN(AD$6-$G$3,22))),0)))))</f>
        <v>0</v>
      </c>
      <c r="AE47" s="27" t="n">
        <f aca="false">IF(COUNT(Sorgo!$E45:$Z45)=0,0,MAX(0,IF((AE$6-$E$3)&lt;1,0,IFERROR(LOOKUP(2,1/(Sorgo!$E45:INDEX(Sorgo!$E45:$Z45,MIN(AE$6-$E$3,22))&lt;&gt;""),Sorgo!$E45:INDEX(Sorgo!$E45:$Z45,MIN(AE$6-$E$3,22))),0))-IF($G$2,0,IF((AE$6-$G$3)&lt;1,0,IFERROR(LOOKUP(2,1/(Sorgo!$E45:INDEX(Sorgo!$E45:$Z45,MIN(AE$6-$G$3,22))&lt;&gt;""),Sorgo!$E45:INDEX(Sorgo!$E45:$Z45,MIN(AE$6-$G$3,22))),0)))))</f>
        <v>0</v>
      </c>
      <c r="AF47" s="27" t="n">
        <f aca="false">IF(COUNT(Sorgo!$E45:$Z45)=0,0,MAX(0,IF((AF$6-$E$3)&lt;1,0,IFERROR(LOOKUP(2,1/(Sorgo!$E45:INDEX(Sorgo!$E45:$Z45,MIN(AF$6-$E$3,22))&lt;&gt;""),Sorgo!$E45:INDEX(Sorgo!$E45:$Z45,MIN(AF$6-$E$3,22))),0))-IF($G$2,0,IF((AF$6-$G$3)&lt;1,0,IFERROR(LOOKUP(2,1/(Sorgo!$E45:INDEX(Sorgo!$E45:$Z45,MIN(AF$6-$G$3,22))&lt;&gt;""),Sorgo!$E45:INDEX(Sorgo!$E45:$Z45,MIN(AF$6-$G$3,22))),0)))))</f>
        <v>0</v>
      </c>
      <c r="AG47" s="27" t="n">
        <f aca="false">IF(COUNT(Sorgo!$E45:$Z45)=0,0,MAX(0,IF((AG$6-$E$3)&lt;1,0,IFERROR(LOOKUP(2,1/(Sorgo!$E45:INDEX(Sorgo!$E45:$Z45,MIN(AG$6-$E$3,22))&lt;&gt;""),Sorgo!$E45:INDEX(Sorgo!$E45:$Z45,MIN(AG$6-$E$3,22))),0))-IF($G$2,0,IF((AG$6-$G$3)&lt;1,0,IFERROR(LOOKUP(2,1/(Sorgo!$E45:INDEX(Sorgo!$E45:$Z45,MIN(AG$6-$G$3,22))&lt;&gt;""),Sorgo!$E45:INDEX(Sorgo!$E45:$Z45,MIN(AG$6-$G$3,22))),0)))))</f>
        <v>0</v>
      </c>
      <c r="AH47" s="27" t="n">
        <f aca="false">IF(COUNT(Sorgo!$E45:$Z45)=0,0,MAX(0,IF((AH$6-$E$3)&lt;1,0,IFERROR(LOOKUP(2,1/(Sorgo!$E45:INDEX(Sorgo!$E45:$Z45,MIN(AH$6-$E$3,22))&lt;&gt;""),Sorgo!$E45:INDEX(Sorgo!$E45:$Z45,MIN(AH$6-$E$3,22))),0))-IF($G$2,0,IF((AH$6-$G$3)&lt;1,0,IFERROR(LOOKUP(2,1/(Sorgo!$E45:INDEX(Sorgo!$E45:$Z45,MIN(AH$6-$G$3,22))&lt;&gt;""),Sorgo!$E45:INDEX(Sorgo!$E45:$Z45,MIN(AH$6-$G$3,22))),0)))))</f>
        <v>0</v>
      </c>
      <c r="AI47" s="27" t="n">
        <f aca="false">IF(COUNT(Sorgo!$E45:$Z45)=0,0,MAX(0,IF((AI$6-$E$3)&lt;1,0,IFERROR(LOOKUP(2,1/(Sorgo!$E45:INDEX(Sorgo!$E45:$Z45,MIN(AI$6-$E$3,22))&lt;&gt;""),Sorgo!$E45:INDEX(Sorgo!$E45:$Z45,MIN(AI$6-$E$3,22))),0))-IF($G$2,0,IF((AI$6-$G$3)&lt;1,0,IFERROR(LOOKUP(2,1/(Sorgo!$E45:INDEX(Sorgo!$E45:$Z45,MIN(AI$6-$G$3,22))&lt;&gt;""),Sorgo!$E45:INDEX(Sorgo!$E45:$Z45,MIN(AI$6-$G$3,22))),0)))))</f>
        <v>0</v>
      </c>
      <c r="AJ47" s="27" t="n">
        <f aca="false">IF(COUNT(Sorgo!$E45:$Z45)=0,0,MAX(0,IF((AJ$6-$E$3)&lt;1,0,IFERROR(LOOKUP(2,1/(Sorgo!$E45:INDEX(Sorgo!$E45:$Z45,MIN(AJ$6-$E$3,22))&lt;&gt;""),Sorgo!$E45:INDEX(Sorgo!$E45:$Z45,MIN(AJ$6-$E$3,22))),0))-IF($G$2,0,IF((AJ$6-$G$3)&lt;1,0,IFERROR(LOOKUP(2,1/(Sorgo!$E45:INDEX(Sorgo!$E45:$Z45,MIN(AJ$6-$G$3,22))&lt;&gt;""),Sorgo!$E45:INDEX(Sorgo!$E45:$Z45,MIN(AJ$6-$G$3,22))),0)))))</f>
        <v>0</v>
      </c>
      <c r="AK47" s="27" t="n">
        <f aca="false">IF(COUNT(Sorgo!$E45:$Z45)=0,0,MAX(0,IF((AK$6-$E$3)&lt;1,0,IFERROR(LOOKUP(2,1/(Sorgo!$E45:INDEX(Sorgo!$E45:$Z45,MIN(AK$6-$E$3,22))&lt;&gt;""),Sorgo!$E45:INDEX(Sorgo!$E45:$Z45,MIN(AK$6-$E$3,22))),0))-IF($G$2,0,IF((AK$6-$G$3)&lt;1,0,IFERROR(LOOKUP(2,1/(Sorgo!$E45:INDEX(Sorgo!$E45:$Z45,MIN(AK$6-$G$3,22))&lt;&gt;""),Sorgo!$E45:INDEX(Sorgo!$E45:$Z45,MIN(AK$6-$G$3,22))),0)))))</f>
        <v>0</v>
      </c>
      <c r="AL47" s="27" t="n">
        <f aca="false">IF(COUNT(Sorgo!$E45:$Z45)=0,0,MAX(0,IF((AL$6-$E$3)&lt;1,0,IFERROR(LOOKUP(2,1/(Sorgo!$E45:INDEX(Sorgo!$E45:$Z45,MIN(AL$6-$E$3,22))&lt;&gt;""),Sorgo!$E45:INDEX(Sorgo!$E45:$Z45,MIN(AL$6-$E$3,22))),0))-IF($G$2,0,IF((AL$6-$G$3)&lt;1,0,IFERROR(LOOKUP(2,1/(Sorgo!$E45:INDEX(Sorgo!$E45:$Z45,MIN(AL$6-$G$3,22))&lt;&gt;""),Sorgo!$E45:INDEX(Sorgo!$E45:$Z45,MIN(AL$6-$G$3,22))),0)))))</f>
        <v>0</v>
      </c>
      <c r="AM47" s="27" t="n">
        <f aca="false">IF(COUNT(Sorgo!$E45:$Z45)=0,0,MAX(0,IF((AM$6-$E$3)&lt;1,0,IFERROR(LOOKUP(2,1/(Sorgo!$E45:INDEX(Sorgo!$E45:$Z45,MIN(AM$6-$E$3,22))&lt;&gt;""),Sorgo!$E45:INDEX(Sorgo!$E45:$Z45,MIN(AM$6-$E$3,22))),0))-IF($G$2,0,IF((AM$6-$G$3)&lt;1,0,IFERROR(LOOKUP(2,1/(Sorgo!$E45:INDEX(Sorgo!$E45:$Z45,MIN(AM$6-$G$3,22))&lt;&gt;""),Sorgo!$E45:INDEX(Sorgo!$E45:$Z45,MIN(AM$6-$G$3,22))),0)))))</f>
        <v>0</v>
      </c>
      <c r="AN47" s="27" t="n">
        <f aca="false">IF(COUNT(Sorgo!$E45:$Z45)=0,0,MAX(0,IF((AN$6-$E$3)&lt;1,0,IFERROR(LOOKUP(2,1/(Sorgo!$E45:INDEX(Sorgo!$E45:$Z45,MIN(AN$6-$E$3,22))&lt;&gt;""),Sorgo!$E45:INDEX(Sorgo!$E45:$Z45,MIN(AN$6-$E$3,22))),0))-IF($G$2,0,IF((AN$6-$G$3)&lt;1,0,IFERROR(LOOKUP(2,1/(Sorgo!$E45:INDEX(Sorgo!$E45:$Z45,MIN(AN$6-$G$3,22))&lt;&gt;""),Sorgo!$E45:INDEX(Sorgo!$E45:$Z45,MIN(AN$6-$G$3,22))),0)))))</f>
        <v>0</v>
      </c>
      <c r="AO47" s="27" t="n">
        <f aca="false">IF(COUNT(Sorgo!$E45:$Z45)=0,0,MAX(0,IF((AO$6-$E$3)&lt;1,0,IFERROR(LOOKUP(2,1/(Sorgo!$E45:INDEX(Sorgo!$E45:$Z45,MIN(AO$6-$E$3,22))&lt;&gt;""),Sorgo!$E45:INDEX(Sorgo!$E45:$Z45,MIN(AO$6-$E$3,22))),0))-IF($G$2,0,IF((AO$6-$G$3)&lt;1,0,IFERROR(LOOKUP(2,1/(Sorgo!$E45:INDEX(Sorgo!$E45:$Z45,MIN(AO$6-$G$3,22))&lt;&gt;""),Sorgo!$E45:INDEX(Sorgo!$E45:$Z45,MIN(AO$6-$G$3,22))),0)))))</f>
        <v>0</v>
      </c>
      <c r="AP47" s="27" t="n">
        <f aca="false">IF(COUNT(Sorgo!$E45:$Z45)=0,0,MAX(0,IF((AP$6-$E$3)&lt;1,0,IFERROR(LOOKUP(2,1/(Sorgo!$E45:INDEX(Sorgo!$E45:$Z45,MIN(AP$6-$E$3,22))&lt;&gt;""),Sorgo!$E45:INDEX(Sorgo!$E45:$Z45,MIN(AP$6-$E$3,22))),0))-IF($G$2,0,IF((AP$6-$G$3)&lt;1,0,IFERROR(LOOKUP(2,1/(Sorgo!$E45:INDEX(Sorgo!$E45:$Z45,MIN(AP$6-$G$3,22))&lt;&gt;""),Sorgo!$E45:INDEX(Sorgo!$E45:$Z45,MIN(AP$6-$G$3,22))),0)))))</f>
        <v>0</v>
      </c>
      <c r="AQ47" s="27" t="n">
        <f aca="false">IF(COUNT(Sorgo!$E45:$Z45)=0,0,MAX(0,IF((AQ$6-$E$3)&lt;1,0,IFERROR(LOOKUP(2,1/(Sorgo!$E45:INDEX(Sorgo!$E45:$Z45,MIN(AQ$6-$E$3,22))&lt;&gt;""),Sorgo!$E45:INDEX(Sorgo!$E45:$Z45,MIN(AQ$6-$E$3,22))),0))-IF($G$2,0,IF((AQ$6-$G$3)&lt;1,0,IFERROR(LOOKUP(2,1/(Sorgo!$E45:INDEX(Sorgo!$E45:$Z45,MIN(AQ$6-$G$3,22))&lt;&gt;""),Sorgo!$E45:INDEX(Sorgo!$E45:$Z45,MIN(AQ$6-$G$3,22))),0)))))</f>
        <v>0</v>
      </c>
      <c r="AR47" s="27" t="n">
        <f aca="false">IF(COUNT(Sorgo!$E45:$Z45)=0,0,MAX(0,IF((AR$6-$E$3)&lt;1,0,IFERROR(LOOKUP(2,1/(Sorgo!$E45:INDEX(Sorgo!$E45:$Z45,MIN(AR$6-$E$3,22))&lt;&gt;""),Sorgo!$E45:INDEX(Sorgo!$E45:$Z45,MIN(AR$6-$E$3,22))),0))-IF($G$2,0,IF((AR$6-$G$3)&lt;1,0,IFERROR(LOOKUP(2,1/(Sorgo!$E45:INDEX(Sorgo!$E45:$Z45,MIN(AR$6-$G$3,22))&lt;&gt;""),Sorgo!$E45:INDEX(Sorgo!$E45:$Z45,MIN(AR$6-$G$3,22))),0)))))</f>
        <v>0</v>
      </c>
      <c r="AS47" s="27" t="n">
        <f aca="false">IF(COUNT(Sorgo!$E45:$Z45)=0,0,MAX(0,IF((AS$6-$E$3)&lt;1,0,IFERROR(LOOKUP(2,1/(Sorgo!$E45:INDEX(Sorgo!$E45:$Z45,MIN(AS$6-$E$3,22))&lt;&gt;""),Sorgo!$E45:INDEX(Sorgo!$E45:$Z45,MIN(AS$6-$E$3,22))),0))-IF($G$2,0,IF((AS$6-$G$3)&lt;1,0,IFERROR(LOOKUP(2,1/(Sorgo!$E45:INDEX(Sorgo!$E45:$Z45,MIN(AS$6-$G$3,22))&lt;&gt;""),Sorgo!$E45:INDEX(Sorgo!$E45:$Z45,MIN(AS$6-$G$3,22))),0)))))</f>
        <v>0</v>
      </c>
      <c r="AT47" s="27" t="n">
        <f aca="false">IF(COUNT(Sorgo!$E45:$Z45)=0,0,MAX(0,IF((AT$6-$E$3)&lt;1,0,IFERROR(LOOKUP(2,1/(Sorgo!$E45:INDEX(Sorgo!$E45:$Z45,MIN(AT$6-$E$3,22))&lt;&gt;""),Sorgo!$E45:INDEX(Sorgo!$E45:$Z45,MIN(AT$6-$E$3,22))),0))-IF($G$2,0,IF((AT$6-$G$3)&lt;1,0,IFERROR(LOOKUP(2,1/(Sorgo!$E45:INDEX(Sorgo!$E45:$Z45,MIN(AT$6-$G$3,22))&lt;&gt;""),Sorgo!$E45:INDEX(Sorgo!$E45:$Z45,MIN(AT$6-$G$3,22))),0)))))</f>
        <v>0</v>
      </c>
      <c r="AU47" s="27" t="n">
        <f aca="false">IF(COUNT(Sorgo!$E45:$Z45)=0,0,MAX(0,IF((AU$6-$E$3)&lt;1,0,IFERROR(LOOKUP(2,1/(Sorgo!$E45:INDEX(Sorgo!$E45:$Z45,MIN(AU$6-$E$3,22))&lt;&gt;""),Sorgo!$E45:INDEX(Sorgo!$E45:$Z45,MIN(AU$6-$E$3,22))),0))-IF($G$2,0,IF((AU$6-$G$3)&lt;1,0,IFERROR(LOOKUP(2,1/(Sorgo!$E45:INDEX(Sorgo!$E45:$Z45,MIN(AU$6-$G$3,22))&lt;&gt;""),Sorgo!$E45:INDEX(Sorgo!$E45:$Z45,MIN(AU$6-$G$3,22))),0)))))</f>
        <v>0</v>
      </c>
      <c r="AV47" s="27" t="n">
        <f aca="false">IF(COUNT(Sorgo!$E45:$Z45)=0,0,MAX(0,IF((AV$6-$E$3)&lt;1,0,IFERROR(LOOKUP(2,1/(Sorgo!$E45:INDEX(Sorgo!$E45:$Z45,MIN(AV$6-$E$3,22))&lt;&gt;""),Sorgo!$E45:INDEX(Sorgo!$E45:$Z45,MIN(AV$6-$E$3,22))),0))-IF($G$2,0,IF((AV$6-$G$3)&lt;1,0,IFERROR(LOOKUP(2,1/(Sorgo!$E45:INDEX(Sorgo!$E45:$Z45,MIN(AV$6-$G$3,22))&lt;&gt;""),Sorgo!$E45:INDEX(Sorgo!$E45:$Z45,MIN(AV$6-$G$3,22))),0)))))</f>
        <v>0</v>
      </c>
      <c r="AW47" s="27" t="n">
        <f aca="false">IF(COUNT(Sorgo!$E45:$Z45)=0,0,MAX(0,IF((AW$6-$E$3)&lt;1,0,IFERROR(LOOKUP(2,1/(Sorgo!$E45:INDEX(Sorgo!$E45:$Z45,MIN(AW$6-$E$3,22))&lt;&gt;""),Sorgo!$E45:INDEX(Sorgo!$E45:$Z45,MIN(AW$6-$E$3,22))),0))-IF($G$2,0,IF((AW$6-$G$3)&lt;1,0,IFERROR(LOOKUP(2,1/(Sorgo!$E45:INDEX(Sorgo!$E45:$Z45,MIN(AW$6-$G$3,22))&lt;&gt;""),Sorgo!$E45:INDEX(Sorgo!$E45:$Z45,MIN(AW$6-$G$3,22))),0)))))</f>
        <v>0</v>
      </c>
      <c r="AX47" s="27" t="n">
        <f aca="false">IF(COUNT(Sorgo!$E45:$Z45)=0,0,MAX(0,IF((AX$6-$E$3)&lt;1,0,IFERROR(LOOKUP(2,1/(Sorgo!$E45:INDEX(Sorgo!$E45:$Z45,MIN(AX$6-$E$3,22))&lt;&gt;""),Sorgo!$E45:INDEX(Sorgo!$E45:$Z45,MIN(AX$6-$E$3,22))),0))-IF($G$2,0,IF((AX$6-$G$3)&lt;1,0,IFERROR(LOOKUP(2,1/(Sorgo!$E45:INDEX(Sorgo!$E45:$Z45,MIN(AX$6-$G$3,22))&lt;&gt;""),Sorgo!$E45:INDEX(Sorgo!$E45:$Z45,MIN(AX$6-$G$3,22))),0)))))</f>
        <v>0</v>
      </c>
      <c r="AY47" s="27" t="n">
        <f aca="false">IF(COUNT(Sorgo!$E45:$Z45)=0,0,MAX(0,IF((AY$6-$E$3)&lt;1,0,IFERROR(LOOKUP(2,1/(Sorgo!$E45:INDEX(Sorgo!$E45:$Z45,MIN(AY$6-$E$3,22))&lt;&gt;""),Sorgo!$E45:INDEX(Sorgo!$E45:$Z45,MIN(AY$6-$E$3,22))),0))-IF($G$2,0,IF((AY$6-$G$3)&lt;1,0,IFERROR(LOOKUP(2,1/(Sorgo!$E45:INDEX(Sorgo!$E45:$Z45,MIN(AY$6-$G$3,22))&lt;&gt;""),Sorgo!$E45:INDEX(Sorgo!$E45:$Z45,MIN(AY$6-$G$3,22))),0)))))</f>
        <v>0</v>
      </c>
      <c r="AZ47" s="27" t="n">
        <f aca="false">IF(COUNT(Sorgo!$E45:$Z45)=0,0,MAX(0,IF((AZ$6-$E$3)&lt;1,0,IFERROR(LOOKUP(2,1/(Sorgo!$E45:INDEX(Sorgo!$E45:$Z45,MIN(AZ$6-$E$3,22))&lt;&gt;""),Sorgo!$E45:INDEX(Sorgo!$E45:$Z45,MIN(AZ$6-$E$3,22))),0))-IF($G$2,0,IF((AZ$6-$G$3)&lt;1,0,IFERROR(LOOKUP(2,1/(Sorgo!$E45:INDEX(Sorgo!$E45:$Z45,MIN(AZ$6-$G$3,22))&lt;&gt;""),Sorgo!$E45:INDEX(Sorgo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IF(COUNT(Sorgo!$E46:$Z46)&gt;0,N(Sorgo!$D46),0)</f>
        <v>0</v>
      </c>
      <c r="E48" s="27" t="n">
        <f aca="false">IF(COUNT(Sorgo!$E46:$Z46)=0,0,MAX(0,IF((E$6-$E$3)&lt;1,0,IFERROR(LOOKUP(2,1/(Sorgo!$E46:INDEX(Sorgo!$E46:$Z46,MIN(E$6-$E$3,22))&lt;&gt;""),Sorgo!$E46:INDEX(Sorgo!$E46:$Z46,MIN(E$6-$E$3,22))),0))-IF($G$2,0,IF((E$6-$G$3)&lt;1,0,IFERROR(LOOKUP(2,1/(Sorgo!$E46:INDEX(Sorgo!$E46:$Z46,MIN(E$6-$G$3,22))&lt;&gt;""),Sorgo!$E46:INDEX(Sorgo!$E46:$Z46,MIN(E$6-$G$3,22))),0)))))</f>
        <v>0</v>
      </c>
      <c r="F48" s="27" t="n">
        <f aca="false">IF(COUNT(Sorgo!$E46:$Z46)=0,0,MAX(0,IF((F$6-$E$3)&lt;1,0,IFERROR(LOOKUP(2,1/(Sorgo!$E46:INDEX(Sorgo!$E46:$Z46,MIN(F$6-$E$3,22))&lt;&gt;""),Sorgo!$E46:INDEX(Sorgo!$E46:$Z46,MIN(F$6-$E$3,22))),0))-IF($G$2,0,IF((F$6-$G$3)&lt;1,0,IFERROR(LOOKUP(2,1/(Sorgo!$E46:INDEX(Sorgo!$E46:$Z46,MIN(F$6-$G$3,22))&lt;&gt;""),Sorgo!$E46:INDEX(Sorgo!$E46:$Z46,MIN(F$6-$G$3,22))),0)))))</f>
        <v>0</v>
      </c>
      <c r="G48" s="27" t="n">
        <f aca="false">IF(COUNT(Sorgo!$E46:$Z46)=0,0,MAX(0,IF((G$6-$E$3)&lt;1,0,IFERROR(LOOKUP(2,1/(Sorgo!$E46:INDEX(Sorgo!$E46:$Z46,MIN(G$6-$E$3,22))&lt;&gt;""),Sorgo!$E46:INDEX(Sorgo!$E46:$Z46,MIN(G$6-$E$3,22))),0))-IF($G$2,0,IF((G$6-$G$3)&lt;1,0,IFERROR(LOOKUP(2,1/(Sorgo!$E46:INDEX(Sorgo!$E46:$Z46,MIN(G$6-$G$3,22))&lt;&gt;""),Sorgo!$E46:INDEX(Sorgo!$E46:$Z46,MIN(G$6-$G$3,22))),0)))))</f>
        <v>0</v>
      </c>
      <c r="H48" s="27" t="n">
        <f aca="false">IF(COUNT(Sorgo!$E46:$Z46)=0,0,MAX(0,IF((H$6-$E$3)&lt;1,0,IFERROR(LOOKUP(2,1/(Sorgo!$E46:INDEX(Sorgo!$E46:$Z46,MIN(H$6-$E$3,22))&lt;&gt;""),Sorgo!$E46:INDEX(Sorgo!$E46:$Z46,MIN(H$6-$E$3,22))),0))-IF($G$2,0,IF((H$6-$G$3)&lt;1,0,IFERROR(LOOKUP(2,1/(Sorgo!$E46:INDEX(Sorgo!$E46:$Z46,MIN(H$6-$G$3,22))&lt;&gt;""),Sorgo!$E46:INDEX(Sorgo!$E46:$Z46,MIN(H$6-$G$3,22))),0)))))</f>
        <v>0</v>
      </c>
      <c r="I48" s="27" t="n">
        <f aca="false">IF(COUNT(Sorgo!$E46:$Z46)=0,0,MAX(0,IF((I$6-$E$3)&lt;1,0,IFERROR(LOOKUP(2,1/(Sorgo!$E46:INDEX(Sorgo!$E46:$Z46,MIN(I$6-$E$3,22))&lt;&gt;""),Sorgo!$E46:INDEX(Sorgo!$E46:$Z46,MIN(I$6-$E$3,22))),0))-IF($G$2,0,IF((I$6-$G$3)&lt;1,0,IFERROR(LOOKUP(2,1/(Sorgo!$E46:INDEX(Sorgo!$E46:$Z46,MIN(I$6-$G$3,22))&lt;&gt;""),Sorgo!$E46:INDEX(Sorgo!$E46:$Z46,MIN(I$6-$G$3,22))),0)))))</f>
        <v>0</v>
      </c>
      <c r="J48" s="27" t="n">
        <f aca="false">IF(COUNT(Sorgo!$E46:$Z46)=0,0,MAX(0,IF((J$6-$E$3)&lt;1,0,IFERROR(LOOKUP(2,1/(Sorgo!$E46:INDEX(Sorgo!$E46:$Z46,MIN(J$6-$E$3,22))&lt;&gt;""),Sorgo!$E46:INDEX(Sorgo!$E46:$Z46,MIN(J$6-$E$3,22))),0))-IF($G$2,0,IF((J$6-$G$3)&lt;1,0,IFERROR(LOOKUP(2,1/(Sorgo!$E46:INDEX(Sorgo!$E46:$Z46,MIN(J$6-$G$3,22))&lt;&gt;""),Sorgo!$E46:INDEX(Sorgo!$E46:$Z46,MIN(J$6-$G$3,22))),0)))))</f>
        <v>0</v>
      </c>
      <c r="K48" s="27" t="n">
        <f aca="false">IF(COUNT(Sorgo!$E46:$Z46)=0,0,MAX(0,IF((K$6-$E$3)&lt;1,0,IFERROR(LOOKUP(2,1/(Sorgo!$E46:INDEX(Sorgo!$E46:$Z46,MIN(K$6-$E$3,22))&lt;&gt;""),Sorgo!$E46:INDEX(Sorgo!$E46:$Z46,MIN(K$6-$E$3,22))),0))-IF($G$2,0,IF((K$6-$G$3)&lt;1,0,IFERROR(LOOKUP(2,1/(Sorgo!$E46:INDEX(Sorgo!$E46:$Z46,MIN(K$6-$G$3,22))&lt;&gt;""),Sorgo!$E46:INDEX(Sorgo!$E46:$Z46,MIN(K$6-$G$3,22))),0)))))</f>
        <v>0</v>
      </c>
      <c r="L48" s="27" t="n">
        <f aca="false">IF(COUNT(Sorgo!$E46:$Z46)=0,0,MAX(0,IF((L$6-$E$3)&lt;1,0,IFERROR(LOOKUP(2,1/(Sorgo!$E46:INDEX(Sorgo!$E46:$Z46,MIN(L$6-$E$3,22))&lt;&gt;""),Sorgo!$E46:INDEX(Sorgo!$E46:$Z46,MIN(L$6-$E$3,22))),0))-IF($G$2,0,IF((L$6-$G$3)&lt;1,0,IFERROR(LOOKUP(2,1/(Sorgo!$E46:INDEX(Sorgo!$E46:$Z46,MIN(L$6-$G$3,22))&lt;&gt;""),Sorgo!$E46:INDEX(Sorgo!$E46:$Z46,MIN(L$6-$G$3,22))),0)))))</f>
        <v>0</v>
      </c>
      <c r="M48" s="27" t="n">
        <f aca="false">IF(COUNT(Sorgo!$E46:$Z46)=0,0,MAX(0,IF((M$6-$E$3)&lt;1,0,IFERROR(LOOKUP(2,1/(Sorgo!$E46:INDEX(Sorgo!$E46:$Z46,MIN(M$6-$E$3,22))&lt;&gt;""),Sorgo!$E46:INDEX(Sorgo!$E46:$Z46,MIN(M$6-$E$3,22))),0))-IF($G$2,0,IF((M$6-$G$3)&lt;1,0,IFERROR(LOOKUP(2,1/(Sorgo!$E46:INDEX(Sorgo!$E46:$Z46,MIN(M$6-$G$3,22))&lt;&gt;""),Sorgo!$E46:INDEX(Sorgo!$E46:$Z46,MIN(M$6-$G$3,22))),0)))))</f>
        <v>0</v>
      </c>
      <c r="N48" s="27" t="n">
        <f aca="false">IF(COUNT(Sorgo!$E46:$Z46)=0,0,MAX(0,IF((N$6-$E$3)&lt;1,0,IFERROR(LOOKUP(2,1/(Sorgo!$E46:INDEX(Sorgo!$E46:$Z46,MIN(N$6-$E$3,22))&lt;&gt;""),Sorgo!$E46:INDEX(Sorgo!$E46:$Z46,MIN(N$6-$E$3,22))),0))-IF($G$2,0,IF((N$6-$G$3)&lt;1,0,IFERROR(LOOKUP(2,1/(Sorgo!$E46:INDEX(Sorgo!$E46:$Z46,MIN(N$6-$G$3,22))&lt;&gt;""),Sorgo!$E46:INDEX(Sorgo!$E46:$Z46,MIN(N$6-$G$3,22))),0)))))</f>
        <v>0</v>
      </c>
      <c r="O48" s="27" t="n">
        <f aca="false">IF(COUNT(Sorgo!$E46:$Z46)=0,0,MAX(0,IF((O$6-$E$3)&lt;1,0,IFERROR(LOOKUP(2,1/(Sorgo!$E46:INDEX(Sorgo!$E46:$Z46,MIN(O$6-$E$3,22))&lt;&gt;""),Sorgo!$E46:INDEX(Sorgo!$E46:$Z46,MIN(O$6-$E$3,22))),0))-IF($G$2,0,IF((O$6-$G$3)&lt;1,0,IFERROR(LOOKUP(2,1/(Sorgo!$E46:INDEX(Sorgo!$E46:$Z46,MIN(O$6-$G$3,22))&lt;&gt;""),Sorgo!$E46:INDEX(Sorgo!$E46:$Z46,MIN(O$6-$G$3,22))),0)))))</f>
        <v>0</v>
      </c>
      <c r="P48" s="27" t="n">
        <f aca="false">IF(COUNT(Sorgo!$E46:$Z46)=0,0,MAX(0,IF((P$6-$E$3)&lt;1,0,IFERROR(LOOKUP(2,1/(Sorgo!$E46:INDEX(Sorgo!$E46:$Z46,MIN(P$6-$E$3,22))&lt;&gt;""),Sorgo!$E46:INDEX(Sorgo!$E46:$Z46,MIN(P$6-$E$3,22))),0))-IF($G$2,0,IF((P$6-$G$3)&lt;1,0,IFERROR(LOOKUP(2,1/(Sorgo!$E46:INDEX(Sorgo!$E46:$Z46,MIN(P$6-$G$3,22))&lt;&gt;""),Sorgo!$E46:INDEX(Sorgo!$E46:$Z46,MIN(P$6-$G$3,22))),0)))))</f>
        <v>0</v>
      </c>
      <c r="Q48" s="27" t="n">
        <f aca="false">IF(COUNT(Sorgo!$E46:$Z46)=0,0,MAX(0,IF((Q$6-$E$3)&lt;1,0,IFERROR(LOOKUP(2,1/(Sorgo!$E46:INDEX(Sorgo!$E46:$Z46,MIN(Q$6-$E$3,22))&lt;&gt;""),Sorgo!$E46:INDEX(Sorgo!$E46:$Z46,MIN(Q$6-$E$3,22))),0))-IF($G$2,0,IF((Q$6-$G$3)&lt;1,0,IFERROR(LOOKUP(2,1/(Sorgo!$E46:INDEX(Sorgo!$E46:$Z46,MIN(Q$6-$G$3,22))&lt;&gt;""),Sorgo!$E46:INDEX(Sorgo!$E46:$Z46,MIN(Q$6-$G$3,22))),0)))))</f>
        <v>0</v>
      </c>
      <c r="R48" s="27" t="n">
        <f aca="false">IF(COUNT(Sorgo!$E46:$Z46)=0,0,MAX(0,IF((R$6-$E$3)&lt;1,0,IFERROR(LOOKUP(2,1/(Sorgo!$E46:INDEX(Sorgo!$E46:$Z46,MIN(R$6-$E$3,22))&lt;&gt;""),Sorgo!$E46:INDEX(Sorgo!$E46:$Z46,MIN(R$6-$E$3,22))),0))-IF($G$2,0,IF((R$6-$G$3)&lt;1,0,IFERROR(LOOKUP(2,1/(Sorgo!$E46:INDEX(Sorgo!$E46:$Z46,MIN(R$6-$G$3,22))&lt;&gt;""),Sorgo!$E46:INDEX(Sorgo!$E46:$Z46,MIN(R$6-$G$3,22))),0)))))</f>
        <v>0</v>
      </c>
      <c r="S48" s="27" t="n">
        <f aca="false">IF(COUNT(Sorgo!$E46:$Z46)=0,0,MAX(0,IF((S$6-$E$3)&lt;1,0,IFERROR(LOOKUP(2,1/(Sorgo!$E46:INDEX(Sorgo!$E46:$Z46,MIN(S$6-$E$3,22))&lt;&gt;""),Sorgo!$E46:INDEX(Sorgo!$E46:$Z46,MIN(S$6-$E$3,22))),0))-IF($G$2,0,IF((S$6-$G$3)&lt;1,0,IFERROR(LOOKUP(2,1/(Sorgo!$E46:INDEX(Sorgo!$E46:$Z46,MIN(S$6-$G$3,22))&lt;&gt;""),Sorgo!$E46:INDEX(Sorgo!$E46:$Z46,MIN(S$6-$G$3,22))),0)))))</f>
        <v>0</v>
      </c>
      <c r="T48" s="27" t="n">
        <f aca="false">IF(COUNT(Sorgo!$E46:$Z46)=0,0,MAX(0,IF((T$6-$E$3)&lt;1,0,IFERROR(LOOKUP(2,1/(Sorgo!$E46:INDEX(Sorgo!$E46:$Z46,MIN(T$6-$E$3,22))&lt;&gt;""),Sorgo!$E46:INDEX(Sorgo!$E46:$Z46,MIN(T$6-$E$3,22))),0))-IF($G$2,0,IF((T$6-$G$3)&lt;1,0,IFERROR(LOOKUP(2,1/(Sorgo!$E46:INDEX(Sorgo!$E46:$Z46,MIN(T$6-$G$3,22))&lt;&gt;""),Sorgo!$E46:INDEX(Sorgo!$E46:$Z46,MIN(T$6-$G$3,22))),0)))))</f>
        <v>0</v>
      </c>
      <c r="U48" s="27" t="n">
        <f aca="false">IF(COUNT(Sorgo!$E46:$Z46)=0,0,MAX(0,IF((U$6-$E$3)&lt;1,0,IFERROR(LOOKUP(2,1/(Sorgo!$E46:INDEX(Sorgo!$E46:$Z46,MIN(U$6-$E$3,22))&lt;&gt;""),Sorgo!$E46:INDEX(Sorgo!$E46:$Z46,MIN(U$6-$E$3,22))),0))-IF($G$2,0,IF((U$6-$G$3)&lt;1,0,IFERROR(LOOKUP(2,1/(Sorgo!$E46:INDEX(Sorgo!$E46:$Z46,MIN(U$6-$G$3,22))&lt;&gt;""),Sorgo!$E46:INDEX(Sorgo!$E46:$Z46,MIN(U$6-$G$3,22))),0)))))</f>
        <v>0</v>
      </c>
      <c r="V48" s="27" t="n">
        <f aca="false">IF(COUNT(Sorgo!$E46:$Z46)=0,0,MAX(0,IF((V$6-$E$3)&lt;1,0,IFERROR(LOOKUP(2,1/(Sorgo!$E46:INDEX(Sorgo!$E46:$Z46,MIN(V$6-$E$3,22))&lt;&gt;""),Sorgo!$E46:INDEX(Sorgo!$E46:$Z46,MIN(V$6-$E$3,22))),0))-IF($G$2,0,IF((V$6-$G$3)&lt;1,0,IFERROR(LOOKUP(2,1/(Sorgo!$E46:INDEX(Sorgo!$E46:$Z46,MIN(V$6-$G$3,22))&lt;&gt;""),Sorgo!$E46:INDEX(Sorgo!$E46:$Z46,MIN(V$6-$G$3,22))),0)))))</f>
        <v>0</v>
      </c>
      <c r="W48" s="27" t="n">
        <f aca="false">IF(COUNT(Sorgo!$E46:$Z46)=0,0,MAX(0,IF((W$6-$E$3)&lt;1,0,IFERROR(LOOKUP(2,1/(Sorgo!$E46:INDEX(Sorgo!$E46:$Z46,MIN(W$6-$E$3,22))&lt;&gt;""),Sorgo!$E46:INDEX(Sorgo!$E46:$Z46,MIN(W$6-$E$3,22))),0))-IF($G$2,0,IF((W$6-$G$3)&lt;1,0,IFERROR(LOOKUP(2,1/(Sorgo!$E46:INDEX(Sorgo!$E46:$Z46,MIN(W$6-$G$3,22))&lt;&gt;""),Sorgo!$E46:INDEX(Sorgo!$E46:$Z46,MIN(W$6-$G$3,22))),0)))))</f>
        <v>0</v>
      </c>
      <c r="X48" s="27" t="n">
        <f aca="false">IF(COUNT(Sorgo!$E46:$Z46)=0,0,MAX(0,IF((X$6-$E$3)&lt;1,0,IFERROR(LOOKUP(2,1/(Sorgo!$E46:INDEX(Sorgo!$E46:$Z46,MIN(X$6-$E$3,22))&lt;&gt;""),Sorgo!$E46:INDEX(Sorgo!$E46:$Z46,MIN(X$6-$E$3,22))),0))-IF($G$2,0,IF((X$6-$G$3)&lt;1,0,IFERROR(LOOKUP(2,1/(Sorgo!$E46:INDEX(Sorgo!$E46:$Z46,MIN(X$6-$G$3,22))&lt;&gt;""),Sorgo!$E46:INDEX(Sorgo!$E46:$Z46,MIN(X$6-$G$3,22))),0)))))</f>
        <v>0</v>
      </c>
      <c r="Y48" s="27" t="n">
        <f aca="false">IF(COUNT(Sorgo!$E46:$Z46)=0,0,MAX(0,IF((Y$6-$E$3)&lt;1,0,IFERROR(LOOKUP(2,1/(Sorgo!$E46:INDEX(Sorgo!$E46:$Z46,MIN(Y$6-$E$3,22))&lt;&gt;""),Sorgo!$E46:INDEX(Sorgo!$E46:$Z46,MIN(Y$6-$E$3,22))),0))-IF($G$2,0,IF((Y$6-$G$3)&lt;1,0,IFERROR(LOOKUP(2,1/(Sorgo!$E46:INDEX(Sorgo!$E46:$Z46,MIN(Y$6-$G$3,22))&lt;&gt;""),Sorgo!$E46:INDEX(Sorgo!$E46:$Z46,MIN(Y$6-$G$3,22))),0)))))</f>
        <v>0</v>
      </c>
      <c r="Z48" s="27" t="n">
        <f aca="false">IF(COUNT(Sorgo!$E46:$Z46)=0,0,MAX(0,IF((Z$6-$E$3)&lt;1,0,IFERROR(LOOKUP(2,1/(Sorgo!$E46:INDEX(Sorgo!$E46:$Z46,MIN(Z$6-$E$3,22))&lt;&gt;""),Sorgo!$E46:INDEX(Sorgo!$E46:$Z46,MIN(Z$6-$E$3,22))),0))-IF($G$2,0,IF((Z$6-$G$3)&lt;1,0,IFERROR(LOOKUP(2,1/(Sorgo!$E46:INDEX(Sorgo!$E46:$Z46,MIN(Z$6-$G$3,22))&lt;&gt;""),Sorgo!$E46:INDEX(Sorgo!$E46:$Z46,MIN(Z$6-$G$3,22))),0)))))</f>
        <v>0</v>
      </c>
      <c r="AA48" s="27" t="n">
        <f aca="false">IF(COUNT(Sorgo!$E46:$Z46)=0,0,MAX(0,IF((AA$6-$E$3)&lt;1,0,IFERROR(LOOKUP(2,1/(Sorgo!$E46:INDEX(Sorgo!$E46:$Z46,MIN(AA$6-$E$3,22))&lt;&gt;""),Sorgo!$E46:INDEX(Sorgo!$E46:$Z46,MIN(AA$6-$E$3,22))),0))-IF($G$2,0,IF((AA$6-$G$3)&lt;1,0,IFERROR(LOOKUP(2,1/(Sorgo!$E46:INDEX(Sorgo!$E46:$Z46,MIN(AA$6-$G$3,22))&lt;&gt;""),Sorgo!$E46:INDEX(Sorgo!$E46:$Z46,MIN(AA$6-$G$3,22))),0)))))</f>
        <v>0</v>
      </c>
      <c r="AB48" s="27" t="n">
        <f aca="false">IF(COUNT(Sorgo!$E46:$Z46)=0,0,MAX(0,IF((AB$6-$E$3)&lt;1,0,IFERROR(LOOKUP(2,1/(Sorgo!$E46:INDEX(Sorgo!$E46:$Z46,MIN(AB$6-$E$3,22))&lt;&gt;""),Sorgo!$E46:INDEX(Sorgo!$E46:$Z46,MIN(AB$6-$E$3,22))),0))-IF($G$2,0,IF((AB$6-$G$3)&lt;1,0,IFERROR(LOOKUP(2,1/(Sorgo!$E46:INDEX(Sorgo!$E46:$Z46,MIN(AB$6-$G$3,22))&lt;&gt;""),Sorgo!$E46:INDEX(Sorgo!$E46:$Z46,MIN(AB$6-$G$3,22))),0)))))</f>
        <v>0</v>
      </c>
      <c r="AC48" s="27" t="n">
        <f aca="false">IF(COUNT(Sorgo!$E46:$Z46)=0,0,MAX(0,IF((AC$6-$E$3)&lt;1,0,IFERROR(LOOKUP(2,1/(Sorgo!$E46:INDEX(Sorgo!$E46:$Z46,MIN(AC$6-$E$3,22))&lt;&gt;""),Sorgo!$E46:INDEX(Sorgo!$E46:$Z46,MIN(AC$6-$E$3,22))),0))-IF($G$2,0,IF((AC$6-$G$3)&lt;1,0,IFERROR(LOOKUP(2,1/(Sorgo!$E46:INDEX(Sorgo!$E46:$Z46,MIN(AC$6-$G$3,22))&lt;&gt;""),Sorgo!$E46:INDEX(Sorgo!$E46:$Z46,MIN(AC$6-$G$3,22))),0)))))</f>
        <v>0</v>
      </c>
      <c r="AD48" s="27" t="n">
        <f aca="false">IF(COUNT(Sorgo!$E46:$Z46)=0,0,MAX(0,IF((AD$6-$E$3)&lt;1,0,IFERROR(LOOKUP(2,1/(Sorgo!$E46:INDEX(Sorgo!$E46:$Z46,MIN(AD$6-$E$3,22))&lt;&gt;""),Sorgo!$E46:INDEX(Sorgo!$E46:$Z46,MIN(AD$6-$E$3,22))),0))-IF($G$2,0,IF((AD$6-$G$3)&lt;1,0,IFERROR(LOOKUP(2,1/(Sorgo!$E46:INDEX(Sorgo!$E46:$Z46,MIN(AD$6-$G$3,22))&lt;&gt;""),Sorgo!$E46:INDEX(Sorgo!$E46:$Z46,MIN(AD$6-$G$3,22))),0)))))</f>
        <v>0</v>
      </c>
      <c r="AE48" s="27" t="n">
        <f aca="false">IF(COUNT(Sorgo!$E46:$Z46)=0,0,MAX(0,IF((AE$6-$E$3)&lt;1,0,IFERROR(LOOKUP(2,1/(Sorgo!$E46:INDEX(Sorgo!$E46:$Z46,MIN(AE$6-$E$3,22))&lt;&gt;""),Sorgo!$E46:INDEX(Sorgo!$E46:$Z46,MIN(AE$6-$E$3,22))),0))-IF($G$2,0,IF((AE$6-$G$3)&lt;1,0,IFERROR(LOOKUP(2,1/(Sorgo!$E46:INDEX(Sorgo!$E46:$Z46,MIN(AE$6-$G$3,22))&lt;&gt;""),Sorgo!$E46:INDEX(Sorgo!$E46:$Z46,MIN(AE$6-$G$3,22))),0)))))</f>
        <v>0</v>
      </c>
      <c r="AF48" s="27" t="n">
        <f aca="false">IF(COUNT(Sorgo!$E46:$Z46)=0,0,MAX(0,IF((AF$6-$E$3)&lt;1,0,IFERROR(LOOKUP(2,1/(Sorgo!$E46:INDEX(Sorgo!$E46:$Z46,MIN(AF$6-$E$3,22))&lt;&gt;""),Sorgo!$E46:INDEX(Sorgo!$E46:$Z46,MIN(AF$6-$E$3,22))),0))-IF($G$2,0,IF((AF$6-$G$3)&lt;1,0,IFERROR(LOOKUP(2,1/(Sorgo!$E46:INDEX(Sorgo!$E46:$Z46,MIN(AF$6-$G$3,22))&lt;&gt;""),Sorgo!$E46:INDEX(Sorgo!$E46:$Z46,MIN(AF$6-$G$3,22))),0)))))</f>
        <v>0</v>
      </c>
      <c r="AG48" s="27" t="n">
        <f aca="false">IF(COUNT(Sorgo!$E46:$Z46)=0,0,MAX(0,IF((AG$6-$E$3)&lt;1,0,IFERROR(LOOKUP(2,1/(Sorgo!$E46:INDEX(Sorgo!$E46:$Z46,MIN(AG$6-$E$3,22))&lt;&gt;""),Sorgo!$E46:INDEX(Sorgo!$E46:$Z46,MIN(AG$6-$E$3,22))),0))-IF($G$2,0,IF((AG$6-$G$3)&lt;1,0,IFERROR(LOOKUP(2,1/(Sorgo!$E46:INDEX(Sorgo!$E46:$Z46,MIN(AG$6-$G$3,22))&lt;&gt;""),Sorgo!$E46:INDEX(Sorgo!$E46:$Z46,MIN(AG$6-$G$3,22))),0)))))</f>
        <v>0</v>
      </c>
      <c r="AH48" s="27" t="n">
        <f aca="false">IF(COUNT(Sorgo!$E46:$Z46)=0,0,MAX(0,IF((AH$6-$E$3)&lt;1,0,IFERROR(LOOKUP(2,1/(Sorgo!$E46:INDEX(Sorgo!$E46:$Z46,MIN(AH$6-$E$3,22))&lt;&gt;""),Sorgo!$E46:INDEX(Sorgo!$E46:$Z46,MIN(AH$6-$E$3,22))),0))-IF($G$2,0,IF((AH$6-$G$3)&lt;1,0,IFERROR(LOOKUP(2,1/(Sorgo!$E46:INDEX(Sorgo!$E46:$Z46,MIN(AH$6-$G$3,22))&lt;&gt;""),Sorgo!$E46:INDEX(Sorgo!$E46:$Z46,MIN(AH$6-$G$3,22))),0)))))</f>
        <v>0</v>
      </c>
      <c r="AI48" s="27" t="n">
        <f aca="false">IF(COUNT(Sorgo!$E46:$Z46)=0,0,MAX(0,IF((AI$6-$E$3)&lt;1,0,IFERROR(LOOKUP(2,1/(Sorgo!$E46:INDEX(Sorgo!$E46:$Z46,MIN(AI$6-$E$3,22))&lt;&gt;""),Sorgo!$E46:INDEX(Sorgo!$E46:$Z46,MIN(AI$6-$E$3,22))),0))-IF($G$2,0,IF((AI$6-$G$3)&lt;1,0,IFERROR(LOOKUP(2,1/(Sorgo!$E46:INDEX(Sorgo!$E46:$Z46,MIN(AI$6-$G$3,22))&lt;&gt;""),Sorgo!$E46:INDEX(Sorgo!$E46:$Z46,MIN(AI$6-$G$3,22))),0)))))</f>
        <v>0</v>
      </c>
      <c r="AJ48" s="27" t="n">
        <f aca="false">IF(COUNT(Sorgo!$E46:$Z46)=0,0,MAX(0,IF((AJ$6-$E$3)&lt;1,0,IFERROR(LOOKUP(2,1/(Sorgo!$E46:INDEX(Sorgo!$E46:$Z46,MIN(AJ$6-$E$3,22))&lt;&gt;""),Sorgo!$E46:INDEX(Sorgo!$E46:$Z46,MIN(AJ$6-$E$3,22))),0))-IF($G$2,0,IF((AJ$6-$G$3)&lt;1,0,IFERROR(LOOKUP(2,1/(Sorgo!$E46:INDEX(Sorgo!$E46:$Z46,MIN(AJ$6-$G$3,22))&lt;&gt;""),Sorgo!$E46:INDEX(Sorgo!$E46:$Z46,MIN(AJ$6-$G$3,22))),0)))))</f>
        <v>0</v>
      </c>
      <c r="AK48" s="27" t="n">
        <f aca="false">IF(COUNT(Sorgo!$E46:$Z46)=0,0,MAX(0,IF((AK$6-$E$3)&lt;1,0,IFERROR(LOOKUP(2,1/(Sorgo!$E46:INDEX(Sorgo!$E46:$Z46,MIN(AK$6-$E$3,22))&lt;&gt;""),Sorgo!$E46:INDEX(Sorgo!$E46:$Z46,MIN(AK$6-$E$3,22))),0))-IF($G$2,0,IF((AK$6-$G$3)&lt;1,0,IFERROR(LOOKUP(2,1/(Sorgo!$E46:INDEX(Sorgo!$E46:$Z46,MIN(AK$6-$G$3,22))&lt;&gt;""),Sorgo!$E46:INDEX(Sorgo!$E46:$Z46,MIN(AK$6-$G$3,22))),0)))))</f>
        <v>0</v>
      </c>
      <c r="AL48" s="27" t="n">
        <f aca="false">IF(COUNT(Sorgo!$E46:$Z46)=0,0,MAX(0,IF((AL$6-$E$3)&lt;1,0,IFERROR(LOOKUP(2,1/(Sorgo!$E46:INDEX(Sorgo!$E46:$Z46,MIN(AL$6-$E$3,22))&lt;&gt;""),Sorgo!$E46:INDEX(Sorgo!$E46:$Z46,MIN(AL$6-$E$3,22))),0))-IF($G$2,0,IF((AL$6-$G$3)&lt;1,0,IFERROR(LOOKUP(2,1/(Sorgo!$E46:INDEX(Sorgo!$E46:$Z46,MIN(AL$6-$G$3,22))&lt;&gt;""),Sorgo!$E46:INDEX(Sorgo!$E46:$Z46,MIN(AL$6-$G$3,22))),0)))))</f>
        <v>0</v>
      </c>
      <c r="AM48" s="27" t="n">
        <f aca="false">IF(COUNT(Sorgo!$E46:$Z46)=0,0,MAX(0,IF((AM$6-$E$3)&lt;1,0,IFERROR(LOOKUP(2,1/(Sorgo!$E46:INDEX(Sorgo!$E46:$Z46,MIN(AM$6-$E$3,22))&lt;&gt;""),Sorgo!$E46:INDEX(Sorgo!$E46:$Z46,MIN(AM$6-$E$3,22))),0))-IF($G$2,0,IF((AM$6-$G$3)&lt;1,0,IFERROR(LOOKUP(2,1/(Sorgo!$E46:INDEX(Sorgo!$E46:$Z46,MIN(AM$6-$G$3,22))&lt;&gt;""),Sorgo!$E46:INDEX(Sorgo!$E46:$Z46,MIN(AM$6-$G$3,22))),0)))))</f>
        <v>0</v>
      </c>
      <c r="AN48" s="27" t="n">
        <f aca="false">IF(COUNT(Sorgo!$E46:$Z46)=0,0,MAX(0,IF((AN$6-$E$3)&lt;1,0,IFERROR(LOOKUP(2,1/(Sorgo!$E46:INDEX(Sorgo!$E46:$Z46,MIN(AN$6-$E$3,22))&lt;&gt;""),Sorgo!$E46:INDEX(Sorgo!$E46:$Z46,MIN(AN$6-$E$3,22))),0))-IF($G$2,0,IF((AN$6-$G$3)&lt;1,0,IFERROR(LOOKUP(2,1/(Sorgo!$E46:INDEX(Sorgo!$E46:$Z46,MIN(AN$6-$G$3,22))&lt;&gt;""),Sorgo!$E46:INDEX(Sorgo!$E46:$Z46,MIN(AN$6-$G$3,22))),0)))))</f>
        <v>0</v>
      </c>
      <c r="AO48" s="27" t="n">
        <f aca="false">IF(COUNT(Sorgo!$E46:$Z46)=0,0,MAX(0,IF((AO$6-$E$3)&lt;1,0,IFERROR(LOOKUP(2,1/(Sorgo!$E46:INDEX(Sorgo!$E46:$Z46,MIN(AO$6-$E$3,22))&lt;&gt;""),Sorgo!$E46:INDEX(Sorgo!$E46:$Z46,MIN(AO$6-$E$3,22))),0))-IF($G$2,0,IF((AO$6-$G$3)&lt;1,0,IFERROR(LOOKUP(2,1/(Sorgo!$E46:INDEX(Sorgo!$E46:$Z46,MIN(AO$6-$G$3,22))&lt;&gt;""),Sorgo!$E46:INDEX(Sorgo!$E46:$Z46,MIN(AO$6-$G$3,22))),0)))))</f>
        <v>0</v>
      </c>
      <c r="AP48" s="27" t="n">
        <f aca="false">IF(COUNT(Sorgo!$E46:$Z46)=0,0,MAX(0,IF((AP$6-$E$3)&lt;1,0,IFERROR(LOOKUP(2,1/(Sorgo!$E46:INDEX(Sorgo!$E46:$Z46,MIN(AP$6-$E$3,22))&lt;&gt;""),Sorgo!$E46:INDEX(Sorgo!$E46:$Z46,MIN(AP$6-$E$3,22))),0))-IF($G$2,0,IF((AP$6-$G$3)&lt;1,0,IFERROR(LOOKUP(2,1/(Sorgo!$E46:INDEX(Sorgo!$E46:$Z46,MIN(AP$6-$G$3,22))&lt;&gt;""),Sorgo!$E46:INDEX(Sorgo!$E46:$Z46,MIN(AP$6-$G$3,22))),0)))))</f>
        <v>0</v>
      </c>
      <c r="AQ48" s="27" t="n">
        <f aca="false">IF(COUNT(Sorgo!$E46:$Z46)=0,0,MAX(0,IF((AQ$6-$E$3)&lt;1,0,IFERROR(LOOKUP(2,1/(Sorgo!$E46:INDEX(Sorgo!$E46:$Z46,MIN(AQ$6-$E$3,22))&lt;&gt;""),Sorgo!$E46:INDEX(Sorgo!$E46:$Z46,MIN(AQ$6-$E$3,22))),0))-IF($G$2,0,IF((AQ$6-$G$3)&lt;1,0,IFERROR(LOOKUP(2,1/(Sorgo!$E46:INDEX(Sorgo!$E46:$Z46,MIN(AQ$6-$G$3,22))&lt;&gt;""),Sorgo!$E46:INDEX(Sorgo!$E46:$Z46,MIN(AQ$6-$G$3,22))),0)))))</f>
        <v>0</v>
      </c>
      <c r="AR48" s="27" t="n">
        <f aca="false">IF(COUNT(Sorgo!$E46:$Z46)=0,0,MAX(0,IF((AR$6-$E$3)&lt;1,0,IFERROR(LOOKUP(2,1/(Sorgo!$E46:INDEX(Sorgo!$E46:$Z46,MIN(AR$6-$E$3,22))&lt;&gt;""),Sorgo!$E46:INDEX(Sorgo!$E46:$Z46,MIN(AR$6-$E$3,22))),0))-IF($G$2,0,IF((AR$6-$G$3)&lt;1,0,IFERROR(LOOKUP(2,1/(Sorgo!$E46:INDEX(Sorgo!$E46:$Z46,MIN(AR$6-$G$3,22))&lt;&gt;""),Sorgo!$E46:INDEX(Sorgo!$E46:$Z46,MIN(AR$6-$G$3,22))),0)))))</f>
        <v>0</v>
      </c>
      <c r="AS48" s="27" t="n">
        <f aca="false">IF(COUNT(Sorgo!$E46:$Z46)=0,0,MAX(0,IF((AS$6-$E$3)&lt;1,0,IFERROR(LOOKUP(2,1/(Sorgo!$E46:INDEX(Sorgo!$E46:$Z46,MIN(AS$6-$E$3,22))&lt;&gt;""),Sorgo!$E46:INDEX(Sorgo!$E46:$Z46,MIN(AS$6-$E$3,22))),0))-IF($G$2,0,IF((AS$6-$G$3)&lt;1,0,IFERROR(LOOKUP(2,1/(Sorgo!$E46:INDEX(Sorgo!$E46:$Z46,MIN(AS$6-$G$3,22))&lt;&gt;""),Sorgo!$E46:INDEX(Sorgo!$E46:$Z46,MIN(AS$6-$G$3,22))),0)))))</f>
        <v>0</v>
      </c>
      <c r="AT48" s="27" t="n">
        <f aca="false">IF(COUNT(Sorgo!$E46:$Z46)=0,0,MAX(0,IF((AT$6-$E$3)&lt;1,0,IFERROR(LOOKUP(2,1/(Sorgo!$E46:INDEX(Sorgo!$E46:$Z46,MIN(AT$6-$E$3,22))&lt;&gt;""),Sorgo!$E46:INDEX(Sorgo!$E46:$Z46,MIN(AT$6-$E$3,22))),0))-IF($G$2,0,IF((AT$6-$G$3)&lt;1,0,IFERROR(LOOKUP(2,1/(Sorgo!$E46:INDEX(Sorgo!$E46:$Z46,MIN(AT$6-$G$3,22))&lt;&gt;""),Sorgo!$E46:INDEX(Sorgo!$E46:$Z46,MIN(AT$6-$G$3,22))),0)))))</f>
        <v>0</v>
      </c>
      <c r="AU48" s="27" t="n">
        <f aca="false">IF(COUNT(Sorgo!$E46:$Z46)=0,0,MAX(0,IF((AU$6-$E$3)&lt;1,0,IFERROR(LOOKUP(2,1/(Sorgo!$E46:INDEX(Sorgo!$E46:$Z46,MIN(AU$6-$E$3,22))&lt;&gt;""),Sorgo!$E46:INDEX(Sorgo!$E46:$Z46,MIN(AU$6-$E$3,22))),0))-IF($G$2,0,IF((AU$6-$G$3)&lt;1,0,IFERROR(LOOKUP(2,1/(Sorgo!$E46:INDEX(Sorgo!$E46:$Z46,MIN(AU$6-$G$3,22))&lt;&gt;""),Sorgo!$E46:INDEX(Sorgo!$E46:$Z46,MIN(AU$6-$G$3,22))),0)))))</f>
        <v>0</v>
      </c>
      <c r="AV48" s="27" t="n">
        <f aca="false">IF(COUNT(Sorgo!$E46:$Z46)=0,0,MAX(0,IF((AV$6-$E$3)&lt;1,0,IFERROR(LOOKUP(2,1/(Sorgo!$E46:INDEX(Sorgo!$E46:$Z46,MIN(AV$6-$E$3,22))&lt;&gt;""),Sorgo!$E46:INDEX(Sorgo!$E46:$Z46,MIN(AV$6-$E$3,22))),0))-IF($G$2,0,IF((AV$6-$G$3)&lt;1,0,IFERROR(LOOKUP(2,1/(Sorgo!$E46:INDEX(Sorgo!$E46:$Z46,MIN(AV$6-$G$3,22))&lt;&gt;""),Sorgo!$E46:INDEX(Sorgo!$E46:$Z46,MIN(AV$6-$G$3,22))),0)))))</f>
        <v>0</v>
      </c>
      <c r="AW48" s="27" t="n">
        <f aca="false">IF(COUNT(Sorgo!$E46:$Z46)=0,0,MAX(0,IF((AW$6-$E$3)&lt;1,0,IFERROR(LOOKUP(2,1/(Sorgo!$E46:INDEX(Sorgo!$E46:$Z46,MIN(AW$6-$E$3,22))&lt;&gt;""),Sorgo!$E46:INDEX(Sorgo!$E46:$Z46,MIN(AW$6-$E$3,22))),0))-IF($G$2,0,IF((AW$6-$G$3)&lt;1,0,IFERROR(LOOKUP(2,1/(Sorgo!$E46:INDEX(Sorgo!$E46:$Z46,MIN(AW$6-$G$3,22))&lt;&gt;""),Sorgo!$E46:INDEX(Sorgo!$E46:$Z46,MIN(AW$6-$G$3,22))),0)))))</f>
        <v>0</v>
      </c>
      <c r="AX48" s="27" t="n">
        <f aca="false">IF(COUNT(Sorgo!$E46:$Z46)=0,0,MAX(0,IF((AX$6-$E$3)&lt;1,0,IFERROR(LOOKUP(2,1/(Sorgo!$E46:INDEX(Sorgo!$E46:$Z46,MIN(AX$6-$E$3,22))&lt;&gt;""),Sorgo!$E46:INDEX(Sorgo!$E46:$Z46,MIN(AX$6-$E$3,22))),0))-IF($G$2,0,IF((AX$6-$G$3)&lt;1,0,IFERROR(LOOKUP(2,1/(Sorgo!$E46:INDEX(Sorgo!$E46:$Z46,MIN(AX$6-$G$3,22))&lt;&gt;""),Sorgo!$E46:INDEX(Sorgo!$E46:$Z46,MIN(AX$6-$G$3,22))),0)))))</f>
        <v>0</v>
      </c>
      <c r="AY48" s="27" t="n">
        <f aca="false">IF(COUNT(Sorgo!$E46:$Z46)=0,0,MAX(0,IF((AY$6-$E$3)&lt;1,0,IFERROR(LOOKUP(2,1/(Sorgo!$E46:INDEX(Sorgo!$E46:$Z46,MIN(AY$6-$E$3,22))&lt;&gt;""),Sorgo!$E46:INDEX(Sorgo!$E46:$Z46,MIN(AY$6-$E$3,22))),0))-IF($G$2,0,IF((AY$6-$G$3)&lt;1,0,IFERROR(LOOKUP(2,1/(Sorgo!$E46:INDEX(Sorgo!$E46:$Z46,MIN(AY$6-$G$3,22))&lt;&gt;""),Sorgo!$E46:INDEX(Sorgo!$E46:$Z46,MIN(AY$6-$G$3,22))),0)))))</f>
        <v>0</v>
      </c>
      <c r="AZ48" s="27" t="n">
        <f aca="false">IF(COUNT(Sorgo!$E46:$Z46)=0,0,MAX(0,IF((AZ$6-$E$3)&lt;1,0,IFERROR(LOOKUP(2,1/(Sorgo!$E46:INDEX(Sorgo!$E46:$Z46,MIN(AZ$6-$E$3,22))&lt;&gt;""),Sorgo!$E46:INDEX(Sorgo!$E46:$Z46,MIN(AZ$6-$E$3,22))),0))-IF($G$2,0,IF((AZ$6-$G$3)&lt;1,0,IFERROR(LOOKUP(2,1/(Sorgo!$E46:INDEX(Sorgo!$E46:$Z46,MIN(AZ$6-$G$3,22))&lt;&gt;""),Sorgo!$E46:INDEX(Sorgo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IF(COUNT(Sorgo!$E47:$Z47)&gt;0,N(Sorgo!$D47),0)</f>
        <v>0</v>
      </c>
      <c r="E49" s="27" t="n">
        <f aca="false">IF(COUNT(Sorgo!$E47:$Z47)=0,0,MAX(0,IF((E$6-$E$3)&lt;1,0,IFERROR(LOOKUP(2,1/(Sorgo!$E47:INDEX(Sorgo!$E47:$Z47,MIN(E$6-$E$3,22))&lt;&gt;""),Sorgo!$E47:INDEX(Sorgo!$E47:$Z47,MIN(E$6-$E$3,22))),0))-IF($G$2,0,IF((E$6-$G$3)&lt;1,0,IFERROR(LOOKUP(2,1/(Sorgo!$E47:INDEX(Sorgo!$E47:$Z47,MIN(E$6-$G$3,22))&lt;&gt;""),Sorgo!$E47:INDEX(Sorgo!$E47:$Z47,MIN(E$6-$G$3,22))),0)))))</f>
        <v>0</v>
      </c>
      <c r="F49" s="27" t="n">
        <f aca="false">IF(COUNT(Sorgo!$E47:$Z47)=0,0,MAX(0,IF((F$6-$E$3)&lt;1,0,IFERROR(LOOKUP(2,1/(Sorgo!$E47:INDEX(Sorgo!$E47:$Z47,MIN(F$6-$E$3,22))&lt;&gt;""),Sorgo!$E47:INDEX(Sorgo!$E47:$Z47,MIN(F$6-$E$3,22))),0))-IF($G$2,0,IF((F$6-$G$3)&lt;1,0,IFERROR(LOOKUP(2,1/(Sorgo!$E47:INDEX(Sorgo!$E47:$Z47,MIN(F$6-$G$3,22))&lt;&gt;""),Sorgo!$E47:INDEX(Sorgo!$E47:$Z47,MIN(F$6-$G$3,22))),0)))))</f>
        <v>0</v>
      </c>
      <c r="G49" s="27" t="n">
        <f aca="false">IF(COUNT(Sorgo!$E47:$Z47)=0,0,MAX(0,IF((G$6-$E$3)&lt;1,0,IFERROR(LOOKUP(2,1/(Sorgo!$E47:INDEX(Sorgo!$E47:$Z47,MIN(G$6-$E$3,22))&lt;&gt;""),Sorgo!$E47:INDEX(Sorgo!$E47:$Z47,MIN(G$6-$E$3,22))),0))-IF($G$2,0,IF((G$6-$G$3)&lt;1,0,IFERROR(LOOKUP(2,1/(Sorgo!$E47:INDEX(Sorgo!$E47:$Z47,MIN(G$6-$G$3,22))&lt;&gt;""),Sorgo!$E47:INDEX(Sorgo!$E47:$Z47,MIN(G$6-$G$3,22))),0)))))</f>
        <v>0</v>
      </c>
      <c r="H49" s="27" t="n">
        <f aca="false">IF(COUNT(Sorgo!$E47:$Z47)=0,0,MAX(0,IF((H$6-$E$3)&lt;1,0,IFERROR(LOOKUP(2,1/(Sorgo!$E47:INDEX(Sorgo!$E47:$Z47,MIN(H$6-$E$3,22))&lt;&gt;""),Sorgo!$E47:INDEX(Sorgo!$E47:$Z47,MIN(H$6-$E$3,22))),0))-IF($G$2,0,IF((H$6-$G$3)&lt;1,0,IFERROR(LOOKUP(2,1/(Sorgo!$E47:INDEX(Sorgo!$E47:$Z47,MIN(H$6-$G$3,22))&lt;&gt;""),Sorgo!$E47:INDEX(Sorgo!$E47:$Z47,MIN(H$6-$G$3,22))),0)))))</f>
        <v>0</v>
      </c>
      <c r="I49" s="27" t="n">
        <f aca="false">IF(COUNT(Sorgo!$E47:$Z47)=0,0,MAX(0,IF((I$6-$E$3)&lt;1,0,IFERROR(LOOKUP(2,1/(Sorgo!$E47:INDEX(Sorgo!$E47:$Z47,MIN(I$6-$E$3,22))&lt;&gt;""),Sorgo!$E47:INDEX(Sorgo!$E47:$Z47,MIN(I$6-$E$3,22))),0))-IF($G$2,0,IF((I$6-$G$3)&lt;1,0,IFERROR(LOOKUP(2,1/(Sorgo!$E47:INDEX(Sorgo!$E47:$Z47,MIN(I$6-$G$3,22))&lt;&gt;""),Sorgo!$E47:INDEX(Sorgo!$E47:$Z47,MIN(I$6-$G$3,22))),0)))))</f>
        <v>0</v>
      </c>
      <c r="J49" s="27" t="n">
        <f aca="false">IF(COUNT(Sorgo!$E47:$Z47)=0,0,MAX(0,IF((J$6-$E$3)&lt;1,0,IFERROR(LOOKUP(2,1/(Sorgo!$E47:INDEX(Sorgo!$E47:$Z47,MIN(J$6-$E$3,22))&lt;&gt;""),Sorgo!$E47:INDEX(Sorgo!$E47:$Z47,MIN(J$6-$E$3,22))),0))-IF($G$2,0,IF((J$6-$G$3)&lt;1,0,IFERROR(LOOKUP(2,1/(Sorgo!$E47:INDEX(Sorgo!$E47:$Z47,MIN(J$6-$G$3,22))&lt;&gt;""),Sorgo!$E47:INDEX(Sorgo!$E47:$Z47,MIN(J$6-$G$3,22))),0)))))</f>
        <v>0</v>
      </c>
      <c r="K49" s="27" t="n">
        <f aca="false">IF(COUNT(Sorgo!$E47:$Z47)=0,0,MAX(0,IF((K$6-$E$3)&lt;1,0,IFERROR(LOOKUP(2,1/(Sorgo!$E47:INDEX(Sorgo!$E47:$Z47,MIN(K$6-$E$3,22))&lt;&gt;""),Sorgo!$E47:INDEX(Sorgo!$E47:$Z47,MIN(K$6-$E$3,22))),0))-IF($G$2,0,IF((K$6-$G$3)&lt;1,0,IFERROR(LOOKUP(2,1/(Sorgo!$E47:INDEX(Sorgo!$E47:$Z47,MIN(K$6-$G$3,22))&lt;&gt;""),Sorgo!$E47:INDEX(Sorgo!$E47:$Z47,MIN(K$6-$G$3,22))),0)))))</f>
        <v>0</v>
      </c>
      <c r="L49" s="27" t="n">
        <f aca="false">IF(COUNT(Sorgo!$E47:$Z47)=0,0,MAX(0,IF((L$6-$E$3)&lt;1,0,IFERROR(LOOKUP(2,1/(Sorgo!$E47:INDEX(Sorgo!$E47:$Z47,MIN(L$6-$E$3,22))&lt;&gt;""),Sorgo!$E47:INDEX(Sorgo!$E47:$Z47,MIN(L$6-$E$3,22))),0))-IF($G$2,0,IF((L$6-$G$3)&lt;1,0,IFERROR(LOOKUP(2,1/(Sorgo!$E47:INDEX(Sorgo!$E47:$Z47,MIN(L$6-$G$3,22))&lt;&gt;""),Sorgo!$E47:INDEX(Sorgo!$E47:$Z47,MIN(L$6-$G$3,22))),0)))))</f>
        <v>0</v>
      </c>
      <c r="M49" s="27" t="n">
        <f aca="false">IF(COUNT(Sorgo!$E47:$Z47)=0,0,MAX(0,IF((M$6-$E$3)&lt;1,0,IFERROR(LOOKUP(2,1/(Sorgo!$E47:INDEX(Sorgo!$E47:$Z47,MIN(M$6-$E$3,22))&lt;&gt;""),Sorgo!$E47:INDEX(Sorgo!$E47:$Z47,MIN(M$6-$E$3,22))),0))-IF($G$2,0,IF((M$6-$G$3)&lt;1,0,IFERROR(LOOKUP(2,1/(Sorgo!$E47:INDEX(Sorgo!$E47:$Z47,MIN(M$6-$G$3,22))&lt;&gt;""),Sorgo!$E47:INDEX(Sorgo!$E47:$Z47,MIN(M$6-$G$3,22))),0)))))</f>
        <v>0</v>
      </c>
      <c r="N49" s="27" t="n">
        <f aca="false">IF(COUNT(Sorgo!$E47:$Z47)=0,0,MAX(0,IF((N$6-$E$3)&lt;1,0,IFERROR(LOOKUP(2,1/(Sorgo!$E47:INDEX(Sorgo!$E47:$Z47,MIN(N$6-$E$3,22))&lt;&gt;""),Sorgo!$E47:INDEX(Sorgo!$E47:$Z47,MIN(N$6-$E$3,22))),0))-IF($G$2,0,IF((N$6-$G$3)&lt;1,0,IFERROR(LOOKUP(2,1/(Sorgo!$E47:INDEX(Sorgo!$E47:$Z47,MIN(N$6-$G$3,22))&lt;&gt;""),Sorgo!$E47:INDEX(Sorgo!$E47:$Z47,MIN(N$6-$G$3,22))),0)))))</f>
        <v>0</v>
      </c>
      <c r="O49" s="27" t="n">
        <f aca="false">IF(COUNT(Sorgo!$E47:$Z47)=0,0,MAX(0,IF((O$6-$E$3)&lt;1,0,IFERROR(LOOKUP(2,1/(Sorgo!$E47:INDEX(Sorgo!$E47:$Z47,MIN(O$6-$E$3,22))&lt;&gt;""),Sorgo!$E47:INDEX(Sorgo!$E47:$Z47,MIN(O$6-$E$3,22))),0))-IF($G$2,0,IF((O$6-$G$3)&lt;1,0,IFERROR(LOOKUP(2,1/(Sorgo!$E47:INDEX(Sorgo!$E47:$Z47,MIN(O$6-$G$3,22))&lt;&gt;""),Sorgo!$E47:INDEX(Sorgo!$E47:$Z47,MIN(O$6-$G$3,22))),0)))))</f>
        <v>0</v>
      </c>
      <c r="P49" s="27" t="n">
        <f aca="false">IF(COUNT(Sorgo!$E47:$Z47)=0,0,MAX(0,IF((P$6-$E$3)&lt;1,0,IFERROR(LOOKUP(2,1/(Sorgo!$E47:INDEX(Sorgo!$E47:$Z47,MIN(P$6-$E$3,22))&lt;&gt;""),Sorgo!$E47:INDEX(Sorgo!$E47:$Z47,MIN(P$6-$E$3,22))),0))-IF($G$2,0,IF((P$6-$G$3)&lt;1,0,IFERROR(LOOKUP(2,1/(Sorgo!$E47:INDEX(Sorgo!$E47:$Z47,MIN(P$6-$G$3,22))&lt;&gt;""),Sorgo!$E47:INDEX(Sorgo!$E47:$Z47,MIN(P$6-$G$3,22))),0)))))</f>
        <v>0</v>
      </c>
      <c r="Q49" s="27" t="n">
        <f aca="false">IF(COUNT(Sorgo!$E47:$Z47)=0,0,MAX(0,IF((Q$6-$E$3)&lt;1,0,IFERROR(LOOKUP(2,1/(Sorgo!$E47:INDEX(Sorgo!$E47:$Z47,MIN(Q$6-$E$3,22))&lt;&gt;""),Sorgo!$E47:INDEX(Sorgo!$E47:$Z47,MIN(Q$6-$E$3,22))),0))-IF($G$2,0,IF((Q$6-$G$3)&lt;1,0,IFERROR(LOOKUP(2,1/(Sorgo!$E47:INDEX(Sorgo!$E47:$Z47,MIN(Q$6-$G$3,22))&lt;&gt;""),Sorgo!$E47:INDEX(Sorgo!$E47:$Z47,MIN(Q$6-$G$3,22))),0)))))</f>
        <v>0</v>
      </c>
      <c r="R49" s="27" t="n">
        <f aca="false">IF(COUNT(Sorgo!$E47:$Z47)=0,0,MAX(0,IF((R$6-$E$3)&lt;1,0,IFERROR(LOOKUP(2,1/(Sorgo!$E47:INDEX(Sorgo!$E47:$Z47,MIN(R$6-$E$3,22))&lt;&gt;""),Sorgo!$E47:INDEX(Sorgo!$E47:$Z47,MIN(R$6-$E$3,22))),0))-IF($G$2,0,IF((R$6-$G$3)&lt;1,0,IFERROR(LOOKUP(2,1/(Sorgo!$E47:INDEX(Sorgo!$E47:$Z47,MIN(R$6-$G$3,22))&lt;&gt;""),Sorgo!$E47:INDEX(Sorgo!$E47:$Z47,MIN(R$6-$G$3,22))),0)))))</f>
        <v>0</v>
      </c>
      <c r="S49" s="27" t="n">
        <f aca="false">IF(COUNT(Sorgo!$E47:$Z47)=0,0,MAX(0,IF((S$6-$E$3)&lt;1,0,IFERROR(LOOKUP(2,1/(Sorgo!$E47:INDEX(Sorgo!$E47:$Z47,MIN(S$6-$E$3,22))&lt;&gt;""),Sorgo!$E47:INDEX(Sorgo!$E47:$Z47,MIN(S$6-$E$3,22))),0))-IF($G$2,0,IF((S$6-$G$3)&lt;1,0,IFERROR(LOOKUP(2,1/(Sorgo!$E47:INDEX(Sorgo!$E47:$Z47,MIN(S$6-$G$3,22))&lt;&gt;""),Sorgo!$E47:INDEX(Sorgo!$E47:$Z47,MIN(S$6-$G$3,22))),0)))))</f>
        <v>0</v>
      </c>
      <c r="T49" s="27" t="n">
        <f aca="false">IF(COUNT(Sorgo!$E47:$Z47)=0,0,MAX(0,IF((T$6-$E$3)&lt;1,0,IFERROR(LOOKUP(2,1/(Sorgo!$E47:INDEX(Sorgo!$E47:$Z47,MIN(T$6-$E$3,22))&lt;&gt;""),Sorgo!$E47:INDEX(Sorgo!$E47:$Z47,MIN(T$6-$E$3,22))),0))-IF($G$2,0,IF((T$6-$G$3)&lt;1,0,IFERROR(LOOKUP(2,1/(Sorgo!$E47:INDEX(Sorgo!$E47:$Z47,MIN(T$6-$G$3,22))&lt;&gt;""),Sorgo!$E47:INDEX(Sorgo!$E47:$Z47,MIN(T$6-$G$3,22))),0)))))</f>
        <v>0</v>
      </c>
      <c r="U49" s="27" t="n">
        <f aca="false">IF(COUNT(Sorgo!$E47:$Z47)=0,0,MAX(0,IF((U$6-$E$3)&lt;1,0,IFERROR(LOOKUP(2,1/(Sorgo!$E47:INDEX(Sorgo!$E47:$Z47,MIN(U$6-$E$3,22))&lt;&gt;""),Sorgo!$E47:INDEX(Sorgo!$E47:$Z47,MIN(U$6-$E$3,22))),0))-IF($G$2,0,IF((U$6-$G$3)&lt;1,0,IFERROR(LOOKUP(2,1/(Sorgo!$E47:INDEX(Sorgo!$E47:$Z47,MIN(U$6-$G$3,22))&lt;&gt;""),Sorgo!$E47:INDEX(Sorgo!$E47:$Z47,MIN(U$6-$G$3,22))),0)))))</f>
        <v>0</v>
      </c>
      <c r="V49" s="27" t="n">
        <f aca="false">IF(COUNT(Sorgo!$E47:$Z47)=0,0,MAX(0,IF((V$6-$E$3)&lt;1,0,IFERROR(LOOKUP(2,1/(Sorgo!$E47:INDEX(Sorgo!$E47:$Z47,MIN(V$6-$E$3,22))&lt;&gt;""),Sorgo!$E47:INDEX(Sorgo!$E47:$Z47,MIN(V$6-$E$3,22))),0))-IF($G$2,0,IF((V$6-$G$3)&lt;1,0,IFERROR(LOOKUP(2,1/(Sorgo!$E47:INDEX(Sorgo!$E47:$Z47,MIN(V$6-$G$3,22))&lt;&gt;""),Sorgo!$E47:INDEX(Sorgo!$E47:$Z47,MIN(V$6-$G$3,22))),0)))))</f>
        <v>0</v>
      </c>
      <c r="W49" s="27" t="n">
        <f aca="false">IF(COUNT(Sorgo!$E47:$Z47)=0,0,MAX(0,IF((W$6-$E$3)&lt;1,0,IFERROR(LOOKUP(2,1/(Sorgo!$E47:INDEX(Sorgo!$E47:$Z47,MIN(W$6-$E$3,22))&lt;&gt;""),Sorgo!$E47:INDEX(Sorgo!$E47:$Z47,MIN(W$6-$E$3,22))),0))-IF($G$2,0,IF((W$6-$G$3)&lt;1,0,IFERROR(LOOKUP(2,1/(Sorgo!$E47:INDEX(Sorgo!$E47:$Z47,MIN(W$6-$G$3,22))&lt;&gt;""),Sorgo!$E47:INDEX(Sorgo!$E47:$Z47,MIN(W$6-$G$3,22))),0)))))</f>
        <v>0</v>
      </c>
      <c r="X49" s="27" t="n">
        <f aca="false">IF(COUNT(Sorgo!$E47:$Z47)=0,0,MAX(0,IF((X$6-$E$3)&lt;1,0,IFERROR(LOOKUP(2,1/(Sorgo!$E47:INDEX(Sorgo!$E47:$Z47,MIN(X$6-$E$3,22))&lt;&gt;""),Sorgo!$E47:INDEX(Sorgo!$E47:$Z47,MIN(X$6-$E$3,22))),0))-IF($G$2,0,IF((X$6-$G$3)&lt;1,0,IFERROR(LOOKUP(2,1/(Sorgo!$E47:INDEX(Sorgo!$E47:$Z47,MIN(X$6-$G$3,22))&lt;&gt;""),Sorgo!$E47:INDEX(Sorgo!$E47:$Z47,MIN(X$6-$G$3,22))),0)))))</f>
        <v>0</v>
      </c>
      <c r="Y49" s="27" t="n">
        <f aca="false">IF(COUNT(Sorgo!$E47:$Z47)=0,0,MAX(0,IF((Y$6-$E$3)&lt;1,0,IFERROR(LOOKUP(2,1/(Sorgo!$E47:INDEX(Sorgo!$E47:$Z47,MIN(Y$6-$E$3,22))&lt;&gt;""),Sorgo!$E47:INDEX(Sorgo!$E47:$Z47,MIN(Y$6-$E$3,22))),0))-IF($G$2,0,IF((Y$6-$G$3)&lt;1,0,IFERROR(LOOKUP(2,1/(Sorgo!$E47:INDEX(Sorgo!$E47:$Z47,MIN(Y$6-$G$3,22))&lt;&gt;""),Sorgo!$E47:INDEX(Sorgo!$E47:$Z47,MIN(Y$6-$G$3,22))),0)))))</f>
        <v>0</v>
      </c>
      <c r="Z49" s="27" t="n">
        <f aca="false">IF(COUNT(Sorgo!$E47:$Z47)=0,0,MAX(0,IF((Z$6-$E$3)&lt;1,0,IFERROR(LOOKUP(2,1/(Sorgo!$E47:INDEX(Sorgo!$E47:$Z47,MIN(Z$6-$E$3,22))&lt;&gt;""),Sorgo!$E47:INDEX(Sorgo!$E47:$Z47,MIN(Z$6-$E$3,22))),0))-IF($G$2,0,IF((Z$6-$G$3)&lt;1,0,IFERROR(LOOKUP(2,1/(Sorgo!$E47:INDEX(Sorgo!$E47:$Z47,MIN(Z$6-$G$3,22))&lt;&gt;""),Sorgo!$E47:INDEX(Sorgo!$E47:$Z47,MIN(Z$6-$G$3,22))),0)))))</f>
        <v>0</v>
      </c>
      <c r="AA49" s="27" t="n">
        <f aca="false">IF(COUNT(Sorgo!$E47:$Z47)=0,0,MAX(0,IF((AA$6-$E$3)&lt;1,0,IFERROR(LOOKUP(2,1/(Sorgo!$E47:INDEX(Sorgo!$E47:$Z47,MIN(AA$6-$E$3,22))&lt;&gt;""),Sorgo!$E47:INDEX(Sorgo!$E47:$Z47,MIN(AA$6-$E$3,22))),0))-IF($G$2,0,IF((AA$6-$G$3)&lt;1,0,IFERROR(LOOKUP(2,1/(Sorgo!$E47:INDEX(Sorgo!$E47:$Z47,MIN(AA$6-$G$3,22))&lt;&gt;""),Sorgo!$E47:INDEX(Sorgo!$E47:$Z47,MIN(AA$6-$G$3,22))),0)))))</f>
        <v>0</v>
      </c>
      <c r="AB49" s="27" t="n">
        <f aca="false">IF(COUNT(Sorgo!$E47:$Z47)=0,0,MAX(0,IF((AB$6-$E$3)&lt;1,0,IFERROR(LOOKUP(2,1/(Sorgo!$E47:INDEX(Sorgo!$E47:$Z47,MIN(AB$6-$E$3,22))&lt;&gt;""),Sorgo!$E47:INDEX(Sorgo!$E47:$Z47,MIN(AB$6-$E$3,22))),0))-IF($G$2,0,IF((AB$6-$G$3)&lt;1,0,IFERROR(LOOKUP(2,1/(Sorgo!$E47:INDEX(Sorgo!$E47:$Z47,MIN(AB$6-$G$3,22))&lt;&gt;""),Sorgo!$E47:INDEX(Sorgo!$E47:$Z47,MIN(AB$6-$G$3,22))),0)))))</f>
        <v>0</v>
      </c>
      <c r="AC49" s="27" t="n">
        <f aca="false">IF(COUNT(Sorgo!$E47:$Z47)=0,0,MAX(0,IF((AC$6-$E$3)&lt;1,0,IFERROR(LOOKUP(2,1/(Sorgo!$E47:INDEX(Sorgo!$E47:$Z47,MIN(AC$6-$E$3,22))&lt;&gt;""),Sorgo!$E47:INDEX(Sorgo!$E47:$Z47,MIN(AC$6-$E$3,22))),0))-IF($G$2,0,IF((AC$6-$G$3)&lt;1,0,IFERROR(LOOKUP(2,1/(Sorgo!$E47:INDEX(Sorgo!$E47:$Z47,MIN(AC$6-$G$3,22))&lt;&gt;""),Sorgo!$E47:INDEX(Sorgo!$E47:$Z47,MIN(AC$6-$G$3,22))),0)))))</f>
        <v>0</v>
      </c>
      <c r="AD49" s="27" t="n">
        <f aca="false">IF(COUNT(Sorgo!$E47:$Z47)=0,0,MAX(0,IF((AD$6-$E$3)&lt;1,0,IFERROR(LOOKUP(2,1/(Sorgo!$E47:INDEX(Sorgo!$E47:$Z47,MIN(AD$6-$E$3,22))&lt;&gt;""),Sorgo!$E47:INDEX(Sorgo!$E47:$Z47,MIN(AD$6-$E$3,22))),0))-IF($G$2,0,IF((AD$6-$G$3)&lt;1,0,IFERROR(LOOKUP(2,1/(Sorgo!$E47:INDEX(Sorgo!$E47:$Z47,MIN(AD$6-$G$3,22))&lt;&gt;""),Sorgo!$E47:INDEX(Sorgo!$E47:$Z47,MIN(AD$6-$G$3,22))),0)))))</f>
        <v>0</v>
      </c>
      <c r="AE49" s="27" t="n">
        <f aca="false">IF(COUNT(Sorgo!$E47:$Z47)=0,0,MAX(0,IF((AE$6-$E$3)&lt;1,0,IFERROR(LOOKUP(2,1/(Sorgo!$E47:INDEX(Sorgo!$E47:$Z47,MIN(AE$6-$E$3,22))&lt;&gt;""),Sorgo!$E47:INDEX(Sorgo!$E47:$Z47,MIN(AE$6-$E$3,22))),0))-IF($G$2,0,IF((AE$6-$G$3)&lt;1,0,IFERROR(LOOKUP(2,1/(Sorgo!$E47:INDEX(Sorgo!$E47:$Z47,MIN(AE$6-$G$3,22))&lt;&gt;""),Sorgo!$E47:INDEX(Sorgo!$E47:$Z47,MIN(AE$6-$G$3,22))),0)))))</f>
        <v>0</v>
      </c>
      <c r="AF49" s="27" t="n">
        <f aca="false">IF(COUNT(Sorgo!$E47:$Z47)=0,0,MAX(0,IF((AF$6-$E$3)&lt;1,0,IFERROR(LOOKUP(2,1/(Sorgo!$E47:INDEX(Sorgo!$E47:$Z47,MIN(AF$6-$E$3,22))&lt;&gt;""),Sorgo!$E47:INDEX(Sorgo!$E47:$Z47,MIN(AF$6-$E$3,22))),0))-IF($G$2,0,IF((AF$6-$G$3)&lt;1,0,IFERROR(LOOKUP(2,1/(Sorgo!$E47:INDEX(Sorgo!$E47:$Z47,MIN(AF$6-$G$3,22))&lt;&gt;""),Sorgo!$E47:INDEX(Sorgo!$E47:$Z47,MIN(AF$6-$G$3,22))),0)))))</f>
        <v>0</v>
      </c>
      <c r="AG49" s="27" t="n">
        <f aca="false">IF(COUNT(Sorgo!$E47:$Z47)=0,0,MAX(0,IF((AG$6-$E$3)&lt;1,0,IFERROR(LOOKUP(2,1/(Sorgo!$E47:INDEX(Sorgo!$E47:$Z47,MIN(AG$6-$E$3,22))&lt;&gt;""),Sorgo!$E47:INDEX(Sorgo!$E47:$Z47,MIN(AG$6-$E$3,22))),0))-IF($G$2,0,IF((AG$6-$G$3)&lt;1,0,IFERROR(LOOKUP(2,1/(Sorgo!$E47:INDEX(Sorgo!$E47:$Z47,MIN(AG$6-$G$3,22))&lt;&gt;""),Sorgo!$E47:INDEX(Sorgo!$E47:$Z47,MIN(AG$6-$G$3,22))),0)))))</f>
        <v>0</v>
      </c>
      <c r="AH49" s="27" t="n">
        <f aca="false">IF(COUNT(Sorgo!$E47:$Z47)=0,0,MAX(0,IF((AH$6-$E$3)&lt;1,0,IFERROR(LOOKUP(2,1/(Sorgo!$E47:INDEX(Sorgo!$E47:$Z47,MIN(AH$6-$E$3,22))&lt;&gt;""),Sorgo!$E47:INDEX(Sorgo!$E47:$Z47,MIN(AH$6-$E$3,22))),0))-IF($G$2,0,IF((AH$6-$G$3)&lt;1,0,IFERROR(LOOKUP(2,1/(Sorgo!$E47:INDEX(Sorgo!$E47:$Z47,MIN(AH$6-$G$3,22))&lt;&gt;""),Sorgo!$E47:INDEX(Sorgo!$E47:$Z47,MIN(AH$6-$G$3,22))),0)))))</f>
        <v>0</v>
      </c>
      <c r="AI49" s="27" t="n">
        <f aca="false">IF(COUNT(Sorgo!$E47:$Z47)=0,0,MAX(0,IF((AI$6-$E$3)&lt;1,0,IFERROR(LOOKUP(2,1/(Sorgo!$E47:INDEX(Sorgo!$E47:$Z47,MIN(AI$6-$E$3,22))&lt;&gt;""),Sorgo!$E47:INDEX(Sorgo!$E47:$Z47,MIN(AI$6-$E$3,22))),0))-IF($G$2,0,IF((AI$6-$G$3)&lt;1,0,IFERROR(LOOKUP(2,1/(Sorgo!$E47:INDEX(Sorgo!$E47:$Z47,MIN(AI$6-$G$3,22))&lt;&gt;""),Sorgo!$E47:INDEX(Sorgo!$E47:$Z47,MIN(AI$6-$G$3,22))),0)))))</f>
        <v>0</v>
      </c>
      <c r="AJ49" s="27" t="n">
        <f aca="false">IF(COUNT(Sorgo!$E47:$Z47)=0,0,MAX(0,IF((AJ$6-$E$3)&lt;1,0,IFERROR(LOOKUP(2,1/(Sorgo!$E47:INDEX(Sorgo!$E47:$Z47,MIN(AJ$6-$E$3,22))&lt;&gt;""),Sorgo!$E47:INDEX(Sorgo!$E47:$Z47,MIN(AJ$6-$E$3,22))),0))-IF($G$2,0,IF((AJ$6-$G$3)&lt;1,0,IFERROR(LOOKUP(2,1/(Sorgo!$E47:INDEX(Sorgo!$E47:$Z47,MIN(AJ$6-$G$3,22))&lt;&gt;""),Sorgo!$E47:INDEX(Sorgo!$E47:$Z47,MIN(AJ$6-$G$3,22))),0)))))</f>
        <v>0</v>
      </c>
      <c r="AK49" s="27" t="n">
        <f aca="false">IF(COUNT(Sorgo!$E47:$Z47)=0,0,MAX(0,IF((AK$6-$E$3)&lt;1,0,IFERROR(LOOKUP(2,1/(Sorgo!$E47:INDEX(Sorgo!$E47:$Z47,MIN(AK$6-$E$3,22))&lt;&gt;""),Sorgo!$E47:INDEX(Sorgo!$E47:$Z47,MIN(AK$6-$E$3,22))),0))-IF($G$2,0,IF((AK$6-$G$3)&lt;1,0,IFERROR(LOOKUP(2,1/(Sorgo!$E47:INDEX(Sorgo!$E47:$Z47,MIN(AK$6-$G$3,22))&lt;&gt;""),Sorgo!$E47:INDEX(Sorgo!$E47:$Z47,MIN(AK$6-$G$3,22))),0)))))</f>
        <v>0</v>
      </c>
      <c r="AL49" s="27" t="n">
        <f aca="false">IF(COUNT(Sorgo!$E47:$Z47)=0,0,MAX(0,IF((AL$6-$E$3)&lt;1,0,IFERROR(LOOKUP(2,1/(Sorgo!$E47:INDEX(Sorgo!$E47:$Z47,MIN(AL$6-$E$3,22))&lt;&gt;""),Sorgo!$E47:INDEX(Sorgo!$E47:$Z47,MIN(AL$6-$E$3,22))),0))-IF($G$2,0,IF((AL$6-$G$3)&lt;1,0,IFERROR(LOOKUP(2,1/(Sorgo!$E47:INDEX(Sorgo!$E47:$Z47,MIN(AL$6-$G$3,22))&lt;&gt;""),Sorgo!$E47:INDEX(Sorgo!$E47:$Z47,MIN(AL$6-$G$3,22))),0)))))</f>
        <v>0</v>
      </c>
      <c r="AM49" s="27" t="n">
        <f aca="false">IF(COUNT(Sorgo!$E47:$Z47)=0,0,MAX(0,IF((AM$6-$E$3)&lt;1,0,IFERROR(LOOKUP(2,1/(Sorgo!$E47:INDEX(Sorgo!$E47:$Z47,MIN(AM$6-$E$3,22))&lt;&gt;""),Sorgo!$E47:INDEX(Sorgo!$E47:$Z47,MIN(AM$6-$E$3,22))),0))-IF($G$2,0,IF((AM$6-$G$3)&lt;1,0,IFERROR(LOOKUP(2,1/(Sorgo!$E47:INDEX(Sorgo!$E47:$Z47,MIN(AM$6-$G$3,22))&lt;&gt;""),Sorgo!$E47:INDEX(Sorgo!$E47:$Z47,MIN(AM$6-$G$3,22))),0)))))</f>
        <v>0</v>
      </c>
      <c r="AN49" s="27" t="n">
        <f aca="false">IF(COUNT(Sorgo!$E47:$Z47)=0,0,MAX(0,IF((AN$6-$E$3)&lt;1,0,IFERROR(LOOKUP(2,1/(Sorgo!$E47:INDEX(Sorgo!$E47:$Z47,MIN(AN$6-$E$3,22))&lt;&gt;""),Sorgo!$E47:INDEX(Sorgo!$E47:$Z47,MIN(AN$6-$E$3,22))),0))-IF($G$2,0,IF((AN$6-$G$3)&lt;1,0,IFERROR(LOOKUP(2,1/(Sorgo!$E47:INDEX(Sorgo!$E47:$Z47,MIN(AN$6-$G$3,22))&lt;&gt;""),Sorgo!$E47:INDEX(Sorgo!$E47:$Z47,MIN(AN$6-$G$3,22))),0)))))</f>
        <v>0</v>
      </c>
      <c r="AO49" s="27" t="n">
        <f aca="false">IF(COUNT(Sorgo!$E47:$Z47)=0,0,MAX(0,IF((AO$6-$E$3)&lt;1,0,IFERROR(LOOKUP(2,1/(Sorgo!$E47:INDEX(Sorgo!$E47:$Z47,MIN(AO$6-$E$3,22))&lt;&gt;""),Sorgo!$E47:INDEX(Sorgo!$E47:$Z47,MIN(AO$6-$E$3,22))),0))-IF($G$2,0,IF((AO$6-$G$3)&lt;1,0,IFERROR(LOOKUP(2,1/(Sorgo!$E47:INDEX(Sorgo!$E47:$Z47,MIN(AO$6-$G$3,22))&lt;&gt;""),Sorgo!$E47:INDEX(Sorgo!$E47:$Z47,MIN(AO$6-$G$3,22))),0)))))</f>
        <v>0</v>
      </c>
      <c r="AP49" s="27" t="n">
        <f aca="false">IF(COUNT(Sorgo!$E47:$Z47)=0,0,MAX(0,IF((AP$6-$E$3)&lt;1,0,IFERROR(LOOKUP(2,1/(Sorgo!$E47:INDEX(Sorgo!$E47:$Z47,MIN(AP$6-$E$3,22))&lt;&gt;""),Sorgo!$E47:INDEX(Sorgo!$E47:$Z47,MIN(AP$6-$E$3,22))),0))-IF($G$2,0,IF((AP$6-$G$3)&lt;1,0,IFERROR(LOOKUP(2,1/(Sorgo!$E47:INDEX(Sorgo!$E47:$Z47,MIN(AP$6-$G$3,22))&lt;&gt;""),Sorgo!$E47:INDEX(Sorgo!$E47:$Z47,MIN(AP$6-$G$3,22))),0)))))</f>
        <v>0</v>
      </c>
      <c r="AQ49" s="27" t="n">
        <f aca="false">IF(COUNT(Sorgo!$E47:$Z47)=0,0,MAX(0,IF((AQ$6-$E$3)&lt;1,0,IFERROR(LOOKUP(2,1/(Sorgo!$E47:INDEX(Sorgo!$E47:$Z47,MIN(AQ$6-$E$3,22))&lt;&gt;""),Sorgo!$E47:INDEX(Sorgo!$E47:$Z47,MIN(AQ$6-$E$3,22))),0))-IF($G$2,0,IF((AQ$6-$G$3)&lt;1,0,IFERROR(LOOKUP(2,1/(Sorgo!$E47:INDEX(Sorgo!$E47:$Z47,MIN(AQ$6-$G$3,22))&lt;&gt;""),Sorgo!$E47:INDEX(Sorgo!$E47:$Z47,MIN(AQ$6-$G$3,22))),0)))))</f>
        <v>0</v>
      </c>
      <c r="AR49" s="27" t="n">
        <f aca="false">IF(COUNT(Sorgo!$E47:$Z47)=0,0,MAX(0,IF((AR$6-$E$3)&lt;1,0,IFERROR(LOOKUP(2,1/(Sorgo!$E47:INDEX(Sorgo!$E47:$Z47,MIN(AR$6-$E$3,22))&lt;&gt;""),Sorgo!$E47:INDEX(Sorgo!$E47:$Z47,MIN(AR$6-$E$3,22))),0))-IF($G$2,0,IF((AR$6-$G$3)&lt;1,0,IFERROR(LOOKUP(2,1/(Sorgo!$E47:INDEX(Sorgo!$E47:$Z47,MIN(AR$6-$G$3,22))&lt;&gt;""),Sorgo!$E47:INDEX(Sorgo!$E47:$Z47,MIN(AR$6-$G$3,22))),0)))))</f>
        <v>0</v>
      </c>
      <c r="AS49" s="27" t="n">
        <f aca="false">IF(COUNT(Sorgo!$E47:$Z47)=0,0,MAX(0,IF((AS$6-$E$3)&lt;1,0,IFERROR(LOOKUP(2,1/(Sorgo!$E47:INDEX(Sorgo!$E47:$Z47,MIN(AS$6-$E$3,22))&lt;&gt;""),Sorgo!$E47:INDEX(Sorgo!$E47:$Z47,MIN(AS$6-$E$3,22))),0))-IF($G$2,0,IF((AS$6-$G$3)&lt;1,0,IFERROR(LOOKUP(2,1/(Sorgo!$E47:INDEX(Sorgo!$E47:$Z47,MIN(AS$6-$G$3,22))&lt;&gt;""),Sorgo!$E47:INDEX(Sorgo!$E47:$Z47,MIN(AS$6-$G$3,22))),0)))))</f>
        <v>0</v>
      </c>
      <c r="AT49" s="27" t="n">
        <f aca="false">IF(COUNT(Sorgo!$E47:$Z47)=0,0,MAX(0,IF((AT$6-$E$3)&lt;1,0,IFERROR(LOOKUP(2,1/(Sorgo!$E47:INDEX(Sorgo!$E47:$Z47,MIN(AT$6-$E$3,22))&lt;&gt;""),Sorgo!$E47:INDEX(Sorgo!$E47:$Z47,MIN(AT$6-$E$3,22))),0))-IF($G$2,0,IF((AT$6-$G$3)&lt;1,0,IFERROR(LOOKUP(2,1/(Sorgo!$E47:INDEX(Sorgo!$E47:$Z47,MIN(AT$6-$G$3,22))&lt;&gt;""),Sorgo!$E47:INDEX(Sorgo!$E47:$Z47,MIN(AT$6-$G$3,22))),0)))))</f>
        <v>0</v>
      </c>
      <c r="AU49" s="27" t="n">
        <f aca="false">IF(COUNT(Sorgo!$E47:$Z47)=0,0,MAX(0,IF((AU$6-$E$3)&lt;1,0,IFERROR(LOOKUP(2,1/(Sorgo!$E47:INDEX(Sorgo!$E47:$Z47,MIN(AU$6-$E$3,22))&lt;&gt;""),Sorgo!$E47:INDEX(Sorgo!$E47:$Z47,MIN(AU$6-$E$3,22))),0))-IF($G$2,0,IF((AU$6-$G$3)&lt;1,0,IFERROR(LOOKUP(2,1/(Sorgo!$E47:INDEX(Sorgo!$E47:$Z47,MIN(AU$6-$G$3,22))&lt;&gt;""),Sorgo!$E47:INDEX(Sorgo!$E47:$Z47,MIN(AU$6-$G$3,22))),0)))))</f>
        <v>0</v>
      </c>
      <c r="AV49" s="27" t="n">
        <f aca="false">IF(COUNT(Sorgo!$E47:$Z47)=0,0,MAX(0,IF((AV$6-$E$3)&lt;1,0,IFERROR(LOOKUP(2,1/(Sorgo!$E47:INDEX(Sorgo!$E47:$Z47,MIN(AV$6-$E$3,22))&lt;&gt;""),Sorgo!$E47:INDEX(Sorgo!$E47:$Z47,MIN(AV$6-$E$3,22))),0))-IF($G$2,0,IF((AV$6-$G$3)&lt;1,0,IFERROR(LOOKUP(2,1/(Sorgo!$E47:INDEX(Sorgo!$E47:$Z47,MIN(AV$6-$G$3,22))&lt;&gt;""),Sorgo!$E47:INDEX(Sorgo!$E47:$Z47,MIN(AV$6-$G$3,22))),0)))))</f>
        <v>0</v>
      </c>
      <c r="AW49" s="27" t="n">
        <f aca="false">IF(COUNT(Sorgo!$E47:$Z47)=0,0,MAX(0,IF((AW$6-$E$3)&lt;1,0,IFERROR(LOOKUP(2,1/(Sorgo!$E47:INDEX(Sorgo!$E47:$Z47,MIN(AW$6-$E$3,22))&lt;&gt;""),Sorgo!$E47:INDEX(Sorgo!$E47:$Z47,MIN(AW$6-$E$3,22))),0))-IF($G$2,0,IF((AW$6-$G$3)&lt;1,0,IFERROR(LOOKUP(2,1/(Sorgo!$E47:INDEX(Sorgo!$E47:$Z47,MIN(AW$6-$G$3,22))&lt;&gt;""),Sorgo!$E47:INDEX(Sorgo!$E47:$Z47,MIN(AW$6-$G$3,22))),0)))))</f>
        <v>0</v>
      </c>
      <c r="AX49" s="27" t="n">
        <f aca="false">IF(COUNT(Sorgo!$E47:$Z47)=0,0,MAX(0,IF((AX$6-$E$3)&lt;1,0,IFERROR(LOOKUP(2,1/(Sorgo!$E47:INDEX(Sorgo!$E47:$Z47,MIN(AX$6-$E$3,22))&lt;&gt;""),Sorgo!$E47:INDEX(Sorgo!$E47:$Z47,MIN(AX$6-$E$3,22))),0))-IF($G$2,0,IF((AX$6-$G$3)&lt;1,0,IFERROR(LOOKUP(2,1/(Sorgo!$E47:INDEX(Sorgo!$E47:$Z47,MIN(AX$6-$G$3,22))&lt;&gt;""),Sorgo!$E47:INDEX(Sorgo!$E47:$Z47,MIN(AX$6-$G$3,22))),0)))))</f>
        <v>0</v>
      </c>
      <c r="AY49" s="27" t="n">
        <f aca="false">IF(COUNT(Sorgo!$E47:$Z47)=0,0,MAX(0,IF((AY$6-$E$3)&lt;1,0,IFERROR(LOOKUP(2,1/(Sorgo!$E47:INDEX(Sorgo!$E47:$Z47,MIN(AY$6-$E$3,22))&lt;&gt;""),Sorgo!$E47:INDEX(Sorgo!$E47:$Z47,MIN(AY$6-$E$3,22))),0))-IF($G$2,0,IF((AY$6-$G$3)&lt;1,0,IFERROR(LOOKUP(2,1/(Sorgo!$E47:INDEX(Sorgo!$E47:$Z47,MIN(AY$6-$G$3,22))&lt;&gt;""),Sorgo!$E47:INDEX(Sorgo!$E47:$Z47,MIN(AY$6-$G$3,22))),0)))))</f>
        <v>0</v>
      </c>
      <c r="AZ49" s="27" t="n">
        <f aca="false">IF(COUNT(Sorgo!$E47:$Z47)=0,0,MAX(0,IF((AZ$6-$E$3)&lt;1,0,IFERROR(LOOKUP(2,1/(Sorgo!$E47:INDEX(Sorgo!$E47:$Z47,MIN(AZ$6-$E$3,22))&lt;&gt;""),Sorgo!$E47:INDEX(Sorgo!$E47:$Z47,MIN(AZ$6-$E$3,22))),0))-IF($G$2,0,IF((AZ$6-$G$3)&lt;1,0,IFERROR(LOOKUP(2,1/(Sorgo!$E47:INDEX(Sorgo!$E47:$Z47,MIN(AZ$6-$G$3,22))&lt;&gt;""),Sorgo!$E47:INDEX(Sorgo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IF(COUNT(Sorgo!$E48:$Z48)&gt;0,N(Sorgo!$D48),0)</f>
        <v>0</v>
      </c>
      <c r="E50" s="27" t="n">
        <f aca="false">IF(COUNT(Sorgo!$E48:$Z48)=0,0,MAX(0,IF((E$6-$E$3)&lt;1,0,IFERROR(LOOKUP(2,1/(Sorgo!$E48:INDEX(Sorgo!$E48:$Z48,MIN(E$6-$E$3,22))&lt;&gt;""),Sorgo!$E48:INDEX(Sorgo!$E48:$Z48,MIN(E$6-$E$3,22))),0))-IF($G$2,0,IF((E$6-$G$3)&lt;1,0,IFERROR(LOOKUP(2,1/(Sorgo!$E48:INDEX(Sorgo!$E48:$Z48,MIN(E$6-$G$3,22))&lt;&gt;""),Sorgo!$E48:INDEX(Sorgo!$E48:$Z48,MIN(E$6-$G$3,22))),0)))))</f>
        <v>0</v>
      </c>
      <c r="F50" s="27" t="n">
        <f aca="false">IF(COUNT(Sorgo!$E48:$Z48)=0,0,MAX(0,IF((F$6-$E$3)&lt;1,0,IFERROR(LOOKUP(2,1/(Sorgo!$E48:INDEX(Sorgo!$E48:$Z48,MIN(F$6-$E$3,22))&lt;&gt;""),Sorgo!$E48:INDEX(Sorgo!$E48:$Z48,MIN(F$6-$E$3,22))),0))-IF($G$2,0,IF((F$6-$G$3)&lt;1,0,IFERROR(LOOKUP(2,1/(Sorgo!$E48:INDEX(Sorgo!$E48:$Z48,MIN(F$6-$G$3,22))&lt;&gt;""),Sorgo!$E48:INDEX(Sorgo!$E48:$Z48,MIN(F$6-$G$3,22))),0)))))</f>
        <v>0</v>
      </c>
      <c r="G50" s="27" t="n">
        <f aca="false">IF(COUNT(Sorgo!$E48:$Z48)=0,0,MAX(0,IF((G$6-$E$3)&lt;1,0,IFERROR(LOOKUP(2,1/(Sorgo!$E48:INDEX(Sorgo!$E48:$Z48,MIN(G$6-$E$3,22))&lt;&gt;""),Sorgo!$E48:INDEX(Sorgo!$E48:$Z48,MIN(G$6-$E$3,22))),0))-IF($G$2,0,IF((G$6-$G$3)&lt;1,0,IFERROR(LOOKUP(2,1/(Sorgo!$E48:INDEX(Sorgo!$E48:$Z48,MIN(G$6-$G$3,22))&lt;&gt;""),Sorgo!$E48:INDEX(Sorgo!$E48:$Z48,MIN(G$6-$G$3,22))),0)))))</f>
        <v>0</v>
      </c>
      <c r="H50" s="27" t="n">
        <f aca="false">IF(COUNT(Sorgo!$E48:$Z48)=0,0,MAX(0,IF((H$6-$E$3)&lt;1,0,IFERROR(LOOKUP(2,1/(Sorgo!$E48:INDEX(Sorgo!$E48:$Z48,MIN(H$6-$E$3,22))&lt;&gt;""),Sorgo!$E48:INDEX(Sorgo!$E48:$Z48,MIN(H$6-$E$3,22))),0))-IF($G$2,0,IF((H$6-$G$3)&lt;1,0,IFERROR(LOOKUP(2,1/(Sorgo!$E48:INDEX(Sorgo!$E48:$Z48,MIN(H$6-$G$3,22))&lt;&gt;""),Sorgo!$E48:INDEX(Sorgo!$E48:$Z48,MIN(H$6-$G$3,22))),0)))))</f>
        <v>0</v>
      </c>
      <c r="I50" s="27" t="n">
        <f aca="false">IF(COUNT(Sorgo!$E48:$Z48)=0,0,MAX(0,IF((I$6-$E$3)&lt;1,0,IFERROR(LOOKUP(2,1/(Sorgo!$E48:INDEX(Sorgo!$E48:$Z48,MIN(I$6-$E$3,22))&lt;&gt;""),Sorgo!$E48:INDEX(Sorgo!$E48:$Z48,MIN(I$6-$E$3,22))),0))-IF($G$2,0,IF((I$6-$G$3)&lt;1,0,IFERROR(LOOKUP(2,1/(Sorgo!$E48:INDEX(Sorgo!$E48:$Z48,MIN(I$6-$G$3,22))&lt;&gt;""),Sorgo!$E48:INDEX(Sorgo!$E48:$Z48,MIN(I$6-$G$3,22))),0)))))</f>
        <v>0</v>
      </c>
      <c r="J50" s="27" t="n">
        <f aca="false">IF(COUNT(Sorgo!$E48:$Z48)=0,0,MAX(0,IF((J$6-$E$3)&lt;1,0,IFERROR(LOOKUP(2,1/(Sorgo!$E48:INDEX(Sorgo!$E48:$Z48,MIN(J$6-$E$3,22))&lt;&gt;""),Sorgo!$E48:INDEX(Sorgo!$E48:$Z48,MIN(J$6-$E$3,22))),0))-IF($G$2,0,IF((J$6-$G$3)&lt;1,0,IFERROR(LOOKUP(2,1/(Sorgo!$E48:INDEX(Sorgo!$E48:$Z48,MIN(J$6-$G$3,22))&lt;&gt;""),Sorgo!$E48:INDEX(Sorgo!$E48:$Z48,MIN(J$6-$G$3,22))),0)))))</f>
        <v>0</v>
      </c>
      <c r="K50" s="27" t="n">
        <f aca="false">IF(COUNT(Sorgo!$E48:$Z48)=0,0,MAX(0,IF((K$6-$E$3)&lt;1,0,IFERROR(LOOKUP(2,1/(Sorgo!$E48:INDEX(Sorgo!$E48:$Z48,MIN(K$6-$E$3,22))&lt;&gt;""),Sorgo!$E48:INDEX(Sorgo!$E48:$Z48,MIN(K$6-$E$3,22))),0))-IF($G$2,0,IF((K$6-$G$3)&lt;1,0,IFERROR(LOOKUP(2,1/(Sorgo!$E48:INDEX(Sorgo!$E48:$Z48,MIN(K$6-$G$3,22))&lt;&gt;""),Sorgo!$E48:INDEX(Sorgo!$E48:$Z48,MIN(K$6-$G$3,22))),0)))))</f>
        <v>0</v>
      </c>
      <c r="L50" s="27" t="n">
        <f aca="false">IF(COUNT(Sorgo!$E48:$Z48)=0,0,MAX(0,IF((L$6-$E$3)&lt;1,0,IFERROR(LOOKUP(2,1/(Sorgo!$E48:INDEX(Sorgo!$E48:$Z48,MIN(L$6-$E$3,22))&lt;&gt;""),Sorgo!$E48:INDEX(Sorgo!$E48:$Z48,MIN(L$6-$E$3,22))),0))-IF($G$2,0,IF((L$6-$G$3)&lt;1,0,IFERROR(LOOKUP(2,1/(Sorgo!$E48:INDEX(Sorgo!$E48:$Z48,MIN(L$6-$G$3,22))&lt;&gt;""),Sorgo!$E48:INDEX(Sorgo!$E48:$Z48,MIN(L$6-$G$3,22))),0)))))</f>
        <v>0</v>
      </c>
      <c r="M50" s="27" t="n">
        <f aca="false">IF(COUNT(Sorgo!$E48:$Z48)=0,0,MAX(0,IF((M$6-$E$3)&lt;1,0,IFERROR(LOOKUP(2,1/(Sorgo!$E48:INDEX(Sorgo!$E48:$Z48,MIN(M$6-$E$3,22))&lt;&gt;""),Sorgo!$E48:INDEX(Sorgo!$E48:$Z48,MIN(M$6-$E$3,22))),0))-IF($G$2,0,IF((M$6-$G$3)&lt;1,0,IFERROR(LOOKUP(2,1/(Sorgo!$E48:INDEX(Sorgo!$E48:$Z48,MIN(M$6-$G$3,22))&lt;&gt;""),Sorgo!$E48:INDEX(Sorgo!$E48:$Z48,MIN(M$6-$G$3,22))),0)))))</f>
        <v>0</v>
      </c>
      <c r="N50" s="27" t="n">
        <f aca="false">IF(COUNT(Sorgo!$E48:$Z48)=0,0,MAX(0,IF((N$6-$E$3)&lt;1,0,IFERROR(LOOKUP(2,1/(Sorgo!$E48:INDEX(Sorgo!$E48:$Z48,MIN(N$6-$E$3,22))&lt;&gt;""),Sorgo!$E48:INDEX(Sorgo!$E48:$Z48,MIN(N$6-$E$3,22))),0))-IF($G$2,0,IF((N$6-$G$3)&lt;1,0,IFERROR(LOOKUP(2,1/(Sorgo!$E48:INDEX(Sorgo!$E48:$Z48,MIN(N$6-$G$3,22))&lt;&gt;""),Sorgo!$E48:INDEX(Sorgo!$E48:$Z48,MIN(N$6-$G$3,22))),0)))))</f>
        <v>0</v>
      </c>
      <c r="O50" s="27" t="n">
        <f aca="false">IF(COUNT(Sorgo!$E48:$Z48)=0,0,MAX(0,IF((O$6-$E$3)&lt;1,0,IFERROR(LOOKUP(2,1/(Sorgo!$E48:INDEX(Sorgo!$E48:$Z48,MIN(O$6-$E$3,22))&lt;&gt;""),Sorgo!$E48:INDEX(Sorgo!$E48:$Z48,MIN(O$6-$E$3,22))),0))-IF($G$2,0,IF((O$6-$G$3)&lt;1,0,IFERROR(LOOKUP(2,1/(Sorgo!$E48:INDEX(Sorgo!$E48:$Z48,MIN(O$6-$G$3,22))&lt;&gt;""),Sorgo!$E48:INDEX(Sorgo!$E48:$Z48,MIN(O$6-$G$3,22))),0)))))</f>
        <v>0</v>
      </c>
      <c r="P50" s="27" t="n">
        <f aca="false">IF(COUNT(Sorgo!$E48:$Z48)=0,0,MAX(0,IF((P$6-$E$3)&lt;1,0,IFERROR(LOOKUP(2,1/(Sorgo!$E48:INDEX(Sorgo!$E48:$Z48,MIN(P$6-$E$3,22))&lt;&gt;""),Sorgo!$E48:INDEX(Sorgo!$E48:$Z48,MIN(P$6-$E$3,22))),0))-IF($G$2,0,IF((P$6-$G$3)&lt;1,0,IFERROR(LOOKUP(2,1/(Sorgo!$E48:INDEX(Sorgo!$E48:$Z48,MIN(P$6-$G$3,22))&lt;&gt;""),Sorgo!$E48:INDEX(Sorgo!$E48:$Z48,MIN(P$6-$G$3,22))),0)))))</f>
        <v>0</v>
      </c>
      <c r="Q50" s="27" t="n">
        <f aca="false">IF(COUNT(Sorgo!$E48:$Z48)=0,0,MAX(0,IF((Q$6-$E$3)&lt;1,0,IFERROR(LOOKUP(2,1/(Sorgo!$E48:INDEX(Sorgo!$E48:$Z48,MIN(Q$6-$E$3,22))&lt;&gt;""),Sorgo!$E48:INDEX(Sorgo!$E48:$Z48,MIN(Q$6-$E$3,22))),0))-IF($G$2,0,IF((Q$6-$G$3)&lt;1,0,IFERROR(LOOKUP(2,1/(Sorgo!$E48:INDEX(Sorgo!$E48:$Z48,MIN(Q$6-$G$3,22))&lt;&gt;""),Sorgo!$E48:INDEX(Sorgo!$E48:$Z48,MIN(Q$6-$G$3,22))),0)))))</f>
        <v>0</v>
      </c>
      <c r="R50" s="27" t="n">
        <f aca="false">IF(COUNT(Sorgo!$E48:$Z48)=0,0,MAX(0,IF((R$6-$E$3)&lt;1,0,IFERROR(LOOKUP(2,1/(Sorgo!$E48:INDEX(Sorgo!$E48:$Z48,MIN(R$6-$E$3,22))&lt;&gt;""),Sorgo!$E48:INDEX(Sorgo!$E48:$Z48,MIN(R$6-$E$3,22))),0))-IF($G$2,0,IF((R$6-$G$3)&lt;1,0,IFERROR(LOOKUP(2,1/(Sorgo!$E48:INDEX(Sorgo!$E48:$Z48,MIN(R$6-$G$3,22))&lt;&gt;""),Sorgo!$E48:INDEX(Sorgo!$E48:$Z48,MIN(R$6-$G$3,22))),0)))))</f>
        <v>0</v>
      </c>
      <c r="S50" s="27" t="n">
        <f aca="false">IF(COUNT(Sorgo!$E48:$Z48)=0,0,MAX(0,IF((S$6-$E$3)&lt;1,0,IFERROR(LOOKUP(2,1/(Sorgo!$E48:INDEX(Sorgo!$E48:$Z48,MIN(S$6-$E$3,22))&lt;&gt;""),Sorgo!$E48:INDEX(Sorgo!$E48:$Z48,MIN(S$6-$E$3,22))),0))-IF($G$2,0,IF((S$6-$G$3)&lt;1,0,IFERROR(LOOKUP(2,1/(Sorgo!$E48:INDEX(Sorgo!$E48:$Z48,MIN(S$6-$G$3,22))&lt;&gt;""),Sorgo!$E48:INDEX(Sorgo!$E48:$Z48,MIN(S$6-$G$3,22))),0)))))</f>
        <v>0</v>
      </c>
      <c r="T50" s="27" t="n">
        <f aca="false">IF(COUNT(Sorgo!$E48:$Z48)=0,0,MAX(0,IF((T$6-$E$3)&lt;1,0,IFERROR(LOOKUP(2,1/(Sorgo!$E48:INDEX(Sorgo!$E48:$Z48,MIN(T$6-$E$3,22))&lt;&gt;""),Sorgo!$E48:INDEX(Sorgo!$E48:$Z48,MIN(T$6-$E$3,22))),0))-IF($G$2,0,IF((T$6-$G$3)&lt;1,0,IFERROR(LOOKUP(2,1/(Sorgo!$E48:INDEX(Sorgo!$E48:$Z48,MIN(T$6-$G$3,22))&lt;&gt;""),Sorgo!$E48:INDEX(Sorgo!$E48:$Z48,MIN(T$6-$G$3,22))),0)))))</f>
        <v>0</v>
      </c>
      <c r="U50" s="27" t="n">
        <f aca="false">IF(COUNT(Sorgo!$E48:$Z48)=0,0,MAX(0,IF((U$6-$E$3)&lt;1,0,IFERROR(LOOKUP(2,1/(Sorgo!$E48:INDEX(Sorgo!$E48:$Z48,MIN(U$6-$E$3,22))&lt;&gt;""),Sorgo!$E48:INDEX(Sorgo!$E48:$Z48,MIN(U$6-$E$3,22))),0))-IF($G$2,0,IF((U$6-$G$3)&lt;1,0,IFERROR(LOOKUP(2,1/(Sorgo!$E48:INDEX(Sorgo!$E48:$Z48,MIN(U$6-$G$3,22))&lt;&gt;""),Sorgo!$E48:INDEX(Sorgo!$E48:$Z48,MIN(U$6-$G$3,22))),0)))))</f>
        <v>0</v>
      </c>
      <c r="V50" s="27" t="n">
        <f aca="false">IF(COUNT(Sorgo!$E48:$Z48)=0,0,MAX(0,IF((V$6-$E$3)&lt;1,0,IFERROR(LOOKUP(2,1/(Sorgo!$E48:INDEX(Sorgo!$E48:$Z48,MIN(V$6-$E$3,22))&lt;&gt;""),Sorgo!$E48:INDEX(Sorgo!$E48:$Z48,MIN(V$6-$E$3,22))),0))-IF($G$2,0,IF((V$6-$G$3)&lt;1,0,IFERROR(LOOKUP(2,1/(Sorgo!$E48:INDEX(Sorgo!$E48:$Z48,MIN(V$6-$G$3,22))&lt;&gt;""),Sorgo!$E48:INDEX(Sorgo!$E48:$Z48,MIN(V$6-$G$3,22))),0)))))</f>
        <v>0</v>
      </c>
      <c r="W50" s="27" t="n">
        <f aca="false">IF(COUNT(Sorgo!$E48:$Z48)=0,0,MAX(0,IF((W$6-$E$3)&lt;1,0,IFERROR(LOOKUP(2,1/(Sorgo!$E48:INDEX(Sorgo!$E48:$Z48,MIN(W$6-$E$3,22))&lt;&gt;""),Sorgo!$E48:INDEX(Sorgo!$E48:$Z48,MIN(W$6-$E$3,22))),0))-IF($G$2,0,IF((W$6-$G$3)&lt;1,0,IFERROR(LOOKUP(2,1/(Sorgo!$E48:INDEX(Sorgo!$E48:$Z48,MIN(W$6-$G$3,22))&lt;&gt;""),Sorgo!$E48:INDEX(Sorgo!$E48:$Z48,MIN(W$6-$G$3,22))),0)))))</f>
        <v>0</v>
      </c>
      <c r="X50" s="27" t="n">
        <f aca="false">IF(COUNT(Sorgo!$E48:$Z48)=0,0,MAX(0,IF((X$6-$E$3)&lt;1,0,IFERROR(LOOKUP(2,1/(Sorgo!$E48:INDEX(Sorgo!$E48:$Z48,MIN(X$6-$E$3,22))&lt;&gt;""),Sorgo!$E48:INDEX(Sorgo!$E48:$Z48,MIN(X$6-$E$3,22))),0))-IF($G$2,0,IF((X$6-$G$3)&lt;1,0,IFERROR(LOOKUP(2,1/(Sorgo!$E48:INDEX(Sorgo!$E48:$Z48,MIN(X$6-$G$3,22))&lt;&gt;""),Sorgo!$E48:INDEX(Sorgo!$E48:$Z48,MIN(X$6-$G$3,22))),0)))))</f>
        <v>0</v>
      </c>
      <c r="Y50" s="27" t="n">
        <f aca="false">IF(COUNT(Sorgo!$E48:$Z48)=0,0,MAX(0,IF((Y$6-$E$3)&lt;1,0,IFERROR(LOOKUP(2,1/(Sorgo!$E48:INDEX(Sorgo!$E48:$Z48,MIN(Y$6-$E$3,22))&lt;&gt;""),Sorgo!$E48:INDEX(Sorgo!$E48:$Z48,MIN(Y$6-$E$3,22))),0))-IF($G$2,0,IF((Y$6-$G$3)&lt;1,0,IFERROR(LOOKUP(2,1/(Sorgo!$E48:INDEX(Sorgo!$E48:$Z48,MIN(Y$6-$G$3,22))&lt;&gt;""),Sorgo!$E48:INDEX(Sorgo!$E48:$Z48,MIN(Y$6-$G$3,22))),0)))))</f>
        <v>0</v>
      </c>
      <c r="Z50" s="27" t="n">
        <f aca="false">IF(COUNT(Sorgo!$E48:$Z48)=0,0,MAX(0,IF((Z$6-$E$3)&lt;1,0,IFERROR(LOOKUP(2,1/(Sorgo!$E48:INDEX(Sorgo!$E48:$Z48,MIN(Z$6-$E$3,22))&lt;&gt;""),Sorgo!$E48:INDEX(Sorgo!$E48:$Z48,MIN(Z$6-$E$3,22))),0))-IF($G$2,0,IF((Z$6-$G$3)&lt;1,0,IFERROR(LOOKUP(2,1/(Sorgo!$E48:INDEX(Sorgo!$E48:$Z48,MIN(Z$6-$G$3,22))&lt;&gt;""),Sorgo!$E48:INDEX(Sorgo!$E48:$Z48,MIN(Z$6-$G$3,22))),0)))))</f>
        <v>0</v>
      </c>
      <c r="AA50" s="27" t="n">
        <f aca="false">IF(COUNT(Sorgo!$E48:$Z48)=0,0,MAX(0,IF((AA$6-$E$3)&lt;1,0,IFERROR(LOOKUP(2,1/(Sorgo!$E48:INDEX(Sorgo!$E48:$Z48,MIN(AA$6-$E$3,22))&lt;&gt;""),Sorgo!$E48:INDEX(Sorgo!$E48:$Z48,MIN(AA$6-$E$3,22))),0))-IF($G$2,0,IF((AA$6-$G$3)&lt;1,0,IFERROR(LOOKUP(2,1/(Sorgo!$E48:INDEX(Sorgo!$E48:$Z48,MIN(AA$6-$G$3,22))&lt;&gt;""),Sorgo!$E48:INDEX(Sorgo!$E48:$Z48,MIN(AA$6-$G$3,22))),0)))))</f>
        <v>0</v>
      </c>
      <c r="AB50" s="27" t="n">
        <f aca="false">IF(COUNT(Sorgo!$E48:$Z48)=0,0,MAX(0,IF((AB$6-$E$3)&lt;1,0,IFERROR(LOOKUP(2,1/(Sorgo!$E48:INDEX(Sorgo!$E48:$Z48,MIN(AB$6-$E$3,22))&lt;&gt;""),Sorgo!$E48:INDEX(Sorgo!$E48:$Z48,MIN(AB$6-$E$3,22))),0))-IF($G$2,0,IF((AB$6-$G$3)&lt;1,0,IFERROR(LOOKUP(2,1/(Sorgo!$E48:INDEX(Sorgo!$E48:$Z48,MIN(AB$6-$G$3,22))&lt;&gt;""),Sorgo!$E48:INDEX(Sorgo!$E48:$Z48,MIN(AB$6-$G$3,22))),0)))))</f>
        <v>0</v>
      </c>
      <c r="AC50" s="27" t="n">
        <f aca="false">IF(COUNT(Sorgo!$E48:$Z48)=0,0,MAX(0,IF((AC$6-$E$3)&lt;1,0,IFERROR(LOOKUP(2,1/(Sorgo!$E48:INDEX(Sorgo!$E48:$Z48,MIN(AC$6-$E$3,22))&lt;&gt;""),Sorgo!$E48:INDEX(Sorgo!$E48:$Z48,MIN(AC$6-$E$3,22))),0))-IF($G$2,0,IF((AC$6-$G$3)&lt;1,0,IFERROR(LOOKUP(2,1/(Sorgo!$E48:INDEX(Sorgo!$E48:$Z48,MIN(AC$6-$G$3,22))&lt;&gt;""),Sorgo!$E48:INDEX(Sorgo!$E48:$Z48,MIN(AC$6-$G$3,22))),0)))))</f>
        <v>0</v>
      </c>
      <c r="AD50" s="27" t="n">
        <f aca="false">IF(COUNT(Sorgo!$E48:$Z48)=0,0,MAX(0,IF((AD$6-$E$3)&lt;1,0,IFERROR(LOOKUP(2,1/(Sorgo!$E48:INDEX(Sorgo!$E48:$Z48,MIN(AD$6-$E$3,22))&lt;&gt;""),Sorgo!$E48:INDEX(Sorgo!$E48:$Z48,MIN(AD$6-$E$3,22))),0))-IF($G$2,0,IF((AD$6-$G$3)&lt;1,0,IFERROR(LOOKUP(2,1/(Sorgo!$E48:INDEX(Sorgo!$E48:$Z48,MIN(AD$6-$G$3,22))&lt;&gt;""),Sorgo!$E48:INDEX(Sorgo!$E48:$Z48,MIN(AD$6-$G$3,22))),0)))))</f>
        <v>0</v>
      </c>
      <c r="AE50" s="27" t="n">
        <f aca="false">IF(COUNT(Sorgo!$E48:$Z48)=0,0,MAX(0,IF((AE$6-$E$3)&lt;1,0,IFERROR(LOOKUP(2,1/(Sorgo!$E48:INDEX(Sorgo!$E48:$Z48,MIN(AE$6-$E$3,22))&lt;&gt;""),Sorgo!$E48:INDEX(Sorgo!$E48:$Z48,MIN(AE$6-$E$3,22))),0))-IF($G$2,0,IF((AE$6-$G$3)&lt;1,0,IFERROR(LOOKUP(2,1/(Sorgo!$E48:INDEX(Sorgo!$E48:$Z48,MIN(AE$6-$G$3,22))&lt;&gt;""),Sorgo!$E48:INDEX(Sorgo!$E48:$Z48,MIN(AE$6-$G$3,22))),0)))))</f>
        <v>0</v>
      </c>
      <c r="AF50" s="27" t="n">
        <f aca="false">IF(COUNT(Sorgo!$E48:$Z48)=0,0,MAX(0,IF((AF$6-$E$3)&lt;1,0,IFERROR(LOOKUP(2,1/(Sorgo!$E48:INDEX(Sorgo!$E48:$Z48,MIN(AF$6-$E$3,22))&lt;&gt;""),Sorgo!$E48:INDEX(Sorgo!$E48:$Z48,MIN(AF$6-$E$3,22))),0))-IF($G$2,0,IF((AF$6-$G$3)&lt;1,0,IFERROR(LOOKUP(2,1/(Sorgo!$E48:INDEX(Sorgo!$E48:$Z48,MIN(AF$6-$G$3,22))&lt;&gt;""),Sorgo!$E48:INDEX(Sorgo!$E48:$Z48,MIN(AF$6-$G$3,22))),0)))))</f>
        <v>0</v>
      </c>
      <c r="AG50" s="27" t="n">
        <f aca="false">IF(COUNT(Sorgo!$E48:$Z48)=0,0,MAX(0,IF((AG$6-$E$3)&lt;1,0,IFERROR(LOOKUP(2,1/(Sorgo!$E48:INDEX(Sorgo!$E48:$Z48,MIN(AG$6-$E$3,22))&lt;&gt;""),Sorgo!$E48:INDEX(Sorgo!$E48:$Z48,MIN(AG$6-$E$3,22))),0))-IF($G$2,0,IF((AG$6-$G$3)&lt;1,0,IFERROR(LOOKUP(2,1/(Sorgo!$E48:INDEX(Sorgo!$E48:$Z48,MIN(AG$6-$G$3,22))&lt;&gt;""),Sorgo!$E48:INDEX(Sorgo!$E48:$Z48,MIN(AG$6-$G$3,22))),0)))))</f>
        <v>0</v>
      </c>
      <c r="AH50" s="27" t="n">
        <f aca="false">IF(COUNT(Sorgo!$E48:$Z48)=0,0,MAX(0,IF((AH$6-$E$3)&lt;1,0,IFERROR(LOOKUP(2,1/(Sorgo!$E48:INDEX(Sorgo!$E48:$Z48,MIN(AH$6-$E$3,22))&lt;&gt;""),Sorgo!$E48:INDEX(Sorgo!$E48:$Z48,MIN(AH$6-$E$3,22))),0))-IF($G$2,0,IF((AH$6-$G$3)&lt;1,0,IFERROR(LOOKUP(2,1/(Sorgo!$E48:INDEX(Sorgo!$E48:$Z48,MIN(AH$6-$G$3,22))&lt;&gt;""),Sorgo!$E48:INDEX(Sorgo!$E48:$Z48,MIN(AH$6-$G$3,22))),0)))))</f>
        <v>0</v>
      </c>
      <c r="AI50" s="27" t="n">
        <f aca="false">IF(COUNT(Sorgo!$E48:$Z48)=0,0,MAX(0,IF((AI$6-$E$3)&lt;1,0,IFERROR(LOOKUP(2,1/(Sorgo!$E48:INDEX(Sorgo!$E48:$Z48,MIN(AI$6-$E$3,22))&lt;&gt;""),Sorgo!$E48:INDEX(Sorgo!$E48:$Z48,MIN(AI$6-$E$3,22))),0))-IF($G$2,0,IF((AI$6-$G$3)&lt;1,0,IFERROR(LOOKUP(2,1/(Sorgo!$E48:INDEX(Sorgo!$E48:$Z48,MIN(AI$6-$G$3,22))&lt;&gt;""),Sorgo!$E48:INDEX(Sorgo!$E48:$Z48,MIN(AI$6-$G$3,22))),0)))))</f>
        <v>0</v>
      </c>
      <c r="AJ50" s="27" t="n">
        <f aca="false">IF(COUNT(Sorgo!$E48:$Z48)=0,0,MAX(0,IF((AJ$6-$E$3)&lt;1,0,IFERROR(LOOKUP(2,1/(Sorgo!$E48:INDEX(Sorgo!$E48:$Z48,MIN(AJ$6-$E$3,22))&lt;&gt;""),Sorgo!$E48:INDEX(Sorgo!$E48:$Z48,MIN(AJ$6-$E$3,22))),0))-IF($G$2,0,IF((AJ$6-$G$3)&lt;1,0,IFERROR(LOOKUP(2,1/(Sorgo!$E48:INDEX(Sorgo!$E48:$Z48,MIN(AJ$6-$G$3,22))&lt;&gt;""),Sorgo!$E48:INDEX(Sorgo!$E48:$Z48,MIN(AJ$6-$G$3,22))),0)))))</f>
        <v>0</v>
      </c>
      <c r="AK50" s="27" t="n">
        <f aca="false">IF(COUNT(Sorgo!$E48:$Z48)=0,0,MAX(0,IF((AK$6-$E$3)&lt;1,0,IFERROR(LOOKUP(2,1/(Sorgo!$E48:INDEX(Sorgo!$E48:$Z48,MIN(AK$6-$E$3,22))&lt;&gt;""),Sorgo!$E48:INDEX(Sorgo!$E48:$Z48,MIN(AK$6-$E$3,22))),0))-IF($G$2,0,IF((AK$6-$G$3)&lt;1,0,IFERROR(LOOKUP(2,1/(Sorgo!$E48:INDEX(Sorgo!$E48:$Z48,MIN(AK$6-$G$3,22))&lt;&gt;""),Sorgo!$E48:INDEX(Sorgo!$E48:$Z48,MIN(AK$6-$G$3,22))),0)))))</f>
        <v>0</v>
      </c>
      <c r="AL50" s="27" t="n">
        <f aca="false">IF(COUNT(Sorgo!$E48:$Z48)=0,0,MAX(0,IF((AL$6-$E$3)&lt;1,0,IFERROR(LOOKUP(2,1/(Sorgo!$E48:INDEX(Sorgo!$E48:$Z48,MIN(AL$6-$E$3,22))&lt;&gt;""),Sorgo!$E48:INDEX(Sorgo!$E48:$Z48,MIN(AL$6-$E$3,22))),0))-IF($G$2,0,IF((AL$6-$G$3)&lt;1,0,IFERROR(LOOKUP(2,1/(Sorgo!$E48:INDEX(Sorgo!$E48:$Z48,MIN(AL$6-$G$3,22))&lt;&gt;""),Sorgo!$E48:INDEX(Sorgo!$E48:$Z48,MIN(AL$6-$G$3,22))),0)))))</f>
        <v>0</v>
      </c>
      <c r="AM50" s="27" t="n">
        <f aca="false">IF(COUNT(Sorgo!$E48:$Z48)=0,0,MAX(0,IF((AM$6-$E$3)&lt;1,0,IFERROR(LOOKUP(2,1/(Sorgo!$E48:INDEX(Sorgo!$E48:$Z48,MIN(AM$6-$E$3,22))&lt;&gt;""),Sorgo!$E48:INDEX(Sorgo!$E48:$Z48,MIN(AM$6-$E$3,22))),0))-IF($G$2,0,IF((AM$6-$G$3)&lt;1,0,IFERROR(LOOKUP(2,1/(Sorgo!$E48:INDEX(Sorgo!$E48:$Z48,MIN(AM$6-$G$3,22))&lt;&gt;""),Sorgo!$E48:INDEX(Sorgo!$E48:$Z48,MIN(AM$6-$G$3,22))),0)))))</f>
        <v>0</v>
      </c>
      <c r="AN50" s="27" t="n">
        <f aca="false">IF(COUNT(Sorgo!$E48:$Z48)=0,0,MAX(0,IF((AN$6-$E$3)&lt;1,0,IFERROR(LOOKUP(2,1/(Sorgo!$E48:INDEX(Sorgo!$E48:$Z48,MIN(AN$6-$E$3,22))&lt;&gt;""),Sorgo!$E48:INDEX(Sorgo!$E48:$Z48,MIN(AN$6-$E$3,22))),0))-IF($G$2,0,IF((AN$6-$G$3)&lt;1,0,IFERROR(LOOKUP(2,1/(Sorgo!$E48:INDEX(Sorgo!$E48:$Z48,MIN(AN$6-$G$3,22))&lt;&gt;""),Sorgo!$E48:INDEX(Sorgo!$E48:$Z48,MIN(AN$6-$G$3,22))),0)))))</f>
        <v>0</v>
      </c>
      <c r="AO50" s="27" t="n">
        <f aca="false">IF(COUNT(Sorgo!$E48:$Z48)=0,0,MAX(0,IF((AO$6-$E$3)&lt;1,0,IFERROR(LOOKUP(2,1/(Sorgo!$E48:INDEX(Sorgo!$E48:$Z48,MIN(AO$6-$E$3,22))&lt;&gt;""),Sorgo!$E48:INDEX(Sorgo!$E48:$Z48,MIN(AO$6-$E$3,22))),0))-IF($G$2,0,IF((AO$6-$G$3)&lt;1,0,IFERROR(LOOKUP(2,1/(Sorgo!$E48:INDEX(Sorgo!$E48:$Z48,MIN(AO$6-$G$3,22))&lt;&gt;""),Sorgo!$E48:INDEX(Sorgo!$E48:$Z48,MIN(AO$6-$G$3,22))),0)))))</f>
        <v>0</v>
      </c>
      <c r="AP50" s="27" t="n">
        <f aca="false">IF(COUNT(Sorgo!$E48:$Z48)=0,0,MAX(0,IF((AP$6-$E$3)&lt;1,0,IFERROR(LOOKUP(2,1/(Sorgo!$E48:INDEX(Sorgo!$E48:$Z48,MIN(AP$6-$E$3,22))&lt;&gt;""),Sorgo!$E48:INDEX(Sorgo!$E48:$Z48,MIN(AP$6-$E$3,22))),0))-IF($G$2,0,IF((AP$6-$G$3)&lt;1,0,IFERROR(LOOKUP(2,1/(Sorgo!$E48:INDEX(Sorgo!$E48:$Z48,MIN(AP$6-$G$3,22))&lt;&gt;""),Sorgo!$E48:INDEX(Sorgo!$E48:$Z48,MIN(AP$6-$G$3,22))),0)))))</f>
        <v>0</v>
      </c>
      <c r="AQ50" s="27" t="n">
        <f aca="false">IF(COUNT(Sorgo!$E48:$Z48)=0,0,MAX(0,IF((AQ$6-$E$3)&lt;1,0,IFERROR(LOOKUP(2,1/(Sorgo!$E48:INDEX(Sorgo!$E48:$Z48,MIN(AQ$6-$E$3,22))&lt;&gt;""),Sorgo!$E48:INDEX(Sorgo!$E48:$Z48,MIN(AQ$6-$E$3,22))),0))-IF($G$2,0,IF((AQ$6-$G$3)&lt;1,0,IFERROR(LOOKUP(2,1/(Sorgo!$E48:INDEX(Sorgo!$E48:$Z48,MIN(AQ$6-$G$3,22))&lt;&gt;""),Sorgo!$E48:INDEX(Sorgo!$E48:$Z48,MIN(AQ$6-$G$3,22))),0)))))</f>
        <v>0</v>
      </c>
      <c r="AR50" s="27" t="n">
        <f aca="false">IF(COUNT(Sorgo!$E48:$Z48)=0,0,MAX(0,IF((AR$6-$E$3)&lt;1,0,IFERROR(LOOKUP(2,1/(Sorgo!$E48:INDEX(Sorgo!$E48:$Z48,MIN(AR$6-$E$3,22))&lt;&gt;""),Sorgo!$E48:INDEX(Sorgo!$E48:$Z48,MIN(AR$6-$E$3,22))),0))-IF($G$2,0,IF((AR$6-$G$3)&lt;1,0,IFERROR(LOOKUP(2,1/(Sorgo!$E48:INDEX(Sorgo!$E48:$Z48,MIN(AR$6-$G$3,22))&lt;&gt;""),Sorgo!$E48:INDEX(Sorgo!$E48:$Z48,MIN(AR$6-$G$3,22))),0)))))</f>
        <v>0</v>
      </c>
      <c r="AS50" s="27" t="n">
        <f aca="false">IF(COUNT(Sorgo!$E48:$Z48)=0,0,MAX(0,IF((AS$6-$E$3)&lt;1,0,IFERROR(LOOKUP(2,1/(Sorgo!$E48:INDEX(Sorgo!$E48:$Z48,MIN(AS$6-$E$3,22))&lt;&gt;""),Sorgo!$E48:INDEX(Sorgo!$E48:$Z48,MIN(AS$6-$E$3,22))),0))-IF($G$2,0,IF((AS$6-$G$3)&lt;1,0,IFERROR(LOOKUP(2,1/(Sorgo!$E48:INDEX(Sorgo!$E48:$Z48,MIN(AS$6-$G$3,22))&lt;&gt;""),Sorgo!$E48:INDEX(Sorgo!$E48:$Z48,MIN(AS$6-$G$3,22))),0)))))</f>
        <v>0</v>
      </c>
      <c r="AT50" s="27" t="n">
        <f aca="false">IF(COUNT(Sorgo!$E48:$Z48)=0,0,MAX(0,IF((AT$6-$E$3)&lt;1,0,IFERROR(LOOKUP(2,1/(Sorgo!$E48:INDEX(Sorgo!$E48:$Z48,MIN(AT$6-$E$3,22))&lt;&gt;""),Sorgo!$E48:INDEX(Sorgo!$E48:$Z48,MIN(AT$6-$E$3,22))),0))-IF($G$2,0,IF((AT$6-$G$3)&lt;1,0,IFERROR(LOOKUP(2,1/(Sorgo!$E48:INDEX(Sorgo!$E48:$Z48,MIN(AT$6-$G$3,22))&lt;&gt;""),Sorgo!$E48:INDEX(Sorgo!$E48:$Z48,MIN(AT$6-$G$3,22))),0)))))</f>
        <v>0</v>
      </c>
      <c r="AU50" s="27" t="n">
        <f aca="false">IF(COUNT(Sorgo!$E48:$Z48)=0,0,MAX(0,IF((AU$6-$E$3)&lt;1,0,IFERROR(LOOKUP(2,1/(Sorgo!$E48:INDEX(Sorgo!$E48:$Z48,MIN(AU$6-$E$3,22))&lt;&gt;""),Sorgo!$E48:INDEX(Sorgo!$E48:$Z48,MIN(AU$6-$E$3,22))),0))-IF($G$2,0,IF((AU$6-$G$3)&lt;1,0,IFERROR(LOOKUP(2,1/(Sorgo!$E48:INDEX(Sorgo!$E48:$Z48,MIN(AU$6-$G$3,22))&lt;&gt;""),Sorgo!$E48:INDEX(Sorgo!$E48:$Z48,MIN(AU$6-$G$3,22))),0)))))</f>
        <v>0</v>
      </c>
      <c r="AV50" s="27" t="n">
        <f aca="false">IF(COUNT(Sorgo!$E48:$Z48)=0,0,MAX(0,IF((AV$6-$E$3)&lt;1,0,IFERROR(LOOKUP(2,1/(Sorgo!$E48:INDEX(Sorgo!$E48:$Z48,MIN(AV$6-$E$3,22))&lt;&gt;""),Sorgo!$E48:INDEX(Sorgo!$E48:$Z48,MIN(AV$6-$E$3,22))),0))-IF($G$2,0,IF((AV$6-$G$3)&lt;1,0,IFERROR(LOOKUP(2,1/(Sorgo!$E48:INDEX(Sorgo!$E48:$Z48,MIN(AV$6-$G$3,22))&lt;&gt;""),Sorgo!$E48:INDEX(Sorgo!$E48:$Z48,MIN(AV$6-$G$3,22))),0)))))</f>
        <v>0</v>
      </c>
      <c r="AW50" s="27" t="n">
        <f aca="false">IF(COUNT(Sorgo!$E48:$Z48)=0,0,MAX(0,IF((AW$6-$E$3)&lt;1,0,IFERROR(LOOKUP(2,1/(Sorgo!$E48:INDEX(Sorgo!$E48:$Z48,MIN(AW$6-$E$3,22))&lt;&gt;""),Sorgo!$E48:INDEX(Sorgo!$E48:$Z48,MIN(AW$6-$E$3,22))),0))-IF($G$2,0,IF((AW$6-$G$3)&lt;1,0,IFERROR(LOOKUP(2,1/(Sorgo!$E48:INDEX(Sorgo!$E48:$Z48,MIN(AW$6-$G$3,22))&lt;&gt;""),Sorgo!$E48:INDEX(Sorgo!$E48:$Z48,MIN(AW$6-$G$3,22))),0)))))</f>
        <v>0</v>
      </c>
      <c r="AX50" s="27" t="n">
        <f aca="false">IF(COUNT(Sorgo!$E48:$Z48)=0,0,MAX(0,IF((AX$6-$E$3)&lt;1,0,IFERROR(LOOKUP(2,1/(Sorgo!$E48:INDEX(Sorgo!$E48:$Z48,MIN(AX$6-$E$3,22))&lt;&gt;""),Sorgo!$E48:INDEX(Sorgo!$E48:$Z48,MIN(AX$6-$E$3,22))),0))-IF($G$2,0,IF((AX$6-$G$3)&lt;1,0,IFERROR(LOOKUP(2,1/(Sorgo!$E48:INDEX(Sorgo!$E48:$Z48,MIN(AX$6-$G$3,22))&lt;&gt;""),Sorgo!$E48:INDEX(Sorgo!$E48:$Z48,MIN(AX$6-$G$3,22))),0)))))</f>
        <v>0</v>
      </c>
      <c r="AY50" s="27" t="n">
        <f aca="false">IF(COUNT(Sorgo!$E48:$Z48)=0,0,MAX(0,IF((AY$6-$E$3)&lt;1,0,IFERROR(LOOKUP(2,1/(Sorgo!$E48:INDEX(Sorgo!$E48:$Z48,MIN(AY$6-$E$3,22))&lt;&gt;""),Sorgo!$E48:INDEX(Sorgo!$E48:$Z48,MIN(AY$6-$E$3,22))),0))-IF($G$2,0,IF((AY$6-$G$3)&lt;1,0,IFERROR(LOOKUP(2,1/(Sorgo!$E48:INDEX(Sorgo!$E48:$Z48,MIN(AY$6-$G$3,22))&lt;&gt;""),Sorgo!$E48:INDEX(Sorgo!$E48:$Z48,MIN(AY$6-$G$3,22))),0)))))</f>
        <v>0</v>
      </c>
      <c r="AZ50" s="27" t="n">
        <f aca="false">IF(COUNT(Sorgo!$E48:$Z48)=0,0,MAX(0,IF((AZ$6-$E$3)&lt;1,0,IFERROR(LOOKUP(2,1/(Sorgo!$E48:INDEX(Sorgo!$E48:$Z48,MIN(AZ$6-$E$3,22))&lt;&gt;""),Sorgo!$E48:INDEX(Sorgo!$E48:$Z48,MIN(AZ$6-$E$3,22))),0))-IF($G$2,0,IF((AZ$6-$G$3)&lt;1,0,IFERROR(LOOKUP(2,1/(Sorgo!$E48:INDEX(Sorgo!$E48:$Z48,MIN(AZ$6-$G$3,22))&lt;&gt;""),Sorgo!$E48:INDEX(Sorgo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IF(COUNT(Sorgo!$E49:$Z49)&gt;0,N(Sorgo!$D49),0)</f>
        <v>0</v>
      </c>
      <c r="E51" s="27" t="n">
        <f aca="false">IF(COUNT(Sorgo!$E49:$Z49)=0,0,MAX(0,IF((E$6-$E$3)&lt;1,0,IFERROR(LOOKUP(2,1/(Sorgo!$E49:INDEX(Sorgo!$E49:$Z49,MIN(E$6-$E$3,22))&lt;&gt;""),Sorgo!$E49:INDEX(Sorgo!$E49:$Z49,MIN(E$6-$E$3,22))),0))-IF($G$2,0,IF((E$6-$G$3)&lt;1,0,IFERROR(LOOKUP(2,1/(Sorgo!$E49:INDEX(Sorgo!$E49:$Z49,MIN(E$6-$G$3,22))&lt;&gt;""),Sorgo!$E49:INDEX(Sorgo!$E49:$Z49,MIN(E$6-$G$3,22))),0)))))</f>
        <v>0</v>
      </c>
      <c r="F51" s="27" t="n">
        <f aca="false">IF(COUNT(Sorgo!$E49:$Z49)=0,0,MAX(0,IF((F$6-$E$3)&lt;1,0,IFERROR(LOOKUP(2,1/(Sorgo!$E49:INDEX(Sorgo!$E49:$Z49,MIN(F$6-$E$3,22))&lt;&gt;""),Sorgo!$E49:INDEX(Sorgo!$E49:$Z49,MIN(F$6-$E$3,22))),0))-IF($G$2,0,IF((F$6-$G$3)&lt;1,0,IFERROR(LOOKUP(2,1/(Sorgo!$E49:INDEX(Sorgo!$E49:$Z49,MIN(F$6-$G$3,22))&lt;&gt;""),Sorgo!$E49:INDEX(Sorgo!$E49:$Z49,MIN(F$6-$G$3,22))),0)))))</f>
        <v>0</v>
      </c>
      <c r="G51" s="27" t="n">
        <f aca="false">IF(COUNT(Sorgo!$E49:$Z49)=0,0,MAX(0,IF((G$6-$E$3)&lt;1,0,IFERROR(LOOKUP(2,1/(Sorgo!$E49:INDEX(Sorgo!$E49:$Z49,MIN(G$6-$E$3,22))&lt;&gt;""),Sorgo!$E49:INDEX(Sorgo!$E49:$Z49,MIN(G$6-$E$3,22))),0))-IF($G$2,0,IF((G$6-$G$3)&lt;1,0,IFERROR(LOOKUP(2,1/(Sorgo!$E49:INDEX(Sorgo!$E49:$Z49,MIN(G$6-$G$3,22))&lt;&gt;""),Sorgo!$E49:INDEX(Sorgo!$E49:$Z49,MIN(G$6-$G$3,22))),0)))))</f>
        <v>0</v>
      </c>
      <c r="H51" s="27" t="n">
        <f aca="false">IF(COUNT(Sorgo!$E49:$Z49)=0,0,MAX(0,IF((H$6-$E$3)&lt;1,0,IFERROR(LOOKUP(2,1/(Sorgo!$E49:INDEX(Sorgo!$E49:$Z49,MIN(H$6-$E$3,22))&lt;&gt;""),Sorgo!$E49:INDEX(Sorgo!$E49:$Z49,MIN(H$6-$E$3,22))),0))-IF($G$2,0,IF((H$6-$G$3)&lt;1,0,IFERROR(LOOKUP(2,1/(Sorgo!$E49:INDEX(Sorgo!$E49:$Z49,MIN(H$6-$G$3,22))&lt;&gt;""),Sorgo!$E49:INDEX(Sorgo!$E49:$Z49,MIN(H$6-$G$3,22))),0)))))</f>
        <v>0</v>
      </c>
      <c r="I51" s="27" t="n">
        <f aca="false">IF(COUNT(Sorgo!$E49:$Z49)=0,0,MAX(0,IF((I$6-$E$3)&lt;1,0,IFERROR(LOOKUP(2,1/(Sorgo!$E49:INDEX(Sorgo!$E49:$Z49,MIN(I$6-$E$3,22))&lt;&gt;""),Sorgo!$E49:INDEX(Sorgo!$E49:$Z49,MIN(I$6-$E$3,22))),0))-IF($G$2,0,IF((I$6-$G$3)&lt;1,0,IFERROR(LOOKUP(2,1/(Sorgo!$E49:INDEX(Sorgo!$E49:$Z49,MIN(I$6-$G$3,22))&lt;&gt;""),Sorgo!$E49:INDEX(Sorgo!$E49:$Z49,MIN(I$6-$G$3,22))),0)))))</f>
        <v>0</v>
      </c>
      <c r="J51" s="27" t="n">
        <f aca="false">IF(COUNT(Sorgo!$E49:$Z49)=0,0,MAX(0,IF((J$6-$E$3)&lt;1,0,IFERROR(LOOKUP(2,1/(Sorgo!$E49:INDEX(Sorgo!$E49:$Z49,MIN(J$6-$E$3,22))&lt;&gt;""),Sorgo!$E49:INDEX(Sorgo!$E49:$Z49,MIN(J$6-$E$3,22))),0))-IF($G$2,0,IF((J$6-$G$3)&lt;1,0,IFERROR(LOOKUP(2,1/(Sorgo!$E49:INDEX(Sorgo!$E49:$Z49,MIN(J$6-$G$3,22))&lt;&gt;""),Sorgo!$E49:INDEX(Sorgo!$E49:$Z49,MIN(J$6-$G$3,22))),0)))))</f>
        <v>0</v>
      </c>
      <c r="K51" s="27" t="n">
        <f aca="false">IF(COUNT(Sorgo!$E49:$Z49)=0,0,MAX(0,IF((K$6-$E$3)&lt;1,0,IFERROR(LOOKUP(2,1/(Sorgo!$E49:INDEX(Sorgo!$E49:$Z49,MIN(K$6-$E$3,22))&lt;&gt;""),Sorgo!$E49:INDEX(Sorgo!$E49:$Z49,MIN(K$6-$E$3,22))),0))-IF($G$2,0,IF((K$6-$G$3)&lt;1,0,IFERROR(LOOKUP(2,1/(Sorgo!$E49:INDEX(Sorgo!$E49:$Z49,MIN(K$6-$G$3,22))&lt;&gt;""),Sorgo!$E49:INDEX(Sorgo!$E49:$Z49,MIN(K$6-$G$3,22))),0)))))</f>
        <v>0</v>
      </c>
      <c r="L51" s="27" t="n">
        <f aca="false">IF(COUNT(Sorgo!$E49:$Z49)=0,0,MAX(0,IF((L$6-$E$3)&lt;1,0,IFERROR(LOOKUP(2,1/(Sorgo!$E49:INDEX(Sorgo!$E49:$Z49,MIN(L$6-$E$3,22))&lt;&gt;""),Sorgo!$E49:INDEX(Sorgo!$E49:$Z49,MIN(L$6-$E$3,22))),0))-IF($G$2,0,IF((L$6-$G$3)&lt;1,0,IFERROR(LOOKUP(2,1/(Sorgo!$E49:INDEX(Sorgo!$E49:$Z49,MIN(L$6-$G$3,22))&lt;&gt;""),Sorgo!$E49:INDEX(Sorgo!$E49:$Z49,MIN(L$6-$G$3,22))),0)))))</f>
        <v>0</v>
      </c>
      <c r="M51" s="27" t="n">
        <f aca="false">IF(COUNT(Sorgo!$E49:$Z49)=0,0,MAX(0,IF((M$6-$E$3)&lt;1,0,IFERROR(LOOKUP(2,1/(Sorgo!$E49:INDEX(Sorgo!$E49:$Z49,MIN(M$6-$E$3,22))&lt;&gt;""),Sorgo!$E49:INDEX(Sorgo!$E49:$Z49,MIN(M$6-$E$3,22))),0))-IF($G$2,0,IF((M$6-$G$3)&lt;1,0,IFERROR(LOOKUP(2,1/(Sorgo!$E49:INDEX(Sorgo!$E49:$Z49,MIN(M$6-$G$3,22))&lt;&gt;""),Sorgo!$E49:INDEX(Sorgo!$E49:$Z49,MIN(M$6-$G$3,22))),0)))))</f>
        <v>0</v>
      </c>
      <c r="N51" s="27" t="n">
        <f aca="false">IF(COUNT(Sorgo!$E49:$Z49)=0,0,MAX(0,IF((N$6-$E$3)&lt;1,0,IFERROR(LOOKUP(2,1/(Sorgo!$E49:INDEX(Sorgo!$E49:$Z49,MIN(N$6-$E$3,22))&lt;&gt;""),Sorgo!$E49:INDEX(Sorgo!$E49:$Z49,MIN(N$6-$E$3,22))),0))-IF($G$2,0,IF((N$6-$G$3)&lt;1,0,IFERROR(LOOKUP(2,1/(Sorgo!$E49:INDEX(Sorgo!$E49:$Z49,MIN(N$6-$G$3,22))&lt;&gt;""),Sorgo!$E49:INDEX(Sorgo!$E49:$Z49,MIN(N$6-$G$3,22))),0)))))</f>
        <v>0</v>
      </c>
      <c r="O51" s="27" t="n">
        <f aca="false">IF(COUNT(Sorgo!$E49:$Z49)=0,0,MAX(0,IF((O$6-$E$3)&lt;1,0,IFERROR(LOOKUP(2,1/(Sorgo!$E49:INDEX(Sorgo!$E49:$Z49,MIN(O$6-$E$3,22))&lt;&gt;""),Sorgo!$E49:INDEX(Sorgo!$E49:$Z49,MIN(O$6-$E$3,22))),0))-IF($G$2,0,IF((O$6-$G$3)&lt;1,0,IFERROR(LOOKUP(2,1/(Sorgo!$E49:INDEX(Sorgo!$E49:$Z49,MIN(O$6-$G$3,22))&lt;&gt;""),Sorgo!$E49:INDEX(Sorgo!$E49:$Z49,MIN(O$6-$G$3,22))),0)))))</f>
        <v>0</v>
      </c>
      <c r="P51" s="27" t="n">
        <f aca="false">IF(COUNT(Sorgo!$E49:$Z49)=0,0,MAX(0,IF((P$6-$E$3)&lt;1,0,IFERROR(LOOKUP(2,1/(Sorgo!$E49:INDEX(Sorgo!$E49:$Z49,MIN(P$6-$E$3,22))&lt;&gt;""),Sorgo!$E49:INDEX(Sorgo!$E49:$Z49,MIN(P$6-$E$3,22))),0))-IF($G$2,0,IF((P$6-$G$3)&lt;1,0,IFERROR(LOOKUP(2,1/(Sorgo!$E49:INDEX(Sorgo!$E49:$Z49,MIN(P$6-$G$3,22))&lt;&gt;""),Sorgo!$E49:INDEX(Sorgo!$E49:$Z49,MIN(P$6-$G$3,22))),0)))))</f>
        <v>0</v>
      </c>
      <c r="Q51" s="27" t="n">
        <f aca="false">IF(COUNT(Sorgo!$E49:$Z49)=0,0,MAX(0,IF((Q$6-$E$3)&lt;1,0,IFERROR(LOOKUP(2,1/(Sorgo!$E49:INDEX(Sorgo!$E49:$Z49,MIN(Q$6-$E$3,22))&lt;&gt;""),Sorgo!$E49:INDEX(Sorgo!$E49:$Z49,MIN(Q$6-$E$3,22))),0))-IF($G$2,0,IF((Q$6-$G$3)&lt;1,0,IFERROR(LOOKUP(2,1/(Sorgo!$E49:INDEX(Sorgo!$E49:$Z49,MIN(Q$6-$G$3,22))&lt;&gt;""),Sorgo!$E49:INDEX(Sorgo!$E49:$Z49,MIN(Q$6-$G$3,22))),0)))))</f>
        <v>0</v>
      </c>
      <c r="R51" s="27" t="n">
        <f aca="false">IF(COUNT(Sorgo!$E49:$Z49)=0,0,MAX(0,IF((R$6-$E$3)&lt;1,0,IFERROR(LOOKUP(2,1/(Sorgo!$E49:INDEX(Sorgo!$E49:$Z49,MIN(R$6-$E$3,22))&lt;&gt;""),Sorgo!$E49:INDEX(Sorgo!$E49:$Z49,MIN(R$6-$E$3,22))),0))-IF($G$2,0,IF((R$6-$G$3)&lt;1,0,IFERROR(LOOKUP(2,1/(Sorgo!$E49:INDEX(Sorgo!$E49:$Z49,MIN(R$6-$G$3,22))&lt;&gt;""),Sorgo!$E49:INDEX(Sorgo!$E49:$Z49,MIN(R$6-$G$3,22))),0)))))</f>
        <v>0</v>
      </c>
      <c r="S51" s="27" t="n">
        <f aca="false">IF(COUNT(Sorgo!$E49:$Z49)=0,0,MAX(0,IF((S$6-$E$3)&lt;1,0,IFERROR(LOOKUP(2,1/(Sorgo!$E49:INDEX(Sorgo!$E49:$Z49,MIN(S$6-$E$3,22))&lt;&gt;""),Sorgo!$E49:INDEX(Sorgo!$E49:$Z49,MIN(S$6-$E$3,22))),0))-IF($G$2,0,IF((S$6-$G$3)&lt;1,0,IFERROR(LOOKUP(2,1/(Sorgo!$E49:INDEX(Sorgo!$E49:$Z49,MIN(S$6-$G$3,22))&lt;&gt;""),Sorgo!$E49:INDEX(Sorgo!$E49:$Z49,MIN(S$6-$G$3,22))),0)))))</f>
        <v>0</v>
      </c>
      <c r="T51" s="27" t="n">
        <f aca="false">IF(COUNT(Sorgo!$E49:$Z49)=0,0,MAX(0,IF((T$6-$E$3)&lt;1,0,IFERROR(LOOKUP(2,1/(Sorgo!$E49:INDEX(Sorgo!$E49:$Z49,MIN(T$6-$E$3,22))&lt;&gt;""),Sorgo!$E49:INDEX(Sorgo!$E49:$Z49,MIN(T$6-$E$3,22))),0))-IF($G$2,0,IF((T$6-$G$3)&lt;1,0,IFERROR(LOOKUP(2,1/(Sorgo!$E49:INDEX(Sorgo!$E49:$Z49,MIN(T$6-$G$3,22))&lt;&gt;""),Sorgo!$E49:INDEX(Sorgo!$E49:$Z49,MIN(T$6-$G$3,22))),0)))))</f>
        <v>0</v>
      </c>
      <c r="U51" s="27" t="n">
        <f aca="false">IF(COUNT(Sorgo!$E49:$Z49)=0,0,MAX(0,IF((U$6-$E$3)&lt;1,0,IFERROR(LOOKUP(2,1/(Sorgo!$E49:INDEX(Sorgo!$E49:$Z49,MIN(U$6-$E$3,22))&lt;&gt;""),Sorgo!$E49:INDEX(Sorgo!$E49:$Z49,MIN(U$6-$E$3,22))),0))-IF($G$2,0,IF((U$6-$G$3)&lt;1,0,IFERROR(LOOKUP(2,1/(Sorgo!$E49:INDEX(Sorgo!$E49:$Z49,MIN(U$6-$G$3,22))&lt;&gt;""),Sorgo!$E49:INDEX(Sorgo!$E49:$Z49,MIN(U$6-$G$3,22))),0)))))</f>
        <v>0</v>
      </c>
      <c r="V51" s="27" t="n">
        <f aca="false">IF(COUNT(Sorgo!$E49:$Z49)=0,0,MAX(0,IF((V$6-$E$3)&lt;1,0,IFERROR(LOOKUP(2,1/(Sorgo!$E49:INDEX(Sorgo!$E49:$Z49,MIN(V$6-$E$3,22))&lt;&gt;""),Sorgo!$E49:INDEX(Sorgo!$E49:$Z49,MIN(V$6-$E$3,22))),0))-IF($G$2,0,IF((V$6-$G$3)&lt;1,0,IFERROR(LOOKUP(2,1/(Sorgo!$E49:INDEX(Sorgo!$E49:$Z49,MIN(V$6-$G$3,22))&lt;&gt;""),Sorgo!$E49:INDEX(Sorgo!$E49:$Z49,MIN(V$6-$G$3,22))),0)))))</f>
        <v>0</v>
      </c>
      <c r="W51" s="27" t="n">
        <f aca="false">IF(COUNT(Sorgo!$E49:$Z49)=0,0,MAX(0,IF((W$6-$E$3)&lt;1,0,IFERROR(LOOKUP(2,1/(Sorgo!$E49:INDEX(Sorgo!$E49:$Z49,MIN(W$6-$E$3,22))&lt;&gt;""),Sorgo!$E49:INDEX(Sorgo!$E49:$Z49,MIN(W$6-$E$3,22))),0))-IF($G$2,0,IF((W$6-$G$3)&lt;1,0,IFERROR(LOOKUP(2,1/(Sorgo!$E49:INDEX(Sorgo!$E49:$Z49,MIN(W$6-$G$3,22))&lt;&gt;""),Sorgo!$E49:INDEX(Sorgo!$E49:$Z49,MIN(W$6-$G$3,22))),0)))))</f>
        <v>0</v>
      </c>
      <c r="X51" s="27" t="n">
        <f aca="false">IF(COUNT(Sorgo!$E49:$Z49)=0,0,MAX(0,IF((X$6-$E$3)&lt;1,0,IFERROR(LOOKUP(2,1/(Sorgo!$E49:INDEX(Sorgo!$E49:$Z49,MIN(X$6-$E$3,22))&lt;&gt;""),Sorgo!$E49:INDEX(Sorgo!$E49:$Z49,MIN(X$6-$E$3,22))),0))-IF($G$2,0,IF((X$6-$G$3)&lt;1,0,IFERROR(LOOKUP(2,1/(Sorgo!$E49:INDEX(Sorgo!$E49:$Z49,MIN(X$6-$G$3,22))&lt;&gt;""),Sorgo!$E49:INDEX(Sorgo!$E49:$Z49,MIN(X$6-$G$3,22))),0)))))</f>
        <v>0</v>
      </c>
      <c r="Y51" s="27" t="n">
        <f aca="false">IF(COUNT(Sorgo!$E49:$Z49)=0,0,MAX(0,IF((Y$6-$E$3)&lt;1,0,IFERROR(LOOKUP(2,1/(Sorgo!$E49:INDEX(Sorgo!$E49:$Z49,MIN(Y$6-$E$3,22))&lt;&gt;""),Sorgo!$E49:INDEX(Sorgo!$E49:$Z49,MIN(Y$6-$E$3,22))),0))-IF($G$2,0,IF((Y$6-$G$3)&lt;1,0,IFERROR(LOOKUP(2,1/(Sorgo!$E49:INDEX(Sorgo!$E49:$Z49,MIN(Y$6-$G$3,22))&lt;&gt;""),Sorgo!$E49:INDEX(Sorgo!$E49:$Z49,MIN(Y$6-$G$3,22))),0)))))</f>
        <v>0</v>
      </c>
      <c r="Z51" s="27" t="n">
        <f aca="false">IF(COUNT(Sorgo!$E49:$Z49)=0,0,MAX(0,IF((Z$6-$E$3)&lt;1,0,IFERROR(LOOKUP(2,1/(Sorgo!$E49:INDEX(Sorgo!$E49:$Z49,MIN(Z$6-$E$3,22))&lt;&gt;""),Sorgo!$E49:INDEX(Sorgo!$E49:$Z49,MIN(Z$6-$E$3,22))),0))-IF($G$2,0,IF((Z$6-$G$3)&lt;1,0,IFERROR(LOOKUP(2,1/(Sorgo!$E49:INDEX(Sorgo!$E49:$Z49,MIN(Z$6-$G$3,22))&lt;&gt;""),Sorgo!$E49:INDEX(Sorgo!$E49:$Z49,MIN(Z$6-$G$3,22))),0)))))</f>
        <v>0</v>
      </c>
      <c r="AA51" s="27" t="n">
        <f aca="false">IF(COUNT(Sorgo!$E49:$Z49)=0,0,MAX(0,IF((AA$6-$E$3)&lt;1,0,IFERROR(LOOKUP(2,1/(Sorgo!$E49:INDEX(Sorgo!$E49:$Z49,MIN(AA$6-$E$3,22))&lt;&gt;""),Sorgo!$E49:INDEX(Sorgo!$E49:$Z49,MIN(AA$6-$E$3,22))),0))-IF($G$2,0,IF((AA$6-$G$3)&lt;1,0,IFERROR(LOOKUP(2,1/(Sorgo!$E49:INDEX(Sorgo!$E49:$Z49,MIN(AA$6-$G$3,22))&lt;&gt;""),Sorgo!$E49:INDEX(Sorgo!$E49:$Z49,MIN(AA$6-$G$3,22))),0)))))</f>
        <v>0</v>
      </c>
      <c r="AB51" s="27" t="n">
        <f aca="false">IF(COUNT(Sorgo!$E49:$Z49)=0,0,MAX(0,IF((AB$6-$E$3)&lt;1,0,IFERROR(LOOKUP(2,1/(Sorgo!$E49:INDEX(Sorgo!$E49:$Z49,MIN(AB$6-$E$3,22))&lt;&gt;""),Sorgo!$E49:INDEX(Sorgo!$E49:$Z49,MIN(AB$6-$E$3,22))),0))-IF($G$2,0,IF((AB$6-$G$3)&lt;1,0,IFERROR(LOOKUP(2,1/(Sorgo!$E49:INDEX(Sorgo!$E49:$Z49,MIN(AB$6-$G$3,22))&lt;&gt;""),Sorgo!$E49:INDEX(Sorgo!$E49:$Z49,MIN(AB$6-$G$3,22))),0)))))</f>
        <v>0</v>
      </c>
      <c r="AC51" s="27" t="n">
        <f aca="false">IF(COUNT(Sorgo!$E49:$Z49)=0,0,MAX(0,IF((AC$6-$E$3)&lt;1,0,IFERROR(LOOKUP(2,1/(Sorgo!$E49:INDEX(Sorgo!$E49:$Z49,MIN(AC$6-$E$3,22))&lt;&gt;""),Sorgo!$E49:INDEX(Sorgo!$E49:$Z49,MIN(AC$6-$E$3,22))),0))-IF($G$2,0,IF((AC$6-$G$3)&lt;1,0,IFERROR(LOOKUP(2,1/(Sorgo!$E49:INDEX(Sorgo!$E49:$Z49,MIN(AC$6-$G$3,22))&lt;&gt;""),Sorgo!$E49:INDEX(Sorgo!$E49:$Z49,MIN(AC$6-$G$3,22))),0)))))</f>
        <v>0</v>
      </c>
      <c r="AD51" s="27" t="n">
        <f aca="false">IF(COUNT(Sorgo!$E49:$Z49)=0,0,MAX(0,IF((AD$6-$E$3)&lt;1,0,IFERROR(LOOKUP(2,1/(Sorgo!$E49:INDEX(Sorgo!$E49:$Z49,MIN(AD$6-$E$3,22))&lt;&gt;""),Sorgo!$E49:INDEX(Sorgo!$E49:$Z49,MIN(AD$6-$E$3,22))),0))-IF($G$2,0,IF((AD$6-$G$3)&lt;1,0,IFERROR(LOOKUP(2,1/(Sorgo!$E49:INDEX(Sorgo!$E49:$Z49,MIN(AD$6-$G$3,22))&lt;&gt;""),Sorgo!$E49:INDEX(Sorgo!$E49:$Z49,MIN(AD$6-$G$3,22))),0)))))</f>
        <v>0</v>
      </c>
      <c r="AE51" s="27" t="n">
        <f aca="false">IF(COUNT(Sorgo!$E49:$Z49)=0,0,MAX(0,IF((AE$6-$E$3)&lt;1,0,IFERROR(LOOKUP(2,1/(Sorgo!$E49:INDEX(Sorgo!$E49:$Z49,MIN(AE$6-$E$3,22))&lt;&gt;""),Sorgo!$E49:INDEX(Sorgo!$E49:$Z49,MIN(AE$6-$E$3,22))),0))-IF($G$2,0,IF((AE$6-$G$3)&lt;1,0,IFERROR(LOOKUP(2,1/(Sorgo!$E49:INDEX(Sorgo!$E49:$Z49,MIN(AE$6-$G$3,22))&lt;&gt;""),Sorgo!$E49:INDEX(Sorgo!$E49:$Z49,MIN(AE$6-$G$3,22))),0)))))</f>
        <v>0</v>
      </c>
      <c r="AF51" s="27" t="n">
        <f aca="false">IF(COUNT(Sorgo!$E49:$Z49)=0,0,MAX(0,IF((AF$6-$E$3)&lt;1,0,IFERROR(LOOKUP(2,1/(Sorgo!$E49:INDEX(Sorgo!$E49:$Z49,MIN(AF$6-$E$3,22))&lt;&gt;""),Sorgo!$E49:INDEX(Sorgo!$E49:$Z49,MIN(AF$6-$E$3,22))),0))-IF($G$2,0,IF((AF$6-$G$3)&lt;1,0,IFERROR(LOOKUP(2,1/(Sorgo!$E49:INDEX(Sorgo!$E49:$Z49,MIN(AF$6-$G$3,22))&lt;&gt;""),Sorgo!$E49:INDEX(Sorgo!$E49:$Z49,MIN(AF$6-$G$3,22))),0)))))</f>
        <v>0</v>
      </c>
      <c r="AG51" s="27" t="n">
        <f aca="false">IF(COUNT(Sorgo!$E49:$Z49)=0,0,MAX(0,IF((AG$6-$E$3)&lt;1,0,IFERROR(LOOKUP(2,1/(Sorgo!$E49:INDEX(Sorgo!$E49:$Z49,MIN(AG$6-$E$3,22))&lt;&gt;""),Sorgo!$E49:INDEX(Sorgo!$E49:$Z49,MIN(AG$6-$E$3,22))),0))-IF($G$2,0,IF((AG$6-$G$3)&lt;1,0,IFERROR(LOOKUP(2,1/(Sorgo!$E49:INDEX(Sorgo!$E49:$Z49,MIN(AG$6-$G$3,22))&lt;&gt;""),Sorgo!$E49:INDEX(Sorgo!$E49:$Z49,MIN(AG$6-$G$3,22))),0)))))</f>
        <v>0</v>
      </c>
      <c r="AH51" s="27" t="n">
        <f aca="false">IF(COUNT(Sorgo!$E49:$Z49)=0,0,MAX(0,IF((AH$6-$E$3)&lt;1,0,IFERROR(LOOKUP(2,1/(Sorgo!$E49:INDEX(Sorgo!$E49:$Z49,MIN(AH$6-$E$3,22))&lt;&gt;""),Sorgo!$E49:INDEX(Sorgo!$E49:$Z49,MIN(AH$6-$E$3,22))),0))-IF($G$2,0,IF((AH$6-$G$3)&lt;1,0,IFERROR(LOOKUP(2,1/(Sorgo!$E49:INDEX(Sorgo!$E49:$Z49,MIN(AH$6-$G$3,22))&lt;&gt;""),Sorgo!$E49:INDEX(Sorgo!$E49:$Z49,MIN(AH$6-$G$3,22))),0)))))</f>
        <v>0</v>
      </c>
      <c r="AI51" s="27" t="n">
        <f aca="false">IF(COUNT(Sorgo!$E49:$Z49)=0,0,MAX(0,IF((AI$6-$E$3)&lt;1,0,IFERROR(LOOKUP(2,1/(Sorgo!$E49:INDEX(Sorgo!$E49:$Z49,MIN(AI$6-$E$3,22))&lt;&gt;""),Sorgo!$E49:INDEX(Sorgo!$E49:$Z49,MIN(AI$6-$E$3,22))),0))-IF($G$2,0,IF((AI$6-$G$3)&lt;1,0,IFERROR(LOOKUP(2,1/(Sorgo!$E49:INDEX(Sorgo!$E49:$Z49,MIN(AI$6-$G$3,22))&lt;&gt;""),Sorgo!$E49:INDEX(Sorgo!$E49:$Z49,MIN(AI$6-$G$3,22))),0)))))</f>
        <v>0</v>
      </c>
      <c r="AJ51" s="27" t="n">
        <f aca="false">IF(COUNT(Sorgo!$E49:$Z49)=0,0,MAX(0,IF((AJ$6-$E$3)&lt;1,0,IFERROR(LOOKUP(2,1/(Sorgo!$E49:INDEX(Sorgo!$E49:$Z49,MIN(AJ$6-$E$3,22))&lt;&gt;""),Sorgo!$E49:INDEX(Sorgo!$E49:$Z49,MIN(AJ$6-$E$3,22))),0))-IF($G$2,0,IF((AJ$6-$G$3)&lt;1,0,IFERROR(LOOKUP(2,1/(Sorgo!$E49:INDEX(Sorgo!$E49:$Z49,MIN(AJ$6-$G$3,22))&lt;&gt;""),Sorgo!$E49:INDEX(Sorgo!$E49:$Z49,MIN(AJ$6-$G$3,22))),0)))))</f>
        <v>0</v>
      </c>
      <c r="AK51" s="27" t="n">
        <f aca="false">IF(COUNT(Sorgo!$E49:$Z49)=0,0,MAX(0,IF((AK$6-$E$3)&lt;1,0,IFERROR(LOOKUP(2,1/(Sorgo!$E49:INDEX(Sorgo!$E49:$Z49,MIN(AK$6-$E$3,22))&lt;&gt;""),Sorgo!$E49:INDEX(Sorgo!$E49:$Z49,MIN(AK$6-$E$3,22))),0))-IF($G$2,0,IF((AK$6-$G$3)&lt;1,0,IFERROR(LOOKUP(2,1/(Sorgo!$E49:INDEX(Sorgo!$E49:$Z49,MIN(AK$6-$G$3,22))&lt;&gt;""),Sorgo!$E49:INDEX(Sorgo!$E49:$Z49,MIN(AK$6-$G$3,22))),0)))))</f>
        <v>0</v>
      </c>
      <c r="AL51" s="27" t="n">
        <f aca="false">IF(COUNT(Sorgo!$E49:$Z49)=0,0,MAX(0,IF((AL$6-$E$3)&lt;1,0,IFERROR(LOOKUP(2,1/(Sorgo!$E49:INDEX(Sorgo!$E49:$Z49,MIN(AL$6-$E$3,22))&lt;&gt;""),Sorgo!$E49:INDEX(Sorgo!$E49:$Z49,MIN(AL$6-$E$3,22))),0))-IF($G$2,0,IF((AL$6-$G$3)&lt;1,0,IFERROR(LOOKUP(2,1/(Sorgo!$E49:INDEX(Sorgo!$E49:$Z49,MIN(AL$6-$G$3,22))&lt;&gt;""),Sorgo!$E49:INDEX(Sorgo!$E49:$Z49,MIN(AL$6-$G$3,22))),0)))))</f>
        <v>0</v>
      </c>
      <c r="AM51" s="27" t="n">
        <f aca="false">IF(COUNT(Sorgo!$E49:$Z49)=0,0,MAX(0,IF((AM$6-$E$3)&lt;1,0,IFERROR(LOOKUP(2,1/(Sorgo!$E49:INDEX(Sorgo!$E49:$Z49,MIN(AM$6-$E$3,22))&lt;&gt;""),Sorgo!$E49:INDEX(Sorgo!$E49:$Z49,MIN(AM$6-$E$3,22))),0))-IF($G$2,0,IF((AM$6-$G$3)&lt;1,0,IFERROR(LOOKUP(2,1/(Sorgo!$E49:INDEX(Sorgo!$E49:$Z49,MIN(AM$6-$G$3,22))&lt;&gt;""),Sorgo!$E49:INDEX(Sorgo!$E49:$Z49,MIN(AM$6-$G$3,22))),0)))))</f>
        <v>0</v>
      </c>
      <c r="AN51" s="27" t="n">
        <f aca="false">IF(COUNT(Sorgo!$E49:$Z49)=0,0,MAX(0,IF((AN$6-$E$3)&lt;1,0,IFERROR(LOOKUP(2,1/(Sorgo!$E49:INDEX(Sorgo!$E49:$Z49,MIN(AN$6-$E$3,22))&lt;&gt;""),Sorgo!$E49:INDEX(Sorgo!$E49:$Z49,MIN(AN$6-$E$3,22))),0))-IF($G$2,0,IF((AN$6-$G$3)&lt;1,0,IFERROR(LOOKUP(2,1/(Sorgo!$E49:INDEX(Sorgo!$E49:$Z49,MIN(AN$6-$G$3,22))&lt;&gt;""),Sorgo!$E49:INDEX(Sorgo!$E49:$Z49,MIN(AN$6-$G$3,22))),0)))))</f>
        <v>0</v>
      </c>
      <c r="AO51" s="27" t="n">
        <f aca="false">IF(COUNT(Sorgo!$E49:$Z49)=0,0,MAX(0,IF((AO$6-$E$3)&lt;1,0,IFERROR(LOOKUP(2,1/(Sorgo!$E49:INDEX(Sorgo!$E49:$Z49,MIN(AO$6-$E$3,22))&lt;&gt;""),Sorgo!$E49:INDEX(Sorgo!$E49:$Z49,MIN(AO$6-$E$3,22))),0))-IF($G$2,0,IF((AO$6-$G$3)&lt;1,0,IFERROR(LOOKUP(2,1/(Sorgo!$E49:INDEX(Sorgo!$E49:$Z49,MIN(AO$6-$G$3,22))&lt;&gt;""),Sorgo!$E49:INDEX(Sorgo!$E49:$Z49,MIN(AO$6-$G$3,22))),0)))))</f>
        <v>0</v>
      </c>
      <c r="AP51" s="27" t="n">
        <f aca="false">IF(COUNT(Sorgo!$E49:$Z49)=0,0,MAX(0,IF((AP$6-$E$3)&lt;1,0,IFERROR(LOOKUP(2,1/(Sorgo!$E49:INDEX(Sorgo!$E49:$Z49,MIN(AP$6-$E$3,22))&lt;&gt;""),Sorgo!$E49:INDEX(Sorgo!$E49:$Z49,MIN(AP$6-$E$3,22))),0))-IF($G$2,0,IF((AP$6-$G$3)&lt;1,0,IFERROR(LOOKUP(2,1/(Sorgo!$E49:INDEX(Sorgo!$E49:$Z49,MIN(AP$6-$G$3,22))&lt;&gt;""),Sorgo!$E49:INDEX(Sorgo!$E49:$Z49,MIN(AP$6-$G$3,22))),0)))))</f>
        <v>0</v>
      </c>
      <c r="AQ51" s="27" t="n">
        <f aca="false">IF(COUNT(Sorgo!$E49:$Z49)=0,0,MAX(0,IF((AQ$6-$E$3)&lt;1,0,IFERROR(LOOKUP(2,1/(Sorgo!$E49:INDEX(Sorgo!$E49:$Z49,MIN(AQ$6-$E$3,22))&lt;&gt;""),Sorgo!$E49:INDEX(Sorgo!$E49:$Z49,MIN(AQ$6-$E$3,22))),0))-IF($G$2,0,IF((AQ$6-$G$3)&lt;1,0,IFERROR(LOOKUP(2,1/(Sorgo!$E49:INDEX(Sorgo!$E49:$Z49,MIN(AQ$6-$G$3,22))&lt;&gt;""),Sorgo!$E49:INDEX(Sorgo!$E49:$Z49,MIN(AQ$6-$G$3,22))),0)))))</f>
        <v>0</v>
      </c>
      <c r="AR51" s="27" t="n">
        <f aca="false">IF(COUNT(Sorgo!$E49:$Z49)=0,0,MAX(0,IF((AR$6-$E$3)&lt;1,0,IFERROR(LOOKUP(2,1/(Sorgo!$E49:INDEX(Sorgo!$E49:$Z49,MIN(AR$6-$E$3,22))&lt;&gt;""),Sorgo!$E49:INDEX(Sorgo!$E49:$Z49,MIN(AR$6-$E$3,22))),0))-IF($G$2,0,IF((AR$6-$G$3)&lt;1,0,IFERROR(LOOKUP(2,1/(Sorgo!$E49:INDEX(Sorgo!$E49:$Z49,MIN(AR$6-$G$3,22))&lt;&gt;""),Sorgo!$E49:INDEX(Sorgo!$E49:$Z49,MIN(AR$6-$G$3,22))),0)))))</f>
        <v>0</v>
      </c>
      <c r="AS51" s="27" t="n">
        <f aca="false">IF(COUNT(Sorgo!$E49:$Z49)=0,0,MAX(0,IF((AS$6-$E$3)&lt;1,0,IFERROR(LOOKUP(2,1/(Sorgo!$E49:INDEX(Sorgo!$E49:$Z49,MIN(AS$6-$E$3,22))&lt;&gt;""),Sorgo!$E49:INDEX(Sorgo!$E49:$Z49,MIN(AS$6-$E$3,22))),0))-IF($G$2,0,IF((AS$6-$G$3)&lt;1,0,IFERROR(LOOKUP(2,1/(Sorgo!$E49:INDEX(Sorgo!$E49:$Z49,MIN(AS$6-$G$3,22))&lt;&gt;""),Sorgo!$E49:INDEX(Sorgo!$E49:$Z49,MIN(AS$6-$G$3,22))),0)))))</f>
        <v>0</v>
      </c>
      <c r="AT51" s="27" t="n">
        <f aca="false">IF(COUNT(Sorgo!$E49:$Z49)=0,0,MAX(0,IF((AT$6-$E$3)&lt;1,0,IFERROR(LOOKUP(2,1/(Sorgo!$E49:INDEX(Sorgo!$E49:$Z49,MIN(AT$6-$E$3,22))&lt;&gt;""),Sorgo!$E49:INDEX(Sorgo!$E49:$Z49,MIN(AT$6-$E$3,22))),0))-IF($G$2,0,IF((AT$6-$G$3)&lt;1,0,IFERROR(LOOKUP(2,1/(Sorgo!$E49:INDEX(Sorgo!$E49:$Z49,MIN(AT$6-$G$3,22))&lt;&gt;""),Sorgo!$E49:INDEX(Sorgo!$E49:$Z49,MIN(AT$6-$G$3,22))),0)))))</f>
        <v>0</v>
      </c>
      <c r="AU51" s="27" t="n">
        <f aca="false">IF(COUNT(Sorgo!$E49:$Z49)=0,0,MAX(0,IF((AU$6-$E$3)&lt;1,0,IFERROR(LOOKUP(2,1/(Sorgo!$E49:INDEX(Sorgo!$E49:$Z49,MIN(AU$6-$E$3,22))&lt;&gt;""),Sorgo!$E49:INDEX(Sorgo!$E49:$Z49,MIN(AU$6-$E$3,22))),0))-IF($G$2,0,IF((AU$6-$G$3)&lt;1,0,IFERROR(LOOKUP(2,1/(Sorgo!$E49:INDEX(Sorgo!$E49:$Z49,MIN(AU$6-$G$3,22))&lt;&gt;""),Sorgo!$E49:INDEX(Sorgo!$E49:$Z49,MIN(AU$6-$G$3,22))),0)))))</f>
        <v>0</v>
      </c>
      <c r="AV51" s="27" t="n">
        <f aca="false">IF(COUNT(Sorgo!$E49:$Z49)=0,0,MAX(0,IF((AV$6-$E$3)&lt;1,0,IFERROR(LOOKUP(2,1/(Sorgo!$E49:INDEX(Sorgo!$E49:$Z49,MIN(AV$6-$E$3,22))&lt;&gt;""),Sorgo!$E49:INDEX(Sorgo!$E49:$Z49,MIN(AV$6-$E$3,22))),0))-IF($G$2,0,IF((AV$6-$G$3)&lt;1,0,IFERROR(LOOKUP(2,1/(Sorgo!$E49:INDEX(Sorgo!$E49:$Z49,MIN(AV$6-$G$3,22))&lt;&gt;""),Sorgo!$E49:INDEX(Sorgo!$E49:$Z49,MIN(AV$6-$G$3,22))),0)))))</f>
        <v>0</v>
      </c>
      <c r="AW51" s="27" t="n">
        <f aca="false">IF(COUNT(Sorgo!$E49:$Z49)=0,0,MAX(0,IF((AW$6-$E$3)&lt;1,0,IFERROR(LOOKUP(2,1/(Sorgo!$E49:INDEX(Sorgo!$E49:$Z49,MIN(AW$6-$E$3,22))&lt;&gt;""),Sorgo!$E49:INDEX(Sorgo!$E49:$Z49,MIN(AW$6-$E$3,22))),0))-IF($G$2,0,IF((AW$6-$G$3)&lt;1,0,IFERROR(LOOKUP(2,1/(Sorgo!$E49:INDEX(Sorgo!$E49:$Z49,MIN(AW$6-$G$3,22))&lt;&gt;""),Sorgo!$E49:INDEX(Sorgo!$E49:$Z49,MIN(AW$6-$G$3,22))),0)))))</f>
        <v>0</v>
      </c>
      <c r="AX51" s="27" t="n">
        <f aca="false">IF(COUNT(Sorgo!$E49:$Z49)=0,0,MAX(0,IF((AX$6-$E$3)&lt;1,0,IFERROR(LOOKUP(2,1/(Sorgo!$E49:INDEX(Sorgo!$E49:$Z49,MIN(AX$6-$E$3,22))&lt;&gt;""),Sorgo!$E49:INDEX(Sorgo!$E49:$Z49,MIN(AX$6-$E$3,22))),0))-IF($G$2,0,IF((AX$6-$G$3)&lt;1,0,IFERROR(LOOKUP(2,1/(Sorgo!$E49:INDEX(Sorgo!$E49:$Z49,MIN(AX$6-$G$3,22))&lt;&gt;""),Sorgo!$E49:INDEX(Sorgo!$E49:$Z49,MIN(AX$6-$G$3,22))),0)))))</f>
        <v>0</v>
      </c>
      <c r="AY51" s="27" t="n">
        <f aca="false">IF(COUNT(Sorgo!$E49:$Z49)=0,0,MAX(0,IF((AY$6-$E$3)&lt;1,0,IFERROR(LOOKUP(2,1/(Sorgo!$E49:INDEX(Sorgo!$E49:$Z49,MIN(AY$6-$E$3,22))&lt;&gt;""),Sorgo!$E49:INDEX(Sorgo!$E49:$Z49,MIN(AY$6-$E$3,22))),0))-IF($G$2,0,IF((AY$6-$G$3)&lt;1,0,IFERROR(LOOKUP(2,1/(Sorgo!$E49:INDEX(Sorgo!$E49:$Z49,MIN(AY$6-$G$3,22))&lt;&gt;""),Sorgo!$E49:INDEX(Sorgo!$E49:$Z49,MIN(AY$6-$G$3,22))),0)))))</f>
        <v>0</v>
      </c>
      <c r="AZ51" s="27" t="n">
        <f aca="false">IF(COUNT(Sorgo!$E49:$Z49)=0,0,MAX(0,IF((AZ$6-$E$3)&lt;1,0,IFERROR(LOOKUP(2,1/(Sorgo!$E49:INDEX(Sorgo!$E49:$Z49,MIN(AZ$6-$E$3,22))&lt;&gt;""),Sorgo!$E49:INDEX(Sorgo!$E49:$Z49,MIN(AZ$6-$E$3,22))),0))-IF($G$2,0,IF((AZ$6-$G$3)&lt;1,0,IFERROR(LOOKUP(2,1/(Sorgo!$E49:INDEX(Sorgo!$E49:$Z49,MIN(AZ$6-$G$3,22))&lt;&gt;""),Sorgo!$E49:INDEX(Sorgo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IF(COUNT(Sorgo!$E50:$Z50)&gt;0,N(Sorgo!$D50),0)</f>
        <v>0</v>
      </c>
      <c r="E52" s="27" t="n">
        <f aca="false">IF(COUNT(Sorgo!$E50:$Z50)=0,0,MAX(0,IF((E$6-$E$3)&lt;1,0,IFERROR(LOOKUP(2,1/(Sorgo!$E50:INDEX(Sorgo!$E50:$Z50,MIN(E$6-$E$3,22))&lt;&gt;""),Sorgo!$E50:INDEX(Sorgo!$E50:$Z50,MIN(E$6-$E$3,22))),0))-IF($G$2,0,IF((E$6-$G$3)&lt;1,0,IFERROR(LOOKUP(2,1/(Sorgo!$E50:INDEX(Sorgo!$E50:$Z50,MIN(E$6-$G$3,22))&lt;&gt;""),Sorgo!$E50:INDEX(Sorgo!$E50:$Z50,MIN(E$6-$G$3,22))),0)))))</f>
        <v>0</v>
      </c>
      <c r="F52" s="27" t="n">
        <f aca="false">IF(COUNT(Sorgo!$E50:$Z50)=0,0,MAX(0,IF((F$6-$E$3)&lt;1,0,IFERROR(LOOKUP(2,1/(Sorgo!$E50:INDEX(Sorgo!$E50:$Z50,MIN(F$6-$E$3,22))&lt;&gt;""),Sorgo!$E50:INDEX(Sorgo!$E50:$Z50,MIN(F$6-$E$3,22))),0))-IF($G$2,0,IF((F$6-$G$3)&lt;1,0,IFERROR(LOOKUP(2,1/(Sorgo!$E50:INDEX(Sorgo!$E50:$Z50,MIN(F$6-$G$3,22))&lt;&gt;""),Sorgo!$E50:INDEX(Sorgo!$E50:$Z50,MIN(F$6-$G$3,22))),0)))))</f>
        <v>0</v>
      </c>
      <c r="G52" s="27" t="n">
        <f aca="false">IF(COUNT(Sorgo!$E50:$Z50)=0,0,MAX(0,IF((G$6-$E$3)&lt;1,0,IFERROR(LOOKUP(2,1/(Sorgo!$E50:INDEX(Sorgo!$E50:$Z50,MIN(G$6-$E$3,22))&lt;&gt;""),Sorgo!$E50:INDEX(Sorgo!$E50:$Z50,MIN(G$6-$E$3,22))),0))-IF($G$2,0,IF((G$6-$G$3)&lt;1,0,IFERROR(LOOKUP(2,1/(Sorgo!$E50:INDEX(Sorgo!$E50:$Z50,MIN(G$6-$G$3,22))&lt;&gt;""),Sorgo!$E50:INDEX(Sorgo!$E50:$Z50,MIN(G$6-$G$3,22))),0)))))</f>
        <v>0</v>
      </c>
      <c r="H52" s="27" t="n">
        <f aca="false">IF(COUNT(Sorgo!$E50:$Z50)=0,0,MAX(0,IF((H$6-$E$3)&lt;1,0,IFERROR(LOOKUP(2,1/(Sorgo!$E50:INDEX(Sorgo!$E50:$Z50,MIN(H$6-$E$3,22))&lt;&gt;""),Sorgo!$E50:INDEX(Sorgo!$E50:$Z50,MIN(H$6-$E$3,22))),0))-IF($G$2,0,IF((H$6-$G$3)&lt;1,0,IFERROR(LOOKUP(2,1/(Sorgo!$E50:INDEX(Sorgo!$E50:$Z50,MIN(H$6-$G$3,22))&lt;&gt;""),Sorgo!$E50:INDEX(Sorgo!$E50:$Z50,MIN(H$6-$G$3,22))),0)))))</f>
        <v>0</v>
      </c>
      <c r="I52" s="27" t="n">
        <f aca="false">IF(COUNT(Sorgo!$E50:$Z50)=0,0,MAX(0,IF((I$6-$E$3)&lt;1,0,IFERROR(LOOKUP(2,1/(Sorgo!$E50:INDEX(Sorgo!$E50:$Z50,MIN(I$6-$E$3,22))&lt;&gt;""),Sorgo!$E50:INDEX(Sorgo!$E50:$Z50,MIN(I$6-$E$3,22))),0))-IF($G$2,0,IF((I$6-$G$3)&lt;1,0,IFERROR(LOOKUP(2,1/(Sorgo!$E50:INDEX(Sorgo!$E50:$Z50,MIN(I$6-$G$3,22))&lt;&gt;""),Sorgo!$E50:INDEX(Sorgo!$E50:$Z50,MIN(I$6-$G$3,22))),0)))))</f>
        <v>0</v>
      </c>
      <c r="J52" s="27" t="n">
        <f aca="false">IF(COUNT(Sorgo!$E50:$Z50)=0,0,MAX(0,IF((J$6-$E$3)&lt;1,0,IFERROR(LOOKUP(2,1/(Sorgo!$E50:INDEX(Sorgo!$E50:$Z50,MIN(J$6-$E$3,22))&lt;&gt;""),Sorgo!$E50:INDEX(Sorgo!$E50:$Z50,MIN(J$6-$E$3,22))),0))-IF($G$2,0,IF((J$6-$G$3)&lt;1,0,IFERROR(LOOKUP(2,1/(Sorgo!$E50:INDEX(Sorgo!$E50:$Z50,MIN(J$6-$G$3,22))&lt;&gt;""),Sorgo!$E50:INDEX(Sorgo!$E50:$Z50,MIN(J$6-$G$3,22))),0)))))</f>
        <v>0</v>
      </c>
      <c r="K52" s="27" t="n">
        <f aca="false">IF(COUNT(Sorgo!$E50:$Z50)=0,0,MAX(0,IF((K$6-$E$3)&lt;1,0,IFERROR(LOOKUP(2,1/(Sorgo!$E50:INDEX(Sorgo!$E50:$Z50,MIN(K$6-$E$3,22))&lt;&gt;""),Sorgo!$E50:INDEX(Sorgo!$E50:$Z50,MIN(K$6-$E$3,22))),0))-IF($G$2,0,IF((K$6-$G$3)&lt;1,0,IFERROR(LOOKUP(2,1/(Sorgo!$E50:INDEX(Sorgo!$E50:$Z50,MIN(K$6-$G$3,22))&lt;&gt;""),Sorgo!$E50:INDEX(Sorgo!$E50:$Z50,MIN(K$6-$G$3,22))),0)))))</f>
        <v>0</v>
      </c>
      <c r="L52" s="27" t="n">
        <f aca="false">IF(COUNT(Sorgo!$E50:$Z50)=0,0,MAX(0,IF((L$6-$E$3)&lt;1,0,IFERROR(LOOKUP(2,1/(Sorgo!$E50:INDEX(Sorgo!$E50:$Z50,MIN(L$6-$E$3,22))&lt;&gt;""),Sorgo!$E50:INDEX(Sorgo!$E50:$Z50,MIN(L$6-$E$3,22))),0))-IF($G$2,0,IF((L$6-$G$3)&lt;1,0,IFERROR(LOOKUP(2,1/(Sorgo!$E50:INDEX(Sorgo!$E50:$Z50,MIN(L$6-$G$3,22))&lt;&gt;""),Sorgo!$E50:INDEX(Sorgo!$E50:$Z50,MIN(L$6-$G$3,22))),0)))))</f>
        <v>0</v>
      </c>
      <c r="M52" s="27" t="n">
        <f aca="false">IF(COUNT(Sorgo!$E50:$Z50)=0,0,MAX(0,IF((M$6-$E$3)&lt;1,0,IFERROR(LOOKUP(2,1/(Sorgo!$E50:INDEX(Sorgo!$E50:$Z50,MIN(M$6-$E$3,22))&lt;&gt;""),Sorgo!$E50:INDEX(Sorgo!$E50:$Z50,MIN(M$6-$E$3,22))),0))-IF($G$2,0,IF((M$6-$G$3)&lt;1,0,IFERROR(LOOKUP(2,1/(Sorgo!$E50:INDEX(Sorgo!$E50:$Z50,MIN(M$6-$G$3,22))&lt;&gt;""),Sorgo!$E50:INDEX(Sorgo!$E50:$Z50,MIN(M$6-$G$3,22))),0)))))</f>
        <v>0</v>
      </c>
      <c r="N52" s="27" t="n">
        <f aca="false">IF(COUNT(Sorgo!$E50:$Z50)=0,0,MAX(0,IF((N$6-$E$3)&lt;1,0,IFERROR(LOOKUP(2,1/(Sorgo!$E50:INDEX(Sorgo!$E50:$Z50,MIN(N$6-$E$3,22))&lt;&gt;""),Sorgo!$E50:INDEX(Sorgo!$E50:$Z50,MIN(N$6-$E$3,22))),0))-IF($G$2,0,IF((N$6-$G$3)&lt;1,0,IFERROR(LOOKUP(2,1/(Sorgo!$E50:INDEX(Sorgo!$E50:$Z50,MIN(N$6-$G$3,22))&lt;&gt;""),Sorgo!$E50:INDEX(Sorgo!$E50:$Z50,MIN(N$6-$G$3,22))),0)))))</f>
        <v>0</v>
      </c>
      <c r="O52" s="27" t="n">
        <f aca="false">IF(COUNT(Sorgo!$E50:$Z50)=0,0,MAX(0,IF((O$6-$E$3)&lt;1,0,IFERROR(LOOKUP(2,1/(Sorgo!$E50:INDEX(Sorgo!$E50:$Z50,MIN(O$6-$E$3,22))&lt;&gt;""),Sorgo!$E50:INDEX(Sorgo!$E50:$Z50,MIN(O$6-$E$3,22))),0))-IF($G$2,0,IF((O$6-$G$3)&lt;1,0,IFERROR(LOOKUP(2,1/(Sorgo!$E50:INDEX(Sorgo!$E50:$Z50,MIN(O$6-$G$3,22))&lt;&gt;""),Sorgo!$E50:INDEX(Sorgo!$E50:$Z50,MIN(O$6-$G$3,22))),0)))))</f>
        <v>0</v>
      </c>
      <c r="P52" s="27" t="n">
        <f aca="false">IF(COUNT(Sorgo!$E50:$Z50)=0,0,MAX(0,IF((P$6-$E$3)&lt;1,0,IFERROR(LOOKUP(2,1/(Sorgo!$E50:INDEX(Sorgo!$E50:$Z50,MIN(P$6-$E$3,22))&lt;&gt;""),Sorgo!$E50:INDEX(Sorgo!$E50:$Z50,MIN(P$6-$E$3,22))),0))-IF($G$2,0,IF((P$6-$G$3)&lt;1,0,IFERROR(LOOKUP(2,1/(Sorgo!$E50:INDEX(Sorgo!$E50:$Z50,MIN(P$6-$G$3,22))&lt;&gt;""),Sorgo!$E50:INDEX(Sorgo!$E50:$Z50,MIN(P$6-$G$3,22))),0)))))</f>
        <v>0</v>
      </c>
      <c r="Q52" s="27" t="n">
        <f aca="false">IF(COUNT(Sorgo!$E50:$Z50)=0,0,MAX(0,IF((Q$6-$E$3)&lt;1,0,IFERROR(LOOKUP(2,1/(Sorgo!$E50:INDEX(Sorgo!$E50:$Z50,MIN(Q$6-$E$3,22))&lt;&gt;""),Sorgo!$E50:INDEX(Sorgo!$E50:$Z50,MIN(Q$6-$E$3,22))),0))-IF($G$2,0,IF((Q$6-$G$3)&lt;1,0,IFERROR(LOOKUP(2,1/(Sorgo!$E50:INDEX(Sorgo!$E50:$Z50,MIN(Q$6-$G$3,22))&lt;&gt;""),Sorgo!$E50:INDEX(Sorgo!$E50:$Z50,MIN(Q$6-$G$3,22))),0)))))</f>
        <v>0</v>
      </c>
      <c r="R52" s="27" t="n">
        <f aca="false">IF(COUNT(Sorgo!$E50:$Z50)=0,0,MAX(0,IF((R$6-$E$3)&lt;1,0,IFERROR(LOOKUP(2,1/(Sorgo!$E50:INDEX(Sorgo!$E50:$Z50,MIN(R$6-$E$3,22))&lt;&gt;""),Sorgo!$E50:INDEX(Sorgo!$E50:$Z50,MIN(R$6-$E$3,22))),0))-IF($G$2,0,IF((R$6-$G$3)&lt;1,0,IFERROR(LOOKUP(2,1/(Sorgo!$E50:INDEX(Sorgo!$E50:$Z50,MIN(R$6-$G$3,22))&lt;&gt;""),Sorgo!$E50:INDEX(Sorgo!$E50:$Z50,MIN(R$6-$G$3,22))),0)))))</f>
        <v>0</v>
      </c>
      <c r="S52" s="27" t="n">
        <f aca="false">IF(COUNT(Sorgo!$E50:$Z50)=0,0,MAX(0,IF((S$6-$E$3)&lt;1,0,IFERROR(LOOKUP(2,1/(Sorgo!$E50:INDEX(Sorgo!$E50:$Z50,MIN(S$6-$E$3,22))&lt;&gt;""),Sorgo!$E50:INDEX(Sorgo!$E50:$Z50,MIN(S$6-$E$3,22))),0))-IF($G$2,0,IF((S$6-$G$3)&lt;1,0,IFERROR(LOOKUP(2,1/(Sorgo!$E50:INDEX(Sorgo!$E50:$Z50,MIN(S$6-$G$3,22))&lt;&gt;""),Sorgo!$E50:INDEX(Sorgo!$E50:$Z50,MIN(S$6-$G$3,22))),0)))))</f>
        <v>0</v>
      </c>
      <c r="T52" s="27" t="n">
        <f aca="false">IF(COUNT(Sorgo!$E50:$Z50)=0,0,MAX(0,IF((T$6-$E$3)&lt;1,0,IFERROR(LOOKUP(2,1/(Sorgo!$E50:INDEX(Sorgo!$E50:$Z50,MIN(T$6-$E$3,22))&lt;&gt;""),Sorgo!$E50:INDEX(Sorgo!$E50:$Z50,MIN(T$6-$E$3,22))),0))-IF($G$2,0,IF((T$6-$G$3)&lt;1,0,IFERROR(LOOKUP(2,1/(Sorgo!$E50:INDEX(Sorgo!$E50:$Z50,MIN(T$6-$G$3,22))&lt;&gt;""),Sorgo!$E50:INDEX(Sorgo!$E50:$Z50,MIN(T$6-$G$3,22))),0)))))</f>
        <v>0</v>
      </c>
      <c r="U52" s="27" t="n">
        <f aca="false">IF(COUNT(Sorgo!$E50:$Z50)=0,0,MAX(0,IF((U$6-$E$3)&lt;1,0,IFERROR(LOOKUP(2,1/(Sorgo!$E50:INDEX(Sorgo!$E50:$Z50,MIN(U$6-$E$3,22))&lt;&gt;""),Sorgo!$E50:INDEX(Sorgo!$E50:$Z50,MIN(U$6-$E$3,22))),0))-IF($G$2,0,IF((U$6-$G$3)&lt;1,0,IFERROR(LOOKUP(2,1/(Sorgo!$E50:INDEX(Sorgo!$E50:$Z50,MIN(U$6-$G$3,22))&lt;&gt;""),Sorgo!$E50:INDEX(Sorgo!$E50:$Z50,MIN(U$6-$G$3,22))),0)))))</f>
        <v>0</v>
      </c>
      <c r="V52" s="27" t="n">
        <f aca="false">IF(COUNT(Sorgo!$E50:$Z50)=0,0,MAX(0,IF((V$6-$E$3)&lt;1,0,IFERROR(LOOKUP(2,1/(Sorgo!$E50:INDEX(Sorgo!$E50:$Z50,MIN(V$6-$E$3,22))&lt;&gt;""),Sorgo!$E50:INDEX(Sorgo!$E50:$Z50,MIN(V$6-$E$3,22))),0))-IF($G$2,0,IF((V$6-$G$3)&lt;1,0,IFERROR(LOOKUP(2,1/(Sorgo!$E50:INDEX(Sorgo!$E50:$Z50,MIN(V$6-$G$3,22))&lt;&gt;""),Sorgo!$E50:INDEX(Sorgo!$E50:$Z50,MIN(V$6-$G$3,22))),0)))))</f>
        <v>0</v>
      </c>
      <c r="W52" s="27" t="n">
        <f aca="false">IF(COUNT(Sorgo!$E50:$Z50)=0,0,MAX(0,IF((W$6-$E$3)&lt;1,0,IFERROR(LOOKUP(2,1/(Sorgo!$E50:INDEX(Sorgo!$E50:$Z50,MIN(W$6-$E$3,22))&lt;&gt;""),Sorgo!$E50:INDEX(Sorgo!$E50:$Z50,MIN(W$6-$E$3,22))),0))-IF($G$2,0,IF((W$6-$G$3)&lt;1,0,IFERROR(LOOKUP(2,1/(Sorgo!$E50:INDEX(Sorgo!$E50:$Z50,MIN(W$6-$G$3,22))&lt;&gt;""),Sorgo!$E50:INDEX(Sorgo!$E50:$Z50,MIN(W$6-$G$3,22))),0)))))</f>
        <v>0</v>
      </c>
      <c r="X52" s="27" t="n">
        <f aca="false">IF(COUNT(Sorgo!$E50:$Z50)=0,0,MAX(0,IF((X$6-$E$3)&lt;1,0,IFERROR(LOOKUP(2,1/(Sorgo!$E50:INDEX(Sorgo!$E50:$Z50,MIN(X$6-$E$3,22))&lt;&gt;""),Sorgo!$E50:INDEX(Sorgo!$E50:$Z50,MIN(X$6-$E$3,22))),0))-IF($G$2,0,IF((X$6-$G$3)&lt;1,0,IFERROR(LOOKUP(2,1/(Sorgo!$E50:INDEX(Sorgo!$E50:$Z50,MIN(X$6-$G$3,22))&lt;&gt;""),Sorgo!$E50:INDEX(Sorgo!$E50:$Z50,MIN(X$6-$G$3,22))),0)))))</f>
        <v>0</v>
      </c>
      <c r="Y52" s="27" t="n">
        <f aca="false">IF(COUNT(Sorgo!$E50:$Z50)=0,0,MAX(0,IF((Y$6-$E$3)&lt;1,0,IFERROR(LOOKUP(2,1/(Sorgo!$E50:INDEX(Sorgo!$E50:$Z50,MIN(Y$6-$E$3,22))&lt;&gt;""),Sorgo!$E50:INDEX(Sorgo!$E50:$Z50,MIN(Y$6-$E$3,22))),0))-IF($G$2,0,IF((Y$6-$G$3)&lt;1,0,IFERROR(LOOKUP(2,1/(Sorgo!$E50:INDEX(Sorgo!$E50:$Z50,MIN(Y$6-$G$3,22))&lt;&gt;""),Sorgo!$E50:INDEX(Sorgo!$E50:$Z50,MIN(Y$6-$G$3,22))),0)))))</f>
        <v>0</v>
      </c>
      <c r="Z52" s="27" t="n">
        <f aca="false">IF(COUNT(Sorgo!$E50:$Z50)=0,0,MAX(0,IF((Z$6-$E$3)&lt;1,0,IFERROR(LOOKUP(2,1/(Sorgo!$E50:INDEX(Sorgo!$E50:$Z50,MIN(Z$6-$E$3,22))&lt;&gt;""),Sorgo!$E50:INDEX(Sorgo!$E50:$Z50,MIN(Z$6-$E$3,22))),0))-IF($G$2,0,IF((Z$6-$G$3)&lt;1,0,IFERROR(LOOKUP(2,1/(Sorgo!$E50:INDEX(Sorgo!$E50:$Z50,MIN(Z$6-$G$3,22))&lt;&gt;""),Sorgo!$E50:INDEX(Sorgo!$E50:$Z50,MIN(Z$6-$G$3,22))),0)))))</f>
        <v>0</v>
      </c>
      <c r="AA52" s="27" t="n">
        <f aca="false">IF(COUNT(Sorgo!$E50:$Z50)=0,0,MAX(0,IF((AA$6-$E$3)&lt;1,0,IFERROR(LOOKUP(2,1/(Sorgo!$E50:INDEX(Sorgo!$E50:$Z50,MIN(AA$6-$E$3,22))&lt;&gt;""),Sorgo!$E50:INDEX(Sorgo!$E50:$Z50,MIN(AA$6-$E$3,22))),0))-IF($G$2,0,IF((AA$6-$G$3)&lt;1,0,IFERROR(LOOKUP(2,1/(Sorgo!$E50:INDEX(Sorgo!$E50:$Z50,MIN(AA$6-$G$3,22))&lt;&gt;""),Sorgo!$E50:INDEX(Sorgo!$E50:$Z50,MIN(AA$6-$G$3,22))),0)))))</f>
        <v>0</v>
      </c>
      <c r="AB52" s="27" t="n">
        <f aca="false">IF(COUNT(Sorgo!$E50:$Z50)=0,0,MAX(0,IF((AB$6-$E$3)&lt;1,0,IFERROR(LOOKUP(2,1/(Sorgo!$E50:INDEX(Sorgo!$E50:$Z50,MIN(AB$6-$E$3,22))&lt;&gt;""),Sorgo!$E50:INDEX(Sorgo!$E50:$Z50,MIN(AB$6-$E$3,22))),0))-IF($G$2,0,IF((AB$6-$G$3)&lt;1,0,IFERROR(LOOKUP(2,1/(Sorgo!$E50:INDEX(Sorgo!$E50:$Z50,MIN(AB$6-$G$3,22))&lt;&gt;""),Sorgo!$E50:INDEX(Sorgo!$E50:$Z50,MIN(AB$6-$G$3,22))),0)))))</f>
        <v>0</v>
      </c>
      <c r="AC52" s="27" t="n">
        <f aca="false">IF(COUNT(Sorgo!$E50:$Z50)=0,0,MAX(0,IF((AC$6-$E$3)&lt;1,0,IFERROR(LOOKUP(2,1/(Sorgo!$E50:INDEX(Sorgo!$E50:$Z50,MIN(AC$6-$E$3,22))&lt;&gt;""),Sorgo!$E50:INDEX(Sorgo!$E50:$Z50,MIN(AC$6-$E$3,22))),0))-IF($G$2,0,IF((AC$6-$G$3)&lt;1,0,IFERROR(LOOKUP(2,1/(Sorgo!$E50:INDEX(Sorgo!$E50:$Z50,MIN(AC$6-$G$3,22))&lt;&gt;""),Sorgo!$E50:INDEX(Sorgo!$E50:$Z50,MIN(AC$6-$G$3,22))),0)))))</f>
        <v>0</v>
      </c>
      <c r="AD52" s="27" t="n">
        <f aca="false">IF(COUNT(Sorgo!$E50:$Z50)=0,0,MAX(0,IF((AD$6-$E$3)&lt;1,0,IFERROR(LOOKUP(2,1/(Sorgo!$E50:INDEX(Sorgo!$E50:$Z50,MIN(AD$6-$E$3,22))&lt;&gt;""),Sorgo!$E50:INDEX(Sorgo!$E50:$Z50,MIN(AD$6-$E$3,22))),0))-IF($G$2,0,IF((AD$6-$G$3)&lt;1,0,IFERROR(LOOKUP(2,1/(Sorgo!$E50:INDEX(Sorgo!$E50:$Z50,MIN(AD$6-$G$3,22))&lt;&gt;""),Sorgo!$E50:INDEX(Sorgo!$E50:$Z50,MIN(AD$6-$G$3,22))),0)))))</f>
        <v>0</v>
      </c>
      <c r="AE52" s="27" t="n">
        <f aca="false">IF(COUNT(Sorgo!$E50:$Z50)=0,0,MAX(0,IF((AE$6-$E$3)&lt;1,0,IFERROR(LOOKUP(2,1/(Sorgo!$E50:INDEX(Sorgo!$E50:$Z50,MIN(AE$6-$E$3,22))&lt;&gt;""),Sorgo!$E50:INDEX(Sorgo!$E50:$Z50,MIN(AE$6-$E$3,22))),0))-IF($G$2,0,IF((AE$6-$G$3)&lt;1,0,IFERROR(LOOKUP(2,1/(Sorgo!$E50:INDEX(Sorgo!$E50:$Z50,MIN(AE$6-$G$3,22))&lt;&gt;""),Sorgo!$E50:INDEX(Sorgo!$E50:$Z50,MIN(AE$6-$G$3,22))),0)))))</f>
        <v>0</v>
      </c>
      <c r="AF52" s="27" t="n">
        <f aca="false">IF(COUNT(Sorgo!$E50:$Z50)=0,0,MAX(0,IF((AF$6-$E$3)&lt;1,0,IFERROR(LOOKUP(2,1/(Sorgo!$E50:INDEX(Sorgo!$E50:$Z50,MIN(AF$6-$E$3,22))&lt;&gt;""),Sorgo!$E50:INDEX(Sorgo!$E50:$Z50,MIN(AF$6-$E$3,22))),0))-IF($G$2,0,IF((AF$6-$G$3)&lt;1,0,IFERROR(LOOKUP(2,1/(Sorgo!$E50:INDEX(Sorgo!$E50:$Z50,MIN(AF$6-$G$3,22))&lt;&gt;""),Sorgo!$E50:INDEX(Sorgo!$E50:$Z50,MIN(AF$6-$G$3,22))),0)))))</f>
        <v>0</v>
      </c>
      <c r="AG52" s="27" t="n">
        <f aca="false">IF(COUNT(Sorgo!$E50:$Z50)=0,0,MAX(0,IF((AG$6-$E$3)&lt;1,0,IFERROR(LOOKUP(2,1/(Sorgo!$E50:INDEX(Sorgo!$E50:$Z50,MIN(AG$6-$E$3,22))&lt;&gt;""),Sorgo!$E50:INDEX(Sorgo!$E50:$Z50,MIN(AG$6-$E$3,22))),0))-IF($G$2,0,IF((AG$6-$G$3)&lt;1,0,IFERROR(LOOKUP(2,1/(Sorgo!$E50:INDEX(Sorgo!$E50:$Z50,MIN(AG$6-$G$3,22))&lt;&gt;""),Sorgo!$E50:INDEX(Sorgo!$E50:$Z50,MIN(AG$6-$G$3,22))),0)))))</f>
        <v>0</v>
      </c>
      <c r="AH52" s="27" t="n">
        <f aca="false">IF(COUNT(Sorgo!$E50:$Z50)=0,0,MAX(0,IF((AH$6-$E$3)&lt;1,0,IFERROR(LOOKUP(2,1/(Sorgo!$E50:INDEX(Sorgo!$E50:$Z50,MIN(AH$6-$E$3,22))&lt;&gt;""),Sorgo!$E50:INDEX(Sorgo!$E50:$Z50,MIN(AH$6-$E$3,22))),0))-IF($G$2,0,IF((AH$6-$G$3)&lt;1,0,IFERROR(LOOKUP(2,1/(Sorgo!$E50:INDEX(Sorgo!$E50:$Z50,MIN(AH$6-$G$3,22))&lt;&gt;""),Sorgo!$E50:INDEX(Sorgo!$E50:$Z50,MIN(AH$6-$G$3,22))),0)))))</f>
        <v>0</v>
      </c>
      <c r="AI52" s="27" t="n">
        <f aca="false">IF(COUNT(Sorgo!$E50:$Z50)=0,0,MAX(0,IF((AI$6-$E$3)&lt;1,0,IFERROR(LOOKUP(2,1/(Sorgo!$E50:INDEX(Sorgo!$E50:$Z50,MIN(AI$6-$E$3,22))&lt;&gt;""),Sorgo!$E50:INDEX(Sorgo!$E50:$Z50,MIN(AI$6-$E$3,22))),0))-IF($G$2,0,IF((AI$6-$G$3)&lt;1,0,IFERROR(LOOKUP(2,1/(Sorgo!$E50:INDEX(Sorgo!$E50:$Z50,MIN(AI$6-$G$3,22))&lt;&gt;""),Sorgo!$E50:INDEX(Sorgo!$E50:$Z50,MIN(AI$6-$G$3,22))),0)))))</f>
        <v>0</v>
      </c>
      <c r="AJ52" s="27" t="n">
        <f aca="false">IF(COUNT(Sorgo!$E50:$Z50)=0,0,MAX(0,IF((AJ$6-$E$3)&lt;1,0,IFERROR(LOOKUP(2,1/(Sorgo!$E50:INDEX(Sorgo!$E50:$Z50,MIN(AJ$6-$E$3,22))&lt;&gt;""),Sorgo!$E50:INDEX(Sorgo!$E50:$Z50,MIN(AJ$6-$E$3,22))),0))-IF($G$2,0,IF((AJ$6-$G$3)&lt;1,0,IFERROR(LOOKUP(2,1/(Sorgo!$E50:INDEX(Sorgo!$E50:$Z50,MIN(AJ$6-$G$3,22))&lt;&gt;""),Sorgo!$E50:INDEX(Sorgo!$E50:$Z50,MIN(AJ$6-$G$3,22))),0)))))</f>
        <v>0</v>
      </c>
      <c r="AK52" s="27" t="n">
        <f aca="false">IF(COUNT(Sorgo!$E50:$Z50)=0,0,MAX(0,IF((AK$6-$E$3)&lt;1,0,IFERROR(LOOKUP(2,1/(Sorgo!$E50:INDEX(Sorgo!$E50:$Z50,MIN(AK$6-$E$3,22))&lt;&gt;""),Sorgo!$E50:INDEX(Sorgo!$E50:$Z50,MIN(AK$6-$E$3,22))),0))-IF($G$2,0,IF((AK$6-$G$3)&lt;1,0,IFERROR(LOOKUP(2,1/(Sorgo!$E50:INDEX(Sorgo!$E50:$Z50,MIN(AK$6-$G$3,22))&lt;&gt;""),Sorgo!$E50:INDEX(Sorgo!$E50:$Z50,MIN(AK$6-$G$3,22))),0)))))</f>
        <v>0</v>
      </c>
      <c r="AL52" s="27" t="n">
        <f aca="false">IF(COUNT(Sorgo!$E50:$Z50)=0,0,MAX(0,IF((AL$6-$E$3)&lt;1,0,IFERROR(LOOKUP(2,1/(Sorgo!$E50:INDEX(Sorgo!$E50:$Z50,MIN(AL$6-$E$3,22))&lt;&gt;""),Sorgo!$E50:INDEX(Sorgo!$E50:$Z50,MIN(AL$6-$E$3,22))),0))-IF($G$2,0,IF((AL$6-$G$3)&lt;1,0,IFERROR(LOOKUP(2,1/(Sorgo!$E50:INDEX(Sorgo!$E50:$Z50,MIN(AL$6-$G$3,22))&lt;&gt;""),Sorgo!$E50:INDEX(Sorgo!$E50:$Z50,MIN(AL$6-$G$3,22))),0)))))</f>
        <v>0</v>
      </c>
      <c r="AM52" s="27" t="n">
        <f aca="false">IF(COUNT(Sorgo!$E50:$Z50)=0,0,MAX(0,IF((AM$6-$E$3)&lt;1,0,IFERROR(LOOKUP(2,1/(Sorgo!$E50:INDEX(Sorgo!$E50:$Z50,MIN(AM$6-$E$3,22))&lt;&gt;""),Sorgo!$E50:INDEX(Sorgo!$E50:$Z50,MIN(AM$6-$E$3,22))),0))-IF($G$2,0,IF((AM$6-$G$3)&lt;1,0,IFERROR(LOOKUP(2,1/(Sorgo!$E50:INDEX(Sorgo!$E50:$Z50,MIN(AM$6-$G$3,22))&lt;&gt;""),Sorgo!$E50:INDEX(Sorgo!$E50:$Z50,MIN(AM$6-$G$3,22))),0)))))</f>
        <v>0</v>
      </c>
      <c r="AN52" s="27" t="n">
        <f aca="false">IF(COUNT(Sorgo!$E50:$Z50)=0,0,MAX(0,IF((AN$6-$E$3)&lt;1,0,IFERROR(LOOKUP(2,1/(Sorgo!$E50:INDEX(Sorgo!$E50:$Z50,MIN(AN$6-$E$3,22))&lt;&gt;""),Sorgo!$E50:INDEX(Sorgo!$E50:$Z50,MIN(AN$6-$E$3,22))),0))-IF($G$2,0,IF((AN$6-$G$3)&lt;1,0,IFERROR(LOOKUP(2,1/(Sorgo!$E50:INDEX(Sorgo!$E50:$Z50,MIN(AN$6-$G$3,22))&lt;&gt;""),Sorgo!$E50:INDEX(Sorgo!$E50:$Z50,MIN(AN$6-$G$3,22))),0)))))</f>
        <v>0</v>
      </c>
      <c r="AO52" s="27" t="n">
        <f aca="false">IF(COUNT(Sorgo!$E50:$Z50)=0,0,MAX(0,IF((AO$6-$E$3)&lt;1,0,IFERROR(LOOKUP(2,1/(Sorgo!$E50:INDEX(Sorgo!$E50:$Z50,MIN(AO$6-$E$3,22))&lt;&gt;""),Sorgo!$E50:INDEX(Sorgo!$E50:$Z50,MIN(AO$6-$E$3,22))),0))-IF($G$2,0,IF((AO$6-$G$3)&lt;1,0,IFERROR(LOOKUP(2,1/(Sorgo!$E50:INDEX(Sorgo!$E50:$Z50,MIN(AO$6-$G$3,22))&lt;&gt;""),Sorgo!$E50:INDEX(Sorgo!$E50:$Z50,MIN(AO$6-$G$3,22))),0)))))</f>
        <v>0</v>
      </c>
      <c r="AP52" s="27" t="n">
        <f aca="false">IF(COUNT(Sorgo!$E50:$Z50)=0,0,MAX(0,IF((AP$6-$E$3)&lt;1,0,IFERROR(LOOKUP(2,1/(Sorgo!$E50:INDEX(Sorgo!$E50:$Z50,MIN(AP$6-$E$3,22))&lt;&gt;""),Sorgo!$E50:INDEX(Sorgo!$E50:$Z50,MIN(AP$6-$E$3,22))),0))-IF($G$2,0,IF((AP$6-$G$3)&lt;1,0,IFERROR(LOOKUP(2,1/(Sorgo!$E50:INDEX(Sorgo!$E50:$Z50,MIN(AP$6-$G$3,22))&lt;&gt;""),Sorgo!$E50:INDEX(Sorgo!$E50:$Z50,MIN(AP$6-$G$3,22))),0)))))</f>
        <v>0</v>
      </c>
      <c r="AQ52" s="27" t="n">
        <f aca="false">IF(COUNT(Sorgo!$E50:$Z50)=0,0,MAX(0,IF((AQ$6-$E$3)&lt;1,0,IFERROR(LOOKUP(2,1/(Sorgo!$E50:INDEX(Sorgo!$E50:$Z50,MIN(AQ$6-$E$3,22))&lt;&gt;""),Sorgo!$E50:INDEX(Sorgo!$E50:$Z50,MIN(AQ$6-$E$3,22))),0))-IF($G$2,0,IF((AQ$6-$G$3)&lt;1,0,IFERROR(LOOKUP(2,1/(Sorgo!$E50:INDEX(Sorgo!$E50:$Z50,MIN(AQ$6-$G$3,22))&lt;&gt;""),Sorgo!$E50:INDEX(Sorgo!$E50:$Z50,MIN(AQ$6-$G$3,22))),0)))))</f>
        <v>0</v>
      </c>
      <c r="AR52" s="27" t="n">
        <f aca="false">IF(COUNT(Sorgo!$E50:$Z50)=0,0,MAX(0,IF((AR$6-$E$3)&lt;1,0,IFERROR(LOOKUP(2,1/(Sorgo!$E50:INDEX(Sorgo!$E50:$Z50,MIN(AR$6-$E$3,22))&lt;&gt;""),Sorgo!$E50:INDEX(Sorgo!$E50:$Z50,MIN(AR$6-$E$3,22))),0))-IF($G$2,0,IF((AR$6-$G$3)&lt;1,0,IFERROR(LOOKUP(2,1/(Sorgo!$E50:INDEX(Sorgo!$E50:$Z50,MIN(AR$6-$G$3,22))&lt;&gt;""),Sorgo!$E50:INDEX(Sorgo!$E50:$Z50,MIN(AR$6-$G$3,22))),0)))))</f>
        <v>0</v>
      </c>
      <c r="AS52" s="27" t="n">
        <f aca="false">IF(COUNT(Sorgo!$E50:$Z50)=0,0,MAX(0,IF((AS$6-$E$3)&lt;1,0,IFERROR(LOOKUP(2,1/(Sorgo!$E50:INDEX(Sorgo!$E50:$Z50,MIN(AS$6-$E$3,22))&lt;&gt;""),Sorgo!$E50:INDEX(Sorgo!$E50:$Z50,MIN(AS$6-$E$3,22))),0))-IF($G$2,0,IF((AS$6-$G$3)&lt;1,0,IFERROR(LOOKUP(2,1/(Sorgo!$E50:INDEX(Sorgo!$E50:$Z50,MIN(AS$6-$G$3,22))&lt;&gt;""),Sorgo!$E50:INDEX(Sorgo!$E50:$Z50,MIN(AS$6-$G$3,22))),0)))))</f>
        <v>0</v>
      </c>
      <c r="AT52" s="27" t="n">
        <f aca="false">IF(COUNT(Sorgo!$E50:$Z50)=0,0,MAX(0,IF((AT$6-$E$3)&lt;1,0,IFERROR(LOOKUP(2,1/(Sorgo!$E50:INDEX(Sorgo!$E50:$Z50,MIN(AT$6-$E$3,22))&lt;&gt;""),Sorgo!$E50:INDEX(Sorgo!$E50:$Z50,MIN(AT$6-$E$3,22))),0))-IF($G$2,0,IF((AT$6-$G$3)&lt;1,0,IFERROR(LOOKUP(2,1/(Sorgo!$E50:INDEX(Sorgo!$E50:$Z50,MIN(AT$6-$G$3,22))&lt;&gt;""),Sorgo!$E50:INDEX(Sorgo!$E50:$Z50,MIN(AT$6-$G$3,22))),0)))))</f>
        <v>0</v>
      </c>
      <c r="AU52" s="27" t="n">
        <f aca="false">IF(COUNT(Sorgo!$E50:$Z50)=0,0,MAX(0,IF((AU$6-$E$3)&lt;1,0,IFERROR(LOOKUP(2,1/(Sorgo!$E50:INDEX(Sorgo!$E50:$Z50,MIN(AU$6-$E$3,22))&lt;&gt;""),Sorgo!$E50:INDEX(Sorgo!$E50:$Z50,MIN(AU$6-$E$3,22))),0))-IF($G$2,0,IF((AU$6-$G$3)&lt;1,0,IFERROR(LOOKUP(2,1/(Sorgo!$E50:INDEX(Sorgo!$E50:$Z50,MIN(AU$6-$G$3,22))&lt;&gt;""),Sorgo!$E50:INDEX(Sorgo!$E50:$Z50,MIN(AU$6-$G$3,22))),0)))))</f>
        <v>0</v>
      </c>
      <c r="AV52" s="27" t="n">
        <f aca="false">IF(COUNT(Sorgo!$E50:$Z50)=0,0,MAX(0,IF((AV$6-$E$3)&lt;1,0,IFERROR(LOOKUP(2,1/(Sorgo!$E50:INDEX(Sorgo!$E50:$Z50,MIN(AV$6-$E$3,22))&lt;&gt;""),Sorgo!$E50:INDEX(Sorgo!$E50:$Z50,MIN(AV$6-$E$3,22))),0))-IF($G$2,0,IF((AV$6-$G$3)&lt;1,0,IFERROR(LOOKUP(2,1/(Sorgo!$E50:INDEX(Sorgo!$E50:$Z50,MIN(AV$6-$G$3,22))&lt;&gt;""),Sorgo!$E50:INDEX(Sorgo!$E50:$Z50,MIN(AV$6-$G$3,22))),0)))))</f>
        <v>0</v>
      </c>
      <c r="AW52" s="27" t="n">
        <f aca="false">IF(COUNT(Sorgo!$E50:$Z50)=0,0,MAX(0,IF((AW$6-$E$3)&lt;1,0,IFERROR(LOOKUP(2,1/(Sorgo!$E50:INDEX(Sorgo!$E50:$Z50,MIN(AW$6-$E$3,22))&lt;&gt;""),Sorgo!$E50:INDEX(Sorgo!$E50:$Z50,MIN(AW$6-$E$3,22))),0))-IF($G$2,0,IF((AW$6-$G$3)&lt;1,0,IFERROR(LOOKUP(2,1/(Sorgo!$E50:INDEX(Sorgo!$E50:$Z50,MIN(AW$6-$G$3,22))&lt;&gt;""),Sorgo!$E50:INDEX(Sorgo!$E50:$Z50,MIN(AW$6-$G$3,22))),0)))))</f>
        <v>0</v>
      </c>
      <c r="AX52" s="27" t="n">
        <f aca="false">IF(COUNT(Sorgo!$E50:$Z50)=0,0,MAX(0,IF((AX$6-$E$3)&lt;1,0,IFERROR(LOOKUP(2,1/(Sorgo!$E50:INDEX(Sorgo!$E50:$Z50,MIN(AX$6-$E$3,22))&lt;&gt;""),Sorgo!$E50:INDEX(Sorgo!$E50:$Z50,MIN(AX$6-$E$3,22))),0))-IF($G$2,0,IF((AX$6-$G$3)&lt;1,0,IFERROR(LOOKUP(2,1/(Sorgo!$E50:INDEX(Sorgo!$E50:$Z50,MIN(AX$6-$G$3,22))&lt;&gt;""),Sorgo!$E50:INDEX(Sorgo!$E50:$Z50,MIN(AX$6-$G$3,22))),0)))))</f>
        <v>0</v>
      </c>
      <c r="AY52" s="27" t="n">
        <f aca="false">IF(COUNT(Sorgo!$E50:$Z50)=0,0,MAX(0,IF((AY$6-$E$3)&lt;1,0,IFERROR(LOOKUP(2,1/(Sorgo!$E50:INDEX(Sorgo!$E50:$Z50,MIN(AY$6-$E$3,22))&lt;&gt;""),Sorgo!$E50:INDEX(Sorgo!$E50:$Z50,MIN(AY$6-$E$3,22))),0))-IF($G$2,0,IF((AY$6-$G$3)&lt;1,0,IFERROR(LOOKUP(2,1/(Sorgo!$E50:INDEX(Sorgo!$E50:$Z50,MIN(AY$6-$G$3,22))&lt;&gt;""),Sorgo!$E50:INDEX(Sorgo!$E50:$Z50,MIN(AY$6-$G$3,22))),0)))))</f>
        <v>0</v>
      </c>
      <c r="AZ52" s="27" t="n">
        <f aca="false">IF(COUNT(Sorgo!$E50:$Z50)=0,0,MAX(0,IF((AZ$6-$E$3)&lt;1,0,IFERROR(LOOKUP(2,1/(Sorgo!$E50:INDEX(Sorgo!$E50:$Z50,MIN(AZ$6-$E$3,22))&lt;&gt;""),Sorgo!$E50:INDEX(Sorgo!$E50:$Z50,MIN(AZ$6-$E$3,22))),0))-IF($G$2,0,IF((AZ$6-$G$3)&lt;1,0,IFERROR(LOOKUP(2,1/(Sorgo!$E50:INDEX(Sorgo!$E50:$Z50,MIN(AZ$6-$G$3,22))&lt;&gt;""),Sorgo!$E50:INDEX(Sorgo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IF(COUNT(Sorgo!$E51:$Z51)&gt;0,N(Sorgo!$D51),0)</f>
        <v>0</v>
      </c>
      <c r="E53" s="27" t="n">
        <f aca="false">IF(COUNT(Sorgo!$E51:$Z51)=0,0,MAX(0,IF((E$6-$E$3)&lt;1,0,IFERROR(LOOKUP(2,1/(Sorgo!$E51:INDEX(Sorgo!$E51:$Z51,MIN(E$6-$E$3,22))&lt;&gt;""),Sorgo!$E51:INDEX(Sorgo!$E51:$Z51,MIN(E$6-$E$3,22))),0))-IF($G$2,0,IF((E$6-$G$3)&lt;1,0,IFERROR(LOOKUP(2,1/(Sorgo!$E51:INDEX(Sorgo!$E51:$Z51,MIN(E$6-$G$3,22))&lt;&gt;""),Sorgo!$E51:INDEX(Sorgo!$E51:$Z51,MIN(E$6-$G$3,22))),0)))))</f>
        <v>0</v>
      </c>
      <c r="F53" s="27" t="n">
        <f aca="false">IF(COUNT(Sorgo!$E51:$Z51)=0,0,MAX(0,IF((F$6-$E$3)&lt;1,0,IFERROR(LOOKUP(2,1/(Sorgo!$E51:INDEX(Sorgo!$E51:$Z51,MIN(F$6-$E$3,22))&lt;&gt;""),Sorgo!$E51:INDEX(Sorgo!$E51:$Z51,MIN(F$6-$E$3,22))),0))-IF($G$2,0,IF((F$6-$G$3)&lt;1,0,IFERROR(LOOKUP(2,1/(Sorgo!$E51:INDEX(Sorgo!$E51:$Z51,MIN(F$6-$G$3,22))&lt;&gt;""),Sorgo!$E51:INDEX(Sorgo!$E51:$Z51,MIN(F$6-$G$3,22))),0)))))</f>
        <v>0</v>
      </c>
      <c r="G53" s="27" t="n">
        <f aca="false">IF(COUNT(Sorgo!$E51:$Z51)=0,0,MAX(0,IF((G$6-$E$3)&lt;1,0,IFERROR(LOOKUP(2,1/(Sorgo!$E51:INDEX(Sorgo!$E51:$Z51,MIN(G$6-$E$3,22))&lt;&gt;""),Sorgo!$E51:INDEX(Sorgo!$E51:$Z51,MIN(G$6-$E$3,22))),0))-IF($G$2,0,IF((G$6-$G$3)&lt;1,0,IFERROR(LOOKUP(2,1/(Sorgo!$E51:INDEX(Sorgo!$E51:$Z51,MIN(G$6-$G$3,22))&lt;&gt;""),Sorgo!$E51:INDEX(Sorgo!$E51:$Z51,MIN(G$6-$G$3,22))),0)))))</f>
        <v>0</v>
      </c>
      <c r="H53" s="27" t="n">
        <f aca="false">IF(COUNT(Sorgo!$E51:$Z51)=0,0,MAX(0,IF((H$6-$E$3)&lt;1,0,IFERROR(LOOKUP(2,1/(Sorgo!$E51:INDEX(Sorgo!$E51:$Z51,MIN(H$6-$E$3,22))&lt;&gt;""),Sorgo!$E51:INDEX(Sorgo!$E51:$Z51,MIN(H$6-$E$3,22))),0))-IF($G$2,0,IF((H$6-$G$3)&lt;1,0,IFERROR(LOOKUP(2,1/(Sorgo!$E51:INDEX(Sorgo!$E51:$Z51,MIN(H$6-$G$3,22))&lt;&gt;""),Sorgo!$E51:INDEX(Sorgo!$E51:$Z51,MIN(H$6-$G$3,22))),0)))))</f>
        <v>0</v>
      </c>
      <c r="I53" s="27" t="n">
        <f aca="false">IF(COUNT(Sorgo!$E51:$Z51)=0,0,MAX(0,IF((I$6-$E$3)&lt;1,0,IFERROR(LOOKUP(2,1/(Sorgo!$E51:INDEX(Sorgo!$E51:$Z51,MIN(I$6-$E$3,22))&lt;&gt;""),Sorgo!$E51:INDEX(Sorgo!$E51:$Z51,MIN(I$6-$E$3,22))),0))-IF($G$2,0,IF((I$6-$G$3)&lt;1,0,IFERROR(LOOKUP(2,1/(Sorgo!$E51:INDEX(Sorgo!$E51:$Z51,MIN(I$6-$G$3,22))&lt;&gt;""),Sorgo!$E51:INDEX(Sorgo!$E51:$Z51,MIN(I$6-$G$3,22))),0)))))</f>
        <v>0</v>
      </c>
      <c r="J53" s="27" t="n">
        <f aca="false">IF(COUNT(Sorgo!$E51:$Z51)=0,0,MAX(0,IF((J$6-$E$3)&lt;1,0,IFERROR(LOOKUP(2,1/(Sorgo!$E51:INDEX(Sorgo!$E51:$Z51,MIN(J$6-$E$3,22))&lt;&gt;""),Sorgo!$E51:INDEX(Sorgo!$E51:$Z51,MIN(J$6-$E$3,22))),0))-IF($G$2,0,IF((J$6-$G$3)&lt;1,0,IFERROR(LOOKUP(2,1/(Sorgo!$E51:INDEX(Sorgo!$E51:$Z51,MIN(J$6-$G$3,22))&lt;&gt;""),Sorgo!$E51:INDEX(Sorgo!$E51:$Z51,MIN(J$6-$G$3,22))),0)))))</f>
        <v>0</v>
      </c>
      <c r="K53" s="27" t="n">
        <f aca="false">IF(COUNT(Sorgo!$E51:$Z51)=0,0,MAX(0,IF((K$6-$E$3)&lt;1,0,IFERROR(LOOKUP(2,1/(Sorgo!$E51:INDEX(Sorgo!$E51:$Z51,MIN(K$6-$E$3,22))&lt;&gt;""),Sorgo!$E51:INDEX(Sorgo!$E51:$Z51,MIN(K$6-$E$3,22))),0))-IF($G$2,0,IF((K$6-$G$3)&lt;1,0,IFERROR(LOOKUP(2,1/(Sorgo!$E51:INDEX(Sorgo!$E51:$Z51,MIN(K$6-$G$3,22))&lt;&gt;""),Sorgo!$E51:INDEX(Sorgo!$E51:$Z51,MIN(K$6-$G$3,22))),0)))))</f>
        <v>0</v>
      </c>
      <c r="L53" s="27" t="n">
        <f aca="false">IF(COUNT(Sorgo!$E51:$Z51)=0,0,MAX(0,IF((L$6-$E$3)&lt;1,0,IFERROR(LOOKUP(2,1/(Sorgo!$E51:INDEX(Sorgo!$E51:$Z51,MIN(L$6-$E$3,22))&lt;&gt;""),Sorgo!$E51:INDEX(Sorgo!$E51:$Z51,MIN(L$6-$E$3,22))),0))-IF($G$2,0,IF((L$6-$G$3)&lt;1,0,IFERROR(LOOKUP(2,1/(Sorgo!$E51:INDEX(Sorgo!$E51:$Z51,MIN(L$6-$G$3,22))&lt;&gt;""),Sorgo!$E51:INDEX(Sorgo!$E51:$Z51,MIN(L$6-$G$3,22))),0)))))</f>
        <v>0</v>
      </c>
      <c r="M53" s="27" t="n">
        <f aca="false">IF(COUNT(Sorgo!$E51:$Z51)=0,0,MAX(0,IF((M$6-$E$3)&lt;1,0,IFERROR(LOOKUP(2,1/(Sorgo!$E51:INDEX(Sorgo!$E51:$Z51,MIN(M$6-$E$3,22))&lt;&gt;""),Sorgo!$E51:INDEX(Sorgo!$E51:$Z51,MIN(M$6-$E$3,22))),0))-IF($G$2,0,IF((M$6-$G$3)&lt;1,0,IFERROR(LOOKUP(2,1/(Sorgo!$E51:INDEX(Sorgo!$E51:$Z51,MIN(M$6-$G$3,22))&lt;&gt;""),Sorgo!$E51:INDEX(Sorgo!$E51:$Z51,MIN(M$6-$G$3,22))),0)))))</f>
        <v>0</v>
      </c>
      <c r="N53" s="27" t="n">
        <f aca="false">IF(COUNT(Sorgo!$E51:$Z51)=0,0,MAX(0,IF((N$6-$E$3)&lt;1,0,IFERROR(LOOKUP(2,1/(Sorgo!$E51:INDEX(Sorgo!$E51:$Z51,MIN(N$6-$E$3,22))&lt;&gt;""),Sorgo!$E51:INDEX(Sorgo!$E51:$Z51,MIN(N$6-$E$3,22))),0))-IF($G$2,0,IF((N$6-$G$3)&lt;1,0,IFERROR(LOOKUP(2,1/(Sorgo!$E51:INDEX(Sorgo!$E51:$Z51,MIN(N$6-$G$3,22))&lt;&gt;""),Sorgo!$E51:INDEX(Sorgo!$E51:$Z51,MIN(N$6-$G$3,22))),0)))))</f>
        <v>0</v>
      </c>
      <c r="O53" s="27" t="n">
        <f aca="false">IF(COUNT(Sorgo!$E51:$Z51)=0,0,MAX(0,IF((O$6-$E$3)&lt;1,0,IFERROR(LOOKUP(2,1/(Sorgo!$E51:INDEX(Sorgo!$E51:$Z51,MIN(O$6-$E$3,22))&lt;&gt;""),Sorgo!$E51:INDEX(Sorgo!$E51:$Z51,MIN(O$6-$E$3,22))),0))-IF($G$2,0,IF((O$6-$G$3)&lt;1,0,IFERROR(LOOKUP(2,1/(Sorgo!$E51:INDEX(Sorgo!$E51:$Z51,MIN(O$6-$G$3,22))&lt;&gt;""),Sorgo!$E51:INDEX(Sorgo!$E51:$Z51,MIN(O$6-$G$3,22))),0)))))</f>
        <v>0</v>
      </c>
      <c r="P53" s="27" t="n">
        <f aca="false">IF(COUNT(Sorgo!$E51:$Z51)=0,0,MAX(0,IF((P$6-$E$3)&lt;1,0,IFERROR(LOOKUP(2,1/(Sorgo!$E51:INDEX(Sorgo!$E51:$Z51,MIN(P$6-$E$3,22))&lt;&gt;""),Sorgo!$E51:INDEX(Sorgo!$E51:$Z51,MIN(P$6-$E$3,22))),0))-IF($G$2,0,IF((P$6-$G$3)&lt;1,0,IFERROR(LOOKUP(2,1/(Sorgo!$E51:INDEX(Sorgo!$E51:$Z51,MIN(P$6-$G$3,22))&lt;&gt;""),Sorgo!$E51:INDEX(Sorgo!$E51:$Z51,MIN(P$6-$G$3,22))),0)))))</f>
        <v>0</v>
      </c>
      <c r="Q53" s="27" t="n">
        <f aca="false">IF(COUNT(Sorgo!$E51:$Z51)=0,0,MAX(0,IF((Q$6-$E$3)&lt;1,0,IFERROR(LOOKUP(2,1/(Sorgo!$E51:INDEX(Sorgo!$E51:$Z51,MIN(Q$6-$E$3,22))&lt;&gt;""),Sorgo!$E51:INDEX(Sorgo!$E51:$Z51,MIN(Q$6-$E$3,22))),0))-IF($G$2,0,IF((Q$6-$G$3)&lt;1,0,IFERROR(LOOKUP(2,1/(Sorgo!$E51:INDEX(Sorgo!$E51:$Z51,MIN(Q$6-$G$3,22))&lt;&gt;""),Sorgo!$E51:INDEX(Sorgo!$E51:$Z51,MIN(Q$6-$G$3,22))),0)))))</f>
        <v>0</v>
      </c>
      <c r="R53" s="27" t="n">
        <f aca="false">IF(COUNT(Sorgo!$E51:$Z51)=0,0,MAX(0,IF((R$6-$E$3)&lt;1,0,IFERROR(LOOKUP(2,1/(Sorgo!$E51:INDEX(Sorgo!$E51:$Z51,MIN(R$6-$E$3,22))&lt;&gt;""),Sorgo!$E51:INDEX(Sorgo!$E51:$Z51,MIN(R$6-$E$3,22))),0))-IF($G$2,0,IF((R$6-$G$3)&lt;1,0,IFERROR(LOOKUP(2,1/(Sorgo!$E51:INDEX(Sorgo!$E51:$Z51,MIN(R$6-$G$3,22))&lt;&gt;""),Sorgo!$E51:INDEX(Sorgo!$E51:$Z51,MIN(R$6-$G$3,22))),0)))))</f>
        <v>0</v>
      </c>
      <c r="S53" s="27" t="n">
        <f aca="false">IF(COUNT(Sorgo!$E51:$Z51)=0,0,MAX(0,IF((S$6-$E$3)&lt;1,0,IFERROR(LOOKUP(2,1/(Sorgo!$E51:INDEX(Sorgo!$E51:$Z51,MIN(S$6-$E$3,22))&lt;&gt;""),Sorgo!$E51:INDEX(Sorgo!$E51:$Z51,MIN(S$6-$E$3,22))),0))-IF($G$2,0,IF((S$6-$G$3)&lt;1,0,IFERROR(LOOKUP(2,1/(Sorgo!$E51:INDEX(Sorgo!$E51:$Z51,MIN(S$6-$G$3,22))&lt;&gt;""),Sorgo!$E51:INDEX(Sorgo!$E51:$Z51,MIN(S$6-$G$3,22))),0)))))</f>
        <v>0</v>
      </c>
      <c r="T53" s="27" t="n">
        <f aca="false">IF(COUNT(Sorgo!$E51:$Z51)=0,0,MAX(0,IF((T$6-$E$3)&lt;1,0,IFERROR(LOOKUP(2,1/(Sorgo!$E51:INDEX(Sorgo!$E51:$Z51,MIN(T$6-$E$3,22))&lt;&gt;""),Sorgo!$E51:INDEX(Sorgo!$E51:$Z51,MIN(T$6-$E$3,22))),0))-IF($G$2,0,IF((T$6-$G$3)&lt;1,0,IFERROR(LOOKUP(2,1/(Sorgo!$E51:INDEX(Sorgo!$E51:$Z51,MIN(T$6-$G$3,22))&lt;&gt;""),Sorgo!$E51:INDEX(Sorgo!$E51:$Z51,MIN(T$6-$G$3,22))),0)))))</f>
        <v>0</v>
      </c>
      <c r="U53" s="27" t="n">
        <f aca="false">IF(COUNT(Sorgo!$E51:$Z51)=0,0,MAX(0,IF((U$6-$E$3)&lt;1,0,IFERROR(LOOKUP(2,1/(Sorgo!$E51:INDEX(Sorgo!$E51:$Z51,MIN(U$6-$E$3,22))&lt;&gt;""),Sorgo!$E51:INDEX(Sorgo!$E51:$Z51,MIN(U$6-$E$3,22))),0))-IF($G$2,0,IF((U$6-$G$3)&lt;1,0,IFERROR(LOOKUP(2,1/(Sorgo!$E51:INDEX(Sorgo!$E51:$Z51,MIN(U$6-$G$3,22))&lt;&gt;""),Sorgo!$E51:INDEX(Sorgo!$E51:$Z51,MIN(U$6-$G$3,22))),0)))))</f>
        <v>0</v>
      </c>
      <c r="V53" s="27" t="n">
        <f aca="false">IF(COUNT(Sorgo!$E51:$Z51)=0,0,MAX(0,IF((V$6-$E$3)&lt;1,0,IFERROR(LOOKUP(2,1/(Sorgo!$E51:INDEX(Sorgo!$E51:$Z51,MIN(V$6-$E$3,22))&lt;&gt;""),Sorgo!$E51:INDEX(Sorgo!$E51:$Z51,MIN(V$6-$E$3,22))),0))-IF($G$2,0,IF((V$6-$G$3)&lt;1,0,IFERROR(LOOKUP(2,1/(Sorgo!$E51:INDEX(Sorgo!$E51:$Z51,MIN(V$6-$G$3,22))&lt;&gt;""),Sorgo!$E51:INDEX(Sorgo!$E51:$Z51,MIN(V$6-$G$3,22))),0)))))</f>
        <v>0</v>
      </c>
      <c r="W53" s="27" t="n">
        <f aca="false">IF(COUNT(Sorgo!$E51:$Z51)=0,0,MAX(0,IF((W$6-$E$3)&lt;1,0,IFERROR(LOOKUP(2,1/(Sorgo!$E51:INDEX(Sorgo!$E51:$Z51,MIN(W$6-$E$3,22))&lt;&gt;""),Sorgo!$E51:INDEX(Sorgo!$E51:$Z51,MIN(W$6-$E$3,22))),0))-IF($G$2,0,IF((W$6-$G$3)&lt;1,0,IFERROR(LOOKUP(2,1/(Sorgo!$E51:INDEX(Sorgo!$E51:$Z51,MIN(W$6-$G$3,22))&lt;&gt;""),Sorgo!$E51:INDEX(Sorgo!$E51:$Z51,MIN(W$6-$G$3,22))),0)))))</f>
        <v>0</v>
      </c>
      <c r="X53" s="27" t="n">
        <f aca="false">IF(COUNT(Sorgo!$E51:$Z51)=0,0,MAX(0,IF((X$6-$E$3)&lt;1,0,IFERROR(LOOKUP(2,1/(Sorgo!$E51:INDEX(Sorgo!$E51:$Z51,MIN(X$6-$E$3,22))&lt;&gt;""),Sorgo!$E51:INDEX(Sorgo!$E51:$Z51,MIN(X$6-$E$3,22))),0))-IF($G$2,0,IF((X$6-$G$3)&lt;1,0,IFERROR(LOOKUP(2,1/(Sorgo!$E51:INDEX(Sorgo!$E51:$Z51,MIN(X$6-$G$3,22))&lt;&gt;""),Sorgo!$E51:INDEX(Sorgo!$E51:$Z51,MIN(X$6-$G$3,22))),0)))))</f>
        <v>0</v>
      </c>
      <c r="Y53" s="27" t="n">
        <f aca="false">IF(COUNT(Sorgo!$E51:$Z51)=0,0,MAX(0,IF((Y$6-$E$3)&lt;1,0,IFERROR(LOOKUP(2,1/(Sorgo!$E51:INDEX(Sorgo!$E51:$Z51,MIN(Y$6-$E$3,22))&lt;&gt;""),Sorgo!$E51:INDEX(Sorgo!$E51:$Z51,MIN(Y$6-$E$3,22))),0))-IF($G$2,0,IF((Y$6-$G$3)&lt;1,0,IFERROR(LOOKUP(2,1/(Sorgo!$E51:INDEX(Sorgo!$E51:$Z51,MIN(Y$6-$G$3,22))&lt;&gt;""),Sorgo!$E51:INDEX(Sorgo!$E51:$Z51,MIN(Y$6-$G$3,22))),0)))))</f>
        <v>0</v>
      </c>
      <c r="Z53" s="27" t="n">
        <f aca="false">IF(COUNT(Sorgo!$E51:$Z51)=0,0,MAX(0,IF((Z$6-$E$3)&lt;1,0,IFERROR(LOOKUP(2,1/(Sorgo!$E51:INDEX(Sorgo!$E51:$Z51,MIN(Z$6-$E$3,22))&lt;&gt;""),Sorgo!$E51:INDEX(Sorgo!$E51:$Z51,MIN(Z$6-$E$3,22))),0))-IF($G$2,0,IF((Z$6-$G$3)&lt;1,0,IFERROR(LOOKUP(2,1/(Sorgo!$E51:INDEX(Sorgo!$E51:$Z51,MIN(Z$6-$G$3,22))&lt;&gt;""),Sorgo!$E51:INDEX(Sorgo!$E51:$Z51,MIN(Z$6-$G$3,22))),0)))))</f>
        <v>0</v>
      </c>
      <c r="AA53" s="27" t="n">
        <f aca="false">IF(COUNT(Sorgo!$E51:$Z51)=0,0,MAX(0,IF((AA$6-$E$3)&lt;1,0,IFERROR(LOOKUP(2,1/(Sorgo!$E51:INDEX(Sorgo!$E51:$Z51,MIN(AA$6-$E$3,22))&lt;&gt;""),Sorgo!$E51:INDEX(Sorgo!$E51:$Z51,MIN(AA$6-$E$3,22))),0))-IF($G$2,0,IF((AA$6-$G$3)&lt;1,0,IFERROR(LOOKUP(2,1/(Sorgo!$E51:INDEX(Sorgo!$E51:$Z51,MIN(AA$6-$G$3,22))&lt;&gt;""),Sorgo!$E51:INDEX(Sorgo!$E51:$Z51,MIN(AA$6-$G$3,22))),0)))))</f>
        <v>0</v>
      </c>
      <c r="AB53" s="27" t="n">
        <f aca="false">IF(COUNT(Sorgo!$E51:$Z51)=0,0,MAX(0,IF((AB$6-$E$3)&lt;1,0,IFERROR(LOOKUP(2,1/(Sorgo!$E51:INDEX(Sorgo!$E51:$Z51,MIN(AB$6-$E$3,22))&lt;&gt;""),Sorgo!$E51:INDEX(Sorgo!$E51:$Z51,MIN(AB$6-$E$3,22))),0))-IF($G$2,0,IF((AB$6-$G$3)&lt;1,0,IFERROR(LOOKUP(2,1/(Sorgo!$E51:INDEX(Sorgo!$E51:$Z51,MIN(AB$6-$G$3,22))&lt;&gt;""),Sorgo!$E51:INDEX(Sorgo!$E51:$Z51,MIN(AB$6-$G$3,22))),0)))))</f>
        <v>0</v>
      </c>
      <c r="AC53" s="27" t="n">
        <f aca="false">IF(COUNT(Sorgo!$E51:$Z51)=0,0,MAX(0,IF((AC$6-$E$3)&lt;1,0,IFERROR(LOOKUP(2,1/(Sorgo!$E51:INDEX(Sorgo!$E51:$Z51,MIN(AC$6-$E$3,22))&lt;&gt;""),Sorgo!$E51:INDEX(Sorgo!$E51:$Z51,MIN(AC$6-$E$3,22))),0))-IF($G$2,0,IF((AC$6-$G$3)&lt;1,0,IFERROR(LOOKUP(2,1/(Sorgo!$E51:INDEX(Sorgo!$E51:$Z51,MIN(AC$6-$G$3,22))&lt;&gt;""),Sorgo!$E51:INDEX(Sorgo!$E51:$Z51,MIN(AC$6-$G$3,22))),0)))))</f>
        <v>0</v>
      </c>
      <c r="AD53" s="27" t="n">
        <f aca="false">IF(COUNT(Sorgo!$E51:$Z51)=0,0,MAX(0,IF((AD$6-$E$3)&lt;1,0,IFERROR(LOOKUP(2,1/(Sorgo!$E51:INDEX(Sorgo!$E51:$Z51,MIN(AD$6-$E$3,22))&lt;&gt;""),Sorgo!$E51:INDEX(Sorgo!$E51:$Z51,MIN(AD$6-$E$3,22))),0))-IF($G$2,0,IF((AD$6-$G$3)&lt;1,0,IFERROR(LOOKUP(2,1/(Sorgo!$E51:INDEX(Sorgo!$E51:$Z51,MIN(AD$6-$G$3,22))&lt;&gt;""),Sorgo!$E51:INDEX(Sorgo!$E51:$Z51,MIN(AD$6-$G$3,22))),0)))))</f>
        <v>0</v>
      </c>
      <c r="AE53" s="27" t="n">
        <f aca="false">IF(COUNT(Sorgo!$E51:$Z51)=0,0,MAX(0,IF((AE$6-$E$3)&lt;1,0,IFERROR(LOOKUP(2,1/(Sorgo!$E51:INDEX(Sorgo!$E51:$Z51,MIN(AE$6-$E$3,22))&lt;&gt;""),Sorgo!$E51:INDEX(Sorgo!$E51:$Z51,MIN(AE$6-$E$3,22))),0))-IF($G$2,0,IF((AE$6-$G$3)&lt;1,0,IFERROR(LOOKUP(2,1/(Sorgo!$E51:INDEX(Sorgo!$E51:$Z51,MIN(AE$6-$G$3,22))&lt;&gt;""),Sorgo!$E51:INDEX(Sorgo!$E51:$Z51,MIN(AE$6-$G$3,22))),0)))))</f>
        <v>0</v>
      </c>
      <c r="AF53" s="27" t="n">
        <f aca="false">IF(COUNT(Sorgo!$E51:$Z51)=0,0,MAX(0,IF((AF$6-$E$3)&lt;1,0,IFERROR(LOOKUP(2,1/(Sorgo!$E51:INDEX(Sorgo!$E51:$Z51,MIN(AF$6-$E$3,22))&lt;&gt;""),Sorgo!$E51:INDEX(Sorgo!$E51:$Z51,MIN(AF$6-$E$3,22))),0))-IF($G$2,0,IF((AF$6-$G$3)&lt;1,0,IFERROR(LOOKUP(2,1/(Sorgo!$E51:INDEX(Sorgo!$E51:$Z51,MIN(AF$6-$G$3,22))&lt;&gt;""),Sorgo!$E51:INDEX(Sorgo!$E51:$Z51,MIN(AF$6-$G$3,22))),0)))))</f>
        <v>0</v>
      </c>
      <c r="AG53" s="27" t="n">
        <f aca="false">IF(COUNT(Sorgo!$E51:$Z51)=0,0,MAX(0,IF((AG$6-$E$3)&lt;1,0,IFERROR(LOOKUP(2,1/(Sorgo!$E51:INDEX(Sorgo!$E51:$Z51,MIN(AG$6-$E$3,22))&lt;&gt;""),Sorgo!$E51:INDEX(Sorgo!$E51:$Z51,MIN(AG$6-$E$3,22))),0))-IF($G$2,0,IF((AG$6-$G$3)&lt;1,0,IFERROR(LOOKUP(2,1/(Sorgo!$E51:INDEX(Sorgo!$E51:$Z51,MIN(AG$6-$G$3,22))&lt;&gt;""),Sorgo!$E51:INDEX(Sorgo!$E51:$Z51,MIN(AG$6-$G$3,22))),0)))))</f>
        <v>0</v>
      </c>
      <c r="AH53" s="27" t="n">
        <f aca="false">IF(COUNT(Sorgo!$E51:$Z51)=0,0,MAX(0,IF((AH$6-$E$3)&lt;1,0,IFERROR(LOOKUP(2,1/(Sorgo!$E51:INDEX(Sorgo!$E51:$Z51,MIN(AH$6-$E$3,22))&lt;&gt;""),Sorgo!$E51:INDEX(Sorgo!$E51:$Z51,MIN(AH$6-$E$3,22))),0))-IF($G$2,0,IF((AH$6-$G$3)&lt;1,0,IFERROR(LOOKUP(2,1/(Sorgo!$E51:INDEX(Sorgo!$E51:$Z51,MIN(AH$6-$G$3,22))&lt;&gt;""),Sorgo!$E51:INDEX(Sorgo!$E51:$Z51,MIN(AH$6-$G$3,22))),0)))))</f>
        <v>0</v>
      </c>
      <c r="AI53" s="27" t="n">
        <f aca="false">IF(COUNT(Sorgo!$E51:$Z51)=0,0,MAX(0,IF((AI$6-$E$3)&lt;1,0,IFERROR(LOOKUP(2,1/(Sorgo!$E51:INDEX(Sorgo!$E51:$Z51,MIN(AI$6-$E$3,22))&lt;&gt;""),Sorgo!$E51:INDEX(Sorgo!$E51:$Z51,MIN(AI$6-$E$3,22))),0))-IF($G$2,0,IF((AI$6-$G$3)&lt;1,0,IFERROR(LOOKUP(2,1/(Sorgo!$E51:INDEX(Sorgo!$E51:$Z51,MIN(AI$6-$G$3,22))&lt;&gt;""),Sorgo!$E51:INDEX(Sorgo!$E51:$Z51,MIN(AI$6-$G$3,22))),0)))))</f>
        <v>0</v>
      </c>
      <c r="AJ53" s="27" t="n">
        <f aca="false">IF(COUNT(Sorgo!$E51:$Z51)=0,0,MAX(0,IF((AJ$6-$E$3)&lt;1,0,IFERROR(LOOKUP(2,1/(Sorgo!$E51:INDEX(Sorgo!$E51:$Z51,MIN(AJ$6-$E$3,22))&lt;&gt;""),Sorgo!$E51:INDEX(Sorgo!$E51:$Z51,MIN(AJ$6-$E$3,22))),0))-IF($G$2,0,IF((AJ$6-$G$3)&lt;1,0,IFERROR(LOOKUP(2,1/(Sorgo!$E51:INDEX(Sorgo!$E51:$Z51,MIN(AJ$6-$G$3,22))&lt;&gt;""),Sorgo!$E51:INDEX(Sorgo!$E51:$Z51,MIN(AJ$6-$G$3,22))),0)))))</f>
        <v>0</v>
      </c>
      <c r="AK53" s="27" t="n">
        <f aca="false">IF(COUNT(Sorgo!$E51:$Z51)=0,0,MAX(0,IF((AK$6-$E$3)&lt;1,0,IFERROR(LOOKUP(2,1/(Sorgo!$E51:INDEX(Sorgo!$E51:$Z51,MIN(AK$6-$E$3,22))&lt;&gt;""),Sorgo!$E51:INDEX(Sorgo!$E51:$Z51,MIN(AK$6-$E$3,22))),0))-IF($G$2,0,IF((AK$6-$G$3)&lt;1,0,IFERROR(LOOKUP(2,1/(Sorgo!$E51:INDEX(Sorgo!$E51:$Z51,MIN(AK$6-$G$3,22))&lt;&gt;""),Sorgo!$E51:INDEX(Sorgo!$E51:$Z51,MIN(AK$6-$G$3,22))),0)))))</f>
        <v>0</v>
      </c>
      <c r="AL53" s="27" t="n">
        <f aca="false">IF(COUNT(Sorgo!$E51:$Z51)=0,0,MAX(0,IF((AL$6-$E$3)&lt;1,0,IFERROR(LOOKUP(2,1/(Sorgo!$E51:INDEX(Sorgo!$E51:$Z51,MIN(AL$6-$E$3,22))&lt;&gt;""),Sorgo!$E51:INDEX(Sorgo!$E51:$Z51,MIN(AL$6-$E$3,22))),0))-IF($G$2,0,IF((AL$6-$G$3)&lt;1,0,IFERROR(LOOKUP(2,1/(Sorgo!$E51:INDEX(Sorgo!$E51:$Z51,MIN(AL$6-$G$3,22))&lt;&gt;""),Sorgo!$E51:INDEX(Sorgo!$E51:$Z51,MIN(AL$6-$G$3,22))),0)))))</f>
        <v>0</v>
      </c>
      <c r="AM53" s="27" t="n">
        <f aca="false">IF(COUNT(Sorgo!$E51:$Z51)=0,0,MAX(0,IF((AM$6-$E$3)&lt;1,0,IFERROR(LOOKUP(2,1/(Sorgo!$E51:INDEX(Sorgo!$E51:$Z51,MIN(AM$6-$E$3,22))&lt;&gt;""),Sorgo!$E51:INDEX(Sorgo!$E51:$Z51,MIN(AM$6-$E$3,22))),0))-IF($G$2,0,IF((AM$6-$G$3)&lt;1,0,IFERROR(LOOKUP(2,1/(Sorgo!$E51:INDEX(Sorgo!$E51:$Z51,MIN(AM$6-$G$3,22))&lt;&gt;""),Sorgo!$E51:INDEX(Sorgo!$E51:$Z51,MIN(AM$6-$G$3,22))),0)))))</f>
        <v>0</v>
      </c>
      <c r="AN53" s="27" t="n">
        <f aca="false">IF(COUNT(Sorgo!$E51:$Z51)=0,0,MAX(0,IF((AN$6-$E$3)&lt;1,0,IFERROR(LOOKUP(2,1/(Sorgo!$E51:INDEX(Sorgo!$E51:$Z51,MIN(AN$6-$E$3,22))&lt;&gt;""),Sorgo!$E51:INDEX(Sorgo!$E51:$Z51,MIN(AN$6-$E$3,22))),0))-IF($G$2,0,IF((AN$6-$G$3)&lt;1,0,IFERROR(LOOKUP(2,1/(Sorgo!$E51:INDEX(Sorgo!$E51:$Z51,MIN(AN$6-$G$3,22))&lt;&gt;""),Sorgo!$E51:INDEX(Sorgo!$E51:$Z51,MIN(AN$6-$G$3,22))),0)))))</f>
        <v>0</v>
      </c>
      <c r="AO53" s="27" t="n">
        <f aca="false">IF(COUNT(Sorgo!$E51:$Z51)=0,0,MAX(0,IF((AO$6-$E$3)&lt;1,0,IFERROR(LOOKUP(2,1/(Sorgo!$E51:INDEX(Sorgo!$E51:$Z51,MIN(AO$6-$E$3,22))&lt;&gt;""),Sorgo!$E51:INDEX(Sorgo!$E51:$Z51,MIN(AO$6-$E$3,22))),0))-IF($G$2,0,IF((AO$6-$G$3)&lt;1,0,IFERROR(LOOKUP(2,1/(Sorgo!$E51:INDEX(Sorgo!$E51:$Z51,MIN(AO$6-$G$3,22))&lt;&gt;""),Sorgo!$E51:INDEX(Sorgo!$E51:$Z51,MIN(AO$6-$G$3,22))),0)))))</f>
        <v>0</v>
      </c>
      <c r="AP53" s="27" t="n">
        <f aca="false">IF(COUNT(Sorgo!$E51:$Z51)=0,0,MAX(0,IF((AP$6-$E$3)&lt;1,0,IFERROR(LOOKUP(2,1/(Sorgo!$E51:INDEX(Sorgo!$E51:$Z51,MIN(AP$6-$E$3,22))&lt;&gt;""),Sorgo!$E51:INDEX(Sorgo!$E51:$Z51,MIN(AP$6-$E$3,22))),0))-IF($G$2,0,IF((AP$6-$G$3)&lt;1,0,IFERROR(LOOKUP(2,1/(Sorgo!$E51:INDEX(Sorgo!$E51:$Z51,MIN(AP$6-$G$3,22))&lt;&gt;""),Sorgo!$E51:INDEX(Sorgo!$E51:$Z51,MIN(AP$6-$G$3,22))),0)))))</f>
        <v>0</v>
      </c>
      <c r="AQ53" s="27" t="n">
        <f aca="false">IF(COUNT(Sorgo!$E51:$Z51)=0,0,MAX(0,IF((AQ$6-$E$3)&lt;1,0,IFERROR(LOOKUP(2,1/(Sorgo!$E51:INDEX(Sorgo!$E51:$Z51,MIN(AQ$6-$E$3,22))&lt;&gt;""),Sorgo!$E51:INDEX(Sorgo!$E51:$Z51,MIN(AQ$6-$E$3,22))),0))-IF($G$2,0,IF((AQ$6-$G$3)&lt;1,0,IFERROR(LOOKUP(2,1/(Sorgo!$E51:INDEX(Sorgo!$E51:$Z51,MIN(AQ$6-$G$3,22))&lt;&gt;""),Sorgo!$E51:INDEX(Sorgo!$E51:$Z51,MIN(AQ$6-$G$3,22))),0)))))</f>
        <v>0</v>
      </c>
      <c r="AR53" s="27" t="n">
        <f aca="false">IF(COUNT(Sorgo!$E51:$Z51)=0,0,MAX(0,IF((AR$6-$E$3)&lt;1,0,IFERROR(LOOKUP(2,1/(Sorgo!$E51:INDEX(Sorgo!$E51:$Z51,MIN(AR$6-$E$3,22))&lt;&gt;""),Sorgo!$E51:INDEX(Sorgo!$E51:$Z51,MIN(AR$6-$E$3,22))),0))-IF($G$2,0,IF((AR$6-$G$3)&lt;1,0,IFERROR(LOOKUP(2,1/(Sorgo!$E51:INDEX(Sorgo!$E51:$Z51,MIN(AR$6-$G$3,22))&lt;&gt;""),Sorgo!$E51:INDEX(Sorgo!$E51:$Z51,MIN(AR$6-$G$3,22))),0)))))</f>
        <v>0</v>
      </c>
      <c r="AS53" s="27" t="n">
        <f aca="false">IF(COUNT(Sorgo!$E51:$Z51)=0,0,MAX(0,IF((AS$6-$E$3)&lt;1,0,IFERROR(LOOKUP(2,1/(Sorgo!$E51:INDEX(Sorgo!$E51:$Z51,MIN(AS$6-$E$3,22))&lt;&gt;""),Sorgo!$E51:INDEX(Sorgo!$E51:$Z51,MIN(AS$6-$E$3,22))),0))-IF($G$2,0,IF((AS$6-$G$3)&lt;1,0,IFERROR(LOOKUP(2,1/(Sorgo!$E51:INDEX(Sorgo!$E51:$Z51,MIN(AS$6-$G$3,22))&lt;&gt;""),Sorgo!$E51:INDEX(Sorgo!$E51:$Z51,MIN(AS$6-$G$3,22))),0)))))</f>
        <v>0</v>
      </c>
      <c r="AT53" s="27" t="n">
        <f aca="false">IF(COUNT(Sorgo!$E51:$Z51)=0,0,MAX(0,IF((AT$6-$E$3)&lt;1,0,IFERROR(LOOKUP(2,1/(Sorgo!$E51:INDEX(Sorgo!$E51:$Z51,MIN(AT$6-$E$3,22))&lt;&gt;""),Sorgo!$E51:INDEX(Sorgo!$E51:$Z51,MIN(AT$6-$E$3,22))),0))-IF($G$2,0,IF((AT$6-$G$3)&lt;1,0,IFERROR(LOOKUP(2,1/(Sorgo!$E51:INDEX(Sorgo!$E51:$Z51,MIN(AT$6-$G$3,22))&lt;&gt;""),Sorgo!$E51:INDEX(Sorgo!$E51:$Z51,MIN(AT$6-$G$3,22))),0)))))</f>
        <v>0</v>
      </c>
      <c r="AU53" s="27" t="n">
        <f aca="false">IF(COUNT(Sorgo!$E51:$Z51)=0,0,MAX(0,IF((AU$6-$E$3)&lt;1,0,IFERROR(LOOKUP(2,1/(Sorgo!$E51:INDEX(Sorgo!$E51:$Z51,MIN(AU$6-$E$3,22))&lt;&gt;""),Sorgo!$E51:INDEX(Sorgo!$E51:$Z51,MIN(AU$6-$E$3,22))),0))-IF($G$2,0,IF((AU$6-$G$3)&lt;1,0,IFERROR(LOOKUP(2,1/(Sorgo!$E51:INDEX(Sorgo!$E51:$Z51,MIN(AU$6-$G$3,22))&lt;&gt;""),Sorgo!$E51:INDEX(Sorgo!$E51:$Z51,MIN(AU$6-$G$3,22))),0)))))</f>
        <v>0</v>
      </c>
      <c r="AV53" s="27" t="n">
        <f aca="false">IF(COUNT(Sorgo!$E51:$Z51)=0,0,MAX(0,IF((AV$6-$E$3)&lt;1,0,IFERROR(LOOKUP(2,1/(Sorgo!$E51:INDEX(Sorgo!$E51:$Z51,MIN(AV$6-$E$3,22))&lt;&gt;""),Sorgo!$E51:INDEX(Sorgo!$E51:$Z51,MIN(AV$6-$E$3,22))),0))-IF($G$2,0,IF((AV$6-$G$3)&lt;1,0,IFERROR(LOOKUP(2,1/(Sorgo!$E51:INDEX(Sorgo!$E51:$Z51,MIN(AV$6-$G$3,22))&lt;&gt;""),Sorgo!$E51:INDEX(Sorgo!$E51:$Z51,MIN(AV$6-$G$3,22))),0)))))</f>
        <v>0</v>
      </c>
      <c r="AW53" s="27" t="n">
        <f aca="false">IF(COUNT(Sorgo!$E51:$Z51)=0,0,MAX(0,IF((AW$6-$E$3)&lt;1,0,IFERROR(LOOKUP(2,1/(Sorgo!$E51:INDEX(Sorgo!$E51:$Z51,MIN(AW$6-$E$3,22))&lt;&gt;""),Sorgo!$E51:INDEX(Sorgo!$E51:$Z51,MIN(AW$6-$E$3,22))),0))-IF($G$2,0,IF((AW$6-$G$3)&lt;1,0,IFERROR(LOOKUP(2,1/(Sorgo!$E51:INDEX(Sorgo!$E51:$Z51,MIN(AW$6-$G$3,22))&lt;&gt;""),Sorgo!$E51:INDEX(Sorgo!$E51:$Z51,MIN(AW$6-$G$3,22))),0)))))</f>
        <v>0</v>
      </c>
      <c r="AX53" s="27" t="n">
        <f aca="false">IF(COUNT(Sorgo!$E51:$Z51)=0,0,MAX(0,IF((AX$6-$E$3)&lt;1,0,IFERROR(LOOKUP(2,1/(Sorgo!$E51:INDEX(Sorgo!$E51:$Z51,MIN(AX$6-$E$3,22))&lt;&gt;""),Sorgo!$E51:INDEX(Sorgo!$E51:$Z51,MIN(AX$6-$E$3,22))),0))-IF($G$2,0,IF((AX$6-$G$3)&lt;1,0,IFERROR(LOOKUP(2,1/(Sorgo!$E51:INDEX(Sorgo!$E51:$Z51,MIN(AX$6-$G$3,22))&lt;&gt;""),Sorgo!$E51:INDEX(Sorgo!$E51:$Z51,MIN(AX$6-$G$3,22))),0)))))</f>
        <v>0</v>
      </c>
      <c r="AY53" s="27" t="n">
        <f aca="false">IF(COUNT(Sorgo!$E51:$Z51)=0,0,MAX(0,IF((AY$6-$E$3)&lt;1,0,IFERROR(LOOKUP(2,1/(Sorgo!$E51:INDEX(Sorgo!$E51:$Z51,MIN(AY$6-$E$3,22))&lt;&gt;""),Sorgo!$E51:INDEX(Sorgo!$E51:$Z51,MIN(AY$6-$E$3,22))),0))-IF($G$2,0,IF((AY$6-$G$3)&lt;1,0,IFERROR(LOOKUP(2,1/(Sorgo!$E51:INDEX(Sorgo!$E51:$Z51,MIN(AY$6-$G$3,22))&lt;&gt;""),Sorgo!$E51:INDEX(Sorgo!$E51:$Z51,MIN(AY$6-$G$3,22))),0)))))</f>
        <v>0</v>
      </c>
      <c r="AZ53" s="27" t="n">
        <f aca="false">IF(COUNT(Sorgo!$E51:$Z51)=0,0,MAX(0,IF((AZ$6-$E$3)&lt;1,0,IFERROR(LOOKUP(2,1/(Sorgo!$E51:INDEX(Sorgo!$E51:$Z51,MIN(AZ$6-$E$3,22))&lt;&gt;""),Sorgo!$E51:INDEX(Sorgo!$E51:$Z51,MIN(AZ$6-$E$3,22))),0))-IF($G$2,0,IF((AZ$6-$G$3)&lt;1,0,IFERROR(LOOKUP(2,1/(Sorgo!$E51:INDEX(Sorgo!$E51:$Z51,MIN(AZ$6-$G$3,22))&lt;&gt;""),Sorgo!$E51:INDEX(Sorgo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IF(COUNT(Sorgo!$E52:$Z52)&gt;0,N(Sorgo!$D52),0)</f>
        <v>0</v>
      </c>
      <c r="E54" s="27" t="n">
        <f aca="false">IF(COUNT(Sorgo!$E52:$Z52)=0,0,MAX(0,IF((E$6-$E$3)&lt;1,0,IFERROR(LOOKUP(2,1/(Sorgo!$E52:INDEX(Sorgo!$E52:$Z52,MIN(E$6-$E$3,22))&lt;&gt;""),Sorgo!$E52:INDEX(Sorgo!$E52:$Z52,MIN(E$6-$E$3,22))),0))-IF($G$2,0,IF((E$6-$G$3)&lt;1,0,IFERROR(LOOKUP(2,1/(Sorgo!$E52:INDEX(Sorgo!$E52:$Z52,MIN(E$6-$G$3,22))&lt;&gt;""),Sorgo!$E52:INDEX(Sorgo!$E52:$Z52,MIN(E$6-$G$3,22))),0)))))</f>
        <v>0</v>
      </c>
      <c r="F54" s="27" t="n">
        <f aca="false">IF(COUNT(Sorgo!$E52:$Z52)=0,0,MAX(0,IF((F$6-$E$3)&lt;1,0,IFERROR(LOOKUP(2,1/(Sorgo!$E52:INDEX(Sorgo!$E52:$Z52,MIN(F$6-$E$3,22))&lt;&gt;""),Sorgo!$E52:INDEX(Sorgo!$E52:$Z52,MIN(F$6-$E$3,22))),0))-IF($G$2,0,IF((F$6-$G$3)&lt;1,0,IFERROR(LOOKUP(2,1/(Sorgo!$E52:INDEX(Sorgo!$E52:$Z52,MIN(F$6-$G$3,22))&lt;&gt;""),Sorgo!$E52:INDEX(Sorgo!$E52:$Z52,MIN(F$6-$G$3,22))),0)))))</f>
        <v>0</v>
      </c>
      <c r="G54" s="27" t="n">
        <f aca="false">IF(COUNT(Sorgo!$E52:$Z52)=0,0,MAX(0,IF((G$6-$E$3)&lt;1,0,IFERROR(LOOKUP(2,1/(Sorgo!$E52:INDEX(Sorgo!$E52:$Z52,MIN(G$6-$E$3,22))&lt;&gt;""),Sorgo!$E52:INDEX(Sorgo!$E52:$Z52,MIN(G$6-$E$3,22))),0))-IF($G$2,0,IF((G$6-$G$3)&lt;1,0,IFERROR(LOOKUP(2,1/(Sorgo!$E52:INDEX(Sorgo!$E52:$Z52,MIN(G$6-$G$3,22))&lt;&gt;""),Sorgo!$E52:INDEX(Sorgo!$E52:$Z52,MIN(G$6-$G$3,22))),0)))))</f>
        <v>0</v>
      </c>
      <c r="H54" s="27" t="n">
        <f aca="false">IF(COUNT(Sorgo!$E52:$Z52)=0,0,MAX(0,IF((H$6-$E$3)&lt;1,0,IFERROR(LOOKUP(2,1/(Sorgo!$E52:INDEX(Sorgo!$E52:$Z52,MIN(H$6-$E$3,22))&lt;&gt;""),Sorgo!$E52:INDEX(Sorgo!$E52:$Z52,MIN(H$6-$E$3,22))),0))-IF($G$2,0,IF((H$6-$G$3)&lt;1,0,IFERROR(LOOKUP(2,1/(Sorgo!$E52:INDEX(Sorgo!$E52:$Z52,MIN(H$6-$G$3,22))&lt;&gt;""),Sorgo!$E52:INDEX(Sorgo!$E52:$Z52,MIN(H$6-$G$3,22))),0)))))</f>
        <v>0</v>
      </c>
      <c r="I54" s="27" t="n">
        <f aca="false">IF(COUNT(Sorgo!$E52:$Z52)=0,0,MAX(0,IF((I$6-$E$3)&lt;1,0,IFERROR(LOOKUP(2,1/(Sorgo!$E52:INDEX(Sorgo!$E52:$Z52,MIN(I$6-$E$3,22))&lt;&gt;""),Sorgo!$E52:INDEX(Sorgo!$E52:$Z52,MIN(I$6-$E$3,22))),0))-IF($G$2,0,IF((I$6-$G$3)&lt;1,0,IFERROR(LOOKUP(2,1/(Sorgo!$E52:INDEX(Sorgo!$E52:$Z52,MIN(I$6-$G$3,22))&lt;&gt;""),Sorgo!$E52:INDEX(Sorgo!$E52:$Z52,MIN(I$6-$G$3,22))),0)))))</f>
        <v>0</v>
      </c>
      <c r="J54" s="27" t="n">
        <f aca="false">IF(COUNT(Sorgo!$E52:$Z52)=0,0,MAX(0,IF((J$6-$E$3)&lt;1,0,IFERROR(LOOKUP(2,1/(Sorgo!$E52:INDEX(Sorgo!$E52:$Z52,MIN(J$6-$E$3,22))&lt;&gt;""),Sorgo!$E52:INDEX(Sorgo!$E52:$Z52,MIN(J$6-$E$3,22))),0))-IF($G$2,0,IF((J$6-$G$3)&lt;1,0,IFERROR(LOOKUP(2,1/(Sorgo!$E52:INDEX(Sorgo!$E52:$Z52,MIN(J$6-$G$3,22))&lt;&gt;""),Sorgo!$E52:INDEX(Sorgo!$E52:$Z52,MIN(J$6-$G$3,22))),0)))))</f>
        <v>0</v>
      </c>
      <c r="K54" s="27" t="n">
        <f aca="false">IF(COUNT(Sorgo!$E52:$Z52)=0,0,MAX(0,IF((K$6-$E$3)&lt;1,0,IFERROR(LOOKUP(2,1/(Sorgo!$E52:INDEX(Sorgo!$E52:$Z52,MIN(K$6-$E$3,22))&lt;&gt;""),Sorgo!$E52:INDEX(Sorgo!$E52:$Z52,MIN(K$6-$E$3,22))),0))-IF($G$2,0,IF((K$6-$G$3)&lt;1,0,IFERROR(LOOKUP(2,1/(Sorgo!$E52:INDEX(Sorgo!$E52:$Z52,MIN(K$6-$G$3,22))&lt;&gt;""),Sorgo!$E52:INDEX(Sorgo!$E52:$Z52,MIN(K$6-$G$3,22))),0)))))</f>
        <v>0</v>
      </c>
      <c r="L54" s="27" t="n">
        <f aca="false">IF(COUNT(Sorgo!$E52:$Z52)=0,0,MAX(0,IF((L$6-$E$3)&lt;1,0,IFERROR(LOOKUP(2,1/(Sorgo!$E52:INDEX(Sorgo!$E52:$Z52,MIN(L$6-$E$3,22))&lt;&gt;""),Sorgo!$E52:INDEX(Sorgo!$E52:$Z52,MIN(L$6-$E$3,22))),0))-IF($G$2,0,IF((L$6-$G$3)&lt;1,0,IFERROR(LOOKUP(2,1/(Sorgo!$E52:INDEX(Sorgo!$E52:$Z52,MIN(L$6-$G$3,22))&lt;&gt;""),Sorgo!$E52:INDEX(Sorgo!$E52:$Z52,MIN(L$6-$G$3,22))),0)))))</f>
        <v>0</v>
      </c>
      <c r="M54" s="27" t="n">
        <f aca="false">IF(COUNT(Sorgo!$E52:$Z52)=0,0,MAX(0,IF((M$6-$E$3)&lt;1,0,IFERROR(LOOKUP(2,1/(Sorgo!$E52:INDEX(Sorgo!$E52:$Z52,MIN(M$6-$E$3,22))&lt;&gt;""),Sorgo!$E52:INDEX(Sorgo!$E52:$Z52,MIN(M$6-$E$3,22))),0))-IF($G$2,0,IF((M$6-$G$3)&lt;1,0,IFERROR(LOOKUP(2,1/(Sorgo!$E52:INDEX(Sorgo!$E52:$Z52,MIN(M$6-$G$3,22))&lt;&gt;""),Sorgo!$E52:INDEX(Sorgo!$E52:$Z52,MIN(M$6-$G$3,22))),0)))))</f>
        <v>0</v>
      </c>
      <c r="N54" s="27" t="n">
        <f aca="false">IF(COUNT(Sorgo!$E52:$Z52)=0,0,MAX(0,IF((N$6-$E$3)&lt;1,0,IFERROR(LOOKUP(2,1/(Sorgo!$E52:INDEX(Sorgo!$E52:$Z52,MIN(N$6-$E$3,22))&lt;&gt;""),Sorgo!$E52:INDEX(Sorgo!$E52:$Z52,MIN(N$6-$E$3,22))),0))-IF($G$2,0,IF((N$6-$G$3)&lt;1,0,IFERROR(LOOKUP(2,1/(Sorgo!$E52:INDEX(Sorgo!$E52:$Z52,MIN(N$6-$G$3,22))&lt;&gt;""),Sorgo!$E52:INDEX(Sorgo!$E52:$Z52,MIN(N$6-$G$3,22))),0)))))</f>
        <v>0</v>
      </c>
      <c r="O54" s="27" t="n">
        <f aca="false">IF(COUNT(Sorgo!$E52:$Z52)=0,0,MAX(0,IF((O$6-$E$3)&lt;1,0,IFERROR(LOOKUP(2,1/(Sorgo!$E52:INDEX(Sorgo!$E52:$Z52,MIN(O$6-$E$3,22))&lt;&gt;""),Sorgo!$E52:INDEX(Sorgo!$E52:$Z52,MIN(O$6-$E$3,22))),0))-IF($G$2,0,IF((O$6-$G$3)&lt;1,0,IFERROR(LOOKUP(2,1/(Sorgo!$E52:INDEX(Sorgo!$E52:$Z52,MIN(O$6-$G$3,22))&lt;&gt;""),Sorgo!$E52:INDEX(Sorgo!$E52:$Z52,MIN(O$6-$G$3,22))),0)))))</f>
        <v>0</v>
      </c>
      <c r="P54" s="27" t="n">
        <f aca="false">IF(COUNT(Sorgo!$E52:$Z52)=0,0,MAX(0,IF((P$6-$E$3)&lt;1,0,IFERROR(LOOKUP(2,1/(Sorgo!$E52:INDEX(Sorgo!$E52:$Z52,MIN(P$6-$E$3,22))&lt;&gt;""),Sorgo!$E52:INDEX(Sorgo!$E52:$Z52,MIN(P$6-$E$3,22))),0))-IF($G$2,0,IF((P$6-$G$3)&lt;1,0,IFERROR(LOOKUP(2,1/(Sorgo!$E52:INDEX(Sorgo!$E52:$Z52,MIN(P$6-$G$3,22))&lt;&gt;""),Sorgo!$E52:INDEX(Sorgo!$E52:$Z52,MIN(P$6-$G$3,22))),0)))))</f>
        <v>0</v>
      </c>
      <c r="Q54" s="27" t="n">
        <f aca="false">IF(COUNT(Sorgo!$E52:$Z52)=0,0,MAX(0,IF((Q$6-$E$3)&lt;1,0,IFERROR(LOOKUP(2,1/(Sorgo!$E52:INDEX(Sorgo!$E52:$Z52,MIN(Q$6-$E$3,22))&lt;&gt;""),Sorgo!$E52:INDEX(Sorgo!$E52:$Z52,MIN(Q$6-$E$3,22))),0))-IF($G$2,0,IF((Q$6-$G$3)&lt;1,0,IFERROR(LOOKUP(2,1/(Sorgo!$E52:INDEX(Sorgo!$E52:$Z52,MIN(Q$6-$G$3,22))&lt;&gt;""),Sorgo!$E52:INDEX(Sorgo!$E52:$Z52,MIN(Q$6-$G$3,22))),0)))))</f>
        <v>0</v>
      </c>
      <c r="R54" s="27" t="n">
        <f aca="false">IF(COUNT(Sorgo!$E52:$Z52)=0,0,MAX(0,IF((R$6-$E$3)&lt;1,0,IFERROR(LOOKUP(2,1/(Sorgo!$E52:INDEX(Sorgo!$E52:$Z52,MIN(R$6-$E$3,22))&lt;&gt;""),Sorgo!$E52:INDEX(Sorgo!$E52:$Z52,MIN(R$6-$E$3,22))),0))-IF($G$2,0,IF((R$6-$G$3)&lt;1,0,IFERROR(LOOKUP(2,1/(Sorgo!$E52:INDEX(Sorgo!$E52:$Z52,MIN(R$6-$G$3,22))&lt;&gt;""),Sorgo!$E52:INDEX(Sorgo!$E52:$Z52,MIN(R$6-$G$3,22))),0)))))</f>
        <v>0</v>
      </c>
      <c r="S54" s="27" t="n">
        <f aca="false">IF(COUNT(Sorgo!$E52:$Z52)=0,0,MAX(0,IF((S$6-$E$3)&lt;1,0,IFERROR(LOOKUP(2,1/(Sorgo!$E52:INDEX(Sorgo!$E52:$Z52,MIN(S$6-$E$3,22))&lt;&gt;""),Sorgo!$E52:INDEX(Sorgo!$E52:$Z52,MIN(S$6-$E$3,22))),0))-IF($G$2,0,IF((S$6-$G$3)&lt;1,0,IFERROR(LOOKUP(2,1/(Sorgo!$E52:INDEX(Sorgo!$E52:$Z52,MIN(S$6-$G$3,22))&lt;&gt;""),Sorgo!$E52:INDEX(Sorgo!$E52:$Z52,MIN(S$6-$G$3,22))),0)))))</f>
        <v>0</v>
      </c>
      <c r="T54" s="27" t="n">
        <f aca="false">IF(COUNT(Sorgo!$E52:$Z52)=0,0,MAX(0,IF((T$6-$E$3)&lt;1,0,IFERROR(LOOKUP(2,1/(Sorgo!$E52:INDEX(Sorgo!$E52:$Z52,MIN(T$6-$E$3,22))&lt;&gt;""),Sorgo!$E52:INDEX(Sorgo!$E52:$Z52,MIN(T$6-$E$3,22))),0))-IF($G$2,0,IF((T$6-$G$3)&lt;1,0,IFERROR(LOOKUP(2,1/(Sorgo!$E52:INDEX(Sorgo!$E52:$Z52,MIN(T$6-$G$3,22))&lt;&gt;""),Sorgo!$E52:INDEX(Sorgo!$E52:$Z52,MIN(T$6-$G$3,22))),0)))))</f>
        <v>0</v>
      </c>
      <c r="U54" s="27" t="n">
        <f aca="false">IF(COUNT(Sorgo!$E52:$Z52)=0,0,MAX(0,IF((U$6-$E$3)&lt;1,0,IFERROR(LOOKUP(2,1/(Sorgo!$E52:INDEX(Sorgo!$E52:$Z52,MIN(U$6-$E$3,22))&lt;&gt;""),Sorgo!$E52:INDEX(Sorgo!$E52:$Z52,MIN(U$6-$E$3,22))),0))-IF($G$2,0,IF((U$6-$G$3)&lt;1,0,IFERROR(LOOKUP(2,1/(Sorgo!$E52:INDEX(Sorgo!$E52:$Z52,MIN(U$6-$G$3,22))&lt;&gt;""),Sorgo!$E52:INDEX(Sorgo!$E52:$Z52,MIN(U$6-$G$3,22))),0)))))</f>
        <v>0</v>
      </c>
      <c r="V54" s="27" t="n">
        <f aca="false">IF(COUNT(Sorgo!$E52:$Z52)=0,0,MAX(0,IF((V$6-$E$3)&lt;1,0,IFERROR(LOOKUP(2,1/(Sorgo!$E52:INDEX(Sorgo!$E52:$Z52,MIN(V$6-$E$3,22))&lt;&gt;""),Sorgo!$E52:INDEX(Sorgo!$E52:$Z52,MIN(V$6-$E$3,22))),0))-IF($G$2,0,IF((V$6-$G$3)&lt;1,0,IFERROR(LOOKUP(2,1/(Sorgo!$E52:INDEX(Sorgo!$E52:$Z52,MIN(V$6-$G$3,22))&lt;&gt;""),Sorgo!$E52:INDEX(Sorgo!$E52:$Z52,MIN(V$6-$G$3,22))),0)))))</f>
        <v>0</v>
      </c>
      <c r="W54" s="27" t="n">
        <f aca="false">IF(COUNT(Sorgo!$E52:$Z52)=0,0,MAX(0,IF((W$6-$E$3)&lt;1,0,IFERROR(LOOKUP(2,1/(Sorgo!$E52:INDEX(Sorgo!$E52:$Z52,MIN(W$6-$E$3,22))&lt;&gt;""),Sorgo!$E52:INDEX(Sorgo!$E52:$Z52,MIN(W$6-$E$3,22))),0))-IF($G$2,0,IF((W$6-$G$3)&lt;1,0,IFERROR(LOOKUP(2,1/(Sorgo!$E52:INDEX(Sorgo!$E52:$Z52,MIN(W$6-$G$3,22))&lt;&gt;""),Sorgo!$E52:INDEX(Sorgo!$E52:$Z52,MIN(W$6-$G$3,22))),0)))))</f>
        <v>0</v>
      </c>
      <c r="X54" s="27" t="n">
        <f aca="false">IF(COUNT(Sorgo!$E52:$Z52)=0,0,MAX(0,IF((X$6-$E$3)&lt;1,0,IFERROR(LOOKUP(2,1/(Sorgo!$E52:INDEX(Sorgo!$E52:$Z52,MIN(X$6-$E$3,22))&lt;&gt;""),Sorgo!$E52:INDEX(Sorgo!$E52:$Z52,MIN(X$6-$E$3,22))),0))-IF($G$2,0,IF((X$6-$G$3)&lt;1,0,IFERROR(LOOKUP(2,1/(Sorgo!$E52:INDEX(Sorgo!$E52:$Z52,MIN(X$6-$G$3,22))&lt;&gt;""),Sorgo!$E52:INDEX(Sorgo!$E52:$Z52,MIN(X$6-$G$3,22))),0)))))</f>
        <v>0</v>
      </c>
      <c r="Y54" s="27" t="n">
        <f aca="false">IF(COUNT(Sorgo!$E52:$Z52)=0,0,MAX(0,IF((Y$6-$E$3)&lt;1,0,IFERROR(LOOKUP(2,1/(Sorgo!$E52:INDEX(Sorgo!$E52:$Z52,MIN(Y$6-$E$3,22))&lt;&gt;""),Sorgo!$E52:INDEX(Sorgo!$E52:$Z52,MIN(Y$6-$E$3,22))),0))-IF($G$2,0,IF((Y$6-$G$3)&lt;1,0,IFERROR(LOOKUP(2,1/(Sorgo!$E52:INDEX(Sorgo!$E52:$Z52,MIN(Y$6-$G$3,22))&lt;&gt;""),Sorgo!$E52:INDEX(Sorgo!$E52:$Z52,MIN(Y$6-$G$3,22))),0)))))</f>
        <v>0</v>
      </c>
      <c r="Z54" s="27" t="n">
        <f aca="false">IF(COUNT(Sorgo!$E52:$Z52)=0,0,MAX(0,IF((Z$6-$E$3)&lt;1,0,IFERROR(LOOKUP(2,1/(Sorgo!$E52:INDEX(Sorgo!$E52:$Z52,MIN(Z$6-$E$3,22))&lt;&gt;""),Sorgo!$E52:INDEX(Sorgo!$E52:$Z52,MIN(Z$6-$E$3,22))),0))-IF($G$2,0,IF((Z$6-$G$3)&lt;1,0,IFERROR(LOOKUP(2,1/(Sorgo!$E52:INDEX(Sorgo!$E52:$Z52,MIN(Z$6-$G$3,22))&lt;&gt;""),Sorgo!$E52:INDEX(Sorgo!$E52:$Z52,MIN(Z$6-$G$3,22))),0)))))</f>
        <v>0</v>
      </c>
      <c r="AA54" s="27" t="n">
        <f aca="false">IF(COUNT(Sorgo!$E52:$Z52)=0,0,MAX(0,IF((AA$6-$E$3)&lt;1,0,IFERROR(LOOKUP(2,1/(Sorgo!$E52:INDEX(Sorgo!$E52:$Z52,MIN(AA$6-$E$3,22))&lt;&gt;""),Sorgo!$E52:INDEX(Sorgo!$E52:$Z52,MIN(AA$6-$E$3,22))),0))-IF($G$2,0,IF((AA$6-$G$3)&lt;1,0,IFERROR(LOOKUP(2,1/(Sorgo!$E52:INDEX(Sorgo!$E52:$Z52,MIN(AA$6-$G$3,22))&lt;&gt;""),Sorgo!$E52:INDEX(Sorgo!$E52:$Z52,MIN(AA$6-$G$3,22))),0)))))</f>
        <v>0</v>
      </c>
      <c r="AB54" s="27" t="n">
        <f aca="false">IF(COUNT(Sorgo!$E52:$Z52)=0,0,MAX(0,IF((AB$6-$E$3)&lt;1,0,IFERROR(LOOKUP(2,1/(Sorgo!$E52:INDEX(Sorgo!$E52:$Z52,MIN(AB$6-$E$3,22))&lt;&gt;""),Sorgo!$E52:INDEX(Sorgo!$E52:$Z52,MIN(AB$6-$E$3,22))),0))-IF($G$2,0,IF((AB$6-$G$3)&lt;1,0,IFERROR(LOOKUP(2,1/(Sorgo!$E52:INDEX(Sorgo!$E52:$Z52,MIN(AB$6-$G$3,22))&lt;&gt;""),Sorgo!$E52:INDEX(Sorgo!$E52:$Z52,MIN(AB$6-$G$3,22))),0)))))</f>
        <v>0</v>
      </c>
      <c r="AC54" s="27" t="n">
        <f aca="false">IF(COUNT(Sorgo!$E52:$Z52)=0,0,MAX(0,IF((AC$6-$E$3)&lt;1,0,IFERROR(LOOKUP(2,1/(Sorgo!$E52:INDEX(Sorgo!$E52:$Z52,MIN(AC$6-$E$3,22))&lt;&gt;""),Sorgo!$E52:INDEX(Sorgo!$E52:$Z52,MIN(AC$6-$E$3,22))),0))-IF($G$2,0,IF((AC$6-$G$3)&lt;1,0,IFERROR(LOOKUP(2,1/(Sorgo!$E52:INDEX(Sorgo!$E52:$Z52,MIN(AC$6-$G$3,22))&lt;&gt;""),Sorgo!$E52:INDEX(Sorgo!$E52:$Z52,MIN(AC$6-$G$3,22))),0)))))</f>
        <v>0</v>
      </c>
      <c r="AD54" s="27" t="n">
        <f aca="false">IF(COUNT(Sorgo!$E52:$Z52)=0,0,MAX(0,IF((AD$6-$E$3)&lt;1,0,IFERROR(LOOKUP(2,1/(Sorgo!$E52:INDEX(Sorgo!$E52:$Z52,MIN(AD$6-$E$3,22))&lt;&gt;""),Sorgo!$E52:INDEX(Sorgo!$E52:$Z52,MIN(AD$6-$E$3,22))),0))-IF($G$2,0,IF((AD$6-$G$3)&lt;1,0,IFERROR(LOOKUP(2,1/(Sorgo!$E52:INDEX(Sorgo!$E52:$Z52,MIN(AD$6-$G$3,22))&lt;&gt;""),Sorgo!$E52:INDEX(Sorgo!$E52:$Z52,MIN(AD$6-$G$3,22))),0)))))</f>
        <v>0</v>
      </c>
      <c r="AE54" s="27" t="n">
        <f aca="false">IF(COUNT(Sorgo!$E52:$Z52)=0,0,MAX(0,IF((AE$6-$E$3)&lt;1,0,IFERROR(LOOKUP(2,1/(Sorgo!$E52:INDEX(Sorgo!$E52:$Z52,MIN(AE$6-$E$3,22))&lt;&gt;""),Sorgo!$E52:INDEX(Sorgo!$E52:$Z52,MIN(AE$6-$E$3,22))),0))-IF($G$2,0,IF((AE$6-$G$3)&lt;1,0,IFERROR(LOOKUP(2,1/(Sorgo!$E52:INDEX(Sorgo!$E52:$Z52,MIN(AE$6-$G$3,22))&lt;&gt;""),Sorgo!$E52:INDEX(Sorgo!$E52:$Z52,MIN(AE$6-$G$3,22))),0)))))</f>
        <v>0</v>
      </c>
      <c r="AF54" s="27" t="n">
        <f aca="false">IF(COUNT(Sorgo!$E52:$Z52)=0,0,MAX(0,IF((AF$6-$E$3)&lt;1,0,IFERROR(LOOKUP(2,1/(Sorgo!$E52:INDEX(Sorgo!$E52:$Z52,MIN(AF$6-$E$3,22))&lt;&gt;""),Sorgo!$E52:INDEX(Sorgo!$E52:$Z52,MIN(AF$6-$E$3,22))),0))-IF($G$2,0,IF((AF$6-$G$3)&lt;1,0,IFERROR(LOOKUP(2,1/(Sorgo!$E52:INDEX(Sorgo!$E52:$Z52,MIN(AF$6-$G$3,22))&lt;&gt;""),Sorgo!$E52:INDEX(Sorgo!$E52:$Z52,MIN(AF$6-$G$3,22))),0)))))</f>
        <v>0</v>
      </c>
      <c r="AG54" s="27" t="n">
        <f aca="false">IF(COUNT(Sorgo!$E52:$Z52)=0,0,MAX(0,IF((AG$6-$E$3)&lt;1,0,IFERROR(LOOKUP(2,1/(Sorgo!$E52:INDEX(Sorgo!$E52:$Z52,MIN(AG$6-$E$3,22))&lt;&gt;""),Sorgo!$E52:INDEX(Sorgo!$E52:$Z52,MIN(AG$6-$E$3,22))),0))-IF($G$2,0,IF((AG$6-$G$3)&lt;1,0,IFERROR(LOOKUP(2,1/(Sorgo!$E52:INDEX(Sorgo!$E52:$Z52,MIN(AG$6-$G$3,22))&lt;&gt;""),Sorgo!$E52:INDEX(Sorgo!$E52:$Z52,MIN(AG$6-$G$3,22))),0)))))</f>
        <v>0</v>
      </c>
      <c r="AH54" s="27" t="n">
        <f aca="false">IF(COUNT(Sorgo!$E52:$Z52)=0,0,MAX(0,IF((AH$6-$E$3)&lt;1,0,IFERROR(LOOKUP(2,1/(Sorgo!$E52:INDEX(Sorgo!$E52:$Z52,MIN(AH$6-$E$3,22))&lt;&gt;""),Sorgo!$E52:INDEX(Sorgo!$E52:$Z52,MIN(AH$6-$E$3,22))),0))-IF($G$2,0,IF((AH$6-$G$3)&lt;1,0,IFERROR(LOOKUP(2,1/(Sorgo!$E52:INDEX(Sorgo!$E52:$Z52,MIN(AH$6-$G$3,22))&lt;&gt;""),Sorgo!$E52:INDEX(Sorgo!$E52:$Z52,MIN(AH$6-$G$3,22))),0)))))</f>
        <v>0</v>
      </c>
      <c r="AI54" s="27" t="n">
        <f aca="false">IF(COUNT(Sorgo!$E52:$Z52)=0,0,MAX(0,IF((AI$6-$E$3)&lt;1,0,IFERROR(LOOKUP(2,1/(Sorgo!$E52:INDEX(Sorgo!$E52:$Z52,MIN(AI$6-$E$3,22))&lt;&gt;""),Sorgo!$E52:INDEX(Sorgo!$E52:$Z52,MIN(AI$6-$E$3,22))),0))-IF($G$2,0,IF((AI$6-$G$3)&lt;1,0,IFERROR(LOOKUP(2,1/(Sorgo!$E52:INDEX(Sorgo!$E52:$Z52,MIN(AI$6-$G$3,22))&lt;&gt;""),Sorgo!$E52:INDEX(Sorgo!$E52:$Z52,MIN(AI$6-$G$3,22))),0)))))</f>
        <v>0</v>
      </c>
      <c r="AJ54" s="27" t="n">
        <f aca="false">IF(COUNT(Sorgo!$E52:$Z52)=0,0,MAX(0,IF((AJ$6-$E$3)&lt;1,0,IFERROR(LOOKUP(2,1/(Sorgo!$E52:INDEX(Sorgo!$E52:$Z52,MIN(AJ$6-$E$3,22))&lt;&gt;""),Sorgo!$E52:INDEX(Sorgo!$E52:$Z52,MIN(AJ$6-$E$3,22))),0))-IF($G$2,0,IF((AJ$6-$G$3)&lt;1,0,IFERROR(LOOKUP(2,1/(Sorgo!$E52:INDEX(Sorgo!$E52:$Z52,MIN(AJ$6-$G$3,22))&lt;&gt;""),Sorgo!$E52:INDEX(Sorgo!$E52:$Z52,MIN(AJ$6-$G$3,22))),0)))))</f>
        <v>0</v>
      </c>
      <c r="AK54" s="27" t="n">
        <f aca="false">IF(COUNT(Sorgo!$E52:$Z52)=0,0,MAX(0,IF((AK$6-$E$3)&lt;1,0,IFERROR(LOOKUP(2,1/(Sorgo!$E52:INDEX(Sorgo!$E52:$Z52,MIN(AK$6-$E$3,22))&lt;&gt;""),Sorgo!$E52:INDEX(Sorgo!$E52:$Z52,MIN(AK$6-$E$3,22))),0))-IF($G$2,0,IF((AK$6-$G$3)&lt;1,0,IFERROR(LOOKUP(2,1/(Sorgo!$E52:INDEX(Sorgo!$E52:$Z52,MIN(AK$6-$G$3,22))&lt;&gt;""),Sorgo!$E52:INDEX(Sorgo!$E52:$Z52,MIN(AK$6-$G$3,22))),0)))))</f>
        <v>0</v>
      </c>
      <c r="AL54" s="27" t="n">
        <f aca="false">IF(COUNT(Sorgo!$E52:$Z52)=0,0,MAX(0,IF((AL$6-$E$3)&lt;1,0,IFERROR(LOOKUP(2,1/(Sorgo!$E52:INDEX(Sorgo!$E52:$Z52,MIN(AL$6-$E$3,22))&lt;&gt;""),Sorgo!$E52:INDEX(Sorgo!$E52:$Z52,MIN(AL$6-$E$3,22))),0))-IF($G$2,0,IF((AL$6-$G$3)&lt;1,0,IFERROR(LOOKUP(2,1/(Sorgo!$E52:INDEX(Sorgo!$E52:$Z52,MIN(AL$6-$G$3,22))&lt;&gt;""),Sorgo!$E52:INDEX(Sorgo!$E52:$Z52,MIN(AL$6-$G$3,22))),0)))))</f>
        <v>0</v>
      </c>
      <c r="AM54" s="27" t="n">
        <f aca="false">IF(COUNT(Sorgo!$E52:$Z52)=0,0,MAX(0,IF((AM$6-$E$3)&lt;1,0,IFERROR(LOOKUP(2,1/(Sorgo!$E52:INDEX(Sorgo!$E52:$Z52,MIN(AM$6-$E$3,22))&lt;&gt;""),Sorgo!$E52:INDEX(Sorgo!$E52:$Z52,MIN(AM$6-$E$3,22))),0))-IF($G$2,0,IF((AM$6-$G$3)&lt;1,0,IFERROR(LOOKUP(2,1/(Sorgo!$E52:INDEX(Sorgo!$E52:$Z52,MIN(AM$6-$G$3,22))&lt;&gt;""),Sorgo!$E52:INDEX(Sorgo!$E52:$Z52,MIN(AM$6-$G$3,22))),0)))))</f>
        <v>0</v>
      </c>
      <c r="AN54" s="27" t="n">
        <f aca="false">IF(COUNT(Sorgo!$E52:$Z52)=0,0,MAX(0,IF((AN$6-$E$3)&lt;1,0,IFERROR(LOOKUP(2,1/(Sorgo!$E52:INDEX(Sorgo!$E52:$Z52,MIN(AN$6-$E$3,22))&lt;&gt;""),Sorgo!$E52:INDEX(Sorgo!$E52:$Z52,MIN(AN$6-$E$3,22))),0))-IF($G$2,0,IF((AN$6-$G$3)&lt;1,0,IFERROR(LOOKUP(2,1/(Sorgo!$E52:INDEX(Sorgo!$E52:$Z52,MIN(AN$6-$G$3,22))&lt;&gt;""),Sorgo!$E52:INDEX(Sorgo!$E52:$Z52,MIN(AN$6-$G$3,22))),0)))))</f>
        <v>0</v>
      </c>
      <c r="AO54" s="27" t="n">
        <f aca="false">IF(COUNT(Sorgo!$E52:$Z52)=0,0,MAX(0,IF((AO$6-$E$3)&lt;1,0,IFERROR(LOOKUP(2,1/(Sorgo!$E52:INDEX(Sorgo!$E52:$Z52,MIN(AO$6-$E$3,22))&lt;&gt;""),Sorgo!$E52:INDEX(Sorgo!$E52:$Z52,MIN(AO$6-$E$3,22))),0))-IF($G$2,0,IF((AO$6-$G$3)&lt;1,0,IFERROR(LOOKUP(2,1/(Sorgo!$E52:INDEX(Sorgo!$E52:$Z52,MIN(AO$6-$G$3,22))&lt;&gt;""),Sorgo!$E52:INDEX(Sorgo!$E52:$Z52,MIN(AO$6-$G$3,22))),0)))))</f>
        <v>0</v>
      </c>
      <c r="AP54" s="27" t="n">
        <f aca="false">IF(COUNT(Sorgo!$E52:$Z52)=0,0,MAX(0,IF((AP$6-$E$3)&lt;1,0,IFERROR(LOOKUP(2,1/(Sorgo!$E52:INDEX(Sorgo!$E52:$Z52,MIN(AP$6-$E$3,22))&lt;&gt;""),Sorgo!$E52:INDEX(Sorgo!$E52:$Z52,MIN(AP$6-$E$3,22))),0))-IF($G$2,0,IF((AP$6-$G$3)&lt;1,0,IFERROR(LOOKUP(2,1/(Sorgo!$E52:INDEX(Sorgo!$E52:$Z52,MIN(AP$6-$G$3,22))&lt;&gt;""),Sorgo!$E52:INDEX(Sorgo!$E52:$Z52,MIN(AP$6-$G$3,22))),0)))))</f>
        <v>0</v>
      </c>
      <c r="AQ54" s="27" t="n">
        <f aca="false">IF(COUNT(Sorgo!$E52:$Z52)=0,0,MAX(0,IF((AQ$6-$E$3)&lt;1,0,IFERROR(LOOKUP(2,1/(Sorgo!$E52:INDEX(Sorgo!$E52:$Z52,MIN(AQ$6-$E$3,22))&lt;&gt;""),Sorgo!$E52:INDEX(Sorgo!$E52:$Z52,MIN(AQ$6-$E$3,22))),0))-IF($G$2,0,IF((AQ$6-$G$3)&lt;1,0,IFERROR(LOOKUP(2,1/(Sorgo!$E52:INDEX(Sorgo!$E52:$Z52,MIN(AQ$6-$G$3,22))&lt;&gt;""),Sorgo!$E52:INDEX(Sorgo!$E52:$Z52,MIN(AQ$6-$G$3,22))),0)))))</f>
        <v>0</v>
      </c>
      <c r="AR54" s="27" t="n">
        <f aca="false">IF(COUNT(Sorgo!$E52:$Z52)=0,0,MAX(0,IF((AR$6-$E$3)&lt;1,0,IFERROR(LOOKUP(2,1/(Sorgo!$E52:INDEX(Sorgo!$E52:$Z52,MIN(AR$6-$E$3,22))&lt;&gt;""),Sorgo!$E52:INDEX(Sorgo!$E52:$Z52,MIN(AR$6-$E$3,22))),0))-IF($G$2,0,IF((AR$6-$G$3)&lt;1,0,IFERROR(LOOKUP(2,1/(Sorgo!$E52:INDEX(Sorgo!$E52:$Z52,MIN(AR$6-$G$3,22))&lt;&gt;""),Sorgo!$E52:INDEX(Sorgo!$E52:$Z52,MIN(AR$6-$G$3,22))),0)))))</f>
        <v>0</v>
      </c>
      <c r="AS54" s="27" t="n">
        <f aca="false">IF(COUNT(Sorgo!$E52:$Z52)=0,0,MAX(0,IF((AS$6-$E$3)&lt;1,0,IFERROR(LOOKUP(2,1/(Sorgo!$E52:INDEX(Sorgo!$E52:$Z52,MIN(AS$6-$E$3,22))&lt;&gt;""),Sorgo!$E52:INDEX(Sorgo!$E52:$Z52,MIN(AS$6-$E$3,22))),0))-IF($G$2,0,IF((AS$6-$G$3)&lt;1,0,IFERROR(LOOKUP(2,1/(Sorgo!$E52:INDEX(Sorgo!$E52:$Z52,MIN(AS$6-$G$3,22))&lt;&gt;""),Sorgo!$E52:INDEX(Sorgo!$E52:$Z52,MIN(AS$6-$G$3,22))),0)))))</f>
        <v>0</v>
      </c>
      <c r="AT54" s="27" t="n">
        <f aca="false">IF(COUNT(Sorgo!$E52:$Z52)=0,0,MAX(0,IF((AT$6-$E$3)&lt;1,0,IFERROR(LOOKUP(2,1/(Sorgo!$E52:INDEX(Sorgo!$E52:$Z52,MIN(AT$6-$E$3,22))&lt;&gt;""),Sorgo!$E52:INDEX(Sorgo!$E52:$Z52,MIN(AT$6-$E$3,22))),0))-IF($G$2,0,IF((AT$6-$G$3)&lt;1,0,IFERROR(LOOKUP(2,1/(Sorgo!$E52:INDEX(Sorgo!$E52:$Z52,MIN(AT$6-$G$3,22))&lt;&gt;""),Sorgo!$E52:INDEX(Sorgo!$E52:$Z52,MIN(AT$6-$G$3,22))),0)))))</f>
        <v>0</v>
      </c>
      <c r="AU54" s="27" t="n">
        <f aca="false">IF(COUNT(Sorgo!$E52:$Z52)=0,0,MAX(0,IF((AU$6-$E$3)&lt;1,0,IFERROR(LOOKUP(2,1/(Sorgo!$E52:INDEX(Sorgo!$E52:$Z52,MIN(AU$6-$E$3,22))&lt;&gt;""),Sorgo!$E52:INDEX(Sorgo!$E52:$Z52,MIN(AU$6-$E$3,22))),0))-IF($G$2,0,IF((AU$6-$G$3)&lt;1,0,IFERROR(LOOKUP(2,1/(Sorgo!$E52:INDEX(Sorgo!$E52:$Z52,MIN(AU$6-$G$3,22))&lt;&gt;""),Sorgo!$E52:INDEX(Sorgo!$E52:$Z52,MIN(AU$6-$G$3,22))),0)))))</f>
        <v>0</v>
      </c>
      <c r="AV54" s="27" t="n">
        <f aca="false">IF(COUNT(Sorgo!$E52:$Z52)=0,0,MAX(0,IF((AV$6-$E$3)&lt;1,0,IFERROR(LOOKUP(2,1/(Sorgo!$E52:INDEX(Sorgo!$E52:$Z52,MIN(AV$6-$E$3,22))&lt;&gt;""),Sorgo!$E52:INDEX(Sorgo!$E52:$Z52,MIN(AV$6-$E$3,22))),0))-IF($G$2,0,IF((AV$6-$G$3)&lt;1,0,IFERROR(LOOKUP(2,1/(Sorgo!$E52:INDEX(Sorgo!$E52:$Z52,MIN(AV$6-$G$3,22))&lt;&gt;""),Sorgo!$E52:INDEX(Sorgo!$E52:$Z52,MIN(AV$6-$G$3,22))),0)))))</f>
        <v>0</v>
      </c>
      <c r="AW54" s="27" t="n">
        <f aca="false">IF(COUNT(Sorgo!$E52:$Z52)=0,0,MAX(0,IF((AW$6-$E$3)&lt;1,0,IFERROR(LOOKUP(2,1/(Sorgo!$E52:INDEX(Sorgo!$E52:$Z52,MIN(AW$6-$E$3,22))&lt;&gt;""),Sorgo!$E52:INDEX(Sorgo!$E52:$Z52,MIN(AW$6-$E$3,22))),0))-IF($G$2,0,IF((AW$6-$G$3)&lt;1,0,IFERROR(LOOKUP(2,1/(Sorgo!$E52:INDEX(Sorgo!$E52:$Z52,MIN(AW$6-$G$3,22))&lt;&gt;""),Sorgo!$E52:INDEX(Sorgo!$E52:$Z52,MIN(AW$6-$G$3,22))),0)))))</f>
        <v>0</v>
      </c>
      <c r="AX54" s="27" t="n">
        <f aca="false">IF(COUNT(Sorgo!$E52:$Z52)=0,0,MAX(0,IF((AX$6-$E$3)&lt;1,0,IFERROR(LOOKUP(2,1/(Sorgo!$E52:INDEX(Sorgo!$E52:$Z52,MIN(AX$6-$E$3,22))&lt;&gt;""),Sorgo!$E52:INDEX(Sorgo!$E52:$Z52,MIN(AX$6-$E$3,22))),0))-IF($G$2,0,IF((AX$6-$G$3)&lt;1,0,IFERROR(LOOKUP(2,1/(Sorgo!$E52:INDEX(Sorgo!$E52:$Z52,MIN(AX$6-$G$3,22))&lt;&gt;""),Sorgo!$E52:INDEX(Sorgo!$E52:$Z52,MIN(AX$6-$G$3,22))),0)))))</f>
        <v>0</v>
      </c>
      <c r="AY54" s="27" t="n">
        <f aca="false">IF(COUNT(Sorgo!$E52:$Z52)=0,0,MAX(0,IF((AY$6-$E$3)&lt;1,0,IFERROR(LOOKUP(2,1/(Sorgo!$E52:INDEX(Sorgo!$E52:$Z52,MIN(AY$6-$E$3,22))&lt;&gt;""),Sorgo!$E52:INDEX(Sorgo!$E52:$Z52,MIN(AY$6-$E$3,22))),0))-IF($G$2,0,IF((AY$6-$G$3)&lt;1,0,IFERROR(LOOKUP(2,1/(Sorgo!$E52:INDEX(Sorgo!$E52:$Z52,MIN(AY$6-$G$3,22))&lt;&gt;""),Sorgo!$E52:INDEX(Sorgo!$E52:$Z52,MIN(AY$6-$G$3,22))),0)))))</f>
        <v>0</v>
      </c>
      <c r="AZ54" s="27" t="n">
        <f aca="false">IF(COUNT(Sorgo!$E52:$Z52)=0,0,MAX(0,IF((AZ$6-$E$3)&lt;1,0,IFERROR(LOOKUP(2,1/(Sorgo!$E52:INDEX(Sorgo!$E52:$Z52,MIN(AZ$6-$E$3,22))&lt;&gt;""),Sorgo!$E52:INDEX(Sorgo!$E52:$Z52,MIN(AZ$6-$E$3,22))),0))-IF($G$2,0,IF((AZ$6-$G$3)&lt;1,0,IFERROR(LOOKUP(2,1/(Sorgo!$E52:INDEX(Sorgo!$E52:$Z52,MIN(AZ$6-$G$3,22))&lt;&gt;""),Sorgo!$E52:INDEX(Sorgo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IF(COUNT(Sorgo!$E53:$Z53)&gt;0,N(Sorgo!$D53),0)</f>
        <v>0</v>
      </c>
      <c r="E55" s="27" t="n">
        <f aca="false">IF(COUNT(Sorgo!$E53:$Z53)=0,0,MAX(0,IF((E$6-$E$3)&lt;1,0,IFERROR(LOOKUP(2,1/(Sorgo!$E53:INDEX(Sorgo!$E53:$Z53,MIN(E$6-$E$3,22))&lt;&gt;""),Sorgo!$E53:INDEX(Sorgo!$E53:$Z53,MIN(E$6-$E$3,22))),0))-IF($G$2,0,IF((E$6-$G$3)&lt;1,0,IFERROR(LOOKUP(2,1/(Sorgo!$E53:INDEX(Sorgo!$E53:$Z53,MIN(E$6-$G$3,22))&lt;&gt;""),Sorgo!$E53:INDEX(Sorgo!$E53:$Z53,MIN(E$6-$G$3,22))),0)))))</f>
        <v>0</v>
      </c>
      <c r="F55" s="27" t="n">
        <f aca="false">IF(COUNT(Sorgo!$E53:$Z53)=0,0,MAX(0,IF((F$6-$E$3)&lt;1,0,IFERROR(LOOKUP(2,1/(Sorgo!$E53:INDEX(Sorgo!$E53:$Z53,MIN(F$6-$E$3,22))&lt;&gt;""),Sorgo!$E53:INDEX(Sorgo!$E53:$Z53,MIN(F$6-$E$3,22))),0))-IF($G$2,0,IF((F$6-$G$3)&lt;1,0,IFERROR(LOOKUP(2,1/(Sorgo!$E53:INDEX(Sorgo!$E53:$Z53,MIN(F$6-$G$3,22))&lt;&gt;""),Sorgo!$E53:INDEX(Sorgo!$E53:$Z53,MIN(F$6-$G$3,22))),0)))))</f>
        <v>0</v>
      </c>
      <c r="G55" s="27" t="n">
        <f aca="false">IF(COUNT(Sorgo!$E53:$Z53)=0,0,MAX(0,IF((G$6-$E$3)&lt;1,0,IFERROR(LOOKUP(2,1/(Sorgo!$E53:INDEX(Sorgo!$E53:$Z53,MIN(G$6-$E$3,22))&lt;&gt;""),Sorgo!$E53:INDEX(Sorgo!$E53:$Z53,MIN(G$6-$E$3,22))),0))-IF($G$2,0,IF((G$6-$G$3)&lt;1,0,IFERROR(LOOKUP(2,1/(Sorgo!$E53:INDEX(Sorgo!$E53:$Z53,MIN(G$6-$G$3,22))&lt;&gt;""),Sorgo!$E53:INDEX(Sorgo!$E53:$Z53,MIN(G$6-$G$3,22))),0)))))</f>
        <v>0</v>
      </c>
      <c r="H55" s="27" t="n">
        <f aca="false">IF(COUNT(Sorgo!$E53:$Z53)=0,0,MAX(0,IF((H$6-$E$3)&lt;1,0,IFERROR(LOOKUP(2,1/(Sorgo!$E53:INDEX(Sorgo!$E53:$Z53,MIN(H$6-$E$3,22))&lt;&gt;""),Sorgo!$E53:INDEX(Sorgo!$E53:$Z53,MIN(H$6-$E$3,22))),0))-IF($G$2,0,IF((H$6-$G$3)&lt;1,0,IFERROR(LOOKUP(2,1/(Sorgo!$E53:INDEX(Sorgo!$E53:$Z53,MIN(H$6-$G$3,22))&lt;&gt;""),Sorgo!$E53:INDEX(Sorgo!$E53:$Z53,MIN(H$6-$G$3,22))),0)))))</f>
        <v>0</v>
      </c>
      <c r="I55" s="27" t="n">
        <f aca="false">IF(COUNT(Sorgo!$E53:$Z53)=0,0,MAX(0,IF((I$6-$E$3)&lt;1,0,IFERROR(LOOKUP(2,1/(Sorgo!$E53:INDEX(Sorgo!$E53:$Z53,MIN(I$6-$E$3,22))&lt;&gt;""),Sorgo!$E53:INDEX(Sorgo!$E53:$Z53,MIN(I$6-$E$3,22))),0))-IF($G$2,0,IF((I$6-$G$3)&lt;1,0,IFERROR(LOOKUP(2,1/(Sorgo!$E53:INDEX(Sorgo!$E53:$Z53,MIN(I$6-$G$3,22))&lt;&gt;""),Sorgo!$E53:INDEX(Sorgo!$E53:$Z53,MIN(I$6-$G$3,22))),0)))))</f>
        <v>0</v>
      </c>
      <c r="J55" s="27" t="n">
        <f aca="false">IF(COUNT(Sorgo!$E53:$Z53)=0,0,MAX(0,IF((J$6-$E$3)&lt;1,0,IFERROR(LOOKUP(2,1/(Sorgo!$E53:INDEX(Sorgo!$E53:$Z53,MIN(J$6-$E$3,22))&lt;&gt;""),Sorgo!$E53:INDEX(Sorgo!$E53:$Z53,MIN(J$6-$E$3,22))),0))-IF($G$2,0,IF((J$6-$G$3)&lt;1,0,IFERROR(LOOKUP(2,1/(Sorgo!$E53:INDEX(Sorgo!$E53:$Z53,MIN(J$6-$G$3,22))&lt;&gt;""),Sorgo!$E53:INDEX(Sorgo!$E53:$Z53,MIN(J$6-$G$3,22))),0)))))</f>
        <v>0</v>
      </c>
      <c r="K55" s="27" t="n">
        <f aca="false">IF(COUNT(Sorgo!$E53:$Z53)=0,0,MAX(0,IF((K$6-$E$3)&lt;1,0,IFERROR(LOOKUP(2,1/(Sorgo!$E53:INDEX(Sorgo!$E53:$Z53,MIN(K$6-$E$3,22))&lt;&gt;""),Sorgo!$E53:INDEX(Sorgo!$E53:$Z53,MIN(K$6-$E$3,22))),0))-IF($G$2,0,IF((K$6-$G$3)&lt;1,0,IFERROR(LOOKUP(2,1/(Sorgo!$E53:INDEX(Sorgo!$E53:$Z53,MIN(K$6-$G$3,22))&lt;&gt;""),Sorgo!$E53:INDEX(Sorgo!$E53:$Z53,MIN(K$6-$G$3,22))),0)))))</f>
        <v>0</v>
      </c>
      <c r="L55" s="27" t="n">
        <f aca="false">IF(COUNT(Sorgo!$E53:$Z53)=0,0,MAX(0,IF((L$6-$E$3)&lt;1,0,IFERROR(LOOKUP(2,1/(Sorgo!$E53:INDEX(Sorgo!$E53:$Z53,MIN(L$6-$E$3,22))&lt;&gt;""),Sorgo!$E53:INDEX(Sorgo!$E53:$Z53,MIN(L$6-$E$3,22))),0))-IF($G$2,0,IF((L$6-$G$3)&lt;1,0,IFERROR(LOOKUP(2,1/(Sorgo!$E53:INDEX(Sorgo!$E53:$Z53,MIN(L$6-$G$3,22))&lt;&gt;""),Sorgo!$E53:INDEX(Sorgo!$E53:$Z53,MIN(L$6-$G$3,22))),0)))))</f>
        <v>0</v>
      </c>
      <c r="M55" s="27" t="n">
        <f aca="false">IF(COUNT(Sorgo!$E53:$Z53)=0,0,MAX(0,IF((M$6-$E$3)&lt;1,0,IFERROR(LOOKUP(2,1/(Sorgo!$E53:INDEX(Sorgo!$E53:$Z53,MIN(M$6-$E$3,22))&lt;&gt;""),Sorgo!$E53:INDEX(Sorgo!$E53:$Z53,MIN(M$6-$E$3,22))),0))-IF($G$2,0,IF((M$6-$G$3)&lt;1,0,IFERROR(LOOKUP(2,1/(Sorgo!$E53:INDEX(Sorgo!$E53:$Z53,MIN(M$6-$G$3,22))&lt;&gt;""),Sorgo!$E53:INDEX(Sorgo!$E53:$Z53,MIN(M$6-$G$3,22))),0)))))</f>
        <v>0</v>
      </c>
      <c r="N55" s="27" t="n">
        <f aca="false">IF(COUNT(Sorgo!$E53:$Z53)=0,0,MAX(0,IF((N$6-$E$3)&lt;1,0,IFERROR(LOOKUP(2,1/(Sorgo!$E53:INDEX(Sorgo!$E53:$Z53,MIN(N$6-$E$3,22))&lt;&gt;""),Sorgo!$E53:INDEX(Sorgo!$E53:$Z53,MIN(N$6-$E$3,22))),0))-IF($G$2,0,IF((N$6-$G$3)&lt;1,0,IFERROR(LOOKUP(2,1/(Sorgo!$E53:INDEX(Sorgo!$E53:$Z53,MIN(N$6-$G$3,22))&lt;&gt;""),Sorgo!$E53:INDEX(Sorgo!$E53:$Z53,MIN(N$6-$G$3,22))),0)))))</f>
        <v>0</v>
      </c>
      <c r="O55" s="27" t="n">
        <f aca="false">IF(COUNT(Sorgo!$E53:$Z53)=0,0,MAX(0,IF((O$6-$E$3)&lt;1,0,IFERROR(LOOKUP(2,1/(Sorgo!$E53:INDEX(Sorgo!$E53:$Z53,MIN(O$6-$E$3,22))&lt;&gt;""),Sorgo!$E53:INDEX(Sorgo!$E53:$Z53,MIN(O$6-$E$3,22))),0))-IF($G$2,0,IF((O$6-$G$3)&lt;1,0,IFERROR(LOOKUP(2,1/(Sorgo!$E53:INDEX(Sorgo!$E53:$Z53,MIN(O$6-$G$3,22))&lt;&gt;""),Sorgo!$E53:INDEX(Sorgo!$E53:$Z53,MIN(O$6-$G$3,22))),0)))))</f>
        <v>0</v>
      </c>
      <c r="P55" s="27" t="n">
        <f aca="false">IF(COUNT(Sorgo!$E53:$Z53)=0,0,MAX(0,IF((P$6-$E$3)&lt;1,0,IFERROR(LOOKUP(2,1/(Sorgo!$E53:INDEX(Sorgo!$E53:$Z53,MIN(P$6-$E$3,22))&lt;&gt;""),Sorgo!$E53:INDEX(Sorgo!$E53:$Z53,MIN(P$6-$E$3,22))),0))-IF($G$2,0,IF((P$6-$G$3)&lt;1,0,IFERROR(LOOKUP(2,1/(Sorgo!$E53:INDEX(Sorgo!$E53:$Z53,MIN(P$6-$G$3,22))&lt;&gt;""),Sorgo!$E53:INDEX(Sorgo!$E53:$Z53,MIN(P$6-$G$3,22))),0)))))</f>
        <v>0</v>
      </c>
      <c r="Q55" s="27" t="n">
        <f aca="false">IF(COUNT(Sorgo!$E53:$Z53)=0,0,MAX(0,IF((Q$6-$E$3)&lt;1,0,IFERROR(LOOKUP(2,1/(Sorgo!$E53:INDEX(Sorgo!$E53:$Z53,MIN(Q$6-$E$3,22))&lt;&gt;""),Sorgo!$E53:INDEX(Sorgo!$E53:$Z53,MIN(Q$6-$E$3,22))),0))-IF($G$2,0,IF((Q$6-$G$3)&lt;1,0,IFERROR(LOOKUP(2,1/(Sorgo!$E53:INDEX(Sorgo!$E53:$Z53,MIN(Q$6-$G$3,22))&lt;&gt;""),Sorgo!$E53:INDEX(Sorgo!$E53:$Z53,MIN(Q$6-$G$3,22))),0)))))</f>
        <v>0</v>
      </c>
      <c r="R55" s="27" t="n">
        <f aca="false">IF(COUNT(Sorgo!$E53:$Z53)=0,0,MAX(0,IF((R$6-$E$3)&lt;1,0,IFERROR(LOOKUP(2,1/(Sorgo!$E53:INDEX(Sorgo!$E53:$Z53,MIN(R$6-$E$3,22))&lt;&gt;""),Sorgo!$E53:INDEX(Sorgo!$E53:$Z53,MIN(R$6-$E$3,22))),0))-IF($G$2,0,IF((R$6-$G$3)&lt;1,0,IFERROR(LOOKUP(2,1/(Sorgo!$E53:INDEX(Sorgo!$E53:$Z53,MIN(R$6-$G$3,22))&lt;&gt;""),Sorgo!$E53:INDEX(Sorgo!$E53:$Z53,MIN(R$6-$G$3,22))),0)))))</f>
        <v>0</v>
      </c>
      <c r="S55" s="27" t="n">
        <f aca="false">IF(COUNT(Sorgo!$E53:$Z53)=0,0,MAX(0,IF((S$6-$E$3)&lt;1,0,IFERROR(LOOKUP(2,1/(Sorgo!$E53:INDEX(Sorgo!$E53:$Z53,MIN(S$6-$E$3,22))&lt;&gt;""),Sorgo!$E53:INDEX(Sorgo!$E53:$Z53,MIN(S$6-$E$3,22))),0))-IF($G$2,0,IF((S$6-$G$3)&lt;1,0,IFERROR(LOOKUP(2,1/(Sorgo!$E53:INDEX(Sorgo!$E53:$Z53,MIN(S$6-$G$3,22))&lt;&gt;""),Sorgo!$E53:INDEX(Sorgo!$E53:$Z53,MIN(S$6-$G$3,22))),0)))))</f>
        <v>0</v>
      </c>
      <c r="T55" s="27" t="n">
        <f aca="false">IF(COUNT(Sorgo!$E53:$Z53)=0,0,MAX(0,IF((T$6-$E$3)&lt;1,0,IFERROR(LOOKUP(2,1/(Sorgo!$E53:INDEX(Sorgo!$E53:$Z53,MIN(T$6-$E$3,22))&lt;&gt;""),Sorgo!$E53:INDEX(Sorgo!$E53:$Z53,MIN(T$6-$E$3,22))),0))-IF($G$2,0,IF((T$6-$G$3)&lt;1,0,IFERROR(LOOKUP(2,1/(Sorgo!$E53:INDEX(Sorgo!$E53:$Z53,MIN(T$6-$G$3,22))&lt;&gt;""),Sorgo!$E53:INDEX(Sorgo!$E53:$Z53,MIN(T$6-$G$3,22))),0)))))</f>
        <v>0</v>
      </c>
      <c r="U55" s="27" t="n">
        <f aca="false">IF(COUNT(Sorgo!$E53:$Z53)=0,0,MAX(0,IF((U$6-$E$3)&lt;1,0,IFERROR(LOOKUP(2,1/(Sorgo!$E53:INDEX(Sorgo!$E53:$Z53,MIN(U$6-$E$3,22))&lt;&gt;""),Sorgo!$E53:INDEX(Sorgo!$E53:$Z53,MIN(U$6-$E$3,22))),0))-IF($G$2,0,IF((U$6-$G$3)&lt;1,0,IFERROR(LOOKUP(2,1/(Sorgo!$E53:INDEX(Sorgo!$E53:$Z53,MIN(U$6-$G$3,22))&lt;&gt;""),Sorgo!$E53:INDEX(Sorgo!$E53:$Z53,MIN(U$6-$G$3,22))),0)))))</f>
        <v>0</v>
      </c>
      <c r="V55" s="27" t="n">
        <f aca="false">IF(COUNT(Sorgo!$E53:$Z53)=0,0,MAX(0,IF((V$6-$E$3)&lt;1,0,IFERROR(LOOKUP(2,1/(Sorgo!$E53:INDEX(Sorgo!$E53:$Z53,MIN(V$6-$E$3,22))&lt;&gt;""),Sorgo!$E53:INDEX(Sorgo!$E53:$Z53,MIN(V$6-$E$3,22))),0))-IF($G$2,0,IF((V$6-$G$3)&lt;1,0,IFERROR(LOOKUP(2,1/(Sorgo!$E53:INDEX(Sorgo!$E53:$Z53,MIN(V$6-$G$3,22))&lt;&gt;""),Sorgo!$E53:INDEX(Sorgo!$E53:$Z53,MIN(V$6-$G$3,22))),0)))))</f>
        <v>0</v>
      </c>
      <c r="W55" s="27" t="n">
        <f aca="false">IF(COUNT(Sorgo!$E53:$Z53)=0,0,MAX(0,IF((W$6-$E$3)&lt;1,0,IFERROR(LOOKUP(2,1/(Sorgo!$E53:INDEX(Sorgo!$E53:$Z53,MIN(W$6-$E$3,22))&lt;&gt;""),Sorgo!$E53:INDEX(Sorgo!$E53:$Z53,MIN(W$6-$E$3,22))),0))-IF($G$2,0,IF((W$6-$G$3)&lt;1,0,IFERROR(LOOKUP(2,1/(Sorgo!$E53:INDEX(Sorgo!$E53:$Z53,MIN(W$6-$G$3,22))&lt;&gt;""),Sorgo!$E53:INDEX(Sorgo!$E53:$Z53,MIN(W$6-$G$3,22))),0)))))</f>
        <v>0</v>
      </c>
      <c r="X55" s="27" t="n">
        <f aca="false">IF(COUNT(Sorgo!$E53:$Z53)=0,0,MAX(0,IF((X$6-$E$3)&lt;1,0,IFERROR(LOOKUP(2,1/(Sorgo!$E53:INDEX(Sorgo!$E53:$Z53,MIN(X$6-$E$3,22))&lt;&gt;""),Sorgo!$E53:INDEX(Sorgo!$E53:$Z53,MIN(X$6-$E$3,22))),0))-IF($G$2,0,IF((X$6-$G$3)&lt;1,0,IFERROR(LOOKUP(2,1/(Sorgo!$E53:INDEX(Sorgo!$E53:$Z53,MIN(X$6-$G$3,22))&lt;&gt;""),Sorgo!$E53:INDEX(Sorgo!$E53:$Z53,MIN(X$6-$G$3,22))),0)))))</f>
        <v>0</v>
      </c>
      <c r="Y55" s="27" t="n">
        <f aca="false">IF(COUNT(Sorgo!$E53:$Z53)=0,0,MAX(0,IF((Y$6-$E$3)&lt;1,0,IFERROR(LOOKUP(2,1/(Sorgo!$E53:INDEX(Sorgo!$E53:$Z53,MIN(Y$6-$E$3,22))&lt;&gt;""),Sorgo!$E53:INDEX(Sorgo!$E53:$Z53,MIN(Y$6-$E$3,22))),0))-IF($G$2,0,IF((Y$6-$G$3)&lt;1,0,IFERROR(LOOKUP(2,1/(Sorgo!$E53:INDEX(Sorgo!$E53:$Z53,MIN(Y$6-$G$3,22))&lt;&gt;""),Sorgo!$E53:INDEX(Sorgo!$E53:$Z53,MIN(Y$6-$G$3,22))),0)))))</f>
        <v>0</v>
      </c>
      <c r="Z55" s="27" t="n">
        <f aca="false">IF(COUNT(Sorgo!$E53:$Z53)=0,0,MAX(0,IF((Z$6-$E$3)&lt;1,0,IFERROR(LOOKUP(2,1/(Sorgo!$E53:INDEX(Sorgo!$E53:$Z53,MIN(Z$6-$E$3,22))&lt;&gt;""),Sorgo!$E53:INDEX(Sorgo!$E53:$Z53,MIN(Z$6-$E$3,22))),0))-IF($G$2,0,IF((Z$6-$G$3)&lt;1,0,IFERROR(LOOKUP(2,1/(Sorgo!$E53:INDEX(Sorgo!$E53:$Z53,MIN(Z$6-$G$3,22))&lt;&gt;""),Sorgo!$E53:INDEX(Sorgo!$E53:$Z53,MIN(Z$6-$G$3,22))),0)))))</f>
        <v>0</v>
      </c>
      <c r="AA55" s="27" t="n">
        <f aca="false">IF(COUNT(Sorgo!$E53:$Z53)=0,0,MAX(0,IF((AA$6-$E$3)&lt;1,0,IFERROR(LOOKUP(2,1/(Sorgo!$E53:INDEX(Sorgo!$E53:$Z53,MIN(AA$6-$E$3,22))&lt;&gt;""),Sorgo!$E53:INDEX(Sorgo!$E53:$Z53,MIN(AA$6-$E$3,22))),0))-IF($G$2,0,IF((AA$6-$G$3)&lt;1,0,IFERROR(LOOKUP(2,1/(Sorgo!$E53:INDEX(Sorgo!$E53:$Z53,MIN(AA$6-$G$3,22))&lt;&gt;""),Sorgo!$E53:INDEX(Sorgo!$E53:$Z53,MIN(AA$6-$G$3,22))),0)))))</f>
        <v>0</v>
      </c>
      <c r="AB55" s="27" t="n">
        <f aca="false">IF(COUNT(Sorgo!$E53:$Z53)=0,0,MAX(0,IF((AB$6-$E$3)&lt;1,0,IFERROR(LOOKUP(2,1/(Sorgo!$E53:INDEX(Sorgo!$E53:$Z53,MIN(AB$6-$E$3,22))&lt;&gt;""),Sorgo!$E53:INDEX(Sorgo!$E53:$Z53,MIN(AB$6-$E$3,22))),0))-IF($G$2,0,IF((AB$6-$G$3)&lt;1,0,IFERROR(LOOKUP(2,1/(Sorgo!$E53:INDEX(Sorgo!$E53:$Z53,MIN(AB$6-$G$3,22))&lt;&gt;""),Sorgo!$E53:INDEX(Sorgo!$E53:$Z53,MIN(AB$6-$G$3,22))),0)))))</f>
        <v>0</v>
      </c>
      <c r="AC55" s="27" t="n">
        <f aca="false">IF(COUNT(Sorgo!$E53:$Z53)=0,0,MAX(0,IF((AC$6-$E$3)&lt;1,0,IFERROR(LOOKUP(2,1/(Sorgo!$E53:INDEX(Sorgo!$E53:$Z53,MIN(AC$6-$E$3,22))&lt;&gt;""),Sorgo!$E53:INDEX(Sorgo!$E53:$Z53,MIN(AC$6-$E$3,22))),0))-IF($G$2,0,IF((AC$6-$G$3)&lt;1,0,IFERROR(LOOKUP(2,1/(Sorgo!$E53:INDEX(Sorgo!$E53:$Z53,MIN(AC$6-$G$3,22))&lt;&gt;""),Sorgo!$E53:INDEX(Sorgo!$E53:$Z53,MIN(AC$6-$G$3,22))),0)))))</f>
        <v>0</v>
      </c>
      <c r="AD55" s="27" t="n">
        <f aca="false">IF(COUNT(Sorgo!$E53:$Z53)=0,0,MAX(0,IF((AD$6-$E$3)&lt;1,0,IFERROR(LOOKUP(2,1/(Sorgo!$E53:INDEX(Sorgo!$E53:$Z53,MIN(AD$6-$E$3,22))&lt;&gt;""),Sorgo!$E53:INDEX(Sorgo!$E53:$Z53,MIN(AD$6-$E$3,22))),0))-IF($G$2,0,IF((AD$6-$G$3)&lt;1,0,IFERROR(LOOKUP(2,1/(Sorgo!$E53:INDEX(Sorgo!$E53:$Z53,MIN(AD$6-$G$3,22))&lt;&gt;""),Sorgo!$E53:INDEX(Sorgo!$E53:$Z53,MIN(AD$6-$G$3,22))),0)))))</f>
        <v>0</v>
      </c>
      <c r="AE55" s="27" t="n">
        <f aca="false">IF(COUNT(Sorgo!$E53:$Z53)=0,0,MAX(0,IF((AE$6-$E$3)&lt;1,0,IFERROR(LOOKUP(2,1/(Sorgo!$E53:INDEX(Sorgo!$E53:$Z53,MIN(AE$6-$E$3,22))&lt;&gt;""),Sorgo!$E53:INDEX(Sorgo!$E53:$Z53,MIN(AE$6-$E$3,22))),0))-IF($G$2,0,IF((AE$6-$G$3)&lt;1,0,IFERROR(LOOKUP(2,1/(Sorgo!$E53:INDEX(Sorgo!$E53:$Z53,MIN(AE$6-$G$3,22))&lt;&gt;""),Sorgo!$E53:INDEX(Sorgo!$E53:$Z53,MIN(AE$6-$G$3,22))),0)))))</f>
        <v>0</v>
      </c>
      <c r="AF55" s="27" t="n">
        <f aca="false">IF(COUNT(Sorgo!$E53:$Z53)=0,0,MAX(0,IF((AF$6-$E$3)&lt;1,0,IFERROR(LOOKUP(2,1/(Sorgo!$E53:INDEX(Sorgo!$E53:$Z53,MIN(AF$6-$E$3,22))&lt;&gt;""),Sorgo!$E53:INDEX(Sorgo!$E53:$Z53,MIN(AF$6-$E$3,22))),0))-IF($G$2,0,IF((AF$6-$G$3)&lt;1,0,IFERROR(LOOKUP(2,1/(Sorgo!$E53:INDEX(Sorgo!$E53:$Z53,MIN(AF$6-$G$3,22))&lt;&gt;""),Sorgo!$E53:INDEX(Sorgo!$E53:$Z53,MIN(AF$6-$G$3,22))),0)))))</f>
        <v>0</v>
      </c>
      <c r="AG55" s="27" t="n">
        <f aca="false">IF(COUNT(Sorgo!$E53:$Z53)=0,0,MAX(0,IF((AG$6-$E$3)&lt;1,0,IFERROR(LOOKUP(2,1/(Sorgo!$E53:INDEX(Sorgo!$E53:$Z53,MIN(AG$6-$E$3,22))&lt;&gt;""),Sorgo!$E53:INDEX(Sorgo!$E53:$Z53,MIN(AG$6-$E$3,22))),0))-IF($G$2,0,IF((AG$6-$G$3)&lt;1,0,IFERROR(LOOKUP(2,1/(Sorgo!$E53:INDEX(Sorgo!$E53:$Z53,MIN(AG$6-$G$3,22))&lt;&gt;""),Sorgo!$E53:INDEX(Sorgo!$E53:$Z53,MIN(AG$6-$G$3,22))),0)))))</f>
        <v>0</v>
      </c>
      <c r="AH55" s="27" t="n">
        <f aca="false">IF(COUNT(Sorgo!$E53:$Z53)=0,0,MAX(0,IF((AH$6-$E$3)&lt;1,0,IFERROR(LOOKUP(2,1/(Sorgo!$E53:INDEX(Sorgo!$E53:$Z53,MIN(AH$6-$E$3,22))&lt;&gt;""),Sorgo!$E53:INDEX(Sorgo!$E53:$Z53,MIN(AH$6-$E$3,22))),0))-IF($G$2,0,IF((AH$6-$G$3)&lt;1,0,IFERROR(LOOKUP(2,1/(Sorgo!$E53:INDEX(Sorgo!$E53:$Z53,MIN(AH$6-$G$3,22))&lt;&gt;""),Sorgo!$E53:INDEX(Sorgo!$E53:$Z53,MIN(AH$6-$G$3,22))),0)))))</f>
        <v>0</v>
      </c>
      <c r="AI55" s="27" t="n">
        <f aca="false">IF(COUNT(Sorgo!$E53:$Z53)=0,0,MAX(0,IF((AI$6-$E$3)&lt;1,0,IFERROR(LOOKUP(2,1/(Sorgo!$E53:INDEX(Sorgo!$E53:$Z53,MIN(AI$6-$E$3,22))&lt;&gt;""),Sorgo!$E53:INDEX(Sorgo!$E53:$Z53,MIN(AI$6-$E$3,22))),0))-IF($G$2,0,IF((AI$6-$G$3)&lt;1,0,IFERROR(LOOKUP(2,1/(Sorgo!$E53:INDEX(Sorgo!$E53:$Z53,MIN(AI$6-$G$3,22))&lt;&gt;""),Sorgo!$E53:INDEX(Sorgo!$E53:$Z53,MIN(AI$6-$G$3,22))),0)))))</f>
        <v>0</v>
      </c>
      <c r="AJ55" s="27" t="n">
        <f aca="false">IF(COUNT(Sorgo!$E53:$Z53)=0,0,MAX(0,IF((AJ$6-$E$3)&lt;1,0,IFERROR(LOOKUP(2,1/(Sorgo!$E53:INDEX(Sorgo!$E53:$Z53,MIN(AJ$6-$E$3,22))&lt;&gt;""),Sorgo!$E53:INDEX(Sorgo!$E53:$Z53,MIN(AJ$6-$E$3,22))),0))-IF($G$2,0,IF((AJ$6-$G$3)&lt;1,0,IFERROR(LOOKUP(2,1/(Sorgo!$E53:INDEX(Sorgo!$E53:$Z53,MIN(AJ$6-$G$3,22))&lt;&gt;""),Sorgo!$E53:INDEX(Sorgo!$E53:$Z53,MIN(AJ$6-$G$3,22))),0)))))</f>
        <v>0</v>
      </c>
      <c r="AK55" s="27" t="n">
        <f aca="false">IF(COUNT(Sorgo!$E53:$Z53)=0,0,MAX(0,IF((AK$6-$E$3)&lt;1,0,IFERROR(LOOKUP(2,1/(Sorgo!$E53:INDEX(Sorgo!$E53:$Z53,MIN(AK$6-$E$3,22))&lt;&gt;""),Sorgo!$E53:INDEX(Sorgo!$E53:$Z53,MIN(AK$6-$E$3,22))),0))-IF($G$2,0,IF((AK$6-$G$3)&lt;1,0,IFERROR(LOOKUP(2,1/(Sorgo!$E53:INDEX(Sorgo!$E53:$Z53,MIN(AK$6-$G$3,22))&lt;&gt;""),Sorgo!$E53:INDEX(Sorgo!$E53:$Z53,MIN(AK$6-$G$3,22))),0)))))</f>
        <v>0</v>
      </c>
      <c r="AL55" s="27" t="n">
        <f aca="false">IF(COUNT(Sorgo!$E53:$Z53)=0,0,MAX(0,IF((AL$6-$E$3)&lt;1,0,IFERROR(LOOKUP(2,1/(Sorgo!$E53:INDEX(Sorgo!$E53:$Z53,MIN(AL$6-$E$3,22))&lt;&gt;""),Sorgo!$E53:INDEX(Sorgo!$E53:$Z53,MIN(AL$6-$E$3,22))),0))-IF($G$2,0,IF((AL$6-$G$3)&lt;1,0,IFERROR(LOOKUP(2,1/(Sorgo!$E53:INDEX(Sorgo!$E53:$Z53,MIN(AL$6-$G$3,22))&lt;&gt;""),Sorgo!$E53:INDEX(Sorgo!$E53:$Z53,MIN(AL$6-$G$3,22))),0)))))</f>
        <v>0</v>
      </c>
      <c r="AM55" s="27" t="n">
        <f aca="false">IF(COUNT(Sorgo!$E53:$Z53)=0,0,MAX(0,IF((AM$6-$E$3)&lt;1,0,IFERROR(LOOKUP(2,1/(Sorgo!$E53:INDEX(Sorgo!$E53:$Z53,MIN(AM$6-$E$3,22))&lt;&gt;""),Sorgo!$E53:INDEX(Sorgo!$E53:$Z53,MIN(AM$6-$E$3,22))),0))-IF($G$2,0,IF((AM$6-$G$3)&lt;1,0,IFERROR(LOOKUP(2,1/(Sorgo!$E53:INDEX(Sorgo!$E53:$Z53,MIN(AM$6-$G$3,22))&lt;&gt;""),Sorgo!$E53:INDEX(Sorgo!$E53:$Z53,MIN(AM$6-$G$3,22))),0)))))</f>
        <v>0</v>
      </c>
      <c r="AN55" s="27" t="n">
        <f aca="false">IF(COUNT(Sorgo!$E53:$Z53)=0,0,MAX(0,IF((AN$6-$E$3)&lt;1,0,IFERROR(LOOKUP(2,1/(Sorgo!$E53:INDEX(Sorgo!$E53:$Z53,MIN(AN$6-$E$3,22))&lt;&gt;""),Sorgo!$E53:INDEX(Sorgo!$E53:$Z53,MIN(AN$6-$E$3,22))),0))-IF($G$2,0,IF((AN$6-$G$3)&lt;1,0,IFERROR(LOOKUP(2,1/(Sorgo!$E53:INDEX(Sorgo!$E53:$Z53,MIN(AN$6-$G$3,22))&lt;&gt;""),Sorgo!$E53:INDEX(Sorgo!$E53:$Z53,MIN(AN$6-$G$3,22))),0)))))</f>
        <v>0</v>
      </c>
      <c r="AO55" s="27" t="n">
        <f aca="false">IF(COUNT(Sorgo!$E53:$Z53)=0,0,MAX(0,IF((AO$6-$E$3)&lt;1,0,IFERROR(LOOKUP(2,1/(Sorgo!$E53:INDEX(Sorgo!$E53:$Z53,MIN(AO$6-$E$3,22))&lt;&gt;""),Sorgo!$E53:INDEX(Sorgo!$E53:$Z53,MIN(AO$6-$E$3,22))),0))-IF($G$2,0,IF((AO$6-$G$3)&lt;1,0,IFERROR(LOOKUP(2,1/(Sorgo!$E53:INDEX(Sorgo!$E53:$Z53,MIN(AO$6-$G$3,22))&lt;&gt;""),Sorgo!$E53:INDEX(Sorgo!$E53:$Z53,MIN(AO$6-$G$3,22))),0)))))</f>
        <v>0</v>
      </c>
      <c r="AP55" s="27" t="n">
        <f aca="false">IF(COUNT(Sorgo!$E53:$Z53)=0,0,MAX(0,IF((AP$6-$E$3)&lt;1,0,IFERROR(LOOKUP(2,1/(Sorgo!$E53:INDEX(Sorgo!$E53:$Z53,MIN(AP$6-$E$3,22))&lt;&gt;""),Sorgo!$E53:INDEX(Sorgo!$E53:$Z53,MIN(AP$6-$E$3,22))),0))-IF($G$2,0,IF((AP$6-$G$3)&lt;1,0,IFERROR(LOOKUP(2,1/(Sorgo!$E53:INDEX(Sorgo!$E53:$Z53,MIN(AP$6-$G$3,22))&lt;&gt;""),Sorgo!$E53:INDEX(Sorgo!$E53:$Z53,MIN(AP$6-$G$3,22))),0)))))</f>
        <v>0</v>
      </c>
      <c r="AQ55" s="27" t="n">
        <f aca="false">IF(COUNT(Sorgo!$E53:$Z53)=0,0,MAX(0,IF((AQ$6-$E$3)&lt;1,0,IFERROR(LOOKUP(2,1/(Sorgo!$E53:INDEX(Sorgo!$E53:$Z53,MIN(AQ$6-$E$3,22))&lt;&gt;""),Sorgo!$E53:INDEX(Sorgo!$E53:$Z53,MIN(AQ$6-$E$3,22))),0))-IF($G$2,0,IF((AQ$6-$G$3)&lt;1,0,IFERROR(LOOKUP(2,1/(Sorgo!$E53:INDEX(Sorgo!$E53:$Z53,MIN(AQ$6-$G$3,22))&lt;&gt;""),Sorgo!$E53:INDEX(Sorgo!$E53:$Z53,MIN(AQ$6-$G$3,22))),0)))))</f>
        <v>0</v>
      </c>
      <c r="AR55" s="27" t="n">
        <f aca="false">IF(COUNT(Sorgo!$E53:$Z53)=0,0,MAX(0,IF((AR$6-$E$3)&lt;1,0,IFERROR(LOOKUP(2,1/(Sorgo!$E53:INDEX(Sorgo!$E53:$Z53,MIN(AR$6-$E$3,22))&lt;&gt;""),Sorgo!$E53:INDEX(Sorgo!$E53:$Z53,MIN(AR$6-$E$3,22))),0))-IF($G$2,0,IF((AR$6-$G$3)&lt;1,0,IFERROR(LOOKUP(2,1/(Sorgo!$E53:INDEX(Sorgo!$E53:$Z53,MIN(AR$6-$G$3,22))&lt;&gt;""),Sorgo!$E53:INDEX(Sorgo!$E53:$Z53,MIN(AR$6-$G$3,22))),0)))))</f>
        <v>0</v>
      </c>
      <c r="AS55" s="27" t="n">
        <f aca="false">IF(COUNT(Sorgo!$E53:$Z53)=0,0,MAX(0,IF((AS$6-$E$3)&lt;1,0,IFERROR(LOOKUP(2,1/(Sorgo!$E53:INDEX(Sorgo!$E53:$Z53,MIN(AS$6-$E$3,22))&lt;&gt;""),Sorgo!$E53:INDEX(Sorgo!$E53:$Z53,MIN(AS$6-$E$3,22))),0))-IF($G$2,0,IF((AS$6-$G$3)&lt;1,0,IFERROR(LOOKUP(2,1/(Sorgo!$E53:INDEX(Sorgo!$E53:$Z53,MIN(AS$6-$G$3,22))&lt;&gt;""),Sorgo!$E53:INDEX(Sorgo!$E53:$Z53,MIN(AS$6-$G$3,22))),0)))))</f>
        <v>0</v>
      </c>
      <c r="AT55" s="27" t="n">
        <f aca="false">IF(COUNT(Sorgo!$E53:$Z53)=0,0,MAX(0,IF((AT$6-$E$3)&lt;1,0,IFERROR(LOOKUP(2,1/(Sorgo!$E53:INDEX(Sorgo!$E53:$Z53,MIN(AT$6-$E$3,22))&lt;&gt;""),Sorgo!$E53:INDEX(Sorgo!$E53:$Z53,MIN(AT$6-$E$3,22))),0))-IF($G$2,0,IF((AT$6-$G$3)&lt;1,0,IFERROR(LOOKUP(2,1/(Sorgo!$E53:INDEX(Sorgo!$E53:$Z53,MIN(AT$6-$G$3,22))&lt;&gt;""),Sorgo!$E53:INDEX(Sorgo!$E53:$Z53,MIN(AT$6-$G$3,22))),0)))))</f>
        <v>0</v>
      </c>
      <c r="AU55" s="27" t="n">
        <f aca="false">IF(COUNT(Sorgo!$E53:$Z53)=0,0,MAX(0,IF((AU$6-$E$3)&lt;1,0,IFERROR(LOOKUP(2,1/(Sorgo!$E53:INDEX(Sorgo!$E53:$Z53,MIN(AU$6-$E$3,22))&lt;&gt;""),Sorgo!$E53:INDEX(Sorgo!$E53:$Z53,MIN(AU$6-$E$3,22))),0))-IF($G$2,0,IF((AU$6-$G$3)&lt;1,0,IFERROR(LOOKUP(2,1/(Sorgo!$E53:INDEX(Sorgo!$E53:$Z53,MIN(AU$6-$G$3,22))&lt;&gt;""),Sorgo!$E53:INDEX(Sorgo!$E53:$Z53,MIN(AU$6-$G$3,22))),0)))))</f>
        <v>0</v>
      </c>
      <c r="AV55" s="27" t="n">
        <f aca="false">IF(COUNT(Sorgo!$E53:$Z53)=0,0,MAX(0,IF((AV$6-$E$3)&lt;1,0,IFERROR(LOOKUP(2,1/(Sorgo!$E53:INDEX(Sorgo!$E53:$Z53,MIN(AV$6-$E$3,22))&lt;&gt;""),Sorgo!$E53:INDEX(Sorgo!$E53:$Z53,MIN(AV$6-$E$3,22))),0))-IF($G$2,0,IF((AV$6-$G$3)&lt;1,0,IFERROR(LOOKUP(2,1/(Sorgo!$E53:INDEX(Sorgo!$E53:$Z53,MIN(AV$6-$G$3,22))&lt;&gt;""),Sorgo!$E53:INDEX(Sorgo!$E53:$Z53,MIN(AV$6-$G$3,22))),0)))))</f>
        <v>0</v>
      </c>
      <c r="AW55" s="27" t="n">
        <f aca="false">IF(COUNT(Sorgo!$E53:$Z53)=0,0,MAX(0,IF((AW$6-$E$3)&lt;1,0,IFERROR(LOOKUP(2,1/(Sorgo!$E53:INDEX(Sorgo!$E53:$Z53,MIN(AW$6-$E$3,22))&lt;&gt;""),Sorgo!$E53:INDEX(Sorgo!$E53:$Z53,MIN(AW$6-$E$3,22))),0))-IF($G$2,0,IF((AW$6-$G$3)&lt;1,0,IFERROR(LOOKUP(2,1/(Sorgo!$E53:INDEX(Sorgo!$E53:$Z53,MIN(AW$6-$G$3,22))&lt;&gt;""),Sorgo!$E53:INDEX(Sorgo!$E53:$Z53,MIN(AW$6-$G$3,22))),0)))))</f>
        <v>0</v>
      </c>
      <c r="AX55" s="27" t="n">
        <f aca="false">IF(COUNT(Sorgo!$E53:$Z53)=0,0,MAX(0,IF((AX$6-$E$3)&lt;1,0,IFERROR(LOOKUP(2,1/(Sorgo!$E53:INDEX(Sorgo!$E53:$Z53,MIN(AX$6-$E$3,22))&lt;&gt;""),Sorgo!$E53:INDEX(Sorgo!$E53:$Z53,MIN(AX$6-$E$3,22))),0))-IF($G$2,0,IF((AX$6-$G$3)&lt;1,0,IFERROR(LOOKUP(2,1/(Sorgo!$E53:INDEX(Sorgo!$E53:$Z53,MIN(AX$6-$G$3,22))&lt;&gt;""),Sorgo!$E53:INDEX(Sorgo!$E53:$Z53,MIN(AX$6-$G$3,22))),0)))))</f>
        <v>0</v>
      </c>
      <c r="AY55" s="27" t="n">
        <f aca="false">IF(COUNT(Sorgo!$E53:$Z53)=0,0,MAX(0,IF((AY$6-$E$3)&lt;1,0,IFERROR(LOOKUP(2,1/(Sorgo!$E53:INDEX(Sorgo!$E53:$Z53,MIN(AY$6-$E$3,22))&lt;&gt;""),Sorgo!$E53:INDEX(Sorgo!$E53:$Z53,MIN(AY$6-$E$3,22))),0))-IF($G$2,0,IF((AY$6-$G$3)&lt;1,0,IFERROR(LOOKUP(2,1/(Sorgo!$E53:INDEX(Sorgo!$E53:$Z53,MIN(AY$6-$G$3,22))&lt;&gt;""),Sorgo!$E53:INDEX(Sorgo!$E53:$Z53,MIN(AY$6-$G$3,22))),0)))))</f>
        <v>0</v>
      </c>
      <c r="AZ55" s="27" t="n">
        <f aca="false">IF(COUNT(Sorgo!$E53:$Z53)=0,0,MAX(0,IF((AZ$6-$E$3)&lt;1,0,IFERROR(LOOKUP(2,1/(Sorgo!$E53:INDEX(Sorgo!$E53:$Z53,MIN(AZ$6-$E$3,22))&lt;&gt;""),Sorgo!$E53:INDEX(Sorgo!$E53:$Z53,MIN(AZ$6-$E$3,22))),0))-IF($G$2,0,IF((AZ$6-$G$3)&lt;1,0,IFERROR(LOOKUP(2,1/(Sorgo!$E53:INDEX(Sorgo!$E53:$Z53,MIN(AZ$6-$G$3,22))&lt;&gt;""),Sorgo!$E53:INDEX(Sorgo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IF(COUNT(Sorgo!$E54:$Z54)&gt;0,N(Sorgo!$D54),0)</f>
        <v>0</v>
      </c>
      <c r="E56" s="27" t="n">
        <f aca="false">IF(COUNT(Sorgo!$E54:$Z54)=0,0,MAX(0,IF((E$6-$E$3)&lt;1,0,IFERROR(LOOKUP(2,1/(Sorgo!$E54:INDEX(Sorgo!$E54:$Z54,MIN(E$6-$E$3,22))&lt;&gt;""),Sorgo!$E54:INDEX(Sorgo!$E54:$Z54,MIN(E$6-$E$3,22))),0))-IF($G$2,0,IF((E$6-$G$3)&lt;1,0,IFERROR(LOOKUP(2,1/(Sorgo!$E54:INDEX(Sorgo!$E54:$Z54,MIN(E$6-$G$3,22))&lt;&gt;""),Sorgo!$E54:INDEX(Sorgo!$E54:$Z54,MIN(E$6-$G$3,22))),0)))))</f>
        <v>0</v>
      </c>
      <c r="F56" s="27" t="n">
        <f aca="false">IF(COUNT(Sorgo!$E54:$Z54)=0,0,MAX(0,IF((F$6-$E$3)&lt;1,0,IFERROR(LOOKUP(2,1/(Sorgo!$E54:INDEX(Sorgo!$E54:$Z54,MIN(F$6-$E$3,22))&lt;&gt;""),Sorgo!$E54:INDEX(Sorgo!$E54:$Z54,MIN(F$6-$E$3,22))),0))-IF($G$2,0,IF((F$6-$G$3)&lt;1,0,IFERROR(LOOKUP(2,1/(Sorgo!$E54:INDEX(Sorgo!$E54:$Z54,MIN(F$6-$G$3,22))&lt;&gt;""),Sorgo!$E54:INDEX(Sorgo!$E54:$Z54,MIN(F$6-$G$3,22))),0)))))</f>
        <v>0</v>
      </c>
      <c r="G56" s="27" t="n">
        <f aca="false">IF(COUNT(Sorgo!$E54:$Z54)=0,0,MAX(0,IF((G$6-$E$3)&lt;1,0,IFERROR(LOOKUP(2,1/(Sorgo!$E54:INDEX(Sorgo!$E54:$Z54,MIN(G$6-$E$3,22))&lt;&gt;""),Sorgo!$E54:INDEX(Sorgo!$E54:$Z54,MIN(G$6-$E$3,22))),0))-IF($G$2,0,IF((G$6-$G$3)&lt;1,0,IFERROR(LOOKUP(2,1/(Sorgo!$E54:INDEX(Sorgo!$E54:$Z54,MIN(G$6-$G$3,22))&lt;&gt;""),Sorgo!$E54:INDEX(Sorgo!$E54:$Z54,MIN(G$6-$G$3,22))),0)))))</f>
        <v>0</v>
      </c>
      <c r="H56" s="27" t="n">
        <f aca="false">IF(COUNT(Sorgo!$E54:$Z54)=0,0,MAX(0,IF((H$6-$E$3)&lt;1,0,IFERROR(LOOKUP(2,1/(Sorgo!$E54:INDEX(Sorgo!$E54:$Z54,MIN(H$6-$E$3,22))&lt;&gt;""),Sorgo!$E54:INDEX(Sorgo!$E54:$Z54,MIN(H$6-$E$3,22))),0))-IF($G$2,0,IF((H$6-$G$3)&lt;1,0,IFERROR(LOOKUP(2,1/(Sorgo!$E54:INDEX(Sorgo!$E54:$Z54,MIN(H$6-$G$3,22))&lt;&gt;""),Sorgo!$E54:INDEX(Sorgo!$E54:$Z54,MIN(H$6-$G$3,22))),0)))))</f>
        <v>0</v>
      </c>
      <c r="I56" s="27" t="n">
        <f aca="false">IF(COUNT(Sorgo!$E54:$Z54)=0,0,MAX(0,IF((I$6-$E$3)&lt;1,0,IFERROR(LOOKUP(2,1/(Sorgo!$E54:INDEX(Sorgo!$E54:$Z54,MIN(I$6-$E$3,22))&lt;&gt;""),Sorgo!$E54:INDEX(Sorgo!$E54:$Z54,MIN(I$6-$E$3,22))),0))-IF($G$2,0,IF((I$6-$G$3)&lt;1,0,IFERROR(LOOKUP(2,1/(Sorgo!$E54:INDEX(Sorgo!$E54:$Z54,MIN(I$6-$G$3,22))&lt;&gt;""),Sorgo!$E54:INDEX(Sorgo!$E54:$Z54,MIN(I$6-$G$3,22))),0)))))</f>
        <v>0</v>
      </c>
      <c r="J56" s="27" t="n">
        <f aca="false">IF(COUNT(Sorgo!$E54:$Z54)=0,0,MAX(0,IF((J$6-$E$3)&lt;1,0,IFERROR(LOOKUP(2,1/(Sorgo!$E54:INDEX(Sorgo!$E54:$Z54,MIN(J$6-$E$3,22))&lt;&gt;""),Sorgo!$E54:INDEX(Sorgo!$E54:$Z54,MIN(J$6-$E$3,22))),0))-IF($G$2,0,IF((J$6-$G$3)&lt;1,0,IFERROR(LOOKUP(2,1/(Sorgo!$E54:INDEX(Sorgo!$E54:$Z54,MIN(J$6-$G$3,22))&lt;&gt;""),Sorgo!$E54:INDEX(Sorgo!$E54:$Z54,MIN(J$6-$G$3,22))),0)))))</f>
        <v>0</v>
      </c>
      <c r="K56" s="27" t="n">
        <f aca="false">IF(COUNT(Sorgo!$E54:$Z54)=0,0,MAX(0,IF((K$6-$E$3)&lt;1,0,IFERROR(LOOKUP(2,1/(Sorgo!$E54:INDEX(Sorgo!$E54:$Z54,MIN(K$6-$E$3,22))&lt;&gt;""),Sorgo!$E54:INDEX(Sorgo!$E54:$Z54,MIN(K$6-$E$3,22))),0))-IF($G$2,0,IF((K$6-$G$3)&lt;1,0,IFERROR(LOOKUP(2,1/(Sorgo!$E54:INDEX(Sorgo!$E54:$Z54,MIN(K$6-$G$3,22))&lt;&gt;""),Sorgo!$E54:INDEX(Sorgo!$E54:$Z54,MIN(K$6-$G$3,22))),0)))))</f>
        <v>0</v>
      </c>
      <c r="L56" s="27" t="n">
        <f aca="false">IF(COUNT(Sorgo!$E54:$Z54)=0,0,MAX(0,IF((L$6-$E$3)&lt;1,0,IFERROR(LOOKUP(2,1/(Sorgo!$E54:INDEX(Sorgo!$E54:$Z54,MIN(L$6-$E$3,22))&lt;&gt;""),Sorgo!$E54:INDEX(Sorgo!$E54:$Z54,MIN(L$6-$E$3,22))),0))-IF($G$2,0,IF((L$6-$G$3)&lt;1,0,IFERROR(LOOKUP(2,1/(Sorgo!$E54:INDEX(Sorgo!$E54:$Z54,MIN(L$6-$G$3,22))&lt;&gt;""),Sorgo!$E54:INDEX(Sorgo!$E54:$Z54,MIN(L$6-$G$3,22))),0)))))</f>
        <v>0</v>
      </c>
      <c r="M56" s="27" t="n">
        <f aca="false">IF(COUNT(Sorgo!$E54:$Z54)=0,0,MAX(0,IF((M$6-$E$3)&lt;1,0,IFERROR(LOOKUP(2,1/(Sorgo!$E54:INDEX(Sorgo!$E54:$Z54,MIN(M$6-$E$3,22))&lt;&gt;""),Sorgo!$E54:INDEX(Sorgo!$E54:$Z54,MIN(M$6-$E$3,22))),0))-IF($G$2,0,IF((M$6-$G$3)&lt;1,0,IFERROR(LOOKUP(2,1/(Sorgo!$E54:INDEX(Sorgo!$E54:$Z54,MIN(M$6-$G$3,22))&lt;&gt;""),Sorgo!$E54:INDEX(Sorgo!$E54:$Z54,MIN(M$6-$G$3,22))),0)))))</f>
        <v>0</v>
      </c>
      <c r="N56" s="27" t="n">
        <f aca="false">IF(COUNT(Sorgo!$E54:$Z54)=0,0,MAX(0,IF((N$6-$E$3)&lt;1,0,IFERROR(LOOKUP(2,1/(Sorgo!$E54:INDEX(Sorgo!$E54:$Z54,MIN(N$6-$E$3,22))&lt;&gt;""),Sorgo!$E54:INDEX(Sorgo!$E54:$Z54,MIN(N$6-$E$3,22))),0))-IF($G$2,0,IF((N$6-$G$3)&lt;1,0,IFERROR(LOOKUP(2,1/(Sorgo!$E54:INDEX(Sorgo!$E54:$Z54,MIN(N$6-$G$3,22))&lt;&gt;""),Sorgo!$E54:INDEX(Sorgo!$E54:$Z54,MIN(N$6-$G$3,22))),0)))))</f>
        <v>0</v>
      </c>
      <c r="O56" s="27" t="n">
        <f aca="false">IF(COUNT(Sorgo!$E54:$Z54)=0,0,MAX(0,IF((O$6-$E$3)&lt;1,0,IFERROR(LOOKUP(2,1/(Sorgo!$E54:INDEX(Sorgo!$E54:$Z54,MIN(O$6-$E$3,22))&lt;&gt;""),Sorgo!$E54:INDEX(Sorgo!$E54:$Z54,MIN(O$6-$E$3,22))),0))-IF($G$2,0,IF((O$6-$G$3)&lt;1,0,IFERROR(LOOKUP(2,1/(Sorgo!$E54:INDEX(Sorgo!$E54:$Z54,MIN(O$6-$G$3,22))&lt;&gt;""),Sorgo!$E54:INDEX(Sorgo!$E54:$Z54,MIN(O$6-$G$3,22))),0)))))</f>
        <v>0</v>
      </c>
      <c r="P56" s="27" t="n">
        <f aca="false">IF(COUNT(Sorgo!$E54:$Z54)=0,0,MAX(0,IF((P$6-$E$3)&lt;1,0,IFERROR(LOOKUP(2,1/(Sorgo!$E54:INDEX(Sorgo!$E54:$Z54,MIN(P$6-$E$3,22))&lt;&gt;""),Sorgo!$E54:INDEX(Sorgo!$E54:$Z54,MIN(P$6-$E$3,22))),0))-IF($G$2,0,IF((P$6-$G$3)&lt;1,0,IFERROR(LOOKUP(2,1/(Sorgo!$E54:INDEX(Sorgo!$E54:$Z54,MIN(P$6-$G$3,22))&lt;&gt;""),Sorgo!$E54:INDEX(Sorgo!$E54:$Z54,MIN(P$6-$G$3,22))),0)))))</f>
        <v>0</v>
      </c>
      <c r="Q56" s="27" t="n">
        <f aca="false">IF(COUNT(Sorgo!$E54:$Z54)=0,0,MAX(0,IF((Q$6-$E$3)&lt;1,0,IFERROR(LOOKUP(2,1/(Sorgo!$E54:INDEX(Sorgo!$E54:$Z54,MIN(Q$6-$E$3,22))&lt;&gt;""),Sorgo!$E54:INDEX(Sorgo!$E54:$Z54,MIN(Q$6-$E$3,22))),0))-IF($G$2,0,IF((Q$6-$G$3)&lt;1,0,IFERROR(LOOKUP(2,1/(Sorgo!$E54:INDEX(Sorgo!$E54:$Z54,MIN(Q$6-$G$3,22))&lt;&gt;""),Sorgo!$E54:INDEX(Sorgo!$E54:$Z54,MIN(Q$6-$G$3,22))),0)))))</f>
        <v>0</v>
      </c>
      <c r="R56" s="27" t="n">
        <f aca="false">IF(COUNT(Sorgo!$E54:$Z54)=0,0,MAX(0,IF((R$6-$E$3)&lt;1,0,IFERROR(LOOKUP(2,1/(Sorgo!$E54:INDEX(Sorgo!$E54:$Z54,MIN(R$6-$E$3,22))&lt;&gt;""),Sorgo!$E54:INDEX(Sorgo!$E54:$Z54,MIN(R$6-$E$3,22))),0))-IF($G$2,0,IF((R$6-$G$3)&lt;1,0,IFERROR(LOOKUP(2,1/(Sorgo!$E54:INDEX(Sorgo!$E54:$Z54,MIN(R$6-$G$3,22))&lt;&gt;""),Sorgo!$E54:INDEX(Sorgo!$E54:$Z54,MIN(R$6-$G$3,22))),0)))))</f>
        <v>0</v>
      </c>
      <c r="S56" s="27" t="n">
        <f aca="false">IF(COUNT(Sorgo!$E54:$Z54)=0,0,MAX(0,IF((S$6-$E$3)&lt;1,0,IFERROR(LOOKUP(2,1/(Sorgo!$E54:INDEX(Sorgo!$E54:$Z54,MIN(S$6-$E$3,22))&lt;&gt;""),Sorgo!$E54:INDEX(Sorgo!$E54:$Z54,MIN(S$6-$E$3,22))),0))-IF($G$2,0,IF((S$6-$G$3)&lt;1,0,IFERROR(LOOKUP(2,1/(Sorgo!$E54:INDEX(Sorgo!$E54:$Z54,MIN(S$6-$G$3,22))&lt;&gt;""),Sorgo!$E54:INDEX(Sorgo!$E54:$Z54,MIN(S$6-$G$3,22))),0)))))</f>
        <v>0</v>
      </c>
      <c r="T56" s="27" t="n">
        <f aca="false">IF(COUNT(Sorgo!$E54:$Z54)=0,0,MAX(0,IF((T$6-$E$3)&lt;1,0,IFERROR(LOOKUP(2,1/(Sorgo!$E54:INDEX(Sorgo!$E54:$Z54,MIN(T$6-$E$3,22))&lt;&gt;""),Sorgo!$E54:INDEX(Sorgo!$E54:$Z54,MIN(T$6-$E$3,22))),0))-IF($G$2,0,IF((T$6-$G$3)&lt;1,0,IFERROR(LOOKUP(2,1/(Sorgo!$E54:INDEX(Sorgo!$E54:$Z54,MIN(T$6-$G$3,22))&lt;&gt;""),Sorgo!$E54:INDEX(Sorgo!$E54:$Z54,MIN(T$6-$G$3,22))),0)))))</f>
        <v>0</v>
      </c>
      <c r="U56" s="27" t="n">
        <f aca="false">IF(COUNT(Sorgo!$E54:$Z54)=0,0,MAX(0,IF((U$6-$E$3)&lt;1,0,IFERROR(LOOKUP(2,1/(Sorgo!$E54:INDEX(Sorgo!$E54:$Z54,MIN(U$6-$E$3,22))&lt;&gt;""),Sorgo!$E54:INDEX(Sorgo!$E54:$Z54,MIN(U$6-$E$3,22))),0))-IF($G$2,0,IF((U$6-$G$3)&lt;1,0,IFERROR(LOOKUP(2,1/(Sorgo!$E54:INDEX(Sorgo!$E54:$Z54,MIN(U$6-$G$3,22))&lt;&gt;""),Sorgo!$E54:INDEX(Sorgo!$E54:$Z54,MIN(U$6-$G$3,22))),0)))))</f>
        <v>0</v>
      </c>
      <c r="V56" s="27" t="n">
        <f aca="false">IF(COUNT(Sorgo!$E54:$Z54)=0,0,MAX(0,IF((V$6-$E$3)&lt;1,0,IFERROR(LOOKUP(2,1/(Sorgo!$E54:INDEX(Sorgo!$E54:$Z54,MIN(V$6-$E$3,22))&lt;&gt;""),Sorgo!$E54:INDEX(Sorgo!$E54:$Z54,MIN(V$6-$E$3,22))),0))-IF($G$2,0,IF((V$6-$G$3)&lt;1,0,IFERROR(LOOKUP(2,1/(Sorgo!$E54:INDEX(Sorgo!$E54:$Z54,MIN(V$6-$G$3,22))&lt;&gt;""),Sorgo!$E54:INDEX(Sorgo!$E54:$Z54,MIN(V$6-$G$3,22))),0)))))</f>
        <v>0</v>
      </c>
      <c r="W56" s="27" t="n">
        <f aca="false">IF(COUNT(Sorgo!$E54:$Z54)=0,0,MAX(0,IF((W$6-$E$3)&lt;1,0,IFERROR(LOOKUP(2,1/(Sorgo!$E54:INDEX(Sorgo!$E54:$Z54,MIN(W$6-$E$3,22))&lt;&gt;""),Sorgo!$E54:INDEX(Sorgo!$E54:$Z54,MIN(W$6-$E$3,22))),0))-IF($G$2,0,IF((W$6-$G$3)&lt;1,0,IFERROR(LOOKUP(2,1/(Sorgo!$E54:INDEX(Sorgo!$E54:$Z54,MIN(W$6-$G$3,22))&lt;&gt;""),Sorgo!$E54:INDEX(Sorgo!$E54:$Z54,MIN(W$6-$G$3,22))),0)))))</f>
        <v>0</v>
      </c>
      <c r="X56" s="27" t="n">
        <f aca="false">IF(COUNT(Sorgo!$E54:$Z54)=0,0,MAX(0,IF((X$6-$E$3)&lt;1,0,IFERROR(LOOKUP(2,1/(Sorgo!$E54:INDEX(Sorgo!$E54:$Z54,MIN(X$6-$E$3,22))&lt;&gt;""),Sorgo!$E54:INDEX(Sorgo!$E54:$Z54,MIN(X$6-$E$3,22))),0))-IF($G$2,0,IF((X$6-$G$3)&lt;1,0,IFERROR(LOOKUP(2,1/(Sorgo!$E54:INDEX(Sorgo!$E54:$Z54,MIN(X$6-$G$3,22))&lt;&gt;""),Sorgo!$E54:INDEX(Sorgo!$E54:$Z54,MIN(X$6-$G$3,22))),0)))))</f>
        <v>0</v>
      </c>
      <c r="Y56" s="27" t="n">
        <f aca="false">IF(COUNT(Sorgo!$E54:$Z54)=0,0,MAX(0,IF((Y$6-$E$3)&lt;1,0,IFERROR(LOOKUP(2,1/(Sorgo!$E54:INDEX(Sorgo!$E54:$Z54,MIN(Y$6-$E$3,22))&lt;&gt;""),Sorgo!$E54:INDEX(Sorgo!$E54:$Z54,MIN(Y$6-$E$3,22))),0))-IF($G$2,0,IF((Y$6-$G$3)&lt;1,0,IFERROR(LOOKUP(2,1/(Sorgo!$E54:INDEX(Sorgo!$E54:$Z54,MIN(Y$6-$G$3,22))&lt;&gt;""),Sorgo!$E54:INDEX(Sorgo!$E54:$Z54,MIN(Y$6-$G$3,22))),0)))))</f>
        <v>0</v>
      </c>
      <c r="Z56" s="27" t="n">
        <f aca="false">IF(COUNT(Sorgo!$E54:$Z54)=0,0,MAX(0,IF((Z$6-$E$3)&lt;1,0,IFERROR(LOOKUP(2,1/(Sorgo!$E54:INDEX(Sorgo!$E54:$Z54,MIN(Z$6-$E$3,22))&lt;&gt;""),Sorgo!$E54:INDEX(Sorgo!$E54:$Z54,MIN(Z$6-$E$3,22))),0))-IF($G$2,0,IF((Z$6-$G$3)&lt;1,0,IFERROR(LOOKUP(2,1/(Sorgo!$E54:INDEX(Sorgo!$E54:$Z54,MIN(Z$6-$G$3,22))&lt;&gt;""),Sorgo!$E54:INDEX(Sorgo!$E54:$Z54,MIN(Z$6-$G$3,22))),0)))))</f>
        <v>0</v>
      </c>
      <c r="AA56" s="27" t="n">
        <f aca="false">IF(COUNT(Sorgo!$E54:$Z54)=0,0,MAX(0,IF((AA$6-$E$3)&lt;1,0,IFERROR(LOOKUP(2,1/(Sorgo!$E54:INDEX(Sorgo!$E54:$Z54,MIN(AA$6-$E$3,22))&lt;&gt;""),Sorgo!$E54:INDEX(Sorgo!$E54:$Z54,MIN(AA$6-$E$3,22))),0))-IF($G$2,0,IF((AA$6-$G$3)&lt;1,0,IFERROR(LOOKUP(2,1/(Sorgo!$E54:INDEX(Sorgo!$E54:$Z54,MIN(AA$6-$G$3,22))&lt;&gt;""),Sorgo!$E54:INDEX(Sorgo!$E54:$Z54,MIN(AA$6-$G$3,22))),0)))))</f>
        <v>0</v>
      </c>
      <c r="AB56" s="27" t="n">
        <f aca="false">IF(COUNT(Sorgo!$E54:$Z54)=0,0,MAX(0,IF((AB$6-$E$3)&lt;1,0,IFERROR(LOOKUP(2,1/(Sorgo!$E54:INDEX(Sorgo!$E54:$Z54,MIN(AB$6-$E$3,22))&lt;&gt;""),Sorgo!$E54:INDEX(Sorgo!$E54:$Z54,MIN(AB$6-$E$3,22))),0))-IF($G$2,0,IF((AB$6-$G$3)&lt;1,0,IFERROR(LOOKUP(2,1/(Sorgo!$E54:INDEX(Sorgo!$E54:$Z54,MIN(AB$6-$G$3,22))&lt;&gt;""),Sorgo!$E54:INDEX(Sorgo!$E54:$Z54,MIN(AB$6-$G$3,22))),0)))))</f>
        <v>0</v>
      </c>
      <c r="AC56" s="27" t="n">
        <f aca="false">IF(COUNT(Sorgo!$E54:$Z54)=0,0,MAX(0,IF((AC$6-$E$3)&lt;1,0,IFERROR(LOOKUP(2,1/(Sorgo!$E54:INDEX(Sorgo!$E54:$Z54,MIN(AC$6-$E$3,22))&lt;&gt;""),Sorgo!$E54:INDEX(Sorgo!$E54:$Z54,MIN(AC$6-$E$3,22))),0))-IF($G$2,0,IF((AC$6-$G$3)&lt;1,0,IFERROR(LOOKUP(2,1/(Sorgo!$E54:INDEX(Sorgo!$E54:$Z54,MIN(AC$6-$G$3,22))&lt;&gt;""),Sorgo!$E54:INDEX(Sorgo!$E54:$Z54,MIN(AC$6-$G$3,22))),0)))))</f>
        <v>0</v>
      </c>
      <c r="AD56" s="27" t="n">
        <f aca="false">IF(COUNT(Sorgo!$E54:$Z54)=0,0,MAX(0,IF((AD$6-$E$3)&lt;1,0,IFERROR(LOOKUP(2,1/(Sorgo!$E54:INDEX(Sorgo!$E54:$Z54,MIN(AD$6-$E$3,22))&lt;&gt;""),Sorgo!$E54:INDEX(Sorgo!$E54:$Z54,MIN(AD$6-$E$3,22))),0))-IF($G$2,0,IF((AD$6-$G$3)&lt;1,0,IFERROR(LOOKUP(2,1/(Sorgo!$E54:INDEX(Sorgo!$E54:$Z54,MIN(AD$6-$G$3,22))&lt;&gt;""),Sorgo!$E54:INDEX(Sorgo!$E54:$Z54,MIN(AD$6-$G$3,22))),0)))))</f>
        <v>0</v>
      </c>
      <c r="AE56" s="27" t="n">
        <f aca="false">IF(COUNT(Sorgo!$E54:$Z54)=0,0,MAX(0,IF((AE$6-$E$3)&lt;1,0,IFERROR(LOOKUP(2,1/(Sorgo!$E54:INDEX(Sorgo!$E54:$Z54,MIN(AE$6-$E$3,22))&lt;&gt;""),Sorgo!$E54:INDEX(Sorgo!$E54:$Z54,MIN(AE$6-$E$3,22))),0))-IF($G$2,0,IF((AE$6-$G$3)&lt;1,0,IFERROR(LOOKUP(2,1/(Sorgo!$E54:INDEX(Sorgo!$E54:$Z54,MIN(AE$6-$G$3,22))&lt;&gt;""),Sorgo!$E54:INDEX(Sorgo!$E54:$Z54,MIN(AE$6-$G$3,22))),0)))))</f>
        <v>0</v>
      </c>
      <c r="AF56" s="27" t="n">
        <f aca="false">IF(COUNT(Sorgo!$E54:$Z54)=0,0,MAX(0,IF((AF$6-$E$3)&lt;1,0,IFERROR(LOOKUP(2,1/(Sorgo!$E54:INDEX(Sorgo!$E54:$Z54,MIN(AF$6-$E$3,22))&lt;&gt;""),Sorgo!$E54:INDEX(Sorgo!$E54:$Z54,MIN(AF$6-$E$3,22))),0))-IF($G$2,0,IF((AF$6-$G$3)&lt;1,0,IFERROR(LOOKUP(2,1/(Sorgo!$E54:INDEX(Sorgo!$E54:$Z54,MIN(AF$6-$G$3,22))&lt;&gt;""),Sorgo!$E54:INDEX(Sorgo!$E54:$Z54,MIN(AF$6-$G$3,22))),0)))))</f>
        <v>0</v>
      </c>
      <c r="AG56" s="27" t="n">
        <f aca="false">IF(COUNT(Sorgo!$E54:$Z54)=0,0,MAX(0,IF((AG$6-$E$3)&lt;1,0,IFERROR(LOOKUP(2,1/(Sorgo!$E54:INDEX(Sorgo!$E54:$Z54,MIN(AG$6-$E$3,22))&lt;&gt;""),Sorgo!$E54:INDEX(Sorgo!$E54:$Z54,MIN(AG$6-$E$3,22))),0))-IF($G$2,0,IF((AG$6-$G$3)&lt;1,0,IFERROR(LOOKUP(2,1/(Sorgo!$E54:INDEX(Sorgo!$E54:$Z54,MIN(AG$6-$G$3,22))&lt;&gt;""),Sorgo!$E54:INDEX(Sorgo!$E54:$Z54,MIN(AG$6-$G$3,22))),0)))))</f>
        <v>0</v>
      </c>
      <c r="AH56" s="27" t="n">
        <f aca="false">IF(COUNT(Sorgo!$E54:$Z54)=0,0,MAX(0,IF((AH$6-$E$3)&lt;1,0,IFERROR(LOOKUP(2,1/(Sorgo!$E54:INDEX(Sorgo!$E54:$Z54,MIN(AH$6-$E$3,22))&lt;&gt;""),Sorgo!$E54:INDEX(Sorgo!$E54:$Z54,MIN(AH$6-$E$3,22))),0))-IF($G$2,0,IF((AH$6-$G$3)&lt;1,0,IFERROR(LOOKUP(2,1/(Sorgo!$E54:INDEX(Sorgo!$E54:$Z54,MIN(AH$6-$G$3,22))&lt;&gt;""),Sorgo!$E54:INDEX(Sorgo!$E54:$Z54,MIN(AH$6-$G$3,22))),0)))))</f>
        <v>0</v>
      </c>
      <c r="AI56" s="27" t="n">
        <f aca="false">IF(COUNT(Sorgo!$E54:$Z54)=0,0,MAX(0,IF((AI$6-$E$3)&lt;1,0,IFERROR(LOOKUP(2,1/(Sorgo!$E54:INDEX(Sorgo!$E54:$Z54,MIN(AI$6-$E$3,22))&lt;&gt;""),Sorgo!$E54:INDEX(Sorgo!$E54:$Z54,MIN(AI$6-$E$3,22))),0))-IF($G$2,0,IF((AI$6-$G$3)&lt;1,0,IFERROR(LOOKUP(2,1/(Sorgo!$E54:INDEX(Sorgo!$E54:$Z54,MIN(AI$6-$G$3,22))&lt;&gt;""),Sorgo!$E54:INDEX(Sorgo!$E54:$Z54,MIN(AI$6-$G$3,22))),0)))))</f>
        <v>0</v>
      </c>
      <c r="AJ56" s="27" t="n">
        <f aca="false">IF(COUNT(Sorgo!$E54:$Z54)=0,0,MAX(0,IF((AJ$6-$E$3)&lt;1,0,IFERROR(LOOKUP(2,1/(Sorgo!$E54:INDEX(Sorgo!$E54:$Z54,MIN(AJ$6-$E$3,22))&lt;&gt;""),Sorgo!$E54:INDEX(Sorgo!$E54:$Z54,MIN(AJ$6-$E$3,22))),0))-IF($G$2,0,IF((AJ$6-$G$3)&lt;1,0,IFERROR(LOOKUP(2,1/(Sorgo!$E54:INDEX(Sorgo!$E54:$Z54,MIN(AJ$6-$G$3,22))&lt;&gt;""),Sorgo!$E54:INDEX(Sorgo!$E54:$Z54,MIN(AJ$6-$G$3,22))),0)))))</f>
        <v>0</v>
      </c>
      <c r="AK56" s="27" t="n">
        <f aca="false">IF(COUNT(Sorgo!$E54:$Z54)=0,0,MAX(0,IF((AK$6-$E$3)&lt;1,0,IFERROR(LOOKUP(2,1/(Sorgo!$E54:INDEX(Sorgo!$E54:$Z54,MIN(AK$6-$E$3,22))&lt;&gt;""),Sorgo!$E54:INDEX(Sorgo!$E54:$Z54,MIN(AK$6-$E$3,22))),0))-IF($G$2,0,IF((AK$6-$G$3)&lt;1,0,IFERROR(LOOKUP(2,1/(Sorgo!$E54:INDEX(Sorgo!$E54:$Z54,MIN(AK$6-$G$3,22))&lt;&gt;""),Sorgo!$E54:INDEX(Sorgo!$E54:$Z54,MIN(AK$6-$G$3,22))),0)))))</f>
        <v>0</v>
      </c>
      <c r="AL56" s="27" t="n">
        <f aca="false">IF(COUNT(Sorgo!$E54:$Z54)=0,0,MAX(0,IF((AL$6-$E$3)&lt;1,0,IFERROR(LOOKUP(2,1/(Sorgo!$E54:INDEX(Sorgo!$E54:$Z54,MIN(AL$6-$E$3,22))&lt;&gt;""),Sorgo!$E54:INDEX(Sorgo!$E54:$Z54,MIN(AL$6-$E$3,22))),0))-IF($G$2,0,IF((AL$6-$G$3)&lt;1,0,IFERROR(LOOKUP(2,1/(Sorgo!$E54:INDEX(Sorgo!$E54:$Z54,MIN(AL$6-$G$3,22))&lt;&gt;""),Sorgo!$E54:INDEX(Sorgo!$E54:$Z54,MIN(AL$6-$G$3,22))),0)))))</f>
        <v>0</v>
      </c>
      <c r="AM56" s="27" t="n">
        <f aca="false">IF(COUNT(Sorgo!$E54:$Z54)=0,0,MAX(0,IF((AM$6-$E$3)&lt;1,0,IFERROR(LOOKUP(2,1/(Sorgo!$E54:INDEX(Sorgo!$E54:$Z54,MIN(AM$6-$E$3,22))&lt;&gt;""),Sorgo!$E54:INDEX(Sorgo!$E54:$Z54,MIN(AM$6-$E$3,22))),0))-IF($G$2,0,IF((AM$6-$G$3)&lt;1,0,IFERROR(LOOKUP(2,1/(Sorgo!$E54:INDEX(Sorgo!$E54:$Z54,MIN(AM$6-$G$3,22))&lt;&gt;""),Sorgo!$E54:INDEX(Sorgo!$E54:$Z54,MIN(AM$6-$G$3,22))),0)))))</f>
        <v>0</v>
      </c>
      <c r="AN56" s="27" t="n">
        <f aca="false">IF(COUNT(Sorgo!$E54:$Z54)=0,0,MAX(0,IF((AN$6-$E$3)&lt;1,0,IFERROR(LOOKUP(2,1/(Sorgo!$E54:INDEX(Sorgo!$E54:$Z54,MIN(AN$6-$E$3,22))&lt;&gt;""),Sorgo!$E54:INDEX(Sorgo!$E54:$Z54,MIN(AN$6-$E$3,22))),0))-IF($G$2,0,IF((AN$6-$G$3)&lt;1,0,IFERROR(LOOKUP(2,1/(Sorgo!$E54:INDEX(Sorgo!$E54:$Z54,MIN(AN$6-$G$3,22))&lt;&gt;""),Sorgo!$E54:INDEX(Sorgo!$E54:$Z54,MIN(AN$6-$G$3,22))),0)))))</f>
        <v>0</v>
      </c>
      <c r="AO56" s="27" t="n">
        <f aca="false">IF(COUNT(Sorgo!$E54:$Z54)=0,0,MAX(0,IF((AO$6-$E$3)&lt;1,0,IFERROR(LOOKUP(2,1/(Sorgo!$E54:INDEX(Sorgo!$E54:$Z54,MIN(AO$6-$E$3,22))&lt;&gt;""),Sorgo!$E54:INDEX(Sorgo!$E54:$Z54,MIN(AO$6-$E$3,22))),0))-IF($G$2,0,IF((AO$6-$G$3)&lt;1,0,IFERROR(LOOKUP(2,1/(Sorgo!$E54:INDEX(Sorgo!$E54:$Z54,MIN(AO$6-$G$3,22))&lt;&gt;""),Sorgo!$E54:INDEX(Sorgo!$E54:$Z54,MIN(AO$6-$G$3,22))),0)))))</f>
        <v>0</v>
      </c>
      <c r="AP56" s="27" t="n">
        <f aca="false">IF(COUNT(Sorgo!$E54:$Z54)=0,0,MAX(0,IF((AP$6-$E$3)&lt;1,0,IFERROR(LOOKUP(2,1/(Sorgo!$E54:INDEX(Sorgo!$E54:$Z54,MIN(AP$6-$E$3,22))&lt;&gt;""),Sorgo!$E54:INDEX(Sorgo!$E54:$Z54,MIN(AP$6-$E$3,22))),0))-IF($G$2,0,IF((AP$6-$G$3)&lt;1,0,IFERROR(LOOKUP(2,1/(Sorgo!$E54:INDEX(Sorgo!$E54:$Z54,MIN(AP$6-$G$3,22))&lt;&gt;""),Sorgo!$E54:INDEX(Sorgo!$E54:$Z54,MIN(AP$6-$G$3,22))),0)))))</f>
        <v>0</v>
      </c>
      <c r="AQ56" s="27" t="n">
        <f aca="false">IF(COUNT(Sorgo!$E54:$Z54)=0,0,MAX(0,IF((AQ$6-$E$3)&lt;1,0,IFERROR(LOOKUP(2,1/(Sorgo!$E54:INDEX(Sorgo!$E54:$Z54,MIN(AQ$6-$E$3,22))&lt;&gt;""),Sorgo!$E54:INDEX(Sorgo!$E54:$Z54,MIN(AQ$6-$E$3,22))),0))-IF($G$2,0,IF((AQ$6-$G$3)&lt;1,0,IFERROR(LOOKUP(2,1/(Sorgo!$E54:INDEX(Sorgo!$E54:$Z54,MIN(AQ$6-$G$3,22))&lt;&gt;""),Sorgo!$E54:INDEX(Sorgo!$E54:$Z54,MIN(AQ$6-$G$3,22))),0)))))</f>
        <v>0</v>
      </c>
      <c r="AR56" s="27" t="n">
        <f aca="false">IF(COUNT(Sorgo!$E54:$Z54)=0,0,MAX(0,IF((AR$6-$E$3)&lt;1,0,IFERROR(LOOKUP(2,1/(Sorgo!$E54:INDEX(Sorgo!$E54:$Z54,MIN(AR$6-$E$3,22))&lt;&gt;""),Sorgo!$E54:INDEX(Sorgo!$E54:$Z54,MIN(AR$6-$E$3,22))),0))-IF($G$2,0,IF((AR$6-$G$3)&lt;1,0,IFERROR(LOOKUP(2,1/(Sorgo!$E54:INDEX(Sorgo!$E54:$Z54,MIN(AR$6-$G$3,22))&lt;&gt;""),Sorgo!$E54:INDEX(Sorgo!$E54:$Z54,MIN(AR$6-$G$3,22))),0)))))</f>
        <v>0</v>
      </c>
      <c r="AS56" s="27" t="n">
        <f aca="false">IF(COUNT(Sorgo!$E54:$Z54)=0,0,MAX(0,IF((AS$6-$E$3)&lt;1,0,IFERROR(LOOKUP(2,1/(Sorgo!$E54:INDEX(Sorgo!$E54:$Z54,MIN(AS$6-$E$3,22))&lt;&gt;""),Sorgo!$E54:INDEX(Sorgo!$E54:$Z54,MIN(AS$6-$E$3,22))),0))-IF($G$2,0,IF((AS$6-$G$3)&lt;1,0,IFERROR(LOOKUP(2,1/(Sorgo!$E54:INDEX(Sorgo!$E54:$Z54,MIN(AS$6-$G$3,22))&lt;&gt;""),Sorgo!$E54:INDEX(Sorgo!$E54:$Z54,MIN(AS$6-$G$3,22))),0)))))</f>
        <v>0</v>
      </c>
      <c r="AT56" s="27" t="n">
        <f aca="false">IF(COUNT(Sorgo!$E54:$Z54)=0,0,MAX(0,IF((AT$6-$E$3)&lt;1,0,IFERROR(LOOKUP(2,1/(Sorgo!$E54:INDEX(Sorgo!$E54:$Z54,MIN(AT$6-$E$3,22))&lt;&gt;""),Sorgo!$E54:INDEX(Sorgo!$E54:$Z54,MIN(AT$6-$E$3,22))),0))-IF($G$2,0,IF((AT$6-$G$3)&lt;1,0,IFERROR(LOOKUP(2,1/(Sorgo!$E54:INDEX(Sorgo!$E54:$Z54,MIN(AT$6-$G$3,22))&lt;&gt;""),Sorgo!$E54:INDEX(Sorgo!$E54:$Z54,MIN(AT$6-$G$3,22))),0)))))</f>
        <v>0</v>
      </c>
      <c r="AU56" s="27" t="n">
        <f aca="false">IF(COUNT(Sorgo!$E54:$Z54)=0,0,MAX(0,IF((AU$6-$E$3)&lt;1,0,IFERROR(LOOKUP(2,1/(Sorgo!$E54:INDEX(Sorgo!$E54:$Z54,MIN(AU$6-$E$3,22))&lt;&gt;""),Sorgo!$E54:INDEX(Sorgo!$E54:$Z54,MIN(AU$6-$E$3,22))),0))-IF($G$2,0,IF((AU$6-$G$3)&lt;1,0,IFERROR(LOOKUP(2,1/(Sorgo!$E54:INDEX(Sorgo!$E54:$Z54,MIN(AU$6-$G$3,22))&lt;&gt;""),Sorgo!$E54:INDEX(Sorgo!$E54:$Z54,MIN(AU$6-$G$3,22))),0)))))</f>
        <v>0</v>
      </c>
      <c r="AV56" s="27" t="n">
        <f aca="false">IF(COUNT(Sorgo!$E54:$Z54)=0,0,MAX(0,IF((AV$6-$E$3)&lt;1,0,IFERROR(LOOKUP(2,1/(Sorgo!$E54:INDEX(Sorgo!$E54:$Z54,MIN(AV$6-$E$3,22))&lt;&gt;""),Sorgo!$E54:INDEX(Sorgo!$E54:$Z54,MIN(AV$6-$E$3,22))),0))-IF($G$2,0,IF((AV$6-$G$3)&lt;1,0,IFERROR(LOOKUP(2,1/(Sorgo!$E54:INDEX(Sorgo!$E54:$Z54,MIN(AV$6-$G$3,22))&lt;&gt;""),Sorgo!$E54:INDEX(Sorgo!$E54:$Z54,MIN(AV$6-$G$3,22))),0)))))</f>
        <v>0</v>
      </c>
      <c r="AW56" s="27" t="n">
        <f aca="false">IF(COUNT(Sorgo!$E54:$Z54)=0,0,MAX(0,IF((AW$6-$E$3)&lt;1,0,IFERROR(LOOKUP(2,1/(Sorgo!$E54:INDEX(Sorgo!$E54:$Z54,MIN(AW$6-$E$3,22))&lt;&gt;""),Sorgo!$E54:INDEX(Sorgo!$E54:$Z54,MIN(AW$6-$E$3,22))),0))-IF($G$2,0,IF((AW$6-$G$3)&lt;1,0,IFERROR(LOOKUP(2,1/(Sorgo!$E54:INDEX(Sorgo!$E54:$Z54,MIN(AW$6-$G$3,22))&lt;&gt;""),Sorgo!$E54:INDEX(Sorgo!$E54:$Z54,MIN(AW$6-$G$3,22))),0)))))</f>
        <v>0</v>
      </c>
      <c r="AX56" s="27" t="n">
        <f aca="false">IF(COUNT(Sorgo!$E54:$Z54)=0,0,MAX(0,IF((AX$6-$E$3)&lt;1,0,IFERROR(LOOKUP(2,1/(Sorgo!$E54:INDEX(Sorgo!$E54:$Z54,MIN(AX$6-$E$3,22))&lt;&gt;""),Sorgo!$E54:INDEX(Sorgo!$E54:$Z54,MIN(AX$6-$E$3,22))),0))-IF($G$2,0,IF((AX$6-$G$3)&lt;1,0,IFERROR(LOOKUP(2,1/(Sorgo!$E54:INDEX(Sorgo!$E54:$Z54,MIN(AX$6-$G$3,22))&lt;&gt;""),Sorgo!$E54:INDEX(Sorgo!$E54:$Z54,MIN(AX$6-$G$3,22))),0)))))</f>
        <v>0</v>
      </c>
      <c r="AY56" s="27" t="n">
        <f aca="false">IF(COUNT(Sorgo!$E54:$Z54)=0,0,MAX(0,IF((AY$6-$E$3)&lt;1,0,IFERROR(LOOKUP(2,1/(Sorgo!$E54:INDEX(Sorgo!$E54:$Z54,MIN(AY$6-$E$3,22))&lt;&gt;""),Sorgo!$E54:INDEX(Sorgo!$E54:$Z54,MIN(AY$6-$E$3,22))),0))-IF($G$2,0,IF((AY$6-$G$3)&lt;1,0,IFERROR(LOOKUP(2,1/(Sorgo!$E54:INDEX(Sorgo!$E54:$Z54,MIN(AY$6-$G$3,22))&lt;&gt;""),Sorgo!$E54:INDEX(Sorgo!$E54:$Z54,MIN(AY$6-$G$3,22))),0)))))</f>
        <v>0</v>
      </c>
      <c r="AZ56" s="27" t="n">
        <f aca="false">IF(COUNT(Sorgo!$E54:$Z54)=0,0,MAX(0,IF((AZ$6-$E$3)&lt;1,0,IFERROR(LOOKUP(2,1/(Sorgo!$E54:INDEX(Sorgo!$E54:$Z54,MIN(AZ$6-$E$3,22))&lt;&gt;""),Sorgo!$E54:INDEX(Sorgo!$E54:$Z54,MIN(AZ$6-$E$3,22))),0))-IF($G$2,0,IF((AZ$6-$G$3)&lt;1,0,IFERROR(LOOKUP(2,1/(Sorgo!$E54:INDEX(Sorgo!$E54:$Z54,MIN(AZ$6-$G$3,22))&lt;&gt;""),Sorgo!$E54:INDEX(Sorgo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IF(COUNT(Sorgo!$E55:$Z55)&gt;0,N(Sorgo!$D55),0)</f>
        <v>0</v>
      </c>
      <c r="E57" s="27" t="n">
        <f aca="false">IF(COUNT(Sorgo!$E55:$Z55)=0,0,MAX(0,IF((E$6-$E$3)&lt;1,0,IFERROR(LOOKUP(2,1/(Sorgo!$E55:INDEX(Sorgo!$E55:$Z55,MIN(E$6-$E$3,22))&lt;&gt;""),Sorgo!$E55:INDEX(Sorgo!$E55:$Z55,MIN(E$6-$E$3,22))),0))-IF($G$2,0,IF((E$6-$G$3)&lt;1,0,IFERROR(LOOKUP(2,1/(Sorgo!$E55:INDEX(Sorgo!$E55:$Z55,MIN(E$6-$G$3,22))&lt;&gt;""),Sorgo!$E55:INDEX(Sorgo!$E55:$Z55,MIN(E$6-$G$3,22))),0)))))</f>
        <v>0</v>
      </c>
      <c r="F57" s="27" t="n">
        <f aca="false">IF(COUNT(Sorgo!$E55:$Z55)=0,0,MAX(0,IF((F$6-$E$3)&lt;1,0,IFERROR(LOOKUP(2,1/(Sorgo!$E55:INDEX(Sorgo!$E55:$Z55,MIN(F$6-$E$3,22))&lt;&gt;""),Sorgo!$E55:INDEX(Sorgo!$E55:$Z55,MIN(F$6-$E$3,22))),0))-IF($G$2,0,IF((F$6-$G$3)&lt;1,0,IFERROR(LOOKUP(2,1/(Sorgo!$E55:INDEX(Sorgo!$E55:$Z55,MIN(F$6-$G$3,22))&lt;&gt;""),Sorgo!$E55:INDEX(Sorgo!$E55:$Z55,MIN(F$6-$G$3,22))),0)))))</f>
        <v>0</v>
      </c>
      <c r="G57" s="27" t="n">
        <f aca="false">IF(COUNT(Sorgo!$E55:$Z55)=0,0,MAX(0,IF((G$6-$E$3)&lt;1,0,IFERROR(LOOKUP(2,1/(Sorgo!$E55:INDEX(Sorgo!$E55:$Z55,MIN(G$6-$E$3,22))&lt;&gt;""),Sorgo!$E55:INDEX(Sorgo!$E55:$Z55,MIN(G$6-$E$3,22))),0))-IF($G$2,0,IF((G$6-$G$3)&lt;1,0,IFERROR(LOOKUP(2,1/(Sorgo!$E55:INDEX(Sorgo!$E55:$Z55,MIN(G$6-$G$3,22))&lt;&gt;""),Sorgo!$E55:INDEX(Sorgo!$E55:$Z55,MIN(G$6-$G$3,22))),0)))))</f>
        <v>0</v>
      </c>
      <c r="H57" s="27" t="n">
        <f aca="false">IF(COUNT(Sorgo!$E55:$Z55)=0,0,MAX(0,IF((H$6-$E$3)&lt;1,0,IFERROR(LOOKUP(2,1/(Sorgo!$E55:INDEX(Sorgo!$E55:$Z55,MIN(H$6-$E$3,22))&lt;&gt;""),Sorgo!$E55:INDEX(Sorgo!$E55:$Z55,MIN(H$6-$E$3,22))),0))-IF($G$2,0,IF((H$6-$G$3)&lt;1,0,IFERROR(LOOKUP(2,1/(Sorgo!$E55:INDEX(Sorgo!$E55:$Z55,MIN(H$6-$G$3,22))&lt;&gt;""),Sorgo!$E55:INDEX(Sorgo!$E55:$Z55,MIN(H$6-$G$3,22))),0)))))</f>
        <v>0</v>
      </c>
      <c r="I57" s="27" t="n">
        <f aca="false">IF(COUNT(Sorgo!$E55:$Z55)=0,0,MAX(0,IF((I$6-$E$3)&lt;1,0,IFERROR(LOOKUP(2,1/(Sorgo!$E55:INDEX(Sorgo!$E55:$Z55,MIN(I$6-$E$3,22))&lt;&gt;""),Sorgo!$E55:INDEX(Sorgo!$E55:$Z55,MIN(I$6-$E$3,22))),0))-IF($G$2,0,IF((I$6-$G$3)&lt;1,0,IFERROR(LOOKUP(2,1/(Sorgo!$E55:INDEX(Sorgo!$E55:$Z55,MIN(I$6-$G$3,22))&lt;&gt;""),Sorgo!$E55:INDEX(Sorgo!$E55:$Z55,MIN(I$6-$G$3,22))),0)))))</f>
        <v>0</v>
      </c>
      <c r="J57" s="27" t="n">
        <f aca="false">IF(COUNT(Sorgo!$E55:$Z55)=0,0,MAX(0,IF((J$6-$E$3)&lt;1,0,IFERROR(LOOKUP(2,1/(Sorgo!$E55:INDEX(Sorgo!$E55:$Z55,MIN(J$6-$E$3,22))&lt;&gt;""),Sorgo!$E55:INDEX(Sorgo!$E55:$Z55,MIN(J$6-$E$3,22))),0))-IF($G$2,0,IF((J$6-$G$3)&lt;1,0,IFERROR(LOOKUP(2,1/(Sorgo!$E55:INDEX(Sorgo!$E55:$Z55,MIN(J$6-$G$3,22))&lt;&gt;""),Sorgo!$E55:INDEX(Sorgo!$E55:$Z55,MIN(J$6-$G$3,22))),0)))))</f>
        <v>0</v>
      </c>
      <c r="K57" s="27" t="n">
        <f aca="false">IF(COUNT(Sorgo!$E55:$Z55)=0,0,MAX(0,IF((K$6-$E$3)&lt;1,0,IFERROR(LOOKUP(2,1/(Sorgo!$E55:INDEX(Sorgo!$E55:$Z55,MIN(K$6-$E$3,22))&lt;&gt;""),Sorgo!$E55:INDEX(Sorgo!$E55:$Z55,MIN(K$6-$E$3,22))),0))-IF($G$2,0,IF((K$6-$G$3)&lt;1,0,IFERROR(LOOKUP(2,1/(Sorgo!$E55:INDEX(Sorgo!$E55:$Z55,MIN(K$6-$G$3,22))&lt;&gt;""),Sorgo!$E55:INDEX(Sorgo!$E55:$Z55,MIN(K$6-$G$3,22))),0)))))</f>
        <v>0</v>
      </c>
      <c r="L57" s="27" t="n">
        <f aca="false">IF(COUNT(Sorgo!$E55:$Z55)=0,0,MAX(0,IF((L$6-$E$3)&lt;1,0,IFERROR(LOOKUP(2,1/(Sorgo!$E55:INDEX(Sorgo!$E55:$Z55,MIN(L$6-$E$3,22))&lt;&gt;""),Sorgo!$E55:INDEX(Sorgo!$E55:$Z55,MIN(L$6-$E$3,22))),0))-IF($G$2,0,IF((L$6-$G$3)&lt;1,0,IFERROR(LOOKUP(2,1/(Sorgo!$E55:INDEX(Sorgo!$E55:$Z55,MIN(L$6-$G$3,22))&lt;&gt;""),Sorgo!$E55:INDEX(Sorgo!$E55:$Z55,MIN(L$6-$G$3,22))),0)))))</f>
        <v>0</v>
      </c>
      <c r="M57" s="27" t="n">
        <f aca="false">IF(COUNT(Sorgo!$E55:$Z55)=0,0,MAX(0,IF((M$6-$E$3)&lt;1,0,IFERROR(LOOKUP(2,1/(Sorgo!$E55:INDEX(Sorgo!$E55:$Z55,MIN(M$6-$E$3,22))&lt;&gt;""),Sorgo!$E55:INDEX(Sorgo!$E55:$Z55,MIN(M$6-$E$3,22))),0))-IF($G$2,0,IF((M$6-$G$3)&lt;1,0,IFERROR(LOOKUP(2,1/(Sorgo!$E55:INDEX(Sorgo!$E55:$Z55,MIN(M$6-$G$3,22))&lt;&gt;""),Sorgo!$E55:INDEX(Sorgo!$E55:$Z55,MIN(M$6-$G$3,22))),0)))))</f>
        <v>0</v>
      </c>
      <c r="N57" s="27" t="n">
        <f aca="false">IF(COUNT(Sorgo!$E55:$Z55)=0,0,MAX(0,IF((N$6-$E$3)&lt;1,0,IFERROR(LOOKUP(2,1/(Sorgo!$E55:INDEX(Sorgo!$E55:$Z55,MIN(N$6-$E$3,22))&lt;&gt;""),Sorgo!$E55:INDEX(Sorgo!$E55:$Z55,MIN(N$6-$E$3,22))),0))-IF($G$2,0,IF((N$6-$G$3)&lt;1,0,IFERROR(LOOKUP(2,1/(Sorgo!$E55:INDEX(Sorgo!$E55:$Z55,MIN(N$6-$G$3,22))&lt;&gt;""),Sorgo!$E55:INDEX(Sorgo!$E55:$Z55,MIN(N$6-$G$3,22))),0)))))</f>
        <v>0</v>
      </c>
      <c r="O57" s="27" t="n">
        <f aca="false">IF(COUNT(Sorgo!$E55:$Z55)=0,0,MAX(0,IF((O$6-$E$3)&lt;1,0,IFERROR(LOOKUP(2,1/(Sorgo!$E55:INDEX(Sorgo!$E55:$Z55,MIN(O$6-$E$3,22))&lt;&gt;""),Sorgo!$E55:INDEX(Sorgo!$E55:$Z55,MIN(O$6-$E$3,22))),0))-IF($G$2,0,IF((O$6-$G$3)&lt;1,0,IFERROR(LOOKUP(2,1/(Sorgo!$E55:INDEX(Sorgo!$E55:$Z55,MIN(O$6-$G$3,22))&lt;&gt;""),Sorgo!$E55:INDEX(Sorgo!$E55:$Z55,MIN(O$6-$G$3,22))),0)))))</f>
        <v>0</v>
      </c>
      <c r="P57" s="27" t="n">
        <f aca="false">IF(COUNT(Sorgo!$E55:$Z55)=0,0,MAX(0,IF((P$6-$E$3)&lt;1,0,IFERROR(LOOKUP(2,1/(Sorgo!$E55:INDEX(Sorgo!$E55:$Z55,MIN(P$6-$E$3,22))&lt;&gt;""),Sorgo!$E55:INDEX(Sorgo!$E55:$Z55,MIN(P$6-$E$3,22))),0))-IF($G$2,0,IF((P$6-$G$3)&lt;1,0,IFERROR(LOOKUP(2,1/(Sorgo!$E55:INDEX(Sorgo!$E55:$Z55,MIN(P$6-$G$3,22))&lt;&gt;""),Sorgo!$E55:INDEX(Sorgo!$E55:$Z55,MIN(P$6-$G$3,22))),0)))))</f>
        <v>0</v>
      </c>
      <c r="Q57" s="27" t="n">
        <f aca="false">IF(COUNT(Sorgo!$E55:$Z55)=0,0,MAX(0,IF((Q$6-$E$3)&lt;1,0,IFERROR(LOOKUP(2,1/(Sorgo!$E55:INDEX(Sorgo!$E55:$Z55,MIN(Q$6-$E$3,22))&lt;&gt;""),Sorgo!$E55:INDEX(Sorgo!$E55:$Z55,MIN(Q$6-$E$3,22))),0))-IF($G$2,0,IF((Q$6-$G$3)&lt;1,0,IFERROR(LOOKUP(2,1/(Sorgo!$E55:INDEX(Sorgo!$E55:$Z55,MIN(Q$6-$G$3,22))&lt;&gt;""),Sorgo!$E55:INDEX(Sorgo!$E55:$Z55,MIN(Q$6-$G$3,22))),0)))))</f>
        <v>0</v>
      </c>
      <c r="R57" s="27" t="n">
        <f aca="false">IF(COUNT(Sorgo!$E55:$Z55)=0,0,MAX(0,IF((R$6-$E$3)&lt;1,0,IFERROR(LOOKUP(2,1/(Sorgo!$E55:INDEX(Sorgo!$E55:$Z55,MIN(R$6-$E$3,22))&lt;&gt;""),Sorgo!$E55:INDEX(Sorgo!$E55:$Z55,MIN(R$6-$E$3,22))),0))-IF($G$2,0,IF((R$6-$G$3)&lt;1,0,IFERROR(LOOKUP(2,1/(Sorgo!$E55:INDEX(Sorgo!$E55:$Z55,MIN(R$6-$G$3,22))&lt;&gt;""),Sorgo!$E55:INDEX(Sorgo!$E55:$Z55,MIN(R$6-$G$3,22))),0)))))</f>
        <v>0</v>
      </c>
      <c r="S57" s="27" t="n">
        <f aca="false">IF(COUNT(Sorgo!$E55:$Z55)=0,0,MAX(0,IF((S$6-$E$3)&lt;1,0,IFERROR(LOOKUP(2,1/(Sorgo!$E55:INDEX(Sorgo!$E55:$Z55,MIN(S$6-$E$3,22))&lt;&gt;""),Sorgo!$E55:INDEX(Sorgo!$E55:$Z55,MIN(S$6-$E$3,22))),0))-IF($G$2,0,IF((S$6-$G$3)&lt;1,0,IFERROR(LOOKUP(2,1/(Sorgo!$E55:INDEX(Sorgo!$E55:$Z55,MIN(S$6-$G$3,22))&lt;&gt;""),Sorgo!$E55:INDEX(Sorgo!$E55:$Z55,MIN(S$6-$G$3,22))),0)))))</f>
        <v>0</v>
      </c>
      <c r="T57" s="27" t="n">
        <f aca="false">IF(COUNT(Sorgo!$E55:$Z55)=0,0,MAX(0,IF((T$6-$E$3)&lt;1,0,IFERROR(LOOKUP(2,1/(Sorgo!$E55:INDEX(Sorgo!$E55:$Z55,MIN(T$6-$E$3,22))&lt;&gt;""),Sorgo!$E55:INDEX(Sorgo!$E55:$Z55,MIN(T$6-$E$3,22))),0))-IF($G$2,0,IF((T$6-$G$3)&lt;1,0,IFERROR(LOOKUP(2,1/(Sorgo!$E55:INDEX(Sorgo!$E55:$Z55,MIN(T$6-$G$3,22))&lt;&gt;""),Sorgo!$E55:INDEX(Sorgo!$E55:$Z55,MIN(T$6-$G$3,22))),0)))))</f>
        <v>0</v>
      </c>
      <c r="U57" s="27" t="n">
        <f aca="false">IF(COUNT(Sorgo!$E55:$Z55)=0,0,MAX(0,IF((U$6-$E$3)&lt;1,0,IFERROR(LOOKUP(2,1/(Sorgo!$E55:INDEX(Sorgo!$E55:$Z55,MIN(U$6-$E$3,22))&lt;&gt;""),Sorgo!$E55:INDEX(Sorgo!$E55:$Z55,MIN(U$6-$E$3,22))),0))-IF($G$2,0,IF((U$6-$G$3)&lt;1,0,IFERROR(LOOKUP(2,1/(Sorgo!$E55:INDEX(Sorgo!$E55:$Z55,MIN(U$6-$G$3,22))&lt;&gt;""),Sorgo!$E55:INDEX(Sorgo!$E55:$Z55,MIN(U$6-$G$3,22))),0)))))</f>
        <v>0</v>
      </c>
      <c r="V57" s="27" t="n">
        <f aca="false">IF(COUNT(Sorgo!$E55:$Z55)=0,0,MAX(0,IF((V$6-$E$3)&lt;1,0,IFERROR(LOOKUP(2,1/(Sorgo!$E55:INDEX(Sorgo!$E55:$Z55,MIN(V$6-$E$3,22))&lt;&gt;""),Sorgo!$E55:INDEX(Sorgo!$E55:$Z55,MIN(V$6-$E$3,22))),0))-IF($G$2,0,IF((V$6-$G$3)&lt;1,0,IFERROR(LOOKUP(2,1/(Sorgo!$E55:INDEX(Sorgo!$E55:$Z55,MIN(V$6-$G$3,22))&lt;&gt;""),Sorgo!$E55:INDEX(Sorgo!$E55:$Z55,MIN(V$6-$G$3,22))),0)))))</f>
        <v>0</v>
      </c>
      <c r="W57" s="27" t="n">
        <f aca="false">IF(COUNT(Sorgo!$E55:$Z55)=0,0,MAX(0,IF((W$6-$E$3)&lt;1,0,IFERROR(LOOKUP(2,1/(Sorgo!$E55:INDEX(Sorgo!$E55:$Z55,MIN(W$6-$E$3,22))&lt;&gt;""),Sorgo!$E55:INDEX(Sorgo!$E55:$Z55,MIN(W$6-$E$3,22))),0))-IF($G$2,0,IF((W$6-$G$3)&lt;1,0,IFERROR(LOOKUP(2,1/(Sorgo!$E55:INDEX(Sorgo!$E55:$Z55,MIN(W$6-$G$3,22))&lt;&gt;""),Sorgo!$E55:INDEX(Sorgo!$E55:$Z55,MIN(W$6-$G$3,22))),0)))))</f>
        <v>0</v>
      </c>
      <c r="X57" s="27" t="n">
        <f aca="false">IF(COUNT(Sorgo!$E55:$Z55)=0,0,MAX(0,IF((X$6-$E$3)&lt;1,0,IFERROR(LOOKUP(2,1/(Sorgo!$E55:INDEX(Sorgo!$E55:$Z55,MIN(X$6-$E$3,22))&lt;&gt;""),Sorgo!$E55:INDEX(Sorgo!$E55:$Z55,MIN(X$6-$E$3,22))),0))-IF($G$2,0,IF((X$6-$G$3)&lt;1,0,IFERROR(LOOKUP(2,1/(Sorgo!$E55:INDEX(Sorgo!$E55:$Z55,MIN(X$6-$G$3,22))&lt;&gt;""),Sorgo!$E55:INDEX(Sorgo!$E55:$Z55,MIN(X$6-$G$3,22))),0)))))</f>
        <v>0</v>
      </c>
      <c r="Y57" s="27" t="n">
        <f aca="false">IF(COUNT(Sorgo!$E55:$Z55)=0,0,MAX(0,IF((Y$6-$E$3)&lt;1,0,IFERROR(LOOKUP(2,1/(Sorgo!$E55:INDEX(Sorgo!$E55:$Z55,MIN(Y$6-$E$3,22))&lt;&gt;""),Sorgo!$E55:INDEX(Sorgo!$E55:$Z55,MIN(Y$6-$E$3,22))),0))-IF($G$2,0,IF((Y$6-$G$3)&lt;1,0,IFERROR(LOOKUP(2,1/(Sorgo!$E55:INDEX(Sorgo!$E55:$Z55,MIN(Y$6-$G$3,22))&lt;&gt;""),Sorgo!$E55:INDEX(Sorgo!$E55:$Z55,MIN(Y$6-$G$3,22))),0)))))</f>
        <v>0</v>
      </c>
      <c r="Z57" s="27" t="n">
        <f aca="false">IF(COUNT(Sorgo!$E55:$Z55)=0,0,MAX(0,IF((Z$6-$E$3)&lt;1,0,IFERROR(LOOKUP(2,1/(Sorgo!$E55:INDEX(Sorgo!$E55:$Z55,MIN(Z$6-$E$3,22))&lt;&gt;""),Sorgo!$E55:INDEX(Sorgo!$E55:$Z55,MIN(Z$6-$E$3,22))),0))-IF($G$2,0,IF((Z$6-$G$3)&lt;1,0,IFERROR(LOOKUP(2,1/(Sorgo!$E55:INDEX(Sorgo!$E55:$Z55,MIN(Z$6-$G$3,22))&lt;&gt;""),Sorgo!$E55:INDEX(Sorgo!$E55:$Z55,MIN(Z$6-$G$3,22))),0)))))</f>
        <v>0</v>
      </c>
      <c r="AA57" s="27" t="n">
        <f aca="false">IF(COUNT(Sorgo!$E55:$Z55)=0,0,MAX(0,IF((AA$6-$E$3)&lt;1,0,IFERROR(LOOKUP(2,1/(Sorgo!$E55:INDEX(Sorgo!$E55:$Z55,MIN(AA$6-$E$3,22))&lt;&gt;""),Sorgo!$E55:INDEX(Sorgo!$E55:$Z55,MIN(AA$6-$E$3,22))),0))-IF($G$2,0,IF((AA$6-$G$3)&lt;1,0,IFERROR(LOOKUP(2,1/(Sorgo!$E55:INDEX(Sorgo!$E55:$Z55,MIN(AA$6-$G$3,22))&lt;&gt;""),Sorgo!$E55:INDEX(Sorgo!$E55:$Z55,MIN(AA$6-$G$3,22))),0)))))</f>
        <v>0</v>
      </c>
      <c r="AB57" s="27" t="n">
        <f aca="false">IF(COUNT(Sorgo!$E55:$Z55)=0,0,MAX(0,IF((AB$6-$E$3)&lt;1,0,IFERROR(LOOKUP(2,1/(Sorgo!$E55:INDEX(Sorgo!$E55:$Z55,MIN(AB$6-$E$3,22))&lt;&gt;""),Sorgo!$E55:INDEX(Sorgo!$E55:$Z55,MIN(AB$6-$E$3,22))),0))-IF($G$2,0,IF((AB$6-$G$3)&lt;1,0,IFERROR(LOOKUP(2,1/(Sorgo!$E55:INDEX(Sorgo!$E55:$Z55,MIN(AB$6-$G$3,22))&lt;&gt;""),Sorgo!$E55:INDEX(Sorgo!$E55:$Z55,MIN(AB$6-$G$3,22))),0)))))</f>
        <v>0</v>
      </c>
      <c r="AC57" s="27" t="n">
        <f aca="false">IF(COUNT(Sorgo!$E55:$Z55)=0,0,MAX(0,IF((AC$6-$E$3)&lt;1,0,IFERROR(LOOKUP(2,1/(Sorgo!$E55:INDEX(Sorgo!$E55:$Z55,MIN(AC$6-$E$3,22))&lt;&gt;""),Sorgo!$E55:INDEX(Sorgo!$E55:$Z55,MIN(AC$6-$E$3,22))),0))-IF($G$2,0,IF((AC$6-$G$3)&lt;1,0,IFERROR(LOOKUP(2,1/(Sorgo!$E55:INDEX(Sorgo!$E55:$Z55,MIN(AC$6-$G$3,22))&lt;&gt;""),Sorgo!$E55:INDEX(Sorgo!$E55:$Z55,MIN(AC$6-$G$3,22))),0)))))</f>
        <v>0</v>
      </c>
      <c r="AD57" s="27" t="n">
        <f aca="false">IF(COUNT(Sorgo!$E55:$Z55)=0,0,MAX(0,IF((AD$6-$E$3)&lt;1,0,IFERROR(LOOKUP(2,1/(Sorgo!$E55:INDEX(Sorgo!$E55:$Z55,MIN(AD$6-$E$3,22))&lt;&gt;""),Sorgo!$E55:INDEX(Sorgo!$E55:$Z55,MIN(AD$6-$E$3,22))),0))-IF($G$2,0,IF((AD$6-$G$3)&lt;1,0,IFERROR(LOOKUP(2,1/(Sorgo!$E55:INDEX(Sorgo!$E55:$Z55,MIN(AD$6-$G$3,22))&lt;&gt;""),Sorgo!$E55:INDEX(Sorgo!$E55:$Z55,MIN(AD$6-$G$3,22))),0)))))</f>
        <v>0</v>
      </c>
      <c r="AE57" s="27" t="n">
        <f aca="false">IF(COUNT(Sorgo!$E55:$Z55)=0,0,MAX(0,IF((AE$6-$E$3)&lt;1,0,IFERROR(LOOKUP(2,1/(Sorgo!$E55:INDEX(Sorgo!$E55:$Z55,MIN(AE$6-$E$3,22))&lt;&gt;""),Sorgo!$E55:INDEX(Sorgo!$E55:$Z55,MIN(AE$6-$E$3,22))),0))-IF($G$2,0,IF((AE$6-$G$3)&lt;1,0,IFERROR(LOOKUP(2,1/(Sorgo!$E55:INDEX(Sorgo!$E55:$Z55,MIN(AE$6-$G$3,22))&lt;&gt;""),Sorgo!$E55:INDEX(Sorgo!$E55:$Z55,MIN(AE$6-$G$3,22))),0)))))</f>
        <v>0</v>
      </c>
      <c r="AF57" s="27" t="n">
        <f aca="false">IF(COUNT(Sorgo!$E55:$Z55)=0,0,MAX(0,IF((AF$6-$E$3)&lt;1,0,IFERROR(LOOKUP(2,1/(Sorgo!$E55:INDEX(Sorgo!$E55:$Z55,MIN(AF$6-$E$3,22))&lt;&gt;""),Sorgo!$E55:INDEX(Sorgo!$E55:$Z55,MIN(AF$6-$E$3,22))),0))-IF($G$2,0,IF((AF$6-$G$3)&lt;1,0,IFERROR(LOOKUP(2,1/(Sorgo!$E55:INDEX(Sorgo!$E55:$Z55,MIN(AF$6-$G$3,22))&lt;&gt;""),Sorgo!$E55:INDEX(Sorgo!$E55:$Z55,MIN(AF$6-$G$3,22))),0)))))</f>
        <v>0</v>
      </c>
      <c r="AG57" s="27" t="n">
        <f aca="false">IF(COUNT(Sorgo!$E55:$Z55)=0,0,MAX(0,IF((AG$6-$E$3)&lt;1,0,IFERROR(LOOKUP(2,1/(Sorgo!$E55:INDEX(Sorgo!$E55:$Z55,MIN(AG$6-$E$3,22))&lt;&gt;""),Sorgo!$E55:INDEX(Sorgo!$E55:$Z55,MIN(AG$6-$E$3,22))),0))-IF($G$2,0,IF((AG$6-$G$3)&lt;1,0,IFERROR(LOOKUP(2,1/(Sorgo!$E55:INDEX(Sorgo!$E55:$Z55,MIN(AG$6-$G$3,22))&lt;&gt;""),Sorgo!$E55:INDEX(Sorgo!$E55:$Z55,MIN(AG$6-$G$3,22))),0)))))</f>
        <v>0</v>
      </c>
      <c r="AH57" s="27" t="n">
        <f aca="false">IF(COUNT(Sorgo!$E55:$Z55)=0,0,MAX(0,IF((AH$6-$E$3)&lt;1,0,IFERROR(LOOKUP(2,1/(Sorgo!$E55:INDEX(Sorgo!$E55:$Z55,MIN(AH$6-$E$3,22))&lt;&gt;""),Sorgo!$E55:INDEX(Sorgo!$E55:$Z55,MIN(AH$6-$E$3,22))),0))-IF($G$2,0,IF((AH$6-$G$3)&lt;1,0,IFERROR(LOOKUP(2,1/(Sorgo!$E55:INDEX(Sorgo!$E55:$Z55,MIN(AH$6-$G$3,22))&lt;&gt;""),Sorgo!$E55:INDEX(Sorgo!$E55:$Z55,MIN(AH$6-$G$3,22))),0)))))</f>
        <v>0</v>
      </c>
      <c r="AI57" s="27" t="n">
        <f aca="false">IF(COUNT(Sorgo!$E55:$Z55)=0,0,MAX(0,IF((AI$6-$E$3)&lt;1,0,IFERROR(LOOKUP(2,1/(Sorgo!$E55:INDEX(Sorgo!$E55:$Z55,MIN(AI$6-$E$3,22))&lt;&gt;""),Sorgo!$E55:INDEX(Sorgo!$E55:$Z55,MIN(AI$6-$E$3,22))),0))-IF($G$2,0,IF((AI$6-$G$3)&lt;1,0,IFERROR(LOOKUP(2,1/(Sorgo!$E55:INDEX(Sorgo!$E55:$Z55,MIN(AI$6-$G$3,22))&lt;&gt;""),Sorgo!$E55:INDEX(Sorgo!$E55:$Z55,MIN(AI$6-$G$3,22))),0)))))</f>
        <v>0</v>
      </c>
      <c r="AJ57" s="27" t="n">
        <f aca="false">IF(COUNT(Sorgo!$E55:$Z55)=0,0,MAX(0,IF((AJ$6-$E$3)&lt;1,0,IFERROR(LOOKUP(2,1/(Sorgo!$E55:INDEX(Sorgo!$E55:$Z55,MIN(AJ$6-$E$3,22))&lt;&gt;""),Sorgo!$E55:INDEX(Sorgo!$E55:$Z55,MIN(AJ$6-$E$3,22))),0))-IF($G$2,0,IF((AJ$6-$G$3)&lt;1,0,IFERROR(LOOKUP(2,1/(Sorgo!$E55:INDEX(Sorgo!$E55:$Z55,MIN(AJ$6-$G$3,22))&lt;&gt;""),Sorgo!$E55:INDEX(Sorgo!$E55:$Z55,MIN(AJ$6-$G$3,22))),0)))))</f>
        <v>0</v>
      </c>
      <c r="AK57" s="27" t="n">
        <f aca="false">IF(COUNT(Sorgo!$E55:$Z55)=0,0,MAX(0,IF((AK$6-$E$3)&lt;1,0,IFERROR(LOOKUP(2,1/(Sorgo!$E55:INDEX(Sorgo!$E55:$Z55,MIN(AK$6-$E$3,22))&lt;&gt;""),Sorgo!$E55:INDEX(Sorgo!$E55:$Z55,MIN(AK$6-$E$3,22))),0))-IF($G$2,0,IF((AK$6-$G$3)&lt;1,0,IFERROR(LOOKUP(2,1/(Sorgo!$E55:INDEX(Sorgo!$E55:$Z55,MIN(AK$6-$G$3,22))&lt;&gt;""),Sorgo!$E55:INDEX(Sorgo!$E55:$Z55,MIN(AK$6-$G$3,22))),0)))))</f>
        <v>0</v>
      </c>
      <c r="AL57" s="27" t="n">
        <f aca="false">IF(COUNT(Sorgo!$E55:$Z55)=0,0,MAX(0,IF((AL$6-$E$3)&lt;1,0,IFERROR(LOOKUP(2,1/(Sorgo!$E55:INDEX(Sorgo!$E55:$Z55,MIN(AL$6-$E$3,22))&lt;&gt;""),Sorgo!$E55:INDEX(Sorgo!$E55:$Z55,MIN(AL$6-$E$3,22))),0))-IF($G$2,0,IF((AL$6-$G$3)&lt;1,0,IFERROR(LOOKUP(2,1/(Sorgo!$E55:INDEX(Sorgo!$E55:$Z55,MIN(AL$6-$G$3,22))&lt;&gt;""),Sorgo!$E55:INDEX(Sorgo!$E55:$Z55,MIN(AL$6-$G$3,22))),0)))))</f>
        <v>0</v>
      </c>
      <c r="AM57" s="27" t="n">
        <f aca="false">IF(COUNT(Sorgo!$E55:$Z55)=0,0,MAX(0,IF((AM$6-$E$3)&lt;1,0,IFERROR(LOOKUP(2,1/(Sorgo!$E55:INDEX(Sorgo!$E55:$Z55,MIN(AM$6-$E$3,22))&lt;&gt;""),Sorgo!$E55:INDEX(Sorgo!$E55:$Z55,MIN(AM$6-$E$3,22))),0))-IF($G$2,0,IF((AM$6-$G$3)&lt;1,0,IFERROR(LOOKUP(2,1/(Sorgo!$E55:INDEX(Sorgo!$E55:$Z55,MIN(AM$6-$G$3,22))&lt;&gt;""),Sorgo!$E55:INDEX(Sorgo!$E55:$Z55,MIN(AM$6-$G$3,22))),0)))))</f>
        <v>0</v>
      </c>
      <c r="AN57" s="27" t="n">
        <f aca="false">IF(COUNT(Sorgo!$E55:$Z55)=0,0,MAX(0,IF((AN$6-$E$3)&lt;1,0,IFERROR(LOOKUP(2,1/(Sorgo!$E55:INDEX(Sorgo!$E55:$Z55,MIN(AN$6-$E$3,22))&lt;&gt;""),Sorgo!$E55:INDEX(Sorgo!$E55:$Z55,MIN(AN$6-$E$3,22))),0))-IF($G$2,0,IF((AN$6-$G$3)&lt;1,0,IFERROR(LOOKUP(2,1/(Sorgo!$E55:INDEX(Sorgo!$E55:$Z55,MIN(AN$6-$G$3,22))&lt;&gt;""),Sorgo!$E55:INDEX(Sorgo!$E55:$Z55,MIN(AN$6-$G$3,22))),0)))))</f>
        <v>0</v>
      </c>
      <c r="AO57" s="27" t="n">
        <f aca="false">IF(COUNT(Sorgo!$E55:$Z55)=0,0,MAX(0,IF((AO$6-$E$3)&lt;1,0,IFERROR(LOOKUP(2,1/(Sorgo!$E55:INDEX(Sorgo!$E55:$Z55,MIN(AO$6-$E$3,22))&lt;&gt;""),Sorgo!$E55:INDEX(Sorgo!$E55:$Z55,MIN(AO$6-$E$3,22))),0))-IF($G$2,0,IF((AO$6-$G$3)&lt;1,0,IFERROR(LOOKUP(2,1/(Sorgo!$E55:INDEX(Sorgo!$E55:$Z55,MIN(AO$6-$G$3,22))&lt;&gt;""),Sorgo!$E55:INDEX(Sorgo!$E55:$Z55,MIN(AO$6-$G$3,22))),0)))))</f>
        <v>0</v>
      </c>
      <c r="AP57" s="27" t="n">
        <f aca="false">IF(COUNT(Sorgo!$E55:$Z55)=0,0,MAX(0,IF((AP$6-$E$3)&lt;1,0,IFERROR(LOOKUP(2,1/(Sorgo!$E55:INDEX(Sorgo!$E55:$Z55,MIN(AP$6-$E$3,22))&lt;&gt;""),Sorgo!$E55:INDEX(Sorgo!$E55:$Z55,MIN(AP$6-$E$3,22))),0))-IF($G$2,0,IF((AP$6-$G$3)&lt;1,0,IFERROR(LOOKUP(2,1/(Sorgo!$E55:INDEX(Sorgo!$E55:$Z55,MIN(AP$6-$G$3,22))&lt;&gt;""),Sorgo!$E55:INDEX(Sorgo!$E55:$Z55,MIN(AP$6-$G$3,22))),0)))))</f>
        <v>0</v>
      </c>
      <c r="AQ57" s="27" t="n">
        <f aca="false">IF(COUNT(Sorgo!$E55:$Z55)=0,0,MAX(0,IF((AQ$6-$E$3)&lt;1,0,IFERROR(LOOKUP(2,1/(Sorgo!$E55:INDEX(Sorgo!$E55:$Z55,MIN(AQ$6-$E$3,22))&lt;&gt;""),Sorgo!$E55:INDEX(Sorgo!$E55:$Z55,MIN(AQ$6-$E$3,22))),0))-IF($G$2,0,IF((AQ$6-$G$3)&lt;1,0,IFERROR(LOOKUP(2,1/(Sorgo!$E55:INDEX(Sorgo!$E55:$Z55,MIN(AQ$6-$G$3,22))&lt;&gt;""),Sorgo!$E55:INDEX(Sorgo!$E55:$Z55,MIN(AQ$6-$G$3,22))),0)))))</f>
        <v>0</v>
      </c>
      <c r="AR57" s="27" t="n">
        <f aca="false">IF(COUNT(Sorgo!$E55:$Z55)=0,0,MAX(0,IF((AR$6-$E$3)&lt;1,0,IFERROR(LOOKUP(2,1/(Sorgo!$E55:INDEX(Sorgo!$E55:$Z55,MIN(AR$6-$E$3,22))&lt;&gt;""),Sorgo!$E55:INDEX(Sorgo!$E55:$Z55,MIN(AR$6-$E$3,22))),0))-IF($G$2,0,IF((AR$6-$G$3)&lt;1,0,IFERROR(LOOKUP(2,1/(Sorgo!$E55:INDEX(Sorgo!$E55:$Z55,MIN(AR$6-$G$3,22))&lt;&gt;""),Sorgo!$E55:INDEX(Sorgo!$E55:$Z55,MIN(AR$6-$G$3,22))),0)))))</f>
        <v>0</v>
      </c>
      <c r="AS57" s="27" t="n">
        <f aca="false">IF(COUNT(Sorgo!$E55:$Z55)=0,0,MAX(0,IF((AS$6-$E$3)&lt;1,0,IFERROR(LOOKUP(2,1/(Sorgo!$E55:INDEX(Sorgo!$E55:$Z55,MIN(AS$6-$E$3,22))&lt;&gt;""),Sorgo!$E55:INDEX(Sorgo!$E55:$Z55,MIN(AS$6-$E$3,22))),0))-IF($G$2,0,IF((AS$6-$G$3)&lt;1,0,IFERROR(LOOKUP(2,1/(Sorgo!$E55:INDEX(Sorgo!$E55:$Z55,MIN(AS$6-$G$3,22))&lt;&gt;""),Sorgo!$E55:INDEX(Sorgo!$E55:$Z55,MIN(AS$6-$G$3,22))),0)))))</f>
        <v>0</v>
      </c>
      <c r="AT57" s="27" t="n">
        <f aca="false">IF(COUNT(Sorgo!$E55:$Z55)=0,0,MAX(0,IF((AT$6-$E$3)&lt;1,0,IFERROR(LOOKUP(2,1/(Sorgo!$E55:INDEX(Sorgo!$E55:$Z55,MIN(AT$6-$E$3,22))&lt;&gt;""),Sorgo!$E55:INDEX(Sorgo!$E55:$Z55,MIN(AT$6-$E$3,22))),0))-IF($G$2,0,IF((AT$6-$G$3)&lt;1,0,IFERROR(LOOKUP(2,1/(Sorgo!$E55:INDEX(Sorgo!$E55:$Z55,MIN(AT$6-$G$3,22))&lt;&gt;""),Sorgo!$E55:INDEX(Sorgo!$E55:$Z55,MIN(AT$6-$G$3,22))),0)))))</f>
        <v>0</v>
      </c>
      <c r="AU57" s="27" t="n">
        <f aca="false">IF(COUNT(Sorgo!$E55:$Z55)=0,0,MAX(0,IF((AU$6-$E$3)&lt;1,0,IFERROR(LOOKUP(2,1/(Sorgo!$E55:INDEX(Sorgo!$E55:$Z55,MIN(AU$6-$E$3,22))&lt;&gt;""),Sorgo!$E55:INDEX(Sorgo!$E55:$Z55,MIN(AU$6-$E$3,22))),0))-IF($G$2,0,IF((AU$6-$G$3)&lt;1,0,IFERROR(LOOKUP(2,1/(Sorgo!$E55:INDEX(Sorgo!$E55:$Z55,MIN(AU$6-$G$3,22))&lt;&gt;""),Sorgo!$E55:INDEX(Sorgo!$E55:$Z55,MIN(AU$6-$G$3,22))),0)))))</f>
        <v>0</v>
      </c>
      <c r="AV57" s="27" t="n">
        <f aca="false">IF(COUNT(Sorgo!$E55:$Z55)=0,0,MAX(0,IF((AV$6-$E$3)&lt;1,0,IFERROR(LOOKUP(2,1/(Sorgo!$E55:INDEX(Sorgo!$E55:$Z55,MIN(AV$6-$E$3,22))&lt;&gt;""),Sorgo!$E55:INDEX(Sorgo!$E55:$Z55,MIN(AV$6-$E$3,22))),0))-IF($G$2,0,IF((AV$6-$G$3)&lt;1,0,IFERROR(LOOKUP(2,1/(Sorgo!$E55:INDEX(Sorgo!$E55:$Z55,MIN(AV$6-$G$3,22))&lt;&gt;""),Sorgo!$E55:INDEX(Sorgo!$E55:$Z55,MIN(AV$6-$G$3,22))),0)))))</f>
        <v>0</v>
      </c>
      <c r="AW57" s="27" t="n">
        <f aca="false">IF(COUNT(Sorgo!$E55:$Z55)=0,0,MAX(0,IF((AW$6-$E$3)&lt;1,0,IFERROR(LOOKUP(2,1/(Sorgo!$E55:INDEX(Sorgo!$E55:$Z55,MIN(AW$6-$E$3,22))&lt;&gt;""),Sorgo!$E55:INDEX(Sorgo!$E55:$Z55,MIN(AW$6-$E$3,22))),0))-IF($G$2,0,IF((AW$6-$G$3)&lt;1,0,IFERROR(LOOKUP(2,1/(Sorgo!$E55:INDEX(Sorgo!$E55:$Z55,MIN(AW$6-$G$3,22))&lt;&gt;""),Sorgo!$E55:INDEX(Sorgo!$E55:$Z55,MIN(AW$6-$G$3,22))),0)))))</f>
        <v>0</v>
      </c>
      <c r="AX57" s="27" t="n">
        <f aca="false">IF(COUNT(Sorgo!$E55:$Z55)=0,0,MAX(0,IF((AX$6-$E$3)&lt;1,0,IFERROR(LOOKUP(2,1/(Sorgo!$E55:INDEX(Sorgo!$E55:$Z55,MIN(AX$6-$E$3,22))&lt;&gt;""),Sorgo!$E55:INDEX(Sorgo!$E55:$Z55,MIN(AX$6-$E$3,22))),0))-IF($G$2,0,IF((AX$6-$G$3)&lt;1,0,IFERROR(LOOKUP(2,1/(Sorgo!$E55:INDEX(Sorgo!$E55:$Z55,MIN(AX$6-$G$3,22))&lt;&gt;""),Sorgo!$E55:INDEX(Sorgo!$E55:$Z55,MIN(AX$6-$G$3,22))),0)))))</f>
        <v>0</v>
      </c>
      <c r="AY57" s="27" t="n">
        <f aca="false">IF(COUNT(Sorgo!$E55:$Z55)=0,0,MAX(0,IF((AY$6-$E$3)&lt;1,0,IFERROR(LOOKUP(2,1/(Sorgo!$E55:INDEX(Sorgo!$E55:$Z55,MIN(AY$6-$E$3,22))&lt;&gt;""),Sorgo!$E55:INDEX(Sorgo!$E55:$Z55,MIN(AY$6-$E$3,22))),0))-IF($G$2,0,IF((AY$6-$G$3)&lt;1,0,IFERROR(LOOKUP(2,1/(Sorgo!$E55:INDEX(Sorgo!$E55:$Z55,MIN(AY$6-$G$3,22))&lt;&gt;""),Sorgo!$E55:INDEX(Sorgo!$E55:$Z55,MIN(AY$6-$G$3,22))),0)))))</f>
        <v>0</v>
      </c>
      <c r="AZ57" s="27" t="n">
        <f aca="false">IF(COUNT(Sorgo!$E55:$Z55)=0,0,MAX(0,IF((AZ$6-$E$3)&lt;1,0,IFERROR(LOOKUP(2,1/(Sorgo!$E55:INDEX(Sorgo!$E55:$Z55,MIN(AZ$6-$E$3,22))&lt;&gt;""),Sorgo!$E55:INDEX(Sorgo!$E55:$Z55,MIN(AZ$6-$E$3,22))),0))-IF($G$2,0,IF((AZ$6-$G$3)&lt;1,0,IFERROR(LOOKUP(2,1/(Sorgo!$E55:INDEX(Sorgo!$E55:$Z55,MIN(AZ$6-$G$3,22))&lt;&gt;""),Sorgo!$E55:INDEX(Sorgo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IF(COUNT(Sorgo!$E56:$Z56)&gt;0,N(Sorgo!$D56),0)</f>
        <v>0</v>
      </c>
      <c r="E58" s="27" t="n">
        <f aca="false">IF(COUNT(Sorgo!$E56:$Z56)=0,0,MAX(0,IF((E$6-$E$3)&lt;1,0,IFERROR(LOOKUP(2,1/(Sorgo!$E56:INDEX(Sorgo!$E56:$Z56,MIN(E$6-$E$3,22))&lt;&gt;""),Sorgo!$E56:INDEX(Sorgo!$E56:$Z56,MIN(E$6-$E$3,22))),0))-IF($G$2,0,IF((E$6-$G$3)&lt;1,0,IFERROR(LOOKUP(2,1/(Sorgo!$E56:INDEX(Sorgo!$E56:$Z56,MIN(E$6-$G$3,22))&lt;&gt;""),Sorgo!$E56:INDEX(Sorgo!$E56:$Z56,MIN(E$6-$G$3,22))),0)))))</f>
        <v>0</v>
      </c>
      <c r="F58" s="27" t="n">
        <f aca="false">IF(COUNT(Sorgo!$E56:$Z56)=0,0,MAX(0,IF((F$6-$E$3)&lt;1,0,IFERROR(LOOKUP(2,1/(Sorgo!$E56:INDEX(Sorgo!$E56:$Z56,MIN(F$6-$E$3,22))&lt;&gt;""),Sorgo!$E56:INDEX(Sorgo!$E56:$Z56,MIN(F$6-$E$3,22))),0))-IF($G$2,0,IF((F$6-$G$3)&lt;1,0,IFERROR(LOOKUP(2,1/(Sorgo!$E56:INDEX(Sorgo!$E56:$Z56,MIN(F$6-$G$3,22))&lt;&gt;""),Sorgo!$E56:INDEX(Sorgo!$E56:$Z56,MIN(F$6-$G$3,22))),0)))))</f>
        <v>0</v>
      </c>
      <c r="G58" s="27" t="n">
        <f aca="false">IF(COUNT(Sorgo!$E56:$Z56)=0,0,MAX(0,IF((G$6-$E$3)&lt;1,0,IFERROR(LOOKUP(2,1/(Sorgo!$E56:INDEX(Sorgo!$E56:$Z56,MIN(G$6-$E$3,22))&lt;&gt;""),Sorgo!$E56:INDEX(Sorgo!$E56:$Z56,MIN(G$6-$E$3,22))),0))-IF($G$2,0,IF((G$6-$G$3)&lt;1,0,IFERROR(LOOKUP(2,1/(Sorgo!$E56:INDEX(Sorgo!$E56:$Z56,MIN(G$6-$G$3,22))&lt;&gt;""),Sorgo!$E56:INDEX(Sorgo!$E56:$Z56,MIN(G$6-$G$3,22))),0)))))</f>
        <v>0</v>
      </c>
      <c r="H58" s="27" t="n">
        <f aca="false">IF(COUNT(Sorgo!$E56:$Z56)=0,0,MAX(0,IF((H$6-$E$3)&lt;1,0,IFERROR(LOOKUP(2,1/(Sorgo!$E56:INDEX(Sorgo!$E56:$Z56,MIN(H$6-$E$3,22))&lt;&gt;""),Sorgo!$E56:INDEX(Sorgo!$E56:$Z56,MIN(H$6-$E$3,22))),0))-IF($G$2,0,IF((H$6-$G$3)&lt;1,0,IFERROR(LOOKUP(2,1/(Sorgo!$E56:INDEX(Sorgo!$E56:$Z56,MIN(H$6-$G$3,22))&lt;&gt;""),Sorgo!$E56:INDEX(Sorgo!$E56:$Z56,MIN(H$6-$G$3,22))),0)))))</f>
        <v>0</v>
      </c>
      <c r="I58" s="27" t="n">
        <f aca="false">IF(COUNT(Sorgo!$E56:$Z56)=0,0,MAX(0,IF((I$6-$E$3)&lt;1,0,IFERROR(LOOKUP(2,1/(Sorgo!$E56:INDEX(Sorgo!$E56:$Z56,MIN(I$6-$E$3,22))&lt;&gt;""),Sorgo!$E56:INDEX(Sorgo!$E56:$Z56,MIN(I$6-$E$3,22))),0))-IF($G$2,0,IF((I$6-$G$3)&lt;1,0,IFERROR(LOOKUP(2,1/(Sorgo!$E56:INDEX(Sorgo!$E56:$Z56,MIN(I$6-$G$3,22))&lt;&gt;""),Sorgo!$E56:INDEX(Sorgo!$E56:$Z56,MIN(I$6-$G$3,22))),0)))))</f>
        <v>0</v>
      </c>
      <c r="J58" s="27" t="n">
        <f aca="false">IF(COUNT(Sorgo!$E56:$Z56)=0,0,MAX(0,IF((J$6-$E$3)&lt;1,0,IFERROR(LOOKUP(2,1/(Sorgo!$E56:INDEX(Sorgo!$E56:$Z56,MIN(J$6-$E$3,22))&lt;&gt;""),Sorgo!$E56:INDEX(Sorgo!$E56:$Z56,MIN(J$6-$E$3,22))),0))-IF($G$2,0,IF((J$6-$G$3)&lt;1,0,IFERROR(LOOKUP(2,1/(Sorgo!$E56:INDEX(Sorgo!$E56:$Z56,MIN(J$6-$G$3,22))&lt;&gt;""),Sorgo!$E56:INDEX(Sorgo!$E56:$Z56,MIN(J$6-$G$3,22))),0)))))</f>
        <v>0</v>
      </c>
      <c r="K58" s="27" t="n">
        <f aca="false">IF(COUNT(Sorgo!$E56:$Z56)=0,0,MAX(0,IF((K$6-$E$3)&lt;1,0,IFERROR(LOOKUP(2,1/(Sorgo!$E56:INDEX(Sorgo!$E56:$Z56,MIN(K$6-$E$3,22))&lt;&gt;""),Sorgo!$E56:INDEX(Sorgo!$E56:$Z56,MIN(K$6-$E$3,22))),0))-IF($G$2,0,IF((K$6-$G$3)&lt;1,0,IFERROR(LOOKUP(2,1/(Sorgo!$E56:INDEX(Sorgo!$E56:$Z56,MIN(K$6-$G$3,22))&lt;&gt;""),Sorgo!$E56:INDEX(Sorgo!$E56:$Z56,MIN(K$6-$G$3,22))),0)))))</f>
        <v>0</v>
      </c>
      <c r="L58" s="27" t="n">
        <f aca="false">IF(COUNT(Sorgo!$E56:$Z56)=0,0,MAX(0,IF((L$6-$E$3)&lt;1,0,IFERROR(LOOKUP(2,1/(Sorgo!$E56:INDEX(Sorgo!$E56:$Z56,MIN(L$6-$E$3,22))&lt;&gt;""),Sorgo!$E56:INDEX(Sorgo!$E56:$Z56,MIN(L$6-$E$3,22))),0))-IF($G$2,0,IF((L$6-$G$3)&lt;1,0,IFERROR(LOOKUP(2,1/(Sorgo!$E56:INDEX(Sorgo!$E56:$Z56,MIN(L$6-$G$3,22))&lt;&gt;""),Sorgo!$E56:INDEX(Sorgo!$E56:$Z56,MIN(L$6-$G$3,22))),0)))))</f>
        <v>0</v>
      </c>
      <c r="M58" s="27" t="n">
        <f aca="false">IF(COUNT(Sorgo!$E56:$Z56)=0,0,MAX(0,IF((M$6-$E$3)&lt;1,0,IFERROR(LOOKUP(2,1/(Sorgo!$E56:INDEX(Sorgo!$E56:$Z56,MIN(M$6-$E$3,22))&lt;&gt;""),Sorgo!$E56:INDEX(Sorgo!$E56:$Z56,MIN(M$6-$E$3,22))),0))-IF($G$2,0,IF((M$6-$G$3)&lt;1,0,IFERROR(LOOKUP(2,1/(Sorgo!$E56:INDEX(Sorgo!$E56:$Z56,MIN(M$6-$G$3,22))&lt;&gt;""),Sorgo!$E56:INDEX(Sorgo!$E56:$Z56,MIN(M$6-$G$3,22))),0)))))</f>
        <v>0</v>
      </c>
      <c r="N58" s="27" t="n">
        <f aca="false">IF(COUNT(Sorgo!$E56:$Z56)=0,0,MAX(0,IF((N$6-$E$3)&lt;1,0,IFERROR(LOOKUP(2,1/(Sorgo!$E56:INDEX(Sorgo!$E56:$Z56,MIN(N$6-$E$3,22))&lt;&gt;""),Sorgo!$E56:INDEX(Sorgo!$E56:$Z56,MIN(N$6-$E$3,22))),0))-IF($G$2,0,IF((N$6-$G$3)&lt;1,0,IFERROR(LOOKUP(2,1/(Sorgo!$E56:INDEX(Sorgo!$E56:$Z56,MIN(N$6-$G$3,22))&lt;&gt;""),Sorgo!$E56:INDEX(Sorgo!$E56:$Z56,MIN(N$6-$G$3,22))),0)))))</f>
        <v>0</v>
      </c>
      <c r="O58" s="27" t="n">
        <f aca="false">IF(COUNT(Sorgo!$E56:$Z56)=0,0,MAX(0,IF((O$6-$E$3)&lt;1,0,IFERROR(LOOKUP(2,1/(Sorgo!$E56:INDEX(Sorgo!$E56:$Z56,MIN(O$6-$E$3,22))&lt;&gt;""),Sorgo!$E56:INDEX(Sorgo!$E56:$Z56,MIN(O$6-$E$3,22))),0))-IF($G$2,0,IF((O$6-$G$3)&lt;1,0,IFERROR(LOOKUP(2,1/(Sorgo!$E56:INDEX(Sorgo!$E56:$Z56,MIN(O$6-$G$3,22))&lt;&gt;""),Sorgo!$E56:INDEX(Sorgo!$E56:$Z56,MIN(O$6-$G$3,22))),0)))))</f>
        <v>0</v>
      </c>
      <c r="P58" s="27" t="n">
        <f aca="false">IF(COUNT(Sorgo!$E56:$Z56)=0,0,MAX(0,IF((P$6-$E$3)&lt;1,0,IFERROR(LOOKUP(2,1/(Sorgo!$E56:INDEX(Sorgo!$E56:$Z56,MIN(P$6-$E$3,22))&lt;&gt;""),Sorgo!$E56:INDEX(Sorgo!$E56:$Z56,MIN(P$6-$E$3,22))),0))-IF($G$2,0,IF((P$6-$G$3)&lt;1,0,IFERROR(LOOKUP(2,1/(Sorgo!$E56:INDEX(Sorgo!$E56:$Z56,MIN(P$6-$G$3,22))&lt;&gt;""),Sorgo!$E56:INDEX(Sorgo!$E56:$Z56,MIN(P$6-$G$3,22))),0)))))</f>
        <v>0</v>
      </c>
      <c r="Q58" s="27" t="n">
        <f aca="false">IF(COUNT(Sorgo!$E56:$Z56)=0,0,MAX(0,IF((Q$6-$E$3)&lt;1,0,IFERROR(LOOKUP(2,1/(Sorgo!$E56:INDEX(Sorgo!$E56:$Z56,MIN(Q$6-$E$3,22))&lt;&gt;""),Sorgo!$E56:INDEX(Sorgo!$E56:$Z56,MIN(Q$6-$E$3,22))),0))-IF($G$2,0,IF((Q$6-$G$3)&lt;1,0,IFERROR(LOOKUP(2,1/(Sorgo!$E56:INDEX(Sorgo!$E56:$Z56,MIN(Q$6-$G$3,22))&lt;&gt;""),Sorgo!$E56:INDEX(Sorgo!$E56:$Z56,MIN(Q$6-$G$3,22))),0)))))</f>
        <v>0</v>
      </c>
      <c r="R58" s="27" t="n">
        <f aca="false">IF(COUNT(Sorgo!$E56:$Z56)=0,0,MAX(0,IF((R$6-$E$3)&lt;1,0,IFERROR(LOOKUP(2,1/(Sorgo!$E56:INDEX(Sorgo!$E56:$Z56,MIN(R$6-$E$3,22))&lt;&gt;""),Sorgo!$E56:INDEX(Sorgo!$E56:$Z56,MIN(R$6-$E$3,22))),0))-IF($G$2,0,IF((R$6-$G$3)&lt;1,0,IFERROR(LOOKUP(2,1/(Sorgo!$E56:INDEX(Sorgo!$E56:$Z56,MIN(R$6-$G$3,22))&lt;&gt;""),Sorgo!$E56:INDEX(Sorgo!$E56:$Z56,MIN(R$6-$G$3,22))),0)))))</f>
        <v>0</v>
      </c>
      <c r="S58" s="27" t="n">
        <f aca="false">IF(COUNT(Sorgo!$E56:$Z56)=0,0,MAX(0,IF((S$6-$E$3)&lt;1,0,IFERROR(LOOKUP(2,1/(Sorgo!$E56:INDEX(Sorgo!$E56:$Z56,MIN(S$6-$E$3,22))&lt;&gt;""),Sorgo!$E56:INDEX(Sorgo!$E56:$Z56,MIN(S$6-$E$3,22))),0))-IF($G$2,0,IF((S$6-$G$3)&lt;1,0,IFERROR(LOOKUP(2,1/(Sorgo!$E56:INDEX(Sorgo!$E56:$Z56,MIN(S$6-$G$3,22))&lt;&gt;""),Sorgo!$E56:INDEX(Sorgo!$E56:$Z56,MIN(S$6-$G$3,22))),0)))))</f>
        <v>0</v>
      </c>
      <c r="T58" s="27" t="n">
        <f aca="false">IF(COUNT(Sorgo!$E56:$Z56)=0,0,MAX(0,IF((T$6-$E$3)&lt;1,0,IFERROR(LOOKUP(2,1/(Sorgo!$E56:INDEX(Sorgo!$E56:$Z56,MIN(T$6-$E$3,22))&lt;&gt;""),Sorgo!$E56:INDEX(Sorgo!$E56:$Z56,MIN(T$6-$E$3,22))),0))-IF($G$2,0,IF((T$6-$G$3)&lt;1,0,IFERROR(LOOKUP(2,1/(Sorgo!$E56:INDEX(Sorgo!$E56:$Z56,MIN(T$6-$G$3,22))&lt;&gt;""),Sorgo!$E56:INDEX(Sorgo!$E56:$Z56,MIN(T$6-$G$3,22))),0)))))</f>
        <v>0</v>
      </c>
      <c r="U58" s="27" t="n">
        <f aca="false">IF(COUNT(Sorgo!$E56:$Z56)=0,0,MAX(0,IF((U$6-$E$3)&lt;1,0,IFERROR(LOOKUP(2,1/(Sorgo!$E56:INDEX(Sorgo!$E56:$Z56,MIN(U$6-$E$3,22))&lt;&gt;""),Sorgo!$E56:INDEX(Sorgo!$E56:$Z56,MIN(U$6-$E$3,22))),0))-IF($G$2,0,IF((U$6-$G$3)&lt;1,0,IFERROR(LOOKUP(2,1/(Sorgo!$E56:INDEX(Sorgo!$E56:$Z56,MIN(U$6-$G$3,22))&lt;&gt;""),Sorgo!$E56:INDEX(Sorgo!$E56:$Z56,MIN(U$6-$G$3,22))),0)))))</f>
        <v>0</v>
      </c>
      <c r="V58" s="27" t="n">
        <f aca="false">IF(COUNT(Sorgo!$E56:$Z56)=0,0,MAX(0,IF((V$6-$E$3)&lt;1,0,IFERROR(LOOKUP(2,1/(Sorgo!$E56:INDEX(Sorgo!$E56:$Z56,MIN(V$6-$E$3,22))&lt;&gt;""),Sorgo!$E56:INDEX(Sorgo!$E56:$Z56,MIN(V$6-$E$3,22))),0))-IF($G$2,0,IF((V$6-$G$3)&lt;1,0,IFERROR(LOOKUP(2,1/(Sorgo!$E56:INDEX(Sorgo!$E56:$Z56,MIN(V$6-$G$3,22))&lt;&gt;""),Sorgo!$E56:INDEX(Sorgo!$E56:$Z56,MIN(V$6-$G$3,22))),0)))))</f>
        <v>0</v>
      </c>
      <c r="W58" s="27" t="n">
        <f aca="false">IF(COUNT(Sorgo!$E56:$Z56)=0,0,MAX(0,IF((W$6-$E$3)&lt;1,0,IFERROR(LOOKUP(2,1/(Sorgo!$E56:INDEX(Sorgo!$E56:$Z56,MIN(W$6-$E$3,22))&lt;&gt;""),Sorgo!$E56:INDEX(Sorgo!$E56:$Z56,MIN(W$6-$E$3,22))),0))-IF($G$2,0,IF((W$6-$G$3)&lt;1,0,IFERROR(LOOKUP(2,1/(Sorgo!$E56:INDEX(Sorgo!$E56:$Z56,MIN(W$6-$G$3,22))&lt;&gt;""),Sorgo!$E56:INDEX(Sorgo!$E56:$Z56,MIN(W$6-$G$3,22))),0)))))</f>
        <v>0</v>
      </c>
      <c r="X58" s="27" t="n">
        <f aca="false">IF(COUNT(Sorgo!$E56:$Z56)=0,0,MAX(0,IF((X$6-$E$3)&lt;1,0,IFERROR(LOOKUP(2,1/(Sorgo!$E56:INDEX(Sorgo!$E56:$Z56,MIN(X$6-$E$3,22))&lt;&gt;""),Sorgo!$E56:INDEX(Sorgo!$E56:$Z56,MIN(X$6-$E$3,22))),0))-IF($G$2,0,IF((X$6-$G$3)&lt;1,0,IFERROR(LOOKUP(2,1/(Sorgo!$E56:INDEX(Sorgo!$E56:$Z56,MIN(X$6-$G$3,22))&lt;&gt;""),Sorgo!$E56:INDEX(Sorgo!$E56:$Z56,MIN(X$6-$G$3,22))),0)))))</f>
        <v>0</v>
      </c>
      <c r="Y58" s="27" t="n">
        <f aca="false">IF(COUNT(Sorgo!$E56:$Z56)=0,0,MAX(0,IF((Y$6-$E$3)&lt;1,0,IFERROR(LOOKUP(2,1/(Sorgo!$E56:INDEX(Sorgo!$E56:$Z56,MIN(Y$6-$E$3,22))&lt;&gt;""),Sorgo!$E56:INDEX(Sorgo!$E56:$Z56,MIN(Y$6-$E$3,22))),0))-IF($G$2,0,IF((Y$6-$G$3)&lt;1,0,IFERROR(LOOKUP(2,1/(Sorgo!$E56:INDEX(Sorgo!$E56:$Z56,MIN(Y$6-$G$3,22))&lt;&gt;""),Sorgo!$E56:INDEX(Sorgo!$E56:$Z56,MIN(Y$6-$G$3,22))),0)))))</f>
        <v>0</v>
      </c>
      <c r="Z58" s="27" t="n">
        <f aca="false">IF(COUNT(Sorgo!$E56:$Z56)=0,0,MAX(0,IF((Z$6-$E$3)&lt;1,0,IFERROR(LOOKUP(2,1/(Sorgo!$E56:INDEX(Sorgo!$E56:$Z56,MIN(Z$6-$E$3,22))&lt;&gt;""),Sorgo!$E56:INDEX(Sorgo!$E56:$Z56,MIN(Z$6-$E$3,22))),0))-IF($G$2,0,IF((Z$6-$G$3)&lt;1,0,IFERROR(LOOKUP(2,1/(Sorgo!$E56:INDEX(Sorgo!$E56:$Z56,MIN(Z$6-$G$3,22))&lt;&gt;""),Sorgo!$E56:INDEX(Sorgo!$E56:$Z56,MIN(Z$6-$G$3,22))),0)))))</f>
        <v>0</v>
      </c>
      <c r="AA58" s="27" t="n">
        <f aca="false">IF(COUNT(Sorgo!$E56:$Z56)=0,0,MAX(0,IF((AA$6-$E$3)&lt;1,0,IFERROR(LOOKUP(2,1/(Sorgo!$E56:INDEX(Sorgo!$E56:$Z56,MIN(AA$6-$E$3,22))&lt;&gt;""),Sorgo!$E56:INDEX(Sorgo!$E56:$Z56,MIN(AA$6-$E$3,22))),0))-IF($G$2,0,IF((AA$6-$G$3)&lt;1,0,IFERROR(LOOKUP(2,1/(Sorgo!$E56:INDEX(Sorgo!$E56:$Z56,MIN(AA$6-$G$3,22))&lt;&gt;""),Sorgo!$E56:INDEX(Sorgo!$E56:$Z56,MIN(AA$6-$G$3,22))),0)))))</f>
        <v>0</v>
      </c>
      <c r="AB58" s="27" t="n">
        <f aca="false">IF(COUNT(Sorgo!$E56:$Z56)=0,0,MAX(0,IF((AB$6-$E$3)&lt;1,0,IFERROR(LOOKUP(2,1/(Sorgo!$E56:INDEX(Sorgo!$E56:$Z56,MIN(AB$6-$E$3,22))&lt;&gt;""),Sorgo!$E56:INDEX(Sorgo!$E56:$Z56,MIN(AB$6-$E$3,22))),0))-IF($G$2,0,IF((AB$6-$G$3)&lt;1,0,IFERROR(LOOKUP(2,1/(Sorgo!$E56:INDEX(Sorgo!$E56:$Z56,MIN(AB$6-$G$3,22))&lt;&gt;""),Sorgo!$E56:INDEX(Sorgo!$E56:$Z56,MIN(AB$6-$G$3,22))),0)))))</f>
        <v>0</v>
      </c>
      <c r="AC58" s="27" t="n">
        <f aca="false">IF(COUNT(Sorgo!$E56:$Z56)=0,0,MAX(0,IF((AC$6-$E$3)&lt;1,0,IFERROR(LOOKUP(2,1/(Sorgo!$E56:INDEX(Sorgo!$E56:$Z56,MIN(AC$6-$E$3,22))&lt;&gt;""),Sorgo!$E56:INDEX(Sorgo!$E56:$Z56,MIN(AC$6-$E$3,22))),0))-IF($G$2,0,IF((AC$6-$G$3)&lt;1,0,IFERROR(LOOKUP(2,1/(Sorgo!$E56:INDEX(Sorgo!$E56:$Z56,MIN(AC$6-$G$3,22))&lt;&gt;""),Sorgo!$E56:INDEX(Sorgo!$E56:$Z56,MIN(AC$6-$G$3,22))),0)))))</f>
        <v>0</v>
      </c>
      <c r="AD58" s="27" t="n">
        <f aca="false">IF(COUNT(Sorgo!$E56:$Z56)=0,0,MAX(0,IF((AD$6-$E$3)&lt;1,0,IFERROR(LOOKUP(2,1/(Sorgo!$E56:INDEX(Sorgo!$E56:$Z56,MIN(AD$6-$E$3,22))&lt;&gt;""),Sorgo!$E56:INDEX(Sorgo!$E56:$Z56,MIN(AD$6-$E$3,22))),0))-IF($G$2,0,IF((AD$6-$G$3)&lt;1,0,IFERROR(LOOKUP(2,1/(Sorgo!$E56:INDEX(Sorgo!$E56:$Z56,MIN(AD$6-$G$3,22))&lt;&gt;""),Sorgo!$E56:INDEX(Sorgo!$E56:$Z56,MIN(AD$6-$G$3,22))),0)))))</f>
        <v>0</v>
      </c>
      <c r="AE58" s="27" t="n">
        <f aca="false">IF(COUNT(Sorgo!$E56:$Z56)=0,0,MAX(0,IF((AE$6-$E$3)&lt;1,0,IFERROR(LOOKUP(2,1/(Sorgo!$E56:INDEX(Sorgo!$E56:$Z56,MIN(AE$6-$E$3,22))&lt;&gt;""),Sorgo!$E56:INDEX(Sorgo!$E56:$Z56,MIN(AE$6-$E$3,22))),0))-IF($G$2,0,IF((AE$6-$G$3)&lt;1,0,IFERROR(LOOKUP(2,1/(Sorgo!$E56:INDEX(Sorgo!$E56:$Z56,MIN(AE$6-$G$3,22))&lt;&gt;""),Sorgo!$E56:INDEX(Sorgo!$E56:$Z56,MIN(AE$6-$G$3,22))),0)))))</f>
        <v>0</v>
      </c>
      <c r="AF58" s="27" t="n">
        <f aca="false">IF(COUNT(Sorgo!$E56:$Z56)=0,0,MAX(0,IF((AF$6-$E$3)&lt;1,0,IFERROR(LOOKUP(2,1/(Sorgo!$E56:INDEX(Sorgo!$E56:$Z56,MIN(AF$6-$E$3,22))&lt;&gt;""),Sorgo!$E56:INDEX(Sorgo!$E56:$Z56,MIN(AF$6-$E$3,22))),0))-IF($G$2,0,IF((AF$6-$G$3)&lt;1,0,IFERROR(LOOKUP(2,1/(Sorgo!$E56:INDEX(Sorgo!$E56:$Z56,MIN(AF$6-$G$3,22))&lt;&gt;""),Sorgo!$E56:INDEX(Sorgo!$E56:$Z56,MIN(AF$6-$G$3,22))),0)))))</f>
        <v>0</v>
      </c>
      <c r="AG58" s="27" t="n">
        <f aca="false">IF(COUNT(Sorgo!$E56:$Z56)=0,0,MAX(0,IF((AG$6-$E$3)&lt;1,0,IFERROR(LOOKUP(2,1/(Sorgo!$E56:INDEX(Sorgo!$E56:$Z56,MIN(AG$6-$E$3,22))&lt;&gt;""),Sorgo!$E56:INDEX(Sorgo!$E56:$Z56,MIN(AG$6-$E$3,22))),0))-IF($G$2,0,IF((AG$6-$G$3)&lt;1,0,IFERROR(LOOKUP(2,1/(Sorgo!$E56:INDEX(Sorgo!$E56:$Z56,MIN(AG$6-$G$3,22))&lt;&gt;""),Sorgo!$E56:INDEX(Sorgo!$E56:$Z56,MIN(AG$6-$G$3,22))),0)))))</f>
        <v>0</v>
      </c>
      <c r="AH58" s="27" t="n">
        <f aca="false">IF(COUNT(Sorgo!$E56:$Z56)=0,0,MAX(0,IF((AH$6-$E$3)&lt;1,0,IFERROR(LOOKUP(2,1/(Sorgo!$E56:INDEX(Sorgo!$E56:$Z56,MIN(AH$6-$E$3,22))&lt;&gt;""),Sorgo!$E56:INDEX(Sorgo!$E56:$Z56,MIN(AH$6-$E$3,22))),0))-IF($G$2,0,IF((AH$6-$G$3)&lt;1,0,IFERROR(LOOKUP(2,1/(Sorgo!$E56:INDEX(Sorgo!$E56:$Z56,MIN(AH$6-$G$3,22))&lt;&gt;""),Sorgo!$E56:INDEX(Sorgo!$E56:$Z56,MIN(AH$6-$G$3,22))),0)))))</f>
        <v>0</v>
      </c>
      <c r="AI58" s="27" t="n">
        <f aca="false">IF(COUNT(Sorgo!$E56:$Z56)=0,0,MAX(0,IF((AI$6-$E$3)&lt;1,0,IFERROR(LOOKUP(2,1/(Sorgo!$E56:INDEX(Sorgo!$E56:$Z56,MIN(AI$6-$E$3,22))&lt;&gt;""),Sorgo!$E56:INDEX(Sorgo!$E56:$Z56,MIN(AI$6-$E$3,22))),0))-IF($G$2,0,IF((AI$6-$G$3)&lt;1,0,IFERROR(LOOKUP(2,1/(Sorgo!$E56:INDEX(Sorgo!$E56:$Z56,MIN(AI$6-$G$3,22))&lt;&gt;""),Sorgo!$E56:INDEX(Sorgo!$E56:$Z56,MIN(AI$6-$G$3,22))),0)))))</f>
        <v>0</v>
      </c>
      <c r="AJ58" s="27" t="n">
        <f aca="false">IF(COUNT(Sorgo!$E56:$Z56)=0,0,MAX(0,IF((AJ$6-$E$3)&lt;1,0,IFERROR(LOOKUP(2,1/(Sorgo!$E56:INDEX(Sorgo!$E56:$Z56,MIN(AJ$6-$E$3,22))&lt;&gt;""),Sorgo!$E56:INDEX(Sorgo!$E56:$Z56,MIN(AJ$6-$E$3,22))),0))-IF($G$2,0,IF((AJ$6-$G$3)&lt;1,0,IFERROR(LOOKUP(2,1/(Sorgo!$E56:INDEX(Sorgo!$E56:$Z56,MIN(AJ$6-$G$3,22))&lt;&gt;""),Sorgo!$E56:INDEX(Sorgo!$E56:$Z56,MIN(AJ$6-$G$3,22))),0)))))</f>
        <v>0</v>
      </c>
      <c r="AK58" s="27" t="n">
        <f aca="false">IF(COUNT(Sorgo!$E56:$Z56)=0,0,MAX(0,IF((AK$6-$E$3)&lt;1,0,IFERROR(LOOKUP(2,1/(Sorgo!$E56:INDEX(Sorgo!$E56:$Z56,MIN(AK$6-$E$3,22))&lt;&gt;""),Sorgo!$E56:INDEX(Sorgo!$E56:$Z56,MIN(AK$6-$E$3,22))),0))-IF($G$2,0,IF((AK$6-$G$3)&lt;1,0,IFERROR(LOOKUP(2,1/(Sorgo!$E56:INDEX(Sorgo!$E56:$Z56,MIN(AK$6-$G$3,22))&lt;&gt;""),Sorgo!$E56:INDEX(Sorgo!$E56:$Z56,MIN(AK$6-$G$3,22))),0)))))</f>
        <v>0</v>
      </c>
      <c r="AL58" s="27" t="n">
        <f aca="false">IF(COUNT(Sorgo!$E56:$Z56)=0,0,MAX(0,IF((AL$6-$E$3)&lt;1,0,IFERROR(LOOKUP(2,1/(Sorgo!$E56:INDEX(Sorgo!$E56:$Z56,MIN(AL$6-$E$3,22))&lt;&gt;""),Sorgo!$E56:INDEX(Sorgo!$E56:$Z56,MIN(AL$6-$E$3,22))),0))-IF($G$2,0,IF((AL$6-$G$3)&lt;1,0,IFERROR(LOOKUP(2,1/(Sorgo!$E56:INDEX(Sorgo!$E56:$Z56,MIN(AL$6-$G$3,22))&lt;&gt;""),Sorgo!$E56:INDEX(Sorgo!$E56:$Z56,MIN(AL$6-$G$3,22))),0)))))</f>
        <v>0</v>
      </c>
      <c r="AM58" s="27" t="n">
        <f aca="false">IF(COUNT(Sorgo!$E56:$Z56)=0,0,MAX(0,IF((AM$6-$E$3)&lt;1,0,IFERROR(LOOKUP(2,1/(Sorgo!$E56:INDEX(Sorgo!$E56:$Z56,MIN(AM$6-$E$3,22))&lt;&gt;""),Sorgo!$E56:INDEX(Sorgo!$E56:$Z56,MIN(AM$6-$E$3,22))),0))-IF($G$2,0,IF((AM$6-$G$3)&lt;1,0,IFERROR(LOOKUP(2,1/(Sorgo!$E56:INDEX(Sorgo!$E56:$Z56,MIN(AM$6-$G$3,22))&lt;&gt;""),Sorgo!$E56:INDEX(Sorgo!$E56:$Z56,MIN(AM$6-$G$3,22))),0)))))</f>
        <v>0</v>
      </c>
      <c r="AN58" s="27" t="n">
        <f aca="false">IF(COUNT(Sorgo!$E56:$Z56)=0,0,MAX(0,IF((AN$6-$E$3)&lt;1,0,IFERROR(LOOKUP(2,1/(Sorgo!$E56:INDEX(Sorgo!$E56:$Z56,MIN(AN$6-$E$3,22))&lt;&gt;""),Sorgo!$E56:INDEX(Sorgo!$E56:$Z56,MIN(AN$6-$E$3,22))),0))-IF($G$2,0,IF((AN$6-$G$3)&lt;1,0,IFERROR(LOOKUP(2,1/(Sorgo!$E56:INDEX(Sorgo!$E56:$Z56,MIN(AN$6-$G$3,22))&lt;&gt;""),Sorgo!$E56:INDEX(Sorgo!$E56:$Z56,MIN(AN$6-$G$3,22))),0)))))</f>
        <v>0</v>
      </c>
      <c r="AO58" s="27" t="n">
        <f aca="false">IF(COUNT(Sorgo!$E56:$Z56)=0,0,MAX(0,IF((AO$6-$E$3)&lt;1,0,IFERROR(LOOKUP(2,1/(Sorgo!$E56:INDEX(Sorgo!$E56:$Z56,MIN(AO$6-$E$3,22))&lt;&gt;""),Sorgo!$E56:INDEX(Sorgo!$E56:$Z56,MIN(AO$6-$E$3,22))),0))-IF($G$2,0,IF((AO$6-$G$3)&lt;1,0,IFERROR(LOOKUP(2,1/(Sorgo!$E56:INDEX(Sorgo!$E56:$Z56,MIN(AO$6-$G$3,22))&lt;&gt;""),Sorgo!$E56:INDEX(Sorgo!$E56:$Z56,MIN(AO$6-$G$3,22))),0)))))</f>
        <v>0</v>
      </c>
      <c r="AP58" s="27" t="n">
        <f aca="false">IF(COUNT(Sorgo!$E56:$Z56)=0,0,MAX(0,IF((AP$6-$E$3)&lt;1,0,IFERROR(LOOKUP(2,1/(Sorgo!$E56:INDEX(Sorgo!$E56:$Z56,MIN(AP$6-$E$3,22))&lt;&gt;""),Sorgo!$E56:INDEX(Sorgo!$E56:$Z56,MIN(AP$6-$E$3,22))),0))-IF($G$2,0,IF((AP$6-$G$3)&lt;1,0,IFERROR(LOOKUP(2,1/(Sorgo!$E56:INDEX(Sorgo!$E56:$Z56,MIN(AP$6-$G$3,22))&lt;&gt;""),Sorgo!$E56:INDEX(Sorgo!$E56:$Z56,MIN(AP$6-$G$3,22))),0)))))</f>
        <v>0</v>
      </c>
      <c r="AQ58" s="27" t="n">
        <f aca="false">IF(COUNT(Sorgo!$E56:$Z56)=0,0,MAX(0,IF((AQ$6-$E$3)&lt;1,0,IFERROR(LOOKUP(2,1/(Sorgo!$E56:INDEX(Sorgo!$E56:$Z56,MIN(AQ$6-$E$3,22))&lt;&gt;""),Sorgo!$E56:INDEX(Sorgo!$E56:$Z56,MIN(AQ$6-$E$3,22))),0))-IF($G$2,0,IF((AQ$6-$G$3)&lt;1,0,IFERROR(LOOKUP(2,1/(Sorgo!$E56:INDEX(Sorgo!$E56:$Z56,MIN(AQ$6-$G$3,22))&lt;&gt;""),Sorgo!$E56:INDEX(Sorgo!$E56:$Z56,MIN(AQ$6-$G$3,22))),0)))))</f>
        <v>0</v>
      </c>
      <c r="AR58" s="27" t="n">
        <f aca="false">IF(COUNT(Sorgo!$E56:$Z56)=0,0,MAX(0,IF((AR$6-$E$3)&lt;1,0,IFERROR(LOOKUP(2,1/(Sorgo!$E56:INDEX(Sorgo!$E56:$Z56,MIN(AR$6-$E$3,22))&lt;&gt;""),Sorgo!$E56:INDEX(Sorgo!$E56:$Z56,MIN(AR$6-$E$3,22))),0))-IF($G$2,0,IF((AR$6-$G$3)&lt;1,0,IFERROR(LOOKUP(2,1/(Sorgo!$E56:INDEX(Sorgo!$E56:$Z56,MIN(AR$6-$G$3,22))&lt;&gt;""),Sorgo!$E56:INDEX(Sorgo!$E56:$Z56,MIN(AR$6-$G$3,22))),0)))))</f>
        <v>0</v>
      </c>
      <c r="AS58" s="27" t="n">
        <f aca="false">IF(COUNT(Sorgo!$E56:$Z56)=0,0,MAX(0,IF((AS$6-$E$3)&lt;1,0,IFERROR(LOOKUP(2,1/(Sorgo!$E56:INDEX(Sorgo!$E56:$Z56,MIN(AS$6-$E$3,22))&lt;&gt;""),Sorgo!$E56:INDEX(Sorgo!$E56:$Z56,MIN(AS$6-$E$3,22))),0))-IF($G$2,0,IF((AS$6-$G$3)&lt;1,0,IFERROR(LOOKUP(2,1/(Sorgo!$E56:INDEX(Sorgo!$E56:$Z56,MIN(AS$6-$G$3,22))&lt;&gt;""),Sorgo!$E56:INDEX(Sorgo!$E56:$Z56,MIN(AS$6-$G$3,22))),0)))))</f>
        <v>0</v>
      </c>
      <c r="AT58" s="27" t="n">
        <f aca="false">IF(COUNT(Sorgo!$E56:$Z56)=0,0,MAX(0,IF((AT$6-$E$3)&lt;1,0,IFERROR(LOOKUP(2,1/(Sorgo!$E56:INDEX(Sorgo!$E56:$Z56,MIN(AT$6-$E$3,22))&lt;&gt;""),Sorgo!$E56:INDEX(Sorgo!$E56:$Z56,MIN(AT$6-$E$3,22))),0))-IF($G$2,0,IF((AT$6-$G$3)&lt;1,0,IFERROR(LOOKUP(2,1/(Sorgo!$E56:INDEX(Sorgo!$E56:$Z56,MIN(AT$6-$G$3,22))&lt;&gt;""),Sorgo!$E56:INDEX(Sorgo!$E56:$Z56,MIN(AT$6-$G$3,22))),0)))))</f>
        <v>0</v>
      </c>
      <c r="AU58" s="27" t="n">
        <f aca="false">IF(COUNT(Sorgo!$E56:$Z56)=0,0,MAX(0,IF((AU$6-$E$3)&lt;1,0,IFERROR(LOOKUP(2,1/(Sorgo!$E56:INDEX(Sorgo!$E56:$Z56,MIN(AU$6-$E$3,22))&lt;&gt;""),Sorgo!$E56:INDEX(Sorgo!$E56:$Z56,MIN(AU$6-$E$3,22))),0))-IF($G$2,0,IF((AU$6-$G$3)&lt;1,0,IFERROR(LOOKUP(2,1/(Sorgo!$E56:INDEX(Sorgo!$E56:$Z56,MIN(AU$6-$G$3,22))&lt;&gt;""),Sorgo!$E56:INDEX(Sorgo!$E56:$Z56,MIN(AU$6-$G$3,22))),0)))))</f>
        <v>0</v>
      </c>
      <c r="AV58" s="27" t="n">
        <f aca="false">IF(COUNT(Sorgo!$E56:$Z56)=0,0,MAX(0,IF((AV$6-$E$3)&lt;1,0,IFERROR(LOOKUP(2,1/(Sorgo!$E56:INDEX(Sorgo!$E56:$Z56,MIN(AV$6-$E$3,22))&lt;&gt;""),Sorgo!$E56:INDEX(Sorgo!$E56:$Z56,MIN(AV$6-$E$3,22))),0))-IF($G$2,0,IF((AV$6-$G$3)&lt;1,0,IFERROR(LOOKUP(2,1/(Sorgo!$E56:INDEX(Sorgo!$E56:$Z56,MIN(AV$6-$G$3,22))&lt;&gt;""),Sorgo!$E56:INDEX(Sorgo!$E56:$Z56,MIN(AV$6-$G$3,22))),0)))))</f>
        <v>0</v>
      </c>
      <c r="AW58" s="27" t="n">
        <f aca="false">IF(COUNT(Sorgo!$E56:$Z56)=0,0,MAX(0,IF((AW$6-$E$3)&lt;1,0,IFERROR(LOOKUP(2,1/(Sorgo!$E56:INDEX(Sorgo!$E56:$Z56,MIN(AW$6-$E$3,22))&lt;&gt;""),Sorgo!$E56:INDEX(Sorgo!$E56:$Z56,MIN(AW$6-$E$3,22))),0))-IF($G$2,0,IF((AW$6-$G$3)&lt;1,0,IFERROR(LOOKUP(2,1/(Sorgo!$E56:INDEX(Sorgo!$E56:$Z56,MIN(AW$6-$G$3,22))&lt;&gt;""),Sorgo!$E56:INDEX(Sorgo!$E56:$Z56,MIN(AW$6-$G$3,22))),0)))))</f>
        <v>0</v>
      </c>
      <c r="AX58" s="27" t="n">
        <f aca="false">IF(COUNT(Sorgo!$E56:$Z56)=0,0,MAX(0,IF((AX$6-$E$3)&lt;1,0,IFERROR(LOOKUP(2,1/(Sorgo!$E56:INDEX(Sorgo!$E56:$Z56,MIN(AX$6-$E$3,22))&lt;&gt;""),Sorgo!$E56:INDEX(Sorgo!$E56:$Z56,MIN(AX$6-$E$3,22))),0))-IF($G$2,0,IF((AX$6-$G$3)&lt;1,0,IFERROR(LOOKUP(2,1/(Sorgo!$E56:INDEX(Sorgo!$E56:$Z56,MIN(AX$6-$G$3,22))&lt;&gt;""),Sorgo!$E56:INDEX(Sorgo!$E56:$Z56,MIN(AX$6-$G$3,22))),0)))))</f>
        <v>0</v>
      </c>
      <c r="AY58" s="27" t="n">
        <f aca="false">IF(COUNT(Sorgo!$E56:$Z56)=0,0,MAX(0,IF((AY$6-$E$3)&lt;1,0,IFERROR(LOOKUP(2,1/(Sorgo!$E56:INDEX(Sorgo!$E56:$Z56,MIN(AY$6-$E$3,22))&lt;&gt;""),Sorgo!$E56:INDEX(Sorgo!$E56:$Z56,MIN(AY$6-$E$3,22))),0))-IF($G$2,0,IF((AY$6-$G$3)&lt;1,0,IFERROR(LOOKUP(2,1/(Sorgo!$E56:INDEX(Sorgo!$E56:$Z56,MIN(AY$6-$G$3,22))&lt;&gt;""),Sorgo!$E56:INDEX(Sorgo!$E56:$Z56,MIN(AY$6-$G$3,22))),0)))))</f>
        <v>0</v>
      </c>
      <c r="AZ58" s="27" t="n">
        <f aca="false">IF(COUNT(Sorgo!$E56:$Z56)=0,0,MAX(0,IF((AZ$6-$E$3)&lt;1,0,IFERROR(LOOKUP(2,1/(Sorgo!$E56:INDEX(Sorgo!$E56:$Z56,MIN(AZ$6-$E$3,22))&lt;&gt;""),Sorgo!$E56:INDEX(Sorgo!$E56:$Z56,MIN(AZ$6-$E$3,22))),0))-IF($G$2,0,IF((AZ$6-$G$3)&lt;1,0,IFERROR(LOOKUP(2,1/(Sorgo!$E56:INDEX(Sorgo!$E56:$Z56,MIN(AZ$6-$G$3,22))&lt;&gt;""),Sorgo!$E56:INDEX(Sorgo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IF(COUNT(Sorgo!$E57:$Z57)&gt;0,N(Sorgo!$D57),0)</f>
        <v>0</v>
      </c>
      <c r="E59" s="27" t="n">
        <f aca="false">IF(COUNT(Sorgo!$E57:$Z57)=0,0,MAX(0,IF((E$6-$E$3)&lt;1,0,IFERROR(LOOKUP(2,1/(Sorgo!$E57:INDEX(Sorgo!$E57:$Z57,MIN(E$6-$E$3,22))&lt;&gt;""),Sorgo!$E57:INDEX(Sorgo!$E57:$Z57,MIN(E$6-$E$3,22))),0))-IF($G$2,0,IF((E$6-$G$3)&lt;1,0,IFERROR(LOOKUP(2,1/(Sorgo!$E57:INDEX(Sorgo!$E57:$Z57,MIN(E$6-$G$3,22))&lt;&gt;""),Sorgo!$E57:INDEX(Sorgo!$E57:$Z57,MIN(E$6-$G$3,22))),0)))))</f>
        <v>0</v>
      </c>
      <c r="F59" s="27" t="n">
        <f aca="false">IF(COUNT(Sorgo!$E57:$Z57)=0,0,MAX(0,IF((F$6-$E$3)&lt;1,0,IFERROR(LOOKUP(2,1/(Sorgo!$E57:INDEX(Sorgo!$E57:$Z57,MIN(F$6-$E$3,22))&lt;&gt;""),Sorgo!$E57:INDEX(Sorgo!$E57:$Z57,MIN(F$6-$E$3,22))),0))-IF($G$2,0,IF((F$6-$G$3)&lt;1,0,IFERROR(LOOKUP(2,1/(Sorgo!$E57:INDEX(Sorgo!$E57:$Z57,MIN(F$6-$G$3,22))&lt;&gt;""),Sorgo!$E57:INDEX(Sorgo!$E57:$Z57,MIN(F$6-$G$3,22))),0)))))</f>
        <v>0</v>
      </c>
      <c r="G59" s="27" t="n">
        <f aca="false">IF(COUNT(Sorgo!$E57:$Z57)=0,0,MAX(0,IF((G$6-$E$3)&lt;1,0,IFERROR(LOOKUP(2,1/(Sorgo!$E57:INDEX(Sorgo!$E57:$Z57,MIN(G$6-$E$3,22))&lt;&gt;""),Sorgo!$E57:INDEX(Sorgo!$E57:$Z57,MIN(G$6-$E$3,22))),0))-IF($G$2,0,IF((G$6-$G$3)&lt;1,0,IFERROR(LOOKUP(2,1/(Sorgo!$E57:INDEX(Sorgo!$E57:$Z57,MIN(G$6-$G$3,22))&lt;&gt;""),Sorgo!$E57:INDEX(Sorgo!$E57:$Z57,MIN(G$6-$G$3,22))),0)))))</f>
        <v>0</v>
      </c>
      <c r="H59" s="27" t="n">
        <f aca="false">IF(COUNT(Sorgo!$E57:$Z57)=0,0,MAX(0,IF((H$6-$E$3)&lt;1,0,IFERROR(LOOKUP(2,1/(Sorgo!$E57:INDEX(Sorgo!$E57:$Z57,MIN(H$6-$E$3,22))&lt;&gt;""),Sorgo!$E57:INDEX(Sorgo!$E57:$Z57,MIN(H$6-$E$3,22))),0))-IF($G$2,0,IF((H$6-$G$3)&lt;1,0,IFERROR(LOOKUP(2,1/(Sorgo!$E57:INDEX(Sorgo!$E57:$Z57,MIN(H$6-$G$3,22))&lt;&gt;""),Sorgo!$E57:INDEX(Sorgo!$E57:$Z57,MIN(H$6-$G$3,22))),0)))))</f>
        <v>0</v>
      </c>
      <c r="I59" s="27" t="n">
        <f aca="false">IF(COUNT(Sorgo!$E57:$Z57)=0,0,MAX(0,IF((I$6-$E$3)&lt;1,0,IFERROR(LOOKUP(2,1/(Sorgo!$E57:INDEX(Sorgo!$E57:$Z57,MIN(I$6-$E$3,22))&lt;&gt;""),Sorgo!$E57:INDEX(Sorgo!$E57:$Z57,MIN(I$6-$E$3,22))),0))-IF($G$2,0,IF((I$6-$G$3)&lt;1,0,IFERROR(LOOKUP(2,1/(Sorgo!$E57:INDEX(Sorgo!$E57:$Z57,MIN(I$6-$G$3,22))&lt;&gt;""),Sorgo!$E57:INDEX(Sorgo!$E57:$Z57,MIN(I$6-$G$3,22))),0)))))</f>
        <v>0</v>
      </c>
      <c r="J59" s="27" t="n">
        <f aca="false">IF(COUNT(Sorgo!$E57:$Z57)=0,0,MAX(0,IF((J$6-$E$3)&lt;1,0,IFERROR(LOOKUP(2,1/(Sorgo!$E57:INDEX(Sorgo!$E57:$Z57,MIN(J$6-$E$3,22))&lt;&gt;""),Sorgo!$E57:INDEX(Sorgo!$E57:$Z57,MIN(J$6-$E$3,22))),0))-IF($G$2,0,IF((J$6-$G$3)&lt;1,0,IFERROR(LOOKUP(2,1/(Sorgo!$E57:INDEX(Sorgo!$E57:$Z57,MIN(J$6-$G$3,22))&lt;&gt;""),Sorgo!$E57:INDEX(Sorgo!$E57:$Z57,MIN(J$6-$G$3,22))),0)))))</f>
        <v>0</v>
      </c>
      <c r="K59" s="27" t="n">
        <f aca="false">IF(COUNT(Sorgo!$E57:$Z57)=0,0,MAX(0,IF((K$6-$E$3)&lt;1,0,IFERROR(LOOKUP(2,1/(Sorgo!$E57:INDEX(Sorgo!$E57:$Z57,MIN(K$6-$E$3,22))&lt;&gt;""),Sorgo!$E57:INDEX(Sorgo!$E57:$Z57,MIN(K$6-$E$3,22))),0))-IF($G$2,0,IF((K$6-$G$3)&lt;1,0,IFERROR(LOOKUP(2,1/(Sorgo!$E57:INDEX(Sorgo!$E57:$Z57,MIN(K$6-$G$3,22))&lt;&gt;""),Sorgo!$E57:INDEX(Sorgo!$E57:$Z57,MIN(K$6-$G$3,22))),0)))))</f>
        <v>0</v>
      </c>
      <c r="L59" s="27" t="n">
        <f aca="false">IF(COUNT(Sorgo!$E57:$Z57)=0,0,MAX(0,IF((L$6-$E$3)&lt;1,0,IFERROR(LOOKUP(2,1/(Sorgo!$E57:INDEX(Sorgo!$E57:$Z57,MIN(L$6-$E$3,22))&lt;&gt;""),Sorgo!$E57:INDEX(Sorgo!$E57:$Z57,MIN(L$6-$E$3,22))),0))-IF($G$2,0,IF((L$6-$G$3)&lt;1,0,IFERROR(LOOKUP(2,1/(Sorgo!$E57:INDEX(Sorgo!$E57:$Z57,MIN(L$6-$G$3,22))&lt;&gt;""),Sorgo!$E57:INDEX(Sorgo!$E57:$Z57,MIN(L$6-$G$3,22))),0)))))</f>
        <v>0</v>
      </c>
      <c r="M59" s="27" t="n">
        <f aca="false">IF(COUNT(Sorgo!$E57:$Z57)=0,0,MAX(0,IF((M$6-$E$3)&lt;1,0,IFERROR(LOOKUP(2,1/(Sorgo!$E57:INDEX(Sorgo!$E57:$Z57,MIN(M$6-$E$3,22))&lt;&gt;""),Sorgo!$E57:INDEX(Sorgo!$E57:$Z57,MIN(M$6-$E$3,22))),0))-IF($G$2,0,IF((M$6-$G$3)&lt;1,0,IFERROR(LOOKUP(2,1/(Sorgo!$E57:INDEX(Sorgo!$E57:$Z57,MIN(M$6-$G$3,22))&lt;&gt;""),Sorgo!$E57:INDEX(Sorgo!$E57:$Z57,MIN(M$6-$G$3,22))),0)))))</f>
        <v>0</v>
      </c>
      <c r="N59" s="27" t="n">
        <f aca="false">IF(COUNT(Sorgo!$E57:$Z57)=0,0,MAX(0,IF((N$6-$E$3)&lt;1,0,IFERROR(LOOKUP(2,1/(Sorgo!$E57:INDEX(Sorgo!$E57:$Z57,MIN(N$6-$E$3,22))&lt;&gt;""),Sorgo!$E57:INDEX(Sorgo!$E57:$Z57,MIN(N$6-$E$3,22))),0))-IF($G$2,0,IF((N$6-$G$3)&lt;1,0,IFERROR(LOOKUP(2,1/(Sorgo!$E57:INDEX(Sorgo!$E57:$Z57,MIN(N$6-$G$3,22))&lt;&gt;""),Sorgo!$E57:INDEX(Sorgo!$E57:$Z57,MIN(N$6-$G$3,22))),0)))))</f>
        <v>0</v>
      </c>
      <c r="O59" s="27" t="n">
        <f aca="false">IF(COUNT(Sorgo!$E57:$Z57)=0,0,MAX(0,IF((O$6-$E$3)&lt;1,0,IFERROR(LOOKUP(2,1/(Sorgo!$E57:INDEX(Sorgo!$E57:$Z57,MIN(O$6-$E$3,22))&lt;&gt;""),Sorgo!$E57:INDEX(Sorgo!$E57:$Z57,MIN(O$6-$E$3,22))),0))-IF($G$2,0,IF((O$6-$G$3)&lt;1,0,IFERROR(LOOKUP(2,1/(Sorgo!$E57:INDEX(Sorgo!$E57:$Z57,MIN(O$6-$G$3,22))&lt;&gt;""),Sorgo!$E57:INDEX(Sorgo!$E57:$Z57,MIN(O$6-$G$3,22))),0)))))</f>
        <v>0</v>
      </c>
      <c r="P59" s="27" t="n">
        <f aca="false">IF(COUNT(Sorgo!$E57:$Z57)=0,0,MAX(0,IF((P$6-$E$3)&lt;1,0,IFERROR(LOOKUP(2,1/(Sorgo!$E57:INDEX(Sorgo!$E57:$Z57,MIN(P$6-$E$3,22))&lt;&gt;""),Sorgo!$E57:INDEX(Sorgo!$E57:$Z57,MIN(P$6-$E$3,22))),0))-IF($G$2,0,IF((P$6-$G$3)&lt;1,0,IFERROR(LOOKUP(2,1/(Sorgo!$E57:INDEX(Sorgo!$E57:$Z57,MIN(P$6-$G$3,22))&lt;&gt;""),Sorgo!$E57:INDEX(Sorgo!$E57:$Z57,MIN(P$6-$G$3,22))),0)))))</f>
        <v>0</v>
      </c>
      <c r="Q59" s="27" t="n">
        <f aca="false">IF(COUNT(Sorgo!$E57:$Z57)=0,0,MAX(0,IF((Q$6-$E$3)&lt;1,0,IFERROR(LOOKUP(2,1/(Sorgo!$E57:INDEX(Sorgo!$E57:$Z57,MIN(Q$6-$E$3,22))&lt;&gt;""),Sorgo!$E57:INDEX(Sorgo!$E57:$Z57,MIN(Q$6-$E$3,22))),0))-IF($G$2,0,IF((Q$6-$G$3)&lt;1,0,IFERROR(LOOKUP(2,1/(Sorgo!$E57:INDEX(Sorgo!$E57:$Z57,MIN(Q$6-$G$3,22))&lt;&gt;""),Sorgo!$E57:INDEX(Sorgo!$E57:$Z57,MIN(Q$6-$G$3,22))),0)))))</f>
        <v>0</v>
      </c>
      <c r="R59" s="27" t="n">
        <f aca="false">IF(COUNT(Sorgo!$E57:$Z57)=0,0,MAX(0,IF((R$6-$E$3)&lt;1,0,IFERROR(LOOKUP(2,1/(Sorgo!$E57:INDEX(Sorgo!$E57:$Z57,MIN(R$6-$E$3,22))&lt;&gt;""),Sorgo!$E57:INDEX(Sorgo!$E57:$Z57,MIN(R$6-$E$3,22))),0))-IF($G$2,0,IF((R$6-$G$3)&lt;1,0,IFERROR(LOOKUP(2,1/(Sorgo!$E57:INDEX(Sorgo!$E57:$Z57,MIN(R$6-$G$3,22))&lt;&gt;""),Sorgo!$E57:INDEX(Sorgo!$E57:$Z57,MIN(R$6-$G$3,22))),0)))))</f>
        <v>0</v>
      </c>
      <c r="S59" s="27" t="n">
        <f aca="false">IF(COUNT(Sorgo!$E57:$Z57)=0,0,MAX(0,IF((S$6-$E$3)&lt;1,0,IFERROR(LOOKUP(2,1/(Sorgo!$E57:INDEX(Sorgo!$E57:$Z57,MIN(S$6-$E$3,22))&lt;&gt;""),Sorgo!$E57:INDEX(Sorgo!$E57:$Z57,MIN(S$6-$E$3,22))),0))-IF($G$2,0,IF((S$6-$G$3)&lt;1,0,IFERROR(LOOKUP(2,1/(Sorgo!$E57:INDEX(Sorgo!$E57:$Z57,MIN(S$6-$G$3,22))&lt;&gt;""),Sorgo!$E57:INDEX(Sorgo!$E57:$Z57,MIN(S$6-$G$3,22))),0)))))</f>
        <v>0</v>
      </c>
      <c r="T59" s="27" t="n">
        <f aca="false">IF(COUNT(Sorgo!$E57:$Z57)=0,0,MAX(0,IF((T$6-$E$3)&lt;1,0,IFERROR(LOOKUP(2,1/(Sorgo!$E57:INDEX(Sorgo!$E57:$Z57,MIN(T$6-$E$3,22))&lt;&gt;""),Sorgo!$E57:INDEX(Sorgo!$E57:$Z57,MIN(T$6-$E$3,22))),0))-IF($G$2,0,IF((T$6-$G$3)&lt;1,0,IFERROR(LOOKUP(2,1/(Sorgo!$E57:INDEX(Sorgo!$E57:$Z57,MIN(T$6-$G$3,22))&lt;&gt;""),Sorgo!$E57:INDEX(Sorgo!$E57:$Z57,MIN(T$6-$G$3,22))),0)))))</f>
        <v>0</v>
      </c>
      <c r="U59" s="27" t="n">
        <f aca="false">IF(COUNT(Sorgo!$E57:$Z57)=0,0,MAX(0,IF((U$6-$E$3)&lt;1,0,IFERROR(LOOKUP(2,1/(Sorgo!$E57:INDEX(Sorgo!$E57:$Z57,MIN(U$6-$E$3,22))&lt;&gt;""),Sorgo!$E57:INDEX(Sorgo!$E57:$Z57,MIN(U$6-$E$3,22))),0))-IF($G$2,0,IF((U$6-$G$3)&lt;1,0,IFERROR(LOOKUP(2,1/(Sorgo!$E57:INDEX(Sorgo!$E57:$Z57,MIN(U$6-$G$3,22))&lt;&gt;""),Sorgo!$E57:INDEX(Sorgo!$E57:$Z57,MIN(U$6-$G$3,22))),0)))))</f>
        <v>0</v>
      </c>
      <c r="V59" s="27" t="n">
        <f aca="false">IF(COUNT(Sorgo!$E57:$Z57)=0,0,MAX(0,IF((V$6-$E$3)&lt;1,0,IFERROR(LOOKUP(2,1/(Sorgo!$E57:INDEX(Sorgo!$E57:$Z57,MIN(V$6-$E$3,22))&lt;&gt;""),Sorgo!$E57:INDEX(Sorgo!$E57:$Z57,MIN(V$6-$E$3,22))),0))-IF($G$2,0,IF((V$6-$G$3)&lt;1,0,IFERROR(LOOKUP(2,1/(Sorgo!$E57:INDEX(Sorgo!$E57:$Z57,MIN(V$6-$G$3,22))&lt;&gt;""),Sorgo!$E57:INDEX(Sorgo!$E57:$Z57,MIN(V$6-$G$3,22))),0)))))</f>
        <v>0</v>
      </c>
      <c r="W59" s="27" t="n">
        <f aca="false">IF(COUNT(Sorgo!$E57:$Z57)=0,0,MAX(0,IF((W$6-$E$3)&lt;1,0,IFERROR(LOOKUP(2,1/(Sorgo!$E57:INDEX(Sorgo!$E57:$Z57,MIN(W$6-$E$3,22))&lt;&gt;""),Sorgo!$E57:INDEX(Sorgo!$E57:$Z57,MIN(W$6-$E$3,22))),0))-IF($G$2,0,IF((W$6-$G$3)&lt;1,0,IFERROR(LOOKUP(2,1/(Sorgo!$E57:INDEX(Sorgo!$E57:$Z57,MIN(W$6-$G$3,22))&lt;&gt;""),Sorgo!$E57:INDEX(Sorgo!$E57:$Z57,MIN(W$6-$G$3,22))),0)))))</f>
        <v>0</v>
      </c>
      <c r="X59" s="27" t="n">
        <f aca="false">IF(COUNT(Sorgo!$E57:$Z57)=0,0,MAX(0,IF((X$6-$E$3)&lt;1,0,IFERROR(LOOKUP(2,1/(Sorgo!$E57:INDEX(Sorgo!$E57:$Z57,MIN(X$6-$E$3,22))&lt;&gt;""),Sorgo!$E57:INDEX(Sorgo!$E57:$Z57,MIN(X$6-$E$3,22))),0))-IF($G$2,0,IF((X$6-$G$3)&lt;1,0,IFERROR(LOOKUP(2,1/(Sorgo!$E57:INDEX(Sorgo!$E57:$Z57,MIN(X$6-$G$3,22))&lt;&gt;""),Sorgo!$E57:INDEX(Sorgo!$E57:$Z57,MIN(X$6-$G$3,22))),0)))))</f>
        <v>0</v>
      </c>
      <c r="Y59" s="27" t="n">
        <f aca="false">IF(COUNT(Sorgo!$E57:$Z57)=0,0,MAX(0,IF((Y$6-$E$3)&lt;1,0,IFERROR(LOOKUP(2,1/(Sorgo!$E57:INDEX(Sorgo!$E57:$Z57,MIN(Y$6-$E$3,22))&lt;&gt;""),Sorgo!$E57:INDEX(Sorgo!$E57:$Z57,MIN(Y$6-$E$3,22))),0))-IF($G$2,0,IF((Y$6-$G$3)&lt;1,0,IFERROR(LOOKUP(2,1/(Sorgo!$E57:INDEX(Sorgo!$E57:$Z57,MIN(Y$6-$G$3,22))&lt;&gt;""),Sorgo!$E57:INDEX(Sorgo!$E57:$Z57,MIN(Y$6-$G$3,22))),0)))))</f>
        <v>0</v>
      </c>
      <c r="Z59" s="27" t="n">
        <f aca="false">IF(COUNT(Sorgo!$E57:$Z57)=0,0,MAX(0,IF((Z$6-$E$3)&lt;1,0,IFERROR(LOOKUP(2,1/(Sorgo!$E57:INDEX(Sorgo!$E57:$Z57,MIN(Z$6-$E$3,22))&lt;&gt;""),Sorgo!$E57:INDEX(Sorgo!$E57:$Z57,MIN(Z$6-$E$3,22))),0))-IF($G$2,0,IF((Z$6-$G$3)&lt;1,0,IFERROR(LOOKUP(2,1/(Sorgo!$E57:INDEX(Sorgo!$E57:$Z57,MIN(Z$6-$G$3,22))&lt;&gt;""),Sorgo!$E57:INDEX(Sorgo!$E57:$Z57,MIN(Z$6-$G$3,22))),0)))))</f>
        <v>0</v>
      </c>
      <c r="AA59" s="27" t="n">
        <f aca="false">IF(COUNT(Sorgo!$E57:$Z57)=0,0,MAX(0,IF((AA$6-$E$3)&lt;1,0,IFERROR(LOOKUP(2,1/(Sorgo!$E57:INDEX(Sorgo!$E57:$Z57,MIN(AA$6-$E$3,22))&lt;&gt;""),Sorgo!$E57:INDEX(Sorgo!$E57:$Z57,MIN(AA$6-$E$3,22))),0))-IF($G$2,0,IF((AA$6-$G$3)&lt;1,0,IFERROR(LOOKUP(2,1/(Sorgo!$E57:INDEX(Sorgo!$E57:$Z57,MIN(AA$6-$G$3,22))&lt;&gt;""),Sorgo!$E57:INDEX(Sorgo!$E57:$Z57,MIN(AA$6-$G$3,22))),0)))))</f>
        <v>0</v>
      </c>
      <c r="AB59" s="27" t="n">
        <f aca="false">IF(COUNT(Sorgo!$E57:$Z57)=0,0,MAX(0,IF((AB$6-$E$3)&lt;1,0,IFERROR(LOOKUP(2,1/(Sorgo!$E57:INDEX(Sorgo!$E57:$Z57,MIN(AB$6-$E$3,22))&lt;&gt;""),Sorgo!$E57:INDEX(Sorgo!$E57:$Z57,MIN(AB$6-$E$3,22))),0))-IF($G$2,0,IF((AB$6-$G$3)&lt;1,0,IFERROR(LOOKUP(2,1/(Sorgo!$E57:INDEX(Sorgo!$E57:$Z57,MIN(AB$6-$G$3,22))&lt;&gt;""),Sorgo!$E57:INDEX(Sorgo!$E57:$Z57,MIN(AB$6-$G$3,22))),0)))))</f>
        <v>0</v>
      </c>
      <c r="AC59" s="27" t="n">
        <f aca="false">IF(COUNT(Sorgo!$E57:$Z57)=0,0,MAX(0,IF((AC$6-$E$3)&lt;1,0,IFERROR(LOOKUP(2,1/(Sorgo!$E57:INDEX(Sorgo!$E57:$Z57,MIN(AC$6-$E$3,22))&lt;&gt;""),Sorgo!$E57:INDEX(Sorgo!$E57:$Z57,MIN(AC$6-$E$3,22))),0))-IF($G$2,0,IF((AC$6-$G$3)&lt;1,0,IFERROR(LOOKUP(2,1/(Sorgo!$E57:INDEX(Sorgo!$E57:$Z57,MIN(AC$6-$G$3,22))&lt;&gt;""),Sorgo!$E57:INDEX(Sorgo!$E57:$Z57,MIN(AC$6-$G$3,22))),0)))))</f>
        <v>0</v>
      </c>
      <c r="AD59" s="27" t="n">
        <f aca="false">IF(COUNT(Sorgo!$E57:$Z57)=0,0,MAX(0,IF((AD$6-$E$3)&lt;1,0,IFERROR(LOOKUP(2,1/(Sorgo!$E57:INDEX(Sorgo!$E57:$Z57,MIN(AD$6-$E$3,22))&lt;&gt;""),Sorgo!$E57:INDEX(Sorgo!$E57:$Z57,MIN(AD$6-$E$3,22))),0))-IF($G$2,0,IF((AD$6-$G$3)&lt;1,0,IFERROR(LOOKUP(2,1/(Sorgo!$E57:INDEX(Sorgo!$E57:$Z57,MIN(AD$6-$G$3,22))&lt;&gt;""),Sorgo!$E57:INDEX(Sorgo!$E57:$Z57,MIN(AD$6-$G$3,22))),0)))))</f>
        <v>0</v>
      </c>
      <c r="AE59" s="27" t="n">
        <f aca="false">IF(COUNT(Sorgo!$E57:$Z57)=0,0,MAX(0,IF((AE$6-$E$3)&lt;1,0,IFERROR(LOOKUP(2,1/(Sorgo!$E57:INDEX(Sorgo!$E57:$Z57,MIN(AE$6-$E$3,22))&lt;&gt;""),Sorgo!$E57:INDEX(Sorgo!$E57:$Z57,MIN(AE$6-$E$3,22))),0))-IF($G$2,0,IF((AE$6-$G$3)&lt;1,0,IFERROR(LOOKUP(2,1/(Sorgo!$E57:INDEX(Sorgo!$E57:$Z57,MIN(AE$6-$G$3,22))&lt;&gt;""),Sorgo!$E57:INDEX(Sorgo!$E57:$Z57,MIN(AE$6-$G$3,22))),0)))))</f>
        <v>0</v>
      </c>
      <c r="AF59" s="27" t="n">
        <f aca="false">IF(COUNT(Sorgo!$E57:$Z57)=0,0,MAX(0,IF((AF$6-$E$3)&lt;1,0,IFERROR(LOOKUP(2,1/(Sorgo!$E57:INDEX(Sorgo!$E57:$Z57,MIN(AF$6-$E$3,22))&lt;&gt;""),Sorgo!$E57:INDEX(Sorgo!$E57:$Z57,MIN(AF$6-$E$3,22))),0))-IF($G$2,0,IF((AF$6-$G$3)&lt;1,0,IFERROR(LOOKUP(2,1/(Sorgo!$E57:INDEX(Sorgo!$E57:$Z57,MIN(AF$6-$G$3,22))&lt;&gt;""),Sorgo!$E57:INDEX(Sorgo!$E57:$Z57,MIN(AF$6-$G$3,22))),0)))))</f>
        <v>0</v>
      </c>
      <c r="AG59" s="27" t="n">
        <f aca="false">IF(COUNT(Sorgo!$E57:$Z57)=0,0,MAX(0,IF((AG$6-$E$3)&lt;1,0,IFERROR(LOOKUP(2,1/(Sorgo!$E57:INDEX(Sorgo!$E57:$Z57,MIN(AG$6-$E$3,22))&lt;&gt;""),Sorgo!$E57:INDEX(Sorgo!$E57:$Z57,MIN(AG$6-$E$3,22))),0))-IF($G$2,0,IF((AG$6-$G$3)&lt;1,0,IFERROR(LOOKUP(2,1/(Sorgo!$E57:INDEX(Sorgo!$E57:$Z57,MIN(AG$6-$G$3,22))&lt;&gt;""),Sorgo!$E57:INDEX(Sorgo!$E57:$Z57,MIN(AG$6-$G$3,22))),0)))))</f>
        <v>0</v>
      </c>
      <c r="AH59" s="27" t="n">
        <f aca="false">IF(COUNT(Sorgo!$E57:$Z57)=0,0,MAX(0,IF((AH$6-$E$3)&lt;1,0,IFERROR(LOOKUP(2,1/(Sorgo!$E57:INDEX(Sorgo!$E57:$Z57,MIN(AH$6-$E$3,22))&lt;&gt;""),Sorgo!$E57:INDEX(Sorgo!$E57:$Z57,MIN(AH$6-$E$3,22))),0))-IF($G$2,0,IF((AH$6-$G$3)&lt;1,0,IFERROR(LOOKUP(2,1/(Sorgo!$E57:INDEX(Sorgo!$E57:$Z57,MIN(AH$6-$G$3,22))&lt;&gt;""),Sorgo!$E57:INDEX(Sorgo!$E57:$Z57,MIN(AH$6-$G$3,22))),0)))))</f>
        <v>0</v>
      </c>
      <c r="AI59" s="27" t="n">
        <f aca="false">IF(COUNT(Sorgo!$E57:$Z57)=0,0,MAX(0,IF((AI$6-$E$3)&lt;1,0,IFERROR(LOOKUP(2,1/(Sorgo!$E57:INDEX(Sorgo!$E57:$Z57,MIN(AI$6-$E$3,22))&lt;&gt;""),Sorgo!$E57:INDEX(Sorgo!$E57:$Z57,MIN(AI$6-$E$3,22))),0))-IF($G$2,0,IF((AI$6-$G$3)&lt;1,0,IFERROR(LOOKUP(2,1/(Sorgo!$E57:INDEX(Sorgo!$E57:$Z57,MIN(AI$6-$G$3,22))&lt;&gt;""),Sorgo!$E57:INDEX(Sorgo!$E57:$Z57,MIN(AI$6-$G$3,22))),0)))))</f>
        <v>0</v>
      </c>
      <c r="AJ59" s="27" t="n">
        <f aca="false">IF(COUNT(Sorgo!$E57:$Z57)=0,0,MAX(0,IF((AJ$6-$E$3)&lt;1,0,IFERROR(LOOKUP(2,1/(Sorgo!$E57:INDEX(Sorgo!$E57:$Z57,MIN(AJ$6-$E$3,22))&lt;&gt;""),Sorgo!$E57:INDEX(Sorgo!$E57:$Z57,MIN(AJ$6-$E$3,22))),0))-IF($G$2,0,IF((AJ$6-$G$3)&lt;1,0,IFERROR(LOOKUP(2,1/(Sorgo!$E57:INDEX(Sorgo!$E57:$Z57,MIN(AJ$6-$G$3,22))&lt;&gt;""),Sorgo!$E57:INDEX(Sorgo!$E57:$Z57,MIN(AJ$6-$G$3,22))),0)))))</f>
        <v>0</v>
      </c>
      <c r="AK59" s="27" t="n">
        <f aca="false">IF(COUNT(Sorgo!$E57:$Z57)=0,0,MAX(0,IF((AK$6-$E$3)&lt;1,0,IFERROR(LOOKUP(2,1/(Sorgo!$E57:INDEX(Sorgo!$E57:$Z57,MIN(AK$6-$E$3,22))&lt;&gt;""),Sorgo!$E57:INDEX(Sorgo!$E57:$Z57,MIN(AK$6-$E$3,22))),0))-IF($G$2,0,IF((AK$6-$G$3)&lt;1,0,IFERROR(LOOKUP(2,1/(Sorgo!$E57:INDEX(Sorgo!$E57:$Z57,MIN(AK$6-$G$3,22))&lt;&gt;""),Sorgo!$E57:INDEX(Sorgo!$E57:$Z57,MIN(AK$6-$G$3,22))),0)))))</f>
        <v>0</v>
      </c>
      <c r="AL59" s="27" t="n">
        <f aca="false">IF(COUNT(Sorgo!$E57:$Z57)=0,0,MAX(0,IF((AL$6-$E$3)&lt;1,0,IFERROR(LOOKUP(2,1/(Sorgo!$E57:INDEX(Sorgo!$E57:$Z57,MIN(AL$6-$E$3,22))&lt;&gt;""),Sorgo!$E57:INDEX(Sorgo!$E57:$Z57,MIN(AL$6-$E$3,22))),0))-IF($G$2,0,IF((AL$6-$G$3)&lt;1,0,IFERROR(LOOKUP(2,1/(Sorgo!$E57:INDEX(Sorgo!$E57:$Z57,MIN(AL$6-$G$3,22))&lt;&gt;""),Sorgo!$E57:INDEX(Sorgo!$E57:$Z57,MIN(AL$6-$G$3,22))),0)))))</f>
        <v>0</v>
      </c>
      <c r="AM59" s="27" t="n">
        <f aca="false">IF(COUNT(Sorgo!$E57:$Z57)=0,0,MAX(0,IF((AM$6-$E$3)&lt;1,0,IFERROR(LOOKUP(2,1/(Sorgo!$E57:INDEX(Sorgo!$E57:$Z57,MIN(AM$6-$E$3,22))&lt;&gt;""),Sorgo!$E57:INDEX(Sorgo!$E57:$Z57,MIN(AM$6-$E$3,22))),0))-IF($G$2,0,IF((AM$6-$G$3)&lt;1,0,IFERROR(LOOKUP(2,1/(Sorgo!$E57:INDEX(Sorgo!$E57:$Z57,MIN(AM$6-$G$3,22))&lt;&gt;""),Sorgo!$E57:INDEX(Sorgo!$E57:$Z57,MIN(AM$6-$G$3,22))),0)))))</f>
        <v>0</v>
      </c>
      <c r="AN59" s="27" t="n">
        <f aca="false">IF(COUNT(Sorgo!$E57:$Z57)=0,0,MAX(0,IF((AN$6-$E$3)&lt;1,0,IFERROR(LOOKUP(2,1/(Sorgo!$E57:INDEX(Sorgo!$E57:$Z57,MIN(AN$6-$E$3,22))&lt;&gt;""),Sorgo!$E57:INDEX(Sorgo!$E57:$Z57,MIN(AN$6-$E$3,22))),0))-IF($G$2,0,IF((AN$6-$G$3)&lt;1,0,IFERROR(LOOKUP(2,1/(Sorgo!$E57:INDEX(Sorgo!$E57:$Z57,MIN(AN$6-$G$3,22))&lt;&gt;""),Sorgo!$E57:INDEX(Sorgo!$E57:$Z57,MIN(AN$6-$G$3,22))),0)))))</f>
        <v>0</v>
      </c>
      <c r="AO59" s="27" t="n">
        <f aca="false">IF(COUNT(Sorgo!$E57:$Z57)=0,0,MAX(0,IF((AO$6-$E$3)&lt;1,0,IFERROR(LOOKUP(2,1/(Sorgo!$E57:INDEX(Sorgo!$E57:$Z57,MIN(AO$6-$E$3,22))&lt;&gt;""),Sorgo!$E57:INDEX(Sorgo!$E57:$Z57,MIN(AO$6-$E$3,22))),0))-IF($G$2,0,IF((AO$6-$G$3)&lt;1,0,IFERROR(LOOKUP(2,1/(Sorgo!$E57:INDEX(Sorgo!$E57:$Z57,MIN(AO$6-$G$3,22))&lt;&gt;""),Sorgo!$E57:INDEX(Sorgo!$E57:$Z57,MIN(AO$6-$G$3,22))),0)))))</f>
        <v>0</v>
      </c>
      <c r="AP59" s="27" t="n">
        <f aca="false">IF(COUNT(Sorgo!$E57:$Z57)=0,0,MAX(0,IF((AP$6-$E$3)&lt;1,0,IFERROR(LOOKUP(2,1/(Sorgo!$E57:INDEX(Sorgo!$E57:$Z57,MIN(AP$6-$E$3,22))&lt;&gt;""),Sorgo!$E57:INDEX(Sorgo!$E57:$Z57,MIN(AP$6-$E$3,22))),0))-IF($G$2,0,IF((AP$6-$G$3)&lt;1,0,IFERROR(LOOKUP(2,1/(Sorgo!$E57:INDEX(Sorgo!$E57:$Z57,MIN(AP$6-$G$3,22))&lt;&gt;""),Sorgo!$E57:INDEX(Sorgo!$E57:$Z57,MIN(AP$6-$G$3,22))),0)))))</f>
        <v>0</v>
      </c>
      <c r="AQ59" s="27" t="n">
        <f aca="false">IF(COUNT(Sorgo!$E57:$Z57)=0,0,MAX(0,IF((AQ$6-$E$3)&lt;1,0,IFERROR(LOOKUP(2,1/(Sorgo!$E57:INDEX(Sorgo!$E57:$Z57,MIN(AQ$6-$E$3,22))&lt;&gt;""),Sorgo!$E57:INDEX(Sorgo!$E57:$Z57,MIN(AQ$6-$E$3,22))),0))-IF($G$2,0,IF((AQ$6-$G$3)&lt;1,0,IFERROR(LOOKUP(2,1/(Sorgo!$E57:INDEX(Sorgo!$E57:$Z57,MIN(AQ$6-$G$3,22))&lt;&gt;""),Sorgo!$E57:INDEX(Sorgo!$E57:$Z57,MIN(AQ$6-$G$3,22))),0)))))</f>
        <v>0</v>
      </c>
      <c r="AR59" s="27" t="n">
        <f aca="false">IF(COUNT(Sorgo!$E57:$Z57)=0,0,MAX(0,IF((AR$6-$E$3)&lt;1,0,IFERROR(LOOKUP(2,1/(Sorgo!$E57:INDEX(Sorgo!$E57:$Z57,MIN(AR$6-$E$3,22))&lt;&gt;""),Sorgo!$E57:INDEX(Sorgo!$E57:$Z57,MIN(AR$6-$E$3,22))),0))-IF($G$2,0,IF((AR$6-$G$3)&lt;1,0,IFERROR(LOOKUP(2,1/(Sorgo!$E57:INDEX(Sorgo!$E57:$Z57,MIN(AR$6-$G$3,22))&lt;&gt;""),Sorgo!$E57:INDEX(Sorgo!$E57:$Z57,MIN(AR$6-$G$3,22))),0)))))</f>
        <v>0</v>
      </c>
      <c r="AS59" s="27" t="n">
        <f aca="false">IF(COUNT(Sorgo!$E57:$Z57)=0,0,MAX(0,IF((AS$6-$E$3)&lt;1,0,IFERROR(LOOKUP(2,1/(Sorgo!$E57:INDEX(Sorgo!$E57:$Z57,MIN(AS$6-$E$3,22))&lt;&gt;""),Sorgo!$E57:INDEX(Sorgo!$E57:$Z57,MIN(AS$6-$E$3,22))),0))-IF($G$2,0,IF((AS$6-$G$3)&lt;1,0,IFERROR(LOOKUP(2,1/(Sorgo!$E57:INDEX(Sorgo!$E57:$Z57,MIN(AS$6-$G$3,22))&lt;&gt;""),Sorgo!$E57:INDEX(Sorgo!$E57:$Z57,MIN(AS$6-$G$3,22))),0)))))</f>
        <v>0</v>
      </c>
      <c r="AT59" s="27" t="n">
        <f aca="false">IF(COUNT(Sorgo!$E57:$Z57)=0,0,MAX(0,IF((AT$6-$E$3)&lt;1,0,IFERROR(LOOKUP(2,1/(Sorgo!$E57:INDEX(Sorgo!$E57:$Z57,MIN(AT$6-$E$3,22))&lt;&gt;""),Sorgo!$E57:INDEX(Sorgo!$E57:$Z57,MIN(AT$6-$E$3,22))),0))-IF($G$2,0,IF((AT$6-$G$3)&lt;1,0,IFERROR(LOOKUP(2,1/(Sorgo!$E57:INDEX(Sorgo!$E57:$Z57,MIN(AT$6-$G$3,22))&lt;&gt;""),Sorgo!$E57:INDEX(Sorgo!$E57:$Z57,MIN(AT$6-$G$3,22))),0)))))</f>
        <v>0</v>
      </c>
      <c r="AU59" s="27" t="n">
        <f aca="false">IF(COUNT(Sorgo!$E57:$Z57)=0,0,MAX(0,IF((AU$6-$E$3)&lt;1,0,IFERROR(LOOKUP(2,1/(Sorgo!$E57:INDEX(Sorgo!$E57:$Z57,MIN(AU$6-$E$3,22))&lt;&gt;""),Sorgo!$E57:INDEX(Sorgo!$E57:$Z57,MIN(AU$6-$E$3,22))),0))-IF($G$2,0,IF((AU$6-$G$3)&lt;1,0,IFERROR(LOOKUP(2,1/(Sorgo!$E57:INDEX(Sorgo!$E57:$Z57,MIN(AU$6-$G$3,22))&lt;&gt;""),Sorgo!$E57:INDEX(Sorgo!$E57:$Z57,MIN(AU$6-$G$3,22))),0)))))</f>
        <v>0</v>
      </c>
      <c r="AV59" s="27" t="n">
        <f aca="false">IF(COUNT(Sorgo!$E57:$Z57)=0,0,MAX(0,IF((AV$6-$E$3)&lt;1,0,IFERROR(LOOKUP(2,1/(Sorgo!$E57:INDEX(Sorgo!$E57:$Z57,MIN(AV$6-$E$3,22))&lt;&gt;""),Sorgo!$E57:INDEX(Sorgo!$E57:$Z57,MIN(AV$6-$E$3,22))),0))-IF($G$2,0,IF((AV$6-$G$3)&lt;1,0,IFERROR(LOOKUP(2,1/(Sorgo!$E57:INDEX(Sorgo!$E57:$Z57,MIN(AV$6-$G$3,22))&lt;&gt;""),Sorgo!$E57:INDEX(Sorgo!$E57:$Z57,MIN(AV$6-$G$3,22))),0)))))</f>
        <v>0</v>
      </c>
      <c r="AW59" s="27" t="n">
        <f aca="false">IF(COUNT(Sorgo!$E57:$Z57)=0,0,MAX(0,IF((AW$6-$E$3)&lt;1,0,IFERROR(LOOKUP(2,1/(Sorgo!$E57:INDEX(Sorgo!$E57:$Z57,MIN(AW$6-$E$3,22))&lt;&gt;""),Sorgo!$E57:INDEX(Sorgo!$E57:$Z57,MIN(AW$6-$E$3,22))),0))-IF($G$2,0,IF((AW$6-$G$3)&lt;1,0,IFERROR(LOOKUP(2,1/(Sorgo!$E57:INDEX(Sorgo!$E57:$Z57,MIN(AW$6-$G$3,22))&lt;&gt;""),Sorgo!$E57:INDEX(Sorgo!$E57:$Z57,MIN(AW$6-$G$3,22))),0)))))</f>
        <v>0</v>
      </c>
      <c r="AX59" s="27" t="n">
        <f aca="false">IF(COUNT(Sorgo!$E57:$Z57)=0,0,MAX(0,IF((AX$6-$E$3)&lt;1,0,IFERROR(LOOKUP(2,1/(Sorgo!$E57:INDEX(Sorgo!$E57:$Z57,MIN(AX$6-$E$3,22))&lt;&gt;""),Sorgo!$E57:INDEX(Sorgo!$E57:$Z57,MIN(AX$6-$E$3,22))),0))-IF($G$2,0,IF((AX$6-$G$3)&lt;1,0,IFERROR(LOOKUP(2,1/(Sorgo!$E57:INDEX(Sorgo!$E57:$Z57,MIN(AX$6-$G$3,22))&lt;&gt;""),Sorgo!$E57:INDEX(Sorgo!$E57:$Z57,MIN(AX$6-$G$3,22))),0)))))</f>
        <v>0</v>
      </c>
      <c r="AY59" s="27" t="n">
        <f aca="false">IF(COUNT(Sorgo!$E57:$Z57)=0,0,MAX(0,IF((AY$6-$E$3)&lt;1,0,IFERROR(LOOKUP(2,1/(Sorgo!$E57:INDEX(Sorgo!$E57:$Z57,MIN(AY$6-$E$3,22))&lt;&gt;""),Sorgo!$E57:INDEX(Sorgo!$E57:$Z57,MIN(AY$6-$E$3,22))),0))-IF($G$2,0,IF((AY$6-$G$3)&lt;1,0,IFERROR(LOOKUP(2,1/(Sorgo!$E57:INDEX(Sorgo!$E57:$Z57,MIN(AY$6-$G$3,22))&lt;&gt;""),Sorgo!$E57:INDEX(Sorgo!$E57:$Z57,MIN(AY$6-$G$3,22))),0)))))</f>
        <v>0</v>
      </c>
      <c r="AZ59" s="27" t="n">
        <f aca="false">IF(COUNT(Sorgo!$E57:$Z57)=0,0,MAX(0,IF((AZ$6-$E$3)&lt;1,0,IFERROR(LOOKUP(2,1/(Sorgo!$E57:INDEX(Sorgo!$E57:$Z57,MIN(AZ$6-$E$3,22))&lt;&gt;""),Sorgo!$E57:INDEX(Sorgo!$E57:$Z57,MIN(AZ$6-$E$3,22))),0))-IF($G$2,0,IF((AZ$6-$G$3)&lt;1,0,IFERROR(LOOKUP(2,1/(Sorgo!$E57:INDEX(Sorgo!$E57:$Z57,MIN(AZ$6-$G$3,22))&lt;&gt;""),Sorgo!$E57:INDEX(Sorgo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IF(COUNT(Sorgo!$E58:$Z58)&gt;0,N(Sorgo!$D58),0)</f>
        <v>0</v>
      </c>
      <c r="E60" s="27" t="n">
        <f aca="false">IF(COUNT(Sorgo!$E58:$Z58)=0,0,MAX(0,IF((E$6-$E$3)&lt;1,0,IFERROR(LOOKUP(2,1/(Sorgo!$E58:INDEX(Sorgo!$E58:$Z58,MIN(E$6-$E$3,22))&lt;&gt;""),Sorgo!$E58:INDEX(Sorgo!$E58:$Z58,MIN(E$6-$E$3,22))),0))-IF($G$2,0,IF((E$6-$G$3)&lt;1,0,IFERROR(LOOKUP(2,1/(Sorgo!$E58:INDEX(Sorgo!$E58:$Z58,MIN(E$6-$G$3,22))&lt;&gt;""),Sorgo!$E58:INDEX(Sorgo!$E58:$Z58,MIN(E$6-$G$3,22))),0)))))</f>
        <v>0</v>
      </c>
      <c r="F60" s="27" t="n">
        <f aca="false">IF(COUNT(Sorgo!$E58:$Z58)=0,0,MAX(0,IF((F$6-$E$3)&lt;1,0,IFERROR(LOOKUP(2,1/(Sorgo!$E58:INDEX(Sorgo!$E58:$Z58,MIN(F$6-$E$3,22))&lt;&gt;""),Sorgo!$E58:INDEX(Sorgo!$E58:$Z58,MIN(F$6-$E$3,22))),0))-IF($G$2,0,IF((F$6-$G$3)&lt;1,0,IFERROR(LOOKUP(2,1/(Sorgo!$E58:INDEX(Sorgo!$E58:$Z58,MIN(F$6-$G$3,22))&lt;&gt;""),Sorgo!$E58:INDEX(Sorgo!$E58:$Z58,MIN(F$6-$G$3,22))),0)))))</f>
        <v>0</v>
      </c>
      <c r="G60" s="27" t="n">
        <f aca="false">IF(COUNT(Sorgo!$E58:$Z58)=0,0,MAX(0,IF((G$6-$E$3)&lt;1,0,IFERROR(LOOKUP(2,1/(Sorgo!$E58:INDEX(Sorgo!$E58:$Z58,MIN(G$6-$E$3,22))&lt;&gt;""),Sorgo!$E58:INDEX(Sorgo!$E58:$Z58,MIN(G$6-$E$3,22))),0))-IF($G$2,0,IF((G$6-$G$3)&lt;1,0,IFERROR(LOOKUP(2,1/(Sorgo!$E58:INDEX(Sorgo!$E58:$Z58,MIN(G$6-$G$3,22))&lt;&gt;""),Sorgo!$E58:INDEX(Sorgo!$E58:$Z58,MIN(G$6-$G$3,22))),0)))))</f>
        <v>0</v>
      </c>
      <c r="H60" s="27" t="n">
        <f aca="false">IF(COUNT(Sorgo!$E58:$Z58)=0,0,MAX(0,IF((H$6-$E$3)&lt;1,0,IFERROR(LOOKUP(2,1/(Sorgo!$E58:INDEX(Sorgo!$E58:$Z58,MIN(H$6-$E$3,22))&lt;&gt;""),Sorgo!$E58:INDEX(Sorgo!$E58:$Z58,MIN(H$6-$E$3,22))),0))-IF($G$2,0,IF((H$6-$G$3)&lt;1,0,IFERROR(LOOKUP(2,1/(Sorgo!$E58:INDEX(Sorgo!$E58:$Z58,MIN(H$6-$G$3,22))&lt;&gt;""),Sorgo!$E58:INDEX(Sorgo!$E58:$Z58,MIN(H$6-$G$3,22))),0)))))</f>
        <v>0</v>
      </c>
      <c r="I60" s="27" t="n">
        <f aca="false">IF(COUNT(Sorgo!$E58:$Z58)=0,0,MAX(0,IF((I$6-$E$3)&lt;1,0,IFERROR(LOOKUP(2,1/(Sorgo!$E58:INDEX(Sorgo!$E58:$Z58,MIN(I$6-$E$3,22))&lt;&gt;""),Sorgo!$E58:INDEX(Sorgo!$E58:$Z58,MIN(I$6-$E$3,22))),0))-IF($G$2,0,IF((I$6-$G$3)&lt;1,0,IFERROR(LOOKUP(2,1/(Sorgo!$E58:INDEX(Sorgo!$E58:$Z58,MIN(I$6-$G$3,22))&lt;&gt;""),Sorgo!$E58:INDEX(Sorgo!$E58:$Z58,MIN(I$6-$G$3,22))),0)))))</f>
        <v>0</v>
      </c>
      <c r="J60" s="27" t="n">
        <f aca="false">IF(COUNT(Sorgo!$E58:$Z58)=0,0,MAX(0,IF((J$6-$E$3)&lt;1,0,IFERROR(LOOKUP(2,1/(Sorgo!$E58:INDEX(Sorgo!$E58:$Z58,MIN(J$6-$E$3,22))&lt;&gt;""),Sorgo!$E58:INDEX(Sorgo!$E58:$Z58,MIN(J$6-$E$3,22))),0))-IF($G$2,0,IF((J$6-$G$3)&lt;1,0,IFERROR(LOOKUP(2,1/(Sorgo!$E58:INDEX(Sorgo!$E58:$Z58,MIN(J$6-$G$3,22))&lt;&gt;""),Sorgo!$E58:INDEX(Sorgo!$E58:$Z58,MIN(J$6-$G$3,22))),0)))))</f>
        <v>0</v>
      </c>
      <c r="K60" s="27" t="n">
        <f aca="false">IF(COUNT(Sorgo!$E58:$Z58)=0,0,MAX(0,IF((K$6-$E$3)&lt;1,0,IFERROR(LOOKUP(2,1/(Sorgo!$E58:INDEX(Sorgo!$E58:$Z58,MIN(K$6-$E$3,22))&lt;&gt;""),Sorgo!$E58:INDEX(Sorgo!$E58:$Z58,MIN(K$6-$E$3,22))),0))-IF($G$2,0,IF((K$6-$G$3)&lt;1,0,IFERROR(LOOKUP(2,1/(Sorgo!$E58:INDEX(Sorgo!$E58:$Z58,MIN(K$6-$G$3,22))&lt;&gt;""),Sorgo!$E58:INDEX(Sorgo!$E58:$Z58,MIN(K$6-$G$3,22))),0)))))</f>
        <v>0</v>
      </c>
      <c r="L60" s="27" t="n">
        <f aca="false">IF(COUNT(Sorgo!$E58:$Z58)=0,0,MAX(0,IF((L$6-$E$3)&lt;1,0,IFERROR(LOOKUP(2,1/(Sorgo!$E58:INDEX(Sorgo!$E58:$Z58,MIN(L$6-$E$3,22))&lt;&gt;""),Sorgo!$E58:INDEX(Sorgo!$E58:$Z58,MIN(L$6-$E$3,22))),0))-IF($G$2,0,IF((L$6-$G$3)&lt;1,0,IFERROR(LOOKUP(2,1/(Sorgo!$E58:INDEX(Sorgo!$E58:$Z58,MIN(L$6-$G$3,22))&lt;&gt;""),Sorgo!$E58:INDEX(Sorgo!$E58:$Z58,MIN(L$6-$G$3,22))),0)))))</f>
        <v>0</v>
      </c>
      <c r="M60" s="27" t="n">
        <f aca="false">IF(COUNT(Sorgo!$E58:$Z58)=0,0,MAX(0,IF((M$6-$E$3)&lt;1,0,IFERROR(LOOKUP(2,1/(Sorgo!$E58:INDEX(Sorgo!$E58:$Z58,MIN(M$6-$E$3,22))&lt;&gt;""),Sorgo!$E58:INDEX(Sorgo!$E58:$Z58,MIN(M$6-$E$3,22))),0))-IF($G$2,0,IF((M$6-$G$3)&lt;1,0,IFERROR(LOOKUP(2,1/(Sorgo!$E58:INDEX(Sorgo!$E58:$Z58,MIN(M$6-$G$3,22))&lt;&gt;""),Sorgo!$E58:INDEX(Sorgo!$E58:$Z58,MIN(M$6-$G$3,22))),0)))))</f>
        <v>0</v>
      </c>
      <c r="N60" s="27" t="n">
        <f aca="false">IF(COUNT(Sorgo!$E58:$Z58)=0,0,MAX(0,IF((N$6-$E$3)&lt;1,0,IFERROR(LOOKUP(2,1/(Sorgo!$E58:INDEX(Sorgo!$E58:$Z58,MIN(N$6-$E$3,22))&lt;&gt;""),Sorgo!$E58:INDEX(Sorgo!$E58:$Z58,MIN(N$6-$E$3,22))),0))-IF($G$2,0,IF((N$6-$G$3)&lt;1,0,IFERROR(LOOKUP(2,1/(Sorgo!$E58:INDEX(Sorgo!$E58:$Z58,MIN(N$6-$G$3,22))&lt;&gt;""),Sorgo!$E58:INDEX(Sorgo!$E58:$Z58,MIN(N$6-$G$3,22))),0)))))</f>
        <v>0</v>
      </c>
      <c r="O60" s="27" t="n">
        <f aca="false">IF(COUNT(Sorgo!$E58:$Z58)=0,0,MAX(0,IF((O$6-$E$3)&lt;1,0,IFERROR(LOOKUP(2,1/(Sorgo!$E58:INDEX(Sorgo!$E58:$Z58,MIN(O$6-$E$3,22))&lt;&gt;""),Sorgo!$E58:INDEX(Sorgo!$E58:$Z58,MIN(O$6-$E$3,22))),0))-IF($G$2,0,IF((O$6-$G$3)&lt;1,0,IFERROR(LOOKUP(2,1/(Sorgo!$E58:INDEX(Sorgo!$E58:$Z58,MIN(O$6-$G$3,22))&lt;&gt;""),Sorgo!$E58:INDEX(Sorgo!$E58:$Z58,MIN(O$6-$G$3,22))),0)))))</f>
        <v>0</v>
      </c>
      <c r="P60" s="27" t="n">
        <f aca="false">IF(COUNT(Sorgo!$E58:$Z58)=0,0,MAX(0,IF((P$6-$E$3)&lt;1,0,IFERROR(LOOKUP(2,1/(Sorgo!$E58:INDEX(Sorgo!$E58:$Z58,MIN(P$6-$E$3,22))&lt;&gt;""),Sorgo!$E58:INDEX(Sorgo!$E58:$Z58,MIN(P$6-$E$3,22))),0))-IF($G$2,0,IF((P$6-$G$3)&lt;1,0,IFERROR(LOOKUP(2,1/(Sorgo!$E58:INDEX(Sorgo!$E58:$Z58,MIN(P$6-$G$3,22))&lt;&gt;""),Sorgo!$E58:INDEX(Sorgo!$E58:$Z58,MIN(P$6-$G$3,22))),0)))))</f>
        <v>0</v>
      </c>
      <c r="Q60" s="27" t="n">
        <f aca="false">IF(COUNT(Sorgo!$E58:$Z58)=0,0,MAX(0,IF((Q$6-$E$3)&lt;1,0,IFERROR(LOOKUP(2,1/(Sorgo!$E58:INDEX(Sorgo!$E58:$Z58,MIN(Q$6-$E$3,22))&lt;&gt;""),Sorgo!$E58:INDEX(Sorgo!$E58:$Z58,MIN(Q$6-$E$3,22))),0))-IF($G$2,0,IF((Q$6-$G$3)&lt;1,0,IFERROR(LOOKUP(2,1/(Sorgo!$E58:INDEX(Sorgo!$E58:$Z58,MIN(Q$6-$G$3,22))&lt;&gt;""),Sorgo!$E58:INDEX(Sorgo!$E58:$Z58,MIN(Q$6-$G$3,22))),0)))))</f>
        <v>0</v>
      </c>
      <c r="R60" s="27" t="n">
        <f aca="false">IF(COUNT(Sorgo!$E58:$Z58)=0,0,MAX(0,IF((R$6-$E$3)&lt;1,0,IFERROR(LOOKUP(2,1/(Sorgo!$E58:INDEX(Sorgo!$E58:$Z58,MIN(R$6-$E$3,22))&lt;&gt;""),Sorgo!$E58:INDEX(Sorgo!$E58:$Z58,MIN(R$6-$E$3,22))),0))-IF($G$2,0,IF((R$6-$G$3)&lt;1,0,IFERROR(LOOKUP(2,1/(Sorgo!$E58:INDEX(Sorgo!$E58:$Z58,MIN(R$6-$G$3,22))&lt;&gt;""),Sorgo!$E58:INDEX(Sorgo!$E58:$Z58,MIN(R$6-$G$3,22))),0)))))</f>
        <v>0</v>
      </c>
      <c r="S60" s="27" t="n">
        <f aca="false">IF(COUNT(Sorgo!$E58:$Z58)=0,0,MAX(0,IF((S$6-$E$3)&lt;1,0,IFERROR(LOOKUP(2,1/(Sorgo!$E58:INDEX(Sorgo!$E58:$Z58,MIN(S$6-$E$3,22))&lt;&gt;""),Sorgo!$E58:INDEX(Sorgo!$E58:$Z58,MIN(S$6-$E$3,22))),0))-IF($G$2,0,IF((S$6-$G$3)&lt;1,0,IFERROR(LOOKUP(2,1/(Sorgo!$E58:INDEX(Sorgo!$E58:$Z58,MIN(S$6-$G$3,22))&lt;&gt;""),Sorgo!$E58:INDEX(Sorgo!$E58:$Z58,MIN(S$6-$G$3,22))),0)))))</f>
        <v>0</v>
      </c>
      <c r="T60" s="27" t="n">
        <f aca="false">IF(COUNT(Sorgo!$E58:$Z58)=0,0,MAX(0,IF((T$6-$E$3)&lt;1,0,IFERROR(LOOKUP(2,1/(Sorgo!$E58:INDEX(Sorgo!$E58:$Z58,MIN(T$6-$E$3,22))&lt;&gt;""),Sorgo!$E58:INDEX(Sorgo!$E58:$Z58,MIN(T$6-$E$3,22))),0))-IF($G$2,0,IF((T$6-$G$3)&lt;1,0,IFERROR(LOOKUP(2,1/(Sorgo!$E58:INDEX(Sorgo!$E58:$Z58,MIN(T$6-$G$3,22))&lt;&gt;""),Sorgo!$E58:INDEX(Sorgo!$E58:$Z58,MIN(T$6-$G$3,22))),0)))))</f>
        <v>0</v>
      </c>
      <c r="U60" s="27" t="n">
        <f aca="false">IF(COUNT(Sorgo!$E58:$Z58)=0,0,MAX(0,IF((U$6-$E$3)&lt;1,0,IFERROR(LOOKUP(2,1/(Sorgo!$E58:INDEX(Sorgo!$E58:$Z58,MIN(U$6-$E$3,22))&lt;&gt;""),Sorgo!$E58:INDEX(Sorgo!$E58:$Z58,MIN(U$6-$E$3,22))),0))-IF($G$2,0,IF((U$6-$G$3)&lt;1,0,IFERROR(LOOKUP(2,1/(Sorgo!$E58:INDEX(Sorgo!$E58:$Z58,MIN(U$6-$G$3,22))&lt;&gt;""),Sorgo!$E58:INDEX(Sorgo!$E58:$Z58,MIN(U$6-$G$3,22))),0)))))</f>
        <v>0</v>
      </c>
      <c r="V60" s="27" t="n">
        <f aca="false">IF(COUNT(Sorgo!$E58:$Z58)=0,0,MAX(0,IF((V$6-$E$3)&lt;1,0,IFERROR(LOOKUP(2,1/(Sorgo!$E58:INDEX(Sorgo!$E58:$Z58,MIN(V$6-$E$3,22))&lt;&gt;""),Sorgo!$E58:INDEX(Sorgo!$E58:$Z58,MIN(V$6-$E$3,22))),0))-IF($G$2,0,IF((V$6-$G$3)&lt;1,0,IFERROR(LOOKUP(2,1/(Sorgo!$E58:INDEX(Sorgo!$E58:$Z58,MIN(V$6-$G$3,22))&lt;&gt;""),Sorgo!$E58:INDEX(Sorgo!$E58:$Z58,MIN(V$6-$G$3,22))),0)))))</f>
        <v>0</v>
      </c>
      <c r="W60" s="27" t="n">
        <f aca="false">IF(COUNT(Sorgo!$E58:$Z58)=0,0,MAX(0,IF((W$6-$E$3)&lt;1,0,IFERROR(LOOKUP(2,1/(Sorgo!$E58:INDEX(Sorgo!$E58:$Z58,MIN(W$6-$E$3,22))&lt;&gt;""),Sorgo!$E58:INDEX(Sorgo!$E58:$Z58,MIN(W$6-$E$3,22))),0))-IF($G$2,0,IF((W$6-$G$3)&lt;1,0,IFERROR(LOOKUP(2,1/(Sorgo!$E58:INDEX(Sorgo!$E58:$Z58,MIN(W$6-$G$3,22))&lt;&gt;""),Sorgo!$E58:INDEX(Sorgo!$E58:$Z58,MIN(W$6-$G$3,22))),0)))))</f>
        <v>0</v>
      </c>
      <c r="X60" s="27" t="n">
        <f aca="false">IF(COUNT(Sorgo!$E58:$Z58)=0,0,MAX(0,IF((X$6-$E$3)&lt;1,0,IFERROR(LOOKUP(2,1/(Sorgo!$E58:INDEX(Sorgo!$E58:$Z58,MIN(X$6-$E$3,22))&lt;&gt;""),Sorgo!$E58:INDEX(Sorgo!$E58:$Z58,MIN(X$6-$E$3,22))),0))-IF($G$2,0,IF((X$6-$G$3)&lt;1,0,IFERROR(LOOKUP(2,1/(Sorgo!$E58:INDEX(Sorgo!$E58:$Z58,MIN(X$6-$G$3,22))&lt;&gt;""),Sorgo!$E58:INDEX(Sorgo!$E58:$Z58,MIN(X$6-$G$3,22))),0)))))</f>
        <v>0</v>
      </c>
      <c r="Y60" s="27" t="n">
        <f aca="false">IF(COUNT(Sorgo!$E58:$Z58)=0,0,MAX(0,IF((Y$6-$E$3)&lt;1,0,IFERROR(LOOKUP(2,1/(Sorgo!$E58:INDEX(Sorgo!$E58:$Z58,MIN(Y$6-$E$3,22))&lt;&gt;""),Sorgo!$E58:INDEX(Sorgo!$E58:$Z58,MIN(Y$6-$E$3,22))),0))-IF($G$2,0,IF((Y$6-$G$3)&lt;1,0,IFERROR(LOOKUP(2,1/(Sorgo!$E58:INDEX(Sorgo!$E58:$Z58,MIN(Y$6-$G$3,22))&lt;&gt;""),Sorgo!$E58:INDEX(Sorgo!$E58:$Z58,MIN(Y$6-$G$3,22))),0)))))</f>
        <v>0</v>
      </c>
      <c r="Z60" s="27" t="n">
        <f aca="false">IF(COUNT(Sorgo!$E58:$Z58)=0,0,MAX(0,IF((Z$6-$E$3)&lt;1,0,IFERROR(LOOKUP(2,1/(Sorgo!$E58:INDEX(Sorgo!$E58:$Z58,MIN(Z$6-$E$3,22))&lt;&gt;""),Sorgo!$E58:INDEX(Sorgo!$E58:$Z58,MIN(Z$6-$E$3,22))),0))-IF($G$2,0,IF((Z$6-$G$3)&lt;1,0,IFERROR(LOOKUP(2,1/(Sorgo!$E58:INDEX(Sorgo!$E58:$Z58,MIN(Z$6-$G$3,22))&lt;&gt;""),Sorgo!$E58:INDEX(Sorgo!$E58:$Z58,MIN(Z$6-$G$3,22))),0)))))</f>
        <v>0</v>
      </c>
      <c r="AA60" s="27" t="n">
        <f aca="false">IF(COUNT(Sorgo!$E58:$Z58)=0,0,MAX(0,IF((AA$6-$E$3)&lt;1,0,IFERROR(LOOKUP(2,1/(Sorgo!$E58:INDEX(Sorgo!$E58:$Z58,MIN(AA$6-$E$3,22))&lt;&gt;""),Sorgo!$E58:INDEX(Sorgo!$E58:$Z58,MIN(AA$6-$E$3,22))),0))-IF($G$2,0,IF((AA$6-$G$3)&lt;1,0,IFERROR(LOOKUP(2,1/(Sorgo!$E58:INDEX(Sorgo!$E58:$Z58,MIN(AA$6-$G$3,22))&lt;&gt;""),Sorgo!$E58:INDEX(Sorgo!$E58:$Z58,MIN(AA$6-$G$3,22))),0)))))</f>
        <v>0</v>
      </c>
      <c r="AB60" s="27" t="n">
        <f aca="false">IF(COUNT(Sorgo!$E58:$Z58)=0,0,MAX(0,IF((AB$6-$E$3)&lt;1,0,IFERROR(LOOKUP(2,1/(Sorgo!$E58:INDEX(Sorgo!$E58:$Z58,MIN(AB$6-$E$3,22))&lt;&gt;""),Sorgo!$E58:INDEX(Sorgo!$E58:$Z58,MIN(AB$6-$E$3,22))),0))-IF($G$2,0,IF((AB$6-$G$3)&lt;1,0,IFERROR(LOOKUP(2,1/(Sorgo!$E58:INDEX(Sorgo!$E58:$Z58,MIN(AB$6-$G$3,22))&lt;&gt;""),Sorgo!$E58:INDEX(Sorgo!$E58:$Z58,MIN(AB$6-$G$3,22))),0)))))</f>
        <v>0</v>
      </c>
      <c r="AC60" s="27" t="n">
        <f aca="false">IF(COUNT(Sorgo!$E58:$Z58)=0,0,MAX(0,IF((AC$6-$E$3)&lt;1,0,IFERROR(LOOKUP(2,1/(Sorgo!$E58:INDEX(Sorgo!$E58:$Z58,MIN(AC$6-$E$3,22))&lt;&gt;""),Sorgo!$E58:INDEX(Sorgo!$E58:$Z58,MIN(AC$6-$E$3,22))),0))-IF($G$2,0,IF((AC$6-$G$3)&lt;1,0,IFERROR(LOOKUP(2,1/(Sorgo!$E58:INDEX(Sorgo!$E58:$Z58,MIN(AC$6-$G$3,22))&lt;&gt;""),Sorgo!$E58:INDEX(Sorgo!$E58:$Z58,MIN(AC$6-$G$3,22))),0)))))</f>
        <v>0</v>
      </c>
      <c r="AD60" s="27" t="n">
        <f aca="false">IF(COUNT(Sorgo!$E58:$Z58)=0,0,MAX(0,IF((AD$6-$E$3)&lt;1,0,IFERROR(LOOKUP(2,1/(Sorgo!$E58:INDEX(Sorgo!$E58:$Z58,MIN(AD$6-$E$3,22))&lt;&gt;""),Sorgo!$E58:INDEX(Sorgo!$E58:$Z58,MIN(AD$6-$E$3,22))),0))-IF($G$2,0,IF((AD$6-$G$3)&lt;1,0,IFERROR(LOOKUP(2,1/(Sorgo!$E58:INDEX(Sorgo!$E58:$Z58,MIN(AD$6-$G$3,22))&lt;&gt;""),Sorgo!$E58:INDEX(Sorgo!$E58:$Z58,MIN(AD$6-$G$3,22))),0)))))</f>
        <v>0</v>
      </c>
      <c r="AE60" s="27" t="n">
        <f aca="false">IF(COUNT(Sorgo!$E58:$Z58)=0,0,MAX(0,IF((AE$6-$E$3)&lt;1,0,IFERROR(LOOKUP(2,1/(Sorgo!$E58:INDEX(Sorgo!$E58:$Z58,MIN(AE$6-$E$3,22))&lt;&gt;""),Sorgo!$E58:INDEX(Sorgo!$E58:$Z58,MIN(AE$6-$E$3,22))),0))-IF($G$2,0,IF((AE$6-$G$3)&lt;1,0,IFERROR(LOOKUP(2,1/(Sorgo!$E58:INDEX(Sorgo!$E58:$Z58,MIN(AE$6-$G$3,22))&lt;&gt;""),Sorgo!$E58:INDEX(Sorgo!$E58:$Z58,MIN(AE$6-$G$3,22))),0)))))</f>
        <v>0</v>
      </c>
      <c r="AF60" s="27" t="n">
        <f aca="false">IF(COUNT(Sorgo!$E58:$Z58)=0,0,MAX(0,IF((AF$6-$E$3)&lt;1,0,IFERROR(LOOKUP(2,1/(Sorgo!$E58:INDEX(Sorgo!$E58:$Z58,MIN(AF$6-$E$3,22))&lt;&gt;""),Sorgo!$E58:INDEX(Sorgo!$E58:$Z58,MIN(AF$6-$E$3,22))),0))-IF($G$2,0,IF((AF$6-$G$3)&lt;1,0,IFERROR(LOOKUP(2,1/(Sorgo!$E58:INDEX(Sorgo!$E58:$Z58,MIN(AF$6-$G$3,22))&lt;&gt;""),Sorgo!$E58:INDEX(Sorgo!$E58:$Z58,MIN(AF$6-$G$3,22))),0)))))</f>
        <v>0</v>
      </c>
      <c r="AG60" s="27" t="n">
        <f aca="false">IF(COUNT(Sorgo!$E58:$Z58)=0,0,MAX(0,IF((AG$6-$E$3)&lt;1,0,IFERROR(LOOKUP(2,1/(Sorgo!$E58:INDEX(Sorgo!$E58:$Z58,MIN(AG$6-$E$3,22))&lt;&gt;""),Sorgo!$E58:INDEX(Sorgo!$E58:$Z58,MIN(AG$6-$E$3,22))),0))-IF($G$2,0,IF((AG$6-$G$3)&lt;1,0,IFERROR(LOOKUP(2,1/(Sorgo!$E58:INDEX(Sorgo!$E58:$Z58,MIN(AG$6-$G$3,22))&lt;&gt;""),Sorgo!$E58:INDEX(Sorgo!$E58:$Z58,MIN(AG$6-$G$3,22))),0)))))</f>
        <v>0</v>
      </c>
      <c r="AH60" s="27" t="n">
        <f aca="false">IF(COUNT(Sorgo!$E58:$Z58)=0,0,MAX(0,IF((AH$6-$E$3)&lt;1,0,IFERROR(LOOKUP(2,1/(Sorgo!$E58:INDEX(Sorgo!$E58:$Z58,MIN(AH$6-$E$3,22))&lt;&gt;""),Sorgo!$E58:INDEX(Sorgo!$E58:$Z58,MIN(AH$6-$E$3,22))),0))-IF($G$2,0,IF((AH$6-$G$3)&lt;1,0,IFERROR(LOOKUP(2,1/(Sorgo!$E58:INDEX(Sorgo!$E58:$Z58,MIN(AH$6-$G$3,22))&lt;&gt;""),Sorgo!$E58:INDEX(Sorgo!$E58:$Z58,MIN(AH$6-$G$3,22))),0)))))</f>
        <v>0</v>
      </c>
      <c r="AI60" s="27" t="n">
        <f aca="false">IF(COUNT(Sorgo!$E58:$Z58)=0,0,MAX(0,IF((AI$6-$E$3)&lt;1,0,IFERROR(LOOKUP(2,1/(Sorgo!$E58:INDEX(Sorgo!$E58:$Z58,MIN(AI$6-$E$3,22))&lt;&gt;""),Sorgo!$E58:INDEX(Sorgo!$E58:$Z58,MIN(AI$6-$E$3,22))),0))-IF($G$2,0,IF((AI$6-$G$3)&lt;1,0,IFERROR(LOOKUP(2,1/(Sorgo!$E58:INDEX(Sorgo!$E58:$Z58,MIN(AI$6-$G$3,22))&lt;&gt;""),Sorgo!$E58:INDEX(Sorgo!$E58:$Z58,MIN(AI$6-$G$3,22))),0)))))</f>
        <v>0</v>
      </c>
      <c r="AJ60" s="27" t="n">
        <f aca="false">IF(COUNT(Sorgo!$E58:$Z58)=0,0,MAX(0,IF((AJ$6-$E$3)&lt;1,0,IFERROR(LOOKUP(2,1/(Sorgo!$E58:INDEX(Sorgo!$E58:$Z58,MIN(AJ$6-$E$3,22))&lt;&gt;""),Sorgo!$E58:INDEX(Sorgo!$E58:$Z58,MIN(AJ$6-$E$3,22))),0))-IF($G$2,0,IF((AJ$6-$G$3)&lt;1,0,IFERROR(LOOKUP(2,1/(Sorgo!$E58:INDEX(Sorgo!$E58:$Z58,MIN(AJ$6-$G$3,22))&lt;&gt;""),Sorgo!$E58:INDEX(Sorgo!$E58:$Z58,MIN(AJ$6-$G$3,22))),0)))))</f>
        <v>0</v>
      </c>
      <c r="AK60" s="27" t="n">
        <f aca="false">IF(COUNT(Sorgo!$E58:$Z58)=0,0,MAX(0,IF((AK$6-$E$3)&lt;1,0,IFERROR(LOOKUP(2,1/(Sorgo!$E58:INDEX(Sorgo!$E58:$Z58,MIN(AK$6-$E$3,22))&lt;&gt;""),Sorgo!$E58:INDEX(Sorgo!$E58:$Z58,MIN(AK$6-$E$3,22))),0))-IF($G$2,0,IF((AK$6-$G$3)&lt;1,0,IFERROR(LOOKUP(2,1/(Sorgo!$E58:INDEX(Sorgo!$E58:$Z58,MIN(AK$6-$G$3,22))&lt;&gt;""),Sorgo!$E58:INDEX(Sorgo!$E58:$Z58,MIN(AK$6-$G$3,22))),0)))))</f>
        <v>0</v>
      </c>
      <c r="AL60" s="27" t="n">
        <f aca="false">IF(COUNT(Sorgo!$E58:$Z58)=0,0,MAX(0,IF((AL$6-$E$3)&lt;1,0,IFERROR(LOOKUP(2,1/(Sorgo!$E58:INDEX(Sorgo!$E58:$Z58,MIN(AL$6-$E$3,22))&lt;&gt;""),Sorgo!$E58:INDEX(Sorgo!$E58:$Z58,MIN(AL$6-$E$3,22))),0))-IF($G$2,0,IF((AL$6-$G$3)&lt;1,0,IFERROR(LOOKUP(2,1/(Sorgo!$E58:INDEX(Sorgo!$E58:$Z58,MIN(AL$6-$G$3,22))&lt;&gt;""),Sorgo!$E58:INDEX(Sorgo!$E58:$Z58,MIN(AL$6-$G$3,22))),0)))))</f>
        <v>0</v>
      </c>
      <c r="AM60" s="27" t="n">
        <f aca="false">IF(COUNT(Sorgo!$E58:$Z58)=0,0,MAX(0,IF((AM$6-$E$3)&lt;1,0,IFERROR(LOOKUP(2,1/(Sorgo!$E58:INDEX(Sorgo!$E58:$Z58,MIN(AM$6-$E$3,22))&lt;&gt;""),Sorgo!$E58:INDEX(Sorgo!$E58:$Z58,MIN(AM$6-$E$3,22))),0))-IF($G$2,0,IF((AM$6-$G$3)&lt;1,0,IFERROR(LOOKUP(2,1/(Sorgo!$E58:INDEX(Sorgo!$E58:$Z58,MIN(AM$6-$G$3,22))&lt;&gt;""),Sorgo!$E58:INDEX(Sorgo!$E58:$Z58,MIN(AM$6-$G$3,22))),0)))))</f>
        <v>0</v>
      </c>
      <c r="AN60" s="27" t="n">
        <f aca="false">IF(COUNT(Sorgo!$E58:$Z58)=0,0,MAX(0,IF((AN$6-$E$3)&lt;1,0,IFERROR(LOOKUP(2,1/(Sorgo!$E58:INDEX(Sorgo!$E58:$Z58,MIN(AN$6-$E$3,22))&lt;&gt;""),Sorgo!$E58:INDEX(Sorgo!$E58:$Z58,MIN(AN$6-$E$3,22))),0))-IF($G$2,0,IF((AN$6-$G$3)&lt;1,0,IFERROR(LOOKUP(2,1/(Sorgo!$E58:INDEX(Sorgo!$E58:$Z58,MIN(AN$6-$G$3,22))&lt;&gt;""),Sorgo!$E58:INDEX(Sorgo!$E58:$Z58,MIN(AN$6-$G$3,22))),0)))))</f>
        <v>0</v>
      </c>
      <c r="AO60" s="27" t="n">
        <f aca="false">IF(COUNT(Sorgo!$E58:$Z58)=0,0,MAX(0,IF((AO$6-$E$3)&lt;1,0,IFERROR(LOOKUP(2,1/(Sorgo!$E58:INDEX(Sorgo!$E58:$Z58,MIN(AO$6-$E$3,22))&lt;&gt;""),Sorgo!$E58:INDEX(Sorgo!$E58:$Z58,MIN(AO$6-$E$3,22))),0))-IF($G$2,0,IF((AO$6-$G$3)&lt;1,0,IFERROR(LOOKUP(2,1/(Sorgo!$E58:INDEX(Sorgo!$E58:$Z58,MIN(AO$6-$G$3,22))&lt;&gt;""),Sorgo!$E58:INDEX(Sorgo!$E58:$Z58,MIN(AO$6-$G$3,22))),0)))))</f>
        <v>0</v>
      </c>
      <c r="AP60" s="27" t="n">
        <f aca="false">IF(COUNT(Sorgo!$E58:$Z58)=0,0,MAX(0,IF((AP$6-$E$3)&lt;1,0,IFERROR(LOOKUP(2,1/(Sorgo!$E58:INDEX(Sorgo!$E58:$Z58,MIN(AP$6-$E$3,22))&lt;&gt;""),Sorgo!$E58:INDEX(Sorgo!$E58:$Z58,MIN(AP$6-$E$3,22))),0))-IF($G$2,0,IF((AP$6-$G$3)&lt;1,0,IFERROR(LOOKUP(2,1/(Sorgo!$E58:INDEX(Sorgo!$E58:$Z58,MIN(AP$6-$G$3,22))&lt;&gt;""),Sorgo!$E58:INDEX(Sorgo!$E58:$Z58,MIN(AP$6-$G$3,22))),0)))))</f>
        <v>0</v>
      </c>
      <c r="AQ60" s="27" t="n">
        <f aca="false">IF(COUNT(Sorgo!$E58:$Z58)=0,0,MAX(0,IF((AQ$6-$E$3)&lt;1,0,IFERROR(LOOKUP(2,1/(Sorgo!$E58:INDEX(Sorgo!$E58:$Z58,MIN(AQ$6-$E$3,22))&lt;&gt;""),Sorgo!$E58:INDEX(Sorgo!$E58:$Z58,MIN(AQ$6-$E$3,22))),0))-IF($G$2,0,IF((AQ$6-$G$3)&lt;1,0,IFERROR(LOOKUP(2,1/(Sorgo!$E58:INDEX(Sorgo!$E58:$Z58,MIN(AQ$6-$G$3,22))&lt;&gt;""),Sorgo!$E58:INDEX(Sorgo!$E58:$Z58,MIN(AQ$6-$G$3,22))),0)))))</f>
        <v>0</v>
      </c>
      <c r="AR60" s="27" t="n">
        <f aca="false">IF(COUNT(Sorgo!$E58:$Z58)=0,0,MAX(0,IF((AR$6-$E$3)&lt;1,0,IFERROR(LOOKUP(2,1/(Sorgo!$E58:INDEX(Sorgo!$E58:$Z58,MIN(AR$6-$E$3,22))&lt;&gt;""),Sorgo!$E58:INDEX(Sorgo!$E58:$Z58,MIN(AR$6-$E$3,22))),0))-IF($G$2,0,IF((AR$6-$G$3)&lt;1,0,IFERROR(LOOKUP(2,1/(Sorgo!$E58:INDEX(Sorgo!$E58:$Z58,MIN(AR$6-$G$3,22))&lt;&gt;""),Sorgo!$E58:INDEX(Sorgo!$E58:$Z58,MIN(AR$6-$G$3,22))),0)))))</f>
        <v>0</v>
      </c>
      <c r="AS60" s="27" t="n">
        <f aca="false">IF(COUNT(Sorgo!$E58:$Z58)=0,0,MAX(0,IF((AS$6-$E$3)&lt;1,0,IFERROR(LOOKUP(2,1/(Sorgo!$E58:INDEX(Sorgo!$E58:$Z58,MIN(AS$6-$E$3,22))&lt;&gt;""),Sorgo!$E58:INDEX(Sorgo!$E58:$Z58,MIN(AS$6-$E$3,22))),0))-IF($G$2,0,IF((AS$6-$G$3)&lt;1,0,IFERROR(LOOKUP(2,1/(Sorgo!$E58:INDEX(Sorgo!$E58:$Z58,MIN(AS$6-$G$3,22))&lt;&gt;""),Sorgo!$E58:INDEX(Sorgo!$E58:$Z58,MIN(AS$6-$G$3,22))),0)))))</f>
        <v>0</v>
      </c>
      <c r="AT60" s="27" t="n">
        <f aca="false">IF(COUNT(Sorgo!$E58:$Z58)=0,0,MAX(0,IF((AT$6-$E$3)&lt;1,0,IFERROR(LOOKUP(2,1/(Sorgo!$E58:INDEX(Sorgo!$E58:$Z58,MIN(AT$6-$E$3,22))&lt;&gt;""),Sorgo!$E58:INDEX(Sorgo!$E58:$Z58,MIN(AT$6-$E$3,22))),0))-IF($G$2,0,IF((AT$6-$G$3)&lt;1,0,IFERROR(LOOKUP(2,1/(Sorgo!$E58:INDEX(Sorgo!$E58:$Z58,MIN(AT$6-$G$3,22))&lt;&gt;""),Sorgo!$E58:INDEX(Sorgo!$E58:$Z58,MIN(AT$6-$G$3,22))),0)))))</f>
        <v>0</v>
      </c>
      <c r="AU60" s="27" t="n">
        <f aca="false">IF(COUNT(Sorgo!$E58:$Z58)=0,0,MAX(0,IF((AU$6-$E$3)&lt;1,0,IFERROR(LOOKUP(2,1/(Sorgo!$E58:INDEX(Sorgo!$E58:$Z58,MIN(AU$6-$E$3,22))&lt;&gt;""),Sorgo!$E58:INDEX(Sorgo!$E58:$Z58,MIN(AU$6-$E$3,22))),0))-IF($G$2,0,IF((AU$6-$G$3)&lt;1,0,IFERROR(LOOKUP(2,1/(Sorgo!$E58:INDEX(Sorgo!$E58:$Z58,MIN(AU$6-$G$3,22))&lt;&gt;""),Sorgo!$E58:INDEX(Sorgo!$E58:$Z58,MIN(AU$6-$G$3,22))),0)))))</f>
        <v>0</v>
      </c>
      <c r="AV60" s="27" t="n">
        <f aca="false">IF(COUNT(Sorgo!$E58:$Z58)=0,0,MAX(0,IF((AV$6-$E$3)&lt;1,0,IFERROR(LOOKUP(2,1/(Sorgo!$E58:INDEX(Sorgo!$E58:$Z58,MIN(AV$6-$E$3,22))&lt;&gt;""),Sorgo!$E58:INDEX(Sorgo!$E58:$Z58,MIN(AV$6-$E$3,22))),0))-IF($G$2,0,IF((AV$6-$G$3)&lt;1,0,IFERROR(LOOKUP(2,1/(Sorgo!$E58:INDEX(Sorgo!$E58:$Z58,MIN(AV$6-$G$3,22))&lt;&gt;""),Sorgo!$E58:INDEX(Sorgo!$E58:$Z58,MIN(AV$6-$G$3,22))),0)))))</f>
        <v>0</v>
      </c>
      <c r="AW60" s="27" t="n">
        <f aca="false">IF(COUNT(Sorgo!$E58:$Z58)=0,0,MAX(0,IF((AW$6-$E$3)&lt;1,0,IFERROR(LOOKUP(2,1/(Sorgo!$E58:INDEX(Sorgo!$E58:$Z58,MIN(AW$6-$E$3,22))&lt;&gt;""),Sorgo!$E58:INDEX(Sorgo!$E58:$Z58,MIN(AW$6-$E$3,22))),0))-IF($G$2,0,IF((AW$6-$G$3)&lt;1,0,IFERROR(LOOKUP(2,1/(Sorgo!$E58:INDEX(Sorgo!$E58:$Z58,MIN(AW$6-$G$3,22))&lt;&gt;""),Sorgo!$E58:INDEX(Sorgo!$E58:$Z58,MIN(AW$6-$G$3,22))),0)))))</f>
        <v>0</v>
      </c>
      <c r="AX60" s="27" t="n">
        <f aca="false">IF(COUNT(Sorgo!$E58:$Z58)=0,0,MAX(0,IF((AX$6-$E$3)&lt;1,0,IFERROR(LOOKUP(2,1/(Sorgo!$E58:INDEX(Sorgo!$E58:$Z58,MIN(AX$6-$E$3,22))&lt;&gt;""),Sorgo!$E58:INDEX(Sorgo!$E58:$Z58,MIN(AX$6-$E$3,22))),0))-IF($G$2,0,IF((AX$6-$G$3)&lt;1,0,IFERROR(LOOKUP(2,1/(Sorgo!$E58:INDEX(Sorgo!$E58:$Z58,MIN(AX$6-$G$3,22))&lt;&gt;""),Sorgo!$E58:INDEX(Sorgo!$E58:$Z58,MIN(AX$6-$G$3,22))),0)))))</f>
        <v>0</v>
      </c>
      <c r="AY60" s="27" t="n">
        <f aca="false">IF(COUNT(Sorgo!$E58:$Z58)=0,0,MAX(0,IF((AY$6-$E$3)&lt;1,0,IFERROR(LOOKUP(2,1/(Sorgo!$E58:INDEX(Sorgo!$E58:$Z58,MIN(AY$6-$E$3,22))&lt;&gt;""),Sorgo!$E58:INDEX(Sorgo!$E58:$Z58,MIN(AY$6-$E$3,22))),0))-IF($G$2,0,IF((AY$6-$G$3)&lt;1,0,IFERROR(LOOKUP(2,1/(Sorgo!$E58:INDEX(Sorgo!$E58:$Z58,MIN(AY$6-$G$3,22))&lt;&gt;""),Sorgo!$E58:INDEX(Sorgo!$E58:$Z58,MIN(AY$6-$G$3,22))),0)))))</f>
        <v>0</v>
      </c>
      <c r="AZ60" s="27" t="n">
        <f aca="false">IF(COUNT(Sorgo!$E58:$Z58)=0,0,MAX(0,IF((AZ$6-$E$3)&lt;1,0,IFERROR(LOOKUP(2,1/(Sorgo!$E58:INDEX(Sorgo!$E58:$Z58,MIN(AZ$6-$E$3,22))&lt;&gt;""),Sorgo!$E58:INDEX(Sorgo!$E58:$Z58,MIN(AZ$6-$E$3,22))),0))-IF($G$2,0,IF((AZ$6-$G$3)&lt;1,0,IFERROR(LOOKUP(2,1/(Sorgo!$E58:INDEX(Sorgo!$E58:$Z58,MIN(AZ$6-$G$3,22))&lt;&gt;""),Sorgo!$E58:INDEX(Sorgo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IF(COUNT(Sorgo!$E59:$Z59)&gt;0,N(Sorgo!$D59),0)</f>
        <v>0</v>
      </c>
      <c r="E61" s="27" t="n">
        <f aca="false">IF(COUNT(Sorgo!$E59:$Z59)=0,0,MAX(0,IF((E$6-$E$3)&lt;1,0,IFERROR(LOOKUP(2,1/(Sorgo!$E59:INDEX(Sorgo!$E59:$Z59,MIN(E$6-$E$3,22))&lt;&gt;""),Sorgo!$E59:INDEX(Sorgo!$E59:$Z59,MIN(E$6-$E$3,22))),0))-IF($G$2,0,IF((E$6-$G$3)&lt;1,0,IFERROR(LOOKUP(2,1/(Sorgo!$E59:INDEX(Sorgo!$E59:$Z59,MIN(E$6-$G$3,22))&lt;&gt;""),Sorgo!$E59:INDEX(Sorgo!$E59:$Z59,MIN(E$6-$G$3,22))),0)))))</f>
        <v>0</v>
      </c>
      <c r="F61" s="27" t="n">
        <f aca="false">IF(COUNT(Sorgo!$E59:$Z59)=0,0,MAX(0,IF((F$6-$E$3)&lt;1,0,IFERROR(LOOKUP(2,1/(Sorgo!$E59:INDEX(Sorgo!$E59:$Z59,MIN(F$6-$E$3,22))&lt;&gt;""),Sorgo!$E59:INDEX(Sorgo!$E59:$Z59,MIN(F$6-$E$3,22))),0))-IF($G$2,0,IF((F$6-$G$3)&lt;1,0,IFERROR(LOOKUP(2,1/(Sorgo!$E59:INDEX(Sorgo!$E59:$Z59,MIN(F$6-$G$3,22))&lt;&gt;""),Sorgo!$E59:INDEX(Sorgo!$E59:$Z59,MIN(F$6-$G$3,22))),0)))))</f>
        <v>0</v>
      </c>
      <c r="G61" s="27" t="n">
        <f aca="false">IF(COUNT(Sorgo!$E59:$Z59)=0,0,MAX(0,IF((G$6-$E$3)&lt;1,0,IFERROR(LOOKUP(2,1/(Sorgo!$E59:INDEX(Sorgo!$E59:$Z59,MIN(G$6-$E$3,22))&lt;&gt;""),Sorgo!$E59:INDEX(Sorgo!$E59:$Z59,MIN(G$6-$E$3,22))),0))-IF($G$2,0,IF((G$6-$G$3)&lt;1,0,IFERROR(LOOKUP(2,1/(Sorgo!$E59:INDEX(Sorgo!$E59:$Z59,MIN(G$6-$G$3,22))&lt;&gt;""),Sorgo!$E59:INDEX(Sorgo!$E59:$Z59,MIN(G$6-$G$3,22))),0)))))</f>
        <v>0</v>
      </c>
      <c r="H61" s="27" t="n">
        <f aca="false">IF(COUNT(Sorgo!$E59:$Z59)=0,0,MAX(0,IF((H$6-$E$3)&lt;1,0,IFERROR(LOOKUP(2,1/(Sorgo!$E59:INDEX(Sorgo!$E59:$Z59,MIN(H$6-$E$3,22))&lt;&gt;""),Sorgo!$E59:INDEX(Sorgo!$E59:$Z59,MIN(H$6-$E$3,22))),0))-IF($G$2,0,IF((H$6-$G$3)&lt;1,0,IFERROR(LOOKUP(2,1/(Sorgo!$E59:INDEX(Sorgo!$E59:$Z59,MIN(H$6-$G$3,22))&lt;&gt;""),Sorgo!$E59:INDEX(Sorgo!$E59:$Z59,MIN(H$6-$G$3,22))),0)))))</f>
        <v>0</v>
      </c>
      <c r="I61" s="27" t="n">
        <f aca="false">IF(COUNT(Sorgo!$E59:$Z59)=0,0,MAX(0,IF((I$6-$E$3)&lt;1,0,IFERROR(LOOKUP(2,1/(Sorgo!$E59:INDEX(Sorgo!$E59:$Z59,MIN(I$6-$E$3,22))&lt;&gt;""),Sorgo!$E59:INDEX(Sorgo!$E59:$Z59,MIN(I$6-$E$3,22))),0))-IF($G$2,0,IF((I$6-$G$3)&lt;1,0,IFERROR(LOOKUP(2,1/(Sorgo!$E59:INDEX(Sorgo!$E59:$Z59,MIN(I$6-$G$3,22))&lt;&gt;""),Sorgo!$E59:INDEX(Sorgo!$E59:$Z59,MIN(I$6-$G$3,22))),0)))))</f>
        <v>0</v>
      </c>
      <c r="J61" s="27" t="n">
        <f aca="false">IF(COUNT(Sorgo!$E59:$Z59)=0,0,MAX(0,IF((J$6-$E$3)&lt;1,0,IFERROR(LOOKUP(2,1/(Sorgo!$E59:INDEX(Sorgo!$E59:$Z59,MIN(J$6-$E$3,22))&lt;&gt;""),Sorgo!$E59:INDEX(Sorgo!$E59:$Z59,MIN(J$6-$E$3,22))),0))-IF($G$2,0,IF((J$6-$G$3)&lt;1,0,IFERROR(LOOKUP(2,1/(Sorgo!$E59:INDEX(Sorgo!$E59:$Z59,MIN(J$6-$G$3,22))&lt;&gt;""),Sorgo!$E59:INDEX(Sorgo!$E59:$Z59,MIN(J$6-$G$3,22))),0)))))</f>
        <v>0</v>
      </c>
      <c r="K61" s="27" t="n">
        <f aca="false">IF(COUNT(Sorgo!$E59:$Z59)=0,0,MAX(0,IF((K$6-$E$3)&lt;1,0,IFERROR(LOOKUP(2,1/(Sorgo!$E59:INDEX(Sorgo!$E59:$Z59,MIN(K$6-$E$3,22))&lt;&gt;""),Sorgo!$E59:INDEX(Sorgo!$E59:$Z59,MIN(K$6-$E$3,22))),0))-IF($G$2,0,IF((K$6-$G$3)&lt;1,0,IFERROR(LOOKUP(2,1/(Sorgo!$E59:INDEX(Sorgo!$E59:$Z59,MIN(K$6-$G$3,22))&lt;&gt;""),Sorgo!$E59:INDEX(Sorgo!$E59:$Z59,MIN(K$6-$G$3,22))),0)))))</f>
        <v>0</v>
      </c>
      <c r="L61" s="27" t="n">
        <f aca="false">IF(COUNT(Sorgo!$E59:$Z59)=0,0,MAX(0,IF((L$6-$E$3)&lt;1,0,IFERROR(LOOKUP(2,1/(Sorgo!$E59:INDEX(Sorgo!$E59:$Z59,MIN(L$6-$E$3,22))&lt;&gt;""),Sorgo!$E59:INDEX(Sorgo!$E59:$Z59,MIN(L$6-$E$3,22))),0))-IF($G$2,0,IF((L$6-$G$3)&lt;1,0,IFERROR(LOOKUP(2,1/(Sorgo!$E59:INDEX(Sorgo!$E59:$Z59,MIN(L$6-$G$3,22))&lt;&gt;""),Sorgo!$E59:INDEX(Sorgo!$E59:$Z59,MIN(L$6-$G$3,22))),0)))))</f>
        <v>0</v>
      </c>
      <c r="M61" s="27" t="n">
        <f aca="false">IF(COUNT(Sorgo!$E59:$Z59)=0,0,MAX(0,IF((M$6-$E$3)&lt;1,0,IFERROR(LOOKUP(2,1/(Sorgo!$E59:INDEX(Sorgo!$E59:$Z59,MIN(M$6-$E$3,22))&lt;&gt;""),Sorgo!$E59:INDEX(Sorgo!$E59:$Z59,MIN(M$6-$E$3,22))),0))-IF($G$2,0,IF((M$6-$G$3)&lt;1,0,IFERROR(LOOKUP(2,1/(Sorgo!$E59:INDEX(Sorgo!$E59:$Z59,MIN(M$6-$G$3,22))&lt;&gt;""),Sorgo!$E59:INDEX(Sorgo!$E59:$Z59,MIN(M$6-$G$3,22))),0)))))</f>
        <v>0</v>
      </c>
      <c r="N61" s="27" t="n">
        <f aca="false">IF(COUNT(Sorgo!$E59:$Z59)=0,0,MAX(0,IF((N$6-$E$3)&lt;1,0,IFERROR(LOOKUP(2,1/(Sorgo!$E59:INDEX(Sorgo!$E59:$Z59,MIN(N$6-$E$3,22))&lt;&gt;""),Sorgo!$E59:INDEX(Sorgo!$E59:$Z59,MIN(N$6-$E$3,22))),0))-IF($G$2,0,IF((N$6-$G$3)&lt;1,0,IFERROR(LOOKUP(2,1/(Sorgo!$E59:INDEX(Sorgo!$E59:$Z59,MIN(N$6-$G$3,22))&lt;&gt;""),Sorgo!$E59:INDEX(Sorgo!$E59:$Z59,MIN(N$6-$G$3,22))),0)))))</f>
        <v>0</v>
      </c>
      <c r="O61" s="27" t="n">
        <f aca="false">IF(COUNT(Sorgo!$E59:$Z59)=0,0,MAX(0,IF((O$6-$E$3)&lt;1,0,IFERROR(LOOKUP(2,1/(Sorgo!$E59:INDEX(Sorgo!$E59:$Z59,MIN(O$6-$E$3,22))&lt;&gt;""),Sorgo!$E59:INDEX(Sorgo!$E59:$Z59,MIN(O$6-$E$3,22))),0))-IF($G$2,0,IF((O$6-$G$3)&lt;1,0,IFERROR(LOOKUP(2,1/(Sorgo!$E59:INDEX(Sorgo!$E59:$Z59,MIN(O$6-$G$3,22))&lt;&gt;""),Sorgo!$E59:INDEX(Sorgo!$E59:$Z59,MIN(O$6-$G$3,22))),0)))))</f>
        <v>0</v>
      </c>
      <c r="P61" s="27" t="n">
        <f aca="false">IF(COUNT(Sorgo!$E59:$Z59)=0,0,MAX(0,IF((P$6-$E$3)&lt;1,0,IFERROR(LOOKUP(2,1/(Sorgo!$E59:INDEX(Sorgo!$E59:$Z59,MIN(P$6-$E$3,22))&lt;&gt;""),Sorgo!$E59:INDEX(Sorgo!$E59:$Z59,MIN(P$6-$E$3,22))),0))-IF($G$2,0,IF((P$6-$G$3)&lt;1,0,IFERROR(LOOKUP(2,1/(Sorgo!$E59:INDEX(Sorgo!$E59:$Z59,MIN(P$6-$G$3,22))&lt;&gt;""),Sorgo!$E59:INDEX(Sorgo!$E59:$Z59,MIN(P$6-$G$3,22))),0)))))</f>
        <v>0</v>
      </c>
      <c r="Q61" s="27" t="n">
        <f aca="false">IF(COUNT(Sorgo!$E59:$Z59)=0,0,MAX(0,IF((Q$6-$E$3)&lt;1,0,IFERROR(LOOKUP(2,1/(Sorgo!$E59:INDEX(Sorgo!$E59:$Z59,MIN(Q$6-$E$3,22))&lt;&gt;""),Sorgo!$E59:INDEX(Sorgo!$E59:$Z59,MIN(Q$6-$E$3,22))),0))-IF($G$2,0,IF((Q$6-$G$3)&lt;1,0,IFERROR(LOOKUP(2,1/(Sorgo!$E59:INDEX(Sorgo!$E59:$Z59,MIN(Q$6-$G$3,22))&lt;&gt;""),Sorgo!$E59:INDEX(Sorgo!$E59:$Z59,MIN(Q$6-$G$3,22))),0)))))</f>
        <v>0</v>
      </c>
      <c r="R61" s="27" t="n">
        <f aca="false">IF(COUNT(Sorgo!$E59:$Z59)=0,0,MAX(0,IF((R$6-$E$3)&lt;1,0,IFERROR(LOOKUP(2,1/(Sorgo!$E59:INDEX(Sorgo!$E59:$Z59,MIN(R$6-$E$3,22))&lt;&gt;""),Sorgo!$E59:INDEX(Sorgo!$E59:$Z59,MIN(R$6-$E$3,22))),0))-IF($G$2,0,IF((R$6-$G$3)&lt;1,0,IFERROR(LOOKUP(2,1/(Sorgo!$E59:INDEX(Sorgo!$E59:$Z59,MIN(R$6-$G$3,22))&lt;&gt;""),Sorgo!$E59:INDEX(Sorgo!$E59:$Z59,MIN(R$6-$G$3,22))),0)))))</f>
        <v>0</v>
      </c>
      <c r="S61" s="27" t="n">
        <f aca="false">IF(COUNT(Sorgo!$E59:$Z59)=0,0,MAX(0,IF((S$6-$E$3)&lt;1,0,IFERROR(LOOKUP(2,1/(Sorgo!$E59:INDEX(Sorgo!$E59:$Z59,MIN(S$6-$E$3,22))&lt;&gt;""),Sorgo!$E59:INDEX(Sorgo!$E59:$Z59,MIN(S$6-$E$3,22))),0))-IF($G$2,0,IF((S$6-$G$3)&lt;1,0,IFERROR(LOOKUP(2,1/(Sorgo!$E59:INDEX(Sorgo!$E59:$Z59,MIN(S$6-$G$3,22))&lt;&gt;""),Sorgo!$E59:INDEX(Sorgo!$E59:$Z59,MIN(S$6-$G$3,22))),0)))))</f>
        <v>0</v>
      </c>
      <c r="T61" s="27" t="n">
        <f aca="false">IF(COUNT(Sorgo!$E59:$Z59)=0,0,MAX(0,IF((T$6-$E$3)&lt;1,0,IFERROR(LOOKUP(2,1/(Sorgo!$E59:INDEX(Sorgo!$E59:$Z59,MIN(T$6-$E$3,22))&lt;&gt;""),Sorgo!$E59:INDEX(Sorgo!$E59:$Z59,MIN(T$6-$E$3,22))),0))-IF($G$2,0,IF((T$6-$G$3)&lt;1,0,IFERROR(LOOKUP(2,1/(Sorgo!$E59:INDEX(Sorgo!$E59:$Z59,MIN(T$6-$G$3,22))&lt;&gt;""),Sorgo!$E59:INDEX(Sorgo!$E59:$Z59,MIN(T$6-$G$3,22))),0)))))</f>
        <v>0</v>
      </c>
      <c r="U61" s="27" t="n">
        <f aca="false">IF(COUNT(Sorgo!$E59:$Z59)=0,0,MAX(0,IF((U$6-$E$3)&lt;1,0,IFERROR(LOOKUP(2,1/(Sorgo!$E59:INDEX(Sorgo!$E59:$Z59,MIN(U$6-$E$3,22))&lt;&gt;""),Sorgo!$E59:INDEX(Sorgo!$E59:$Z59,MIN(U$6-$E$3,22))),0))-IF($G$2,0,IF((U$6-$G$3)&lt;1,0,IFERROR(LOOKUP(2,1/(Sorgo!$E59:INDEX(Sorgo!$E59:$Z59,MIN(U$6-$G$3,22))&lt;&gt;""),Sorgo!$E59:INDEX(Sorgo!$E59:$Z59,MIN(U$6-$G$3,22))),0)))))</f>
        <v>0</v>
      </c>
      <c r="V61" s="27" t="n">
        <f aca="false">IF(COUNT(Sorgo!$E59:$Z59)=0,0,MAX(0,IF((V$6-$E$3)&lt;1,0,IFERROR(LOOKUP(2,1/(Sorgo!$E59:INDEX(Sorgo!$E59:$Z59,MIN(V$6-$E$3,22))&lt;&gt;""),Sorgo!$E59:INDEX(Sorgo!$E59:$Z59,MIN(V$6-$E$3,22))),0))-IF($G$2,0,IF((V$6-$G$3)&lt;1,0,IFERROR(LOOKUP(2,1/(Sorgo!$E59:INDEX(Sorgo!$E59:$Z59,MIN(V$6-$G$3,22))&lt;&gt;""),Sorgo!$E59:INDEX(Sorgo!$E59:$Z59,MIN(V$6-$G$3,22))),0)))))</f>
        <v>0</v>
      </c>
      <c r="W61" s="27" t="n">
        <f aca="false">IF(COUNT(Sorgo!$E59:$Z59)=0,0,MAX(0,IF((W$6-$E$3)&lt;1,0,IFERROR(LOOKUP(2,1/(Sorgo!$E59:INDEX(Sorgo!$E59:$Z59,MIN(W$6-$E$3,22))&lt;&gt;""),Sorgo!$E59:INDEX(Sorgo!$E59:$Z59,MIN(W$6-$E$3,22))),0))-IF($G$2,0,IF((W$6-$G$3)&lt;1,0,IFERROR(LOOKUP(2,1/(Sorgo!$E59:INDEX(Sorgo!$E59:$Z59,MIN(W$6-$G$3,22))&lt;&gt;""),Sorgo!$E59:INDEX(Sorgo!$E59:$Z59,MIN(W$6-$G$3,22))),0)))))</f>
        <v>0</v>
      </c>
      <c r="X61" s="27" t="n">
        <f aca="false">IF(COUNT(Sorgo!$E59:$Z59)=0,0,MAX(0,IF((X$6-$E$3)&lt;1,0,IFERROR(LOOKUP(2,1/(Sorgo!$E59:INDEX(Sorgo!$E59:$Z59,MIN(X$6-$E$3,22))&lt;&gt;""),Sorgo!$E59:INDEX(Sorgo!$E59:$Z59,MIN(X$6-$E$3,22))),0))-IF($G$2,0,IF((X$6-$G$3)&lt;1,0,IFERROR(LOOKUP(2,1/(Sorgo!$E59:INDEX(Sorgo!$E59:$Z59,MIN(X$6-$G$3,22))&lt;&gt;""),Sorgo!$E59:INDEX(Sorgo!$E59:$Z59,MIN(X$6-$G$3,22))),0)))))</f>
        <v>0</v>
      </c>
      <c r="Y61" s="27" t="n">
        <f aca="false">IF(COUNT(Sorgo!$E59:$Z59)=0,0,MAX(0,IF((Y$6-$E$3)&lt;1,0,IFERROR(LOOKUP(2,1/(Sorgo!$E59:INDEX(Sorgo!$E59:$Z59,MIN(Y$6-$E$3,22))&lt;&gt;""),Sorgo!$E59:INDEX(Sorgo!$E59:$Z59,MIN(Y$6-$E$3,22))),0))-IF($G$2,0,IF((Y$6-$G$3)&lt;1,0,IFERROR(LOOKUP(2,1/(Sorgo!$E59:INDEX(Sorgo!$E59:$Z59,MIN(Y$6-$G$3,22))&lt;&gt;""),Sorgo!$E59:INDEX(Sorgo!$E59:$Z59,MIN(Y$6-$G$3,22))),0)))))</f>
        <v>0</v>
      </c>
      <c r="Z61" s="27" t="n">
        <f aca="false">IF(COUNT(Sorgo!$E59:$Z59)=0,0,MAX(0,IF((Z$6-$E$3)&lt;1,0,IFERROR(LOOKUP(2,1/(Sorgo!$E59:INDEX(Sorgo!$E59:$Z59,MIN(Z$6-$E$3,22))&lt;&gt;""),Sorgo!$E59:INDEX(Sorgo!$E59:$Z59,MIN(Z$6-$E$3,22))),0))-IF($G$2,0,IF((Z$6-$G$3)&lt;1,0,IFERROR(LOOKUP(2,1/(Sorgo!$E59:INDEX(Sorgo!$E59:$Z59,MIN(Z$6-$G$3,22))&lt;&gt;""),Sorgo!$E59:INDEX(Sorgo!$E59:$Z59,MIN(Z$6-$G$3,22))),0)))))</f>
        <v>0</v>
      </c>
      <c r="AA61" s="27" t="n">
        <f aca="false">IF(COUNT(Sorgo!$E59:$Z59)=0,0,MAX(0,IF((AA$6-$E$3)&lt;1,0,IFERROR(LOOKUP(2,1/(Sorgo!$E59:INDEX(Sorgo!$E59:$Z59,MIN(AA$6-$E$3,22))&lt;&gt;""),Sorgo!$E59:INDEX(Sorgo!$E59:$Z59,MIN(AA$6-$E$3,22))),0))-IF($G$2,0,IF((AA$6-$G$3)&lt;1,0,IFERROR(LOOKUP(2,1/(Sorgo!$E59:INDEX(Sorgo!$E59:$Z59,MIN(AA$6-$G$3,22))&lt;&gt;""),Sorgo!$E59:INDEX(Sorgo!$E59:$Z59,MIN(AA$6-$G$3,22))),0)))))</f>
        <v>0</v>
      </c>
      <c r="AB61" s="27" t="n">
        <f aca="false">IF(COUNT(Sorgo!$E59:$Z59)=0,0,MAX(0,IF((AB$6-$E$3)&lt;1,0,IFERROR(LOOKUP(2,1/(Sorgo!$E59:INDEX(Sorgo!$E59:$Z59,MIN(AB$6-$E$3,22))&lt;&gt;""),Sorgo!$E59:INDEX(Sorgo!$E59:$Z59,MIN(AB$6-$E$3,22))),0))-IF($G$2,0,IF((AB$6-$G$3)&lt;1,0,IFERROR(LOOKUP(2,1/(Sorgo!$E59:INDEX(Sorgo!$E59:$Z59,MIN(AB$6-$G$3,22))&lt;&gt;""),Sorgo!$E59:INDEX(Sorgo!$E59:$Z59,MIN(AB$6-$G$3,22))),0)))))</f>
        <v>0</v>
      </c>
      <c r="AC61" s="27" t="n">
        <f aca="false">IF(COUNT(Sorgo!$E59:$Z59)=0,0,MAX(0,IF((AC$6-$E$3)&lt;1,0,IFERROR(LOOKUP(2,1/(Sorgo!$E59:INDEX(Sorgo!$E59:$Z59,MIN(AC$6-$E$3,22))&lt;&gt;""),Sorgo!$E59:INDEX(Sorgo!$E59:$Z59,MIN(AC$6-$E$3,22))),0))-IF($G$2,0,IF((AC$6-$G$3)&lt;1,0,IFERROR(LOOKUP(2,1/(Sorgo!$E59:INDEX(Sorgo!$E59:$Z59,MIN(AC$6-$G$3,22))&lt;&gt;""),Sorgo!$E59:INDEX(Sorgo!$E59:$Z59,MIN(AC$6-$G$3,22))),0)))))</f>
        <v>0</v>
      </c>
      <c r="AD61" s="27" t="n">
        <f aca="false">IF(COUNT(Sorgo!$E59:$Z59)=0,0,MAX(0,IF((AD$6-$E$3)&lt;1,0,IFERROR(LOOKUP(2,1/(Sorgo!$E59:INDEX(Sorgo!$E59:$Z59,MIN(AD$6-$E$3,22))&lt;&gt;""),Sorgo!$E59:INDEX(Sorgo!$E59:$Z59,MIN(AD$6-$E$3,22))),0))-IF($G$2,0,IF((AD$6-$G$3)&lt;1,0,IFERROR(LOOKUP(2,1/(Sorgo!$E59:INDEX(Sorgo!$E59:$Z59,MIN(AD$6-$G$3,22))&lt;&gt;""),Sorgo!$E59:INDEX(Sorgo!$E59:$Z59,MIN(AD$6-$G$3,22))),0)))))</f>
        <v>0</v>
      </c>
      <c r="AE61" s="27" t="n">
        <f aca="false">IF(COUNT(Sorgo!$E59:$Z59)=0,0,MAX(0,IF((AE$6-$E$3)&lt;1,0,IFERROR(LOOKUP(2,1/(Sorgo!$E59:INDEX(Sorgo!$E59:$Z59,MIN(AE$6-$E$3,22))&lt;&gt;""),Sorgo!$E59:INDEX(Sorgo!$E59:$Z59,MIN(AE$6-$E$3,22))),0))-IF($G$2,0,IF((AE$6-$G$3)&lt;1,0,IFERROR(LOOKUP(2,1/(Sorgo!$E59:INDEX(Sorgo!$E59:$Z59,MIN(AE$6-$G$3,22))&lt;&gt;""),Sorgo!$E59:INDEX(Sorgo!$E59:$Z59,MIN(AE$6-$G$3,22))),0)))))</f>
        <v>0</v>
      </c>
      <c r="AF61" s="27" t="n">
        <f aca="false">IF(COUNT(Sorgo!$E59:$Z59)=0,0,MAX(0,IF((AF$6-$E$3)&lt;1,0,IFERROR(LOOKUP(2,1/(Sorgo!$E59:INDEX(Sorgo!$E59:$Z59,MIN(AF$6-$E$3,22))&lt;&gt;""),Sorgo!$E59:INDEX(Sorgo!$E59:$Z59,MIN(AF$6-$E$3,22))),0))-IF($G$2,0,IF((AF$6-$G$3)&lt;1,0,IFERROR(LOOKUP(2,1/(Sorgo!$E59:INDEX(Sorgo!$E59:$Z59,MIN(AF$6-$G$3,22))&lt;&gt;""),Sorgo!$E59:INDEX(Sorgo!$E59:$Z59,MIN(AF$6-$G$3,22))),0)))))</f>
        <v>0</v>
      </c>
      <c r="AG61" s="27" t="n">
        <f aca="false">IF(COUNT(Sorgo!$E59:$Z59)=0,0,MAX(0,IF((AG$6-$E$3)&lt;1,0,IFERROR(LOOKUP(2,1/(Sorgo!$E59:INDEX(Sorgo!$E59:$Z59,MIN(AG$6-$E$3,22))&lt;&gt;""),Sorgo!$E59:INDEX(Sorgo!$E59:$Z59,MIN(AG$6-$E$3,22))),0))-IF($G$2,0,IF((AG$6-$G$3)&lt;1,0,IFERROR(LOOKUP(2,1/(Sorgo!$E59:INDEX(Sorgo!$E59:$Z59,MIN(AG$6-$G$3,22))&lt;&gt;""),Sorgo!$E59:INDEX(Sorgo!$E59:$Z59,MIN(AG$6-$G$3,22))),0)))))</f>
        <v>0</v>
      </c>
      <c r="AH61" s="27" t="n">
        <f aca="false">IF(COUNT(Sorgo!$E59:$Z59)=0,0,MAX(0,IF((AH$6-$E$3)&lt;1,0,IFERROR(LOOKUP(2,1/(Sorgo!$E59:INDEX(Sorgo!$E59:$Z59,MIN(AH$6-$E$3,22))&lt;&gt;""),Sorgo!$E59:INDEX(Sorgo!$E59:$Z59,MIN(AH$6-$E$3,22))),0))-IF($G$2,0,IF((AH$6-$G$3)&lt;1,0,IFERROR(LOOKUP(2,1/(Sorgo!$E59:INDEX(Sorgo!$E59:$Z59,MIN(AH$6-$G$3,22))&lt;&gt;""),Sorgo!$E59:INDEX(Sorgo!$E59:$Z59,MIN(AH$6-$G$3,22))),0)))))</f>
        <v>0</v>
      </c>
      <c r="AI61" s="27" t="n">
        <f aca="false">IF(COUNT(Sorgo!$E59:$Z59)=0,0,MAX(0,IF((AI$6-$E$3)&lt;1,0,IFERROR(LOOKUP(2,1/(Sorgo!$E59:INDEX(Sorgo!$E59:$Z59,MIN(AI$6-$E$3,22))&lt;&gt;""),Sorgo!$E59:INDEX(Sorgo!$E59:$Z59,MIN(AI$6-$E$3,22))),0))-IF($G$2,0,IF((AI$6-$G$3)&lt;1,0,IFERROR(LOOKUP(2,1/(Sorgo!$E59:INDEX(Sorgo!$E59:$Z59,MIN(AI$6-$G$3,22))&lt;&gt;""),Sorgo!$E59:INDEX(Sorgo!$E59:$Z59,MIN(AI$6-$G$3,22))),0)))))</f>
        <v>0</v>
      </c>
      <c r="AJ61" s="27" t="n">
        <f aca="false">IF(COUNT(Sorgo!$E59:$Z59)=0,0,MAX(0,IF((AJ$6-$E$3)&lt;1,0,IFERROR(LOOKUP(2,1/(Sorgo!$E59:INDEX(Sorgo!$E59:$Z59,MIN(AJ$6-$E$3,22))&lt;&gt;""),Sorgo!$E59:INDEX(Sorgo!$E59:$Z59,MIN(AJ$6-$E$3,22))),0))-IF($G$2,0,IF((AJ$6-$G$3)&lt;1,0,IFERROR(LOOKUP(2,1/(Sorgo!$E59:INDEX(Sorgo!$E59:$Z59,MIN(AJ$6-$G$3,22))&lt;&gt;""),Sorgo!$E59:INDEX(Sorgo!$E59:$Z59,MIN(AJ$6-$G$3,22))),0)))))</f>
        <v>0</v>
      </c>
      <c r="AK61" s="27" t="n">
        <f aca="false">IF(COUNT(Sorgo!$E59:$Z59)=0,0,MAX(0,IF((AK$6-$E$3)&lt;1,0,IFERROR(LOOKUP(2,1/(Sorgo!$E59:INDEX(Sorgo!$E59:$Z59,MIN(AK$6-$E$3,22))&lt;&gt;""),Sorgo!$E59:INDEX(Sorgo!$E59:$Z59,MIN(AK$6-$E$3,22))),0))-IF($G$2,0,IF((AK$6-$G$3)&lt;1,0,IFERROR(LOOKUP(2,1/(Sorgo!$E59:INDEX(Sorgo!$E59:$Z59,MIN(AK$6-$G$3,22))&lt;&gt;""),Sorgo!$E59:INDEX(Sorgo!$E59:$Z59,MIN(AK$6-$G$3,22))),0)))))</f>
        <v>0</v>
      </c>
      <c r="AL61" s="27" t="n">
        <f aca="false">IF(COUNT(Sorgo!$E59:$Z59)=0,0,MAX(0,IF((AL$6-$E$3)&lt;1,0,IFERROR(LOOKUP(2,1/(Sorgo!$E59:INDEX(Sorgo!$E59:$Z59,MIN(AL$6-$E$3,22))&lt;&gt;""),Sorgo!$E59:INDEX(Sorgo!$E59:$Z59,MIN(AL$6-$E$3,22))),0))-IF($G$2,0,IF((AL$6-$G$3)&lt;1,0,IFERROR(LOOKUP(2,1/(Sorgo!$E59:INDEX(Sorgo!$E59:$Z59,MIN(AL$6-$G$3,22))&lt;&gt;""),Sorgo!$E59:INDEX(Sorgo!$E59:$Z59,MIN(AL$6-$G$3,22))),0)))))</f>
        <v>0</v>
      </c>
      <c r="AM61" s="27" t="n">
        <f aca="false">IF(COUNT(Sorgo!$E59:$Z59)=0,0,MAX(0,IF((AM$6-$E$3)&lt;1,0,IFERROR(LOOKUP(2,1/(Sorgo!$E59:INDEX(Sorgo!$E59:$Z59,MIN(AM$6-$E$3,22))&lt;&gt;""),Sorgo!$E59:INDEX(Sorgo!$E59:$Z59,MIN(AM$6-$E$3,22))),0))-IF($G$2,0,IF((AM$6-$G$3)&lt;1,0,IFERROR(LOOKUP(2,1/(Sorgo!$E59:INDEX(Sorgo!$E59:$Z59,MIN(AM$6-$G$3,22))&lt;&gt;""),Sorgo!$E59:INDEX(Sorgo!$E59:$Z59,MIN(AM$6-$G$3,22))),0)))))</f>
        <v>0</v>
      </c>
      <c r="AN61" s="27" t="n">
        <f aca="false">IF(COUNT(Sorgo!$E59:$Z59)=0,0,MAX(0,IF((AN$6-$E$3)&lt;1,0,IFERROR(LOOKUP(2,1/(Sorgo!$E59:INDEX(Sorgo!$E59:$Z59,MIN(AN$6-$E$3,22))&lt;&gt;""),Sorgo!$E59:INDEX(Sorgo!$E59:$Z59,MIN(AN$6-$E$3,22))),0))-IF($G$2,0,IF((AN$6-$G$3)&lt;1,0,IFERROR(LOOKUP(2,1/(Sorgo!$E59:INDEX(Sorgo!$E59:$Z59,MIN(AN$6-$G$3,22))&lt;&gt;""),Sorgo!$E59:INDEX(Sorgo!$E59:$Z59,MIN(AN$6-$G$3,22))),0)))))</f>
        <v>0</v>
      </c>
      <c r="AO61" s="27" t="n">
        <f aca="false">IF(COUNT(Sorgo!$E59:$Z59)=0,0,MAX(0,IF((AO$6-$E$3)&lt;1,0,IFERROR(LOOKUP(2,1/(Sorgo!$E59:INDEX(Sorgo!$E59:$Z59,MIN(AO$6-$E$3,22))&lt;&gt;""),Sorgo!$E59:INDEX(Sorgo!$E59:$Z59,MIN(AO$6-$E$3,22))),0))-IF($G$2,0,IF((AO$6-$G$3)&lt;1,0,IFERROR(LOOKUP(2,1/(Sorgo!$E59:INDEX(Sorgo!$E59:$Z59,MIN(AO$6-$G$3,22))&lt;&gt;""),Sorgo!$E59:INDEX(Sorgo!$E59:$Z59,MIN(AO$6-$G$3,22))),0)))))</f>
        <v>0</v>
      </c>
      <c r="AP61" s="27" t="n">
        <f aca="false">IF(COUNT(Sorgo!$E59:$Z59)=0,0,MAX(0,IF((AP$6-$E$3)&lt;1,0,IFERROR(LOOKUP(2,1/(Sorgo!$E59:INDEX(Sorgo!$E59:$Z59,MIN(AP$6-$E$3,22))&lt;&gt;""),Sorgo!$E59:INDEX(Sorgo!$E59:$Z59,MIN(AP$6-$E$3,22))),0))-IF($G$2,0,IF((AP$6-$G$3)&lt;1,0,IFERROR(LOOKUP(2,1/(Sorgo!$E59:INDEX(Sorgo!$E59:$Z59,MIN(AP$6-$G$3,22))&lt;&gt;""),Sorgo!$E59:INDEX(Sorgo!$E59:$Z59,MIN(AP$6-$G$3,22))),0)))))</f>
        <v>0</v>
      </c>
      <c r="AQ61" s="27" t="n">
        <f aca="false">IF(COUNT(Sorgo!$E59:$Z59)=0,0,MAX(0,IF((AQ$6-$E$3)&lt;1,0,IFERROR(LOOKUP(2,1/(Sorgo!$E59:INDEX(Sorgo!$E59:$Z59,MIN(AQ$6-$E$3,22))&lt;&gt;""),Sorgo!$E59:INDEX(Sorgo!$E59:$Z59,MIN(AQ$6-$E$3,22))),0))-IF($G$2,0,IF((AQ$6-$G$3)&lt;1,0,IFERROR(LOOKUP(2,1/(Sorgo!$E59:INDEX(Sorgo!$E59:$Z59,MIN(AQ$6-$G$3,22))&lt;&gt;""),Sorgo!$E59:INDEX(Sorgo!$E59:$Z59,MIN(AQ$6-$G$3,22))),0)))))</f>
        <v>0</v>
      </c>
      <c r="AR61" s="27" t="n">
        <f aca="false">IF(COUNT(Sorgo!$E59:$Z59)=0,0,MAX(0,IF((AR$6-$E$3)&lt;1,0,IFERROR(LOOKUP(2,1/(Sorgo!$E59:INDEX(Sorgo!$E59:$Z59,MIN(AR$6-$E$3,22))&lt;&gt;""),Sorgo!$E59:INDEX(Sorgo!$E59:$Z59,MIN(AR$6-$E$3,22))),0))-IF($G$2,0,IF((AR$6-$G$3)&lt;1,0,IFERROR(LOOKUP(2,1/(Sorgo!$E59:INDEX(Sorgo!$E59:$Z59,MIN(AR$6-$G$3,22))&lt;&gt;""),Sorgo!$E59:INDEX(Sorgo!$E59:$Z59,MIN(AR$6-$G$3,22))),0)))))</f>
        <v>0</v>
      </c>
      <c r="AS61" s="27" t="n">
        <f aca="false">IF(COUNT(Sorgo!$E59:$Z59)=0,0,MAX(0,IF((AS$6-$E$3)&lt;1,0,IFERROR(LOOKUP(2,1/(Sorgo!$E59:INDEX(Sorgo!$E59:$Z59,MIN(AS$6-$E$3,22))&lt;&gt;""),Sorgo!$E59:INDEX(Sorgo!$E59:$Z59,MIN(AS$6-$E$3,22))),0))-IF($G$2,0,IF((AS$6-$G$3)&lt;1,0,IFERROR(LOOKUP(2,1/(Sorgo!$E59:INDEX(Sorgo!$E59:$Z59,MIN(AS$6-$G$3,22))&lt;&gt;""),Sorgo!$E59:INDEX(Sorgo!$E59:$Z59,MIN(AS$6-$G$3,22))),0)))))</f>
        <v>0</v>
      </c>
      <c r="AT61" s="27" t="n">
        <f aca="false">IF(COUNT(Sorgo!$E59:$Z59)=0,0,MAX(0,IF((AT$6-$E$3)&lt;1,0,IFERROR(LOOKUP(2,1/(Sorgo!$E59:INDEX(Sorgo!$E59:$Z59,MIN(AT$6-$E$3,22))&lt;&gt;""),Sorgo!$E59:INDEX(Sorgo!$E59:$Z59,MIN(AT$6-$E$3,22))),0))-IF($G$2,0,IF((AT$6-$G$3)&lt;1,0,IFERROR(LOOKUP(2,1/(Sorgo!$E59:INDEX(Sorgo!$E59:$Z59,MIN(AT$6-$G$3,22))&lt;&gt;""),Sorgo!$E59:INDEX(Sorgo!$E59:$Z59,MIN(AT$6-$G$3,22))),0)))))</f>
        <v>0</v>
      </c>
      <c r="AU61" s="27" t="n">
        <f aca="false">IF(COUNT(Sorgo!$E59:$Z59)=0,0,MAX(0,IF((AU$6-$E$3)&lt;1,0,IFERROR(LOOKUP(2,1/(Sorgo!$E59:INDEX(Sorgo!$E59:$Z59,MIN(AU$6-$E$3,22))&lt;&gt;""),Sorgo!$E59:INDEX(Sorgo!$E59:$Z59,MIN(AU$6-$E$3,22))),0))-IF($G$2,0,IF((AU$6-$G$3)&lt;1,0,IFERROR(LOOKUP(2,1/(Sorgo!$E59:INDEX(Sorgo!$E59:$Z59,MIN(AU$6-$G$3,22))&lt;&gt;""),Sorgo!$E59:INDEX(Sorgo!$E59:$Z59,MIN(AU$6-$G$3,22))),0)))))</f>
        <v>0</v>
      </c>
      <c r="AV61" s="27" t="n">
        <f aca="false">IF(COUNT(Sorgo!$E59:$Z59)=0,0,MAX(0,IF((AV$6-$E$3)&lt;1,0,IFERROR(LOOKUP(2,1/(Sorgo!$E59:INDEX(Sorgo!$E59:$Z59,MIN(AV$6-$E$3,22))&lt;&gt;""),Sorgo!$E59:INDEX(Sorgo!$E59:$Z59,MIN(AV$6-$E$3,22))),0))-IF($G$2,0,IF((AV$6-$G$3)&lt;1,0,IFERROR(LOOKUP(2,1/(Sorgo!$E59:INDEX(Sorgo!$E59:$Z59,MIN(AV$6-$G$3,22))&lt;&gt;""),Sorgo!$E59:INDEX(Sorgo!$E59:$Z59,MIN(AV$6-$G$3,22))),0)))))</f>
        <v>0</v>
      </c>
      <c r="AW61" s="27" t="n">
        <f aca="false">IF(COUNT(Sorgo!$E59:$Z59)=0,0,MAX(0,IF((AW$6-$E$3)&lt;1,0,IFERROR(LOOKUP(2,1/(Sorgo!$E59:INDEX(Sorgo!$E59:$Z59,MIN(AW$6-$E$3,22))&lt;&gt;""),Sorgo!$E59:INDEX(Sorgo!$E59:$Z59,MIN(AW$6-$E$3,22))),0))-IF($G$2,0,IF((AW$6-$G$3)&lt;1,0,IFERROR(LOOKUP(2,1/(Sorgo!$E59:INDEX(Sorgo!$E59:$Z59,MIN(AW$6-$G$3,22))&lt;&gt;""),Sorgo!$E59:INDEX(Sorgo!$E59:$Z59,MIN(AW$6-$G$3,22))),0)))))</f>
        <v>0</v>
      </c>
      <c r="AX61" s="27" t="n">
        <f aca="false">IF(COUNT(Sorgo!$E59:$Z59)=0,0,MAX(0,IF((AX$6-$E$3)&lt;1,0,IFERROR(LOOKUP(2,1/(Sorgo!$E59:INDEX(Sorgo!$E59:$Z59,MIN(AX$6-$E$3,22))&lt;&gt;""),Sorgo!$E59:INDEX(Sorgo!$E59:$Z59,MIN(AX$6-$E$3,22))),0))-IF($G$2,0,IF((AX$6-$G$3)&lt;1,0,IFERROR(LOOKUP(2,1/(Sorgo!$E59:INDEX(Sorgo!$E59:$Z59,MIN(AX$6-$G$3,22))&lt;&gt;""),Sorgo!$E59:INDEX(Sorgo!$E59:$Z59,MIN(AX$6-$G$3,22))),0)))))</f>
        <v>0</v>
      </c>
      <c r="AY61" s="27" t="n">
        <f aca="false">IF(COUNT(Sorgo!$E59:$Z59)=0,0,MAX(0,IF((AY$6-$E$3)&lt;1,0,IFERROR(LOOKUP(2,1/(Sorgo!$E59:INDEX(Sorgo!$E59:$Z59,MIN(AY$6-$E$3,22))&lt;&gt;""),Sorgo!$E59:INDEX(Sorgo!$E59:$Z59,MIN(AY$6-$E$3,22))),0))-IF($G$2,0,IF((AY$6-$G$3)&lt;1,0,IFERROR(LOOKUP(2,1/(Sorgo!$E59:INDEX(Sorgo!$E59:$Z59,MIN(AY$6-$G$3,22))&lt;&gt;""),Sorgo!$E59:INDEX(Sorgo!$E59:$Z59,MIN(AY$6-$G$3,22))),0)))))</f>
        <v>0</v>
      </c>
      <c r="AZ61" s="27" t="n">
        <f aca="false">IF(COUNT(Sorgo!$E59:$Z59)=0,0,MAX(0,IF((AZ$6-$E$3)&lt;1,0,IFERROR(LOOKUP(2,1/(Sorgo!$E59:INDEX(Sorgo!$E59:$Z59,MIN(AZ$6-$E$3,22))&lt;&gt;""),Sorgo!$E59:INDEX(Sorgo!$E59:$Z59,MIN(AZ$6-$E$3,22))),0))-IF($G$2,0,IF((AZ$6-$G$3)&lt;1,0,IFERROR(LOOKUP(2,1/(Sorgo!$E59:INDEX(Sorgo!$E59:$Z59,MIN(AZ$6-$G$3,22))&lt;&gt;""),Sorgo!$E59:INDEX(Sorgo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IF(COUNT(Sorgo!$E60:$Z60)&gt;0,N(Sorgo!$D60),0)</f>
        <v>0</v>
      </c>
      <c r="E62" s="27" t="n">
        <f aca="false">IF(COUNT(Sorgo!$E60:$Z60)=0,0,MAX(0,IF((E$6-$E$3)&lt;1,0,IFERROR(LOOKUP(2,1/(Sorgo!$E60:INDEX(Sorgo!$E60:$Z60,MIN(E$6-$E$3,22))&lt;&gt;""),Sorgo!$E60:INDEX(Sorgo!$E60:$Z60,MIN(E$6-$E$3,22))),0))-IF($G$2,0,IF((E$6-$G$3)&lt;1,0,IFERROR(LOOKUP(2,1/(Sorgo!$E60:INDEX(Sorgo!$E60:$Z60,MIN(E$6-$G$3,22))&lt;&gt;""),Sorgo!$E60:INDEX(Sorgo!$E60:$Z60,MIN(E$6-$G$3,22))),0)))))</f>
        <v>0</v>
      </c>
      <c r="F62" s="27" t="n">
        <f aca="false">IF(COUNT(Sorgo!$E60:$Z60)=0,0,MAX(0,IF((F$6-$E$3)&lt;1,0,IFERROR(LOOKUP(2,1/(Sorgo!$E60:INDEX(Sorgo!$E60:$Z60,MIN(F$6-$E$3,22))&lt;&gt;""),Sorgo!$E60:INDEX(Sorgo!$E60:$Z60,MIN(F$6-$E$3,22))),0))-IF($G$2,0,IF((F$6-$G$3)&lt;1,0,IFERROR(LOOKUP(2,1/(Sorgo!$E60:INDEX(Sorgo!$E60:$Z60,MIN(F$6-$G$3,22))&lt;&gt;""),Sorgo!$E60:INDEX(Sorgo!$E60:$Z60,MIN(F$6-$G$3,22))),0)))))</f>
        <v>0</v>
      </c>
      <c r="G62" s="27" t="n">
        <f aca="false">IF(COUNT(Sorgo!$E60:$Z60)=0,0,MAX(0,IF((G$6-$E$3)&lt;1,0,IFERROR(LOOKUP(2,1/(Sorgo!$E60:INDEX(Sorgo!$E60:$Z60,MIN(G$6-$E$3,22))&lt;&gt;""),Sorgo!$E60:INDEX(Sorgo!$E60:$Z60,MIN(G$6-$E$3,22))),0))-IF($G$2,0,IF((G$6-$G$3)&lt;1,0,IFERROR(LOOKUP(2,1/(Sorgo!$E60:INDEX(Sorgo!$E60:$Z60,MIN(G$6-$G$3,22))&lt;&gt;""),Sorgo!$E60:INDEX(Sorgo!$E60:$Z60,MIN(G$6-$G$3,22))),0)))))</f>
        <v>0</v>
      </c>
      <c r="H62" s="27" t="n">
        <f aca="false">IF(COUNT(Sorgo!$E60:$Z60)=0,0,MAX(0,IF((H$6-$E$3)&lt;1,0,IFERROR(LOOKUP(2,1/(Sorgo!$E60:INDEX(Sorgo!$E60:$Z60,MIN(H$6-$E$3,22))&lt;&gt;""),Sorgo!$E60:INDEX(Sorgo!$E60:$Z60,MIN(H$6-$E$3,22))),0))-IF($G$2,0,IF((H$6-$G$3)&lt;1,0,IFERROR(LOOKUP(2,1/(Sorgo!$E60:INDEX(Sorgo!$E60:$Z60,MIN(H$6-$G$3,22))&lt;&gt;""),Sorgo!$E60:INDEX(Sorgo!$E60:$Z60,MIN(H$6-$G$3,22))),0)))))</f>
        <v>0</v>
      </c>
      <c r="I62" s="27" t="n">
        <f aca="false">IF(COUNT(Sorgo!$E60:$Z60)=0,0,MAX(0,IF((I$6-$E$3)&lt;1,0,IFERROR(LOOKUP(2,1/(Sorgo!$E60:INDEX(Sorgo!$E60:$Z60,MIN(I$6-$E$3,22))&lt;&gt;""),Sorgo!$E60:INDEX(Sorgo!$E60:$Z60,MIN(I$6-$E$3,22))),0))-IF($G$2,0,IF((I$6-$G$3)&lt;1,0,IFERROR(LOOKUP(2,1/(Sorgo!$E60:INDEX(Sorgo!$E60:$Z60,MIN(I$6-$G$3,22))&lt;&gt;""),Sorgo!$E60:INDEX(Sorgo!$E60:$Z60,MIN(I$6-$G$3,22))),0)))))</f>
        <v>0</v>
      </c>
      <c r="J62" s="27" t="n">
        <f aca="false">IF(COUNT(Sorgo!$E60:$Z60)=0,0,MAX(0,IF((J$6-$E$3)&lt;1,0,IFERROR(LOOKUP(2,1/(Sorgo!$E60:INDEX(Sorgo!$E60:$Z60,MIN(J$6-$E$3,22))&lt;&gt;""),Sorgo!$E60:INDEX(Sorgo!$E60:$Z60,MIN(J$6-$E$3,22))),0))-IF($G$2,0,IF((J$6-$G$3)&lt;1,0,IFERROR(LOOKUP(2,1/(Sorgo!$E60:INDEX(Sorgo!$E60:$Z60,MIN(J$6-$G$3,22))&lt;&gt;""),Sorgo!$E60:INDEX(Sorgo!$E60:$Z60,MIN(J$6-$G$3,22))),0)))))</f>
        <v>0</v>
      </c>
      <c r="K62" s="27" t="n">
        <f aca="false">IF(COUNT(Sorgo!$E60:$Z60)=0,0,MAX(0,IF((K$6-$E$3)&lt;1,0,IFERROR(LOOKUP(2,1/(Sorgo!$E60:INDEX(Sorgo!$E60:$Z60,MIN(K$6-$E$3,22))&lt;&gt;""),Sorgo!$E60:INDEX(Sorgo!$E60:$Z60,MIN(K$6-$E$3,22))),0))-IF($G$2,0,IF((K$6-$G$3)&lt;1,0,IFERROR(LOOKUP(2,1/(Sorgo!$E60:INDEX(Sorgo!$E60:$Z60,MIN(K$6-$G$3,22))&lt;&gt;""),Sorgo!$E60:INDEX(Sorgo!$E60:$Z60,MIN(K$6-$G$3,22))),0)))))</f>
        <v>0</v>
      </c>
      <c r="L62" s="27" t="n">
        <f aca="false">IF(COUNT(Sorgo!$E60:$Z60)=0,0,MAX(0,IF((L$6-$E$3)&lt;1,0,IFERROR(LOOKUP(2,1/(Sorgo!$E60:INDEX(Sorgo!$E60:$Z60,MIN(L$6-$E$3,22))&lt;&gt;""),Sorgo!$E60:INDEX(Sorgo!$E60:$Z60,MIN(L$6-$E$3,22))),0))-IF($G$2,0,IF((L$6-$G$3)&lt;1,0,IFERROR(LOOKUP(2,1/(Sorgo!$E60:INDEX(Sorgo!$E60:$Z60,MIN(L$6-$G$3,22))&lt;&gt;""),Sorgo!$E60:INDEX(Sorgo!$E60:$Z60,MIN(L$6-$G$3,22))),0)))))</f>
        <v>0</v>
      </c>
      <c r="M62" s="27" t="n">
        <f aca="false">IF(COUNT(Sorgo!$E60:$Z60)=0,0,MAX(0,IF((M$6-$E$3)&lt;1,0,IFERROR(LOOKUP(2,1/(Sorgo!$E60:INDEX(Sorgo!$E60:$Z60,MIN(M$6-$E$3,22))&lt;&gt;""),Sorgo!$E60:INDEX(Sorgo!$E60:$Z60,MIN(M$6-$E$3,22))),0))-IF($G$2,0,IF((M$6-$G$3)&lt;1,0,IFERROR(LOOKUP(2,1/(Sorgo!$E60:INDEX(Sorgo!$E60:$Z60,MIN(M$6-$G$3,22))&lt;&gt;""),Sorgo!$E60:INDEX(Sorgo!$E60:$Z60,MIN(M$6-$G$3,22))),0)))))</f>
        <v>0</v>
      </c>
      <c r="N62" s="27" t="n">
        <f aca="false">IF(COUNT(Sorgo!$E60:$Z60)=0,0,MAX(0,IF((N$6-$E$3)&lt;1,0,IFERROR(LOOKUP(2,1/(Sorgo!$E60:INDEX(Sorgo!$E60:$Z60,MIN(N$6-$E$3,22))&lt;&gt;""),Sorgo!$E60:INDEX(Sorgo!$E60:$Z60,MIN(N$6-$E$3,22))),0))-IF($G$2,0,IF((N$6-$G$3)&lt;1,0,IFERROR(LOOKUP(2,1/(Sorgo!$E60:INDEX(Sorgo!$E60:$Z60,MIN(N$6-$G$3,22))&lt;&gt;""),Sorgo!$E60:INDEX(Sorgo!$E60:$Z60,MIN(N$6-$G$3,22))),0)))))</f>
        <v>0</v>
      </c>
      <c r="O62" s="27" t="n">
        <f aca="false">IF(COUNT(Sorgo!$E60:$Z60)=0,0,MAX(0,IF((O$6-$E$3)&lt;1,0,IFERROR(LOOKUP(2,1/(Sorgo!$E60:INDEX(Sorgo!$E60:$Z60,MIN(O$6-$E$3,22))&lt;&gt;""),Sorgo!$E60:INDEX(Sorgo!$E60:$Z60,MIN(O$6-$E$3,22))),0))-IF($G$2,0,IF((O$6-$G$3)&lt;1,0,IFERROR(LOOKUP(2,1/(Sorgo!$E60:INDEX(Sorgo!$E60:$Z60,MIN(O$6-$G$3,22))&lt;&gt;""),Sorgo!$E60:INDEX(Sorgo!$E60:$Z60,MIN(O$6-$G$3,22))),0)))))</f>
        <v>0</v>
      </c>
      <c r="P62" s="27" t="n">
        <f aca="false">IF(COUNT(Sorgo!$E60:$Z60)=0,0,MAX(0,IF((P$6-$E$3)&lt;1,0,IFERROR(LOOKUP(2,1/(Sorgo!$E60:INDEX(Sorgo!$E60:$Z60,MIN(P$6-$E$3,22))&lt;&gt;""),Sorgo!$E60:INDEX(Sorgo!$E60:$Z60,MIN(P$6-$E$3,22))),0))-IF($G$2,0,IF((P$6-$G$3)&lt;1,0,IFERROR(LOOKUP(2,1/(Sorgo!$E60:INDEX(Sorgo!$E60:$Z60,MIN(P$6-$G$3,22))&lt;&gt;""),Sorgo!$E60:INDEX(Sorgo!$E60:$Z60,MIN(P$6-$G$3,22))),0)))))</f>
        <v>0</v>
      </c>
      <c r="Q62" s="27" t="n">
        <f aca="false">IF(COUNT(Sorgo!$E60:$Z60)=0,0,MAX(0,IF((Q$6-$E$3)&lt;1,0,IFERROR(LOOKUP(2,1/(Sorgo!$E60:INDEX(Sorgo!$E60:$Z60,MIN(Q$6-$E$3,22))&lt;&gt;""),Sorgo!$E60:INDEX(Sorgo!$E60:$Z60,MIN(Q$6-$E$3,22))),0))-IF($G$2,0,IF((Q$6-$G$3)&lt;1,0,IFERROR(LOOKUP(2,1/(Sorgo!$E60:INDEX(Sorgo!$E60:$Z60,MIN(Q$6-$G$3,22))&lt;&gt;""),Sorgo!$E60:INDEX(Sorgo!$E60:$Z60,MIN(Q$6-$G$3,22))),0)))))</f>
        <v>0</v>
      </c>
      <c r="R62" s="27" t="n">
        <f aca="false">IF(COUNT(Sorgo!$E60:$Z60)=0,0,MAX(0,IF((R$6-$E$3)&lt;1,0,IFERROR(LOOKUP(2,1/(Sorgo!$E60:INDEX(Sorgo!$E60:$Z60,MIN(R$6-$E$3,22))&lt;&gt;""),Sorgo!$E60:INDEX(Sorgo!$E60:$Z60,MIN(R$6-$E$3,22))),0))-IF($G$2,0,IF((R$6-$G$3)&lt;1,0,IFERROR(LOOKUP(2,1/(Sorgo!$E60:INDEX(Sorgo!$E60:$Z60,MIN(R$6-$G$3,22))&lt;&gt;""),Sorgo!$E60:INDEX(Sorgo!$E60:$Z60,MIN(R$6-$G$3,22))),0)))))</f>
        <v>0</v>
      </c>
      <c r="S62" s="27" t="n">
        <f aca="false">IF(COUNT(Sorgo!$E60:$Z60)=0,0,MAX(0,IF((S$6-$E$3)&lt;1,0,IFERROR(LOOKUP(2,1/(Sorgo!$E60:INDEX(Sorgo!$E60:$Z60,MIN(S$6-$E$3,22))&lt;&gt;""),Sorgo!$E60:INDEX(Sorgo!$E60:$Z60,MIN(S$6-$E$3,22))),0))-IF($G$2,0,IF((S$6-$G$3)&lt;1,0,IFERROR(LOOKUP(2,1/(Sorgo!$E60:INDEX(Sorgo!$E60:$Z60,MIN(S$6-$G$3,22))&lt;&gt;""),Sorgo!$E60:INDEX(Sorgo!$E60:$Z60,MIN(S$6-$G$3,22))),0)))))</f>
        <v>0</v>
      </c>
      <c r="T62" s="27" t="n">
        <f aca="false">IF(COUNT(Sorgo!$E60:$Z60)=0,0,MAX(0,IF((T$6-$E$3)&lt;1,0,IFERROR(LOOKUP(2,1/(Sorgo!$E60:INDEX(Sorgo!$E60:$Z60,MIN(T$6-$E$3,22))&lt;&gt;""),Sorgo!$E60:INDEX(Sorgo!$E60:$Z60,MIN(T$6-$E$3,22))),0))-IF($G$2,0,IF((T$6-$G$3)&lt;1,0,IFERROR(LOOKUP(2,1/(Sorgo!$E60:INDEX(Sorgo!$E60:$Z60,MIN(T$6-$G$3,22))&lt;&gt;""),Sorgo!$E60:INDEX(Sorgo!$E60:$Z60,MIN(T$6-$G$3,22))),0)))))</f>
        <v>0</v>
      </c>
      <c r="U62" s="27" t="n">
        <f aca="false">IF(COUNT(Sorgo!$E60:$Z60)=0,0,MAX(0,IF((U$6-$E$3)&lt;1,0,IFERROR(LOOKUP(2,1/(Sorgo!$E60:INDEX(Sorgo!$E60:$Z60,MIN(U$6-$E$3,22))&lt;&gt;""),Sorgo!$E60:INDEX(Sorgo!$E60:$Z60,MIN(U$6-$E$3,22))),0))-IF($G$2,0,IF((U$6-$G$3)&lt;1,0,IFERROR(LOOKUP(2,1/(Sorgo!$E60:INDEX(Sorgo!$E60:$Z60,MIN(U$6-$G$3,22))&lt;&gt;""),Sorgo!$E60:INDEX(Sorgo!$E60:$Z60,MIN(U$6-$G$3,22))),0)))))</f>
        <v>0</v>
      </c>
      <c r="V62" s="27" t="n">
        <f aca="false">IF(COUNT(Sorgo!$E60:$Z60)=0,0,MAX(0,IF((V$6-$E$3)&lt;1,0,IFERROR(LOOKUP(2,1/(Sorgo!$E60:INDEX(Sorgo!$E60:$Z60,MIN(V$6-$E$3,22))&lt;&gt;""),Sorgo!$E60:INDEX(Sorgo!$E60:$Z60,MIN(V$6-$E$3,22))),0))-IF($G$2,0,IF((V$6-$G$3)&lt;1,0,IFERROR(LOOKUP(2,1/(Sorgo!$E60:INDEX(Sorgo!$E60:$Z60,MIN(V$6-$G$3,22))&lt;&gt;""),Sorgo!$E60:INDEX(Sorgo!$E60:$Z60,MIN(V$6-$G$3,22))),0)))))</f>
        <v>0</v>
      </c>
      <c r="W62" s="27" t="n">
        <f aca="false">IF(COUNT(Sorgo!$E60:$Z60)=0,0,MAX(0,IF((W$6-$E$3)&lt;1,0,IFERROR(LOOKUP(2,1/(Sorgo!$E60:INDEX(Sorgo!$E60:$Z60,MIN(W$6-$E$3,22))&lt;&gt;""),Sorgo!$E60:INDEX(Sorgo!$E60:$Z60,MIN(W$6-$E$3,22))),0))-IF($G$2,0,IF((W$6-$G$3)&lt;1,0,IFERROR(LOOKUP(2,1/(Sorgo!$E60:INDEX(Sorgo!$E60:$Z60,MIN(W$6-$G$3,22))&lt;&gt;""),Sorgo!$E60:INDEX(Sorgo!$E60:$Z60,MIN(W$6-$G$3,22))),0)))))</f>
        <v>0</v>
      </c>
      <c r="X62" s="27" t="n">
        <f aca="false">IF(COUNT(Sorgo!$E60:$Z60)=0,0,MAX(0,IF((X$6-$E$3)&lt;1,0,IFERROR(LOOKUP(2,1/(Sorgo!$E60:INDEX(Sorgo!$E60:$Z60,MIN(X$6-$E$3,22))&lt;&gt;""),Sorgo!$E60:INDEX(Sorgo!$E60:$Z60,MIN(X$6-$E$3,22))),0))-IF($G$2,0,IF((X$6-$G$3)&lt;1,0,IFERROR(LOOKUP(2,1/(Sorgo!$E60:INDEX(Sorgo!$E60:$Z60,MIN(X$6-$G$3,22))&lt;&gt;""),Sorgo!$E60:INDEX(Sorgo!$E60:$Z60,MIN(X$6-$G$3,22))),0)))))</f>
        <v>0</v>
      </c>
      <c r="Y62" s="27" t="n">
        <f aca="false">IF(COUNT(Sorgo!$E60:$Z60)=0,0,MAX(0,IF((Y$6-$E$3)&lt;1,0,IFERROR(LOOKUP(2,1/(Sorgo!$E60:INDEX(Sorgo!$E60:$Z60,MIN(Y$6-$E$3,22))&lt;&gt;""),Sorgo!$E60:INDEX(Sorgo!$E60:$Z60,MIN(Y$6-$E$3,22))),0))-IF($G$2,0,IF((Y$6-$G$3)&lt;1,0,IFERROR(LOOKUP(2,1/(Sorgo!$E60:INDEX(Sorgo!$E60:$Z60,MIN(Y$6-$G$3,22))&lt;&gt;""),Sorgo!$E60:INDEX(Sorgo!$E60:$Z60,MIN(Y$6-$G$3,22))),0)))))</f>
        <v>0</v>
      </c>
      <c r="Z62" s="27" t="n">
        <f aca="false">IF(COUNT(Sorgo!$E60:$Z60)=0,0,MAX(0,IF((Z$6-$E$3)&lt;1,0,IFERROR(LOOKUP(2,1/(Sorgo!$E60:INDEX(Sorgo!$E60:$Z60,MIN(Z$6-$E$3,22))&lt;&gt;""),Sorgo!$E60:INDEX(Sorgo!$E60:$Z60,MIN(Z$6-$E$3,22))),0))-IF($G$2,0,IF((Z$6-$G$3)&lt;1,0,IFERROR(LOOKUP(2,1/(Sorgo!$E60:INDEX(Sorgo!$E60:$Z60,MIN(Z$6-$G$3,22))&lt;&gt;""),Sorgo!$E60:INDEX(Sorgo!$E60:$Z60,MIN(Z$6-$G$3,22))),0)))))</f>
        <v>0</v>
      </c>
      <c r="AA62" s="27" t="n">
        <f aca="false">IF(COUNT(Sorgo!$E60:$Z60)=0,0,MAX(0,IF((AA$6-$E$3)&lt;1,0,IFERROR(LOOKUP(2,1/(Sorgo!$E60:INDEX(Sorgo!$E60:$Z60,MIN(AA$6-$E$3,22))&lt;&gt;""),Sorgo!$E60:INDEX(Sorgo!$E60:$Z60,MIN(AA$6-$E$3,22))),0))-IF($G$2,0,IF((AA$6-$G$3)&lt;1,0,IFERROR(LOOKUP(2,1/(Sorgo!$E60:INDEX(Sorgo!$E60:$Z60,MIN(AA$6-$G$3,22))&lt;&gt;""),Sorgo!$E60:INDEX(Sorgo!$E60:$Z60,MIN(AA$6-$G$3,22))),0)))))</f>
        <v>0</v>
      </c>
      <c r="AB62" s="27" t="n">
        <f aca="false">IF(COUNT(Sorgo!$E60:$Z60)=0,0,MAX(0,IF((AB$6-$E$3)&lt;1,0,IFERROR(LOOKUP(2,1/(Sorgo!$E60:INDEX(Sorgo!$E60:$Z60,MIN(AB$6-$E$3,22))&lt;&gt;""),Sorgo!$E60:INDEX(Sorgo!$E60:$Z60,MIN(AB$6-$E$3,22))),0))-IF($G$2,0,IF((AB$6-$G$3)&lt;1,0,IFERROR(LOOKUP(2,1/(Sorgo!$E60:INDEX(Sorgo!$E60:$Z60,MIN(AB$6-$G$3,22))&lt;&gt;""),Sorgo!$E60:INDEX(Sorgo!$E60:$Z60,MIN(AB$6-$G$3,22))),0)))))</f>
        <v>0</v>
      </c>
      <c r="AC62" s="27" t="n">
        <f aca="false">IF(COUNT(Sorgo!$E60:$Z60)=0,0,MAX(0,IF((AC$6-$E$3)&lt;1,0,IFERROR(LOOKUP(2,1/(Sorgo!$E60:INDEX(Sorgo!$E60:$Z60,MIN(AC$6-$E$3,22))&lt;&gt;""),Sorgo!$E60:INDEX(Sorgo!$E60:$Z60,MIN(AC$6-$E$3,22))),0))-IF($G$2,0,IF((AC$6-$G$3)&lt;1,0,IFERROR(LOOKUP(2,1/(Sorgo!$E60:INDEX(Sorgo!$E60:$Z60,MIN(AC$6-$G$3,22))&lt;&gt;""),Sorgo!$E60:INDEX(Sorgo!$E60:$Z60,MIN(AC$6-$G$3,22))),0)))))</f>
        <v>0</v>
      </c>
      <c r="AD62" s="27" t="n">
        <f aca="false">IF(COUNT(Sorgo!$E60:$Z60)=0,0,MAX(0,IF((AD$6-$E$3)&lt;1,0,IFERROR(LOOKUP(2,1/(Sorgo!$E60:INDEX(Sorgo!$E60:$Z60,MIN(AD$6-$E$3,22))&lt;&gt;""),Sorgo!$E60:INDEX(Sorgo!$E60:$Z60,MIN(AD$6-$E$3,22))),0))-IF($G$2,0,IF((AD$6-$G$3)&lt;1,0,IFERROR(LOOKUP(2,1/(Sorgo!$E60:INDEX(Sorgo!$E60:$Z60,MIN(AD$6-$G$3,22))&lt;&gt;""),Sorgo!$E60:INDEX(Sorgo!$E60:$Z60,MIN(AD$6-$G$3,22))),0)))))</f>
        <v>0</v>
      </c>
      <c r="AE62" s="27" t="n">
        <f aca="false">IF(COUNT(Sorgo!$E60:$Z60)=0,0,MAX(0,IF((AE$6-$E$3)&lt;1,0,IFERROR(LOOKUP(2,1/(Sorgo!$E60:INDEX(Sorgo!$E60:$Z60,MIN(AE$6-$E$3,22))&lt;&gt;""),Sorgo!$E60:INDEX(Sorgo!$E60:$Z60,MIN(AE$6-$E$3,22))),0))-IF($G$2,0,IF((AE$6-$G$3)&lt;1,0,IFERROR(LOOKUP(2,1/(Sorgo!$E60:INDEX(Sorgo!$E60:$Z60,MIN(AE$6-$G$3,22))&lt;&gt;""),Sorgo!$E60:INDEX(Sorgo!$E60:$Z60,MIN(AE$6-$G$3,22))),0)))))</f>
        <v>0</v>
      </c>
      <c r="AF62" s="27" t="n">
        <f aca="false">IF(COUNT(Sorgo!$E60:$Z60)=0,0,MAX(0,IF((AF$6-$E$3)&lt;1,0,IFERROR(LOOKUP(2,1/(Sorgo!$E60:INDEX(Sorgo!$E60:$Z60,MIN(AF$6-$E$3,22))&lt;&gt;""),Sorgo!$E60:INDEX(Sorgo!$E60:$Z60,MIN(AF$6-$E$3,22))),0))-IF($G$2,0,IF((AF$6-$G$3)&lt;1,0,IFERROR(LOOKUP(2,1/(Sorgo!$E60:INDEX(Sorgo!$E60:$Z60,MIN(AF$6-$G$3,22))&lt;&gt;""),Sorgo!$E60:INDEX(Sorgo!$E60:$Z60,MIN(AF$6-$G$3,22))),0)))))</f>
        <v>0</v>
      </c>
      <c r="AG62" s="27" t="n">
        <f aca="false">IF(COUNT(Sorgo!$E60:$Z60)=0,0,MAX(0,IF((AG$6-$E$3)&lt;1,0,IFERROR(LOOKUP(2,1/(Sorgo!$E60:INDEX(Sorgo!$E60:$Z60,MIN(AG$6-$E$3,22))&lt;&gt;""),Sorgo!$E60:INDEX(Sorgo!$E60:$Z60,MIN(AG$6-$E$3,22))),0))-IF($G$2,0,IF((AG$6-$G$3)&lt;1,0,IFERROR(LOOKUP(2,1/(Sorgo!$E60:INDEX(Sorgo!$E60:$Z60,MIN(AG$6-$G$3,22))&lt;&gt;""),Sorgo!$E60:INDEX(Sorgo!$E60:$Z60,MIN(AG$6-$G$3,22))),0)))))</f>
        <v>0</v>
      </c>
      <c r="AH62" s="27" t="n">
        <f aca="false">IF(COUNT(Sorgo!$E60:$Z60)=0,0,MAX(0,IF((AH$6-$E$3)&lt;1,0,IFERROR(LOOKUP(2,1/(Sorgo!$E60:INDEX(Sorgo!$E60:$Z60,MIN(AH$6-$E$3,22))&lt;&gt;""),Sorgo!$E60:INDEX(Sorgo!$E60:$Z60,MIN(AH$6-$E$3,22))),0))-IF($G$2,0,IF((AH$6-$G$3)&lt;1,0,IFERROR(LOOKUP(2,1/(Sorgo!$E60:INDEX(Sorgo!$E60:$Z60,MIN(AH$6-$G$3,22))&lt;&gt;""),Sorgo!$E60:INDEX(Sorgo!$E60:$Z60,MIN(AH$6-$G$3,22))),0)))))</f>
        <v>0</v>
      </c>
      <c r="AI62" s="27" t="n">
        <f aca="false">IF(COUNT(Sorgo!$E60:$Z60)=0,0,MAX(0,IF((AI$6-$E$3)&lt;1,0,IFERROR(LOOKUP(2,1/(Sorgo!$E60:INDEX(Sorgo!$E60:$Z60,MIN(AI$6-$E$3,22))&lt;&gt;""),Sorgo!$E60:INDEX(Sorgo!$E60:$Z60,MIN(AI$6-$E$3,22))),0))-IF($G$2,0,IF((AI$6-$G$3)&lt;1,0,IFERROR(LOOKUP(2,1/(Sorgo!$E60:INDEX(Sorgo!$E60:$Z60,MIN(AI$6-$G$3,22))&lt;&gt;""),Sorgo!$E60:INDEX(Sorgo!$E60:$Z60,MIN(AI$6-$G$3,22))),0)))))</f>
        <v>0</v>
      </c>
      <c r="AJ62" s="27" t="n">
        <f aca="false">IF(COUNT(Sorgo!$E60:$Z60)=0,0,MAX(0,IF((AJ$6-$E$3)&lt;1,0,IFERROR(LOOKUP(2,1/(Sorgo!$E60:INDEX(Sorgo!$E60:$Z60,MIN(AJ$6-$E$3,22))&lt;&gt;""),Sorgo!$E60:INDEX(Sorgo!$E60:$Z60,MIN(AJ$6-$E$3,22))),0))-IF($G$2,0,IF((AJ$6-$G$3)&lt;1,0,IFERROR(LOOKUP(2,1/(Sorgo!$E60:INDEX(Sorgo!$E60:$Z60,MIN(AJ$6-$G$3,22))&lt;&gt;""),Sorgo!$E60:INDEX(Sorgo!$E60:$Z60,MIN(AJ$6-$G$3,22))),0)))))</f>
        <v>0</v>
      </c>
      <c r="AK62" s="27" t="n">
        <f aca="false">IF(COUNT(Sorgo!$E60:$Z60)=0,0,MAX(0,IF((AK$6-$E$3)&lt;1,0,IFERROR(LOOKUP(2,1/(Sorgo!$E60:INDEX(Sorgo!$E60:$Z60,MIN(AK$6-$E$3,22))&lt;&gt;""),Sorgo!$E60:INDEX(Sorgo!$E60:$Z60,MIN(AK$6-$E$3,22))),0))-IF($G$2,0,IF((AK$6-$G$3)&lt;1,0,IFERROR(LOOKUP(2,1/(Sorgo!$E60:INDEX(Sorgo!$E60:$Z60,MIN(AK$6-$G$3,22))&lt;&gt;""),Sorgo!$E60:INDEX(Sorgo!$E60:$Z60,MIN(AK$6-$G$3,22))),0)))))</f>
        <v>0</v>
      </c>
      <c r="AL62" s="27" t="n">
        <f aca="false">IF(COUNT(Sorgo!$E60:$Z60)=0,0,MAX(0,IF((AL$6-$E$3)&lt;1,0,IFERROR(LOOKUP(2,1/(Sorgo!$E60:INDEX(Sorgo!$E60:$Z60,MIN(AL$6-$E$3,22))&lt;&gt;""),Sorgo!$E60:INDEX(Sorgo!$E60:$Z60,MIN(AL$6-$E$3,22))),0))-IF($G$2,0,IF((AL$6-$G$3)&lt;1,0,IFERROR(LOOKUP(2,1/(Sorgo!$E60:INDEX(Sorgo!$E60:$Z60,MIN(AL$6-$G$3,22))&lt;&gt;""),Sorgo!$E60:INDEX(Sorgo!$E60:$Z60,MIN(AL$6-$G$3,22))),0)))))</f>
        <v>0</v>
      </c>
      <c r="AM62" s="27" t="n">
        <f aca="false">IF(COUNT(Sorgo!$E60:$Z60)=0,0,MAX(0,IF((AM$6-$E$3)&lt;1,0,IFERROR(LOOKUP(2,1/(Sorgo!$E60:INDEX(Sorgo!$E60:$Z60,MIN(AM$6-$E$3,22))&lt;&gt;""),Sorgo!$E60:INDEX(Sorgo!$E60:$Z60,MIN(AM$6-$E$3,22))),0))-IF($G$2,0,IF((AM$6-$G$3)&lt;1,0,IFERROR(LOOKUP(2,1/(Sorgo!$E60:INDEX(Sorgo!$E60:$Z60,MIN(AM$6-$G$3,22))&lt;&gt;""),Sorgo!$E60:INDEX(Sorgo!$E60:$Z60,MIN(AM$6-$G$3,22))),0)))))</f>
        <v>0</v>
      </c>
      <c r="AN62" s="27" t="n">
        <f aca="false">IF(COUNT(Sorgo!$E60:$Z60)=0,0,MAX(0,IF((AN$6-$E$3)&lt;1,0,IFERROR(LOOKUP(2,1/(Sorgo!$E60:INDEX(Sorgo!$E60:$Z60,MIN(AN$6-$E$3,22))&lt;&gt;""),Sorgo!$E60:INDEX(Sorgo!$E60:$Z60,MIN(AN$6-$E$3,22))),0))-IF($G$2,0,IF((AN$6-$G$3)&lt;1,0,IFERROR(LOOKUP(2,1/(Sorgo!$E60:INDEX(Sorgo!$E60:$Z60,MIN(AN$6-$G$3,22))&lt;&gt;""),Sorgo!$E60:INDEX(Sorgo!$E60:$Z60,MIN(AN$6-$G$3,22))),0)))))</f>
        <v>0</v>
      </c>
      <c r="AO62" s="27" t="n">
        <f aca="false">IF(COUNT(Sorgo!$E60:$Z60)=0,0,MAX(0,IF((AO$6-$E$3)&lt;1,0,IFERROR(LOOKUP(2,1/(Sorgo!$E60:INDEX(Sorgo!$E60:$Z60,MIN(AO$6-$E$3,22))&lt;&gt;""),Sorgo!$E60:INDEX(Sorgo!$E60:$Z60,MIN(AO$6-$E$3,22))),0))-IF($G$2,0,IF((AO$6-$G$3)&lt;1,0,IFERROR(LOOKUP(2,1/(Sorgo!$E60:INDEX(Sorgo!$E60:$Z60,MIN(AO$6-$G$3,22))&lt;&gt;""),Sorgo!$E60:INDEX(Sorgo!$E60:$Z60,MIN(AO$6-$G$3,22))),0)))))</f>
        <v>0</v>
      </c>
      <c r="AP62" s="27" t="n">
        <f aca="false">IF(COUNT(Sorgo!$E60:$Z60)=0,0,MAX(0,IF((AP$6-$E$3)&lt;1,0,IFERROR(LOOKUP(2,1/(Sorgo!$E60:INDEX(Sorgo!$E60:$Z60,MIN(AP$6-$E$3,22))&lt;&gt;""),Sorgo!$E60:INDEX(Sorgo!$E60:$Z60,MIN(AP$6-$E$3,22))),0))-IF($G$2,0,IF((AP$6-$G$3)&lt;1,0,IFERROR(LOOKUP(2,1/(Sorgo!$E60:INDEX(Sorgo!$E60:$Z60,MIN(AP$6-$G$3,22))&lt;&gt;""),Sorgo!$E60:INDEX(Sorgo!$E60:$Z60,MIN(AP$6-$G$3,22))),0)))))</f>
        <v>0</v>
      </c>
      <c r="AQ62" s="27" t="n">
        <f aca="false">IF(COUNT(Sorgo!$E60:$Z60)=0,0,MAX(0,IF((AQ$6-$E$3)&lt;1,0,IFERROR(LOOKUP(2,1/(Sorgo!$E60:INDEX(Sorgo!$E60:$Z60,MIN(AQ$6-$E$3,22))&lt;&gt;""),Sorgo!$E60:INDEX(Sorgo!$E60:$Z60,MIN(AQ$6-$E$3,22))),0))-IF($G$2,0,IF((AQ$6-$G$3)&lt;1,0,IFERROR(LOOKUP(2,1/(Sorgo!$E60:INDEX(Sorgo!$E60:$Z60,MIN(AQ$6-$G$3,22))&lt;&gt;""),Sorgo!$E60:INDEX(Sorgo!$E60:$Z60,MIN(AQ$6-$G$3,22))),0)))))</f>
        <v>0</v>
      </c>
      <c r="AR62" s="27" t="n">
        <f aca="false">IF(COUNT(Sorgo!$E60:$Z60)=0,0,MAX(0,IF((AR$6-$E$3)&lt;1,0,IFERROR(LOOKUP(2,1/(Sorgo!$E60:INDEX(Sorgo!$E60:$Z60,MIN(AR$6-$E$3,22))&lt;&gt;""),Sorgo!$E60:INDEX(Sorgo!$E60:$Z60,MIN(AR$6-$E$3,22))),0))-IF($G$2,0,IF((AR$6-$G$3)&lt;1,0,IFERROR(LOOKUP(2,1/(Sorgo!$E60:INDEX(Sorgo!$E60:$Z60,MIN(AR$6-$G$3,22))&lt;&gt;""),Sorgo!$E60:INDEX(Sorgo!$E60:$Z60,MIN(AR$6-$G$3,22))),0)))))</f>
        <v>0</v>
      </c>
      <c r="AS62" s="27" t="n">
        <f aca="false">IF(COUNT(Sorgo!$E60:$Z60)=0,0,MAX(0,IF((AS$6-$E$3)&lt;1,0,IFERROR(LOOKUP(2,1/(Sorgo!$E60:INDEX(Sorgo!$E60:$Z60,MIN(AS$6-$E$3,22))&lt;&gt;""),Sorgo!$E60:INDEX(Sorgo!$E60:$Z60,MIN(AS$6-$E$3,22))),0))-IF($G$2,0,IF((AS$6-$G$3)&lt;1,0,IFERROR(LOOKUP(2,1/(Sorgo!$E60:INDEX(Sorgo!$E60:$Z60,MIN(AS$6-$G$3,22))&lt;&gt;""),Sorgo!$E60:INDEX(Sorgo!$E60:$Z60,MIN(AS$6-$G$3,22))),0)))))</f>
        <v>0</v>
      </c>
      <c r="AT62" s="27" t="n">
        <f aca="false">IF(COUNT(Sorgo!$E60:$Z60)=0,0,MAX(0,IF((AT$6-$E$3)&lt;1,0,IFERROR(LOOKUP(2,1/(Sorgo!$E60:INDEX(Sorgo!$E60:$Z60,MIN(AT$6-$E$3,22))&lt;&gt;""),Sorgo!$E60:INDEX(Sorgo!$E60:$Z60,MIN(AT$6-$E$3,22))),0))-IF($G$2,0,IF((AT$6-$G$3)&lt;1,0,IFERROR(LOOKUP(2,1/(Sorgo!$E60:INDEX(Sorgo!$E60:$Z60,MIN(AT$6-$G$3,22))&lt;&gt;""),Sorgo!$E60:INDEX(Sorgo!$E60:$Z60,MIN(AT$6-$G$3,22))),0)))))</f>
        <v>0</v>
      </c>
      <c r="AU62" s="27" t="n">
        <f aca="false">IF(COUNT(Sorgo!$E60:$Z60)=0,0,MAX(0,IF((AU$6-$E$3)&lt;1,0,IFERROR(LOOKUP(2,1/(Sorgo!$E60:INDEX(Sorgo!$E60:$Z60,MIN(AU$6-$E$3,22))&lt;&gt;""),Sorgo!$E60:INDEX(Sorgo!$E60:$Z60,MIN(AU$6-$E$3,22))),0))-IF($G$2,0,IF((AU$6-$G$3)&lt;1,0,IFERROR(LOOKUP(2,1/(Sorgo!$E60:INDEX(Sorgo!$E60:$Z60,MIN(AU$6-$G$3,22))&lt;&gt;""),Sorgo!$E60:INDEX(Sorgo!$E60:$Z60,MIN(AU$6-$G$3,22))),0)))))</f>
        <v>0</v>
      </c>
      <c r="AV62" s="27" t="n">
        <f aca="false">IF(COUNT(Sorgo!$E60:$Z60)=0,0,MAX(0,IF((AV$6-$E$3)&lt;1,0,IFERROR(LOOKUP(2,1/(Sorgo!$E60:INDEX(Sorgo!$E60:$Z60,MIN(AV$6-$E$3,22))&lt;&gt;""),Sorgo!$E60:INDEX(Sorgo!$E60:$Z60,MIN(AV$6-$E$3,22))),0))-IF($G$2,0,IF((AV$6-$G$3)&lt;1,0,IFERROR(LOOKUP(2,1/(Sorgo!$E60:INDEX(Sorgo!$E60:$Z60,MIN(AV$6-$G$3,22))&lt;&gt;""),Sorgo!$E60:INDEX(Sorgo!$E60:$Z60,MIN(AV$6-$G$3,22))),0)))))</f>
        <v>0</v>
      </c>
      <c r="AW62" s="27" t="n">
        <f aca="false">IF(COUNT(Sorgo!$E60:$Z60)=0,0,MAX(0,IF((AW$6-$E$3)&lt;1,0,IFERROR(LOOKUP(2,1/(Sorgo!$E60:INDEX(Sorgo!$E60:$Z60,MIN(AW$6-$E$3,22))&lt;&gt;""),Sorgo!$E60:INDEX(Sorgo!$E60:$Z60,MIN(AW$6-$E$3,22))),0))-IF($G$2,0,IF((AW$6-$G$3)&lt;1,0,IFERROR(LOOKUP(2,1/(Sorgo!$E60:INDEX(Sorgo!$E60:$Z60,MIN(AW$6-$G$3,22))&lt;&gt;""),Sorgo!$E60:INDEX(Sorgo!$E60:$Z60,MIN(AW$6-$G$3,22))),0)))))</f>
        <v>0</v>
      </c>
      <c r="AX62" s="27" t="n">
        <f aca="false">IF(COUNT(Sorgo!$E60:$Z60)=0,0,MAX(0,IF((AX$6-$E$3)&lt;1,0,IFERROR(LOOKUP(2,1/(Sorgo!$E60:INDEX(Sorgo!$E60:$Z60,MIN(AX$6-$E$3,22))&lt;&gt;""),Sorgo!$E60:INDEX(Sorgo!$E60:$Z60,MIN(AX$6-$E$3,22))),0))-IF($G$2,0,IF((AX$6-$G$3)&lt;1,0,IFERROR(LOOKUP(2,1/(Sorgo!$E60:INDEX(Sorgo!$E60:$Z60,MIN(AX$6-$G$3,22))&lt;&gt;""),Sorgo!$E60:INDEX(Sorgo!$E60:$Z60,MIN(AX$6-$G$3,22))),0)))))</f>
        <v>0</v>
      </c>
      <c r="AY62" s="27" t="n">
        <f aca="false">IF(COUNT(Sorgo!$E60:$Z60)=0,0,MAX(0,IF((AY$6-$E$3)&lt;1,0,IFERROR(LOOKUP(2,1/(Sorgo!$E60:INDEX(Sorgo!$E60:$Z60,MIN(AY$6-$E$3,22))&lt;&gt;""),Sorgo!$E60:INDEX(Sorgo!$E60:$Z60,MIN(AY$6-$E$3,22))),0))-IF($G$2,0,IF((AY$6-$G$3)&lt;1,0,IFERROR(LOOKUP(2,1/(Sorgo!$E60:INDEX(Sorgo!$E60:$Z60,MIN(AY$6-$G$3,22))&lt;&gt;""),Sorgo!$E60:INDEX(Sorgo!$E60:$Z60,MIN(AY$6-$G$3,22))),0)))))</f>
        <v>0</v>
      </c>
      <c r="AZ62" s="27" t="n">
        <f aca="false">IF(COUNT(Sorgo!$E60:$Z60)=0,0,MAX(0,IF((AZ$6-$E$3)&lt;1,0,IFERROR(LOOKUP(2,1/(Sorgo!$E60:INDEX(Sorgo!$E60:$Z60,MIN(AZ$6-$E$3,22))&lt;&gt;""),Sorgo!$E60:INDEX(Sorgo!$E60:$Z60,MIN(AZ$6-$E$3,22))),0))-IF($G$2,0,IF((AZ$6-$G$3)&lt;1,0,IFERROR(LOOKUP(2,1/(Sorgo!$E60:INDEX(Sorgo!$E60:$Z60,MIN(AZ$6-$G$3,22))&lt;&gt;""),Sorgo!$E60:INDEX(Sorgo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IF(COUNT(Sorgo!$E61:$Z61)&gt;0,N(Sorgo!$D61),0)</f>
        <v>0</v>
      </c>
      <c r="E63" s="27" t="n">
        <f aca="false">IF(COUNT(Sorgo!$E61:$Z61)=0,0,MAX(0,IF((E$6-$E$3)&lt;1,0,IFERROR(LOOKUP(2,1/(Sorgo!$E61:INDEX(Sorgo!$E61:$Z61,MIN(E$6-$E$3,22))&lt;&gt;""),Sorgo!$E61:INDEX(Sorgo!$E61:$Z61,MIN(E$6-$E$3,22))),0))-IF($G$2,0,IF((E$6-$G$3)&lt;1,0,IFERROR(LOOKUP(2,1/(Sorgo!$E61:INDEX(Sorgo!$E61:$Z61,MIN(E$6-$G$3,22))&lt;&gt;""),Sorgo!$E61:INDEX(Sorgo!$E61:$Z61,MIN(E$6-$G$3,22))),0)))))</f>
        <v>0</v>
      </c>
      <c r="F63" s="27" t="n">
        <f aca="false">IF(COUNT(Sorgo!$E61:$Z61)=0,0,MAX(0,IF((F$6-$E$3)&lt;1,0,IFERROR(LOOKUP(2,1/(Sorgo!$E61:INDEX(Sorgo!$E61:$Z61,MIN(F$6-$E$3,22))&lt;&gt;""),Sorgo!$E61:INDEX(Sorgo!$E61:$Z61,MIN(F$6-$E$3,22))),0))-IF($G$2,0,IF((F$6-$G$3)&lt;1,0,IFERROR(LOOKUP(2,1/(Sorgo!$E61:INDEX(Sorgo!$E61:$Z61,MIN(F$6-$G$3,22))&lt;&gt;""),Sorgo!$E61:INDEX(Sorgo!$E61:$Z61,MIN(F$6-$G$3,22))),0)))))</f>
        <v>0</v>
      </c>
      <c r="G63" s="27" t="n">
        <f aca="false">IF(COUNT(Sorgo!$E61:$Z61)=0,0,MAX(0,IF((G$6-$E$3)&lt;1,0,IFERROR(LOOKUP(2,1/(Sorgo!$E61:INDEX(Sorgo!$E61:$Z61,MIN(G$6-$E$3,22))&lt;&gt;""),Sorgo!$E61:INDEX(Sorgo!$E61:$Z61,MIN(G$6-$E$3,22))),0))-IF($G$2,0,IF((G$6-$G$3)&lt;1,0,IFERROR(LOOKUP(2,1/(Sorgo!$E61:INDEX(Sorgo!$E61:$Z61,MIN(G$6-$G$3,22))&lt;&gt;""),Sorgo!$E61:INDEX(Sorgo!$E61:$Z61,MIN(G$6-$G$3,22))),0)))))</f>
        <v>0</v>
      </c>
      <c r="H63" s="27" t="n">
        <f aca="false">IF(COUNT(Sorgo!$E61:$Z61)=0,0,MAX(0,IF((H$6-$E$3)&lt;1,0,IFERROR(LOOKUP(2,1/(Sorgo!$E61:INDEX(Sorgo!$E61:$Z61,MIN(H$6-$E$3,22))&lt;&gt;""),Sorgo!$E61:INDEX(Sorgo!$E61:$Z61,MIN(H$6-$E$3,22))),0))-IF($G$2,0,IF((H$6-$G$3)&lt;1,0,IFERROR(LOOKUP(2,1/(Sorgo!$E61:INDEX(Sorgo!$E61:$Z61,MIN(H$6-$G$3,22))&lt;&gt;""),Sorgo!$E61:INDEX(Sorgo!$E61:$Z61,MIN(H$6-$G$3,22))),0)))))</f>
        <v>0</v>
      </c>
      <c r="I63" s="27" t="n">
        <f aca="false">IF(COUNT(Sorgo!$E61:$Z61)=0,0,MAX(0,IF((I$6-$E$3)&lt;1,0,IFERROR(LOOKUP(2,1/(Sorgo!$E61:INDEX(Sorgo!$E61:$Z61,MIN(I$6-$E$3,22))&lt;&gt;""),Sorgo!$E61:INDEX(Sorgo!$E61:$Z61,MIN(I$6-$E$3,22))),0))-IF($G$2,0,IF((I$6-$G$3)&lt;1,0,IFERROR(LOOKUP(2,1/(Sorgo!$E61:INDEX(Sorgo!$E61:$Z61,MIN(I$6-$G$3,22))&lt;&gt;""),Sorgo!$E61:INDEX(Sorgo!$E61:$Z61,MIN(I$6-$G$3,22))),0)))))</f>
        <v>0</v>
      </c>
      <c r="J63" s="27" t="n">
        <f aca="false">IF(COUNT(Sorgo!$E61:$Z61)=0,0,MAX(0,IF((J$6-$E$3)&lt;1,0,IFERROR(LOOKUP(2,1/(Sorgo!$E61:INDEX(Sorgo!$E61:$Z61,MIN(J$6-$E$3,22))&lt;&gt;""),Sorgo!$E61:INDEX(Sorgo!$E61:$Z61,MIN(J$6-$E$3,22))),0))-IF($G$2,0,IF((J$6-$G$3)&lt;1,0,IFERROR(LOOKUP(2,1/(Sorgo!$E61:INDEX(Sorgo!$E61:$Z61,MIN(J$6-$G$3,22))&lt;&gt;""),Sorgo!$E61:INDEX(Sorgo!$E61:$Z61,MIN(J$6-$G$3,22))),0)))))</f>
        <v>0</v>
      </c>
      <c r="K63" s="27" t="n">
        <f aca="false">IF(COUNT(Sorgo!$E61:$Z61)=0,0,MAX(0,IF((K$6-$E$3)&lt;1,0,IFERROR(LOOKUP(2,1/(Sorgo!$E61:INDEX(Sorgo!$E61:$Z61,MIN(K$6-$E$3,22))&lt;&gt;""),Sorgo!$E61:INDEX(Sorgo!$E61:$Z61,MIN(K$6-$E$3,22))),0))-IF($G$2,0,IF((K$6-$G$3)&lt;1,0,IFERROR(LOOKUP(2,1/(Sorgo!$E61:INDEX(Sorgo!$E61:$Z61,MIN(K$6-$G$3,22))&lt;&gt;""),Sorgo!$E61:INDEX(Sorgo!$E61:$Z61,MIN(K$6-$G$3,22))),0)))))</f>
        <v>0</v>
      </c>
      <c r="L63" s="27" t="n">
        <f aca="false">IF(COUNT(Sorgo!$E61:$Z61)=0,0,MAX(0,IF((L$6-$E$3)&lt;1,0,IFERROR(LOOKUP(2,1/(Sorgo!$E61:INDEX(Sorgo!$E61:$Z61,MIN(L$6-$E$3,22))&lt;&gt;""),Sorgo!$E61:INDEX(Sorgo!$E61:$Z61,MIN(L$6-$E$3,22))),0))-IF($G$2,0,IF((L$6-$G$3)&lt;1,0,IFERROR(LOOKUP(2,1/(Sorgo!$E61:INDEX(Sorgo!$E61:$Z61,MIN(L$6-$G$3,22))&lt;&gt;""),Sorgo!$E61:INDEX(Sorgo!$E61:$Z61,MIN(L$6-$G$3,22))),0)))))</f>
        <v>0</v>
      </c>
      <c r="M63" s="27" t="n">
        <f aca="false">IF(COUNT(Sorgo!$E61:$Z61)=0,0,MAX(0,IF((M$6-$E$3)&lt;1,0,IFERROR(LOOKUP(2,1/(Sorgo!$E61:INDEX(Sorgo!$E61:$Z61,MIN(M$6-$E$3,22))&lt;&gt;""),Sorgo!$E61:INDEX(Sorgo!$E61:$Z61,MIN(M$6-$E$3,22))),0))-IF($G$2,0,IF((M$6-$G$3)&lt;1,0,IFERROR(LOOKUP(2,1/(Sorgo!$E61:INDEX(Sorgo!$E61:$Z61,MIN(M$6-$G$3,22))&lt;&gt;""),Sorgo!$E61:INDEX(Sorgo!$E61:$Z61,MIN(M$6-$G$3,22))),0)))))</f>
        <v>0</v>
      </c>
      <c r="N63" s="27" t="n">
        <f aca="false">IF(COUNT(Sorgo!$E61:$Z61)=0,0,MAX(0,IF((N$6-$E$3)&lt;1,0,IFERROR(LOOKUP(2,1/(Sorgo!$E61:INDEX(Sorgo!$E61:$Z61,MIN(N$6-$E$3,22))&lt;&gt;""),Sorgo!$E61:INDEX(Sorgo!$E61:$Z61,MIN(N$6-$E$3,22))),0))-IF($G$2,0,IF((N$6-$G$3)&lt;1,0,IFERROR(LOOKUP(2,1/(Sorgo!$E61:INDEX(Sorgo!$E61:$Z61,MIN(N$6-$G$3,22))&lt;&gt;""),Sorgo!$E61:INDEX(Sorgo!$E61:$Z61,MIN(N$6-$G$3,22))),0)))))</f>
        <v>0</v>
      </c>
      <c r="O63" s="27" t="n">
        <f aca="false">IF(COUNT(Sorgo!$E61:$Z61)=0,0,MAX(0,IF((O$6-$E$3)&lt;1,0,IFERROR(LOOKUP(2,1/(Sorgo!$E61:INDEX(Sorgo!$E61:$Z61,MIN(O$6-$E$3,22))&lt;&gt;""),Sorgo!$E61:INDEX(Sorgo!$E61:$Z61,MIN(O$6-$E$3,22))),0))-IF($G$2,0,IF((O$6-$G$3)&lt;1,0,IFERROR(LOOKUP(2,1/(Sorgo!$E61:INDEX(Sorgo!$E61:$Z61,MIN(O$6-$G$3,22))&lt;&gt;""),Sorgo!$E61:INDEX(Sorgo!$E61:$Z61,MIN(O$6-$G$3,22))),0)))))</f>
        <v>0</v>
      </c>
      <c r="P63" s="27" t="n">
        <f aca="false">IF(COUNT(Sorgo!$E61:$Z61)=0,0,MAX(0,IF((P$6-$E$3)&lt;1,0,IFERROR(LOOKUP(2,1/(Sorgo!$E61:INDEX(Sorgo!$E61:$Z61,MIN(P$6-$E$3,22))&lt;&gt;""),Sorgo!$E61:INDEX(Sorgo!$E61:$Z61,MIN(P$6-$E$3,22))),0))-IF($G$2,0,IF((P$6-$G$3)&lt;1,0,IFERROR(LOOKUP(2,1/(Sorgo!$E61:INDEX(Sorgo!$E61:$Z61,MIN(P$6-$G$3,22))&lt;&gt;""),Sorgo!$E61:INDEX(Sorgo!$E61:$Z61,MIN(P$6-$G$3,22))),0)))))</f>
        <v>0</v>
      </c>
      <c r="Q63" s="27" t="n">
        <f aca="false">IF(COUNT(Sorgo!$E61:$Z61)=0,0,MAX(0,IF((Q$6-$E$3)&lt;1,0,IFERROR(LOOKUP(2,1/(Sorgo!$E61:INDEX(Sorgo!$E61:$Z61,MIN(Q$6-$E$3,22))&lt;&gt;""),Sorgo!$E61:INDEX(Sorgo!$E61:$Z61,MIN(Q$6-$E$3,22))),0))-IF($G$2,0,IF((Q$6-$G$3)&lt;1,0,IFERROR(LOOKUP(2,1/(Sorgo!$E61:INDEX(Sorgo!$E61:$Z61,MIN(Q$6-$G$3,22))&lt;&gt;""),Sorgo!$E61:INDEX(Sorgo!$E61:$Z61,MIN(Q$6-$G$3,22))),0)))))</f>
        <v>0</v>
      </c>
      <c r="R63" s="27" t="n">
        <f aca="false">IF(COUNT(Sorgo!$E61:$Z61)=0,0,MAX(0,IF((R$6-$E$3)&lt;1,0,IFERROR(LOOKUP(2,1/(Sorgo!$E61:INDEX(Sorgo!$E61:$Z61,MIN(R$6-$E$3,22))&lt;&gt;""),Sorgo!$E61:INDEX(Sorgo!$E61:$Z61,MIN(R$6-$E$3,22))),0))-IF($G$2,0,IF((R$6-$G$3)&lt;1,0,IFERROR(LOOKUP(2,1/(Sorgo!$E61:INDEX(Sorgo!$E61:$Z61,MIN(R$6-$G$3,22))&lt;&gt;""),Sorgo!$E61:INDEX(Sorgo!$E61:$Z61,MIN(R$6-$G$3,22))),0)))))</f>
        <v>0</v>
      </c>
      <c r="S63" s="27" t="n">
        <f aca="false">IF(COUNT(Sorgo!$E61:$Z61)=0,0,MAX(0,IF((S$6-$E$3)&lt;1,0,IFERROR(LOOKUP(2,1/(Sorgo!$E61:INDEX(Sorgo!$E61:$Z61,MIN(S$6-$E$3,22))&lt;&gt;""),Sorgo!$E61:INDEX(Sorgo!$E61:$Z61,MIN(S$6-$E$3,22))),0))-IF($G$2,0,IF((S$6-$G$3)&lt;1,0,IFERROR(LOOKUP(2,1/(Sorgo!$E61:INDEX(Sorgo!$E61:$Z61,MIN(S$6-$G$3,22))&lt;&gt;""),Sorgo!$E61:INDEX(Sorgo!$E61:$Z61,MIN(S$6-$G$3,22))),0)))))</f>
        <v>0</v>
      </c>
      <c r="T63" s="27" t="n">
        <f aca="false">IF(COUNT(Sorgo!$E61:$Z61)=0,0,MAX(0,IF((T$6-$E$3)&lt;1,0,IFERROR(LOOKUP(2,1/(Sorgo!$E61:INDEX(Sorgo!$E61:$Z61,MIN(T$6-$E$3,22))&lt;&gt;""),Sorgo!$E61:INDEX(Sorgo!$E61:$Z61,MIN(T$6-$E$3,22))),0))-IF($G$2,0,IF((T$6-$G$3)&lt;1,0,IFERROR(LOOKUP(2,1/(Sorgo!$E61:INDEX(Sorgo!$E61:$Z61,MIN(T$6-$G$3,22))&lt;&gt;""),Sorgo!$E61:INDEX(Sorgo!$E61:$Z61,MIN(T$6-$G$3,22))),0)))))</f>
        <v>0</v>
      </c>
      <c r="U63" s="27" t="n">
        <f aca="false">IF(COUNT(Sorgo!$E61:$Z61)=0,0,MAX(0,IF((U$6-$E$3)&lt;1,0,IFERROR(LOOKUP(2,1/(Sorgo!$E61:INDEX(Sorgo!$E61:$Z61,MIN(U$6-$E$3,22))&lt;&gt;""),Sorgo!$E61:INDEX(Sorgo!$E61:$Z61,MIN(U$6-$E$3,22))),0))-IF($G$2,0,IF((U$6-$G$3)&lt;1,0,IFERROR(LOOKUP(2,1/(Sorgo!$E61:INDEX(Sorgo!$E61:$Z61,MIN(U$6-$G$3,22))&lt;&gt;""),Sorgo!$E61:INDEX(Sorgo!$E61:$Z61,MIN(U$6-$G$3,22))),0)))))</f>
        <v>0</v>
      </c>
      <c r="V63" s="27" t="n">
        <f aca="false">IF(COUNT(Sorgo!$E61:$Z61)=0,0,MAX(0,IF((V$6-$E$3)&lt;1,0,IFERROR(LOOKUP(2,1/(Sorgo!$E61:INDEX(Sorgo!$E61:$Z61,MIN(V$6-$E$3,22))&lt;&gt;""),Sorgo!$E61:INDEX(Sorgo!$E61:$Z61,MIN(V$6-$E$3,22))),0))-IF($G$2,0,IF((V$6-$G$3)&lt;1,0,IFERROR(LOOKUP(2,1/(Sorgo!$E61:INDEX(Sorgo!$E61:$Z61,MIN(V$6-$G$3,22))&lt;&gt;""),Sorgo!$E61:INDEX(Sorgo!$E61:$Z61,MIN(V$6-$G$3,22))),0)))))</f>
        <v>0</v>
      </c>
      <c r="W63" s="27" t="n">
        <f aca="false">IF(COUNT(Sorgo!$E61:$Z61)=0,0,MAX(0,IF((W$6-$E$3)&lt;1,0,IFERROR(LOOKUP(2,1/(Sorgo!$E61:INDEX(Sorgo!$E61:$Z61,MIN(W$6-$E$3,22))&lt;&gt;""),Sorgo!$E61:INDEX(Sorgo!$E61:$Z61,MIN(W$6-$E$3,22))),0))-IF($G$2,0,IF((W$6-$G$3)&lt;1,0,IFERROR(LOOKUP(2,1/(Sorgo!$E61:INDEX(Sorgo!$E61:$Z61,MIN(W$6-$G$3,22))&lt;&gt;""),Sorgo!$E61:INDEX(Sorgo!$E61:$Z61,MIN(W$6-$G$3,22))),0)))))</f>
        <v>0</v>
      </c>
      <c r="X63" s="27" t="n">
        <f aca="false">IF(COUNT(Sorgo!$E61:$Z61)=0,0,MAX(0,IF((X$6-$E$3)&lt;1,0,IFERROR(LOOKUP(2,1/(Sorgo!$E61:INDEX(Sorgo!$E61:$Z61,MIN(X$6-$E$3,22))&lt;&gt;""),Sorgo!$E61:INDEX(Sorgo!$E61:$Z61,MIN(X$6-$E$3,22))),0))-IF($G$2,0,IF((X$6-$G$3)&lt;1,0,IFERROR(LOOKUP(2,1/(Sorgo!$E61:INDEX(Sorgo!$E61:$Z61,MIN(X$6-$G$3,22))&lt;&gt;""),Sorgo!$E61:INDEX(Sorgo!$E61:$Z61,MIN(X$6-$G$3,22))),0)))))</f>
        <v>0</v>
      </c>
      <c r="Y63" s="27" t="n">
        <f aca="false">IF(COUNT(Sorgo!$E61:$Z61)=0,0,MAX(0,IF((Y$6-$E$3)&lt;1,0,IFERROR(LOOKUP(2,1/(Sorgo!$E61:INDEX(Sorgo!$E61:$Z61,MIN(Y$6-$E$3,22))&lt;&gt;""),Sorgo!$E61:INDEX(Sorgo!$E61:$Z61,MIN(Y$6-$E$3,22))),0))-IF($G$2,0,IF((Y$6-$G$3)&lt;1,0,IFERROR(LOOKUP(2,1/(Sorgo!$E61:INDEX(Sorgo!$E61:$Z61,MIN(Y$6-$G$3,22))&lt;&gt;""),Sorgo!$E61:INDEX(Sorgo!$E61:$Z61,MIN(Y$6-$G$3,22))),0)))))</f>
        <v>0</v>
      </c>
      <c r="Z63" s="27" t="n">
        <f aca="false">IF(COUNT(Sorgo!$E61:$Z61)=0,0,MAX(0,IF((Z$6-$E$3)&lt;1,0,IFERROR(LOOKUP(2,1/(Sorgo!$E61:INDEX(Sorgo!$E61:$Z61,MIN(Z$6-$E$3,22))&lt;&gt;""),Sorgo!$E61:INDEX(Sorgo!$E61:$Z61,MIN(Z$6-$E$3,22))),0))-IF($G$2,0,IF((Z$6-$G$3)&lt;1,0,IFERROR(LOOKUP(2,1/(Sorgo!$E61:INDEX(Sorgo!$E61:$Z61,MIN(Z$6-$G$3,22))&lt;&gt;""),Sorgo!$E61:INDEX(Sorgo!$E61:$Z61,MIN(Z$6-$G$3,22))),0)))))</f>
        <v>0</v>
      </c>
      <c r="AA63" s="27" t="n">
        <f aca="false">IF(COUNT(Sorgo!$E61:$Z61)=0,0,MAX(0,IF((AA$6-$E$3)&lt;1,0,IFERROR(LOOKUP(2,1/(Sorgo!$E61:INDEX(Sorgo!$E61:$Z61,MIN(AA$6-$E$3,22))&lt;&gt;""),Sorgo!$E61:INDEX(Sorgo!$E61:$Z61,MIN(AA$6-$E$3,22))),0))-IF($G$2,0,IF((AA$6-$G$3)&lt;1,0,IFERROR(LOOKUP(2,1/(Sorgo!$E61:INDEX(Sorgo!$E61:$Z61,MIN(AA$6-$G$3,22))&lt;&gt;""),Sorgo!$E61:INDEX(Sorgo!$E61:$Z61,MIN(AA$6-$G$3,22))),0)))))</f>
        <v>0</v>
      </c>
      <c r="AB63" s="27" t="n">
        <f aca="false">IF(COUNT(Sorgo!$E61:$Z61)=0,0,MAX(0,IF((AB$6-$E$3)&lt;1,0,IFERROR(LOOKUP(2,1/(Sorgo!$E61:INDEX(Sorgo!$E61:$Z61,MIN(AB$6-$E$3,22))&lt;&gt;""),Sorgo!$E61:INDEX(Sorgo!$E61:$Z61,MIN(AB$6-$E$3,22))),0))-IF($G$2,0,IF((AB$6-$G$3)&lt;1,0,IFERROR(LOOKUP(2,1/(Sorgo!$E61:INDEX(Sorgo!$E61:$Z61,MIN(AB$6-$G$3,22))&lt;&gt;""),Sorgo!$E61:INDEX(Sorgo!$E61:$Z61,MIN(AB$6-$G$3,22))),0)))))</f>
        <v>0</v>
      </c>
      <c r="AC63" s="27" t="n">
        <f aca="false">IF(COUNT(Sorgo!$E61:$Z61)=0,0,MAX(0,IF((AC$6-$E$3)&lt;1,0,IFERROR(LOOKUP(2,1/(Sorgo!$E61:INDEX(Sorgo!$E61:$Z61,MIN(AC$6-$E$3,22))&lt;&gt;""),Sorgo!$E61:INDEX(Sorgo!$E61:$Z61,MIN(AC$6-$E$3,22))),0))-IF($G$2,0,IF((AC$6-$G$3)&lt;1,0,IFERROR(LOOKUP(2,1/(Sorgo!$E61:INDEX(Sorgo!$E61:$Z61,MIN(AC$6-$G$3,22))&lt;&gt;""),Sorgo!$E61:INDEX(Sorgo!$E61:$Z61,MIN(AC$6-$G$3,22))),0)))))</f>
        <v>0</v>
      </c>
      <c r="AD63" s="27" t="n">
        <f aca="false">IF(COUNT(Sorgo!$E61:$Z61)=0,0,MAX(0,IF((AD$6-$E$3)&lt;1,0,IFERROR(LOOKUP(2,1/(Sorgo!$E61:INDEX(Sorgo!$E61:$Z61,MIN(AD$6-$E$3,22))&lt;&gt;""),Sorgo!$E61:INDEX(Sorgo!$E61:$Z61,MIN(AD$6-$E$3,22))),0))-IF($G$2,0,IF((AD$6-$G$3)&lt;1,0,IFERROR(LOOKUP(2,1/(Sorgo!$E61:INDEX(Sorgo!$E61:$Z61,MIN(AD$6-$G$3,22))&lt;&gt;""),Sorgo!$E61:INDEX(Sorgo!$E61:$Z61,MIN(AD$6-$G$3,22))),0)))))</f>
        <v>0</v>
      </c>
      <c r="AE63" s="27" t="n">
        <f aca="false">IF(COUNT(Sorgo!$E61:$Z61)=0,0,MAX(0,IF((AE$6-$E$3)&lt;1,0,IFERROR(LOOKUP(2,1/(Sorgo!$E61:INDEX(Sorgo!$E61:$Z61,MIN(AE$6-$E$3,22))&lt;&gt;""),Sorgo!$E61:INDEX(Sorgo!$E61:$Z61,MIN(AE$6-$E$3,22))),0))-IF($G$2,0,IF((AE$6-$G$3)&lt;1,0,IFERROR(LOOKUP(2,1/(Sorgo!$E61:INDEX(Sorgo!$E61:$Z61,MIN(AE$6-$G$3,22))&lt;&gt;""),Sorgo!$E61:INDEX(Sorgo!$E61:$Z61,MIN(AE$6-$G$3,22))),0)))))</f>
        <v>0</v>
      </c>
      <c r="AF63" s="27" t="n">
        <f aca="false">IF(COUNT(Sorgo!$E61:$Z61)=0,0,MAX(0,IF((AF$6-$E$3)&lt;1,0,IFERROR(LOOKUP(2,1/(Sorgo!$E61:INDEX(Sorgo!$E61:$Z61,MIN(AF$6-$E$3,22))&lt;&gt;""),Sorgo!$E61:INDEX(Sorgo!$E61:$Z61,MIN(AF$6-$E$3,22))),0))-IF($G$2,0,IF((AF$6-$G$3)&lt;1,0,IFERROR(LOOKUP(2,1/(Sorgo!$E61:INDEX(Sorgo!$E61:$Z61,MIN(AF$6-$G$3,22))&lt;&gt;""),Sorgo!$E61:INDEX(Sorgo!$E61:$Z61,MIN(AF$6-$G$3,22))),0)))))</f>
        <v>0</v>
      </c>
      <c r="AG63" s="27" t="n">
        <f aca="false">IF(COUNT(Sorgo!$E61:$Z61)=0,0,MAX(0,IF((AG$6-$E$3)&lt;1,0,IFERROR(LOOKUP(2,1/(Sorgo!$E61:INDEX(Sorgo!$E61:$Z61,MIN(AG$6-$E$3,22))&lt;&gt;""),Sorgo!$E61:INDEX(Sorgo!$E61:$Z61,MIN(AG$6-$E$3,22))),0))-IF($G$2,0,IF((AG$6-$G$3)&lt;1,0,IFERROR(LOOKUP(2,1/(Sorgo!$E61:INDEX(Sorgo!$E61:$Z61,MIN(AG$6-$G$3,22))&lt;&gt;""),Sorgo!$E61:INDEX(Sorgo!$E61:$Z61,MIN(AG$6-$G$3,22))),0)))))</f>
        <v>0</v>
      </c>
      <c r="AH63" s="27" t="n">
        <f aca="false">IF(COUNT(Sorgo!$E61:$Z61)=0,0,MAX(0,IF((AH$6-$E$3)&lt;1,0,IFERROR(LOOKUP(2,1/(Sorgo!$E61:INDEX(Sorgo!$E61:$Z61,MIN(AH$6-$E$3,22))&lt;&gt;""),Sorgo!$E61:INDEX(Sorgo!$E61:$Z61,MIN(AH$6-$E$3,22))),0))-IF($G$2,0,IF((AH$6-$G$3)&lt;1,0,IFERROR(LOOKUP(2,1/(Sorgo!$E61:INDEX(Sorgo!$E61:$Z61,MIN(AH$6-$G$3,22))&lt;&gt;""),Sorgo!$E61:INDEX(Sorgo!$E61:$Z61,MIN(AH$6-$G$3,22))),0)))))</f>
        <v>0</v>
      </c>
      <c r="AI63" s="27" t="n">
        <f aca="false">IF(COUNT(Sorgo!$E61:$Z61)=0,0,MAX(0,IF((AI$6-$E$3)&lt;1,0,IFERROR(LOOKUP(2,1/(Sorgo!$E61:INDEX(Sorgo!$E61:$Z61,MIN(AI$6-$E$3,22))&lt;&gt;""),Sorgo!$E61:INDEX(Sorgo!$E61:$Z61,MIN(AI$6-$E$3,22))),0))-IF($G$2,0,IF((AI$6-$G$3)&lt;1,0,IFERROR(LOOKUP(2,1/(Sorgo!$E61:INDEX(Sorgo!$E61:$Z61,MIN(AI$6-$G$3,22))&lt;&gt;""),Sorgo!$E61:INDEX(Sorgo!$E61:$Z61,MIN(AI$6-$G$3,22))),0)))))</f>
        <v>0</v>
      </c>
      <c r="AJ63" s="27" t="n">
        <f aca="false">IF(COUNT(Sorgo!$E61:$Z61)=0,0,MAX(0,IF((AJ$6-$E$3)&lt;1,0,IFERROR(LOOKUP(2,1/(Sorgo!$E61:INDEX(Sorgo!$E61:$Z61,MIN(AJ$6-$E$3,22))&lt;&gt;""),Sorgo!$E61:INDEX(Sorgo!$E61:$Z61,MIN(AJ$6-$E$3,22))),0))-IF($G$2,0,IF((AJ$6-$G$3)&lt;1,0,IFERROR(LOOKUP(2,1/(Sorgo!$E61:INDEX(Sorgo!$E61:$Z61,MIN(AJ$6-$G$3,22))&lt;&gt;""),Sorgo!$E61:INDEX(Sorgo!$E61:$Z61,MIN(AJ$6-$G$3,22))),0)))))</f>
        <v>0</v>
      </c>
      <c r="AK63" s="27" t="n">
        <f aca="false">IF(COUNT(Sorgo!$E61:$Z61)=0,0,MAX(0,IF((AK$6-$E$3)&lt;1,0,IFERROR(LOOKUP(2,1/(Sorgo!$E61:INDEX(Sorgo!$E61:$Z61,MIN(AK$6-$E$3,22))&lt;&gt;""),Sorgo!$E61:INDEX(Sorgo!$E61:$Z61,MIN(AK$6-$E$3,22))),0))-IF($G$2,0,IF((AK$6-$G$3)&lt;1,0,IFERROR(LOOKUP(2,1/(Sorgo!$E61:INDEX(Sorgo!$E61:$Z61,MIN(AK$6-$G$3,22))&lt;&gt;""),Sorgo!$E61:INDEX(Sorgo!$E61:$Z61,MIN(AK$6-$G$3,22))),0)))))</f>
        <v>0</v>
      </c>
      <c r="AL63" s="27" t="n">
        <f aca="false">IF(COUNT(Sorgo!$E61:$Z61)=0,0,MAX(0,IF((AL$6-$E$3)&lt;1,0,IFERROR(LOOKUP(2,1/(Sorgo!$E61:INDEX(Sorgo!$E61:$Z61,MIN(AL$6-$E$3,22))&lt;&gt;""),Sorgo!$E61:INDEX(Sorgo!$E61:$Z61,MIN(AL$6-$E$3,22))),0))-IF($G$2,0,IF((AL$6-$G$3)&lt;1,0,IFERROR(LOOKUP(2,1/(Sorgo!$E61:INDEX(Sorgo!$E61:$Z61,MIN(AL$6-$G$3,22))&lt;&gt;""),Sorgo!$E61:INDEX(Sorgo!$E61:$Z61,MIN(AL$6-$G$3,22))),0)))))</f>
        <v>0</v>
      </c>
      <c r="AM63" s="27" t="n">
        <f aca="false">IF(COUNT(Sorgo!$E61:$Z61)=0,0,MAX(0,IF((AM$6-$E$3)&lt;1,0,IFERROR(LOOKUP(2,1/(Sorgo!$E61:INDEX(Sorgo!$E61:$Z61,MIN(AM$6-$E$3,22))&lt;&gt;""),Sorgo!$E61:INDEX(Sorgo!$E61:$Z61,MIN(AM$6-$E$3,22))),0))-IF($G$2,0,IF((AM$6-$G$3)&lt;1,0,IFERROR(LOOKUP(2,1/(Sorgo!$E61:INDEX(Sorgo!$E61:$Z61,MIN(AM$6-$G$3,22))&lt;&gt;""),Sorgo!$E61:INDEX(Sorgo!$E61:$Z61,MIN(AM$6-$G$3,22))),0)))))</f>
        <v>0</v>
      </c>
      <c r="AN63" s="27" t="n">
        <f aca="false">IF(COUNT(Sorgo!$E61:$Z61)=0,0,MAX(0,IF((AN$6-$E$3)&lt;1,0,IFERROR(LOOKUP(2,1/(Sorgo!$E61:INDEX(Sorgo!$E61:$Z61,MIN(AN$6-$E$3,22))&lt;&gt;""),Sorgo!$E61:INDEX(Sorgo!$E61:$Z61,MIN(AN$6-$E$3,22))),0))-IF($G$2,0,IF((AN$6-$G$3)&lt;1,0,IFERROR(LOOKUP(2,1/(Sorgo!$E61:INDEX(Sorgo!$E61:$Z61,MIN(AN$6-$G$3,22))&lt;&gt;""),Sorgo!$E61:INDEX(Sorgo!$E61:$Z61,MIN(AN$6-$G$3,22))),0)))))</f>
        <v>0</v>
      </c>
      <c r="AO63" s="27" t="n">
        <f aca="false">IF(COUNT(Sorgo!$E61:$Z61)=0,0,MAX(0,IF((AO$6-$E$3)&lt;1,0,IFERROR(LOOKUP(2,1/(Sorgo!$E61:INDEX(Sorgo!$E61:$Z61,MIN(AO$6-$E$3,22))&lt;&gt;""),Sorgo!$E61:INDEX(Sorgo!$E61:$Z61,MIN(AO$6-$E$3,22))),0))-IF($G$2,0,IF((AO$6-$G$3)&lt;1,0,IFERROR(LOOKUP(2,1/(Sorgo!$E61:INDEX(Sorgo!$E61:$Z61,MIN(AO$6-$G$3,22))&lt;&gt;""),Sorgo!$E61:INDEX(Sorgo!$E61:$Z61,MIN(AO$6-$G$3,22))),0)))))</f>
        <v>0</v>
      </c>
      <c r="AP63" s="27" t="n">
        <f aca="false">IF(COUNT(Sorgo!$E61:$Z61)=0,0,MAX(0,IF((AP$6-$E$3)&lt;1,0,IFERROR(LOOKUP(2,1/(Sorgo!$E61:INDEX(Sorgo!$E61:$Z61,MIN(AP$6-$E$3,22))&lt;&gt;""),Sorgo!$E61:INDEX(Sorgo!$E61:$Z61,MIN(AP$6-$E$3,22))),0))-IF($G$2,0,IF((AP$6-$G$3)&lt;1,0,IFERROR(LOOKUP(2,1/(Sorgo!$E61:INDEX(Sorgo!$E61:$Z61,MIN(AP$6-$G$3,22))&lt;&gt;""),Sorgo!$E61:INDEX(Sorgo!$E61:$Z61,MIN(AP$6-$G$3,22))),0)))))</f>
        <v>0</v>
      </c>
      <c r="AQ63" s="27" t="n">
        <f aca="false">IF(COUNT(Sorgo!$E61:$Z61)=0,0,MAX(0,IF((AQ$6-$E$3)&lt;1,0,IFERROR(LOOKUP(2,1/(Sorgo!$E61:INDEX(Sorgo!$E61:$Z61,MIN(AQ$6-$E$3,22))&lt;&gt;""),Sorgo!$E61:INDEX(Sorgo!$E61:$Z61,MIN(AQ$6-$E$3,22))),0))-IF($G$2,0,IF((AQ$6-$G$3)&lt;1,0,IFERROR(LOOKUP(2,1/(Sorgo!$E61:INDEX(Sorgo!$E61:$Z61,MIN(AQ$6-$G$3,22))&lt;&gt;""),Sorgo!$E61:INDEX(Sorgo!$E61:$Z61,MIN(AQ$6-$G$3,22))),0)))))</f>
        <v>0</v>
      </c>
      <c r="AR63" s="27" t="n">
        <f aca="false">IF(COUNT(Sorgo!$E61:$Z61)=0,0,MAX(0,IF((AR$6-$E$3)&lt;1,0,IFERROR(LOOKUP(2,1/(Sorgo!$E61:INDEX(Sorgo!$E61:$Z61,MIN(AR$6-$E$3,22))&lt;&gt;""),Sorgo!$E61:INDEX(Sorgo!$E61:$Z61,MIN(AR$6-$E$3,22))),0))-IF($G$2,0,IF((AR$6-$G$3)&lt;1,0,IFERROR(LOOKUP(2,1/(Sorgo!$E61:INDEX(Sorgo!$E61:$Z61,MIN(AR$6-$G$3,22))&lt;&gt;""),Sorgo!$E61:INDEX(Sorgo!$E61:$Z61,MIN(AR$6-$G$3,22))),0)))))</f>
        <v>0</v>
      </c>
      <c r="AS63" s="27" t="n">
        <f aca="false">IF(COUNT(Sorgo!$E61:$Z61)=0,0,MAX(0,IF((AS$6-$E$3)&lt;1,0,IFERROR(LOOKUP(2,1/(Sorgo!$E61:INDEX(Sorgo!$E61:$Z61,MIN(AS$6-$E$3,22))&lt;&gt;""),Sorgo!$E61:INDEX(Sorgo!$E61:$Z61,MIN(AS$6-$E$3,22))),0))-IF($G$2,0,IF((AS$6-$G$3)&lt;1,0,IFERROR(LOOKUP(2,1/(Sorgo!$E61:INDEX(Sorgo!$E61:$Z61,MIN(AS$6-$G$3,22))&lt;&gt;""),Sorgo!$E61:INDEX(Sorgo!$E61:$Z61,MIN(AS$6-$G$3,22))),0)))))</f>
        <v>0</v>
      </c>
      <c r="AT63" s="27" t="n">
        <f aca="false">IF(COUNT(Sorgo!$E61:$Z61)=0,0,MAX(0,IF((AT$6-$E$3)&lt;1,0,IFERROR(LOOKUP(2,1/(Sorgo!$E61:INDEX(Sorgo!$E61:$Z61,MIN(AT$6-$E$3,22))&lt;&gt;""),Sorgo!$E61:INDEX(Sorgo!$E61:$Z61,MIN(AT$6-$E$3,22))),0))-IF($G$2,0,IF((AT$6-$G$3)&lt;1,0,IFERROR(LOOKUP(2,1/(Sorgo!$E61:INDEX(Sorgo!$E61:$Z61,MIN(AT$6-$G$3,22))&lt;&gt;""),Sorgo!$E61:INDEX(Sorgo!$E61:$Z61,MIN(AT$6-$G$3,22))),0)))))</f>
        <v>0</v>
      </c>
      <c r="AU63" s="27" t="n">
        <f aca="false">IF(COUNT(Sorgo!$E61:$Z61)=0,0,MAX(0,IF((AU$6-$E$3)&lt;1,0,IFERROR(LOOKUP(2,1/(Sorgo!$E61:INDEX(Sorgo!$E61:$Z61,MIN(AU$6-$E$3,22))&lt;&gt;""),Sorgo!$E61:INDEX(Sorgo!$E61:$Z61,MIN(AU$6-$E$3,22))),0))-IF($G$2,0,IF((AU$6-$G$3)&lt;1,0,IFERROR(LOOKUP(2,1/(Sorgo!$E61:INDEX(Sorgo!$E61:$Z61,MIN(AU$6-$G$3,22))&lt;&gt;""),Sorgo!$E61:INDEX(Sorgo!$E61:$Z61,MIN(AU$6-$G$3,22))),0)))))</f>
        <v>0</v>
      </c>
      <c r="AV63" s="27" t="n">
        <f aca="false">IF(COUNT(Sorgo!$E61:$Z61)=0,0,MAX(0,IF((AV$6-$E$3)&lt;1,0,IFERROR(LOOKUP(2,1/(Sorgo!$E61:INDEX(Sorgo!$E61:$Z61,MIN(AV$6-$E$3,22))&lt;&gt;""),Sorgo!$E61:INDEX(Sorgo!$E61:$Z61,MIN(AV$6-$E$3,22))),0))-IF($G$2,0,IF((AV$6-$G$3)&lt;1,0,IFERROR(LOOKUP(2,1/(Sorgo!$E61:INDEX(Sorgo!$E61:$Z61,MIN(AV$6-$G$3,22))&lt;&gt;""),Sorgo!$E61:INDEX(Sorgo!$E61:$Z61,MIN(AV$6-$G$3,22))),0)))))</f>
        <v>0</v>
      </c>
      <c r="AW63" s="27" t="n">
        <f aca="false">IF(COUNT(Sorgo!$E61:$Z61)=0,0,MAX(0,IF((AW$6-$E$3)&lt;1,0,IFERROR(LOOKUP(2,1/(Sorgo!$E61:INDEX(Sorgo!$E61:$Z61,MIN(AW$6-$E$3,22))&lt;&gt;""),Sorgo!$E61:INDEX(Sorgo!$E61:$Z61,MIN(AW$6-$E$3,22))),0))-IF($G$2,0,IF((AW$6-$G$3)&lt;1,0,IFERROR(LOOKUP(2,1/(Sorgo!$E61:INDEX(Sorgo!$E61:$Z61,MIN(AW$6-$G$3,22))&lt;&gt;""),Sorgo!$E61:INDEX(Sorgo!$E61:$Z61,MIN(AW$6-$G$3,22))),0)))))</f>
        <v>0</v>
      </c>
      <c r="AX63" s="27" t="n">
        <f aca="false">IF(COUNT(Sorgo!$E61:$Z61)=0,0,MAX(0,IF((AX$6-$E$3)&lt;1,0,IFERROR(LOOKUP(2,1/(Sorgo!$E61:INDEX(Sorgo!$E61:$Z61,MIN(AX$6-$E$3,22))&lt;&gt;""),Sorgo!$E61:INDEX(Sorgo!$E61:$Z61,MIN(AX$6-$E$3,22))),0))-IF($G$2,0,IF((AX$6-$G$3)&lt;1,0,IFERROR(LOOKUP(2,1/(Sorgo!$E61:INDEX(Sorgo!$E61:$Z61,MIN(AX$6-$G$3,22))&lt;&gt;""),Sorgo!$E61:INDEX(Sorgo!$E61:$Z61,MIN(AX$6-$G$3,22))),0)))))</f>
        <v>0</v>
      </c>
      <c r="AY63" s="27" t="n">
        <f aca="false">IF(COUNT(Sorgo!$E61:$Z61)=0,0,MAX(0,IF((AY$6-$E$3)&lt;1,0,IFERROR(LOOKUP(2,1/(Sorgo!$E61:INDEX(Sorgo!$E61:$Z61,MIN(AY$6-$E$3,22))&lt;&gt;""),Sorgo!$E61:INDEX(Sorgo!$E61:$Z61,MIN(AY$6-$E$3,22))),0))-IF($G$2,0,IF((AY$6-$G$3)&lt;1,0,IFERROR(LOOKUP(2,1/(Sorgo!$E61:INDEX(Sorgo!$E61:$Z61,MIN(AY$6-$G$3,22))&lt;&gt;""),Sorgo!$E61:INDEX(Sorgo!$E61:$Z61,MIN(AY$6-$G$3,22))),0)))))</f>
        <v>0</v>
      </c>
      <c r="AZ63" s="27" t="n">
        <f aca="false">IF(COUNT(Sorgo!$E61:$Z61)=0,0,MAX(0,IF((AZ$6-$E$3)&lt;1,0,IFERROR(LOOKUP(2,1/(Sorgo!$E61:INDEX(Sorgo!$E61:$Z61,MIN(AZ$6-$E$3,22))&lt;&gt;""),Sorgo!$E61:INDEX(Sorgo!$E61:$Z61,MIN(AZ$6-$E$3,22))),0))-IF($G$2,0,IF((AZ$6-$G$3)&lt;1,0,IFERROR(LOOKUP(2,1/(Sorgo!$E61:INDEX(Sorgo!$E61:$Z61,MIN(AZ$6-$G$3,22))&lt;&gt;""),Sorgo!$E61:INDEX(Sorgo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IF(COUNT(Sorgo!$E62:$Z62)&gt;0,N(Sorgo!$D62),0)</f>
        <v>0</v>
      </c>
      <c r="E64" s="27" t="n">
        <f aca="false">IF(COUNT(Sorgo!$E62:$Z62)=0,0,MAX(0,IF((E$6-$E$3)&lt;1,0,IFERROR(LOOKUP(2,1/(Sorgo!$E62:INDEX(Sorgo!$E62:$Z62,MIN(E$6-$E$3,22))&lt;&gt;""),Sorgo!$E62:INDEX(Sorgo!$E62:$Z62,MIN(E$6-$E$3,22))),0))-IF($G$2,0,IF((E$6-$G$3)&lt;1,0,IFERROR(LOOKUP(2,1/(Sorgo!$E62:INDEX(Sorgo!$E62:$Z62,MIN(E$6-$G$3,22))&lt;&gt;""),Sorgo!$E62:INDEX(Sorgo!$E62:$Z62,MIN(E$6-$G$3,22))),0)))))</f>
        <v>0</v>
      </c>
      <c r="F64" s="27" t="n">
        <f aca="false">IF(COUNT(Sorgo!$E62:$Z62)=0,0,MAX(0,IF((F$6-$E$3)&lt;1,0,IFERROR(LOOKUP(2,1/(Sorgo!$E62:INDEX(Sorgo!$E62:$Z62,MIN(F$6-$E$3,22))&lt;&gt;""),Sorgo!$E62:INDEX(Sorgo!$E62:$Z62,MIN(F$6-$E$3,22))),0))-IF($G$2,0,IF((F$6-$G$3)&lt;1,0,IFERROR(LOOKUP(2,1/(Sorgo!$E62:INDEX(Sorgo!$E62:$Z62,MIN(F$6-$G$3,22))&lt;&gt;""),Sorgo!$E62:INDEX(Sorgo!$E62:$Z62,MIN(F$6-$G$3,22))),0)))))</f>
        <v>0</v>
      </c>
      <c r="G64" s="27" t="n">
        <f aca="false">IF(COUNT(Sorgo!$E62:$Z62)=0,0,MAX(0,IF((G$6-$E$3)&lt;1,0,IFERROR(LOOKUP(2,1/(Sorgo!$E62:INDEX(Sorgo!$E62:$Z62,MIN(G$6-$E$3,22))&lt;&gt;""),Sorgo!$E62:INDEX(Sorgo!$E62:$Z62,MIN(G$6-$E$3,22))),0))-IF($G$2,0,IF((G$6-$G$3)&lt;1,0,IFERROR(LOOKUP(2,1/(Sorgo!$E62:INDEX(Sorgo!$E62:$Z62,MIN(G$6-$G$3,22))&lt;&gt;""),Sorgo!$E62:INDEX(Sorgo!$E62:$Z62,MIN(G$6-$G$3,22))),0)))))</f>
        <v>0</v>
      </c>
      <c r="H64" s="27" t="n">
        <f aca="false">IF(COUNT(Sorgo!$E62:$Z62)=0,0,MAX(0,IF((H$6-$E$3)&lt;1,0,IFERROR(LOOKUP(2,1/(Sorgo!$E62:INDEX(Sorgo!$E62:$Z62,MIN(H$6-$E$3,22))&lt;&gt;""),Sorgo!$E62:INDEX(Sorgo!$E62:$Z62,MIN(H$6-$E$3,22))),0))-IF($G$2,0,IF((H$6-$G$3)&lt;1,0,IFERROR(LOOKUP(2,1/(Sorgo!$E62:INDEX(Sorgo!$E62:$Z62,MIN(H$6-$G$3,22))&lt;&gt;""),Sorgo!$E62:INDEX(Sorgo!$E62:$Z62,MIN(H$6-$G$3,22))),0)))))</f>
        <v>0</v>
      </c>
      <c r="I64" s="27" t="n">
        <f aca="false">IF(COUNT(Sorgo!$E62:$Z62)=0,0,MAX(0,IF((I$6-$E$3)&lt;1,0,IFERROR(LOOKUP(2,1/(Sorgo!$E62:INDEX(Sorgo!$E62:$Z62,MIN(I$6-$E$3,22))&lt;&gt;""),Sorgo!$E62:INDEX(Sorgo!$E62:$Z62,MIN(I$6-$E$3,22))),0))-IF($G$2,0,IF((I$6-$G$3)&lt;1,0,IFERROR(LOOKUP(2,1/(Sorgo!$E62:INDEX(Sorgo!$E62:$Z62,MIN(I$6-$G$3,22))&lt;&gt;""),Sorgo!$E62:INDEX(Sorgo!$E62:$Z62,MIN(I$6-$G$3,22))),0)))))</f>
        <v>0</v>
      </c>
      <c r="J64" s="27" t="n">
        <f aca="false">IF(COUNT(Sorgo!$E62:$Z62)=0,0,MAX(0,IF((J$6-$E$3)&lt;1,0,IFERROR(LOOKUP(2,1/(Sorgo!$E62:INDEX(Sorgo!$E62:$Z62,MIN(J$6-$E$3,22))&lt;&gt;""),Sorgo!$E62:INDEX(Sorgo!$E62:$Z62,MIN(J$6-$E$3,22))),0))-IF($G$2,0,IF((J$6-$G$3)&lt;1,0,IFERROR(LOOKUP(2,1/(Sorgo!$E62:INDEX(Sorgo!$E62:$Z62,MIN(J$6-$G$3,22))&lt;&gt;""),Sorgo!$E62:INDEX(Sorgo!$E62:$Z62,MIN(J$6-$G$3,22))),0)))))</f>
        <v>0</v>
      </c>
      <c r="K64" s="27" t="n">
        <f aca="false">IF(COUNT(Sorgo!$E62:$Z62)=0,0,MAX(0,IF((K$6-$E$3)&lt;1,0,IFERROR(LOOKUP(2,1/(Sorgo!$E62:INDEX(Sorgo!$E62:$Z62,MIN(K$6-$E$3,22))&lt;&gt;""),Sorgo!$E62:INDEX(Sorgo!$E62:$Z62,MIN(K$6-$E$3,22))),0))-IF($G$2,0,IF((K$6-$G$3)&lt;1,0,IFERROR(LOOKUP(2,1/(Sorgo!$E62:INDEX(Sorgo!$E62:$Z62,MIN(K$6-$G$3,22))&lt;&gt;""),Sorgo!$E62:INDEX(Sorgo!$E62:$Z62,MIN(K$6-$G$3,22))),0)))))</f>
        <v>0</v>
      </c>
      <c r="L64" s="27" t="n">
        <f aca="false">IF(COUNT(Sorgo!$E62:$Z62)=0,0,MAX(0,IF((L$6-$E$3)&lt;1,0,IFERROR(LOOKUP(2,1/(Sorgo!$E62:INDEX(Sorgo!$E62:$Z62,MIN(L$6-$E$3,22))&lt;&gt;""),Sorgo!$E62:INDEX(Sorgo!$E62:$Z62,MIN(L$6-$E$3,22))),0))-IF($G$2,0,IF((L$6-$G$3)&lt;1,0,IFERROR(LOOKUP(2,1/(Sorgo!$E62:INDEX(Sorgo!$E62:$Z62,MIN(L$6-$G$3,22))&lt;&gt;""),Sorgo!$E62:INDEX(Sorgo!$E62:$Z62,MIN(L$6-$G$3,22))),0)))))</f>
        <v>0</v>
      </c>
      <c r="M64" s="27" t="n">
        <f aca="false">IF(COUNT(Sorgo!$E62:$Z62)=0,0,MAX(0,IF((M$6-$E$3)&lt;1,0,IFERROR(LOOKUP(2,1/(Sorgo!$E62:INDEX(Sorgo!$E62:$Z62,MIN(M$6-$E$3,22))&lt;&gt;""),Sorgo!$E62:INDEX(Sorgo!$E62:$Z62,MIN(M$6-$E$3,22))),0))-IF($G$2,0,IF((M$6-$G$3)&lt;1,0,IFERROR(LOOKUP(2,1/(Sorgo!$E62:INDEX(Sorgo!$E62:$Z62,MIN(M$6-$G$3,22))&lt;&gt;""),Sorgo!$E62:INDEX(Sorgo!$E62:$Z62,MIN(M$6-$G$3,22))),0)))))</f>
        <v>0</v>
      </c>
      <c r="N64" s="27" t="n">
        <f aca="false">IF(COUNT(Sorgo!$E62:$Z62)=0,0,MAX(0,IF((N$6-$E$3)&lt;1,0,IFERROR(LOOKUP(2,1/(Sorgo!$E62:INDEX(Sorgo!$E62:$Z62,MIN(N$6-$E$3,22))&lt;&gt;""),Sorgo!$E62:INDEX(Sorgo!$E62:$Z62,MIN(N$6-$E$3,22))),0))-IF($G$2,0,IF((N$6-$G$3)&lt;1,0,IFERROR(LOOKUP(2,1/(Sorgo!$E62:INDEX(Sorgo!$E62:$Z62,MIN(N$6-$G$3,22))&lt;&gt;""),Sorgo!$E62:INDEX(Sorgo!$E62:$Z62,MIN(N$6-$G$3,22))),0)))))</f>
        <v>0</v>
      </c>
      <c r="O64" s="27" t="n">
        <f aca="false">IF(COUNT(Sorgo!$E62:$Z62)=0,0,MAX(0,IF((O$6-$E$3)&lt;1,0,IFERROR(LOOKUP(2,1/(Sorgo!$E62:INDEX(Sorgo!$E62:$Z62,MIN(O$6-$E$3,22))&lt;&gt;""),Sorgo!$E62:INDEX(Sorgo!$E62:$Z62,MIN(O$6-$E$3,22))),0))-IF($G$2,0,IF((O$6-$G$3)&lt;1,0,IFERROR(LOOKUP(2,1/(Sorgo!$E62:INDEX(Sorgo!$E62:$Z62,MIN(O$6-$G$3,22))&lt;&gt;""),Sorgo!$E62:INDEX(Sorgo!$E62:$Z62,MIN(O$6-$G$3,22))),0)))))</f>
        <v>0</v>
      </c>
      <c r="P64" s="27" t="n">
        <f aca="false">IF(COUNT(Sorgo!$E62:$Z62)=0,0,MAX(0,IF((P$6-$E$3)&lt;1,0,IFERROR(LOOKUP(2,1/(Sorgo!$E62:INDEX(Sorgo!$E62:$Z62,MIN(P$6-$E$3,22))&lt;&gt;""),Sorgo!$E62:INDEX(Sorgo!$E62:$Z62,MIN(P$6-$E$3,22))),0))-IF($G$2,0,IF((P$6-$G$3)&lt;1,0,IFERROR(LOOKUP(2,1/(Sorgo!$E62:INDEX(Sorgo!$E62:$Z62,MIN(P$6-$G$3,22))&lt;&gt;""),Sorgo!$E62:INDEX(Sorgo!$E62:$Z62,MIN(P$6-$G$3,22))),0)))))</f>
        <v>0</v>
      </c>
      <c r="Q64" s="27" t="n">
        <f aca="false">IF(COUNT(Sorgo!$E62:$Z62)=0,0,MAX(0,IF((Q$6-$E$3)&lt;1,0,IFERROR(LOOKUP(2,1/(Sorgo!$E62:INDEX(Sorgo!$E62:$Z62,MIN(Q$6-$E$3,22))&lt;&gt;""),Sorgo!$E62:INDEX(Sorgo!$E62:$Z62,MIN(Q$6-$E$3,22))),0))-IF($G$2,0,IF((Q$6-$G$3)&lt;1,0,IFERROR(LOOKUP(2,1/(Sorgo!$E62:INDEX(Sorgo!$E62:$Z62,MIN(Q$6-$G$3,22))&lt;&gt;""),Sorgo!$E62:INDEX(Sorgo!$E62:$Z62,MIN(Q$6-$G$3,22))),0)))))</f>
        <v>0</v>
      </c>
      <c r="R64" s="27" t="n">
        <f aca="false">IF(COUNT(Sorgo!$E62:$Z62)=0,0,MAX(0,IF((R$6-$E$3)&lt;1,0,IFERROR(LOOKUP(2,1/(Sorgo!$E62:INDEX(Sorgo!$E62:$Z62,MIN(R$6-$E$3,22))&lt;&gt;""),Sorgo!$E62:INDEX(Sorgo!$E62:$Z62,MIN(R$6-$E$3,22))),0))-IF($G$2,0,IF((R$6-$G$3)&lt;1,0,IFERROR(LOOKUP(2,1/(Sorgo!$E62:INDEX(Sorgo!$E62:$Z62,MIN(R$6-$G$3,22))&lt;&gt;""),Sorgo!$E62:INDEX(Sorgo!$E62:$Z62,MIN(R$6-$G$3,22))),0)))))</f>
        <v>0</v>
      </c>
      <c r="S64" s="27" t="n">
        <f aca="false">IF(COUNT(Sorgo!$E62:$Z62)=0,0,MAX(0,IF((S$6-$E$3)&lt;1,0,IFERROR(LOOKUP(2,1/(Sorgo!$E62:INDEX(Sorgo!$E62:$Z62,MIN(S$6-$E$3,22))&lt;&gt;""),Sorgo!$E62:INDEX(Sorgo!$E62:$Z62,MIN(S$6-$E$3,22))),0))-IF($G$2,0,IF((S$6-$G$3)&lt;1,0,IFERROR(LOOKUP(2,1/(Sorgo!$E62:INDEX(Sorgo!$E62:$Z62,MIN(S$6-$G$3,22))&lt;&gt;""),Sorgo!$E62:INDEX(Sorgo!$E62:$Z62,MIN(S$6-$G$3,22))),0)))))</f>
        <v>0</v>
      </c>
      <c r="T64" s="27" t="n">
        <f aca="false">IF(COUNT(Sorgo!$E62:$Z62)=0,0,MAX(0,IF((T$6-$E$3)&lt;1,0,IFERROR(LOOKUP(2,1/(Sorgo!$E62:INDEX(Sorgo!$E62:$Z62,MIN(T$6-$E$3,22))&lt;&gt;""),Sorgo!$E62:INDEX(Sorgo!$E62:$Z62,MIN(T$6-$E$3,22))),0))-IF($G$2,0,IF((T$6-$G$3)&lt;1,0,IFERROR(LOOKUP(2,1/(Sorgo!$E62:INDEX(Sorgo!$E62:$Z62,MIN(T$6-$G$3,22))&lt;&gt;""),Sorgo!$E62:INDEX(Sorgo!$E62:$Z62,MIN(T$6-$G$3,22))),0)))))</f>
        <v>0</v>
      </c>
      <c r="U64" s="27" t="n">
        <f aca="false">IF(COUNT(Sorgo!$E62:$Z62)=0,0,MAX(0,IF((U$6-$E$3)&lt;1,0,IFERROR(LOOKUP(2,1/(Sorgo!$E62:INDEX(Sorgo!$E62:$Z62,MIN(U$6-$E$3,22))&lt;&gt;""),Sorgo!$E62:INDEX(Sorgo!$E62:$Z62,MIN(U$6-$E$3,22))),0))-IF($G$2,0,IF((U$6-$G$3)&lt;1,0,IFERROR(LOOKUP(2,1/(Sorgo!$E62:INDEX(Sorgo!$E62:$Z62,MIN(U$6-$G$3,22))&lt;&gt;""),Sorgo!$E62:INDEX(Sorgo!$E62:$Z62,MIN(U$6-$G$3,22))),0)))))</f>
        <v>0</v>
      </c>
      <c r="V64" s="27" t="n">
        <f aca="false">IF(COUNT(Sorgo!$E62:$Z62)=0,0,MAX(0,IF((V$6-$E$3)&lt;1,0,IFERROR(LOOKUP(2,1/(Sorgo!$E62:INDEX(Sorgo!$E62:$Z62,MIN(V$6-$E$3,22))&lt;&gt;""),Sorgo!$E62:INDEX(Sorgo!$E62:$Z62,MIN(V$6-$E$3,22))),0))-IF($G$2,0,IF((V$6-$G$3)&lt;1,0,IFERROR(LOOKUP(2,1/(Sorgo!$E62:INDEX(Sorgo!$E62:$Z62,MIN(V$6-$G$3,22))&lt;&gt;""),Sorgo!$E62:INDEX(Sorgo!$E62:$Z62,MIN(V$6-$G$3,22))),0)))))</f>
        <v>0</v>
      </c>
      <c r="W64" s="27" t="n">
        <f aca="false">IF(COUNT(Sorgo!$E62:$Z62)=0,0,MAX(0,IF((W$6-$E$3)&lt;1,0,IFERROR(LOOKUP(2,1/(Sorgo!$E62:INDEX(Sorgo!$E62:$Z62,MIN(W$6-$E$3,22))&lt;&gt;""),Sorgo!$E62:INDEX(Sorgo!$E62:$Z62,MIN(W$6-$E$3,22))),0))-IF($G$2,0,IF((W$6-$G$3)&lt;1,0,IFERROR(LOOKUP(2,1/(Sorgo!$E62:INDEX(Sorgo!$E62:$Z62,MIN(W$6-$G$3,22))&lt;&gt;""),Sorgo!$E62:INDEX(Sorgo!$E62:$Z62,MIN(W$6-$G$3,22))),0)))))</f>
        <v>0</v>
      </c>
      <c r="X64" s="27" t="n">
        <f aca="false">IF(COUNT(Sorgo!$E62:$Z62)=0,0,MAX(0,IF((X$6-$E$3)&lt;1,0,IFERROR(LOOKUP(2,1/(Sorgo!$E62:INDEX(Sorgo!$E62:$Z62,MIN(X$6-$E$3,22))&lt;&gt;""),Sorgo!$E62:INDEX(Sorgo!$E62:$Z62,MIN(X$6-$E$3,22))),0))-IF($G$2,0,IF((X$6-$G$3)&lt;1,0,IFERROR(LOOKUP(2,1/(Sorgo!$E62:INDEX(Sorgo!$E62:$Z62,MIN(X$6-$G$3,22))&lt;&gt;""),Sorgo!$E62:INDEX(Sorgo!$E62:$Z62,MIN(X$6-$G$3,22))),0)))))</f>
        <v>0</v>
      </c>
      <c r="Y64" s="27" t="n">
        <f aca="false">IF(COUNT(Sorgo!$E62:$Z62)=0,0,MAX(0,IF((Y$6-$E$3)&lt;1,0,IFERROR(LOOKUP(2,1/(Sorgo!$E62:INDEX(Sorgo!$E62:$Z62,MIN(Y$6-$E$3,22))&lt;&gt;""),Sorgo!$E62:INDEX(Sorgo!$E62:$Z62,MIN(Y$6-$E$3,22))),0))-IF($G$2,0,IF((Y$6-$G$3)&lt;1,0,IFERROR(LOOKUP(2,1/(Sorgo!$E62:INDEX(Sorgo!$E62:$Z62,MIN(Y$6-$G$3,22))&lt;&gt;""),Sorgo!$E62:INDEX(Sorgo!$E62:$Z62,MIN(Y$6-$G$3,22))),0)))))</f>
        <v>0</v>
      </c>
      <c r="Z64" s="27" t="n">
        <f aca="false">IF(COUNT(Sorgo!$E62:$Z62)=0,0,MAX(0,IF((Z$6-$E$3)&lt;1,0,IFERROR(LOOKUP(2,1/(Sorgo!$E62:INDEX(Sorgo!$E62:$Z62,MIN(Z$6-$E$3,22))&lt;&gt;""),Sorgo!$E62:INDEX(Sorgo!$E62:$Z62,MIN(Z$6-$E$3,22))),0))-IF($G$2,0,IF((Z$6-$G$3)&lt;1,0,IFERROR(LOOKUP(2,1/(Sorgo!$E62:INDEX(Sorgo!$E62:$Z62,MIN(Z$6-$G$3,22))&lt;&gt;""),Sorgo!$E62:INDEX(Sorgo!$E62:$Z62,MIN(Z$6-$G$3,22))),0)))))</f>
        <v>0</v>
      </c>
      <c r="AA64" s="27" t="n">
        <f aca="false">IF(COUNT(Sorgo!$E62:$Z62)=0,0,MAX(0,IF((AA$6-$E$3)&lt;1,0,IFERROR(LOOKUP(2,1/(Sorgo!$E62:INDEX(Sorgo!$E62:$Z62,MIN(AA$6-$E$3,22))&lt;&gt;""),Sorgo!$E62:INDEX(Sorgo!$E62:$Z62,MIN(AA$6-$E$3,22))),0))-IF($G$2,0,IF((AA$6-$G$3)&lt;1,0,IFERROR(LOOKUP(2,1/(Sorgo!$E62:INDEX(Sorgo!$E62:$Z62,MIN(AA$6-$G$3,22))&lt;&gt;""),Sorgo!$E62:INDEX(Sorgo!$E62:$Z62,MIN(AA$6-$G$3,22))),0)))))</f>
        <v>0</v>
      </c>
      <c r="AB64" s="27" t="n">
        <f aca="false">IF(COUNT(Sorgo!$E62:$Z62)=0,0,MAX(0,IF((AB$6-$E$3)&lt;1,0,IFERROR(LOOKUP(2,1/(Sorgo!$E62:INDEX(Sorgo!$E62:$Z62,MIN(AB$6-$E$3,22))&lt;&gt;""),Sorgo!$E62:INDEX(Sorgo!$E62:$Z62,MIN(AB$6-$E$3,22))),0))-IF($G$2,0,IF((AB$6-$G$3)&lt;1,0,IFERROR(LOOKUP(2,1/(Sorgo!$E62:INDEX(Sorgo!$E62:$Z62,MIN(AB$6-$G$3,22))&lt;&gt;""),Sorgo!$E62:INDEX(Sorgo!$E62:$Z62,MIN(AB$6-$G$3,22))),0)))))</f>
        <v>0</v>
      </c>
      <c r="AC64" s="27" t="n">
        <f aca="false">IF(COUNT(Sorgo!$E62:$Z62)=0,0,MAX(0,IF((AC$6-$E$3)&lt;1,0,IFERROR(LOOKUP(2,1/(Sorgo!$E62:INDEX(Sorgo!$E62:$Z62,MIN(AC$6-$E$3,22))&lt;&gt;""),Sorgo!$E62:INDEX(Sorgo!$E62:$Z62,MIN(AC$6-$E$3,22))),0))-IF($G$2,0,IF((AC$6-$G$3)&lt;1,0,IFERROR(LOOKUP(2,1/(Sorgo!$E62:INDEX(Sorgo!$E62:$Z62,MIN(AC$6-$G$3,22))&lt;&gt;""),Sorgo!$E62:INDEX(Sorgo!$E62:$Z62,MIN(AC$6-$G$3,22))),0)))))</f>
        <v>0</v>
      </c>
      <c r="AD64" s="27" t="n">
        <f aca="false">IF(COUNT(Sorgo!$E62:$Z62)=0,0,MAX(0,IF((AD$6-$E$3)&lt;1,0,IFERROR(LOOKUP(2,1/(Sorgo!$E62:INDEX(Sorgo!$E62:$Z62,MIN(AD$6-$E$3,22))&lt;&gt;""),Sorgo!$E62:INDEX(Sorgo!$E62:$Z62,MIN(AD$6-$E$3,22))),0))-IF($G$2,0,IF((AD$6-$G$3)&lt;1,0,IFERROR(LOOKUP(2,1/(Sorgo!$E62:INDEX(Sorgo!$E62:$Z62,MIN(AD$6-$G$3,22))&lt;&gt;""),Sorgo!$E62:INDEX(Sorgo!$E62:$Z62,MIN(AD$6-$G$3,22))),0)))))</f>
        <v>0</v>
      </c>
      <c r="AE64" s="27" t="n">
        <f aca="false">IF(COUNT(Sorgo!$E62:$Z62)=0,0,MAX(0,IF((AE$6-$E$3)&lt;1,0,IFERROR(LOOKUP(2,1/(Sorgo!$E62:INDEX(Sorgo!$E62:$Z62,MIN(AE$6-$E$3,22))&lt;&gt;""),Sorgo!$E62:INDEX(Sorgo!$E62:$Z62,MIN(AE$6-$E$3,22))),0))-IF($G$2,0,IF((AE$6-$G$3)&lt;1,0,IFERROR(LOOKUP(2,1/(Sorgo!$E62:INDEX(Sorgo!$E62:$Z62,MIN(AE$6-$G$3,22))&lt;&gt;""),Sorgo!$E62:INDEX(Sorgo!$E62:$Z62,MIN(AE$6-$G$3,22))),0)))))</f>
        <v>0</v>
      </c>
      <c r="AF64" s="27" t="n">
        <f aca="false">IF(COUNT(Sorgo!$E62:$Z62)=0,0,MAX(0,IF((AF$6-$E$3)&lt;1,0,IFERROR(LOOKUP(2,1/(Sorgo!$E62:INDEX(Sorgo!$E62:$Z62,MIN(AF$6-$E$3,22))&lt;&gt;""),Sorgo!$E62:INDEX(Sorgo!$E62:$Z62,MIN(AF$6-$E$3,22))),0))-IF($G$2,0,IF((AF$6-$G$3)&lt;1,0,IFERROR(LOOKUP(2,1/(Sorgo!$E62:INDEX(Sorgo!$E62:$Z62,MIN(AF$6-$G$3,22))&lt;&gt;""),Sorgo!$E62:INDEX(Sorgo!$E62:$Z62,MIN(AF$6-$G$3,22))),0)))))</f>
        <v>0</v>
      </c>
      <c r="AG64" s="27" t="n">
        <f aca="false">IF(COUNT(Sorgo!$E62:$Z62)=0,0,MAX(0,IF((AG$6-$E$3)&lt;1,0,IFERROR(LOOKUP(2,1/(Sorgo!$E62:INDEX(Sorgo!$E62:$Z62,MIN(AG$6-$E$3,22))&lt;&gt;""),Sorgo!$E62:INDEX(Sorgo!$E62:$Z62,MIN(AG$6-$E$3,22))),0))-IF($G$2,0,IF((AG$6-$G$3)&lt;1,0,IFERROR(LOOKUP(2,1/(Sorgo!$E62:INDEX(Sorgo!$E62:$Z62,MIN(AG$6-$G$3,22))&lt;&gt;""),Sorgo!$E62:INDEX(Sorgo!$E62:$Z62,MIN(AG$6-$G$3,22))),0)))))</f>
        <v>0</v>
      </c>
      <c r="AH64" s="27" t="n">
        <f aca="false">IF(COUNT(Sorgo!$E62:$Z62)=0,0,MAX(0,IF((AH$6-$E$3)&lt;1,0,IFERROR(LOOKUP(2,1/(Sorgo!$E62:INDEX(Sorgo!$E62:$Z62,MIN(AH$6-$E$3,22))&lt;&gt;""),Sorgo!$E62:INDEX(Sorgo!$E62:$Z62,MIN(AH$6-$E$3,22))),0))-IF($G$2,0,IF((AH$6-$G$3)&lt;1,0,IFERROR(LOOKUP(2,1/(Sorgo!$E62:INDEX(Sorgo!$E62:$Z62,MIN(AH$6-$G$3,22))&lt;&gt;""),Sorgo!$E62:INDEX(Sorgo!$E62:$Z62,MIN(AH$6-$G$3,22))),0)))))</f>
        <v>0</v>
      </c>
      <c r="AI64" s="27" t="n">
        <f aca="false">IF(COUNT(Sorgo!$E62:$Z62)=0,0,MAX(0,IF((AI$6-$E$3)&lt;1,0,IFERROR(LOOKUP(2,1/(Sorgo!$E62:INDEX(Sorgo!$E62:$Z62,MIN(AI$6-$E$3,22))&lt;&gt;""),Sorgo!$E62:INDEX(Sorgo!$E62:$Z62,MIN(AI$6-$E$3,22))),0))-IF($G$2,0,IF((AI$6-$G$3)&lt;1,0,IFERROR(LOOKUP(2,1/(Sorgo!$E62:INDEX(Sorgo!$E62:$Z62,MIN(AI$6-$G$3,22))&lt;&gt;""),Sorgo!$E62:INDEX(Sorgo!$E62:$Z62,MIN(AI$6-$G$3,22))),0)))))</f>
        <v>0</v>
      </c>
      <c r="AJ64" s="27" t="n">
        <f aca="false">IF(COUNT(Sorgo!$E62:$Z62)=0,0,MAX(0,IF((AJ$6-$E$3)&lt;1,0,IFERROR(LOOKUP(2,1/(Sorgo!$E62:INDEX(Sorgo!$E62:$Z62,MIN(AJ$6-$E$3,22))&lt;&gt;""),Sorgo!$E62:INDEX(Sorgo!$E62:$Z62,MIN(AJ$6-$E$3,22))),0))-IF($G$2,0,IF((AJ$6-$G$3)&lt;1,0,IFERROR(LOOKUP(2,1/(Sorgo!$E62:INDEX(Sorgo!$E62:$Z62,MIN(AJ$6-$G$3,22))&lt;&gt;""),Sorgo!$E62:INDEX(Sorgo!$E62:$Z62,MIN(AJ$6-$G$3,22))),0)))))</f>
        <v>0</v>
      </c>
      <c r="AK64" s="27" t="n">
        <f aca="false">IF(COUNT(Sorgo!$E62:$Z62)=0,0,MAX(0,IF((AK$6-$E$3)&lt;1,0,IFERROR(LOOKUP(2,1/(Sorgo!$E62:INDEX(Sorgo!$E62:$Z62,MIN(AK$6-$E$3,22))&lt;&gt;""),Sorgo!$E62:INDEX(Sorgo!$E62:$Z62,MIN(AK$6-$E$3,22))),0))-IF($G$2,0,IF((AK$6-$G$3)&lt;1,0,IFERROR(LOOKUP(2,1/(Sorgo!$E62:INDEX(Sorgo!$E62:$Z62,MIN(AK$6-$G$3,22))&lt;&gt;""),Sorgo!$E62:INDEX(Sorgo!$E62:$Z62,MIN(AK$6-$G$3,22))),0)))))</f>
        <v>0</v>
      </c>
      <c r="AL64" s="27" t="n">
        <f aca="false">IF(COUNT(Sorgo!$E62:$Z62)=0,0,MAX(0,IF((AL$6-$E$3)&lt;1,0,IFERROR(LOOKUP(2,1/(Sorgo!$E62:INDEX(Sorgo!$E62:$Z62,MIN(AL$6-$E$3,22))&lt;&gt;""),Sorgo!$E62:INDEX(Sorgo!$E62:$Z62,MIN(AL$6-$E$3,22))),0))-IF($G$2,0,IF((AL$6-$G$3)&lt;1,0,IFERROR(LOOKUP(2,1/(Sorgo!$E62:INDEX(Sorgo!$E62:$Z62,MIN(AL$6-$G$3,22))&lt;&gt;""),Sorgo!$E62:INDEX(Sorgo!$E62:$Z62,MIN(AL$6-$G$3,22))),0)))))</f>
        <v>0</v>
      </c>
      <c r="AM64" s="27" t="n">
        <f aca="false">IF(COUNT(Sorgo!$E62:$Z62)=0,0,MAX(0,IF((AM$6-$E$3)&lt;1,0,IFERROR(LOOKUP(2,1/(Sorgo!$E62:INDEX(Sorgo!$E62:$Z62,MIN(AM$6-$E$3,22))&lt;&gt;""),Sorgo!$E62:INDEX(Sorgo!$E62:$Z62,MIN(AM$6-$E$3,22))),0))-IF($G$2,0,IF((AM$6-$G$3)&lt;1,0,IFERROR(LOOKUP(2,1/(Sorgo!$E62:INDEX(Sorgo!$E62:$Z62,MIN(AM$6-$G$3,22))&lt;&gt;""),Sorgo!$E62:INDEX(Sorgo!$E62:$Z62,MIN(AM$6-$G$3,22))),0)))))</f>
        <v>0</v>
      </c>
      <c r="AN64" s="27" t="n">
        <f aca="false">IF(COUNT(Sorgo!$E62:$Z62)=0,0,MAX(0,IF((AN$6-$E$3)&lt;1,0,IFERROR(LOOKUP(2,1/(Sorgo!$E62:INDEX(Sorgo!$E62:$Z62,MIN(AN$6-$E$3,22))&lt;&gt;""),Sorgo!$E62:INDEX(Sorgo!$E62:$Z62,MIN(AN$6-$E$3,22))),0))-IF($G$2,0,IF((AN$6-$G$3)&lt;1,0,IFERROR(LOOKUP(2,1/(Sorgo!$E62:INDEX(Sorgo!$E62:$Z62,MIN(AN$6-$G$3,22))&lt;&gt;""),Sorgo!$E62:INDEX(Sorgo!$E62:$Z62,MIN(AN$6-$G$3,22))),0)))))</f>
        <v>0</v>
      </c>
      <c r="AO64" s="27" t="n">
        <f aca="false">IF(COUNT(Sorgo!$E62:$Z62)=0,0,MAX(0,IF((AO$6-$E$3)&lt;1,0,IFERROR(LOOKUP(2,1/(Sorgo!$E62:INDEX(Sorgo!$E62:$Z62,MIN(AO$6-$E$3,22))&lt;&gt;""),Sorgo!$E62:INDEX(Sorgo!$E62:$Z62,MIN(AO$6-$E$3,22))),0))-IF($G$2,0,IF((AO$6-$G$3)&lt;1,0,IFERROR(LOOKUP(2,1/(Sorgo!$E62:INDEX(Sorgo!$E62:$Z62,MIN(AO$6-$G$3,22))&lt;&gt;""),Sorgo!$E62:INDEX(Sorgo!$E62:$Z62,MIN(AO$6-$G$3,22))),0)))))</f>
        <v>0</v>
      </c>
      <c r="AP64" s="27" t="n">
        <f aca="false">IF(COUNT(Sorgo!$E62:$Z62)=0,0,MAX(0,IF((AP$6-$E$3)&lt;1,0,IFERROR(LOOKUP(2,1/(Sorgo!$E62:INDEX(Sorgo!$E62:$Z62,MIN(AP$6-$E$3,22))&lt;&gt;""),Sorgo!$E62:INDEX(Sorgo!$E62:$Z62,MIN(AP$6-$E$3,22))),0))-IF($G$2,0,IF((AP$6-$G$3)&lt;1,0,IFERROR(LOOKUP(2,1/(Sorgo!$E62:INDEX(Sorgo!$E62:$Z62,MIN(AP$6-$G$3,22))&lt;&gt;""),Sorgo!$E62:INDEX(Sorgo!$E62:$Z62,MIN(AP$6-$G$3,22))),0)))))</f>
        <v>0</v>
      </c>
      <c r="AQ64" s="27" t="n">
        <f aca="false">IF(COUNT(Sorgo!$E62:$Z62)=0,0,MAX(0,IF((AQ$6-$E$3)&lt;1,0,IFERROR(LOOKUP(2,1/(Sorgo!$E62:INDEX(Sorgo!$E62:$Z62,MIN(AQ$6-$E$3,22))&lt;&gt;""),Sorgo!$E62:INDEX(Sorgo!$E62:$Z62,MIN(AQ$6-$E$3,22))),0))-IF($G$2,0,IF((AQ$6-$G$3)&lt;1,0,IFERROR(LOOKUP(2,1/(Sorgo!$E62:INDEX(Sorgo!$E62:$Z62,MIN(AQ$6-$G$3,22))&lt;&gt;""),Sorgo!$E62:INDEX(Sorgo!$E62:$Z62,MIN(AQ$6-$G$3,22))),0)))))</f>
        <v>0</v>
      </c>
      <c r="AR64" s="27" t="n">
        <f aca="false">IF(COUNT(Sorgo!$E62:$Z62)=0,0,MAX(0,IF((AR$6-$E$3)&lt;1,0,IFERROR(LOOKUP(2,1/(Sorgo!$E62:INDEX(Sorgo!$E62:$Z62,MIN(AR$6-$E$3,22))&lt;&gt;""),Sorgo!$E62:INDEX(Sorgo!$E62:$Z62,MIN(AR$6-$E$3,22))),0))-IF($G$2,0,IF((AR$6-$G$3)&lt;1,0,IFERROR(LOOKUP(2,1/(Sorgo!$E62:INDEX(Sorgo!$E62:$Z62,MIN(AR$6-$G$3,22))&lt;&gt;""),Sorgo!$E62:INDEX(Sorgo!$E62:$Z62,MIN(AR$6-$G$3,22))),0)))))</f>
        <v>0</v>
      </c>
      <c r="AS64" s="27" t="n">
        <f aca="false">IF(COUNT(Sorgo!$E62:$Z62)=0,0,MAX(0,IF((AS$6-$E$3)&lt;1,0,IFERROR(LOOKUP(2,1/(Sorgo!$E62:INDEX(Sorgo!$E62:$Z62,MIN(AS$6-$E$3,22))&lt;&gt;""),Sorgo!$E62:INDEX(Sorgo!$E62:$Z62,MIN(AS$6-$E$3,22))),0))-IF($G$2,0,IF((AS$6-$G$3)&lt;1,0,IFERROR(LOOKUP(2,1/(Sorgo!$E62:INDEX(Sorgo!$E62:$Z62,MIN(AS$6-$G$3,22))&lt;&gt;""),Sorgo!$E62:INDEX(Sorgo!$E62:$Z62,MIN(AS$6-$G$3,22))),0)))))</f>
        <v>0</v>
      </c>
      <c r="AT64" s="27" t="n">
        <f aca="false">IF(COUNT(Sorgo!$E62:$Z62)=0,0,MAX(0,IF((AT$6-$E$3)&lt;1,0,IFERROR(LOOKUP(2,1/(Sorgo!$E62:INDEX(Sorgo!$E62:$Z62,MIN(AT$6-$E$3,22))&lt;&gt;""),Sorgo!$E62:INDEX(Sorgo!$E62:$Z62,MIN(AT$6-$E$3,22))),0))-IF($G$2,0,IF((AT$6-$G$3)&lt;1,0,IFERROR(LOOKUP(2,1/(Sorgo!$E62:INDEX(Sorgo!$E62:$Z62,MIN(AT$6-$G$3,22))&lt;&gt;""),Sorgo!$E62:INDEX(Sorgo!$E62:$Z62,MIN(AT$6-$G$3,22))),0)))))</f>
        <v>0</v>
      </c>
      <c r="AU64" s="27" t="n">
        <f aca="false">IF(COUNT(Sorgo!$E62:$Z62)=0,0,MAX(0,IF((AU$6-$E$3)&lt;1,0,IFERROR(LOOKUP(2,1/(Sorgo!$E62:INDEX(Sorgo!$E62:$Z62,MIN(AU$6-$E$3,22))&lt;&gt;""),Sorgo!$E62:INDEX(Sorgo!$E62:$Z62,MIN(AU$6-$E$3,22))),0))-IF($G$2,0,IF((AU$6-$G$3)&lt;1,0,IFERROR(LOOKUP(2,1/(Sorgo!$E62:INDEX(Sorgo!$E62:$Z62,MIN(AU$6-$G$3,22))&lt;&gt;""),Sorgo!$E62:INDEX(Sorgo!$E62:$Z62,MIN(AU$6-$G$3,22))),0)))))</f>
        <v>0</v>
      </c>
      <c r="AV64" s="27" t="n">
        <f aca="false">IF(COUNT(Sorgo!$E62:$Z62)=0,0,MAX(0,IF((AV$6-$E$3)&lt;1,0,IFERROR(LOOKUP(2,1/(Sorgo!$E62:INDEX(Sorgo!$E62:$Z62,MIN(AV$6-$E$3,22))&lt;&gt;""),Sorgo!$E62:INDEX(Sorgo!$E62:$Z62,MIN(AV$6-$E$3,22))),0))-IF($G$2,0,IF((AV$6-$G$3)&lt;1,0,IFERROR(LOOKUP(2,1/(Sorgo!$E62:INDEX(Sorgo!$E62:$Z62,MIN(AV$6-$G$3,22))&lt;&gt;""),Sorgo!$E62:INDEX(Sorgo!$E62:$Z62,MIN(AV$6-$G$3,22))),0)))))</f>
        <v>0</v>
      </c>
      <c r="AW64" s="27" t="n">
        <f aca="false">IF(COUNT(Sorgo!$E62:$Z62)=0,0,MAX(0,IF((AW$6-$E$3)&lt;1,0,IFERROR(LOOKUP(2,1/(Sorgo!$E62:INDEX(Sorgo!$E62:$Z62,MIN(AW$6-$E$3,22))&lt;&gt;""),Sorgo!$E62:INDEX(Sorgo!$E62:$Z62,MIN(AW$6-$E$3,22))),0))-IF($G$2,0,IF((AW$6-$G$3)&lt;1,0,IFERROR(LOOKUP(2,1/(Sorgo!$E62:INDEX(Sorgo!$E62:$Z62,MIN(AW$6-$G$3,22))&lt;&gt;""),Sorgo!$E62:INDEX(Sorgo!$E62:$Z62,MIN(AW$6-$G$3,22))),0)))))</f>
        <v>0</v>
      </c>
      <c r="AX64" s="27" t="n">
        <f aca="false">IF(COUNT(Sorgo!$E62:$Z62)=0,0,MAX(0,IF((AX$6-$E$3)&lt;1,0,IFERROR(LOOKUP(2,1/(Sorgo!$E62:INDEX(Sorgo!$E62:$Z62,MIN(AX$6-$E$3,22))&lt;&gt;""),Sorgo!$E62:INDEX(Sorgo!$E62:$Z62,MIN(AX$6-$E$3,22))),0))-IF($G$2,0,IF((AX$6-$G$3)&lt;1,0,IFERROR(LOOKUP(2,1/(Sorgo!$E62:INDEX(Sorgo!$E62:$Z62,MIN(AX$6-$G$3,22))&lt;&gt;""),Sorgo!$E62:INDEX(Sorgo!$E62:$Z62,MIN(AX$6-$G$3,22))),0)))))</f>
        <v>0</v>
      </c>
      <c r="AY64" s="27" t="n">
        <f aca="false">IF(COUNT(Sorgo!$E62:$Z62)=0,0,MAX(0,IF((AY$6-$E$3)&lt;1,0,IFERROR(LOOKUP(2,1/(Sorgo!$E62:INDEX(Sorgo!$E62:$Z62,MIN(AY$6-$E$3,22))&lt;&gt;""),Sorgo!$E62:INDEX(Sorgo!$E62:$Z62,MIN(AY$6-$E$3,22))),0))-IF($G$2,0,IF((AY$6-$G$3)&lt;1,0,IFERROR(LOOKUP(2,1/(Sorgo!$E62:INDEX(Sorgo!$E62:$Z62,MIN(AY$6-$G$3,22))&lt;&gt;""),Sorgo!$E62:INDEX(Sorgo!$E62:$Z62,MIN(AY$6-$G$3,22))),0)))))</f>
        <v>0</v>
      </c>
      <c r="AZ64" s="27" t="n">
        <f aca="false">IF(COUNT(Sorgo!$E62:$Z62)=0,0,MAX(0,IF((AZ$6-$E$3)&lt;1,0,IFERROR(LOOKUP(2,1/(Sorgo!$E62:INDEX(Sorgo!$E62:$Z62,MIN(AZ$6-$E$3,22))&lt;&gt;""),Sorgo!$E62:INDEX(Sorgo!$E62:$Z62,MIN(AZ$6-$E$3,22))),0))-IF($G$2,0,IF((AZ$6-$G$3)&lt;1,0,IFERROR(LOOKUP(2,1/(Sorgo!$E62:INDEX(Sorgo!$E62:$Z62,MIN(AZ$6-$G$3,22))&lt;&gt;""),Sorgo!$E62:INDEX(Sorgo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IF(COUNT(Sorgo!$E63:$Z63)&gt;0,N(Sorgo!$D63),0)</f>
        <v>0</v>
      </c>
      <c r="E65" s="27" t="n">
        <f aca="false">IF(COUNT(Sorgo!$E63:$Z63)=0,0,MAX(0,IF((E$6-$E$3)&lt;1,0,IFERROR(LOOKUP(2,1/(Sorgo!$E63:INDEX(Sorgo!$E63:$Z63,MIN(E$6-$E$3,22))&lt;&gt;""),Sorgo!$E63:INDEX(Sorgo!$E63:$Z63,MIN(E$6-$E$3,22))),0))-IF($G$2,0,IF((E$6-$G$3)&lt;1,0,IFERROR(LOOKUP(2,1/(Sorgo!$E63:INDEX(Sorgo!$E63:$Z63,MIN(E$6-$G$3,22))&lt;&gt;""),Sorgo!$E63:INDEX(Sorgo!$E63:$Z63,MIN(E$6-$G$3,22))),0)))))</f>
        <v>0</v>
      </c>
      <c r="F65" s="27" t="n">
        <f aca="false">IF(COUNT(Sorgo!$E63:$Z63)=0,0,MAX(0,IF((F$6-$E$3)&lt;1,0,IFERROR(LOOKUP(2,1/(Sorgo!$E63:INDEX(Sorgo!$E63:$Z63,MIN(F$6-$E$3,22))&lt;&gt;""),Sorgo!$E63:INDEX(Sorgo!$E63:$Z63,MIN(F$6-$E$3,22))),0))-IF($G$2,0,IF((F$6-$G$3)&lt;1,0,IFERROR(LOOKUP(2,1/(Sorgo!$E63:INDEX(Sorgo!$E63:$Z63,MIN(F$6-$G$3,22))&lt;&gt;""),Sorgo!$E63:INDEX(Sorgo!$E63:$Z63,MIN(F$6-$G$3,22))),0)))))</f>
        <v>0</v>
      </c>
      <c r="G65" s="27" t="n">
        <f aca="false">IF(COUNT(Sorgo!$E63:$Z63)=0,0,MAX(0,IF((G$6-$E$3)&lt;1,0,IFERROR(LOOKUP(2,1/(Sorgo!$E63:INDEX(Sorgo!$E63:$Z63,MIN(G$6-$E$3,22))&lt;&gt;""),Sorgo!$E63:INDEX(Sorgo!$E63:$Z63,MIN(G$6-$E$3,22))),0))-IF($G$2,0,IF((G$6-$G$3)&lt;1,0,IFERROR(LOOKUP(2,1/(Sorgo!$E63:INDEX(Sorgo!$E63:$Z63,MIN(G$6-$G$3,22))&lt;&gt;""),Sorgo!$E63:INDEX(Sorgo!$E63:$Z63,MIN(G$6-$G$3,22))),0)))))</f>
        <v>0</v>
      </c>
      <c r="H65" s="27" t="n">
        <f aca="false">IF(COUNT(Sorgo!$E63:$Z63)=0,0,MAX(0,IF((H$6-$E$3)&lt;1,0,IFERROR(LOOKUP(2,1/(Sorgo!$E63:INDEX(Sorgo!$E63:$Z63,MIN(H$6-$E$3,22))&lt;&gt;""),Sorgo!$E63:INDEX(Sorgo!$E63:$Z63,MIN(H$6-$E$3,22))),0))-IF($G$2,0,IF((H$6-$G$3)&lt;1,0,IFERROR(LOOKUP(2,1/(Sorgo!$E63:INDEX(Sorgo!$E63:$Z63,MIN(H$6-$G$3,22))&lt;&gt;""),Sorgo!$E63:INDEX(Sorgo!$E63:$Z63,MIN(H$6-$G$3,22))),0)))))</f>
        <v>0</v>
      </c>
      <c r="I65" s="27" t="n">
        <f aca="false">IF(COUNT(Sorgo!$E63:$Z63)=0,0,MAX(0,IF((I$6-$E$3)&lt;1,0,IFERROR(LOOKUP(2,1/(Sorgo!$E63:INDEX(Sorgo!$E63:$Z63,MIN(I$6-$E$3,22))&lt;&gt;""),Sorgo!$E63:INDEX(Sorgo!$E63:$Z63,MIN(I$6-$E$3,22))),0))-IF($G$2,0,IF((I$6-$G$3)&lt;1,0,IFERROR(LOOKUP(2,1/(Sorgo!$E63:INDEX(Sorgo!$E63:$Z63,MIN(I$6-$G$3,22))&lt;&gt;""),Sorgo!$E63:INDEX(Sorgo!$E63:$Z63,MIN(I$6-$G$3,22))),0)))))</f>
        <v>0</v>
      </c>
      <c r="J65" s="27" t="n">
        <f aca="false">IF(COUNT(Sorgo!$E63:$Z63)=0,0,MAX(0,IF((J$6-$E$3)&lt;1,0,IFERROR(LOOKUP(2,1/(Sorgo!$E63:INDEX(Sorgo!$E63:$Z63,MIN(J$6-$E$3,22))&lt;&gt;""),Sorgo!$E63:INDEX(Sorgo!$E63:$Z63,MIN(J$6-$E$3,22))),0))-IF($G$2,0,IF((J$6-$G$3)&lt;1,0,IFERROR(LOOKUP(2,1/(Sorgo!$E63:INDEX(Sorgo!$E63:$Z63,MIN(J$6-$G$3,22))&lt;&gt;""),Sorgo!$E63:INDEX(Sorgo!$E63:$Z63,MIN(J$6-$G$3,22))),0)))))</f>
        <v>0</v>
      </c>
      <c r="K65" s="27" t="n">
        <f aca="false">IF(COUNT(Sorgo!$E63:$Z63)=0,0,MAX(0,IF((K$6-$E$3)&lt;1,0,IFERROR(LOOKUP(2,1/(Sorgo!$E63:INDEX(Sorgo!$E63:$Z63,MIN(K$6-$E$3,22))&lt;&gt;""),Sorgo!$E63:INDEX(Sorgo!$E63:$Z63,MIN(K$6-$E$3,22))),0))-IF($G$2,0,IF((K$6-$G$3)&lt;1,0,IFERROR(LOOKUP(2,1/(Sorgo!$E63:INDEX(Sorgo!$E63:$Z63,MIN(K$6-$G$3,22))&lt;&gt;""),Sorgo!$E63:INDEX(Sorgo!$E63:$Z63,MIN(K$6-$G$3,22))),0)))))</f>
        <v>0</v>
      </c>
      <c r="L65" s="27" t="n">
        <f aca="false">IF(COUNT(Sorgo!$E63:$Z63)=0,0,MAX(0,IF((L$6-$E$3)&lt;1,0,IFERROR(LOOKUP(2,1/(Sorgo!$E63:INDEX(Sorgo!$E63:$Z63,MIN(L$6-$E$3,22))&lt;&gt;""),Sorgo!$E63:INDEX(Sorgo!$E63:$Z63,MIN(L$6-$E$3,22))),0))-IF($G$2,0,IF((L$6-$G$3)&lt;1,0,IFERROR(LOOKUP(2,1/(Sorgo!$E63:INDEX(Sorgo!$E63:$Z63,MIN(L$6-$G$3,22))&lt;&gt;""),Sorgo!$E63:INDEX(Sorgo!$E63:$Z63,MIN(L$6-$G$3,22))),0)))))</f>
        <v>0</v>
      </c>
      <c r="M65" s="27" t="n">
        <f aca="false">IF(COUNT(Sorgo!$E63:$Z63)=0,0,MAX(0,IF((M$6-$E$3)&lt;1,0,IFERROR(LOOKUP(2,1/(Sorgo!$E63:INDEX(Sorgo!$E63:$Z63,MIN(M$6-$E$3,22))&lt;&gt;""),Sorgo!$E63:INDEX(Sorgo!$E63:$Z63,MIN(M$6-$E$3,22))),0))-IF($G$2,0,IF((M$6-$G$3)&lt;1,0,IFERROR(LOOKUP(2,1/(Sorgo!$E63:INDEX(Sorgo!$E63:$Z63,MIN(M$6-$G$3,22))&lt;&gt;""),Sorgo!$E63:INDEX(Sorgo!$E63:$Z63,MIN(M$6-$G$3,22))),0)))))</f>
        <v>0</v>
      </c>
      <c r="N65" s="27" t="n">
        <f aca="false">IF(COUNT(Sorgo!$E63:$Z63)=0,0,MAX(0,IF((N$6-$E$3)&lt;1,0,IFERROR(LOOKUP(2,1/(Sorgo!$E63:INDEX(Sorgo!$E63:$Z63,MIN(N$6-$E$3,22))&lt;&gt;""),Sorgo!$E63:INDEX(Sorgo!$E63:$Z63,MIN(N$6-$E$3,22))),0))-IF($G$2,0,IF((N$6-$G$3)&lt;1,0,IFERROR(LOOKUP(2,1/(Sorgo!$E63:INDEX(Sorgo!$E63:$Z63,MIN(N$6-$G$3,22))&lt;&gt;""),Sorgo!$E63:INDEX(Sorgo!$E63:$Z63,MIN(N$6-$G$3,22))),0)))))</f>
        <v>0</v>
      </c>
      <c r="O65" s="27" t="n">
        <f aca="false">IF(COUNT(Sorgo!$E63:$Z63)=0,0,MAX(0,IF((O$6-$E$3)&lt;1,0,IFERROR(LOOKUP(2,1/(Sorgo!$E63:INDEX(Sorgo!$E63:$Z63,MIN(O$6-$E$3,22))&lt;&gt;""),Sorgo!$E63:INDEX(Sorgo!$E63:$Z63,MIN(O$6-$E$3,22))),0))-IF($G$2,0,IF((O$6-$G$3)&lt;1,0,IFERROR(LOOKUP(2,1/(Sorgo!$E63:INDEX(Sorgo!$E63:$Z63,MIN(O$6-$G$3,22))&lt;&gt;""),Sorgo!$E63:INDEX(Sorgo!$E63:$Z63,MIN(O$6-$G$3,22))),0)))))</f>
        <v>0</v>
      </c>
      <c r="P65" s="27" t="n">
        <f aca="false">IF(COUNT(Sorgo!$E63:$Z63)=0,0,MAX(0,IF((P$6-$E$3)&lt;1,0,IFERROR(LOOKUP(2,1/(Sorgo!$E63:INDEX(Sorgo!$E63:$Z63,MIN(P$6-$E$3,22))&lt;&gt;""),Sorgo!$E63:INDEX(Sorgo!$E63:$Z63,MIN(P$6-$E$3,22))),0))-IF($G$2,0,IF((P$6-$G$3)&lt;1,0,IFERROR(LOOKUP(2,1/(Sorgo!$E63:INDEX(Sorgo!$E63:$Z63,MIN(P$6-$G$3,22))&lt;&gt;""),Sorgo!$E63:INDEX(Sorgo!$E63:$Z63,MIN(P$6-$G$3,22))),0)))))</f>
        <v>0</v>
      </c>
      <c r="Q65" s="27" t="n">
        <f aca="false">IF(COUNT(Sorgo!$E63:$Z63)=0,0,MAX(0,IF((Q$6-$E$3)&lt;1,0,IFERROR(LOOKUP(2,1/(Sorgo!$E63:INDEX(Sorgo!$E63:$Z63,MIN(Q$6-$E$3,22))&lt;&gt;""),Sorgo!$E63:INDEX(Sorgo!$E63:$Z63,MIN(Q$6-$E$3,22))),0))-IF($G$2,0,IF((Q$6-$G$3)&lt;1,0,IFERROR(LOOKUP(2,1/(Sorgo!$E63:INDEX(Sorgo!$E63:$Z63,MIN(Q$6-$G$3,22))&lt;&gt;""),Sorgo!$E63:INDEX(Sorgo!$E63:$Z63,MIN(Q$6-$G$3,22))),0)))))</f>
        <v>0</v>
      </c>
      <c r="R65" s="27" t="n">
        <f aca="false">IF(COUNT(Sorgo!$E63:$Z63)=0,0,MAX(0,IF((R$6-$E$3)&lt;1,0,IFERROR(LOOKUP(2,1/(Sorgo!$E63:INDEX(Sorgo!$E63:$Z63,MIN(R$6-$E$3,22))&lt;&gt;""),Sorgo!$E63:INDEX(Sorgo!$E63:$Z63,MIN(R$6-$E$3,22))),0))-IF($G$2,0,IF((R$6-$G$3)&lt;1,0,IFERROR(LOOKUP(2,1/(Sorgo!$E63:INDEX(Sorgo!$E63:$Z63,MIN(R$6-$G$3,22))&lt;&gt;""),Sorgo!$E63:INDEX(Sorgo!$E63:$Z63,MIN(R$6-$G$3,22))),0)))))</f>
        <v>0</v>
      </c>
      <c r="S65" s="27" t="n">
        <f aca="false">IF(COUNT(Sorgo!$E63:$Z63)=0,0,MAX(0,IF((S$6-$E$3)&lt;1,0,IFERROR(LOOKUP(2,1/(Sorgo!$E63:INDEX(Sorgo!$E63:$Z63,MIN(S$6-$E$3,22))&lt;&gt;""),Sorgo!$E63:INDEX(Sorgo!$E63:$Z63,MIN(S$6-$E$3,22))),0))-IF($G$2,0,IF((S$6-$G$3)&lt;1,0,IFERROR(LOOKUP(2,1/(Sorgo!$E63:INDEX(Sorgo!$E63:$Z63,MIN(S$6-$G$3,22))&lt;&gt;""),Sorgo!$E63:INDEX(Sorgo!$E63:$Z63,MIN(S$6-$G$3,22))),0)))))</f>
        <v>0</v>
      </c>
      <c r="T65" s="27" t="n">
        <f aca="false">IF(COUNT(Sorgo!$E63:$Z63)=0,0,MAX(0,IF((T$6-$E$3)&lt;1,0,IFERROR(LOOKUP(2,1/(Sorgo!$E63:INDEX(Sorgo!$E63:$Z63,MIN(T$6-$E$3,22))&lt;&gt;""),Sorgo!$E63:INDEX(Sorgo!$E63:$Z63,MIN(T$6-$E$3,22))),0))-IF($G$2,0,IF((T$6-$G$3)&lt;1,0,IFERROR(LOOKUP(2,1/(Sorgo!$E63:INDEX(Sorgo!$E63:$Z63,MIN(T$6-$G$3,22))&lt;&gt;""),Sorgo!$E63:INDEX(Sorgo!$E63:$Z63,MIN(T$6-$G$3,22))),0)))))</f>
        <v>0</v>
      </c>
      <c r="U65" s="27" t="n">
        <f aca="false">IF(COUNT(Sorgo!$E63:$Z63)=0,0,MAX(0,IF((U$6-$E$3)&lt;1,0,IFERROR(LOOKUP(2,1/(Sorgo!$E63:INDEX(Sorgo!$E63:$Z63,MIN(U$6-$E$3,22))&lt;&gt;""),Sorgo!$E63:INDEX(Sorgo!$E63:$Z63,MIN(U$6-$E$3,22))),0))-IF($G$2,0,IF((U$6-$G$3)&lt;1,0,IFERROR(LOOKUP(2,1/(Sorgo!$E63:INDEX(Sorgo!$E63:$Z63,MIN(U$6-$G$3,22))&lt;&gt;""),Sorgo!$E63:INDEX(Sorgo!$E63:$Z63,MIN(U$6-$G$3,22))),0)))))</f>
        <v>0</v>
      </c>
      <c r="V65" s="27" t="n">
        <f aca="false">IF(COUNT(Sorgo!$E63:$Z63)=0,0,MAX(0,IF((V$6-$E$3)&lt;1,0,IFERROR(LOOKUP(2,1/(Sorgo!$E63:INDEX(Sorgo!$E63:$Z63,MIN(V$6-$E$3,22))&lt;&gt;""),Sorgo!$E63:INDEX(Sorgo!$E63:$Z63,MIN(V$6-$E$3,22))),0))-IF($G$2,0,IF((V$6-$G$3)&lt;1,0,IFERROR(LOOKUP(2,1/(Sorgo!$E63:INDEX(Sorgo!$E63:$Z63,MIN(V$6-$G$3,22))&lt;&gt;""),Sorgo!$E63:INDEX(Sorgo!$E63:$Z63,MIN(V$6-$G$3,22))),0)))))</f>
        <v>0</v>
      </c>
      <c r="W65" s="27" t="n">
        <f aca="false">IF(COUNT(Sorgo!$E63:$Z63)=0,0,MAX(0,IF((W$6-$E$3)&lt;1,0,IFERROR(LOOKUP(2,1/(Sorgo!$E63:INDEX(Sorgo!$E63:$Z63,MIN(W$6-$E$3,22))&lt;&gt;""),Sorgo!$E63:INDEX(Sorgo!$E63:$Z63,MIN(W$6-$E$3,22))),0))-IF($G$2,0,IF((W$6-$G$3)&lt;1,0,IFERROR(LOOKUP(2,1/(Sorgo!$E63:INDEX(Sorgo!$E63:$Z63,MIN(W$6-$G$3,22))&lt;&gt;""),Sorgo!$E63:INDEX(Sorgo!$E63:$Z63,MIN(W$6-$G$3,22))),0)))))</f>
        <v>0</v>
      </c>
      <c r="X65" s="27" t="n">
        <f aca="false">IF(COUNT(Sorgo!$E63:$Z63)=0,0,MAX(0,IF((X$6-$E$3)&lt;1,0,IFERROR(LOOKUP(2,1/(Sorgo!$E63:INDEX(Sorgo!$E63:$Z63,MIN(X$6-$E$3,22))&lt;&gt;""),Sorgo!$E63:INDEX(Sorgo!$E63:$Z63,MIN(X$6-$E$3,22))),0))-IF($G$2,0,IF((X$6-$G$3)&lt;1,0,IFERROR(LOOKUP(2,1/(Sorgo!$E63:INDEX(Sorgo!$E63:$Z63,MIN(X$6-$G$3,22))&lt;&gt;""),Sorgo!$E63:INDEX(Sorgo!$E63:$Z63,MIN(X$6-$G$3,22))),0)))))</f>
        <v>0</v>
      </c>
      <c r="Y65" s="27" t="n">
        <f aca="false">IF(COUNT(Sorgo!$E63:$Z63)=0,0,MAX(0,IF((Y$6-$E$3)&lt;1,0,IFERROR(LOOKUP(2,1/(Sorgo!$E63:INDEX(Sorgo!$E63:$Z63,MIN(Y$6-$E$3,22))&lt;&gt;""),Sorgo!$E63:INDEX(Sorgo!$E63:$Z63,MIN(Y$6-$E$3,22))),0))-IF($G$2,0,IF((Y$6-$G$3)&lt;1,0,IFERROR(LOOKUP(2,1/(Sorgo!$E63:INDEX(Sorgo!$E63:$Z63,MIN(Y$6-$G$3,22))&lt;&gt;""),Sorgo!$E63:INDEX(Sorgo!$E63:$Z63,MIN(Y$6-$G$3,22))),0)))))</f>
        <v>0</v>
      </c>
      <c r="Z65" s="27" t="n">
        <f aca="false">IF(COUNT(Sorgo!$E63:$Z63)=0,0,MAX(0,IF((Z$6-$E$3)&lt;1,0,IFERROR(LOOKUP(2,1/(Sorgo!$E63:INDEX(Sorgo!$E63:$Z63,MIN(Z$6-$E$3,22))&lt;&gt;""),Sorgo!$E63:INDEX(Sorgo!$E63:$Z63,MIN(Z$6-$E$3,22))),0))-IF($G$2,0,IF((Z$6-$G$3)&lt;1,0,IFERROR(LOOKUP(2,1/(Sorgo!$E63:INDEX(Sorgo!$E63:$Z63,MIN(Z$6-$G$3,22))&lt;&gt;""),Sorgo!$E63:INDEX(Sorgo!$E63:$Z63,MIN(Z$6-$G$3,22))),0)))))</f>
        <v>0</v>
      </c>
      <c r="AA65" s="27" t="n">
        <f aca="false">IF(COUNT(Sorgo!$E63:$Z63)=0,0,MAX(0,IF((AA$6-$E$3)&lt;1,0,IFERROR(LOOKUP(2,1/(Sorgo!$E63:INDEX(Sorgo!$E63:$Z63,MIN(AA$6-$E$3,22))&lt;&gt;""),Sorgo!$E63:INDEX(Sorgo!$E63:$Z63,MIN(AA$6-$E$3,22))),0))-IF($G$2,0,IF((AA$6-$G$3)&lt;1,0,IFERROR(LOOKUP(2,1/(Sorgo!$E63:INDEX(Sorgo!$E63:$Z63,MIN(AA$6-$G$3,22))&lt;&gt;""),Sorgo!$E63:INDEX(Sorgo!$E63:$Z63,MIN(AA$6-$G$3,22))),0)))))</f>
        <v>0</v>
      </c>
      <c r="AB65" s="27" t="n">
        <f aca="false">IF(COUNT(Sorgo!$E63:$Z63)=0,0,MAX(0,IF((AB$6-$E$3)&lt;1,0,IFERROR(LOOKUP(2,1/(Sorgo!$E63:INDEX(Sorgo!$E63:$Z63,MIN(AB$6-$E$3,22))&lt;&gt;""),Sorgo!$E63:INDEX(Sorgo!$E63:$Z63,MIN(AB$6-$E$3,22))),0))-IF($G$2,0,IF((AB$6-$G$3)&lt;1,0,IFERROR(LOOKUP(2,1/(Sorgo!$E63:INDEX(Sorgo!$E63:$Z63,MIN(AB$6-$G$3,22))&lt;&gt;""),Sorgo!$E63:INDEX(Sorgo!$E63:$Z63,MIN(AB$6-$G$3,22))),0)))))</f>
        <v>0</v>
      </c>
      <c r="AC65" s="27" t="n">
        <f aca="false">IF(COUNT(Sorgo!$E63:$Z63)=0,0,MAX(0,IF((AC$6-$E$3)&lt;1,0,IFERROR(LOOKUP(2,1/(Sorgo!$E63:INDEX(Sorgo!$E63:$Z63,MIN(AC$6-$E$3,22))&lt;&gt;""),Sorgo!$E63:INDEX(Sorgo!$E63:$Z63,MIN(AC$6-$E$3,22))),0))-IF($G$2,0,IF((AC$6-$G$3)&lt;1,0,IFERROR(LOOKUP(2,1/(Sorgo!$E63:INDEX(Sorgo!$E63:$Z63,MIN(AC$6-$G$3,22))&lt;&gt;""),Sorgo!$E63:INDEX(Sorgo!$E63:$Z63,MIN(AC$6-$G$3,22))),0)))))</f>
        <v>0</v>
      </c>
      <c r="AD65" s="27" t="n">
        <f aca="false">IF(COUNT(Sorgo!$E63:$Z63)=0,0,MAX(0,IF((AD$6-$E$3)&lt;1,0,IFERROR(LOOKUP(2,1/(Sorgo!$E63:INDEX(Sorgo!$E63:$Z63,MIN(AD$6-$E$3,22))&lt;&gt;""),Sorgo!$E63:INDEX(Sorgo!$E63:$Z63,MIN(AD$6-$E$3,22))),0))-IF($G$2,0,IF((AD$6-$G$3)&lt;1,0,IFERROR(LOOKUP(2,1/(Sorgo!$E63:INDEX(Sorgo!$E63:$Z63,MIN(AD$6-$G$3,22))&lt;&gt;""),Sorgo!$E63:INDEX(Sorgo!$E63:$Z63,MIN(AD$6-$G$3,22))),0)))))</f>
        <v>0</v>
      </c>
      <c r="AE65" s="27" t="n">
        <f aca="false">IF(COUNT(Sorgo!$E63:$Z63)=0,0,MAX(0,IF((AE$6-$E$3)&lt;1,0,IFERROR(LOOKUP(2,1/(Sorgo!$E63:INDEX(Sorgo!$E63:$Z63,MIN(AE$6-$E$3,22))&lt;&gt;""),Sorgo!$E63:INDEX(Sorgo!$E63:$Z63,MIN(AE$6-$E$3,22))),0))-IF($G$2,0,IF((AE$6-$G$3)&lt;1,0,IFERROR(LOOKUP(2,1/(Sorgo!$E63:INDEX(Sorgo!$E63:$Z63,MIN(AE$6-$G$3,22))&lt;&gt;""),Sorgo!$E63:INDEX(Sorgo!$E63:$Z63,MIN(AE$6-$G$3,22))),0)))))</f>
        <v>0</v>
      </c>
      <c r="AF65" s="27" t="n">
        <f aca="false">IF(COUNT(Sorgo!$E63:$Z63)=0,0,MAX(0,IF((AF$6-$E$3)&lt;1,0,IFERROR(LOOKUP(2,1/(Sorgo!$E63:INDEX(Sorgo!$E63:$Z63,MIN(AF$6-$E$3,22))&lt;&gt;""),Sorgo!$E63:INDEX(Sorgo!$E63:$Z63,MIN(AF$6-$E$3,22))),0))-IF($G$2,0,IF((AF$6-$G$3)&lt;1,0,IFERROR(LOOKUP(2,1/(Sorgo!$E63:INDEX(Sorgo!$E63:$Z63,MIN(AF$6-$G$3,22))&lt;&gt;""),Sorgo!$E63:INDEX(Sorgo!$E63:$Z63,MIN(AF$6-$G$3,22))),0)))))</f>
        <v>0</v>
      </c>
      <c r="AG65" s="27" t="n">
        <f aca="false">IF(COUNT(Sorgo!$E63:$Z63)=0,0,MAX(0,IF((AG$6-$E$3)&lt;1,0,IFERROR(LOOKUP(2,1/(Sorgo!$E63:INDEX(Sorgo!$E63:$Z63,MIN(AG$6-$E$3,22))&lt;&gt;""),Sorgo!$E63:INDEX(Sorgo!$E63:$Z63,MIN(AG$6-$E$3,22))),0))-IF($G$2,0,IF((AG$6-$G$3)&lt;1,0,IFERROR(LOOKUP(2,1/(Sorgo!$E63:INDEX(Sorgo!$E63:$Z63,MIN(AG$6-$G$3,22))&lt;&gt;""),Sorgo!$E63:INDEX(Sorgo!$E63:$Z63,MIN(AG$6-$G$3,22))),0)))))</f>
        <v>0</v>
      </c>
      <c r="AH65" s="27" t="n">
        <f aca="false">IF(COUNT(Sorgo!$E63:$Z63)=0,0,MAX(0,IF((AH$6-$E$3)&lt;1,0,IFERROR(LOOKUP(2,1/(Sorgo!$E63:INDEX(Sorgo!$E63:$Z63,MIN(AH$6-$E$3,22))&lt;&gt;""),Sorgo!$E63:INDEX(Sorgo!$E63:$Z63,MIN(AH$6-$E$3,22))),0))-IF($G$2,0,IF((AH$6-$G$3)&lt;1,0,IFERROR(LOOKUP(2,1/(Sorgo!$E63:INDEX(Sorgo!$E63:$Z63,MIN(AH$6-$G$3,22))&lt;&gt;""),Sorgo!$E63:INDEX(Sorgo!$E63:$Z63,MIN(AH$6-$G$3,22))),0)))))</f>
        <v>0</v>
      </c>
      <c r="AI65" s="27" t="n">
        <f aca="false">IF(COUNT(Sorgo!$E63:$Z63)=0,0,MAX(0,IF((AI$6-$E$3)&lt;1,0,IFERROR(LOOKUP(2,1/(Sorgo!$E63:INDEX(Sorgo!$E63:$Z63,MIN(AI$6-$E$3,22))&lt;&gt;""),Sorgo!$E63:INDEX(Sorgo!$E63:$Z63,MIN(AI$6-$E$3,22))),0))-IF($G$2,0,IF((AI$6-$G$3)&lt;1,0,IFERROR(LOOKUP(2,1/(Sorgo!$E63:INDEX(Sorgo!$E63:$Z63,MIN(AI$6-$G$3,22))&lt;&gt;""),Sorgo!$E63:INDEX(Sorgo!$E63:$Z63,MIN(AI$6-$G$3,22))),0)))))</f>
        <v>0</v>
      </c>
      <c r="AJ65" s="27" t="n">
        <f aca="false">IF(COUNT(Sorgo!$E63:$Z63)=0,0,MAX(0,IF((AJ$6-$E$3)&lt;1,0,IFERROR(LOOKUP(2,1/(Sorgo!$E63:INDEX(Sorgo!$E63:$Z63,MIN(AJ$6-$E$3,22))&lt;&gt;""),Sorgo!$E63:INDEX(Sorgo!$E63:$Z63,MIN(AJ$6-$E$3,22))),0))-IF($G$2,0,IF((AJ$6-$G$3)&lt;1,0,IFERROR(LOOKUP(2,1/(Sorgo!$E63:INDEX(Sorgo!$E63:$Z63,MIN(AJ$6-$G$3,22))&lt;&gt;""),Sorgo!$E63:INDEX(Sorgo!$E63:$Z63,MIN(AJ$6-$G$3,22))),0)))))</f>
        <v>0</v>
      </c>
      <c r="AK65" s="27" t="n">
        <f aca="false">IF(COUNT(Sorgo!$E63:$Z63)=0,0,MAX(0,IF((AK$6-$E$3)&lt;1,0,IFERROR(LOOKUP(2,1/(Sorgo!$E63:INDEX(Sorgo!$E63:$Z63,MIN(AK$6-$E$3,22))&lt;&gt;""),Sorgo!$E63:INDEX(Sorgo!$E63:$Z63,MIN(AK$6-$E$3,22))),0))-IF($G$2,0,IF((AK$6-$G$3)&lt;1,0,IFERROR(LOOKUP(2,1/(Sorgo!$E63:INDEX(Sorgo!$E63:$Z63,MIN(AK$6-$G$3,22))&lt;&gt;""),Sorgo!$E63:INDEX(Sorgo!$E63:$Z63,MIN(AK$6-$G$3,22))),0)))))</f>
        <v>0</v>
      </c>
      <c r="AL65" s="27" t="n">
        <f aca="false">IF(COUNT(Sorgo!$E63:$Z63)=0,0,MAX(0,IF((AL$6-$E$3)&lt;1,0,IFERROR(LOOKUP(2,1/(Sorgo!$E63:INDEX(Sorgo!$E63:$Z63,MIN(AL$6-$E$3,22))&lt;&gt;""),Sorgo!$E63:INDEX(Sorgo!$E63:$Z63,MIN(AL$6-$E$3,22))),0))-IF($G$2,0,IF((AL$6-$G$3)&lt;1,0,IFERROR(LOOKUP(2,1/(Sorgo!$E63:INDEX(Sorgo!$E63:$Z63,MIN(AL$6-$G$3,22))&lt;&gt;""),Sorgo!$E63:INDEX(Sorgo!$E63:$Z63,MIN(AL$6-$G$3,22))),0)))))</f>
        <v>0</v>
      </c>
      <c r="AM65" s="27" t="n">
        <f aca="false">IF(COUNT(Sorgo!$E63:$Z63)=0,0,MAX(0,IF((AM$6-$E$3)&lt;1,0,IFERROR(LOOKUP(2,1/(Sorgo!$E63:INDEX(Sorgo!$E63:$Z63,MIN(AM$6-$E$3,22))&lt;&gt;""),Sorgo!$E63:INDEX(Sorgo!$E63:$Z63,MIN(AM$6-$E$3,22))),0))-IF($G$2,0,IF((AM$6-$G$3)&lt;1,0,IFERROR(LOOKUP(2,1/(Sorgo!$E63:INDEX(Sorgo!$E63:$Z63,MIN(AM$6-$G$3,22))&lt;&gt;""),Sorgo!$E63:INDEX(Sorgo!$E63:$Z63,MIN(AM$6-$G$3,22))),0)))))</f>
        <v>0</v>
      </c>
      <c r="AN65" s="27" t="n">
        <f aca="false">IF(COUNT(Sorgo!$E63:$Z63)=0,0,MAX(0,IF((AN$6-$E$3)&lt;1,0,IFERROR(LOOKUP(2,1/(Sorgo!$E63:INDEX(Sorgo!$E63:$Z63,MIN(AN$6-$E$3,22))&lt;&gt;""),Sorgo!$E63:INDEX(Sorgo!$E63:$Z63,MIN(AN$6-$E$3,22))),0))-IF($G$2,0,IF((AN$6-$G$3)&lt;1,0,IFERROR(LOOKUP(2,1/(Sorgo!$E63:INDEX(Sorgo!$E63:$Z63,MIN(AN$6-$G$3,22))&lt;&gt;""),Sorgo!$E63:INDEX(Sorgo!$E63:$Z63,MIN(AN$6-$G$3,22))),0)))))</f>
        <v>0</v>
      </c>
      <c r="AO65" s="27" t="n">
        <f aca="false">IF(COUNT(Sorgo!$E63:$Z63)=0,0,MAX(0,IF((AO$6-$E$3)&lt;1,0,IFERROR(LOOKUP(2,1/(Sorgo!$E63:INDEX(Sorgo!$E63:$Z63,MIN(AO$6-$E$3,22))&lt;&gt;""),Sorgo!$E63:INDEX(Sorgo!$E63:$Z63,MIN(AO$6-$E$3,22))),0))-IF($G$2,0,IF((AO$6-$G$3)&lt;1,0,IFERROR(LOOKUP(2,1/(Sorgo!$E63:INDEX(Sorgo!$E63:$Z63,MIN(AO$6-$G$3,22))&lt;&gt;""),Sorgo!$E63:INDEX(Sorgo!$E63:$Z63,MIN(AO$6-$G$3,22))),0)))))</f>
        <v>0</v>
      </c>
      <c r="AP65" s="27" t="n">
        <f aca="false">IF(COUNT(Sorgo!$E63:$Z63)=0,0,MAX(0,IF((AP$6-$E$3)&lt;1,0,IFERROR(LOOKUP(2,1/(Sorgo!$E63:INDEX(Sorgo!$E63:$Z63,MIN(AP$6-$E$3,22))&lt;&gt;""),Sorgo!$E63:INDEX(Sorgo!$E63:$Z63,MIN(AP$6-$E$3,22))),0))-IF($G$2,0,IF((AP$6-$G$3)&lt;1,0,IFERROR(LOOKUP(2,1/(Sorgo!$E63:INDEX(Sorgo!$E63:$Z63,MIN(AP$6-$G$3,22))&lt;&gt;""),Sorgo!$E63:INDEX(Sorgo!$E63:$Z63,MIN(AP$6-$G$3,22))),0)))))</f>
        <v>0</v>
      </c>
      <c r="AQ65" s="27" t="n">
        <f aca="false">IF(COUNT(Sorgo!$E63:$Z63)=0,0,MAX(0,IF((AQ$6-$E$3)&lt;1,0,IFERROR(LOOKUP(2,1/(Sorgo!$E63:INDEX(Sorgo!$E63:$Z63,MIN(AQ$6-$E$3,22))&lt;&gt;""),Sorgo!$E63:INDEX(Sorgo!$E63:$Z63,MIN(AQ$6-$E$3,22))),0))-IF($G$2,0,IF((AQ$6-$G$3)&lt;1,0,IFERROR(LOOKUP(2,1/(Sorgo!$E63:INDEX(Sorgo!$E63:$Z63,MIN(AQ$6-$G$3,22))&lt;&gt;""),Sorgo!$E63:INDEX(Sorgo!$E63:$Z63,MIN(AQ$6-$G$3,22))),0)))))</f>
        <v>0</v>
      </c>
      <c r="AR65" s="27" t="n">
        <f aca="false">IF(COUNT(Sorgo!$E63:$Z63)=0,0,MAX(0,IF((AR$6-$E$3)&lt;1,0,IFERROR(LOOKUP(2,1/(Sorgo!$E63:INDEX(Sorgo!$E63:$Z63,MIN(AR$6-$E$3,22))&lt;&gt;""),Sorgo!$E63:INDEX(Sorgo!$E63:$Z63,MIN(AR$6-$E$3,22))),0))-IF($G$2,0,IF((AR$6-$G$3)&lt;1,0,IFERROR(LOOKUP(2,1/(Sorgo!$E63:INDEX(Sorgo!$E63:$Z63,MIN(AR$6-$G$3,22))&lt;&gt;""),Sorgo!$E63:INDEX(Sorgo!$E63:$Z63,MIN(AR$6-$G$3,22))),0)))))</f>
        <v>0</v>
      </c>
      <c r="AS65" s="27" t="n">
        <f aca="false">IF(COUNT(Sorgo!$E63:$Z63)=0,0,MAX(0,IF((AS$6-$E$3)&lt;1,0,IFERROR(LOOKUP(2,1/(Sorgo!$E63:INDEX(Sorgo!$E63:$Z63,MIN(AS$6-$E$3,22))&lt;&gt;""),Sorgo!$E63:INDEX(Sorgo!$E63:$Z63,MIN(AS$6-$E$3,22))),0))-IF($G$2,0,IF((AS$6-$G$3)&lt;1,0,IFERROR(LOOKUP(2,1/(Sorgo!$E63:INDEX(Sorgo!$E63:$Z63,MIN(AS$6-$G$3,22))&lt;&gt;""),Sorgo!$E63:INDEX(Sorgo!$E63:$Z63,MIN(AS$6-$G$3,22))),0)))))</f>
        <v>0</v>
      </c>
      <c r="AT65" s="27" t="n">
        <f aca="false">IF(COUNT(Sorgo!$E63:$Z63)=0,0,MAX(0,IF((AT$6-$E$3)&lt;1,0,IFERROR(LOOKUP(2,1/(Sorgo!$E63:INDEX(Sorgo!$E63:$Z63,MIN(AT$6-$E$3,22))&lt;&gt;""),Sorgo!$E63:INDEX(Sorgo!$E63:$Z63,MIN(AT$6-$E$3,22))),0))-IF($G$2,0,IF((AT$6-$G$3)&lt;1,0,IFERROR(LOOKUP(2,1/(Sorgo!$E63:INDEX(Sorgo!$E63:$Z63,MIN(AT$6-$G$3,22))&lt;&gt;""),Sorgo!$E63:INDEX(Sorgo!$E63:$Z63,MIN(AT$6-$G$3,22))),0)))))</f>
        <v>0</v>
      </c>
      <c r="AU65" s="27" t="n">
        <f aca="false">IF(COUNT(Sorgo!$E63:$Z63)=0,0,MAX(0,IF((AU$6-$E$3)&lt;1,0,IFERROR(LOOKUP(2,1/(Sorgo!$E63:INDEX(Sorgo!$E63:$Z63,MIN(AU$6-$E$3,22))&lt;&gt;""),Sorgo!$E63:INDEX(Sorgo!$E63:$Z63,MIN(AU$6-$E$3,22))),0))-IF($G$2,0,IF((AU$6-$G$3)&lt;1,0,IFERROR(LOOKUP(2,1/(Sorgo!$E63:INDEX(Sorgo!$E63:$Z63,MIN(AU$6-$G$3,22))&lt;&gt;""),Sorgo!$E63:INDEX(Sorgo!$E63:$Z63,MIN(AU$6-$G$3,22))),0)))))</f>
        <v>0</v>
      </c>
      <c r="AV65" s="27" t="n">
        <f aca="false">IF(COUNT(Sorgo!$E63:$Z63)=0,0,MAX(0,IF((AV$6-$E$3)&lt;1,0,IFERROR(LOOKUP(2,1/(Sorgo!$E63:INDEX(Sorgo!$E63:$Z63,MIN(AV$6-$E$3,22))&lt;&gt;""),Sorgo!$E63:INDEX(Sorgo!$E63:$Z63,MIN(AV$6-$E$3,22))),0))-IF($G$2,0,IF((AV$6-$G$3)&lt;1,0,IFERROR(LOOKUP(2,1/(Sorgo!$E63:INDEX(Sorgo!$E63:$Z63,MIN(AV$6-$G$3,22))&lt;&gt;""),Sorgo!$E63:INDEX(Sorgo!$E63:$Z63,MIN(AV$6-$G$3,22))),0)))))</f>
        <v>0</v>
      </c>
      <c r="AW65" s="27" t="n">
        <f aca="false">IF(COUNT(Sorgo!$E63:$Z63)=0,0,MAX(0,IF((AW$6-$E$3)&lt;1,0,IFERROR(LOOKUP(2,1/(Sorgo!$E63:INDEX(Sorgo!$E63:$Z63,MIN(AW$6-$E$3,22))&lt;&gt;""),Sorgo!$E63:INDEX(Sorgo!$E63:$Z63,MIN(AW$6-$E$3,22))),0))-IF($G$2,0,IF((AW$6-$G$3)&lt;1,0,IFERROR(LOOKUP(2,1/(Sorgo!$E63:INDEX(Sorgo!$E63:$Z63,MIN(AW$6-$G$3,22))&lt;&gt;""),Sorgo!$E63:INDEX(Sorgo!$E63:$Z63,MIN(AW$6-$G$3,22))),0)))))</f>
        <v>0</v>
      </c>
      <c r="AX65" s="27" t="n">
        <f aca="false">IF(COUNT(Sorgo!$E63:$Z63)=0,0,MAX(0,IF((AX$6-$E$3)&lt;1,0,IFERROR(LOOKUP(2,1/(Sorgo!$E63:INDEX(Sorgo!$E63:$Z63,MIN(AX$6-$E$3,22))&lt;&gt;""),Sorgo!$E63:INDEX(Sorgo!$E63:$Z63,MIN(AX$6-$E$3,22))),0))-IF($G$2,0,IF((AX$6-$G$3)&lt;1,0,IFERROR(LOOKUP(2,1/(Sorgo!$E63:INDEX(Sorgo!$E63:$Z63,MIN(AX$6-$G$3,22))&lt;&gt;""),Sorgo!$E63:INDEX(Sorgo!$E63:$Z63,MIN(AX$6-$G$3,22))),0)))))</f>
        <v>0</v>
      </c>
      <c r="AY65" s="27" t="n">
        <f aca="false">IF(COUNT(Sorgo!$E63:$Z63)=0,0,MAX(0,IF((AY$6-$E$3)&lt;1,0,IFERROR(LOOKUP(2,1/(Sorgo!$E63:INDEX(Sorgo!$E63:$Z63,MIN(AY$6-$E$3,22))&lt;&gt;""),Sorgo!$E63:INDEX(Sorgo!$E63:$Z63,MIN(AY$6-$E$3,22))),0))-IF($G$2,0,IF((AY$6-$G$3)&lt;1,0,IFERROR(LOOKUP(2,1/(Sorgo!$E63:INDEX(Sorgo!$E63:$Z63,MIN(AY$6-$G$3,22))&lt;&gt;""),Sorgo!$E63:INDEX(Sorgo!$E63:$Z63,MIN(AY$6-$G$3,22))),0)))))</f>
        <v>0</v>
      </c>
      <c r="AZ65" s="27" t="n">
        <f aca="false">IF(COUNT(Sorgo!$E63:$Z63)=0,0,MAX(0,IF((AZ$6-$E$3)&lt;1,0,IFERROR(LOOKUP(2,1/(Sorgo!$E63:INDEX(Sorgo!$E63:$Z63,MIN(AZ$6-$E$3,22))&lt;&gt;""),Sorgo!$E63:INDEX(Sorgo!$E63:$Z63,MIN(AZ$6-$E$3,22))),0))-IF($G$2,0,IF((AZ$6-$G$3)&lt;1,0,IFERROR(LOOKUP(2,1/(Sorgo!$E63:INDEX(Sorgo!$E63:$Z63,MIN(AZ$6-$G$3,22))&lt;&gt;""),Sorgo!$E63:INDEX(Sorgo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IF(COUNT(Sorgo!$E64:$Z64)&gt;0,N(Sorgo!$D64),0)</f>
        <v>0</v>
      </c>
      <c r="E66" s="27" t="n">
        <f aca="false">IF(COUNT(Sorgo!$E64:$Z64)=0,0,MAX(0,IF((E$6-$E$3)&lt;1,0,IFERROR(LOOKUP(2,1/(Sorgo!$E64:INDEX(Sorgo!$E64:$Z64,MIN(E$6-$E$3,22))&lt;&gt;""),Sorgo!$E64:INDEX(Sorgo!$E64:$Z64,MIN(E$6-$E$3,22))),0))-IF($G$2,0,IF((E$6-$G$3)&lt;1,0,IFERROR(LOOKUP(2,1/(Sorgo!$E64:INDEX(Sorgo!$E64:$Z64,MIN(E$6-$G$3,22))&lt;&gt;""),Sorgo!$E64:INDEX(Sorgo!$E64:$Z64,MIN(E$6-$G$3,22))),0)))))</f>
        <v>0</v>
      </c>
      <c r="F66" s="27" t="n">
        <f aca="false">IF(COUNT(Sorgo!$E64:$Z64)=0,0,MAX(0,IF((F$6-$E$3)&lt;1,0,IFERROR(LOOKUP(2,1/(Sorgo!$E64:INDEX(Sorgo!$E64:$Z64,MIN(F$6-$E$3,22))&lt;&gt;""),Sorgo!$E64:INDEX(Sorgo!$E64:$Z64,MIN(F$6-$E$3,22))),0))-IF($G$2,0,IF((F$6-$G$3)&lt;1,0,IFERROR(LOOKUP(2,1/(Sorgo!$E64:INDEX(Sorgo!$E64:$Z64,MIN(F$6-$G$3,22))&lt;&gt;""),Sorgo!$E64:INDEX(Sorgo!$E64:$Z64,MIN(F$6-$G$3,22))),0)))))</f>
        <v>0</v>
      </c>
      <c r="G66" s="27" t="n">
        <f aca="false">IF(COUNT(Sorgo!$E64:$Z64)=0,0,MAX(0,IF((G$6-$E$3)&lt;1,0,IFERROR(LOOKUP(2,1/(Sorgo!$E64:INDEX(Sorgo!$E64:$Z64,MIN(G$6-$E$3,22))&lt;&gt;""),Sorgo!$E64:INDEX(Sorgo!$E64:$Z64,MIN(G$6-$E$3,22))),0))-IF($G$2,0,IF((G$6-$G$3)&lt;1,0,IFERROR(LOOKUP(2,1/(Sorgo!$E64:INDEX(Sorgo!$E64:$Z64,MIN(G$6-$G$3,22))&lt;&gt;""),Sorgo!$E64:INDEX(Sorgo!$E64:$Z64,MIN(G$6-$G$3,22))),0)))))</f>
        <v>0</v>
      </c>
      <c r="H66" s="27" t="n">
        <f aca="false">IF(COUNT(Sorgo!$E64:$Z64)=0,0,MAX(0,IF((H$6-$E$3)&lt;1,0,IFERROR(LOOKUP(2,1/(Sorgo!$E64:INDEX(Sorgo!$E64:$Z64,MIN(H$6-$E$3,22))&lt;&gt;""),Sorgo!$E64:INDEX(Sorgo!$E64:$Z64,MIN(H$6-$E$3,22))),0))-IF($G$2,0,IF((H$6-$G$3)&lt;1,0,IFERROR(LOOKUP(2,1/(Sorgo!$E64:INDEX(Sorgo!$E64:$Z64,MIN(H$6-$G$3,22))&lt;&gt;""),Sorgo!$E64:INDEX(Sorgo!$E64:$Z64,MIN(H$6-$G$3,22))),0)))))</f>
        <v>0</v>
      </c>
      <c r="I66" s="27" t="n">
        <f aca="false">IF(COUNT(Sorgo!$E64:$Z64)=0,0,MAX(0,IF((I$6-$E$3)&lt;1,0,IFERROR(LOOKUP(2,1/(Sorgo!$E64:INDEX(Sorgo!$E64:$Z64,MIN(I$6-$E$3,22))&lt;&gt;""),Sorgo!$E64:INDEX(Sorgo!$E64:$Z64,MIN(I$6-$E$3,22))),0))-IF($G$2,0,IF((I$6-$G$3)&lt;1,0,IFERROR(LOOKUP(2,1/(Sorgo!$E64:INDEX(Sorgo!$E64:$Z64,MIN(I$6-$G$3,22))&lt;&gt;""),Sorgo!$E64:INDEX(Sorgo!$E64:$Z64,MIN(I$6-$G$3,22))),0)))))</f>
        <v>0</v>
      </c>
      <c r="J66" s="27" t="n">
        <f aca="false">IF(COUNT(Sorgo!$E64:$Z64)=0,0,MAX(0,IF((J$6-$E$3)&lt;1,0,IFERROR(LOOKUP(2,1/(Sorgo!$E64:INDEX(Sorgo!$E64:$Z64,MIN(J$6-$E$3,22))&lt;&gt;""),Sorgo!$E64:INDEX(Sorgo!$E64:$Z64,MIN(J$6-$E$3,22))),0))-IF($G$2,0,IF((J$6-$G$3)&lt;1,0,IFERROR(LOOKUP(2,1/(Sorgo!$E64:INDEX(Sorgo!$E64:$Z64,MIN(J$6-$G$3,22))&lt;&gt;""),Sorgo!$E64:INDEX(Sorgo!$E64:$Z64,MIN(J$6-$G$3,22))),0)))))</f>
        <v>0</v>
      </c>
      <c r="K66" s="27" t="n">
        <f aca="false">IF(COUNT(Sorgo!$E64:$Z64)=0,0,MAX(0,IF((K$6-$E$3)&lt;1,0,IFERROR(LOOKUP(2,1/(Sorgo!$E64:INDEX(Sorgo!$E64:$Z64,MIN(K$6-$E$3,22))&lt;&gt;""),Sorgo!$E64:INDEX(Sorgo!$E64:$Z64,MIN(K$6-$E$3,22))),0))-IF($G$2,0,IF((K$6-$G$3)&lt;1,0,IFERROR(LOOKUP(2,1/(Sorgo!$E64:INDEX(Sorgo!$E64:$Z64,MIN(K$6-$G$3,22))&lt;&gt;""),Sorgo!$E64:INDEX(Sorgo!$E64:$Z64,MIN(K$6-$G$3,22))),0)))))</f>
        <v>0</v>
      </c>
      <c r="L66" s="27" t="n">
        <f aca="false">IF(COUNT(Sorgo!$E64:$Z64)=0,0,MAX(0,IF((L$6-$E$3)&lt;1,0,IFERROR(LOOKUP(2,1/(Sorgo!$E64:INDEX(Sorgo!$E64:$Z64,MIN(L$6-$E$3,22))&lt;&gt;""),Sorgo!$E64:INDEX(Sorgo!$E64:$Z64,MIN(L$6-$E$3,22))),0))-IF($G$2,0,IF((L$6-$G$3)&lt;1,0,IFERROR(LOOKUP(2,1/(Sorgo!$E64:INDEX(Sorgo!$E64:$Z64,MIN(L$6-$G$3,22))&lt;&gt;""),Sorgo!$E64:INDEX(Sorgo!$E64:$Z64,MIN(L$6-$G$3,22))),0)))))</f>
        <v>0</v>
      </c>
      <c r="M66" s="27" t="n">
        <f aca="false">IF(COUNT(Sorgo!$E64:$Z64)=0,0,MAX(0,IF((M$6-$E$3)&lt;1,0,IFERROR(LOOKUP(2,1/(Sorgo!$E64:INDEX(Sorgo!$E64:$Z64,MIN(M$6-$E$3,22))&lt;&gt;""),Sorgo!$E64:INDEX(Sorgo!$E64:$Z64,MIN(M$6-$E$3,22))),0))-IF($G$2,0,IF((M$6-$G$3)&lt;1,0,IFERROR(LOOKUP(2,1/(Sorgo!$E64:INDEX(Sorgo!$E64:$Z64,MIN(M$6-$G$3,22))&lt;&gt;""),Sorgo!$E64:INDEX(Sorgo!$E64:$Z64,MIN(M$6-$G$3,22))),0)))))</f>
        <v>0</v>
      </c>
      <c r="N66" s="27" t="n">
        <f aca="false">IF(COUNT(Sorgo!$E64:$Z64)=0,0,MAX(0,IF((N$6-$E$3)&lt;1,0,IFERROR(LOOKUP(2,1/(Sorgo!$E64:INDEX(Sorgo!$E64:$Z64,MIN(N$6-$E$3,22))&lt;&gt;""),Sorgo!$E64:INDEX(Sorgo!$E64:$Z64,MIN(N$6-$E$3,22))),0))-IF($G$2,0,IF((N$6-$G$3)&lt;1,0,IFERROR(LOOKUP(2,1/(Sorgo!$E64:INDEX(Sorgo!$E64:$Z64,MIN(N$6-$G$3,22))&lt;&gt;""),Sorgo!$E64:INDEX(Sorgo!$E64:$Z64,MIN(N$6-$G$3,22))),0)))))</f>
        <v>0</v>
      </c>
      <c r="O66" s="27" t="n">
        <f aca="false">IF(COUNT(Sorgo!$E64:$Z64)=0,0,MAX(0,IF((O$6-$E$3)&lt;1,0,IFERROR(LOOKUP(2,1/(Sorgo!$E64:INDEX(Sorgo!$E64:$Z64,MIN(O$6-$E$3,22))&lt;&gt;""),Sorgo!$E64:INDEX(Sorgo!$E64:$Z64,MIN(O$6-$E$3,22))),0))-IF($G$2,0,IF((O$6-$G$3)&lt;1,0,IFERROR(LOOKUP(2,1/(Sorgo!$E64:INDEX(Sorgo!$E64:$Z64,MIN(O$6-$G$3,22))&lt;&gt;""),Sorgo!$E64:INDEX(Sorgo!$E64:$Z64,MIN(O$6-$G$3,22))),0)))))</f>
        <v>0</v>
      </c>
      <c r="P66" s="27" t="n">
        <f aca="false">IF(COUNT(Sorgo!$E64:$Z64)=0,0,MAX(0,IF((P$6-$E$3)&lt;1,0,IFERROR(LOOKUP(2,1/(Sorgo!$E64:INDEX(Sorgo!$E64:$Z64,MIN(P$6-$E$3,22))&lt;&gt;""),Sorgo!$E64:INDEX(Sorgo!$E64:$Z64,MIN(P$6-$E$3,22))),0))-IF($G$2,0,IF((P$6-$G$3)&lt;1,0,IFERROR(LOOKUP(2,1/(Sorgo!$E64:INDEX(Sorgo!$E64:$Z64,MIN(P$6-$G$3,22))&lt;&gt;""),Sorgo!$E64:INDEX(Sorgo!$E64:$Z64,MIN(P$6-$G$3,22))),0)))))</f>
        <v>0</v>
      </c>
      <c r="Q66" s="27" t="n">
        <f aca="false">IF(COUNT(Sorgo!$E64:$Z64)=0,0,MAX(0,IF((Q$6-$E$3)&lt;1,0,IFERROR(LOOKUP(2,1/(Sorgo!$E64:INDEX(Sorgo!$E64:$Z64,MIN(Q$6-$E$3,22))&lt;&gt;""),Sorgo!$E64:INDEX(Sorgo!$E64:$Z64,MIN(Q$6-$E$3,22))),0))-IF($G$2,0,IF((Q$6-$G$3)&lt;1,0,IFERROR(LOOKUP(2,1/(Sorgo!$E64:INDEX(Sorgo!$E64:$Z64,MIN(Q$6-$G$3,22))&lt;&gt;""),Sorgo!$E64:INDEX(Sorgo!$E64:$Z64,MIN(Q$6-$G$3,22))),0)))))</f>
        <v>0</v>
      </c>
      <c r="R66" s="27" t="n">
        <f aca="false">IF(COUNT(Sorgo!$E64:$Z64)=0,0,MAX(0,IF((R$6-$E$3)&lt;1,0,IFERROR(LOOKUP(2,1/(Sorgo!$E64:INDEX(Sorgo!$E64:$Z64,MIN(R$6-$E$3,22))&lt;&gt;""),Sorgo!$E64:INDEX(Sorgo!$E64:$Z64,MIN(R$6-$E$3,22))),0))-IF($G$2,0,IF((R$6-$G$3)&lt;1,0,IFERROR(LOOKUP(2,1/(Sorgo!$E64:INDEX(Sorgo!$E64:$Z64,MIN(R$6-$G$3,22))&lt;&gt;""),Sorgo!$E64:INDEX(Sorgo!$E64:$Z64,MIN(R$6-$G$3,22))),0)))))</f>
        <v>0</v>
      </c>
      <c r="S66" s="27" t="n">
        <f aca="false">IF(COUNT(Sorgo!$E64:$Z64)=0,0,MAX(0,IF((S$6-$E$3)&lt;1,0,IFERROR(LOOKUP(2,1/(Sorgo!$E64:INDEX(Sorgo!$E64:$Z64,MIN(S$6-$E$3,22))&lt;&gt;""),Sorgo!$E64:INDEX(Sorgo!$E64:$Z64,MIN(S$6-$E$3,22))),0))-IF($G$2,0,IF((S$6-$G$3)&lt;1,0,IFERROR(LOOKUP(2,1/(Sorgo!$E64:INDEX(Sorgo!$E64:$Z64,MIN(S$6-$G$3,22))&lt;&gt;""),Sorgo!$E64:INDEX(Sorgo!$E64:$Z64,MIN(S$6-$G$3,22))),0)))))</f>
        <v>0</v>
      </c>
      <c r="T66" s="27" t="n">
        <f aca="false">IF(COUNT(Sorgo!$E64:$Z64)=0,0,MAX(0,IF((T$6-$E$3)&lt;1,0,IFERROR(LOOKUP(2,1/(Sorgo!$E64:INDEX(Sorgo!$E64:$Z64,MIN(T$6-$E$3,22))&lt;&gt;""),Sorgo!$E64:INDEX(Sorgo!$E64:$Z64,MIN(T$6-$E$3,22))),0))-IF($G$2,0,IF((T$6-$G$3)&lt;1,0,IFERROR(LOOKUP(2,1/(Sorgo!$E64:INDEX(Sorgo!$E64:$Z64,MIN(T$6-$G$3,22))&lt;&gt;""),Sorgo!$E64:INDEX(Sorgo!$E64:$Z64,MIN(T$6-$G$3,22))),0)))))</f>
        <v>0</v>
      </c>
      <c r="U66" s="27" t="n">
        <f aca="false">IF(COUNT(Sorgo!$E64:$Z64)=0,0,MAX(0,IF((U$6-$E$3)&lt;1,0,IFERROR(LOOKUP(2,1/(Sorgo!$E64:INDEX(Sorgo!$E64:$Z64,MIN(U$6-$E$3,22))&lt;&gt;""),Sorgo!$E64:INDEX(Sorgo!$E64:$Z64,MIN(U$6-$E$3,22))),0))-IF($G$2,0,IF((U$6-$G$3)&lt;1,0,IFERROR(LOOKUP(2,1/(Sorgo!$E64:INDEX(Sorgo!$E64:$Z64,MIN(U$6-$G$3,22))&lt;&gt;""),Sorgo!$E64:INDEX(Sorgo!$E64:$Z64,MIN(U$6-$G$3,22))),0)))))</f>
        <v>0</v>
      </c>
      <c r="V66" s="27" t="n">
        <f aca="false">IF(COUNT(Sorgo!$E64:$Z64)=0,0,MAX(0,IF((V$6-$E$3)&lt;1,0,IFERROR(LOOKUP(2,1/(Sorgo!$E64:INDEX(Sorgo!$E64:$Z64,MIN(V$6-$E$3,22))&lt;&gt;""),Sorgo!$E64:INDEX(Sorgo!$E64:$Z64,MIN(V$6-$E$3,22))),0))-IF($G$2,0,IF((V$6-$G$3)&lt;1,0,IFERROR(LOOKUP(2,1/(Sorgo!$E64:INDEX(Sorgo!$E64:$Z64,MIN(V$6-$G$3,22))&lt;&gt;""),Sorgo!$E64:INDEX(Sorgo!$E64:$Z64,MIN(V$6-$G$3,22))),0)))))</f>
        <v>0</v>
      </c>
      <c r="W66" s="27" t="n">
        <f aca="false">IF(COUNT(Sorgo!$E64:$Z64)=0,0,MAX(0,IF((W$6-$E$3)&lt;1,0,IFERROR(LOOKUP(2,1/(Sorgo!$E64:INDEX(Sorgo!$E64:$Z64,MIN(W$6-$E$3,22))&lt;&gt;""),Sorgo!$E64:INDEX(Sorgo!$E64:$Z64,MIN(W$6-$E$3,22))),0))-IF($G$2,0,IF((W$6-$G$3)&lt;1,0,IFERROR(LOOKUP(2,1/(Sorgo!$E64:INDEX(Sorgo!$E64:$Z64,MIN(W$6-$G$3,22))&lt;&gt;""),Sorgo!$E64:INDEX(Sorgo!$E64:$Z64,MIN(W$6-$G$3,22))),0)))))</f>
        <v>0</v>
      </c>
      <c r="X66" s="27" t="n">
        <f aca="false">IF(COUNT(Sorgo!$E64:$Z64)=0,0,MAX(0,IF((X$6-$E$3)&lt;1,0,IFERROR(LOOKUP(2,1/(Sorgo!$E64:INDEX(Sorgo!$E64:$Z64,MIN(X$6-$E$3,22))&lt;&gt;""),Sorgo!$E64:INDEX(Sorgo!$E64:$Z64,MIN(X$6-$E$3,22))),0))-IF($G$2,0,IF((X$6-$G$3)&lt;1,0,IFERROR(LOOKUP(2,1/(Sorgo!$E64:INDEX(Sorgo!$E64:$Z64,MIN(X$6-$G$3,22))&lt;&gt;""),Sorgo!$E64:INDEX(Sorgo!$E64:$Z64,MIN(X$6-$G$3,22))),0)))))</f>
        <v>0</v>
      </c>
      <c r="Y66" s="27" t="n">
        <f aca="false">IF(COUNT(Sorgo!$E64:$Z64)=0,0,MAX(0,IF((Y$6-$E$3)&lt;1,0,IFERROR(LOOKUP(2,1/(Sorgo!$E64:INDEX(Sorgo!$E64:$Z64,MIN(Y$6-$E$3,22))&lt;&gt;""),Sorgo!$E64:INDEX(Sorgo!$E64:$Z64,MIN(Y$6-$E$3,22))),0))-IF($G$2,0,IF((Y$6-$G$3)&lt;1,0,IFERROR(LOOKUP(2,1/(Sorgo!$E64:INDEX(Sorgo!$E64:$Z64,MIN(Y$6-$G$3,22))&lt;&gt;""),Sorgo!$E64:INDEX(Sorgo!$E64:$Z64,MIN(Y$6-$G$3,22))),0)))))</f>
        <v>0</v>
      </c>
      <c r="Z66" s="27" t="n">
        <f aca="false">IF(COUNT(Sorgo!$E64:$Z64)=0,0,MAX(0,IF((Z$6-$E$3)&lt;1,0,IFERROR(LOOKUP(2,1/(Sorgo!$E64:INDEX(Sorgo!$E64:$Z64,MIN(Z$6-$E$3,22))&lt;&gt;""),Sorgo!$E64:INDEX(Sorgo!$E64:$Z64,MIN(Z$6-$E$3,22))),0))-IF($G$2,0,IF((Z$6-$G$3)&lt;1,0,IFERROR(LOOKUP(2,1/(Sorgo!$E64:INDEX(Sorgo!$E64:$Z64,MIN(Z$6-$G$3,22))&lt;&gt;""),Sorgo!$E64:INDEX(Sorgo!$E64:$Z64,MIN(Z$6-$G$3,22))),0)))))</f>
        <v>0</v>
      </c>
      <c r="AA66" s="27" t="n">
        <f aca="false">IF(COUNT(Sorgo!$E64:$Z64)=0,0,MAX(0,IF((AA$6-$E$3)&lt;1,0,IFERROR(LOOKUP(2,1/(Sorgo!$E64:INDEX(Sorgo!$E64:$Z64,MIN(AA$6-$E$3,22))&lt;&gt;""),Sorgo!$E64:INDEX(Sorgo!$E64:$Z64,MIN(AA$6-$E$3,22))),0))-IF($G$2,0,IF((AA$6-$G$3)&lt;1,0,IFERROR(LOOKUP(2,1/(Sorgo!$E64:INDEX(Sorgo!$E64:$Z64,MIN(AA$6-$G$3,22))&lt;&gt;""),Sorgo!$E64:INDEX(Sorgo!$E64:$Z64,MIN(AA$6-$G$3,22))),0)))))</f>
        <v>0</v>
      </c>
      <c r="AB66" s="27" t="n">
        <f aca="false">IF(COUNT(Sorgo!$E64:$Z64)=0,0,MAX(0,IF((AB$6-$E$3)&lt;1,0,IFERROR(LOOKUP(2,1/(Sorgo!$E64:INDEX(Sorgo!$E64:$Z64,MIN(AB$6-$E$3,22))&lt;&gt;""),Sorgo!$E64:INDEX(Sorgo!$E64:$Z64,MIN(AB$6-$E$3,22))),0))-IF($G$2,0,IF((AB$6-$G$3)&lt;1,0,IFERROR(LOOKUP(2,1/(Sorgo!$E64:INDEX(Sorgo!$E64:$Z64,MIN(AB$6-$G$3,22))&lt;&gt;""),Sorgo!$E64:INDEX(Sorgo!$E64:$Z64,MIN(AB$6-$G$3,22))),0)))))</f>
        <v>0</v>
      </c>
      <c r="AC66" s="27" t="n">
        <f aca="false">IF(COUNT(Sorgo!$E64:$Z64)=0,0,MAX(0,IF((AC$6-$E$3)&lt;1,0,IFERROR(LOOKUP(2,1/(Sorgo!$E64:INDEX(Sorgo!$E64:$Z64,MIN(AC$6-$E$3,22))&lt;&gt;""),Sorgo!$E64:INDEX(Sorgo!$E64:$Z64,MIN(AC$6-$E$3,22))),0))-IF($G$2,0,IF((AC$6-$G$3)&lt;1,0,IFERROR(LOOKUP(2,1/(Sorgo!$E64:INDEX(Sorgo!$E64:$Z64,MIN(AC$6-$G$3,22))&lt;&gt;""),Sorgo!$E64:INDEX(Sorgo!$E64:$Z64,MIN(AC$6-$G$3,22))),0)))))</f>
        <v>0</v>
      </c>
      <c r="AD66" s="27" t="n">
        <f aca="false">IF(COUNT(Sorgo!$E64:$Z64)=0,0,MAX(0,IF((AD$6-$E$3)&lt;1,0,IFERROR(LOOKUP(2,1/(Sorgo!$E64:INDEX(Sorgo!$E64:$Z64,MIN(AD$6-$E$3,22))&lt;&gt;""),Sorgo!$E64:INDEX(Sorgo!$E64:$Z64,MIN(AD$6-$E$3,22))),0))-IF($G$2,0,IF((AD$6-$G$3)&lt;1,0,IFERROR(LOOKUP(2,1/(Sorgo!$E64:INDEX(Sorgo!$E64:$Z64,MIN(AD$6-$G$3,22))&lt;&gt;""),Sorgo!$E64:INDEX(Sorgo!$E64:$Z64,MIN(AD$6-$G$3,22))),0)))))</f>
        <v>0</v>
      </c>
      <c r="AE66" s="27" t="n">
        <f aca="false">IF(COUNT(Sorgo!$E64:$Z64)=0,0,MAX(0,IF((AE$6-$E$3)&lt;1,0,IFERROR(LOOKUP(2,1/(Sorgo!$E64:INDEX(Sorgo!$E64:$Z64,MIN(AE$6-$E$3,22))&lt;&gt;""),Sorgo!$E64:INDEX(Sorgo!$E64:$Z64,MIN(AE$6-$E$3,22))),0))-IF($G$2,0,IF((AE$6-$G$3)&lt;1,0,IFERROR(LOOKUP(2,1/(Sorgo!$E64:INDEX(Sorgo!$E64:$Z64,MIN(AE$6-$G$3,22))&lt;&gt;""),Sorgo!$E64:INDEX(Sorgo!$E64:$Z64,MIN(AE$6-$G$3,22))),0)))))</f>
        <v>0</v>
      </c>
      <c r="AF66" s="27" t="n">
        <f aca="false">IF(COUNT(Sorgo!$E64:$Z64)=0,0,MAX(0,IF((AF$6-$E$3)&lt;1,0,IFERROR(LOOKUP(2,1/(Sorgo!$E64:INDEX(Sorgo!$E64:$Z64,MIN(AF$6-$E$3,22))&lt;&gt;""),Sorgo!$E64:INDEX(Sorgo!$E64:$Z64,MIN(AF$6-$E$3,22))),0))-IF($G$2,0,IF((AF$6-$G$3)&lt;1,0,IFERROR(LOOKUP(2,1/(Sorgo!$E64:INDEX(Sorgo!$E64:$Z64,MIN(AF$6-$G$3,22))&lt;&gt;""),Sorgo!$E64:INDEX(Sorgo!$E64:$Z64,MIN(AF$6-$G$3,22))),0)))))</f>
        <v>0</v>
      </c>
      <c r="AG66" s="27" t="n">
        <f aca="false">IF(COUNT(Sorgo!$E64:$Z64)=0,0,MAX(0,IF((AG$6-$E$3)&lt;1,0,IFERROR(LOOKUP(2,1/(Sorgo!$E64:INDEX(Sorgo!$E64:$Z64,MIN(AG$6-$E$3,22))&lt;&gt;""),Sorgo!$E64:INDEX(Sorgo!$E64:$Z64,MIN(AG$6-$E$3,22))),0))-IF($G$2,0,IF((AG$6-$G$3)&lt;1,0,IFERROR(LOOKUP(2,1/(Sorgo!$E64:INDEX(Sorgo!$E64:$Z64,MIN(AG$6-$G$3,22))&lt;&gt;""),Sorgo!$E64:INDEX(Sorgo!$E64:$Z64,MIN(AG$6-$G$3,22))),0)))))</f>
        <v>0</v>
      </c>
      <c r="AH66" s="27" t="n">
        <f aca="false">IF(COUNT(Sorgo!$E64:$Z64)=0,0,MAX(0,IF((AH$6-$E$3)&lt;1,0,IFERROR(LOOKUP(2,1/(Sorgo!$E64:INDEX(Sorgo!$E64:$Z64,MIN(AH$6-$E$3,22))&lt;&gt;""),Sorgo!$E64:INDEX(Sorgo!$E64:$Z64,MIN(AH$6-$E$3,22))),0))-IF($G$2,0,IF((AH$6-$G$3)&lt;1,0,IFERROR(LOOKUP(2,1/(Sorgo!$E64:INDEX(Sorgo!$E64:$Z64,MIN(AH$6-$G$3,22))&lt;&gt;""),Sorgo!$E64:INDEX(Sorgo!$E64:$Z64,MIN(AH$6-$G$3,22))),0)))))</f>
        <v>0</v>
      </c>
      <c r="AI66" s="27" t="n">
        <f aca="false">IF(COUNT(Sorgo!$E64:$Z64)=0,0,MAX(0,IF((AI$6-$E$3)&lt;1,0,IFERROR(LOOKUP(2,1/(Sorgo!$E64:INDEX(Sorgo!$E64:$Z64,MIN(AI$6-$E$3,22))&lt;&gt;""),Sorgo!$E64:INDEX(Sorgo!$E64:$Z64,MIN(AI$6-$E$3,22))),0))-IF($G$2,0,IF((AI$6-$G$3)&lt;1,0,IFERROR(LOOKUP(2,1/(Sorgo!$E64:INDEX(Sorgo!$E64:$Z64,MIN(AI$6-$G$3,22))&lt;&gt;""),Sorgo!$E64:INDEX(Sorgo!$E64:$Z64,MIN(AI$6-$G$3,22))),0)))))</f>
        <v>0</v>
      </c>
      <c r="AJ66" s="27" t="n">
        <f aca="false">IF(COUNT(Sorgo!$E64:$Z64)=0,0,MAX(0,IF((AJ$6-$E$3)&lt;1,0,IFERROR(LOOKUP(2,1/(Sorgo!$E64:INDEX(Sorgo!$E64:$Z64,MIN(AJ$6-$E$3,22))&lt;&gt;""),Sorgo!$E64:INDEX(Sorgo!$E64:$Z64,MIN(AJ$6-$E$3,22))),0))-IF($G$2,0,IF((AJ$6-$G$3)&lt;1,0,IFERROR(LOOKUP(2,1/(Sorgo!$E64:INDEX(Sorgo!$E64:$Z64,MIN(AJ$6-$G$3,22))&lt;&gt;""),Sorgo!$E64:INDEX(Sorgo!$E64:$Z64,MIN(AJ$6-$G$3,22))),0)))))</f>
        <v>0</v>
      </c>
      <c r="AK66" s="27" t="n">
        <f aca="false">IF(COUNT(Sorgo!$E64:$Z64)=0,0,MAX(0,IF((AK$6-$E$3)&lt;1,0,IFERROR(LOOKUP(2,1/(Sorgo!$E64:INDEX(Sorgo!$E64:$Z64,MIN(AK$6-$E$3,22))&lt;&gt;""),Sorgo!$E64:INDEX(Sorgo!$E64:$Z64,MIN(AK$6-$E$3,22))),0))-IF($G$2,0,IF((AK$6-$G$3)&lt;1,0,IFERROR(LOOKUP(2,1/(Sorgo!$E64:INDEX(Sorgo!$E64:$Z64,MIN(AK$6-$G$3,22))&lt;&gt;""),Sorgo!$E64:INDEX(Sorgo!$E64:$Z64,MIN(AK$6-$G$3,22))),0)))))</f>
        <v>0</v>
      </c>
      <c r="AL66" s="27" t="n">
        <f aca="false">IF(COUNT(Sorgo!$E64:$Z64)=0,0,MAX(0,IF((AL$6-$E$3)&lt;1,0,IFERROR(LOOKUP(2,1/(Sorgo!$E64:INDEX(Sorgo!$E64:$Z64,MIN(AL$6-$E$3,22))&lt;&gt;""),Sorgo!$E64:INDEX(Sorgo!$E64:$Z64,MIN(AL$6-$E$3,22))),0))-IF($G$2,0,IF((AL$6-$G$3)&lt;1,0,IFERROR(LOOKUP(2,1/(Sorgo!$E64:INDEX(Sorgo!$E64:$Z64,MIN(AL$6-$G$3,22))&lt;&gt;""),Sorgo!$E64:INDEX(Sorgo!$E64:$Z64,MIN(AL$6-$G$3,22))),0)))))</f>
        <v>0</v>
      </c>
      <c r="AM66" s="27" t="n">
        <f aca="false">IF(COUNT(Sorgo!$E64:$Z64)=0,0,MAX(0,IF((AM$6-$E$3)&lt;1,0,IFERROR(LOOKUP(2,1/(Sorgo!$E64:INDEX(Sorgo!$E64:$Z64,MIN(AM$6-$E$3,22))&lt;&gt;""),Sorgo!$E64:INDEX(Sorgo!$E64:$Z64,MIN(AM$6-$E$3,22))),0))-IF($G$2,0,IF((AM$6-$G$3)&lt;1,0,IFERROR(LOOKUP(2,1/(Sorgo!$E64:INDEX(Sorgo!$E64:$Z64,MIN(AM$6-$G$3,22))&lt;&gt;""),Sorgo!$E64:INDEX(Sorgo!$E64:$Z64,MIN(AM$6-$G$3,22))),0)))))</f>
        <v>0</v>
      </c>
      <c r="AN66" s="27" t="n">
        <f aca="false">IF(COUNT(Sorgo!$E64:$Z64)=0,0,MAX(0,IF((AN$6-$E$3)&lt;1,0,IFERROR(LOOKUP(2,1/(Sorgo!$E64:INDEX(Sorgo!$E64:$Z64,MIN(AN$6-$E$3,22))&lt;&gt;""),Sorgo!$E64:INDEX(Sorgo!$E64:$Z64,MIN(AN$6-$E$3,22))),0))-IF($G$2,0,IF((AN$6-$G$3)&lt;1,0,IFERROR(LOOKUP(2,1/(Sorgo!$E64:INDEX(Sorgo!$E64:$Z64,MIN(AN$6-$G$3,22))&lt;&gt;""),Sorgo!$E64:INDEX(Sorgo!$E64:$Z64,MIN(AN$6-$G$3,22))),0)))))</f>
        <v>0</v>
      </c>
      <c r="AO66" s="27" t="n">
        <f aca="false">IF(COUNT(Sorgo!$E64:$Z64)=0,0,MAX(0,IF((AO$6-$E$3)&lt;1,0,IFERROR(LOOKUP(2,1/(Sorgo!$E64:INDEX(Sorgo!$E64:$Z64,MIN(AO$6-$E$3,22))&lt;&gt;""),Sorgo!$E64:INDEX(Sorgo!$E64:$Z64,MIN(AO$6-$E$3,22))),0))-IF($G$2,0,IF((AO$6-$G$3)&lt;1,0,IFERROR(LOOKUP(2,1/(Sorgo!$E64:INDEX(Sorgo!$E64:$Z64,MIN(AO$6-$G$3,22))&lt;&gt;""),Sorgo!$E64:INDEX(Sorgo!$E64:$Z64,MIN(AO$6-$G$3,22))),0)))))</f>
        <v>0</v>
      </c>
      <c r="AP66" s="27" t="n">
        <f aca="false">IF(COUNT(Sorgo!$E64:$Z64)=0,0,MAX(0,IF((AP$6-$E$3)&lt;1,0,IFERROR(LOOKUP(2,1/(Sorgo!$E64:INDEX(Sorgo!$E64:$Z64,MIN(AP$6-$E$3,22))&lt;&gt;""),Sorgo!$E64:INDEX(Sorgo!$E64:$Z64,MIN(AP$6-$E$3,22))),0))-IF($G$2,0,IF((AP$6-$G$3)&lt;1,0,IFERROR(LOOKUP(2,1/(Sorgo!$E64:INDEX(Sorgo!$E64:$Z64,MIN(AP$6-$G$3,22))&lt;&gt;""),Sorgo!$E64:INDEX(Sorgo!$E64:$Z64,MIN(AP$6-$G$3,22))),0)))))</f>
        <v>0</v>
      </c>
      <c r="AQ66" s="27" t="n">
        <f aca="false">IF(COUNT(Sorgo!$E64:$Z64)=0,0,MAX(0,IF((AQ$6-$E$3)&lt;1,0,IFERROR(LOOKUP(2,1/(Sorgo!$E64:INDEX(Sorgo!$E64:$Z64,MIN(AQ$6-$E$3,22))&lt;&gt;""),Sorgo!$E64:INDEX(Sorgo!$E64:$Z64,MIN(AQ$6-$E$3,22))),0))-IF($G$2,0,IF((AQ$6-$G$3)&lt;1,0,IFERROR(LOOKUP(2,1/(Sorgo!$E64:INDEX(Sorgo!$E64:$Z64,MIN(AQ$6-$G$3,22))&lt;&gt;""),Sorgo!$E64:INDEX(Sorgo!$E64:$Z64,MIN(AQ$6-$G$3,22))),0)))))</f>
        <v>0</v>
      </c>
      <c r="AR66" s="27" t="n">
        <f aca="false">IF(COUNT(Sorgo!$E64:$Z64)=0,0,MAX(0,IF((AR$6-$E$3)&lt;1,0,IFERROR(LOOKUP(2,1/(Sorgo!$E64:INDEX(Sorgo!$E64:$Z64,MIN(AR$6-$E$3,22))&lt;&gt;""),Sorgo!$E64:INDEX(Sorgo!$E64:$Z64,MIN(AR$6-$E$3,22))),0))-IF($G$2,0,IF((AR$6-$G$3)&lt;1,0,IFERROR(LOOKUP(2,1/(Sorgo!$E64:INDEX(Sorgo!$E64:$Z64,MIN(AR$6-$G$3,22))&lt;&gt;""),Sorgo!$E64:INDEX(Sorgo!$E64:$Z64,MIN(AR$6-$G$3,22))),0)))))</f>
        <v>0</v>
      </c>
      <c r="AS66" s="27" t="n">
        <f aca="false">IF(COUNT(Sorgo!$E64:$Z64)=0,0,MAX(0,IF((AS$6-$E$3)&lt;1,0,IFERROR(LOOKUP(2,1/(Sorgo!$E64:INDEX(Sorgo!$E64:$Z64,MIN(AS$6-$E$3,22))&lt;&gt;""),Sorgo!$E64:INDEX(Sorgo!$E64:$Z64,MIN(AS$6-$E$3,22))),0))-IF($G$2,0,IF((AS$6-$G$3)&lt;1,0,IFERROR(LOOKUP(2,1/(Sorgo!$E64:INDEX(Sorgo!$E64:$Z64,MIN(AS$6-$G$3,22))&lt;&gt;""),Sorgo!$E64:INDEX(Sorgo!$E64:$Z64,MIN(AS$6-$G$3,22))),0)))))</f>
        <v>0</v>
      </c>
      <c r="AT66" s="27" t="n">
        <f aca="false">IF(COUNT(Sorgo!$E64:$Z64)=0,0,MAX(0,IF((AT$6-$E$3)&lt;1,0,IFERROR(LOOKUP(2,1/(Sorgo!$E64:INDEX(Sorgo!$E64:$Z64,MIN(AT$6-$E$3,22))&lt;&gt;""),Sorgo!$E64:INDEX(Sorgo!$E64:$Z64,MIN(AT$6-$E$3,22))),0))-IF($G$2,0,IF((AT$6-$G$3)&lt;1,0,IFERROR(LOOKUP(2,1/(Sorgo!$E64:INDEX(Sorgo!$E64:$Z64,MIN(AT$6-$G$3,22))&lt;&gt;""),Sorgo!$E64:INDEX(Sorgo!$E64:$Z64,MIN(AT$6-$G$3,22))),0)))))</f>
        <v>0</v>
      </c>
      <c r="AU66" s="27" t="n">
        <f aca="false">IF(COUNT(Sorgo!$E64:$Z64)=0,0,MAX(0,IF((AU$6-$E$3)&lt;1,0,IFERROR(LOOKUP(2,1/(Sorgo!$E64:INDEX(Sorgo!$E64:$Z64,MIN(AU$6-$E$3,22))&lt;&gt;""),Sorgo!$E64:INDEX(Sorgo!$E64:$Z64,MIN(AU$6-$E$3,22))),0))-IF($G$2,0,IF((AU$6-$G$3)&lt;1,0,IFERROR(LOOKUP(2,1/(Sorgo!$E64:INDEX(Sorgo!$E64:$Z64,MIN(AU$6-$G$3,22))&lt;&gt;""),Sorgo!$E64:INDEX(Sorgo!$E64:$Z64,MIN(AU$6-$G$3,22))),0)))))</f>
        <v>0</v>
      </c>
      <c r="AV66" s="27" t="n">
        <f aca="false">IF(COUNT(Sorgo!$E64:$Z64)=0,0,MAX(0,IF((AV$6-$E$3)&lt;1,0,IFERROR(LOOKUP(2,1/(Sorgo!$E64:INDEX(Sorgo!$E64:$Z64,MIN(AV$6-$E$3,22))&lt;&gt;""),Sorgo!$E64:INDEX(Sorgo!$E64:$Z64,MIN(AV$6-$E$3,22))),0))-IF($G$2,0,IF((AV$6-$G$3)&lt;1,0,IFERROR(LOOKUP(2,1/(Sorgo!$E64:INDEX(Sorgo!$E64:$Z64,MIN(AV$6-$G$3,22))&lt;&gt;""),Sorgo!$E64:INDEX(Sorgo!$E64:$Z64,MIN(AV$6-$G$3,22))),0)))))</f>
        <v>0</v>
      </c>
      <c r="AW66" s="27" t="n">
        <f aca="false">IF(COUNT(Sorgo!$E64:$Z64)=0,0,MAX(0,IF((AW$6-$E$3)&lt;1,0,IFERROR(LOOKUP(2,1/(Sorgo!$E64:INDEX(Sorgo!$E64:$Z64,MIN(AW$6-$E$3,22))&lt;&gt;""),Sorgo!$E64:INDEX(Sorgo!$E64:$Z64,MIN(AW$6-$E$3,22))),0))-IF($G$2,0,IF((AW$6-$G$3)&lt;1,0,IFERROR(LOOKUP(2,1/(Sorgo!$E64:INDEX(Sorgo!$E64:$Z64,MIN(AW$6-$G$3,22))&lt;&gt;""),Sorgo!$E64:INDEX(Sorgo!$E64:$Z64,MIN(AW$6-$G$3,22))),0)))))</f>
        <v>0</v>
      </c>
      <c r="AX66" s="27" t="n">
        <f aca="false">IF(COUNT(Sorgo!$E64:$Z64)=0,0,MAX(0,IF((AX$6-$E$3)&lt;1,0,IFERROR(LOOKUP(2,1/(Sorgo!$E64:INDEX(Sorgo!$E64:$Z64,MIN(AX$6-$E$3,22))&lt;&gt;""),Sorgo!$E64:INDEX(Sorgo!$E64:$Z64,MIN(AX$6-$E$3,22))),0))-IF($G$2,0,IF((AX$6-$G$3)&lt;1,0,IFERROR(LOOKUP(2,1/(Sorgo!$E64:INDEX(Sorgo!$E64:$Z64,MIN(AX$6-$G$3,22))&lt;&gt;""),Sorgo!$E64:INDEX(Sorgo!$E64:$Z64,MIN(AX$6-$G$3,22))),0)))))</f>
        <v>0</v>
      </c>
      <c r="AY66" s="27" t="n">
        <f aca="false">IF(COUNT(Sorgo!$E64:$Z64)=0,0,MAX(0,IF((AY$6-$E$3)&lt;1,0,IFERROR(LOOKUP(2,1/(Sorgo!$E64:INDEX(Sorgo!$E64:$Z64,MIN(AY$6-$E$3,22))&lt;&gt;""),Sorgo!$E64:INDEX(Sorgo!$E64:$Z64,MIN(AY$6-$E$3,22))),0))-IF($G$2,0,IF((AY$6-$G$3)&lt;1,0,IFERROR(LOOKUP(2,1/(Sorgo!$E64:INDEX(Sorgo!$E64:$Z64,MIN(AY$6-$G$3,22))&lt;&gt;""),Sorgo!$E64:INDEX(Sorgo!$E64:$Z64,MIN(AY$6-$G$3,22))),0)))))</f>
        <v>0</v>
      </c>
      <c r="AZ66" s="27" t="n">
        <f aca="false">IF(COUNT(Sorgo!$E64:$Z64)=0,0,MAX(0,IF((AZ$6-$E$3)&lt;1,0,IFERROR(LOOKUP(2,1/(Sorgo!$E64:INDEX(Sorgo!$E64:$Z64,MIN(AZ$6-$E$3,22))&lt;&gt;""),Sorgo!$E64:INDEX(Sorgo!$E64:$Z64,MIN(AZ$6-$E$3,22))),0))-IF($G$2,0,IF((AZ$6-$G$3)&lt;1,0,IFERROR(LOOKUP(2,1/(Sorgo!$E64:INDEX(Sorgo!$E64:$Z64,MIN(AZ$6-$G$3,22))&lt;&gt;""),Sorgo!$E64:INDEX(Sorgo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IF(COUNT(Sorgo!$E65:$Z65)&gt;0,N(Sorgo!$D65),0)</f>
        <v>0</v>
      </c>
      <c r="E67" s="27" t="n">
        <f aca="false">IF(COUNT(Sorgo!$E65:$Z65)=0,0,MAX(0,IF((E$6-$E$3)&lt;1,0,IFERROR(LOOKUP(2,1/(Sorgo!$E65:INDEX(Sorgo!$E65:$Z65,MIN(E$6-$E$3,22))&lt;&gt;""),Sorgo!$E65:INDEX(Sorgo!$E65:$Z65,MIN(E$6-$E$3,22))),0))-IF($G$2,0,IF((E$6-$G$3)&lt;1,0,IFERROR(LOOKUP(2,1/(Sorgo!$E65:INDEX(Sorgo!$E65:$Z65,MIN(E$6-$G$3,22))&lt;&gt;""),Sorgo!$E65:INDEX(Sorgo!$E65:$Z65,MIN(E$6-$G$3,22))),0)))))</f>
        <v>0</v>
      </c>
      <c r="F67" s="27" t="n">
        <f aca="false">IF(COUNT(Sorgo!$E65:$Z65)=0,0,MAX(0,IF((F$6-$E$3)&lt;1,0,IFERROR(LOOKUP(2,1/(Sorgo!$E65:INDEX(Sorgo!$E65:$Z65,MIN(F$6-$E$3,22))&lt;&gt;""),Sorgo!$E65:INDEX(Sorgo!$E65:$Z65,MIN(F$6-$E$3,22))),0))-IF($G$2,0,IF((F$6-$G$3)&lt;1,0,IFERROR(LOOKUP(2,1/(Sorgo!$E65:INDEX(Sorgo!$E65:$Z65,MIN(F$6-$G$3,22))&lt;&gt;""),Sorgo!$E65:INDEX(Sorgo!$E65:$Z65,MIN(F$6-$G$3,22))),0)))))</f>
        <v>0</v>
      </c>
      <c r="G67" s="27" t="n">
        <f aca="false">IF(COUNT(Sorgo!$E65:$Z65)=0,0,MAX(0,IF((G$6-$E$3)&lt;1,0,IFERROR(LOOKUP(2,1/(Sorgo!$E65:INDEX(Sorgo!$E65:$Z65,MIN(G$6-$E$3,22))&lt;&gt;""),Sorgo!$E65:INDEX(Sorgo!$E65:$Z65,MIN(G$6-$E$3,22))),0))-IF($G$2,0,IF((G$6-$G$3)&lt;1,0,IFERROR(LOOKUP(2,1/(Sorgo!$E65:INDEX(Sorgo!$E65:$Z65,MIN(G$6-$G$3,22))&lt;&gt;""),Sorgo!$E65:INDEX(Sorgo!$E65:$Z65,MIN(G$6-$G$3,22))),0)))))</f>
        <v>0</v>
      </c>
      <c r="H67" s="27" t="n">
        <f aca="false">IF(COUNT(Sorgo!$E65:$Z65)=0,0,MAX(0,IF((H$6-$E$3)&lt;1,0,IFERROR(LOOKUP(2,1/(Sorgo!$E65:INDEX(Sorgo!$E65:$Z65,MIN(H$6-$E$3,22))&lt;&gt;""),Sorgo!$E65:INDEX(Sorgo!$E65:$Z65,MIN(H$6-$E$3,22))),0))-IF($G$2,0,IF((H$6-$G$3)&lt;1,0,IFERROR(LOOKUP(2,1/(Sorgo!$E65:INDEX(Sorgo!$E65:$Z65,MIN(H$6-$G$3,22))&lt;&gt;""),Sorgo!$E65:INDEX(Sorgo!$E65:$Z65,MIN(H$6-$G$3,22))),0)))))</f>
        <v>0</v>
      </c>
      <c r="I67" s="27" t="n">
        <f aca="false">IF(COUNT(Sorgo!$E65:$Z65)=0,0,MAX(0,IF((I$6-$E$3)&lt;1,0,IFERROR(LOOKUP(2,1/(Sorgo!$E65:INDEX(Sorgo!$E65:$Z65,MIN(I$6-$E$3,22))&lt;&gt;""),Sorgo!$E65:INDEX(Sorgo!$E65:$Z65,MIN(I$6-$E$3,22))),0))-IF($G$2,0,IF((I$6-$G$3)&lt;1,0,IFERROR(LOOKUP(2,1/(Sorgo!$E65:INDEX(Sorgo!$E65:$Z65,MIN(I$6-$G$3,22))&lt;&gt;""),Sorgo!$E65:INDEX(Sorgo!$E65:$Z65,MIN(I$6-$G$3,22))),0)))))</f>
        <v>0</v>
      </c>
      <c r="J67" s="27" t="n">
        <f aca="false">IF(COUNT(Sorgo!$E65:$Z65)=0,0,MAX(0,IF((J$6-$E$3)&lt;1,0,IFERROR(LOOKUP(2,1/(Sorgo!$E65:INDEX(Sorgo!$E65:$Z65,MIN(J$6-$E$3,22))&lt;&gt;""),Sorgo!$E65:INDEX(Sorgo!$E65:$Z65,MIN(J$6-$E$3,22))),0))-IF($G$2,0,IF((J$6-$G$3)&lt;1,0,IFERROR(LOOKUP(2,1/(Sorgo!$E65:INDEX(Sorgo!$E65:$Z65,MIN(J$6-$G$3,22))&lt;&gt;""),Sorgo!$E65:INDEX(Sorgo!$E65:$Z65,MIN(J$6-$G$3,22))),0)))))</f>
        <v>0</v>
      </c>
      <c r="K67" s="27" t="n">
        <f aca="false">IF(COUNT(Sorgo!$E65:$Z65)=0,0,MAX(0,IF((K$6-$E$3)&lt;1,0,IFERROR(LOOKUP(2,1/(Sorgo!$E65:INDEX(Sorgo!$E65:$Z65,MIN(K$6-$E$3,22))&lt;&gt;""),Sorgo!$E65:INDEX(Sorgo!$E65:$Z65,MIN(K$6-$E$3,22))),0))-IF($G$2,0,IF((K$6-$G$3)&lt;1,0,IFERROR(LOOKUP(2,1/(Sorgo!$E65:INDEX(Sorgo!$E65:$Z65,MIN(K$6-$G$3,22))&lt;&gt;""),Sorgo!$E65:INDEX(Sorgo!$E65:$Z65,MIN(K$6-$G$3,22))),0)))))</f>
        <v>0</v>
      </c>
      <c r="L67" s="27" t="n">
        <f aca="false">IF(COUNT(Sorgo!$E65:$Z65)=0,0,MAX(0,IF((L$6-$E$3)&lt;1,0,IFERROR(LOOKUP(2,1/(Sorgo!$E65:INDEX(Sorgo!$E65:$Z65,MIN(L$6-$E$3,22))&lt;&gt;""),Sorgo!$E65:INDEX(Sorgo!$E65:$Z65,MIN(L$6-$E$3,22))),0))-IF($G$2,0,IF((L$6-$G$3)&lt;1,0,IFERROR(LOOKUP(2,1/(Sorgo!$E65:INDEX(Sorgo!$E65:$Z65,MIN(L$6-$G$3,22))&lt;&gt;""),Sorgo!$E65:INDEX(Sorgo!$E65:$Z65,MIN(L$6-$G$3,22))),0)))))</f>
        <v>0</v>
      </c>
      <c r="M67" s="27" t="n">
        <f aca="false">IF(COUNT(Sorgo!$E65:$Z65)=0,0,MAX(0,IF((M$6-$E$3)&lt;1,0,IFERROR(LOOKUP(2,1/(Sorgo!$E65:INDEX(Sorgo!$E65:$Z65,MIN(M$6-$E$3,22))&lt;&gt;""),Sorgo!$E65:INDEX(Sorgo!$E65:$Z65,MIN(M$6-$E$3,22))),0))-IF($G$2,0,IF((M$6-$G$3)&lt;1,0,IFERROR(LOOKUP(2,1/(Sorgo!$E65:INDEX(Sorgo!$E65:$Z65,MIN(M$6-$G$3,22))&lt;&gt;""),Sorgo!$E65:INDEX(Sorgo!$E65:$Z65,MIN(M$6-$G$3,22))),0)))))</f>
        <v>0</v>
      </c>
      <c r="N67" s="27" t="n">
        <f aca="false">IF(COUNT(Sorgo!$E65:$Z65)=0,0,MAX(0,IF((N$6-$E$3)&lt;1,0,IFERROR(LOOKUP(2,1/(Sorgo!$E65:INDEX(Sorgo!$E65:$Z65,MIN(N$6-$E$3,22))&lt;&gt;""),Sorgo!$E65:INDEX(Sorgo!$E65:$Z65,MIN(N$6-$E$3,22))),0))-IF($G$2,0,IF((N$6-$G$3)&lt;1,0,IFERROR(LOOKUP(2,1/(Sorgo!$E65:INDEX(Sorgo!$E65:$Z65,MIN(N$6-$G$3,22))&lt;&gt;""),Sorgo!$E65:INDEX(Sorgo!$E65:$Z65,MIN(N$6-$G$3,22))),0)))))</f>
        <v>0</v>
      </c>
      <c r="O67" s="27" t="n">
        <f aca="false">IF(COUNT(Sorgo!$E65:$Z65)=0,0,MAX(0,IF((O$6-$E$3)&lt;1,0,IFERROR(LOOKUP(2,1/(Sorgo!$E65:INDEX(Sorgo!$E65:$Z65,MIN(O$6-$E$3,22))&lt;&gt;""),Sorgo!$E65:INDEX(Sorgo!$E65:$Z65,MIN(O$6-$E$3,22))),0))-IF($G$2,0,IF((O$6-$G$3)&lt;1,0,IFERROR(LOOKUP(2,1/(Sorgo!$E65:INDEX(Sorgo!$E65:$Z65,MIN(O$6-$G$3,22))&lt;&gt;""),Sorgo!$E65:INDEX(Sorgo!$E65:$Z65,MIN(O$6-$G$3,22))),0)))))</f>
        <v>0</v>
      </c>
      <c r="P67" s="27" t="n">
        <f aca="false">IF(COUNT(Sorgo!$E65:$Z65)=0,0,MAX(0,IF((P$6-$E$3)&lt;1,0,IFERROR(LOOKUP(2,1/(Sorgo!$E65:INDEX(Sorgo!$E65:$Z65,MIN(P$6-$E$3,22))&lt;&gt;""),Sorgo!$E65:INDEX(Sorgo!$E65:$Z65,MIN(P$6-$E$3,22))),0))-IF($G$2,0,IF((P$6-$G$3)&lt;1,0,IFERROR(LOOKUP(2,1/(Sorgo!$E65:INDEX(Sorgo!$E65:$Z65,MIN(P$6-$G$3,22))&lt;&gt;""),Sorgo!$E65:INDEX(Sorgo!$E65:$Z65,MIN(P$6-$G$3,22))),0)))))</f>
        <v>0</v>
      </c>
      <c r="Q67" s="27" t="n">
        <f aca="false">IF(COUNT(Sorgo!$E65:$Z65)=0,0,MAX(0,IF((Q$6-$E$3)&lt;1,0,IFERROR(LOOKUP(2,1/(Sorgo!$E65:INDEX(Sorgo!$E65:$Z65,MIN(Q$6-$E$3,22))&lt;&gt;""),Sorgo!$E65:INDEX(Sorgo!$E65:$Z65,MIN(Q$6-$E$3,22))),0))-IF($G$2,0,IF((Q$6-$G$3)&lt;1,0,IFERROR(LOOKUP(2,1/(Sorgo!$E65:INDEX(Sorgo!$E65:$Z65,MIN(Q$6-$G$3,22))&lt;&gt;""),Sorgo!$E65:INDEX(Sorgo!$E65:$Z65,MIN(Q$6-$G$3,22))),0)))))</f>
        <v>0</v>
      </c>
      <c r="R67" s="27" t="n">
        <f aca="false">IF(COUNT(Sorgo!$E65:$Z65)=0,0,MAX(0,IF((R$6-$E$3)&lt;1,0,IFERROR(LOOKUP(2,1/(Sorgo!$E65:INDEX(Sorgo!$E65:$Z65,MIN(R$6-$E$3,22))&lt;&gt;""),Sorgo!$E65:INDEX(Sorgo!$E65:$Z65,MIN(R$6-$E$3,22))),0))-IF($G$2,0,IF((R$6-$G$3)&lt;1,0,IFERROR(LOOKUP(2,1/(Sorgo!$E65:INDEX(Sorgo!$E65:$Z65,MIN(R$6-$G$3,22))&lt;&gt;""),Sorgo!$E65:INDEX(Sorgo!$E65:$Z65,MIN(R$6-$G$3,22))),0)))))</f>
        <v>0</v>
      </c>
      <c r="S67" s="27" t="n">
        <f aca="false">IF(COUNT(Sorgo!$E65:$Z65)=0,0,MAX(0,IF((S$6-$E$3)&lt;1,0,IFERROR(LOOKUP(2,1/(Sorgo!$E65:INDEX(Sorgo!$E65:$Z65,MIN(S$6-$E$3,22))&lt;&gt;""),Sorgo!$E65:INDEX(Sorgo!$E65:$Z65,MIN(S$6-$E$3,22))),0))-IF($G$2,0,IF((S$6-$G$3)&lt;1,0,IFERROR(LOOKUP(2,1/(Sorgo!$E65:INDEX(Sorgo!$E65:$Z65,MIN(S$6-$G$3,22))&lt;&gt;""),Sorgo!$E65:INDEX(Sorgo!$E65:$Z65,MIN(S$6-$G$3,22))),0)))))</f>
        <v>0</v>
      </c>
      <c r="T67" s="27" t="n">
        <f aca="false">IF(COUNT(Sorgo!$E65:$Z65)=0,0,MAX(0,IF((T$6-$E$3)&lt;1,0,IFERROR(LOOKUP(2,1/(Sorgo!$E65:INDEX(Sorgo!$E65:$Z65,MIN(T$6-$E$3,22))&lt;&gt;""),Sorgo!$E65:INDEX(Sorgo!$E65:$Z65,MIN(T$6-$E$3,22))),0))-IF($G$2,0,IF((T$6-$G$3)&lt;1,0,IFERROR(LOOKUP(2,1/(Sorgo!$E65:INDEX(Sorgo!$E65:$Z65,MIN(T$6-$G$3,22))&lt;&gt;""),Sorgo!$E65:INDEX(Sorgo!$E65:$Z65,MIN(T$6-$G$3,22))),0)))))</f>
        <v>0</v>
      </c>
      <c r="U67" s="27" t="n">
        <f aca="false">IF(COUNT(Sorgo!$E65:$Z65)=0,0,MAX(0,IF((U$6-$E$3)&lt;1,0,IFERROR(LOOKUP(2,1/(Sorgo!$E65:INDEX(Sorgo!$E65:$Z65,MIN(U$6-$E$3,22))&lt;&gt;""),Sorgo!$E65:INDEX(Sorgo!$E65:$Z65,MIN(U$6-$E$3,22))),0))-IF($G$2,0,IF((U$6-$G$3)&lt;1,0,IFERROR(LOOKUP(2,1/(Sorgo!$E65:INDEX(Sorgo!$E65:$Z65,MIN(U$6-$G$3,22))&lt;&gt;""),Sorgo!$E65:INDEX(Sorgo!$E65:$Z65,MIN(U$6-$G$3,22))),0)))))</f>
        <v>0</v>
      </c>
      <c r="V67" s="27" t="n">
        <f aca="false">IF(COUNT(Sorgo!$E65:$Z65)=0,0,MAX(0,IF((V$6-$E$3)&lt;1,0,IFERROR(LOOKUP(2,1/(Sorgo!$E65:INDEX(Sorgo!$E65:$Z65,MIN(V$6-$E$3,22))&lt;&gt;""),Sorgo!$E65:INDEX(Sorgo!$E65:$Z65,MIN(V$6-$E$3,22))),0))-IF($G$2,0,IF((V$6-$G$3)&lt;1,0,IFERROR(LOOKUP(2,1/(Sorgo!$E65:INDEX(Sorgo!$E65:$Z65,MIN(V$6-$G$3,22))&lt;&gt;""),Sorgo!$E65:INDEX(Sorgo!$E65:$Z65,MIN(V$6-$G$3,22))),0)))))</f>
        <v>0</v>
      </c>
      <c r="W67" s="27" t="n">
        <f aca="false">IF(COUNT(Sorgo!$E65:$Z65)=0,0,MAX(0,IF((W$6-$E$3)&lt;1,0,IFERROR(LOOKUP(2,1/(Sorgo!$E65:INDEX(Sorgo!$E65:$Z65,MIN(W$6-$E$3,22))&lt;&gt;""),Sorgo!$E65:INDEX(Sorgo!$E65:$Z65,MIN(W$6-$E$3,22))),0))-IF($G$2,0,IF((W$6-$G$3)&lt;1,0,IFERROR(LOOKUP(2,1/(Sorgo!$E65:INDEX(Sorgo!$E65:$Z65,MIN(W$6-$G$3,22))&lt;&gt;""),Sorgo!$E65:INDEX(Sorgo!$E65:$Z65,MIN(W$6-$G$3,22))),0)))))</f>
        <v>0</v>
      </c>
      <c r="X67" s="27" t="n">
        <f aca="false">IF(COUNT(Sorgo!$E65:$Z65)=0,0,MAX(0,IF((X$6-$E$3)&lt;1,0,IFERROR(LOOKUP(2,1/(Sorgo!$E65:INDEX(Sorgo!$E65:$Z65,MIN(X$6-$E$3,22))&lt;&gt;""),Sorgo!$E65:INDEX(Sorgo!$E65:$Z65,MIN(X$6-$E$3,22))),0))-IF($G$2,0,IF((X$6-$G$3)&lt;1,0,IFERROR(LOOKUP(2,1/(Sorgo!$E65:INDEX(Sorgo!$E65:$Z65,MIN(X$6-$G$3,22))&lt;&gt;""),Sorgo!$E65:INDEX(Sorgo!$E65:$Z65,MIN(X$6-$G$3,22))),0)))))</f>
        <v>0</v>
      </c>
      <c r="Y67" s="27" t="n">
        <f aca="false">IF(COUNT(Sorgo!$E65:$Z65)=0,0,MAX(0,IF((Y$6-$E$3)&lt;1,0,IFERROR(LOOKUP(2,1/(Sorgo!$E65:INDEX(Sorgo!$E65:$Z65,MIN(Y$6-$E$3,22))&lt;&gt;""),Sorgo!$E65:INDEX(Sorgo!$E65:$Z65,MIN(Y$6-$E$3,22))),0))-IF($G$2,0,IF((Y$6-$G$3)&lt;1,0,IFERROR(LOOKUP(2,1/(Sorgo!$E65:INDEX(Sorgo!$E65:$Z65,MIN(Y$6-$G$3,22))&lt;&gt;""),Sorgo!$E65:INDEX(Sorgo!$E65:$Z65,MIN(Y$6-$G$3,22))),0)))))</f>
        <v>0</v>
      </c>
      <c r="Z67" s="27" t="n">
        <f aca="false">IF(COUNT(Sorgo!$E65:$Z65)=0,0,MAX(0,IF((Z$6-$E$3)&lt;1,0,IFERROR(LOOKUP(2,1/(Sorgo!$E65:INDEX(Sorgo!$E65:$Z65,MIN(Z$6-$E$3,22))&lt;&gt;""),Sorgo!$E65:INDEX(Sorgo!$E65:$Z65,MIN(Z$6-$E$3,22))),0))-IF($G$2,0,IF((Z$6-$G$3)&lt;1,0,IFERROR(LOOKUP(2,1/(Sorgo!$E65:INDEX(Sorgo!$E65:$Z65,MIN(Z$6-$G$3,22))&lt;&gt;""),Sorgo!$E65:INDEX(Sorgo!$E65:$Z65,MIN(Z$6-$G$3,22))),0)))))</f>
        <v>0</v>
      </c>
      <c r="AA67" s="27" t="n">
        <f aca="false">IF(COUNT(Sorgo!$E65:$Z65)=0,0,MAX(0,IF((AA$6-$E$3)&lt;1,0,IFERROR(LOOKUP(2,1/(Sorgo!$E65:INDEX(Sorgo!$E65:$Z65,MIN(AA$6-$E$3,22))&lt;&gt;""),Sorgo!$E65:INDEX(Sorgo!$E65:$Z65,MIN(AA$6-$E$3,22))),0))-IF($G$2,0,IF((AA$6-$G$3)&lt;1,0,IFERROR(LOOKUP(2,1/(Sorgo!$E65:INDEX(Sorgo!$E65:$Z65,MIN(AA$6-$G$3,22))&lt;&gt;""),Sorgo!$E65:INDEX(Sorgo!$E65:$Z65,MIN(AA$6-$G$3,22))),0)))))</f>
        <v>0</v>
      </c>
      <c r="AB67" s="27" t="n">
        <f aca="false">IF(COUNT(Sorgo!$E65:$Z65)=0,0,MAX(0,IF((AB$6-$E$3)&lt;1,0,IFERROR(LOOKUP(2,1/(Sorgo!$E65:INDEX(Sorgo!$E65:$Z65,MIN(AB$6-$E$3,22))&lt;&gt;""),Sorgo!$E65:INDEX(Sorgo!$E65:$Z65,MIN(AB$6-$E$3,22))),0))-IF($G$2,0,IF((AB$6-$G$3)&lt;1,0,IFERROR(LOOKUP(2,1/(Sorgo!$E65:INDEX(Sorgo!$E65:$Z65,MIN(AB$6-$G$3,22))&lt;&gt;""),Sorgo!$E65:INDEX(Sorgo!$E65:$Z65,MIN(AB$6-$G$3,22))),0)))))</f>
        <v>0</v>
      </c>
      <c r="AC67" s="27" t="n">
        <f aca="false">IF(COUNT(Sorgo!$E65:$Z65)=0,0,MAX(0,IF((AC$6-$E$3)&lt;1,0,IFERROR(LOOKUP(2,1/(Sorgo!$E65:INDEX(Sorgo!$E65:$Z65,MIN(AC$6-$E$3,22))&lt;&gt;""),Sorgo!$E65:INDEX(Sorgo!$E65:$Z65,MIN(AC$6-$E$3,22))),0))-IF($G$2,0,IF((AC$6-$G$3)&lt;1,0,IFERROR(LOOKUP(2,1/(Sorgo!$E65:INDEX(Sorgo!$E65:$Z65,MIN(AC$6-$G$3,22))&lt;&gt;""),Sorgo!$E65:INDEX(Sorgo!$E65:$Z65,MIN(AC$6-$G$3,22))),0)))))</f>
        <v>0</v>
      </c>
      <c r="AD67" s="27" t="n">
        <f aca="false">IF(COUNT(Sorgo!$E65:$Z65)=0,0,MAX(0,IF((AD$6-$E$3)&lt;1,0,IFERROR(LOOKUP(2,1/(Sorgo!$E65:INDEX(Sorgo!$E65:$Z65,MIN(AD$6-$E$3,22))&lt;&gt;""),Sorgo!$E65:INDEX(Sorgo!$E65:$Z65,MIN(AD$6-$E$3,22))),0))-IF($G$2,0,IF((AD$6-$G$3)&lt;1,0,IFERROR(LOOKUP(2,1/(Sorgo!$E65:INDEX(Sorgo!$E65:$Z65,MIN(AD$6-$G$3,22))&lt;&gt;""),Sorgo!$E65:INDEX(Sorgo!$E65:$Z65,MIN(AD$6-$G$3,22))),0)))))</f>
        <v>0</v>
      </c>
      <c r="AE67" s="27" t="n">
        <f aca="false">IF(COUNT(Sorgo!$E65:$Z65)=0,0,MAX(0,IF((AE$6-$E$3)&lt;1,0,IFERROR(LOOKUP(2,1/(Sorgo!$E65:INDEX(Sorgo!$E65:$Z65,MIN(AE$6-$E$3,22))&lt;&gt;""),Sorgo!$E65:INDEX(Sorgo!$E65:$Z65,MIN(AE$6-$E$3,22))),0))-IF($G$2,0,IF((AE$6-$G$3)&lt;1,0,IFERROR(LOOKUP(2,1/(Sorgo!$E65:INDEX(Sorgo!$E65:$Z65,MIN(AE$6-$G$3,22))&lt;&gt;""),Sorgo!$E65:INDEX(Sorgo!$E65:$Z65,MIN(AE$6-$G$3,22))),0)))))</f>
        <v>0</v>
      </c>
      <c r="AF67" s="27" t="n">
        <f aca="false">IF(COUNT(Sorgo!$E65:$Z65)=0,0,MAX(0,IF((AF$6-$E$3)&lt;1,0,IFERROR(LOOKUP(2,1/(Sorgo!$E65:INDEX(Sorgo!$E65:$Z65,MIN(AF$6-$E$3,22))&lt;&gt;""),Sorgo!$E65:INDEX(Sorgo!$E65:$Z65,MIN(AF$6-$E$3,22))),0))-IF($G$2,0,IF((AF$6-$G$3)&lt;1,0,IFERROR(LOOKUP(2,1/(Sorgo!$E65:INDEX(Sorgo!$E65:$Z65,MIN(AF$6-$G$3,22))&lt;&gt;""),Sorgo!$E65:INDEX(Sorgo!$E65:$Z65,MIN(AF$6-$G$3,22))),0)))))</f>
        <v>0</v>
      </c>
      <c r="AG67" s="27" t="n">
        <f aca="false">IF(COUNT(Sorgo!$E65:$Z65)=0,0,MAX(0,IF((AG$6-$E$3)&lt;1,0,IFERROR(LOOKUP(2,1/(Sorgo!$E65:INDEX(Sorgo!$E65:$Z65,MIN(AG$6-$E$3,22))&lt;&gt;""),Sorgo!$E65:INDEX(Sorgo!$E65:$Z65,MIN(AG$6-$E$3,22))),0))-IF($G$2,0,IF((AG$6-$G$3)&lt;1,0,IFERROR(LOOKUP(2,1/(Sorgo!$E65:INDEX(Sorgo!$E65:$Z65,MIN(AG$6-$G$3,22))&lt;&gt;""),Sorgo!$E65:INDEX(Sorgo!$E65:$Z65,MIN(AG$6-$G$3,22))),0)))))</f>
        <v>0</v>
      </c>
      <c r="AH67" s="27" t="n">
        <f aca="false">IF(COUNT(Sorgo!$E65:$Z65)=0,0,MAX(0,IF((AH$6-$E$3)&lt;1,0,IFERROR(LOOKUP(2,1/(Sorgo!$E65:INDEX(Sorgo!$E65:$Z65,MIN(AH$6-$E$3,22))&lt;&gt;""),Sorgo!$E65:INDEX(Sorgo!$E65:$Z65,MIN(AH$6-$E$3,22))),0))-IF($G$2,0,IF((AH$6-$G$3)&lt;1,0,IFERROR(LOOKUP(2,1/(Sorgo!$E65:INDEX(Sorgo!$E65:$Z65,MIN(AH$6-$G$3,22))&lt;&gt;""),Sorgo!$E65:INDEX(Sorgo!$E65:$Z65,MIN(AH$6-$G$3,22))),0)))))</f>
        <v>0</v>
      </c>
      <c r="AI67" s="27" t="n">
        <f aca="false">IF(COUNT(Sorgo!$E65:$Z65)=0,0,MAX(0,IF((AI$6-$E$3)&lt;1,0,IFERROR(LOOKUP(2,1/(Sorgo!$E65:INDEX(Sorgo!$E65:$Z65,MIN(AI$6-$E$3,22))&lt;&gt;""),Sorgo!$E65:INDEX(Sorgo!$E65:$Z65,MIN(AI$6-$E$3,22))),0))-IF($G$2,0,IF((AI$6-$G$3)&lt;1,0,IFERROR(LOOKUP(2,1/(Sorgo!$E65:INDEX(Sorgo!$E65:$Z65,MIN(AI$6-$G$3,22))&lt;&gt;""),Sorgo!$E65:INDEX(Sorgo!$E65:$Z65,MIN(AI$6-$G$3,22))),0)))))</f>
        <v>0</v>
      </c>
      <c r="AJ67" s="27" t="n">
        <f aca="false">IF(COUNT(Sorgo!$E65:$Z65)=0,0,MAX(0,IF((AJ$6-$E$3)&lt;1,0,IFERROR(LOOKUP(2,1/(Sorgo!$E65:INDEX(Sorgo!$E65:$Z65,MIN(AJ$6-$E$3,22))&lt;&gt;""),Sorgo!$E65:INDEX(Sorgo!$E65:$Z65,MIN(AJ$6-$E$3,22))),0))-IF($G$2,0,IF((AJ$6-$G$3)&lt;1,0,IFERROR(LOOKUP(2,1/(Sorgo!$E65:INDEX(Sorgo!$E65:$Z65,MIN(AJ$6-$G$3,22))&lt;&gt;""),Sorgo!$E65:INDEX(Sorgo!$E65:$Z65,MIN(AJ$6-$G$3,22))),0)))))</f>
        <v>0</v>
      </c>
      <c r="AK67" s="27" t="n">
        <f aca="false">IF(COUNT(Sorgo!$E65:$Z65)=0,0,MAX(0,IF((AK$6-$E$3)&lt;1,0,IFERROR(LOOKUP(2,1/(Sorgo!$E65:INDEX(Sorgo!$E65:$Z65,MIN(AK$6-$E$3,22))&lt;&gt;""),Sorgo!$E65:INDEX(Sorgo!$E65:$Z65,MIN(AK$6-$E$3,22))),0))-IF($G$2,0,IF((AK$6-$G$3)&lt;1,0,IFERROR(LOOKUP(2,1/(Sorgo!$E65:INDEX(Sorgo!$E65:$Z65,MIN(AK$6-$G$3,22))&lt;&gt;""),Sorgo!$E65:INDEX(Sorgo!$E65:$Z65,MIN(AK$6-$G$3,22))),0)))))</f>
        <v>0</v>
      </c>
      <c r="AL67" s="27" t="n">
        <f aca="false">IF(COUNT(Sorgo!$E65:$Z65)=0,0,MAX(0,IF((AL$6-$E$3)&lt;1,0,IFERROR(LOOKUP(2,1/(Sorgo!$E65:INDEX(Sorgo!$E65:$Z65,MIN(AL$6-$E$3,22))&lt;&gt;""),Sorgo!$E65:INDEX(Sorgo!$E65:$Z65,MIN(AL$6-$E$3,22))),0))-IF($G$2,0,IF((AL$6-$G$3)&lt;1,0,IFERROR(LOOKUP(2,1/(Sorgo!$E65:INDEX(Sorgo!$E65:$Z65,MIN(AL$6-$G$3,22))&lt;&gt;""),Sorgo!$E65:INDEX(Sorgo!$E65:$Z65,MIN(AL$6-$G$3,22))),0)))))</f>
        <v>0</v>
      </c>
      <c r="AM67" s="27" t="n">
        <f aca="false">IF(COUNT(Sorgo!$E65:$Z65)=0,0,MAX(0,IF((AM$6-$E$3)&lt;1,0,IFERROR(LOOKUP(2,1/(Sorgo!$E65:INDEX(Sorgo!$E65:$Z65,MIN(AM$6-$E$3,22))&lt;&gt;""),Sorgo!$E65:INDEX(Sorgo!$E65:$Z65,MIN(AM$6-$E$3,22))),0))-IF($G$2,0,IF((AM$6-$G$3)&lt;1,0,IFERROR(LOOKUP(2,1/(Sorgo!$E65:INDEX(Sorgo!$E65:$Z65,MIN(AM$6-$G$3,22))&lt;&gt;""),Sorgo!$E65:INDEX(Sorgo!$E65:$Z65,MIN(AM$6-$G$3,22))),0)))))</f>
        <v>0</v>
      </c>
      <c r="AN67" s="27" t="n">
        <f aca="false">IF(COUNT(Sorgo!$E65:$Z65)=0,0,MAX(0,IF((AN$6-$E$3)&lt;1,0,IFERROR(LOOKUP(2,1/(Sorgo!$E65:INDEX(Sorgo!$E65:$Z65,MIN(AN$6-$E$3,22))&lt;&gt;""),Sorgo!$E65:INDEX(Sorgo!$E65:$Z65,MIN(AN$6-$E$3,22))),0))-IF($G$2,0,IF((AN$6-$G$3)&lt;1,0,IFERROR(LOOKUP(2,1/(Sorgo!$E65:INDEX(Sorgo!$E65:$Z65,MIN(AN$6-$G$3,22))&lt;&gt;""),Sorgo!$E65:INDEX(Sorgo!$E65:$Z65,MIN(AN$6-$G$3,22))),0)))))</f>
        <v>0</v>
      </c>
      <c r="AO67" s="27" t="n">
        <f aca="false">IF(COUNT(Sorgo!$E65:$Z65)=0,0,MAX(0,IF((AO$6-$E$3)&lt;1,0,IFERROR(LOOKUP(2,1/(Sorgo!$E65:INDEX(Sorgo!$E65:$Z65,MIN(AO$6-$E$3,22))&lt;&gt;""),Sorgo!$E65:INDEX(Sorgo!$E65:$Z65,MIN(AO$6-$E$3,22))),0))-IF($G$2,0,IF((AO$6-$G$3)&lt;1,0,IFERROR(LOOKUP(2,1/(Sorgo!$E65:INDEX(Sorgo!$E65:$Z65,MIN(AO$6-$G$3,22))&lt;&gt;""),Sorgo!$E65:INDEX(Sorgo!$E65:$Z65,MIN(AO$6-$G$3,22))),0)))))</f>
        <v>0</v>
      </c>
      <c r="AP67" s="27" t="n">
        <f aca="false">IF(COUNT(Sorgo!$E65:$Z65)=0,0,MAX(0,IF((AP$6-$E$3)&lt;1,0,IFERROR(LOOKUP(2,1/(Sorgo!$E65:INDEX(Sorgo!$E65:$Z65,MIN(AP$6-$E$3,22))&lt;&gt;""),Sorgo!$E65:INDEX(Sorgo!$E65:$Z65,MIN(AP$6-$E$3,22))),0))-IF($G$2,0,IF((AP$6-$G$3)&lt;1,0,IFERROR(LOOKUP(2,1/(Sorgo!$E65:INDEX(Sorgo!$E65:$Z65,MIN(AP$6-$G$3,22))&lt;&gt;""),Sorgo!$E65:INDEX(Sorgo!$E65:$Z65,MIN(AP$6-$G$3,22))),0)))))</f>
        <v>0</v>
      </c>
      <c r="AQ67" s="27" t="n">
        <f aca="false">IF(COUNT(Sorgo!$E65:$Z65)=0,0,MAX(0,IF((AQ$6-$E$3)&lt;1,0,IFERROR(LOOKUP(2,1/(Sorgo!$E65:INDEX(Sorgo!$E65:$Z65,MIN(AQ$6-$E$3,22))&lt;&gt;""),Sorgo!$E65:INDEX(Sorgo!$E65:$Z65,MIN(AQ$6-$E$3,22))),0))-IF($G$2,0,IF((AQ$6-$G$3)&lt;1,0,IFERROR(LOOKUP(2,1/(Sorgo!$E65:INDEX(Sorgo!$E65:$Z65,MIN(AQ$6-$G$3,22))&lt;&gt;""),Sorgo!$E65:INDEX(Sorgo!$E65:$Z65,MIN(AQ$6-$G$3,22))),0)))))</f>
        <v>0</v>
      </c>
      <c r="AR67" s="27" t="n">
        <f aca="false">IF(COUNT(Sorgo!$E65:$Z65)=0,0,MAX(0,IF((AR$6-$E$3)&lt;1,0,IFERROR(LOOKUP(2,1/(Sorgo!$E65:INDEX(Sorgo!$E65:$Z65,MIN(AR$6-$E$3,22))&lt;&gt;""),Sorgo!$E65:INDEX(Sorgo!$E65:$Z65,MIN(AR$6-$E$3,22))),0))-IF($G$2,0,IF((AR$6-$G$3)&lt;1,0,IFERROR(LOOKUP(2,1/(Sorgo!$E65:INDEX(Sorgo!$E65:$Z65,MIN(AR$6-$G$3,22))&lt;&gt;""),Sorgo!$E65:INDEX(Sorgo!$E65:$Z65,MIN(AR$6-$G$3,22))),0)))))</f>
        <v>0</v>
      </c>
      <c r="AS67" s="27" t="n">
        <f aca="false">IF(COUNT(Sorgo!$E65:$Z65)=0,0,MAX(0,IF((AS$6-$E$3)&lt;1,0,IFERROR(LOOKUP(2,1/(Sorgo!$E65:INDEX(Sorgo!$E65:$Z65,MIN(AS$6-$E$3,22))&lt;&gt;""),Sorgo!$E65:INDEX(Sorgo!$E65:$Z65,MIN(AS$6-$E$3,22))),0))-IF($G$2,0,IF((AS$6-$G$3)&lt;1,0,IFERROR(LOOKUP(2,1/(Sorgo!$E65:INDEX(Sorgo!$E65:$Z65,MIN(AS$6-$G$3,22))&lt;&gt;""),Sorgo!$E65:INDEX(Sorgo!$E65:$Z65,MIN(AS$6-$G$3,22))),0)))))</f>
        <v>0</v>
      </c>
      <c r="AT67" s="27" t="n">
        <f aca="false">IF(COUNT(Sorgo!$E65:$Z65)=0,0,MAX(0,IF((AT$6-$E$3)&lt;1,0,IFERROR(LOOKUP(2,1/(Sorgo!$E65:INDEX(Sorgo!$E65:$Z65,MIN(AT$6-$E$3,22))&lt;&gt;""),Sorgo!$E65:INDEX(Sorgo!$E65:$Z65,MIN(AT$6-$E$3,22))),0))-IF($G$2,0,IF((AT$6-$G$3)&lt;1,0,IFERROR(LOOKUP(2,1/(Sorgo!$E65:INDEX(Sorgo!$E65:$Z65,MIN(AT$6-$G$3,22))&lt;&gt;""),Sorgo!$E65:INDEX(Sorgo!$E65:$Z65,MIN(AT$6-$G$3,22))),0)))))</f>
        <v>0</v>
      </c>
      <c r="AU67" s="27" t="n">
        <f aca="false">IF(COUNT(Sorgo!$E65:$Z65)=0,0,MAX(0,IF((AU$6-$E$3)&lt;1,0,IFERROR(LOOKUP(2,1/(Sorgo!$E65:INDEX(Sorgo!$E65:$Z65,MIN(AU$6-$E$3,22))&lt;&gt;""),Sorgo!$E65:INDEX(Sorgo!$E65:$Z65,MIN(AU$6-$E$3,22))),0))-IF($G$2,0,IF((AU$6-$G$3)&lt;1,0,IFERROR(LOOKUP(2,1/(Sorgo!$E65:INDEX(Sorgo!$E65:$Z65,MIN(AU$6-$G$3,22))&lt;&gt;""),Sorgo!$E65:INDEX(Sorgo!$E65:$Z65,MIN(AU$6-$G$3,22))),0)))))</f>
        <v>0</v>
      </c>
      <c r="AV67" s="27" t="n">
        <f aca="false">IF(COUNT(Sorgo!$E65:$Z65)=0,0,MAX(0,IF((AV$6-$E$3)&lt;1,0,IFERROR(LOOKUP(2,1/(Sorgo!$E65:INDEX(Sorgo!$E65:$Z65,MIN(AV$6-$E$3,22))&lt;&gt;""),Sorgo!$E65:INDEX(Sorgo!$E65:$Z65,MIN(AV$6-$E$3,22))),0))-IF($G$2,0,IF((AV$6-$G$3)&lt;1,0,IFERROR(LOOKUP(2,1/(Sorgo!$E65:INDEX(Sorgo!$E65:$Z65,MIN(AV$6-$G$3,22))&lt;&gt;""),Sorgo!$E65:INDEX(Sorgo!$E65:$Z65,MIN(AV$6-$G$3,22))),0)))))</f>
        <v>0</v>
      </c>
      <c r="AW67" s="27" t="n">
        <f aca="false">IF(COUNT(Sorgo!$E65:$Z65)=0,0,MAX(0,IF((AW$6-$E$3)&lt;1,0,IFERROR(LOOKUP(2,1/(Sorgo!$E65:INDEX(Sorgo!$E65:$Z65,MIN(AW$6-$E$3,22))&lt;&gt;""),Sorgo!$E65:INDEX(Sorgo!$E65:$Z65,MIN(AW$6-$E$3,22))),0))-IF($G$2,0,IF((AW$6-$G$3)&lt;1,0,IFERROR(LOOKUP(2,1/(Sorgo!$E65:INDEX(Sorgo!$E65:$Z65,MIN(AW$6-$G$3,22))&lt;&gt;""),Sorgo!$E65:INDEX(Sorgo!$E65:$Z65,MIN(AW$6-$G$3,22))),0)))))</f>
        <v>0</v>
      </c>
      <c r="AX67" s="27" t="n">
        <f aca="false">IF(COUNT(Sorgo!$E65:$Z65)=0,0,MAX(0,IF((AX$6-$E$3)&lt;1,0,IFERROR(LOOKUP(2,1/(Sorgo!$E65:INDEX(Sorgo!$E65:$Z65,MIN(AX$6-$E$3,22))&lt;&gt;""),Sorgo!$E65:INDEX(Sorgo!$E65:$Z65,MIN(AX$6-$E$3,22))),0))-IF($G$2,0,IF((AX$6-$G$3)&lt;1,0,IFERROR(LOOKUP(2,1/(Sorgo!$E65:INDEX(Sorgo!$E65:$Z65,MIN(AX$6-$G$3,22))&lt;&gt;""),Sorgo!$E65:INDEX(Sorgo!$E65:$Z65,MIN(AX$6-$G$3,22))),0)))))</f>
        <v>0</v>
      </c>
      <c r="AY67" s="27" t="n">
        <f aca="false">IF(COUNT(Sorgo!$E65:$Z65)=0,0,MAX(0,IF((AY$6-$E$3)&lt;1,0,IFERROR(LOOKUP(2,1/(Sorgo!$E65:INDEX(Sorgo!$E65:$Z65,MIN(AY$6-$E$3,22))&lt;&gt;""),Sorgo!$E65:INDEX(Sorgo!$E65:$Z65,MIN(AY$6-$E$3,22))),0))-IF($G$2,0,IF((AY$6-$G$3)&lt;1,0,IFERROR(LOOKUP(2,1/(Sorgo!$E65:INDEX(Sorgo!$E65:$Z65,MIN(AY$6-$G$3,22))&lt;&gt;""),Sorgo!$E65:INDEX(Sorgo!$E65:$Z65,MIN(AY$6-$G$3,22))),0)))))</f>
        <v>0</v>
      </c>
      <c r="AZ67" s="27" t="n">
        <f aca="false">IF(COUNT(Sorgo!$E65:$Z65)=0,0,MAX(0,IF((AZ$6-$E$3)&lt;1,0,IFERROR(LOOKUP(2,1/(Sorgo!$E65:INDEX(Sorgo!$E65:$Z65,MIN(AZ$6-$E$3,22))&lt;&gt;""),Sorgo!$E65:INDEX(Sorgo!$E65:$Z65,MIN(AZ$6-$E$3,22))),0))-IF($G$2,0,IF((AZ$6-$G$3)&lt;1,0,IFERROR(LOOKUP(2,1/(Sorgo!$E65:INDEX(Sorgo!$E65:$Z65,MIN(AZ$6-$G$3,22))&lt;&gt;""),Sorgo!$E65:INDEX(Sorgo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IF(COUNT(Sorgo!$E66:$Z66)&gt;0,N(Sorgo!$D66),0)</f>
        <v>0</v>
      </c>
      <c r="E68" s="27" t="n">
        <f aca="false">IF(COUNT(Sorgo!$E66:$Z66)=0,0,MAX(0,IF((E$6-$E$3)&lt;1,0,IFERROR(LOOKUP(2,1/(Sorgo!$E66:INDEX(Sorgo!$E66:$Z66,MIN(E$6-$E$3,22))&lt;&gt;""),Sorgo!$E66:INDEX(Sorgo!$E66:$Z66,MIN(E$6-$E$3,22))),0))-IF($G$2,0,IF((E$6-$G$3)&lt;1,0,IFERROR(LOOKUP(2,1/(Sorgo!$E66:INDEX(Sorgo!$E66:$Z66,MIN(E$6-$G$3,22))&lt;&gt;""),Sorgo!$E66:INDEX(Sorgo!$E66:$Z66,MIN(E$6-$G$3,22))),0)))))</f>
        <v>0</v>
      </c>
      <c r="F68" s="27" t="n">
        <f aca="false">IF(COUNT(Sorgo!$E66:$Z66)=0,0,MAX(0,IF((F$6-$E$3)&lt;1,0,IFERROR(LOOKUP(2,1/(Sorgo!$E66:INDEX(Sorgo!$E66:$Z66,MIN(F$6-$E$3,22))&lt;&gt;""),Sorgo!$E66:INDEX(Sorgo!$E66:$Z66,MIN(F$6-$E$3,22))),0))-IF($G$2,0,IF((F$6-$G$3)&lt;1,0,IFERROR(LOOKUP(2,1/(Sorgo!$E66:INDEX(Sorgo!$E66:$Z66,MIN(F$6-$G$3,22))&lt;&gt;""),Sorgo!$E66:INDEX(Sorgo!$E66:$Z66,MIN(F$6-$G$3,22))),0)))))</f>
        <v>0</v>
      </c>
      <c r="G68" s="27" t="n">
        <f aca="false">IF(COUNT(Sorgo!$E66:$Z66)=0,0,MAX(0,IF((G$6-$E$3)&lt;1,0,IFERROR(LOOKUP(2,1/(Sorgo!$E66:INDEX(Sorgo!$E66:$Z66,MIN(G$6-$E$3,22))&lt;&gt;""),Sorgo!$E66:INDEX(Sorgo!$E66:$Z66,MIN(G$6-$E$3,22))),0))-IF($G$2,0,IF((G$6-$G$3)&lt;1,0,IFERROR(LOOKUP(2,1/(Sorgo!$E66:INDEX(Sorgo!$E66:$Z66,MIN(G$6-$G$3,22))&lt;&gt;""),Sorgo!$E66:INDEX(Sorgo!$E66:$Z66,MIN(G$6-$G$3,22))),0)))))</f>
        <v>0</v>
      </c>
      <c r="H68" s="27" t="n">
        <f aca="false">IF(COUNT(Sorgo!$E66:$Z66)=0,0,MAX(0,IF((H$6-$E$3)&lt;1,0,IFERROR(LOOKUP(2,1/(Sorgo!$E66:INDEX(Sorgo!$E66:$Z66,MIN(H$6-$E$3,22))&lt;&gt;""),Sorgo!$E66:INDEX(Sorgo!$E66:$Z66,MIN(H$6-$E$3,22))),0))-IF($G$2,0,IF((H$6-$G$3)&lt;1,0,IFERROR(LOOKUP(2,1/(Sorgo!$E66:INDEX(Sorgo!$E66:$Z66,MIN(H$6-$G$3,22))&lt;&gt;""),Sorgo!$E66:INDEX(Sorgo!$E66:$Z66,MIN(H$6-$G$3,22))),0)))))</f>
        <v>0</v>
      </c>
      <c r="I68" s="27" t="n">
        <f aca="false">IF(COUNT(Sorgo!$E66:$Z66)=0,0,MAX(0,IF((I$6-$E$3)&lt;1,0,IFERROR(LOOKUP(2,1/(Sorgo!$E66:INDEX(Sorgo!$E66:$Z66,MIN(I$6-$E$3,22))&lt;&gt;""),Sorgo!$E66:INDEX(Sorgo!$E66:$Z66,MIN(I$6-$E$3,22))),0))-IF($G$2,0,IF((I$6-$G$3)&lt;1,0,IFERROR(LOOKUP(2,1/(Sorgo!$E66:INDEX(Sorgo!$E66:$Z66,MIN(I$6-$G$3,22))&lt;&gt;""),Sorgo!$E66:INDEX(Sorgo!$E66:$Z66,MIN(I$6-$G$3,22))),0)))))</f>
        <v>0</v>
      </c>
      <c r="J68" s="27" t="n">
        <f aca="false">IF(COUNT(Sorgo!$E66:$Z66)=0,0,MAX(0,IF((J$6-$E$3)&lt;1,0,IFERROR(LOOKUP(2,1/(Sorgo!$E66:INDEX(Sorgo!$E66:$Z66,MIN(J$6-$E$3,22))&lt;&gt;""),Sorgo!$E66:INDEX(Sorgo!$E66:$Z66,MIN(J$6-$E$3,22))),0))-IF($G$2,0,IF((J$6-$G$3)&lt;1,0,IFERROR(LOOKUP(2,1/(Sorgo!$E66:INDEX(Sorgo!$E66:$Z66,MIN(J$6-$G$3,22))&lt;&gt;""),Sorgo!$E66:INDEX(Sorgo!$E66:$Z66,MIN(J$6-$G$3,22))),0)))))</f>
        <v>0</v>
      </c>
      <c r="K68" s="27" t="n">
        <f aca="false">IF(COUNT(Sorgo!$E66:$Z66)=0,0,MAX(0,IF((K$6-$E$3)&lt;1,0,IFERROR(LOOKUP(2,1/(Sorgo!$E66:INDEX(Sorgo!$E66:$Z66,MIN(K$6-$E$3,22))&lt;&gt;""),Sorgo!$E66:INDEX(Sorgo!$E66:$Z66,MIN(K$6-$E$3,22))),0))-IF($G$2,0,IF((K$6-$G$3)&lt;1,0,IFERROR(LOOKUP(2,1/(Sorgo!$E66:INDEX(Sorgo!$E66:$Z66,MIN(K$6-$G$3,22))&lt;&gt;""),Sorgo!$E66:INDEX(Sorgo!$E66:$Z66,MIN(K$6-$G$3,22))),0)))))</f>
        <v>0</v>
      </c>
      <c r="L68" s="27" t="n">
        <f aca="false">IF(COUNT(Sorgo!$E66:$Z66)=0,0,MAX(0,IF((L$6-$E$3)&lt;1,0,IFERROR(LOOKUP(2,1/(Sorgo!$E66:INDEX(Sorgo!$E66:$Z66,MIN(L$6-$E$3,22))&lt;&gt;""),Sorgo!$E66:INDEX(Sorgo!$E66:$Z66,MIN(L$6-$E$3,22))),0))-IF($G$2,0,IF((L$6-$G$3)&lt;1,0,IFERROR(LOOKUP(2,1/(Sorgo!$E66:INDEX(Sorgo!$E66:$Z66,MIN(L$6-$G$3,22))&lt;&gt;""),Sorgo!$E66:INDEX(Sorgo!$E66:$Z66,MIN(L$6-$G$3,22))),0)))))</f>
        <v>0</v>
      </c>
      <c r="M68" s="27" t="n">
        <f aca="false">IF(COUNT(Sorgo!$E66:$Z66)=0,0,MAX(0,IF((M$6-$E$3)&lt;1,0,IFERROR(LOOKUP(2,1/(Sorgo!$E66:INDEX(Sorgo!$E66:$Z66,MIN(M$6-$E$3,22))&lt;&gt;""),Sorgo!$E66:INDEX(Sorgo!$E66:$Z66,MIN(M$6-$E$3,22))),0))-IF($G$2,0,IF((M$6-$G$3)&lt;1,0,IFERROR(LOOKUP(2,1/(Sorgo!$E66:INDEX(Sorgo!$E66:$Z66,MIN(M$6-$G$3,22))&lt;&gt;""),Sorgo!$E66:INDEX(Sorgo!$E66:$Z66,MIN(M$6-$G$3,22))),0)))))</f>
        <v>0</v>
      </c>
      <c r="N68" s="27" t="n">
        <f aca="false">IF(COUNT(Sorgo!$E66:$Z66)=0,0,MAX(0,IF((N$6-$E$3)&lt;1,0,IFERROR(LOOKUP(2,1/(Sorgo!$E66:INDEX(Sorgo!$E66:$Z66,MIN(N$6-$E$3,22))&lt;&gt;""),Sorgo!$E66:INDEX(Sorgo!$E66:$Z66,MIN(N$6-$E$3,22))),0))-IF($G$2,0,IF((N$6-$G$3)&lt;1,0,IFERROR(LOOKUP(2,1/(Sorgo!$E66:INDEX(Sorgo!$E66:$Z66,MIN(N$6-$G$3,22))&lt;&gt;""),Sorgo!$E66:INDEX(Sorgo!$E66:$Z66,MIN(N$6-$G$3,22))),0)))))</f>
        <v>0</v>
      </c>
      <c r="O68" s="27" t="n">
        <f aca="false">IF(COUNT(Sorgo!$E66:$Z66)=0,0,MAX(0,IF((O$6-$E$3)&lt;1,0,IFERROR(LOOKUP(2,1/(Sorgo!$E66:INDEX(Sorgo!$E66:$Z66,MIN(O$6-$E$3,22))&lt;&gt;""),Sorgo!$E66:INDEX(Sorgo!$E66:$Z66,MIN(O$6-$E$3,22))),0))-IF($G$2,0,IF((O$6-$G$3)&lt;1,0,IFERROR(LOOKUP(2,1/(Sorgo!$E66:INDEX(Sorgo!$E66:$Z66,MIN(O$6-$G$3,22))&lt;&gt;""),Sorgo!$E66:INDEX(Sorgo!$E66:$Z66,MIN(O$6-$G$3,22))),0)))))</f>
        <v>0</v>
      </c>
      <c r="P68" s="27" t="n">
        <f aca="false">IF(COUNT(Sorgo!$E66:$Z66)=0,0,MAX(0,IF((P$6-$E$3)&lt;1,0,IFERROR(LOOKUP(2,1/(Sorgo!$E66:INDEX(Sorgo!$E66:$Z66,MIN(P$6-$E$3,22))&lt;&gt;""),Sorgo!$E66:INDEX(Sorgo!$E66:$Z66,MIN(P$6-$E$3,22))),0))-IF($G$2,0,IF((P$6-$G$3)&lt;1,0,IFERROR(LOOKUP(2,1/(Sorgo!$E66:INDEX(Sorgo!$E66:$Z66,MIN(P$6-$G$3,22))&lt;&gt;""),Sorgo!$E66:INDEX(Sorgo!$E66:$Z66,MIN(P$6-$G$3,22))),0)))))</f>
        <v>0</v>
      </c>
      <c r="Q68" s="27" t="n">
        <f aca="false">IF(COUNT(Sorgo!$E66:$Z66)=0,0,MAX(0,IF((Q$6-$E$3)&lt;1,0,IFERROR(LOOKUP(2,1/(Sorgo!$E66:INDEX(Sorgo!$E66:$Z66,MIN(Q$6-$E$3,22))&lt;&gt;""),Sorgo!$E66:INDEX(Sorgo!$E66:$Z66,MIN(Q$6-$E$3,22))),0))-IF($G$2,0,IF((Q$6-$G$3)&lt;1,0,IFERROR(LOOKUP(2,1/(Sorgo!$E66:INDEX(Sorgo!$E66:$Z66,MIN(Q$6-$G$3,22))&lt;&gt;""),Sorgo!$E66:INDEX(Sorgo!$E66:$Z66,MIN(Q$6-$G$3,22))),0)))))</f>
        <v>0</v>
      </c>
      <c r="R68" s="27" t="n">
        <f aca="false">IF(COUNT(Sorgo!$E66:$Z66)=0,0,MAX(0,IF((R$6-$E$3)&lt;1,0,IFERROR(LOOKUP(2,1/(Sorgo!$E66:INDEX(Sorgo!$E66:$Z66,MIN(R$6-$E$3,22))&lt;&gt;""),Sorgo!$E66:INDEX(Sorgo!$E66:$Z66,MIN(R$6-$E$3,22))),0))-IF($G$2,0,IF((R$6-$G$3)&lt;1,0,IFERROR(LOOKUP(2,1/(Sorgo!$E66:INDEX(Sorgo!$E66:$Z66,MIN(R$6-$G$3,22))&lt;&gt;""),Sorgo!$E66:INDEX(Sorgo!$E66:$Z66,MIN(R$6-$G$3,22))),0)))))</f>
        <v>0</v>
      </c>
      <c r="S68" s="27" t="n">
        <f aca="false">IF(COUNT(Sorgo!$E66:$Z66)=0,0,MAX(0,IF((S$6-$E$3)&lt;1,0,IFERROR(LOOKUP(2,1/(Sorgo!$E66:INDEX(Sorgo!$E66:$Z66,MIN(S$6-$E$3,22))&lt;&gt;""),Sorgo!$E66:INDEX(Sorgo!$E66:$Z66,MIN(S$6-$E$3,22))),0))-IF($G$2,0,IF((S$6-$G$3)&lt;1,0,IFERROR(LOOKUP(2,1/(Sorgo!$E66:INDEX(Sorgo!$E66:$Z66,MIN(S$6-$G$3,22))&lt;&gt;""),Sorgo!$E66:INDEX(Sorgo!$E66:$Z66,MIN(S$6-$G$3,22))),0)))))</f>
        <v>0</v>
      </c>
      <c r="T68" s="27" t="n">
        <f aca="false">IF(COUNT(Sorgo!$E66:$Z66)=0,0,MAX(0,IF((T$6-$E$3)&lt;1,0,IFERROR(LOOKUP(2,1/(Sorgo!$E66:INDEX(Sorgo!$E66:$Z66,MIN(T$6-$E$3,22))&lt;&gt;""),Sorgo!$E66:INDEX(Sorgo!$E66:$Z66,MIN(T$6-$E$3,22))),0))-IF($G$2,0,IF((T$6-$G$3)&lt;1,0,IFERROR(LOOKUP(2,1/(Sorgo!$E66:INDEX(Sorgo!$E66:$Z66,MIN(T$6-$G$3,22))&lt;&gt;""),Sorgo!$E66:INDEX(Sorgo!$E66:$Z66,MIN(T$6-$G$3,22))),0)))))</f>
        <v>0</v>
      </c>
      <c r="U68" s="27" t="n">
        <f aca="false">IF(COUNT(Sorgo!$E66:$Z66)=0,0,MAX(0,IF((U$6-$E$3)&lt;1,0,IFERROR(LOOKUP(2,1/(Sorgo!$E66:INDEX(Sorgo!$E66:$Z66,MIN(U$6-$E$3,22))&lt;&gt;""),Sorgo!$E66:INDEX(Sorgo!$E66:$Z66,MIN(U$6-$E$3,22))),0))-IF($G$2,0,IF((U$6-$G$3)&lt;1,0,IFERROR(LOOKUP(2,1/(Sorgo!$E66:INDEX(Sorgo!$E66:$Z66,MIN(U$6-$G$3,22))&lt;&gt;""),Sorgo!$E66:INDEX(Sorgo!$E66:$Z66,MIN(U$6-$G$3,22))),0)))))</f>
        <v>0</v>
      </c>
      <c r="V68" s="27" t="n">
        <f aca="false">IF(COUNT(Sorgo!$E66:$Z66)=0,0,MAX(0,IF((V$6-$E$3)&lt;1,0,IFERROR(LOOKUP(2,1/(Sorgo!$E66:INDEX(Sorgo!$E66:$Z66,MIN(V$6-$E$3,22))&lt;&gt;""),Sorgo!$E66:INDEX(Sorgo!$E66:$Z66,MIN(V$6-$E$3,22))),0))-IF($G$2,0,IF((V$6-$G$3)&lt;1,0,IFERROR(LOOKUP(2,1/(Sorgo!$E66:INDEX(Sorgo!$E66:$Z66,MIN(V$6-$G$3,22))&lt;&gt;""),Sorgo!$E66:INDEX(Sorgo!$E66:$Z66,MIN(V$6-$G$3,22))),0)))))</f>
        <v>0</v>
      </c>
      <c r="W68" s="27" t="n">
        <f aca="false">IF(COUNT(Sorgo!$E66:$Z66)=0,0,MAX(0,IF((W$6-$E$3)&lt;1,0,IFERROR(LOOKUP(2,1/(Sorgo!$E66:INDEX(Sorgo!$E66:$Z66,MIN(W$6-$E$3,22))&lt;&gt;""),Sorgo!$E66:INDEX(Sorgo!$E66:$Z66,MIN(W$6-$E$3,22))),0))-IF($G$2,0,IF((W$6-$G$3)&lt;1,0,IFERROR(LOOKUP(2,1/(Sorgo!$E66:INDEX(Sorgo!$E66:$Z66,MIN(W$6-$G$3,22))&lt;&gt;""),Sorgo!$E66:INDEX(Sorgo!$E66:$Z66,MIN(W$6-$G$3,22))),0)))))</f>
        <v>0</v>
      </c>
      <c r="X68" s="27" t="n">
        <f aca="false">IF(COUNT(Sorgo!$E66:$Z66)=0,0,MAX(0,IF((X$6-$E$3)&lt;1,0,IFERROR(LOOKUP(2,1/(Sorgo!$E66:INDEX(Sorgo!$E66:$Z66,MIN(X$6-$E$3,22))&lt;&gt;""),Sorgo!$E66:INDEX(Sorgo!$E66:$Z66,MIN(X$6-$E$3,22))),0))-IF($G$2,0,IF((X$6-$G$3)&lt;1,0,IFERROR(LOOKUP(2,1/(Sorgo!$E66:INDEX(Sorgo!$E66:$Z66,MIN(X$6-$G$3,22))&lt;&gt;""),Sorgo!$E66:INDEX(Sorgo!$E66:$Z66,MIN(X$6-$G$3,22))),0)))))</f>
        <v>0</v>
      </c>
      <c r="Y68" s="27" t="n">
        <f aca="false">IF(COUNT(Sorgo!$E66:$Z66)=0,0,MAX(0,IF((Y$6-$E$3)&lt;1,0,IFERROR(LOOKUP(2,1/(Sorgo!$E66:INDEX(Sorgo!$E66:$Z66,MIN(Y$6-$E$3,22))&lt;&gt;""),Sorgo!$E66:INDEX(Sorgo!$E66:$Z66,MIN(Y$6-$E$3,22))),0))-IF($G$2,0,IF((Y$6-$G$3)&lt;1,0,IFERROR(LOOKUP(2,1/(Sorgo!$E66:INDEX(Sorgo!$E66:$Z66,MIN(Y$6-$G$3,22))&lt;&gt;""),Sorgo!$E66:INDEX(Sorgo!$E66:$Z66,MIN(Y$6-$G$3,22))),0)))))</f>
        <v>0</v>
      </c>
      <c r="Z68" s="27" t="n">
        <f aca="false">IF(COUNT(Sorgo!$E66:$Z66)=0,0,MAX(0,IF((Z$6-$E$3)&lt;1,0,IFERROR(LOOKUP(2,1/(Sorgo!$E66:INDEX(Sorgo!$E66:$Z66,MIN(Z$6-$E$3,22))&lt;&gt;""),Sorgo!$E66:INDEX(Sorgo!$E66:$Z66,MIN(Z$6-$E$3,22))),0))-IF($G$2,0,IF((Z$6-$G$3)&lt;1,0,IFERROR(LOOKUP(2,1/(Sorgo!$E66:INDEX(Sorgo!$E66:$Z66,MIN(Z$6-$G$3,22))&lt;&gt;""),Sorgo!$E66:INDEX(Sorgo!$E66:$Z66,MIN(Z$6-$G$3,22))),0)))))</f>
        <v>0</v>
      </c>
      <c r="AA68" s="27" t="n">
        <f aca="false">IF(COUNT(Sorgo!$E66:$Z66)=0,0,MAX(0,IF((AA$6-$E$3)&lt;1,0,IFERROR(LOOKUP(2,1/(Sorgo!$E66:INDEX(Sorgo!$E66:$Z66,MIN(AA$6-$E$3,22))&lt;&gt;""),Sorgo!$E66:INDEX(Sorgo!$E66:$Z66,MIN(AA$6-$E$3,22))),0))-IF($G$2,0,IF((AA$6-$G$3)&lt;1,0,IFERROR(LOOKUP(2,1/(Sorgo!$E66:INDEX(Sorgo!$E66:$Z66,MIN(AA$6-$G$3,22))&lt;&gt;""),Sorgo!$E66:INDEX(Sorgo!$E66:$Z66,MIN(AA$6-$G$3,22))),0)))))</f>
        <v>0</v>
      </c>
      <c r="AB68" s="27" t="n">
        <f aca="false">IF(COUNT(Sorgo!$E66:$Z66)=0,0,MAX(0,IF((AB$6-$E$3)&lt;1,0,IFERROR(LOOKUP(2,1/(Sorgo!$E66:INDEX(Sorgo!$E66:$Z66,MIN(AB$6-$E$3,22))&lt;&gt;""),Sorgo!$E66:INDEX(Sorgo!$E66:$Z66,MIN(AB$6-$E$3,22))),0))-IF($G$2,0,IF((AB$6-$G$3)&lt;1,0,IFERROR(LOOKUP(2,1/(Sorgo!$E66:INDEX(Sorgo!$E66:$Z66,MIN(AB$6-$G$3,22))&lt;&gt;""),Sorgo!$E66:INDEX(Sorgo!$E66:$Z66,MIN(AB$6-$G$3,22))),0)))))</f>
        <v>0</v>
      </c>
      <c r="AC68" s="27" t="n">
        <f aca="false">IF(COUNT(Sorgo!$E66:$Z66)=0,0,MAX(0,IF((AC$6-$E$3)&lt;1,0,IFERROR(LOOKUP(2,1/(Sorgo!$E66:INDEX(Sorgo!$E66:$Z66,MIN(AC$6-$E$3,22))&lt;&gt;""),Sorgo!$E66:INDEX(Sorgo!$E66:$Z66,MIN(AC$6-$E$3,22))),0))-IF($G$2,0,IF((AC$6-$G$3)&lt;1,0,IFERROR(LOOKUP(2,1/(Sorgo!$E66:INDEX(Sorgo!$E66:$Z66,MIN(AC$6-$G$3,22))&lt;&gt;""),Sorgo!$E66:INDEX(Sorgo!$E66:$Z66,MIN(AC$6-$G$3,22))),0)))))</f>
        <v>0</v>
      </c>
      <c r="AD68" s="27" t="n">
        <f aca="false">IF(COUNT(Sorgo!$E66:$Z66)=0,0,MAX(0,IF((AD$6-$E$3)&lt;1,0,IFERROR(LOOKUP(2,1/(Sorgo!$E66:INDEX(Sorgo!$E66:$Z66,MIN(AD$6-$E$3,22))&lt;&gt;""),Sorgo!$E66:INDEX(Sorgo!$E66:$Z66,MIN(AD$6-$E$3,22))),0))-IF($G$2,0,IF((AD$6-$G$3)&lt;1,0,IFERROR(LOOKUP(2,1/(Sorgo!$E66:INDEX(Sorgo!$E66:$Z66,MIN(AD$6-$G$3,22))&lt;&gt;""),Sorgo!$E66:INDEX(Sorgo!$E66:$Z66,MIN(AD$6-$G$3,22))),0)))))</f>
        <v>0</v>
      </c>
      <c r="AE68" s="27" t="n">
        <f aca="false">IF(COUNT(Sorgo!$E66:$Z66)=0,0,MAX(0,IF((AE$6-$E$3)&lt;1,0,IFERROR(LOOKUP(2,1/(Sorgo!$E66:INDEX(Sorgo!$E66:$Z66,MIN(AE$6-$E$3,22))&lt;&gt;""),Sorgo!$E66:INDEX(Sorgo!$E66:$Z66,MIN(AE$6-$E$3,22))),0))-IF($G$2,0,IF((AE$6-$G$3)&lt;1,0,IFERROR(LOOKUP(2,1/(Sorgo!$E66:INDEX(Sorgo!$E66:$Z66,MIN(AE$6-$G$3,22))&lt;&gt;""),Sorgo!$E66:INDEX(Sorgo!$E66:$Z66,MIN(AE$6-$G$3,22))),0)))))</f>
        <v>0</v>
      </c>
      <c r="AF68" s="27" t="n">
        <f aca="false">IF(COUNT(Sorgo!$E66:$Z66)=0,0,MAX(0,IF((AF$6-$E$3)&lt;1,0,IFERROR(LOOKUP(2,1/(Sorgo!$E66:INDEX(Sorgo!$E66:$Z66,MIN(AF$6-$E$3,22))&lt;&gt;""),Sorgo!$E66:INDEX(Sorgo!$E66:$Z66,MIN(AF$6-$E$3,22))),0))-IF($G$2,0,IF((AF$6-$G$3)&lt;1,0,IFERROR(LOOKUP(2,1/(Sorgo!$E66:INDEX(Sorgo!$E66:$Z66,MIN(AF$6-$G$3,22))&lt;&gt;""),Sorgo!$E66:INDEX(Sorgo!$E66:$Z66,MIN(AF$6-$G$3,22))),0)))))</f>
        <v>0</v>
      </c>
      <c r="AG68" s="27" t="n">
        <f aca="false">IF(COUNT(Sorgo!$E66:$Z66)=0,0,MAX(0,IF((AG$6-$E$3)&lt;1,0,IFERROR(LOOKUP(2,1/(Sorgo!$E66:INDEX(Sorgo!$E66:$Z66,MIN(AG$6-$E$3,22))&lt;&gt;""),Sorgo!$E66:INDEX(Sorgo!$E66:$Z66,MIN(AG$6-$E$3,22))),0))-IF($G$2,0,IF((AG$6-$G$3)&lt;1,0,IFERROR(LOOKUP(2,1/(Sorgo!$E66:INDEX(Sorgo!$E66:$Z66,MIN(AG$6-$G$3,22))&lt;&gt;""),Sorgo!$E66:INDEX(Sorgo!$E66:$Z66,MIN(AG$6-$G$3,22))),0)))))</f>
        <v>0</v>
      </c>
      <c r="AH68" s="27" t="n">
        <f aca="false">IF(COUNT(Sorgo!$E66:$Z66)=0,0,MAX(0,IF((AH$6-$E$3)&lt;1,0,IFERROR(LOOKUP(2,1/(Sorgo!$E66:INDEX(Sorgo!$E66:$Z66,MIN(AH$6-$E$3,22))&lt;&gt;""),Sorgo!$E66:INDEX(Sorgo!$E66:$Z66,MIN(AH$6-$E$3,22))),0))-IF($G$2,0,IF((AH$6-$G$3)&lt;1,0,IFERROR(LOOKUP(2,1/(Sorgo!$E66:INDEX(Sorgo!$E66:$Z66,MIN(AH$6-$G$3,22))&lt;&gt;""),Sorgo!$E66:INDEX(Sorgo!$E66:$Z66,MIN(AH$6-$G$3,22))),0)))))</f>
        <v>0</v>
      </c>
      <c r="AI68" s="27" t="n">
        <f aca="false">IF(COUNT(Sorgo!$E66:$Z66)=0,0,MAX(0,IF((AI$6-$E$3)&lt;1,0,IFERROR(LOOKUP(2,1/(Sorgo!$E66:INDEX(Sorgo!$E66:$Z66,MIN(AI$6-$E$3,22))&lt;&gt;""),Sorgo!$E66:INDEX(Sorgo!$E66:$Z66,MIN(AI$6-$E$3,22))),0))-IF($G$2,0,IF((AI$6-$G$3)&lt;1,0,IFERROR(LOOKUP(2,1/(Sorgo!$E66:INDEX(Sorgo!$E66:$Z66,MIN(AI$6-$G$3,22))&lt;&gt;""),Sorgo!$E66:INDEX(Sorgo!$E66:$Z66,MIN(AI$6-$G$3,22))),0)))))</f>
        <v>0</v>
      </c>
      <c r="AJ68" s="27" t="n">
        <f aca="false">IF(COUNT(Sorgo!$E66:$Z66)=0,0,MAX(0,IF((AJ$6-$E$3)&lt;1,0,IFERROR(LOOKUP(2,1/(Sorgo!$E66:INDEX(Sorgo!$E66:$Z66,MIN(AJ$6-$E$3,22))&lt;&gt;""),Sorgo!$E66:INDEX(Sorgo!$E66:$Z66,MIN(AJ$6-$E$3,22))),0))-IF($G$2,0,IF((AJ$6-$G$3)&lt;1,0,IFERROR(LOOKUP(2,1/(Sorgo!$E66:INDEX(Sorgo!$E66:$Z66,MIN(AJ$6-$G$3,22))&lt;&gt;""),Sorgo!$E66:INDEX(Sorgo!$E66:$Z66,MIN(AJ$6-$G$3,22))),0)))))</f>
        <v>0</v>
      </c>
      <c r="AK68" s="27" t="n">
        <f aca="false">IF(COUNT(Sorgo!$E66:$Z66)=0,0,MAX(0,IF((AK$6-$E$3)&lt;1,0,IFERROR(LOOKUP(2,1/(Sorgo!$E66:INDEX(Sorgo!$E66:$Z66,MIN(AK$6-$E$3,22))&lt;&gt;""),Sorgo!$E66:INDEX(Sorgo!$E66:$Z66,MIN(AK$6-$E$3,22))),0))-IF($G$2,0,IF((AK$6-$G$3)&lt;1,0,IFERROR(LOOKUP(2,1/(Sorgo!$E66:INDEX(Sorgo!$E66:$Z66,MIN(AK$6-$G$3,22))&lt;&gt;""),Sorgo!$E66:INDEX(Sorgo!$E66:$Z66,MIN(AK$6-$G$3,22))),0)))))</f>
        <v>0</v>
      </c>
      <c r="AL68" s="27" t="n">
        <f aca="false">IF(COUNT(Sorgo!$E66:$Z66)=0,0,MAX(0,IF((AL$6-$E$3)&lt;1,0,IFERROR(LOOKUP(2,1/(Sorgo!$E66:INDEX(Sorgo!$E66:$Z66,MIN(AL$6-$E$3,22))&lt;&gt;""),Sorgo!$E66:INDEX(Sorgo!$E66:$Z66,MIN(AL$6-$E$3,22))),0))-IF($G$2,0,IF((AL$6-$G$3)&lt;1,0,IFERROR(LOOKUP(2,1/(Sorgo!$E66:INDEX(Sorgo!$E66:$Z66,MIN(AL$6-$G$3,22))&lt;&gt;""),Sorgo!$E66:INDEX(Sorgo!$E66:$Z66,MIN(AL$6-$G$3,22))),0)))))</f>
        <v>0</v>
      </c>
      <c r="AM68" s="27" t="n">
        <f aca="false">IF(COUNT(Sorgo!$E66:$Z66)=0,0,MAX(0,IF((AM$6-$E$3)&lt;1,0,IFERROR(LOOKUP(2,1/(Sorgo!$E66:INDEX(Sorgo!$E66:$Z66,MIN(AM$6-$E$3,22))&lt;&gt;""),Sorgo!$E66:INDEX(Sorgo!$E66:$Z66,MIN(AM$6-$E$3,22))),0))-IF($G$2,0,IF((AM$6-$G$3)&lt;1,0,IFERROR(LOOKUP(2,1/(Sorgo!$E66:INDEX(Sorgo!$E66:$Z66,MIN(AM$6-$G$3,22))&lt;&gt;""),Sorgo!$E66:INDEX(Sorgo!$E66:$Z66,MIN(AM$6-$G$3,22))),0)))))</f>
        <v>0</v>
      </c>
      <c r="AN68" s="27" t="n">
        <f aca="false">IF(COUNT(Sorgo!$E66:$Z66)=0,0,MAX(0,IF((AN$6-$E$3)&lt;1,0,IFERROR(LOOKUP(2,1/(Sorgo!$E66:INDEX(Sorgo!$E66:$Z66,MIN(AN$6-$E$3,22))&lt;&gt;""),Sorgo!$E66:INDEX(Sorgo!$E66:$Z66,MIN(AN$6-$E$3,22))),0))-IF($G$2,0,IF((AN$6-$G$3)&lt;1,0,IFERROR(LOOKUP(2,1/(Sorgo!$E66:INDEX(Sorgo!$E66:$Z66,MIN(AN$6-$G$3,22))&lt;&gt;""),Sorgo!$E66:INDEX(Sorgo!$E66:$Z66,MIN(AN$6-$G$3,22))),0)))))</f>
        <v>0</v>
      </c>
      <c r="AO68" s="27" t="n">
        <f aca="false">IF(COUNT(Sorgo!$E66:$Z66)=0,0,MAX(0,IF((AO$6-$E$3)&lt;1,0,IFERROR(LOOKUP(2,1/(Sorgo!$E66:INDEX(Sorgo!$E66:$Z66,MIN(AO$6-$E$3,22))&lt;&gt;""),Sorgo!$E66:INDEX(Sorgo!$E66:$Z66,MIN(AO$6-$E$3,22))),0))-IF($G$2,0,IF((AO$6-$G$3)&lt;1,0,IFERROR(LOOKUP(2,1/(Sorgo!$E66:INDEX(Sorgo!$E66:$Z66,MIN(AO$6-$G$3,22))&lt;&gt;""),Sorgo!$E66:INDEX(Sorgo!$E66:$Z66,MIN(AO$6-$G$3,22))),0)))))</f>
        <v>0</v>
      </c>
      <c r="AP68" s="27" t="n">
        <f aca="false">IF(COUNT(Sorgo!$E66:$Z66)=0,0,MAX(0,IF((AP$6-$E$3)&lt;1,0,IFERROR(LOOKUP(2,1/(Sorgo!$E66:INDEX(Sorgo!$E66:$Z66,MIN(AP$6-$E$3,22))&lt;&gt;""),Sorgo!$E66:INDEX(Sorgo!$E66:$Z66,MIN(AP$6-$E$3,22))),0))-IF($G$2,0,IF((AP$6-$G$3)&lt;1,0,IFERROR(LOOKUP(2,1/(Sorgo!$E66:INDEX(Sorgo!$E66:$Z66,MIN(AP$6-$G$3,22))&lt;&gt;""),Sorgo!$E66:INDEX(Sorgo!$E66:$Z66,MIN(AP$6-$G$3,22))),0)))))</f>
        <v>0</v>
      </c>
      <c r="AQ68" s="27" t="n">
        <f aca="false">IF(COUNT(Sorgo!$E66:$Z66)=0,0,MAX(0,IF((AQ$6-$E$3)&lt;1,0,IFERROR(LOOKUP(2,1/(Sorgo!$E66:INDEX(Sorgo!$E66:$Z66,MIN(AQ$6-$E$3,22))&lt;&gt;""),Sorgo!$E66:INDEX(Sorgo!$E66:$Z66,MIN(AQ$6-$E$3,22))),0))-IF($G$2,0,IF((AQ$6-$G$3)&lt;1,0,IFERROR(LOOKUP(2,1/(Sorgo!$E66:INDEX(Sorgo!$E66:$Z66,MIN(AQ$6-$G$3,22))&lt;&gt;""),Sorgo!$E66:INDEX(Sorgo!$E66:$Z66,MIN(AQ$6-$G$3,22))),0)))))</f>
        <v>0</v>
      </c>
      <c r="AR68" s="27" t="n">
        <f aca="false">IF(COUNT(Sorgo!$E66:$Z66)=0,0,MAX(0,IF((AR$6-$E$3)&lt;1,0,IFERROR(LOOKUP(2,1/(Sorgo!$E66:INDEX(Sorgo!$E66:$Z66,MIN(AR$6-$E$3,22))&lt;&gt;""),Sorgo!$E66:INDEX(Sorgo!$E66:$Z66,MIN(AR$6-$E$3,22))),0))-IF($G$2,0,IF((AR$6-$G$3)&lt;1,0,IFERROR(LOOKUP(2,1/(Sorgo!$E66:INDEX(Sorgo!$E66:$Z66,MIN(AR$6-$G$3,22))&lt;&gt;""),Sorgo!$E66:INDEX(Sorgo!$E66:$Z66,MIN(AR$6-$G$3,22))),0)))))</f>
        <v>0</v>
      </c>
      <c r="AS68" s="27" t="n">
        <f aca="false">IF(COUNT(Sorgo!$E66:$Z66)=0,0,MAX(0,IF((AS$6-$E$3)&lt;1,0,IFERROR(LOOKUP(2,1/(Sorgo!$E66:INDEX(Sorgo!$E66:$Z66,MIN(AS$6-$E$3,22))&lt;&gt;""),Sorgo!$E66:INDEX(Sorgo!$E66:$Z66,MIN(AS$6-$E$3,22))),0))-IF($G$2,0,IF((AS$6-$G$3)&lt;1,0,IFERROR(LOOKUP(2,1/(Sorgo!$E66:INDEX(Sorgo!$E66:$Z66,MIN(AS$6-$G$3,22))&lt;&gt;""),Sorgo!$E66:INDEX(Sorgo!$E66:$Z66,MIN(AS$6-$G$3,22))),0)))))</f>
        <v>0</v>
      </c>
      <c r="AT68" s="27" t="n">
        <f aca="false">IF(COUNT(Sorgo!$E66:$Z66)=0,0,MAX(0,IF((AT$6-$E$3)&lt;1,0,IFERROR(LOOKUP(2,1/(Sorgo!$E66:INDEX(Sorgo!$E66:$Z66,MIN(AT$6-$E$3,22))&lt;&gt;""),Sorgo!$E66:INDEX(Sorgo!$E66:$Z66,MIN(AT$6-$E$3,22))),0))-IF($G$2,0,IF((AT$6-$G$3)&lt;1,0,IFERROR(LOOKUP(2,1/(Sorgo!$E66:INDEX(Sorgo!$E66:$Z66,MIN(AT$6-$G$3,22))&lt;&gt;""),Sorgo!$E66:INDEX(Sorgo!$E66:$Z66,MIN(AT$6-$G$3,22))),0)))))</f>
        <v>0</v>
      </c>
      <c r="AU68" s="27" t="n">
        <f aca="false">IF(COUNT(Sorgo!$E66:$Z66)=0,0,MAX(0,IF((AU$6-$E$3)&lt;1,0,IFERROR(LOOKUP(2,1/(Sorgo!$E66:INDEX(Sorgo!$E66:$Z66,MIN(AU$6-$E$3,22))&lt;&gt;""),Sorgo!$E66:INDEX(Sorgo!$E66:$Z66,MIN(AU$6-$E$3,22))),0))-IF($G$2,0,IF((AU$6-$G$3)&lt;1,0,IFERROR(LOOKUP(2,1/(Sorgo!$E66:INDEX(Sorgo!$E66:$Z66,MIN(AU$6-$G$3,22))&lt;&gt;""),Sorgo!$E66:INDEX(Sorgo!$E66:$Z66,MIN(AU$6-$G$3,22))),0)))))</f>
        <v>0</v>
      </c>
      <c r="AV68" s="27" t="n">
        <f aca="false">IF(COUNT(Sorgo!$E66:$Z66)=0,0,MAX(0,IF((AV$6-$E$3)&lt;1,0,IFERROR(LOOKUP(2,1/(Sorgo!$E66:INDEX(Sorgo!$E66:$Z66,MIN(AV$6-$E$3,22))&lt;&gt;""),Sorgo!$E66:INDEX(Sorgo!$E66:$Z66,MIN(AV$6-$E$3,22))),0))-IF($G$2,0,IF((AV$6-$G$3)&lt;1,0,IFERROR(LOOKUP(2,1/(Sorgo!$E66:INDEX(Sorgo!$E66:$Z66,MIN(AV$6-$G$3,22))&lt;&gt;""),Sorgo!$E66:INDEX(Sorgo!$E66:$Z66,MIN(AV$6-$G$3,22))),0)))))</f>
        <v>0</v>
      </c>
      <c r="AW68" s="27" t="n">
        <f aca="false">IF(COUNT(Sorgo!$E66:$Z66)=0,0,MAX(0,IF((AW$6-$E$3)&lt;1,0,IFERROR(LOOKUP(2,1/(Sorgo!$E66:INDEX(Sorgo!$E66:$Z66,MIN(AW$6-$E$3,22))&lt;&gt;""),Sorgo!$E66:INDEX(Sorgo!$E66:$Z66,MIN(AW$6-$E$3,22))),0))-IF($G$2,0,IF((AW$6-$G$3)&lt;1,0,IFERROR(LOOKUP(2,1/(Sorgo!$E66:INDEX(Sorgo!$E66:$Z66,MIN(AW$6-$G$3,22))&lt;&gt;""),Sorgo!$E66:INDEX(Sorgo!$E66:$Z66,MIN(AW$6-$G$3,22))),0)))))</f>
        <v>0</v>
      </c>
      <c r="AX68" s="27" t="n">
        <f aca="false">IF(COUNT(Sorgo!$E66:$Z66)=0,0,MAX(0,IF((AX$6-$E$3)&lt;1,0,IFERROR(LOOKUP(2,1/(Sorgo!$E66:INDEX(Sorgo!$E66:$Z66,MIN(AX$6-$E$3,22))&lt;&gt;""),Sorgo!$E66:INDEX(Sorgo!$E66:$Z66,MIN(AX$6-$E$3,22))),0))-IF($G$2,0,IF((AX$6-$G$3)&lt;1,0,IFERROR(LOOKUP(2,1/(Sorgo!$E66:INDEX(Sorgo!$E66:$Z66,MIN(AX$6-$G$3,22))&lt;&gt;""),Sorgo!$E66:INDEX(Sorgo!$E66:$Z66,MIN(AX$6-$G$3,22))),0)))))</f>
        <v>0</v>
      </c>
      <c r="AY68" s="27" t="n">
        <f aca="false">IF(COUNT(Sorgo!$E66:$Z66)=0,0,MAX(0,IF((AY$6-$E$3)&lt;1,0,IFERROR(LOOKUP(2,1/(Sorgo!$E66:INDEX(Sorgo!$E66:$Z66,MIN(AY$6-$E$3,22))&lt;&gt;""),Sorgo!$E66:INDEX(Sorgo!$E66:$Z66,MIN(AY$6-$E$3,22))),0))-IF($G$2,0,IF((AY$6-$G$3)&lt;1,0,IFERROR(LOOKUP(2,1/(Sorgo!$E66:INDEX(Sorgo!$E66:$Z66,MIN(AY$6-$G$3,22))&lt;&gt;""),Sorgo!$E66:INDEX(Sorgo!$E66:$Z66,MIN(AY$6-$G$3,22))),0)))))</f>
        <v>0</v>
      </c>
      <c r="AZ68" s="27" t="n">
        <f aca="false">IF(COUNT(Sorgo!$E66:$Z66)=0,0,MAX(0,IF((AZ$6-$E$3)&lt;1,0,IFERROR(LOOKUP(2,1/(Sorgo!$E66:INDEX(Sorgo!$E66:$Z66,MIN(AZ$6-$E$3,22))&lt;&gt;""),Sorgo!$E66:INDEX(Sorgo!$E66:$Z66,MIN(AZ$6-$E$3,22))),0))-IF($G$2,0,IF((AZ$6-$G$3)&lt;1,0,IFERROR(LOOKUP(2,1/(Sorgo!$E66:INDEX(Sorgo!$E66:$Z66,MIN(AZ$6-$G$3,22))&lt;&gt;""),Sorgo!$E66:INDEX(Sorgo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IF(COUNT(Sorgo!$E67:$Z67)&gt;0,N(Sorgo!$D67),0)</f>
        <v>0</v>
      </c>
      <c r="E69" s="27" t="n">
        <f aca="false">IF(COUNT(Sorgo!$E67:$Z67)=0,0,MAX(0,IF((E$6-$E$3)&lt;1,0,IFERROR(LOOKUP(2,1/(Sorgo!$E67:INDEX(Sorgo!$E67:$Z67,MIN(E$6-$E$3,22))&lt;&gt;""),Sorgo!$E67:INDEX(Sorgo!$E67:$Z67,MIN(E$6-$E$3,22))),0))-IF($G$2,0,IF((E$6-$G$3)&lt;1,0,IFERROR(LOOKUP(2,1/(Sorgo!$E67:INDEX(Sorgo!$E67:$Z67,MIN(E$6-$G$3,22))&lt;&gt;""),Sorgo!$E67:INDEX(Sorgo!$E67:$Z67,MIN(E$6-$G$3,22))),0)))))</f>
        <v>0</v>
      </c>
      <c r="F69" s="27" t="n">
        <f aca="false">IF(COUNT(Sorgo!$E67:$Z67)=0,0,MAX(0,IF((F$6-$E$3)&lt;1,0,IFERROR(LOOKUP(2,1/(Sorgo!$E67:INDEX(Sorgo!$E67:$Z67,MIN(F$6-$E$3,22))&lt;&gt;""),Sorgo!$E67:INDEX(Sorgo!$E67:$Z67,MIN(F$6-$E$3,22))),0))-IF($G$2,0,IF((F$6-$G$3)&lt;1,0,IFERROR(LOOKUP(2,1/(Sorgo!$E67:INDEX(Sorgo!$E67:$Z67,MIN(F$6-$G$3,22))&lt;&gt;""),Sorgo!$E67:INDEX(Sorgo!$E67:$Z67,MIN(F$6-$G$3,22))),0)))))</f>
        <v>0</v>
      </c>
      <c r="G69" s="27" t="n">
        <f aca="false">IF(COUNT(Sorgo!$E67:$Z67)=0,0,MAX(0,IF((G$6-$E$3)&lt;1,0,IFERROR(LOOKUP(2,1/(Sorgo!$E67:INDEX(Sorgo!$E67:$Z67,MIN(G$6-$E$3,22))&lt;&gt;""),Sorgo!$E67:INDEX(Sorgo!$E67:$Z67,MIN(G$6-$E$3,22))),0))-IF($G$2,0,IF((G$6-$G$3)&lt;1,0,IFERROR(LOOKUP(2,1/(Sorgo!$E67:INDEX(Sorgo!$E67:$Z67,MIN(G$6-$G$3,22))&lt;&gt;""),Sorgo!$E67:INDEX(Sorgo!$E67:$Z67,MIN(G$6-$G$3,22))),0)))))</f>
        <v>0</v>
      </c>
      <c r="H69" s="27" t="n">
        <f aca="false">IF(COUNT(Sorgo!$E67:$Z67)=0,0,MAX(0,IF((H$6-$E$3)&lt;1,0,IFERROR(LOOKUP(2,1/(Sorgo!$E67:INDEX(Sorgo!$E67:$Z67,MIN(H$6-$E$3,22))&lt;&gt;""),Sorgo!$E67:INDEX(Sorgo!$E67:$Z67,MIN(H$6-$E$3,22))),0))-IF($G$2,0,IF((H$6-$G$3)&lt;1,0,IFERROR(LOOKUP(2,1/(Sorgo!$E67:INDEX(Sorgo!$E67:$Z67,MIN(H$6-$G$3,22))&lt;&gt;""),Sorgo!$E67:INDEX(Sorgo!$E67:$Z67,MIN(H$6-$G$3,22))),0)))))</f>
        <v>0</v>
      </c>
      <c r="I69" s="27" t="n">
        <f aca="false">IF(COUNT(Sorgo!$E67:$Z67)=0,0,MAX(0,IF((I$6-$E$3)&lt;1,0,IFERROR(LOOKUP(2,1/(Sorgo!$E67:INDEX(Sorgo!$E67:$Z67,MIN(I$6-$E$3,22))&lt;&gt;""),Sorgo!$E67:INDEX(Sorgo!$E67:$Z67,MIN(I$6-$E$3,22))),0))-IF($G$2,0,IF((I$6-$G$3)&lt;1,0,IFERROR(LOOKUP(2,1/(Sorgo!$E67:INDEX(Sorgo!$E67:$Z67,MIN(I$6-$G$3,22))&lt;&gt;""),Sorgo!$E67:INDEX(Sorgo!$E67:$Z67,MIN(I$6-$G$3,22))),0)))))</f>
        <v>0</v>
      </c>
      <c r="J69" s="27" t="n">
        <f aca="false">IF(COUNT(Sorgo!$E67:$Z67)=0,0,MAX(0,IF((J$6-$E$3)&lt;1,0,IFERROR(LOOKUP(2,1/(Sorgo!$E67:INDEX(Sorgo!$E67:$Z67,MIN(J$6-$E$3,22))&lt;&gt;""),Sorgo!$E67:INDEX(Sorgo!$E67:$Z67,MIN(J$6-$E$3,22))),0))-IF($G$2,0,IF((J$6-$G$3)&lt;1,0,IFERROR(LOOKUP(2,1/(Sorgo!$E67:INDEX(Sorgo!$E67:$Z67,MIN(J$6-$G$3,22))&lt;&gt;""),Sorgo!$E67:INDEX(Sorgo!$E67:$Z67,MIN(J$6-$G$3,22))),0)))))</f>
        <v>0</v>
      </c>
      <c r="K69" s="27" t="n">
        <f aca="false">IF(COUNT(Sorgo!$E67:$Z67)=0,0,MAX(0,IF((K$6-$E$3)&lt;1,0,IFERROR(LOOKUP(2,1/(Sorgo!$E67:INDEX(Sorgo!$E67:$Z67,MIN(K$6-$E$3,22))&lt;&gt;""),Sorgo!$E67:INDEX(Sorgo!$E67:$Z67,MIN(K$6-$E$3,22))),0))-IF($G$2,0,IF((K$6-$G$3)&lt;1,0,IFERROR(LOOKUP(2,1/(Sorgo!$E67:INDEX(Sorgo!$E67:$Z67,MIN(K$6-$G$3,22))&lt;&gt;""),Sorgo!$E67:INDEX(Sorgo!$E67:$Z67,MIN(K$6-$G$3,22))),0)))))</f>
        <v>0</v>
      </c>
      <c r="L69" s="27" t="n">
        <f aca="false">IF(COUNT(Sorgo!$E67:$Z67)=0,0,MAX(0,IF((L$6-$E$3)&lt;1,0,IFERROR(LOOKUP(2,1/(Sorgo!$E67:INDEX(Sorgo!$E67:$Z67,MIN(L$6-$E$3,22))&lt;&gt;""),Sorgo!$E67:INDEX(Sorgo!$E67:$Z67,MIN(L$6-$E$3,22))),0))-IF($G$2,0,IF((L$6-$G$3)&lt;1,0,IFERROR(LOOKUP(2,1/(Sorgo!$E67:INDEX(Sorgo!$E67:$Z67,MIN(L$6-$G$3,22))&lt;&gt;""),Sorgo!$E67:INDEX(Sorgo!$E67:$Z67,MIN(L$6-$G$3,22))),0)))))</f>
        <v>0</v>
      </c>
      <c r="M69" s="27" t="n">
        <f aca="false">IF(COUNT(Sorgo!$E67:$Z67)=0,0,MAX(0,IF((M$6-$E$3)&lt;1,0,IFERROR(LOOKUP(2,1/(Sorgo!$E67:INDEX(Sorgo!$E67:$Z67,MIN(M$6-$E$3,22))&lt;&gt;""),Sorgo!$E67:INDEX(Sorgo!$E67:$Z67,MIN(M$6-$E$3,22))),0))-IF($G$2,0,IF((M$6-$G$3)&lt;1,0,IFERROR(LOOKUP(2,1/(Sorgo!$E67:INDEX(Sorgo!$E67:$Z67,MIN(M$6-$G$3,22))&lt;&gt;""),Sorgo!$E67:INDEX(Sorgo!$E67:$Z67,MIN(M$6-$G$3,22))),0)))))</f>
        <v>0</v>
      </c>
      <c r="N69" s="27" t="n">
        <f aca="false">IF(COUNT(Sorgo!$E67:$Z67)=0,0,MAX(0,IF((N$6-$E$3)&lt;1,0,IFERROR(LOOKUP(2,1/(Sorgo!$E67:INDEX(Sorgo!$E67:$Z67,MIN(N$6-$E$3,22))&lt;&gt;""),Sorgo!$E67:INDEX(Sorgo!$E67:$Z67,MIN(N$6-$E$3,22))),0))-IF($G$2,0,IF((N$6-$G$3)&lt;1,0,IFERROR(LOOKUP(2,1/(Sorgo!$E67:INDEX(Sorgo!$E67:$Z67,MIN(N$6-$G$3,22))&lt;&gt;""),Sorgo!$E67:INDEX(Sorgo!$E67:$Z67,MIN(N$6-$G$3,22))),0)))))</f>
        <v>0</v>
      </c>
      <c r="O69" s="27" t="n">
        <f aca="false">IF(COUNT(Sorgo!$E67:$Z67)=0,0,MAX(0,IF((O$6-$E$3)&lt;1,0,IFERROR(LOOKUP(2,1/(Sorgo!$E67:INDEX(Sorgo!$E67:$Z67,MIN(O$6-$E$3,22))&lt;&gt;""),Sorgo!$E67:INDEX(Sorgo!$E67:$Z67,MIN(O$6-$E$3,22))),0))-IF($G$2,0,IF((O$6-$G$3)&lt;1,0,IFERROR(LOOKUP(2,1/(Sorgo!$E67:INDEX(Sorgo!$E67:$Z67,MIN(O$6-$G$3,22))&lt;&gt;""),Sorgo!$E67:INDEX(Sorgo!$E67:$Z67,MIN(O$6-$G$3,22))),0)))))</f>
        <v>0</v>
      </c>
      <c r="P69" s="27" t="n">
        <f aca="false">IF(COUNT(Sorgo!$E67:$Z67)=0,0,MAX(0,IF((P$6-$E$3)&lt;1,0,IFERROR(LOOKUP(2,1/(Sorgo!$E67:INDEX(Sorgo!$E67:$Z67,MIN(P$6-$E$3,22))&lt;&gt;""),Sorgo!$E67:INDEX(Sorgo!$E67:$Z67,MIN(P$6-$E$3,22))),0))-IF($G$2,0,IF((P$6-$G$3)&lt;1,0,IFERROR(LOOKUP(2,1/(Sorgo!$E67:INDEX(Sorgo!$E67:$Z67,MIN(P$6-$G$3,22))&lt;&gt;""),Sorgo!$E67:INDEX(Sorgo!$E67:$Z67,MIN(P$6-$G$3,22))),0)))))</f>
        <v>0</v>
      </c>
      <c r="Q69" s="27" t="n">
        <f aca="false">IF(COUNT(Sorgo!$E67:$Z67)=0,0,MAX(0,IF((Q$6-$E$3)&lt;1,0,IFERROR(LOOKUP(2,1/(Sorgo!$E67:INDEX(Sorgo!$E67:$Z67,MIN(Q$6-$E$3,22))&lt;&gt;""),Sorgo!$E67:INDEX(Sorgo!$E67:$Z67,MIN(Q$6-$E$3,22))),0))-IF($G$2,0,IF((Q$6-$G$3)&lt;1,0,IFERROR(LOOKUP(2,1/(Sorgo!$E67:INDEX(Sorgo!$E67:$Z67,MIN(Q$6-$G$3,22))&lt;&gt;""),Sorgo!$E67:INDEX(Sorgo!$E67:$Z67,MIN(Q$6-$G$3,22))),0)))))</f>
        <v>0</v>
      </c>
      <c r="R69" s="27" t="n">
        <f aca="false">IF(COUNT(Sorgo!$E67:$Z67)=0,0,MAX(0,IF((R$6-$E$3)&lt;1,0,IFERROR(LOOKUP(2,1/(Sorgo!$E67:INDEX(Sorgo!$E67:$Z67,MIN(R$6-$E$3,22))&lt;&gt;""),Sorgo!$E67:INDEX(Sorgo!$E67:$Z67,MIN(R$6-$E$3,22))),0))-IF($G$2,0,IF((R$6-$G$3)&lt;1,0,IFERROR(LOOKUP(2,1/(Sorgo!$E67:INDEX(Sorgo!$E67:$Z67,MIN(R$6-$G$3,22))&lt;&gt;""),Sorgo!$E67:INDEX(Sorgo!$E67:$Z67,MIN(R$6-$G$3,22))),0)))))</f>
        <v>0</v>
      </c>
      <c r="S69" s="27" t="n">
        <f aca="false">IF(COUNT(Sorgo!$E67:$Z67)=0,0,MAX(0,IF((S$6-$E$3)&lt;1,0,IFERROR(LOOKUP(2,1/(Sorgo!$E67:INDEX(Sorgo!$E67:$Z67,MIN(S$6-$E$3,22))&lt;&gt;""),Sorgo!$E67:INDEX(Sorgo!$E67:$Z67,MIN(S$6-$E$3,22))),0))-IF($G$2,0,IF((S$6-$G$3)&lt;1,0,IFERROR(LOOKUP(2,1/(Sorgo!$E67:INDEX(Sorgo!$E67:$Z67,MIN(S$6-$G$3,22))&lt;&gt;""),Sorgo!$E67:INDEX(Sorgo!$E67:$Z67,MIN(S$6-$G$3,22))),0)))))</f>
        <v>0</v>
      </c>
      <c r="T69" s="27" t="n">
        <f aca="false">IF(COUNT(Sorgo!$E67:$Z67)=0,0,MAX(0,IF((T$6-$E$3)&lt;1,0,IFERROR(LOOKUP(2,1/(Sorgo!$E67:INDEX(Sorgo!$E67:$Z67,MIN(T$6-$E$3,22))&lt;&gt;""),Sorgo!$E67:INDEX(Sorgo!$E67:$Z67,MIN(T$6-$E$3,22))),0))-IF($G$2,0,IF((T$6-$G$3)&lt;1,0,IFERROR(LOOKUP(2,1/(Sorgo!$E67:INDEX(Sorgo!$E67:$Z67,MIN(T$6-$G$3,22))&lt;&gt;""),Sorgo!$E67:INDEX(Sorgo!$E67:$Z67,MIN(T$6-$G$3,22))),0)))))</f>
        <v>0</v>
      </c>
      <c r="U69" s="27" t="n">
        <f aca="false">IF(COUNT(Sorgo!$E67:$Z67)=0,0,MAX(0,IF((U$6-$E$3)&lt;1,0,IFERROR(LOOKUP(2,1/(Sorgo!$E67:INDEX(Sorgo!$E67:$Z67,MIN(U$6-$E$3,22))&lt;&gt;""),Sorgo!$E67:INDEX(Sorgo!$E67:$Z67,MIN(U$6-$E$3,22))),0))-IF($G$2,0,IF((U$6-$G$3)&lt;1,0,IFERROR(LOOKUP(2,1/(Sorgo!$E67:INDEX(Sorgo!$E67:$Z67,MIN(U$6-$G$3,22))&lt;&gt;""),Sorgo!$E67:INDEX(Sorgo!$E67:$Z67,MIN(U$6-$G$3,22))),0)))))</f>
        <v>0</v>
      </c>
      <c r="V69" s="27" t="n">
        <f aca="false">IF(COUNT(Sorgo!$E67:$Z67)=0,0,MAX(0,IF((V$6-$E$3)&lt;1,0,IFERROR(LOOKUP(2,1/(Sorgo!$E67:INDEX(Sorgo!$E67:$Z67,MIN(V$6-$E$3,22))&lt;&gt;""),Sorgo!$E67:INDEX(Sorgo!$E67:$Z67,MIN(V$6-$E$3,22))),0))-IF($G$2,0,IF((V$6-$G$3)&lt;1,0,IFERROR(LOOKUP(2,1/(Sorgo!$E67:INDEX(Sorgo!$E67:$Z67,MIN(V$6-$G$3,22))&lt;&gt;""),Sorgo!$E67:INDEX(Sorgo!$E67:$Z67,MIN(V$6-$G$3,22))),0)))))</f>
        <v>0</v>
      </c>
      <c r="W69" s="27" t="n">
        <f aca="false">IF(COUNT(Sorgo!$E67:$Z67)=0,0,MAX(0,IF((W$6-$E$3)&lt;1,0,IFERROR(LOOKUP(2,1/(Sorgo!$E67:INDEX(Sorgo!$E67:$Z67,MIN(W$6-$E$3,22))&lt;&gt;""),Sorgo!$E67:INDEX(Sorgo!$E67:$Z67,MIN(W$6-$E$3,22))),0))-IF($G$2,0,IF((W$6-$G$3)&lt;1,0,IFERROR(LOOKUP(2,1/(Sorgo!$E67:INDEX(Sorgo!$E67:$Z67,MIN(W$6-$G$3,22))&lt;&gt;""),Sorgo!$E67:INDEX(Sorgo!$E67:$Z67,MIN(W$6-$G$3,22))),0)))))</f>
        <v>0</v>
      </c>
      <c r="X69" s="27" t="n">
        <f aca="false">IF(COUNT(Sorgo!$E67:$Z67)=0,0,MAX(0,IF((X$6-$E$3)&lt;1,0,IFERROR(LOOKUP(2,1/(Sorgo!$E67:INDEX(Sorgo!$E67:$Z67,MIN(X$6-$E$3,22))&lt;&gt;""),Sorgo!$E67:INDEX(Sorgo!$E67:$Z67,MIN(X$6-$E$3,22))),0))-IF($G$2,0,IF((X$6-$G$3)&lt;1,0,IFERROR(LOOKUP(2,1/(Sorgo!$E67:INDEX(Sorgo!$E67:$Z67,MIN(X$6-$G$3,22))&lt;&gt;""),Sorgo!$E67:INDEX(Sorgo!$E67:$Z67,MIN(X$6-$G$3,22))),0)))))</f>
        <v>0</v>
      </c>
      <c r="Y69" s="27" t="n">
        <f aca="false">IF(COUNT(Sorgo!$E67:$Z67)=0,0,MAX(0,IF((Y$6-$E$3)&lt;1,0,IFERROR(LOOKUP(2,1/(Sorgo!$E67:INDEX(Sorgo!$E67:$Z67,MIN(Y$6-$E$3,22))&lt;&gt;""),Sorgo!$E67:INDEX(Sorgo!$E67:$Z67,MIN(Y$6-$E$3,22))),0))-IF($G$2,0,IF((Y$6-$G$3)&lt;1,0,IFERROR(LOOKUP(2,1/(Sorgo!$E67:INDEX(Sorgo!$E67:$Z67,MIN(Y$6-$G$3,22))&lt;&gt;""),Sorgo!$E67:INDEX(Sorgo!$E67:$Z67,MIN(Y$6-$G$3,22))),0)))))</f>
        <v>0</v>
      </c>
      <c r="Z69" s="27" t="n">
        <f aca="false">IF(COUNT(Sorgo!$E67:$Z67)=0,0,MAX(0,IF((Z$6-$E$3)&lt;1,0,IFERROR(LOOKUP(2,1/(Sorgo!$E67:INDEX(Sorgo!$E67:$Z67,MIN(Z$6-$E$3,22))&lt;&gt;""),Sorgo!$E67:INDEX(Sorgo!$E67:$Z67,MIN(Z$6-$E$3,22))),0))-IF($G$2,0,IF((Z$6-$G$3)&lt;1,0,IFERROR(LOOKUP(2,1/(Sorgo!$E67:INDEX(Sorgo!$E67:$Z67,MIN(Z$6-$G$3,22))&lt;&gt;""),Sorgo!$E67:INDEX(Sorgo!$E67:$Z67,MIN(Z$6-$G$3,22))),0)))))</f>
        <v>0</v>
      </c>
      <c r="AA69" s="27" t="n">
        <f aca="false">IF(COUNT(Sorgo!$E67:$Z67)=0,0,MAX(0,IF((AA$6-$E$3)&lt;1,0,IFERROR(LOOKUP(2,1/(Sorgo!$E67:INDEX(Sorgo!$E67:$Z67,MIN(AA$6-$E$3,22))&lt;&gt;""),Sorgo!$E67:INDEX(Sorgo!$E67:$Z67,MIN(AA$6-$E$3,22))),0))-IF($G$2,0,IF((AA$6-$G$3)&lt;1,0,IFERROR(LOOKUP(2,1/(Sorgo!$E67:INDEX(Sorgo!$E67:$Z67,MIN(AA$6-$G$3,22))&lt;&gt;""),Sorgo!$E67:INDEX(Sorgo!$E67:$Z67,MIN(AA$6-$G$3,22))),0)))))</f>
        <v>0</v>
      </c>
      <c r="AB69" s="27" t="n">
        <f aca="false">IF(COUNT(Sorgo!$E67:$Z67)=0,0,MAX(0,IF((AB$6-$E$3)&lt;1,0,IFERROR(LOOKUP(2,1/(Sorgo!$E67:INDEX(Sorgo!$E67:$Z67,MIN(AB$6-$E$3,22))&lt;&gt;""),Sorgo!$E67:INDEX(Sorgo!$E67:$Z67,MIN(AB$6-$E$3,22))),0))-IF($G$2,0,IF((AB$6-$G$3)&lt;1,0,IFERROR(LOOKUP(2,1/(Sorgo!$E67:INDEX(Sorgo!$E67:$Z67,MIN(AB$6-$G$3,22))&lt;&gt;""),Sorgo!$E67:INDEX(Sorgo!$E67:$Z67,MIN(AB$6-$G$3,22))),0)))))</f>
        <v>0</v>
      </c>
      <c r="AC69" s="27" t="n">
        <f aca="false">IF(COUNT(Sorgo!$E67:$Z67)=0,0,MAX(0,IF((AC$6-$E$3)&lt;1,0,IFERROR(LOOKUP(2,1/(Sorgo!$E67:INDEX(Sorgo!$E67:$Z67,MIN(AC$6-$E$3,22))&lt;&gt;""),Sorgo!$E67:INDEX(Sorgo!$E67:$Z67,MIN(AC$6-$E$3,22))),0))-IF($G$2,0,IF((AC$6-$G$3)&lt;1,0,IFERROR(LOOKUP(2,1/(Sorgo!$E67:INDEX(Sorgo!$E67:$Z67,MIN(AC$6-$G$3,22))&lt;&gt;""),Sorgo!$E67:INDEX(Sorgo!$E67:$Z67,MIN(AC$6-$G$3,22))),0)))))</f>
        <v>0</v>
      </c>
      <c r="AD69" s="27" t="n">
        <f aca="false">IF(COUNT(Sorgo!$E67:$Z67)=0,0,MAX(0,IF((AD$6-$E$3)&lt;1,0,IFERROR(LOOKUP(2,1/(Sorgo!$E67:INDEX(Sorgo!$E67:$Z67,MIN(AD$6-$E$3,22))&lt;&gt;""),Sorgo!$E67:INDEX(Sorgo!$E67:$Z67,MIN(AD$6-$E$3,22))),0))-IF($G$2,0,IF((AD$6-$G$3)&lt;1,0,IFERROR(LOOKUP(2,1/(Sorgo!$E67:INDEX(Sorgo!$E67:$Z67,MIN(AD$6-$G$3,22))&lt;&gt;""),Sorgo!$E67:INDEX(Sorgo!$E67:$Z67,MIN(AD$6-$G$3,22))),0)))))</f>
        <v>0</v>
      </c>
      <c r="AE69" s="27" t="n">
        <f aca="false">IF(COUNT(Sorgo!$E67:$Z67)=0,0,MAX(0,IF((AE$6-$E$3)&lt;1,0,IFERROR(LOOKUP(2,1/(Sorgo!$E67:INDEX(Sorgo!$E67:$Z67,MIN(AE$6-$E$3,22))&lt;&gt;""),Sorgo!$E67:INDEX(Sorgo!$E67:$Z67,MIN(AE$6-$E$3,22))),0))-IF($G$2,0,IF((AE$6-$G$3)&lt;1,0,IFERROR(LOOKUP(2,1/(Sorgo!$E67:INDEX(Sorgo!$E67:$Z67,MIN(AE$6-$G$3,22))&lt;&gt;""),Sorgo!$E67:INDEX(Sorgo!$E67:$Z67,MIN(AE$6-$G$3,22))),0)))))</f>
        <v>0</v>
      </c>
      <c r="AF69" s="27" t="n">
        <f aca="false">IF(COUNT(Sorgo!$E67:$Z67)=0,0,MAX(0,IF((AF$6-$E$3)&lt;1,0,IFERROR(LOOKUP(2,1/(Sorgo!$E67:INDEX(Sorgo!$E67:$Z67,MIN(AF$6-$E$3,22))&lt;&gt;""),Sorgo!$E67:INDEX(Sorgo!$E67:$Z67,MIN(AF$6-$E$3,22))),0))-IF($G$2,0,IF((AF$6-$G$3)&lt;1,0,IFERROR(LOOKUP(2,1/(Sorgo!$E67:INDEX(Sorgo!$E67:$Z67,MIN(AF$6-$G$3,22))&lt;&gt;""),Sorgo!$E67:INDEX(Sorgo!$E67:$Z67,MIN(AF$6-$G$3,22))),0)))))</f>
        <v>0</v>
      </c>
      <c r="AG69" s="27" t="n">
        <f aca="false">IF(COUNT(Sorgo!$E67:$Z67)=0,0,MAX(0,IF((AG$6-$E$3)&lt;1,0,IFERROR(LOOKUP(2,1/(Sorgo!$E67:INDEX(Sorgo!$E67:$Z67,MIN(AG$6-$E$3,22))&lt;&gt;""),Sorgo!$E67:INDEX(Sorgo!$E67:$Z67,MIN(AG$6-$E$3,22))),0))-IF($G$2,0,IF((AG$6-$G$3)&lt;1,0,IFERROR(LOOKUP(2,1/(Sorgo!$E67:INDEX(Sorgo!$E67:$Z67,MIN(AG$6-$G$3,22))&lt;&gt;""),Sorgo!$E67:INDEX(Sorgo!$E67:$Z67,MIN(AG$6-$G$3,22))),0)))))</f>
        <v>0</v>
      </c>
      <c r="AH69" s="27" t="n">
        <f aca="false">IF(COUNT(Sorgo!$E67:$Z67)=0,0,MAX(0,IF((AH$6-$E$3)&lt;1,0,IFERROR(LOOKUP(2,1/(Sorgo!$E67:INDEX(Sorgo!$E67:$Z67,MIN(AH$6-$E$3,22))&lt;&gt;""),Sorgo!$E67:INDEX(Sorgo!$E67:$Z67,MIN(AH$6-$E$3,22))),0))-IF($G$2,0,IF((AH$6-$G$3)&lt;1,0,IFERROR(LOOKUP(2,1/(Sorgo!$E67:INDEX(Sorgo!$E67:$Z67,MIN(AH$6-$G$3,22))&lt;&gt;""),Sorgo!$E67:INDEX(Sorgo!$E67:$Z67,MIN(AH$6-$G$3,22))),0)))))</f>
        <v>0</v>
      </c>
      <c r="AI69" s="27" t="n">
        <f aca="false">IF(COUNT(Sorgo!$E67:$Z67)=0,0,MAX(0,IF((AI$6-$E$3)&lt;1,0,IFERROR(LOOKUP(2,1/(Sorgo!$E67:INDEX(Sorgo!$E67:$Z67,MIN(AI$6-$E$3,22))&lt;&gt;""),Sorgo!$E67:INDEX(Sorgo!$E67:$Z67,MIN(AI$6-$E$3,22))),0))-IF($G$2,0,IF((AI$6-$G$3)&lt;1,0,IFERROR(LOOKUP(2,1/(Sorgo!$E67:INDEX(Sorgo!$E67:$Z67,MIN(AI$6-$G$3,22))&lt;&gt;""),Sorgo!$E67:INDEX(Sorgo!$E67:$Z67,MIN(AI$6-$G$3,22))),0)))))</f>
        <v>0</v>
      </c>
      <c r="AJ69" s="27" t="n">
        <f aca="false">IF(COUNT(Sorgo!$E67:$Z67)=0,0,MAX(0,IF((AJ$6-$E$3)&lt;1,0,IFERROR(LOOKUP(2,1/(Sorgo!$E67:INDEX(Sorgo!$E67:$Z67,MIN(AJ$6-$E$3,22))&lt;&gt;""),Sorgo!$E67:INDEX(Sorgo!$E67:$Z67,MIN(AJ$6-$E$3,22))),0))-IF($G$2,0,IF((AJ$6-$G$3)&lt;1,0,IFERROR(LOOKUP(2,1/(Sorgo!$E67:INDEX(Sorgo!$E67:$Z67,MIN(AJ$6-$G$3,22))&lt;&gt;""),Sorgo!$E67:INDEX(Sorgo!$E67:$Z67,MIN(AJ$6-$G$3,22))),0)))))</f>
        <v>0</v>
      </c>
      <c r="AK69" s="27" t="n">
        <f aca="false">IF(COUNT(Sorgo!$E67:$Z67)=0,0,MAX(0,IF((AK$6-$E$3)&lt;1,0,IFERROR(LOOKUP(2,1/(Sorgo!$E67:INDEX(Sorgo!$E67:$Z67,MIN(AK$6-$E$3,22))&lt;&gt;""),Sorgo!$E67:INDEX(Sorgo!$E67:$Z67,MIN(AK$6-$E$3,22))),0))-IF($G$2,0,IF((AK$6-$G$3)&lt;1,0,IFERROR(LOOKUP(2,1/(Sorgo!$E67:INDEX(Sorgo!$E67:$Z67,MIN(AK$6-$G$3,22))&lt;&gt;""),Sorgo!$E67:INDEX(Sorgo!$E67:$Z67,MIN(AK$6-$G$3,22))),0)))))</f>
        <v>0</v>
      </c>
      <c r="AL69" s="27" t="n">
        <f aca="false">IF(COUNT(Sorgo!$E67:$Z67)=0,0,MAX(0,IF((AL$6-$E$3)&lt;1,0,IFERROR(LOOKUP(2,1/(Sorgo!$E67:INDEX(Sorgo!$E67:$Z67,MIN(AL$6-$E$3,22))&lt;&gt;""),Sorgo!$E67:INDEX(Sorgo!$E67:$Z67,MIN(AL$6-$E$3,22))),0))-IF($G$2,0,IF((AL$6-$G$3)&lt;1,0,IFERROR(LOOKUP(2,1/(Sorgo!$E67:INDEX(Sorgo!$E67:$Z67,MIN(AL$6-$G$3,22))&lt;&gt;""),Sorgo!$E67:INDEX(Sorgo!$E67:$Z67,MIN(AL$6-$G$3,22))),0)))))</f>
        <v>0</v>
      </c>
      <c r="AM69" s="27" t="n">
        <f aca="false">IF(COUNT(Sorgo!$E67:$Z67)=0,0,MAX(0,IF((AM$6-$E$3)&lt;1,0,IFERROR(LOOKUP(2,1/(Sorgo!$E67:INDEX(Sorgo!$E67:$Z67,MIN(AM$6-$E$3,22))&lt;&gt;""),Sorgo!$E67:INDEX(Sorgo!$E67:$Z67,MIN(AM$6-$E$3,22))),0))-IF($G$2,0,IF((AM$6-$G$3)&lt;1,0,IFERROR(LOOKUP(2,1/(Sorgo!$E67:INDEX(Sorgo!$E67:$Z67,MIN(AM$6-$G$3,22))&lt;&gt;""),Sorgo!$E67:INDEX(Sorgo!$E67:$Z67,MIN(AM$6-$G$3,22))),0)))))</f>
        <v>0</v>
      </c>
      <c r="AN69" s="27" t="n">
        <f aca="false">IF(COUNT(Sorgo!$E67:$Z67)=0,0,MAX(0,IF((AN$6-$E$3)&lt;1,0,IFERROR(LOOKUP(2,1/(Sorgo!$E67:INDEX(Sorgo!$E67:$Z67,MIN(AN$6-$E$3,22))&lt;&gt;""),Sorgo!$E67:INDEX(Sorgo!$E67:$Z67,MIN(AN$6-$E$3,22))),0))-IF($G$2,0,IF((AN$6-$G$3)&lt;1,0,IFERROR(LOOKUP(2,1/(Sorgo!$E67:INDEX(Sorgo!$E67:$Z67,MIN(AN$6-$G$3,22))&lt;&gt;""),Sorgo!$E67:INDEX(Sorgo!$E67:$Z67,MIN(AN$6-$G$3,22))),0)))))</f>
        <v>0</v>
      </c>
      <c r="AO69" s="27" t="n">
        <f aca="false">IF(COUNT(Sorgo!$E67:$Z67)=0,0,MAX(0,IF((AO$6-$E$3)&lt;1,0,IFERROR(LOOKUP(2,1/(Sorgo!$E67:INDEX(Sorgo!$E67:$Z67,MIN(AO$6-$E$3,22))&lt;&gt;""),Sorgo!$E67:INDEX(Sorgo!$E67:$Z67,MIN(AO$6-$E$3,22))),0))-IF($G$2,0,IF((AO$6-$G$3)&lt;1,0,IFERROR(LOOKUP(2,1/(Sorgo!$E67:INDEX(Sorgo!$E67:$Z67,MIN(AO$6-$G$3,22))&lt;&gt;""),Sorgo!$E67:INDEX(Sorgo!$E67:$Z67,MIN(AO$6-$G$3,22))),0)))))</f>
        <v>0</v>
      </c>
      <c r="AP69" s="27" t="n">
        <f aca="false">IF(COUNT(Sorgo!$E67:$Z67)=0,0,MAX(0,IF((AP$6-$E$3)&lt;1,0,IFERROR(LOOKUP(2,1/(Sorgo!$E67:INDEX(Sorgo!$E67:$Z67,MIN(AP$6-$E$3,22))&lt;&gt;""),Sorgo!$E67:INDEX(Sorgo!$E67:$Z67,MIN(AP$6-$E$3,22))),0))-IF($G$2,0,IF((AP$6-$G$3)&lt;1,0,IFERROR(LOOKUP(2,1/(Sorgo!$E67:INDEX(Sorgo!$E67:$Z67,MIN(AP$6-$G$3,22))&lt;&gt;""),Sorgo!$E67:INDEX(Sorgo!$E67:$Z67,MIN(AP$6-$G$3,22))),0)))))</f>
        <v>0</v>
      </c>
      <c r="AQ69" s="27" t="n">
        <f aca="false">IF(COUNT(Sorgo!$E67:$Z67)=0,0,MAX(0,IF((AQ$6-$E$3)&lt;1,0,IFERROR(LOOKUP(2,1/(Sorgo!$E67:INDEX(Sorgo!$E67:$Z67,MIN(AQ$6-$E$3,22))&lt;&gt;""),Sorgo!$E67:INDEX(Sorgo!$E67:$Z67,MIN(AQ$6-$E$3,22))),0))-IF($G$2,0,IF((AQ$6-$G$3)&lt;1,0,IFERROR(LOOKUP(2,1/(Sorgo!$E67:INDEX(Sorgo!$E67:$Z67,MIN(AQ$6-$G$3,22))&lt;&gt;""),Sorgo!$E67:INDEX(Sorgo!$E67:$Z67,MIN(AQ$6-$G$3,22))),0)))))</f>
        <v>0</v>
      </c>
      <c r="AR69" s="27" t="n">
        <f aca="false">IF(COUNT(Sorgo!$E67:$Z67)=0,0,MAX(0,IF((AR$6-$E$3)&lt;1,0,IFERROR(LOOKUP(2,1/(Sorgo!$E67:INDEX(Sorgo!$E67:$Z67,MIN(AR$6-$E$3,22))&lt;&gt;""),Sorgo!$E67:INDEX(Sorgo!$E67:$Z67,MIN(AR$6-$E$3,22))),0))-IF($G$2,0,IF((AR$6-$G$3)&lt;1,0,IFERROR(LOOKUP(2,1/(Sorgo!$E67:INDEX(Sorgo!$E67:$Z67,MIN(AR$6-$G$3,22))&lt;&gt;""),Sorgo!$E67:INDEX(Sorgo!$E67:$Z67,MIN(AR$6-$G$3,22))),0)))))</f>
        <v>0</v>
      </c>
      <c r="AS69" s="27" t="n">
        <f aca="false">IF(COUNT(Sorgo!$E67:$Z67)=0,0,MAX(0,IF((AS$6-$E$3)&lt;1,0,IFERROR(LOOKUP(2,1/(Sorgo!$E67:INDEX(Sorgo!$E67:$Z67,MIN(AS$6-$E$3,22))&lt;&gt;""),Sorgo!$E67:INDEX(Sorgo!$E67:$Z67,MIN(AS$6-$E$3,22))),0))-IF($G$2,0,IF((AS$6-$G$3)&lt;1,0,IFERROR(LOOKUP(2,1/(Sorgo!$E67:INDEX(Sorgo!$E67:$Z67,MIN(AS$6-$G$3,22))&lt;&gt;""),Sorgo!$E67:INDEX(Sorgo!$E67:$Z67,MIN(AS$6-$G$3,22))),0)))))</f>
        <v>0</v>
      </c>
      <c r="AT69" s="27" t="n">
        <f aca="false">IF(COUNT(Sorgo!$E67:$Z67)=0,0,MAX(0,IF((AT$6-$E$3)&lt;1,0,IFERROR(LOOKUP(2,1/(Sorgo!$E67:INDEX(Sorgo!$E67:$Z67,MIN(AT$6-$E$3,22))&lt;&gt;""),Sorgo!$E67:INDEX(Sorgo!$E67:$Z67,MIN(AT$6-$E$3,22))),0))-IF($G$2,0,IF((AT$6-$G$3)&lt;1,0,IFERROR(LOOKUP(2,1/(Sorgo!$E67:INDEX(Sorgo!$E67:$Z67,MIN(AT$6-$G$3,22))&lt;&gt;""),Sorgo!$E67:INDEX(Sorgo!$E67:$Z67,MIN(AT$6-$G$3,22))),0)))))</f>
        <v>0</v>
      </c>
      <c r="AU69" s="27" t="n">
        <f aca="false">IF(COUNT(Sorgo!$E67:$Z67)=0,0,MAX(0,IF((AU$6-$E$3)&lt;1,0,IFERROR(LOOKUP(2,1/(Sorgo!$E67:INDEX(Sorgo!$E67:$Z67,MIN(AU$6-$E$3,22))&lt;&gt;""),Sorgo!$E67:INDEX(Sorgo!$E67:$Z67,MIN(AU$6-$E$3,22))),0))-IF($G$2,0,IF((AU$6-$G$3)&lt;1,0,IFERROR(LOOKUP(2,1/(Sorgo!$E67:INDEX(Sorgo!$E67:$Z67,MIN(AU$6-$G$3,22))&lt;&gt;""),Sorgo!$E67:INDEX(Sorgo!$E67:$Z67,MIN(AU$6-$G$3,22))),0)))))</f>
        <v>0</v>
      </c>
      <c r="AV69" s="27" t="n">
        <f aca="false">IF(COUNT(Sorgo!$E67:$Z67)=0,0,MAX(0,IF((AV$6-$E$3)&lt;1,0,IFERROR(LOOKUP(2,1/(Sorgo!$E67:INDEX(Sorgo!$E67:$Z67,MIN(AV$6-$E$3,22))&lt;&gt;""),Sorgo!$E67:INDEX(Sorgo!$E67:$Z67,MIN(AV$6-$E$3,22))),0))-IF($G$2,0,IF((AV$6-$G$3)&lt;1,0,IFERROR(LOOKUP(2,1/(Sorgo!$E67:INDEX(Sorgo!$E67:$Z67,MIN(AV$6-$G$3,22))&lt;&gt;""),Sorgo!$E67:INDEX(Sorgo!$E67:$Z67,MIN(AV$6-$G$3,22))),0)))))</f>
        <v>0</v>
      </c>
      <c r="AW69" s="27" t="n">
        <f aca="false">IF(COUNT(Sorgo!$E67:$Z67)=0,0,MAX(0,IF((AW$6-$E$3)&lt;1,0,IFERROR(LOOKUP(2,1/(Sorgo!$E67:INDEX(Sorgo!$E67:$Z67,MIN(AW$6-$E$3,22))&lt;&gt;""),Sorgo!$E67:INDEX(Sorgo!$E67:$Z67,MIN(AW$6-$E$3,22))),0))-IF($G$2,0,IF((AW$6-$G$3)&lt;1,0,IFERROR(LOOKUP(2,1/(Sorgo!$E67:INDEX(Sorgo!$E67:$Z67,MIN(AW$6-$G$3,22))&lt;&gt;""),Sorgo!$E67:INDEX(Sorgo!$E67:$Z67,MIN(AW$6-$G$3,22))),0)))))</f>
        <v>0</v>
      </c>
      <c r="AX69" s="27" t="n">
        <f aca="false">IF(COUNT(Sorgo!$E67:$Z67)=0,0,MAX(0,IF((AX$6-$E$3)&lt;1,0,IFERROR(LOOKUP(2,1/(Sorgo!$E67:INDEX(Sorgo!$E67:$Z67,MIN(AX$6-$E$3,22))&lt;&gt;""),Sorgo!$E67:INDEX(Sorgo!$E67:$Z67,MIN(AX$6-$E$3,22))),0))-IF($G$2,0,IF((AX$6-$G$3)&lt;1,0,IFERROR(LOOKUP(2,1/(Sorgo!$E67:INDEX(Sorgo!$E67:$Z67,MIN(AX$6-$G$3,22))&lt;&gt;""),Sorgo!$E67:INDEX(Sorgo!$E67:$Z67,MIN(AX$6-$G$3,22))),0)))))</f>
        <v>0</v>
      </c>
      <c r="AY69" s="27" t="n">
        <f aca="false">IF(COUNT(Sorgo!$E67:$Z67)=0,0,MAX(0,IF((AY$6-$E$3)&lt;1,0,IFERROR(LOOKUP(2,1/(Sorgo!$E67:INDEX(Sorgo!$E67:$Z67,MIN(AY$6-$E$3,22))&lt;&gt;""),Sorgo!$E67:INDEX(Sorgo!$E67:$Z67,MIN(AY$6-$E$3,22))),0))-IF($G$2,0,IF((AY$6-$G$3)&lt;1,0,IFERROR(LOOKUP(2,1/(Sorgo!$E67:INDEX(Sorgo!$E67:$Z67,MIN(AY$6-$G$3,22))&lt;&gt;""),Sorgo!$E67:INDEX(Sorgo!$E67:$Z67,MIN(AY$6-$G$3,22))),0)))))</f>
        <v>0</v>
      </c>
      <c r="AZ69" s="27" t="n">
        <f aca="false">IF(COUNT(Sorgo!$E67:$Z67)=0,0,MAX(0,IF((AZ$6-$E$3)&lt;1,0,IFERROR(LOOKUP(2,1/(Sorgo!$E67:INDEX(Sorgo!$E67:$Z67,MIN(AZ$6-$E$3,22))&lt;&gt;""),Sorgo!$E67:INDEX(Sorgo!$E67:$Z67,MIN(AZ$6-$E$3,22))),0))-IF($G$2,0,IF((AZ$6-$G$3)&lt;1,0,IFERROR(LOOKUP(2,1/(Sorgo!$E67:INDEX(Sorgo!$E67:$Z67,MIN(AZ$6-$G$3,22))&lt;&gt;""),Sorgo!$E67:INDEX(Sorgo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IF(COUNT(Sorgo!$E68:$Z68)&gt;0,N(Sorgo!$D68),0)</f>
        <v>0</v>
      </c>
      <c r="E70" s="27" t="n">
        <f aca="false">IF(COUNT(Sorgo!$E68:$Z68)=0,0,MAX(0,IF((E$6-$E$3)&lt;1,0,IFERROR(LOOKUP(2,1/(Sorgo!$E68:INDEX(Sorgo!$E68:$Z68,MIN(E$6-$E$3,22))&lt;&gt;""),Sorgo!$E68:INDEX(Sorgo!$E68:$Z68,MIN(E$6-$E$3,22))),0))-IF($G$2,0,IF((E$6-$G$3)&lt;1,0,IFERROR(LOOKUP(2,1/(Sorgo!$E68:INDEX(Sorgo!$E68:$Z68,MIN(E$6-$G$3,22))&lt;&gt;""),Sorgo!$E68:INDEX(Sorgo!$E68:$Z68,MIN(E$6-$G$3,22))),0)))))</f>
        <v>0</v>
      </c>
      <c r="F70" s="27" t="n">
        <f aca="false">IF(COUNT(Sorgo!$E68:$Z68)=0,0,MAX(0,IF((F$6-$E$3)&lt;1,0,IFERROR(LOOKUP(2,1/(Sorgo!$E68:INDEX(Sorgo!$E68:$Z68,MIN(F$6-$E$3,22))&lt;&gt;""),Sorgo!$E68:INDEX(Sorgo!$E68:$Z68,MIN(F$6-$E$3,22))),0))-IF($G$2,0,IF((F$6-$G$3)&lt;1,0,IFERROR(LOOKUP(2,1/(Sorgo!$E68:INDEX(Sorgo!$E68:$Z68,MIN(F$6-$G$3,22))&lt;&gt;""),Sorgo!$E68:INDEX(Sorgo!$E68:$Z68,MIN(F$6-$G$3,22))),0)))))</f>
        <v>0</v>
      </c>
      <c r="G70" s="27" t="n">
        <f aca="false">IF(COUNT(Sorgo!$E68:$Z68)=0,0,MAX(0,IF((G$6-$E$3)&lt;1,0,IFERROR(LOOKUP(2,1/(Sorgo!$E68:INDEX(Sorgo!$E68:$Z68,MIN(G$6-$E$3,22))&lt;&gt;""),Sorgo!$E68:INDEX(Sorgo!$E68:$Z68,MIN(G$6-$E$3,22))),0))-IF($G$2,0,IF((G$6-$G$3)&lt;1,0,IFERROR(LOOKUP(2,1/(Sorgo!$E68:INDEX(Sorgo!$E68:$Z68,MIN(G$6-$G$3,22))&lt;&gt;""),Sorgo!$E68:INDEX(Sorgo!$E68:$Z68,MIN(G$6-$G$3,22))),0)))))</f>
        <v>0</v>
      </c>
      <c r="H70" s="27" t="n">
        <f aca="false">IF(COUNT(Sorgo!$E68:$Z68)=0,0,MAX(0,IF((H$6-$E$3)&lt;1,0,IFERROR(LOOKUP(2,1/(Sorgo!$E68:INDEX(Sorgo!$E68:$Z68,MIN(H$6-$E$3,22))&lt;&gt;""),Sorgo!$E68:INDEX(Sorgo!$E68:$Z68,MIN(H$6-$E$3,22))),0))-IF($G$2,0,IF((H$6-$G$3)&lt;1,0,IFERROR(LOOKUP(2,1/(Sorgo!$E68:INDEX(Sorgo!$E68:$Z68,MIN(H$6-$G$3,22))&lt;&gt;""),Sorgo!$E68:INDEX(Sorgo!$E68:$Z68,MIN(H$6-$G$3,22))),0)))))</f>
        <v>0</v>
      </c>
      <c r="I70" s="27" t="n">
        <f aca="false">IF(COUNT(Sorgo!$E68:$Z68)=0,0,MAX(0,IF((I$6-$E$3)&lt;1,0,IFERROR(LOOKUP(2,1/(Sorgo!$E68:INDEX(Sorgo!$E68:$Z68,MIN(I$6-$E$3,22))&lt;&gt;""),Sorgo!$E68:INDEX(Sorgo!$E68:$Z68,MIN(I$6-$E$3,22))),0))-IF($G$2,0,IF((I$6-$G$3)&lt;1,0,IFERROR(LOOKUP(2,1/(Sorgo!$E68:INDEX(Sorgo!$E68:$Z68,MIN(I$6-$G$3,22))&lt;&gt;""),Sorgo!$E68:INDEX(Sorgo!$E68:$Z68,MIN(I$6-$G$3,22))),0)))))</f>
        <v>0</v>
      </c>
      <c r="J70" s="27" t="n">
        <f aca="false">IF(COUNT(Sorgo!$E68:$Z68)=0,0,MAX(0,IF((J$6-$E$3)&lt;1,0,IFERROR(LOOKUP(2,1/(Sorgo!$E68:INDEX(Sorgo!$E68:$Z68,MIN(J$6-$E$3,22))&lt;&gt;""),Sorgo!$E68:INDEX(Sorgo!$E68:$Z68,MIN(J$6-$E$3,22))),0))-IF($G$2,0,IF((J$6-$G$3)&lt;1,0,IFERROR(LOOKUP(2,1/(Sorgo!$E68:INDEX(Sorgo!$E68:$Z68,MIN(J$6-$G$3,22))&lt;&gt;""),Sorgo!$E68:INDEX(Sorgo!$E68:$Z68,MIN(J$6-$G$3,22))),0)))))</f>
        <v>0</v>
      </c>
      <c r="K70" s="27" t="n">
        <f aca="false">IF(COUNT(Sorgo!$E68:$Z68)=0,0,MAX(0,IF((K$6-$E$3)&lt;1,0,IFERROR(LOOKUP(2,1/(Sorgo!$E68:INDEX(Sorgo!$E68:$Z68,MIN(K$6-$E$3,22))&lt;&gt;""),Sorgo!$E68:INDEX(Sorgo!$E68:$Z68,MIN(K$6-$E$3,22))),0))-IF($G$2,0,IF((K$6-$G$3)&lt;1,0,IFERROR(LOOKUP(2,1/(Sorgo!$E68:INDEX(Sorgo!$E68:$Z68,MIN(K$6-$G$3,22))&lt;&gt;""),Sorgo!$E68:INDEX(Sorgo!$E68:$Z68,MIN(K$6-$G$3,22))),0)))))</f>
        <v>0</v>
      </c>
      <c r="L70" s="27" t="n">
        <f aca="false">IF(COUNT(Sorgo!$E68:$Z68)=0,0,MAX(0,IF((L$6-$E$3)&lt;1,0,IFERROR(LOOKUP(2,1/(Sorgo!$E68:INDEX(Sorgo!$E68:$Z68,MIN(L$6-$E$3,22))&lt;&gt;""),Sorgo!$E68:INDEX(Sorgo!$E68:$Z68,MIN(L$6-$E$3,22))),0))-IF($G$2,0,IF((L$6-$G$3)&lt;1,0,IFERROR(LOOKUP(2,1/(Sorgo!$E68:INDEX(Sorgo!$E68:$Z68,MIN(L$6-$G$3,22))&lt;&gt;""),Sorgo!$E68:INDEX(Sorgo!$E68:$Z68,MIN(L$6-$G$3,22))),0)))))</f>
        <v>0</v>
      </c>
      <c r="M70" s="27" t="n">
        <f aca="false">IF(COUNT(Sorgo!$E68:$Z68)=0,0,MAX(0,IF((M$6-$E$3)&lt;1,0,IFERROR(LOOKUP(2,1/(Sorgo!$E68:INDEX(Sorgo!$E68:$Z68,MIN(M$6-$E$3,22))&lt;&gt;""),Sorgo!$E68:INDEX(Sorgo!$E68:$Z68,MIN(M$6-$E$3,22))),0))-IF($G$2,0,IF((M$6-$G$3)&lt;1,0,IFERROR(LOOKUP(2,1/(Sorgo!$E68:INDEX(Sorgo!$E68:$Z68,MIN(M$6-$G$3,22))&lt;&gt;""),Sorgo!$E68:INDEX(Sorgo!$E68:$Z68,MIN(M$6-$G$3,22))),0)))))</f>
        <v>0</v>
      </c>
      <c r="N70" s="27" t="n">
        <f aca="false">IF(COUNT(Sorgo!$E68:$Z68)=0,0,MAX(0,IF((N$6-$E$3)&lt;1,0,IFERROR(LOOKUP(2,1/(Sorgo!$E68:INDEX(Sorgo!$E68:$Z68,MIN(N$6-$E$3,22))&lt;&gt;""),Sorgo!$E68:INDEX(Sorgo!$E68:$Z68,MIN(N$6-$E$3,22))),0))-IF($G$2,0,IF((N$6-$G$3)&lt;1,0,IFERROR(LOOKUP(2,1/(Sorgo!$E68:INDEX(Sorgo!$E68:$Z68,MIN(N$6-$G$3,22))&lt;&gt;""),Sorgo!$E68:INDEX(Sorgo!$E68:$Z68,MIN(N$6-$G$3,22))),0)))))</f>
        <v>0</v>
      </c>
      <c r="O70" s="27" t="n">
        <f aca="false">IF(COUNT(Sorgo!$E68:$Z68)=0,0,MAX(0,IF((O$6-$E$3)&lt;1,0,IFERROR(LOOKUP(2,1/(Sorgo!$E68:INDEX(Sorgo!$E68:$Z68,MIN(O$6-$E$3,22))&lt;&gt;""),Sorgo!$E68:INDEX(Sorgo!$E68:$Z68,MIN(O$6-$E$3,22))),0))-IF($G$2,0,IF((O$6-$G$3)&lt;1,0,IFERROR(LOOKUP(2,1/(Sorgo!$E68:INDEX(Sorgo!$E68:$Z68,MIN(O$6-$G$3,22))&lt;&gt;""),Sorgo!$E68:INDEX(Sorgo!$E68:$Z68,MIN(O$6-$G$3,22))),0)))))</f>
        <v>0</v>
      </c>
      <c r="P70" s="27" t="n">
        <f aca="false">IF(COUNT(Sorgo!$E68:$Z68)=0,0,MAX(0,IF((P$6-$E$3)&lt;1,0,IFERROR(LOOKUP(2,1/(Sorgo!$E68:INDEX(Sorgo!$E68:$Z68,MIN(P$6-$E$3,22))&lt;&gt;""),Sorgo!$E68:INDEX(Sorgo!$E68:$Z68,MIN(P$6-$E$3,22))),0))-IF($G$2,0,IF((P$6-$G$3)&lt;1,0,IFERROR(LOOKUP(2,1/(Sorgo!$E68:INDEX(Sorgo!$E68:$Z68,MIN(P$6-$G$3,22))&lt;&gt;""),Sorgo!$E68:INDEX(Sorgo!$E68:$Z68,MIN(P$6-$G$3,22))),0)))))</f>
        <v>0</v>
      </c>
      <c r="Q70" s="27" t="n">
        <f aca="false">IF(COUNT(Sorgo!$E68:$Z68)=0,0,MAX(0,IF((Q$6-$E$3)&lt;1,0,IFERROR(LOOKUP(2,1/(Sorgo!$E68:INDEX(Sorgo!$E68:$Z68,MIN(Q$6-$E$3,22))&lt;&gt;""),Sorgo!$E68:INDEX(Sorgo!$E68:$Z68,MIN(Q$6-$E$3,22))),0))-IF($G$2,0,IF((Q$6-$G$3)&lt;1,0,IFERROR(LOOKUP(2,1/(Sorgo!$E68:INDEX(Sorgo!$E68:$Z68,MIN(Q$6-$G$3,22))&lt;&gt;""),Sorgo!$E68:INDEX(Sorgo!$E68:$Z68,MIN(Q$6-$G$3,22))),0)))))</f>
        <v>0</v>
      </c>
      <c r="R70" s="27" t="n">
        <f aca="false">IF(COUNT(Sorgo!$E68:$Z68)=0,0,MAX(0,IF((R$6-$E$3)&lt;1,0,IFERROR(LOOKUP(2,1/(Sorgo!$E68:INDEX(Sorgo!$E68:$Z68,MIN(R$6-$E$3,22))&lt;&gt;""),Sorgo!$E68:INDEX(Sorgo!$E68:$Z68,MIN(R$6-$E$3,22))),0))-IF($G$2,0,IF((R$6-$G$3)&lt;1,0,IFERROR(LOOKUP(2,1/(Sorgo!$E68:INDEX(Sorgo!$E68:$Z68,MIN(R$6-$G$3,22))&lt;&gt;""),Sorgo!$E68:INDEX(Sorgo!$E68:$Z68,MIN(R$6-$G$3,22))),0)))))</f>
        <v>0</v>
      </c>
      <c r="S70" s="27" t="n">
        <f aca="false">IF(COUNT(Sorgo!$E68:$Z68)=0,0,MAX(0,IF((S$6-$E$3)&lt;1,0,IFERROR(LOOKUP(2,1/(Sorgo!$E68:INDEX(Sorgo!$E68:$Z68,MIN(S$6-$E$3,22))&lt;&gt;""),Sorgo!$E68:INDEX(Sorgo!$E68:$Z68,MIN(S$6-$E$3,22))),0))-IF($G$2,0,IF((S$6-$G$3)&lt;1,0,IFERROR(LOOKUP(2,1/(Sorgo!$E68:INDEX(Sorgo!$E68:$Z68,MIN(S$6-$G$3,22))&lt;&gt;""),Sorgo!$E68:INDEX(Sorgo!$E68:$Z68,MIN(S$6-$G$3,22))),0)))))</f>
        <v>0</v>
      </c>
      <c r="T70" s="27" t="n">
        <f aca="false">IF(COUNT(Sorgo!$E68:$Z68)=0,0,MAX(0,IF((T$6-$E$3)&lt;1,0,IFERROR(LOOKUP(2,1/(Sorgo!$E68:INDEX(Sorgo!$E68:$Z68,MIN(T$6-$E$3,22))&lt;&gt;""),Sorgo!$E68:INDEX(Sorgo!$E68:$Z68,MIN(T$6-$E$3,22))),0))-IF($G$2,0,IF((T$6-$G$3)&lt;1,0,IFERROR(LOOKUP(2,1/(Sorgo!$E68:INDEX(Sorgo!$E68:$Z68,MIN(T$6-$G$3,22))&lt;&gt;""),Sorgo!$E68:INDEX(Sorgo!$E68:$Z68,MIN(T$6-$G$3,22))),0)))))</f>
        <v>0</v>
      </c>
      <c r="U70" s="27" t="n">
        <f aca="false">IF(COUNT(Sorgo!$E68:$Z68)=0,0,MAX(0,IF((U$6-$E$3)&lt;1,0,IFERROR(LOOKUP(2,1/(Sorgo!$E68:INDEX(Sorgo!$E68:$Z68,MIN(U$6-$E$3,22))&lt;&gt;""),Sorgo!$E68:INDEX(Sorgo!$E68:$Z68,MIN(U$6-$E$3,22))),0))-IF($G$2,0,IF((U$6-$G$3)&lt;1,0,IFERROR(LOOKUP(2,1/(Sorgo!$E68:INDEX(Sorgo!$E68:$Z68,MIN(U$6-$G$3,22))&lt;&gt;""),Sorgo!$E68:INDEX(Sorgo!$E68:$Z68,MIN(U$6-$G$3,22))),0)))))</f>
        <v>0</v>
      </c>
      <c r="V70" s="27" t="n">
        <f aca="false">IF(COUNT(Sorgo!$E68:$Z68)=0,0,MAX(0,IF((V$6-$E$3)&lt;1,0,IFERROR(LOOKUP(2,1/(Sorgo!$E68:INDEX(Sorgo!$E68:$Z68,MIN(V$6-$E$3,22))&lt;&gt;""),Sorgo!$E68:INDEX(Sorgo!$E68:$Z68,MIN(V$6-$E$3,22))),0))-IF($G$2,0,IF((V$6-$G$3)&lt;1,0,IFERROR(LOOKUP(2,1/(Sorgo!$E68:INDEX(Sorgo!$E68:$Z68,MIN(V$6-$G$3,22))&lt;&gt;""),Sorgo!$E68:INDEX(Sorgo!$E68:$Z68,MIN(V$6-$G$3,22))),0)))))</f>
        <v>0</v>
      </c>
      <c r="W70" s="27" t="n">
        <f aca="false">IF(COUNT(Sorgo!$E68:$Z68)=0,0,MAX(0,IF((W$6-$E$3)&lt;1,0,IFERROR(LOOKUP(2,1/(Sorgo!$E68:INDEX(Sorgo!$E68:$Z68,MIN(W$6-$E$3,22))&lt;&gt;""),Sorgo!$E68:INDEX(Sorgo!$E68:$Z68,MIN(W$6-$E$3,22))),0))-IF($G$2,0,IF((W$6-$G$3)&lt;1,0,IFERROR(LOOKUP(2,1/(Sorgo!$E68:INDEX(Sorgo!$E68:$Z68,MIN(W$6-$G$3,22))&lt;&gt;""),Sorgo!$E68:INDEX(Sorgo!$E68:$Z68,MIN(W$6-$G$3,22))),0)))))</f>
        <v>0</v>
      </c>
      <c r="X70" s="27" t="n">
        <f aca="false">IF(COUNT(Sorgo!$E68:$Z68)=0,0,MAX(0,IF((X$6-$E$3)&lt;1,0,IFERROR(LOOKUP(2,1/(Sorgo!$E68:INDEX(Sorgo!$E68:$Z68,MIN(X$6-$E$3,22))&lt;&gt;""),Sorgo!$E68:INDEX(Sorgo!$E68:$Z68,MIN(X$6-$E$3,22))),0))-IF($G$2,0,IF((X$6-$G$3)&lt;1,0,IFERROR(LOOKUP(2,1/(Sorgo!$E68:INDEX(Sorgo!$E68:$Z68,MIN(X$6-$G$3,22))&lt;&gt;""),Sorgo!$E68:INDEX(Sorgo!$E68:$Z68,MIN(X$6-$G$3,22))),0)))))</f>
        <v>0</v>
      </c>
      <c r="Y70" s="27" t="n">
        <f aca="false">IF(COUNT(Sorgo!$E68:$Z68)=0,0,MAX(0,IF((Y$6-$E$3)&lt;1,0,IFERROR(LOOKUP(2,1/(Sorgo!$E68:INDEX(Sorgo!$E68:$Z68,MIN(Y$6-$E$3,22))&lt;&gt;""),Sorgo!$E68:INDEX(Sorgo!$E68:$Z68,MIN(Y$6-$E$3,22))),0))-IF($G$2,0,IF((Y$6-$G$3)&lt;1,0,IFERROR(LOOKUP(2,1/(Sorgo!$E68:INDEX(Sorgo!$E68:$Z68,MIN(Y$6-$G$3,22))&lt;&gt;""),Sorgo!$E68:INDEX(Sorgo!$E68:$Z68,MIN(Y$6-$G$3,22))),0)))))</f>
        <v>0</v>
      </c>
      <c r="Z70" s="27" t="n">
        <f aca="false">IF(COUNT(Sorgo!$E68:$Z68)=0,0,MAX(0,IF((Z$6-$E$3)&lt;1,0,IFERROR(LOOKUP(2,1/(Sorgo!$E68:INDEX(Sorgo!$E68:$Z68,MIN(Z$6-$E$3,22))&lt;&gt;""),Sorgo!$E68:INDEX(Sorgo!$E68:$Z68,MIN(Z$6-$E$3,22))),0))-IF($G$2,0,IF((Z$6-$G$3)&lt;1,0,IFERROR(LOOKUP(2,1/(Sorgo!$E68:INDEX(Sorgo!$E68:$Z68,MIN(Z$6-$G$3,22))&lt;&gt;""),Sorgo!$E68:INDEX(Sorgo!$E68:$Z68,MIN(Z$6-$G$3,22))),0)))))</f>
        <v>0</v>
      </c>
      <c r="AA70" s="27" t="n">
        <f aca="false">IF(COUNT(Sorgo!$E68:$Z68)=0,0,MAX(0,IF((AA$6-$E$3)&lt;1,0,IFERROR(LOOKUP(2,1/(Sorgo!$E68:INDEX(Sorgo!$E68:$Z68,MIN(AA$6-$E$3,22))&lt;&gt;""),Sorgo!$E68:INDEX(Sorgo!$E68:$Z68,MIN(AA$6-$E$3,22))),0))-IF($G$2,0,IF((AA$6-$G$3)&lt;1,0,IFERROR(LOOKUP(2,1/(Sorgo!$E68:INDEX(Sorgo!$E68:$Z68,MIN(AA$6-$G$3,22))&lt;&gt;""),Sorgo!$E68:INDEX(Sorgo!$E68:$Z68,MIN(AA$6-$G$3,22))),0)))))</f>
        <v>0</v>
      </c>
      <c r="AB70" s="27" t="n">
        <f aca="false">IF(COUNT(Sorgo!$E68:$Z68)=0,0,MAX(0,IF((AB$6-$E$3)&lt;1,0,IFERROR(LOOKUP(2,1/(Sorgo!$E68:INDEX(Sorgo!$E68:$Z68,MIN(AB$6-$E$3,22))&lt;&gt;""),Sorgo!$E68:INDEX(Sorgo!$E68:$Z68,MIN(AB$6-$E$3,22))),0))-IF($G$2,0,IF((AB$6-$G$3)&lt;1,0,IFERROR(LOOKUP(2,1/(Sorgo!$E68:INDEX(Sorgo!$E68:$Z68,MIN(AB$6-$G$3,22))&lt;&gt;""),Sorgo!$E68:INDEX(Sorgo!$E68:$Z68,MIN(AB$6-$G$3,22))),0)))))</f>
        <v>0</v>
      </c>
      <c r="AC70" s="27" t="n">
        <f aca="false">IF(COUNT(Sorgo!$E68:$Z68)=0,0,MAX(0,IF((AC$6-$E$3)&lt;1,0,IFERROR(LOOKUP(2,1/(Sorgo!$E68:INDEX(Sorgo!$E68:$Z68,MIN(AC$6-$E$3,22))&lt;&gt;""),Sorgo!$E68:INDEX(Sorgo!$E68:$Z68,MIN(AC$6-$E$3,22))),0))-IF($G$2,0,IF((AC$6-$G$3)&lt;1,0,IFERROR(LOOKUP(2,1/(Sorgo!$E68:INDEX(Sorgo!$E68:$Z68,MIN(AC$6-$G$3,22))&lt;&gt;""),Sorgo!$E68:INDEX(Sorgo!$E68:$Z68,MIN(AC$6-$G$3,22))),0)))))</f>
        <v>0</v>
      </c>
      <c r="AD70" s="27" t="n">
        <f aca="false">IF(COUNT(Sorgo!$E68:$Z68)=0,0,MAX(0,IF((AD$6-$E$3)&lt;1,0,IFERROR(LOOKUP(2,1/(Sorgo!$E68:INDEX(Sorgo!$E68:$Z68,MIN(AD$6-$E$3,22))&lt;&gt;""),Sorgo!$E68:INDEX(Sorgo!$E68:$Z68,MIN(AD$6-$E$3,22))),0))-IF($G$2,0,IF((AD$6-$G$3)&lt;1,0,IFERROR(LOOKUP(2,1/(Sorgo!$E68:INDEX(Sorgo!$E68:$Z68,MIN(AD$6-$G$3,22))&lt;&gt;""),Sorgo!$E68:INDEX(Sorgo!$E68:$Z68,MIN(AD$6-$G$3,22))),0)))))</f>
        <v>0</v>
      </c>
      <c r="AE70" s="27" t="n">
        <f aca="false">IF(COUNT(Sorgo!$E68:$Z68)=0,0,MAX(0,IF((AE$6-$E$3)&lt;1,0,IFERROR(LOOKUP(2,1/(Sorgo!$E68:INDEX(Sorgo!$E68:$Z68,MIN(AE$6-$E$3,22))&lt;&gt;""),Sorgo!$E68:INDEX(Sorgo!$E68:$Z68,MIN(AE$6-$E$3,22))),0))-IF($G$2,0,IF((AE$6-$G$3)&lt;1,0,IFERROR(LOOKUP(2,1/(Sorgo!$E68:INDEX(Sorgo!$E68:$Z68,MIN(AE$6-$G$3,22))&lt;&gt;""),Sorgo!$E68:INDEX(Sorgo!$E68:$Z68,MIN(AE$6-$G$3,22))),0)))))</f>
        <v>0</v>
      </c>
      <c r="AF70" s="27" t="n">
        <f aca="false">IF(COUNT(Sorgo!$E68:$Z68)=0,0,MAX(0,IF((AF$6-$E$3)&lt;1,0,IFERROR(LOOKUP(2,1/(Sorgo!$E68:INDEX(Sorgo!$E68:$Z68,MIN(AF$6-$E$3,22))&lt;&gt;""),Sorgo!$E68:INDEX(Sorgo!$E68:$Z68,MIN(AF$6-$E$3,22))),0))-IF($G$2,0,IF((AF$6-$G$3)&lt;1,0,IFERROR(LOOKUP(2,1/(Sorgo!$E68:INDEX(Sorgo!$E68:$Z68,MIN(AF$6-$G$3,22))&lt;&gt;""),Sorgo!$E68:INDEX(Sorgo!$E68:$Z68,MIN(AF$6-$G$3,22))),0)))))</f>
        <v>0</v>
      </c>
      <c r="AG70" s="27" t="n">
        <f aca="false">IF(COUNT(Sorgo!$E68:$Z68)=0,0,MAX(0,IF((AG$6-$E$3)&lt;1,0,IFERROR(LOOKUP(2,1/(Sorgo!$E68:INDEX(Sorgo!$E68:$Z68,MIN(AG$6-$E$3,22))&lt;&gt;""),Sorgo!$E68:INDEX(Sorgo!$E68:$Z68,MIN(AG$6-$E$3,22))),0))-IF($G$2,0,IF((AG$6-$G$3)&lt;1,0,IFERROR(LOOKUP(2,1/(Sorgo!$E68:INDEX(Sorgo!$E68:$Z68,MIN(AG$6-$G$3,22))&lt;&gt;""),Sorgo!$E68:INDEX(Sorgo!$E68:$Z68,MIN(AG$6-$G$3,22))),0)))))</f>
        <v>0</v>
      </c>
      <c r="AH70" s="27" t="n">
        <f aca="false">IF(COUNT(Sorgo!$E68:$Z68)=0,0,MAX(0,IF((AH$6-$E$3)&lt;1,0,IFERROR(LOOKUP(2,1/(Sorgo!$E68:INDEX(Sorgo!$E68:$Z68,MIN(AH$6-$E$3,22))&lt;&gt;""),Sorgo!$E68:INDEX(Sorgo!$E68:$Z68,MIN(AH$6-$E$3,22))),0))-IF($G$2,0,IF((AH$6-$G$3)&lt;1,0,IFERROR(LOOKUP(2,1/(Sorgo!$E68:INDEX(Sorgo!$E68:$Z68,MIN(AH$6-$G$3,22))&lt;&gt;""),Sorgo!$E68:INDEX(Sorgo!$E68:$Z68,MIN(AH$6-$G$3,22))),0)))))</f>
        <v>0</v>
      </c>
      <c r="AI70" s="27" t="n">
        <f aca="false">IF(COUNT(Sorgo!$E68:$Z68)=0,0,MAX(0,IF((AI$6-$E$3)&lt;1,0,IFERROR(LOOKUP(2,1/(Sorgo!$E68:INDEX(Sorgo!$E68:$Z68,MIN(AI$6-$E$3,22))&lt;&gt;""),Sorgo!$E68:INDEX(Sorgo!$E68:$Z68,MIN(AI$6-$E$3,22))),0))-IF($G$2,0,IF((AI$6-$G$3)&lt;1,0,IFERROR(LOOKUP(2,1/(Sorgo!$E68:INDEX(Sorgo!$E68:$Z68,MIN(AI$6-$G$3,22))&lt;&gt;""),Sorgo!$E68:INDEX(Sorgo!$E68:$Z68,MIN(AI$6-$G$3,22))),0)))))</f>
        <v>0</v>
      </c>
      <c r="AJ70" s="27" t="n">
        <f aca="false">IF(COUNT(Sorgo!$E68:$Z68)=0,0,MAX(0,IF((AJ$6-$E$3)&lt;1,0,IFERROR(LOOKUP(2,1/(Sorgo!$E68:INDEX(Sorgo!$E68:$Z68,MIN(AJ$6-$E$3,22))&lt;&gt;""),Sorgo!$E68:INDEX(Sorgo!$E68:$Z68,MIN(AJ$6-$E$3,22))),0))-IF($G$2,0,IF((AJ$6-$G$3)&lt;1,0,IFERROR(LOOKUP(2,1/(Sorgo!$E68:INDEX(Sorgo!$E68:$Z68,MIN(AJ$6-$G$3,22))&lt;&gt;""),Sorgo!$E68:INDEX(Sorgo!$E68:$Z68,MIN(AJ$6-$G$3,22))),0)))))</f>
        <v>0</v>
      </c>
      <c r="AK70" s="27" t="n">
        <f aca="false">IF(COUNT(Sorgo!$E68:$Z68)=0,0,MAX(0,IF((AK$6-$E$3)&lt;1,0,IFERROR(LOOKUP(2,1/(Sorgo!$E68:INDEX(Sorgo!$E68:$Z68,MIN(AK$6-$E$3,22))&lt;&gt;""),Sorgo!$E68:INDEX(Sorgo!$E68:$Z68,MIN(AK$6-$E$3,22))),0))-IF($G$2,0,IF((AK$6-$G$3)&lt;1,0,IFERROR(LOOKUP(2,1/(Sorgo!$E68:INDEX(Sorgo!$E68:$Z68,MIN(AK$6-$G$3,22))&lt;&gt;""),Sorgo!$E68:INDEX(Sorgo!$E68:$Z68,MIN(AK$6-$G$3,22))),0)))))</f>
        <v>0</v>
      </c>
      <c r="AL70" s="27" t="n">
        <f aca="false">IF(COUNT(Sorgo!$E68:$Z68)=0,0,MAX(0,IF((AL$6-$E$3)&lt;1,0,IFERROR(LOOKUP(2,1/(Sorgo!$E68:INDEX(Sorgo!$E68:$Z68,MIN(AL$6-$E$3,22))&lt;&gt;""),Sorgo!$E68:INDEX(Sorgo!$E68:$Z68,MIN(AL$6-$E$3,22))),0))-IF($G$2,0,IF((AL$6-$G$3)&lt;1,0,IFERROR(LOOKUP(2,1/(Sorgo!$E68:INDEX(Sorgo!$E68:$Z68,MIN(AL$6-$G$3,22))&lt;&gt;""),Sorgo!$E68:INDEX(Sorgo!$E68:$Z68,MIN(AL$6-$G$3,22))),0)))))</f>
        <v>0</v>
      </c>
      <c r="AM70" s="27" t="n">
        <f aca="false">IF(COUNT(Sorgo!$E68:$Z68)=0,0,MAX(0,IF((AM$6-$E$3)&lt;1,0,IFERROR(LOOKUP(2,1/(Sorgo!$E68:INDEX(Sorgo!$E68:$Z68,MIN(AM$6-$E$3,22))&lt;&gt;""),Sorgo!$E68:INDEX(Sorgo!$E68:$Z68,MIN(AM$6-$E$3,22))),0))-IF($G$2,0,IF((AM$6-$G$3)&lt;1,0,IFERROR(LOOKUP(2,1/(Sorgo!$E68:INDEX(Sorgo!$E68:$Z68,MIN(AM$6-$G$3,22))&lt;&gt;""),Sorgo!$E68:INDEX(Sorgo!$E68:$Z68,MIN(AM$6-$G$3,22))),0)))))</f>
        <v>0</v>
      </c>
      <c r="AN70" s="27" t="n">
        <f aca="false">IF(COUNT(Sorgo!$E68:$Z68)=0,0,MAX(0,IF((AN$6-$E$3)&lt;1,0,IFERROR(LOOKUP(2,1/(Sorgo!$E68:INDEX(Sorgo!$E68:$Z68,MIN(AN$6-$E$3,22))&lt;&gt;""),Sorgo!$E68:INDEX(Sorgo!$E68:$Z68,MIN(AN$6-$E$3,22))),0))-IF($G$2,0,IF((AN$6-$G$3)&lt;1,0,IFERROR(LOOKUP(2,1/(Sorgo!$E68:INDEX(Sorgo!$E68:$Z68,MIN(AN$6-$G$3,22))&lt;&gt;""),Sorgo!$E68:INDEX(Sorgo!$E68:$Z68,MIN(AN$6-$G$3,22))),0)))))</f>
        <v>0</v>
      </c>
      <c r="AO70" s="27" t="n">
        <f aca="false">IF(COUNT(Sorgo!$E68:$Z68)=0,0,MAX(0,IF((AO$6-$E$3)&lt;1,0,IFERROR(LOOKUP(2,1/(Sorgo!$E68:INDEX(Sorgo!$E68:$Z68,MIN(AO$6-$E$3,22))&lt;&gt;""),Sorgo!$E68:INDEX(Sorgo!$E68:$Z68,MIN(AO$6-$E$3,22))),0))-IF($G$2,0,IF((AO$6-$G$3)&lt;1,0,IFERROR(LOOKUP(2,1/(Sorgo!$E68:INDEX(Sorgo!$E68:$Z68,MIN(AO$6-$G$3,22))&lt;&gt;""),Sorgo!$E68:INDEX(Sorgo!$E68:$Z68,MIN(AO$6-$G$3,22))),0)))))</f>
        <v>0</v>
      </c>
      <c r="AP70" s="27" t="n">
        <f aca="false">IF(COUNT(Sorgo!$E68:$Z68)=0,0,MAX(0,IF((AP$6-$E$3)&lt;1,0,IFERROR(LOOKUP(2,1/(Sorgo!$E68:INDEX(Sorgo!$E68:$Z68,MIN(AP$6-$E$3,22))&lt;&gt;""),Sorgo!$E68:INDEX(Sorgo!$E68:$Z68,MIN(AP$6-$E$3,22))),0))-IF($G$2,0,IF((AP$6-$G$3)&lt;1,0,IFERROR(LOOKUP(2,1/(Sorgo!$E68:INDEX(Sorgo!$E68:$Z68,MIN(AP$6-$G$3,22))&lt;&gt;""),Sorgo!$E68:INDEX(Sorgo!$E68:$Z68,MIN(AP$6-$G$3,22))),0)))))</f>
        <v>0</v>
      </c>
      <c r="AQ70" s="27" t="n">
        <f aca="false">IF(COUNT(Sorgo!$E68:$Z68)=0,0,MAX(0,IF((AQ$6-$E$3)&lt;1,0,IFERROR(LOOKUP(2,1/(Sorgo!$E68:INDEX(Sorgo!$E68:$Z68,MIN(AQ$6-$E$3,22))&lt;&gt;""),Sorgo!$E68:INDEX(Sorgo!$E68:$Z68,MIN(AQ$6-$E$3,22))),0))-IF($G$2,0,IF((AQ$6-$G$3)&lt;1,0,IFERROR(LOOKUP(2,1/(Sorgo!$E68:INDEX(Sorgo!$E68:$Z68,MIN(AQ$6-$G$3,22))&lt;&gt;""),Sorgo!$E68:INDEX(Sorgo!$E68:$Z68,MIN(AQ$6-$G$3,22))),0)))))</f>
        <v>0</v>
      </c>
      <c r="AR70" s="27" t="n">
        <f aca="false">IF(COUNT(Sorgo!$E68:$Z68)=0,0,MAX(0,IF((AR$6-$E$3)&lt;1,0,IFERROR(LOOKUP(2,1/(Sorgo!$E68:INDEX(Sorgo!$E68:$Z68,MIN(AR$6-$E$3,22))&lt;&gt;""),Sorgo!$E68:INDEX(Sorgo!$E68:$Z68,MIN(AR$6-$E$3,22))),0))-IF($G$2,0,IF((AR$6-$G$3)&lt;1,0,IFERROR(LOOKUP(2,1/(Sorgo!$E68:INDEX(Sorgo!$E68:$Z68,MIN(AR$6-$G$3,22))&lt;&gt;""),Sorgo!$E68:INDEX(Sorgo!$E68:$Z68,MIN(AR$6-$G$3,22))),0)))))</f>
        <v>0</v>
      </c>
      <c r="AS70" s="27" t="n">
        <f aca="false">IF(COUNT(Sorgo!$E68:$Z68)=0,0,MAX(0,IF((AS$6-$E$3)&lt;1,0,IFERROR(LOOKUP(2,1/(Sorgo!$E68:INDEX(Sorgo!$E68:$Z68,MIN(AS$6-$E$3,22))&lt;&gt;""),Sorgo!$E68:INDEX(Sorgo!$E68:$Z68,MIN(AS$6-$E$3,22))),0))-IF($G$2,0,IF((AS$6-$G$3)&lt;1,0,IFERROR(LOOKUP(2,1/(Sorgo!$E68:INDEX(Sorgo!$E68:$Z68,MIN(AS$6-$G$3,22))&lt;&gt;""),Sorgo!$E68:INDEX(Sorgo!$E68:$Z68,MIN(AS$6-$G$3,22))),0)))))</f>
        <v>0</v>
      </c>
      <c r="AT70" s="27" t="n">
        <f aca="false">IF(COUNT(Sorgo!$E68:$Z68)=0,0,MAX(0,IF((AT$6-$E$3)&lt;1,0,IFERROR(LOOKUP(2,1/(Sorgo!$E68:INDEX(Sorgo!$E68:$Z68,MIN(AT$6-$E$3,22))&lt;&gt;""),Sorgo!$E68:INDEX(Sorgo!$E68:$Z68,MIN(AT$6-$E$3,22))),0))-IF($G$2,0,IF((AT$6-$G$3)&lt;1,0,IFERROR(LOOKUP(2,1/(Sorgo!$E68:INDEX(Sorgo!$E68:$Z68,MIN(AT$6-$G$3,22))&lt;&gt;""),Sorgo!$E68:INDEX(Sorgo!$E68:$Z68,MIN(AT$6-$G$3,22))),0)))))</f>
        <v>0</v>
      </c>
      <c r="AU70" s="27" t="n">
        <f aca="false">IF(COUNT(Sorgo!$E68:$Z68)=0,0,MAX(0,IF((AU$6-$E$3)&lt;1,0,IFERROR(LOOKUP(2,1/(Sorgo!$E68:INDEX(Sorgo!$E68:$Z68,MIN(AU$6-$E$3,22))&lt;&gt;""),Sorgo!$E68:INDEX(Sorgo!$E68:$Z68,MIN(AU$6-$E$3,22))),0))-IF($G$2,0,IF((AU$6-$G$3)&lt;1,0,IFERROR(LOOKUP(2,1/(Sorgo!$E68:INDEX(Sorgo!$E68:$Z68,MIN(AU$6-$G$3,22))&lt;&gt;""),Sorgo!$E68:INDEX(Sorgo!$E68:$Z68,MIN(AU$6-$G$3,22))),0)))))</f>
        <v>0</v>
      </c>
      <c r="AV70" s="27" t="n">
        <f aca="false">IF(COUNT(Sorgo!$E68:$Z68)=0,0,MAX(0,IF((AV$6-$E$3)&lt;1,0,IFERROR(LOOKUP(2,1/(Sorgo!$E68:INDEX(Sorgo!$E68:$Z68,MIN(AV$6-$E$3,22))&lt;&gt;""),Sorgo!$E68:INDEX(Sorgo!$E68:$Z68,MIN(AV$6-$E$3,22))),0))-IF($G$2,0,IF((AV$6-$G$3)&lt;1,0,IFERROR(LOOKUP(2,1/(Sorgo!$E68:INDEX(Sorgo!$E68:$Z68,MIN(AV$6-$G$3,22))&lt;&gt;""),Sorgo!$E68:INDEX(Sorgo!$E68:$Z68,MIN(AV$6-$G$3,22))),0)))))</f>
        <v>0</v>
      </c>
      <c r="AW70" s="27" t="n">
        <f aca="false">IF(COUNT(Sorgo!$E68:$Z68)=0,0,MAX(0,IF((AW$6-$E$3)&lt;1,0,IFERROR(LOOKUP(2,1/(Sorgo!$E68:INDEX(Sorgo!$E68:$Z68,MIN(AW$6-$E$3,22))&lt;&gt;""),Sorgo!$E68:INDEX(Sorgo!$E68:$Z68,MIN(AW$6-$E$3,22))),0))-IF($G$2,0,IF((AW$6-$G$3)&lt;1,0,IFERROR(LOOKUP(2,1/(Sorgo!$E68:INDEX(Sorgo!$E68:$Z68,MIN(AW$6-$G$3,22))&lt;&gt;""),Sorgo!$E68:INDEX(Sorgo!$E68:$Z68,MIN(AW$6-$G$3,22))),0)))))</f>
        <v>0</v>
      </c>
      <c r="AX70" s="27" t="n">
        <f aca="false">IF(COUNT(Sorgo!$E68:$Z68)=0,0,MAX(0,IF((AX$6-$E$3)&lt;1,0,IFERROR(LOOKUP(2,1/(Sorgo!$E68:INDEX(Sorgo!$E68:$Z68,MIN(AX$6-$E$3,22))&lt;&gt;""),Sorgo!$E68:INDEX(Sorgo!$E68:$Z68,MIN(AX$6-$E$3,22))),0))-IF($G$2,0,IF((AX$6-$G$3)&lt;1,0,IFERROR(LOOKUP(2,1/(Sorgo!$E68:INDEX(Sorgo!$E68:$Z68,MIN(AX$6-$G$3,22))&lt;&gt;""),Sorgo!$E68:INDEX(Sorgo!$E68:$Z68,MIN(AX$6-$G$3,22))),0)))))</f>
        <v>0</v>
      </c>
      <c r="AY70" s="27" t="n">
        <f aca="false">IF(COUNT(Sorgo!$E68:$Z68)=0,0,MAX(0,IF((AY$6-$E$3)&lt;1,0,IFERROR(LOOKUP(2,1/(Sorgo!$E68:INDEX(Sorgo!$E68:$Z68,MIN(AY$6-$E$3,22))&lt;&gt;""),Sorgo!$E68:INDEX(Sorgo!$E68:$Z68,MIN(AY$6-$E$3,22))),0))-IF($G$2,0,IF((AY$6-$G$3)&lt;1,0,IFERROR(LOOKUP(2,1/(Sorgo!$E68:INDEX(Sorgo!$E68:$Z68,MIN(AY$6-$G$3,22))&lt;&gt;""),Sorgo!$E68:INDEX(Sorgo!$E68:$Z68,MIN(AY$6-$G$3,22))),0)))))</f>
        <v>0</v>
      </c>
      <c r="AZ70" s="27" t="n">
        <f aca="false">IF(COUNT(Sorgo!$E68:$Z68)=0,0,MAX(0,IF((AZ$6-$E$3)&lt;1,0,IFERROR(LOOKUP(2,1/(Sorgo!$E68:INDEX(Sorgo!$E68:$Z68,MIN(AZ$6-$E$3,22))&lt;&gt;""),Sorgo!$E68:INDEX(Sorgo!$E68:$Z68,MIN(AZ$6-$E$3,22))),0))-IF($G$2,0,IF((AZ$6-$G$3)&lt;1,0,IFERROR(LOOKUP(2,1/(Sorgo!$E68:INDEX(Sorgo!$E68:$Z68,MIN(AZ$6-$G$3,22))&lt;&gt;""),Sorgo!$E68:INDEX(Sorgo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IF(COUNT(Sorgo!$E69:$Z69)&gt;0,N(Sorgo!$D69),0)</f>
        <v>0</v>
      </c>
      <c r="E71" s="27" t="n">
        <f aca="false">IF(COUNT(Sorgo!$E69:$Z69)=0,0,MAX(0,IF((E$6-$E$3)&lt;1,0,IFERROR(LOOKUP(2,1/(Sorgo!$E69:INDEX(Sorgo!$E69:$Z69,MIN(E$6-$E$3,22))&lt;&gt;""),Sorgo!$E69:INDEX(Sorgo!$E69:$Z69,MIN(E$6-$E$3,22))),0))-IF($G$2,0,IF((E$6-$G$3)&lt;1,0,IFERROR(LOOKUP(2,1/(Sorgo!$E69:INDEX(Sorgo!$E69:$Z69,MIN(E$6-$G$3,22))&lt;&gt;""),Sorgo!$E69:INDEX(Sorgo!$E69:$Z69,MIN(E$6-$G$3,22))),0)))))</f>
        <v>0</v>
      </c>
      <c r="F71" s="27" t="n">
        <f aca="false">IF(COUNT(Sorgo!$E69:$Z69)=0,0,MAX(0,IF((F$6-$E$3)&lt;1,0,IFERROR(LOOKUP(2,1/(Sorgo!$E69:INDEX(Sorgo!$E69:$Z69,MIN(F$6-$E$3,22))&lt;&gt;""),Sorgo!$E69:INDEX(Sorgo!$E69:$Z69,MIN(F$6-$E$3,22))),0))-IF($G$2,0,IF((F$6-$G$3)&lt;1,0,IFERROR(LOOKUP(2,1/(Sorgo!$E69:INDEX(Sorgo!$E69:$Z69,MIN(F$6-$G$3,22))&lt;&gt;""),Sorgo!$E69:INDEX(Sorgo!$E69:$Z69,MIN(F$6-$G$3,22))),0)))))</f>
        <v>0</v>
      </c>
      <c r="G71" s="27" t="n">
        <f aca="false">IF(COUNT(Sorgo!$E69:$Z69)=0,0,MAX(0,IF((G$6-$E$3)&lt;1,0,IFERROR(LOOKUP(2,1/(Sorgo!$E69:INDEX(Sorgo!$E69:$Z69,MIN(G$6-$E$3,22))&lt;&gt;""),Sorgo!$E69:INDEX(Sorgo!$E69:$Z69,MIN(G$6-$E$3,22))),0))-IF($G$2,0,IF((G$6-$G$3)&lt;1,0,IFERROR(LOOKUP(2,1/(Sorgo!$E69:INDEX(Sorgo!$E69:$Z69,MIN(G$6-$G$3,22))&lt;&gt;""),Sorgo!$E69:INDEX(Sorgo!$E69:$Z69,MIN(G$6-$G$3,22))),0)))))</f>
        <v>0</v>
      </c>
      <c r="H71" s="27" t="n">
        <f aca="false">IF(COUNT(Sorgo!$E69:$Z69)=0,0,MAX(0,IF((H$6-$E$3)&lt;1,0,IFERROR(LOOKUP(2,1/(Sorgo!$E69:INDEX(Sorgo!$E69:$Z69,MIN(H$6-$E$3,22))&lt;&gt;""),Sorgo!$E69:INDEX(Sorgo!$E69:$Z69,MIN(H$6-$E$3,22))),0))-IF($G$2,0,IF((H$6-$G$3)&lt;1,0,IFERROR(LOOKUP(2,1/(Sorgo!$E69:INDEX(Sorgo!$E69:$Z69,MIN(H$6-$G$3,22))&lt;&gt;""),Sorgo!$E69:INDEX(Sorgo!$E69:$Z69,MIN(H$6-$G$3,22))),0)))))</f>
        <v>0</v>
      </c>
      <c r="I71" s="27" t="n">
        <f aca="false">IF(COUNT(Sorgo!$E69:$Z69)=0,0,MAX(0,IF((I$6-$E$3)&lt;1,0,IFERROR(LOOKUP(2,1/(Sorgo!$E69:INDEX(Sorgo!$E69:$Z69,MIN(I$6-$E$3,22))&lt;&gt;""),Sorgo!$E69:INDEX(Sorgo!$E69:$Z69,MIN(I$6-$E$3,22))),0))-IF($G$2,0,IF((I$6-$G$3)&lt;1,0,IFERROR(LOOKUP(2,1/(Sorgo!$E69:INDEX(Sorgo!$E69:$Z69,MIN(I$6-$G$3,22))&lt;&gt;""),Sorgo!$E69:INDEX(Sorgo!$E69:$Z69,MIN(I$6-$G$3,22))),0)))))</f>
        <v>0</v>
      </c>
      <c r="J71" s="27" t="n">
        <f aca="false">IF(COUNT(Sorgo!$E69:$Z69)=0,0,MAX(0,IF((J$6-$E$3)&lt;1,0,IFERROR(LOOKUP(2,1/(Sorgo!$E69:INDEX(Sorgo!$E69:$Z69,MIN(J$6-$E$3,22))&lt;&gt;""),Sorgo!$E69:INDEX(Sorgo!$E69:$Z69,MIN(J$6-$E$3,22))),0))-IF($G$2,0,IF((J$6-$G$3)&lt;1,0,IFERROR(LOOKUP(2,1/(Sorgo!$E69:INDEX(Sorgo!$E69:$Z69,MIN(J$6-$G$3,22))&lt;&gt;""),Sorgo!$E69:INDEX(Sorgo!$E69:$Z69,MIN(J$6-$G$3,22))),0)))))</f>
        <v>0</v>
      </c>
      <c r="K71" s="27" t="n">
        <f aca="false">IF(COUNT(Sorgo!$E69:$Z69)=0,0,MAX(0,IF((K$6-$E$3)&lt;1,0,IFERROR(LOOKUP(2,1/(Sorgo!$E69:INDEX(Sorgo!$E69:$Z69,MIN(K$6-$E$3,22))&lt;&gt;""),Sorgo!$E69:INDEX(Sorgo!$E69:$Z69,MIN(K$6-$E$3,22))),0))-IF($G$2,0,IF((K$6-$G$3)&lt;1,0,IFERROR(LOOKUP(2,1/(Sorgo!$E69:INDEX(Sorgo!$E69:$Z69,MIN(K$6-$G$3,22))&lt;&gt;""),Sorgo!$E69:INDEX(Sorgo!$E69:$Z69,MIN(K$6-$G$3,22))),0)))))</f>
        <v>0</v>
      </c>
      <c r="L71" s="27" t="n">
        <f aca="false">IF(COUNT(Sorgo!$E69:$Z69)=0,0,MAX(0,IF((L$6-$E$3)&lt;1,0,IFERROR(LOOKUP(2,1/(Sorgo!$E69:INDEX(Sorgo!$E69:$Z69,MIN(L$6-$E$3,22))&lt;&gt;""),Sorgo!$E69:INDEX(Sorgo!$E69:$Z69,MIN(L$6-$E$3,22))),0))-IF($G$2,0,IF((L$6-$G$3)&lt;1,0,IFERROR(LOOKUP(2,1/(Sorgo!$E69:INDEX(Sorgo!$E69:$Z69,MIN(L$6-$G$3,22))&lt;&gt;""),Sorgo!$E69:INDEX(Sorgo!$E69:$Z69,MIN(L$6-$G$3,22))),0)))))</f>
        <v>0</v>
      </c>
      <c r="M71" s="27" t="n">
        <f aca="false">IF(COUNT(Sorgo!$E69:$Z69)=0,0,MAX(0,IF((M$6-$E$3)&lt;1,0,IFERROR(LOOKUP(2,1/(Sorgo!$E69:INDEX(Sorgo!$E69:$Z69,MIN(M$6-$E$3,22))&lt;&gt;""),Sorgo!$E69:INDEX(Sorgo!$E69:$Z69,MIN(M$6-$E$3,22))),0))-IF($G$2,0,IF((M$6-$G$3)&lt;1,0,IFERROR(LOOKUP(2,1/(Sorgo!$E69:INDEX(Sorgo!$E69:$Z69,MIN(M$6-$G$3,22))&lt;&gt;""),Sorgo!$E69:INDEX(Sorgo!$E69:$Z69,MIN(M$6-$G$3,22))),0)))))</f>
        <v>0</v>
      </c>
      <c r="N71" s="27" t="n">
        <f aca="false">IF(COUNT(Sorgo!$E69:$Z69)=0,0,MAX(0,IF((N$6-$E$3)&lt;1,0,IFERROR(LOOKUP(2,1/(Sorgo!$E69:INDEX(Sorgo!$E69:$Z69,MIN(N$6-$E$3,22))&lt;&gt;""),Sorgo!$E69:INDEX(Sorgo!$E69:$Z69,MIN(N$6-$E$3,22))),0))-IF($G$2,0,IF((N$6-$G$3)&lt;1,0,IFERROR(LOOKUP(2,1/(Sorgo!$E69:INDEX(Sorgo!$E69:$Z69,MIN(N$6-$G$3,22))&lt;&gt;""),Sorgo!$E69:INDEX(Sorgo!$E69:$Z69,MIN(N$6-$G$3,22))),0)))))</f>
        <v>0</v>
      </c>
      <c r="O71" s="27" t="n">
        <f aca="false">IF(COUNT(Sorgo!$E69:$Z69)=0,0,MAX(0,IF((O$6-$E$3)&lt;1,0,IFERROR(LOOKUP(2,1/(Sorgo!$E69:INDEX(Sorgo!$E69:$Z69,MIN(O$6-$E$3,22))&lt;&gt;""),Sorgo!$E69:INDEX(Sorgo!$E69:$Z69,MIN(O$6-$E$3,22))),0))-IF($G$2,0,IF((O$6-$G$3)&lt;1,0,IFERROR(LOOKUP(2,1/(Sorgo!$E69:INDEX(Sorgo!$E69:$Z69,MIN(O$6-$G$3,22))&lt;&gt;""),Sorgo!$E69:INDEX(Sorgo!$E69:$Z69,MIN(O$6-$G$3,22))),0)))))</f>
        <v>0</v>
      </c>
      <c r="P71" s="27" t="n">
        <f aca="false">IF(COUNT(Sorgo!$E69:$Z69)=0,0,MAX(0,IF((P$6-$E$3)&lt;1,0,IFERROR(LOOKUP(2,1/(Sorgo!$E69:INDEX(Sorgo!$E69:$Z69,MIN(P$6-$E$3,22))&lt;&gt;""),Sorgo!$E69:INDEX(Sorgo!$E69:$Z69,MIN(P$6-$E$3,22))),0))-IF($G$2,0,IF((P$6-$G$3)&lt;1,0,IFERROR(LOOKUP(2,1/(Sorgo!$E69:INDEX(Sorgo!$E69:$Z69,MIN(P$6-$G$3,22))&lt;&gt;""),Sorgo!$E69:INDEX(Sorgo!$E69:$Z69,MIN(P$6-$G$3,22))),0)))))</f>
        <v>0</v>
      </c>
      <c r="Q71" s="27" t="n">
        <f aca="false">IF(COUNT(Sorgo!$E69:$Z69)=0,0,MAX(0,IF((Q$6-$E$3)&lt;1,0,IFERROR(LOOKUP(2,1/(Sorgo!$E69:INDEX(Sorgo!$E69:$Z69,MIN(Q$6-$E$3,22))&lt;&gt;""),Sorgo!$E69:INDEX(Sorgo!$E69:$Z69,MIN(Q$6-$E$3,22))),0))-IF($G$2,0,IF((Q$6-$G$3)&lt;1,0,IFERROR(LOOKUP(2,1/(Sorgo!$E69:INDEX(Sorgo!$E69:$Z69,MIN(Q$6-$G$3,22))&lt;&gt;""),Sorgo!$E69:INDEX(Sorgo!$E69:$Z69,MIN(Q$6-$G$3,22))),0)))))</f>
        <v>0</v>
      </c>
      <c r="R71" s="27" t="n">
        <f aca="false">IF(COUNT(Sorgo!$E69:$Z69)=0,0,MAX(0,IF((R$6-$E$3)&lt;1,0,IFERROR(LOOKUP(2,1/(Sorgo!$E69:INDEX(Sorgo!$E69:$Z69,MIN(R$6-$E$3,22))&lt;&gt;""),Sorgo!$E69:INDEX(Sorgo!$E69:$Z69,MIN(R$6-$E$3,22))),0))-IF($G$2,0,IF((R$6-$G$3)&lt;1,0,IFERROR(LOOKUP(2,1/(Sorgo!$E69:INDEX(Sorgo!$E69:$Z69,MIN(R$6-$G$3,22))&lt;&gt;""),Sorgo!$E69:INDEX(Sorgo!$E69:$Z69,MIN(R$6-$G$3,22))),0)))))</f>
        <v>0</v>
      </c>
      <c r="S71" s="27" t="n">
        <f aca="false">IF(COUNT(Sorgo!$E69:$Z69)=0,0,MAX(0,IF((S$6-$E$3)&lt;1,0,IFERROR(LOOKUP(2,1/(Sorgo!$E69:INDEX(Sorgo!$E69:$Z69,MIN(S$6-$E$3,22))&lt;&gt;""),Sorgo!$E69:INDEX(Sorgo!$E69:$Z69,MIN(S$6-$E$3,22))),0))-IF($G$2,0,IF((S$6-$G$3)&lt;1,0,IFERROR(LOOKUP(2,1/(Sorgo!$E69:INDEX(Sorgo!$E69:$Z69,MIN(S$6-$G$3,22))&lt;&gt;""),Sorgo!$E69:INDEX(Sorgo!$E69:$Z69,MIN(S$6-$G$3,22))),0)))))</f>
        <v>0</v>
      </c>
      <c r="T71" s="27" t="n">
        <f aca="false">IF(COUNT(Sorgo!$E69:$Z69)=0,0,MAX(0,IF((T$6-$E$3)&lt;1,0,IFERROR(LOOKUP(2,1/(Sorgo!$E69:INDEX(Sorgo!$E69:$Z69,MIN(T$6-$E$3,22))&lt;&gt;""),Sorgo!$E69:INDEX(Sorgo!$E69:$Z69,MIN(T$6-$E$3,22))),0))-IF($G$2,0,IF((T$6-$G$3)&lt;1,0,IFERROR(LOOKUP(2,1/(Sorgo!$E69:INDEX(Sorgo!$E69:$Z69,MIN(T$6-$G$3,22))&lt;&gt;""),Sorgo!$E69:INDEX(Sorgo!$E69:$Z69,MIN(T$6-$G$3,22))),0)))))</f>
        <v>0</v>
      </c>
      <c r="U71" s="27" t="n">
        <f aca="false">IF(COUNT(Sorgo!$E69:$Z69)=0,0,MAX(0,IF((U$6-$E$3)&lt;1,0,IFERROR(LOOKUP(2,1/(Sorgo!$E69:INDEX(Sorgo!$E69:$Z69,MIN(U$6-$E$3,22))&lt;&gt;""),Sorgo!$E69:INDEX(Sorgo!$E69:$Z69,MIN(U$6-$E$3,22))),0))-IF($G$2,0,IF((U$6-$G$3)&lt;1,0,IFERROR(LOOKUP(2,1/(Sorgo!$E69:INDEX(Sorgo!$E69:$Z69,MIN(U$6-$G$3,22))&lt;&gt;""),Sorgo!$E69:INDEX(Sorgo!$E69:$Z69,MIN(U$6-$G$3,22))),0)))))</f>
        <v>0</v>
      </c>
      <c r="V71" s="27" t="n">
        <f aca="false">IF(COUNT(Sorgo!$E69:$Z69)=0,0,MAX(0,IF((V$6-$E$3)&lt;1,0,IFERROR(LOOKUP(2,1/(Sorgo!$E69:INDEX(Sorgo!$E69:$Z69,MIN(V$6-$E$3,22))&lt;&gt;""),Sorgo!$E69:INDEX(Sorgo!$E69:$Z69,MIN(V$6-$E$3,22))),0))-IF($G$2,0,IF((V$6-$G$3)&lt;1,0,IFERROR(LOOKUP(2,1/(Sorgo!$E69:INDEX(Sorgo!$E69:$Z69,MIN(V$6-$G$3,22))&lt;&gt;""),Sorgo!$E69:INDEX(Sorgo!$E69:$Z69,MIN(V$6-$G$3,22))),0)))))</f>
        <v>0</v>
      </c>
      <c r="W71" s="27" t="n">
        <f aca="false">IF(COUNT(Sorgo!$E69:$Z69)=0,0,MAX(0,IF((W$6-$E$3)&lt;1,0,IFERROR(LOOKUP(2,1/(Sorgo!$E69:INDEX(Sorgo!$E69:$Z69,MIN(W$6-$E$3,22))&lt;&gt;""),Sorgo!$E69:INDEX(Sorgo!$E69:$Z69,MIN(W$6-$E$3,22))),0))-IF($G$2,0,IF((W$6-$G$3)&lt;1,0,IFERROR(LOOKUP(2,1/(Sorgo!$E69:INDEX(Sorgo!$E69:$Z69,MIN(W$6-$G$3,22))&lt;&gt;""),Sorgo!$E69:INDEX(Sorgo!$E69:$Z69,MIN(W$6-$G$3,22))),0)))))</f>
        <v>0</v>
      </c>
      <c r="X71" s="27" t="n">
        <f aca="false">IF(COUNT(Sorgo!$E69:$Z69)=0,0,MAX(0,IF((X$6-$E$3)&lt;1,0,IFERROR(LOOKUP(2,1/(Sorgo!$E69:INDEX(Sorgo!$E69:$Z69,MIN(X$6-$E$3,22))&lt;&gt;""),Sorgo!$E69:INDEX(Sorgo!$E69:$Z69,MIN(X$6-$E$3,22))),0))-IF($G$2,0,IF((X$6-$G$3)&lt;1,0,IFERROR(LOOKUP(2,1/(Sorgo!$E69:INDEX(Sorgo!$E69:$Z69,MIN(X$6-$G$3,22))&lt;&gt;""),Sorgo!$E69:INDEX(Sorgo!$E69:$Z69,MIN(X$6-$G$3,22))),0)))))</f>
        <v>0</v>
      </c>
      <c r="Y71" s="27" t="n">
        <f aca="false">IF(COUNT(Sorgo!$E69:$Z69)=0,0,MAX(0,IF((Y$6-$E$3)&lt;1,0,IFERROR(LOOKUP(2,1/(Sorgo!$E69:INDEX(Sorgo!$E69:$Z69,MIN(Y$6-$E$3,22))&lt;&gt;""),Sorgo!$E69:INDEX(Sorgo!$E69:$Z69,MIN(Y$6-$E$3,22))),0))-IF($G$2,0,IF((Y$6-$G$3)&lt;1,0,IFERROR(LOOKUP(2,1/(Sorgo!$E69:INDEX(Sorgo!$E69:$Z69,MIN(Y$6-$G$3,22))&lt;&gt;""),Sorgo!$E69:INDEX(Sorgo!$E69:$Z69,MIN(Y$6-$G$3,22))),0)))))</f>
        <v>0</v>
      </c>
      <c r="Z71" s="27" t="n">
        <f aca="false">IF(COUNT(Sorgo!$E69:$Z69)=0,0,MAX(0,IF((Z$6-$E$3)&lt;1,0,IFERROR(LOOKUP(2,1/(Sorgo!$E69:INDEX(Sorgo!$E69:$Z69,MIN(Z$6-$E$3,22))&lt;&gt;""),Sorgo!$E69:INDEX(Sorgo!$E69:$Z69,MIN(Z$6-$E$3,22))),0))-IF($G$2,0,IF((Z$6-$G$3)&lt;1,0,IFERROR(LOOKUP(2,1/(Sorgo!$E69:INDEX(Sorgo!$E69:$Z69,MIN(Z$6-$G$3,22))&lt;&gt;""),Sorgo!$E69:INDEX(Sorgo!$E69:$Z69,MIN(Z$6-$G$3,22))),0)))))</f>
        <v>0</v>
      </c>
      <c r="AA71" s="27" t="n">
        <f aca="false">IF(COUNT(Sorgo!$E69:$Z69)=0,0,MAX(0,IF((AA$6-$E$3)&lt;1,0,IFERROR(LOOKUP(2,1/(Sorgo!$E69:INDEX(Sorgo!$E69:$Z69,MIN(AA$6-$E$3,22))&lt;&gt;""),Sorgo!$E69:INDEX(Sorgo!$E69:$Z69,MIN(AA$6-$E$3,22))),0))-IF($G$2,0,IF((AA$6-$G$3)&lt;1,0,IFERROR(LOOKUP(2,1/(Sorgo!$E69:INDEX(Sorgo!$E69:$Z69,MIN(AA$6-$G$3,22))&lt;&gt;""),Sorgo!$E69:INDEX(Sorgo!$E69:$Z69,MIN(AA$6-$G$3,22))),0)))))</f>
        <v>0</v>
      </c>
      <c r="AB71" s="27" t="n">
        <f aca="false">IF(COUNT(Sorgo!$E69:$Z69)=0,0,MAX(0,IF((AB$6-$E$3)&lt;1,0,IFERROR(LOOKUP(2,1/(Sorgo!$E69:INDEX(Sorgo!$E69:$Z69,MIN(AB$6-$E$3,22))&lt;&gt;""),Sorgo!$E69:INDEX(Sorgo!$E69:$Z69,MIN(AB$6-$E$3,22))),0))-IF($G$2,0,IF((AB$6-$G$3)&lt;1,0,IFERROR(LOOKUP(2,1/(Sorgo!$E69:INDEX(Sorgo!$E69:$Z69,MIN(AB$6-$G$3,22))&lt;&gt;""),Sorgo!$E69:INDEX(Sorgo!$E69:$Z69,MIN(AB$6-$G$3,22))),0)))))</f>
        <v>0</v>
      </c>
      <c r="AC71" s="27" t="n">
        <f aca="false">IF(COUNT(Sorgo!$E69:$Z69)=0,0,MAX(0,IF((AC$6-$E$3)&lt;1,0,IFERROR(LOOKUP(2,1/(Sorgo!$E69:INDEX(Sorgo!$E69:$Z69,MIN(AC$6-$E$3,22))&lt;&gt;""),Sorgo!$E69:INDEX(Sorgo!$E69:$Z69,MIN(AC$6-$E$3,22))),0))-IF($G$2,0,IF((AC$6-$G$3)&lt;1,0,IFERROR(LOOKUP(2,1/(Sorgo!$E69:INDEX(Sorgo!$E69:$Z69,MIN(AC$6-$G$3,22))&lt;&gt;""),Sorgo!$E69:INDEX(Sorgo!$E69:$Z69,MIN(AC$6-$G$3,22))),0)))))</f>
        <v>0</v>
      </c>
      <c r="AD71" s="27" t="n">
        <f aca="false">IF(COUNT(Sorgo!$E69:$Z69)=0,0,MAX(0,IF((AD$6-$E$3)&lt;1,0,IFERROR(LOOKUP(2,1/(Sorgo!$E69:INDEX(Sorgo!$E69:$Z69,MIN(AD$6-$E$3,22))&lt;&gt;""),Sorgo!$E69:INDEX(Sorgo!$E69:$Z69,MIN(AD$6-$E$3,22))),0))-IF($G$2,0,IF((AD$6-$G$3)&lt;1,0,IFERROR(LOOKUP(2,1/(Sorgo!$E69:INDEX(Sorgo!$E69:$Z69,MIN(AD$6-$G$3,22))&lt;&gt;""),Sorgo!$E69:INDEX(Sorgo!$E69:$Z69,MIN(AD$6-$G$3,22))),0)))))</f>
        <v>0</v>
      </c>
      <c r="AE71" s="27" t="n">
        <f aca="false">IF(COUNT(Sorgo!$E69:$Z69)=0,0,MAX(0,IF((AE$6-$E$3)&lt;1,0,IFERROR(LOOKUP(2,1/(Sorgo!$E69:INDEX(Sorgo!$E69:$Z69,MIN(AE$6-$E$3,22))&lt;&gt;""),Sorgo!$E69:INDEX(Sorgo!$E69:$Z69,MIN(AE$6-$E$3,22))),0))-IF($G$2,0,IF((AE$6-$G$3)&lt;1,0,IFERROR(LOOKUP(2,1/(Sorgo!$E69:INDEX(Sorgo!$E69:$Z69,MIN(AE$6-$G$3,22))&lt;&gt;""),Sorgo!$E69:INDEX(Sorgo!$E69:$Z69,MIN(AE$6-$G$3,22))),0)))))</f>
        <v>0</v>
      </c>
      <c r="AF71" s="27" t="n">
        <f aca="false">IF(COUNT(Sorgo!$E69:$Z69)=0,0,MAX(0,IF((AF$6-$E$3)&lt;1,0,IFERROR(LOOKUP(2,1/(Sorgo!$E69:INDEX(Sorgo!$E69:$Z69,MIN(AF$6-$E$3,22))&lt;&gt;""),Sorgo!$E69:INDEX(Sorgo!$E69:$Z69,MIN(AF$6-$E$3,22))),0))-IF($G$2,0,IF((AF$6-$G$3)&lt;1,0,IFERROR(LOOKUP(2,1/(Sorgo!$E69:INDEX(Sorgo!$E69:$Z69,MIN(AF$6-$G$3,22))&lt;&gt;""),Sorgo!$E69:INDEX(Sorgo!$E69:$Z69,MIN(AF$6-$G$3,22))),0)))))</f>
        <v>0</v>
      </c>
      <c r="AG71" s="27" t="n">
        <f aca="false">IF(COUNT(Sorgo!$E69:$Z69)=0,0,MAX(0,IF((AG$6-$E$3)&lt;1,0,IFERROR(LOOKUP(2,1/(Sorgo!$E69:INDEX(Sorgo!$E69:$Z69,MIN(AG$6-$E$3,22))&lt;&gt;""),Sorgo!$E69:INDEX(Sorgo!$E69:$Z69,MIN(AG$6-$E$3,22))),0))-IF($G$2,0,IF((AG$6-$G$3)&lt;1,0,IFERROR(LOOKUP(2,1/(Sorgo!$E69:INDEX(Sorgo!$E69:$Z69,MIN(AG$6-$G$3,22))&lt;&gt;""),Sorgo!$E69:INDEX(Sorgo!$E69:$Z69,MIN(AG$6-$G$3,22))),0)))))</f>
        <v>0</v>
      </c>
      <c r="AH71" s="27" t="n">
        <f aca="false">IF(COUNT(Sorgo!$E69:$Z69)=0,0,MAX(0,IF((AH$6-$E$3)&lt;1,0,IFERROR(LOOKUP(2,1/(Sorgo!$E69:INDEX(Sorgo!$E69:$Z69,MIN(AH$6-$E$3,22))&lt;&gt;""),Sorgo!$E69:INDEX(Sorgo!$E69:$Z69,MIN(AH$6-$E$3,22))),0))-IF($G$2,0,IF((AH$6-$G$3)&lt;1,0,IFERROR(LOOKUP(2,1/(Sorgo!$E69:INDEX(Sorgo!$E69:$Z69,MIN(AH$6-$G$3,22))&lt;&gt;""),Sorgo!$E69:INDEX(Sorgo!$E69:$Z69,MIN(AH$6-$G$3,22))),0)))))</f>
        <v>0</v>
      </c>
      <c r="AI71" s="27" t="n">
        <f aca="false">IF(COUNT(Sorgo!$E69:$Z69)=0,0,MAX(0,IF((AI$6-$E$3)&lt;1,0,IFERROR(LOOKUP(2,1/(Sorgo!$E69:INDEX(Sorgo!$E69:$Z69,MIN(AI$6-$E$3,22))&lt;&gt;""),Sorgo!$E69:INDEX(Sorgo!$E69:$Z69,MIN(AI$6-$E$3,22))),0))-IF($G$2,0,IF((AI$6-$G$3)&lt;1,0,IFERROR(LOOKUP(2,1/(Sorgo!$E69:INDEX(Sorgo!$E69:$Z69,MIN(AI$6-$G$3,22))&lt;&gt;""),Sorgo!$E69:INDEX(Sorgo!$E69:$Z69,MIN(AI$6-$G$3,22))),0)))))</f>
        <v>0</v>
      </c>
      <c r="AJ71" s="27" t="n">
        <f aca="false">IF(COUNT(Sorgo!$E69:$Z69)=0,0,MAX(0,IF((AJ$6-$E$3)&lt;1,0,IFERROR(LOOKUP(2,1/(Sorgo!$E69:INDEX(Sorgo!$E69:$Z69,MIN(AJ$6-$E$3,22))&lt;&gt;""),Sorgo!$E69:INDEX(Sorgo!$E69:$Z69,MIN(AJ$6-$E$3,22))),0))-IF($G$2,0,IF((AJ$6-$G$3)&lt;1,0,IFERROR(LOOKUP(2,1/(Sorgo!$E69:INDEX(Sorgo!$E69:$Z69,MIN(AJ$6-$G$3,22))&lt;&gt;""),Sorgo!$E69:INDEX(Sorgo!$E69:$Z69,MIN(AJ$6-$G$3,22))),0)))))</f>
        <v>0</v>
      </c>
      <c r="AK71" s="27" t="n">
        <f aca="false">IF(COUNT(Sorgo!$E69:$Z69)=0,0,MAX(0,IF((AK$6-$E$3)&lt;1,0,IFERROR(LOOKUP(2,1/(Sorgo!$E69:INDEX(Sorgo!$E69:$Z69,MIN(AK$6-$E$3,22))&lt;&gt;""),Sorgo!$E69:INDEX(Sorgo!$E69:$Z69,MIN(AK$6-$E$3,22))),0))-IF($G$2,0,IF((AK$6-$G$3)&lt;1,0,IFERROR(LOOKUP(2,1/(Sorgo!$E69:INDEX(Sorgo!$E69:$Z69,MIN(AK$6-$G$3,22))&lt;&gt;""),Sorgo!$E69:INDEX(Sorgo!$E69:$Z69,MIN(AK$6-$G$3,22))),0)))))</f>
        <v>0</v>
      </c>
      <c r="AL71" s="27" t="n">
        <f aca="false">IF(COUNT(Sorgo!$E69:$Z69)=0,0,MAX(0,IF((AL$6-$E$3)&lt;1,0,IFERROR(LOOKUP(2,1/(Sorgo!$E69:INDEX(Sorgo!$E69:$Z69,MIN(AL$6-$E$3,22))&lt;&gt;""),Sorgo!$E69:INDEX(Sorgo!$E69:$Z69,MIN(AL$6-$E$3,22))),0))-IF($G$2,0,IF((AL$6-$G$3)&lt;1,0,IFERROR(LOOKUP(2,1/(Sorgo!$E69:INDEX(Sorgo!$E69:$Z69,MIN(AL$6-$G$3,22))&lt;&gt;""),Sorgo!$E69:INDEX(Sorgo!$E69:$Z69,MIN(AL$6-$G$3,22))),0)))))</f>
        <v>0</v>
      </c>
      <c r="AM71" s="27" t="n">
        <f aca="false">IF(COUNT(Sorgo!$E69:$Z69)=0,0,MAX(0,IF((AM$6-$E$3)&lt;1,0,IFERROR(LOOKUP(2,1/(Sorgo!$E69:INDEX(Sorgo!$E69:$Z69,MIN(AM$6-$E$3,22))&lt;&gt;""),Sorgo!$E69:INDEX(Sorgo!$E69:$Z69,MIN(AM$6-$E$3,22))),0))-IF($G$2,0,IF((AM$6-$G$3)&lt;1,0,IFERROR(LOOKUP(2,1/(Sorgo!$E69:INDEX(Sorgo!$E69:$Z69,MIN(AM$6-$G$3,22))&lt;&gt;""),Sorgo!$E69:INDEX(Sorgo!$E69:$Z69,MIN(AM$6-$G$3,22))),0)))))</f>
        <v>0</v>
      </c>
      <c r="AN71" s="27" t="n">
        <f aca="false">IF(COUNT(Sorgo!$E69:$Z69)=0,0,MAX(0,IF((AN$6-$E$3)&lt;1,0,IFERROR(LOOKUP(2,1/(Sorgo!$E69:INDEX(Sorgo!$E69:$Z69,MIN(AN$6-$E$3,22))&lt;&gt;""),Sorgo!$E69:INDEX(Sorgo!$E69:$Z69,MIN(AN$6-$E$3,22))),0))-IF($G$2,0,IF((AN$6-$G$3)&lt;1,0,IFERROR(LOOKUP(2,1/(Sorgo!$E69:INDEX(Sorgo!$E69:$Z69,MIN(AN$6-$G$3,22))&lt;&gt;""),Sorgo!$E69:INDEX(Sorgo!$E69:$Z69,MIN(AN$6-$G$3,22))),0)))))</f>
        <v>0</v>
      </c>
      <c r="AO71" s="27" t="n">
        <f aca="false">IF(COUNT(Sorgo!$E69:$Z69)=0,0,MAX(0,IF((AO$6-$E$3)&lt;1,0,IFERROR(LOOKUP(2,1/(Sorgo!$E69:INDEX(Sorgo!$E69:$Z69,MIN(AO$6-$E$3,22))&lt;&gt;""),Sorgo!$E69:INDEX(Sorgo!$E69:$Z69,MIN(AO$6-$E$3,22))),0))-IF($G$2,0,IF((AO$6-$G$3)&lt;1,0,IFERROR(LOOKUP(2,1/(Sorgo!$E69:INDEX(Sorgo!$E69:$Z69,MIN(AO$6-$G$3,22))&lt;&gt;""),Sorgo!$E69:INDEX(Sorgo!$E69:$Z69,MIN(AO$6-$G$3,22))),0)))))</f>
        <v>0</v>
      </c>
      <c r="AP71" s="27" t="n">
        <f aca="false">IF(COUNT(Sorgo!$E69:$Z69)=0,0,MAX(0,IF((AP$6-$E$3)&lt;1,0,IFERROR(LOOKUP(2,1/(Sorgo!$E69:INDEX(Sorgo!$E69:$Z69,MIN(AP$6-$E$3,22))&lt;&gt;""),Sorgo!$E69:INDEX(Sorgo!$E69:$Z69,MIN(AP$6-$E$3,22))),0))-IF($G$2,0,IF((AP$6-$G$3)&lt;1,0,IFERROR(LOOKUP(2,1/(Sorgo!$E69:INDEX(Sorgo!$E69:$Z69,MIN(AP$6-$G$3,22))&lt;&gt;""),Sorgo!$E69:INDEX(Sorgo!$E69:$Z69,MIN(AP$6-$G$3,22))),0)))))</f>
        <v>0</v>
      </c>
      <c r="AQ71" s="27" t="n">
        <f aca="false">IF(COUNT(Sorgo!$E69:$Z69)=0,0,MAX(0,IF((AQ$6-$E$3)&lt;1,0,IFERROR(LOOKUP(2,1/(Sorgo!$E69:INDEX(Sorgo!$E69:$Z69,MIN(AQ$6-$E$3,22))&lt;&gt;""),Sorgo!$E69:INDEX(Sorgo!$E69:$Z69,MIN(AQ$6-$E$3,22))),0))-IF($G$2,0,IF((AQ$6-$G$3)&lt;1,0,IFERROR(LOOKUP(2,1/(Sorgo!$E69:INDEX(Sorgo!$E69:$Z69,MIN(AQ$6-$G$3,22))&lt;&gt;""),Sorgo!$E69:INDEX(Sorgo!$E69:$Z69,MIN(AQ$6-$G$3,22))),0)))))</f>
        <v>0</v>
      </c>
      <c r="AR71" s="27" t="n">
        <f aca="false">IF(COUNT(Sorgo!$E69:$Z69)=0,0,MAX(0,IF((AR$6-$E$3)&lt;1,0,IFERROR(LOOKUP(2,1/(Sorgo!$E69:INDEX(Sorgo!$E69:$Z69,MIN(AR$6-$E$3,22))&lt;&gt;""),Sorgo!$E69:INDEX(Sorgo!$E69:$Z69,MIN(AR$6-$E$3,22))),0))-IF($G$2,0,IF((AR$6-$G$3)&lt;1,0,IFERROR(LOOKUP(2,1/(Sorgo!$E69:INDEX(Sorgo!$E69:$Z69,MIN(AR$6-$G$3,22))&lt;&gt;""),Sorgo!$E69:INDEX(Sorgo!$E69:$Z69,MIN(AR$6-$G$3,22))),0)))))</f>
        <v>0</v>
      </c>
      <c r="AS71" s="27" t="n">
        <f aca="false">IF(COUNT(Sorgo!$E69:$Z69)=0,0,MAX(0,IF((AS$6-$E$3)&lt;1,0,IFERROR(LOOKUP(2,1/(Sorgo!$E69:INDEX(Sorgo!$E69:$Z69,MIN(AS$6-$E$3,22))&lt;&gt;""),Sorgo!$E69:INDEX(Sorgo!$E69:$Z69,MIN(AS$6-$E$3,22))),0))-IF($G$2,0,IF((AS$6-$G$3)&lt;1,0,IFERROR(LOOKUP(2,1/(Sorgo!$E69:INDEX(Sorgo!$E69:$Z69,MIN(AS$6-$G$3,22))&lt;&gt;""),Sorgo!$E69:INDEX(Sorgo!$E69:$Z69,MIN(AS$6-$G$3,22))),0)))))</f>
        <v>0</v>
      </c>
      <c r="AT71" s="27" t="n">
        <f aca="false">IF(COUNT(Sorgo!$E69:$Z69)=0,0,MAX(0,IF((AT$6-$E$3)&lt;1,0,IFERROR(LOOKUP(2,1/(Sorgo!$E69:INDEX(Sorgo!$E69:$Z69,MIN(AT$6-$E$3,22))&lt;&gt;""),Sorgo!$E69:INDEX(Sorgo!$E69:$Z69,MIN(AT$6-$E$3,22))),0))-IF($G$2,0,IF((AT$6-$G$3)&lt;1,0,IFERROR(LOOKUP(2,1/(Sorgo!$E69:INDEX(Sorgo!$E69:$Z69,MIN(AT$6-$G$3,22))&lt;&gt;""),Sorgo!$E69:INDEX(Sorgo!$E69:$Z69,MIN(AT$6-$G$3,22))),0)))))</f>
        <v>0</v>
      </c>
      <c r="AU71" s="27" t="n">
        <f aca="false">IF(COUNT(Sorgo!$E69:$Z69)=0,0,MAX(0,IF((AU$6-$E$3)&lt;1,0,IFERROR(LOOKUP(2,1/(Sorgo!$E69:INDEX(Sorgo!$E69:$Z69,MIN(AU$6-$E$3,22))&lt;&gt;""),Sorgo!$E69:INDEX(Sorgo!$E69:$Z69,MIN(AU$6-$E$3,22))),0))-IF($G$2,0,IF((AU$6-$G$3)&lt;1,0,IFERROR(LOOKUP(2,1/(Sorgo!$E69:INDEX(Sorgo!$E69:$Z69,MIN(AU$6-$G$3,22))&lt;&gt;""),Sorgo!$E69:INDEX(Sorgo!$E69:$Z69,MIN(AU$6-$G$3,22))),0)))))</f>
        <v>0</v>
      </c>
      <c r="AV71" s="27" t="n">
        <f aca="false">IF(COUNT(Sorgo!$E69:$Z69)=0,0,MAX(0,IF((AV$6-$E$3)&lt;1,0,IFERROR(LOOKUP(2,1/(Sorgo!$E69:INDEX(Sorgo!$E69:$Z69,MIN(AV$6-$E$3,22))&lt;&gt;""),Sorgo!$E69:INDEX(Sorgo!$E69:$Z69,MIN(AV$6-$E$3,22))),0))-IF($G$2,0,IF((AV$6-$G$3)&lt;1,0,IFERROR(LOOKUP(2,1/(Sorgo!$E69:INDEX(Sorgo!$E69:$Z69,MIN(AV$6-$G$3,22))&lt;&gt;""),Sorgo!$E69:INDEX(Sorgo!$E69:$Z69,MIN(AV$6-$G$3,22))),0)))))</f>
        <v>0</v>
      </c>
      <c r="AW71" s="27" t="n">
        <f aca="false">IF(COUNT(Sorgo!$E69:$Z69)=0,0,MAX(0,IF((AW$6-$E$3)&lt;1,0,IFERROR(LOOKUP(2,1/(Sorgo!$E69:INDEX(Sorgo!$E69:$Z69,MIN(AW$6-$E$3,22))&lt;&gt;""),Sorgo!$E69:INDEX(Sorgo!$E69:$Z69,MIN(AW$6-$E$3,22))),0))-IF($G$2,0,IF((AW$6-$G$3)&lt;1,0,IFERROR(LOOKUP(2,1/(Sorgo!$E69:INDEX(Sorgo!$E69:$Z69,MIN(AW$6-$G$3,22))&lt;&gt;""),Sorgo!$E69:INDEX(Sorgo!$E69:$Z69,MIN(AW$6-$G$3,22))),0)))))</f>
        <v>0</v>
      </c>
      <c r="AX71" s="27" t="n">
        <f aca="false">IF(COUNT(Sorgo!$E69:$Z69)=0,0,MAX(0,IF((AX$6-$E$3)&lt;1,0,IFERROR(LOOKUP(2,1/(Sorgo!$E69:INDEX(Sorgo!$E69:$Z69,MIN(AX$6-$E$3,22))&lt;&gt;""),Sorgo!$E69:INDEX(Sorgo!$E69:$Z69,MIN(AX$6-$E$3,22))),0))-IF($G$2,0,IF((AX$6-$G$3)&lt;1,0,IFERROR(LOOKUP(2,1/(Sorgo!$E69:INDEX(Sorgo!$E69:$Z69,MIN(AX$6-$G$3,22))&lt;&gt;""),Sorgo!$E69:INDEX(Sorgo!$E69:$Z69,MIN(AX$6-$G$3,22))),0)))))</f>
        <v>0</v>
      </c>
      <c r="AY71" s="27" t="n">
        <f aca="false">IF(COUNT(Sorgo!$E69:$Z69)=0,0,MAX(0,IF((AY$6-$E$3)&lt;1,0,IFERROR(LOOKUP(2,1/(Sorgo!$E69:INDEX(Sorgo!$E69:$Z69,MIN(AY$6-$E$3,22))&lt;&gt;""),Sorgo!$E69:INDEX(Sorgo!$E69:$Z69,MIN(AY$6-$E$3,22))),0))-IF($G$2,0,IF((AY$6-$G$3)&lt;1,0,IFERROR(LOOKUP(2,1/(Sorgo!$E69:INDEX(Sorgo!$E69:$Z69,MIN(AY$6-$G$3,22))&lt;&gt;""),Sorgo!$E69:INDEX(Sorgo!$E69:$Z69,MIN(AY$6-$G$3,22))),0)))))</f>
        <v>0</v>
      </c>
      <c r="AZ71" s="27" t="n">
        <f aca="false">IF(COUNT(Sorgo!$E69:$Z69)=0,0,MAX(0,IF((AZ$6-$E$3)&lt;1,0,IFERROR(LOOKUP(2,1/(Sorgo!$E69:INDEX(Sorgo!$E69:$Z69,MIN(AZ$6-$E$3,22))&lt;&gt;""),Sorgo!$E69:INDEX(Sorgo!$E69:$Z69,MIN(AZ$6-$E$3,22))),0))-IF($G$2,0,IF((AZ$6-$G$3)&lt;1,0,IFERROR(LOOKUP(2,1/(Sorgo!$E69:INDEX(Sorgo!$E69:$Z69,MIN(AZ$6-$G$3,22))&lt;&gt;""),Sorgo!$E69:INDEX(Sorgo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IF(COUNT(Sorgo!$E70:$Z70)&gt;0,N(Sorgo!$D70),0)</f>
        <v>0</v>
      </c>
      <c r="E72" s="27" t="n">
        <f aca="false">IF(COUNT(Sorgo!$E70:$Z70)=0,0,MAX(0,IF((E$6-$E$3)&lt;1,0,IFERROR(LOOKUP(2,1/(Sorgo!$E70:INDEX(Sorgo!$E70:$Z70,MIN(E$6-$E$3,22))&lt;&gt;""),Sorgo!$E70:INDEX(Sorgo!$E70:$Z70,MIN(E$6-$E$3,22))),0))-IF($G$2,0,IF((E$6-$G$3)&lt;1,0,IFERROR(LOOKUP(2,1/(Sorgo!$E70:INDEX(Sorgo!$E70:$Z70,MIN(E$6-$G$3,22))&lt;&gt;""),Sorgo!$E70:INDEX(Sorgo!$E70:$Z70,MIN(E$6-$G$3,22))),0)))))</f>
        <v>0</v>
      </c>
      <c r="F72" s="27" t="n">
        <f aca="false">IF(COUNT(Sorgo!$E70:$Z70)=0,0,MAX(0,IF((F$6-$E$3)&lt;1,0,IFERROR(LOOKUP(2,1/(Sorgo!$E70:INDEX(Sorgo!$E70:$Z70,MIN(F$6-$E$3,22))&lt;&gt;""),Sorgo!$E70:INDEX(Sorgo!$E70:$Z70,MIN(F$6-$E$3,22))),0))-IF($G$2,0,IF((F$6-$G$3)&lt;1,0,IFERROR(LOOKUP(2,1/(Sorgo!$E70:INDEX(Sorgo!$E70:$Z70,MIN(F$6-$G$3,22))&lt;&gt;""),Sorgo!$E70:INDEX(Sorgo!$E70:$Z70,MIN(F$6-$G$3,22))),0)))))</f>
        <v>0</v>
      </c>
      <c r="G72" s="27" t="n">
        <f aca="false">IF(COUNT(Sorgo!$E70:$Z70)=0,0,MAX(0,IF((G$6-$E$3)&lt;1,0,IFERROR(LOOKUP(2,1/(Sorgo!$E70:INDEX(Sorgo!$E70:$Z70,MIN(G$6-$E$3,22))&lt;&gt;""),Sorgo!$E70:INDEX(Sorgo!$E70:$Z70,MIN(G$6-$E$3,22))),0))-IF($G$2,0,IF((G$6-$G$3)&lt;1,0,IFERROR(LOOKUP(2,1/(Sorgo!$E70:INDEX(Sorgo!$E70:$Z70,MIN(G$6-$G$3,22))&lt;&gt;""),Sorgo!$E70:INDEX(Sorgo!$E70:$Z70,MIN(G$6-$G$3,22))),0)))))</f>
        <v>0</v>
      </c>
      <c r="H72" s="27" t="n">
        <f aca="false">IF(COUNT(Sorgo!$E70:$Z70)=0,0,MAX(0,IF((H$6-$E$3)&lt;1,0,IFERROR(LOOKUP(2,1/(Sorgo!$E70:INDEX(Sorgo!$E70:$Z70,MIN(H$6-$E$3,22))&lt;&gt;""),Sorgo!$E70:INDEX(Sorgo!$E70:$Z70,MIN(H$6-$E$3,22))),0))-IF($G$2,0,IF((H$6-$G$3)&lt;1,0,IFERROR(LOOKUP(2,1/(Sorgo!$E70:INDEX(Sorgo!$E70:$Z70,MIN(H$6-$G$3,22))&lt;&gt;""),Sorgo!$E70:INDEX(Sorgo!$E70:$Z70,MIN(H$6-$G$3,22))),0)))))</f>
        <v>0</v>
      </c>
      <c r="I72" s="27" t="n">
        <f aca="false">IF(COUNT(Sorgo!$E70:$Z70)=0,0,MAX(0,IF((I$6-$E$3)&lt;1,0,IFERROR(LOOKUP(2,1/(Sorgo!$E70:INDEX(Sorgo!$E70:$Z70,MIN(I$6-$E$3,22))&lt;&gt;""),Sorgo!$E70:INDEX(Sorgo!$E70:$Z70,MIN(I$6-$E$3,22))),0))-IF($G$2,0,IF((I$6-$G$3)&lt;1,0,IFERROR(LOOKUP(2,1/(Sorgo!$E70:INDEX(Sorgo!$E70:$Z70,MIN(I$6-$G$3,22))&lt;&gt;""),Sorgo!$E70:INDEX(Sorgo!$E70:$Z70,MIN(I$6-$G$3,22))),0)))))</f>
        <v>0</v>
      </c>
      <c r="J72" s="27" t="n">
        <f aca="false">IF(COUNT(Sorgo!$E70:$Z70)=0,0,MAX(0,IF((J$6-$E$3)&lt;1,0,IFERROR(LOOKUP(2,1/(Sorgo!$E70:INDEX(Sorgo!$E70:$Z70,MIN(J$6-$E$3,22))&lt;&gt;""),Sorgo!$E70:INDEX(Sorgo!$E70:$Z70,MIN(J$6-$E$3,22))),0))-IF($G$2,0,IF((J$6-$G$3)&lt;1,0,IFERROR(LOOKUP(2,1/(Sorgo!$E70:INDEX(Sorgo!$E70:$Z70,MIN(J$6-$G$3,22))&lt;&gt;""),Sorgo!$E70:INDEX(Sorgo!$E70:$Z70,MIN(J$6-$G$3,22))),0)))))</f>
        <v>0</v>
      </c>
      <c r="K72" s="27" t="n">
        <f aca="false">IF(COUNT(Sorgo!$E70:$Z70)=0,0,MAX(0,IF((K$6-$E$3)&lt;1,0,IFERROR(LOOKUP(2,1/(Sorgo!$E70:INDEX(Sorgo!$E70:$Z70,MIN(K$6-$E$3,22))&lt;&gt;""),Sorgo!$E70:INDEX(Sorgo!$E70:$Z70,MIN(K$6-$E$3,22))),0))-IF($G$2,0,IF((K$6-$G$3)&lt;1,0,IFERROR(LOOKUP(2,1/(Sorgo!$E70:INDEX(Sorgo!$E70:$Z70,MIN(K$6-$G$3,22))&lt;&gt;""),Sorgo!$E70:INDEX(Sorgo!$E70:$Z70,MIN(K$6-$G$3,22))),0)))))</f>
        <v>0</v>
      </c>
      <c r="L72" s="27" t="n">
        <f aca="false">IF(COUNT(Sorgo!$E70:$Z70)=0,0,MAX(0,IF((L$6-$E$3)&lt;1,0,IFERROR(LOOKUP(2,1/(Sorgo!$E70:INDEX(Sorgo!$E70:$Z70,MIN(L$6-$E$3,22))&lt;&gt;""),Sorgo!$E70:INDEX(Sorgo!$E70:$Z70,MIN(L$6-$E$3,22))),0))-IF($G$2,0,IF((L$6-$G$3)&lt;1,0,IFERROR(LOOKUP(2,1/(Sorgo!$E70:INDEX(Sorgo!$E70:$Z70,MIN(L$6-$G$3,22))&lt;&gt;""),Sorgo!$E70:INDEX(Sorgo!$E70:$Z70,MIN(L$6-$G$3,22))),0)))))</f>
        <v>0</v>
      </c>
      <c r="M72" s="27" t="n">
        <f aca="false">IF(COUNT(Sorgo!$E70:$Z70)=0,0,MAX(0,IF((M$6-$E$3)&lt;1,0,IFERROR(LOOKUP(2,1/(Sorgo!$E70:INDEX(Sorgo!$E70:$Z70,MIN(M$6-$E$3,22))&lt;&gt;""),Sorgo!$E70:INDEX(Sorgo!$E70:$Z70,MIN(M$6-$E$3,22))),0))-IF($G$2,0,IF((M$6-$G$3)&lt;1,0,IFERROR(LOOKUP(2,1/(Sorgo!$E70:INDEX(Sorgo!$E70:$Z70,MIN(M$6-$G$3,22))&lt;&gt;""),Sorgo!$E70:INDEX(Sorgo!$E70:$Z70,MIN(M$6-$G$3,22))),0)))))</f>
        <v>0</v>
      </c>
      <c r="N72" s="27" t="n">
        <f aca="false">IF(COUNT(Sorgo!$E70:$Z70)=0,0,MAX(0,IF((N$6-$E$3)&lt;1,0,IFERROR(LOOKUP(2,1/(Sorgo!$E70:INDEX(Sorgo!$E70:$Z70,MIN(N$6-$E$3,22))&lt;&gt;""),Sorgo!$E70:INDEX(Sorgo!$E70:$Z70,MIN(N$6-$E$3,22))),0))-IF($G$2,0,IF((N$6-$G$3)&lt;1,0,IFERROR(LOOKUP(2,1/(Sorgo!$E70:INDEX(Sorgo!$E70:$Z70,MIN(N$6-$G$3,22))&lt;&gt;""),Sorgo!$E70:INDEX(Sorgo!$E70:$Z70,MIN(N$6-$G$3,22))),0)))))</f>
        <v>0</v>
      </c>
      <c r="O72" s="27" t="n">
        <f aca="false">IF(COUNT(Sorgo!$E70:$Z70)=0,0,MAX(0,IF((O$6-$E$3)&lt;1,0,IFERROR(LOOKUP(2,1/(Sorgo!$E70:INDEX(Sorgo!$E70:$Z70,MIN(O$6-$E$3,22))&lt;&gt;""),Sorgo!$E70:INDEX(Sorgo!$E70:$Z70,MIN(O$6-$E$3,22))),0))-IF($G$2,0,IF((O$6-$G$3)&lt;1,0,IFERROR(LOOKUP(2,1/(Sorgo!$E70:INDEX(Sorgo!$E70:$Z70,MIN(O$6-$G$3,22))&lt;&gt;""),Sorgo!$E70:INDEX(Sorgo!$E70:$Z70,MIN(O$6-$G$3,22))),0)))))</f>
        <v>0</v>
      </c>
      <c r="P72" s="27" t="n">
        <f aca="false">IF(COUNT(Sorgo!$E70:$Z70)=0,0,MAX(0,IF((P$6-$E$3)&lt;1,0,IFERROR(LOOKUP(2,1/(Sorgo!$E70:INDEX(Sorgo!$E70:$Z70,MIN(P$6-$E$3,22))&lt;&gt;""),Sorgo!$E70:INDEX(Sorgo!$E70:$Z70,MIN(P$6-$E$3,22))),0))-IF($G$2,0,IF((P$6-$G$3)&lt;1,0,IFERROR(LOOKUP(2,1/(Sorgo!$E70:INDEX(Sorgo!$E70:$Z70,MIN(P$6-$G$3,22))&lt;&gt;""),Sorgo!$E70:INDEX(Sorgo!$E70:$Z70,MIN(P$6-$G$3,22))),0)))))</f>
        <v>0</v>
      </c>
      <c r="Q72" s="27" t="n">
        <f aca="false">IF(COUNT(Sorgo!$E70:$Z70)=0,0,MAX(0,IF((Q$6-$E$3)&lt;1,0,IFERROR(LOOKUP(2,1/(Sorgo!$E70:INDEX(Sorgo!$E70:$Z70,MIN(Q$6-$E$3,22))&lt;&gt;""),Sorgo!$E70:INDEX(Sorgo!$E70:$Z70,MIN(Q$6-$E$3,22))),0))-IF($G$2,0,IF((Q$6-$G$3)&lt;1,0,IFERROR(LOOKUP(2,1/(Sorgo!$E70:INDEX(Sorgo!$E70:$Z70,MIN(Q$6-$G$3,22))&lt;&gt;""),Sorgo!$E70:INDEX(Sorgo!$E70:$Z70,MIN(Q$6-$G$3,22))),0)))))</f>
        <v>0</v>
      </c>
      <c r="R72" s="27" t="n">
        <f aca="false">IF(COUNT(Sorgo!$E70:$Z70)=0,0,MAX(0,IF((R$6-$E$3)&lt;1,0,IFERROR(LOOKUP(2,1/(Sorgo!$E70:INDEX(Sorgo!$E70:$Z70,MIN(R$6-$E$3,22))&lt;&gt;""),Sorgo!$E70:INDEX(Sorgo!$E70:$Z70,MIN(R$6-$E$3,22))),0))-IF($G$2,0,IF((R$6-$G$3)&lt;1,0,IFERROR(LOOKUP(2,1/(Sorgo!$E70:INDEX(Sorgo!$E70:$Z70,MIN(R$6-$G$3,22))&lt;&gt;""),Sorgo!$E70:INDEX(Sorgo!$E70:$Z70,MIN(R$6-$G$3,22))),0)))))</f>
        <v>0</v>
      </c>
      <c r="S72" s="27" t="n">
        <f aca="false">IF(COUNT(Sorgo!$E70:$Z70)=0,0,MAX(0,IF((S$6-$E$3)&lt;1,0,IFERROR(LOOKUP(2,1/(Sorgo!$E70:INDEX(Sorgo!$E70:$Z70,MIN(S$6-$E$3,22))&lt;&gt;""),Sorgo!$E70:INDEX(Sorgo!$E70:$Z70,MIN(S$6-$E$3,22))),0))-IF($G$2,0,IF((S$6-$G$3)&lt;1,0,IFERROR(LOOKUP(2,1/(Sorgo!$E70:INDEX(Sorgo!$E70:$Z70,MIN(S$6-$G$3,22))&lt;&gt;""),Sorgo!$E70:INDEX(Sorgo!$E70:$Z70,MIN(S$6-$G$3,22))),0)))))</f>
        <v>0</v>
      </c>
      <c r="T72" s="27" t="n">
        <f aca="false">IF(COUNT(Sorgo!$E70:$Z70)=0,0,MAX(0,IF((T$6-$E$3)&lt;1,0,IFERROR(LOOKUP(2,1/(Sorgo!$E70:INDEX(Sorgo!$E70:$Z70,MIN(T$6-$E$3,22))&lt;&gt;""),Sorgo!$E70:INDEX(Sorgo!$E70:$Z70,MIN(T$6-$E$3,22))),0))-IF($G$2,0,IF((T$6-$G$3)&lt;1,0,IFERROR(LOOKUP(2,1/(Sorgo!$E70:INDEX(Sorgo!$E70:$Z70,MIN(T$6-$G$3,22))&lt;&gt;""),Sorgo!$E70:INDEX(Sorgo!$E70:$Z70,MIN(T$6-$G$3,22))),0)))))</f>
        <v>0</v>
      </c>
      <c r="U72" s="27" t="n">
        <f aca="false">IF(COUNT(Sorgo!$E70:$Z70)=0,0,MAX(0,IF((U$6-$E$3)&lt;1,0,IFERROR(LOOKUP(2,1/(Sorgo!$E70:INDEX(Sorgo!$E70:$Z70,MIN(U$6-$E$3,22))&lt;&gt;""),Sorgo!$E70:INDEX(Sorgo!$E70:$Z70,MIN(U$6-$E$3,22))),0))-IF($G$2,0,IF((U$6-$G$3)&lt;1,0,IFERROR(LOOKUP(2,1/(Sorgo!$E70:INDEX(Sorgo!$E70:$Z70,MIN(U$6-$G$3,22))&lt;&gt;""),Sorgo!$E70:INDEX(Sorgo!$E70:$Z70,MIN(U$6-$G$3,22))),0)))))</f>
        <v>0</v>
      </c>
      <c r="V72" s="27" t="n">
        <f aca="false">IF(COUNT(Sorgo!$E70:$Z70)=0,0,MAX(0,IF((V$6-$E$3)&lt;1,0,IFERROR(LOOKUP(2,1/(Sorgo!$E70:INDEX(Sorgo!$E70:$Z70,MIN(V$6-$E$3,22))&lt;&gt;""),Sorgo!$E70:INDEX(Sorgo!$E70:$Z70,MIN(V$6-$E$3,22))),0))-IF($G$2,0,IF((V$6-$G$3)&lt;1,0,IFERROR(LOOKUP(2,1/(Sorgo!$E70:INDEX(Sorgo!$E70:$Z70,MIN(V$6-$G$3,22))&lt;&gt;""),Sorgo!$E70:INDEX(Sorgo!$E70:$Z70,MIN(V$6-$G$3,22))),0)))))</f>
        <v>0</v>
      </c>
      <c r="W72" s="27" t="n">
        <f aca="false">IF(COUNT(Sorgo!$E70:$Z70)=0,0,MAX(0,IF((W$6-$E$3)&lt;1,0,IFERROR(LOOKUP(2,1/(Sorgo!$E70:INDEX(Sorgo!$E70:$Z70,MIN(W$6-$E$3,22))&lt;&gt;""),Sorgo!$E70:INDEX(Sorgo!$E70:$Z70,MIN(W$6-$E$3,22))),0))-IF($G$2,0,IF((W$6-$G$3)&lt;1,0,IFERROR(LOOKUP(2,1/(Sorgo!$E70:INDEX(Sorgo!$E70:$Z70,MIN(W$6-$G$3,22))&lt;&gt;""),Sorgo!$E70:INDEX(Sorgo!$E70:$Z70,MIN(W$6-$G$3,22))),0)))))</f>
        <v>0</v>
      </c>
      <c r="X72" s="27" t="n">
        <f aca="false">IF(COUNT(Sorgo!$E70:$Z70)=0,0,MAX(0,IF((X$6-$E$3)&lt;1,0,IFERROR(LOOKUP(2,1/(Sorgo!$E70:INDEX(Sorgo!$E70:$Z70,MIN(X$6-$E$3,22))&lt;&gt;""),Sorgo!$E70:INDEX(Sorgo!$E70:$Z70,MIN(X$6-$E$3,22))),0))-IF($G$2,0,IF((X$6-$G$3)&lt;1,0,IFERROR(LOOKUP(2,1/(Sorgo!$E70:INDEX(Sorgo!$E70:$Z70,MIN(X$6-$G$3,22))&lt;&gt;""),Sorgo!$E70:INDEX(Sorgo!$E70:$Z70,MIN(X$6-$G$3,22))),0)))))</f>
        <v>0</v>
      </c>
      <c r="Y72" s="27" t="n">
        <f aca="false">IF(COUNT(Sorgo!$E70:$Z70)=0,0,MAX(0,IF((Y$6-$E$3)&lt;1,0,IFERROR(LOOKUP(2,1/(Sorgo!$E70:INDEX(Sorgo!$E70:$Z70,MIN(Y$6-$E$3,22))&lt;&gt;""),Sorgo!$E70:INDEX(Sorgo!$E70:$Z70,MIN(Y$6-$E$3,22))),0))-IF($G$2,0,IF((Y$6-$G$3)&lt;1,0,IFERROR(LOOKUP(2,1/(Sorgo!$E70:INDEX(Sorgo!$E70:$Z70,MIN(Y$6-$G$3,22))&lt;&gt;""),Sorgo!$E70:INDEX(Sorgo!$E70:$Z70,MIN(Y$6-$G$3,22))),0)))))</f>
        <v>0</v>
      </c>
      <c r="Z72" s="27" t="n">
        <f aca="false">IF(COUNT(Sorgo!$E70:$Z70)=0,0,MAX(0,IF((Z$6-$E$3)&lt;1,0,IFERROR(LOOKUP(2,1/(Sorgo!$E70:INDEX(Sorgo!$E70:$Z70,MIN(Z$6-$E$3,22))&lt;&gt;""),Sorgo!$E70:INDEX(Sorgo!$E70:$Z70,MIN(Z$6-$E$3,22))),0))-IF($G$2,0,IF((Z$6-$G$3)&lt;1,0,IFERROR(LOOKUP(2,1/(Sorgo!$E70:INDEX(Sorgo!$E70:$Z70,MIN(Z$6-$G$3,22))&lt;&gt;""),Sorgo!$E70:INDEX(Sorgo!$E70:$Z70,MIN(Z$6-$G$3,22))),0)))))</f>
        <v>0</v>
      </c>
      <c r="AA72" s="27" t="n">
        <f aca="false">IF(COUNT(Sorgo!$E70:$Z70)=0,0,MAX(0,IF((AA$6-$E$3)&lt;1,0,IFERROR(LOOKUP(2,1/(Sorgo!$E70:INDEX(Sorgo!$E70:$Z70,MIN(AA$6-$E$3,22))&lt;&gt;""),Sorgo!$E70:INDEX(Sorgo!$E70:$Z70,MIN(AA$6-$E$3,22))),0))-IF($G$2,0,IF((AA$6-$G$3)&lt;1,0,IFERROR(LOOKUP(2,1/(Sorgo!$E70:INDEX(Sorgo!$E70:$Z70,MIN(AA$6-$G$3,22))&lt;&gt;""),Sorgo!$E70:INDEX(Sorgo!$E70:$Z70,MIN(AA$6-$G$3,22))),0)))))</f>
        <v>0</v>
      </c>
      <c r="AB72" s="27" t="n">
        <f aca="false">IF(COUNT(Sorgo!$E70:$Z70)=0,0,MAX(0,IF((AB$6-$E$3)&lt;1,0,IFERROR(LOOKUP(2,1/(Sorgo!$E70:INDEX(Sorgo!$E70:$Z70,MIN(AB$6-$E$3,22))&lt;&gt;""),Sorgo!$E70:INDEX(Sorgo!$E70:$Z70,MIN(AB$6-$E$3,22))),0))-IF($G$2,0,IF((AB$6-$G$3)&lt;1,0,IFERROR(LOOKUP(2,1/(Sorgo!$E70:INDEX(Sorgo!$E70:$Z70,MIN(AB$6-$G$3,22))&lt;&gt;""),Sorgo!$E70:INDEX(Sorgo!$E70:$Z70,MIN(AB$6-$G$3,22))),0)))))</f>
        <v>0</v>
      </c>
      <c r="AC72" s="27" t="n">
        <f aca="false">IF(COUNT(Sorgo!$E70:$Z70)=0,0,MAX(0,IF((AC$6-$E$3)&lt;1,0,IFERROR(LOOKUP(2,1/(Sorgo!$E70:INDEX(Sorgo!$E70:$Z70,MIN(AC$6-$E$3,22))&lt;&gt;""),Sorgo!$E70:INDEX(Sorgo!$E70:$Z70,MIN(AC$6-$E$3,22))),0))-IF($G$2,0,IF((AC$6-$G$3)&lt;1,0,IFERROR(LOOKUP(2,1/(Sorgo!$E70:INDEX(Sorgo!$E70:$Z70,MIN(AC$6-$G$3,22))&lt;&gt;""),Sorgo!$E70:INDEX(Sorgo!$E70:$Z70,MIN(AC$6-$G$3,22))),0)))))</f>
        <v>0</v>
      </c>
      <c r="AD72" s="27" t="n">
        <f aca="false">IF(COUNT(Sorgo!$E70:$Z70)=0,0,MAX(0,IF((AD$6-$E$3)&lt;1,0,IFERROR(LOOKUP(2,1/(Sorgo!$E70:INDEX(Sorgo!$E70:$Z70,MIN(AD$6-$E$3,22))&lt;&gt;""),Sorgo!$E70:INDEX(Sorgo!$E70:$Z70,MIN(AD$6-$E$3,22))),0))-IF($G$2,0,IF((AD$6-$G$3)&lt;1,0,IFERROR(LOOKUP(2,1/(Sorgo!$E70:INDEX(Sorgo!$E70:$Z70,MIN(AD$6-$G$3,22))&lt;&gt;""),Sorgo!$E70:INDEX(Sorgo!$E70:$Z70,MIN(AD$6-$G$3,22))),0)))))</f>
        <v>0</v>
      </c>
      <c r="AE72" s="27" t="n">
        <f aca="false">IF(COUNT(Sorgo!$E70:$Z70)=0,0,MAX(0,IF((AE$6-$E$3)&lt;1,0,IFERROR(LOOKUP(2,1/(Sorgo!$E70:INDEX(Sorgo!$E70:$Z70,MIN(AE$6-$E$3,22))&lt;&gt;""),Sorgo!$E70:INDEX(Sorgo!$E70:$Z70,MIN(AE$6-$E$3,22))),0))-IF($G$2,0,IF((AE$6-$G$3)&lt;1,0,IFERROR(LOOKUP(2,1/(Sorgo!$E70:INDEX(Sorgo!$E70:$Z70,MIN(AE$6-$G$3,22))&lt;&gt;""),Sorgo!$E70:INDEX(Sorgo!$E70:$Z70,MIN(AE$6-$G$3,22))),0)))))</f>
        <v>0</v>
      </c>
      <c r="AF72" s="27" t="n">
        <f aca="false">IF(COUNT(Sorgo!$E70:$Z70)=0,0,MAX(0,IF((AF$6-$E$3)&lt;1,0,IFERROR(LOOKUP(2,1/(Sorgo!$E70:INDEX(Sorgo!$E70:$Z70,MIN(AF$6-$E$3,22))&lt;&gt;""),Sorgo!$E70:INDEX(Sorgo!$E70:$Z70,MIN(AF$6-$E$3,22))),0))-IF($G$2,0,IF((AF$6-$G$3)&lt;1,0,IFERROR(LOOKUP(2,1/(Sorgo!$E70:INDEX(Sorgo!$E70:$Z70,MIN(AF$6-$G$3,22))&lt;&gt;""),Sorgo!$E70:INDEX(Sorgo!$E70:$Z70,MIN(AF$6-$G$3,22))),0)))))</f>
        <v>0</v>
      </c>
      <c r="AG72" s="27" t="n">
        <f aca="false">IF(COUNT(Sorgo!$E70:$Z70)=0,0,MAX(0,IF((AG$6-$E$3)&lt;1,0,IFERROR(LOOKUP(2,1/(Sorgo!$E70:INDEX(Sorgo!$E70:$Z70,MIN(AG$6-$E$3,22))&lt;&gt;""),Sorgo!$E70:INDEX(Sorgo!$E70:$Z70,MIN(AG$6-$E$3,22))),0))-IF($G$2,0,IF((AG$6-$G$3)&lt;1,0,IFERROR(LOOKUP(2,1/(Sorgo!$E70:INDEX(Sorgo!$E70:$Z70,MIN(AG$6-$G$3,22))&lt;&gt;""),Sorgo!$E70:INDEX(Sorgo!$E70:$Z70,MIN(AG$6-$G$3,22))),0)))))</f>
        <v>0</v>
      </c>
      <c r="AH72" s="27" t="n">
        <f aca="false">IF(COUNT(Sorgo!$E70:$Z70)=0,0,MAX(0,IF((AH$6-$E$3)&lt;1,0,IFERROR(LOOKUP(2,1/(Sorgo!$E70:INDEX(Sorgo!$E70:$Z70,MIN(AH$6-$E$3,22))&lt;&gt;""),Sorgo!$E70:INDEX(Sorgo!$E70:$Z70,MIN(AH$6-$E$3,22))),0))-IF($G$2,0,IF((AH$6-$G$3)&lt;1,0,IFERROR(LOOKUP(2,1/(Sorgo!$E70:INDEX(Sorgo!$E70:$Z70,MIN(AH$6-$G$3,22))&lt;&gt;""),Sorgo!$E70:INDEX(Sorgo!$E70:$Z70,MIN(AH$6-$G$3,22))),0)))))</f>
        <v>0</v>
      </c>
      <c r="AI72" s="27" t="n">
        <f aca="false">IF(COUNT(Sorgo!$E70:$Z70)=0,0,MAX(0,IF((AI$6-$E$3)&lt;1,0,IFERROR(LOOKUP(2,1/(Sorgo!$E70:INDEX(Sorgo!$E70:$Z70,MIN(AI$6-$E$3,22))&lt;&gt;""),Sorgo!$E70:INDEX(Sorgo!$E70:$Z70,MIN(AI$6-$E$3,22))),0))-IF($G$2,0,IF((AI$6-$G$3)&lt;1,0,IFERROR(LOOKUP(2,1/(Sorgo!$E70:INDEX(Sorgo!$E70:$Z70,MIN(AI$6-$G$3,22))&lt;&gt;""),Sorgo!$E70:INDEX(Sorgo!$E70:$Z70,MIN(AI$6-$G$3,22))),0)))))</f>
        <v>0</v>
      </c>
      <c r="AJ72" s="27" t="n">
        <f aca="false">IF(COUNT(Sorgo!$E70:$Z70)=0,0,MAX(0,IF((AJ$6-$E$3)&lt;1,0,IFERROR(LOOKUP(2,1/(Sorgo!$E70:INDEX(Sorgo!$E70:$Z70,MIN(AJ$6-$E$3,22))&lt;&gt;""),Sorgo!$E70:INDEX(Sorgo!$E70:$Z70,MIN(AJ$6-$E$3,22))),0))-IF($G$2,0,IF((AJ$6-$G$3)&lt;1,0,IFERROR(LOOKUP(2,1/(Sorgo!$E70:INDEX(Sorgo!$E70:$Z70,MIN(AJ$6-$G$3,22))&lt;&gt;""),Sorgo!$E70:INDEX(Sorgo!$E70:$Z70,MIN(AJ$6-$G$3,22))),0)))))</f>
        <v>0</v>
      </c>
      <c r="AK72" s="27" t="n">
        <f aca="false">IF(COUNT(Sorgo!$E70:$Z70)=0,0,MAX(0,IF((AK$6-$E$3)&lt;1,0,IFERROR(LOOKUP(2,1/(Sorgo!$E70:INDEX(Sorgo!$E70:$Z70,MIN(AK$6-$E$3,22))&lt;&gt;""),Sorgo!$E70:INDEX(Sorgo!$E70:$Z70,MIN(AK$6-$E$3,22))),0))-IF($G$2,0,IF((AK$6-$G$3)&lt;1,0,IFERROR(LOOKUP(2,1/(Sorgo!$E70:INDEX(Sorgo!$E70:$Z70,MIN(AK$6-$G$3,22))&lt;&gt;""),Sorgo!$E70:INDEX(Sorgo!$E70:$Z70,MIN(AK$6-$G$3,22))),0)))))</f>
        <v>0</v>
      </c>
      <c r="AL72" s="27" t="n">
        <f aca="false">IF(COUNT(Sorgo!$E70:$Z70)=0,0,MAX(0,IF((AL$6-$E$3)&lt;1,0,IFERROR(LOOKUP(2,1/(Sorgo!$E70:INDEX(Sorgo!$E70:$Z70,MIN(AL$6-$E$3,22))&lt;&gt;""),Sorgo!$E70:INDEX(Sorgo!$E70:$Z70,MIN(AL$6-$E$3,22))),0))-IF($G$2,0,IF((AL$6-$G$3)&lt;1,0,IFERROR(LOOKUP(2,1/(Sorgo!$E70:INDEX(Sorgo!$E70:$Z70,MIN(AL$6-$G$3,22))&lt;&gt;""),Sorgo!$E70:INDEX(Sorgo!$E70:$Z70,MIN(AL$6-$G$3,22))),0)))))</f>
        <v>0</v>
      </c>
      <c r="AM72" s="27" t="n">
        <f aca="false">IF(COUNT(Sorgo!$E70:$Z70)=0,0,MAX(0,IF((AM$6-$E$3)&lt;1,0,IFERROR(LOOKUP(2,1/(Sorgo!$E70:INDEX(Sorgo!$E70:$Z70,MIN(AM$6-$E$3,22))&lt;&gt;""),Sorgo!$E70:INDEX(Sorgo!$E70:$Z70,MIN(AM$6-$E$3,22))),0))-IF($G$2,0,IF((AM$6-$G$3)&lt;1,0,IFERROR(LOOKUP(2,1/(Sorgo!$E70:INDEX(Sorgo!$E70:$Z70,MIN(AM$6-$G$3,22))&lt;&gt;""),Sorgo!$E70:INDEX(Sorgo!$E70:$Z70,MIN(AM$6-$G$3,22))),0)))))</f>
        <v>0</v>
      </c>
      <c r="AN72" s="27" t="n">
        <f aca="false">IF(COUNT(Sorgo!$E70:$Z70)=0,0,MAX(0,IF((AN$6-$E$3)&lt;1,0,IFERROR(LOOKUP(2,1/(Sorgo!$E70:INDEX(Sorgo!$E70:$Z70,MIN(AN$6-$E$3,22))&lt;&gt;""),Sorgo!$E70:INDEX(Sorgo!$E70:$Z70,MIN(AN$6-$E$3,22))),0))-IF($G$2,0,IF((AN$6-$G$3)&lt;1,0,IFERROR(LOOKUP(2,1/(Sorgo!$E70:INDEX(Sorgo!$E70:$Z70,MIN(AN$6-$G$3,22))&lt;&gt;""),Sorgo!$E70:INDEX(Sorgo!$E70:$Z70,MIN(AN$6-$G$3,22))),0)))))</f>
        <v>0</v>
      </c>
      <c r="AO72" s="27" t="n">
        <f aca="false">IF(COUNT(Sorgo!$E70:$Z70)=0,0,MAX(0,IF((AO$6-$E$3)&lt;1,0,IFERROR(LOOKUP(2,1/(Sorgo!$E70:INDEX(Sorgo!$E70:$Z70,MIN(AO$6-$E$3,22))&lt;&gt;""),Sorgo!$E70:INDEX(Sorgo!$E70:$Z70,MIN(AO$6-$E$3,22))),0))-IF($G$2,0,IF((AO$6-$G$3)&lt;1,0,IFERROR(LOOKUP(2,1/(Sorgo!$E70:INDEX(Sorgo!$E70:$Z70,MIN(AO$6-$G$3,22))&lt;&gt;""),Sorgo!$E70:INDEX(Sorgo!$E70:$Z70,MIN(AO$6-$G$3,22))),0)))))</f>
        <v>0</v>
      </c>
      <c r="AP72" s="27" t="n">
        <f aca="false">IF(COUNT(Sorgo!$E70:$Z70)=0,0,MAX(0,IF((AP$6-$E$3)&lt;1,0,IFERROR(LOOKUP(2,1/(Sorgo!$E70:INDEX(Sorgo!$E70:$Z70,MIN(AP$6-$E$3,22))&lt;&gt;""),Sorgo!$E70:INDEX(Sorgo!$E70:$Z70,MIN(AP$6-$E$3,22))),0))-IF($G$2,0,IF((AP$6-$G$3)&lt;1,0,IFERROR(LOOKUP(2,1/(Sorgo!$E70:INDEX(Sorgo!$E70:$Z70,MIN(AP$6-$G$3,22))&lt;&gt;""),Sorgo!$E70:INDEX(Sorgo!$E70:$Z70,MIN(AP$6-$G$3,22))),0)))))</f>
        <v>0</v>
      </c>
      <c r="AQ72" s="27" t="n">
        <f aca="false">IF(COUNT(Sorgo!$E70:$Z70)=0,0,MAX(0,IF((AQ$6-$E$3)&lt;1,0,IFERROR(LOOKUP(2,1/(Sorgo!$E70:INDEX(Sorgo!$E70:$Z70,MIN(AQ$6-$E$3,22))&lt;&gt;""),Sorgo!$E70:INDEX(Sorgo!$E70:$Z70,MIN(AQ$6-$E$3,22))),0))-IF($G$2,0,IF((AQ$6-$G$3)&lt;1,0,IFERROR(LOOKUP(2,1/(Sorgo!$E70:INDEX(Sorgo!$E70:$Z70,MIN(AQ$6-$G$3,22))&lt;&gt;""),Sorgo!$E70:INDEX(Sorgo!$E70:$Z70,MIN(AQ$6-$G$3,22))),0)))))</f>
        <v>0</v>
      </c>
      <c r="AR72" s="27" t="n">
        <f aca="false">IF(COUNT(Sorgo!$E70:$Z70)=0,0,MAX(0,IF((AR$6-$E$3)&lt;1,0,IFERROR(LOOKUP(2,1/(Sorgo!$E70:INDEX(Sorgo!$E70:$Z70,MIN(AR$6-$E$3,22))&lt;&gt;""),Sorgo!$E70:INDEX(Sorgo!$E70:$Z70,MIN(AR$6-$E$3,22))),0))-IF($G$2,0,IF((AR$6-$G$3)&lt;1,0,IFERROR(LOOKUP(2,1/(Sorgo!$E70:INDEX(Sorgo!$E70:$Z70,MIN(AR$6-$G$3,22))&lt;&gt;""),Sorgo!$E70:INDEX(Sorgo!$E70:$Z70,MIN(AR$6-$G$3,22))),0)))))</f>
        <v>0</v>
      </c>
      <c r="AS72" s="27" t="n">
        <f aca="false">IF(COUNT(Sorgo!$E70:$Z70)=0,0,MAX(0,IF((AS$6-$E$3)&lt;1,0,IFERROR(LOOKUP(2,1/(Sorgo!$E70:INDEX(Sorgo!$E70:$Z70,MIN(AS$6-$E$3,22))&lt;&gt;""),Sorgo!$E70:INDEX(Sorgo!$E70:$Z70,MIN(AS$6-$E$3,22))),0))-IF($G$2,0,IF((AS$6-$G$3)&lt;1,0,IFERROR(LOOKUP(2,1/(Sorgo!$E70:INDEX(Sorgo!$E70:$Z70,MIN(AS$6-$G$3,22))&lt;&gt;""),Sorgo!$E70:INDEX(Sorgo!$E70:$Z70,MIN(AS$6-$G$3,22))),0)))))</f>
        <v>0</v>
      </c>
      <c r="AT72" s="27" t="n">
        <f aca="false">IF(COUNT(Sorgo!$E70:$Z70)=0,0,MAX(0,IF((AT$6-$E$3)&lt;1,0,IFERROR(LOOKUP(2,1/(Sorgo!$E70:INDEX(Sorgo!$E70:$Z70,MIN(AT$6-$E$3,22))&lt;&gt;""),Sorgo!$E70:INDEX(Sorgo!$E70:$Z70,MIN(AT$6-$E$3,22))),0))-IF($G$2,0,IF((AT$6-$G$3)&lt;1,0,IFERROR(LOOKUP(2,1/(Sorgo!$E70:INDEX(Sorgo!$E70:$Z70,MIN(AT$6-$G$3,22))&lt;&gt;""),Sorgo!$E70:INDEX(Sorgo!$E70:$Z70,MIN(AT$6-$G$3,22))),0)))))</f>
        <v>0</v>
      </c>
      <c r="AU72" s="27" t="n">
        <f aca="false">IF(COUNT(Sorgo!$E70:$Z70)=0,0,MAX(0,IF((AU$6-$E$3)&lt;1,0,IFERROR(LOOKUP(2,1/(Sorgo!$E70:INDEX(Sorgo!$E70:$Z70,MIN(AU$6-$E$3,22))&lt;&gt;""),Sorgo!$E70:INDEX(Sorgo!$E70:$Z70,MIN(AU$6-$E$3,22))),0))-IF($G$2,0,IF((AU$6-$G$3)&lt;1,0,IFERROR(LOOKUP(2,1/(Sorgo!$E70:INDEX(Sorgo!$E70:$Z70,MIN(AU$6-$G$3,22))&lt;&gt;""),Sorgo!$E70:INDEX(Sorgo!$E70:$Z70,MIN(AU$6-$G$3,22))),0)))))</f>
        <v>0</v>
      </c>
      <c r="AV72" s="27" t="n">
        <f aca="false">IF(COUNT(Sorgo!$E70:$Z70)=0,0,MAX(0,IF((AV$6-$E$3)&lt;1,0,IFERROR(LOOKUP(2,1/(Sorgo!$E70:INDEX(Sorgo!$E70:$Z70,MIN(AV$6-$E$3,22))&lt;&gt;""),Sorgo!$E70:INDEX(Sorgo!$E70:$Z70,MIN(AV$6-$E$3,22))),0))-IF($G$2,0,IF((AV$6-$G$3)&lt;1,0,IFERROR(LOOKUP(2,1/(Sorgo!$E70:INDEX(Sorgo!$E70:$Z70,MIN(AV$6-$G$3,22))&lt;&gt;""),Sorgo!$E70:INDEX(Sorgo!$E70:$Z70,MIN(AV$6-$G$3,22))),0)))))</f>
        <v>0</v>
      </c>
      <c r="AW72" s="27" t="n">
        <f aca="false">IF(COUNT(Sorgo!$E70:$Z70)=0,0,MAX(0,IF((AW$6-$E$3)&lt;1,0,IFERROR(LOOKUP(2,1/(Sorgo!$E70:INDEX(Sorgo!$E70:$Z70,MIN(AW$6-$E$3,22))&lt;&gt;""),Sorgo!$E70:INDEX(Sorgo!$E70:$Z70,MIN(AW$6-$E$3,22))),0))-IF($G$2,0,IF((AW$6-$G$3)&lt;1,0,IFERROR(LOOKUP(2,1/(Sorgo!$E70:INDEX(Sorgo!$E70:$Z70,MIN(AW$6-$G$3,22))&lt;&gt;""),Sorgo!$E70:INDEX(Sorgo!$E70:$Z70,MIN(AW$6-$G$3,22))),0)))))</f>
        <v>0</v>
      </c>
      <c r="AX72" s="27" t="n">
        <f aca="false">IF(COUNT(Sorgo!$E70:$Z70)=0,0,MAX(0,IF((AX$6-$E$3)&lt;1,0,IFERROR(LOOKUP(2,1/(Sorgo!$E70:INDEX(Sorgo!$E70:$Z70,MIN(AX$6-$E$3,22))&lt;&gt;""),Sorgo!$E70:INDEX(Sorgo!$E70:$Z70,MIN(AX$6-$E$3,22))),0))-IF($G$2,0,IF((AX$6-$G$3)&lt;1,0,IFERROR(LOOKUP(2,1/(Sorgo!$E70:INDEX(Sorgo!$E70:$Z70,MIN(AX$6-$G$3,22))&lt;&gt;""),Sorgo!$E70:INDEX(Sorgo!$E70:$Z70,MIN(AX$6-$G$3,22))),0)))))</f>
        <v>0</v>
      </c>
      <c r="AY72" s="27" t="n">
        <f aca="false">IF(COUNT(Sorgo!$E70:$Z70)=0,0,MAX(0,IF((AY$6-$E$3)&lt;1,0,IFERROR(LOOKUP(2,1/(Sorgo!$E70:INDEX(Sorgo!$E70:$Z70,MIN(AY$6-$E$3,22))&lt;&gt;""),Sorgo!$E70:INDEX(Sorgo!$E70:$Z70,MIN(AY$6-$E$3,22))),0))-IF($G$2,0,IF((AY$6-$G$3)&lt;1,0,IFERROR(LOOKUP(2,1/(Sorgo!$E70:INDEX(Sorgo!$E70:$Z70,MIN(AY$6-$G$3,22))&lt;&gt;""),Sorgo!$E70:INDEX(Sorgo!$E70:$Z70,MIN(AY$6-$G$3,22))),0)))))</f>
        <v>0</v>
      </c>
      <c r="AZ72" s="27" t="n">
        <f aca="false">IF(COUNT(Sorgo!$E70:$Z70)=0,0,MAX(0,IF((AZ$6-$E$3)&lt;1,0,IFERROR(LOOKUP(2,1/(Sorgo!$E70:INDEX(Sorgo!$E70:$Z70,MIN(AZ$6-$E$3,22))&lt;&gt;""),Sorgo!$E70:INDEX(Sorgo!$E70:$Z70,MIN(AZ$6-$E$3,22))),0))-IF($G$2,0,IF((AZ$6-$G$3)&lt;1,0,IFERROR(LOOKUP(2,1/(Sorgo!$E70:INDEX(Sorgo!$E70:$Z70,MIN(AZ$6-$G$3,22))&lt;&gt;""),Sorgo!$E70:INDEX(Sorgo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IF(COUNT(Sorgo!$E71:$Z71)&gt;0,N(Sorgo!$D71),0)</f>
        <v>0</v>
      </c>
      <c r="E73" s="27" t="n">
        <f aca="false">IF(COUNT(Sorgo!$E71:$Z71)=0,0,MAX(0,IF((E$6-$E$3)&lt;1,0,IFERROR(LOOKUP(2,1/(Sorgo!$E71:INDEX(Sorgo!$E71:$Z71,MIN(E$6-$E$3,22))&lt;&gt;""),Sorgo!$E71:INDEX(Sorgo!$E71:$Z71,MIN(E$6-$E$3,22))),0))-IF($G$2,0,IF((E$6-$G$3)&lt;1,0,IFERROR(LOOKUP(2,1/(Sorgo!$E71:INDEX(Sorgo!$E71:$Z71,MIN(E$6-$G$3,22))&lt;&gt;""),Sorgo!$E71:INDEX(Sorgo!$E71:$Z71,MIN(E$6-$G$3,22))),0)))))</f>
        <v>0</v>
      </c>
      <c r="F73" s="27" t="n">
        <f aca="false">IF(COUNT(Sorgo!$E71:$Z71)=0,0,MAX(0,IF((F$6-$E$3)&lt;1,0,IFERROR(LOOKUP(2,1/(Sorgo!$E71:INDEX(Sorgo!$E71:$Z71,MIN(F$6-$E$3,22))&lt;&gt;""),Sorgo!$E71:INDEX(Sorgo!$E71:$Z71,MIN(F$6-$E$3,22))),0))-IF($G$2,0,IF((F$6-$G$3)&lt;1,0,IFERROR(LOOKUP(2,1/(Sorgo!$E71:INDEX(Sorgo!$E71:$Z71,MIN(F$6-$G$3,22))&lt;&gt;""),Sorgo!$E71:INDEX(Sorgo!$E71:$Z71,MIN(F$6-$G$3,22))),0)))))</f>
        <v>0</v>
      </c>
      <c r="G73" s="27" t="n">
        <f aca="false">IF(COUNT(Sorgo!$E71:$Z71)=0,0,MAX(0,IF((G$6-$E$3)&lt;1,0,IFERROR(LOOKUP(2,1/(Sorgo!$E71:INDEX(Sorgo!$E71:$Z71,MIN(G$6-$E$3,22))&lt;&gt;""),Sorgo!$E71:INDEX(Sorgo!$E71:$Z71,MIN(G$6-$E$3,22))),0))-IF($G$2,0,IF((G$6-$G$3)&lt;1,0,IFERROR(LOOKUP(2,1/(Sorgo!$E71:INDEX(Sorgo!$E71:$Z71,MIN(G$6-$G$3,22))&lt;&gt;""),Sorgo!$E71:INDEX(Sorgo!$E71:$Z71,MIN(G$6-$G$3,22))),0)))))</f>
        <v>0</v>
      </c>
      <c r="H73" s="27" t="n">
        <f aca="false">IF(COUNT(Sorgo!$E71:$Z71)=0,0,MAX(0,IF((H$6-$E$3)&lt;1,0,IFERROR(LOOKUP(2,1/(Sorgo!$E71:INDEX(Sorgo!$E71:$Z71,MIN(H$6-$E$3,22))&lt;&gt;""),Sorgo!$E71:INDEX(Sorgo!$E71:$Z71,MIN(H$6-$E$3,22))),0))-IF($G$2,0,IF((H$6-$G$3)&lt;1,0,IFERROR(LOOKUP(2,1/(Sorgo!$E71:INDEX(Sorgo!$E71:$Z71,MIN(H$6-$G$3,22))&lt;&gt;""),Sorgo!$E71:INDEX(Sorgo!$E71:$Z71,MIN(H$6-$G$3,22))),0)))))</f>
        <v>0</v>
      </c>
      <c r="I73" s="27" t="n">
        <f aca="false">IF(COUNT(Sorgo!$E71:$Z71)=0,0,MAX(0,IF((I$6-$E$3)&lt;1,0,IFERROR(LOOKUP(2,1/(Sorgo!$E71:INDEX(Sorgo!$E71:$Z71,MIN(I$6-$E$3,22))&lt;&gt;""),Sorgo!$E71:INDEX(Sorgo!$E71:$Z71,MIN(I$6-$E$3,22))),0))-IF($G$2,0,IF((I$6-$G$3)&lt;1,0,IFERROR(LOOKUP(2,1/(Sorgo!$E71:INDEX(Sorgo!$E71:$Z71,MIN(I$6-$G$3,22))&lt;&gt;""),Sorgo!$E71:INDEX(Sorgo!$E71:$Z71,MIN(I$6-$G$3,22))),0)))))</f>
        <v>0</v>
      </c>
      <c r="J73" s="27" t="n">
        <f aca="false">IF(COUNT(Sorgo!$E71:$Z71)=0,0,MAX(0,IF((J$6-$E$3)&lt;1,0,IFERROR(LOOKUP(2,1/(Sorgo!$E71:INDEX(Sorgo!$E71:$Z71,MIN(J$6-$E$3,22))&lt;&gt;""),Sorgo!$E71:INDEX(Sorgo!$E71:$Z71,MIN(J$6-$E$3,22))),0))-IF($G$2,0,IF((J$6-$G$3)&lt;1,0,IFERROR(LOOKUP(2,1/(Sorgo!$E71:INDEX(Sorgo!$E71:$Z71,MIN(J$6-$G$3,22))&lt;&gt;""),Sorgo!$E71:INDEX(Sorgo!$E71:$Z71,MIN(J$6-$G$3,22))),0)))))</f>
        <v>0</v>
      </c>
      <c r="K73" s="27" t="n">
        <f aca="false">IF(COUNT(Sorgo!$E71:$Z71)=0,0,MAX(0,IF((K$6-$E$3)&lt;1,0,IFERROR(LOOKUP(2,1/(Sorgo!$E71:INDEX(Sorgo!$E71:$Z71,MIN(K$6-$E$3,22))&lt;&gt;""),Sorgo!$E71:INDEX(Sorgo!$E71:$Z71,MIN(K$6-$E$3,22))),0))-IF($G$2,0,IF((K$6-$G$3)&lt;1,0,IFERROR(LOOKUP(2,1/(Sorgo!$E71:INDEX(Sorgo!$E71:$Z71,MIN(K$6-$G$3,22))&lt;&gt;""),Sorgo!$E71:INDEX(Sorgo!$E71:$Z71,MIN(K$6-$G$3,22))),0)))))</f>
        <v>0</v>
      </c>
      <c r="L73" s="27" t="n">
        <f aca="false">IF(COUNT(Sorgo!$E71:$Z71)=0,0,MAX(0,IF((L$6-$E$3)&lt;1,0,IFERROR(LOOKUP(2,1/(Sorgo!$E71:INDEX(Sorgo!$E71:$Z71,MIN(L$6-$E$3,22))&lt;&gt;""),Sorgo!$E71:INDEX(Sorgo!$E71:$Z71,MIN(L$6-$E$3,22))),0))-IF($G$2,0,IF((L$6-$G$3)&lt;1,0,IFERROR(LOOKUP(2,1/(Sorgo!$E71:INDEX(Sorgo!$E71:$Z71,MIN(L$6-$G$3,22))&lt;&gt;""),Sorgo!$E71:INDEX(Sorgo!$E71:$Z71,MIN(L$6-$G$3,22))),0)))))</f>
        <v>0</v>
      </c>
      <c r="M73" s="27" t="n">
        <f aca="false">IF(COUNT(Sorgo!$E71:$Z71)=0,0,MAX(0,IF((M$6-$E$3)&lt;1,0,IFERROR(LOOKUP(2,1/(Sorgo!$E71:INDEX(Sorgo!$E71:$Z71,MIN(M$6-$E$3,22))&lt;&gt;""),Sorgo!$E71:INDEX(Sorgo!$E71:$Z71,MIN(M$6-$E$3,22))),0))-IF($G$2,0,IF((M$6-$G$3)&lt;1,0,IFERROR(LOOKUP(2,1/(Sorgo!$E71:INDEX(Sorgo!$E71:$Z71,MIN(M$6-$G$3,22))&lt;&gt;""),Sorgo!$E71:INDEX(Sorgo!$E71:$Z71,MIN(M$6-$G$3,22))),0)))))</f>
        <v>0</v>
      </c>
      <c r="N73" s="27" t="n">
        <f aca="false">IF(COUNT(Sorgo!$E71:$Z71)=0,0,MAX(0,IF((N$6-$E$3)&lt;1,0,IFERROR(LOOKUP(2,1/(Sorgo!$E71:INDEX(Sorgo!$E71:$Z71,MIN(N$6-$E$3,22))&lt;&gt;""),Sorgo!$E71:INDEX(Sorgo!$E71:$Z71,MIN(N$6-$E$3,22))),0))-IF($G$2,0,IF((N$6-$G$3)&lt;1,0,IFERROR(LOOKUP(2,1/(Sorgo!$E71:INDEX(Sorgo!$E71:$Z71,MIN(N$6-$G$3,22))&lt;&gt;""),Sorgo!$E71:INDEX(Sorgo!$E71:$Z71,MIN(N$6-$G$3,22))),0)))))</f>
        <v>0</v>
      </c>
      <c r="O73" s="27" t="n">
        <f aca="false">IF(COUNT(Sorgo!$E71:$Z71)=0,0,MAX(0,IF((O$6-$E$3)&lt;1,0,IFERROR(LOOKUP(2,1/(Sorgo!$E71:INDEX(Sorgo!$E71:$Z71,MIN(O$6-$E$3,22))&lt;&gt;""),Sorgo!$E71:INDEX(Sorgo!$E71:$Z71,MIN(O$6-$E$3,22))),0))-IF($G$2,0,IF((O$6-$G$3)&lt;1,0,IFERROR(LOOKUP(2,1/(Sorgo!$E71:INDEX(Sorgo!$E71:$Z71,MIN(O$6-$G$3,22))&lt;&gt;""),Sorgo!$E71:INDEX(Sorgo!$E71:$Z71,MIN(O$6-$G$3,22))),0)))))</f>
        <v>0</v>
      </c>
      <c r="P73" s="27" t="n">
        <f aca="false">IF(COUNT(Sorgo!$E71:$Z71)=0,0,MAX(0,IF((P$6-$E$3)&lt;1,0,IFERROR(LOOKUP(2,1/(Sorgo!$E71:INDEX(Sorgo!$E71:$Z71,MIN(P$6-$E$3,22))&lt;&gt;""),Sorgo!$E71:INDEX(Sorgo!$E71:$Z71,MIN(P$6-$E$3,22))),0))-IF($G$2,0,IF((P$6-$G$3)&lt;1,0,IFERROR(LOOKUP(2,1/(Sorgo!$E71:INDEX(Sorgo!$E71:$Z71,MIN(P$6-$G$3,22))&lt;&gt;""),Sorgo!$E71:INDEX(Sorgo!$E71:$Z71,MIN(P$6-$G$3,22))),0)))))</f>
        <v>0</v>
      </c>
      <c r="Q73" s="27" t="n">
        <f aca="false">IF(COUNT(Sorgo!$E71:$Z71)=0,0,MAX(0,IF((Q$6-$E$3)&lt;1,0,IFERROR(LOOKUP(2,1/(Sorgo!$E71:INDEX(Sorgo!$E71:$Z71,MIN(Q$6-$E$3,22))&lt;&gt;""),Sorgo!$E71:INDEX(Sorgo!$E71:$Z71,MIN(Q$6-$E$3,22))),0))-IF($G$2,0,IF((Q$6-$G$3)&lt;1,0,IFERROR(LOOKUP(2,1/(Sorgo!$E71:INDEX(Sorgo!$E71:$Z71,MIN(Q$6-$G$3,22))&lt;&gt;""),Sorgo!$E71:INDEX(Sorgo!$E71:$Z71,MIN(Q$6-$G$3,22))),0)))))</f>
        <v>0</v>
      </c>
      <c r="R73" s="27" t="n">
        <f aca="false">IF(COUNT(Sorgo!$E71:$Z71)=0,0,MAX(0,IF((R$6-$E$3)&lt;1,0,IFERROR(LOOKUP(2,1/(Sorgo!$E71:INDEX(Sorgo!$E71:$Z71,MIN(R$6-$E$3,22))&lt;&gt;""),Sorgo!$E71:INDEX(Sorgo!$E71:$Z71,MIN(R$6-$E$3,22))),0))-IF($G$2,0,IF((R$6-$G$3)&lt;1,0,IFERROR(LOOKUP(2,1/(Sorgo!$E71:INDEX(Sorgo!$E71:$Z71,MIN(R$6-$G$3,22))&lt;&gt;""),Sorgo!$E71:INDEX(Sorgo!$E71:$Z71,MIN(R$6-$G$3,22))),0)))))</f>
        <v>0</v>
      </c>
      <c r="S73" s="27" t="n">
        <f aca="false">IF(COUNT(Sorgo!$E71:$Z71)=0,0,MAX(0,IF((S$6-$E$3)&lt;1,0,IFERROR(LOOKUP(2,1/(Sorgo!$E71:INDEX(Sorgo!$E71:$Z71,MIN(S$6-$E$3,22))&lt;&gt;""),Sorgo!$E71:INDEX(Sorgo!$E71:$Z71,MIN(S$6-$E$3,22))),0))-IF($G$2,0,IF((S$6-$G$3)&lt;1,0,IFERROR(LOOKUP(2,1/(Sorgo!$E71:INDEX(Sorgo!$E71:$Z71,MIN(S$6-$G$3,22))&lt;&gt;""),Sorgo!$E71:INDEX(Sorgo!$E71:$Z71,MIN(S$6-$G$3,22))),0)))))</f>
        <v>0</v>
      </c>
      <c r="T73" s="27" t="n">
        <f aca="false">IF(COUNT(Sorgo!$E71:$Z71)=0,0,MAX(0,IF((T$6-$E$3)&lt;1,0,IFERROR(LOOKUP(2,1/(Sorgo!$E71:INDEX(Sorgo!$E71:$Z71,MIN(T$6-$E$3,22))&lt;&gt;""),Sorgo!$E71:INDEX(Sorgo!$E71:$Z71,MIN(T$6-$E$3,22))),0))-IF($G$2,0,IF((T$6-$G$3)&lt;1,0,IFERROR(LOOKUP(2,1/(Sorgo!$E71:INDEX(Sorgo!$E71:$Z71,MIN(T$6-$G$3,22))&lt;&gt;""),Sorgo!$E71:INDEX(Sorgo!$E71:$Z71,MIN(T$6-$G$3,22))),0)))))</f>
        <v>0</v>
      </c>
      <c r="U73" s="27" t="n">
        <f aca="false">IF(COUNT(Sorgo!$E71:$Z71)=0,0,MAX(0,IF((U$6-$E$3)&lt;1,0,IFERROR(LOOKUP(2,1/(Sorgo!$E71:INDEX(Sorgo!$E71:$Z71,MIN(U$6-$E$3,22))&lt;&gt;""),Sorgo!$E71:INDEX(Sorgo!$E71:$Z71,MIN(U$6-$E$3,22))),0))-IF($G$2,0,IF((U$6-$G$3)&lt;1,0,IFERROR(LOOKUP(2,1/(Sorgo!$E71:INDEX(Sorgo!$E71:$Z71,MIN(U$6-$G$3,22))&lt;&gt;""),Sorgo!$E71:INDEX(Sorgo!$E71:$Z71,MIN(U$6-$G$3,22))),0)))))</f>
        <v>0</v>
      </c>
      <c r="V73" s="27" t="n">
        <f aca="false">IF(COUNT(Sorgo!$E71:$Z71)=0,0,MAX(0,IF((V$6-$E$3)&lt;1,0,IFERROR(LOOKUP(2,1/(Sorgo!$E71:INDEX(Sorgo!$E71:$Z71,MIN(V$6-$E$3,22))&lt;&gt;""),Sorgo!$E71:INDEX(Sorgo!$E71:$Z71,MIN(V$6-$E$3,22))),0))-IF($G$2,0,IF((V$6-$G$3)&lt;1,0,IFERROR(LOOKUP(2,1/(Sorgo!$E71:INDEX(Sorgo!$E71:$Z71,MIN(V$6-$G$3,22))&lt;&gt;""),Sorgo!$E71:INDEX(Sorgo!$E71:$Z71,MIN(V$6-$G$3,22))),0)))))</f>
        <v>0</v>
      </c>
      <c r="W73" s="27" t="n">
        <f aca="false">IF(COUNT(Sorgo!$E71:$Z71)=0,0,MAX(0,IF((W$6-$E$3)&lt;1,0,IFERROR(LOOKUP(2,1/(Sorgo!$E71:INDEX(Sorgo!$E71:$Z71,MIN(W$6-$E$3,22))&lt;&gt;""),Sorgo!$E71:INDEX(Sorgo!$E71:$Z71,MIN(W$6-$E$3,22))),0))-IF($G$2,0,IF((W$6-$G$3)&lt;1,0,IFERROR(LOOKUP(2,1/(Sorgo!$E71:INDEX(Sorgo!$E71:$Z71,MIN(W$6-$G$3,22))&lt;&gt;""),Sorgo!$E71:INDEX(Sorgo!$E71:$Z71,MIN(W$6-$G$3,22))),0)))))</f>
        <v>0</v>
      </c>
      <c r="X73" s="27" t="n">
        <f aca="false">IF(COUNT(Sorgo!$E71:$Z71)=0,0,MAX(0,IF((X$6-$E$3)&lt;1,0,IFERROR(LOOKUP(2,1/(Sorgo!$E71:INDEX(Sorgo!$E71:$Z71,MIN(X$6-$E$3,22))&lt;&gt;""),Sorgo!$E71:INDEX(Sorgo!$E71:$Z71,MIN(X$6-$E$3,22))),0))-IF($G$2,0,IF((X$6-$G$3)&lt;1,0,IFERROR(LOOKUP(2,1/(Sorgo!$E71:INDEX(Sorgo!$E71:$Z71,MIN(X$6-$G$3,22))&lt;&gt;""),Sorgo!$E71:INDEX(Sorgo!$E71:$Z71,MIN(X$6-$G$3,22))),0)))))</f>
        <v>0</v>
      </c>
      <c r="Y73" s="27" t="n">
        <f aca="false">IF(COUNT(Sorgo!$E71:$Z71)=0,0,MAX(0,IF((Y$6-$E$3)&lt;1,0,IFERROR(LOOKUP(2,1/(Sorgo!$E71:INDEX(Sorgo!$E71:$Z71,MIN(Y$6-$E$3,22))&lt;&gt;""),Sorgo!$E71:INDEX(Sorgo!$E71:$Z71,MIN(Y$6-$E$3,22))),0))-IF($G$2,0,IF((Y$6-$G$3)&lt;1,0,IFERROR(LOOKUP(2,1/(Sorgo!$E71:INDEX(Sorgo!$E71:$Z71,MIN(Y$6-$G$3,22))&lt;&gt;""),Sorgo!$E71:INDEX(Sorgo!$E71:$Z71,MIN(Y$6-$G$3,22))),0)))))</f>
        <v>0</v>
      </c>
      <c r="Z73" s="27" t="n">
        <f aca="false">IF(COUNT(Sorgo!$E71:$Z71)=0,0,MAX(0,IF((Z$6-$E$3)&lt;1,0,IFERROR(LOOKUP(2,1/(Sorgo!$E71:INDEX(Sorgo!$E71:$Z71,MIN(Z$6-$E$3,22))&lt;&gt;""),Sorgo!$E71:INDEX(Sorgo!$E71:$Z71,MIN(Z$6-$E$3,22))),0))-IF($G$2,0,IF((Z$6-$G$3)&lt;1,0,IFERROR(LOOKUP(2,1/(Sorgo!$E71:INDEX(Sorgo!$E71:$Z71,MIN(Z$6-$G$3,22))&lt;&gt;""),Sorgo!$E71:INDEX(Sorgo!$E71:$Z71,MIN(Z$6-$G$3,22))),0)))))</f>
        <v>0</v>
      </c>
      <c r="AA73" s="27" t="n">
        <f aca="false">IF(COUNT(Sorgo!$E71:$Z71)=0,0,MAX(0,IF((AA$6-$E$3)&lt;1,0,IFERROR(LOOKUP(2,1/(Sorgo!$E71:INDEX(Sorgo!$E71:$Z71,MIN(AA$6-$E$3,22))&lt;&gt;""),Sorgo!$E71:INDEX(Sorgo!$E71:$Z71,MIN(AA$6-$E$3,22))),0))-IF($G$2,0,IF((AA$6-$G$3)&lt;1,0,IFERROR(LOOKUP(2,1/(Sorgo!$E71:INDEX(Sorgo!$E71:$Z71,MIN(AA$6-$G$3,22))&lt;&gt;""),Sorgo!$E71:INDEX(Sorgo!$E71:$Z71,MIN(AA$6-$G$3,22))),0)))))</f>
        <v>0</v>
      </c>
      <c r="AB73" s="27" t="n">
        <f aca="false">IF(COUNT(Sorgo!$E71:$Z71)=0,0,MAX(0,IF((AB$6-$E$3)&lt;1,0,IFERROR(LOOKUP(2,1/(Sorgo!$E71:INDEX(Sorgo!$E71:$Z71,MIN(AB$6-$E$3,22))&lt;&gt;""),Sorgo!$E71:INDEX(Sorgo!$E71:$Z71,MIN(AB$6-$E$3,22))),0))-IF($G$2,0,IF((AB$6-$G$3)&lt;1,0,IFERROR(LOOKUP(2,1/(Sorgo!$E71:INDEX(Sorgo!$E71:$Z71,MIN(AB$6-$G$3,22))&lt;&gt;""),Sorgo!$E71:INDEX(Sorgo!$E71:$Z71,MIN(AB$6-$G$3,22))),0)))))</f>
        <v>0</v>
      </c>
      <c r="AC73" s="27" t="n">
        <f aca="false">IF(COUNT(Sorgo!$E71:$Z71)=0,0,MAX(0,IF((AC$6-$E$3)&lt;1,0,IFERROR(LOOKUP(2,1/(Sorgo!$E71:INDEX(Sorgo!$E71:$Z71,MIN(AC$6-$E$3,22))&lt;&gt;""),Sorgo!$E71:INDEX(Sorgo!$E71:$Z71,MIN(AC$6-$E$3,22))),0))-IF($G$2,0,IF((AC$6-$G$3)&lt;1,0,IFERROR(LOOKUP(2,1/(Sorgo!$E71:INDEX(Sorgo!$E71:$Z71,MIN(AC$6-$G$3,22))&lt;&gt;""),Sorgo!$E71:INDEX(Sorgo!$E71:$Z71,MIN(AC$6-$G$3,22))),0)))))</f>
        <v>0</v>
      </c>
      <c r="AD73" s="27" t="n">
        <f aca="false">IF(COUNT(Sorgo!$E71:$Z71)=0,0,MAX(0,IF((AD$6-$E$3)&lt;1,0,IFERROR(LOOKUP(2,1/(Sorgo!$E71:INDEX(Sorgo!$E71:$Z71,MIN(AD$6-$E$3,22))&lt;&gt;""),Sorgo!$E71:INDEX(Sorgo!$E71:$Z71,MIN(AD$6-$E$3,22))),0))-IF($G$2,0,IF((AD$6-$G$3)&lt;1,0,IFERROR(LOOKUP(2,1/(Sorgo!$E71:INDEX(Sorgo!$E71:$Z71,MIN(AD$6-$G$3,22))&lt;&gt;""),Sorgo!$E71:INDEX(Sorgo!$E71:$Z71,MIN(AD$6-$G$3,22))),0)))))</f>
        <v>0</v>
      </c>
      <c r="AE73" s="27" t="n">
        <f aca="false">IF(COUNT(Sorgo!$E71:$Z71)=0,0,MAX(0,IF((AE$6-$E$3)&lt;1,0,IFERROR(LOOKUP(2,1/(Sorgo!$E71:INDEX(Sorgo!$E71:$Z71,MIN(AE$6-$E$3,22))&lt;&gt;""),Sorgo!$E71:INDEX(Sorgo!$E71:$Z71,MIN(AE$6-$E$3,22))),0))-IF($G$2,0,IF((AE$6-$G$3)&lt;1,0,IFERROR(LOOKUP(2,1/(Sorgo!$E71:INDEX(Sorgo!$E71:$Z71,MIN(AE$6-$G$3,22))&lt;&gt;""),Sorgo!$E71:INDEX(Sorgo!$E71:$Z71,MIN(AE$6-$G$3,22))),0)))))</f>
        <v>0</v>
      </c>
      <c r="AF73" s="27" t="n">
        <f aca="false">IF(COUNT(Sorgo!$E71:$Z71)=0,0,MAX(0,IF((AF$6-$E$3)&lt;1,0,IFERROR(LOOKUP(2,1/(Sorgo!$E71:INDEX(Sorgo!$E71:$Z71,MIN(AF$6-$E$3,22))&lt;&gt;""),Sorgo!$E71:INDEX(Sorgo!$E71:$Z71,MIN(AF$6-$E$3,22))),0))-IF($G$2,0,IF((AF$6-$G$3)&lt;1,0,IFERROR(LOOKUP(2,1/(Sorgo!$E71:INDEX(Sorgo!$E71:$Z71,MIN(AF$6-$G$3,22))&lt;&gt;""),Sorgo!$E71:INDEX(Sorgo!$E71:$Z71,MIN(AF$6-$G$3,22))),0)))))</f>
        <v>0</v>
      </c>
      <c r="AG73" s="27" t="n">
        <f aca="false">IF(COUNT(Sorgo!$E71:$Z71)=0,0,MAX(0,IF((AG$6-$E$3)&lt;1,0,IFERROR(LOOKUP(2,1/(Sorgo!$E71:INDEX(Sorgo!$E71:$Z71,MIN(AG$6-$E$3,22))&lt;&gt;""),Sorgo!$E71:INDEX(Sorgo!$E71:$Z71,MIN(AG$6-$E$3,22))),0))-IF($G$2,0,IF((AG$6-$G$3)&lt;1,0,IFERROR(LOOKUP(2,1/(Sorgo!$E71:INDEX(Sorgo!$E71:$Z71,MIN(AG$6-$G$3,22))&lt;&gt;""),Sorgo!$E71:INDEX(Sorgo!$E71:$Z71,MIN(AG$6-$G$3,22))),0)))))</f>
        <v>0</v>
      </c>
      <c r="AH73" s="27" t="n">
        <f aca="false">IF(COUNT(Sorgo!$E71:$Z71)=0,0,MAX(0,IF((AH$6-$E$3)&lt;1,0,IFERROR(LOOKUP(2,1/(Sorgo!$E71:INDEX(Sorgo!$E71:$Z71,MIN(AH$6-$E$3,22))&lt;&gt;""),Sorgo!$E71:INDEX(Sorgo!$E71:$Z71,MIN(AH$6-$E$3,22))),0))-IF($G$2,0,IF((AH$6-$G$3)&lt;1,0,IFERROR(LOOKUP(2,1/(Sorgo!$E71:INDEX(Sorgo!$E71:$Z71,MIN(AH$6-$G$3,22))&lt;&gt;""),Sorgo!$E71:INDEX(Sorgo!$E71:$Z71,MIN(AH$6-$G$3,22))),0)))))</f>
        <v>0</v>
      </c>
      <c r="AI73" s="27" t="n">
        <f aca="false">IF(COUNT(Sorgo!$E71:$Z71)=0,0,MAX(0,IF((AI$6-$E$3)&lt;1,0,IFERROR(LOOKUP(2,1/(Sorgo!$E71:INDEX(Sorgo!$E71:$Z71,MIN(AI$6-$E$3,22))&lt;&gt;""),Sorgo!$E71:INDEX(Sorgo!$E71:$Z71,MIN(AI$6-$E$3,22))),0))-IF($G$2,0,IF((AI$6-$G$3)&lt;1,0,IFERROR(LOOKUP(2,1/(Sorgo!$E71:INDEX(Sorgo!$E71:$Z71,MIN(AI$6-$G$3,22))&lt;&gt;""),Sorgo!$E71:INDEX(Sorgo!$E71:$Z71,MIN(AI$6-$G$3,22))),0)))))</f>
        <v>0</v>
      </c>
      <c r="AJ73" s="27" t="n">
        <f aca="false">IF(COUNT(Sorgo!$E71:$Z71)=0,0,MAX(0,IF((AJ$6-$E$3)&lt;1,0,IFERROR(LOOKUP(2,1/(Sorgo!$E71:INDEX(Sorgo!$E71:$Z71,MIN(AJ$6-$E$3,22))&lt;&gt;""),Sorgo!$E71:INDEX(Sorgo!$E71:$Z71,MIN(AJ$6-$E$3,22))),0))-IF($G$2,0,IF((AJ$6-$G$3)&lt;1,0,IFERROR(LOOKUP(2,1/(Sorgo!$E71:INDEX(Sorgo!$E71:$Z71,MIN(AJ$6-$G$3,22))&lt;&gt;""),Sorgo!$E71:INDEX(Sorgo!$E71:$Z71,MIN(AJ$6-$G$3,22))),0)))))</f>
        <v>0</v>
      </c>
      <c r="AK73" s="27" t="n">
        <f aca="false">IF(COUNT(Sorgo!$E71:$Z71)=0,0,MAX(0,IF((AK$6-$E$3)&lt;1,0,IFERROR(LOOKUP(2,1/(Sorgo!$E71:INDEX(Sorgo!$E71:$Z71,MIN(AK$6-$E$3,22))&lt;&gt;""),Sorgo!$E71:INDEX(Sorgo!$E71:$Z71,MIN(AK$6-$E$3,22))),0))-IF($G$2,0,IF((AK$6-$G$3)&lt;1,0,IFERROR(LOOKUP(2,1/(Sorgo!$E71:INDEX(Sorgo!$E71:$Z71,MIN(AK$6-$G$3,22))&lt;&gt;""),Sorgo!$E71:INDEX(Sorgo!$E71:$Z71,MIN(AK$6-$G$3,22))),0)))))</f>
        <v>0</v>
      </c>
      <c r="AL73" s="27" t="n">
        <f aca="false">IF(COUNT(Sorgo!$E71:$Z71)=0,0,MAX(0,IF((AL$6-$E$3)&lt;1,0,IFERROR(LOOKUP(2,1/(Sorgo!$E71:INDEX(Sorgo!$E71:$Z71,MIN(AL$6-$E$3,22))&lt;&gt;""),Sorgo!$E71:INDEX(Sorgo!$E71:$Z71,MIN(AL$6-$E$3,22))),0))-IF($G$2,0,IF((AL$6-$G$3)&lt;1,0,IFERROR(LOOKUP(2,1/(Sorgo!$E71:INDEX(Sorgo!$E71:$Z71,MIN(AL$6-$G$3,22))&lt;&gt;""),Sorgo!$E71:INDEX(Sorgo!$E71:$Z71,MIN(AL$6-$G$3,22))),0)))))</f>
        <v>0</v>
      </c>
      <c r="AM73" s="27" t="n">
        <f aca="false">IF(COUNT(Sorgo!$E71:$Z71)=0,0,MAX(0,IF((AM$6-$E$3)&lt;1,0,IFERROR(LOOKUP(2,1/(Sorgo!$E71:INDEX(Sorgo!$E71:$Z71,MIN(AM$6-$E$3,22))&lt;&gt;""),Sorgo!$E71:INDEX(Sorgo!$E71:$Z71,MIN(AM$6-$E$3,22))),0))-IF($G$2,0,IF((AM$6-$G$3)&lt;1,0,IFERROR(LOOKUP(2,1/(Sorgo!$E71:INDEX(Sorgo!$E71:$Z71,MIN(AM$6-$G$3,22))&lt;&gt;""),Sorgo!$E71:INDEX(Sorgo!$E71:$Z71,MIN(AM$6-$G$3,22))),0)))))</f>
        <v>0</v>
      </c>
      <c r="AN73" s="27" t="n">
        <f aca="false">IF(COUNT(Sorgo!$E71:$Z71)=0,0,MAX(0,IF((AN$6-$E$3)&lt;1,0,IFERROR(LOOKUP(2,1/(Sorgo!$E71:INDEX(Sorgo!$E71:$Z71,MIN(AN$6-$E$3,22))&lt;&gt;""),Sorgo!$E71:INDEX(Sorgo!$E71:$Z71,MIN(AN$6-$E$3,22))),0))-IF($G$2,0,IF((AN$6-$G$3)&lt;1,0,IFERROR(LOOKUP(2,1/(Sorgo!$E71:INDEX(Sorgo!$E71:$Z71,MIN(AN$6-$G$3,22))&lt;&gt;""),Sorgo!$E71:INDEX(Sorgo!$E71:$Z71,MIN(AN$6-$G$3,22))),0)))))</f>
        <v>0</v>
      </c>
      <c r="AO73" s="27" t="n">
        <f aca="false">IF(COUNT(Sorgo!$E71:$Z71)=0,0,MAX(0,IF((AO$6-$E$3)&lt;1,0,IFERROR(LOOKUP(2,1/(Sorgo!$E71:INDEX(Sorgo!$E71:$Z71,MIN(AO$6-$E$3,22))&lt;&gt;""),Sorgo!$E71:INDEX(Sorgo!$E71:$Z71,MIN(AO$6-$E$3,22))),0))-IF($G$2,0,IF((AO$6-$G$3)&lt;1,0,IFERROR(LOOKUP(2,1/(Sorgo!$E71:INDEX(Sorgo!$E71:$Z71,MIN(AO$6-$G$3,22))&lt;&gt;""),Sorgo!$E71:INDEX(Sorgo!$E71:$Z71,MIN(AO$6-$G$3,22))),0)))))</f>
        <v>0</v>
      </c>
      <c r="AP73" s="27" t="n">
        <f aca="false">IF(COUNT(Sorgo!$E71:$Z71)=0,0,MAX(0,IF((AP$6-$E$3)&lt;1,0,IFERROR(LOOKUP(2,1/(Sorgo!$E71:INDEX(Sorgo!$E71:$Z71,MIN(AP$6-$E$3,22))&lt;&gt;""),Sorgo!$E71:INDEX(Sorgo!$E71:$Z71,MIN(AP$6-$E$3,22))),0))-IF($G$2,0,IF((AP$6-$G$3)&lt;1,0,IFERROR(LOOKUP(2,1/(Sorgo!$E71:INDEX(Sorgo!$E71:$Z71,MIN(AP$6-$G$3,22))&lt;&gt;""),Sorgo!$E71:INDEX(Sorgo!$E71:$Z71,MIN(AP$6-$G$3,22))),0)))))</f>
        <v>0</v>
      </c>
      <c r="AQ73" s="27" t="n">
        <f aca="false">IF(COUNT(Sorgo!$E71:$Z71)=0,0,MAX(0,IF((AQ$6-$E$3)&lt;1,0,IFERROR(LOOKUP(2,1/(Sorgo!$E71:INDEX(Sorgo!$E71:$Z71,MIN(AQ$6-$E$3,22))&lt;&gt;""),Sorgo!$E71:INDEX(Sorgo!$E71:$Z71,MIN(AQ$6-$E$3,22))),0))-IF($G$2,0,IF((AQ$6-$G$3)&lt;1,0,IFERROR(LOOKUP(2,1/(Sorgo!$E71:INDEX(Sorgo!$E71:$Z71,MIN(AQ$6-$G$3,22))&lt;&gt;""),Sorgo!$E71:INDEX(Sorgo!$E71:$Z71,MIN(AQ$6-$G$3,22))),0)))))</f>
        <v>0</v>
      </c>
      <c r="AR73" s="27" t="n">
        <f aca="false">IF(COUNT(Sorgo!$E71:$Z71)=0,0,MAX(0,IF((AR$6-$E$3)&lt;1,0,IFERROR(LOOKUP(2,1/(Sorgo!$E71:INDEX(Sorgo!$E71:$Z71,MIN(AR$6-$E$3,22))&lt;&gt;""),Sorgo!$E71:INDEX(Sorgo!$E71:$Z71,MIN(AR$6-$E$3,22))),0))-IF($G$2,0,IF((AR$6-$G$3)&lt;1,0,IFERROR(LOOKUP(2,1/(Sorgo!$E71:INDEX(Sorgo!$E71:$Z71,MIN(AR$6-$G$3,22))&lt;&gt;""),Sorgo!$E71:INDEX(Sorgo!$E71:$Z71,MIN(AR$6-$G$3,22))),0)))))</f>
        <v>0</v>
      </c>
      <c r="AS73" s="27" t="n">
        <f aca="false">IF(COUNT(Sorgo!$E71:$Z71)=0,0,MAX(0,IF((AS$6-$E$3)&lt;1,0,IFERROR(LOOKUP(2,1/(Sorgo!$E71:INDEX(Sorgo!$E71:$Z71,MIN(AS$6-$E$3,22))&lt;&gt;""),Sorgo!$E71:INDEX(Sorgo!$E71:$Z71,MIN(AS$6-$E$3,22))),0))-IF($G$2,0,IF((AS$6-$G$3)&lt;1,0,IFERROR(LOOKUP(2,1/(Sorgo!$E71:INDEX(Sorgo!$E71:$Z71,MIN(AS$6-$G$3,22))&lt;&gt;""),Sorgo!$E71:INDEX(Sorgo!$E71:$Z71,MIN(AS$6-$G$3,22))),0)))))</f>
        <v>0</v>
      </c>
      <c r="AT73" s="27" t="n">
        <f aca="false">IF(COUNT(Sorgo!$E71:$Z71)=0,0,MAX(0,IF((AT$6-$E$3)&lt;1,0,IFERROR(LOOKUP(2,1/(Sorgo!$E71:INDEX(Sorgo!$E71:$Z71,MIN(AT$6-$E$3,22))&lt;&gt;""),Sorgo!$E71:INDEX(Sorgo!$E71:$Z71,MIN(AT$6-$E$3,22))),0))-IF($G$2,0,IF((AT$6-$G$3)&lt;1,0,IFERROR(LOOKUP(2,1/(Sorgo!$E71:INDEX(Sorgo!$E71:$Z71,MIN(AT$6-$G$3,22))&lt;&gt;""),Sorgo!$E71:INDEX(Sorgo!$E71:$Z71,MIN(AT$6-$G$3,22))),0)))))</f>
        <v>0</v>
      </c>
      <c r="AU73" s="27" t="n">
        <f aca="false">IF(COUNT(Sorgo!$E71:$Z71)=0,0,MAX(0,IF((AU$6-$E$3)&lt;1,0,IFERROR(LOOKUP(2,1/(Sorgo!$E71:INDEX(Sorgo!$E71:$Z71,MIN(AU$6-$E$3,22))&lt;&gt;""),Sorgo!$E71:INDEX(Sorgo!$E71:$Z71,MIN(AU$6-$E$3,22))),0))-IF($G$2,0,IF((AU$6-$G$3)&lt;1,0,IFERROR(LOOKUP(2,1/(Sorgo!$E71:INDEX(Sorgo!$E71:$Z71,MIN(AU$6-$G$3,22))&lt;&gt;""),Sorgo!$E71:INDEX(Sorgo!$E71:$Z71,MIN(AU$6-$G$3,22))),0)))))</f>
        <v>0</v>
      </c>
      <c r="AV73" s="27" t="n">
        <f aca="false">IF(COUNT(Sorgo!$E71:$Z71)=0,0,MAX(0,IF((AV$6-$E$3)&lt;1,0,IFERROR(LOOKUP(2,1/(Sorgo!$E71:INDEX(Sorgo!$E71:$Z71,MIN(AV$6-$E$3,22))&lt;&gt;""),Sorgo!$E71:INDEX(Sorgo!$E71:$Z71,MIN(AV$6-$E$3,22))),0))-IF($G$2,0,IF((AV$6-$G$3)&lt;1,0,IFERROR(LOOKUP(2,1/(Sorgo!$E71:INDEX(Sorgo!$E71:$Z71,MIN(AV$6-$G$3,22))&lt;&gt;""),Sorgo!$E71:INDEX(Sorgo!$E71:$Z71,MIN(AV$6-$G$3,22))),0)))))</f>
        <v>0</v>
      </c>
      <c r="AW73" s="27" t="n">
        <f aca="false">IF(COUNT(Sorgo!$E71:$Z71)=0,0,MAX(0,IF((AW$6-$E$3)&lt;1,0,IFERROR(LOOKUP(2,1/(Sorgo!$E71:INDEX(Sorgo!$E71:$Z71,MIN(AW$6-$E$3,22))&lt;&gt;""),Sorgo!$E71:INDEX(Sorgo!$E71:$Z71,MIN(AW$6-$E$3,22))),0))-IF($G$2,0,IF((AW$6-$G$3)&lt;1,0,IFERROR(LOOKUP(2,1/(Sorgo!$E71:INDEX(Sorgo!$E71:$Z71,MIN(AW$6-$G$3,22))&lt;&gt;""),Sorgo!$E71:INDEX(Sorgo!$E71:$Z71,MIN(AW$6-$G$3,22))),0)))))</f>
        <v>0</v>
      </c>
      <c r="AX73" s="27" t="n">
        <f aca="false">IF(COUNT(Sorgo!$E71:$Z71)=0,0,MAX(0,IF((AX$6-$E$3)&lt;1,0,IFERROR(LOOKUP(2,1/(Sorgo!$E71:INDEX(Sorgo!$E71:$Z71,MIN(AX$6-$E$3,22))&lt;&gt;""),Sorgo!$E71:INDEX(Sorgo!$E71:$Z71,MIN(AX$6-$E$3,22))),0))-IF($G$2,0,IF((AX$6-$G$3)&lt;1,0,IFERROR(LOOKUP(2,1/(Sorgo!$E71:INDEX(Sorgo!$E71:$Z71,MIN(AX$6-$G$3,22))&lt;&gt;""),Sorgo!$E71:INDEX(Sorgo!$E71:$Z71,MIN(AX$6-$G$3,22))),0)))))</f>
        <v>0</v>
      </c>
      <c r="AY73" s="27" t="n">
        <f aca="false">IF(COUNT(Sorgo!$E71:$Z71)=0,0,MAX(0,IF((AY$6-$E$3)&lt;1,0,IFERROR(LOOKUP(2,1/(Sorgo!$E71:INDEX(Sorgo!$E71:$Z71,MIN(AY$6-$E$3,22))&lt;&gt;""),Sorgo!$E71:INDEX(Sorgo!$E71:$Z71,MIN(AY$6-$E$3,22))),0))-IF($G$2,0,IF((AY$6-$G$3)&lt;1,0,IFERROR(LOOKUP(2,1/(Sorgo!$E71:INDEX(Sorgo!$E71:$Z71,MIN(AY$6-$G$3,22))&lt;&gt;""),Sorgo!$E71:INDEX(Sorgo!$E71:$Z71,MIN(AY$6-$G$3,22))),0)))))</f>
        <v>0</v>
      </c>
      <c r="AZ73" s="27" t="n">
        <f aca="false">IF(COUNT(Sorgo!$E71:$Z71)=0,0,MAX(0,IF((AZ$6-$E$3)&lt;1,0,IFERROR(LOOKUP(2,1/(Sorgo!$E71:INDEX(Sorgo!$E71:$Z71,MIN(AZ$6-$E$3,22))&lt;&gt;""),Sorgo!$E71:INDEX(Sorgo!$E71:$Z71,MIN(AZ$6-$E$3,22))),0))-IF($G$2,0,IF((AZ$6-$G$3)&lt;1,0,IFERROR(LOOKUP(2,1/(Sorgo!$E71:INDEX(Sorgo!$E71:$Z71,MIN(AZ$6-$G$3,22))&lt;&gt;""),Sorgo!$E71:INDEX(Sorgo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IF(COUNT(Sorgo!$E72:$Z72)&gt;0,N(Sorgo!$D72),0)</f>
        <v>0</v>
      </c>
      <c r="E74" s="27" t="n">
        <f aca="false">IF(COUNT(Sorgo!$E72:$Z72)=0,0,MAX(0,IF((E$6-$E$3)&lt;1,0,IFERROR(LOOKUP(2,1/(Sorgo!$E72:INDEX(Sorgo!$E72:$Z72,MIN(E$6-$E$3,22))&lt;&gt;""),Sorgo!$E72:INDEX(Sorgo!$E72:$Z72,MIN(E$6-$E$3,22))),0))-IF($G$2,0,IF((E$6-$G$3)&lt;1,0,IFERROR(LOOKUP(2,1/(Sorgo!$E72:INDEX(Sorgo!$E72:$Z72,MIN(E$6-$G$3,22))&lt;&gt;""),Sorgo!$E72:INDEX(Sorgo!$E72:$Z72,MIN(E$6-$G$3,22))),0)))))</f>
        <v>0</v>
      </c>
      <c r="F74" s="27" t="n">
        <f aca="false">IF(COUNT(Sorgo!$E72:$Z72)=0,0,MAX(0,IF((F$6-$E$3)&lt;1,0,IFERROR(LOOKUP(2,1/(Sorgo!$E72:INDEX(Sorgo!$E72:$Z72,MIN(F$6-$E$3,22))&lt;&gt;""),Sorgo!$E72:INDEX(Sorgo!$E72:$Z72,MIN(F$6-$E$3,22))),0))-IF($G$2,0,IF((F$6-$G$3)&lt;1,0,IFERROR(LOOKUP(2,1/(Sorgo!$E72:INDEX(Sorgo!$E72:$Z72,MIN(F$6-$G$3,22))&lt;&gt;""),Sorgo!$E72:INDEX(Sorgo!$E72:$Z72,MIN(F$6-$G$3,22))),0)))))</f>
        <v>0</v>
      </c>
      <c r="G74" s="27" t="n">
        <f aca="false">IF(COUNT(Sorgo!$E72:$Z72)=0,0,MAX(0,IF((G$6-$E$3)&lt;1,0,IFERROR(LOOKUP(2,1/(Sorgo!$E72:INDEX(Sorgo!$E72:$Z72,MIN(G$6-$E$3,22))&lt;&gt;""),Sorgo!$E72:INDEX(Sorgo!$E72:$Z72,MIN(G$6-$E$3,22))),0))-IF($G$2,0,IF((G$6-$G$3)&lt;1,0,IFERROR(LOOKUP(2,1/(Sorgo!$E72:INDEX(Sorgo!$E72:$Z72,MIN(G$6-$G$3,22))&lt;&gt;""),Sorgo!$E72:INDEX(Sorgo!$E72:$Z72,MIN(G$6-$G$3,22))),0)))))</f>
        <v>0</v>
      </c>
      <c r="H74" s="27" t="n">
        <f aca="false">IF(COUNT(Sorgo!$E72:$Z72)=0,0,MAX(0,IF((H$6-$E$3)&lt;1,0,IFERROR(LOOKUP(2,1/(Sorgo!$E72:INDEX(Sorgo!$E72:$Z72,MIN(H$6-$E$3,22))&lt;&gt;""),Sorgo!$E72:INDEX(Sorgo!$E72:$Z72,MIN(H$6-$E$3,22))),0))-IF($G$2,0,IF((H$6-$G$3)&lt;1,0,IFERROR(LOOKUP(2,1/(Sorgo!$E72:INDEX(Sorgo!$E72:$Z72,MIN(H$6-$G$3,22))&lt;&gt;""),Sorgo!$E72:INDEX(Sorgo!$E72:$Z72,MIN(H$6-$G$3,22))),0)))))</f>
        <v>0</v>
      </c>
      <c r="I74" s="27" t="n">
        <f aca="false">IF(COUNT(Sorgo!$E72:$Z72)=0,0,MAX(0,IF((I$6-$E$3)&lt;1,0,IFERROR(LOOKUP(2,1/(Sorgo!$E72:INDEX(Sorgo!$E72:$Z72,MIN(I$6-$E$3,22))&lt;&gt;""),Sorgo!$E72:INDEX(Sorgo!$E72:$Z72,MIN(I$6-$E$3,22))),0))-IF($G$2,0,IF((I$6-$G$3)&lt;1,0,IFERROR(LOOKUP(2,1/(Sorgo!$E72:INDEX(Sorgo!$E72:$Z72,MIN(I$6-$G$3,22))&lt;&gt;""),Sorgo!$E72:INDEX(Sorgo!$E72:$Z72,MIN(I$6-$G$3,22))),0)))))</f>
        <v>0</v>
      </c>
      <c r="J74" s="27" t="n">
        <f aca="false">IF(COUNT(Sorgo!$E72:$Z72)=0,0,MAX(0,IF((J$6-$E$3)&lt;1,0,IFERROR(LOOKUP(2,1/(Sorgo!$E72:INDEX(Sorgo!$E72:$Z72,MIN(J$6-$E$3,22))&lt;&gt;""),Sorgo!$E72:INDEX(Sorgo!$E72:$Z72,MIN(J$6-$E$3,22))),0))-IF($G$2,0,IF((J$6-$G$3)&lt;1,0,IFERROR(LOOKUP(2,1/(Sorgo!$E72:INDEX(Sorgo!$E72:$Z72,MIN(J$6-$G$3,22))&lt;&gt;""),Sorgo!$E72:INDEX(Sorgo!$E72:$Z72,MIN(J$6-$G$3,22))),0)))))</f>
        <v>0</v>
      </c>
      <c r="K74" s="27" t="n">
        <f aca="false">IF(COUNT(Sorgo!$E72:$Z72)=0,0,MAX(0,IF((K$6-$E$3)&lt;1,0,IFERROR(LOOKUP(2,1/(Sorgo!$E72:INDEX(Sorgo!$E72:$Z72,MIN(K$6-$E$3,22))&lt;&gt;""),Sorgo!$E72:INDEX(Sorgo!$E72:$Z72,MIN(K$6-$E$3,22))),0))-IF($G$2,0,IF((K$6-$G$3)&lt;1,0,IFERROR(LOOKUP(2,1/(Sorgo!$E72:INDEX(Sorgo!$E72:$Z72,MIN(K$6-$G$3,22))&lt;&gt;""),Sorgo!$E72:INDEX(Sorgo!$E72:$Z72,MIN(K$6-$G$3,22))),0)))))</f>
        <v>0</v>
      </c>
      <c r="L74" s="27" t="n">
        <f aca="false">IF(COUNT(Sorgo!$E72:$Z72)=0,0,MAX(0,IF((L$6-$E$3)&lt;1,0,IFERROR(LOOKUP(2,1/(Sorgo!$E72:INDEX(Sorgo!$E72:$Z72,MIN(L$6-$E$3,22))&lt;&gt;""),Sorgo!$E72:INDEX(Sorgo!$E72:$Z72,MIN(L$6-$E$3,22))),0))-IF($G$2,0,IF((L$6-$G$3)&lt;1,0,IFERROR(LOOKUP(2,1/(Sorgo!$E72:INDEX(Sorgo!$E72:$Z72,MIN(L$6-$G$3,22))&lt;&gt;""),Sorgo!$E72:INDEX(Sorgo!$E72:$Z72,MIN(L$6-$G$3,22))),0)))))</f>
        <v>0</v>
      </c>
      <c r="M74" s="27" t="n">
        <f aca="false">IF(COUNT(Sorgo!$E72:$Z72)=0,0,MAX(0,IF((M$6-$E$3)&lt;1,0,IFERROR(LOOKUP(2,1/(Sorgo!$E72:INDEX(Sorgo!$E72:$Z72,MIN(M$6-$E$3,22))&lt;&gt;""),Sorgo!$E72:INDEX(Sorgo!$E72:$Z72,MIN(M$6-$E$3,22))),0))-IF($G$2,0,IF((M$6-$G$3)&lt;1,0,IFERROR(LOOKUP(2,1/(Sorgo!$E72:INDEX(Sorgo!$E72:$Z72,MIN(M$6-$G$3,22))&lt;&gt;""),Sorgo!$E72:INDEX(Sorgo!$E72:$Z72,MIN(M$6-$G$3,22))),0)))))</f>
        <v>0</v>
      </c>
      <c r="N74" s="27" t="n">
        <f aca="false">IF(COUNT(Sorgo!$E72:$Z72)=0,0,MAX(0,IF((N$6-$E$3)&lt;1,0,IFERROR(LOOKUP(2,1/(Sorgo!$E72:INDEX(Sorgo!$E72:$Z72,MIN(N$6-$E$3,22))&lt;&gt;""),Sorgo!$E72:INDEX(Sorgo!$E72:$Z72,MIN(N$6-$E$3,22))),0))-IF($G$2,0,IF((N$6-$G$3)&lt;1,0,IFERROR(LOOKUP(2,1/(Sorgo!$E72:INDEX(Sorgo!$E72:$Z72,MIN(N$6-$G$3,22))&lt;&gt;""),Sorgo!$E72:INDEX(Sorgo!$E72:$Z72,MIN(N$6-$G$3,22))),0)))))</f>
        <v>0</v>
      </c>
      <c r="O74" s="27" t="n">
        <f aca="false">IF(COUNT(Sorgo!$E72:$Z72)=0,0,MAX(0,IF((O$6-$E$3)&lt;1,0,IFERROR(LOOKUP(2,1/(Sorgo!$E72:INDEX(Sorgo!$E72:$Z72,MIN(O$6-$E$3,22))&lt;&gt;""),Sorgo!$E72:INDEX(Sorgo!$E72:$Z72,MIN(O$6-$E$3,22))),0))-IF($G$2,0,IF((O$6-$G$3)&lt;1,0,IFERROR(LOOKUP(2,1/(Sorgo!$E72:INDEX(Sorgo!$E72:$Z72,MIN(O$6-$G$3,22))&lt;&gt;""),Sorgo!$E72:INDEX(Sorgo!$E72:$Z72,MIN(O$6-$G$3,22))),0)))))</f>
        <v>0</v>
      </c>
      <c r="P74" s="27" t="n">
        <f aca="false">IF(COUNT(Sorgo!$E72:$Z72)=0,0,MAX(0,IF((P$6-$E$3)&lt;1,0,IFERROR(LOOKUP(2,1/(Sorgo!$E72:INDEX(Sorgo!$E72:$Z72,MIN(P$6-$E$3,22))&lt;&gt;""),Sorgo!$E72:INDEX(Sorgo!$E72:$Z72,MIN(P$6-$E$3,22))),0))-IF($G$2,0,IF((P$6-$G$3)&lt;1,0,IFERROR(LOOKUP(2,1/(Sorgo!$E72:INDEX(Sorgo!$E72:$Z72,MIN(P$6-$G$3,22))&lt;&gt;""),Sorgo!$E72:INDEX(Sorgo!$E72:$Z72,MIN(P$6-$G$3,22))),0)))))</f>
        <v>0</v>
      </c>
      <c r="Q74" s="27" t="n">
        <f aca="false">IF(COUNT(Sorgo!$E72:$Z72)=0,0,MAX(0,IF((Q$6-$E$3)&lt;1,0,IFERROR(LOOKUP(2,1/(Sorgo!$E72:INDEX(Sorgo!$E72:$Z72,MIN(Q$6-$E$3,22))&lt;&gt;""),Sorgo!$E72:INDEX(Sorgo!$E72:$Z72,MIN(Q$6-$E$3,22))),0))-IF($G$2,0,IF((Q$6-$G$3)&lt;1,0,IFERROR(LOOKUP(2,1/(Sorgo!$E72:INDEX(Sorgo!$E72:$Z72,MIN(Q$6-$G$3,22))&lt;&gt;""),Sorgo!$E72:INDEX(Sorgo!$E72:$Z72,MIN(Q$6-$G$3,22))),0)))))</f>
        <v>0</v>
      </c>
      <c r="R74" s="27" t="n">
        <f aca="false">IF(COUNT(Sorgo!$E72:$Z72)=0,0,MAX(0,IF((R$6-$E$3)&lt;1,0,IFERROR(LOOKUP(2,1/(Sorgo!$E72:INDEX(Sorgo!$E72:$Z72,MIN(R$6-$E$3,22))&lt;&gt;""),Sorgo!$E72:INDEX(Sorgo!$E72:$Z72,MIN(R$6-$E$3,22))),0))-IF($G$2,0,IF((R$6-$G$3)&lt;1,0,IFERROR(LOOKUP(2,1/(Sorgo!$E72:INDEX(Sorgo!$E72:$Z72,MIN(R$6-$G$3,22))&lt;&gt;""),Sorgo!$E72:INDEX(Sorgo!$E72:$Z72,MIN(R$6-$G$3,22))),0)))))</f>
        <v>0</v>
      </c>
      <c r="S74" s="27" t="n">
        <f aca="false">IF(COUNT(Sorgo!$E72:$Z72)=0,0,MAX(0,IF((S$6-$E$3)&lt;1,0,IFERROR(LOOKUP(2,1/(Sorgo!$E72:INDEX(Sorgo!$E72:$Z72,MIN(S$6-$E$3,22))&lt;&gt;""),Sorgo!$E72:INDEX(Sorgo!$E72:$Z72,MIN(S$6-$E$3,22))),0))-IF($G$2,0,IF((S$6-$G$3)&lt;1,0,IFERROR(LOOKUP(2,1/(Sorgo!$E72:INDEX(Sorgo!$E72:$Z72,MIN(S$6-$G$3,22))&lt;&gt;""),Sorgo!$E72:INDEX(Sorgo!$E72:$Z72,MIN(S$6-$G$3,22))),0)))))</f>
        <v>0</v>
      </c>
      <c r="T74" s="27" t="n">
        <f aca="false">IF(COUNT(Sorgo!$E72:$Z72)=0,0,MAX(0,IF((T$6-$E$3)&lt;1,0,IFERROR(LOOKUP(2,1/(Sorgo!$E72:INDEX(Sorgo!$E72:$Z72,MIN(T$6-$E$3,22))&lt;&gt;""),Sorgo!$E72:INDEX(Sorgo!$E72:$Z72,MIN(T$6-$E$3,22))),0))-IF($G$2,0,IF((T$6-$G$3)&lt;1,0,IFERROR(LOOKUP(2,1/(Sorgo!$E72:INDEX(Sorgo!$E72:$Z72,MIN(T$6-$G$3,22))&lt;&gt;""),Sorgo!$E72:INDEX(Sorgo!$E72:$Z72,MIN(T$6-$G$3,22))),0)))))</f>
        <v>0</v>
      </c>
      <c r="U74" s="27" t="n">
        <f aca="false">IF(COUNT(Sorgo!$E72:$Z72)=0,0,MAX(0,IF((U$6-$E$3)&lt;1,0,IFERROR(LOOKUP(2,1/(Sorgo!$E72:INDEX(Sorgo!$E72:$Z72,MIN(U$6-$E$3,22))&lt;&gt;""),Sorgo!$E72:INDEX(Sorgo!$E72:$Z72,MIN(U$6-$E$3,22))),0))-IF($G$2,0,IF((U$6-$G$3)&lt;1,0,IFERROR(LOOKUP(2,1/(Sorgo!$E72:INDEX(Sorgo!$E72:$Z72,MIN(U$6-$G$3,22))&lt;&gt;""),Sorgo!$E72:INDEX(Sorgo!$E72:$Z72,MIN(U$6-$G$3,22))),0)))))</f>
        <v>0</v>
      </c>
      <c r="V74" s="27" t="n">
        <f aca="false">IF(COUNT(Sorgo!$E72:$Z72)=0,0,MAX(0,IF((V$6-$E$3)&lt;1,0,IFERROR(LOOKUP(2,1/(Sorgo!$E72:INDEX(Sorgo!$E72:$Z72,MIN(V$6-$E$3,22))&lt;&gt;""),Sorgo!$E72:INDEX(Sorgo!$E72:$Z72,MIN(V$6-$E$3,22))),0))-IF($G$2,0,IF((V$6-$G$3)&lt;1,0,IFERROR(LOOKUP(2,1/(Sorgo!$E72:INDEX(Sorgo!$E72:$Z72,MIN(V$6-$G$3,22))&lt;&gt;""),Sorgo!$E72:INDEX(Sorgo!$E72:$Z72,MIN(V$6-$G$3,22))),0)))))</f>
        <v>0</v>
      </c>
      <c r="W74" s="27" t="n">
        <f aca="false">IF(COUNT(Sorgo!$E72:$Z72)=0,0,MAX(0,IF((W$6-$E$3)&lt;1,0,IFERROR(LOOKUP(2,1/(Sorgo!$E72:INDEX(Sorgo!$E72:$Z72,MIN(W$6-$E$3,22))&lt;&gt;""),Sorgo!$E72:INDEX(Sorgo!$E72:$Z72,MIN(W$6-$E$3,22))),0))-IF($G$2,0,IF((W$6-$G$3)&lt;1,0,IFERROR(LOOKUP(2,1/(Sorgo!$E72:INDEX(Sorgo!$E72:$Z72,MIN(W$6-$G$3,22))&lt;&gt;""),Sorgo!$E72:INDEX(Sorgo!$E72:$Z72,MIN(W$6-$G$3,22))),0)))))</f>
        <v>0</v>
      </c>
      <c r="X74" s="27" t="n">
        <f aca="false">IF(COUNT(Sorgo!$E72:$Z72)=0,0,MAX(0,IF((X$6-$E$3)&lt;1,0,IFERROR(LOOKUP(2,1/(Sorgo!$E72:INDEX(Sorgo!$E72:$Z72,MIN(X$6-$E$3,22))&lt;&gt;""),Sorgo!$E72:INDEX(Sorgo!$E72:$Z72,MIN(X$6-$E$3,22))),0))-IF($G$2,0,IF((X$6-$G$3)&lt;1,0,IFERROR(LOOKUP(2,1/(Sorgo!$E72:INDEX(Sorgo!$E72:$Z72,MIN(X$6-$G$3,22))&lt;&gt;""),Sorgo!$E72:INDEX(Sorgo!$E72:$Z72,MIN(X$6-$G$3,22))),0)))))</f>
        <v>0</v>
      </c>
      <c r="Y74" s="27" t="n">
        <f aca="false">IF(COUNT(Sorgo!$E72:$Z72)=0,0,MAX(0,IF((Y$6-$E$3)&lt;1,0,IFERROR(LOOKUP(2,1/(Sorgo!$E72:INDEX(Sorgo!$E72:$Z72,MIN(Y$6-$E$3,22))&lt;&gt;""),Sorgo!$E72:INDEX(Sorgo!$E72:$Z72,MIN(Y$6-$E$3,22))),0))-IF($G$2,0,IF((Y$6-$G$3)&lt;1,0,IFERROR(LOOKUP(2,1/(Sorgo!$E72:INDEX(Sorgo!$E72:$Z72,MIN(Y$6-$G$3,22))&lt;&gt;""),Sorgo!$E72:INDEX(Sorgo!$E72:$Z72,MIN(Y$6-$G$3,22))),0)))))</f>
        <v>0</v>
      </c>
      <c r="Z74" s="27" t="n">
        <f aca="false">IF(COUNT(Sorgo!$E72:$Z72)=0,0,MAX(0,IF((Z$6-$E$3)&lt;1,0,IFERROR(LOOKUP(2,1/(Sorgo!$E72:INDEX(Sorgo!$E72:$Z72,MIN(Z$6-$E$3,22))&lt;&gt;""),Sorgo!$E72:INDEX(Sorgo!$E72:$Z72,MIN(Z$6-$E$3,22))),0))-IF($G$2,0,IF((Z$6-$G$3)&lt;1,0,IFERROR(LOOKUP(2,1/(Sorgo!$E72:INDEX(Sorgo!$E72:$Z72,MIN(Z$6-$G$3,22))&lt;&gt;""),Sorgo!$E72:INDEX(Sorgo!$E72:$Z72,MIN(Z$6-$G$3,22))),0)))))</f>
        <v>0</v>
      </c>
      <c r="AA74" s="27" t="n">
        <f aca="false">IF(COUNT(Sorgo!$E72:$Z72)=0,0,MAX(0,IF((AA$6-$E$3)&lt;1,0,IFERROR(LOOKUP(2,1/(Sorgo!$E72:INDEX(Sorgo!$E72:$Z72,MIN(AA$6-$E$3,22))&lt;&gt;""),Sorgo!$E72:INDEX(Sorgo!$E72:$Z72,MIN(AA$6-$E$3,22))),0))-IF($G$2,0,IF((AA$6-$G$3)&lt;1,0,IFERROR(LOOKUP(2,1/(Sorgo!$E72:INDEX(Sorgo!$E72:$Z72,MIN(AA$6-$G$3,22))&lt;&gt;""),Sorgo!$E72:INDEX(Sorgo!$E72:$Z72,MIN(AA$6-$G$3,22))),0)))))</f>
        <v>0</v>
      </c>
      <c r="AB74" s="27" t="n">
        <f aca="false">IF(COUNT(Sorgo!$E72:$Z72)=0,0,MAX(0,IF((AB$6-$E$3)&lt;1,0,IFERROR(LOOKUP(2,1/(Sorgo!$E72:INDEX(Sorgo!$E72:$Z72,MIN(AB$6-$E$3,22))&lt;&gt;""),Sorgo!$E72:INDEX(Sorgo!$E72:$Z72,MIN(AB$6-$E$3,22))),0))-IF($G$2,0,IF((AB$6-$G$3)&lt;1,0,IFERROR(LOOKUP(2,1/(Sorgo!$E72:INDEX(Sorgo!$E72:$Z72,MIN(AB$6-$G$3,22))&lt;&gt;""),Sorgo!$E72:INDEX(Sorgo!$E72:$Z72,MIN(AB$6-$G$3,22))),0)))))</f>
        <v>0</v>
      </c>
      <c r="AC74" s="27" t="n">
        <f aca="false">IF(COUNT(Sorgo!$E72:$Z72)=0,0,MAX(0,IF((AC$6-$E$3)&lt;1,0,IFERROR(LOOKUP(2,1/(Sorgo!$E72:INDEX(Sorgo!$E72:$Z72,MIN(AC$6-$E$3,22))&lt;&gt;""),Sorgo!$E72:INDEX(Sorgo!$E72:$Z72,MIN(AC$6-$E$3,22))),0))-IF($G$2,0,IF((AC$6-$G$3)&lt;1,0,IFERROR(LOOKUP(2,1/(Sorgo!$E72:INDEX(Sorgo!$E72:$Z72,MIN(AC$6-$G$3,22))&lt;&gt;""),Sorgo!$E72:INDEX(Sorgo!$E72:$Z72,MIN(AC$6-$G$3,22))),0)))))</f>
        <v>0</v>
      </c>
      <c r="AD74" s="27" t="n">
        <f aca="false">IF(COUNT(Sorgo!$E72:$Z72)=0,0,MAX(0,IF((AD$6-$E$3)&lt;1,0,IFERROR(LOOKUP(2,1/(Sorgo!$E72:INDEX(Sorgo!$E72:$Z72,MIN(AD$6-$E$3,22))&lt;&gt;""),Sorgo!$E72:INDEX(Sorgo!$E72:$Z72,MIN(AD$6-$E$3,22))),0))-IF($G$2,0,IF((AD$6-$G$3)&lt;1,0,IFERROR(LOOKUP(2,1/(Sorgo!$E72:INDEX(Sorgo!$E72:$Z72,MIN(AD$6-$G$3,22))&lt;&gt;""),Sorgo!$E72:INDEX(Sorgo!$E72:$Z72,MIN(AD$6-$G$3,22))),0)))))</f>
        <v>0</v>
      </c>
      <c r="AE74" s="27" t="n">
        <f aca="false">IF(COUNT(Sorgo!$E72:$Z72)=0,0,MAX(0,IF((AE$6-$E$3)&lt;1,0,IFERROR(LOOKUP(2,1/(Sorgo!$E72:INDEX(Sorgo!$E72:$Z72,MIN(AE$6-$E$3,22))&lt;&gt;""),Sorgo!$E72:INDEX(Sorgo!$E72:$Z72,MIN(AE$6-$E$3,22))),0))-IF($G$2,0,IF((AE$6-$G$3)&lt;1,0,IFERROR(LOOKUP(2,1/(Sorgo!$E72:INDEX(Sorgo!$E72:$Z72,MIN(AE$6-$G$3,22))&lt;&gt;""),Sorgo!$E72:INDEX(Sorgo!$E72:$Z72,MIN(AE$6-$G$3,22))),0)))))</f>
        <v>0</v>
      </c>
      <c r="AF74" s="27" t="n">
        <f aca="false">IF(COUNT(Sorgo!$E72:$Z72)=0,0,MAX(0,IF((AF$6-$E$3)&lt;1,0,IFERROR(LOOKUP(2,1/(Sorgo!$E72:INDEX(Sorgo!$E72:$Z72,MIN(AF$6-$E$3,22))&lt;&gt;""),Sorgo!$E72:INDEX(Sorgo!$E72:$Z72,MIN(AF$6-$E$3,22))),0))-IF($G$2,0,IF((AF$6-$G$3)&lt;1,0,IFERROR(LOOKUP(2,1/(Sorgo!$E72:INDEX(Sorgo!$E72:$Z72,MIN(AF$6-$G$3,22))&lt;&gt;""),Sorgo!$E72:INDEX(Sorgo!$E72:$Z72,MIN(AF$6-$G$3,22))),0)))))</f>
        <v>0</v>
      </c>
      <c r="AG74" s="27" t="n">
        <f aca="false">IF(COUNT(Sorgo!$E72:$Z72)=0,0,MAX(0,IF((AG$6-$E$3)&lt;1,0,IFERROR(LOOKUP(2,1/(Sorgo!$E72:INDEX(Sorgo!$E72:$Z72,MIN(AG$6-$E$3,22))&lt;&gt;""),Sorgo!$E72:INDEX(Sorgo!$E72:$Z72,MIN(AG$6-$E$3,22))),0))-IF($G$2,0,IF((AG$6-$G$3)&lt;1,0,IFERROR(LOOKUP(2,1/(Sorgo!$E72:INDEX(Sorgo!$E72:$Z72,MIN(AG$6-$G$3,22))&lt;&gt;""),Sorgo!$E72:INDEX(Sorgo!$E72:$Z72,MIN(AG$6-$G$3,22))),0)))))</f>
        <v>0</v>
      </c>
      <c r="AH74" s="27" t="n">
        <f aca="false">IF(COUNT(Sorgo!$E72:$Z72)=0,0,MAX(0,IF((AH$6-$E$3)&lt;1,0,IFERROR(LOOKUP(2,1/(Sorgo!$E72:INDEX(Sorgo!$E72:$Z72,MIN(AH$6-$E$3,22))&lt;&gt;""),Sorgo!$E72:INDEX(Sorgo!$E72:$Z72,MIN(AH$6-$E$3,22))),0))-IF($G$2,0,IF((AH$6-$G$3)&lt;1,0,IFERROR(LOOKUP(2,1/(Sorgo!$E72:INDEX(Sorgo!$E72:$Z72,MIN(AH$6-$G$3,22))&lt;&gt;""),Sorgo!$E72:INDEX(Sorgo!$E72:$Z72,MIN(AH$6-$G$3,22))),0)))))</f>
        <v>0</v>
      </c>
      <c r="AI74" s="27" t="n">
        <f aca="false">IF(COUNT(Sorgo!$E72:$Z72)=0,0,MAX(0,IF((AI$6-$E$3)&lt;1,0,IFERROR(LOOKUP(2,1/(Sorgo!$E72:INDEX(Sorgo!$E72:$Z72,MIN(AI$6-$E$3,22))&lt;&gt;""),Sorgo!$E72:INDEX(Sorgo!$E72:$Z72,MIN(AI$6-$E$3,22))),0))-IF($G$2,0,IF((AI$6-$G$3)&lt;1,0,IFERROR(LOOKUP(2,1/(Sorgo!$E72:INDEX(Sorgo!$E72:$Z72,MIN(AI$6-$G$3,22))&lt;&gt;""),Sorgo!$E72:INDEX(Sorgo!$E72:$Z72,MIN(AI$6-$G$3,22))),0)))))</f>
        <v>0</v>
      </c>
      <c r="AJ74" s="27" t="n">
        <f aca="false">IF(COUNT(Sorgo!$E72:$Z72)=0,0,MAX(0,IF((AJ$6-$E$3)&lt;1,0,IFERROR(LOOKUP(2,1/(Sorgo!$E72:INDEX(Sorgo!$E72:$Z72,MIN(AJ$6-$E$3,22))&lt;&gt;""),Sorgo!$E72:INDEX(Sorgo!$E72:$Z72,MIN(AJ$6-$E$3,22))),0))-IF($G$2,0,IF((AJ$6-$G$3)&lt;1,0,IFERROR(LOOKUP(2,1/(Sorgo!$E72:INDEX(Sorgo!$E72:$Z72,MIN(AJ$6-$G$3,22))&lt;&gt;""),Sorgo!$E72:INDEX(Sorgo!$E72:$Z72,MIN(AJ$6-$G$3,22))),0)))))</f>
        <v>0</v>
      </c>
      <c r="AK74" s="27" t="n">
        <f aca="false">IF(COUNT(Sorgo!$E72:$Z72)=0,0,MAX(0,IF((AK$6-$E$3)&lt;1,0,IFERROR(LOOKUP(2,1/(Sorgo!$E72:INDEX(Sorgo!$E72:$Z72,MIN(AK$6-$E$3,22))&lt;&gt;""),Sorgo!$E72:INDEX(Sorgo!$E72:$Z72,MIN(AK$6-$E$3,22))),0))-IF($G$2,0,IF((AK$6-$G$3)&lt;1,0,IFERROR(LOOKUP(2,1/(Sorgo!$E72:INDEX(Sorgo!$E72:$Z72,MIN(AK$6-$G$3,22))&lt;&gt;""),Sorgo!$E72:INDEX(Sorgo!$E72:$Z72,MIN(AK$6-$G$3,22))),0)))))</f>
        <v>0</v>
      </c>
      <c r="AL74" s="27" t="n">
        <f aca="false">IF(COUNT(Sorgo!$E72:$Z72)=0,0,MAX(0,IF((AL$6-$E$3)&lt;1,0,IFERROR(LOOKUP(2,1/(Sorgo!$E72:INDEX(Sorgo!$E72:$Z72,MIN(AL$6-$E$3,22))&lt;&gt;""),Sorgo!$E72:INDEX(Sorgo!$E72:$Z72,MIN(AL$6-$E$3,22))),0))-IF($G$2,0,IF((AL$6-$G$3)&lt;1,0,IFERROR(LOOKUP(2,1/(Sorgo!$E72:INDEX(Sorgo!$E72:$Z72,MIN(AL$6-$G$3,22))&lt;&gt;""),Sorgo!$E72:INDEX(Sorgo!$E72:$Z72,MIN(AL$6-$G$3,22))),0)))))</f>
        <v>0</v>
      </c>
      <c r="AM74" s="27" t="n">
        <f aca="false">IF(COUNT(Sorgo!$E72:$Z72)=0,0,MAX(0,IF((AM$6-$E$3)&lt;1,0,IFERROR(LOOKUP(2,1/(Sorgo!$E72:INDEX(Sorgo!$E72:$Z72,MIN(AM$6-$E$3,22))&lt;&gt;""),Sorgo!$E72:INDEX(Sorgo!$E72:$Z72,MIN(AM$6-$E$3,22))),0))-IF($G$2,0,IF((AM$6-$G$3)&lt;1,0,IFERROR(LOOKUP(2,1/(Sorgo!$E72:INDEX(Sorgo!$E72:$Z72,MIN(AM$6-$G$3,22))&lt;&gt;""),Sorgo!$E72:INDEX(Sorgo!$E72:$Z72,MIN(AM$6-$G$3,22))),0)))))</f>
        <v>0</v>
      </c>
      <c r="AN74" s="27" t="n">
        <f aca="false">IF(COUNT(Sorgo!$E72:$Z72)=0,0,MAX(0,IF((AN$6-$E$3)&lt;1,0,IFERROR(LOOKUP(2,1/(Sorgo!$E72:INDEX(Sorgo!$E72:$Z72,MIN(AN$6-$E$3,22))&lt;&gt;""),Sorgo!$E72:INDEX(Sorgo!$E72:$Z72,MIN(AN$6-$E$3,22))),0))-IF($G$2,0,IF((AN$6-$G$3)&lt;1,0,IFERROR(LOOKUP(2,1/(Sorgo!$E72:INDEX(Sorgo!$E72:$Z72,MIN(AN$6-$G$3,22))&lt;&gt;""),Sorgo!$E72:INDEX(Sorgo!$E72:$Z72,MIN(AN$6-$G$3,22))),0)))))</f>
        <v>0</v>
      </c>
      <c r="AO74" s="27" t="n">
        <f aca="false">IF(COUNT(Sorgo!$E72:$Z72)=0,0,MAX(0,IF((AO$6-$E$3)&lt;1,0,IFERROR(LOOKUP(2,1/(Sorgo!$E72:INDEX(Sorgo!$E72:$Z72,MIN(AO$6-$E$3,22))&lt;&gt;""),Sorgo!$E72:INDEX(Sorgo!$E72:$Z72,MIN(AO$6-$E$3,22))),0))-IF($G$2,0,IF((AO$6-$G$3)&lt;1,0,IFERROR(LOOKUP(2,1/(Sorgo!$E72:INDEX(Sorgo!$E72:$Z72,MIN(AO$6-$G$3,22))&lt;&gt;""),Sorgo!$E72:INDEX(Sorgo!$E72:$Z72,MIN(AO$6-$G$3,22))),0)))))</f>
        <v>0</v>
      </c>
      <c r="AP74" s="27" t="n">
        <f aca="false">IF(COUNT(Sorgo!$E72:$Z72)=0,0,MAX(0,IF((AP$6-$E$3)&lt;1,0,IFERROR(LOOKUP(2,1/(Sorgo!$E72:INDEX(Sorgo!$E72:$Z72,MIN(AP$6-$E$3,22))&lt;&gt;""),Sorgo!$E72:INDEX(Sorgo!$E72:$Z72,MIN(AP$6-$E$3,22))),0))-IF($G$2,0,IF((AP$6-$G$3)&lt;1,0,IFERROR(LOOKUP(2,1/(Sorgo!$E72:INDEX(Sorgo!$E72:$Z72,MIN(AP$6-$G$3,22))&lt;&gt;""),Sorgo!$E72:INDEX(Sorgo!$E72:$Z72,MIN(AP$6-$G$3,22))),0)))))</f>
        <v>0</v>
      </c>
      <c r="AQ74" s="27" t="n">
        <f aca="false">IF(COUNT(Sorgo!$E72:$Z72)=0,0,MAX(0,IF((AQ$6-$E$3)&lt;1,0,IFERROR(LOOKUP(2,1/(Sorgo!$E72:INDEX(Sorgo!$E72:$Z72,MIN(AQ$6-$E$3,22))&lt;&gt;""),Sorgo!$E72:INDEX(Sorgo!$E72:$Z72,MIN(AQ$6-$E$3,22))),0))-IF($G$2,0,IF((AQ$6-$G$3)&lt;1,0,IFERROR(LOOKUP(2,1/(Sorgo!$E72:INDEX(Sorgo!$E72:$Z72,MIN(AQ$6-$G$3,22))&lt;&gt;""),Sorgo!$E72:INDEX(Sorgo!$E72:$Z72,MIN(AQ$6-$G$3,22))),0)))))</f>
        <v>0</v>
      </c>
      <c r="AR74" s="27" t="n">
        <f aca="false">IF(COUNT(Sorgo!$E72:$Z72)=0,0,MAX(0,IF((AR$6-$E$3)&lt;1,0,IFERROR(LOOKUP(2,1/(Sorgo!$E72:INDEX(Sorgo!$E72:$Z72,MIN(AR$6-$E$3,22))&lt;&gt;""),Sorgo!$E72:INDEX(Sorgo!$E72:$Z72,MIN(AR$6-$E$3,22))),0))-IF($G$2,0,IF((AR$6-$G$3)&lt;1,0,IFERROR(LOOKUP(2,1/(Sorgo!$E72:INDEX(Sorgo!$E72:$Z72,MIN(AR$6-$G$3,22))&lt;&gt;""),Sorgo!$E72:INDEX(Sorgo!$E72:$Z72,MIN(AR$6-$G$3,22))),0)))))</f>
        <v>0</v>
      </c>
      <c r="AS74" s="27" t="n">
        <f aca="false">IF(COUNT(Sorgo!$E72:$Z72)=0,0,MAX(0,IF((AS$6-$E$3)&lt;1,0,IFERROR(LOOKUP(2,1/(Sorgo!$E72:INDEX(Sorgo!$E72:$Z72,MIN(AS$6-$E$3,22))&lt;&gt;""),Sorgo!$E72:INDEX(Sorgo!$E72:$Z72,MIN(AS$6-$E$3,22))),0))-IF($G$2,0,IF((AS$6-$G$3)&lt;1,0,IFERROR(LOOKUP(2,1/(Sorgo!$E72:INDEX(Sorgo!$E72:$Z72,MIN(AS$6-$G$3,22))&lt;&gt;""),Sorgo!$E72:INDEX(Sorgo!$E72:$Z72,MIN(AS$6-$G$3,22))),0)))))</f>
        <v>0</v>
      </c>
      <c r="AT74" s="27" t="n">
        <f aca="false">IF(COUNT(Sorgo!$E72:$Z72)=0,0,MAX(0,IF((AT$6-$E$3)&lt;1,0,IFERROR(LOOKUP(2,1/(Sorgo!$E72:INDEX(Sorgo!$E72:$Z72,MIN(AT$6-$E$3,22))&lt;&gt;""),Sorgo!$E72:INDEX(Sorgo!$E72:$Z72,MIN(AT$6-$E$3,22))),0))-IF($G$2,0,IF((AT$6-$G$3)&lt;1,0,IFERROR(LOOKUP(2,1/(Sorgo!$E72:INDEX(Sorgo!$E72:$Z72,MIN(AT$6-$G$3,22))&lt;&gt;""),Sorgo!$E72:INDEX(Sorgo!$E72:$Z72,MIN(AT$6-$G$3,22))),0)))))</f>
        <v>0</v>
      </c>
      <c r="AU74" s="27" t="n">
        <f aca="false">IF(COUNT(Sorgo!$E72:$Z72)=0,0,MAX(0,IF((AU$6-$E$3)&lt;1,0,IFERROR(LOOKUP(2,1/(Sorgo!$E72:INDEX(Sorgo!$E72:$Z72,MIN(AU$6-$E$3,22))&lt;&gt;""),Sorgo!$E72:INDEX(Sorgo!$E72:$Z72,MIN(AU$6-$E$3,22))),0))-IF($G$2,0,IF((AU$6-$G$3)&lt;1,0,IFERROR(LOOKUP(2,1/(Sorgo!$E72:INDEX(Sorgo!$E72:$Z72,MIN(AU$6-$G$3,22))&lt;&gt;""),Sorgo!$E72:INDEX(Sorgo!$E72:$Z72,MIN(AU$6-$G$3,22))),0)))))</f>
        <v>0</v>
      </c>
      <c r="AV74" s="27" t="n">
        <f aca="false">IF(COUNT(Sorgo!$E72:$Z72)=0,0,MAX(0,IF((AV$6-$E$3)&lt;1,0,IFERROR(LOOKUP(2,1/(Sorgo!$E72:INDEX(Sorgo!$E72:$Z72,MIN(AV$6-$E$3,22))&lt;&gt;""),Sorgo!$E72:INDEX(Sorgo!$E72:$Z72,MIN(AV$6-$E$3,22))),0))-IF($G$2,0,IF((AV$6-$G$3)&lt;1,0,IFERROR(LOOKUP(2,1/(Sorgo!$E72:INDEX(Sorgo!$E72:$Z72,MIN(AV$6-$G$3,22))&lt;&gt;""),Sorgo!$E72:INDEX(Sorgo!$E72:$Z72,MIN(AV$6-$G$3,22))),0)))))</f>
        <v>0</v>
      </c>
      <c r="AW74" s="27" t="n">
        <f aca="false">IF(COUNT(Sorgo!$E72:$Z72)=0,0,MAX(0,IF((AW$6-$E$3)&lt;1,0,IFERROR(LOOKUP(2,1/(Sorgo!$E72:INDEX(Sorgo!$E72:$Z72,MIN(AW$6-$E$3,22))&lt;&gt;""),Sorgo!$E72:INDEX(Sorgo!$E72:$Z72,MIN(AW$6-$E$3,22))),0))-IF($G$2,0,IF((AW$6-$G$3)&lt;1,0,IFERROR(LOOKUP(2,1/(Sorgo!$E72:INDEX(Sorgo!$E72:$Z72,MIN(AW$6-$G$3,22))&lt;&gt;""),Sorgo!$E72:INDEX(Sorgo!$E72:$Z72,MIN(AW$6-$G$3,22))),0)))))</f>
        <v>0</v>
      </c>
      <c r="AX74" s="27" t="n">
        <f aca="false">IF(COUNT(Sorgo!$E72:$Z72)=0,0,MAX(0,IF((AX$6-$E$3)&lt;1,0,IFERROR(LOOKUP(2,1/(Sorgo!$E72:INDEX(Sorgo!$E72:$Z72,MIN(AX$6-$E$3,22))&lt;&gt;""),Sorgo!$E72:INDEX(Sorgo!$E72:$Z72,MIN(AX$6-$E$3,22))),0))-IF($G$2,0,IF((AX$6-$G$3)&lt;1,0,IFERROR(LOOKUP(2,1/(Sorgo!$E72:INDEX(Sorgo!$E72:$Z72,MIN(AX$6-$G$3,22))&lt;&gt;""),Sorgo!$E72:INDEX(Sorgo!$E72:$Z72,MIN(AX$6-$G$3,22))),0)))))</f>
        <v>0</v>
      </c>
      <c r="AY74" s="27" t="n">
        <f aca="false">IF(COUNT(Sorgo!$E72:$Z72)=0,0,MAX(0,IF((AY$6-$E$3)&lt;1,0,IFERROR(LOOKUP(2,1/(Sorgo!$E72:INDEX(Sorgo!$E72:$Z72,MIN(AY$6-$E$3,22))&lt;&gt;""),Sorgo!$E72:INDEX(Sorgo!$E72:$Z72,MIN(AY$6-$E$3,22))),0))-IF($G$2,0,IF((AY$6-$G$3)&lt;1,0,IFERROR(LOOKUP(2,1/(Sorgo!$E72:INDEX(Sorgo!$E72:$Z72,MIN(AY$6-$G$3,22))&lt;&gt;""),Sorgo!$E72:INDEX(Sorgo!$E72:$Z72,MIN(AY$6-$G$3,22))),0)))))</f>
        <v>0</v>
      </c>
      <c r="AZ74" s="27" t="n">
        <f aca="false">IF(COUNT(Sorgo!$E72:$Z72)=0,0,MAX(0,IF((AZ$6-$E$3)&lt;1,0,IFERROR(LOOKUP(2,1/(Sorgo!$E72:INDEX(Sorgo!$E72:$Z72,MIN(AZ$6-$E$3,22))&lt;&gt;""),Sorgo!$E72:INDEX(Sorgo!$E72:$Z72,MIN(AZ$6-$E$3,22))),0))-IF($G$2,0,IF((AZ$6-$G$3)&lt;1,0,IFERROR(LOOKUP(2,1/(Sorgo!$E72:INDEX(Sorgo!$E72:$Z72,MIN(AZ$6-$G$3,22))&lt;&gt;""),Sorgo!$E72:INDEX(Sorgo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IF(COUNT(Sorgo!$E73:$Z73)&gt;0,N(Sorgo!$D73),0)</f>
        <v>0</v>
      </c>
      <c r="E75" s="27" t="n">
        <f aca="false">IF(COUNT(Sorgo!$E73:$Z73)=0,0,MAX(0,IF((E$6-$E$3)&lt;1,0,IFERROR(LOOKUP(2,1/(Sorgo!$E73:INDEX(Sorgo!$E73:$Z73,MIN(E$6-$E$3,22))&lt;&gt;""),Sorgo!$E73:INDEX(Sorgo!$E73:$Z73,MIN(E$6-$E$3,22))),0))-IF($G$2,0,IF((E$6-$G$3)&lt;1,0,IFERROR(LOOKUP(2,1/(Sorgo!$E73:INDEX(Sorgo!$E73:$Z73,MIN(E$6-$G$3,22))&lt;&gt;""),Sorgo!$E73:INDEX(Sorgo!$E73:$Z73,MIN(E$6-$G$3,22))),0)))))</f>
        <v>0</v>
      </c>
      <c r="F75" s="27" t="n">
        <f aca="false">IF(COUNT(Sorgo!$E73:$Z73)=0,0,MAX(0,IF((F$6-$E$3)&lt;1,0,IFERROR(LOOKUP(2,1/(Sorgo!$E73:INDEX(Sorgo!$E73:$Z73,MIN(F$6-$E$3,22))&lt;&gt;""),Sorgo!$E73:INDEX(Sorgo!$E73:$Z73,MIN(F$6-$E$3,22))),0))-IF($G$2,0,IF((F$6-$G$3)&lt;1,0,IFERROR(LOOKUP(2,1/(Sorgo!$E73:INDEX(Sorgo!$E73:$Z73,MIN(F$6-$G$3,22))&lt;&gt;""),Sorgo!$E73:INDEX(Sorgo!$E73:$Z73,MIN(F$6-$G$3,22))),0)))))</f>
        <v>0</v>
      </c>
      <c r="G75" s="27" t="n">
        <f aca="false">IF(COUNT(Sorgo!$E73:$Z73)=0,0,MAX(0,IF((G$6-$E$3)&lt;1,0,IFERROR(LOOKUP(2,1/(Sorgo!$E73:INDEX(Sorgo!$E73:$Z73,MIN(G$6-$E$3,22))&lt;&gt;""),Sorgo!$E73:INDEX(Sorgo!$E73:$Z73,MIN(G$6-$E$3,22))),0))-IF($G$2,0,IF((G$6-$G$3)&lt;1,0,IFERROR(LOOKUP(2,1/(Sorgo!$E73:INDEX(Sorgo!$E73:$Z73,MIN(G$6-$G$3,22))&lt;&gt;""),Sorgo!$E73:INDEX(Sorgo!$E73:$Z73,MIN(G$6-$G$3,22))),0)))))</f>
        <v>0</v>
      </c>
      <c r="H75" s="27" t="n">
        <f aca="false">IF(COUNT(Sorgo!$E73:$Z73)=0,0,MAX(0,IF((H$6-$E$3)&lt;1,0,IFERROR(LOOKUP(2,1/(Sorgo!$E73:INDEX(Sorgo!$E73:$Z73,MIN(H$6-$E$3,22))&lt;&gt;""),Sorgo!$E73:INDEX(Sorgo!$E73:$Z73,MIN(H$6-$E$3,22))),0))-IF($G$2,0,IF((H$6-$G$3)&lt;1,0,IFERROR(LOOKUP(2,1/(Sorgo!$E73:INDEX(Sorgo!$E73:$Z73,MIN(H$6-$G$3,22))&lt;&gt;""),Sorgo!$E73:INDEX(Sorgo!$E73:$Z73,MIN(H$6-$G$3,22))),0)))))</f>
        <v>0</v>
      </c>
      <c r="I75" s="27" t="n">
        <f aca="false">IF(COUNT(Sorgo!$E73:$Z73)=0,0,MAX(0,IF((I$6-$E$3)&lt;1,0,IFERROR(LOOKUP(2,1/(Sorgo!$E73:INDEX(Sorgo!$E73:$Z73,MIN(I$6-$E$3,22))&lt;&gt;""),Sorgo!$E73:INDEX(Sorgo!$E73:$Z73,MIN(I$6-$E$3,22))),0))-IF($G$2,0,IF((I$6-$G$3)&lt;1,0,IFERROR(LOOKUP(2,1/(Sorgo!$E73:INDEX(Sorgo!$E73:$Z73,MIN(I$6-$G$3,22))&lt;&gt;""),Sorgo!$E73:INDEX(Sorgo!$E73:$Z73,MIN(I$6-$G$3,22))),0)))))</f>
        <v>0</v>
      </c>
      <c r="J75" s="27" t="n">
        <f aca="false">IF(COUNT(Sorgo!$E73:$Z73)=0,0,MAX(0,IF((J$6-$E$3)&lt;1,0,IFERROR(LOOKUP(2,1/(Sorgo!$E73:INDEX(Sorgo!$E73:$Z73,MIN(J$6-$E$3,22))&lt;&gt;""),Sorgo!$E73:INDEX(Sorgo!$E73:$Z73,MIN(J$6-$E$3,22))),0))-IF($G$2,0,IF((J$6-$G$3)&lt;1,0,IFERROR(LOOKUP(2,1/(Sorgo!$E73:INDEX(Sorgo!$E73:$Z73,MIN(J$6-$G$3,22))&lt;&gt;""),Sorgo!$E73:INDEX(Sorgo!$E73:$Z73,MIN(J$6-$G$3,22))),0)))))</f>
        <v>0</v>
      </c>
      <c r="K75" s="27" t="n">
        <f aca="false">IF(COUNT(Sorgo!$E73:$Z73)=0,0,MAX(0,IF((K$6-$E$3)&lt;1,0,IFERROR(LOOKUP(2,1/(Sorgo!$E73:INDEX(Sorgo!$E73:$Z73,MIN(K$6-$E$3,22))&lt;&gt;""),Sorgo!$E73:INDEX(Sorgo!$E73:$Z73,MIN(K$6-$E$3,22))),0))-IF($G$2,0,IF((K$6-$G$3)&lt;1,0,IFERROR(LOOKUP(2,1/(Sorgo!$E73:INDEX(Sorgo!$E73:$Z73,MIN(K$6-$G$3,22))&lt;&gt;""),Sorgo!$E73:INDEX(Sorgo!$E73:$Z73,MIN(K$6-$G$3,22))),0)))))</f>
        <v>0</v>
      </c>
      <c r="L75" s="27" t="n">
        <f aca="false">IF(COUNT(Sorgo!$E73:$Z73)=0,0,MAX(0,IF((L$6-$E$3)&lt;1,0,IFERROR(LOOKUP(2,1/(Sorgo!$E73:INDEX(Sorgo!$E73:$Z73,MIN(L$6-$E$3,22))&lt;&gt;""),Sorgo!$E73:INDEX(Sorgo!$E73:$Z73,MIN(L$6-$E$3,22))),0))-IF($G$2,0,IF((L$6-$G$3)&lt;1,0,IFERROR(LOOKUP(2,1/(Sorgo!$E73:INDEX(Sorgo!$E73:$Z73,MIN(L$6-$G$3,22))&lt;&gt;""),Sorgo!$E73:INDEX(Sorgo!$E73:$Z73,MIN(L$6-$G$3,22))),0)))))</f>
        <v>0</v>
      </c>
      <c r="M75" s="27" t="n">
        <f aca="false">IF(COUNT(Sorgo!$E73:$Z73)=0,0,MAX(0,IF((M$6-$E$3)&lt;1,0,IFERROR(LOOKUP(2,1/(Sorgo!$E73:INDEX(Sorgo!$E73:$Z73,MIN(M$6-$E$3,22))&lt;&gt;""),Sorgo!$E73:INDEX(Sorgo!$E73:$Z73,MIN(M$6-$E$3,22))),0))-IF($G$2,0,IF((M$6-$G$3)&lt;1,0,IFERROR(LOOKUP(2,1/(Sorgo!$E73:INDEX(Sorgo!$E73:$Z73,MIN(M$6-$G$3,22))&lt;&gt;""),Sorgo!$E73:INDEX(Sorgo!$E73:$Z73,MIN(M$6-$G$3,22))),0)))))</f>
        <v>0</v>
      </c>
      <c r="N75" s="27" t="n">
        <f aca="false">IF(COUNT(Sorgo!$E73:$Z73)=0,0,MAX(0,IF((N$6-$E$3)&lt;1,0,IFERROR(LOOKUP(2,1/(Sorgo!$E73:INDEX(Sorgo!$E73:$Z73,MIN(N$6-$E$3,22))&lt;&gt;""),Sorgo!$E73:INDEX(Sorgo!$E73:$Z73,MIN(N$6-$E$3,22))),0))-IF($G$2,0,IF((N$6-$G$3)&lt;1,0,IFERROR(LOOKUP(2,1/(Sorgo!$E73:INDEX(Sorgo!$E73:$Z73,MIN(N$6-$G$3,22))&lt;&gt;""),Sorgo!$E73:INDEX(Sorgo!$E73:$Z73,MIN(N$6-$G$3,22))),0)))))</f>
        <v>0</v>
      </c>
      <c r="O75" s="27" t="n">
        <f aca="false">IF(COUNT(Sorgo!$E73:$Z73)=0,0,MAX(0,IF((O$6-$E$3)&lt;1,0,IFERROR(LOOKUP(2,1/(Sorgo!$E73:INDEX(Sorgo!$E73:$Z73,MIN(O$6-$E$3,22))&lt;&gt;""),Sorgo!$E73:INDEX(Sorgo!$E73:$Z73,MIN(O$6-$E$3,22))),0))-IF($G$2,0,IF((O$6-$G$3)&lt;1,0,IFERROR(LOOKUP(2,1/(Sorgo!$E73:INDEX(Sorgo!$E73:$Z73,MIN(O$6-$G$3,22))&lt;&gt;""),Sorgo!$E73:INDEX(Sorgo!$E73:$Z73,MIN(O$6-$G$3,22))),0)))))</f>
        <v>0</v>
      </c>
      <c r="P75" s="27" t="n">
        <f aca="false">IF(COUNT(Sorgo!$E73:$Z73)=0,0,MAX(0,IF((P$6-$E$3)&lt;1,0,IFERROR(LOOKUP(2,1/(Sorgo!$E73:INDEX(Sorgo!$E73:$Z73,MIN(P$6-$E$3,22))&lt;&gt;""),Sorgo!$E73:INDEX(Sorgo!$E73:$Z73,MIN(P$6-$E$3,22))),0))-IF($G$2,0,IF((P$6-$G$3)&lt;1,0,IFERROR(LOOKUP(2,1/(Sorgo!$E73:INDEX(Sorgo!$E73:$Z73,MIN(P$6-$G$3,22))&lt;&gt;""),Sorgo!$E73:INDEX(Sorgo!$E73:$Z73,MIN(P$6-$G$3,22))),0)))))</f>
        <v>0</v>
      </c>
      <c r="Q75" s="27" t="n">
        <f aca="false">IF(COUNT(Sorgo!$E73:$Z73)=0,0,MAX(0,IF((Q$6-$E$3)&lt;1,0,IFERROR(LOOKUP(2,1/(Sorgo!$E73:INDEX(Sorgo!$E73:$Z73,MIN(Q$6-$E$3,22))&lt;&gt;""),Sorgo!$E73:INDEX(Sorgo!$E73:$Z73,MIN(Q$6-$E$3,22))),0))-IF($G$2,0,IF((Q$6-$G$3)&lt;1,0,IFERROR(LOOKUP(2,1/(Sorgo!$E73:INDEX(Sorgo!$E73:$Z73,MIN(Q$6-$G$3,22))&lt;&gt;""),Sorgo!$E73:INDEX(Sorgo!$E73:$Z73,MIN(Q$6-$G$3,22))),0)))))</f>
        <v>0</v>
      </c>
      <c r="R75" s="27" t="n">
        <f aca="false">IF(COUNT(Sorgo!$E73:$Z73)=0,0,MAX(0,IF((R$6-$E$3)&lt;1,0,IFERROR(LOOKUP(2,1/(Sorgo!$E73:INDEX(Sorgo!$E73:$Z73,MIN(R$6-$E$3,22))&lt;&gt;""),Sorgo!$E73:INDEX(Sorgo!$E73:$Z73,MIN(R$6-$E$3,22))),0))-IF($G$2,0,IF((R$6-$G$3)&lt;1,0,IFERROR(LOOKUP(2,1/(Sorgo!$E73:INDEX(Sorgo!$E73:$Z73,MIN(R$6-$G$3,22))&lt;&gt;""),Sorgo!$E73:INDEX(Sorgo!$E73:$Z73,MIN(R$6-$G$3,22))),0)))))</f>
        <v>0</v>
      </c>
      <c r="S75" s="27" t="n">
        <f aca="false">IF(COUNT(Sorgo!$E73:$Z73)=0,0,MAX(0,IF((S$6-$E$3)&lt;1,0,IFERROR(LOOKUP(2,1/(Sorgo!$E73:INDEX(Sorgo!$E73:$Z73,MIN(S$6-$E$3,22))&lt;&gt;""),Sorgo!$E73:INDEX(Sorgo!$E73:$Z73,MIN(S$6-$E$3,22))),0))-IF($G$2,0,IF((S$6-$G$3)&lt;1,0,IFERROR(LOOKUP(2,1/(Sorgo!$E73:INDEX(Sorgo!$E73:$Z73,MIN(S$6-$G$3,22))&lt;&gt;""),Sorgo!$E73:INDEX(Sorgo!$E73:$Z73,MIN(S$6-$G$3,22))),0)))))</f>
        <v>0</v>
      </c>
      <c r="T75" s="27" t="n">
        <f aca="false">IF(COUNT(Sorgo!$E73:$Z73)=0,0,MAX(0,IF((T$6-$E$3)&lt;1,0,IFERROR(LOOKUP(2,1/(Sorgo!$E73:INDEX(Sorgo!$E73:$Z73,MIN(T$6-$E$3,22))&lt;&gt;""),Sorgo!$E73:INDEX(Sorgo!$E73:$Z73,MIN(T$6-$E$3,22))),0))-IF($G$2,0,IF((T$6-$G$3)&lt;1,0,IFERROR(LOOKUP(2,1/(Sorgo!$E73:INDEX(Sorgo!$E73:$Z73,MIN(T$6-$G$3,22))&lt;&gt;""),Sorgo!$E73:INDEX(Sorgo!$E73:$Z73,MIN(T$6-$G$3,22))),0)))))</f>
        <v>0</v>
      </c>
      <c r="U75" s="27" t="n">
        <f aca="false">IF(COUNT(Sorgo!$E73:$Z73)=0,0,MAX(0,IF((U$6-$E$3)&lt;1,0,IFERROR(LOOKUP(2,1/(Sorgo!$E73:INDEX(Sorgo!$E73:$Z73,MIN(U$6-$E$3,22))&lt;&gt;""),Sorgo!$E73:INDEX(Sorgo!$E73:$Z73,MIN(U$6-$E$3,22))),0))-IF($G$2,0,IF((U$6-$G$3)&lt;1,0,IFERROR(LOOKUP(2,1/(Sorgo!$E73:INDEX(Sorgo!$E73:$Z73,MIN(U$6-$G$3,22))&lt;&gt;""),Sorgo!$E73:INDEX(Sorgo!$E73:$Z73,MIN(U$6-$G$3,22))),0)))))</f>
        <v>0</v>
      </c>
      <c r="V75" s="27" t="n">
        <f aca="false">IF(COUNT(Sorgo!$E73:$Z73)=0,0,MAX(0,IF((V$6-$E$3)&lt;1,0,IFERROR(LOOKUP(2,1/(Sorgo!$E73:INDEX(Sorgo!$E73:$Z73,MIN(V$6-$E$3,22))&lt;&gt;""),Sorgo!$E73:INDEX(Sorgo!$E73:$Z73,MIN(V$6-$E$3,22))),0))-IF($G$2,0,IF((V$6-$G$3)&lt;1,0,IFERROR(LOOKUP(2,1/(Sorgo!$E73:INDEX(Sorgo!$E73:$Z73,MIN(V$6-$G$3,22))&lt;&gt;""),Sorgo!$E73:INDEX(Sorgo!$E73:$Z73,MIN(V$6-$G$3,22))),0)))))</f>
        <v>0</v>
      </c>
      <c r="W75" s="27" t="n">
        <f aca="false">IF(COUNT(Sorgo!$E73:$Z73)=0,0,MAX(0,IF((W$6-$E$3)&lt;1,0,IFERROR(LOOKUP(2,1/(Sorgo!$E73:INDEX(Sorgo!$E73:$Z73,MIN(W$6-$E$3,22))&lt;&gt;""),Sorgo!$E73:INDEX(Sorgo!$E73:$Z73,MIN(W$6-$E$3,22))),0))-IF($G$2,0,IF((W$6-$G$3)&lt;1,0,IFERROR(LOOKUP(2,1/(Sorgo!$E73:INDEX(Sorgo!$E73:$Z73,MIN(W$6-$G$3,22))&lt;&gt;""),Sorgo!$E73:INDEX(Sorgo!$E73:$Z73,MIN(W$6-$G$3,22))),0)))))</f>
        <v>0</v>
      </c>
      <c r="X75" s="27" t="n">
        <f aca="false">IF(COUNT(Sorgo!$E73:$Z73)=0,0,MAX(0,IF((X$6-$E$3)&lt;1,0,IFERROR(LOOKUP(2,1/(Sorgo!$E73:INDEX(Sorgo!$E73:$Z73,MIN(X$6-$E$3,22))&lt;&gt;""),Sorgo!$E73:INDEX(Sorgo!$E73:$Z73,MIN(X$6-$E$3,22))),0))-IF($G$2,0,IF((X$6-$G$3)&lt;1,0,IFERROR(LOOKUP(2,1/(Sorgo!$E73:INDEX(Sorgo!$E73:$Z73,MIN(X$6-$G$3,22))&lt;&gt;""),Sorgo!$E73:INDEX(Sorgo!$E73:$Z73,MIN(X$6-$G$3,22))),0)))))</f>
        <v>0</v>
      </c>
      <c r="Y75" s="27" t="n">
        <f aca="false">IF(COUNT(Sorgo!$E73:$Z73)=0,0,MAX(0,IF((Y$6-$E$3)&lt;1,0,IFERROR(LOOKUP(2,1/(Sorgo!$E73:INDEX(Sorgo!$E73:$Z73,MIN(Y$6-$E$3,22))&lt;&gt;""),Sorgo!$E73:INDEX(Sorgo!$E73:$Z73,MIN(Y$6-$E$3,22))),0))-IF($G$2,0,IF((Y$6-$G$3)&lt;1,0,IFERROR(LOOKUP(2,1/(Sorgo!$E73:INDEX(Sorgo!$E73:$Z73,MIN(Y$6-$G$3,22))&lt;&gt;""),Sorgo!$E73:INDEX(Sorgo!$E73:$Z73,MIN(Y$6-$G$3,22))),0)))))</f>
        <v>0</v>
      </c>
      <c r="Z75" s="27" t="n">
        <f aca="false">IF(COUNT(Sorgo!$E73:$Z73)=0,0,MAX(0,IF((Z$6-$E$3)&lt;1,0,IFERROR(LOOKUP(2,1/(Sorgo!$E73:INDEX(Sorgo!$E73:$Z73,MIN(Z$6-$E$3,22))&lt;&gt;""),Sorgo!$E73:INDEX(Sorgo!$E73:$Z73,MIN(Z$6-$E$3,22))),0))-IF($G$2,0,IF((Z$6-$G$3)&lt;1,0,IFERROR(LOOKUP(2,1/(Sorgo!$E73:INDEX(Sorgo!$E73:$Z73,MIN(Z$6-$G$3,22))&lt;&gt;""),Sorgo!$E73:INDEX(Sorgo!$E73:$Z73,MIN(Z$6-$G$3,22))),0)))))</f>
        <v>0</v>
      </c>
      <c r="AA75" s="27" t="n">
        <f aca="false">IF(COUNT(Sorgo!$E73:$Z73)=0,0,MAX(0,IF((AA$6-$E$3)&lt;1,0,IFERROR(LOOKUP(2,1/(Sorgo!$E73:INDEX(Sorgo!$E73:$Z73,MIN(AA$6-$E$3,22))&lt;&gt;""),Sorgo!$E73:INDEX(Sorgo!$E73:$Z73,MIN(AA$6-$E$3,22))),0))-IF($G$2,0,IF((AA$6-$G$3)&lt;1,0,IFERROR(LOOKUP(2,1/(Sorgo!$E73:INDEX(Sorgo!$E73:$Z73,MIN(AA$6-$G$3,22))&lt;&gt;""),Sorgo!$E73:INDEX(Sorgo!$E73:$Z73,MIN(AA$6-$G$3,22))),0)))))</f>
        <v>0</v>
      </c>
      <c r="AB75" s="27" t="n">
        <f aca="false">IF(COUNT(Sorgo!$E73:$Z73)=0,0,MAX(0,IF((AB$6-$E$3)&lt;1,0,IFERROR(LOOKUP(2,1/(Sorgo!$E73:INDEX(Sorgo!$E73:$Z73,MIN(AB$6-$E$3,22))&lt;&gt;""),Sorgo!$E73:INDEX(Sorgo!$E73:$Z73,MIN(AB$6-$E$3,22))),0))-IF($G$2,0,IF((AB$6-$G$3)&lt;1,0,IFERROR(LOOKUP(2,1/(Sorgo!$E73:INDEX(Sorgo!$E73:$Z73,MIN(AB$6-$G$3,22))&lt;&gt;""),Sorgo!$E73:INDEX(Sorgo!$E73:$Z73,MIN(AB$6-$G$3,22))),0)))))</f>
        <v>0</v>
      </c>
      <c r="AC75" s="27" t="n">
        <f aca="false">IF(COUNT(Sorgo!$E73:$Z73)=0,0,MAX(0,IF((AC$6-$E$3)&lt;1,0,IFERROR(LOOKUP(2,1/(Sorgo!$E73:INDEX(Sorgo!$E73:$Z73,MIN(AC$6-$E$3,22))&lt;&gt;""),Sorgo!$E73:INDEX(Sorgo!$E73:$Z73,MIN(AC$6-$E$3,22))),0))-IF($G$2,0,IF((AC$6-$G$3)&lt;1,0,IFERROR(LOOKUP(2,1/(Sorgo!$E73:INDEX(Sorgo!$E73:$Z73,MIN(AC$6-$G$3,22))&lt;&gt;""),Sorgo!$E73:INDEX(Sorgo!$E73:$Z73,MIN(AC$6-$G$3,22))),0)))))</f>
        <v>0</v>
      </c>
      <c r="AD75" s="27" t="n">
        <f aca="false">IF(COUNT(Sorgo!$E73:$Z73)=0,0,MAX(0,IF((AD$6-$E$3)&lt;1,0,IFERROR(LOOKUP(2,1/(Sorgo!$E73:INDEX(Sorgo!$E73:$Z73,MIN(AD$6-$E$3,22))&lt;&gt;""),Sorgo!$E73:INDEX(Sorgo!$E73:$Z73,MIN(AD$6-$E$3,22))),0))-IF($G$2,0,IF((AD$6-$G$3)&lt;1,0,IFERROR(LOOKUP(2,1/(Sorgo!$E73:INDEX(Sorgo!$E73:$Z73,MIN(AD$6-$G$3,22))&lt;&gt;""),Sorgo!$E73:INDEX(Sorgo!$E73:$Z73,MIN(AD$6-$G$3,22))),0)))))</f>
        <v>0</v>
      </c>
      <c r="AE75" s="27" t="n">
        <f aca="false">IF(COUNT(Sorgo!$E73:$Z73)=0,0,MAX(0,IF((AE$6-$E$3)&lt;1,0,IFERROR(LOOKUP(2,1/(Sorgo!$E73:INDEX(Sorgo!$E73:$Z73,MIN(AE$6-$E$3,22))&lt;&gt;""),Sorgo!$E73:INDEX(Sorgo!$E73:$Z73,MIN(AE$6-$E$3,22))),0))-IF($G$2,0,IF((AE$6-$G$3)&lt;1,0,IFERROR(LOOKUP(2,1/(Sorgo!$E73:INDEX(Sorgo!$E73:$Z73,MIN(AE$6-$G$3,22))&lt;&gt;""),Sorgo!$E73:INDEX(Sorgo!$E73:$Z73,MIN(AE$6-$G$3,22))),0)))))</f>
        <v>0</v>
      </c>
      <c r="AF75" s="27" t="n">
        <f aca="false">IF(COUNT(Sorgo!$E73:$Z73)=0,0,MAX(0,IF((AF$6-$E$3)&lt;1,0,IFERROR(LOOKUP(2,1/(Sorgo!$E73:INDEX(Sorgo!$E73:$Z73,MIN(AF$6-$E$3,22))&lt;&gt;""),Sorgo!$E73:INDEX(Sorgo!$E73:$Z73,MIN(AF$6-$E$3,22))),0))-IF($G$2,0,IF((AF$6-$G$3)&lt;1,0,IFERROR(LOOKUP(2,1/(Sorgo!$E73:INDEX(Sorgo!$E73:$Z73,MIN(AF$6-$G$3,22))&lt;&gt;""),Sorgo!$E73:INDEX(Sorgo!$E73:$Z73,MIN(AF$6-$G$3,22))),0)))))</f>
        <v>0</v>
      </c>
      <c r="AG75" s="27" t="n">
        <f aca="false">IF(COUNT(Sorgo!$E73:$Z73)=0,0,MAX(0,IF((AG$6-$E$3)&lt;1,0,IFERROR(LOOKUP(2,1/(Sorgo!$E73:INDEX(Sorgo!$E73:$Z73,MIN(AG$6-$E$3,22))&lt;&gt;""),Sorgo!$E73:INDEX(Sorgo!$E73:$Z73,MIN(AG$6-$E$3,22))),0))-IF($G$2,0,IF((AG$6-$G$3)&lt;1,0,IFERROR(LOOKUP(2,1/(Sorgo!$E73:INDEX(Sorgo!$E73:$Z73,MIN(AG$6-$G$3,22))&lt;&gt;""),Sorgo!$E73:INDEX(Sorgo!$E73:$Z73,MIN(AG$6-$G$3,22))),0)))))</f>
        <v>0</v>
      </c>
      <c r="AH75" s="27" t="n">
        <f aca="false">IF(COUNT(Sorgo!$E73:$Z73)=0,0,MAX(0,IF((AH$6-$E$3)&lt;1,0,IFERROR(LOOKUP(2,1/(Sorgo!$E73:INDEX(Sorgo!$E73:$Z73,MIN(AH$6-$E$3,22))&lt;&gt;""),Sorgo!$E73:INDEX(Sorgo!$E73:$Z73,MIN(AH$6-$E$3,22))),0))-IF($G$2,0,IF((AH$6-$G$3)&lt;1,0,IFERROR(LOOKUP(2,1/(Sorgo!$E73:INDEX(Sorgo!$E73:$Z73,MIN(AH$6-$G$3,22))&lt;&gt;""),Sorgo!$E73:INDEX(Sorgo!$E73:$Z73,MIN(AH$6-$G$3,22))),0)))))</f>
        <v>0</v>
      </c>
      <c r="AI75" s="27" t="n">
        <f aca="false">IF(COUNT(Sorgo!$E73:$Z73)=0,0,MAX(0,IF((AI$6-$E$3)&lt;1,0,IFERROR(LOOKUP(2,1/(Sorgo!$E73:INDEX(Sorgo!$E73:$Z73,MIN(AI$6-$E$3,22))&lt;&gt;""),Sorgo!$E73:INDEX(Sorgo!$E73:$Z73,MIN(AI$6-$E$3,22))),0))-IF($G$2,0,IF((AI$6-$G$3)&lt;1,0,IFERROR(LOOKUP(2,1/(Sorgo!$E73:INDEX(Sorgo!$E73:$Z73,MIN(AI$6-$G$3,22))&lt;&gt;""),Sorgo!$E73:INDEX(Sorgo!$E73:$Z73,MIN(AI$6-$G$3,22))),0)))))</f>
        <v>0</v>
      </c>
      <c r="AJ75" s="27" t="n">
        <f aca="false">IF(COUNT(Sorgo!$E73:$Z73)=0,0,MAX(0,IF((AJ$6-$E$3)&lt;1,0,IFERROR(LOOKUP(2,1/(Sorgo!$E73:INDEX(Sorgo!$E73:$Z73,MIN(AJ$6-$E$3,22))&lt;&gt;""),Sorgo!$E73:INDEX(Sorgo!$E73:$Z73,MIN(AJ$6-$E$3,22))),0))-IF($G$2,0,IF((AJ$6-$G$3)&lt;1,0,IFERROR(LOOKUP(2,1/(Sorgo!$E73:INDEX(Sorgo!$E73:$Z73,MIN(AJ$6-$G$3,22))&lt;&gt;""),Sorgo!$E73:INDEX(Sorgo!$E73:$Z73,MIN(AJ$6-$G$3,22))),0)))))</f>
        <v>0</v>
      </c>
      <c r="AK75" s="27" t="n">
        <f aca="false">IF(COUNT(Sorgo!$E73:$Z73)=0,0,MAX(0,IF((AK$6-$E$3)&lt;1,0,IFERROR(LOOKUP(2,1/(Sorgo!$E73:INDEX(Sorgo!$E73:$Z73,MIN(AK$6-$E$3,22))&lt;&gt;""),Sorgo!$E73:INDEX(Sorgo!$E73:$Z73,MIN(AK$6-$E$3,22))),0))-IF($G$2,0,IF((AK$6-$G$3)&lt;1,0,IFERROR(LOOKUP(2,1/(Sorgo!$E73:INDEX(Sorgo!$E73:$Z73,MIN(AK$6-$G$3,22))&lt;&gt;""),Sorgo!$E73:INDEX(Sorgo!$E73:$Z73,MIN(AK$6-$G$3,22))),0)))))</f>
        <v>0</v>
      </c>
      <c r="AL75" s="27" t="n">
        <f aca="false">IF(COUNT(Sorgo!$E73:$Z73)=0,0,MAX(0,IF((AL$6-$E$3)&lt;1,0,IFERROR(LOOKUP(2,1/(Sorgo!$E73:INDEX(Sorgo!$E73:$Z73,MIN(AL$6-$E$3,22))&lt;&gt;""),Sorgo!$E73:INDEX(Sorgo!$E73:$Z73,MIN(AL$6-$E$3,22))),0))-IF($G$2,0,IF((AL$6-$G$3)&lt;1,0,IFERROR(LOOKUP(2,1/(Sorgo!$E73:INDEX(Sorgo!$E73:$Z73,MIN(AL$6-$G$3,22))&lt;&gt;""),Sorgo!$E73:INDEX(Sorgo!$E73:$Z73,MIN(AL$6-$G$3,22))),0)))))</f>
        <v>0</v>
      </c>
      <c r="AM75" s="27" t="n">
        <f aca="false">IF(COUNT(Sorgo!$E73:$Z73)=0,0,MAX(0,IF((AM$6-$E$3)&lt;1,0,IFERROR(LOOKUP(2,1/(Sorgo!$E73:INDEX(Sorgo!$E73:$Z73,MIN(AM$6-$E$3,22))&lt;&gt;""),Sorgo!$E73:INDEX(Sorgo!$E73:$Z73,MIN(AM$6-$E$3,22))),0))-IF($G$2,0,IF((AM$6-$G$3)&lt;1,0,IFERROR(LOOKUP(2,1/(Sorgo!$E73:INDEX(Sorgo!$E73:$Z73,MIN(AM$6-$G$3,22))&lt;&gt;""),Sorgo!$E73:INDEX(Sorgo!$E73:$Z73,MIN(AM$6-$G$3,22))),0)))))</f>
        <v>0</v>
      </c>
      <c r="AN75" s="27" t="n">
        <f aca="false">IF(COUNT(Sorgo!$E73:$Z73)=0,0,MAX(0,IF((AN$6-$E$3)&lt;1,0,IFERROR(LOOKUP(2,1/(Sorgo!$E73:INDEX(Sorgo!$E73:$Z73,MIN(AN$6-$E$3,22))&lt;&gt;""),Sorgo!$E73:INDEX(Sorgo!$E73:$Z73,MIN(AN$6-$E$3,22))),0))-IF($G$2,0,IF((AN$6-$G$3)&lt;1,0,IFERROR(LOOKUP(2,1/(Sorgo!$E73:INDEX(Sorgo!$E73:$Z73,MIN(AN$6-$G$3,22))&lt;&gt;""),Sorgo!$E73:INDEX(Sorgo!$E73:$Z73,MIN(AN$6-$G$3,22))),0)))))</f>
        <v>0</v>
      </c>
      <c r="AO75" s="27" t="n">
        <f aca="false">IF(COUNT(Sorgo!$E73:$Z73)=0,0,MAX(0,IF((AO$6-$E$3)&lt;1,0,IFERROR(LOOKUP(2,1/(Sorgo!$E73:INDEX(Sorgo!$E73:$Z73,MIN(AO$6-$E$3,22))&lt;&gt;""),Sorgo!$E73:INDEX(Sorgo!$E73:$Z73,MIN(AO$6-$E$3,22))),0))-IF($G$2,0,IF((AO$6-$G$3)&lt;1,0,IFERROR(LOOKUP(2,1/(Sorgo!$E73:INDEX(Sorgo!$E73:$Z73,MIN(AO$6-$G$3,22))&lt;&gt;""),Sorgo!$E73:INDEX(Sorgo!$E73:$Z73,MIN(AO$6-$G$3,22))),0)))))</f>
        <v>0</v>
      </c>
      <c r="AP75" s="27" t="n">
        <f aca="false">IF(COUNT(Sorgo!$E73:$Z73)=0,0,MAX(0,IF((AP$6-$E$3)&lt;1,0,IFERROR(LOOKUP(2,1/(Sorgo!$E73:INDEX(Sorgo!$E73:$Z73,MIN(AP$6-$E$3,22))&lt;&gt;""),Sorgo!$E73:INDEX(Sorgo!$E73:$Z73,MIN(AP$6-$E$3,22))),0))-IF($G$2,0,IF((AP$6-$G$3)&lt;1,0,IFERROR(LOOKUP(2,1/(Sorgo!$E73:INDEX(Sorgo!$E73:$Z73,MIN(AP$6-$G$3,22))&lt;&gt;""),Sorgo!$E73:INDEX(Sorgo!$E73:$Z73,MIN(AP$6-$G$3,22))),0)))))</f>
        <v>0</v>
      </c>
      <c r="AQ75" s="27" t="n">
        <f aca="false">IF(COUNT(Sorgo!$E73:$Z73)=0,0,MAX(0,IF((AQ$6-$E$3)&lt;1,0,IFERROR(LOOKUP(2,1/(Sorgo!$E73:INDEX(Sorgo!$E73:$Z73,MIN(AQ$6-$E$3,22))&lt;&gt;""),Sorgo!$E73:INDEX(Sorgo!$E73:$Z73,MIN(AQ$6-$E$3,22))),0))-IF($G$2,0,IF((AQ$6-$G$3)&lt;1,0,IFERROR(LOOKUP(2,1/(Sorgo!$E73:INDEX(Sorgo!$E73:$Z73,MIN(AQ$6-$G$3,22))&lt;&gt;""),Sorgo!$E73:INDEX(Sorgo!$E73:$Z73,MIN(AQ$6-$G$3,22))),0)))))</f>
        <v>0</v>
      </c>
      <c r="AR75" s="27" t="n">
        <f aca="false">IF(COUNT(Sorgo!$E73:$Z73)=0,0,MAX(0,IF((AR$6-$E$3)&lt;1,0,IFERROR(LOOKUP(2,1/(Sorgo!$E73:INDEX(Sorgo!$E73:$Z73,MIN(AR$6-$E$3,22))&lt;&gt;""),Sorgo!$E73:INDEX(Sorgo!$E73:$Z73,MIN(AR$6-$E$3,22))),0))-IF($G$2,0,IF((AR$6-$G$3)&lt;1,0,IFERROR(LOOKUP(2,1/(Sorgo!$E73:INDEX(Sorgo!$E73:$Z73,MIN(AR$6-$G$3,22))&lt;&gt;""),Sorgo!$E73:INDEX(Sorgo!$E73:$Z73,MIN(AR$6-$G$3,22))),0)))))</f>
        <v>0</v>
      </c>
      <c r="AS75" s="27" t="n">
        <f aca="false">IF(COUNT(Sorgo!$E73:$Z73)=0,0,MAX(0,IF((AS$6-$E$3)&lt;1,0,IFERROR(LOOKUP(2,1/(Sorgo!$E73:INDEX(Sorgo!$E73:$Z73,MIN(AS$6-$E$3,22))&lt;&gt;""),Sorgo!$E73:INDEX(Sorgo!$E73:$Z73,MIN(AS$6-$E$3,22))),0))-IF($G$2,0,IF((AS$6-$G$3)&lt;1,0,IFERROR(LOOKUP(2,1/(Sorgo!$E73:INDEX(Sorgo!$E73:$Z73,MIN(AS$6-$G$3,22))&lt;&gt;""),Sorgo!$E73:INDEX(Sorgo!$E73:$Z73,MIN(AS$6-$G$3,22))),0)))))</f>
        <v>0</v>
      </c>
      <c r="AT75" s="27" t="n">
        <f aca="false">IF(COUNT(Sorgo!$E73:$Z73)=0,0,MAX(0,IF((AT$6-$E$3)&lt;1,0,IFERROR(LOOKUP(2,1/(Sorgo!$E73:INDEX(Sorgo!$E73:$Z73,MIN(AT$6-$E$3,22))&lt;&gt;""),Sorgo!$E73:INDEX(Sorgo!$E73:$Z73,MIN(AT$6-$E$3,22))),0))-IF($G$2,0,IF((AT$6-$G$3)&lt;1,0,IFERROR(LOOKUP(2,1/(Sorgo!$E73:INDEX(Sorgo!$E73:$Z73,MIN(AT$6-$G$3,22))&lt;&gt;""),Sorgo!$E73:INDEX(Sorgo!$E73:$Z73,MIN(AT$6-$G$3,22))),0)))))</f>
        <v>0</v>
      </c>
      <c r="AU75" s="27" t="n">
        <f aca="false">IF(COUNT(Sorgo!$E73:$Z73)=0,0,MAX(0,IF((AU$6-$E$3)&lt;1,0,IFERROR(LOOKUP(2,1/(Sorgo!$E73:INDEX(Sorgo!$E73:$Z73,MIN(AU$6-$E$3,22))&lt;&gt;""),Sorgo!$E73:INDEX(Sorgo!$E73:$Z73,MIN(AU$6-$E$3,22))),0))-IF($G$2,0,IF((AU$6-$G$3)&lt;1,0,IFERROR(LOOKUP(2,1/(Sorgo!$E73:INDEX(Sorgo!$E73:$Z73,MIN(AU$6-$G$3,22))&lt;&gt;""),Sorgo!$E73:INDEX(Sorgo!$E73:$Z73,MIN(AU$6-$G$3,22))),0)))))</f>
        <v>0</v>
      </c>
      <c r="AV75" s="27" t="n">
        <f aca="false">IF(COUNT(Sorgo!$E73:$Z73)=0,0,MAX(0,IF((AV$6-$E$3)&lt;1,0,IFERROR(LOOKUP(2,1/(Sorgo!$E73:INDEX(Sorgo!$E73:$Z73,MIN(AV$6-$E$3,22))&lt;&gt;""),Sorgo!$E73:INDEX(Sorgo!$E73:$Z73,MIN(AV$6-$E$3,22))),0))-IF($G$2,0,IF((AV$6-$G$3)&lt;1,0,IFERROR(LOOKUP(2,1/(Sorgo!$E73:INDEX(Sorgo!$E73:$Z73,MIN(AV$6-$G$3,22))&lt;&gt;""),Sorgo!$E73:INDEX(Sorgo!$E73:$Z73,MIN(AV$6-$G$3,22))),0)))))</f>
        <v>0</v>
      </c>
      <c r="AW75" s="27" t="n">
        <f aca="false">IF(COUNT(Sorgo!$E73:$Z73)=0,0,MAX(0,IF((AW$6-$E$3)&lt;1,0,IFERROR(LOOKUP(2,1/(Sorgo!$E73:INDEX(Sorgo!$E73:$Z73,MIN(AW$6-$E$3,22))&lt;&gt;""),Sorgo!$E73:INDEX(Sorgo!$E73:$Z73,MIN(AW$6-$E$3,22))),0))-IF($G$2,0,IF((AW$6-$G$3)&lt;1,0,IFERROR(LOOKUP(2,1/(Sorgo!$E73:INDEX(Sorgo!$E73:$Z73,MIN(AW$6-$G$3,22))&lt;&gt;""),Sorgo!$E73:INDEX(Sorgo!$E73:$Z73,MIN(AW$6-$G$3,22))),0)))))</f>
        <v>0</v>
      </c>
      <c r="AX75" s="27" t="n">
        <f aca="false">IF(COUNT(Sorgo!$E73:$Z73)=0,0,MAX(0,IF((AX$6-$E$3)&lt;1,0,IFERROR(LOOKUP(2,1/(Sorgo!$E73:INDEX(Sorgo!$E73:$Z73,MIN(AX$6-$E$3,22))&lt;&gt;""),Sorgo!$E73:INDEX(Sorgo!$E73:$Z73,MIN(AX$6-$E$3,22))),0))-IF($G$2,0,IF((AX$6-$G$3)&lt;1,0,IFERROR(LOOKUP(2,1/(Sorgo!$E73:INDEX(Sorgo!$E73:$Z73,MIN(AX$6-$G$3,22))&lt;&gt;""),Sorgo!$E73:INDEX(Sorgo!$E73:$Z73,MIN(AX$6-$G$3,22))),0)))))</f>
        <v>0</v>
      </c>
      <c r="AY75" s="27" t="n">
        <f aca="false">IF(COUNT(Sorgo!$E73:$Z73)=0,0,MAX(0,IF((AY$6-$E$3)&lt;1,0,IFERROR(LOOKUP(2,1/(Sorgo!$E73:INDEX(Sorgo!$E73:$Z73,MIN(AY$6-$E$3,22))&lt;&gt;""),Sorgo!$E73:INDEX(Sorgo!$E73:$Z73,MIN(AY$6-$E$3,22))),0))-IF($G$2,0,IF((AY$6-$G$3)&lt;1,0,IFERROR(LOOKUP(2,1/(Sorgo!$E73:INDEX(Sorgo!$E73:$Z73,MIN(AY$6-$G$3,22))&lt;&gt;""),Sorgo!$E73:INDEX(Sorgo!$E73:$Z73,MIN(AY$6-$G$3,22))),0)))))</f>
        <v>0</v>
      </c>
      <c r="AZ75" s="27" t="n">
        <f aca="false">IF(COUNT(Sorgo!$E73:$Z73)=0,0,MAX(0,IF((AZ$6-$E$3)&lt;1,0,IFERROR(LOOKUP(2,1/(Sorgo!$E73:INDEX(Sorgo!$E73:$Z73,MIN(AZ$6-$E$3,22))&lt;&gt;""),Sorgo!$E73:INDEX(Sorgo!$E73:$Z73,MIN(AZ$6-$E$3,22))),0))-IF($G$2,0,IF((AZ$6-$G$3)&lt;1,0,IFERROR(LOOKUP(2,1/(Sorgo!$E73:INDEX(Sorgo!$E73:$Z73,MIN(AZ$6-$G$3,22))&lt;&gt;""),Sorgo!$E73:INDEX(Sorgo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IF(COUNT(Sorgo!$E74:$Z74)&gt;0,N(Sorgo!$D74),0)</f>
        <v>0</v>
      </c>
      <c r="E76" s="27" t="n">
        <f aca="false">IF(COUNT(Sorgo!$E74:$Z74)=0,0,MAX(0,IF((E$6-$E$3)&lt;1,0,IFERROR(LOOKUP(2,1/(Sorgo!$E74:INDEX(Sorgo!$E74:$Z74,MIN(E$6-$E$3,22))&lt;&gt;""),Sorgo!$E74:INDEX(Sorgo!$E74:$Z74,MIN(E$6-$E$3,22))),0))-IF($G$2,0,IF((E$6-$G$3)&lt;1,0,IFERROR(LOOKUP(2,1/(Sorgo!$E74:INDEX(Sorgo!$E74:$Z74,MIN(E$6-$G$3,22))&lt;&gt;""),Sorgo!$E74:INDEX(Sorgo!$E74:$Z74,MIN(E$6-$G$3,22))),0)))))</f>
        <v>0</v>
      </c>
      <c r="F76" s="27" t="n">
        <f aca="false">IF(COUNT(Sorgo!$E74:$Z74)=0,0,MAX(0,IF((F$6-$E$3)&lt;1,0,IFERROR(LOOKUP(2,1/(Sorgo!$E74:INDEX(Sorgo!$E74:$Z74,MIN(F$6-$E$3,22))&lt;&gt;""),Sorgo!$E74:INDEX(Sorgo!$E74:$Z74,MIN(F$6-$E$3,22))),0))-IF($G$2,0,IF((F$6-$G$3)&lt;1,0,IFERROR(LOOKUP(2,1/(Sorgo!$E74:INDEX(Sorgo!$E74:$Z74,MIN(F$6-$G$3,22))&lt;&gt;""),Sorgo!$E74:INDEX(Sorgo!$E74:$Z74,MIN(F$6-$G$3,22))),0)))))</f>
        <v>0</v>
      </c>
      <c r="G76" s="27" t="n">
        <f aca="false">IF(COUNT(Sorgo!$E74:$Z74)=0,0,MAX(0,IF((G$6-$E$3)&lt;1,0,IFERROR(LOOKUP(2,1/(Sorgo!$E74:INDEX(Sorgo!$E74:$Z74,MIN(G$6-$E$3,22))&lt;&gt;""),Sorgo!$E74:INDEX(Sorgo!$E74:$Z74,MIN(G$6-$E$3,22))),0))-IF($G$2,0,IF((G$6-$G$3)&lt;1,0,IFERROR(LOOKUP(2,1/(Sorgo!$E74:INDEX(Sorgo!$E74:$Z74,MIN(G$6-$G$3,22))&lt;&gt;""),Sorgo!$E74:INDEX(Sorgo!$E74:$Z74,MIN(G$6-$G$3,22))),0)))))</f>
        <v>0</v>
      </c>
      <c r="H76" s="27" t="n">
        <f aca="false">IF(COUNT(Sorgo!$E74:$Z74)=0,0,MAX(0,IF((H$6-$E$3)&lt;1,0,IFERROR(LOOKUP(2,1/(Sorgo!$E74:INDEX(Sorgo!$E74:$Z74,MIN(H$6-$E$3,22))&lt;&gt;""),Sorgo!$E74:INDEX(Sorgo!$E74:$Z74,MIN(H$6-$E$3,22))),0))-IF($G$2,0,IF((H$6-$G$3)&lt;1,0,IFERROR(LOOKUP(2,1/(Sorgo!$E74:INDEX(Sorgo!$E74:$Z74,MIN(H$6-$G$3,22))&lt;&gt;""),Sorgo!$E74:INDEX(Sorgo!$E74:$Z74,MIN(H$6-$G$3,22))),0)))))</f>
        <v>0</v>
      </c>
      <c r="I76" s="27" t="n">
        <f aca="false">IF(COUNT(Sorgo!$E74:$Z74)=0,0,MAX(0,IF((I$6-$E$3)&lt;1,0,IFERROR(LOOKUP(2,1/(Sorgo!$E74:INDEX(Sorgo!$E74:$Z74,MIN(I$6-$E$3,22))&lt;&gt;""),Sorgo!$E74:INDEX(Sorgo!$E74:$Z74,MIN(I$6-$E$3,22))),0))-IF($G$2,0,IF((I$6-$G$3)&lt;1,0,IFERROR(LOOKUP(2,1/(Sorgo!$E74:INDEX(Sorgo!$E74:$Z74,MIN(I$6-$G$3,22))&lt;&gt;""),Sorgo!$E74:INDEX(Sorgo!$E74:$Z74,MIN(I$6-$G$3,22))),0)))))</f>
        <v>0</v>
      </c>
      <c r="J76" s="27" t="n">
        <f aca="false">IF(COUNT(Sorgo!$E74:$Z74)=0,0,MAX(0,IF((J$6-$E$3)&lt;1,0,IFERROR(LOOKUP(2,1/(Sorgo!$E74:INDEX(Sorgo!$E74:$Z74,MIN(J$6-$E$3,22))&lt;&gt;""),Sorgo!$E74:INDEX(Sorgo!$E74:$Z74,MIN(J$6-$E$3,22))),0))-IF($G$2,0,IF((J$6-$G$3)&lt;1,0,IFERROR(LOOKUP(2,1/(Sorgo!$E74:INDEX(Sorgo!$E74:$Z74,MIN(J$6-$G$3,22))&lt;&gt;""),Sorgo!$E74:INDEX(Sorgo!$E74:$Z74,MIN(J$6-$G$3,22))),0)))))</f>
        <v>0</v>
      </c>
      <c r="K76" s="27" t="n">
        <f aca="false">IF(COUNT(Sorgo!$E74:$Z74)=0,0,MAX(0,IF((K$6-$E$3)&lt;1,0,IFERROR(LOOKUP(2,1/(Sorgo!$E74:INDEX(Sorgo!$E74:$Z74,MIN(K$6-$E$3,22))&lt;&gt;""),Sorgo!$E74:INDEX(Sorgo!$E74:$Z74,MIN(K$6-$E$3,22))),0))-IF($G$2,0,IF((K$6-$G$3)&lt;1,0,IFERROR(LOOKUP(2,1/(Sorgo!$E74:INDEX(Sorgo!$E74:$Z74,MIN(K$6-$G$3,22))&lt;&gt;""),Sorgo!$E74:INDEX(Sorgo!$E74:$Z74,MIN(K$6-$G$3,22))),0)))))</f>
        <v>0</v>
      </c>
      <c r="L76" s="27" t="n">
        <f aca="false">IF(COUNT(Sorgo!$E74:$Z74)=0,0,MAX(0,IF((L$6-$E$3)&lt;1,0,IFERROR(LOOKUP(2,1/(Sorgo!$E74:INDEX(Sorgo!$E74:$Z74,MIN(L$6-$E$3,22))&lt;&gt;""),Sorgo!$E74:INDEX(Sorgo!$E74:$Z74,MIN(L$6-$E$3,22))),0))-IF($G$2,0,IF((L$6-$G$3)&lt;1,0,IFERROR(LOOKUP(2,1/(Sorgo!$E74:INDEX(Sorgo!$E74:$Z74,MIN(L$6-$G$3,22))&lt;&gt;""),Sorgo!$E74:INDEX(Sorgo!$E74:$Z74,MIN(L$6-$G$3,22))),0)))))</f>
        <v>0</v>
      </c>
      <c r="M76" s="27" t="n">
        <f aca="false">IF(COUNT(Sorgo!$E74:$Z74)=0,0,MAX(0,IF((M$6-$E$3)&lt;1,0,IFERROR(LOOKUP(2,1/(Sorgo!$E74:INDEX(Sorgo!$E74:$Z74,MIN(M$6-$E$3,22))&lt;&gt;""),Sorgo!$E74:INDEX(Sorgo!$E74:$Z74,MIN(M$6-$E$3,22))),0))-IF($G$2,0,IF((M$6-$G$3)&lt;1,0,IFERROR(LOOKUP(2,1/(Sorgo!$E74:INDEX(Sorgo!$E74:$Z74,MIN(M$6-$G$3,22))&lt;&gt;""),Sorgo!$E74:INDEX(Sorgo!$E74:$Z74,MIN(M$6-$G$3,22))),0)))))</f>
        <v>0</v>
      </c>
      <c r="N76" s="27" t="n">
        <f aca="false">IF(COUNT(Sorgo!$E74:$Z74)=0,0,MAX(0,IF((N$6-$E$3)&lt;1,0,IFERROR(LOOKUP(2,1/(Sorgo!$E74:INDEX(Sorgo!$E74:$Z74,MIN(N$6-$E$3,22))&lt;&gt;""),Sorgo!$E74:INDEX(Sorgo!$E74:$Z74,MIN(N$6-$E$3,22))),0))-IF($G$2,0,IF((N$6-$G$3)&lt;1,0,IFERROR(LOOKUP(2,1/(Sorgo!$E74:INDEX(Sorgo!$E74:$Z74,MIN(N$6-$G$3,22))&lt;&gt;""),Sorgo!$E74:INDEX(Sorgo!$E74:$Z74,MIN(N$6-$G$3,22))),0)))))</f>
        <v>0</v>
      </c>
      <c r="O76" s="27" t="n">
        <f aca="false">IF(COUNT(Sorgo!$E74:$Z74)=0,0,MAX(0,IF((O$6-$E$3)&lt;1,0,IFERROR(LOOKUP(2,1/(Sorgo!$E74:INDEX(Sorgo!$E74:$Z74,MIN(O$6-$E$3,22))&lt;&gt;""),Sorgo!$E74:INDEX(Sorgo!$E74:$Z74,MIN(O$6-$E$3,22))),0))-IF($G$2,0,IF((O$6-$G$3)&lt;1,0,IFERROR(LOOKUP(2,1/(Sorgo!$E74:INDEX(Sorgo!$E74:$Z74,MIN(O$6-$G$3,22))&lt;&gt;""),Sorgo!$E74:INDEX(Sorgo!$E74:$Z74,MIN(O$6-$G$3,22))),0)))))</f>
        <v>0</v>
      </c>
      <c r="P76" s="27" t="n">
        <f aca="false">IF(COUNT(Sorgo!$E74:$Z74)=0,0,MAX(0,IF((P$6-$E$3)&lt;1,0,IFERROR(LOOKUP(2,1/(Sorgo!$E74:INDEX(Sorgo!$E74:$Z74,MIN(P$6-$E$3,22))&lt;&gt;""),Sorgo!$E74:INDEX(Sorgo!$E74:$Z74,MIN(P$6-$E$3,22))),0))-IF($G$2,0,IF((P$6-$G$3)&lt;1,0,IFERROR(LOOKUP(2,1/(Sorgo!$E74:INDEX(Sorgo!$E74:$Z74,MIN(P$6-$G$3,22))&lt;&gt;""),Sorgo!$E74:INDEX(Sorgo!$E74:$Z74,MIN(P$6-$G$3,22))),0)))))</f>
        <v>0</v>
      </c>
      <c r="Q76" s="27" t="n">
        <f aca="false">IF(COUNT(Sorgo!$E74:$Z74)=0,0,MAX(0,IF((Q$6-$E$3)&lt;1,0,IFERROR(LOOKUP(2,1/(Sorgo!$E74:INDEX(Sorgo!$E74:$Z74,MIN(Q$6-$E$3,22))&lt;&gt;""),Sorgo!$E74:INDEX(Sorgo!$E74:$Z74,MIN(Q$6-$E$3,22))),0))-IF($G$2,0,IF((Q$6-$G$3)&lt;1,0,IFERROR(LOOKUP(2,1/(Sorgo!$E74:INDEX(Sorgo!$E74:$Z74,MIN(Q$6-$G$3,22))&lt;&gt;""),Sorgo!$E74:INDEX(Sorgo!$E74:$Z74,MIN(Q$6-$G$3,22))),0)))))</f>
        <v>0</v>
      </c>
      <c r="R76" s="27" t="n">
        <f aca="false">IF(COUNT(Sorgo!$E74:$Z74)=0,0,MAX(0,IF((R$6-$E$3)&lt;1,0,IFERROR(LOOKUP(2,1/(Sorgo!$E74:INDEX(Sorgo!$E74:$Z74,MIN(R$6-$E$3,22))&lt;&gt;""),Sorgo!$E74:INDEX(Sorgo!$E74:$Z74,MIN(R$6-$E$3,22))),0))-IF($G$2,0,IF((R$6-$G$3)&lt;1,0,IFERROR(LOOKUP(2,1/(Sorgo!$E74:INDEX(Sorgo!$E74:$Z74,MIN(R$6-$G$3,22))&lt;&gt;""),Sorgo!$E74:INDEX(Sorgo!$E74:$Z74,MIN(R$6-$G$3,22))),0)))))</f>
        <v>0</v>
      </c>
      <c r="S76" s="27" t="n">
        <f aca="false">IF(COUNT(Sorgo!$E74:$Z74)=0,0,MAX(0,IF((S$6-$E$3)&lt;1,0,IFERROR(LOOKUP(2,1/(Sorgo!$E74:INDEX(Sorgo!$E74:$Z74,MIN(S$6-$E$3,22))&lt;&gt;""),Sorgo!$E74:INDEX(Sorgo!$E74:$Z74,MIN(S$6-$E$3,22))),0))-IF($G$2,0,IF((S$6-$G$3)&lt;1,0,IFERROR(LOOKUP(2,1/(Sorgo!$E74:INDEX(Sorgo!$E74:$Z74,MIN(S$6-$G$3,22))&lt;&gt;""),Sorgo!$E74:INDEX(Sorgo!$E74:$Z74,MIN(S$6-$G$3,22))),0)))))</f>
        <v>0</v>
      </c>
      <c r="T76" s="27" t="n">
        <f aca="false">IF(COUNT(Sorgo!$E74:$Z74)=0,0,MAX(0,IF((T$6-$E$3)&lt;1,0,IFERROR(LOOKUP(2,1/(Sorgo!$E74:INDEX(Sorgo!$E74:$Z74,MIN(T$6-$E$3,22))&lt;&gt;""),Sorgo!$E74:INDEX(Sorgo!$E74:$Z74,MIN(T$6-$E$3,22))),0))-IF($G$2,0,IF((T$6-$G$3)&lt;1,0,IFERROR(LOOKUP(2,1/(Sorgo!$E74:INDEX(Sorgo!$E74:$Z74,MIN(T$6-$G$3,22))&lt;&gt;""),Sorgo!$E74:INDEX(Sorgo!$E74:$Z74,MIN(T$6-$G$3,22))),0)))))</f>
        <v>0</v>
      </c>
      <c r="U76" s="27" t="n">
        <f aca="false">IF(COUNT(Sorgo!$E74:$Z74)=0,0,MAX(0,IF((U$6-$E$3)&lt;1,0,IFERROR(LOOKUP(2,1/(Sorgo!$E74:INDEX(Sorgo!$E74:$Z74,MIN(U$6-$E$3,22))&lt;&gt;""),Sorgo!$E74:INDEX(Sorgo!$E74:$Z74,MIN(U$6-$E$3,22))),0))-IF($G$2,0,IF((U$6-$G$3)&lt;1,0,IFERROR(LOOKUP(2,1/(Sorgo!$E74:INDEX(Sorgo!$E74:$Z74,MIN(U$6-$G$3,22))&lt;&gt;""),Sorgo!$E74:INDEX(Sorgo!$E74:$Z74,MIN(U$6-$G$3,22))),0)))))</f>
        <v>0</v>
      </c>
      <c r="V76" s="27" t="n">
        <f aca="false">IF(COUNT(Sorgo!$E74:$Z74)=0,0,MAX(0,IF((V$6-$E$3)&lt;1,0,IFERROR(LOOKUP(2,1/(Sorgo!$E74:INDEX(Sorgo!$E74:$Z74,MIN(V$6-$E$3,22))&lt;&gt;""),Sorgo!$E74:INDEX(Sorgo!$E74:$Z74,MIN(V$6-$E$3,22))),0))-IF($G$2,0,IF((V$6-$G$3)&lt;1,0,IFERROR(LOOKUP(2,1/(Sorgo!$E74:INDEX(Sorgo!$E74:$Z74,MIN(V$6-$G$3,22))&lt;&gt;""),Sorgo!$E74:INDEX(Sorgo!$E74:$Z74,MIN(V$6-$G$3,22))),0)))))</f>
        <v>0</v>
      </c>
      <c r="W76" s="27" t="n">
        <f aca="false">IF(COUNT(Sorgo!$E74:$Z74)=0,0,MAX(0,IF((W$6-$E$3)&lt;1,0,IFERROR(LOOKUP(2,1/(Sorgo!$E74:INDEX(Sorgo!$E74:$Z74,MIN(W$6-$E$3,22))&lt;&gt;""),Sorgo!$E74:INDEX(Sorgo!$E74:$Z74,MIN(W$6-$E$3,22))),0))-IF($G$2,0,IF((W$6-$G$3)&lt;1,0,IFERROR(LOOKUP(2,1/(Sorgo!$E74:INDEX(Sorgo!$E74:$Z74,MIN(W$6-$G$3,22))&lt;&gt;""),Sorgo!$E74:INDEX(Sorgo!$E74:$Z74,MIN(W$6-$G$3,22))),0)))))</f>
        <v>0</v>
      </c>
      <c r="X76" s="27" t="n">
        <f aca="false">IF(COUNT(Sorgo!$E74:$Z74)=0,0,MAX(0,IF((X$6-$E$3)&lt;1,0,IFERROR(LOOKUP(2,1/(Sorgo!$E74:INDEX(Sorgo!$E74:$Z74,MIN(X$6-$E$3,22))&lt;&gt;""),Sorgo!$E74:INDEX(Sorgo!$E74:$Z74,MIN(X$6-$E$3,22))),0))-IF($G$2,0,IF((X$6-$G$3)&lt;1,0,IFERROR(LOOKUP(2,1/(Sorgo!$E74:INDEX(Sorgo!$E74:$Z74,MIN(X$6-$G$3,22))&lt;&gt;""),Sorgo!$E74:INDEX(Sorgo!$E74:$Z74,MIN(X$6-$G$3,22))),0)))))</f>
        <v>0</v>
      </c>
      <c r="Y76" s="27" t="n">
        <f aca="false">IF(COUNT(Sorgo!$E74:$Z74)=0,0,MAX(0,IF((Y$6-$E$3)&lt;1,0,IFERROR(LOOKUP(2,1/(Sorgo!$E74:INDEX(Sorgo!$E74:$Z74,MIN(Y$6-$E$3,22))&lt;&gt;""),Sorgo!$E74:INDEX(Sorgo!$E74:$Z74,MIN(Y$6-$E$3,22))),0))-IF($G$2,0,IF((Y$6-$G$3)&lt;1,0,IFERROR(LOOKUP(2,1/(Sorgo!$E74:INDEX(Sorgo!$E74:$Z74,MIN(Y$6-$G$3,22))&lt;&gt;""),Sorgo!$E74:INDEX(Sorgo!$E74:$Z74,MIN(Y$6-$G$3,22))),0)))))</f>
        <v>0</v>
      </c>
      <c r="Z76" s="27" t="n">
        <f aca="false">IF(COUNT(Sorgo!$E74:$Z74)=0,0,MAX(0,IF((Z$6-$E$3)&lt;1,0,IFERROR(LOOKUP(2,1/(Sorgo!$E74:INDEX(Sorgo!$E74:$Z74,MIN(Z$6-$E$3,22))&lt;&gt;""),Sorgo!$E74:INDEX(Sorgo!$E74:$Z74,MIN(Z$6-$E$3,22))),0))-IF($G$2,0,IF((Z$6-$G$3)&lt;1,0,IFERROR(LOOKUP(2,1/(Sorgo!$E74:INDEX(Sorgo!$E74:$Z74,MIN(Z$6-$G$3,22))&lt;&gt;""),Sorgo!$E74:INDEX(Sorgo!$E74:$Z74,MIN(Z$6-$G$3,22))),0)))))</f>
        <v>0</v>
      </c>
      <c r="AA76" s="27" t="n">
        <f aca="false">IF(COUNT(Sorgo!$E74:$Z74)=0,0,MAX(0,IF((AA$6-$E$3)&lt;1,0,IFERROR(LOOKUP(2,1/(Sorgo!$E74:INDEX(Sorgo!$E74:$Z74,MIN(AA$6-$E$3,22))&lt;&gt;""),Sorgo!$E74:INDEX(Sorgo!$E74:$Z74,MIN(AA$6-$E$3,22))),0))-IF($G$2,0,IF((AA$6-$G$3)&lt;1,0,IFERROR(LOOKUP(2,1/(Sorgo!$E74:INDEX(Sorgo!$E74:$Z74,MIN(AA$6-$G$3,22))&lt;&gt;""),Sorgo!$E74:INDEX(Sorgo!$E74:$Z74,MIN(AA$6-$G$3,22))),0)))))</f>
        <v>0</v>
      </c>
      <c r="AB76" s="27" t="n">
        <f aca="false">IF(COUNT(Sorgo!$E74:$Z74)=0,0,MAX(0,IF((AB$6-$E$3)&lt;1,0,IFERROR(LOOKUP(2,1/(Sorgo!$E74:INDEX(Sorgo!$E74:$Z74,MIN(AB$6-$E$3,22))&lt;&gt;""),Sorgo!$E74:INDEX(Sorgo!$E74:$Z74,MIN(AB$6-$E$3,22))),0))-IF($G$2,0,IF((AB$6-$G$3)&lt;1,0,IFERROR(LOOKUP(2,1/(Sorgo!$E74:INDEX(Sorgo!$E74:$Z74,MIN(AB$6-$G$3,22))&lt;&gt;""),Sorgo!$E74:INDEX(Sorgo!$E74:$Z74,MIN(AB$6-$G$3,22))),0)))))</f>
        <v>0</v>
      </c>
      <c r="AC76" s="27" t="n">
        <f aca="false">IF(COUNT(Sorgo!$E74:$Z74)=0,0,MAX(0,IF((AC$6-$E$3)&lt;1,0,IFERROR(LOOKUP(2,1/(Sorgo!$E74:INDEX(Sorgo!$E74:$Z74,MIN(AC$6-$E$3,22))&lt;&gt;""),Sorgo!$E74:INDEX(Sorgo!$E74:$Z74,MIN(AC$6-$E$3,22))),0))-IF($G$2,0,IF((AC$6-$G$3)&lt;1,0,IFERROR(LOOKUP(2,1/(Sorgo!$E74:INDEX(Sorgo!$E74:$Z74,MIN(AC$6-$G$3,22))&lt;&gt;""),Sorgo!$E74:INDEX(Sorgo!$E74:$Z74,MIN(AC$6-$G$3,22))),0)))))</f>
        <v>0</v>
      </c>
      <c r="AD76" s="27" t="n">
        <f aca="false">IF(COUNT(Sorgo!$E74:$Z74)=0,0,MAX(0,IF((AD$6-$E$3)&lt;1,0,IFERROR(LOOKUP(2,1/(Sorgo!$E74:INDEX(Sorgo!$E74:$Z74,MIN(AD$6-$E$3,22))&lt;&gt;""),Sorgo!$E74:INDEX(Sorgo!$E74:$Z74,MIN(AD$6-$E$3,22))),0))-IF($G$2,0,IF((AD$6-$G$3)&lt;1,0,IFERROR(LOOKUP(2,1/(Sorgo!$E74:INDEX(Sorgo!$E74:$Z74,MIN(AD$6-$G$3,22))&lt;&gt;""),Sorgo!$E74:INDEX(Sorgo!$E74:$Z74,MIN(AD$6-$G$3,22))),0)))))</f>
        <v>0</v>
      </c>
      <c r="AE76" s="27" t="n">
        <f aca="false">IF(COUNT(Sorgo!$E74:$Z74)=0,0,MAX(0,IF((AE$6-$E$3)&lt;1,0,IFERROR(LOOKUP(2,1/(Sorgo!$E74:INDEX(Sorgo!$E74:$Z74,MIN(AE$6-$E$3,22))&lt;&gt;""),Sorgo!$E74:INDEX(Sorgo!$E74:$Z74,MIN(AE$6-$E$3,22))),0))-IF($G$2,0,IF((AE$6-$G$3)&lt;1,0,IFERROR(LOOKUP(2,1/(Sorgo!$E74:INDEX(Sorgo!$E74:$Z74,MIN(AE$6-$G$3,22))&lt;&gt;""),Sorgo!$E74:INDEX(Sorgo!$E74:$Z74,MIN(AE$6-$G$3,22))),0)))))</f>
        <v>0</v>
      </c>
      <c r="AF76" s="27" t="n">
        <f aca="false">IF(COUNT(Sorgo!$E74:$Z74)=0,0,MAX(0,IF((AF$6-$E$3)&lt;1,0,IFERROR(LOOKUP(2,1/(Sorgo!$E74:INDEX(Sorgo!$E74:$Z74,MIN(AF$6-$E$3,22))&lt;&gt;""),Sorgo!$E74:INDEX(Sorgo!$E74:$Z74,MIN(AF$6-$E$3,22))),0))-IF($G$2,0,IF((AF$6-$G$3)&lt;1,0,IFERROR(LOOKUP(2,1/(Sorgo!$E74:INDEX(Sorgo!$E74:$Z74,MIN(AF$6-$G$3,22))&lt;&gt;""),Sorgo!$E74:INDEX(Sorgo!$E74:$Z74,MIN(AF$6-$G$3,22))),0)))))</f>
        <v>0</v>
      </c>
      <c r="AG76" s="27" t="n">
        <f aca="false">IF(COUNT(Sorgo!$E74:$Z74)=0,0,MAX(0,IF((AG$6-$E$3)&lt;1,0,IFERROR(LOOKUP(2,1/(Sorgo!$E74:INDEX(Sorgo!$E74:$Z74,MIN(AG$6-$E$3,22))&lt;&gt;""),Sorgo!$E74:INDEX(Sorgo!$E74:$Z74,MIN(AG$6-$E$3,22))),0))-IF($G$2,0,IF((AG$6-$G$3)&lt;1,0,IFERROR(LOOKUP(2,1/(Sorgo!$E74:INDEX(Sorgo!$E74:$Z74,MIN(AG$6-$G$3,22))&lt;&gt;""),Sorgo!$E74:INDEX(Sorgo!$E74:$Z74,MIN(AG$6-$G$3,22))),0)))))</f>
        <v>0</v>
      </c>
      <c r="AH76" s="27" t="n">
        <f aca="false">IF(COUNT(Sorgo!$E74:$Z74)=0,0,MAX(0,IF((AH$6-$E$3)&lt;1,0,IFERROR(LOOKUP(2,1/(Sorgo!$E74:INDEX(Sorgo!$E74:$Z74,MIN(AH$6-$E$3,22))&lt;&gt;""),Sorgo!$E74:INDEX(Sorgo!$E74:$Z74,MIN(AH$6-$E$3,22))),0))-IF($G$2,0,IF((AH$6-$G$3)&lt;1,0,IFERROR(LOOKUP(2,1/(Sorgo!$E74:INDEX(Sorgo!$E74:$Z74,MIN(AH$6-$G$3,22))&lt;&gt;""),Sorgo!$E74:INDEX(Sorgo!$E74:$Z74,MIN(AH$6-$G$3,22))),0)))))</f>
        <v>0</v>
      </c>
      <c r="AI76" s="27" t="n">
        <f aca="false">IF(COUNT(Sorgo!$E74:$Z74)=0,0,MAX(0,IF((AI$6-$E$3)&lt;1,0,IFERROR(LOOKUP(2,1/(Sorgo!$E74:INDEX(Sorgo!$E74:$Z74,MIN(AI$6-$E$3,22))&lt;&gt;""),Sorgo!$E74:INDEX(Sorgo!$E74:$Z74,MIN(AI$6-$E$3,22))),0))-IF($G$2,0,IF((AI$6-$G$3)&lt;1,0,IFERROR(LOOKUP(2,1/(Sorgo!$E74:INDEX(Sorgo!$E74:$Z74,MIN(AI$6-$G$3,22))&lt;&gt;""),Sorgo!$E74:INDEX(Sorgo!$E74:$Z74,MIN(AI$6-$G$3,22))),0)))))</f>
        <v>0</v>
      </c>
      <c r="AJ76" s="27" t="n">
        <f aca="false">IF(COUNT(Sorgo!$E74:$Z74)=0,0,MAX(0,IF((AJ$6-$E$3)&lt;1,0,IFERROR(LOOKUP(2,1/(Sorgo!$E74:INDEX(Sorgo!$E74:$Z74,MIN(AJ$6-$E$3,22))&lt;&gt;""),Sorgo!$E74:INDEX(Sorgo!$E74:$Z74,MIN(AJ$6-$E$3,22))),0))-IF($G$2,0,IF((AJ$6-$G$3)&lt;1,0,IFERROR(LOOKUP(2,1/(Sorgo!$E74:INDEX(Sorgo!$E74:$Z74,MIN(AJ$6-$G$3,22))&lt;&gt;""),Sorgo!$E74:INDEX(Sorgo!$E74:$Z74,MIN(AJ$6-$G$3,22))),0)))))</f>
        <v>0</v>
      </c>
      <c r="AK76" s="27" t="n">
        <f aca="false">IF(COUNT(Sorgo!$E74:$Z74)=0,0,MAX(0,IF((AK$6-$E$3)&lt;1,0,IFERROR(LOOKUP(2,1/(Sorgo!$E74:INDEX(Sorgo!$E74:$Z74,MIN(AK$6-$E$3,22))&lt;&gt;""),Sorgo!$E74:INDEX(Sorgo!$E74:$Z74,MIN(AK$6-$E$3,22))),0))-IF($G$2,0,IF((AK$6-$G$3)&lt;1,0,IFERROR(LOOKUP(2,1/(Sorgo!$E74:INDEX(Sorgo!$E74:$Z74,MIN(AK$6-$G$3,22))&lt;&gt;""),Sorgo!$E74:INDEX(Sorgo!$E74:$Z74,MIN(AK$6-$G$3,22))),0)))))</f>
        <v>0</v>
      </c>
      <c r="AL76" s="27" t="n">
        <f aca="false">IF(COUNT(Sorgo!$E74:$Z74)=0,0,MAX(0,IF((AL$6-$E$3)&lt;1,0,IFERROR(LOOKUP(2,1/(Sorgo!$E74:INDEX(Sorgo!$E74:$Z74,MIN(AL$6-$E$3,22))&lt;&gt;""),Sorgo!$E74:INDEX(Sorgo!$E74:$Z74,MIN(AL$6-$E$3,22))),0))-IF($G$2,0,IF((AL$6-$G$3)&lt;1,0,IFERROR(LOOKUP(2,1/(Sorgo!$E74:INDEX(Sorgo!$E74:$Z74,MIN(AL$6-$G$3,22))&lt;&gt;""),Sorgo!$E74:INDEX(Sorgo!$E74:$Z74,MIN(AL$6-$G$3,22))),0)))))</f>
        <v>0</v>
      </c>
      <c r="AM76" s="27" t="n">
        <f aca="false">IF(COUNT(Sorgo!$E74:$Z74)=0,0,MAX(0,IF((AM$6-$E$3)&lt;1,0,IFERROR(LOOKUP(2,1/(Sorgo!$E74:INDEX(Sorgo!$E74:$Z74,MIN(AM$6-$E$3,22))&lt;&gt;""),Sorgo!$E74:INDEX(Sorgo!$E74:$Z74,MIN(AM$6-$E$3,22))),0))-IF($G$2,0,IF((AM$6-$G$3)&lt;1,0,IFERROR(LOOKUP(2,1/(Sorgo!$E74:INDEX(Sorgo!$E74:$Z74,MIN(AM$6-$G$3,22))&lt;&gt;""),Sorgo!$E74:INDEX(Sorgo!$E74:$Z74,MIN(AM$6-$G$3,22))),0)))))</f>
        <v>0</v>
      </c>
      <c r="AN76" s="27" t="n">
        <f aca="false">IF(COUNT(Sorgo!$E74:$Z74)=0,0,MAX(0,IF((AN$6-$E$3)&lt;1,0,IFERROR(LOOKUP(2,1/(Sorgo!$E74:INDEX(Sorgo!$E74:$Z74,MIN(AN$6-$E$3,22))&lt;&gt;""),Sorgo!$E74:INDEX(Sorgo!$E74:$Z74,MIN(AN$6-$E$3,22))),0))-IF($G$2,0,IF((AN$6-$G$3)&lt;1,0,IFERROR(LOOKUP(2,1/(Sorgo!$E74:INDEX(Sorgo!$E74:$Z74,MIN(AN$6-$G$3,22))&lt;&gt;""),Sorgo!$E74:INDEX(Sorgo!$E74:$Z74,MIN(AN$6-$G$3,22))),0)))))</f>
        <v>0</v>
      </c>
      <c r="AO76" s="27" t="n">
        <f aca="false">IF(COUNT(Sorgo!$E74:$Z74)=0,0,MAX(0,IF((AO$6-$E$3)&lt;1,0,IFERROR(LOOKUP(2,1/(Sorgo!$E74:INDEX(Sorgo!$E74:$Z74,MIN(AO$6-$E$3,22))&lt;&gt;""),Sorgo!$E74:INDEX(Sorgo!$E74:$Z74,MIN(AO$6-$E$3,22))),0))-IF($G$2,0,IF((AO$6-$G$3)&lt;1,0,IFERROR(LOOKUP(2,1/(Sorgo!$E74:INDEX(Sorgo!$E74:$Z74,MIN(AO$6-$G$3,22))&lt;&gt;""),Sorgo!$E74:INDEX(Sorgo!$E74:$Z74,MIN(AO$6-$G$3,22))),0)))))</f>
        <v>0</v>
      </c>
      <c r="AP76" s="27" t="n">
        <f aca="false">IF(COUNT(Sorgo!$E74:$Z74)=0,0,MAX(0,IF((AP$6-$E$3)&lt;1,0,IFERROR(LOOKUP(2,1/(Sorgo!$E74:INDEX(Sorgo!$E74:$Z74,MIN(AP$6-$E$3,22))&lt;&gt;""),Sorgo!$E74:INDEX(Sorgo!$E74:$Z74,MIN(AP$6-$E$3,22))),0))-IF($G$2,0,IF((AP$6-$G$3)&lt;1,0,IFERROR(LOOKUP(2,1/(Sorgo!$E74:INDEX(Sorgo!$E74:$Z74,MIN(AP$6-$G$3,22))&lt;&gt;""),Sorgo!$E74:INDEX(Sorgo!$E74:$Z74,MIN(AP$6-$G$3,22))),0)))))</f>
        <v>0</v>
      </c>
      <c r="AQ76" s="27" t="n">
        <f aca="false">IF(COUNT(Sorgo!$E74:$Z74)=0,0,MAX(0,IF((AQ$6-$E$3)&lt;1,0,IFERROR(LOOKUP(2,1/(Sorgo!$E74:INDEX(Sorgo!$E74:$Z74,MIN(AQ$6-$E$3,22))&lt;&gt;""),Sorgo!$E74:INDEX(Sorgo!$E74:$Z74,MIN(AQ$6-$E$3,22))),0))-IF($G$2,0,IF((AQ$6-$G$3)&lt;1,0,IFERROR(LOOKUP(2,1/(Sorgo!$E74:INDEX(Sorgo!$E74:$Z74,MIN(AQ$6-$G$3,22))&lt;&gt;""),Sorgo!$E74:INDEX(Sorgo!$E74:$Z74,MIN(AQ$6-$G$3,22))),0)))))</f>
        <v>0</v>
      </c>
      <c r="AR76" s="27" t="n">
        <f aca="false">IF(COUNT(Sorgo!$E74:$Z74)=0,0,MAX(0,IF((AR$6-$E$3)&lt;1,0,IFERROR(LOOKUP(2,1/(Sorgo!$E74:INDEX(Sorgo!$E74:$Z74,MIN(AR$6-$E$3,22))&lt;&gt;""),Sorgo!$E74:INDEX(Sorgo!$E74:$Z74,MIN(AR$6-$E$3,22))),0))-IF($G$2,0,IF((AR$6-$G$3)&lt;1,0,IFERROR(LOOKUP(2,1/(Sorgo!$E74:INDEX(Sorgo!$E74:$Z74,MIN(AR$6-$G$3,22))&lt;&gt;""),Sorgo!$E74:INDEX(Sorgo!$E74:$Z74,MIN(AR$6-$G$3,22))),0)))))</f>
        <v>0</v>
      </c>
      <c r="AS76" s="27" t="n">
        <f aca="false">IF(COUNT(Sorgo!$E74:$Z74)=0,0,MAX(0,IF((AS$6-$E$3)&lt;1,0,IFERROR(LOOKUP(2,1/(Sorgo!$E74:INDEX(Sorgo!$E74:$Z74,MIN(AS$6-$E$3,22))&lt;&gt;""),Sorgo!$E74:INDEX(Sorgo!$E74:$Z74,MIN(AS$6-$E$3,22))),0))-IF($G$2,0,IF((AS$6-$G$3)&lt;1,0,IFERROR(LOOKUP(2,1/(Sorgo!$E74:INDEX(Sorgo!$E74:$Z74,MIN(AS$6-$G$3,22))&lt;&gt;""),Sorgo!$E74:INDEX(Sorgo!$E74:$Z74,MIN(AS$6-$G$3,22))),0)))))</f>
        <v>0</v>
      </c>
      <c r="AT76" s="27" t="n">
        <f aca="false">IF(COUNT(Sorgo!$E74:$Z74)=0,0,MAX(0,IF((AT$6-$E$3)&lt;1,0,IFERROR(LOOKUP(2,1/(Sorgo!$E74:INDEX(Sorgo!$E74:$Z74,MIN(AT$6-$E$3,22))&lt;&gt;""),Sorgo!$E74:INDEX(Sorgo!$E74:$Z74,MIN(AT$6-$E$3,22))),0))-IF($G$2,0,IF((AT$6-$G$3)&lt;1,0,IFERROR(LOOKUP(2,1/(Sorgo!$E74:INDEX(Sorgo!$E74:$Z74,MIN(AT$6-$G$3,22))&lt;&gt;""),Sorgo!$E74:INDEX(Sorgo!$E74:$Z74,MIN(AT$6-$G$3,22))),0)))))</f>
        <v>0</v>
      </c>
      <c r="AU76" s="27" t="n">
        <f aca="false">IF(COUNT(Sorgo!$E74:$Z74)=0,0,MAX(0,IF((AU$6-$E$3)&lt;1,0,IFERROR(LOOKUP(2,1/(Sorgo!$E74:INDEX(Sorgo!$E74:$Z74,MIN(AU$6-$E$3,22))&lt;&gt;""),Sorgo!$E74:INDEX(Sorgo!$E74:$Z74,MIN(AU$6-$E$3,22))),0))-IF($G$2,0,IF((AU$6-$G$3)&lt;1,0,IFERROR(LOOKUP(2,1/(Sorgo!$E74:INDEX(Sorgo!$E74:$Z74,MIN(AU$6-$G$3,22))&lt;&gt;""),Sorgo!$E74:INDEX(Sorgo!$E74:$Z74,MIN(AU$6-$G$3,22))),0)))))</f>
        <v>0</v>
      </c>
      <c r="AV76" s="27" t="n">
        <f aca="false">IF(COUNT(Sorgo!$E74:$Z74)=0,0,MAX(0,IF((AV$6-$E$3)&lt;1,0,IFERROR(LOOKUP(2,1/(Sorgo!$E74:INDEX(Sorgo!$E74:$Z74,MIN(AV$6-$E$3,22))&lt;&gt;""),Sorgo!$E74:INDEX(Sorgo!$E74:$Z74,MIN(AV$6-$E$3,22))),0))-IF($G$2,0,IF((AV$6-$G$3)&lt;1,0,IFERROR(LOOKUP(2,1/(Sorgo!$E74:INDEX(Sorgo!$E74:$Z74,MIN(AV$6-$G$3,22))&lt;&gt;""),Sorgo!$E74:INDEX(Sorgo!$E74:$Z74,MIN(AV$6-$G$3,22))),0)))))</f>
        <v>0</v>
      </c>
      <c r="AW76" s="27" t="n">
        <f aca="false">IF(COUNT(Sorgo!$E74:$Z74)=0,0,MAX(0,IF((AW$6-$E$3)&lt;1,0,IFERROR(LOOKUP(2,1/(Sorgo!$E74:INDEX(Sorgo!$E74:$Z74,MIN(AW$6-$E$3,22))&lt;&gt;""),Sorgo!$E74:INDEX(Sorgo!$E74:$Z74,MIN(AW$6-$E$3,22))),0))-IF($G$2,0,IF((AW$6-$G$3)&lt;1,0,IFERROR(LOOKUP(2,1/(Sorgo!$E74:INDEX(Sorgo!$E74:$Z74,MIN(AW$6-$G$3,22))&lt;&gt;""),Sorgo!$E74:INDEX(Sorgo!$E74:$Z74,MIN(AW$6-$G$3,22))),0)))))</f>
        <v>0</v>
      </c>
      <c r="AX76" s="27" t="n">
        <f aca="false">IF(COUNT(Sorgo!$E74:$Z74)=0,0,MAX(0,IF((AX$6-$E$3)&lt;1,0,IFERROR(LOOKUP(2,1/(Sorgo!$E74:INDEX(Sorgo!$E74:$Z74,MIN(AX$6-$E$3,22))&lt;&gt;""),Sorgo!$E74:INDEX(Sorgo!$E74:$Z74,MIN(AX$6-$E$3,22))),0))-IF($G$2,0,IF((AX$6-$G$3)&lt;1,0,IFERROR(LOOKUP(2,1/(Sorgo!$E74:INDEX(Sorgo!$E74:$Z74,MIN(AX$6-$G$3,22))&lt;&gt;""),Sorgo!$E74:INDEX(Sorgo!$E74:$Z74,MIN(AX$6-$G$3,22))),0)))))</f>
        <v>0</v>
      </c>
      <c r="AY76" s="27" t="n">
        <f aca="false">IF(COUNT(Sorgo!$E74:$Z74)=0,0,MAX(0,IF((AY$6-$E$3)&lt;1,0,IFERROR(LOOKUP(2,1/(Sorgo!$E74:INDEX(Sorgo!$E74:$Z74,MIN(AY$6-$E$3,22))&lt;&gt;""),Sorgo!$E74:INDEX(Sorgo!$E74:$Z74,MIN(AY$6-$E$3,22))),0))-IF($G$2,0,IF((AY$6-$G$3)&lt;1,0,IFERROR(LOOKUP(2,1/(Sorgo!$E74:INDEX(Sorgo!$E74:$Z74,MIN(AY$6-$G$3,22))&lt;&gt;""),Sorgo!$E74:INDEX(Sorgo!$E74:$Z74,MIN(AY$6-$G$3,22))),0)))))</f>
        <v>0</v>
      </c>
      <c r="AZ76" s="27" t="n">
        <f aca="false">IF(COUNT(Sorgo!$E74:$Z74)=0,0,MAX(0,IF((AZ$6-$E$3)&lt;1,0,IFERROR(LOOKUP(2,1/(Sorgo!$E74:INDEX(Sorgo!$E74:$Z74,MIN(AZ$6-$E$3,22))&lt;&gt;""),Sorgo!$E74:INDEX(Sorgo!$E74:$Z74,MIN(AZ$6-$E$3,22))),0))-IF($G$2,0,IF((AZ$6-$G$3)&lt;1,0,IFERROR(LOOKUP(2,1/(Sorgo!$E74:INDEX(Sorgo!$E74:$Z74,MIN(AZ$6-$G$3,22))&lt;&gt;""),Sorgo!$E74:INDEX(Sorgo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IF(COUNT(Sorgo!$E75:$Z75)&gt;0,N(Sorgo!$D75),0)</f>
        <v>0</v>
      </c>
      <c r="E77" s="27" t="n">
        <f aca="false">IF(COUNT(Sorgo!$E75:$Z75)=0,0,MAX(0,IF((E$6-$E$3)&lt;1,0,IFERROR(LOOKUP(2,1/(Sorgo!$E75:INDEX(Sorgo!$E75:$Z75,MIN(E$6-$E$3,22))&lt;&gt;""),Sorgo!$E75:INDEX(Sorgo!$E75:$Z75,MIN(E$6-$E$3,22))),0))-IF($G$2,0,IF((E$6-$G$3)&lt;1,0,IFERROR(LOOKUP(2,1/(Sorgo!$E75:INDEX(Sorgo!$E75:$Z75,MIN(E$6-$G$3,22))&lt;&gt;""),Sorgo!$E75:INDEX(Sorgo!$E75:$Z75,MIN(E$6-$G$3,22))),0)))))</f>
        <v>0</v>
      </c>
      <c r="F77" s="27" t="n">
        <f aca="false">IF(COUNT(Sorgo!$E75:$Z75)=0,0,MAX(0,IF((F$6-$E$3)&lt;1,0,IFERROR(LOOKUP(2,1/(Sorgo!$E75:INDEX(Sorgo!$E75:$Z75,MIN(F$6-$E$3,22))&lt;&gt;""),Sorgo!$E75:INDEX(Sorgo!$E75:$Z75,MIN(F$6-$E$3,22))),0))-IF($G$2,0,IF((F$6-$G$3)&lt;1,0,IFERROR(LOOKUP(2,1/(Sorgo!$E75:INDEX(Sorgo!$E75:$Z75,MIN(F$6-$G$3,22))&lt;&gt;""),Sorgo!$E75:INDEX(Sorgo!$E75:$Z75,MIN(F$6-$G$3,22))),0)))))</f>
        <v>0</v>
      </c>
      <c r="G77" s="27" t="n">
        <f aca="false">IF(COUNT(Sorgo!$E75:$Z75)=0,0,MAX(0,IF((G$6-$E$3)&lt;1,0,IFERROR(LOOKUP(2,1/(Sorgo!$E75:INDEX(Sorgo!$E75:$Z75,MIN(G$6-$E$3,22))&lt;&gt;""),Sorgo!$E75:INDEX(Sorgo!$E75:$Z75,MIN(G$6-$E$3,22))),0))-IF($G$2,0,IF((G$6-$G$3)&lt;1,0,IFERROR(LOOKUP(2,1/(Sorgo!$E75:INDEX(Sorgo!$E75:$Z75,MIN(G$6-$G$3,22))&lt;&gt;""),Sorgo!$E75:INDEX(Sorgo!$E75:$Z75,MIN(G$6-$G$3,22))),0)))))</f>
        <v>0</v>
      </c>
      <c r="H77" s="27" t="n">
        <f aca="false">IF(COUNT(Sorgo!$E75:$Z75)=0,0,MAX(0,IF((H$6-$E$3)&lt;1,0,IFERROR(LOOKUP(2,1/(Sorgo!$E75:INDEX(Sorgo!$E75:$Z75,MIN(H$6-$E$3,22))&lt;&gt;""),Sorgo!$E75:INDEX(Sorgo!$E75:$Z75,MIN(H$6-$E$3,22))),0))-IF($G$2,0,IF((H$6-$G$3)&lt;1,0,IFERROR(LOOKUP(2,1/(Sorgo!$E75:INDEX(Sorgo!$E75:$Z75,MIN(H$6-$G$3,22))&lt;&gt;""),Sorgo!$E75:INDEX(Sorgo!$E75:$Z75,MIN(H$6-$G$3,22))),0)))))</f>
        <v>0</v>
      </c>
      <c r="I77" s="27" t="n">
        <f aca="false">IF(COUNT(Sorgo!$E75:$Z75)=0,0,MAX(0,IF((I$6-$E$3)&lt;1,0,IFERROR(LOOKUP(2,1/(Sorgo!$E75:INDEX(Sorgo!$E75:$Z75,MIN(I$6-$E$3,22))&lt;&gt;""),Sorgo!$E75:INDEX(Sorgo!$E75:$Z75,MIN(I$6-$E$3,22))),0))-IF($G$2,0,IF((I$6-$G$3)&lt;1,0,IFERROR(LOOKUP(2,1/(Sorgo!$E75:INDEX(Sorgo!$E75:$Z75,MIN(I$6-$G$3,22))&lt;&gt;""),Sorgo!$E75:INDEX(Sorgo!$E75:$Z75,MIN(I$6-$G$3,22))),0)))))</f>
        <v>0</v>
      </c>
      <c r="J77" s="27" t="n">
        <f aca="false">IF(COUNT(Sorgo!$E75:$Z75)=0,0,MAX(0,IF((J$6-$E$3)&lt;1,0,IFERROR(LOOKUP(2,1/(Sorgo!$E75:INDEX(Sorgo!$E75:$Z75,MIN(J$6-$E$3,22))&lt;&gt;""),Sorgo!$E75:INDEX(Sorgo!$E75:$Z75,MIN(J$6-$E$3,22))),0))-IF($G$2,0,IF((J$6-$G$3)&lt;1,0,IFERROR(LOOKUP(2,1/(Sorgo!$E75:INDEX(Sorgo!$E75:$Z75,MIN(J$6-$G$3,22))&lt;&gt;""),Sorgo!$E75:INDEX(Sorgo!$E75:$Z75,MIN(J$6-$G$3,22))),0)))))</f>
        <v>0</v>
      </c>
      <c r="K77" s="27" t="n">
        <f aca="false">IF(COUNT(Sorgo!$E75:$Z75)=0,0,MAX(0,IF((K$6-$E$3)&lt;1,0,IFERROR(LOOKUP(2,1/(Sorgo!$E75:INDEX(Sorgo!$E75:$Z75,MIN(K$6-$E$3,22))&lt;&gt;""),Sorgo!$E75:INDEX(Sorgo!$E75:$Z75,MIN(K$6-$E$3,22))),0))-IF($G$2,0,IF((K$6-$G$3)&lt;1,0,IFERROR(LOOKUP(2,1/(Sorgo!$E75:INDEX(Sorgo!$E75:$Z75,MIN(K$6-$G$3,22))&lt;&gt;""),Sorgo!$E75:INDEX(Sorgo!$E75:$Z75,MIN(K$6-$G$3,22))),0)))))</f>
        <v>0</v>
      </c>
      <c r="L77" s="27" t="n">
        <f aca="false">IF(COUNT(Sorgo!$E75:$Z75)=0,0,MAX(0,IF((L$6-$E$3)&lt;1,0,IFERROR(LOOKUP(2,1/(Sorgo!$E75:INDEX(Sorgo!$E75:$Z75,MIN(L$6-$E$3,22))&lt;&gt;""),Sorgo!$E75:INDEX(Sorgo!$E75:$Z75,MIN(L$6-$E$3,22))),0))-IF($G$2,0,IF((L$6-$G$3)&lt;1,0,IFERROR(LOOKUP(2,1/(Sorgo!$E75:INDEX(Sorgo!$E75:$Z75,MIN(L$6-$G$3,22))&lt;&gt;""),Sorgo!$E75:INDEX(Sorgo!$E75:$Z75,MIN(L$6-$G$3,22))),0)))))</f>
        <v>0</v>
      </c>
      <c r="M77" s="27" t="n">
        <f aca="false">IF(COUNT(Sorgo!$E75:$Z75)=0,0,MAX(0,IF((M$6-$E$3)&lt;1,0,IFERROR(LOOKUP(2,1/(Sorgo!$E75:INDEX(Sorgo!$E75:$Z75,MIN(M$6-$E$3,22))&lt;&gt;""),Sorgo!$E75:INDEX(Sorgo!$E75:$Z75,MIN(M$6-$E$3,22))),0))-IF($G$2,0,IF((M$6-$G$3)&lt;1,0,IFERROR(LOOKUP(2,1/(Sorgo!$E75:INDEX(Sorgo!$E75:$Z75,MIN(M$6-$G$3,22))&lt;&gt;""),Sorgo!$E75:INDEX(Sorgo!$E75:$Z75,MIN(M$6-$G$3,22))),0)))))</f>
        <v>0</v>
      </c>
      <c r="N77" s="27" t="n">
        <f aca="false">IF(COUNT(Sorgo!$E75:$Z75)=0,0,MAX(0,IF((N$6-$E$3)&lt;1,0,IFERROR(LOOKUP(2,1/(Sorgo!$E75:INDEX(Sorgo!$E75:$Z75,MIN(N$6-$E$3,22))&lt;&gt;""),Sorgo!$E75:INDEX(Sorgo!$E75:$Z75,MIN(N$6-$E$3,22))),0))-IF($G$2,0,IF((N$6-$G$3)&lt;1,0,IFERROR(LOOKUP(2,1/(Sorgo!$E75:INDEX(Sorgo!$E75:$Z75,MIN(N$6-$G$3,22))&lt;&gt;""),Sorgo!$E75:INDEX(Sorgo!$E75:$Z75,MIN(N$6-$G$3,22))),0)))))</f>
        <v>0</v>
      </c>
      <c r="O77" s="27" t="n">
        <f aca="false">IF(COUNT(Sorgo!$E75:$Z75)=0,0,MAX(0,IF((O$6-$E$3)&lt;1,0,IFERROR(LOOKUP(2,1/(Sorgo!$E75:INDEX(Sorgo!$E75:$Z75,MIN(O$6-$E$3,22))&lt;&gt;""),Sorgo!$E75:INDEX(Sorgo!$E75:$Z75,MIN(O$6-$E$3,22))),0))-IF($G$2,0,IF((O$6-$G$3)&lt;1,0,IFERROR(LOOKUP(2,1/(Sorgo!$E75:INDEX(Sorgo!$E75:$Z75,MIN(O$6-$G$3,22))&lt;&gt;""),Sorgo!$E75:INDEX(Sorgo!$E75:$Z75,MIN(O$6-$G$3,22))),0)))))</f>
        <v>0</v>
      </c>
      <c r="P77" s="27" t="n">
        <f aca="false">IF(COUNT(Sorgo!$E75:$Z75)=0,0,MAX(0,IF((P$6-$E$3)&lt;1,0,IFERROR(LOOKUP(2,1/(Sorgo!$E75:INDEX(Sorgo!$E75:$Z75,MIN(P$6-$E$3,22))&lt;&gt;""),Sorgo!$E75:INDEX(Sorgo!$E75:$Z75,MIN(P$6-$E$3,22))),0))-IF($G$2,0,IF((P$6-$G$3)&lt;1,0,IFERROR(LOOKUP(2,1/(Sorgo!$E75:INDEX(Sorgo!$E75:$Z75,MIN(P$6-$G$3,22))&lt;&gt;""),Sorgo!$E75:INDEX(Sorgo!$E75:$Z75,MIN(P$6-$G$3,22))),0)))))</f>
        <v>0</v>
      </c>
      <c r="Q77" s="27" t="n">
        <f aca="false">IF(COUNT(Sorgo!$E75:$Z75)=0,0,MAX(0,IF((Q$6-$E$3)&lt;1,0,IFERROR(LOOKUP(2,1/(Sorgo!$E75:INDEX(Sorgo!$E75:$Z75,MIN(Q$6-$E$3,22))&lt;&gt;""),Sorgo!$E75:INDEX(Sorgo!$E75:$Z75,MIN(Q$6-$E$3,22))),0))-IF($G$2,0,IF((Q$6-$G$3)&lt;1,0,IFERROR(LOOKUP(2,1/(Sorgo!$E75:INDEX(Sorgo!$E75:$Z75,MIN(Q$6-$G$3,22))&lt;&gt;""),Sorgo!$E75:INDEX(Sorgo!$E75:$Z75,MIN(Q$6-$G$3,22))),0)))))</f>
        <v>0</v>
      </c>
      <c r="R77" s="27" t="n">
        <f aca="false">IF(COUNT(Sorgo!$E75:$Z75)=0,0,MAX(0,IF((R$6-$E$3)&lt;1,0,IFERROR(LOOKUP(2,1/(Sorgo!$E75:INDEX(Sorgo!$E75:$Z75,MIN(R$6-$E$3,22))&lt;&gt;""),Sorgo!$E75:INDEX(Sorgo!$E75:$Z75,MIN(R$6-$E$3,22))),0))-IF($G$2,0,IF((R$6-$G$3)&lt;1,0,IFERROR(LOOKUP(2,1/(Sorgo!$E75:INDEX(Sorgo!$E75:$Z75,MIN(R$6-$G$3,22))&lt;&gt;""),Sorgo!$E75:INDEX(Sorgo!$E75:$Z75,MIN(R$6-$G$3,22))),0)))))</f>
        <v>0</v>
      </c>
      <c r="S77" s="27" t="n">
        <f aca="false">IF(COUNT(Sorgo!$E75:$Z75)=0,0,MAX(0,IF((S$6-$E$3)&lt;1,0,IFERROR(LOOKUP(2,1/(Sorgo!$E75:INDEX(Sorgo!$E75:$Z75,MIN(S$6-$E$3,22))&lt;&gt;""),Sorgo!$E75:INDEX(Sorgo!$E75:$Z75,MIN(S$6-$E$3,22))),0))-IF($G$2,0,IF((S$6-$G$3)&lt;1,0,IFERROR(LOOKUP(2,1/(Sorgo!$E75:INDEX(Sorgo!$E75:$Z75,MIN(S$6-$G$3,22))&lt;&gt;""),Sorgo!$E75:INDEX(Sorgo!$E75:$Z75,MIN(S$6-$G$3,22))),0)))))</f>
        <v>0</v>
      </c>
      <c r="T77" s="27" t="n">
        <f aca="false">IF(COUNT(Sorgo!$E75:$Z75)=0,0,MAX(0,IF((T$6-$E$3)&lt;1,0,IFERROR(LOOKUP(2,1/(Sorgo!$E75:INDEX(Sorgo!$E75:$Z75,MIN(T$6-$E$3,22))&lt;&gt;""),Sorgo!$E75:INDEX(Sorgo!$E75:$Z75,MIN(T$6-$E$3,22))),0))-IF($G$2,0,IF((T$6-$G$3)&lt;1,0,IFERROR(LOOKUP(2,1/(Sorgo!$E75:INDEX(Sorgo!$E75:$Z75,MIN(T$6-$G$3,22))&lt;&gt;""),Sorgo!$E75:INDEX(Sorgo!$E75:$Z75,MIN(T$6-$G$3,22))),0)))))</f>
        <v>0</v>
      </c>
      <c r="U77" s="27" t="n">
        <f aca="false">IF(COUNT(Sorgo!$E75:$Z75)=0,0,MAX(0,IF((U$6-$E$3)&lt;1,0,IFERROR(LOOKUP(2,1/(Sorgo!$E75:INDEX(Sorgo!$E75:$Z75,MIN(U$6-$E$3,22))&lt;&gt;""),Sorgo!$E75:INDEX(Sorgo!$E75:$Z75,MIN(U$6-$E$3,22))),0))-IF($G$2,0,IF((U$6-$G$3)&lt;1,0,IFERROR(LOOKUP(2,1/(Sorgo!$E75:INDEX(Sorgo!$E75:$Z75,MIN(U$6-$G$3,22))&lt;&gt;""),Sorgo!$E75:INDEX(Sorgo!$E75:$Z75,MIN(U$6-$G$3,22))),0)))))</f>
        <v>0</v>
      </c>
      <c r="V77" s="27" t="n">
        <f aca="false">IF(COUNT(Sorgo!$E75:$Z75)=0,0,MAX(0,IF((V$6-$E$3)&lt;1,0,IFERROR(LOOKUP(2,1/(Sorgo!$E75:INDEX(Sorgo!$E75:$Z75,MIN(V$6-$E$3,22))&lt;&gt;""),Sorgo!$E75:INDEX(Sorgo!$E75:$Z75,MIN(V$6-$E$3,22))),0))-IF($G$2,0,IF((V$6-$G$3)&lt;1,0,IFERROR(LOOKUP(2,1/(Sorgo!$E75:INDEX(Sorgo!$E75:$Z75,MIN(V$6-$G$3,22))&lt;&gt;""),Sorgo!$E75:INDEX(Sorgo!$E75:$Z75,MIN(V$6-$G$3,22))),0)))))</f>
        <v>0</v>
      </c>
      <c r="W77" s="27" t="n">
        <f aca="false">IF(COUNT(Sorgo!$E75:$Z75)=0,0,MAX(0,IF((W$6-$E$3)&lt;1,0,IFERROR(LOOKUP(2,1/(Sorgo!$E75:INDEX(Sorgo!$E75:$Z75,MIN(W$6-$E$3,22))&lt;&gt;""),Sorgo!$E75:INDEX(Sorgo!$E75:$Z75,MIN(W$6-$E$3,22))),0))-IF($G$2,0,IF((W$6-$G$3)&lt;1,0,IFERROR(LOOKUP(2,1/(Sorgo!$E75:INDEX(Sorgo!$E75:$Z75,MIN(W$6-$G$3,22))&lt;&gt;""),Sorgo!$E75:INDEX(Sorgo!$E75:$Z75,MIN(W$6-$G$3,22))),0)))))</f>
        <v>0</v>
      </c>
      <c r="X77" s="27" t="n">
        <f aca="false">IF(COUNT(Sorgo!$E75:$Z75)=0,0,MAX(0,IF((X$6-$E$3)&lt;1,0,IFERROR(LOOKUP(2,1/(Sorgo!$E75:INDEX(Sorgo!$E75:$Z75,MIN(X$6-$E$3,22))&lt;&gt;""),Sorgo!$E75:INDEX(Sorgo!$E75:$Z75,MIN(X$6-$E$3,22))),0))-IF($G$2,0,IF((X$6-$G$3)&lt;1,0,IFERROR(LOOKUP(2,1/(Sorgo!$E75:INDEX(Sorgo!$E75:$Z75,MIN(X$6-$G$3,22))&lt;&gt;""),Sorgo!$E75:INDEX(Sorgo!$E75:$Z75,MIN(X$6-$G$3,22))),0)))))</f>
        <v>0</v>
      </c>
      <c r="Y77" s="27" t="n">
        <f aca="false">IF(COUNT(Sorgo!$E75:$Z75)=0,0,MAX(0,IF((Y$6-$E$3)&lt;1,0,IFERROR(LOOKUP(2,1/(Sorgo!$E75:INDEX(Sorgo!$E75:$Z75,MIN(Y$6-$E$3,22))&lt;&gt;""),Sorgo!$E75:INDEX(Sorgo!$E75:$Z75,MIN(Y$6-$E$3,22))),0))-IF($G$2,0,IF((Y$6-$G$3)&lt;1,0,IFERROR(LOOKUP(2,1/(Sorgo!$E75:INDEX(Sorgo!$E75:$Z75,MIN(Y$6-$G$3,22))&lt;&gt;""),Sorgo!$E75:INDEX(Sorgo!$E75:$Z75,MIN(Y$6-$G$3,22))),0)))))</f>
        <v>0</v>
      </c>
      <c r="Z77" s="27" t="n">
        <f aca="false">IF(COUNT(Sorgo!$E75:$Z75)=0,0,MAX(0,IF((Z$6-$E$3)&lt;1,0,IFERROR(LOOKUP(2,1/(Sorgo!$E75:INDEX(Sorgo!$E75:$Z75,MIN(Z$6-$E$3,22))&lt;&gt;""),Sorgo!$E75:INDEX(Sorgo!$E75:$Z75,MIN(Z$6-$E$3,22))),0))-IF($G$2,0,IF((Z$6-$G$3)&lt;1,0,IFERROR(LOOKUP(2,1/(Sorgo!$E75:INDEX(Sorgo!$E75:$Z75,MIN(Z$6-$G$3,22))&lt;&gt;""),Sorgo!$E75:INDEX(Sorgo!$E75:$Z75,MIN(Z$6-$G$3,22))),0)))))</f>
        <v>0</v>
      </c>
      <c r="AA77" s="27" t="n">
        <f aca="false">IF(COUNT(Sorgo!$E75:$Z75)=0,0,MAX(0,IF((AA$6-$E$3)&lt;1,0,IFERROR(LOOKUP(2,1/(Sorgo!$E75:INDEX(Sorgo!$E75:$Z75,MIN(AA$6-$E$3,22))&lt;&gt;""),Sorgo!$E75:INDEX(Sorgo!$E75:$Z75,MIN(AA$6-$E$3,22))),0))-IF($G$2,0,IF((AA$6-$G$3)&lt;1,0,IFERROR(LOOKUP(2,1/(Sorgo!$E75:INDEX(Sorgo!$E75:$Z75,MIN(AA$6-$G$3,22))&lt;&gt;""),Sorgo!$E75:INDEX(Sorgo!$E75:$Z75,MIN(AA$6-$G$3,22))),0)))))</f>
        <v>0</v>
      </c>
      <c r="AB77" s="27" t="n">
        <f aca="false">IF(COUNT(Sorgo!$E75:$Z75)=0,0,MAX(0,IF((AB$6-$E$3)&lt;1,0,IFERROR(LOOKUP(2,1/(Sorgo!$E75:INDEX(Sorgo!$E75:$Z75,MIN(AB$6-$E$3,22))&lt;&gt;""),Sorgo!$E75:INDEX(Sorgo!$E75:$Z75,MIN(AB$6-$E$3,22))),0))-IF($G$2,0,IF((AB$6-$G$3)&lt;1,0,IFERROR(LOOKUP(2,1/(Sorgo!$E75:INDEX(Sorgo!$E75:$Z75,MIN(AB$6-$G$3,22))&lt;&gt;""),Sorgo!$E75:INDEX(Sorgo!$E75:$Z75,MIN(AB$6-$G$3,22))),0)))))</f>
        <v>0</v>
      </c>
      <c r="AC77" s="27" t="n">
        <f aca="false">IF(COUNT(Sorgo!$E75:$Z75)=0,0,MAX(0,IF((AC$6-$E$3)&lt;1,0,IFERROR(LOOKUP(2,1/(Sorgo!$E75:INDEX(Sorgo!$E75:$Z75,MIN(AC$6-$E$3,22))&lt;&gt;""),Sorgo!$E75:INDEX(Sorgo!$E75:$Z75,MIN(AC$6-$E$3,22))),0))-IF($G$2,0,IF((AC$6-$G$3)&lt;1,0,IFERROR(LOOKUP(2,1/(Sorgo!$E75:INDEX(Sorgo!$E75:$Z75,MIN(AC$6-$G$3,22))&lt;&gt;""),Sorgo!$E75:INDEX(Sorgo!$E75:$Z75,MIN(AC$6-$G$3,22))),0)))))</f>
        <v>0</v>
      </c>
      <c r="AD77" s="27" t="n">
        <f aca="false">IF(COUNT(Sorgo!$E75:$Z75)=0,0,MAX(0,IF((AD$6-$E$3)&lt;1,0,IFERROR(LOOKUP(2,1/(Sorgo!$E75:INDEX(Sorgo!$E75:$Z75,MIN(AD$6-$E$3,22))&lt;&gt;""),Sorgo!$E75:INDEX(Sorgo!$E75:$Z75,MIN(AD$6-$E$3,22))),0))-IF($G$2,0,IF((AD$6-$G$3)&lt;1,0,IFERROR(LOOKUP(2,1/(Sorgo!$E75:INDEX(Sorgo!$E75:$Z75,MIN(AD$6-$G$3,22))&lt;&gt;""),Sorgo!$E75:INDEX(Sorgo!$E75:$Z75,MIN(AD$6-$G$3,22))),0)))))</f>
        <v>0</v>
      </c>
      <c r="AE77" s="27" t="n">
        <f aca="false">IF(COUNT(Sorgo!$E75:$Z75)=0,0,MAX(0,IF((AE$6-$E$3)&lt;1,0,IFERROR(LOOKUP(2,1/(Sorgo!$E75:INDEX(Sorgo!$E75:$Z75,MIN(AE$6-$E$3,22))&lt;&gt;""),Sorgo!$E75:INDEX(Sorgo!$E75:$Z75,MIN(AE$6-$E$3,22))),0))-IF($G$2,0,IF((AE$6-$G$3)&lt;1,0,IFERROR(LOOKUP(2,1/(Sorgo!$E75:INDEX(Sorgo!$E75:$Z75,MIN(AE$6-$G$3,22))&lt;&gt;""),Sorgo!$E75:INDEX(Sorgo!$E75:$Z75,MIN(AE$6-$G$3,22))),0)))))</f>
        <v>0</v>
      </c>
      <c r="AF77" s="27" t="n">
        <f aca="false">IF(COUNT(Sorgo!$E75:$Z75)=0,0,MAX(0,IF((AF$6-$E$3)&lt;1,0,IFERROR(LOOKUP(2,1/(Sorgo!$E75:INDEX(Sorgo!$E75:$Z75,MIN(AF$6-$E$3,22))&lt;&gt;""),Sorgo!$E75:INDEX(Sorgo!$E75:$Z75,MIN(AF$6-$E$3,22))),0))-IF($G$2,0,IF((AF$6-$G$3)&lt;1,0,IFERROR(LOOKUP(2,1/(Sorgo!$E75:INDEX(Sorgo!$E75:$Z75,MIN(AF$6-$G$3,22))&lt;&gt;""),Sorgo!$E75:INDEX(Sorgo!$E75:$Z75,MIN(AF$6-$G$3,22))),0)))))</f>
        <v>0</v>
      </c>
      <c r="AG77" s="27" t="n">
        <f aca="false">IF(COUNT(Sorgo!$E75:$Z75)=0,0,MAX(0,IF((AG$6-$E$3)&lt;1,0,IFERROR(LOOKUP(2,1/(Sorgo!$E75:INDEX(Sorgo!$E75:$Z75,MIN(AG$6-$E$3,22))&lt;&gt;""),Sorgo!$E75:INDEX(Sorgo!$E75:$Z75,MIN(AG$6-$E$3,22))),0))-IF($G$2,0,IF((AG$6-$G$3)&lt;1,0,IFERROR(LOOKUP(2,1/(Sorgo!$E75:INDEX(Sorgo!$E75:$Z75,MIN(AG$6-$G$3,22))&lt;&gt;""),Sorgo!$E75:INDEX(Sorgo!$E75:$Z75,MIN(AG$6-$G$3,22))),0)))))</f>
        <v>0</v>
      </c>
      <c r="AH77" s="27" t="n">
        <f aca="false">IF(COUNT(Sorgo!$E75:$Z75)=0,0,MAX(0,IF((AH$6-$E$3)&lt;1,0,IFERROR(LOOKUP(2,1/(Sorgo!$E75:INDEX(Sorgo!$E75:$Z75,MIN(AH$6-$E$3,22))&lt;&gt;""),Sorgo!$E75:INDEX(Sorgo!$E75:$Z75,MIN(AH$6-$E$3,22))),0))-IF($G$2,0,IF((AH$6-$G$3)&lt;1,0,IFERROR(LOOKUP(2,1/(Sorgo!$E75:INDEX(Sorgo!$E75:$Z75,MIN(AH$6-$G$3,22))&lt;&gt;""),Sorgo!$E75:INDEX(Sorgo!$E75:$Z75,MIN(AH$6-$G$3,22))),0)))))</f>
        <v>0</v>
      </c>
      <c r="AI77" s="27" t="n">
        <f aca="false">IF(COUNT(Sorgo!$E75:$Z75)=0,0,MAX(0,IF((AI$6-$E$3)&lt;1,0,IFERROR(LOOKUP(2,1/(Sorgo!$E75:INDEX(Sorgo!$E75:$Z75,MIN(AI$6-$E$3,22))&lt;&gt;""),Sorgo!$E75:INDEX(Sorgo!$E75:$Z75,MIN(AI$6-$E$3,22))),0))-IF($G$2,0,IF((AI$6-$G$3)&lt;1,0,IFERROR(LOOKUP(2,1/(Sorgo!$E75:INDEX(Sorgo!$E75:$Z75,MIN(AI$6-$G$3,22))&lt;&gt;""),Sorgo!$E75:INDEX(Sorgo!$E75:$Z75,MIN(AI$6-$G$3,22))),0)))))</f>
        <v>0</v>
      </c>
      <c r="AJ77" s="27" t="n">
        <f aca="false">IF(COUNT(Sorgo!$E75:$Z75)=0,0,MAX(0,IF((AJ$6-$E$3)&lt;1,0,IFERROR(LOOKUP(2,1/(Sorgo!$E75:INDEX(Sorgo!$E75:$Z75,MIN(AJ$6-$E$3,22))&lt;&gt;""),Sorgo!$E75:INDEX(Sorgo!$E75:$Z75,MIN(AJ$6-$E$3,22))),0))-IF($G$2,0,IF((AJ$6-$G$3)&lt;1,0,IFERROR(LOOKUP(2,1/(Sorgo!$E75:INDEX(Sorgo!$E75:$Z75,MIN(AJ$6-$G$3,22))&lt;&gt;""),Sorgo!$E75:INDEX(Sorgo!$E75:$Z75,MIN(AJ$6-$G$3,22))),0)))))</f>
        <v>0</v>
      </c>
      <c r="AK77" s="27" t="n">
        <f aca="false">IF(COUNT(Sorgo!$E75:$Z75)=0,0,MAX(0,IF((AK$6-$E$3)&lt;1,0,IFERROR(LOOKUP(2,1/(Sorgo!$E75:INDEX(Sorgo!$E75:$Z75,MIN(AK$6-$E$3,22))&lt;&gt;""),Sorgo!$E75:INDEX(Sorgo!$E75:$Z75,MIN(AK$6-$E$3,22))),0))-IF($G$2,0,IF((AK$6-$G$3)&lt;1,0,IFERROR(LOOKUP(2,1/(Sorgo!$E75:INDEX(Sorgo!$E75:$Z75,MIN(AK$6-$G$3,22))&lt;&gt;""),Sorgo!$E75:INDEX(Sorgo!$E75:$Z75,MIN(AK$6-$G$3,22))),0)))))</f>
        <v>0</v>
      </c>
      <c r="AL77" s="27" t="n">
        <f aca="false">IF(COUNT(Sorgo!$E75:$Z75)=0,0,MAX(0,IF((AL$6-$E$3)&lt;1,0,IFERROR(LOOKUP(2,1/(Sorgo!$E75:INDEX(Sorgo!$E75:$Z75,MIN(AL$6-$E$3,22))&lt;&gt;""),Sorgo!$E75:INDEX(Sorgo!$E75:$Z75,MIN(AL$6-$E$3,22))),0))-IF($G$2,0,IF((AL$6-$G$3)&lt;1,0,IFERROR(LOOKUP(2,1/(Sorgo!$E75:INDEX(Sorgo!$E75:$Z75,MIN(AL$6-$G$3,22))&lt;&gt;""),Sorgo!$E75:INDEX(Sorgo!$E75:$Z75,MIN(AL$6-$G$3,22))),0)))))</f>
        <v>0</v>
      </c>
      <c r="AM77" s="27" t="n">
        <f aca="false">IF(COUNT(Sorgo!$E75:$Z75)=0,0,MAX(0,IF((AM$6-$E$3)&lt;1,0,IFERROR(LOOKUP(2,1/(Sorgo!$E75:INDEX(Sorgo!$E75:$Z75,MIN(AM$6-$E$3,22))&lt;&gt;""),Sorgo!$E75:INDEX(Sorgo!$E75:$Z75,MIN(AM$6-$E$3,22))),0))-IF($G$2,0,IF((AM$6-$G$3)&lt;1,0,IFERROR(LOOKUP(2,1/(Sorgo!$E75:INDEX(Sorgo!$E75:$Z75,MIN(AM$6-$G$3,22))&lt;&gt;""),Sorgo!$E75:INDEX(Sorgo!$E75:$Z75,MIN(AM$6-$G$3,22))),0)))))</f>
        <v>0</v>
      </c>
      <c r="AN77" s="27" t="n">
        <f aca="false">IF(COUNT(Sorgo!$E75:$Z75)=0,0,MAX(0,IF((AN$6-$E$3)&lt;1,0,IFERROR(LOOKUP(2,1/(Sorgo!$E75:INDEX(Sorgo!$E75:$Z75,MIN(AN$6-$E$3,22))&lt;&gt;""),Sorgo!$E75:INDEX(Sorgo!$E75:$Z75,MIN(AN$6-$E$3,22))),0))-IF($G$2,0,IF((AN$6-$G$3)&lt;1,0,IFERROR(LOOKUP(2,1/(Sorgo!$E75:INDEX(Sorgo!$E75:$Z75,MIN(AN$6-$G$3,22))&lt;&gt;""),Sorgo!$E75:INDEX(Sorgo!$E75:$Z75,MIN(AN$6-$G$3,22))),0)))))</f>
        <v>0</v>
      </c>
      <c r="AO77" s="27" t="n">
        <f aca="false">IF(COUNT(Sorgo!$E75:$Z75)=0,0,MAX(0,IF((AO$6-$E$3)&lt;1,0,IFERROR(LOOKUP(2,1/(Sorgo!$E75:INDEX(Sorgo!$E75:$Z75,MIN(AO$6-$E$3,22))&lt;&gt;""),Sorgo!$E75:INDEX(Sorgo!$E75:$Z75,MIN(AO$6-$E$3,22))),0))-IF($G$2,0,IF((AO$6-$G$3)&lt;1,0,IFERROR(LOOKUP(2,1/(Sorgo!$E75:INDEX(Sorgo!$E75:$Z75,MIN(AO$6-$G$3,22))&lt;&gt;""),Sorgo!$E75:INDEX(Sorgo!$E75:$Z75,MIN(AO$6-$G$3,22))),0)))))</f>
        <v>0</v>
      </c>
      <c r="AP77" s="27" t="n">
        <f aca="false">IF(COUNT(Sorgo!$E75:$Z75)=0,0,MAX(0,IF((AP$6-$E$3)&lt;1,0,IFERROR(LOOKUP(2,1/(Sorgo!$E75:INDEX(Sorgo!$E75:$Z75,MIN(AP$6-$E$3,22))&lt;&gt;""),Sorgo!$E75:INDEX(Sorgo!$E75:$Z75,MIN(AP$6-$E$3,22))),0))-IF($G$2,0,IF((AP$6-$G$3)&lt;1,0,IFERROR(LOOKUP(2,1/(Sorgo!$E75:INDEX(Sorgo!$E75:$Z75,MIN(AP$6-$G$3,22))&lt;&gt;""),Sorgo!$E75:INDEX(Sorgo!$E75:$Z75,MIN(AP$6-$G$3,22))),0)))))</f>
        <v>0</v>
      </c>
      <c r="AQ77" s="27" t="n">
        <f aca="false">IF(COUNT(Sorgo!$E75:$Z75)=0,0,MAX(0,IF((AQ$6-$E$3)&lt;1,0,IFERROR(LOOKUP(2,1/(Sorgo!$E75:INDEX(Sorgo!$E75:$Z75,MIN(AQ$6-$E$3,22))&lt;&gt;""),Sorgo!$E75:INDEX(Sorgo!$E75:$Z75,MIN(AQ$6-$E$3,22))),0))-IF($G$2,0,IF((AQ$6-$G$3)&lt;1,0,IFERROR(LOOKUP(2,1/(Sorgo!$E75:INDEX(Sorgo!$E75:$Z75,MIN(AQ$6-$G$3,22))&lt;&gt;""),Sorgo!$E75:INDEX(Sorgo!$E75:$Z75,MIN(AQ$6-$G$3,22))),0)))))</f>
        <v>0</v>
      </c>
      <c r="AR77" s="27" t="n">
        <f aca="false">IF(COUNT(Sorgo!$E75:$Z75)=0,0,MAX(0,IF((AR$6-$E$3)&lt;1,0,IFERROR(LOOKUP(2,1/(Sorgo!$E75:INDEX(Sorgo!$E75:$Z75,MIN(AR$6-$E$3,22))&lt;&gt;""),Sorgo!$E75:INDEX(Sorgo!$E75:$Z75,MIN(AR$6-$E$3,22))),0))-IF($G$2,0,IF((AR$6-$G$3)&lt;1,0,IFERROR(LOOKUP(2,1/(Sorgo!$E75:INDEX(Sorgo!$E75:$Z75,MIN(AR$6-$G$3,22))&lt;&gt;""),Sorgo!$E75:INDEX(Sorgo!$E75:$Z75,MIN(AR$6-$G$3,22))),0)))))</f>
        <v>0</v>
      </c>
      <c r="AS77" s="27" t="n">
        <f aca="false">IF(COUNT(Sorgo!$E75:$Z75)=0,0,MAX(0,IF((AS$6-$E$3)&lt;1,0,IFERROR(LOOKUP(2,1/(Sorgo!$E75:INDEX(Sorgo!$E75:$Z75,MIN(AS$6-$E$3,22))&lt;&gt;""),Sorgo!$E75:INDEX(Sorgo!$E75:$Z75,MIN(AS$6-$E$3,22))),0))-IF($G$2,0,IF((AS$6-$G$3)&lt;1,0,IFERROR(LOOKUP(2,1/(Sorgo!$E75:INDEX(Sorgo!$E75:$Z75,MIN(AS$6-$G$3,22))&lt;&gt;""),Sorgo!$E75:INDEX(Sorgo!$E75:$Z75,MIN(AS$6-$G$3,22))),0)))))</f>
        <v>0</v>
      </c>
      <c r="AT77" s="27" t="n">
        <f aca="false">IF(COUNT(Sorgo!$E75:$Z75)=0,0,MAX(0,IF((AT$6-$E$3)&lt;1,0,IFERROR(LOOKUP(2,1/(Sorgo!$E75:INDEX(Sorgo!$E75:$Z75,MIN(AT$6-$E$3,22))&lt;&gt;""),Sorgo!$E75:INDEX(Sorgo!$E75:$Z75,MIN(AT$6-$E$3,22))),0))-IF($G$2,0,IF((AT$6-$G$3)&lt;1,0,IFERROR(LOOKUP(2,1/(Sorgo!$E75:INDEX(Sorgo!$E75:$Z75,MIN(AT$6-$G$3,22))&lt;&gt;""),Sorgo!$E75:INDEX(Sorgo!$E75:$Z75,MIN(AT$6-$G$3,22))),0)))))</f>
        <v>0</v>
      </c>
      <c r="AU77" s="27" t="n">
        <f aca="false">IF(COUNT(Sorgo!$E75:$Z75)=0,0,MAX(0,IF((AU$6-$E$3)&lt;1,0,IFERROR(LOOKUP(2,1/(Sorgo!$E75:INDEX(Sorgo!$E75:$Z75,MIN(AU$6-$E$3,22))&lt;&gt;""),Sorgo!$E75:INDEX(Sorgo!$E75:$Z75,MIN(AU$6-$E$3,22))),0))-IF($G$2,0,IF((AU$6-$G$3)&lt;1,0,IFERROR(LOOKUP(2,1/(Sorgo!$E75:INDEX(Sorgo!$E75:$Z75,MIN(AU$6-$G$3,22))&lt;&gt;""),Sorgo!$E75:INDEX(Sorgo!$E75:$Z75,MIN(AU$6-$G$3,22))),0)))))</f>
        <v>0</v>
      </c>
      <c r="AV77" s="27" t="n">
        <f aca="false">IF(COUNT(Sorgo!$E75:$Z75)=0,0,MAX(0,IF((AV$6-$E$3)&lt;1,0,IFERROR(LOOKUP(2,1/(Sorgo!$E75:INDEX(Sorgo!$E75:$Z75,MIN(AV$6-$E$3,22))&lt;&gt;""),Sorgo!$E75:INDEX(Sorgo!$E75:$Z75,MIN(AV$6-$E$3,22))),0))-IF($G$2,0,IF((AV$6-$G$3)&lt;1,0,IFERROR(LOOKUP(2,1/(Sorgo!$E75:INDEX(Sorgo!$E75:$Z75,MIN(AV$6-$G$3,22))&lt;&gt;""),Sorgo!$E75:INDEX(Sorgo!$E75:$Z75,MIN(AV$6-$G$3,22))),0)))))</f>
        <v>0</v>
      </c>
      <c r="AW77" s="27" t="n">
        <f aca="false">IF(COUNT(Sorgo!$E75:$Z75)=0,0,MAX(0,IF((AW$6-$E$3)&lt;1,0,IFERROR(LOOKUP(2,1/(Sorgo!$E75:INDEX(Sorgo!$E75:$Z75,MIN(AW$6-$E$3,22))&lt;&gt;""),Sorgo!$E75:INDEX(Sorgo!$E75:$Z75,MIN(AW$6-$E$3,22))),0))-IF($G$2,0,IF((AW$6-$G$3)&lt;1,0,IFERROR(LOOKUP(2,1/(Sorgo!$E75:INDEX(Sorgo!$E75:$Z75,MIN(AW$6-$G$3,22))&lt;&gt;""),Sorgo!$E75:INDEX(Sorgo!$E75:$Z75,MIN(AW$6-$G$3,22))),0)))))</f>
        <v>0</v>
      </c>
      <c r="AX77" s="27" t="n">
        <f aca="false">IF(COUNT(Sorgo!$E75:$Z75)=0,0,MAX(0,IF((AX$6-$E$3)&lt;1,0,IFERROR(LOOKUP(2,1/(Sorgo!$E75:INDEX(Sorgo!$E75:$Z75,MIN(AX$6-$E$3,22))&lt;&gt;""),Sorgo!$E75:INDEX(Sorgo!$E75:$Z75,MIN(AX$6-$E$3,22))),0))-IF($G$2,0,IF((AX$6-$G$3)&lt;1,0,IFERROR(LOOKUP(2,1/(Sorgo!$E75:INDEX(Sorgo!$E75:$Z75,MIN(AX$6-$G$3,22))&lt;&gt;""),Sorgo!$E75:INDEX(Sorgo!$E75:$Z75,MIN(AX$6-$G$3,22))),0)))))</f>
        <v>0</v>
      </c>
      <c r="AY77" s="27" t="n">
        <f aca="false">IF(COUNT(Sorgo!$E75:$Z75)=0,0,MAX(0,IF((AY$6-$E$3)&lt;1,0,IFERROR(LOOKUP(2,1/(Sorgo!$E75:INDEX(Sorgo!$E75:$Z75,MIN(AY$6-$E$3,22))&lt;&gt;""),Sorgo!$E75:INDEX(Sorgo!$E75:$Z75,MIN(AY$6-$E$3,22))),0))-IF($G$2,0,IF((AY$6-$G$3)&lt;1,0,IFERROR(LOOKUP(2,1/(Sorgo!$E75:INDEX(Sorgo!$E75:$Z75,MIN(AY$6-$G$3,22))&lt;&gt;""),Sorgo!$E75:INDEX(Sorgo!$E75:$Z75,MIN(AY$6-$G$3,22))),0)))))</f>
        <v>0</v>
      </c>
      <c r="AZ77" s="27" t="n">
        <f aca="false">IF(COUNT(Sorgo!$E75:$Z75)=0,0,MAX(0,IF((AZ$6-$E$3)&lt;1,0,IFERROR(LOOKUP(2,1/(Sorgo!$E75:INDEX(Sorgo!$E75:$Z75,MIN(AZ$6-$E$3,22))&lt;&gt;""),Sorgo!$E75:INDEX(Sorgo!$E75:$Z75,MIN(AZ$6-$E$3,22))),0))-IF($G$2,0,IF((AZ$6-$G$3)&lt;1,0,IFERROR(LOOKUP(2,1/(Sorgo!$E75:INDEX(Sorgo!$E75:$Z75,MIN(AZ$6-$G$3,22))&lt;&gt;""),Sorgo!$E75:INDEX(Sorgo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IF(COUNT(Sorgo!$E76:$Z76)&gt;0,N(Sorgo!$D76),0)</f>
        <v>0</v>
      </c>
      <c r="E78" s="27" t="n">
        <f aca="false">IF(COUNT(Sorgo!$E76:$Z76)=0,0,MAX(0,IF((E$6-$E$3)&lt;1,0,IFERROR(LOOKUP(2,1/(Sorgo!$E76:INDEX(Sorgo!$E76:$Z76,MIN(E$6-$E$3,22))&lt;&gt;""),Sorgo!$E76:INDEX(Sorgo!$E76:$Z76,MIN(E$6-$E$3,22))),0))-IF($G$2,0,IF((E$6-$G$3)&lt;1,0,IFERROR(LOOKUP(2,1/(Sorgo!$E76:INDEX(Sorgo!$E76:$Z76,MIN(E$6-$G$3,22))&lt;&gt;""),Sorgo!$E76:INDEX(Sorgo!$E76:$Z76,MIN(E$6-$G$3,22))),0)))))</f>
        <v>0</v>
      </c>
      <c r="F78" s="27" t="n">
        <f aca="false">IF(COUNT(Sorgo!$E76:$Z76)=0,0,MAX(0,IF((F$6-$E$3)&lt;1,0,IFERROR(LOOKUP(2,1/(Sorgo!$E76:INDEX(Sorgo!$E76:$Z76,MIN(F$6-$E$3,22))&lt;&gt;""),Sorgo!$E76:INDEX(Sorgo!$E76:$Z76,MIN(F$6-$E$3,22))),0))-IF($G$2,0,IF((F$6-$G$3)&lt;1,0,IFERROR(LOOKUP(2,1/(Sorgo!$E76:INDEX(Sorgo!$E76:$Z76,MIN(F$6-$G$3,22))&lt;&gt;""),Sorgo!$E76:INDEX(Sorgo!$E76:$Z76,MIN(F$6-$G$3,22))),0)))))</f>
        <v>0</v>
      </c>
      <c r="G78" s="27" t="n">
        <f aca="false">IF(COUNT(Sorgo!$E76:$Z76)=0,0,MAX(0,IF((G$6-$E$3)&lt;1,0,IFERROR(LOOKUP(2,1/(Sorgo!$E76:INDEX(Sorgo!$E76:$Z76,MIN(G$6-$E$3,22))&lt;&gt;""),Sorgo!$E76:INDEX(Sorgo!$E76:$Z76,MIN(G$6-$E$3,22))),0))-IF($G$2,0,IF((G$6-$G$3)&lt;1,0,IFERROR(LOOKUP(2,1/(Sorgo!$E76:INDEX(Sorgo!$E76:$Z76,MIN(G$6-$G$3,22))&lt;&gt;""),Sorgo!$E76:INDEX(Sorgo!$E76:$Z76,MIN(G$6-$G$3,22))),0)))))</f>
        <v>0</v>
      </c>
      <c r="H78" s="27" t="n">
        <f aca="false">IF(COUNT(Sorgo!$E76:$Z76)=0,0,MAX(0,IF((H$6-$E$3)&lt;1,0,IFERROR(LOOKUP(2,1/(Sorgo!$E76:INDEX(Sorgo!$E76:$Z76,MIN(H$6-$E$3,22))&lt;&gt;""),Sorgo!$E76:INDEX(Sorgo!$E76:$Z76,MIN(H$6-$E$3,22))),0))-IF($G$2,0,IF((H$6-$G$3)&lt;1,0,IFERROR(LOOKUP(2,1/(Sorgo!$E76:INDEX(Sorgo!$E76:$Z76,MIN(H$6-$G$3,22))&lt;&gt;""),Sorgo!$E76:INDEX(Sorgo!$E76:$Z76,MIN(H$6-$G$3,22))),0)))))</f>
        <v>0</v>
      </c>
      <c r="I78" s="27" t="n">
        <f aca="false">IF(COUNT(Sorgo!$E76:$Z76)=0,0,MAX(0,IF((I$6-$E$3)&lt;1,0,IFERROR(LOOKUP(2,1/(Sorgo!$E76:INDEX(Sorgo!$E76:$Z76,MIN(I$6-$E$3,22))&lt;&gt;""),Sorgo!$E76:INDEX(Sorgo!$E76:$Z76,MIN(I$6-$E$3,22))),0))-IF($G$2,0,IF((I$6-$G$3)&lt;1,0,IFERROR(LOOKUP(2,1/(Sorgo!$E76:INDEX(Sorgo!$E76:$Z76,MIN(I$6-$G$3,22))&lt;&gt;""),Sorgo!$E76:INDEX(Sorgo!$E76:$Z76,MIN(I$6-$G$3,22))),0)))))</f>
        <v>0</v>
      </c>
      <c r="J78" s="27" t="n">
        <f aca="false">IF(COUNT(Sorgo!$E76:$Z76)=0,0,MAX(0,IF((J$6-$E$3)&lt;1,0,IFERROR(LOOKUP(2,1/(Sorgo!$E76:INDEX(Sorgo!$E76:$Z76,MIN(J$6-$E$3,22))&lt;&gt;""),Sorgo!$E76:INDEX(Sorgo!$E76:$Z76,MIN(J$6-$E$3,22))),0))-IF($G$2,0,IF((J$6-$G$3)&lt;1,0,IFERROR(LOOKUP(2,1/(Sorgo!$E76:INDEX(Sorgo!$E76:$Z76,MIN(J$6-$G$3,22))&lt;&gt;""),Sorgo!$E76:INDEX(Sorgo!$E76:$Z76,MIN(J$6-$G$3,22))),0)))))</f>
        <v>0</v>
      </c>
      <c r="K78" s="27" t="n">
        <f aca="false">IF(COUNT(Sorgo!$E76:$Z76)=0,0,MAX(0,IF((K$6-$E$3)&lt;1,0,IFERROR(LOOKUP(2,1/(Sorgo!$E76:INDEX(Sorgo!$E76:$Z76,MIN(K$6-$E$3,22))&lt;&gt;""),Sorgo!$E76:INDEX(Sorgo!$E76:$Z76,MIN(K$6-$E$3,22))),0))-IF($G$2,0,IF((K$6-$G$3)&lt;1,0,IFERROR(LOOKUP(2,1/(Sorgo!$E76:INDEX(Sorgo!$E76:$Z76,MIN(K$6-$G$3,22))&lt;&gt;""),Sorgo!$E76:INDEX(Sorgo!$E76:$Z76,MIN(K$6-$G$3,22))),0)))))</f>
        <v>0</v>
      </c>
      <c r="L78" s="27" t="n">
        <f aca="false">IF(COUNT(Sorgo!$E76:$Z76)=0,0,MAX(0,IF((L$6-$E$3)&lt;1,0,IFERROR(LOOKUP(2,1/(Sorgo!$E76:INDEX(Sorgo!$E76:$Z76,MIN(L$6-$E$3,22))&lt;&gt;""),Sorgo!$E76:INDEX(Sorgo!$E76:$Z76,MIN(L$6-$E$3,22))),0))-IF($G$2,0,IF((L$6-$G$3)&lt;1,0,IFERROR(LOOKUP(2,1/(Sorgo!$E76:INDEX(Sorgo!$E76:$Z76,MIN(L$6-$G$3,22))&lt;&gt;""),Sorgo!$E76:INDEX(Sorgo!$E76:$Z76,MIN(L$6-$G$3,22))),0)))))</f>
        <v>0</v>
      </c>
      <c r="M78" s="27" t="n">
        <f aca="false">IF(COUNT(Sorgo!$E76:$Z76)=0,0,MAX(0,IF((M$6-$E$3)&lt;1,0,IFERROR(LOOKUP(2,1/(Sorgo!$E76:INDEX(Sorgo!$E76:$Z76,MIN(M$6-$E$3,22))&lt;&gt;""),Sorgo!$E76:INDEX(Sorgo!$E76:$Z76,MIN(M$6-$E$3,22))),0))-IF($G$2,0,IF((M$6-$G$3)&lt;1,0,IFERROR(LOOKUP(2,1/(Sorgo!$E76:INDEX(Sorgo!$E76:$Z76,MIN(M$6-$G$3,22))&lt;&gt;""),Sorgo!$E76:INDEX(Sorgo!$E76:$Z76,MIN(M$6-$G$3,22))),0)))))</f>
        <v>0</v>
      </c>
      <c r="N78" s="27" t="n">
        <f aca="false">IF(COUNT(Sorgo!$E76:$Z76)=0,0,MAX(0,IF((N$6-$E$3)&lt;1,0,IFERROR(LOOKUP(2,1/(Sorgo!$E76:INDEX(Sorgo!$E76:$Z76,MIN(N$6-$E$3,22))&lt;&gt;""),Sorgo!$E76:INDEX(Sorgo!$E76:$Z76,MIN(N$6-$E$3,22))),0))-IF($G$2,0,IF((N$6-$G$3)&lt;1,0,IFERROR(LOOKUP(2,1/(Sorgo!$E76:INDEX(Sorgo!$E76:$Z76,MIN(N$6-$G$3,22))&lt;&gt;""),Sorgo!$E76:INDEX(Sorgo!$E76:$Z76,MIN(N$6-$G$3,22))),0)))))</f>
        <v>0</v>
      </c>
      <c r="O78" s="27" t="n">
        <f aca="false">IF(COUNT(Sorgo!$E76:$Z76)=0,0,MAX(0,IF((O$6-$E$3)&lt;1,0,IFERROR(LOOKUP(2,1/(Sorgo!$E76:INDEX(Sorgo!$E76:$Z76,MIN(O$6-$E$3,22))&lt;&gt;""),Sorgo!$E76:INDEX(Sorgo!$E76:$Z76,MIN(O$6-$E$3,22))),0))-IF($G$2,0,IF((O$6-$G$3)&lt;1,0,IFERROR(LOOKUP(2,1/(Sorgo!$E76:INDEX(Sorgo!$E76:$Z76,MIN(O$6-$G$3,22))&lt;&gt;""),Sorgo!$E76:INDEX(Sorgo!$E76:$Z76,MIN(O$6-$G$3,22))),0)))))</f>
        <v>0</v>
      </c>
      <c r="P78" s="27" t="n">
        <f aca="false">IF(COUNT(Sorgo!$E76:$Z76)=0,0,MAX(0,IF((P$6-$E$3)&lt;1,0,IFERROR(LOOKUP(2,1/(Sorgo!$E76:INDEX(Sorgo!$E76:$Z76,MIN(P$6-$E$3,22))&lt;&gt;""),Sorgo!$E76:INDEX(Sorgo!$E76:$Z76,MIN(P$6-$E$3,22))),0))-IF($G$2,0,IF((P$6-$G$3)&lt;1,0,IFERROR(LOOKUP(2,1/(Sorgo!$E76:INDEX(Sorgo!$E76:$Z76,MIN(P$6-$G$3,22))&lt;&gt;""),Sorgo!$E76:INDEX(Sorgo!$E76:$Z76,MIN(P$6-$G$3,22))),0)))))</f>
        <v>0</v>
      </c>
      <c r="Q78" s="27" t="n">
        <f aca="false">IF(COUNT(Sorgo!$E76:$Z76)=0,0,MAX(0,IF((Q$6-$E$3)&lt;1,0,IFERROR(LOOKUP(2,1/(Sorgo!$E76:INDEX(Sorgo!$E76:$Z76,MIN(Q$6-$E$3,22))&lt;&gt;""),Sorgo!$E76:INDEX(Sorgo!$E76:$Z76,MIN(Q$6-$E$3,22))),0))-IF($G$2,0,IF((Q$6-$G$3)&lt;1,0,IFERROR(LOOKUP(2,1/(Sorgo!$E76:INDEX(Sorgo!$E76:$Z76,MIN(Q$6-$G$3,22))&lt;&gt;""),Sorgo!$E76:INDEX(Sorgo!$E76:$Z76,MIN(Q$6-$G$3,22))),0)))))</f>
        <v>0</v>
      </c>
      <c r="R78" s="27" t="n">
        <f aca="false">IF(COUNT(Sorgo!$E76:$Z76)=0,0,MAX(0,IF((R$6-$E$3)&lt;1,0,IFERROR(LOOKUP(2,1/(Sorgo!$E76:INDEX(Sorgo!$E76:$Z76,MIN(R$6-$E$3,22))&lt;&gt;""),Sorgo!$E76:INDEX(Sorgo!$E76:$Z76,MIN(R$6-$E$3,22))),0))-IF($G$2,0,IF((R$6-$G$3)&lt;1,0,IFERROR(LOOKUP(2,1/(Sorgo!$E76:INDEX(Sorgo!$E76:$Z76,MIN(R$6-$G$3,22))&lt;&gt;""),Sorgo!$E76:INDEX(Sorgo!$E76:$Z76,MIN(R$6-$G$3,22))),0)))))</f>
        <v>0</v>
      </c>
      <c r="S78" s="27" t="n">
        <f aca="false">IF(COUNT(Sorgo!$E76:$Z76)=0,0,MAX(0,IF((S$6-$E$3)&lt;1,0,IFERROR(LOOKUP(2,1/(Sorgo!$E76:INDEX(Sorgo!$E76:$Z76,MIN(S$6-$E$3,22))&lt;&gt;""),Sorgo!$E76:INDEX(Sorgo!$E76:$Z76,MIN(S$6-$E$3,22))),0))-IF($G$2,0,IF((S$6-$G$3)&lt;1,0,IFERROR(LOOKUP(2,1/(Sorgo!$E76:INDEX(Sorgo!$E76:$Z76,MIN(S$6-$G$3,22))&lt;&gt;""),Sorgo!$E76:INDEX(Sorgo!$E76:$Z76,MIN(S$6-$G$3,22))),0)))))</f>
        <v>0</v>
      </c>
      <c r="T78" s="27" t="n">
        <f aca="false">IF(COUNT(Sorgo!$E76:$Z76)=0,0,MAX(0,IF((T$6-$E$3)&lt;1,0,IFERROR(LOOKUP(2,1/(Sorgo!$E76:INDEX(Sorgo!$E76:$Z76,MIN(T$6-$E$3,22))&lt;&gt;""),Sorgo!$E76:INDEX(Sorgo!$E76:$Z76,MIN(T$6-$E$3,22))),0))-IF($G$2,0,IF((T$6-$G$3)&lt;1,0,IFERROR(LOOKUP(2,1/(Sorgo!$E76:INDEX(Sorgo!$E76:$Z76,MIN(T$6-$G$3,22))&lt;&gt;""),Sorgo!$E76:INDEX(Sorgo!$E76:$Z76,MIN(T$6-$G$3,22))),0)))))</f>
        <v>0</v>
      </c>
      <c r="U78" s="27" t="n">
        <f aca="false">IF(COUNT(Sorgo!$E76:$Z76)=0,0,MAX(0,IF((U$6-$E$3)&lt;1,0,IFERROR(LOOKUP(2,1/(Sorgo!$E76:INDEX(Sorgo!$E76:$Z76,MIN(U$6-$E$3,22))&lt;&gt;""),Sorgo!$E76:INDEX(Sorgo!$E76:$Z76,MIN(U$6-$E$3,22))),0))-IF($G$2,0,IF((U$6-$G$3)&lt;1,0,IFERROR(LOOKUP(2,1/(Sorgo!$E76:INDEX(Sorgo!$E76:$Z76,MIN(U$6-$G$3,22))&lt;&gt;""),Sorgo!$E76:INDEX(Sorgo!$E76:$Z76,MIN(U$6-$G$3,22))),0)))))</f>
        <v>0</v>
      </c>
      <c r="V78" s="27" t="n">
        <f aca="false">IF(COUNT(Sorgo!$E76:$Z76)=0,0,MAX(0,IF((V$6-$E$3)&lt;1,0,IFERROR(LOOKUP(2,1/(Sorgo!$E76:INDEX(Sorgo!$E76:$Z76,MIN(V$6-$E$3,22))&lt;&gt;""),Sorgo!$E76:INDEX(Sorgo!$E76:$Z76,MIN(V$6-$E$3,22))),0))-IF($G$2,0,IF((V$6-$G$3)&lt;1,0,IFERROR(LOOKUP(2,1/(Sorgo!$E76:INDEX(Sorgo!$E76:$Z76,MIN(V$6-$G$3,22))&lt;&gt;""),Sorgo!$E76:INDEX(Sorgo!$E76:$Z76,MIN(V$6-$G$3,22))),0)))))</f>
        <v>0</v>
      </c>
      <c r="W78" s="27" t="n">
        <f aca="false">IF(COUNT(Sorgo!$E76:$Z76)=0,0,MAX(0,IF((W$6-$E$3)&lt;1,0,IFERROR(LOOKUP(2,1/(Sorgo!$E76:INDEX(Sorgo!$E76:$Z76,MIN(W$6-$E$3,22))&lt;&gt;""),Sorgo!$E76:INDEX(Sorgo!$E76:$Z76,MIN(W$6-$E$3,22))),0))-IF($G$2,0,IF((W$6-$G$3)&lt;1,0,IFERROR(LOOKUP(2,1/(Sorgo!$E76:INDEX(Sorgo!$E76:$Z76,MIN(W$6-$G$3,22))&lt;&gt;""),Sorgo!$E76:INDEX(Sorgo!$E76:$Z76,MIN(W$6-$G$3,22))),0)))))</f>
        <v>0</v>
      </c>
      <c r="X78" s="27" t="n">
        <f aca="false">IF(COUNT(Sorgo!$E76:$Z76)=0,0,MAX(0,IF((X$6-$E$3)&lt;1,0,IFERROR(LOOKUP(2,1/(Sorgo!$E76:INDEX(Sorgo!$E76:$Z76,MIN(X$6-$E$3,22))&lt;&gt;""),Sorgo!$E76:INDEX(Sorgo!$E76:$Z76,MIN(X$6-$E$3,22))),0))-IF($G$2,0,IF((X$6-$G$3)&lt;1,0,IFERROR(LOOKUP(2,1/(Sorgo!$E76:INDEX(Sorgo!$E76:$Z76,MIN(X$6-$G$3,22))&lt;&gt;""),Sorgo!$E76:INDEX(Sorgo!$E76:$Z76,MIN(X$6-$G$3,22))),0)))))</f>
        <v>0</v>
      </c>
      <c r="Y78" s="27" t="n">
        <f aca="false">IF(COUNT(Sorgo!$E76:$Z76)=0,0,MAX(0,IF((Y$6-$E$3)&lt;1,0,IFERROR(LOOKUP(2,1/(Sorgo!$E76:INDEX(Sorgo!$E76:$Z76,MIN(Y$6-$E$3,22))&lt;&gt;""),Sorgo!$E76:INDEX(Sorgo!$E76:$Z76,MIN(Y$6-$E$3,22))),0))-IF($G$2,0,IF((Y$6-$G$3)&lt;1,0,IFERROR(LOOKUP(2,1/(Sorgo!$E76:INDEX(Sorgo!$E76:$Z76,MIN(Y$6-$G$3,22))&lt;&gt;""),Sorgo!$E76:INDEX(Sorgo!$E76:$Z76,MIN(Y$6-$G$3,22))),0)))))</f>
        <v>0</v>
      </c>
      <c r="Z78" s="27" t="n">
        <f aca="false">IF(COUNT(Sorgo!$E76:$Z76)=0,0,MAX(0,IF((Z$6-$E$3)&lt;1,0,IFERROR(LOOKUP(2,1/(Sorgo!$E76:INDEX(Sorgo!$E76:$Z76,MIN(Z$6-$E$3,22))&lt;&gt;""),Sorgo!$E76:INDEX(Sorgo!$E76:$Z76,MIN(Z$6-$E$3,22))),0))-IF($G$2,0,IF((Z$6-$G$3)&lt;1,0,IFERROR(LOOKUP(2,1/(Sorgo!$E76:INDEX(Sorgo!$E76:$Z76,MIN(Z$6-$G$3,22))&lt;&gt;""),Sorgo!$E76:INDEX(Sorgo!$E76:$Z76,MIN(Z$6-$G$3,22))),0)))))</f>
        <v>0</v>
      </c>
      <c r="AA78" s="27" t="n">
        <f aca="false">IF(COUNT(Sorgo!$E76:$Z76)=0,0,MAX(0,IF((AA$6-$E$3)&lt;1,0,IFERROR(LOOKUP(2,1/(Sorgo!$E76:INDEX(Sorgo!$E76:$Z76,MIN(AA$6-$E$3,22))&lt;&gt;""),Sorgo!$E76:INDEX(Sorgo!$E76:$Z76,MIN(AA$6-$E$3,22))),0))-IF($G$2,0,IF((AA$6-$G$3)&lt;1,0,IFERROR(LOOKUP(2,1/(Sorgo!$E76:INDEX(Sorgo!$E76:$Z76,MIN(AA$6-$G$3,22))&lt;&gt;""),Sorgo!$E76:INDEX(Sorgo!$E76:$Z76,MIN(AA$6-$G$3,22))),0)))))</f>
        <v>0</v>
      </c>
      <c r="AB78" s="27" t="n">
        <f aca="false">IF(COUNT(Sorgo!$E76:$Z76)=0,0,MAX(0,IF((AB$6-$E$3)&lt;1,0,IFERROR(LOOKUP(2,1/(Sorgo!$E76:INDEX(Sorgo!$E76:$Z76,MIN(AB$6-$E$3,22))&lt;&gt;""),Sorgo!$E76:INDEX(Sorgo!$E76:$Z76,MIN(AB$6-$E$3,22))),0))-IF($G$2,0,IF((AB$6-$G$3)&lt;1,0,IFERROR(LOOKUP(2,1/(Sorgo!$E76:INDEX(Sorgo!$E76:$Z76,MIN(AB$6-$G$3,22))&lt;&gt;""),Sorgo!$E76:INDEX(Sorgo!$E76:$Z76,MIN(AB$6-$G$3,22))),0)))))</f>
        <v>0</v>
      </c>
      <c r="AC78" s="27" t="n">
        <f aca="false">IF(COUNT(Sorgo!$E76:$Z76)=0,0,MAX(0,IF((AC$6-$E$3)&lt;1,0,IFERROR(LOOKUP(2,1/(Sorgo!$E76:INDEX(Sorgo!$E76:$Z76,MIN(AC$6-$E$3,22))&lt;&gt;""),Sorgo!$E76:INDEX(Sorgo!$E76:$Z76,MIN(AC$6-$E$3,22))),0))-IF($G$2,0,IF((AC$6-$G$3)&lt;1,0,IFERROR(LOOKUP(2,1/(Sorgo!$E76:INDEX(Sorgo!$E76:$Z76,MIN(AC$6-$G$3,22))&lt;&gt;""),Sorgo!$E76:INDEX(Sorgo!$E76:$Z76,MIN(AC$6-$G$3,22))),0)))))</f>
        <v>0</v>
      </c>
      <c r="AD78" s="27" t="n">
        <f aca="false">IF(COUNT(Sorgo!$E76:$Z76)=0,0,MAX(0,IF((AD$6-$E$3)&lt;1,0,IFERROR(LOOKUP(2,1/(Sorgo!$E76:INDEX(Sorgo!$E76:$Z76,MIN(AD$6-$E$3,22))&lt;&gt;""),Sorgo!$E76:INDEX(Sorgo!$E76:$Z76,MIN(AD$6-$E$3,22))),0))-IF($G$2,0,IF((AD$6-$G$3)&lt;1,0,IFERROR(LOOKUP(2,1/(Sorgo!$E76:INDEX(Sorgo!$E76:$Z76,MIN(AD$6-$G$3,22))&lt;&gt;""),Sorgo!$E76:INDEX(Sorgo!$E76:$Z76,MIN(AD$6-$G$3,22))),0)))))</f>
        <v>0</v>
      </c>
      <c r="AE78" s="27" t="n">
        <f aca="false">IF(COUNT(Sorgo!$E76:$Z76)=0,0,MAX(0,IF((AE$6-$E$3)&lt;1,0,IFERROR(LOOKUP(2,1/(Sorgo!$E76:INDEX(Sorgo!$E76:$Z76,MIN(AE$6-$E$3,22))&lt;&gt;""),Sorgo!$E76:INDEX(Sorgo!$E76:$Z76,MIN(AE$6-$E$3,22))),0))-IF($G$2,0,IF((AE$6-$G$3)&lt;1,0,IFERROR(LOOKUP(2,1/(Sorgo!$E76:INDEX(Sorgo!$E76:$Z76,MIN(AE$6-$G$3,22))&lt;&gt;""),Sorgo!$E76:INDEX(Sorgo!$E76:$Z76,MIN(AE$6-$G$3,22))),0)))))</f>
        <v>0</v>
      </c>
      <c r="AF78" s="27" t="n">
        <f aca="false">IF(COUNT(Sorgo!$E76:$Z76)=0,0,MAX(0,IF((AF$6-$E$3)&lt;1,0,IFERROR(LOOKUP(2,1/(Sorgo!$E76:INDEX(Sorgo!$E76:$Z76,MIN(AF$6-$E$3,22))&lt;&gt;""),Sorgo!$E76:INDEX(Sorgo!$E76:$Z76,MIN(AF$6-$E$3,22))),0))-IF($G$2,0,IF((AF$6-$G$3)&lt;1,0,IFERROR(LOOKUP(2,1/(Sorgo!$E76:INDEX(Sorgo!$E76:$Z76,MIN(AF$6-$G$3,22))&lt;&gt;""),Sorgo!$E76:INDEX(Sorgo!$E76:$Z76,MIN(AF$6-$G$3,22))),0)))))</f>
        <v>0</v>
      </c>
      <c r="AG78" s="27" t="n">
        <f aca="false">IF(COUNT(Sorgo!$E76:$Z76)=0,0,MAX(0,IF((AG$6-$E$3)&lt;1,0,IFERROR(LOOKUP(2,1/(Sorgo!$E76:INDEX(Sorgo!$E76:$Z76,MIN(AG$6-$E$3,22))&lt;&gt;""),Sorgo!$E76:INDEX(Sorgo!$E76:$Z76,MIN(AG$6-$E$3,22))),0))-IF($G$2,0,IF((AG$6-$G$3)&lt;1,0,IFERROR(LOOKUP(2,1/(Sorgo!$E76:INDEX(Sorgo!$E76:$Z76,MIN(AG$6-$G$3,22))&lt;&gt;""),Sorgo!$E76:INDEX(Sorgo!$E76:$Z76,MIN(AG$6-$G$3,22))),0)))))</f>
        <v>0</v>
      </c>
      <c r="AH78" s="27" t="n">
        <f aca="false">IF(COUNT(Sorgo!$E76:$Z76)=0,0,MAX(0,IF((AH$6-$E$3)&lt;1,0,IFERROR(LOOKUP(2,1/(Sorgo!$E76:INDEX(Sorgo!$E76:$Z76,MIN(AH$6-$E$3,22))&lt;&gt;""),Sorgo!$E76:INDEX(Sorgo!$E76:$Z76,MIN(AH$6-$E$3,22))),0))-IF($G$2,0,IF((AH$6-$G$3)&lt;1,0,IFERROR(LOOKUP(2,1/(Sorgo!$E76:INDEX(Sorgo!$E76:$Z76,MIN(AH$6-$G$3,22))&lt;&gt;""),Sorgo!$E76:INDEX(Sorgo!$E76:$Z76,MIN(AH$6-$G$3,22))),0)))))</f>
        <v>0</v>
      </c>
      <c r="AI78" s="27" t="n">
        <f aca="false">IF(COUNT(Sorgo!$E76:$Z76)=0,0,MAX(0,IF((AI$6-$E$3)&lt;1,0,IFERROR(LOOKUP(2,1/(Sorgo!$E76:INDEX(Sorgo!$E76:$Z76,MIN(AI$6-$E$3,22))&lt;&gt;""),Sorgo!$E76:INDEX(Sorgo!$E76:$Z76,MIN(AI$6-$E$3,22))),0))-IF($G$2,0,IF((AI$6-$G$3)&lt;1,0,IFERROR(LOOKUP(2,1/(Sorgo!$E76:INDEX(Sorgo!$E76:$Z76,MIN(AI$6-$G$3,22))&lt;&gt;""),Sorgo!$E76:INDEX(Sorgo!$E76:$Z76,MIN(AI$6-$G$3,22))),0)))))</f>
        <v>0</v>
      </c>
      <c r="AJ78" s="27" t="n">
        <f aca="false">IF(COUNT(Sorgo!$E76:$Z76)=0,0,MAX(0,IF((AJ$6-$E$3)&lt;1,0,IFERROR(LOOKUP(2,1/(Sorgo!$E76:INDEX(Sorgo!$E76:$Z76,MIN(AJ$6-$E$3,22))&lt;&gt;""),Sorgo!$E76:INDEX(Sorgo!$E76:$Z76,MIN(AJ$6-$E$3,22))),0))-IF($G$2,0,IF((AJ$6-$G$3)&lt;1,0,IFERROR(LOOKUP(2,1/(Sorgo!$E76:INDEX(Sorgo!$E76:$Z76,MIN(AJ$6-$G$3,22))&lt;&gt;""),Sorgo!$E76:INDEX(Sorgo!$E76:$Z76,MIN(AJ$6-$G$3,22))),0)))))</f>
        <v>0</v>
      </c>
      <c r="AK78" s="27" t="n">
        <f aca="false">IF(COUNT(Sorgo!$E76:$Z76)=0,0,MAX(0,IF((AK$6-$E$3)&lt;1,0,IFERROR(LOOKUP(2,1/(Sorgo!$E76:INDEX(Sorgo!$E76:$Z76,MIN(AK$6-$E$3,22))&lt;&gt;""),Sorgo!$E76:INDEX(Sorgo!$E76:$Z76,MIN(AK$6-$E$3,22))),0))-IF($G$2,0,IF((AK$6-$G$3)&lt;1,0,IFERROR(LOOKUP(2,1/(Sorgo!$E76:INDEX(Sorgo!$E76:$Z76,MIN(AK$6-$G$3,22))&lt;&gt;""),Sorgo!$E76:INDEX(Sorgo!$E76:$Z76,MIN(AK$6-$G$3,22))),0)))))</f>
        <v>0</v>
      </c>
      <c r="AL78" s="27" t="n">
        <f aca="false">IF(COUNT(Sorgo!$E76:$Z76)=0,0,MAX(0,IF((AL$6-$E$3)&lt;1,0,IFERROR(LOOKUP(2,1/(Sorgo!$E76:INDEX(Sorgo!$E76:$Z76,MIN(AL$6-$E$3,22))&lt;&gt;""),Sorgo!$E76:INDEX(Sorgo!$E76:$Z76,MIN(AL$6-$E$3,22))),0))-IF($G$2,0,IF((AL$6-$G$3)&lt;1,0,IFERROR(LOOKUP(2,1/(Sorgo!$E76:INDEX(Sorgo!$E76:$Z76,MIN(AL$6-$G$3,22))&lt;&gt;""),Sorgo!$E76:INDEX(Sorgo!$E76:$Z76,MIN(AL$6-$G$3,22))),0)))))</f>
        <v>0</v>
      </c>
      <c r="AM78" s="27" t="n">
        <f aca="false">IF(COUNT(Sorgo!$E76:$Z76)=0,0,MAX(0,IF((AM$6-$E$3)&lt;1,0,IFERROR(LOOKUP(2,1/(Sorgo!$E76:INDEX(Sorgo!$E76:$Z76,MIN(AM$6-$E$3,22))&lt;&gt;""),Sorgo!$E76:INDEX(Sorgo!$E76:$Z76,MIN(AM$6-$E$3,22))),0))-IF($G$2,0,IF((AM$6-$G$3)&lt;1,0,IFERROR(LOOKUP(2,1/(Sorgo!$E76:INDEX(Sorgo!$E76:$Z76,MIN(AM$6-$G$3,22))&lt;&gt;""),Sorgo!$E76:INDEX(Sorgo!$E76:$Z76,MIN(AM$6-$G$3,22))),0)))))</f>
        <v>0</v>
      </c>
      <c r="AN78" s="27" t="n">
        <f aca="false">IF(COUNT(Sorgo!$E76:$Z76)=0,0,MAX(0,IF((AN$6-$E$3)&lt;1,0,IFERROR(LOOKUP(2,1/(Sorgo!$E76:INDEX(Sorgo!$E76:$Z76,MIN(AN$6-$E$3,22))&lt;&gt;""),Sorgo!$E76:INDEX(Sorgo!$E76:$Z76,MIN(AN$6-$E$3,22))),0))-IF($G$2,0,IF((AN$6-$G$3)&lt;1,0,IFERROR(LOOKUP(2,1/(Sorgo!$E76:INDEX(Sorgo!$E76:$Z76,MIN(AN$6-$G$3,22))&lt;&gt;""),Sorgo!$E76:INDEX(Sorgo!$E76:$Z76,MIN(AN$6-$G$3,22))),0)))))</f>
        <v>0</v>
      </c>
      <c r="AO78" s="27" t="n">
        <f aca="false">IF(COUNT(Sorgo!$E76:$Z76)=0,0,MAX(0,IF((AO$6-$E$3)&lt;1,0,IFERROR(LOOKUP(2,1/(Sorgo!$E76:INDEX(Sorgo!$E76:$Z76,MIN(AO$6-$E$3,22))&lt;&gt;""),Sorgo!$E76:INDEX(Sorgo!$E76:$Z76,MIN(AO$6-$E$3,22))),0))-IF($G$2,0,IF((AO$6-$G$3)&lt;1,0,IFERROR(LOOKUP(2,1/(Sorgo!$E76:INDEX(Sorgo!$E76:$Z76,MIN(AO$6-$G$3,22))&lt;&gt;""),Sorgo!$E76:INDEX(Sorgo!$E76:$Z76,MIN(AO$6-$G$3,22))),0)))))</f>
        <v>0</v>
      </c>
      <c r="AP78" s="27" t="n">
        <f aca="false">IF(COUNT(Sorgo!$E76:$Z76)=0,0,MAX(0,IF((AP$6-$E$3)&lt;1,0,IFERROR(LOOKUP(2,1/(Sorgo!$E76:INDEX(Sorgo!$E76:$Z76,MIN(AP$6-$E$3,22))&lt;&gt;""),Sorgo!$E76:INDEX(Sorgo!$E76:$Z76,MIN(AP$6-$E$3,22))),0))-IF($G$2,0,IF((AP$6-$G$3)&lt;1,0,IFERROR(LOOKUP(2,1/(Sorgo!$E76:INDEX(Sorgo!$E76:$Z76,MIN(AP$6-$G$3,22))&lt;&gt;""),Sorgo!$E76:INDEX(Sorgo!$E76:$Z76,MIN(AP$6-$G$3,22))),0)))))</f>
        <v>0</v>
      </c>
      <c r="AQ78" s="27" t="n">
        <f aca="false">IF(COUNT(Sorgo!$E76:$Z76)=0,0,MAX(0,IF((AQ$6-$E$3)&lt;1,0,IFERROR(LOOKUP(2,1/(Sorgo!$E76:INDEX(Sorgo!$E76:$Z76,MIN(AQ$6-$E$3,22))&lt;&gt;""),Sorgo!$E76:INDEX(Sorgo!$E76:$Z76,MIN(AQ$6-$E$3,22))),0))-IF($G$2,0,IF((AQ$6-$G$3)&lt;1,0,IFERROR(LOOKUP(2,1/(Sorgo!$E76:INDEX(Sorgo!$E76:$Z76,MIN(AQ$6-$G$3,22))&lt;&gt;""),Sorgo!$E76:INDEX(Sorgo!$E76:$Z76,MIN(AQ$6-$G$3,22))),0)))))</f>
        <v>0</v>
      </c>
      <c r="AR78" s="27" t="n">
        <f aca="false">IF(COUNT(Sorgo!$E76:$Z76)=0,0,MAX(0,IF((AR$6-$E$3)&lt;1,0,IFERROR(LOOKUP(2,1/(Sorgo!$E76:INDEX(Sorgo!$E76:$Z76,MIN(AR$6-$E$3,22))&lt;&gt;""),Sorgo!$E76:INDEX(Sorgo!$E76:$Z76,MIN(AR$6-$E$3,22))),0))-IF($G$2,0,IF((AR$6-$G$3)&lt;1,0,IFERROR(LOOKUP(2,1/(Sorgo!$E76:INDEX(Sorgo!$E76:$Z76,MIN(AR$6-$G$3,22))&lt;&gt;""),Sorgo!$E76:INDEX(Sorgo!$E76:$Z76,MIN(AR$6-$G$3,22))),0)))))</f>
        <v>0</v>
      </c>
      <c r="AS78" s="27" t="n">
        <f aca="false">IF(COUNT(Sorgo!$E76:$Z76)=0,0,MAX(0,IF((AS$6-$E$3)&lt;1,0,IFERROR(LOOKUP(2,1/(Sorgo!$E76:INDEX(Sorgo!$E76:$Z76,MIN(AS$6-$E$3,22))&lt;&gt;""),Sorgo!$E76:INDEX(Sorgo!$E76:$Z76,MIN(AS$6-$E$3,22))),0))-IF($G$2,0,IF((AS$6-$G$3)&lt;1,0,IFERROR(LOOKUP(2,1/(Sorgo!$E76:INDEX(Sorgo!$E76:$Z76,MIN(AS$6-$G$3,22))&lt;&gt;""),Sorgo!$E76:INDEX(Sorgo!$E76:$Z76,MIN(AS$6-$G$3,22))),0)))))</f>
        <v>0</v>
      </c>
      <c r="AT78" s="27" t="n">
        <f aca="false">IF(COUNT(Sorgo!$E76:$Z76)=0,0,MAX(0,IF((AT$6-$E$3)&lt;1,0,IFERROR(LOOKUP(2,1/(Sorgo!$E76:INDEX(Sorgo!$E76:$Z76,MIN(AT$6-$E$3,22))&lt;&gt;""),Sorgo!$E76:INDEX(Sorgo!$E76:$Z76,MIN(AT$6-$E$3,22))),0))-IF($G$2,0,IF((AT$6-$G$3)&lt;1,0,IFERROR(LOOKUP(2,1/(Sorgo!$E76:INDEX(Sorgo!$E76:$Z76,MIN(AT$6-$G$3,22))&lt;&gt;""),Sorgo!$E76:INDEX(Sorgo!$E76:$Z76,MIN(AT$6-$G$3,22))),0)))))</f>
        <v>0</v>
      </c>
      <c r="AU78" s="27" t="n">
        <f aca="false">IF(COUNT(Sorgo!$E76:$Z76)=0,0,MAX(0,IF((AU$6-$E$3)&lt;1,0,IFERROR(LOOKUP(2,1/(Sorgo!$E76:INDEX(Sorgo!$E76:$Z76,MIN(AU$6-$E$3,22))&lt;&gt;""),Sorgo!$E76:INDEX(Sorgo!$E76:$Z76,MIN(AU$6-$E$3,22))),0))-IF($G$2,0,IF((AU$6-$G$3)&lt;1,0,IFERROR(LOOKUP(2,1/(Sorgo!$E76:INDEX(Sorgo!$E76:$Z76,MIN(AU$6-$G$3,22))&lt;&gt;""),Sorgo!$E76:INDEX(Sorgo!$E76:$Z76,MIN(AU$6-$G$3,22))),0)))))</f>
        <v>0</v>
      </c>
      <c r="AV78" s="27" t="n">
        <f aca="false">IF(COUNT(Sorgo!$E76:$Z76)=0,0,MAX(0,IF((AV$6-$E$3)&lt;1,0,IFERROR(LOOKUP(2,1/(Sorgo!$E76:INDEX(Sorgo!$E76:$Z76,MIN(AV$6-$E$3,22))&lt;&gt;""),Sorgo!$E76:INDEX(Sorgo!$E76:$Z76,MIN(AV$6-$E$3,22))),0))-IF($G$2,0,IF((AV$6-$G$3)&lt;1,0,IFERROR(LOOKUP(2,1/(Sorgo!$E76:INDEX(Sorgo!$E76:$Z76,MIN(AV$6-$G$3,22))&lt;&gt;""),Sorgo!$E76:INDEX(Sorgo!$E76:$Z76,MIN(AV$6-$G$3,22))),0)))))</f>
        <v>0</v>
      </c>
      <c r="AW78" s="27" t="n">
        <f aca="false">IF(COUNT(Sorgo!$E76:$Z76)=0,0,MAX(0,IF((AW$6-$E$3)&lt;1,0,IFERROR(LOOKUP(2,1/(Sorgo!$E76:INDEX(Sorgo!$E76:$Z76,MIN(AW$6-$E$3,22))&lt;&gt;""),Sorgo!$E76:INDEX(Sorgo!$E76:$Z76,MIN(AW$6-$E$3,22))),0))-IF($G$2,0,IF((AW$6-$G$3)&lt;1,0,IFERROR(LOOKUP(2,1/(Sorgo!$E76:INDEX(Sorgo!$E76:$Z76,MIN(AW$6-$G$3,22))&lt;&gt;""),Sorgo!$E76:INDEX(Sorgo!$E76:$Z76,MIN(AW$6-$G$3,22))),0)))))</f>
        <v>0</v>
      </c>
      <c r="AX78" s="27" t="n">
        <f aca="false">IF(COUNT(Sorgo!$E76:$Z76)=0,0,MAX(0,IF((AX$6-$E$3)&lt;1,0,IFERROR(LOOKUP(2,1/(Sorgo!$E76:INDEX(Sorgo!$E76:$Z76,MIN(AX$6-$E$3,22))&lt;&gt;""),Sorgo!$E76:INDEX(Sorgo!$E76:$Z76,MIN(AX$6-$E$3,22))),0))-IF($G$2,0,IF((AX$6-$G$3)&lt;1,0,IFERROR(LOOKUP(2,1/(Sorgo!$E76:INDEX(Sorgo!$E76:$Z76,MIN(AX$6-$G$3,22))&lt;&gt;""),Sorgo!$E76:INDEX(Sorgo!$E76:$Z76,MIN(AX$6-$G$3,22))),0)))))</f>
        <v>0</v>
      </c>
      <c r="AY78" s="27" t="n">
        <f aca="false">IF(COUNT(Sorgo!$E76:$Z76)=0,0,MAX(0,IF((AY$6-$E$3)&lt;1,0,IFERROR(LOOKUP(2,1/(Sorgo!$E76:INDEX(Sorgo!$E76:$Z76,MIN(AY$6-$E$3,22))&lt;&gt;""),Sorgo!$E76:INDEX(Sorgo!$E76:$Z76,MIN(AY$6-$E$3,22))),0))-IF($G$2,0,IF((AY$6-$G$3)&lt;1,0,IFERROR(LOOKUP(2,1/(Sorgo!$E76:INDEX(Sorgo!$E76:$Z76,MIN(AY$6-$G$3,22))&lt;&gt;""),Sorgo!$E76:INDEX(Sorgo!$E76:$Z76,MIN(AY$6-$G$3,22))),0)))))</f>
        <v>0</v>
      </c>
      <c r="AZ78" s="27" t="n">
        <f aca="false">IF(COUNT(Sorgo!$E76:$Z76)=0,0,MAX(0,IF((AZ$6-$E$3)&lt;1,0,IFERROR(LOOKUP(2,1/(Sorgo!$E76:INDEX(Sorgo!$E76:$Z76,MIN(AZ$6-$E$3,22))&lt;&gt;""),Sorgo!$E76:INDEX(Sorgo!$E76:$Z76,MIN(AZ$6-$E$3,22))),0))-IF($G$2,0,IF((AZ$6-$G$3)&lt;1,0,IFERROR(LOOKUP(2,1/(Sorgo!$E76:INDEX(Sorgo!$E76:$Z76,MIN(AZ$6-$G$3,22))&lt;&gt;""),Sorgo!$E76:INDEX(Sorgo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IF(COUNT(Sorgo!$E77:$Z77)&gt;0,N(Sorgo!$D77),0)</f>
        <v>0</v>
      </c>
      <c r="E79" s="27" t="n">
        <f aca="false">IF(COUNT(Sorgo!$E77:$Z77)=0,0,MAX(0,IF((E$6-$E$3)&lt;1,0,IFERROR(LOOKUP(2,1/(Sorgo!$E77:INDEX(Sorgo!$E77:$Z77,MIN(E$6-$E$3,22))&lt;&gt;""),Sorgo!$E77:INDEX(Sorgo!$E77:$Z77,MIN(E$6-$E$3,22))),0))-IF($G$2,0,IF((E$6-$G$3)&lt;1,0,IFERROR(LOOKUP(2,1/(Sorgo!$E77:INDEX(Sorgo!$E77:$Z77,MIN(E$6-$G$3,22))&lt;&gt;""),Sorgo!$E77:INDEX(Sorgo!$E77:$Z77,MIN(E$6-$G$3,22))),0)))))</f>
        <v>0</v>
      </c>
      <c r="F79" s="27" t="n">
        <f aca="false">IF(COUNT(Sorgo!$E77:$Z77)=0,0,MAX(0,IF((F$6-$E$3)&lt;1,0,IFERROR(LOOKUP(2,1/(Sorgo!$E77:INDEX(Sorgo!$E77:$Z77,MIN(F$6-$E$3,22))&lt;&gt;""),Sorgo!$E77:INDEX(Sorgo!$E77:$Z77,MIN(F$6-$E$3,22))),0))-IF($G$2,0,IF((F$6-$G$3)&lt;1,0,IFERROR(LOOKUP(2,1/(Sorgo!$E77:INDEX(Sorgo!$E77:$Z77,MIN(F$6-$G$3,22))&lt;&gt;""),Sorgo!$E77:INDEX(Sorgo!$E77:$Z77,MIN(F$6-$G$3,22))),0)))))</f>
        <v>0</v>
      </c>
      <c r="G79" s="27" t="n">
        <f aca="false">IF(COUNT(Sorgo!$E77:$Z77)=0,0,MAX(0,IF((G$6-$E$3)&lt;1,0,IFERROR(LOOKUP(2,1/(Sorgo!$E77:INDEX(Sorgo!$E77:$Z77,MIN(G$6-$E$3,22))&lt;&gt;""),Sorgo!$E77:INDEX(Sorgo!$E77:$Z77,MIN(G$6-$E$3,22))),0))-IF($G$2,0,IF((G$6-$G$3)&lt;1,0,IFERROR(LOOKUP(2,1/(Sorgo!$E77:INDEX(Sorgo!$E77:$Z77,MIN(G$6-$G$3,22))&lt;&gt;""),Sorgo!$E77:INDEX(Sorgo!$E77:$Z77,MIN(G$6-$G$3,22))),0)))))</f>
        <v>0</v>
      </c>
      <c r="H79" s="27" t="n">
        <f aca="false">IF(COUNT(Sorgo!$E77:$Z77)=0,0,MAX(0,IF((H$6-$E$3)&lt;1,0,IFERROR(LOOKUP(2,1/(Sorgo!$E77:INDEX(Sorgo!$E77:$Z77,MIN(H$6-$E$3,22))&lt;&gt;""),Sorgo!$E77:INDEX(Sorgo!$E77:$Z77,MIN(H$6-$E$3,22))),0))-IF($G$2,0,IF((H$6-$G$3)&lt;1,0,IFERROR(LOOKUP(2,1/(Sorgo!$E77:INDEX(Sorgo!$E77:$Z77,MIN(H$6-$G$3,22))&lt;&gt;""),Sorgo!$E77:INDEX(Sorgo!$E77:$Z77,MIN(H$6-$G$3,22))),0)))))</f>
        <v>0</v>
      </c>
      <c r="I79" s="27" t="n">
        <f aca="false">IF(COUNT(Sorgo!$E77:$Z77)=0,0,MAX(0,IF((I$6-$E$3)&lt;1,0,IFERROR(LOOKUP(2,1/(Sorgo!$E77:INDEX(Sorgo!$E77:$Z77,MIN(I$6-$E$3,22))&lt;&gt;""),Sorgo!$E77:INDEX(Sorgo!$E77:$Z77,MIN(I$6-$E$3,22))),0))-IF($G$2,0,IF((I$6-$G$3)&lt;1,0,IFERROR(LOOKUP(2,1/(Sorgo!$E77:INDEX(Sorgo!$E77:$Z77,MIN(I$6-$G$3,22))&lt;&gt;""),Sorgo!$E77:INDEX(Sorgo!$E77:$Z77,MIN(I$6-$G$3,22))),0)))))</f>
        <v>0</v>
      </c>
      <c r="J79" s="27" t="n">
        <f aca="false">IF(COUNT(Sorgo!$E77:$Z77)=0,0,MAX(0,IF((J$6-$E$3)&lt;1,0,IFERROR(LOOKUP(2,1/(Sorgo!$E77:INDEX(Sorgo!$E77:$Z77,MIN(J$6-$E$3,22))&lt;&gt;""),Sorgo!$E77:INDEX(Sorgo!$E77:$Z77,MIN(J$6-$E$3,22))),0))-IF($G$2,0,IF((J$6-$G$3)&lt;1,0,IFERROR(LOOKUP(2,1/(Sorgo!$E77:INDEX(Sorgo!$E77:$Z77,MIN(J$6-$G$3,22))&lt;&gt;""),Sorgo!$E77:INDEX(Sorgo!$E77:$Z77,MIN(J$6-$G$3,22))),0)))))</f>
        <v>0</v>
      </c>
      <c r="K79" s="27" t="n">
        <f aca="false">IF(COUNT(Sorgo!$E77:$Z77)=0,0,MAX(0,IF((K$6-$E$3)&lt;1,0,IFERROR(LOOKUP(2,1/(Sorgo!$E77:INDEX(Sorgo!$E77:$Z77,MIN(K$6-$E$3,22))&lt;&gt;""),Sorgo!$E77:INDEX(Sorgo!$E77:$Z77,MIN(K$6-$E$3,22))),0))-IF($G$2,0,IF((K$6-$G$3)&lt;1,0,IFERROR(LOOKUP(2,1/(Sorgo!$E77:INDEX(Sorgo!$E77:$Z77,MIN(K$6-$G$3,22))&lt;&gt;""),Sorgo!$E77:INDEX(Sorgo!$E77:$Z77,MIN(K$6-$G$3,22))),0)))))</f>
        <v>0</v>
      </c>
      <c r="L79" s="27" t="n">
        <f aca="false">IF(COUNT(Sorgo!$E77:$Z77)=0,0,MAX(0,IF((L$6-$E$3)&lt;1,0,IFERROR(LOOKUP(2,1/(Sorgo!$E77:INDEX(Sorgo!$E77:$Z77,MIN(L$6-$E$3,22))&lt;&gt;""),Sorgo!$E77:INDEX(Sorgo!$E77:$Z77,MIN(L$6-$E$3,22))),0))-IF($G$2,0,IF((L$6-$G$3)&lt;1,0,IFERROR(LOOKUP(2,1/(Sorgo!$E77:INDEX(Sorgo!$E77:$Z77,MIN(L$6-$G$3,22))&lt;&gt;""),Sorgo!$E77:INDEX(Sorgo!$E77:$Z77,MIN(L$6-$G$3,22))),0)))))</f>
        <v>0</v>
      </c>
      <c r="M79" s="27" t="n">
        <f aca="false">IF(COUNT(Sorgo!$E77:$Z77)=0,0,MAX(0,IF((M$6-$E$3)&lt;1,0,IFERROR(LOOKUP(2,1/(Sorgo!$E77:INDEX(Sorgo!$E77:$Z77,MIN(M$6-$E$3,22))&lt;&gt;""),Sorgo!$E77:INDEX(Sorgo!$E77:$Z77,MIN(M$6-$E$3,22))),0))-IF($G$2,0,IF((M$6-$G$3)&lt;1,0,IFERROR(LOOKUP(2,1/(Sorgo!$E77:INDEX(Sorgo!$E77:$Z77,MIN(M$6-$G$3,22))&lt;&gt;""),Sorgo!$E77:INDEX(Sorgo!$E77:$Z77,MIN(M$6-$G$3,22))),0)))))</f>
        <v>0</v>
      </c>
      <c r="N79" s="27" t="n">
        <f aca="false">IF(COUNT(Sorgo!$E77:$Z77)=0,0,MAX(0,IF((N$6-$E$3)&lt;1,0,IFERROR(LOOKUP(2,1/(Sorgo!$E77:INDEX(Sorgo!$E77:$Z77,MIN(N$6-$E$3,22))&lt;&gt;""),Sorgo!$E77:INDEX(Sorgo!$E77:$Z77,MIN(N$6-$E$3,22))),0))-IF($G$2,0,IF((N$6-$G$3)&lt;1,0,IFERROR(LOOKUP(2,1/(Sorgo!$E77:INDEX(Sorgo!$E77:$Z77,MIN(N$6-$G$3,22))&lt;&gt;""),Sorgo!$E77:INDEX(Sorgo!$E77:$Z77,MIN(N$6-$G$3,22))),0)))))</f>
        <v>0</v>
      </c>
      <c r="O79" s="27" t="n">
        <f aca="false">IF(COUNT(Sorgo!$E77:$Z77)=0,0,MAX(0,IF((O$6-$E$3)&lt;1,0,IFERROR(LOOKUP(2,1/(Sorgo!$E77:INDEX(Sorgo!$E77:$Z77,MIN(O$6-$E$3,22))&lt;&gt;""),Sorgo!$E77:INDEX(Sorgo!$E77:$Z77,MIN(O$6-$E$3,22))),0))-IF($G$2,0,IF((O$6-$G$3)&lt;1,0,IFERROR(LOOKUP(2,1/(Sorgo!$E77:INDEX(Sorgo!$E77:$Z77,MIN(O$6-$G$3,22))&lt;&gt;""),Sorgo!$E77:INDEX(Sorgo!$E77:$Z77,MIN(O$6-$G$3,22))),0)))))</f>
        <v>0</v>
      </c>
      <c r="P79" s="27" t="n">
        <f aca="false">IF(COUNT(Sorgo!$E77:$Z77)=0,0,MAX(0,IF((P$6-$E$3)&lt;1,0,IFERROR(LOOKUP(2,1/(Sorgo!$E77:INDEX(Sorgo!$E77:$Z77,MIN(P$6-$E$3,22))&lt;&gt;""),Sorgo!$E77:INDEX(Sorgo!$E77:$Z77,MIN(P$6-$E$3,22))),0))-IF($G$2,0,IF((P$6-$G$3)&lt;1,0,IFERROR(LOOKUP(2,1/(Sorgo!$E77:INDEX(Sorgo!$E77:$Z77,MIN(P$6-$G$3,22))&lt;&gt;""),Sorgo!$E77:INDEX(Sorgo!$E77:$Z77,MIN(P$6-$G$3,22))),0)))))</f>
        <v>0</v>
      </c>
      <c r="Q79" s="27" t="n">
        <f aca="false">IF(COUNT(Sorgo!$E77:$Z77)=0,0,MAX(0,IF((Q$6-$E$3)&lt;1,0,IFERROR(LOOKUP(2,1/(Sorgo!$E77:INDEX(Sorgo!$E77:$Z77,MIN(Q$6-$E$3,22))&lt;&gt;""),Sorgo!$E77:INDEX(Sorgo!$E77:$Z77,MIN(Q$6-$E$3,22))),0))-IF($G$2,0,IF((Q$6-$G$3)&lt;1,0,IFERROR(LOOKUP(2,1/(Sorgo!$E77:INDEX(Sorgo!$E77:$Z77,MIN(Q$6-$G$3,22))&lt;&gt;""),Sorgo!$E77:INDEX(Sorgo!$E77:$Z77,MIN(Q$6-$G$3,22))),0)))))</f>
        <v>0</v>
      </c>
      <c r="R79" s="27" t="n">
        <f aca="false">IF(COUNT(Sorgo!$E77:$Z77)=0,0,MAX(0,IF((R$6-$E$3)&lt;1,0,IFERROR(LOOKUP(2,1/(Sorgo!$E77:INDEX(Sorgo!$E77:$Z77,MIN(R$6-$E$3,22))&lt;&gt;""),Sorgo!$E77:INDEX(Sorgo!$E77:$Z77,MIN(R$6-$E$3,22))),0))-IF($G$2,0,IF((R$6-$G$3)&lt;1,0,IFERROR(LOOKUP(2,1/(Sorgo!$E77:INDEX(Sorgo!$E77:$Z77,MIN(R$6-$G$3,22))&lt;&gt;""),Sorgo!$E77:INDEX(Sorgo!$E77:$Z77,MIN(R$6-$G$3,22))),0)))))</f>
        <v>0</v>
      </c>
      <c r="S79" s="27" t="n">
        <f aca="false">IF(COUNT(Sorgo!$E77:$Z77)=0,0,MAX(0,IF((S$6-$E$3)&lt;1,0,IFERROR(LOOKUP(2,1/(Sorgo!$E77:INDEX(Sorgo!$E77:$Z77,MIN(S$6-$E$3,22))&lt;&gt;""),Sorgo!$E77:INDEX(Sorgo!$E77:$Z77,MIN(S$6-$E$3,22))),0))-IF($G$2,0,IF((S$6-$G$3)&lt;1,0,IFERROR(LOOKUP(2,1/(Sorgo!$E77:INDEX(Sorgo!$E77:$Z77,MIN(S$6-$G$3,22))&lt;&gt;""),Sorgo!$E77:INDEX(Sorgo!$E77:$Z77,MIN(S$6-$G$3,22))),0)))))</f>
        <v>0</v>
      </c>
      <c r="T79" s="27" t="n">
        <f aca="false">IF(COUNT(Sorgo!$E77:$Z77)=0,0,MAX(0,IF((T$6-$E$3)&lt;1,0,IFERROR(LOOKUP(2,1/(Sorgo!$E77:INDEX(Sorgo!$E77:$Z77,MIN(T$6-$E$3,22))&lt;&gt;""),Sorgo!$E77:INDEX(Sorgo!$E77:$Z77,MIN(T$6-$E$3,22))),0))-IF($G$2,0,IF((T$6-$G$3)&lt;1,0,IFERROR(LOOKUP(2,1/(Sorgo!$E77:INDEX(Sorgo!$E77:$Z77,MIN(T$6-$G$3,22))&lt;&gt;""),Sorgo!$E77:INDEX(Sorgo!$E77:$Z77,MIN(T$6-$G$3,22))),0)))))</f>
        <v>0</v>
      </c>
      <c r="U79" s="27" t="n">
        <f aca="false">IF(COUNT(Sorgo!$E77:$Z77)=0,0,MAX(0,IF((U$6-$E$3)&lt;1,0,IFERROR(LOOKUP(2,1/(Sorgo!$E77:INDEX(Sorgo!$E77:$Z77,MIN(U$6-$E$3,22))&lt;&gt;""),Sorgo!$E77:INDEX(Sorgo!$E77:$Z77,MIN(U$6-$E$3,22))),0))-IF($G$2,0,IF((U$6-$G$3)&lt;1,0,IFERROR(LOOKUP(2,1/(Sorgo!$E77:INDEX(Sorgo!$E77:$Z77,MIN(U$6-$G$3,22))&lt;&gt;""),Sorgo!$E77:INDEX(Sorgo!$E77:$Z77,MIN(U$6-$G$3,22))),0)))))</f>
        <v>0</v>
      </c>
      <c r="V79" s="27" t="n">
        <f aca="false">IF(COUNT(Sorgo!$E77:$Z77)=0,0,MAX(0,IF((V$6-$E$3)&lt;1,0,IFERROR(LOOKUP(2,1/(Sorgo!$E77:INDEX(Sorgo!$E77:$Z77,MIN(V$6-$E$3,22))&lt;&gt;""),Sorgo!$E77:INDEX(Sorgo!$E77:$Z77,MIN(V$6-$E$3,22))),0))-IF($G$2,0,IF((V$6-$G$3)&lt;1,0,IFERROR(LOOKUP(2,1/(Sorgo!$E77:INDEX(Sorgo!$E77:$Z77,MIN(V$6-$G$3,22))&lt;&gt;""),Sorgo!$E77:INDEX(Sorgo!$E77:$Z77,MIN(V$6-$G$3,22))),0)))))</f>
        <v>0</v>
      </c>
      <c r="W79" s="27" t="n">
        <f aca="false">IF(COUNT(Sorgo!$E77:$Z77)=0,0,MAX(0,IF((W$6-$E$3)&lt;1,0,IFERROR(LOOKUP(2,1/(Sorgo!$E77:INDEX(Sorgo!$E77:$Z77,MIN(W$6-$E$3,22))&lt;&gt;""),Sorgo!$E77:INDEX(Sorgo!$E77:$Z77,MIN(W$6-$E$3,22))),0))-IF($G$2,0,IF((W$6-$G$3)&lt;1,0,IFERROR(LOOKUP(2,1/(Sorgo!$E77:INDEX(Sorgo!$E77:$Z77,MIN(W$6-$G$3,22))&lt;&gt;""),Sorgo!$E77:INDEX(Sorgo!$E77:$Z77,MIN(W$6-$G$3,22))),0)))))</f>
        <v>0</v>
      </c>
      <c r="X79" s="27" t="n">
        <f aca="false">IF(COUNT(Sorgo!$E77:$Z77)=0,0,MAX(0,IF((X$6-$E$3)&lt;1,0,IFERROR(LOOKUP(2,1/(Sorgo!$E77:INDEX(Sorgo!$E77:$Z77,MIN(X$6-$E$3,22))&lt;&gt;""),Sorgo!$E77:INDEX(Sorgo!$E77:$Z77,MIN(X$6-$E$3,22))),0))-IF($G$2,0,IF((X$6-$G$3)&lt;1,0,IFERROR(LOOKUP(2,1/(Sorgo!$E77:INDEX(Sorgo!$E77:$Z77,MIN(X$6-$G$3,22))&lt;&gt;""),Sorgo!$E77:INDEX(Sorgo!$E77:$Z77,MIN(X$6-$G$3,22))),0)))))</f>
        <v>0</v>
      </c>
      <c r="Y79" s="27" t="n">
        <f aca="false">IF(COUNT(Sorgo!$E77:$Z77)=0,0,MAX(0,IF((Y$6-$E$3)&lt;1,0,IFERROR(LOOKUP(2,1/(Sorgo!$E77:INDEX(Sorgo!$E77:$Z77,MIN(Y$6-$E$3,22))&lt;&gt;""),Sorgo!$E77:INDEX(Sorgo!$E77:$Z77,MIN(Y$6-$E$3,22))),0))-IF($G$2,0,IF((Y$6-$G$3)&lt;1,0,IFERROR(LOOKUP(2,1/(Sorgo!$E77:INDEX(Sorgo!$E77:$Z77,MIN(Y$6-$G$3,22))&lt;&gt;""),Sorgo!$E77:INDEX(Sorgo!$E77:$Z77,MIN(Y$6-$G$3,22))),0)))))</f>
        <v>0</v>
      </c>
      <c r="Z79" s="27" t="n">
        <f aca="false">IF(COUNT(Sorgo!$E77:$Z77)=0,0,MAX(0,IF((Z$6-$E$3)&lt;1,0,IFERROR(LOOKUP(2,1/(Sorgo!$E77:INDEX(Sorgo!$E77:$Z77,MIN(Z$6-$E$3,22))&lt;&gt;""),Sorgo!$E77:INDEX(Sorgo!$E77:$Z77,MIN(Z$6-$E$3,22))),0))-IF($G$2,0,IF((Z$6-$G$3)&lt;1,0,IFERROR(LOOKUP(2,1/(Sorgo!$E77:INDEX(Sorgo!$E77:$Z77,MIN(Z$6-$G$3,22))&lt;&gt;""),Sorgo!$E77:INDEX(Sorgo!$E77:$Z77,MIN(Z$6-$G$3,22))),0)))))</f>
        <v>0</v>
      </c>
      <c r="AA79" s="27" t="n">
        <f aca="false">IF(COUNT(Sorgo!$E77:$Z77)=0,0,MAX(0,IF((AA$6-$E$3)&lt;1,0,IFERROR(LOOKUP(2,1/(Sorgo!$E77:INDEX(Sorgo!$E77:$Z77,MIN(AA$6-$E$3,22))&lt;&gt;""),Sorgo!$E77:INDEX(Sorgo!$E77:$Z77,MIN(AA$6-$E$3,22))),0))-IF($G$2,0,IF((AA$6-$G$3)&lt;1,0,IFERROR(LOOKUP(2,1/(Sorgo!$E77:INDEX(Sorgo!$E77:$Z77,MIN(AA$6-$G$3,22))&lt;&gt;""),Sorgo!$E77:INDEX(Sorgo!$E77:$Z77,MIN(AA$6-$G$3,22))),0)))))</f>
        <v>0</v>
      </c>
      <c r="AB79" s="27" t="n">
        <f aca="false">IF(COUNT(Sorgo!$E77:$Z77)=0,0,MAX(0,IF((AB$6-$E$3)&lt;1,0,IFERROR(LOOKUP(2,1/(Sorgo!$E77:INDEX(Sorgo!$E77:$Z77,MIN(AB$6-$E$3,22))&lt;&gt;""),Sorgo!$E77:INDEX(Sorgo!$E77:$Z77,MIN(AB$6-$E$3,22))),0))-IF($G$2,0,IF((AB$6-$G$3)&lt;1,0,IFERROR(LOOKUP(2,1/(Sorgo!$E77:INDEX(Sorgo!$E77:$Z77,MIN(AB$6-$G$3,22))&lt;&gt;""),Sorgo!$E77:INDEX(Sorgo!$E77:$Z77,MIN(AB$6-$G$3,22))),0)))))</f>
        <v>0</v>
      </c>
      <c r="AC79" s="27" t="n">
        <f aca="false">IF(COUNT(Sorgo!$E77:$Z77)=0,0,MAX(0,IF((AC$6-$E$3)&lt;1,0,IFERROR(LOOKUP(2,1/(Sorgo!$E77:INDEX(Sorgo!$E77:$Z77,MIN(AC$6-$E$3,22))&lt;&gt;""),Sorgo!$E77:INDEX(Sorgo!$E77:$Z77,MIN(AC$6-$E$3,22))),0))-IF($G$2,0,IF((AC$6-$G$3)&lt;1,0,IFERROR(LOOKUP(2,1/(Sorgo!$E77:INDEX(Sorgo!$E77:$Z77,MIN(AC$6-$G$3,22))&lt;&gt;""),Sorgo!$E77:INDEX(Sorgo!$E77:$Z77,MIN(AC$6-$G$3,22))),0)))))</f>
        <v>0</v>
      </c>
      <c r="AD79" s="27" t="n">
        <f aca="false">IF(COUNT(Sorgo!$E77:$Z77)=0,0,MAX(0,IF((AD$6-$E$3)&lt;1,0,IFERROR(LOOKUP(2,1/(Sorgo!$E77:INDEX(Sorgo!$E77:$Z77,MIN(AD$6-$E$3,22))&lt;&gt;""),Sorgo!$E77:INDEX(Sorgo!$E77:$Z77,MIN(AD$6-$E$3,22))),0))-IF($G$2,0,IF((AD$6-$G$3)&lt;1,0,IFERROR(LOOKUP(2,1/(Sorgo!$E77:INDEX(Sorgo!$E77:$Z77,MIN(AD$6-$G$3,22))&lt;&gt;""),Sorgo!$E77:INDEX(Sorgo!$E77:$Z77,MIN(AD$6-$G$3,22))),0)))))</f>
        <v>0</v>
      </c>
      <c r="AE79" s="27" t="n">
        <f aca="false">IF(COUNT(Sorgo!$E77:$Z77)=0,0,MAX(0,IF((AE$6-$E$3)&lt;1,0,IFERROR(LOOKUP(2,1/(Sorgo!$E77:INDEX(Sorgo!$E77:$Z77,MIN(AE$6-$E$3,22))&lt;&gt;""),Sorgo!$E77:INDEX(Sorgo!$E77:$Z77,MIN(AE$6-$E$3,22))),0))-IF($G$2,0,IF((AE$6-$G$3)&lt;1,0,IFERROR(LOOKUP(2,1/(Sorgo!$E77:INDEX(Sorgo!$E77:$Z77,MIN(AE$6-$G$3,22))&lt;&gt;""),Sorgo!$E77:INDEX(Sorgo!$E77:$Z77,MIN(AE$6-$G$3,22))),0)))))</f>
        <v>0</v>
      </c>
      <c r="AF79" s="27" t="n">
        <f aca="false">IF(COUNT(Sorgo!$E77:$Z77)=0,0,MAX(0,IF((AF$6-$E$3)&lt;1,0,IFERROR(LOOKUP(2,1/(Sorgo!$E77:INDEX(Sorgo!$E77:$Z77,MIN(AF$6-$E$3,22))&lt;&gt;""),Sorgo!$E77:INDEX(Sorgo!$E77:$Z77,MIN(AF$6-$E$3,22))),0))-IF($G$2,0,IF((AF$6-$G$3)&lt;1,0,IFERROR(LOOKUP(2,1/(Sorgo!$E77:INDEX(Sorgo!$E77:$Z77,MIN(AF$6-$G$3,22))&lt;&gt;""),Sorgo!$E77:INDEX(Sorgo!$E77:$Z77,MIN(AF$6-$G$3,22))),0)))))</f>
        <v>0</v>
      </c>
      <c r="AG79" s="27" t="n">
        <f aca="false">IF(COUNT(Sorgo!$E77:$Z77)=0,0,MAX(0,IF((AG$6-$E$3)&lt;1,0,IFERROR(LOOKUP(2,1/(Sorgo!$E77:INDEX(Sorgo!$E77:$Z77,MIN(AG$6-$E$3,22))&lt;&gt;""),Sorgo!$E77:INDEX(Sorgo!$E77:$Z77,MIN(AG$6-$E$3,22))),0))-IF($G$2,0,IF((AG$6-$G$3)&lt;1,0,IFERROR(LOOKUP(2,1/(Sorgo!$E77:INDEX(Sorgo!$E77:$Z77,MIN(AG$6-$G$3,22))&lt;&gt;""),Sorgo!$E77:INDEX(Sorgo!$E77:$Z77,MIN(AG$6-$G$3,22))),0)))))</f>
        <v>0</v>
      </c>
      <c r="AH79" s="27" t="n">
        <f aca="false">IF(COUNT(Sorgo!$E77:$Z77)=0,0,MAX(0,IF((AH$6-$E$3)&lt;1,0,IFERROR(LOOKUP(2,1/(Sorgo!$E77:INDEX(Sorgo!$E77:$Z77,MIN(AH$6-$E$3,22))&lt;&gt;""),Sorgo!$E77:INDEX(Sorgo!$E77:$Z77,MIN(AH$6-$E$3,22))),0))-IF($G$2,0,IF((AH$6-$G$3)&lt;1,0,IFERROR(LOOKUP(2,1/(Sorgo!$E77:INDEX(Sorgo!$E77:$Z77,MIN(AH$6-$G$3,22))&lt;&gt;""),Sorgo!$E77:INDEX(Sorgo!$E77:$Z77,MIN(AH$6-$G$3,22))),0)))))</f>
        <v>0</v>
      </c>
      <c r="AI79" s="27" t="n">
        <f aca="false">IF(COUNT(Sorgo!$E77:$Z77)=0,0,MAX(0,IF((AI$6-$E$3)&lt;1,0,IFERROR(LOOKUP(2,1/(Sorgo!$E77:INDEX(Sorgo!$E77:$Z77,MIN(AI$6-$E$3,22))&lt;&gt;""),Sorgo!$E77:INDEX(Sorgo!$E77:$Z77,MIN(AI$6-$E$3,22))),0))-IF($G$2,0,IF((AI$6-$G$3)&lt;1,0,IFERROR(LOOKUP(2,1/(Sorgo!$E77:INDEX(Sorgo!$E77:$Z77,MIN(AI$6-$G$3,22))&lt;&gt;""),Sorgo!$E77:INDEX(Sorgo!$E77:$Z77,MIN(AI$6-$G$3,22))),0)))))</f>
        <v>0</v>
      </c>
      <c r="AJ79" s="27" t="n">
        <f aca="false">IF(COUNT(Sorgo!$E77:$Z77)=0,0,MAX(0,IF((AJ$6-$E$3)&lt;1,0,IFERROR(LOOKUP(2,1/(Sorgo!$E77:INDEX(Sorgo!$E77:$Z77,MIN(AJ$6-$E$3,22))&lt;&gt;""),Sorgo!$E77:INDEX(Sorgo!$E77:$Z77,MIN(AJ$6-$E$3,22))),0))-IF($G$2,0,IF((AJ$6-$G$3)&lt;1,0,IFERROR(LOOKUP(2,1/(Sorgo!$E77:INDEX(Sorgo!$E77:$Z77,MIN(AJ$6-$G$3,22))&lt;&gt;""),Sorgo!$E77:INDEX(Sorgo!$E77:$Z77,MIN(AJ$6-$G$3,22))),0)))))</f>
        <v>0</v>
      </c>
      <c r="AK79" s="27" t="n">
        <f aca="false">IF(COUNT(Sorgo!$E77:$Z77)=0,0,MAX(0,IF((AK$6-$E$3)&lt;1,0,IFERROR(LOOKUP(2,1/(Sorgo!$E77:INDEX(Sorgo!$E77:$Z77,MIN(AK$6-$E$3,22))&lt;&gt;""),Sorgo!$E77:INDEX(Sorgo!$E77:$Z77,MIN(AK$6-$E$3,22))),0))-IF($G$2,0,IF((AK$6-$G$3)&lt;1,0,IFERROR(LOOKUP(2,1/(Sorgo!$E77:INDEX(Sorgo!$E77:$Z77,MIN(AK$6-$G$3,22))&lt;&gt;""),Sorgo!$E77:INDEX(Sorgo!$E77:$Z77,MIN(AK$6-$G$3,22))),0)))))</f>
        <v>0</v>
      </c>
      <c r="AL79" s="27" t="n">
        <f aca="false">IF(COUNT(Sorgo!$E77:$Z77)=0,0,MAX(0,IF((AL$6-$E$3)&lt;1,0,IFERROR(LOOKUP(2,1/(Sorgo!$E77:INDEX(Sorgo!$E77:$Z77,MIN(AL$6-$E$3,22))&lt;&gt;""),Sorgo!$E77:INDEX(Sorgo!$E77:$Z77,MIN(AL$6-$E$3,22))),0))-IF($G$2,0,IF((AL$6-$G$3)&lt;1,0,IFERROR(LOOKUP(2,1/(Sorgo!$E77:INDEX(Sorgo!$E77:$Z77,MIN(AL$6-$G$3,22))&lt;&gt;""),Sorgo!$E77:INDEX(Sorgo!$E77:$Z77,MIN(AL$6-$G$3,22))),0)))))</f>
        <v>0</v>
      </c>
      <c r="AM79" s="27" t="n">
        <f aca="false">IF(COUNT(Sorgo!$E77:$Z77)=0,0,MAX(0,IF((AM$6-$E$3)&lt;1,0,IFERROR(LOOKUP(2,1/(Sorgo!$E77:INDEX(Sorgo!$E77:$Z77,MIN(AM$6-$E$3,22))&lt;&gt;""),Sorgo!$E77:INDEX(Sorgo!$E77:$Z77,MIN(AM$6-$E$3,22))),0))-IF($G$2,0,IF((AM$6-$G$3)&lt;1,0,IFERROR(LOOKUP(2,1/(Sorgo!$E77:INDEX(Sorgo!$E77:$Z77,MIN(AM$6-$G$3,22))&lt;&gt;""),Sorgo!$E77:INDEX(Sorgo!$E77:$Z77,MIN(AM$6-$G$3,22))),0)))))</f>
        <v>0</v>
      </c>
      <c r="AN79" s="27" t="n">
        <f aca="false">IF(COUNT(Sorgo!$E77:$Z77)=0,0,MAX(0,IF((AN$6-$E$3)&lt;1,0,IFERROR(LOOKUP(2,1/(Sorgo!$E77:INDEX(Sorgo!$E77:$Z77,MIN(AN$6-$E$3,22))&lt;&gt;""),Sorgo!$E77:INDEX(Sorgo!$E77:$Z77,MIN(AN$6-$E$3,22))),0))-IF($G$2,0,IF((AN$6-$G$3)&lt;1,0,IFERROR(LOOKUP(2,1/(Sorgo!$E77:INDEX(Sorgo!$E77:$Z77,MIN(AN$6-$G$3,22))&lt;&gt;""),Sorgo!$E77:INDEX(Sorgo!$E77:$Z77,MIN(AN$6-$G$3,22))),0)))))</f>
        <v>0</v>
      </c>
      <c r="AO79" s="27" t="n">
        <f aca="false">IF(COUNT(Sorgo!$E77:$Z77)=0,0,MAX(0,IF((AO$6-$E$3)&lt;1,0,IFERROR(LOOKUP(2,1/(Sorgo!$E77:INDEX(Sorgo!$E77:$Z77,MIN(AO$6-$E$3,22))&lt;&gt;""),Sorgo!$E77:INDEX(Sorgo!$E77:$Z77,MIN(AO$6-$E$3,22))),0))-IF($G$2,0,IF((AO$6-$G$3)&lt;1,0,IFERROR(LOOKUP(2,1/(Sorgo!$E77:INDEX(Sorgo!$E77:$Z77,MIN(AO$6-$G$3,22))&lt;&gt;""),Sorgo!$E77:INDEX(Sorgo!$E77:$Z77,MIN(AO$6-$G$3,22))),0)))))</f>
        <v>0</v>
      </c>
      <c r="AP79" s="27" t="n">
        <f aca="false">IF(COUNT(Sorgo!$E77:$Z77)=0,0,MAX(0,IF((AP$6-$E$3)&lt;1,0,IFERROR(LOOKUP(2,1/(Sorgo!$E77:INDEX(Sorgo!$E77:$Z77,MIN(AP$6-$E$3,22))&lt;&gt;""),Sorgo!$E77:INDEX(Sorgo!$E77:$Z77,MIN(AP$6-$E$3,22))),0))-IF($G$2,0,IF((AP$6-$G$3)&lt;1,0,IFERROR(LOOKUP(2,1/(Sorgo!$E77:INDEX(Sorgo!$E77:$Z77,MIN(AP$6-$G$3,22))&lt;&gt;""),Sorgo!$E77:INDEX(Sorgo!$E77:$Z77,MIN(AP$6-$G$3,22))),0)))))</f>
        <v>0</v>
      </c>
      <c r="AQ79" s="27" t="n">
        <f aca="false">IF(COUNT(Sorgo!$E77:$Z77)=0,0,MAX(0,IF((AQ$6-$E$3)&lt;1,0,IFERROR(LOOKUP(2,1/(Sorgo!$E77:INDEX(Sorgo!$E77:$Z77,MIN(AQ$6-$E$3,22))&lt;&gt;""),Sorgo!$E77:INDEX(Sorgo!$E77:$Z77,MIN(AQ$6-$E$3,22))),0))-IF($G$2,0,IF((AQ$6-$G$3)&lt;1,0,IFERROR(LOOKUP(2,1/(Sorgo!$E77:INDEX(Sorgo!$E77:$Z77,MIN(AQ$6-$G$3,22))&lt;&gt;""),Sorgo!$E77:INDEX(Sorgo!$E77:$Z77,MIN(AQ$6-$G$3,22))),0)))))</f>
        <v>0</v>
      </c>
      <c r="AR79" s="27" t="n">
        <f aca="false">IF(COUNT(Sorgo!$E77:$Z77)=0,0,MAX(0,IF((AR$6-$E$3)&lt;1,0,IFERROR(LOOKUP(2,1/(Sorgo!$E77:INDEX(Sorgo!$E77:$Z77,MIN(AR$6-$E$3,22))&lt;&gt;""),Sorgo!$E77:INDEX(Sorgo!$E77:$Z77,MIN(AR$6-$E$3,22))),0))-IF($G$2,0,IF((AR$6-$G$3)&lt;1,0,IFERROR(LOOKUP(2,1/(Sorgo!$E77:INDEX(Sorgo!$E77:$Z77,MIN(AR$6-$G$3,22))&lt;&gt;""),Sorgo!$E77:INDEX(Sorgo!$E77:$Z77,MIN(AR$6-$G$3,22))),0)))))</f>
        <v>0</v>
      </c>
      <c r="AS79" s="27" t="n">
        <f aca="false">IF(COUNT(Sorgo!$E77:$Z77)=0,0,MAX(0,IF((AS$6-$E$3)&lt;1,0,IFERROR(LOOKUP(2,1/(Sorgo!$E77:INDEX(Sorgo!$E77:$Z77,MIN(AS$6-$E$3,22))&lt;&gt;""),Sorgo!$E77:INDEX(Sorgo!$E77:$Z77,MIN(AS$6-$E$3,22))),0))-IF($G$2,0,IF((AS$6-$G$3)&lt;1,0,IFERROR(LOOKUP(2,1/(Sorgo!$E77:INDEX(Sorgo!$E77:$Z77,MIN(AS$6-$G$3,22))&lt;&gt;""),Sorgo!$E77:INDEX(Sorgo!$E77:$Z77,MIN(AS$6-$G$3,22))),0)))))</f>
        <v>0</v>
      </c>
      <c r="AT79" s="27" t="n">
        <f aca="false">IF(COUNT(Sorgo!$E77:$Z77)=0,0,MAX(0,IF((AT$6-$E$3)&lt;1,0,IFERROR(LOOKUP(2,1/(Sorgo!$E77:INDEX(Sorgo!$E77:$Z77,MIN(AT$6-$E$3,22))&lt;&gt;""),Sorgo!$E77:INDEX(Sorgo!$E77:$Z77,MIN(AT$6-$E$3,22))),0))-IF($G$2,0,IF((AT$6-$G$3)&lt;1,0,IFERROR(LOOKUP(2,1/(Sorgo!$E77:INDEX(Sorgo!$E77:$Z77,MIN(AT$6-$G$3,22))&lt;&gt;""),Sorgo!$E77:INDEX(Sorgo!$E77:$Z77,MIN(AT$6-$G$3,22))),0)))))</f>
        <v>0</v>
      </c>
      <c r="AU79" s="27" t="n">
        <f aca="false">IF(COUNT(Sorgo!$E77:$Z77)=0,0,MAX(0,IF((AU$6-$E$3)&lt;1,0,IFERROR(LOOKUP(2,1/(Sorgo!$E77:INDEX(Sorgo!$E77:$Z77,MIN(AU$6-$E$3,22))&lt;&gt;""),Sorgo!$E77:INDEX(Sorgo!$E77:$Z77,MIN(AU$6-$E$3,22))),0))-IF($G$2,0,IF((AU$6-$G$3)&lt;1,0,IFERROR(LOOKUP(2,1/(Sorgo!$E77:INDEX(Sorgo!$E77:$Z77,MIN(AU$6-$G$3,22))&lt;&gt;""),Sorgo!$E77:INDEX(Sorgo!$E77:$Z77,MIN(AU$6-$G$3,22))),0)))))</f>
        <v>0</v>
      </c>
      <c r="AV79" s="27" t="n">
        <f aca="false">IF(COUNT(Sorgo!$E77:$Z77)=0,0,MAX(0,IF((AV$6-$E$3)&lt;1,0,IFERROR(LOOKUP(2,1/(Sorgo!$E77:INDEX(Sorgo!$E77:$Z77,MIN(AV$6-$E$3,22))&lt;&gt;""),Sorgo!$E77:INDEX(Sorgo!$E77:$Z77,MIN(AV$6-$E$3,22))),0))-IF($G$2,0,IF((AV$6-$G$3)&lt;1,0,IFERROR(LOOKUP(2,1/(Sorgo!$E77:INDEX(Sorgo!$E77:$Z77,MIN(AV$6-$G$3,22))&lt;&gt;""),Sorgo!$E77:INDEX(Sorgo!$E77:$Z77,MIN(AV$6-$G$3,22))),0)))))</f>
        <v>0</v>
      </c>
      <c r="AW79" s="27" t="n">
        <f aca="false">IF(COUNT(Sorgo!$E77:$Z77)=0,0,MAX(0,IF((AW$6-$E$3)&lt;1,0,IFERROR(LOOKUP(2,1/(Sorgo!$E77:INDEX(Sorgo!$E77:$Z77,MIN(AW$6-$E$3,22))&lt;&gt;""),Sorgo!$E77:INDEX(Sorgo!$E77:$Z77,MIN(AW$6-$E$3,22))),0))-IF($G$2,0,IF((AW$6-$G$3)&lt;1,0,IFERROR(LOOKUP(2,1/(Sorgo!$E77:INDEX(Sorgo!$E77:$Z77,MIN(AW$6-$G$3,22))&lt;&gt;""),Sorgo!$E77:INDEX(Sorgo!$E77:$Z77,MIN(AW$6-$G$3,22))),0)))))</f>
        <v>0</v>
      </c>
      <c r="AX79" s="27" t="n">
        <f aca="false">IF(COUNT(Sorgo!$E77:$Z77)=0,0,MAX(0,IF((AX$6-$E$3)&lt;1,0,IFERROR(LOOKUP(2,1/(Sorgo!$E77:INDEX(Sorgo!$E77:$Z77,MIN(AX$6-$E$3,22))&lt;&gt;""),Sorgo!$E77:INDEX(Sorgo!$E77:$Z77,MIN(AX$6-$E$3,22))),0))-IF($G$2,0,IF((AX$6-$G$3)&lt;1,0,IFERROR(LOOKUP(2,1/(Sorgo!$E77:INDEX(Sorgo!$E77:$Z77,MIN(AX$6-$G$3,22))&lt;&gt;""),Sorgo!$E77:INDEX(Sorgo!$E77:$Z77,MIN(AX$6-$G$3,22))),0)))))</f>
        <v>0</v>
      </c>
      <c r="AY79" s="27" t="n">
        <f aca="false">IF(COUNT(Sorgo!$E77:$Z77)=0,0,MAX(0,IF((AY$6-$E$3)&lt;1,0,IFERROR(LOOKUP(2,1/(Sorgo!$E77:INDEX(Sorgo!$E77:$Z77,MIN(AY$6-$E$3,22))&lt;&gt;""),Sorgo!$E77:INDEX(Sorgo!$E77:$Z77,MIN(AY$6-$E$3,22))),0))-IF($G$2,0,IF((AY$6-$G$3)&lt;1,0,IFERROR(LOOKUP(2,1/(Sorgo!$E77:INDEX(Sorgo!$E77:$Z77,MIN(AY$6-$G$3,22))&lt;&gt;""),Sorgo!$E77:INDEX(Sorgo!$E77:$Z77,MIN(AY$6-$G$3,22))),0)))))</f>
        <v>0</v>
      </c>
      <c r="AZ79" s="27" t="n">
        <f aca="false">IF(COUNT(Sorgo!$E77:$Z77)=0,0,MAX(0,IF((AZ$6-$E$3)&lt;1,0,IFERROR(LOOKUP(2,1/(Sorgo!$E77:INDEX(Sorgo!$E77:$Z77,MIN(AZ$6-$E$3,22))&lt;&gt;""),Sorgo!$E77:INDEX(Sorgo!$E77:$Z77,MIN(AZ$6-$E$3,22))),0))-IF($G$2,0,IF((AZ$6-$G$3)&lt;1,0,IFERROR(LOOKUP(2,1/(Sorgo!$E77:INDEX(Sorgo!$E77:$Z77,MIN(AZ$6-$G$3,22))&lt;&gt;""),Sorgo!$E77:INDEX(Sorgo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IF(COUNT(Sorgo!$E78:$Z78)&gt;0,N(Sorgo!$D78),0)</f>
        <v>0</v>
      </c>
      <c r="E80" s="27" t="n">
        <f aca="false">IF(COUNT(Sorgo!$E78:$Z78)=0,0,MAX(0,IF((E$6-$E$3)&lt;1,0,IFERROR(LOOKUP(2,1/(Sorgo!$E78:INDEX(Sorgo!$E78:$Z78,MIN(E$6-$E$3,22))&lt;&gt;""),Sorgo!$E78:INDEX(Sorgo!$E78:$Z78,MIN(E$6-$E$3,22))),0))-IF($G$2,0,IF((E$6-$G$3)&lt;1,0,IFERROR(LOOKUP(2,1/(Sorgo!$E78:INDEX(Sorgo!$E78:$Z78,MIN(E$6-$G$3,22))&lt;&gt;""),Sorgo!$E78:INDEX(Sorgo!$E78:$Z78,MIN(E$6-$G$3,22))),0)))))</f>
        <v>0</v>
      </c>
      <c r="F80" s="27" t="n">
        <f aca="false">IF(COUNT(Sorgo!$E78:$Z78)=0,0,MAX(0,IF((F$6-$E$3)&lt;1,0,IFERROR(LOOKUP(2,1/(Sorgo!$E78:INDEX(Sorgo!$E78:$Z78,MIN(F$6-$E$3,22))&lt;&gt;""),Sorgo!$E78:INDEX(Sorgo!$E78:$Z78,MIN(F$6-$E$3,22))),0))-IF($G$2,0,IF((F$6-$G$3)&lt;1,0,IFERROR(LOOKUP(2,1/(Sorgo!$E78:INDEX(Sorgo!$E78:$Z78,MIN(F$6-$G$3,22))&lt;&gt;""),Sorgo!$E78:INDEX(Sorgo!$E78:$Z78,MIN(F$6-$G$3,22))),0)))))</f>
        <v>0</v>
      </c>
      <c r="G80" s="27" t="n">
        <f aca="false">IF(COUNT(Sorgo!$E78:$Z78)=0,0,MAX(0,IF((G$6-$E$3)&lt;1,0,IFERROR(LOOKUP(2,1/(Sorgo!$E78:INDEX(Sorgo!$E78:$Z78,MIN(G$6-$E$3,22))&lt;&gt;""),Sorgo!$E78:INDEX(Sorgo!$E78:$Z78,MIN(G$6-$E$3,22))),0))-IF($G$2,0,IF((G$6-$G$3)&lt;1,0,IFERROR(LOOKUP(2,1/(Sorgo!$E78:INDEX(Sorgo!$E78:$Z78,MIN(G$6-$G$3,22))&lt;&gt;""),Sorgo!$E78:INDEX(Sorgo!$E78:$Z78,MIN(G$6-$G$3,22))),0)))))</f>
        <v>0</v>
      </c>
      <c r="H80" s="27" t="n">
        <f aca="false">IF(COUNT(Sorgo!$E78:$Z78)=0,0,MAX(0,IF((H$6-$E$3)&lt;1,0,IFERROR(LOOKUP(2,1/(Sorgo!$E78:INDEX(Sorgo!$E78:$Z78,MIN(H$6-$E$3,22))&lt;&gt;""),Sorgo!$E78:INDEX(Sorgo!$E78:$Z78,MIN(H$6-$E$3,22))),0))-IF($G$2,0,IF((H$6-$G$3)&lt;1,0,IFERROR(LOOKUP(2,1/(Sorgo!$E78:INDEX(Sorgo!$E78:$Z78,MIN(H$6-$G$3,22))&lt;&gt;""),Sorgo!$E78:INDEX(Sorgo!$E78:$Z78,MIN(H$6-$G$3,22))),0)))))</f>
        <v>0</v>
      </c>
      <c r="I80" s="27" t="n">
        <f aca="false">IF(COUNT(Sorgo!$E78:$Z78)=0,0,MAX(0,IF((I$6-$E$3)&lt;1,0,IFERROR(LOOKUP(2,1/(Sorgo!$E78:INDEX(Sorgo!$E78:$Z78,MIN(I$6-$E$3,22))&lt;&gt;""),Sorgo!$E78:INDEX(Sorgo!$E78:$Z78,MIN(I$6-$E$3,22))),0))-IF($G$2,0,IF((I$6-$G$3)&lt;1,0,IFERROR(LOOKUP(2,1/(Sorgo!$E78:INDEX(Sorgo!$E78:$Z78,MIN(I$6-$G$3,22))&lt;&gt;""),Sorgo!$E78:INDEX(Sorgo!$E78:$Z78,MIN(I$6-$G$3,22))),0)))))</f>
        <v>0</v>
      </c>
      <c r="J80" s="27" t="n">
        <f aca="false">IF(COUNT(Sorgo!$E78:$Z78)=0,0,MAX(0,IF((J$6-$E$3)&lt;1,0,IFERROR(LOOKUP(2,1/(Sorgo!$E78:INDEX(Sorgo!$E78:$Z78,MIN(J$6-$E$3,22))&lt;&gt;""),Sorgo!$E78:INDEX(Sorgo!$E78:$Z78,MIN(J$6-$E$3,22))),0))-IF($G$2,0,IF((J$6-$G$3)&lt;1,0,IFERROR(LOOKUP(2,1/(Sorgo!$E78:INDEX(Sorgo!$E78:$Z78,MIN(J$6-$G$3,22))&lt;&gt;""),Sorgo!$E78:INDEX(Sorgo!$E78:$Z78,MIN(J$6-$G$3,22))),0)))))</f>
        <v>0</v>
      </c>
      <c r="K80" s="27" t="n">
        <f aca="false">IF(COUNT(Sorgo!$E78:$Z78)=0,0,MAX(0,IF((K$6-$E$3)&lt;1,0,IFERROR(LOOKUP(2,1/(Sorgo!$E78:INDEX(Sorgo!$E78:$Z78,MIN(K$6-$E$3,22))&lt;&gt;""),Sorgo!$E78:INDEX(Sorgo!$E78:$Z78,MIN(K$6-$E$3,22))),0))-IF($G$2,0,IF((K$6-$G$3)&lt;1,0,IFERROR(LOOKUP(2,1/(Sorgo!$E78:INDEX(Sorgo!$E78:$Z78,MIN(K$6-$G$3,22))&lt;&gt;""),Sorgo!$E78:INDEX(Sorgo!$E78:$Z78,MIN(K$6-$G$3,22))),0)))))</f>
        <v>0</v>
      </c>
      <c r="L80" s="27" t="n">
        <f aca="false">IF(COUNT(Sorgo!$E78:$Z78)=0,0,MAX(0,IF((L$6-$E$3)&lt;1,0,IFERROR(LOOKUP(2,1/(Sorgo!$E78:INDEX(Sorgo!$E78:$Z78,MIN(L$6-$E$3,22))&lt;&gt;""),Sorgo!$E78:INDEX(Sorgo!$E78:$Z78,MIN(L$6-$E$3,22))),0))-IF($G$2,0,IF((L$6-$G$3)&lt;1,0,IFERROR(LOOKUP(2,1/(Sorgo!$E78:INDEX(Sorgo!$E78:$Z78,MIN(L$6-$G$3,22))&lt;&gt;""),Sorgo!$E78:INDEX(Sorgo!$E78:$Z78,MIN(L$6-$G$3,22))),0)))))</f>
        <v>0</v>
      </c>
      <c r="M80" s="27" t="n">
        <f aca="false">IF(COUNT(Sorgo!$E78:$Z78)=0,0,MAX(0,IF((M$6-$E$3)&lt;1,0,IFERROR(LOOKUP(2,1/(Sorgo!$E78:INDEX(Sorgo!$E78:$Z78,MIN(M$6-$E$3,22))&lt;&gt;""),Sorgo!$E78:INDEX(Sorgo!$E78:$Z78,MIN(M$6-$E$3,22))),0))-IF($G$2,0,IF((M$6-$G$3)&lt;1,0,IFERROR(LOOKUP(2,1/(Sorgo!$E78:INDEX(Sorgo!$E78:$Z78,MIN(M$6-$G$3,22))&lt;&gt;""),Sorgo!$E78:INDEX(Sorgo!$E78:$Z78,MIN(M$6-$G$3,22))),0)))))</f>
        <v>0</v>
      </c>
      <c r="N80" s="27" t="n">
        <f aca="false">IF(COUNT(Sorgo!$E78:$Z78)=0,0,MAX(0,IF((N$6-$E$3)&lt;1,0,IFERROR(LOOKUP(2,1/(Sorgo!$E78:INDEX(Sorgo!$E78:$Z78,MIN(N$6-$E$3,22))&lt;&gt;""),Sorgo!$E78:INDEX(Sorgo!$E78:$Z78,MIN(N$6-$E$3,22))),0))-IF($G$2,0,IF((N$6-$G$3)&lt;1,0,IFERROR(LOOKUP(2,1/(Sorgo!$E78:INDEX(Sorgo!$E78:$Z78,MIN(N$6-$G$3,22))&lt;&gt;""),Sorgo!$E78:INDEX(Sorgo!$E78:$Z78,MIN(N$6-$G$3,22))),0)))))</f>
        <v>0</v>
      </c>
      <c r="O80" s="27" t="n">
        <f aca="false">IF(COUNT(Sorgo!$E78:$Z78)=0,0,MAX(0,IF((O$6-$E$3)&lt;1,0,IFERROR(LOOKUP(2,1/(Sorgo!$E78:INDEX(Sorgo!$E78:$Z78,MIN(O$6-$E$3,22))&lt;&gt;""),Sorgo!$E78:INDEX(Sorgo!$E78:$Z78,MIN(O$6-$E$3,22))),0))-IF($G$2,0,IF((O$6-$G$3)&lt;1,0,IFERROR(LOOKUP(2,1/(Sorgo!$E78:INDEX(Sorgo!$E78:$Z78,MIN(O$6-$G$3,22))&lt;&gt;""),Sorgo!$E78:INDEX(Sorgo!$E78:$Z78,MIN(O$6-$G$3,22))),0)))))</f>
        <v>0</v>
      </c>
      <c r="P80" s="27" t="n">
        <f aca="false">IF(COUNT(Sorgo!$E78:$Z78)=0,0,MAX(0,IF((P$6-$E$3)&lt;1,0,IFERROR(LOOKUP(2,1/(Sorgo!$E78:INDEX(Sorgo!$E78:$Z78,MIN(P$6-$E$3,22))&lt;&gt;""),Sorgo!$E78:INDEX(Sorgo!$E78:$Z78,MIN(P$6-$E$3,22))),0))-IF($G$2,0,IF((P$6-$G$3)&lt;1,0,IFERROR(LOOKUP(2,1/(Sorgo!$E78:INDEX(Sorgo!$E78:$Z78,MIN(P$6-$G$3,22))&lt;&gt;""),Sorgo!$E78:INDEX(Sorgo!$E78:$Z78,MIN(P$6-$G$3,22))),0)))))</f>
        <v>0</v>
      </c>
      <c r="Q80" s="27" t="n">
        <f aca="false">IF(COUNT(Sorgo!$E78:$Z78)=0,0,MAX(0,IF((Q$6-$E$3)&lt;1,0,IFERROR(LOOKUP(2,1/(Sorgo!$E78:INDEX(Sorgo!$E78:$Z78,MIN(Q$6-$E$3,22))&lt;&gt;""),Sorgo!$E78:INDEX(Sorgo!$E78:$Z78,MIN(Q$6-$E$3,22))),0))-IF($G$2,0,IF((Q$6-$G$3)&lt;1,0,IFERROR(LOOKUP(2,1/(Sorgo!$E78:INDEX(Sorgo!$E78:$Z78,MIN(Q$6-$G$3,22))&lt;&gt;""),Sorgo!$E78:INDEX(Sorgo!$E78:$Z78,MIN(Q$6-$G$3,22))),0)))))</f>
        <v>0</v>
      </c>
      <c r="R80" s="27" t="n">
        <f aca="false">IF(COUNT(Sorgo!$E78:$Z78)=0,0,MAX(0,IF((R$6-$E$3)&lt;1,0,IFERROR(LOOKUP(2,1/(Sorgo!$E78:INDEX(Sorgo!$E78:$Z78,MIN(R$6-$E$3,22))&lt;&gt;""),Sorgo!$E78:INDEX(Sorgo!$E78:$Z78,MIN(R$6-$E$3,22))),0))-IF($G$2,0,IF((R$6-$G$3)&lt;1,0,IFERROR(LOOKUP(2,1/(Sorgo!$E78:INDEX(Sorgo!$E78:$Z78,MIN(R$6-$G$3,22))&lt;&gt;""),Sorgo!$E78:INDEX(Sorgo!$E78:$Z78,MIN(R$6-$G$3,22))),0)))))</f>
        <v>0</v>
      </c>
      <c r="S80" s="27" t="n">
        <f aca="false">IF(COUNT(Sorgo!$E78:$Z78)=0,0,MAX(0,IF((S$6-$E$3)&lt;1,0,IFERROR(LOOKUP(2,1/(Sorgo!$E78:INDEX(Sorgo!$E78:$Z78,MIN(S$6-$E$3,22))&lt;&gt;""),Sorgo!$E78:INDEX(Sorgo!$E78:$Z78,MIN(S$6-$E$3,22))),0))-IF($G$2,0,IF((S$6-$G$3)&lt;1,0,IFERROR(LOOKUP(2,1/(Sorgo!$E78:INDEX(Sorgo!$E78:$Z78,MIN(S$6-$G$3,22))&lt;&gt;""),Sorgo!$E78:INDEX(Sorgo!$E78:$Z78,MIN(S$6-$G$3,22))),0)))))</f>
        <v>0</v>
      </c>
      <c r="T80" s="27" t="n">
        <f aca="false">IF(COUNT(Sorgo!$E78:$Z78)=0,0,MAX(0,IF((T$6-$E$3)&lt;1,0,IFERROR(LOOKUP(2,1/(Sorgo!$E78:INDEX(Sorgo!$E78:$Z78,MIN(T$6-$E$3,22))&lt;&gt;""),Sorgo!$E78:INDEX(Sorgo!$E78:$Z78,MIN(T$6-$E$3,22))),0))-IF($G$2,0,IF((T$6-$G$3)&lt;1,0,IFERROR(LOOKUP(2,1/(Sorgo!$E78:INDEX(Sorgo!$E78:$Z78,MIN(T$6-$G$3,22))&lt;&gt;""),Sorgo!$E78:INDEX(Sorgo!$E78:$Z78,MIN(T$6-$G$3,22))),0)))))</f>
        <v>0</v>
      </c>
      <c r="U80" s="27" t="n">
        <f aca="false">IF(COUNT(Sorgo!$E78:$Z78)=0,0,MAX(0,IF((U$6-$E$3)&lt;1,0,IFERROR(LOOKUP(2,1/(Sorgo!$E78:INDEX(Sorgo!$E78:$Z78,MIN(U$6-$E$3,22))&lt;&gt;""),Sorgo!$E78:INDEX(Sorgo!$E78:$Z78,MIN(U$6-$E$3,22))),0))-IF($G$2,0,IF((U$6-$G$3)&lt;1,0,IFERROR(LOOKUP(2,1/(Sorgo!$E78:INDEX(Sorgo!$E78:$Z78,MIN(U$6-$G$3,22))&lt;&gt;""),Sorgo!$E78:INDEX(Sorgo!$E78:$Z78,MIN(U$6-$G$3,22))),0)))))</f>
        <v>0</v>
      </c>
      <c r="V80" s="27" t="n">
        <f aca="false">IF(COUNT(Sorgo!$E78:$Z78)=0,0,MAX(0,IF((V$6-$E$3)&lt;1,0,IFERROR(LOOKUP(2,1/(Sorgo!$E78:INDEX(Sorgo!$E78:$Z78,MIN(V$6-$E$3,22))&lt;&gt;""),Sorgo!$E78:INDEX(Sorgo!$E78:$Z78,MIN(V$6-$E$3,22))),0))-IF($G$2,0,IF((V$6-$G$3)&lt;1,0,IFERROR(LOOKUP(2,1/(Sorgo!$E78:INDEX(Sorgo!$E78:$Z78,MIN(V$6-$G$3,22))&lt;&gt;""),Sorgo!$E78:INDEX(Sorgo!$E78:$Z78,MIN(V$6-$G$3,22))),0)))))</f>
        <v>0</v>
      </c>
      <c r="W80" s="27" t="n">
        <f aca="false">IF(COUNT(Sorgo!$E78:$Z78)=0,0,MAX(0,IF((W$6-$E$3)&lt;1,0,IFERROR(LOOKUP(2,1/(Sorgo!$E78:INDEX(Sorgo!$E78:$Z78,MIN(W$6-$E$3,22))&lt;&gt;""),Sorgo!$E78:INDEX(Sorgo!$E78:$Z78,MIN(W$6-$E$3,22))),0))-IF($G$2,0,IF((W$6-$G$3)&lt;1,0,IFERROR(LOOKUP(2,1/(Sorgo!$E78:INDEX(Sorgo!$E78:$Z78,MIN(W$6-$G$3,22))&lt;&gt;""),Sorgo!$E78:INDEX(Sorgo!$E78:$Z78,MIN(W$6-$G$3,22))),0)))))</f>
        <v>0</v>
      </c>
      <c r="X80" s="27" t="n">
        <f aca="false">IF(COUNT(Sorgo!$E78:$Z78)=0,0,MAX(0,IF((X$6-$E$3)&lt;1,0,IFERROR(LOOKUP(2,1/(Sorgo!$E78:INDEX(Sorgo!$E78:$Z78,MIN(X$6-$E$3,22))&lt;&gt;""),Sorgo!$E78:INDEX(Sorgo!$E78:$Z78,MIN(X$6-$E$3,22))),0))-IF($G$2,0,IF((X$6-$G$3)&lt;1,0,IFERROR(LOOKUP(2,1/(Sorgo!$E78:INDEX(Sorgo!$E78:$Z78,MIN(X$6-$G$3,22))&lt;&gt;""),Sorgo!$E78:INDEX(Sorgo!$E78:$Z78,MIN(X$6-$G$3,22))),0)))))</f>
        <v>0</v>
      </c>
      <c r="Y80" s="27" t="n">
        <f aca="false">IF(COUNT(Sorgo!$E78:$Z78)=0,0,MAX(0,IF((Y$6-$E$3)&lt;1,0,IFERROR(LOOKUP(2,1/(Sorgo!$E78:INDEX(Sorgo!$E78:$Z78,MIN(Y$6-$E$3,22))&lt;&gt;""),Sorgo!$E78:INDEX(Sorgo!$E78:$Z78,MIN(Y$6-$E$3,22))),0))-IF($G$2,0,IF((Y$6-$G$3)&lt;1,0,IFERROR(LOOKUP(2,1/(Sorgo!$E78:INDEX(Sorgo!$E78:$Z78,MIN(Y$6-$G$3,22))&lt;&gt;""),Sorgo!$E78:INDEX(Sorgo!$E78:$Z78,MIN(Y$6-$G$3,22))),0)))))</f>
        <v>0</v>
      </c>
      <c r="Z80" s="27" t="n">
        <f aca="false">IF(COUNT(Sorgo!$E78:$Z78)=0,0,MAX(0,IF((Z$6-$E$3)&lt;1,0,IFERROR(LOOKUP(2,1/(Sorgo!$E78:INDEX(Sorgo!$E78:$Z78,MIN(Z$6-$E$3,22))&lt;&gt;""),Sorgo!$E78:INDEX(Sorgo!$E78:$Z78,MIN(Z$6-$E$3,22))),0))-IF($G$2,0,IF((Z$6-$G$3)&lt;1,0,IFERROR(LOOKUP(2,1/(Sorgo!$E78:INDEX(Sorgo!$E78:$Z78,MIN(Z$6-$G$3,22))&lt;&gt;""),Sorgo!$E78:INDEX(Sorgo!$E78:$Z78,MIN(Z$6-$G$3,22))),0)))))</f>
        <v>0</v>
      </c>
      <c r="AA80" s="27" t="n">
        <f aca="false">IF(COUNT(Sorgo!$E78:$Z78)=0,0,MAX(0,IF((AA$6-$E$3)&lt;1,0,IFERROR(LOOKUP(2,1/(Sorgo!$E78:INDEX(Sorgo!$E78:$Z78,MIN(AA$6-$E$3,22))&lt;&gt;""),Sorgo!$E78:INDEX(Sorgo!$E78:$Z78,MIN(AA$6-$E$3,22))),0))-IF($G$2,0,IF((AA$6-$G$3)&lt;1,0,IFERROR(LOOKUP(2,1/(Sorgo!$E78:INDEX(Sorgo!$E78:$Z78,MIN(AA$6-$G$3,22))&lt;&gt;""),Sorgo!$E78:INDEX(Sorgo!$E78:$Z78,MIN(AA$6-$G$3,22))),0)))))</f>
        <v>0</v>
      </c>
      <c r="AB80" s="27" t="n">
        <f aca="false">IF(COUNT(Sorgo!$E78:$Z78)=0,0,MAX(0,IF((AB$6-$E$3)&lt;1,0,IFERROR(LOOKUP(2,1/(Sorgo!$E78:INDEX(Sorgo!$E78:$Z78,MIN(AB$6-$E$3,22))&lt;&gt;""),Sorgo!$E78:INDEX(Sorgo!$E78:$Z78,MIN(AB$6-$E$3,22))),0))-IF($G$2,0,IF((AB$6-$G$3)&lt;1,0,IFERROR(LOOKUP(2,1/(Sorgo!$E78:INDEX(Sorgo!$E78:$Z78,MIN(AB$6-$G$3,22))&lt;&gt;""),Sorgo!$E78:INDEX(Sorgo!$E78:$Z78,MIN(AB$6-$G$3,22))),0)))))</f>
        <v>0</v>
      </c>
      <c r="AC80" s="27" t="n">
        <f aca="false">IF(COUNT(Sorgo!$E78:$Z78)=0,0,MAX(0,IF((AC$6-$E$3)&lt;1,0,IFERROR(LOOKUP(2,1/(Sorgo!$E78:INDEX(Sorgo!$E78:$Z78,MIN(AC$6-$E$3,22))&lt;&gt;""),Sorgo!$E78:INDEX(Sorgo!$E78:$Z78,MIN(AC$6-$E$3,22))),0))-IF($G$2,0,IF((AC$6-$G$3)&lt;1,0,IFERROR(LOOKUP(2,1/(Sorgo!$E78:INDEX(Sorgo!$E78:$Z78,MIN(AC$6-$G$3,22))&lt;&gt;""),Sorgo!$E78:INDEX(Sorgo!$E78:$Z78,MIN(AC$6-$G$3,22))),0)))))</f>
        <v>0</v>
      </c>
      <c r="AD80" s="27" t="n">
        <f aca="false">IF(COUNT(Sorgo!$E78:$Z78)=0,0,MAX(0,IF((AD$6-$E$3)&lt;1,0,IFERROR(LOOKUP(2,1/(Sorgo!$E78:INDEX(Sorgo!$E78:$Z78,MIN(AD$6-$E$3,22))&lt;&gt;""),Sorgo!$E78:INDEX(Sorgo!$E78:$Z78,MIN(AD$6-$E$3,22))),0))-IF($G$2,0,IF((AD$6-$G$3)&lt;1,0,IFERROR(LOOKUP(2,1/(Sorgo!$E78:INDEX(Sorgo!$E78:$Z78,MIN(AD$6-$G$3,22))&lt;&gt;""),Sorgo!$E78:INDEX(Sorgo!$E78:$Z78,MIN(AD$6-$G$3,22))),0)))))</f>
        <v>0</v>
      </c>
      <c r="AE80" s="27" t="n">
        <f aca="false">IF(COUNT(Sorgo!$E78:$Z78)=0,0,MAX(0,IF((AE$6-$E$3)&lt;1,0,IFERROR(LOOKUP(2,1/(Sorgo!$E78:INDEX(Sorgo!$E78:$Z78,MIN(AE$6-$E$3,22))&lt;&gt;""),Sorgo!$E78:INDEX(Sorgo!$E78:$Z78,MIN(AE$6-$E$3,22))),0))-IF($G$2,0,IF((AE$6-$G$3)&lt;1,0,IFERROR(LOOKUP(2,1/(Sorgo!$E78:INDEX(Sorgo!$E78:$Z78,MIN(AE$6-$G$3,22))&lt;&gt;""),Sorgo!$E78:INDEX(Sorgo!$E78:$Z78,MIN(AE$6-$G$3,22))),0)))))</f>
        <v>0</v>
      </c>
      <c r="AF80" s="27" t="n">
        <f aca="false">IF(COUNT(Sorgo!$E78:$Z78)=0,0,MAX(0,IF((AF$6-$E$3)&lt;1,0,IFERROR(LOOKUP(2,1/(Sorgo!$E78:INDEX(Sorgo!$E78:$Z78,MIN(AF$6-$E$3,22))&lt;&gt;""),Sorgo!$E78:INDEX(Sorgo!$E78:$Z78,MIN(AF$6-$E$3,22))),0))-IF($G$2,0,IF((AF$6-$G$3)&lt;1,0,IFERROR(LOOKUP(2,1/(Sorgo!$E78:INDEX(Sorgo!$E78:$Z78,MIN(AF$6-$G$3,22))&lt;&gt;""),Sorgo!$E78:INDEX(Sorgo!$E78:$Z78,MIN(AF$6-$G$3,22))),0)))))</f>
        <v>0</v>
      </c>
      <c r="AG80" s="27" t="n">
        <f aca="false">IF(COUNT(Sorgo!$E78:$Z78)=0,0,MAX(0,IF((AG$6-$E$3)&lt;1,0,IFERROR(LOOKUP(2,1/(Sorgo!$E78:INDEX(Sorgo!$E78:$Z78,MIN(AG$6-$E$3,22))&lt;&gt;""),Sorgo!$E78:INDEX(Sorgo!$E78:$Z78,MIN(AG$6-$E$3,22))),0))-IF($G$2,0,IF((AG$6-$G$3)&lt;1,0,IFERROR(LOOKUP(2,1/(Sorgo!$E78:INDEX(Sorgo!$E78:$Z78,MIN(AG$6-$G$3,22))&lt;&gt;""),Sorgo!$E78:INDEX(Sorgo!$E78:$Z78,MIN(AG$6-$G$3,22))),0)))))</f>
        <v>0</v>
      </c>
      <c r="AH80" s="27" t="n">
        <f aca="false">IF(COUNT(Sorgo!$E78:$Z78)=0,0,MAX(0,IF((AH$6-$E$3)&lt;1,0,IFERROR(LOOKUP(2,1/(Sorgo!$E78:INDEX(Sorgo!$E78:$Z78,MIN(AH$6-$E$3,22))&lt;&gt;""),Sorgo!$E78:INDEX(Sorgo!$E78:$Z78,MIN(AH$6-$E$3,22))),0))-IF($G$2,0,IF((AH$6-$G$3)&lt;1,0,IFERROR(LOOKUP(2,1/(Sorgo!$E78:INDEX(Sorgo!$E78:$Z78,MIN(AH$6-$G$3,22))&lt;&gt;""),Sorgo!$E78:INDEX(Sorgo!$E78:$Z78,MIN(AH$6-$G$3,22))),0)))))</f>
        <v>0</v>
      </c>
      <c r="AI80" s="27" t="n">
        <f aca="false">IF(COUNT(Sorgo!$E78:$Z78)=0,0,MAX(0,IF((AI$6-$E$3)&lt;1,0,IFERROR(LOOKUP(2,1/(Sorgo!$E78:INDEX(Sorgo!$E78:$Z78,MIN(AI$6-$E$3,22))&lt;&gt;""),Sorgo!$E78:INDEX(Sorgo!$E78:$Z78,MIN(AI$6-$E$3,22))),0))-IF($G$2,0,IF((AI$6-$G$3)&lt;1,0,IFERROR(LOOKUP(2,1/(Sorgo!$E78:INDEX(Sorgo!$E78:$Z78,MIN(AI$6-$G$3,22))&lt;&gt;""),Sorgo!$E78:INDEX(Sorgo!$E78:$Z78,MIN(AI$6-$G$3,22))),0)))))</f>
        <v>0</v>
      </c>
      <c r="AJ80" s="27" t="n">
        <f aca="false">IF(COUNT(Sorgo!$E78:$Z78)=0,0,MAX(0,IF((AJ$6-$E$3)&lt;1,0,IFERROR(LOOKUP(2,1/(Sorgo!$E78:INDEX(Sorgo!$E78:$Z78,MIN(AJ$6-$E$3,22))&lt;&gt;""),Sorgo!$E78:INDEX(Sorgo!$E78:$Z78,MIN(AJ$6-$E$3,22))),0))-IF($G$2,0,IF((AJ$6-$G$3)&lt;1,0,IFERROR(LOOKUP(2,1/(Sorgo!$E78:INDEX(Sorgo!$E78:$Z78,MIN(AJ$6-$G$3,22))&lt;&gt;""),Sorgo!$E78:INDEX(Sorgo!$E78:$Z78,MIN(AJ$6-$G$3,22))),0)))))</f>
        <v>0</v>
      </c>
      <c r="AK80" s="27" t="n">
        <f aca="false">IF(COUNT(Sorgo!$E78:$Z78)=0,0,MAX(0,IF((AK$6-$E$3)&lt;1,0,IFERROR(LOOKUP(2,1/(Sorgo!$E78:INDEX(Sorgo!$E78:$Z78,MIN(AK$6-$E$3,22))&lt;&gt;""),Sorgo!$E78:INDEX(Sorgo!$E78:$Z78,MIN(AK$6-$E$3,22))),0))-IF($G$2,0,IF((AK$6-$G$3)&lt;1,0,IFERROR(LOOKUP(2,1/(Sorgo!$E78:INDEX(Sorgo!$E78:$Z78,MIN(AK$6-$G$3,22))&lt;&gt;""),Sorgo!$E78:INDEX(Sorgo!$E78:$Z78,MIN(AK$6-$G$3,22))),0)))))</f>
        <v>0</v>
      </c>
      <c r="AL80" s="27" t="n">
        <f aca="false">IF(COUNT(Sorgo!$E78:$Z78)=0,0,MAX(0,IF((AL$6-$E$3)&lt;1,0,IFERROR(LOOKUP(2,1/(Sorgo!$E78:INDEX(Sorgo!$E78:$Z78,MIN(AL$6-$E$3,22))&lt;&gt;""),Sorgo!$E78:INDEX(Sorgo!$E78:$Z78,MIN(AL$6-$E$3,22))),0))-IF($G$2,0,IF((AL$6-$G$3)&lt;1,0,IFERROR(LOOKUP(2,1/(Sorgo!$E78:INDEX(Sorgo!$E78:$Z78,MIN(AL$6-$G$3,22))&lt;&gt;""),Sorgo!$E78:INDEX(Sorgo!$E78:$Z78,MIN(AL$6-$G$3,22))),0)))))</f>
        <v>0</v>
      </c>
      <c r="AM80" s="27" t="n">
        <f aca="false">IF(COUNT(Sorgo!$E78:$Z78)=0,0,MAX(0,IF((AM$6-$E$3)&lt;1,0,IFERROR(LOOKUP(2,1/(Sorgo!$E78:INDEX(Sorgo!$E78:$Z78,MIN(AM$6-$E$3,22))&lt;&gt;""),Sorgo!$E78:INDEX(Sorgo!$E78:$Z78,MIN(AM$6-$E$3,22))),0))-IF($G$2,0,IF((AM$6-$G$3)&lt;1,0,IFERROR(LOOKUP(2,1/(Sorgo!$E78:INDEX(Sorgo!$E78:$Z78,MIN(AM$6-$G$3,22))&lt;&gt;""),Sorgo!$E78:INDEX(Sorgo!$E78:$Z78,MIN(AM$6-$G$3,22))),0)))))</f>
        <v>0</v>
      </c>
      <c r="AN80" s="27" t="n">
        <f aca="false">IF(COUNT(Sorgo!$E78:$Z78)=0,0,MAX(0,IF((AN$6-$E$3)&lt;1,0,IFERROR(LOOKUP(2,1/(Sorgo!$E78:INDEX(Sorgo!$E78:$Z78,MIN(AN$6-$E$3,22))&lt;&gt;""),Sorgo!$E78:INDEX(Sorgo!$E78:$Z78,MIN(AN$6-$E$3,22))),0))-IF($G$2,0,IF((AN$6-$G$3)&lt;1,0,IFERROR(LOOKUP(2,1/(Sorgo!$E78:INDEX(Sorgo!$E78:$Z78,MIN(AN$6-$G$3,22))&lt;&gt;""),Sorgo!$E78:INDEX(Sorgo!$E78:$Z78,MIN(AN$6-$G$3,22))),0)))))</f>
        <v>0</v>
      </c>
      <c r="AO80" s="27" t="n">
        <f aca="false">IF(COUNT(Sorgo!$E78:$Z78)=0,0,MAX(0,IF((AO$6-$E$3)&lt;1,0,IFERROR(LOOKUP(2,1/(Sorgo!$E78:INDEX(Sorgo!$E78:$Z78,MIN(AO$6-$E$3,22))&lt;&gt;""),Sorgo!$E78:INDEX(Sorgo!$E78:$Z78,MIN(AO$6-$E$3,22))),0))-IF($G$2,0,IF((AO$6-$G$3)&lt;1,0,IFERROR(LOOKUP(2,1/(Sorgo!$E78:INDEX(Sorgo!$E78:$Z78,MIN(AO$6-$G$3,22))&lt;&gt;""),Sorgo!$E78:INDEX(Sorgo!$E78:$Z78,MIN(AO$6-$G$3,22))),0)))))</f>
        <v>0</v>
      </c>
      <c r="AP80" s="27" t="n">
        <f aca="false">IF(COUNT(Sorgo!$E78:$Z78)=0,0,MAX(0,IF((AP$6-$E$3)&lt;1,0,IFERROR(LOOKUP(2,1/(Sorgo!$E78:INDEX(Sorgo!$E78:$Z78,MIN(AP$6-$E$3,22))&lt;&gt;""),Sorgo!$E78:INDEX(Sorgo!$E78:$Z78,MIN(AP$6-$E$3,22))),0))-IF($G$2,0,IF((AP$6-$G$3)&lt;1,0,IFERROR(LOOKUP(2,1/(Sorgo!$E78:INDEX(Sorgo!$E78:$Z78,MIN(AP$6-$G$3,22))&lt;&gt;""),Sorgo!$E78:INDEX(Sorgo!$E78:$Z78,MIN(AP$6-$G$3,22))),0)))))</f>
        <v>0</v>
      </c>
      <c r="AQ80" s="27" t="n">
        <f aca="false">IF(COUNT(Sorgo!$E78:$Z78)=0,0,MAX(0,IF((AQ$6-$E$3)&lt;1,0,IFERROR(LOOKUP(2,1/(Sorgo!$E78:INDEX(Sorgo!$E78:$Z78,MIN(AQ$6-$E$3,22))&lt;&gt;""),Sorgo!$E78:INDEX(Sorgo!$E78:$Z78,MIN(AQ$6-$E$3,22))),0))-IF($G$2,0,IF((AQ$6-$G$3)&lt;1,0,IFERROR(LOOKUP(2,1/(Sorgo!$E78:INDEX(Sorgo!$E78:$Z78,MIN(AQ$6-$G$3,22))&lt;&gt;""),Sorgo!$E78:INDEX(Sorgo!$E78:$Z78,MIN(AQ$6-$G$3,22))),0)))))</f>
        <v>0</v>
      </c>
      <c r="AR80" s="27" t="n">
        <f aca="false">IF(COUNT(Sorgo!$E78:$Z78)=0,0,MAX(0,IF((AR$6-$E$3)&lt;1,0,IFERROR(LOOKUP(2,1/(Sorgo!$E78:INDEX(Sorgo!$E78:$Z78,MIN(AR$6-$E$3,22))&lt;&gt;""),Sorgo!$E78:INDEX(Sorgo!$E78:$Z78,MIN(AR$6-$E$3,22))),0))-IF($G$2,0,IF((AR$6-$G$3)&lt;1,0,IFERROR(LOOKUP(2,1/(Sorgo!$E78:INDEX(Sorgo!$E78:$Z78,MIN(AR$6-$G$3,22))&lt;&gt;""),Sorgo!$E78:INDEX(Sorgo!$E78:$Z78,MIN(AR$6-$G$3,22))),0)))))</f>
        <v>0</v>
      </c>
      <c r="AS80" s="27" t="n">
        <f aca="false">IF(COUNT(Sorgo!$E78:$Z78)=0,0,MAX(0,IF((AS$6-$E$3)&lt;1,0,IFERROR(LOOKUP(2,1/(Sorgo!$E78:INDEX(Sorgo!$E78:$Z78,MIN(AS$6-$E$3,22))&lt;&gt;""),Sorgo!$E78:INDEX(Sorgo!$E78:$Z78,MIN(AS$6-$E$3,22))),0))-IF($G$2,0,IF((AS$6-$G$3)&lt;1,0,IFERROR(LOOKUP(2,1/(Sorgo!$E78:INDEX(Sorgo!$E78:$Z78,MIN(AS$6-$G$3,22))&lt;&gt;""),Sorgo!$E78:INDEX(Sorgo!$E78:$Z78,MIN(AS$6-$G$3,22))),0)))))</f>
        <v>0</v>
      </c>
      <c r="AT80" s="27" t="n">
        <f aca="false">IF(COUNT(Sorgo!$E78:$Z78)=0,0,MAX(0,IF((AT$6-$E$3)&lt;1,0,IFERROR(LOOKUP(2,1/(Sorgo!$E78:INDEX(Sorgo!$E78:$Z78,MIN(AT$6-$E$3,22))&lt;&gt;""),Sorgo!$E78:INDEX(Sorgo!$E78:$Z78,MIN(AT$6-$E$3,22))),0))-IF($G$2,0,IF((AT$6-$G$3)&lt;1,0,IFERROR(LOOKUP(2,1/(Sorgo!$E78:INDEX(Sorgo!$E78:$Z78,MIN(AT$6-$G$3,22))&lt;&gt;""),Sorgo!$E78:INDEX(Sorgo!$E78:$Z78,MIN(AT$6-$G$3,22))),0)))))</f>
        <v>0</v>
      </c>
      <c r="AU80" s="27" t="n">
        <f aca="false">IF(COUNT(Sorgo!$E78:$Z78)=0,0,MAX(0,IF((AU$6-$E$3)&lt;1,0,IFERROR(LOOKUP(2,1/(Sorgo!$E78:INDEX(Sorgo!$E78:$Z78,MIN(AU$6-$E$3,22))&lt;&gt;""),Sorgo!$E78:INDEX(Sorgo!$E78:$Z78,MIN(AU$6-$E$3,22))),0))-IF($G$2,0,IF((AU$6-$G$3)&lt;1,0,IFERROR(LOOKUP(2,1/(Sorgo!$E78:INDEX(Sorgo!$E78:$Z78,MIN(AU$6-$G$3,22))&lt;&gt;""),Sorgo!$E78:INDEX(Sorgo!$E78:$Z78,MIN(AU$6-$G$3,22))),0)))))</f>
        <v>0</v>
      </c>
      <c r="AV80" s="27" t="n">
        <f aca="false">IF(COUNT(Sorgo!$E78:$Z78)=0,0,MAX(0,IF((AV$6-$E$3)&lt;1,0,IFERROR(LOOKUP(2,1/(Sorgo!$E78:INDEX(Sorgo!$E78:$Z78,MIN(AV$6-$E$3,22))&lt;&gt;""),Sorgo!$E78:INDEX(Sorgo!$E78:$Z78,MIN(AV$6-$E$3,22))),0))-IF($G$2,0,IF((AV$6-$G$3)&lt;1,0,IFERROR(LOOKUP(2,1/(Sorgo!$E78:INDEX(Sorgo!$E78:$Z78,MIN(AV$6-$G$3,22))&lt;&gt;""),Sorgo!$E78:INDEX(Sorgo!$E78:$Z78,MIN(AV$6-$G$3,22))),0)))))</f>
        <v>0</v>
      </c>
      <c r="AW80" s="27" t="n">
        <f aca="false">IF(COUNT(Sorgo!$E78:$Z78)=0,0,MAX(0,IF((AW$6-$E$3)&lt;1,0,IFERROR(LOOKUP(2,1/(Sorgo!$E78:INDEX(Sorgo!$E78:$Z78,MIN(AW$6-$E$3,22))&lt;&gt;""),Sorgo!$E78:INDEX(Sorgo!$E78:$Z78,MIN(AW$6-$E$3,22))),0))-IF($G$2,0,IF((AW$6-$G$3)&lt;1,0,IFERROR(LOOKUP(2,1/(Sorgo!$E78:INDEX(Sorgo!$E78:$Z78,MIN(AW$6-$G$3,22))&lt;&gt;""),Sorgo!$E78:INDEX(Sorgo!$E78:$Z78,MIN(AW$6-$G$3,22))),0)))))</f>
        <v>0</v>
      </c>
      <c r="AX80" s="27" t="n">
        <f aca="false">IF(COUNT(Sorgo!$E78:$Z78)=0,0,MAX(0,IF((AX$6-$E$3)&lt;1,0,IFERROR(LOOKUP(2,1/(Sorgo!$E78:INDEX(Sorgo!$E78:$Z78,MIN(AX$6-$E$3,22))&lt;&gt;""),Sorgo!$E78:INDEX(Sorgo!$E78:$Z78,MIN(AX$6-$E$3,22))),0))-IF($G$2,0,IF((AX$6-$G$3)&lt;1,0,IFERROR(LOOKUP(2,1/(Sorgo!$E78:INDEX(Sorgo!$E78:$Z78,MIN(AX$6-$G$3,22))&lt;&gt;""),Sorgo!$E78:INDEX(Sorgo!$E78:$Z78,MIN(AX$6-$G$3,22))),0)))))</f>
        <v>0</v>
      </c>
      <c r="AY80" s="27" t="n">
        <f aca="false">IF(COUNT(Sorgo!$E78:$Z78)=0,0,MAX(0,IF((AY$6-$E$3)&lt;1,0,IFERROR(LOOKUP(2,1/(Sorgo!$E78:INDEX(Sorgo!$E78:$Z78,MIN(AY$6-$E$3,22))&lt;&gt;""),Sorgo!$E78:INDEX(Sorgo!$E78:$Z78,MIN(AY$6-$E$3,22))),0))-IF($G$2,0,IF((AY$6-$G$3)&lt;1,0,IFERROR(LOOKUP(2,1/(Sorgo!$E78:INDEX(Sorgo!$E78:$Z78,MIN(AY$6-$G$3,22))&lt;&gt;""),Sorgo!$E78:INDEX(Sorgo!$E78:$Z78,MIN(AY$6-$G$3,22))),0)))))</f>
        <v>0</v>
      </c>
      <c r="AZ80" s="27" t="n">
        <f aca="false">IF(COUNT(Sorgo!$E78:$Z78)=0,0,MAX(0,IF((AZ$6-$E$3)&lt;1,0,IFERROR(LOOKUP(2,1/(Sorgo!$E78:INDEX(Sorgo!$E78:$Z78,MIN(AZ$6-$E$3,22))&lt;&gt;""),Sorgo!$E78:INDEX(Sorgo!$E78:$Z78,MIN(AZ$6-$E$3,22))),0))-IF($G$2,0,IF((AZ$6-$G$3)&lt;1,0,IFERROR(LOOKUP(2,1/(Sorgo!$E78:INDEX(Sorgo!$E78:$Z78,MIN(AZ$6-$G$3,22))&lt;&gt;""),Sorgo!$E78:INDEX(Sorgo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IF(COUNT(Sorgo!$E79:$Z79)&gt;0,N(Sorgo!$D79),0)</f>
        <v>0</v>
      </c>
      <c r="E81" s="27" t="n">
        <f aca="false">IF(COUNT(Sorgo!$E79:$Z79)=0,0,MAX(0,IF((E$6-$E$3)&lt;1,0,IFERROR(LOOKUP(2,1/(Sorgo!$E79:INDEX(Sorgo!$E79:$Z79,MIN(E$6-$E$3,22))&lt;&gt;""),Sorgo!$E79:INDEX(Sorgo!$E79:$Z79,MIN(E$6-$E$3,22))),0))-IF($G$2,0,IF((E$6-$G$3)&lt;1,0,IFERROR(LOOKUP(2,1/(Sorgo!$E79:INDEX(Sorgo!$E79:$Z79,MIN(E$6-$G$3,22))&lt;&gt;""),Sorgo!$E79:INDEX(Sorgo!$E79:$Z79,MIN(E$6-$G$3,22))),0)))))</f>
        <v>0</v>
      </c>
      <c r="F81" s="27" t="n">
        <f aca="false">IF(COUNT(Sorgo!$E79:$Z79)=0,0,MAX(0,IF((F$6-$E$3)&lt;1,0,IFERROR(LOOKUP(2,1/(Sorgo!$E79:INDEX(Sorgo!$E79:$Z79,MIN(F$6-$E$3,22))&lt;&gt;""),Sorgo!$E79:INDEX(Sorgo!$E79:$Z79,MIN(F$6-$E$3,22))),0))-IF($G$2,0,IF((F$6-$G$3)&lt;1,0,IFERROR(LOOKUP(2,1/(Sorgo!$E79:INDEX(Sorgo!$E79:$Z79,MIN(F$6-$G$3,22))&lt;&gt;""),Sorgo!$E79:INDEX(Sorgo!$E79:$Z79,MIN(F$6-$G$3,22))),0)))))</f>
        <v>0</v>
      </c>
      <c r="G81" s="27" t="n">
        <f aca="false">IF(COUNT(Sorgo!$E79:$Z79)=0,0,MAX(0,IF((G$6-$E$3)&lt;1,0,IFERROR(LOOKUP(2,1/(Sorgo!$E79:INDEX(Sorgo!$E79:$Z79,MIN(G$6-$E$3,22))&lt;&gt;""),Sorgo!$E79:INDEX(Sorgo!$E79:$Z79,MIN(G$6-$E$3,22))),0))-IF($G$2,0,IF((G$6-$G$3)&lt;1,0,IFERROR(LOOKUP(2,1/(Sorgo!$E79:INDEX(Sorgo!$E79:$Z79,MIN(G$6-$G$3,22))&lt;&gt;""),Sorgo!$E79:INDEX(Sorgo!$E79:$Z79,MIN(G$6-$G$3,22))),0)))))</f>
        <v>0</v>
      </c>
      <c r="H81" s="27" t="n">
        <f aca="false">IF(COUNT(Sorgo!$E79:$Z79)=0,0,MAX(0,IF((H$6-$E$3)&lt;1,0,IFERROR(LOOKUP(2,1/(Sorgo!$E79:INDEX(Sorgo!$E79:$Z79,MIN(H$6-$E$3,22))&lt;&gt;""),Sorgo!$E79:INDEX(Sorgo!$E79:$Z79,MIN(H$6-$E$3,22))),0))-IF($G$2,0,IF((H$6-$G$3)&lt;1,0,IFERROR(LOOKUP(2,1/(Sorgo!$E79:INDEX(Sorgo!$E79:$Z79,MIN(H$6-$G$3,22))&lt;&gt;""),Sorgo!$E79:INDEX(Sorgo!$E79:$Z79,MIN(H$6-$G$3,22))),0)))))</f>
        <v>0</v>
      </c>
      <c r="I81" s="27" t="n">
        <f aca="false">IF(COUNT(Sorgo!$E79:$Z79)=0,0,MAX(0,IF((I$6-$E$3)&lt;1,0,IFERROR(LOOKUP(2,1/(Sorgo!$E79:INDEX(Sorgo!$E79:$Z79,MIN(I$6-$E$3,22))&lt;&gt;""),Sorgo!$E79:INDEX(Sorgo!$E79:$Z79,MIN(I$6-$E$3,22))),0))-IF($G$2,0,IF((I$6-$G$3)&lt;1,0,IFERROR(LOOKUP(2,1/(Sorgo!$E79:INDEX(Sorgo!$E79:$Z79,MIN(I$6-$G$3,22))&lt;&gt;""),Sorgo!$E79:INDEX(Sorgo!$E79:$Z79,MIN(I$6-$G$3,22))),0)))))</f>
        <v>0</v>
      </c>
      <c r="J81" s="27" t="n">
        <f aca="false">IF(COUNT(Sorgo!$E79:$Z79)=0,0,MAX(0,IF((J$6-$E$3)&lt;1,0,IFERROR(LOOKUP(2,1/(Sorgo!$E79:INDEX(Sorgo!$E79:$Z79,MIN(J$6-$E$3,22))&lt;&gt;""),Sorgo!$E79:INDEX(Sorgo!$E79:$Z79,MIN(J$6-$E$3,22))),0))-IF($G$2,0,IF((J$6-$G$3)&lt;1,0,IFERROR(LOOKUP(2,1/(Sorgo!$E79:INDEX(Sorgo!$E79:$Z79,MIN(J$6-$G$3,22))&lt;&gt;""),Sorgo!$E79:INDEX(Sorgo!$E79:$Z79,MIN(J$6-$G$3,22))),0)))))</f>
        <v>0</v>
      </c>
      <c r="K81" s="27" t="n">
        <f aca="false">IF(COUNT(Sorgo!$E79:$Z79)=0,0,MAX(0,IF((K$6-$E$3)&lt;1,0,IFERROR(LOOKUP(2,1/(Sorgo!$E79:INDEX(Sorgo!$E79:$Z79,MIN(K$6-$E$3,22))&lt;&gt;""),Sorgo!$E79:INDEX(Sorgo!$E79:$Z79,MIN(K$6-$E$3,22))),0))-IF($G$2,0,IF((K$6-$G$3)&lt;1,0,IFERROR(LOOKUP(2,1/(Sorgo!$E79:INDEX(Sorgo!$E79:$Z79,MIN(K$6-$G$3,22))&lt;&gt;""),Sorgo!$E79:INDEX(Sorgo!$E79:$Z79,MIN(K$6-$G$3,22))),0)))))</f>
        <v>0</v>
      </c>
      <c r="L81" s="27" t="n">
        <f aca="false">IF(COUNT(Sorgo!$E79:$Z79)=0,0,MAX(0,IF((L$6-$E$3)&lt;1,0,IFERROR(LOOKUP(2,1/(Sorgo!$E79:INDEX(Sorgo!$E79:$Z79,MIN(L$6-$E$3,22))&lt;&gt;""),Sorgo!$E79:INDEX(Sorgo!$E79:$Z79,MIN(L$6-$E$3,22))),0))-IF($G$2,0,IF((L$6-$G$3)&lt;1,0,IFERROR(LOOKUP(2,1/(Sorgo!$E79:INDEX(Sorgo!$E79:$Z79,MIN(L$6-$G$3,22))&lt;&gt;""),Sorgo!$E79:INDEX(Sorgo!$E79:$Z79,MIN(L$6-$G$3,22))),0)))))</f>
        <v>0</v>
      </c>
      <c r="M81" s="27" t="n">
        <f aca="false">IF(COUNT(Sorgo!$E79:$Z79)=0,0,MAX(0,IF((M$6-$E$3)&lt;1,0,IFERROR(LOOKUP(2,1/(Sorgo!$E79:INDEX(Sorgo!$E79:$Z79,MIN(M$6-$E$3,22))&lt;&gt;""),Sorgo!$E79:INDEX(Sorgo!$E79:$Z79,MIN(M$6-$E$3,22))),0))-IF($G$2,0,IF((M$6-$G$3)&lt;1,0,IFERROR(LOOKUP(2,1/(Sorgo!$E79:INDEX(Sorgo!$E79:$Z79,MIN(M$6-$G$3,22))&lt;&gt;""),Sorgo!$E79:INDEX(Sorgo!$E79:$Z79,MIN(M$6-$G$3,22))),0)))))</f>
        <v>0</v>
      </c>
      <c r="N81" s="27" t="n">
        <f aca="false">IF(COUNT(Sorgo!$E79:$Z79)=0,0,MAX(0,IF((N$6-$E$3)&lt;1,0,IFERROR(LOOKUP(2,1/(Sorgo!$E79:INDEX(Sorgo!$E79:$Z79,MIN(N$6-$E$3,22))&lt;&gt;""),Sorgo!$E79:INDEX(Sorgo!$E79:$Z79,MIN(N$6-$E$3,22))),0))-IF($G$2,0,IF((N$6-$G$3)&lt;1,0,IFERROR(LOOKUP(2,1/(Sorgo!$E79:INDEX(Sorgo!$E79:$Z79,MIN(N$6-$G$3,22))&lt;&gt;""),Sorgo!$E79:INDEX(Sorgo!$E79:$Z79,MIN(N$6-$G$3,22))),0)))))</f>
        <v>0</v>
      </c>
      <c r="O81" s="27" t="n">
        <f aca="false">IF(COUNT(Sorgo!$E79:$Z79)=0,0,MAX(0,IF((O$6-$E$3)&lt;1,0,IFERROR(LOOKUP(2,1/(Sorgo!$E79:INDEX(Sorgo!$E79:$Z79,MIN(O$6-$E$3,22))&lt;&gt;""),Sorgo!$E79:INDEX(Sorgo!$E79:$Z79,MIN(O$6-$E$3,22))),0))-IF($G$2,0,IF((O$6-$G$3)&lt;1,0,IFERROR(LOOKUP(2,1/(Sorgo!$E79:INDEX(Sorgo!$E79:$Z79,MIN(O$6-$G$3,22))&lt;&gt;""),Sorgo!$E79:INDEX(Sorgo!$E79:$Z79,MIN(O$6-$G$3,22))),0)))))</f>
        <v>0</v>
      </c>
      <c r="P81" s="27" t="n">
        <f aca="false">IF(COUNT(Sorgo!$E79:$Z79)=0,0,MAX(0,IF((P$6-$E$3)&lt;1,0,IFERROR(LOOKUP(2,1/(Sorgo!$E79:INDEX(Sorgo!$E79:$Z79,MIN(P$6-$E$3,22))&lt;&gt;""),Sorgo!$E79:INDEX(Sorgo!$E79:$Z79,MIN(P$6-$E$3,22))),0))-IF($G$2,0,IF((P$6-$G$3)&lt;1,0,IFERROR(LOOKUP(2,1/(Sorgo!$E79:INDEX(Sorgo!$E79:$Z79,MIN(P$6-$G$3,22))&lt;&gt;""),Sorgo!$E79:INDEX(Sorgo!$E79:$Z79,MIN(P$6-$G$3,22))),0)))))</f>
        <v>0</v>
      </c>
      <c r="Q81" s="27" t="n">
        <f aca="false">IF(COUNT(Sorgo!$E79:$Z79)=0,0,MAX(0,IF((Q$6-$E$3)&lt;1,0,IFERROR(LOOKUP(2,1/(Sorgo!$E79:INDEX(Sorgo!$E79:$Z79,MIN(Q$6-$E$3,22))&lt;&gt;""),Sorgo!$E79:INDEX(Sorgo!$E79:$Z79,MIN(Q$6-$E$3,22))),0))-IF($G$2,0,IF((Q$6-$G$3)&lt;1,0,IFERROR(LOOKUP(2,1/(Sorgo!$E79:INDEX(Sorgo!$E79:$Z79,MIN(Q$6-$G$3,22))&lt;&gt;""),Sorgo!$E79:INDEX(Sorgo!$E79:$Z79,MIN(Q$6-$G$3,22))),0)))))</f>
        <v>0</v>
      </c>
      <c r="R81" s="27" t="n">
        <f aca="false">IF(COUNT(Sorgo!$E79:$Z79)=0,0,MAX(0,IF((R$6-$E$3)&lt;1,0,IFERROR(LOOKUP(2,1/(Sorgo!$E79:INDEX(Sorgo!$E79:$Z79,MIN(R$6-$E$3,22))&lt;&gt;""),Sorgo!$E79:INDEX(Sorgo!$E79:$Z79,MIN(R$6-$E$3,22))),0))-IF($G$2,0,IF((R$6-$G$3)&lt;1,0,IFERROR(LOOKUP(2,1/(Sorgo!$E79:INDEX(Sorgo!$E79:$Z79,MIN(R$6-$G$3,22))&lt;&gt;""),Sorgo!$E79:INDEX(Sorgo!$E79:$Z79,MIN(R$6-$G$3,22))),0)))))</f>
        <v>0</v>
      </c>
      <c r="S81" s="27" t="n">
        <f aca="false">IF(COUNT(Sorgo!$E79:$Z79)=0,0,MAX(0,IF((S$6-$E$3)&lt;1,0,IFERROR(LOOKUP(2,1/(Sorgo!$E79:INDEX(Sorgo!$E79:$Z79,MIN(S$6-$E$3,22))&lt;&gt;""),Sorgo!$E79:INDEX(Sorgo!$E79:$Z79,MIN(S$6-$E$3,22))),0))-IF($G$2,0,IF((S$6-$G$3)&lt;1,0,IFERROR(LOOKUP(2,1/(Sorgo!$E79:INDEX(Sorgo!$E79:$Z79,MIN(S$6-$G$3,22))&lt;&gt;""),Sorgo!$E79:INDEX(Sorgo!$E79:$Z79,MIN(S$6-$G$3,22))),0)))))</f>
        <v>0</v>
      </c>
      <c r="T81" s="27" t="n">
        <f aca="false">IF(COUNT(Sorgo!$E79:$Z79)=0,0,MAX(0,IF((T$6-$E$3)&lt;1,0,IFERROR(LOOKUP(2,1/(Sorgo!$E79:INDEX(Sorgo!$E79:$Z79,MIN(T$6-$E$3,22))&lt;&gt;""),Sorgo!$E79:INDEX(Sorgo!$E79:$Z79,MIN(T$6-$E$3,22))),0))-IF($G$2,0,IF((T$6-$G$3)&lt;1,0,IFERROR(LOOKUP(2,1/(Sorgo!$E79:INDEX(Sorgo!$E79:$Z79,MIN(T$6-$G$3,22))&lt;&gt;""),Sorgo!$E79:INDEX(Sorgo!$E79:$Z79,MIN(T$6-$G$3,22))),0)))))</f>
        <v>0</v>
      </c>
      <c r="U81" s="27" t="n">
        <f aca="false">IF(COUNT(Sorgo!$E79:$Z79)=0,0,MAX(0,IF((U$6-$E$3)&lt;1,0,IFERROR(LOOKUP(2,1/(Sorgo!$E79:INDEX(Sorgo!$E79:$Z79,MIN(U$6-$E$3,22))&lt;&gt;""),Sorgo!$E79:INDEX(Sorgo!$E79:$Z79,MIN(U$6-$E$3,22))),0))-IF($G$2,0,IF((U$6-$G$3)&lt;1,0,IFERROR(LOOKUP(2,1/(Sorgo!$E79:INDEX(Sorgo!$E79:$Z79,MIN(U$6-$G$3,22))&lt;&gt;""),Sorgo!$E79:INDEX(Sorgo!$E79:$Z79,MIN(U$6-$G$3,22))),0)))))</f>
        <v>0</v>
      </c>
      <c r="V81" s="27" t="n">
        <f aca="false">IF(COUNT(Sorgo!$E79:$Z79)=0,0,MAX(0,IF((V$6-$E$3)&lt;1,0,IFERROR(LOOKUP(2,1/(Sorgo!$E79:INDEX(Sorgo!$E79:$Z79,MIN(V$6-$E$3,22))&lt;&gt;""),Sorgo!$E79:INDEX(Sorgo!$E79:$Z79,MIN(V$6-$E$3,22))),0))-IF($G$2,0,IF((V$6-$G$3)&lt;1,0,IFERROR(LOOKUP(2,1/(Sorgo!$E79:INDEX(Sorgo!$E79:$Z79,MIN(V$6-$G$3,22))&lt;&gt;""),Sorgo!$E79:INDEX(Sorgo!$E79:$Z79,MIN(V$6-$G$3,22))),0)))))</f>
        <v>0</v>
      </c>
      <c r="W81" s="27" t="n">
        <f aca="false">IF(COUNT(Sorgo!$E79:$Z79)=0,0,MAX(0,IF((W$6-$E$3)&lt;1,0,IFERROR(LOOKUP(2,1/(Sorgo!$E79:INDEX(Sorgo!$E79:$Z79,MIN(W$6-$E$3,22))&lt;&gt;""),Sorgo!$E79:INDEX(Sorgo!$E79:$Z79,MIN(W$6-$E$3,22))),0))-IF($G$2,0,IF((W$6-$G$3)&lt;1,0,IFERROR(LOOKUP(2,1/(Sorgo!$E79:INDEX(Sorgo!$E79:$Z79,MIN(W$6-$G$3,22))&lt;&gt;""),Sorgo!$E79:INDEX(Sorgo!$E79:$Z79,MIN(W$6-$G$3,22))),0)))))</f>
        <v>0</v>
      </c>
      <c r="X81" s="27" t="n">
        <f aca="false">IF(COUNT(Sorgo!$E79:$Z79)=0,0,MAX(0,IF((X$6-$E$3)&lt;1,0,IFERROR(LOOKUP(2,1/(Sorgo!$E79:INDEX(Sorgo!$E79:$Z79,MIN(X$6-$E$3,22))&lt;&gt;""),Sorgo!$E79:INDEX(Sorgo!$E79:$Z79,MIN(X$6-$E$3,22))),0))-IF($G$2,0,IF((X$6-$G$3)&lt;1,0,IFERROR(LOOKUP(2,1/(Sorgo!$E79:INDEX(Sorgo!$E79:$Z79,MIN(X$6-$G$3,22))&lt;&gt;""),Sorgo!$E79:INDEX(Sorgo!$E79:$Z79,MIN(X$6-$G$3,22))),0)))))</f>
        <v>0</v>
      </c>
      <c r="Y81" s="27" t="n">
        <f aca="false">IF(COUNT(Sorgo!$E79:$Z79)=0,0,MAX(0,IF((Y$6-$E$3)&lt;1,0,IFERROR(LOOKUP(2,1/(Sorgo!$E79:INDEX(Sorgo!$E79:$Z79,MIN(Y$6-$E$3,22))&lt;&gt;""),Sorgo!$E79:INDEX(Sorgo!$E79:$Z79,MIN(Y$6-$E$3,22))),0))-IF($G$2,0,IF((Y$6-$G$3)&lt;1,0,IFERROR(LOOKUP(2,1/(Sorgo!$E79:INDEX(Sorgo!$E79:$Z79,MIN(Y$6-$G$3,22))&lt;&gt;""),Sorgo!$E79:INDEX(Sorgo!$E79:$Z79,MIN(Y$6-$G$3,22))),0)))))</f>
        <v>0</v>
      </c>
      <c r="Z81" s="27" t="n">
        <f aca="false">IF(COUNT(Sorgo!$E79:$Z79)=0,0,MAX(0,IF((Z$6-$E$3)&lt;1,0,IFERROR(LOOKUP(2,1/(Sorgo!$E79:INDEX(Sorgo!$E79:$Z79,MIN(Z$6-$E$3,22))&lt;&gt;""),Sorgo!$E79:INDEX(Sorgo!$E79:$Z79,MIN(Z$6-$E$3,22))),0))-IF($G$2,0,IF((Z$6-$G$3)&lt;1,0,IFERROR(LOOKUP(2,1/(Sorgo!$E79:INDEX(Sorgo!$E79:$Z79,MIN(Z$6-$G$3,22))&lt;&gt;""),Sorgo!$E79:INDEX(Sorgo!$E79:$Z79,MIN(Z$6-$G$3,22))),0)))))</f>
        <v>0</v>
      </c>
      <c r="AA81" s="27" t="n">
        <f aca="false">IF(COUNT(Sorgo!$E79:$Z79)=0,0,MAX(0,IF((AA$6-$E$3)&lt;1,0,IFERROR(LOOKUP(2,1/(Sorgo!$E79:INDEX(Sorgo!$E79:$Z79,MIN(AA$6-$E$3,22))&lt;&gt;""),Sorgo!$E79:INDEX(Sorgo!$E79:$Z79,MIN(AA$6-$E$3,22))),0))-IF($G$2,0,IF((AA$6-$G$3)&lt;1,0,IFERROR(LOOKUP(2,1/(Sorgo!$E79:INDEX(Sorgo!$E79:$Z79,MIN(AA$6-$G$3,22))&lt;&gt;""),Sorgo!$E79:INDEX(Sorgo!$E79:$Z79,MIN(AA$6-$G$3,22))),0)))))</f>
        <v>0</v>
      </c>
      <c r="AB81" s="27" t="n">
        <f aca="false">IF(COUNT(Sorgo!$E79:$Z79)=0,0,MAX(0,IF((AB$6-$E$3)&lt;1,0,IFERROR(LOOKUP(2,1/(Sorgo!$E79:INDEX(Sorgo!$E79:$Z79,MIN(AB$6-$E$3,22))&lt;&gt;""),Sorgo!$E79:INDEX(Sorgo!$E79:$Z79,MIN(AB$6-$E$3,22))),0))-IF($G$2,0,IF((AB$6-$G$3)&lt;1,0,IFERROR(LOOKUP(2,1/(Sorgo!$E79:INDEX(Sorgo!$E79:$Z79,MIN(AB$6-$G$3,22))&lt;&gt;""),Sorgo!$E79:INDEX(Sorgo!$E79:$Z79,MIN(AB$6-$G$3,22))),0)))))</f>
        <v>0</v>
      </c>
      <c r="AC81" s="27" t="n">
        <f aca="false">IF(COUNT(Sorgo!$E79:$Z79)=0,0,MAX(0,IF((AC$6-$E$3)&lt;1,0,IFERROR(LOOKUP(2,1/(Sorgo!$E79:INDEX(Sorgo!$E79:$Z79,MIN(AC$6-$E$3,22))&lt;&gt;""),Sorgo!$E79:INDEX(Sorgo!$E79:$Z79,MIN(AC$6-$E$3,22))),0))-IF($G$2,0,IF((AC$6-$G$3)&lt;1,0,IFERROR(LOOKUP(2,1/(Sorgo!$E79:INDEX(Sorgo!$E79:$Z79,MIN(AC$6-$G$3,22))&lt;&gt;""),Sorgo!$E79:INDEX(Sorgo!$E79:$Z79,MIN(AC$6-$G$3,22))),0)))))</f>
        <v>0</v>
      </c>
      <c r="AD81" s="27" t="n">
        <f aca="false">IF(COUNT(Sorgo!$E79:$Z79)=0,0,MAX(0,IF((AD$6-$E$3)&lt;1,0,IFERROR(LOOKUP(2,1/(Sorgo!$E79:INDEX(Sorgo!$E79:$Z79,MIN(AD$6-$E$3,22))&lt;&gt;""),Sorgo!$E79:INDEX(Sorgo!$E79:$Z79,MIN(AD$6-$E$3,22))),0))-IF($G$2,0,IF((AD$6-$G$3)&lt;1,0,IFERROR(LOOKUP(2,1/(Sorgo!$E79:INDEX(Sorgo!$E79:$Z79,MIN(AD$6-$G$3,22))&lt;&gt;""),Sorgo!$E79:INDEX(Sorgo!$E79:$Z79,MIN(AD$6-$G$3,22))),0)))))</f>
        <v>0</v>
      </c>
      <c r="AE81" s="27" t="n">
        <f aca="false">IF(COUNT(Sorgo!$E79:$Z79)=0,0,MAX(0,IF((AE$6-$E$3)&lt;1,0,IFERROR(LOOKUP(2,1/(Sorgo!$E79:INDEX(Sorgo!$E79:$Z79,MIN(AE$6-$E$3,22))&lt;&gt;""),Sorgo!$E79:INDEX(Sorgo!$E79:$Z79,MIN(AE$6-$E$3,22))),0))-IF($G$2,0,IF((AE$6-$G$3)&lt;1,0,IFERROR(LOOKUP(2,1/(Sorgo!$E79:INDEX(Sorgo!$E79:$Z79,MIN(AE$6-$G$3,22))&lt;&gt;""),Sorgo!$E79:INDEX(Sorgo!$E79:$Z79,MIN(AE$6-$G$3,22))),0)))))</f>
        <v>0</v>
      </c>
      <c r="AF81" s="27" t="n">
        <f aca="false">IF(COUNT(Sorgo!$E79:$Z79)=0,0,MAX(0,IF((AF$6-$E$3)&lt;1,0,IFERROR(LOOKUP(2,1/(Sorgo!$E79:INDEX(Sorgo!$E79:$Z79,MIN(AF$6-$E$3,22))&lt;&gt;""),Sorgo!$E79:INDEX(Sorgo!$E79:$Z79,MIN(AF$6-$E$3,22))),0))-IF($G$2,0,IF((AF$6-$G$3)&lt;1,0,IFERROR(LOOKUP(2,1/(Sorgo!$E79:INDEX(Sorgo!$E79:$Z79,MIN(AF$6-$G$3,22))&lt;&gt;""),Sorgo!$E79:INDEX(Sorgo!$E79:$Z79,MIN(AF$6-$G$3,22))),0)))))</f>
        <v>0</v>
      </c>
      <c r="AG81" s="27" t="n">
        <f aca="false">IF(COUNT(Sorgo!$E79:$Z79)=0,0,MAX(0,IF((AG$6-$E$3)&lt;1,0,IFERROR(LOOKUP(2,1/(Sorgo!$E79:INDEX(Sorgo!$E79:$Z79,MIN(AG$6-$E$3,22))&lt;&gt;""),Sorgo!$E79:INDEX(Sorgo!$E79:$Z79,MIN(AG$6-$E$3,22))),0))-IF($G$2,0,IF((AG$6-$G$3)&lt;1,0,IFERROR(LOOKUP(2,1/(Sorgo!$E79:INDEX(Sorgo!$E79:$Z79,MIN(AG$6-$G$3,22))&lt;&gt;""),Sorgo!$E79:INDEX(Sorgo!$E79:$Z79,MIN(AG$6-$G$3,22))),0)))))</f>
        <v>0</v>
      </c>
      <c r="AH81" s="27" t="n">
        <f aca="false">IF(COUNT(Sorgo!$E79:$Z79)=0,0,MAX(0,IF((AH$6-$E$3)&lt;1,0,IFERROR(LOOKUP(2,1/(Sorgo!$E79:INDEX(Sorgo!$E79:$Z79,MIN(AH$6-$E$3,22))&lt;&gt;""),Sorgo!$E79:INDEX(Sorgo!$E79:$Z79,MIN(AH$6-$E$3,22))),0))-IF($G$2,0,IF((AH$6-$G$3)&lt;1,0,IFERROR(LOOKUP(2,1/(Sorgo!$E79:INDEX(Sorgo!$E79:$Z79,MIN(AH$6-$G$3,22))&lt;&gt;""),Sorgo!$E79:INDEX(Sorgo!$E79:$Z79,MIN(AH$6-$G$3,22))),0)))))</f>
        <v>0</v>
      </c>
      <c r="AI81" s="27" t="n">
        <f aca="false">IF(COUNT(Sorgo!$E79:$Z79)=0,0,MAX(0,IF((AI$6-$E$3)&lt;1,0,IFERROR(LOOKUP(2,1/(Sorgo!$E79:INDEX(Sorgo!$E79:$Z79,MIN(AI$6-$E$3,22))&lt;&gt;""),Sorgo!$E79:INDEX(Sorgo!$E79:$Z79,MIN(AI$6-$E$3,22))),0))-IF($G$2,0,IF((AI$6-$G$3)&lt;1,0,IFERROR(LOOKUP(2,1/(Sorgo!$E79:INDEX(Sorgo!$E79:$Z79,MIN(AI$6-$G$3,22))&lt;&gt;""),Sorgo!$E79:INDEX(Sorgo!$E79:$Z79,MIN(AI$6-$G$3,22))),0)))))</f>
        <v>0</v>
      </c>
      <c r="AJ81" s="27" t="n">
        <f aca="false">IF(COUNT(Sorgo!$E79:$Z79)=0,0,MAX(0,IF((AJ$6-$E$3)&lt;1,0,IFERROR(LOOKUP(2,1/(Sorgo!$E79:INDEX(Sorgo!$E79:$Z79,MIN(AJ$6-$E$3,22))&lt;&gt;""),Sorgo!$E79:INDEX(Sorgo!$E79:$Z79,MIN(AJ$6-$E$3,22))),0))-IF($G$2,0,IF((AJ$6-$G$3)&lt;1,0,IFERROR(LOOKUP(2,1/(Sorgo!$E79:INDEX(Sorgo!$E79:$Z79,MIN(AJ$6-$G$3,22))&lt;&gt;""),Sorgo!$E79:INDEX(Sorgo!$E79:$Z79,MIN(AJ$6-$G$3,22))),0)))))</f>
        <v>0</v>
      </c>
      <c r="AK81" s="27" t="n">
        <f aca="false">IF(COUNT(Sorgo!$E79:$Z79)=0,0,MAX(0,IF((AK$6-$E$3)&lt;1,0,IFERROR(LOOKUP(2,1/(Sorgo!$E79:INDEX(Sorgo!$E79:$Z79,MIN(AK$6-$E$3,22))&lt;&gt;""),Sorgo!$E79:INDEX(Sorgo!$E79:$Z79,MIN(AK$6-$E$3,22))),0))-IF($G$2,0,IF((AK$6-$G$3)&lt;1,0,IFERROR(LOOKUP(2,1/(Sorgo!$E79:INDEX(Sorgo!$E79:$Z79,MIN(AK$6-$G$3,22))&lt;&gt;""),Sorgo!$E79:INDEX(Sorgo!$E79:$Z79,MIN(AK$6-$G$3,22))),0)))))</f>
        <v>0</v>
      </c>
      <c r="AL81" s="27" t="n">
        <f aca="false">IF(COUNT(Sorgo!$E79:$Z79)=0,0,MAX(0,IF((AL$6-$E$3)&lt;1,0,IFERROR(LOOKUP(2,1/(Sorgo!$E79:INDEX(Sorgo!$E79:$Z79,MIN(AL$6-$E$3,22))&lt;&gt;""),Sorgo!$E79:INDEX(Sorgo!$E79:$Z79,MIN(AL$6-$E$3,22))),0))-IF($G$2,0,IF((AL$6-$G$3)&lt;1,0,IFERROR(LOOKUP(2,1/(Sorgo!$E79:INDEX(Sorgo!$E79:$Z79,MIN(AL$6-$G$3,22))&lt;&gt;""),Sorgo!$E79:INDEX(Sorgo!$E79:$Z79,MIN(AL$6-$G$3,22))),0)))))</f>
        <v>0</v>
      </c>
      <c r="AM81" s="27" t="n">
        <f aca="false">IF(COUNT(Sorgo!$E79:$Z79)=0,0,MAX(0,IF((AM$6-$E$3)&lt;1,0,IFERROR(LOOKUP(2,1/(Sorgo!$E79:INDEX(Sorgo!$E79:$Z79,MIN(AM$6-$E$3,22))&lt;&gt;""),Sorgo!$E79:INDEX(Sorgo!$E79:$Z79,MIN(AM$6-$E$3,22))),0))-IF($G$2,0,IF((AM$6-$G$3)&lt;1,0,IFERROR(LOOKUP(2,1/(Sorgo!$E79:INDEX(Sorgo!$E79:$Z79,MIN(AM$6-$G$3,22))&lt;&gt;""),Sorgo!$E79:INDEX(Sorgo!$E79:$Z79,MIN(AM$6-$G$3,22))),0)))))</f>
        <v>0</v>
      </c>
      <c r="AN81" s="27" t="n">
        <f aca="false">IF(COUNT(Sorgo!$E79:$Z79)=0,0,MAX(0,IF((AN$6-$E$3)&lt;1,0,IFERROR(LOOKUP(2,1/(Sorgo!$E79:INDEX(Sorgo!$E79:$Z79,MIN(AN$6-$E$3,22))&lt;&gt;""),Sorgo!$E79:INDEX(Sorgo!$E79:$Z79,MIN(AN$6-$E$3,22))),0))-IF($G$2,0,IF((AN$6-$G$3)&lt;1,0,IFERROR(LOOKUP(2,1/(Sorgo!$E79:INDEX(Sorgo!$E79:$Z79,MIN(AN$6-$G$3,22))&lt;&gt;""),Sorgo!$E79:INDEX(Sorgo!$E79:$Z79,MIN(AN$6-$G$3,22))),0)))))</f>
        <v>0</v>
      </c>
      <c r="AO81" s="27" t="n">
        <f aca="false">IF(COUNT(Sorgo!$E79:$Z79)=0,0,MAX(0,IF((AO$6-$E$3)&lt;1,0,IFERROR(LOOKUP(2,1/(Sorgo!$E79:INDEX(Sorgo!$E79:$Z79,MIN(AO$6-$E$3,22))&lt;&gt;""),Sorgo!$E79:INDEX(Sorgo!$E79:$Z79,MIN(AO$6-$E$3,22))),0))-IF($G$2,0,IF((AO$6-$G$3)&lt;1,0,IFERROR(LOOKUP(2,1/(Sorgo!$E79:INDEX(Sorgo!$E79:$Z79,MIN(AO$6-$G$3,22))&lt;&gt;""),Sorgo!$E79:INDEX(Sorgo!$E79:$Z79,MIN(AO$6-$G$3,22))),0)))))</f>
        <v>0</v>
      </c>
      <c r="AP81" s="27" t="n">
        <f aca="false">IF(COUNT(Sorgo!$E79:$Z79)=0,0,MAX(0,IF((AP$6-$E$3)&lt;1,0,IFERROR(LOOKUP(2,1/(Sorgo!$E79:INDEX(Sorgo!$E79:$Z79,MIN(AP$6-$E$3,22))&lt;&gt;""),Sorgo!$E79:INDEX(Sorgo!$E79:$Z79,MIN(AP$6-$E$3,22))),0))-IF($G$2,0,IF((AP$6-$G$3)&lt;1,0,IFERROR(LOOKUP(2,1/(Sorgo!$E79:INDEX(Sorgo!$E79:$Z79,MIN(AP$6-$G$3,22))&lt;&gt;""),Sorgo!$E79:INDEX(Sorgo!$E79:$Z79,MIN(AP$6-$G$3,22))),0)))))</f>
        <v>0</v>
      </c>
      <c r="AQ81" s="27" t="n">
        <f aca="false">IF(COUNT(Sorgo!$E79:$Z79)=0,0,MAX(0,IF((AQ$6-$E$3)&lt;1,0,IFERROR(LOOKUP(2,1/(Sorgo!$E79:INDEX(Sorgo!$E79:$Z79,MIN(AQ$6-$E$3,22))&lt;&gt;""),Sorgo!$E79:INDEX(Sorgo!$E79:$Z79,MIN(AQ$6-$E$3,22))),0))-IF($G$2,0,IF((AQ$6-$G$3)&lt;1,0,IFERROR(LOOKUP(2,1/(Sorgo!$E79:INDEX(Sorgo!$E79:$Z79,MIN(AQ$6-$G$3,22))&lt;&gt;""),Sorgo!$E79:INDEX(Sorgo!$E79:$Z79,MIN(AQ$6-$G$3,22))),0)))))</f>
        <v>0</v>
      </c>
      <c r="AR81" s="27" t="n">
        <f aca="false">IF(COUNT(Sorgo!$E79:$Z79)=0,0,MAX(0,IF((AR$6-$E$3)&lt;1,0,IFERROR(LOOKUP(2,1/(Sorgo!$E79:INDEX(Sorgo!$E79:$Z79,MIN(AR$6-$E$3,22))&lt;&gt;""),Sorgo!$E79:INDEX(Sorgo!$E79:$Z79,MIN(AR$6-$E$3,22))),0))-IF($G$2,0,IF((AR$6-$G$3)&lt;1,0,IFERROR(LOOKUP(2,1/(Sorgo!$E79:INDEX(Sorgo!$E79:$Z79,MIN(AR$6-$G$3,22))&lt;&gt;""),Sorgo!$E79:INDEX(Sorgo!$E79:$Z79,MIN(AR$6-$G$3,22))),0)))))</f>
        <v>0</v>
      </c>
      <c r="AS81" s="27" t="n">
        <f aca="false">IF(COUNT(Sorgo!$E79:$Z79)=0,0,MAX(0,IF((AS$6-$E$3)&lt;1,0,IFERROR(LOOKUP(2,1/(Sorgo!$E79:INDEX(Sorgo!$E79:$Z79,MIN(AS$6-$E$3,22))&lt;&gt;""),Sorgo!$E79:INDEX(Sorgo!$E79:$Z79,MIN(AS$6-$E$3,22))),0))-IF($G$2,0,IF((AS$6-$G$3)&lt;1,0,IFERROR(LOOKUP(2,1/(Sorgo!$E79:INDEX(Sorgo!$E79:$Z79,MIN(AS$6-$G$3,22))&lt;&gt;""),Sorgo!$E79:INDEX(Sorgo!$E79:$Z79,MIN(AS$6-$G$3,22))),0)))))</f>
        <v>0</v>
      </c>
      <c r="AT81" s="27" t="n">
        <f aca="false">IF(COUNT(Sorgo!$E79:$Z79)=0,0,MAX(0,IF((AT$6-$E$3)&lt;1,0,IFERROR(LOOKUP(2,1/(Sorgo!$E79:INDEX(Sorgo!$E79:$Z79,MIN(AT$6-$E$3,22))&lt;&gt;""),Sorgo!$E79:INDEX(Sorgo!$E79:$Z79,MIN(AT$6-$E$3,22))),0))-IF($G$2,0,IF((AT$6-$G$3)&lt;1,0,IFERROR(LOOKUP(2,1/(Sorgo!$E79:INDEX(Sorgo!$E79:$Z79,MIN(AT$6-$G$3,22))&lt;&gt;""),Sorgo!$E79:INDEX(Sorgo!$E79:$Z79,MIN(AT$6-$G$3,22))),0)))))</f>
        <v>0</v>
      </c>
      <c r="AU81" s="27" t="n">
        <f aca="false">IF(COUNT(Sorgo!$E79:$Z79)=0,0,MAX(0,IF((AU$6-$E$3)&lt;1,0,IFERROR(LOOKUP(2,1/(Sorgo!$E79:INDEX(Sorgo!$E79:$Z79,MIN(AU$6-$E$3,22))&lt;&gt;""),Sorgo!$E79:INDEX(Sorgo!$E79:$Z79,MIN(AU$6-$E$3,22))),0))-IF($G$2,0,IF((AU$6-$G$3)&lt;1,0,IFERROR(LOOKUP(2,1/(Sorgo!$E79:INDEX(Sorgo!$E79:$Z79,MIN(AU$6-$G$3,22))&lt;&gt;""),Sorgo!$E79:INDEX(Sorgo!$E79:$Z79,MIN(AU$6-$G$3,22))),0)))))</f>
        <v>0</v>
      </c>
      <c r="AV81" s="27" t="n">
        <f aca="false">IF(COUNT(Sorgo!$E79:$Z79)=0,0,MAX(0,IF((AV$6-$E$3)&lt;1,0,IFERROR(LOOKUP(2,1/(Sorgo!$E79:INDEX(Sorgo!$E79:$Z79,MIN(AV$6-$E$3,22))&lt;&gt;""),Sorgo!$E79:INDEX(Sorgo!$E79:$Z79,MIN(AV$6-$E$3,22))),0))-IF($G$2,0,IF((AV$6-$G$3)&lt;1,0,IFERROR(LOOKUP(2,1/(Sorgo!$E79:INDEX(Sorgo!$E79:$Z79,MIN(AV$6-$G$3,22))&lt;&gt;""),Sorgo!$E79:INDEX(Sorgo!$E79:$Z79,MIN(AV$6-$G$3,22))),0)))))</f>
        <v>0</v>
      </c>
      <c r="AW81" s="27" t="n">
        <f aca="false">IF(COUNT(Sorgo!$E79:$Z79)=0,0,MAX(0,IF((AW$6-$E$3)&lt;1,0,IFERROR(LOOKUP(2,1/(Sorgo!$E79:INDEX(Sorgo!$E79:$Z79,MIN(AW$6-$E$3,22))&lt;&gt;""),Sorgo!$E79:INDEX(Sorgo!$E79:$Z79,MIN(AW$6-$E$3,22))),0))-IF($G$2,0,IF((AW$6-$G$3)&lt;1,0,IFERROR(LOOKUP(2,1/(Sorgo!$E79:INDEX(Sorgo!$E79:$Z79,MIN(AW$6-$G$3,22))&lt;&gt;""),Sorgo!$E79:INDEX(Sorgo!$E79:$Z79,MIN(AW$6-$G$3,22))),0)))))</f>
        <v>0</v>
      </c>
      <c r="AX81" s="27" t="n">
        <f aca="false">IF(COUNT(Sorgo!$E79:$Z79)=0,0,MAX(0,IF((AX$6-$E$3)&lt;1,0,IFERROR(LOOKUP(2,1/(Sorgo!$E79:INDEX(Sorgo!$E79:$Z79,MIN(AX$6-$E$3,22))&lt;&gt;""),Sorgo!$E79:INDEX(Sorgo!$E79:$Z79,MIN(AX$6-$E$3,22))),0))-IF($G$2,0,IF((AX$6-$G$3)&lt;1,0,IFERROR(LOOKUP(2,1/(Sorgo!$E79:INDEX(Sorgo!$E79:$Z79,MIN(AX$6-$G$3,22))&lt;&gt;""),Sorgo!$E79:INDEX(Sorgo!$E79:$Z79,MIN(AX$6-$G$3,22))),0)))))</f>
        <v>0</v>
      </c>
      <c r="AY81" s="27" t="n">
        <f aca="false">IF(COUNT(Sorgo!$E79:$Z79)=0,0,MAX(0,IF((AY$6-$E$3)&lt;1,0,IFERROR(LOOKUP(2,1/(Sorgo!$E79:INDEX(Sorgo!$E79:$Z79,MIN(AY$6-$E$3,22))&lt;&gt;""),Sorgo!$E79:INDEX(Sorgo!$E79:$Z79,MIN(AY$6-$E$3,22))),0))-IF($G$2,0,IF((AY$6-$G$3)&lt;1,0,IFERROR(LOOKUP(2,1/(Sorgo!$E79:INDEX(Sorgo!$E79:$Z79,MIN(AY$6-$G$3,22))&lt;&gt;""),Sorgo!$E79:INDEX(Sorgo!$E79:$Z79,MIN(AY$6-$G$3,22))),0)))))</f>
        <v>0</v>
      </c>
      <c r="AZ81" s="27" t="n">
        <f aca="false">IF(COUNT(Sorgo!$E79:$Z79)=0,0,MAX(0,IF((AZ$6-$E$3)&lt;1,0,IFERROR(LOOKUP(2,1/(Sorgo!$E79:INDEX(Sorgo!$E79:$Z79,MIN(AZ$6-$E$3,22))&lt;&gt;""),Sorgo!$E79:INDEX(Sorgo!$E79:$Z79,MIN(AZ$6-$E$3,22))),0))-IF($G$2,0,IF((AZ$6-$G$3)&lt;1,0,IFERROR(LOOKUP(2,1/(Sorgo!$E79:INDEX(Sorgo!$E79:$Z79,MIN(AZ$6-$G$3,22))&lt;&gt;""),Sorgo!$E79:INDEX(Sorgo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IF(COUNT(Sorgo!$E80:$Z80)&gt;0,N(Sorgo!$D80),0)</f>
        <v>0</v>
      </c>
      <c r="E82" s="27" t="n">
        <f aca="false">IF(COUNT(Sorgo!$E80:$Z80)=0,0,MAX(0,IF((E$6-$E$3)&lt;1,0,IFERROR(LOOKUP(2,1/(Sorgo!$E80:INDEX(Sorgo!$E80:$Z80,MIN(E$6-$E$3,22))&lt;&gt;""),Sorgo!$E80:INDEX(Sorgo!$E80:$Z80,MIN(E$6-$E$3,22))),0))-IF($G$2,0,IF((E$6-$G$3)&lt;1,0,IFERROR(LOOKUP(2,1/(Sorgo!$E80:INDEX(Sorgo!$E80:$Z80,MIN(E$6-$G$3,22))&lt;&gt;""),Sorgo!$E80:INDEX(Sorgo!$E80:$Z80,MIN(E$6-$G$3,22))),0)))))</f>
        <v>0</v>
      </c>
      <c r="F82" s="27" t="n">
        <f aca="false">IF(COUNT(Sorgo!$E80:$Z80)=0,0,MAX(0,IF((F$6-$E$3)&lt;1,0,IFERROR(LOOKUP(2,1/(Sorgo!$E80:INDEX(Sorgo!$E80:$Z80,MIN(F$6-$E$3,22))&lt;&gt;""),Sorgo!$E80:INDEX(Sorgo!$E80:$Z80,MIN(F$6-$E$3,22))),0))-IF($G$2,0,IF((F$6-$G$3)&lt;1,0,IFERROR(LOOKUP(2,1/(Sorgo!$E80:INDEX(Sorgo!$E80:$Z80,MIN(F$6-$G$3,22))&lt;&gt;""),Sorgo!$E80:INDEX(Sorgo!$E80:$Z80,MIN(F$6-$G$3,22))),0)))))</f>
        <v>0</v>
      </c>
      <c r="G82" s="27" t="n">
        <f aca="false">IF(COUNT(Sorgo!$E80:$Z80)=0,0,MAX(0,IF((G$6-$E$3)&lt;1,0,IFERROR(LOOKUP(2,1/(Sorgo!$E80:INDEX(Sorgo!$E80:$Z80,MIN(G$6-$E$3,22))&lt;&gt;""),Sorgo!$E80:INDEX(Sorgo!$E80:$Z80,MIN(G$6-$E$3,22))),0))-IF($G$2,0,IF((G$6-$G$3)&lt;1,0,IFERROR(LOOKUP(2,1/(Sorgo!$E80:INDEX(Sorgo!$E80:$Z80,MIN(G$6-$G$3,22))&lt;&gt;""),Sorgo!$E80:INDEX(Sorgo!$E80:$Z80,MIN(G$6-$G$3,22))),0)))))</f>
        <v>0</v>
      </c>
      <c r="H82" s="27" t="n">
        <f aca="false">IF(COUNT(Sorgo!$E80:$Z80)=0,0,MAX(0,IF((H$6-$E$3)&lt;1,0,IFERROR(LOOKUP(2,1/(Sorgo!$E80:INDEX(Sorgo!$E80:$Z80,MIN(H$6-$E$3,22))&lt;&gt;""),Sorgo!$E80:INDEX(Sorgo!$E80:$Z80,MIN(H$6-$E$3,22))),0))-IF($G$2,0,IF((H$6-$G$3)&lt;1,0,IFERROR(LOOKUP(2,1/(Sorgo!$E80:INDEX(Sorgo!$E80:$Z80,MIN(H$6-$G$3,22))&lt;&gt;""),Sorgo!$E80:INDEX(Sorgo!$E80:$Z80,MIN(H$6-$G$3,22))),0)))))</f>
        <v>0</v>
      </c>
      <c r="I82" s="27" t="n">
        <f aca="false">IF(COUNT(Sorgo!$E80:$Z80)=0,0,MAX(0,IF((I$6-$E$3)&lt;1,0,IFERROR(LOOKUP(2,1/(Sorgo!$E80:INDEX(Sorgo!$E80:$Z80,MIN(I$6-$E$3,22))&lt;&gt;""),Sorgo!$E80:INDEX(Sorgo!$E80:$Z80,MIN(I$6-$E$3,22))),0))-IF($G$2,0,IF((I$6-$G$3)&lt;1,0,IFERROR(LOOKUP(2,1/(Sorgo!$E80:INDEX(Sorgo!$E80:$Z80,MIN(I$6-$G$3,22))&lt;&gt;""),Sorgo!$E80:INDEX(Sorgo!$E80:$Z80,MIN(I$6-$G$3,22))),0)))))</f>
        <v>0</v>
      </c>
      <c r="J82" s="27" t="n">
        <f aca="false">IF(COUNT(Sorgo!$E80:$Z80)=0,0,MAX(0,IF((J$6-$E$3)&lt;1,0,IFERROR(LOOKUP(2,1/(Sorgo!$E80:INDEX(Sorgo!$E80:$Z80,MIN(J$6-$E$3,22))&lt;&gt;""),Sorgo!$E80:INDEX(Sorgo!$E80:$Z80,MIN(J$6-$E$3,22))),0))-IF($G$2,0,IF((J$6-$G$3)&lt;1,0,IFERROR(LOOKUP(2,1/(Sorgo!$E80:INDEX(Sorgo!$E80:$Z80,MIN(J$6-$G$3,22))&lt;&gt;""),Sorgo!$E80:INDEX(Sorgo!$E80:$Z80,MIN(J$6-$G$3,22))),0)))))</f>
        <v>0</v>
      </c>
      <c r="K82" s="27" t="n">
        <f aca="false">IF(COUNT(Sorgo!$E80:$Z80)=0,0,MAX(0,IF((K$6-$E$3)&lt;1,0,IFERROR(LOOKUP(2,1/(Sorgo!$E80:INDEX(Sorgo!$E80:$Z80,MIN(K$6-$E$3,22))&lt;&gt;""),Sorgo!$E80:INDEX(Sorgo!$E80:$Z80,MIN(K$6-$E$3,22))),0))-IF($G$2,0,IF((K$6-$G$3)&lt;1,0,IFERROR(LOOKUP(2,1/(Sorgo!$E80:INDEX(Sorgo!$E80:$Z80,MIN(K$6-$G$3,22))&lt;&gt;""),Sorgo!$E80:INDEX(Sorgo!$E80:$Z80,MIN(K$6-$G$3,22))),0)))))</f>
        <v>0</v>
      </c>
      <c r="L82" s="27" t="n">
        <f aca="false">IF(COUNT(Sorgo!$E80:$Z80)=0,0,MAX(0,IF((L$6-$E$3)&lt;1,0,IFERROR(LOOKUP(2,1/(Sorgo!$E80:INDEX(Sorgo!$E80:$Z80,MIN(L$6-$E$3,22))&lt;&gt;""),Sorgo!$E80:INDEX(Sorgo!$E80:$Z80,MIN(L$6-$E$3,22))),0))-IF($G$2,0,IF((L$6-$G$3)&lt;1,0,IFERROR(LOOKUP(2,1/(Sorgo!$E80:INDEX(Sorgo!$E80:$Z80,MIN(L$6-$G$3,22))&lt;&gt;""),Sorgo!$E80:INDEX(Sorgo!$E80:$Z80,MIN(L$6-$G$3,22))),0)))))</f>
        <v>0</v>
      </c>
      <c r="M82" s="27" t="n">
        <f aca="false">IF(COUNT(Sorgo!$E80:$Z80)=0,0,MAX(0,IF((M$6-$E$3)&lt;1,0,IFERROR(LOOKUP(2,1/(Sorgo!$E80:INDEX(Sorgo!$E80:$Z80,MIN(M$6-$E$3,22))&lt;&gt;""),Sorgo!$E80:INDEX(Sorgo!$E80:$Z80,MIN(M$6-$E$3,22))),0))-IF($G$2,0,IF((M$6-$G$3)&lt;1,0,IFERROR(LOOKUP(2,1/(Sorgo!$E80:INDEX(Sorgo!$E80:$Z80,MIN(M$6-$G$3,22))&lt;&gt;""),Sorgo!$E80:INDEX(Sorgo!$E80:$Z80,MIN(M$6-$G$3,22))),0)))))</f>
        <v>0</v>
      </c>
      <c r="N82" s="27" t="n">
        <f aca="false">IF(COUNT(Sorgo!$E80:$Z80)=0,0,MAX(0,IF((N$6-$E$3)&lt;1,0,IFERROR(LOOKUP(2,1/(Sorgo!$E80:INDEX(Sorgo!$E80:$Z80,MIN(N$6-$E$3,22))&lt;&gt;""),Sorgo!$E80:INDEX(Sorgo!$E80:$Z80,MIN(N$6-$E$3,22))),0))-IF($G$2,0,IF((N$6-$G$3)&lt;1,0,IFERROR(LOOKUP(2,1/(Sorgo!$E80:INDEX(Sorgo!$E80:$Z80,MIN(N$6-$G$3,22))&lt;&gt;""),Sorgo!$E80:INDEX(Sorgo!$E80:$Z80,MIN(N$6-$G$3,22))),0)))))</f>
        <v>0</v>
      </c>
      <c r="O82" s="27" t="n">
        <f aca="false">IF(COUNT(Sorgo!$E80:$Z80)=0,0,MAX(0,IF((O$6-$E$3)&lt;1,0,IFERROR(LOOKUP(2,1/(Sorgo!$E80:INDEX(Sorgo!$E80:$Z80,MIN(O$6-$E$3,22))&lt;&gt;""),Sorgo!$E80:INDEX(Sorgo!$E80:$Z80,MIN(O$6-$E$3,22))),0))-IF($G$2,0,IF((O$6-$G$3)&lt;1,0,IFERROR(LOOKUP(2,1/(Sorgo!$E80:INDEX(Sorgo!$E80:$Z80,MIN(O$6-$G$3,22))&lt;&gt;""),Sorgo!$E80:INDEX(Sorgo!$E80:$Z80,MIN(O$6-$G$3,22))),0)))))</f>
        <v>0</v>
      </c>
      <c r="P82" s="27" t="n">
        <f aca="false">IF(COUNT(Sorgo!$E80:$Z80)=0,0,MAX(0,IF((P$6-$E$3)&lt;1,0,IFERROR(LOOKUP(2,1/(Sorgo!$E80:INDEX(Sorgo!$E80:$Z80,MIN(P$6-$E$3,22))&lt;&gt;""),Sorgo!$E80:INDEX(Sorgo!$E80:$Z80,MIN(P$6-$E$3,22))),0))-IF($G$2,0,IF((P$6-$G$3)&lt;1,0,IFERROR(LOOKUP(2,1/(Sorgo!$E80:INDEX(Sorgo!$E80:$Z80,MIN(P$6-$G$3,22))&lt;&gt;""),Sorgo!$E80:INDEX(Sorgo!$E80:$Z80,MIN(P$6-$G$3,22))),0)))))</f>
        <v>0</v>
      </c>
      <c r="Q82" s="27" t="n">
        <f aca="false">IF(COUNT(Sorgo!$E80:$Z80)=0,0,MAX(0,IF((Q$6-$E$3)&lt;1,0,IFERROR(LOOKUP(2,1/(Sorgo!$E80:INDEX(Sorgo!$E80:$Z80,MIN(Q$6-$E$3,22))&lt;&gt;""),Sorgo!$E80:INDEX(Sorgo!$E80:$Z80,MIN(Q$6-$E$3,22))),0))-IF($G$2,0,IF((Q$6-$G$3)&lt;1,0,IFERROR(LOOKUP(2,1/(Sorgo!$E80:INDEX(Sorgo!$E80:$Z80,MIN(Q$6-$G$3,22))&lt;&gt;""),Sorgo!$E80:INDEX(Sorgo!$E80:$Z80,MIN(Q$6-$G$3,22))),0)))))</f>
        <v>0</v>
      </c>
      <c r="R82" s="27" t="n">
        <f aca="false">IF(COUNT(Sorgo!$E80:$Z80)=0,0,MAX(0,IF((R$6-$E$3)&lt;1,0,IFERROR(LOOKUP(2,1/(Sorgo!$E80:INDEX(Sorgo!$E80:$Z80,MIN(R$6-$E$3,22))&lt;&gt;""),Sorgo!$E80:INDEX(Sorgo!$E80:$Z80,MIN(R$6-$E$3,22))),0))-IF($G$2,0,IF((R$6-$G$3)&lt;1,0,IFERROR(LOOKUP(2,1/(Sorgo!$E80:INDEX(Sorgo!$E80:$Z80,MIN(R$6-$G$3,22))&lt;&gt;""),Sorgo!$E80:INDEX(Sorgo!$E80:$Z80,MIN(R$6-$G$3,22))),0)))))</f>
        <v>0</v>
      </c>
      <c r="S82" s="27" t="n">
        <f aca="false">IF(COUNT(Sorgo!$E80:$Z80)=0,0,MAX(0,IF((S$6-$E$3)&lt;1,0,IFERROR(LOOKUP(2,1/(Sorgo!$E80:INDEX(Sorgo!$E80:$Z80,MIN(S$6-$E$3,22))&lt;&gt;""),Sorgo!$E80:INDEX(Sorgo!$E80:$Z80,MIN(S$6-$E$3,22))),0))-IF($G$2,0,IF((S$6-$G$3)&lt;1,0,IFERROR(LOOKUP(2,1/(Sorgo!$E80:INDEX(Sorgo!$E80:$Z80,MIN(S$6-$G$3,22))&lt;&gt;""),Sorgo!$E80:INDEX(Sorgo!$E80:$Z80,MIN(S$6-$G$3,22))),0)))))</f>
        <v>0</v>
      </c>
      <c r="T82" s="27" t="n">
        <f aca="false">IF(COUNT(Sorgo!$E80:$Z80)=0,0,MAX(0,IF((T$6-$E$3)&lt;1,0,IFERROR(LOOKUP(2,1/(Sorgo!$E80:INDEX(Sorgo!$E80:$Z80,MIN(T$6-$E$3,22))&lt;&gt;""),Sorgo!$E80:INDEX(Sorgo!$E80:$Z80,MIN(T$6-$E$3,22))),0))-IF($G$2,0,IF((T$6-$G$3)&lt;1,0,IFERROR(LOOKUP(2,1/(Sorgo!$E80:INDEX(Sorgo!$E80:$Z80,MIN(T$6-$G$3,22))&lt;&gt;""),Sorgo!$E80:INDEX(Sorgo!$E80:$Z80,MIN(T$6-$G$3,22))),0)))))</f>
        <v>0</v>
      </c>
      <c r="U82" s="27" t="n">
        <f aca="false">IF(COUNT(Sorgo!$E80:$Z80)=0,0,MAX(0,IF((U$6-$E$3)&lt;1,0,IFERROR(LOOKUP(2,1/(Sorgo!$E80:INDEX(Sorgo!$E80:$Z80,MIN(U$6-$E$3,22))&lt;&gt;""),Sorgo!$E80:INDEX(Sorgo!$E80:$Z80,MIN(U$6-$E$3,22))),0))-IF($G$2,0,IF((U$6-$G$3)&lt;1,0,IFERROR(LOOKUP(2,1/(Sorgo!$E80:INDEX(Sorgo!$E80:$Z80,MIN(U$6-$G$3,22))&lt;&gt;""),Sorgo!$E80:INDEX(Sorgo!$E80:$Z80,MIN(U$6-$G$3,22))),0)))))</f>
        <v>0</v>
      </c>
      <c r="V82" s="27" t="n">
        <f aca="false">IF(COUNT(Sorgo!$E80:$Z80)=0,0,MAX(0,IF((V$6-$E$3)&lt;1,0,IFERROR(LOOKUP(2,1/(Sorgo!$E80:INDEX(Sorgo!$E80:$Z80,MIN(V$6-$E$3,22))&lt;&gt;""),Sorgo!$E80:INDEX(Sorgo!$E80:$Z80,MIN(V$6-$E$3,22))),0))-IF($G$2,0,IF((V$6-$G$3)&lt;1,0,IFERROR(LOOKUP(2,1/(Sorgo!$E80:INDEX(Sorgo!$E80:$Z80,MIN(V$6-$G$3,22))&lt;&gt;""),Sorgo!$E80:INDEX(Sorgo!$E80:$Z80,MIN(V$6-$G$3,22))),0)))))</f>
        <v>0</v>
      </c>
      <c r="W82" s="27" t="n">
        <f aca="false">IF(COUNT(Sorgo!$E80:$Z80)=0,0,MAX(0,IF((W$6-$E$3)&lt;1,0,IFERROR(LOOKUP(2,1/(Sorgo!$E80:INDEX(Sorgo!$E80:$Z80,MIN(W$6-$E$3,22))&lt;&gt;""),Sorgo!$E80:INDEX(Sorgo!$E80:$Z80,MIN(W$6-$E$3,22))),0))-IF($G$2,0,IF((W$6-$G$3)&lt;1,0,IFERROR(LOOKUP(2,1/(Sorgo!$E80:INDEX(Sorgo!$E80:$Z80,MIN(W$6-$G$3,22))&lt;&gt;""),Sorgo!$E80:INDEX(Sorgo!$E80:$Z80,MIN(W$6-$G$3,22))),0)))))</f>
        <v>0</v>
      </c>
      <c r="X82" s="27" t="n">
        <f aca="false">IF(COUNT(Sorgo!$E80:$Z80)=0,0,MAX(0,IF((X$6-$E$3)&lt;1,0,IFERROR(LOOKUP(2,1/(Sorgo!$E80:INDEX(Sorgo!$E80:$Z80,MIN(X$6-$E$3,22))&lt;&gt;""),Sorgo!$E80:INDEX(Sorgo!$E80:$Z80,MIN(X$6-$E$3,22))),0))-IF($G$2,0,IF((X$6-$G$3)&lt;1,0,IFERROR(LOOKUP(2,1/(Sorgo!$E80:INDEX(Sorgo!$E80:$Z80,MIN(X$6-$G$3,22))&lt;&gt;""),Sorgo!$E80:INDEX(Sorgo!$E80:$Z80,MIN(X$6-$G$3,22))),0)))))</f>
        <v>0</v>
      </c>
      <c r="Y82" s="27" t="n">
        <f aca="false">IF(COUNT(Sorgo!$E80:$Z80)=0,0,MAX(0,IF((Y$6-$E$3)&lt;1,0,IFERROR(LOOKUP(2,1/(Sorgo!$E80:INDEX(Sorgo!$E80:$Z80,MIN(Y$6-$E$3,22))&lt;&gt;""),Sorgo!$E80:INDEX(Sorgo!$E80:$Z80,MIN(Y$6-$E$3,22))),0))-IF($G$2,0,IF((Y$6-$G$3)&lt;1,0,IFERROR(LOOKUP(2,1/(Sorgo!$E80:INDEX(Sorgo!$E80:$Z80,MIN(Y$6-$G$3,22))&lt;&gt;""),Sorgo!$E80:INDEX(Sorgo!$E80:$Z80,MIN(Y$6-$G$3,22))),0)))))</f>
        <v>0</v>
      </c>
      <c r="Z82" s="27" t="n">
        <f aca="false">IF(COUNT(Sorgo!$E80:$Z80)=0,0,MAX(0,IF((Z$6-$E$3)&lt;1,0,IFERROR(LOOKUP(2,1/(Sorgo!$E80:INDEX(Sorgo!$E80:$Z80,MIN(Z$6-$E$3,22))&lt;&gt;""),Sorgo!$E80:INDEX(Sorgo!$E80:$Z80,MIN(Z$6-$E$3,22))),0))-IF($G$2,0,IF((Z$6-$G$3)&lt;1,0,IFERROR(LOOKUP(2,1/(Sorgo!$E80:INDEX(Sorgo!$E80:$Z80,MIN(Z$6-$G$3,22))&lt;&gt;""),Sorgo!$E80:INDEX(Sorgo!$E80:$Z80,MIN(Z$6-$G$3,22))),0)))))</f>
        <v>0</v>
      </c>
      <c r="AA82" s="27" t="n">
        <f aca="false">IF(COUNT(Sorgo!$E80:$Z80)=0,0,MAX(0,IF((AA$6-$E$3)&lt;1,0,IFERROR(LOOKUP(2,1/(Sorgo!$E80:INDEX(Sorgo!$E80:$Z80,MIN(AA$6-$E$3,22))&lt;&gt;""),Sorgo!$E80:INDEX(Sorgo!$E80:$Z80,MIN(AA$6-$E$3,22))),0))-IF($G$2,0,IF((AA$6-$G$3)&lt;1,0,IFERROR(LOOKUP(2,1/(Sorgo!$E80:INDEX(Sorgo!$E80:$Z80,MIN(AA$6-$G$3,22))&lt;&gt;""),Sorgo!$E80:INDEX(Sorgo!$E80:$Z80,MIN(AA$6-$G$3,22))),0)))))</f>
        <v>0</v>
      </c>
      <c r="AB82" s="27" t="n">
        <f aca="false">IF(COUNT(Sorgo!$E80:$Z80)=0,0,MAX(0,IF((AB$6-$E$3)&lt;1,0,IFERROR(LOOKUP(2,1/(Sorgo!$E80:INDEX(Sorgo!$E80:$Z80,MIN(AB$6-$E$3,22))&lt;&gt;""),Sorgo!$E80:INDEX(Sorgo!$E80:$Z80,MIN(AB$6-$E$3,22))),0))-IF($G$2,0,IF((AB$6-$G$3)&lt;1,0,IFERROR(LOOKUP(2,1/(Sorgo!$E80:INDEX(Sorgo!$E80:$Z80,MIN(AB$6-$G$3,22))&lt;&gt;""),Sorgo!$E80:INDEX(Sorgo!$E80:$Z80,MIN(AB$6-$G$3,22))),0)))))</f>
        <v>0</v>
      </c>
      <c r="AC82" s="27" t="n">
        <f aca="false">IF(COUNT(Sorgo!$E80:$Z80)=0,0,MAX(0,IF((AC$6-$E$3)&lt;1,0,IFERROR(LOOKUP(2,1/(Sorgo!$E80:INDEX(Sorgo!$E80:$Z80,MIN(AC$6-$E$3,22))&lt;&gt;""),Sorgo!$E80:INDEX(Sorgo!$E80:$Z80,MIN(AC$6-$E$3,22))),0))-IF($G$2,0,IF((AC$6-$G$3)&lt;1,0,IFERROR(LOOKUP(2,1/(Sorgo!$E80:INDEX(Sorgo!$E80:$Z80,MIN(AC$6-$G$3,22))&lt;&gt;""),Sorgo!$E80:INDEX(Sorgo!$E80:$Z80,MIN(AC$6-$G$3,22))),0)))))</f>
        <v>0</v>
      </c>
      <c r="AD82" s="27" t="n">
        <f aca="false">IF(COUNT(Sorgo!$E80:$Z80)=0,0,MAX(0,IF((AD$6-$E$3)&lt;1,0,IFERROR(LOOKUP(2,1/(Sorgo!$E80:INDEX(Sorgo!$E80:$Z80,MIN(AD$6-$E$3,22))&lt;&gt;""),Sorgo!$E80:INDEX(Sorgo!$E80:$Z80,MIN(AD$6-$E$3,22))),0))-IF($G$2,0,IF((AD$6-$G$3)&lt;1,0,IFERROR(LOOKUP(2,1/(Sorgo!$E80:INDEX(Sorgo!$E80:$Z80,MIN(AD$6-$G$3,22))&lt;&gt;""),Sorgo!$E80:INDEX(Sorgo!$E80:$Z80,MIN(AD$6-$G$3,22))),0)))))</f>
        <v>0</v>
      </c>
      <c r="AE82" s="27" t="n">
        <f aca="false">IF(COUNT(Sorgo!$E80:$Z80)=0,0,MAX(0,IF((AE$6-$E$3)&lt;1,0,IFERROR(LOOKUP(2,1/(Sorgo!$E80:INDEX(Sorgo!$E80:$Z80,MIN(AE$6-$E$3,22))&lt;&gt;""),Sorgo!$E80:INDEX(Sorgo!$E80:$Z80,MIN(AE$6-$E$3,22))),0))-IF($G$2,0,IF((AE$6-$G$3)&lt;1,0,IFERROR(LOOKUP(2,1/(Sorgo!$E80:INDEX(Sorgo!$E80:$Z80,MIN(AE$6-$G$3,22))&lt;&gt;""),Sorgo!$E80:INDEX(Sorgo!$E80:$Z80,MIN(AE$6-$G$3,22))),0)))))</f>
        <v>0</v>
      </c>
      <c r="AF82" s="27" t="n">
        <f aca="false">IF(COUNT(Sorgo!$E80:$Z80)=0,0,MAX(0,IF((AF$6-$E$3)&lt;1,0,IFERROR(LOOKUP(2,1/(Sorgo!$E80:INDEX(Sorgo!$E80:$Z80,MIN(AF$6-$E$3,22))&lt;&gt;""),Sorgo!$E80:INDEX(Sorgo!$E80:$Z80,MIN(AF$6-$E$3,22))),0))-IF($G$2,0,IF((AF$6-$G$3)&lt;1,0,IFERROR(LOOKUP(2,1/(Sorgo!$E80:INDEX(Sorgo!$E80:$Z80,MIN(AF$6-$G$3,22))&lt;&gt;""),Sorgo!$E80:INDEX(Sorgo!$E80:$Z80,MIN(AF$6-$G$3,22))),0)))))</f>
        <v>0</v>
      </c>
      <c r="AG82" s="27" t="n">
        <f aca="false">IF(COUNT(Sorgo!$E80:$Z80)=0,0,MAX(0,IF((AG$6-$E$3)&lt;1,0,IFERROR(LOOKUP(2,1/(Sorgo!$E80:INDEX(Sorgo!$E80:$Z80,MIN(AG$6-$E$3,22))&lt;&gt;""),Sorgo!$E80:INDEX(Sorgo!$E80:$Z80,MIN(AG$6-$E$3,22))),0))-IF($G$2,0,IF((AG$6-$G$3)&lt;1,0,IFERROR(LOOKUP(2,1/(Sorgo!$E80:INDEX(Sorgo!$E80:$Z80,MIN(AG$6-$G$3,22))&lt;&gt;""),Sorgo!$E80:INDEX(Sorgo!$E80:$Z80,MIN(AG$6-$G$3,22))),0)))))</f>
        <v>0</v>
      </c>
      <c r="AH82" s="27" t="n">
        <f aca="false">IF(COUNT(Sorgo!$E80:$Z80)=0,0,MAX(0,IF((AH$6-$E$3)&lt;1,0,IFERROR(LOOKUP(2,1/(Sorgo!$E80:INDEX(Sorgo!$E80:$Z80,MIN(AH$6-$E$3,22))&lt;&gt;""),Sorgo!$E80:INDEX(Sorgo!$E80:$Z80,MIN(AH$6-$E$3,22))),0))-IF($G$2,0,IF((AH$6-$G$3)&lt;1,0,IFERROR(LOOKUP(2,1/(Sorgo!$E80:INDEX(Sorgo!$E80:$Z80,MIN(AH$6-$G$3,22))&lt;&gt;""),Sorgo!$E80:INDEX(Sorgo!$E80:$Z80,MIN(AH$6-$G$3,22))),0)))))</f>
        <v>0</v>
      </c>
      <c r="AI82" s="27" t="n">
        <f aca="false">IF(COUNT(Sorgo!$E80:$Z80)=0,0,MAX(0,IF((AI$6-$E$3)&lt;1,0,IFERROR(LOOKUP(2,1/(Sorgo!$E80:INDEX(Sorgo!$E80:$Z80,MIN(AI$6-$E$3,22))&lt;&gt;""),Sorgo!$E80:INDEX(Sorgo!$E80:$Z80,MIN(AI$6-$E$3,22))),0))-IF($G$2,0,IF((AI$6-$G$3)&lt;1,0,IFERROR(LOOKUP(2,1/(Sorgo!$E80:INDEX(Sorgo!$E80:$Z80,MIN(AI$6-$G$3,22))&lt;&gt;""),Sorgo!$E80:INDEX(Sorgo!$E80:$Z80,MIN(AI$6-$G$3,22))),0)))))</f>
        <v>0</v>
      </c>
      <c r="AJ82" s="27" t="n">
        <f aca="false">IF(COUNT(Sorgo!$E80:$Z80)=0,0,MAX(0,IF((AJ$6-$E$3)&lt;1,0,IFERROR(LOOKUP(2,1/(Sorgo!$E80:INDEX(Sorgo!$E80:$Z80,MIN(AJ$6-$E$3,22))&lt;&gt;""),Sorgo!$E80:INDEX(Sorgo!$E80:$Z80,MIN(AJ$6-$E$3,22))),0))-IF($G$2,0,IF((AJ$6-$G$3)&lt;1,0,IFERROR(LOOKUP(2,1/(Sorgo!$E80:INDEX(Sorgo!$E80:$Z80,MIN(AJ$6-$G$3,22))&lt;&gt;""),Sorgo!$E80:INDEX(Sorgo!$E80:$Z80,MIN(AJ$6-$G$3,22))),0)))))</f>
        <v>0</v>
      </c>
      <c r="AK82" s="27" t="n">
        <f aca="false">IF(COUNT(Sorgo!$E80:$Z80)=0,0,MAX(0,IF((AK$6-$E$3)&lt;1,0,IFERROR(LOOKUP(2,1/(Sorgo!$E80:INDEX(Sorgo!$E80:$Z80,MIN(AK$6-$E$3,22))&lt;&gt;""),Sorgo!$E80:INDEX(Sorgo!$E80:$Z80,MIN(AK$6-$E$3,22))),0))-IF($G$2,0,IF((AK$6-$G$3)&lt;1,0,IFERROR(LOOKUP(2,1/(Sorgo!$E80:INDEX(Sorgo!$E80:$Z80,MIN(AK$6-$G$3,22))&lt;&gt;""),Sorgo!$E80:INDEX(Sorgo!$E80:$Z80,MIN(AK$6-$G$3,22))),0)))))</f>
        <v>0</v>
      </c>
      <c r="AL82" s="27" t="n">
        <f aca="false">IF(COUNT(Sorgo!$E80:$Z80)=0,0,MAX(0,IF((AL$6-$E$3)&lt;1,0,IFERROR(LOOKUP(2,1/(Sorgo!$E80:INDEX(Sorgo!$E80:$Z80,MIN(AL$6-$E$3,22))&lt;&gt;""),Sorgo!$E80:INDEX(Sorgo!$E80:$Z80,MIN(AL$6-$E$3,22))),0))-IF($G$2,0,IF((AL$6-$G$3)&lt;1,0,IFERROR(LOOKUP(2,1/(Sorgo!$E80:INDEX(Sorgo!$E80:$Z80,MIN(AL$6-$G$3,22))&lt;&gt;""),Sorgo!$E80:INDEX(Sorgo!$E80:$Z80,MIN(AL$6-$G$3,22))),0)))))</f>
        <v>0</v>
      </c>
      <c r="AM82" s="27" t="n">
        <f aca="false">IF(COUNT(Sorgo!$E80:$Z80)=0,0,MAX(0,IF((AM$6-$E$3)&lt;1,0,IFERROR(LOOKUP(2,1/(Sorgo!$E80:INDEX(Sorgo!$E80:$Z80,MIN(AM$6-$E$3,22))&lt;&gt;""),Sorgo!$E80:INDEX(Sorgo!$E80:$Z80,MIN(AM$6-$E$3,22))),0))-IF($G$2,0,IF((AM$6-$G$3)&lt;1,0,IFERROR(LOOKUP(2,1/(Sorgo!$E80:INDEX(Sorgo!$E80:$Z80,MIN(AM$6-$G$3,22))&lt;&gt;""),Sorgo!$E80:INDEX(Sorgo!$E80:$Z80,MIN(AM$6-$G$3,22))),0)))))</f>
        <v>0</v>
      </c>
      <c r="AN82" s="27" t="n">
        <f aca="false">IF(COUNT(Sorgo!$E80:$Z80)=0,0,MAX(0,IF((AN$6-$E$3)&lt;1,0,IFERROR(LOOKUP(2,1/(Sorgo!$E80:INDEX(Sorgo!$E80:$Z80,MIN(AN$6-$E$3,22))&lt;&gt;""),Sorgo!$E80:INDEX(Sorgo!$E80:$Z80,MIN(AN$6-$E$3,22))),0))-IF($G$2,0,IF((AN$6-$G$3)&lt;1,0,IFERROR(LOOKUP(2,1/(Sorgo!$E80:INDEX(Sorgo!$E80:$Z80,MIN(AN$6-$G$3,22))&lt;&gt;""),Sorgo!$E80:INDEX(Sorgo!$E80:$Z80,MIN(AN$6-$G$3,22))),0)))))</f>
        <v>0</v>
      </c>
      <c r="AO82" s="27" t="n">
        <f aca="false">IF(COUNT(Sorgo!$E80:$Z80)=0,0,MAX(0,IF((AO$6-$E$3)&lt;1,0,IFERROR(LOOKUP(2,1/(Sorgo!$E80:INDEX(Sorgo!$E80:$Z80,MIN(AO$6-$E$3,22))&lt;&gt;""),Sorgo!$E80:INDEX(Sorgo!$E80:$Z80,MIN(AO$6-$E$3,22))),0))-IF($G$2,0,IF((AO$6-$G$3)&lt;1,0,IFERROR(LOOKUP(2,1/(Sorgo!$E80:INDEX(Sorgo!$E80:$Z80,MIN(AO$6-$G$3,22))&lt;&gt;""),Sorgo!$E80:INDEX(Sorgo!$E80:$Z80,MIN(AO$6-$G$3,22))),0)))))</f>
        <v>0</v>
      </c>
      <c r="AP82" s="27" t="n">
        <f aca="false">IF(COUNT(Sorgo!$E80:$Z80)=0,0,MAX(0,IF((AP$6-$E$3)&lt;1,0,IFERROR(LOOKUP(2,1/(Sorgo!$E80:INDEX(Sorgo!$E80:$Z80,MIN(AP$6-$E$3,22))&lt;&gt;""),Sorgo!$E80:INDEX(Sorgo!$E80:$Z80,MIN(AP$6-$E$3,22))),0))-IF($G$2,0,IF((AP$6-$G$3)&lt;1,0,IFERROR(LOOKUP(2,1/(Sorgo!$E80:INDEX(Sorgo!$E80:$Z80,MIN(AP$6-$G$3,22))&lt;&gt;""),Sorgo!$E80:INDEX(Sorgo!$E80:$Z80,MIN(AP$6-$G$3,22))),0)))))</f>
        <v>0</v>
      </c>
      <c r="AQ82" s="27" t="n">
        <f aca="false">IF(COUNT(Sorgo!$E80:$Z80)=0,0,MAX(0,IF((AQ$6-$E$3)&lt;1,0,IFERROR(LOOKUP(2,1/(Sorgo!$E80:INDEX(Sorgo!$E80:$Z80,MIN(AQ$6-$E$3,22))&lt;&gt;""),Sorgo!$E80:INDEX(Sorgo!$E80:$Z80,MIN(AQ$6-$E$3,22))),0))-IF($G$2,0,IF((AQ$6-$G$3)&lt;1,0,IFERROR(LOOKUP(2,1/(Sorgo!$E80:INDEX(Sorgo!$E80:$Z80,MIN(AQ$6-$G$3,22))&lt;&gt;""),Sorgo!$E80:INDEX(Sorgo!$E80:$Z80,MIN(AQ$6-$G$3,22))),0)))))</f>
        <v>0</v>
      </c>
      <c r="AR82" s="27" t="n">
        <f aca="false">IF(COUNT(Sorgo!$E80:$Z80)=0,0,MAX(0,IF((AR$6-$E$3)&lt;1,0,IFERROR(LOOKUP(2,1/(Sorgo!$E80:INDEX(Sorgo!$E80:$Z80,MIN(AR$6-$E$3,22))&lt;&gt;""),Sorgo!$E80:INDEX(Sorgo!$E80:$Z80,MIN(AR$6-$E$3,22))),0))-IF($G$2,0,IF((AR$6-$G$3)&lt;1,0,IFERROR(LOOKUP(2,1/(Sorgo!$E80:INDEX(Sorgo!$E80:$Z80,MIN(AR$6-$G$3,22))&lt;&gt;""),Sorgo!$E80:INDEX(Sorgo!$E80:$Z80,MIN(AR$6-$G$3,22))),0)))))</f>
        <v>0</v>
      </c>
      <c r="AS82" s="27" t="n">
        <f aca="false">IF(COUNT(Sorgo!$E80:$Z80)=0,0,MAX(0,IF((AS$6-$E$3)&lt;1,0,IFERROR(LOOKUP(2,1/(Sorgo!$E80:INDEX(Sorgo!$E80:$Z80,MIN(AS$6-$E$3,22))&lt;&gt;""),Sorgo!$E80:INDEX(Sorgo!$E80:$Z80,MIN(AS$6-$E$3,22))),0))-IF($G$2,0,IF((AS$6-$G$3)&lt;1,0,IFERROR(LOOKUP(2,1/(Sorgo!$E80:INDEX(Sorgo!$E80:$Z80,MIN(AS$6-$G$3,22))&lt;&gt;""),Sorgo!$E80:INDEX(Sorgo!$E80:$Z80,MIN(AS$6-$G$3,22))),0)))))</f>
        <v>0</v>
      </c>
      <c r="AT82" s="27" t="n">
        <f aca="false">IF(COUNT(Sorgo!$E80:$Z80)=0,0,MAX(0,IF((AT$6-$E$3)&lt;1,0,IFERROR(LOOKUP(2,1/(Sorgo!$E80:INDEX(Sorgo!$E80:$Z80,MIN(AT$6-$E$3,22))&lt;&gt;""),Sorgo!$E80:INDEX(Sorgo!$E80:$Z80,MIN(AT$6-$E$3,22))),0))-IF($G$2,0,IF((AT$6-$G$3)&lt;1,0,IFERROR(LOOKUP(2,1/(Sorgo!$E80:INDEX(Sorgo!$E80:$Z80,MIN(AT$6-$G$3,22))&lt;&gt;""),Sorgo!$E80:INDEX(Sorgo!$E80:$Z80,MIN(AT$6-$G$3,22))),0)))))</f>
        <v>0</v>
      </c>
      <c r="AU82" s="27" t="n">
        <f aca="false">IF(COUNT(Sorgo!$E80:$Z80)=0,0,MAX(0,IF((AU$6-$E$3)&lt;1,0,IFERROR(LOOKUP(2,1/(Sorgo!$E80:INDEX(Sorgo!$E80:$Z80,MIN(AU$6-$E$3,22))&lt;&gt;""),Sorgo!$E80:INDEX(Sorgo!$E80:$Z80,MIN(AU$6-$E$3,22))),0))-IF($G$2,0,IF((AU$6-$G$3)&lt;1,0,IFERROR(LOOKUP(2,1/(Sorgo!$E80:INDEX(Sorgo!$E80:$Z80,MIN(AU$6-$G$3,22))&lt;&gt;""),Sorgo!$E80:INDEX(Sorgo!$E80:$Z80,MIN(AU$6-$G$3,22))),0)))))</f>
        <v>0</v>
      </c>
      <c r="AV82" s="27" t="n">
        <f aca="false">IF(COUNT(Sorgo!$E80:$Z80)=0,0,MAX(0,IF((AV$6-$E$3)&lt;1,0,IFERROR(LOOKUP(2,1/(Sorgo!$E80:INDEX(Sorgo!$E80:$Z80,MIN(AV$6-$E$3,22))&lt;&gt;""),Sorgo!$E80:INDEX(Sorgo!$E80:$Z80,MIN(AV$6-$E$3,22))),0))-IF($G$2,0,IF((AV$6-$G$3)&lt;1,0,IFERROR(LOOKUP(2,1/(Sorgo!$E80:INDEX(Sorgo!$E80:$Z80,MIN(AV$6-$G$3,22))&lt;&gt;""),Sorgo!$E80:INDEX(Sorgo!$E80:$Z80,MIN(AV$6-$G$3,22))),0)))))</f>
        <v>0</v>
      </c>
      <c r="AW82" s="27" t="n">
        <f aca="false">IF(COUNT(Sorgo!$E80:$Z80)=0,0,MAX(0,IF((AW$6-$E$3)&lt;1,0,IFERROR(LOOKUP(2,1/(Sorgo!$E80:INDEX(Sorgo!$E80:$Z80,MIN(AW$6-$E$3,22))&lt;&gt;""),Sorgo!$E80:INDEX(Sorgo!$E80:$Z80,MIN(AW$6-$E$3,22))),0))-IF($G$2,0,IF((AW$6-$G$3)&lt;1,0,IFERROR(LOOKUP(2,1/(Sorgo!$E80:INDEX(Sorgo!$E80:$Z80,MIN(AW$6-$G$3,22))&lt;&gt;""),Sorgo!$E80:INDEX(Sorgo!$E80:$Z80,MIN(AW$6-$G$3,22))),0)))))</f>
        <v>0</v>
      </c>
      <c r="AX82" s="27" t="n">
        <f aca="false">IF(COUNT(Sorgo!$E80:$Z80)=0,0,MAX(0,IF((AX$6-$E$3)&lt;1,0,IFERROR(LOOKUP(2,1/(Sorgo!$E80:INDEX(Sorgo!$E80:$Z80,MIN(AX$6-$E$3,22))&lt;&gt;""),Sorgo!$E80:INDEX(Sorgo!$E80:$Z80,MIN(AX$6-$E$3,22))),0))-IF($G$2,0,IF((AX$6-$G$3)&lt;1,0,IFERROR(LOOKUP(2,1/(Sorgo!$E80:INDEX(Sorgo!$E80:$Z80,MIN(AX$6-$G$3,22))&lt;&gt;""),Sorgo!$E80:INDEX(Sorgo!$E80:$Z80,MIN(AX$6-$G$3,22))),0)))))</f>
        <v>0</v>
      </c>
      <c r="AY82" s="27" t="n">
        <f aca="false">IF(COUNT(Sorgo!$E80:$Z80)=0,0,MAX(0,IF((AY$6-$E$3)&lt;1,0,IFERROR(LOOKUP(2,1/(Sorgo!$E80:INDEX(Sorgo!$E80:$Z80,MIN(AY$6-$E$3,22))&lt;&gt;""),Sorgo!$E80:INDEX(Sorgo!$E80:$Z80,MIN(AY$6-$E$3,22))),0))-IF($G$2,0,IF((AY$6-$G$3)&lt;1,0,IFERROR(LOOKUP(2,1/(Sorgo!$E80:INDEX(Sorgo!$E80:$Z80,MIN(AY$6-$G$3,22))&lt;&gt;""),Sorgo!$E80:INDEX(Sorgo!$E80:$Z80,MIN(AY$6-$G$3,22))),0)))))</f>
        <v>0</v>
      </c>
      <c r="AZ82" s="27" t="n">
        <f aca="false">IF(COUNT(Sorgo!$E80:$Z80)=0,0,MAX(0,IF((AZ$6-$E$3)&lt;1,0,IFERROR(LOOKUP(2,1/(Sorgo!$E80:INDEX(Sorgo!$E80:$Z80,MIN(AZ$6-$E$3,22))&lt;&gt;""),Sorgo!$E80:INDEX(Sorgo!$E80:$Z80,MIN(AZ$6-$E$3,22))),0))-IF($G$2,0,IF((AZ$6-$G$3)&lt;1,0,IFERROR(LOOKUP(2,1/(Sorgo!$E80:INDEX(Sorgo!$E80:$Z80,MIN(AZ$6-$G$3,22))&lt;&gt;""),Sorgo!$E80:INDEX(Sorgo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IF(COUNT(Sorgo!$E81:$Z81)&gt;0,N(Sorgo!$D81),0)</f>
        <v>0</v>
      </c>
      <c r="E83" s="27" t="n">
        <f aca="false">IF(COUNT(Sorgo!$E81:$Z81)=0,0,MAX(0,IF((E$6-$E$3)&lt;1,0,IFERROR(LOOKUP(2,1/(Sorgo!$E81:INDEX(Sorgo!$E81:$Z81,MIN(E$6-$E$3,22))&lt;&gt;""),Sorgo!$E81:INDEX(Sorgo!$E81:$Z81,MIN(E$6-$E$3,22))),0))-IF($G$2,0,IF((E$6-$G$3)&lt;1,0,IFERROR(LOOKUP(2,1/(Sorgo!$E81:INDEX(Sorgo!$E81:$Z81,MIN(E$6-$G$3,22))&lt;&gt;""),Sorgo!$E81:INDEX(Sorgo!$E81:$Z81,MIN(E$6-$G$3,22))),0)))))</f>
        <v>0</v>
      </c>
      <c r="F83" s="27" t="n">
        <f aca="false">IF(COUNT(Sorgo!$E81:$Z81)=0,0,MAX(0,IF((F$6-$E$3)&lt;1,0,IFERROR(LOOKUP(2,1/(Sorgo!$E81:INDEX(Sorgo!$E81:$Z81,MIN(F$6-$E$3,22))&lt;&gt;""),Sorgo!$E81:INDEX(Sorgo!$E81:$Z81,MIN(F$6-$E$3,22))),0))-IF($G$2,0,IF((F$6-$G$3)&lt;1,0,IFERROR(LOOKUP(2,1/(Sorgo!$E81:INDEX(Sorgo!$E81:$Z81,MIN(F$6-$G$3,22))&lt;&gt;""),Sorgo!$E81:INDEX(Sorgo!$E81:$Z81,MIN(F$6-$G$3,22))),0)))))</f>
        <v>0</v>
      </c>
      <c r="G83" s="27" t="n">
        <f aca="false">IF(COUNT(Sorgo!$E81:$Z81)=0,0,MAX(0,IF((G$6-$E$3)&lt;1,0,IFERROR(LOOKUP(2,1/(Sorgo!$E81:INDEX(Sorgo!$E81:$Z81,MIN(G$6-$E$3,22))&lt;&gt;""),Sorgo!$E81:INDEX(Sorgo!$E81:$Z81,MIN(G$6-$E$3,22))),0))-IF($G$2,0,IF((G$6-$G$3)&lt;1,0,IFERROR(LOOKUP(2,1/(Sorgo!$E81:INDEX(Sorgo!$E81:$Z81,MIN(G$6-$G$3,22))&lt;&gt;""),Sorgo!$E81:INDEX(Sorgo!$E81:$Z81,MIN(G$6-$G$3,22))),0)))))</f>
        <v>0</v>
      </c>
      <c r="H83" s="27" t="n">
        <f aca="false">IF(COUNT(Sorgo!$E81:$Z81)=0,0,MAX(0,IF((H$6-$E$3)&lt;1,0,IFERROR(LOOKUP(2,1/(Sorgo!$E81:INDEX(Sorgo!$E81:$Z81,MIN(H$6-$E$3,22))&lt;&gt;""),Sorgo!$E81:INDEX(Sorgo!$E81:$Z81,MIN(H$6-$E$3,22))),0))-IF($G$2,0,IF((H$6-$G$3)&lt;1,0,IFERROR(LOOKUP(2,1/(Sorgo!$E81:INDEX(Sorgo!$E81:$Z81,MIN(H$6-$G$3,22))&lt;&gt;""),Sorgo!$E81:INDEX(Sorgo!$E81:$Z81,MIN(H$6-$G$3,22))),0)))))</f>
        <v>0</v>
      </c>
      <c r="I83" s="27" t="n">
        <f aca="false">IF(COUNT(Sorgo!$E81:$Z81)=0,0,MAX(0,IF((I$6-$E$3)&lt;1,0,IFERROR(LOOKUP(2,1/(Sorgo!$E81:INDEX(Sorgo!$E81:$Z81,MIN(I$6-$E$3,22))&lt;&gt;""),Sorgo!$E81:INDEX(Sorgo!$E81:$Z81,MIN(I$6-$E$3,22))),0))-IF($G$2,0,IF((I$6-$G$3)&lt;1,0,IFERROR(LOOKUP(2,1/(Sorgo!$E81:INDEX(Sorgo!$E81:$Z81,MIN(I$6-$G$3,22))&lt;&gt;""),Sorgo!$E81:INDEX(Sorgo!$E81:$Z81,MIN(I$6-$G$3,22))),0)))))</f>
        <v>0</v>
      </c>
      <c r="J83" s="27" t="n">
        <f aca="false">IF(COUNT(Sorgo!$E81:$Z81)=0,0,MAX(0,IF((J$6-$E$3)&lt;1,0,IFERROR(LOOKUP(2,1/(Sorgo!$E81:INDEX(Sorgo!$E81:$Z81,MIN(J$6-$E$3,22))&lt;&gt;""),Sorgo!$E81:INDEX(Sorgo!$E81:$Z81,MIN(J$6-$E$3,22))),0))-IF($G$2,0,IF((J$6-$G$3)&lt;1,0,IFERROR(LOOKUP(2,1/(Sorgo!$E81:INDEX(Sorgo!$E81:$Z81,MIN(J$6-$G$3,22))&lt;&gt;""),Sorgo!$E81:INDEX(Sorgo!$E81:$Z81,MIN(J$6-$G$3,22))),0)))))</f>
        <v>0</v>
      </c>
      <c r="K83" s="27" t="n">
        <f aca="false">IF(COUNT(Sorgo!$E81:$Z81)=0,0,MAX(0,IF((K$6-$E$3)&lt;1,0,IFERROR(LOOKUP(2,1/(Sorgo!$E81:INDEX(Sorgo!$E81:$Z81,MIN(K$6-$E$3,22))&lt;&gt;""),Sorgo!$E81:INDEX(Sorgo!$E81:$Z81,MIN(K$6-$E$3,22))),0))-IF($G$2,0,IF((K$6-$G$3)&lt;1,0,IFERROR(LOOKUP(2,1/(Sorgo!$E81:INDEX(Sorgo!$E81:$Z81,MIN(K$6-$G$3,22))&lt;&gt;""),Sorgo!$E81:INDEX(Sorgo!$E81:$Z81,MIN(K$6-$G$3,22))),0)))))</f>
        <v>0</v>
      </c>
      <c r="L83" s="27" t="n">
        <f aca="false">IF(COUNT(Sorgo!$E81:$Z81)=0,0,MAX(0,IF((L$6-$E$3)&lt;1,0,IFERROR(LOOKUP(2,1/(Sorgo!$E81:INDEX(Sorgo!$E81:$Z81,MIN(L$6-$E$3,22))&lt;&gt;""),Sorgo!$E81:INDEX(Sorgo!$E81:$Z81,MIN(L$6-$E$3,22))),0))-IF($G$2,0,IF((L$6-$G$3)&lt;1,0,IFERROR(LOOKUP(2,1/(Sorgo!$E81:INDEX(Sorgo!$E81:$Z81,MIN(L$6-$G$3,22))&lt;&gt;""),Sorgo!$E81:INDEX(Sorgo!$E81:$Z81,MIN(L$6-$G$3,22))),0)))))</f>
        <v>0</v>
      </c>
      <c r="M83" s="27" t="n">
        <f aca="false">IF(COUNT(Sorgo!$E81:$Z81)=0,0,MAX(0,IF((M$6-$E$3)&lt;1,0,IFERROR(LOOKUP(2,1/(Sorgo!$E81:INDEX(Sorgo!$E81:$Z81,MIN(M$6-$E$3,22))&lt;&gt;""),Sorgo!$E81:INDEX(Sorgo!$E81:$Z81,MIN(M$6-$E$3,22))),0))-IF($G$2,0,IF((M$6-$G$3)&lt;1,0,IFERROR(LOOKUP(2,1/(Sorgo!$E81:INDEX(Sorgo!$E81:$Z81,MIN(M$6-$G$3,22))&lt;&gt;""),Sorgo!$E81:INDEX(Sorgo!$E81:$Z81,MIN(M$6-$G$3,22))),0)))))</f>
        <v>0</v>
      </c>
      <c r="N83" s="27" t="n">
        <f aca="false">IF(COUNT(Sorgo!$E81:$Z81)=0,0,MAX(0,IF((N$6-$E$3)&lt;1,0,IFERROR(LOOKUP(2,1/(Sorgo!$E81:INDEX(Sorgo!$E81:$Z81,MIN(N$6-$E$3,22))&lt;&gt;""),Sorgo!$E81:INDEX(Sorgo!$E81:$Z81,MIN(N$6-$E$3,22))),0))-IF($G$2,0,IF((N$6-$G$3)&lt;1,0,IFERROR(LOOKUP(2,1/(Sorgo!$E81:INDEX(Sorgo!$E81:$Z81,MIN(N$6-$G$3,22))&lt;&gt;""),Sorgo!$E81:INDEX(Sorgo!$E81:$Z81,MIN(N$6-$G$3,22))),0)))))</f>
        <v>0</v>
      </c>
      <c r="O83" s="27" t="n">
        <f aca="false">IF(COUNT(Sorgo!$E81:$Z81)=0,0,MAX(0,IF((O$6-$E$3)&lt;1,0,IFERROR(LOOKUP(2,1/(Sorgo!$E81:INDEX(Sorgo!$E81:$Z81,MIN(O$6-$E$3,22))&lt;&gt;""),Sorgo!$E81:INDEX(Sorgo!$E81:$Z81,MIN(O$6-$E$3,22))),0))-IF($G$2,0,IF((O$6-$G$3)&lt;1,0,IFERROR(LOOKUP(2,1/(Sorgo!$E81:INDEX(Sorgo!$E81:$Z81,MIN(O$6-$G$3,22))&lt;&gt;""),Sorgo!$E81:INDEX(Sorgo!$E81:$Z81,MIN(O$6-$G$3,22))),0)))))</f>
        <v>0</v>
      </c>
      <c r="P83" s="27" t="n">
        <f aca="false">IF(COUNT(Sorgo!$E81:$Z81)=0,0,MAX(0,IF((P$6-$E$3)&lt;1,0,IFERROR(LOOKUP(2,1/(Sorgo!$E81:INDEX(Sorgo!$E81:$Z81,MIN(P$6-$E$3,22))&lt;&gt;""),Sorgo!$E81:INDEX(Sorgo!$E81:$Z81,MIN(P$6-$E$3,22))),0))-IF($G$2,0,IF((P$6-$G$3)&lt;1,0,IFERROR(LOOKUP(2,1/(Sorgo!$E81:INDEX(Sorgo!$E81:$Z81,MIN(P$6-$G$3,22))&lt;&gt;""),Sorgo!$E81:INDEX(Sorgo!$E81:$Z81,MIN(P$6-$G$3,22))),0)))))</f>
        <v>0</v>
      </c>
      <c r="Q83" s="27" t="n">
        <f aca="false">IF(COUNT(Sorgo!$E81:$Z81)=0,0,MAX(0,IF((Q$6-$E$3)&lt;1,0,IFERROR(LOOKUP(2,1/(Sorgo!$E81:INDEX(Sorgo!$E81:$Z81,MIN(Q$6-$E$3,22))&lt;&gt;""),Sorgo!$E81:INDEX(Sorgo!$E81:$Z81,MIN(Q$6-$E$3,22))),0))-IF($G$2,0,IF((Q$6-$G$3)&lt;1,0,IFERROR(LOOKUP(2,1/(Sorgo!$E81:INDEX(Sorgo!$E81:$Z81,MIN(Q$6-$G$3,22))&lt;&gt;""),Sorgo!$E81:INDEX(Sorgo!$E81:$Z81,MIN(Q$6-$G$3,22))),0)))))</f>
        <v>0</v>
      </c>
      <c r="R83" s="27" t="n">
        <f aca="false">IF(COUNT(Sorgo!$E81:$Z81)=0,0,MAX(0,IF((R$6-$E$3)&lt;1,0,IFERROR(LOOKUP(2,1/(Sorgo!$E81:INDEX(Sorgo!$E81:$Z81,MIN(R$6-$E$3,22))&lt;&gt;""),Sorgo!$E81:INDEX(Sorgo!$E81:$Z81,MIN(R$6-$E$3,22))),0))-IF($G$2,0,IF((R$6-$G$3)&lt;1,0,IFERROR(LOOKUP(2,1/(Sorgo!$E81:INDEX(Sorgo!$E81:$Z81,MIN(R$6-$G$3,22))&lt;&gt;""),Sorgo!$E81:INDEX(Sorgo!$E81:$Z81,MIN(R$6-$G$3,22))),0)))))</f>
        <v>0</v>
      </c>
      <c r="S83" s="27" t="n">
        <f aca="false">IF(COUNT(Sorgo!$E81:$Z81)=0,0,MAX(0,IF((S$6-$E$3)&lt;1,0,IFERROR(LOOKUP(2,1/(Sorgo!$E81:INDEX(Sorgo!$E81:$Z81,MIN(S$6-$E$3,22))&lt;&gt;""),Sorgo!$E81:INDEX(Sorgo!$E81:$Z81,MIN(S$6-$E$3,22))),0))-IF($G$2,0,IF((S$6-$G$3)&lt;1,0,IFERROR(LOOKUP(2,1/(Sorgo!$E81:INDEX(Sorgo!$E81:$Z81,MIN(S$6-$G$3,22))&lt;&gt;""),Sorgo!$E81:INDEX(Sorgo!$E81:$Z81,MIN(S$6-$G$3,22))),0)))))</f>
        <v>0</v>
      </c>
      <c r="T83" s="27" t="n">
        <f aca="false">IF(COUNT(Sorgo!$E81:$Z81)=0,0,MAX(0,IF((T$6-$E$3)&lt;1,0,IFERROR(LOOKUP(2,1/(Sorgo!$E81:INDEX(Sorgo!$E81:$Z81,MIN(T$6-$E$3,22))&lt;&gt;""),Sorgo!$E81:INDEX(Sorgo!$E81:$Z81,MIN(T$6-$E$3,22))),0))-IF($G$2,0,IF((T$6-$G$3)&lt;1,0,IFERROR(LOOKUP(2,1/(Sorgo!$E81:INDEX(Sorgo!$E81:$Z81,MIN(T$6-$G$3,22))&lt;&gt;""),Sorgo!$E81:INDEX(Sorgo!$E81:$Z81,MIN(T$6-$G$3,22))),0)))))</f>
        <v>0</v>
      </c>
      <c r="U83" s="27" t="n">
        <f aca="false">IF(COUNT(Sorgo!$E81:$Z81)=0,0,MAX(0,IF((U$6-$E$3)&lt;1,0,IFERROR(LOOKUP(2,1/(Sorgo!$E81:INDEX(Sorgo!$E81:$Z81,MIN(U$6-$E$3,22))&lt;&gt;""),Sorgo!$E81:INDEX(Sorgo!$E81:$Z81,MIN(U$6-$E$3,22))),0))-IF($G$2,0,IF((U$6-$G$3)&lt;1,0,IFERROR(LOOKUP(2,1/(Sorgo!$E81:INDEX(Sorgo!$E81:$Z81,MIN(U$6-$G$3,22))&lt;&gt;""),Sorgo!$E81:INDEX(Sorgo!$E81:$Z81,MIN(U$6-$G$3,22))),0)))))</f>
        <v>0</v>
      </c>
      <c r="V83" s="27" t="n">
        <f aca="false">IF(COUNT(Sorgo!$E81:$Z81)=0,0,MAX(0,IF((V$6-$E$3)&lt;1,0,IFERROR(LOOKUP(2,1/(Sorgo!$E81:INDEX(Sorgo!$E81:$Z81,MIN(V$6-$E$3,22))&lt;&gt;""),Sorgo!$E81:INDEX(Sorgo!$E81:$Z81,MIN(V$6-$E$3,22))),0))-IF($G$2,0,IF((V$6-$G$3)&lt;1,0,IFERROR(LOOKUP(2,1/(Sorgo!$E81:INDEX(Sorgo!$E81:$Z81,MIN(V$6-$G$3,22))&lt;&gt;""),Sorgo!$E81:INDEX(Sorgo!$E81:$Z81,MIN(V$6-$G$3,22))),0)))))</f>
        <v>0</v>
      </c>
      <c r="W83" s="27" t="n">
        <f aca="false">IF(COUNT(Sorgo!$E81:$Z81)=0,0,MAX(0,IF((W$6-$E$3)&lt;1,0,IFERROR(LOOKUP(2,1/(Sorgo!$E81:INDEX(Sorgo!$E81:$Z81,MIN(W$6-$E$3,22))&lt;&gt;""),Sorgo!$E81:INDEX(Sorgo!$E81:$Z81,MIN(W$6-$E$3,22))),0))-IF($G$2,0,IF((W$6-$G$3)&lt;1,0,IFERROR(LOOKUP(2,1/(Sorgo!$E81:INDEX(Sorgo!$E81:$Z81,MIN(W$6-$G$3,22))&lt;&gt;""),Sorgo!$E81:INDEX(Sorgo!$E81:$Z81,MIN(W$6-$G$3,22))),0)))))</f>
        <v>0</v>
      </c>
      <c r="X83" s="27" t="n">
        <f aca="false">IF(COUNT(Sorgo!$E81:$Z81)=0,0,MAX(0,IF((X$6-$E$3)&lt;1,0,IFERROR(LOOKUP(2,1/(Sorgo!$E81:INDEX(Sorgo!$E81:$Z81,MIN(X$6-$E$3,22))&lt;&gt;""),Sorgo!$E81:INDEX(Sorgo!$E81:$Z81,MIN(X$6-$E$3,22))),0))-IF($G$2,0,IF((X$6-$G$3)&lt;1,0,IFERROR(LOOKUP(2,1/(Sorgo!$E81:INDEX(Sorgo!$E81:$Z81,MIN(X$6-$G$3,22))&lt;&gt;""),Sorgo!$E81:INDEX(Sorgo!$E81:$Z81,MIN(X$6-$G$3,22))),0)))))</f>
        <v>0</v>
      </c>
      <c r="Y83" s="27" t="n">
        <f aca="false">IF(COUNT(Sorgo!$E81:$Z81)=0,0,MAX(0,IF((Y$6-$E$3)&lt;1,0,IFERROR(LOOKUP(2,1/(Sorgo!$E81:INDEX(Sorgo!$E81:$Z81,MIN(Y$6-$E$3,22))&lt;&gt;""),Sorgo!$E81:INDEX(Sorgo!$E81:$Z81,MIN(Y$6-$E$3,22))),0))-IF($G$2,0,IF((Y$6-$G$3)&lt;1,0,IFERROR(LOOKUP(2,1/(Sorgo!$E81:INDEX(Sorgo!$E81:$Z81,MIN(Y$6-$G$3,22))&lt;&gt;""),Sorgo!$E81:INDEX(Sorgo!$E81:$Z81,MIN(Y$6-$G$3,22))),0)))))</f>
        <v>0</v>
      </c>
      <c r="Z83" s="27" t="n">
        <f aca="false">IF(COUNT(Sorgo!$E81:$Z81)=0,0,MAX(0,IF((Z$6-$E$3)&lt;1,0,IFERROR(LOOKUP(2,1/(Sorgo!$E81:INDEX(Sorgo!$E81:$Z81,MIN(Z$6-$E$3,22))&lt;&gt;""),Sorgo!$E81:INDEX(Sorgo!$E81:$Z81,MIN(Z$6-$E$3,22))),0))-IF($G$2,0,IF((Z$6-$G$3)&lt;1,0,IFERROR(LOOKUP(2,1/(Sorgo!$E81:INDEX(Sorgo!$E81:$Z81,MIN(Z$6-$G$3,22))&lt;&gt;""),Sorgo!$E81:INDEX(Sorgo!$E81:$Z81,MIN(Z$6-$G$3,22))),0)))))</f>
        <v>0</v>
      </c>
      <c r="AA83" s="27" t="n">
        <f aca="false">IF(COUNT(Sorgo!$E81:$Z81)=0,0,MAX(0,IF((AA$6-$E$3)&lt;1,0,IFERROR(LOOKUP(2,1/(Sorgo!$E81:INDEX(Sorgo!$E81:$Z81,MIN(AA$6-$E$3,22))&lt;&gt;""),Sorgo!$E81:INDEX(Sorgo!$E81:$Z81,MIN(AA$6-$E$3,22))),0))-IF($G$2,0,IF((AA$6-$G$3)&lt;1,0,IFERROR(LOOKUP(2,1/(Sorgo!$E81:INDEX(Sorgo!$E81:$Z81,MIN(AA$6-$G$3,22))&lt;&gt;""),Sorgo!$E81:INDEX(Sorgo!$E81:$Z81,MIN(AA$6-$G$3,22))),0)))))</f>
        <v>0</v>
      </c>
      <c r="AB83" s="27" t="n">
        <f aca="false">IF(COUNT(Sorgo!$E81:$Z81)=0,0,MAX(0,IF((AB$6-$E$3)&lt;1,0,IFERROR(LOOKUP(2,1/(Sorgo!$E81:INDEX(Sorgo!$E81:$Z81,MIN(AB$6-$E$3,22))&lt;&gt;""),Sorgo!$E81:INDEX(Sorgo!$E81:$Z81,MIN(AB$6-$E$3,22))),0))-IF($G$2,0,IF((AB$6-$G$3)&lt;1,0,IFERROR(LOOKUP(2,1/(Sorgo!$E81:INDEX(Sorgo!$E81:$Z81,MIN(AB$6-$G$3,22))&lt;&gt;""),Sorgo!$E81:INDEX(Sorgo!$E81:$Z81,MIN(AB$6-$G$3,22))),0)))))</f>
        <v>0</v>
      </c>
      <c r="AC83" s="27" t="n">
        <f aca="false">IF(COUNT(Sorgo!$E81:$Z81)=0,0,MAX(0,IF((AC$6-$E$3)&lt;1,0,IFERROR(LOOKUP(2,1/(Sorgo!$E81:INDEX(Sorgo!$E81:$Z81,MIN(AC$6-$E$3,22))&lt;&gt;""),Sorgo!$E81:INDEX(Sorgo!$E81:$Z81,MIN(AC$6-$E$3,22))),0))-IF($G$2,0,IF((AC$6-$G$3)&lt;1,0,IFERROR(LOOKUP(2,1/(Sorgo!$E81:INDEX(Sorgo!$E81:$Z81,MIN(AC$6-$G$3,22))&lt;&gt;""),Sorgo!$E81:INDEX(Sorgo!$E81:$Z81,MIN(AC$6-$G$3,22))),0)))))</f>
        <v>0</v>
      </c>
      <c r="AD83" s="27" t="n">
        <f aca="false">IF(COUNT(Sorgo!$E81:$Z81)=0,0,MAX(0,IF((AD$6-$E$3)&lt;1,0,IFERROR(LOOKUP(2,1/(Sorgo!$E81:INDEX(Sorgo!$E81:$Z81,MIN(AD$6-$E$3,22))&lt;&gt;""),Sorgo!$E81:INDEX(Sorgo!$E81:$Z81,MIN(AD$6-$E$3,22))),0))-IF($G$2,0,IF((AD$6-$G$3)&lt;1,0,IFERROR(LOOKUP(2,1/(Sorgo!$E81:INDEX(Sorgo!$E81:$Z81,MIN(AD$6-$G$3,22))&lt;&gt;""),Sorgo!$E81:INDEX(Sorgo!$E81:$Z81,MIN(AD$6-$G$3,22))),0)))))</f>
        <v>0</v>
      </c>
      <c r="AE83" s="27" t="n">
        <f aca="false">IF(COUNT(Sorgo!$E81:$Z81)=0,0,MAX(0,IF((AE$6-$E$3)&lt;1,0,IFERROR(LOOKUP(2,1/(Sorgo!$E81:INDEX(Sorgo!$E81:$Z81,MIN(AE$6-$E$3,22))&lt;&gt;""),Sorgo!$E81:INDEX(Sorgo!$E81:$Z81,MIN(AE$6-$E$3,22))),0))-IF($G$2,0,IF((AE$6-$G$3)&lt;1,0,IFERROR(LOOKUP(2,1/(Sorgo!$E81:INDEX(Sorgo!$E81:$Z81,MIN(AE$6-$G$3,22))&lt;&gt;""),Sorgo!$E81:INDEX(Sorgo!$E81:$Z81,MIN(AE$6-$G$3,22))),0)))))</f>
        <v>0</v>
      </c>
      <c r="AF83" s="27" t="n">
        <f aca="false">IF(COUNT(Sorgo!$E81:$Z81)=0,0,MAX(0,IF((AF$6-$E$3)&lt;1,0,IFERROR(LOOKUP(2,1/(Sorgo!$E81:INDEX(Sorgo!$E81:$Z81,MIN(AF$6-$E$3,22))&lt;&gt;""),Sorgo!$E81:INDEX(Sorgo!$E81:$Z81,MIN(AF$6-$E$3,22))),0))-IF($G$2,0,IF((AF$6-$G$3)&lt;1,0,IFERROR(LOOKUP(2,1/(Sorgo!$E81:INDEX(Sorgo!$E81:$Z81,MIN(AF$6-$G$3,22))&lt;&gt;""),Sorgo!$E81:INDEX(Sorgo!$E81:$Z81,MIN(AF$6-$G$3,22))),0)))))</f>
        <v>0</v>
      </c>
      <c r="AG83" s="27" t="n">
        <f aca="false">IF(COUNT(Sorgo!$E81:$Z81)=0,0,MAX(0,IF((AG$6-$E$3)&lt;1,0,IFERROR(LOOKUP(2,1/(Sorgo!$E81:INDEX(Sorgo!$E81:$Z81,MIN(AG$6-$E$3,22))&lt;&gt;""),Sorgo!$E81:INDEX(Sorgo!$E81:$Z81,MIN(AG$6-$E$3,22))),0))-IF($G$2,0,IF((AG$6-$G$3)&lt;1,0,IFERROR(LOOKUP(2,1/(Sorgo!$E81:INDEX(Sorgo!$E81:$Z81,MIN(AG$6-$G$3,22))&lt;&gt;""),Sorgo!$E81:INDEX(Sorgo!$E81:$Z81,MIN(AG$6-$G$3,22))),0)))))</f>
        <v>0</v>
      </c>
      <c r="AH83" s="27" t="n">
        <f aca="false">IF(COUNT(Sorgo!$E81:$Z81)=0,0,MAX(0,IF((AH$6-$E$3)&lt;1,0,IFERROR(LOOKUP(2,1/(Sorgo!$E81:INDEX(Sorgo!$E81:$Z81,MIN(AH$6-$E$3,22))&lt;&gt;""),Sorgo!$E81:INDEX(Sorgo!$E81:$Z81,MIN(AH$6-$E$3,22))),0))-IF($G$2,0,IF((AH$6-$G$3)&lt;1,0,IFERROR(LOOKUP(2,1/(Sorgo!$E81:INDEX(Sorgo!$E81:$Z81,MIN(AH$6-$G$3,22))&lt;&gt;""),Sorgo!$E81:INDEX(Sorgo!$E81:$Z81,MIN(AH$6-$G$3,22))),0)))))</f>
        <v>0</v>
      </c>
      <c r="AI83" s="27" t="n">
        <f aca="false">IF(COUNT(Sorgo!$E81:$Z81)=0,0,MAX(0,IF((AI$6-$E$3)&lt;1,0,IFERROR(LOOKUP(2,1/(Sorgo!$E81:INDEX(Sorgo!$E81:$Z81,MIN(AI$6-$E$3,22))&lt;&gt;""),Sorgo!$E81:INDEX(Sorgo!$E81:$Z81,MIN(AI$6-$E$3,22))),0))-IF($G$2,0,IF((AI$6-$G$3)&lt;1,0,IFERROR(LOOKUP(2,1/(Sorgo!$E81:INDEX(Sorgo!$E81:$Z81,MIN(AI$6-$G$3,22))&lt;&gt;""),Sorgo!$E81:INDEX(Sorgo!$E81:$Z81,MIN(AI$6-$G$3,22))),0)))))</f>
        <v>0</v>
      </c>
      <c r="AJ83" s="27" t="n">
        <f aca="false">IF(COUNT(Sorgo!$E81:$Z81)=0,0,MAX(0,IF((AJ$6-$E$3)&lt;1,0,IFERROR(LOOKUP(2,1/(Sorgo!$E81:INDEX(Sorgo!$E81:$Z81,MIN(AJ$6-$E$3,22))&lt;&gt;""),Sorgo!$E81:INDEX(Sorgo!$E81:$Z81,MIN(AJ$6-$E$3,22))),0))-IF($G$2,0,IF((AJ$6-$G$3)&lt;1,0,IFERROR(LOOKUP(2,1/(Sorgo!$E81:INDEX(Sorgo!$E81:$Z81,MIN(AJ$6-$G$3,22))&lt;&gt;""),Sorgo!$E81:INDEX(Sorgo!$E81:$Z81,MIN(AJ$6-$G$3,22))),0)))))</f>
        <v>0</v>
      </c>
      <c r="AK83" s="27" t="n">
        <f aca="false">IF(COUNT(Sorgo!$E81:$Z81)=0,0,MAX(0,IF((AK$6-$E$3)&lt;1,0,IFERROR(LOOKUP(2,1/(Sorgo!$E81:INDEX(Sorgo!$E81:$Z81,MIN(AK$6-$E$3,22))&lt;&gt;""),Sorgo!$E81:INDEX(Sorgo!$E81:$Z81,MIN(AK$6-$E$3,22))),0))-IF($G$2,0,IF((AK$6-$G$3)&lt;1,0,IFERROR(LOOKUP(2,1/(Sorgo!$E81:INDEX(Sorgo!$E81:$Z81,MIN(AK$6-$G$3,22))&lt;&gt;""),Sorgo!$E81:INDEX(Sorgo!$E81:$Z81,MIN(AK$6-$G$3,22))),0)))))</f>
        <v>0</v>
      </c>
      <c r="AL83" s="27" t="n">
        <f aca="false">IF(COUNT(Sorgo!$E81:$Z81)=0,0,MAX(0,IF((AL$6-$E$3)&lt;1,0,IFERROR(LOOKUP(2,1/(Sorgo!$E81:INDEX(Sorgo!$E81:$Z81,MIN(AL$6-$E$3,22))&lt;&gt;""),Sorgo!$E81:INDEX(Sorgo!$E81:$Z81,MIN(AL$6-$E$3,22))),0))-IF($G$2,0,IF((AL$6-$G$3)&lt;1,0,IFERROR(LOOKUP(2,1/(Sorgo!$E81:INDEX(Sorgo!$E81:$Z81,MIN(AL$6-$G$3,22))&lt;&gt;""),Sorgo!$E81:INDEX(Sorgo!$E81:$Z81,MIN(AL$6-$G$3,22))),0)))))</f>
        <v>0</v>
      </c>
      <c r="AM83" s="27" t="n">
        <f aca="false">IF(COUNT(Sorgo!$E81:$Z81)=0,0,MAX(0,IF((AM$6-$E$3)&lt;1,0,IFERROR(LOOKUP(2,1/(Sorgo!$E81:INDEX(Sorgo!$E81:$Z81,MIN(AM$6-$E$3,22))&lt;&gt;""),Sorgo!$E81:INDEX(Sorgo!$E81:$Z81,MIN(AM$6-$E$3,22))),0))-IF($G$2,0,IF((AM$6-$G$3)&lt;1,0,IFERROR(LOOKUP(2,1/(Sorgo!$E81:INDEX(Sorgo!$E81:$Z81,MIN(AM$6-$G$3,22))&lt;&gt;""),Sorgo!$E81:INDEX(Sorgo!$E81:$Z81,MIN(AM$6-$G$3,22))),0)))))</f>
        <v>0</v>
      </c>
      <c r="AN83" s="27" t="n">
        <f aca="false">IF(COUNT(Sorgo!$E81:$Z81)=0,0,MAX(0,IF((AN$6-$E$3)&lt;1,0,IFERROR(LOOKUP(2,1/(Sorgo!$E81:INDEX(Sorgo!$E81:$Z81,MIN(AN$6-$E$3,22))&lt;&gt;""),Sorgo!$E81:INDEX(Sorgo!$E81:$Z81,MIN(AN$6-$E$3,22))),0))-IF($G$2,0,IF((AN$6-$G$3)&lt;1,0,IFERROR(LOOKUP(2,1/(Sorgo!$E81:INDEX(Sorgo!$E81:$Z81,MIN(AN$6-$G$3,22))&lt;&gt;""),Sorgo!$E81:INDEX(Sorgo!$E81:$Z81,MIN(AN$6-$G$3,22))),0)))))</f>
        <v>0</v>
      </c>
      <c r="AO83" s="27" t="n">
        <f aca="false">IF(COUNT(Sorgo!$E81:$Z81)=0,0,MAX(0,IF((AO$6-$E$3)&lt;1,0,IFERROR(LOOKUP(2,1/(Sorgo!$E81:INDEX(Sorgo!$E81:$Z81,MIN(AO$6-$E$3,22))&lt;&gt;""),Sorgo!$E81:INDEX(Sorgo!$E81:$Z81,MIN(AO$6-$E$3,22))),0))-IF($G$2,0,IF((AO$6-$G$3)&lt;1,0,IFERROR(LOOKUP(2,1/(Sorgo!$E81:INDEX(Sorgo!$E81:$Z81,MIN(AO$6-$G$3,22))&lt;&gt;""),Sorgo!$E81:INDEX(Sorgo!$E81:$Z81,MIN(AO$6-$G$3,22))),0)))))</f>
        <v>0</v>
      </c>
      <c r="AP83" s="27" t="n">
        <f aca="false">IF(COUNT(Sorgo!$E81:$Z81)=0,0,MAX(0,IF((AP$6-$E$3)&lt;1,0,IFERROR(LOOKUP(2,1/(Sorgo!$E81:INDEX(Sorgo!$E81:$Z81,MIN(AP$6-$E$3,22))&lt;&gt;""),Sorgo!$E81:INDEX(Sorgo!$E81:$Z81,MIN(AP$6-$E$3,22))),0))-IF($G$2,0,IF((AP$6-$G$3)&lt;1,0,IFERROR(LOOKUP(2,1/(Sorgo!$E81:INDEX(Sorgo!$E81:$Z81,MIN(AP$6-$G$3,22))&lt;&gt;""),Sorgo!$E81:INDEX(Sorgo!$E81:$Z81,MIN(AP$6-$G$3,22))),0)))))</f>
        <v>0</v>
      </c>
      <c r="AQ83" s="27" t="n">
        <f aca="false">IF(COUNT(Sorgo!$E81:$Z81)=0,0,MAX(0,IF((AQ$6-$E$3)&lt;1,0,IFERROR(LOOKUP(2,1/(Sorgo!$E81:INDEX(Sorgo!$E81:$Z81,MIN(AQ$6-$E$3,22))&lt;&gt;""),Sorgo!$E81:INDEX(Sorgo!$E81:$Z81,MIN(AQ$6-$E$3,22))),0))-IF($G$2,0,IF((AQ$6-$G$3)&lt;1,0,IFERROR(LOOKUP(2,1/(Sorgo!$E81:INDEX(Sorgo!$E81:$Z81,MIN(AQ$6-$G$3,22))&lt;&gt;""),Sorgo!$E81:INDEX(Sorgo!$E81:$Z81,MIN(AQ$6-$G$3,22))),0)))))</f>
        <v>0</v>
      </c>
      <c r="AR83" s="27" t="n">
        <f aca="false">IF(COUNT(Sorgo!$E81:$Z81)=0,0,MAX(0,IF((AR$6-$E$3)&lt;1,0,IFERROR(LOOKUP(2,1/(Sorgo!$E81:INDEX(Sorgo!$E81:$Z81,MIN(AR$6-$E$3,22))&lt;&gt;""),Sorgo!$E81:INDEX(Sorgo!$E81:$Z81,MIN(AR$6-$E$3,22))),0))-IF($G$2,0,IF((AR$6-$G$3)&lt;1,0,IFERROR(LOOKUP(2,1/(Sorgo!$E81:INDEX(Sorgo!$E81:$Z81,MIN(AR$6-$G$3,22))&lt;&gt;""),Sorgo!$E81:INDEX(Sorgo!$E81:$Z81,MIN(AR$6-$G$3,22))),0)))))</f>
        <v>0</v>
      </c>
      <c r="AS83" s="27" t="n">
        <f aca="false">IF(COUNT(Sorgo!$E81:$Z81)=0,0,MAX(0,IF((AS$6-$E$3)&lt;1,0,IFERROR(LOOKUP(2,1/(Sorgo!$E81:INDEX(Sorgo!$E81:$Z81,MIN(AS$6-$E$3,22))&lt;&gt;""),Sorgo!$E81:INDEX(Sorgo!$E81:$Z81,MIN(AS$6-$E$3,22))),0))-IF($G$2,0,IF((AS$6-$G$3)&lt;1,0,IFERROR(LOOKUP(2,1/(Sorgo!$E81:INDEX(Sorgo!$E81:$Z81,MIN(AS$6-$G$3,22))&lt;&gt;""),Sorgo!$E81:INDEX(Sorgo!$E81:$Z81,MIN(AS$6-$G$3,22))),0)))))</f>
        <v>0</v>
      </c>
      <c r="AT83" s="27" t="n">
        <f aca="false">IF(COUNT(Sorgo!$E81:$Z81)=0,0,MAX(0,IF((AT$6-$E$3)&lt;1,0,IFERROR(LOOKUP(2,1/(Sorgo!$E81:INDEX(Sorgo!$E81:$Z81,MIN(AT$6-$E$3,22))&lt;&gt;""),Sorgo!$E81:INDEX(Sorgo!$E81:$Z81,MIN(AT$6-$E$3,22))),0))-IF($G$2,0,IF((AT$6-$G$3)&lt;1,0,IFERROR(LOOKUP(2,1/(Sorgo!$E81:INDEX(Sorgo!$E81:$Z81,MIN(AT$6-$G$3,22))&lt;&gt;""),Sorgo!$E81:INDEX(Sorgo!$E81:$Z81,MIN(AT$6-$G$3,22))),0)))))</f>
        <v>0</v>
      </c>
      <c r="AU83" s="27" t="n">
        <f aca="false">IF(COUNT(Sorgo!$E81:$Z81)=0,0,MAX(0,IF((AU$6-$E$3)&lt;1,0,IFERROR(LOOKUP(2,1/(Sorgo!$E81:INDEX(Sorgo!$E81:$Z81,MIN(AU$6-$E$3,22))&lt;&gt;""),Sorgo!$E81:INDEX(Sorgo!$E81:$Z81,MIN(AU$6-$E$3,22))),0))-IF($G$2,0,IF((AU$6-$G$3)&lt;1,0,IFERROR(LOOKUP(2,1/(Sorgo!$E81:INDEX(Sorgo!$E81:$Z81,MIN(AU$6-$G$3,22))&lt;&gt;""),Sorgo!$E81:INDEX(Sorgo!$E81:$Z81,MIN(AU$6-$G$3,22))),0)))))</f>
        <v>0</v>
      </c>
      <c r="AV83" s="27" t="n">
        <f aca="false">IF(COUNT(Sorgo!$E81:$Z81)=0,0,MAX(0,IF((AV$6-$E$3)&lt;1,0,IFERROR(LOOKUP(2,1/(Sorgo!$E81:INDEX(Sorgo!$E81:$Z81,MIN(AV$6-$E$3,22))&lt;&gt;""),Sorgo!$E81:INDEX(Sorgo!$E81:$Z81,MIN(AV$6-$E$3,22))),0))-IF($G$2,0,IF((AV$6-$G$3)&lt;1,0,IFERROR(LOOKUP(2,1/(Sorgo!$E81:INDEX(Sorgo!$E81:$Z81,MIN(AV$6-$G$3,22))&lt;&gt;""),Sorgo!$E81:INDEX(Sorgo!$E81:$Z81,MIN(AV$6-$G$3,22))),0)))))</f>
        <v>0</v>
      </c>
      <c r="AW83" s="27" t="n">
        <f aca="false">IF(COUNT(Sorgo!$E81:$Z81)=0,0,MAX(0,IF((AW$6-$E$3)&lt;1,0,IFERROR(LOOKUP(2,1/(Sorgo!$E81:INDEX(Sorgo!$E81:$Z81,MIN(AW$6-$E$3,22))&lt;&gt;""),Sorgo!$E81:INDEX(Sorgo!$E81:$Z81,MIN(AW$6-$E$3,22))),0))-IF($G$2,0,IF((AW$6-$G$3)&lt;1,0,IFERROR(LOOKUP(2,1/(Sorgo!$E81:INDEX(Sorgo!$E81:$Z81,MIN(AW$6-$G$3,22))&lt;&gt;""),Sorgo!$E81:INDEX(Sorgo!$E81:$Z81,MIN(AW$6-$G$3,22))),0)))))</f>
        <v>0</v>
      </c>
      <c r="AX83" s="27" t="n">
        <f aca="false">IF(COUNT(Sorgo!$E81:$Z81)=0,0,MAX(0,IF((AX$6-$E$3)&lt;1,0,IFERROR(LOOKUP(2,1/(Sorgo!$E81:INDEX(Sorgo!$E81:$Z81,MIN(AX$6-$E$3,22))&lt;&gt;""),Sorgo!$E81:INDEX(Sorgo!$E81:$Z81,MIN(AX$6-$E$3,22))),0))-IF($G$2,0,IF((AX$6-$G$3)&lt;1,0,IFERROR(LOOKUP(2,1/(Sorgo!$E81:INDEX(Sorgo!$E81:$Z81,MIN(AX$6-$G$3,22))&lt;&gt;""),Sorgo!$E81:INDEX(Sorgo!$E81:$Z81,MIN(AX$6-$G$3,22))),0)))))</f>
        <v>0</v>
      </c>
      <c r="AY83" s="27" t="n">
        <f aca="false">IF(COUNT(Sorgo!$E81:$Z81)=0,0,MAX(0,IF((AY$6-$E$3)&lt;1,0,IFERROR(LOOKUP(2,1/(Sorgo!$E81:INDEX(Sorgo!$E81:$Z81,MIN(AY$6-$E$3,22))&lt;&gt;""),Sorgo!$E81:INDEX(Sorgo!$E81:$Z81,MIN(AY$6-$E$3,22))),0))-IF($G$2,0,IF((AY$6-$G$3)&lt;1,0,IFERROR(LOOKUP(2,1/(Sorgo!$E81:INDEX(Sorgo!$E81:$Z81,MIN(AY$6-$G$3,22))&lt;&gt;""),Sorgo!$E81:INDEX(Sorgo!$E81:$Z81,MIN(AY$6-$G$3,22))),0)))))</f>
        <v>0</v>
      </c>
      <c r="AZ83" s="27" t="n">
        <f aca="false">IF(COUNT(Sorgo!$E81:$Z81)=0,0,MAX(0,IF((AZ$6-$E$3)&lt;1,0,IFERROR(LOOKUP(2,1/(Sorgo!$E81:INDEX(Sorgo!$E81:$Z81,MIN(AZ$6-$E$3,22))&lt;&gt;""),Sorgo!$E81:INDEX(Sorgo!$E81:$Z81,MIN(AZ$6-$E$3,22))),0))-IF($G$2,0,IF((AZ$6-$G$3)&lt;1,0,IFERROR(LOOKUP(2,1/(Sorgo!$E81:INDEX(Sorgo!$E81:$Z81,MIN(AZ$6-$G$3,22))&lt;&gt;""),Sorgo!$E81:INDEX(Sorgo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IF(COUNT(Sorgo!$E82:$Z82)&gt;0,N(Sorgo!$D82),0)</f>
        <v>0</v>
      </c>
      <c r="E84" s="27" t="n">
        <f aca="false">IF(COUNT(Sorgo!$E82:$Z82)=0,0,MAX(0,IF((E$6-$E$3)&lt;1,0,IFERROR(LOOKUP(2,1/(Sorgo!$E82:INDEX(Sorgo!$E82:$Z82,MIN(E$6-$E$3,22))&lt;&gt;""),Sorgo!$E82:INDEX(Sorgo!$E82:$Z82,MIN(E$6-$E$3,22))),0))-IF($G$2,0,IF((E$6-$G$3)&lt;1,0,IFERROR(LOOKUP(2,1/(Sorgo!$E82:INDEX(Sorgo!$E82:$Z82,MIN(E$6-$G$3,22))&lt;&gt;""),Sorgo!$E82:INDEX(Sorgo!$E82:$Z82,MIN(E$6-$G$3,22))),0)))))</f>
        <v>0</v>
      </c>
      <c r="F84" s="27" t="n">
        <f aca="false">IF(COUNT(Sorgo!$E82:$Z82)=0,0,MAX(0,IF((F$6-$E$3)&lt;1,0,IFERROR(LOOKUP(2,1/(Sorgo!$E82:INDEX(Sorgo!$E82:$Z82,MIN(F$6-$E$3,22))&lt;&gt;""),Sorgo!$E82:INDEX(Sorgo!$E82:$Z82,MIN(F$6-$E$3,22))),0))-IF($G$2,0,IF((F$6-$G$3)&lt;1,0,IFERROR(LOOKUP(2,1/(Sorgo!$E82:INDEX(Sorgo!$E82:$Z82,MIN(F$6-$G$3,22))&lt;&gt;""),Sorgo!$E82:INDEX(Sorgo!$E82:$Z82,MIN(F$6-$G$3,22))),0)))))</f>
        <v>0</v>
      </c>
      <c r="G84" s="27" t="n">
        <f aca="false">IF(COUNT(Sorgo!$E82:$Z82)=0,0,MAX(0,IF((G$6-$E$3)&lt;1,0,IFERROR(LOOKUP(2,1/(Sorgo!$E82:INDEX(Sorgo!$E82:$Z82,MIN(G$6-$E$3,22))&lt;&gt;""),Sorgo!$E82:INDEX(Sorgo!$E82:$Z82,MIN(G$6-$E$3,22))),0))-IF($G$2,0,IF((G$6-$G$3)&lt;1,0,IFERROR(LOOKUP(2,1/(Sorgo!$E82:INDEX(Sorgo!$E82:$Z82,MIN(G$6-$G$3,22))&lt;&gt;""),Sorgo!$E82:INDEX(Sorgo!$E82:$Z82,MIN(G$6-$G$3,22))),0)))))</f>
        <v>0</v>
      </c>
      <c r="H84" s="27" t="n">
        <f aca="false">IF(COUNT(Sorgo!$E82:$Z82)=0,0,MAX(0,IF((H$6-$E$3)&lt;1,0,IFERROR(LOOKUP(2,1/(Sorgo!$E82:INDEX(Sorgo!$E82:$Z82,MIN(H$6-$E$3,22))&lt;&gt;""),Sorgo!$E82:INDEX(Sorgo!$E82:$Z82,MIN(H$6-$E$3,22))),0))-IF($G$2,0,IF((H$6-$G$3)&lt;1,0,IFERROR(LOOKUP(2,1/(Sorgo!$E82:INDEX(Sorgo!$E82:$Z82,MIN(H$6-$G$3,22))&lt;&gt;""),Sorgo!$E82:INDEX(Sorgo!$E82:$Z82,MIN(H$6-$G$3,22))),0)))))</f>
        <v>0</v>
      </c>
      <c r="I84" s="27" t="n">
        <f aca="false">IF(COUNT(Sorgo!$E82:$Z82)=0,0,MAX(0,IF((I$6-$E$3)&lt;1,0,IFERROR(LOOKUP(2,1/(Sorgo!$E82:INDEX(Sorgo!$E82:$Z82,MIN(I$6-$E$3,22))&lt;&gt;""),Sorgo!$E82:INDEX(Sorgo!$E82:$Z82,MIN(I$6-$E$3,22))),0))-IF($G$2,0,IF((I$6-$G$3)&lt;1,0,IFERROR(LOOKUP(2,1/(Sorgo!$E82:INDEX(Sorgo!$E82:$Z82,MIN(I$6-$G$3,22))&lt;&gt;""),Sorgo!$E82:INDEX(Sorgo!$E82:$Z82,MIN(I$6-$G$3,22))),0)))))</f>
        <v>0</v>
      </c>
      <c r="J84" s="27" t="n">
        <f aca="false">IF(COUNT(Sorgo!$E82:$Z82)=0,0,MAX(0,IF((J$6-$E$3)&lt;1,0,IFERROR(LOOKUP(2,1/(Sorgo!$E82:INDEX(Sorgo!$E82:$Z82,MIN(J$6-$E$3,22))&lt;&gt;""),Sorgo!$E82:INDEX(Sorgo!$E82:$Z82,MIN(J$6-$E$3,22))),0))-IF($G$2,0,IF((J$6-$G$3)&lt;1,0,IFERROR(LOOKUP(2,1/(Sorgo!$E82:INDEX(Sorgo!$E82:$Z82,MIN(J$6-$G$3,22))&lt;&gt;""),Sorgo!$E82:INDEX(Sorgo!$E82:$Z82,MIN(J$6-$G$3,22))),0)))))</f>
        <v>0</v>
      </c>
      <c r="K84" s="27" t="n">
        <f aca="false">IF(COUNT(Sorgo!$E82:$Z82)=0,0,MAX(0,IF((K$6-$E$3)&lt;1,0,IFERROR(LOOKUP(2,1/(Sorgo!$E82:INDEX(Sorgo!$E82:$Z82,MIN(K$6-$E$3,22))&lt;&gt;""),Sorgo!$E82:INDEX(Sorgo!$E82:$Z82,MIN(K$6-$E$3,22))),0))-IF($G$2,0,IF((K$6-$G$3)&lt;1,0,IFERROR(LOOKUP(2,1/(Sorgo!$E82:INDEX(Sorgo!$E82:$Z82,MIN(K$6-$G$3,22))&lt;&gt;""),Sorgo!$E82:INDEX(Sorgo!$E82:$Z82,MIN(K$6-$G$3,22))),0)))))</f>
        <v>0</v>
      </c>
      <c r="L84" s="27" t="n">
        <f aca="false">IF(COUNT(Sorgo!$E82:$Z82)=0,0,MAX(0,IF((L$6-$E$3)&lt;1,0,IFERROR(LOOKUP(2,1/(Sorgo!$E82:INDEX(Sorgo!$E82:$Z82,MIN(L$6-$E$3,22))&lt;&gt;""),Sorgo!$E82:INDEX(Sorgo!$E82:$Z82,MIN(L$6-$E$3,22))),0))-IF($G$2,0,IF((L$6-$G$3)&lt;1,0,IFERROR(LOOKUP(2,1/(Sorgo!$E82:INDEX(Sorgo!$E82:$Z82,MIN(L$6-$G$3,22))&lt;&gt;""),Sorgo!$E82:INDEX(Sorgo!$E82:$Z82,MIN(L$6-$G$3,22))),0)))))</f>
        <v>0</v>
      </c>
      <c r="M84" s="27" t="n">
        <f aca="false">IF(COUNT(Sorgo!$E82:$Z82)=0,0,MAX(0,IF((M$6-$E$3)&lt;1,0,IFERROR(LOOKUP(2,1/(Sorgo!$E82:INDEX(Sorgo!$E82:$Z82,MIN(M$6-$E$3,22))&lt;&gt;""),Sorgo!$E82:INDEX(Sorgo!$E82:$Z82,MIN(M$6-$E$3,22))),0))-IF($G$2,0,IF((M$6-$G$3)&lt;1,0,IFERROR(LOOKUP(2,1/(Sorgo!$E82:INDEX(Sorgo!$E82:$Z82,MIN(M$6-$G$3,22))&lt;&gt;""),Sorgo!$E82:INDEX(Sorgo!$E82:$Z82,MIN(M$6-$G$3,22))),0)))))</f>
        <v>0</v>
      </c>
      <c r="N84" s="27" t="n">
        <f aca="false">IF(COUNT(Sorgo!$E82:$Z82)=0,0,MAX(0,IF((N$6-$E$3)&lt;1,0,IFERROR(LOOKUP(2,1/(Sorgo!$E82:INDEX(Sorgo!$E82:$Z82,MIN(N$6-$E$3,22))&lt;&gt;""),Sorgo!$E82:INDEX(Sorgo!$E82:$Z82,MIN(N$6-$E$3,22))),0))-IF($G$2,0,IF((N$6-$G$3)&lt;1,0,IFERROR(LOOKUP(2,1/(Sorgo!$E82:INDEX(Sorgo!$E82:$Z82,MIN(N$6-$G$3,22))&lt;&gt;""),Sorgo!$E82:INDEX(Sorgo!$E82:$Z82,MIN(N$6-$G$3,22))),0)))))</f>
        <v>0</v>
      </c>
      <c r="O84" s="27" t="n">
        <f aca="false">IF(COUNT(Sorgo!$E82:$Z82)=0,0,MAX(0,IF((O$6-$E$3)&lt;1,0,IFERROR(LOOKUP(2,1/(Sorgo!$E82:INDEX(Sorgo!$E82:$Z82,MIN(O$6-$E$3,22))&lt;&gt;""),Sorgo!$E82:INDEX(Sorgo!$E82:$Z82,MIN(O$6-$E$3,22))),0))-IF($G$2,0,IF((O$6-$G$3)&lt;1,0,IFERROR(LOOKUP(2,1/(Sorgo!$E82:INDEX(Sorgo!$E82:$Z82,MIN(O$6-$G$3,22))&lt;&gt;""),Sorgo!$E82:INDEX(Sorgo!$E82:$Z82,MIN(O$6-$G$3,22))),0)))))</f>
        <v>0</v>
      </c>
      <c r="P84" s="27" t="n">
        <f aca="false">IF(COUNT(Sorgo!$E82:$Z82)=0,0,MAX(0,IF((P$6-$E$3)&lt;1,0,IFERROR(LOOKUP(2,1/(Sorgo!$E82:INDEX(Sorgo!$E82:$Z82,MIN(P$6-$E$3,22))&lt;&gt;""),Sorgo!$E82:INDEX(Sorgo!$E82:$Z82,MIN(P$6-$E$3,22))),0))-IF($G$2,0,IF((P$6-$G$3)&lt;1,0,IFERROR(LOOKUP(2,1/(Sorgo!$E82:INDEX(Sorgo!$E82:$Z82,MIN(P$6-$G$3,22))&lt;&gt;""),Sorgo!$E82:INDEX(Sorgo!$E82:$Z82,MIN(P$6-$G$3,22))),0)))))</f>
        <v>0</v>
      </c>
      <c r="Q84" s="27" t="n">
        <f aca="false">IF(COUNT(Sorgo!$E82:$Z82)=0,0,MAX(0,IF((Q$6-$E$3)&lt;1,0,IFERROR(LOOKUP(2,1/(Sorgo!$E82:INDEX(Sorgo!$E82:$Z82,MIN(Q$6-$E$3,22))&lt;&gt;""),Sorgo!$E82:INDEX(Sorgo!$E82:$Z82,MIN(Q$6-$E$3,22))),0))-IF($G$2,0,IF((Q$6-$G$3)&lt;1,0,IFERROR(LOOKUP(2,1/(Sorgo!$E82:INDEX(Sorgo!$E82:$Z82,MIN(Q$6-$G$3,22))&lt;&gt;""),Sorgo!$E82:INDEX(Sorgo!$E82:$Z82,MIN(Q$6-$G$3,22))),0)))))</f>
        <v>0</v>
      </c>
      <c r="R84" s="27" t="n">
        <f aca="false">IF(COUNT(Sorgo!$E82:$Z82)=0,0,MAX(0,IF((R$6-$E$3)&lt;1,0,IFERROR(LOOKUP(2,1/(Sorgo!$E82:INDEX(Sorgo!$E82:$Z82,MIN(R$6-$E$3,22))&lt;&gt;""),Sorgo!$E82:INDEX(Sorgo!$E82:$Z82,MIN(R$6-$E$3,22))),0))-IF($G$2,0,IF((R$6-$G$3)&lt;1,0,IFERROR(LOOKUP(2,1/(Sorgo!$E82:INDEX(Sorgo!$E82:$Z82,MIN(R$6-$G$3,22))&lt;&gt;""),Sorgo!$E82:INDEX(Sorgo!$E82:$Z82,MIN(R$6-$G$3,22))),0)))))</f>
        <v>0</v>
      </c>
      <c r="S84" s="27" t="n">
        <f aca="false">IF(COUNT(Sorgo!$E82:$Z82)=0,0,MAX(0,IF((S$6-$E$3)&lt;1,0,IFERROR(LOOKUP(2,1/(Sorgo!$E82:INDEX(Sorgo!$E82:$Z82,MIN(S$6-$E$3,22))&lt;&gt;""),Sorgo!$E82:INDEX(Sorgo!$E82:$Z82,MIN(S$6-$E$3,22))),0))-IF($G$2,0,IF((S$6-$G$3)&lt;1,0,IFERROR(LOOKUP(2,1/(Sorgo!$E82:INDEX(Sorgo!$E82:$Z82,MIN(S$6-$G$3,22))&lt;&gt;""),Sorgo!$E82:INDEX(Sorgo!$E82:$Z82,MIN(S$6-$G$3,22))),0)))))</f>
        <v>0</v>
      </c>
      <c r="T84" s="27" t="n">
        <f aca="false">IF(COUNT(Sorgo!$E82:$Z82)=0,0,MAX(0,IF((T$6-$E$3)&lt;1,0,IFERROR(LOOKUP(2,1/(Sorgo!$E82:INDEX(Sorgo!$E82:$Z82,MIN(T$6-$E$3,22))&lt;&gt;""),Sorgo!$E82:INDEX(Sorgo!$E82:$Z82,MIN(T$6-$E$3,22))),0))-IF($G$2,0,IF((T$6-$G$3)&lt;1,0,IFERROR(LOOKUP(2,1/(Sorgo!$E82:INDEX(Sorgo!$E82:$Z82,MIN(T$6-$G$3,22))&lt;&gt;""),Sorgo!$E82:INDEX(Sorgo!$E82:$Z82,MIN(T$6-$G$3,22))),0)))))</f>
        <v>0</v>
      </c>
      <c r="U84" s="27" t="n">
        <f aca="false">IF(COUNT(Sorgo!$E82:$Z82)=0,0,MAX(0,IF((U$6-$E$3)&lt;1,0,IFERROR(LOOKUP(2,1/(Sorgo!$E82:INDEX(Sorgo!$E82:$Z82,MIN(U$6-$E$3,22))&lt;&gt;""),Sorgo!$E82:INDEX(Sorgo!$E82:$Z82,MIN(U$6-$E$3,22))),0))-IF($G$2,0,IF((U$6-$G$3)&lt;1,0,IFERROR(LOOKUP(2,1/(Sorgo!$E82:INDEX(Sorgo!$E82:$Z82,MIN(U$6-$G$3,22))&lt;&gt;""),Sorgo!$E82:INDEX(Sorgo!$E82:$Z82,MIN(U$6-$G$3,22))),0)))))</f>
        <v>0</v>
      </c>
      <c r="V84" s="27" t="n">
        <f aca="false">IF(COUNT(Sorgo!$E82:$Z82)=0,0,MAX(0,IF((V$6-$E$3)&lt;1,0,IFERROR(LOOKUP(2,1/(Sorgo!$E82:INDEX(Sorgo!$E82:$Z82,MIN(V$6-$E$3,22))&lt;&gt;""),Sorgo!$E82:INDEX(Sorgo!$E82:$Z82,MIN(V$6-$E$3,22))),0))-IF($G$2,0,IF((V$6-$G$3)&lt;1,0,IFERROR(LOOKUP(2,1/(Sorgo!$E82:INDEX(Sorgo!$E82:$Z82,MIN(V$6-$G$3,22))&lt;&gt;""),Sorgo!$E82:INDEX(Sorgo!$E82:$Z82,MIN(V$6-$G$3,22))),0)))))</f>
        <v>0</v>
      </c>
      <c r="W84" s="27" t="n">
        <f aca="false">IF(COUNT(Sorgo!$E82:$Z82)=0,0,MAX(0,IF((W$6-$E$3)&lt;1,0,IFERROR(LOOKUP(2,1/(Sorgo!$E82:INDEX(Sorgo!$E82:$Z82,MIN(W$6-$E$3,22))&lt;&gt;""),Sorgo!$E82:INDEX(Sorgo!$E82:$Z82,MIN(W$6-$E$3,22))),0))-IF($G$2,0,IF((W$6-$G$3)&lt;1,0,IFERROR(LOOKUP(2,1/(Sorgo!$E82:INDEX(Sorgo!$E82:$Z82,MIN(W$6-$G$3,22))&lt;&gt;""),Sorgo!$E82:INDEX(Sorgo!$E82:$Z82,MIN(W$6-$G$3,22))),0)))))</f>
        <v>0</v>
      </c>
      <c r="X84" s="27" t="n">
        <f aca="false">IF(COUNT(Sorgo!$E82:$Z82)=0,0,MAX(0,IF((X$6-$E$3)&lt;1,0,IFERROR(LOOKUP(2,1/(Sorgo!$E82:INDEX(Sorgo!$E82:$Z82,MIN(X$6-$E$3,22))&lt;&gt;""),Sorgo!$E82:INDEX(Sorgo!$E82:$Z82,MIN(X$6-$E$3,22))),0))-IF($G$2,0,IF((X$6-$G$3)&lt;1,0,IFERROR(LOOKUP(2,1/(Sorgo!$E82:INDEX(Sorgo!$E82:$Z82,MIN(X$6-$G$3,22))&lt;&gt;""),Sorgo!$E82:INDEX(Sorgo!$E82:$Z82,MIN(X$6-$G$3,22))),0)))))</f>
        <v>0</v>
      </c>
      <c r="Y84" s="27" t="n">
        <f aca="false">IF(COUNT(Sorgo!$E82:$Z82)=0,0,MAX(0,IF((Y$6-$E$3)&lt;1,0,IFERROR(LOOKUP(2,1/(Sorgo!$E82:INDEX(Sorgo!$E82:$Z82,MIN(Y$6-$E$3,22))&lt;&gt;""),Sorgo!$E82:INDEX(Sorgo!$E82:$Z82,MIN(Y$6-$E$3,22))),0))-IF($G$2,0,IF((Y$6-$G$3)&lt;1,0,IFERROR(LOOKUP(2,1/(Sorgo!$E82:INDEX(Sorgo!$E82:$Z82,MIN(Y$6-$G$3,22))&lt;&gt;""),Sorgo!$E82:INDEX(Sorgo!$E82:$Z82,MIN(Y$6-$G$3,22))),0)))))</f>
        <v>0</v>
      </c>
      <c r="Z84" s="27" t="n">
        <f aca="false">IF(COUNT(Sorgo!$E82:$Z82)=0,0,MAX(0,IF((Z$6-$E$3)&lt;1,0,IFERROR(LOOKUP(2,1/(Sorgo!$E82:INDEX(Sorgo!$E82:$Z82,MIN(Z$6-$E$3,22))&lt;&gt;""),Sorgo!$E82:INDEX(Sorgo!$E82:$Z82,MIN(Z$6-$E$3,22))),0))-IF($G$2,0,IF((Z$6-$G$3)&lt;1,0,IFERROR(LOOKUP(2,1/(Sorgo!$E82:INDEX(Sorgo!$E82:$Z82,MIN(Z$6-$G$3,22))&lt;&gt;""),Sorgo!$E82:INDEX(Sorgo!$E82:$Z82,MIN(Z$6-$G$3,22))),0)))))</f>
        <v>0</v>
      </c>
      <c r="AA84" s="27" t="n">
        <f aca="false">IF(COUNT(Sorgo!$E82:$Z82)=0,0,MAX(0,IF((AA$6-$E$3)&lt;1,0,IFERROR(LOOKUP(2,1/(Sorgo!$E82:INDEX(Sorgo!$E82:$Z82,MIN(AA$6-$E$3,22))&lt;&gt;""),Sorgo!$E82:INDEX(Sorgo!$E82:$Z82,MIN(AA$6-$E$3,22))),0))-IF($G$2,0,IF((AA$6-$G$3)&lt;1,0,IFERROR(LOOKUP(2,1/(Sorgo!$E82:INDEX(Sorgo!$E82:$Z82,MIN(AA$6-$G$3,22))&lt;&gt;""),Sorgo!$E82:INDEX(Sorgo!$E82:$Z82,MIN(AA$6-$G$3,22))),0)))))</f>
        <v>0</v>
      </c>
      <c r="AB84" s="27" t="n">
        <f aca="false">IF(COUNT(Sorgo!$E82:$Z82)=0,0,MAX(0,IF((AB$6-$E$3)&lt;1,0,IFERROR(LOOKUP(2,1/(Sorgo!$E82:INDEX(Sorgo!$E82:$Z82,MIN(AB$6-$E$3,22))&lt;&gt;""),Sorgo!$E82:INDEX(Sorgo!$E82:$Z82,MIN(AB$6-$E$3,22))),0))-IF($G$2,0,IF((AB$6-$G$3)&lt;1,0,IFERROR(LOOKUP(2,1/(Sorgo!$E82:INDEX(Sorgo!$E82:$Z82,MIN(AB$6-$G$3,22))&lt;&gt;""),Sorgo!$E82:INDEX(Sorgo!$E82:$Z82,MIN(AB$6-$G$3,22))),0)))))</f>
        <v>0</v>
      </c>
      <c r="AC84" s="27" t="n">
        <f aca="false">IF(COUNT(Sorgo!$E82:$Z82)=0,0,MAX(0,IF((AC$6-$E$3)&lt;1,0,IFERROR(LOOKUP(2,1/(Sorgo!$E82:INDEX(Sorgo!$E82:$Z82,MIN(AC$6-$E$3,22))&lt;&gt;""),Sorgo!$E82:INDEX(Sorgo!$E82:$Z82,MIN(AC$6-$E$3,22))),0))-IF($G$2,0,IF((AC$6-$G$3)&lt;1,0,IFERROR(LOOKUP(2,1/(Sorgo!$E82:INDEX(Sorgo!$E82:$Z82,MIN(AC$6-$G$3,22))&lt;&gt;""),Sorgo!$E82:INDEX(Sorgo!$E82:$Z82,MIN(AC$6-$G$3,22))),0)))))</f>
        <v>0</v>
      </c>
      <c r="AD84" s="27" t="n">
        <f aca="false">IF(COUNT(Sorgo!$E82:$Z82)=0,0,MAX(0,IF((AD$6-$E$3)&lt;1,0,IFERROR(LOOKUP(2,1/(Sorgo!$E82:INDEX(Sorgo!$E82:$Z82,MIN(AD$6-$E$3,22))&lt;&gt;""),Sorgo!$E82:INDEX(Sorgo!$E82:$Z82,MIN(AD$6-$E$3,22))),0))-IF($G$2,0,IF((AD$6-$G$3)&lt;1,0,IFERROR(LOOKUP(2,1/(Sorgo!$E82:INDEX(Sorgo!$E82:$Z82,MIN(AD$6-$G$3,22))&lt;&gt;""),Sorgo!$E82:INDEX(Sorgo!$E82:$Z82,MIN(AD$6-$G$3,22))),0)))))</f>
        <v>0</v>
      </c>
      <c r="AE84" s="27" t="n">
        <f aca="false">IF(COUNT(Sorgo!$E82:$Z82)=0,0,MAX(0,IF((AE$6-$E$3)&lt;1,0,IFERROR(LOOKUP(2,1/(Sorgo!$E82:INDEX(Sorgo!$E82:$Z82,MIN(AE$6-$E$3,22))&lt;&gt;""),Sorgo!$E82:INDEX(Sorgo!$E82:$Z82,MIN(AE$6-$E$3,22))),0))-IF($G$2,0,IF((AE$6-$G$3)&lt;1,0,IFERROR(LOOKUP(2,1/(Sorgo!$E82:INDEX(Sorgo!$E82:$Z82,MIN(AE$6-$G$3,22))&lt;&gt;""),Sorgo!$E82:INDEX(Sorgo!$E82:$Z82,MIN(AE$6-$G$3,22))),0)))))</f>
        <v>0</v>
      </c>
      <c r="AF84" s="27" t="n">
        <f aca="false">IF(COUNT(Sorgo!$E82:$Z82)=0,0,MAX(0,IF((AF$6-$E$3)&lt;1,0,IFERROR(LOOKUP(2,1/(Sorgo!$E82:INDEX(Sorgo!$E82:$Z82,MIN(AF$6-$E$3,22))&lt;&gt;""),Sorgo!$E82:INDEX(Sorgo!$E82:$Z82,MIN(AF$6-$E$3,22))),0))-IF($G$2,0,IF((AF$6-$G$3)&lt;1,0,IFERROR(LOOKUP(2,1/(Sorgo!$E82:INDEX(Sorgo!$E82:$Z82,MIN(AF$6-$G$3,22))&lt;&gt;""),Sorgo!$E82:INDEX(Sorgo!$E82:$Z82,MIN(AF$6-$G$3,22))),0)))))</f>
        <v>0</v>
      </c>
      <c r="AG84" s="27" t="n">
        <f aca="false">IF(COUNT(Sorgo!$E82:$Z82)=0,0,MAX(0,IF((AG$6-$E$3)&lt;1,0,IFERROR(LOOKUP(2,1/(Sorgo!$E82:INDEX(Sorgo!$E82:$Z82,MIN(AG$6-$E$3,22))&lt;&gt;""),Sorgo!$E82:INDEX(Sorgo!$E82:$Z82,MIN(AG$6-$E$3,22))),0))-IF($G$2,0,IF((AG$6-$G$3)&lt;1,0,IFERROR(LOOKUP(2,1/(Sorgo!$E82:INDEX(Sorgo!$E82:$Z82,MIN(AG$6-$G$3,22))&lt;&gt;""),Sorgo!$E82:INDEX(Sorgo!$E82:$Z82,MIN(AG$6-$G$3,22))),0)))))</f>
        <v>0</v>
      </c>
      <c r="AH84" s="27" t="n">
        <f aca="false">IF(COUNT(Sorgo!$E82:$Z82)=0,0,MAX(0,IF((AH$6-$E$3)&lt;1,0,IFERROR(LOOKUP(2,1/(Sorgo!$E82:INDEX(Sorgo!$E82:$Z82,MIN(AH$6-$E$3,22))&lt;&gt;""),Sorgo!$E82:INDEX(Sorgo!$E82:$Z82,MIN(AH$6-$E$3,22))),0))-IF($G$2,0,IF((AH$6-$G$3)&lt;1,0,IFERROR(LOOKUP(2,1/(Sorgo!$E82:INDEX(Sorgo!$E82:$Z82,MIN(AH$6-$G$3,22))&lt;&gt;""),Sorgo!$E82:INDEX(Sorgo!$E82:$Z82,MIN(AH$6-$G$3,22))),0)))))</f>
        <v>0</v>
      </c>
      <c r="AI84" s="27" t="n">
        <f aca="false">IF(COUNT(Sorgo!$E82:$Z82)=0,0,MAX(0,IF((AI$6-$E$3)&lt;1,0,IFERROR(LOOKUP(2,1/(Sorgo!$E82:INDEX(Sorgo!$E82:$Z82,MIN(AI$6-$E$3,22))&lt;&gt;""),Sorgo!$E82:INDEX(Sorgo!$E82:$Z82,MIN(AI$6-$E$3,22))),0))-IF($G$2,0,IF((AI$6-$G$3)&lt;1,0,IFERROR(LOOKUP(2,1/(Sorgo!$E82:INDEX(Sorgo!$E82:$Z82,MIN(AI$6-$G$3,22))&lt;&gt;""),Sorgo!$E82:INDEX(Sorgo!$E82:$Z82,MIN(AI$6-$G$3,22))),0)))))</f>
        <v>0</v>
      </c>
      <c r="AJ84" s="27" t="n">
        <f aca="false">IF(COUNT(Sorgo!$E82:$Z82)=0,0,MAX(0,IF((AJ$6-$E$3)&lt;1,0,IFERROR(LOOKUP(2,1/(Sorgo!$E82:INDEX(Sorgo!$E82:$Z82,MIN(AJ$6-$E$3,22))&lt;&gt;""),Sorgo!$E82:INDEX(Sorgo!$E82:$Z82,MIN(AJ$6-$E$3,22))),0))-IF($G$2,0,IF((AJ$6-$G$3)&lt;1,0,IFERROR(LOOKUP(2,1/(Sorgo!$E82:INDEX(Sorgo!$E82:$Z82,MIN(AJ$6-$G$3,22))&lt;&gt;""),Sorgo!$E82:INDEX(Sorgo!$E82:$Z82,MIN(AJ$6-$G$3,22))),0)))))</f>
        <v>0</v>
      </c>
      <c r="AK84" s="27" t="n">
        <f aca="false">IF(COUNT(Sorgo!$E82:$Z82)=0,0,MAX(0,IF((AK$6-$E$3)&lt;1,0,IFERROR(LOOKUP(2,1/(Sorgo!$E82:INDEX(Sorgo!$E82:$Z82,MIN(AK$6-$E$3,22))&lt;&gt;""),Sorgo!$E82:INDEX(Sorgo!$E82:$Z82,MIN(AK$6-$E$3,22))),0))-IF($G$2,0,IF((AK$6-$G$3)&lt;1,0,IFERROR(LOOKUP(2,1/(Sorgo!$E82:INDEX(Sorgo!$E82:$Z82,MIN(AK$6-$G$3,22))&lt;&gt;""),Sorgo!$E82:INDEX(Sorgo!$E82:$Z82,MIN(AK$6-$G$3,22))),0)))))</f>
        <v>0</v>
      </c>
      <c r="AL84" s="27" t="n">
        <f aca="false">IF(COUNT(Sorgo!$E82:$Z82)=0,0,MAX(0,IF((AL$6-$E$3)&lt;1,0,IFERROR(LOOKUP(2,1/(Sorgo!$E82:INDEX(Sorgo!$E82:$Z82,MIN(AL$6-$E$3,22))&lt;&gt;""),Sorgo!$E82:INDEX(Sorgo!$E82:$Z82,MIN(AL$6-$E$3,22))),0))-IF($G$2,0,IF((AL$6-$G$3)&lt;1,0,IFERROR(LOOKUP(2,1/(Sorgo!$E82:INDEX(Sorgo!$E82:$Z82,MIN(AL$6-$G$3,22))&lt;&gt;""),Sorgo!$E82:INDEX(Sorgo!$E82:$Z82,MIN(AL$6-$G$3,22))),0)))))</f>
        <v>0</v>
      </c>
      <c r="AM84" s="27" t="n">
        <f aca="false">IF(COUNT(Sorgo!$E82:$Z82)=0,0,MAX(0,IF((AM$6-$E$3)&lt;1,0,IFERROR(LOOKUP(2,1/(Sorgo!$E82:INDEX(Sorgo!$E82:$Z82,MIN(AM$6-$E$3,22))&lt;&gt;""),Sorgo!$E82:INDEX(Sorgo!$E82:$Z82,MIN(AM$6-$E$3,22))),0))-IF($G$2,0,IF((AM$6-$G$3)&lt;1,0,IFERROR(LOOKUP(2,1/(Sorgo!$E82:INDEX(Sorgo!$E82:$Z82,MIN(AM$6-$G$3,22))&lt;&gt;""),Sorgo!$E82:INDEX(Sorgo!$E82:$Z82,MIN(AM$6-$G$3,22))),0)))))</f>
        <v>0</v>
      </c>
      <c r="AN84" s="27" t="n">
        <f aca="false">IF(COUNT(Sorgo!$E82:$Z82)=0,0,MAX(0,IF((AN$6-$E$3)&lt;1,0,IFERROR(LOOKUP(2,1/(Sorgo!$E82:INDEX(Sorgo!$E82:$Z82,MIN(AN$6-$E$3,22))&lt;&gt;""),Sorgo!$E82:INDEX(Sorgo!$E82:$Z82,MIN(AN$6-$E$3,22))),0))-IF($G$2,0,IF((AN$6-$G$3)&lt;1,0,IFERROR(LOOKUP(2,1/(Sorgo!$E82:INDEX(Sorgo!$E82:$Z82,MIN(AN$6-$G$3,22))&lt;&gt;""),Sorgo!$E82:INDEX(Sorgo!$E82:$Z82,MIN(AN$6-$G$3,22))),0)))))</f>
        <v>0</v>
      </c>
      <c r="AO84" s="27" t="n">
        <f aca="false">IF(COUNT(Sorgo!$E82:$Z82)=0,0,MAX(0,IF((AO$6-$E$3)&lt;1,0,IFERROR(LOOKUP(2,1/(Sorgo!$E82:INDEX(Sorgo!$E82:$Z82,MIN(AO$6-$E$3,22))&lt;&gt;""),Sorgo!$E82:INDEX(Sorgo!$E82:$Z82,MIN(AO$6-$E$3,22))),0))-IF($G$2,0,IF((AO$6-$G$3)&lt;1,0,IFERROR(LOOKUP(2,1/(Sorgo!$E82:INDEX(Sorgo!$E82:$Z82,MIN(AO$6-$G$3,22))&lt;&gt;""),Sorgo!$E82:INDEX(Sorgo!$E82:$Z82,MIN(AO$6-$G$3,22))),0)))))</f>
        <v>0</v>
      </c>
      <c r="AP84" s="27" t="n">
        <f aca="false">IF(COUNT(Sorgo!$E82:$Z82)=0,0,MAX(0,IF((AP$6-$E$3)&lt;1,0,IFERROR(LOOKUP(2,1/(Sorgo!$E82:INDEX(Sorgo!$E82:$Z82,MIN(AP$6-$E$3,22))&lt;&gt;""),Sorgo!$E82:INDEX(Sorgo!$E82:$Z82,MIN(AP$6-$E$3,22))),0))-IF($G$2,0,IF((AP$6-$G$3)&lt;1,0,IFERROR(LOOKUP(2,1/(Sorgo!$E82:INDEX(Sorgo!$E82:$Z82,MIN(AP$6-$G$3,22))&lt;&gt;""),Sorgo!$E82:INDEX(Sorgo!$E82:$Z82,MIN(AP$6-$G$3,22))),0)))))</f>
        <v>0</v>
      </c>
      <c r="AQ84" s="27" t="n">
        <f aca="false">IF(COUNT(Sorgo!$E82:$Z82)=0,0,MAX(0,IF((AQ$6-$E$3)&lt;1,0,IFERROR(LOOKUP(2,1/(Sorgo!$E82:INDEX(Sorgo!$E82:$Z82,MIN(AQ$6-$E$3,22))&lt;&gt;""),Sorgo!$E82:INDEX(Sorgo!$E82:$Z82,MIN(AQ$6-$E$3,22))),0))-IF($G$2,0,IF((AQ$6-$G$3)&lt;1,0,IFERROR(LOOKUP(2,1/(Sorgo!$E82:INDEX(Sorgo!$E82:$Z82,MIN(AQ$6-$G$3,22))&lt;&gt;""),Sorgo!$E82:INDEX(Sorgo!$E82:$Z82,MIN(AQ$6-$G$3,22))),0)))))</f>
        <v>0</v>
      </c>
      <c r="AR84" s="27" t="n">
        <f aca="false">IF(COUNT(Sorgo!$E82:$Z82)=0,0,MAX(0,IF((AR$6-$E$3)&lt;1,0,IFERROR(LOOKUP(2,1/(Sorgo!$E82:INDEX(Sorgo!$E82:$Z82,MIN(AR$6-$E$3,22))&lt;&gt;""),Sorgo!$E82:INDEX(Sorgo!$E82:$Z82,MIN(AR$6-$E$3,22))),0))-IF($G$2,0,IF((AR$6-$G$3)&lt;1,0,IFERROR(LOOKUP(2,1/(Sorgo!$E82:INDEX(Sorgo!$E82:$Z82,MIN(AR$6-$G$3,22))&lt;&gt;""),Sorgo!$E82:INDEX(Sorgo!$E82:$Z82,MIN(AR$6-$G$3,22))),0)))))</f>
        <v>0</v>
      </c>
      <c r="AS84" s="27" t="n">
        <f aca="false">IF(COUNT(Sorgo!$E82:$Z82)=0,0,MAX(0,IF((AS$6-$E$3)&lt;1,0,IFERROR(LOOKUP(2,1/(Sorgo!$E82:INDEX(Sorgo!$E82:$Z82,MIN(AS$6-$E$3,22))&lt;&gt;""),Sorgo!$E82:INDEX(Sorgo!$E82:$Z82,MIN(AS$6-$E$3,22))),0))-IF($G$2,0,IF((AS$6-$G$3)&lt;1,0,IFERROR(LOOKUP(2,1/(Sorgo!$E82:INDEX(Sorgo!$E82:$Z82,MIN(AS$6-$G$3,22))&lt;&gt;""),Sorgo!$E82:INDEX(Sorgo!$E82:$Z82,MIN(AS$6-$G$3,22))),0)))))</f>
        <v>0</v>
      </c>
      <c r="AT84" s="27" t="n">
        <f aca="false">IF(COUNT(Sorgo!$E82:$Z82)=0,0,MAX(0,IF((AT$6-$E$3)&lt;1,0,IFERROR(LOOKUP(2,1/(Sorgo!$E82:INDEX(Sorgo!$E82:$Z82,MIN(AT$6-$E$3,22))&lt;&gt;""),Sorgo!$E82:INDEX(Sorgo!$E82:$Z82,MIN(AT$6-$E$3,22))),0))-IF($G$2,0,IF((AT$6-$G$3)&lt;1,0,IFERROR(LOOKUP(2,1/(Sorgo!$E82:INDEX(Sorgo!$E82:$Z82,MIN(AT$6-$G$3,22))&lt;&gt;""),Sorgo!$E82:INDEX(Sorgo!$E82:$Z82,MIN(AT$6-$G$3,22))),0)))))</f>
        <v>0</v>
      </c>
      <c r="AU84" s="27" t="n">
        <f aca="false">IF(COUNT(Sorgo!$E82:$Z82)=0,0,MAX(0,IF((AU$6-$E$3)&lt;1,0,IFERROR(LOOKUP(2,1/(Sorgo!$E82:INDEX(Sorgo!$E82:$Z82,MIN(AU$6-$E$3,22))&lt;&gt;""),Sorgo!$E82:INDEX(Sorgo!$E82:$Z82,MIN(AU$6-$E$3,22))),0))-IF($G$2,0,IF((AU$6-$G$3)&lt;1,0,IFERROR(LOOKUP(2,1/(Sorgo!$E82:INDEX(Sorgo!$E82:$Z82,MIN(AU$6-$G$3,22))&lt;&gt;""),Sorgo!$E82:INDEX(Sorgo!$E82:$Z82,MIN(AU$6-$G$3,22))),0)))))</f>
        <v>0</v>
      </c>
      <c r="AV84" s="27" t="n">
        <f aca="false">IF(COUNT(Sorgo!$E82:$Z82)=0,0,MAX(0,IF((AV$6-$E$3)&lt;1,0,IFERROR(LOOKUP(2,1/(Sorgo!$E82:INDEX(Sorgo!$E82:$Z82,MIN(AV$6-$E$3,22))&lt;&gt;""),Sorgo!$E82:INDEX(Sorgo!$E82:$Z82,MIN(AV$6-$E$3,22))),0))-IF($G$2,0,IF((AV$6-$G$3)&lt;1,0,IFERROR(LOOKUP(2,1/(Sorgo!$E82:INDEX(Sorgo!$E82:$Z82,MIN(AV$6-$G$3,22))&lt;&gt;""),Sorgo!$E82:INDEX(Sorgo!$E82:$Z82,MIN(AV$6-$G$3,22))),0)))))</f>
        <v>0</v>
      </c>
      <c r="AW84" s="27" t="n">
        <f aca="false">IF(COUNT(Sorgo!$E82:$Z82)=0,0,MAX(0,IF((AW$6-$E$3)&lt;1,0,IFERROR(LOOKUP(2,1/(Sorgo!$E82:INDEX(Sorgo!$E82:$Z82,MIN(AW$6-$E$3,22))&lt;&gt;""),Sorgo!$E82:INDEX(Sorgo!$E82:$Z82,MIN(AW$6-$E$3,22))),0))-IF($G$2,0,IF((AW$6-$G$3)&lt;1,0,IFERROR(LOOKUP(2,1/(Sorgo!$E82:INDEX(Sorgo!$E82:$Z82,MIN(AW$6-$G$3,22))&lt;&gt;""),Sorgo!$E82:INDEX(Sorgo!$E82:$Z82,MIN(AW$6-$G$3,22))),0)))))</f>
        <v>0</v>
      </c>
      <c r="AX84" s="27" t="n">
        <f aca="false">IF(COUNT(Sorgo!$E82:$Z82)=0,0,MAX(0,IF((AX$6-$E$3)&lt;1,0,IFERROR(LOOKUP(2,1/(Sorgo!$E82:INDEX(Sorgo!$E82:$Z82,MIN(AX$6-$E$3,22))&lt;&gt;""),Sorgo!$E82:INDEX(Sorgo!$E82:$Z82,MIN(AX$6-$E$3,22))),0))-IF($G$2,0,IF((AX$6-$G$3)&lt;1,0,IFERROR(LOOKUP(2,1/(Sorgo!$E82:INDEX(Sorgo!$E82:$Z82,MIN(AX$6-$G$3,22))&lt;&gt;""),Sorgo!$E82:INDEX(Sorgo!$E82:$Z82,MIN(AX$6-$G$3,22))),0)))))</f>
        <v>0</v>
      </c>
      <c r="AY84" s="27" t="n">
        <f aca="false">IF(COUNT(Sorgo!$E82:$Z82)=0,0,MAX(0,IF((AY$6-$E$3)&lt;1,0,IFERROR(LOOKUP(2,1/(Sorgo!$E82:INDEX(Sorgo!$E82:$Z82,MIN(AY$6-$E$3,22))&lt;&gt;""),Sorgo!$E82:INDEX(Sorgo!$E82:$Z82,MIN(AY$6-$E$3,22))),0))-IF($G$2,0,IF((AY$6-$G$3)&lt;1,0,IFERROR(LOOKUP(2,1/(Sorgo!$E82:INDEX(Sorgo!$E82:$Z82,MIN(AY$6-$G$3,22))&lt;&gt;""),Sorgo!$E82:INDEX(Sorgo!$E82:$Z82,MIN(AY$6-$G$3,22))),0)))))</f>
        <v>0</v>
      </c>
      <c r="AZ84" s="27" t="n">
        <f aca="false">IF(COUNT(Sorgo!$E82:$Z82)=0,0,MAX(0,IF((AZ$6-$E$3)&lt;1,0,IFERROR(LOOKUP(2,1/(Sorgo!$E82:INDEX(Sorgo!$E82:$Z82,MIN(AZ$6-$E$3,22))&lt;&gt;""),Sorgo!$E82:INDEX(Sorgo!$E82:$Z82,MIN(AZ$6-$E$3,22))),0))-IF($G$2,0,IF((AZ$6-$G$3)&lt;1,0,IFERROR(LOOKUP(2,1/(Sorgo!$E82:INDEX(Sorgo!$E82:$Z82,MIN(AZ$6-$G$3,22))&lt;&gt;""),Sorgo!$E82:INDEX(Sorgo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IF(COUNT(Sorgo!$E83:$Z83)&gt;0,N(Sorgo!$D83),0)</f>
        <v>0</v>
      </c>
      <c r="E85" s="27" t="n">
        <f aca="false">IF(COUNT(Sorgo!$E83:$Z83)=0,0,MAX(0,IF((E$6-$E$3)&lt;1,0,IFERROR(LOOKUP(2,1/(Sorgo!$E83:INDEX(Sorgo!$E83:$Z83,MIN(E$6-$E$3,22))&lt;&gt;""),Sorgo!$E83:INDEX(Sorgo!$E83:$Z83,MIN(E$6-$E$3,22))),0))-IF($G$2,0,IF((E$6-$G$3)&lt;1,0,IFERROR(LOOKUP(2,1/(Sorgo!$E83:INDEX(Sorgo!$E83:$Z83,MIN(E$6-$G$3,22))&lt;&gt;""),Sorgo!$E83:INDEX(Sorgo!$E83:$Z83,MIN(E$6-$G$3,22))),0)))))</f>
        <v>0</v>
      </c>
      <c r="F85" s="27" t="n">
        <f aca="false">IF(COUNT(Sorgo!$E83:$Z83)=0,0,MAX(0,IF((F$6-$E$3)&lt;1,0,IFERROR(LOOKUP(2,1/(Sorgo!$E83:INDEX(Sorgo!$E83:$Z83,MIN(F$6-$E$3,22))&lt;&gt;""),Sorgo!$E83:INDEX(Sorgo!$E83:$Z83,MIN(F$6-$E$3,22))),0))-IF($G$2,0,IF((F$6-$G$3)&lt;1,0,IFERROR(LOOKUP(2,1/(Sorgo!$E83:INDEX(Sorgo!$E83:$Z83,MIN(F$6-$G$3,22))&lt;&gt;""),Sorgo!$E83:INDEX(Sorgo!$E83:$Z83,MIN(F$6-$G$3,22))),0)))))</f>
        <v>0</v>
      </c>
      <c r="G85" s="27" t="n">
        <f aca="false">IF(COUNT(Sorgo!$E83:$Z83)=0,0,MAX(0,IF((G$6-$E$3)&lt;1,0,IFERROR(LOOKUP(2,1/(Sorgo!$E83:INDEX(Sorgo!$E83:$Z83,MIN(G$6-$E$3,22))&lt;&gt;""),Sorgo!$E83:INDEX(Sorgo!$E83:$Z83,MIN(G$6-$E$3,22))),0))-IF($G$2,0,IF((G$6-$G$3)&lt;1,0,IFERROR(LOOKUP(2,1/(Sorgo!$E83:INDEX(Sorgo!$E83:$Z83,MIN(G$6-$G$3,22))&lt;&gt;""),Sorgo!$E83:INDEX(Sorgo!$E83:$Z83,MIN(G$6-$G$3,22))),0)))))</f>
        <v>0</v>
      </c>
      <c r="H85" s="27" t="n">
        <f aca="false">IF(COUNT(Sorgo!$E83:$Z83)=0,0,MAX(0,IF((H$6-$E$3)&lt;1,0,IFERROR(LOOKUP(2,1/(Sorgo!$E83:INDEX(Sorgo!$E83:$Z83,MIN(H$6-$E$3,22))&lt;&gt;""),Sorgo!$E83:INDEX(Sorgo!$E83:$Z83,MIN(H$6-$E$3,22))),0))-IF($G$2,0,IF((H$6-$G$3)&lt;1,0,IFERROR(LOOKUP(2,1/(Sorgo!$E83:INDEX(Sorgo!$E83:$Z83,MIN(H$6-$G$3,22))&lt;&gt;""),Sorgo!$E83:INDEX(Sorgo!$E83:$Z83,MIN(H$6-$G$3,22))),0)))))</f>
        <v>0</v>
      </c>
      <c r="I85" s="27" t="n">
        <f aca="false">IF(COUNT(Sorgo!$E83:$Z83)=0,0,MAX(0,IF((I$6-$E$3)&lt;1,0,IFERROR(LOOKUP(2,1/(Sorgo!$E83:INDEX(Sorgo!$E83:$Z83,MIN(I$6-$E$3,22))&lt;&gt;""),Sorgo!$E83:INDEX(Sorgo!$E83:$Z83,MIN(I$6-$E$3,22))),0))-IF($G$2,0,IF((I$6-$G$3)&lt;1,0,IFERROR(LOOKUP(2,1/(Sorgo!$E83:INDEX(Sorgo!$E83:$Z83,MIN(I$6-$G$3,22))&lt;&gt;""),Sorgo!$E83:INDEX(Sorgo!$E83:$Z83,MIN(I$6-$G$3,22))),0)))))</f>
        <v>0</v>
      </c>
      <c r="J85" s="27" t="n">
        <f aca="false">IF(COUNT(Sorgo!$E83:$Z83)=0,0,MAX(0,IF((J$6-$E$3)&lt;1,0,IFERROR(LOOKUP(2,1/(Sorgo!$E83:INDEX(Sorgo!$E83:$Z83,MIN(J$6-$E$3,22))&lt;&gt;""),Sorgo!$E83:INDEX(Sorgo!$E83:$Z83,MIN(J$6-$E$3,22))),0))-IF($G$2,0,IF((J$6-$G$3)&lt;1,0,IFERROR(LOOKUP(2,1/(Sorgo!$E83:INDEX(Sorgo!$E83:$Z83,MIN(J$6-$G$3,22))&lt;&gt;""),Sorgo!$E83:INDEX(Sorgo!$E83:$Z83,MIN(J$6-$G$3,22))),0)))))</f>
        <v>0</v>
      </c>
      <c r="K85" s="27" t="n">
        <f aca="false">IF(COUNT(Sorgo!$E83:$Z83)=0,0,MAX(0,IF((K$6-$E$3)&lt;1,0,IFERROR(LOOKUP(2,1/(Sorgo!$E83:INDEX(Sorgo!$E83:$Z83,MIN(K$6-$E$3,22))&lt;&gt;""),Sorgo!$E83:INDEX(Sorgo!$E83:$Z83,MIN(K$6-$E$3,22))),0))-IF($G$2,0,IF((K$6-$G$3)&lt;1,0,IFERROR(LOOKUP(2,1/(Sorgo!$E83:INDEX(Sorgo!$E83:$Z83,MIN(K$6-$G$3,22))&lt;&gt;""),Sorgo!$E83:INDEX(Sorgo!$E83:$Z83,MIN(K$6-$G$3,22))),0)))))</f>
        <v>0</v>
      </c>
      <c r="L85" s="27" t="n">
        <f aca="false">IF(COUNT(Sorgo!$E83:$Z83)=0,0,MAX(0,IF((L$6-$E$3)&lt;1,0,IFERROR(LOOKUP(2,1/(Sorgo!$E83:INDEX(Sorgo!$E83:$Z83,MIN(L$6-$E$3,22))&lt;&gt;""),Sorgo!$E83:INDEX(Sorgo!$E83:$Z83,MIN(L$6-$E$3,22))),0))-IF($G$2,0,IF((L$6-$G$3)&lt;1,0,IFERROR(LOOKUP(2,1/(Sorgo!$E83:INDEX(Sorgo!$E83:$Z83,MIN(L$6-$G$3,22))&lt;&gt;""),Sorgo!$E83:INDEX(Sorgo!$E83:$Z83,MIN(L$6-$G$3,22))),0)))))</f>
        <v>0</v>
      </c>
      <c r="M85" s="27" t="n">
        <f aca="false">IF(COUNT(Sorgo!$E83:$Z83)=0,0,MAX(0,IF((M$6-$E$3)&lt;1,0,IFERROR(LOOKUP(2,1/(Sorgo!$E83:INDEX(Sorgo!$E83:$Z83,MIN(M$6-$E$3,22))&lt;&gt;""),Sorgo!$E83:INDEX(Sorgo!$E83:$Z83,MIN(M$6-$E$3,22))),0))-IF($G$2,0,IF((M$6-$G$3)&lt;1,0,IFERROR(LOOKUP(2,1/(Sorgo!$E83:INDEX(Sorgo!$E83:$Z83,MIN(M$6-$G$3,22))&lt;&gt;""),Sorgo!$E83:INDEX(Sorgo!$E83:$Z83,MIN(M$6-$G$3,22))),0)))))</f>
        <v>0</v>
      </c>
      <c r="N85" s="27" t="n">
        <f aca="false">IF(COUNT(Sorgo!$E83:$Z83)=0,0,MAX(0,IF((N$6-$E$3)&lt;1,0,IFERROR(LOOKUP(2,1/(Sorgo!$E83:INDEX(Sorgo!$E83:$Z83,MIN(N$6-$E$3,22))&lt;&gt;""),Sorgo!$E83:INDEX(Sorgo!$E83:$Z83,MIN(N$6-$E$3,22))),0))-IF($G$2,0,IF((N$6-$G$3)&lt;1,0,IFERROR(LOOKUP(2,1/(Sorgo!$E83:INDEX(Sorgo!$E83:$Z83,MIN(N$6-$G$3,22))&lt;&gt;""),Sorgo!$E83:INDEX(Sorgo!$E83:$Z83,MIN(N$6-$G$3,22))),0)))))</f>
        <v>0</v>
      </c>
      <c r="O85" s="27" t="n">
        <f aca="false">IF(COUNT(Sorgo!$E83:$Z83)=0,0,MAX(0,IF((O$6-$E$3)&lt;1,0,IFERROR(LOOKUP(2,1/(Sorgo!$E83:INDEX(Sorgo!$E83:$Z83,MIN(O$6-$E$3,22))&lt;&gt;""),Sorgo!$E83:INDEX(Sorgo!$E83:$Z83,MIN(O$6-$E$3,22))),0))-IF($G$2,0,IF((O$6-$G$3)&lt;1,0,IFERROR(LOOKUP(2,1/(Sorgo!$E83:INDEX(Sorgo!$E83:$Z83,MIN(O$6-$G$3,22))&lt;&gt;""),Sorgo!$E83:INDEX(Sorgo!$E83:$Z83,MIN(O$6-$G$3,22))),0)))))</f>
        <v>0</v>
      </c>
      <c r="P85" s="27" t="n">
        <f aca="false">IF(COUNT(Sorgo!$E83:$Z83)=0,0,MAX(0,IF((P$6-$E$3)&lt;1,0,IFERROR(LOOKUP(2,1/(Sorgo!$E83:INDEX(Sorgo!$E83:$Z83,MIN(P$6-$E$3,22))&lt;&gt;""),Sorgo!$E83:INDEX(Sorgo!$E83:$Z83,MIN(P$6-$E$3,22))),0))-IF($G$2,0,IF((P$6-$G$3)&lt;1,0,IFERROR(LOOKUP(2,1/(Sorgo!$E83:INDEX(Sorgo!$E83:$Z83,MIN(P$6-$G$3,22))&lt;&gt;""),Sorgo!$E83:INDEX(Sorgo!$E83:$Z83,MIN(P$6-$G$3,22))),0)))))</f>
        <v>0</v>
      </c>
      <c r="Q85" s="27" t="n">
        <f aca="false">IF(COUNT(Sorgo!$E83:$Z83)=0,0,MAX(0,IF((Q$6-$E$3)&lt;1,0,IFERROR(LOOKUP(2,1/(Sorgo!$E83:INDEX(Sorgo!$E83:$Z83,MIN(Q$6-$E$3,22))&lt;&gt;""),Sorgo!$E83:INDEX(Sorgo!$E83:$Z83,MIN(Q$6-$E$3,22))),0))-IF($G$2,0,IF((Q$6-$G$3)&lt;1,0,IFERROR(LOOKUP(2,1/(Sorgo!$E83:INDEX(Sorgo!$E83:$Z83,MIN(Q$6-$G$3,22))&lt;&gt;""),Sorgo!$E83:INDEX(Sorgo!$E83:$Z83,MIN(Q$6-$G$3,22))),0)))))</f>
        <v>0</v>
      </c>
      <c r="R85" s="27" t="n">
        <f aca="false">IF(COUNT(Sorgo!$E83:$Z83)=0,0,MAX(0,IF((R$6-$E$3)&lt;1,0,IFERROR(LOOKUP(2,1/(Sorgo!$E83:INDEX(Sorgo!$E83:$Z83,MIN(R$6-$E$3,22))&lt;&gt;""),Sorgo!$E83:INDEX(Sorgo!$E83:$Z83,MIN(R$6-$E$3,22))),0))-IF($G$2,0,IF((R$6-$G$3)&lt;1,0,IFERROR(LOOKUP(2,1/(Sorgo!$E83:INDEX(Sorgo!$E83:$Z83,MIN(R$6-$G$3,22))&lt;&gt;""),Sorgo!$E83:INDEX(Sorgo!$E83:$Z83,MIN(R$6-$G$3,22))),0)))))</f>
        <v>0</v>
      </c>
      <c r="S85" s="27" t="n">
        <f aca="false">IF(COUNT(Sorgo!$E83:$Z83)=0,0,MAX(0,IF((S$6-$E$3)&lt;1,0,IFERROR(LOOKUP(2,1/(Sorgo!$E83:INDEX(Sorgo!$E83:$Z83,MIN(S$6-$E$3,22))&lt;&gt;""),Sorgo!$E83:INDEX(Sorgo!$E83:$Z83,MIN(S$6-$E$3,22))),0))-IF($G$2,0,IF((S$6-$G$3)&lt;1,0,IFERROR(LOOKUP(2,1/(Sorgo!$E83:INDEX(Sorgo!$E83:$Z83,MIN(S$6-$G$3,22))&lt;&gt;""),Sorgo!$E83:INDEX(Sorgo!$E83:$Z83,MIN(S$6-$G$3,22))),0)))))</f>
        <v>0</v>
      </c>
      <c r="T85" s="27" t="n">
        <f aca="false">IF(COUNT(Sorgo!$E83:$Z83)=0,0,MAX(0,IF((T$6-$E$3)&lt;1,0,IFERROR(LOOKUP(2,1/(Sorgo!$E83:INDEX(Sorgo!$E83:$Z83,MIN(T$6-$E$3,22))&lt;&gt;""),Sorgo!$E83:INDEX(Sorgo!$E83:$Z83,MIN(T$6-$E$3,22))),0))-IF($G$2,0,IF((T$6-$G$3)&lt;1,0,IFERROR(LOOKUP(2,1/(Sorgo!$E83:INDEX(Sorgo!$E83:$Z83,MIN(T$6-$G$3,22))&lt;&gt;""),Sorgo!$E83:INDEX(Sorgo!$E83:$Z83,MIN(T$6-$G$3,22))),0)))))</f>
        <v>0</v>
      </c>
      <c r="U85" s="27" t="n">
        <f aca="false">IF(COUNT(Sorgo!$E83:$Z83)=0,0,MAX(0,IF((U$6-$E$3)&lt;1,0,IFERROR(LOOKUP(2,1/(Sorgo!$E83:INDEX(Sorgo!$E83:$Z83,MIN(U$6-$E$3,22))&lt;&gt;""),Sorgo!$E83:INDEX(Sorgo!$E83:$Z83,MIN(U$6-$E$3,22))),0))-IF($G$2,0,IF((U$6-$G$3)&lt;1,0,IFERROR(LOOKUP(2,1/(Sorgo!$E83:INDEX(Sorgo!$E83:$Z83,MIN(U$6-$G$3,22))&lt;&gt;""),Sorgo!$E83:INDEX(Sorgo!$E83:$Z83,MIN(U$6-$G$3,22))),0)))))</f>
        <v>0</v>
      </c>
      <c r="V85" s="27" t="n">
        <f aca="false">IF(COUNT(Sorgo!$E83:$Z83)=0,0,MAX(0,IF((V$6-$E$3)&lt;1,0,IFERROR(LOOKUP(2,1/(Sorgo!$E83:INDEX(Sorgo!$E83:$Z83,MIN(V$6-$E$3,22))&lt;&gt;""),Sorgo!$E83:INDEX(Sorgo!$E83:$Z83,MIN(V$6-$E$3,22))),0))-IF($G$2,0,IF((V$6-$G$3)&lt;1,0,IFERROR(LOOKUP(2,1/(Sorgo!$E83:INDEX(Sorgo!$E83:$Z83,MIN(V$6-$G$3,22))&lt;&gt;""),Sorgo!$E83:INDEX(Sorgo!$E83:$Z83,MIN(V$6-$G$3,22))),0)))))</f>
        <v>0</v>
      </c>
      <c r="W85" s="27" t="n">
        <f aca="false">IF(COUNT(Sorgo!$E83:$Z83)=0,0,MAX(0,IF((W$6-$E$3)&lt;1,0,IFERROR(LOOKUP(2,1/(Sorgo!$E83:INDEX(Sorgo!$E83:$Z83,MIN(W$6-$E$3,22))&lt;&gt;""),Sorgo!$E83:INDEX(Sorgo!$E83:$Z83,MIN(W$6-$E$3,22))),0))-IF($G$2,0,IF((W$6-$G$3)&lt;1,0,IFERROR(LOOKUP(2,1/(Sorgo!$E83:INDEX(Sorgo!$E83:$Z83,MIN(W$6-$G$3,22))&lt;&gt;""),Sorgo!$E83:INDEX(Sorgo!$E83:$Z83,MIN(W$6-$G$3,22))),0)))))</f>
        <v>0</v>
      </c>
      <c r="X85" s="27" t="n">
        <f aca="false">IF(COUNT(Sorgo!$E83:$Z83)=0,0,MAX(0,IF((X$6-$E$3)&lt;1,0,IFERROR(LOOKUP(2,1/(Sorgo!$E83:INDEX(Sorgo!$E83:$Z83,MIN(X$6-$E$3,22))&lt;&gt;""),Sorgo!$E83:INDEX(Sorgo!$E83:$Z83,MIN(X$6-$E$3,22))),0))-IF($G$2,0,IF((X$6-$G$3)&lt;1,0,IFERROR(LOOKUP(2,1/(Sorgo!$E83:INDEX(Sorgo!$E83:$Z83,MIN(X$6-$G$3,22))&lt;&gt;""),Sorgo!$E83:INDEX(Sorgo!$E83:$Z83,MIN(X$6-$G$3,22))),0)))))</f>
        <v>0</v>
      </c>
      <c r="Y85" s="27" t="n">
        <f aca="false">IF(COUNT(Sorgo!$E83:$Z83)=0,0,MAX(0,IF((Y$6-$E$3)&lt;1,0,IFERROR(LOOKUP(2,1/(Sorgo!$E83:INDEX(Sorgo!$E83:$Z83,MIN(Y$6-$E$3,22))&lt;&gt;""),Sorgo!$E83:INDEX(Sorgo!$E83:$Z83,MIN(Y$6-$E$3,22))),0))-IF($G$2,0,IF((Y$6-$G$3)&lt;1,0,IFERROR(LOOKUP(2,1/(Sorgo!$E83:INDEX(Sorgo!$E83:$Z83,MIN(Y$6-$G$3,22))&lt;&gt;""),Sorgo!$E83:INDEX(Sorgo!$E83:$Z83,MIN(Y$6-$G$3,22))),0)))))</f>
        <v>0</v>
      </c>
      <c r="Z85" s="27" t="n">
        <f aca="false">IF(COUNT(Sorgo!$E83:$Z83)=0,0,MAX(0,IF((Z$6-$E$3)&lt;1,0,IFERROR(LOOKUP(2,1/(Sorgo!$E83:INDEX(Sorgo!$E83:$Z83,MIN(Z$6-$E$3,22))&lt;&gt;""),Sorgo!$E83:INDEX(Sorgo!$E83:$Z83,MIN(Z$6-$E$3,22))),0))-IF($G$2,0,IF((Z$6-$G$3)&lt;1,0,IFERROR(LOOKUP(2,1/(Sorgo!$E83:INDEX(Sorgo!$E83:$Z83,MIN(Z$6-$G$3,22))&lt;&gt;""),Sorgo!$E83:INDEX(Sorgo!$E83:$Z83,MIN(Z$6-$G$3,22))),0)))))</f>
        <v>0</v>
      </c>
      <c r="AA85" s="27" t="n">
        <f aca="false">IF(COUNT(Sorgo!$E83:$Z83)=0,0,MAX(0,IF((AA$6-$E$3)&lt;1,0,IFERROR(LOOKUP(2,1/(Sorgo!$E83:INDEX(Sorgo!$E83:$Z83,MIN(AA$6-$E$3,22))&lt;&gt;""),Sorgo!$E83:INDEX(Sorgo!$E83:$Z83,MIN(AA$6-$E$3,22))),0))-IF($G$2,0,IF((AA$6-$G$3)&lt;1,0,IFERROR(LOOKUP(2,1/(Sorgo!$E83:INDEX(Sorgo!$E83:$Z83,MIN(AA$6-$G$3,22))&lt;&gt;""),Sorgo!$E83:INDEX(Sorgo!$E83:$Z83,MIN(AA$6-$G$3,22))),0)))))</f>
        <v>0</v>
      </c>
      <c r="AB85" s="27" t="n">
        <f aca="false">IF(COUNT(Sorgo!$E83:$Z83)=0,0,MAX(0,IF((AB$6-$E$3)&lt;1,0,IFERROR(LOOKUP(2,1/(Sorgo!$E83:INDEX(Sorgo!$E83:$Z83,MIN(AB$6-$E$3,22))&lt;&gt;""),Sorgo!$E83:INDEX(Sorgo!$E83:$Z83,MIN(AB$6-$E$3,22))),0))-IF($G$2,0,IF((AB$6-$G$3)&lt;1,0,IFERROR(LOOKUP(2,1/(Sorgo!$E83:INDEX(Sorgo!$E83:$Z83,MIN(AB$6-$G$3,22))&lt;&gt;""),Sorgo!$E83:INDEX(Sorgo!$E83:$Z83,MIN(AB$6-$G$3,22))),0)))))</f>
        <v>0</v>
      </c>
      <c r="AC85" s="27" t="n">
        <f aca="false">IF(COUNT(Sorgo!$E83:$Z83)=0,0,MAX(0,IF((AC$6-$E$3)&lt;1,0,IFERROR(LOOKUP(2,1/(Sorgo!$E83:INDEX(Sorgo!$E83:$Z83,MIN(AC$6-$E$3,22))&lt;&gt;""),Sorgo!$E83:INDEX(Sorgo!$E83:$Z83,MIN(AC$6-$E$3,22))),0))-IF($G$2,0,IF((AC$6-$G$3)&lt;1,0,IFERROR(LOOKUP(2,1/(Sorgo!$E83:INDEX(Sorgo!$E83:$Z83,MIN(AC$6-$G$3,22))&lt;&gt;""),Sorgo!$E83:INDEX(Sorgo!$E83:$Z83,MIN(AC$6-$G$3,22))),0)))))</f>
        <v>0</v>
      </c>
      <c r="AD85" s="27" t="n">
        <f aca="false">IF(COUNT(Sorgo!$E83:$Z83)=0,0,MAX(0,IF((AD$6-$E$3)&lt;1,0,IFERROR(LOOKUP(2,1/(Sorgo!$E83:INDEX(Sorgo!$E83:$Z83,MIN(AD$6-$E$3,22))&lt;&gt;""),Sorgo!$E83:INDEX(Sorgo!$E83:$Z83,MIN(AD$6-$E$3,22))),0))-IF($G$2,0,IF((AD$6-$G$3)&lt;1,0,IFERROR(LOOKUP(2,1/(Sorgo!$E83:INDEX(Sorgo!$E83:$Z83,MIN(AD$6-$G$3,22))&lt;&gt;""),Sorgo!$E83:INDEX(Sorgo!$E83:$Z83,MIN(AD$6-$G$3,22))),0)))))</f>
        <v>0</v>
      </c>
      <c r="AE85" s="27" t="n">
        <f aca="false">IF(COUNT(Sorgo!$E83:$Z83)=0,0,MAX(0,IF((AE$6-$E$3)&lt;1,0,IFERROR(LOOKUP(2,1/(Sorgo!$E83:INDEX(Sorgo!$E83:$Z83,MIN(AE$6-$E$3,22))&lt;&gt;""),Sorgo!$E83:INDEX(Sorgo!$E83:$Z83,MIN(AE$6-$E$3,22))),0))-IF($G$2,0,IF((AE$6-$G$3)&lt;1,0,IFERROR(LOOKUP(2,1/(Sorgo!$E83:INDEX(Sorgo!$E83:$Z83,MIN(AE$6-$G$3,22))&lt;&gt;""),Sorgo!$E83:INDEX(Sorgo!$E83:$Z83,MIN(AE$6-$G$3,22))),0)))))</f>
        <v>0</v>
      </c>
      <c r="AF85" s="27" t="n">
        <f aca="false">IF(COUNT(Sorgo!$E83:$Z83)=0,0,MAX(0,IF((AF$6-$E$3)&lt;1,0,IFERROR(LOOKUP(2,1/(Sorgo!$E83:INDEX(Sorgo!$E83:$Z83,MIN(AF$6-$E$3,22))&lt;&gt;""),Sorgo!$E83:INDEX(Sorgo!$E83:$Z83,MIN(AF$6-$E$3,22))),0))-IF($G$2,0,IF((AF$6-$G$3)&lt;1,0,IFERROR(LOOKUP(2,1/(Sorgo!$E83:INDEX(Sorgo!$E83:$Z83,MIN(AF$6-$G$3,22))&lt;&gt;""),Sorgo!$E83:INDEX(Sorgo!$E83:$Z83,MIN(AF$6-$G$3,22))),0)))))</f>
        <v>0</v>
      </c>
      <c r="AG85" s="27" t="n">
        <f aca="false">IF(COUNT(Sorgo!$E83:$Z83)=0,0,MAX(0,IF((AG$6-$E$3)&lt;1,0,IFERROR(LOOKUP(2,1/(Sorgo!$E83:INDEX(Sorgo!$E83:$Z83,MIN(AG$6-$E$3,22))&lt;&gt;""),Sorgo!$E83:INDEX(Sorgo!$E83:$Z83,MIN(AG$6-$E$3,22))),0))-IF($G$2,0,IF((AG$6-$G$3)&lt;1,0,IFERROR(LOOKUP(2,1/(Sorgo!$E83:INDEX(Sorgo!$E83:$Z83,MIN(AG$6-$G$3,22))&lt;&gt;""),Sorgo!$E83:INDEX(Sorgo!$E83:$Z83,MIN(AG$6-$G$3,22))),0)))))</f>
        <v>0</v>
      </c>
      <c r="AH85" s="27" t="n">
        <f aca="false">IF(COUNT(Sorgo!$E83:$Z83)=0,0,MAX(0,IF((AH$6-$E$3)&lt;1,0,IFERROR(LOOKUP(2,1/(Sorgo!$E83:INDEX(Sorgo!$E83:$Z83,MIN(AH$6-$E$3,22))&lt;&gt;""),Sorgo!$E83:INDEX(Sorgo!$E83:$Z83,MIN(AH$6-$E$3,22))),0))-IF($G$2,0,IF((AH$6-$G$3)&lt;1,0,IFERROR(LOOKUP(2,1/(Sorgo!$E83:INDEX(Sorgo!$E83:$Z83,MIN(AH$6-$G$3,22))&lt;&gt;""),Sorgo!$E83:INDEX(Sorgo!$E83:$Z83,MIN(AH$6-$G$3,22))),0)))))</f>
        <v>0</v>
      </c>
      <c r="AI85" s="27" t="n">
        <f aca="false">IF(COUNT(Sorgo!$E83:$Z83)=0,0,MAX(0,IF((AI$6-$E$3)&lt;1,0,IFERROR(LOOKUP(2,1/(Sorgo!$E83:INDEX(Sorgo!$E83:$Z83,MIN(AI$6-$E$3,22))&lt;&gt;""),Sorgo!$E83:INDEX(Sorgo!$E83:$Z83,MIN(AI$6-$E$3,22))),0))-IF($G$2,0,IF((AI$6-$G$3)&lt;1,0,IFERROR(LOOKUP(2,1/(Sorgo!$E83:INDEX(Sorgo!$E83:$Z83,MIN(AI$6-$G$3,22))&lt;&gt;""),Sorgo!$E83:INDEX(Sorgo!$E83:$Z83,MIN(AI$6-$G$3,22))),0)))))</f>
        <v>0</v>
      </c>
      <c r="AJ85" s="27" t="n">
        <f aca="false">IF(COUNT(Sorgo!$E83:$Z83)=0,0,MAX(0,IF((AJ$6-$E$3)&lt;1,0,IFERROR(LOOKUP(2,1/(Sorgo!$E83:INDEX(Sorgo!$E83:$Z83,MIN(AJ$6-$E$3,22))&lt;&gt;""),Sorgo!$E83:INDEX(Sorgo!$E83:$Z83,MIN(AJ$6-$E$3,22))),0))-IF($G$2,0,IF((AJ$6-$G$3)&lt;1,0,IFERROR(LOOKUP(2,1/(Sorgo!$E83:INDEX(Sorgo!$E83:$Z83,MIN(AJ$6-$G$3,22))&lt;&gt;""),Sorgo!$E83:INDEX(Sorgo!$E83:$Z83,MIN(AJ$6-$G$3,22))),0)))))</f>
        <v>0</v>
      </c>
      <c r="AK85" s="27" t="n">
        <f aca="false">IF(COUNT(Sorgo!$E83:$Z83)=0,0,MAX(0,IF((AK$6-$E$3)&lt;1,0,IFERROR(LOOKUP(2,1/(Sorgo!$E83:INDEX(Sorgo!$E83:$Z83,MIN(AK$6-$E$3,22))&lt;&gt;""),Sorgo!$E83:INDEX(Sorgo!$E83:$Z83,MIN(AK$6-$E$3,22))),0))-IF($G$2,0,IF((AK$6-$G$3)&lt;1,0,IFERROR(LOOKUP(2,1/(Sorgo!$E83:INDEX(Sorgo!$E83:$Z83,MIN(AK$6-$G$3,22))&lt;&gt;""),Sorgo!$E83:INDEX(Sorgo!$E83:$Z83,MIN(AK$6-$G$3,22))),0)))))</f>
        <v>0</v>
      </c>
      <c r="AL85" s="27" t="n">
        <f aca="false">IF(COUNT(Sorgo!$E83:$Z83)=0,0,MAX(0,IF((AL$6-$E$3)&lt;1,0,IFERROR(LOOKUP(2,1/(Sorgo!$E83:INDEX(Sorgo!$E83:$Z83,MIN(AL$6-$E$3,22))&lt;&gt;""),Sorgo!$E83:INDEX(Sorgo!$E83:$Z83,MIN(AL$6-$E$3,22))),0))-IF($G$2,0,IF((AL$6-$G$3)&lt;1,0,IFERROR(LOOKUP(2,1/(Sorgo!$E83:INDEX(Sorgo!$E83:$Z83,MIN(AL$6-$G$3,22))&lt;&gt;""),Sorgo!$E83:INDEX(Sorgo!$E83:$Z83,MIN(AL$6-$G$3,22))),0)))))</f>
        <v>0</v>
      </c>
      <c r="AM85" s="27" t="n">
        <f aca="false">IF(COUNT(Sorgo!$E83:$Z83)=0,0,MAX(0,IF((AM$6-$E$3)&lt;1,0,IFERROR(LOOKUP(2,1/(Sorgo!$E83:INDEX(Sorgo!$E83:$Z83,MIN(AM$6-$E$3,22))&lt;&gt;""),Sorgo!$E83:INDEX(Sorgo!$E83:$Z83,MIN(AM$6-$E$3,22))),0))-IF($G$2,0,IF((AM$6-$G$3)&lt;1,0,IFERROR(LOOKUP(2,1/(Sorgo!$E83:INDEX(Sorgo!$E83:$Z83,MIN(AM$6-$G$3,22))&lt;&gt;""),Sorgo!$E83:INDEX(Sorgo!$E83:$Z83,MIN(AM$6-$G$3,22))),0)))))</f>
        <v>0</v>
      </c>
      <c r="AN85" s="27" t="n">
        <f aca="false">IF(COUNT(Sorgo!$E83:$Z83)=0,0,MAX(0,IF((AN$6-$E$3)&lt;1,0,IFERROR(LOOKUP(2,1/(Sorgo!$E83:INDEX(Sorgo!$E83:$Z83,MIN(AN$6-$E$3,22))&lt;&gt;""),Sorgo!$E83:INDEX(Sorgo!$E83:$Z83,MIN(AN$6-$E$3,22))),0))-IF($G$2,0,IF((AN$6-$G$3)&lt;1,0,IFERROR(LOOKUP(2,1/(Sorgo!$E83:INDEX(Sorgo!$E83:$Z83,MIN(AN$6-$G$3,22))&lt;&gt;""),Sorgo!$E83:INDEX(Sorgo!$E83:$Z83,MIN(AN$6-$G$3,22))),0)))))</f>
        <v>0</v>
      </c>
      <c r="AO85" s="27" t="n">
        <f aca="false">IF(COUNT(Sorgo!$E83:$Z83)=0,0,MAX(0,IF((AO$6-$E$3)&lt;1,0,IFERROR(LOOKUP(2,1/(Sorgo!$E83:INDEX(Sorgo!$E83:$Z83,MIN(AO$6-$E$3,22))&lt;&gt;""),Sorgo!$E83:INDEX(Sorgo!$E83:$Z83,MIN(AO$6-$E$3,22))),0))-IF($G$2,0,IF((AO$6-$G$3)&lt;1,0,IFERROR(LOOKUP(2,1/(Sorgo!$E83:INDEX(Sorgo!$E83:$Z83,MIN(AO$6-$G$3,22))&lt;&gt;""),Sorgo!$E83:INDEX(Sorgo!$E83:$Z83,MIN(AO$6-$G$3,22))),0)))))</f>
        <v>0</v>
      </c>
      <c r="AP85" s="27" t="n">
        <f aca="false">IF(COUNT(Sorgo!$E83:$Z83)=0,0,MAX(0,IF((AP$6-$E$3)&lt;1,0,IFERROR(LOOKUP(2,1/(Sorgo!$E83:INDEX(Sorgo!$E83:$Z83,MIN(AP$6-$E$3,22))&lt;&gt;""),Sorgo!$E83:INDEX(Sorgo!$E83:$Z83,MIN(AP$6-$E$3,22))),0))-IF($G$2,0,IF((AP$6-$G$3)&lt;1,0,IFERROR(LOOKUP(2,1/(Sorgo!$E83:INDEX(Sorgo!$E83:$Z83,MIN(AP$6-$G$3,22))&lt;&gt;""),Sorgo!$E83:INDEX(Sorgo!$E83:$Z83,MIN(AP$6-$G$3,22))),0)))))</f>
        <v>0</v>
      </c>
      <c r="AQ85" s="27" t="n">
        <f aca="false">IF(COUNT(Sorgo!$E83:$Z83)=0,0,MAX(0,IF((AQ$6-$E$3)&lt;1,0,IFERROR(LOOKUP(2,1/(Sorgo!$E83:INDEX(Sorgo!$E83:$Z83,MIN(AQ$6-$E$3,22))&lt;&gt;""),Sorgo!$E83:INDEX(Sorgo!$E83:$Z83,MIN(AQ$6-$E$3,22))),0))-IF($G$2,0,IF((AQ$6-$G$3)&lt;1,0,IFERROR(LOOKUP(2,1/(Sorgo!$E83:INDEX(Sorgo!$E83:$Z83,MIN(AQ$6-$G$3,22))&lt;&gt;""),Sorgo!$E83:INDEX(Sorgo!$E83:$Z83,MIN(AQ$6-$G$3,22))),0)))))</f>
        <v>0</v>
      </c>
      <c r="AR85" s="27" t="n">
        <f aca="false">IF(COUNT(Sorgo!$E83:$Z83)=0,0,MAX(0,IF((AR$6-$E$3)&lt;1,0,IFERROR(LOOKUP(2,1/(Sorgo!$E83:INDEX(Sorgo!$E83:$Z83,MIN(AR$6-$E$3,22))&lt;&gt;""),Sorgo!$E83:INDEX(Sorgo!$E83:$Z83,MIN(AR$6-$E$3,22))),0))-IF($G$2,0,IF((AR$6-$G$3)&lt;1,0,IFERROR(LOOKUP(2,1/(Sorgo!$E83:INDEX(Sorgo!$E83:$Z83,MIN(AR$6-$G$3,22))&lt;&gt;""),Sorgo!$E83:INDEX(Sorgo!$E83:$Z83,MIN(AR$6-$G$3,22))),0)))))</f>
        <v>0</v>
      </c>
      <c r="AS85" s="27" t="n">
        <f aca="false">IF(COUNT(Sorgo!$E83:$Z83)=0,0,MAX(0,IF((AS$6-$E$3)&lt;1,0,IFERROR(LOOKUP(2,1/(Sorgo!$E83:INDEX(Sorgo!$E83:$Z83,MIN(AS$6-$E$3,22))&lt;&gt;""),Sorgo!$E83:INDEX(Sorgo!$E83:$Z83,MIN(AS$6-$E$3,22))),0))-IF($G$2,0,IF((AS$6-$G$3)&lt;1,0,IFERROR(LOOKUP(2,1/(Sorgo!$E83:INDEX(Sorgo!$E83:$Z83,MIN(AS$6-$G$3,22))&lt;&gt;""),Sorgo!$E83:INDEX(Sorgo!$E83:$Z83,MIN(AS$6-$G$3,22))),0)))))</f>
        <v>0</v>
      </c>
      <c r="AT85" s="27" t="n">
        <f aca="false">IF(COUNT(Sorgo!$E83:$Z83)=0,0,MAX(0,IF((AT$6-$E$3)&lt;1,0,IFERROR(LOOKUP(2,1/(Sorgo!$E83:INDEX(Sorgo!$E83:$Z83,MIN(AT$6-$E$3,22))&lt;&gt;""),Sorgo!$E83:INDEX(Sorgo!$E83:$Z83,MIN(AT$6-$E$3,22))),0))-IF($G$2,0,IF((AT$6-$G$3)&lt;1,0,IFERROR(LOOKUP(2,1/(Sorgo!$E83:INDEX(Sorgo!$E83:$Z83,MIN(AT$6-$G$3,22))&lt;&gt;""),Sorgo!$E83:INDEX(Sorgo!$E83:$Z83,MIN(AT$6-$G$3,22))),0)))))</f>
        <v>0</v>
      </c>
      <c r="AU85" s="27" t="n">
        <f aca="false">IF(COUNT(Sorgo!$E83:$Z83)=0,0,MAX(0,IF((AU$6-$E$3)&lt;1,0,IFERROR(LOOKUP(2,1/(Sorgo!$E83:INDEX(Sorgo!$E83:$Z83,MIN(AU$6-$E$3,22))&lt;&gt;""),Sorgo!$E83:INDEX(Sorgo!$E83:$Z83,MIN(AU$6-$E$3,22))),0))-IF($G$2,0,IF((AU$6-$G$3)&lt;1,0,IFERROR(LOOKUP(2,1/(Sorgo!$E83:INDEX(Sorgo!$E83:$Z83,MIN(AU$6-$G$3,22))&lt;&gt;""),Sorgo!$E83:INDEX(Sorgo!$E83:$Z83,MIN(AU$6-$G$3,22))),0)))))</f>
        <v>0</v>
      </c>
      <c r="AV85" s="27" t="n">
        <f aca="false">IF(COUNT(Sorgo!$E83:$Z83)=0,0,MAX(0,IF((AV$6-$E$3)&lt;1,0,IFERROR(LOOKUP(2,1/(Sorgo!$E83:INDEX(Sorgo!$E83:$Z83,MIN(AV$6-$E$3,22))&lt;&gt;""),Sorgo!$E83:INDEX(Sorgo!$E83:$Z83,MIN(AV$6-$E$3,22))),0))-IF($G$2,0,IF((AV$6-$G$3)&lt;1,0,IFERROR(LOOKUP(2,1/(Sorgo!$E83:INDEX(Sorgo!$E83:$Z83,MIN(AV$6-$G$3,22))&lt;&gt;""),Sorgo!$E83:INDEX(Sorgo!$E83:$Z83,MIN(AV$6-$G$3,22))),0)))))</f>
        <v>0</v>
      </c>
      <c r="AW85" s="27" t="n">
        <f aca="false">IF(COUNT(Sorgo!$E83:$Z83)=0,0,MAX(0,IF((AW$6-$E$3)&lt;1,0,IFERROR(LOOKUP(2,1/(Sorgo!$E83:INDEX(Sorgo!$E83:$Z83,MIN(AW$6-$E$3,22))&lt;&gt;""),Sorgo!$E83:INDEX(Sorgo!$E83:$Z83,MIN(AW$6-$E$3,22))),0))-IF($G$2,0,IF((AW$6-$G$3)&lt;1,0,IFERROR(LOOKUP(2,1/(Sorgo!$E83:INDEX(Sorgo!$E83:$Z83,MIN(AW$6-$G$3,22))&lt;&gt;""),Sorgo!$E83:INDEX(Sorgo!$E83:$Z83,MIN(AW$6-$G$3,22))),0)))))</f>
        <v>0</v>
      </c>
      <c r="AX85" s="27" t="n">
        <f aca="false">IF(COUNT(Sorgo!$E83:$Z83)=0,0,MAX(0,IF((AX$6-$E$3)&lt;1,0,IFERROR(LOOKUP(2,1/(Sorgo!$E83:INDEX(Sorgo!$E83:$Z83,MIN(AX$6-$E$3,22))&lt;&gt;""),Sorgo!$E83:INDEX(Sorgo!$E83:$Z83,MIN(AX$6-$E$3,22))),0))-IF($G$2,0,IF((AX$6-$G$3)&lt;1,0,IFERROR(LOOKUP(2,1/(Sorgo!$E83:INDEX(Sorgo!$E83:$Z83,MIN(AX$6-$G$3,22))&lt;&gt;""),Sorgo!$E83:INDEX(Sorgo!$E83:$Z83,MIN(AX$6-$G$3,22))),0)))))</f>
        <v>0</v>
      </c>
      <c r="AY85" s="27" t="n">
        <f aca="false">IF(COUNT(Sorgo!$E83:$Z83)=0,0,MAX(0,IF((AY$6-$E$3)&lt;1,0,IFERROR(LOOKUP(2,1/(Sorgo!$E83:INDEX(Sorgo!$E83:$Z83,MIN(AY$6-$E$3,22))&lt;&gt;""),Sorgo!$E83:INDEX(Sorgo!$E83:$Z83,MIN(AY$6-$E$3,22))),0))-IF($G$2,0,IF((AY$6-$G$3)&lt;1,0,IFERROR(LOOKUP(2,1/(Sorgo!$E83:INDEX(Sorgo!$E83:$Z83,MIN(AY$6-$G$3,22))&lt;&gt;""),Sorgo!$E83:INDEX(Sorgo!$E83:$Z83,MIN(AY$6-$G$3,22))),0)))))</f>
        <v>0</v>
      </c>
      <c r="AZ85" s="27" t="n">
        <f aca="false">IF(COUNT(Sorgo!$E83:$Z83)=0,0,MAX(0,IF((AZ$6-$E$3)&lt;1,0,IFERROR(LOOKUP(2,1/(Sorgo!$E83:INDEX(Sorgo!$E83:$Z83,MIN(AZ$6-$E$3,22))&lt;&gt;""),Sorgo!$E83:INDEX(Sorgo!$E83:$Z83,MIN(AZ$6-$E$3,22))),0))-IF($G$2,0,IF((AZ$6-$G$3)&lt;1,0,IFERROR(LOOKUP(2,1/(Sorgo!$E83:INDEX(Sorgo!$E83:$Z83,MIN(AZ$6-$G$3,22))&lt;&gt;""),Sorgo!$E83:INDEX(Sorgo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IF(COUNT(Sorgo!$E84:$Z84)&gt;0,N(Sorgo!$D84),0)</f>
        <v>0</v>
      </c>
      <c r="E86" s="27" t="n">
        <f aca="false">IF(COUNT(Sorgo!$E84:$Z84)=0,0,MAX(0,IF((E$6-$E$3)&lt;1,0,IFERROR(LOOKUP(2,1/(Sorgo!$E84:INDEX(Sorgo!$E84:$Z84,MIN(E$6-$E$3,22))&lt;&gt;""),Sorgo!$E84:INDEX(Sorgo!$E84:$Z84,MIN(E$6-$E$3,22))),0))-IF($G$2,0,IF((E$6-$G$3)&lt;1,0,IFERROR(LOOKUP(2,1/(Sorgo!$E84:INDEX(Sorgo!$E84:$Z84,MIN(E$6-$G$3,22))&lt;&gt;""),Sorgo!$E84:INDEX(Sorgo!$E84:$Z84,MIN(E$6-$G$3,22))),0)))))</f>
        <v>0</v>
      </c>
      <c r="F86" s="27" t="n">
        <f aca="false">IF(COUNT(Sorgo!$E84:$Z84)=0,0,MAX(0,IF((F$6-$E$3)&lt;1,0,IFERROR(LOOKUP(2,1/(Sorgo!$E84:INDEX(Sorgo!$E84:$Z84,MIN(F$6-$E$3,22))&lt;&gt;""),Sorgo!$E84:INDEX(Sorgo!$E84:$Z84,MIN(F$6-$E$3,22))),0))-IF($G$2,0,IF((F$6-$G$3)&lt;1,0,IFERROR(LOOKUP(2,1/(Sorgo!$E84:INDEX(Sorgo!$E84:$Z84,MIN(F$6-$G$3,22))&lt;&gt;""),Sorgo!$E84:INDEX(Sorgo!$E84:$Z84,MIN(F$6-$G$3,22))),0)))))</f>
        <v>0</v>
      </c>
      <c r="G86" s="27" t="n">
        <f aca="false">IF(COUNT(Sorgo!$E84:$Z84)=0,0,MAX(0,IF((G$6-$E$3)&lt;1,0,IFERROR(LOOKUP(2,1/(Sorgo!$E84:INDEX(Sorgo!$E84:$Z84,MIN(G$6-$E$3,22))&lt;&gt;""),Sorgo!$E84:INDEX(Sorgo!$E84:$Z84,MIN(G$6-$E$3,22))),0))-IF($G$2,0,IF((G$6-$G$3)&lt;1,0,IFERROR(LOOKUP(2,1/(Sorgo!$E84:INDEX(Sorgo!$E84:$Z84,MIN(G$6-$G$3,22))&lt;&gt;""),Sorgo!$E84:INDEX(Sorgo!$E84:$Z84,MIN(G$6-$G$3,22))),0)))))</f>
        <v>0</v>
      </c>
      <c r="H86" s="27" t="n">
        <f aca="false">IF(COUNT(Sorgo!$E84:$Z84)=0,0,MAX(0,IF((H$6-$E$3)&lt;1,0,IFERROR(LOOKUP(2,1/(Sorgo!$E84:INDEX(Sorgo!$E84:$Z84,MIN(H$6-$E$3,22))&lt;&gt;""),Sorgo!$E84:INDEX(Sorgo!$E84:$Z84,MIN(H$6-$E$3,22))),0))-IF($G$2,0,IF((H$6-$G$3)&lt;1,0,IFERROR(LOOKUP(2,1/(Sorgo!$E84:INDEX(Sorgo!$E84:$Z84,MIN(H$6-$G$3,22))&lt;&gt;""),Sorgo!$E84:INDEX(Sorgo!$E84:$Z84,MIN(H$6-$G$3,22))),0)))))</f>
        <v>0</v>
      </c>
      <c r="I86" s="27" t="n">
        <f aca="false">IF(COUNT(Sorgo!$E84:$Z84)=0,0,MAX(0,IF((I$6-$E$3)&lt;1,0,IFERROR(LOOKUP(2,1/(Sorgo!$E84:INDEX(Sorgo!$E84:$Z84,MIN(I$6-$E$3,22))&lt;&gt;""),Sorgo!$E84:INDEX(Sorgo!$E84:$Z84,MIN(I$6-$E$3,22))),0))-IF($G$2,0,IF((I$6-$G$3)&lt;1,0,IFERROR(LOOKUP(2,1/(Sorgo!$E84:INDEX(Sorgo!$E84:$Z84,MIN(I$6-$G$3,22))&lt;&gt;""),Sorgo!$E84:INDEX(Sorgo!$E84:$Z84,MIN(I$6-$G$3,22))),0)))))</f>
        <v>0</v>
      </c>
      <c r="J86" s="27" t="n">
        <f aca="false">IF(COUNT(Sorgo!$E84:$Z84)=0,0,MAX(0,IF((J$6-$E$3)&lt;1,0,IFERROR(LOOKUP(2,1/(Sorgo!$E84:INDEX(Sorgo!$E84:$Z84,MIN(J$6-$E$3,22))&lt;&gt;""),Sorgo!$E84:INDEX(Sorgo!$E84:$Z84,MIN(J$6-$E$3,22))),0))-IF($G$2,0,IF((J$6-$G$3)&lt;1,0,IFERROR(LOOKUP(2,1/(Sorgo!$E84:INDEX(Sorgo!$E84:$Z84,MIN(J$6-$G$3,22))&lt;&gt;""),Sorgo!$E84:INDEX(Sorgo!$E84:$Z84,MIN(J$6-$G$3,22))),0)))))</f>
        <v>0</v>
      </c>
      <c r="K86" s="27" t="n">
        <f aca="false">IF(COUNT(Sorgo!$E84:$Z84)=0,0,MAX(0,IF((K$6-$E$3)&lt;1,0,IFERROR(LOOKUP(2,1/(Sorgo!$E84:INDEX(Sorgo!$E84:$Z84,MIN(K$6-$E$3,22))&lt;&gt;""),Sorgo!$E84:INDEX(Sorgo!$E84:$Z84,MIN(K$6-$E$3,22))),0))-IF($G$2,0,IF((K$6-$G$3)&lt;1,0,IFERROR(LOOKUP(2,1/(Sorgo!$E84:INDEX(Sorgo!$E84:$Z84,MIN(K$6-$G$3,22))&lt;&gt;""),Sorgo!$E84:INDEX(Sorgo!$E84:$Z84,MIN(K$6-$G$3,22))),0)))))</f>
        <v>0</v>
      </c>
      <c r="L86" s="27" t="n">
        <f aca="false">IF(COUNT(Sorgo!$E84:$Z84)=0,0,MAX(0,IF((L$6-$E$3)&lt;1,0,IFERROR(LOOKUP(2,1/(Sorgo!$E84:INDEX(Sorgo!$E84:$Z84,MIN(L$6-$E$3,22))&lt;&gt;""),Sorgo!$E84:INDEX(Sorgo!$E84:$Z84,MIN(L$6-$E$3,22))),0))-IF($G$2,0,IF((L$6-$G$3)&lt;1,0,IFERROR(LOOKUP(2,1/(Sorgo!$E84:INDEX(Sorgo!$E84:$Z84,MIN(L$6-$G$3,22))&lt;&gt;""),Sorgo!$E84:INDEX(Sorgo!$E84:$Z84,MIN(L$6-$G$3,22))),0)))))</f>
        <v>0</v>
      </c>
      <c r="M86" s="27" t="n">
        <f aca="false">IF(COUNT(Sorgo!$E84:$Z84)=0,0,MAX(0,IF((M$6-$E$3)&lt;1,0,IFERROR(LOOKUP(2,1/(Sorgo!$E84:INDEX(Sorgo!$E84:$Z84,MIN(M$6-$E$3,22))&lt;&gt;""),Sorgo!$E84:INDEX(Sorgo!$E84:$Z84,MIN(M$6-$E$3,22))),0))-IF($G$2,0,IF((M$6-$G$3)&lt;1,0,IFERROR(LOOKUP(2,1/(Sorgo!$E84:INDEX(Sorgo!$E84:$Z84,MIN(M$6-$G$3,22))&lt;&gt;""),Sorgo!$E84:INDEX(Sorgo!$E84:$Z84,MIN(M$6-$G$3,22))),0)))))</f>
        <v>0</v>
      </c>
      <c r="N86" s="27" t="n">
        <f aca="false">IF(COUNT(Sorgo!$E84:$Z84)=0,0,MAX(0,IF((N$6-$E$3)&lt;1,0,IFERROR(LOOKUP(2,1/(Sorgo!$E84:INDEX(Sorgo!$E84:$Z84,MIN(N$6-$E$3,22))&lt;&gt;""),Sorgo!$E84:INDEX(Sorgo!$E84:$Z84,MIN(N$6-$E$3,22))),0))-IF($G$2,0,IF((N$6-$G$3)&lt;1,0,IFERROR(LOOKUP(2,1/(Sorgo!$E84:INDEX(Sorgo!$E84:$Z84,MIN(N$6-$G$3,22))&lt;&gt;""),Sorgo!$E84:INDEX(Sorgo!$E84:$Z84,MIN(N$6-$G$3,22))),0)))))</f>
        <v>0</v>
      </c>
      <c r="O86" s="27" t="n">
        <f aca="false">IF(COUNT(Sorgo!$E84:$Z84)=0,0,MAX(0,IF((O$6-$E$3)&lt;1,0,IFERROR(LOOKUP(2,1/(Sorgo!$E84:INDEX(Sorgo!$E84:$Z84,MIN(O$6-$E$3,22))&lt;&gt;""),Sorgo!$E84:INDEX(Sorgo!$E84:$Z84,MIN(O$6-$E$3,22))),0))-IF($G$2,0,IF((O$6-$G$3)&lt;1,0,IFERROR(LOOKUP(2,1/(Sorgo!$E84:INDEX(Sorgo!$E84:$Z84,MIN(O$6-$G$3,22))&lt;&gt;""),Sorgo!$E84:INDEX(Sorgo!$E84:$Z84,MIN(O$6-$G$3,22))),0)))))</f>
        <v>0</v>
      </c>
      <c r="P86" s="27" t="n">
        <f aca="false">IF(COUNT(Sorgo!$E84:$Z84)=0,0,MAX(0,IF((P$6-$E$3)&lt;1,0,IFERROR(LOOKUP(2,1/(Sorgo!$E84:INDEX(Sorgo!$E84:$Z84,MIN(P$6-$E$3,22))&lt;&gt;""),Sorgo!$E84:INDEX(Sorgo!$E84:$Z84,MIN(P$6-$E$3,22))),0))-IF($G$2,0,IF((P$6-$G$3)&lt;1,0,IFERROR(LOOKUP(2,1/(Sorgo!$E84:INDEX(Sorgo!$E84:$Z84,MIN(P$6-$G$3,22))&lt;&gt;""),Sorgo!$E84:INDEX(Sorgo!$E84:$Z84,MIN(P$6-$G$3,22))),0)))))</f>
        <v>0</v>
      </c>
      <c r="Q86" s="27" t="n">
        <f aca="false">IF(COUNT(Sorgo!$E84:$Z84)=0,0,MAX(0,IF((Q$6-$E$3)&lt;1,0,IFERROR(LOOKUP(2,1/(Sorgo!$E84:INDEX(Sorgo!$E84:$Z84,MIN(Q$6-$E$3,22))&lt;&gt;""),Sorgo!$E84:INDEX(Sorgo!$E84:$Z84,MIN(Q$6-$E$3,22))),0))-IF($G$2,0,IF((Q$6-$G$3)&lt;1,0,IFERROR(LOOKUP(2,1/(Sorgo!$E84:INDEX(Sorgo!$E84:$Z84,MIN(Q$6-$G$3,22))&lt;&gt;""),Sorgo!$E84:INDEX(Sorgo!$E84:$Z84,MIN(Q$6-$G$3,22))),0)))))</f>
        <v>0</v>
      </c>
      <c r="R86" s="27" t="n">
        <f aca="false">IF(COUNT(Sorgo!$E84:$Z84)=0,0,MAX(0,IF((R$6-$E$3)&lt;1,0,IFERROR(LOOKUP(2,1/(Sorgo!$E84:INDEX(Sorgo!$E84:$Z84,MIN(R$6-$E$3,22))&lt;&gt;""),Sorgo!$E84:INDEX(Sorgo!$E84:$Z84,MIN(R$6-$E$3,22))),0))-IF($G$2,0,IF((R$6-$G$3)&lt;1,0,IFERROR(LOOKUP(2,1/(Sorgo!$E84:INDEX(Sorgo!$E84:$Z84,MIN(R$6-$G$3,22))&lt;&gt;""),Sorgo!$E84:INDEX(Sorgo!$E84:$Z84,MIN(R$6-$G$3,22))),0)))))</f>
        <v>0</v>
      </c>
      <c r="S86" s="27" t="n">
        <f aca="false">IF(COUNT(Sorgo!$E84:$Z84)=0,0,MAX(0,IF((S$6-$E$3)&lt;1,0,IFERROR(LOOKUP(2,1/(Sorgo!$E84:INDEX(Sorgo!$E84:$Z84,MIN(S$6-$E$3,22))&lt;&gt;""),Sorgo!$E84:INDEX(Sorgo!$E84:$Z84,MIN(S$6-$E$3,22))),0))-IF($G$2,0,IF((S$6-$G$3)&lt;1,0,IFERROR(LOOKUP(2,1/(Sorgo!$E84:INDEX(Sorgo!$E84:$Z84,MIN(S$6-$G$3,22))&lt;&gt;""),Sorgo!$E84:INDEX(Sorgo!$E84:$Z84,MIN(S$6-$G$3,22))),0)))))</f>
        <v>0</v>
      </c>
      <c r="T86" s="27" t="n">
        <f aca="false">IF(COUNT(Sorgo!$E84:$Z84)=0,0,MAX(0,IF((T$6-$E$3)&lt;1,0,IFERROR(LOOKUP(2,1/(Sorgo!$E84:INDEX(Sorgo!$E84:$Z84,MIN(T$6-$E$3,22))&lt;&gt;""),Sorgo!$E84:INDEX(Sorgo!$E84:$Z84,MIN(T$6-$E$3,22))),0))-IF($G$2,0,IF((T$6-$G$3)&lt;1,0,IFERROR(LOOKUP(2,1/(Sorgo!$E84:INDEX(Sorgo!$E84:$Z84,MIN(T$6-$G$3,22))&lt;&gt;""),Sorgo!$E84:INDEX(Sorgo!$E84:$Z84,MIN(T$6-$G$3,22))),0)))))</f>
        <v>0</v>
      </c>
      <c r="U86" s="27" t="n">
        <f aca="false">IF(COUNT(Sorgo!$E84:$Z84)=0,0,MAX(0,IF((U$6-$E$3)&lt;1,0,IFERROR(LOOKUP(2,1/(Sorgo!$E84:INDEX(Sorgo!$E84:$Z84,MIN(U$6-$E$3,22))&lt;&gt;""),Sorgo!$E84:INDEX(Sorgo!$E84:$Z84,MIN(U$6-$E$3,22))),0))-IF($G$2,0,IF((U$6-$G$3)&lt;1,0,IFERROR(LOOKUP(2,1/(Sorgo!$E84:INDEX(Sorgo!$E84:$Z84,MIN(U$6-$G$3,22))&lt;&gt;""),Sorgo!$E84:INDEX(Sorgo!$E84:$Z84,MIN(U$6-$G$3,22))),0)))))</f>
        <v>0</v>
      </c>
      <c r="V86" s="27" t="n">
        <f aca="false">IF(COUNT(Sorgo!$E84:$Z84)=0,0,MAX(0,IF((V$6-$E$3)&lt;1,0,IFERROR(LOOKUP(2,1/(Sorgo!$E84:INDEX(Sorgo!$E84:$Z84,MIN(V$6-$E$3,22))&lt;&gt;""),Sorgo!$E84:INDEX(Sorgo!$E84:$Z84,MIN(V$6-$E$3,22))),0))-IF($G$2,0,IF((V$6-$G$3)&lt;1,0,IFERROR(LOOKUP(2,1/(Sorgo!$E84:INDEX(Sorgo!$E84:$Z84,MIN(V$6-$G$3,22))&lt;&gt;""),Sorgo!$E84:INDEX(Sorgo!$E84:$Z84,MIN(V$6-$G$3,22))),0)))))</f>
        <v>0</v>
      </c>
      <c r="W86" s="27" t="n">
        <f aca="false">IF(COUNT(Sorgo!$E84:$Z84)=0,0,MAX(0,IF((W$6-$E$3)&lt;1,0,IFERROR(LOOKUP(2,1/(Sorgo!$E84:INDEX(Sorgo!$E84:$Z84,MIN(W$6-$E$3,22))&lt;&gt;""),Sorgo!$E84:INDEX(Sorgo!$E84:$Z84,MIN(W$6-$E$3,22))),0))-IF($G$2,0,IF((W$6-$G$3)&lt;1,0,IFERROR(LOOKUP(2,1/(Sorgo!$E84:INDEX(Sorgo!$E84:$Z84,MIN(W$6-$G$3,22))&lt;&gt;""),Sorgo!$E84:INDEX(Sorgo!$E84:$Z84,MIN(W$6-$G$3,22))),0)))))</f>
        <v>0</v>
      </c>
      <c r="X86" s="27" t="n">
        <f aca="false">IF(COUNT(Sorgo!$E84:$Z84)=0,0,MAX(0,IF((X$6-$E$3)&lt;1,0,IFERROR(LOOKUP(2,1/(Sorgo!$E84:INDEX(Sorgo!$E84:$Z84,MIN(X$6-$E$3,22))&lt;&gt;""),Sorgo!$E84:INDEX(Sorgo!$E84:$Z84,MIN(X$6-$E$3,22))),0))-IF($G$2,0,IF((X$6-$G$3)&lt;1,0,IFERROR(LOOKUP(2,1/(Sorgo!$E84:INDEX(Sorgo!$E84:$Z84,MIN(X$6-$G$3,22))&lt;&gt;""),Sorgo!$E84:INDEX(Sorgo!$E84:$Z84,MIN(X$6-$G$3,22))),0)))))</f>
        <v>0</v>
      </c>
      <c r="Y86" s="27" t="n">
        <f aca="false">IF(COUNT(Sorgo!$E84:$Z84)=0,0,MAX(0,IF((Y$6-$E$3)&lt;1,0,IFERROR(LOOKUP(2,1/(Sorgo!$E84:INDEX(Sorgo!$E84:$Z84,MIN(Y$6-$E$3,22))&lt;&gt;""),Sorgo!$E84:INDEX(Sorgo!$E84:$Z84,MIN(Y$6-$E$3,22))),0))-IF($G$2,0,IF((Y$6-$G$3)&lt;1,0,IFERROR(LOOKUP(2,1/(Sorgo!$E84:INDEX(Sorgo!$E84:$Z84,MIN(Y$6-$G$3,22))&lt;&gt;""),Sorgo!$E84:INDEX(Sorgo!$E84:$Z84,MIN(Y$6-$G$3,22))),0)))))</f>
        <v>0</v>
      </c>
      <c r="Z86" s="27" t="n">
        <f aca="false">IF(COUNT(Sorgo!$E84:$Z84)=0,0,MAX(0,IF((Z$6-$E$3)&lt;1,0,IFERROR(LOOKUP(2,1/(Sorgo!$E84:INDEX(Sorgo!$E84:$Z84,MIN(Z$6-$E$3,22))&lt;&gt;""),Sorgo!$E84:INDEX(Sorgo!$E84:$Z84,MIN(Z$6-$E$3,22))),0))-IF($G$2,0,IF((Z$6-$G$3)&lt;1,0,IFERROR(LOOKUP(2,1/(Sorgo!$E84:INDEX(Sorgo!$E84:$Z84,MIN(Z$6-$G$3,22))&lt;&gt;""),Sorgo!$E84:INDEX(Sorgo!$E84:$Z84,MIN(Z$6-$G$3,22))),0)))))</f>
        <v>0</v>
      </c>
      <c r="AA86" s="27" t="n">
        <f aca="false">IF(COUNT(Sorgo!$E84:$Z84)=0,0,MAX(0,IF((AA$6-$E$3)&lt;1,0,IFERROR(LOOKUP(2,1/(Sorgo!$E84:INDEX(Sorgo!$E84:$Z84,MIN(AA$6-$E$3,22))&lt;&gt;""),Sorgo!$E84:INDEX(Sorgo!$E84:$Z84,MIN(AA$6-$E$3,22))),0))-IF($G$2,0,IF((AA$6-$G$3)&lt;1,0,IFERROR(LOOKUP(2,1/(Sorgo!$E84:INDEX(Sorgo!$E84:$Z84,MIN(AA$6-$G$3,22))&lt;&gt;""),Sorgo!$E84:INDEX(Sorgo!$E84:$Z84,MIN(AA$6-$G$3,22))),0)))))</f>
        <v>0</v>
      </c>
      <c r="AB86" s="27" t="n">
        <f aca="false">IF(COUNT(Sorgo!$E84:$Z84)=0,0,MAX(0,IF((AB$6-$E$3)&lt;1,0,IFERROR(LOOKUP(2,1/(Sorgo!$E84:INDEX(Sorgo!$E84:$Z84,MIN(AB$6-$E$3,22))&lt;&gt;""),Sorgo!$E84:INDEX(Sorgo!$E84:$Z84,MIN(AB$6-$E$3,22))),0))-IF($G$2,0,IF((AB$6-$G$3)&lt;1,0,IFERROR(LOOKUP(2,1/(Sorgo!$E84:INDEX(Sorgo!$E84:$Z84,MIN(AB$6-$G$3,22))&lt;&gt;""),Sorgo!$E84:INDEX(Sorgo!$E84:$Z84,MIN(AB$6-$G$3,22))),0)))))</f>
        <v>0</v>
      </c>
      <c r="AC86" s="27" t="n">
        <f aca="false">IF(COUNT(Sorgo!$E84:$Z84)=0,0,MAX(0,IF((AC$6-$E$3)&lt;1,0,IFERROR(LOOKUP(2,1/(Sorgo!$E84:INDEX(Sorgo!$E84:$Z84,MIN(AC$6-$E$3,22))&lt;&gt;""),Sorgo!$E84:INDEX(Sorgo!$E84:$Z84,MIN(AC$6-$E$3,22))),0))-IF($G$2,0,IF((AC$6-$G$3)&lt;1,0,IFERROR(LOOKUP(2,1/(Sorgo!$E84:INDEX(Sorgo!$E84:$Z84,MIN(AC$6-$G$3,22))&lt;&gt;""),Sorgo!$E84:INDEX(Sorgo!$E84:$Z84,MIN(AC$6-$G$3,22))),0)))))</f>
        <v>0</v>
      </c>
      <c r="AD86" s="27" t="n">
        <f aca="false">IF(COUNT(Sorgo!$E84:$Z84)=0,0,MAX(0,IF((AD$6-$E$3)&lt;1,0,IFERROR(LOOKUP(2,1/(Sorgo!$E84:INDEX(Sorgo!$E84:$Z84,MIN(AD$6-$E$3,22))&lt;&gt;""),Sorgo!$E84:INDEX(Sorgo!$E84:$Z84,MIN(AD$6-$E$3,22))),0))-IF($G$2,0,IF((AD$6-$G$3)&lt;1,0,IFERROR(LOOKUP(2,1/(Sorgo!$E84:INDEX(Sorgo!$E84:$Z84,MIN(AD$6-$G$3,22))&lt;&gt;""),Sorgo!$E84:INDEX(Sorgo!$E84:$Z84,MIN(AD$6-$G$3,22))),0)))))</f>
        <v>0</v>
      </c>
      <c r="AE86" s="27" t="n">
        <f aca="false">IF(COUNT(Sorgo!$E84:$Z84)=0,0,MAX(0,IF((AE$6-$E$3)&lt;1,0,IFERROR(LOOKUP(2,1/(Sorgo!$E84:INDEX(Sorgo!$E84:$Z84,MIN(AE$6-$E$3,22))&lt;&gt;""),Sorgo!$E84:INDEX(Sorgo!$E84:$Z84,MIN(AE$6-$E$3,22))),0))-IF($G$2,0,IF((AE$6-$G$3)&lt;1,0,IFERROR(LOOKUP(2,1/(Sorgo!$E84:INDEX(Sorgo!$E84:$Z84,MIN(AE$6-$G$3,22))&lt;&gt;""),Sorgo!$E84:INDEX(Sorgo!$E84:$Z84,MIN(AE$6-$G$3,22))),0)))))</f>
        <v>0</v>
      </c>
      <c r="AF86" s="27" t="n">
        <f aca="false">IF(COUNT(Sorgo!$E84:$Z84)=0,0,MAX(0,IF((AF$6-$E$3)&lt;1,0,IFERROR(LOOKUP(2,1/(Sorgo!$E84:INDEX(Sorgo!$E84:$Z84,MIN(AF$6-$E$3,22))&lt;&gt;""),Sorgo!$E84:INDEX(Sorgo!$E84:$Z84,MIN(AF$6-$E$3,22))),0))-IF($G$2,0,IF((AF$6-$G$3)&lt;1,0,IFERROR(LOOKUP(2,1/(Sorgo!$E84:INDEX(Sorgo!$E84:$Z84,MIN(AF$6-$G$3,22))&lt;&gt;""),Sorgo!$E84:INDEX(Sorgo!$E84:$Z84,MIN(AF$6-$G$3,22))),0)))))</f>
        <v>0</v>
      </c>
      <c r="AG86" s="27" t="n">
        <f aca="false">IF(COUNT(Sorgo!$E84:$Z84)=0,0,MAX(0,IF((AG$6-$E$3)&lt;1,0,IFERROR(LOOKUP(2,1/(Sorgo!$E84:INDEX(Sorgo!$E84:$Z84,MIN(AG$6-$E$3,22))&lt;&gt;""),Sorgo!$E84:INDEX(Sorgo!$E84:$Z84,MIN(AG$6-$E$3,22))),0))-IF($G$2,0,IF((AG$6-$G$3)&lt;1,0,IFERROR(LOOKUP(2,1/(Sorgo!$E84:INDEX(Sorgo!$E84:$Z84,MIN(AG$6-$G$3,22))&lt;&gt;""),Sorgo!$E84:INDEX(Sorgo!$E84:$Z84,MIN(AG$6-$G$3,22))),0)))))</f>
        <v>0</v>
      </c>
      <c r="AH86" s="27" t="n">
        <f aca="false">IF(COUNT(Sorgo!$E84:$Z84)=0,0,MAX(0,IF((AH$6-$E$3)&lt;1,0,IFERROR(LOOKUP(2,1/(Sorgo!$E84:INDEX(Sorgo!$E84:$Z84,MIN(AH$6-$E$3,22))&lt;&gt;""),Sorgo!$E84:INDEX(Sorgo!$E84:$Z84,MIN(AH$6-$E$3,22))),0))-IF($G$2,0,IF((AH$6-$G$3)&lt;1,0,IFERROR(LOOKUP(2,1/(Sorgo!$E84:INDEX(Sorgo!$E84:$Z84,MIN(AH$6-$G$3,22))&lt;&gt;""),Sorgo!$E84:INDEX(Sorgo!$E84:$Z84,MIN(AH$6-$G$3,22))),0)))))</f>
        <v>0</v>
      </c>
      <c r="AI86" s="27" t="n">
        <f aca="false">IF(COUNT(Sorgo!$E84:$Z84)=0,0,MAX(0,IF((AI$6-$E$3)&lt;1,0,IFERROR(LOOKUP(2,1/(Sorgo!$E84:INDEX(Sorgo!$E84:$Z84,MIN(AI$6-$E$3,22))&lt;&gt;""),Sorgo!$E84:INDEX(Sorgo!$E84:$Z84,MIN(AI$6-$E$3,22))),0))-IF($G$2,0,IF((AI$6-$G$3)&lt;1,0,IFERROR(LOOKUP(2,1/(Sorgo!$E84:INDEX(Sorgo!$E84:$Z84,MIN(AI$6-$G$3,22))&lt;&gt;""),Sorgo!$E84:INDEX(Sorgo!$E84:$Z84,MIN(AI$6-$G$3,22))),0)))))</f>
        <v>0</v>
      </c>
      <c r="AJ86" s="27" t="n">
        <f aca="false">IF(COUNT(Sorgo!$E84:$Z84)=0,0,MAX(0,IF((AJ$6-$E$3)&lt;1,0,IFERROR(LOOKUP(2,1/(Sorgo!$E84:INDEX(Sorgo!$E84:$Z84,MIN(AJ$6-$E$3,22))&lt;&gt;""),Sorgo!$E84:INDEX(Sorgo!$E84:$Z84,MIN(AJ$6-$E$3,22))),0))-IF($G$2,0,IF((AJ$6-$G$3)&lt;1,0,IFERROR(LOOKUP(2,1/(Sorgo!$E84:INDEX(Sorgo!$E84:$Z84,MIN(AJ$6-$G$3,22))&lt;&gt;""),Sorgo!$E84:INDEX(Sorgo!$E84:$Z84,MIN(AJ$6-$G$3,22))),0)))))</f>
        <v>0</v>
      </c>
      <c r="AK86" s="27" t="n">
        <f aca="false">IF(COUNT(Sorgo!$E84:$Z84)=0,0,MAX(0,IF((AK$6-$E$3)&lt;1,0,IFERROR(LOOKUP(2,1/(Sorgo!$E84:INDEX(Sorgo!$E84:$Z84,MIN(AK$6-$E$3,22))&lt;&gt;""),Sorgo!$E84:INDEX(Sorgo!$E84:$Z84,MIN(AK$6-$E$3,22))),0))-IF($G$2,0,IF((AK$6-$G$3)&lt;1,0,IFERROR(LOOKUP(2,1/(Sorgo!$E84:INDEX(Sorgo!$E84:$Z84,MIN(AK$6-$G$3,22))&lt;&gt;""),Sorgo!$E84:INDEX(Sorgo!$E84:$Z84,MIN(AK$6-$G$3,22))),0)))))</f>
        <v>0</v>
      </c>
      <c r="AL86" s="27" t="n">
        <f aca="false">IF(COUNT(Sorgo!$E84:$Z84)=0,0,MAX(0,IF((AL$6-$E$3)&lt;1,0,IFERROR(LOOKUP(2,1/(Sorgo!$E84:INDEX(Sorgo!$E84:$Z84,MIN(AL$6-$E$3,22))&lt;&gt;""),Sorgo!$E84:INDEX(Sorgo!$E84:$Z84,MIN(AL$6-$E$3,22))),0))-IF($G$2,0,IF((AL$6-$G$3)&lt;1,0,IFERROR(LOOKUP(2,1/(Sorgo!$E84:INDEX(Sorgo!$E84:$Z84,MIN(AL$6-$G$3,22))&lt;&gt;""),Sorgo!$E84:INDEX(Sorgo!$E84:$Z84,MIN(AL$6-$G$3,22))),0)))))</f>
        <v>0</v>
      </c>
      <c r="AM86" s="27" t="n">
        <f aca="false">IF(COUNT(Sorgo!$E84:$Z84)=0,0,MAX(0,IF((AM$6-$E$3)&lt;1,0,IFERROR(LOOKUP(2,1/(Sorgo!$E84:INDEX(Sorgo!$E84:$Z84,MIN(AM$6-$E$3,22))&lt;&gt;""),Sorgo!$E84:INDEX(Sorgo!$E84:$Z84,MIN(AM$6-$E$3,22))),0))-IF($G$2,0,IF((AM$6-$G$3)&lt;1,0,IFERROR(LOOKUP(2,1/(Sorgo!$E84:INDEX(Sorgo!$E84:$Z84,MIN(AM$6-$G$3,22))&lt;&gt;""),Sorgo!$E84:INDEX(Sorgo!$E84:$Z84,MIN(AM$6-$G$3,22))),0)))))</f>
        <v>0</v>
      </c>
      <c r="AN86" s="27" t="n">
        <f aca="false">IF(COUNT(Sorgo!$E84:$Z84)=0,0,MAX(0,IF((AN$6-$E$3)&lt;1,0,IFERROR(LOOKUP(2,1/(Sorgo!$E84:INDEX(Sorgo!$E84:$Z84,MIN(AN$6-$E$3,22))&lt;&gt;""),Sorgo!$E84:INDEX(Sorgo!$E84:$Z84,MIN(AN$6-$E$3,22))),0))-IF($G$2,0,IF((AN$6-$G$3)&lt;1,0,IFERROR(LOOKUP(2,1/(Sorgo!$E84:INDEX(Sorgo!$E84:$Z84,MIN(AN$6-$G$3,22))&lt;&gt;""),Sorgo!$E84:INDEX(Sorgo!$E84:$Z84,MIN(AN$6-$G$3,22))),0)))))</f>
        <v>0</v>
      </c>
      <c r="AO86" s="27" t="n">
        <f aca="false">IF(COUNT(Sorgo!$E84:$Z84)=0,0,MAX(0,IF((AO$6-$E$3)&lt;1,0,IFERROR(LOOKUP(2,1/(Sorgo!$E84:INDEX(Sorgo!$E84:$Z84,MIN(AO$6-$E$3,22))&lt;&gt;""),Sorgo!$E84:INDEX(Sorgo!$E84:$Z84,MIN(AO$6-$E$3,22))),0))-IF($G$2,0,IF((AO$6-$G$3)&lt;1,0,IFERROR(LOOKUP(2,1/(Sorgo!$E84:INDEX(Sorgo!$E84:$Z84,MIN(AO$6-$G$3,22))&lt;&gt;""),Sorgo!$E84:INDEX(Sorgo!$E84:$Z84,MIN(AO$6-$G$3,22))),0)))))</f>
        <v>0</v>
      </c>
      <c r="AP86" s="27" t="n">
        <f aca="false">IF(COUNT(Sorgo!$E84:$Z84)=0,0,MAX(0,IF((AP$6-$E$3)&lt;1,0,IFERROR(LOOKUP(2,1/(Sorgo!$E84:INDEX(Sorgo!$E84:$Z84,MIN(AP$6-$E$3,22))&lt;&gt;""),Sorgo!$E84:INDEX(Sorgo!$E84:$Z84,MIN(AP$6-$E$3,22))),0))-IF($G$2,0,IF((AP$6-$G$3)&lt;1,0,IFERROR(LOOKUP(2,1/(Sorgo!$E84:INDEX(Sorgo!$E84:$Z84,MIN(AP$6-$G$3,22))&lt;&gt;""),Sorgo!$E84:INDEX(Sorgo!$E84:$Z84,MIN(AP$6-$G$3,22))),0)))))</f>
        <v>0</v>
      </c>
      <c r="AQ86" s="27" t="n">
        <f aca="false">IF(COUNT(Sorgo!$E84:$Z84)=0,0,MAX(0,IF((AQ$6-$E$3)&lt;1,0,IFERROR(LOOKUP(2,1/(Sorgo!$E84:INDEX(Sorgo!$E84:$Z84,MIN(AQ$6-$E$3,22))&lt;&gt;""),Sorgo!$E84:INDEX(Sorgo!$E84:$Z84,MIN(AQ$6-$E$3,22))),0))-IF($G$2,0,IF((AQ$6-$G$3)&lt;1,0,IFERROR(LOOKUP(2,1/(Sorgo!$E84:INDEX(Sorgo!$E84:$Z84,MIN(AQ$6-$G$3,22))&lt;&gt;""),Sorgo!$E84:INDEX(Sorgo!$E84:$Z84,MIN(AQ$6-$G$3,22))),0)))))</f>
        <v>0</v>
      </c>
      <c r="AR86" s="27" t="n">
        <f aca="false">IF(COUNT(Sorgo!$E84:$Z84)=0,0,MAX(0,IF((AR$6-$E$3)&lt;1,0,IFERROR(LOOKUP(2,1/(Sorgo!$E84:INDEX(Sorgo!$E84:$Z84,MIN(AR$6-$E$3,22))&lt;&gt;""),Sorgo!$E84:INDEX(Sorgo!$E84:$Z84,MIN(AR$6-$E$3,22))),0))-IF($G$2,0,IF((AR$6-$G$3)&lt;1,0,IFERROR(LOOKUP(2,1/(Sorgo!$E84:INDEX(Sorgo!$E84:$Z84,MIN(AR$6-$G$3,22))&lt;&gt;""),Sorgo!$E84:INDEX(Sorgo!$E84:$Z84,MIN(AR$6-$G$3,22))),0)))))</f>
        <v>0</v>
      </c>
      <c r="AS86" s="27" t="n">
        <f aca="false">IF(COUNT(Sorgo!$E84:$Z84)=0,0,MAX(0,IF((AS$6-$E$3)&lt;1,0,IFERROR(LOOKUP(2,1/(Sorgo!$E84:INDEX(Sorgo!$E84:$Z84,MIN(AS$6-$E$3,22))&lt;&gt;""),Sorgo!$E84:INDEX(Sorgo!$E84:$Z84,MIN(AS$6-$E$3,22))),0))-IF($G$2,0,IF((AS$6-$G$3)&lt;1,0,IFERROR(LOOKUP(2,1/(Sorgo!$E84:INDEX(Sorgo!$E84:$Z84,MIN(AS$6-$G$3,22))&lt;&gt;""),Sorgo!$E84:INDEX(Sorgo!$E84:$Z84,MIN(AS$6-$G$3,22))),0)))))</f>
        <v>0</v>
      </c>
      <c r="AT86" s="27" t="n">
        <f aca="false">IF(COUNT(Sorgo!$E84:$Z84)=0,0,MAX(0,IF((AT$6-$E$3)&lt;1,0,IFERROR(LOOKUP(2,1/(Sorgo!$E84:INDEX(Sorgo!$E84:$Z84,MIN(AT$6-$E$3,22))&lt;&gt;""),Sorgo!$E84:INDEX(Sorgo!$E84:$Z84,MIN(AT$6-$E$3,22))),0))-IF($G$2,0,IF((AT$6-$G$3)&lt;1,0,IFERROR(LOOKUP(2,1/(Sorgo!$E84:INDEX(Sorgo!$E84:$Z84,MIN(AT$6-$G$3,22))&lt;&gt;""),Sorgo!$E84:INDEX(Sorgo!$E84:$Z84,MIN(AT$6-$G$3,22))),0)))))</f>
        <v>0</v>
      </c>
      <c r="AU86" s="27" t="n">
        <f aca="false">IF(COUNT(Sorgo!$E84:$Z84)=0,0,MAX(0,IF((AU$6-$E$3)&lt;1,0,IFERROR(LOOKUP(2,1/(Sorgo!$E84:INDEX(Sorgo!$E84:$Z84,MIN(AU$6-$E$3,22))&lt;&gt;""),Sorgo!$E84:INDEX(Sorgo!$E84:$Z84,MIN(AU$6-$E$3,22))),0))-IF($G$2,0,IF((AU$6-$G$3)&lt;1,0,IFERROR(LOOKUP(2,1/(Sorgo!$E84:INDEX(Sorgo!$E84:$Z84,MIN(AU$6-$G$3,22))&lt;&gt;""),Sorgo!$E84:INDEX(Sorgo!$E84:$Z84,MIN(AU$6-$G$3,22))),0)))))</f>
        <v>0</v>
      </c>
      <c r="AV86" s="27" t="n">
        <f aca="false">IF(COUNT(Sorgo!$E84:$Z84)=0,0,MAX(0,IF((AV$6-$E$3)&lt;1,0,IFERROR(LOOKUP(2,1/(Sorgo!$E84:INDEX(Sorgo!$E84:$Z84,MIN(AV$6-$E$3,22))&lt;&gt;""),Sorgo!$E84:INDEX(Sorgo!$E84:$Z84,MIN(AV$6-$E$3,22))),0))-IF($G$2,0,IF((AV$6-$G$3)&lt;1,0,IFERROR(LOOKUP(2,1/(Sorgo!$E84:INDEX(Sorgo!$E84:$Z84,MIN(AV$6-$G$3,22))&lt;&gt;""),Sorgo!$E84:INDEX(Sorgo!$E84:$Z84,MIN(AV$6-$G$3,22))),0)))))</f>
        <v>0</v>
      </c>
      <c r="AW86" s="27" t="n">
        <f aca="false">IF(COUNT(Sorgo!$E84:$Z84)=0,0,MAX(0,IF((AW$6-$E$3)&lt;1,0,IFERROR(LOOKUP(2,1/(Sorgo!$E84:INDEX(Sorgo!$E84:$Z84,MIN(AW$6-$E$3,22))&lt;&gt;""),Sorgo!$E84:INDEX(Sorgo!$E84:$Z84,MIN(AW$6-$E$3,22))),0))-IF($G$2,0,IF((AW$6-$G$3)&lt;1,0,IFERROR(LOOKUP(2,1/(Sorgo!$E84:INDEX(Sorgo!$E84:$Z84,MIN(AW$6-$G$3,22))&lt;&gt;""),Sorgo!$E84:INDEX(Sorgo!$E84:$Z84,MIN(AW$6-$G$3,22))),0)))))</f>
        <v>0</v>
      </c>
      <c r="AX86" s="27" t="n">
        <f aca="false">IF(COUNT(Sorgo!$E84:$Z84)=0,0,MAX(0,IF((AX$6-$E$3)&lt;1,0,IFERROR(LOOKUP(2,1/(Sorgo!$E84:INDEX(Sorgo!$E84:$Z84,MIN(AX$6-$E$3,22))&lt;&gt;""),Sorgo!$E84:INDEX(Sorgo!$E84:$Z84,MIN(AX$6-$E$3,22))),0))-IF($G$2,0,IF((AX$6-$G$3)&lt;1,0,IFERROR(LOOKUP(2,1/(Sorgo!$E84:INDEX(Sorgo!$E84:$Z84,MIN(AX$6-$G$3,22))&lt;&gt;""),Sorgo!$E84:INDEX(Sorgo!$E84:$Z84,MIN(AX$6-$G$3,22))),0)))))</f>
        <v>0</v>
      </c>
      <c r="AY86" s="27" t="n">
        <f aca="false">IF(COUNT(Sorgo!$E84:$Z84)=0,0,MAX(0,IF((AY$6-$E$3)&lt;1,0,IFERROR(LOOKUP(2,1/(Sorgo!$E84:INDEX(Sorgo!$E84:$Z84,MIN(AY$6-$E$3,22))&lt;&gt;""),Sorgo!$E84:INDEX(Sorgo!$E84:$Z84,MIN(AY$6-$E$3,22))),0))-IF($G$2,0,IF((AY$6-$G$3)&lt;1,0,IFERROR(LOOKUP(2,1/(Sorgo!$E84:INDEX(Sorgo!$E84:$Z84,MIN(AY$6-$G$3,22))&lt;&gt;""),Sorgo!$E84:INDEX(Sorgo!$E84:$Z84,MIN(AY$6-$G$3,22))),0)))))</f>
        <v>0</v>
      </c>
      <c r="AZ86" s="27" t="n">
        <f aca="false">IF(COUNT(Sorgo!$E84:$Z84)=0,0,MAX(0,IF((AZ$6-$E$3)&lt;1,0,IFERROR(LOOKUP(2,1/(Sorgo!$E84:INDEX(Sorgo!$E84:$Z84,MIN(AZ$6-$E$3,22))&lt;&gt;""),Sorgo!$E84:INDEX(Sorgo!$E84:$Z84,MIN(AZ$6-$E$3,22))),0))-IF($G$2,0,IF((AZ$6-$G$3)&lt;1,0,IFERROR(LOOKUP(2,1/(Sorgo!$E84:INDEX(Sorgo!$E84:$Z84,MIN(AZ$6-$G$3,22))&lt;&gt;""),Sorgo!$E84:INDEX(Sorgo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Parâmetros!$C$25:$C$31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306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Parâmetros!$J$8</f>
        <v>46284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46284</v>
      </c>
      <c r="F5" s="17" t="n">
        <f aca="false">$B$3+7</f>
        <v>46291</v>
      </c>
      <c r="G5" s="17" t="n">
        <f aca="false">$B$3+14</f>
        <v>46298</v>
      </c>
      <c r="H5" s="17" t="n">
        <f aca="false">$B$3+21</f>
        <v>46305</v>
      </c>
      <c r="I5" s="17" t="n">
        <f aca="false">$B$3+28</f>
        <v>46312</v>
      </c>
      <c r="J5" s="17" t="n">
        <f aca="false">$B$3+35</f>
        <v>46319</v>
      </c>
      <c r="K5" s="17" t="n">
        <f aca="false">$B$3+42</f>
        <v>46326</v>
      </c>
      <c r="L5" s="17" t="n">
        <f aca="false">$B$3+49</f>
        <v>46333</v>
      </c>
      <c r="M5" s="17" t="n">
        <f aca="false">$B$3+56</f>
        <v>46340</v>
      </c>
      <c r="N5" s="17" t="n">
        <f aca="false">$B$3+63</f>
        <v>46347</v>
      </c>
      <c r="O5" s="17" t="n">
        <f aca="false">$B$3+70</f>
        <v>46354</v>
      </c>
      <c r="P5" s="17" t="n">
        <f aca="false">$B$3+77</f>
        <v>46361</v>
      </c>
      <c r="Q5" s="17" t="n">
        <f aca="false">$B$3+84</f>
        <v>46368</v>
      </c>
      <c r="R5" s="17" t="n">
        <f aca="false">$B$3+91</f>
        <v>46375</v>
      </c>
      <c r="S5" s="17" t="n">
        <f aca="false">$B$3+98</f>
        <v>46382</v>
      </c>
      <c r="T5" s="17" t="n">
        <f aca="false">$B$3+105</f>
        <v>46389</v>
      </c>
      <c r="U5" s="17" t="n">
        <f aca="false">$B$3+112</f>
        <v>46396</v>
      </c>
      <c r="V5" s="17" t="n">
        <f aca="false">$B$3+119</f>
        <v>46403</v>
      </c>
      <c r="W5" s="17" t="n">
        <f aca="false">$B$3+126</f>
        <v>46410</v>
      </c>
      <c r="X5" s="17" t="n">
        <f aca="false">$B$3+133</f>
        <v>46417</v>
      </c>
      <c r="Y5" s="17" t="n">
        <f aca="false">$B$3+140</f>
        <v>46424</v>
      </c>
      <c r="Z5" s="17" t="n">
        <f aca="false">$B$3+147</f>
        <v>46431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307</v>
      </c>
    </row>
    <row r="2" customFormat="false" ht="15" hidden="false" customHeight="false" outlineLevel="0" collapsed="false">
      <c r="D2" s="21" t="s">
        <v>293</v>
      </c>
      <c r="E2" s="21" t="n">
        <f aca="false">MATCH("Amendoim|"&amp;$B$3,Parâmetros!$G$4:$G$83,0)+3</f>
        <v>34</v>
      </c>
      <c r="F2" s="21" t="s">
        <v>294</v>
      </c>
      <c r="G2" s="22" t="b">
        <f aca="false">INDEX(Parâmetros!$A$1:$A$84,$E$2+1)&lt;&gt;"Amendoim"</f>
        <v>0</v>
      </c>
    </row>
    <row r="3" customFormat="false" ht="15" hidden="false" customHeight="false" outlineLevel="0" collapsed="false">
      <c r="A3" s="13" t="s">
        <v>295</v>
      </c>
      <c r="B3" s="9" t="s">
        <v>70</v>
      </c>
      <c r="D3" s="21" t="s">
        <v>296</v>
      </c>
      <c r="E3" s="21" t="n">
        <f aca="false">ROUND(INDEX(Parâmetros!$D$1:$D$83,$E$2)/7,0)</f>
        <v>4</v>
      </c>
      <c r="F3" s="21" t="s">
        <v>297</v>
      </c>
      <c r="G3" s="21" t="n">
        <f aca="false">IF($G$2,999,ROUND(INDEX(Parâmetros!$D$1:$D$84,$E$2+1)/7,0))</f>
        <v>6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Amendoim!$B$3+0</f>
        <v>46284</v>
      </c>
      <c r="F7" s="17" t="n">
        <f aca="false">Amendoim!$B$3+7</f>
        <v>46291</v>
      </c>
      <c r="G7" s="17" t="n">
        <f aca="false">Amendoim!$B$3+14</f>
        <v>46298</v>
      </c>
      <c r="H7" s="17" t="n">
        <f aca="false">Amendoim!$B$3+21</f>
        <v>46305</v>
      </c>
      <c r="I7" s="17" t="n">
        <f aca="false">Amendoim!$B$3+28</f>
        <v>46312</v>
      </c>
      <c r="J7" s="17" t="n">
        <f aca="false">Amendoim!$B$3+35</f>
        <v>46319</v>
      </c>
      <c r="K7" s="17" t="n">
        <f aca="false">Amendoim!$B$3+42</f>
        <v>46326</v>
      </c>
      <c r="L7" s="17" t="n">
        <f aca="false">Amendoim!$B$3+49</f>
        <v>46333</v>
      </c>
      <c r="M7" s="17" t="n">
        <f aca="false">Amendoim!$B$3+56</f>
        <v>46340</v>
      </c>
      <c r="N7" s="17" t="n">
        <f aca="false">Amendoim!$B$3+63</f>
        <v>46347</v>
      </c>
      <c r="O7" s="17" t="n">
        <f aca="false">Amendoim!$B$3+70</f>
        <v>46354</v>
      </c>
      <c r="P7" s="17" t="n">
        <f aca="false">Amendoim!$B$3+77</f>
        <v>46361</v>
      </c>
      <c r="Q7" s="17" t="n">
        <f aca="false">Amendoim!$B$3+84</f>
        <v>46368</v>
      </c>
      <c r="R7" s="17" t="n">
        <f aca="false">Amendoim!$B$3+91</f>
        <v>46375</v>
      </c>
      <c r="S7" s="17" t="n">
        <f aca="false">Amendoim!$B$3+98</f>
        <v>46382</v>
      </c>
      <c r="T7" s="17" t="n">
        <f aca="false">Amendoim!$B$3+105</f>
        <v>46389</v>
      </c>
      <c r="U7" s="17" t="n">
        <f aca="false">Amendoim!$B$3+112</f>
        <v>46396</v>
      </c>
      <c r="V7" s="17" t="n">
        <f aca="false">Amendoim!$B$3+119</f>
        <v>46403</v>
      </c>
      <c r="W7" s="17" t="n">
        <f aca="false">Amendoim!$B$3+126</f>
        <v>46410</v>
      </c>
      <c r="X7" s="17" t="n">
        <f aca="false">Amendoim!$B$3+133</f>
        <v>46417</v>
      </c>
      <c r="Y7" s="17" t="n">
        <f aca="false">Amendoim!$B$3+140</f>
        <v>46424</v>
      </c>
      <c r="Z7" s="17" t="n">
        <f aca="false">Amendoim!$B$3+147</f>
        <v>46431</v>
      </c>
      <c r="AA7" s="17" t="n">
        <f aca="false">Amendoim!$B$3+154</f>
        <v>46438</v>
      </c>
      <c r="AB7" s="17" t="n">
        <f aca="false">Amendoim!$B$3+161</f>
        <v>46445</v>
      </c>
      <c r="AC7" s="17" t="n">
        <f aca="false">Amendoim!$B$3+168</f>
        <v>46452</v>
      </c>
      <c r="AD7" s="17" t="n">
        <f aca="false">Amendoim!$B$3+175</f>
        <v>46459</v>
      </c>
      <c r="AE7" s="17" t="n">
        <f aca="false">Amendoim!$B$3+182</f>
        <v>46466</v>
      </c>
      <c r="AF7" s="17" t="n">
        <f aca="false">Amendoim!$B$3+189</f>
        <v>46473</v>
      </c>
      <c r="AG7" s="17" t="n">
        <f aca="false">Amendoim!$B$3+196</f>
        <v>46480</v>
      </c>
      <c r="AH7" s="17" t="n">
        <f aca="false">Amendoim!$B$3+203</f>
        <v>46487</v>
      </c>
      <c r="AI7" s="17" t="n">
        <f aca="false">Amendoim!$B$3+210</f>
        <v>46494</v>
      </c>
      <c r="AJ7" s="17" t="n">
        <f aca="false">Amendoim!$B$3+217</f>
        <v>46501</v>
      </c>
      <c r="AK7" s="17" t="n">
        <f aca="false">Amendoim!$B$3+224</f>
        <v>46508</v>
      </c>
      <c r="AL7" s="17" t="n">
        <f aca="false">Amendoim!$B$3+231</f>
        <v>46515</v>
      </c>
      <c r="AM7" s="17" t="n">
        <f aca="false">Amendoim!$B$3+238</f>
        <v>46522</v>
      </c>
      <c r="AN7" s="17" t="n">
        <f aca="false">Amendoim!$B$3+245</f>
        <v>46529</v>
      </c>
      <c r="AO7" s="17" t="n">
        <f aca="false">Amendoim!$B$3+252</f>
        <v>46536</v>
      </c>
      <c r="AP7" s="17" t="n">
        <f aca="false">Amendoim!$B$3+259</f>
        <v>46543</v>
      </c>
      <c r="AQ7" s="17" t="n">
        <f aca="false">Amendoim!$B$3+266</f>
        <v>46550</v>
      </c>
      <c r="AR7" s="17" t="n">
        <f aca="false">Amendoim!$B$3+273</f>
        <v>46557</v>
      </c>
      <c r="AS7" s="17" t="n">
        <f aca="false">Amendoim!$B$3+280</f>
        <v>46564</v>
      </c>
      <c r="AT7" s="17" t="n">
        <f aca="false">Amendoim!$B$3+287</f>
        <v>46571</v>
      </c>
      <c r="AU7" s="17" t="n">
        <f aca="false">Amendoim!$B$3+294</f>
        <v>46578</v>
      </c>
      <c r="AV7" s="17" t="n">
        <f aca="false">Amendoim!$B$3+301</f>
        <v>46585</v>
      </c>
      <c r="AW7" s="17" t="n">
        <f aca="false">Amendoim!$B$3+308</f>
        <v>46592</v>
      </c>
      <c r="AX7" s="17" t="n">
        <f aca="false">Amendoim!$B$3+315</f>
        <v>46599</v>
      </c>
      <c r="AY7" s="17" t="n">
        <f aca="false">Amendoim!$B$3+322</f>
        <v>46606</v>
      </c>
      <c r="AZ7" s="17" t="n">
        <f aca="false">Amendoim!$B$3+329</f>
        <v>46613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IF(COUNT(Amendoim!$E6:$Z6)&gt;0,N(Amendoim!$D6),0)</f>
        <v>0</v>
      </c>
      <c r="E8" s="27" t="n">
        <f aca="false">IF(COUNT(Amendoim!$E6:$Z6)=0,0,MAX(0,IF((E$6-$E$3)&lt;1,0,IFERROR(LOOKUP(2,1/(Amendoim!$E6:INDEX(Amendoim!$E6:$Z6,MIN(E$6-$E$3,22))&lt;&gt;""),Amendoim!$E6:INDEX(Amendoim!$E6:$Z6,MIN(E$6-$E$3,22))),0))-IF($G$2,0,IF((E$6-$G$3)&lt;1,0,IFERROR(LOOKUP(2,1/(Amendoim!$E6:INDEX(Amendoim!$E6:$Z6,MIN(E$6-$G$3,22))&lt;&gt;""),Amendoim!$E6:INDEX(Amendoim!$E6:$Z6,MIN(E$6-$G$3,22))),0)))))</f>
        <v>0</v>
      </c>
      <c r="F8" s="27" t="n">
        <f aca="false">IF(COUNT(Amendoim!$E6:$Z6)=0,0,MAX(0,IF((F$6-$E$3)&lt;1,0,IFERROR(LOOKUP(2,1/(Amendoim!$E6:INDEX(Amendoim!$E6:$Z6,MIN(F$6-$E$3,22))&lt;&gt;""),Amendoim!$E6:INDEX(Amendoim!$E6:$Z6,MIN(F$6-$E$3,22))),0))-IF($G$2,0,IF((F$6-$G$3)&lt;1,0,IFERROR(LOOKUP(2,1/(Amendoim!$E6:INDEX(Amendoim!$E6:$Z6,MIN(F$6-$G$3,22))&lt;&gt;""),Amendoim!$E6:INDEX(Amendoim!$E6:$Z6,MIN(F$6-$G$3,22))),0)))))</f>
        <v>0</v>
      </c>
      <c r="G8" s="27" t="n">
        <f aca="false">IF(COUNT(Amendoim!$E6:$Z6)=0,0,MAX(0,IF((G$6-$E$3)&lt;1,0,IFERROR(LOOKUP(2,1/(Amendoim!$E6:INDEX(Amendoim!$E6:$Z6,MIN(G$6-$E$3,22))&lt;&gt;""),Amendoim!$E6:INDEX(Amendoim!$E6:$Z6,MIN(G$6-$E$3,22))),0))-IF($G$2,0,IF((G$6-$G$3)&lt;1,0,IFERROR(LOOKUP(2,1/(Amendoim!$E6:INDEX(Amendoim!$E6:$Z6,MIN(G$6-$G$3,22))&lt;&gt;""),Amendoim!$E6:INDEX(Amendoim!$E6:$Z6,MIN(G$6-$G$3,22))),0)))))</f>
        <v>0</v>
      </c>
      <c r="H8" s="27" t="n">
        <f aca="false">IF(COUNT(Amendoim!$E6:$Z6)=0,0,MAX(0,IF((H$6-$E$3)&lt;1,0,IFERROR(LOOKUP(2,1/(Amendoim!$E6:INDEX(Amendoim!$E6:$Z6,MIN(H$6-$E$3,22))&lt;&gt;""),Amendoim!$E6:INDEX(Amendoim!$E6:$Z6,MIN(H$6-$E$3,22))),0))-IF($G$2,0,IF((H$6-$G$3)&lt;1,0,IFERROR(LOOKUP(2,1/(Amendoim!$E6:INDEX(Amendoim!$E6:$Z6,MIN(H$6-$G$3,22))&lt;&gt;""),Amendoim!$E6:INDEX(Amendoim!$E6:$Z6,MIN(H$6-$G$3,22))),0)))))</f>
        <v>0</v>
      </c>
      <c r="I8" s="27" t="n">
        <f aca="false">IF(COUNT(Amendoim!$E6:$Z6)=0,0,MAX(0,IF((I$6-$E$3)&lt;1,0,IFERROR(LOOKUP(2,1/(Amendoim!$E6:INDEX(Amendoim!$E6:$Z6,MIN(I$6-$E$3,22))&lt;&gt;""),Amendoim!$E6:INDEX(Amendoim!$E6:$Z6,MIN(I$6-$E$3,22))),0))-IF($G$2,0,IF((I$6-$G$3)&lt;1,0,IFERROR(LOOKUP(2,1/(Amendoim!$E6:INDEX(Amendoim!$E6:$Z6,MIN(I$6-$G$3,22))&lt;&gt;""),Amendoim!$E6:INDEX(Amendoim!$E6:$Z6,MIN(I$6-$G$3,22))),0)))))</f>
        <v>0</v>
      </c>
      <c r="J8" s="27" t="n">
        <f aca="false">IF(COUNT(Amendoim!$E6:$Z6)=0,0,MAX(0,IF((J$6-$E$3)&lt;1,0,IFERROR(LOOKUP(2,1/(Amendoim!$E6:INDEX(Amendoim!$E6:$Z6,MIN(J$6-$E$3,22))&lt;&gt;""),Amendoim!$E6:INDEX(Amendoim!$E6:$Z6,MIN(J$6-$E$3,22))),0))-IF($G$2,0,IF((J$6-$G$3)&lt;1,0,IFERROR(LOOKUP(2,1/(Amendoim!$E6:INDEX(Amendoim!$E6:$Z6,MIN(J$6-$G$3,22))&lt;&gt;""),Amendoim!$E6:INDEX(Amendoim!$E6:$Z6,MIN(J$6-$G$3,22))),0)))))</f>
        <v>0</v>
      </c>
      <c r="K8" s="27" t="n">
        <f aca="false">IF(COUNT(Amendoim!$E6:$Z6)=0,0,MAX(0,IF((K$6-$E$3)&lt;1,0,IFERROR(LOOKUP(2,1/(Amendoim!$E6:INDEX(Amendoim!$E6:$Z6,MIN(K$6-$E$3,22))&lt;&gt;""),Amendoim!$E6:INDEX(Amendoim!$E6:$Z6,MIN(K$6-$E$3,22))),0))-IF($G$2,0,IF((K$6-$G$3)&lt;1,0,IFERROR(LOOKUP(2,1/(Amendoim!$E6:INDEX(Amendoim!$E6:$Z6,MIN(K$6-$G$3,22))&lt;&gt;""),Amendoim!$E6:INDEX(Amendoim!$E6:$Z6,MIN(K$6-$G$3,22))),0)))))</f>
        <v>0</v>
      </c>
      <c r="L8" s="27" t="n">
        <f aca="false">IF(COUNT(Amendoim!$E6:$Z6)=0,0,MAX(0,IF((L$6-$E$3)&lt;1,0,IFERROR(LOOKUP(2,1/(Amendoim!$E6:INDEX(Amendoim!$E6:$Z6,MIN(L$6-$E$3,22))&lt;&gt;""),Amendoim!$E6:INDEX(Amendoim!$E6:$Z6,MIN(L$6-$E$3,22))),0))-IF($G$2,0,IF((L$6-$G$3)&lt;1,0,IFERROR(LOOKUP(2,1/(Amendoim!$E6:INDEX(Amendoim!$E6:$Z6,MIN(L$6-$G$3,22))&lt;&gt;""),Amendoim!$E6:INDEX(Amendoim!$E6:$Z6,MIN(L$6-$G$3,22))),0)))))</f>
        <v>0</v>
      </c>
      <c r="M8" s="27" t="n">
        <f aca="false">IF(COUNT(Amendoim!$E6:$Z6)=0,0,MAX(0,IF((M$6-$E$3)&lt;1,0,IFERROR(LOOKUP(2,1/(Amendoim!$E6:INDEX(Amendoim!$E6:$Z6,MIN(M$6-$E$3,22))&lt;&gt;""),Amendoim!$E6:INDEX(Amendoim!$E6:$Z6,MIN(M$6-$E$3,22))),0))-IF($G$2,0,IF((M$6-$G$3)&lt;1,0,IFERROR(LOOKUP(2,1/(Amendoim!$E6:INDEX(Amendoim!$E6:$Z6,MIN(M$6-$G$3,22))&lt;&gt;""),Amendoim!$E6:INDEX(Amendoim!$E6:$Z6,MIN(M$6-$G$3,22))),0)))))</f>
        <v>0</v>
      </c>
      <c r="N8" s="27" t="n">
        <f aca="false">IF(COUNT(Amendoim!$E6:$Z6)=0,0,MAX(0,IF((N$6-$E$3)&lt;1,0,IFERROR(LOOKUP(2,1/(Amendoim!$E6:INDEX(Amendoim!$E6:$Z6,MIN(N$6-$E$3,22))&lt;&gt;""),Amendoim!$E6:INDEX(Amendoim!$E6:$Z6,MIN(N$6-$E$3,22))),0))-IF($G$2,0,IF((N$6-$G$3)&lt;1,0,IFERROR(LOOKUP(2,1/(Amendoim!$E6:INDEX(Amendoim!$E6:$Z6,MIN(N$6-$G$3,22))&lt;&gt;""),Amendoim!$E6:INDEX(Amendoim!$E6:$Z6,MIN(N$6-$G$3,22))),0)))))</f>
        <v>0</v>
      </c>
      <c r="O8" s="27" t="n">
        <f aca="false">IF(COUNT(Amendoim!$E6:$Z6)=0,0,MAX(0,IF((O$6-$E$3)&lt;1,0,IFERROR(LOOKUP(2,1/(Amendoim!$E6:INDEX(Amendoim!$E6:$Z6,MIN(O$6-$E$3,22))&lt;&gt;""),Amendoim!$E6:INDEX(Amendoim!$E6:$Z6,MIN(O$6-$E$3,22))),0))-IF($G$2,0,IF((O$6-$G$3)&lt;1,0,IFERROR(LOOKUP(2,1/(Amendoim!$E6:INDEX(Amendoim!$E6:$Z6,MIN(O$6-$G$3,22))&lt;&gt;""),Amendoim!$E6:INDEX(Amendoim!$E6:$Z6,MIN(O$6-$G$3,22))),0)))))</f>
        <v>0</v>
      </c>
      <c r="P8" s="27" t="n">
        <f aca="false">IF(COUNT(Amendoim!$E6:$Z6)=0,0,MAX(0,IF((P$6-$E$3)&lt;1,0,IFERROR(LOOKUP(2,1/(Amendoim!$E6:INDEX(Amendoim!$E6:$Z6,MIN(P$6-$E$3,22))&lt;&gt;""),Amendoim!$E6:INDEX(Amendoim!$E6:$Z6,MIN(P$6-$E$3,22))),0))-IF($G$2,0,IF((P$6-$G$3)&lt;1,0,IFERROR(LOOKUP(2,1/(Amendoim!$E6:INDEX(Amendoim!$E6:$Z6,MIN(P$6-$G$3,22))&lt;&gt;""),Amendoim!$E6:INDEX(Amendoim!$E6:$Z6,MIN(P$6-$G$3,22))),0)))))</f>
        <v>0</v>
      </c>
      <c r="Q8" s="27" t="n">
        <f aca="false">IF(COUNT(Amendoim!$E6:$Z6)=0,0,MAX(0,IF((Q$6-$E$3)&lt;1,0,IFERROR(LOOKUP(2,1/(Amendoim!$E6:INDEX(Amendoim!$E6:$Z6,MIN(Q$6-$E$3,22))&lt;&gt;""),Amendoim!$E6:INDEX(Amendoim!$E6:$Z6,MIN(Q$6-$E$3,22))),0))-IF($G$2,0,IF((Q$6-$G$3)&lt;1,0,IFERROR(LOOKUP(2,1/(Amendoim!$E6:INDEX(Amendoim!$E6:$Z6,MIN(Q$6-$G$3,22))&lt;&gt;""),Amendoim!$E6:INDEX(Amendoim!$E6:$Z6,MIN(Q$6-$G$3,22))),0)))))</f>
        <v>0</v>
      </c>
      <c r="R8" s="27" t="n">
        <f aca="false">IF(COUNT(Amendoim!$E6:$Z6)=0,0,MAX(0,IF((R$6-$E$3)&lt;1,0,IFERROR(LOOKUP(2,1/(Amendoim!$E6:INDEX(Amendoim!$E6:$Z6,MIN(R$6-$E$3,22))&lt;&gt;""),Amendoim!$E6:INDEX(Amendoim!$E6:$Z6,MIN(R$6-$E$3,22))),0))-IF($G$2,0,IF((R$6-$G$3)&lt;1,0,IFERROR(LOOKUP(2,1/(Amendoim!$E6:INDEX(Amendoim!$E6:$Z6,MIN(R$6-$G$3,22))&lt;&gt;""),Amendoim!$E6:INDEX(Amendoim!$E6:$Z6,MIN(R$6-$G$3,22))),0)))))</f>
        <v>0</v>
      </c>
      <c r="S8" s="27" t="n">
        <f aca="false">IF(COUNT(Amendoim!$E6:$Z6)=0,0,MAX(0,IF((S$6-$E$3)&lt;1,0,IFERROR(LOOKUP(2,1/(Amendoim!$E6:INDEX(Amendoim!$E6:$Z6,MIN(S$6-$E$3,22))&lt;&gt;""),Amendoim!$E6:INDEX(Amendoim!$E6:$Z6,MIN(S$6-$E$3,22))),0))-IF($G$2,0,IF((S$6-$G$3)&lt;1,0,IFERROR(LOOKUP(2,1/(Amendoim!$E6:INDEX(Amendoim!$E6:$Z6,MIN(S$6-$G$3,22))&lt;&gt;""),Amendoim!$E6:INDEX(Amendoim!$E6:$Z6,MIN(S$6-$G$3,22))),0)))))</f>
        <v>0</v>
      </c>
      <c r="T8" s="27" t="n">
        <f aca="false">IF(COUNT(Amendoim!$E6:$Z6)=0,0,MAX(0,IF((T$6-$E$3)&lt;1,0,IFERROR(LOOKUP(2,1/(Amendoim!$E6:INDEX(Amendoim!$E6:$Z6,MIN(T$6-$E$3,22))&lt;&gt;""),Amendoim!$E6:INDEX(Amendoim!$E6:$Z6,MIN(T$6-$E$3,22))),0))-IF($G$2,0,IF((T$6-$G$3)&lt;1,0,IFERROR(LOOKUP(2,1/(Amendoim!$E6:INDEX(Amendoim!$E6:$Z6,MIN(T$6-$G$3,22))&lt;&gt;""),Amendoim!$E6:INDEX(Amendoim!$E6:$Z6,MIN(T$6-$G$3,22))),0)))))</f>
        <v>0</v>
      </c>
      <c r="U8" s="27" t="n">
        <f aca="false">IF(COUNT(Amendoim!$E6:$Z6)=0,0,MAX(0,IF((U$6-$E$3)&lt;1,0,IFERROR(LOOKUP(2,1/(Amendoim!$E6:INDEX(Amendoim!$E6:$Z6,MIN(U$6-$E$3,22))&lt;&gt;""),Amendoim!$E6:INDEX(Amendoim!$E6:$Z6,MIN(U$6-$E$3,22))),0))-IF($G$2,0,IF((U$6-$G$3)&lt;1,0,IFERROR(LOOKUP(2,1/(Amendoim!$E6:INDEX(Amendoim!$E6:$Z6,MIN(U$6-$G$3,22))&lt;&gt;""),Amendoim!$E6:INDEX(Amendoim!$E6:$Z6,MIN(U$6-$G$3,22))),0)))))</f>
        <v>0</v>
      </c>
      <c r="V8" s="27" t="n">
        <f aca="false">IF(COUNT(Amendoim!$E6:$Z6)=0,0,MAX(0,IF((V$6-$E$3)&lt;1,0,IFERROR(LOOKUP(2,1/(Amendoim!$E6:INDEX(Amendoim!$E6:$Z6,MIN(V$6-$E$3,22))&lt;&gt;""),Amendoim!$E6:INDEX(Amendoim!$E6:$Z6,MIN(V$6-$E$3,22))),0))-IF($G$2,0,IF((V$6-$G$3)&lt;1,0,IFERROR(LOOKUP(2,1/(Amendoim!$E6:INDEX(Amendoim!$E6:$Z6,MIN(V$6-$G$3,22))&lt;&gt;""),Amendoim!$E6:INDEX(Amendoim!$E6:$Z6,MIN(V$6-$G$3,22))),0)))))</f>
        <v>0</v>
      </c>
      <c r="W8" s="27" t="n">
        <f aca="false">IF(COUNT(Amendoim!$E6:$Z6)=0,0,MAX(0,IF((W$6-$E$3)&lt;1,0,IFERROR(LOOKUP(2,1/(Amendoim!$E6:INDEX(Amendoim!$E6:$Z6,MIN(W$6-$E$3,22))&lt;&gt;""),Amendoim!$E6:INDEX(Amendoim!$E6:$Z6,MIN(W$6-$E$3,22))),0))-IF($G$2,0,IF((W$6-$G$3)&lt;1,0,IFERROR(LOOKUP(2,1/(Amendoim!$E6:INDEX(Amendoim!$E6:$Z6,MIN(W$6-$G$3,22))&lt;&gt;""),Amendoim!$E6:INDEX(Amendoim!$E6:$Z6,MIN(W$6-$G$3,22))),0)))))</f>
        <v>0</v>
      </c>
      <c r="X8" s="27" t="n">
        <f aca="false">IF(COUNT(Amendoim!$E6:$Z6)=0,0,MAX(0,IF((X$6-$E$3)&lt;1,0,IFERROR(LOOKUP(2,1/(Amendoim!$E6:INDEX(Amendoim!$E6:$Z6,MIN(X$6-$E$3,22))&lt;&gt;""),Amendoim!$E6:INDEX(Amendoim!$E6:$Z6,MIN(X$6-$E$3,22))),0))-IF($G$2,0,IF((X$6-$G$3)&lt;1,0,IFERROR(LOOKUP(2,1/(Amendoim!$E6:INDEX(Amendoim!$E6:$Z6,MIN(X$6-$G$3,22))&lt;&gt;""),Amendoim!$E6:INDEX(Amendoim!$E6:$Z6,MIN(X$6-$G$3,22))),0)))))</f>
        <v>0</v>
      </c>
      <c r="Y8" s="27" t="n">
        <f aca="false">IF(COUNT(Amendoim!$E6:$Z6)=0,0,MAX(0,IF((Y$6-$E$3)&lt;1,0,IFERROR(LOOKUP(2,1/(Amendoim!$E6:INDEX(Amendoim!$E6:$Z6,MIN(Y$6-$E$3,22))&lt;&gt;""),Amendoim!$E6:INDEX(Amendoim!$E6:$Z6,MIN(Y$6-$E$3,22))),0))-IF($G$2,0,IF((Y$6-$G$3)&lt;1,0,IFERROR(LOOKUP(2,1/(Amendoim!$E6:INDEX(Amendoim!$E6:$Z6,MIN(Y$6-$G$3,22))&lt;&gt;""),Amendoim!$E6:INDEX(Amendoim!$E6:$Z6,MIN(Y$6-$G$3,22))),0)))))</f>
        <v>0</v>
      </c>
      <c r="Z8" s="27" t="n">
        <f aca="false">IF(COUNT(Amendoim!$E6:$Z6)=0,0,MAX(0,IF((Z$6-$E$3)&lt;1,0,IFERROR(LOOKUP(2,1/(Amendoim!$E6:INDEX(Amendoim!$E6:$Z6,MIN(Z$6-$E$3,22))&lt;&gt;""),Amendoim!$E6:INDEX(Amendoim!$E6:$Z6,MIN(Z$6-$E$3,22))),0))-IF($G$2,0,IF((Z$6-$G$3)&lt;1,0,IFERROR(LOOKUP(2,1/(Amendoim!$E6:INDEX(Amendoim!$E6:$Z6,MIN(Z$6-$G$3,22))&lt;&gt;""),Amendoim!$E6:INDEX(Amendoim!$E6:$Z6,MIN(Z$6-$G$3,22))),0)))))</f>
        <v>0</v>
      </c>
      <c r="AA8" s="27" t="n">
        <f aca="false">IF(COUNT(Amendoim!$E6:$Z6)=0,0,MAX(0,IF((AA$6-$E$3)&lt;1,0,IFERROR(LOOKUP(2,1/(Amendoim!$E6:INDEX(Amendoim!$E6:$Z6,MIN(AA$6-$E$3,22))&lt;&gt;""),Amendoim!$E6:INDEX(Amendoim!$E6:$Z6,MIN(AA$6-$E$3,22))),0))-IF($G$2,0,IF((AA$6-$G$3)&lt;1,0,IFERROR(LOOKUP(2,1/(Amendoim!$E6:INDEX(Amendoim!$E6:$Z6,MIN(AA$6-$G$3,22))&lt;&gt;""),Amendoim!$E6:INDEX(Amendoim!$E6:$Z6,MIN(AA$6-$G$3,22))),0)))))</f>
        <v>0</v>
      </c>
      <c r="AB8" s="27" t="n">
        <f aca="false">IF(COUNT(Amendoim!$E6:$Z6)=0,0,MAX(0,IF((AB$6-$E$3)&lt;1,0,IFERROR(LOOKUP(2,1/(Amendoim!$E6:INDEX(Amendoim!$E6:$Z6,MIN(AB$6-$E$3,22))&lt;&gt;""),Amendoim!$E6:INDEX(Amendoim!$E6:$Z6,MIN(AB$6-$E$3,22))),0))-IF($G$2,0,IF((AB$6-$G$3)&lt;1,0,IFERROR(LOOKUP(2,1/(Amendoim!$E6:INDEX(Amendoim!$E6:$Z6,MIN(AB$6-$G$3,22))&lt;&gt;""),Amendoim!$E6:INDEX(Amendoim!$E6:$Z6,MIN(AB$6-$G$3,22))),0)))))</f>
        <v>0</v>
      </c>
      <c r="AC8" s="27" t="n">
        <f aca="false">IF(COUNT(Amendoim!$E6:$Z6)=0,0,MAX(0,IF((AC$6-$E$3)&lt;1,0,IFERROR(LOOKUP(2,1/(Amendoim!$E6:INDEX(Amendoim!$E6:$Z6,MIN(AC$6-$E$3,22))&lt;&gt;""),Amendoim!$E6:INDEX(Amendoim!$E6:$Z6,MIN(AC$6-$E$3,22))),0))-IF($G$2,0,IF((AC$6-$G$3)&lt;1,0,IFERROR(LOOKUP(2,1/(Amendoim!$E6:INDEX(Amendoim!$E6:$Z6,MIN(AC$6-$G$3,22))&lt;&gt;""),Amendoim!$E6:INDEX(Amendoim!$E6:$Z6,MIN(AC$6-$G$3,22))),0)))))</f>
        <v>0</v>
      </c>
      <c r="AD8" s="27" t="n">
        <f aca="false">IF(COUNT(Amendoim!$E6:$Z6)=0,0,MAX(0,IF((AD$6-$E$3)&lt;1,0,IFERROR(LOOKUP(2,1/(Amendoim!$E6:INDEX(Amendoim!$E6:$Z6,MIN(AD$6-$E$3,22))&lt;&gt;""),Amendoim!$E6:INDEX(Amendoim!$E6:$Z6,MIN(AD$6-$E$3,22))),0))-IF($G$2,0,IF((AD$6-$G$3)&lt;1,0,IFERROR(LOOKUP(2,1/(Amendoim!$E6:INDEX(Amendoim!$E6:$Z6,MIN(AD$6-$G$3,22))&lt;&gt;""),Amendoim!$E6:INDEX(Amendoim!$E6:$Z6,MIN(AD$6-$G$3,22))),0)))))</f>
        <v>0</v>
      </c>
      <c r="AE8" s="27" t="n">
        <f aca="false">IF(COUNT(Amendoim!$E6:$Z6)=0,0,MAX(0,IF((AE$6-$E$3)&lt;1,0,IFERROR(LOOKUP(2,1/(Amendoim!$E6:INDEX(Amendoim!$E6:$Z6,MIN(AE$6-$E$3,22))&lt;&gt;""),Amendoim!$E6:INDEX(Amendoim!$E6:$Z6,MIN(AE$6-$E$3,22))),0))-IF($G$2,0,IF((AE$6-$G$3)&lt;1,0,IFERROR(LOOKUP(2,1/(Amendoim!$E6:INDEX(Amendoim!$E6:$Z6,MIN(AE$6-$G$3,22))&lt;&gt;""),Amendoim!$E6:INDEX(Amendoim!$E6:$Z6,MIN(AE$6-$G$3,22))),0)))))</f>
        <v>0</v>
      </c>
      <c r="AF8" s="27" t="n">
        <f aca="false">IF(COUNT(Amendoim!$E6:$Z6)=0,0,MAX(0,IF((AF$6-$E$3)&lt;1,0,IFERROR(LOOKUP(2,1/(Amendoim!$E6:INDEX(Amendoim!$E6:$Z6,MIN(AF$6-$E$3,22))&lt;&gt;""),Amendoim!$E6:INDEX(Amendoim!$E6:$Z6,MIN(AF$6-$E$3,22))),0))-IF($G$2,0,IF((AF$6-$G$3)&lt;1,0,IFERROR(LOOKUP(2,1/(Amendoim!$E6:INDEX(Amendoim!$E6:$Z6,MIN(AF$6-$G$3,22))&lt;&gt;""),Amendoim!$E6:INDEX(Amendoim!$E6:$Z6,MIN(AF$6-$G$3,22))),0)))))</f>
        <v>0</v>
      </c>
      <c r="AG8" s="27" t="n">
        <f aca="false">IF(COUNT(Amendoim!$E6:$Z6)=0,0,MAX(0,IF((AG$6-$E$3)&lt;1,0,IFERROR(LOOKUP(2,1/(Amendoim!$E6:INDEX(Amendoim!$E6:$Z6,MIN(AG$6-$E$3,22))&lt;&gt;""),Amendoim!$E6:INDEX(Amendoim!$E6:$Z6,MIN(AG$6-$E$3,22))),0))-IF($G$2,0,IF((AG$6-$G$3)&lt;1,0,IFERROR(LOOKUP(2,1/(Amendoim!$E6:INDEX(Amendoim!$E6:$Z6,MIN(AG$6-$G$3,22))&lt;&gt;""),Amendoim!$E6:INDEX(Amendoim!$E6:$Z6,MIN(AG$6-$G$3,22))),0)))))</f>
        <v>0</v>
      </c>
      <c r="AH8" s="27" t="n">
        <f aca="false">IF(COUNT(Amendoim!$E6:$Z6)=0,0,MAX(0,IF((AH$6-$E$3)&lt;1,0,IFERROR(LOOKUP(2,1/(Amendoim!$E6:INDEX(Amendoim!$E6:$Z6,MIN(AH$6-$E$3,22))&lt;&gt;""),Amendoim!$E6:INDEX(Amendoim!$E6:$Z6,MIN(AH$6-$E$3,22))),0))-IF($G$2,0,IF((AH$6-$G$3)&lt;1,0,IFERROR(LOOKUP(2,1/(Amendoim!$E6:INDEX(Amendoim!$E6:$Z6,MIN(AH$6-$G$3,22))&lt;&gt;""),Amendoim!$E6:INDEX(Amendoim!$E6:$Z6,MIN(AH$6-$G$3,22))),0)))))</f>
        <v>0</v>
      </c>
      <c r="AI8" s="27" t="n">
        <f aca="false">IF(COUNT(Amendoim!$E6:$Z6)=0,0,MAX(0,IF((AI$6-$E$3)&lt;1,0,IFERROR(LOOKUP(2,1/(Amendoim!$E6:INDEX(Amendoim!$E6:$Z6,MIN(AI$6-$E$3,22))&lt;&gt;""),Amendoim!$E6:INDEX(Amendoim!$E6:$Z6,MIN(AI$6-$E$3,22))),0))-IF($G$2,0,IF((AI$6-$G$3)&lt;1,0,IFERROR(LOOKUP(2,1/(Amendoim!$E6:INDEX(Amendoim!$E6:$Z6,MIN(AI$6-$G$3,22))&lt;&gt;""),Amendoim!$E6:INDEX(Amendoim!$E6:$Z6,MIN(AI$6-$G$3,22))),0)))))</f>
        <v>0</v>
      </c>
      <c r="AJ8" s="27" t="n">
        <f aca="false">IF(COUNT(Amendoim!$E6:$Z6)=0,0,MAX(0,IF((AJ$6-$E$3)&lt;1,0,IFERROR(LOOKUP(2,1/(Amendoim!$E6:INDEX(Amendoim!$E6:$Z6,MIN(AJ$6-$E$3,22))&lt;&gt;""),Amendoim!$E6:INDEX(Amendoim!$E6:$Z6,MIN(AJ$6-$E$3,22))),0))-IF($G$2,0,IF((AJ$6-$G$3)&lt;1,0,IFERROR(LOOKUP(2,1/(Amendoim!$E6:INDEX(Amendoim!$E6:$Z6,MIN(AJ$6-$G$3,22))&lt;&gt;""),Amendoim!$E6:INDEX(Amendoim!$E6:$Z6,MIN(AJ$6-$G$3,22))),0)))))</f>
        <v>0</v>
      </c>
      <c r="AK8" s="27" t="n">
        <f aca="false">IF(COUNT(Amendoim!$E6:$Z6)=0,0,MAX(0,IF((AK$6-$E$3)&lt;1,0,IFERROR(LOOKUP(2,1/(Amendoim!$E6:INDEX(Amendoim!$E6:$Z6,MIN(AK$6-$E$3,22))&lt;&gt;""),Amendoim!$E6:INDEX(Amendoim!$E6:$Z6,MIN(AK$6-$E$3,22))),0))-IF($G$2,0,IF((AK$6-$G$3)&lt;1,0,IFERROR(LOOKUP(2,1/(Amendoim!$E6:INDEX(Amendoim!$E6:$Z6,MIN(AK$6-$G$3,22))&lt;&gt;""),Amendoim!$E6:INDEX(Amendoim!$E6:$Z6,MIN(AK$6-$G$3,22))),0)))))</f>
        <v>0</v>
      </c>
      <c r="AL8" s="27" t="n">
        <f aca="false">IF(COUNT(Amendoim!$E6:$Z6)=0,0,MAX(0,IF((AL$6-$E$3)&lt;1,0,IFERROR(LOOKUP(2,1/(Amendoim!$E6:INDEX(Amendoim!$E6:$Z6,MIN(AL$6-$E$3,22))&lt;&gt;""),Amendoim!$E6:INDEX(Amendoim!$E6:$Z6,MIN(AL$6-$E$3,22))),0))-IF($G$2,0,IF((AL$6-$G$3)&lt;1,0,IFERROR(LOOKUP(2,1/(Amendoim!$E6:INDEX(Amendoim!$E6:$Z6,MIN(AL$6-$G$3,22))&lt;&gt;""),Amendoim!$E6:INDEX(Amendoim!$E6:$Z6,MIN(AL$6-$G$3,22))),0)))))</f>
        <v>0</v>
      </c>
      <c r="AM8" s="27" t="n">
        <f aca="false">IF(COUNT(Amendoim!$E6:$Z6)=0,0,MAX(0,IF((AM$6-$E$3)&lt;1,0,IFERROR(LOOKUP(2,1/(Amendoim!$E6:INDEX(Amendoim!$E6:$Z6,MIN(AM$6-$E$3,22))&lt;&gt;""),Amendoim!$E6:INDEX(Amendoim!$E6:$Z6,MIN(AM$6-$E$3,22))),0))-IF($G$2,0,IF((AM$6-$G$3)&lt;1,0,IFERROR(LOOKUP(2,1/(Amendoim!$E6:INDEX(Amendoim!$E6:$Z6,MIN(AM$6-$G$3,22))&lt;&gt;""),Amendoim!$E6:INDEX(Amendoim!$E6:$Z6,MIN(AM$6-$G$3,22))),0)))))</f>
        <v>0</v>
      </c>
      <c r="AN8" s="27" t="n">
        <f aca="false">IF(COUNT(Amendoim!$E6:$Z6)=0,0,MAX(0,IF((AN$6-$E$3)&lt;1,0,IFERROR(LOOKUP(2,1/(Amendoim!$E6:INDEX(Amendoim!$E6:$Z6,MIN(AN$6-$E$3,22))&lt;&gt;""),Amendoim!$E6:INDEX(Amendoim!$E6:$Z6,MIN(AN$6-$E$3,22))),0))-IF($G$2,0,IF((AN$6-$G$3)&lt;1,0,IFERROR(LOOKUP(2,1/(Amendoim!$E6:INDEX(Amendoim!$E6:$Z6,MIN(AN$6-$G$3,22))&lt;&gt;""),Amendoim!$E6:INDEX(Amendoim!$E6:$Z6,MIN(AN$6-$G$3,22))),0)))))</f>
        <v>0</v>
      </c>
      <c r="AO8" s="27" t="n">
        <f aca="false">IF(COUNT(Amendoim!$E6:$Z6)=0,0,MAX(0,IF((AO$6-$E$3)&lt;1,0,IFERROR(LOOKUP(2,1/(Amendoim!$E6:INDEX(Amendoim!$E6:$Z6,MIN(AO$6-$E$3,22))&lt;&gt;""),Amendoim!$E6:INDEX(Amendoim!$E6:$Z6,MIN(AO$6-$E$3,22))),0))-IF($G$2,0,IF((AO$6-$G$3)&lt;1,0,IFERROR(LOOKUP(2,1/(Amendoim!$E6:INDEX(Amendoim!$E6:$Z6,MIN(AO$6-$G$3,22))&lt;&gt;""),Amendoim!$E6:INDEX(Amendoim!$E6:$Z6,MIN(AO$6-$G$3,22))),0)))))</f>
        <v>0</v>
      </c>
      <c r="AP8" s="27" t="n">
        <f aca="false">IF(COUNT(Amendoim!$E6:$Z6)=0,0,MAX(0,IF((AP$6-$E$3)&lt;1,0,IFERROR(LOOKUP(2,1/(Amendoim!$E6:INDEX(Amendoim!$E6:$Z6,MIN(AP$6-$E$3,22))&lt;&gt;""),Amendoim!$E6:INDEX(Amendoim!$E6:$Z6,MIN(AP$6-$E$3,22))),0))-IF($G$2,0,IF((AP$6-$G$3)&lt;1,0,IFERROR(LOOKUP(2,1/(Amendoim!$E6:INDEX(Amendoim!$E6:$Z6,MIN(AP$6-$G$3,22))&lt;&gt;""),Amendoim!$E6:INDEX(Amendoim!$E6:$Z6,MIN(AP$6-$G$3,22))),0)))))</f>
        <v>0</v>
      </c>
      <c r="AQ8" s="27" t="n">
        <f aca="false">IF(COUNT(Amendoim!$E6:$Z6)=0,0,MAX(0,IF((AQ$6-$E$3)&lt;1,0,IFERROR(LOOKUP(2,1/(Amendoim!$E6:INDEX(Amendoim!$E6:$Z6,MIN(AQ$6-$E$3,22))&lt;&gt;""),Amendoim!$E6:INDEX(Amendoim!$E6:$Z6,MIN(AQ$6-$E$3,22))),0))-IF($G$2,0,IF((AQ$6-$G$3)&lt;1,0,IFERROR(LOOKUP(2,1/(Amendoim!$E6:INDEX(Amendoim!$E6:$Z6,MIN(AQ$6-$G$3,22))&lt;&gt;""),Amendoim!$E6:INDEX(Amendoim!$E6:$Z6,MIN(AQ$6-$G$3,22))),0)))))</f>
        <v>0</v>
      </c>
      <c r="AR8" s="27" t="n">
        <f aca="false">IF(COUNT(Amendoim!$E6:$Z6)=0,0,MAX(0,IF((AR$6-$E$3)&lt;1,0,IFERROR(LOOKUP(2,1/(Amendoim!$E6:INDEX(Amendoim!$E6:$Z6,MIN(AR$6-$E$3,22))&lt;&gt;""),Amendoim!$E6:INDEX(Amendoim!$E6:$Z6,MIN(AR$6-$E$3,22))),0))-IF($G$2,0,IF((AR$6-$G$3)&lt;1,0,IFERROR(LOOKUP(2,1/(Amendoim!$E6:INDEX(Amendoim!$E6:$Z6,MIN(AR$6-$G$3,22))&lt;&gt;""),Amendoim!$E6:INDEX(Amendoim!$E6:$Z6,MIN(AR$6-$G$3,22))),0)))))</f>
        <v>0</v>
      </c>
      <c r="AS8" s="27" t="n">
        <f aca="false">IF(COUNT(Amendoim!$E6:$Z6)=0,0,MAX(0,IF((AS$6-$E$3)&lt;1,0,IFERROR(LOOKUP(2,1/(Amendoim!$E6:INDEX(Amendoim!$E6:$Z6,MIN(AS$6-$E$3,22))&lt;&gt;""),Amendoim!$E6:INDEX(Amendoim!$E6:$Z6,MIN(AS$6-$E$3,22))),0))-IF($G$2,0,IF((AS$6-$G$3)&lt;1,0,IFERROR(LOOKUP(2,1/(Amendoim!$E6:INDEX(Amendoim!$E6:$Z6,MIN(AS$6-$G$3,22))&lt;&gt;""),Amendoim!$E6:INDEX(Amendoim!$E6:$Z6,MIN(AS$6-$G$3,22))),0)))))</f>
        <v>0</v>
      </c>
      <c r="AT8" s="27" t="n">
        <f aca="false">IF(COUNT(Amendoim!$E6:$Z6)=0,0,MAX(0,IF((AT$6-$E$3)&lt;1,0,IFERROR(LOOKUP(2,1/(Amendoim!$E6:INDEX(Amendoim!$E6:$Z6,MIN(AT$6-$E$3,22))&lt;&gt;""),Amendoim!$E6:INDEX(Amendoim!$E6:$Z6,MIN(AT$6-$E$3,22))),0))-IF($G$2,0,IF((AT$6-$G$3)&lt;1,0,IFERROR(LOOKUP(2,1/(Amendoim!$E6:INDEX(Amendoim!$E6:$Z6,MIN(AT$6-$G$3,22))&lt;&gt;""),Amendoim!$E6:INDEX(Amendoim!$E6:$Z6,MIN(AT$6-$G$3,22))),0)))))</f>
        <v>0</v>
      </c>
      <c r="AU8" s="27" t="n">
        <f aca="false">IF(COUNT(Amendoim!$E6:$Z6)=0,0,MAX(0,IF((AU$6-$E$3)&lt;1,0,IFERROR(LOOKUP(2,1/(Amendoim!$E6:INDEX(Amendoim!$E6:$Z6,MIN(AU$6-$E$3,22))&lt;&gt;""),Amendoim!$E6:INDEX(Amendoim!$E6:$Z6,MIN(AU$6-$E$3,22))),0))-IF($G$2,0,IF((AU$6-$G$3)&lt;1,0,IFERROR(LOOKUP(2,1/(Amendoim!$E6:INDEX(Amendoim!$E6:$Z6,MIN(AU$6-$G$3,22))&lt;&gt;""),Amendoim!$E6:INDEX(Amendoim!$E6:$Z6,MIN(AU$6-$G$3,22))),0)))))</f>
        <v>0</v>
      </c>
      <c r="AV8" s="27" t="n">
        <f aca="false">IF(COUNT(Amendoim!$E6:$Z6)=0,0,MAX(0,IF((AV$6-$E$3)&lt;1,0,IFERROR(LOOKUP(2,1/(Amendoim!$E6:INDEX(Amendoim!$E6:$Z6,MIN(AV$6-$E$3,22))&lt;&gt;""),Amendoim!$E6:INDEX(Amendoim!$E6:$Z6,MIN(AV$6-$E$3,22))),0))-IF($G$2,0,IF((AV$6-$G$3)&lt;1,0,IFERROR(LOOKUP(2,1/(Amendoim!$E6:INDEX(Amendoim!$E6:$Z6,MIN(AV$6-$G$3,22))&lt;&gt;""),Amendoim!$E6:INDEX(Amendoim!$E6:$Z6,MIN(AV$6-$G$3,22))),0)))))</f>
        <v>0</v>
      </c>
      <c r="AW8" s="27" t="n">
        <f aca="false">IF(COUNT(Amendoim!$E6:$Z6)=0,0,MAX(0,IF((AW$6-$E$3)&lt;1,0,IFERROR(LOOKUP(2,1/(Amendoim!$E6:INDEX(Amendoim!$E6:$Z6,MIN(AW$6-$E$3,22))&lt;&gt;""),Amendoim!$E6:INDEX(Amendoim!$E6:$Z6,MIN(AW$6-$E$3,22))),0))-IF($G$2,0,IF((AW$6-$G$3)&lt;1,0,IFERROR(LOOKUP(2,1/(Amendoim!$E6:INDEX(Amendoim!$E6:$Z6,MIN(AW$6-$G$3,22))&lt;&gt;""),Amendoim!$E6:INDEX(Amendoim!$E6:$Z6,MIN(AW$6-$G$3,22))),0)))))</f>
        <v>0</v>
      </c>
      <c r="AX8" s="27" t="n">
        <f aca="false">IF(COUNT(Amendoim!$E6:$Z6)=0,0,MAX(0,IF((AX$6-$E$3)&lt;1,0,IFERROR(LOOKUP(2,1/(Amendoim!$E6:INDEX(Amendoim!$E6:$Z6,MIN(AX$6-$E$3,22))&lt;&gt;""),Amendoim!$E6:INDEX(Amendoim!$E6:$Z6,MIN(AX$6-$E$3,22))),0))-IF($G$2,0,IF((AX$6-$G$3)&lt;1,0,IFERROR(LOOKUP(2,1/(Amendoim!$E6:INDEX(Amendoim!$E6:$Z6,MIN(AX$6-$G$3,22))&lt;&gt;""),Amendoim!$E6:INDEX(Amendoim!$E6:$Z6,MIN(AX$6-$G$3,22))),0)))))</f>
        <v>0</v>
      </c>
      <c r="AY8" s="27" t="n">
        <f aca="false">IF(COUNT(Amendoim!$E6:$Z6)=0,0,MAX(0,IF((AY$6-$E$3)&lt;1,0,IFERROR(LOOKUP(2,1/(Amendoim!$E6:INDEX(Amendoim!$E6:$Z6,MIN(AY$6-$E$3,22))&lt;&gt;""),Amendoim!$E6:INDEX(Amendoim!$E6:$Z6,MIN(AY$6-$E$3,22))),0))-IF($G$2,0,IF((AY$6-$G$3)&lt;1,0,IFERROR(LOOKUP(2,1/(Amendoim!$E6:INDEX(Amendoim!$E6:$Z6,MIN(AY$6-$G$3,22))&lt;&gt;""),Amendoim!$E6:INDEX(Amendoim!$E6:$Z6,MIN(AY$6-$G$3,22))),0)))))</f>
        <v>0</v>
      </c>
      <c r="AZ8" s="27" t="n">
        <f aca="false">IF(COUNT(Amendoim!$E6:$Z6)=0,0,MAX(0,IF((AZ$6-$E$3)&lt;1,0,IFERROR(LOOKUP(2,1/(Amendoim!$E6:INDEX(Amendoim!$E6:$Z6,MIN(AZ$6-$E$3,22))&lt;&gt;""),Amendoim!$E6:INDEX(Amendoim!$E6:$Z6,MIN(AZ$6-$E$3,22))),0))-IF($G$2,0,IF((AZ$6-$G$3)&lt;1,0,IFERROR(LOOKUP(2,1/(Amendoim!$E6:INDEX(Amendoim!$E6:$Z6,MIN(AZ$6-$G$3,22))&lt;&gt;""),Amendoim!$E6:INDEX(Amendoim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IF(COUNT(Amendoim!$E7:$Z7)&gt;0,N(Amendoim!$D7),0)</f>
        <v>0</v>
      </c>
      <c r="E9" s="27" t="n">
        <f aca="false">IF(COUNT(Amendoim!$E7:$Z7)=0,0,MAX(0,IF((E$6-$E$3)&lt;1,0,IFERROR(LOOKUP(2,1/(Amendoim!$E7:INDEX(Amendoim!$E7:$Z7,MIN(E$6-$E$3,22))&lt;&gt;""),Amendoim!$E7:INDEX(Amendoim!$E7:$Z7,MIN(E$6-$E$3,22))),0))-IF($G$2,0,IF((E$6-$G$3)&lt;1,0,IFERROR(LOOKUP(2,1/(Amendoim!$E7:INDEX(Amendoim!$E7:$Z7,MIN(E$6-$G$3,22))&lt;&gt;""),Amendoim!$E7:INDEX(Amendoim!$E7:$Z7,MIN(E$6-$G$3,22))),0)))))</f>
        <v>0</v>
      </c>
      <c r="F9" s="27" t="n">
        <f aca="false">IF(COUNT(Amendoim!$E7:$Z7)=0,0,MAX(0,IF((F$6-$E$3)&lt;1,0,IFERROR(LOOKUP(2,1/(Amendoim!$E7:INDEX(Amendoim!$E7:$Z7,MIN(F$6-$E$3,22))&lt;&gt;""),Amendoim!$E7:INDEX(Amendoim!$E7:$Z7,MIN(F$6-$E$3,22))),0))-IF($G$2,0,IF((F$6-$G$3)&lt;1,0,IFERROR(LOOKUP(2,1/(Amendoim!$E7:INDEX(Amendoim!$E7:$Z7,MIN(F$6-$G$3,22))&lt;&gt;""),Amendoim!$E7:INDEX(Amendoim!$E7:$Z7,MIN(F$6-$G$3,22))),0)))))</f>
        <v>0</v>
      </c>
      <c r="G9" s="27" t="n">
        <f aca="false">IF(COUNT(Amendoim!$E7:$Z7)=0,0,MAX(0,IF((G$6-$E$3)&lt;1,0,IFERROR(LOOKUP(2,1/(Amendoim!$E7:INDEX(Amendoim!$E7:$Z7,MIN(G$6-$E$3,22))&lt;&gt;""),Amendoim!$E7:INDEX(Amendoim!$E7:$Z7,MIN(G$6-$E$3,22))),0))-IF($G$2,0,IF((G$6-$G$3)&lt;1,0,IFERROR(LOOKUP(2,1/(Amendoim!$E7:INDEX(Amendoim!$E7:$Z7,MIN(G$6-$G$3,22))&lt;&gt;""),Amendoim!$E7:INDEX(Amendoim!$E7:$Z7,MIN(G$6-$G$3,22))),0)))))</f>
        <v>0</v>
      </c>
      <c r="H9" s="27" t="n">
        <f aca="false">IF(COUNT(Amendoim!$E7:$Z7)=0,0,MAX(0,IF((H$6-$E$3)&lt;1,0,IFERROR(LOOKUP(2,1/(Amendoim!$E7:INDEX(Amendoim!$E7:$Z7,MIN(H$6-$E$3,22))&lt;&gt;""),Amendoim!$E7:INDEX(Amendoim!$E7:$Z7,MIN(H$6-$E$3,22))),0))-IF($G$2,0,IF((H$6-$G$3)&lt;1,0,IFERROR(LOOKUP(2,1/(Amendoim!$E7:INDEX(Amendoim!$E7:$Z7,MIN(H$6-$G$3,22))&lt;&gt;""),Amendoim!$E7:INDEX(Amendoim!$E7:$Z7,MIN(H$6-$G$3,22))),0)))))</f>
        <v>0</v>
      </c>
      <c r="I9" s="27" t="n">
        <f aca="false">IF(COUNT(Amendoim!$E7:$Z7)=0,0,MAX(0,IF((I$6-$E$3)&lt;1,0,IFERROR(LOOKUP(2,1/(Amendoim!$E7:INDEX(Amendoim!$E7:$Z7,MIN(I$6-$E$3,22))&lt;&gt;""),Amendoim!$E7:INDEX(Amendoim!$E7:$Z7,MIN(I$6-$E$3,22))),0))-IF($G$2,0,IF((I$6-$G$3)&lt;1,0,IFERROR(LOOKUP(2,1/(Amendoim!$E7:INDEX(Amendoim!$E7:$Z7,MIN(I$6-$G$3,22))&lt;&gt;""),Amendoim!$E7:INDEX(Amendoim!$E7:$Z7,MIN(I$6-$G$3,22))),0)))))</f>
        <v>0</v>
      </c>
      <c r="J9" s="27" t="n">
        <f aca="false">IF(COUNT(Amendoim!$E7:$Z7)=0,0,MAX(0,IF((J$6-$E$3)&lt;1,0,IFERROR(LOOKUP(2,1/(Amendoim!$E7:INDEX(Amendoim!$E7:$Z7,MIN(J$6-$E$3,22))&lt;&gt;""),Amendoim!$E7:INDEX(Amendoim!$E7:$Z7,MIN(J$6-$E$3,22))),0))-IF($G$2,0,IF((J$6-$G$3)&lt;1,0,IFERROR(LOOKUP(2,1/(Amendoim!$E7:INDEX(Amendoim!$E7:$Z7,MIN(J$6-$G$3,22))&lt;&gt;""),Amendoim!$E7:INDEX(Amendoim!$E7:$Z7,MIN(J$6-$G$3,22))),0)))))</f>
        <v>0</v>
      </c>
      <c r="K9" s="27" t="n">
        <f aca="false">IF(COUNT(Amendoim!$E7:$Z7)=0,0,MAX(0,IF((K$6-$E$3)&lt;1,0,IFERROR(LOOKUP(2,1/(Amendoim!$E7:INDEX(Amendoim!$E7:$Z7,MIN(K$6-$E$3,22))&lt;&gt;""),Amendoim!$E7:INDEX(Amendoim!$E7:$Z7,MIN(K$6-$E$3,22))),0))-IF($G$2,0,IF((K$6-$G$3)&lt;1,0,IFERROR(LOOKUP(2,1/(Amendoim!$E7:INDEX(Amendoim!$E7:$Z7,MIN(K$6-$G$3,22))&lt;&gt;""),Amendoim!$E7:INDEX(Amendoim!$E7:$Z7,MIN(K$6-$G$3,22))),0)))))</f>
        <v>0</v>
      </c>
      <c r="L9" s="27" t="n">
        <f aca="false">IF(COUNT(Amendoim!$E7:$Z7)=0,0,MAX(0,IF((L$6-$E$3)&lt;1,0,IFERROR(LOOKUP(2,1/(Amendoim!$E7:INDEX(Amendoim!$E7:$Z7,MIN(L$6-$E$3,22))&lt;&gt;""),Amendoim!$E7:INDEX(Amendoim!$E7:$Z7,MIN(L$6-$E$3,22))),0))-IF($G$2,0,IF((L$6-$G$3)&lt;1,0,IFERROR(LOOKUP(2,1/(Amendoim!$E7:INDEX(Amendoim!$E7:$Z7,MIN(L$6-$G$3,22))&lt;&gt;""),Amendoim!$E7:INDEX(Amendoim!$E7:$Z7,MIN(L$6-$G$3,22))),0)))))</f>
        <v>0</v>
      </c>
      <c r="M9" s="27" t="n">
        <f aca="false">IF(COUNT(Amendoim!$E7:$Z7)=0,0,MAX(0,IF((M$6-$E$3)&lt;1,0,IFERROR(LOOKUP(2,1/(Amendoim!$E7:INDEX(Amendoim!$E7:$Z7,MIN(M$6-$E$3,22))&lt;&gt;""),Amendoim!$E7:INDEX(Amendoim!$E7:$Z7,MIN(M$6-$E$3,22))),0))-IF($G$2,0,IF((M$6-$G$3)&lt;1,0,IFERROR(LOOKUP(2,1/(Amendoim!$E7:INDEX(Amendoim!$E7:$Z7,MIN(M$6-$G$3,22))&lt;&gt;""),Amendoim!$E7:INDEX(Amendoim!$E7:$Z7,MIN(M$6-$G$3,22))),0)))))</f>
        <v>0</v>
      </c>
      <c r="N9" s="27" t="n">
        <f aca="false">IF(COUNT(Amendoim!$E7:$Z7)=0,0,MAX(0,IF((N$6-$E$3)&lt;1,0,IFERROR(LOOKUP(2,1/(Amendoim!$E7:INDEX(Amendoim!$E7:$Z7,MIN(N$6-$E$3,22))&lt;&gt;""),Amendoim!$E7:INDEX(Amendoim!$E7:$Z7,MIN(N$6-$E$3,22))),0))-IF($G$2,0,IF((N$6-$G$3)&lt;1,0,IFERROR(LOOKUP(2,1/(Amendoim!$E7:INDEX(Amendoim!$E7:$Z7,MIN(N$6-$G$3,22))&lt;&gt;""),Amendoim!$E7:INDEX(Amendoim!$E7:$Z7,MIN(N$6-$G$3,22))),0)))))</f>
        <v>0</v>
      </c>
      <c r="O9" s="27" t="n">
        <f aca="false">IF(COUNT(Amendoim!$E7:$Z7)=0,0,MAX(0,IF((O$6-$E$3)&lt;1,0,IFERROR(LOOKUP(2,1/(Amendoim!$E7:INDEX(Amendoim!$E7:$Z7,MIN(O$6-$E$3,22))&lt;&gt;""),Amendoim!$E7:INDEX(Amendoim!$E7:$Z7,MIN(O$6-$E$3,22))),0))-IF($G$2,0,IF((O$6-$G$3)&lt;1,0,IFERROR(LOOKUP(2,1/(Amendoim!$E7:INDEX(Amendoim!$E7:$Z7,MIN(O$6-$G$3,22))&lt;&gt;""),Amendoim!$E7:INDEX(Amendoim!$E7:$Z7,MIN(O$6-$G$3,22))),0)))))</f>
        <v>0</v>
      </c>
      <c r="P9" s="27" t="n">
        <f aca="false">IF(COUNT(Amendoim!$E7:$Z7)=0,0,MAX(0,IF((P$6-$E$3)&lt;1,0,IFERROR(LOOKUP(2,1/(Amendoim!$E7:INDEX(Amendoim!$E7:$Z7,MIN(P$6-$E$3,22))&lt;&gt;""),Amendoim!$E7:INDEX(Amendoim!$E7:$Z7,MIN(P$6-$E$3,22))),0))-IF($G$2,0,IF((P$6-$G$3)&lt;1,0,IFERROR(LOOKUP(2,1/(Amendoim!$E7:INDEX(Amendoim!$E7:$Z7,MIN(P$6-$G$3,22))&lt;&gt;""),Amendoim!$E7:INDEX(Amendoim!$E7:$Z7,MIN(P$6-$G$3,22))),0)))))</f>
        <v>0</v>
      </c>
      <c r="Q9" s="27" t="n">
        <f aca="false">IF(COUNT(Amendoim!$E7:$Z7)=0,0,MAX(0,IF((Q$6-$E$3)&lt;1,0,IFERROR(LOOKUP(2,1/(Amendoim!$E7:INDEX(Amendoim!$E7:$Z7,MIN(Q$6-$E$3,22))&lt;&gt;""),Amendoim!$E7:INDEX(Amendoim!$E7:$Z7,MIN(Q$6-$E$3,22))),0))-IF($G$2,0,IF((Q$6-$G$3)&lt;1,0,IFERROR(LOOKUP(2,1/(Amendoim!$E7:INDEX(Amendoim!$E7:$Z7,MIN(Q$6-$G$3,22))&lt;&gt;""),Amendoim!$E7:INDEX(Amendoim!$E7:$Z7,MIN(Q$6-$G$3,22))),0)))))</f>
        <v>0</v>
      </c>
      <c r="R9" s="27" t="n">
        <f aca="false">IF(COUNT(Amendoim!$E7:$Z7)=0,0,MAX(0,IF((R$6-$E$3)&lt;1,0,IFERROR(LOOKUP(2,1/(Amendoim!$E7:INDEX(Amendoim!$E7:$Z7,MIN(R$6-$E$3,22))&lt;&gt;""),Amendoim!$E7:INDEX(Amendoim!$E7:$Z7,MIN(R$6-$E$3,22))),0))-IF($G$2,0,IF((R$6-$G$3)&lt;1,0,IFERROR(LOOKUP(2,1/(Amendoim!$E7:INDEX(Amendoim!$E7:$Z7,MIN(R$6-$G$3,22))&lt;&gt;""),Amendoim!$E7:INDEX(Amendoim!$E7:$Z7,MIN(R$6-$G$3,22))),0)))))</f>
        <v>0</v>
      </c>
      <c r="S9" s="27" t="n">
        <f aca="false">IF(COUNT(Amendoim!$E7:$Z7)=0,0,MAX(0,IF((S$6-$E$3)&lt;1,0,IFERROR(LOOKUP(2,1/(Amendoim!$E7:INDEX(Amendoim!$E7:$Z7,MIN(S$6-$E$3,22))&lt;&gt;""),Amendoim!$E7:INDEX(Amendoim!$E7:$Z7,MIN(S$6-$E$3,22))),0))-IF($G$2,0,IF((S$6-$G$3)&lt;1,0,IFERROR(LOOKUP(2,1/(Amendoim!$E7:INDEX(Amendoim!$E7:$Z7,MIN(S$6-$G$3,22))&lt;&gt;""),Amendoim!$E7:INDEX(Amendoim!$E7:$Z7,MIN(S$6-$G$3,22))),0)))))</f>
        <v>0</v>
      </c>
      <c r="T9" s="27" t="n">
        <f aca="false">IF(COUNT(Amendoim!$E7:$Z7)=0,0,MAX(0,IF((T$6-$E$3)&lt;1,0,IFERROR(LOOKUP(2,1/(Amendoim!$E7:INDEX(Amendoim!$E7:$Z7,MIN(T$6-$E$3,22))&lt;&gt;""),Amendoim!$E7:INDEX(Amendoim!$E7:$Z7,MIN(T$6-$E$3,22))),0))-IF($G$2,0,IF((T$6-$G$3)&lt;1,0,IFERROR(LOOKUP(2,1/(Amendoim!$E7:INDEX(Amendoim!$E7:$Z7,MIN(T$6-$G$3,22))&lt;&gt;""),Amendoim!$E7:INDEX(Amendoim!$E7:$Z7,MIN(T$6-$G$3,22))),0)))))</f>
        <v>0</v>
      </c>
      <c r="U9" s="27" t="n">
        <f aca="false">IF(COUNT(Amendoim!$E7:$Z7)=0,0,MAX(0,IF((U$6-$E$3)&lt;1,0,IFERROR(LOOKUP(2,1/(Amendoim!$E7:INDEX(Amendoim!$E7:$Z7,MIN(U$6-$E$3,22))&lt;&gt;""),Amendoim!$E7:INDEX(Amendoim!$E7:$Z7,MIN(U$6-$E$3,22))),0))-IF($G$2,0,IF((U$6-$G$3)&lt;1,0,IFERROR(LOOKUP(2,1/(Amendoim!$E7:INDEX(Amendoim!$E7:$Z7,MIN(U$6-$G$3,22))&lt;&gt;""),Amendoim!$E7:INDEX(Amendoim!$E7:$Z7,MIN(U$6-$G$3,22))),0)))))</f>
        <v>0</v>
      </c>
      <c r="V9" s="27" t="n">
        <f aca="false">IF(COUNT(Amendoim!$E7:$Z7)=0,0,MAX(0,IF((V$6-$E$3)&lt;1,0,IFERROR(LOOKUP(2,1/(Amendoim!$E7:INDEX(Amendoim!$E7:$Z7,MIN(V$6-$E$3,22))&lt;&gt;""),Amendoim!$E7:INDEX(Amendoim!$E7:$Z7,MIN(V$6-$E$3,22))),0))-IF($G$2,0,IF((V$6-$G$3)&lt;1,0,IFERROR(LOOKUP(2,1/(Amendoim!$E7:INDEX(Amendoim!$E7:$Z7,MIN(V$6-$G$3,22))&lt;&gt;""),Amendoim!$E7:INDEX(Amendoim!$E7:$Z7,MIN(V$6-$G$3,22))),0)))))</f>
        <v>0</v>
      </c>
      <c r="W9" s="27" t="n">
        <f aca="false">IF(COUNT(Amendoim!$E7:$Z7)=0,0,MAX(0,IF((W$6-$E$3)&lt;1,0,IFERROR(LOOKUP(2,1/(Amendoim!$E7:INDEX(Amendoim!$E7:$Z7,MIN(W$6-$E$3,22))&lt;&gt;""),Amendoim!$E7:INDEX(Amendoim!$E7:$Z7,MIN(W$6-$E$3,22))),0))-IF($G$2,0,IF((W$6-$G$3)&lt;1,0,IFERROR(LOOKUP(2,1/(Amendoim!$E7:INDEX(Amendoim!$E7:$Z7,MIN(W$6-$G$3,22))&lt;&gt;""),Amendoim!$E7:INDEX(Amendoim!$E7:$Z7,MIN(W$6-$G$3,22))),0)))))</f>
        <v>0</v>
      </c>
      <c r="X9" s="27" t="n">
        <f aca="false">IF(COUNT(Amendoim!$E7:$Z7)=0,0,MAX(0,IF((X$6-$E$3)&lt;1,0,IFERROR(LOOKUP(2,1/(Amendoim!$E7:INDEX(Amendoim!$E7:$Z7,MIN(X$6-$E$3,22))&lt;&gt;""),Amendoim!$E7:INDEX(Amendoim!$E7:$Z7,MIN(X$6-$E$3,22))),0))-IF($G$2,0,IF((X$6-$G$3)&lt;1,0,IFERROR(LOOKUP(2,1/(Amendoim!$E7:INDEX(Amendoim!$E7:$Z7,MIN(X$6-$G$3,22))&lt;&gt;""),Amendoim!$E7:INDEX(Amendoim!$E7:$Z7,MIN(X$6-$G$3,22))),0)))))</f>
        <v>0</v>
      </c>
      <c r="Y9" s="27" t="n">
        <f aca="false">IF(COUNT(Amendoim!$E7:$Z7)=0,0,MAX(0,IF((Y$6-$E$3)&lt;1,0,IFERROR(LOOKUP(2,1/(Amendoim!$E7:INDEX(Amendoim!$E7:$Z7,MIN(Y$6-$E$3,22))&lt;&gt;""),Amendoim!$E7:INDEX(Amendoim!$E7:$Z7,MIN(Y$6-$E$3,22))),0))-IF($G$2,0,IF((Y$6-$G$3)&lt;1,0,IFERROR(LOOKUP(2,1/(Amendoim!$E7:INDEX(Amendoim!$E7:$Z7,MIN(Y$6-$G$3,22))&lt;&gt;""),Amendoim!$E7:INDEX(Amendoim!$E7:$Z7,MIN(Y$6-$G$3,22))),0)))))</f>
        <v>0</v>
      </c>
      <c r="Z9" s="27" t="n">
        <f aca="false">IF(COUNT(Amendoim!$E7:$Z7)=0,0,MAX(0,IF((Z$6-$E$3)&lt;1,0,IFERROR(LOOKUP(2,1/(Amendoim!$E7:INDEX(Amendoim!$E7:$Z7,MIN(Z$6-$E$3,22))&lt;&gt;""),Amendoim!$E7:INDEX(Amendoim!$E7:$Z7,MIN(Z$6-$E$3,22))),0))-IF($G$2,0,IF((Z$6-$G$3)&lt;1,0,IFERROR(LOOKUP(2,1/(Amendoim!$E7:INDEX(Amendoim!$E7:$Z7,MIN(Z$6-$G$3,22))&lt;&gt;""),Amendoim!$E7:INDEX(Amendoim!$E7:$Z7,MIN(Z$6-$G$3,22))),0)))))</f>
        <v>0</v>
      </c>
      <c r="AA9" s="27" t="n">
        <f aca="false">IF(COUNT(Amendoim!$E7:$Z7)=0,0,MAX(0,IF((AA$6-$E$3)&lt;1,0,IFERROR(LOOKUP(2,1/(Amendoim!$E7:INDEX(Amendoim!$E7:$Z7,MIN(AA$6-$E$3,22))&lt;&gt;""),Amendoim!$E7:INDEX(Amendoim!$E7:$Z7,MIN(AA$6-$E$3,22))),0))-IF($G$2,0,IF((AA$6-$G$3)&lt;1,0,IFERROR(LOOKUP(2,1/(Amendoim!$E7:INDEX(Amendoim!$E7:$Z7,MIN(AA$6-$G$3,22))&lt;&gt;""),Amendoim!$E7:INDEX(Amendoim!$E7:$Z7,MIN(AA$6-$G$3,22))),0)))))</f>
        <v>0</v>
      </c>
      <c r="AB9" s="27" t="n">
        <f aca="false">IF(COUNT(Amendoim!$E7:$Z7)=0,0,MAX(0,IF((AB$6-$E$3)&lt;1,0,IFERROR(LOOKUP(2,1/(Amendoim!$E7:INDEX(Amendoim!$E7:$Z7,MIN(AB$6-$E$3,22))&lt;&gt;""),Amendoim!$E7:INDEX(Amendoim!$E7:$Z7,MIN(AB$6-$E$3,22))),0))-IF($G$2,0,IF((AB$6-$G$3)&lt;1,0,IFERROR(LOOKUP(2,1/(Amendoim!$E7:INDEX(Amendoim!$E7:$Z7,MIN(AB$6-$G$3,22))&lt;&gt;""),Amendoim!$E7:INDEX(Amendoim!$E7:$Z7,MIN(AB$6-$G$3,22))),0)))))</f>
        <v>0</v>
      </c>
      <c r="AC9" s="27" t="n">
        <f aca="false">IF(COUNT(Amendoim!$E7:$Z7)=0,0,MAX(0,IF((AC$6-$E$3)&lt;1,0,IFERROR(LOOKUP(2,1/(Amendoim!$E7:INDEX(Amendoim!$E7:$Z7,MIN(AC$6-$E$3,22))&lt;&gt;""),Amendoim!$E7:INDEX(Amendoim!$E7:$Z7,MIN(AC$6-$E$3,22))),0))-IF($G$2,0,IF((AC$6-$G$3)&lt;1,0,IFERROR(LOOKUP(2,1/(Amendoim!$E7:INDEX(Amendoim!$E7:$Z7,MIN(AC$6-$G$3,22))&lt;&gt;""),Amendoim!$E7:INDEX(Amendoim!$E7:$Z7,MIN(AC$6-$G$3,22))),0)))))</f>
        <v>0</v>
      </c>
      <c r="AD9" s="27" t="n">
        <f aca="false">IF(COUNT(Amendoim!$E7:$Z7)=0,0,MAX(0,IF((AD$6-$E$3)&lt;1,0,IFERROR(LOOKUP(2,1/(Amendoim!$E7:INDEX(Amendoim!$E7:$Z7,MIN(AD$6-$E$3,22))&lt;&gt;""),Amendoim!$E7:INDEX(Amendoim!$E7:$Z7,MIN(AD$6-$E$3,22))),0))-IF($G$2,0,IF((AD$6-$G$3)&lt;1,0,IFERROR(LOOKUP(2,1/(Amendoim!$E7:INDEX(Amendoim!$E7:$Z7,MIN(AD$6-$G$3,22))&lt;&gt;""),Amendoim!$E7:INDEX(Amendoim!$E7:$Z7,MIN(AD$6-$G$3,22))),0)))))</f>
        <v>0</v>
      </c>
      <c r="AE9" s="27" t="n">
        <f aca="false">IF(COUNT(Amendoim!$E7:$Z7)=0,0,MAX(0,IF((AE$6-$E$3)&lt;1,0,IFERROR(LOOKUP(2,1/(Amendoim!$E7:INDEX(Amendoim!$E7:$Z7,MIN(AE$6-$E$3,22))&lt;&gt;""),Amendoim!$E7:INDEX(Amendoim!$E7:$Z7,MIN(AE$6-$E$3,22))),0))-IF($G$2,0,IF((AE$6-$G$3)&lt;1,0,IFERROR(LOOKUP(2,1/(Amendoim!$E7:INDEX(Amendoim!$E7:$Z7,MIN(AE$6-$G$3,22))&lt;&gt;""),Amendoim!$E7:INDEX(Amendoim!$E7:$Z7,MIN(AE$6-$G$3,22))),0)))))</f>
        <v>0</v>
      </c>
      <c r="AF9" s="27" t="n">
        <f aca="false">IF(COUNT(Amendoim!$E7:$Z7)=0,0,MAX(0,IF((AF$6-$E$3)&lt;1,0,IFERROR(LOOKUP(2,1/(Amendoim!$E7:INDEX(Amendoim!$E7:$Z7,MIN(AF$6-$E$3,22))&lt;&gt;""),Amendoim!$E7:INDEX(Amendoim!$E7:$Z7,MIN(AF$6-$E$3,22))),0))-IF($G$2,0,IF((AF$6-$G$3)&lt;1,0,IFERROR(LOOKUP(2,1/(Amendoim!$E7:INDEX(Amendoim!$E7:$Z7,MIN(AF$6-$G$3,22))&lt;&gt;""),Amendoim!$E7:INDEX(Amendoim!$E7:$Z7,MIN(AF$6-$G$3,22))),0)))))</f>
        <v>0</v>
      </c>
      <c r="AG9" s="27" t="n">
        <f aca="false">IF(COUNT(Amendoim!$E7:$Z7)=0,0,MAX(0,IF((AG$6-$E$3)&lt;1,0,IFERROR(LOOKUP(2,1/(Amendoim!$E7:INDEX(Amendoim!$E7:$Z7,MIN(AG$6-$E$3,22))&lt;&gt;""),Amendoim!$E7:INDEX(Amendoim!$E7:$Z7,MIN(AG$6-$E$3,22))),0))-IF($G$2,0,IF((AG$6-$G$3)&lt;1,0,IFERROR(LOOKUP(2,1/(Amendoim!$E7:INDEX(Amendoim!$E7:$Z7,MIN(AG$6-$G$3,22))&lt;&gt;""),Amendoim!$E7:INDEX(Amendoim!$E7:$Z7,MIN(AG$6-$G$3,22))),0)))))</f>
        <v>0</v>
      </c>
      <c r="AH9" s="27" t="n">
        <f aca="false">IF(COUNT(Amendoim!$E7:$Z7)=0,0,MAX(0,IF((AH$6-$E$3)&lt;1,0,IFERROR(LOOKUP(2,1/(Amendoim!$E7:INDEX(Amendoim!$E7:$Z7,MIN(AH$6-$E$3,22))&lt;&gt;""),Amendoim!$E7:INDEX(Amendoim!$E7:$Z7,MIN(AH$6-$E$3,22))),0))-IF($G$2,0,IF((AH$6-$G$3)&lt;1,0,IFERROR(LOOKUP(2,1/(Amendoim!$E7:INDEX(Amendoim!$E7:$Z7,MIN(AH$6-$G$3,22))&lt;&gt;""),Amendoim!$E7:INDEX(Amendoim!$E7:$Z7,MIN(AH$6-$G$3,22))),0)))))</f>
        <v>0</v>
      </c>
      <c r="AI9" s="27" t="n">
        <f aca="false">IF(COUNT(Amendoim!$E7:$Z7)=0,0,MAX(0,IF((AI$6-$E$3)&lt;1,0,IFERROR(LOOKUP(2,1/(Amendoim!$E7:INDEX(Amendoim!$E7:$Z7,MIN(AI$6-$E$3,22))&lt;&gt;""),Amendoim!$E7:INDEX(Amendoim!$E7:$Z7,MIN(AI$6-$E$3,22))),0))-IF($G$2,0,IF((AI$6-$G$3)&lt;1,0,IFERROR(LOOKUP(2,1/(Amendoim!$E7:INDEX(Amendoim!$E7:$Z7,MIN(AI$6-$G$3,22))&lt;&gt;""),Amendoim!$E7:INDEX(Amendoim!$E7:$Z7,MIN(AI$6-$G$3,22))),0)))))</f>
        <v>0</v>
      </c>
      <c r="AJ9" s="27" t="n">
        <f aca="false">IF(COUNT(Amendoim!$E7:$Z7)=0,0,MAX(0,IF((AJ$6-$E$3)&lt;1,0,IFERROR(LOOKUP(2,1/(Amendoim!$E7:INDEX(Amendoim!$E7:$Z7,MIN(AJ$6-$E$3,22))&lt;&gt;""),Amendoim!$E7:INDEX(Amendoim!$E7:$Z7,MIN(AJ$6-$E$3,22))),0))-IF($G$2,0,IF((AJ$6-$G$3)&lt;1,0,IFERROR(LOOKUP(2,1/(Amendoim!$E7:INDEX(Amendoim!$E7:$Z7,MIN(AJ$6-$G$3,22))&lt;&gt;""),Amendoim!$E7:INDEX(Amendoim!$E7:$Z7,MIN(AJ$6-$G$3,22))),0)))))</f>
        <v>0</v>
      </c>
      <c r="AK9" s="27" t="n">
        <f aca="false">IF(COUNT(Amendoim!$E7:$Z7)=0,0,MAX(0,IF((AK$6-$E$3)&lt;1,0,IFERROR(LOOKUP(2,1/(Amendoim!$E7:INDEX(Amendoim!$E7:$Z7,MIN(AK$6-$E$3,22))&lt;&gt;""),Amendoim!$E7:INDEX(Amendoim!$E7:$Z7,MIN(AK$6-$E$3,22))),0))-IF($G$2,0,IF((AK$6-$G$3)&lt;1,0,IFERROR(LOOKUP(2,1/(Amendoim!$E7:INDEX(Amendoim!$E7:$Z7,MIN(AK$6-$G$3,22))&lt;&gt;""),Amendoim!$E7:INDEX(Amendoim!$E7:$Z7,MIN(AK$6-$G$3,22))),0)))))</f>
        <v>0</v>
      </c>
      <c r="AL9" s="27" t="n">
        <f aca="false">IF(COUNT(Amendoim!$E7:$Z7)=0,0,MAX(0,IF((AL$6-$E$3)&lt;1,0,IFERROR(LOOKUP(2,1/(Amendoim!$E7:INDEX(Amendoim!$E7:$Z7,MIN(AL$6-$E$3,22))&lt;&gt;""),Amendoim!$E7:INDEX(Amendoim!$E7:$Z7,MIN(AL$6-$E$3,22))),0))-IF($G$2,0,IF((AL$6-$G$3)&lt;1,0,IFERROR(LOOKUP(2,1/(Amendoim!$E7:INDEX(Amendoim!$E7:$Z7,MIN(AL$6-$G$3,22))&lt;&gt;""),Amendoim!$E7:INDEX(Amendoim!$E7:$Z7,MIN(AL$6-$G$3,22))),0)))))</f>
        <v>0</v>
      </c>
      <c r="AM9" s="27" t="n">
        <f aca="false">IF(COUNT(Amendoim!$E7:$Z7)=0,0,MAX(0,IF((AM$6-$E$3)&lt;1,0,IFERROR(LOOKUP(2,1/(Amendoim!$E7:INDEX(Amendoim!$E7:$Z7,MIN(AM$6-$E$3,22))&lt;&gt;""),Amendoim!$E7:INDEX(Amendoim!$E7:$Z7,MIN(AM$6-$E$3,22))),0))-IF($G$2,0,IF((AM$6-$G$3)&lt;1,0,IFERROR(LOOKUP(2,1/(Amendoim!$E7:INDEX(Amendoim!$E7:$Z7,MIN(AM$6-$G$3,22))&lt;&gt;""),Amendoim!$E7:INDEX(Amendoim!$E7:$Z7,MIN(AM$6-$G$3,22))),0)))))</f>
        <v>0</v>
      </c>
      <c r="AN9" s="27" t="n">
        <f aca="false">IF(COUNT(Amendoim!$E7:$Z7)=0,0,MAX(0,IF((AN$6-$E$3)&lt;1,0,IFERROR(LOOKUP(2,1/(Amendoim!$E7:INDEX(Amendoim!$E7:$Z7,MIN(AN$6-$E$3,22))&lt;&gt;""),Amendoim!$E7:INDEX(Amendoim!$E7:$Z7,MIN(AN$6-$E$3,22))),0))-IF($G$2,0,IF((AN$6-$G$3)&lt;1,0,IFERROR(LOOKUP(2,1/(Amendoim!$E7:INDEX(Amendoim!$E7:$Z7,MIN(AN$6-$G$3,22))&lt;&gt;""),Amendoim!$E7:INDEX(Amendoim!$E7:$Z7,MIN(AN$6-$G$3,22))),0)))))</f>
        <v>0</v>
      </c>
      <c r="AO9" s="27" t="n">
        <f aca="false">IF(COUNT(Amendoim!$E7:$Z7)=0,0,MAX(0,IF((AO$6-$E$3)&lt;1,0,IFERROR(LOOKUP(2,1/(Amendoim!$E7:INDEX(Amendoim!$E7:$Z7,MIN(AO$6-$E$3,22))&lt;&gt;""),Amendoim!$E7:INDEX(Amendoim!$E7:$Z7,MIN(AO$6-$E$3,22))),0))-IF($G$2,0,IF((AO$6-$G$3)&lt;1,0,IFERROR(LOOKUP(2,1/(Amendoim!$E7:INDEX(Amendoim!$E7:$Z7,MIN(AO$6-$G$3,22))&lt;&gt;""),Amendoim!$E7:INDEX(Amendoim!$E7:$Z7,MIN(AO$6-$G$3,22))),0)))))</f>
        <v>0</v>
      </c>
      <c r="AP9" s="27" t="n">
        <f aca="false">IF(COUNT(Amendoim!$E7:$Z7)=0,0,MAX(0,IF((AP$6-$E$3)&lt;1,0,IFERROR(LOOKUP(2,1/(Amendoim!$E7:INDEX(Amendoim!$E7:$Z7,MIN(AP$6-$E$3,22))&lt;&gt;""),Amendoim!$E7:INDEX(Amendoim!$E7:$Z7,MIN(AP$6-$E$3,22))),0))-IF($G$2,0,IF((AP$6-$G$3)&lt;1,0,IFERROR(LOOKUP(2,1/(Amendoim!$E7:INDEX(Amendoim!$E7:$Z7,MIN(AP$6-$G$3,22))&lt;&gt;""),Amendoim!$E7:INDEX(Amendoim!$E7:$Z7,MIN(AP$6-$G$3,22))),0)))))</f>
        <v>0</v>
      </c>
      <c r="AQ9" s="27" t="n">
        <f aca="false">IF(COUNT(Amendoim!$E7:$Z7)=0,0,MAX(0,IF((AQ$6-$E$3)&lt;1,0,IFERROR(LOOKUP(2,1/(Amendoim!$E7:INDEX(Amendoim!$E7:$Z7,MIN(AQ$6-$E$3,22))&lt;&gt;""),Amendoim!$E7:INDEX(Amendoim!$E7:$Z7,MIN(AQ$6-$E$3,22))),0))-IF($G$2,0,IF((AQ$6-$G$3)&lt;1,0,IFERROR(LOOKUP(2,1/(Amendoim!$E7:INDEX(Amendoim!$E7:$Z7,MIN(AQ$6-$G$3,22))&lt;&gt;""),Amendoim!$E7:INDEX(Amendoim!$E7:$Z7,MIN(AQ$6-$G$3,22))),0)))))</f>
        <v>0</v>
      </c>
      <c r="AR9" s="27" t="n">
        <f aca="false">IF(COUNT(Amendoim!$E7:$Z7)=0,0,MAX(0,IF((AR$6-$E$3)&lt;1,0,IFERROR(LOOKUP(2,1/(Amendoim!$E7:INDEX(Amendoim!$E7:$Z7,MIN(AR$6-$E$3,22))&lt;&gt;""),Amendoim!$E7:INDEX(Amendoim!$E7:$Z7,MIN(AR$6-$E$3,22))),0))-IF($G$2,0,IF((AR$6-$G$3)&lt;1,0,IFERROR(LOOKUP(2,1/(Amendoim!$E7:INDEX(Amendoim!$E7:$Z7,MIN(AR$6-$G$3,22))&lt;&gt;""),Amendoim!$E7:INDEX(Amendoim!$E7:$Z7,MIN(AR$6-$G$3,22))),0)))))</f>
        <v>0</v>
      </c>
      <c r="AS9" s="27" t="n">
        <f aca="false">IF(COUNT(Amendoim!$E7:$Z7)=0,0,MAX(0,IF((AS$6-$E$3)&lt;1,0,IFERROR(LOOKUP(2,1/(Amendoim!$E7:INDEX(Amendoim!$E7:$Z7,MIN(AS$6-$E$3,22))&lt;&gt;""),Amendoim!$E7:INDEX(Amendoim!$E7:$Z7,MIN(AS$6-$E$3,22))),0))-IF($G$2,0,IF((AS$6-$G$3)&lt;1,0,IFERROR(LOOKUP(2,1/(Amendoim!$E7:INDEX(Amendoim!$E7:$Z7,MIN(AS$6-$G$3,22))&lt;&gt;""),Amendoim!$E7:INDEX(Amendoim!$E7:$Z7,MIN(AS$6-$G$3,22))),0)))))</f>
        <v>0</v>
      </c>
      <c r="AT9" s="27" t="n">
        <f aca="false">IF(COUNT(Amendoim!$E7:$Z7)=0,0,MAX(0,IF((AT$6-$E$3)&lt;1,0,IFERROR(LOOKUP(2,1/(Amendoim!$E7:INDEX(Amendoim!$E7:$Z7,MIN(AT$6-$E$3,22))&lt;&gt;""),Amendoim!$E7:INDEX(Amendoim!$E7:$Z7,MIN(AT$6-$E$3,22))),0))-IF($G$2,0,IF((AT$6-$G$3)&lt;1,0,IFERROR(LOOKUP(2,1/(Amendoim!$E7:INDEX(Amendoim!$E7:$Z7,MIN(AT$6-$G$3,22))&lt;&gt;""),Amendoim!$E7:INDEX(Amendoim!$E7:$Z7,MIN(AT$6-$G$3,22))),0)))))</f>
        <v>0</v>
      </c>
      <c r="AU9" s="27" t="n">
        <f aca="false">IF(COUNT(Amendoim!$E7:$Z7)=0,0,MAX(0,IF((AU$6-$E$3)&lt;1,0,IFERROR(LOOKUP(2,1/(Amendoim!$E7:INDEX(Amendoim!$E7:$Z7,MIN(AU$6-$E$3,22))&lt;&gt;""),Amendoim!$E7:INDEX(Amendoim!$E7:$Z7,MIN(AU$6-$E$3,22))),0))-IF($G$2,0,IF((AU$6-$G$3)&lt;1,0,IFERROR(LOOKUP(2,1/(Amendoim!$E7:INDEX(Amendoim!$E7:$Z7,MIN(AU$6-$G$3,22))&lt;&gt;""),Amendoim!$E7:INDEX(Amendoim!$E7:$Z7,MIN(AU$6-$G$3,22))),0)))))</f>
        <v>0</v>
      </c>
      <c r="AV9" s="27" t="n">
        <f aca="false">IF(COUNT(Amendoim!$E7:$Z7)=0,0,MAX(0,IF((AV$6-$E$3)&lt;1,0,IFERROR(LOOKUP(2,1/(Amendoim!$E7:INDEX(Amendoim!$E7:$Z7,MIN(AV$6-$E$3,22))&lt;&gt;""),Amendoim!$E7:INDEX(Amendoim!$E7:$Z7,MIN(AV$6-$E$3,22))),0))-IF($G$2,0,IF((AV$6-$G$3)&lt;1,0,IFERROR(LOOKUP(2,1/(Amendoim!$E7:INDEX(Amendoim!$E7:$Z7,MIN(AV$6-$G$3,22))&lt;&gt;""),Amendoim!$E7:INDEX(Amendoim!$E7:$Z7,MIN(AV$6-$G$3,22))),0)))))</f>
        <v>0</v>
      </c>
      <c r="AW9" s="27" t="n">
        <f aca="false">IF(COUNT(Amendoim!$E7:$Z7)=0,0,MAX(0,IF((AW$6-$E$3)&lt;1,0,IFERROR(LOOKUP(2,1/(Amendoim!$E7:INDEX(Amendoim!$E7:$Z7,MIN(AW$6-$E$3,22))&lt;&gt;""),Amendoim!$E7:INDEX(Amendoim!$E7:$Z7,MIN(AW$6-$E$3,22))),0))-IF($G$2,0,IF((AW$6-$G$3)&lt;1,0,IFERROR(LOOKUP(2,1/(Amendoim!$E7:INDEX(Amendoim!$E7:$Z7,MIN(AW$6-$G$3,22))&lt;&gt;""),Amendoim!$E7:INDEX(Amendoim!$E7:$Z7,MIN(AW$6-$G$3,22))),0)))))</f>
        <v>0</v>
      </c>
      <c r="AX9" s="27" t="n">
        <f aca="false">IF(COUNT(Amendoim!$E7:$Z7)=0,0,MAX(0,IF((AX$6-$E$3)&lt;1,0,IFERROR(LOOKUP(2,1/(Amendoim!$E7:INDEX(Amendoim!$E7:$Z7,MIN(AX$6-$E$3,22))&lt;&gt;""),Amendoim!$E7:INDEX(Amendoim!$E7:$Z7,MIN(AX$6-$E$3,22))),0))-IF($G$2,0,IF((AX$6-$G$3)&lt;1,0,IFERROR(LOOKUP(2,1/(Amendoim!$E7:INDEX(Amendoim!$E7:$Z7,MIN(AX$6-$G$3,22))&lt;&gt;""),Amendoim!$E7:INDEX(Amendoim!$E7:$Z7,MIN(AX$6-$G$3,22))),0)))))</f>
        <v>0</v>
      </c>
      <c r="AY9" s="27" t="n">
        <f aca="false">IF(COUNT(Amendoim!$E7:$Z7)=0,0,MAX(0,IF((AY$6-$E$3)&lt;1,0,IFERROR(LOOKUP(2,1/(Amendoim!$E7:INDEX(Amendoim!$E7:$Z7,MIN(AY$6-$E$3,22))&lt;&gt;""),Amendoim!$E7:INDEX(Amendoim!$E7:$Z7,MIN(AY$6-$E$3,22))),0))-IF($G$2,0,IF((AY$6-$G$3)&lt;1,0,IFERROR(LOOKUP(2,1/(Amendoim!$E7:INDEX(Amendoim!$E7:$Z7,MIN(AY$6-$G$3,22))&lt;&gt;""),Amendoim!$E7:INDEX(Amendoim!$E7:$Z7,MIN(AY$6-$G$3,22))),0)))))</f>
        <v>0</v>
      </c>
      <c r="AZ9" s="27" t="n">
        <f aca="false">IF(COUNT(Amendoim!$E7:$Z7)=0,0,MAX(0,IF((AZ$6-$E$3)&lt;1,0,IFERROR(LOOKUP(2,1/(Amendoim!$E7:INDEX(Amendoim!$E7:$Z7,MIN(AZ$6-$E$3,22))&lt;&gt;""),Amendoim!$E7:INDEX(Amendoim!$E7:$Z7,MIN(AZ$6-$E$3,22))),0))-IF($G$2,0,IF((AZ$6-$G$3)&lt;1,0,IFERROR(LOOKUP(2,1/(Amendoim!$E7:INDEX(Amendoim!$E7:$Z7,MIN(AZ$6-$G$3,22))&lt;&gt;""),Amendoim!$E7:INDEX(Amendoim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IF(COUNT(Amendoim!$E8:$Z8)&gt;0,N(Amendoim!$D8),0)</f>
        <v>0</v>
      </c>
      <c r="E10" s="27" t="n">
        <f aca="false">IF(COUNT(Amendoim!$E8:$Z8)=0,0,MAX(0,IF((E$6-$E$3)&lt;1,0,IFERROR(LOOKUP(2,1/(Amendoim!$E8:INDEX(Amendoim!$E8:$Z8,MIN(E$6-$E$3,22))&lt;&gt;""),Amendoim!$E8:INDEX(Amendoim!$E8:$Z8,MIN(E$6-$E$3,22))),0))-IF($G$2,0,IF((E$6-$G$3)&lt;1,0,IFERROR(LOOKUP(2,1/(Amendoim!$E8:INDEX(Amendoim!$E8:$Z8,MIN(E$6-$G$3,22))&lt;&gt;""),Amendoim!$E8:INDEX(Amendoim!$E8:$Z8,MIN(E$6-$G$3,22))),0)))))</f>
        <v>0</v>
      </c>
      <c r="F10" s="27" t="n">
        <f aca="false">IF(COUNT(Amendoim!$E8:$Z8)=0,0,MAX(0,IF((F$6-$E$3)&lt;1,0,IFERROR(LOOKUP(2,1/(Amendoim!$E8:INDEX(Amendoim!$E8:$Z8,MIN(F$6-$E$3,22))&lt;&gt;""),Amendoim!$E8:INDEX(Amendoim!$E8:$Z8,MIN(F$6-$E$3,22))),0))-IF($G$2,0,IF((F$6-$G$3)&lt;1,0,IFERROR(LOOKUP(2,1/(Amendoim!$E8:INDEX(Amendoim!$E8:$Z8,MIN(F$6-$G$3,22))&lt;&gt;""),Amendoim!$E8:INDEX(Amendoim!$E8:$Z8,MIN(F$6-$G$3,22))),0)))))</f>
        <v>0</v>
      </c>
      <c r="G10" s="27" t="n">
        <f aca="false">IF(COUNT(Amendoim!$E8:$Z8)=0,0,MAX(0,IF((G$6-$E$3)&lt;1,0,IFERROR(LOOKUP(2,1/(Amendoim!$E8:INDEX(Amendoim!$E8:$Z8,MIN(G$6-$E$3,22))&lt;&gt;""),Amendoim!$E8:INDEX(Amendoim!$E8:$Z8,MIN(G$6-$E$3,22))),0))-IF($G$2,0,IF((G$6-$G$3)&lt;1,0,IFERROR(LOOKUP(2,1/(Amendoim!$E8:INDEX(Amendoim!$E8:$Z8,MIN(G$6-$G$3,22))&lt;&gt;""),Amendoim!$E8:INDEX(Amendoim!$E8:$Z8,MIN(G$6-$G$3,22))),0)))))</f>
        <v>0</v>
      </c>
      <c r="H10" s="27" t="n">
        <f aca="false">IF(COUNT(Amendoim!$E8:$Z8)=0,0,MAX(0,IF((H$6-$E$3)&lt;1,0,IFERROR(LOOKUP(2,1/(Amendoim!$E8:INDEX(Amendoim!$E8:$Z8,MIN(H$6-$E$3,22))&lt;&gt;""),Amendoim!$E8:INDEX(Amendoim!$E8:$Z8,MIN(H$6-$E$3,22))),0))-IF($G$2,0,IF((H$6-$G$3)&lt;1,0,IFERROR(LOOKUP(2,1/(Amendoim!$E8:INDEX(Amendoim!$E8:$Z8,MIN(H$6-$G$3,22))&lt;&gt;""),Amendoim!$E8:INDEX(Amendoim!$E8:$Z8,MIN(H$6-$G$3,22))),0)))))</f>
        <v>0</v>
      </c>
      <c r="I10" s="27" t="n">
        <f aca="false">IF(COUNT(Amendoim!$E8:$Z8)=0,0,MAX(0,IF((I$6-$E$3)&lt;1,0,IFERROR(LOOKUP(2,1/(Amendoim!$E8:INDEX(Amendoim!$E8:$Z8,MIN(I$6-$E$3,22))&lt;&gt;""),Amendoim!$E8:INDEX(Amendoim!$E8:$Z8,MIN(I$6-$E$3,22))),0))-IF($G$2,0,IF((I$6-$G$3)&lt;1,0,IFERROR(LOOKUP(2,1/(Amendoim!$E8:INDEX(Amendoim!$E8:$Z8,MIN(I$6-$G$3,22))&lt;&gt;""),Amendoim!$E8:INDEX(Amendoim!$E8:$Z8,MIN(I$6-$G$3,22))),0)))))</f>
        <v>0</v>
      </c>
      <c r="J10" s="27" t="n">
        <f aca="false">IF(COUNT(Amendoim!$E8:$Z8)=0,0,MAX(0,IF((J$6-$E$3)&lt;1,0,IFERROR(LOOKUP(2,1/(Amendoim!$E8:INDEX(Amendoim!$E8:$Z8,MIN(J$6-$E$3,22))&lt;&gt;""),Amendoim!$E8:INDEX(Amendoim!$E8:$Z8,MIN(J$6-$E$3,22))),0))-IF($G$2,0,IF((J$6-$G$3)&lt;1,0,IFERROR(LOOKUP(2,1/(Amendoim!$E8:INDEX(Amendoim!$E8:$Z8,MIN(J$6-$G$3,22))&lt;&gt;""),Amendoim!$E8:INDEX(Amendoim!$E8:$Z8,MIN(J$6-$G$3,22))),0)))))</f>
        <v>0</v>
      </c>
      <c r="K10" s="27" t="n">
        <f aca="false">IF(COUNT(Amendoim!$E8:$Z8)=0,0,MAX(0,IF((K$6-$E$3)&lt;1,0,IFERROR(LOOKUP(2,1/(Amendoim!$E8:INDEX(Amendoim!$E8:$Z8,MIN(K$6-$E$3,22))&lt;&gt;""),Amendoim!$E8:INDEX(Amendoim!$E8:$Z8,MIN(K$6-$E$3,22))),0))-IF($G$2,0,IF((K$6-$G$3)&lt;1,0,IFERROR(LOOKUP(2,1/(Amendoim!$E8:INDEX(Amendoim!$E8:$Z8,MIN(K$6-$G$3,22))&lt;&gt;""),Amendoim!$E8:INDEX(Amendoim!$E8:$Z8,MIN(K$6-$G$3,22))),0)))))</f>
        <v>0</v>
      </c>
      <c r="L10" s="27" t="n">
        <f aca="false">IF(COUNT(Amendoim!$E8:$Z8)=0,0,MAX(0,IF((L$6-$E$3)&lt;1,0,IFERROR(LOOKUP(2,1/(Amendoim!$E8:INDEX(Amendoim!$E8:$Z8,MIN(L$6-$E$3,22))&lt;&gt;""),Amendoim!$E8:INDEX(Amendoim!$E8:$Z8,MIN(L$6-$E$3,22))),0))-IF($G$2,0,IF((L$6-$G$3)&lt;1,0,IFERROR(LOOKUP(2,1/(Amendoim!$E8:INDEX(Amendoim!$E8:$Z8,MIN(L$6-$G$3,22))&lt;&gt;""),Amendoim!$E8:INDEX(Amendoim!$E8:$Z8,MIN(L$6-$G$3,22))),0)))))</f>
        <v>0</v>
      </c>
      <c r="M10" s="27" t="n">
        <f aca="false">IF(COUNT(Amendoim!$E8:$Z8)=0,0,MAX(0,IF((M$6-$E$3)&lt;1,0,IFERROR(LOOKUP(2,1/(Amendoim!$E8:INDEX(Amendoim!$E8:$Z8,MIN(M$6-$E$3,22))&lt;&gt;""),Amendoim!$E8:INDEX(Amendoim!$E8:$Z8,MIN(M$6-$E$3,22))),0))-IF($G$2,0,IF((M$6-$G$3)&lt;1,0,IFERROR(LOOKUP(2,1/(Amendoim!$E8:INDEX(Amendoim!$E8:$Z8,MIN(M$6-$G$3,22))&lt;&gt;""),Amendoim!$E8:INDEX(Amendoim!$E8:$Z8,MIN(M$6-$G$3,22))),0)))))</f>
        <v>0</v>
      </c>
      <c r="N10" s="27" t="n">
        <f aca="false">IF(COUNT(Amendoim!$E8:$Z8)=0,0,MAX(0,IF((N$6-$E$3)&lt;1,0,IFERROR(LOOKUP(2,1/(Amendoim!$E8:INDEX(Amendoim!$E8:$Z8,MIN(N$6-$E$3,22))&lt;&gt;""),Amendoim!$E8:INDEX(Amendoim!$E8:$Z8,MIN(N$6-$E$3,22))),0))-IF($G$2,0,IF((N$6-$G$3)&lt;1,0,IFERROR(LOOKUP(2,1/(Amendoim!$E8:INDEX(Amendoim!$E8:$Z8,MIN(N$6-$G$3,22))&lt;&gt;""),Amendoim!$E8:INDEX(Amendoim!$E8:$Z8,MIN(N$6-$G$3,22))),0)))))</f>
        <v>0</v>
      </c>
      <c r="O10" s="27" t="n">
        <f aca="false">IF(COUNT(Amendoim!$E8:$Z8)=0,0,MAX(0,IF((O$6-$E$3)&lt;1,0,IFERROR(LOOKUP(2,1/(Amendoim!$E8:INDEX(Amendoim!$E8:$Z8,MIN(O$6-$E$3,22))&lt;&gt;""),Amendoim!$E8:INDEX(Amendoim!$E8:$Z8,MIN(O$6-$E$3,22))),0))-IF($G$2,0,IF((O$6-$G$3)&lt;1,0,IFERROR(LOOKUP(2,1/(Amendoim!$E8:INDEX(Amendoim!$E8:$Z8,MIN(O$6-$G$3,22))&lt;&gt;""),Amendoim!$E8:INDEX(Amendoim!$E8:$Z8,MIN(O$6-$G$3,22))),0)))))</f>
        <v>0</v>
      </c>
      <c r="P10" s="27" t="n">
        <f aca="false">IF(COUNT(Amendoim!$E8:$Z8)=0,0,MAX(0,IF((P$6-$E$3)&lt;1,0,IFERROR(LOOKUP(2,1/(Amendoim!$E8:INDEX(Amendoim!$E8:$Z8,MIN(P$6-$E$3,22))&lt;&gt;""),Amendoim!$E8:INDEX(Amendoim!$E8:$Z8,MIN(P$6-$E$3,22))),0))-IF($G$2,0,IF((P$6-$G$3)&lt;1,0,IFERROR(LOOKUP(2,1/(Amendoim!$E8:INDEX(Amendoim!$E8:$Z8,MIN(P$6-$G$3,22))&lt;&gt;""),Amendoim!$E8:INDEX(Amendoim!$E8:$Z8,MIN(P$6-$G$3,22))),0)))))</f>
        <v>0</v>
      </c>
      <c r="Q10" s="27" t="n">
        <f aca="false">IF(COUNT(Amendoim!$E8:$Z8)=0,0,MAX(0,IF((Q$6-$E$3)&lt;1,0,IFERROR(LOOKUP(2,1/(Amendoim!$E8:INDEX(Amendoim!$E8:$Z8,MIN(Q$6-$E$3,22))&lt;&gt;""),Amendoim!$E8:INDEX(Amendoim!$E8:$Z8,MIN(Q$6-$E$3,22))),0))-IF($G$2,0,IF((Q$6-$G$3)&lt;1,0,IFERROR(LOOKUP(2,1/(Amendoim!$E8:INDEX(Amendoim!$E8:$Z8,MIN(Q$6-$G$3,22))&lt;&gt;""),Amendoim!$E8:INDEX(Amendoim!$E8:$Z8,MIN(Q$6-$G$3,22))),0)))))</f>
        <v>0</v>
      </c>
      <c r="R10" s="27" t="n">
        <f aca="false">IF(COUNT(Amendoim!$E8:$Z8)=0,0,MAX(0,IF((R$6-$E$3)&lt;1,0,IFERROR(LOOKUP(2,1/(Amendoim!$E8:INDEX(Amendoim!$E8:$Z8,MIN(R$6-$E$3,22))&lt;&gt;""),Amendoim!$E8:INDEX(Amendoim!$E8:$Z8,MIN(R$6-$E$3,22))),0))-IF($G$2,0,IF((R$6-$G$3)&lt;1,0,IFERROR(LOOKUP(2,1/(Amendoim!$E8:INDEX(Amendoim!$E8:$Z8,MIN(R$6-$G$3,22))&lt;&gt;""),Amendoim!$E8:INDEX(Amendoim!$E8:$Z8,MIN(R$6-$G$3,22))),0)))))</f>
        <v>0</v>
      </c>
      <c r="S10" s="27" t="n">
        <f aca="false">IF(COUNT(Amendoim!$E8:$Z8)=0,0,MAX(0,IF((S$6-$E$3)&lt;1,0,IFERROR(LOOKUP(2,1/(Amendoim!$E8:INDEX(Amendoim!$E8:$Z8,MIN(S$6-$E$3,22))&lt;&gt;""),Amendoim!$E8:INDEX(Amendoim!$E8:$Z8,MIN(S$6-$E$3,22))),0))-IF($G$2,0,IF((S$6-$G$3)&lt;1,0,IFERROR(LOOKUP(2,1/(Amendoim!$E8:INDEX(Amendoim!$E8:$Z8,MIN(S$6-$G$3,22))&lt;&gt;""),Amendoim!$E8:INDEX(Amendoim!$E8:$Z8,MIN(S$6-$G$3,22))),0)))))</f>
        <v>0</v>
      </c>
      <c r="T10" s="27" t="n">
        <f aca="false">IF(COUNT(Amendoim!$E8:$Z8)=0,0,MAX(0,IF((T$6-$E$3)&lt;1,0,IFERROR(LOOKUP(2,1/(Amendoim!$E8:INDEX(Amendoim!$E8:$Z8,MIN(T$6-$E$3,22))&lt;&gt;""),Amendoim!$E8:INDEX(Amendoim!$E8:$Z8,MIN(T$6-$E$3,22))),0))-IF($G$2,0,IF((T$6-$G$3)&lt;1,0,IFERROR(LOOKUP(2,1/(Amendoim!$E8:INDEX(Amendoim!$E8:$Z8,MIN(T$6-$G$3,22))&lt;&gt;""),Amendoim!$E8:INDEX(Amendoim!$E8:$Z8,MIN(T$6-$G$3,22))),0)))))</f>
        <v>0</v>
      </c>
      <c r="U10" s="27" t="n">
        <f aca="false">IF(COUNT(Amendoim!$E8:$Z8)=0,0,MAX(0,IF((U$6-$E$3)&lt;1,0,IFERROR(LOOKUP(2,1/(Amendoim!$E8:INDEX(Amendoim!$E8:$Z8,MIN(U$6-$E$3,22))&lt;&gt;""),Amendoim!$E8:INDEX(Amendoim!$E8:$Z8,MIN(U$6-$E$3,22))),0))-IF($G$2,0,IF((U$6-$G$3)&lt;1,0,IFERROR(LOOKUP(2,1/(Amendoim!$E8:INDEX(Amendoim!$E8:$Z8,MIN(U$6-$G$3,22))&lt;&gt;""),Amendoim!$E8:INDEX(Amendoim!$E8:$Z8,MIN(U$6-$G$3,22))),0)))))</f>
        <v>0</v>
      </c>
      <c r="V10" s="27" t="n">
        <f aca="false">IF(COUNT(Amendoim!$E8:$Z8)=0,0,MAX(0,IF((V$6-$E$3)&lt;1,0,IFERROR(LOOKUP(2,1/(Amendoim!$E8:INDEX(Amendoim!$E8:$Z8,MIN(V$6-$E$3,22))&lt;&gt;""),Amendoim!$E8:INDEX(Amendoim!$E8:$Z8,MIN(V$6-$E$3,22))),0))-IF($G$2,0,IF((V$6-$G$3)&lt;1,0,IFERROR(LOOKUP(2,1/(Amendoim!$E8:INDEX(Amendoim!$E8:$Z8,MIN(V$6-$G$3,22))&lt;&gt;""),Amendoim!$E8:INDEX(Amendoim!$E8:$Z8,MIN(V$6-$G$3,22))),0)))))</f>
        <v>0</v>
      </c>
      <c r="W10" s="27" t="n">
        <f aca="false">IF(COUNT(Amendoim!$E8:$Z8)=0,0,MAX(0,IF((W$6-$E$3)&lt;1,0,IFERROR(LOOKUP(2,1/(Amendoim!$E8:INDEX(Amendoim!$E8:$Z8,MIN(W$6-$E$3,22))&lt;&gt;""),Amendoim!$E8:INDEX(Amendoim!$E8:$Z8,MIN(W$6-$E$3,22))),0))-IF($G$2,0,IF((W$6-$G$3)&lt;1,0,IFERROR(LOOKUP(2,1/(Amendoim!$E8:INDEX(Amendoim!$E8:$Z8,MIN(W$6-$G$3,22))&lt;&gt;""),Amendoim!$E8:INDEX(Amendoim!$E8:$Z8,MIN(W$6-$G$3,22))),0)))))</f>
        <v>0</v>
      </c>
      <c r="X10" s="27" t="n">
        <f aca="false">IF(COUNT(Amendoim!$E8:$Z8)=0,0,MAX(0,IF((X$6-$E$3)&lt;1,0,IFERROR(LOOKUP(2,1/(Amendoim!$E8:INDEX(Amendoim!$E8:$Z8,MIN(X$6-$E$3,22))&lt;&gt;""),Amendoim!$E8:INDEX(Amendoim!$E8:$Z8,MIN(X$6-$E$3,22))),0))-IF($G$2,0,IF((X$6-$G$3)&lt;1,0,IFERROR(LOOKUP(2,1/(Amendoim!$E8:INDEX(Amendoim!$E8:$Z8,MIN(X$6-$G$3,22))&lt;&gt;""),Amendoim!$E8:INDEX(Amendoim!$E8:$Z8,MIN(X$6-$G$3,22))),0)))))</f>
        <v>0</v>
      </c>
      <c r="Y10" s="27" t="n">
        <f aca="false">IF(COUNT(Amendoim!$E8:$Z8)=0,0,MAX(0,IF((Y$6-$E$3)&lt;1,0,IFERROR(LOOKUP(2,1/(Amendoim!$E8:INDEX(Amendoim!$E8:$Z8,MIN(Y$6-$E$3,22))&lt;&gt;""),Amendoim!$E8:INDEX(Amendoim!$E8:$Z8,MIN(Y$6-$E$3,22))),0))-IF($G$2,0,IF((Y$6-$G$3)&lt;1,0,IFERROR(LOOKUP(2,1/(Amendoim!$E8:INDEX(Amendoim!$E8:$Z8,MIN(Y$6-$G$3,22))&lt;&gt;""),Amendoim!$E8:INDEX(Amendoim!$E8:$Z8,MIN(Y$6-$G$3,22))),0)))))</f>
        <v>0</v>
      </c>
      <c r="Z10" s="27" t="n">
        <f aca="false">IF(COUNT(Amendoim!$E8:$Z8)=0,0,MAX(0,IF((Z$6-$E$3)&lt;1,0,IFERROR(LOOKUP(2,1/(Amendoim!$E8:INDEX(Amendoim!$E8:$Z8,MIN(Z$6-$E$3,22))&lt;&gt;""),Amendoim!$E8:INDEX(Amendoim!$E8:$Z8,MIN(Z$6-$E$3,22))),0))-IF($G$2,0,IF((Z$6-$G$3)&lt;1,0,IFERROR(LOOKUP(2,1/(Amendoim!$E8:INDEX(Amendoim!$E8:$Z8,MIN(Z$6-$G$3,22))&lt;&gt;""),Amendoim!$E8:INDEX(Amendoim!$E8:$Z8,MIN(Z$6-$G$3,22))),0)))))</f>
        <v>0</v>
      </c>
      <c r="AA10" s="27" t="n">
        <f aca="false">IF(COUNT(Amendoim!$E8:$Z8)=0,0,MAX(0,IF((AA$6-$E$3)&lt;1,0,IFERROR(LOOKUP(2,1/(Amendoim!$E8:INDEX(Amendoim!$E8:$Z8,MIN(AA$6-$E$3,22))&lt;&gt;""),Amendoim!$E8:INDEX(Amendoim!$E8:$Z8,MIN(AA$6-$E$3,22))),0))-IF($G$2,0,IF((AA$6-$G$3)&lt;1,0,IFERROR(LOOKUP(2,1/(Amendoim!$E8:INDEX(Amendoim!$E8:$Z8,MIN(AA$6-$G$3,22))&lt;&gt;""),Amendoim!$E8:INDEX(Amendoim!$E8:$Z8,MIN(AA$6-$G$3,22))),0)))))</f>
        <v>0</v>
      </c>
      <c r="AB10" s="27" t="n">
        <f aca="false">IF(COUNT(Amendoim!$E8:$Z8)=0,0,MAX(0,IF((AB$6-$E$3)&lt;1,0,IFERROR(LOOKUP(2,1/(Amendoim!$E8:INDEX(Amendoim!$E8:$Z8,MIN(AB$6-$E$3,22))&lt;&gt;""),Amendoim!$E8:INDEX(Amendoim!$E8:$Z8,MIN(AB$6-$E$3,22))),0))-IF($G$2,0,IF((AB$6-$G$3)&lt;1,0,IFERROR(LOOKUP(2,1/(Amendoim!$E8:INDEX(Amendoim!$E8:$Z8,MIN(AB$6-$G$3,22))&lt;&gt;""),Amendoim!$E8:INDEX(Amendoim!$E8:$Z8,MIN(AB$6-$G$3,22))),0)))))</f>
        <v>0</v>
      </c>
      <c r="AC10" s="27" t="n">
        <f aca="false">IF(COUNT(Amendoim!$E8:$Z8)=0,0,MAX(0,IF((AC$6-$E$3)&lt;1,0,IFERROR(LOOKUP(2,1/(Amendoim!$E8:INDEX(Amendoim!$E8:$Z8,MIN(AC$6-$E$3,22))&lt;&gt;""),Amendoim!$E8:INDEX(Amendoim!$E8:$Z8,MIN(AC$6-$E$3,22))),0))-IF($G$2,0,IF((AC$6-$G$3)&lt;1,0,IFERROR(LOOKUP(2,1/(Amendoim!$E8:INDEX(Amendoim!$E8:$Z8,MIN(AC$6-$G$3,22))&lt;&gt;""),Amendoim!$E8:INDEX(Amendoim!$E8:$Z8,MIN(AC$6-$G$3,22))),0)))))</f>
        <v>0</v>
      </c>
      <c r="AD10" s="27" t="n">
        <f aca="false">IF(COUNT(Amendoim!$E8:$Z8)=0,0,MAX(0,IF((AD$6-$E$3)&lt;1,0,IFERROR(LOOKUP(2,1/(Amendoim!$E8:INDEX(Amendoim!$E8:$Z8,MIN(AD$6-$E$3,22))&lt;&gt;""),Amendoim!$E8:INDEX(Amendoim!$E8:$Z8,MIN(AD$6-$E$3,22))),0))-IF($G$2,0,IF((AD$6-$G$3)&lt;1,0,IFERROR(LOOKUP(2,1/(Amendoim!$E8:INDEX(Amendoim!$E8:$Z8,MIN(AD$6-$G$3,22))&lt;&gt;""),Amendoim!$E8:INDEX(Amendoim!$E8:$Z8,MIN(AD$6-$G$3,22))),0)))))</f>
        <v>0</v>
      </c>
      <c r="AE10" s="27" t="n">
        <f aca="false">IF(COUNT(Amendoim!$E8:$Z8)=0,0,MAX(0,IF((AE$6-$E$3)&lt;1,0,IFERROR(LOOKUP(2,1/(Amendoim!$E8:INDEX(Amendoim!$E8:$Z8,MIN(AE$6-$E$3,22))&lt;&gt;""),Amendoim!$E8:INDEX(Amendoim!$E8:$Z8,MIN(AE$6-$E$3,22))),0))-IF($G$2,0,IF((AE$6-$G$3)&lt;1,0,IFERROR(LOOKUP(2,1/(Amendoim!$E8:INDEX(Amendoim!$E8:$Z8,MIN(AE$6-$G$3,22))&lt;&gt;""),Amendoim!$E8:INDEX(Amendoim!$E8:$Z8,MIN(AE$6-$G$3,22))),0)))))</f>
        <v>0</v>
      </c>
      <c r="AF10" s="27" t="n">
        <f aca="false">IF(COUNT(Amendoim!$E8:$Z8)=0,0,MAX(0,IF((AF$6-$E$3)&lt;1,0,IFERROR(LOOKUP(2,1/(Amendoim!$E8:INDEX(Amendoim!$E8:$Z8,MIN(AF$6-$E$3,22))&lt;&gt;""),Amendoim!$E8:INDEX(Amendoim!$E8:$Z8,MIN(AF$6-$E$3,22))),0))-IF($G$2,0,IF((AF$6-$G$3)&lt;1,0,IFERROR(LOOKUP(2,1/(Amendoim!$E8:INDEX(Amendoim!$E8:$Z8,MIN(AF$6-$G$3,22))&lt;&gt;""),Amendoim!$E8:INDEX(Amendoim!$E8:$Z8,MIN(AF$6-$G$3,22))),0)))))</f>
        <v>0</v>
      </c>
      <c r="AG10" s="27" t="n">
        <f aca="false">IF(COUNT(Amendoim!$E8:$Z8)=0,0,MAX(0,IF((AG$6-$E$3)&lt;1,0,IFERROR(LOOKUP(2,1/(Amendoim!$E8:INDEX(Amendoim!$E8:$Z8,MIN(AG$6-$E$3,22))&lt;&gt;""),Amendoim!$E8:INDEX(Amendoim!$E8:$Z8,MIN(AG$6-$E$3,22))),0))-IF($G$2,0,IF((AG$6-$G$3)&lt;1,0,IFERROR(LOOKUP(2,1/(Amendoim!$E8:INDEX(Amendoim!$E8:$Z8,MIN(AG$6-$G$3,22))&lt;&gt;""),Amendoim!$E8:INDEX(Amendoim!$E8:$Z8,MIN(AG$6-$G$3,22))),0)))))</f>
        <v>0</v>
      </c>
      <c r="AH10" s="27" t="n">
        <f aca="false">IF(COUNT(Amendoim!$E8:$Z8)=0,0,MAX(0,IF((AH$6-$E$3)&lt;1,0,IFERROR(LOOKUP(2,1/(Amendoim!$E8:INDEX(Amendoim!$E8:$Z8,MIN(AH$6-$E$3,22))&lt;&gt;""),Amendoim!$E8:INDEX(Amendoim!$E8:$Z8,MIN(AH$6-$E$3,22))),0))-IF($G$2,0,IF((AH$6-$G$3)&lt;1,0,IFERROR(LOOKUP(2,1/(Amendoim!$E8:INDEX(Amendoim!$E8:$Z8,MIN(AH$6-$G$3,22))&lt;&gt;""),Amendoim!$E8:INDEX(Amendoim!$E8:$Z8,MIN(AH$6-$G$3,22))),0)))))</f>
        <v>0</v>
      </c>
      <c r="AI10" s="27" t="n">
        <f aca="false">IF(COUNT(Amendoim!$E8:$Z8)=0,0,MAX(0,IF((AI$6-$E$3)&lt;1,0,IFERROR(LOOKUP(2,1/(Amendoim!$E8:INDEX(Amendoim!$E8:$Z8,MIN(AI$6-$E$3,22))&lt;&gt;""),Amendoim!$E8:INDEX(Amendoim!$E8:$Z8,MIN(AI$6-$E$3,22))),0))-IF($G$2,0,IF((AI$6-$G$3)&lt;1,0,IFERROR(LOOKUP(2,1/(Amendoim!$E8:INDEX(Amendoim!$E8:$Z8,MIN(AI$6-$G$3,22))&lt;&gt;""),Amendoim!$E8:INDEX(Amendoim!$E8:$Z8,MIN(AI$6-$G$3,22))),0)))))</f>
        <v>0</v>
      </c>
      <c r="AJ10" s="27" t="n">
        <f aca="false">IF(COUNT(Amendoim!$E8:$Z8)=0,0,MAX(0,IF((AJ$6-$E$3)&lt;1,0,IFERROR(LOOKUP(2,1/(Amendoim!$E8:INDEX(Amendoim!$E8:$Z8,MIN(AJ$6-$E$3,22))&lt;&gt;""),Amendoim!$E8:INDEX(Amendoim!$E8:$Z8,MIN(AJ$6-$E$3,22))),0))-IF($G$2,0,IF((AJ$6-$G$3)&lt;1,0,IFERROR(LOOKUP(2,1/(Amendoim!$E8:INDEX(Amendoim!$E8:$Z8,MIN(AJ$6-$G$3,22))&lt;&gt;""),Amendoim!$E8:INDEX(Amendoim!$E8:$Z8,MIN(AJ$6-$G$3,22))),0)))))</f>
        <v>0</v>
      </c>
      <c r="AK10" s="27" t="n">
        <f aca="false">IF(COUNT(Amendoim!$E8:$Z8)=0,0,MAX(0,IF((AK$6-$E$3)&lt;1,0,IFERROR(LOOKUP(2,1/(Amendoim!$E8:INDEX(Amendoim!$E8:$Z8,MIN(AK$6-$E$3,22))&lt;&gt;""),Amendoim!$E8:INDEX(Amendoim!$E8:$Z8,MIN(AK$6-$E$3,22))),0))-IF($G$2,0,IF((AK$6-$G$3)&lt;1,0,IFERROR(LOOKUP(2,1/(Amendoim!$E8:INDEX(Amendoim!$E8:$Z8,MIN(AK$6-$G$3,22))&lt;&gt;""),Amendoim!$E8:INDEX(Amendoim!$E8:$Z8,MIN(AK$6-$G$3,22))),0)))))</f>
        <v>0</v>
      </c>
      <c r="AL10" s="27" t="n">
        <f aca="false">IF(COUNT(Amendoim!$E8:$Z8)=0,0,MAX(0,IF((AL$6-$E$3)&lt;1,0,IFERROR(LOOKUP(2,1/(Amendoim!$E8:INDEX(Amendoim!$E8:$Z8,MIN(AL$6-$E$3,22))&lt;&gt;""),Amendoim!$E8:INDEX(Amendoim!$E8:$Z8,MIN(AL$6-$E$3,22))),0))-IF($G$2,0,IF((AL$6-$G$3)&lt;1,0,IFERROR(LOOKUP(2,1/(Amendoim!$E8:INDEX(Amendoim!$E8:$Z8,MIN(AL$6-$G$3,22))&lt;&gt;""),Amendoim!$E8:INDEX(Amendoim!$E8:$Z8,MIN(AL$6-$G$3,22))),0)))))</f>
        <v>0</v>
      </c>
      <c r="AM10" s="27" t="n">
        <f aca="false">IF(COUNT(Amendoim!$E8:$Z8)=0,0,MAX(0,IF((AM$6-$E$3)&lt;1,0,IFERROR(LOOKUP(2,1/(Amendoim!$E8:INDEX(Amendoim!$E8:$Z8,MIN(AM$6-$E$3,22))&lt;&gt;""),Amendoim!$E8:INDEX(Amendoim!$E8:$Z8,MIN(AM$6-$E$3,22))),0))-IF($G$2,0,IF((AM$6-$G$3)&lt;1,0,IFERROR(LOOKUP(2,1/(Amendoim!$E8:INDEX(Amendoim!$E8:$Z8,MIN(AM$6-$G$3,22))&lt;&gt;""),Amendoim!$E8:INDEX(Amendoim!$E8:$Z8,MIN(AM$6-$G$3,22))),0)))))</f>
        <v>0</v>
      </c>
      <c r="AN10" s="27" t="n">
        <f aca="false">IF(COUNT(Amendoim!$E8:$Z8)=0,0,MAX(0,IF((AN$6-$E$3)&lt;1,0,IFERROR(LOOKUP(2,1/(Amendoim!$E8:INDEX(Amendoim!$E8:$Z8,MIN(AN$6-$E$3,22))&lt;&gt;""),Amendoim!$E8:INDEX(Amendoim!$E8:$Z8,MIN(AN$6-$E$3,22))),0))-IF($G$2,0,IF((AN$6-$G$3)&lt;1,0,IFERROR(LOOKUP(2,1/(Amendoim!$E8:INDEX(Amendoim!$E8:$Z8,MIN(AN$6-$G$3,22))&lt;&gt;""),Amendoim!$E8:INDEX(Amendoim!$E8:$Z8,MIN(AN$6-$G$3,22))),0)))))</f>
        <v>0</v>
      </c>
      <c r="AO10" s="27" t="n">
        <f aca="false">IF(COUNT(Amendoim!$E8:$Z8)=0,0,MAX(0,IF((AO$6-$E$3)&lt;1,0,IFERROR(LOOKUP(2,1/(Amendoim!$E8:INDEX(Amendoim!$E8:$Z8,MIN(AO$6-$E$3,22))&lt;&gt;""),Amendoim!$E8:INDEX(Amendoim!$E8:$Z8,MIN(AO$6-$E$3,22))),0))-IF($G$2,0,IF((AO$6-$G$3)&lt;1,0,IFERROR(LOOKUP(2,1/(Amendoim!$E8:INDEX(Amendoim!$E8:$Z8,MIN(AO$6-$G$3,22))&lt;&gt;""),Amendoim!$E8:INDEX(Amendoim!$E8:$Z8,MIN(AO$6-$G$3,22))),0)))))</f>
        <v>0</v>
      </c>
      <c r="AP10" s="27" t="n">
        <f aca="false">IF(COUNT(Amendoim!$E8:$Z8)=0,0,MAX(0,IF((AP$6-$E$3)&lt;1,0,IFERROR(LOOKUP(2,1/(Amendoim!$E8:INDEX(Amendoim!$E8:$Z8,MIN(AP$6-$E$3,22))&lt;&gt;""),Amendoim!$E8:INDEX(Amendoim!$E8:$Z8,MIN(AP$6-$E$3,22))),0))-IF($G$2,0,IF((AP$6-$G$3)&lt;1,0,IFERROR(LOOKUP(2,1/(Amendoim!$E8:INDEX(Amendoim!$E8:$Z8,MIN(AP$6-$G$3,22))&lt;&gt;""),Amendoim!$E8:INDEX(Amendoim!$E8:$Z8,MIN(AP$6-$G$3,22))),0)))))</f>
        <v>0</v>
      </c>
      <c r="AQ10" s="27" t="n">
        <f aca="false">IF(COUNT(Amendoim!$E8:$Z8)=0,0,MAX(0,IF((AQ$6-$E$3)&lt;1,0,IFERROR(LOOKUP(2,1/(Amendoim!$E8:INDEX(Amendoim!$E8:$Z8,MIN(AQ$6-$E$3,22))&lt;&gt;""),Amendoim!$E8:INDEX(Amendoim!$E8:$Z8,MIN(AQ$6-$E$3,22))),0))-IF($G$2,0,IF((AQ$6-$G$3)&lt;1,0,IFERROR(LOOKUP(2,1/(Amendoim!$E8:INDEX(Amendoim!$E8:$Z8,MIN(AQ$6-$G$3,22))&lt;&gt;""),Amendoim!$E8:INDEX(Amendoim!$E8:$Z8,MIN(AQ$6-$G$3,22))),0)))))</f>
        <v>0</v>
      </c>
      <c r="AR10" s="27" t="n">
        <f aca="false">IF(COUNT(Amendoim!$E8:$Z8)=0,0,MAX(0,IF((AR$6-$E$3)&lt;1,0,IFERROR(LOOKUP(2,1/(Amendoim!$E8:INDEX(Amendoim!$E8:$Z8,MIN(AR$6-$E$3,22))&lt;&gt;""),Amendoim!$E8:INDEX(Amendoim!$E8:$Z8,MIN(AR$6-$E$3,22))),0))-IF($G$2,0,IF((AR$6-$G$3)&lt;1,0,IFERROR(LOOKUP(2,1/(Amendoim!$E8:INDEX(Amendoim!$E8:$Z8,MIN(AR$6-$G$3,22))&lt;&gt;""),Amendoim!$E8:INDEX(Amendoim!$E8:$Z8,MIN(AR$6-$G$3,22))),0)))))</f>
        <v>0</v>
      </c>
      <c r="AS10" s="27" t="n">
        <f aca="false">IF(COUNT(Amendoim!$E8:$Z8)=0,0,MAX(0,IF((AS$6-$E$3)&lt;1,0,IFERROR(LOOKUP(2,1/(Amendoim!$E8:INDEX(Amendoim!$E8:$Z8,MIN(AS$6-$E$3,22))&lt;&gt;""),Amendoim!$E8:INDEX(Amendoim!$E8:$Z8,MIN(AS$6-$E$3,22))),0))-IF($G$2,0,IF((AS$6-$G$3)&lt;1,0,IFERROR(LOOKUP(2,1/(Amendoim!$E8:INDEX(Amendoim!$E8:$Z8,MIN(AS$6-$G$3,22))&lt;&gt;""),Amendoim!$E8:INDEX(Amendoim!$E8:$Z8,MIN(AS$6-$G$3,22))),0)))))</f>
        <v>0</v>
      </c>
      <c r="AT10" s="27" t="n">
        <f aca="false">IF(COUNT(Amendoim!$E8:$Z8)=0,0,MAX(0,IF((AT$6-$E$3)&lt;1,0,IFERROR(LOOKUP(2,1/(Amendoim!$E8:INDEX(Amendoim!$E8:$Z8,MIN(AT$6-$E$3,22))&lt;&gt;""),Amendoim!$E8:INDEX(Amendoim!$E8:$Z8,MIN(AT$6-$E$3,22))),0))-IF($G$2,0,IF((AT$6-$G$3)&lt;1,0,IFERROR(LOOKUP(2,1/(Amendoim!$E8:INDEX(Amendoim!$E8:$Z8,MIN(AT$6-$G$3,22))&lt;&gt;""),Amendoim!$E8:INDEX(Amendoim!$E8:$Z8,MIN(AT$6-$G$3,22))),0)))))</f>
        <v>0</v>
      </c>
      <c r="AU10" s="27" t="n">
        <f aca="false">IF(COUNT(Amendoim!$E8:$Z8)=0,0,MAX(0,IF((AU$6-$E$3)&lt;1,0,IFERROR(LOOKUP(2,1/(Amendoim!$E8:INDEX(Amendoim!$E8:$Z8,MIN(AU$6-$E$3,22))&lt;&gt;""),Amendoim!$E8:INDEX(Amendoim!$E8:$Z8,MIN(AU$6-$E$3,22))),0))-IF($G$2,0,IF((AU$6-$G$3)&lt;1,0,IFERROR(LOOKUP(2,1/(Amendoim!$E8:INDEX(Amendoim!$E8:$Z8,MIN(AU$6-$G$3,22))&lt;&gt;""),Amendoim!$E8:INDEX(Amendoim!$E8:$Z8,MIN(AU$6-$G$3,22))),0)))))</f>
        <v>0</v>
      </c>
      <c r="AV10" s="27" t="n">
        <f aca="false">IF(COUNT(Amendoim!$E8:$Z8)=0,0,MAX(0,IF((AV$6-$E$3)&lt;1,0,IFERROR(LOOKUP(2,1/(Amendoim!$E8:INDEX(Amendoim!$E8:$Z8,MIN(AV$6-$E$3,22))&lt;&gt;""),Amendoim!$E8:INDEX(Amendoim!$E8:$Z8,MIN(AV$6-$E$3,22))),0))-IF($G$2,0,IF((AV$6-$G$3)&lt;1,0,IFERROR(LOOKUP(2,1/(Amendoim!$E8:INDEX(Amendoim!$E8:$Z8,MIN(AV$6-$G$3,22))&lt;&gt;""),Amendoim!$E8:INDEX(Amendoim!$E8:$Z8,MIN(AV$6-$G$3,22))),0)))))</f>
        <v>0</v>
      </c>
      <c r="AW10" s="27" t="n">
        <f aca="false">IF(COUNT(Amendoim!$E8:$Z8)=0,0,MAX(0,IF((AW$6-$E$3)&lt;1,0,IFERROR(LOOKUP(2,1/(Amendoim!$E8:INDEX(Amendoim!$E8:$Z8,MIN(AW$6-$E$3,22))&lt;&gt;""),Amendoim!$E8:INDEX(Amendoim!$E8:$Z8,MIN(AW$6-$E$3,22))),0))-IF($G$2,0,IF((AW$6-$G$3)&lt;1,0,IFERROR(LOOKUP(2,1/(Amendoim!$E8:INDEX(Amendoim!$E8:$Z8,MIN(AW$6-$G$3,22))&lt;&gt;""),Amendoim!$E8:INDEX(Amendoim!$E8:$Z8,MIN(AW$6-$G$3,22))),0)))))</f>
        <v>0</v>
      </c>
      <c r="AX10" s="27" t="n">
        <f aca="false">IF(COUNT(Amendoim!$E8:$Z8)=0,0,MAX(0,IF((AX$6-$E$3)&lt;1,0,IFERROR(LOOKUP(2,1/(Amendoim!$E8:INDEX(Amendoim!$E8:$Z8,MIN(AX$6-$E$3,22))&lt;&gt;""),Amendoim!$E8:INDEX(Amendoim!$E8:$Z8,MIN(AX$6-$E$3,22))),0))-IF($G$2,0,IF((AX$6-$G$3)&lt;1,0,IFERROR(LOOKUP(2,1/(Amendoim!$E8:INDEX(Amendoim!$E8:$Z8,MIN(AX$6-$G$3,22))&lt;&gt;""),Amendoim!$E8:INDEX(Amendoim!$E8:$Z8,MIN(AX$6-$G$3,22))),0)))))</f>
        <v>0</v>
      </c>
      <c r="AY10" s="27" t="n">
        <f aca="false">IF(COUNT(Amendoim!$E8:$Z8)=0,0,MAX(0,IF((AY$6-$E$3)&lt;1,0,IFERROR(LOOKUP(2,1/(Amendoim!$E8:INDEX(Amendoim!$E8:$Z8,MIN(AY$6-$E$3,22))&lt;&gt;""),Amendoim!$E8:INDEX(Amendoim!$E8:$Z8,MIN(AY$6-$E$3,22))),0))-IF($G$2,0,IF((AY$6-$G$3)&lt;1,0,IFERROR(LOOKUP(2,1/(Amendoim!$E8:INDEX(Amendoim!$E8:$Z8,MIN(AY$6-$G$3,22))&lt;&gt;""),Amendoim!$E8:INDEX(Amendoim!$E8:$Z8,MIN(AY$6-$G$3,22))),0)))))</f>
        <v>0</v>
      </c>
      <c r="AZ10" s="27" t="n">
        <f aca="false">IF(COUNT(Amendoim!$E8:$Z8)=0,0,MAX(0,IF((AZ$6-$E$3)&lt;1,0,IFERROR(LOOKUP(2,1/(Amendoim!$E8:INDEX(Amendoim!$E8:$Z8,MIN(AZ$6-$E$3,22))&lt;&gt;""),Amendoim!$E8:INDEX(Amendoim!$E8:$Z8,MIN(AZ$6-$E$3,22))),0))-IF($G$2,0,IF((AZ$6-$G$3)&lt;1,0,IFERROR(LOOKUP(2,1/(Amendoim!$E8:INDEX(Amendoim!$E8:$Z8,MIN(AZ$6-$G$3,22))&lt;&gt;""),Amendoim!$E8:INDEX(Amendoim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IF(COUNT(Amendoim!$E9:$Z9)&gt;0,N(Amendoim!$D9),0)</f>
        <v>0</v>
      </c>
      <c r="E11" s="27" t="n">
        <f aca="false">IF(COUNT(Amendoim!$E9:$Z9)=0,0,MAX(0,IF((E$6-$E$3)&lt;1,0,IFERROR(LOOKUP(2,1/(Amendoim!$E9:INDEX(Amendoim!$E9:$Z9,MIN(E$6-$E$3,22))&lt;&gt;""),Amendoim!$E9:INDEX(Amendoim!$E9:$Z9,MIN(E$6-$E$3,22))),0))-IF($G$2,0,IF((E$6-$G$3)&lt;1,0,IFERROR(LOOKUP(2,1/(Amendoim!$E9:INDEX(Amendoim!$E9:$Z9,MIN(E$6-$G$3,22))&lt;&gt;""),Amendoim!$E9:INDEX(Amendoim!$E9:$Z9,MIN(E$6-$G$3,22))),0)))))</f>
        <v>0</v>
      </c>
      <c r="F11" s="27" t="n">
        <f aca="false">IF(COUNT(Amendoim!$E9:$Z9)=0,0,MAX(0,IF((F$6-$E$3)&lt;1,0,IFERROR(LOOKUP(2,1/(Amendoim!$E9:INDEX(Amendoim!$E9:$Z9,MIN(F$6-$E$3,22))&lt;&gt;""),Amendoim!$E9:INDEX(Amendoim!$E9:$Z9,MIN(F$6-$E$3,22))),0))-IF($G$2,0,IF((F$6-$G$3)&lt;1,0,IFERROR(LOOKUP(2,1/(Amendoim!$E9:INDEX(Amendoim!$E9:$Z9,MIN(F$6-$G$3,22))&lt;&gt;""),Amendoim!$E9:INDEX(Amendoim!$E9:$Z9,MIN(F$6-$G$3,22))),0)))))</f>
        <v>0</v>
      </c>
      <c r="G11" s="27" t="n">
        <f aca="false">IF(COUNT(Amendoim!$E9:$Z9)=0,0,MAX(0,IF((G$6-$E$3)&lt;1,0,IFERROR(LOOKUP(2,1/(Amendoim!$E9:INDEX(Amendoim!$E9:$Z9,MIN(G$6-$E$3,22))&lt;&gt;""),Amendoim!$E9:INDEX(Amendoim!$E9:$Z9,MIN(G$6-$E$3,22))),0))-IF($G$2,0,IF((G$6-$G$3)&lt;1,0,IFERROR(LOOKUP(2,1/(Amendoim!$E9:INDEX(Amendoim!$E9:$Z9,MIN(G$6-$G$3,22))&lt;&gt;""),Amendoim!$E9:INDEX(Amendoim!$E9:$Z9,MIN(G$6-$G$3,22))),0)))))</f>
        <v>0</v>
      </c>
      <c r="H11" s="27" t="n">
        <f aca="false">IF(COUNT(Amendoim!$E9:$Z9)=0,0,MAX(0,IF((H$6-$E$3)&lt;1,0,IFERROR(LOOKUP(2,1/(Amendoim!$E9:INDEX(Amendoim!$E9:$Z9,MIN(H$6-$E$3,22))&lt;&gt;""),Amendoim!$E9:INDEX(Amendoim!$E9:$Z9,MIN(H$6-$E$3,22))),0))-IF($G$2,0,IF((H$6-$G$3)&lt;1,0,IFERROR(LOOKUP(2,1/(Amendoim!$E9:INDEX(Amendoim!$E9:$Z9,MIN(H$6-$G$3,22))&lt;&gt;""),Amendoim!$E9:INDEX(Amendoim!$E9:$Z9,MIN(H$6-$G$3,22))),0)))))</f>
        <v>0</v>
      </c>
      <c r="I11" s="27" t="n">
        <f aca="false">IF(COUNT(Amendoim!$E9:$Z9)=0,0,MAX(0,IF((I$6-$E$3)&lt;1,0,IFERROR(LOOKUP(2,1/(Amendoim!$E9:INDEX(Amendoim!$E9:$Z9,MIN(I$6-$E$3,22))&lt;&gt;""),Amendoim!$E9:INDEX(Amendoim!$E9:$Z9,MIN(I$6-$E$3,22))),0))-IF($G$2,0,IF((I$6-$G$3)&lt;1,0,IFERROR(LOOKUP(2,1/(Amendoim!$E9:INDEX(Amendoim!$E9:$Z9,MIN(I$6-$G$3,22))&lt;&gt;""),Amendoim!$E9:INDEX(Amendoim!$E9:$Z9,MIN(I$6-$G$3,22))),0)))))</f>
        <v>0</v>
      </c>
      <c r="J11" s="27" t="n">
        <f aca="false">IF(COUNT(Amendoim!$E9:$Z9)=0,0,MAX(0,IF((J$6-$E$3)&lt;1,0,IFERROR(LOOKUP(2,1/(Amendoim!$E9:INDEX(Amendoim!$E9:$Z9,MIN(J$6-$E$3,22))&lt;&gt;""),Amendoim!$E9:INDEX(Amendoim!$E9:$Z9,MIN(J$6-$E$3,22))),0))-IF($G$2,0,IF((J$6-$G$3)&lt;1,0,IFERROR(LOOKUP(2,1/(Amendoim!$E9:INDEX(Amendoim!$E9:$Z9,MIN(J$6-$G$3,22))&lt;&gt;""),Amendoim!$E9:INDEX(Amendoim!$E9:$Z9,MIN(J$6-$G$3,22))),0)))))</f>
        <v>0</v>
      </c>
      <c r="K11" s="27" t="n">
        <f aca="false">IF(COUNT(Amendoim!$E9:$Z9)=0,0,MAX(0,IF((K$6-$E$3)&lt;1,0,IFERROR(LOOKUP(2,1/(Amendoim!$E9:INDEX(Amendoim!$E9:$Z9,MIN(K$6-$E$3,22))&lt;&gt;""),Amendoim!$E9:INDEX(Amendoim!$E9:$Z9,MIN(K$6-$E$3,22))),0))-IF($G$2,0,IF((K$6-$G$3)&lt;1,0,IFERROR(LOOKUP(2,1/(Amendoim!$E9:INDEX(Amendoim!$E9:$Z9,MIN(K$6-$G$3,22))&lt;&gt;""),Amendoim!$E9:INDEX(Amendoim!$E9:$Z9,MIN(K$6-$G$3,22))),0)))))</f>
        <v>0</v>
      </c>
      <c r="L11" s="27" t="n">
        <f aca="false">IF(COUNT(Amendoim!$E9:$Z9)=0,0,MAX(0,IF((L$6-$E$3)&lt;1,0,IFERROR(LOOKUP(2,1/(Amendoim!$E9:INDEX(Amendoim!$E9:$Z9,MIN(L$6-$E$3,22))&lt;&gt;""),Amendoim!$E9:INDEX(Amendoim!$E9:$Z9,MIN(L$6-$E$3,22))),0))-IF($G$2,0,IF((L$6-$G$3)&lt;1,0,IFERROR(LOOKUP(2,1/(Amendoim!$E9:INDEX(Amendoim!$E9:$Z9,MIN(L$6-$G$3,22))&lt;&gt;""),Amendoim!$E9:INDEX(Amendoim!$E9:$Z9,MIN(L$6-$G$3,22))),0)))))</f>
        <v>0</v>
      </c>
      <c r="M11" s="27" t="n">
        <f aca="false">IF(COUNT(Amendoim!$E9:$Z9)=0,0,MAX(0,IF((M$6-$E$3)&lt;1,0,IFERROR(LOOKUP(2,1/(Amendoim!$E9:INDEX(Amendoim!$E9:$Z9,MIN(M$6-$E$3,22))&lt;&gt;""),Amendoim!$E9:INDEX(Amendoim!$E9:$Z9,MIN(M$6-$E$3,22))),0))-IF($G$2,0,IF((M$6-$G$3)&lt;1,0,IFERROR(LOOKUP(2,1/(Amendoim!$E9:INDEX(Amendoim!$E9:$Z9,MIN(M$6-$G$3,22))&lt;&gt;""),Amendoim!$E9:INDEX(Amendoim!$E9:$Z9,MIN(M$6-$G$3,22))),0)))))</f>
        <v>0</v>
      </c>
      <c r="N11" s="27" t="n">
        <f aca="false">IF(COUNT(Amendoim!$E9:$Z9)=0,0,MAX(0,IF((N$6-$E$3)&lt;1,0,IFERROR(LOOKUP(2,1/(Amendoim!$E9:INDEX(Amendoim!$E9:$Z9,MIN(N$6-$E$3,22))&lt;&gt;""),Amendoim!$E9:INDEX(Amendoim!$E9:$Z9,MIN(N$6-$E$3,22))),0))-IF($G$2,0,IF((N$6-$G$3)&lt;1,0,IFERROR(LOOKUP(2,1/(Amendoim!$E9:INDEX(Amendoim!$E9:$Z9,MIN(N$6-$G$3,22))&lt;&gt;""),Amendoim!$E9:INDEX(Amendoim!$E9:$Z9,MIN(N$6-$G$3,22))),0)))))</f>
        <v>0</v>
      </c>
      <c r="O11" s="27" t="n">
        <f aca="false">IF(COUNT(Amendoim!$E9:$Z9)=0,0,MAX(0,IF((O$6-$E$3)&lt;1,0,IFERROR(LOOKUP(2,1/(Amendoim!$E9:INDEX(Amendoim!$E9:$Z9,MIN(O$6-$E$3,22))&lt;&gt;""),Amendoim!$E9:INDEX(Amendoim!$E9:$Z9,MIN(O$6-$E$3,22))),0))-IF($G$2,0,IF((O$6-$G$3)&lt;1,0,IFERROR(LOOKUP(2,1/(Amendoim!$E9:INDEX(Amendoim!$E9:$Z9,MIN(O$6-$G$3,22))&lt;&gt;""),Amendoim!$E9:INDEX(Amendoim!$E9:$Z9,MIN(O$6-$G$3,22))),0)))))</f>
        <v>0</v>
      </c>
      <c r="P11" s="27" t="n">
        <f aca="false">IF(COUNT(Amendoim!$E9:$Z9)=0,0,MAX(0,IF((P$6-$E$3)&lt;1,0,IFERROR(LOOKUP(2,1/(Amendoim!$E9:INDEX(Amendoim!$E9:$Z9,MIN(P$6-$E$3,22))&lt;&gt;""),Amendoim!$E9:INDEX(Amendoim!$E9:$Z9,MIN(P$6-$E$3,22))),0))-IF($G$2,0,IF((P$6-$G$3)&lt;1,0,IFERROR(LOOKUP(2,1/(Amendoim!$E9:INDEX(Amendoim!$E9:$Z9,MIN(P$6-$G$3,22))&lt;&gt;""),Amendoim!$E9:INDEX(Amendoim!$E9:$Z9,MIN(P$6-$G$3,22))),0)))))</f>
        <v>0</v>
      </c>
      <c r="Q11" s="27" t="n">
        <f aca="false">IF(COUNT(Amendoim!$E9:$Z9)=0,0,MAX(0,IF((Q$6-$E$3)&lt;1,0,IFERROR(LOOKUP(2,1/(Amendoim!$E9:INDEX(Amendoim!$E9:$Z9,MIN(Q$6-$E$3,22))&lt;&gt;""),Amendoim!$E9:INDEX(Amendoim!$E9:$Z9,MIN(Q$6-$E$3,22))),0))-IF($G$2,0,IF((Q$6-$G$3)&lt;1,0,IFERROR(LOOKUP(2,1/(Amendoim!$E9:INDEX(Amendoim!$E9:$Z9,MIN(Q$6-$G$3,22))&lt;&gt;""),Amendoim!$E9:INDEX(Amendoim!$E9:$Z9,MIN(Q$6-$G$3,22))),0)))))</f>
        <v>0</v>
      </c>
      <c r="R11" s="27" t="n">
        <f aca="false">IF(COUNT(Amendoim!$E9:$Z9)=0,0,MAX(0,IF((R$6-$E$3)&lt;1,0,IFERROR(LOOKUP(2,1/(Amendoim!$E9:INDEX(Amendoim!$E9:$Z9,MIN(R$6-$E$3,22))&lt;&gt;""),Amendoim!$E9:INDEX(Amendoim!$E9:$Z9,MIN(R$6-$E$3,22))),0))-IF($G$2,0,IF((R$6-$G$3)&lt;1,0,IFERROR(LOOKUP(2,1/(Amendoim!$E9:INDEX(Amendoim!$E9:$Z9,MIN(R$6-$G$3,22))&lt;&gt;""),Amendoim!$E9:INDEX(Amendoim!$E9:$Z9,MIN(R$6-$G$3,22))),0)))))</f>
        <v>0</v>
      </c>
      <c r="S11" s="27" t="n">
        <f aca="false">IF(COUNT(Amendoim!$E9:$Z9)=0,0,MAX(0,IF((S$6-$E$3)&lt;1,0,IFERROR(LOOKUP(2,1/(Amendoim!$E9:INDEX(Amendoim!$E9:$Z9,MIN(S$6-$E$3,22))&lt;&gt;""),Amendoim!$E9:INDEX(Amendoim!$E9:$Z9,MIN(S$6-$E$3,22))),0))-IF($G$2,0,IF((S$6-$G$3)&lt;1,0,IFERROR(LOOKUP(2,1/(Amendoim!$E9:INDEX(Amendoim!$E9:$Z9,MIN(S$6-$G$3,22))&lt;&gt;""),Amendoim!$E9:INDEX(Amendoim!$E9:$Z9,MIN(S$6-$G$3,22))),0)))))</f>
        <v>0</v>
      </c>
      <c r="T11" s="27" t="n">
        <f aca="false">IF(COUNT(Amendoim!$E9:$Z9)=0,0,MAX(0,IF((T$6-$E$3)&lt;1,0,IFERROR(LOOKUP(2,1/(Amendoim!$E9:INDEX(Amendoim!$E9:$Z9,MIN(T$6-$E$3,22))&lt;&gt;""),Amendoim!$E9:INDEX(Amendoim!$E9:$Z9,MIN(T$6-$E$3,22))),0))-IF($G$2,0,IF((T$6-$G$3)&lt;1,0,IFERROR(LOOKUP(2,1/(Amendoim!$E9:INDEX(Amendoim!$E9:$Z9,MIN(T$6-$G$3,22))&lt;&gt;""),Amendoim!$E9:INDEX(Amendoim!$E9:$Z9,MIN(T$6-$G$3,22))),0)))))</f>
        <v>0</v>
      </c>
      <c r="U11" s="27" t="n">
        <f aca="false">IF(COUNT(Amendoim!$E9:$Z9)=0,0,MAX(0,IF((U$6-$E$3)&lt;1,0,IFERROR(LOOKUP(2,1/(Amendoim!$E9:INDEX(Amendoim!$E9:$Z9,MIN(U$6-$E$3,22))&lt;&gt;""),Amendoim!$E9:INDEX(Amendoim!$E9:$Z9,MIN(U$6-$E$3,22))),0))-IF($G$2,0,IF((U$6-$G$3)&lt;1,0,IFERROR(LOOKUP(2,1/(Amendoim!$E9:INDEX(Amendoim!$E9:$Z9,MIN(U$6-$G$3,22))&lt;&gt;""),Amendoim!$E9:INDEX(Amendoim!$E9:$Z9,MIN(U$6-$G$3,22))),0)))))</f>
        <v>0</v>
      </c>
      <c r="V11" s="27" t="n">
        <f aca="false">IF(COUNT(Amendoim!$E9:$Z9)=0,0,MAX(0,IF((V$6-$E$3)&lt;1,0,IFERROR(LOOKUP(2,1/(Amendoim!$E9:INDEX(Amendoim!$E9:$Z9,MIN(V$6-$E$3,22))&lt;&gt;""),Amendoim!$E9:INDEX(Amendoim!$E9:$Z9,MIN(V$6-$E$3,22))),0))-IF($G$2,0,IF((V$6-$G$3)&lt;1,0,IFERROR(LOOKUP(2,1/(Amendoim!$E9:INDEX(Amendoim!$E9:$Z9,MIN(V$6-$G$3,22))&lt;&gt;""),Amendoim!$E9:INDEX(Amendoim!$E9:$Z9,MIN(V$6-$G$3,22))),0)))))</f>
        <v>0</v>
      </c>
      <c r="W11" s="27" t="n">
        <f aca="false">IF(COUNT(Amendoim!$E9:$Z9)=0,0,MAX(0,IF((W$6-$E$3)&lt;1,0,IFERROR(LOOKUP(2,1/(Amendoim!$E9:INDEX(Amendoim!$E9:$Z9,MIN(W$6-$E$3,22))&lt;&gt;""),Amendoim!$E9:INDEX(Amendoim!$E9:$Z9,MIN(W$6-$E$3,22))),0))-IF($G$2,0,IF((W$6-$G$3)&lt;1,0,IFERROR(LOOKUP(2,1/(Amendoim!$E9:INDEX(Amendoim!$E9:$Z9,MIN(W$6-$G$3,22))&lt;&gt;""),Amendoim!$E9:INDEX(Amendoim!$E9:$Z9,MIN(W$6-$G$3,22))),0)))))</f>
        <v>0</v>
      </c>
      <c r="X11" s="27" t="n">
        <f aca="false">IF(COUNT(Amendoim!$E9:$Z9)=0,0,MAX(0,IF((X$6-$E$3)&lt;1,0,IFERROR(LOOKUP(2,1/(Amendoim!$E9:INDEX(Amendoim!$E9:$Z9,MIN(X$6-$E$3,22))&lt;&gt;""),Amendoim!$E9:INDEX(Amendoim!$E9:$Z9,MIN(X$6-$E$3,22))),0))-IF($G$2,0,IF((X$6-$G$3)&lt;1,0,IFERROR(LOOKUP(2,1/(Amendoim!$E9:INDEX(Amendoim!$E9:$Z9,MIN(X$6-$G$3,22))&lt;&gt;""),Amendoim!$E9:INDEX(Amendoim!$E9:$Z9,MIN(X$6-$G$3,22))),0)))))</f>
        <v>0</v>
      </c>
      <c r="Y11" s="27" t="n">
        <f aca="false">IF(COUNT(Amendoim!$E9:$Z9)=0,0,MAX(0,IF((Y$6-$E$3)&lt;1,0,IFERROR(LOOKUP(2,1/(Amendoim!$E9:INDEX(Amendoim!$E9:$Z9,MIN(Y$6-$E$3,22))&lt;&gt;""),Amendoim!$E9:INDEX(Amendoim!$E9:$Z9,MIN(Y$6-$E$3,22))),0))-IF($G$2,0,IF((Y$6-$G$3)&lt;1,0,IFERROR(LOOKUP(2,1/(Amendoim!$E9:INDEX(Amendoim!$E9:$Z9,MIN(Y$6-$G$3,22))&lt;&gt;""),Amendoim!$E9:INDEX(Amendoim!$E9:$Z9,MIN(Y$6-$G$3,22))),0)))))</f>
        <v>0</v>
      </c>
      <c r="Z11" s="27" t="n">
        <f aca="false">IF(COUNT(Amendoim!$E9:$Z9)=0,0,MAX(0,IF((Z$6-$E$3)&lt;1,0,IFERROR(LOOKUP(2,1/(Amendoim!$E9:INDEX(Amendoim!$E9:$Z9,MIN(Z$6-$E$3,22))&lt;&gt;""),Amendoim!$E9:INDEX(Amendoim!$E9:$Z9,MIN(Z$6-$E$3,22))),0))-IF($G$2,0,IF((Z$6-$G$3)&lt;1,0,IFERROR(LOOKUP(2,1/(Amendoim!$E9:INDEX(Amendoim!$E9:$Z9,MIN(Z$6-$G$3,22))&lt;&gt;""),Amendoim!$E9:INDEX(Amendoim!$E9:$Z9,MIN(Z$6-$G$3,22))),0)))))</f>
        <v>0</v>
      </c>
      <c r="AA11" s="27" t="n">
        <f aca="false">IF(COUNT(Amendoim!$E9:$Z9)=0,0,MAX(0,IF((AA$6-$E$3)&lt;1,0,IFERROR(LOOKUP(2,1/(Amendoim!$E9:INDEX(Amendoim!$E9:$Z9,MIN(AA$6-$E$3,22))&lt;&gt;""),Amendoim!$E9:INDEX(Amendoim!$E9:$Z9,MIN(AA$6-$E$3,22))),0))-IF($G$2,0,IF((AA$6-$G$3)&lt;1,0,IFERROR(LOOKUP(2,1/(Amendoim!$E9:INDEX(Amendoim!$E9:$Z9,MIN(AA$6-$G$3,22))&lt;&gt;""),Amendoim!$E9:INDEX(Amendoim!$E9:$Z9,MIN(AA$6-$G$3,22))),0)))))</f>
        <v>0</v>
      </c>
      <c r="AB11" s="27" t="n">
        <f aca="false">IF(COUNT(Amendoim!$E9:$Z9)=0,0,MAX(0,IF((AB$6-$E$3)&lt;1,0,IFERROR(LOOKUP(2,1/(Amendoim!$E9:INDEX(Amendoim!$E9:$Z9,MIN(AB$6-$E$3,22))&lt;&gt;""),Amendoim!$E9:INDEX(Amendoim!$E9:$Z9,MIN(AB$6-$E$3,22))),0))-IF($G$2,0,IF((AB$6-$G$3)&lt;1,0,IFERROR(LOOKUP(2,1/(Amendoim!$E9:INDEX(Amendoim!$E9:$Z9,MIN(AB$6-$G$3,22))&lt;&gt;""),Amendoim!$E9:INDEX(Amendoim!$E9:$Z9,MIN(AB$6-$G$3,22))),0)))))</f>
        <v>0</v>
      </c>
      <c r="AC11" s="27" t="n">
        <f aca="false">IF(COUNT(Amendoim!$E9:$Z9)=0,0,MAX(0,IF((AC$6-$E$3)&lt;1,0,IFERROR(LOOKUP(2,1/(Amendoim!$E9:INDEX(Amendoim!$E9:$Z9,MIN(AC$6-$E$3,22))&lt;&gt;""),Amendoim!$E9:INDEX(Amendoim!$E9:$Z9,MIN(AC$6-$E$3,22))),0))-IF($G$2,0,IF((AC$6-$G$3)&lt;1,0,IFERROR(LOOKUP(2,1/(Amendoim!$E9:INDEX(Amendoim!$E9:$Z9,MIN(AC$6-$G$3,22))&lt;&gt;""),Amendoim!$E9:INDEX(Amendoim!$E9:$Z9,MIN(AC$6-$G$3,22))),0)))))</f>
        <v>0</v>
      </c>
      <c r="AD11" s="27" t="n">
        <f aca="false">IF(COUNT(Amendoim!$E9:$Z9)=0,0,MAX(0,IF((AD$6-$E$3)&lt;1,0,IFERROR(LOOKUP(2,1/(Amendoim!$E9:INDEX(Amendoim!$E9:$Z9,MIN(AD$6-$E$3,22))&lt;&gt;""),Amendoim!$E9:INDEX(Amendoim!$E9:$Z9,MIN(AD$6-$E$3,22))),0))-IF($G$2,0,IF((AD$6-$G$3)&lt;1,0,IFERROR(LOOKUP(2,1/(Amendoim!$E9:INDEX(Amendoim!$E9:$Z9,MIN(AD$6-$G$3,22))&lt;&gt;""),Amendoim!$E9:INDEX(Amendoim!$E9:$Z9,MIN(AD$6-$G$3,22))),0)))))</f>
        <v>0</v>
      </c>
      <c r="AE11" s="27" t="n">
        <f aca="false">IF(COUNT(Amendoim!$E9:$Z9)=0,0,MAX(0,IF((AE$6-$E$3)&lt;1,0,IFERROR(LOOKUP(2,1/(Amendoim!$E9:INDEX(Amendoim!$E9:$Z9,MIN(AE$6-$E$3,22))&lt;&gt;""),Amendoim!$E9:INDEX(Amendoim!$E9:$Z9,MIN(AE$6-$E$3,22))),0))-IF($G$2,0,IF((AE$6-$G$3)&lt;1,0,IFERROR(LOOKUP(2,1/(Amendoim!$E9:INDEX(Amendoim!$E9:$Z9,MIN(AE$6-$G$3,22))&lt;&gt;""),Amendoim!$E9:INDEX(Amendoim!$E9:$Z9,MIN(AE$6-$G$3,22))),0)))))</f>
        <v>0</v>
      </c>
      <c r="AF11" s="27" t="n">
        <f aca="false">IF(COUNT(Amendoim!$E9:$Z9)=0,0,MAX(0,IF((AF$6-$E$3)&lt;1,0,IFERROR(LOOKUP(2,1/(Amendoim!$E9:INDEX(Amendoim!$E9:$Z9,MIN(AF$6-$E$3,22))&lt;&gt;""),Amendoim!$E9:INDEX(Amendoim!$E9:$Z9,MIN(AF$6-$E$3,22))),0))-IF($G$2,0,IF((AF$6-$G$3)&lt;1,0,IFERROR(LOOKUP(2,1/(Amendoim!$E9:INDEX(Amendoim!$E9:$Z9,MIN(AF$6-$G$3,22))&lt;&gt;""),Amendoim!$E9:INDEX(Amendoim!$E9:$Z9,MIN(AF$6-$G$3,22))),0)))))</f>
        <v>0</v>
      </c>
      <c r="AG11" s="27" t="n">
        <f aca="false">IF(COUNT(Amendoim!$E9:$Z9)=0,0,MAX(0,IF((AG$6-$E$3)&lt;1,0,IFERROR(LOOKUP(2,1/(Amendoim!$E9:INDEX(Amendoim!$E9:$Z9,MIN(AG$6-$E$3,22))&lt;&gt;""),Amendoim!$E9:INDEX(Amendoim!$E9:$Z9,MIN(AG$6-$E$3,22))),0))-IF($G$2,0,IF((AG$6-$G$3)&lt;1,0,IFERROR(LOOKUP(2,1/(Amendoim!$E9:INDEX(Amendoim!$E9:$Z9,MIN(AG$6-$G$3,22))&lt;&gt;""),Amendoim!$E9:INDEX(Amendoim!$E9:$Z9,MIN(AG$6-$G$3,22))),0)))))</f>
        <v>0</v>
      </c>
      <c r="AH11" s="27" t="n">
        <f aca="false">IF(COUNT(Amendoim!$E9:$Z9)=0,0,MAX(0,IF((AH$6-$E$3)&lt;1,0,IFERROR(LOOKUP(2,1/(Amendoim!$E9:INDEX(Amendoim!$E9:$Z9,MIN(AH$6-$E$3,22))&lt;&gt;""),Amendoim!$E9:INDEX(Amendoim!$E9:$Z9,MIN(AH$6-$E$3,22))),0))-IF($G$2,0,IF((AH$6-$G$3)&lt;1,0,IFERROR(LOOKUP(2,1/(Amendoim!$E9:INDEX(Amendoim!$E9:$Z9,MIN(AH$6-$G$3,22))&lt;&gt;""),Amendoim!$E9:INDEX(Amendoim!$E9:$Z9,MIN(AH$6-$G$3,22))),0)))))</f>
        <v>0</v>
      </c>
      <c r="AI11" s="27" t="n">
        <f aca="false">IF(COUNT(Amendoim!$E9:$Z9)=0,0,MAX(0,IF((AI$6-$E$3)&lt;1,0,IFERROR(LOOKUP(2,1/(Amendoim!$E9:INDEX(Amendoim!$E9:$Z9,MIN(AI$6-$E$3,22))&lt;&gt;""),Amendoim!$E9:INDEX(Amendoim!$E9:$Z9,MIN(AI$6-$E$3,22))),0))-IF($G$2,0,IF((AI$6-$G$3)&lt;1,0,IFERROR(LOOKUP(2,1/(Amendoim!$E9:INDEX(Amendoim!$E9:$Z9,MIN(AI$6-$G$3,22))&lt;&gt;""),Amendoim!$E9:INDEX(Amendoim!$E9:$Z9,MIN(AI$6-$G$3,22))),0)))))</f>
        <v>0</v>
      </c>
      <c r="AJ11" s="27" t="n">
        <f aca="false">IF(COUNT(Amendoim!$E9:$Z9)=0,0,MAX(0,IF((AJ$6-$E$3)&lt;1,0,IFERROR(LOOKUP(2,1/(Amendoim!$E9:INDEX(Amendoim!$E9:$Z9,MIN(AJ$6-$E$3,22))&lt;&gt;""),Amendoim!$E9:INDEX(Amendoim!$E9:$Z9,MIN(AJ$6-$E$3,22))),0))-IF($G$2,0,IF((AJ$6-$G$3)&lt;1,0,IFERROR(LOOKUP(2,1/(Amendoim!$E9:INDEX(Amendoim!$E9:$Z9,MIN(AJ$6-$G$3,22))&lt;&gt;""),Amendoim!$E9:INDEX(Amendoim!$E9:$Z9,MIN(AJ$6-$G$3,22))),0)))))</f>
        <v>0</v>
      </c>
      <c r="AK11" s="27" t="n">
        <f aca="false">IF(COUNT(Amendoim!$E9:$Z9)=0,0,MAX(0,IF((AK$6-$E$3)&lt;1,0,IFERROR(LOOKUP(2,1/(Amendoim!$E9:INDEX(Amendoim!$E9:$Z9,MIN(AK$6-$E$3,22))&lt;&gt;""),Amendoim!$E9:INDEX(Amendoim!$E9:$Z9,MIN(AK$6-$E$3,22))),0))-IF($G$2,0,IF((AK$6-$G$3)&lt;1,0,IFERROR(LOOKUP(2,1/(Amendoim!$E9:INDEX(Amendoim!$E9:$Z9,MIN(AK$6-$G$3,22))&lt;&gt;""),Amendoim!$E9:INDEX(Amendoim!$E9:$Z9,MIN(AK$6-$G$3,22))),0)))))</f>
        <v>0</v>
      </c>
      <c r="AL11" s="27" t="n">
        <f aca="false">IF(COUNT(Amendoim!$E9:$Z9)=0,0,MAX(0,IF((AL$6-$E$3)&lt;1,0,IFERROR(LOOKUP(2,1/(Amendoim!$E9:INDEX(Amendoim!$E9:$Z9,MIN(AL$6-$E$3,22))&lt;&gt;""),Amendoim!$E9:INDEX(Amendoim!$E9:$Z9,MIN(AL$6-$E$3,22))),0))-IF($G$2,0,IF((AL$6-$G$3)&lt;1,0,IFERROR(LOOKUP(2,1/(Amendoim!$E9:INDEX(Amendoim!$E9:$Z9,MIN(AL$6-$G$3,22))&lt;&gt;""),Amendoim!$E9:INDEX(Amendoim!$E9:$Z9,MIN(AL$6-$G$3,22))),0)))))</f>
        <v>0</v>
      </c>
      <c r="AM11" s="27" t="n">
        <f aca="false">IF(COUNT(Amendoim!$E9:$Z9)=0,0,MAX(0,IF((AM$6-$E$3)&lt;1,0,IFERROR(LOOKUP(2,1/(Amendoim!$E9:INDEX(Amendoim!$E9:$Z9,MIN(AM$6-$E$3,22))&lt;&gt;""),Amendoim!$E9:INDEX(Amendoim!$E9:$Z9,MIN(AM$6-$E$3,22))),0))-IF($G$2,0,IF((AM$6-$G$3)&lt;1,0,IFERROR(LOOKUP(2,1/(Amendoim!$E9:INDEX(Amendoim!$E9:$Z9,MIN(AM$6-$G$3,22))&lt;&gt;""),Amendoim!$E9:INDEX(Amendoim!$E9:$Z9,MIN(AM$6-$G$3,22))),0)))))</f>
        <v>0</v>
      </c>
      <c r="AN11" s="27" t="n">
        <f aca="false">IF(COUNT(Amendoim!$E9:$Z9)=0,0,MAX(0,IF((AN$6-$E$3)&lt;1,0,IFERROR(LOOKUP(2,1/(Amendoim!$E9:INDEX(Amendoim!$E9:$Z9,MIN(AN$6-$E$3,22))&lt;&gt;""),Amendoim!$E9:INDEX(Amendoim!$E9:$Z9,MIN(AN$6-$E$3,22))),0))-IF($G$2,0,IF((AN$6-$G$3)&lt;1,0,IFERROR(LOOKUP(2,1/(Amendoim!$E9:INDEX(Amendoim!$E9:$Z9,MIN(AN$6-$G$3,22))&lt;&gt;""),Amendoim!$E9:INDEX(Amendoim!$E9:$Z9,MIN(AN$6-$G$3,22))),0)))))</f>
        <v>0</v>
      </c>
      <c r="AO11" s="27" t="n">
        <f aca="false">IF(COUNT(Amendoim!$E9:$Z9)=0,0,MAX(0,IF((AO$6-$E$3)&lt;1,0,IFERROR(LOOKUP(2,1/(Amendoim!$E9:INDEX(Amendoim!$E9:$Z9,MIN(AO$6-$E$3,22))&lt;&gt;""),Amendoim!$E9:INDEX(Amendoim!$E9:$Z9,MIN(AO$6-$E$3,22))),0))-IF($G$2,0,IF((AO$6-$G$3)&lt;1,0,IFERROR(LOOKUP(2,1/(Amendoim!$E9:INDEX(Amendoim!$E9:$Z9,MIN(AO$6-$G$3,22))&lt;&gt;""),Amendoim!$E9:INDEX(Amendoim!$E9:$Z9,MIN(AO$6-$G$3,22))),0)))))</f>
        <v>0</v>
      </c>
      <c r="AP11" s="27" t="n">
        <f aca="false">IF(COUNT(Amendoim!$E9:$Z9)=0,0,MAX(0,IF((AP$6-$E$3)&lt;1,0,IFERROR(LOOKUP(2,1/(Amendoim!$E9:INDEX(Amendoim!$E9:$Z9,MIN(AP$6-$E$3,22))&lt;&gt;""),Amendoim!$E9:INDEX(Amendoim!$E9:$Z9,MIN(AP$6-$E$3,22))),0))-IF($G$2,0,IF((AP$6-$G$3)&lt;1,0,IFERROR(LOOKUP(2,1/(Amendoim!$E9:INDEX(Amendoim!$E9:$Z9,MIN(AP$6-$G$3,22))&lt;&gt;""),Amendoim!$E9:INDEX(Amendoim!$E9:$Z9,MIN(AP$6-$G$3,22))),0)))))</f>
        <v>0</v>
      </c>
      <c r="AQ11" s="27" t="n">
        <f aca="false">IF(COUNT(Amendoim!$E9:$Z9)=0,0,MAX(0,IF((AQ$6-$E$3)&lt;1,0,IFERROR(LOOKUP(2,1/(Amendoim!$E9:INDEX(Amendoim!$E9:$Z9,MIN(AQ$6-$E$3,22))&lt;&gt;""),Amendoim!$E9:INDEX(Amendoim!$E9:$Z9,MIN(AQ$6-$E$3,22))),0))-IF($G$2,0,IF((AQ$6-$G$3)&lt;1,0,IFERROR(LOOKUP(2,1/(Amendoim!$E9:INDEX(Amendoim!$E9:$Z9,MIN(AQ$6-$G$3,22))&lt;&gt;""),Amendoim!$E9:INDEX(Amendoim!$E9:$Z9,MIN(AQ$6-$G$3,22))),0)))))</f>
        <v>0</v>
      </c>
      <c r="AR11" s="27" t="n">
        <f aca="false">IF(COUNT(Amendoim!$E9:$Z9)=0,0,MAX(0,IF((AR$6-$E$3)&lt;1,0,IFERROR(LOOKUP(2,1/(Amendoim!$E9:INDEX(Amendoim!$E9:$Z9,MIN(AR$6-$E$3,22))&lt;&gt;""),Amendoim!$E9:INDEX(Amendoim!$E9:$Z9,MIN(AR$6-$E$3,22))),0))-IF($G$2,0,IF((AR$6-$G$3)&lt;1,0,IFERROR(LOOKUP(2,1/(Amendoim!$E9:INDEX(Amendoim!$E9:$Z9,MIN(AR$6-$G$3,22))&lt;&gt;""),Amendoim!$E9:INDEX(Amendoim!$E9:$Z9,MIN(AR$6-$G$3,22))),0)))))</f>
        <v>0</v>
      </c>
      <c r="AS11" s="27" t="n">
        <f aca="false">IF(COUNT(Amendoim!$E9:$Z9)=0,0,MAX(0,IF((AS$6-$E$3)&lt;1,0,IFERROR(LOOKUP(2,1/(Amendoim!$E9:INDEX(Amendoim!$E9:$Z9,MIN(AS$6-$E$3,22))&lt;&gt;""),Amendoim!$E9:INDEX(Amendoim!$E9:$Z9,MIN(AS$6-$E$3,22))),0))-IF($G$2,0,IF((AS$6-$G$3)&lt;1,0,IFERROR(LOOKUP(2,1/(Amendoim!$E9:INDEX(Amendoim!$E9:$Z9,MIN(AS$6-$G$3,22))&lt;&gt;""),Amendoim!$E9:INDEX(Amendoim!$E9:$Z9,MIN(AS$6-$G$3,22))),0)))))</f>
        <v>0</v>
      </c>
      <c r="AT11" s="27" t="n">
        <f aca="false">IF(COUNT(Amendoim!$E9:$Z9)=0,0,MAX(0,IF((AT$6-$E$3)&lt;1,0,IFERROR(LOOKUP(2,1/(Amendoim!$E9:INDEX(Amendoim!$E9:$Z9,MIN(AT$6-$E$3,22))&lt;&gt;""),Amendoim!$E9:INDEX(Amendoim!$E9:$Z9,MIN(AT$6-$E$3,22))),0))-IF($G$2,0,IF((AT$6-$G$3)&lt;1,0,IFERROR(LOOKUP(2,1/(Amendoim!$E9:INDEX(Amendoim!$E9:$Z9,MIN(AT$6-$G$3,22))&lt;&gt;""),Amendoim!$E9:INDEX(Amendoim!$E9:$Z9,MIN(AT$6-$G$3,22))),0)))))</f>
        <v>0</v>
      </c>
      <c r="AU11" s="27" t="n">
        <f aca="false">IF(COUNT(Amendoim!$E9:$Z9)=0,0,MAX(0,IF((AU$6-$E$3)&lt;1,0,IFERROR(LOOKUP(2,1/(Amendoim!$E9:INDEX(Amendoim!$E9:$Z9,MIN(AU$6-$E$3,22))&lt;&gt;""),Amendoim!$E9:INDEX(Amendoim!$E9:$Z9,MIN(AU$6-$E$3,22))),0))-IF($G$2,0,IF((AU$6-$G$3)&lt;1,0,IFERROR(LOOKUP(2,1/(Amendoim!$E9:INDEX(Amendoim!$E9:$Z9,MIN(AU$6-$G$3,22))&lt;&gt;""),Amendoim!$E9:INDEX(Amendoim!$E9:$Z9,MIN(AU$6-$G$3,22))),0)))))</f>
        <v>0</v>
      </c>
      <c r="AV11" s="27" t="n">
        <f aca="false">IF(COUNT(Amendoim!$E9:$Z9)=0,0,MAX(0,IF((AV$6-$E$3)&lt;1,0,IFERROR(LOOKUP(2,1/(Amendoim!$E9:INDEX(Amendoim!$E9:$Z9,MIN(AV$6-$E$3,22))&lt;&gt;""),Amendoim!$E9:INDEX(Amendoim!$E9:$Z9,MIN(AV$6-$E$3,22))),0))-IF($G$2,0,IF((AV$6-$G$3)&lt;1,0,IFERROR(LOOKUP(2,1/(Amendoim!$E9:INDEX(Amendoim!$E9:$Z9,MIN(AV$6-$G$3,22))&lt;&gt;""),Amendoim!$E9:INDEX(Amendoim!$E9:$Z9,MIN(AV$6-$G$3,22))),0)))))</f>
        <v>0</v>
      </c>
      <c r="AW11" s="27" t="n">
        <f aca="false">IF(COUNT(Amendoim!$E9:$Z9)=0,0,MAX(0,IF((AW$6-$E$3)&lt;1,0,IFERROR(LOOKUP(2,1/(Amendoim!$E9:INDEX(Amendoim!$E9:$Z9,MIN(AW$6-$E$3,22))&lt;&gt;""),Amendoim!$E9:INDEX(Amendoim!$E9:$Z9,MIN(AW$6-$E$3,22))),0))-IF($G$2,0,IF((AW$6-$G$3)&lt;1,0,IFERROR(LOOKUP(2,1/(Amendoim!$E9:INDEX(Amendoim!$E9:$Z9,MIN(AW$6-$G$3,22))&lt;&gt;""),Amendoim!$E9:INDEX(Amendoim!$E9:$Z9,MIN(AW$6-$G$3,22))),0)))))</f>
        <v>0</v>
      </c>
      <c r="AX11" s="27" t="n">
        <f aca="false">IF(COUNT(Amendoim!$E9:$Z9)=0,0,MAX(0,IF((AX$6-$E$3)&lt;1,0,IFERROR(LOOKUP(2,1/(Amendoim!$E9:INDEX(Amendoim!$E9:$Z9,MIN(AX$6-$E$3,22))&lt;&gt;""),Amendoim!$E9:INDEX(Amendoim!$E9:$Z9,MIN(AX$6-$E$3,22))),0))-IF($G$2,0,IF((AX$6-$G$3)&lt;1,0,IFERROR(LOOKUP(2,1/(Amendoim!$E9:INDEX(Amendoim!$E9:$Z9,MIN(AX$6-$G$3,22))&lt;&gt;""),Amendoim!$E9:INDEX(Amendoim!$E9:$Z9,MIN(AX$6-$G$3,22))),0)))))</f>
        <v>0</v>
      </c>
      <c r="AY11" s="27" t="n">
        <f aca="false">IF(COUNT(Amendoim!$E9:$Z9)=0,0,MAX(0,IF((AY$6-$E$3)&lt;1,0,IFERROR(LOOKUP(2,1/(Amendoim!$E9:INDEX(Amendoim!$E9:$Z9,MIN(AY$6-$E$3,22))&lt;&gt;""),Amendoim!$E9:INDEX(Amendoim!$E9:$Z9,MIN(AY$6-$E$3,22))),0))-IF($G$2,0,IF((AY$6-$G$3)&lt;1,0,IFERROR(LOOKUP(2,1/(Amendoim!$E9:INDEX(Amendoim!$E9:$Z9,MIN(AY$6-$G$3,22))&lt;&gt;""),Amendoim!$E9:INDEX(Amendoim!$E9:$Z9,MIN(AY$6-$G$3,22))),0)))))</f>
        <v>0</v>
      </c>
      <c r="AZ11" s="27" t="n">
        <f aca="false">IF(COUNT(Amendoim!$E9:$Z9)=0,0,MAX(0,IF((AZ$6-$E$3)&lt;1,0,IFERROR(LOOKUP(2,1/(Amendoim!$E9:INDEX(Amendoim!$E9:$Z9,MIN(AZ$6-$E$3,22))&lt;&gt;""),Amendoim!$E9:INDEX(Amendoim!$E9:$Z9,MIN(AZ$6-$E$3,22))),0))-IF($G$2,0,IF((AZ$6-$G$3)&lt;1,0,IFERROR(LOOKUP(2,1/(Amendoim!$E9:INDEX(Amendoim!$E9:$Z9,MIN(AZ$6-$G$3,22))&lt;&gt;""),Amendoim!$E9:INDEX(Amendoim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IF(COUNT(Amendoim!$E10:$Z10)&gt;0,N(Amendoim!$D10),0)</f>
        <v>0</v>
      </c>
      <c r="E12" s="27" t="n">
        <f aca="false">IF(COUNT(Amendoim!$E10:$Z10)=0,0,MAX(0,IF((E$6-$E$3)&lt;1,0,IFERROR(LOOKUP(2,1/(Amendoim!$E10:INDEX(Amendoim!$E10:$Z10,MIN(E$6-$E$3,22))&lt;&gt;""),Amendoim!$E10:INDEX(Amendoim!$E10:$Z10,MIN(E$6-$E$3,22))),0))-IF($G$2,0,IF((E$6-$G$3)&lt;1,0,IFERROR(LOOKUP(2,1/(Amendoim!$E10:INDEX(Amendoim!$E10:$Z10,MIN(E$6-$G$3,22))&lt;&gt;""),Amendoim!$E10:INDEX(Amendoim!$E10:$Z10,MIN(E$6-$G$3,22))),0)))))</f>
        <v>0</v>
      </c>
      <c r="F12" s="27" t="n">
        <f aca="false">IF(COUNT(Amendoim!$E10:$Z10)=0,0,MAX(0,IF((F$6-$E$3)&lt;1,0,IFERROR(LOOKUP(2,1/(Amendoim!$E10:INDEX(Amendoim!$E10:$Z10,MIN(F$6-$E$3,22))&lt;&gt;""),Amendoim!$E10:INDEX(Amendoim!$E10:$Z10,MIN(F$6-$E$3,22))),0))-IF($G$2,0,IF((F$6-$G$3)&lt;1,0,IFERROR(LOOKUP(2,1/(Amendoim!$E10:INDEX(Amendoim!$E10:$Z10,MIN(F$6-$G$3,22))&lt;&gt;""),Amendoim!$E10:INDEX(Amendoim!$E10:$Z10,MIN(F$6-$G$3,22))),0)))))</f>
        <v>0</v>
      </c>
      <c r="G12" s="27" t="n">
        <f aca="false">IF(COUNT(Amendoim!$E10:$Z10)=0,0,MAX(0,IF((G$6-$E$3)&lt;1,0,IFERROR(LOOKUP(2,1/(Amendoim!$E10:INDEX(Amendoim!$E10:$Z10,MIN(G$6-$E$3,22))&lt;&gt;""),Amendoim!$E10:INDEX(Amendoim!$E10:$Z10,MIN(G$6-$E$3,22))),0))-IF($G$2,0,IF((G$6-$G$3)&lt;1,0,IFERROR(LOOKUP(2,1/(Amendoim!$E10:INDEX(Amendoim!$E10:$Z10,MIN(G$6-$G$3,22))&lt;&gt;""),Amendoim!$E10:INDEX(Amendoim!$E10:$Z10,MIN(G$6-$G$3,22))),0)))))</f>
        <v>0</v>
      </c>
      <c r="H12" s="27" t="n">
        <f aca="false">IF(COUNT(Amendoim!$E10:$Z10)=0,0,MAX(0,IF((H$6-$E$3)&lt;1,0,IFERROR(LOOKUP(2,1/(Amendoim!$E10:INDEX(Amendoim!$E10:$Z10,MIN(H$6-$E$3,22))&lt;&gt;""),Amendoim!$E10:INDEX(Amendoim!$E10:$Z10,MIN(H$6-$E$3,22))),0))-IF($G$2,0,IF((H$6-$G$3)&lt;1,0,IFERROR(LOOKUP(2,1/(Amendoim!$E10:INDEX(Amendoim!$E10:$Z10,MIN(H$6-$G$3,22))&lt;&gt;""),Amendoim!$E10:INDEX(Amendoim!$E10:$Z10,MIN(H$6-$G$3,22))),0)))))</f>
        <v>0</v>
      </c>
      <c r="I12" s="27" t="n">
        <f aca="false">IF(COUNT(Amendoim!$E10:$Z10)=0,0,MAX(0,IF((I$6-$E$3)&lt;1,0,IFERROR(LOOKUP(2,1/(Amendoim!$E10:INDEX(Amendoim!$E10:$Z10,MIN(I$6-$E$3,22))&lt;&gt;""),Amendoim!$E10:INDEX(Amendoim!$E10:$Z10,MIN(I$6-$E$3,22))),0))-IF($G$2,0,IF((I$6-$G$3)&lt;1,0,IFERROR(LOOKUP(2,1/(Amendoim!$E10:INDEX(Amendoim!$E10:$Z10,MIN(I$6-$G$3,22))&lt;&gt;""),Amendoim!$E10:INDEX(Amendoim!$E10:$Z10,MIN(I$6-$G$3,22))),0)))))</f>
        <v>0</v>
      </c>
      <c r="J12" s="27" t="n">
        <f aca="false">IF(COUNT(Amendoim!$E10:$Z10)=0,0,MAX(0,IF((J$6-$E$3)&lt;1,0,IFERROR(LOOKUP(2,1/(Amendoim!$E10:INDEX(Amendoim!$E10:$Z10,MIN(J$6-$E$3,22))&lt;&gt;""),Amendoim!$E10:INDEX(Amendoim!$E10:$Z10,MIN(J$6-$E$3,22))),0))-IF($G$2,0,IF((J$6-$G$3)&lt;1,0,IFERROR(LOOKUP(2,1/(Amendoim!$E10:INDEX(Amendoim!$E10:$Z10,MIN(J$6-$G$3,22))&lt;&gt;""),Amendoim!$E10:INDEX(Amendoim!$E10:$Z10,MIN(J$6-$G$3,22))),0)))))</f>
        <v>0</v>
      </c>
      <c r="K12" s="27" t="n">
        <f aca="false">IF(COUNT(Amendoim!$E10:$Z10)=0,0,MAX(0,IF((K$6-$E$3)&lt;1,0,IFERROR(LOOKUP(2,1/(Amendoim!$E10:INDEX(Amendoim!$E10:$Z10,MIN(K$6-$E$3,22))&lt;&gt;""),Amendoim!$E10:INDEX(Amendoim!$E10:$Z10,MIN(K$6-$E$3,22))),0))-IF($G$2,0,IF((K$6-$G$3)&lt;1,0,IFERROR(LOOKUP(2,1/(Amendoim!$E10:INDEX(Amendoim!$E10:$Z10,MIN(K$6-$G$3,22))&lt;&gt;""),Amendoim!$E10:INDEX(Amendoim!$E10:$Z10,MIN(K$6-$G$3,22))),0)))))</f>
        <v>0</v>
      </c>
      <c r="L12" s="27" t="n">
        <f aca="false">IF(COUNT(Amendoim!$E10:$Z10)=0,0,MAX(0,IF((L$6-$E$3)&lt;1,0,IFERROR(LOOKUP(2,1/(Amendoim!$E10:INDEX(Amendoim!$E10:$Z10,MIN(L$6-$E$3,22))&lt;&gt;""),Amendoim!$E10:INDEX(Amendoim!$E10:$Z10,MIN(L$6-$E$3,22))),0))-IF($G$2,0,IF((L$6-$G$3)&lt;1,0,IFERROR(LOOKUP(2,1/(Amendoim!$E10:INDEX(Amendoim!$E10:$Z10,MIN(L$6-$G$3,22))&lt;&gt;""),Amendoim!$E10:INDEX(Amendoim!$E10:$Z10,MIN(L$6-$G$3,22))),0)))))</f>
        <v>0</v>
      </c>
      <c r="M12" s="27" t="n">
        <f aca="false">IF(COUNT(Amendoim!$E10:$Z10)=0,0,MAX(0,IF((M$6-$E$3)&lt;1,0,IFERROR(LOOKUP(2,1/(Amendoim!$E10:INDEX(Amendoim!$E10:$Z10,MIN(M$6-$E$3,22))&lt;&gt;""),Amendoim!$E10:INDEX(Amendoim!$E10:$Z10,MIN(M$6-$E$3,22))),0))-IF($G$2,0,IF((M$6-$G$3)&lt;1,0,IFERROR(LOOKUP(2,1/(Amendoim!$E10:INDEX(Amendoim!$E10:$Z10,MIN(M$6-$G$3,22))&lt;&gt;""),Amendoim!$E10:INDEX(Amendoim!$E10:$Z10,MIN(M$6-$G$3,22))),0)))))</f>
        <v>0</v>
      </c>
      <c r="N12" s="27" t="n">
        <f aca="false">IF(COUNT(Amendoim!$E10:$Z10)=0,0,MAX(0,IF((N$6-$E$3)&lt;1,0,IFERROR(LOOKUP(2,1/(Amendoim!$E10:INDEX(Amendoim!$E10:$Z10,MIN(N$6-$E$3,22))&lt;&gt;""),Amendoim!$E10:INDEX(Amendoim!$E10:$Z10,MIN(N$6-$E$3,22))),0))-IF($G$2,0,IF((N$6-$G$3)&lt;1,0,IFERROR(LOOKUP(2,1/(Amendoim!$E10:INDEX(Amendoim!$E10:$Z10,MIN(N$6-$G$3,22))&lt;&gt;""),Amendoim!$E10:INDEX(Amendoim!$E10:$Z10,MIN(N$6-$G$3,22))),0)))))</f>
        <v>0</v>
      </c>
      <c r="O12" s="27" t="n">
        <f aca="false">IF(COUNT(Amendoim!$E10:$Z10)=0,0,MAX(0,IF((O$6-$E$3)&lt;1,0,IFERROR(LOOKUP(2,1/(Amendoim!$E10:INDEX(Amendoim!$E10:$Z10,MIN(O$6-$E$3,22))&lt;&gt;""),Amendoim!$E10:INDEX(Amendoim!$E10:$Z10,MIN(O$6-$E$3,22))),0))-IF($G$2,0,IF((O$6-$G$3)&lt;1,0,IFERROR(LOOKUP(2,1/(Amendoim!$E10:INDEX(Amendoim!$E10:$Z10,MIN(O$6-$G$3,22))&lt;&gt;""),Amendoim!$E10:INDEX(Amendoim!$E10:$Z10,MIN(O$6-$G$3,22))),0)))))</f>
        <v>0</v>
      </c>
      <c r="P12" s="27" t="n">
        <f aca="false">IF(COUNT(Amendoim!$E10:$Z10)=0,0,MAX(0,IF((P$6-$E$3)&lt;1,0,IFERROR(LOOKUP(2,1/(Amendoim!$E10:INDEX(Amendoim!$E10:$Z10,MIN(P$6-$E$3,22))&lt;&gt;""),Amendoim!$E10:INDEX(Amendoim!$E10:$Z10,MIN(P$6-$E$3,22))),0))-IF($G$2,0,IF((P$6-$G$3)&lt;1,0,IFERROR(LOOKUP(2,1/(Amendoim!$E10:INDEX(Amendoim!$E10:$Z10,MIN(P$6-$G$3,22))&lt;&gt;""),Amendoim!$E10:INDEX(Amendoim!$E10:$Z10,MIN(P$6-$G$3,22))),0)))))</f>
        <v>0</v>
      </c>
      <c r="Q12" s="27" t="n">
        <f aca="false">IF(COUNT(Amendoim!$E10:$Z10)=0,0,MAX(0,IF((Q$6-$E$3)&lt;1,0,IFERROR(LOOKUP(2,1/(Amendoim!$E10:INDEX(Amendoim!$E10:$Z10,MIN(Q$6-$E$3,22))&lt;&gt;""),Amendoim!$E10:INDEX(Amendoim!$E10:$Z10,MIN(Q$6-$E$3,22))),0))-IF($G$2,0,IF((Q$6-$G$3)&lt;1,0,IFERROR(LOOKUP(2,1/(Amendoim!$E10:INDEX(Amendoim!$E10:$Z10,MIN(Q$6-$G$3,22))&lt;&gt;""),Amendoim!$E10:INDEX(Amendoim!$E10:$Z10,MIN(Q$6-$G$3,22))),0)))))</f>
        <v>0</v>
      </c>
      <c r="R12" s="27" t="n">
        <f aca="false">IF(COUNT(Amendoim!$E10:$Z10)=0,0,MAX(0,IF((R$6-$E$3)&lt;1,0,IFERROR(LOOKUP(2,1/(Amendoim!$E10:INDEX(Amendoim!$E10:$Z10,MIN(R$6-$E$3,22))&lt;&gt;""),Amendoim!$E10:INDEX(Amendoim!$E10:$Z10,MIN(R$6-$E$3,22))),0))-IF($G$2,0,IF((R$6-$G$3)&lt;1,0,IFERROR(LOOKUP(2,1/(Amendoim!$E10:INDEX(Amendoim!$E10:$Z10,MIN(R$6-$G$3,22))&lt;&gt;""),Amendoim!$E10:INDEX(Amendoim!$E10:$Z10,MIN(R$6-$G$3,22))),0)))))</f>
        <v>0</v>
      </c>
      <c r="S12" s="27" t="n">
        <f aca="false">IF(COUNT(Amendoim!$E10:$Z10)=0,0,MAX(0,IF((S$6-$E$3)&lt;1,0,IFERROR(LOOKUP(2,1/(Amendoim!$E10:INDEX(Amendoim!$E10:$Z10,MIN(S$6-$E$3,22))&lt;&gt;""),Amendoim!$E10:INDEX(Amendoim!$E10:$Z10,MIN(S$6-$E$3,22))),0))-IF($G$2,0,IF((S$6-$G$3)&lt;1,0,IFERROR(LOOKUP(2,1/(Amendoim!$E10:INDEX(Amendoim!$E10:$Z10,MIN(S$6-$G$3,22))&lt;&gt;""),Amendoim!$E10:INDEX(Amendoim!$E10:$Z10,MIN(S$6-$G$3,22))),0)))))</f>
        <v>0</v>
      </c>
      <c r="T12" s="27" t="n">
        <f aca="false">IF(COUNT(Amendoim!$E10:$Z10)=0,0,MAX(0,IF((T$6-$E$3)&lt;1,0,IFERROR(LOOKUP(2,1/(Amendoim!$E10:INDEX(Amendoim!$E10:$Z10,MIN(T$6-$E$3,22))&lt;&gt;""),Amendoim!$E10:INDEX(Amendoim!$E10:$Z10,MIN(T$6-$E$3,22))),0))-IF($G$2,0,IF((T$6-$G$3)&lt;1,0,IFERROR(LOOKUP(2,1/(Amendoim!$E10:INDEX(Amendoim!$E10:$Z10,MIN(T$6-$G$3,22))&lt;&gt;""),Amendoim!$E10:INDEX(Amendoim!$E10:$Z10,MIN(T$6-$G$3,22))),0)))))</f>
        <v>0</v>
      </c>
      <c r="U12" s="27" t="n">
        <f aca="false">IF(COUNT(Amendoim!$E10:$Z10)=0,0,MAX(0,IF((U$6-$E$3)&lt;1,0,IFERROR(LOOKUP(2,1/(Amendoim!$E10:INDEX(Amendoim!$E10:$Z10,MIN(U$6-$E$3,22))&lt;&gt;""),Amendoim!$E10:INDEX(Amendoim!$E10:$Z10,MIN(U$6-$E$3,22))),0))-IF($G$2,0,IF((U$6-$G$3)&lt;1,0,IFERROR(LOOKUP(2,1/(Amendoim!$E10:INDEX(Amendoim!$E10:$Z10,MIN(U$6-$G$3,22))&lt;&gt;""),Amendoim!$E10:INDEX(Amendoim!$E10:$Z10,MIN(U$6-$G$3,22))),0)))))</f>
        <v>0</v>
      </c>
      <c r="V12" s="27" t="n">
        <f aca="false">IF(COUNT(Amendoim!$E10:$Z10)=0,0,MAX(0,IF((V$6-$E$3)&lt;1,0,IFERROR(LOOKUP(2,1/(Amendoim!$E10:INDEX(Amendoim!$E10:$Z10,MIN(V$6-$E$3,22))&lt;&gt;""),Amendoim!$E10:INDEX(Amendoim!$E10:$Z10,MIN(V$6-$E$3,22))),0))-IF($G$2,0,IF((V$6-$G$3)&lt;1,0,IFERROR(LOOKUP(2,1/(Amendoim!$E10:INDEX(Amendoim!$E10:$Z10,MIN(V$6-$G$3,22))&lt;&gt;""),Amendoim!$E10:INDEX(Amendoim!$E10:$Z10,MIN(V$6-$G$3,22))),0)))))</f>
        <v>0</v>
      </c>
      <c r="W12" s="27" t="n">
        <f aca="false">IF(COUNT(Amendoim!$E10:$Z10)=0,0,MAX(0,IF((W$6-$E$3)&lt;1,0,IFERROR(LOOKUP(2,1/(Amendoim!$E10:INDEX(Amendoim!$E10:$Z10,MIN(W$6-$E$3,22))&lt;&gt;""),Amendoim!$E10:INDEX(Amendoim!$E10:$Z10,MIN(W$6-$E$3,22))),0))-IF($G$2,0,IF((W$6-$G$3)&lt;1,0,IFERROR(LOOKUP(2,1/(Amendoim!$E10:INDEX(Amendoim!$E10:$Z10,MIN(W$6-$G$3,22))&lt;&gt;""),Amendoim!$E10:INDEX(Amendoim!$E10:$Z10,MIN(W$6-$G$3,22))),0)))))</f>
        <v>0</v>
      </c>
      <c r="X12" s="27" t="n">
        <f aca="false">IF(COUNT(Amendoim!$E10:$Z10)=0,0,MAX(0,IF((X$6-$E$3)&lt;1,0,IFERROR(LOOKUP(2,1/(Amendoim!$E10:INDEX(Amendoim!$E10:$Z10,MIN(X$6-$E$3,22))&lt;&gt;""),Amendoim!$E10:INDEX(Amendoim!$E10:$Z10,MIN(X$6-$E$3,22))),0))-IF($G$2,0,IF((X$6-$G$3)&lt;1,0,IFERROR(LOOKUP(2,1/(Amendoim!$E10:INDEX(Amendoim!$E10:$Z10,MIN(X$6-$G$3,22))&lt;&gt;""),Amendoim!$E10:INDEX(Amendoim!$E10:$Z10,MIN(X$6-$G$3,22))),0)))))</f>
        <v>0</v>
      </c>
      <c r="Y12" s="27" t="n">
        <f aca="false">IF(COUNT(Amendoim!$E10:$Z10)=0,0,MAX(0,IF((Y$6-$E$3)&lt;1,0,IFERROR(LOOKUP(2,1/(Amendoim!$E10:INDEX(Amendoim!$E10:$Z10,MIN(Y$6-$E$3,22))&lt;&gt;""),Amendoim!$E10:INDEX(Amendoim!$E10:$Z10,MIN(Y$6-$E$3,22))),0))-IF($G$2,0,IF((Y$6-$G$3)&lt;1,0,IFERROR(LOOKUP(2,1/(Amendoim!$E10:INDEX(Amendoim!$E10:$Z10,MIN(Y$6-$G$3,22))&lt;&gt;""),Amendoim!$E10:INDEX(Amendoim!$E10:$Z10,MIN(Y$6-$G$3,22))),0)))))</f>
        <v>0</v>
      </c>
      <c r="Z12" s="27" t="n">
        <f aca="false">IF(COUNT(Amendoim!$E10:$Z10)=0,0,MAX(0,IF((Z$6-$E$3)&lt;1,0,IFERROR(LOOKUP(2,1/(Amendoim!$E10:INDEX(Amendoim!$E10:$Z10,MIN(Z$6-$E$3,22))&lt;&gt;""),Amendoim!$E10:INDEX(Amendoim!$E10:$Z10,MIN(Z$6-$E$3,22))),0))-IF($G$2,0,IF((Z$6-$G$3)&lt;1,0,IFERROR(LOOKUP(2,1/(Amendoim!$E10:INDEX(Amendoim!$E10:$Z10,MIN(Z$6-$G$3,22))&lt;&gt;""),Amendoim!$E10:INDEX(Amendoim!$E10:$Z10,MIN(Z$6-$G$3,22))),0)))))</f>
        <v>0</v>
      </c>
      <c r="AA12" s="27" t="n">
        <f aca="false">IF(COUNT(Amendoim!$E10:$Z10)=0,0,MAX(0,IF((AA$6-$E$3)&lt;1,0,IFERROR(LOOKUP(2,1/(Amendoim!$E10:INDEX(Amendoim!$E10:$Z10,MIN(AA$6-$E$3,22))&lt;&gt;""),Amendoim!$E10:INDEX(Amendoim!$E10:$Z10,MIN(AA$6-$E$3,22))),0))-IF($G$2,0,IF((AA$6-$G$3)&lt;1,0,IFERROR(LOOKUP(2,1/(Amendoim!$E10:INDEX(Amendoim!$E10:$Z10,MIN(AA$6-$G$3,22))&lt;&gt;""),Amendoim!$E10:INDEX(Amendoim!$E10:$Z10,MIN(AA$6-$G$3,22))),0)))))</f>
        <v>0</v>
      </c>
      <c r="AB12" s="27" t="n">
        <f aca="false">IF(COUNT(Amendoim!$E10:$Z10)=0,0,MAX(0,IF((AB$6-$E$3)&lt;1,0,IFERROR(LOOKUP(2,1/(Amendoim!$E10:INDEX(Amendoim!$E10:$Z10,MIN(AB$6-$E$3,22))&lt;&gt;""),Amendoim!$E10:INDEX(Amendoim!$E10:$Z10,MIN(AB$6-$E$3,22))),0))-IF($G$2,0,IF((AB$6-$G$3)&lt;1,0,IFERROR(LOOKUP(2,1/(Amendoim!$E10:INDEX(Amendoim!$E10:$Z10,MIN(AB$6-$G$3,22))&lt;&gt;""),Amendoim!$E10:INDEX(Amendoim!$E10:$Z10,MIN(AB$6-$G$3,22))),0)))))</f>
        <v>0</v>
      </c>
      <c r="AC12" s="27" t="n">
        <f aca="false">IF(COUNT(Amendoim!$E10:$Z10)=0,0,MAX(0,IF((AC$6-$E$3)&lt;1,0,IFERROR(LOOKUP(2,1/(Amendoim!$E10:INDEX(Amendoim!$E10:$Z10,MIN(AC$6-$E$3,22))&lt;&gt;""),Amendoim!$E10:INDEX(Amendoim!$E10:$Z10,MIN(AC$6-$E$3,22))),0))-IF($G$2,0,IF((AC$6-$G$3)&lt;1,0,IFERROR(LOOKUP(2,1/(Amendoim!$E10:INDEX(Amendoim!$E10:$Z10,MIN(AC$6-$G$3,22))&lt;&gt;""),Amendoim!$E10:INDEX(Amendoim!$E10:$Z10,MIN(AC$6-$G$3,22))),0)))))</f>
        <v>0</v>
      </c>
      <c r="AD12" s="27" t="n">
        <f aca="false">IF(COUNT(Amendoim!$E10:$Z10)=0,0,MAX(0,IF((AD$6-$E$3)&lt;1,0,IFERROR(LOOKUP(2,1/(Amendoim!$E10:INDEX(Amendoim!$E10:$Z10,MIN(AD$6-$E$3,22))&lt;&gt;""),Amendoim!$E10:INDEX(Amendoim!$E10:$Z10,MIN(AD$6-$E$3,22))),0))-IF($G$2,0,IF((AD$6-$G$3)&lt;1,0,IFERROR(LOOKUP(2,1/(Amendoim!$E10:INDEX(Amendoim!$E10:$Z10,MIN(AD$6-$G$3,22))&lt;&gt;""),Amendoim!$E10:INDEX(Amendoim!$E10:$Z10,MIN(AD$6-$G$3,22))),0)))))</f>
        <v>0</v>
      </c>
      <c r="AE12" s="27" t="n">
        <f aca="false">IF(COUNT(Amendoim!$E10:$Z10)=0,0,MAX(0,IF((AE$6-$E$3)&lt;1,0,IFERROR(LOOKUP(2,1/(Amendoim!$E10:INDEX(Amendoim!$E10:$Z10,MIN(AE$6-$E$3,22))&lt;&gt;""),Amendoim!$E10:INDEX(Amendoim!$E10:$Z10,MIN(AE$6-$E$3,22))),0))-IF($G$2,0,IF((AE$6-$G$3)&lt;1,0,IFERROR(LOOKUP(2,1/(Amendoim!$E10:INDEX(Amendoim!$E10:$Z10,MIN(AE$6-$G$3,22))&lt;&gt;""),Amendoim!$E10:INDEX(Amendoim!$E10:$Z10,MIN(AE$6-$G$3,22))),0)))))</f>
        <v>0</v>
      </c>
      <c r="AF12" s="27" t="n">
        <f aca="false">IF(COUNT(Amendoim!$E10:$Z10)=0,0,MAX(0,IF((AF$6-$E$3)&lt;1,0,IFERROR(LOOKUP(2,1/(Amendoim!$E10:INDEX(Amendoim!$E10:$Z10,MIN(AF$6-$E$3,22))&lt;&gt;""),Amendoim!$E10:INDEX(Amendoim!$E10:$Z10,MIN(AF$6-$E$3,22))),0))-IF($G$2,0,IF((AF$6-$G$3)&lt;1,0,IFERROR(LOOKUP(2,1/(Amendoim!$E10:INDEX(Amendoim!$E10:$Z10,MIN(AF$6-$G$3,22))&lt;&gt;""),Amendoim!$E10:INDEX(Amendoim!$E10:$Z10,MIN(AF$6-$G$3,22))),0)))))</f>
        <v>0</v>
      </c>
      <c r="AG12" s="27" t="n">
        <f aca="false">IF(COUNT(Amendoim!$E10:$Z10)=0,0,MAX(0,IF((AG$6-$E$3)&lt;1,0,IFERROR(LOOKUP(2,1/(Amendoim!$E10:INDEX(Amendoim!$E10:$Z10,MIN(AG$6-$E$3,22))&lt;&gt;""),Amendoim!$E10:INDEX(Amendoim!$E10:$Z10,MIN(AG$6-$E$3,22))),0))-IF($G$2,0,IF((AG$6-$G$3)&lt;1,0,IFERROR(LOOKUP(2,1/(Amendoim!$E10:INDEX(Amendoim!$E10:$Z10,MIN(AG$6-$G$3,22))&lt;&gt;""),Amendoim!$E10:INDEX(Amendoim!$E10:$Z10,MIN(AG$6-$G$3,22))),0)))))</f>
        <v>0</v>
      </c>
      <c r="AH12" s="27" t="n">
        <f aca="false">IF(COUNT(Amendoim!$E10:$Z10)=0,0,MAX(0,IF((AH$6-$E$3)&lt;1,0,IFERROR(LOOKUP(2,1/(Amendoim!$E10:INDEX(Amendoim!$E10:$Z10,MIN(AH$6-$E$3,22))&lt;&gt;""),Amendoim!$E10:INDEX(Amendoim!$E10:$Z10,MIN(AH$6-$E$3,22))),0))-IF($G$2,0,IF((AH$6-$G$3)&lt;1,0,IFERROR(LOOKUP(2,1/(Amendoim!$E10:INDEX(Amendoim!$E10:$Z10,MIN(AH$6-$G$3,22))&lt;&gt;""),Amendoim!$E10:INDEX(Amendoim!$E10:$Z10,MIN(AH$6-$G$3,22))),0)))))</f>
        <v>0</v>
      </c>
      <c r="AI12" s="27" t="n">
        <f aca="false">IF(COUNT(Amendoim!$E10:$Z10)=0,0,MAX(0,IF((AI$6-$E$3)&lt;1,0,IFERROR(LOOKUP(2,1/(Amendoim!$E10:INDEX(Amendoim!$E10:$Z10,MIN(AI$6-$E$3,22))&lt;&gt;""),Amendoim!$E10:INDEX(Amendoim!$E10:$Z10,MIN(AI$6-$E$3,22))),0))-IF($G$2,0,IF((AI$6-$G$3)&lt;1,0,IFERROR(LOOKUP(2,1/(Amendoim!$E10:INDEX(Amendoim!$E10:$Z10,MIN(AI$6-$G$3,22))&lt;&gt;""),Amendoim!$E10:INDEX(Amendoim!$E10:$Z10,MIN(AI$6-$G$3,22))),0)))))</f>
        <v>0</v>
      </c>
      <c r="AJ12" s="27" t="n">
        <f aca="false">IF(COUNT(Amendoim!$E10:$Z10)=0,0,MAX(0,IF((AJ$6-$E$3)&lt;1,0,IFERROR(LOOKUP(2,1/(Amendoim!$E10:INDEX(Amendoim!$E10:$Z10,MIN(AJ$6-$E$3,22))&lt;&gt;""),Amendoim!$E10:INDEX(Amendoim!$E10:$Z10,MIN(AJ$6-$E$3,22))),0))-IF($G$2,0,IF((AJ$6-$G$3)&lt;1,0,IFERROR(LOOKUP(2,1/(Amendoim!$E10:INDEX(Amendoim!$E10:$Z10,MIN(AJ$6-$G$3,22))&lt;&gt;""),Amendoim!$E10:INDEX(Amendoim!$E10:$Z10,MIN(AJ$6-$G$3,22))),0)))))</f>
        <v>0</v>
      </c>
      <c r="AK12" s="27" t="n">
        <f aca="false">IF(COUNT(Amendoim!$E10:$Z10)=0,0,MAX(0,IF((AK$6-$E$3)&lt;1,0,IFERROR(LOOKUP(2,1/(Amendoim!$E10:INDEX(Amendoim!$E10:$Z10,MIN(AK$6-$E$3,22))&lt;&gt;""),Amendoim!$E10:INDEX(Amendoim!$E10:$Z10,MIN(AK$6-$E$3,22))),0))-IF($G$2,0,IF((AK$6-$G$3)&lt;1,0,IFERROR(LOOKUP(2,1/(Amendoim!$E10:INDEX(Amendoim!$E10:$Z10,MIN(AK$6-$G$3,22))&lt;&gt;""),Amendoim!$E10:INDEX(Amendoim!$E10:$Z10,MIN(AK$6-$G$3,22))),0)))))</f>
        <v>0</v>
      </c>
      <c r="AL12" s="27" t="n">
        <f aca="false">IF(COUNT(Amendoim!$E10:$Z10)=0,0,MAX(0,IF((AL$6-$E$3)&lt;1,0,IFERROR(LOOKUP(2,1/(Amendoim!$E10:INDEX(Amendoim!$E10:$Z10,MIN(AL$6-$E$3,22))&lt;&gt;""),Amendoim!$E10:INDEX(Amendoim!$E10:$Z10,MIN(AL$6-$E$3,22))),0))-IF($G$2,0,IF((AL$6-$G$3)&lt;1,0,IFERROR(LOOKUP(2,1/(Amendoim!$E10:INDEX(Amendoim!$E10:$Z10,MIN(AL$6-$G$3,22))&lt;&gt;""),Amendoim!$E10:INDEX(Amendoim!$E10:$Z10,MIN(AL$6-$G$3,22))),0)))))</f>
        <v>0</v>
      </c>
      <c r="AM12" s="27" t="n">
        <f aca="false">IF(COUNT(Amendoim!$E10:$Z10)=0,0,MAX(0,IF((AM$6-$E$3)&lt;1,0,IFERROR(LOOKUP(2,1/(Amendoim!$E10:INDEX(Amendoim!$E10:$Z10,MIN(AM$6-$E$3,22))&lt;&gt;""),Amendoim!$E10:INDEX(Amendoim!$E10:$Z10,MIN(AM$6-$E$3,22))),0))-IF($G$2,0,IF((AM$6-$G$3)&lt;1,0,IFERROR(LOOKUP(2,1/(Amendoim!$E10:INDEX(Amendoim!$E10:$Z10,MIN(AM$6-$G$3,22))&lt;&gt;""),Amendoim!$E10:INDEX(Amendoim!$E10:$Z10,MIN(AM$6-$G$3,22))),0)))))</f>
        <v>0</v>
      </c>
      <c r="AN12" s="27" t="n">
        <f aca="false">IF(COUNT(Amendoim!$E10:$Z10)=0,0,MAX(0,IF((AN$6-$E$3)&lt;1,0,IFERROR(LOOKUP(2,1/(Amendoim!$E10:INDEX(Amendoim!$E10:$Z10,MIN(AN$6-$E$3,22))&lt;&gt;""),Amendoim!$E10:INDEX(Amendoim!$E10:$Z10,MIN(AN$6-$E$3,22))),0))-IF($G$2,0,IF((AN$6-$G$3)&lt;1,0,IFERROR(LOOKUP(2,1/(Amendoim!$E10:INDEX(Amendoim!$E10:$Z10,MIN(AN$6-$G$3,22))&lt;&gt;""),Amendoim!$E10:INDEX(Amendoim!$E10:$Z10,MIN(AN$6-$G$3,22))),0)))))</f>
        <v>0</v>
      </c>
      <c r="AO12" s="27" t="n">
        <f aca="false">IF(COUNT(Amendoim!$E10:$Z10)=0,0,MAX(0,IF((AO$6-$E$3)&lt;1,0,IFERROR(LOOKUP(2,1/(Amendoim!$E10:INDEX(Amendoim!$E10:$Z10,MIN(AO$6-$E$3,22))&lt;&gt;""),Amendoim!$E10:INDEX(Amendoim!$E10:$Z10,MIN(AO$6-$E$3,22))),0))-IF($G$2,0,IF((AO$6-$G$3)&lt;1,0,IFERROR(LOOKUP(2,1/(Amendoim!$E10:INDEX(Amendoim!$E10:$Z10,MIN(AO$6-$G$3,22))&lt;&gt;""),Amendoim!$E10:INDEX(Amendoim!$E10:$Z10,MIN(AO$6-$G$3,22))),0)))))</f>
        <v>0</v>
      </c>
      <c r="AP12" s="27" t="n">
        <f aca="false">IF(COUNT(Amendoim!$E10:$Z10)=0,0,MAX(0,IF((AP$6-$E$3)&lt;1,0,IFERROR(LOOKUP(2,1/(Amendoim!$E10:INDEX(Amendoim!$E10:$Z10,MIN(AP$6-$E$3,22))&lt;&gt;""),Amendoim!$E10:INDEX(Amendoim!$E10:$Z10,MIN(AP$6-$E$3,22))),0))-IF($G$2,0,IF((AP$6-$G$3)&lt;1,0,IFERROR(LOOKUP(2,1/(Amendoim!$E10:INDEX(Amendoim!$E10:$Z10,MIN(AP$6-$G$3,22))&lt;&gt;""),Amendoim!$E10:INDEX(Amendoim!$E10:$Z10,MIN(AP$6-$G$3,22))),0)))))</f>
        <v>0</v>
      </c>
      <c r="AQ12" s="27" t="n">
        <f aca="false">IF(COUNT(Amendoim!$E10:$Z10)=0,0,MAX(0,IF((AQ$6-$E$3)&lt;1,0,IFERROR(LOOKUP(2,1/(Amendoim!$E10:INDEX(Amendoim!$E10:$Z10,MIN(AQ$6-$E$3,22))&lt;&gt;""),Amendoim!$E10:INDEX(Amendoim!$E10:$Z10,MIN(AQ$6-$E$3,22))),0))-IF($G$2,0,IF((AQ$6-$G$3)&lt;1,0,IFERROR(LOOKUP(2,1/(Amendoim!$E10:INDEX(Amendoim!$E10:$Z10,MIN(AQ$6-$G$3,22))&lt;&gt;""),Amendoim!$E10:INDEX(Amendoim!$E10:$Z10,MIN(AQ$6-$G$3,22))),0)))))</f>
        <v>0</v>
      </c>
      <c r="AR12" s="27" t="n">
        <f aca="false">IF(COUNT(Amendoim!$E10:$Z10)=0,0,MAX(0,IF((AR$6-$E$3)&lt;1,0,IFERROR(LOOKUP(2,1/(Amendoim!$E10:INDEX(Amendoim!$E10:$Z10,MIN(AR$6-$E$3,22))&lt;&gt;""),Amendoim!$E10:INDEX(Amendoim!$E10:$Z10,MIN(AR$6-$E$3,22))),0))-IF($G$2,0,IF((AR$6-$G$3)&lt;1,0,IFERROR(LOOKUP(2,1/(Amendoim!$E10:INDEX(Amendoim!$E10:$Z10,MIN(AR$6-$G$3,22))&lt;&gt;""),Amendoim!$E10:INDEX(Amendoim!$E10:$Z10,MIN(AR$6-$G$3,22))),0)))))</f>
        <v>0</v>
      </c>
      <c r="AS12" s="27" t="n">
        <f aca="false">IF(COUNT(Amendoim!$E10:$Z10)=0,0,MAX(0,IF((AS$6-$E$3)&lt;1,0,IFERROR(LOOKUP(2,1/(Amendoim!$E10:INDEX(Amendoim!$E10:$Z10,MIN(AS$6-$E$3,22))&lt;&gt;""),Amendoim!$E10:INDEX(Amendoim!$E10:$Z10,MIN(AS$6-$E$3,22))),0))-IF($G$2,0,IF((AS$6-$G$3)&lt;1,0,IFERROR(LOOKUP(2,1/(Amendoim!$E10:INDEX(Amendoim!$E10:$Z10,MIN(AS$6-$G$3,22))&lt;&gt;""),Amendoim!$E10:INDEX(Amendoim!$E10:$Z10,MIN(AS$6-$G$3,22))),0)))))</f>
        <v>0</v>
      </c>
      <c r="AT12" s="27" t="n">
        <f aca="false">IF(COUNT(Amendoim!$E10:$Z10)=0,0,MAX(0,IF((AT$6-$E$3)&lt;1,0,IFERROR(LOOKUP(2,1/(Amendoim!$E10:INDEX(Amendoim!$E10:$Z10,MIN(AT$6-$E$3,22))&lt;&gt;""),Amendoim!$E10:INDEX(Amendoim!$E10:$Z10,MIN(AT$6-$E$3,22))),0))-IF($G$2,0,IF((AT$6-$G$3)&lt;1,0,IFERROR(LOOKUP(2,1/(Amendoim!$E10:INDEX(Amendoim!$E10:$Z10,MIN(AT$6-$G$3,22))&lt;&gt;""),Amendoim!$E10:INDEX(Amendoim!$E10:$Z10,MIN(AT$6-$G$3,22))),0)))))</f>
        <v>0</v>
      </c>
      <c r="AU12" s="27" t="n">
        <f aca="false">IF(COUNT(Amendoim!$E10:$Z10)=0,0,MAX(0,IF((AU$6-$E$3)&lt;1,0,IFERROR(LOOKUP(2,1/(Amendoim!$E10:INDEX(Amendoim!$E10:$Z10,MIN(AU$6-$E$3,22))&lt;&gt;""),Amendoim!$E10:INDEX(Amendoim!$E10:$Z10,MIN(AU$6-$E$3,22))),0))-IF($G$2,0,IF((AU$6-$G$3)&lt;1,0,IFERROR(LOOKUP(2,1/(Amendoim!$E10:INDEX(Amendoim!$E10:$Z10,MIN(AU$6-$G$3,22))&lt;&gt;""),Amendoim!$E10:INDEX(Amendoim!$E10:$Z10,MIN(AU$6-$G$3,22))),0)))))</f>
        <v>0</v>
      </c>
      <c r="AV12" s="27" t="n">
        <f aca="false">IF(COUNT(Amendoim!$E10:$Z10)=0,0,MAX(0,IF((AV$6-$E$3)&lt;1,0,IFERROR(LOOKUP(2,1/(Amendoim!$E10:INDEX(Amendoim!$E10:$Z10,MIN(AV$6-$E$3,22))&lt;&gt;""),Amendoim!$E10:INDEX(Amendoim!$E10:$Z10,MIN(AV$6-$E$3,22))),0))-IF($G$2,0,IF((AV$6-$G$3)&lt;1,0,IFERROR(LOOKUP(2,1/(Amendoim!$E10:INDEX(Amendoim!$E10:$Z10,MIN(AV$6-$G$3,22))&lt;&gt;""),Amendoim!$E10:INDEX(Amendoim!$E10:$Z10,MIN(AV$6-$G$3,22))),0)))))</f>
        <v>0</v>
      </c>
      <c r="AW12" s="27" t="n">
        <f aca="false">IF(COUNT(Amendoim!$E10:$Z10)=0,0,MAX(0,IF((AW$6-$E$3)&lt;1,0,IFERROR(LOOKUP(2,1/(Amendoim!$E10:INDEX(Amendoim!$E10:$Z10,MIN(AW$6-$E$3,22))&lt;&gt;""),Amendoim!$E10:INDEX(Amendoim!$E10:$Z10,MIN(AW$6-$E$3,22))),0))-IF($G$2,0,IF((AW$6-$G$3)&lt;1,0,IFERROR(LOOKUP(2,1/(Amendoim!$E10:INDEX(Amendoim!$E10:$Z10,MIN(AW$6-$G$3,22))&lt;&gt;""),Amendoim!$E10:INDEX(Amendoim!$E10:$Z10,MIN(AW$6-$G$3,22))),0)))))</f>
        <v>0</v>
      </c>
      <c r="AX12" s="27" t="n">
        <f aca="false">IF(COUNT(Amendoim!$E10:$Z10)=0,0,MAX(0,IF((AX$6-$E$3)&lt;1,0,IFERROR(LOOKUP(2,1/(Amendoim!$E10:INDEX(Amendoim!$E10:$Z10,MIN(AX$6-$E$3,22))&lt;&gt;""),Amendoim!$E10:INDEX(Amendoim!$E10:$Z10,MIN(AX$6-$E$3,22))),0))-IF($G$2,0,IF((AX$6-$G$3)&lt;1,0,IFERROR(LOOKUP(2,1/(Amendoim!$E10:INDEX(Amendoim!$E10:$Z10,MIN(AX$6-$G$3,22))&lt;&gt;""),Amendoim!$E10:INDEX(Amendoim!$E10:$Z10,MIN(AX$6-$G$3,22))),0)))))</f>
        <v>0</v>
      </c>
      <c r="AY12" s="27" t="n">
        <f aca="false">IF(COUNT(Amendoim!$E10:$Z10)=0,0,MAX(0,IF((AY$6-$E$3)&lt;1,0,IFERROR(LOOKUP(2,1/(Amendoim!$E10:INDEX(Amendoim!$E10:$Z10,MIN(AY$6-$E$3,22))&lt;&gt;""),Amendoim!$E10:INDEX(Amendoim!$E10:$Z10,MIN(AY$6-$E$3,22))),0))-IF($G$2,0,IF((AY$6-$G$3)&lt;1,0,IFERROR(LOOKUP(2,1/(Amendoim!$E10:INDEX(Amendoim!$E10:$Z10,MIN(AY$6-$G$3,22))&lt;&gt;""),Amendoim!$E10:INDEX(Amendoim!$E10:$Z10,MIN(AY$6-$G$3,22))),0)))))</f>
        <v>0</v>
      </c>
      <c r="AZ12" s="27" t="n">
        <f aca="false">IF(COUNT(Amendoim!$E10:$Z10)=0,0,MAX(0,IF((AZ$6-$E$3)&lt;1,0,IFERROR(LOOKUP(2,1/(Amendoim!$E10:INDEX(Amendoim!$E10:$Z10,MIN(AZ$6-$E$3,22))&lt;&gt;""),Amendoim!$E10:INDEX(Amendoim!$E10:$Z10,MIN(AZ$6-$E$3,22))),0))-IF($G$2,0,IF((AZ$6-$G$3)&lt;1,0,IFERROR(LOOKUP(2,1/(Amendoim!$E10:INDEX(Amendoim!$E10:$Z10,MIN(AZ$6-$G$3,22))&lt;&gt;""),Amendoim!$E10:INDEX(Amendoim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IF(COUNT(Amendoim!$E11:$Z11)&gt;0,N(Amendoim!$D11),0)</f>
        <v>0</v>
      </c>
      <c r="E13" s="27" t="n">
        <f aca="false">IF(COUNT(Amendoim!$E11:$Z11)=0,0,MAX(0,IF((E$6-$E$3)&lt;1,0,IFERROR(LOOKUP(2,1/(Amendoim!$E11:INDEX(Amendoim!$E11:$Z11,MIN(E$6-$E$3,22))&lt;&gt;""),Amendoim!$E11:INDEX(Amendoim!$E11:$Z11,MIN(E$6-$E$3,22))),0))-IF($G$2,0,IF((E$6-$G$3)&lt;1,0,IFERROR(LOOKUP(2,1/(Amendoim!$E11:INDEX(Amendoim!$E11:$Z11,MIN(E$6-$G$3,22))&lt;&gt;""),Amendoim!$E11:INDEX(Amendoim!$E11:$Z11,MIN(E$6-$G$3,22))),0)))))</f>
        <v>0</v>
      </c>
      <c r="F13" s="27" t="n">
        <f aca="false">IF(COUNT(Amendoim!$E11:$Z11)=0,0,MAX(0,IF((F$6-$E$3)&lt;1,0,IFERROR(LOOKUP(2,1/(Amendoim!$E11:INDEX(Amendoim!$E11:$Z11,MIN(F$6-$E$3,22))&lt;&gt;""),Amendoim!$E11:INDEX(Amendoim!$E11:$Z11,MIN(F$6-$E$3,22))),0))-IF($G$2,0,IF((F$6-$G$3)&lt;1,0,IFERROR(LOOKUP(2,1/(Amendoim!$E11:INDEX(Amendoim!$E11:$Z11,MIN(F$6-$G$3,22))&lt;&gt;""),Amendoim!$E11:INDEX(Amendoim!$E11:$Z11,MIN(F$6-$G$3,22))),0)))))</f>
        <v>0</v>
      </c>
      <c r="G13" s="27" t="n">
        <f aca="false">IF(COUNT(Amendoim!$E11:$Z11)=0,0,MAX(0,IF((G$6-$E$3)&lt;1,0,IFERROR(LOOKUP(2,1/(Amendoim!$E11:INDEX(Amendoim!$E11:$Z11,MIN(G$6-$E$3,22))&lt;&gt;""),Amendoim!$E11:INDEX(Amendoim!$E11:$Z11,MIN(G$6-$E$3,22))),0))-IF($G$2,0,IF((G$6-$G$3)&lt;1,0,IFERROR(LOOKUP(2,1/(Amendoim!$E11:INDEX(Amendoim!$E11:$Z11,MIN(G$6-$G$3,22))&lt;&gt;""),Amendoim!$E11:INDEX(Amendoim!$E11:$Z11,MIN(G$6-$G$3,22))),0)))))</f>
        <v>0</v>
      </c>
      <c r="H13" s="27" t="n">
        <f aca="false">IF(COUNT(Amendoim!$E11:$Z11)=0,0,MAX(0,IF((H$6-$E$3)&lt;1,0,IFERROR(LOOKUP(2,1/(Amendoim!$E11:INDEX(Amendoim!$E11:$Z11,MIN(H$6-$E$3,22))&lt;&gt;""),Amendoim!$E11:INDEX(Amendoim!$E11:$Z11,MIN(H$6-$E$3,22))),0))-IF($G$2,0,IF((H$6-$G$3)&lt;1,0,IFERROR(LOOKUP(2,1/(Amendoim!$E11:INDEX(Amendoim!$E11:$Z11,MIN(H$6-$G$3,22))&lt;&gt;""),Amendoim!$E11:INDEX(Amendoim!$E11:$Z11,MIN(H$6-$G$3,22))),0)))))</f>
        <v>0</v>
      </c>
      <c r="I13" s="27" t="n">
        <f aca="false">IF(COUNT(Amendoim!$E11:$Z11)=0,0,MAX(0,IF((I$6-$E$3)&lt;1,0,IFERROR(LOOKUP(2,1/(Amendoim!$E11:INDEX(Amendoim!$E11:$Z11,MIN(I$6-$E$3,22))&lt;&gt;""),Amendoim!$E11:INDEX(Amendoim!$E11:$Z11,MIN(I$6-$E$3,22))),0))-IF($G$2,0,IF((I$6-$G$3)&lt;1,0,IFERROR(LOOKUP(2,1/(Amendoim!$E11:INDEX(Amendoim!$E11:$Z11,MIN(I$6-$G$3,22))&lt;&gt;""),Amendoim!$E11:INDEX(Amendoim!$E11:$Z11,MIN(I$6-$G$3,22))),0)))))</f>
        <v>0</v>
      </c>
      <c r="J13" s="27" t="n">
        <f aca="false">IF(COUNT(Amendoim!$E11:$Z11)=0,0,MAX(0,IF((J$6-$E$3)&lt;1,0,IFERROR(LOOKUP(2,1/(Amendoim!$E11:INDEX(Amendoim!$E11:$Z11,MIN(J$6-$E$3,22))&lt;&gt;""),Amendoim!$E11:INDEX(Amendoim!$E11:$Z11,MIN(J$6-$E$3,22))),0))-IF($G$2,0,IF((J$6-$G$3)&lt;1,0,IFERROR(LOOKUP(2,1/(Amendoim!$E11:INDEX(Amendoim!$E11:$Z11,MIN(J$6-$G$3,22))&lt;&gt;""),Amendoim!$E11:INDEX(Amendoim!$E11:$Z11,MIN(J$6-$G$3,22))),0)))))</f>
        <v>0</v>
      </c>
      <c r="K13" s="27" t="n">
        <f aca="false">IF(COUNT(Amendoim!$E11:$Z11)=0,0,MAX(0,IF((K$6-$E$3)&lt;1,0,IFERROR(LOOKUP(2,1/(Amendoim!$E11:INDEX(Amendoim!$E11:$Z11,MIN(K$6-$E$3,22))&lt;&gt;""),Amendoim!$E11:INDEX(Amendoim!$E11:$Z11,MIN(K$6-$E$3,22))),0))-IF($G$2,0,IF((K$6-$G$3)&lt;1,0,IFERROR(LOOKUP(2,1/(Amendoim!$E11:INDEX(Amendoim!$E11:$Z11,MIN(K$6-$G$3,22))&lt;&gt;""),Amendoim!$E11:INDEX(Amendoim!$E11:$Z11,MIN(K$6-$G$3,22))),0)))))</f>
        <v>0</v>
      </c>
      <c r="L13" s="27" t="n">
        <f aca="false">IF(COUNT(Amendoim!$E11:$Z11)=0,0,MAX(0,IF((L$6-$E$3)&lt;1,0,IFERROR(LOOKUP(2,1/(Amendoim!$E11:INDEX(Amendoim!$E11:$Z11,MIN(L$6-$E$3,22))&lt;&gt;""),Amendoim!$E11:INDEX(Amendoim!$E11:$Z11,MIN(L$6-$E$3,22))),0))-IF($G$2,0,IF((L$6-$G$3)&lt;1,0,IFERROR(LOOKUP(2,1/(Amendoim!$E11:INDEX(Amendoim!$E11:$Z11,MIN(L$6-$G$3,22))&lt;&gt;""),Amendoim!$E11:INDEX(Amendoim!$E11:$Z11,MIN(L$6-$G$3,22))),0)))))</f>
        <v>0</v>
      </c>
      <c r="M13" s="27" t="n">
        <f aca="false">IF(COUNT(Amendoim!$E11:$Z11)=0,0,MAX(0,IF((M$6-$E$3)&lt;1,0,IFERROR(LOOKUP(2,1/(Amendoim!$E11:INDEX(Amendoim!$E11:$Z11,MIN(M$6-$E$3,22))&lt;&gt;""),Amendoim!$E11:INDEX(Amendoim!$E11:$Z11,MIN(M$6-$E$3,22))),0))-IF($G$2,0,IF((M$6-$G$3)&lt;1,0,IFERROR(LOOKUP(2,1/(Amendoim!$E11:INDEX(Amendoim!$E11:$Z11,MIN(M$6-$G$3,22))&lt;&gt;""),Amendoim!$E11:INDEX(Amendoim!$E11:$Z11,MIN(M$6-$G$3,22))),0)))))</f>
        <v>0</v>
      </c>
      <c r="N13" s="27" t="n">
        <f aca="false">IF(COUNT(Amendoim!$E11:$Z11)=0,0,MAX(0,IF((N$6-$E$3)&lt;1,0,IFERROR(LOOKUP(2,1/(Amendoim!$E11:INDEX(Amendoim!$E11:$Z11,MIN(N$6-$E$3,22))&lt;&gt;""),Amendoim!$E11:INDEX(Amendoim!$E11:$Z11,MIN(N$6-$E$3,22))),0))-IF($G$2,0,IF((N$6-$G$3)&lt;1,0,IFERROR(LOOKUP(2,1/(Amendoim!$E11:INDEX(Amendoim!$E11:$Z11,MIN(N$6-$G$3,22))&lt;&gt;""),Amendoim!$E11:INDEX(Amendoim!$E11:$Z11,MIN(N$6-$G$3,22))),0)))))</f>
        <v>0</v>
      </c>
      <c r="O13" s="27" t="n">
        <f aca="false">IF(COUNT(Amendoim!$E11:$Z11)=0,0,MAX(0,IF((O$6-$E$3)&lt;1,0,IFERROR(LOOKUP(2,1/(Amendoim!$E11:INDEX(Amendoim!$E11:$Z11,MIN(O$6-$E$3,22))&lt;&gt;""),Amendoim!$E11:INDEX(Amendoim!$E11:$Z11,MIN(O$6-$E$3,22))),0))-IF($G$2,0,IF((O$6-$G$3)&lt;1,0,IFERROR(LOOKUP(2,1/(Amendoim!$E11:INDEX(Amendoim!$E11:$Z11,MIN(O$6-$G$3,22))&lt;&gt;""),Amendoim!$E11:INDEX(Amendoim!$E11:$Z11,MIN(O$6-$G$3,22))),0)))))</f>
        <v>0</v>
      </c>
      <c r="P13" s="27" t="n">
        <f aca="false">IF(COUNT(Amendoim!$E11:$Z11)=0,0,MAX(0,IF((P$6-$E$3)&lt;1,0,IFERROR(LOOKUP(2,1/(Amendoim!$E11:INDEX(Amendoim!$E11:$Z11,MIN(P$6-$E$3,22))&lt;&gt;""),Amendoim!$E11:INDEX(Amendoim!$E11:$Z11,MIN(P$6-$E$3,22))),0))-IF($G$2,0,IF((P$6-$G$3)&lt;1,0,IFERROR(LOOKUP(2,1/(Amendoim!$E11:INDEX(Amendoim!$E11:$Z11,MIN(P$6-$G$3,22))&lt;&gt;""),Amendoim!$E11:INDEX(Amendoim!$E11:$Z11,MIN(P$6-$G$3,22))),0)))))</f>
        <v>0</v>
      </c>
      <c r="Q13" s="27" t="n">
        <f aca="false">IF(COUNT(Amendoim!$E11:$Z11)=0,0,MAX(0,IF((Q$6-$E$3)&lt;1,0,IFERROR(LOOKUP(2,1/(Amendoim!$E11:INDEX(Amendoim!$E11:$Z11,MIN(Q$6-$E$3,22))&lt;&gt;""),Amendoim!$E11:INDEX(Amendoim!$E11:$Z11,MIN(Q$6-$E$3,22))),0))-IF($G$2,0,IF((Q$6-$G$3)&lt;1,0,IFERROR(LOOKUP(2,1/(Amendoim!$E11:INDEX(Amendoim!$E11:$Z11,MIN(Q$6-$G$3,22))&lt;&gt;""),Amendoim!$E11:INDEX(Amendoim!$E11:$Z11,MIN(Q$6-$G$3,22))),0)))))</f>
        <v>0</v>
      </c>
      <c r="R13" s="27" t="n">
        <f aca="false">IF(COUNT(Amendoim!$E11:$Z11)=0,0,MAX(0,IF((R$6-$E$3)&lt;1,0,IFERROR(LOOKUP(2,1/(Amendoim!$E11:INDEX(Amendoim!$E11:$Z11,MIN(R$6-$E$3,22))&lt;&gt;""),Amendoim!$E11:INDEX(Amendoim!$E11:$Z11,MIN(R$6-$E$3,22))),0))-IF($G$2,0,IF((R$6-$G$3)&lt;1,0,IFERROR(LOOKUP(2,1/(Amendoim!$E11:INDEX(Amendoim!$E11:$Z11,MIN(R$6-$G$3,22))&lt;&gt;""),Amendoim!$E11:INDEX(Amendoim!$E11:$Z11,MIN(R$6-$G$3,22))),0)))))</f>
        <v>0</v>
      </c>
      <c r="S13" s="27" t="n">
        <f aca="false">IF(COUNT(Amendoim!$E11:$Z11)=0,0,MAX(0,IF((S$6-$E$3)&lt;1,0,IFERROR(LOOKUP(2,1/(Amendoim!$E11:INDEX(Amendoim!$E11:$Z11,MIN(S$6-$E$3,22))&lt;&gt;""),Amendoim!$E11:INDEX(Amendoim!$E11:$Z11,MIN(S$6-$E$3,22))),0))-IF($G$2,0,IF((S$6-$G$3)&lt;1,0,IFERROR(LOOKUP(2,1/(Amendoim!$E11:INDEX(Amendoim!$E11:$Z11,MIN(S$6-$G$3,22))&lt;&gt;""),Amendoim!$E11:INDEX(Amendoim!$E11:$Z11,MIN(S$6-$G$3,22))),0)))))</f>
        <v>0</v>
      </c>
      <c r="T13" s="27" t="n">
        <f aca="false">IF(COUNT(Amendoim!$E11:$Z11)=0,0,MAX(0,IF((T$6-$E$3)&lt;1,0,IFERROR(LOOKUP(2,1/(Amendoim!$E11:INDEX(Amendoim!$E11:$Z11,MIN(T$6-$E$3,22))&lt;&gt;""),Amendoim!$E11:INDEX(Amendoim!$E11:$Z11,MIN(T$6-$E$3,22))),0))-IF($G$2,0,IF((T$6-$G$3)&lt;1,0,IFERROR(LOOKUP(2,1/(Amendoim!$E11:INDEX(Amendoim!$E11:$Z11,MIN(T$6-$G$3,22))&lt;&gt;""),Amendoim!$E11:INDEX(Amendoim!$E11:$Z11,MIN(T$6-$G$3,22))),0)))))</f>
        <v>0</v>
      </c>
      <c r="U13" s="27" t="n">
        <f aca="false">IF(COUNT(Amendoim!$E11:$Z11)=0,0,MAX(0,IF((U$6-$E$3)&lt;1,0,IFERROR(LOOKUP(2,1/(Amendoim!$E11:INDEX(Amendoim!$E11:$Z11,MIN(U$6-$E$3,22))&lt;&gt;""),Amendoim!$E11:INDEX(Amendoim!$E11:$Z11,MIN(U$6-$E$3,22))),0))-IF($G$2,0,IF((U$6-$G$3)&lt;1,0,IFERROR(LOOKUP(2,1/(Amendoim!$E11:INDEX(Amendoim!$E11:$Z11,MIN(U$6-$G$3,22))&lt;&gt;""),Amendoim!$E11:INDEX(Amendoim!$E11:$Z11,MIN(U$6-$G$3,22))),0)))))</f>
        <v>0</v>
      </c>
      <c r="V13" s="27" t="n">
        <f aca="false">IF(COUNT(Amendoim!$E11:$Z11)=0,0,MAX(0,IF((V$6-$E$3)&lt;1,0,IFERROR(LOOKUP(2,1/(Amendoim!$E11:INDEX(Amendoim!$E11:$Z11,MIN(V$6-$E$3,22))&lt;&gt;""),Amendoim!$E11:INDEX(Amendoim!$E11:$Z11,MIN(V$6-$E$3,22))),0))-IF($G$2,0,IF((V$6-$G$3)&lt;1,0,IFERROR(LOOKUP(2,1/(Amendoim!$E11:INDEX(Amendoim!$E11:$Z11,MIN(V$6-$G$3,22))&lt;&gt;""),Amendoim!$E11:INDEX(Amendoim!$E11:$Z11,MIN(V$6-$G$3,22))),0)))))</f>
        <v>0</v>
      </c>
      <c r="W13" s="27" t="n">
        <f aca="false">IF(COUNT(Amendoim!$E11:$Z11)=0,0,MAX(0,IF((W$6-$E$3)&lt;1,0,IFERROR(LOOKUP(2,1/(Amendoim!$E11:INDEX(Amendoim!$E11:$Z11,MIN(W$6-$E$3,22))&lt;&gt;""),Amendoim!$E11:INDEX(Amendoim!$E11:$Z11,MIN(W$6-$E$3,22))),0))-IF($G$2,0,IF((W$6-$G$3)&lt;1,0,IFERROR(LOOKUP(2,1/(Amendoim!$E11:INDEX(Amendoim!$E11:$Z11,MIN(W$6-$G$3,22))&lt;&gt;""),Amendoim!$E11:INDEX(Amendoim!$E11:$Z11,MIN(W$6-$G$3,22))),0)))))</f>
        <v>0</v>
      </c>
      <c r="X13" s="27" t="n">
        <f aca="false">IF(COUNT(Amendoim!$E11:$Z11)=0,0,MAX(0,IF((X$6-$E$3)&lt;1,0,IFERROR(LOOKUP(2,1/(Amendoim!$E11:INDEX(Amendoim!$E11:$Z11,MIN(X$6-$E$3,22))&lt;&gt;""),Amendoim!$E11:INDEX(Amendoim!$E11:$Z11,MIN(X$6-$E$3,22))),0))-IF($G$2,0,IF((X$6-$G$3)&lt;1,0,IFERROR(LOOKUP(2,1/(Amendoim!$E11:INDEX(Amendoim!$E11:$Z11,MIN(X$6-$G$3,22))&lt;&gt;""),Amendoim!$E11:INDEX(Amendoim!$E11:$Z11,MIN(X$6-$G$3,22))),0)))))</f>
        <v>0</v>
      </c>
      <c r="Y13" s="27" t="n">
        <f aca="false">IF(COUNT(Amendoim!$E11:$Z11)=0,0,MAX(0,IF((Y$6-$E$3)&lt;1,0,IFERROR(LOOKUP(2,1/(Amendoim!$E11:INDEX(Amendoim!$E11:$Z11,MIN(Y$6-$E$3,22))&lt;&gt;""),Amendoim!$E11:INDEX(Amendoim!$E11:$Z11,MIN(Y$6-$E$3,22))),0))-IF($G$2,0,IF((Y$6-$G$3)&lt;1,0,IFERROR(LOOKUP(2,1/(Amendoim!$E11:INDEX(Amendoim!$E11:$Z11,MIN(Y$6-$G$3,22))&lt;&gt;""),Amendoim!$E11:INDEX(Amendoim!$E11:$Z11,MIN(Y$6-$G$3,22))),0)))))</f>
        <v>0</v>
      </c>
      <c r="Z13" s="27" t="n">
        <f aca="false">IF(COUNT(Amendoim!$E11:$Z11)=0,0,MAX(0,IF((Z$6-$E$3)&lt;1,0,IFERROR(LOOKUP(2,1/(Amendoim!$E11:INDEX(Amendoim!$E11:$Z11,MIN(Z$6-$E$3,22))&lt;&gt;""),Amendoim!$E11:INDEX(Amendoim!$E11:$Z11,MIN(Z$6-$E$3,22))),0))-IF($G$2,0,IF((Z$6-$G$3)&lt;1,0,IFERROR(LOOKUP(2,1/(Amendoim!$E11:INDEX(Amendoim!$E11:$Z11,MIN(Z$6-$G$3,22))&lt;&gt;""),Amendoim!$E11:INDEX(Amendoim!$E11:$Z11,MIN(Z$6-$G$3,22))),0)))))</f>
        <v>0</v>
      </c>
      <c r="AA13" s="27" t="n">
        <f aca="false">IF(COUNT(Amendoim!$E11:$Z11)=0,0,MAX(0,IF((AA$6-$E$3)&lt;1,0,IFERROR(LOOKUP(2,1/(Amendoim!$E11:INDEX(Amendoim!$E11:$Z11,MIN(AA$6-$E$3,22))&lt;&gt;""),Amendoim!$E11:INDEX(Amendoim!$E11:$Z11,MIN(AA$6-$E$3,22))),0))-IF($G$2,0,IF((AA$6-$G$3)&lt;1,0,IFERROR(LOOKUP(2,1/(Amendoim!$E11:INDEX(Amendoim!$E11:$Z11,MIN(AA$6-$G$3,22))&lt;&gt;""),Amendoim!$E11:INDEX(Amendoim!$E11:$Z11,MIN(AA$6-$G$3,22))),0)))))</f>
        <v>0</v>
      </c>
      <c r="AB13" s="27" t="n">
        <f aca="false">IF(COUNT(Amendoim!$E11:$Z11)=0,0,MAX(0,IF((AB$6-$E$3)&lt;1,0,IFERROR(LOOKUP(2,1/(Amendoim!$E11:INDEX(Amendoim!$E11:$Z11,MIN(AB$6-$E$3,22))&lt;&gt;""),Amendoim!$E11:INDEX(Amendoim!$E11:$Z11,MIN(AB$6-$E$3,22))),0))-IF($G$2,0,IF((AB$6-$G$3)&lt;1,0,IFERROR(LOOKUP(2,1/(Amendoim!$E11:INDEX(Amendoim!$E11:$Z11,MIN(AB$6-$G$3,22))&lt;&gt;""),Amendoim!$E11:INDEX(Amendoim!$E11:$Z11,MIN(AB$6-$G$3,22))),0)))))</f>
        <v>0</v>
      </c>
      <c r="AC13" s="27" t="n">
        <f aca="false">IF(COUNT(Amendoim!$E11:$Z11)=0,0,MAX(0,IF((AC$6-$E$3)&lt;1,0,IFERROR(LOOKUP(2,1/(Amendoim!$E11:INDEX(Amendoim!$E11:$Z11,MIN(AC$6-$E$3,22))&lt;&gt;""),Amendoim!$E11:INDEX(Amendoim!$E11:$Z11,MIN(AC$6-$E$3,22))),0))-IF($G$2,0,IF((AC$6-$G$3)&lt;1,0,IFERROR(LOOKUP(2,1/(Amendoim!$E11:INDEX(Amendoim!$E11:$Z11,MIN(AC$6-$G$3,22))&lt;&gt;""),Amendoim!$E11:INDEX(Amendoim!$E11:$Z11,MIN(AC$6-$G$3,22))),0)))))</f>
        <v>0</v>
      </c>
      <c r="AD13" s="27" t="n">
        <f aca="false">IF(COUNT(Amendoim!$E11:$Z11)=0,0,MAX(0,IF((AD$6-$E$3)&lt;1,0,IFERROR(LOOKUP(2,1/(Amendoim!$E11:INDEX(Amendoim!$E11:$Z11,MIN(AD$6-$E$3,22))&lt;&gt;""),Amendoim!$E11:INDEX(Amendoim!$E11:$Z11,MIN(AD$6-$E$3,22))),0))-IF($G$2,0,IF((AD$6-$G$3)&lt;1,0,IFERROR(LOOKUP(2,1/(Amendoim!$E11:INDEX(Amendoim!$E11:$Z11,MIN(AD$6-$G$3,22))&lt;&gt;""),Amendoim!$E11:INDEX(Amendoim!$E11:$Z11,MIN(AD$6-$G$3,22))),0)))))</f>
        <v>0</v>
      </c>
      <c r="AE13" s="27" t="n">
        <f aca="false">IF(COUNT(Amendoim!$E11:$Z11)=0,0,MAX(0,IF((AE$6-$E$3)&lt;1,0,IFERROR(LOOKUP(2,1/(Amendoim!$E11:INDEX(Amendoim!$E11:$Z11,MIN(AE$6-$E$3,22))&lt;&gt;""),Amendoim!$E11:INDEX(Amendoim!$E11:$Z11,MIN(AE$6-$E$3,22))),0))-IF($G$2,0,IF((AE$6-$G$3)&lt;1,0,IFERROR(LOOKUP(2,1/(Amendoim!$E11:INDEX(Amendoim!$E11:$Z11,MIN(AE$6-$G$3,22))&lt;&gt;""),Amendoim!$E11:INDEX(Amendoim!$E11:$Z11,MIN(AE$6-$G$3,22))),0)))))</f>
        <v>0</v>
      </c>
      <c r="AF13" s="27" t="n">
        <f aca="false">IF(COUNT(Amendoim!$E11:$Z11)=0,0,MAX(0,IF((AF$6-$E$3)&lt;1,0,IFERROR(LOOKUP(2,1/(Amendoim!$E11:INDEX(Amendoim!$E11:$Z11,MIN(AF$6-$E$3,22))&lt;&gt;""),Amendoim!$E11:INDEX(Amendoim!$E11:$Z11,MIN(AF$6-$E$3,22))),0))-IF($G$2,0,IF((AF$6-$G$3)&lt;1,0,IFERROR(LOOKUP(2,1/(Amendoim!$E11:INDEX(Amendoim!$E11:$Z11,MIN(AF$6-$G$3,22))&lt;&gt;""),Amendoim!$E11:INDEX(Amendoim!$E11:$Z11,MIN(AF$6-$G$3,22))),0)))))</f>
        <v>0</v>
      </c>
      <c r="AG13" s="27" t="n">
        <f aca="false">IF(COUNT(Amendoim!$E11:$Z11)=0,0,MAX(0,IF((AG$6-$E$3)&lt;1,0,IFERROR(LOOKUP(2,1/(Amendoim!$E11:INDEX(Amendoim!$E11:$Z11,MIN(AG$6-$E$3,22))&lt;&gt;""),Amendoim!$E11:INDEX(Amendoim!$E11:$Z11,MIN(AG$6-$E$3,22))),0))-IF($G$2,0,IF((AG$6-$G$3)&lt;1,0,IFERROR(LOOKUP(2,1/(Amendoim!$E11:INDEX(Amendoim!$E11:$Z11,MIN(AG$6-$G$3,22))&lt;&gt;""),Amendoim!$E11:INDEX(Amendoim!$E11:$Z11,MIN(AG$6-$G$3,22))),0)))))</f>
        <v>0</v>
      </c>
      <c r="AH13" s="27" t="n">
        <f aca="false">IF(COUNT(Amendoim!$E11:$Z11)=0,0,MAX(0,IF((AH$6-$E$3)&lt;1,0,IFERROR(LOOKUP(2,1/(Amendoim!$E11:INDEX(Amendoim!$E11:$Z11,MIN(AH$6-$E$3,22))&lt;&gt;""),Amendoim!$E11:INDEX(Amendoim!$E11:$Z11,MIN(AH$6-$E$3,22))),0))-IF($G$2,0,IF((AH$6-$G$3)&lt;1,0,IFERROR(LOOKUP(2,1/(Amendoim!$E11:INDEX(Amendoim!$E11:$Z11,MIN(AH$6-$G$3,22))&lt;&gt;""),Amendoim!$E11:INDEX(Amendoim!$E11:$Z11,MIN(AH$6-$G$3,22))),0)))))</f>
        <v>0</v>
      </c>
      <c r="AI13" s="27" t="n">
        <f aca="false">IF(COUNT(Amendoim!$E11:$Z11)=0,0,MAX(0,IF((AI$6-$E$3)&lt;1,0,IFERROR(LOOKUP(2,1/(Amendoim!$E11:INDEX(Amendoim!$E11:$Z11,MIN(AI$6-$E$3,22))&lt;&gt;""),Amendoim!$E11:INDEX(Amendoim!$E11:$Z11,MIN(AI$6-$E$3,22))),0))-IF($G$2,0,IF((AI$6-$G$3)&lt;1,0,IFERROR(LOOKUP(2,1/(Amendoim!$E11:INDEX(Amendoim!$E11:$Z11,MIN(AI$6-$G$3,22))&lt;&gt;""),Amendoim!$E11:INDEX(Amendoim!$E11:$Z11,MIN(AI$6-$G$3,22))),0)))))</f>
        <v>0</v>
      </c>
      <c r="AJ13" s="27" t="n">
        <f aca="false">IF(COUNT(Amendoim!$E11:$Z11)=0,0,MAX(0,IF((AJ$6-$E$3)&lt;1,0,IFERROR(LOOKUP(2,1/(Amendoim!$E11:INDEX(Amendoim!$E11:$Z11,MIN(AJ$6-$E$3,22))&lt;&gt;""),Amendoim!$E11:INDEX(Amendoim!$E11:$Z11,MIN(AJ$6-$E$3,22))),0))-IF($G$2,0,IF((AJ$6-$G$3)&lt;1,0,IFERROR(LOOKUP(2,1/(Amendoim!$E11:INDEX(Amendoim!$E11:$Z11,MIN(AJ$6-$G$3,22))&lt;&gt;""),Amendoim!$E11:INDEX(Amendoim!$E11:$Z11,MIN(AJ$6-$G$3,22))),0)))))</f>
        <v>0</v>
      </c>
      <c r="AK13" s="27" t="n">
        <f aca="false">IF(COUNT(Amendoim!$E11:$Z11)=0,0,MAX(0,IF((AK$6-$E$3)&lt;1,0,IFERROR(LOOKUP(2,1/(Amendoim!$E11:INDEX(Amendoim!$E11:$Z11,MIN(AK$6-$E$3,22))&lt;&gt;""),Amendoim!$E11:INDEX(Amendoim!$E11:$Z11,MIN(AK$6-$E$3,22))),0))-IF($G$2,0,IF((AK$6-$G$3)&lt;1,0,IFERROR(LOOKUP(2,1/(Amendoim!$E11:INDEX(Amendoim!$E11:$Z11,MIN(AK$6-$G$3,22))&lt;&gt;""),Amendoim!$E11:INDEX(Amendoim!$E11:$Z11,MIN(AK$6-$G$3,22))),0)))))</f>
        <v>0</v>
      </c>
      <c r="AL13" s="27" t="n">
        <f aca="false">IF(COUNT(Amendoim!$E11:$Z11)=0,0,MAX(0,IF((AL$6-$E$3)&lt;1,0,IFERROR(LOOKUP(2,1/(Amendoim!$E11:INDEX(Amendoim!$E11:$Z11,MIN(AL$6-$E$3,22))&lt;&gt;""),Amendoim!$E11:INDEX(Amendoim!$E11:$Z11,MIN(AL$6-$E$3,22))),0))-IF($G$2,0,IF((AL$6-$G$3)&lt;1,0,IFERROR(LOOKUP(2,1/(Amendoim!$E11:INDEX(Amendoim!$E11:$Z11,MIN(AL$6-$G$3,22))&lt;&gt;""),Amendoim!$E11:INDEX(Amendoim!$E11:$Z11,MIN(AL$6-$G$3,22))),0)))))</f>
        <v>0</v>
      </c>
      <c r="AM13" s="27" t="n">
        <f aca="false">IF(COUNT(Amendoim!$E11:$Z11)=0,0,MAX(0,IF((AM$6-$E$3)&lt;1,0,IFERROR(LOOKUP(2,1/(Amendoim!$E11:INDEX(Amendoim!$E11:$Z11,MIN(AM$6-$E$3,22))&lt;&gt;""),Amendoim!$E11:INDEX(Amendoim!$E11:$Z11,MIN(AM$6-$E$3,22))),0))-IF($G$2,0,IF((AM$6-$G$3)&lt;1,0,IFERROR(LOOKUP(2,1/(Amendoim!$E11:INDEX(Amendoim!$E11:$Z11,MIN(AM$6-$G$3,22))&lt;&gt;""),Amendoim!$E11:INDEX(Amendoim!$E11:$Z11,MIN(AM$6-$G$3,22))),0)))))</f>
        <v>0</v>
      </c>
      <c r="AN13" s="27" t="n">
        <f aca="false">IF(COUNT(Amendoim!$E11:$Z11)=0,0,MAX(0,IF((AN$6-$E$3)&lt;1,0,IFERROR(LOOKUP(2,1/(Amendoim!$E11:INDEX(Amendoim!$E11:$Z11,MIN(AN$6-$E$3,22))&lt;&gt;""),Amendoim!$E11:INDEX(Amendoim!$E11:$Z11,MIN(AN$6-$E$3,22))),0))-IF($G$2,0,IF((AN$6-$G$3)&lt;1,0,IFERROR(LOOKUP(2,1/(Amendoim!$E11:INDEX(Amendoim!$E11:$Z11,MIN(AN$6-$G$3,22))&lt;&gt;""),Amendoim!$E11:INDEX(Amendoim!$E11:$Z11,MIN(AN$6-$G$3,22))),0)))))</f>
        <v>0</v>
      </c>
      <c r="AO13" s="27" t="n">
        <f aca="false">IF(COUNT(Amendoim!$E11:$Z11)=0,0,MAX(0,IF((AO$6-$E$3)&lt;1,0,IFERROR(LOOKUP(2,1/(Amendoim!$E11:INDEX(Amendoim!$E11:$Z11,MIN(AO$6-$E$3,22))&lt;&gt;""),Amendoim!$E11:INDEX(Amendoim!$E11:$Z11,MIN(AO$6-$E$3,22))),0))-IF($G$2,0,IF((AO$6-$G$3)&lt;1,0,IFERROR(LOOKUP(2,1/(Amendoim!$E11:INDEX(Amendoim!$E11:$Z11,MIN(AO$6-$G$3,22))&lt;&gt;""),Amendoim!$E11:INDEX(Amendoim!$E11:$Z11,MIN(AO$6-$G$3,22))),0)))))</f>
        <v>0</v>
      </c>
      <c r="AP13" s="27" t="n">
        <f aca="false">IF(COUNT(Amendoim!$E11:$Z11)=0,0,MAX(0,IF((AP$6-$E$3)&lt;1,0,IFERROR(LOOKUP(2,1/(Amendoim!$E11:INDEX(Amendoim!$E11:$Z11,MIN(AP$6-$E$3,22))&lt;&gt;""),Amendoim!$E11:INDEX(Amendoim!$E11:$Z11,MIN(AP$6-$E$3,22))),0))-IF($G$2,0,IF((AP$6-$G$3)&lt;1,0,IFERROR(LOOKUP(2,1/(Amendoim!$E11:INDEX(Amendoim!$E11:$Z11,MIN(AP$6-$G$3,22))&lt;&gt;""),Amendoim!$E11:INDEX(Amendoim!$E11:$Z11,MIN(AP$6-$G$3,22))),0)))))</f>
        <v>0</v>
      </c>
      <c r="AQ13" s="27" t="n">
        <f aca="false">IF(COUNT(Amendoim!$E11:$Z11)=0,0,MAX(0,IF((AQ$6-$E$3)&lt;1,0,IFERROR(LOOKUP(2,1/(Amendoim!$E11:INDEX(Amendoim!$E11:$Z11,MIN(AQ$6-$E$3,22))&lt;&gt;""),Amendoim!$E11:INDEX(Amendoim!$E11:$Z11,MIN(AQ$6-$E$3,22))),0))-IF($G$2,0,IF((AQ$6-$G$3)&lt;1,0,IFERROR(LOOKUP(2,1/(Amendoim!$E11:INDEX(Amendoim!$E11:$Z11,MIN(AQ$6-$G$3,22))&lt;&gt;""),Amendoim!$E11:INDEX(Amendoim!$E11:$Z11,MIN(AQ$6-$G$3,22))),0)))))</f>
        <v>0</v>
      </c>
      <c r="AR13" s="27" t="n">
        <f aca="false">IF(COUNT(Amendoim!$E11:$Z11)=0,0,MAX(0,IF((AR$6-$E$3)&lt;1,0,IFERROR(LOOKUP(2,1/(Amendoim!$E11:INDEX(Amendoim!$E11:$Z11,MIN(AR$6-$E$3,22))&lt;&gt;""),Amendoim!$E11:INDEX(Amendoim!$E11:$Z11,MIN(AR$6-$E$3,22))),0))-IF($G$2,0,IF((AR$6-$G$3)&lt;1,0,IFERROR(LOOKUP(2,1/(Amendoim!$E11:INDEX(Amendoim!$E11:$Z11,MIN(AR$6-$G$3,22))&lt;&gt;""),Amendoim!$E11:INDEX(Amendoim!$E11:$Z11,MIN(AR$6-$G$3,22))),0)))))</f>
        <v>0</v>
      </c>
      <c r="AS13" s="27" t="n">
        <f aca="false">IF(COUNT(Amendoim!$E11:$Z11)=0,0,MAX(0,IF((AS$6-$E$3)&lt;1,0,IFERROR(LOOKUP(2,1/(Amendoim!$E11:INDEX(Amendoim!$E11:$Z11,MIN(AS$6-$E$3,22))&lt;&gt;""),Amendoim!$E11:INDEX(Amendoim!$E11:$Z11,MIN(AS$6-$E$3,22))),0))-IF($G$2,0,IF((AS$6-$G$3)&lt;1,0,IFERROR(LOOKUP(2,1/(Amendoim!$E11:INDEX(Amendoim!$E11:$Z11,MIN(AS$6-$G$3,22))&lt;&gt;""),Amendoim!$E11:INDEX(Amendoim!$E11:$Z11,MIN(AS$6-$G$3,22))),0)))))</f>
        <v>0</v>
      </c>
      <c r="AT13" s="27" t="n">
        <f aca="false">IF(COUNT(Amendoim!$E11:$Z11)=0,0,MAX(0,IF((AT$6-$E$3)&lt;1,0,IFERROR(LOOKUP(2,1/(Amendoim!$E11:INDEX(Amendoim!$E11:$Z11,MIN(AT$6-$E$3,22))&lt;&gt;""),Amendoim!$E11:INDEX(Amendoim!$E11:$Z11,MIN(AT$6-$E$3,22))),0))-IF($G$2,0,IF((AT$6-$G$3)&lt;1,0,IFERROR(LOOKUP(2,1/(Amendoim!$E11:INDEX(Amendoim!$E11:$Z11,MIN(AT$6-$G$3,22))&lt;&gt;""),Amendoim!$E11:INDEX(Amendoim!$E11:$Z11,MIN(AT$6-$G$3,22))),0)))))</f>
        <v>0</v>
      </c>
      <c r="AU13" s="27" t="n">
        <f aca="false">IF(COUNT(Amendoim!$E11:$Z11)=0,0,MAX(0,IF((AU$6-$E$3)&lt;1,0,IFERROR(LOOKUP(2,1/(Amendoim!$E11:INDEX(Amendoim!$E11:$Z11,MIN(AU$6-$E$3,22))&lt;&gt;""),Amendoim!$E11:INDEX(Amendoim!$E11:$Z11,MIN(AU$6-$E$3,22))),0))-IF($G$2,0,IF((AU$6-$G$3)&lt;1,0,IFERROR(LOOKUP(2,1/(Amendoim!$E11:INDEX(Amendoim!$E11:$Z11,MIN(AU$6-$G$3,22))&lt;&gt;""),Amendoim!$E11:INDEX(Amendoim!$E11:$Z11,MIN(AU$6-$G$3,22))),0)))))</f>
        <v>0</v>
      </c>
      <c r="AV13" s="27" t="n">
        <f aca="false">IF(COUNT(Amendoim!$E11:$Z11)=0,0,MAX(0,IF((AV$6-$E$3)&lt;1,0,IFERROR(LOOKUP(2,1/(Amendoim!$E11:INDEX(Amendoim!$E11:$Z11,MIN(AV$6-$E$3,22))&lt;&gt;""),Amendoim!$E11:INDEX(Amendoim!$E11:$Z11,MIN(AV$6-$E$3,22))),0))-IF($G$2,0,IF((AV$6-$G$3)&lt;1,0,IFERROR(LOOKUP(2,1/(Amendoim!$E11:INDEX(Amendoim!$E11:$Z11,MIN(AV$6-$G$3,22))&lt;&gt;""),Amendoim!$E11:INDEX(Amendoim!$E11:$Z11,MIN(AV$6-$G$3,22))),0)))))</f>
        <v>0</v>
      </c>
      <c r="AW13" s="27" t="n">
        <f aca="false">IF(COUNT(Amendoim!$E11:$Z11)=0,0,MAX(0,IF((AW$6-$E$3)&lt;1,0,IFERROR(LOOKUP(2,1/(Amendoim!$E11:INDEX(Amendoim!$E11:$Z11,MIN(AW$6-$E$3,22))&lt;&gt;""),Amendoim!$E11:INDEX(Amendoim!$E11:$Z11,MIN(AW$6-$E$3,22))),0))-IF($G$2,0,IF((AW$6-$G$3)&lt;1,0,IFERROR(LOOKUP(2,1/(Amendoim!$E11:INDEX(Amendoim!$E11:$Z11,MIN(AW$6-$G$3,22))&lt;&gt;""),Amendoim!$E11:INDEX(Amendoim!$E11:$Z11,MIN(AW$6-$G$3,22))),0)))))</f>
        <v>0</v>
      </c>
      <c r="AX13" s="27" t="n">
        <f aca="false">IF(COUNT(Amendoim!$E11:$Z11)=0,0,MAX(0,IF((AX$6-$E$3)&lt;1,0,IFERROR(LOOKUP(2,1/(Amendoim!$E11:INDEX(Amendoim!$E11:$Z11,MIN(AX$6-$E$3,22))&lt;&gt;""),Amendoim!$E11:INDEX(Amendoim!$E11:$Z11,MIN(AX$6-$E$3,22))),0))-IF($G$2,0,IF((AX$6-$G$3)&lt;1,0,IFERROR(LOOKUP(2,1/(Amendoim!$E11:INDEX(Amendoim!$E11:$Z11,MIN(AX$6-$G$3,22))&lt;&gt;""),Amendoim!$E11:INDEX(Amendoim!$E11:$Z11,MIN(AX$6-$G$3,22))),0)))))</f>
        <v>0</v>
      </c>
      <c r="AY13" s="27" t="n">
        <f aca="false">IF(COUNT(Amendoim!$E11:$Z11)=0,0,MAX(0,IF((AY$6-$E$3)&lt;1,0,IFERROR(LOOKUP(2,1/(Amendoim!$E11:INDEX(Amendoim!$E11:$Z11,MIN(AY$6-$E$3,22))&lt;&gt;""),Amendoim!$E11:INDEX(Amendoim!$E11:$Z11,MIN(AY$6-$E$3,22))),0))-IF($G$2,0,IF((AY$6-$G$3)&lt;1,0,IFERROR(LOOKUP(2,1/(Amendoim!$E11:INDEX(Amendoim!$E11:$Z11,MIN(AY$6-$G$3,22))&lt;&gt;""),Amendoim!$E11:INDEX(Amendoim!$E11:$Z11,MIN(AY$6-$G$3,22))),0)))))</f>
        <v>0</v>
      </c>
      <c r="AZ13" s="27" t="n">
        <f aca="false">IF(COUNT(Amendoim!$E11:$Z11)=0,0,MAX(0,IF((AZ$6-$E$3)&lt;1,0,IFERROR(LOOKUP(2,1/(Amendoim!$E11:INDEX(Amendoim!$E11:$Z11,MIN(AZ$6-$E$3,22))&lt;&gt;""),Amendoim!$E11:INDEX(Amendoim!$E11:$Z11,MIN(AZ$6-$E$3,22))),0))-IF($G$2,0,IF((AZ$6-$G$3)&lt;1,0,IFERROR(LOOKUP(2,1/(Amendoim!$E11:INDEX(Amendoim!$E11:$Z11,MIN(AZ$6-$G$3,22))&lt;&gt;""),Amendoim!$E11:INDEX(Amendoim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IF(COUNT(Amendoim!$E12:$Z12)&gt;0,N(Amendoim!$D12),0)</f>
        <v>0</v>
      </c>
      <c r="E14" s="27" t="n">
        <f aca="false">IF(COUNT(Amendoim!$E12:$Z12)=0,0,MAX(0,IF((E$6-$E$3)&lt;1,0,IFERROR(LOOKUP(2,1/(Amendoim!$E12:INDEX(Amendoim!$E12:$Z12,MIN(E$6-$E$3,22))&lt;&gt;""),Amendoim!$E12:INDEX(Amendoim!$E12:$Z12,MIN(E$6-$E$3,22))),0))-IF($G$2,0,IF((E$6-$G$3)&lt;1,0,IFERROR(LOOKUP(2,1/(Amendoim!$E12:INDEX(Amendoim!$E12:$Z12,MIN(E$6-$G$3,22))&lt;&gt;""),Amendoim!$E12:INDEX(Amendoim!$E12:$Z12,MIN(E$6-$G$3,22))),0)))))</f>
        <v>0</v>
      </c>
      <c r="F14" s="27" t="n">
        <f aca="false">IF(COUNT(Amendoim!$E12:$Z12)=0,0,MAX(0,IF((F$6-$E$3)&lt;1,0,IFERROR(LOOKUP(2,1/(Amendoim!$E12:INDEX(Amendoim!$E12:$Z12,MIN(F$6-$E$3,22))&lt;&gt;""),Amendoim!$E12:INDEX(Amendoim!$E12:$Z12,MIN(F$6-$E$3,22))),0))-IF($G$2,0,IF((F$6-$G$3)&lt;1,0,IFERROR(LOOKUP(2,1/(Amendoim!$E12:INDEX(Amendoim!$E12:$Z12,MIN(F$6-$G$3,22))&lt;&gt;""),Amendoim!$E12:INDEX(Amendoim!$E12:$Z12,MIN(F$6-$G$3,22))),0)))))</f>
        <v>0</v>
      </c>
      <c r="G14" s="27" t="n">
        <f aca="false">IF(COUNT(Amendoim!$E12:$Z12)=0,0,MAX(0,IF((G$6-$E$3)&lt;1,0,IFERROR(LOOKUP(2,1/(Amendoim!$E12:INDEX(Amendoim!$E12:$Z12,MIN(G$6-$E$3,22))&lt;&gt;""),Amendoim!$E12:INDEX(Amendoim!$E12:$Z12,MIN(G$6-$E$3,22))),0))-IF($G$2,0,IF((G$6-$G$3)&lt;1,0,IFERROR(LOOKUP(2,1/(Amendoim!$E12:INDEX(Amendoim!$E12:$Z12,MIN(G$6-$G$3,22))&lt;&gt;""),Amendoim!$E12:INDEX(Amendoim!$E12:$Z12,MIN(G$6-$G$3,22))),0)))))</f>
        <v>0</v>
      </c>
      <c r="H14" s="27" t="n">
        <f aca="false">IF(COUNT(Amendoim!$E12:$Z12)=0,0,MAX(0,IF((H$6-$E$3)&lt;1,0,IFERROR(LOOKUP(2,1/(Amendoim!$E12:INDEX(Amendoim!$E12:$Z12,MIN(H$6-$E$3,22))&lt;&gt;""),Amendoim!$E12:INDEX(Amendoim!$E12:$Z12,MIN(H$6-$E$3,22))),0))-IF($G$2,0,IF((H$6-$G$3)&lt;1,0,IFERROR(LOOKUP(2,1/(Amendoim!$E12:INDEX(Amendoim!$E12:$Z12,MIN(H$6-$G$3,22))&lt;&gt;""),Amendoim!$E12:INDEX(Amendoim!$E12:$Z12,MIN(H$6-$G$3,22))),0)))))</f>
        <v>0</v>
      </c>
      <c r="I14" s="27" t="n">
        <f aca="false">IF(COUNT(Amendoim!$E12:$Z12)=0,0,MAX(0,IF((I$6-$E$3)&lt;1,0,IFERROR(LOOKUP(2,1/(Amendoim!$E12:INDEX(Amendoim!$E12:$Z12,MIN(I$6-$E$3,22))&lt;&gt;""),Amendoim!$E12:INDEX(Amendoim!$E12:$Z12,MIN(I$6-$E$3,22))),0))-IF($G$2,0,IF((I$6-$G$3)&lt;1,0,IFERROR(LOOKUP(2,1/(Amendoim!$E12:INDEX(Amendoim!$E12:$Z12,MIN(I$6-$G$3,22))&lt;&gt;""),Amendoim!$E12:INDEX(Amendoim!$E12:$Z12,MIN(I$6-$G$3,22))),0)))))</f>
        <v>0</v>
      </c>
      <c r="J14" s="27" t="n">
        <f aca="false">IF(COUNT(Amendoim!$E12:$Z12)=0,0,MAX(0,IF((J$6-$E$3)&lt;1,0,IFERROR(LOOKUP(2,1/(Amendoim!$E12:INDEX(Amendoim!$E12:$Z12,MIN(J$6-$E$3,22))&lt;&gt;""),Amendoim!$E12:INDEX(Amendoim!$E12:$Z12,MIN(J$6-$E$3,22))),0))-IF($G$2,0,IF((J$6-$G$3)&lt;1,0,IFERROR(LOOKUP(2,1/(Amendoim!$E12:INDEX(Amendoim!$E12:$Z12,MIN(J$6-$G$3,22))&lt;&gt;""),Amendoim!$E12:INDEX(Amendoim!$E12:$Z12,MIN(J$6-$G$3,22))),0)))))</f>
        <v>0</v>
      </c>
      <c r="K14" s="27" t="n">
        <f aca="false">IF(COUNT(Amendoim!$E12:$Z12)=0,0,MAX(0,IF((K$6-$E$3)&lt;1,0,IFERROR(LOOKUP(2,1/(Amendoim!$E12:INDEX(Amendoim!$E12:$Z12,MIN(K$6-$E$3,22))&lt;&gt;""),Amendoim!$E12:INDEX(Amendoim!$E12:$Z12,MIN(K$6-$E$3,22))),0))-IF($G$2,0,IF((K$6-$G$3)&lt;1,0,IFERROR(LOOKUP(2,1/(Amendoim!$E12:INDEX(Amendoim!$E12:$Z12,MIN(K$6-$G$3,22))&lt;&gt;""),Amendoim!$E12:INDEX(Amendoim!$E12:$Z12,MIN(K$6-$G$3,22))),0)))))</f>
        <v>0</v>
      </c>
      <c r="L14" s="27" t="n">
        <f aca="false">IF(COUNT(Amendoim!$E12:$Z12)=0,0,MAX(0,IF((L$6-$E$3)&lt;1,0,IFERROR(LOOKUP(2,1/(Amendoim!$E12:INDEX(Amendoim!$E12:$Z12,MIN(L$6-$E$3,22))&lt;&gt;""),Amendoim!$E12:INDEX(Amendoim!$E12:$Z12,MIN(L$6-$E$3,22))),0))-IF($G$2,0,IF((L$6-$G$3)&lt;1,0,IFERROR(LOOKUP(2,1/(Amendoim!$E12:INDEX(Amendoim!$E12:$Z12,MIN(L$6-$G$3,22))&lt;&gt;""),Amendoim!$E12:INDEX(Amendoim!$E12:$Z12,MIN(L$6-$G$3,22))),0)))))</f>
        <v>0</v>
      </c>
      <c r="M14" s="27" t="n">
        <f aca="false">IF(COUNT(Amendoim!$E12:$Z12)=0,0,MAX(0,IF((M$6-$E$3)&lt;1,0,IFERROR(LOOKUP(2,1/(Amendoim!$E12:INDEX(Amendoim!$E12:$Z12,MIN(M$6-$E$3,22))&lt;&gt;""),Amendoim!$E12:INDEX(Amendoim!$E12:$Z12,MIN(M$6-$E$3,22))),0))-IF($G$2,0,IF((M$6-$G$3)&lt;1,0,IFERROR(LOOKUP(2,1/(Amendoim!$E12:INDEX(Amendoim!$E12:$Z12,MIN(M$6-$G$3,22))&lt;&gt;""),Amendoim!$E12:INDEX(Amendoim!$E12:$Z12,MIN(M$6-$G$3,22))),0)))))</f>
        <v>0</v>
      </c>
      <c r="N14" s="27" t="n">
        <f aca="false">IF(COUNT(Amendoim!$E12:$Z12)=0,0,MAX(0,IF((N$6-$E$3)&lt;1,0,IFERROR(LOOKUP(2,1/(Amendoim!$E12:INDEX(Amendoim!$E12:$Z12,MIN(N$6-$E$3,22))&lt;&gt;""),Amendoim!$E12:INDEX(Amendoim!$E12:$Z12,MIN(N$6-$E$3,22))),0))-IF($G$2,0,IF((N$6-$G$3)&lt;1,0,IFERROR(LOOKUP(2,1/(Amendoim!$E12:INDEX(Amendoim!$E12:$Z12,MIN(N$6-$G$3,22))&lt;&gt;""),Amendoim!$E12:INDEX(Amendoim!$E12:$Z12,MIN(N$6-$G$3,22))),0)))))</f>
        <v>0</v>
      </c>
      <c r="O14" s="27" t="n">
        <f aca="false">IF(COUNT(Amendoim!$E12:$Z12)=0,0,MAX(0,IF((O$6-$E$3)&lt;1,0,IFERROR(LOOKUP(2,1/(Amendoim!$E12:INDEX(Amendoim!$E12:$Z12,MIN(O$6-$E$3,22))&lt;&gt;""),Amendoim!$E12:INDEX(Amendoim!$E12:$Z12,MIN(O$6-$E$3,22))),0))-IF($G$2,0,IF((O$6-$G$3)&lt;1,0,IFERROR(LOOKUP(2,1/(Amendoim!$E12:INDEX(Amendoim!$E12:$Z12,MIN(O$6-$G$3,22))&lt;&gt;""),Amendoim!$E12:INDEX(Amendoim!$E12:$Z12,MIN(O$6-$G$3,22))),0)))))</f>
        <v>0</v>
      </c>
      <c r="P14" s="27" t="n">
        <f aca="false">IF(COUNT(Amendoim!$E12:$Z12)=0,0,MAX(0,IF((P$6-$E$3)&lt;1,0,IFERROR(LOOKUP(2,1/(Amendoim!$E12:INDEX(Amendoim!$E12:$Z12,MIN(P$6-$E$3,22))&lt;&gt;""),Amendoim!$E12:INDEX(Amendoim!$E12:$Z12,MIN(P$6-$E$3,22))),0))-IF($G$2,0,IF((P$6-$G$3)&lt;1,0,IFERROR(LOOKUP(2,1/(Amendoim!$E12:INDEX(Amendoim!$E12:$Z12,MIN(P$6-$G$3,22))&lt;&gt;""),Amendoim!$E12:INDEX(Amendoim!$E12:$Z12,MIN(P$6-$G$3,22))),0)))))</f>
        <v>0</v>
      </c>
      <c r="Q14" s="27" t="n">
        <f aca="false">IF(COUNT(Amendoim!$E12:$Z12)=0,0,MAX(0,IF((Q$6-$E$3)&lt;1,0,IFERROR(LOOKUP(2,1/(Amendoim!$E12:INDEX(Amendoim!$E12:$Z12,MIN(Q$6-$E$3,22))&lt;&gt;""),Amendoim!$E12:INDEX(Amendoim!$E12:$Z12,MIN(Q$6-$E$3,22))),0))-IF($G$2,0,IF((Q$6-$G$3)&lt;1,0,IFERROR(LOOKUP(2,1/(Amendoim!$E12:INDEX(Amendoim!$E12:$Z12,MIN(Q$6-$G$3,22))&lt;&gt;""),Amendoim!$E12:INDEX(Amendoim!$E12:$Z12,MIN(Q$6-$G$3,22))),0)))))</f>
        <v>0</v>
      </c>
      <c r="R14" s="27" t="n">
        <f aca="false">IF(COUNT(Amendoim!$E12:$Z12)=0,0,MAX(0,IF((R$6-$E$3)&lt;1,0,IFERROR(LOOKUP(2,1/(Amendoim!$E12:INDEX(Amendoim!$E12:$Z12,MIN(R$6-$E$3,22))&lt;&gt;""),Amendoim!$E12:INDEX(Amendoim!$E12:$Z12,MIN(R$6-$E$3,22))),0))-IF($G$2,0,IF((R$6-$G$3)&lt;1,0,IFERROR(LOOKUP(2,1/(Amendoim!$E12:INDEX(Amendoim!$E12:$Z12,MIN(R$6-$G$3,22))&lt;&gt;""),Amendoim!$E12:INDEX(Amendoim!$E12:$Z12,MIN(R$6-$G$3,22))),0)))))</f>
        <v>0</v>
      </c>
      <c r="S14" s="27" t="n">
        <f aca="false">IF(COUNT(Amendoim!$E12:$Z12)=0,0,MAX(0,IF((S$6-$E$3)&lt;1,0,IFERROR(LOOKUP(2,1/(Amendoim!$E12:INDEX(Amendoim!$E12:$Z12,MIN(S$6-$E$3,22))&lt;&gt;""),Amendoim!$E12:INDEX(Amendoim!$E12:$Z12,MIN(S$6-$E$3,22))),0))-IF($G$2,0,IF((S$6-$G$3)&lt;1,0,IFERROR(LOOKUP(2,1/(Amendoim!$E12:INDEX(Amendoim!$E12:$Z12,MIN(S$6-$G$3,22))&lt;&gt;""),Amendoim!$E12:INDEX(Amendoim!$E12:$Z12,MIN(S$6-$G$3,22))),0)))))</f>
        <v>0</v>
      </c>
      <c r="T14" s="27" t="n">
        <f aca="false">IF(COUNT(Amendoim!$E12:$Z12)=0,0,MAX(0,IF((T$6-$E$3)&lt;1,0,IFERROR(LOOKUP(2,1/(Amendoim!$E12:INDEX(Amendoim!$E12:$Z12,MIN(T$6-$E$3,22))&lt;&gt;""),Amendoim!$E12:INDEX(Amendoim!$E12:$Z12,MIN(T$6-$E$3,22))),0))-IF($G$2,0,IF((T$6-$G$3)&lt;1,0,IFERROR(LOOKUP(2,1/(Amendoim!$E12:INDEX(Amendoim!$E12:$Z12,MIN(T$6-$G$3,22))&lt;&gt;""),Amendoim!$E12:INDEX(Amendoim!$E12:$Z12,MIN(T$6-$G$3,22))),0)))))</f>
        <v>0</v>
      </c>
      <c r="U14" s="27" t="n">
        <f aca="false">IF(COUNT(Amendoim!$E12:$Z12)=0,0,MAX(0,IF((U$6-$E$3)&lt;1,0,IFERROR(LOOKUP(2,1/(Amendoim!$E12:INDEX(Amendoim!$E12:$Z12,MIN(U$6-$E$3,22))&lt;&gt;""),Amendoim!$E12:INDEX(Amendoim!$E12:$Z12,MIN(U$6-$E$3,22))),0))-IF($G$2,0,IF((U$6-$G$3)&lt;1,0,IFERROR(LOOKUP(2,1/(Amendoim!$E12:INDEX(Amendoim!$E12:$Z12,MIN(U$6-$G$3,22))&lt;&gt;""),Amendoim!$E12:INDEX(Amendoim!$E12:$Z12,MIN(U$6-$G$3,22))),0)))))</f>
        <v>0</v>
      </c>
      <c r="V14" s="27" t="n">
        <f aca="false">IF(COUNT(Amendoim!$E12:$Z12)=0,0,MAX(0,IF((V$6-$E$3)&lt;1,0,IFERROR(LOOKUP(2,1/(Amendoim!$E12:INDEX(Amendoim!$E12:$Z12,MIN(V$6-$E$3,22))&lt;&gt;""),Amendoim!$E12:INDEX(Amendoim!$E12:$Z12,MIN(V$6-$E$3,22))),0))-IF($G$2,0,IF((V$6-$G$3)&lt;1,0,IFERROR(LOOKUP(2,1/(Amendoim!$E12:INDEX(Amendoim!$E12:$Z12,MIN(V$6-$G$3,22))&lt;&gt;""),Amendoim!$E12:INDEX(Amendoim!$E12:$Z12,MIN(V$6-$G$3,22))),0)))))</f>
        <v>0</v>
      </c>
      <c r="W14" s="27" t="n">
        <f aca="false">IF(COUNT(Amendoim!$E12:$Z12)=0,0,MAX(0,IF((W$6-$E$3)&lt;1,0,IFERROR(LOOKUP(2,1/(Amendoim!$E12:INDEX(Amendoim!$E12:$Z12,MIN(W$6-$E$3,22))&lt;&gt;""),Amendoim!$E12:INDEX(Amendoim!$E12:$Z12,MIN(W$6-$E$3,22))),0))-IF($G$2,0,IF((W$6-$G$3)&lt;1,0,IFERROR(LOOKUP(2,1/(Amendoim!$E12:INDEX(Amendoim!$E12:$Z12,MIN(W$6-$G$3,22))&lt;&gt;""),Amendoim!$E12:INDEX(Amendoim!$E12:$Z12,MIN(W$6-$G$3,22))),0)))))</f>
        <v>0</v>
      </c>
      <c r="X14" s="27" t="n">
        <f aca="false">IF(COUNT(Amendoim!$E12:$Z12)=0,0,MAX(0,IF((X$6-$E$3)&lt;1,0,IFERROR(LOOKUP(2,1/(Amendoim!$E12:INDEX(Amendoim!$E12:$Z12,MIN(X$6-$E$3,22))&lt;&gt;""),Amendoim!$E12:INDEX(Amendoim!$E12:$Z12,MIN(X$6-$E$3,22))),0))-IF($G$2,0,IF((X$6-$G$3)&lt;1,0,IFERROR(LOOKUP(2,1/(Amendoim!$E12:INDEX(Amendoim!$E12:$Z12,MIN(X$6-$G$3,22))&lt;&gt;""),Amendoim!$E12:INDEX(Amendoim!$E12:$Z12,MIN(X$6-$G$3,22))),0)))))</f>
        <v>0</v>
      </c>
      <c r="Y14" s="27" t="n">
        <f aca="false">IF(COUNT(Amendoim!$E12:$Z12)=0,0,MAX(0,IF((Y$6-$E$3)&lt;1,0,IFERROR(LOOKUP(2,1/(Amendoim!$E12:INDEX(Amendoim!$E12:$Z12,MIN(Y$6-$E$3,22))&lt;&gt;""),Amendoim!$E12:INDEX(Amendoim!$E12:$Z12,MIN(Y$6-$E$3,22))),0))-IF($G$2,0,IF((Y$6-$G$3)&lt;1,0,IFERROR(LOOKUP(2,1/(Amendoim!$E12:INDEX(Amendoim!$E12:$Z12,MIN(Y$6-$G$3,22))&lt;&gt;""),Amendoim!$E12:INDEX(Amendoim!$E12:$Z12,MIN(Y$6-$G$3,22))),0)))))</f>
        <v>0</v>
      </c>
      <c r="Z14" s="27" t="n">
        <f aca="false">IF(COUNT(Amendoim!$E12:$Z12)=0,0,MAX(0,IF((Z$6-$E$3)&lt;1,0,IFERROR(LOOKUP(2,1/(Amendoim!$E12:INDEX(Amendoim!$E12:$Z12,MIN(Z$6-$E$3,22))&lt;&gt;""),Amendoim!$E12:INDEX(Amendoim!$E12:$Z12,MIN(Z$6-$E$3,22))),0))-IF($G$2,0,IF((Z$6-$G$3)&lt;1,0,IFERROR(LOOKUP(2,1/(Amendoim!$E12:INDEX(Amendoim!$E12:$Z12,MIN(Z$6-$G$3,22))&lt;&gt;""),Amendoim!$E12:INDEX(Amendoim!$E12:$Z12,MIN(Z$6-$G$3,22))),0)))))</f>
        <v>0</v>
      </c>
      <c r="AA14" s="27" t="n">
        <f aca="false">IF(COUNT(Amendoim!$E12:$Z12)=0,0,MAX(0,IF((AA$6-$E$3)&lt;1,0,IFERROR(LOOKUP(2,1/(Amendoim!$E12:INDEX(Amendoim!$E12:$Z12,MIN(AA$6-$E$3,22))&lt;&gt;""),Amendoim!$E12:INDEX(Amendoim!$E12:$Z12,MIN(AA$6-$E$3,22))),0))-IF($G$2,0,IF((AA$6-$G$3)&lt;1,0,IFERROR(LOOKUP(2,1/(Amendoim!$E12:INDEX(Amendoim!$E12:$Z12,MIN(AA$6-$G$3,22))&lt;&gt;""),Amendoim!$E12:INDEX(Amendoim!$E12:$Z12,MIN(AA$6-$G$3,22))),0)))))</f>
        <v>0</v>
      </c>
      <c r="AB14" s="27" t="n">
        <f aca="false">IF(COUNT(Amendoim!$E12:$Z12)=0,0,MAX(0,IF((AB$6-$E$3)&lt;1,0,IFERROR(LOOKUP(2,1/(Amendoim!$E12:INDEX(Amendoim!$E12:$Z12,MIN(AB$6-$E$3,22))&lt;&gt;""),Amendoim!$E12:INDEX(Amendoim!$E12:$Z12,MIN(AB$6-$E$3,22))),0))-IF($G$2,0,IF((AB$6-$G$3)&lt;1,0,IFERROR(LOOKUP(2,1/(Amendoim!$E12:INDEX(Amendoim!$E12:$Z12,MIN(AB$6-$G$3,22))&lt;&gt;""),Amendoim!$E12:INDEX(Amendoim!$E12:$Z12,MIN(AB$6-$G$3,22))),0)))))</f>
        <v>0</v>
      </c>
      <c r="AC14" s="27" t="n">
        <f aca="false">IF(COUNT(Amendoim!$E12:$Z12)=0,0,MAX(0,IF((AC$6-$E$3)&lt;1,0,IFERROR(LOOKUP(2,1/(Amendoim!$E12:INDEX(Amendoim!$E12:$Z12,MIN(AC$6-$E$3,22))&lt;&gt;""),Amendoim!$E12:INDEX(Amendoim!$E12:$Z12,MIN(AC$6-$E$3,22))),0))-IF($G$2,0,IF((AC$6-$G$3)&lt;1,0,IFERROR(LOOKUP(2,1/(Amendoim!$E12:INDEX(Amendoim!$E12:$Z12,MIN(AC$6-$G$3,22))&lt;&gt;""),Amendoim!$E12:INDEX(Amendoim!$E12:$Z12,MIN(AC$6-$G$3,22))),0)))))</f>
        <v>0</v>
      </c>
      <c r="AD14" s="27" t="n">
        <f aca="false">IF(COUNT(Amendoim!$E12:$Z12)=0,0,MAX(0,IF((AD$6-$E$3)&lt;1,0,IFERROR(LOOKUP(2,1/(Amendoim!$E12:INDEX(Amendoim!$E12:$Z12,MIN(AD$6-$E$3,22))&lt;&gt;""),Amendoim!$E12:INDEX(Amendoim!$E12:$Z12,MIN(AD$6-$E$3,22))),0))-IF($G$2,0,IF((AD$6-$G$3)&lt;1,0,IFERROR(LOOKUP(2,1/(Amendoim!$E12:INDEX(Amendoim!$E12:$Z12,MIN(AD$6-$G$3,22))&lt;&gt;""),Amendoim!$E12:INDEX(Amendoim!$E12:$Z12,MIN(AD$6-$G$3,22))),0)))))</f>
        <v>0</v>
      </c>
      <c r="AE14" s="27" t="n">
        <f aca="false">IF(COUNT(Amendoim!$E12:$Z12)=0,0,MAX(0,IF((AE$6-$E$3)&lt;1,0,IFERROR(LOOKUP(2,1/(Amendoim!$E12:INDEX(Amendoim!$E12:$Z12,MIN(AE$6-$E$3,22))&lt;&gt;""),Amendoim!$E12:INDEX(Amendoim!$E12:$Z12,MIN(AE$6-$E$3,22))),0))-IF($G$2,0,IF((AE$6-$G$3)&lt;1,0,IFERROR(LOOKUP(2,1/(Amendoim!$E12:INDEX(Amendoim!$E12:$Z12,MIN(AE$6-$G$3,22))&lt;&gt;""),Amendoim!$E12:INDEX(Amendoim!$E12:$Z12,MIN(AE$6-$G$3,22))),0)))))</f>
        <v>0</v>
      </c>
      <c r="AF14" s="27" t="n">
        <f aca="false">IF(COUNT(Amendoim!$E12:$Z12)=0,0,MAX(0,IF((AF$6-$E$3)&lt;1,0,IFERROR(LOOKUP(2,1/(Amendoim!$E12:INDEX(Amendoim!$E12:$Z12,MIN(AF$6-$E$3,22))&lt;&gt;""),Amendoim!$E12:INDEX(Amendoim!$E12:$Z12,MIN(AF$6-$E$3,22))),0))-IF($G$2,0,IF((AF$6-$G$3)&lt;1,0,IFERROR(LOOKUP(2,1/(Amendoim!$E12:INDEX(Amendoim!$E12:$Z12,MIN(AF$6-$G$3,22))&lt;&gt;""),Amendoim!$E12:INDEX(Amendoim!$E12:$Z12,MIN(AF$6-$G$3,22))),0)))))</f>
        <v>0</v>
      </c>
      <c r="AG14" s="27" t="n">
        <f aca="false">IF(COUNT(Amendoim!$E12:$Z12)=0,0,MAX(0,IF((AG$6-$E$3)&lt;1,0,IFERROR(LOOKUP(2,1/(Amendoim!$E12:INDEX(Amendoim!$E12:$Z12,MIN(AG$6-$E$3,22))&lt;&gt;""),Amendoim!$E12:INDEX(Amendoim!$E12:$Z12,MIN(AG$6-$E$3,22))),0))-IF($G$2,0,IF((AG$6-$G$3)&lt;1,0,IFERROR(LOOKUP(2,1/(Amendoim!$E12:INDEX(Amendoim!$E12:$Z12,MIN(AG$6-$G$3,22))&lt;&gt;""),Amendoim!$E12:INDEX(Amendoim!$E12:$Z12,MIN(AG$6-$G$3,22))),0)))))</f>
        <v>0</v>
      </c>
      <c r="AH14" s="27" t="n">
        <f aca="false">IF(COUNT(Amendoim!$E12:$Z12)=0,0,MAX(0,IF((AH$6-$E$3)&lt;1,0,IFERROR(LOOKUP(2,1/(Amendoim!$E12:INDEX(Amendoim!$E12:$Z12,MIN(AH$6-$E$3,22))&lt;&gt;""),Amendoim!$E12:INDEX(Amendoim!$E12:$Z12,MIN(AH$6-$E$3,22))),0))-IF($G$2,0,IF((AH$6-$G$3)&lt;1,0,IFERROR(LOOKUP(2,1/(Amendoim!$E12:INDEX(Amendoim!$E12:$Z12,MIN(AH$6-$G$3,22))&lt;&gt;""),Amendoim!$E12:INDEX(Amendoim!$E12:$Z12,MIN(AH$6-$G$3,22))),0)))))</f>
        <v>0</v>
      </c>
      <c r="AI14" s="27" t="n">
        <f aca="false">IF(COUNT(Amendoim!$E12:$Z12)=0,0,MAX(0,IF((AI$6-$E$3)&lt;1,0,IFERROR(LOOKUP(2,1/(Amendoim!$E12:INDEX(Amendoim!$E12:$Z12,MIN(AI$6-$E$3,22))&lt;&gt;""),Amendoim!$E12:INDEX(Amendoim!$E12:$Z12,MIN(AI$6-$E$3,22))),0))-IF($G$2,0,IF((AI$6-$G$3)&lt;1,0,IFERROR(LOOKUP(2,1/(Amendoim!$E12:INDEX(Amendoim!$E12:$Z12,MIN(AI$6-$G$3,22))&lt;&gt;""),Amendoim!$E12:INDEX(Amendoim!$E12:$Z12,MIN(AI$6-$G$3,22))),0)))))</f>
        <v>0</v>
      </c>
      <c r="AJ14" s="27" t="n">
        <f aca="false">IF(COUNT(Amendoim!$E12:$Z12)=0,0,MAX(0,IF((AJ$6-$E$3)&lt;1,0,IFERROR(LOOKUP(2,1/(Amendoim!$E12:INDEX(Amendoim!$E12:$Z12,MIN(AJ$6-$E$3,22))&lt;&gt;""),Amendoim!$E12:INDEX(Amendoim!$E12:$Z12,MIN(AJ$6-$E$3,22))),0))-IF($G$2,0,IF((AJ$6-$G$3)&lt;1,0,IFERROR(LOOKUP(2,1/(Amendoim!$E12:INDEX(Amendoim!$E12:$Z12,MIN(AJ$6-$G$3,22))&lt;&gt;""),Amendoim!$E12:INDEX(Amendoim!$E12:$Z12,MIN(AJ$6-$G$3,22))),0)))))</f>
        <v>0</v>
      </c>
      <c r="AK14" s="27" t="n">
        <f aca="false">IF(COUNT(Amendoim!$E12:$Z12)=0,0,MAX(0,IF((AK$6-$E$3)&lt;1,0,IFERROR(LOOKUP(2,1/(Amendoim!$E12:INDEX(Amendoim!$E12:$Z12,MIN(AK$6-$E$3,22))&lt;&gt;""),Amendoim!$E12:INDEX(Amendoim!$E12:$Z12,MIN(AK$6-$E$3,22))),0))-IF($G$2,0,IF((AK$6-$G$3)&lt;1,0,IFERROR(LOOKUP(2,1/(Amendoim!$E12:INDEX(Amendoim!$E12:$Z12,MIN(AK$6-$G$3,22))&lt;&gt;""),Amendoim!$E12:INDEX(Amendoim!$E12:$Z12,MIN(AK$6-$G$3,22))),0)))))</f>
        <v>0</v>
      </c>
      <c r="AL14" s="27" t="n">
        <f aca="false">IF(COUNT(Amendoim!$E12:$Z12)=0,0,MAX(0,IF((AL$6-$E$3)&lt;1,0,IFERROR(LOOKUP(2,1/(Amendoim!$E12:INDEX(Amendoim!$E12:$Z12,MIN(AL$6-$E$3,22))&lt;&gt;""),Amendoim!$E12:INDEX(Amendoim!$E12:$Z12,MIN(AL$6-$E$3,22))),0))-IF($G$2,0,IF((AL$6-$G$3)&lt;1,0,IFERROR(LOOKUP(2,1/(Amendoim!$E12:INDEX(Amendoim!$E12:$Z12,MIN(AL$6-$G$3,22))&lt;&gt;""),Amendoim!$E12:INDEX(Amendoim!$E12:$Z12,MIN(AL$6-$G$3,22))),0)))))</f>
        <v>0</v>
      </c>
      <c r="AM14" s="27" t="n">
        <f aca="false">IF(COUNT(Amendoim!$E12:$Z12)=0,0,MAX(0,IF((AM$6-$E$3)&lt;1,0,IFERROR(LOOKUP(2,1/(Amendoim!$E12:INDEX(Amendoim!$E12:$Z12,MIN(AM$6-$E$3,22))&lt;&gt;""),Amendoim!$E12:INDEX(Amendoim!$E12:$Z12,MIN(AM$6-$E$3,22))),0))-IF($G$2,0,IF((AM$6-$G$3)&lt;1,0,IFERROR(LOOKUP(2,1/(Amendoim!$E12:INDEX(Amendoim!$E12:$Z12,MIN(AM$6-$G$3,22))&lt;&gt;""),Amendoim!$E12:INDEX(Amendoim!$E12:$Z12,MIN(AM$6-$G$3,22))),0)))))</f>
        <v>0</v>
      </c>
      <c r="AN14" s="27" t="n">
        <f aca="false">IF(COUNT(Amendoim!$E12:$Z12)=0,0,MAX(0,IF((AN$6-$E$3)&lt;1,0,IFERROR(LOOKUP(2,1/(Amendoim!$E12:INDEX(Amendoim!$E12:$Z12,MIN(AN$6-$E$3,22))&lt;&gt;""),Amendoim!$E12:INDEX(Amendoim!$E12:$Z12,MIN(AN$6-$E$3,22))),0))-IF($G$2,0,IF((AN$6-$G$3)&lt;1,0,IFERROR(LOOKUP(2,1/(Amendoim!$E12:INDEX(Amendoim!$E12:$Z12,MIN(AN$6-$G$3,22))&lt;&gt;""),Amendoim!$E12:INDEX(Amendoim!$E12:$Z12,MIN(AN$6-$G$3,22))),0)))))</f>
        <v>0</v>
      </c>
      <c r="AO14" s="27" t="n">
        <f aca="false">IF(COUNT(Amendoim!$E12:$Z12)=0,0,MAX(0,IF((AO$6-$E$3)&lt;1,0,IFERROR(LOOKUP(2,1/(Amendoim!$E12:INDEX(Amendoim!$E12:$Z12,MIN(AO$6-$E$3,22))&lt;&gt;""),Amendoim!$E12:INDEX(Amendoim!$E12:$Z12,MIN(AO$6-$E$3,22))),0))-IF($G$2,0,IF((AO$6-$G$3)&lt;1,0,IFERROR(LOOKUP(2,1/(Amendoim!$E12:INDEX(Amendoim!$E12:$Z12,MIN(AO$6-$G$3,22))&lt;&gt;""),Amendoim!$E12:INDEX(Amendoim!$E12:$Z12,MIN(AO$6-$G$3,22))),0)))))</f>
        <v>0</v>
      </c>
      <c r="AP14" s="27" t="n">
        <f aca="false">IF(COUNT(Amendoim!$E12:$Z12)=0,0,MAX(0,IF((AP$6-$E$3)&lt;1,0,IFERROR(LOOKUP(2,1/(Amendoim!$E12:INDEX(Amendoim!$E12:$Z12,MIN(AP$6-$E$3,22))&lt;&gt;""),Amendoim!$E12:INDEX(Amendoim!$E12:$Z12,MIN(AP$6-$E$3,22))),0))-IF($G$2,0,IF((AP$6-$G$3)&lt;1,0,IFERROR(LOOKUP(2,1/(Amendoim!$E12:INDEX(Amendoim!$E12:$Z12,MIN(AP$6-$G$3,22))&lt;&gt;""),Amendoim!$E12:INDEX(Amendoim!$E12:$Z12,MIN(AP$6-$G$3,22))),0)))))</f>
        <v>0</v>
      </c>
      <c r="AQ14" s="27" t="n">
        <f aca="false">IF(COUNT(Amendoim!$E12:$Z12)=0,0,MAX(0,IF((AQ$6-$E$3)&lt;1,0,IFERROR(LOOKUP(2,1/(Amendoim!$E12:INDEX(Amendoim!$E12:$Z12,MIN(AQ$6-$E$3,22))&lt;&gt;""),Amendoim!$E12:INDEX(Amendoim!$E12:$Z12,MIN(AQ$6-$E$3,22))),0))-IF($G$2,0,IF((AQ$6-$G$3)&lt;1,0,IFERROR(LOOKUP(2,1/(Amendoim!$E12:INDEX(Amendoim!$E12:$Z12,MIN(AQ$6-$G$3,22))&lt;&gt;""),Amendoim!$E12:INDEX(Amendoim!$E12:$Z12,MIN(AQ$6-$G$3,22))),0)))))</f>
        <v>0</v>
      </c>
      <c r="AR14" s="27" t="n">
        <f aca="false">IF(COUNT(Amendoim!$E12:$Z12)=0,0,MAX(0,IF((AR$6-$E$3)&lt;1,0,IFERROR(LOOKUP(2,1/(Amendoim!$E12:INDEX(Amendoim!$E12:$Z12,MIN(AR$6-$E$3,22))&lt;&gt;""),Amendoim!$E12:INDEX(Amendoim!$E12:$Z12,MIN(AR$6-$E$3,22))),0))-IF($G$2,0,IF((AR$6-$G$3)&lt;1,0,IFERROR(LOOKUP(2,1/(Amendoim!$E12:INDEX(Amendoim!$E12:$Z12,MIN(AR$6-$G$3,22))&lt;&gt;""),Amendoim!$E12:INDEX(Amendoim!$E12:$Z12,MIN(AR$6-$G$3,22))),0)))))</f>
        <v>0</v>
      </c>
      <c r="AS14" s="27" t="n">
        <f aca="false">IF(COUNT(Amendoim!$E12:$Z12)=0,0,MAX(0,IF((AS$6-$E$3)&lt;1,0,IFERROR(LOOKUP(2,1/(Amendoim!$E12:INDEX(Amendoim!$E12:$Z12,MIN(AS$6-$E$3,22))&lt;&gt;""),Amendoim!$E12:INDEX(Amendoim!$E12:$Z12,MIN(AS$6-$E$3,22))),0))-IF($G$2,0,IF((AS$6-$G$3)&lt;1,0,IFERROR(LOOKUP(2,1/(Amendoim!$E12:INDEX(Amendoim!$E12:$Z12,MIN(AS$6-$G$3,22))&lt;&gt;""),Amendoim!$E12:INDEX(Amendoim!$E12:$Z12,MIN(AS$6-$G$3,22))),0)))))</f>
        <v>0</v>
      </c>
      <c r="AT14" s="27" t="n">
        <f aca="false">IF(COUNT(Amendoim!$E12:$Z12)=0,0,MAX(0,IF((AT$6-$E$3)&lt;1,0,IFERROR(LOOKUP(2,1/(Amendoim!$E12:INDEX(Amendoim!$E12:$Z12,MIN(AT$6-$E$3,22))&lt;&gt;""),Amendoim!$E12:INDEX(Amendoim!$E12:$Z12,MIN(AT$6-$E$3,22))),0))-IF($G$2,0,IF((AT$6-$G$3)&lt;1,0,IFERROR(LOOKUP(2,1/(Amendoim!$E12:INDEX(Amendoim!$E12:$Z12,MIN(AT$6-$G$3,22))&lt;&gt;""),Amendoim!$E12:INDEX(Amendoim!$E12:$Z12,MIN(AT$6-$G$3,22))),0)))))</f>
        <v>0</v>
      </c>
      <c r="AU14" s="27" t="n">
        <f aca="false">IF(COUNT(Amendoim!$E12:$Z12)=0,0,MAX(0,IF((AU$6-$E$3)&lt;1,0,IFERROR(LOOKUP(2,1/(Amendoim!$E12:INDEX(Amendoim!$E12:$Z12,MIN(AU$6-$E$3,22))&lt;&gt;""),Amendoim!$E12:INDEX(Amendoim!$E12:$Z12,MIN(AU$6-$E$3,22))),0))-IF($G$2,0,IF((AU$6-$G$3)&lt;1,0,IFERROR(LOOKUP(2,1/(Amendoim!$E12:INDEX(Amendoim!$E12:$Z12,MIN(AU$6-$G$3,22))&lt;&gt;""),Amendoim!$E12:INDEX(Amendoim!$E12:$Z12,MIN(AU$6-$G$3,22))),0)))))</f>
        <v>0</v>
      </c>
      <c r="AV14" s="27" t="n">
        <f aca="false">IF(COUNT(Amendoim!$E12:$Z12)=0,0,MAX(0,IF((AV$6-$E$3)&lt;1,0,IFERROR(LOOKUP(2,1/(Amendoim!$E12:INDEX(Amendoim!$E12:$Z12,MIN(AV$6-$E$3,22))&lt;&gt;""),Amendoim!$E12:INDEX(Amendoim!$E12:$Z12,MIN(AV$6-$E$3,22))),0))-IF($G$2,0,IF((AV$6-$G$3)&lt;1,0,IFERROR(LOOKUP(2,1/(Amendoim!$E12:INDEX(Amendoim!$E12:$Z12,MIN(AV$6-$G$3,22))&lt;&gt;""),Amendoim!$E12:INDEX(Amendoim!$E12:$Z12,MIN(AV$6-$G$3,22))),0)))))</f>
        <v>0</v>
      </c>
      <c r="AW14" s="27" t="n">
        <f aca="false">IF(COUNT(Amendoim!$E12:$Z12)=0,0,MAX(0,IF((AW$6-$E$3)&lt;1,0,IFERROR(LOOKUP(2,1/(Amendoim!$E12:INDEX(Amendoim!$E12:$Z12,MIN(AW$6-$E$3,22))&lt;&gt;""),Amendoim!$E12:INDEX(Amendoim!$E12:$Z12,MIN(AW$6-$E$3,22))),0))-IF($G$2,0,IF((AW$6-$G$3)&lt;1,0,IFERROR(LOOKUP(2,1/(Amendoim!$E12:INDEX(Amendoim!$E12:$Z12,MIN(AW$6-$G$3,22))&lt;&gt;""),Amendoim!$E12:INDEX(Amendoim!$E12:$Z12,MIN(AW$6-$G$3,22))),0)))))</f>
        <v>0</v>
      </c>
      <c r="AX14" s="27" t="n">
        <f aca="false">IF(COUNT(Amendoim!$E12:$Z12)=0,0,MAX(0,IF((AX$6-$E$3)&lt;1,0,IFERROR(LOOKUP(2,1/(Amendoim!$E12:INDEX(Amendoim!$E12:$Z12,MIN(AX$6-$E$3,22))&lt;&gt;""),Amendoim!$E12:INDEX(Amendoim!$E12:$Z12,MIN(AX$6-$E$3,22))),0))-IF($G$2,0,IF((AX$6-$G$3)&lt;1,0,IFERROR(LOOKUP(2,1/(Amendoim!$E12:INDEX(Amendoim!$E12:$Z12,MIN(AX$6-$G$3,22))&lt;&gt;""),Amendoim!$E12:INDEX(Amendoim!$E12:$Z12,MIN(AX$6-$G$3,22))),0)))))</f>
        <v>0</v>
      </c>
      <c r="AY14" s="27" t="n">
        <f aca="false">IF(COUNT(Amendoim!$E12:$Z12)=0,0,MAX(0,IF((AY$6-$E$3)&lt;1,0,IFERROR(LOOKUP(2,1/(Amendoim!$E12:INDEX(Amendoim!$E12:$Z12,MIN(AY$6-$E$3,22))&lt;&gt;""),Amendoim!$E12:INDEX(Amendoim!$E12:$Z12,MIN(AY$6-$E$3,22))),0))-IF($G$2,0,IF((AY$6-$G$3)&lt;1,0,IFERROR(LOOKUP(2,1/(Amendoim!$E12:INDEX(Amendoim!$E12:$Z12,MIN(AY$6-$G$3,22))&lt;&gt;""),Amendoim!$E12:INDEX(Amendoim!$E12:$Z12,MIN(AY$6-$G$3,22))),0)))))</f>
        <v>0</v>
      </c>
      <c r="AZ14" s="27" t="n">
        <f aca="false">IF(COUNT(Amendoim!$E12:$Z12)=0,0,MAX(0,IF((AZ$6-$E$3)&lt;1,0,IFERROR(LOOKUP(2,1/(Amendoim!$E12:INDEX(Amendoim!$E12:$Z12,MIN(AZ$6-$E$3,22))&lt;&gt;""),Amendoim!$E12:INDEX(Amendoim!$E12:$Z12,MIN(AZ$6-$E$3,22))),0))-IF($G$2,0,IF((AZ$6-$G$3)&lt;1,0,IFERROR(LOOKUP(2,1/(Amendoim!$E12:INDEX(Amendoim!$E12:$Z12,MIN(AZ$6-$G$3,22))&lt;&gt;""),Amendoim!$E12:INDEX(Amendoim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IF(COUNT(Amendoim!$E13:$Z13)&gt;0,N(Amendoim!$D13),0)</f>
        <v>0</v>
      </c>
      <c r="E15" s="27" t="n">
        <f aca="false">IF(COUNT(Amendoim!$E13:$Z13)=0,0,MAX(0,IF((E$6-$E$3)&lt;1,0,IFERROR(LOOKUP(2,1/(Amendoim!$E13:INDEX(Amendoim!$E13:$Z13,MIN(E$6-$E$3,22))&lt;&gt;""),Amendoim!$E13:INDEX(Amendoim!$E13:$Z13,MIN(E$6-$E$3,22))),0))-IF($G$2,0,IF((E$6-$G$3)&lt;1,0,IFERROR(LOOKUP(2,1/(Amendoim!$E13:INDEX(Amendoim!$E13:$Z13,MIN(E$6-$G$3,22))&lt;&gt;""),Amendoim!$E13:INDEX(Amendoim!$E13:$Z13,MIN(E$6-$G$3,22))),0)))))</f>
        <v>0</v>
      </c>
      <c r="F15" s="27" t="n">
        <f aca="false">IF(COUNT(Amendoim!$E13:$Z13)=0,0,MAX(0,IF((F$6-$E$3)&lt;1,0,IFERROR(LOOKUP(2,1/(Amendoim!$E13:INDEX(Amendoim!$E13:$Z13,MIN(F$6-$E$3,22))&lt;&gt;""),Amendoim!$E13:INDEX(Amendoim!$E13:$Z13,MIN(F$6-$E$3,22))),0))-IF($G$2,0,IF((F$6-$G$3)&lt;1,0,IFERROR(LOOKUP(2,1/(Amendoim!$E13:INDEX(Amendoim!$E13:$Z13,MIN(F$6-$G$3,22))&lt;&gt;""),Amendoim!$E13:INDEX(Amendoim!$E13:$Z13,MIN(F$6-$G$3,22))),0)))))</f>
        <v>0</v>
      </c>
      <c r="G15" s="27" t="n">
        <f aca="false">IF(COUNT(Amendoim!$E13:$Z13)=0,0,MAX(0,IF((G$6-$E$3)&lt;1,0,IFERROR(LOOKUP(2,1/(Amendoim!$E13:INDEX(Amendoim!$E13:$Z13,MIN(G$6-$E$3,22))&lt;&gt;""),Amendoim!$E13:INDEX(Amendoim!$E13:$Z13,MIN(G$6-$E$3,22))),0))-IF($G$2,0,IF((G$6-$G$3)&lt;1,0,IFERROR(LOOKUP(2,1/(Amendoim!$E13:INDEX(Amendoim!$E13:$Z13,MIN(G$6-$G$3,22))&lt;&gt;""),Amendoim!$E13:INDEX(Amendoim!$E13:$Z13,MIN(G$6-$G$3,22))),0)))))</f>
        <v>0</v>
      </c>
      <c r="H15" s="27" t="n">
        <f aca="false">IF(COUNT(Amendoim!$E13:$Z13)=0,0,MAX(0,IF((H$6-$E$3)&lt;1,0,IFERROR(LOOKUP(2,1/(Amendoim!$E13:INDEX(Amendoim!$E13:$Z13,MIN(H$6-$E$3,22))&lt;&gt;""),Amendoim!$E13:INDEX(Amendoim!$E13:$Z13,MIN(H$6-$E$3,22))),0))-IF($G$2,0,IF((H$6-$G$3)&lt;1,0,IFERROR(LOOKUP(2,1/(Amendoim!$E13:INDEX(Amendoim!$E13:$Z13,MIN(H$6-$G$3,22))&lt;&gt;""),Amendoim!$E13:INDEX(Amendoim!$E13:$Z13,MIN(H$6-$G$3,22))),0)))))</f>
        <v>0</v>
      </c>
      <c r="I15" s="27" t="n">
        <f aca="false">IF(COUNT(Amendoim!$E13:$Z13)=0,0,MAX(0,IF((I$6-$E$3)&lt;1,0,IFERROR(LOOKUP(2,1/(Amendoim!$E13:INDEX(Amendoim!$E13:$Z13,MIN(I$6-$E$3,22))&lt;&gt;""),Amendoim!$E13:INDEX(Amendoim!$E13:$Z13,MIN(I$6-$E$3,22))),0))-IF($G$2,0,IF((I$6-$G$3)&lt;1,0,IFERROR(LOOKUP(2,1/(Amendoim!$E13:INDEX(Amendoim!$E13:$Z13,MIN(I$6-$G$3,22))&lt;&gt;""),Amendoim!$E13:INDEX(Amendoim!$E13:$Z13,MIN(I$6-$G$3,22))),0)))))</f>
        <v>0</v>
      </c>
      <c r="J15" s="27" t="n">
        <f aca="false">IF(COUNT(Amendoim!$E13:$Z13)=0,0,MAX(0,IF((J$6-$E$3)&lt;1,0,IFERROR(LOOKUP(2,1/(Amendoim!$E13:INDEX(Amendoim!$E13:$Z13,MIN(J$6-$E$3,22))&lt;&gt;""),Amendoim!$E13:INDEX(Amendoim!$E13:$Z13,MIN(J$6-$E$3,22))),0))-IF($G$2,0,IF((J$6-$G$3)&lt;1,0,IFERROR(LOOKUP(2,1/(Amendoim!$E13:INDEX(Amendoim!$E13:$Z13,MIN(J$6-$G$3,22))&lt;&gt;""),Amendoim!$E13:INDEX(Amendoim!$E13:$Z13,MIN(J$6-$G$3,22))),0)))))</f>
        <v>0</v>
      </c>
      <c r="K15" s="27" t="n">
        <f aca="false">IF(COUNT(Amendoim!$E13:$Z13)=0,0,MAX(0,IF((K$6-$E$3)&lt;1,0,IFERROR(LOOKUP(2,1/(Amendoim!$E13:INDEX(Amendoim!$E13:$Z13,MIN(K$6-$E$3,22))&lt;&gt;""),Amendoim!$E13:INDEX(Amendoim!$E13:$Z13,MIN(K$6-$E$3,22))),0))-IF($G$2,0,IF((K$6-$G$3)&lt;1,0,IFERROR(LOOKUP(2,1/(Amendoim!$E13:INDEX(Amendoim!$E13:$Z13,MIN(K$6-$G$3,22))&lt;&gt;""),Amendoim!$E13:INDEX(Amendoim!$E13:$Z13,MIN(K$6-$G$3,22))),0)))))</f>
        <v>0</v>
      </c>
      <c r="L15" s="27" t="n">
        <f aca="false">IF(COUNT(Amendoim!$E13:$Z13)=0,0,MAX(0,IF((L$6-$E$3)&lt;1,0,IFERROR(LOOKUP(2,1/(Amendoim!$E13:INDEX(Amendoim!$E13:$Z13,MIN(L$6-$E$3,22))&lt;&gt;""),Amendoim!$E13:INDEX(Amendoim!$E13:$Z13,MIN(L$6-$E$3,22))),0))-IF($G$2,0,IF((L$6-$G$3)&lt;1,0,IFERROR(LOOKUP(2,1/(Amendoim!$E13:INDEX(Amendoim!$E13:$Z13,MIN(L$6-$G$3,22))&lt;&gt;""),Amendoim!$E13:INDEX(Amendoim!$E13:$Z13,MIN(L$6-$G$3,22))),0)))))</f>
        <v>0</v>
      </c>
      <c r="M15" s="27" t="n">
        <f aca="false">IF(COUNT(Amendoim!$E13:$Z13)=0,0,MAX(0,IF((M$6-$E$3)&lt;1,0,IFERROR(LOOKUP(2,1/(Amendoim!$E13:INDEX(Amendoim!$E13:$Z13,MIN(M$6-$E$3,22))&lt;&gt;""),Amendoim!$E13:INDEX(Amendoim!$E13:$Z13,MIN(M$6-$E$3,22))),0))-IF($G$2,0,IF((M$6-$G$3)&lt;1,0,IFERROR(LOOKUP(2,1/(Amendoim!$E13:INDEX(Amendoim!$E13:$Z13,MIN(M$6-$G$3,22))&lt;&gt;""),Amendoim!$E13:INDEX(Amendoim!$E13:$Z13,MIN(M$6-$G$3,22))),0)))))</f>
        <v>0</v>
      </c>
      <c r="N15" s="27" t="n">
        <f aca="false">IF(COUNT(Amendoim!$E13:$Z13)=0,0,MAX(0,IF((N$6-$E$3)&lt;1,0,IFERROR(LOOKUP(2,1/(Amendoim!$E13:INDEX(Amendoim!$E13:$Z13,MIN(N$6-$E$3,22))&lt;&gt;""),Amendoim!$E13:INDEX(Amendoim!$E13:$Z13,MIN(N$6-$E$3,22))),0))-IF($G$2,0,IF((N$6-$G$3)&lt;1,0,IFERROR(LOOKUP(2,1/(Amendoim!$E13:INDEX(Amendoim!$E13:$Z13,MIN(N$6-$G$3,22))&lt;&gt;""),Amendoim!$E13:INDEX(Amendoim!$E13:$Z13,MIN(N$6-$G$3,22))),0)))))</f>
        <v>0</v>
      </c>
      <c r="O15" s="27" t="n">
        <f aca="false">IF(COUNT(Amendoim!$E13:$Z13)=0,0,MAX(0,IF((O$6-$E$3)&lt;1,0,IFERROR(LOOKUP(2,1/(Amendoim!$E13:INDEX(Amendoim!$E13:$Z13,MIN(O$6-$E$3,22))&lt;&gt;""),Amendoim!$E13:INDEX(Amendoim!$E13:$Z13,MIN(O$6-$E$3,22))),0))-IF($G$2,0,IF((O$6-$G$3)&lt;1,0,IFERROR(LOOKUP(2,1/(Amendoim!$E13:INDEX(Amendoim!$E13:$Z13,MIN(O$6-$G$3,22))&lt;&gt;""),Amendoim!$E13:INDEX(Amendoim!$E13:$Z13,MIN(O$6-$G$3,22))),0)))))</f>
        <v>0</v>
      </c>
      <c r="P15" s="27" t="n">
        <f aca="false">IF(COUNT(Amendoim!$E13:$Z13)=0,0,MAX(0,IF((P$6-$E$3)&lt;1,0,IFERROR(LOOKUP(2,1/(Amendoim!$E13:INDEX(Amendoim!$E13:$Z13,MIN(P$6-$E$3,22))&lt;&gt;""),Amendoim!$E13:INDEX(Amendoim!$E13:$Z13,MIN(P$6-$E$3,22))),0))-IF($G$2,0,IF((P$6-$G$3)&lt;1,0,IFERROR(LOOKUP(2,1/(Amendoim!$E13:INDEX(Amendoim!$E13:$Z13,MIN(P$6-$G$3,22))&lt;&gt;""),Amendoim!$E13:INDEX(Amendoim!$E13:$Z13,MIN(P$6-$G$3,22))),0)))))</f>
        <v>0</v>
      </c>
      <c r="Q15" s="27" t="n">
        <f aca="false">IF(COUNT(Amendoim!$E13:$Z13)=0,0,MAX(0,IF((Q$6-$E$3)&lt;1,0,IFERROR(LOOKUP(2,1/(Amendoim!$E13:INDEX(Amendoim!$E13:$Z13,MIN(Q$6-$E$3,22))&lt;&gt;""),Amendoim!$E13:INDEX(Amendoim!$E13:$Z13,MIN(Q$6-$E$3,22))),0))-IF($G$2,0,IF((Q$6-$G$3)&lt;1,0,IFERROR(LOOKUP(2,1/(Amendoim!$E13:INDEX(Amendoim!$E13:$Z13,MIN(Q$6-$G$3,22))&lt;&gt;""),Amendoim!$E13:INDEX(Amendoim!$E13:$Z13,MIN(Q$6-$G$3,22))),0)))))</f>
        <v>0</v>
      </c>
      <c r="R15" s="27" t="n">
        <f aca="false">IF(COUNT(Amendoim!$E13:$Z13)=0,0,MAX(0,IF((R$6-$E$3)&lt;1,0,IFERROR(LOOKUP(2,1/(Amendoim!$E13:INDEX(Amendoim!$E13:$Z13,MIN(R$6-$E$3,22))&lt;&gt;""),Amendoim!$E13:INDEX(Amendoim!$E13:$Z13,MIN(R$6-$E$3,22))),0))-IF($G$2,0,IF((R$6-$G$3)&lt;1,0,IFERROR(LOOKUP(2,1/(Amendoim!$E13:INDEX(Amendoim!$E13:$Z13,MIN(R$6-$G$3,22))&lt;&gt;""),Amendoim!$E13:INDEX(Amendoim!$E13:$Z13,MIN(R$6-$G$3,22))),0)))))</f>
        <v>0</v>
      </c>
      <c r="S15" s="27" t="n">
        <f aca="false">IF(COUNT(Amendoim!$E13:$Z13)=0,0,MAX(0,IF((S$6-$E$3)&lt;1,0,IFERROR(LOOKUP(2,1/(Amendoim!$E13:INDEX(Amendoim!$E13:$Z13,MIN(S$6-$E$3,22))&lt;&gt;""),Amendoim!$E13:INDEX(Amendoim!$E13:$Z13,MIN(S$6-$E$3,22))),0))-IF($G$2,0,IF((S$6-$G$3)&lt;1,0,IFERROR(LOOKUP(2,1/(Amendoim!$E13:INDEX(Amendoim!$E13:$Z13,MIN(S$6-$G$3,22))&lt;&gt;""),Amendoim!$E13:INDEX(Amendoim!$E13:$Z13,MIN(S$6-$G$3,22))),0)))))</f>
        <v>0</v>
      </c>
      <c r="T15" s="27" t="n">
        <f aca="false">IF(COUNT(Amendoim!$E13:$Z13)=0,0,MAX(0,IF((T$6-$E$3)&lt;1,0,IFERROR(LOOKUP(2,1/(Amendoim!$E13:INDEX(Amendoim!$E13:$Z13,MIN(T$6-$E$3,22))&lt;&gt;""),Amendoim!$E13:INDEX(Amendoim!$E13:$Z13,MIN(T$6-$E$3,22))),0))-IF($G$2,0,IF((T$6-$G$3)&lt;1,0,IFERROR(LOOKUP(2,1/(Amendoim!$E13:INDEX(Amendoim!$E13:$Z13,MIN(T$6-$G$3,22))&lt;&gt;""),Amendoim!$E13:INDEX(Amendoim!$E13:$Z13,MIN(T$6-$G$3,22))),0)))))</f>
        <v>0</v>
      </c>
      <c r="U15" s="27" t="n">
        <f aca="false">IF(COUNT(Amendoim!$E13:$Z13)=0,0,MAX(0,IF((U$6-$E$3)&lt;1,0,IFERROR(LOOKUP(2,1/(Amendoim!$E13:INDEX(Amendoim!$E13:$Z13,MIN(U$6-$E$3,22))&lt;&gt;""),Amendoim!$E13:INDEX(Amendoim!$E13:$Z13,MIN(U$6-$E$3,22))),0))-IF($G$2,0,IF((U$6-$G$3)&lt;1,0,IFERROR(LOOKUP(2,1/(Amendoim!$E13:INDEX(Amendoim!$E13:$Z13,MIN(U$6-$G$3,22))&lt;&gt;""),Amendoim!$E13:INDEX(Amendoim!$E13:$Z13,MIN(U$6-$G$3,22))),0)))))</f>
        <v>0</v>
      </c>
      <c r="V15" s="27" t="n">
        <f aca="false">IF(COUNT(Amendoim!$E13:$Z13)=0,0,MAX(0,IF((V$6-$E$3)&lt;1,0,IFERROR(LOOKUP(2,1/(Amendoim!$E13:INDEX(Amendoim!$E13:$Z13,MIN(V$6-$E$3,22))&lt;&gt;""),Amendoim!$E13:INDEX(Amendoim!$E13:$Z13,MIN(V$6-$E$3,22))),0))-IF($G$2,0,IF((V$6-$G$3)&lt;1,0,IFERROR(LOOKUP(2,1/(Amendoim!$E13:INDEX(Amendoim!$E13:$Z13,MIN(V$6-$G$3,22))&lt;&gt;""),Amendoim!$E13:INDEX(Amendoim!$E13:$Z13,MIN(V$6-$G$3,22))),0)))))</f>
        <v>0</v>
      </c>
      <c r="W15" s="27" t="n">
        <f aca="false">IF(COUNT(Amendoim!$E13:$Z13)=0,0,MAX(0,IF((W$6-$E$3)&lt;1,0,IFERROR(LOOKUP(2,1/(Amendoim!$E13:INDEX(Amendoim!$E13:$Z13,MIN(W$6-$E$3,22))&lt;&gt;""),Amendoim!$E13:INDEX(Amendoim!$E13:$Z13,MIN(W$6-$E$3,22))),0))-IF($G$2,0,IF((W$6-$G$3)&lt;1,0,IFERROR(LOOKUP(2,1/(Amendoim!$E13:INDEX(Amendoim!$E13:$Z13,MIN(W$6-$G$3,22))&lt;&gt;""),Amendoim!$E13:INDEX(Amendoim!$E13:$Z13,MIN(W$6-$G$3,22))),0)))))</f>
        <v>0</v>
      </c>
      <c r="X15" s="27" t="n">
        <f aca="false">IF(COUNT(Amendoim!$E13:$Z13)=0,0,MAX(0,IF((X$6-$E$3)&lt;1,0,IFERROR(LOOKUP(2,1/(Amendoim!$E13:INDEX(Amendoim!$E13:$Z13,MIN(X$6-$E$3,22))&lt;&gt;""),Amendoim!$E13:INDEX(Amendoim!$E13:$Z13,MIN(X$6-$E$3,22))),0))-IF($G$2,0,IF((X$6-$G$3)&lt;1,0,IFERROR(LOOKUP(2,1/(Amendoim!$E13:INDEX(Amendoim!$E13:$Z13,MIN(X$6-$G$3,22))&lt;&gt;""),Amendoim!$E13:INDEX(Amendoim!$E13:$Z13,MIN(X$6-$G$3,22))),0)))))</f>
        <v>0</v>
      </c>
      <c r="Y15" s="27" t="n">
        <f aca="false">IF(COUNT(Amendoim!$E13:$Z13)=0,0,MAX(0,IF((Y$6-$E$3)&lt;1,0,IFERROR(LOOKUP(2,1/(Amendoim!$E13:INDEX(Amendoim!$E13:$Z13,MIN(Y$6-$E$3,22))&lt;&gt;""),Amendoim!$E13:INDEX(Amendoim!$E13:$Z13,MIN(Y$6-$E$3,22))),0))-IF($G$2,0,IF((Y$6-$G$3)&lt;1,0,IFERROR(LOOKUP(2,1/(Amendoim!$E13:INDEX(Amendoim!$E13:$Z13,MIN(Y$6-$G$3,22))&lt;&gt;""),Amendoim!$E13:INDEX(Amendoim!$E13:$Z13,MIN(Y$6-$G$3,22))),0)))))</f>
        <v>0</v>
      </c>
      <c r="Z15" s="27" t="n">
        <f aca="false">IF(COUNT(Amendoim!$E13:$Z13)=0,0,MAX(0,IF((Z$6-$E$3)&lt;1,0,IFERROR(LOOKUP(2,1/(Amendoim!$E13:INDEX(Amendoim!$E13:$Z13,MIN(Z$6-$E$3,22))&lt;&gt;""),Amendoim!$E13:INDEX(Amendoim!$E13:$Z13,MIN(Z$6-$E$3,22))),0))-IF($G$2,0,IF((Z$6-$G$3)&lt;1,0,IFERROR(LOOKUP(2,1/(Amendoim!$E13:INDEX(Amendoim!$E13:$Z13,MIN(Z$6-$G$3,22))&lt;&gt;""),Amendoim!$E13:INDEX(Amendoim!$E13:$Z13,MIN(Z$6-$G$3,22))),0)))))</f>
        <v>0</v>
      </c>
      <c r="AA15" s="27" t="n">
        <f aca="false">IF(COUNT(Amendoim!$E13:$Z13)=0,0,MAX(0,IF((AA$6-$E$3)&lt;1,0,IFERROR(LOOKUP(2,1/(Amendoim!$E13:INDEX(Amendoim!$E13:$Z13,MIN(AA$6-$E$3,22))&lt;&gt;""),Amendoim!$E13:INDEX(Amendoim!$E13:$Z13,MIN(AA$6-$E$3,22))),0))-IF($G$2,0,IF((AA$6-$G$3)&lt;1,0,IFERROR(LOOKUP(2,1/(Amendoim!$E13:INDEX(Amendoim!$E13:$Z13,MIN(AA$6-$G$3,22))&lt;&gt;""),Amendoim!$E13:INDEX(Amendoim!$E13:$Z13,MIN(AA$6-$G$3,22))),0)))))</f>
        <v>0</v>
      </c>
      <c r="AB15" s="27" t="n">
        <f aca="false">IF(COUNT(Amendoim!$E13:$Z13)=0,0,MAX(0,IF((AB$6-$E$3)&lt;1,0,IFERROR(LOOKUP(2,1/(Amendoim!$E13:INDEX(Amendoim!$E13:$Z13,MIN(AB$6-$E$3,22))&lt;&gt;""),Amendoim!$E13:INDEX(Amendoim!$E13:$Z13,MIN(AB$6-$E$3,22))),0))-IF($G$2,0,IF((AB$6-$G$3)&lt;1,0,IFERROR(LOOKUP(2,1/(Amendoim!$E13:INDEX(Amendoim!$E13:$Z13,MIN(AB$6-$G$3,22))&lt;&gt;""),Amendoim!$E13:INDEX(Amendoim!$E13:$Z13,MIN(AB$6-$G$3,22))),0)))))</f>
        <v>0</v>
      </c>
      <c r="AC15" s="27" t="n">
        <f aca="false">IF(COUNT(Amendoim!$E13:$Z13)=0,0,MAX(0,IF((AC$6-$E$3)&lt;1,0,IFERROR(LOOKUP(2,1/(Amendoim!$E13:INDEX(Amendoim!$E13:$Z13,MIN(AC$6-$E$3,22))&lt;&gt;""),Amendoim!$E13:INDEX(Amendoim!$E13:$Z13,MIN(AC$6-$E$3,22))),0))-IF($G$2,0,IF((AC$6-$G$3)&lt;1,0,IFERROR(LOOKUP(2,1/(Amendoim!$E13:INDEX(Amendoim!$E13:$Z13,MIN(AC$6-$G$3,22))&lt;&gt;""),Amendoim!$E13:INDEX(Amendoim!$E13:$Z13,MIN(AC$6-$G$3,22))),0)))))</f>
        <v>0</v>
      </c>
      <c r="AD15" s="27" t="n">
        <f aca="false">IF(COUNT(Amendoim!$E13:$Z13)=0,0,MAX(0,IF((AD$6-$E$3)&lt;1,0,IFERROR(LOOKUP(2,1/(Amendoim!$E13:INDEX(Amendoim!$E13:$Z13,MIN(AD$6-$E$3,22))&lt;&gt;""),Amendoim!$E13:INDEX(Amendoim!$E13:$Z13,MIN(AD$6-$E$3,22))),0))-IF($G$2,0,IF((AD$6-$G$3)&lt;1,0,IFERROR(LOOKUP(2,1/(Amendoim!$E13:INDEX(Amendoim!$E13:$Z13,MIN(AD$6-$G$3,22))&lt;&gt;""),Amendoim!$E13:INDEX(Amendoim!$E13:$Z13,MIN(AD$6-$G$3,22))),0)))))</f>
        <v>0</v>
      </c>
      <c r="AE15" s="27" t="n">
        <f aca="false">IF(COUNT(Amendoim!$E13:$Z13)=0,0,MAX(0,IF((AE$6-$E$3)&lt;1,0,IFERROR(LOOKUP(2,1/(Amendoim!$E13:INDEX(Amendoim!$E13:$Z13,MIN(AE$6-$E$3,22))&lt;&gt;""),Amendoim!$E13:INDEX(Amendoim!$E13:$Z13,MIN(AE$6-$E$3,22))),0))-IF($G$2,0,IF((AE$6-$G$3)&lt;1,0,IFERROR(LOOKUP(2,1/(Amendoim!$E13:INDEX(Amendoim!$E13:$Z13,MIN(AE$6-$G$3,22))&lt;&gt;""),Amendoim!$E13:INDEX(Amendoim!$E13:$Z13,MIN(AE$6-$G$3,22))),0)))))</f>
        <v>0</v>
      </c>
      <c r="AF15" s="27" t="n">
        <f aca="false">IF(COUNT(Amendoim!$E13:$Z13)=0,0,MAX(0,IF((AF$6-$E$3)&lt;1,0,IFERROR(LOOKUP(2,1/(Amendoim!$E13:INDEX(Amendoim!$E13:$Z13,MIN(AF$6-$E$3,22))&lt;&gt;""),Amendoim!$E13:INDEX(Amendoim!$E13:$Z13,MIN(AF$6-$E$3,22))),0))-IF($G$2,0,IF((AF$6-$G$3)&lt;1,0,IFERROR(LOOKUP(2,1/(Amendoim!$E13:INDEX(Amendoim!$E13:$Z13,MIN(AF$6-$G$3,22))&lt;&gt;""),Amendoim!$E13:INDEX(Amendoim!$E13:$Z13,MIN(AF$6-$G$3,22))),0)))))</f>
        <v>0</v>
      </c>
      <c r="AG15" s="27" t="n">
        <f aca="false">IF(COUNT(Amendoim!$E13:$Z13)=0,0,MAX(0,IF((AG$6-$E$3)&lt;1,0,IFERROR(LOOKUP(2,1/(Amendoim!$E13:INDEX(Amendoim!$E13:$Z13,MIN(AG$6-$E$3,22))&lt;&gt;""),Amendoim!$E13:INDEX(Amendoim!$E13:$Z13,MIN(AG$6-$E$3,22))),0))-IF($G$2,0,IF((AG$6-$G$3)&lt;1,0,IFERROR(LOOKUP(2,1/(Amendoim!$E13:INDEX(Amendoim!$E13:$Z13,MIN(AG$6-$G$3,22))&lt;&gt;""),Amendoim!$E13:INDEX(Amendoim!$E13:$Z13,MIN(AG$6-$G$3,22))),0)))))</f>
        <v>0</v>
      </c>
      <c r="AH15" s="27" t="n">
        <f aca="false">IF(COUNT(Amendoim!$E13:$Z13)=0,0,MAX(0,IF((AH$6-$E$3)&lt;1,0,IFERROR(LOOKUP(2,1/(Amendoim!$E13:INDEX(Amendoim!$E13:$Z13,MIN(AH$6-$E$3,22))&lt;&gt;""),Amendoim!$E13:INDEX(Amendoim!$E13:$Z13,MIN(AH$6-$E$3,22))),0))-IF($G$2,0,IF((AH$6-$G$3)&lt;1,0,IFERROR(LOOKUP(2,1/(Amendoim!$E13:INDEX(Amendoim!$E13:$Z13,MIN(AH$6-$G$3,22))&lt;&gt;""),Amendoim!$E13:INDEX(Amendoim!$E13:$Z13,MIN(AH$6-$G$3,22))),0)))))</f>
        <v>0</v>
      </c>
      <c r="AI15" s="27" t="n">
        <f aca="false">IF(COUNT(Amendoim!$E13:$Z13)=0,0,MAX(0,IF((AI$6-$E$3)&lt;1,0,IFERROR(LOOKUP(2,1/(Amendoim!$E13:INDEX(Amendoim!$E13:$Z13,MIN(AI$6-$E$3,22))&lt;&gt;""),Amendoim!$E13:INDEX(Amendoim!$E13:$Z13,MIN(AI$6-$E$3,22))),0))-IF($G$2,0,IF((AI$6-$G$3)&lt;1,0,IFERROR(LOOKUP(2,1/(Amendoim!$E13:INDEX(Amendoim!$E13:$Z13,MIN(AI$6-$G$3,22))&lt;&gt;""),Amendoim!$E13:INDEX(Amendoim!$E13:$Z13,MIN(AI$6-$G$3,22))),0)))))</f>
        <v>0</v>
      </c>
      <c r="AJ15" s="27" t="n">
        <f aca="false">IF(COUNT(Amendoim!$E13:$Z13)=0,0,MAX(0,IF((AJ$6-$E$3)&lt;1,0,IFERROR(LOOKUP(2,1/(Amendoim!$E13:INDEX(Amendoim!$E13:$Z13,MIN(AJ$6-$E$3,22))&lt;&gt;""),Amendoim!$E13:INDEX(Amendoim!$E13:$Z13,MIN(AJ$6-$E$3,22))),0))-IF($G$2,0,IF((AJ$6-$G$3)&lt;1,0,IFERROR(LOOKUP(2,1/(Amendoim!$E13:INDEX(Amendoim!$E13:$Z13,MIN(AJ$6-$G$3,22))&lt;&gt;""),Amendoim!$E13:INDEX(Amendoim!$E13:$Z13,MIN(AJ$6-$G$3,22))),0)))))</f>
        <v>0</v>
      </c>
      <c r="AK15" s="27" t="n">
        <f aca="false">IF(COUNT(Amendoim!$E13:$Z13)=0,0,MAX(0,IF((AK$6-$E$3)&lt;1,0,IFERROR(LOOKUP(2,1/(Amendoim!$E13:INDEX(Amendoim!$E13:$Z13,MIN(AK$6-$E$3,22))&lt;&gt;""),Amendoim!$E13:INDEX(Amendoim!$E13:$Z13,MIN(AK$6-$E$3,22))),0))-IF($G$2,0,IF((AK$6-$G$3)&lt;1,0,IFERROR(LOOKUP(2,1/(Amendoim!$E13:INDEX(Amendoim!$E13:$Z13,MIN(AK$6-$G$3,22))&lt;&gt;""),Amendoim!$E13:INDEX(Amendoim!$E13:$Z13,MIN(AK$6-$G$3,22))),0)))))</f>
        <v>0</v>
      </c>
      <c r="AL15" s="27" t="n">
        <f aca="false">IF(COUNT(Amendoim!$E13:$Z13)=0,0,MAX(0,IF((AL$6-$E$3)&lt;1,0,IFERROR(LOOKUP(2,1/(Amendoim!$E13:INDEX(Amendoim!$E13:$Z13,MIN(AL$6-$E$3,22))&lt;&gt;""),Amendoim!$E13:INDEX(Amendoim!$E13:$Z13,MIN(AL$6-$E$3,22))),0))-IF($G$2,0,IF((AL$6-$G$3)&lt;1,0,IFERROR(LOOKUP(2,1/(Amendoim!$E13:INDEX(Amendoim!$E13:$Z13,MIN(AL$6-$G$3,22))&lt;&gt;""),Amendoim!$E13:INDEX(Amendoim!$E13:$Z13,MIN(AL$6-$G$3,22))),0)))))</f>
        <v>0</v>
      </c>
      <c r="AM15" s="27" t="n">
        <f aca="false">IF(COUNT(Amendoim!$E13:$Z13)=0,0,MAX(0,IF((AM$6-$E$3)&lt;1,0,IFERROR(LOOKUP(2,1/(Amendoim!$E13:INDEX(Amendoim!$E13:$Z13,MIN(AM$6-$E$3,22))&lt;&gt;""),Amendoim!$E13:INDEX(Amendoim!$E13:$Z13,MIN(AM$6-$E$3,22))),0))-IF($G$2,0,IF((AM$6-$G$3)&lt;1,0,IFERROR(LOOKUP(2,1/(Amendoim!$E13:INDEX(Amendoim!$E13:$Z13,MIN(AM$6-$G$3,22))&lt;&gt;""),Amendoim!$E13:INDEX(Amendoim!$E13:$Z13,MIN(AM$6-$G$3,22))),0)))))</f>
        <v>0</v>
      </c>
      <c r="AN15" s="27" t="n">
        <f aca="false">IF(COUNT(Amendoim!$E13:$Z13)=0,0,MAX(0,IF((AN$6-$E$3)&lt;1,0,IFERROR(LOOKUP(2,1/(Amendoim!$E13:INDEX(Amendoim!$E13:$Z13,MIN(AN$6-$E$3,22))&lt;&gt;""),Amendoim!$E13:INDEX(Amendoim!$E13:$Z13,MIN(AN$6-$E$3,22))),0))-IF($G$2,0,IF((AN$6-$G$3)&lt;1,0,IFERROR(LOOKUP(2,1/(Amendoim!$E13:INDEX(Amendoim!$E13:$Z13,MIN(AN$6-$G$3,22))&lt;&gt;""),Amendoim!$E13:INDEX(Amendoim!$E13:$Z13,MIN(AN$6-$G$3,22))),0)))))</f>
        <v>0</v>
      </c>
      <c r="AO15" s="27" t="n">
        <f aca="false">IF(COUNT(Amendoim!$E13:$Z13)=0,0,MAX(0,IF((AO$6-$E$3)&lt;1,0,IFERROR(LOOKUP(2,1/(Amendoim!$E13:INDEX(Amendoim!$E13:$Z13,MIN(AO$6-$E$3,22))&lt;&gt;""),Amendoim!$E13:INDEX(Amendoim!$E13:$Z13,MIN(AO$6-$E$3,22))),0))-IF($G$2,0,IF((AO$6-$G$3)&lt;1,0,IFERROR(LOOKUP(2,1/(Amendoim!$E13:INDEX(Amendoim!$E13:$Z13,MIN(AO$6-$G$3,22))&lt;&gt;""),Amendoim!$E13:INDEX(Amendoim!$E13:$Z13,MIN(AO$6-$G$3,22))),0)))))</f>
        <v>0</v>
      </c>
      <c r="AP15" s="27" t="n">
        <f aca="false">IF(COUNT(Amendoim!$E13:$Z13)=0,0,MAX(0,IF((AP$6-$E$3)&lt;1,0,IFERROR(LOOKUP(2,1/(Amendoim!$E13:INDEX(Amendoim!$E13:$Z13,MIN(AP$6-$E$3,22))&lt;&gt;""),Amendoim!$E13:INDEX(Amendoim!$E13:$Z13,MIN(AP$6-$E$3,22))),0))-IF($G$2,0,IF((AP$6-$G$3)&lt;1,0,IFERROR(LOOKUP(2,1/(Amendoim!$E13:INDEX(Amendoim!$E13:$Z13,MIN(AP$6-$G$3,22))&lt;&gt;""),Amendoim!$E13:INDEX(Amendoim!$E13:$Z13,MIN(AP$6-$G$3,22))),0)))))</f>
        <v>0</v>
      </c>
      <c r="AQ15" s="27" t="n">
        <f aca="false">IF(COUNT(Amendoim!$E13:$Z13)=0,0,MAX(0,IF((AQ$6-$E$3)&lt;1,0,IFERROR(LOOKUP(2,1/(Amendoim!$E13:INDEX(Amendoim!$E13:$Z13,MIN(AQ$6-$E$3,22))&lt;&gt;""),Amendoim!$E13:INDEX(Amendoim!$E13:$Z13,MIN(AQ$6-$E$3,22))),0))-IF($G$2,0,IF((AQ$6-$G$3)&lt;1,0,IFERROR(LOOKUP(2,1/(Amendoim!$E13:INDEX(Amendoim!$E13:$Z13,MIN(AQ$6-$G$3,22))&lt;&gt;""),Amendoim!$E13:INDEX(Amendoim!$E13:$Z13,MIN(AQ$6-$G$3,22))),0)))))</f>
        <v>0</v>
      </c>
      <c r="AR15" s="27" t="n">
        <f aca="false">IF(COUNT(Amendoim!$E13:$Z13)=0,0,MAX(0,IF((AR$6-$E$3)&lt;1,0,IFERROR(LOOKUP(2,1/(Amendoim!$E13:INDEX(Amendoim!$E13:$Z13,MIN(AR$6-$E$3,22))&lt;&gt;""),Amendoim!$E13:INDEX(Amendoim!$E13:$Z13,MIN(AR$6-$E$3,22))),0))-IF($G$2,0,IF((AR$6-$G$3)&lt;1,0,IFERROR(LOOKUP(2,1/(Amendoim!$E13:INDEX(Amendoim!$E13:$Z13,MIN(AR$6-$G$3,22))&lt;&gt;""),Amendoim!$E13:INDEX(Amendoim!$E13:$Z13,MIN(AR$6-$G$3,22))),0)))))</f>
        <v>0</v>
      </c>
      <c r="AS15" s="27" t="n">
        <f aca="false">IF(COUNT(Amendoim!$E13:$Z13)=0,0,MAX(0,IF((AS$6-$E$3)&lt;1,0,IFERROR(LOOKUP(2,1/(Amendoim!$E13:INDEX(Amendoim!$E13:$Z13,MIN(AS$6-$E$3,22))&lt;&gt;""),Amendoim!$E13:INDEX(Amendoim!$E13:$Z13,MIN(AS$6-$E$3,22))),0))-IF($G$2,0,IF((AS$6-$G$3)&lt;1,0,IFERROR(LOOKUP(2,1/(Amendoim!$E13:INDEX(Amendoim!$E13:$Z13,MIN(AS$6-$G$3,22))&lt;&gt;""),Amendoim!$E13:INDEX(Amendoim!$E13:$Z13,MIN(AS$6-$G$3,22))),0)))))</f>
        <v>0</v>
      </c>
      <c r="AT15" s="27" t="n">
        <f aca="false">IF(COUNT(Amendoim!$E13:$Z13)=0,0,MAX(0,IF((AT$6-$E$3)&lt;1,0,IFERROR(LOOKUP(2,1/(Amendoim!$E13:INDEX(Amendoim!$E13:$Z13,MIN(AT$6-$E$3,22))&lt;&gt;""),Amendoim!$E13:INDEX(Amendoim!$E13:$Z13,MIN(AT$6-$E$3,22))),0))-IF($G$2,0,IF((AT$6-$G$3)&lt;1,0,IFERROR(LOOKUP(2,1/(Amendoim!$E13:INDEX(Amendoim!$E13:$Z13,MIN(AT$6-$G$3,22))&lt;&gt;""),Amendoim!$E13:INDEX(Amendoim!$E13:$Z13,MIN(AT$6-$G$3,22))),0)))))</f>
        <v>0</v>
      </c>
      <c r="AU15" s="27" t="n">
        <f aca="false">IF(COUNT(Amendoim!$E13:$Z13)=0,0,MAX(0,IF((AU$6-$E$3)&lt;1,0,IFERROR(LOOKUP(2,1/(Amendoim!$E13:INDEX(Amendoim!$E13:$Z13,MIN(AU$6-$E$3,22))&lt;&gt;""),Amendoim!$E13:INDEX(Amendoim!$E13:$Z13,MIN(AU$6-$E$3,22))),0))-IF($G$2,0,IF((AU$6-$G$3)&lt;1,0,IFERROR(LOOKUP(2,1/(Amendoim!$E13:INDEX(Amendoim!$E13:$Z13,MIN(AU$6-$G$3,22))&lt;&gt;""),Amendoim!$E13:INDEX(Amendoim!$E13:$Z13,MIN(AU$6-$G$3,22))),0)))))</f>
        <v>0</v>
      </c>
      <c r="AV15" s="27" t="n">
        <f aca="false">IF(COUNT(Amendoim!$E13:$Z13)=0,0,MAX(0,IF((AV$6-$E$3)&lt;1,0,IFERROR(LOOKUP(2,1/(Amendoim!$E13:INDEX(Amendoim!$E13:$Z13,MIN(AV$6-$E$3,22))&lt;&gt;""),Amendoim!$E13:INDEX(Amendoim!$E13:$Z13,MIN(AV$6-$E$3,22))),0))-IF($G$2,0,IF((AV$6-$G$3)&lt;1,0,IFERROR(LOOKUP(2,1/(Amendoim!$E13:INDEX(Amendoim!$E13:$Z13,MIN(AV$6-$G$3,22))&lt;&gt;""),Amendoim!$E13:INDEX(Amendoim!$E13:$Z13,MIN(AV$6-$G$3,22))),0)))))</f>
        <v>0</v>
      </c>
      <c r="AW15" s="27" t="n">
        <f aca="false">IF(COUNT(Amendoim!$E13:$Z13)=0,0,MAX(0,IF((AW$6-$E$3)&lt;1,0,IFERROR(LOOKUP(2,1/(Amendoim!$E13:INDEX(Amendoim!$E13:$Z13,MIN(AW$6-$E$3,22))&lt;&gt;""),Amendoim!$E13:INDEX(Amendoim!$E13:$Z13,MIN(AW$6-$E$3,22))),0))-IF($G$2,0,IF((AW$6-$G$3)&lt;1,0,IFERROR(LOOKUP(2,1/(Amendoim!$E13:INDEX(Amendoim!$E13:$Z13,MIN(AW$6-$G$3,22))&lt;&gt;""),Amendoim!$E13:INDEX(Amendoim!$E13:$Z13,MIN(AW$6-$G$3,22))),0)))))</f>
        <v>0</v>
      </c>
      <c r="AX15" s="27" t="n">
        <f aca="false">IF(COUNT(Amendoim!$E13:$Z13)=0,0,MAX(0,IF((AX$6-$E$3)&lt;1,0,IFERROR(LOOKUP(2,1/(Amendoim!$E13:INDEX(Amendoim!$E13:$Z13,MIN(AX$6-$E$3,22))&lt;&gt;""),Amendoim!$E13:INDEX(Amendoim!$E13:$Z13,MIN(AX$6-$E$3,22))),0))-IF($G$2,0,IF((AX$6-$G$3)&lt;1,0,IFERROR(LOOKUP(2,1/(Amendoim!$E13:INDEX(Amendoim!$E13:$Z13,MIN(AX$6-$G$3,22))&lt;&gt;""),Amendoim!$E13:INDEX(Amendoim!$E13:$Z13,MIN(AX$6-$G$3,22))),0)))))</f>
        <v>0</v>
      </c>
      <c r="AY15" s="27" t="n">
        <f aca="false">IF(COUNT(Amendoim!$E13:$Z13)=0,0,MAX(0,IF((AY$6-$E$3)&lt;1,0,IFERROR(LOOKUP(2,1/(Amendoim!$E13:INDEX(Amendoim!$E13:$Z13,MIN(AY$6-$E$3,22))&lt;&gt;""),Amendoim!$E13:INDEX(Amendoim!$E13:$Z13,MIN(AY$6-$E$3,22))),0))-IF($G$2,0,IF((AY$6-$G$3)&lt;1,0,IFERROR(LOOKUP(2,1/(Amendoim!$E13:INDEX(Amendoim!$E13:$Z13,MIN(AY$6-$G$3,22))&lt;&gt;""),Amendoim!$E13:INDEX(Amendoim!$E13:$Z13,MIN(AY$6-$G$3,22))),0)))))</f>
        <v>0</v>
      </c>
      <c r="AZ15" s="27" t="n">
        <f aca="false">IF(COUNT(Amendoim!$E13:$Z13)=0,0,MAX(0,IF((AZ$6-$E$3)&lt;1,0,IFERROR(LOOKUP(2,1/(Amendoim!$E13:INDEX(Amendoim!$E13:$Z13,MIN(AZ$6-$E$3,22))&lt;&gt;""),Amendoim!$E13:INDEX(Amendoim!$E13:$Z13,MIN(AZ$6-$E$3,22))),0))-IF($G$2,0,IF((AZ$6-$G$3)&lt;1,0,IFERROR(LOOKUP(2,1/(Amendoim!$E13:INDEX(Amendoim!$E13:$Z13,MIN(AZ$6-$G$3,22))&lt;&gt;""),Amendoim!$E13:INDEX(Amendoim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IF(COUNT(Amendoim!$E14:$Z14)&gt;0,N(Amendoim!$D14),0)</f>
        <v>0</v>
      </c>
      <c r="E16" s="27" t="n">
        <f aca="false">IF(COUNT(Amendoim!$E14:$Z14)=0,0,MAX(0,IF((E$6-$E$3)&lt;1,0,IFERROR(LOOKUP(2,1/(Amendoim!$E14:INDEX(Amendoim!$E14:$Z14,MIN(E$6-$E$3,22))&lt;&gt;""),Amendoim!$E14:INDEX(Amendoim!$E14:$Z14,MIN(E$6-$E$3,22))),0))-IF($G$2,0,IF((E$6-$G$3)&lt;1,0,IFERROR(LOOKUP(2,1/(Amendoim!$E14:INDEX(Amendoim!$E14:$Z14,MIN(E$6-$G$3,22))&lt;&gt;""),Amendoim!$E14:INDEX(Amendoim!$E14:$Z14,MIN(E$6-$G$3,22))),0)))))</f>
        <v>0</v>
      </c>
      <c r="F16" s="27" t="n">
        <f aca="false">IF(COUNT(Amendoim!$E14:$Z14)=0,0,MAX(0,IF((F$6-$E$3)&lt;1,0,IFERROR(LOOKUP(2,1/(Amendoim!$E14:INDEX(Amendoim!$E14:$Z14,MIN(F$6-$E$3,22))&lt;&gt;""),Amendoim!$E14:INDEX(Amendoim!$E14:$Z14,MIN(F$6-$E$3,22))),0))-IF($G$2,0,IF((F$6-$G$3)&lt;1,0,IFERROR(LOOKUP(2,1/(Amendoim!$E14:INDEX(Amendoim!$E14:$Z14,MIN(F$6-$G$3,22))&lt;&gt;""),Amendoim!$E14:INDEX(Amendoim!$E14:$Z14,MIN(F$6-$G$3,22))),0)))))</f>
        <v>0</v>
      </c>
      <c r="G16" s="27" t="n">
        <f aca="false">IF(COUNT(Amendoim!$E14:$Z14)=0,0,MAX(0,IF((G$6-$E$3)&lt;1,0,IFERROR(LOOKUP(2,1/(Amendoim!$E14:INDEX(Amendoim!$E14:$Z14,MIN(G$6-$E$3,22))&lt;&gt;""),Amendoim!$E14:INDEX(Amendoim!$E14:$Z14,MIN(G$6-$E$3,22))),0))-IF($G$2,0,IF((G$6-$G$3)&lt;1,0,IFERROR(LOOKUP(2,1/(Amendoim!$E14:INDEX(Amendoim!$E14:$Z14,MIN(G$6-$G$3,22))&lt;&gt;""),Amendoim!$E14:INDEX(Amendoim!$E14:$Z14,MIN(G$6-$G$3,22))),0)))))</f>
        <v>0</v>
      </c>
      <c r="H16" s="27" t="n">
        <f aca="false">IF(COUNT(Amendoim!$E14:$Z14)=0,0,MAX(0,IF((H$6-$E$3)&lt;1,0,IFERROR(LOOKUP(2,1/(Amendoim!$E14:INDEX(Amendoim!$E14:$Z14,MIN(H$6-$E$3,22))&lt;&gt;""),Amendoim!$E14:INDEX(Amendoim!$E14:$Z14,MIN(H$6-$E$3,22))),0))-IF($G$2,0,IF((H$6-$G$3)&lt;1,0,IFERROR(LOOKUP(2,1/(Amendoim!$E14:INDEX(Amendoim!$E14:$Z14,MIN(H$6-$G$3,22))&lt;&gt;""),Amendoim!$E14:INDEX(Amendoim!$E14:$Z14,MIN(H$6-$G$3,22))),0)))))</f>
        <v>0</v>
      </c>
      <c r="I16" s="27" t="n">
        <f aca="false">IF(COUNT(Amendoim!$E14:$Z14)=0,0,MAX(0,IF((I$6-$E$3)&lt;1,0,IFERROR(LOOKUP(2,1/(Amendoim!$E14:INDEX(Amendoim!$E14:$Z14,MIN(I$6-$E$3,22))&lt;&gt;""),Amendoim!$E14:INDEX(Amendoim!$E14:$Z14,MIN(I$6-$E$3,22))),0))-IF($G$2,0,IF((I$6-$G$3)&lt;1,0,IFERROR(LOOKUP(2,1/(Amendoim!$E14:INDEX(Amendoim!$E14:$Z14,MIN(I$6-$G$3,22))&lt;&gt;""),Amendoim!$E14:INDEX(Amendoim!$E14:$Z14,MIN(I$6-$G$3,22))),0)))))</f>
        <v>0</v>
      </c>
      <c r="J16" s="27" t="n">
        <f aca="false">IF(COUNT(Amendoim!$E14:$Z14)=0,0,MAX(0,IF((J$6-$E$3)&lt;1,0,IFERROR(LOOKUP(2,1/(Amendoim!$E14:INDEX(Amendoim!$E14:$Z14,MIN(J$6-$E$3,22))&lt;&gt;""),Amendoim!$E14:INDEX(Amendoim!$E14:$Z14,MIN(J$6-$E$3,22))),0))-IF($G$2,0,IF((J$6-$G$3)&lt;1,0,IFERROR(LOOKUP(2,1/(Amendoim!$E14:INDEX(Amendoim!$E14:$Z14,MIN(J$6-$G$3,22))&lt;&gt;""),Amendoim!$E14:INDEX(Amendoim!$E14:$Z14,MIN(J$6-$G$3,22))),0)))))</f>
        <v>0</v>
      </c>
      <c r="K16" s="27" t="n">
        <f aca="false">IF(COUNT(Amendoim!$E14:$Z14)=0,0,MAX(0,IF((K$6-$E$3)&lt;1,0,IFERROR(LOOKUP(2,1/(Amendoim!$E14:INDEX(Amendoim!$E14:$Z14,MIN(K$6-$E$3,22))&lt;&gt;""),Amendoim!$E14:INDEX(Amendoim!$E14:$Z14,MIN(K$6-$E$3,22))),0))-IF($G$2,0,IF((K$6-$G$3)&lt;1,0,IFERROR(LOOKUP(2,1/(Amendoim!$E14:INDEX(Amendoim!$E14:$Z14,MIN(K$6-$G$3,22))&lt;&gt;""),Amendoim!$E14:INDEX(Amendoim!$E14:$Z14,MIN(K$6-$G$3,22))),0)))))</f>
        <v>0</v>
      </c>
      <c r="L16" s="27" t="n">
        <f aca="false">IF(COUNT(Amendoim!$E14:$Z14)=0,0,MAX(0,IF((L$6-$E$3)&lt;1,0,IFERROR(LOOKUP(2,1/(Amendoim!$E14:INDEX(Amendoim!$E14:$Z14,MIN(L$6-$E$3,22))&lt;&gt;""),Amendoim!$E14:INDEX(Amendoim!$E14:$Z14,MIN(L$6-$E$3,22))),0))-IF($G$2,0,IF((L$6-$G$3)&lt;1,0,IFERROR(LOOKUP(2,1/(Amendoim!$E14:INDEX(Amendoim!$E14:$Z14,MIN(L$6-$G$3,22))&lt;&gt;""),Amendoim!$E14:INDEX(Amendoim!$E14:$Z14,MIN(L$6-$G$3,22))),0)))))</f>
        <v>0</v>
      </c>
      <c r="M16" s="27" t="n">
        <f aca="false">IF(COUNT(Amendoim!$E14:$Z14)=0,0,MAX(0,IF((M$6-$E$3)&lt;1,0,IFERROR(LOOKUP(2,1/(Amendoim!$E14:INDEX(Amendoim!$E14:$Z14,MIN(M$6-$E$3,22))&lt;&gt;""),Amendoim!$E14:INDEX(Amendoim!$E14:$Z14,MIN(M$6-$E$3,22))),0))-IF($G$2,0,IF((M$6-$G$3)&lt;1,0,IFERROR(LOOKUP(2,1/(Amendoim!$E14:INDEX(Amendoim!$E14:$Z14,MIN(M$6-$G$3,22))&lt;&gt;""),Amendoim!$E14:INDEX(Amendoim!$E14:$Z14,MIN(M$6-$G$3,22))),0)))))</f>
        <v>0</v>
      </c>
      <c r="N16" s="27" t="n">
        <f aca="false">IF(COUNT(Amendoim!$E14:$Z14)=0,0,MAX(0,IF((N$6-$E$3)&lt;1,0,IFERROR(LOOKUP(2,1/(Amendoim!$E14:INDEX(Amendoim!$E14:$Z14,MIN(N$6-$E$3,22))&lt;&gt;""),Amendoim!$E14:INDEX(Amendoim!$E14:$Z14,MIN(N$6-$E$3,22))),0))-IF($G$2,0,IF((N$6-$G$3)&lt;1,0,IFERROR(LOOKUP(2,1/(Amendoim!$E14:INDEX(Amendoim!$E14:$Z14,MIN(N$6-$G$3,22))&lt;&gt;""),Amendoim!$E14:INDEX(Amendoim!$E14:$Z14,MIN(N$6-$G$3,22))),0)))))</f>
        <v>0</v>
      </c>
      <c r="O16" s="27" t="n">
        <f aca="false">IF(COUNT(Amendoim!$E14:$Z14)=0,0,MAX(0,IF((O$6-$E$3)&lt;1,0,IFERROR(LOOKUP(2,1/(Amendoim!$E14:INDEX(Amendoim!$E14:$Z14,MIN(O$6-$E$3,22))&lt;&gt;""),Amendoim!$E14:INDEX(Amendoim!$E14:$Z14,MIN(O$6-$E$3,22))),0))-IF($G$2,0,IF((O$6-$G$3)&lt;1,0,IFERROR(LOOKUP(2,1/(Amendoim!$E14:INDEX(Amendoim!$E14:$Z14,MIN(O$6-$G$3,22))&lt;&gt;""),Amendoim!$E14:INDEX(Amendoim!$E14:$Z14,MIN(O$6-$G$3,22))),0)))))</f>
        <v>0</v>
      </c>
      <c r="P16" s="27" t="n">
        <f aca="false">IF(COUNT(Amendoim!$E14:$Z14)=0,0,MAX(0,IF((P$6-$E$3)&lt;1,0,IFERROR(LOOKUP(2,1/(Amendoim!$E14:INDEX(Amendoim!$E14:$Z14,MIN(P$6-$E$3,22))&lt;&gt;""),Amendoim!$E14:INDEX(Amendoim!$E14:$Z14,MIN(P$6-$E$3,22))),0))-IF($G$2,0,IF((P$6-$G$3)&lt;1,0,IFERROR(LOOKUP(2,1/(Amendoim!$E14:INDEX(Amendoim!$E14:$Z14,MIN(P$6-$G$3,22))&lt;&gt;""),Amendoim!$E14:INDEX(Amendoim!$E14:$Z14,MIN(P$6-$G$3,22))),0)))))</f>
        <v>0</v>
      </c>
      <c r="Q16" s="27" t="n">
        <f aca="false">IF(COUNT(Amendoim!$E14:$Z14)=0,0,MAX(0,IF((Q$6-$E$3)&lt;1,0,IFERROR(LOOKUP(2,1/(Amendoim!$E14:INDEX(Amendoim!$E14:$Z14,MIN(Q$6-$E$3,22))&lt;&gt;""),Amendoim!$E14:INDEX(Amendoim!$E14:$Z14,MIN(Q$6-$E$3,22))),0))-IF($G$2,0,IF((Q$6-$G$3)&lt;1,0,IFERROR(LOOKUP(2,1/(Amendoim!$E14:INDEX(Amendoim!$E14:$Z14,MIN(Q$6-$G$3,22))&lt;&gt;""),Amendoim!$E14:INDEX(Amendoim!$E14:$Z14,MIN(Q$6-$G$3,22))),0)))))</f>
        <v>0</v>
      </c>
      <c r="R16" s="27" t="n">
        <f aca="false">IF(COUNT(Amendoim!$E14:$Z14)=0,0,MAX(0,IF((R$6-$E$3)&lt;1,0,IFERROR(LOOKUP(2,1/(Amendoim!$E14:INDEX(Amendoim!$E14:$Z14,MIN(R$6-$E$3,22))&lt;&gt;""),Amendoim!$E14:INDEX(Amendoim!$E14:$Z14,MIN(R$6-$E$3,22))),0))-IF($G$2,0,IF((R$6-$G$3)&lt;1,0,IFERROR(LOOKUP(2,1/(Amendoim!$E14:INDEX(Amendoim!$E14:$Z14,MIN(R$6-$G$3,22))&lt;&gt;""),Amendoim!$E14:INDEX(Amendoim!$E14:$Z14,MIN(R$6-$G$3,22))),0)))))</f>
        <v>0</v>
      </c>
      <c r="S16" s="27" t="n">
        <f aca="false">IF(COUNT(Amendoim!$E14:$Z14)=0,0,MAX(0,IF((S$6-$E$3)&lt;1,0,IFERROR(LOOKUP(2,1/(Amendoim!$E14:INDEX(Amendoim!$E14:$Z14,MIN(S$6-$E$3,22))&lt;&gt;""),Amendoim!$E14:INDEX(Amendoim!$E14:$Z14,MIN(S$6-$E$3,22))),0))-IF($G$2,0,IF((S$6-$G$3)&lt;1,0,IFERROR(LOOKUP(2,1/(Amendoim!$E14:INDEX(Amendoim!$E14:$Z14,MIN(S$6-$G$3,22))&lt;&gt;""),Amendoim!$E14:INDEX(Amendoim!$E14:$Z14,MIN(S$6-$G$3,22))),0)))))</f>
        <v>0</v>
      </c>
      <c r="T16" s="27" t="n">
        <f aca="false">IF(COUNT(Amendoim!$E14:$Z14)=0,0,MAX(0,IF((T$6-$E$3)&lt;1,0,IFERROR(LOOKUP(2,1/(Amendoim!$E14:INDEX(Amendoim!$E14:$Z14,MIN(T$6-$E$3,22))&lt;&gt;""),Amendoim!$E14:INDEX(Amendoim!$E14:$Z14,MIN(T$6-$E$3,22))),0))-IF($G$2,0,IF((T$6-$G$3)&lt;1,0,IFERROR(LOOKUP(2,1/(Amendoim!$E14:INDEX(Amendoim!$E14:$Z14,MIN(T$6-$G$3,22))&lt;&gt;""),Amendoim!$E14:INDEX(Amendoim!$E14:$Z14,MIN(T$6-$G$3,22))),0)))))</f>
        <v>0</v>
      </c>
      <c r="U16" s="27" t="n">
        <f aca="false">IF(COUNT(Amendoim!$E14:$Z14)=0,0,MAX(0,IF((U$6-$E$3)&lt;1,0,IFERROR(LOOKUP(2,1/(Amendoim!$E14:INDEX(Amendoim!$E14:$Z14,MIN(U$6-$E$3,22))&lt;&gt;""),Amendoim!$E14:INDEX(Amendoim!$E14:$Z14,MIN(U$6-$E$3,22))),0))-IF($G$2,0,IF((U$6-$G$3)&lt;1,0,IFERROR(LOOKUP(2,1/(Amendoim!$E14:INDEX(Amendoim!$E14:$Z14,MIN(U$6-$G$3,22))&lt;&gt;""),Amendoim!$E14:INDEX(Amendoim!$E14:$Z14,MIN(U$6-$G$3,22))),0)))))</f>
        <v>0</v>
      </c>
      <c r="V16" s="27" t="n">
        <f aca="false">IF(COUNT(Amendoim!$E14:$Z14)=0,0,MAX(0,IF((V$6-$E$3)&lt;1,0,IFERROR(LOOKUP(2,1/(Amendoim!$E14:INDEX(Amendoim!$E14:$Z14,MIN(V$6-$E$3,22))&lt;&gt;""),Amendoim!$E14:INDEX(Amendoim!$E14:$Z14,MIN(V$6-$E$3,22))),0))-IF($G$2,0,IF((V$6-$G$3)&lt;1,0,IFERROR(LOOKUP(2,1/(Amendoim!$E14:INDEX(Amendoim!$E14:$Z14,MIN(V$6-$G$3,22))&lt;&gt;""),Amendoim!$E14:INDEX(Amendoim!$E14:$Z14,MIN(V$6-$G$3,22))),0)))))</f>
        <v>0</v>
      </c>
      <c r="W16" s="27" t="n">
        <f aca="false">IF(COUNT(Amendoim!$E14:$Z14)=0,0,MAX(0,IF((W$6-$E$3)&lt;1,0,IFERROR(LOOKUP(2,1/(Amendoim!$E14:INDEX(Amendoim!$E14:$Z14,MIN(W$6-$E$3,22))&lt;&gt;""),Amendoim!$E14:INDEX(Amendoim!$E14:$Z14,MIN(W$6-$E$3,22))),0))-IF($G$2,0,IF((W$6-$G$3)&lt;1,0,IFERROR(LOOKUP(2,1/(Amendoim!$E14:INDEX(Amendoim!$E14:$Z14,MIN(W$6-$G$3,22))&lt;&gt;""),Amendoim!$E14:INDEX(Amendoim!$E14:$Z14,MIN(W$6-$G$3,22))),0)))))</f>
        <v>0</v>
      </c>
      <c r="X16" s="27" t="n">
        <f aca="false">IF(COUNT(Amendoim!$E14:$Z14)=0,0,MAX(0,IF((X$6-$E$3)&lt;1,0,IFERROR(LOOKUP(2,1/(Amendoim!$E14:INDEX(Amendoim!$E14:$Z14,MIN(X$6-$E$3,22))&lt;&gt;""),Amendoim!$E14:INDEX(Amendoim!$E14:$Z14,MIN(X$6-$E$3,22))),0))-IF($G$2,0,IF((X$6-$G$3)&lt;1,0,IFERROR(LOOKUP(2,1/(Amendoim!$E14:INDEX(Amendoim!$E14:$Z14,MIN(X$6-$G$3,22))&lt;&gt;""),Amendoim!$E14:INDEX(Amendoim!$E14:$Z14,MIN(X$6-$G$3,22))),0)))))</f>
        <v>0</v>
      </c>
      <c r="Y16" s="27" t="n">
        <f aca="false">IF(COUNT(Amendoim!$E14:$Z14)=0,0,MAX(0,IF((Y$6-$E$3)&lt;1,0,IFERROR(LOOKUP(2,1/(Amendoim!$E14:INDEX(Amendoim!$E14:$Z14,MIN(Y$6-$E$3,22))&lt;&gt;""),Amendoim!$E14:INDEX(Amendoim!$E14:$Z14,MIN(Y$6-$E$3,22))),0))-IF($G$2,0,IF((Y$6-$G$3)&lt;1,0,IFERROR(LOOKUP(2,1/(Amendoim!$E14:INDEX(Amendoim!$E14:$Z14,MIN(Y$6-$G$3,22))&lt;&gt;""),Amendoim!$E14:INDEX(Amendoim!$E14:$Z14,MIN(Y$6-$G$3,22))),0)))))</f>
        <v>0</v>
      </c>
      <c r="Z16" s="27" t="n">
        <f aca="false">IF(COUNT(Amendoim!$E14:$Z14)=0,0,MAX(0,IF((Z$6-$E$3)&lt;1,0,IFERROR(LOOKUP(2,1/(Amendoim!$E14:INDEX(Amendoim!$E14:$Z14,MIN(Z$6-$E$3,22))&lt;&gt;""),Amendoim!$E14:INDEX(Amendoim!$E14:$Z14,MIN(Z$6-$E$3,22))),0))-IF($G$2,0,IF((Z$6-$G$3)&lt;1,0,IFERROR(LOOKUP(2,1/(Amendoim!$E14:INDEX(Amendoim!$E14:$Z14,MIN(Z$6-$G$3,22))&lt;&gt;""),Amendoim!$E14:INDEX(Amendoim!$E14:$Z14,MIN(Z$6-$G$3,22))),0)))))</f>
        <v>0</v>
      </c>
      <c r="AA16" s="27" t="n">
        <f aca="false">IF(COUNT(Amendoim!$E14:$Z14)=0,0,MAX(0,IF((AA$6-$E$3)&lt;1,0,IFERROR(LOOKUP(2,1/(Amendoim!$E14:INDEX(Amendoim!$E14:$Z14,MIN(AA$6-$E$3,22))&lt;&gt;""),Amendoim!$E14:INDEX(Amendoim!$E14:$Z14,MIN(AA$6-$E$3,22))),0))-IF($G$2,0,IF((AA$6-$G$3)&lt;1,0,IFERROR(LOOKUP(2,1/(Amendoim!$E14:INDEX(Amendoim!$E14:$Z14,MIN(AA$6-$G$3,22))&lt;&gt;""),Amendoim!$E14:INDEX(Amendoim!$E14:$Z14,MIN(AA$6-$G$3,22))),0)))))</f>
        <v>0</v>
      </c>
      <c r="AB16" s="27" t="n">
        <f aca="false">IF(COUNT(Amendoim!$E14:$Z14)=0,0,MAX(0,IF((AB$6-$E$3)&lt;1,0,IFERROR(LOOKUP(2,1/(Amendoim!$E14:INDEX(Amendoim!$E14:$Z14,MIN(AB$6-$E$3,22))&lt;&gt;""),Amendoim!$E14:INDEX(Amendoim!$E14:$Z14,MIN(AB$6-$E$3,22))),0))-IF($G$2,0,IF((AB$6-$G$3)&lt;1,0,IFERROR(LOOKUP(2,1/(Amendoim!$E14:INDEX(Amendoim!$E14:$Z14,MIN(AB$6-$G$3,22))&lt;&gt;""),Amendoim!$E14:INDEX(Amendoim!$E14:$Z14,MIN(AB$6-$G$3,22))),0)))))</f>
        <v>0</v>
      </c>
      <c r="AC16" s="27" t="n">
        <f aca="false">IF(COUNT(Amendoim!$E14:$Z14)=0,0,MAX(0,IF((AC$6-$E$3)&lt;1,0,IFERROR(LOOKUP(2,1/(Amendoim!$E14:INDEX(Amendoim!$E14:$Z14,MIN(AC$6-$E$3,22))&lt;&gt;""),Amendoim!$E14:INDEX(Amendoim!$E14:$Z14,MIN(AC$6-$E$3,22))),0))-IF($G$2,0,IF((AC$6-$G$3)&lt;1,0,IFERROR(LOOKUP(2,1/(Amendoim!$E14:INDEX(Amendoim!$E14:$Z14,MIN(AC$6-$G$3,22))&lt;&gt;""),Amendoim!$E14:INDEX(Amendoim!$E14:$Z14,MIN(AC$6-$G$3,22))),0)))))</f>
        <v>0</v>
      </c>
      <c r="AD16" s="27" t="n">
        <f aca="false">IF(COUNT(Amendoim!$E14:$Z14)=0,0,MAX(0,IF((AD$6-$E$3)&lt;1,0,IFERROR(LOOKUP(2,1/(Amendoim!$E14:INDEX(Amendoim!$E14:$Z14,MIN(AD$6-$E$3,22))&lt;&gt;""),Amendoim!$E14:INDEX(Amendoim!$E14:$Z14,MIN(AD$6-$E$3,22))),0))-IF($G$2,0,IF((AD$6-$G$3)&lt;1,0,IFERROR(LOOKUP(2,1/(Amendoim!$E14:INDEX(Amendoim!$E14:$Z14,MIN(AD$6-$G$3,22))&lt;&gt;""),Amendoim!$E14:INDEX(Amendoim!$E14:$Z14,MIN(AD$6-$G$3,22))),0)))))</f>
        <v>0</v>
      </c>
      <c r="AE16" s="27" t="n">
        <f aca="false">IF(COUNT(Amendoim!$E14:$Z14)=0,0,MAX(0,IF((AE$6-$E$3)&lt;1,0,IFERROR(LOOKUP(2,1/(Amendoim!$E14:INDEX(Amendoim!$E14:$Z14,MIN(AE$6-$E$3,22))&lt;&gt;""),Amendoim!$E14:INDEX(Amendoim!$E14:$Z14,MIN(AE$6-$E$3,22))),0))-IF($G$2,0,IF((AE$6-$G$3)&lt;1,0,IFERROR(LOOKUP(2,1/(Amendoim!$E14:INDEX(Amendoim!$E14:$Z14,MIN(AE$6-$G$3,22))&lt;&gt;""),Amendoim!$E14:INDEX(Amendoim!$E14:$Z14,MIN(AE$6-$G$3,22))),0)))))</f>
        <v>0</v>
      </c>
      <c r="AF16" s="27" t="n">
        <f aca="false">IF(COUNT(Amendoim!$E14:$Z14)=0,0,MAX(0,IF((AF$6-$E$3)&lt;1,0,IFERROR(LOOKUP(2,1/(Amendoim!$E14:INDEX(Amendoim!$E14:$Z14,MIN(AF$6-$E$3,22))&lt;&gt;""),Amendoim!$E14:INDEX(Amendoim!$E14:$Z14,MIN(AF$6-$E$3,22))),0))-IF($G$2,0,IF((AF$6-$G$3)&lt;1,0,IFERROR(LOOKUP(2,1/(Amendoim!$E14:INDEX(Amendoim!$E14:$Z14,MIN(AF$6-$G$3,22))&lt;&gt;""),Amendoim!$E14:INDEX(Amendoim!$E14:$Z14,MIN(AF$6-$G$3,22))),0)))))</f>
        <v>0</v>
      </c>
      <c r="AG16" s="27" t="n">
        <f aca="false">IF(COUNT(Amendoim!$E14:$Z14)=0,0,MAX(0,IF((AG$6-$E$3)&lt;1,0,IFERROR(LOOKUP(2,1/(Amendoim!$E14:INDEX(Amendoim!$E14:$Z14,MIN(AG$6-$E$3,22))&lt;&gt;""),Amendoim!$E14:INDEX(Amendoim!$E14:$Z14,MIN(AG$6-$E$3,22))),0))-IF($G$2,0,IF((AG$6-$G$3)&lt;1,0,IFERROR(LOOKUP(2,1/(Amendoim!$E14:INDEX(Amendoim!$E14:$Z14,MIN(AG$6-$G$3,22))&lt;&gt;""),Amendoim!$E14:INDEX(Amendoim!$E14:$Z14,MIN(AG$6-$G$3,22))),0)))))</f>
        <v>0</v>
      </c>
      <c r="AH16" s="27" t="n">
        <f aca="false">IF(COUNT(Amendoim!$E14:$Z14)=0,0,MAX(0,IF((AH$6-$E$3)&lt;1,0,IFERROR(LOOKUP(2,1/(Amendoim!$E14:INDEX(Amendoim!$E14:$Z14,MIN(AH$6-$E$3,22))&lt;&gt;""),Amendoim!$E14:INDEX(Amendoim!$E14:$Z14,MIN(AH$6-$E$3,22))),0))-IF($G$2,0,IF((AH$6-$G$3)&lt;1,0,IFERROR(LOOKUP(2,1/(Amendoim!$E14:INDEX(Amendoim!$E14:$Z14,MIN(AH$6-$G$3,22))&lt;&gt;""),Amendoim!$E14:INDEX(Amendoim!$E14:$Z14,MIN(AH$6-$G$3,22))),0)))))</f>
        <v>0</v>
      </c>
      <c r="AI16" s="27" t="n">
        <f aca="false">IF(COUNT(Amendoim!$E14:$Z14)=0,0,MAX(0,IF((AI$6-$E$3)&lt;1,0,IFERROR(LOOKUP(2,1/(Amendoim!$E14:INDEX(Amendoim!$E14:$Z14,MIN(AI$6-$E$3,22))&lt;&gt;""),Amendoim!$E14:INDEX(Amendoim!$E14:$Z14,MIN(AI$6-$E$3,22))),0))-IF($G$2,0,IF((AI$6-$G$3)&lt;1,0,IFERROR(LOOKUP(2,1/(Amendoim!$E14:INDEX(Amendoim!$E14:$Z14,MIN(AI$6-$G$3,22))&lt;&gt;""),Amendoim!$E14:INDEX(Amendoim!$E14:$Z14,MIN(AI$6-$G$3,22))),0)))))</f>
        <v>0</v>
      </c>
      <c r="AJ16" s="27" t="n">
        <f aca="false">IF(COUNT(Amendoim!$E14:$Z14)=0,0,MAX(0,IF((AJ$6-$E$3)&lt;1,0,IFERROR(LOOKUP(2,1/(Amendoim!$E14:INDEX(Amendoim!$E14:$Z14,MIN(AJ$6-$E$3,22))&lt;&gt;""),Amendoim!$E14:INDEX(Amendoim!$E14:$Z14,MIN(AJ$6-$E$3,22))),0))-IF($G$2,0,IF((AJ$6-$G$3)&lt;1,0,IFERROR(LOOKUP(2,1/(Amendoim!$E14:INDEX(Amendoim!$E14:$Z14,MIN(AJ$6-$G$3,22))&lt;&gt;""),Amendoim!$E14:INDEX(Amendoim!$E14:$Z14,MIN(AJ$6-$G$3,22))),0)))))</f>
        <v>0</v>
      </c>
      <c r="AK16" s="27" t="n">
        <f aca="false">IF(COUNT(Amendoim!$E14:$Z14)=0,0,MAX(0,IF((AK$6-$E$3)&lt;1,0,IFERROR(LOOKUP(2,1/(Amendoim!$E14:INDEX(Amendoim!$E14:$Z14,MIN(AK$6-$E$3,22))&lt;&gt;""),Amendoim!$E14:INDEX(Amendoim!$E14:$Z14,MIN(AK$6-$E$3,22))),0))-IF($G$2,0,IF((AK$6-$G$3)&lt;1,0,IFERROR(LOOKUP(2,1/(Amendoim!$E14:INDEX(Amendoim!$E14:$Z14,MIN(AK$6-$G$3,22))&lt;&gt;""),Amendoim!$E14:INDEX(Amendoim!$E14:$Z14,MIN(AK$6-$G$3,22))),0)))))</f>
        <v>0</v>
      </c>
      <c r="AL16" s="27" t="n">
        <f aca="false">IF(COUNT(Amendoim!$E14:$Z14)=0,0,MAX(0,IF((AL$6-$E$3)&lt;1,0,IFERROR(LOOKUP(2,1/(Amendoim!$E14:INDEX(Amendoim!$E14:$Z14,MIN(AL$6-$E$3,22))&lt;&gt;""),Amendoim!$E14:INDEX(Amendoim!$E14:$Z14,MIN(AL$6-$E$3,22))),0))-IF($G$2,0,IF((AL$6-$G$3)&lt;1,0,IFERROR(LOOKUP(2,1/(Amendoim!$E14:INDEX(Amendoim!$E14:$Z14,MIN(AL$6-$G$3,22))&lt;&gt;""),Amendoim!$E14:INDEX(Amendoim!$E14:$Z14,MIN(AL$6-$G$3,22))),0)))))</f>
        <v>0</v>
      </c>
      <c r="AM16" s="27" t="n">
        <f aca="false">IF(COUNT(Amendoim!$E14:$Z14)=0,0,MAX(0,IF((AM$6-$E$3)&lt;1,0,IFERROR(LOOKUP(2,1/(Amendoim!$E14:INDEX(Amendoim!$E14:$Z14,MIN(AM$6-$E$3,22))&lt;&gt;""),Amendoim!$E14:INDEX(Amendoim!$E14:$Z14,MIN(AM$6-$E$3,22))),0))-IF($G$2,0,IF((AM$6-$G$3)&lt;1,0,IFERROR(LOOKUP(2,1/(Amendoim!$E14:INDEX(Amendoim!$E14:$Z14,MIN(AM$6-$G$3,22))&lt;&gt;""),Amendoim!$E14:INDEX(Amendoim!$E14:$Z14,MIN(AM$6-$G$3,22))),0)))))</f>
        <v>0</v>
      </c>
      <c r="AN16" s="27" t="n">
        <f aca="false">IF(COUNT(Amendoim!$E14:$Z14)=0,0,MAX(0,IF((AN$6-$E$3)&lt;1,0,IFERROR(LOOKUP(2,1/(Amendoim!$E14:INDEX(Amendoim!$E14:$Z14,MIN(AN$6-$E$3,22))&lt;&gt;""),Amendoim!$E14:INDEX(Amendoim!$E14:$Z14,MIN(AN$6-$E$3,22))),0))-IF($G$2,0,IF((AN$6-$G$3)&lt;1,0,IFERROR(LOOKUP(2,1/(Amendoim!$E14:INDEX(Amendoim!$E14:$Z14,MIN(AN$6-$G$3,22))&lt;&gt;""),Amendoim!$E14:INDEX(Amendoim!$E14:$Z14,MIN(AN$6-$G$3,22))),0)))))</f>
        <v>0</v>
      </c>
      <c r="AO16" s="27" t="n">
        <f aca="false">IF(COUNT(Amendoim!$E14:$Z14)=0,0,MAX(0,IF((AO$6-$E$3)&lt;1,0,IFERROR(LOOKUP(2,1/(Amendoim!$E14:INDEX(Amendoim!$E14:$Z14,MIN(AO$6-$E$3,22))&lt;&gt;""),Amendoim!$E14:INDEX(Amendoim!$E14:$Z14,MIN(AO$6-$E$3,22))),0))-IF($G$2,0,IF((AO$6-$G$3)&lt;1,0,IFERROR(LOOKUP(2,1/(Amendoim!$E14:INDEX(Amendoim!$E14:$Z14,MIN(AO$6-$G$3,22))&lt;&gt;""),Amendoim!$E14:INDEX(Amendoim!$E14:$Z14,MIN(AO$6-$G$3,22))),0)))))</f>
        <v>0</v>
      </c>
      <c r="AP16" s="27" t="n">
        <f aca="false">IF(COUNT(Amendoim!$E14:$Z14)=0,0,MAX(0,IF((AP$6-$E$3)&lt;1,0,IFERROR(LOOKUP(2,1/(Amendoim!$E14:INDEX(Amendoim!$E14:$Z14,MIN(AP$6-$E$3,22))&lt;&gt;""),Amendoim!$E14:INDEX(Amendoim!$E14:$Z14,MIN(AP$6-$E$3,22))),0))-IF($G$2,0,IF((AP$6-$G$3)&lt;1,0,IFERROR(LOOKUP(2,1/(Amendoim!$E14:INDEX(Amendoim!$E14:$Z14,MIN(AP$6-$G$3,22))&lt;&gt;""),Amendoim!$E14:INDEX(Amendoim!$E14:$Z14,MIN(AP$6-$G$3,22))),0)))))</f>
        <v>0</v>
      </c>
      <c r="AQ16" s="27" t="n">
        <f aca="false">IF(COUNT(Amendoim!$E14:$Z14)=0,0,MAX(0,IF((AQ$6-$E$3)&lt;1,0,IFERROR(LOOKUP(2,1/(Amendoim!$E14:INDEX(Amendoim!$E14:$Z14,MIN(AQ$6-$E$3,22))&lt;&gt;""),Amendoim!$E14:INDEX(Amendoim!$E14:$Z14,MIN(AQ$6-$E$3,22))),0))-IF($G$2,0,IF((AQ$6-$G$3)&lt;1,0,IFERROR(LOOKUP(2,1/(Amendoim!$E14:INDEX(Amendoim!$E14:$Z14,MIN(AQ$6-$G$3,22))&lt;&gt;""),Amendoim!$E14:INDEX(Amendoim!$E14:$Z14,MIN(AQ$6-$G$3,22))),0)))))</f>
        <v>0</v>
      </c>
      <c r="AR16" s="27" t="n">
        <f aca="false">IF(COUNT(Amendoim!$E14:$Z14)=0,0,MAX(0,IF((AR$6-$E$3)&lt;1,0,IFERROR(LOOKUP(2,1/(Amendoim!$E14:INDEX(Amendoim!$E14:$Z14,MIN(AR$6-$E$3,22))&lt;&gt;""),Amendoim!$E14:INDEX(Amendoim!$E14:$Z14,MIN(AR$6-$E$3,22))),0))-IF($G$2,0,IF((AR$6-$G$3)&lt;1,0,IFERROR(LOOKUP(2,1/(Amendoim!$E14:INDEX(Amendoim!$E14:$Z14,MIN(AR$6-$G$3,22))&lt;&gt;""),Amendoim!$E14:INDEX(Amendoim!$E14:$Z14,MIN(AR$6-$G$3,22))),0)))))</f>
        <v>0</v>
      </c>
      <c r="AS16" s="27" t="n">
        <f aca="false">IF(COUNT(Amendoim!$E14:$Z14)=0,0,MAX(0,IF((AS$6-$E$3)&lt;1,0,IFERROR(LOOKUP(2,1/(Amendoim!$E14:INDEX(Amendoim!$E14:$Z14,MIN(AS$6-$E$3,22))&lt;&gt;""),Amendoim!$E14:INDEX(Amendoim!$E14:$Z14,MIN(AS$6-$E$3,22))),0))-IF($G$2,0,IF((AS$6-$G$3)&lt;1,0,IFERROR(LOOKUP(2,1/(Amendoim!$E14:INDEX(Amendoim!$E14:$Z14,MIN(AS$6-$G$3,22))&lt;&gt;""),Amendoim!$E14:INDEX(Amendoim!$E14:$Z14,MIN(AS$6-$G$3,22))),0)))))</f>
        <v>0</v>
      </c>
      <c r="AT16" s="27" t="n">
        <f aca="false">IF(COUNT(Amendoim!$E14:$Z14)=0,0,MAX(0,IF((AT$6-$E$3)&lt;1,0,IFERROR(LOOKUP(2,1/(Amendoim!$E14:INDEX(Amendoim!$E14:$Z14,MIN(AT$6-$E$3,22))&lt;&gt;""),Amendoim!$E14:INDEX(Amendoim!$E14:$Z14,MIN(AT$6-$E$3,22))),0))-IF($G$2,0,IF((AT$6-$G$3)&lt;1,0,IFERROR(LOOKUP(2,1/(Amendoim!$E14:INDEX(Amendoim!$E14:$Z14,MIN(AT$6-$G$3,22))&lt;&gt;""),Amendoim!$E14:INDEX(Amendoim!$E14:$Z14,MIN(AT$6-$G$3,22))),0)))))</f>
        <v>0</v>
      </c>
      <c r="AU16" s="27" t="n">
        <f aca="false">IF(COUNT(Amendoim!$E14:$Z14)=0,0,MAX(0,IF((AU$6-$E$3)&lt;1,0,IFERROR(LOOKUP(2,1/(Amendoim!$E14:INDEX(Amendoim!$E14:$Z14,MIN(AU$6-$E$3,22))&lt;&gt;""),Amendoim!$E14:INDEX(Amendoim!$E14:$Z14,MIN(AU$6-$E$3,22))),0))-IF($G$2,0,IF((AU$6-$G$3)&lt;1,0,IFERROR(LOOKUP(2,1/(Amendoim!$E14:INDEX(Amendoim!$E14:$Z14,MIN(AU$6-$G$3,22))&lt;&gt;""),Amendoim!$E14:INDEX(Amendoim!$E14:$Z14,MIN(AU$6-$G$3,22))),0)))))</f>
        <v>0</v>
      </c>
      <c r="AV16" s="27" t="n">
        <f aca="false">IF(COUNT(Amendoim!$E14:$Z14)=0,0,MAX(0,IF((AV$6-$E$3)&lt;1,0,IFERROR(LOOKUP(2,1/(Amendoim!$E14:INDEX(Amendoim!$E14:$Z14,MIN(AV$6-$E$3,22))&lt;&gt;""),Amendoim!$E14:INDEX(Amendoim!$E14:$Z14,MIN(AV$6-$E$3,22))),0))-IF($G$2,0,IF((AV$6-$G$3)&lt;1,0,IFERROR(LOOKUP(2,1/(Amendoim!$E14:INDEX(Amendoim!$E14:$Z14,MIN(AV$6-$G$3,22))&lt;&gt;""),Amendoim!$E14:INDEX(Amendoim!$E14:$Z14,MIN(AV$6-$G$3,22))),0)))))</f>
        <v>0</v>
      </c>
      <c r="AW16" s="27" t="n">
        <f aca="false">IF(COUNT(Amendoim!$E14:$Z14)=0,0,MAX(0,IF((AW$6-$E$3)&lt;1,0,IFERROR(LOOKUP(2,1/(Amendoim!$E14:INDEX(Amendoim!$E14:$Z14,MIN(AW$6-$E$3,22))&lt;&gt;""),Amendoim!$E14:INDEX(Amendoim!$E14:$Z14,MIN(AW$6-$E$3,22))),0))-IF($G$2,0,IF((AW$6-$G$3)&lt;1,0,IFERROR(LOOKUP(2,1/(Amendoim!$E14:INDEX(Amendoim!$E14:$Z14,MIN(AW$6-$G$3,22))&lt;&gt;""),Amendoim!$E14:INDEX(Amendoim!$E14:$Z14,MIN(AW$6-$G$3,22))),0)))))</f>
        <v>0</v>
      </c>
      <c r="AX16" s="27" t="n">
        <f aca="false">IF(COUNT(Amendoim!$E14:$Z14)=0,0,MAX(0,IF((AX$6-$E$3)&lt;1,0,IFERROR(LOOKUP(2,1/(Amendoim!$E14:INDEX(Amendoim!$E14:$Z14,MIN(AX$6-$E$3,22))&lt;&gt;""),Amendoim!$E14:INDEX(Amendoim!$E14:$Z14,MIN(AX$6-$E$3,22))),0))-IF($G$2,0,IF((AX$6-$G$3)&lt;1,0,IFERROR(LOOKUP(2,1/(Amendoim!$E14:INDEX(Amendoim!$E14:$Z14,MIN(AX$6-$G$3,22))&lt;&gt;""),Amendoim!$E14:INDEX(Amendoim!$E14:$Z14,MIN(AX$6-$G$3,22))),0)))))</f>
        <v>0</v>
      </c>
      <c r="AY16" s="27" t="n">
        <f aca="false">IF(COUNT(Amendoim!$E14:$Z14)=0,0,MAX(0,IF((AY$6-$E$3)&lt;1,0,IFERROR(LOOKUP(2,1/(Amendoim!$E14:INDEX(Amendoim!$E14:$Z14,MIN(AY$6-$E$3,22))&lt;&gt;""),Amendoim!$E14:INDEX(Amendoim!$E14:$Z14,MIN(AY$6-$E$3,22))),0))-IF($G$2,0,IF((AY$6-$G$3)&lt;1,0,IFERROR(LOOKUP(2,1/(Amendoim!$E14:INDEX(Amendoim!$E14:$Z14,MIN(AY$6-$G$3,22))&lt;&gt;""),Amendoim!$E14:INDEX(Amendoim!$E14:$Z14,MIN(AY$6-$G$3,22))),0)))))</f>
        <v>0</v>
      </c>
      <c r="AZ16" s="27" t="n">
        <f aca="false">IF(COUNT(Amendoim!$E14:$Z14)=0,0,MAX(0,IF((AZ$6-$E$3)&lt;1,0,IFERROR(LOOKUP(2,1/(Amendoim!$E14:INDEX(Amendoim!$E14:$Z14,MIN(AZ$6-$E$3,22))&lt;&gt;""),Amendoim!$E14:INDEX(Amendoim!$E14:$Z14,MIN(AZ$6-$E$3,22))),0))-IF($G$2,0,IF((AZ$6-$G$3)&lt;1,0,IFERROR(LOOKUP(2,1/(Amendoim!$E14:INDEX(Amendoim!$E14:$Z14,MIN(AZ$6-$G$3,22))&lt;&gt;""),Amendoim!$E14:INDEX(Amendoim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IF(COUNT(Amendoim!$E15:$Z15)&gt;0,N(Amendoim!$D15),0)</f>
        <v>0</v>
      </c>
      <c r="E17" s="27" t="n">
        <f aca="false">IF(COUNT(Amendoim!$E15:$Z15)=0,0,MAX(0,IF((E$6-$E$3)&lt;1,0,IFERROR(LOOKUP(2,1/(Amendoim!$E15:INDEX(Amendoim!$E15:$Z15,MIN(E$6-$E$3,22))&lt;&gt;""),Amendoim!$E15:INDEX(Amendoim!$E15:$Z15,MIN(E$6-$E$3,22))),0))-IF($G$2,0,IF((E$6-$G$3)&lt;1,0,IFERROR(LOOKUP(2,1/(Amendoim!$E15:INDEX(Amendoim!$E15:$Z15,MIN(E$6-$G$3,22))&lt;&gt;""),Amendoim!$E15:INDEX(Amendoim!$E15:$Z15,MIN(E$6-$G$3,22))),0)))))</f>
        <v>0</v>
      </c>
      <c r="F17" s="27" t="n">
        <f aca="false">IF(COUNT(Amendoim!$E15:$Z15)=0,0,MAX(0,IF((F$6-$E$3)&lt;1,0,IFERROR(LOOKUP(2,1/(Amendoim!$E15:INDEX(Amendoim!$E15:$Z15,MIN(F$6-$E$3,22))&lt;&gt;""),Amendoim!$E15:INDEX(Amendoim!$E15:$Z15,MIN(F$6-$E$3,22))),0))-IF($G$2,0,IF((F$6-$G$3)&lt;1,0,IFERROR(LOOKUP(2,1/(Amendoim!$E15:INDEX(Amendoim!$E15:$Z15,MIN(F$6-$G$3,22))&lt;&gt;""),Amendoim!$E15:INDEX(Amendoim!$E15:$Z15,MIN(F$6-$G$3,22))),0)))))</f>
        <v>0</v>
      </c>
      <c r="G17" s="27" t="n">
        <f aca="false">IF(COUNT(Amendoim!$E15:$Z15)=0,0,MAX(0,IF((G$6-$E$3)&lt;1,0,IFERROR(LOOKUP(2,1/(Amendoim!$E15:INDEX(Amendoim!$E15:$Z15,MIN(G$6-$E$3,22))&lt;&gt;""),Amendoim!$E15:INDEX(Amendoim!$E15:$Z15,MIN(G$6-$E$3,22))),0))-IF($G$2,0,IF((G$6-$G$3)&lt;1,0,IFERROR(LOOKUP(2,1/(Amendoim!$E15:INDEX(Amendoim!$E15:$Z15,MIN(G$6-$G$3,22))&lt;&gt;""),Amendoim!$E15:INDEX(Amendoim!$E15:$Z15,MIN(G$6-$G$3,22))),0)))))</f>
        <v>0</v>
      </c>
      <c r="H17" s="27" t="n">
        <f aca="false">IF(COUNT(Amendoim!$E15:$Z15)=0,0,MAX(0,IF((H$6-$E$3)&lt;1,0,IFERROR(LOOKUP(2,1/(Amendoim!$E15:INDEX(Amendoim!$E15:$Z15,MIN(H$6-$E$3,22))&lt;&gt;""),Amendoim!$E15:INDEX(Amendoim!$E15:$Z15,MIN(H$6-$E$3,22))),0))-IF($G$2,0,IF((H$6-$G$3)&lt;1,0,IFERROR(LOOKUP(2,1/(Amendoim!$E15:INDEX(Amendoim!$E15:$Z15,MIN(H$6-$G$3,22))&lt;&gt;""),Amendoim!$E15:INDEX(Amendoim!$E15:$Z15,MIN(H$6-$G$3,22))),0)))))</f>
        <v>0</v>
      </c>
      <c r="I17" s="27" t="n">
        <f aca="false">IF(COUNT(Amendoim!$E15:$Z15)=0,0,MAX(0,IF((I$6-$E$3)&lt;1,0,IFERROR(LOOKUP(2,1/(Amendoim!$E15:INDEX(Amendoim!$E15:$Z15,MIN(I$6-$E$3,22))&lt;&gt;""),Amendoim!$E15:INDEX(Amendoim!$E15:$Z15,MIN(I$6-$E$3,22))),0))-IF($G$2,0,IF((I$6-$G$3)&lt;1,0,IFERROR(LOOKUP(2,1/(Amendoim!$E15:INDEX(Amendoim!$E15:$Z15,MIN(I$6-$G$3,22))&lt;&gt;""),Amendoim!$E15:INDEX(Amendoim!$E15:$Z15,MIN(I$6-$G$3,22))),0)))))</f>
        <v>0</v>
      </c>
      <c r="J17" s="27" t="n">
        <f aca="false">IF(COUNT(Amendoim!$E15:$Z15)=0,0,MAX(0,IF((J$6-$E$3)&lt;1,0,IFERROR(LOOKUP(2,1/(Amendoim!$E15:INDEX(Amendoim!$E15:$Z15,MIN(J$6-$E$3,22))&lt;&gt;""),Amendoim!$E15:INDEX(Amendoim!$E15:$Z15,MIN(J$6-$E$3,22))),0))-IF($G$2,0,IF((J$6-$G$3)&lt;1,0,IFERROR(LOOKUP(2,1/(Amendoim!$E15:INDEX(Amendoim!$E15:$Z15,MIN(J$6-$G$3,22))&lt;&gt;""),Amendoim!$E15:INDEX(Amendoim!$E15:$Z15,MIN(J$6-$G$3,22))),0)))))</f>
        <v>0</v>
      </c>
      <c r="K17" s="27" t="n">
        <f aca="false">IF(COUNT(Amendoim!$E15:$Z15)=0,0,MAX(0,IF((K$6-$E$3)&lt;1,0,IFERROR(LOOKUP(2,1/(Amendoim!$E15:INDEX(Amendoim!$E15:$Z15,MIN(K$6-$E$3,22))&lt;&gt;""),Amendoim!$E15:INDEX(Amendoim!$E15:$Z15,MIN(K$6-$E$3,22))),0))-IF($G$2,0,IF((K$6-$G$3)&lt;1,0,IFERROR(LOOKUP(2,1/(Amendoim!$E15:INDEX(Amendoim!$E15:$Z15,MIN(K$6-$G$3,22))&lt;&gt;""),Amendoim!$E15:INDEX(Amendoim!$E15:$Z15,MIN(K$6-$G$3,22))),0)))))</f>
        <v>0</v>
      </c>
      <c r="L17" s="27" t="n">
        <f aca="false">IF(COUNT(Amendoim!$E15:$Z15)=0,0,MAX(0,IF((L$6-$E$3)&lt;1,0,IFERROR(LOOKUP(2,1/(Amendoim!$E15:INDEX(Amendoim!$E15:$Z15,MIN(L$6-$E$3,22))&lt;&gt;""),Amendoim!$E15:INDEX(Amendoim!$E15:$Z15,MIN(L$6-$E$3,22))),0))-IF($G$2,0,IF((L$6-$G$3)&lt;1,0,IFERROR(LOOKUP(2,1/(Amendoim!$E15:INDEX(Amendoim!$E15:$Z15,MIN(L$6-$G$3,22))&lt;&gt;""),Amendoim!$E15:INDEX(Amendoim!$E15:$Z15,MIN(L$6-$G$3,22))),0)))))</f>
        <v>0</v>
      </c>
      <c r="M17" s="27" t="n">
        <f aca="false">IF(COUNT(Amendoim!$E15:$Z15)=0,0,MAX(0,IF((M$6-$E$3)&lt;1,0,IFERROR(LOOKUP(2,1/(Amendoim!$E15:INDEX(Amendoim!$E15:$Z15,MIN(M$6-$E$3,22))&lt;&gt;""),Amendoim!$E15:INDEX(Amendoim!$E15:$Z15,MIN(M$6-$E$3,22))),0))-IF($G$2,0,IF((M$6-$G$3)&lt;1,0,IFERROR(LOOKUP(2,1/(Amendoim!$E15:INDEX(Amendoim!$E15:$Z15,MIN(M$6-$G$3,22))&lt;&gt;""),Amendoim!$E15:INDEX(Amendoim!$E15:$Z15,MIN(M$6-$G$3,22))),0)))))</f>
        <v>0</v>
      </c>
      <c r="N17" s="27" t="n">
        <f aca="false">IF(COUNT(Amendoim!$E15:$Z15)=0,0,MAX(0,IF((N$6-$E$3)&lt;1,0,IFERROR(LOOKUP(2,1/(Amendoim!$E15:INDEX(Amendoim!$E15:$Z15,MIN(N$6-$E$3,22))&lt;&gt;""),Amendoim!$E15:INDEX(Amendoim!$E15:$Z15,MIN(N$6-$E$3,22))),0))-IF($G$2,0,IF((N$6-$G$3)&lt;1,0,IFERROR(LOOKUP(2,1/(Amendoim!$E15:INDEX(Amendoim!$E15:$Z15,MIN(N$6-$G$3,22))&lt;&gt;""),Amendoim!$E15:INDEX(Amendoim!$E15:$Z15,MIN(N$6-$G$3,22))),0)))))</f>
        <v>0</v>
      </c>
      <c r="O17" s="27" t="n">
        <f aca="false">IF(COUNT(Amendoim!$E15:$Z15)=0,0,MAX(0,IF((O$6-$E$3)&lt;1,0,IFERROR(LOOKUP(2,1/(Amendoim!$E15:INDEX(Amendoim!$E15:$Z15,MIN(O$6-$E$3,22))&lt;&gt;""),Amendoim!$E15:INDEX(Amendoim!$E15:$Z15,MIN(O$6-$E$3,22))),0))-IF($G$2,0,IF((O$6-$G$3)&lt;1,0,IFERROR(LOOKUP(2,1/(Amendoim!$E15:INDEX(Amendoim!$E15:$Z15,MIN(O$6-$G$3,22))&lt;&gt;""),Amendoim!$E15:INDEX(Amendoim!$E15:$Z15,MIN(O$6-$G$3,22))),0)))))</f>
        <v>0</v>
      </c>
      <c r="P17" s="27" t="n">
        <f aca="false">IF(COUNT(Amendoim!$E15:$Z15)=0,0,MAX(0,IF((P$6-$E$3)&lt;1,0,IFERROR(LOOKUP(2,1/(Amendoim!$E15:INDEX(Amendoim!$E15:$Z15,MIN(P$6-$E$3,22))&lt;&gt;""),Amendoim!$E15:INDEX(Amendoim!$E15:$Z15,MIN(P$6-$E$3,22))),0))-IF($G$2,0,IF((P$6-$G$3)&lt;1,0,IFERROR(LOOKUP(2,1/(Amendoim!$E15:INDEX(Amendoim!$E15:$Z15,MIN(P$6-$G$3,22))&lt;&gt;""),Amendoim!$E15:INDEX(Amendoim!$E15:$Z15,MIN(P$6-$G$3,22))),0)))))</f>
        <v>0</v>
      </c>
      <c r="Q17" s="27" t="n">
        <f aca="false">IF(COUNT(Amendoim!$E15:$Z15)=0,0,MAX(0,IF((Q$6-$E$3)&lt;1,0,IFERROR(LOOKUP(2,1/(Amendoim!$E15:INDEX(Amendoim!$E15:$Z15,MIN(Q$6-$E$3,22))&lt;&gt;""),Amendoim!$E15:INDEX(Amendoim!$E15:$Z15,MIN(Q$6-$E$3,22))),0))-IF($G$2,0,IF((Q$6-$G$3)&lt;1,0,IFERROR(LOOKUP(2,1/(Amendoim!$E15:INDEX(Amendoim!$E15:$Z15,MIN(Q$6-$G$3,22))&lt;&gt;""),Amendoim!$E15:INDEX(Amendoim!$E15:$Z15,MIN(Q$6-$G$3,22))),0)))))</f>
        <v>0</v>
      </c>
      <c r="R17" s="27" t="n">
        <f aca="false">IF(COUNT(Amendoim!$E15:$Z15)=0,0,MAX(0,IF((R$6-$E$3)&lt;1,0,IFERROR(LOOKUP(2,1/(Amendoim!$E15:INDEX(Amendoim!$E15:$Z15,MIN(R$6-$E$3,22))&lt;&gt;""),Amendoim!$E15:INDEX(Amendoim!$E15:$Z15,MIN(R$6-$E$3,22))),0))-IF($G$2,0,IF((R$6-$G$3)&lt;1,0,IFERROR(LOOKUP(2,1/(Amendoim!$E15:INDEX(Amendoim!$E15:$Z15,MIN(R$6-$G$3,22))&lt;&gt;""),Amendoim!$E15:INDEX(Amendoim!$E15:$Z15,MIN(R$6-$G$3,22))),0)))))</f>
        <v>0</v>
      </c>
      <c r="S17" s="27" t="n">
        <f aca="false">IF(COUNT(Amendoim!$E15:$Z15)=0,0,MAX(0,IF((S$6-$E$3)&lt;1,0,IFERROR(LOOKUP(2,1/(Amendoim!$E15:INDEX(Amendoim!$E15:$Z15,MIN(S$6-$E$3,22))&lt;&gt;""),Amendoim!$E15:INDEX(Amendoim!$E15:$Z15,MIN(S$6-$E$3,22))),0))-IF($G$2,0,IF((S$6-$G$3)&lt;1,0,IFERROR(LOOKUP(2,1/(Amendoim!$E15:INDEX(Amendoim!$E15:$Z15,MIN(S$6-$G$3,22))&lt;&gt;""),Amendoim!$E15:INDEX(Amendoim!$E15:$Z15,MIN(S$6-$G$3,22))),0)))))</f>
        <v>0</v>
      </c>
      <c r="T17" s="27" t="n">
        <f aca="false">IF(COUNT(Amendoim!$E15:$Z15)=0,0,MAX(0,IF((T$6-$E$3)&lt;1,0,IFERROR(LOOKUP(2,1/(Amendoim!$E15:INDEX(Amendoim!$E15:$Z15,MIN(T$6-$E$3,22))&lt;&gt;""),Amendoim!$E15:INDEX(Amendoim!$E15:$Z15,MIN(T$6-$E$3,22))),0))-IF($G$2,0,IF((T$6-$G$3)&lt;1,0,IFERROR(LOOKUP(2,1/(Amendoim!$E15:INDEX(Amendoim!$E15:$Z15,MIN(T$6-$G$3,22))&lt;&gt;""),Amendoim!$E15:INDEX(Amendoim!$E15:$Z15,MIN(T$6-$G$3,22))),0)))))</f>
        <v>0</v>
      </c>
      <c r="U17" s="27" t="n">
        <f aca="false">IF(COUNT(Amendoim!$E15:$Z15)=0,0,MAX(0,IF((U$6-$E$3)&lt;1,0,IFERROR(LOOKUP(2,1/(Amendoim!$E15:INDEX(Amendoim!$E15:$Z15,MIN(U$6-$E$3,22))&lt;&gt;""),Amendoim!$E15:INDEX(Amendoim!$E15:$Z15,MIN(U$6-$E$3,22))),0))-IF($G$2,0,IF((U$6-$G$3)&lt;1,0,IFERROR(LOOKUP(2,1/(Amendoim!$E15:INDEX(Amendoim!$E15:$Z15,MIN(U$6-$G$3,22))&lt;&gt;""),Amendoim!$E15:INDEX(Amendoim!$E15:$Z15,MIN(U$6-$G$3,22))),0)))))</f>
        <v>0</v>
      </c>
      <c r="V17" s="27" t="n">
        <f aca="false">IF(COUNT(Amendoim!$E15:$Z15)=0,0,MAX(0,IF((V$6-$E$3)&lt;1,0,IFERROR(LOOKUP(2,1/(Amendoim!$E15:INDEX(Amendoim!$E15:$Z15,MIN(V$6-$E$3,22))&lt;&gt;""),Amendoim!$E15:INDEX(Amendoim!$E15:$Z15,MIN(V$6-$E$3,22))),0))-IF($G$2,0,IF((V$6-$G$3)&lt;1,0,IFERROR(LOOKUP(2,1/(Amendoim!$E15:INDEX(Amendoim!$E15:$Z15,MIN(V$6-$G$3,22))&lt;&gt;""),Amendoim!$E15:INDEX(Amendoim!$E15:$Z15,MIN(V$6-$G$3,22))),0)))))</f>
        <v>0</v>
      </c>
      <c r="W17" s="27" t="n">
        <f aca="false">IF(COUNT(Amendoim!$E15:$Z15)=0,0,MAX(0,IF((W$6-$E$3)&lt;1,0,IFERROR(LOOKUP(2,1/(Amendoim!$E15:INDEX(Amendoim!$E15:$Z15,MIN(W$6-$E$3,22))&lt;&gt;""),Amendoim!$E15:INDEX(Amendoim!$E15:$Z15,MIN(W$6-$E$3,22))),0))-IF($G$2,0,IF((W$6-$G$3)&lt;1,0,IFERROR(LOOKUP(2,1/(Amendoim!$E15:INDEX(Amendoim!$E15:$Z15,MIN(W$6-$G$3,22))&lt;&gt;""),Amendoim!$E15:INDEX(Amendoim!$E15:$Z15,MIN(W$6-$G$3,22))),0)))))</f>
        <v>0</v>
      </c>
      <c r="X17" s="27" t="n">
        <f aca="false">IF(COUNT(Amendoim!$E15:$Z15)=0,0,MAX(0,IF((X$6-$E$3)&lt;1,0,IFERROR(LOOKUP(2,1/(Amendoim!$E15:INDEX(Amendoim!$E15:$Z15,MIN(X$6-$E$3,22))&lt;&gt;""),Amendoim!$E15:INDEX(Amendoim!$E15:$Z15,MIN(X$6-$E$3,22))),0))-IF($G$2,0,IF((X$6-$G$3)&lt;1,0,IFERROR(LOOKUP(2,1/(Amendoim!$E15:INDEX(Amendoim!$E15:$Z15,MIN(X$6-$G$3,22))&lt;&gt;""),Amendoim!$E15:INDEX(Amendoim!$E15:$Z15,MIN(X$6-$G$3,22))),0)))))</f>
        <v>0</v>
      </c>
      <c r="Y17" s="27" t="n">
        <f aca="false">IF(COUNT(Amendoim!$E15:$Z15)=0,0,MAX(0,IF((Y$6-$E$3)&lt;1,0,IFERROR(LOOKUP(2,1/(Amendoim!$E15:INDEX(Amendoim!$E15:$Z15,MIN(Y$6-$E$3,22))&lt;&gt;""),Amendoim!$E15:INDEX(Amendoim!$E15:$Z15,MIN(Y$6-$E$3,22))),0))-IF($G$2,0,IF((Y$6-$G$3)&lt;1,0,IFERROR(LOOKUP(2,1/(Amendoim!$E15:INDEX(Amendoim!$E15:$Z15,MIN(Y$6-$G$3,22))&lt;&gt;""),Amendoim!$E15:INDEX(Amendoim!$E15:$Z15,MIN(Y$6-$G$3,22))),0)))))</f>
        <v>0</v>
      </c>
      <c r="Z17" s="27" t="n">
        <f aca="false">IF(COUNT(Amendoim!$E15:$Z15)=0,0,MAX(0,IF((Z$6-$E$3)&lt;1,0,IFERROR(LOOKUP(2,1/(Amendoim!$E15:INDEX(Amendoim!$E15:$Z15,MIN(Z$6-$E$3,22))&lt;&gt;""),Amendoim!$E15:INDEX(Amendoim!$E15:$Z15,MIN(Z$6-$E$3,22))),0))-IF($G$2,0,IF((Z$6-$G$3)&lt;1,0,IFERROR(LOOKUP(2,1/(Amendoim!$E15:INDEX(Amendoim!$E15:$Z15,MIN(Z$6-$G$3,22))&lt;&gt;""),Amendoim!$E15:INDEX(Amendoim!$E15:$Z15,MIN(Z$6-$G$3,22))),0)))))</f>
        <v>0</v>
      </c>
      <c r="AA17" s="27" t="n">
        <f aca="false">IF(COUNT(Amendoim!$E15:$Z15)=0,0,MAX(0,IF((AA$6-$E$3)&lt;1,0,IFERROR(LOOKUP(2,1/(Amendoim!$E15:INDEX(Amendoim!$E15:$Z15,MIN(AA$6-$E$3,22))&lt;&gt;""),Amendoim!$E15:INDEX(Amendoim!$E15:$Z15,MIN(AA$6-$E$3,22))),0))-IF($G$2,0,IF((AA$6-$G$3)&lt;1,0,IFERROR(LOOKUP(2,1/(Amendoim!$E15:INDEX(Amendoim!$E15:$Z15,MIN(AA$6-$G$3,22))&lt;&gt;""),Amendoim!$E15:INDEX(Amendoim!$E15:$Z15,MIN(AA$6-$G$3,22))),0)))))</f>
        <v>0</v>
      </c>
      <c r="AB17" s="27" t="n">
        <f aca="false">IF(COUNT(Amendoim!$E15:$Z15)=0,0,MAX(0,IF((AB$6-$E$3)&lt;1,0,IFERROR(LOOKUP(2,1/(Amendoim!$E15:INDEX(Amendoim!$E15:$Z15,MIN(AB$6-$E$3,22))&lt;&gt;""),Amendoim!$E15:INDEX(Amendoim!$E15:$Z15,MIN(AB$6-$E$3,22))),0))-IF($G$2,0,IF((AB$6-$G$3)&lt;1,0,IFERROR(LOOKUP(2,1/(Amendoim!$E15:INDEX(Amendoim!$E15:$Z15,MIN(AB$6-$G$3,22))&lt;&gt;""),Amendoim!$E15:INDEX(Amendoim!$E15:$Z15,MIN(AB$6-$G$3,22))),0)))))</f>
        <v>0</v>
      </c>
      <c r="AC17" s="27" t="n">
        <f aca="false">IF(COUNT(Amendoim!$E15:$Z15)=0,0,MAX(0,IF((AC$6-$E$3)&lt;1,0,IFERROR(LOOKUP(2,1/(Amendoim!$E15:INDEX(Amendoim!$E15:$Z15,MIN(AC$6-$E$3,22))&lt;&gt;""),Amendoim!$E15:INDEX(Amendoim!$E15:$Z15,MIN(AC$6-$E$3,22))),0))-IF($G$2,0,IF((AC$6-$G$3)&lt;1,0,IFERROR(LOOKUP(2,1/(Amendoim!$E15:INDEX(Amendoim!$E15:$Z15,MIN(AC$6-$G$3,22))&lt;&gt;""),Amendoim!$E15:INDEX(Amendoim!$E15:$Z15,MIN(AC$6-$G$3,22))),0)))))</f>
        <v>0</v>
      </c>
      <c r="AD17" s="27" t="n">
        <f aca="false">IF(COUNT(Amendoim!$E15:$Z15)=0,0,MAX(0,IF((AD$6-$E$3)&lt;1,0,IFERROR(LOOKUP(2,1/(Amendoim!$E15:INDEX(Amendoim!$E15:$Z15,MIN(AD$6-$E$3,22))&lt;&gt;""),Amendoim!$E15:INDEX(Amendoim!$E15:$Z15,MIN(AD$6-$E$3,22))),0))-IF($G$2,0,IF((AD$6-$G$3)&lt;1,0,IFERROR(LOOKUP(2,1/(Amendoim!$E15:INDEX(Amendoim!$E15:$Z15,MIN(AD$6-$G$3,22))&lt;&gt;""),Amendoim!$E15:INDEX(Amendoim!$E15:$Z15,MIN(AD$6-$G$3,22))),0)))))</f>
        <v>0</v>
      </c>
      <c r="AE17" s="27" t="n">
        <f aca="false">IF(COUNT(Amendoim!$E15:$Z15)=0,0,MAX(0,IF((AE$6-$E$3)&lt;1,0,IFERROR(LOOKUP(2,1/(Amendoim!$E15:INDEX(Amendoim!$E15:$Z15,MIN(AE$6-$E$3,22))&lt;&gt;""),Amendoim!$E15:INDEX(Amendoim!$E15:$Z15,MIN(AE$6-$E$3,22))),0))-IF($G$2,0,IF((AE$6-$G$3)&lt;1,0,IFERROR(LOOKUP(2,1/(Amendoim!$E15:INDEX(Amendoim!$E15:$Z15,MIN(AE$6-$G$3,22))&lt;&gt;""),Amendoim!$E15:INDEX(Amendoim!$E15:$Z15,MIN(AE$6-$G$3,22))),0)))))</f>
        <v>0</v>
      </c>
      <c r="AF17" s="27" t="n">
        <f aca="false">IF(COUNT(Amendoim!$E15:$Z15)=0,0,MAX(0,IF((AF$6-$E$3)&lt;1,0,IFERROR(LOOKUP(2,1/(Amendoim!$E15:INDEX(Amendoim!$E15:$Z15,MIN(AF$6-$E$3,22))&lt;&gt;""),Amendoim!$E15:INDEX(Amendoim!$E15:$Z15,MIN(AF$6-$E$3,22))),0))-IF($G$2,0,IF((AF$6-$G$3)&lt;1,0,IFERROR(LOOKUP(2,1/(Amendoim!$E15:INDEX(Amendoim!$E15:$Z15,MIN(AF$6-$G$3,22))&lt;&gt;""),Amendoim!$E15:INDEX(Amendoim!$E15:$Z15,MIN(AF$6-$G$3,22))),0)))))</f>
        <v>0</v>
      </c>
      <c r="AG17" s="27" t="n">
        <f aca="false">IF(COUNT(Amendoim!$E15:$Z15)=0,0,MAX(0,IF((AG$6-$E$3)&lt;1,0,IFERROR(LOOKUP(2,1/(Amendoim!$E15:INDEX(Amendoim!$E15:$Z15,MIN(AG$6-$E$3,22))&lt;&gt;""),Amendoim!$E15:INDEX(Amendoim!$E15:$Z15,MIN(AG$6-$E$3,22))),0))-IF($G$2,0,IF((AG$6-$G$3)&lt;1,0,IFERROR(LOOKUP(2,1/(Amendoim!$E15:INDEX(Amendoim!$E15:$Z15,MIN(AG$6-$G$3,22))&lt;&gt;""),Amendoim!$E15:INDEX(Amendoim!$E15:$Z15,MIN(AG$6-$G$3,22))),0)))))</f>
        <v>0</v>
      </c>
      <c r="AH17" s="27" t="n">
        <f aca="false">IF(COUNT(Amendoim!$E15:$Z15)=0,0,MAX(0,IF((AH$6-$E$3)&lt;1,0,IFERROR(LOOKUP(2,1/(Amendoim!$E15:INDEX(Amendoim!$E15:$Z15,MIN(AH$6-$E$3,22))&lt;&gt;""),Amendoim!$E15:INDEX(Amendoim!$E15:$Z15,MIN(AH$6-$E$3,22))),0))-IF($G$2,0,IF((AH$6-$G$3)&lt;1,0,IFERROR(LOOKUP(2,1/(Amendoim!$E15:INDEX(Amendoim!$E15:$Z15,MIN(AH$6-$G$3,22))&lt;&gt;""),Amendoim!$E15:INDEX(Amendoim!$E15:$Z15,MIN(AH$6-$G$3,22))),0)))))</f>
        <v>0</v>
      </c>
      <c r="AI17" s="27" t="n">
        <f aca="false">IF(COUNT(Amendoim!$E15:$Z15)=0,0,MAX(0,IF((AI$6-$E$3)&lt;1,0,IFERROR(LOOKUP(2,1/(Amendoim!$E15:INDEX(Amendoim!$E15:$Z15,MIN(AI$6-$E$3,22))&lt;&gt;""),Amendoim!$E15:INDEX(Amendoim!$E15:$Z15,MIN(AI$6-$E$3,22))),0))-IF($G$2,0,IF((AI$6-$G$3)&lt;1,0,IFERROR(LOOKUP(2,1/(Amendoim!$E15:INDEX(Amendoim!$E15:$Z15,MIN(AI$6-$G$3,22))&lt;&gt;""),Amendoim!$E15:INDEX(Amendoim!$E15:$Z15,MIN(AI$6-$G$3,22))),0)))))</f>
        <v>0</v>
      </c>
      <c r="AJ17" s="27" t="n">
        <f aca="false">IF(COUNT(Amendoim!$E15:$Z15)=0,0,MAX(0,IF((AJ$6-$E$3)&lt;1,0,IFERROR(LOOKUP(2,1/(Amendoim!$E15:INDEX(Amendoim!$E15:$Z15,MIN(AJ$6-$E$3,22))&lt;&gt;""),Amendoim!$E15:INDEX(Amendoim!$E15:$Z15,MIN(AJ$6-$E$3,22))),0))-IF($G$2,0,IF((AJ$6-$G$3)&lt;1,0,IFERROR(LOOKUP(2,1/(Amendoim!$E15:INDEX(Amendoim!$E15:$Z15,MIN(AJ$6-$G$3,22))&lt;&gt;""),Amendoim!$E15:INDEX(Amendoim!$E15:$Z15,MIN(AJ$6-$G$3,22))),0)))))</f>
        <v>0</v>
      </c>
      <c r="AK17" s="27" t="n">
        <f aca="false">IF(COUNT(Amendoim!$E15:$Z15)=0,0,MAX(0,IF((AK$6-$E$3)&lt;1,0,IFERROR(LOOKUP(2,1/(Amendoim!$E15:INDEX(Amendoim!$E15:$Z15,MIN(AK$6-$E$3,22))&lt;&gt;""),Amendoim!$E15:INDEX(Amendoim!$E15:$Z15,MIN(AK$6-$E$3,22))),0))-IF($G$2,0,IF((AK$6-$G$3)&lt;1,0,IFERROR(LOOKUP(2,1/(Amendoim!$E15:INDEX(Amendoim!$E15:$Z15,MIN(AK$6-$G$3,22))&lt;&gt;""),Amendoim!$E15:INDEX(Amendoim!$E15:$Z15,MIN(AK$6-$G$3,22))),0)))))</f>
        <v>0</v>
      </c>
      <c r="AL17" s="27" t="n">
        <f aca="false">IF(COUNT(Amendoim!$E15:$Z15)=0,0,MAX(0,IF((AL$6-$E$3)&lt;1,0,IFERROR(LOOKUP(2,1/(Amendoim!$E15:INDEX(Amendoim!$E15:$Z15,MIN(AL$6-$E$3,22))&lt;&gt;""),Amendoim!$E15:INDEX(Amendoim!$E15:$Z15,MIN(AL$6-$E$3,22))),0))-IF($G$2,0,IF((AL$6-$G$3)&lt;1,0,IFERROR(LOOKUP(2,1/(Amendoim!$E15:INDEX(Amendoim!$E15:$Z15,MIN(AL$6-$G$3,22))&lt;&gt;""),Amendoim!$E15:INDEX(Amendoim!$E15:$Z15,MIN(AL$6-$G$3,22))),0)))))</f>
        <v>0</v>
      </c>
      <c r="AM17" s="27" t="n">
        <f aca="false">IF(COUNT(Amendoim!$E15:$Z15)=0,0,MAX(0,IF((AM$6-$E$3)&lt;1,0,IFERROR(LOOKUP(2,1/(Amendoim!$E15:INDEX(Amendoim!$E15:$Z15,MIN(AM$6-$E$3,22))&lt;&gt;""),Amendoim!$E15:INDEX(Amendoim!$E15:$Z15,MIN(AM$6-$E$3,22))),0))-IF($G$2,0,IF((AM$6-$G$3)&lt;1,0,IFERROR(LOOKUP(2,1/(Amendoim!$E15:INDEX(Amendoim!$E15:$Z15,MIN(AM$6-$G$3,22))&lt;&gt;""),Amendoim!$E15:INDEX(Amendoim!$E15:$Z15,MIN(AM$6-$G$3,22))),0)))))</f>
        <v>0</v>
      </c>
      <c r="AN17" s="27" t="n">
        <f aca="false">IF(COUNT(Amendoim!$E15:$Z15)=0,0,MAX(0,IF((AN$6-$E$3)&lt;1,0,IFERROR(LOOKUP(2,1/(Amendoim!$E15:INDEX(Amendoim!$E15:$Z15,MIN(AN$6-$E$3,22))&lt;&gt;""),Amendoim!$E15:INDEX(Amendoim!$E15:$Z15,MIN(AN$6-$E$3,22))),0))-IF($G$2,0,IF((AN$6-$G$3)&lt;1,0,IFERROR(LOOKUP(2,1/(Amendoim!$E15:INDEX(Amendoim!$E15:$Z15,MIN(AN$6-$G$3,22))&lt;&gt;""),Amendoim!$E15:INDEX(Amendoim!$E15:$Z15,MIN(AN$6-$G$3,22))),0)))))</f>
        <v>0</v>
      </c>
      <c r="AO17" s="27" t="n">
        <f aca="false">IF(COUNT(Amendoim!$E15:$Z15)=0,0,MAX(0,IF((AO$6-$E$3)&lt;1,0,IFERROR(LOOKUP(2,1/(Amendoim!$E15:INDEX(Amendoim!$E15:$Z15,MIN(AO$6-$E$3,22))&lt;&gt;""),Amendoim!$E15:INDEX(Amendoim!$E15:$Z15,MIN(AO$6-$E$3,22))),0))-IF($G$2,0,IF((AO$6-$G$3)&lt;1,0,IFERROR(LOOKUP(2,1/(Amendoim!$E15:INDEX(Amendoim!$E15:$Z15,MIN(AO$6-$G$3,22))&lt;&gt;""),Amendoim!$E15:INDEX(Amendoim!$E15:$Z15,MIN(AO$6-$G$3,22))),0)))))</f>
        <v>0</v>
      </c>
      <c r="AP17" s="27" t="n">
        <f aca="false">IF(COUNT(Amendoim!$E15:$Z15)=0,0,MAX(0,IF((AP$6-$E$3)&lt;1,0,IFERROR(LOOKUP(2,1/(Amendoim!$E15:INDEX(Amendoim!$E15:$Z15,MIN(AP$6-$E$3,22))&lt;&gt;""),Amendoim!$E15:INDEX(Amendoim!$E15:$Z15,MIN(AP$6-$E$3,22))),0))-IF($G$2,0,IF((AP$6-$G$3)&lt;1,0,IFERROR(LOOKUP(2,1/(Amendoim!$E15:INDEX(Amendoim!$E15:$Z15,MIN(AP$6-$G$3,22))&lt;&gt;""),Amendoim!$E15:INDEX(Amendoim!$E15:$Z15,MIN(AP$6-$G$3,22))),0)))))</f>
        <v>0</v>
      </c>
      <c r="AQ17" s="27" t="n">
        <f aca="false">IF(COUNT(Amendoim!$E15:$Z15)=0,0,MAX(0,IF((AQ$6-$E$3)&lt;1,0,IFERROR(LOOKUP(2,1/(Amendoim!$E15:INDEX(Amendoim!$E15:$Z15,MIN(AQ$6-$E$3,22))&lt;&gt;""),Amendoim!$E15:INDEX(Amendoim!$E15:$Z15,MIN(AQ$6-$E$3,22))),0))-IF($G$2,0,IF((AQ$6-$G$3)&lt;1,0,IFERROR(LOOKUP(2,1/(Amendoim!$E15:INDEX(Amendoim!$E15:$Z15,MIN(AQ$6-$G$3,22))&lt;&gt;""),Amendoim!$E15:INDEX(Amendoim!$E15:$Z15,MIN(AQ$6-$G$3,22))),0)))))</f>
        <v>0</v>
      </c>
      <c r="AR17" s="27" t="n">
        <f aca="false">IF(COUNT(Amendoim!$E15:$Z15)=0,0,MAX(0,IF((AR$6-$E$3)&lt;1,0,IFERROR(LOOKUP(2,1/(Amendoim!$E15:INDEX(Amendoim!$E15:$Z15,MIN(AR$6-$E$3,22))&lt;&gt;""),Amendoim!$E15:INDEX(Amendoim!$E15:$Z15,MIN(AR$6-$E$3,22))),0))-IF($G$2,0,IF((AR$6-$G$3)&lt;1,0,IFERROR(LOOKUP(2,1/(Amendoim!$E15:INDEX(Amendoim!$E15:$Z15,MIN(AR$6-$G$3,22))&lt;&gt;""),Amendoim!$E15:INDEX(Amendoim!$E15:$Z15,MIN(AR$6-$G$3,22))),0)))))</f>
        <v>0</v>
      </c>
      <c r="AS17" s="27" t="n">
        <f aca="false">IF(COUNT(Amendoim!$E15:$Z15)=0,0,MAX(0,IF((AS$6-$E$3)&lt;1,0,IFERROR(LOOKUP(2,1/(Amendoim!$E15:INDEX(Amendoim!$E15:$Z15,MIN(AS$6-$E$3,22))&lt;&gt;""),Amendoim!$E15:INDEX(Amendoim!$E15:$Z15,MIN(AS$6-$E$3,22))),0))-IF($G$2,0,IF((AS$6-$G$3)&lt;1,0,IFERROR(LOOKUP(2,1/(Amendoim!$E15:INDEX(Amendoim!$E15:$Z15,MIN(AS$6-$G$3,22))&lt;&gt;""),Amendoim!$E15:INDEX(Amendoim!$E15:$Z15,MIN(AS$6-$G$3,22))),0)))))</f>
        <v>0</v>
      </c>
      <c r="AT17" s="27" t="n">
        <f aca="false">IF(COUNT(Amendoim!$E15:$Z15)=0,0,MAX(0,IF((AT$6-$E$3)&lt;1,0,IFERROR(LOOKUP(2,1/(Amendoim!$E15:INDEX(Amendoim!$E15:$Z15,MIN(AT$6-$E$3,22))&lt;&gt;""),Amendoim!$E15:INDEX(Amendoim!$E15:$Z15,MIN(AT$6-$E$3,22))),0))-IF($G$2,0,IF((AT$6-$G$3)&lt;1,0,IFERROR(LOOKUP(2,1/(Amendoim!$E15:INDEX(Amendoim!$E15:$Z15,MIN(AT$6-$G$3,22))&lt;&gt;""),Amendoim!$E15:INDEX(Amendoim!$E15:$Z15,MIN(AT$6-$G$3,22))),0)))))</f>
        <v>0</v>
      </c>
      <c r="AU17" s="27" t="n">
        <f aca="false">IF(COUNT(Amendoim!$E15:$Z15)=0,0,MAX(0,IF((AU$6-$E$3)&lt;1,0,IFERROR(LOOKUP(2,1/(Amendoim!$E15:INDEX(Amendoim!$E15:$Z15,MIN(AU$6-$E$3,22))&lt;&gt;""),Amendoim!$E15:INDEX(Amendoim!$E15:$Z15,MIN(AU$6-$E$3,22))),0))-IF($G$2,0,IF((AU$6-$G$3)&lt;1,0,IFERROR(LOOKUP(2,1/(Amendoim!$E15:INDEX(Amendoim!$E15:$Z15,MIN(AU$6-$G$3,22))&lt;&gt;""),Amendoim!$E15:INDEX(Amendoim!$E15:$Z15,MIN(AU$6-$G$3,22))),0)))))</f>
        <v>0</v>
      </c>
      <c r="AV17" s="27" t="n">
        <f aca="false">IF(COUNT(Amendoim!$E15:$Z15)=0,0,MAX(0,IF((AV$6-$E$3)&lt;1,0,IFERROR(LOOKUP(2,1/(Amendoim!$E15:INDEX(Amendoim!$E15:$Z15,MIN(AV$6-$E$3,22))&lt;&gt;""),Amendoim!$E15:INDEX(Amendoim!$E15:$Z15,MIN(AV$6-$E$3,22))),0))-IF($G$2,0,IF((AV$6-$G$3)&lt;1,0,IFERROR(LOOKUP(2,1/(Amendoim!$E15:INDEX(Amendoim!$E15:$Z15,MIN(AV$6-$G$3,22))&lt;&gt;""),Amendoim!$E15:INDEX(Amendoim!$E15:$Z15,MIN(AV$6-$G$3,22))),0)))))</f>
        <v>0</v>
      </c>
      <c r="AW17" s="27" t="n">
        <f aca="false">IF(COUNT(Amendoim!$E15:$Z15)=0,0,MAX(0,IF((AW$6-$E$3)&lt;1,0,IFERROR(LOOKUP(2,1/(Amendoim!$E15:INDEX(Amendoim!$E15:$Z15,MIN(AW$6-$E$3,22))&lt;&gt;""),Amendoim!$E15:INDEX(Amendoim!$E15:$Z15,MIN(AW$6-$E$3,22))),0))-IF($G$2,0,IF((AW$6-$G$3)&lt;1,0,IFERROR(LOOKUP(2,1/(Amendoim!$E15:INDEX(Amendoim!$E15:$Z15,MIN(AW$6-$G$3,22))&lt;&gt;""),Amendoim!$E15:INDEX(Amendoim!$E15:$Z15,MIN(AW$6-$G$3,22))),0)))))</f>
        <v>0</v>
      </c>
      <c r="AX17" s="27" t="n">
        <f aca="false">IF(COUNT(Amendoim!$E15:$Z15)=0,0,MAX(0,IF((AX$6-$E$3)&lt;1,0,IFERROR(LOOKUP(2,1/(Amendoim!$E15:INDEX(Amendoim!$E15:$Z15,MIN(AX$6-$E$3,22))&lt;&gt;""),Amendoim!$E15:INDEX(Amendoim!$E15:$Z15,MIN(AX$6-$E$3,22))),0))-IF($G$2,0,IF((AX$6-$G$3)&lt;1,0,IFERROR(LOOKUP(2,1/(Amendoim!$E15:INDEX(Amendoim!$E15:$Z15,MIN(AX$6-$G$3,22))&lt;&gt;""),Amendoim!$E15:INDEX(Amendoim!$E15:$Z15,MIN(AX$6-$G$3,22))),0)))))</f>
        <v>0</v>
      </c>
      <c r="AY17" s="27" t="n">
        <f aca="false">IF(COUNT(Amendoim!$E15:$Z15)=0,0,MAX(0,IF((AY$6-$E$3)&lt;1,0,IFERROR(LOOKUP(2,1/(Amendoim!$E15:INDEX(Amendoim!$E15:$Z15,MIN(AY$6-$E$3,22))&lt;&gt;""),Amendoim!$E15:INDEX(Amendoim!$E15:$Z15,MIN(AY$6-$E$3,22))),0))-IF($G$2,0,IF((AY$6-$G$3)&lt;1,0,IFERROR(LOOKUP(2,1/(Amendoim!$E15:INDEX(Amendoim!$E15:$Z15,MIN(AY$6-$G$3,22))&lt;&gt;""),Amendoim!$E15:INDEX(Amendoim!$E15:$Z15,MIN(AY$6-$G$3,22))),0)))))</f>
        <v>0</v>
      </c>
      <c r="AZ17" s="27" t="n">
        <f aca="false">IF(COUNT(Amendoim!$E15:$Z15)=0,0,MAX(0,IF((AZ$6-$E$3)&lt;1,0,IFERROR(LOOKUP(2,1/(Amendoim!$E15:INDEX(Amendoim!$E15:$Z15,MIN(AZ$6-$E$3,22))&lt;&gt;""),Amendoim!$E15:INDEX(Amendoim!$E15:$Z15,MIN(AZ$6-$E$3,22))),0))-IF($G$2,0,IF((AZ$6-$G$3)&lt;1,0,IFERROR(LOOKUP(2,1/(Amendoim!$E15:INDEX(Amendoim!$E15:$Z15,MIN(AZ$6-$G$3,22))&lt;&gt;""),Amendoim!$E15:INDEX(Amendoim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IF(COUNT(Amendoim!$E16:$Z16)&gt;0,N(Amendoim!$D16),0)</f>
        <v>0</v>
      </c>
      <c r="E18" s="27" t="n">
        <f aca="false">IF(COUNT(Amendoim!$E16:$Z16)=0,0,MAX(0,IF((E$6-$E$3)&lt;1,0,IFERROR(LOOKUP(2,1/(Amendoim!$E16:INDEX(Amendoim!$E16:$Z16,MIN(E$6-$E$3,22))&lt;&gt;""),Amendoim!$E16:INDEX(Amendoim!$E16:$Z16,MIN(E$6-$E$3,22))),0))-IF($G$2,0,IF((E$6-$G$3)&lt;1,0,IFERROR(LOOKUP(2,1/(Amendoim!$E16:INDEX(Amendoim!$E16:$Z16,MIN(E$6-$G$3,22))&lt;&gt;""),Amendoim!$E16:INDEX(Amendoim!$E16:$Z16,MIN(E$6-$G$3,22))),0)))))</f>
        <v>0</v>
      </c>
      <c r="F18" s="27" t="n">
        <f aca="false">IF(COUNT(Amendoim!$E16:$Z16)=0,0,MAX(0,IF((F$6-$E$3)&lt;1,0,IFERROR(LOOKUP(2,1/(Amendoim!$E16:INDEX(Amendoim!$E16:$Z16,MIN(F$6-$E$3,22))&lt;&gt;""),Amendoim!$E16:INDEX(Amendoim!$E16:$Z16,MIN(F$6-$E$3,22))),0))-IF($G$2,0,IF((F$6-$G$3)&lt;1,0,IFERROR(LOOKUP(2,1/(Amendoim!$E16:INDEX(Amendoim!$E16:$Z16,MIN(F$6-$G$3,22))&lt;&gt;""),Amendoim!$E16:INDEX(Amendoim!$E16:$Z16,MIN(F$6-$G$3,22))),0)))))</f>
        <v>0</v>
      </c>
      <c r="G18" s="27" t="n">
        <f aca="false">IF(COUNT(Amendoim!$E16:$Z16)=0,0,MAX(0,IF((G$6-$E$3)&lt;1,0,IFERROR(LOOKUP(2,1/(Amendoim!$E16:INDEX(Amendoim!$E16:$Z16,MIN(G$6-$E$3,22))&lt;&gt;""),Amendoim!$E16:INDEX(Amendoim!$E16:$Z16,MIN(G$6-$E$3,22))),0))-IF($G$2,0,IF((G$6-$G$3)&lt;1,0,IFERROR(LOOKUP(2,1/(Amendoim!$E16:INDEX(Amendoim!$E16:$Z16,MIN(G$6-$G$3,22))&lt;&gt;""),Amendoim!$E16:INDEX(Amendoim!$E16:$Z16,MIN(G$6-$G$3,22))),0)))))</f>
        <v>0</v>
      </c>
      <c r="H18" s="27" t="n">
        <f aca="false">IF(COUNT(Amendoim!$E16:$Z16)=0,0,MAX(0,IF((H$6-$E$3)&lt;1,0,IFERROR(LOOKUP(2,1/(Amendoim!$E16:INDEX(Amendoim!$E16:$Z16,MIN(H$6-$E$3,22))&lt;&gt;""),Amendoim!$E16:INDEX(Amendoim!$E16:$Z16,MIN(H$6-$E$3,22))),0))-IF($G$2,0,IF((H$6-$G$3)&lt;1,0,IFERROR(LOOKUP(2,1/(Amendoim!$E16:INDEX(Amendoim!$E16:$Z16,MIN(H$6-$G$3,22))&lt;&gt;""),Amendoim!$E16:INDEX(Amendoim!$E16:$Z16,MIN(H$6-$G$3,22))),0)))))</f>
        <v>0</v>
      </c>
      <c r="I18" s="27" t="n">
        <f aca="false">IF(COUNT(Amendoim!$E16:$Z16)=0,0,MAX(0,IF((I$6-$E$3)&lt;1,0,IFERROR(LOOKUP(2,1/(Amendoim!$E16:INDEX(Amendoim!$E16:$Z16,MIN(I$6-$E$3,22))&lt;&gt;""),Amendoim!$E16:INDEX(Amendoim!$E16:$Z16,MIN(I$6-$E$3,22))),0))-IF($G$2,0,IF((I$6-$G$3)&lt;1,0,IFERROR(LOOKUP(2,1/(Amendoim!$E16:INDEX(Amendoim!$E16:$Z16,MIN(I$6-$G$3,22))&lt;&gt;""),Amendoim!$E16:INDEX(Amendoim!$E16:$Z16,MIN(I$6-$G$3,22))),0)))))</f>
        <v>0</v>
      </c>
      <c r="J18" s="27" t="n">
        <f aca="false">IF(COUNT(Amendoim!$E16:$Z16)=0,0,MAX(0,IF((J$6-$E$3)&lt;1,0,IFERROR(LOOKUP(2,1/(Amendoim!$E16:INDEX(Amendoim!$E16:$Z16,MIN(J$6-$E$3,22))&lt;&gt;""),Amendoim!$E16:INDEX(Amendoim!$E16:$Z16,MIN(J$6-$E$3,22))),0))-IF($G$2,0,IF((J$6-$G$3)&lt;1,0,IFERROR(LOOKUP(2,1/(Amendoim!$E16:INDEX(Amendoim!$E16:$Z16,MIN(J$6-$G$3,22))&lt;&gt;""),Amendoim!$E16:INDEX(Amendoim!$E16:$Z16,MIN(J$6-$G$3,22))),0)))))</f>
        <v>0</v>
      </c>
      <c r="K18" s="27" t="n">
        <f aca="false">IF(COUNT(Amendoim!$E16:$Z16)=0,0,MAX(0,IF((K$6-$E$3)&lt;1,0,IFERROR(LOOKUP(2,1/(Amendoim!$E16:INDEX(Amendoim!$E16:$Z16,MIN(K$6-$E$3,22))&lt;&gt;""),Amendoim!$E16:INDEX(Amendoim!$E16:$Z16,MIN(K$6-$E$3,22))),0))-IF($G$2,0,IF((K$6-$G$3)&lt;1,0,IFERROR(LOOKUP(2,1/(Amendoim!$E16:INDEX(Amendoim!$E16:$Z16,MIN(K$6-$G$3,22))&lt;&gt;""),Amendoim!$E16:INDEX(Amendoim!$E16:$Z16,MIN(K$6-$G$3,22))),0)))))</f>
        <v>0</v>
      </c>
      <c r="L18" s="27" t="n">
        <f aca="false">IF(COUNT(Amendoim!$E16:$Z16)=0,0,MAX(0,IF((L$6-$E$3)&lt;1,0,IFERROR(LOOKUP(2,1/(Amendoim!$E16:INDEX(Amendoim!$E16:$Z16,MIN(L$6-$E$3,22))&lt;&gt;""),Amendoim!$E16:INDEX(Amendoim!$E16:$Z16,MIN(L$6-$E$3,22))),0))-IF($G$2,0,IF((L$6-$G$3)&lt;1,0,IFERROR(LOOKUP(2,1/(Amendoim!$E16:INDEX(Amendoim!$E16:$Z16,MIN(L$6-$G$3,22))&lt;&gt;""),Amendoim!$E16:INDEX(Amendoim!$E16:$Z16,MIN(L$6-$G$3,22))),0)))))</f>
        <v>0</v>
      </c>
      <c r="M18" s="27" t="n">
        <f aca="false">IF(COUNT(Amendoim!$E16:$Z16)=0,0,MAX(0,IF((M$6-$E$3)&lt;1,0,IFERROR(LOOKUP(2,1/(Amendoim!$E16:INDEX(Amendoim!$E16:$Z16,MIN(M$6-$E$3,22))&lt;&gt;""),Amendoim!$E16:INDEX(Amendoim!$E16:$Z16,MIN(M$6-$E$3,22))),0))-IF($G$2,0,IF((M$6-$G$3)&lt;1,0,IFERROR(LOOKUP(2,1/(Amendoim!$E16:INDEX(Amendoim!$E16:$Z16,MIN(M$6-$G$3,22))&lt;&gt;""),Amendoim!$E16:INDEX(Amendoim!$E16:$Z16,MIN(M$6-$G$3,22))),0)))))</f>
        <v>0</v>
      </c>
      <c r="N18" s="27" t="n">
        <f aca="false">IF(COUNT(Amendoim!$E16:$Z16)=0,0,MAX(0,IF((N$6-$E$3)&lt;1,0,IFERROR(LOOKUP(2,1/(Amendoim!$E16:INDEX(Amendoim!$E16:$Z16,MIN(N$6-$E$3,22))&lt;&gt;""),Amendoim!$E16:INDEX(Amendoim!$E16:$Z16,MIN(N$6-$E$3,22))),0))-IF($G$2,0,IF((N$6-$G$3)&lt;1,0,IFERROR(LOOKUP(2,1/(Amendoim!$E16:INDEX(Amendoim!$E16:$Z16,MIN(N$6-$G$3,22))&lt;&gt;""),Amendoim!$E16:INDEX(Amendoim!$E16:$Z16,MIN(N$6-$G$3,22))),0)))))</f>
        <v>0</v>
      </c>
      <c r="O18" s="27" t="n">
        <f aca="false">IF(COUNT(Amendoim!$E16:$Z16)=0,0,MAX(0,IF((O$6-$E$3)&lt;1,0,IFERROR(LOOKUP(2,1/(Amendoim!$E16:INDEX(Amendoim!$E16:$Z16,MIN(O$6-$E$3,22))&lt;&gt;""),Amendoim!$E16:INDEX(Amendoim!$E16:$Z16,MIN(O$6-$E$3,22))),0))-IF($G$2,0,IF((O$6-$G$3)&lt;1,0,IFERROR(LOOKUP(2,1/(Amendoim!$E16:INDEX(Amendoim!$E16:$Z16,MIN(O$6-$G$3,22))&lt;&gt;""),Amendoim!$E16:INDEX(Amendoim!$E16:$Z16,MIN(O$6-$G$3,22))),0)))))</f>
        <v>0</v>
      </c>
      <c r="P18" s="27" t="n">
        <f aca="false">IF(COUNT(Amendoim!$E16:$Z16)=0,0,MAX(0,IF((P$6-$E$3)&lt;1,0,IFERROR(LOOKUP(2,1/(Amendoim!$E16:INDEX(Amendoim!$E16:$Z16,MIN(P$6-$E$3,22))&lt;&gt;""),Amendoim!$E16:INDEX(Amendoim!$E16:$Z16,MIN(P$6-$E$3,22))),0))-IF($G$2,0,IF((P$6-$G$3)&lt;1,0,IFERROR(LOOKUP(2,1/(Amendoim!$E16:INDEX(Amendoim!$E16:$Z16,MIN(P$6-$G$3,22))&lt;&gt;""),Amendoim!$E16:INDEX(Amendoim!$E16:$Z16,MIN(P$6-$G$3,22))),0)))))</f>
        <v>0</v>
      </c>
      <c r="Q18" s="27" t="n">
        <f aca="false">IF(COUNT(Amendoim!$E16:$Z16)=0,0,MAX(0,IF((Q$6-$E$3)&lt;1,0,IFERROR(LOOKUP(2,1/(Amendoim!$E16:INDEX(Amendoim!$E16:$Z16,MIN(Q$6-$E$3,22))&lt;&gt;""),Amendoim!$E16:INDEX(Amendoim!$E16:$Z16,MIN(Q$6-$E$3,22))),0))-IF($G$2,0,IF((Q$6-$G$3)&lt;1,0,IFERROR(LOOKUP(2,1/(Amendoim!$E16:INDEX(Amendoim!$E16:$Z16,MIN(Q$6-$G$3,22))&lt;&gt;""),Amendoim!$E16:INDEX(Amendoim!$E16:$Z16,MIN(Q$6-$G$3,22))),0)))))</f>
        <v>0</v>
      </c>
      <c r="R18" s="27" t="n">
        <f aca="false">IF(COUNT(Amendoim!$E16:$Z16)=0,0,MAX(0,IF((R$6-$E$3)&lt;1,0,IFERROR(LOOKUP(2,1/(Amendoim!$E16:INDEX(Amendoim!$E16:$Z16,MIN(R$6-$E$3,22))&lt;&gt;""),Amendoim!$E16:INDEX(Amendoim!$E16:$Z16,MIN(R$6-$E$3,22))),0))-IF($G$2,0,IF((R$6-$G$3)&lt;1,0,IFERROR(LOOKUP(2,1/(Amendoim!$E16:INDEX(Amendoim!$E16:$Z16,MIN(R$6-$G$3,22))&lt;&gt;""),Amendoim!$E16:INDEX(Amendoim!$E16:$Z16,MIN(R$6-$G$3,22))),0)))))</f>
        <v>0</v>
      </c>
      <c r="S18" s="27" t="n">
        <f aca="false">IF(COUNT(Amendoim!$E16:$Z16)=0,0,MAX(0,IF((S$6-$E$3)&lt;1,0,IFERROR(LOOKUP(2,1/(Amendoim!$E16:INDEX(Amendoim!$E16:$Z16,MIN(S$6-$E$3,22))&lt;&gt;""),Amendoim!$E16:INDEX(Amendoim!$E16:$Z16,MIN(S$6-$E$3,22))),0))-IF($G$2,0,IF((S$6-$G$3)&lt;1,0,IFERROR(LOOKUP(2,1/(Amendoim!$E16:INDEX(Amendoim!$E16:$Z16,MIN(S$6-$G$3,22))&lt;&gt;""),Amendoim!$E16:INDEX(Amendoim!$E16:$Z16,MIN(S$6-$G$3,22))),0)))))</f>
        <v>0</v>
      </c>
      <c r="T18" s="27" t="n">
        <f aca="false">IF(COUNT(Amendoim!$E16:$Z16)=0,0,MAX(0,IF((T$6-$E$3)&lt;1,0,IFERROR(LOOKUP(2,1/(Amendoim!$E16:INDEX(Amendoim!$E16:$Z16,MIN(T$6-$E$3,22))&lt;&gt;""),Amendoim!$E16:INDEX(Amendoim!$E16:$Z16,MIN(T$6-$E$3,22))),0))-IF($G$2,0,IF((T$6-$G$3)&lt;1,0,IFERROR(LOOKUP(2,1/(Amendoim!$E16:INDEX(Amendoim!$E16:$Z16,MIN(T$6-$G$3,22))&lt;&gt;""),Amendoim!$E16:INDEX(Amendoim!$E16:$Z16,MIN(T$6-$G$3,22))),0)))))</f>
        <v>0</v>
      </c>
      <c r="U18" s="27" t="n">
        <f aca="false">IF(COUNT(Amendoim!$E16:$Z16)=0,0,MAX(0,IF((U$6-$E$3)&lt;1,0,IFERROR(LOOKUP(2,1/(Amendoim!$E16:INDEX(Amendoim!$E16:$Z16,MIN(U$6-$E$3,22))&lt;&gt;""),Amendoim!$E16:INDEX(Amendoim!$E16:$Z16,MIN(U$6-$E$3,22))),0))-IF($G$2,0,IF((U$6-$G$3)&lt;1,0,IFERROR(LOOKUP(2,1/(Amendoim!$E16:INDEX(Amendoim!$E16:$Z16,MIN(U$6-$G$3,22))&lt;&gt;""),Amendoim!$E16:INDEX(Amendoim!$E16:$Z16,MIN(U$6-$G$3,22))),0)))))</f>
        <v>0</v>
      </c>
      <c r="V18" s="27" t="n">
        <f aca="false">IF(COUNT(Amendoim!$E16:$Z16)=0,0,MAX(0,IF((V$6-$E$3)&lt;1,0,IFERROR(LOOKUP(2,1/(Amendoim!$E16:INDEX(Amendoim!$E16:$Z16,MIN(V$6-$E$3,22))&lt;&gt;""),Amendoim!$E16:INDEX(Amendoim!$E16:$Z16,MIN(V$6-$E$3,22))),0))-IF($G$2,0,IF((V$6-$G$3)&lt;1,0,IFERROR(LOOKUP(2,1/(Amendoim!$E16:INDEX(Amendoim!$E16:$Z16,MIN(V$6-$G$3,22))&lt;&gt;""),Amendoim!$E16:INDEX(Amendoim!$E16:$Z16,MIN(V$6-$G$3,22))),0)))))</f>
        <v>0</v>
      </c>
      <c r="W18" s="27" t="n">
        <f aca="false">IF(COUNT(Amendoim!$E16:$Z16)=0,0,MAX(0,IF((W$6-$E$3)&lt;1,0,IFERROR(LOOKUP(2,1/(Amendoim!$E16:INDEX(Amendoim!$E16:$Z16,MIN(W$6-$E$3,22))&lt;&gt;""),Amendoim!$E16:INDEX(Amendoim!$E16:$Z16,MIN(W$6-$E$3,22))),0))-IF($G$2,0,IF((W$6-$G$3)&lt;1,0,IFERROR(LOOKUP(2,1/(Amendoim!$E16:INDEX(Amendoim!$E16:$Z16,MIN(W$6-$G$3,22))&lt;&gt;""),Amendoim!$E16:INDEX(Amendoim!$E16:$Z16,MIN(W$6-$G$3,22))),0)))))</f>
        <v>0</v>
      </c>
      <c r="X18" s="27" t="n">
        <f aca="false">IF(COUNT(Amendoim!$E16:$Z16)=0,0,MAX(0,IF((X$6-$E$3)&lt;1,0,IFERROR(LOOKUP(2,1/(Amendoim!$E16:INDEX(Amendoim!$E16:$Z16,MIN(X$6-$E$3,22))&lt;&gt;""),Amendoim!$E16:INDEX(Amendoim!$E16:$Z16,MIN(X$6-$E$3,22))),0))-IF($G$2,0,IF((X$6-$G$3)&lt;1,0,IFERROR(LOOKUP(2,1/(Amendoim!$E16:INDEX(Amendoim!$E16:$Z16,MIN(X$6-$G$3,22))&lt;&gt;""),Amendoim!$E16:INDEX(Amendoim!$E16:$Z16,MIN(X$6-$G$3,22))),0)))))</f>
        <v>0</v>
      </c>
      <c r="Y18" s="27" t="n">
        <f aca="false">IF(COUNT(Amendoim!$E16:$Z16)=0,0,MAX(0,IF((Y$6-$E$3)&lt;1,0,IFERROR(LOOKUP(2,1/(Amendoim!$E16:INDEX(Amendoim!$E16:$Z16,MIN(Y$6-$E$3,22))&lt;&gt;""),Amendoim!$E16:INDEX(Amendoim!$E16:$Z16,MIN(Y$6-$E$3,22))),0))-IF($G$2,0,IF((Y$6-$G$3)&lt;1,0,IFERROR(LOOKUP(2,1/(Amendoim!$E16:INDEX(Amendoim!$E16:$Z16,MIN(Y$6-$G$3,22))&lt;&gt;""),Amendoim!$E16:INDEX(Amendoim!$E16:$Z16,MIN(Y$6-$G$3,22))),0)))))</f>
        <v>0</v>
      </c>
      <c r="Z18" s="27" t="n">
        <f aca="false">IF(COUNT(Amendoim!$E16:$Z16)=0,0,MAX(0,IF((Z$6-$E$3)&lt;1,0,IFERROR(LOOKUP(2,1/(Amendoim!$E16:INDEX(Amendoim!$E16:$Z16,MIN(Z$6-$E$3,22))&lt;&gt;""),Amendoim!$E16:INDEX(Amendoim!$E16:$Z16,MIN(Z$6-$E$3,22))),0))-IF($G$2,0,IF((Z$6-$G$3)&lt;1,0,IFERROR(LOOKUP(2,1/(Amendoim!$E16:INDEX(Amendoim!$E16:$Z16,MIN(Z$6-$G$3,22))&lt;&gt;""),Amendoim!$E16:INDEX(Amendoim!$E16:$Z16,MIN(Z$6-$G$3,22))),0)))))</f>
        <v>0</v>
      </c>
      <c r="AA18" s="27" t="n">
        <f aca="false">IF(COUNT(Amendoim!$E16:$Z16)=0,0,MAX(0,IF((AA$6-$E$3)&lt;1,0,IFERROR(LOOKUP(2,1/(Amendoim!$E16:INDEX(Amendoim!$E16:$Z16,MIN(AA$6-$E$3,22))&lt;&gt;""),Amendoim!$E16:INDEX(Amendoim!$E16:$Z16,MIN(AA$6-$E$3,22))),0))-IF($G$2,0,IF((AA$6-$G$3)&lt;1,0,IFERROR(LOOKUP(2,1/(Amendoim!$E16:INDEX(Amendoim!$E16:$Z16,MIN(AA$6-$G$3,22))&lt;&gt;""),Amendoim!$E16:INDEX(Amendoim!$E16:$Z16,MIN(AA$6-$G$3,22))),0)))))</f>
        <v>0</v>
      </c>
      <c r="AB18" s="27" t="n">
        <f aca="false">IF(COUNT(Amendoim!$E16:$Z16)=0,0,MAX(0,IF((AB$6-$E$3)&lt;1,0,IFERROR(LOOKUP(2,1/(Amendoim!$E16:INDEX(Amendoim!$E16:$Z16,MIN(AB$6-$E$3,22))&lt;&gt;""),Amendoim!$E16:INDEX(Amendoim!$E16:$Z16,MIN(AB$6-$E$3,22))),0))-IF($G$2,0,IF((AB$6-$G$3)&lt;1,0,IFERROR(LOOKUP(2,1/(Amendoim!$E16:INDEX(Amendoim!$E16:$Z16,MIN(AB$6-$G$3,22))&lt;&gt;""),Amendoim!$E16:INDEX(Amendoim!$E16:$Z16,MIN(AB$6-$G$3,22))),0)))))</f>
        <v>0</v>
      </c>
      <c r="AC18" s="27" t="n">
        <f aca="false">IF(COUNT(Amendoim!$E16:$Z16)=0,0,MAX(0,IF((AC$6-$E$3)&lt;1,0,IFERROR(LOOKUP(2,1/(Amendoim!$E16:INDEX(Amendoim!$E16:$Z16,MIN(AC$6-$E$3,22))&lt;&gt;""),Amendoim!$E16:INDEX(Amendoim!$E16:$Z16,MIN(AC$6-$E$3,22))),0))-IF($G$2,0,IF((AC$6-$G$3)&lt;1,0,IFERROR(LOOKUP(2,1/(Amendoim!$E16:INDEX(Amendoim!$E16:$Z16,MIN(AC$6-$G$3,22))&lt;&gt;""),Amendoim!$E16:INDEX(Amendoim!$E16:$Z16,MIN(AC$6-$G$3,22))),0)))))</f>
        <v>0</v>
      </c>
      <c r="AD18" s="27" t="n">
        <f aca="false">IF(COUNT(Amendoim!$E16:$Z16)=0,0,MAX(0,IF((AD$6-$E$3)&lt;1,0,IFERROR(LOOKUP(2,1/(Amendoim!$E16:INDEX(Amendoim!$E16:$Z16,MIN(AD$6-$E$3,22))&lt;&gt;""),Amendoim!$E16:INDEX(Amendoim!$E16:$Z16,MIN(AD$6-$E$3,22))),0))-IF($G$2,0,IF((AD$6-$G$3)&lt;1,0,IFERROR(LOOKUP(2,1/(Amendoim!$E16:INDEX(Amendoim!$E16:$Z16,MIN(AD$6-$G$3,22))&lt;&gt;""),Amendoim!$E16:INDEX(Amendoim!$E16:$Z16,MIN(AD$6-$G$3,22))),0)))))</f>
        <v>0</v>
      </c>
      <c r="AE18" s="27" t="n">
        <f aca="false">IF(COUNT(Amendoim!$E16:$Z16)=0,0,MAX(0,IF((AE$6-$E$3)&lt;1,0,IFERROR(LOOKUP(2,1/(Amendoim!$E16:INDEX(Amendoim!$E16:$Z16,MIN(AE$6-$E$3,22))&lt;&gt;""),Amendoim!$E16:INDEX(Amendoim!$E16:$Z16,MIN(AE$6-$E$3,22))),0))-IF($G$2,0,IF((AE$6-$G$3)&lt;1,0,IFERROR(LOOKUP(2,1/(Amendoim!$E16:INDEX(Amendoim!$E16:$Z16,MIN(AE$6-$G$3,22))&lt;&gt;""),Amendoim!$E16:INDEX(Amendoim!$E16:$Z16,MIN(AE$6-$G$3,22))),0)))))</f>
        <v>0</v>
      </c>
      <c r="AF18" s="27" t="n">
        <f aca="false">IF(COUNT(Amendoim!$E16:$Z16)=0,0,MAX(0,IF((AF$6-$E$3)&lt;1,0,IFERROR(LOOKUP(2,1/(Amendoim!$E16:INDEX(Amendoim!$E16:$Z16,MIN(AF$6-$E$3,22))&lt;&gt;""),Amendoim!$E16:INDEX(Amendoim!$E16:$Z16,MIN(AF$6-$E$3,22))),0))-IF($G$2,0,IF((AF$6-$G$3)&lt;1,0,IFERROR(LOOKUP(2,1/(Amendoim!$E16:INDEX(Amendoim!$E16:$Z16,MIN(AF$6-$G$3,22))&lt;&gt;""),Amendoim!$E16:INDEX(Amendoim!$E16:$Z16,MIN(AF$6-$G$3,22))),0)))))</f>
        <v>0</v>
      </c>
      <c r="AG18" s="27" t="n">
        <f aca="false">IF(COUNT(Amendoim!$E16:$Z16)=0,0,MAX(0,IF((AG$6-$E$3)&lt;1,0,IFERROR(LOOKUP(2,1/(Amendoim!$E16:INDEX(Amendoim!$E16:$Z16,MIN(AG$6-$E$3,22))&lt;&gt;""),Amendoim!$E16:INDEX(Amendoim!$E16:$Z16,MIN(AG$6-$E$3,22))),0))-IF($G$2,0,IF((AG$6-$G$3)&lt;1,0,IFERROR(LOOKUP(2,1/(Amendoim!$E16:INDEX(Amendoim!$E16:$Z16,MIN(AG$6-$G$3,22))&lt;&gt;""),Amendoim!$E16:INDEX(Amendoim!$E16:$Z16,MIN(AG$6-$G$3,22))),0)))))</f>
        <v>0</v>
      </c>
      <c r="AH18" s="27" t="n">
        <f aca="false">IF(COUNT(Amendoim!$E16:$Z16)=0,0,MAX(0,IF((AH$6-$E$3)&lt;1,0,IFERROR(LOOKUP(2,1/(Amendoim!$E16:INDEX(Amendoim!$E16:$Z16,MIN(AH$6-$E$3,22))&lt;&gt;""),Amendoim!$E16:INDEX(Amendoim!$E16:$Z16,MIN(AH$6-$E$3,22))),0))-IF($G$2,0,IF((AH$6-$G$3)&lt;1,0,IFERROR(LOOKUP(2,1/(Amendoim!$E16:INDEX(Amendoim!$E16:$Z16,MIN(AH$6-$G$3,22))&lt;&gt;""),Amendoim!$E16:INDEX(Amendoim!$E16:$Z16,MIN(AH$6-$G$3,22))),0)))))</f>
        <v>0</v>
      </c>
      <c r="AI18" s="27" t="n">
        <f aca="false">IF(COUNT(Amendoim!$E16:$Z16)=0,0,MAX(0,IF((AI$6-$E$3)&lt;1,0,IFERROR(LOOKUP(2,1/(Amendoim!$E16:INDEX(Amendoim!$E16:$Z16,MIN(AI$6-$E$3,22))&lt;&gt;""),Amendoim!$E16:INDEX(Amendoim!$E16:$Z16,MIN(AI$6-$E$3,22))),0))-IF($G$2,0,IF((AI$6-$G$3)&lt;1,0,IFERROR(LOOKUP(2,1/(Amendoim!$E16:INDEX(Amendoim!$E16:$Z16,MIN(AI$6-$G$3,22))&lt;&gt;""),Amendoim!$E16:INDEX(Amendoim!$E16:$Z16,MIN(AI$6-$G$3,22))),0)))))</f>
        <v>0</v>
      </c>
      <c r="AJ18" s="27" t="n">
        <f aca="false">IF(COUNT(Amendoim!$E16:$Z16)=0,0,MAX(0,IF((AJ$6-$E$3)&lt;1,0,IFERROR(LOOKUP(2,1/(Amendoim!$E16:INDEX(Amendoim!$E16:$Z16,MIN(AJ$6-$E$3,22))&lt;&gt;""),Amendoim!$E16:INDEX(Amendoim!$E16:$Z16,MIN(AJ$6-$E$3,22))),0))-IF($G$2,0,IF((AJ$6-$G$3)&lt;1,0,IFERROR(LOOKUP(2,1/(Amendoim!$E16:INDEX(Amendoim!$E16:$Z16,MIN(AJ$6-$G$3,22))&lt;&gt;""),Amendoim!$E16:INDEX(Amendoim!$E16:$Z16,MIN(AJ$6-$G$3,22))),0)))))</f>
        <v>0</v>
      </c>
      <c r="AK18" s="27" t="n">
        <f aca="false">IF(COUNT(Amendoim!$E16:$Z16)=0,0,MAX(0,IF((AK$6-$E$3)&lt;1,0,IFERROR(LOOKUP(2,1/(Amendoim!$E16:INDEX(Amendoim!$E16:$Z16,MIN(AK$6-$E$3,22))&lt;&gt;""),Amendoim!$E16:INDEX(Amendoim!$E16:$Z16,MIN(AK$6-$E$3,22))),0))-IF($G$2,0,IF((AK$6-$G$3)&lt;1,0,IFERROR(LOOKUP(2,1/(Amendoim!$E16:INDEX(Amendoim!$E16:$Z16,MIN(AK$6-$G$3,22))&lt;&gt;""),Amendoim!$E16:INDEX(Amendoim!$E16:$Z16,MIN(AK$6-$G$3,22))),0)))))</f>
        <v>0</v>
      </c>
      <c r="AL18" s="27" t="n">
        <f aca="false">IF(COUNT(Amendoim!$E16:$Z16)=0,0,MAX(0,IF((AL$6-$E$3)&lt;1,0,IFERROR(LOOKUP(2,1/(Amendoim!$E16:INDEX(Amendoim!$E16:$Z16,MIN(AL$6-$E$3,22))&lt;&gt;""),Amendoim!$E16:INDEX(Amendoim!$E16:$Z16,MIN(AL$6-$E$3,22))),0))-IF($G$2,0,IF((AL$6-$G$3)&lt;1,0,IFERROR(LOOKUP(2,1/(Amendoim!$E16:INDEX(Amendoim!$E16:$Z16,MIN(AL$6-$G$3,22))&lt;&gt;""),Amendoim!$E16:INDEX(Amendoim!$E16:$Z16,MIN(AL$6-$G$3,22))),0)))))</f>
        <v>0</v>
      </c>
      <c r="AM18" s="27" t="n">
        <f aca="false">IF(COUNT(Amendoim!$E16:$Z16)=0,0,MAX(0,IF((AM$6-$E$3)&lt;1,0,IFERROR(LOOKUP(2,1/(Amendoim!$E16:INDEX(Amendoim!$E16:$Z16,MIN(AM$6-$E$3,22))&lt;&gt;""),Amendoim!$E16:INDEX(Amendoim!$E16:$Z16,MIN(AM$6-$E$3,22))),0))-IF($G$2,0,IF((AM$6-$G$3)&lt;1,0,IFERROR(LOOKUP(2,1/(Amendoim!$E16:INDEX(Amendoim!$E16:$Z16,MIN(AM$6-$G$3,22))&lt;&gt;""),Amendoim!$E16:INDEX(Amendoim!$E16:$Z16,MIN(AM$6-$G$3,22))),0)))))</f>
        <v>0</v>
      </c>
      <c r="AN18" s="27" t="n">
        <f aca="false">IF(COUNT(Amendoim!$E16:$Z16)=0,0,MAX(0,IF((AN$6-$E$3)&lt;1,0,IFERROR(LOOKUP(2,1/(Amendoim!$E16:INDEX(Amendoim!$E16:$Z16,MIN(AN$6-$E$3,22))&lt;&gt;""),Amendoim!$E16:INDEX(Amendoim!$E16:$Z16,MIN(AN$6-$E$3,22))),0))-IF($G$2,0,IF((AN$6-$G$3)&lt;1,0,IFERROR(LOOKUP(2,1/(Amendoim!$E16:INDEX(Amendoim!$E16:$Z16,MIN(AN$6-$G$3,22))&lt;&gt;""),Amendoim!$E16:INDEX(Amendoim!$E16:$Z16,MIN(AN$6-$G$3,22))),0)))))</f>
        <v>0</v>
      </c>
      <c r="AO18" s="27" t="n">
        <f aca="false">IF(COUNT(Amendoim!$E16:$Z16)=0,0,MAX(0,IF((AO$6-$E$3)&lt;1,0,IFERROR(LOOKUP(2,1/(Amendoim!$E16:INDEX(Amendoim!$E16:$Z16,MIN(AO$6-$E$3,22))&lt;&gt;""),Amendoim!$E16:INDEX(Amendoim!$E16:$Z16,MIN(AO$6-$E$3,22))),0))-IF($G$2,0,IF((AO$6-$G$3)&lt;1,0,IFERROR(LOOKUP(2,1/(Amendoim!$E16:INDEX(Amendoim!$E16:$Z16,MIN(AO$6-$G$3,22))&lt;&gt;""),Amendoim!$E16:INDEX(Amendoim!$E16:$Z16,MIN(AO$6-$G$3,22))),0)))))</f>
        <v>0</v>
      </c>
      <c r="AP18" s="27" t="n">
        <f aca="false">IF(COUNT(Amendoim!$E16:$Z16)=0,0,MAX(0,IF((AP$6-$E$3)&lt;1,0,IFERROR(LOOKUP(2,1/(Amendoim!$E16:INDEX(Amendoim!$E16:$Z16,MIN(AP$6-$E$3,22))&lt;&gt;""),Amendoim!$E16:INDEX(Amendoim!$E16:$Z16,MIN(AP$6-$E$3,22))),0))-IF($G$2,0,IF((AP$6-$G$3)&lt;1,0,IFERROR(LOOKUP(2,1/(Amendoim!$E16:INDEX(Amendoim!$E16:$Z16,MIN(AP$6-$G$3,22))&lt;&gt;""),Amendoim!$E16:INDEX(Amendoim!$E16:$Z16,MIN(AP$6-$G$3,22))),0)))))</f>
        <v>0</v>
      </c>
      <c r="AQ18" s="27" t="n">
        <f aca="false">IF(COUNT(Amendoim!$E16:$Z16)=0,0,MAX(0,IF((AQ$6-$E$3)&lt;1,0,IFERROR(LOOKUP(2,1/(Amendoim!$E16:INDEX(Amendoim!$E16:$Z16,MIN(AQ$6-$E$3,22))&lt;&gt;""),Amendoim!$E16:INDEX(Amendoim!$E16:$Z16,MIN(AQ$6-$E$3,22))),0))-IF($G$2,0,IF((AQ$6-$G$3)&lt;1,0,IFERROR(LOOKUP(2,1/(Amendoim!$E16:INDEX(Amendoim!$E16:$Z16,MIN(AQ$6-$G$3,22))&lt;&gt;""),Amendoim!$E16:INDEX(Amendoim!$E16:$Z16,MIN(AQ$6-$G$3,22))),0)))))</f>
        <v>0</v>
      </c>
      <c r="AR18" s="27" t="n">
        <f aca="false">IF(COUNT(Amendoim!$E16:$Z16)=0,0,MAX(0,IF((AR$6-$E$3)&lt;1,0,IFERROR(LOOKUP(2,1/(Amendoim!$E16:INDEX(Amendoim!$E16:$Z16,MIN(AR$6-$E$3,22))&lt;&gt;""),Amendoim!$E16:INDEX(Amendoim!$E16:$Z16,MIN(AR$6-$E$3,22))),0))-IF($G$2,0,IF((AR$6-$G$3)&lt;1,0,IFERROR(LOOKUP(2,1/(Amendoim!$E16:INDEX(Amendoim!$E16:$Z16,MIN(AR$6-$G$3,22))&lt;&gt;""),Amendoim!$E16:INDEX(Amendoim!$E16:$Z16,MIN(AR$6-$G$3,22))),0)))))</f>
        <v>0</v>
      </c>
      <c r="AS18" s="27" t="n">
        <f aca="false">IF(COUNT(Amendoim!$E16:$Z16)=0,0,MAX(0,IF((AS$6-$E$3)&lt;1,0,IFERROR(LOOKUP(2,1/(Amendoim!$E16:INDEX(Amendoim!$E16:$Z16,MIN(AS$6-$E$3,22))&lt;&gt;""),Amendoim!$E16:INDEX(Amendoim!$E16:$Z16,MIN(AS$6-$E$3,22))),0))-IF($G$2,0,IF((AS$6-$G$3)&lt;1,0,IFERROR(LOOKUP(2,1/(Amendoim!$E16:INDEX(Amendoim!$E16:$Z16,MIN(AS$6-$G$3,22))&lt;&gt;""),Amendoim!$E16:INDEX(Amendoim!$E16:$Z16,MIN(AS$6-$G$3,22))),0)))))</f>
        <v>0</v>
      </c>
      <c r="AT18" s="27" t="n">
        <f aca="false">IF(COUNT(Amendoim!$E16:$Z16)=0,0,MAX(0,IF((AT$6-$E$3)&lt;1,0,IFERROR(LOOKUP(2,1/(Amendoim!$E16:INDEX(Amendoim!$E16:$Z16,MIN(AT$6-$E$3,22))&lt;&gt;""),Amendoim!$E16:INDEX(Amendoim!$E16:$Z16,MIN(AT$6-$E$3,22))),0))-IF($G$2,0,IF((AT$6-$G$3)&lt;1,0,IFERROR(LOOKUP(2,1/(Amendoim!$E16:INDEX(Amendoim!$E16:$Z16,MIN(AT$6-$G$3,22))&lt;&gt;""),Amendoim!$E16:INDEX(Amendoim!$E16:$Z16,MIN(AT$6-$G$3,22))),0)))))</f>
        <v>0</v>
      </c>
      <c r="AU18" s="27" t="n">
        <f aca="false">IF(COUNT(Amendoim!$E16:$Z16)=0,0,MAX(0,IF((AU$6-$E$3)&lt;1,0,IFERROR(LOOKUP(2,1/(Amendoim!$E16:INDEX(Amendoim!$E16:$Z16,MIN(AU$6-$E$3,22))&lt;&gt;""),Amendoim!$E16:INDEX(Amendoim!$E16:$Z16,MIN(AU$6-$E$3,22))),0))-IF($G$2,0,IF((AU$6-$G$3)&lt;1,0,IFERROR(LOOKUP(2,1/(Amendoim!$E16:INDEX(Amendoim!$E16:$Z16,MIN(AU$6-$G$3,22))&lt;&gt;""),Amendoim!$E16:INDEX(Amendoim!$E16:$Z16,MIN(AU$6-$G$3,22))),0)))))</f>
        <v>0</v>
      </c>
      <c r="AV18" s="27" t="n">
        <f aca="false">IF(COUNT(Amendoim!$E16:$Z16)=0,0,MAX(0,IF((AV$6-$E$3)&lt;1,0,IFERROR(LOOKUP(2,1/(Amendoim!$E16:INDEX(Amendoim!$E16:$Z16,MIN(AV$6-$E$3,22))&lt;&gt;""),Amendoim!$E16:INDEX(Amendoim!$E16:$Z16,MIN(AV$6-$E$3,22))),0))-IF($G$2,0,IF((AV$6-$G$3)&lt;1,0,IFERROR(LOOKUP(2,1/(Amendoim!$E16:INDEX(Amendoim!$E16:$Z16,MIN(AV$6-$G$3,22))&lt;&gt;""),Amendoim!$E16:INDEX(Amendoim!$E16:$Z16,MIN(AV$6-$G$3,22))),0)))))</f>
        <v>0</v>
      </c>
      <c r="AW18" s="27" t="n">
        <f aca="false">IF(COUNT(Amendoim!$E16:$Z16)=0,0,MAX(0,IF((AW$6-$E$3)&lt;1,0,IFERROR(LOOKUP(2,1/(Amendoim!$E16:INDEX(Amendoim!$E16:$Z16,MIN(AW$6-$E$3,22))&lt;&gt;""),Amendoim!$E16:INDEX(Amendoim!$E16:$Z16,MIN(AW$6-$E$3,22))),0))-IF($G$2,0,IF((AW$6-$G$3)&lt;1,0,IFERROR(LOOKUP(2,1/(Amendoim!$E16:INDEX(Amendoim!$E16:$Z16,MIN(AW$6-$G$3,22))&lt;&gt;""),Amendoim!$E16:INDEX(Amendoim!$E16:$Z16,MIN(AW$6-$G$3,22))),0)))))</f>
        <v>0</v>
      </c>
      <c r="AX18" s="27" t="n">
        <f aca="false">IF(COUNT(Amendoim!$E16:$Z16)=0,0,MAX(0,IF((AX$6-$E$3)&lt;1,0,IFERROR(LOOKUP(2,1/(Amendoim!$E16:INDEX(Amendoim!$E16:$Z16,MIN(AX$6-$E$3,22))&lt;&gt;""),Amendoim!$E16:INDEX(Amendoim!$E16:$Z16,MIN(AX$6-$E$3,22))),0))-IF($G$2,0,IF((AX$6-$G$3)&lt;1,0,IFERROR(LOOKUP(2,1/(Amendoim!$E16:INDEX(Amendoim!$E16:$Z16,MIN(AX$6-$G$3,22))&lt;&gt;""),Amendoim!$E16:INDEX(Amendoim!$E16:$Z16,MIN(AX$6-$G$3,22))),0)))))</f>
        <v>0</v>
      </c>
      <c r="AY18" s="27" t="n">
        <f aca="false">IF(COUNT(Amendoim!$E16:$Z16)=0,0,MAX(0,IF((AY$6-$E$3)&lt;1,0,IFERROR(LOOKUP(2,1/(Amendoim!$E16:INDEX(Amendoim!$E16:$Z16,MIN(AY$6-$E$3,22))&lt;&gt;""),Amendoim!$E16:INDEX(Amendoim!$E16:$Z16,MIN(AY$6-$E$3,22))),0))-IF($G$2,0,IF((AY$6-$G$3)&lt;1,0,IFERROR(LOOKUP(2,1/(Amendoim!$E16:INDEX(Amendoim!$E16:$Z16,MIN(AY$6-$G$3,22))&lt;&gt;""),Amendoim!$E16:INDEX(Amendoim!$E16:$Z16,MIN(AY$6-$G$3,22))),0)))))</f>
        <v>0</v>
      </c>
      <c r="AZ18" s="27" t="n">
        <f aca="false">IF(COUNT(Amendoim!$E16:$Z16)=0,0,MAX(0,IF((AZ$6-$E$3)&lt;1,0,IFERROR(LOOKUP(2,1/(Amendoim!$E16:INDEX(Amendoim!$E16:$Z16,MIN(AZ$6-$E$3,22))&lt;&gt;""),Amendoim!$E16:INDEX(Amendoim!$E16:$Z16,MIN(AZ$6-$E$3,22))),0))-IF($G$2,0,IF((AZ$6-$G$3)&lt;1,0,IFERROR(LOOKUP(2,1/(Amendoim!$E16:INDEX(Amendoim!$E16:$Z16,MIN(AZ$6-$G$3,22))&lt;&gt;""),Amendoim!$E16:INDEX(Amendoim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IF(COUNT(Amendoim!$E17:$Z17)&gt;0,N(Amendoim!$D17),0)</f>
        <v>0</v>
      </c>
      <c r="E19" s="27" t="n">
        <f aca="false">IF(COUNT(Amendoim!$E17:$Z17)=0,0,MAX(0,IF((E$6-$E$3)&lt;1,0,IFERROR(LOOKUP(2,1/(Amendoim!$E17:INDEX(Amendoim!$E17:$Z17,MIN(E$6-$E$3,22))&lt;&gt;""),Amendoim!$E17:INDEX(Amendoim!$E17:$Z17,MIN(E$6-$E$3,22))),0))-IF($G$2,0,IF((E$6-$G$3)&lt;1,0,IFERROR(LOOKUP(2,1/(Amendoim!$E17:INDEX(Amendoim!$E17:$Z17,MIN(E$6-$G$3,22))&lt;&gt;""),Amendoim!$E17:INDEX(Amendoim!$E17:$Z17,MIN(E$6-$G$3,22))),0)))))</f>
        <v>0</v>
      </c>
      <c r="F19" s="27" t="n">
        <f aca="false">IF(COUNT(Amendoim!$E17:$Z17)=0,0,MAX(0,IF((F$6-$E$3)&lt;1,0,IFERROR(LOOKUP(2,1/(Amendoim!$E17:INDEX(Amendoim!$E17:$Z17,MIN(F$6-$E$3,22))&lt;&gt;""),Amendoim!$E17:INDEX(Amendoim!$E17:$Z17,MIN(F$6-$E$3,22))),0))-IF($G$2,0,IF((F$6-$G$3)&lt;1,0,IFERROR(LOOKUP(2,1/(Amendoim!$E17:INDEX(Amendoim!$E17:$Z17,MIN(F$6-$G$3,22))&lt;&gt;""),Amendoim!$E17:INDEX(Amendoim!$E17:$Z17,MIN(F$6-$G$3,22))),0)))))</f>
        <v>0</v>
      </c>
      <c r="G19" s="27" t="n">
        <f aca="false">IF(COUNT(Amendoim!$E17:$Z17)=0,0,MAX(0,IF((G$6-$E$3)&lt;1,0,IFERROR(LOOKUP(2,1/(Amendoim!$E17:INDEX(Amendoim!$E17:$Z17,MIN(G$6-$E$3,22))&lt;&gt;""),Amendoim!$E17:INDEX(Amendoim!$E17:$Z17,MIN(G$6-$E$3,22))),0))-IF($G$2,0,IF((G$6-$G$3)&lt;1,0,IFERROR(LOOKUP(2,1/(Amendoim!$E17:INDEX(Amendoim!$E17:$Z17,MIN(G$6-$G$3,22))&lt;&gt;""),Amendoim!$E17:INDEX(Amendoim!$E17:$Z17,MIN(G$6-$G$3,22))),0)))))</f>
        <v>0</v>
      </c>
      <c r="H19" s="27" t="n">
        <f aca="false">IF(COUNT(Amendoim!$E17:$Z17)=0,0,MAX(0,IF((H$6-$E$3)&lt;1,0,IFERROR(LOOKUP(2,1/(Amendoim!$E17:INDEX(Amendoim!$E17:$Z17,MIN(H$6-$E$3,22))&lt;&gt;""),Amendoim!$E17:INDEX(Amendoim!$E17:$Z17,MIN(H$6-$E$3,22))),0))-IF($G$2,0,IF((H$6-$G$3)&lt;1,0,IFERROR(LOOKUP(2,1/(Amendoim!$E17:INDEX(Amendoim!$E17:$Z17,MIN(H$6-$G$3,22))&lt;&gt;""),Amendoim!$E17:INDEX(Amendoim!$E17:$Z17,MIN(H$6-$G$3,22))),0)))))</f>
        <v>0</v>
      </c>
      <c r="I19" s="27" t="n">
        <f aca="false">IF(COUNT(Amendoim!$E17:$Z17)=0,0,MAX(0,IF((I$6-$E$3)&lt;1,0,IFERROR(LOOKUP(2,1/(Amendoim!$E17:INDEX(Amendoim!$E17:$Z17,MIN(I$6-$E$3,22))&lt;&gt;""),Amendoim!$E17:INDEX(Amendoim!$E17:$Z17,MIN(I$6-$E$3,22))),0))-IF($G$2,0,IF((I$6-$G$3)&lt;1,0,IFERROR(LOOKUP(2,1/(Amendoim!$E17:INDEX(Amendoim!$E17:$Z17,MIN(I$6-$G$3,22))&lt;&gt;""),Amendoim!$E17:INDEX(Amendoim!$E17:$Z17,MIN(I$6-$G$3,22))),0)))))</f>
        <v>0</v>
      </c>
      <c r="J19" s="27" t="n">
        <f aca="false">IF(COUNT(Amendoim!$E17:$Z17)=0,0,MAX(0,IF((J$6-$E$3)&lt;1,0,IFERROR(LOOKUP(2,1/(Amendoim!$E17:INDEX(Amendoim!$E17:$Z17,MIN(J$6-$E$3,22))&lt;&gt;""),Amendoim!$E17:INDEX(Amendoim!$E17:$Z17,MIN(J$6-$E$3,22))),0))-IF($G$2,0,IF((J$6-$G$3)&lt;1,0,IFERROR(LOOKUP(2,1/(Amendoim!$E17:INDEX(Amendoim!$E17:$Z17,MIN(J$6-$G$3,22))&lt;&gt;""),Amendoim!$E17:INDEX(Amendoim!$E17:$Z17,MIN(J$6-$G$3,22))),0)))))</f>
        <v>0</v>
      </c>
      <c r="K19" s="27" t="n">
        <f aca="false">IF(COUNT(Amendoim!$E17:$Z17)=0,0,MAX(0,IF((K$6-$E$3)&lt;1,0,IFERROR(LOOKUP(2,1/(Amendoim!$E17:INDEX(Amendoim!$E17:$Z17,MIN(K$6-$E$3,22))&lt;&gt;""),Amendoim!$E17:INDEX(Amendoim!$E17:$Z17,MIN(K$6-$E$3,22))),0))-IF($G$2,0,IF((K$6-$G$3)&lt;1,0,IFERROR(LOOKUP(2,1/(Amendoim!$E17:INDEX(Amendoim!$E17:$Z17,MIN(K$6-$G$3,22))&lt;&gt;""),Amendoim!$E17:INDEX(Amendoim!$E17:$Z17,MIN(K$6-$G$3,22))),0)))))</f>
        <v>0</v>
      </c>
      <c r="L19" s="27" t="n">
        <f aca="false">IF(COUNT(Amendoim!$E17:$Z17)=0,0,MAX(0,IF((L$6-$E$3)&lt;1,0,IFERROR(LOOKUP(2,1/(Amendoim!$E17:INDEX(Amendoim!$E17:$Z17,MIN(L$6-$E$3,22))&lt;&gt;""),Amendoim!$E17:INDEX(Amendoim!$E17:$Z17,MIN(L$6-$E$3,22))),0))-IF($G$2,0,IF((L$6-$G$3)&lt;1,0,IFERROR(LOOKUP(2,1/(Amendoim!$E17:INDEX(Amendoim!$E17:$Z17,MIN(L$6-$G$3,22))&lt;&gt;""),Amendoim!$E17:INDEX(Amendoim!$E17:$Z17,MIN(L$6-$G$3,22))),0)))))</f>
        <v>0</v>
      </c>
      <c r="M19" s="27" t="n">
        <f aca="false">IF(COUNT(Amendoim!$E17:$Z17)=0,0,MAX(0,IF((M$6-$E$3)&lt;1,0,IFERROR(LOOKUP(2,1/(Amendoim!$E17:INDEX(Amendoim!$E17:$Z17,MIN(M$6-$E$3,22))&lt;&gt;""),Amendoim!$E17:INDEX(Amendoim!$E17:$Z17,MIN(M$6-$E$3,22))),0))-IF($G$2,0,IF((M$6-$G$3)&lt;1,0,IFERROR(LOOKUP(2,1/(Amendoim!$E17:INDEX(Amendoim!$E17:$Z17,MIN(M$6-$G$3,22))&lt;&gt;""),Amendoim!$E17:INDEX(Amendoim!$E17:$Z17,MIN(M$6-$G$3,22))),0)))))</f>
        <v>0</v>
      </c>
      <c r="N19" s="27" t="n">
        <f aca="false">IF(COUNT(Amendoim!$E17:$Z17)=0,0,MAX(0,IF((N$6-$E$3)&lt;1,0,IFERROR(LOOKUP(2,1/(Amendoim!$E17:INDEX(Amendoim!$E17:$Z17,MIN(N$6-$E$3,22))&lt;&gt;""),Amendoim!$E17:INDEX(Amendoim!$E17:$Z17,MIN(N$6-$E$3,22))),0))-IF($G$2,0,IF((N$6-$G$3)&lt;1,0,IFERROR(LOOKUP(2,1/(Amendoim!$E17:INDEX(Amendoim!$E17:$Z17,MIN(N$6-$G$3,22))&lt;&gt;""),Amendoim!$E17:INDEX(Amendoim!$E17:$Z17,MIN(N$6-$G$3,22))),0)))))</f>
        <v>0</v>
      </c>
      <c r="O19" s="27" t="n">
        <f aca="false">IF(COUNT(Amendoim!$E17:$Z17)=0,0,MAX(0,IF((O$6-$E$3)&lt;1,0,IFERROR(LOOKUP(2,1/(Amendoim!$E17:INDEX(Amendoim!$E17:$Z17,MIN(O$6-$E$3,22))&lt;&gt;""),Amendoim!$E17:INDEX(Amendoim!$E17:$Z17,MIN(O$6-$E$3,22))),0))-IF($G$2,0,IF((O$6-$G$3)&lt;1,0,IFERROR(LOOKUP(2,1/(Amendoim!$E17:INDEX(Amendoim!$E17:$Z17,MIN(O$6-$G$3,22))&lt;&gt;""),Amendoim!$E17:INDEX(Amendoim!$E17:$Z17,MIN(O$6-$G$3,22))),0)))))</f>
        <v>0</v>
      </c>
      <c r="P19" s="27" t="n">
        <f aca="false">IF(COUNT(Amendoim!$E17:$Z17)=0,0,MAX(0,IF((P$6-$E$3)&lt;1,0,IFERROR(LOOKUP(2,1/(Amendoim!$E17:INDEX(Amendoim!$E17:$Z17,MIN(P$6-$E$3,22))&lt;&gt;""),Amendoim!$E17:INDEX(Amendoim!$E17:$Z17,MIN(P$6-$E$3,22))),0))-IF($G$2,0,IF((P$6-$G$3)&lt;1,0,IFERROR(LOOKUP(2,1/(Amendoim!$E17:INDEX(Amendoim!$E17:$Z17,MIN(P$6-$G$3,22))&lt;&gt;""),Amendoim!$E17:INDEX(Amendoim!$E17:$Z17,MIN(P$6-$G$3,22))),0)))))</f>
        <v>0</v>
      </c>
      <c r="Q19" s="27" t="n">
        <f aca="false">IF(COUNT(Amendoim!$E17:$Z17)=0,0,MAX(0,IF((Q$6-$E$3)&lt;1,0,IFERROR(LOOKUP(2,1/(Amendoim!$E17:INDEX(Amendoim!$E17:$Z17,MIN(Q$6-$E$3,22))&lt;&gt;""),Amendoim!$E17:INDEX(Amendoim!$E17:$Z17,MIN(Q$6-$E$3,22))),0))-IF($G$2,0,IF((Q$6-$G$3)&lt;1,0,IFERROR(LOOKUP(2,1/(Amendoim!$E17:INDEX(Amendoim!$E17:$Z17,MIN(Q$6-$G$3,22))&lt;&gt;""),Amendoim!$E17:INDEX(Amendoim!$E17:$Z17,MIN(Q$6-$G$3,22))),0)))))</f>
        <v>0</v>
      </c>
      <c r="R19" s="27" t="n">
        <f aca="false">IF(COUNT(Amendoim!$E17:$Z17)=0,0,MAX(0,IF((R$6-$E$3)&lt;1,0,IFERROR(LOOKUP(2,1/(Amendoim!$E17:INDEX(Amendoim!$E17:$Z17,MIN(R$6-$E$3,22))&lt;&gt;""),Amendoim!$E17:INDEX(Amendoim!$E17:$Z17,MIN(R$6-$E$3,22))),0))-IF($G$2,0,IF((R$6-$G$3)&lt;1,0,IFERROR(LOOKUP(2,1/(Amendoim!$E17:INDEX(Amendoim!$E17:$Z17,MIN(R$6-$G$3,22))&lt;&gt;""),Amendoim!$E17:INDEX(Amendoim!$E17:$Z17,MIN(R$6-$G$3,22))),0)))))</f>
        <v>0</v>
      </c>
      <c r="S19" s="27" t="n">
        <f aca="false">IF(COUNT(Amendoim!$E17:$Z17)=0,0,MAX(0,IF((S$6-$E$3)&lt;1,0,IFERROR(LOOKUP(2,1/(Amendoim!$E17:INDEX(Amendoim!$E17:$Z17,MIN(S$6-$E$3,22))&lt;&gt;""),Amendoim!$E17:INDEX(Amendoim!$E17:$Z17,MIN(S$6-$E$3,22))),0))-IF($G$2,0,IF((S$6-$G$3)&lt;1,0,IFERROR(LOOKUP(2,1/(Amendoim!$E17:INDEX(Amendoim!$E17:$Z17,MIN(S$6-$G$3,22))&lt;&gt;""),Amendoim!$E17:INDEX(Amendoim!$E17:$Z17,MIN(S$6-$G$3,22))),0)))))</f>
        <v>0</v>
      </c>
      <c r="T19" s="27" t="n">
        <f aca="false">IF(COUNT(Amendoim!$E17:$Z17)=0,0,MAX(0,IF((T$6-$E$3)&lt;1,0,IFERROR(LOOKUP(2,1/(Amendoim!$E17:INDEX(Amendoim!$E17:$Z17,MIN(T$6-$E$3,22))&lt;&gt;""),Amendoim!$E17:INDEX(Amendoim!$E17:$Z17,MIN(T$6-$E$3,22))),0))-IF($G$2,0,IF((T$6-$G$3)&lt;1,0,IFERROR(LOOKUP(2,1/(Amendoim!$E17:INDEX(Amendoim!$E17:$Z17,MIN(T$6-$G$3,22))&lt;&gt;""),Amendoim!$E17:INDEX(Amendoim!$E17:$Z17,MIN(T$6-$G$3,22))),0)))))</f>
        <v>0</v>
      </c>
      <c r="U19" s="27" t="n">
        <f aca="false">IF(COUNT(Amendoim!$E17:$Z17)=0,0,MAX(0,IF((U$6-$E$3)&lt;1,0,IFERROR(LOOKUP(2,1/(Amendoim!$E17:INDEX(Amendoim!$E17:$Z17,MIN(U$6-$E$3,22))&lt;&gt;""),Amendoim!$E17:INDEX(Amendoim!$E17:$Z17,MIN(U$6-$E$3,22))),0))-IF($G$2,0,IF((U$6-$G$3)&lt;1,0,IFERROR(LOOKUP(2,1/(Amendoim!$E17:INDEX(Amendoim!$E17:$Z17,MIN(U$6-$G$3,22))&lt;&gt;""),Amendoim!$E17:INDEX(Amendoim!$E17:$Z17,MIN(U$6-$G$3,22))),0)))))</f>
        <v>0</v>
      </c>
      <c r="V19" s="27" t="n">
        <f aca="false">IF(COUNT(Amendoim!$E17:$Z17)=0,0,MAX(0,IF((V$6-$E$3)&lt;1,0,IFERROR(LOOKUP(2,1/(Amendoim!$E17:INDEX(Amendoim!$E17:$Z17,MIN(V$6-$E$3,22))&lt;&gt;""),Amendoim!$E17:INDEX(Amendoim!$E17:$Z17,MIN(V$6-$E$3,22))),0))-IF($G$2,0,IF((V$6-$G$3)&lt;1,0,IFERROR(LOOKUP(2,1/(Amendoim!$E17:INDEX(Amendoim!$E17:$Z17,MIN(V$6-$G$3,22))&lt;&gt;""),Amendoim!$E17:INDEX(Amendoim!$E17:$Z17,MIN(V$6-$G$3,22))),0)))))</f>
        <v>0</v>
      </c>
      <c r="W19" s="27" t="n">
        <f aca="false">IF(COUNT(Amendoim!$E17:$Z17)=0,0,MAX(0,IF((W$6-$E$3)&lt;1,0,IFERROR(LOOKUP(2,1/(Amendoim!$E17:INDEX(Amendoim!$E17:$Z17,MIN(W$6-$E$3,22))&lt;&gt;""),Amendoim!$E17:INDEX(Amendoim!$E17:$Z17,MIN(W$6-$E$3,22))),0))-IF($G$2,0,IF((W$6-$G$3)&lt;1,0,IFERROR(LOOKUP(2,1/(Amendoim!$E17:INDEX(Amendoim!$E17:$Z17,MIN(W$6-$G$3,22))&lt;&gt;""),Amendoim!$E17:INDEX(Amendoim!$E17:$Z17,MIN(W$6-$G$3,22))),0)))))</f>
        <v>0</v>
      </c>
      <c r="X19" s="27" t="n">
        <f aca="false">IF(COUNT(Amendoim!$E17:$Z17)=0,0,MAX(0,IF((X$6-$E$3)&lt;1,0,IFERROR(LOOKUP(2,1/(Amendoim!$E17:INDEX(Amendoim!$E17:$Z17,MIN(X$6-$E$3,22))&lt;&gt;""),Amendoim!$E17:INDEX(Amendoim!$E17:$Z17,MIN(X$6-$E$3,22))),0))-IF($G$2,0,IF((X$6-$G$3)&lt;1,0,IFERROR(LOOKUP(2,1/(Amendoim!$E17:INDEX(Amendoim!$E17:$Z17,MIN(X$6-$G$3,22))&lt;&gt;""),Amendoim!$E17:INDEX(Amendoim!$E17:$Z17,MIN(X$6-$G$3,22))),0)))))</f>
        <v>0</v>
      </c>
      <c r="Y19" s="27" t="n">
        <f aca="false">IF(COUNT(Amendoim!$E17:$Z17)=0,0,MAX(0,IF((Y$6-$E$3)&lt;1,0,IFERROR(LOOKUP(2,1/(Amendoim!$E17:INDEX(Amendoim!$E17:$Z17,MIN(Y$6-$E$3,22))&lt;&gt;""),Amendoim!$E17:INDEX(Amendoim!$E17:$Z17,MIN(Y$6-$E$3,22))),0))-IF($G$2,0,IF((Y$6-$G$3)&lt;1,0,IFERROR(LOOKUP(2,1/(Amendoim!$E17:INDEX(Amendoim!$E17:$Z17,MIN(Y$6-$G$3,22))&lt;&gt;""),Amendoim!$E17:INDEX(Amendoim!$E17:$Z17,MIN(Y$6-$G$3,22))),0)))))</f>
        <v>0</v>
      </c>
      <c r="Z19" s="27" t="n">
        <f aca="false">IF(COUNT(Amendoim!$E17:$Z17)=0,0,MAX(0,IF((Z$6-$E$3)&lt;1,0,IFERROR(LOOKUP(2,1/(Amendoim!$E17:INDEX(Amendoim!$E17:$Z17,MIN(Z$6-$E$3,22))&lt;&gt;""),Amendoim!$E17:INDEX(Amendoim!$E17:$Z17,MIN(Z$6-$E$3,22))),0))-IF($G$2,0,IF((Z$6-$G$3)&lt;1,0,IFERROR(LOOKUP(2,1/(Amendoim!$E17:INDEX(Amendoim!$E17:$Z17,MIN(Z$6-$G$3,22))&lt;&gt;""),Amendoim!$E17:INDEX(Amendoim!$E17:$Z17,MIN(Z$6-$G$3,22))),0)))))</f>
        <v>0</v>
      </c>
      <c r="AA19" s="27" t="n">
        <f aca="false">IF(COUNT(Amendoim!$E17:$Z17)=0,0,MAX(0,IF((AA$6-$E$3)&lt;1,0,IFERROR(LOOKUP(2,1/(Amendoim!$E17:INDEX(Amendoim!$E17:$Z17,MIN(AA$6-$E$3,22))&lt;&gt;""),Amendoim!$E17:INDEX(Amendoim!$E17:$Z17,MIN(AA$6-$E$3,22))),0))-IF($G$2,0,IF((AA$6-$G$3)&lt;1,0,IFERROR(LOOKUP(2,1/(Amendoim!$E17:INDEX(Amendoim!$E17:$Z17,MIN(AA$6-$G$3,22))&lt;&gt;""),Amendoim!$E17:INDEX(Amendoim!$E17:$Z17,MIN(AA$6-$G$3,22))),0)))))</f>
        <v>0</v>
      </c>
      <c r="AB19" s="27" t="n">
        <f aca="false">IF(COUNT(Amendoim!$E17:$Z17)=0,0,MAX(0,IF((AB$6-$E$3)&lt;1,0,IFERROR(LOOKUP(2,1/(Amendoim!$E17:INDEX(Amendoim!$E17:$Z17,MIN(AB$6-$E$3,22))&lt;&gt;""),Amendoim!$E17:INDEX(Amendoim!$E17:$Z17,MIN(AB$6-$E$3,22))),0))-IF($G$2,0,IF((AB$6-$G$3)&lt;1,0,IFERROR(LOOKUP(2,1/(Amendoim!$E17:INDEX(Amendoim!$E17:$Z17,MIN(AB$6-$G$3,22))&lt;&gt;""),Amendoim!$E17:INDEX(Amendoim!$E17:$Z17,MIN(AB$6-$G$3,22))),0)))))</f>
        <v>0</v>
      </c>
      <c r="AC19" s="27" t="n">
        <f aca="false">IF(COUNT(Amendoim!$E17:$Z17)=0,0,MAX(0,IF((AC$6-$E$3)&lt;1,0,IFERROR(LOOKUP(2,1/(Amendoim!$E17:INDEX(Amendoim!$E17:$Z17,MIN(AC$6-$E$3,22))&lt;&gt;""),Amendoim!$E17:INDEX(Amendoim!$E17:$Z17,MIN(AC$6-$E$3,22))),0))-IF($G$2,0,IF((AC$6-$G$3)&lt;1,0,IFERROR(LOOKUP(2,1/(Amendoim!$E17:INDEX(Amendoim!$E17:$Z17,MIN(AC$6-$G$3,22))&lt;&gt;""),Amendoim!$E17:INDEX(Amendoim!$E17:$Z17,MIN(AC$6-$G$3,22))),0)))))</f>
        <v>0</v>
      </c>
      <c r="AD19" s="27" t="n">
        <f aca="false">IF(COUNT(Amendoim!$E17:$Z17)=0,0,MAX(0,IF((AD$6-$E$3)&lt;1,0,IFERROR(LOOKUP(2,1/(Amendoim!$E17:INDEX(Amendoim!$E17:$Z17,MIN(AD$6-$E$3,22))&lt;&gt;""),Amendoim!$E17:INDEX(Amendoim!$E17:$Z17,MIN(AD$6-$E$3,22))),0))-IF($G$2,0,IF((AD$6-$G$3)&lt;1,0,IFERROR(LOOKUP(2,1/(Amendoim!$E17:INDEX(Amendoim!$E17:$Z17,MIN(AD$6-$G$3,22))&lt;&gt;""),Amendoim!$E17:INDEX(Amendoim!$E17:$Z17,MIN(AD$6-$G$3,22))),0)))))</f>
        <v>0</v>
      </c>
      <c r="AE19" s="27" t="n">
        <f aca="false">IF(COUNT(Amendoim!$E17:$Z17)=0,0,MAX(0,IF((AE$6-$E$3)&lt;1,0,IFERROR(LOOKUP(2,1/(Amendoim!$E17:INDEX(Amendoim!$E17:$Z17,MIN(AE$6-$E$3,22))&lt;&gt;""),Amendoim!$E17:INDEX(Amendoim!$E17:$Z17,MIN(AE$6-$E$3,22))),0))-IF($G$2,0,IF((AE$6-$G$3)&lt;1,0,IFERROR(LOOKUP(2,1/(Amendoim!$E17:INDEX(Amendoim!$E17:$Z17,MIN(AE$6-$G$3,22))&lt;&gt;""),Amendoim!$E17:INDEX(Amendoim!$E17:$Z17,MIN(AE$6-$G$3,22))),0)))))</f>
        <v>0</v>
      </c>
      <c r="AF19" s="27" t="n">
        <f aca="false">IF(COUNT(Amendoim!$E17:$Z17)=0,0,MAX(0,IF((AF$6-$E$3)&lt;1,0,IFERROR(LOOKUP(2,1/(Amendoim!$E17:INDEX(Amendoim!$E17:$Z17,MIN(AF$6-$E$3,22))&lt;&gt;""),Amendoim!$E17:INDEX(Amendoim!$E17:$Z17,MIN(AF$6-$E$3,22))),0))-IF($G$2,0,IF((AF$6-$G$3)&lt;1,0,IFERROR(LOOKUP(2,1/(Amendoim!$E17:INDEX(Amendoim!$E17:$Z17,MIN(AF$6-$G$3,22))&lt;&gt;""),Amendoim!$E17:INDEX(Amendoim!$E17:$Z17,MIN(AF$6-$G$3,22))),0)))))</f>
        <v>0</v>
      </c>
      <c r="AG19" s="27" t="n">
        <f aca="false">IF(COUNT(Amendoim!$E17:$Z17)=0,0,MAX(0,IF((AG$6-$E$3)&lt;1,0,IFERROR(LOOKUP(2,1/(Amendoim!$E17:INDEX(Amendoim!$E17:$Z17,MIN(AG$6-$E$3,22))&lt;&gt;""),Amendoim!$E17:INDEX(Amendoim!$E17:$Z17,MIN(AG$6-$E$3,22))),0))-IF($G$2,0,IF((AG$6-$G$3)&lt;1,0,IFERROR(LOOKUP(2,1/(Amendoim!$E17:INDEX(Amendoim!$E17:$Z17,MIN(AG$6-$G$3,22))&lt;&gt;""),Amendoim!$E17:INDEX(Amendoim!$E17:$Z17,MIN(AG$6-$G$3,22))),0)))))</f>
        <v>0</v>
      </c>
      <c r="AH19" s="27" t="n">
        <f aca="false">IF(COUNT(Amendoim!$E17:$Z17)=0,0,MAX(0,IF((AH$6-$E$3)&lt;1,0,IFERROR(LOOKUP(2,1/(Amendoim!$E17:INDEX(Amendoim!$E17:$Z17,MIN(AH$6-$E$3,22))&lt;&gt;""),Amendoim!$E17:INDEX(Amendoim!$E17:$Z17,MIN(AH$6-$E$3,22))),0))-IF($G$2,0,IF((AH$6-$G$3)&lt;1,0,IFERROR(LOOKUP(2,1/(Amendoim!$E17:INDEX(Amendoim!$E17:$Z17,MIN(AH$6-$G$3,22))&lt;&gt;""),Amendoim!$E17:INDEX(Amendoim!$E17:$Z17,MIN(AH$6-$G$3,22))),0)))))</f>
        <v>0</v>
      </c>
      <c r="AI19" s="27" t="n">
        <f aca="false">IF(COUNT(Amendoim!$E17:$Z17)=0,0,MAX(0,IF((AI$6-$E$3)&lt;1,0,IFERROR(LOOKUP(2,1/(Amendoim!$E17:INDEX(Amendoim!$E17:$Z17,MIN(AI$6-$E$3,22))&lt;&gt;""),Amendoim!$E17:INDEX(Amendoim!$E17:$Z17,MIN(AI$6-$E$3,22))),0))-IF($G$2,0,IF((AI$6-$G$3)&lt;1,0,IFERROR(LOOKUP(2,1/(Amendoim!$E17:INDEX(Amendoim!$E17:$Z17,MIN(AI$6-$G$3,22))&lt;&gt;""),Amendoim!$E17:INDEX(Amendoim!$E17:$Z17,MIN(AI$6-$G$3,22))),0)))))</f>
        <v>0</v>
      </c>
      <c r="AJ19" s="27" t="n">
        <f aca="false">IF(COUNT(Amendoim!$E17:$Z17)=0,0,MAX(0,IF((AJ$6-$E$3)&lt;1,0,IFERROR(LOOKUP(2,1/(Amendoim!$E17:INDEX(Amendoim!$E17:$Z17,MIN(AJ$6-$E$3,22))&lt;&gt;""),Amendoim!$E17:INDEX(Amendoim!$E17:$Z17,MIN(AJ$6-$E$3,22))),0))-IF($G$2,0,IF((AJ$6-$G$3)&lt;1,0,IFERROR(LOOKUP(2,1/(Amendoim!$E17:INDEX(Amendoim!$E17:$Z17,MIN(AJ$6-$G$3,22))&lt;&gt;""),Amendoim!$E17:INDEX(Amendoim!$E17:$Z17,MIN(AJ$6-$G$3,22))),0)))))</f>
        <v>0</v>
      </c>
      <c r="AK19" s="27" t="n">
        <f aca="false">IF(COUNT(Amendoim!$E17:$Z17)=0,0,MAX(0,IF((AK$6-$E$3)&lt;1,0,IFERROR(LOOKUP(2,1/(Amendoim!$E17:INDEX(Amendoim!$E17:$Z17,MIN(AK$6-$E$3,22))&lt;&gt;""),Amendoim!$E17:INDEX(Amendoim!$E17:$Z17,MIN(AK$6-$E$3,22))),0))-IF($G$2,0,IF((AK$6-$G$3)&lt;1,0,IFERROR(LOOKUP(2,1/(Amendoim!$E17:INDEX(Amendoim!$E17:$Z17,MIN(AK$6-$G$3,22))&lt;&gt;""),Amendoim!$E17:INDEX(Amendoim!$E17:$Z17,MIN(AK$6-$G$3,22))),0)))))</f>
        <v>0</v>
      </c>
      <c r="AL19" s="27" t="n">
        <f aca="false">IF(COUNT(Amendoim!$E17:$Z17)=0,0,MAX(0,IF((AL$6-$E$3)&lt;1,0,IFERROR(LOOKUP(2,1/(Amendoim!$E17:INDEX(Amendoim!$E17:$Z17,MIN(AL$6-$E$3,22))&lt;&gt;""),Amendoim!$E17:INDEX(Amendoim!$E17:$Z17,MIN(AL$6-$E$3,22))),0))-IF($G$2,0,IF((AL$6-$G$3)&lt;1,0,IFERROR(LOOKUP(2,1/(Amendoim!$E17:INDEX(Amendoim!$E17:$Z17,MIN(AL$6-$G$3,22))&lt;&gt;""),Amendoim!$E17:INDEX(Amendoim!$E17:$Z17,MIN(AL$6-$G$3,22))),0)))))</f>
        <v>0</v>
      </c>
      <c r="AM19" s="27" t="n">
        <f aca="false">IF(COUNT(Amendoim!$E17:$Z17)=0,0,MAX(0,IF((AM$6-$E$3)&lt;1,0,IFERROR(LOOKUP(2,1/(Amendoim!$E17:INDEX(Amendoim!$E17:$Z17,MIN(AM$6-$E$3,22))&lt;&gt;""),Amendoim!$E17:INDEX(Amendoim!$E17:$Z17,MIN(AM$6-$E$3,22))),0))-IF($G$2,0,IF((AM$6-$G$3)&lt;1,0,IFERROR(LOOKUP(2,1/(Amendoim!$E17:INDEX(Amendoim!$E17:$Z17,MIN(AM$6-$G$3,22))&lt;&gt;""),Amendoim!$E17:INDEX(Amendoim!$E17:$Z17,MIN(AM$6-$G$3,22))),0)))))</f>
        <v>0</v>
      </c>
      <c r="AN19" s="27" t="n">
        <f aca="false">IF(COUNT(Amendoim!$E17:$Z17)=0,0,MAX(0,IF((AN$6-$E$3)&lt;1,0,IFERROR(LOOKUP(2,1/(Amendoim!$E17:INDEX(Amendoim!$E17:$Z17,MIN(AN$6-$E$3,22))&lt;&gt;""),Amendoim!$E17:INDEX(Amendoim!$E17:$Z17,MIN(AN$6-$E$3,22))),0))-IF($G$2,0,IF((AN$6-$G$3)&lt;1,0,IFERROR(LOOKUP(2,1/(Amendoim!$E17:INDEX(Amendoim!$E17:$Z17,MIN(AN$6-$G$3,22))&lt;&gt;""),Amendoim!$E17:INDEX(Amendoim!$E17:$Z17,MIN(AN$6-$G$3,22))),0)))))</f>
        <v>0</v>
      </c>
      <c r="AO19" s="27" t="n">
        <f aca="false">IF(COUNT(Amendoim!$E17:$Z17)=0,0,MAX(0,IF((AO$6-$E$3)&lt;1,0,IFERROR(LOOKUP(2,1/(Amendoim!$E17:INDEX(Amendoim!$E17:$Z17,MIN(AO$6-$E$3,22))&lt;&gt;""),Amendoim!$E17:INDEX(Amendoim!$E17:$Z17,MIN(AO$6-$E$3,22))),0))-IF($G$2,0,IF((AO$6-$G$3)&lt;1,0,IFERROR(LOOKUP(2,1/(Amendoim!$E17:INDEX(Amendoim!$E17:$Z17,MIN(AO$6-$G$3,22))&lt;&gt;""),Amendoim!$E17:INDEX(Amendoim!$E17:$Z17,MIN(AO$6-$G$3,22))),0)))))</f>
        <v>0</v>
      </c>
      <c r="AP19" s="27" t="n">
        <f aca="false">IF(COUNT(Amendoim!$E17:$Z17)=0,0,MAX(0,IF((AP$6-$E$3)&lt;1,0,IFERROR(LOOKUP(2,1/(Amendoim!$E17:INDEX(Amendoim!$E17:$Z17,MIN(AP$6-$E$3,22))&lt;&gt;""),Amendoim!$E17:INDEX(Amendoim!$E17:$Z17,MIN(AP$6-$E$3,22))),0))-IF($G$2,0,IF((AP$6-$G$3)&lt;1,0,IFERROR(LOOKUP(2,1/(Amendoim!$E17:INDEX(Amendoim!$E17:$Z17,MIN(AP$6-$G$3,22))&lt;&gt;""),Amendoim!$E17:INDEX(Amendoim!$E17:$Z17,MIN(AP$6-$G$3,22))),0)))))</f>
        <v>0</v>
      </c>
      <c r="AQ19" s="27" t="n">
        <f aca="false">IF(COUNT(Amendoim!$E17:$Z17)=0,0,MAX(0,IF((AQ$6-$E$3)&lt;1,0,IFERROR(LOOKUP(2,1/(Amendoim!$E17:INDEX(Amendoim!$E17:$Z17,MIN(AQ$6-$E$3,22))&lt;&gt;""),Amendoim!$E17:INDEX(Amendoim!$E17:$Z17,MIN(AQ$6-$E$3,22))),0))-IF($G$2,0,IF((AQ$6-$G$3)&lt;1,0,IFERROR(LOOKUP(2,1/(Amendoim!$E17:INDEX(Amendoim!$E17:$Z17,MIN(AQ$6-$G$3,22))&lt;&gt;""),Amendoim!$E17:INDEX(Amendoim!$E17:$Z17,MIN(AQ$6-$G$3,22))),0)))))</f>
        <v>0</v>
      </c>
      <c r="AR19" s="27" t="n">
        <f aca="false">IF(COUNT(Amendoim!$E17:$Z17)=0,0,MAX(0,IF((AR$6-$E$3)&lt;1,0,IFERROR(LOOKUP(2,1/(Amendoim!$E17:INDEX(Amendoim!$E17:$Z17,MIN(AR$6-$E$3,22))&lt;&gt;""),Amendoim!$E17:INDEX(Amendoim!$E17:$Z17,MIN(AR$6-$E$3,22))),0))-IF($G$2,0,IF((AR$6-$G$3)&lt;1,0,IFERROR(LOOKUP(2,1/(Amendoim!$E17:INDEX(Amendoim!$E17:$Z17,MIN(AR$6-$G$3,22))&lt;&gt;""),Amendoim!$E17:INDEX(Amendoim!$E17:$Z17,MIN(AR$6-$G$3,22))),0)))))</f>
        <v>0</v>
      </c>
      <c r="AS19" s="27" t="n">
        <f aca="false">IF(COUNT(Amendoim!$E17:$Z17)=0,0,MAX(0,IF((AS$6-$E$3)&lt;1,0,IFERROR(LOOKUP(2,1/(Amendoim!$E17:INDEX(Amendoim!$E17:$Z17,MIN(AS$6-$E$3,22))&lt;&gt;""),Amendoim!$E17:INDEX(Amendoim!$E17:$Z17,MIN(AS$6-$E$3,22))),0))-IF($G$2,0,IF((AS$6-$G$3)&lt;1,0,IFERROR(LOOKUP(2,1/(Amendoim!$E17:INDEX(Amendoim!$E17:$Z17,MIN(AS$6-$G$3,22))&lt;&gt;""),Amendoim!$E17:INDEX(Amendoim!$E17:$Z17,MIN(AS$6-$G$3,22))),0)))))</f>
        <v>0</v>
      </c>
      <c r="AT19" s="27" t="n">
        <f aca="false">IF(COUNT(Amendoim!$E17:$Z17)=0,0,MAX(0,IF((AT$6-$E$3)&lt;1,0,IFERROR(LOOKUP(2,1/(Amendoim!$E17:INDEX(Amendoim!$E17:$Z17,MIN(AT$6-$E$3,22))&lt;&gt;""),Amendoim!$E17:INDEX(Amendoim!$E17:$Z17,MIN(AT$6-$E$3,22))),0))-IF($G$2,0,IF((AT$6-$G$3)&lt;1,0,IFERROR(LOOKUP(2,1/(Amendoim!$E17:INDEX(Amendoim!$E17:$Z17,MIN(AT$6-$G$3,22))&lt;&gt;""),Amendoim!$E17:INDEX(Amendoim!$E17:$Z17,MIN(AT$6-$G$3,22))),0)))))</f>
        <v>0</v>
      </c>
      <c r="AU19" s="27" t="n">
        <f aca="false">IF(COUNT(Amendoim!$E17:$Z17)=0,0,MAX(0,IF((AU$6-$E$3)&lt;1,0,IFERROR(LOOKUP(2,1/(Amendoim!$E17:INDEX(Amendoim!$E17:$Z17,MIN(AU$6-$E$3,22))&lt;&gt;""),Amendoim!$E17:INDEX(Amendoim!$E17:$Z17,MIN(AU$6-$E$3,22))),0))-IF($G$2,0,IF((AU$6-$G$3)&lt;1,0,IFERROR(LOOKUP(2,1/(Amendoim!$E17:INDEX(Amendoim!$E17:$Z17,MIN(AU$6-$G$3,22))&lt;&gt;""),Amendoim!$E17:INDEX(Amendoim!$E17:$Z17,MIN(AU$6-$G$3,22))),0)))))</f>
        <v>0</v>
      </c>
      <c r="AV19" s="27" t="n">
        <f aca="false">IF(COUNT(Amendoim!$E17:$Z17)=0,0,MAX(0,IF((AV$6-$E$3)&lt;1,0,IFERROR(LOOKUP(2,1/(Amendoim!$E17:INDEX(Amendoim!$E17:$Z17,MIN(AV$6-$E$3,22))&lt;&gt;""),Amendoim!$E17:INDEX(Amendoim!$E17:$Z17,MIN(AV$6-$E$3,22))),0))-IF($G$2,0,IF((AV$6-$G$3)&lt;1,0,IFERROR(LOOKUP(2,1/(Amendoim!$E17:INDEX(Amendoim!$E17:$Z17,MIN(AV$6-$G$3,22))&lt;&gt;""),Amendoim!$E17:INDEX(Amendoim!$E17:$Z17,MIN(AV$6-$G$3,22))),0)))))</f>
        <v>0</v>
      </c>
      <c r="AW19" s="27" t="n">
        <f aca="false">IF(COUNT(Amendoim!$E17:$Z17)=0,0,MAX(0,IF((AW$6-$E$3)&lt;1,0,IFERROR(LOOKUP(2,1/(Amendoim!$E17:INDEX(Amendoim!$E17:$Z17,MIN(AW$6-$E$3,22))&lt;&gt;""),Amendoim!$E17:INDEX(Amendoim!$E17:$Z17,MIN(AW$6-$E$3,22))),0))-IF($G$2,0,IF((AW$6-$G$3)&lt;1,0,IFERROR(LOOKUP(2,1/(Amendoim!$E17:INDEX(Amendoim!$E17:$Z17,MIN(AW$6-$G$3,22))&lt;&gt;""),Amendoim!$E17:INDEX(Amendoim!$E17:$Z17,MIN(AW$6-$G$3,22))),0)))))</f>
        <v>0</v>
      </c>
      <c r="AX19" s="27" t="n">
        <f aca="false">IF(COUNT(Amendoim!$E17:$Z17)=0,0,MAX(0,IF((AX$6-$E$3)&lt;1,0,IFERROR(LOOKUP(2,1/(Amendoim!$E17:INDEX(Amendoim!$E17:$Z17,MIN(AX$6-$E$3,22))&lt;&gt;""),Amendoim!$E17:INDEX(Amendoim!$E17:$Z17,MIN(AX$6-$E$3,22))),0))-IF($G$2,0,IF((AX$6-$G$3)&lt;1,0,IFERROR(LOOKUP(2,1/(Amendoim!$E17:INDEX(Amendoim!$E17:$Z17,MIN(AX$6-$G$3,22))&lt;&gt;""),Amendoim!$E17:INDEX(Amendoim!$E17:$Z17,MIN(AX$6-$G$3,22))),0)))))</f>
        <v>0</v>
      </c>
      <c r="AY19" s="27" t="n">
        <f aca="false">IF(COUNT(Amendoim!$E17:$Z17)=0,0,MAX(0,IF((AY$6-$E$3)&lt;1,0,IFERROR(LOOKUP(2,1/(Amendoim!$E17:INDEX(Amendoim!$E17:$Z17,MIN(AY$6-$E$3,22))&lt;&gt;""),Amendoim!$E17:INDEX(Amendoim!$E17:$Z17,MIN(AY$6-$E$3,22))),0))-IF($G$2,0,IF((AY$6-$G$3)&lt;1,0,IFERROR(LOOKUP(2,1/(Amendoim!$E17:INDEX(Amendoim!$E17:$Z17,MIN(AY$6-$G$3,22))&lt;&gt;""),Amendoim!$E17:INDEX(Amendoim!$E17:$Z17,MIN(AY$6-$G$3,22))),0)))))</f>
        <v>0</v>
      </c>
      <c r="AZ19" s="27" t="n">
        <f aca="false">IF(COUNT(Amendoim!$E17:$Z17)=0,0,MAX(0,IF((AZ$6-$E$3)&lt;1,0,IFERROR(LOOKUP(2,1/(Amendoim!$E17:INDEX(Amendoim!$E17:$Z17,MIN(AZ$6-$E$3,22))&lt;&gt;""),Amendoim!$E17:INDEX(Amendoim!$E17:$Z17,MIN(AZ$6-$E$3,22))),0))-IF($G$2,0,IF((AZ$6-$G$3)&lt;1,0,IFERROR(LOOKUP(2,1/(Amendoim!$E17:INDEX(Amendoim!$E17:$Z17,MIN(AZ$6-$G$3,22))&lt;&gt;""),Amendoim!$E17:INDEX(Amendoim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IF(COUNT(Amendoim!$E18:$Z18)&gt;0,N(Amendoim!$D18),0)</f>
        <v>0</v>
      </c>
      <c r="E20" s="27" t="n">
        <f aca="false">IF(COUNT(Amendoim!$E18:$Z18)=0,0,MAX(0,IF((E$6-$E$3)&lt;1,0,IFERROR(LOOKUP(2,1/(Amendoim!$E18:INDEX(Amendoim!$E18:$Z18,MIN(E$6-$E$3,22))&lt;&gt;""),Amendoim!$E18:INDEX(Amendoim!$E18:$Z18,MIN(E$6-$E$3,22))),0))-IF($G$2,0,IF((E$6-$G$3)&lt;1,0,IFERROR(LOOKUP(2,1/(Amendoim!$E18:INDEX(Amendoim!$E18:$Z18,MIN(E$6-$G$3,22))&lt;&gt;""),Amendoim!$E18:INDEX(Amendoim!$E18:$Z18,MIN(E$6-$G$3,22))),0)))))</f>
        <v>0</v>
      </c>
      <c r="F20" s="27" t="n">
        <f aca="false">IF(COUNT(Amendoim!$E18:$Z18)=0,0,MAX(0,IF((F$6-$E$3)&lt;1,0,IFERROR(LOOKUP(2,1/(Amendoim!$E18:INDEX(Amendoim!$E18:$Z18,MIN(F$6-$E$3,22))&lt;&gt;""),Amendoim!$E18:INDEX(Amendoim!$E18:$Z18,MIN(F$6-$E$3,22))),0))-IF($G$2,0,IF((F$6-$G$3)&lt;1,0,IFERROR(LOOKUP(2,1/(Amendoim!$E18:INDEX(Amendoim!$E18:$Z18,MIN(F$6-$G$3,22))&lt;&gt;""),Amendoim!$E18:INDEX(Amendoim!$E18:$Z18,MIN(F$6-$G$3,22))),0)))))</f>
        <v>0</v>
      </c>
      <c r="G20" s="27" t="n">
        <f aca="false">IF(COUNT(Amendoim!$E18:$Z18)=0,0,MAX(0,IF((G$6-$E$3)&lt;1,0,IFERROR(LOOKUP(2,1/(Amendoim!$E18:INDEX(Amendoim!$E18:$Z18,MIN(G$6-$E$3,22))&lt;&gt;""),Amendoim!$E18:INDEX(Amendoim!$E18:$Z18,MIN(G$6-$E$3,22))),0))-IF($G$2,0,IF((G$6-$G$3)&lt;1,0,IFERROR(LOOKUP(2,1/(Amendoim!$E18:INDEX(Amendoim!$E18:$Z18,MIN(G$6-$G$3,22))&lt;&gt;""),Amendoim!$E18:INDEX(Amendoim!$E18:$Z18,MIN(G$6-$G$3,22))),0)))))</f>
        <v>0</v>
      </c>
      <c r="H20" s="27" t="n">
        <f aca="false">IF(COUNT(Amendoim!$E18:$Z18)=0,0,MAX(0,IF((H$6-$E$3)&lt;1,0,IFERROR(LOOKUP(2,1/(Amendoim!$E18:INDEX(Amendoim!$E18:$Z18,MIN(H$6-$E$3,22))&lt;&gt;""),Amendoim!$E18:INDEX(Amendoim!$E18:$Z18,MIN(H$6-$E$3,22))),0))-IF($G$2,0,IF((H$6-$G$3)&lt;1,0,IFERROR(LOOKUP(2,1/(Amendoim!$E18:INDEX(Amendoim!$E18:$Z18,MIN(H$6-$G$3,22))&lt;&gt;""),Amendoim!$E18:INDEX(Amendoim!$E18:$Z18,MIN(H$6-$G$3,22))),0)))))</f>
        <v>0</v>
      </c>
      <c r="I20" s="27" t="n">
        <f aca="false">IF(COUNT(Amendoim!$E18:$Z18)=0,0,MAX(0,IF((I$6-$E$3)&lt;1,0,IFERROR(LOOKUP(2,1/(Amendoim!$E18:INDEX(Amendoim!$E18:$Z18,MIN(I$6-$E$3,22))&lt;&gt;""),Amendoim!$E18:INDEX(Amendoim!$E18:$Z18,MIN(I$6-$E$3,22))),0))-IF($G$2,0,IF((I$6-$G$3)&lt;1,0,IFERROR(LOOKUP(2,1/(Amendoim!$E18:INDEX(Amendoim!$E18:$Z18,MIN(I$6-$G$3,22))&lt;&gt;""),Amendoim!$E18:INDEX(Amendoim!$E18:$Z18,MIN(I$6-$G$3,22))),0)))))</f>
        <v>0</v>
      </c>
      <c r="J20" s="27" t="n">
        <f aca="false">IF(COUNT(Amendoim!$E18:$Z18)=0,0,MAX(0,IF((J$6-$E$3)&lt;1,0,IFERROR(LOOKUP(2,1/(Amendoim!$E18:INDEX(Amendoim!$E18:$Z18,MIN(J$6-$E$3,22))&lt;&gt;""),Amendoim!$E18:INDEX(Amendoim!$E18:$Z18,MIN(J$6-$E$3,22))),0))-IF($G$2,0,IF((J$6-$G$3)&lt;1,0,IFERROR(LOOKUP(2,1/(Amendoim!$E18:INDEX(Amendoim!$E18:$Z18,MIN(J$6-$G$3,22))&lt;&gt;""),Amendoim!$E18:INDEX(Amendoim!$E18:$Z18,MIN(J$6-$G$3,22))),0)))))</f>
        <v>0</v>
      </c>
      <c r="K20" s="27" t="n">
        <f aca="false">IF(COUNT(Amendoim!$E18:$Z18)=0,0,MAX(0,IF((K$6-$E$3)&lt;1,0,IFERROR(LOOKUP(2,1/(Amendoim!$E18:INDEX(Amendoim!$E18:$Z18,MIN(K$6-$E$3,22))&lt;&gt;""),Amendoim!$E18:INDEX(Amendoim!$E18:$Z18,MIN(K$6-$E$3,22))),0))-IF($G$2,0,IF((K$6-$G$3)&lt;1,0,IFERROR(LOOKUP(2,1/(Amendoim!$E18:INDEX(Amendoim!$E18:$Z18,MIN(K$6-$G$3,22))&lt;&gt;""),Amendoim!$E18:INDEX(Amendoim!$E18:$Z18,MIN(K$6-$G$3,22))),0)))))</f>
        <v>0</v>
      </c>
      <c r="L20" s="27" t="n">
        <f aca="false">IF(COUNT(Amendoim!$E18:$Z18)=0,0,MAX(0,IF((L$6-$E$3)&lt;1,0,IFERROR(LOOKUP(2,1/(Amendoim!$E18:INDEX(Amendoim!$E18:$Z18,MIN(L$6-$E$3,22))&lt;&gt;""),Amendoim!$E18:INDEX(Amendoim!$E18:$Z18,MIN(L$6-$E$3,22))),0))-IF($G$2,0,IF((L$6-$G$3)&lt;1,0,IFERROR(LOOKUP(2,1/(Amendoim!$E18:INDEX(Amendoim!$E18:$Z18,MIN(L$6-$G$3,22))&lt;&gt;""),Amendoim!$E18:INDEX(Amendoim!$E18:$Z18,MIN(L$6-$G$3,22))),0)))))</f>
        <v>0</v>
      </c>
      <c r="M20" s="27" t="n">
        <f aca="false">IF(COUNT(Amendoim!$E18:$Z18)=0,0,MAX(0,IF((M$6-$E$3)&lt;1,0,IFERROR(LOOKUP(2,1/(Amendoim!$E18:INDEX(Amendoim!$E18:$Z18,MIN(M$6-$E$3,22))&lt;&gt;""),Amendoim!$E18:INDEX(Amendoim!$E18:$Z18,MIN(M$6-$E$3,22))),0))-IF($G$2,0,IF((M$6-$G$3)&lt;1,0,IFERROR(LOOKUP(2,1/(Amendoim!$E18:INDEX(Amendoim!$E18:$Z18,MIN(M$6-$G$3,22))&lt;&gt;""),Amendoim!$E18:INDEX(Amendoim!$E18:$Z18,MIN(M$6-$G$3,22))),0)))))</f>
        <v>0</v>
      </c>
      <c r="N20" s="27" t="n">
        <f aca="false">IF(COUNT(Amendoim!$E18:$Z18)=0,0,MAX(0,IF((N$6-$E$3)&lt;1,0,IFERROR(LOOKUP(2,1/(Amendoim!$E18:INDEX(Amendoim!$E18:$Z18,MIN(N$6-$E$3,22))&lt;&gt;""),Amendoim!$E18:INDEX(Amendoim!$E18:$Z18,MIN(N$6-$E$3,22))),0))-IF($G$2,0,IF((N$6-$G$3)&lt;1,0,IFERROR(LOOKUP(2,1/(Amendoim!$E18:INDEX(Amendoim!$E18:$Z18,MIN(N$6-$G$3,22))&lt;&gt;""),Amendoim!$E18:INDEX(Amendoim!$E18:$Z18,MIN(N$6-$G$3,22))),0)))))</f>
        <v>0</v>
      </c>
      <c r="O20" s="27" t="n">
        <f aca="false">IF(COUNT(Amendoim!$E18:$Z18)=0,0,MAX(0,IF((O$6-$E$3)&lt;1,0,IFERROR(LOOKUP(2,1/(Amendoim!$E18:INDEX(Amendoim!$E18:$Z18,MIN(O$6-$E$3,22))&lt;&gt;""),Amendoim!$E18:INDEX(Amendoim!$E18:$Z18,MIN(O$6-$E$3,22))),0))-IF($G$2,0,IF((O$6-$G$3)&lt;1,0,IFERROR(LOOKUP(2,1/(Amendoim!$E18:INDEX(Amendoim!$E18:$Z18,MIN(O$6-$G$3,22))&lt;&gt;""),Amendoim!$E18:INDEX(Amendoim!$E18:$Z18,MIN(O$6-$G$3,22))),0)))))</f>
        <v>0</v>
      </c>
      <c r="P20" s="27" t="n">
        <f aca="false">IF(COUNT(Amendoim!$E18:$Z18)=0,0,MAX(0,IF((P$6-$E$3)&lt;1,0,IFERROR(LOOKUP(2,1/(Amendoim!$E18:INDEX(Amendoim!$E18:$Z18,MIN(P$6-$E$3,22))&lt;&gt;""),Amendoim!$E18:INDEX(Amendoim!$E18:$Z18,MIN(P$6-$E$3,22))),0))-IF($G$2,0,IF((P$6-$G$3)&lt;1,0,IFERROR(LOOKUP(2,1/(Amendoim!$E18:INDEX(Amendoim!$E18:$Z18,MIN(P$6-$G$3,22))&lt;&gt;""),Amendoim!$E18:INDEX(Amendoim!$E18:$Z18,MIN(P$6-$G$3,22))),0)))))</f>
        <v>0</v>
      </c>
      <c r="Q20" s="27" t="n">
        <f aca="false">IF(COUNT(Amendoim!$E18:$Z18)=0,0,MAX(0,IF((Q$6-$E$3)&lt;1,0,IFERROR(LOOKUP(2,1/(Amendoim!$E18:INDEX(Amendoim!$E18:$Z18,MIN(Q$6-$E$3,22))&lt;&gt;""),Amendoim!$E18:INDEX(Amendoim!$E18:$Z18,MIN(Q$6-$E$3,22))),0))-IF($G$2,0,IF((Q$6-$G$3)&lt;1,0,IFERROR(LOOKUP(2,1/(Amendoim!$E18:INDEX(Amendoim!$E18:$Z18,MIN(Q$6-$G$3,22))&lt;&gt;""),Amendoim!$E18:INDEX(Amendoim!$E18:$Z18,MIN(Q$6-$G$3,22))),0)))))</f>
        <v>0</v>
      </c>
      <c r="R20" s="27" t="n">
        <f aca="false">IF(COUNT(Amendoim!$E18:$Z18)=0,0,MAX(0,IF((R$6-$E$3)&lt;1,0,IFERROR(LOOKUP(2,1/(Amendoim!$E18:INDEX(Amendoim!$E18:$Z18,MIN(R$6-$E$3,22))&lt;&gt;""),Amendoim!$E18:INDEX(Amendoim!$E18:$Z18,MIN(R$6-$E$3,22))),0))-IF($G$2,0,IF((R$6-$G$3)&lt;1,0,IFERROR(LOOKUP(2,1/(Amendoim!$E18:INDEX(Amendoim!$E18:$Z18,MIN(R$6-$G$3,22))&lt;&gt;""),Amendoim!$E18:INDEX(Amendoim!$E18:$Z18,MIN(R$6-$G$3,22))),0)))))</f>
        <v>0</v>
      </c>
      <c r="S20" s="27" t="n">
        <f aca="false">IF(COUNT(Amendoim!$E18:$Z18)=0,0,MAX(0,IF((S$6-$E$3)&lt;1,0,IFERROR(LOOKUP(2,1/(Amendoim!$E18:INDEX(Amendoim!$E18:$Z18,MIN(S$6-$E$3,22))&lt;&gt;""),Amendoim!$E18:INDEX(Amendoim!$E18:$Z18,MIN(S$6-$E$3,22))),0))-IF($G$2,0,IF((S$6-$G$3)&lt;1,0,IFERROR(LOOKUP(2,1/(Amendoim!$E18:INDEX(Amendoim!$E18:$Z18,MIN(S$6-$G$3,22))&lt;&gt;""),Amendoim!$E18:INDEX(Amendoim!$E18:$Z18,MIN(S$6-$G$3,22))),0)))))</f>
        <v>0</v>
      </c>
      <c r="T20" s="27" t="n">
        <f aca="false">IF(COUNT(Amendoim!$E18:$Z18)=0,0,MAX(0,IF((T$6-$E$3)&lt;1,0,IFERROR(LOOKUP(2,1/(Amendoim!$E18:INDEX(Amendoim!$E18:$Z18,MIN(T$6-$E$3,22))&lt;&gt;""),Amendoim!$E18:INDEX(Amendoim!$E18:$Z18,MIN(T$6-$E$3,22))),0))-IF($G$2,0,IF((T$6-$G$3)&lt;1,0,IFERROR(LOOKUP(2,1/(Amendoim!$E18:INDEX(Amendoim!$E18:$Z18,MIN(T$6-$G$3,22))&lt;&gt;""),Amendoim!$E18:INDEX(Amendoim!$E18:$Z18,MIN(T$6-$G$3,22))),0)))))</f>
        <v>0</v>
      </c>
      <c r="U20" s="27" t="n">
        <f aca="false">IF(COUNT(Amendoim!$E18:$Z18)=0,0,MAX(0,IF((U$6-$E$3)&lt;1,0,IFERROR(LOOKUP(2,1/(Amendoim!$E18:INDEX(Amendoim!$E18:$Z18,MIN(U$6-$E$3,22))&lt;&gt;""),Amendoim!$E18:INDEX(Amendoim!$E18:$Z18,MIN(U$6-$E$3,22))),0))-IF($G$2,0,IF((U$6-$G$3)&lt;1,0,IFERROR(LOOKUP(2,1/(Amendoim!$E18:INDEX(Amendoim!$E18:$Z18,MIN(U$6-$G$3,22))&lt;&gt;""),Amendoim!$E18:INDEX(Amendoim!$E18:$Z18,MIN(U$6-$G$3,22))),0)))))</f>
        <v>0</v>
      </c>
      <c r="V20" s="27" t="n">
        <f aca="false">IF(COUNT(Amendoim!$E18:$Z18)=0,0,MAX(0,IF((V$6-$E$3)&lt;1,0,IFERROR(LOOKUP(2,1/(Amendoim!$E18:INDEX(Amendoim!$E18:$Z18,MIN(V$6-$E$3,22))&lt;&gt;""),Amendoim!$E18:INDEX(Amendoim!$E18:$Z18,MIN(V$6-$E$3,22))),0))-IF($G$2,0,IF((V$6-$G$3)&lt;1,0,IFERROR(LOOKUP(2,1/(Amendoim!$E18:INDEX(Amendoim!$E18:$Z18,MIN(V$6-$G$3,22))&lt;&gt;""),Amendoim!$E18:INDEX(Amendoim!$E18:$Z18,MIN(V$6-$G$3,22))),0)))))</f>
        <v>0</v>
      </c>
      <c r="W20" s="27" t="n">
        <f aca="false">IF(COUNT(Amendoim!$E18:$Z18)=0,0,MAX(0,IF((W$6-$E$3)&lt;1,0,IFERROR(LOOKUP(2,1/(Amendoim!$E18:INDEX(Amendoim!$E18:$Z18,MIN(W$6-$E$3,22))&lt;&gt;""),Amendoim!$E18:INDEX(Amendoim!$E18:$Z18,MIN(W$6-$E$3,22))),0))-IF($G$2,0,IF((W$6-$G$3)&lt;1,0,IFERROR(LOOKUP(2,1/(Amendoim!$E18:INDEX(Amendoim!$E18:$Z18,MIN(W$6-$G$3,22))&lt;&gt;""),Amendoim!$E18:INDEX(Amendoim!$E18:$Z18,MIN(W$6-$G$3,22))),0)))))</f>
        <v>0</v>
      </c>
      <c r="X20" s="27" t="n">
        <f aca="false">IF(COUNT(Amendoim!$E18:$Z18)=0,0,MAX(0,IF((X$6-$E$3)&lt;1,0,IFERROR(LOOKUP(2,1/(Amendoim!$E18:INDEX(Amendoim!$E18:$Z18,MIN(X$6-$E$3,22))&lt;&gt;""),Amendoim!$E18:INDEX(Amendoim!$E18:$Z18,MIN(X$6-$E$3,22))),0))-IF($G$2,0,IF((X$6-$G$3)&lt;1,0,IFERROR(LOOKUP(2,1/(Amendoim!$E18:INDEX(Amendoim!$E18:$Z18,MIN(X$6-$G$3,22))&lt;&gt;""),Amendoim!$E18:INDEX(Amendoim!$E18:$Z18,MIN(X$6-$G$3,22))),0)))))</f>
        <v>0</v>
      </c>
      <c r="Y20" s="27" t="n">
        <f aca="false">IF(COUNT(Amendoim!$E18:$Z18)=0,0,MAX(0,IF((Y$6-$E$3)&lt;1,0,IFERROR(LOOKUP(2,1/(Amendoim!$E18:INDEX(Amendoim!$E18:$Z18,MIN(Y$6-$E$3,22))&lt;&gt;""),Amendoim!$E18:INDEX(Amendoim!$E18:$Z18,MIN(Y$6-$E$3,22))),0))-IF($G$2,0,IF((Y$6-$G$3)&lt;1,0,IFERROR(LOOKUP(2,1/(Amendoim!$E18:INDEX(Amendoim!$E18:$Z18,MIN(Y$6-$G$3,22))&lt;&gt;""),Amendoim!$E18:INDEX(Amendoim!$E18:$Z18,MIN(Y$6-$G$3,22))),0)))))</f>
        <v>0</v>
      </c>
      <c r="Z20" s="27" t="n">
        <f aca="false">IF(COUNT(Amendoim!$E18:$Z18)=0,0,MAX(0,IF((Z$6-$E$3)&lt;1,0,IFERROR(LOOKUP(2,1/(Amendoim!$E18:INDEX(Amendoim!$E18:$Z18,MIN(Z$6-$E$3,22))&lt;&gt;""),Amendoim!$E18:INDEX(Amendoim!$E18:$Z18,MIN(Z$6-$E$3,22))),0))-IF($G$2,0,IF((Z$6-$G$3)&lt;1,0,IFERROR(LOOKUP(2,1/(Amendoim!$E18:INDEX(Amendoim!$E18:$Z18,MIN(Z$6-$G$3,22))&lt;&gt;""),Amendoim!$E18:INDEX(Amendoim!$E18:$Z18,MIN(Z$6-$G$3,22))),0)))))</f>
        <v>0</v>
      </c>
      <c r="AA20" s="27" t="n">
        <f aca="false">IF(COUNT(Amendoim!$E18:$Z18)=0,0,MAX(0,IF((AA$6-$E$3)&lt;1,0,IFERROR(LOOKUP(2,1/(Amendoim!$E18:INDEX(Amendoim!$E18:$Z18,MIN(AA$6-$E$3,22))&lt;&gt;""),Amendoim!$E18:INDEX(Amendoim!$E18:$Z18,MIN(AA$6-$E$3,22))),0))-IF($G$2,0,IF((AA$6-$G$3)&lt;1,0,IFERROR(LOOKUP(2,1/(Amendoim!$E18:INDEX(Amendoim!$E18:$Z18,MIN(AA$6-$G$3,22))&lt;&gt;""),Amendoim!$E18:INDEX(Amendoim!$E18:$Z18,MIN(AA$6-$G$3,22))),0)))))</f>
        <v>0</v>
      </c>
      <c r="AB20" s="27" t="n">
        <f aca="false">IF(COUNT(Amendoim!$E18:$Z18)=0,0,MAX(0,IF((AB$6-$E$3)&lt;1,0,IFERROR(LOOKUP(2,1/(Amendoim!$E18:INDEX(Amendoim!$E18:$Z18,MIN(AB$6-$E$3,22))&lt;&gt;""),Amendoim!$E18:INDEX(Amendoim!$E18:$Z18,MIN(AB$6-$E$3,22))),0))-IF($G$2,0,IF((AB$6-$G$3)&lt;1,0,IFERROR(LOOKUP(2,1/(Amendoim!$E18:INDEX(Amendoim!$E18:$Z18,MIN(AB$6-$G$3,22))&lt;&gt;""),Amendoim!$E18:INDEX(Amendoim!$E18:$Z18,MIN(AB$6-$G$3,22))),0)))))</f>
        <v>0</v>
      </c>
      <c r="AC20" s="27" t="n">
        <f aca="false">IF(COUNT(Amendoim!$E18:$Z18)=0,0,MAX(0,IF((AC$6-$E$3)&lt;1,0,IFERROR(LOOKUP(2,1/(Amendoim!$E18:INDEX(Amendoim!$E18:$Z18,MIN(AC$6-$E$3,22))&lt;&gt;""),Amendoim!$E18:INDEX(Amendoim!$E18:$Z18,MIN(AC$6-$E$3,22))),0))-IF($G$2,0,IF((AC$6-$G$3)&lt;1,0,IFERROR(LOOKUP(2,1/(Amendoim!$E18:INDEX(Amendoim!$E18:$Z18,MIN(AC$6-$G$3,22))&lt;&gt;""),Amendoim!$E18:INDEX(Amendoim!$E18:$Z18,MIN(AC$6-$G$3,22))),0)))))</f>
        <v>0</v>
      </c>
      <c r="AD20" s="27" t="n">
        <f aca="false">IF(COUNT(Amendoim!$E18:$Z18)=0,0,MAX(0,IF((AD$6-$E$3)&lt;1,0,IFERROR(LOOKUP(2,1/(Amendoim!$E18:INDEX(Amendoim!$E18:$Z18,MIN(AD$6-$E$3,22))&lt;&gt;""),Amendoim!$E18:INDEX(Amendoim!$E18:$Z18,MIN(AD$6-$E$3,22))),0))-IF($G$2,0,IF((AD$6-$G$3)&lt;1,0,IFERROR(LOOKUP(2,1/(Amendoim!$E18:INDEX(Amendoim!$E18:$Z18,MIN(AD$6-$G$3,22))&lt;&gt;""),Amendoim!$E18:INDEX(Amendoim!$E18:$Z18,MIN(AD$6-$G$3,22))),0)))))</f>
        <v>0</v>
      </c>
      <c r="AE20" s="27" t="n">
        <f aca="false">IF(COUNT(Amendoim!$E18:$Z18)=0,0,MAX(0,IF((AE$6-$E$3)&lt;1,0,IFERROR(LOOKUP(2,1/(Amendoim!$E18:INDEX(Amendoim!$E18:$Z18,MIN(AE$6-$E$3,22))&lt;&gt;""),Amendoim!$E18:INDEX(Amendoim!$E18:$Z18,MIN(AE$6-$E$3,22))),0))-IF($G$2,0,IF((AE$6-$G$3)&lt;1,0,IFERROR(LOOKUP(2,1/(Amendoim!$E18:INDEX(Amendoim!$E18:$Z18,MIN(AE$6-$G$3,22))&lt;&gt;""),Amendoim!$E18:INDEX(Amendoim!$E18:$Z18,MIN(AE$6-$G$3,22))),0)))))</f>
        <v>0</v>
      </c>
      <c r="AF20" s="27" t="n">
        <f aca="false">IF(COUNT(Amendoim!$E18:$Z18)=0,0,MAX(0,IF((AF$6-$E$3)&lt;1,0,IFERROR(LOOKUP(2,1/(Amendoim!$E18:INDEX(Amendoim!$E18:$Z18,MIN(AF$6-$E$3,22))&lt;&gt;""),Amendoim!$E18:INDEX(Amendoim!$E18:$Z18,MIN(AF$6-$E$3,22))),0))-IF($G$2,0,IF((AF$6-$G$3)&lt;1,0,IFERROR(LOOKUP(2,1/(Amendoim!$E18:INDEX(Amendoim!$E18:$Z18,MIN(AF$6-$G$3,22))&lt;&gt;""),Amendoim!$E18:INDEX(Amendoim!$E18:$Z18,MIN(AF$6-$G$3,22))),0)))))</f>
        <v>0</v>
      </c>
      <c r="AG20" s="27" t="n">
        <f aca="false">IF(COUNT(Amendoim!$E18:$Z18)=0,0,MAX(0,IF((AG$6-$E$3)&lt;1,0,IFERROR(LOOKUP(2,1/(Amendoim!$E18:INDEX(Amendoim!$E18:$Z18,MIN(AG$6-$E$3,22))&lt;&gt;""),Amendoim!$E18:INDEX(Amendoim!$E18:$Z18,MIN(AG$6-$E$3,22))),0))-IF($G$2,0,IF((AG$6-$G$3)&lt;1,0,IFERROR(LOOKUP(2,1/(Amendoim!$E18:INDEX(Amendoim!$E18:$Z18,MIN(AG$6-$G$3,22))&lt;&gt;""),Amendoim!$E18:INDEX(Amendoim!$E18:$Z18,MIN(AG$6-$G$3,22))),0)))))</f>
        <v>0</v>
      </c>
      <c r="AH20" s="27" t="n">
        <f aca="false">IF(COUNT(Amendoim!$E18:$Z18)=0,0,MAX(0,IF((AH$6-$E$3)&lt;1,0,IFERROR(LOOKUP(2,1/(Amendoim!$E18:INDEX(Amendoim!$E18:$Z18,MIN(AH$6-$E$3,22))&lt;&gt;""),Amendoim!$E18:INDEX(Amendoim!$E18:$Z18,MIN(AH$6-$E$3,22))),0))-IF($G$2,0,IF((AH$6-$G$3)&lt;1,0,IFERROR(LOOKUP(2,1/(Amendoim!$E18:INDEX(Amendoim!$E18:$Z18,MIN(AH$6-$G$3,22))&lt;&gt;""),Amendoim!$E18:INDEX(Amendoim!$E18:$Z18,MIN(AH$6-$G$3,22))),0)))))</f>
        <v>0</v>
      </c>
      <c r="AI20" s="27" t="n">
        <f aca="false">IF(COUNT(Amendoim!$E18:$Z18)=0,0,MAX(0,IF((AI$6-$E$3)&lt;1,0,IFERROR(LOOKUP(2,1/(Amendoim!$E18:INDEX(Amendoim!$E18:$Z18,MIN(AI$6-$E$3,22))&lt;&gt;""),Amendoim!$E18:INDEX(Amendoim!$E18:$Z18,MIN(AI$6-$E$3,22))),0))-IF($G$2,0,IF((AI$6-$G$3)&lt;1,0,IFERROR(LOOKUP(2,1/(Amendoim!$E18:INDEX(Amendoim!$E18:$Z18,MIN(AI$6-$G$3,22))&lt;&gt;""),Amendoim!$E18:INDEX(Amendoim!$E18:$Z18,MIN(AI$6-$G$3,22))),0)))))</f>
        <v>0</v>
      </c>
      <c r="AJ20" s="27" t="n">
        <f aca="false">IF(COUNT(Amendoim!$E18:$Z18)=0,0,MAX(0,IF((AJ$6-$E$3)&lt;1,0,IFERROR(LOOKUP(2,1/(Amendoim!$E18:INDEX(Amendoim!$E18:$Z18,MIN(AJ$6-$E$3,22))&lt;&gt;""),Amendoim!$E18:INDEX(Amendoim!$E18:$Z18,MIN(AJ$6-$E$3,22))),0))-IF($G$2,0,IF((AJ$6-$G$3)&lt;1,0,IFERROR(LOOKUP(2,1/(Amendoim!$E18:INDEX(Amendoim!$E18:$Z18,MIN(AJ$6-$G$3,22))&lt;&gt;""),Amendoim!$E18:INDEX(Amendoim!$E18:$Z18,MIN(AJ$6-$G$3,22))),0)))))</f>
        <v>0</v>
      </c>
      <c r="AK20" s="27" t="n">
        <f aca="false">IF(COUNT(Amendoim!$E18:$Z18)=0,0,MAX(0,IF((AK$6-$E$3)&lt;1,0,IFERROR(LOOKUP(2,1/(Amendoim!$E18:INDEX(Amendoim!$E18:$Z18,MIN(AK$6-$E$3,22))&lt;&gt;""),Amendoim!$E18:INDEX(Amendoim!$E18:$Z18,MIN(AK$6-$E$3,22))),0))-IF($G$2,0,IF((AK$6-$G$3)&lt;1,0,IFERROR(LOOKUP(2,1/(Amendoim!$E18:INDEX(Amendoim!$E18:$Z18,MIN(AK$6-$G$3,22))&lt;&gt;""),Amendoim!$E18:INDEX(Amendoim!$E18:$Z18,MIN(AK$6-$G$3,22))),0)))))</f>
        <v>0</v>
      </c>
      <c r="AL20" s="27" t="n">
        <f aca="false">IF(COUNT(Amendoim!$E18:$Z18)=0,0,MAX(0,IF((AL$6-$E$3)&lt;1,0,IFERROR(LOOKUP(2,1/(Amendoim!$E18:INDEX(Amendoim!$E18:$Z18,MIN(AL$6-$E$3,22))&lt;&gt;""),Amendoim!$E18:INDEX(Amendoim!$E18:$Z18,MIN(AL$6-$E$3,22))),0))-IF($G$2,0,IF((AL$6-$G$3)&lt;1,0,IFERROR(LOOKUP(2,1/(Amendoim!$E18:INDEX(Amendoim!$E18:$Z18,MIN(AL$6-$G$3,22))&lt;&gt;""),Amendoim!$E18:INDEX(Amendoim!$E18:$Z18,MIN(AL$6-$G$3,22))),0)))))</f>
        <v>0</v>
      </c>
      <c r="AM20" s="27" t="n">
        <f aca="false">IF(COUNT(Amendoim!$E18:$Z18)=0,0,MAX(0,IF((AM$6-$E$3)&lt;1,0,IFERROR(LOOKUP(2,1/(Amendoim!$E18:INDEX(Amendoim!$E18:$Z18,MIN(AM$6-$E$3,22))&lt;&gt;""),Amendoim!$E18:INDEX(Amendoim!$E18:$Z18,MIN(AM$6-$E$3,22))),0))-IF($G$2,0,IF((AM$6-$G$3)&lt;1,0,IFERROR(LOOKUP(2,1/(Amendoim!$E18:INDEX(Amendoim!$E18:$Z18,MIN(AM$6-$G$3,22))&lt;&gt;""),Amendoim!$E18:INDEX(Amendoim!$E18:$Z18,MIN(AM$6-$G$3,22))),0)))))</f>
        <v>0</v>
      </c>
      <c r="AN20" s="27" t="n">
        <f aca="false">IF(COUNT(Amendoim!$E18:$Z18)=0,0,MAX(0,IF((AN$6-$E$3)&lt;1,0,IFERROR(LOOKUP(2,1/(Amendoim!$E18:INDEX(Amendoim!$E18:$Z18,MIN(AN$6-$E$3,22))&lt;&gt;""),Amendoim!$E18:INDEX(Amendoim!$E18:$Z18,MIN(AN$6-$E$3,22))),0))-IF($G$2,0,IF((AN$6-$G$3)&lt;1,0,IFERROR(LOOKUP(2,1/(Amendoim!$E18:INDEX(Amendoim!$E18:$Z18,MIN(AN$6-$G$3,22))&lt;&gt;""),Amendoim!$E18:INDEX(Amendoim!$E18:$Z18,MIN(AN$6-$G$3,22))),0)))))</f>
        <v>0</v>
      </c>
      <c r="AO20" s="27" t="n">
        <f aca="false">IF(COUNT(Amendoim!$E18:$Z18)=0,0,MAX(0,IF((AO$6-$E$3)&lt;1,0,IFERROR(LOOKUP(2,1/(Amendoim!$E18:INDEX(Amendoim!$E18:$Z18,MIN(AO$6-$E$3,22))&lt;&gt;""),Amendoim!$E18:INDEX(Amendoim!$E18:$Z18,MIN(AO$6-$E$3,22))),0))-IF($G$2,0,IF((AO$6-$G$3)&lt;1,0,IFERROR(LOOKUP(2,1/(Amendoim!$E18:INDEX(Amendoim!$E18:$Z18,MIN(AO$6-$G$3,22))&lt;&gt;""),Amendoim!$E18:INDEX(Amendoim!$E18:$Z18,MIN(AO$6-$G$3,22))),0)))))</f>
        <v>0</v>
      </c>
      <c r="AP20" s="27" t="n">
        <f aca="false">IF(COUNT(Amendoim!$E18:$Z18)=0,0,MAX(0,IF((AP$6-$E$3)&lt;1,0,IFERROR(LOOKUP(2,1/(Amendoim!$E18:INDEX(Amendoim!$E18:$Z18,MIN(AP$6-$E$3,22))&lt;&gt;""),Amendoim!$E18:INDEX(Amendoim!$E18:$Z18,MIN(AP$6-$E$3,22))),0))-IF($G$2,0,IF((AP$6-$G$3)&lt;1,0,IFERROR(LOOKUP(2,1/(Amendoim!$E18:INDEX(Amendoim!$E18:$Z18,MIN(AP$6-$G$3,22))&lt;&gt;""),Amendoim!$E18:INDEX(Amendoim!$E18:$Z18,MIN(AP$6-$G$3,22))),0)))))</f>
        <v>0</v>
      </c>
      <c r="AQ20" s="27" t="n">
        <f aca="false">IF(COUNT(Amendoim!$E18:$Z18)=0,0,MAX(0,IF((AQ$6-$E$3)&lt;1,0,IFERROR(LOOKUP(2,1/(Amendoim!$E18:INDEX(Amendoim!$E18:$Z18,MIN(AQ$6-$E$3,22))&lt;&gt;""),Amendoim!$E18:INDEX(Amendoim!$E18:$Z18,MIN(AQ$6-$E$3,22))),0))-IF($G$2,0,IF((AQ$6-$G$3)&lt;1,0,IFERROR(LOOKUP(2,1/(Amendoim!$E18:INDEX(Amendoim!$E18:$Z18,MIN(AQ$6-$G$3,22))&lt;&gt;""),Amendoim!$E18:INDEX(Amendoim!$E18:$Z18,MIN(AQ$6-$G$3,22))),0)))))</f>
        <v>0</v>
      </c>
      <c r="AR20" s="27" t="n">
        <f aca="false">IF(COUNT(Amendoim!$E18:$Z18)=0,0,MAX(0,IF((AR$6-$E$3)&lt;1,0,IFERROR(LOOKUP(2,1/(Amendoim!$E18:INDEX(Amendoim!$E18:$Z18,MIN(AR$6-$E$3,22))&lt;&gt;""),Amendoim!$E18:INDEX(Amendoim!$E18:$Z18,MIN(AR$6-$E$3,22))),0))-IF($G$2,0,IF((AR$6-$G$3)&lt;1,0,IFERROR(LOOKUP(2,1/(Amendoim!$E18:INDEX(Amendoim!$E18:$Z18,MIN(AR$6-$G$3,22))&lt;&gt;""),Amendoim!$E18:INDEX(Amendoim!$E18:$Z18,MIN(AR$6-$G$3,22))),0)))))</f>
        <v>0</v>
      </c>
      <c r="AS20" s="27" t="n">
        <f aca="false">IF(COUNT(Amendoim!$E18:$Z18)=0,0,MAX(0,IF((AS$6-$E$3)&lt;1,0,IFERROR(LOOKUP(2,1/(Amendoim!$E18:INDEX(Amendoim!$E18:$Z18,MIN(AS$6-$E$3,22))&lt;&gt;""),Amendoim!$E18:INDEX(Amendoim!$E18:$Z18,MIN(AS$6-$E$3,22))),0))-IF($G$2,0,IF((AS$6-$G$3)&lt;1,0,IFERROR(LOOKUP(2,1/(Amendoim!$E18:INDEX(Amendoim!$E18:$Z18,MIN(AS$6-$G$3,22))&lt;&gt;""),Amendoim!$E18:INDEX(Amendoim!$E18:$Z18,MIN(AS$6-$G$3,22))),0)))))</f>
        <v>0</v>
      </c>
      <c r="AT20" s="27" t="n">
        <f aca="false">IF(COUNT(Amendoim!$E18:$Z18)=0,0,MAX(0,IF((AT$6-$E$3)&lt;1,0,IFERROR(LOOKUP(2,1/(Amendoim!$E18:INDEX(Amendoim!$E18:$Z18,MIN(AT$6-$E$3,22))&lt;&gt;""),Amendoim!$E18:INDEX(Amendoim!$E18:$Z18,MIN(AT$6-$E$3,22))),0))-IF($G$2,0,IF((AT$6-$G$3)&lt;1,0,IFERROR(LOOKUP(2,1/(Amendoim!$E18:INDEX(Amendoim!$E18:$Z18,MIN(AT$6-$G$3,22))&lt;&gt;""),Amendoim!$E18:INDEX(Amendoim!$E18:$Z18,MIN(AT$6-$G$3,22))),0)))))</f>
        <v>0</v>
      </c>
      <c r="AU20" s="27" t="n">
        <f aca="false">IF(COUNT(Amendoim!$E18:$Z18)=0,0,MAX(0,IF((AU$6-$E$3)&lt;1,0,IFERROR(LOOKUP(2,1/(Amendoim!$E18:INDEX(Amendoim!$E18:$Z18,MIN(AU$6-$E$3,22))&lt;&gt;""),Amendoim!$E18:INDEX(Amendoim!$E18:$Z18,MIN(AU$6-$E$3,22))),0))-IF($G$2,0,IF((AU$6-$G$3)&lt;1,0,IFERROR(LOOKUP(2,1/(Amendoim!$E18:INDEX(Amendoim!$E18:$Z18,MIN(AU$6-$G$3,22))&lt;&gt;""),Amendoim!$E18:INDEX(Amendoim!$E18:$Z18,MIN(AU$6-$G$3,22))),0)))))</f>
        <v>0</v>
      </c>
      <c r="AV20" s="27" t="n">
        <f aca="false">IF(COUNT(Amendoim!$E18:$Z18)=0,0,MAX(0,IF((AV$6-$E$3)&lt;1,0,IFERROR(LOOKUP(2,1/(Amendoim!$E18:INDEX(Amendoim!$E18:$Z18,MIN(AV$6-$E$3,22))&lt;&gt;""),Amendoim!$E18:INDEX(Amendoim!$E18:$Z18,MIN(AV$6-$E$3,22))),0))-IF($G$2,0,IF((AV$6-$G$3)&lt;1,0,IFERROR(LOOKUP(2,1/(Amendoim!$E18:INDEX(Amendoim!$E18:$Z18,MIN(AV$6-$G$3,22))&lt;&gt;""),Amendoim!$E18:INDEX(Amendoim!$E18:$Z18,MIN(AV$6-$G$3,22))),0)))))</f>
        <v>0</v>
      </c>
      <c r="AW20" s="27" t="n">
        <f aca="false">IF(COUNT(Amendoim!$E18:$Z18)=0,0,MAX(0,IF((AW$6-$E$3)&lt;1,0,IFERROR(LOOKUP(2,1/(Amendoim!$E18:INDEX(Amendoim!$E18:$Z18,MIN(AW$6-$E$3,22))&lt;&gt;""),Amendoim!$E18:INDEX(Amendoim!$E18:$Z18,MIN(AW$6-$E$3,22))),0))-IF($G$2,0,IF((AW$6-$G$3)&lt;1,0,IFERROR(LOOKUP(2,1/(Amendoim!$E18:INDEX(Amendoim!$E18:$Z18,MIN(AW$6-$G$3,22))&lt;&gt;""),Amendoim!$E18:INDEX(Amendoim!$E18:$Z18,MIN(AW$6-$G$3,22))),0)))))</f>
        <v>0</v>
      </c>
      <c r="AX20" s="27" t="n">
        <f aca="false">IF(COUNT(Amendoim!$E18:$Z18)=0,0,MAX(0,IF((AX$6-$E$3)&lt;1,0,IFERROR(LOOKUP(2,1/(Amendoim!$E18:INDEX(Amendoim!$E18:$Z18,MIN(AX$6-$E$3,22))&lt;&gt;""),Amendoim!$E18:INDEX(Amendoim!$E18:$Z18,MIN(AX$6-$E$3,22))),0))-IF($G$2,0,IF((AX$6-$G$3)&lt;1,0,IFERROR(LOOKUP(2,1/(Amendoim!$E18:INDEX(Amendoim!$E18:$Z18,MIN(AX$6-$G$3,22))&lt;&gt;""),Amendoim!$E18:INDEX(Amendoim!$E18:$Z18,MIN(AX$6-$G$3,22))),0)))))</f>
        <v>0</v>
      </c>
      <c r="AY20" s="27" t="n">
        <f aca="false">IF(COUNT(Amendoim!$E18:$Z18)=0,0,MAX(0,IF((AY$6-$E$3)&lt;1,0,IFERROR(LOOKUP(2,1/(Amendoim!$E18:INDEX(Amendoim!$E18:$Z18,MIN(AY$6-$E$3,22))&lt;&gt;""),Amendoim!$E18:INDEX(Amendoim!$E18:$Z18,MIN(AY$6-$E$3,22))),0))-IF($G$2,0,IF((AY$6-$G$3)&lt;1,0,IFERROR(LOOKUP(2,1/(Amendoim!$E18:INDEX(Amendoim!$E18:$Z18,MIN(AY$6-$G$3,22))&lt;&gt;""),Amendoim!$E18:INDEX(Amendoim!$E18:$Z18,MIN(AY$6-$G$3,22))),0)))))</f>
        <v>0</v>
      </c>
      <c r="AZ20" s="27" t="n">
        <f aca="false">IF(COUNT(Amendoim!$E18:$Z18)=0,0,MAX(0,IF((AZ$6-$E$3)&lt;1,0,IFERROR(LOOKUP(2,1/(Amendoim!$E18:INDEX(Amendoim!$E18:$Z18,MIN(AZ$6-$E$3,22))&lt;&gt;""),Amendoim!$E18:INDEX(Amendoim!$E18:$Z18,MIN(AZ$6-$E$3,22))),0))-IF($G$2,0,IF((AZ$6-$G$3)&lt;1,0,IFERROR(LOOKUP(2,1/(Amendoim!$E18:INDEX(Amendoim!$E18:$Z18,MIN(AZ$6-$G$3,22))&lt;&gt;""),Amendoim!$E18:INDEX(Amendoim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IF(COUNT(Amendoim!$E19:$Z19)&gt;0,N(Amendoim!$D19),0)</f>
        <v>0</v>
      </c>
      <c r="E21" s="27" t="n">
        <f aca="false">IF(COUNT(Amendoim!$E19:$Z19)=0,0,MAX(0,IF((E$6-$E$3)&lt;1,0,IFERROR(LOOKUP(2,1/(Amendoim!$E19:INDEX(Amendoim!$E19:$Z19,MIN(E$6-$E$3,22))&lt;&gt;""),Amendoim!$E19:INDEX(Amendoim!$E19:$Z19,MIN(E$6-$E$3,22))),0))-IF($G$2,0,IF((E$6-$G$3)&lt;1,0,IFERROR(LOOKUP(2,1/(Amendoim!$E19:INDEX(Amendoim!$E19:$Z19,MIN(E$6-$G$3,22))&lt;&gt;""),Amendoim!$E19:INDEX(Amendoim!$E19:$Z19,MIN(E$6-$G$3,22))),0)))))</f>
        <v>0</v>
      </c>
      <c r="F21" s="27" t="n">
        <f aca="false">IF(COUNT(Amendoim!$E19:$Z19)=0,0,MAX(0,IF((F$6-$E$3)&lt;1,0,IFERROR(LOOKUP(2,1/(Amendoim!$E19:INDEX(Amendoim!$E19:$Z19,MIN(F$6-$E$3,22))&lt;&gt;""),Amendoim!$E19:INDEX(Amendoim!$E19:$Z19,MIN(F$6-$E$3,22))),0))-IF($G$2,0,IF((F$6-$G$3)&lt;1,0,IFERROR(LOOKUP(2,1/(Amendoim!$E19:INDEX(Amendoim!$E19:$Z19,MIN(F$6-$G$3,22))&lt;&gt;""),Amendoim!$E19:INDEX(Amendoim!$E19:$Z19,MIN(F$6-$G$3,22))),0)))))</f>
        <v>0</v>
      </c>
      <c r="G21" s="27" t="n">
        <f aca="false">IF(COUNT(Amendoim!$E19:$Z19)=0,0,MAX(0,IF((G$6-$E$3)&lt;1,0,IFERROR(LOOKUP(2,1/(Amendoim!$E19:INDEX(Amendoim!$E19:$Z19,MIN(G$6-$E$3,22))&lt;&gt;""),Amendoim!$E19:INDEX(Amendoim!$E19:$Z19,MIN(G$6-$E$3,22))),0))-IF($G$2,0,IF((G$6-$G$3)&lt;1,0,IFERROR(LOOKUP(2,1/(Amendoim!$E19:INDEX(Amendoim!$E19:$Z19,MIN(G$6-$G$3,22))&lt;&gt;""),Amendoim!$E19:INDEX(Amendoim!$E19:$Z19,MIN(G$6-$G$3,22))),0)))))</f>
        <v>0</v>
      </c>
      <c r="H21" s="27" t="n">
        <f aca="false">IF(COUNT(Amendoim!$E19:$Z19)=0,0,MAX(0,IF((H$6-$E$3)&lt;1,0,IFERROR(LOOKUP(2,1/(Amendoim!$E19:INDEX(Amendoim!$E19:$Z19,MIN(H$6-$E$3,22))&lt;&gt;""),Amendoim!$E19:INDEX(Amendoim!$E19:$Z19,MIN(H$6-$E$3,22))),0))-IF($G$2,0,IF((H$6-$G$3)&lt;1,0,IFERROR(LOOKUP(2,1/(Amendoim!$E19:INDEX(Amendoim!$E19:$Z19,MIN(H$6-$G$3,22))&lt;&gt;""),Amendoim!$E19:INDEX(Amendoim!$E19:$Z19,MIN(H$6-$G$3,22))),0)))))</f>
        <v>0</v>
      </c>
      <c r="I21" s="27" t="n">
        <f aca="false">IF(COUNT(Amendoim!$E19:$Z19)=0,0,MAX(0,IF((I$6-$E$3)&lt;1,0,IFERROR(LOOKUP(2,1/(Amendoim!$E19:INDEX(Amendoim!$E19:$Z19,MIN(I$6-$E$3,22))&lt;&gt;""),Amendoim!$E19:INDEX(Amendoim!$E19:$Z19,MIN(I$6-$E$3,22))),0))-IF($G$2,0,IF((I$6-$G$3)&lt;1,0,IFERROR(LOOKUP(2,1/(Amendoim!$E19:INDEX(Amendoim!$E19:$Z19,MIN(I$6-$G$3,22))&lt;&gt;""),Amendoim!$E19:INDEX(Amendoim!$E19:$Z19,MIN(I$6-$G$3,22))),0)))))</f>
        <v>0</v>
      </c>
      <c r="J21" s="27" t="n">
        <f aca="false">IF(COUNT(Amendoim!$E19:$Z19)=0,0,MAX(0,IF((J$6-$E$3)&lt;1,0,IFERROR(LOOKUP(2,1/(Amendoim!$E19:INDEX(Amendoim!$E19:$Z19,MIN(J$6-$E$3,22))&lt;&gt;""),Amendoim!$E19:INDEX(Amendoim!$E19:$Z19,MIN(J$6-$E$3,22))),0))-IF($G$2,0,IF((J$6-$G$3)&lt;1,0,IFERROR(LOOKUP(2,1/(Amendoim!$E19:INDEX(Amendoim!$E19:$Z19,MIN(J$6-$G$3,22))&lt;&gt;""),Amendoim!$E19:INDEX(Amendoim!$E19:$Z19,MIN(J$6-$G$3,22))),0)))))</f>
        <v>0</v>
      </c>
      <c r="K21" s="27" t="n">
        <f aca="false">IF(COUNT(Amendoim!$E19:$Z19)=0,0,MAX(0,IF((K$6-$E$3)&lt;1,0,IFERROR(LOOKUP(2,1/(Amendoim!$E19:INDEX(Amendoim!$E19:$Z19,MIN(K$6-$E$3,22))&lt;&gt;""),Amendoim!$E19:INDEX(Amendoim!$E19:$Z19,MIN(K$6-$E$3,22))),0))-IF($G$2,0,IF((K$6-$G$3)&lt;1,0,IFERROR(LOOKUP(2,1/(Amendoim!$E19:INDEX(Amendoim!$E19:$Z19,MIN(K$6-$G$3,22))&lt;&gt;""),Amendoim!$E19:INDEX(Amendoim!$E19:$Z19,MIN(K$6-$G$3,22))),0)))))</f>
        <v>0</v>
      </c>
      <c r="L21" s="27" t="n">
        <f aca="false">IF(COUNT(Amendoim!$E19:$Z19)=0,0,MAX(0,IF((L$6-$E$3)&lt;1,0,IFERROR(LOOKUP(2,1/(Amendoim!$E19:INDEX(Amendoim!$E19:$Z19,MIN(L$6-$E$3,22))&lt;&gt;""),Amendoim!$E19:INDEX(Amendoim!$E19:$Z19,MIN(L$6-$E$3,22))),0))-IF($G$2,0,IF((L$6-$G$3)&lt;1,0,IFERROR(LOOKUP(2,1/(Amendoim!$E19:INDEX(Amendoim!$E19:$Z19,MIN(L$6-$G$3,22))&lt;&gt;""),Amendoim!$E19:INDEX(Amendoim!$E19:$Z19,MIN(L$6-$G$3,22))),0)))))</f>
        <v>0</v>
      </c>
      <c r="M21" s="27" t="n">
        <f aca="false">IF(COUNT(Amendoim!$E19:$Z19)=0,0,MAX(0,IF((M$6-$E$3)&lt;1,0,IFERROR(LOOKUP(2,1/(Amendoim!$E19:INDEX(Amendoim!$E19:$Z19,MIN(M$6-$E$3,22))&lt;&gt;""),Amendoim!$E19:INDEX(Amendoim!$E19:$Z19,MIN(M$6-$E$3,22))),0))-IF($G$2,0,IF((M$6-$G$3)&lt;1,0,IFERROR(LOOKUP(2,1/(Amendoim!$E19:INDEX(Amendoim!$E19:$Z19,MIN(M$6-$G$3,22))&lt;&gt;""),Amendoim!$E19:INDEX(Amendoim!$E19:$Z19,MIN(M$6-$G$3,22))),0)))))</f>
        <v>0</v>
      </c>
      <c r="N21" s="27" t="n">
        <f aca="false">IF(COUNT(Amendoim!$E19:$Z19)=0,0,MAX(0,IF((N$6-$E$3)&lt;1,0,IFERROR(LOOKUP(2,1/(Amendoim!$E19:INDEX(Amendoim!$E19:$Z19,MIN(N$6-$E$3,22))&lt;&gt;""),Amendoim!$E19:INDEX(Amendoim!$E19:$Z19,MIN(N$6-$E$3,22))),0))-IF($G$2,0,IF((N$6-$G$3)&lt;1,0,IFERROR(LOOKUP(2,1/(Amendoim!$E19:INDEX(Amendoim!$E19:$Z19,MIN(N$6-$G$3,22))&lt;&gt;""),Amendoim!$E19:INDEX(Amendoim!$E19:$Z19,MIN(N$6-$G$3,22))),0)))))</f>
        <v>0</v>
      </c>
      <c r="O21" s="27" t="n">
        <f aca="false">IF(COUNT(Amendoim!$E19:$Z19)=0,0,MAX(0,IF((O$6-$E$3)&lt;1,0,IFERROR(LOOKUP(2,1/(Amendoim!$E19:INDEX(Amendoim!$E19:$Z19,MIN(O$6-$E$3,22))&lt;&gt;""),Amendoim!$E19:INDEX(Amendoim!$E19:$Z19,MIN(O$6-$E$3,22))),0))-IF($G$2,0,IF((O$6-$G$3)&lt;1,0,IFERROR(LOOKUP(2,1/(Amendoim!$E19:INDEX(Amendoim!$E19:$Z19,MIN(O$6-$G$3,22))&lt;&gt;""),Amendoim!$E19:INDEX(Amendoim!$E19:$Z19,MIN(O$6-$G$3,22))),0)))))</f>
        <v>0</v>
      </c>
      <c r="P21" s="27" t="n">
        <f aca="false">IF(COUNT(Amendoim!$E19:$Z19)=0,0,MAX(0,IF((P$6-$E$3)&lt;1,0,IFERROR(LOOKUP(2,1/(Amendoim!$E19:INDEX(Amendoim!$E19:$Z19,MIN(P$6-$E$3,22))&lt;&gt;""),Amendoim!$E19:INDEX(Amendoim!$E19:$Z19,MIN(P$6-$E$3,22))),0))-IF($G$2,0,IF((P$6-$G$3)&lt;1,0,IFERROR(LOOKUP(2,1/(Amendoim!$E19:INDEX(Amendoim!$E19:$Z19,MIN(P$6-$G$3,22))&lt;&gt;""),Amendoim!$E19:INDEX(Amendoim!$E19:$Z19,MIN(P$6-$G$3,22))),0)))))</f>
        <v>0</v>
      </c>
      <c r="Q21" s="27" t="n">
        <f aca="false">IF(COUNT(Amendoim!$E19:$Z19)=0,0,MAX(0,IF((Q$6-$E$3)&lt;1,0,IFERROR(LOOKUP(2,1/(Amendoim!$E19:INDEX(Amendoim!$E19:$Z19,MIN(Q$6-$E$3,22))&lt;&gt;""),Amendoim!$E19:INDEX(Amendoim!$E19:$Z19,MIN(Q$6-$E$3,22))),0))-IF($G$2,0,IF((Q$6-$G$3)&lt;1,0,IFERROR(LOOKUP(2,1/(Amendoim!$E19:INDEX(Amendoim!$E19:$Z19,MIN(Q$6-$G$3,22))&lt;&gt;""),Amendoim!$E19:INDEX(Amendoim!$E19:$Z19,MIN(Q$6-$G$3,22))),0)))))</f>
        <v>0</v>
      </c>
      <c r="R21" s="27" t="n">
        <f aca="false">IF(COUNT(Amendoim!$E19:$Z19)=0,0,MAX(0,IF((R$6-$E$3)&lt;1,0,IFERROR(LOOKUP(2,1/(Amendoim!$E19:INDEX(Amendoim!$E19:$Z19,MIN(R$6-$E$3,22))&lt;&gt;""),Amendoim!$E19:INDEX(Amendoim!$E19:$Z19,MIN(R$6-$E$3,22))),0))-IF($G$2,0,IF((R$6-$G$3)&lt;1,0,IFERROR(LOOKUP(2,1/(Amendoim!$E19:INDEX(Amendoim!$E19:$Z19,MIN(R$6-$G$3,22))&lt;&gt;""),Amendoim!$E19:INDEX(Amendoim!$E19:$Z19,MIN(R$6-$G$3,22))),0)))))</f>
        <v>0</v>
      </c>
      <c r="S21" s="27" t="n">
        <f aca="false">IF(COUNT(Amendoim!$E19:$Z19)=0,0,MAX(0,IF((S$6-$E$3)&lt;1,0,IFERROR(LOOKUP(2,1/(Amendoim!$E19:INDEX(Amendoim!$E19:$Z19,MIN(S$6-$E$3,22))&lt;&gt;""),Amendoim!$E19:INDEX(Amendoim!$E19:$Z19,MIN(S$6-$E$3,22))),0))-IF($G$2,0,IF((S$6-$G$3)&lt;1,0,IFERROR(LOOKUP(2,1/(Amendoim!$E19:INDEX(Amendoim!$E19:$Z19,MIN(S$6-$G$3,22))&lt;&gt;""),Amendoim!$E19:INDEX(Amendoim!$E19:$Z19,MIN(S$6-$G$3,22))),0)))))</f>
        <v>0</v>
      </c>
      <c r="T21" s="27" t="n">
        <f aca="false">IF(COUNT(Amendoim!$E19:$Z19)=0,0,MAX(0,IF((T$6-$E$3)&lt;1,0,IFERROR(LOOKUP(2,1/(Amendoim!$E19:INDEX(Amendoim!$E19:$Z19,MIN(T$6-$E$3,22))&lt;&gt;""),Amendoim!$E19:INDEX(Amendoim!$E19:$Z19,MIN(T$6-$E$3,22))),0))-IF($G$2,0,IF((T$6-$G$3)&lt;1,0,IFERROR(LOOKUP(2,1/(Amendoim!$E19:INDEX(Amendoim!$E19:$Z19,MIN(T$6-$G$3,22))&lt;&gt;""),Amendoim!$E19:INDEX(Amendoim!$E19:$Z19,MIN(T$6-$G$3,22))),0)))))</f>
        <v>0</v>
      </c>
      <c r="U21" s="27" t="n">
        <f aca="false">IF(COUNT(Amendoim!$E19:$Z19)=0,0,MAX(0,IF((U$6-$E$3)&lt;1,0,IFERROR(LOOKUP(2,1/(Amendoim!$E19:INDEX(Amendoim!$E19:$Z19,MIN(U$6-$E$3,22))&lt;&gt;""),Amendoim!$E19:INDEX(Amendoim!$E19:$Z19,MIN(U$6-$E$3,22))),0))-IF($G$2,0,IF((U$6-$G$3)&lt;1,0,IFERROR(LOOKUP(2,1/(Amendoim!$E19:INDEX(Amendoim!$E19:$Z19,MIN(U$6-$G$3,22))&lt;&gt;""),Amendoim!$E19:INDEX(Amendoim!$E19:$Z19,MIN(U$6-$G$3,22))),0)))))</f>
        <v>0</v>
      </c>
      <c r="V21" s="27" t="n">
        <f aca="false">IF(COUNT(Amendoim!$E19:$Z19)=0,0,MAX(0,IF((V$6-$E$3)&lt;1,0,IFERROR(LOOKUP(2,1/(Amendoim!$E19:INDEX(Amendoim!$E19:$Z19,MIN(V$6-$E$3,22))&lt;&gt;""),Amendoim!$E19:INDEX(Amendoim!$E19:$Z19,MIN(V$6-$E$3,22))),0))-IF($G$2,0,IF((V$6-$G$3)&lt;1,0,IFERROR(LOOKUP(2,1/(Amendoim!$E19:INDEX(Amendoim!$E19:$Z19,MIN(V$6-$G$3,22))&lt;&gt;""),Amendoim!$E19:INDEX(Amendoim!$E19:$Z19,MIN(V$6-$G$3,22))),0)))))</f>
        <v>0</v>
      </c>
      <c r="W21" s="27" t="n">
        <f aca="false">IF(COUNT(Amendoim!$E19:$Z19)=0,0,MAX(0,IF((W$6-$E$3)&lt;1,0,IFERROR(LOOKUP(2,1/(Amendoim!$E19:INDEX(Amendoim!$E19:$Z19,MIN(W$6-$E$3,22))&lt;&gt;""),Amendoim!$E19:INDEX(Amendoim!$E19:$Z19,MIN(W$6-$E$3,22))),0))-IF($G$2,0,IF((W$6-$G$3)&lt;1,0,IFERROR(LOOKUP(2,1/(Amendoim!$E19:INDEX(Amendoim!$E19:$Z19,MIN(W$6-$G$3,22))&lt;&gt;""),Amendoim!$E19:INDEX(Amendoim!$E19:$Z19,MIN(W$6-$G$3,22))),0)))))</f>
        <v>0</v>
      </c>
      <c r="X21" s="27" t="n">
        <f aca="false">IF(COUNT(Amendoim!$E19:$Z19)=0,0,MAX(0,IF((X$6-$E$3)&lt;1,0,IFERROR(LOOKUP(2,1/(Amendoim!$E19:INDEX(Amendoim!$E19:$Z19,MIN(X$6-$E$3,22))&lt;&gt;""),Amendoim!$E19:INDEX(Amendoim!$E19:$Z19,MIN(X$6-$E$3,22))),0))-IF($G$2,0,IF((X$6-$G$3)&lt;1,0,IFERROR(LOOKUP(2,1/(Amendoim!$E19:INDEX(Amendoim!$E19:$Z19,MIN(X$6-$G$3,22))&lt;&gt;""),Amendoim!$E19:INDEX(Amendoim!$E19:$Z19,MIN(X$6-$G$3,22))),0)))))</f>
        <v>0</v>
      </c>
      <c r="Y21" s="27" t="n">
        <f aca="false">IF(COUNT(Amendoim!$E19:$Z19)=0,0,MAX(0,IF((Y$6-$E$3)&lt;1,0,IFERROR(LOOKUP(2,1/(Amendoim!$E19:INDEX(Amendoim!$E19:$Z19,MIN(Y$6-$E$3,22))&lt;&gt;""),Amendoim!$E19:INDEX(Amendoim!$E19:$Z19,MIN(Y$6-$E$3,22))),0))-IF($G$2,0,IF((Y$6-$G$3)&lt;1,0,IFERROR(LOOKUP(2,1/(Amendoim!$E19:INDEX(Amendoim!$E19:$Z19,MIN(Y$6-$G$3,22))&lt;&gt;""),Amendoim!$E19:INDEX(Amendoim!$E19:$Z19,MIN(Y$6-$G$3,22))),0)))))</f>
        <v>0</v>
      </c>
      <c r="Z21" s="27" t="n">
        <f aca="false">IF(COUNT(Amendoim!$E19:$Z19)=0,0,MAX(0,IF((Z$6-$E$3)&lt;1,0,IFERROR(LOOKUP(2,1/(Amendoim!$E19:INDEX(Amendoim!$E19:$Z19,MIN(Z$6-$E$3,22))&lt;&gt;""),Amendoim!$E19:INDEX(Amendoim!$E19:$Z19,MIN(Z$6-$E$3,22))),0))-IF($G$2,0,IF((Z$6-$G$3)&lt;1,0,IFERROR(LOOKUP(2,1/(Amendoim!$E19:INDEX(Amendoim!$E19:$Z19,MIN(Z$6-$G$3,22))&lt;&gt;""),Amendoim!$E19:INDEX(Amendoim!$E19:$Z19,MIN(Z$6-$G$3,22))),0)))))</f>
        <v>0</v>
      </c>
      <c r="AA21" s="27" t="n">
        <f aca="false">IF(COUNT(Amendoim!$E19:$Z19)=0,0,MAX(0,IF((AA$6-$E$3)&lt;1,0,IFERROR(LOOKUP(2,1/(Amendoim!$E19:INDEX(Amendoim!$E19:$Z19,MIN(AA$6-$E$3,22))&lt;&gt;""),Amendoim!$E19:INDEX(Amendoim!$E19:$Z19,MIN(AA$6-$E$3,22))),0))-IF($G$2,0,IF((AA$6-$G$3)&lt;1,0,IFERROR(LOOKUP(2,1/(Amendoim!$E19:INDEX(Amendoim!$E19:$Z19,MIN(AA$6-$G$3,22))&lt;&gt;""),Amendoim!$E19:INDEX(Amendoim!$E19:$Z19,MIN(AA$6-$G$3,22))),0)))))</f>
        <v>0</v>
      </c>
      <c r="AB21" s="27" t="n">
        <f aca="false">IF(COUNT(Amendoim!$E19:$Z19)=0,0,MAX(0,IF((AB$6-$E$3)&lt;1,0,IFERROR(LOOKUP(2,1/(Amendoim!$E19:INDEX(Amendoim!$E19:$Z19,MIN(AB$6-$E$3,22))&lt;&gt;""),Amendoim!$E19:INDEX(Amendoim!$E19:$Z19,MIN(AB$6-$E$3,22))),0))-IF($G$2,0,IF((AB$6-$G$3)&lt;1,0,IFERROR(LOOKUP(2,1/(Amendoim!$E19:INDEX(Amendoim!$E19:$Z19,MIN(AB$6-$G$3,22))&lt;&gt;""),Amendoim!$E19:INDEX(Amendoim!$E19:$Z19,MIN(AB$6-$G$3,22))),0)))))</f>
        <v>0</v>
      </c>
      <c r="AC21" s="27" t="n">
        <f aca="false">IF(COUNT(Amendoim!$E19:$Z19)=0,0,MAX(0,IF((AC$6-$E$3)&lt;1,0,IFERROR(LOOKUP(2,1/(Amendoim!$E19:INDEX(Amendoim!$E19:$Z19,MIN(AC$6-$E$3,22))&lt;&gt;""),Amendoim!$E19:INDEX(Amendoim!$E19:$Z19,MIN(AC$6-$E$3,22))),0))-IF($G$2,0,IF((AC$6-$G$3)&lt;1,0,IFERROR(LOOKUP(2,1/(Amendoim!$E19:INDEX(Amendoim!$E19:$Z19,MIN(AC$6-$G$3,22))&lt;&gt;""),Amendoim!$E19:INDEX(Amendoim!$E19:$Z19,MIN(AC$6-$G$3,22))),0)))))</f>
        <v>0</v>
      </c>
      <c r="AD21" s="27" t="n">
        <f aca="false">IF(COUNT(Amendoim!$E19:$Z19)=0,0,MAX(0,IF((AD$6-$E$3)&lt;1,0,IFERROR(LOOKUP(2,1/(Amendoim!$E19:INDEX(Amendoim!$E19:$Z19,MIN(AD$6-$E$3,22))&lt;&gt;""),Amendoim!$E19:INDEX(Amendoim!$E19:$Z19,MIN(AD$6-$E$3,22))),0))-IF($G$2,0,IF((AD$6-$G$3)&lt;1,0,IFERROR(LOOKUP(2,1/(Amendoim!$E19:INDEX(Amendoim!$E19:$Z19,MIN(AD$6-$G$3,22))&lt;&gt;""),Amendoim!$E19:INDEX(Amendoim!$E19:$Z19,MIN(AD$6-$G$3,22))),0)))))</f>
        <v>0</v>
      </c>
      <c r="AE21" s="27" t="n">
        <f aca="false">IF(COUNT(Amendoim!$E19:$Z19)=0,0,MAX(0,IF((AE$6-$E$3)&lt;1,0,IFERROR(LOOKUP(2,1/(Amendoim!$E19:INDEX(Amendoim!$E19:$Z19,MIN(AE$6-$E$3,22))&lt;&gt;""),Amendoim!$E19:INDEX(Amendoim!$E19:$Z19,MIN(AE$6-$E$3,22))),0))-IF($G$2,0,IF((AE$6-$G$3)&lt;1,0,IFERROR(LOOKUP(2,1/(Amendoim!$E19:INDEX(Amendoim!$E19:$Z19,MIN(AE$6-$G$3,22))&lt;&gt;""),Amendoim!$E19:INDEX(Amendoim!$E19:$Z19,MIN(AE$6-$G$3,22))),0)))))</f>
        <v>0</v>
      </c>
      <c r="AF21" s="27" t="n">
        <f aca="false">IF(COUNT(Amendoim!$E19:$Z19)=0,0,MAX(0,IF((AF$6-$E$3)&lt;1,0,IFERROR(LOOKUP(2,1/(Amendoim!$E19:INDEX(Amendoim!$E19:$Z19,MIN(AF$6-$E$3,22))&lt;&gt;""),Amendoim!$E19:INDEX(Amendoim!$E19:$Z19,MIN(AF$6-$E$3,22))),0))-IF($G$2,0,IF((AF$6-$G$3)&lt;1,0,IFERROR(LOOKUP(2,1/(Amendoim!$E19:INDEX(Amendoim!$E19:$Z19,MIN(AF$6-$G$3,22))&lt;&gt;""),Amendoim!$E19:INDEX(Amendoim!$E19:$Z19,MIN(AF$6-$G$3,22))),0)))))</f>
        <v>0</v>
      </c>
      <c r="AG21" s="27" t="n">
        <f aca="false">IF(COUNT(Amendoim!$E19:$Z19)=0,0,MAX(0,IF((AG$6-$E$3)&lt;1,0,IFERROR(LOOKUP(2,1/(Amendoim!$E19:INDEX(Amendoim!$E19:$Z19,MIN(AG$6-$E$3,22))&lt;&gt;""),Amendoim!$E19:INDEX(Amendoim!$E19:$Z19,MIN(AG$6-$E$3,22))),0))-IF($G$2,0,IF((AG$6-$G$3)&lt;1,0,IFERROR(LOOKUP(2,1/(Amendoim!$E19:INDEX(Amendoim!$E19:$Z19,MIN(AG$6-$G$3,22))&lt;&gt;""),Amendoim!$E19:INDEX(Amendoim!$E19:$Z19,MIN(AG$6-$G$3,22))),0)))))</f>
        <v>0</v>
      </c>
      <c r="AH21" s="27" t="n">
        <f aca="false">IF(COUNT(Amendoim!$E19:$Z19)=0,0,MAX(0,IF((AH$6-$E$3)&lt;1,0,IFERROR(LOOKUP(2,1/(Amendoim!$E19:INDEX(Amendoim!$E19:$Z19,MIN(AH$6-$E$3,22))&lt;&gt;""),Amendoim!$E19:INDEX(Amendoim!$E19:$Z19,MIN(AH$6-$E$3,22))),0))-IF($G$2,0,IF((AH$6-$G$3)&lt;1,0,IFERROR(LOOKUP(2,1/(Amendoim!$E19:INDEX(Amendoim!$E19:$Z19,MIN(AH$6-$G$3,22))&lt;&gt;""),Amendoim!$E19:INDEX(Amendoim!$E19:$Z19,MIN(AH$6-$G$3,22))),0)))))</f>
        <v>0</v>
      </c>
      <c r="AI21" s="27" t="n">
        <f aca="false">IF(COUNT(Amendoim!$E19:$Z19)=0,0,MAX(0,IF((AI$6-$E$3)&lt;1,0,IFERROR(LOOKUP(2,1/(Amendoim!$E19:INDEX(Amendoim!$E19:$Z19,MIN(AI$6-$E$3,22))&lt;&gt;""),Amendoim!$E19:INDEX(Amendoim!$E19:$Z19,MIN(AI$6-$E$3,22))),0))-IF($G$2,0,IF((AI$6-$G$3)&lt;1,0,IFERROR(LOOKUP(2,1/(Amendoim!$E19:INDEX(Amendoim!$E19:$Z19,MIN(AI$6-$G$3,22))&lt;&gt;""),Amendoim!$E19:INDEX(Amendoim!$E19:$Z19,MIN(AI$6-$G$3,22))),0)))))</f>
        <v>0</v>
      </c>
      <c r="AJ21" s="27" t="n">
        <f aca="false">IF(COUNT(Amendoim!$E19:$Z19)=0,0,MAX(0,IF((AJ$6-$E$3)&lt;1,0,IFERROR(LOOKUP(2,1/(Amendoim!$E19:INDEX(Amendoim!$E19:$Z19,MIN(AJ$6-$E$3,22))&lt;&gt;""),Amendoim!$E19:INDEX(Amendoim!$E19:$Z19,MIN(AJ$6-$E$3,22))),0))-IF($G$2,0,IF((AJ$6-$G$3)&lt;1,0,IFERROR(LOOKUP(2,1/(Amendoim!$E19:INDEX(Amendoim!$E19:$Z19,MIN(AJ$6-$G$3,22))&lt;&gt;""),Amendoim!$E19:INDEX(Amendoim!$E19:$Z19,MIN(AJ$6-$G$3,22))),0)))))</f>
        <v>0</v>
      </c>
      <c r="AK21" s="27" t="n">
        <f aca="false">IF(COUNT(Amendoim!$E19:$Z19)=0,0,MAX(0,IF((AK$6-$E$3)&lt;1,0,IFERROR(LOOKUP(2,1/(Amendoim!$E19:INDEX(Amendoim!$E19:$Z19,MIN(AK$6-$E$3,22))&lt;&gt;""),Amendoim!$E19:INDEX(Amendoim!$E19:$Z19,MIN(AK$6-$E$3,22))),0))-IF($G$2,0,IF((AK$6-$G$3)&lt;1,0,IFERROR(LOOKUP(2,1/(Amendoim!$E19:INDEX(Amendoim!$E19:$Z19,MIN(AK$6-$G$3,22))&lt;&gt;""),Amendoim!$E19:INDEX(Amendoim!$E19:$Z19,MIN(AK$6-$G$3,22))),0)))))</f>
        <v>0</v>
      </c>
      <c r="AL21" s="27" t="n">
        <f aca="false">IF(COUNT(Amendoim!$E19:$Z19)=0,0,MAX(0,IF((AL$6-$E$3)&lt;1,0,IFERROR(LOOKUP(2,1/(Amendoim!$E19:INDEX(Amendoim!$E19:$Z19,MIN(AL$6-$E$3,22))&lt;&gt;""),Amendoim!$E19:INDEX(Amendoim!$E19:$Z19,MIN(AL$6-$E$3,22))),0))-IF($G$2,0,IF((AL$6-$G$3)&lt;1,0,IFERROR(LOOKUP(2,1/(Amendoim!$E19:INDEX(Amendoim!$E19:$Z19,MIN(AL$6-$G$3,22))&lt;&gt;""),Amendoim!$E19:INDEX(Amendoim!$E19:$Z19,MIN(AL$6-$G$3,22))),0)))))</f>
        <v>0</v>
      </c>
      <c r="AM21" s="27" t="n">
        <f aca="false">IF(COUNT(Amendoim!$E19:$Z19)=0,0,MAX(0,IF((AM$6-$E$3)&lt;1,0,IFERROR(LOOKUP(2,1/(Amendoim!$E19:INDEX(Amendoim!$E19:$Z19,MIN(AM$6-$E$3,22))&lt;&gt;""),Amendoim!$E19:INDEX(Amendoim!$E19:$Z19,MIN(AM$6-$E$3,22))),0))-IF($G$2,0,IF((AM$6-$G$3)&lt;1,0,IFERROR(LOOKUP(2,1/(Amendoim!$E19:INDEX(Amendoim!$E19:$Z19,MIN(AM$6-$G$3,22))&lt;&gt;""),Amendoim!$E19:INDEX(Amendoim!$E19:$Z19,MIN(AM$6-$G$3,22))),0)))))</f>
        <v>0</v>
      </c>
      <c r="AN21" s="27" t="n">
        <f aca="false">IF(COUNT(Amendoim!$E19:$Z19)=0,0,MAX(0,IF((AN$6-$E$3)&lt;1,0,IFERROR(LOOKUP(2,1/(Amendoim!$E19:INDEX(Amendoim!$E19:$Z19,MIN(AN$6-$E$3,22))&lt;&gt;""),Amendoim!$E19:INDEX(Amendoim!$E19:$Z19,MIN(AN$6-$E$3,22))),0))-IF($G$2,0,IF((AN$6-$G$3)&lt;1,0,IFERROR(LOOKUP(2,1/(Amendoim!$E19:INDEX(Amendoim!$E19:$Z19,MIN(AN$6-$G$3,22))&lt;&gt;""),Amendoim!$E19:INDEX(Amendoim!$E19:$Z19,MIN(AN$6-$G$3,22))),0)))))</f>
        <v>0</v>
      </c>
      <c r="AO21" s="27" t="n">
        <f aca="false">IF(COUNT(Amendoim!$E19:$Z19)=0,0,MAX(0,IF((AO$6-$E$3)&lt;1,0,IFERROR(LOOKUP(2,1/(Amendoim!$E19:INDEX(Amendoim!$E19:$Z19,MIN(AO$6-$E$3,22))&lt;&gt;""),Amendoim!$E19:INDEX(Amendoim!$E19:$Z19,MIN(AO$6-$E$3,22))),0))-IF($G$2,0,IF((AO$6-$G$3)&lt;1,0,IFERROR(LOOKUP(2,1/(Amendoim!$E19:INDEX(Amendoim!$E19:$Z19,MIN(AO$6-$G$3,22))&lt;&gt;""),Amendoim!$E19:INDEX(Amendoim!$E19:$Z19,MIN(AO$6-$G$3,22))),0)))))</f>
        <v>0</v>
      </c>
      <c r="AP21" s="27" t="n">
        <f aca="false">IF(COUNT(Amendoim!$E19:$Z19)=0,0,MAX(0,IF((AP$6-$E$3)&lt;1,0,IFERROR(LOOKUP(2,1/(Amendoim!$E19:INDEX(Amendoim!$E19:$Z19,MIN(AP$6-$E$3,22))&lt;&gt;""),Amendoim!$E19:INDEX(Amendoim!$E19:$Z19,MIN(AP$6-$E$3,22))),0))-IF($G$2,0,IF((AP$6-$G$3)&lt;1,0,IFERROR(LOOKUP(2,1/(Amendoim!$E19:INDEX(Amendoim!$E19:$Z19,MIN(AP$6-$G$3,22))&lt;&gt;""),Amendoim!$E19:INDEX(Amendoim!$E19:$Z19,MIN(AP$6-$G$3,22))),0)))))</f>
        <v>0</v>
      </c>
      <c r="AQ21" s="27" t="n">
        <f aca="false">IF(COUNT(Amendoim!$E19:$Z19)=0,0,MAX(0,IF((AQ$6-$E$3)&lt;1,0,IFERROR(LOOKUP(2,1/(Amendoim!$E19:INDEX(Amendoim!$E19:$Z19,MIN(AQ$6-$E$3,22))&lt;&gt;""),Amendoim!$E19:INDEX(Amendoim!$E19:$Z19,MIN(AQ$6-$E$3,22))),0))-IF($G$2,0,IF((AQ$6-$G$3)&lt;1,0,IFERROR(LOOKUP(2,1/(Amendoim!$E19:INDEX(Amendoim!$E19:$Z19,MIN(AQ$6-$G$3,22))&lt;&gt;""),Amendoim!$E19:INDEX(Amendoim!$E19:$Z19,MIN(AQ$6-$G$3,22))),0)))))</f>
        <v>0</v>
      </c>
      <c r="AR21" s="27" t="n">
        <f aca="false">IF(COUNT(Amendoim!$E19:$Z19)=0,0,MAX(0,IF((AR$6-$E$3)&lt;1,0,IFERROR(LOOKUP(2,1/(Amendoim!$E19:INDEX(Amendoim!$E19:$Z19,MIN(AR$6-$E$3,22))&lt;&gt;""),Amendoim!$E19:INDEX(Amendoim!$E19:$Z19,MIN(AR$6-$E$3,22))),0))-IF($G$2,0,IF((AR$6-$G$3)&lt;1,0,IFERROR(LOOKUP(2,1/(Amendoim!$E19:INDEX(Amendoim!$E19:$Z19,MIN(AR$6-$G$3,22))&lt;&gt;""),Amendoim!$E19:INDEX(Amendoim!$E19:$Z19,MIN(AR$6-$G$3,22))),0)))))</f>
        <v>0</v>
      </c>
      <c r="AS21" s="27" t="n">
        <f aca="false">IF(COUNT(Amendoim!$E19:$Z19)=0,0,MAX(0,IF((AS$6-$E$3)&lt;1,0,IFERROR(LOOKUP(2,1/(Amendoim!$E19:INDEX(Amendoim!$E19:$Z19,MIN(AS$6-$E$3,22))&lt;&gt;""),Amendoim!$E19:INDEX(Amendoim!$E19:$Z19,MIN(AS$6-$E$3,22))),0))-IF($G$2,0,IF((AS$6-$G$3)&lt;1,0,IFERROR(LOOKUP(2,1/(Amendoim!$E19:INDEX(Amendoim!$E19:$Z19,MIN(AS$6-$G$3,22))&lt;&gt;""),Amendoim!$E19:INDEX(Amendoim!$E19:$Z19,MIN(AS$6-$G$3,22))),0)))))</f>
        <v>0</v>
      </c>
      <c r="AT21" s="27" t="n">
        <f aca="false">IF(COUNT(Amendoim!$E19:$Z19)=0,0,MAX(0,IF((AT$6-$E$3)&lt;1,0,IFERROR(LOOKUP(2,1/(Amendoim!$E19:INDEX(Amendoim!$E19:$Z19,MIN(AT$6-$E$3,22))&lt;&gt;""),Amendoim!$E19:INDEX(Amendoim!$E19:$Z19,MIN(AT$6-$E$3,22))),0))-IF($G$2,0,IF((AT$6-$G$3)&lt;1,0,IFERROR(LOOKUP(2,1/(Amendoim!$E19:INDEX(Amendoim!$E19:$Z19,MIN(AT$6-$G$3,22))&lt;&gt;""),Amendoim!$E19:INDEX(Amendoim!$E19:$Z19,MIN(AT$6-$G$3,22))),0)))))</f>
        <v>0</v>
      </c>
      <c r="AU21" s="27" t="n">
        <f aca="false">IF(COUNT(Amendoim!$E19:$Z19)=0,0,MAX(0,IF((AU$6-$E$3)&lt;1,0,IFERROR(LOOKUP(2,1/(Amendoim!$E19:INDEX(Amendoim!$E19:$Z19,MIN(AU$6-$E$3,22))&lt;&gt;""),Amendoim!$E19:INDEX(Amendoim!$E19:$Z19,MIN(AU$6-$E$3,22))),0))-IF($G$2,0,IF((AU$6-$G$3)&lt;1,0,IFERROR(LOOKUP(2,1/(Amendoim!$E19:INDEX(Amendoim!$E19:$Z19,MIN(AU$6-$G$3,22))&lt;&gt;""),Amendoim!$E19:INDEX(Amendoim!$E19:$Z19,MIN(AU$6-$G$3,22))),0)))))</f>
        <v>0</v>
      </c>
      <c r="AV21" s="27" t="n">
        <f aca="false">IF(COUNT(Amendoim!$E19:$Z19)=0,0,MAX(0,IF((AV$6-$E$3)&lt;1,0,IFERROR(LOOKUP(2,1/(Amendoim!$E19:INDEX(Amendoim!$E19:$Z19,MIN(AV$6-$E$3,22))&lt;&gt;""),Amendoim!$E19:INDEX(Amendoim!$E19:$Z19,MIN(AV$6-$E$3,22))),0))-IF($G$2,0,IF((AV$6-$G$3)&lt;1,0,IFERROR(LOOKUP(2,1/(Amendoim!$E19:INDEX(Amendoim!$E19:$Z19,MIN(AV$6-$G$3,22))&lt;&gt;""),Amendoim!$E19:INDEX(Amendoim!$E19:$Z19,MIN(AV$6-$G$3,22))),0)))))</f>
        <v>0</v>
      </c>
      <c r="AW21" s="27" t="n">
        <f aca="false">IF(COUNT(Amendoim!$E19:$Z19)=0,0,MAX(0,IF((AW$6-$E$3)&lt;1,0,IFERROR(LOOKUP(2,1/(Amendoim!$E19:INDEX(Amendoim!$E19:$Z19,MIN(AW$6-$E$3,22))&lt;&gt;""),Amendoim!$E19:INDEX(Amendoim!$E19:$Z19,MIN(AW$6-$E$3,22))),0))-IF($G$2,0,IF((AW$6-$G$3)&lt;1,0,IFERROR(LOOKUP(2,1/(Amendoim!$E19:INDEX(Amendoim!$E19:$Z19,MIN(AW$6-$G$3,22))&lt;&gt;""),Amendoim!$E19:INDEX(Amendoim!$E19:$Z19,MIN(AW$6-$G$3,22))),0)))))</f>
        <v>0</v>
      </c>
      <c r="AX21" s="27" t="n">
        <f aca="false">IF(COUNT(Amendoim!$E19:$Z19)=0,0,MAX(0,IF((AX$6-$E$3)&lt;1,0,IFERROR(LOOKUP(2,1/(Amendoim!$E19:INDEX(Amendoim!$E19:$Z19,MIN(AX$6-$E$3,22))&lt;&gt;""),Amendoim!$E19:INDEX(Amendoim!$E19:$Z19,MIN(AX$6-$E$3,22))),0))-IF($G$2,0,IF((AX$6-$G$3)&lt;1,0,IFERROR(LOOKUP(2,1/(Amendoim!$E19:INDEX(Amendoim!$E19:$Z19,MIN(AX$6-$G$3,22))&lt;&gt;""),Amendoim!$E19:INDEX(Amendoim!$E19:$Z19,MIN(AX$6-$G$3,22))),0)))))</f>
        <v>0</v>
      </c>
      <c r="AY21" s="27" t="n">
        <f aca="false">IF(COUNT(Amendoim!$E19:$Z19)=0,0,MAX(0,IF((AY$6-$E$3)&lt;1,0,IFERROR(LOOKUP(2,1/(Amendoim!$E19:INDEX(Amendoim!$E19:$Z19,MIN(AY$6-$E$3,22))&lt;&gt;""),Amendoim!$E19:INDEX(Amendoim!$E19:$Z19,MIN(AY$6-$E$3,22))),0))-IF($G$2,0,IF((AY$6-$G$3)&lt;1,0,IFERROR(LOOKUP(2,1/(Amendoim!$E19:INDEX(Amendoim!$E19:$Z19,MIN(AY$6-$G$3,22))&lt;&gt;""),Amendoim!$E19:INDEX(Amendoim!$E19:$Z19,MIN(AY$6-$G$3,22))),0)))))</f>
        <v>0</v>
      </c>
      <c r="AZ21" s="27" t="n">
        <f aca="false">IF(COUNT(Amendoim!$E19:$Z19)=0,0,MAX(0,IF((AZ$6-$E$3)&lt;1,0,IFERROR(LOOKUP(2,1/(Amendoim!$E19:INDEX(Amendoim!$E19:$Z19,MIN(AZ$6-$E$3,22))&lt;&gt;""),Amendoim!$E19:INDEX(Amendoim!$E19:$Z19,MIN(AZ$6-$E$3,22))),0))-IF($G$2,0,IF((AZ$6-$G$3)&lt;1,0,IFERROR(LOOKUP(2,1/(Amendoim!$E19:INDEX(Amendoim!$E19:$Z19,MIN(AZ$6-$G$3,22))&lt;&gt;""),Amendoim!$E19:INDEX(Amendoim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IF(COUNT(Amendoim!$E20:$Z20)&gt;0,N(Amendoim!$D20),0)</f>
        <v>0</v>
      </c>
      <c r="E22" s="27" t="n">
        <f aca="false">IF(COUNT(Amendoim!$E20:$Z20)=0,0,MAX(0,IF((E$6-$E$3)&lt;1,0,IFERROR(LOOKUP(2,1/(Amendoim!$E20:INDEX(Amendoim!$E20:$Z20,MIN(E$6-$E$3,22))&lt;&gt;""),Amendoim!$E20:INDEX(Amendoim!$E20:$Z20,MIN(E$6-$E$3,22))),0))-IF($G$2,0,IF((E$6-$G$3)&lt;1,0,IFERROR(LOOKUP(2,1/(Amendoim!$E20:INDEX(Amendoim!$E20:$Z20,MIN(E$6-$G$3,22))&lt;&gt;""),Amendoim!$E20:INDEX(Amendoim!$E20:$Z20,MIN(E$6-$G$3,22))),0)))))</f>
        <v>0</v>
      </c>
      <c r="F22" s="27" t="n">
        <f aca="false">IF(COUNT(Amendoim!$E20:$Z20)=0,0,MAX(0,IF((F$6-$E$3)&lt;1,0,IFERROR(LOOKUP(2,1/(Amendoim!$E20:INDEX(Amendoim!$E20:$Z20,MIN(F$6-$E$3,22))&lt;&gt;""),Amendoim!$E20:INDEX(Amendoim!$E20:$Z20,MIN(F$6-$E$3,22))),0))-IF($G$2,0,IF((F$6-$G$3)&lt;1,0,IFERROR(LOOKUP(2,1/(Amendoim!$E20:INDEX(Amendoim!$E20:$Z20,MIN(F$6-$G$3,22))&lt;&gt;""),Amendoim!$E20:INDEX(Amendoim!$E20:$Z20,MIN(F$6-$G$3,22))),0)))))</f>
        <v>0</v>
      </c>
      <c r="G22" s="27" t="n">
        <f aca="false">IF(COUNT(Amendoim!$E20:$Z20)=0,0,MAX(0,IF((G$6-$E$3)&lt;1,0,IFERROR(LOOKUP(2,1/(Amendoim!$E20:INDEX(Amendoim!$E20:$Z20,MIN(G$6-$E$3,22))&lt;&gt;""),Amendoim!$E20:INDEX(Amendoim!$E20:$Z20,MIN(G$6-$E$3,22))),0))-IF($G$2,0,IF((G$6-$G$3)&lt;1,0,IFERROR(LOOKUP(2,1/(Amendoim!$E20:INDEX(Amendoim!$E20:$Z20,MIN(G$6-$G$3,22))&lt;&gt;""),Amendoim!$E20:INDEX(Amendoim!$E20:$Z20,MIN(G$6-$G$3,22))),0)))))</f>
        <v>0</v>
      </c>
      <c r="H22" s="27" t="n">
        <f aca="false">IF(COUNT(Amendoim!$E20:$Z20)=0,0,MAX(0,IF((H$6-$E$3)&lt;1,0,IFERROR(LOOKUP(2,1/(Amendoim!$E20:INDEX(Amendoim!$E20:$Z20,MIN(H$6-$E$3,22))&lt;&gt;""),Amendoim!$E20:INDEX(Amendoim!$E20:$Z20,MIN(H$6-$E$3,22))),0))-IF($G$2,0,IF((H$6-$G$3)&lt;1,0,IFERROR(LOOKUP(2,1/(Amendoim!$E20:INDEX(Amendoim!$E20:$Z20,MIN(H$6-$G$3,22))&lt;&gt;""),Amendoim!$E20:INDEX(Amendoim!$E20:$Z20,MIN(H$6-$G$3,22))),0)))))</f>
        <v>0</v>
      </c>
      <c r="I22" s="27" t="n">
        <f aca="false">IF(COUNT(Amendoim!$E20:$Z20)=0,0,MAX(0,IF((I$6-$E$3)&lt;1,0,IFERROR(LOOKUP(2,1/(Amendoim!$E20:INDEX(Amendoim!$E20:$Z20,MIN(I$6-$E$3,22))&lt;&gt;""),Amendoim!$E20:INDEX(Amendoim!$E20:$Z20,MIN(I$6-$E$3,22))),0))-IF($G$2,0,IF((I$6-$G$3)&lt;1,0,IFERROR(LOOKUP(2,1/(Amendoim!$E20:INDEX(Amendoim!$E20:$Z20,MIN(I$6-$G$3,22))&lt;&gt;""),Amendoim!$E20:INDEX(Amendoim!$E20:$Z20,MIN(I$6-$G$3,22))),0)))))</f>
        <v>0</v>
      </c>
      <c r="J22" s="27" t="n">
        <f aca="false">IF(COUNT(Amendoim!$E20:$Z20)=0,0,MAX(0,IF((J$6-$E$3)&lt;1,0,IFERROR(LOOKUP(2,1/(Amendoim!$E20:INDEX(Amendoim!$E20:$Z20,MIN(J$6-$E$3,22))&lt;&gt;""),Amendoim!$E20:INDEX(Amendoim!$E20:$Z20,MIN(J$6-$E$3,22))),0))-IF($G$2,0,IF((J$6-$G$3)&lt;1,0,IFERROR(LOOKUP(2,1/(Amendoim!$E20:INDEX(Amendoim!$E20:$Z20,MIN(J$6-$G$3,22))&lt;&gt;""),Amendoim!$E20:INDEX(Amendoim!$E20:$Z20,MIN(J$6-$G$3,22))),0)))))</f>
        <v>0</v>
      </c>
      <c r="K22" s="27" t="n">
        <f aca="false">IF(COUNT(Amendoim!$E20:$Z20)=0,0,MAX(0,IF((K$6-$E$3)&lt;1,0,IFERROR(LOOKUP(2,1/(Amendoim!$E20:INDEX(Amendoim!$E20:$Z20,MIN(K$6-$E$3,22))&lt;&gt;""),Amendoim!$E20:INDEX(Amendoim!$E20:$Z20,MIN(K$6-$E$3,22))),0))-IF($G$2,0,IF((K$6-$G$3)&lt;1,0,IFERROR(LOOKUP(2,1/(Amendoim!$E20:INDEX(Amendoim!$E20:$Z20,MIN(K$6-$G$3,22))&lt;&gt;""),Amendoim!$E20:INDEX(Amendoim!$E20:$Z20,MIN(K$6-$G$3,22))),0)))))</f>
        <v>0</v>
      </c>
      <c r="L22" s="27" t="n">
        <f aca="false">IF(COUNT(Amendoim!$E20:$Z20)=0,0,MAX(0,IF((L$6-$E$3)&lt;1,0,IFERROR(LOOKUP(2,1/(Amendoim!$E20:INDEX(Amendoim!$E20:$Z20,MIN(L$6-$E$3,22))&lt;&gt;""),Amendoim!$E20:INDEX(Amendoim!$E20:$Z20,MIN(L$6-$E$3,22))),0))-IF($G$2,0,IF((L$6-$G$3)&lt;1,0,IFERROR(LOOKUP(2,1/(Amendoim!$E20:INDEX(Amendoim!$E20:$Z20,MIN(L$6-$G$3,22))&lt;&gt;""),Amendoim!$E20:INDEX(Amendoim!$E20:$Z20,MIN(L$6-$G$3,22))),0)))))</f>
        <v>0</v>
      </c>
      <c r="M22" s="27" t="n">
        <f aca="false">IF(COUNT(Amendoim!$E20:$Z20)=0,0,MAX(0,IF((M$6-$E$3)&lt;1,0,IFERROR(LOOKUP(2,1/(Amendoim!$E20:INDEX(Amendoim!$E20:$Z20,MIN(M$6-$E$3,22))&lt;&gt;""),Amendoim!$E20:INDEX(Amendoim!$E20:$Z20,MIN(M$6-$E$3,22))),0))-IF($G$2,0,IF((M$6-$G$3)&lt;1,0,IFERROR(LOOKUP(2,1/(Amendoim!$E20:INDEX(Amendoim!$E20:$Z20,MIN(M$6-$G$3,22))&lt;&gt;""),Amendoim!$E20:INDEX(Amendoim!$E20:$Z20,MIN(M$6-$G$3,22))),0)))))</f>
        <v>0</v>
      </c>
      <c r="N22" s="27" t="n">
        <f aca="false">IF(COUNT(Amendoim!$E20:$Z20)=0,0,MAX(0,IF((N$6-$E$3)&lt;1,0,IFERROR(LOOKUP(2,1/(Amendoim!$E20:INDEX(Amendoim!$E20:$Z20,MIN(N$6-$E$3,22))&lt;&gt;""),Amendoim!$E20:INDEX(Amendoim!$E20:$Z20,MIN(N$6-$E$3,22))),0))-IF($G$2,0,IF((N$6-$G$3)&lt;1,0,IFERROR(LOOKUP(2,1/(Amendoim!$E20:INDEX(Amendoim!$E20:$Z20,MIN(N$6-$G$3,22))&lt;&gt;""),Amendoim!$E20:INDEX(Amendoim!$E20:$Z20,MIN(N$6-$G$3,22))),0)))))</f>
        <v>0</v>
      </c>
      <c r="O22" s="27" t="n">
        <f aca="false">IF(COUNT(Amendoim!$E20:$Z20)=0,0,MAX(0,IF((O$6-$E$3)&lt;1,0,IFERROR(LOOKUP(2,1/(Amendoim!$E20:INDEX(Amendoim!$E20:$Z20,MIN(O$6-$E$3,22))&lt;&gt;""),Amendoim!$E20:INDEX(Amendoim!$E20:$Z20,MIN(O$6-$E$3,22))),0))-IF($G$2,0,IF((O$6-$G$3)&lt;1,0,IFERROR(LOOKUP(2,1/(Amendoim!$E20:INDEX(Amendoim!$E20:$Z20,MIN(O$6-$G$3,22))&lt;&gt;""),Amendoim!$E20:INDEX(Amendoim!$E20:$Z20,MIN(O$6-$G$3,22))),0)))))</f>
        <v>0</v>
      </c>
      <c r="P22" s="27" t="n">
        <f aca="false">IF(COUNT(Amendoim!$E20:$Z20)=0,0,MAX(0,IF((P$6-$E$3)&lt;1,0,IFERROR(LOOKUP(2,1/(Amendoim!$E20:INDEX(Amendoim!$E20:$Z20,MIN(P$6-$E$3,22))&lt;&gt;""),Amendoim!$E20:INDEX(Amendoim!$E20:$Z20,MIN(P$6-$E$3,22))),0))-IF($G$2,0,IF((P$6-$G$3)&lt;1,0,IFERROR(LOOKUP(2,1/(Amendoim!$E20:INDEX(Amendoim!$E20:$Z20,MIN(P$6-$G$3,22))&lt;&gt;""),Amendoim!$E20:INDEX(Amendoim!$E20:$Z20,MIN(P$6-$G$3,22))),0)))))</f>
        <v>0</v>
      </c>
      <c r="Q22" s="27" t="n">
        <f aca="false">IF(COUNT(Amendoim!$E20:$Z20)=0,0,MAX(0,IF((Q$6-$E$3)&lt;1,0,IFERROR(LOOKUP(2,1/(Amendoim!$E20:INDEX(Amendoim!$E20:$Z20,MIN(Q$6-$E$3,22))&lt;&gt;""),Amendoim!$E20:INDEX(Amendoim!$E20:$Z20,MIN(Q$6-$E$3,22))),0))-IF($G$2,0,IF((Q$6-$G$3)&lt;1,0,IFERROR(LOOKUP(2,1/(Amendoim!$E20:INDEX(Amendoim!$E20:$Z20,MIN(Q$6-$G$3,22))&lt;&gt;""),Amendoim!$E20:INDEX(Amendoim!$E20:$Z20,MIN(Q$6-$G$3,22))),0)))))</f>
        <v>0</v>
      </c>
      <c r="R22" s="27" t="n">
        <f aca="false">IF(COUNT(Amendoim!$E20:$Z20)=0,0,MAX(0,IF((R$6-$E$3)&lt;1,0,IFERROR(LOOKUP(2,1/(Amendoim!$E20:INDEX(Amendoim!$E20:$Z20,MIN(R$6-$E$3,22))&lt;&gt;""),Amendoim!$E20:INDEX(Amendoim!$E20:$Z20,MIN(R$6-$E$3,22))),0))-IF($G$2,0,IF((R$6-$G$3)&lt;1,0,IFERROR(LOOKUP(2,1/(Amendoim!$E20:INDEX(Amendoim!$E20:$Z20,MIN(R$6-$G$3,22))&lt;&gt;""),Amendoim!$E20:INDEX(Amendoim!$E20:$Z20,MIN(R$6-$G$3,22))),0)))))</f>
        <v>0</v>
      </c>
      <c r="S22" s="27" t="n">
        <f aca="false">IF(COUNT(Amendoim!$E20:$Z20)=0,0,MAX(0,IF((S$6-$E$3)&lt;1,0,IFERROR(LOOKUP(2,1/(Amendoim!$E20:INDEX(Amendoim!$E20:$Z20,MIN(S$6-$E$3,22))&lt;&gt;""),Amendoim!$E20:INDEX(Amendoim!$E20:$Z20,MIN(S$6-$E$3,22))),0))-IF($G$2,0,IF((S$6-$G$3)&lt;1,0,IFERROR(LOOKUP(2,1/(Amendoim!$E20:INDEX(Amendoim!$E20:$Z20,MIN(S$6-$G$3,22))&lt;&gt;""),Amendoim!$E20:INDEX(Amendoim!$E20:$Z20,MIN(S$6-$G$3,22))),0)))))</f>
        <v>0</v>
      </c>
      <c r="T22" s="27" t="n">
        <f aca="false">IF(COUNT(Amendoim!$E20:$Z20)=0,0,MAX(0,IF((T$6-$E$3)&lt;1,0,IFERROR(LOOKUP(2,1/(Amendoim!$E20:INDEX(Amendoim!$E20:$Z20,MIN(T$6-$E$3,22))&lt;&gt;""),Amendoim!$E20:INDEX(Amendoim!$E20:$Z20,MIN(T$6-$E$3,22))),0))-IF($G$2,0,IF((T$6-$G$3)&lt;1,0,IFERROR(LOOKUP(2,1/(Amendoim!$E20:INDEX(Amendoim!$E20:$Z20,MIN(T$6-$G$3,22))&lt;&gt;""),Amendoim!$E20:INDEX(Amendoim!$E20:$Z20,MIN(T$6-$G$3,22))),0)))))</f>
        <v>0</v>
      </c>
      <c r="U22" s="27" t="n">
        <f aca="false">IF(COUNT(Amendoim!$E20:$Z20)=0,0,MAX(0,IF((U$6-$E$3)&lt;1,0,IFERROR(LOOKUP(2,1/(Amendoim!$E20:INDEX(Amendoim!$E20:$Z20,MIN(U$6-$E$3,22))&lt;&gt;""),Amendoim!$E20:INDEX(Amendoim!$E20:$Z20,MIN(U$6-$E$3,22))),0))-IF($G$2,0,IF((U$6-$G$3)&lt;1,0,IFERROR(LOOKUP(2,1/(Amendoim!$E20:INDEX(Amendoim!$E20:$Z20,MIN(U$6-$G$3,22))&lt;&gt;""),Amendoim!$E20:INDEX(Amendoim!$E20:$Z20,MIN(U$6-$G$3,22))),0)))))</f>
        <v>0</v>
      </c>
      <c r="V22" s="27" t="n">
        <f aca="false">IF(COUNT(Amendoim!$E20:$Z20)=0,0,MAX(0,IF((V$6-$E$3)&lt;1,0,IFERROR(LOOKUP(2,1/(Amendoim!$E20:INDEX(Amendoim!$E20:$Z20,MIN(V$6-$E$3,22))&lt;&gt;""),Amendoim!$E20:INDEX(Amendoim!$E20:$Z20,MIN(V$6-$E$3,22))),0))-IF($G$2,0,IF((V$6-$G$3)&lt;1,0,IFERROR(LOOKUP(2,1/(Amendoim!$E20:INDEX(Amendoim!$E20:$Z20,MIN(V$6-$G$3,22))&lt;&gt;""),Amendoim!$E20:INDEX(Amendoim!$E20:$Z20,MIN(V$6-$G$3,22))),0)))))</f>
        <v>0</v>
      </c>
      <c r="W22" s="27" t="n">
        <f aca="false">IF(COUNT(Amendoim!$E20:$Z20)=0,0,MAX(0,IF((W$6-$E$3)&lt;1,0,IFERROR(LOOKUP(2,1/(Amendoim!$E20:INDEX(Amendoim!$E20:$Z20,MIN(W$6-$E$3,22))&lt;&gt;""),Amendoim!$E20:INDEX(Amendoim!$E20:$Z20,MIN(W$6-$E$3,22))),0))-IF($G$2,0,IF((W$6-$G$3)&lt;1,0,IFERROR(LOOKUP(2,1/(Amendoim!$E20:INDEX(Amendoim!$E20:$Z20,MIN(W$6-$G$3,22))&lt;&gt;""),Amendoim!$E20:INDEX(Amendoim!$E20:$Z20,MIN(W$6-$G$3,22))),0)))))</f>
        <v>0</v>
      </c>
      <c r="X22" s="27" t="n">
        <f aca="false">IF(COUNT(Amendoim!$E20:$Z20)=0,0,MAX(0,IF((X$6-$E$3)&lt;1,0,IFERROR(LOOKUP(2,1/(Amendoim!$E20:INDEX(Amendoim!$E20:$Z20,MIN(X$6-$E$3,22))&lt;&gt;""),Amendoim!$E20:INDEX(Amendoim!$E20:$Z20,MIN(X$6-$E$3,22))),0))-IF($G$2,0,IF((X$6-$G$3)&lt;1,0,IFERROR(LOOKUP(2,1/(Amendoim!$E20:INDEX(Amendoim!$E20:$Z20,MIN(X$6-$G$3,22))&lt;&gt;""),Amendoim!$E20:INDEX(Amendoim!$E20:$Z20,MIN(X$6-$G$3,22))),0)))))</f>
        <v>0</v>
      </c>
      <c r="Y22" s="27" t="n">
        <f aca="false">IF(COUNT(Amendoim!$E20:$Z20)=0,0,MAX(0,IF((Y$6-$E$3)&lt;1,0,IFERROR(LOOKUP(2,1/(Amendoim!$E20:INDEX(Amendoim!$E20:$Z20,MIN(Y$6-$E$3,22))&lt;&gt;""),Amendoim!$E20:INDEX(Amendoim!$E20:$Z20,MIN(Y$6-$E$3,22))),0))-IF($G$2,0,IF((Y$6-$G$3)&lt;1,0,IFERROR(LOOKUP(2,1/(Amendoim!$E20:INDEX(Amendoim!$E20:$Z20,MIN(Y$6-$G$3,22))&lt;&gt;""),Amendoim!$E20:INDEX(Amendoim!$E20:$Z20,MIN(Y$6-$G$3,22))),0)))))</f>
        <v>0</v>
      </c>
      <c r="Z22" s="27" t="n">
        <f aca="false">IF(COUNT(Amendoim!$E20:$Z20)=0,0,MAX(0,IF((Z$6-$E$3)&lt;1,0,IFERROR(LOOKUP(2,1/(Amendoim!$E20:INDEX(Amendoim!$E20:$Z20,MIN(Z$6-$E$3,22))&lt;&gt;""),Amendoim!$E20:INDEX(Amendoim!$E20:$Z20,MIN(Z$6-$E$3,22))),0))-IF($G$2,0,IF((Z$6-$G$3)&lt;1,0,IFERROR(LOOKUP(2,1/(Amendoim!$E20:INDEX(Amendoim!$E20:$Z20,MIN(Z$6-$G$3,22))&lt;&gt;""),Amendoim!$E20:INDEX(Amendoim!$E20:$Z20,MIN(Z$6-$G$3,22))),0)))))</f>
        <v>0</v>
      </c>
      <c r="AA22" s="27" t="n">
        <f aca="false">IF(COUNT(Amendoim!$E20:$Z20)=0,0,MAX(0,IF((AA$6-$E$3)&lt;1,0,IFERROR(LOOKUP(2,1/(Amendoim!$E20:INDEX(Amendoim!$E20:$Z20,MIN(AA$6-$E$3,22))&lt;&gt;""),Amendoim!$E20:INDEX(Amendoim!$E20:$Z20,MIN(AA$6-$E$3,22))),0))-IF($G$2,0,IF((AA$6-$G$3)&lt;1,0,IFERROR(LOOKUP(2,1/(Amendoim!$E20:INDEX(Amendoim!$E20:$Z20,MIN(AA$6-$G$3,22))&lt;&gt;""),Amendoim!$E20:INDEX(Amendoim!$E20:$Z20,MIN(AA$6-$G$3,22))),0)))))</f>
        <v>0</v>
      </c>
      <c r="AB22" s="27" t="n">
        <f aca="false">IF(COUNT(Amendoim!$E20:$Z20)=0,0,MAX(0,IF((AB$6-$E$3)&lt;1,0,IFERROR(LOOKUP(2,1/(Amendoim!$E20:INDEX(Amendoim!$E20:$Z20,MIN(AB$6-$E$3,22))&lt;&gt;""),Amendoim!$E20:INDEX(Amendoim!$E20:$Z20,MIN(AB$6-$E$3,22))),0))-IF($G$2,0,IF((AB$6-$G$3)&lt;1,0,IFERROR(LOOKUP(2,1/(Amendoim!$E20:INDEX(Amendoim!$E20:$Z20,MIN(AB$6-$G$3,22))&lt;&gt;""),Amendoim!$E20:INDEX(Amendoim!$E20:$Z20,MIN(AB$6-$G$3,22))),0)))))</f>
        <v>0</v>
      </c>
      <c r="AC22" s="27" t="n">
        <f aca="false">IF(COUNT(Amendoim!$E20:$Z20)=0,0,MAX(0,IF((AC$6-$E$3)&lt;1,0,IFERROR(LOOKUP(2,1/(Amendoim!$E20:INDEX(Amendoim!$E20:$Z20,MIN(AC$6-$E$3,22))&lt;&gt;""),Amendoim!$E20:INDEX(Amendoim!$E20:$Z20,MIN(AC$6-$E$3,22))),0))-IF($G$2,0,IF((AC$6-$G$3)&lt;1,0,IFERROR(LOOKUP(2,1/(Amendoim!$E20:INDEX(Amendoim!$E20:$Z20,MIN(AC$6-$G$3,22))&lt;&gt;""),Amendoim!$E20:INDEX(Amendoim!$E20:$Z20,MIN(AC$6-$G$3,22))),0)))))</f>
        <v>0</v>
      </c>
      <c r="AD22" s="27" t="n">
        <f aca="false">IF(COUNT(Amendoim!$E20:$Z20)=0,0,MAX(0,IF((AD$6-$E$3)&lt;1,0,IFERROR(LOOKUP(2,1/(Amendoim!$E20:INDEX(Amendoim!$E20:$Z20,MIN(AD$6-$E$3,22))&lt;&gt;""),Amendoim!$E20:INDEX(Amendoim!$E20:$Z20,MIN(AD$6-$E$3,22))),0))-IF($G$2,0,IF((AD$6-$G$3)&lt;1,0,IFERROR(LOOKUP(2,1/(Amendoim!$E20:INDEX(Amendoim!$E20:$Z20,MIN(AD$6-$G$3,22))&lt;&gt;""),Amendoim!$E20:INDEX(Amendoim!$E20:$Z20,MIN(AD$6-$G$3,22))),0)))))</f>
        <v>0</v>
      </c>
      <c r="AE22" s="27" t="n">
        <f aca="false">IF(COUNT(Amendoim!$E20:$Z20)=0,0,MAX(0,IF((AE$6-$E$3)&lt;1,0,IFERROR(LOOKUP(2,1/(Amendoim!$E20:INDEX(Amendoim!$E20:$Z20,MIN(AE$6-$E$3,22))&lt;&gt;""),Amendoim!$E20:INDEX(Amendoim!$E20:$Z20,MIN(AE$6-$E$3,22))),0))-IF($G$2,0,IF((AE$6-$G$3)&lt;1,0,IFERROR(LOOKUP(2,1/(Amendoim!$E20:INDEX(Amendoim!$E20:$Z20,MIN(AE$6-$G$3,22))&lt;&gt;""),Amendoim!$E20:INDEX(Amendoim!$E20:$Z20,MIN(AE$6-$G$3,22))),0)))))</f>
        <v>0</v>
      </c>
      <c r="AF22" s="27" t="n">
        <f aca="false">IF(COUNT(Amendoim!$E20:$Z20)=0,0,MAX(0,IF((AF$6-$E$3)&lt;1,0,IFERROR(LOOKUP(2,1/(Amendoim!$E20:INDEX(Amendoim!$E20:$Z20,MIN(AF$6-$E$3,22))&lt;&gt;""),Amendoim!$E20:INDEX(Amendoim!$E20:$Z20,MIN(AF$6-$E$3,22))),0))-IF($G$2,0,IF((AF$6-$G$3)&lt;1,0,IFERROR(LOOKUP(2,1/(Amendoim!$E20:INDEX(Amendoim!$E20:$Z20,MIN(AF$6-$G$3,22))&lt;&gt;""),Amendoim!$E20:INDEX(Amendoim!$E20:$Z20,MIN(AF$6-$G$3,22))),0)))))</f>
        <v>0</v>
      </c>
      <c r="AG22" s="27" t="n">
        <f aca="false">IF(COUNT(Amendoim!$E20:$Z20)=0,0,MAX(0,IF((AG$6-$E$3)&lt;1,0,IFERROR(LOOKUP(2,1/(Amendoim!$E20:INDEX(Amendoim!$E20:$Z20,MIN(AG$6-$E$3,22))&lt;&gt;""),Amendoim!$E20:INDEX(Amendoim!$E20:$Z20,MIN(AG$6-$E$3,22))),0))-IF($G$2,0,IF((AG$6-$G$3)&lt;1,0,IFERROR(LOOKUP(2,1/(Amendoim!$E20:INDEX(Amendoim!$E20:$Z20,MIN(AG$6-$G$3,22))&lt;&gt;""),Amendoim!$E20:INDEX(Amendoim!$E20:$Z20,MIN(AG$6-$G$3,22))),0)))))</f>
        <v>0</v>
      </c>
      <c r="AH22" s="27" t="n">
        <f aca="false">IF(COUNT(Amendoim!$E20:$Z20)=0,0,MAX(0,IF((AH$6-$E$3)&lt;1,0,IFERROR(LOOKUP(2,1/(Amendoim!$E20:INDEX(Amendoim!$E20:$Z20,MIN(AH$6-$E$3,22))&lt;&gt;""),Amendoim!$E20:INDEX(Amendoim!$E20:$Z20,MIN(AH$6-$E$3,22))),0))-IF($G$2,0,IF((AH$6-$G$3)&lt;1,0,IFERROR(LOOKUP(2,1/(Amendoim!$E20:INDEX(Amendoim!$E20:$Z20,MIN(AH$6-$G$3,22))&lt;&gt;""),Amendoim!$E20:INDEX(Amendoim!$E20:$Z20,MIN(AH$6-$G$3,22))),0)))))</f>
        <v>0</v>
      </c>
      <c r="AI22" s="27" t="n">
        <f aca="false">IF(COUNT(Amendoim!$E20:$Z20)=0,0,MAX(0,IF((AI$6-$E$3)&lt;1,0,IFERROR(LOOKUP(2,1/(Amendoim!$E20:INDEX(Amendoim!$E20:$Z20,MIN(AI$6-$E$3,22))&lt;&gt;""),Amendoim!$E20:INDEX(Amendoim!$E20:$Z20,MIN(AI$6-$E$3,22))),0))-IF($G$2,0,IF((AI$6-$G$3)&lt;1,0,IFERROR(LOOKUP(2,1/(Amendoim!$E20:INDEX(Amendoim!$E20:$Z20,MIN(AI$6-$G$3,22))&lt;&gt;""),Amendoim!$E20:INDEX(Amendoim!$E20:$Z20,MIN(AI$6-$G$3,22))),0)))))</f>
        <v>0</v>
      </c>
      <c r="AJ22" s="27" t="n">
        <f aca="false">IF(COUNT(Amendoim!$E20:$Z20)=0,0,MAX(0,IF((AJ$6-$E$3)&lt;1,0,IFERROR(LOOKUP(2,1/(Amendoim!$E20:INDEX(Amendoim!$E20:$Z20,MIN(AJ$6-$E$3,22))&lt;&gt;""),Amendoim!$E20:INDEX(Amendoim!$E20:$Z20,MIN(AJ$6-$E$3,22))),0))-IF($G$2,0,IF((AJ$6-$G$3)&lt;1,0,IFERROR(LOOKUP(2,1/(Amendoim!$E20:INDEX(Amendoim!$E20:$Z20,MIN(AJ$6-$G$3,22))&lt;&gt;""),Amendoim!$E20:INDEX(Amendoim!$E20:$Z20,MIN(AJ$6-$G$3,22))),0)))))</f>
        <v>0</v>
      </c>
      <c r="AK22" s="27" t="n">
        <f aca="false">IF(COUNT(Amendoim!$E20:$Z20)=0,0,MAX(0,IF((AK$6-$E$3)&lt;1,0,IFERROR(LOOKUP(2,1/(Amendoim!$E20:INDEX(Amendoim!$E20:$Z20,MIN(AK$6-$E$3,22))&lt;&gt;""),Amendoim!$E20:INDEX(Amendoim!$E20:$Z20,MIN(AK$6-$E$3,22))),0))-IF($G$2,0,IF((AK$6-$G$3)&lt;1,0,IFERROR(LOOKUP(2,1/(Amendoim!$E20:INDEX(Amendoim!$E20:$Z20,MIN(AK$6-$G$3,22))&lt;&gt;""),Amendoim!$E20:INDEX(Amendoim!$E20:$Z20,MIN(AK$6-$G$3,22))),0)))))</f>
        <v>0</v>
      </c>
      <c r="AL22" s="27" t="n">
        <f aca="false">IF(COUNT(Amendoim!$E20:$Z20)=0,0,MAX(0,IF((AL$6-$E$3)&lt;1,0,IFERROR(LOOKUP(2,1/(Amendoim!$E20:INDEX(Amendoim!$E20:$Z20,MIN(AL$6-$E$3,22))&lt;&gt;""),Amendoim!$E20:INDEX(Amendoim!$E20:$Z20,MIN(AL$6-$E$3,22))),0))-IF($G$2,0,IF((AL$6-$G$3)&lt;1,0,IFERROR(LOOKUP(2,1/(Amendoim!$E20:INDEX(Amendoim!$E20:$Z20,MIN(AL$6-$G$3,22))&lt;&gt;""),Amendoim!$E20:INDEX(Amendoim!$E20:$Z20,MIN(AL$6-$G$3,22))),0)))))</f>
        <v>0</v>
      </c>
      <c r="AM22" s="27" t="n">
        <f aca="false">IF(COUNT(Amendoim!$E20:$Z20)=0,0,MAX(0,IF((AM$6-$E$3)&lt;1,0,IFERROR(LOOKUP(2,1/(Amendoim!$E20:INDEX(Amendoim!$E20:$Z20,MIN(AM$6-$E$3,22))&lt;&gt;""),Amendoim!$E20:INDEX(Amendoim!$E20:$Z20,MIN(AM$6-$E$3,22))),0))-IF($G$2,0,IF((AM$6-$G$3)&lt;1,0,IFERROR(LOOKUP(2,1/(Amendoim!$E20:INDEX(Amendoim!$E20:$Z20,MIN(AM$6-$G$3,22))&lt;&gt;""),Amendoim!$E20:INDEX(Amendoim!$E20:$Z20,MIN(AM$6-$G$3,22))),0)))))</f>
        <v>0</v>
      </c>
      <c r="AN22" s="27" t="n">
        <f aca="false">IF(COUNT(Amendoim!$E20:$Z20)=0,0,MAX(0,IF((AN$6-$E$3)&lt;1,0,IFERROR(LOOKUP(2,1/(Amendoim!$E20:INDEX(Amendoim!$E20:$Z20,MIN(AN$6-$E$3,22))&lt;&gt;""),Amendoim!$E20:INDEX(Amendoim!$E20:$Z20,MIN(AN$6-$E$3,22))),0))-IF($G$2,0,IF((AN$6-$G$3)&lt;1,0,IFERROR(LOOKUP(2,1/(Amendoim!$E20:INDEX(Amendoim!$E20:$Z20,MIN(AN$6-$G$3,22))&lt;&gt;""),Amendoim!$E20:INDEX(Amendoim!$E20:$Z20,MIN(AN$6-$G$3,22))),0)))))</f>
        <v>0</v>
      </c>
      <c r="AO22" s="27" t="n">
        <f aca="false">IF(COUNT(Amendoim!$E20:$Z20)=0,0,MAX(0,IF((AO$6-$E$3)&lt;1,0,IFERROR(LOOKUP(2,1/(Amendoim!$E20:INDEX(Amendoim!$E20:$Z20,MIN(AO$6-$E$3,22))&lt;&gt;""),Amendoim!$E20:INDEX(Amendoim!$E20:$Z20,MIN(AO$6-$E$3,22))),0))-IF($G$2,0,IF((AO$6-$G$3)&lt;1,0,IFERROR(LOOKUP(2,1/(Amendoim!$E20:INDEX(Amendoim!$E20:$Z20,MIN(AO$6-$G$3,22))&lt;&gt;""),Amendoim!$E20:INDEX(Amendoim!$E20:$Z20,MIN(AO$6-$G$3,22))),0)))))</f>
        <v>0</v>
      </c>
      <c r="AP22" s="27" t="n">
        <f aca="false">IF(COUNT(Amendoim!$E20:$Z20)=0,0,MAX(0,IF((AP$6-$E$3)&lt;1,0,IFERROR(LOOKUP(2,1/(Amendoim!$E20:INDEX(Amendoim!$E20:$Z20,MIN(AP$6-$E$3,22))&lt;&gt;""),Amendoim!$E20:INDEX(Amendoim!$E20:$Z20,MIN(AP$6-$E$3,22))),0))-IF($G$2,0,IF((AP$6-$G$3)&lt;1,0,IFERROR(LOOKUP(2,1/(Amendoim!$E20:INDEX(Amendoim!$E20:$Z20,MIN(AP$6-$G$3,22))&lt;&gt;""),Amendoim!$E20:INDEX(Amendoim!$E20:$Z20,MIN(AP$6-$G$3,22))),0)))))</f>
        <v>0</v>
      </c>
      <c r="AQ22" s="27" t="n">
        <f aca="false">IF(COUNT(Amendoim!$E20:$Z20)=0,0,MAX(0,IF((AQ$6-$E$3)&lt;1,0,IFERROR(LOOKUP(2,1/(Amendoim!$E20:INDEX(Amendoim!$E20:$Z20,MIN(AQ$6-$E$3,22))&lt;&gt;""),Amendoim!$E20:INDEX(Amendoim!$E20:$Z20,MIN(AQ$6-$E$3,22))),0))-IF($G$2,0,IF((AQ$6-$G$3)&lt;1,0,IFERROR(LOOKUP(2,1/(Amendoim!$E20:INDEX(Amendoim!$E20:$Z20,MIN(AQ$6-$G$3,22))&lt;&gt;""),Amendoim!$E20:INDEX(Amendoim!$E20:$Z20,MIN(AQ$6-$G$3,22))),0)))))</f>
        <v>0</v>
      </c>
      <c r="AR22" s="27" t="n">
        <f aca="false">IF(COUNT(Amendoim!$E20:$Z20)=0,0,MAX(0,IF((AR$6-$E$3)&lt;1,0,IFERROR(LOOKUP(2,1/(Amendoim!$E20:INDEX(Amendoim!$E20:$Z20,MIN(AR$6-$E$3,22))&lt;&gt;""),Amendoim!$E20:INDEX(Amendoim!$E20:$Z20,MIN(AR$6-$E$3,22))),0))-IF($G$2,0,IF((AR$6-$G$3)&lt;1,0,IFERROR(LOOKUP(2,1/(Amendoim!$E20:INDEX(Amendoim!$E20:$Z20,MIN(AR$6-$G$3,22))&lt;&gt;""),Amendoim!$E20:INDEX(Amendoim!$E20:$Z20,MIN(AR$6-$G$3,22))),0)))))</f>
        <v>0</v>
      </c>
      <c r="AS22" s="27" t="n">
        <f aca="false">IF(COUNT(Amendoim!$E20:$Z20)=0,0,MAX(0,IF((AS$6-$E$3)&lt;1,0,IFERROR(LOOKUP(2,1/(Amendoim!$E20:INDEX(Amendoim!$E20:$Z20,MIN(AS$6-$E$3,22))&lt;&gt;""),Amendoim!$E20:INDEX(Amendoim!$E20:$Z20,MIN(AS$6-$E$3,22))),0))-IF($G$2,0,IF((AS$6-$G$3)&lt;1,0,IFERROR(LOOKUP(2,1/(Amendoim!$E20:INDEX(Amendoim!$E20:$Z20,MIN(AS$6-$G$3,22))&lt;&gt;""),Amendoim!$E20:INDEX(Amendoim!$E20:$Z20,MIN(AS$6-$G$3,22))),0)))))</f>
        <v>0</v>
      </c>
      <c r="AT22" s="27" t="n">
        <f aca="false">IF(COUNT(Amendoim!$E20:$Z20)=0,0,MAX(0,IF((AT$6-$E$3)&lt;1,0,IFERROR(LOOKUP(2,1/(Amendoim!$E20:INDEX(Amendoim!$E20:$Z20,MIN(AT$6-$E$3,22))&lt;&gt;""),Amendoim!$E20:INDEX(Amendoim!$E20:$Z20,MIN(AT$6-$E$3,22))),0))-IF($G$2,0,IF((AT$6-$G$3)&lt;1,0,IFERROR(LOOKUP(2,1/(Amendoim!$E20:INDEX(Amendoim!$E20:$Z20,MIN(AT$6-$G$3,22))&lt;&gt;""),Amendoim!$E20:INDEX(Amendoim!$E20:$Z20,MIN(AT$6-$G$3,22))),0)))))</f>
        <v>0</v>
      </c>
      <c r="AU22" s="27" t="n">
        <f aca="false">IF(COUNT(Amendoim!$E20:$Z20)=0,0,MAX(0,IF((AU$6-$E$3)&lt;1,0,IFERROR(LOOKUP(2,1/(Amendoim!$E20:INDEX(Amendoim!$E20:$Z20,MIN(AU$6-$E$3,22))&lt;&gt;""),Amendoim!$E20:INDEX(Amendoim!$E20:$Z20,MIN(AU$6-$E$3,22))),0))-IF($G$2,0,IF((AU$6-$G$3)&lt;1,0,IFERROR(LOOKUP(2,1/(Amendoim!$E20:INDEX(Amendoim!$E20:$Z20,MIN(AU$6-$G$3,22))&lt;&gt;""),Amendoim!$E20:INDEX(Amendoim!$E20:$Z20,MIN(AU$6-$G$3,22))),0)))))</f>
        <v>0</v>
      </c>
      <c r="AV22" s="27" t="n">
        <f aca="false">IF(COUNT(Amendoim!$E20:$Z20)=0,0,MAX(0,IF((AV$6-$E$3)&lt;1,0,IFERROR(LOOKUP(2,1/(Amendoim!$E20:INDEX(Amendoim!$E20:$Z20,MIN(AV$6-$E$3,22))&lt;&gt;""),Amendoim!$E20:INDEX(Amendoim!$E20:$Z20,MIN(AV$6-$E$3,22))),0))-IF($G$2,0,IF((AV$6-$G$3)&lt;1,0,IFERROR(LOOKUP(2,1/(Amendoim!$E20:INDEX(Amendoim!$E20:$Z20,MIN(AV$6-$G$3,22))&lt;&gt;""),Amendoim!$E20:INDEX(Amendoim!$E20:$Z20,MIN(AV$6-$G$3,22))),0)))))</f>
        <v>0</v>
      </c>
      <c r="AW22" s="27" t="n">
        <f aca="false">IF(COUNT(Amendoim!$E20:$Z20)=0,0,MAX(0,IF((AW$6-$E$3)&lt;1,0,IFERROR(LOOKUP(2,1/(Amendoim!$E20:INDEX(Amendoim!$E20:$Z20,MIN(AW$6-$E$3,22))&lt;&gt;""),Amendoim!$E20:INDEX(Amendoim!$E20:$Z20,MIN(AW$6-$E$3,22))),0))-IF($G$2,0,IF((AW$6-$G$3)&lt;1,0,IFERROR(LOOKUP(2,1/(Amendoim!$E20:INDEX(Amendoim!$E20:$Z20,MIN(AW$6-$G$3,22))&lt;&gt;""),Amendoim!$E20:INDEX(Amendoim!$E20:$Z20,MIN(AW$6-$G$3,22))),0)))))</f>
        <v>0</v>
      </c>
      <c r="AX22" s="27" t="n">
        <f aca="false">IF(COUNT(Amendoim!$E20:$Z20)=0,0,MAX(0,IF((AX$6-$E$3)&lt;1,0,IFERROR(LOOKUP(2,1/(Amendoim!$E20:INDEX(Amendoim!$E20:$Z20,MIN(AX$6-$E$3,22))&lt;&gt;""),Amendoim!$E20:INDEX(Amendoim!$E20:$Z20,MIN(AX$6-$E$3,22))),0))-IF($G$2,0,IF((AX$6-$G$3)&lt;1,0,IFERROR(LOOKUP(2,1/(Amendoim!$E20:INDEX(Amendoim!$E20:$Z20,MIN(AX$6-$G$3,22))&lt;&gt;""),Amendoim!$E20:INDEX(Amendoim!$E20:$Z20,MIN(AX$6-$G$3,22))),0)))))</f>
        <v>0</v>
      </c>
      <c r="AY22" s="27" t="n">
        <f aca="false">IF(COUNT(Amendoim!$E20:$Z20)=0,0,MAX(0,IF((AY$6-$E$3)&lt;1,0,IFERROR(LOOKUP(2,1/(Amendoim!$E20:INDEX(Amendoim!$E20:$Z20,MIN(AY$6-$E$3,22))&lt;&gt;""),Amendoim!$E20:INDEX(Amendoim!$E20:$Z20,MIN(AY$6-$E$3,22))),0))-IF($G$2,0,IF((AY$6-$G$3)&lt;1,0,IFERROR(LOOKUP(2,1/(Amendoim!$E20:INDEX(Amendoim!$E20:$Z20,MIN(AY$6-$G$3,22))&lt;&gt;""),Amendoim!$E20:INDEX(Amendoim!$E20:$Z20,MIN(AY$6-$G$3,22))),0)))))</f>
        <v>0</v>
      </c>
      <c r="AZ22" s="27" t="n">
        <f aca="false">IF(COUNT(Amendoim!$E20:$Z20)=0,0,MAX(0,IF((AZ$6-$E$3)&lt;1,0,IFERROR(LOOKUP(2,1/(Amendoim!$E20:INDEX(Amendoim!$E20:$Z20,MIN(AZ$6-$E$3,22))&lt;&gt;""),Amendoim!$E20:INDEX(Amendoim!$E20:$Z20,MIN(AZ$6-$E$3,22))),0))-IF($G$2,0,IF((AZ$6-$G$3)&lt;1,0,IFERROR(LOOKUP(2,1/(Amendoim!$E20:INDEX(Amendoim!$E20:$Z20,MIN(AZ$6-$G$3,22))&lt;&gt;""),Amendoim!$E20:INDEX(Amendoim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IF(COUNT(Amendoim!$E21:$Z21)&gt;0,N(Amendoim!$D21),0)</f>
        <v>0</v>
      </c>
      <c r="E23" s="27" t="n">
        <f aca="false">IF(COUNT(Amendoim!$E21:$Z21)=0,0,MAX(0,IF((E$6-$E$3)&lt;1,0,IFERROR(LOOKUP(2,1/(Amendoim!$E21:INDEX(Amendoim!$E21:$Z21,MIN(E$6-$E$3,22))&lt;&gt;""),Amendoim!$E21:INDEX(Amendoim!$E21:$Z21,MIN(E$6-$E$3,22))),0))-IF($G$2,0,IF((E$6-$G$3)&lt;1,0,IFERROR(LOOKUP(2,1/(Amendoim!$E21:INDEX(Amendoim!$E21:$Z21,MIN(E$6-$G$3,22))&lt;&gt;""),Amendoim!$E21:INDEX(Amendoim!$E21:$Z21,MIN(E$6-$G$3,22))),0)))))</f>
        <v>0</v>
      </c>
      <c r="F23" s="27" t="n">
        <f aca="false">IF(COUNT(Amendoim!$E21:$Z21)=0,0,MAX(0,IF((F$6-$E$3)&lt;1,0,IFERROR(LOOKUP(2,1/(Amendoim!$E21:INDEX(Amendoim!$E21:$Z21,MIN(F$6-$E$3,22))&lt;&gt;""),Amendoim!$E21:INDEX(Amendoim!$E21:$Z21,MIN(F$6-$E$3,22))),0))-IF($G$2,0,IF((F$6-$G$3)&lt;1,0,IFERROR(LOOKUP(2,1/(Amendoim!$E21:INDEX(Amendoim!$E21:$Z21,MIN(F$6-$G$3,22))&lt;&gt;""),Amendoim!$E21:INDEX(Amendoim!$E21:$Z21,MIN(F$6-$G$3,22))),0)))))</f>
        <v>0</v>
      </c>
      <c r="G23" s="27" t="n">
        <f aca="false">IF(COUNT(Amendoim!$E21:$Z21)=0,0,MAX(0,IF((G$6-$E$3)&lt;1,0,IFERROR(LOOKUP(2,1/(Amendoim!$E21:INDEX(Amendoim!$E21:$Z21,MIN(G$6-$E$3,22))&lt;&gt;""),Amendoim!$E21:INDEX(Amendoim!$E21:$Z21,MIN(G$6-$E$3,22))),0))-IF($G$2,0,IF((G$6-$G$3)&lt;1,0,IFERROR(LOOKUP(2,1/(Amendoim!$E21:INDEX(Amendoim!$E21:$Z21,MIN(G$6-$G$3,22))&lt;&gt;""),Amendoim!$E21:INDEX(Amendoim!$E21:$Z21,MIN(G$6-$G$3,22))),0)))))</f>
        <v>0</v>
      </c>
      <c r="H23" s="27" t="n">
        <f aca="false">IF(COUNT(Amendoim!$E21:$Z21)=0,0,MAX(0,IF((H$6-$E$3)&lt;1,0,IFERROR(LOOKUP(2,1/(Amendoim!$E21:INDEX(Amendoim!$E21:$Z21,MIN(H$6-$E$3,22))&lt;&gt;""),Amendoim!$E21:INDEX(Amendoim!$E21:$Z21,MIN(H$6-$E$3,22))),0))-IF($G$2,0,IF((H$6-$G$3)&lt;1,0,IFERROR(LOOKUP(2,1/(Amendoim!$E21:INDEX(Amendoim!$E21:$Z21,MIN(H$6-$G$3,22))&lt;&gt;""),Amendoim!$E21:INDEX(Amendoim!$E21:$Z21,MIN(H$6-$G$3,22))),0)))))</f>
        <v>0</v>
      </c>
      <c r="I23" s="27" t="n">
        <f aca="false">IF(COUNT(Amendoim!$E21:$Z21)=0,0,MAX(0,IF((I$6-$E$3)&lt;1,0,IFERROR(LOOKUP(2,1/(Amendoim!$E21:INDEX(Amendoim!$E21:$Z21,MIN(I$6-$E$3,22))&lt;&gt;""),Amendoim!$E21:INDEX(Amendoim!$E21:$Z21,MIN(I$6-$E$3,22))),0))-IF($G$2,0,IF((I$6-$G$3)&lt;1,0,IFERROR(LOOKUP(2,1/(Amendoim!$E21:INDEX(Amendoim!$E21:$Z21,MIN(I$6-$G$3,22))&lt;&gt;""),Amendoim!$E21:INDEX(Amendoim!$E21:$Z21,MIN(I$6-$G$3,22))),0)))))</f>
        <v>0</v>
      </c>
      <c r="J23" s="27" t="n">
        <f aca="false">IF(COUNT(Amendoim!$E21:$Z21)=0,0,MAX(0,IF((J$6-$E$3)&lt;1,0,IFERROR(LOOKUP(2,1/(Amendoim!$E21:INDEX(Amendoim!$E21:$Z21,MIN(J$6-$E$3,22))&lt;&gt;""),Amendoim!$E21:INDEX(Amendoim!$E21:$Z21,MIN(J$6-$E$3,22))),0))-IF($G$2,0,IF((J$6-$G$3)&lt;1,0,IFERROR(LOOKUP(2,1/(Amendoim!$E21:INDEX(Amendoim!$E21:$Z21,MIN(J$6-$G$3,22))&lt;&gt;""),Amendoim!$E21:INDEX(Amendoim!$E21:$Z21,MIN(J$6-$G$3,22))),0)))))</f>
        <v>0</v>
      </c>
      <c r="K23" s="27" t="n">
        <f aca="false">IF(COUNT(Amendoim!$E21:$Z21)=0,0,MAX(0,IF((K$6-$E$3)&lt;1,0,IFERROR(LOOKUP(2,1/(Amendoim!$E21:INDEX(Amendoim!$E21:$Z21,MIN(K$6-$E$3,22))&lt;&gt;""),Amendoim!$E21:INDEX(Amendoim!$E21:$Z21,MIN(K$6-$E$3,22))),0))-IF($G$2,0,IF((K$6-$G$3)&lt;1,0,IFERROR(LOOKUP(2,1/(Amendoim!$E21:INDEX(Amendoim!$E21:$Z21,MIN(K$6-$G$3,22))&lt;&gt;""),Amendoim!$E21:INDEX(Amendoim!$E21:$Z21,MIN(K$6-$G$3,22))),0)))))</f>
        <v>0</v>
      </c>
      <c r="L23" s="27" t="n">
        <f aca="false">IF(COUNT(Amendoim!$E21:$Z21)=0,0,MAX(0,IF((L$6-$E$3)&lt;1,0,IFERROR(LOOKUP(2,1/(Amendoim!$E21:INDEX(Amendoim!$E21:$Z21,MIN(L$6-$E$3,22))&lt;&gt;""),Amendoim!$E21:INDEX(Amendoim!$E21:$Z21,MIN(L$6-$E$3,22))),0))-IF($G$2,0,IF((L$6-$G$3)&lt;1,0,IFERROR(LOOKUP(2,1/(Amendoim!$E21:INDEX(Amendoim!$E21:$Z21,MIN(L$6-$G$3,22))&lt;&gt;""),Amendoim!$E21:INDEX(Amendoim!$E21:$Z21,MIN(L$6-$G$3,22))),0)))))</f>
        <v>0</v>
      </c>
      <c r="M23" s="27" t="n">
        <f aca="false">IF(COUNT(Amendoim!$E21:$Z21)=0,0,MAX(0,IF((M$6-$E$3)&lt;1,0,IFERROR(LOOKUP(2,1/(Amendoim!$E21:INDEX(Amendoim!$E21:$Z21,MIN(M$6-$E$3,22))&lt;&gt;""),Amendoim!$E21:INDEX(Amendoim!$E21:$Z21,MIN(M$6-$E$3,22))),0))-IF($G$2,0,IF((M$6-$G$3)&lt;1,0,IFERROR(LOOKUP(2,1/(Amendoim!$E21:INDEX(Amendoim!$E21:$Z21,MIN(M$6-$G$3,22))&lt;&gt;""),Amendoim!$E21:INDEX(Amendoim!$E21:$Z21,MIN(M$6-$G$3,22))),0)))))</f>
        <v>0</v>
      </c>
      <c r="N23" s="27" t="n">
        <f aca="false">IF(COUNT(Amendoim!$E21:$Z21)=0,0,MAX(0,IF((N$6-$E$3)&lt;1,0,IFERROR(LOOKUP(2,1/(Amendoim!$E21:INDEX(Amendoim!$E21:$Z21,MIN(N$6-$E$3,22))&lt;&gt;""),Amendoim!$E21:INDEX(Amendoim!$E21:$Z21,MIN(N$6-$E$3,22))),0))-IF($G$2,0,IF((N$6-$G$3)&lt;1,0,IFERROR(LOOKUP(2,1/(Amendoim!$E21:INDEX(Amendoim!$E21:$Z21,MIN(N$6-$G$3,22))&lt;&gt;""),Amendoim!$E21:INDEX(Amendoim!$E21:$Z21,MIN(N$6-$G$3,22))),0)))))</f>
        <v>0</v>
      </c>
      <c r="O23" s="27" t="n">
        <f aca="false">IF(COUNT(Amendoim!$E21:$Z21)=0,0,MAX(0,IF((O$6-$E$3)&lt;1,0,IFERROR(LOOKUP(2,1/(Amendoim!$E21:INDEX(Amendoim!$E21:$Z21,MIN(O$6-$E$3,22))&lt;&gt;""),Amendoim!$E21:INDEX(Amendoim!$E21:$Z21,MIN(O$6-$E$3,22))),0))-IF($G$2,0,IF((O$6-$G$3)&lt;1,0,IFERROR(LOOKUP(2,1/(Amendoim!$E21:INDEX(Amendoim!$E21:$Z21,MIN(O$6-$G$3,22))&lt;&gt;""),Amendoim!$E21:INDEX(Amendoim!$E21:$Z21,MIN(O$6-$G$3,22))),0)))))</f>
        <v>0</v>
      </c>
      <c r="P23" s="27" t="n">
        <f aca="false">IF(COUNT(Amendoim!$E21:$Z21)=0,0,MAX(0,IF((P$6-$E$3)&lt;1,0,IFERROR(LOOKUP(2,1/(Amendoim!$E21:INDEX(Amendoim!$E21:$Z21,MIN(P$6-$E$3,22))&lt;&gt;""),Amendoim!$E21:INDEX(Amendoim!$E21:$Z21,MIN(P$6-$E$3,22))),0))-IF($G$2,0,IF((P$6-$G$3)&lt;1,0,IFERROR(LOOKUP(2,1/(Amendoim!$E21:INDEX(Amendoim!$E21:$Z21,MIN(P$6-$G$3,22))&lt;&gt;""),Amendoim!$E21:INDEX(Amendoim!$E21:$Z21,MIN(P$6-$G$3,22))),0)))))</f>
        <v>0</v>
      </c>
      <c r="Q23" s="27" t="n">
        <f aca="false">IF(COUNT(Amendoim!$E21:$Z21)=0,0,MAX(0,IF((Q$6-$E$3)&lt;1,0,IFERROR(LOOKUP(2,1/(Amendoim!$E21:INDEX(Amendoim!$E21:$Z21,MIN(Q$6-$E$3,22))&lt;&gt;""),Amendoim!$E21:INDEX(Amendoim!$E21:$Z21,MIN(Q$6-$E$3,22))),0))-IF($G$2,0,IF((Q$6-$G$3)&lt;1,0,IFERROR(LOOKUP(2,1/(Amendoim!$E21:INDEX(Amendoim!$E21:$Z21,MIN(Q$6-$G$3,22))&lt;&gt;""),Amendoim!$E21:INDEX(Amendoim!$E21:$Z21,MIN(Q$6-$G$3,22))),0)))))</f>
        <v>0</v>
      </c>
      <c r="R23" s="27" t="n">
        <f aca="false">IF(COUNT(Amendoim!$E21:$Z21)=0,0,MAX(0,IF((R$6-$E$3)&lt;1,0,IFERROR(LOOKUP(2,1/(Amendoim!$E21:INDEX(Amendoim!$E21:$Z21,MIN(R$6-$E$3,22))&lt;&gt;""),Amendoim!$E21:INDEX(Amendoim!$E21:$Z21,MIN(R$6-$E$3,22))),0))-IF($G$2,0,IF((R$6-$G$3)&lt;1,0,IFERROR(LOOKUP(2,1/(Amendoim!$E21:INDEX(Amendoim!$E21:$Z21,MIN(R$6-$G$3,22))&lt;&gt;""),Amendoim!$E21:INDEX(Amendoim!$E21:$Z21,MIN(R$6-$G$3,22))),0)))))</f>
        <v>0</v>
      </c>
      <c r="S23" s="27" t="n">
        <f aca="false">IF(COUNT(Amendoim!$E21:$Z21)=0,0,MAX(0,IF((S$6-$E$3)&lt;1,0,IFERROR(LOOKUP(2,1/(Amendoim!$E21:INDEX(Amendoim!$E21:$Z21,MIN(S$6-$E$3,22))&lt;&gt;""),Amendoim!$E21:INDEX(Amendoim!$E21:$Z21,MIN(S$6-$E$3,22))),0))-IF($G$2,0,IF((S$6-$G$3)&lt;1,0,IFERROR(LOOKUP(2,1/(Amendoim!$E21:INDEX(Amendoim!$E21:$Z21,MIN(S$6-$G$3,22))&lt;&gt;""),Amendoim!$E21:INDEX(Amendoim!$E21:$Z21,MIN(S$6-$G$3,22))),0)))))</f>
        <v>0</v>
      </c>
      <c r="T23" s="27" t="n">
        <f aca="false">IF(COUNT(Amendoim!$E21:$Z21)=0,0,MAX(0,IF((T$6-$E$3)&lt;1,0,IFERROR(LOOKUP(2,1/(Amendoim!$E21:INDEX(Amendoim!$E21:$Z21,MIN(T$6-$E$3,22))&lt;&gt;""),Amendoim!$E21:INDEX(Amendoim!$E21:$Z21,MIN(T$6-$E$3,22))),0))-IF($G$2,0,IF((T$6-$G$3)&lt;1,0,IFERROR(LOOKUP(2,1/(Amendoim!$E21:INDEX(Amendoim!$E21:$Z21,MIN(T$6-$G$3,22))&lt;&gt;""),Amendoim!$E21:INDEX(Amendoim!$E21:$Z21,MIN(T$6-$G$3,22))),0)))))</f>
        <v>0</v>
      </c>
      <c r="U23" s="27" t="n">
        <f aca="false">IF(COUNT(Amendoim!$E21:$Z21)=0,0,MAX(0,IF((U$6-$E$3)&lt;1,0,IFERROR(LOOKUP(2,1/(Amendoim!$E21:INDEX(Amendoim!$E21:$Z21,MIN(U$6-$E$3,22))&lt;&gt;""),Amendoim!$E21:INDEX(Amendoim!$E21:$Z21,MIN(U$6-$E$3,22))),0))-IF($G$2,0,IF((U$6-$G$3)&lt;1,0,IFERROR(LOOKUP(2,1/(Amendoim!$E21:INDEX(Amendoim!$E21:$Z21,MIN(U$6-$G$3,22))&lt;&gt;""),Amendoim!$E21:INDEX(Amendoim!$E21:$Z21,MIN(U$6-$G$3,22))),0)))))</f>
        <v>0</v>
      </c>
      <c r="V23" s="27" t="n">
        <f aca="false">IF(COUNT(Amendoim!$E21:$Z21)=0,0,MAX(0,IF((V$6-$E$3)&lt;1,0,IFERROR(LOOKUP(2,1/(Amendoim!$E21:INDEX(Amendoim!$E21:$Z21,MIN(V$6-$E$3,22))&lt;&gt;""),Amendoim!$E21:INDEX(Amendoim!$E21:$Z21,MIN(V$6-$E$3,22))),0))-IF($G$2,0,IF((V$6-$G$3)&lt;1,0,IFERROR(LOOKUP(2,1/(Amendoim!$E21:INDEX(Amendoim!$E21:$Z21,MIN(V$6-$G$3,22))&lt;&gt;""),Amendoim!$E21:INDEX(Amendoim!$E21:$Z21,MIN(V$6-$G$3,22))),0)))))</f>
        <v>0</v>
      </c>
      <c r="W23" s="27" t="n">
        <f aca="false">IF(COUNT(Amendoim!$E21:$Z21)=0,0,MAX(0,IF((W$6-$E$3)&lt;1,0,IFERROR(LOOKUP(2,1/(Amendoim!$E21:INDEX(Amendoim!$E21:$Z21,MIN(W$6-$E$3,22))&lt;&gt;""),Amendoim!$E21:INDEX(Amendoim!$E21:$Z21,MIN(W$6-$E$3,22))),0))-IF($G$2,0,IF((W$6-$G$3)&lt;1,0,IFERROR(LOOKUP(2,1/(Amendoim!$E21:INDEX(Amendoim!$E21:$Z21,MIN(W$6-$G$3,22))&lt;&gt;""),Amendoim!$E21:INDEX(Amendoim!$E21:$Z21,MIN(W$6-$G$3,22))),0)))))</f>
        <v>0</v>
      </c>
      <c r="X23" s="27" t="n">
        <f aca="false">IF(COUNT(Amendoim!$E21:$Z21)=0,0,MAX(0,IF((X$6-$E$3)&lt;1,0,IFERROR(LOOKUP(2,1/(Amendoim!$E21:INDEX(Amendoim!$E21:$Z21,MIN(X$6-$E$3,22))&lt;&gt;""),Amendoim!$E21:INDEX(Amendoim!$E21:$Z21,MIN(X$6-$E$3,22))),0))-IF($G$2,0,IF((X$6-$G$3)&lt;1,0,IFERROR(LOOKUP(2,1/(Amendoim!$E21:INDEX(Amendoim!$E21:$Z21,MIN(X$6-$G$3,22))&lt;&gt;""),Amendoim!$E21:INDEX(Amendoim!$E21:$Z21,MIN(X$6-$G$3,22))),0)))))</f>
        <v>0</v>
      </c>
      <c r="Y23" s="27" t="n">
        <f aca="false">IF(COUNT(Amendoim!$E21:$Z21)=0,0,MAX(0,IF((Y$6-$E$3)&lt;1,0,IFERROR(LOOKUP(2,1/(Amendoim!$E21:INDEX(Amendoim!$E21:$Z21,MIN(Y$6-$E$3,22))&lt;&gt;""),Amendoim!$E21:INDEX(Amendoim!$E21:$Z21,MIN(Y$6-$E$3,22))),0))-IF($G$2,0,IF((Y$6-$G$3)&lt;1,0,IFERROR(LOOKUP(2,1/(Amendoim!$E21:INDEX(Amendoim!$E21:$Z21,MIN(Y$6-$G$3,22))&lt;&gt;""),Amendoim!$E21:INDEX(Amendoim!$E21:$Z21,MIN(Y$6-$G$3,22))),0)))))</f>
        <v>0</v>
      </c>
      <c r="Z23" s="27" t="n">
        <f aca="false">IF(COUNT(Amendoim!$E21:$Z21)=0,0,MAX(0,IF((Z$6-$E$3)&lt;1,0,IFERROR(LOOKUP(2,1/(Amendoim!$E21:INDEX(Amendoim!$E21:$Z21,MIN(Z$6-$E$3,22))&lt;&gt;""),Amendoim!$E21:INDEX(Amendoim!$E21:$Z21,MIN(Z$6-$E$3,22))),0))-IF($G$2,0,IF((Z$6-$G$3)&lt;1,0,IFERROR(LOOKUP(2,1/(Amendoim!$E21:INDEX(Amendoim!$E21:$Z21,MIN(Z$6-$G$3,22))&lt;&gt;""),Amendoim!$E21:INDEX(Amendoim!$E21:$Z21,MIN(Z$6-$G$3,22))),0)))))</f>
        <v>0</v>
      </c>
      <c r="AA23" s="27" t="n">
        <f aca="false">IF(COUNT(Amendoim!$E21:$Z21)=0,0,MAX(0,IF((AA$6-$E$3)&lt;1,0,IFERROR(LOOKUP(2,1/(Amendoim!$E21:INDEX(Amendoim!$E21:$Z21,MIN(AA$6-$E$3,22))&lt;&gt;""),Amendoim!$E21:INDEX(Amendoim!$E21:$Z21,MIN(AA$6-$E$3,22))),0))-IF($G$2,0,IF((AA$6-$G$3)&lt;1,0,IFERROR(LOOKUP(2,1/(Amendoim!$E21:INDEX(Amendoim!$E21:$Z21,MIN(AA$6-$G$3,22))&lt;&gt;""),Amendoim!$E21:INDEX(Amendoim!$E21:$Z21,MIN(AA$6-$G$3,22))),0)))))</f>
        <v>0</v>
      </c>
      <c r="AB23" s="27" t="n">
        <f aca="false">IF(COUNT(Amendoim!$E21:$Z21)=0,0,MAX(0,IF((AB$6-$E$3)&lt;1,0,IFERROR(LOOKUP(2,1/(Amendoim!$E21:INDEX(Amendoim!$E21:$Z21,MIN(AB$6-$E$3,22))&lt;&gt;""),Amendoim!$E21:INDEX(Amendoim!$E21:$Z21,MIN(AB$6-$E$3,22))),0))-IF($G$2,0,IF((AB$6-$G$3)&lt;1,0,IFERROR(LOOKUP(2,1/(Amendoim!$E21:INDEX(Amendoim!$E21:$Z21,MIN(AB$6-$G$3,22))&lt;&gt;""),Amendoim!$E21:INDEX(Amendoim!$E21:$Z21,MIN(AB$6-$G$3,22))),0)))))</f>
        <v>0</v>
      </c>
      <c r="AC23" s="27" t="n">
        <f aca="false">IF(COUNT(Amendoim!$E21:$Z21)=0,0,MAX(0,IF((AC$6-$E$3)&lt;1,0,IFERROR(LOOKUP(2,1/(Amendoim!$E21:INDEX(Amendoim!$E21:$Z21,MIN(AC$6-$E$3,22))&lt;&gt;""),Amendoim!$E21:INDEX(Amendoim!$E21:$Z21,MIN(AC$6-$E$3,22))),0))-IF($G$2,0,IF((AC$6-$G$3)&lt;1,0,IFERROR(LOOKUP(2,1/(Amendoim!$E21:INDEX(Amendoim!$E21:$Z21,MIN(AC$6-$G$3,22))&lt;&gt;""),Amendoim!$E21:INDEX(Amendoim!$E21:$Z21,MIN(AC$6-$G$3,22))),0)))))</f>
        <v>0</v>
      </c>
      <c r="AD23" s="27" t="n">
        <f aca="false">IF(COUNT(Amendoim!$E21:$Z21)=0,0,MAX(0,IF((AD$6-$E$3)&lt;1,0,IFERROR(LOOKUP(2,1/(Amendoim!$E21:INDEX(Amendoim!$E21:$Z21,MIN(AD$6-$E$3,22))&lt;&gt;""),Amendoim!$E21:INDEX(Amendoim!$E21:$Z21,MIN(AD$6-$E$3,22))),0))-IF($G$2,0,IF((AD$6-$G$3)&lt;1,0,IFERROR(LOOKUP(2,1/(Amendoim!$E21:INDEX(Amendoim!$E21:$Z21,MIN(AD$6-$G$3,22))&lt;&gt;""),Amendoim!$E21:INDEX(Amendoim!$E21:$Z21,MIN(AD$6-$G$3,22))),0)))))</f>
        <v>0</v>
      </c>
      <c r="AE23" s="27" t="n">
        <f aca="false">IF(COUNT(Amendoim!$E21:$Z21)=0,0,MAX(0,IF((AE$6-$E$3)&lt;1,0,IFERROR(LOOKUP(2,1/(Amendoim!$E21:INDEX(Amendoim!$E21:$Z21,MIN(AE$6-$E$3,22))&lt;&gt;""),Amendoim!$E21:INDEX(Amendoim!$E21:$Z21,MIN(AE$6-$E$3,22))),0))-IF($G$2,0,IF((AE$6-$G$3)&lt;1,0,IFERROR(LOOKUP(2,1/(Amendoim!$E21:INDEX(Amendoim!$E21:$Z21,MIN(AE$6-$G$3,22))&lt;&gt;""),Amendoim!$E21:INDEX(Amendoim!$E21:$Z21,MIN(AE$6-$G$3,22))),0)))))</f>
        <v>0</v>
      </c>
      <c r="AF23" s="27" t="n">
        <f aca="false">IF(COUNT(Amendoim!$E21:$Z21)=0,0,MAX(0,IF((AF$6-$E$3)&lt;1,0,IFERROR(LOOKUP(2,1/(Amendoim!$E21:INDEX(Amendoim!$E21:$Z21,MIN(AF$6-$E$3,22))&lt;&gt;""),Amendoim!$E21:INDEX(Amendoim!$E21:$Z21,MIN(AF$6-$E$3,22))),0))-IF($G$2,0,IF((AF$6-$G$3)&lt;1,0,IFERROR(LOOKUP(2,1/(Amendoim!$E21:INDEX(Amendoim!$E21:$Z21,MIN(AF$6-$G$3,22))&lt;&gt;""),Amendoim!$E21:INDEX(Amendoim!$E21:$Z21,MIN(AF$6-$G$3,22))),0)))))</f>
        <v>0</v>
      </c>
      <c r="AG23" s="27" t="n">
        <f aca="false">IF(COUNT(Amendoim!$E21:$Z21)=0,0,MAX(0,IF((AG$6-$E$3)&lt;1,0,IFERROR(LOOKUP(2,1/(Amendoim!$E21:INDEX(Amendoim!$E21:$Z21,MIN(AG$6-$E$3,22))&lt;&gt;""),Amendoim!$E21:INDEX(Amendoim!$E21:$Z21,MIN(AG$6-$E$3,22))),0))-IF($G$2,0,IF((AG$6-$G$3)&lt;1,0,IFERROR(LOOKUP(2,1/(Amendoim!$E21:INDEX(Amendoim!$E21:$Z21,MIN(AG$6-$G$3,22))&lt;&gt;""),Amendoim!$E21:INDEX(Amendoim!$E21:$Z21,MIN(AG$6-$G$3,22))),0)))))</f>
        <v>0</v>
      </c>
      <c r="AH23" s="27" t="n">
        <f aca="false">IF(COUNT(Amendoim!$E21:$Z21)=0,0,MAX(0,IF((AH$6-$E$3)&lt;1,0,IFERROR(LOOKUP(2,1/(Amendoim!$E21:INDEX(Amendoim!$E21:$Z21,MIN(AH$6-$E$3,22))&lt;&gt;""),Amendoim!$E21:INDEX(Amendoim!$E21:$Z21,MIN(AH$6-$E$3,22))),0))-IF($G$2,0,IF((AH$6-$G$3)&lt;1,0,IFERROR(LOOKUP(2,1/(Amendoim!$E21:INDEX(Amendoim!$E21:$Z21,MIN(AH$6-$G$3,22))&lt;&gt;""),Amendoim!$E21:INDEX(Amendoim!$E21:$Z21,MIN(AH$6-$G$3,22))),0)))))</f>
        <v>0</v>
      </c>
      <c r="AI23" s="27" t="n">
        <f aca="false">IF(COUNT(Amendoim!$E21:$Z21)=0,0,MAX(0,IF((AI$6-$E$3)&lt;1,0,IFERROR(LOOKUP(2,1/(Amendoim!$E21:INDEX(Amendoim!$E21:$Z21,MIN(AI$6-$E$3,22))&lt;&gt;""),Amendoim!$E21:INDEX(Amendoim!$E21:$Z21,MIN(AI$6-$E$3,22))),0))-IF($G$2,0,IF((AI$6-$G$3)&lt;1,0,IFERROR(LOOKUP(2,1/(Amendoim!$E21:INDEX(Amendoim!$E21:$Z21,MIN(AI$6-$G$3,22))&lt;&gt;""),Amendoim!$E21:INDEX(Amendoim!$E21:$Z21,MIN(AI$6-$G$3,22))),0)))))</f>
        <v>0</v>
      </c>
      <c r="AJ23" s="27" t="n">
        <f aca="false">IF(COUNT(Amendoim!$E21:$Z21)=0,0,MAX(0,IF((AJ$6-$E$3)&lt;1,0,IFERROR(LOOKUP(2,1/(Amendoim!$E21:INDEX(Amendoim!$E21:$Z21,MIN(AJ$6-$E$3,22))&lt;&gt;""),Amendoim!$E21:INDEX(Amendoim!$E21:$Z21,MIN(AJ$6-$E$3,22))),0))-IF($G$2,0,IF((AJ$6-$G$3)&lt;1,0,IFERROR(LOOKUP(2,1/(Amendoim!$E21:INDEX(Amendoim!$E21:$Z21,MIN(AJ$6-$G$3,22))&lt;&gt;""),Amendoim!$E21:INDEX(Amendoim!$E21:$Z21,MIN(AJ$6-$G$3,22))),0)))))</f>
        <v>0</v>
      </c>
      <c r="AK23" s="27" t="n">
        <f aca="false">IF(COUNT(Amendoim!$E21:$Z21)=0,0,MAX(0,IF((AK$6-$E$3)&lt;1,0,IFERROR(LOOKUP(2,1/(Amendoim!$E21:INDEX(Amendoim!$E21:$Z21,MIN(AK$6-$E$3,22))&lt;&gt;""),Amendoim!$E21:INDEX(Amendoim!$E21:$Z21,MIN(AK$6-$E$3,22))),0))-IF($G$2,0,IF((AK$6-$G$3)&lt;1,0,IFERROR(LOOKUP(2,1/(Amendoim!$E21:INDEX(Amendoim!$E21:$Z21,MIN(AK$6-$G$3,22))&lt;&gt;""),Amendoim!$E21:INDEX(Amendoim!$E21:$Z21,MIN(AK$6-$G$3,22))),0)))))</f>
        <v>0</v>
      </c>
      <c r="AL23" s="27" t="n">
        <f aca="false">IF(COUNT(Amendoim!$E21:$Z21)=0,0,MAX(0,IF((AL$6-$E$3)&lt;1,0,IFERROR(LOOKUP(2,1/(Amendoim!$E21:INDEX(Amendoim!$E21:$Z21,MIN(AL$6-$E$3,22))&lt;&gt;""),Amendoim!$E21:INDEX(Amendoim!$E21:$Z21,MIN(AL$6-$E$3,22))),0))-IF($G$2,0,IF((AL$6-$G$3)&lt;1,0,IFERROR(LOOKUP(2,1/(Amendoim!$E21:INDEX(Amendoim!$E21:$Z21,MIN(AL$6-$G$3,22))&lt;&gt;""),Amendoim!$E21:INDEX(Amendoim!$E21:$Z21,MIN(AL$6-$G$3,22))),0)))))</f>
        <v>0</v>
      </c>
      <c r="AM23" s="27" t="n">
        <f aca="false">IF(COUNT(Amendoim!$E21:$Z21)=0,0,MAX(0,IF((AM$6-$E$3)&lt;1,0,IFERROR(LOOKUP(2,1/(Amendoim!$E21:INDEX(Amendoim!$E21:$Z21,MIN(AM$6-$E$3,22))&lt;&gt;""),Amendoim!$E21:INDEX(Amendoim!$E21:$Z21,MIN(AM$6-$E$3,22))),0))-IF($G$2,0,IF((AM$6-$G$3)&lt;1,0,IFERROR(LOOKUP(2,1/(Amendoim!$E21:INDEX(Amendoim!$E21:$Z21,MIN(AM$6-$G$3,22))&lt;&gt;""),Amendoim!$E21:INDEX(Amendoim!$E21:$Z21,MIN(AM$6-$G$3,22))),0)))))</f>
        <v>0</v>
      </c>
      <c r="AN23" s="27" t="n">
        <f aca="false">IF(COUNT(Amendoim!$E21:$Z21)=0,0,MAX(0,IF((AN$6-$E$3)&lt;1,0,IFERROR(LOOKUP(2,1/(Amendoim!$E21:INDEX(Amendoim!$E21:$Z21,MIN(AN$6-$E$3,22))&lt;&gt;""),Amendoim!$E21:INDEX(Amendoim!$E21:$Z21,MIN(AN$6-$E$3,22))),0))-IF($G$2,0,IF((AN$6-$G$3)&lt;1,0,IFERROR(LOOKUP(2,1/(Amendoim!$E21:INDEX(Amendoim!$E21:$Z21,MIN(AN$6-$G$3,22))&lt;&gt;""),Amendoim!$E21:INDEX(Amendoim!$E21:$Z21,MIN(AN$6-$G$3,22))),0)))))</f>
        <v>0</v>
      </c>
      <c r="AO23" s="27" t="n">
        <f aca="false">IF(COUNT(Amendoim!$E21:$Z21)=0,0,MAX(0,IF((AO$6-$E$3)&lt;1,0,IFERROR(LOOKUP(2,1/(Amendoim!$E21:INDEX(Amendoim!$E21:$Z21,MIN(AO$6-$E$3,22))&lt;&gt;""),Amendoim!$E21:INDEX(Amendoim!$E21:$Z21,MIN(AO$6-$E$3,22))),0))-IF($G$2,0,IF((AO$6-$G$3)&lt;1,0,IFERROR(LOOKUP(2,1/(Amendoim!$E21:INDEX(Amendoim!$E21:$Z21,MIN(AO$6-$G$3,22))&lt;&gt;""),Amendoim!$E21:INDEX(Amendoim!$E21:$Z21,MIN(AO$6-$G$3,22))),0)))))</f>
        <v>0</v>
      </c>
      <c r="AP23" s="27" t="n">
        <f aca="false">IF(COUNT(Amendoim!$E21:$Z21)=0,0,MAX(0,IF((AP$6-$E$3)&lt;1,0,IFERROR(LOOKUP(2,1/(Amendoim!$E21:INDEX(Amendoim!$E21:$Z21,MIN(AP$6-$E$3,22))&lt;&gt;""),Amendoim!$E21:INDEX(Amendoim!$E21:$Z21,MIN(AP$6-$E$3,22))),0))-IF($G$2,0,IF((AP$6-$G$3)&lt;1,0,IFERROR(LOOKUP(2,1/(Amendoim!$E21:INDEX(Amendoim!$E21:$Z21,MIN(AP$6-$G$3,22))&lt;&gt;""),Amendoim!$E21:INDEX(Amendoim!$E21:$Z21,MIN(AP$6-$G$3,22))),0)))))</f>
        <v>0</v>
      </c>
      <c r="AQ23" s="27" t="n">
        <f aca="false">IF(COUNT(Amendoim!$E21:$Z21)=0,0,MAX(0,IF((AQ$6-$E$3)&lt;1,0,IFERROR(LOOKUP(2,1/(Amendoim!$E21:INDEX(Amendoim!$E21:$Z21,MIN(AQ$6-$E$3,22))&lt;&gt;""),Amendoim!$E21:INDEX(Amendoim!$E21:$Z21,MIN(AQ$6-$E$3,22))),0))-IF($G$2,0,IF((AQ$6-$G$3)&lt;1,0,IFERROR(LOOKUP(2,1/(Amendoim!$E21:INDEX(Amendoim!$E21:$Z21,MIN(AQ$6-$G$3,22))&lt;&gt;""),Amendoim!$E21:INDEX(Amendoim!$E21:$Z21,MIN(AQ$6-$G$3,22))),0)))))</f>
        <v>0</v>
      </c>
      <c r="AR23" s="27" t="n">
        <f aca="false">IF(COUNT(Amendoim!$E21:$Z21)=0,0,MAX(0,IF((AR$6-$E$3)&lt;1,0,IFERROR(LOOKUP(2,1/(Amendoim!$E21:INDEX(Amendoim!$E21:$Z21,MIN(AR$6-$E$3,22))&lt;&gt;""),Amendoim!$E21:INDEX(Amendoim!$E21:$Z21,MIN(AR$6-$E$3,22))),0))-IF($G$2,0,IF((AR$6-$G$3)&lt;1,0,IFERROR(LOOKUP(2,1/(Amendoim!$E21:INDEX(Amendoim!$E21:$Z21,MIN(AR$6-$G$3,22))&lt;&gt;""),Amendoim!$E21:INDEX(Amendoim!$E21:$Z21,MIN(AR$6-$G$3,22))),0)))))</f>
        <v>0</v>
      </c>
      <c r="AS23" s="27" t="n">
        <f aca="false">IF(COUNT(Amendoim!$E21:$Z21)=0,0,MAX(0,IF((AS$6-$E$3)&lt;1,0,IFERROR(LOOKUP(2,1/(Amendoim!$E21:INDEX(Amendoim!$E21:$Z21,MIN(AS$6-$E$3,22))&lt;&gt;""),Amendoim!$E21:INDEX(Amendoim!$E21:$Z21,MIN(AS$6-$E$3,22))),0))-IF($G$2,0,IF((AS$6-$G$3)&lt;1,0,IFERROR(LOOKUP(2,1/(Amendoim!$E21:INDEX(Amendoim!$E21:$Z21,MIN(AS$6-$G$3,22))&lt;&gt;""),Amendoim!$E21:INDEX(Amendoim!$E21:$Z21,MIN(AS$6-$G$3,22))),0)))))</f>
        <v>0</v>
      </c>
      <c r="AT23" s="27" t="n">
        <f aca="false">IF(COUNT(Amendoim!$E21:$Z21)=0,0,MAX(0,IF((AT$6-$E$3)&lt;1,0,IFERROR(LOOKUP(2,1/(Amendoim!$E21:INDEX(Amendoim!$E21:$Z21,MIN(AT$6-$E$3,22))&lt;&gt;""),Amendoim!$E21:INDEX(Amendoim!$E21:$Z21,MIN(AT$6-$E$3,22))),0))-IF($G$2,0,IF((AT$6-$G$3)&lt;1,0,IFERROR(LOOKUP(2,1/(Amendoim!$E21:INDEX(Amendoim!$E21:$Z21,MIN(AT$6-$G$3,22))&lt;&gt;""),Amendoim!$E21:INDEX(Amendoim!$E21:$Z21,MIN(AT$6-$G$3,22))),0)))))</f>
        <v>0</v>
      </c>
      <c r="AU23" s="27" t="n">
        <f aca="false">IF(COUNT(Amendoim!$E21:$Z21)=0,0,MAX(0,IF((AU$6-$E$3)&lt;1,0,IFERROR(LOOKUP(2,1/(Amendoim!$E21:INDEX(Amendoim!$E21:$Z21,MIN(AU$6-$E$3,22))&lt;&gt;""),Amendoim!$E21:INDEX(Amendoim!$E21:$Z21,MIN(AU$6-$E$3,22))),0))-IF($G$2,0,IF((AU$6-$G$3)&lt;1,0,IFERROR(LOOKUP(2,1/(Amendoim!$E21:INDEX(Amendoim!$E21:$Z21,MIN(AU$6-$G$3,22))&lt;&gt;""),Amendoim!$E21:INDEX(Amendoim!$E21:$Z21,MIN(AU$6-$G$3,22))),0)))))</f>
        <v>0</v>
      </c>
      <c r="AV23" s="27" t="n">
        <f aca="false">IF(COUNT(Amendoim!$E21:$Z21)=0,0,MAX(0,IF((AV$6-$E$3)&lt;1,0,IFERROR(LOOKUP(2,1/(Amendoim!$E21:INDEX(Amendoim!$E21:$Z21,MIN(AV$6-$E$3,22))&lt;&gt;""),Amendoim!$E21:INDEX(Amendoim!$E21:$Z21,MIN(AV$6-$E$3,22))),0))-IF($G$2,0,IF((AV$6-$G$3)&lt;1,0,IFERROR(LOOKUP(2,1/(Amendoim!$E21:INDEX(Amendoim!$E21:$Z21,MIN(AV$6-$G$3,22))&lt;&gt;""),Amendoim!$E21:INDEX(Amendoim!$E21:$Z21,MIN(AV$6-$G$3,22))),0)))))</f>
        <v>0</v>
      </c>
      <c r="AW23" s="27" t="n">
        <f aca="false">IF(COUNT(Amendoim!$E21:$Z21)=0,0,MAX(0,IF((AW$6-$E$3)&lt;1,0,IFERROR(LOOKUP(2,1/(Amendoim!$E21:INDEX(Amendoim!$E21:$Z21,MIN(AW$6-$E$3,22))&lt;&gt;""),Amendoim!$E21:INDEX(Amendoim!$E21:$Z21,MIN(AW$6-$E$3,22))),0))-IF($G$2,0,IF((AW$6-$G$3)&lt;1,0,IFERROR(LOOKUP(2,1/(Amendoim!$E21:INDEX(Amendoim!$E21:$Z21,MIN(AW$6-$G$3,22))&lt;&gt;""),Amendoim!$E21:INDEX(Amendoim!$E21:$Z21,MIN(AW$6-$G$3,22))),0)))))</f>
        <v>0</v>
      </c>
      <c r="AX23" s="27" t="n">
        <f aca="false">IF(COUNT(Amendoim!$E21:$Z21)=0,0,MAX(0,IF((AX$6-$E$3)&lt;1,0,IFERROR(LOOKUP(2,1/(Amendoim!$E21:INDEX(Amendoim!$E21:$Z21,MIN(AX$6-$E$3,22))&lt;&gt;""),Amendoim!$E21:INDEX(Amendoim!$E21:$Z21,MIN(AX$6-$E$3,22))),0))-IF($G$2,0,IF((AX$6-$G$3)&lt;1,0,IFERROR(LOOKUP(2,1/(Amendoim!$E21:INDEX(Amendoim!$E21:$Z21,MIN(AX$6-$G$3,22))&lt;&gt;""),Amendoim!$E21:INDEX(Amendoim!$E21:$Z21,MIN(AX$6-$G$3,22))),0)))))</f>
        <v>0</v>
      </c>
      <c r="AY23" s="27" t="n">
        <f aca="false">IF(COUNT(Amendoim!$E21:$Z21)=0,0,MAX(0,IF((AY$6-$E$3)&lt;1,0,IFERROR(LOOKUP(2,1/(Amendoim!$E21:INDEX(Amendoim!$E21:$Z21,MIN(AY$6-$E$3,22))&lt;&gt;""),Amendoim!$E21:INDEX(Amendoim!$E21:$Z21,MIN(AY$6-$E$3,22))),0))-IF($G$2,0,IF((AY$6-$G$3)&lt;1,0,IFERROR(LOOKUP(2,1/(Amendoim!$E21:INDEX(Amendoim!$E21:$Z21,MIN(AY$6-$G$3,22))&lt;&gt;""),Amendoim!$E21:INDEX(Amendoim!$E21:$Z21,MIN(AY$6-$G$3,22))),0)))))</f>
        <v>0</v>
      </c>
      <c r="AZ23" s="27" t="n">
        <f aca="false">IF(COUNT(Amendoim!$E21:$Z21)=0,0,MAX(0,IF((AZ$6-$E$3)&lt;1,0,IFERROR(LOOKUP(2,1/(Amendoim!$E21:INDEX(Amendoim!$E21:$Z21,MIN(AZ$6-$E$3,22))&lt;&gt;""),Amendoim!$E21:INDEX(Amendoim!$E21:$Z21,MIN(AZ$6-$E$3,22))),0))-IF($G$2,0,IF((AZ$6-$G$3)&lt;1,0,IFERROR(LOOKUP(2,1/(Amendoim!$E21:INDEX(Amendoim!$E21:$Z21,MIN(AZ$6-$G$3,22))&lt;&gt;""),Amendoim!$E21:INDEX(Amendoim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IF(COUNT(Amendoim!$E22:$Z22)&gt;0,N(Amendoim!$D22),0)</f>
        <v>0</v>
      </c>
      <c r="E24" s="27" t="n">
        <f aca="false">IF(COUNT(Amendoim!$E22:$Z22)=0,0,MAX(0,IF((E$6-$E$3)&lt;1,0,IFERROR(LOOKUP(2,1/(Amendoim!$E22:INDEX(Amendoim!$E22:$Z22,MIN(E$6-$E$3,22))&lt;&gt;""),Amendoim!$E22:INDEX(Amendoim!$E22:$Z22,MIN(E$6-$E$3,22))),0))-IF($G$2,0,IF((E$6-$G$3)&lt;1,0,IFERROR(LOOKUP(2,1/(Amendoim!$E22:INDEX(Amendoim!$E22:$Z22,MIN(E$6-$G$3,22))&lt;&gt;""),Amendoim!$E22:INDEX(Amendoim!$E22:$Z22,MIN(E$6-$G$3,22))),0)))))</f>
        <v>0</v>
      </c>
      <c r="F24" s="27" t="n">
        <f aca="false">IF(COUNT(Amendoim!$E22:$Z22)=0,0,MAX(0,IF((F$6-$E$3)&lt;1,0,IFERROR(LOOKUP(2,1/(Amendoim!$E22:INDEX(Amendoim!$E22:$Z22,MIN(F$6-$E$3,22))&lt;&gt;""),Amendoim!$E22:INDEX(Amendoim!$E22:$Z22,MIN(F$6-$E$3,22))),0))-IF($G$2,0,IF((F$6-$G$3)&lt;1,0,IFERROR(LOOKUP(2,1/(Amendoim!$E22:INDEX(Amendoim!$E22:$Z22,MIN(F$6-$G$3,22))&lt;&gt;""),Amendoim!$E22:INDEX(Amendoim!$E22:$Z22,MIN(F$6-$G$3,22))),0)))))</f>
        <v>0</v>
      </c>
      <c r="G24" s="27" t="n">
        <f aca="false">IF(COUNT(Amendoim!$E22:$Z22)=0,0,MAX(0,IF((G$6-$E$3)&lt;1,0,IFERROR(LOOKUP(2,1/(Amendoim!$E22:INDEX(Amendoim!$E22:$Z22,MIN(G$6-$E$3,22))&lt;&gt;""),Amendoim!$E22:INDEX(Amendoim!$E22:$Z22,MIN(G$6-$E$3,22))),0))-IF($G$2,0,IF((G$6-$G$3)&lt;1,0,IFERROR(LOOKUP(2,1/(Amendoim!$E22:INDEX(Amendoim!$E22:$Z22,MIN(G$6-$G$3,22))&lt;&gt;""),Amendoim!$E22:INDEX(Amendoim!$E22:$Z22,MIN(G$6-$G$3,22))),0)))))</f>
        <v>0</v>
      </c>
      <c r="H24" s="27" t="n">
        <f aca="false">IF(COUNT(Amendoim!$E22:$Z22)=0,0,MAX(0,IF((H$6-$E$3)&lt;1,0,IFERROR(LOOKUP(2,1/(Amendoim!$E22:INDEX(Amendoim!$E22:$Z22,MIN(H$6-$E$3,22))&lt;&gt;""),Amendoim!$E22:INDEX(Amendoim!$E22:$Z22,MIN(H$6-$E$3,22))),0))-IF($G$2,0,IF((H$6-$G$3)&lt;1,0,IFERROR(LOOKUP(2,1/(Amendoim!$E22:INDEX(Amendoim!$E22:$Z22,MIN(H$6-$G$3,22))&lt;&gt;""),Amendoim!$E22:INDEX(Amendoim!$E22:$Z22,MIN(H$6-$G$3,22))),0)))))</f>
        <v>0</v>
      </c>
      <c r="I24" s="27" t="n">
        <f aca="false">IF(COUNT(Amendoim!$E22:$Z22)=0,0,MAX(0,IF((I$6-$E$3)&lt;1,0,IFERROR(LOOKUP(2,1/(Amendoim!$E22:INDEX(Amendoim!$E22:$Z22,MIN(I$6-$E$3,22))&lt;&gt;""),Amendoim!$E22:INDEX(Amendoim!$E22:$Z22,MIN(I$6-$E$3,22))),0))-IF($G$2,0,IF((I$6-$G$3)&lt;1,0,IFERROR(LOOKUP(2,1/(Amendoim!$E22:INDEX(Amendoim!$E22:$Z22,MIN(I$6-$G$3,22))&lt;&gt;""),Amendoim!$E22:INDEX(Amendoim!$E22:$Z22,MIN(I$6-$G$3,22))),0)))))</f>
        <v>0</v>
      </c>
      <c r="J24" s="27" t="n">
        <f aca="false">IF(COUNT(Amendoim!$E22:$Z22)=0,0,MAX(0,IF((J$6-$E$3)&lt;1,0,IFERROR(LOOKUP(2,1/(Amendoim!$E22:INDEX(Amendoim!$E22:$Z22,MIN(J$6-$E$3,22))&lt;&gt;""),Amendoim!$E22:INDEX(Amendoim!$E22:$Z22,MIN(J$6-$E$3,22))),0))-IF($G$2,0,IF((J$6-$G$3)&lt;1,0,IFERROR(LOOKUP(2,1/(Amendoim!$E22:INDEX(Amendoim!$E22:$Z22,MIN(J$6-$G$3,22))&lt;&gt;""),Amendoim!$E22:INDEX(Amendoim!$E22:$Z22,MIN(J$6-$G$3,22))),0)))))</f>
        <v>0</v>
      </c>
      <c r="K24" s="27" t="n">
        <f aca="false">IF(COUNT(Amendoim!$E22:$Z22)=0,0,MAX(0,IF((K$6-$E$3)&lt;1,0,IFERROR(LOOKUP(2,1/(Amendoim!$E22:INDEX(Amendoim!$E22:$Z22,MIN(K$6-$E$3,22))&lt;&gt;""),Amendoim!$E22:INDEX(Amendoim!$E22:$Z22,MIN(K$6-$E$3,22))),0))-IF($G$2,0,IF((K$6-$G$3)&lt;1,0,IFERROR(LOOKUP(2,1/(Amendoim!$E22:INDEX(Amendoim!$E22:$Z22,MIN(K$6-$G$3,22))&lt;&gt;""),Amendoim!$E22:INDEX(Amendoim!$E22:$Z22,MIN(K$6-$G$3,22))),0)))))</f>
        <v>0</v>
      </c>
      <c r="L24" s="27" t="n">
        <f aca="false">IF(COUNT(Amendoim!$E22:$Z22)=0,0,MAX(0,IF((L$6-$E$3)&lt;1,0,IFERROR(LOOKUP(2,1/(Amendoim!$E22:INDEX(Amendoim!$E22:$Z22,MIN(L$6-$E$3,22))&lt;&gt;""),Amendoim!$E22:INDEX(Amendoim!$E22:$Z22,MIN(L$6-$E$3,22))),0))-IF($G$2,0,IF((L$6-$G$3)&lt;1,0,IFERROR(LOOKUP(2,1/(Amendoim!$E22:INDEX(Amendoim!$E22:$Z22,MIN(L$6-$G$3,22))&lt;&gt;""),Amendoim!$E22:INDEX(Amendoim!$E22:$Z22,MIN(L$6-$G$3,22))),0)))))</f>
        <v>0</v>
      </c>
      <c r="M24" s="27" t="n">
        <f aca="false">IF(COUNT(Amendoim!$E22:$Z22)=0,0,MAX(0,IF((M$6-$E$3)&lt;1,0,IFERROR(LOOKUP(2,1/(Amendoim!$E22:INDEX(Amendoim!$E22:$Z22,MIN(M$6-$E$3,22))&lt;&gt;""),Amendoim!$E22:INDEX(Amendoim!$E22:$Z22,MIN(M$6-$E$3,22))),0))-IF($G$2,0,IF((M$6-$G$3)&lt;1,0,IFERROR(LOOKUP(2,1/(Amendoim!$E22:INDEX(Amendoim!$E22:$Z22,MIN(M$6-$G$3,22))&lt;&gt;""),Amendoim!$E22:INDEX(Amendoim!$E22:$Z22,MIN(M$6-$G$3,22))),0)))))</f>
        <v>0</v>
      </c>
      <c r="N24" s="27" t="n">
        <f aca="false">IF(COUNT(Amendoim!$E22:$Z22)=0,0,MAX(0,IF((N$6-$E$3)&lt;1,0,IFERROR(LOOKUP(2,1/(Amendoim!$E22:INDEX(Amendoim!$E22:$Z22,MIN(N$6-$E$3,22))&lt;&gt;""),Amendoim!$E22:INDEX(Amendoim!$E22:$Z22,MIN(N$6-$E$3,22))),0))-IF($G$2,0,IF((N$6-$G$3)&lt;1,0,IFERROR(LOOKUP(2,1/(Amendoim!$E22:INDEX(Amendoim!$E22:$Z22,MIN(N$6-$G$3,22))&lt;&gt;""),Amendoim!$E22:INDEX(Amendoim!$E22:$Z22,MIN(N$6-$G$3,22))),0)))))</f>
        <v>0</v>
      </c>
      <c r="O24" s="27" t="n">
        <f aca="false">IF(COUNT(Amendoim!$E22:$Z22)=0,0,MAX(0,IF((O$6-$E$3)&lt;1,0,IFERROR(LOOKUP(2,1/(Amendoim!$E22:INDEX(Amendoim!$E22:$Z22,MIN(O$6-$E$3,22))&lt;&gt;""),Amendoim!$E22:INDEX(Amendoim!$E22:$Z22,MIN(O$6-$E$3,22))),0))-IF($G$2,0,IF((O$6-$G$3)&lt;1,0,IFERROR(LOOKUP(2,1/(Amendoim!$E22:INDEX(Amendoim!$E22:$Z22,MIN(O$6-$G$3,22))&lt;&gt;""),Amendoim!$E22:INDEX(Amendoim!$E22:$Z22,MIN(O$6-$G$3,22))),0)))))</f>
        <v>0</v>
      </c>
      <c r="P24" s="27" t="n">
        <f aca="false">IF(COUNT(Amendoim!$E22:$Z22)=0,0,MAX(0,IF((P$6-$E$3)&lt;1,0,IFERROR(LOOKUP(2,1/(Amendoim!$E22:INDEX(Amendoim!$E22:$Z22,MIN(P$6-$E$3,22))&lt;&gt;""),Amendoim!$E22:INDEX(Amendoim!$E22:$Z22,MIN(P$6-$E$3,22))),0))-IF($G$2,0,IF((P$6-$G$3)&lt;1,0,IFERROR(LOOKUP(2,1/(Amendoim!$E22:INDEX(Amendoim!$E22:$Z22,MIN(P$6-$G$3,22))&lt;&gt;""),Amendoim!$E22:INDEX(Amendoim!$E22:$Z22,MIN(P$6-$G$3,22))),0)))))</f>
        <v>0</v>
      </c>
      <c r="Q24" s="27" t="n">
        <f aca="false">IF(COUNT(Amendoim!$E22:$Z22)=0,0,MAX(0,IF((Q$6-$E$3)&lt;1,0,IFERROR(LOOKUP(2,1/(Amendoim!$E22:INDEX(Amendoim!$E22:$Z22,MIN(Q$6-$E$3,22))&lt;&gt;""),Amendoim!$E22:INDEX(Amendoim!$E22:$Z22,MIN(Q$6-$E$3,22))),0))-IF($G$2,0,IF((Q$6-$G$3)&lt;1,0,IFERROR(LOOKUP(2,1/(Amendoim!$E22:INDEX(Amendoim!$E22:$Z22,MIN(Q$6-$G$3,22))&lt;&gt;""),Amendoim!$E22:INDEX(Amendoim!$E22:$Z22,MIN(Q$6-$G$3,22))),0)))))</f>
        <v>0</v>
      </c>
      <c r="R24" s="27" t="n">
        <f aca="false">IF(COUNT(Amendoim!$E22:$Z22)=0,0,MAX(0,IF((R$6-$E$3)&lt;1,0,IFERROR(LOOKUP(2,1/(Amendoim!$E22:INDEX(Amendoim!$E22:$Z22,MIN(R$6-$E$3,22))&lt;&gt;""),Amendoim!$E22:INDEX(Amendoim!$E22:$Z22,MIN(R$6-$E$3,22))),0))-IF($G$2,0,IF((R$6-$G$3)&lt;1,0,IFERROR(LOOKUP(2,1/(Amendoim!$E22:INDEX(Amendoim!$E22:$Z22,MIN(R$6-$G$3,22))&lt;&gt;""),Amendoim!$E22:INDEX(Amendoim!$E22:$Z22,MIN(R$6-$G$3,22))),0)))))</f>
        <v>0</v>
      </c>
      <c r="S24" s="27" t="n">
        <f aca="false">IF(COUNT(Amendoim!$E22:$Z22)=0,0,MAX(0,IF((S$6-$E$3)&lt;1,0,IFERROR(LOOKUP(2,1/(Amendoim!$E22:INDEX(Amendoim!$E22:$Z22,MIN(S$6-$E$3,22))&lt;&gt;""),Amendoim!$E22:INDEX(Amendoim!$E22:$Z22,MIN(S$6-$E$3,22))),0))-IF($G$2,0,IF((S$6-$G$3)&lt;1,0,IFERROR(LOOKUP(2,1/(Amendoim!$E22:INDEX(Amendoim!$E22:$Z22,MIN(S$6-$G$3,22))&lt;&gt;""),Amendoim!$E22:INDEX(Amendoim!$E22:$Z22,MIN(S$6-$G$3,22))),0)))))</f>
        <v>0</v>
      </c>
      <c r="T24" s="27" t="n">
        <f aca="false">IF(COUNT(Amendoim!$E22:$Z22)=0,0,MAX(0,IF((T$6-$E$3)&lt;1,0,IFERROR(LOOKUP(2,1/(Amendoim!$E22:INDEX(Amendoim!$E22:$Z22,MIN(T$6-$E$3,22))&lt;&gt;""),Amendoim!$E22:INDEX(Amendoim!$E22:$Z22,MIN(T$6-$E$3,22))),0))-IF($G$2,0,IF((T$6-$G$3)&lt;1,0,IFERROR(LOOKUP(2,1/(Amendoim!$E22:INDEX(Amendoim!$E22:$Z22,MIN(T$6-$G$3,22))&lt;&gt;""),Amendoim!$E22:INDEX(Amendoim!$E22:$Z22,MIN(T$6-$G$3,22))),0)))))</f>
        <v>0</v>
      </c>
      <c r="U24" s="27" t="n">
        <f aca="false">IF(COUNT(Amendoim!$E22:$Z22)=0,0,MAX(0,IF((U$6-$E$3)&lt;1,0,IFERROR(LOOKUP(2,1/(Amendoim!$E22:INDEX(Amendoim!$E22:$Z22,MIN(U$6-$E$3,22))&lt;&gt;""),Amendoim!$E22:INDEX(Amendoim!$E22:$Z22,MIN(U$6-$E$3,22))),0))-IF($G$2,0,IF((U$6-$G$3)&lt;1,0,IFERROR(LOOKUP(2,1/(Amendoim!$E22:INDEX(Amendoim!$E22:$Z22,MIN(U$6-$G$3,22))&lt;&gt;""),Amendoim!$E22:INDEX(Amendoim!$E22:$Z22,MIN(U$6-$G$3,22))),0)))))</f>
        <v>0</v>
      </c>
      <c r="V24" s="27" t="n">
        <f aca="false">IF(COUNT(Amendoim!$E22:$Z22)=0,0,MAX(0,IF((V$6-$E$3)&lt;1,0,IFERROR(LOOKUP(2,1/(Amendoim!$E22:INDEX(Amendoim!$E22:$Z22,MIN(V$6-$E$3,22))&lt;&gt;""),Amendoim!$E22:INDEX(Amendoim!$E22:$Z22,MIN(V$6-$E$3,22))),0))-IF($G$2,0,IF((V$6-$G$3)&lt;1,0,IFERROR(LOOKUP(2,1/(Amendoim!$E22:INDEX(Amendoim!$E22:$Z22,MIN(V$6-$G$3,22))&lt;&gt;""),Amendoim!$E22:INDEX(Amendoim!$E22:$Z22,MIN(V$6-$G$3,22))),0)))))</f>
        <v>0</v>
      </c>
      <c r="W24" s="27" t="n">
        <f aca="false">IF(COUNT(Amendoim!$E22:$Z22)=0,0,MAX(0,IF((W$6-$E$3)&lt;1,0,IFERROR(LOOKUP(2,1/(Amendoim!$E22:INDEX(Amendoim!$E22:$Z22,MIN(W$6-$E$3,22))&lt;&gt;""),Amendoim!$E22:INDEX(Amendoim!$E22:$Z22,MIN(W$6-$E$3,22))),0))-IF($G$2,0,IF((W$6-$G$3)&lt;1,0,IFERROR(LOOKUP(2,1/(Amendoim!$E22:INDEX(Amendoim!$E22:$Z22,MIN(W$6-$G$3,22))&lt;&gt;""),Amendoim!$E22:INDEX(Amendoim!$E22:$Z22,MIN(W$6-$G$3,22))),0)))))</f>
        <v>0</v>
      </c>
      <c r="X24" s="27" t="n">
        <f aca="false">IF(COUNT(Amendoim!$E22:$Z22)=0,0,MAX(0,IF((X$6-$E$3)&lt;1,0,IFERROR(LOOKUP(2,1/(Amendoim!$E22:INDEX(Amendoim!$E22:$Z22,MIN(X$6-$E$3,22))&lt;&gt;""),Amendoim!$E22:INDEX(Amendoim!$E22:$Z22,MIN(X$6-$E$3,22))),0))-IF($G$2,0,IF((X$6-$G$3)&lt;1,0,IFERROR(LOOKUP(2,1/(Amendoim!$E22:INDEX(Amendoim!$E22:$Z22,MIN(X$6-$G$3,22))&lt;&gt;""),Amendoim!$E22:INDEX(Amendoim!$E22:$Z22,MIN(X$6-$G$3,22))),0)))))</f>
        <v>0</v>
      </c>
      <c r="Y24" s="27" t="n">
        <f aca="false">IF(COUNT(Amendoim!$E22:$Z22)=0,0,MAX(0,IF((Y$6-$E$3)&lt;1,0,IFERROR(LOOKUP(2,1/(Amendoim!$E22:INDEX(Amendoim!$E22:$Z22,MIN(Y$6-$E$3,22))&lt;&gt;""),Amendoim!$E22:INDEX(Amendoim!$E22:$Z22,MIN(Y$6-$E$3,22))),0))-IF($G$2,0,IF((Y$6-$G$3)&lt;1,0,IFERROR(LOOKUP(2,1/(Amendoim!$E22:INDEX(Amendoim!$E22:$Z22,MIN(Y$6-$G$3,22))&lt;&gt;""),Amendoim!$E22:INDEX(Amendoim!$E22:$Z22,MIN(Y$6-$G$3,22))),0)))))</f>
        <v>0</v>
      </c>
      <c r="Z24" s="27" t="n">
        <f aca="false">IF(COUNT(Amendoim!$E22:$Z22)=0,0,MAX(0,IF((Z$6-$E$3)&lt;1,0,IFERROR(LOOKUP(2,1/(Amendoim!$E22:INDEX(Amendoim!$E22:$Z22,MIN(Z$6-$E$3,22))&lt;&gt;""),Amendoim!$E22:INDEX(Amendoim!$E22:$Z22,MIN(Z$6-$E$3,22))),0))-IF($G$2,0,IF((Z$6-$G$3)&lt;1,0,IFERROR(LOOKUP(2,1/(Amendoim!$E22:INDEX(Amendoim!$E22:$Z22,MIN(Z$6-$G$3,22))&lt;&gt;""),Amendoim!$E22:INDEX(Amendoim!$E22:$Z22,MIN(Z$6-$G$3,22))),0)))))</f>
        <v>0</v>
      </c>
      <c r="AA24" s="27" t="n">
        <f aca="false">IF(COUNT(Amendoim!$E22:$Z22)=0,0,MAX(0,IF((AA$6-$E$3)&lt;1,0,IFERROR(LOOKUP(2,1/(Amendoim!$E22:INDEX(Amendoim!$E22:$Z22,MIN(AA$6-$E$3,22))&lt;&gt;""),Amendoim!$E22:INDEX(Amendoim!$E22:$Z22,MIN(AA$6-$E$3,22))),0))-IF($G$2,0,IF((AA$6-$G$3)&lt;1,0,IFERROR(LOOKUP(2,1/(Amendoim!$E22:INDEX(Amendoim!$E22:$Z22,MIN(AA$6-$G$3,22))&lt;&gt;""),Amendoim!$E22:INDEX(Amendoim!$E22:$Z22,MIN(AA$6-$G$3,22))),0)))))</f>
        <v>0</v>
      </c>
      <c r="AB24" s="27" t="n">
        <f aca="false">IF(COUNT(Amendoim!$E22:$Z22)=0,0,MAX(0,IF((AB$6-$E$3)&lt;1,0,IFERROR(LOOKUP(2,1/(Amendoim!$E22:INDEX(Amendoim!$E22:$Z22,MIN(AB$6-$E$3,22))&lt;&gt;""),Amendoim!$E22:INDEX(Amendoim!$E22:$Z22,MIN(AB$6-$E$3,22))),0))-IF($G$2,0,IF((AB$6-$G$3)&lt;1,0,IFERROR(LOOKUP(2,1/(Amendoim!$E22:INDEX(Amendoim!$E22:$Z22,MIN(AB$6-$G$3,22))&lt;&gt;""),Amendoim!$E22:INDEX(Amendoim!$E22:$Z22,MIN(AB$6-$G$3,22))),0)))))</f>
        <v>0</v>
      </c>
      <c r="AC24" s="27" t="n">
        <f aca="false">IF(COUNT(Amendoim!$E22:$Z22)=0,0,MAX(0,IF((AC$6-$E$3)&lt;1,0,IFERROR(LOOKUP(2,1/(Amendoim!$E22:INDEX(Amendoim!$E22:$Z22,MIN(AC$6-$E$3,22))&lt;&gt;""),Amendoim!$E22:INDEX(Amendoim!$E22:$Z22,MIN(AC$6-$E$3,22))),0))-IF($G$2,0,IF((AC$6-$G$3)&lt;1,0,IFERROR(LOOKUP(2,1/(Amendoim!$E22:INDEX(Amendoim!$E22:$Z22,MIN(AC$6-$G$3,22))&lt;&gt;""),Amendoim!$E22:INDEX(Amendoim!$E22:$Z22,MIN(AC$6-$G$3,22))),0)))))</f>
        <v>0</v>
      </c>
      <c r="AD24" s="27" t="n">
        <f aca="false">IF(COUNT(Amendoim!$E22:$Z22)=0,0,MAX(0,IF((AD$6-$E$3)&lt;1,0,IFERROR(LOOKUP(2,1/(Amendoim!$E22:INDEX(Amendoim!$E22:$Z22,MIN(AD$6-$E$3,22))&lt;&gt;""),Amendoim!$E22:INDEX(Amendoim!$E22:$Z22,MIN(AD$6-$E$3,22))),0))-IF($G$2,0,IF((AD$6-$G$3)&lt;1,0,IFERROR(LOOKUP(2,1/(Amendoim!$E22:INDEX(Amendoim!$E22:$Z22,MIN(AD$6-$G$3,22))&lt;&gt;""),Amendoim!$E22:INDEX(Amendoim!$E22:$Z22,MIN(AD$6-$G$3,22))),0)))))</f>
        <v>0</v>
      </c>
      <c r="AE24" s="27" t="n">
        <f aca="false">IF(COUNT(Amendoim!$E22:$Z22)=0,0,MAX(0,IF((AE$6-$E$3)&lt;1,0,IFERROR(LOOKUP(2,1/(Amendoim!$E22:INDEX(Amendoim!$E22:$Z22,MIN(AE$6-$E$3,22))&lt;&gt;""),Amendoim!$E22:INDEX(Amendoim!$E22:$Z22,MIN(AE$6-$E$3,22))),0))-IF($G$2,0,IF((AE$6-$G$3)&lt;1,0,IFERROR(LOOKUP(2,1/(Amendoim!$E22:INDEX(Amendoim!$E22:$Z22,MIN(AE$6-$G$3,22))&lt;&gt;""),Amendoim!$E22:INDEX(Amendoim!$E22:$Z22,MIN(AE$6-$G$3,22))),0)))))</f>
        <v>0</v>
      </c>
      <c r="AF24" s="27" t="n">
        <f aca="false">IF(COUNT(Amendoim!$E22:$Z22)=0,0,MAX(0,IF((AF$6-$E$3)&lt;1,0,IFERROR(LOOKUP(2,1/(Amendoim!$E22:INDEX(Amendoim!$E22:$Z22,MIN(AF$6-$E$3,22))&lt;&gt;""),Amendoim!$E22:INDEX(Amendoim!$E22:$Z22,MIN(AF$6-$E$3,22))),0))-IF($G$2,0,IF((AF$6-$G$3)&lt;1,0,IFERROR(LOOKUP(2,1/(Amendoim!$E22:INDEX(Amendoim!$E22:$Z22,MIN(AF$6-$G$3,22))&lt;&gt;""),Amendoim!$E22:INDEX(Amendoim!$E22:$Z22,MIN(AF$6-$G$3,22))),0)))))</f>
        <v>0</v>
      </c>
      <c r="AG24" s="27" t="n">
        <f aca="false">IF(COUNT(Amendoim!$E22:$Z22)=0,0,MAX(0,IF((AG$6-$E$3)&lt;1,0,IFERROR(LOOKUP(2,1/(Amendoim!$E22:INDEX(Amendoim!$E22:$Z22,MIN(AG$6-$E$3,22))&lt;&gt;""),Amendoim!$E22:INDEX(Amendoim!$E22:$Z22,MIN(AG$6-$E$3,22))),0))-IF($G$2,0,IF((AG$6-$G$3)&lt;1,0,IFERROR(LOOKUP(2,1/(Amendoim!$E22:INDEX(Amendoim!$E22:$Z22,MIN(AG$6-$G$3,22))&lt;&gt;""),Amendoim!$E22:INDEX(Amendoim!$E22:$Z22,MIN(AG$6-$G$3,22))),0)))))</f>
        <v>0</v>
      </c>
      <c r="AH24" s="27" t="n">
        <f aca="false">IF(COUNT(Amendoim!$E22:$Z22)=0,0,MAX(0,IF((AH$6-$E$3)&lt;1,0,IFERROR(LOOKUP(2,1/(Amendoim!$E22:INDEX(Amendoim!$E22:$Z22,MIN(AH$6-$E$3,22))&lt;&gt;""),Amendoim!$E22:INDEX(Amendoim!$E22:$Z22,MIN(AH$6-$E$3,22))),0))-IF($G$2,0,IF((AH$6-$G$3)&lt;1,0,IFERROR(LOOKUP(2,1/(Amendoim!$E22:INDEX(Amendoim!$E22:$Z22,MIN(AH$6-$G$3,22))&lt;&gt;""),Amendoim!$E22:INDEX(Amendoim!$E22:$Z22,MIN(AH$6-$G$3,22))),0)))))</f>
        <v>0</v>
      </c>
      <c r="AI24" s="27" t="n">
        <f aca="false">IF(COUNT(Amendoim!$E22:$Z22)=0,0,MAX(0,IF((AI$6-$E$3)&lt;1,0,IFERROR(LOOKUP(2,1/(Amendoim!$E22:INDEX(Amendoim!$E22:$Z22,MIN(AI$6-$E$3,22))&lt;&gt;""),Amendoim!$E22:INDEX(Amendoim!$E22:$Z22,MIN(AI$6-$E$3,22))),0))-IF($G$2,0,IF((AI$6-$G$3)&lt;1,0,IFERROR(LOOKUP(2,1/(Amendoim!$E22:INDEX(Amendoim!$E22:$Z22,MIN(AI$6-$G$3,22))&lt;&gt;""),Amendoim!$E22:INDEX(Amendoim!$E22:$Z22,MIN(AI$6-$G$3,22))),0)))))</f>
        <v>0</v>
      </c>
      <c r="AJ24" s="27" t="n">
        <f aca="false">IF(COUNT(Amendoim!$E22:$Z22)=0,0,MAX(0,IF((AJ$6-$E$3)&lt;1,0,IFERROR(LOOKUP(2,1/(Amendoim!$E22:INDEX(Amendoim!$E22:$Z22,MIN(AJ$6-$E$3,22))&lt;&gt;""),Amendoim!$E22:INDEX(Amendoim!$E22:$Z22,MIN(AJ$6-$E$3,22))),0))-IF($G$2,0,IF((AJ$6-$G$3)&lt;1,0,IFERROR(LOOKUP(2,1/(Amendoim!$E22:INDEX(Amendoim!$E22:$Z22,MIN(AJ$6-$G$3,22))&lt;&gt;""),Amendoim!$E22:INDEX(Amendoim!$E22:$Z22,MIN(AJ$6-$G$3,22))),0)))))</f>
        <v>0</v>
      </c>
      <c r="AK24" s="27" t="n">
        <f aca="false">IF(COUNT(Amendoim!$E22:$Z22)=0,0,MAX(0,IF((AK$6-$E$3)&lt;1,0,IFERROR(LOOKUP(2,1/(Amendoim!$E22:INDEX(Amendoim!$E22:$Z22,MIN(AK$6-$E$3,22))&lt;&gt;""),Amendoim!$E22:INDEX(Amendoim!$E22:$Z22,MIN(AK$6-$E$3,22))),0))-IF($G$2,0,IF((AK$6-$G$3)&lt;1,0,IFERROR(LOOKUP(2,1/(Amendoim!$E22:INDEX(Amendoim!$E22:$Z22,MIN(AK$6-$G$3,22))&lt;&gt;""),Amendoim!$E22:INDEX(Amendoim!$E22:$Z22,MIN(AK$6-$G$3,22))),0)))))</f>
        <v>0</v>
      </c>
      <c r="AL24" s="27" t="n">
        <f aca="false">IF(COUNT(Amendoim!$E22:$Z22)=0,0,MAX(0,IF((AL$6-$E$3)&lt;1,0,IFERROR(LOOKUP(2,1/(Amendoim!$E22:INDEX(Amendoim!$E22:$Z22,MIN(AL$6-$E$3,22))&lt;&gt;""),Amendoim!$E22:INDEX(Amendoim!$E22:$Z22,MIN(AL$6-$E$3,22))),0))-IF($G$2,0,IF((AL$6-$G$3)&lt;1,0,IFERROR(LOOKUP(2,1/(Amendoim!$E22:INDEX(Amendoim!$E22:$Z22,MIN(AL$6-$G$3,22))&lt;&gt;""),Amendoim!$E22:INDEX(Amendoim!$E22:$Z22,MIN(AL$6-$G$3,22))),0)))))</f>
        <v>0</v>
      </c>
      <c r="AM24" s="27" t="n">
        <f aca="false">IF(COUNT(Amendoim!$E22:$Z22)=0,0,MAX(0,IF((AM$6-$E$3)&lt;1,0,IFERROR(LOOKUP(2,1/(Amendoim!$E22:INDEX(Amendoim!$E22:$Z22,MIN(AM$6-$E$3,22))&lt;&gt;""),Amendoim!$E22:INDEX(Amendoim!$E22:$Z22,MIN(AM$6-$E$3,22))),0))-IF($G$2,0,IF((AM$6-$G$3)&lt;1,0,IFERROR(LOOKUP(2,1/(Amendoim!$E22:INDEX(Amendoim!$E22:$Z22,MIN(AM$6-$G$3,22))&lt;&gt;""),Amendoim!$E22:INDEX(Amendoim!$E22:$Z22,MIN(AM$6-$G$3,22))),0)))))</f>
        <v>0</v>
      </c>
      <c r="AN24" s="27" t="n">
        <f aca="false">IF(COUNT(Amendoim!$E22:$Z22)=0,0,MAX(0,IF((AN$6-$E$3)&lt;1,0,IFERROR(LOOKUP(2,1/(Amendoim!$E22:INDEX(Amendoim!$E22:$Z22,MIN(AN$6-$E$3,22))&lt;&gt;""),Amendoim!$E22:INDEX(Amendoim!$E22:$Z22,MIN(AN$6-$E$3,22))),0))-IF($G$2,0,IF((AN$6-$G$3)&lt;1,0,IFERROR(LOOKUP(2,1/(Amendoim!$E22:INDEX(Amendoim!$E22:$Z22,MIN(AN$6-$G$3,22))&lt;&gt;""),Amendoim!$E22:INDEX(Amendoim!$E22:$Z22,MIN(AN$6-$G$3,22))),0)))))</f>
        <v>0</v>
      </c>
      <c r="AO24" s="27" t="n">
        <f aca="false">IF(COUNT(Amendoim!$E22:$Z22)=0,0,MAX(0,IF((AO$6-$E$3)&lt;1,0,IFERROR(LOOKUP(2,1/(Amendoim!$E22:INDEX(Amendoim!$E22:$Z22,MIN(AO$6-$E$3,22))&lt;&gt;""),Amendoim!$E22:INDEX(Amendoim!$E22:$Z22,MIN(AO$6-$E$3,22))),0))-IF($G$2,0,IF((AO$6-$G$3)&lt;1,0,IFERROR(LOOKUP(2,1/(Amendoim!$E22:INDEX(Amendoim!$E22:$Z22,MIN(AO$6-$G$3,22))&lt;&gt;""),Amendoim!$E22:INDEX(Amendoim!$E22:$Z22,MIN(AO$6-$G$3,22))),0)))))</f>
        <v>0</v>
      </c>
      <c r="AP24" s="27" t="n">
        <f aca="false">IF(COUNT(Amendoim!$E22:$Z22)=0,0,MAX(0,IF((AP$6-$E$3)&lt;1,0,IFERROR(LOOKUP(2,1/(Amendoim!$E22:INDEX(Amendoim!$E22:$Z22,MIN(AP$6-$E$3,22))&lt;&gt;""),Amendoim!$E22:INDEX(Amendoim!$E22:$Z22,MIN(AP$6-$E$3,22))),0))-IF($G$2,0,IF((AP$6-$G$3)&lt;1,0,IFERROR(LOOKUP(2,1/(Amendoim!$E22:INDEX(Amendoim!$E22:$Z22,MIN(AP$6-$G$3,22))&lt;&gt;""),Amendoim!$E22:INDEX(Amendoim!$E22:$Z22,MIN(AP$6-$G$3,22))),0)))))</f>
        <v>0</v>
      </c>
      <c r="AQ24" s="27" t="n">
        <f aca="false">IF(COUNT(Amendoim!$E22:$Z22)=0,0,MAX(0,IF((AQ$6-$E$3)&lt;1,0,IFERROR(LOOKUP(2,1/(Amendoim!$E22:INDEX(Amendoim!$E22:$Z22,MIN(AQ$6-$E$3,22))&lt;&gt;""),Amendoim!$E22:INDEX(Amendoim!$E22:$Z22,MIN(AQ$6-$E$3,22))),0))-IF($G$2,0,IF((AQ$6-$G$3)&lt;1,0,IFERROR(LOOKUP(2,1/(Amendoim!$E22:INDEX(Amendoim!$E22:$Z22,MIN(AQ$6-$G$3,22))&lt;&gt;""),Amendoim!$E22:INDEX(Amendoim!$E22:$Z22,MIN(AQ$6-$G$3,22))),0)))))</f>
        <v>0</v>
      </c>
      <c r="AR24" s="27" t="n">
        <f aca="false">IF(COUNT(Amendoim!$E22:$Z22)=0,0,MAX(0,IF((AR$6-$E$3)&lt;1,0,IFERROR(LOOKUP(2,1/(Amendoim!$E22:INDEX(Amendoim!$E22:$Z22,MIN(AR$6-$E$3,22))&lt;&gt;""),Amendoim!$E22:INDEX(Amendoim!$E22:$Z22,MIN(AR$6-$E$3,22))),0))-IF($G$2,0,IF((AR$6-$G$3)&lt;1,0,IFERROR(LOOKUP(2,1/(Amendoim!$E22:INDEX(Amendoim!$E22:$Z22,MIN(AR$6-$G$3,22))&lt;&gt;""),Amendoim!$E22:INDEX(Amendoim!$E22:$Z22,MIN(AR$6-$G$3,22))),0)))))</f>
        <v>0</v>
      </c>
      <c r="AS24" s="27" t="n">
        <f aca="false">IF(COUNT(Amendoim!$E22:$Z22)=0,0,MAX(0,IF((AS$6-$E$3)&lt;1,0,IFERROR(LOOKUP(2,1/(Amendoim!$E22:INDEX(Amendoim!$E22:$Z22,MIN(AS$6-$E$3,22))&lt;&gt;""),Amendoim!$E22:INDEX(Amendoim!$E22:$Z22,MIN(AS$6-$E$3,22))),0))-IF($G$2,0,IF((AS$6-$G$3)&lt;1,0,IFERROR(LOOKUP(2,1/(Amendoim!$E22:INDEX(Amendoim!$E22:$Z22,MIN(AS$6-$G$3,22))&lt;&gt;""),Amendoim!$E22:INDEX(Amendoim!$E22:$Z22,MIN(AS$6-$G$3,22))),0)))))</f>
        <v>0</v>
      </c>
      <c r="AT24" s="27" t="n">
        <f aca="false">IF(COUNT(Amendoim!$E22:$Z22)=0,0,MAX(0,IF((AT$6-$E$3)&lt;1,0,IFERROR(LOOKUP(2,1/(Amendoim!$E22:INDEX(Amendoim!$E22:$Z22,MIN(AT$6-$E$3,22))&lt;&gt;""),Amendoim!$E22:INDEX(Amendoim!$E22:$Z22,MIN(AT$6-$E$3,22))),0))-IF($G$2,0,IF((AT$6-$G$3)&lt;1,0,IFERROR(LOOKUP(2,1/(Amendoim!$E22:INDEX(Amendoim!$E22:$Z22,MIN(AT$6-$G$3,22))&lt;&gt;""),Amendoim!$E22:INDEX(Amendoim!$E22:$Z22,MIN(AT$6-$G$3,22))),0)))))</f>
        <v>0</v>
      </c>
      <c r="AU24" s="27" t="n">
        <f aca="false">IF(COUNT(Amendoim!$E22:$Z22)=0,0,MAX(0,IF((AU$6-$E$3)&lt;1,0,IFERROR(LOOKUP(2,1/(Amendoim!$E22:INDEX(Amendoim!$E22:$Z22,MIN(AU$6-$E$3,22))&lt;&gt;""),Amendoim!$E22:INDEX(Amendoim!$E22:$Z22,MIN(AU$6-$E$3,22))),0))-IF($G$2,0,IF((AU$6-$G$3)&lt;1,0,IFERROR(LOOKUP(2,1/(Amendoim!$E22:INDEX(Amendoim!$E22:$Z22,MIN(AU$6-$G$3,22))&lt;&gt;""),Amendoim!$E22:INDEX(Amendoim!$E22:$Z22,MIN(AU$6-$G$3,22))),0)))))</f>
        <v>0</v>
      </c>
      <c r="AV24" s="27" t="n">
        <f aca="false">IF(COUNT(Amendoim!$E22:$Z22)=0,0,MAX(0,IF((AV$6-$E$3)&lt;1,0,IFERROR(LOOKUP(2,1/(Amendoim!$E22:INDEX(Amendoim!$E22:$Z22,MIN(AV$6-$E$3,22))&lt;&gt;""),Amendoim!$E22:INDEX(Amendoim!$E22:$Z22,MIN(AV$6-$E$3,22))),0))-IF($G$2,0,IF((AV$6-$G$3)&lt;1,0,IFERROR(LOOKUP(2,1/(Amendoim!$E22:INDEX(Amendoim!$E22:$Z22,MIN(AV$6-$G$3,22))&lt;&gt;""),Amendoim!$E22:INDEX(Amendoim!$E22:$Z22,MIN(AV$6-$G$3,22))),0)))))</f>
        <v>0</v>
      </c>
      <c r="AW24" s="27" t="n">
        <f aca="false">IF(COUNT(Amendoim!$E22:$Z22)=0,0,MAX(0,IF((AW$6-$E$3)&lt;1,0,IFERROR(LOOKUP(2,1/(Amendoim!$E22:INDEX(Amendoim!$E22:$Z22,MIN(AW$6-$E$3,22))&lt;&gt;""),Amendoim!$E22:INDEX(Amendoim!$E22:$Z22,MIN(AW$6-$E$3,22))),0))-IF($G$2,0,IF((AW$6-$G$3)&lt;1,0,IFERROR(LOOKUP(2,1/(Amendoim!$E22:INDEX(Amendoim!$E22:$Z22,MIN(AW$6-$G$3,22))&lt;&gt;""),Amendoim!$E22:INDEX(Amendoim!$E22:$Z22,MIN(AW$6-$G$3,22))),0)))))</f>
        <v>0</v>
      </c>
      <c r="AX24" s="27" t="n">
        <f aca="false">IF(COUNT(Amendoim!$E22:$Z22)=0,0,MAX(0,IF((AX$6-$E$3)&lt;1,0,IFERROR(LOOKUP(2,1/(Amendoim!$E22:INDEX(Amendoim!$E22:$Z22,MIN(AX$6-$E$3,22))&lt;&gt;""),Amendoim!$E22:INDEX(Amendoim!$E22:$Z22,MIN(AX$6-$E$3,22))),0))-IF($G$2,0,IF((AX$6-$G$3)&lt;1,0,IFERROR(LOOKUP(2,1/(Amendoim!$E22:INDEX(Amendoim!$E22:$Z22,MIN(AX$6-$G$3,22))&lt;&gt;""),Amendoim!$E22:INDEX(Amendoim!$E22:$Z22,MIN(AX$6-$G$3,22))),0)))))</f>
        <v>0</v>
      </c>
      <c r="AY24" s="27" t="n">
        <f aca="false">IF(COUNT(Amendoim!$E22:$Z22)=0,0,MAX(0,IF((AY$6-$E$3)&lt;1,0,IFERROR(LOOKUP(2,1/(Amendoim!$E22:INDEX(Amendoim!$E22:$Z22,MIN(AY$6-$E$3,22))&lt;&gt;""),Amendoim!$E22:INDEX(Amendoim!$E22:$Z22,MIN(AY$6-$E$3,22))),0))-IF($G$2,0,IF((AY$6-$G$3)&lt;1,0,IFERROR(LOOKUP(2,1/(Amendoim!$E22:INDEX(Amendoim!$E22:$Z22,MIN(AY$6-$G$3,22))&lt;&gt;""),Amendoim!$E22:INDEX(Amendoim!$E22:$Z22,MIN(AY$6-$G$3,22))),0)))))</f>
        <v>0</v>
      </c>
      <c r="AZ24" s="27" t="n">
        <f aca="false">IF(COUNT(Amendoim!$E22:$Z22)=0,0,MAX(0,IF((AZ$6-$E$3)&lt;1,0,IFERROR(LOOKUP(2,1/(Amendoim!$E22:INDEX(Amendoim!$E22:$Z22,MIN(AZ$6-$E$3,22))&lt;&gt;""),Amendoim!$E22:INDEX(Amendoim!$E22:$Z22,MIN(AZ$6-$E$3,22))),0))-IF($G$2,0,IF((AZ$6-$G$3)&lt;1,0,IFERROR(LOOKUP(2,1/(Amendoim!$E22:INDEX(Amendoim!$E22:$Z22,MIN(AZ$6-$G$3,22))&lt;&gt;""),Amendoim!$E22:INDEX(Amendoim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IF(COUNT(Amendoim!$E23:$Z23)&gt;0,N(Amendoim!$D23),0)</f>
        <v>0</v>
      </c>
      <c r="E25" s="27" t="n">
        <f aca="false">IF(COUNT(Amendoim!$E23:$Z23)=0,0,MAX(0,IF((E$6-$E$3)&lt;1,0,IFERROR(LOOKUP(2,1/(Amendoim!$E23:INDEX(Amendoim!$E23:$Z23,MIN(E$6-$E$3,22))&lt;&gt;""),Amendoim!$E23:INDEX(Amendoim!$E23:$Z23,MIN(E$6-$E$3,22))),0))-IF($G$2,0,IF((E$6-$G$3)&lt;1,0,IFERROR(LOOKUP(2,1/(Amendoim!$E23:INDEX(Amendoim!$E23:$Z23,MIN(E$6-$G$3,22))&lt;&gt;""),Amendoim!$E23:INDEX(Amendoim!$E23:$Z23,MIN(E$6-$G$3,22))),0)))))</f>
        <v>0</v>
      </c>
      <c r="F25" s="27" t="n">
        <f aca="false">IF(COUNT(Amendoim!$E23:$Z23)=0,0,MAX(0,IF((F$6-$E$3)&lt;1,0,IFERROR(LOOKUP(2,1/(Amendoim!$E23:INDEX(Amendoim!$E23:$Z23,MIN(F$6-$E$3,22))&lt;&gt;""),Amendoim!$E23:INDEX(Amendoim!$E23:$Z23,MIN(F$6-$E$3,22))),0))-IF($G$2,0,IF((F$6-$G$3)&lt;1,0,IFERROR(LOOKUP(2,1/(Amendoim!$E23:INDEX(Amendoim!$E23:$Z23,MIN(F$6-$G$3,22))&lt;&gt;""),Amendoim!$E23:INDEX(Amendoim!$E23:$Z23,MIN(F$6-$G$3,22))),0)))))</f>
        <v>0</v>
      </c>
      <c r="G25" s="27" t="n">
        <f aca="false">IF(COUNT(Amendoim!$E23:$Z23)=0,0,MAX(0,IF((G$6-$E$3)&lt;1,0,IFERROR(LOOKUP(2,1/(Amendoim!$E23:INDEX(Amendoim!$E23:$Z23,MIN(G$6-$E$3,22))&lt;&gt;""),Amendoim!$E23:INDEX(Amendoim!$E23:$Z23,MIN(G$6-$E$3,22))),0))-IF($G$2,0,IF((G$6-$G$3)&lt;1,0,IFERROR(LOOKUP(2,1/(Amendoim!$E23:INDEX(Amendoim!$E23:$Z23,MIN(G$6-$G$3,22))&lt;&gt;""),Amendoim!$E23:INDEX(Amendoim!$E23:$Z23,MIN(G$6-$G$3,22))),0)))))</f>
        <v>0</v>
      </c>
      <c r="H25" s="27" t="n">
        <f aca="false">IF(COUNT(Amendoim!$E23:$Z23)=0,0,MAX(0,IF((H$6-$E$3)&lt;1,0,IFERROR(LOOKUP(2,1/(Amendoim!$E23:INDEX(Amendoim!$E23:$Z23,MIN(H$6-$E$3,22))&lt;&gt;""),Amendoim!$E23:INDEX(Amendoim!$E23:$Z23,MIN(H$6-$E$3,22))),0))-IF($G$2,0,IF((H$6-$G$3)&lt;1,0,IFERROR(LOOKUP(2,1/(Amendoim!$E23:INDEX(Amendoim!$E23:$Z23,MIN(H$6-$G$3,22))&lt;&gt;""),Amendoim!$E23:INDEX(Amendoim!$E23:$Z23,MIN(H$6-$G$3,22))),0)))))</f>
        <v>0</v>
      </c>
      <c r="I25" s="27" t="n">
        <f aca="false">IF(COUNT(Amendoim!$E23:$Z23)=0,0,MAX(0,IF((I$6-$E$3)&lt;1,0,IFERROR(LOOKUP(2,1/(Amendoim!$E23:INDEX(Amendoim!$E23:$Z23,MIN(I$6-$E$3,22))&lt;&gt;""),Amendoim!$E23:INDEX(Amendoim!$E23:$Z23,MIN(I$6-$E$3,22))),0))-IF($G$2,0,IF((I$6-$G$3)&lt;1,0,IFERROR(LOOKUP(2,1/(Amendoim!$E23:INDEX(Amendoim!$E23:$Z23,MIN(I$6-$G$3,22))&lt;&gt;""),Amendoim!$E23:INDEX(Amendoim!$E23:$Z23,MIN(I$6-$G$3,22))),0)))))</f>
        <v>0</v>
      </c>
      <c r="J25" s="27" t="n">
        <f aca="false">IF(COUNT(Amendoim!$E23:$Z23)=0,0,MAX(0,IF((J$6-$E$3)&lt;1,0,IFERROR(LOOKUP(2,1/(Amendoim!$E23:INDEX(Amendoim!$E23:$Z23,MIN(J$6-$E$3,22))&lt;&gt;""),Amendoim!$E23:INDEX(Amendoim!$E23:$Z23,MIN(J$6-$E$3,22))),0))-IF($G$2,0,IF((J$6-$G$3)&lt;1,0,IFERROR(LOOKUP(2,1/(Amendoim!$E23:INDEX(Amendoim!$E23:$Z23,MIN(J$6-$G$3,22))&lt;&gt;""),Amendoim!$E23:INDEX(Amendoim!$E23:$Z23,MIN(J$6-$G$3,22))),0)))))</f>
        <v>0</v>
      </c>
      <c r="K25" s="27" t="n">
        <f aca="false">IF(COUNT(Amendoim!$E23:$Z23)=0,0,MAX(0,IF((K$6-$E$3)&lt;1,0,IFERROR(LOOKUP(2,1/(Amendoim!$E23:INDEX(Amendoim!$E23:$Z23,MIN(K$6-$E$3,22))&lt;&gt;""),Amendoim!$E23:INDEX(Amendoim!$E23:$Z23,MIN(K$6-$E$3,22))),0))-IF($G$2,0,IF((K$6-$G$3)&lt;1,0,IFERROR(LOOKUP(2,1/(Amendoim!$E23:INDEX(Amendoim!$E23:$Z23,MIN(K$6-$G$3,22))&lt;&gt;""),Amendoim!$E23:INDEX(Amendoim!$E23:$Z23,MIN(K$6-$G$3,22))),0)))))</f>
        <v>0</v>
      </c>
      <c r="L25" s="27" t="n">
        <f aca="false">IF(COUNT(Amendoim!$E23:$Z23)=0,0,MAX(0,IF((L$6-$E$3)&lt;1,0,IFERROR(LOOKUP(2,1/(Amendoim!$E23:INDEX(Amendoim!$E23:$Z23,MIN(L$6-$E$3,22))&lt;&gt;""),Amendoim!$E23:INDEX(Amendoim!$E23:$Z23,MIN(L$6-$E$3,22))),0))-IF($G$2,0,IF((L$6-$G$3)&lt;1,0,IFERROR(LOOKUP(2,1/(Amendoim!$E23:INDEX(Amendoim!$E23:$Z23,MIN(L$6-$G$3,22))&lt;&gt;""),Amendoim!$E23:INDEX(Amendoim!$E23:$Z23,MIN(L$6-$G$3,22))),0)))))</f>
        <v>0</v>
      </c>
      <c r="M25" s="27" t="n">
        <f aca="false">IF(COUNT(Amendoim!$E23:$Z23)=0,0,MAX(0,IF((M$6-$E$3)&lt;1,0,IFERROR(LOOKUP(2,1/(Amendoim!$E23:INDEX(Amendoim!$E23:$Z23,MIN(M$6-$E$3,22))&lt;&gt;""),Amendoim!$E23:INDEX(Amendoim!$E23:$Z23,MIN(M$6-$E$3,22))),0))-IF($G$2,0,IF((M$6-$G$3)&lt;1,0,IFERROR(LOOKUP(2,1/(Amendoim!$E23:INDEX(Amendoim!$E23:$Z23,MIN(M$6-$G$3,22))&lt;&gt;""),Amendoim!$E23:INDEX(Amendoim!$E23:$Z23,MIN(M$6-$G$3,22))),0)))))</f>
        <v>0</v>
      </c>
      <c r="N25" s="27" t="n">
        <f aca="false">IF(COUNT(Amendoim!$E23:$Z23)=0,0,MAX(0,IF((N$6-$E$3)&lt;1,0,IFERROR(LOOKUP(2,1/(Amendoim!$E23:INDEX(Amendoim!$E23:$Z23,MIN(N$6-$E$3,22))&lt;&gt;""),Amendoim!$E23:INDEX(Amendoim!$E23:$Z23,MIN(N$6-$E$3,22))),0))-IF($G$2,0,IF((N$6-$G$3)&lt;1,0,IFERROR(LOOKUP(2,1/(Amendoim!$E23:INDEX(Amendoim!$E23:$Z23,MIN(N$6-$G$3,22))&lt;&gt;""),Amendoim!$E23:INDEX(Amendoim!$E23:$Z23,MIN(N$6-$G$3,22))),0)))))</f>
        <v>0</v>
      </c>
      <c r="O25" s="27" t="n">
        <f aca="false">IF(COUNT(Amendoim!$E23:$Z23)=0,0,MAX(0,IF((O$6-$E$3)&lt;1,0,IFERROR(LOOKUP(2,1/(Amendoim!$E23:INDEX(Amendoim!$E23:$Z23,MIN(O$6-$E$3,22))&lt;&gt;""),Amendoim!$E23:INDEX(Amendoim!$E23:$Z23,MIN(O$6-$E$3,22))),0))-IF($G$2,0,IF((O$6-$G$3)&lt;1,0,IFERROR(LOOKUP(2,1/(Amendoim!$E23:INDEX(Amendoim!$E23:$Z23,MIN(O$6-$G$3,22))&lt;&gt;""),Amendoim!$E23:INDEX(Amendoim!$E23:$Z23,MIN(O$6-$G$3,22))),0)))))</f>
        <v>0</v>
      </c>
      <c r="P25" s="27" t="n">
        <f aca="false">IF(COUNT(Amendoim!$E23:$Z23)=0,0,MAX(0,IF((P$6-$E$3)&lt;1,0,IFERROR(LOOKUP(2,1/(Amendoim!$E23:INDEX(Amendoim!$E23:$Z23,MIN(P$6-$E$3,22))&lt;&gt;""),Amendoim!$E23:INDEX(Amendoim!$E23:$Z23,MIN(P$6-$E$3,22))),0))-IF($G$2,0,IF((P$6-$G$3)&lt;1,0,IFERROR(LOOKUP(2,1/(Amendoim!$E23:INDEX(Amendoim!$E23:$Z23,MIN(P$6-$G$3,22))&lt;&gt;""),Amendoim!$E23:INDEX(Amendoim!$E23:$Z23,MIN(P$6-$G$3,22))),0)))))</f>
        <v>0</v>
      </c>
      <c r="Q25" s="27" t="n">
        <f aca="false">IF(COUNT(Amendoim!$E23:$Z23)=0,0,MAX(0,IF((Q$6-$E$3)&lt;1,0,IFERROR(LOOKUP(2,1/(Amendoim!$E23:INDEX(Amendoim!$E23:$Z23,MIN(Q$6-$E$3,22))&lt;&gt;""),Amendoim!$E23:INDEX(Amendoim!$E23:$Z23,MIN(Q$6-$E$3,22))),0))-IF($G$2,0,IF((Q$6-$G$3)&lt;1,0,IFERROR(LOOKUP(2,1/(Amendoim!$E23:INDEX(Amendoim!$E23:$Z23,MIN(Q$6-$G$3,22))&lt;&gt;""),Amendoim!$E23:INDEX(Amendoim!$E23:$Z23,MIN(Q$6-$G$3,22))),0)))))</f>
        <v>0</v>
      </c>
      <c r="R25" s="27" t="n">
        <f aca="false">IF(COUNT(Amendoim!$E23:$Z23)=0,0,MAX(0,IF((R$6-$E$3)&lt;1,0,IFERROR(LOOKUP(2,1/(Amendoim!$E23:INDEX(Amendoim!$E23:$Z23,MIN(R$6-$E$3,22))&lt;&gt;""),Amendoim!$E23:INDEX(Amendoim!$E23:$Z23,MIN(R$6-$E$3,22))),0))-IF($G$2,0,IF((R$6-$G$3)&lt;1,0,IFERROR(LOOKUP(2,1/(Amendoim!$E23:INDEX(Amendoim!$E23:$Z23,MIN(R$6-$G$3,22))&lt;&gt;""),Amendoim!$E23:INDEX(Amendoim!$E23:$Z23,MIN(R$6-$G$3,22))),0)))))</f>
        <v>0</v>
      </c>
      <c r="S25" s="27" t="n">
        <f aca="false">IF(COUNT(Amendoim!$E23:$Z23)=0,0,MAX(0,IF((S$6-$E$3)&lt;1,0,IFERROR(LOOKUP(2,1/(Amendoim!$E23:INDEX(Amendoim!$E23:$Z23,MIN(S$6-$E$3,22))&lt;&gt;""),Amendoim!$E23:INDEX(Amendoim!$E23:$Z23,MIN(S$6-$E$3,22))),0))-IF($G$2,0,IF((S$6-$G$3)&lt;1,0,IFERROR(LOOKUP(2,1/(Amendoim!$E23:INDEX(Amendoim!$E23:$Z23,MIN(S$6-$G$3,22))&lt;&gt;""),Amendoim!$E23:INDEX(Amendoim!$E23:$Z23,MIN(S$6-$G$3,22))),0)))))</f>
        <v>0</v>
      </c>
      <c r="T25" s="27" t="n">
        <f aca="false">IF(COUNT(Amendoim!$E23:$Z23)=0,0,MAX(0,IF((T$6-$E$3)&lt;1,0,IFERROR(LOOKUP(2,1/(Amendoim!$E23:INDEX(Amendoim!$E23:$Z23,MIN(T$6-$E$3,22))&lt;&gt;""),Amendoim!$E23:INDEX(Amendoim!$E23:$Z23,MIN(T$6-$E$3,22))),0))-IF($G$2,0,IF((T$6-$G$3)&lt;1,0,IFERROR(LOOKUP(2,1/(Amendoim!$E23:INDEX(Amendoim!$E23:$Z23,MIN(T$6-$G$3,22))&lt;&gt;""),Amendoim!$E23:INDEX(Amendoim!$E23:$Z23,MIN(T$6-$G$3,22))),0)))))</f>
        <v>0</v>
      </c>
      <c r="U25" s="27" t="n">
        <f aca="false">IF(COUNT(Amendoim!$E23:$Z23)=0,0,MAX(0,IF((U$6-$E$3)&lt;1,0,IFERROR(LOOKUP(2,1/(Amendoim!$E23:INDEX(Amendoim!$E23:$Z23,MIN(U$6-$E$3,22))&lt;&gt;""),Amendoim!$E23:INDEX(Amendoim!$E23:$Z23,MIN(U$6-$E$3,22))),0))-IF($G$2,0,IF((U$6-$G$3)&lt;1,0,IFERROR(LOOKUP(2,1/(Amendoim!$E23:INDEX(Amendoim!$E23:$Z23,MIN(U$6-$G$3,22))&lt;&gt;""),Amendoim!$E23:INDEX(Amendoim!$E23:$Z23,MIN(U$6-$G$3,22))),0)))))</f>
        <v>0</v>
      </c>
      <c r="V25" s="27" t="n">
        <f aca="false">IF(COUNT(Amendoim!$E23:$Z23)=0,0,MAX(0,IF((V$6-$E$3)&lt;1,0,IFERROR(LOOKUP(2,1/(Amendoim!$E23:INDEX(Amendoim!$E23:$Z23,MIN(V$6-$E$3,22))&lt;&gt;""),Amendoim!$E23:INDEX(Amendoim!$E23:$Z23,MIN(V$6-$E$3,22))),0))-IF($G$2,0,IF((V$6-$G$3)&lt;1,0,IFERROR(LOOKUP(2,1/(Amendoim!$E23:INDEX(Amendoim!$E23:$Z23,MIN(V$6-$G$3,22))&lt;&gt;""),Amendoim!$E23:INDEX(Amendoim!$E23:$Z23,MIN(V$6-$G$3,22))),0)))))</f>
        <v>0</v>
      </c>
      <c r="W25" s="27" t="n">
        <f aca="false">IF(COUNT(Amendoim!$E23:$Z23)=0,0,MAX(0,IF((W$6-$E$3)&lt;1,0,IFERROR(LOOKUP(2,1/(Amendoim!$E23:INDEX(Amendoim!$E23:$Z23,MIN(W$6-$E$3,22))&lt;&gt;""),Amendoim!$E23:INDEX(Amendoim!$E23:$Z23,MIN(W$6-$E$3,22))),0))-IF($G$2,0,IF((W$6-$G$3)&lt;1,0,IFERROR(LOOKUP(2,1/(Amendoim!$E23:INDEX(Amendoim!$E23:$Z23,MIN(W$6-$G$3,22))&lt;&gt;""),Amendoim!$E23:INDEX(Amendoim!$E23:$Z23,MIN(W$6-$G$3,22))),0)))))</f>
        <v>0</v>
      </c>
      <c r="X25" s="27" t="n">
        <f aca="false">IF(COUNT(Amendoim!$E23:$Z23)=0,0,MAX(0,IF((X$6-$E$3)&lt;1,0,IFERROR(LOOKUP(2,1/(Amendoim!$E23:INDEX(Amendoim!$E23:$Z23,MIN(X$6-$E$3,22))&lt;&gt;""),Amendoim!$E23:INDEX(Amendoim!$E23:$Z23,MIN(X$6-$E$3,22))),0))-IF($G$2,0,IF((X$6-$G$3)&lt;1,0,IFERROR(LOOKUP(2,1/(Amendoim!$E23:INDEX(Amendoim!$E23:$Z23,MIN(X$6-$G$3,22))&lt;&gt;""),Amendoim!$E23:INDEX(Amendoim!$E23:$Z23,MIN(X$6-$G$3,22))),0)))))</f>
        <v>0</v>
      </c>
      <c r="Y25" s="27" t="n">
        <f aca="false">IF(COUNT(Amendoim!$E23:$Z23)=0,0,MAX(0,IF((Y$6-$E$3)&lt;1,0,IFERROR(LOOKUP(2,1/(Amendoim!$E23:INDEX(Amendoim!$E23:$Z23,MIN(Y$6-$E$3,22))&lt;&gt;""),Amendoim!$E23:INDEX(Amendoim!$E23:$Z23,MIN(Y$6-$E$3,22))),0))-IF($G$2,0,IF((Y$6-$G$3)&lt;1,0,IFERROR(LOOKUP(2,1/(Amendoim!$E23:INDEX(Amendoim!$E23:$Z23,MIN(Y$6-$G$3,22))&lt;&gt;""),Amendoim!$E23:INDEX(Amendoim!$E23:$Z23,MIN(Y$6-$G$3,22))),0)))))</f>
        <v>0</v>
      </c>
      <c r="Z25" s="27" t="n">
        <f aca="false">IF(COUNT(Amendoim!$E23:$Z23)=0,0,MAX(0,IF((Z$6-$E$3)&lt;1,0,IFERROR(LOOKUP(2,1/(Amendoim!$E23:INDEX(Amendoim!$E23:$Z23,MIN(Z$6-$E$3,22))&lt;&gt;""),Amendoim!$E23:INDEX(Amendoim!$E23:$Z23,MIN(Z$6-$E$3,22))),0))-IF($G$2,0,IF((Z$6-$G$3)&lt;1,0,IFERROR(LOOKUP(2,1/(Amendoim!$E23:INDEX(Amendoim!$E23:$Z23,MIN(Z$6-$G$3,22))&lt;&gt;""),Amendoim!$E23:INDEX(Amendoim!$E23:$Z23,MIN(Z$6-$G$3,22))),0)))))</f>
        <v>0</v>
      </c>
      <c r="AA25" s="27" t="n">
        <f aca="false">IF(COUNT(Amendoim!$E23:$Z23)=0,0,MAX(0,IF((AA$6-$E$3)&lt;1,0,IFERROR(LOOKUP(2,1/(Amendoim!$E23:INDEX(Amendoim!$E23:$Z23,MIN(AA$6-$E$3,22))&lt;&gt;""),Amendoim!$E23:INDEX(Amendoim!$E23:$Z23,MIN(AA$6-$E$3,22))),0))-IF($G$2,0,IF((AA$6-$G$3)&lt;1,0,IFERROR(LOOKUP(2,1/(Amendoim!$E23:INDEX(Amendoim!$E23:$Z23,MIN(AA$6-$G$3,22))&lt;&gt;""),Amendoim!$E23:INDEX(Amendoim!$E23:$Z23,MIN(AA$6-$G$3,22))),0)))))</f>
        <v>0</v>
      </c>
      <c r="AB25" s="27" t="n">
        <f aca="false">IF(COUNT(Amendoim!$E23:$Z23)=0,0,MAX(0,IF((AB$6-$E$3)&lt;1,0,IFERROR(LOOKUP(2,1/(Amendoim!$E23:INDEX(Amendoim!$E23:$Z23,MIN(AB$6-$E$3,22))&lt;&gt;""),Amendoim!$E23:INDEX(Amendoim!$E23:$Z23,MIN(AB$6-$E$3,22))),0))-IF($G$2,0,IF((AB$6-$G$3)&lt;1,0,IFERROR(LOOKUP(2,1/(Amendoim!$E23:INDEX(Amendoim!$E23:$Z23,MIN(AB$6-$G$3,22))&lt;&gt;""),Amendoim!$E23:INDEX(Amendoim!$E23:$Z23,MIN(AB$6-$G$3,22))),0)))))</f>
        <v>0</v>
      </c>
      <c r="AC25" s="27" t="n">
        <f aca="false">IF(COUNT(Amendoim!$E23:$Z23)=0,0,MAX(0,IF((AC$6-$E$3)&lt;1,0,IFERROR(LOOKUP(2,1/(Amendoim!$E23:INDEX(Amendoim!$E23:$Z23,MIN(AC$6-$E$3,22))&lt;&gt;""),Amendoim!$E23:INDEX(Amendoim!$E23:$Z23,MIN(AC$6-$E$3,22))),0))-IF($G$2,0,IF((AC$6-$G$3)&lt;1,0,IFERROR(LOOKUP(2,1/(Amendoim!$E23:INDEX(Amendoim!$E23:$Z23,MIN(AC$6-$G$3,22))&lt;&gt;""),Amendoim!$E23:INDEX(Amendoim!$E23:$Z23,MIN(AC$6-$G$3,22))),0)))))</f>
        <v>0</v>
      </c>
      <c r="AD25" s="27" t="n">
        <f aca="false">IF(COUNT(Amendoim!$E23:$Z23)=0,0,MAX(0,IF((AD$6-$E$3)&lt;1,0,IFERROR(LOOKUP(2,1/(Amendoim!$E23:INDEX(Amendoim!$E23:$Z23,MIN(AD$6-$E$3,22))&lt;&gt;""),Amendoim!$E23:INDEX(Amendoim!$E23:$Z23,MIN(AD$6-$E$3,22))),0))-IF($G$2,0,IF((AD$6-$G$3)&lt;1,0,IFERROR(LOOKUP(2,1/(Amendoim!$E23:INDEX(Amendoim!$E23:$Z23,MIN(AD$6-$G$3,22))&lt;&gt;""),Amendoim!$E23:INDEX(Amendoim!$E23:$Z23,MIN(AD$6-$G$3,22))),0)))))</f>
        <v>0</v>
      </c>
      <c r="AE25" s="27" t="n">
        <f aca="false">IF(COUNT(Amendoim!$E23:$Z23)=0,0,MAX(0,IF((AE$6-$E$3)&lt;1,0,IFERROR(LOOKUP(2,1/(Amendoim!$E23:INDEX(Amendoim!$E23:$Z23,MIN(AE$6-$E$3,22))&lt;&gt;""),Amendoim!$E23:INDEX(Amendoim!$E23:$Z23,MIN(AE$6-$E$3,22))),0))-IF($G$2,0,IF((AE$6-$G$3)&lt;1,0,IFERROR(LOOKUP(2,1/(Amendoim!$E23:INDEX(Amendoim!$E23:$Z23,MIN(AE$6-$G$3,22))&lt;&gt;""),Amendoim!$E23:INDEX(Amendoim!$E23:$Z23,MIN(AE$6-$G$3,22))),0)))))</f>
        <v>0</v>
      </c>
      <c r="AF25" s="27" t="n">
        <f aca="false">IF(COUNT(Amendoim!$E23:$Z23)=0,0,MAX(0,IF((AF$6-$E$3)&lt;1,0,IFERROR(LOOKUP(2,1/(Amendoim!$E23:INDEX(Amendoim!$E23:$Z23,MIN(AF$6-$E$3,22))&lt;&gt;""),Amendoim!$E23:INDEX(Amendoim!$E23:$Z23,MIN(AF$6-$E$3,22))),0))-IF($G$2,0,IF((AF$6-$G$3)&lt;1,0,IFERROR(LOOKUP(2,1/(Amendoim!$E23:INDEX(Amendoim!$E23:$Z23,MIN(AF$6-$G$3,22))&lt;&gt;""),Amendoim!$E23:INDEX(Amendoim!$E23:$Z23,MIN(AF$6-$G$3,22))),0)))))</f>
        <v>0</v>
      </c>
      <c r="AG25" s="27" t="n">
        <f aca="false">IF(COUNT(Amendoim!$E23:$Z23)=0,0,MAX(0,IF((AG$6-$E$3)&lt;1,0,IFERROR(LOOKUP(2,1/(Amendoim!$E23:INDEX(Amendoim!$E23:$Z23,MIN(AG$6-$E$3,22))&lt;&gt;""),Amendoim!$E23:INDEX(Amendoim!$E23:$Z23,MIN(AG$6-$E$3,22))),0))-IF($G$2,0,IF((AG$6-$G$3)&lt;1,0,IFERROR(LOOKUP(2,1/(Amendoim!$E23:INDEX(Amendoim!$E23:$Z23,MIN(AG$6-$G$3,22))&lt;&gt;""),Amendoim!$E23:INDEX(Amendoim!$E23:$Z23,MIN(AG$6-$G$3,22))),0)))))</f>
        <v>0</v>
      </c>
      <c r="AH25" s="27" t="n">
        <f aca="false">IF(COUNT(Amendoim!$E23:$Z23)=0,0,MAX(0,IF((AH$6-$E$3)&lt;1,0,IFERROR(LOOKUP(2,1/(Amendoim!$E23:INDEX(Amendoim!$E23:$Z23,MIN(AH$6-$E$3,22))&lt;&gt;""),Amendoim!$E23:INDEX(Amendoim!$E23:$Z23,MIN(AH$6-$E$3,22))),0))-IF($G$2,0,IF((AH$6-$G$3)&lt;1,0,IFERROR(LOOKUP(2,1/(Amendoim!$E23:INDEX(Amendoim!$E23:$Z23,MIN(AH$6-$G$3,22))&lt;&gt;""),Amendoim!$E23:INDEX(Amendoim!$E23:$Z23,MIN(AH$6-$G$3,22))),0)))))</f>
        <v>0</v>
      </c>
      <c r="AI25" s="27" t="n">
        <f aca="false">IF(COUNT(Amendoim!$E23:$Z23)=0,0,MAX(0,IF((AI$6-$E$3)&lt;1,0,IFERROR(LOOKUP(2,1/(Amendoim!$E23:INDEX(Amendoim!$E23:$Z23,MIN(AI$6-$E$3,22))&lt;&gt;""),Amendoim!$E23:INDEX(Amendoim!$E23:$Z23,MIN(AI$6-$E$3,22))),0))-IF($G$2,0,IF((AI$6-$G$3)&lt;1,0,IFERROR(LOOKUP(2,1/(Amendoim!$E23:INDEX(Amendoim!$E23:$Z23,MIN(AI$6-$G$3,22))&lt;&gt;""),Amendoim!$E23:INDEX(Amendoim!$E23:$Z23,MIN(AI$6-$G$3,22))),0)))))</f>
        <v>0</v>
      </c>
      <c r="AJ25" s="27" t="n">
        <f aca="false">IF(COUNT(Amendoim!$E23:$Z23)=0,0,MAX(0,IF((AJ$6-$E$3)&lt;1,0,IFERROR(LOOKUP(2,1/(Amendoim!$E23:INDEX(Amendoim!$E23:$Z23,MIN(AJ$6-$E$3,22))&lt;&gt;""),Amendoim!$E23:INDEX(Amendoim!$E23:$Z23,MIN(AJ$6-$E$3,22))),0))-IF($G$2,0,IF((AJ$6-$G$3)&lt;1,0,IFERROR(LOOKUP(2,1/(Amendoim!$E23:INDEX(Amendoim!$E23:$Z23,MIN(AJ$6-$G$3,22))&lt;&gt;""),Amendoim!$E23:INDEX(Amendoim!$E23:$Z23,MIN(AJ$6-$G$3,22))),0)))))</f>
        <v>0</v>
      </c>
      <c r="AK25" s="27" t="n">
        <f aca="false">IF(COUNT(Amendoim!$E23:$Z23)=0,0,MAX(0,IF((AK$6-$E$3)&lt;1,0,IFERROR(LOOKUP(2,1/(Amendoim!$E23:INDEX(Amendoim!$E23:$Z23,MIN(AK$6-$E$3,22))&lt;&gt;""),Amendoim!$E23:INDEX(Amendoim!$E23:$Z23,MIN(AK$6-$E$3,22))),0))-IF($G$2,0,IF((AK$6-$G$3)&lt;1,0,IFERROR(LOOKUP(2,1/(Amendoim!$E23:INDEX(Amendoim!$E23:$Z23,MIN(AK$6-$G$3,22))&lt;&gt;""),Amendoim!$E23:INDEX(Amendoim!$E23:$Z23,MIN(AK$6-$G$3,22))),0)))))</f>
        <v>0</v>
      </c>
      <c r="AL25" s="27" t="n">
        <f aca="false">IF(COUNT(Amendoim!$E23:$Z23)=0,0,MAX(0,IF((AL$6-$E$3)&lt;1,0,IFERROR(LOOKUP(2,1/(Amendoim!$E23:INDEX(Amendoim!$E23:$Z23,MIN(AL$6-$E$3,22))&lt;&gt;""),Amendoim!$E23:INDEX(Amendoim!$E23:$Z23,MIN(AL$6-$E$3,22))),0))-IF($G$2,0,IF((AL$6-$G$3)&lt;1,0,IFERROR(LOOKUP(2,1/(Amendoim!$E23:INDEX(Amendoim!$E23:$Z23,MIN(AL$6-$G$3,22))&lt;&gt;""),Amendoim!$E23:INDEX(Amendoim!$E23:$Z23,MIN(AL$6-$G$3,22))),0)))))</f>
        <v>0</v>
      </c>
      <c r="AM25" s="27" t="n">
        <f aca="false">IF(COUNT(Amendoim!$E23:$Z23)=0,0,MAX(0,IF((AM$6-$E$3)&lt;1,0,IFERROR(LOOKUP(2,1/(Amendoim!$E23:INDEX(Amendoim!$E23:$Z23,MIN(AM$6-$E$3,22))&lt;&gt;""),Amendoim!$E23:INDEX(Amendoim!$E23:$Z23,MIN(AM$6-$E$3,22))),0))-IF($G$2,0,IF((AM$6-$G$3)&lt;1,0,IFERROR(LOOKUP(2,1/(Amendoim!$E23:INDEX(Amendoim!$E23:$Z23,MIN(AM$6-$G$3,22))&lt;&gt;""),Amendoim!$E23:INDEX(Amendoim!$E23:$Z23,MIN(AM$6-$G$3,22))),0)))))</f>
        <v>0</v>
      </c>
      <c r="AN25" s="27" t="n">
        <f aca="false">IF(COUNT(Amendoim!$E23:$Z23)=0,0,MAX(0,IF((AN$6-$E$3)&lt;1,0,IFERROR(LOOKUP(2,1/(Amendoim!$E23:INDEX(Amendoim!$E23:$Z23,MIN(AN$6-$E$3,22))&lt;&gt;""),Amendoim!$E23:INDEX(Amendoim!$E23:$Z23,MIN(AN$6-$E$3,22))),0))-IF($G$2,0,IF((AN$6-$G$3)&lt;1,0,IFERROR(LOOKUP(2,1/(Amendoim!$E23:INDEX(Amendoim!$E23:$Z23,MIN(AN$6-$G$3,22))&lt;&gt;""),Amendoim!$E23:INDEX(Amendoim!$E23:$Z23,MIN(AN$6-$G$3,22))),0)))))</f>
        <v>0</v>
      </c>
      <c r="AO25" s="27" t="n">
        <f aca="false">IF(COUNT(Amendoim!$E23:$Z23)=0,0,MAX(0,IF((AO$6-$E$3)&lt;1,0,IFERROR(LOOKUP(2,1/(Amendoim!$E23:INDEX(Amendoim!$E23:$Z23,MIN(AO$6-$E$3,22))&lt;&gt;""),Amendoim!$E23:INDEX(Amendoim!$E23:$Z23,MIN(AO$6-$E$3,22))),0))-IF($G$2,0,IF((AO$6-$G$3)&lt;1,0,IFERROR(LOOKUP(2,1/(Amendoim!$E23:INDEX(Amendoim!$E23:$Z23,MIN(AO$6-$G$3,22))&lt;&gt;""),Amendoim!$E23:INDEX(Amendoim!$E23:$Z23,MIN(AO$6-$G$3,22))),0)))))</f>
        <v>0</v>
      </c>
      <c r="AP25" s="27" t="n">
        <f aca="false">IF(COUNT(Amendoim!$E23:$Z23)=0,0,MAX(0,IF((AP$6-$E$3)&lt;1,0,IFERROR(LOOKUP(2,1/(Amendoim!$E23:INDEX(Amendoim!$E23:$Z23,MIN(AP$6-$E$3,22))&lt;&gt;""),Amendoim!$E23:INDEX(Amendoim!$E23:$Z23,MIN(AP$6-$E$3,22))),0))-IF($G$2,0,IF((AP$6-$G$3)&lt;1,0,IFERROR(LOOKUP(2,1/(Amendoim!$E23:INDEX(Amendoim!$E23:$Z23,MIN(AP$6-$G$3,22))&lt;&gt;""),Amendoim!$E23:INDEX(Amendoim!$E23:$Z23,MIN(AP$6-$G$3,22))),0)))))</f>
        <v>0</v>
      </c>
      <c r="AQ25" s="27" t="n">
        <f aca="false">IF(COUNT(Amendoim!$E23:$Z23)=0,0,MAX(0,IF((AQ$6-$E$3)&lt;1,0,IFERROR(LOOKUP(2,1/(Amendoim!$E23:INDEX(Amendoim!$E23:$Z23,MIN(AQ$6-$E$3,22))&lt;&gt;""),Amendoim!$E23:INDEX(Amendoim!$E23:$Z23,MIN(AQ$6-$E$3,22))),0))-IF($G$2,0,IF((AQ$6-$G$3)&lt;1,0,IFERROR(LOOKUP(2,1/(Amendoim!$E23:INDEX(Amendoim!$E23:$Z23,MIN(AQ$6-$G$3,22))&lt;&gt;""),Amendoim!$E23:INDEX(Amendoim!$E23:$Z23,MIN(AQ$6-$G$3,22))),0)))))</f>
        <v>0</v>
      </c>
      <c r="AR25" s="27" t="n">
        <f aca="false">IF(COUNT(Amendoim!$E23:$Z23)=0,0,MAX(0,IF((AR$6-$E$3)&lt;1,0,IFERROR(LOOKUP(2,1/(Amendoim!$E23:INDEX(Amendoim!$E23:$Z23,MIN(AR$6-$E$3,22))&lt;&gt;""),Amendoim!$E23:INDEX(Amendoim!$E23:$Z23,MIN(AR$6-$E$3,22))),0))-IF($G$2,0,IF((AR$6-$G$3)&lt;1,0,IFERROR(LOOKUP(2,1/(Amendoim!$E23:INDEX(Amendoim!$E23:$Z23,MIN(AR$6-$G$3,22))&lt;&gt;""),Amendoim!$E23:INDEX(Amendoim!$E23:$Z23,MIN(AR$6-$G$3,22))),0)))))</f>
        <v>0</v>
      </c>
      <c r="AS25" s="27" t="n">
        <f aca="false">IF(COUNT(Amendoim!$E23:$Z23)=0,0,MAX(0,IF((AS$6-$E$3)&lt;1,0,IFERROR(LOOKUP(2,1/(Amendoim!$E23:INDEX(Amendoim!$E23:$Z23,MIN(AS$6-$E$3,22))&lt;&gt;""),Amendoim!$E23:INDEX(Amendoim!$E23:$Z23,MIN(AS$6-$E$3,22))),0))-IF($G$2,0,IF((AS$6-$G$3)&lt;1,0,IFERROR(LOOKUP(2,1/(Amendoim!$E23:INDEX(Amendoim!$E23:$Z23,MIN(AS$6-$G$3,22))&lt;&gt;""),Amendoim!$E23:INDEX(Amendoim!$E23:$Z23,MIN(AS$6-$G$3,22))),0)))))</f>
        <v>0</v>
      </c>
      <c r="AT25" s="27" t="n">
        <f aca="false">IF(COUNT(Amendoim!$E23:$Z23)=0,0,MAX(0,IF((AT$6-$E$3)&lt;1,0,IFERROR(LOOKUP(2,1/(Amendoim!$E23:INDEX(Amendoim!$E23:$Z23,MIN(AT$6-$E$3,22))&lt;&gt;""),Amendoim!$E23:INDEX(Amendoim!$E23:$Z23,MIN(AT$6-$E$3,22))),0))-IF($G$2,0,IF((AT$6-$G$3)&lt;1,0,IFERROR(LOOKUP(2,1/(Amendoim!$E23:INDEX(Amendoim!$E23:$Z23,MIN(AT$6-$G$3,22))&lt;&gt;""),Amendoim!$E23:INDEX(Amendoim!$E23:$Z23,MIN(AT$6-$G$3,22))),0)))))</f>
        <v>0</v>
      </c>
      <c r="AU25" s="27" t="n">
        <f aca="false">IF(COUNT(Amendoim!$E23:$Z23)=0,0,MAX(0,IF((AU$6-$E$3)&lt;1,0,IFERROR(LOOKUP(2,1/(Amendoim!$E23:INDEX(Amendoim!$E23:$Z23,MIN(AU$6-$E$3,22))&lt;&gt;""),Amendoim!$E23:INDEX(Amendoim!$E23:$Z23,MIN(AU$6-$E$3,22))),0))-IF($G$2,0,IF((AU$6-$G$3)&lt;1,0,IFERROR(LOOKUP(2,1/(Amendoim!$E23:INDEX(Amendoim!$E23:$Z23,MIN(AU$6-$G$3,22))&lt;&gt;""),Amendoim!$E23:INDEX(Amendoim!$E23:$Z23,MIN(AU$6-$G$3,22))),0)))))</f>
        <v>0</v>
      </c>
      <c r="AV25" s="27" t="n">
        <f aca="false">IF(COUNT(Amendoim!$E23:$Z23)=0,0,MAX(0,IF((AV$6-$E$3)&lt;1,0,IFERROR(LOOKUP(2,1/(Amendoim!$E23:INDEX(Amendoim!$E23:$Z23,MIN(AV$6-$E$3,22))&lt;&gt;""),Amendoim!$E23:INDEX(Amendoim!$E23:$Z23,MIN(AV$6-$E$3,22))),0))-IF($G$2,0,IF((AV$6-$G$3)&lt;1,0,IFERROR(LOOKUP(2,1/(Amendoim!$E23:INDEX(Amendoim!$E23:$Z23,MIN(AV$6-$G$3,22))&lt;&gt;""),Amendoim!$E23:INDEX(Amendoim!$E23:$Z23,MIN(AV$6-$G$3,22))),0)))))</f>
        <v>0</v>
      </c>
      <c r="AW25" s="27" t="n">
        <f aca="false">IF(COUNT(Amendoim!$E23:$Z23)=0,0,MAX(0,IF((AW$6-$E$3)&lt;1,0,IFERROR(LOOKUP(2,1/(Amendoim!$E23:INDEX(Amendoim!$E23:$Z23,MIN(AW$6-$E$3,22))&lt;&gt;""),Amendoim!$E23:INDEX(Amendoim!$E23:$Z23,MIN(AW$6-$E$3,22))),0))-IF($G$2,0,IF((AW$6-$G$3)&lt;1,0,IFERROR(LOOKUP(2,1/(Amendoim!$E23:INDEX(Amendoim!$E23:$Z23,MIN(AW$6-$G$3,22))&lt;&gt;""),Amendoim!$E23:INDEX(Amendoim!$E23:$Z23,MIN(AW$6-$G$3,22))),0)))))</f>
        <v>0</v>
      </c>
      <c r="AX25" s="27" t="n">
        <f aca="false">IF(COUNT(Amendoim!$E23:$Z23)=0,0,MAX(0,IF((AX$6-$E$3)&lt;1,0,IFERROR(LOOKUP(2,1/(Amendoim!$E23:INDEX(Amendoim!$E23:$Z23,MIN(AX$6-$E$3,22))&lt;&gt;""),Amendoim!$E23:INDEX(Amendoim!$E23:$Z23,MIN(AX$6-$E$3,22))),0))-IF($G$2,0,IF((AX$6-$G$3)&lt;1,0,IFERROR(LOOKUP(2,1/(Amendoim!$E23:INDEX(Amendoim!$E23:$Z23,MIN(AX$6-$G$3,22))&lt;&gt;""),Amendoim!$E23:INDEX(Amendoim!$E23:$Z23,MIN(AX$6-$G$3,22))),0)))))</f>
        <v>0</v>
      </c>
      <c r="AY25" s="27" t="n">
        <f aca="false">IF(COUNT(Amendoim!$E23:$Z23)=0,0,MAX(0,IF((AY$6-$E$3)&lt;1,0,IFERROR(LOOKUP(2,1/(Amendoim!$E23:INDEX(Amendoim!$E23:$Z23,MIN(AY$6-$E$3,22))&lt;&gt;""),Amendoim!$E23:INDEX(Amendoim!$E23:$Z23,MIN(AY$6-$E$3,22))),0))-IF($G$2,0,IF((AY$6-$G$3)&lt;1,0,IFERROR(LOOKUP(2,1/(Amendoim!$E23:INDEX(Amendoim!$E23:$Z23,MIN(AY$6-$G$3,22))&lt;&gt;""),Amendoim!$E23:INDEX(Amendoim!$E23:$Z23,MIN(AY$6-$G$3,22))),0)))))</f>
        <v>0</v>
      </c>
      <c r="AZ25" s="27" t="n">
        <f aca="false">IF(COUNT(Amendoim!$E23:$Z23)=0,0,MAX(0,IF((AZ$6-$E$3)&lt;1,0,IFERROR(LOOKUP(2,1/(Amendoim!$E23:INDEX(Amendoim!$E23:$Z23,MIN(AZ$6-$E$3,22))&lt;&gt;""),Amendoim!$E23:INDEX(Amendoim!$E23:$Z23,MIN(AZ$6-$E$3,22))),0))-IF($G$2,0,IF((AZ$6-$G$3)&lt;1,0,IFERROR(LOOKUP(2,1/(Amendoim!$E23:INDEX(Amendoim!$E23:$Z23,MIN(AZ$6-$G$3,22))&lt;&gt;""),Amendoim!$E23:INDEX(Amendoim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IF(COUNT(Amendoim!$E24:$Z24)&gt;0,N(Amendoim!$D24),0)</f>
        <v>0</v>
      </c>
      <c r="E26" s="27" t="n">
        <f aca="false">IF(COUNT(Amendoim!$E24:$Z24)=0,0,MAX(0,IF((E$6-$E$3)&lt;1,0,IFERROR(LOOKUP(2,1/(Amendoim!$E24:INDEX(Amendoim!$E24:$Z24,MIN(E$6-$E$3,22))&lt;&gt;""),Amendoim!$E24:INDEX(Amendoim!$E24:$Z24,MIN(E$6-$E$3,22))),0))-IF($G$2,0,IF((E$6-$G$3)&lt;1,0,IFERROR(LOOKUP(2,1/(Amendoim!$E24:INDEX(Amendoim!$E24:$Z24,MIN(E$6-$G$3,22))&lt;&gt;""),Amendoim!$E24:INDEX(Amendoim!$E24:$Z24,MIN(E$6-$G$3,22))),0)))))</f>
        <v>0</v>
      </c>
      <c r="F26" s="27" t="n">
        <f aca="false">IF(COUNT(Amendoim!$E24:$Z24)=0,0,MAX(0,IF((F$6-$E$3)&lt;1,0,IFERROR(LOOKUP(2,1/(Amendoim!$E24:INDEX(Amendoim!$E24:$Z24,MIN(F$6-$E$3,22))&lt;&gt;""),Amendoim!$E24:INDEX(Amendoim!$E24:$Z24,MIN(F$6-$E$3,22))),0))-IF($G$2,0,IF((F$6-$G$3)&lt;1,0,IFERROR(LOOKUP(2,1/(Amendoim!$E24:INDEX(Amendoim!$E24:$Z24,MIN(F$6-$G$3,22))&lt;&gt;""),Amendoim!$E24:INDEX(Amendoim!$E24:$Z24,MIN(F$6-$G$3,22))),0)))))</f>
        <v>0</v>
      </c>
      <c r="G26" s="27" t="n">
        <f aca="false">IF(COUNT(Amendoim!$E24:$Z24)=0,0,MAX(0,IF((G$6-$E$3)&lt;1,0,IFERROR(LOOKUP(2,1/(Amendoim!$E24:INDEX(Amendoim!$E24:$Z24,MIN(G$6-$E$3,22))&lt;&gt;""),Amendoim!$E24:INDEX(Amendoim!$E24:$Z24,MIN(G$6-$E$3,22))),0))-IF($G$2,0,IF((G$6-$G$3)&lt;1,0,IFERROR(LOOKUP(2,1/(Amendoim!$E24:INDEX(Amendoim!$E24:$Z24,MIN(G$6-$G$3,22))&lt;&gt;""),Amendoim!$E24:INDEX(Amendoim!$E24:$Z24,MIN(G$6-$G$3,22))),0)))))</f>
        <v>0</v>
      </c>
      <c r="H26" s="27" t="n">
        <f aca="false">IF(COUNT(Amendoim!$E24:$Z24)=0,0,MAX(0,IF((H$6-$E$3)&lt;1,0,IFERROR(LOOKUP(2,1/(Amendoim!$E24:INDEX(Amendoim!$E24:$Z24,MIN(H$6-$E$3,22))&lt;&gt;""),Amendoim!$E24:INDEX(Amendoim!$E24:$Z24,MIN(H$6-$E$3,22))),0))-IF($G$2,0,IF((H$6-$G$3)&lt;1,0,IFERROR(LOOKUP(2,1/(Amendoim!$E24:INDEX(Amendoim!$E24:$Z24,MIN(H$6-$G$3,22))&lt;&gt;""),Amendoim!$E24:INDEX(Amendoim!$E24:$Z24,MIN(H$6-$G$3,22))),0)))))</f>
        <v>0</v>
      </c>
      <c r="I26" s="27" t="n">
        <f aca="false">IF(COUNT(Amendoim!$E24:$Z24)=0,0,MAX(0,IF((I$6-$E$3)&lt;1,0,IFERROR(LOOKUP(2,1/(Amendoim!$E24:INDEX(Amendoim!$E24:$Z24,MIN(I$6-$E$3,22))&lt;&gt;""),Amendoim!$E24:INDEX(Amendoim!$E24:$Z24,MIN(I$6-$E$3,22))),0))-IF($G$2,0,IF((I$6-$G$3)&lt;1,0,IFERROR(LOOKUP(2,1/(Amendoim!$E24:INDEX(Amendoim!$E24:$Z24,MIN(I$6-$G$3,22))&lt;&gt;""),Amendoim!$E24:INDEX(Amendoim!$E24:$Z24,MIN(I$6-$G$3,22))),0)))))</f>
        <v>0</v>
      </c>
      <c r="J26" s="27" t="n">
        <f aca="false">IF(COUNT(Amendoim!$E24:$Z24)=0,0,MAX(0,IF((J$6-$E$3)&lt;1,0,IFERROR(LOOKUP(2,1/(Amendoim!$E24:INDEX(Amendoim!$E24:$Z24,MIN(J$6-$E$3,22))&lt;&gt;""),Amendoim!$E24:INDEX(Amendoim!$E24:$Z24,MIN(J$6-$E$3,22))),0))-IF($G$2,0,IF((J$6-$G$3)&lt;1,0,IFERROR(LOOKUP(2,1/(Amendoim!$E24:INDEX(Amendoim!$E24:$Z24,MIN(J$6-$G$3,22))&lt;&gt;""),Amendoim!$E24:INDEX(Amendoim!$E24:$Z24,MIN(J$6-$G$3,22))),0)))))</f>
        <v>0</v>
      </c>
      <c r="K26" s="27" t="n">
        <f aca="false">IF(COUNT(Amendoim!$E24:$Z24)=0,0,MAX(0,IF((K$6-$E$3)&lt;1,0,IFERROR(LOOKUP(2,1/(Amendoim!$E24:INDEX(Amendoim!$E24:$Z24,MIN(K$6-$E$3,22))&lt;&gt;""),Amendoim!$E24:INDEX(Amendoim!$E24:$Z24,MIN(K$6-$E$3,22))),0))-IF($G$2,0,IF((K$6-$G$3)&lt;1,0,IFERROR(LOOKUP(2,1/(Amendoim!$E24:INDEX(Amendoim!$E24:$Z24,MIN(K$6-$G$3,22))&lt;&gt;""),Amendoim!$E24:INDEX(Amendoim!$E24:$Z24,MIN(K$6-$G$3,22))),0)))))</f>
        <v>0</v>
      </c>
      <c r="L26" s="27" t="n">
        <f aca="false">IF(COUNT(Amendoim!$E24:$Z24)=0,0,MAX(0,IF((L$6-$E$3)&lt;1,0,IFERROR(LOOKUP(2,1/(Amendoim!$E24:INDEX(Amendoim!$E24:$Z24,MIN(L$6-$E$3,22))&lt;&gt;""),Amendoim!$E24:INDEX(Amendoim!$E24:$Z24,MIN(L$6-$E$3,22))),0))-IF($G$2,0,IF((L$6-$G$3)&lt;1,0,IFERROR(LOOKUP(2,1/(Amendoim!$E24:INDEX(Amendoim!$E24:$Z24,MIN(L$6-$G$3,22))&lt;&gt;""),Amendoim!$E24:INDEX(Amendoim!$E24:$Z24,MIN(L$6-$G$3,22))),0)))))</f>
        <v>0</v>
      </c>
      <c r="M26" s="27" t="n">
        <f aca="false">IF(COUNT(Amendoim!$E24:$Z24)=0,0,MAX(0,IF((M$6-$E$3)&lt;1,0,IFERROR(LOOKUP(2,1/(Amendoim!$E24:INDEX(Amendoim!$E24:$Z24,MIN(M$6-$E$3,22))&lt;&gt;""),Amendoim!$E24:INDEX(Amendoim!$E24:$Z24,MIN(M$6-$E$3,22))),0))-IF($G$2,0,IF((M$6-$G$3)&lt;1,0,IFERROR(LOOKUP(2,1/(Amendoim!$E24:INDEX(Amendoim!$E24:$Z24,MIN(M$6-$G$3,22))&lt;&gt;""),Amendoim!$E24:INDEX(Amendoim!$E24:$Z24,MIN(M$6-$G$3,22))),0)))))</f>
        <v>0</v>
      </c>
      <c r="N26" s="27" t="n">
        <f aca="false">IF(COUNT(Amendoim!$E24:$Z24)=0,0,MAX(0,IF((N$6-$E$3)&lt;1,0,IFERROR(LOOKUP(2,1/(Amendoim!$E24:INDEX(Amendoim!$E24:$Z24,MIN(N$6-$E$3,22))&lt;&gt;""),Amendoim!$E24:INDEX(Amendoim!$E24:$Z24,MIN(N$6-$E$3,22))),0))-IF($G$2,0,IF((N$6-$G$3)&lt;1,0,IFERROR(LOOKUP(2,1/(Amendoim!$E24:INDEX(Amendoim!$E24:$Z24,MIN(N$6-$G$3,22))&lt;&gt;""),Amendoim!$E24:INDEX(Amendoim!$E24:$Z24,MIN(N$6-$G$3,22))),0)))))</f>
        <v>0</v>
      </c>
      <c r="O26" s="27" t="n">
        <f aca="false">IF(COUNT(Amendoim!$E24:$Z24)=0,0,MAX(0,IF((O$6-$E$3)&lt;1,0,IFERROR(LOOKUP(2,1/(Amendoim!$E24:INDEX(Amendoim!$E24:$Z24,MIN(O$6-$E$3,22))&lt;&gt;""),Amendoim!$E24:INDEX(Amendoim!$E24:$Z24,MIN(O$6-$E$3,22))),0))-IF($G$2,0,IF((O$6-$G$3)&lt;1,0,IFERROR(LOOKUP(2,1/(Amendoim!$E24:INDEX(Amendoim!$E24:$Z24,MIN(O$6-$G$3,22))&lt;&gt;""),Amendoim!$E24:INDEX(Amendoim!$E24:$Z24,MIN(O$6-$G$3,22))),0)))))</f>
        <v>0</v>
      </c>
      <c r="P26" s="27" t="n">
        <f aca="false">IF(COUNT(Amendoim!$E24:$Z24)=0,0,MAX(0,IF((P$6-$E$3)&lt;1,0,IFERROR(LOOKUP(2,1/(Amendoim!$E24:INDEX(Amendoim!$E24:$Z24,MIN(P$6-$E$3,22))&lt;&gt;""),Amendoim!$E24:INDEX(Amendoim!$E24:$Z24,MIN(P$6-$E$3,22))),0))-IF($G$2,0,IF((P$6-$G$3)&lt;1,0,IFERROR(LOOKUP(2,1/(Amendoim!$E24:INDEX(Amendoim!$E24:$Z24,MIN(P$6-$G$3,22))&lt;&gt;""),Amendoim!$E24:INDEX(Amendoim!$E24:$Z24,MIN(P$6-$G$3,22))),0)))))</f>
        <v>0</v>
      </c>
      <c r="Q26" s="27" t="n">
        <f aca="false">IF(COUNT(Amendoim!$E24:$Z24)=0,0,MAX(0,IF((Q$6-$E$3)&lt;1,0,IFERROR(LOOKUP(2,1/(Amendoim!$E24:INDEX(Amendoim!$E24:$Z24,MIN(Q$6-$E$3,22))&lt;&gt;""),Amendoim!$E24:INDEX(Amendoim!$E24:$Z24,MIN(Q$6-$E$3,22))),0))-IF($G$2,0,IF((Q$6-$G$3)&lt;1,0,IFERROR(LOOKUP(2,1/(Amendoim!$E24:INDEX(Amendoim!$E24:$Z24,MIN(Q$6-$G$3,22))&lt;&gt;""),Amendoim!$E24:INDEX(Amendoim!$E24:$Z24,MIN(Q$6-$G$3,22))),0)))))</f>
        <v>0</v>
      </c>
      <c r="R26" s="27" t="n">
        <f aca="false">IF(COUNT(Amendoim!$E24:$Z24)=0,0,MAX(0,IF((R$6-$E$3)&lt;1,0,IFERROR(LOOKUP(2,1/(Amendoim!$E24:INDEX(Amendoim!$E24:$Z24,MIN(R$6-$E$3,22))&lt;&gt;""),Amendoim!$E24:INDEX(Amendoim!$E24:$Z24,MIN(R$6-$E$3,22))),0))-IF($G$2,0,IF((R$6-$G$3)&lt;1,0,IFERROR(LOOKUP(2,1/(Amendoim!$E24:INDEX(Amendoim!$E24:$Z24,MIN(R$6-$G$3,22))&lt;&gt;""),Amendoim!$E24:INDEX(Amendoim!$E24:$Z24,MIN(R$6-$G$3,22))),0)))))</f>
        <v>0</v>
      </c>
      <c r="S26" s="27" t="n">
        <f aca="false">IF(COUNT(Amendoim!$E24:$Z24)=0,0,MAX(0,IF((S$6-$E$3)&lt;1,0,IFERROR(LOOKUP(2,1/(Amendoim!$E24:INDEX(Amendoim!$E24:$Z24,MIN(S$6-$E$3,22))&lt;&gt;""),Amendoim!$E24:INDEX(Amendoim!$E24:$Z24,MIN(S$6-$E$3,22))),0))-IF($G$2,0,IF((S$6-$G$3)&lt;1,0,IFERROR(LOOKUP(2,1/(Amendoim!$E24:INDEX(Amendoim!$E24:$Z24,MIN(S$6-$G$3,22))&lt;&gt;""),Amendoim!$E24:INDEX(Amendoim!$E24:$Z24,MIN(S$6-$G$3,22))),0)))))</f>
        <v>0</v>
      </c>
      <c r="T26" s="27" t="n">
        <f aca="false">IF(COUNT(Amendoim!$E24:$Z24)=0,0,MAX(0,IF((T$6-$E$3)&lt;1,0,IFERROR(LOOKUP(2,1/(Amendoim!$E24:INDEX(Amendoim!$E24:$Z24,MIN(T$6-$E$3,22))&lt;&gt;""),Amendoim!$E24:INDEX(Amendoim!$E24:$Z24,MIN(T$6-$E$3,22))),0))-IF($G$2,0,IF((T$6-$G$3)&lt;1,0,IFERROR(LOOKUP(2,1/(Amendoim!$E24:INDEX(Amendoim!$E24:$Z24,MIN(T$6-$G$3,22))&lt;&gt;""),Amendoim!$E24:INDEX(Amendoim!$E24:$Z24,MIN(T$6-$G$3,22))),0)))))</f>
        <v>0</v>
      </c>
      <c r="U26" s="27" t="n">
        <f aca="false">IF(COUNT(Amendoim!$E24:$Z24)=0,0,MAX(0,IF((U$6-$E$3)&lt;1,0,IFERROR(LOOKUP(2,1/(Amendoim!$E24:INDEX(Amendoim!$E24:$Z24,MIN(U$6-$E$3,22))&lt;&gt;""),Amendoim!$E24:INDEX(Amendoim!$E24:$Z24,MIN(U$6-$E$3,22))),0))-IF($G$2,0,IF((U$6-$G$3)&lt;1,0,IFERROR(LOOKUP(2,1/(Amendoim!$E24:INDEX(Amendoim!$E24:$Z24,MIN(U$6-$G$3,22))&lt;&gt;""),Amendoim!$E24:INDEX(Amendoim!$E24:$Z24,MIN(U$6-$G$3,22))),0)))))</f>
        <v>0</v>
      </c>
      <c r="V26" s="27" t="n">
        <f aca="false">IF(COUNT(Amendoim!$E24:$Z24)=0,0,MAX(0,IF((V$6-$E$3)&lt;1,0,IFERROR(LOOKUP(2,1/(Amendoim!$E24:INDEX(Amendoim!$E24:$Z24,MIN(V$6-$E$3,22))&lt;&gt;""),Amendoim!$E24:INDEX(Amendoim!$E24:$Z24,MIN(V$6-$E$3,22))),0))-IF($G$2,0,IF((V$6-$G$3)&lt;1,0,IFERROR(LOOKUP(2,1/(Amendoim!$E24:INDEX(Amendoim!$E24:$Z24,MIN(V$6-$G$3,22))&lt;&gt;""),Amendoim!$E24:INDEX(Amendoim!$E24:$Z24,MIN(V$6-$G$3,22))),0)))))</f>
        <v>0</v>
      </c>
      <c r="W26" s="27" t="n">
        <f aca="false">IF(COUNT(Amendoim!$E24:$Z24)=0,0,MAX(0,IF((W$6-$E$3)&lt;1,0,IFERROR(LOOKUP(2,1/(Amendoim!$E24:INDEX(Amendoim!$E24:$Z24,MIN(W$6-$E$3,22))&lt;&gt;""),Amendoim!$E24:INDEX(Amendoim!$E24:$Z24,MIN(W$6-$E$3,22))),0))-IF($G$2,0,IF((W$6-$G$3)&lt;1,0,IFERROR(LOOKUP(2,1/(Amendoim!$E24:INDEX(Amendoim!$E24:$Z24,MIN(W$6-$G$3,22))&lt;&gt;""),Amendoim!$E24:INDEX(Amendoim!$E24:$Z24,MIN(W$6-$G$3,22))),0)))))</f>
        <v>0</v>
      </c>
      <c r="X26" s="27" t="n">
        <f aca="false">IF(COUNT(Amendoim!$E24:$Z24)=0,0,MAX(0,IF((X$6-$E$3)&lt;1,0,IFERROR(LOOKUP(2,1/(Amendoim!$E24:INDEX(Amendoim!$E24:$Z24,MIN(X$6-$E$3,22))&lt;&gt;""),Amendoim!$E24:INDEX(Amendoim!$E24:$Z24,MIN(X$6-$E$3,22))),0))-IF($G$2,0,IF((X$6-$G$3)&lt;1,0,IFERROR(LOOKUP(2,1/(Amendoim!$E24:INDEX(Amendoim!$E24:$Z24,MIN(X$6-$G$3,22))&lt;&gt;""),Amendoim!$E24:INDEX(Amendoim!$E24:$Z24,MIN(X$6-$G$3,22))),0)))))</f>
        <v>0</v>
      </c>
      <c r="Y26" s="27" t="n">
        <f aca="false">IF(COUNT(Amendoim!$E24:$Z24)=0,0,MAX(0,IF((Y$6-$E$3)&lt;1,0,IFERROR(LOOKUP(2,1/(Amendoim!$E24:INDEX(Amendoim!$E24:$Z24,MIN(Y$6-$E$3,22))&lt;&gt;""),Amendoim!$E24:INDEX(Amendoim!$E24:$Z24,MIN(Y$6-$E$3,22))),0))-IF($G$2,0,IF((Y$6-$G$3)&lt;1,0,IFERROR(LOOKUP(2,1/(Amendoim!$E24:INDEX(Amendoim!$E24:$Z24,MIN(Y$6-$G$3,22))&lt;&gt;""),Amendoim!$E24:INDEX(Amendoim!$E24:$Z24,MIN(Y$6-$G$3,22))),0)))))</f>
        <v>0</v>
      </c>
      <c r="Z26" s="27" t="n">
        <f aca="false">IF(COUNT(Amendoim!$E24:$Z24)=0,0,MAX(0,IF((Z$6-$E$3)&lt;1,0,IFERROR(LOOKUP(2,1/(Amendoim!$E24:INDEX(Amendoim!$E24:$Z24,MIN(Z$6-$E$3,22))&lt;&gt;""),Amendoim!$E24:INDEX(Amendoim!$E24:$Z24,MIN(Z$6-$E$3,22))),0))-IF($G$2,0,IF((Z$6-$G$3)&lt;1,0,IFERROR(LOOKUP(2,1/(Amendoim!$E24:INDEX(Amendoim!$E24:$Z24,MIN(Z$6-$G$3,22))&lt;&gt;""),Amendoim!$E24:INDEX(Amendoim!$E24:$Z24,MIN(Z$6-$G$3,22))),0)))))</f>
        <v>0</v>
      </c>
      <c r="AA26" s="27" t="n">
        <f aca="false">IF(COUNT(Amendoim!$E24:$Z24)=0,0,MAX(0,IF((AA$6-$E$3)&lt;1,0,IFERROR(LOOKUP(2,1/(Amendoim!$E24:INDEX(Amendoim!$E24:$Z24,MIN(AA$6-$E$3,22))&lt;&gt;""),Amendoim!$E24:INDEX(Amendoim!$E24:$Z24,MIN(AA$6-$E$3,22))),0))-IF($G$2,0,IF((AA$6-$G$3)&lt;1,0,IFERROR(LOOKUP(2,1/(Amendoim!$E24:INDEX(Amendoim!$E24:$Z24,MIN(AA$6-$G$3,22))&lt;&gt;""),Amendoim!$E24:INDEX(Amendoim!$E24:$Z24,MIN(AA$6-$G$3,22))),0)))))</f>
        <v>0</v>
      </c>
      <c r="AB26" s="27" t="n">
        <f aca="false">IF(COUNT(Amendoim!$E24:$Z24)=0,0,MAX(0,IF((AB$6-$E$3)&lt;1,0,IFERROR(LOOKUP(2,1/(Amendoim!$E24:INDEX(Amendoim!$E24:$Z24,MIN(AB$6-$E$3,22))&lt;&gt;""),Amendoim!$E24:INDEX(Amendoim!$E24:$Z24,MIN(AB$6-$E$3,22))),0))-IF($G$2,0,IF((AB$6-$G$3)&lt;1,0,IFERROR(LOOKUP(2,1/(Amendoim!$E24:INDEX(Amendoim!$E24:$Z24,MIN(AB$6-$G$3,22))&lt;&gt;""),Amendoim!$E24:INDEX(Amendoim!$E24:$Z24,MIN(AB$6-$G$3,22))),0)))))</f>
        <v>0</v>
      </c>
      <c r="AC26" s="27" t="n">
        <f aca="false">IF(COUNT(Amendoim!$E24:$Z24)=0,0,MAX(0,IF((AC$6-$E$3)&lt;1,0,IFERROR(LOOKUP(2,1/(Amendoim!$E24:INDEX(Amendoim!$E24:$Z24,MIN(AC$6-$E$3,22))&lt;&gt;""),Amendoim!$E24:INDEX(Amendoim!$E24:$Z24,MIN(AC$6-$E$3,22))),0))-IF($G$2,0,IF((AC$6-$G$3)&lt;1,0,IFERROR(LOOKUP(2,1/(Amendoim!$E24:INDEX(Amendoim!$E24:$Z24,MIN(AC$6-$G$3,22))&lt;&gt;""),Amendoim!$E24:INDEX(Amendoim!$E24:$Z24,MIN(AC$6-$G$3,22))),0)))))</f>
        <v>0</v>
      </c>
      <c r="AD26" s="27" t="n">
        <f aca="false">IF(COUNT(Amendoim!$E24:$Z24)=0,0,MAX(0,IF((AD$6-$E$3)&lt;1,0,IFERROR(LOOKUP(2,1/(Amendoim!$E24:INDEX(Amendoim!$E24:$Z24,MIN(AD$6-$E$3,22))&lt;&gt;""),Amendoim!$E24:INDEX(Amendoim!$E24:$Z24,MIN(AD$6-$E$3,22))),0))-IF($G$2,0,IF((AD$6-$G$3)&lt;1,0,IFERROR(LOOKUP(2,1/(Amendoim!$E24:INDEX(Amendoim!$E24:$Z24,MIN(AD$6-$G$3,22))&lt;&gt;""),Amendoim!$E24:INDEX(Amendoim!$E24:$Z24,MIN(AD$6-$G$3,22))),0)))))</f>
        <v>0</v>
      </c>
      <c r="AE26" s="27" t="n">
        <f aca="false">IF(COUNT(Amendoim!$E24:$Z24)=0,0,MAX(0,IF((AE$6-$E$3)&lt;1,0,IFERROR(LOOKUP(2,1/(Amendoim!$E24:INDEX(Amendoim!$E24:$Z24,MIN(AE$6-$E$3,22))&lt;&gt;""),Amendoim!$E24:INDEX(Amendoim!$E24:$Z24,MIN(AE$6-$E$3,22))),0))-IF($G$2,0,IF((AE$6-$G$3)&lt;1,0,IFERROR(LOOKUP(2,1/(Amendoim!$E24:INDEX(Amendoim!$E24:$Z24,MIN(AE$6-$G$3,22))&lt;&gt;""),Amendoim!$E24:INDEX(Amendoim!$E24:$Z24,MIN(AE$6-$G$3,22))),0)))))</f>
        <v>0</v>
      </c>
      <c r="AF26" s="27" t="n">
        <f aca="false">IF(COUNT(Amendoim!$E24:$Z24)=0,0,MAX(0,IF((AF$6-$E$3)&lt;1,0,IFERROR(LOOKUP(2,1/(Amendoim!$E24:INDEX(Amendoim!$E24:$Z24,MIN(AF$6-$E$3,22))&lt;&gt;""),Amendoim!$E24:INDEX(Amendoim!$E24:$Z24,MIN(AF$6-$E$3,22))),0))-IF($G$2,0,IF((AF$6-$G$3)&lt;1,0,IFERROR(LOOKUP(2,1/(Amendoim!$E24:INDEX(Amendoim!$E24:$Z24,MIN(AF$6-$G$3,22))&lt;&gt;""),Amendoim!$E24:INDEX(Amendoim!$E24:$Z24,MIN(AF$6-$G$3,22))),0)))))</f>
        <v>0</v>
      </c>
      <c r="AG26" s="27" t="n">
        <f aca="false">IF(COUNT(Amendoim!$E24:$Z24)=0,0,MAX(0,IF((AG$6-$E$3)&lt;1,0,IFERROR(LOOKUP(2,1/(Amendoim!$E24:INDEX(Amendoim!$E24:$Z24,MIN(AG$6-$E$3,22))&lt;&gt;""),Amendoim!$E24:INDEX(Amendoim!$E24:$Z24,MIN(AG$6-$E$3,22))),0))-IF($G$2,0,IF((AG$6-$G$3)&lt;1,0,IFERROR(LOOKUP(2,1/(Amendoim!$E24:INDEX(Amendoim!$E24:$Z24,MIN(AG$6-$G$3,22))&lt;&gt;""),Amendoim!$E24:INDEX(Amendoim!$E24:$Z24,MIN(AG$6-$G$3,22))),0)))))</f>
        <v>0</v>
      </c>
      <c r="AH26" s="27" t="n">
        <f aca="false">IF(COUNT(Amendoim!$E24:$Z24)=0,0,MAX(0,IF((AH$6-$E$3)&lt;1,0,IFERROR(LOOKUP(2,1/(Amendoim!$E24:INDEX(Amendoim!$E24:$Z24,MIN(AH$6-$E$3,22))&lt;&gt;""),Amendoim!$E24:INDEX(Amendoim!$E24:$Z24,MIN(AH$6-$E$3,22))),0))-IF($G$2,0,IF((AH$6-$G$3)&lt;1,0,IFERROR(LOOKUP(2,1/(Amendoim!$E24:INDEX(Amendoim!$E24:$Z24,MIN(AH$6-$G$3,22))&lt;&gt;""),Amendoim!$E24:INDEX(Amendoim!$E24:$Z24,MIN(AH$6-$G$3,22))),0)))))</f>
        <v>0</v>
      </c>
      <c r="AI26" s="27" t="n">
        <f aca="false">IF(COUNT(Amendoim!$E24:$Z24)=0,0,MAX(0,IF((AI$6-$E$3)&lt;1,0,IFERROR(LOOKUP(2,1/(Amendoim!$E24:INDEX(Amendoim!$E24:$Z24,MIN(AI$6-$E$3,22))&lt;&gt;""),Amendoim!$E24:INDEX(Amendoim!$E24:$Z24,MIN(AI$6-$E$3,22))),0))-IF($G$2,0,IF((AI$6-$G$3)&lt;1,0,IFERROR(LOOKUP(2,1/(Amendoim!$E24:INDEX(Amendoim!$E24:$Z24,MIN(AI$6-$G$3,22))&lt;&gt;""),Amendoim!$E24:INDEX(Amendoim!$E24:$Z24,MIN(AI$6-$G$3,22))),0)))))</f>
        <v>0</v>
      </c>
      <c r="AJ26" s="27" t="n">
        <f aca="false">IF(COUNT(Amendoim!$E24:$Z24)=0,0,MAX(0,IF((AJ$6-$E$3)&lt;1,0,IFERROR(LOOKUP(2,1/(Amendoim!$E24:INDEX(Amendoim!$E24:$Z24,MIN(AJ$6-$E$3,22))&lt;&gt;""),Amendoim!$E24:INDEX(Amendoim!$E24:$Z24,MIN(AJ$6-$E$3,22))),0))-IF($G$2,0,IF((AJ$6-$G$3)&lt;1,0,IFERROR(LOOKUP(2,1/(Amendoim!$E24:INDEX(Amendoim!$E24:$Z24,MIN(AJ$6-$G$3,22))&lt;&gt;""),Amendoim!$E24:INDEX(Amendoim!$E24:$Z24,MIN(AJ$6-$G$3,22))),0)))))</f>
        <v>0</v>
      </c>
      <c r="AK26" s="27" t="n">
        <f aca="false">IF(COUNT(Amendoim!$E24:$Z24)=0,0,MAX(0,IF((AK$6-$E$3)&lt;1,0,IFERROR(LOOKUP(2,1/(Amendoim!$E24:INDEX(Amendoim!$E24:$Z24,MIN(AK$6-$E$3,22))&lt;&gt;""),Amendoim!$E24:INDEX(Amendoim!$E24:$Z24,MIN(AK$6-$E$3,22))),0))-IF($G$2,0,IF((AK$6-$G$3)&lt;1,0,IFERROR(LOOKUP(2,1/(Amendoim!$E24:INDEX(Amendoim!$E24:$Z24,MIN(AK$6-$G$3,22))&lt;&gt;""),Amendoim!$E24:INDEX(Amendoim!$E24:$Z24,MIN(AK$6-$G$3,22))),0)))))</f>
        <v>0</v>
      </c>
      <c r="AL26" s="27" t="n">
        <f aca="false">IF(COUNT(Amendoim!$E24:$Z24)=0,0,MAX(0,IF((AL$6-$E$3)&lt;1,0,IFERROR(LOOKUP(2,1/(Amendoim!$E24:INDEX(Amendoim!$E24:$Z24,MIN(AL$6-$E$3,22))&lt;&gt;""),Amendoim!$E24:INDEX(Amendoim!$E24:$Z24,MIN(AL$6-$E$3,22))),0))-IF($G$2,0,IF((AL$6-$G$3)&lt;1,0,IFERROR(LOOKUP(2,1/(Amendoim!$E24:INDEX(Amendoim!$E24:$Z24,MIN(AL$6-$G$3,22))&lt;&gt;""),Amendoim!$E24:INDEX(Amendoim!$E24:$Z24,MIN(AL$6-$G$3,22))),0)))))</f>
        <v>0</v>
      </c>
      <c r="AM26" s="27" t="n">
        <f aca="false">IF(COUNT(Amendoim!$E24:$Z24)=0,0,MAX(0,IF((AM$6-$E$3)&lt;1,0,IFERROR(LOOKUP(2,1/(Amendoim!$E24:INDEX(Amendoim!$E24:$Z24,MIN(AM$6-$E$3,22))&lt;&gt;""),Amendoim!$E24:INDEX(Amendoim!$E24:$Z24,MIN(AM$6-$E$3,22))),0))-IF($G$2,0,IF((AM$6-$G$3)&lt;1,0,IFERROR(LOOKUP(2,1/(Amendoim!$E24:INDEX(Amendoim!$E24:$Z24,MIN(AM$6-$G$3,22))&lt;&gt;""),Amendoim!$E24:INDEX(Amendoim!$E24:$Z24,MIN(AM$6-$G$3,22))),0)))))</f>
        <v>0</v>
      </c>
      <c r="AN26" s="27" t="n">
        <f aca="false">IF(COUNT(Amendoim!$E24:$Z24)=0,0,MAX(0,IF((AN$6-$E$3)&lt;1,0,IFERROR(LOOKUP(2,1/(Amendoim!$E24:INDEX(Amendoim!$E24:$Z24,MIN(AN$6-$E$3,22))&lt;&gt;""),Amendoim!$E24:INDEX(Amendoim!$E24:$Z24,MIN(AN$6-$E$3,22))),0))-IF($G$2,0,IF((AN$6-$G$3)&lt;1,0,IFERROR(LOOKUP(2,1/(Amendoim!$E24:INDEX(Amendoim!$E24:$Z24,MIN(AN$6-$G$3,22))&lt;&gt;""),Amendoim!$E24:INDEX(Amendoim!$E24:$Z24,MIN(AN$6-$G$3,22))),0)))))</f>
        <v>0</v>
      </c>
      <c r="AO26" s="27" t="n">
        <f aca="false">IF(COUNT(Amendoim!$E24:$Z24)=0,0,MAX(0,IF((AO$6-$E$3)&lt;1,0,IFERROR(LOOKUP(2,1/(Amendoim!$E24:INDEX(Amendoim!$E24:$Z24,MIN(AO$6-$E$3,22))&lt;&gt;""),Amendoim!$E24:INDEX(Amendoim!$E24:$Z24,MIN(AO$6-$E$3,22))),0))-IF($G$2,0,IF((AO$6-$G$3)&lt;1,0,IFERROR(LOOKUP(2,1/(Amendoim!$E24:INDEX(Amendoim!$E24:$Z24,MIN(AO$6-$G$3,22))&lt;&gt;""),Amendoim!$E24:INDEX(Amendoim!$E24:$Z24,MIN(AO$6-$G$3,22))),0)))))</f>
        <v>0</v>
      </c>
      <c r="AP26" s="27" t="n">
        <f aca="false">IF(COUNT(Amendoim!$E24:$Z24)=0,0,MAX(0,IF((AP$6-$E$3)&lt;1,0,IFERROR(LOOKUP(2,1/(Amendoim!$E24:INDEX(Amendoim!$E24:$Z24,MIN(AP$6-$E$3,22))&lt;&gt;""),Amendoim!$E24:INDEX(Amendoim!$E24:$Z24,MIN(AP$6-$E$3,22))),0))-IF($G$2,0,IF((AP$6-$G$3)&lt;1,0,IFERROR(LOOKUP(2,1/(Amendoim!$E24:INDEX(Amendoim!$E24:$Z24,MIN(AP$6-$G$3,22))&lt;&gt;""),Amendoim!$E24:INDEX(Amendoim!$E24:$Z24,MIN(AP$6-$G$3,22))),0)))))</f>
        <v>0</v>
      </c>
      <c r="AQ26" s="27" t="n">
        <f aca="false">IF(COUNT(Amendoim!$E24:$Z24)=0,0,MAX(0,IF((AQ$6-$E$3)&lt;1,0,IFERROR(LOOKUP(2,1/(Amendoim!$E24:INDEX(Amendoim!$E24:$Z24,MIN(AQ$6-$E$3,22))&lt;&gt;""),Amendoim!$E24:INDEX(Amendoim!$E24:$Z24,MIN(AQ$6-$E$3,22))),0))-IF($G$2,0,IF((AQ$6-$G$3)&lt;1,0,IFERROR(LOOKUP(2,1/(Amendoim!$E24:INDEX(Amendoim!$E24:$Z24,MIN(AQ$6-$G$3,22))&lt;&gt;""),Amendoim!$E24:INDEX(Amendoim!$E24:$Z24,MIN(AQ$6-$G$3,22))),0)))))</f>
        <v>0</v>
      </c>
      <c r="AR26" s="27" t="n">
        <f aca="false">IF(COUNT(Amendoim!$E24:$Z24)=0,0,MAX(0,IF((AR$6-$E$3)&lt;1,0,IFERROR(LOOKUP(2,1/(Amendoim!$E24:INDEX(Amendoim!$E24:$Z24,MIN(AR$6-$E$3,22))&lt;&gt;""),Amendoim!$E24:INDEX(Amendoim!$E24:$Z24,MIN(AR$6-$E$3,22))),0))-IF($G$2,0,IF((AR$6-$G$3)&lt;1,0,IFERROR(LOOKUP(2,1/(Amendoim!$E24:INDEX(Amendoim!$E24:$Z24,MIN(AR$6-$G$3,22))&lt;&gt;""),Amendoim!$E24:INDEX(Amendoim!$E24:$Z24,MIN(AR$6-$G$3,22))),0)))))</f>
        <v>0</v>
      </c>
      <c r="AS26" s="27" t="n">
        <f aca="false">IF(COUNT(Amendoim!$E24:$Z24)=0,0,MAX(0,IF((AS$6-$E$3)&lt;1,0,IFERROR(LOOKUP(2,1/(Amendoim!$E24:INDEX(Amendoim!$E24:$Z24,MIN(AS$6-$E$3,22))&lt;&gt;""),Amendoim!$E24:INDEX(Amendoim!$E24:$Z24,MIN(AS$6-$E$3,22))),0))-IF($G$2,0,IF((AS$6-$G$3)&lt;1,0,IFERROR(LOOKUP(2,1/(Amendoim!$E24:INDEX(Amendoim!$E24:$Z24,MIN(AS$6-$G$3,22))&lt;&gt;""),Amendoim!$E24:INDEX(Amendoim!$E24:$Z24,MIN(AS$6-$G$3,22))),0)))))</f>
        <v>0</v>
      </c>
      <c r="AT26" s="27" t="n">
        <f aca="false">IF(COUNT(Amendoim!$E24:$Z24)=0,0,MAX(0,IF((AT$6-$E$3)&lt;1,0,IFERROR(LOOKUP(2,1/(Amendoim!$E24:INDEX(Amendoim!$E24:$Z24,MIN(AT$6-$E$3,22))&lt;&gt;""),Amendoim!$E24:INDEX(Amendoim!$E24:$Z24,MIN(AT$6-$E$3,22))),0))-IF($G$2,0,IF((AT$6-$G$3)&lt;1,0,IFERROR(LOOKUP(2,1/(Amendoim!$E24:INDEX(Amendoim!$E24:$Z24,MIN(AT$6-$G$3,22))&lt;&gt;""),Amendoim!$E24:INDEX(Amendoim!$E24:$Z24,MIN(AT$6-$G$3,22))),0)))))</f>
        <v>0</v>
      </c>
      <c r="AU26" s="27" t="n">
        <f aca="false">IF(COUNT(Amendoim!$E24:$Z24)=0,0,MAX(0,IF((AU$6-$E$3)&lt;1,0,IFERROR(LOOKUP(2,1/(Amendoim!$E24:INDEX(Amendoim!$E24:$Z24,MIN(AU$6-$E$3,22))&lt;&gt;""),Amendoim!$E24:INDEX(Amendoim!$E24:$Z24,MIN(AU$6-$E$3,22))),0))-IF($G$2,0,IF((AU$6-$G$3)&lt;1,0,IFERROR(LOOKUP(2,1/(Amendoim!$E24:INDEX(Amendoim!$E24:$Z24,MIN(AU$6-$G$3,22))&lt;&gt;""),Amendoim!$E24:INDEX(Amendoim!$E24:$Z24,MIN(AU$6-$G$3,22))),0)))))</f>
        <v>0</v>
      </c>
      <c r="AV26" s="27" t="n">
        <f aca="false">IF(COUNT(Amendoim!$E24:$Z24)=0,0,MAX(0,IF((AV$6-$E$3)&lt;1,0,IFERROR(LOOKUP(2,1/(Amendoim!$E24:INDEX(Amendoim!$E24:$Z24,MIN(AV$6-$E$3,22))&lt;&gt;""),Amendoim!$E24:INDEX(Amendoim!$E24:$Z24,MIN(AV$6-$E$3,22))),0))-IF($G$2,0,IF((AV$6-$G$3)&lt;1,0,IFERROR(LOOKUP(2,1/(Amendoim!$E24:INDEX(Amendoim!$E24:$Z24,MIN(AV$6-$G$3,22))&lt;&gt;""),Amendoim!$E24:INDEX(Amendoim!$E24:$Z24,MIN(AV$6-$G$3,22))),0)))))</f>
        <v>0</v>
      </c>
      <c r="AW26" s="27" t="n">
        <f aca="false">IF(COUNT(Amendoim!$E24:$Z24)=0,0,MAX(0,IF((AW$6-$E$3)&lt;1,0,IFERROR(LOOKUP(2,1/(Amendoim!$E24:INDEX(Amendoim!$E24:$Z24,MIN(AW$6-$E$3,22))&lt;&gt;""),Amendoim!$E24:INDEX(Amendoim!$E24:$Z24,MIN(AW$6-$E$3,22))),0))-IF($G$2,0,IF((AW$6-$G$3)&lt;1,0,IFERROR(LOOKUP(2,1/(Amendoim!$E24:INDEX(Amendoim!$E24:$Z24,MIN(AW$6-$G$3,22))&lt;&gt;""),Amendoim!$E24:INDEX(Amendoim!$E24:$Z24,MIN(AW$6-$G$3,22))),0)))))</f>
        <v>0</v>
      </c>
      <c r="AX26" s="27" t="n">
        <f aca="false">IF(COUNT(Amendoim!$E24:$Z24)=0,0,MAX(0,IF((AX$6-$E$3)&lt;1,0,IFERROR(LOOKUP(2,1/(Amendoim!$E24:INDEX(Amendoim!$E24:$Z24,MIN(AX$6-$E$3,22))&lt;&gt;""),Amendoim!$E24:INDEX(Amendoim!$E24:$Z24,MIN(AX$6-$E$3,22))),0))-IF($G$2,0,IF((AX$6-$G$3)&lt;1,0,IFERROR(LOOKUP(2,1/(Amendoim!$E24:INDEX(Amendoim!$E24:$Z24,MIN(AX$6-$G$3,22))&lt;&gt;""),Amendoim!$E24:INDEX(Amendoim!$E24:$Z24,MIN(AX$6-$G$3,22))),0)))))</f>
        <v>0</v>
      </c>
      <c r="AY26" s="27" t="n">
        <f aca="false">IF(COUNT(Amendoim!$E24:$Z24)=0,0,MAX(0,IF((AY$6-$E$3)&lt;1,0,IFERROR(LOOKUP(2,1/(Amendoim!$E24:INDEX(Amendoim!$E24:$Z24,MIN(AY$6-$E$3,22))&lt;&gt;""),Amendoim!$E24:INDEX(Amendoim!$E24:$Z24,MIN(AY$6-$E$3,22))),0))-IF($G$2,0,IF((AY$6-$G$3)&lt;1,0,IFERROR(LOOKUP(2,1/(Amendoim!$E24:INDEX(Amendoim!$E24:$Z24,MIN(AY$6-$G$3,22))&lt;&gt;""),Amendoim!$E24:INDEX(Amendoim!$E24:$Z24,MIN(AY$6-$G$3,22))),0)))))</f>
        <v>0</v>
      </c>
      <c r="AZ26" s="27" t="n">
        <f aca="false">IF(COUNT(Amendoim!$E24:$Z24)=0,0,MAX(0,IF((AZ$6-$E$3)&lt;1,0,IFERROR(LOOKUP(2,1/(Amendoim!$E24:INDEX(Amendoim!$E24:$Z24,MIN(AZ$6-$E$3,22))&lt;&gt;""),Amendoim!$E24:INDEX(Amendoim!$E24:$Z24,MIN(AZ$6-$E$3,22))),0))-IF($G$2,0,IF((AZ$6-$G$3)&lt;1,0,IFERROR(LOOKUP(2,1/(Amendoim!$E24:INDEX(Amendoim!$E24:$Z24,MIN(AZ$6-$G$3,22))&lt;&gt;""),Amendoim!$E24:INDEX(Amendoim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IF(COUNT(Amendoim!$E25:$Z25)&gt;0,N(Amendoim!$D25),0)</f>
        <v>0</v>
      </c>
      <c r="E27" s="27" t="n">
        <f aca="false">IF(COUNT(Amendoim!$E25:$Z25)=0,0,MAX(0,IF((E$6-$E$3)&lt;1,0,IFERROR(LOOKUP(2,1/(Amendoim!$E25:INDEX(Amendoim!$E25:$Z25,MIN(E$6-$E$3,22))&lt;&gt;""),Amendoim!$E25:INDEX(Amendoim!$E25:$Z25,MIN(E$6-$E$3,22))),0))-IF($G$2,0,IF((E$6-$G$3)&lt;1,0,IFERROR(LOOKUP(2,1/(Amendoim!$E25:INDEX(Amendoim!$E25:$Z25,MIN(E$6-$G$3,22))&lt;&gt;""),Amendoim!$E25:INDEX(Amendoim!$E25:$Z25,MIN(E$6-$G$3,22))),0)))))</f>
        <v>0</v>
      </c>
      <c r="F27" s="27" t="n">
        <f aca="false">IF(COUNT(Amendoim!$E25:$Z25)=0,0,MAX(0,IF((F$6-$E$3)&lt;1,0,IFERROR(LOOKUP(2,1/(Amendoim!$E25:INDEX(Amendoim!$E25:$Z25,MIN(F$6-$E$3,22))&lt;&gt;""),Amendoim!$E25:INDEX(Amendoim!$E25:$Z25,MIN(F$6-$E$3,22))),0))-IF($G$2,0,IF((F$6-$G$3)&lt;1,0,IFERROR(LOOKUP(2,1/(Amendoim!$E25:INDEX(Amendoim!$E25:$Z25,MIN(F$6-$G$3,22))&lt;&gt;""),Amendoim!$E25:INDEX(Amendoim!$E25:$Z25,MIN(F$6-$G$3,22))),0)))))</f>
        <v>0</v>
      </c>
      <c r="G27" s="27" t="n">
        <f aca="false">IF(COUNT(Amendoim!$E25:$Z25)=0,0,MAX(0,IF((G$6-$E$3)&lt;1,0,IFERROR(LOOKUP(2,1/(Amendoim!$E25:INDEX(Amendoim!$E25:$Z25,MIN(G$6-$E$3,22))&lt;&gt;""),Amendoim!$E25:INDEX(Amendoim!$E25:$Z25,MIN(G$6-$E$3,22))),0))-IF($G$2,0,IF((G$6-$G$3)&lt;1,0,IFERROR(LOOKUP(2,1/(Amendoim!$E25:INDEX(Amendoim!$E25:$Z25,MIN(G$6-$G$3,22))&lt;&gt;""),Amendoim!$E25:INDEX(Amendoim!$E25:$Z25,MIN(G$6-$G$3,22))),0)))))</f>
        <v>0</v>
      </c>
      <c r="H27" s="27" t="n">
        <f aca="false">IF(COUNT(Amendoim!$E25:$Z25)=0,0,MAX(0,IF((H$6-$E$3)&lt;1,0,IFERROR(LOOKUP(2,1/(Amendoim!$E25:INDEX(Amendoim!$E25:$Z25,MIN(H$6-$E$3,22))&lt;&gt;""),Amendoim!$E25:INDEX(Amendoim!$E25:$Z25,MIN(H$6-$E$3,22))),0))-IF($G$2,0,IF((H$6-$G$3)&lt;1,0,IFERROR(LOOKUP(2,1/(Amendoim!$E25:INDEX(Amendoim!$E25:$Z25,MIN(H$6-$G$3,22))&lt;&gt;""),Amendoim!$E25:INDEX(Amendoim!$E25:$Z25,MIN(H$6-$G$3,22))),0)))))</f>
        <v>0</v>
      </c>
      <c r="I27" s="27" t="n">
        <f aca="false">IF(COUNT(Amendoim!$E25:$Z25)=0,0,MAX(0,IF((I$6-$E$3)&lt;1,0,IFERROR(LOOKUP(2,1/(Amendoim!$E25:INDEX(Amendoim!$E25:$Z25,MIN(I$6-$E$3,22))&lt;&gt;""),Amendoim!$E25:INDEX(Amendoim!$E25:$Z25,MIN(I$6-$E$3,22))),0))-IF($G$2,0,IF((I$6-$G$3)&lt;1,0,IFERROR(LOOKUP(2,1/(Amendoim!$E25:INDEX(Amendoim!$E25:$Z25,MIN(I$6-$G$3,22))&lt;&gt;""),Amendoim!$E25:INDEX(Amendoim!$E25:$Z25,MIN(I$6-$G$3,22))),0)))))</f>
        <v>0</v>
      </c>
      <c r="J27" s="27" t="n">
        <f aca="false">IF(COUNT(Amendoim!$E25:$Z25)=0,0,MAX(0,IF((J$6-$E$3)&lt;1,0,IFERROR(LOOKUP(2,1/(Amendoim!$E25:INDEX(Amendoim!$E25:$Z25,MIN(J$6-$E$3,22))&lt;&gt;""),Amendoim!$E25:INDEX(Amendoim!$E25:$Z25,MIN(J$6-$E$3,22))),0))-IF($G$2,0,IF((J$6-$G$3)&lt;1,0,IFERROR(LOOKUP(2,1/(Amendoim!$E25:INDEX(Amendoim!$E25:$Z25,MIN(J$6-$G$3,22))&lt;&gt;""),Amendoim!$E25:INDEX(Amendoim!$E25:$Z25,MIN(J$6-$G$3,22))),0)))))</f>
        <v>0</v>
      </c>
      <c r="K27" s="27" t="n">
        <f aca="false">IF(COUNT(Amendoim!$E25:$Z25)=0,0,MAX(0,IF((K$6-$E$3)&lt;1,0,IFERROR(LOOKUP(2,1/(Amendoim!$E25:INDEX(Amendoim!$E25:$Z25,MIN(K$6-$E$3,22))&lt;&gt;""),Amendoim!$E25:INDEX(Amendoim!$E25:$Z25,MIN(K$6-$E$3,22))),0))-IF($G$2,0,IF((K$6-$G$3)&lt;1,0,IFERROR(LOOKUP(2,1/(Amendoim!$E25:INDEX(Amendoim!$E25:$Z25,MIN(K$6-$G$3,22))&lt;&gt;""),Amendoim!$E25:INDEX(Amendoim!$E25:$Z25,MIN(K$6-$G$3,22))),0)))))</f>
        <v>0</v>
      </c>
      <c r="L27" s="27" t="n">
        <f aca="false">IF(COUNT(Amendoim!$E25:$Z25)=0,0,MAX(0,IF((L$6-$E$3)&lt;1,0,IFERROR(LOOKUP(2,1/(Amendoim!$E25:INDEX(Amendoim!$E25:$Z25,MIN(L$6-$E$3,22))&lt;&gt;""),Amendoim!$E25:INDEX(Amendoim!$E25:$Z25,MIN(L$6-$E$3,22))),0))-IF($G$2,0,IF((L$6-$G$3)&lt;1,0,IFERROR(LOOKUP(2,1/(Amendoim!$E25:INDEX(Amendoim!$E25:$Z25,MIN(L$6-$G$3,22))&lt;&gt;""),Amendoim!$E25:INDEX(Amendoim!$E25:$Z25,MIN(L$6-$G$3,22))),0)))))</f>
        <v>0</v>
      </c>
      <c r="M27" s="27" t="n">
        <f aca="false">IF(COUNT(Amendoim!$E25:$Z25)=0,0,MAX(0,IF((M$6-$E$3)&lt;1,0,IFERROR(LOOKUP(2,1/(Amendoim!$E25:INDEX(Amendoim!$E25:$Z25,MIN(M$6-$E$3,22))&lt;&gt;""),Amendoim!$E25:INDEX(Amendoim!$E25:$Z25,MIN(M$6-$E$3,22))),0))-IF($G$2,0,IF((M$6-$G$3)&lt;1,0,IFERROR(LOOKUP(2,1/(Amendoim!$E25:INDEX(Amendoim!$E25:$Z25,MIN(M$6-$G$3,22))&lt;&gt;""),Amendoim!$E25:INDEX(Amendoim!$E25:$Z25,MIN(M$6-$G$3,22))),0)))))</f>
        <v>0</v>
      </c>
      <c r="N27" s="27" t="n">
        <f aca="false">IF(COUNT(Amendoim!$E25:$Z25)=0,0,MAX(0,IF((N$6-$E$3)&lt;1,0,IFERROR(LOOKUP(2,1/(Amendoim!$E25:INDEX(Amendoim!$E25:$Z25,MIN(N$6-$E$3,22))&lt;&gt;""),Amendoim!$E25:INDEX(Amendoim!$E25:$Z25,MIN(N$6-$E$3,22))),0))-IF($G$2,0,IF((N$6-$G$3)&lt;1,0,IFERROR(LOOKUP(2,1/(Amendoim!$E25:INDEX(Amendoim!$E25:$Z25,MIN(N$6-$G$3,22))&lt;&gt;""),Amendoim!$E25:INDEX(Amendoim!$E25:$Z25,MIN(N$6-$G$3,22))),0)))))</f>
        <v>0</v>
      </c>
      <c r="O27" s="27" t="n">
        <f aca="false">IF(COUNT(Amendoim!$E25:$Z25)=0,0,MAX(0,IF((O$6-$E$3)&lt;1,0,IFERROR(LOOKUP(2,1/(Amendoim!$E25:INDEX(Amendoim!$E25:$Z25,MIN(O$6-$E$3,22))&lt;&gt;""),Amendoim!$E25:INDEX(Amendoim!$E25:$Z25,MIN(O$6-$E$3,22))),0))-IF($G$2,0,IF((O$6-$G$3)&lt;1,0,IFERROR(LOOKUP(2,1/(Amendoim!$E25:INDEX(Amendoim!$E25:$Z25,MIN(O$6-$G$3,22))&lt;&gt;""),Amendoim!$E25:INDEX(Amendoim!$E25:$Z25,MIN(O$6-$G$3,22))),0)))))</f>
        <v>0</v>
      </c>
      <c r="P27" s="27" t="n">
        <f aca="false">IF(COUNT(Amendoim!$E25:$Z25)=0,0,MAX(0,IF((P$6-$E$3)&lt;1,0,IFERROR(LOOKUP(2,1/(Amendoim!$E25:INDEX(Amendoim!$E25:$Z25,MIN(P$6-$E$3,22))&lt;&gt;""),Amendoim!$E25:INDEX(Amendoim!$E25:$Z25,MIN(P$6-$E$3,22))),0))-IF($G$2,0,IF((P$6-$G$3)&lt;1,0,IFERROR(LOOKUP(2,1/(Amendoim!$E25:INDEX(Amendoim!$E25:$Z25,MIN(P$6-$G$3,22))&lt;&gt;""),Amendoim!$E25:INDEX(Amendoim!$E25:$Z25,MIN(P$6-$G$3,22))),0)))))</f>
        <v>0</v>
      </c>
      <c r="Q27" s="27" t="n">
        <f aca="false">IF(COUNT(Amendoim!$E25:$Z25)=0,0,MAX(0,IF((Q$6-$E$3)&lt;1,0,IFERROR(LOOKUP(2,1/(Amendoim!$E25:INDEX(Amendoim!$E25:$Z25,MIN(Q$6-$E$3,22))&lt;&gt;""),Amendoim!$E25:INDEX(Amendoim!$E25:$Z25,MIN(Q$6-$E$3,22))),0))-IF($G$2,0,IF((Q$6-$G$3)&lt;1,0,IFERROR(LOOKUP(2,1/(Amendoim!$E25:INDEX(Amendoim!$E25:$Z25,MIN(Q$6-$G$3,22))&lt;&gt;""),Amendoim!$E25:INDEX(Amendoim!$E25:$Z25,MIN(Q$6-$G$3,22))),0)))))</f>
        <v>0</v>
      </c>
      <c r="R27" s="27" t="n">
        <f aca="false">IF(COUNT(Amendoim!$E25:$Z25)=0,0,MAX(0,IF((R$6-$E$3)&lt;1,0,IFERROR(LOOKUP(2,1/(Amendoim!$E25:INDEX(Amendoim!$E25:$Z25,MIN(R$6-$E$3,22))&lt;&gt;""),Amendoim!$E25:INDEX(Amendoim!$E25:$Z25,MIN(R$6-$E$3,22))),0))-IF($G$2,0,IF((R$6-$G$3)&lt;1,0,IFERROR(LOOKUP(2,1/(Amendoim!$E25:INDEX(Amendoim!$E25:$Z25,MIN(R$6-$G$3,22))&lt;&gt;""),Amendoim!$E25:INDEX(Amendoim!$E25:$Z25,MIN(R$6-$G$3,22))),0)))))</f>
        <v>0</v>
      </c>
      <c r="S27" s="27" t="n">
        <f aca="false">IF(COUNT(Amendoim!$E25:$Z25)=0,0,MAX(0,IF((S$6-$E$3)&lt;1,0,IFERROR(LOOKUP(2,1/(Amendoim!$E25:INDEX(Amendoim!$E25:$Z25,MIN(S$6-$E$3,22))&lt;&gt;""),Amendoim!$E25:INDEX(Amendoim!$E25:$Z25,MIN(S$6-$E$3,22))),0))-IF($G$2,0,IF((S$6-$G$3)&lt;1,0,IFERROR(LOOKUP(2,1/(Amendoim!$E25:INDEX(Amendoim!$E25:$Z25,MIN(S$6-$G$3,22))&lt;&gt;""),Amendoim!$E25:INDEX(Amendoim!$E25:$Z25,MIN(S$6-$G$3,22))),0)))))</f>
        <v>0</v>
      </c>
      <c r="T27" s="27" t="n">
        <f aca="false">IF(COUNT(Amendoim!$E25:$Z25)=0,0,MAX(0,IF((T$6-$E$3)&lt;1,0,IFERROR(LOOKUP(2,1/(Amendoim!$E25:INDEX(Amendoim!$E25:$Z25,MIN(T$6-$E$3,22))&lt;&gt;""),Amendoim!$E25:INDEX(Amendoim!$E25:$Z25,MIN(T$6-$E$3,22))),0))-IF($G$2,0,IF((T$6-$G$3)&lt;1,0,IFERROR(LOOKUP(2,1/(Amendoim!$E25:INDEX(Amendoim!$E25:$Z25,MIN(T$6-$G$3,22))&lt;&gt;""),Amendoim!$E25:INDEX(Amendoim!$E25:$Z25,MIN(T$6-$G$3,22))),0)))))</f>
        <v>0</v>
      </c>
      <c r="U27" s="27" t="n">
        <f aca="false">IF(COUNT(Amendoim!$E25:$Z25)=0,0,MAX(0,IF((U$6-$E$3)&lt;1,0,IFERROR(LOOKUP(2,1/(Amendoim!$E25:INDEX(Amendoim!$E25:$Z25,MIN(U$6-$E$3,22))&lt;&gt;""),Amendoim!$E25:INDEX(Amendoim!$E25:$Z25,MIN(U$6-$E$3,22))),0))-IF($G$2,0,IF((U$6-$G$3)&lt;1,0,IFERROR(LOOKUP(2,1/(Amendoim!$E25:INDEX(Amendoim!$E25:$Z25,MIN(U$6-$G$3,22))&lt;&gt;""),Amendoim!$E25:INDEX(Amendoim!$E25:$Z25,MIN(U$6-$G$3,22))),0)))))</f>
        <v>0</v>
      </c>
      <c r="V27" s="27" t="n">
        <f aca="false">IF(COUNT(Amendoim!$E25:$Z25)=0,0,MAX(0,IF((V$6-$E$3)&lt;1,0,IFERROR(LOOKUP(2,1/(Amendoim!$E25:INDEX(Amendoim!$E25:$Z25,MIN(V$6-$E$3,22))&lt;&gt;""),Amendoim!$E25:INDEX(Amendoim!$E25:$Z25,MIN(V$6-$E$3,22))),0))-IF($G$2,0,IF((V$6-$G$3)&lt;1,0,IFERROR(LOOKUP(2,1/(Amendoim!$E25:INDEX(Amendoim!$E25:$Z25,MIN(V$6-$G$3,22))&lt;&gt;""),Amendoim!$E25:INDEX(Amendoim!$E25:$Z25,MIN(V$6-$G$3,22))),0)))))</f>
        <v>0</v>
      </c>
      <c r="W27" s="27" t="n">
        <f aca="false">IF(COUNT(Amendoim!$E25:$Z25)=0,0,MAX(0,IF((W$6-$E$3)&lt;1,0,IFERROR(LOOKUP(2,1/(Amendoim!$E25:INDEX(Amendoim!$E25:$Z25,MIN(W$6-$E$3,22))&lt;&gt;""),Amendoim!$E25:INDEX(Amendoim!$E25:$Z25,MIN(W$6-$E$3,22))),0))-IF($G$2,0,IF((W$6-$G$3)&lt;1,0,IFERROR(LOOKUP(2,1/(Amendoim!$E25:INDEX(Amendoim!$E25:$Z25,MIN(W$6-$G$3,22))&lt;&gt;""),Amendoim!$E25:INDEX(Amendoim!$E25:$Z25,MIN(W$6-$G$3,22))),0)))))</f>
        <v>0</v>
      </c>
      <c r="X27" s="27" t="n">
        <f aca="false">IF(COUNT(Amendoim!$E25:$Z25)=0,0,MAX(0,IF((X$6-$E$3)&lt;1,0,IFERROR(LOOKUP(2,1/(Amendoim!$E25:INDEX(Amendoim!$E25:$Z25,MIN(X$6-$E$3,22))&lt;&gt;""),Amendoim!$E25:INDEX(Amendoim!$E25:$Z25,MIN(X$6-$E$3,22))),0))-IF($G$2,0,IF((X$6-$G$3)&lt;1,0,IFERROR(LOOKUP(2,1/(Amendoim!$E25:INDEX(Amendoim!$E25:$Z25,MIN(X$6-$G$3,22))&lt;&gt;""),Amendoim!$E25:INDEX(Amendoim!$E25:$Z25,MIN(X$6-$G$3,22))),0)))))</f>
        <v>0</v>
      </c>
      <c r="Y27" s="27" t="n">
        <f aca="false">IF(COUNT(Amendoim!$E25:$Z25)=0,0,MAX(0,IF((Y$6-$E$3)&lt;1,0,IFERROR(LOOKUP(2,1/(Amendoim!$E25:INDEX(Amendoim!$E25:$Z25,MIN(Y$6-$E$3,22))&lt;&gt;""),Amendoim!$E25:INDEX(Amendoim!$E25:$Z25,MIN(Y$6-$E$3,22))),0))-IF($G$2,0,IF((Y$6-$G$3)&lt;1,0,IFERROR(LOOKUP(2,1/(Amendoim!$E25:INDEX(Amendoim!$E25:$Z25,MIN(Y$6-$G$3,22))&lt;&gt;""),Amendoim!$E25:INDEX(Amendoim!$E25:$Z25,MIN(Y$6-$G$3,22))),0)))))</f>
        <v>0</v>
      </c>
      <c r="Z27" s="27" t="n">
        <f aca="false">IF(COUNT(Amendoim!$E25:$Z25)=0,0,MAX(0,IF((Z$6-$E$3)&lt;1,0,IFERROR(LOOKUP(2,1/(Amendoim!$E25:INDEX(Amendoim!$E25:$Z25,MIN(Z$6-$E$3,22))&lt;&gt;""),Amendoim!$E25:INDEX(Amendoim!$E25:$Z25,MIN(Z$6-$E$3,22))),0))-IF($G$2,0,IF((Z$6-$G$3)&lt;1,0,IFERROR(LOOKUP(2,1/(Amendoim!$E25:INDEX(Amendoim!$E25:$Z25,MIN(Z$6-$G$3,22))&lt;&gt;""),Amendoim!$E25:INDEX(Amendoim!$E25:$Z25,MIN(Z$6-$G$3,22))),0)))))</f>
        <v>0</v>
      </c>
      <c r="AA27" s="27" t="n">
        <f aca="false">IF(COUNT(Amendoim!$E25:$Z25)=0,0,MAX(0,IF((AA$6-$E$3)&lt;1,0,IFERROR(LOOKUP(2,1/(Amendoim!$E25:INDEX(Amendoim!$E25:$Z25,MIN(AA$6-$E$3,22))&lt;&gt;""),Amendoim!$E25:INDEX(Amendoim!$E25:$Z25,MIN(AA$6-$E$3,22))),0))-IF($G$2,0,IF((AA$6-$G$3)&lt;1,0,IFERROR(LOOKUP(2,1/(Amendoim!$E25:INDEX(Amendoim!$E25:$Z25,MIN(AA$6-$G$3,22))&lt;&gt;""),Amendoim!$E25:INDEX(Amendoim!$E25:$Z25,MIN(AA$6-$G$3,22))),0)))))</f>
        <v>0</v>
      </c>
      <c r="AB27" s="27" t="n">
        <f aca="false">IF(COUNT(Amendoim!$E25:$Z25)=0,0,MAX(0,IF((AB$6-$E$3)&lt;1,0,IFERROR(LOOKUP(2,1/(Amendoim!$E25:INDEX(Amendoim!$E25:$Z25,MIN(AB$6-$E$3,22))&lt;&gt;""),Amendoim!$E25:INDEX(Amendoim!$E25:$Z25,MIN(AB$6-$E$3,22))),0))-IF($G$2,0,IF((AB$6-$G$3)&lt;1,0,IFERROR(LOOKUP(2,1/(Amendoim!$E25:INDEX(Amendoim!$E25:$Z25,MIN(AB$6-$G$3,22))&lt;&gt;""),Amendoim!$E25:INDEX(Amendoim!$E25:$Z25,MIN(AB$6-$G$3,22))),0)))))</f>
        <v>0</v>
      </c>
      <c r="AC27" s="27" t="n">
        <f aca="false">IF(COUNT(Amendoim!$E25:$Z25)=0,0,MAX(0,IF((AC$6-$E$3)&lt;1,0,IFERROR(LOOKUP(2,1/(Amendoim!$E25:INDEX(Amendoim!$E25:$Z25,MIN(AC$6-$E$3,22))&lt;&gt;""),Amendoim!$E25:INDEX(Amendoim!$E25:$Z25,MIN(AC$6-$E$3,22))),0))-IF($G$2,0,IF((AC$6-$G$3)&lt;1,0,IFERROR(LOOKUP(2,1/(Amendoim!$E25:INDEX(Amendoim!$E25:$Z25,MIN(AC$6-$G$3,22))&lt;&gt;""),Amendoim!$E25:INDEX(Amendoim!$E25:$Z25,MIN(AC$6-$G$3,22))),0)))))</f>
        <v>0</v>
      </c>
      <c r="AD27" s="27" t="n">
        <f aca="false">IF(COUNT(Amendoim!$E25:$Z25)=0,0,MAX(0,IF((AD$6-$E$3)&lt;1,0,IFERROR(LOOKUP(2,1/(Amendoim!$E25:INDEX(Amendoim!$E25:$Z25,MIN(AD$6-$E$3,22))&lt;&gt;""),Amendoim!$E25:INDEX(Amendoim!$E25:$Z25,MIN(AD$6-$E$3,22))),0))-IF($G$2,0,IF((AD$6-$G$3)&lt;1,0,IFERROR(LOOKUP(2,1/(Amendoim!$E25:INDEX(Amendoim!$E25:$Z25,MIN(AD$6-$G$3,22))&lt;&gt;""),Amendoim!$E25:INDEX(Amendoim!$E25:$Z25,MIN(AD$6-$G$3,22))),0)))))</f>
        <v>0</v>
      </c>
      <c r="AE27" s="27" t="n">
        <f aca="false">IF(COUNT(Amendoim!$E25:$Z25)=0,0,MAX(0,IF((AE$6-$E$3)&lt;1,0,IFERROR(LOOKUP(2,1/(Amendoim!$E25:INDEX(Amendoim!$E25:$Z25,MIN(AE$6-$E$3,22))&lt;&gt;""),Amendoim!$E25:INDEX(Amendoim!$E25:$Z25,MIN(AE$6-$E$3,22))),0))-IF($G$2,0,IF((AE$6-$G$3)&lt;1,0,IFERROR(LOOKUP(2,1/(Amendoim!$E25:INDEX(Amendoim!$E25:$Z25,MIN(AE$6-$G$3,22))&lt;&gt;""),Amendoim!$E25:INDEX(Amendoim!$E25:$Z25,MIN(AE$6-$G$3,22))),0)))))</f>
        <v>0</v>
      </c>
      <c r="AF27" s="27" t="n">
        <f aca="false">IF(COUNT(Amendoim!$E25:$Z25)=0,0,MAX(0,IF((AF$6-$E$3)&lt;1,0,IFERROR(LOOKUP(2,1/(Amendoim!$E25:INDEX(Amendoim!$E25:$Z25,MIN(AF$6-$E$3,22))&lt;&gt;""),Amendoim!$E25:INDEX(Amendoim!$E25:$Z25,MIN(AF$6-$E$3,22))),0))-IF($G$2,0,IF((AF$6-$G$3)&lt;1,0,IFERROR(LOOKUP(2,1/(Amendoim!$E25:INDEX(Amendoim!$E25:$Z25,MIN(AF$6-$G$3,22))&lt;&gt;""),Amendoim!$E25:INDEX(Amendoim!$E25:$Z25,MIN(AF$6-$G$3,22))),0)))))</f>
        <v>0</v>
      </c>
      <c r="AG27" s="27" t="n">
        <f aca="false">IF(COUNT(Amendoim!$E25:$Z25)=0,0,MAX(0,IF((AG$6-$E$3)&lt;1,0,IFERROR(LOOKUP(2,1/(Amendoim!$E25:INDEX(Amendoim!$E25:$Z25,MIN(AG$6-$E$3,22))&lt;&gt;""),Amendoim!$E25:INDEX(Amendoim!$E25:$Z25,MIN(AG$6-$E$3,22))),0))-IF($G$2,0,IF((AG$6-$G$3)&lt;1,0,IFERROR(LOOKUP(2,1/(Amendoim!$E25:INDEX(Amendoim!$E25:$Z25,MIN(AG$6-$G$3,22))&lt;&gt;""),Amendoim!$E25:INDEX(Amendoim!$E25:$Z25,MIN(AG$6-$G$3,22))),0)))))</f>
        <v>0</v>
      </c>
      <c r="AH27" s="27" t="n">
        <f aca="false">IF(COUNT(Amendoim!$E25:$Z25)=0,0,MAX(0,IF((AH$6-$E$3)&lt;1,0,IFERROR(LOOKUP(2,1/(Amendoim!$E25:INDEX(Amendoim!$E25:$Z25,MIN(AH$6-$E$3,22))&lt;&gt;""),Amendoim!$E25:INDEX(Amendoim!$E25:$Z25,MIN(AH$6-$E$3,22))),0))-IF($G$2,0,IF((AH$6-$G$3)&lt;1,0,IFERROR(LOOKUP(2,1/(Amendoim!$E25:INDEX(Amendoim!$E25:$Z25,MIN(AH$6-$G$3,22))&lt;&gt;""),Amendoim!$E25:INDEX(Amendoim!$E25:$Z25,MIN(AH$6-$G$3,22))),0)))))</f>
        <v>0</v>
      </c>
      <c r="AI27" s="27" t="n">
        <f aca="false">IF(COUNT(Amendoim!$E25:$Z25)=0,0,MAX(0,IF((AI$6-$E$3)&lt;1,0,IFERROR(LOOKUP(2,1/(Amendoim!$E25:INDEX(Amendoim!$E25:$Z25,MIN(AI$6-$E$3,22))&lt;&gt;""),Amendoim!$E25:INDEX(Amendoim!$E25:$Z25,MIN(AI$6-$E$3,22))),0))-IF($G$2,0,IF((AI$6-$G$3)&lt;1,0,IFERROR(LOOKUP(2,1/(Amendoim!$E25:INDEX(Amendoim!$E25:$Z25,MIN(AI$6-$G$3,22))&lt;&gt;""),Amendoim!$E25:INDEX(Amendoim!$E25:$Z25,MIN(AI$6-$G$3,22))),0)))))</f>
        <v>0</v>
      </c>
      <c r="AJ27" s="27" t="n">
        <f aca="false">IF(COUNT(Amendoim!$E25:$Z25)=0,0,MAX(0,IF((AJ$6-$E$3)&lt;1,0,IFERROR(LOOKUP(2,1/(Amendoim!$E25:INDEX(Amendoim!$E25:$Z25,MIN(AJ$6-$E$3,22))&lt;&gt;""),Amendoim!$E25:INDEX(Amendoim!$E25:$Z25,MIN(AJ$6-$E$3,22))),0))-IF($G$2,0,IF((AJ$6-$G$3)&lt;1,0,IFERROR(LOOKUP(2,1/(Amendoim!$E25:INDEX(Amendoim!$E25:$Z25,MIN(AJ$6-$G$3,22))&lt;&gt;""),Amendoim!$E25:INDEX(Amendoim!$E25:$Z25,MIN(AJ$6-$G$3,22))),0)))))</f>
        <v>0</v>
      </c>
      <c r="AK27" s="27" t="n">
        <f aca="false">IF(COUNT(Amendoim!$E25:$Z25)=0,0,MAX(0,IF((AK$6-$E$3)&lt;1,0,IFERROR(LOOKUP(2,1/(Amendoim!$E25:INDEX(Amendoim!$E25:$Z25,MIN(AK$6-$E$3,22))&lt;&gt;""),Amendoim!$E25:INDEX(Amendoim!$E25:$Z25,MIN(AK$6-$E$3,22))),0))-IF($G$2,0,IF((AK$6-$G$3)&lt;1,0,IFERROR(LOOKUP(2,1/(Amendoim!$E25:INDEX(Amendoim!$E25:$Z25,MIN(AK$6-$G$3,22))&lt;&gt;""),Amendoim!$E25:INDEX(Amendoim!$E25:$Z25,MIN(AK$6-$G$3,22))),0)))))</f>
        <v>0</v>
      </c>
      <c r="AL27" s="27" t="n">
        <f aca="false">IF(COUNT(Amendoim!$E25:$Z25)=0,0,MAX(0,IF((AL$6-$E$3)&lt;1,0,IFERROR(LOOKUP(2,1/(Amendoim!$E25:INDEX(Amendoim!$E25:$Z25,MIN(AL$6-$E$3,22))&lt;&gt;""),Amendoim!$E25:INDEX(Amendoim!$E25:$Z25,MIN(AL$6-$E$3,22))),0))-IF($G$2,0,IF((AL$6-$G$3)&lt;1,0,IFERROR(LOOKUP(2,1/(Amendoim!$E25:INDEX(Amendoim!$E25:$Z25,MIN(AL$6-$G$3,22))&lt;&gt;""),Amendoim!$E25:INDEX(Amendoim!$E25:$Z25,MIN(AL$6-$G$3,22))),0)))))</f>
        <v>0</v>
      </c>
      <c r="AM27" s="27" t="n">
        <f aca="false">IF(COUNT(Amendoim!$E25:$Z25)=0,0,MAX(0,IF((AM$6-$E$3)&lt;1,0,IFERROR(LOOKUP(2,1/(Amendoim!$E25:INDEX(Amendoim!$E25:$Z25,MIN(AM$6-$E$3,22))&lt;&gt;""),Amendoim!$E25:INDEX(Amendoim!$E25:$Z25,MIN(AM$6-$E$3,22))),0))-IF($G$2,0,IF((AM$6-$G$3)&lt;1,0,IFERROR(LOOKUP(2,1/(Amendoim!$E25:INDEX(Amendoim!$E25:$Z25,MIN(AM$6-$G$3,22))&lt;&gt;""),Amendoim!$E25:INDEX(Amendoim!$E25:$Z25,MIN(AM$6-$G$3,22))),0)))))</f>
        <v>0</v>
      </c>
      <c r="AN27" s="27" t="n">
        <f aca="false">IF(COUNT(Amendoim!$E25:$Z25)=0,0,MAX(0,IF((AN$6-$E$3)&lt;1,0,IFERROR(LOOKUP(2,1/(Amendoim!$E25:INDEX(Amendoim!$E25:$Z25,MIN(AN$6-$E$3,22))&lt;&gt;""),Amendoim!$E25:INDEX(Amendoim!$E25:$Z25,MIN(AN$6-$E$3,22))),0))-IF($G$2,0,IF((AN$6-$G$3)&lt;1,0,IFERROR(LOOKUP(2,1/(Amendoim!$E25:INDEX(Amendoim!$E25:$Z25,MIN(AN$6-$G$3,22))&lt;&gt;""),Amendoim!$E25:INDEX(Amendoim!$E25:$Z25,MIN(AN$6-$G$3,22))),0)))))</f>
        <v>0</v>
      </c>
      <c r="AO27" s="27" t="n">
        <f aca="false">IF(COUNT(Amendoim!$E25:$Z25)=0,0,MAX(0,IF((AO$6-$E$3)&lt;1,0,IFERROR(LOOKUP(2,1/(Amendoim!$E25:INDEX(Amendoim!$E25:$Z25,MIN(AO$6-$E$3,22))&lt;&gt;""),Amendoim!$E25:INDEX(Amendoim!$E25:$Z25,MIN(AO$6-$E$3,22))),0))-IF($G$2,0,IF((AO$6-$G$3)&lt;1,0,IFERROR(LOOKUP(2,1/(Amendoim!$E25:INDEX(Amendoim!$E25:$Z25,MIN(AO$6-$G$3,22))&lt;&gt;""),Amendoim!$E25:INDEX(Amendoim!$E25:$Z25,MIN(AO$6-$G$3,22))),0)))))</f>
        <v>0</v>
      </c>
      <c r="AP27" s="27" t="n">
        <f aca="false">IF(COUNT(Amendoim!$E25:$Z25)=0,0,MAX(0,IF((AP$6-$E$3)&lt;1,0,IFERROR(LOOKUP(2,1/(Amendoim!$E25:INDEX(Amendoim!$E25:$Z25,MIN(AP$6-$E$3,22))&lt;&gt;""),Amendoim!$E25:INDEX(Amendoim!$E25:$Z25,MIN(AP$6-$E$3,22))),0))-IF($G$2,0,IF((AP$6-$G$3)&lt;1,0,IFERROR(LOOKUP(2,1/(Amendoim!$E25:INDEX(Amendoim!$E25:$Z25,MIN(AP$6-$G$3,22))&lt;&gt;""),Amendoim!$E25:INDEX(Amendoim!$E25:$Z25,MIN(AP$6-$G$3,22))),0)))))</f>
        <v>0</v>
      </c>
      <c r="AQ27" s="27" t="n">
        <f aca="false">IF(COUNT(Amendoim!$E25:$Z25)=0,0,MAX(0,IF((AQ$6-$E$3)&lt;1,0,IFERROR(LOOKUP(2,1/(Amendoim!$E25:INDEX(Amendoim!$E25:$Z25,MIN(AQ$6-$E$3,22))&lt;&gt;""),Amendoim!$E25:INDEX(Amendoim!$E25:$Z25,MIN(AQ$6-$E$3,22))),0))-IF($G$2,0,IF((AQ$6-$G$3)&lt;1,0,IFERROR(LOOKUP(2,1/(Amendoim!$E25:INDEX(Amendoim!$E25:$Z25,MIN(AQ$6-$G$3,22))&lt;&gt;""),Amendoim!$E25:INDEX(Amendoim!$E25:$Z25,MIN(AQ$6-$G$3,22))),0)))))</f>
        <v>0</v>
      </c>
      <c r="AR27" s="27" t="n">
        <f aca="false">IF(COUNT(Amendoim!$E25:$Z25)=0,0,MAX(0,IF((AR$6-$E$3)&lt;1,0,IFERROR(LOOKUP(2,1/(Amendoim!$E25:INDEX(Amendoim!$E25:$Z25,MIN(AR$6-$E$3,22))&lt;&gt;""),Amendoim!$E25:INDEX(Amendoim!$E25:$Z25,MIN(AR$6-$E$3,22))),0))-IF($G$2,0,IF((AR$6-$G$3)&lt;1,0,IFERROR(LOOKUP(2,1/(Amendoim!$E25:INDEX(Amendoim!$E25:$Z25,MIN(AR$6-$G$3,22))&lt;&gt;""),Amendoim!$E25:INDEX(Amendoim!$E25:$Z25,MIN(AR$6-$G$3,22))),0)))))</f>
        <v>0</v>
      </c>
      <c r="AS27" s="27" t="n">
        <f aca="false">IF(COUNT(Amendoim!$E25:$Z25)=0,0,MAX(0,IF((AS$6-$E$3)&lt;1,0,IFERROR(LOOKUP(2,1/(Amendoim!$E25:INDEX(Amendoim!$E25:$Z25,MIN(AS$6-$E$3,22))&lt;&gt;""),Amendoim!$E25:INDEX(Amendoim!$E25:$Z25,MIN(AS$6-$E$3,22))),0))-IF($G$2,0,IF((AS$6-$G$3)&lt;1,0,IFERROR(LOOKUP(2,1/(Amendoim!$E25:INDEX(Amendoim!$E25:$Z25,MIN(AS$6-$G$3,22))&lt;&gt;""),Amendoim!$E25:INDEX(Amendoim!$E25:$Z25,MIN(AS$6-$G$3,22))),0)))))</f>
        <v>0</v>
      </c>
      <c r="AT27" s="27" t="n">
        <f aca="false">IF(COUNT(Amendoim!$E25:$Z25)=0,0,MAX(0,IF((AT$6-$E$3)&lt;1,0,IFERROR(LOOKUP(2,1/(Amendoim!$E25:INDEX(Amendoim!$E25:$Z25,MIN(AT$6-$E$3,22))&lt;&gt;""),Amendoim!$E25:INDEX(Amendoim!$E25:$Z25,MIN(AT$6-$E$3,22))),0))-IF($G$2,0,IF((AT$6-$G$3)&lt;1,0,IFERROR(LOOKUP(2,1/(Amendoim!$E25:INDEX(Amendoim!$E25:$Z25,MIN(AT$6-$G$3,22))&lt;&gt;""),Amendoim!$E25:INDEX(Amendoim!$E25:$Z25,MIN(AT$6-$G$3,22))),0)))))</f>
        <v>0</v>
      </c>
      <c r="AU27" s="27" t="n">
        <f aca="false">IF(COUNT(Amendoim!$E25:$Z25)=0,0,MAX(0,IF((AU$6-$E$3)&lt;1,0,IFERROR(LOOKUP(2,1/(Amendoim!$E25:INDEX(Amendoim!$E25:$Z25,MIN(AU$6-$E$3,22))&lt;&gt;""),Amendoim!$E25:INDEX(Amendoim!$E25:$Z25,MIN(AU$6-$E$3,22))),0))-IF($G$2,0,IF((AU$6-$G$3)&lt;1,0,IFERROR(LOOKUP(2,1/(Amendoim!$E25:INDEX(Amendoim!$E25:$Z25,MIN(AU$6-$G$3,22))&lt;&gt;""),Amendoim!$E25:INDEX(Amendoim!$E25:$Z25,MIN(AU$6-$G$3,22))),0)))))</f>
        <v>0</v>
      </c>
      <c r="AV27" s="27" t="n">
        <f aca="false">IF(COUNT(Amendoim!$E25:$Z25)=0,0,MAX(0,IF((AV$6-$E$3)&lt;1,0,IFERROR(LOOKUP(2,1/(Amendoim!$E25:INDEX(Amendoim!$E25:$Z25,MIN(AV$6-$E$3,22))&lt;&gt;""),Amendoim!$E25:INDEX(Amendoim!$E25:$Z25,MIN(AV$6-$E$3,22))),0))-IF($G$2,0,IF((AV$6-$G$3)&lt;1,0,IFERROR(LOOKUP(2,1/(Amendoim!$E25:INDEX(Amendoim!$E25:$Z25,MIN(AV$6-$G$3,22))&lt;&gt;""),Amendoim!$E25:INDEX(Amendoim!$E25:$Z25,MIN(AV$6-$G$3,22))),0)))))</f>
        <v>0</v>
      </c>
      <c r="AW27" s="27" t="n">
        <f aca="false">IF(COUNT(Amendoim!$E25:$Z25)=0,0,MAX(0,IF((AW$6-$E$3)&lt;1,0,IFERROR(LOOKUP(2,1/(Amendoim!$E25:INDEX(Amendoim!$E25:$Z25,MIN(AW$6-$E$3,22))&lt;&gt;""),Amendoim!$E25:INDEX(Amendoim!$E25:$Z25,MIN(AW$6-$E$3,22))),0))-IF($G$2,0,IF((AW$6-$G$3)&lt;1,0,IFERROR(LOOKUP(2,1/(Amendoim!$E25:INDEX(Amendoim!$E25:$Z25,MIN(AW$6-$G$3,22))&lt;&gt;""),Amendoim!$E25:INDEX(Amendoim!$E25:$Z25,MIN(AW$6-$G$3,22))),0)))))</f>
        <v>0</v>
      </c>
      <c r="AX27" s="27" t="n">
        <f aca="false">IF(COUNT(Amendoim!$E25:$Z25)=0,0,MAX(0,IF((AX$6-$E$3)&lt;1,0,IFERROR(LOOKUP(2,1/(Amendoim!$E25:INDEX(Amendoim!$E25:$Z25,MIN(AX$6-$E$3,22))&lt;&gt;""),Amendoim!$E25:INDEX(Amendoim!$E25:$Z25,MIN(AX$6-$E$3,22))),0))-IF($G$2,0,IF((AX$6-$G$3)&lt;1,0,IFERROR(LOOKUP(2,1/(Amendoim!$E25:INDEX(Amendoim!$E25:$Z25,MIN(AX$6-$G$3,22))&lt;&gt;""),Amendoim!$E25:INDEX(Amendoim!$E25:$Z25,MIN(AX$6-$G$3,22))),0)))))</f>
        <v>0</v>
      </c>
      <c r="AY27" s="27" t="n">
        <f aca="false">IF(COUNT(Amendoim!$E25:$Z25)=0,0,MAX(0,IF((AY$6-$E$3)&lt;1,0,IFERROR(LOOKUP(2,1/(Amendoim!$E25:INDEX(Amendoim!$E25:$Z25,MIN(AY$6-$E$3,22))&lt;&gt;""),Amendoim!$E25:INDEX(Amendoim!$E25:$Z25,MIN(AY$6-$E$3,22))),0))-IF($G$2,0,IF((AY$6-$G$3)&lt;1,0,IFERROR(LOOKUP(2,1/(Amendoim!$E25:INDEX(Amendoim!$E25:$Z25,MIN(AY$6-$G$3,22))&lt;&gt;""),Amendoim!$E25:INDEX(Amendoim!$E25:$Z25,MIN(AY$6-$G$3,22))),0)))))</f>
        <v>0</v>
      </c>
      <c r="AZ27" s="27" t="n">
        <f aca="false">IF(COUNT(Amendoim!$E25:$Z25)=0,0,MAX(0,IF((AZ$6-$E$3)&lt;1,0,IFERROR(LOOKUP(2,1/(Amendoim!$E25:INDEX(Amendoim!$E25:$Z25,MIN(AZ$6-$E$3,22))&lt;&gt;""),Amendoim!$E25:INDEX(Amendoim!$E25:$Z25,MIN(AZ$6-$E$3,22))),0))-IF($G$2,0,IF((AZ$6-$G$3)&lt;1,0,IFERROR(LOOKUP(2,1/(Amendoim!$E25:INDEX(Amendoim!$E25:$Z25,MIN(AZ$6-$G$3,22))&lt;&gt;""),Amendoim!$E25:INDEX(Amendoim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IF(COUNT(Amendoim!$E26:$Z26)&gt;0,N(Amendoim!$D26),0)</f>
        <v>0</v>
      </c>
      <c r="E28" s="27" t="n">
        <f aca="false">IF(COUNT(Amendoim!$E26:$Z26)=0,0,MAX(0,IF((E$6-$E$3)&lt;1,0,IFERROR(LOOKUP(2,1/(Amendoim!$E26:INDEX(Amendoim!$E26:$Z26,MIN(E$6-$E$3,22))&lt;&gt;""),Amendoim!$E26:INDEX(Amendoim!$E26:$Z26,MIN(E$6-$E$3,22))),0))-IF($G$2,0,IF((E$6-$G$3)&lt;1,0,IFERROR(LOOKUP(2,1/(Amendoim!$E26:INDEX(Amendoim!$E26:$Z26,MIN(E$6-$G$3,22))&lt;&gt;""),Amendoim!$E26:INDEX(Amendoim!$E26:$Z26,MIN(E$6-$G$3,22))),0)))))</f>
        <v>0</v>
      </c>
      <c r="F28" s="27" t="n">
        <f aca="false">IF(COUNT(Amendoim!$E26:$Z26)=0,0,MAX(0,IF((F$6-$E$3)&lt;1,0,IFERROR(LOOKUP(2,1/(Amendoim!$E26:INDEX(Amendoim!$E26:$Z26,MIN(F$6-$E$3,22))&lt;&gt;""),Amendoim!$E26:INDEX(Amendoim!$E26:$Z26,MIN(F$6-$E$3,22))),0))-IF($G$2,0,IF((F$6-$G$3)&lt;1,0,IFERROR(LOOKUP(2,1/(Amendoim!$E26:INDEX(Amendoim!$E26:$Z26,MIN(F$6-$G$3,22))&lt;&gt;""),Amendoim!$E26:INDEX(Amendoim!$E26:$Z26,MIN(F$6-$G$3,22))),0)))))</f>
        <v>0</v>
      </c>
      <c r="G28" s="27" t="n">
        <f aca="false">IF(COUNT(Amendoim!$E26:$Z26)=0,0,MAX(0,IF((G$6-$E$3)&lt;1,0,IFERROR(LOOKUP(2,1/(Amendoim!$E26:INDEX(Amendoim!$E26:$Z26,MIN(G$6-$E$3,22))&lt;&gt;""),Amendoim!$E26:INDEX(Amendoim!$E26:$Z26,MIN(G$6-$E$3,22))),0))-IF($G$2,0,IF((G$6-$G$3)&lt;1,0,IFERROR(LOOKUP(2,1/(Amendoim!$E26:INDEX(Amendoim!$E26:$Z26,MIN(G$6-$G$3,22))&lt;&gt;""),Amendoim!$E26:INDEX(Amendoim!$E26:$Z26,MIN(G$6-$G$3,22))),0)))))</f>
        <v>0</v>
      </c>
      <c r="H28" s="27" t="n">
        <f aca="false">IF(COUNT(Amendoim!$E26:$Z26)=0,0,MAX(0,IF((H$6-$E$3)&lt;1,0,IFERROR(LOOKUP(2,1/(Amendoim!$E26:INDEX(Amendoim!$E26:$Z26,MIN(H$6-$E$3,22))&lt;&gt;""),Amendoim!$E26:INDEX(Amendoim!$E26:$Z26,MIN(H$6-$E$3,22))),0))-IF($G$2,0,IF((H$6-$G$3)&lt;1,0,IFERROR(LOOKUP(2,1/(Amendoim!$E26:INDEX(Amendoim!$E26:$Z26,MIN(H$6-$G$3,22))&lt;&gt;""),Amendoim!$E26:INDEX(Amendoim!$E26:$Z26,MIN(H$6-$G$3,22))),0)))))</f>
        <v>0</v>
      </c>
      <c r="I28" s="27" t="n">
        <f aca="false">IF(COUNT(Amendoim!$E26:$Z26)=0,0,MAX(0,IF((I$6-$E$3)&lt;1,0,IFERROR(LOOKUP(2,1/(Amendoim!$E26:INDEX(Amendoim!$E26:$Z26,MIN(I$6-$E$3,22))&lt;&gt;""),Amendoim!$E26:INDEX(Amendoim!$E26:$Z26,MIN(I$6-$E$3,22))),0))-IF($G$2,0,IF((I$6-$G$3)&lt;1,0,IFERROR(LOOKUP(2,1/(Amendoim!$E26:INDEX(Amendoim!$E26:$Z26,MIN(I$6-$G$3,22))&lt;&gt;""),Amendoim!$E26:INDEX(Amendoim!$E26:$Z26,MIN(I$6-$G$3,22))),0)))))</f>
        <v>0</v>
      </c>
      <c r="J28" s="27" t="n">
        <f aca="false">IF(COUNT(Amendoim!$E26:$Z26)=0,0,MAX(0,IF((J$6-$E$3)&lt;1,0,IFERROR(LOOKUP(2,1/(Amendoim!$E26:INDEX(Amendoim!$E26:$Z26,MIN(J$6-$E$3,22))&lt;&gt;""),Amendoim!$E26:INDEX(Amendoim!$E26:$Z26,MIN(J$6-$E$3,22))),0))-IF($G$2,0,IF((J$6-$G$3)&lt;1,0,IFERROR(LOOKUP(2,1/(Amendoim!$E26:INDEX(Amendoim!$E26:$Z26,MIN(J$6-$G$3,22))&lt;&gt;""),Amendoim!$E26:INDEX(Amendoim!$E26:$Z26,MIN(J$6-$G$3,22))),0)))))</f>
        <v>0</v>
      </c>
      <c r="K28" s="27" t="n">
        <f aca="false">IF(COUNT(Amendoim!$E26:$Z26)=0,0,MAX(0,IF((K$6-$E$3)&lt;1,0,IFERROR(LOOKUP(2,1/(Amendoim!$E26:INDEX(Amendoim!$E26:$Z26,MIN(K$6-$E$3,22))&lt;&gt;""),Amendoim!$E26:INDEX(Amendoim!$E26:$Z26,MIN(K$6-$E$3,22))),0))-IF($G$2,0,IF((K$6-$G$3)&lt;1,0,IFERROR(LOOKUP(2,1/(Amendoim!$E26:INDEX(Amendoim!$E26:$Z26,MIN(K$6-$G$3,22))&lt;&gt;""),Amendoim!$E26:INDEX(Amendoim!$E26:$Z26,MIN(K$6-$G$3,22))),0)))))</f>
        <v>0</v>
      </c>
      <c r="L28" s="27" t="n">
        <f aca="false">IF(COUNT(Amendoim!$E26:$Z26)=0,0,MAX(0,IF((L$6-$E$3)&lt;1,0,IFERROR(LOOKUP(2,1/(Amendoim!$E26:INDEX(Amendoim!$E26:$Z26,MIN(L$6-$E$3,22))&lt;&gt;""),Amendoim!$E26:INDEX(Amendoim!$E26:$Z26,MIN(L$6-$E$3,22))),0))-IF($G$2,0,IF((L$6-$G$3)&lt;1,0,IFERROR(LOOKUP(2,1/(Amendoim!$E26:INDEX(Amendoim!$E26:$Z26,MIN(L$6-$G$3,22))&lt;&gt;""),Amendoim!$E26:INDEX(Amendoim!$E26:$Z26,MIN(L$6-$G$3,22))),0)))))</f>
        <v>0</v>
      </c>
      <c r="M28" s="27" t="n">
        <f aca="false">IF(COUNT(Amendoim!$E26:$Z26)=0,0,MAX(0,IF((M$6-$E$3)&lt;1,0,IFERROR(LOOKUP(2,1/(Amendoim!$E26:INDEX(Amendoim!$E26:$Z26,MIN(M$6-$E$3,22))&lt;&gt;""),Amendoim!$E26:INDEX(Amendoim!$E26:$Z26,MIN(M$6-$E$3,22))),0))-IF($G$2,0,IF((M$6-$G$3)&lt;1,0,IFERROR(LOOKUP(2,1/(Amendoim!$E26:INDEX(Amendoim!$E26:$Z26,MIN(M$6-$G$3,22))&lt;&gt;""),Amendoim!$E26:INDEX(Amendoim!$E26:$Z26,MIN(M$6-$G$3,22))),0)))))</f>
        <v>0</v>
      </c>
      <c r="N28" s="27" t="n">
        <f aca="false">IF(COUNT(Amendoim!$E26:$Z26)=0,0,MAX(0,IF((N$6-$E$3)&lt;1,0,IFERROR(LOOKUP(2,1/(Amendoim!$E26:INDEX(Amendoim!$E26:$Z26,MIN(N$6-$E$3,22))&lt;&gt;""),Amendoim!$E26:INDEX(Amendoim!$E26:$Z26,MIN(N$6-$E$3,22))),0))-IF($G$2,0,IF((N$6-$G$3)&lt;1,0,IFERROR(LOOKUP(2,1/(Amendoim!$E26:INDEX(Amendoim!$E26:$Z26,MIN(N$6-$G$3,22))&lt;&gt;""),Amendoim!$E26:INDEX(Amendoim!$E26:$Z26,MIN(N$6-$G$3,22))),0)))))</f>
        <v>0</v>
      </c>
      <c r="O28" s="27" t="n">
        <f aca="false">IF(COUNT(Amendoim!$E26:$Z26)=0,0,MAX(0,IF((O$6-$E$3)&lt;1,0,IFERROR(LOOKUP(2,1/(Amendoim!$E26:INDEX(Amendoim!$E26:$Z26,MIN(O$6-$E$3,22))&lt;&gt;""),Amendoim!$E26:INDEX(Amendoim!$E26:$Z26,MIN(O$6-$E$3,22))),0))-IF($G$2,0,IF((O$6-$G$3)&lt;1,0,IFERROR(LOOKUP(2,1/(Amendoim!$E26:INDEX(Amendoim!$E26:$Z26,MIN(O$6-$G$3,22))&lt;&gt;""),Amendoim!$E26:INDEX(Amendoim!$E26:$Z26,MIN(O$6-$G$3,22))),0)))))</f>
        <v>0</v>
      </c>
      <c r="P28" s="27" t="n">
        <f aca="false">IF(COUNT(Amendoim!$E26:$Z26)=0,0,MAX(0,IF((P$6-$E$3)&lt;1,0,IFERROR(LOOKUP(2,1/(Amendoim!$E26:INDEX(Amendoim!$E26:$Z26,MIN(P$6-$E$3,22))&lt;&gt;""),Amendoim!$E26:INDEX(Amendoim!$E26:$Z26,MIN(P$6-$E$3,22))),0))-IF($G$2,0,IF((P$6-$G$3)&lt;1,0,IFERROR(LOOKUP(2,1/(Amendoim!$E26:INDEX(Amendoim!$E26:$Z26,MIN(P$6-$G$3,22))&lt;&gt;""),Amendoim!$E26:INDEX(Amendoim!$E26:$Z26,MIN(P$6-$G$3,22))),0)))))</f>
        <v>0</v>
      </c>
      <c r="Q28" s="27" t="n">
        <f aca="false">IF(COUNT(Amendoim!$E26:$Z26)=0,0,MAX(0,IF((Q$6-$E$3)&lt;1,0,IFERROR(LOOKUP(2,1/(Amendoim!$E26:INDEX(Amendoim!$E26:$Z26,MIN(Q$6-$E$3,22))&lt;&gt;""),Amendoim!$E26:INDEX(Amendoim!$E26:$Z26,MIN(Q$6-$E$3,22))),0))-IF($G$2,0,IF((Q$6-$G$3)&lt;1,0,IFERROR(LOOKUP(2,1/(Amendoim!$E26:INDEX(Amendoim!$E26:$Z26,MIN(Q$6-$G$3,22))&lt;&gt;""),Amendoim!$E26:INDEX(Amendoim!$E26:$Z26,MIN(Q$6-$G$3,22))),0)))))</f>
        <v>0</v>
      </c>
      <c r="R28" s="27" t="n">
        <f aca="false">IF(COUNT(Amendoim!$E26:$Z26)=0,0,MAX(0,IF((R$6-$E$3)&lt;1,0,IFERROR(LOOKUP(2,1/(Amendoim!$E26:INDEX(Amendoim!$E26:$Z26,MIN(R$6-$E$3,22))&lt;&gt;""),Amendoim!$E26:INDEX(Amendoim!$E26:$Z26,MIN(R$6-$E$3,22))),0))-IF($G$2,0,IF((R$6-$G$3)&lt;1,0,IFERROR(LOOKUP(2,1/(Amendoim!$E26:INDEX(Amendoim!$E26:$Z26,MIN(R$6-$G$3,22))&lt;&gt;""),Amendoim!$E26:INDEX(Amendoim!$E26:$Z26,MIN(R$6-$G$3,22))),0)))))</f>
        <v>0</v>
      </c>
      <c r="S28" s="27" t="n">
        <f aca="false">IF(COUNT(Amendoim!$E26:$Z26)=0,0,MAX(0,IF((S$6-$E$3)&lt;1,0,IFERROR(LOOKUP(2,1/(Amendoim!$E26:INDEX(Amendoim!$E26:$Z26,MIN(S$6-$E$3,22))&lt;&gt;""),Amendoim!$E26:INDEX(Amendoim!$E26:$Z26,MIN(S$6-$E$3,22))),0))-IF($G$2,0,IF((S$6-$G$3)&lt;1,0,IFERROR(LOOKUP(2,1/(Amendoim!$E26:INDEX(Amendoim!$E26:$Z26,MIN(S$6-$G$3,22))&lt;&gt;""),Amendoim!$E26:INDEX(Amendoim!$E26:$Z26,MIN(S$6-$G$3,22))),0)))))</f>
        <v>0</v>
      </c>
      <c r="T28" s="27" t="n">
        <f aca="false">IF(COUNT(Amendoim!$E26:$Z26)=0,0,MAX(0,IF((T$6-$E$3)&lt;1,0,IFERROR(LOOKUP(2,1/(Amendoim!$E26:INDEX(Amendoim!$E26:$Z26,MIN(T$6-$E$3,22))&lt;&gt;""),Amendoim!$E26:INDEX(Amendoim!$E26:$Z26,MIN(T$6-$E$3,22))),0))-IF($G$2,0,IF((T$6-$G$3)&lt;1,0,IFERROR(LOOKUP(2,1/(Amendoim!$E26:INDEX(Amendoim!$E26:$Z26,MIN(T$6-$G$3,22))&lt;&gt;""),Amendoim!$E26:INDEX(Amendoim!$E26:$Z26,MIN(T$6-$G$3,22))),0)))))</f>
        <v>0</v>
      </c>
      <c r="U28" s="27" t="n">
        <f aca="false">IF(COUNT(Amendoim!$E26:$Z26)=0,0,MAX(0,IF((U$6-$E$3)&lt;1,0,IFERROR(LOOKUP(2,1/(Amendoim!$E26:INDEX(Amendoim!$E26:$Z26,MIN(U$6-$E$3,22))&lt;&gt;""),Amendoim!$E26:INDEX(Amendoim!$E26:$Z26,MIN(U$6-$E$3,22))),0))-IF($G$2,0,IF((U$6-$G$3)&lt;1,0,IFERROR(LOOKUP(2,1/(Amendoim!$E26:INDEX(Amendoim!$E26:$Z26,MIN(U$6-$G$3,22))&lt;&gt;""),Amendoim!$E26:INDEX(Amendoim!$E26:$Z26,MIN(U$6-$G$3,22))),0)))))</f>
        <v>0</v>
      </c>
      <c r="V28" s="27" t="n">
        <f aca="false">IF(COUNT(Amendoim!$E26:$Z26)=0,0,MAX(0,IF((V$6-$E$3)&lt;1,0,IFERROR(LOOKUP(2,1/(Amendoim!$E26:INDEX(Amendoim!$E26:$Z26,MIN(V$6-$E$3,22))&lt;&gt;""),Amendoim!$E26:INDEX(Amendoim!$E26:$Z26,MIN(V$6-$E$3,22))),0))-IF($G$2,0,IF((V$6-$G$3)&lt;1,0,IFERROR(LOOKUP(2,1/(Amendoim!$E26:INDEX(Amendoim!$E26:$Z26,MIN(V$6-$G$3,22))&lt;&gt;""),Amendoim!$E26:INDEX(Amendoim!$E26:$Z26,MIN(V$6-$G$3,22))),0)))))</f>
        <v>0</v>
      </c>
      <c r="W28" s="27" t="n">
        <f aca="false">IF(COUNT(Amendoim!$E26:$Z26)=0,0,MAX(0,IF((W$6-$E$3)&lt;1,0,IFERROR(LOOKUP(2,1/(Amendoim!$E26:INDEX(Amendoim!$E26:$Z26,MIN(W$6-$E$3,22))&lt;&gt;""),Amendoim!$E26:INDEX(Amendoim!$E26:$Z26,MIN(W$6-$E$3,22))),0))-IF($G$2,0,IF((W$6-$G$3)&lt;1,0,IFERROR(LOOKUP(2,1/(Amendoim!$E26:INDEX(Amendoim!$E26:$Z26,MIN(W$6-$G$3,22))&lt;&gt;""),Amendoim!$E26:INDEX(Amendoim!$E26:$Z26,MIN(W$6-$G$3,22))),0)))))</f>
        <v>0</v>
      </c>
      <c r="X28" s="27" t="n">
        <f aca="false">IF(COUNT(Amendoim!$E26:$Z26)=0,0,MAX(0,IF((X$6-$E$3)&lt;1,0,IFERROR(LOOKUP(2,1/(Amendoim!$E26:INDEX(Amendoim!$E26:$Z26,MIN(X$6-$E$3,22))&lt;&gt;""),Amendoim!$E26:INDEX(Amendoim!$E26:$Z26,MIN(X$6-$E$3,22))),0))-IF($G$2,0,IF((X$6-$G$3)&lt;1,0,IFERROR(LOOKUP(2,1/(Amendoim!$E26:INDEX(Amendoim!$E26:$Z26,MIN(X$6-$G$3,22))&lt;&gt;""),Amendoim!$E26:INDEX(Amendoim!$E26:$Z26,MIN(X$6-$G$3,22))),0)))))</f>
        <v>0</v>
      </c>
      <c r="Y28" s="27" t="n">
        <f aca="false">IF(COUNT(Amendoim!$E26:$Z26)=0,0,MAX(0,IF((Y$6-$E$3)&lt;1,0,IFERROR(LOOKUP(2,1/(Amendoim!$E26:INDEX(Amendoim!$E26:$Z26,MIN(Y$6-$E$3,22))&lt;&gt;""),Amendoim!$E26:INDEX(Amendoim!$E26:$Z26,MIN(Y$6-$E$3,22))),0))-IF($G$2,0,IF((Y$6-$G$3)&lt;1,0,IFERROR(LOOKUP(2,1/(Amendoim!$E26:INDEX(Amendoim!$E26:$Z26,MIN(Y$6-$G$3,22))&lt;&gt;""),Amendoim!$E26:INDEX(Amendoim!$E26:$Z26,MIN(Y$6-$G$3,22))),0)))))</f>
        <v>0</v>
      </c>
      <c r="Z28" s="27" t="n">
        <f aca="false">IF(COUNT(Amendoim!$E26:$Z26)=0,0,MAX(0,IF((Z$6-$E$3)&lt;1,0,IFERROR(LOOKUP(2,1/(Amendoim!$E26:INDEX(Amendoim!$E26:$Z26,MIN(Z$6-$E$3,22))&lt;&gt;""),Amendoim!$E26:INDEX(Amendoim!$E26:$Z26,MIN(Z$6-$E$3,22))),0))-IF($G$2,0,IF((Z$6-$G$3)&lt;1,0,IFERROR(LOOKUP(2,1/(Amendoim!$E26:INDEX(Amendoim!$E26:$Z26,MIN(Z$6-$G$3,22))&lt;&gt;""),Amendoim!$E26:INDEX(Amendoim!$E26:$Z26,MIN(Z$6-$G$3,22))),0)))))</f>
        <v>0</v>
      </c>
      <c r="AA28" s="27" t="n">
        <f aca="false">IF(COUNT(Amendoim!$E26:$Z26)=0,0,MAX(0,IF((AA$6-$E$3)&lt;1,0,IFERROR(LOOKUP(2,1/(Amendoim!$E26:INDEX(Amendoim!$E26:$Z26,MIN(AA$6-$E$3,22))&lt;&gt;""),Amendoim!$E26:INDEX(Amendoim!$E26:$Z26,MIN(AA$6-$E$3,22))),0))-IF($G$2,0,IF((AA$6-$G$3)&lt;1,0,IFERROR(LOOKUP(2,1/(Amendoim!$E26:INDEX(Amendoim!$E26:$Z26,MIN(AA$6-$G$3,22))&lt;&gt;""),Amendoim!$E26:INDEX(Amendoim!$E26:$Z26,MIN(AA$6-$G$3,22))),0)))))</f>
        <v>0</v>
      </c>
      <c r="AB28" s="27" t="n">
        <f aca="false">IF(COUNT(Amendoim!$E26:$Z26)=0,0,MAX(0,IF((AB$6-$E$3)&lt;1,0,IFERROR(LOOKUP(2,1/(Amendoim!$E26:INDEX(Amendoim!$E26:$Z26,MIN(AB$6-$E$3,22))&lt;&gt;""),Amendoim!$E26:INDEX(Amendoim!$E26:$Z26,MIN(AB$6-$E$3,22))),0))-IF($G$2,0,IF((AB$6-$G$3)&lt;1,0,IFERROR(LOOKUP(2,1/(Amendoim!$E26:INDEX(Amendoim!$E26:$Z26,MIN(AB$6-$G$3,22))&lt;&gt;""),Amendoim!$E26:INDEX(Amendoim!$E26:$Z26,MIN(AB$6-$G$3,22))),0)))))</f>
        <v>0</v>
      </c>
      <c r="AC28" s="27" t="n">
        <f aca="false">IF(COUNT(Amendoim!$E26:$Z26)=0,0,MAX(0,IF((AC$6-$E$3)&lt;1,0,IFERROR(LOOKUP(2,1/(Amendoim!$E26:INDEX(Amendoim!$E26:$Z26,MIN(AC$6-$E$3,22))&lt;&gt;""),Amendoim!$E26:INDEX(Amendoim!$E26:$Z26,MIN(AC$6-$E$3,22))),0))-IF($G$2,0,IF((AC$6-$G$3)&lt;1,0,IFERROR(LOOKUP(2,1/(Amendoim!$E26:INDEX(Amendoim!$E26:$Z26,MIN(AC$6-$G$3,22))&lt;&gt;""),Amendoim!$E26:INDEX(Amendoim!$E26:$Z26,MIN(AC$6-$G$3,22))),0)))))</f>
        <v>0</v>
      </c>
      <c r="AD28" s="27" t="n">
        <f aca="false">IF(COUNT(Amendoim!$E26:$Z26)=0,0,MAX(0,IF((AD$6-$E$3)&lt;1,0,IFERROR(LOOKUP(2,1/(Amendoim!$E26:INDEX(Amendoim!$E26:$Z26,MIN(AD$6-$E$3,22))&lt;&gt;""),Amendoim!$E26:INDEX(Amendoim!$E26:$Z26,MIN(AD$6-$E$3,22))),0))-IF($G$2,0,IF((AD$6-$G$3)&lt;1,0,IFERROR(LOOKUP(2,1/(Amendoim!$E26:INDEX(Amendoim!$E26:$Z26,MIN(AD$6-$G$3,22))&lt;&gt;""),Amendoim!$E26:INDEX(Amendoim!$E26:$Z26,MIN(AD$6-$G$3,22))),0)))))</f>
        <v>0</v>
      </c>
      <c r="AE28" s="27" t="n">
        <f aca="false">IF(COUNT(Amendoim!$E26:$Z26)=0,0,MAX(0,IF((AE$6-$E$3)&lt;1,0,IFERROR(LOOKUP(2,1/(Amendoim!$E26:INDEX(Amendoim!$E26:$Z26,MIN(AE$6-$E$3,22))&lt;&gt;""),Amendoim!$E26:INDEX(Amendoim!$E26:$Z26,MIN(AE$6-$E$3,22))),0))-IF($G$2,0,IF((AE$6-$G$3)&lt;1,0,IFERROR(LOOKUP(2,1/(Amendoim!$E26:INDEX(Amendoim!$E26:$Z26,MIN(AE$6-$G$3,22))&lt;&gt;""),Amendoim!$E26:INDEX(Amendoim!$E26:$Z26,MIN(AE$6-$G$3,22))),0)))))</f>
        <v>0</v>
      </c>
      <c r="AF28" s="27" t="n">
        <f aca="false">IF(COUNT(Amendoim!$E26:$Z26)=0,0,MAX(0,IF((AF$6-$E$3)&lt;1,0,IFERROR(LOOKUP(2,1/(Amendoim!$E26:INDEX(Amendoim!$E26:$Z26,MIN(AF$6-$E$3,22))&lt;&gt;""),Amendoim!$E26:INDEX(Amendoim!$E26:$Z26,MIN(AF$6-$E$3,22))),0))-IF($G$2,0,IF((AF$6-$G$3)&lt;1,0,IFERROR(LOOKUP(2,1/(Amendoim!$E26:INDEX(Amendoim!$E26:$Z26,MIN(AF$6-$G$3,22))&lt;&gt;""),Amendoim!$E26:INDEX(Amendoim!$E26:$Z26,MIN(AF$6-$G$3,22))),0)))))</f>
        <v>0</v>
      </c>
      <c r="AG28" s="27" t="n">
        <f aca="false">IF(COUNT(Amendoim!$E26:$Z26)=0,0,MAX(0,IF((AG$6-$E$3)&lt;1,0,IFERROR(LOOKUP(2,1/(Amendoim!$E26:INDEX(Amendoim!$E26:$Z26,MIN(AG$6-$E$3,22))&lt;&gt;""),Amendoim!$E26:INDEX(Amendoim!$E26:$Z26,MIN(AG$6-$E$3,22))),0))-IF($G$2,0,IF((AG$6-$G$3)&lt;1,0,IFERROR(LOOKUP(2,1/(Amendoim!$E26:INDEX(Amendoim!$E26:$Z26,MIN(AG$6-$G$3,22))&lt;&gt;""),Amendoim!$E26:INDEX(Amendoim!$E26:$Z26,MIN(AG$6-$G$3,22))),0)))))</f>
        <v>0</v>
      </c>
      <c r="AH28" s="27" t="n">
        <f aca="false">IF(COUNT(Amendoim!$E26:$Z26)=0,0,MAX(0,IF((AH$6-$E$3)&lt;1,0,IFERROR(LOOKUP(2,1/(Amendoim!$E26:INDEX(Amendoim!$E26:$Z26,MIN(AH$6-$E$3,22))&lt;&gt;""),Amendoim!$E26:INDEX(Amendoim!$E26:$Z26,MIN(AH$6-$E$3,22))),0))-IF($G$2,0,IF((AH$6-$G$3)&lt;1,0,IFERROR(LOOKUP(2,1/(Amendoim!$E26:INDEX(Amendoim!$E26:$Z26,MIN(AH$6-$G$3,22))&lt;&gt;""),Amendoim!$E26:INDEX(Amendoim!$E26:$Z26,MIN(AH$6-$G$3,22))),0)))))</f>
        <v>0</v>
      </c>
      <c r="AI28" s="27" t="n">
        <f aca="false">IF(COUNT(Amendoim!$E26:$Z26)=0,0,MAX(0,IF((AI$6-$E$3)&lt;1,0,IFERROR(LOOKUP(2,1/(Amendoim!$E26:INDEX(Amendoim!$E26:$Z26,MIN(AI$6-$E$3,22))&lt;&gt;""),Amendoim!$E26:INDEX(Amendoim!$E26:$Z26,MIN(AI$6-$E$3,22))),0))-IF($G$2,0,IF((AI$6-$G$3)&lt;1,0,IFERROR(LOOKUP(2,1/(Amendoim!$E26:INDEX(Amendoim!$E26:$Z26,MIN(AI$6-$G$3,22))&lt;&gt;""),Amendoim!$E26:INDEX(Amendoim!$E26:$Z26,MIN(AI$6-$G$3,22))),0)))))</f>
        <v>0</v>
      </c>
      <c r="AJ28" s="27" t="n">
        <f aca="false">IF(COUNT(Amendoim!$E26:$Z26)=0,0,MAX(0,IF((AJ$6-$E$3)&lt;1,0,IFERROR(LOOKUP(2,1/(Amendoim!$E26:INDEX(Amendoim!$E26:$Z26,MIN(AJ$6-$E$3,22))&lt;&gt;""),Amendoim!$E26:INDEX(Amendoim!$E26:$Z26,MIN(AJ$6-$E$3,22))),0))-IF($G$2,0,IF((AJ$6-$G$3)&lt;1,0,IFERROR(LOOKUP(2,1/(Amendoim!$E26:INDEX(Amendoim!$E26:$Z26,MIN(AJ$6-$G$3,22))&lt;&gt;""),Amendoim!$E26:INDEX(Amendoim!$E26:$Z26,MIN(AJ$6-$G$3,22))),0)))))</f>
        <v>0</v>
      </c>
      <c r="AK28" s="27" t="n">
        <f aca="false">IF(COUNT(Amendoim!$E26:$Z26)=0,0,MAX(0,IF((AK$6-$E$3)&lt;1,0,IFERROR(LOOKUP(2,1/(Amendoim!$E26:INDEX(Amendoim!$E26:$Z26,MIN(AK$6-$E$3,22))&lt;&gt;""),Amendoim!$E26:INDEX(Amendoim!$E26:$Z26,MIN(AK$6-$E$3,22))),0))-IF($G$2,0,IF((AK$6-$G$3)&lt;1,0,IFERROR(LOOKUP(2,1/(Amendoim!$E26:INDEX(Amendoim!$E26:$Z26,MIN(AK$6-$G$3,22))&lt;&gt;""),Amendoim!$E26:INDEX(Amendoim!$E26:$Z26,MIN(AK$6-$G$3,22))),0)))))</f>
        <v>0</v>
      </c>
      <c r="AL28" s="27" t="n">
        <f aca="false">IF(COUNT(Amendoim!$E26:$Z26)=0,0,MAX(0,IF((AL$6-$E$3)&lt;1,0,IFERROR(LOOKUP(2,1/(Amendoim!$E26:INDEX(Amendoim!$E26:$Z26,MIN(AL$6-$E$3,22))&lt;&gt;""),Amendoim!$E26:INDEX(Amendoim!$E26:$Z26,MIN(AL$6-$E$3,22))),0))-IF($G$2,0,IF((AL$6-$G$3)&lt;1,0,IFERROR(LOOKUP(2,1/(Amendoim!$E26:INDEX(Amendoim!$E26:$Z26,MIN(AL$6-$G$3,22))&lt;&gt;""),Amendoim!$E26:INDEX(Amendoim!$E26:$Z26,MIN(AL$6-$G$3,22))),0)))))</f>
        <v>0</v>
      </c>
      <c r="AM28" s="27" t="n">
        <f aca="false">IF(COUNT(Amendoim!$E26:$Z26)=0,0,MAX(0,IF((AM$6-$E$3)&lt;1,0,IFERROR(LOOKUP(2,1/(Amendoim!$E26:INDEX(Amendoim!$E26:$Z26,MIN(AM$6-$E$3,22))&lt;&gt;""),Amendoim!$E26:INDEX(Amendoim!$E26:$Z26,MIN(AM$6-$E$3,22))),0))-IF($G$2,0,IF((AM$6-$G$3)&lt;1,0,IFERROR(LOOKUP(2,1/(Amendoim!$E26:INDEX(Amendoim!$E26:$Z26,MIN(AM$6-$G$3,22))&lt;&gt;""),Amendoim!$E26:INDEX(Amendoim!$E26:$Z26,MIN(AM$6-$G$3,22))),0)))))</f>
        <v>0</v>
      </c>
      <c r="AN28" s="27" t="n">
        <f aca="false">IF(COUNT(Amendoim!$E26:$Z26)=0,0,MAX(0,IF((AN$6-$E$3)&lt;1,0,IFERROR(LOOKUP(2,1/(Amendoim!$E26:INDEX(Amendoim!$E26:$Z26,MIN(AN$6-$E$3,22))&lt;&gt;""),Amendoim!$E26:INDEX(Amendoim!$E26:$Z26,MIN(AN$6-$E$3,22))),0))-IF($G$2,0,IF((AN$6-$G$3)&lt;1,0,IFERROR(LOOKUP(2,1/(Amendoim!$E26:INDEX(Amendoim!$E26:$Z26,MIN(AN$6-$G$3,22))&lt;&gt;""),Amendoim!$E26:INDEX(Amendoim!$E26:$Z26,MIN(AN$6-$G$3,22))),0)))))</f>
        <v>0</v>
      </c>
      <c r="AO28" s="27" t="n">
        <f aca="false">IF(COUNT(Amendoim!$E26:$Z26)=0,0,MAX(0,IF((AO$6-$E$3)&lt;1,0,IFERROR(LOOKUP(2,1/(Amendoim!$E26:INDEX(Amendoim!$E26:$Z26,MIN(AO$6-$E$3,22))&lt;&gt;""),Amendoim!$E26:INDEX(Amendoim!$E26:$Z26,MIN(AO$6-$E$3,22))),0))-IF($G$2,0,IF((AO$6-$G$3)&lt;1,0,IFERROR(LOOKUP(2,1/(Amendoim!$E26:INDEX(Amendoim!$E26:$Z26,MIN(AO$6-$G$3,22))&lt;&gt;""),Amendoim!$E26:INDEX(Amendoim!$E26:$Z26,MIN(AO$6-$G$3,22))),0)))))</f>
        <v>0</v>
      </c>
      <c r="AP28" s="27" t="n">
        <f aca="false">IF(COUNT(Amendoim!$E26:$Z26)=0,0,MAX(0,IF((AP$6-$E$3)&lt;1,0,IFERROR(LOOKUP(2,1/(Amendoim!$E26:INDEX(Amendoim!$E26:$Z26,MIN(AP$6-$E$3,22))&lt;&gt;""),Amendoim!$E26:INDEX(Amendoim!$E26:$Z26,MIN(AP$6-$E$3,22))),0))-IF($G$2,0,IF((AP$6-$G$3)&lt;1,0,IFERROR(LOOKUP(2,1/(Amendoim!$E26:INDEX(Amendoim!$E26:$Z26,MIN(AP$6-$G$3,22))&lt;&gt;""),Amendoim!$E26:INDEX(Amendoim!$E26:$Z26,MIN(AP$6-$G$3,22))),0)))))</f>
        <v>0</v>
      </c>
      <c r="AQ28" s="27" t="n">
        <f aca="false">IF(COUNT(Amendoim!$E26:$Z26)=0,0,MAX(0,IF((AQ$6-$E$3)&lt;1,0,IFERROR(LOOKUP(2,1/(Amendoim!$E26:INDEX(Amendoim!$E26:$Z26,MIN(AQ$6-$E$3,22))&lt;&gt;""),Amendoim!$E26:INDEX(Amendoim!$E26:$Z26,MIN(AQ$6-$E$3,22))),0))-IF($G$2,0,IF((AQ$6-$G$3)&lt;1,0,IFERROR(LOOKUP(2,1/(Amendoim!$E26:INDEX(Amendoim!$E26:$Z26,MIN(AQ$6-$G$3,22))&lt;&gt;""),Amendoim!$E26:INDEX(Amendoim!$E26:$Z26,MIN(AQ$6-$G$3,22))),0)))))</f>
        <v>0</v>
      </c>
      <c r="AR28" s="27" t="n">
        <f aca="false">IF(COUNT(Amendoim!$E26:$Z26)=0,0,MAX(0,IF((AR$6-$E$3)&lt;1,0,IFERROR(LOOKUP(2,1/(Amendoim!$E26:INDEX(Amendoim!$E26:$Z26,MIN(AR$6-$E$3,22))&lt;&gt;""),Amendoim!$E26:INDEX(Amendoim!$E26:$Z26,MIN(AR$6-$E$3,22))),0))-IF($G$2,0,IF((AR$6-$G$3)&lt;1,0,IFERROR(LOOKUP(2,1/(Amendoim!$E26:INDEX(Amendoim!$E26:$Z26,MIN(AR$6-$G$3,22))&lt;&gt;""),Amendoim!$E26:INDEX(Amendoim!$E26:$Z26,MIN(AR$6-$G$3,22))),0)))))</f>
        <v>0</v>
      </c>
      <c r="AS28" s="27" t="n">
        <f aca="false">IF(COUNT(Amendoim!$E26:$Z26)=0,0,MAX(0,IF((AS$6-$E$3)&lt;1,0,IFERROR(LOOKUP(2,1/(Amendoim!$E26:INDEX(Amendoim!$E26:$Z26,MIN(AS$6-$E$3,22))&lt;&gt;""),Amendoim!$E26:INDEX(Amendoim!$E26:$Z26,MIN(AS$6-$E$3,22))),0))-IF($G$2,0,IF((AS$6-$G$3)&lt;1,0,IFERROR(LOOKUP(2,1/(Amendoim!$E26:INDEX(Amendoim!$E26:$Z26,MIN(AS$6-$G$3,22))&lt;&gt;""),Amendoim!$E26:INDEX(Amendoim!$E26:$Z26,MIN(AS$6-$G$3,22))),0)))))</f>
        <v>0</v>
      </c>
      <c r="AT28" s="27" t="n">
        <f aca="false">IF(COUNT(Amendoim!$E26:$Z26)=0,0,MAX(0,IF((AT$6-$E$3)&lt;1,0,IFERROR(LOOKUP(2,1/(Amendoim!$E26:INDEX(Amendoim!$E26:$Z26,MIN(AT$6-$E$3,22))&lt;&gt;""),Amendoim!$E26:INDEX(Amendoim!$E26:$Z26,MIN(AT$6-$E$3,22))),0))-IF($G$2,0,IF((AT$6-$G$3)&lt;1,0,IFERROR(LOOKUP(2,1/(Amendoim!$E26:INDEX(Amendoim!$E26:$Z26,MIN(AT$6-$G$3,22))&lt;&gt;""),Amendoim!$E26:INDEX(Amendoim!$E26:$Z26,MIN(AT$6-$G$3,22))),0)))))</f>
        <v>0</v>
      </c>
      <c r="AU28" s="27" t="n">
        <f aca="false">IF(COUNT(Amendoim!$E26:$Z26)=0,0,MAX(0,IF((AU$6-$E$3)&lt;1,0,IFERROR(LOOKUP(2,1/(Amendoim!$E26:INDEX(Amendoim!$E26:$Z26,MIN(AU$6-$E$3,22))&lt;&gt;""),Amendoim!$E26:INDEX(Amendoim!$E26:$Z26,MIN(AU$6-$E$3,22))),0))-IF($G$2,0,IF((AU$6-$G$3)&lt;1,0,IFERROR(LOOKUP(2,1/(Amendoim!$E26:INDEX(Amendoim!$E26:$Z26,MIN(AU$6-$G$3,22))&lt;&gt;""),Amendoim!$E26:INDEX(Amendoim!$E26:$Z26,MIN(AU$6-$G$3,22))),0)))))</f>
        <v>0</v>
      </c>
      <c r="AV28" s="27" t="n">
        <f aca="false">IF(COUNT(Amendoim!$E26:$Z26)=0,0,MAX(0,IF((AV$6-$E$3)&lt;1,0,IFERROR(LOOKUP(2,1/(Amendoim!$E26:INDEX(Amendoim!$E26:$Z26,MIN(AV$6-$E$3,22))&lt;&gt;""),Amendoim!$E26:INDEX(Amendoim!$E26:$Z26,MIN(AV$6-$E$3,22))),0))-IF($G$2,0,IF((AV$6-$G$3)&lt;1,0,IFERROR(LOOKUP(2,1/(Amendoim!$E26:INDEX(Amendoim!$E26:$Z26,MIN(AV$6-$G$3,22))&lt;&gt;""),Amendoim!$E26:INDEX(Amendoim!$E26:$Z26,MIN(AV$6-$G$3,22))),0)))))</f>
        <v>0</v>
      </c>
      <c r="AW28" s="27" t="n">
        <f aca="false">IF(COUNT(Amendoim!$E26:$Z26)=0,0,MAX(0,IF((AW$6-$E$3)&lt;1,0,IFERROR(LOOKUP(2,1/(Amendoim!$E26:INDEX(Amendoim!$E26:$Z26,MIN(AW$6-$E$3,22))&lt;&gt;""),Amendoim!$E26:INDEX(Amendoim!$E26:$Z26,MIN(AW$6-$E$3,22))),0))-IF($G$2,0,IF((AW$6-$G$3)&lt;1,0,IFERROR(LOOKUP(2,1/(Amendoim!$E26:INDEX(Amendoim!$E26:$Z26,MIN(AW$6-$G$3,22))&lt;&gt;""),Amendoim!$E26:INDEX(Amendoim!$E26:$Z26,MIN(AW$6-$G$3,22))),0)))))</f>
        <v>0</v>
      </c>
      <c r="AX28" s="27" t="n">
        <f aca="false">IF(COUNT(Amendoim!$E26:$Z26)=0,0,MAX(0,IF((AX$6-$E$3)&lt;1,0,IFERROR(LOOKUP(2,1/(Amendoim!$E26:INDEX(Amendoim!$E26:$Z26,MIN(AX$6-$E$3,22))&lt;&gt;""),Amendoim!$E26:INDEX(Amendoim!$E26:$Z26,MIN(AX$6-$E$3,22))),0))-IF($G$2,0,IF((AX$6-$G$3)&lt;1,0,IFERROR(LOOKUP(2,1/(Amendoim!$E26:INDEX(Amendoim!$E26:$Z26,MIN(AX$6-$G$3,22))&lt;&gt;""),Amendoim!$E26:INDEX(Amendoim!$E26:$Z26,MIN(AX$6-$G$3,22))),0)))))</f>
        <v>0</v>
      </c>
      <c r="AY28" s="27" t="n">
        <f aca="false">IF(COUNT(Amendoim!$E26:$Z26)=0,0,MAX(0,IF((AY$6-$E$3)&lt;1,0,IFERROR(LOOKUP(2,1/(Amendoim!$E26:INDEX(Amendoim!$E26:$Z26,MIN(AY$6-$E$3,22))&lt;&gt;""),Amendoim!$E26:INDEX(Amendoim!$E26:$Z26,MIN(AY$6-$E$3,22))),0))-IF($G$2,0,IF((AY$6-$G$3)&lt;1,0,IFERROR(LOOKUP(2,1/(Amendoim!$E26:INDEX(Amendoim!$E26:$Z26,MIN(AY$6-$G$3,22))&lt;&gt;""),Amendoim!$E26:INDEX(Amendoim!$E26:$Z26,MIN(AY$6-$G$3,22))),0)))))</f>
        <v>0</v>
      </c>
      <c r="AZ28" s="27" t="n">
        <f aca="false">IF(COUNT(Amendoim!$E26:$Z26)=0,0,MAX(0,IF((AZ$6-$E$3)&lt;1,0,IFERROR(LOOKUP(2,1/(Amendoim!$E26:INDEX(Amendoim!$E26:$Z26,MIN(AZ$6-$E$3,22))&lt;&gt;""),Amendoim!$E26:INDEX(Amendoim!$E26:$Z26,MIN(AZ$6-$E$3,22))),0))-IF($G$2,0,IF((AZ$6-$G$3)&lt;1,0,IFERROR(LOOKUP(2,1/(Amendoim!$E26:INDEX(Amendoim!$E26:$Z26,MIN(AZ$6-$G$3,22))&lt;&gt;""),Amendoim!$E26:INDEX(Amendoim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IF(COUNT(Amendoim!$E27:$Z27)&gt;0,N(Amendoim!$D27),0)</f>
        <v>0</v>
      </c>
      <c r="E29" s="27" t="n">
        <f aca="false">IF(COUNT(Amendoim!$E27:$Z27)=0,0,MAX(0,IF((E$6-$E$3)&lt;1,0,IFERROR(LOOKUP(2,1/(Amendoim!$E27:INDEX(Amendoim!$E27:$Z27,MIN(E$6-$E$3,22))&lt;&gt;""),Amendoim!$E27:INDEX(Amendoim!$E27:$Z27,MIN(E$6-$E$3,22))),0))-IF($G$2,0,IF((E$6-$G$3)&lt;1,0,IFERROR(LOOKUP(2,1/(Amendoim!$E27:INDEX(Amendoim!$E27:$Z27,MIN(E$6-$G$3,22))&lt;&gt;""),Amendoim!$E27:INDEX(Amendoim!$E27:$Z27,MIN(E$6-$G$3,22))),0)))))</f>
        <v>0</v>
      </c>
      <c r="F29" s="27" t="n">
        <f aca="false">IF(COUNT(Amendoim!$E27:$Z27)=0,0,MAX(0,IF((F$6-$E$3)&lt;1,0,IFERROR(LOOKUP(2,1/(Amendoim!$E27:INDEX(Amendoim!$E27:$Z27,MIN(F$6-$E$3,22))&lt;&gt;""),Amendoim!$E27:INDEX(Amendoim!$E27:$Z27,MIN(F$6-$E$3,22))),0))-IF($G$2,0,IF((F$6-$G$3)&lt;1,0,IFERROR(LOOKUP(2,1/(Amendoim!$E27:INDEX(Amendoim!$E27:$Z27,MIN(F$6-$G$3,22))&lt;&gt;""),Amendoim!$E27:INDEX(Amendoim!$E27:$Z27,MIN(F$6-$G$3,22))),0)))))</f>
        <v>0</v>
      </c>
      <c r="G29" s="27" t="n">
        <f aca="false">IF(COUNT(Amendoim!$E27:$Z27)=0,0,MAX(0,IF((G$6-$E$3)&lt;1,0,IFERROR(LOOKUP(2,1/(Amendoim!$E27:INDEX(Amendoim!$E27:$Z27,MIN(G$6-$E$3,22))&lt;&gt;""),Amendoim!$E27:INDEX(Amendoim!$E27:$Z27,MIN(G$6-$E$3,22))),0))-IF($G$2,0,IF((G$6-$G$3)&lt;1,0,IFERROR(LOOKUP(2,1/(Amendoim!$E27:INDEX(Amendoim!$E27:$Z27,MIN(G$6-$G$3,22))&lt;&gt;""),Amendoim!$E27:INDEX(Amendoim!$E27:$Z27,MIN(G$6-$G$3,22))),0)))))</f>
        <v>0</v>
      </c>
      <c r="H29" s="27" t="n">
        <f aca="false">IF(COUNT(Amendoim!$E27:$Z27)=0,0,MAX(0,IF((H$6-$E$3)&lt;1,0,IFERROR(LOOKUP(2,1/(Amendoim!$E27:INDEX(Amendoim!$E27:$Z27,MIN(H$6-$E$3,22))&lt;&gt;""),Amendoim!$E27:INDEX(Amendoim!$E27:$Z27,MIN(H$6-$E$3,22))),0))-IF($G$2,0,IF((H$6-$G$3)&lt;1,0,IFERROR(LOOKUP(2,1/(Amendoim!$E27:INDEX(Amendoim!$E27:$Z27,MIN(H$6-$G$3,22))&lt;&gt;""),Amendoim!$E27:INDEX(Amendoim!$E27:$Z27,MIN(H$6-$G$3,22))),0)))))</f>
        <v>0</v>
      </c>
      <c r="I29" s="27" t="n">
        <f aca="false">IF(COUNT(Amendoim!$E27:$Z27)=0,0,MAX(0,IF((I$6-$E$3)&lt;1,0,IFERROR(LOOKUP(2,1/(Amendoim!$E27:INDEX(Amendoim!$E27:$Z27,MIN(I$6-$E$3,22))&lt;&gt;""),Amendoim!$E27:INDEX(Amendoim!$E27:$Z27,MIN(I$6-$E$3,22))),0))-IF($G$2,0,IF((I$6-$G$3)&lt;1,0,IFERROR(LOOKUP(2,1/(Amendoim!$E27:INDEX(Amendoim!$E27:$Z27,MIN(I$6-$G$3,22))&lt;&gt;""),Amendoim!$E27:INDEX(Amendoim!$E27:$Z27,MIN(I$6-$G$3,22))),0)))))</f>
        <v>0</v>
      </c>
      <c r="J29" s="27" t="n">
        <f aca="false">IF(COUNT(Amendoim!$E27:$Z27)=0,0,MAX(0,IF((J$6-$E$3)&lt;1,0,IFERROR(LOOKUP(2,1/(Amendoim!$E27:INDEX(Amendoim!$E27:$Z27,MIN(J$6-$E$3,22))&lt;&gt;""),Amendoim!$E27:INDEX(Amendoim!$E27:$Z27,MIN(J$6-$E$3,22))),0))-IF($G$2,0,IF((J$6-$G$3)&lt;1,0,IFERROR(LOOKUP(2,1/(Amendoim!$E27:INDEX(Amendoim!$E27:$Z27,MIN(J$6-$G$3,22))&lt;&gt;""),Amendoim!$E27:INDEX(Amendoim!$E27:$Z27,MIN(J$6-$G$3,22))),0)))))</f>
        <v>0</v>
      </c>
      <c r="K29" s="27" t="n">
        <f aca="false">IF(COUNT(Amendoim!$E27:$Z27)=0,0,MAX(0,IF((K$6-$E$3)&lt;1,0,IFERROR(LOOKUP(2,1/(Amendoim!$E27:INDEX(Amendoim!$E27:$Z27,MIN(K$6-$E$3,22))&lt;&gt;""),Amendoim!$E27:INDEX(Amendoim!$E27:$Z27,MIN(K$6-$E$3,22))),0))-IF($G$2,0,IF((K$6-$G$3)&lt;1,0,IFERROR(LOOKUP(2,1/(Amendoim!$E27:INDEX(Amendoim!$E27:$Z27,MIN(K$6-$G$3,22))&lt;&gt;""),Amendoim!$E27:INDEX(Amendoim!$E27:$Z27,MIN(K$6-$G$3,22))),0)))))</f>
        <v>0</v>
      </c>
      <c r="L29" s="27" t="n">
        <f aca="false">IF(COUNT(Amendoim!$E27:$Z27)=0,0,MAX(0,IF((L$6-$E$3)&lt;1,0,IFERROR(LOOKUP(2,1/(Amendoim!$E27:INDEX(Amendoim!$E27:$Z27,MIN(L$6-$E$3,22))&lt;&gt;""),Amendoim!$E27:INDEX(Amendoim!$E27:$Z27,MIN(L$6-$E$3,22))),0))-IF($G$2,0,IF((L$6-$G$3)&lt;1,0,IFERROR(LOOKUP(2,1/(Amendoim!$E27:INDEX(Amendoim!$E27:$Z27,MIN(L$6-$G$3,22))&lt;&gt;""),Amendoim!$E27:INDEX(Amendoim!$E27:$Z27,MIN(L$6-$G$3,22))),0)))))</f>
        <v>0</v>
      </c>
      <c r="M29" s="27" t="n">
        <f aca="false">IF(COUNT(Amendoim!$E27:$Z27)=0,0,MAX(0,IF((M$6-$E$3)&lt;1,0,IFERROR(LOOKUP(2,1/(Amendoim!$E27:INDEX(Amendoim!$E27:$Z27,MIN(M$6-$E$3,22))&lt;&gt;""),Amendoim!$E27:INDEX(Amendoim!$E27:$Z27,MIN(M$6-$E$3,22))),0))-IF($G$2,0,IF((M$6-$G$3)&lt;1,0,IFERROR(LOOKUP(2,1/(Amendoim!$E27:INDEX(Amendoim!$E27:$Z27,MIN(M$6-$G$3,22))&lt;&gt;""),Amendoim!$E27:INDEX(Amendoim!$E27:$Z27,MIN(M$6-$G$3,22))),0)))))</f>
        <v>0</v>
      </c>
      <c r="N29" s="27" t="n">
        <f aca="false">IF(COUNT(Amendoim!$E27:$Z27)=0,0,MAX(0,IF((N$6-$E$3)&lt;1,0,IFERROR(LOOKUP(2,1/(Amendoim!$E27:INDEX(Amendoim!$E27:$Z27,MIN(N$6-$E$3,22))&lt;&gt;""),Amendoim!$E27:INDEX(Amendoim!$E27:$Z27,MIN(N$6-$E$3,22))),0))-IF($G$2,0,IF((N$6-$G$3)&lt;1,0,IFERROR(LOOKUP(2,1/(Amendoim!$E27:INDEX(Amendoim!$E27:$Z27,MIN(N$6-$G$3,22))&lt;&gt;""),Amendoim!$E27:INDEX(Amendoim!$E27:$Z27,MIN(N$6-$G$3,22))),0)))))</f>
        <v>0</v>
      </c>
      <c r="O29" s="27" t="n">
        <f aca="false">IF(COUNT(Amendoim!$E27:$Z27)=0,0,MAX(0,IF((O$6-$E$3)&lt;1,0,IFERROR(LOOKUP(2,1/(Amendoim!$E27:INDEX(Amendoim!$E27:$Z27,MIN(O$6-$E$3,22))&lt;&gt;""),Amendoim!$E27:INDEX(Amendoim!$E27:$Z27,MIN(O$6-$E$3,22))),0))-IF($G$2,0,IF((O$6-$G$3)&lt;1,0,IFERROR(LOOKUP(2,1/(Amendoim!$E27:INDEX(Amendoim!$E27:$Z27,MIN(O$6-$G$3,22))&lt;&gt;""),Amendoim!$E27:INDEX(Amendoim!$E27:$Z27,MIN(O$6-$G$3,22))),0)))))</f>
        <v>0</v>
      </c>
      <c r="P29" s="27" t="n">
        <f aca="false">IF(COUNT(Amendoim!$E27:$Z27)=0,0,MAX(0,IF((P$6-$E$3)&lt;1,0,IFERROR(LOOKUP(2,1/(Amendoim!$E27:INDEX(Amendoim!$E27:$Z27,MIN(P$6-$E$3,22))&lt;&gt;""),Amendoim!$E27:INDEX(Amendoim!$E27:$Z27,MIN(P$6-$E$3,22))),0))-IF($G$2,0,IF((P$6-$G$3)&lt;1,0,IFERROR(LOOKUP(2,1/(Amendoim!$E27:INDEX(Amendoim!$E27:$Z27,MIN(P$6-$G$3,22))&lt;&gt;""),Amendoim!$E27:INDEX(Amendoim!$E27:$Z27,MIN(P$6-$G$3,22))),0)))))</f>
        <v>0</v>
      </c>
      <c r="Q29" s="27" t="n">
        <f aca="false">IF(COUNT(Amendoim!$E27:$Z27)=0,0,MAX(0,IF((Q$6-$E$3)&lt;1,0,IFERROR(LOOKUP(2,1/(Amendoim!$E27:INDEX(Amendoim!$E27:$Z27,MIN(Q$6-$E$3,22))&lt;&gt;""),Amendoim!$E27:INDEX(Amendoim!$E27:$Z27,MIN(Q$6-$E$3,22))),0))-IF($G$2,0,IF((Q$6-$G$3)&lt;1,0,IFERROR(LOOKUP(2,1/(Amendoim!$E27:INDEX(Amendoim!$E27:$Z27,MIN(Q$6-$G$3,22))&lt;&gt;""),Amendoim!$E27:INDEX(Amendoim!$E27:$Z27,MIN(Q$6-$G$3,22))),0)))))</f>
        <v>0</v>
      </c>
      <c r="R29" s="27" t="n">
        <f aca="false">IF(COUNT(Amendoim!$E27:$Z27)=0,0,MAX(0,IF((R$6-$E$3)&lt;1,0,IFERROR(LOOKUP(2,1/(Amendoim!$E27:INDEX(Amendoim!$E27:$Z27,MIN(R$6-$E$3,22))&lt;&gt;""),Amendoim!$E27:INDEX(Amendoim!$E27:$Z27,MIN(R$6-$E$3,22))),0))-IF($G$2,0,IF((R$6-$G$3)&lt;1,0,IFERROR(LOOKUP(2,1/(Amendoim!$E27:INDEX(Amendoim!$E27:$Z27,MIN(R$6-$G$3,22))&lt;&gt;""),Amendoim!$E27:INDEX(Amendoim!$E27:$Z27,MIN(R$6-$G$3,22))),0)))))</f>
        <v>0</v>
      </c>
      <c r="S29" s="27" t="n">
        <f aca="false">IF(COUNT(Amendoim!$E27:$Z27)=0,0,MAX(0,IF((S$6-$E$3)&lt;1,0,IFERROR(LOOKUP(2,1/(Amendoim!$E27:INDEX(Amendoim!$E27:$Z27,MIN(S$6-$E$3,22))&lt;&gt;""),Amendoim!$E27:INDEX(Amendoim!$E27:$Z27,MIN(S$6-$E$3,22))),0))-IF($G$2,0,IF((S$6-$G$3)&lt;1,0,IFERROR(LOOKUP(2,1/(Amendoim!$E27:INDEX(Amendoim!$E27:$Z27,MIN(S$6-$G$3,22))&lt;&gt;""),Amendoim!$E27:INDEX(Amendoim!$E27:$Z27,MIN(S$6-$G$3,22))),0)))))</f>
        <v>0</v>
      </c>
      <c r="T29" s="27" t="n">
        <f aca="false">IF(COUNT(Amendoim!$E27:$Z27)=0,0,MAX(0,IF((T$6-$E$3)&lt;1,0,IFERROR(LOOKUP(2,1/(Amendoim!$E27:INDEX(Amendoim!$E27:$Z27,MIN(T$6-$E$3,22))&lt;&gt;""),Amendoim!$E27:INDEX(Amendoim!$E27:$Z27,MIN(T$6-$E$3,22))),0))-IF($G$2,0,IF((T$6-$G$3)&lt;1,0,IFERROR(LOOKUP(2,1/(Amendoim!$E27:INDEX(Amendoim!$E27:$Z27,MIN(T$6-$G$3,22))&lt;&gt;""),Amendoim!$E27:INDEX(Amendoim!$E27:$Z27,MIN(T$6-$G$3,22))),0)))))</f>
        <v>0</v>
      </c>
      <c r="U29" s="27" t="n">
        <f aca="false">IF(COUNT(Amendoim!$E27:$Z27)=0,0,MAX(0,IF((U$6-$E$3)&lt;1,0,IFERROR(LOOKUP(2,1/(Amendoim!$E27:INDEX(Amendoim!$E27:$Z27,MIN(U$6-$E$3,22))&lt;&gt;""),Amendoim!$E27:INDEX(Amendoim!$E27:$Z27,MIN(U$6-$E$3,22))),0))-IF($G$2,0,IF((U$6-$G$3)&lt;1,0,IFERROR(LOOKUP(2,1/(Amendoim!$E27:INDEX(Amendoim!$E27:$Z27,MIN(U$6-$G$3,22))&lt;&gt;""),Amendoim!$E27:INDEX(Amendoim!$E27:$Z27,MIN(U$6-$G$3,22))),0)))))</f>
        <v>0</v>
      </c>
      <c r="V29" s="27" t="n">
        <f aca="false">IF(COUNT(Amendoim!$E27:$Z27)=0,0,MAX(0,IF((V$6-$E$3)&lt;1,0,IFERROR(LOOKUP(2,1/(Amendoim!$E27:INDEX(Amendoim!$E27:$Z27,MIN(V$6-$E$3,22))&lt;&gt;""),Amendoim!$E27:INDEX(Amendoim!$E27:$Z27,MIN(V$6-$E$3,22))),0))-IF($G$2,0,IF((V$6-$G$3)&lt;1,0,IFERROR(LOOKUP(2,1/(Amendoim!$E27:INDEX(Amendoim!$E27:$Z27,MIN(V$6-$G$3,22))&lt;&gt;""),Amendoim!$E27:INDEX(Amendoim!$E27:$Z27,MIN(V$6-$G$3,22))),0)))))</f>
        <v>0</v>
      </c>
      <c r="W29" s="27" t="n">
        <f aca="false">IF(COUNT(Amendoim!$E27:$Z27)=0,0,MAX(0,IF((W$6-$E$3)&lt;1,0,IFERROR(LOOKUP(2,1/(Amendoim!$E27:INDEX(Amendoim!$E27:$Z27,MIN(W$6-$E$3,22))&lt;&gt;""),Amendoim!$E27:INDEX(Amendoim!$E27:$Z27,MIN(W$6-$E$3,22))),0))-IF($G$2,0,IF((W$6-$G$3)&lt;1,0,IFERROR(LOOKUP(2,1/(Amendoim!$E27:INDEX(Amendoim!$E27:$Z27,MIN(W$6-$G$3,22))&lt;&gt;""),Amendoim!$E27:INDEX(Amendoim!$E27:$Z27,MIN(W$6-$G$3,22))),0)))))</f>
        <v>0</v>
      </c>
      <c r="X29" s="27" t="n">
        <f aca="false">IF(COUNT(Amendoim!$E27:$Z27)=0,0,MAX(0,IF((X$6-$E$3)&lt;1,0,IFERROR(LOOKUP(2,1/(Amendoim!$E27:INDEX(Amendoim!$E27:$Z27,MIN(X$6-$E$3,22))&lt;&gt;""),Amendoim!$E27:INDEX(Amendoim!$E27:$Z27,MIN(X$6-$E$3,22))),0))-IF($G$2,0,IF((X$6-$G$3)&lt;1,0,IFERROR(LOOKUP(2,1/(Amendoim!$E27:INDEX(Amendoim!$E27:$Z27,MIN(X$6-$G$3,22))&lt;&gt;""),Amendoim!$E27:INDEX(Amendoim!$E27:$Z27,MIN(X$6-$G$3,22))),0)))))</f>
        <v>0</v>
      </c>
      <c r="Y29" s="27" t="n">
        <f aca="false">IF(COUNT(Amendoim!$E27:$Z27)=0,0,MAX(0,IF((Y$6-$E$3)&lt;1,0,IFERROR(LOOKUP(2,1/(Amendoim!$E27:INDEX(Amendoim!$E27:$Z27,MIN(Y$6-$E$3,22))&lt;&gt;""),Amendoim!$E27:INDEX(Amendoim!$E27:$Z27,MIN(Y$6-$E$3,22))),0))-IF($G$2,0,IF((Y$6-$G$3)&lt;1,0,IFERROR(LOOKUP(2,1/(Amendoim!$E27:INDEX(Amendoim!$E27:$Z27,MIN(Y$6-$G$3,22))&lt;&gt;""),Amendoim!$E27:INDEX(Amendoim!$E27:$Z27,MIN(Y$6-$G$3,22))),0)))))</f>
        <v>0</v>
      </c>
      <c r="Z29" s="27" t="n">
        <f aca="false">IF(COUNT(Amendoim!$E27:$Z27)=0,0,MAX(0,IF((Z$6-$E$3)&lt;1,0,IFERROR(LOOKUP(2,1/(Amendoim!$E27:INDEX(Amendoim!$E27:$Z27,MIN(Z$6-$E$3,22))&lt;&gt;""),Amendoim!$E27:INDEX(Amendoim!$E27:$Z27,MIN(Z$6-$E$3,22))),0))-IF($G$2,0,IF((Z$6-$G$3)&lt;1,0,IFERROR(LOOKUP(2,1/(Amendoim!$E27:INDEX(Amendoim!$E27:$Z27,MIN(Z$6-$G$3,22))&lt;&gt;""),Amendoim!$E27:INDEX(Amendoim!$E27:$Z27,MIN(Z$6-$G$3,22))),0)))))</f>
        <v>0</v>
      </c>
      <c r="AA29" s="27" t="n">
        <f aca="false">IF(COUNT(Amendoim!$E27:$Z27)=0,0,MAX(0,IF((AA$6-$E$3)&lt;1,0,IFERROR(LOOKUP(2,1/(Amendoim!$E27:INDEX(Amendoim!$E27:$Z27,MIN(AA$6-$E$3,22))&lt;&gt;""),Amendoim!$E27:INDEX(Amendoim!$E27:$Z27,MIN(AA$6-$E$3,22))),0))-IF($G$2,0,IF((AA$6-$G$3)&lt;1,0,IFERROR(LOOKUP(2,1/(Amendoim!$E27:INDEX(Amendoim!$E27:$Z27,MIN(AA$6-$G$3,22))&lt;&gt;""),Amendoim!$E27:INDEX(Amendoim!$E27:$Z27,MIN(AA$6-$G$3,22))),0)))))</f>
        <v>0</v>
      </c>
      <c r="AB29" s="27" t="n">
        <f aca="false">IF(COUNT(Amendoim!$E27:$Z27)=0,0,MAX(0,IF((AB$6-$E$3)&lt;1,0,IFERROR(LOOKUP(2,1/(Amendoim!$E27:INDEX(Amendoim!$E27:$Z27,MIN(AB$6-$E$3,22))&lt;&gt;""),Amendoim!$E27:INDEX(Amendoim!$E27:$Z27,MIN(AB$6-$E$3,22))),0))-IF($G$2,0,IF((AB$6-$G$3)&lt;1,0,IFERROR(LOOKUP(2,1/(Amendoim!$E27:INDEX(Amendoim!$E27:$Z27,MIN(AB$6-$G$3,22))&lt;&gt;""),Amendoim!$E27:INDEX(Amendoim!$E27:$Z27,MIN(AB$6-$G$3,22))),0)))))</f>
        <v>0</v>
      </c>
      <c r="AC29" s="27" t="n">
        <f aca="false">IF(COUNT(Amendoim!$E27:$Z27)=0,0,MAX(0,IF((AC$6-$E$3)&lt;1,0,IFERROR(LOOKUP(2,1/(Amendoim!$E27:INDEX(Amendoim!$E27:$Z27,MIN(AC$6-$E$3,22))&lt;&gt;""),Amendoim!$E27:INDEX(Amendoim!$E27:$Z27,MIN(AC$6-$E$3,22))),0))-IF($G$2,0,IF((AC$6-$G$3)&lt;1,0,IFERROR(LOOKUP(2,1/(Amendoim!$E27:INDEX(Amendoim!$E27:$Z27,MIN(AC$6-$G$3,22))&lt;&gt;""),Amendoim!$E27:INDEX(Amendoim!$E27:$Z27,MIN(AC$6-$G$3,22))),0)))))</f>
        <v>0</v>
      </c>
      <c r="AD29" s="27" t="n">
        <f aca="false">IF(COUNT(Amendoim!$E27:$Z27)=0,0,MAX(0,IF((AD$6-$E$3)&lt;1,0,IFERROR(LOOKUP(2,1/(Amendoim!$E27:INDEX(Amendoim!$E27:$Z27,MIN(AD$6-$E$3,22))&lt;&gt;""),Amendoim!$E27:INDEX(Amendoim!$E27:$Z27,MIN(AD$6-$E$3,22))),0))-IF($G$2,0,IF((AD$6-$G$3)&lt;1,0,IFERROR(LOOKUP(2,1/(Amendoim!$E27:INDEX(Amendoim!$E27:$Z27,MIN(AD$6-$G$3,22))&lt;&gt;""),Amendoim!$E27:INDEX(Amendoim!$E27:$Z27,MIN(AD$6-$G$3,22))),0)))))</f>
        <v>0</v>
      </c>
      <c r="AE29" s="27" t="n">
        <f aca="false">IF(COUNT(Amendoim!$E27:$Z27)=0,0,MAX(0,IF((AE$6-$E$3)&lt;1,0,IFERROR(LOOKUP(2,1/(Amendoim!$E27:INDEX(Amendoim!$E27:$Z27,MIN(AE$6-$E$3,22))&lt;&gt;""),Amendoim!$E27:INDEX(Amendoim!$E27:$Z27,MIN(AE$6-$E$3,22))),0))-IF($G$2,0,IF((AE$6-$G$3)&lt;1,0,IFERROR(LOOKUP(2,1/(Amendoim!$E27:INDEX(Amendoim!$E27:$Z27,MIN(AE$6-$G$3,22))&lt;&gt;""),Amendoim!$E27:INDEX(Amendoim!$E27:$Z27,MIN(AE$6-$G$3,22))),0)))))</f>
        <v>0</v>
      </c>
      <c r="AF29" s="27" t="n">
        <f aca="false">IF(COUNT(Amendoim!$E27:$Z27)=0,0,MAX(0,IF((AF$6-$E$3)&lt;1,0,IFERROR(LOOKUP(2,1/(Amendoim!$E27:INDEX(Amendoim!$E27:$Z27,MIN(AF$6-$E$3,22))&lt;&gt;""),Amendoim!$E27:INDEX(Amendoim!$E27:$Z27,MIN(AF$6-$E$3,22))),0))-IF($G$2,0,IF((AF$6-$G$3)&lt;1,0,IFERROR(LOOKUP(2,1/(Amendoim!$E27:INDEX(Amendoim!$E27:$Z27,MIN(AF$6-$G$3,22))&lt;&gt;""),Amendoim!$E27:INDEX(Amendoim!$E27:$Z27,MIN(AF$6-$G$3,22))),0)))))</f>
        <v>0</v>
      </c>
      <c r="AG29" s="27" t="n">
        <f aca="false">IF(COUNT(Amendoim!$E27:$Z27)=0,0,MAX(0,IF((AG$6-$E$3)&lt;1,0,IFERROR(LOOKUP(2,1/(Amendoim!$E27:INDEX(Amendoim!$E27:$Z27,MIN(AG$6-$E$3,22))&lt;&gt;""),Amendoim!$E27:INDEX(Amendoim!$E27:$Z27,MIN(AG$6-$E$3,22))),0))-IF($G$2,0,IF((AG$6-$G$3)&lt;1,0,IFERROR(LOOKUP(2,1/(Amendoim!$E27:INDEX(Amendoim!$E27:$Z27,MIN(AG$6-$G$3,22))&lt;&gt;""),Amendoim!$E27:INDEX(Amendoim!$E27:$Z27,MIN(AG$6-$G$3,22))),0)))))</f>
        <v>0</v>
      </c>
      <c r="AH29" s="27" t="n">
        <f aca="false">IF(COUNT(Amendoim!$E27:$Z27)=0,0,MAX(0,IF((AH$6-$E$3)&lt;1,0,IFERROR(LOOKUP(2,1/(Amendoim!$E27:INDEX(Amendoim!$E27:$Z27,MIN(AH$6-$E$3,22))&lt;&gt;""),Amendoim!$E27:INDEX(Amendoim!$E27:$Z27,MIN(AH$6-$E$3,22))),0))-IF($G$2,0,IF((AH$6-$G$3)&lt;1,0,IFERROR(LOOKUP(2,1/(Amendoim!$E27:INDEX(Amendoim!$E27:$Z27,MIN(AH$6-$G$3,22))&lt;&gt;""),Amendoim!$E27:INDEX(Amendoim!$E27:$Z27,MIN(AH$6-$G$3,22))),0)))))</f>
        <v>0</v>
      </c>
      <c r="AI29" s="27" t="n">
        <f aca="false">IF(COUNT(Amendoim!$E27:$Z27)=0,0,MAX(0,IF((AI$6-$E$3)&lt;1,0,IFERROR(LOOKUP(2,1/(Amendoim!$E27:INDEX(Amendoim!$E27:$Z27,MIN(AI$6-$E$3,22))&lt;&gt;""),Amendoim!$E27:INDEX(Amendoim!$E27:$Z27,MIN(AI$6-$E$3,22))),0))-IF($G$2,0,IF((AI$6-$G$3)&lt;1,0,IFERROR(LOOKUP(2,1/(Amendoim!$E27:INDEX(Amendoim!$E27:$Z27,MIN(AI$6-$G$3,22))&lt;&gt;""),Amendoim!$E27:INDEX(Amendoim!$E27:$Z27,MIN(AI$6-$G$3,22))),0)))))</f>
        <v>0</v>
      </c>
      <c r="AJ29" s="27" t="n">
        <f aca="false">IF(COUNT(Amendoim!$E27:$Z27)=0,0,MAX(0,IF((AJ$6-$E$3)&lt;1,0,IFERROR(LOOKUP(2,1/(Amendoim!$E27:INDEX(Amendoim!$E27:$Z27,MIN(AJ$6-$E$3,22))&lt;&gt;""),Amendoim!$E27:INDEX(Amendoim!$E27:$Z27,MIN(AJ$6-$E$3,22))),0))-IF($G$2,0,IF((AJ$6-$G$3)&lt;1,0,IFERROR(LOOKUP(2,1/(Amendoim!$E27:INDEX(Amendoim!$E27:$Z27,MIN(AJ$6-$G$3,22))&lt;&gt;""),Amendoim!$E27:INDEX(Amendoim!$E27:$Z27,MIN(AJ$6-$G$3,22))),0)))))</f>
        <v>0</v>
      </c>
      <c r="AK29" s="27" t="n">
        <f aca="false">IF(COUNT(Amendoim!$E27:$Z27)=0,0,MAX(0,IF((AK$6-$E$3)&lt;1,0,IFERROR(LOOKUP(2,1/(Amendoim!$E27:INDEX(Amendoim!$E27:$Z27,MIN(AK$6-$E$3,22))&lt;&gt;""),Amendoim!$E27:INDEX(Amendoim!$E27:$Z27,MIN(AK$6-$E$3,22))),0))-IF($G$2,0,IF((AK$6-$G$3)&lt;1,0,IFERROR(LOOKUP(2,1/(Amendoim!$E27:INDEX(Amendoim!$E27:$Z27,MIN(AK$6-$G$3,22))&lt;&gt;""),Amendoim!$E27:INDEX(Amendoim!$E27:$Z27,MIN(AK$6-$G$3,22))),0)))))</f>
        <v>0</v>
      </c>
      <c r="AL29" s="27" t="n">
        <f aca="false">IF(COUNT(Amendoim!$E27:$Z27)=0,0,MAX(0,IF((AL$6-$E$3)&lt;1,0,IFERROR(LOOKUP(2,1/(Amendoim!$E27:INDEX(Amendoim!$E27:$Z27,MIN(AL$6-$E$3,22))&lt;&gt;""),Amendoim!$E27:INDEX(Amendoim!$E27:$Z27,MIN(AL$6-$E$3,22))),0))-IF($G$2,0,IF((AL$6-$G$3)&lt;1,0,IFERROR(LOOKUP(2,1/(Amendoim!$E27:INDEX(Amendoim!$E27:$Z27,MIN(AL$6-$G$3,22))&lt;&gt;""),Amendoim!$E27:INDEX(Amendoim!$E27:$Z27,MIN(AL$6-$G$3,22))),0)))))</f>
        <v>0</v>
      </c>
      <c r="AM29" s="27" t="n">
        <f aca="false">IF(COUNT(Amendoim!$E27:$Z27)=0,0,MAX(0,IF((AM$6-$E$3)&lt;1,0,IFERROR(LOOKUP(2,1/(Amendoim!$E27:INDEX(Amendoim!$E27:$Z27,MIN(AM$6-$E$3,22))&lt;&gt;""),Amendoim!$E27:INDEX(Amendoim!$E27:$Z27,MIN(AM$6-$E$3,22))),0))-IF($G$2,0,IF((AM$6-$G$3)&lt;1,0,IFERROR(LOOKUP(2,1/(Amendoim!$E27:INDEX(Amendoim!$E27:$Z27,MIN(AM$6-$G$3,22))&lt;&gt;""),Amendoim!$E27:INDEX(Amendoim!$E27:$Z27,MIN(AM$6-$G$3,22))),0)))))</f>
        <v>0</v>
      </c>
      <c r="AN29" s="27" t="n">
        <f aca="false">IF(COUNT(Amendoim!$E27:$Z27)=0,0,MAX(0,IF((AN$6-$E$3)&lt;1,0,IFERROR(LOOKUP(2,1/(Amendoim!$E27:INDEX(Amendoim!$E27:$Z27,MIN(AN$6-$E$3,22))&lt;&gt;""),Amendoim!$E27:INDEX(Amendoim!$E27:$Z27,MIN(AN$6-$E$3,22))),0))-IF($G$2,0,IF((AN$6-$G$3)&lt;1,0,IFERROR(LOOKUP(2,1/(Amendoim!$E27:INDEX(Amendoim!$E27:$Z27,MIN(AN$6-$G$3,22))&lt;&gt;""),Amendoim!$E27:INDEX(Amendoim!$E27:$Z27,MIN(AN$6-$G$3,22))),0)))))</f>
        <v>0</v>
      </c>
      <c r="AO29" s="27" t="n">
        <f aca="false">IF(COUNT(Amendoim!$E27:$Z27)=0,0,MAX(0,IF((AO$6-$E$3)&lt;1,0,IFERROR(LOOKUP(2,1/(Amendoim!$E27:INDEX(Amendoim!$E27:$Z27,MIN(AO$6-$E$3,22))&lt;&gt;""),Amendoim!$E27:INDEX(Amendoim!$E27:$Z27,MIN(AO$6-$E$3,22))),0))-IF($G$2,0,IF((AO$6-$G$3)&lt;1,0,IFERROR(LOOKUP(2,1/(Amendoim!$E27:INDEX(Amendoim!$E27:$Z27,MIN(AO$6-$G$3,22))&lt;&gt;""),Amendoim!$E27:INDEX(Amendoim!$E27:$Z27,MIN(AO$6-$G$3,22))),0)))))</f>
        <v>0</v>
      </c>
      <c r="AP29" s="27" t="n">
        <f aca="false">IF(COUNT(Amendoim!$E27:$Z27)=0,0,MAX(0,IF((AP$6-$E$3)&lt;1,0,IFERROR(LOOKUP(2,1/(Amendoim!$E27:INDEX(Amendoim!$E27:$Z27,MIN(AP$6-$E$3,22))&lt;&gt;""),Amendoim!$E27:INDEX(Amendoim!$E27:$Z27,MIN(AP$6-$E$3,22))),0))-IF($G$2,0,IF((AP$6-$G$3)&lt;1,0,IFERROR(LOOKUP(2,1/(Amendoim!$E27:INDEX(Amendoim!$E27:$Z27,MIN(AP$6-$G$3,22))&lt;&gt;""),Amendoim!$E27:INDEX(Amendoim!$E27:$Z27,MIN(AP$6-$G$3,22))),0)))))</f>
        <v>0</v>
      </c>
      <c r="AQ29" s="27" t="n">
        <f aca="false">IF(COUNT(Amendoim!$E27:$Z27)=0,0,MAX(0,IF((AQ$6-$E$3)&lt;1,0,IFERROR(LOOKUP(2,1/(Amendoim!$E27:INDEX(Amendoim!$E27:$Z27,MIN(AQ$6-$E$3,22))&lt;&gt;""),Amendoim!$E27:INDEX(Amendoim!$E27:$Z27,MIN(AQ$6-$E$3,22))),0))-IF($G$2,0,IF((AQ$6-$G$3)&lt;1,0,IFERROR(LOOKUP(2,1/(Amendoim!$E27:INDEX(Amendoim!$E27:$Z27,MIN(AQ$6-$G$3,22))&lt;&gt;""),Amendoim!$E27:INDEX(Amendoim!$E27:$Z27,MIN(AQ$6-$G$3,22))),0)))))</f>
        <v>0</v>
      </c>
      <c r="AR29" s="27" t="n">
        <f aca="false">IF(COUNT(Amendoim!$E27:$Z27)=0,0,MAX(0,IF((AR$6-$E$3)&lt;1,0,IFERROR(LOOKUP(2,1/(Amendoim!$E27:INDEX(Amendoim!$E27:$Z27,MIN(AR$6-$E$3,22))&lt;&gt;""),Amendoim!$E27:INDEX(Amendoim!$E27:$Z27,MIN(AR$6-$E$3,22))),0))-IF($G$2,0,IF((AR$6-$G$3)&lt;1,0,IFERROR(LOOKUP(2,1/(Amendoim!$E27:INDEX(Amendoim!$E27:$Z27,MIN(AR$6-$G$3,22))&lt;&gt;""),Amendoim!$E27:INDEX(Amendoim!$E27:$Z27,MIN(AR$6-$G$3,22))),0)))))</f>
        <v>0</v>
      </c>
      <c r="AS29" s="27" t="n">
        <f aca="false">IF(COUNT(Amendoim!$E27:$Z27)=0,0,MAX(0,IF((AS$6-$E$3)&lt;1,0,IFERROR(LOOKUP(2,1/(Amendoim!$E27:INDEX(Amendoim!$E27:$Z27,MIN(AS$6-$E$3,22))&lt;&gt;""),Amendoim!$E27:INDEX(Amendoim!$E27:$Z27,MIN(AS$6-$E$3,22))),0))-IF($G$2,0,IF((AS$6-$G$3)&lt;1,0,IFERROR(LOOKUP(2,1/(Amendoim!$E27:INDEX(Amendoim!$E27:$Z27,MIN(AS$6-$G$3,22))&lt;&gt;""),Amendoim!$E27:INDEX(Amendoim!$E27:$Z27,MIN(AS$6-$G$3,22))),0)))))</f>
        <v>0</v>
      </c>
      <c r="AT29" s="27" t="n">
        <f aca="false">IF(COUNT(Amendoim!$E27:$Z27)=0,0,MAX(0,IF((AT$6-$E$3)&lt;1,0,IFERROR(LOOKUP(2,1/(Amendoim!$E27:INDEX(Amendoim!$E27:$Z27,MIN(AT$6-$E$3,22))&lt;&gt;""),Amendoim!$E27:INDEX(Amendoim!$E27:$Z27,MIN(AT$6-$E$3,22))),0))-IF($G$2,0,IF((AT$6-$G$3)&lt;1,0,IFERROR(LOOKUP(2,1/(Amendoim!$E27:INDEX(Amendoim!$E27:$Z27,MIN(AT$6-$G$3,22))&lt;&gt;""),Amendoim!$E27:INDEX(Amendoim!$E27:$Z27,MIN(AT$6-$G$3,22))),0)))))</f>
        <v>0</v>
      </c>
      <c r="AU29" s="27" t="n">
        <f aca="false">IF(COUNT(Amendoim!$E27:$Z27)=0,0,MAX(0,IF((AU$6-$E$3)&lt;1,0,IFERROR(LOOKUP(2,1/(Amendoim!$E27:INDEX(Amendoim!$E27:$Z27,MIN(AU$6-$E$3,22))&lt;&gt;""),Amendoim!$E27:INDEX(Amendoim!$E27:$Z27,MIN(AU$6-$E$3,22))),0))-IF($G$2,0,IF((AU$6-$G$3)&lt;1,0,IFERROR(LOOKUP(2,1/(Amendoim!$E27:INDEX(Amendoim!$E27:$Z27,MIN(AU$6-$G$3,22))&lt;&gt;""),Amendoim!$E27:INDEX(Amendoim!$E27:$Z27,MIN(AU$6-$G$3,22))),0)))))</f>
        <v>0</v>
      </c>
      <c r="AV29" s="27" t="n">
        <f aca="false">IF(COUNT(Amendoim!$E27:$Z27)=0,0,MAX(0,IF((AV$6-$E$3)&lt;1,0,IFERROR(LOOKUP(2,1/(Amendoim!$E27:INDEX(Amendoim!$E27:$Z27,MIN(AV$6-$E$3,22))&lt;&gt;""),Amendoim!$E27:INDEX(Amendoim!$E27:$Z27,MIN(AV$6-$E$3,22))),0))-IF($G$2,0,IF((AV$6-$G$3)&lt;1,0,IFERROR(LOOKUP(2,1/(Amendoim!$E27:INDEX(Amendoim!$E27:$Z27,MIN(AV$6-$G$3,22))&lt;&gt;""),Amendoim!$E27:INDEX(Amendoim!$E27:$Z27,MIN(AV$6-$G$3,22))),0)))))</f>
        <v>0</v>
      </c>
      <c r="AW29" s="27" t="n">
        <f aca="false">IF(COUNT(Amendoim!$E27:$Z27)=0,0,MAX(0,IF((AW$6-$E$3)&lt;1,0,IFERROR(LOOKUP(2,1/(Amendoim!$E27:INDEX(Amendoim!$E27:$Z27,MIN(AW$6-$E$3,22))&lt;&gt;""),Amendoim!$E27:INDEX(Amendoim!$E27:$Z27,MIN(AW$6-$E$3,22))),0))-IF($G$2,0,IF((AW$6-$G$3)&lt;1,0,IFERROR(LOOKUP(2,1/(Amendoim!$E27:INDEX(Amendoim!$E27:$Z27,MIN(AW$6-$G$3,22))&lt;&gt;""),Amendoim!$E27:INDEX(Amendoim!$E27:$Z27,MIN(AW$6-$G$3,22))),0)))))</f>
        <v>0</v>
      </c>
      <c r="AX29" s="27" t="n">
        <f aca="false">IF(COUNT(Amendoim!$E27:$Z27)=0,0,MAX(0,IF((AX$6-$E$3)&lt;1,0,IFERROR(LOOKUP(2,1/(Amendoim!$E27:INDEX(Amendoim!$E27:$Z27,MIN(AX$6-$E$3,22))&lt;&gt;""),Amendoim!$E27:INDEX(Amendoim!$E27:$Z27,MIN(AX$6-$E$3,22))),0))-IF($G$2,0,IF((AX$6-$G$3)&lt;1,0,IFERROR(LOOKUP(2,1/(Amendoim!$E27:INDEX(Amendoim!$E27:$Z27,MIN(AX$6-$G$3,22))&lt;&gt;""),Amendoim!$E27:INDEX(Amendoim!$E27:$Z27,MIN(AX$6-$G$3,22))),0)))))</f>
        <v>0</v>
      </c>
      <c r="AY29" s="27" t="n">
        <f aca="false">IF(COUNT(Amendoim!$E27:$Z27)=0,0,MAX(0,IF((AY$6-$E$3)&lt;1,0,IFERROR(LOOKUP(2,1/(Amendoim!$E27:INDEX(Amendoim!$E27:$Z27,MIN(AY$6-$E$3,22))&lt;&gt;""),Amendoim!$E27:INDEX(Amendoim!$E27:$Z27,MIN(AY$6-$E$3,22))),0))-IF($G$2,0,IF((AY$6-$G$3)&lt;1,0,IFERROR(LOOKUP(2,1/(Amendoim!$E27:INDEX(Amendoim!$E27:$Z27,MIN(AY$6-$G$3,22))&lt;&gt;""),Amendoim!$E27:INDEX(Amendoim!$E27:$Z27,MIN(AY$6-$G$3,22))),0)))))</f>
        <v>0</v>
      </c>
      <c r="AZ29" s="27" t="n">
        <f aca="false">IF(COUNT(Amendoim!$E27:$Z27)=0,0,MAX(0,IF((AZ$6-$E$3)&lt;1,0,IFERROR(LOOKUP(2,1/(Amendoim!$E27:INDEX(Amendoim!$E27:$Z27,MIN(AZ$6-$E$3,22))&lt;&gt;""),Amendoim!$E27:INDEX(Amendoim!$E27:$Z27,MIN(AZ$6-$E$3,22))),0))-IF($G$2,0,IF((AZ$6-$G$3)&lt;1,0,IFERROR(LOOKUP(2,1/(Amendoim!$E27:INDEX(Amendoim!$E27:$Z27,MIN(AZ$6-$G$3,22))&lt;&gt;""),Amendoim!$E27:INDEX(Amendoim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IF(COUNT(Amendoim!$E28:$Z28)&gt;0,N(Amendoim!$D28),0)</f>
        <v>0</v>
      </c>
      <c r="E30" s="27" t="n">
        <f aca="false">IF(COUNT(Amendoim!$E28:$Z28)=0,0,MAX(0,IF((E$6-$E$3)&lt;1,0,IFERROR(LOOKUP(2,1/(Amendoim!$E28:INDEX(Amendoim!$E28:$Z28,MIN(E$6-$E$3,22))&lt;&gt;""),Amendoim!$E28:INDEX(Amendoim!$E28:$Z28,MIN(E$6-$E$3,22))),0))-IF($G$2,0,IF((E$6-$G$3)&lt;1,0,IFERROR(LOOKUP(2,1/(Amendoim!$E28:INDEX(Amendoim!$E28:$Z28,MIN(E$6-$G$3,22))&lt;&gt;""),Amendoim!$E28:INDEX(Amendoim!$E28:$Z28,MIN(E$6-$G$3,22))),0)))))</f>
        <v>0</v>
      </c>
      <c r="F30" s="27" t="n">
        <f aca="false">IF(COUNT(Amendoim!$E28:$Z28)=0,0,MAX(0,IF((F$6-$E$3)&lt;1,0,IFERROR(LOOKUP(2,1/(Amendoim!$E28:INDEX(Amendoim!$E28:$Z28,MIN(F$6-$E$3,22))&lt;&gt;""),Amendoim!$E28:INDEX(Amendoim!$E28:$Z28,MIN(F$6-$E$3,22))),0))-IF($G$2,0,IF((F$6-$G$3)&lt;1,0,IFERROR(LOOKUP(2,1/(Amendoim!$E28:INDEX(Amendoim!$E28:$Z28,MIN(F$6-$G$3,22))&lt;&gt;""),Amendoim!$E28:INDEX(Amendoim!$E28:$Z28,MIN(F$6-$G$3,22))),0)))))</f>
        <v>0</v>
      </c>
      <c r="G30" s="27" t="n">
        <f aca="false">IF(COUNT(Amendoim!$E28:$Z28)=0,0,MAX(0,IF((G$6-$E$3)&lt;1,0,IFERROR(LOOKUP(2,1/(Amendoim!$E28:INDEX(Amendoim!$E28:$Z28,MIN(G$6-$E$3,22))&lt;&gt;""),Amendoim!$E28:INDEX(Amendoim!$E28:$Z28,MIN(G$6-$E$3,22))),0))-IF($G$2,0,IF((G$6-$G$3)&lt;1,0,IFERROR(LOOKUP(2,1/(Amendoim!$E28:INDEX(Amendoim!$E28:$Z28,MIN(G$6-$G$3,22))&lt;&gt;""),Amendoim!$E28:INDEX(Amendoim!$E28:$Z28,MIN(G$6-$G$3,22))),0)))))</f>
        <v>0</v>
      </c>
      <c r="H30" s="27" t="n">
        <f aca="false">IF(COUNT(Amendoim!$E28:$Z28)=0,0,MAX(0,IF((H$6-$E$3)&lt;1,0,IFERROR(LOOKUP(2,1/(Amendoim!$E28:INDEX(Amendoim!$E28:$Z28,MIN(H$6-$E$3,22))&lt;&gt;""),Amendoim!$E28:INDEX(Amendoim!$E28:$Z28,MIN(H$6-$E$3,22))),0))-IF($G$2,0,IF((H$6-$G$3)&lt;1,0,IFERROR(LOOKUP(2,1/(Amendoim!$E28:INDEX(Amendoim!$E28:$Z28,MIN(H$6-$G$3,22))&lt;&gt;""),Amendoim!$E28:INDEX(Amendoim!$E28:$Z28,MIN(H$6-$G$3,22))),0)))))</f>
        <v>0</v>
      </c>
      <c r="I30" s="27" t="n">
        <f aca="false">IF(COUNT(Amendoim!$E28:$Z28)=0,0,MAX(0,IF((I$6-$E$3)&lt;1,0,IFERROR(LOOKUP(2,1/(Amendoim!$E28:INDEX(Amendoim!$E28:$Z28,MIN(I$6-$E$3,22))&lt;&gt;""),Amendoim!$E28:INDEX(Amendoim!$E28:$Z28,MIN(I$6-$E$3,22))),0))-IF($G$2,0,IF((I$6-$G$3)&lt;1,0,IFERROR(LOOKUP(2,1/(Amendoim!$E28:INDEX(Amendoim!$E28:$Z28,MIN(I$6-$G$3,22))&lt;&gt;""),Amendoim!$E28:INDEX(Amendoim!$E28:$Z28,MIN(I$6-$G$3,22))),0)))))</f>
        <v>0</v>
      </c>
      <c r="J30" s="27" t="n">
        <f aca="false">IF(COUNT(Amendoim!$E28:$Z28)=0,0,MAX(0,IF((J$6-$E$3)&lt;1,0,IFERROR(LOOKUP(2,1/(Amendoim!$E28:INDEX(Amendoim!$E28:$Z28,MIN(J$6-$E$3,22))&lt;&gt;""),Amendoim!$E28:INDEX(Amendoim!$E28:$Z28,MIN(J$6-$E$3,22))),0))-IF($G$2,0,IF((J$6-$G$3)&lt;1,0,IFERROR(LOOKUP(2,1/(Amendoim!$E28:INDEX(Amendoim!$E28:$Z28,MIN(J$6-$G$3,22))&lt;&gt;""),Amendoim!$E28:INDEX(Amendoim!$E28:$Z28,MIN(J$6-$G$3,22))),0)))))</f>
        <v>0</v>
      </c>
      <c r="K30" s="27" t="n">
        <f aca="false">IF(COUNT(Amendoim!$E28:$Z28)=0,0,MAX(0,IF((K$6-$E$3)&lt;1,0,IFERROR(LOOKUP(2,1/(Amendoim!$E28:INDEX(Amendoim!$E28:$Z28,MIN(K$6-$E$3,22))&lt;&gt;""),Amendoim!$E28:INDEX(Amendoim!$E28:$Z28,MIN(K$6-$E$3,22))),0))-IF($G$2,0,IF((K$6-$G$3)&lt;1,0,IFERROR(LOOKUP(2,1/(Amendoim!$E28:INDEX(Amendoim!$E28:$Z28,MIN(K$6-$G$3,22))&lt;&gt;""),Amendoim!$E28:INDEX(Amendoim!$E28:$Z28,MIN(K$6-$G$3,22))),0)))))</f>
        <v>0</v>
      </c>
      <c r="L30" s="27" t="n">
        <f aca="false">IF(COUNT(Amendoim!$E28:$Z28)=0,0,MAX(0,IF((L$6-$E$3)&lt;1,0,IFERROR(LOOKUP(2,1/(Amendoim!$E28:INDEX(Amendoim!$E28:$Z28,MIN(L$6-$E$3,22))&lt;&gt;""),Amendoim!$E28:INDEX(Amendoim!$E28:$Z28,MIN(L$6-$E$3,22))),0))-IF($G$2,0,IF((L$6-$G$3)&lt;1,0,IFERROR(LOOKUP(2,1/(Amendoim!$E28:INDEX(Amendoim!$E28:$Z28,MIN(L$6-$G$3,22))&lt;&gt;""),Amendoim!$E28:INDEX(Amendoim!$E28:$Z28,MIN(L$6-$G$3,22))),0)))))</f>
        <v>0</v>
      </c>
      <c r="M30" s="27" t="n">
        <f aca="false">IF(COUNT(Amendoim!$E28:$Z28)=0,0,MAX(0,IF((M$6-$E$3)&lt;1,0,IFERROR(LOOKUP(2,1/(Amendoim!$E28:INDEX(Amendoim!$E28:$Z28,MIN(M$6-$E$3,22))&lt;&gt;""),Amendoim!$E28:INDEX(Amendoim!$E28:$Z28,MIN(M$6-$E$3,22))),0))-IF($G$2,0,IF((M$6-$G$3)&lt;1,0,IFERROR(LOOKUP(2,1/(Amendoim!$E28:INDEX(Amendoim!$E28:$Z28,MIN(M$6-$G$3,22))&lt;&gt;""),Amendoim!$E28:INDEX(Amendoim!$E28:$Z28,MIN(M$6-$G$3,22))),0)))))</f>
        <v>0</v>
      </c>
      <c r="N30" s="27" t="n">
        <f aca="false">IF(COUNT(Amendoim!$E28:$Z28)=0,0,MAX(0,IF((N$6-$E$3)&lt;1,0,IFERROR(LOOKUP(2,1/(Amendoim!$E28:INDEX(Amendoim!$E28:$Z28,MIN(N$6-$E$3,22))&lt;&gt;""),Amendoim!$E28:INDEX(Amendoim!$E28:$Z28,MIN(N$6-$E$3,22))),0))-IF($G$2,0,IF((N$6-$G$3)&lt;1,0,IFERROR(LOOKUP(2,1/(Amendoim!$E28:INDEX(Amendoim!$E28:$Z28,MIN(N$6-$G$3,22))&lt;&gt;""),Amendoim!$E28:INDEX(Amendoim!$E28:$Z28,MIN(N$6-$G$3,22))),0)))))</f>
        <v>0</v>
      </c>
      <c r="O30" s="27" t="n">
        <f aca="false">IF(COUNT(Amendoim!$E28:$Z28)=0,0,MAX(0,IF((O$6-$E$3)&lt;1,0,IFERROR(LOOKUP(2,1/(Amendoim!$E28:INDEX(Amendoim!$E28:$Z28,MIN(O$6-$E$3,22))&lt;&gt;""),Amendoim!$E28:INDEX(Amendoim!$E28:$Z28,MIN(O$6-$E$3,22))),0))-IF($G$2,0,IF((O$6-$G$3)&lt;1,0,IFERROR(LOOKUP(2,1/(Amendoim!$E28:INDEX(Amendoim!$E28:$Z28,MIN(O$6-$G$3,22))&lt;&gt;""),Amendoim!$E28:INDEX(Amendoim!$E28:$Z28,MIN(O$6-$G$3,22))),0)))))</f>
        <v>0</v>
      </c>
      <c r="P30" s="27" t="n">
        <f aca="false">IF(COUNT(Amendoim!$E28:$Z28)=0,0,MAX(0,IF((P$6-$E$3)&lt;1,0,IFERROR(LOOKUP(2,1/(Amendoim!$E28:INDEX(Amendoim!$E28:$Z28,MIN(P$6-$E$3,22))&lt;&gt;""),Amendoim!$E28:INDEX(Amendoim!$E28:$Z28,MIN(P$6-$E$3,22))),0))-IF($G$2,0,IF((P$6-$G$3)&lt;1,0,IFERROR(LOOKUP(2,1/(Amendoim!$E28:INDEX(Amendoim!$E28:$Z28,MIN(P$6-$G$3,22))&lt;&gt;""),Amendoim!$E28:INDEX(Amendoim!$E28:$Z28,MIN(P$6-$G$3,22))),0)))))</f>
        <v>0</v>
      </c>
      <c r="Q30" s="27" t="n">
        <f aca="false">IF(COUNT(Amendoim!$E28:$Z28)=0,0,MAX(0,IF((Q$6-$E$3)&lt;1,0,IFERROR(LOOKUP(2,1/(Amendoim!$E28:INDEX(Amendoim!$E28:$Z28,MIN(Q$6-$E$3,22))&lt;&gt;""),Amendoim!$E28:INDEX(Amendoim!$E28:$Z28,MIN(Q$6-$E$3,22))),0))-IF($G$2,0,IF((Q$6-$G$3)&lt;1,0,IFERROR(LOOKUP(2,1/(Amendoim!$E28:INDEX(Amendoim!$E28:$Z28,MIN(Q$6-$G$3,22))&lt;&gt;""),Amendoim!$E28:INDEX(Amendoim!$E28:$Z28,MIN(Q$6-$G$3,22))),0)))))</f>
        <v>0</v>
      </c>
      <c r="R30" s="27" t="n">
        <f aca="false">IF(COUNT(Amendoim!$E28:$Z28)=0,0,MAX(0,IF((R$6-$E$3)&lt;1,0,IFERROR(LOOKUP(2,1/(Amendoim!$E28:INDEX(Amendoim!$E28:$Z28,MIN(R$6-$E$3,22))&lt;&gt;""),Amendoim!$E28:INDEX(Amendoim!$E28:$Z28,MIN(R$6-$E$3,22))),0))-IF($G$2,0,IF((R$6-$G$3)&lt;1,0,IFERROR(LOOKUP(2,1/(Amendoim!$E28:INDEX(Amendoim!$E28:$Z28,MIN(R$6-$G$3,22))&lt;&gt;""),Amendoim!$E28:INDEX(Amendoim!$E28:$Z28,MIN(R$6-$G$3,22))),0)))))</f>
        <v>0</v>
      </c>
      <c r="S30" s="27" t="n">
        <f aca="false">IF(COUNT(Amendoim!$E28:$Z28)=0,0,MAX(0,IF((S$6-$E$3)&lt;1,0,IFERROR(LOOKUP(2,1/(Amendoim!$E28:INDEX(Amendoim!$E28:$Z28,MIN(S$6-$E$3,22))&lt;&gt;""),Amendoim!$E28:INDEX(Amendoim!$E28:$Z28,MIN(S$6-$E$3,22))),0))-IF($G$2,0,IF((S$6-$G$3)&lt;1,0,IFERROR(LOOKUP(2,1/(Amendoim!$E28:INDEX(Amendoim!$E28:$Z28,MIN(S$6-$G$3,22))&lt;&gt;""),Amendoim!$E28:INDEX(Amendoim!$E28:$Z28,MIN(S$6-$G$3,22))),0)))))</f>
        <v>0</v>
      </c>
      <c r="T30" s="27" t="n">
        <f aca="false">IF(COUNT(Amendoim!$E28:$Z28)=0,0,MAX(0,IF((T$6-$E$3)&lt;1,0,IFERROR(LOOKUP(2,1/(Amendoim!$E28:INDEX(Amendoim!$E28:$Z28,MIN(T$6-$E$3,22))&lt;&gt;""),Amendoim!$E28:INDEX(Amendoim!$E28:$Z28,MIN(T$6-$E$3,22))),0))-IF($G$2,0,IF((T$6-$G$3)&lt;1,0,IFERROR(LOOKUP(2,1/(Amendoim!$E28:INDEX(Amendoim!$E28:$Z28,MIN(T$6-$G$3,22))&lt;&gt;""),Amendoim!$E28:INDEX(Amendoim!$E28:$Z28,MIN(T$6-$G$3,22))),0)))))</f>
        <v>0</v>
      </c>
      <c r="U30" s="27" t="n">
        <f aca="false">IF(COUNT(Amendoim!$E28:$Z28)=0,0,MAX(0,IF((U$6-$E$3)&lt;1,0,IFERROR(LOOKUP(2,1/(Amendoim!$E28:INDEX(Amendoim!$E28:$Z28,MIN(U$6-$E$3,22))&lt;&gt;""),Amendoim!$E28:INDEX(Amendoim!$E28:$Z28,MIN(U$6-$E$3,22))),0))-IF($G$2,0,IF((U$6-$G$3)&lt;1,0,IFERROR(LOOKUP(2,1/(Amendoim!$E28:INDEX(Amendoim!$E28:$Z28,MIN(U$6-$G$3,22))&lt;&gt;""),Amendoim!$E28:INDEX(Amendoim!$E28:$Z28,MIN(U$6-$G$3,22))),0)))))</f>
        <v>0</v>
      </c>
      <c r="V30" s="27" t="n">
        <f aca="false">IF(COUNT(Amendoim!$E28:$Z28)=0,0,MAX(0,IF((V$6-$E$3)&lt;1,0,IFERROR(LOOKUP(2,1/(Amendoim!$E28:INDEX(Amendoim!$E28:$Z28,MIN(V$6-$E$3,22))&lt;&gt;""),Amendoim!$E28:INDEX(Amendoim!$E28:$Z28,MIN(V$6-$E$3,22))),0))-IF($G$2,0,IF((V$6-$G$3)&lt;1,0,IFERROR(LOOKUP(2,1/(Amendoim!$E28:INDEX(Amendoim!$E28:$Z28,MIN(V$6-$G$3,22))&lt;&gt;""),Amendoim!$E28:INDEX(Amendoim!$E28:$Z28,MIN(V$6-$G$3,22))),0)))))</f>
        <v>0</v>
      </c>
      <c r="W30" s="27" t="n">
        <f aca="false">IF(COUNT(Amendoim!$E28:$Z28)=0,0,MAX(0,IF((W$6-$E$3)&lt;1,0,IFERROR(LOOKUP(2,1/(Amendoim!$E28:INDEX(Amendoim!$E28:$Z28,MIN(W$6-$E$3,22))&lt;&gt;""),Amendoim!$E28:INDEX(Amendoim!$E28:$Z28,MIN(W$6-$E$3,22))),0))-IF($G$2,0,IF((W$6-$G$3)&lt;1,0,IFERROR(LOOKUP(2,1/(Amendoim!$E28:INDEX(Amendoim!$E28:$Z28,MIN(W$6-$G$3,22))&lt;&gt;""),Amendoim!$E28:INDEX(Amendoim!$E28:$Z28,MIN(W$6-$G$3,22))),0)))))</f>
        <v>0</v>
      </c>
      <c r="X30" s="27" t="n">
        <f aca="false">IF(COUNT(Amendoim!$E28:$Z28)=0,0,MAX(0,IF((X$6-$E$3)&lt;1,0,IFERROR(LOOKUP(2,1/(Amendoim!$E28:INDEX(Amendoim!$E28:$Z28,MIN(X$6-$E$3,22))&lt;&gt;""),Amendoim!$E28:INDEX(Amendoim!$E28:$Z28,MIN(X$6-$E$3,22))),0))-IF($G$2,0,IF((X$6-$G$3)&lt;1,0,IFERROR(LOOKUP(2,1/(Amendoim!$E28:INDEX(Amendoim!$E28:$Z28,MIN(X$6-$G$3,22))&lt;&gt;""),Amendoim!$E28:INDEX(Amendoim!$E28:$Z28,MIN(X$6-$G$3,22))),0)))))</f>
        <v>0</v>
      </c>
      <c r="Y30" s="27" t="n">
        <f aca="false">IF(COUNT(Amendoim!$E28:$Z28)=0,0,MAX(0,IF((Y$6-$E$3)&lt;1,0,IFERROR(LOOKUP(2,1/(Amendoim!$E28:INDEX(Amendoim!$E28:$Z28,MIN(Y$6-$E$3,22))&lt;&gt;""),Amendoim!$E28:INDEX(Amendoim!$E28:$Z28,MIN(Y$6-$E$3,22))),0))-IF($G$2,0,IF((Y$6-$G$3)&lt;1,0,IFERROR(LOOKUP(2,1/(Amendoim!$E28:INDEX(Amendoim!$E28:$Z28,MIN(Y$6-$G$3,22))&lt;&gt;""),Amendoim!$E28:INDEX(Amendoim!$E28:$Z28,MIN(Y$6-$G$3,22))),0)))))</f>
        <v>0</v>
      </c>
      <c r="Z30" s="27" t="n">
        <f aca="false">IF(COUNT(Amendoim!$E28:$Z28)=0,0,MAX(0,IF((Z$6-$E$3)&lt;1,0,IFERROR(LOOKUP(2,1/(Amendoim!$E28:INDEX(Amendoim!$E28:$Z28,MIN(Z$6-$E$3,22))&lt;&gt;""),Amendoim!$E28:INDEX(Amendoim!$E28:$Z28,MIN(Z$6-$E$3,22))),0))-IF($G$2,0,IF((Z$6-$G$3)&lt;1,0,IFERROR(LOOKUP(2,1/(Amendoim!$E28:INDEX(Amendoim!$E28:$Z28,MIN(Z$6-$G$3,22))&lt;&gt;""),Amendoim!$E28:INDEX(Amendoim!$E28:$Z28,MIN(Z$6-$G$3,22))),0)))))</f>
        <v>0</v>
      </c>
      <c r="AA30" s="27" t="n">
        <f aca="false">IF(COUNT(Amendoim!$E28:$Z28)=0,0,MAX(0,IF((AA$6-$E$3)&lt;1,0,IFERROR(LOOKUP(2,1/(Amendoim!$E28:INDEX(Amendoim!$E28:$Z28,MIN(AA$6-$E$3,22))&lt;&gt;""),Amendoim!$E28:INDEX(Amendoim!$E28:$Z28,MIN(AA$6-$E$3,22))),0))-IF($G$2,0,IF((AA$6-$G$3)&lt;1,0,IFERROR(LOOKUP(2,1/(Amendoim!$E28:INDEX(Amendoim!$E28:$Z28,MIN(AA$6-$G$3,22))&lt;&gt;""),Amendoim!$E28:INDEX(Amendoim!$E28:$Z28,MIN(AA$6-$G$3,22))),0)))))</f>
        <v>0</v>
      </c>
      <c r="AB30" s="27" t="n">
        <f aca="false">IF(COUNT(Amendoim!$E28:$Z28)=0,0,MAX(0,IF((AB$6-$E$3)&lt;1,0,IFERROR(LOOKUP(2,1/(Amendoim!$E28:INDEX(Amendoim!$E28:$Z28,MIN(AB$6-$E$3,22))&lt;&gt;""),Amendoim!$E28:INDEX(Amendoim!$E28:$Z28,MIN(AB$6-$E$3,22))),0))-IF($G$2,0,IF((AB$6-$G$3)&lt;1,0,IFERROR(LOOKUP(2,1/(Amendoim!$E28:INDEX(Amendoim!$E28:$Z28,MIN(AB$6-$G$3,22))&lt;&gt;""),Amendoim!$E28:INDEX(Amendoim!$E28:$Z28,MIN(AB$6-$G$3,22))),0)))))</f>
        <v>0</v>
      </c>
      <c r="AC30" s="27" t="n">
        <f aca="false">IF(COUNT(Amendoim!$E28:$Z28)=0,0,MAX(0,IF((AC$6-$E$3)&lt;1,0,IFERROR(LOOKUP(2,1/(Amendoim!$E28:INDEX(Amendoim!$E28:$Z28,MIN(AC$6-$E$3,22))&lt;&gt;""),Amendoim!$E28:INDEX(Amendoim!$E28:$Z28,MIN(AC$6-$E$3,22))),0))-IF($G$2,0,IF((AC$6-$G$3)&lt;1,0,IFERROR(LOOKUP(2,1/(Amendoim!$E28:INDEX(Amendoim!$E28:$Z28,MIN(AC$6-$G$3,22))&lt;&gt;""),Amendoim!$E28:INDEX(Amendoim!$E28:$Z28,MIN(AC$6-$G$3,22))),0)))))</f>
        <v>0</v>
      </c>
      <c r="AD30" s="27" t="n">
        <f aca="false">IF(COUNT(Amendoim!$E28:$Z28)=0,0,MAX(0,IF((AD$6-$E$3)&lt;1,0,IFERROR(LOOKUP(2,1/(Amendoim!$E28:INDEX(Amendoim!$E28:$Z28,MIN(AD$6-$E$3,22))&lt;&gt;""),Amendoim!$E28:INDEX(Amendoim!$E28:$Z28,MIN(AD$6-$E$3,22))),0))-IF($G$2,0,IF((AD$6-$G$3)&lt;1,0,IFERROR(LOOKUP(2,1/(Amendoim!$E28:INDEX(Amendoim!$E28:$Z28,MIN(AD$6-$G$3,22))&lt;&gt;""),Amendoim!$E28:INDEX(Amendoim!$E28:$Z28,MIN(AD$6-$G$3,22))),0)))))</f>
        <v>0</v>
      </c>
      <c r="AE30" s="27" t="n">
        <f aca="false">IF(COUNT(Amendoim!$E28:$Z28)=0,0,MAX(0,IF((AE$6-$E$3)&lt;1,0,IFERROR(LOOKUP(2,1/(Amendoim!$E28:INDEX(Amendoim!$E28:$Z28,MIN(AE$6-$E$3,22))&lt;&gt;""),Amendoim!$E28:INDEX(Amendoim!$E28:$Z28,MIN(AE$6-$E$3,22))),0))-IF($G$2,0,IF((AE$6-$G$3)&lt;1,0,IFERROR(LOOKUP(2,1/(Amendoim!$E28:INDEX(Amendoim!$E28:$Z28,MIN(AE$6-$G$3,22))&lt;&gt;""),Amendoim!$E28:INDEX(Amendoim!$E28:$Z28,MIN(AE$6-$G$3,22))),0)))))</f>
        <v>0</v>
      </c>
      <c r="AF30" s="27" t="n">
        <f aca="false">IF(COUNT(Amendoim!$E28:$Z28)=0,0,MAX(0,IF((AF$6-$E$3)&lt;1,0,IFERROR(LOOKUP(2,1/(Amendoim!$E28:INDEX(Amendoim!$E28:$Z28,MIN(AF$6-$E$3,22))&lt;&gt;""),Amendoim!$E28:INDEX(Amendoim!$E28:$Z28,MIN(AF$6-$E$3,22))),0))-IF($G$2,0,IF((AF$6-$G$3)&lt;1,0,IFERROR(LOOKUP(2,1/(Amendoim!$E28:INDEX(Amendoim!$E28:$Z28,MIN(AF$6-$G$3,22))&lt;&gt;""),Amendoim!$E28:INDEX(Amendoim!$E28:$Z28,MIN(AF$6-$G$3,22))),0)))))</f>
        <v>0</v>
      </c>
      <c r="AG30" s="27" t="n">
        <f aca="false">IF(COUNT(Amendoim!$E28:$Z28)=0,0,MAX(0,IF((AG$6-$E$3)&lt;1,0,IFERROR(LOOKUP(2,1/(Amendoim!$E28:INDEX(Amendoim!$E28:$Z28,MIN(AG$6-$E$3,22))&lt;&gt;""),Amendoim!$E28:INDEX(Amendoim!$E28:$Z28,MIN(AG$6-$E$3,22))),0))-IF($G$2,0,IF((AG$6-$G$3)&lt;1,0,IFERROR(LOOKUP(2,1/(Amendoim!$E28:INDEX(Amendoim!$E28:$Z28,MIN(AG$6-$G$3,22))&lt;&gt;""),Amendoim!$E28:INDEX(Amendoim!$E28:$Z28,MIN(AG$6-$G$3,22))),0)))))</f>
        <v>0</v>
      </c>
      <c r="AH30" s="27" t="n">
        <f aca="false">IF(COUNT(Amendoim!$E28:$Z28)=0,0,MAX(0,IF((AH$6-$E$3)&lt;1,0,IFERROR(LOOKUP(2,1/(Amendoim!$E28:INDEX(Amendoim!$E28:$Z28,MIN(AH$6-$E$3,22))&lt;&gt;""),Amendoim!$E28:INDEX(Amendoim!$E28:$Z28,MIN(AH$6-$E$3,22))),0))-IF($G$2,0,IF((AH$6-$G$3)&lt;1,0,IFERROR(LOOKUP(2,1/(Amendoim!$E28:INDEX(Amendoim!$E28:$Z28,MIN(AH$6-$G$3,22))&lt;&gt;""),Amendoim!$E28:INDEX(Amendoim!$E28:$Z28,MIN(AH$6-$G$3,22))),0)))))</f>
        <v>0</v>
      </c>
      <c r="AI30" s="27" t="n">
        <f aca="false">IF(COUNT(Amendoim!$E28:$Z28)=0,0,MAX(0,IF((AI$6-$E$3)&lt;1,0,IFERROR(LOOKUP(2,1/(Amendoim!$E28:INDEX(Amendoim!$E28:$Z28,MIN(AI$6-$E$3,22))&lt;&gt;""),Amendoim!$E28:INDEX(Amendoim!$E28:$Z28,MIN(AI$6-$E$3,22))),0))-IF($G$2,0,IF((AI$6-$G$3)&lt;1,0,IFERROR(LOOKUP(2,1/(Amendoim!$E28:INDEX(Amendoim!$E28:$Z28,MIN(AI$6-$G$3,22))&lt;&gt;""),Amendoim!$E28:INDEX(Amendoim!$E28:$Z28,MIN(AI$6-$G$3,22))),0)))))</f>
        <v>0</v>
      </c>
      <c r="AJ30" s="27" t="n">
        <f aca="false">IF(COUNT(Amendoim!$E28:$Z28)=0,0,MAX(0,IF((AJ$6-$E$3)&lt;1,0,IFERROR(LOOKUP(2,1/(Amendoim!$E28:INDEX(Amendoim!$E28:$Z28,MIN(AJ$6-$E$3,22))&lt;&gt;""),Amendoim!$E28:INDEX(Amendoim!$E28:$Z28,MIN(AJ$6-$E$3,22))),0))-IF($G$2,0,IF((AJ$6-$G$3)&lt;1,0,IFERROR(LOOKUP(2,1/(Amendoim!$E28:INDEX(Amendoim!$E28:$Z28,MIN(AJ$6-$G$3,22))&lt;&gt;""),Amendoim!$E28:INDEX(Amendoim!$E28:$Z28,MIN(AJ$6-$G$3,22))),0)))))</f>
        <v>0</v>
      </c>
      <c r="AK30" s="27" t="n">
        <f aca="false">IF(COUNT(Amendoim!$E28:$Z28)=0,0,MAX(0,IF((AK$6-$E$3)&lt;1,0,IFERROR(LOOKUP(2,1/(Amendoim!$E28:INDEX(Amendoim!$E28:$Z28,MIN(AK$6-$E$3,22))&lt;&gt;""),Amendoim!$E28:INDEX(Amendoim!$E28:$Z28,MIN(AK$6-$E$3,22))),0))-IF($G$2,0,IF((AK$6-$G$3)&lt;1,0,IFERROR(LOOKUP(2,1/(Amendoim!$E28:INDEX(Amendoim!$E28:$Z28,MIN(AK$6-$G$3,22))&lt;&gt;""),Amendoim!$E28:INDEX(Amendoim!$E28:$Z28,MIN(AK$6-$G$3,22))),0)))))</f>
        <v>0</v>
      </c>
      <c r="AL30" s="27" t="n">
        <f aca="false">IF(COUNT(Amendoim!$E28:$Z28)=0,0,MAX(0,IF((AL$6-$E$3)&lt;1,0,IFERROR(LOOKUP(2,1/(Amendoim!$E28:INDEX(Amendoim!$E28:$Z28,MIN(AL$6-$E$3,22))&lt;&gt;""),Amendoim!$E28:INDEX(Amendoim!$E28:$Z28,MIN(AL$6-$E$3,22))),0))-IF($G$2,0,IF((AL$6-$G$3)&lt;1,0,IFERROR(LOOKUP(2,1/(Amendoim!$E28:INDEX(Amendoim!$E28:$Z28,MIN(AL$6-$G$3,22))&lt;&gt;""),Amendoim!$E28:INDEX(Amendoim!$E28:$Z28,MIN(AL$6-$G$3,22))),0)))))</f>
        <v>0</v>
      </c>
      <c r="AM30" s="27" t="n">
        <f aca="false">IF(COUNT(Amendoim!$E28:$Z28)=0,0,MAX(0,IF((AM$6-$E$3)&lt;1,0,IFERROR(LOOKUP(2,1/(Amendoim!$E28:INDEX(Amendoim!$E28:$Z28,MIN(AM$6-$E$3,22))&lt;&gt;""),Amendoim!$E28:INDEX(Amendoim!$E28:$Z28,MIN(AM$6-$E$3,22))),0))-IF($G$2,0,IF((AM$6-$G$3)&lt;1,0,IFERROR(LOOKUP(2,1/(Amendoim!$E28:INDEX(Amendoim!$E28:$Z28,MIN(AM$6-$G$3,22))&lt;&gt;""),Amendoim!$E28:INDEX(Amendoim!$E28:$Z28,MIN(AM$6-$G$3,22))),0)))))</f>
        <v>0</v>
      </c>
      <c r="AN30" s="27" t="n">
        <f aca="false">IF(COUNT(Amendoim!$E28:$Z28)=0,0,MAX(0,IF((AN$6-$E$3)&lt;1,0,IFERROR(LOOKUP(2,1/(Amendoim!$E28:INDEX(Amendoim!$E28:$Z28,MIN(AN$6-$E$3,22))&lt;&gt;""),Amendoim!$E28:INDEX(Amendoim!$E28:$Z28,MIN(AN$6-$E$3,22))),0))-IF($G$2,0,IF((AN$6-$G$3)&lt;1,0,IFERROR(LOOKUP(2,1/(Amendoim!$E28:INDEX(Amendoim!$E28:$Z28,MIN(AN$6-$G$3,22))&lt;&gt;""),Amendoim!$E28:INDEX(Amendoim!$E28:$Z28,MIN(AN$6-$G$3,22))),0)))))</f>
        <v>0</v>
      </c>
      <c r="AO30" s="27" t="n">
        <f aca="false">IF(COUNT(Amendoim!$E28:$Z28)=0,0,MAX(0,IF((AO$6-$E$3)&lt;1,0,IFERROR(LOOKUP(2,1/(Amendoim!$E28:INDEX(Amendoim!$E28:$Z28,MIN(AO$6-$E$3,22))&lt;&gt;""),Amendoim!$E28:INDEX(Amendoim!$E28:$Z28,MIN(AO$6-$E$3,22))),0))-IF($G$2,0,IF((AO$6-$G$3)&lt;1,0,IFERROR(LOOKUP(2,1/(Amendoim!$E28:INDEX(Amendoim!$E28:$Z28,MIN(AO$6-$G$3,22))&lt;&gt;""),Amendoim!$E28:INDEX(Amendoim!$E28:$Z28,MIN(AO$6-$G$3,22))),0)))))</f>
        <v>0</v>
      </c>
      <c r="AP30" s="27" t="n">
        <f aca="false">IF(COUNT(Amendoim!$E28:$Z28)=0,0,MAX(0,IF((AP$6-$E$3)&lt;1,0,IFERROR(LOOKUP(2,1/(Amendoim!$E28:INDEX(Amendoim!$E28:$Z28,MIN(AP$6-$E$3,22))&lt;&gt;""),Amendoim!$E28:INDEX(Amendoim!$E28:$Z28,MIN(AP$6-$E$3,22))),0))-IF($G$2,0,IF((AP$6-$G$3)&lt;1,0,IFERROR(LOOKUP(2,1/(Amendoim!$E28:INDEX(Amendoim!$E28:$Z28,MIN(AP$6-$G$3,22))&lt;&gt;""),Amendoim!$E28:INDEX(Amendoim!$E28:$Z28,MIN(AP$6-$G$3,22))),0)))))</f>
        <v>0</v>
      </c>
      <c r="AQ30" s="27" t="n">
        <f aca="false">IF(COUNT(Amendoim!$E28:$Z28)=0,0,MAX(0,IF((AQ$6-$E$3)&lt;1,0,IFERROR(LOOKUP(2,1/(Amendoim!$E28:INDEX(Amendoim!$E28:$Z28,MIN(AQ$6-$E$3,22))&lt;&gt;""),Amendoim!$E28:INDEX(Amendoim!$E28:$Z28,MIN(AQ$6-$E$3,22))),0))-IF($G$2,0,IF((AQ$6-$G$3)&lt;1,0,IFERROR(LOOKUP(2,1/(Amendoim!$E28:INDEX(Amendoim!$E28:$Z28,MIN(AQ$6-$G$3,22))&lt;&gt;""),Amendoim!$E28:INDEX(Amendoim!$E28:$Z28,MIN(AQ$6-$G$3,22))),0)))))</f>
        <v>0</v>
      </c>
      <c r="AR30" s="27" t="n">
        <f aca="false">IF(COUNT(Amendoim!$E28:$Z28)=0,0,MAX(0,IF((AR$6-$E$3)&lt;1,0,IFERROR(LOOKUP(2,1/(Amendoim!$E28:INDEX(Amendoim!$E28:$Z28,MIN(AR$6-$E$3,22))&lt;&gt;""),Amendoim!$E28:INDEX(Amendoim!$E28:$Z28,MIN(AR$6-$E$3,22))),0))-IF($G$2,0,IF((AR$6-$G$3)&lt;1,0,IFERROR(LOOKUP(2,1/(Amendoim!$E28:INDEX(Amendoim!$E28:$Z28,MIN(AR$6-$G$3,22))&lt;&gt;""),Amendoim!$E28:INDEX(Amendoim!$E28:$Z28,MIN(AR$6-$G$3,22))),0)))))</f>
        <v>0</v>
      </c>
      <c r="AS30" s="27" t="n">
        <f aca="false">IF(COUNT(Amendoim!$E28:$Z28)=0,0,MAX(0,IF((AS$6-$E$3)&lt;1,0,IFERROR(LOOKUP(2,1/(Amendoim!$E28:INDEX(Amendoim!$E28:$Z28,MIN(AS$6-$E$3,22))&lt;&gt;""),Amendoim!$E28:INDEX(Amendoim!$E28:$Z28,MIN(AS$6-$E$3,22))),0))-IF($G$2,0,IF((AS$6-$G$3)&lt;1,0,IFERROR(LOOKUP(2,1/(Amendoim!$E28:INDEX(Amendoim!$E28:$Z28,MIN(AS$6-$G$3,22))&lt;&gt;""),Amendoim!$E28:INDEX(Amendoim!$E28:$Z28,MIN(AS$6-$G$3,22))),0)))))</f>
        <v>0</v>
      </c>
      <c r="AT30" s="27" t="n">
        <f aca="false">IF(COUNT(Amendoim!$E28:$Z28)=0,0,MAX(0,IF((AT$6-$E$3)&lt;1,0,IFERROR(LOOKUP(2,1/(Amendoim!$E28:INDEX(Amendoim!$E28:$Z28,MIN(AT$6-$E$3,22))&lt;&gt;""),Amendoim!$E28:INDEX(Amendoim!$E28:$Z28,MIN(AT$6-$E$3,22))),0))-IF($G$2,0,IF((AT$6-$G$3)&lt;1,0,IFERROR(LOOKUP(2,1/(Amendoim!$E28:INDEX(Amendoim!$E28:$Z28,MIN(AT$6-$G$3,22))&lt;&gt;""),Amendoim!$E28:INDEX(Amendoim!$E28:$Z28,MIN(AT$6-$G$3,22))),0)))))</f>
        <v>0</v>
      </c>
      <c r="AU30" s="27" t="n">
        <f aca="false">IF(COUNT(Amendoim!$E28:$Z28)=0,0,MAX(0,IF((AU$6-$E$3)&lt;1,0,IFERROR(LOOKUP(2,1/(Amendoim!$E28:INDEX(Amendoim!$E28:$Z28,MIN(AU$6-$E$3,22))&lt;&gt;""),Amendoim!$E28:INDEX(Amendoim!$E28:$Z28,MIN(AU$6-$E$3,22))),0))-IF($G$2,0,IF((AU$6-$G$3)&lt;1,0,IFERROR(LOOKUP(2,1/(Amendoim!$E28:INDEX(Amendoim!$E28:$Z28,MIN(AU$6-$G$3,22))&lt;&gt;""),Amendoim!$E28:INDEX(Amendoim!$E28:$Z28,MIN(AU$6-$G$3,22))),0)))))</f>
        <v>0</v>
      </c>
      <c r="AV30" s="27" t="n">
        <f aca="false">IF(COUNT(Amendoim!$E28:$Z28)=0,0,MAX(0,IF((AV$6-$E$3)&lt;1,0,IFERROR(LOOKUP(2,1/(Amendoim!$E28:INDEX(Amendoim!$E28:$Z28,MIN(AV$6-$E$3,22))&lt;&gt;""),Amendoim!$E28:INDEX(Amendoim!$E28:$Z28,MIN(AV$6-$E$3,22))),0))-IF($G$2,0,IF((AV$6-$G$3)&lt;1,0,IFERROR(LOOKUP(2,1/(Amendoim!$E28:INDEX(Amendoim!$E28:$Z28,MIN(AV$6-$G$3,22))&lt;&gt;""),Amendoim!$E28:INDEX(Amendoim!$E28:$Z28,MIN(AV$6-$G$3,22))),0)))))</f>
        <v>0</v>
      </c>
      <c r="AW30" s="27" t="n">
        <f aca="false">IF(COUNT(Amendoim!$E28:$Z28)=0,0,MAX(0,IF((AW$6-$E$3)&lt;1,0,IFERROR(LOOKUP(2,1/(Amendoim!$E28:INDEX(Amendoim!$E28:$Z28,MIN(AW$6-$E$3,22))&lt;&gt;""),Amendoim!$E28:INDEX(Amendoim!$E28:$Z28,MIN(AW$6-$E$3,22))),0))-IF($G$2,0,IF((AW$6-$G$3)&lt;1,0,IFERROR(LOOKUP(2,1/(Amendoim!$E28:INDEX(Amendoim!$E28:$Z28,MIN(AW$6-$G$3,22))&lt;&gt;""),Amendoim!$E28:INDEX(Amendoim!$E28:$Z28,MIN(AW$6-$G$3,22))),0)))))</f>
        <v>0</v>
      </c>
      <c r="AX30" s="27" t="n">
        <f aca="false">IF(COUNT(Amendoim!$E28:$Z28)=0,0,MAX(0,IF((AX$6-$E$3)&lt;1,0,IFERROR(LOOKUP(2,1/(Amendoim!$E28:INDEX(Amendoim!$E28:$Z28,MIN(AX$6-$E$3,22))&lt;&gt;""),Amendoim!$E28:INDEX(Amendoim!$E28:$Z28,MIN(AX$6-$E$3,22))),0))-IF($G$2,0,IF((AX$6-$G$3)&lt;1,0,IFERROR(LOOKUP(2,1/(Amendoim!$E28:INDEX(Amendoim!$E28:$Z28,MIN(AX$6-$G$3,22))&lt;&gt;""),Amendoim!$E28:INDEX(Amendoim!$E28:$Z28,MIN(AX$6-$G$3,22))),0)))))</f>
        <v>0</v>
      </c>
      <c r="AY30" s="27" t="n">
        <f aca="false">IF(COUNT(Amendoim!$E28:$Z28)=0,0,MAX(0,IF((AY$6-$E$3)&lt;1,0,IFERROR(LOOKUP(2,1/(Amendoim!$E28:INDEX(Amendoim!$E28:$Z28,MIN(AY$6-$E$3,22))&lt;&gt;""),Amendoim!$E28:INDEX(Amendoim!$E28:$Z28,MIN(AY$6-$E$3,22))),0))-IF($G$2,0,IF((AY$6-$G$3)&lt;1,0,IFERROR(LOOKUP(2,1/(Amendoim!$E28:INDEX(Amendoim!$E28:$Z28,MIN(AY$6-$G$3,22))&lt;&gt;""),Amendoim!$E28:INDEX(Amendoim!$E28:$Z28,MIN(AY$6-$G$3,22))),0)))))</f>
        <v>0</v>
      </c>
      <c r="AZ30" s="27" t="n">
        <f aca="false">IF(COUNT(Amendoim!$E28:$Z28)=0,0,MAX(0,IF((AZ$6-$E$3)&lt;1,0,IFERROR(LOOKUP(2,1/(Amendoim!$E28:INDEX(Amendoim!$E28:$Z28,MIN(AZ$6-$E$3,22))&lt;&gt;""),Amendoim!$E28:INDEX(Amendoim!$E28:$Z28,MIN(AZ$6-$E$3,22))),0))-IF($G$2,0,IF((AZ$6-$G$3)&lt;1,0,IFERROR(LOOKUP(2,1/(Amendoim!$E28:INDEX(Amendoim!$E28:$Z28,MIN(AZ$6-$G$3,22))&lt;&gt;""),Amendoim!$E28:INDEX(Amendoim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IF(COUNT(Amendoim!$E29:$Z29)&gt;0,N(Amendoim!$D29),0)</f>
        <v>0</v>
      </c>
      <c r="E31" s="27" t="n">
        <f aca="false">IF(COUNT(Amendoim!$E29:$Z29)=0,0,MAX(0,IF((E$6-$E$3)&lt;1,0,IFERROR(LOOKUP(2,1/(Amendoim!$E29:INDEX(Amendoim!$E29:$Z29,MIN(E$6-$E$3,22))&lt;&gt;""),Amendoim!$E29:INDEX(Amendoim!$E29:$Z29,MIN(E$6-$E$3,22))),0))-IF($G$2,0,IF((E$6-$G$3)&lt;1,0,IFERROR(LOOKUP(2,1/(Amendoim!$E29:INDEX(Amendoim!$E29:$Z29,MIN(E$6-$G$3,22))&lt;&gt;""),Amendoim!$E29:INDEX(Amendoim!$E29:$Z29,MIN(E$6-$G$3,22))),0)))))</f>
        <v>0</v>
      </c>
      <c r="F31" s="27" t="n">
        <f aca="false">IF(COUNT(Amendoim!$E29:$Z29)=0,0,MAX(0,IF((F$6-$E$3)&lt;1,0,IFERROR(LOOKUP(2,1/(Amendoim!$E29:INDEX(Amendoim!$E29:$Z29,MIN(F$6-$E$3,22))&lt;&gt;""),Amendoim!$E29:INDEX(Amendoim!$E29:$Z29,MIN(F$6-$E$3,22))),0))-IF($G$2,0,IF((F$6-$G$3)&lt;1,0,IFERROR(LOOKUP(2,1/(Amendoim!$E29:INDEX(Amendoim!$E29:$Z29,MIN(F$6-$G$3,22))&lt;&gt;""),Amendoim!$E29:INDEX(Amendoim!$E29:$Z29,MIN(F$6-$G$3,22))),0)))))</f>
        <v>0</v>
      </c>
      <c r="G31" s="27" t="n">
        <f aca="false">IF(COUNT(Amendoim!$E29:$Z29)=0,0,MAX(0,IF((G$6-$E$3)&lt;1,0,IFERROR(LOOKUP(2,1/(Amendoim!$E29:INDEX(Amendoim!$E29:$Z29,MIN(G$6-$E$3,22))&lt;&gt;""),Amendoim!$E29:INDEX(Amendoim!$E29:$Z29,MIN(G$6-$E$3,22))),0))-IF($G$2,0,IF((G$6-$G$3)&lt;1,0,IFERROR(LOOKUP(2,1/(Amendoim!$E29:INDEX(Amendoim!$E29:$Z29,MIN(G$6-$G$3,22))&lt;&gt;""),Amendoim!$E29:INDEX(Amendoim!$E29:$Z29,MIN(G$6-$G$3,22))),0)))))</f>
        <v>0</v>
      </c>
      <c r="H31" s="27" t="n">
        <f aca="false">IF(COUNT(Amendoim!$E29:$Z29)=0,0,MAX(0,IF((H$6-$E$3)&lt;1,0,IFERROR(LOOKUP(2,1/(Amendoim!$E29:INDEX(Amendoim!$E29:$Z29,MIN(H$6-$E$3,22))&lt;&gt;""),Amendoim!$E29:INDEX(Amendoim!$E29:$Z29,MIN(H$6-$E$3,22))),0))-IF($G$2,0,IF((H$6-$G$3)&lt;1,0,IFERROR(LOOKUP(2,1/(Amendoim!$E29:INDEX(Amendoim!$E29:$Z29,MIN(H$6-$G$3,22))&lt;&gt;""),Amendoim!$E29:INDEX(Amendoim!$E29:$Z29,MIN(H$6-$G$3,22))),0)))))</f>
        <v>0</v>
      </c>
      <c r="I31" s="27" t="n">
        <f aca="false">IF(COUNT(Amendoim!$E29:$Z29)=0,0,MAX(0,IF((I$6-$E$3)&lt;1,0,IFERROR(LOOKUP(2,1/(Amendoim!$E29:INDEX(Amendoim!$E29:$Z29,MIN(I$6-$E$3,22))&lt;&gt;""),Amendoim!$E29:INDEX(Amendoim!$E29:$Z29,MIN(I$6-$E$3,22))),0))-IF($G$2,0,IF((I$6-$G$3)&lt;1,0,IFERROR(LOOKUP(2,1/(Amendoim!$E29:INDEX(Amendoim!$E29:$Z29,MIN(I$6-$G$3,22))&lt;&gt;""),Amendoim!$E29:INDEX(Amendoim!$E29:$Z29,MIN(I$6-$G$3,22))),0)))))</f>
        <v>0</v>
      </c>
      <c r="J31" s="27" t="n">
        <f aca="false">IF(COUNT(Amendoim!$E29:$Z29)=0,0,MAX(0,IF((J$6-$E$3)&lt;1,0,IFERROR(LOOKUP(2,1/(Amendoim!$E29:INDEX(Amendoim!$E29:$Z29,MIN(J$6-$E$3,22))&lt;&gt;""),Amendoim!$E29:INDEX(Amendoim!$E29:$Z29,MIN(J$6-$E$3,22))),0))-IF($G$2,0,IF((J$6-$G$3)&lt;1,0,IFERROR(LOOKUP(2,1/(Amendoim!$E29:INDEX(Amendoim!$E29:$Z29,MIN(J$6-$G$3,22))&lt;&gt;""),Amendoim!$E29:INDEX(Amendoim!$E29:$Z29,MIN(J$6-$G$3,22))),0)))))</f>
        <v>0</v>
      </c>
      <c r="K31" s="27" t="n">
        <f aca="false">IF(COUNT(Amendoim!$E29:$Z29)=0,0,MAX(0,IF((K$6-$E$3)&lt;1,0,IFERROR(LOOKUP(2,1/(Amendoim!$E29:INDEX(Amendoim!$E29:$Z29,MIN(K$6-$E$3,22))&lt;&gt;""),Amendoim!$E29:INDEX(Amendoim!$E29:$Z29,MIN(K$6-$E$3,22))),0))-IF($G$2,0,IF((K$6-$G$3)&lt;1,0,IFERROR(LOOKUP(2,1/(Amendoim!$E29:INDEX(Amendoim!$E29:$Z29,MIN(K$6-$G$3,22))&lt;&gt;""),Amendoim!$E29:INDEX(Amendoim!$E29:$Z29,MIN(K$6-$G$3,22))),0)))))</f>
        <v>0</v>
      </c>
      <c r="L31" s="27" t="n">
        <f aca="false">IF(COUNT(Amendoim!$E29:$Z29)=0,0,MAX(0,IF((L$6-$E$3)&lt;1,0,IFERROR(LOOKUP(2,1/(Amendoim!$E29:INDEX(Amendoim!$E29:$Z29,MIN(L$6-$E$3,22))&lt;&gt;""),Amendoim!$E29:INDEX(Amendoim!$E29:$Z29,MIN(L$6-$E$3,22))),0))-IF($G$2,0,IF((L$6-$G$3)&lt;1,0,IFERROR(LOOKUP(2,1/(Amendoim!$E29:INDEX(Amendoim!$E29:$Z29,MIN(L$6-$G$3,22))&lt;&gt;""),Amendoim!$E29:INDEX(Amendoim!$E29:$Z29,MIN(L$6-$G$3,22))),0)))))</f>
        <v>0</v>
      </c>
      <c r="M31" s="27" t="n">
        <f aca="false">IF(COUNT(Amendoim!$E29:$Z29)=0,0,MAX(0,IF((M$6-$E$3)&lt;1,0,IFERROR(LOOKUP(2,1/(Amendoim!$E29:INDEX(Amendoim!$E29:$Z29,MIN(M$6-$E$3,22))&lt;&gt;""),Amendoim!$E29:INDEX(Amendoim!$E29:$Z29,MIN(M$6-$E$3,22))),0))-IF($G$2,0,IF((M$6-$G$3)&lt;1,0,IFERROR(LOOKUP(2,1/(Amendoim!$E29:INDEX(Amendoim!$E29:$Z29,MIN(M$6-$G$3,22))&lt;&gt;""),Amendoim!$E29:INDEX(Amendoim!$E29:$Z29,MIN(M$6-$G$3,22))),0)))))</f>
        <v>0</v>
      </c>
      <c r="N31" s="27" t="n">
        <f aca="false">IF(COUNT(Amendoim!$E29:$Z29)=0,0,MAX(0,IF((N$6-$E$3)&lt;1,0,IFERROR(LOOKUP(2,1/(Amendoim!$E29:INDEX(Amendoim!$E29:$Z29,MIN(N$6-$E$3,22))&lt;&gt;""),Amendoim!$E29:INDEX(Amendoim!$E29:$Z29,MIN(N$6-$E$3,22))),0))-IF($G$2,0,IF((N$6-$G$3)&lt;1,0,IFERROR(LOOKUP(2,1/(Amendoim!$E29:INDEX(Amendoim!$E29:$Z29,MIN(N$6-$G$3,22))&lt;&gt;""),Amendoim!$E29:INDEX(Amendoim!$E29:$Z29,MIN(N$6-$G$3,22))),0)))))</f>
        <v>0</v>
      </c>
      <c r="O31" s="27" t="n">
        <f aca="false">IF(COUNT(Amendoim!$E29:$Z29)=0,0,MAX(0,IF((O$6-$E$3)&lt;1,0,IFERROR(LOOKUP(2,1/(Amendoim!$E29:INDEX(Amendoim!$E29:$Z29,MIN(O$6-$E$3,22))&lt;&gt;""),Amendoim!$E29:INDEX(Amendoim!$E29:$Z29,MIN(O$6-$E$3,22))),0))-IF($G$2,0,IF((O$6-$G$3)&lt;1,0,IFERROR(LOOKUP(2,1/(Amendoim!$E29:INDEX(Amendoim!$E29:$Z29,MIN(O$6-$G$3,22))&lt;&gt;""),Amendoim!$E29:INDEX(Amendoim!$E29:$Z29,MIN(O$6-$G$3,22))),0)))))</f>
        <v>0</v>
      </c>
      <c r="P31" s="27" t="n">
        <f aca="false">IF(COUNT(Amendoim!$E29:$Z29)=0,0,MAX(0,IF((P$6-$E$3)&lt;1,0,IFERROR(LOOKUP(2,1/(Amendoim!$E29:INDEX(Amendoim!$E29:$Z29,MIN(P$6-$E$3,22))&lt;&gt;""),Amendoim!$E29:INDEX(Amendoim!$E29:$Z29,MIN(P$6-$E$3,22))),0))-IF($G$2,0,IF((P$6-$G$3)&lt;1,0,IFERROR(LOOKUP(2,1/(Amendoim!$E29:INDEX(Amendoim!$E29:$Z29,MIN(P$6-$G$3,22))&lt;&gt;""),Amendoim!$E29:INDEX(Amendoim!$E29:$Z29,MIN(P$6-$G$3,22))),0)))))</f>
        <v>0</v>
      </c>
      <c r="Q31" s="27" t="n">
        <f aca="false">IF(COUNT(Amendoim!$E29:$Z29)=0,0,MAX(0,IF((Q$6-$E$3)&lt;1,0,IFERROR(LOOKUP(2,1/(Amendoim!$E29:INDEX(Amendoim!$E29:$Z29,MIN(Q$6-$E$3,22))&lt;&gt;""),Amendoim!$E29:INDEX(Amendoim!$E29:$Z29,MIN(Q$6-$E$3,22))),0))-IF($G$2,0,IF((Q$6-$G$3)&lt;1,0,IFERROR(LOOKUP(2,1/(Amendoim!$E29:INDEX(Amendoim!$E29:$Z29,MIN(Q$6-$G$3,22))&lt;&gt;""),Amendoim!$E29:INDEX(Amendoim!$E29:$Z29,MIN(Q$6-$G$3,22))),0)))))</f>
        <v>0</v>
      </c>
      <c r="R31" s="27" t="n">
        <f aca="false">IF(COUNT(Amendoim!$E29:$Z29)=0,0,MAX(0,IF((R$6-$E$3)&lt;1,0,IFERROR(LOOKUP(2,1/(Amendoim!$E29:INDEX(Amendoim!$E29:$Z29,MIN(R$6-$E$3,22))&lt;&gt;""),Amendoim!$E29:INDEX(Amendoim!$E29:$Z29,MIN(R$6-$E$3,22))),0))-IF($G$2,0,IF((R$6-$G$3)&lt;1,0,IFERROR(LOOKUP(2,1/(Amendoim!$E29:INDEX(Amendoim!$E29:$Z29,MIN(R$6-$G$3,22))&lt;&gt;""),Amendoim!$E29:INDEX(Amendoim!$E29:$Z29,MIN(R$6-$G$3,22))),0)))))</f>
        <v>0</v>
      </c>
      <c r="S31" s="27" t="n">
        <f aca="false">IF(COUNT(Amendoim!$E29:$Z29)=0,0,MAX(0,IF((S$6-$E$3)&lt;1,0,IFERROR(LOOKUP(2,1/(Amendoim!$E29:INDEX(Amendoim!$E29:$Z29,MIN(S$6-$E$3,22))&lt;&gt;""),Amendoim!$E29:INDEX(Amendoim!$E29:$Z29,MIN(S$6-$E$3,22))),0))-IF($G$2,0,IF((S$6-$G$3)&lt;1,0,IFERROR(LOOKUP(2,1/(Amendoim!$E29:INDEX(Amendoim!$E29:$Z29,MIN(S$6-$G$3,22))&lt;&gt;""),Amendoim!$E29:INDEX(Amendoim!$E29:$Z29,MIN(S$6-$G$3,22))),0)))))</f>
        <v>0</v>
      </c>
      <c r="T31" s="27" t="n">
        <f aca="false">IF(COUNT(Amendoim!$E29:$Z29)=0,0,MAX(0,IF((T$6-$E$3)&lt;1,0,IFERROR(LOOKUP(2,1/(Amendoim!$E29:INDEX(Amendoim!$E29:$Z29,MIN(T$6-$E$3,22))&lt;&gt;""),Amendoim!$E29:INDEX(Amendoim!$E29:$Z29,MIN(T$6-$E$3,22))),0))-IF($G$2,0,IF((T$6-$G$3)&lt;1,0,IFERROR(LOOKUP(2,1/(Amendoim!$E29:INDEX(Amendoim!$E29:$Z29,MIN(T$6-$G$3,22))&lt;&gt;""),Amendoim!$E29:INDEX(Amendoim!$E29:$Z29,MIN(T$6-$G$3,22))),0)))))</f>
        <v>0</v>
      </c>
      <c r="U31" s="27" t="n">
        <f aca="false">IF(COUNT(Amendoim!$E29:$Z29)=0,0,MAX(0,IF((U$6-$E$3)&lt;1,0,IFERROR(LOOKUP(2,1/(Amendoim!$E29:INDEX(Amendoim!$E29:$Z29,MIN(U$6-$E$3,22))&lt;&gt;""),Amendoim!$E29:INDEX(Amendoim!$E29:$Z29,MIN(U$6-$E$3,22))),0))-IF($G$2,0,IF((U$6-$G$3)&lt;1,0,IFERROR(LOOKUP(2,1/(Amendoim!$E29:INDEX(Amendoim!$E29:$Z29,MIN(U$6-$G$3,22))&lt;&gt;""),Amendoim!$E29:INDEX(Amendoim!$E29:$Z29,MIN(U$6-$G$3,22))),0)))))</f>
        <v>0</v>
      </c>
      <c r="V31" s="27" t="n">
        <f aca="false">IF(COUNT(Amendoim!$E29:$Z29)=0,0,MAX(0,IF((V$6-$E$3)&lt;1,0,IFERROR(LOOKUP(2,1/(Amendoim!$E29:INDEX(Amendoim!$E29:$Z29,MIN(V$6-$E$3,22))&lt;&gt;""),Amendoim!$E29:INDEX(Amendoim!$E29:$Z29,MIN(V$6-$E$3,22))),0))-IF($G$2,0,IF((V$6-$G$3)&lt;1,0,IFERROR(LOOKUP(2,1/(Amendoim!$E29:INDEX(Amendoim!$E29:$Z29,MIN(V$6-$G$3,22))&lt;&gt;""),Amendoim!$E29:INDEX(Amendoim!$E29:$Z29,MIN(V$6-$G$3,22))),0)))))</f>
        <v>0</v>
      </c>
      <c r="W31" s="27" t="n">
        <f aca="false">IF(COUNT(Amendoim!$E29:$Z29)=0,0,MAX(0,IF((W$6-$E$3)&lt;1,0,IFERROR(LOOKUP(2,1/(Amendoim!$E29:INDEX(Amendoim!$E29:$Z29,MIN(W$6-$E$3,22))&lt;&gt;""),Amendoim!$E29:INDEX(Amendoim!$E29:$Z29,MIN(W$6-$E$3,22))),0))-IF($G$2,0,IF((W$6-$G$3)&lt;1,0,IFERROR(LOOKUP(2,1/(Amendoim!$E29:INDEX(Amendoim!$E29:$Z29,MIN(W$6-$G$3,22))&lt;&gt;""),Amendoim!$E29:INDEX(Amendoim!$E29:$Z29,MIN(W$6-$G$3,22))),0)))))</f>
        <v>0</v>
      </c>
      <c r="X31" s="27" t="n">
        <f aca="false">IF(COUNT(Amendoim!$E29:$Z29)=0,0,MAX(0,IF((X$6-$E$3)&lt;1,0,IFERROR(LOOKUP(2,1/(Amendoim!$E29:INDEX(Amendoim!$E29:$Z29,MIN(X$6-$E$3,22))&lt;&gt;""),Amendoim!$E29:INDEX(Amendoim!$E29:$Z29,MIN(X$6-$E$3,22))),0))-IF($G$2,0,IF((X$6-$G$3)&lt;1,0,IFERROR(LOOKUP(2,1/(Amendoim!$E29:INDEX(Amendoim!$E29:$Z29,MIN(X$6-$G$3,22))&lt;&gt;""),Amendoim!$E29:INDEX(Amendoim!$E29:$Z29,MIN(X$6-$G$3,22))),0)))))</f>
        <v>0</v>
      </c>
      <c r="Y31" s="27" t="n">
        <f aca="false">IF(COUNT(Amendoim!$E29:$Z29)=0,0,MAX(0,IF((Y$6-$E$3)&lt;1,0,IFERROR(LOOKUP(2,1/(Amendoim!$E29:INDEX(Amendoim!$E29:$Z29,MIN(Y$6-$E$3,22))&lt;&gt;""),Amendoim!$E29:INDEX(Amendoim!$E29:$Z29,MIN(Y$6-$E$3,22))),0))-IF($G$2,0,IF((Y$6-$G$3)&lt;1,0,IFERROR(LOOKUP(2,1/(Amendoim!$E29:INDEX(Amendoim!$E29:$Z29,MIN(Y$6-$G$3,22))&lt;&gt;""),Amendoim!$E29:INDEX(Amendoim!$E29:$Z29,MIN(Y$6-$G$3,22))),0)))))</f>
        <v>0</v>
      </c>
      <c r="Z31" s="27" t="n">
        <f aca="false">IF(COUNT(Amendoim!$E29:$Z29)=0,0,MAX(0,IF((Z$6-$E$3)&lt;1,0,IFERROR(LOOKUP(2,1/(Amendoim!$E29:INDEX(Amendoim!$E29:$Z29,MIN(Z$6-$E$3,22))&lt;&gt;""),Amendoim!$E29:INDEX(Amendoim!$E29:$Z29,MIN(Z$6-$E$3,22))),0))-IF($G$2,0,IF((Z$6-$G$3)&lt;1,0,IFERROR(LOOKUP(2,1/(Amendoim!$E29:INDEX(Amendoim!$E29:$Z29,MIN(Z$6-$G$3,22))&lt;&gt;""),Amendoim!$E29:INDEX(Amendoim!$E29:$Z29,MIN(Z$6-$G$3,22))),0)))))</f>
        <v>0</v>
      </c>
      <c r="AA31" s="27" t="n">
        <f aca="false">IF(COUNT(Amendoim!$E29:$Z29)=0,0,MAX(0,IF((AA$6-$E$3)&lt;1,0,IFERROR(LOOKUP(2,1/(Amendoim!$E29:INDEX(Amendoim!$E29:$Z29,MIN(AA$6-$E$3,22))&lt;&gt;""),Amendoim!$E29:INDEX(Amendoim!$E29:$Z29,MIN(AA$6-$E$3,22))),0))-IF($G$2,0,IF((AA$6-$G$3)&lt;1,0,IFERROR(LOOKUP(2,1/(Amendoim!$E29:INDEX(Amendoim!$E29:$Z29,MIN(AA$6-$G$3,22))&lt;&gt;""),Amendoim!$E29:INDEX(Amendoim!$E29:$Z29,MIN(AA$6-$G$3,22))),0)))))</f>
        <v>0</v>
      </c>
      <c r="AB31" s="27" t="n">
        <f aca="false">IF(COUNT(Amendoim!$E29:$Z29)=0,0,MAX(0,IF((AB$6-$E$3)&lt;1,0,IFERROR(LOOKUP(2,1/(Amendoim!$E29:INDEX(Amendoim!$E29:$Z29,MIN(AB$6-$E$3,22))&lt;&gt;""),Amendoim!$E29:INDEX(Amendoim!$E29:$Z29,MIN(AB$6-$E$3,22))),0))-IF($G$2,0,IF((AB$6-$G$3)&lt;1,0,IFERROR(LOOKUP(2,1/(Amendoim!$E29:INDEX(Amendoim!$E29:$Z29,MIN(AB$6-$G$3,22))&lt;&gt;""),Amendoim!$E29:INDEX(Amendoim!$E29:$Z29,MIN(AB$6-$G$3,22))),0)))))</f>
        <v>0</v>
      </c>
      <c r="AC31" s="27" t="n">
        <f aca="false">IF(COUNT(Amendoim!$E29:$Z29)=0,0,MAX(0,IF((AC$6-$E$3)&lt;1,0,IFERROR(LOOKUP(2,1/(Amendoim!$E29:INDEX(Amendoim!$E29:$Z29,MIN(AC$6-$E$3,22))&lt;&gt;""),Amendoim!$E29:INDEX(Amendoim!$E29:$Z29,MIN(AC$6-$E$3,22))),0))-IF($G$2,0,IF((AC$6-$G$3)&lt;1,0,IFERROR(LOOKUP(2,1/(Amendoim!$E29:INDEX(Amendoim!$E29:$Z29,MIN(AC$6-$G$3,22))&lt;&gt;""),Amendoim!$E29:INDEX(Amendoim!$E29:$Z29,MIN(AC$6-$G$3,22))),0)))))</f>
        <v>0</v>
      </c>
      <c r="AD31" s="27" t="n">
        <f aca="false">IF(COUNT(Amendoim!$E29:$Z29)=0,0,MAX(0,IF((AD$6-$E$3)&lt;1,0,IFERROR(LOOKUP(2,1/(Amendoim!$E29:INDEX(Amendoim!$E29:$Z29,MIN(AD$6-$E$3,22))&lt;&gt;""),Amendoim!$E29:INDEX(Amendoim!$E29:$Z29,MIN(AD$6-$E$3,22))),0))-IF($G$2,0,IF((AD$6-$G$3)&lt;1,0,IFERROR(LOOKUP(2,1/(Amendoim!$E29:INDEX(Amendoim!$E29:$Z29,MIN(AD$6-$G$3,22))&lt;&gt;""),Amendoim!$E29:INDEX(Amendoim!$E29:$Z29,MIN(AD$6-$G$3,22))),0)))))</f>
        <v>0</v>
      </c>
      <c r="AE31" s="27" t="n">
        <f aca="false">IF(COUNT(Amendoim!$E29:$Z29)=0,0,MAX(0,IF((AE$6-$E$3)&lt;1,0,IFERROR(LOOKUP(2,1/(Amendoim!$E29:INDEX(Amendoim!$E29:$Z29,MIN(AE$6-$E$3,22))&lt;&gt;""),Amendoim!$E29:INDEX(Amendoim!$E29:$Z29,MIN(AE$6-$E$3,22))),0))-IF($G$2,0,IF((AE$6-$G$3)&lt;1,0,IFERROR(LOOKUP(2,1/(Amendoim!$E29:INDEX(Amendoim!$E29:$Z29,MIN(AE$6-$G$3,22))&lt;&gt;""),Amendoim!$E29:INDEX(Amendoim!$E29:$Z29,MIN(AE$6-$G$3,22))),0)))))</f>
        <v>0</v>
      </c>
      <c r="AF31" s="27" t="n">
        <f aca="false">IF(COUNT(Amendoim!$E29:$Z29)=0,0,MAX(0,IF((AF$6-$E$3)&lt;1,0,IFERROR(LOOKUP(2,1/(Amendoim!$E29:INDEX(Amendoim!$E29:$Z29,MIN(AF$6-$E$3,22))&lt;&gt;""),Amendoim!$E29:INDEX(Amendoim!$E29:$Z29,MIN(AF$6-$E$3,22))),0))-IF($G$2,0,IF((AF$6-$G$3)&lt;1,0,IFERROR(LOOKUP(2,1/(Amendoim!$E29:INDEX(Amendoim!$E29:$Z29,MIN(AF$6-$G$3,22))&lt;&gt;""),Amendoim!$E29:INDEX(Amendoim!$E29:$Z29,MIN(AF$6-$G$3,22))),0)))))</f>
        <v>0</v>
      </c>
      <c r="AG31" s="27" t="n">
        <f aca="false">IF(COUNT(Amendoim!$E29:$Z29)=0,0,MAX(0,IF((AG$6-$E$3)&lt;1,0,IFERROR(LOOKUP(2,1/(Amendoim!$E29:INDEX(Amendoim!$E29:$Z29,MIN(AG$6-$E$3,22))&lt;&gt;""),Amendoim!$E29:INDEX(Amendoim!$E29:$Z29,MIN(AG$6-$E$3,22))),0))-IF($G$2,0,IF((AG$6-$G$3)&lt;1,0,IFERROR(LOOKUP(2,1/(Amendoim!$E29:INDEX(Amendoim!$E29:$Z29,MIN(AG$6-$G$3,22))&lt;&gt;""),Amendoim!$E29:INDEX(Amendoim!$E29:$Z29,MIN(AG$6-$G$3,22))),0)))))</f>
        <v>0</v>
      </c>
      <c r="AH31" s="27" t="n">
        <f aca="false">IF(COUNT(Amendoim!$E29:$Z29)=0,0,MAX(0,IF((AH$6-$E$3)&lt;1,0,IFERROR(LOOKUP(2,1/(Amendoim!$E29:INDEX(Amendoim!$E29:$Z29,MIN(AH$6-$E$3,22))&lt;&gt;""),Amendoim!$E29:INDEX(Amendoim!$E29:$Z29,MIN(AH$6-$E$3,22))),0))-IF($G$2,0,IF((AH$6-$G$3)&lt;1,0,IFERROR(LOOKUP(2,1/(Amendoim!$E29:INDEX(Amendoim!$E29:$Z29,MIN(AH$6-$G$3,22))&lt;&gt;""),Amendoim!$E29:INDEX(Amendoim!$E29:$Z29,MIN(AH$6-$G$3,22))),0)))))</f>
        <v>0</v>
      </c>
      <c r="AI31" s="27" t="n">
        <f aca="false">IF(COUNT(Amendoim!$E29:$Z29)=0,0,MAX(0,IF((AI$6-$E$3)&lt;1,0,IFERROR(LOOKUP(2,1/(Amendoim!$E29:INDEX(Amendoim!$E29:$Z29,MIN(AI$6-$E$3,22))&lt;&gt;""),Amendoim!$E29:INDEX(Amendoim!$E29:$Z29,MIN(AI$6-$E$3,22))),0))-IF($G$2,0,IF((AI$6-$G$3)&lt;1,0,IFERROR(LOOKUP(2,1/(Amendoim!$E29:INDEX(Amendoim!$E29:$Z29,MIN(AI$6-$G$3,22))&lt;&gt;""),Amendoim!$E29:INDEX(Amendoim!$E29:$Z29,MIN(AI$6-$G$3,22))),0)))))</f>
        <v>0</v>
      </c>
      <c r="AJ31" s="27" t="n">
        <f aca="false">IF(COUNT(Amendoim!$E29:$Z29)=0,0,MAX(0,IF((AJ$6-$E$3)&lt;1,0,IFERROR(LOOKUP(2,1/(Amendoim!$E29:INDEX(Amendoim!$E29:$Z29,MIN(AJ$6-$E$3,22))&lt;&gt;""),Amendoim!$E29:INDEX(Amendoim!$E29:$Z29,MIN(AJ$6-$E$3,22))),0))-IF($G$2,0,IF((AJ$6-$G$3)&lt;1,0,IFERROR(LOOKUP(2,1/(Amendoim!$E29:INDEX(Amendoim!$E29:$Z29,MIN(AJ$6-$G$3,22))&lt;&gt;""),Amendoim!$E29:INDEX(Amendoim!$E29:$Z29,MIN(AJ$6-$G$3,22))),0)))))</f>
        <v>0</v>
      </c>
      <c r="AK31" s="27" t="n">
        <f aca="false">IF(COUNT(Amendoim!$E29:$Z29)=0,0,MAX(0,IF((AK$6-$E$3)&lt;1,0,IFERROR(LOOKUP(2,1/(Amendoim!$E29:INDEX(Amendoim!$E29:$Z29,MIN(AK$6-$E$3,22))&lt;&gt;""),Amendoim!$E29:INDEX(Amendoim!$E29:$Z29,MIN(AK$6-$E$3,22))),0))-IF($G$2,0,IF((AK$6-$G$3)&lt;1,0,IFERROR(LOOKUP(2,1/(Amendoim!$E29:INDEX(Amendoim!$E29:$Z29,MIN(AK$6-$G$3,22))&lt;&gt;""),Amendoim!$E29:INDEX(Amendoim!$E29:$Z29,MIN(AK$6-$G$3,22))),0)))))</f>
        <v>0</v>
      </c>
      <c r="AL31" s="27" t="n">
        <f aca="false">IF(COUNT(Amendoim!$E29:$Z29)=0,0,MAX(0,IF((AL$6-$E$3)&lt;1,0,IFERROR(LOOKUP(2,1/(Amendoim!$E29:INDEX(Amendoim!$E29:$Z29,MIN(AL$6-$E$3,22))&lt;&gt;""),Amendoim!$E29:INDEX(Amendoim!$E29:$Z29,MIN(AL$6-$E$3,22))),0))-IF($G$2,0,IF((AL$6-$G$3)&lt;1,0,IFERROR(LOOKUP(2,1/(Amendoim!$E29:INDEX(Amendoim!$E29:$Z29,MIN(AL$6-$G$3,22))&lt;&gt;""),Amendoim!$E29:INDEX(Amendoim!$E29:$Z29,MIN(AL$6-$G$3,22))),0)))))</f>
        <v>0</v>
      </c>
      <c r="AM31" s="27" t="n">
        <f aca="false">IF(COUNT(Amendoim!$E29:$Z29)=0,0,MAX(0,IF((AM$6-$E$3)&lt;1,0,IFERROR(LOOKUP(2,1/(Amendoim!$E29:INDEX(Amendoim!$E29:$Z29,MIN(AM$6-$E$3,22))&lt;&gt;""),Amendoim!$E29:INDEX(Amendoim!$E29:$Z29,MIN(AM$6-$E$3,22))),0))-IF($G$2,0,IF((AM$6-$G$3)&lt;1,0,IFERROR(LOOKUP(2,1/(Amendoim!$E29:INDEX(Amendoim!$E29:$Z29,MIN(AM$6-$G$3,22))&lt;&gt;""),Amendoim!$E29:INDEX(Amendoim!$E29:$Z29,MIN(AM$6-$G$3,22))),0)))))</f>
        <v>0</v>
      </c>
      <c r="AN31" s="27" t="n">
        <f aca="false">IF(COUNT(Amendoim!$E29:$Z29)=0,0,MAX(0,IF((AN$6-$E$3)&lt;1,0,IFERROR(LOOKUP(2,1/(Amendoim!$E29:INDEX(Amendoim!$E29:$Z29,MIN(AN$6-$E$3,22))&lt;&gt;""),Amendoim!$E29:INDEX(Amendoim!$E29:$Z29,MIN(AN$6-$E$3,22))),0))-IF($G$2,0,IF((AN$6-$G$3)&lt;1,0,IFERROR(LOOKUP(2,1/(Amendoim!$E29:INDEX(Amendoim!$E29:$Z29,MIN(AN$6-$G$3,22))&lt;&gt;""),Amendoim!$E29:INDEX(Amendoim!$E29:$Z29,MIN(AN$6-$G$3,22))),0)))))</f>
        <v>0</v>
      </c>
      <c r="AO31" s="27" t="n">
        <f aca="false">IF(COUNT(Amendoim!$E29:$Z29)=0,0,MAX(0,IF((AO$6-$E$3)&lt;1,0,IFERROR(LOOKUP(2,1/(Amendoim!$E29:INDEX(Amendoim!$E29:$Z29,MIN(AO$6-$E$3,22))&lt;&gt;""),Amendoim!$E29:INDEX(Amendoim!$E29:$Z29,MIN(AO$6-$E$3,22))),0))-IF($G$2,0,IF((AO$6-$G$3)&lt;1,0,IFERROR(LOOKUP(2,1/(Amendoim!$E29:INDEX(Amendoim!$E29:$Z29,MIN(AO$6-$G$3,22))&lt;&gt;""),Amendoim!$E29:INDEX(Amendoim!$E29:$Z29,MIN(AO$6-$G$3,22))),0)))))</f>
        <v>0</v>
      </c>
      <c r="AP31" s="27" t="n">
        <f aca="false">IF(COUNT(Amendoim!$E29:$Z29)=0,0,MAX(0,IF((AP$6-$E$3)&lt;1,0,IFERROR(LOOKUP(2,1/(Amendoim!$E29:INDEX(Amendoim!$E29:$Z29,MIN(AP$6-$E$3,22))&lt;&gt;""),Amendoim!$E29:INDEX(Amendoim!$E29:$Z29,MIN(AP$6-$E$3,22))),0))-IF($G$2,0,IF((AP$6-$G$3)&lt;1,0,IFERROR(LOOKUP(2,1/(Amendoim!$E29:INDEX(Amendoim!$E29:$Z29,MIN(AP$6-$G$3,22))&lt;&gt;""),Amendoim!$E29:INDEX(Amendoim!$E29:$Z29,MIN(AP$6-$G$3,22))),0)))))</f>
        <v>0</v>
      </c>
      <c r="AQ31" s="27" t="n">
        <f aca="false">IF(COUNT(Amendoim!$E29:$Z29)=0,0,MAX(0,IF((AQ$6-$E$3)&lt;1,0,IFERROR(LOOKUP(2,1/(Amendoim!$E29:INDEX(Amendoim!$E29:$Z29,MIN(AQ$6-$E$3,22))&lt;&gt;""),Amendoim!$E29:INDEX(Amendoim!$E29:$Z29,MIN(AQ$6-$E$3,22))),0))-IF($G$2,0,IF((AQ$6-$G$3)&lt;1,0,IFERROR(LOOKUP(2,1/(Amendoim!$E29:INDEX(Amendoim!$E29:$Z29,MIN(AQ$6-$G$3,22))&lt;&gt;""),Amendoim!$E29:INDEX(Amendoim!$E29:$Z29,MIN(AQ$6-$G$3,22))),0)))))</f>
        <v>0</v>
      </c>
      <c r="AR31" s="27" t="n">
        <f aca="false">IF(COUNT(Amendoim!$E29:$Z29)=0,0,MAX(0,IF((AR$6-$E$3)&lt;1,0,IFERROR(LOOKUP(2,1/(Amendoim!$E29:INDEX(Amendoim!$E29:$Z29,MIN(AR$6-$E$3,22))&lt;&gt;""),Amendoim!$E29:INDEX(Amendoim!$E29:$Z29,MIN(AR$6-$E$3,22))),0))-IF($G$2,0,IF((AR$6-$G$3)&lt;1,0,IFERROR(LOOKUP(2,1/(Amendoim!$E29:INDEX(Amendoim!$E29:$Z29,MIN(AR$6-$G$3,22))&lt;&gt;""),Amendoim!$E29:INDEX(Amendoim!$E29:$Z29,MIN(AR$6-$G$3,22))),0)))))</f>
        <v>0</v>
      </c>
      <c r="AS31" s="27" t="n">
        <f aca="false">IF(COUNT(Amendoim!$E29:$Z29)=0,0,MAX(0,IF((AS$6-$E$3)&lt;1,0,IFERROR(LOOKUP(2,1/(Amendoim!$E29:INDEX(Amendoim!$E29:$Z29,MIN(AS$6-$E$3,22))&lt;&gt;""),Amendoim!$E29:INDEX(Amendoim!$E29:$Z29,MIN(AS$6-$E$3,22))),0))-IF($G$2,0,IF((AS$6-$G$3)&lt;1,0,IFERROR(LOOKUP(2,1/(Amendoim!$E29:INDEX(Amendoim!$E29:$Z29,MIN(AS$6-$G$3,22))&lt;&gt;""),Amendoim!$E29:INDEX(Amendoim!$E29:$Z29,MIN(AS$6-$G$3,22))),0)))))</f>
        <v>0</v>
      </c>
      <c r="AT31" s="27" t="n">
        <f aca="false">IF(COUNT(Amendoim!$E29:$Z29)=0,0,MAX(0,IF((AT$6-$E$3)&lt;1,0,IFERROR(LOOKUP(2,1/(Amendoim!$E29:INDEX(Amendoim!$E29:$Z29,MIN(AT$6-$E$3,22))&lt;&gt;""),Amendoim!$E29:INDEX(Amendoim!$E29:$Z29,MIN(AT$6-$E$3,22))),0))-IF($G$2,0,IF((AT$6-$G$3)&lt;1,0,IFERROR(LOOKUP(2,1/(Amendoim!$E29:INDEX(Amendoim!$E29:$Z29,MIN(AT$6-$G$3,22))&lt;&gt;""),Amendoim!$E29:INDEX(Amendoim!$E29:$Z29,MIN(AT$6-$G$3,22))),0)))))</f>
        <v>0</v>
      </c>
      <c r="AU31" s="27" t="n">
        <f aca="false">IF(COUNT(Amendoim!$E29:$Z29)=0,0,MAX(0,IF((AU$6-$E$3)&lt;1,0,IFERROR(LOOKUP(2,1/(Amendoim!$E29:INDEX(Amendoim!$E29:$Z29,MIN(AU$6-$E$3,22))&lt;&gt;""),Amendoim!$E29:INDEX(Amendoim!$E29:$Z29,MIN(AU$6-$E$3,22))),0))-IF($G$2,0,IF((AU$6-$G$3)&lt;1,0,IFERROR(LOOKUP(2,1/(Amendoim!$E29:INDEX(Amendoim!$E29:$Z29,MIN(AU$6-$G$3,22))&lt;&gt;""),Amendoim!$E29:INDEX(Amendoim!$E29:$Z29,MIN(AU$6-$G$3,22))),0)))))</f>
        <v>0</v>
      </c>
      <c r="AV31" s="27" t="n">
        <f aca="false">IF(COUNT(Amendoim!$E29:$Z29)=0,0,MAX(0,IF((AV$6-$E$3)&lt;1,0,IFERROR(LOOKUP(2,1/(Amendoim!$E29:INDEX(Amendoim!$E29:$Z29,MIN(AV$6-$E$3,22))&lt;&gt;""),Amendoim!$E29:INDEX(Amendoim!$E29:$Z29,MIN(AV$6-$E$3,22))),0))-IF($G$2,0,IF((AV$6-$G$3)&lt;1,0,IFERROR(LOOKUP(2,1/(Amendoim!$E29:INDEX(Amendoim!$E29:$Z29,MIN(AV$6-$G$3,22))&lt;&gt;""),Amendoim!$E29:INDEX(Amendoim!$E29:$Z29,MIN(AV$6-$G$3,22))),0)))))</f>
        <v>0</v>
      </c>
      <c r="AW31" s="27" t="n">
        <f aca="false">IF(COUNT(Amendoim!$E29:$Z29)=0,0,MAX(0,IF((AW$6-$E$3)&lt;1,0,IFERROR(LOOKUP(2,1/(Amendoim!$E29:INDEX(Amendoim!$E29:$Z29,MIN(AW$6-$E$3,22))&lt;&gt;""),Amendoim!$E29:INDEX(Amendoim!$E29:$Z29,MIN(AW$6-$E$3,22))),0))-IF($G$2,0,IF((AW$6-$G$3)&lt;1,0,IFERROR(LOOKUP(2,1/(Amendoim!$E29:INDEX(Amendoim!$E29:$Z29,MIN(AW$6-$G$3,22))&lt;&gt;""),Amendoim!$E29:INDEX(Amendoim!$E29:$Z29,MIN(AW$6-$G$3,22))),0)))))</f>
        <v>0</v>
      </c>
      <c r="AX31" s="27" t="n">
        <f aca="false">IF(COUNT(Amendoim!$E29:$Z29)=0,0,MAX(0,IF((AX$6-$E$3)&lt;1,0,IFERROR(LOOKUP(2,1/(Amendoim!$E29:INDEX(Amendoim!$E29:$Z29,MIN(AX$6-$E$3,22))&lt;&gt;""),Amendoim!$E29:INDEX(Amendoim!$E29:$Z29,MIN(AX$6-$E$3,22))),0))-IF($G$2,0,IF((AX$6-$G$3)&lt;1,0,IFERROR(LOOKUP(2,1/(Amendoim!$E29:INDEX(Amendoim!$E29:$Z29,MIN(AX$6-$G$3,22))&lt;&gt;""),Amendoim!$E29:INDEX(Amendoim!$E29:$Z29,MIN(AX$6-$G$3,22))),0)))))</f>
        <v>0</v>
      </c>
      <c r="AY31" s="27" t="n">
        <f aca="false">IF(COUNT(Amendoim!$E29:$Z29)=0,0,MAX(0,IF((AY$6-$E$3)&lt;1,0,IFERROR(LOOKUP(2,1/(Amendoim!$E29:INDEX(Amendoim!$E29:$Z29,MIN(AY$6-$E$3,22))&lt;&gt;""),Amendoim!$E29:INDEX(Amendoim!$E29:$Z29,MIN(AY$6-$E$3,22))),0))-IF($G$2,0,IF((AY$6-$G$3)&lt;1,0,IFERROR(LOOKUP(2,1/(Amendoim!$E29:INDEX(Amendoim!$E29:$Z29,MIN(AY$6-$G$3,22))&lt;&gt;""),Amendoim!$E29:INDEX(Amendoim!$E29:$Z29,MIN(AY$6-$G$3,22))),0)))))</f>
        <v>0</v>
      </c>
      <c r="AZ31" s="27" t="n">
        <f aca="false">IF(COUNT(Amendoim!$E29:$Z29)=0,0,MAX(0,IF((AZ$6-$E$3)&lt;1,0,IFERROR(LOOKUP(2,1/(Amendoim!$E29:INDEX(Amendoim!$E29:$Z29,MIN(AZ$6-$E$3,22))&lt;&gt;""),Amendoim!$E29:INDEX(Amendoim!$E29:$Z29,MIN(AZ$6-$E$3,22))),0))-IF($G$2,0,IF((AZ$6-$G$3)&lt;1,0,IFERROR(LOOKUP(2,1/(Amendoim!$E29:INDEX(Amendoim!$E29:$Z29,MIN(AZ$6-$G$3,22))&lt;&gt;""),Amendoim!$E29:INDEX(Amendoim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IF(COUNT(Amendoim!$E30:$Z30)&gt;0,N(Amendoim!$D30),0)</f>
        <v>0</v>
      </c>
      <c r="E32" s="27" t="n">
        <f aca="false">IF(COUNT(Amendoim!$E30:$Z30)=0,0,MAX(0,IF((E$6-$E$3)&lt;1,0,IFERROR(LOOKUP(2,1/(Amendoim!$E30:INDEX(Amendoim!$E30:$Z30,MIN(E$6-$E$3,22))&lt;&gt;""),Amendoim!$E30:INDEX(Amendoim!$E30:$Z30,MIN(E$6-$E$3,22))),0))-IF($G$2,0,IF((E$6-$G$3)&lt;1,0,IFERROR(LOOKUP(2,1/(Amendoim!$E30:INDEX(Amendoim!$E30:$Z30,MIN(E$6-$G$3,22))&lt;&gt;""),Amendoim!$E30:INDEX(Amendoim!$E30:$Z30,MIN(E$6-$G$3,22))),0)))))</f>
        <v>0</v>
      </c>
      <c r="F32" s="27" t="n">
        <f aca="false">IF(COUNT(Amendoim!$E30:$Z30)=0,0,MAX(0,IF((F$6-$E$3)&lt;1,0,IFERROR(LOOKUP(2,1/(Amendoim!$E30:INDEX(Amendoim!$E30:$Z30,MIN(F$6-$E$3,22))&lt;&gt;""),Amendoim!$E30:INDEX(Amendoim!$E30:$Z30,MIN(F$6-$E$3,22))),0))-IF($G$2,0,IF((F$6-$G$3)&lt;1,0,IFERROR(LOOKUP(2,1/(Amendoim!$E30:INDEX(Amendoim!$E30:$Z30,MIN(F$6-$G$3,22))&lt;&gt;""),Amendoim!$E30:INDEX(Amendoim!$E30:$Z30,MIN(F$6-$G$3,22))),0)))))</f>
        <v>0</v>
      </c>
      <c r="G32" s="27" t="n">
        <f aca="false">IF(COUNT(Amendoim!$E30:$Z30)=0,0,MAX(0,IF((G$6-$E$3)&lt;1,0,IFERROR(LOOKUP(2,1/(Amendoim!$E30:INDEX(Amendoim!$E30:$Z30,MIN(G$6-$E$3,22))&lt;&gt;""),Amendoim!$E30:INDEX(Amendoim!$E30:$Z30,MIN(G$6-$E$3,22))),0))-IF($G$2,0,IF((G$6-$G$3)&lt;1,0,IFERROR(LOOKUP(2,1/(Amendoim!$E30:INDEX(Amendoim!$E30:$Z30,MIN(G$6-$G$3,22))&lt;&gt;""),Amendoim!$E30:INDEX(Amendoim!$E30:$Z30,MIN(G$6-$G$3,22))),0)))))</f>
        <v>0</v>
      </c>
      <c r="H32" s="27" t="n">
        <f aca="false">IF(COUNT(Amendoim!$E30:$Z30)=0,0,MAX(0,IF((H$6-$E$3)&lt;1,0,IFERROR(LOOKUP(2,1/(Amendoim!$E30:INDEX(Amendoim!$E30:$Z30,MIN(H$6-$E$3,22))&lt;&gt;""),Amendoim!$E30:INDEX(Amendoim!$E30:$Z30,MIN(H$6-$E$3,22))),0))-IF($G$2,0,IF((H$6-$G$3)&lt;1,0,IFERROR(LOOKUP(2,1/(Amendoim!$E30:INDEX(Amendoim!$E30:$Z30,MIN(H$6-$G$3,22))&lt;&gt;""),Amendoim!$E30:INDEX(Amendoim!$E30:$Z30,MIN(H$6-$G$3,22))),0)))))</f>
        <v>0</v>
      </c>
      <c r="I32" s="27" t="n">
        <f aca="false">IF(COUNT(Amendoim!$E30:$Z30)=0,0,MAX(0,IF((I$6-$E$3)&lt;1,0,IFERROR(LOOKUP(2,1/(Amendoim!$E30:INDEX(Amendoim!$E30:$Z30,MIN(I$6-$E$3,22))&lt;&gt;""),Amendoim!$E30:INDEX(Amendoim!$E30:$Z30,MIN(I$6-$E$3,22))),0))-IF($G$2,0,IF((I$6-$G$3)&lt;1,0,IFERROR(LOOKUP(2,1/(Amendoim!$E30:INDEX(Amendoim!$E30:$Z30,MIN(I$6-$G$3,22))&lt;&gt;""),Amendoim!$E30:INDEX(Amendoim!$E30:$Z30,MIN(I$6-$G$3,22))),0)))))</f>
        <v>0</v>
      </c>
      <c r="J32" s="27" t="n">
        <f aca="false">IF(COUNT(Amendoim!$E30:$Z30)=0,0,MAX(0,IF((J$6-$E$3)&lt;1,0,IFERROR(LOOKUP(2,1/(Amendoim!$E30:INDEX(Amendoim!$E30:$Z30,MIN(J$6-$E$3,22))&lt;&gt;""),Amendoim!$E30:INDEX(Amendoim!$E30:$Z30,MIN(J$6-$E$3,22))),0))-IF($G$2,0,IF((J$6-$G$3)&lt;1,0,IFERROR(LOOKUP(2,1/(Amendoim!$E30:INDEX(Amendoim!$E30:$Z30,MIN(J$6-$G$3,22))&lt;&gt;""),Amendoim!$E30:INDEX(Amendoim!$E30:$Z30,MIN(J$6-$G$3,22))),0)))))</f>
        <v>0</v>
      </c>
      <c r="K32" s="27" t="n">
        <f aca="false">IF(COUNT(Amendoim!$E30:$Z30)=0,0,MAX(0,IF((K$6-$E$3)&lt;1,0,IFERROR(LOOKUP(2,1/(Amendoim!$E30:INDEX(Amendoim!$E30:$Z30,MIN(K$6-$E$3,22))&lt;&gt;""),Amendoim!$E30:INDEX(Amendoim!$E30:$Z30,MIN(K$6-$E$3,22))),0))-IF($G$2,0,IF((K$6-$G$3)&lt;1,0,IFERROR(LOOKUP(2,1/(Amendoim!$E30:INDEX(Amendoim!$E30:$Z30,MIN(K$6-$G$3,22))&lt;&gt;""),Amendoim!$E30:INDEX(Amendoim!$E30:$Z30,MIN(K$6-$G$3,22))),0)))))</f>
        <v>0</v>
      </c>
      <c r="L32" s="27" t="n">
        <f aca="false">IF(COUNT(Amendoim!$E30:$Z30)=0,0,MAX(0,IF((L$6-$E$3)&lt;1,0,IFERROR(LOOKUP(2,1/(Amendoim!$E30:INDEX(Amendoim!$E30:$Z30,MIN(L$6-$E$3,22))&lt;&gt;""),Amendoim!$E30:INDEX(Amendoim!$E30:$Z30,MIN(L$6-$E$3,22))),0))-IF($G$2,0,IF((L$6-$G$3)&lt;1,0,IFERROR(LOOKUP(2,1/(Amendoim!$E30:INDEX(Amendoim!$E30:$Z30,MIN(L$6-$G$3,22))&lt;&gt;""),Amendoim!$E30:INDEX(Amendoim!$E30:$Z30,MIN(L$6-$G$3,22))),0)))))</f>
        <v>0</v>
      </c>
      <c r="M32" s="27" t="n">
        <f aca="false">IF(COUNT(Amendoim!$E30:$Z30)=0,0,MAX(0,IF((M$6-$E$3)&lt;1,0,IFERROR(LOOKUP(2,1/(Amendoim!$E30:INDEX(Amendoim!$E30:$Z30,MIN(M$6-$E$3,22))&lt;&gt;""),Amendoim!$E30:INDEX(Amendoim!$E30:$Z30,MIN(M$6-$E$3,22))),0))-IF($G$2,0,IF((M$6-$G$3)&lt;1,0,IFERROR(LOOKUP(2,1/(Amendoim!$E30:INDEX(Amendoim!$E30:$Z30,MIN(M$6-$G$3,22))&lt;&gt;""),Amendoim!$E30:INDEX(Amendoim!$E30:$Z30,MIN(M$6-$G$3,22))),0)))))</f>
        <v>0</v>
      </c>
      <c r="N32" s="27" t="n">
        <f aca="false">IF(COUNT(Amendoim!$E30:$Z30)=0,0,MAX(0,IF((N$6-$E$3)&lt;1,0,IFERROR(LOOKUP(2,1/(Amendoim!$E30:INDEX(Amendoim!$E30:$Z30,MIN(N$6-$E$3,22))&lt;&gt;""),Amendoim!$E30:INDEX(Amendoim!$E30:$Z30,MIN(N$6-$E$3,22))),0))-IF($G$2,0,IF((N$6-$G$3)&lt;1,0,IFERROR(LOOKUP(2,1/(Amendoim!$E30:INDEX(Amendoim!$E30:$Z30,MIN(N$6-$G$3,22))&lt;&gt;""),Amendoim!$E30:INDEX(Amendoim!$E30:$Z30,MIN(N$6-$G$3,22))),0)))))</f>
        <v>0</v>
      </c>
      <c r="O32" s="27" t="n">
        <f aca="false">IF(COUNT(Amendoim!$E30:$Z30)=0,0,MAX(0,IF((O$6-$E$3)&lt;1,0,IFERROR(LOOKUP(2,1/(Amendoim!$E30:INDEX(Amendoim!$E30:$Z30,MIN(O$6-$E$3,22))&lt;&gt;""),Amendoim!$E30:INDEX(Amendoim!$E30:$Z30,MIN(O$6-$E$3,22))),0))-IF($G$2,0,IF((O$6-$G$3)&lt;1,0,IFERROR(LOOKUP(2,1/(Amendoim!$E30:INDEX(Amendoim!$E30:$Z30,MIN(O$6-$G$3,22))&lt;&gt;""),Amendoim!$E30:INDEX(Amendoim!$E30:$Z30,MIN(O$6-$G$3,22))),0)))))</f>
        <v>0</v>
      </c>
      <c r="P32" s="27" t="n">
        <f aca="false">IF(COUNT(Amendoim!$E30:$Z30)=0,0,MAX(0,IF((P$6-$E$3)&lt;1,0,IFERROR(LOOKUP(2,1/(Amendoim!$E30:INDEX(Amendoim!$E30:$Z30,MIN(P$6-$E$3,22))&lt;&gt;""),Amendoim!$E30:INDEX(Amendoim!$E30:$Z30,MIN(P$6-$E$3,22))),0))-IF($G$2,0,IF((P$6-$G$3)&lt;1,0,IFERROR(LOOKUP(2,1/(Amendoim!$E30:INDEX(Amendoim!$E30:$Z30,MIN(P$6-$G$3,22))&lt;&gt;""),Amendoim!$E30:INDEX(Amendoim!$E30:$Z30,MIN(P$6-$G$3,22))),0)))))</f>
        <v>0</v>
      </c>
      <c r="Q32" s="27" t="n">
        <f aca="false">IF(COUNT(Amendoim!$E30:$Z30)=0,0,MAX(0,IF((Q$6-$E$3)&lt;1,0,IFERROR(LOOKUP(2,1/(Amendoim!$E30:INDEX(Amendoim!$E30:$Z30,MIN(Q$6-$E$3,22))&lt;&gt;""),Amendoim!$E30:INDEX(Amendoim!$E30:$Z30,MIN(Q$6-$E$3,22))),0))-IF($G$2,0,IF((Q$6-$G$3)&lt;1,0,IFERROR(LOOKUP(2,1/(Amendoim!$E30:INDEX(Amendoim!$E30:$Z30,MIN(Q$6-$G$3,22))&lt;&gt;""),Amendoim!$E30:INDEX(Amendoim!$E30:$Z30,MIN(Q$6-$G$3,22))),0)))))</f>
        <v>0</v>
      </c>
      <c r="R32" s="27" t="n">
        <f aca="false">IF(COUNT(Amendoim!$E30:$Z30)=0,0,MAX(0,IF((R$6-$E$3)&lt;1,0,IFERROR(LOOKUP(2,1/(Amendoim!$E30:INDEX(Amendoim!$E30:$Z30,MIN(R$6-$E$3,22))&lt;&gt;""),Amendoim!$E30:INDEX(Amendoim!$E30:$Z30,MIN(R$6-$E$3,22))),0))-IF($G$2,0,IF((R$6-$G$3)&lt;1,0,IFERROR(LOOKUP(2,1/(Amendoim!$E30:INDEX(Amendoim!$E30:$Z30,MIN(R$6-$G$3,22))&lt;&gt;""),Amendoim!$E30:INDEX(Amendoim!$E30:$Z30,MIN(R$6-$G$3,22))),0)))))</f>
        <v>0</v>
      </c>
      <c r="S32" s="27" t="n">
        <f aca="false">IF(COUNT(Amendoim!$E30:$Z30)=0,0,MAX(0,IF((S$6-$E$3)&lt;1,0,IFERROR(LOOKUP(2,1/(Amendoim!$E30:INDEX(Amendoim!$E30:$Z30,MIN(S$6-$E$3,22))&lt;&gt;""),Amendoim!$E30:INDEX(Amendoim!$E30:$Z30,MIN(S$6-$E$3,22))),0))-IF($G$2,0,IF((S$6-$G$3)&lt;1,0,IFERROR(LOOKUP(2,1/(Amendoim!$E30:INDEX(Amendoim!$E30:$Z30,MIN(S$6-$G$3,22))&lt;&gt;""),Amendoim!$E30:INDEX(Amendoim!$E30:$Z30,MIN(S$6-$G$3,22))),0)))))</f>
        <v>0</v>
      </c>
      <c r="T32" s="27" t="n">
        <f aca="false">IF(COUNT(Amendoim!$E30:$Z30)=0,0,MAX(0,IF((T$6-$E$3)&lt;1,0,IFERROR(LOOKUP(2,1/(Amendoim!$E30:INDEX(Amendoim!$E30:$Z30,MIN(T$6-$E$3,22))&lt;&gt;""),Amendoim!$E30:INDEX(Amendoim!$E30:$Z30,MIN(T$6-$E$3,22))),0))-IF($G$2,0,IF((T$6-$G$3)&lt;1,0,IFERROR(LOOKUP(2,1/(Amendoim!$E30:INDEX(Amendoim!$E30:$Z30,MIN(T$6-$G$3,22))&lt;&gt;""),Amendoim!$E30:INDEX(Amendoim!$E30:$Z30,MIN(T$6-$G$3,22))),0)))))</f>
        <v>0</v>
      </c>
      <c r="U32" s="27" t="n">
        <f aca="false">IF(COUNT(Amendoim!$E30:$Z30)=0,0,MAX(0,IF((U$6-$E$3)&lt;1,0,IFERROR(LOOKUP(2,1/(Amendoim!$E30:INDEX(Amendoim!$E30:$Z30,MIN(U$6-$E$3,22))&lt;&gt;""),Amendoim!$E30:INDEX(Amendoim!$E30:$Z30,MIN(U$6-$E$3,22))),0))-IF($G$2,0,IF((U$6-$G$3)&lt;1,0,IFERROR(LOOKUP(2,1/(Amendoim!$E30:INDEX(Amendoim!$E30:$Z30,MIN(U$6-$G$3,22))&lt;&gt;""),Amendoim!$E30:INDEX(Amendoim!$E30:$Z30,MIN(U$6-$G$3,22))),0)))))</f>
        <v>0</v>
      </c>
      <c r="V32" s="27" t="n">
        <f aca="false">IF(COUNT(Amendoim!$E30:$Z30)=0,0,MAX(0,IF((V$6-$E$3)&lt;1,0,IFERROR(LOOKUP(2,1/(Amendoim!$E30:INDEX(Amendoim!$E30:$Z30,MIN(V$6-$E$3,22))&lt;&gt;""),Amendoim!$E30:INDEX(Amendoim!$E30:$Z30,MIN(V$6-$E$3,22))),0))-IF($G$2,0,IF((V$6-$G$3)&lt;1,0,IFERROR(LOOKUP(2,1/(Amendoim!$E30:INDEX(Amendoim!$E30:$Z30,MIN(V$6-$G$3,22))&lt;&gt;""),Amendoim!$E30:INDEX(Amendoim!$E30:$Z30,MIN(V$6-$G$3,22))),0)))))</f>
        <v>0</v>
      </c>
      <c r="W32" s="27" t="n">
        <f aca="false">IF(COUNT(Amendoim!$E30:$Z30)=0,0,MAX(0,IF((W$6-$E$3)&lt;1,0,IFERROR(LOOKUP(2,1/(Amendoim!$E30:INDEX(Amendoim!$E30:$Z30,MIN(W$6-$E$3,22))&lt;&gt;""),Amendoim!$E30:INDEX(Amendoim!$E30:$Z30,MIN(W$6-$E$3,22))),0))-IF($G$2,0,IF((W$6-$G$3)&lt;1,0,IFERROR(LOOKUP(2,1/(Amendoim!$E30:INDEX(Amendoim!$E30:$Z30,MIN(W$6-$G$3,22))&lt;&gt;""),Amendoim!$E30:INDEX(Amendoim!$E30:$Z30,MIN(W$6-$G$3,22))),0)))))</f>
        <v>0</v>
      </c>
      <c r="X32" s="27" t="n">
        <f aca="false">IF(COUNT(Amendoim!$E30:$Z30)=0,0,MAX(0,IF((X$6-$E$3)&lt;1,0,IFERROR(LOOKUP(2,1/(Amendoim!$E30:INDEX(Amendoim!$E30:$Z30,MIN(X$6-$E$3,22))&lt;&gt;""),Amendoim!$E30:INDEX(Amendoim!$E30:$Z30,MIN(X$6-$E$3,22))),0))-IF($G$2,0,IF((X$6-$G$3)&lt;1,0,IFERROR(LOOKUP(2,1/(Amendoim!$E30:INDEX(Amendoim!$E30:$Z30,MIN(X$6-$G$3,22))&lt;&gt;""),Amendoim!$E30:INDEX(Amendoim!$E30:$Z30,MIN(X$6-$G$3,22))),0)))))</f>
        <v>0</v>
      </c>
      <c r="Y32" s="27" t="n">
        <f aca="false">IF(COUNT(Amendoim!$E30:$Z30)=0,0,MAX(0,IF((Y$6-$E$3)&lt;1,0,IFERROR(LOOKUP(2,1/(Amendoim!$E30:INDEX(Amendoim!$E30:$Z30,MIN(Y$6-$E$3,22))&lt;&gt;""),Amendoim!$E30:INDEX(Amendoim!$E30:$Z30,MIN(Y$6-$E$3,22))),0))-IF($G$2,0,IF((Y$6-$G$3)&lt;1,0,IFERROR(LOOKUP(2,1/(Amendoim!$E30:INDEX(Amendoim!$E30:$Z30,MIN(Y$6-$G$3,22))&lt;&gt;""),Amendoim!$E30:INDEX(Amendoim!$E30:$Z30,MIN(Y$6-$G$3,22))),0)))))</f>
        <v>0</v>
      </c>
      <c r="Z32" s="27" t="n">
        <f aca="false">IF(COUNT(Amendoim!$E30:$Z30)=0,0,MAX(0,IF((Z$6-$E$3)&lt;1,0,IFERROR(LOOKUP(2,1/(Amendoim!$E30:INDEX(Amendoim!$E30:$Z30,MIN(Z$6-$E$3,22))&lt;&gt;""),Amendoim!$E30:INDEX(Amendoim!$E30:$Z30,MIN(Z$6-$E$3,22))),0))-IF($G$2,0,IF((Z$6-$G$3)&lt;1,0,IFERROR(LOOKUP(2,1/(Amendoim!$E30:INDEX(Amendoim!$E30:$Z30,MIN(Z$6-$G$3,22))&lt;&gt;""),Amendoim!$E30:INDEX(Amendoim!$E30:$Z30,MIN(Z$6-$G$3,22))),0)))))</f>
        <v>0</v>
      </c>
      <c r="AA32" s="27" t="n">
        <f aca="false">IF(COUNT(Amendoim!$E30:$Z30)=0,0,MAX(0,IF((AA$6-$E$3)&lt;1,0,IFERROR(LOOKUP(2,1/(Amendoim!$E30:INDEX(Amendoim!$E30:$Z30,MIN(AA$6-$E$3,22))&lt;&gt;""),Amendoim!$E30:INDEX(Amendoim!$E30:$Z30,MIN(AA$6-$E$3,22))),0))-IF($G$2,0,IF((AA$6-$G$3)&lt;1,0,IFERROR(LOOKUP(2,1/(Amendoim!$E30:INDEX(Amendoim!$E30:$Z30,MIN(AA$6-$G$3,22))&lt;&gt;""),Amendoim!$E30:INDEX(Amendoim!$E30:$Z30,MIN(AA$6-$G$3,22))),0)))))</f>
        <v>0</v>
      </c>
      <c r="AB32" s="27" t="n">
        <f aca="false">IF(COUNT(Amendoim!$E30:$Z30)=0,0,MAX(0,IF((AB$6-$E$3)&lt;1,0,IFERROR(LOOKUP(2,1/(Amendoim!$E30:INDEX(Amendoim!$E30:$Z30,MIN(AB$6-$E$3,22))&lt;&gt;""),Amendoim!$E30:INDEX(Amendoim!$E30:$Z30,MIN(AB$6-$E$3,22))),0))-IF($G$2,0,IF((AB$6-$G$3)&lt;1,0,IFERROR(LOOKUP(2,1/(Amendoim!$E30:INDEX(Amendoim!$E30:$Z30,MIN(AB$6-$G$3,22))&lt;&gt;""),Amendoim!$E30:INDEX(Amendoim!$E30:$Z30,MIN(AB$6-$G$3,22))),0)))))</f>
        <v>0</v>
      </c>
      <c r="AC32" s="27" t="n">
        <f aca="false">IF(COUNT(Amendoim!$E30:$Z30)=0,0,MAX(0,IF((AC$6-$E$3)&lt;1,0,IFERROR(LOOKUP(2,1/(Amendoim!$E30:INDEX(Amendoim!$E30:$Z30,MIN(AC$6-$E$3,22))&lt;&gt;""),Amendoim!$E30:INDEX(Amendoim!$E30:$Z30,MIN(AC$6-$E$3,22))),0))-IF($G$2,0,IF((AC$6-$G$3)&lt;1,0,IFERROR(LOOKUP(2,1/(Amendoim!$E30:INDEX(Amendoim!$E30:$Z30,MIN(AC$6-$G$3,22))&lt;&gt;""),Amendoim!$E30:INDEX(Amendoim!$E30:$Z30,MIN(AC$6-$G$3,22))),0)))))</f>
        <v>0</v>
      </c>
      <c r="AD32" s="27" t="n">
        <f aca="false">IF(COUNT(Amendoim!$E30:$Z30)=0,0,MAX(0,IF((AD$6-$E$3)&lt;1,0,IFERROR(LOOKUP(2,1/(Amendoim!$E30:INDEX(Amendoim!$E30:$Z30,MIN(AD$6-$E$3,22))&lt;&gt;""),Amendoim!$E30:INDEX(Amendoim!$E30:$Z30,MIN(AD$6-$E$3,22))),0))-IF($G$2,0,IF((AD$6-$G$3)&lt;1,0,IFERROR(LOOKUP(2,1/(Amendoim!$E30:INDEX(Amendoim!$E30:$Z30,MIN(AD$6-$G$3,22))&lt;&gt;""),Amendoim!$E30:INDEX(Amendoim!$E30:$Z30,MIN(AD$6-$G$3,22))),0)))))</f>
        <v>0</v>
      </c>
      <c r="AE32" s="27" t="n">
        <f aca="false">IF(COUNT(Amendoim!$E30:$Z30)=0,0,MAX(0,IF((AE$6-$E$3)&lt;1,0,IFERROR(LOOKUP(2,1/(Amendoim!$E30:INDEX(Amendoim!$E30:$Z30,MIN(AE$6-$E$3,22))&lt;&gt;""),Amendoim!$E30:INDEX(Amendoim!$E30:$Z30,MIN(AE$6-$E$3,22))),0))-IF($G$2,0,IF((AE$6-$G$3)&lt;1,0,IFERROR(LOOKUP(2,1/(Amendoim!$E30:INDEX(Amendoim!$E30:$Z30,MIN(AE$6-$G$3,22))&lt;&gt;""),Amendoim!$E30:INDEX(Amendoim!$E30:$Z30,MIN(AE$6-$G$3,22))),0)))))</f>
        <v>0</v>
      </c>
      <c r="AF32" s="27" t="n">
        <f aca="false">IF(COUNT(Amendoim!$E30:$Z30)=0,0,MAX(0,IF((AF$6-$E$3)&lt;1,0,IFERROR(LOOKUP(2,1/(Amendoim!$E30:INDEX(Amendoim!$E30:$Z30,MIN(AF$6-$E$3,22))&lt;&gt;""),Amendoim!$E30:INDEX(Amendoim!$E30:$Z30,MIN(AF$6-$E$3,22))),0))-IF($G$2,0,IF((AF$6-$G$3)&lt;1,0,IFERROR(LOOKUP(2,1/(Amendoim!$E30:INDEX(Amendoim!$E30:$Z30,MIN(AF$6-$G$3,22))&lt;&gt;""),Amendoim!$E30:INDEX(Amendoim!$E30:$Z30,MIN(AF$6-$G$3,22))),0)))))</f>
        <v>0</v>
      </c>
      <c r="AG32" s="27" t="n">
        <f aca="false">IF(COUNT(Amendoim!$E30:$Z30)=0,0,MAX(0,IF((AG$6-$E$3)&lt;1,0,IFERROR(LOOKUP(2,1/(Amendoim!$E30:INDEX(Amendoim!$E30:$Z30,MIN(AG$6-$E$3,22))&lt;&gt;""),Amendoim!$E30:INDEX(Amendoim!$E30:$Z30,MIN(AG$6-$E$3,22))),0))-IF($G$2,0,IF((AG$6-$G$3)&lt;1,0,IFERROR(LOOKUP(2,1/(Amendoim!$E30:INDEX(Amendoim!$E30:$Z30,MIN(AG$6-$G$3,22))&lt;&gt;""),Amendoim!$E30:INDEX(Amendoim!$E30:$Z30,MIN(AG$6-$G$3,22))),0)))))</f>
        <v>0</v>
      </c>
      <c r="AH32" s="27" t="n">
        <f aca="false">IF(COUNT(Amendoim!$E30:$Z30)=0,0,MAX(0,IF((AH$6-$E$3)&lt;1,0,IFERROR(LOOKUP(2,1/(Amendoim!$E30:INDEX(Amendoim!$E30:$Z30,MIN(AH$6-$E$3,22))&lt;&gt;""),Amendoim!$E30:INDEX(Amendoim!$E30:$Z30,MIN(AH$6-$E$3,22))),0))-IF($G$2,0,IF((AH$6-$G$3)&lt;1,0,IFERROR(LOOKUP(2,1/(Amendoim!$E30:INDEX(Amendoim!$E30:$Z30,MIN(AH$6-$G$3,22))&lt;&gt;""),Amendoim!$E30:INDEX(Amendoim!$E30:$Z30,MIN(AH$6-$G$3,22))),0)))))</f>
        <v>0</v>
      </c>
      <c r="AI32" s="27" t="n">
        <f aca="false">IF(COUNT(Amendoim!$E30:$Z30)=0,0,MAX(0,IF((AI$6-$E$3)&lt;1,0,IFERROR(LOOKUP(2,1/(Amendoim!$E30:INDEX(Amendoim!$E30:$Z30,MIN(AI$6-$E$3,22))&lt;&gt;""),Amendoim!$E30:INDEX(Amendoim!$E30:$Z30,MIN(AI$6-$E$3,22))),0))-IF($G$2,0,IF((AI$6-$G$3)&lt;1,0,IFERROR(LOOKUP(2,1/(Amendoim!$E30:INDEX(Amendoim!$E30:$Z30,MIN(AI$6-$G$3,22))&lt;&gt;""),Amendoim!$E30:INDEX(Amendoim!$E30:$Z30,MIN(AI$6-$G$3,22))),0)))))</f>
        <v>0</v>
      </c>
      <c r="AJ32" s="27" t="n">
        <f aca="false">IF(COUNT(Amendoim!$E30:$Z30)=0,0,MAX(0,IF((AJ$6-$E$3)&lt;1,0,IFERROR(LOOKUP(2,1/(Amendoim!$E30:INDEX(Amendoim!$E30:$Z30,MIN(AJ$6-$E$3,22))&lt;&gt;""),Amendoim!$E30:INDEX(Amendoim!$E30:$Z30,MIN(AJ$6-$E$3,22))),0))-IF($G$2,0,IF((AJ$6-$G$3)&lt;1,0,IFERROR(LOOKUP(2,1/(Amendoim!$E30:INDEX(Amendoim!$E30:$Z30,MIN(AJ$6-$G$3,22))&lt;&gt;""),Amendoim!$E30:INDEX(Amendoim!$E30:$Z30,MIN(AJ$6-$G$3,22))),0)))))</f>
        <v>0</v>
      </c>
      <c r="AK32" s="27" t="n">
        <f aca="false">IF(COUNT(Amendoim!$E30:$Z30)=0,0,MAX(0,IF((AK$6-$E$3)&lt;1,0,IFERROR(LOOKUP(2,1/(Amendoim!$E30:INDEX(Amendoim!$E30:$Z30,MIN(AK$6-$E$3,22))&lt;&gt;""),Amendoim!$E30:INDEX(Amendoim!$E30:$Z30,MIN(AK$6-$E$3,22))),0))-IF($G$2,0,IF((AK$6-$G$3)&lt;1,0,IFERROR(LOOKUP(2,1/(Amendoim!$E30:INDEX(Amendoim!$E30:$Z30,MIN(AK$6-$G$3,22))&lt;&gt;""),Amendoim!$E30:INDEX(Amendoim!$E30:$Z30,MIN(AK$6-$G$3,22))),0)))))</f>
        <v>0</v>
      </c>
      <c r="AL32" s="27" t="n">
        <f aca="false">IF(COUNT(Amendoim!$E30:$Z30)=0,0,MAX(0,IF((AL$6-$E$3)&lt;1,0,IFERROR(LOOKUP(2,1/(Amendoim!$E30:INDEX(Amendoim!$E30:$Z30,MIN(AL$6-$E$3,22))&lt;&gt;""),Amendoim!$E30:INDEX(Amendoim!$E30:$Z30,MIN(AL$6-$E$3,22))),0))-IF($G$2,0,IF((AL$6-$G$3)&lt;1,0,IFERROR(LOOKUP(2,1/(Amendoim!$E30:INDEX(Amendoim!$E30:$Z30,MIN(AL$6-$G$3,22))&lt;&gt;""),Amendoim!$E30:INDEX(Amendoim!$E30:$Z30,MIN(AL$6-$G$3,22))),0)))))</f>
        <v>0</v>
      </c>
      <c r="AM32" s="27" t="n">
        <f aca="false">IF(COUNT(Amendoim!$E30:$Z30)=0,0,MAX(0,IF((AM$6-$E$3)&lt;1,0,IFERROR(LOOKUP(2,1/(Amendoim!$E30:INDEX(Amendoim!$E30:$Z30,MIN(AM$6-$E$3,22))&lt;&gt;""),Amendoim!$E30:INDEX(Amendoim!$E30:$Z30,MIN(AM$6-$E$3,22))),0))-IF($G$2,0,IF((AM$6-$G$3)&lt;1,0,IFERROR(LOOKUP(2,1/(Amendoim!$E30:INDEX(Amendoim!$E30:$Z30,MIN(AM$6-$G$3,22))&lt;&gt;""),Amendoim!$E30:INDEX(Amendoim!$E30:$Z30,MIN(AM$6-$G$3,22))),0)))))</f>
        <v>0</v>
      </c>
      <c r="AN32" s="27" t="n">
        <f aca="false">IF(COUNT(Amendoim!$E30:$Z30)=0,0,MAX(0,IF((AN$6-$E$3)&lt;1,0,IFERROR(LOOKUP(2,1/(Amendoim!$E30:INDEX(Amendoim!$E30:$Z30,MIN(AN$6-$E$3,22))&lt;&gt;""),Amendoim!$E30:INDEX(Amendoim!$E30:$Z30,MIN(AN$6-$E$3,22))),0))-IF($G$2,0,IF((AN$6-$G$3)&lt;1,0,IFERROR(LOOKUP(2,1/(Amendoim!$E30:INDEX(Amendoim!$E30:$Z30,MIN(AN$6-$G$3,22))&lt;&gt;""),Amendoim!$E30:INDEX(Amendoim!$E30:$Z30,MIN(AN$6-$G$3,22))),0)))))</f>
        <v>0</v>
      </c>
      <c r="AO32" s="27" t="n">
        <f aca="false">IF(COUNT(Amendoim!$E30:$Z30)=0,0,MAX(0,IF((AO$6-$E$3)&lt;1,0,IFERROR(LOOKUP(2,1/(Amendoim!$E30:INDEX(Amendoim!$E30:$Z30,MIN(AO$6-$E$3,22))&lt;&gt;""),Amendoim!$E30:INDEX(Amendoim!$E30:$Z30,MIN(AO$6-$E$3,22))),0))-IF($G$2,0,IF((AO$6-$G$3)&lt;1,0,IFERROR(LOOKUP(2,1/(Amendoim!$E30:INDEX(Amendoim!$E30:$Z30,MIN(AO$6-$G$3,22))&lt;&gt;""),Amendoim!$E30:INDEX(Amendoim!$E30:$Z30,MIN(AO$6-$G$3,22))),0)))))</f>
        <v>0</v>
      </c>
      <c r="AP32" s="27" t="n">
        <f aca="false">IF(COUNT(Amendoim!$E30:$Z30)=0,0,MAX(0,IF((AP$6-$E$3)&lt;1,0,IFERROR(LOOKUP(2,1/(Amendoim!$E30:INDEX(Amendoim!$E30:$Z30,MIN(AP$6-$E$3,22))&lt;&gt;""),Amendoim!$E30:INDEX(Amendoim!$E30:$Z30,MIN(AP$6-$E$3,22))),0))-IF($G$2,0,IF((AP$6-$G$3)&lt;1,0,IFERROR(LOOKUP(2,1/(Amendoim!$E30:INDEX(Amendoim!$E30:$Z30,MIN(AP$6-$G$3,22))&lt;&gt;""),Amendoim!$E30:INDEX(Amendoim!$E30:$Z30,MIN(AP$6-$G$3,22))),0)))))</f>
        <v>0</v>
      </c>
      <c r="AQ32" s="27" t="n">
        <f aca="false">IF(COUNT(Amendoim!$E30:$Z30)=0,0,MAX(0,IF((AQ$6-$E$3)&lt;1,0,IFERROR(LOOKUP(2,1/(Amendoim!$E30:INDEX(Amendoim!$E30:$Z30,MIN(AQ$6-$E$3,22))&lt;&gt;""),Amendoim!$E30:INDEX(Amendoim!$E30:$Z30,MIN(AQ$6-$E$3,22))),0))-IF($G$2,0,IF((AQ$6-$G$3)&lt;1,0,IFERROR(LOOKUP(2,1/(Amendoim!$E30:INDEX(Amendoim!$E30:$Z30,MIN(AQ$6-$G$3,22))&lt;&gt;""),Amendoim!$E30:INDEX(Amendoim!$E30:$Z30,MIN(AQ$6-$G$3,22))),0)))))</f>
        <v>0</v>
      </c>
      <c r="AR32" s="27" t="n">
        <f aca="false">IF(COUNT(Amendoim!$E30:$Z30)=0,0,MAX(0,IF((AR$6-$E$3)&lt;1,0,IFERROR(LOOKUP(2,1/(Amendoim!$E30:INDEX(Amendoim!$E30:$Z30,MIN(AR$6-$E$3,22))&lt;&gt;""),Amendoim!$E30:INDEX(Amendoim!$E30:$Z30,MIN(AR$6-$E$3,22))),0))-IF($G$2,0,IF((AR$6-$G$3)&lt;1,0,IFERROR(LOOKUP(2,1/(Amendoim!$E30:INDEX(Amendoim!$E30:$Z30,MIN(AR$6-$G$3,22))&lt;&gt;""),Amendoim!$E30:INDEX(Amendoim!$E30:$Z30,MIN(AR$6-$G$3,22))),0)))))</f>
        <v>0</v>
      </c>
      <c r="AS32" s="27" t="n">
        <f aca="false">IF(COUNT(Amendoim!$E30:$Z30)=0,0,MAX(0,IF((AS$6-$E$3)&lt;1,0,IFERROR(LOOKUP(2,1/(Amendoim!$E30:INDEX(Amendoim!$E30:$Z30,MIN(AS$6-$E$3,22))&lt;&gt;""),Amendoim!$E30:INDEX(Amendoim!$E30:$Z30,MIN(AS$6-$E$3,22))),0))-IF($G$2,0,IF((AS$6-$G$3)&lt;1,0,IFERROR(LOOKUP(2,1/(Amendoim!$E30:INDEX(Amendoim!$E30:$Z30,MIN(AS$6-$G$3,22))&lt;&gt;""),Amendoim!$E30:INDEX(Amendoim!$E30:$Z30,MIN(AS$6-$G$3,22))),0)))))</f>
        <v>0</v>
      </c>
      <c r="AT32" s="27" t="n">
        <f aca="false">IF(COUNT(Amendoim!$E30:$Z30)=0,0,MAX(0,IF((AT$6-$E$3)&lt;1,0,IFERROR(LOOKUP(2,1/(Amendoim!$E30:INDEX(Amendoim!$E30:$Z30,MIN(AT$6-$E$3,22))&lt;&gt;""),Amendoim!$E30:INDEX(Amendoim!$E30:$Z30,MIN(AT$6-$E$3,22))),0))-IF($G$2,0,IF((AT$6-$G$3)&lt;1,0,IFERROR(LOOKUP(2,1/(Amendoim!$E30:INDEX(Amendoim!$E30:$Z30,MIN(AT$6-$G$3,22))&lt;&gt;""),Amendoim!$E30:INDEX(Amendoim!$E30:$Z30,MIN(AT$6-$G$3,22))),0)))))</f>
        <v>0</v>
      </c>
      <c r="AU32" s="27" t="n">
        <f aca="false">IF(COUNT(Amendoim!$E30:$Z30)=0,0,MAX(0,IF((AU$6-$E$3)&lt;1,0,IFERROR(LOOKUP(2,1/(Amendoim!$E30:INDEX(Amendoim!$E30:$Z30,MIN(AU$6-$E$3,22))&lt;&gt;""),Amendoim!$E30:INDEX(Amendoim!$E30:$Z30,MIN(AU$6-$E$3,22))),0))-IF($G$2,0,IF((AU$6-$G$3)&lt;1,0,IFERROR(LOOKUP(2,1/(Amendoim!$E30:INDEX(Amendoim!$E30:$Z30,MIN(AU$6-$G$3,22))&lt;&gt;""),Amendoim!$E30:INDEX(Amendoim!$E30:$Z30,MIN(AU$6-$G$3,22))),0)))))</f>
        <v>0</v>
      </c>
      <c r="AV32" s="27" t="n">
        <f aca="false">IF(COUNT(Amendoim!$E30:$Z30)=0,0,MAX(0,IF((AV$6-$E$3)&lt;1,0,IFERROR(LOOKUP(2,1/(Amendoim!$E30:INDEX(Amendoim!$E30:$Z30,MIN(AV$6-$E$3,22))&lt;&gt;""),Amendoim!$E30:INDEX(Amendoim!$E30:$Z30,MIN(AV$6-$E$3,22))),0))-IF($G$2,0,IF((AV$6-$G$3)&lt;1,0,IFERROR(LOOKUP(2,1/(Amendoim!$E30:INDEX(Amendoim!$E30:$Z30,MIN(AV$6-$G$3,22))&lt;&gt;""),Amendoim!$E30:INDEX(Amendoim!$E30:$Z30,MIN(AV$6-$G$3,22))),0)))))</f>
        <v>0</v>
      </c>
      <c r="AW32" s="27" t="n">
        <f aca="false">IF(COUNT(Amendoim!$E30:$Z30)=0,0,MAX(0,IF((AW$6-$E$3)&lt;1,0,IFERROR(LOOKUP(2,1/(Amendoim!$E30:INDEX(Amendoim!$E30:$Z30,MIN(AW$6-$E$3,22))&lt;&gt;""),Amendoim!$E30:INDEX(Amendoim!$E30:$Z30,MIN(AW$6-$E$3,22))),0))-IF($G$2,0,IF((AW$6-$G$3)&lt;1,0,IFERROR(LOOKUP(2,1/(Amendoim!$E30:INDEX(Amendoim!$E30:$Z30,MIN(AW$6-$G$3,22))&lt;&gt;""),Amendoim!$E30:INDEX(Amendoim!$E30:$Z30,MIN(AW$6-$G$3,22))),0)))))</f>
        <v>0</v>
      </c>
      <c r="AX32" s="27" t="n">
        <f aca="false">IF(COUNT(Amendoim!$E30:$Z30)=0,0,MAX(0,IF((AX$6-$E$3)&lt;1,0,IFERROR(LOOKUP(2,1/(Amendoim!$E30:INDEX(Amendoim!$E30:$Z30,MIN(AX$6-$E$3,22))&lt;&gt;""),Amendoim!$E30:INDEX(Amendoim!$E30:$Z30,MIN(AX$6-$E$3,22))),0))-IF($G$2,0,IF((AX$6-$G$3)&lt;1,0,IFERROR(LOOKUP(2,1/(Amendoim!$E30:INDEX(Amendoim!$E30:$Z30,MIN(AX$6-$G$3,22))&lt;&gt;""),Amendoim!$E30:INDEX(Amendoim!$E30:$Z30,MIN(AX$6-$G$3,22))),0)))))</f>
        <v>0</v>
      </c>
      <c r="AY32" s="27" t="n">
        <f aca="false">IF(COUNT(Amendoim!$E30:$Z30)=0,0,MAX(0,IF((AY$6-$E$3)&lt;1,0,IFERROR(LOOKUP(2,1/(Amendoim!$E30:INDEX(Amendoim!$E30:$Z30,MIN(AY$6-$E$3,22))&lt;&gt;""),Amendoim!$E30:INDEX(Amendoim!$E30:$Z30,MIN(AY$6-$E$3,22))),0))-IF($G$2,0,IF((AY$6-$G$3)&lt;1,0,IFERROR(LOOKUP(2,1/(Amendoim!$E30:INDEX(Amendoim!$E30:$Z30,MIN(AY$6-$G$3,22))&lt;&gt;""),Amendoim!$E30:INDEX(Amendoim!$E30:$Z30,MIN(AY$6-$G$3,22))),0)))))</f>
        <v>0</v>
      </c>
      <c r="AZ32" s="27" t="n">
        <f aca="false">IF(COUNT(Amendoim!$E30:$Z30)=0,0,MAX(0,IF((AZ$6-$E$3)&lt;1,0,IFERROR(LOOKUP(2,1/(Amendoim!$E30:INDEX(Amendoim!$E30:$Z30,MIN(AZ$6-$E$3,22))&lt;&gt;""),Amendoim!$E30:INDEX(Amendoim!$E30:$Z30,MIN(AZ$6-$E$3,22))),0))-IF($G$2,0,IF((AZ$6-$G$3)&lt;1,0,IFERROR(LOOKUP(2,1/(Amendoim!$E30:INDEX(Amendoim!$E30:$Z30,MIN(AZ$6-$G$3,22))&lt;&gt;""),Amendoim!$E30:INDEX(Amendoim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IF(COUNT(Amendoim!$E31:$Z31)&gt;0,N(Amendoim!$D31),0)</f>
        <v>0</v>
      </c>
      <c r="E33" s="27" t="n">
        <f aca="false">IF(COUNT(Amendoim!$E31:$Z31)=0,0,MAX(0,IF((E$6-$E$3)&lt;1,0,IFERROR(LOOKUP(2,1/(Amendoim!$E31:INDEX(Amendoim!$E31:$Z31,MIN(E$6-$E$3,22))&lt;&gt;""),Amendoim!$E31:INDEX(Amendoim!$E31:$Z31,MIN(E$6-$E$3,22))),0))-IF($G$2,0,IF((E$6-$G$3)&lt;1,0,IFERROR(LOOKUP(2,1/(Amendoim!$E31:INDEX(Amendoim!$E31:$Z31,MIN(E$6-$G$3,22))&lt;&gt;""),Amendoim!$E31:INDEX(Amendoim!$E31:$Z31,MIN(E$6-$G$3,22))),0)))))</f>
        <v>0</v>
      </c>
      <c r="F33" s="27" t="n">
        <f aca="false">IF(COUNT(Amendoim!$E31:$Z31)=0,0,MAX(0,IF((F$6-$E$3)&lt;1,0,IFERROR(LOOKUP(2,1/(Amendoim!$E31:INDEX(Amendoim!$E31:$Z31,MIN(F$6-$E$3,22))&lt;&gt;""),Amendoim!$E31:INDEX(Amendoim!$E31:$Z31,MIN(F$6-$E$3,22))),0))-IF($G$2,0,IF((F$6-$G$3)&lt;1,0,IFERROR(LOOKUP(2,1/(Amendoim!$E31:INDEX(Amendoim!$E31:$Z31,MIN(F$6-$G$3,22))&lt;&gt;""),Amendoim!$E31:INDEX(Amendoim!$E31:$Z31,MIN(F$6-$G$3,22))),0)))))</f>
        <v>0</v>
      </c>
      <c r="G33" s="27" t="n">
        <f aca="false">IF(COUNT(Amendoim!$E31:$Z31)=0,0,MAX(0,IF((G$6-$E$3)&lt;1,0,IFERROR(LOOKUP(2,1/(Amendoim!$E31:INDEX(Amendoim!$E31:$Z31,MIN(G$6-$E$3,22))&lt;&gt;""),Amendoim!$E31:INDEX(Amendoim!$E31:$Z31,MIN(G$6-$E$3,22))),0))-IF($G$2,0,IF((G$6-$G$3)&lt;1,0,IFERROR(LOOKUP(2,1/(Amendoim!$E31:INDEX(Amendoim!$E31:$Z31,MIN(G$6-$G$3,22))&lt;&gt;""),Amendoim!$E31:INDEX(Amendoim!$E31:$Z31,MIN(G$6-$G$3,22))),0)))))</f>
        <v>0</v>
      </c>
      <c r="H33" s="27" t="n">
        <f aca="false">IF(COUNT(Amendoim!$E31:$Z31)=0,0,MAX(0,IF((H$6-$E$3)&lt;1,0,IFERROR(LOOKUP(2,1/(Amendoim!$E31:INDEX(Amendoim!$E31:$Z31,MIN(H$6-$E$3,22))&lt;&gt;""),Amendoim!$E31:INDEX(Amendoim!$E31:$Z31,MIN(H$6-$E$3,22))),0))-IF($G$2,0,IF((H$6-$G$3)&lt;1,0,IFERROR(LOOKUP(2,1/(Amendoim!$E31:INDEX(Amendoim!$E31:$Z31,MIN(H$6-$G$3,22))&lt;&gt;""),Amendoim!$E31:INDEX(Amendoim!$E31:$Z31,MIN(H$6-$G$3,22))),0)))))</f>
        <v>0</v>
      </c>
      <c r="I33" s="27" t="n">
        <f aca="false">IF(COUNT(Amendoim!$E31:$Z31)=0,0,MAX(0,IF((I$6-$E$3)&lt;1,0,IFERROR(LOOKUP(2,1/(Amendoim!$E31:INDEX(Amendoim!$E31:$Z31,MIN(I$6-$E$3,22))&lt;&gt;""),Amendoim!$E31:INDEX(Amendoim!$E31:$Z31,MIN(I$6-$E$3,22))),0))-IF($G$2,0,IF((I$6-$G$3)&lt;1,0,IFERROR(LOOKUP(2,1/(Amendoim!$E31:INDEX(Amendoim!$E31:$Z31,MIN(I$6-$G$3,22))&lt;&gt;""),Amendoim!$E31:INDEX(Amendoim!$E31:$Z31,MIN(I$6-$G$3,22))),0)))))</f>
        <v>0</v>
      </c>
      <c r="J33" s="27" t="n">
        <f aca="false">IF(COUNT(Amendoim!$E31:$Z31)=0,0,MAX(0,IF((J$6-$E$3)&lt;1,0,IFERROR(LOOKUP(2,1/(Amendoim!$E31:INDEX(Amendoim!$E31:$Z31,MIN(J$6-$E$3,22))&lt;&gt;""),Amendoim!$E31:INDEX(Amendoim!$E31:$Z31,MIN(J$6-$E$3,22))),0))-IF($G$2,0,IF((J$6-$G$3)&lt;1,0,IFERROR(LOOKUP(2,1/(Amendoim!$E31:INDEX(Amendoim!$E31:$Z31,MIN(J$6-$G$3,22))&lt;&gt;""),Amendoim!$E31:INDEX(Amendoim!$E31:$Z31,MIN(J$6-$G$3,22))),0)))))</f>
        <v>0</v>
      </c>
      <c r="K33" s="27" t="n">
        <f aca="false">IF(COUNT(Amendoim!$E31:$Z31)=0,0,MAX(0,IF((K$6-$E$3)&lt;1,0,IFERROR(LOOKUP(2,1/(Amendoim!$E31:INDEX(Amendoim!$E31:$Z31,MIN(K$6-$E$3,22))&lt;&gt;""),Amendoim!$E31:INDEX(Amendoim!$E31:$Z31,MIN(K$6-$E$3,22))),0))-IF($G$2,0,IF((K$6-$G$3)&lt;1,0,IFERROR(LOOKUP(2,1/(Amendoim!$E31:INDEX(Amendoim!$E31:$Z31,MIN(K$6-$G$3,22))&lt;&gt;""),Amendoim!$E31:INDEX(Amendoim!$E31:$Z31,MIN(K$6-$G$3,22))),0)))))</f>
        <v>0</v>
      </c>
      <c r="L33" s="27" t="n">
        <f aca="false">IF(COUNT(Amendoim!$E31:$Z31)=0,0,MAX(0,IF((L$6-$E$3)&lt;1,0,IFERROR(LOOKUP(2,1/(Amendoim!$E31:INDEX(Amendoim!$E31:$Z31,MIN(L$6-$E$3,22))&lt;&gt;""),Amendoim!$E31:INDEX(Amendoim!$E31:$Z31,MIN(L$6-$E$3,22))),0))-IF($G$2,0,IF((L$6-$G$3)&lt;1,0,IFERROR(LOOKUP(2,1/(Amendoim!$E31:INDEX(Amendoim!$E31:$Z31,MIN(L$6-$G$3,22))&lt;&gt;""),Amendoim!$E31:INDEX(Amendoim!$E31:$Z31,MIN(L$6-$G$3,22))),0)))))</f>
        <v>0</v>
      </c>
      <c r="M33" s="27" t="n">
        <f aca="false">IF(COUNT(Amendoim!$E31:$Z31)=0,0,MAX(0,IF((M$6-$E$3)&lt;1,0,IFERROR(LOOKUP(2,1/(Amendoim!$E31:INDEX(Amendoim!$E31:$Z31,MIN(M$6-$E$3,22))&lt;&gt;""),Amendoim!$E31:INDEX(Amendoim!$E31:$Z31,MIN(M$6-$E$3,22))),0))-IF($G$2,0,IF((M$6-$G$3)&lt;1,0,IFERROR(LOOKUP(2,1/(Amendoim!$E31:INDEX(Amendoim!$E31:$Z31,MIN(M$6-$G$3,22))&lt;&gt;""),Amendoim!$E31:INDEX(Amendoim!$E31:$Z31,MIN(M$6-$G$3,22))),0)))))</f>
        <v>0</v>
      </c>
      <c r="N33" s="27" t="n">
        <f aca="false">IF(COUNT(Amendoim!$E31:$Z31)=0,0,MAX(0,IF((N$6-$E$3)&lt;1,0,IFERROR(LOOKUP(2,1/(Amendoim!$E31:INDEX(Amendoim!$E31:$Z31,MIN(N$6-$E$3,22))&lt;&gt;""),Amendoim!$E31:INDEX(Amendoim!$E31:$Z31,MIN(N$6-$E$3,22))),0))-IF($G$2,0,IF((N$6-$G$3)&lt;1,0,IFERROR(LOOKUP(2,1/(Amendoim!$E31:INDEX(Amendoim!$E31:$Z31,MIN(N$6-$G$3,22))&lt;&gt;""),Amendoim!$E31:INDEX(Amendoim!$E31:$Z31,MIN(N$6-$G$3,22))),0)))))</f>
        <v>0</v>
      </c>
      <c r="O33" s="27" t="n">
        <f aca="false">IF(COUNT(Amendoim!$E31:$Z31)=0,0,MAX(0,IF((O$6-$E$3)&lt;1,0,IFERROR(LOOKUP(2,1/(Amendoim!$E31:INDEX(Amendoim!$E31:$Z31,MIN(O$6-$E$3,22))&lt;&gt;""),Amendoim!$E31:INDEX(Amendoim!$E31:$Z31,MIN(O$6-$E$3,22))),0))-IF($G$2,0,IF((O$6-$G$3)&lt;1,0,IFERROR(LOOKUP(2,1/(Amendoim!$E31:INDEX(Amendoim!$E31:$Z31,MIN(O$6-$G$3,22))&lt;&gt;""),Amendoim!$E31:INDEX(Amendoim!$E31:$Z31,MIN(O$6-$G$3,22))),0)))))</f>
        <v>0</v>
      </c>
      <c r="P33" s="27" t="n">
        <f aca="false">IF(COUNT(Amendoim!$E31:$Z31)=0,0,MAX(0,IF((P$6-$E$3)&lt;1,0,IFERROR(LOOKUP(2,1/(Amendoim!$E31:INDEX(Amendoim!$E31:$Z31,MIN(P$6-$E$3,22))&lt;&gt;""),Amendoim!$E31:INDEX(Amendoim!$E31:$Z31,MIN(P$6-$E$3,22))),0))-IF($G$2,0,IF((P$6-$G$3)&lt;1,0,IFERROR(LOOKUP(2,1/(Amendoim!$E31:INDEX(Amendoim!$E31:$Z31,MIN(P$6-$G$3,22))&lt;&gt;""),Amendoim!$E31:INDEX(Amendoim!$E31:$Z31,MIN(P$6-$G$3,22))),0)))))</f>
        <v>0</v>
      </c>
      <c r="Q33" s="27" t="n">
        <f aca="false">IF(COUNT(Amendoim!$E31:$Z31)=0,0,MAX(0,IF((Q$6-$E$3)&lt;1,0,IFERROR(LOOKUP(2,1/(Amendoim!$E31:INDEX(Amendoim!$E31:$Z31,MIN(Q$6-$E$3,22))&lt;&gt;""),Amendoim!$E31:INDEX(Amendoim!$E31:$Z31,MIN(Q$6-$E$3,22))),0))-IF($G$2,0,IF((Q$6-$G$3)&lt;1,0,IFERROR(LOOKUP(2,1/(Amendoim!$E31:INDEX(Amendoim!$E31:$Z31,MIN(Q$6-$G$3,22))&lt;&gt;""),Amendoim!$E31:INDEX(Amendoim!$E31:$Z31,MIN(Q$6-$G$3,22))),0)))))</f>
        <v>0</v>
      </c>
      <c r="R33" s="27" t="n">
        <f aca="false">IF(COUNT(Amendoim!$E31:$Z31)=0,0,MAX(0,IF((R$6-$E$3)&lt;1,0,IFERROR(LOOKUP(2,1/(Amendoim!$E31:INDEX(Amendoim!$E31:$Z31,MIN(R$6-$E$3,22))&lt;&gt;""),Amendoim!$E31:INDEX(Amendoim!$E31:$Z31,MIN(R$6-$E$3,22))),0))-IF($G$2,0,IF((R$6-$G$3)&lt;1,0,IFERROR(LOOKUP(2,1/(Amendoim!$E31:INDEX(Amendoim!$E31:$Z31,MIN(R$6-$G$3,22))&lt;&gt;""),Amendoim!$E31:INDEX(Amendoim!$E31:$Z31,MIN(R$6-$G$3,22))),0)))))</f>
        <v>0</v>
      </c>
      <c r="S33" s="27" t="n">
        <f aca="false">IF(COUNT(Amendoim!$E31:$Z31)=0,0,MAX(0,IF((S$6-$E$3)&lt;1,0,IFERROR(LOOKUP(2,1/(Amendoim!$E31:INDEX(Amendoim!$E31:$Z31,MIN(S$6-$E$3,22))&lt;&gt;""),Amendoim!$E31:INDEX(Amendoim!$E31:$Z31,MIN(S$6-$E$3,22))),0))-IF($G$2,0,IF((S$6-$G$3)&lt;1,0,IFERROR(LOOKUP(2,1/(Amendoim!$E31:INDEX(Amendoim!$E31:$Z31,MIN(S$6-$G$3,22))&lt;&gt;""),Amendoim!$E31:INDEX(Amendoim!$E31:$Z31,MIN(S$6-$G$3,22))),0)))))</f>
        <v>0</v>
      </c>
      <c r="T33" s="27" t="n">
        <f aca="false">IF(COUNT(Amendoim!$E31:$Z31)=0,0,MAX(0,IF((T$6-$E$3)&lt;1,0,IFERROR(LOOKUP(2,1/(Amendoim!$E31:INDEX(Amendoim!$E31:$Z31,MIN(T$6-$E$3,22))&lt;&gt;""),Amendoim!$E31:INDEX(Amendoim!$E31:$Z31,MIN(T$6-$E$3,22))),0))-IF($G$2,0,IF((T$6-$G$3)&lt;1,0,IFERROR(LOOKUP(2,1/(Amendoim!$E31:INDEX(Amendoim!$E31:$Z31,MIN(T$6-$G$3,22))&lt;&gt;""),Amendoim!$E31:INDEX(Amendoim!$E31:$Z31,MIN(T$6-$G$3,22))),0)))))</f>
        <v>0</v>
      </c>
      <c r="U33" s="27" t="n">
        <f aca="false">IF(COUNT(Amendoim!$E31:$Z31)=0,0,MAX(0,IF((U$6-$E$3)&lt;1,0,IFERROR(LOOKUP(2,1/(Amendoim!$E31:INDEX(Amendoim!$E31:$Z31,MIN(U$6-$E$3,22))&lt;&gt;""),Amendoim!$E31:INDEX(Amendoim!$E31:$Z31,MIN(U$6-$E$3,22))),0))-IF($G$2,0,IF((U$6-$G$3)&lt;1,0,IFERROR(LOOKUP(2,1/(Amendoim!$E31:INDEX(Amendoim!$E31:$Z31,MIN(U$6-$G$3,22))&lt;&gt;""),Amendoim!$E31:INDEX(Amendoim!$E31:$Z31,MIN(U$6-$G$3,22))),0)))))</f>
        <v>0</v>
      </c>
      <c r="V33" s="27" t="n">
        <f aca="false">IF(COUNT(Amendoim!$E31:$Z31)=0,0,MAX(0,IF((V$6-$E$3)&lt;1,0,IFERROR(LOOKUP(2,1/(Amendoim!$E31:INDEX(Amendoim!$E31:$Z31,MIN(V$6-$E$3,22))&lt;&gt;""),Amendoim!$E31:INDEX(Amendoim!$E31:$Z31,MIN(V$6-$E$3,22))),0))-IF($G$2,0,IF((V$6-$G$3)&lt;1,0,IFERROR(LOOKUP(2,1/(Amendoim!$E31:INDEX(Amendoim!$E31:$Z31,MIN(V$6-$G$3,22))&lt;&gt;""),Amendoim!$E31:INDEX(Amendoim!$E31:$Z31,MIN(V$6-$G$3,22))),0)))))</f>
        <v>0</v>
      </c>
      <c r="W33" s="27" t="n">
        <f aca="false">IF(COUNT(Amendoim!$E31:$Z31)=0,0,MAX(0,IF((W$6-$E$3)&lt;1,0,IFERROR(LOOKUP(2,1/(Amendoim!$E31:INDEX(Amendoim!$E31:$Z31,MIN(W$6-$E$3,22))&lt;&gt;""),Amendoim!$E31:INDEX(Amendoim!$E31:$Z31,MIN(W$6-$E$3,22))),0))-IF($G$2,0,IF((W$6-$G$3)&lt;1,0,IFERROR(LOOKUP(2,1/(Amendoim!$E31:INDEX(Amendoim!$E31:$Z31,MIN(W$6-$G$3,22))&lt;&gt;""),Amendoim!$E31:INDEX(Amendoim!$E31:$Z31,MIN(W$6-$G$3,22))),0)))))</f>
        <v>0</v>
      </c>
      <c r="X33" s="27" t="n">
        <f aca="false">IF(COUNT(Amendoim!$E31:$Z31)=0,0,MAX(0,IF((X$6-$E$3)&lt;1,0,IFERROR(LOOKUP(2,1/(Amendoim!$E31:INDEX(Amendoim!$E31:$Z31,MIN(X$6-$E$3,22))&lt;&gt;""),Amendoim!$E31:INDEX(Amendoim!$E31:$Z31,MIN(X$6-$E$3,22))),0))-IF($G$2,0,IF((X$6-$G$3)&lt;1,0,IFERROR(LOOKUP(2,1/(Amendoim!$E31:INDEX(Amendoim!$E31:$Z31,MIN(X$6-$G$3,22))&lt;&gt;""),Amendoim!$E31:INDEX(Amendoim!$E31:$Z31,MIN(X$6-$G$3,22))),0)))))</f>
        <v>0</v>
      </c>
      <c r="Y33" s="27" t="n">
        <f aca="false">IF(COUNT(Amendoim!$E31:$Z31)=0,0,MAX(0,IF((Y$6-$E$3)&lt;1,0,IFERROR(LOOKUP(2,1/(Amendoim!$E31:INDEX(Amendoim!$E31:$Z31,MIN(Y$6-$E$3,22))&lt;&gt;""),Amendoim!$E31:INDEX(Amendoim!$E31:$Z31,MIN(Y$6-$E$3,22))),0))-IF($G$2,0,IF((Y$6-$G$3)&lt;1,0,IFERROR(LOOKUP(2,1/(Amendoim!$E31:INDEX(Amendoim!$E31:$Z31,MIN(Y$6-$G$3,22))&lt;&gt;""),Amendoim!$E31:INDEX(Amendoim!$E31:$Z31,MIN(Y$6-$G$3,22))),0)))))</f>
        <v>0</v>
      </c>
      <c r="Z33" s="27" t="n">
        <f aca="false">IF(COUNT(Amendoim!$E31:$Z31)=0,0,MAX(0,IF((Z$6-$E$3)&lt;1,0,IFERROR(LOOKUP(2,1/(Amendoim!$E31:INDEX(Amendoim!$E31:$Z31,MIN(Z$6-$E$3,22))&lt;&gt;""),Amendoim!$E31:INDEX(Amendoim!$E31:$Z31,MIN(Z$6-$E$3,22))),0))-IF($G$2,0,IF((Z$6-$G$3)&lt;1,0,IFERROR(LOOKUP(2,1/(Amendoim!$E31:INDEX(Amendoim!$E31:$Z31,MIN(Z$6-$G$3,22))&lt;&gt;""),Amendoim!$E31:INDEX(Amendoim!$E31:$Z31,MIN(Z$6-$G$3,22))),0)))))</f>
        <v>0</v>
      </c>
      <c r="AA33" s="27" t="n">
        <f aca="false">IF(COUNT(Amendoim!$E31:$Z31)=0,0,MAX(0,IF((AA$6-$E$3)&lt;1,0,IFERROR(LOOKUP(2,1/(Amendoim!$E31:INDEX(Amendoim!$E31:$Z31,MIN(AA$6-$E$3,22))&lt;&gt;""),Amendoim!$E31:INDEX(Amendoim!$E31:$Z31,MIN(AA$6-$E$3,22))),0))-IF($G$2,0,IF((AA$6-$G$3)&lt;1,0,IFERROR(LOOKUP(2,1/(Amendoim!$E31:INDEX(Amendoim!$E31:$Z31,MIN(AA$6-$G$3,22))&lt;&gt;""),Amendoim!$E31:INDEX(Amendoim!$E31:$Z31,MIN(AA$6-$G$3,22))),0)))))</f>
        <v>0</v>
      </c>
      <c r="AB33" s="27" t="n">
        <f aca="false">IF(COUNT(Amendoim!$E31:$Z31)=0,0,MAX(0,IF((AB$6-$E$3)&lt;1,0,IFERROR(LOOKUP(2,1/(Amendoim!$E31:INDEX(Amendoim!$E31:$Z31,MIN(AB$6-$E$3,22))&lt;&gt;""),Amendoim!$E31:INDEX(Amendoim!$E31:$Z31,MIN(AB$6-$E$3,22))),0))-IF($G$2,0,IF((AB$6-$G$3)&lt;1,0,IFERROR(LOOKUP(2,1/(Amendoim!$E31:INDEX(Amendoim!$E31:$Z31,MIN(AB$6-$G$3,22))&lt;&gt;""),Amendoim!$E31:INDEX(Amendoim!$E31:$Z31,MIN(AB$6-$G$3,22))),0)))))</f>
        <v>0</v>
      </c>
      <c r="AC33" s="27" t="n">
        <f aca="false">IF(COUNT(Amendoim!$E31:$Z31)=0,0,MAX(0,IF((AC$6-$E$3)&lt;1,0,IFERROR(LOOKUP(2,1/(Amendoim!$E31:INDEX(Amendoim!$E31:$Z31,MIN(AC$6-$E$3,22))&lt;&gt;""),Amendoim!$E31:INDEX(Amendoim!$E31:$Z31,MIN(AC$6-$E$3,22))),0))-IF($G$2,0,IF((AC$6-$G$3)&lt;1,0,IFERROR(LOOKUP(2,1/(Amendoim!$E31:INDEX(Amendoim!$E31:$Z31,MIN(AC$6-$G$3,22))&lt;&gt;""),Amendoim!$E31:INDEX(Amendoim!$E31:$Z31,MIN(AC$6-$G$3,22))),0)))))</f>
        <v>0</v>
      </c>
      <c r="AD33" s="27" t="n">
        <f aca="false">IF(COUNT(Amendoim!$E31:$Z31)=0,0,MAX(0,IF((AD$6-$E$3)&lt;1,0,IFERROR(LOOKUP(2,1/(Amendoim!$E31:INDEX(Amendoim!$E31:$Z31,MIN(AD$6-$E$3,22))&lt;&gt;""),Amendoim!$E31:INDEX(Amendoim!$E31:$Z31,MIN(AD$6-$E$3,22))),0))-IF($G$2,0,IF((AD$6-$G$3)&lt;1,0,IFERROR(LOOKUP(2,1/(Amendoim!$E31:INDEX(Amendoim!$E31:$Z31,MIN(AD$6-$G$3,22))&lt;&gt;""),Amendoim!$E31:INDEX(Amendoim!$E31:$Z31,MIN(AD$6-$G$3,22))),0)))))</f>
        <v>0</v>
      </c>
      <c r="AE33" s="27" t="n">
        <f aca="false">IF(COUNT(Amendoim!$E31:$Z31)=0,0,MAX(0,IF((AE$6-$E$3)&lt;1,0,IFERROR(LOOKUP(2,1/(Amendoim!$E31:INDEX(Amendoim!$E31:$Z31,MIN(AE$6-$E$3,22))&lt;&gt;""),Amendoim!$E31:INDEX(Amendoim!$E31:$Z31,MIN(AE$6-$E$3,22))),0))-IF($G$2,0,IF((AE$6-$G$3)&lt;1,0,IFERROR(LOOKUP(2,1/(Amendoim!$E31:INDEX(Amendoim!$E31:$Z31,MIN(AE$6-$G$3,22))&lt;&gt;""),Amendoim!$E31:INDEX(Amendoim!$E31:$Z31,MIN(AE$6-$G$3,22))),0)))))</f>
        <v>0</v>
      </c>
      <c r="AF33" s="27" t="n">
        <f aca="false">IF(COUNT(Amendoim!$E31:$Z31)=0,0,MAX(0,IF((AF$6-$E$3)&lt;1,0,IFERROR(LOOKUP(2,1/(Amendoim!$E31:INDEX(Amendoim!$E31:$Z31,MIN(AF$6-$E$3,22))&lt;&gt;""),Amendoim!$E31:INDEX(Amendoim!$E31:$Z31,MIN(AF$6-$E$3,22))),0))-IF($G$2,0,IF((AF$6-$G$3)&lt;1,0,IFERROR(LOOKUP(2,1/(Amendoim!$E31:INDEX(Amendoim!$E31:$Z31,MIN(AF$6-$G$3,22))&lt;&gt;""),Amendoim!$E31:INDEX(Amendoim!$E31:$Z31,MIN(AF$6-$G$3,22))),0)))))</f>
        <v>0</v>
      </c>
      <c r="AG33" s="27" t="n">
        <f aca="false">IF(COUNT(Amendoim!$E31:$Z31)=0,0,MAX(0,IF((AG$6-$E$3)&lt;1,0,IFERROR(LOOKUP(2,1/(Amendoim!$E31:INDEX(Amendoim!$E31:$Z31,MIN(AG$6-$E$3,22))&lt;&gt;""),Amendoim!$E31:INDEX(Amendoim!$E31:$Z31,MIN(AG$6-$E$3,22))),0))-IF($G$2,0,IF((AG$6-$G$3)&lt;1,0,IFERROR(LOOKUP(2,1/(Amendoim!$E31:INDEX(Amendoim!$E31:$Z31,MIN(AG$6-$G$3,22))&lt;&gt;""),Amendoim!$E31:INDEX(Amendoim!$E31:$Z31,MIN(AG$6-$G$3,22))),0)))))</f>
        <v>0</v>
      </c>
      <c r="AH33" s="27" t="n">
        <f aca="false">IF(COUNT(Amendoim!$E31:$Z31)=0,0,MAX(0,IF((AH$6-$E$3)&lt;1,0,IFERROR(LOOKUP(2,1/(Amendoim!$E31:INDEX(Amendoim!$E31:$Z31,MIN(AH$6-$E$3,22))&lt;&gt;""),Amendoim!$E31:INDEX(Amendoim!$E31:$Z31,MIN(AH$6-$E$3,22))),0))-IF($G$2,0,IF((AH$6-$G$3)&lt;1,0,IFERROR(LOOKUP(2,1/(Amendoim!$E31:INDEX(Amendoim!$E31:$Z31,MIN(AH$6-$G$3,22))&lt;&gt;""),Amendoim!$E31:INDEX(Amendoim!$E31:$Z31,MIN(AH$6-$G$3,22))),0)))))</f>
        <v>0</v>
      </c>
      <c r="AI33" s="27" t="n">
        <f aca="false">IF(COUNT(Amendoim!$E31:$Z31)=0,0,MAX(0,IF((AI$6-$E$3)&lt;1,0,IFERROR(LOOKUP(2,1/(Amendoim!$E31:INDEX(Amendoim!$E31:$Z31,MIN(AI$6-$E$3,22))&lt;&gt;""),Amendoim!$E31:INDEX(Amendoim!$E31:$Z31,MIN(AI$6-$E$3,22))),0))-IF($G$2,0,IF((AI$6-$G$3)&lt;1,0,IFERROR(LOOKUP(2,1/(Amendoim!$E31:INDEX(Amendoim!$E31:$Z31,MIN(AI$6-$G$3,22))&lt;&gt;""),Amendoim!$E31:INDEX(Amendoim!$E31:$Z31,MIN(AI$6-$G$3,22))),0)))))</f>
        <v>0</v>
      </c>
      <c r="AJ33" s="27" t="n">
        <f aca="false">IF(COUNT(Amendoim!$E31:$Z31)=0,0,MAX(0,IF((AJ$6-$E$3)&lt;1,0,IFERROR(LOOKUP(2,1/(Amendoim!$E31:INDEX(Amendoim!$E31:$Z31,MIN(AJ$6-$E$3,22))&lt;&gt;""),Amendoim!$E31:INDEX(Amendoim!$E31:$Z31,MIN(AJ$6-$E$3,22))),0))-IF($G$2,0,IF((AJ$6-$G$3)&lt;1,0,IFERROR(LOOKUP(2,1/(Amendoim!$E31:INDEX(Amendoim!$E31:$Z31,MIN(AJ$6-$G$3,22))&lt;&gt;""),Amendoim!$E31:INDEX(Amendoim!$E31:$Z31,MIN(AJ$6-$G$3,22))),0)))))</f>
        <v>0</v>
      </c>
      <c r="AK33" s="27" t="n">
        <f aca="false">IF(COUNT(Amendoim!$E31:$Z31)=0,0,MAX(0,IF((AK$6-$E$3)&lt;1,0,IFERROR(LOOKUP(2,1/(Amendoim!$E31:INDEX(Amendoim!$E31:$Z31,MIN(AK$6-$E$3,22))&lt;&gt;""),Amendoim!$E31:INDEX(Amendoim!$E31:$Z31,MIN(AK$6-$E$3,22))),0))-IF($G$2,0,IF((AK$6-$G$3)&lt;1,0,IFERROR(LOOKUP(2,1/(Amendoim!$E31:INDEX(Amendoim!$E31:$Z31,MIN(AK$6-$G$3,22))&lt;&gt;""),Amendoim!$E31:INDEX(Amendoim!$E31:$Z31,MIN(AK$6-$G$3,22))),0)))))</f>
        <v>0</v>
      </c>
      <c r="AL33" s="27" t="n">
        <f aca="false">IF(COUNT(Amendoim!$E31:$Z31)=0,0,MAX(0,IF((AL$6-$E$3)&lt;1,0,IFERROR(LOOKUP(2,1/(Amendoim!$E31:INDEX(Amendoim!$E31:$Z31,MIN(AL$6-$E$3,22))&lt;&gt;""),Amendoim!$E31:INDEX(Amendoim!$E31:$Z31,MIN(AL$6-$E$3,22))),0))-IF($G$2,0,IF((AL$6-$G$3)&lt;1,0,IFERROR(LOOKUP(2,1/(Amendoim!$E31:INDEX(Amendoim!$E31:$Z31,MIN(AL$6-$G$3,22))&lt;&gt;""),Amendoim!$E31:INDEX(Amendoim!$E31:$Z31,MIN(AL$6-$G$3,22))),0)))))</f>
        <v>0</v>
      </c>
      <c r="AM33" s="27" t="n">
        <f aca="false">IF(COUNT(Amendoim!$E31:$Z31)=0,0,MAX(0,IF((AM$6-$E$3)&lt;1,0,IFERROR(LOOKUP(2,1/(Amendoim!$E31:INDEX(Amendoim!$E31:$Z31,MIN(AM$6-$E$3,22))&lt;&gt;""),Amendoim!$E31:INDEX(Amendoim!$E31:$Z31,MIN(AM$6-$E$3,22))),0))-IF($G$2,0,IF((AM$6-$G$3)&lt;1,0,IFERROR(LOOKUP(2,1/(Amendoim!$E31:INDEX(Amendoim!$E31:$Z31,MIN(AM$6-$G$3,22))&lt;&gt;""),Amendoim!$E31:INDEX(Amendoim!$E31:$Z31,MIN(AM$6-$G$3,22))),0)))))</f>
        <v>0</v>
      </c>
      <c r="AN33" s="27" t="n">
        <f aca="false">IF(COUNT(Amendoim!$E31:$Z31)=0,0,MAX(0,IF((AN$6-$E$3)&lt;1,0,IFERROR(LOOKUP(2,1/(Amendoim!$E31:INDEX(Amendoim!$E31:$Z31,MIN(AN$6-$E$3,22))&lt;&gt;""),Amendoim!$E31:INDEX(Amendoim!$E31:$Z31,MIN(AN$6-$E$3,22))),0))-IF($G$2,0,IF((AN$6-$G$3)&lt;1,0,IFERROR(LOOKUP(2,1/(Amendoim!$E31:INDEX(Amendoim!$E31:$Z31,MIN(AN$6-$G$3,22))&lt;&gt;""),Amendoim!$E31:INDEX(Amendoim!$E31:$Z31,MIN(AN$6-$G$3,22))),0)))))</f>
        <v>0</v>
      </c>
      <c r="AO33" s="27" t="n">
        <f aca="false">IF(COUNT(Amendoim!$E31:$Z31)=0,0,MAX(0,IF((AO$6-$E$3)&lt;1,0,IFERROR(LOOKUP(2,1/(Amendoim!$E31:INDEX(Amendoim!$E31:$Z31,MIN(AO$6-$E$3,22))&lt;&gt;""),Amendoim!$E31:INDEX(Amendoim!$E31:$Z31,MIN(AO$6-$E$3,22))),0))-IF($G$2,0,IF((AO$6-$G$3)&lt;1,0,IFERROR(LOOKUP(2,1/(Amendoim!$E31:INDEX(Amendoim!$E31:$Z31,MIN(AO$6-$G$3,22))&lt;&gt;""),Amendoim!$E31:INDEX(Amendoim!$E31:$Z31,MIN(AO$6-$G$3,22))),0)))))</f>
        <v>0</v>
      </c>
      <c r="AP33" s="27" t="n">
        <f aca="false">IF(COUNT(Amendoim!$E31:$Z31)=0,0,MAX(0,IF((AP$6-$E$3)&lt;1,0,IFERROR(LOOKUP(2,1/(Amendoim!$E31:INDEX(Amendoim!$E31:$Z31,MIN(AP$6-$E$3,22))&lt;&gt;""),Amendoim!$E31:INDEX(Amendoim!$E31:$Z31,MIN(AP$6-$E$3,22))),0))-IF($G$2,0,IF((AP$6-$G$3)&lt;1,0,IFERROR(LOOKUP(2,1/(Amendoim!$E31:INDEX(Amendoim!$E31:$Z31,MIN(AP$6-$G$3,22))&lt;&gt;""),Amendoim!$E31:INDEX(Amendoim!$E31:$Z31,MIN(AP$6-$G$3,22))),0)))))</f>
        <v>0</v>
      </c>
      <c r="AQ33" s="27" t="n">
        <f aca="false">IF(COUNT(Amendoim!$E31:$Z31)=0,0,MAX(0,IF((AQ$6-$E$3)&lt;1,0,IFERROR(LOOKUP(2,1/(Amendoim!$E31:INDEX(Amendoim!$E31:$Z31,MIN(AQ$6-$E$3,22))&lt;&gt;""),Amendoim!$E31:INDEX(Amendoim!$E31:$Z31,MIN(AQ$6-$E$3,22))),0))-IF($G$2,0,IF((AQ$6-$G$3)&lt;1,0,IFERROR(LOOKUP(2,1/(Amendoim!$E31:INDEX(Amendoim!$E31:$Z31,MIN(AQ$6-$G$3,22))&lt;&gt;""),Amendoim!$E31:INDEX(Amendoim!$E31:$Z31,MIN(AQ$6-$G$3,22))),0)))))</f>
        <v>0</v>
      </c>
      <c r="AR33" s="27" t="n">
        <f aca="false">IF(COUNT(Amendoim!$E31:$Z31)=0,0,MAX(0,IF((AR$6-$E$3)&lt;1,0,IFERROR(LOOKUP(2,1/(Amendoim!$E31:INDEX(Amendoim!$E31:$Z31,MIN(AR$6-$E$3,22))&lt;&gt;""),Amendoim!$E31:INDEX(Amendoim!$E31:$Z31,MIN(AR$6-$E$3,22))),0))-IF($G$2,0,IF((AR$6-$G$3)&lt;1,0,IFERROR(LOOKUP(2,1/(Amendoim!$E31:INDEX(Amendoim!$E31:$Z31,MIN(AR$6-$G$3,22))&lt;&gt;""),Amendoim!$E31:INDEX(Amendoim!$E31:$Z31,MIN(AR$6-$G$3,22))),0)))))</f>
        <v>0</v>
      </c>
      <c r="AS33" s="27" t="n">
        <f aca="false">IF(COUNT(Amendoim!$E31:$Z31)=0,0,MAX(0,IF((AS$6-$E$3)&lt;1,0,IFERROR(LOOKUP(2,1/(Amendoim!$E31:INDEX(Amendoim!$E31:$Z31,MIN(AS$6-$E$3,22))&lt;&gt;""),Amendoim!$E31:INDEX(Amendoim!$E31:$Z31,MIN(AS$6-$E$3,22))),0))-IF($G$2,0,IF((AS$6-$G$3)&lt;1,0,IFERROR(LOOKUP(2,1/(Amendoim!$E31:INDEX(Amendoim!$E31:$Z31,MIN(AS$6-$G$3,22))&lt;&gt;""),Amendoim!$E31:INDEX(Amendoim!$E31:$Z31,MIN(AS$6-$G$3,22))),0)))))</f>
        <v>0</v>
      </c>
      <c r="AT33" s="27" t="n">
        <f aca="false">IF(COUNT(Amendoim!$E31:$Z31)=0,0,MAX(0,IF((AT$6-$E$3)&lt;1,0,IFERROR(LOOKUP(2,1/(Amendoim!$E31:INDEX(Amendoim!$E31:$Z31,MIN(AT$6-$E$3,22))&lt;&gt;""),Amendoim!$E31:INDEX(Amendoim!$E31:$Z31,MIN(AT$6-$E$3,22))),0))-IF($G$2,0,IF((AT$6-$G$3)&lt;1,0,IFERROR(LOOKUP(2,1/(Amendoim!$E31:INDEX(Amendoim!$E31:$Z31,MIN(AT$6-$G$3,22))&lt;&gt;""),Amendoim!$E31:INDEX(Amendoim!$E31:$Z31,MIN(AT$6-$G$3,22))),0)))))</f>
        <v>0</v>
      </c>
      <c r="AU33" s="27" t="n">
        <f aca="false">IF(COUNT(Amendoim!$E31:$Z31)=0,0,MAX(0,IF((AU$6-$E$3)&lt;1,0,IFERROR(LOOKUP(2,1/(Amendoim!$E31:INDEX(Amendoim!$E31:$Z31,MIN(AU$6-$E$3,22))&lt;&gt;""),Amendoim!$E31:INDEX(Amendoim!$E31:$Z31,MIN(AU$6-$E$3,22))),0))-IF($G$2,0,IF((AU$6-$G$3)&lt;1,0,IFERROR(LOOKUP(2,1/(Amendoim!$E31:INDEX(Amendoim!$E31:$Z31,MIN(AU$6-$G$3,22))&lt;&gt;""),Amendoim!$E31:INDEX(Amendoim!$E31:$Z31,MIN(AU$6-$G$3,22))),0)))))</f>
        <v>0</v>
      </c>
      <c r="AV33" s="27" t="n">
        <f aca="false">IF(COUNT(Amendoim!$E31:$Z31)=0,0,MAX(0,IF((AV$6-$E$3)&lt;1,0,IFERROR(LOOKUP(2,1/(Amendoim!$E31:INDEX(Amendoim!$E31:$Z31,MIN(AV$6-$E$3,22))&lt;&gt;""),Amendoim!$E31:INDEX(Amendoim!$E31:$Z31,MIN(AV$6-$E$3,22))),0))-IF($G$2,0,IF((AV$6-$G$3)&lt;1,0,IFERROR(LOOKUP(2,1/(Amendoim!$E31:INDEX(Amendoim!$E31:$Z31,MIN(AV$6-$G$3,22))&lt;&gt;""),Amendoim!$E31:INDEX(Amendoim!$E31:$Z31,MIN(AV$6-$G$3,22))),0)))))</f>
        <v>0</v>
      </c>
      <c r="AW33" s="27" t="n">
        <f aca="false">IF(COUNT(Amendoim!$E31:$Z31)=0,0,MAX(0,IF((AW$6-$E$3)&lt;1,0,IFERROR(LOOKUP(2,1/(Amendoim!$E31:INDEX(Amendoim!$E31:$Z31,MIN(AW$6-$E$3,22))&lt;&gt;""),Amendoim!$E31:INDEX(Amendoim!$E31:$Z31,MIN(AW$6-$E$3,22))),0))-IF($G$2,0,IF((AW$6-$G$3)&lt;1,0,IFERROR(LOOKUP(2,1/(Amendoim!$E31:INDEX(Amendoim!$E31:$Z31,MIN(AW$6-$G$3,22))&lt;&gt;""),Amendoim!$E31:INDEX(Amendoim!$E31:$Z31,MIN(AW$6-$G$3,22))),0)))))</f>
        <v>0</v>
      </c>
      <c r="AX33" s="27" t="n">
        <f aca="false">IF(COUNT(Amendoim!$E31:$Z31)=0,0,MAX(0,IF((AX$6-$E$3)&lt;1,0,IFERROR(LOOKUP(2,1/(Amendoim!$E31:INDEX(Amendoim!$E31:$Z31,MIN(AX$6-$E$3,22))&lt;&gt;""),Amendoim!$E31:INDEX(Amendoim!$E31:$Z31,MIN(AX$6-$E$3,22))),0))-IF($G$2,0,IF((AX$6-$G$3)&lt;1,0,IFERROR(LOOKUP(2,1/(Amendoim!$E31:INDEX(Amendoim!$E31:$Z31,MIN(AX$6-$G$3,22))&lt;&gt;""),Amendoim!$E31:INDEX(Amendoim!$E31:$Z31,MIN(AX$6-$G$3,22))),0)))))</f>
        <v>0</v>
      </c>
      <c r="AY33" s="27" t="n">
        <f aca="false">IF(COUNT(Amendoim!$E31:$Z31)=0,0,MAX(0,IF((AY$6-$E$3)&lt;1,0,IFERROR(LOOKUP(2,1/(Amendoim!$E31:INDEX(Amendoim!$E31:$Z31,MIN(AY$6-$E$3,22))&lt;&gt;""),Amendoim!$E31:INDEX(Amendoim!$E31:$Z31,MIN(AY$6-$E$3,22))),0))-IF($G$2,0,IF((AY$6-$G$3)&lt;1,0,IFERROR(LOOKUP(2,1/(Amendoim!$E31:INDEX(Amendoim!$E31:$Z31,MIN(AY$6-$G$3,22))&lt;&gt;""),Amendoim!$E31:INDEX(Amendoim!$E31:$Z31,MIN(AY$6-$G$3,22))),0)))))</f>
        <v>0</v>
      </c>
      <c r="AZ33" s="27" t="n">
        <f aca="false">IF(COUNT(Amendoim!$E31:$Z31)=0,0,MAX(0,IF((AZ$6-$E$3)&lt;1,0,IFERROR(LOOKUP(2,1/(Amendoim!$E31:INDEX(Amendoim!$E31:$Z31,MIN(AZ$6-$E$3,22))&lt;&gt;""),Amendoim!$E31:INDEX(Amendoim!$E31:$Z31,MIN(AZ$6-$E$3,22))),0))-IF($G$2,0,IF((AZ$6-$G$3)&lt;1,0,IFERROR(LOOKUP(2,1/(Amendoim!$E31:INDEX(Amendoim!$E31:$Z31,MIN(AZ$6-$G$3,22))&lt;&gt;""),Amendoim!$E31:INDEX(Amendoim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IF(COUNT(Amendoim!$E32:$Z32)&gt;0,N(Amendoim!$D32),0)</f>
        <v>0</v>
      </c>
      <c r="E34" s="27" t="n">
        <f aca="false">IF(COUNT(Amendoim!$E32:$Z32)=0,0,MAX(0,IF((E$6-$E$3)&lt;1,0,IFERROR(LOOKUP(2,1/(Amendoim!$E32:INDEX(Amendoim!$E32:$Z32,MIN(E$6-$E$3,22))&lt;&gt;""),Amendoim!$E32:INDEX(Amendoim!$E32:$Z32,MIN(E$6-$E$3,22))),0))-IF($G$2,0,IF((E$6-$G$3)&lt;1,0,IFERROR(LOOKUP(2,1/(Amendoim!$E32:INDEX(Amendoim!$E32:$Z32,MIN(E$6-$G$3,22))&lt;&gt;""),Amendoim!$E32:INDEX(Amendoim!$E32:$Z32,MIN(E$6-$G$3,22))),0)))))</f>
        <v>0</v>
      </c>
      <c r="F34" s="27" t="n">
        <f aca="false">IF(COUNT(Amendoim!$E32:$Z32)=0,0,MAX(0,IF((F$6-$E$3)&lt;1,0,IFERROR(LOOKUP(2,1/(Amendoim!$E32:INDEX(Amendoim!$E32:$Z32,MIN(F$6-$E$3,22))&lt;&gt;""),Amendoim!$E32:INDEX(Amendoim!$E32:$Z32,MIN(F$6-$E$3,22))),0))-IF($G$2,0,IF((F$6-$G$3)&lt;1,0,IFERROR(LOOKUP(2,1/(Amendoim!$E32:INDEX(Amendoim!$E32:$Z32,MIN(F$6-$G$3,22))&lt;&gt;""),Amendoim!$E32:INDEX(Amendoim!$E32:$Z32,MIN(F$6-$G$3,22))),0)))))</f>
        <v>0</v>
      </c>
      <c r="G34" s="27" t="n">
        <f aca="false">IF(COUNT(Amendoim!$E32:$Z32)=0,0,MAX(0,IF((G$6-$E$3)&lt;1,0,IFERROR(LOOKUP(2,1/(Amendoim!$E32:INDEX(Amendoim!$E32:$Z32,MIN(G$6-$E$3,22))&lt;&gt;""),Amendoim!$E32:INDEX(Amendoim!$E32:$Z32,MIN(G$6-$E$3,22))),0))-IF($G$2,0,IF((G$6-$G$3)&lt;1,0,IFERROR(LOOKUP(2,1/(Amendoim!$E32:INDEX(Amendoim!$E32:$Z32,MIN(G$6-$G$3,22))&lt;&gt;""),Amendoim!$E32:INDEX(Amendoim!$E32:$Z32,MIN(G$6-$G$3,22))),0)))))</f>
        <v>0</v>
      </c>
      <c r="H34" s="27" t="n">
        <f aca="false">IF(COUNT(Amendoim!$E32:$Z32)=0,0,MAX(0,IF((H$6-$E$3)&lt;1,0,IFERROR(LOOKUP(2,1/(Amendoim!$E32:INDEX(Amendoim!$E32:$Z32,MIN(H$6-$E$3,22))&lt;&gt;""),Amendoim!$E32:INDEX(Amendoim!$E32:$Z32,MIN(H$6-$E$3,22))),0))-IF($G$2,0,IF((H$6-$G$3)&lt;1,0,IFERROR(LOOKUP(2,1/(Amendoim!$E32:INDEX(Amendoim!$E32:$Z32,MIN(H$6-$G$3,22))&lt;&gt;""),Amendoim!$E32:INDEX(Amendoim!$E32:$Z32,MIN(H$6-$G$3,22))),0)))))</f>
        <v>0</v>
      </c>
      <c r="I34" s="27" t="n">
        <f aca="false">IF(COUNT(Amendoim!$E32:$Z32)=0,0,MAX(0,IF((I$6-$E$3)&lt;1,0,IFERROR(LOOKUP(2,1/(Amendoim!$E32:INDEX(Amendoim!$E32:$Z32,MIN(I$6-$E$3,22))&lt;&gt;""),Amendoim!$E32:INDEX(Amendoim!$E32:$Z32,MIN(I$6-$E$3,22))),0))-IF($G$2,0,IF((I$6-$G$3)&lt;1,0,IFERROR(LOOKUP(2,1/(Amendoim!$E32:INDEX(Amendoim!$E32:$Z32,MIN(I$6-$G$3,22))&lt;&gt;""),Amendoim!$E32:INDEX(Amendoim!$E32:$Z32,MIN(I$6-$G$3,22))),0)))))</f>
        <v>0</v>
      </c>
      <c r="J34" s="27" t="n">
        <f aca="false">IF(COUNT(Amendoim!$E32:$Z32)=0,0,MAX(0,IF((J$6-$E$3)&lt;1,0,IFERROR(LOOKUP(2,1/(Amendoim!$E32:INDEX(Amendoim!$E32:$Z32,MIN(J$6-$E$3,22))&lt;&gt;""),Amendoim!$E32:INDEX(Amendoim!$E32:$Z32,MIN(J$6-$E$3,22))),0))-IF($G$2,0,IF((J$6-$G$3)&lt;1,0,IFERROR(LOOKUP(2,1/(Amendoim!$E32:INDEX(Amendoim!$E32:$Z32,MIN(J$6-$G$3,22))&lt;&gt;""),Amendoim!$E32:INDEX(Amendoim!$E32:$Z32,MIN(J$6-$G$3,22))),0)))))</f>
        <v>0</v>
      </c>
      <c r="K34" s="27" t="n">
        <f aca="false">IF(COUNT(Amendoim!$E32:$Z32)=0,0,MAX(0,IF((K$6-$E$3)&lt;1,0,IFERROR(LOOKUP(2,1/(Amendoim!$E32:INDEX(Amendoim!$E32:$Z32,MIN(K$6-$E$3,22))&lt;&gt;""),Amendoim!$E32:INDEX(Amendoim!$E32:$Z32,MIN(K$6-$E$3,22))),0))-IF($G$2,0,IF((K$6-$G$3)&lt;1,0,IFERROR(LOOKUP(2,1/(Amendoim!$E32:INDEX(Amendoim!$E32:$Z32,MIN(K$6-$G$3,22))&lt;&gt;""),Amendoim!$E32:INDEX(Amendoim!$E32:$Z32,MIN(K$6-$G$3,22))),0)))))</f>
        <v>0</v>
      </c>
      <c r="L34" s="27" t="n">
        <f aca="false">IF(COUNT(Amendoim!$E32:$Z32)=0,0,MAX(0,IF((L$6-$E$3)&lt;1,0,IFERROR(LOOKUP(2,1/(Amendoim!$E32:INDEX(Amendoim!$E32:$Z32,MIN(L$6-$E$3,22))&lt;&gt;""),Amendoim!$E32:INDEX(Amendoim!$E32:$Z32,MIN(L$6-$E$3,22))),0))-IF($G$2,0,IF((L$6-$G$3)&lt;1,0,IFERROR(LOOKUP(2,1/(Amendoim!$E32:INDEX(Amendoim!$E32:$Z32,MIN(L$6-$G$3,22))&lt;&gt;""),Amendoim!$E32:INDEX(Amendoim!$E32:$Z32,MIN(L$6-$G$3,22))),0)))))</f>
        <v>0</v>
      </c>
      <c r="M34" s="27" t="n">
        <f aca="false">IF(COUNT(Amendoim!$E32:$Z32)=0,0,MAX(0,IF((M$6-$E$3)&lt;1,0,IFERROR(LOOKUP(2,1/(Amendoim!$E32:INDEX(Amendoim!$E32:$Z32,MIN(M$6-$E$3,22))&lt;&gt;""),Amendoim!$E32:INDEX(Amendoim!$E32:$Z32,MIN(M$6-$E$3,22))),0))-IF($G$2,0,IF((M$6-$G$3)&lt;1,0,IFERROR(LOOKUP(2,1/(Amendoim!$E32:INDEX(Amendoim!$E32:$Z32,MIN(M$6-$G$3,22))&lt;&gt;""),Amendoim!$E32:INDEX(Amendoim!$E32:$Z32,MIN(M$6-$G$3,22))),0)))))</f>
        <v>0</v>
      </c>
      <c r="N34" s="27" t="n">
        <f aca="false">IF(COUNT(Amendoim!$E32:$Z32)=0,0,MAX(0,IF((N$6-$E$3)&lt;1,0,IFERROR(LOOKUP(2,1/(Amendoim!$E32:INDEX(Amendoim!$E32:$Z32,MIN(N$6-$E$3,22))&lt;&gt;""),Amendoim!$E32:INDEX(Amendoim!$E32:$Z32,MIN(N$6-$E$3,22))),0))-IF($G$2,0,IF((N$6-$G$3)&lt;1,0,IFERROR(LOOKUP(2,1/(Amendoim!$E32:INDEX(Amendoim!$E32:$Z32,MIN(N$6-$G$3,22))&lt;&gt;""),Amendoim!$E32:INDEX(Amendoim!$E32:$Z32,MIN(N$6-$G$3,22))),0)))))</f>
        <v>0</v>
      </c>
      <c r="O34" s="27" t="n">
        <f aca="false">IF(COUNT(Amendoim!$E32:$Z32)=0,0,MAX(0,IF((O$6-$E$3)&lt;1,0,IFERROR(LOOKUP(2,1/(Amendoim!$E32:INDEX(Amendoim!$E32:$Z32,MIN(O$6-$E$3,22))&lt;&gt;""),Amendoim!$E32:INDEX(Amendoim!$E32:$Z32,MIN(O$6-$E$3,22))),0))-IF($G$2,0,IF((O$6-$G$3)&lt;1,0,IFERROR(LOOKUP(2,1/(Amendoim!$E32:INDEX(Amendoim!$E32:$Z32,MIN(O$6-$G$3,22))&lt;&gt;""),Amendoim!$E32:INDEX(Amendoim!$E32:$Z32,MIN(O$6-$G$3,22))),0)))))</f>
        <v>0</v>
      </c>
      <c r="P34" s="27" t="n">
        <f aca="false">IF(COUNT(Amendoim!$E32:$Z32)=0,0,MAX(0,IF((P$6-$E$3)&lt;1,0,IFERROR(LOOKUP(2,1/(Amendoim!$E32:INDEX(Amendoim!$E32:$Z32,MIN(P$6-$E$3,22))&lt;&gt;""),Amendoim!$E32:INDEX(Amendoim!$E32:$Z32,MIN(P$6-$E$3,22))),0))-IF($G$2,0,IF((P$6-$G$3)&lt;1,0,IFERROR(LOOKUP(2,1/(Amendoim!$E32:INDEX(Amendoim!$E32:$Z32,MIN(P$6-$G$3,22))&lt;&gt;""),Amendoim!$E32:INDEX(Amendoim!$E32:$Z32,MIN(P$6-$G$3,22))),0)))))</f>
        <v>0</v>
      </c>
      <c r="Q34" s="27" t="n">
        <f aca="false">IF(COUNT(Amendoim!$E32:$Z32)=0,0,MAX(0,IF((Q$6-$E$3)&lt;1,0,IFERROR(LOOKUP(2,1/(Amendoim!$E32:INDEX(Amendoim!$E32:$Z32,MIN(Q$6-$E$3,22))&lt;&gt;""),Amendoim!$E32:INDEX(Amendoim!$E32:$Z32,MIN(Q$6-$E$3,22))),0))-IF($G$2,0,IF((Q$6-$G$3)&lt;1,0,IFERROR(LOOKUP(2,1/(Amendoim!$E32:INDEX(Amendoim!$E32:$Z32,MIN(Q$6-$G$3,22))&lt;&gt;""),Amendoim!$E32:INDEX(Amendoim!$E32:$Z32,MIN(Q$6-$G$3,22))),0)))))</f>
        <v>0</v>
      </c>
      <c r="R34" s="27" t="n">
        <f aca="false">IF(COUNT(Amendoim!$E32:$Z32)=0,0,MAX(0,IF((R$6-$E$3)&lt;1,0,IFERROR(LOOKUP(2,1/(Amendoim!$E32:INDEX(Amendoim!$E32:$Z32,MIN(R$6-$E$3,22))&lt;&gt;""),Amendoim!$E32:INDEX(Amendoim!$E32:$Z32,MIN(R$6-$E$3,22))),0))-IF($G$2,0,IF((R$6-$G$3)&lt;1,0,IFERROR(LOOKUP(2,1/(Amendoim!$E32:INDEX(Amendoim!$E32:$Z32,MIN(R$6-$G$3,22))&lt;&gt;""),Amendoim!$E32:INDEX(Amendoim!$E32:$Z32,MIN(R$6-$G$3,22))),0)))))</f>
        <v>0</v>
      </c>
      <c r="S34" s="27" t="n">
        <f aca="false">IF(COUNT(Amendoim!$E32:$Z32)=0,0,MAX(0,IF((S$6-$E$3)&lt;1,0,IFERROR(LOOKUP(2,1/(Amendoim!$E32:INDEX(Amendoim!$E32:$Z32,MIN(S$6-$E$3,22))&lt;&gt;""),Amendoim!$E32:INDEX(Amendoim!$E32:$Z32,MIN(S$6-$E$3,22))),0))-IF($G$2,0,IF((S$6-$G$3)&lt;1,0,IFERROR(LOOKUP(2,1/(Amendoim!$E32:INDEX(Amendoim!$E32:$Z32,MIN(S$6-$G$3,22))&lt;&gt;""),Amendoim!$E32:INDEX(Amendoim!$E32:$Z32,MIN(S$6-$G$3,22))),0)))))</f>
        <v>0</v>
      </c>
      <c r="T34" s="27" t="n">
        <f aca="false">IF(COUNT(Amendoim!$E32:$Z32)=0,0,MAX(0,IF((T$6-$E$3)&lt;1,0,IFERROR(LOOKUP(2,1/(Amendoim!$E32:INDEX(Amendoim!$E32:$Z32,MIN(T$6-$E$3,22))&lt;&gt;""),Amendoim!$E32:INDEX(Amendoim!$E32:$Z32,MIN(T$6-$E$3,22))),0))-IF($G$2,0,IF((T$6-$G$3)&lt;1,0,IFERROR(LOOKUP(2,1/(Amendoim!$E32:INDEX(Amendoim!$E32:$Z32,MIN(T$6-$G$3,22))&lt;&gt;""),Amendoim!$E32:INDEX(Amendoim!$E32:$Z32,MIN(T$6-$G$3,22))),0)))))</f>
        <v>0</v>
      </c>
      <c r="U34" s="27" t="n">
        <f aca="false">IF(COUNT(Amendoim!$E32:$Z32)=0,0,MAX(0,IF((U$6-$E$3)&lt;1,0,IFERROR(LOOKUP(2,1/(Amendoim!$E32:INDEX(Amendoim!$E32:$Z32,MIN(U$6-$E$3,22))&lt;&gt;""),Amendoim!$E32:INDEX(Amendoim!$E32:$Z32,MIN(U$6-$E$3,22))),0))-IF($G$2,0,IF((U$6-$G$3)&lt;1,0,IFERROR(LOOKUP(2,1/(Amendoim!$E32:INDEX(Amendoim!$E32:$Z32,MIN(U$6-$G$3,22))&lt;&gt;""),Amendoim!$E32:INDEX(Amendoim!$E32:$Z32,MIN(U$6-$G$3,22))),0)))))</f>
        <v>0</v>
      </c>
      <c r="V34" s="27" t="n">
        <f aca="false">IF(COUNT(Amendoim!$E32:$Z32)=0,0,MAX(0,IF((V$6-$E$3)&lt;1,0,IFERROR(LOOKUP(2,1/(Amendoim!$E32:INDEX(Amendoim!$E32:$Z32,MIN(V$6-$E$3,22))&lt;&gt;""),Amendoim!$E32:INDEX(Amendoim!$E32:$Z32,MIN(V$6-$E$3,22))),0))-IF($G$2,0,IF((V$6-$G$3)&lt;1,0,IFERROR(LOOKUP(2,1/(Amendoim!$E32:INDEX(Amendoim!$E32:$Z32,MIN(V$6-$G$3,22))&lt;&gt;""),Amendoim!$E32:INDEX(Amendoim!$E32:$Z32,MIN(V$6-$G$3,22))),0)))))</f>
        <v>0</v>
      </c>
      <c r="W34" s="27" t="n">
        <f aca="false">IF(COUNT(Amendoim!$E32:$Z32)=0,0,MAX(0,IF((W$6-$E$3)&lt;1,0,IFERROR(LOOKUP(2,1/(Amendoim!$E32:INDEX(Amendoim!$E32:$Z32,MIN(W$6-$E$3,22))&lt;&gt;""),Amendoim!$E32:INDEX(Amendoim!$E32:$Z32,MIN(W$6-$E$3,22))),0))-IF($G$2,0,IF((W$6-$G$3)&lt;1,0,IFERROR(LOOKUP(2,1/(Amendoim!$E32:INDEX(Amendoim!$E32:$Z32,MIN(W$6-$G$3,22))&lt;&gt;""),Amendoim!$E32:INDEX(Amendoim!$E32:$Z32,MIN(W$6-$G$3,22))),0)))))</f>
        <v>0</v>
      </c>
      <c r="X34" s="27" t="n">
        <f aca="false">IF(COUNT(Amendoim!$E32:$Z32)=0,0,MAX(0,IF((X$6-$E$3)&lt;1,0,IFERROR(LOOKUP(2,1/(Amendoim!$E32:INDEX(Amendoim!$E32:$Z32,MIN(X$6-$E$3,22))&lt;&gt;""),Amendoim!$E32:INDEX(Amendoim!$E32:$Z32,MIN(X$6-$E$3,22))),0))-IF($G$2,0,IF((X$6-$G$3)&lt;1,0,IFERROR(LOOKUP(2,1/(Amendoim!$E32:INDEX(Amendoim!$E32:$Z32,MIN(X$6-$G$3,22))&lt;&gt;""),Amendoim!$E32:INDEX(Amendoim!$E32:$Z32,MIN(X$6-$G$3,22))),0)))))</f>
        <v>0</v>
      </c>
      <c r="Y34" s="27" t="n">
        <f aca="false">IF(COUNT(Amendoim!$E32:$Z32)=0,0,MAX(0,IF((Y$6-$E$3)&lt;1,0,IFERROR(LOOKUP(2,1/(Amendoim!$E32:INDEX(Amendoim!$E32:$Z32,MIN(Y$6-$E$3,22))&lt;&gt;""),Amendoim!$E32:INDEX(Amendoim!$E32:$Z32,MIN(Y$6-$E$3,22))),0))-IF($G$2,0,IF((Y$6-$G$3)&lt;1,0,IFERROR(LOOKUP(2,1/(Amendoim!$E32:INDEX(Amendoim!$E32:$Z32,MIN(Y$6-$G$3,22))&lt;&gt;""),Amendoim!$E32:INDEX(Amendoim!$E32:$Z32,MIN(Y$6-$G$3,22))),0)))))</f>
        <v>0</v>
      </c>
      <c r="Z34" s="27" t="n">
        <f aca="false">IF(COUNT(Amendoim!$E32:$Z32)=0,0,MAX(0,IF((Z$6-$E$3)&lt;1,0,IFERROR(LOOKUP(2,1/(Amendoim!$E32:INDEX(Amendoim!$E32:$Z32,MIN(Z$6-$E$3,22))&lt;&gt;""),Amendoim!$E32:INDEX(Amendoim!$E32:$Z32,MIN(Z$6-$E$3,22))),0))-IF($G$2,0,IF((Z$6-$G$3)&lt;1,0,IFERROR(LOOKUP(2,1/(Amendoim!$E32:INDEX(Amendoim!$E32:$Z32,MIN(Z$6-$G$3,22))&lt;&gt;""),Amendoim!$E32:INDEX(Amendoim!$E32:$Z32,MIN(Z$6-$G$3,22))),0)))))</f>
        <v>0</v>
      </c>
      <c r="AA34" s="27" t="n">
        <f aca="false">IF(COUNT(Amendoim!$E32:$Z32)=0,0,MAX(0,IF((AA$6-$E$3)&lt;1,0,IFERROR(LOOKUP(2,1/(Amendoim!$E32:INDEX(Amendoim!$E32:$Z32,MIN(AA$6-$E$3,22))&lt;&gt;""),Amendoim!$E32:INDEX(Amendoim!$E32:$Z32,MIN(AA$6-$E$3,22))),0))-IF($G$2,0,IF((AA$6-$G$3)&lt;1,0,IFERROR(LOOKUP(2,1/(Amendoim!$E32:INDEX(Amendoim!$E32:$Z32,MIN(AA$6-$G$3,22))&lt;&gt;""),Amendoim!$E32:INDEX(Amendoim!$E32:$Z32,MIN(AA$6-$G$3,22))),0)))))</f>
        <v>0</v>
      </c>
      <c r="AB34" s="27" t="n">
        <f aca="false">IF(COUNT(Amendoim!$E32:$Z32)=0,0,MAX(0,IF((AB$6-$E$3)&lt;1,0,IFERROR(LOOKUP(2,1/(Amendoim!$E32:INDEX(Amendoim!$E32:$Z32,MIN(AB$6-$E$3,22))&lt;&gt;""),Amendoim!$E32:INDEX(Amendoim!$E32:$Z32,MIN(AB$6-$E$3,22))),0))-IF($G$2,0,IF((AB$6-$G$3)&lt;1,0,IFERROR(LOOKUP(2,1/(Amendoim!$E32:INDEX(Amendoim!$E32:$Z32,MIN(AB$6-$G$3,22))&lt;&gt;""),Amendoim!$E32:INDEX(Amendoim!$E32:$Z32,MIN(AB$6-$G$3,22))),0)))))</f>
        <v>0</v>
      </c>
      <c r="AC34" s="27" t="n">
        <f aca="false">IF(COUNT(Amendoim!$E32:$Z32)=0,0,MAX(0,IF((AC$6-$E$3)&lt;1,0,IFERROR(LOOKUP(2,1/(Amendoim!$E32:INDEX(Amendoim!$E32:$Z32,MIN(AC$6-$E$3,22))&lt;&gt;""),Amendoim!$E32:INDEX(Amendoim!$E32:$Z32,MIN(AC$6-$E$3,22))),0))-IF($G$2,0,IF((AC$6-$G$3)&lt;1,0,IFERROR(LOOKUP(2,1/(Amendoim!$E32:INDEX(Amendoim!$E32:$Z32,MIN(AC$6-$G$3,22))&lt;&gt;""),Amendoim!$E32:INDEX(Amendoim!$E32:$Z32,MIN(AC$6-$G$3,22))),0)))))</f>
        <v>0</v>
      </c>
      <c r="AD34" s="27" t="n">
        <f aca="false">IF(COUNT(Amendoim!$E32:$Z32)=0,0,MAX(0,IF((AD$6-$E$3)&lt;1,0,IFERROR(LOOKUP(2,1/(Amendoim!$E32:INDEX(Amendoim!$E32:$Z32,MIN(AD$6-$E$3,22))&lt;&gt;""),Amendoim!$E32:INDEX(Amendoim!$E32:$Z32,MIN(AD$6-$E$3,22))),0))-IF($G$2,0,IF((AD$6-$G$3)&lt;1,0,IFERROR(LOOKUP(2,1/(Amendoim!$E32:INDEX(Amendoim!$E32:$Z32,MIN(AD$6-$G$3,22))&lt;&gt;""),Amendoim!$E32:INDEX(Amendoim!$E32:$Z32,MIN(AD$6-$G$3,22))),0)))))</f>
        <v>0</v>
      </c>
      <c r="AE34" s="27" t="n">
        <f aca="false">IF(COUNT(Amendoim!$E32:$Z32)=0,0,MAX(0,IF((AE$6-$E$3)&lt;1,0,IFERROR(LOOKUP(2,1/(Amendoim!$E32:INDEX(Amendoim!$E32:$Z32,MIN(AE$6-$E$3,22))&lt;&gt;""),Amendoim!$E32:INDEX(Amendoim!$E32:$Z32,MIN(AE$6-$E$3,22))),0))-IF($G$2,0,IF((AE$6-$G$3)&lt;1,0,IFERROR(LOOKUP(2,1/(Amendoim!$E32:INDEX(Amendoim!$E32:$Z32,MIN(AE$6-$G$3,22))&lt;&gt;""),Amendoim!$E32:INDEX(Amendoim!$E32:$Z32,MIN(AE$6-$G$3,22))),0)))))</f>
        <v>0</v>
      </c>
      <c r="AF34" s="27" t="n">
        <f aca="false">IF(COUNT(Amendoim!$E32:$Z32)=0,0,MAX(0,IF((AF$6-$E$3)&lt;1,0,IFERROR(LOOKUP(2,1/(Amendoim!$E32:INDEX(Amendoim!$E32:$Z32,MIN(AF$6-$E$3,22))&lt;&gt;""),Amendoim!$E32:INDEX(Amendoim!$E32:$Z32,MIN(AF$6-$E$3,22))),0))-IF($G$2,0,IF((AF$6-$G$3)&lt;1,0,IFERROR(LOOKUP(2,1/(Amendoim!$E32:INDEX(Amendoim!$E32:$Z32,MIN(AF$6-$G$3,22))&lt;&gt;""),Amendoim!$E32:INDEX(Amendoim!$E32:$Z32,MIN(AF$6-$G$3,22))),0)))))</f>
        <v>0</v>
      </c>
      <c r="AG34" s="27" t="n">
        <f aca="false">IF(COUNT(Amendoim!$E32:$Z32)=0,0,MAX(0,IF((AG$6-$E$3)&lt;1,0,IFERROR(LOOKUP(2,1/(Amendoim!$E32:INDEX(Amendoim!$E32:$Z32,MIN(AG$6-$E$3,22))&lt;&gt;""),Amendoim!$E32:INDEX(Amendoim!$E32:$Z32,MIN(AG$6-$E$3,22))),0))-IF($G$2,0,IF((AG$6-$G$3)&lt;1,0,IFERROR(LOOKUP(2,1/(Amendoim!$E32:INDEX(Amendoim!$E32:$Z32,MIN(AG$6-$G$3,22))&lt;&gt;""),Amendoim!$E32:INDEX(Amendoim!$E32:$Z32,MIN(AG$6-$G$3,22))),0)))))</f>
        <v>0</v>
      </c>
      <c r="AH34" s="27" t="n">
        <f aca="false">IF(COUNT(Amendoim!$E32:$Z32)=0,0,MAX(0,IF((AH$6-$E$3)&lt;1,0,IFERROR(LOOKUP(2,1/(Amendoim!$E32:INDEX(Amendoim!$E32:$Z32,MIN(AH$6-$E$3,22))&lt;&gt;""),Amendoim!$E32:INDEX(Amendoim!$E32:$Z32,MIN(AH$6-$E$3,22))),0))-IF($G$2,0,IF((AH$6-$G$3)&lt;1,0,IFERROR(LOOKUP(2,1/(Amendoim!$E32:INDEX(Amendoim!$E32:$Z32,MIN(AH$6-$G$3,22))&lt;&gt;""),Amendoim!$E32:INDEX(Amendoim!$E32:$Z32,MIN(AH$6-$G$3,22))),0)))))</f>
        <v>0</v>
      </c>
      <c r="AI34" s="27" t="n">
        <f aca="false">IF(COUNT(Amendoim!$E32:$Z32)=0,0,MAX(0,IF((AI$6-$E$3)&lt;1,0,IFERROR(LOOKUP(2,1/(Amendoim!$E32:INDEX(Amendoim!$E32:$Z32,MIN(AI$6-$E$3,22))&lt;&gt;""),Amendoim!$E32:INDEX(Amendoim!$E32:$Z32,MIN(AI$6-$E$3,22))),0))-IF($G$2,0,IF((AI$6-$G$3)&lt;1,0,IFERROR(LOOKUP(2,1/(Amendoim!$E32:INDEX(Amendoim!$E32:$Z32,MIN(AI$6-$G$3,22))&lt;&gt;""),Amendoim!$E32:INDEX(Amendoim!$E32:$Z32,MIN(AI$6-$G$3,22))),0)))))</f>
        <v>0</v>
      </c>
      <c r="AJ34" s="27" t="n">
        <f aca="false">IF(COUNT(Amendoim!$E32:$Z32)=0,0,MAX(0,IF((AJ$6-$E$3)&lt;1,0,IFERROR(LOOKUP(2,1/(Amendoim!$E32:INDEX(Amendoim!$E32:$Z32,MIN(AJ$6-$E$3,22))&lt;&gt;""),Amendoim!$E32:INDEX(Amendoim!$E32:$Z32,MIN(AJ$6-$E$3,22))),0))-IF($G$2,0,IF((AJ$6-$G$3)&lt;1,0,IFERROR(LOOKUP(2,1/(Amendoim!$E32:INDEX(Amendoim!$E32:$Z32,MIN(AJ$6-$G$3,22))&lt;&gt;""),Amendoim!$E32:INDEX(Amendoim!$E32:$Z32,MIN(AJ$6-$G$3,22))),0)))))</f>
        <v>0</v>
      </c>
      <c r="AK34" s="27" t="n">
        <f aca="false">IF(COUNT(Amendoim!$E32:$Z32)=0,0,MAX(0,IF((AK$6-$E$3)&lt;1,0,IFERROR(LOOKUP(2,1/(Amendoim!$E32:INDEX(Amendoim!$E32:$Z32,MIN(AK$6-$E$3,22))&lt;&gt;""),Amendoim!$E32:INDEX(Amendoim!$E32:$Z32,MIN(AK$6-$E$3,22))),0))-IF($G$2,0,IF((AK$6-$G$3)&lt;1,0,IFERROR(LOOKUP(2,1/(Amendoim!$E32:INDEX(Amendoim!$E32:$Z32,MIN(AK$6-$G$3,22))&lt;&gt;""),Amendoim!$E32:INDEX(Amendoim!$E32:$Z32,MIN(AK$6-$G$3,22))),0)))))</f>
        <v>0</v>
      </c>
      <c r="AL34" s="27" t="n">
        <f aca="false">IF(COUNT(Amendoim!$E32:$Z32)=0,0,MAX(0,IF((AL$6-$E$3)&lt;1,0,IFERROR(LOOKUP(2,1/(Amendoim!$E32:INDEX(Amendoim!$E32:$Z32,MIN(AL$6-$E$3,22))&lt;&gt;""),Amendoim!$E32:INDEX(Amendoim!$E32:$Z32,MIN(AL$6-$E$3,22))),0))-IF($G$2,0,IF((AL$6-$G$3)&lt;1,0,IFERROR(LOOKUP(2,1/(Amendoim!$E32:INDEX(Amendoim!$E32:$Z32,MIN(AL$6-$G$3,22))&lt;&gt;""),Amendoim!$E32:INDEX(Amendoim!$E32:$Z32,MIN(AL$6-$G$3,22))),0)))))</f>
        <v>0</v>
      </c>
      <c r="AM34" s="27" t="n">
        <f aca="false">IF(COUNT(Amendoim!$E32:$Z32)=0,0,MAX(0,IF((AM$6-$E$3)&lt;1,0,IFERROR(LOOKUP(2,1/(Amendoim!$E32:INDEX(Amendoim!$E32:$Z32,MIN(AM$6-$E$3,22))&lt;&gt;""),Amendoim!$E32:INDEX(Amendoim!$E32:$Z32,MIN(AM$6-$E$3,22))),0))-IF($G$2,0,IF((AM$6-$G$3)&lt;1,0,IFERROR(LOOKUP(2,1/(Amendoim!$E32:INDEX(Amendoim!$E32:$Z32,MIN(AM$6-$G$3,22))&lt;&gt;""),Amendoim!$E32:INDEX(Amendoim!$E32:$Z32,MIN(AM$6-$G$3,22))),0)))))</f>
        <v>0</v>
      </c>
      <c r="AN34" s="27" t="n">
        <f aca="false">IF(COUNT(Amendoim!$E32:$Z32)=0,0,MAX(0,IF((AN$6-$E$3)&lt;1,0,IFERROR(LOOKUP(2,1/(Amendoim!$E32:INDEX(Amendoim!$E32:$Z32,MIN(AN$6-$E$3,22))&lt;&gt;""),Amendoim!$E32:INDEX(Amendoim!$E32:$Z32,MIN(AN$6-$E$3,22))),0))-IF($G$2,0,IF((AN$6-$G$3)&lt;1,0,IFERROR(LOOKUP(2,1/(Amendoim!$E32:INDEX(Amendoim!$E32:$Z32,MIN(AN$6-$G$3,22))&lt;&gt;""),Amendoim!$E32:INDEX(Amendoim!$E32:$Z32,MIN(AN$6-$G$3,22))),0)))))</f>
        <v>0</v>
      </c>
      <c r="AO34" s="27" t="n">
        <f aca="false">IF(COUNT(Amendoim!$E32:$Z32)=0,0,MAX(0,IF((AO$6-$E$3)&lt;1,0,IFERROR(LOOKUP(2,1/(Amendoim!$E32:INDEX(Amendoim!$E32:$Z32,MIN(AO$6-$E$3,22))&lt;&gt;""),Amendoim!$E32:INDEX(Amendoim!$E32:$Z32,MIN(AO$6-$E$3,22))),0))-IF($G$2,0,IF((AO$6-$G$3)&lt;1,0,IFERROR(LOOKUP(2,1/(Amendoim!$E32:INDEX(Amendoim!$E32:$Z32,MIN(AO$6-$G$3,22))&lt;&gt;""),Amendoim!$E32:INDEX(Amendoim!$E32:$Z32,MIN(AO$6-$G$3,22))),0)))))</f>
        <v>0</v>
      </c>
      <c r="AP34" s="27" t="n">
        <f aca="false">IF(COUNT(Amendoim!$E32:$Z32)=0,0,MAX(0,IF((AP$6-$E$3)&lt;1,0,IFERROR(LOOKUP(2,1/(Amendoim!$E32:INDEX(Amendoim!$E32:$Z32,MIN(AP$6-$E$3,22))&lt;&gt;""),Amendoim!$E32:INDEX(Amendoim!$E32:$Z32,MIN(AP$6-$E$3,22))),0))-IF($G$2,0,IF((AP$6-$G$3)&lt;1,0,IFERROR(LOOKUP(2,1/(Amendoim!$E32:INDEX(Amendoim!$E32:$Z32,MIN(AP$6-$G$3,22))&lt;&gt;""),Amendoim!$E32:INDEX(Amendoim!$E32:$Z32,MIN(AP$6-$G$3,22))),0)))))</f>
        <v>0</v>
      </c>
      <c r="AQ34" s="27" t="n">
        <f aca="false">IF(COUNT(Amendoim!$E32:$Z32)=0,0,MAX(0,IF((AQ$6-$E$3)&lt;1,0,IFERROR(LOOKUP(2,1/(Amendoim!$E32:INDEX(Amendoim!$E32:$Z32,MIN(AQ$6-$E$3,22))&lt;&gt;""),Amendoim!$E32:INDEX(Amendoim!$E32:$Z32,MIN(AQ$6-$E$3,22))),0))-IF($G$2,0,IF((AQ$6-$G$3)&lt;1,0,IFERROR(LOOKUP(2,1/(Amendoim!$E32:INDEX(Amendoim!$E32:$Z32,MIN(AQ$6-$G$3,22))&lt;&gt;""),Amendoim!$E32:INDEX(Amendoim!$E32:$Z32,MIN(AQ$6-$G$3,22))),0)))))</f>
        <v>0</v>
      </c>
      <c r="AR34" s="27" t="n">
        <f aca="false">IF(COUNT(Amendoim!$E32:$Z32)=0,0,MAX(0,IF((AR$6-$E$3)&lt;1,0,IFERROR(LOOKUP(2,1/(Amendoim!$E32:INDEX(Amendoim!$E32:$Z32,MIN(AR$6-$E$3,22))&lt;&gt;""),Amendoim!$E32:INDEX(Amendoim!$E32:$Z32,MIN(AR$6-$E$3,22))),0))-IF($G$2,0,IF((AR$6-$G$3)&lt;1,0,IFERROR(LOOKUP(2,1/(Amendoim!$E32:INDEX(Amendoim!$E32:$Z32,MIN(AR$6-$G$3,22))&lt;&gt;""),Amendoim!$E32:INDEX(Amendoim!$E32:$Z32,MIN(AR$6-$G$3,22))),0)))))</f>
        <v>0</v>
      </c>
      <c r="AS34" s="27" t="n">
        <f aca="false">IF(COUNT(Amendoim!$E32:$Z32)=0,0,MAX(0,IF((AS$6-$E$3)&lt;1,0,IFERROR(LOOKUP(2,1/(Amendoim!$E32:INDEX(Amendoim!$E32:$Z32,MIN(AS$6-$E$3,22))&lt;&gt;""),Amendoim!$E32:INDEX(Amendoim!$E32:$Z32,MIN(AS$6-$E$3,22))),0))-IF($G$2,0,IF((AS$6-$G$3)&lt;1,0,IFERROR(LOOKUP(2,1/(Amendoim!$E32:INDEX(Amendoim!$E32:$Z32,MIN(AS$6-$G$3,22))&lt;&gt;""),Amendoim!$E32:INDEX(Amendoim!$E32:$Z32,MIN(AS$6-$G$3,22))),0)))))</f>
        <v>0</v>
      </c>
      <c r="AT34" s="27" t="n">
        <f aca="false">IF(COUNT(Amendoim!$E32:$Z32)=0,0,MAX(0,IF((AT$6-$E$3)&lt;1,0,IFERROR(LOOKUP(2,1/(Amendoim!$E32:INDEX(Amendoim!$E32:$Z32,MIN(AT$6-$E$3,22))&lt;&gt;""),Amendoim!$E32:INDEX(Amendoim!$E32:$Z32,MIN(AT$6-$E$3,22))),0))-IF($G$2,0,IF((AT$6-$G$3)&lt;1,0,IFERROR(LOOKUP(2,1/(Amendoim!$E32:INDEX(Amendoim!$E32:$Z32,MIN(AT$6-$G$3,22))&lt;&gt;""),Amendoim!$E32:INDEX(Amendoim!$E32:$Z32,MIN(AT$6-$G$3,22))),0)))))</f>
        <v>0</v>
      </c>
      <c r="AU34" s="27" t="n">
        <f aca="false">IF(COUNT(Amendoim!$E32:$Z32)=0,0,MAX(0,IF((AU$6-$E$3)&lt;1,0,IFERROR(LOOKUP(2,1/(Amendoim!$E32:INDEX(Amendoim!$E32:$Z32,MIN(AU$6-$E$3,22))&lt;&gt;""),Amendoim!$E32:INDEX(Amendoim!$E32:$Z32,MIN(AU$6-$E$3,22))),0))-IF($G$2,0,IF((AU$6-$G$3)&lt;1,0,IFERROR(LOOKUP(2,1/(Amendoim!$E32:INDEX(Amendoim!$E32:$Z32,MIN(AU$6-$G$3,22))&lt;&gt;""),Amendoim!$E32:INDEX(Amendoim!$E32:$Z32,MIN(AU$6-$G$3,22))),0)))))</f>
        <v>0</v>
      </c>
      <c r="AV34" s="27" t="n">
        <f aca="false">IF(COUNT(Amendoim!$E32:$Z32)=0,0,MAX(0,IF((AV$6-$E$3)&lt;1,0,IFERROR(LOOKUP(2,1/(Amendoim!$E32:INDEX(Amendoim!$E32:$Z32,MIN(AV$6-$E$3,22))&lt;&gt;""),Amendoim!$E32:INDEX(Amendoim!$E32:$Z32,MIN(AV$6-$E$3,22))),0))-IF($G$2,0,IF((AV$6-$G$3)&lt;1,0,IFERROR(LOOKUP(2,1/(Amendoim!$E32:INDEX(Amendoim!$E32:$Z32,MIN(AV$6-$G$3,22))&lt;&gt;""),Amendoim!$E32:INDEX(Amendoim!$E32:$Z32,MIN(AV$6-$G$3,22))),0)))))</f>
        <v>0</v>
      </c>
      <c r="AW34" s="27" t="n">
        <f aca="false">IF(COUNT(Amendoim!$E32:$Z32)=0,0,MAX(0,IF((AW$6-$E$3)&lt;1,0,IFERROR(LOOKUP(2,1/(Amendoim!$E32:INDEX(Amendoim!$E32:$Z32,MIN(AW$6-$E$3,22))&lt;&gt;""),Amendoim!$E32:INDEX(Amendoim!$E32:$Z32,MIN(AW$6-$E$3,22))),0))-IF($G$2,0,IF((AW$6-$G$3)&lt;1,0,IFERROR(LOOKUP(2,1/(Amendoim!$E32:INDEX(Amendoim!$E32:$Z32,MIN(AW$6-$G$3,22))&lt;&gt;""),Amendoim!$E32:INDEX(Amendoim!$E32:$Z32,MIN(AW$6-$G$3,22))),0)))))</f>
        <v>0</v>
      </c>
      <c r="AX34" s="27" t="n">
        <f aca="false">IF(COUNT(Amendoim!$E32:$Z32)=0,0,MAX(0,IF((AX$6-$E$3)&lt;1,0,IFERROR(LOOKUP(2,1/(Amendoim!$E32:INDEX(Amendoim!$E32:$Z32,MIN(AX$6-$E$3,22))&lt;&gt;""),Amendoim!$E32:INDEX(Amendoim!$E32:$Z32,MIN(AX$6-$E$3,22))),0))-IF($G$2,0,IF((AX$6-$G$3)&lt;1,0,IFERROR(LOOKUP(2,1/(Amendoim!$E32:INDEX(Amendoim!$E32:$Z32,MIN(AX$6-$G$3,22))&lt;&gt;""),Amendoim!$E32:INDEX(Amendoim!$E32:$Z32,MIN(AX$6-$G$3,22))),0)))))</f>
        <v>0</v>
      </c>
      <c r="AY34" s="27" t="n">
        <f aca="false">IF(COUNT(Amendoim!$E32:$Z32)=0,0,MAX(0,IF((AY$6-$E$3)&lt;1,0,IFERROR(LOOKUP(2,1/(Amendoim!$E32:INDEX(Amendoim!$E32:$Z32,MIN(AY$6-$E$3,22))&lt;&gt;""),Amendoim!$E32:INDEX(Amendoim!$E32:$Z32,MIN(AY$6-$E$3,22))),0))-IF($G$2,0,IF((AY$6-$G$3)&lt;1,0,IFERROR(LOOKUP(2,1/(Amendoim!$E32:INDEX(Amendoim!$E32:$Z32,MIN(AY$6-$G$3,22))&lt;&gt;""),Amendoim!$E32:INDEX(Amendoim!$E32:$Z32,MIN(AY$6-$G$3,22))),0)))))</f>
        <v>0</v>
      </c>
      <c r="AZ34" s="27" t="n">
        <f aca="false">IF(COUNT(Amendoim!$E32:$Z32)=0,0,MAX(0,IF((AZ$6-$E$3)&lt;1,0,IFERROR(LOOKUP(2,1/(Amendoim!$E32:INDEX(Amendoim!$E32:$Z32,MIN(AZ$6-$E$3,22))&lt;&gt;""),Amendoim!$E32:INDEX(Amendoim!$E32:$Z32,MIN(AZ$6-$E$3,22))),0))-IF($G$2,0,IF((AZ$6-$G$3)&lt;1,0,IFERROR(LOOKUP(2,1/(Amendoim!$E32:INDEX(Amendoim!$E32:$Z32,MIN(AZ$6-$G$3,22))&lt;&gt;""),Amendoim!$E32:INDEX(Amendoim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IF(COUNT(Amendoim!$E33:$Z33)&gt;0,N(Amendoim!$D33),0)</f>
        <v>0</v>
      </c>
      <c r="E35" s="27" t="n">
        <f aca="false">IF(COUNT(Amendoim!$E33:$Z33)=0,0,MAX(0,IF((E$6-$E$3)&lt;1,0,IFERROR(LOOKUP(2,1/(Amendoim!$E33:INDEX(Amendoim!$E33:$Z33,MIN(E$6-$E$3,22))&lt;&gt;""),Amendoim!$E33:INDEX(Amendoim!$E33:$Z33,MIN(E$6-$E$3,22))),0))-IF($G$2,0,IF((E$6-$G$3)&lt;1,0,IFERROR(LOOKUP(2,1/(Amendoim!$E33:INDEX(Amendoim!$E33:$Z33,MIN(E$6-$G$3,22))&lt;&gt;""),Amendoim!$E33:INDEX(Amendoim!$E33:$Z33,MIN(E$6-$G$3,22))),0)))))</f>
        <v>0</v>
      </c>
      <c r="F35" s="27" t="n">
        <f aca="false">IF(COUNT(Amendoim!$E33:$Z33)=0,0,MAX(0,IF((F$6-$E$3)&lt;1,0,IFERROR(LOOKUP(2,1/(Amendoim!$E33:INDEX(Amendoim!$E33:$Z33,MIN(F$6-$E$3,22))&lt;&gt;""),Amendoim!$E33:INDEX(Amendoim!$E33:$Z33,MIN(F$6-$E$3,22))),0))-IF($G$2,0,IF((F$6-$G$3)&lt;1,0,IFERROR(LOOKUP(2,1/(Amendoim!$E33:INDEX(Amendoim!$E33:$Z33,MIN(F$6-$G$3,22))&lt;&gt;""),Amendoim!$E33:INDEX(Amendoim!$E33:$Z33,MIN(F$6-$G$3,22))),0)))))</f>
        <v>0</v>
      </c>
      <c r="G35" s="27" t="n">
        <f aca="false">IF(COUNT(Amendoim!$E33:$Z33)=0,0,MAX(0,IF((G$6-$E$3)&lt;1,0,IFERROR(LOOKUP(2,1/(Amendoim!$E33:INDEX(Amendoim!$E33:$Z33,MIN(G$6-$E$3,22))&lt;&gt;""),Amendoim!$E33:INDEX(Amendoim!$E33:$Z33,MIN(G$6-$E$3,22))),0))-IF($G$2,0,IF((G$6-$G$3)&lt;1,0,IFERROR(LOOKUP(2,1/(Amendoim!$E33:INDEX(Amendoim!$E33:$Z33,MIN(G$6-$G$3,22))&lt;&gt;""),Amendoim!$E33:INDEX(Amendoim!$E33:$Z33,MIN(G$6-$G$3,22))),0)))))</f>
        <v>0</v>
      </c>
      <c r="H35" s="27" t="n">
        <f aca="false">IF(COUNT(Amendoim!$E33:$Z33)=0,0,MAX(0,IF((H$6-$E$3)&lt;1,0,IFERROR(LOOKUP(2,1/(Amendoim!$E33:INDEX(Amendoim!$E33:$Z33,MIN(H$6-$E$3,22))&lt;&gt;""),Amendoim!$E33:INDEX(Amendoim!$E33:$Z33,MIN(H$6-$E$3,22))),0))-IF($G$2,0,IF((H$6-$G$3)&lt;1,0,IFERROR(LOOKUP(2,1/(Amendoim!$E33:INDEX(Amendoim!$E33:$Z33,MIN(H$6-$G$3,22))&lt;&gt;""),Amendoim!$E33:INDEX(Amendoim!$E33:$Z33,MIN(H$6-$G$3,22))),0)))))</f>
        <v>0</v>
      </c>
      <c r="I35" s="27" t="n">
        <f aca="false">IF(COUNT(Amendoim!$E33:$Z33)=0,0,MAX(0,IF((I$6-$E$3)&lt;1,0,IFERROR(LOOKUP(2,1/(Amendoim!$E33:INDEX(Amendoim!$E33:$Z33,MIN(I$6-$E$3,22))&lt;&gt;""),Amendoim!$E33:INDEX(Amendoim!$E33:$Z33,MIN(I$6-$E$3,22))),0))-IF($G$2,0,IF((I$6-$G$3)&lt;1,0,IFERROR(LOOKUP(2,1/(Amendoim!$E33:INDEX(Amendoim!$E33:$Z33,MIN(I$6-$G$3,22))&lt;&gt;""),Amendoim!$E33:INDEX(Amendoim!$E33:$Z33,MIN(I$6-$G$3,22))),0)))))</f>
        <v>0</v>
      </c>
      <c r="J35" s="27" t="n">
        <f aca="false">IF(COUNT(Amendoim!$E33:$Z33)=0,0,MAX(0,IF((J$6-$E$3)&lt;1,0,IFERROR(LOOKUP(2,1/(Amendoim!$E33:INDEX(Amendoim!$E33:$Z33,MIN(J$6-$E$3,22))&lt;&gt;""),Amendoim!$E33:INDEX(Amendoim!$E33:$Z33,MIN(J$6-$E$3,22))),0))-IF($G$2,0,IF((J$6-$G$3)&lt;1,0,IFERROR(LOOKUP(2,1/(Amendoim!$E33:INDEX(Amendoim!$E33:$Z33,MIN(J$6-$G$3,22))&lt;&gt;""),Amendoim!$E33:INDEX(Amendoim!$E33:$Z33,MIN(J$6-$G$3,22))),0)))))</f>
        <v>0</v>
      </c>
      <c r="K35" s="27" t="n">
        <f aca="false">IF(COUNT(Amendoim!$E33:$Z33)=0,0,MAX(0,IF((K$6-$E$3)&lt;1,0,IFERROR(LOOKUP(2,1/(Amendoim!$E33:INDEX(Amendoim!$E33:$Z33,MIN(K$6-$E$3,22))&lt;&gt;""),Amendoim!$E33:INDEX(Amendoim!$E33:$Z33,MIN(K$6-$E$3,22))),0))-IF($G$2,0,IF((K$6-$G$3)&lt;1,0,IFERROR(LOOKUP(2,1/(Amendoim!$E33:INDEX(Amendoim!$E33:$Z33,MIN(K$6-$G$3,22))&lt;&gt;""),Amendoim!$E33:INDEX(Amendoim!$E33:$Z33,MIN(K$6-$G$3,22))),0)))))</f>
        <v>0</v>
      </c>
      <c r="L35" s="27" t="n">
        <f aca="false">IF(COUNT(Amendoim!$E33:$Z33)=0,0,MAX(0,IF((L$6-$E$3)&lt;1,0,IFERROR(LOOKUP(2,1/(Amendoim!$E33:INDEX(Amendoim!$E33:$Z33,MIN(L$6-$E$3,22))&lt;&gt;""),Amendoim!$E33:INDEX(Amendoim!$E33:$Z33,MIN(L$6-$E$3,22))),0))-IF($G$2,0,IF((L$6-$G$3)&lt;1,0,IFERROR(LOOKUP(2,1/(Amendoim!$E33:INDEX(Amendoim!$E33:$Z33,MIN(L$6-$G$3,22))&lt;&gt;""),Amendoim!$E33:INDEX(Amendoim!$E33:$Z33,MIN(L$6-$G$3,22))),0)))))</f>
        <v>0</v>
      </c>
      <c r="M35" s="27" t="n">
        <f aca="false">IF(COUNT(Amendoim!$E33:$Z33)=0,0,MAX(0,IF((M$6-$E$3)&lt;1,0,IFERROR(LOOKUP(2,1/(Amendoim!$E33:INDEX(Amendoim!$E33:$Z33,MIN(M$6-$E$3,22))&lt;&gt;""),Amendoim!$E33:INDEX(Amendoim!$E33:$Z33,MIN(M$6-$E$3,22))),0))-IF($G$2,0,IF((M$6-$G$3)&lt;1,0,IFERROR(LOOKUP(2,1/(Amendoim!$E33:INDEX(Amendoim!$E33:$Z33,MIN(M$6-$G$3,22))&lt;&gt;""),Amendoim!$E33:INDEX(Amendoim!$E33:$Z33,MIN(M$6-$G$3,22))),0)))))</f>
        <v>0</v>
      </c>
      <c r="N35" s="27" t="n">
        <f aca="false">IF(COUNT(Amendoim!$E33:$Z33)=0,0,MAX(0,IF((N$6-$E$3)&lt;1,0,IFERROR(LOOKUP(2,1/(Amendoim!$E33:INDEX(Amendoim!$E33:$Z33,MIN(N$6-$E$3,22))&lt;&gt;""),Amendoim!$E33:INDEX(Amendoim!$E33:$Z33,MIN(N$6-$E$3,22))),0))-IF($G$2,0,IF((N$6-$G$3)&lt;1,0,IFERROR(LOOKUP(2,1/(Amendoim!$E33:INDEX(Amendoim!$E33:$Z33,MIN(N$6-$G$3,22))&lt;&gt;""),Amendoim!$E33:INDEX(Amendoim!$E33:$Z33,MIN(N$6-$G$3,22))),0)))))</f>
        <v>0</v>
      </c>
      <c r="O35" s="27" t="n">
        <f aca="false">IF(COUNT(Amendoim!$E33:$Z33)=0,0,MAX(0,IF((O$6-$E$3)&lt;1,0,IFERROR(LOOKUP(2,1/(Amendoim!$E33:INDEX(Amendoim!$E33:$Z33,MIN(O$6-$E$3,22))&lt;&gt;""),Amendoim!$E33:INDEX(Amendoim!$E33:$Z33,MIN(O$6-$E$3,22))),0))-IF($G$2,0,IF((O$6-$G$3)&lt;1,0,IFERROR(LOOKUP(2,1/(Amendoim!$E33:INDEX(Amendoim!$E33:$Z33,MIN(O$6-$G$3,22))&lt;&gt;""),Amendoim!$E33:INDEX(Amendoim!$E33:$Z33,MIN(O$6-$G$3,22))),0)))))</f>
        <v>0</v>
      </c>
      <c r="P35" s="27" t="n">
        <f aca="false">IF(COUNT(Amendoim!$E33:$Z33)=0,0,MAX(0,IF((P$6-$E$3)&lt;1,0,IFERROR(LOOKUP(2,1/(Amendoim!$E33:INDEX(Amendoim!$E33:$Z33,MIN(P$6-$E$3,22))&lt;&gt;""),Amendoim!$E33:INDEX(Amendoim!$E33:$Z33,MIN(P$6-$E$3,22))),0))-IF($G$2,0,IF((P$6-$G$3)&lt;1,0,IFERROR(LOOKUP(2,1/(Amendoim!$E33:INDEX(Amendoim!$E33:$Z33,MIN(P$6-$G$3,22))&lt;&gt;""),Amendoim!$E33:INDEX(Amendoim!$E33:$Z33,MIN(P$6-$G$3,22))),0)))))</f>
        <v>0</v>
      </c>
      <c r="Q35" s="27" t="n">
        <f aca="false">IF(COUNT(Amendoim!$E33:$Z33)=0,0,MAX(0,IF((Q$6-$E$3)&lt;1,0,IFERROR(LOOKUP(2,1/(Amendoim!$E33:INDEX(Amendoim!$E33:$Z33,MIN(Q$6-$E$3,22))&lt;&gt;""),Amendoim!$E33:INDEX(Amendoim!$E33:$Z33,MIN(Q$6-$E$3,22))),0))-IF($G$2,0,IF((Q$6-$G$3)&lt;1,0,IFERROR(LOOKUP(2,1/(Amendoim!$E33:INDEX(Amendoim!$E33:$Z33,MIN(Q$6-$G$3,22))&lt;&gt;""),Amendoim!$E33:INDEX(Amendoim!$E33:$Z33,MIN(Q$6-$G$3,22))),0)))))</f>
        <v>0</v>
      </c>
      <c r="R35" s="27" t="n">
        <f aca="false">IF(COUNT(Amendoim!$E33:$Z33)=0,0,MAX(0,IF((R$6-$E$3)&lt;1,0,IFERROR(LOOKUP(2,1/(Amendoim!$E33:INDEX(Amendoim!$E33:$Z33,MIN(R$6-$E$3,22))&lt;&gt;""),Amendoim!$E33:INDEX(Amendoim!$E33:$Z33,MIN(R$6-$E$3,22))),0))-IF($G$2,0,IF((R$6-$G$3)&lt;1,0,IFERROR(LOOKUP(2,1/(Amendoim!$E33:INDEX(Amendoim!$E33:$Z33,MIN(R$6-$G$3,22))&lt;&gt;""),Amendoim!$E33:INDEX(Amendoim!$E33:$Z33,MIN(R$6-$G$3,22))),0)))))</f>
        <v>0</v>
      </c>
      <c r="S35" s="27" t="n">
        <f aca="false">IF(COUNT(Amendoim!$E33:$Z33)=0,0,MAX(0,IF((S$6-$E$3)&lt;1,0,IFERROR(LOOKUP(2,1/(Amendoim!$E33:INDEX(Amendoim!$E33:$Z33,MIN(S$6-$E$3,22))&lt;&gt;""),Amendoim!$E33:INDEX(Amendoim!$E33:$Z33,MIN(S$6-$E$3,22))),0))-IF($G$2,0,IF((S$6-$G$3)&lt;1,0,IFERROR(LOOKUP(2,1/(Amendoim!$E33:INDEX(Amendoim!$E33:$Z33,MIN(S$6-$G$3,22))&lt;&gt;""),Amendoim!$E33:INDEX(Amendoim!$E33:$Z33,MIN(S$6-$G$3,22))),0)))))</f>
        <v>0</v>
      </c>
      <c r="T35" s="27" t="n">
        <f aca="false">IF(COUNT(Amendoim!$E33:$Z33)=0,0,MAX(0,IF((T$6-$E$3)&lt;1,0,IFERROR(LOOKUP(2,1/(Amendoim!$E33:INDEX(Amendoim!$E33:$Z33,MIN(T$6-$E$3,22))&lt;&gt;""),Amendoim!$E33:INDEX(Amendoim!$E33:$Z33,MIN(T$6-$E$3,22))),0))-IF($G$2,0,IF((T$6-$G$3)&lt;1,0,IFERROR(LOOKUP(2,1/(Amendoim!$E33:INDEX(Amendoim!$E33:$Z33,MIN(T$6-$G$3,22))&lt;&gt;""),Amendoim!$E33:INDEX(Amendoim!$E33:$Z33,MIN(T$6-$G$3,22))),0)))))</f>
        <v>0</v>
      </c>
      <c r="U35" s="27" t="n">
        <f aca="false">IF(COUNT(Amendoim!$E33:$Z33)=0,0,MAX(0,IF((U$6-$E$3)&lt;1,0,IFERROR(LOOKUP(2,1/(Amendoim!$E33:INDEX(Amendoim!$E33:$Z33,MIN(U$6-$E$3,22))&lt;&gt;""),Amendoim!$E33:INDEX(Amendoim!$E33:$Z33,MIN(U$6-$E$3,22))),0))-IF($G$2,0,IF((U$6-$G$3)&lt;1,0,IFERROR(LOOKUP(2,1/(Amendoim!$E33:INDEX(Amendoim!$E33:$Z33,MIN(U$6-$G$3,22))&lt;&gt;""),Amendoim!$E33:INDEX(Amendoim!$E33:$Z33,MIN(U$6-$G$3,22))),0)))))</f>
        <v>0</v>
      </c>
      <c r="V35" s="27" t="n">
        <f aca="false">IF(COUNT(Amendoim!$E33:$Z33)=0,0,MAX(0,IF((V$6-$E$3)&lt;1,0,IFERROR(LOOKUP(2,1/(Amendoim!$E33:INDEX(Amendoim!$E33:$Z33,MIN(V$6-$E$3,22))&lt;&gt;""),Amendoim!$E33:INDEX(Amendoim!$E33:$Z33,MIN(V$6-$E$3,22))),0))-IF($G$2,0,IF((V$6-$G$3)&lt;1,0,IFERROR(LOOKUP(2,1/(Amendoim!$E33:INDEX(Amendoim!$E33:$Z33,MIN(V$6-$G$3,22))&lt;&gt;""),Amendoim!$E33:INDEX(Amendoim!$E33:$Z33,MIN(V$6-$G$3,22))),0)))))</f>
        <v>0</v>
      </c>
      <c r="W35" s="27" t="n">
        <f aca="false">IF(COUNT(Amendoim!$E33:$Z33)=0,0,MAX(0,IF((W$6-$E$3)&lt;1,0,IFERROR(LOOKUP(2,1/(Amendoim!$E33:INDEX(Amendoim!$E33:$Z33,MIN(W$6-$E$3,22))&lt;&gt;""),Amendoim!$E33:INDEX(Amendoim!$E33:$Z33,MIN(W$6-$E$3,22))),0))-IF($G$2,0,IF((W$6-$G$3)&lt;1,0,IFERROR(LOOKUP(2,1/(Amendoim!$E33:INDEX(Amendoim!$E33:$Z33,MIN(W$6-$G$3,22))&lt;&gt;""),Amendoim!$E33:INDEX(Amendoim!$E33:$Z33,MIN(W$6-$G$3,22))),0)))))</f>
        <v>0</v>
      </c>
      <c r="X35" s="27" t="n">
        <f aca="false">IF(COUNT(Amendoim!$E33:$Z33)=0,0,MAX(0,IF((X$6-$E$3)&lt;1,0,IFERROR(LOOKUP(2,1/(Amendoim!$E33:INDEX(Amendoim!$E33:$Z33,MIN(X$6-$E$3,22))&lt;&gt;""),Amendoim!$E33:INDEX(Amendoim!$E33:$Z33,MIN(X$6-$E$3,22))),0))-IF($G$2,0,IF((X$6-$G$3)&lt;1,0,IFERROR(LOOKUP(2,1/(Amendoim!$E33:INDEX(Amendoim!$E33:$Z33,MIN(X$6-$G$3,22))&lt;&gt;""),Amendoim!$E33:INDEX(Amendoim!$E33:$Z33,MIN(X$6-$G$3,22))),0)))))</f>
        <v>0</v>
      </c>
      <c r="Y35" s="27" t="n">
        <f aca="false">IF(COUNT(Amendoim!$E33:$Z33)=0,0,MAX(0,IF((Y$6-$E$3)&lt;1,0,IFERROR(LOOKUP(2,1/(Amendoim!$E33:INDEX(Amendoim!$E33:$Z33,MIN(Y$6-$E$3,22))&lt;&gt;""),Amendoim!$E33:INDEX(Amendoim!$E33:$Z33,MIN(Y$6-$E$3,22))),0))-IF($G$2,0,IF((Y$6-$G$3)&lt;1,0,IFERROR(LOOKUP(2,1/(Amendoim!$E33:INDEX(Amendoim!$E33:$Z33,MIN(Y$6-$G$3,22))&lt;&gt;""),Amendoim!$E33:INDEX(Amendoim!$E33:$Z33,MIN(Y$6-$G$3,22))),0)))))</f>
        <v>0</v>
      </c>
      <c r="Z35" s="27" t="n">
        <f aca="false">IF(COUNT(Amendoim!$E33:$Z33)=0,0,MAX(0,IF((Z$6-$E$3)&lt;1,0,IFERROR(LOOKUP(2,1/(Amendoim!$E33:INDEX(Amendoim!$E33:$Z33,MIN(Z$6-$E$3,22))&lt;&gt;""),Amendoim!$E33:INDEX(Amendoim!$E33:$Z33,MIN(Z$6-$E$3,22))),0))-IF($G$2,0,IF((Z$6-$G$3)&lt;1,0,IFERROR(LOOKUP(2,1/(Amendoim!$E33:INDEX(Amendoim!$E33:$Z33,MIN(Z$6-$G$3,22))&lt;&gt;""),Amendoim!$E33:INDEX(Amendoim!$E33:$Z33,MIN(Z$6-$G$3,22))),0)))))</f>
        <v>0</v>
      </c>
      <c r="AA35" s="27" t="n">
        <f aca="false">IF(COUNT(Amendoim!$E33:$Z33)=0,0,MAX(0,IF((AA$6-$E$3)&lt;1,0,IFERROR(LOOKUP(2,1/(Amendoim!$E33:INDEX(Amendoim!$E33:$Z33,MIN(AA$6-$E$3,22))&lt;&gt;""),Amendoim!$E33:INDEX(Amendoim!$E33:$Z33,MIN(AA$6-$E$3,22))),0))-IF($G$2,0,IF((AA$6-$G$3)&lt;1,0,IFERROR(LOOKUP(2,1/(Amendoim!$E33:INDEX(Amendoim!$E33:$Z33,MIN(AA$6-$G$3,22))&lt;&gt;""),Amendoim!$E33:INDEX(Amendoim!$E33:$Z33,MIN(AA$6-$G$3,22))),0)))))</f>
        <v>0</v>
      </c>
      <c r="AB35" s="27" t="n">
        <f aca="false">IF(COUNT(Amendoim!$E33:$Z33)=0,0,MAX(0,IF((AB$6-$E$3)&lt;1,0,IFERROR(LOOKUP(2,1/(Amendoim!$E33:INDEX(Amendoim!$E33:$Z33,MIN(AB$6-$E$3,22))&lt;&gt;""),Amendoim!$E33:INDEX(Amendoim!$E33:$Z33,MIN(AB$6-$E$3,22))),0))-IF($G$2,0,IF((AB$6-$G$3)&lt;1,0,IFERROR(LOOKUP(2,1/(Amendoim!$E33:INDEX(Amendoim!$E33:$Z33,MIN(AB$6-$G$3,22))&lt;&gt;""),Amendoim!$E33:INDEX(Amendoim!$E33:$Z33,MIN(AB$6-$G$3,22))),0)))))</f>
        <v>0</v>
      </c>
      <c r="AC35" s="27" t="n">
        <f aca="false">IF(COUNT(Amendoim!$E33:$Z33)=0,0,MAX(0,IF((AC$6-$E$3)&lt;1,0,IFERROR(LOOKUP(2,1/(Amendoim!$E33:INDEX(Amendoim!$E33:$Z33,MIN(AC$6-$E$3,22))&lt;&gt;""),Amendoim!$E33:INDEX(Amendoim!$E33:$Z33,MIN(AC$6-$E$3,22))),0))-IF($G$2,0,IF((AC$6-$G$3)&lt;1,0,IFERROR(LOOKUP(2,1/(Amendoim!$E33:INDEX(Amendoim!$E33:$Z33,MIN(AC$6-$G$3,22))&lt;&gt;""),Amendoim!$E33:INDEX(Amendoim!$E33:$Z33,MIN(AC$6-$G$3,22))),0)))))</f>
        <v>0</v>
      </c>
      <c r="AD35" s="27" t="n">
        <f aca="false">IF(COUNT(Amendoim!$E33:$Z33)=0,0,MAX(0,IF((AD$6-$E$3)&lt;1,0,IFERROR(LOOKUP(2,1/(Amendoim!$E33:INDEX(Amendoim!$E33:$Z33,MIN(AD$6-$E$3,22))&lt;&gt;""),Amendoim!$E33:INDEX(Amendoim!$E33:$Z33,MIN(AD$6-$E$3,22))),0))-IF($G$2,0,IF((AD$6-$G$3)&lt;1,0,IFERROR(LOOKUP(2,1/(Amendoim!$E33:INDEX(Amendoim!$E33:$Z33,MIN(AD$6-$G$3,22))&lt;&gt;""),Amendoim!$E33:INDEX(Amendoim!$E33:$Z33,MIN(AD$6-$G$3,22))),0)))))</f>
        <v>0</v>
      </c>
      <c r="AE35" s="27" t="n">
        <f aca="false">IF(COUNT(Amendoim!$E33:$Z33)=0,0,MAX(0,IF((AE$6-$E$3)&lt;1,0,IFERROR(LOOKUP(2,1/(Amendoim!$E33:INDEX(Amendoim!$E33:$Z33,MIN(AE$6-$E$3,22))&lt;&gt;""),Amendoim!$E33:INDEX(Amendoim!$E33:$Z33,MIN(AE$6-$E$3,22))),0))-IF($G$2,0,IF((AE$6-$G$3)&lt;1,0,IFERROR(LOOKUP(2,1/(Amendoim!$E33:INDEX(Amendoim!$E33:$Z33,MIN(AE$6-$G$3,22))&lt;&gt;""),Amendoim!$E33:INDEX(Amendoim!$E33:$Z33,MIN(AE$6-$G$3,22))),0)))))</f>
        <v>0</v>
      </c>
      <c r="AF35" s="27" t="n">
        <f aca="false">IF(COUNT(Amendoim!$E33:$Z33)=0,0,MAX(0,IF((AF$6-$E$3)&lt;1,0,IFERROR(LOOKUP(2,1/(Amendoim!$E33:INDEX(Amendoim!$E33:$Z33,MIN(AF$6-$E$3,22))&lt;&gt;""),Amendoim!$E33:INDEX(Amendoim!$E33:$Z33,MIN(AF$6-$E$3,22))),0))-IF($G$2,0,IF((AF$6-$G$3)&lt;1,0,IFERROR(LOOKUP(2,1/(Amendoim!$E33:INDEX(Amendoim!$E33:$Z33,MIN(AF$6-$G$3,22))&lt;&gt;""),Amendoim!$E33:INDEX(Amendoim!$E33:$Z33,MIN(AF$6-$G$3,22))),0)))))</f>
        <v>0</v>
      </c>
      <c r="AG35" s="27" t="n">
        <f aca="false">IF(COUNT(Amendoim!$E33:$Z33)=0,0,MAX(0,IF((AG$6-$E$3)&lt;1,0,IFERROR(LOOKUP(2,1/(Amendoim!$E33:INDEX(Amendoim!$E33:$Z33,MIN(AG$6-$E$3,22))&lt;&gt;""),Amendoim!$E33:INDEX(Amendoim!$E33:$Z33,MIN(AG$6-$E$3,22))),0))-IF($G$2,0,IF((AG$6-$G$3)&lt;1,0,IFERROR(LOOKUP(2,1/(Amendoim!$E33:INDEX(Amendoim!$E33:$Z33,MIN(AG$6-$G$3,22))&lt;&gt;""),Amendoim!$E33:INDEX(Amendoim!$E33:$Z33,MIN(AG$6-$G$3,22))),0)))))</f>
        <v>0</v>
      </c>
      <c r="AH35" s="27" t="n">
        <f aca="false">IF(COUNT(Amendoim!$E33:$Z33)=0,0,MAX(0,IF((AH$6-$E$3)&lt;1,0,IFERROR(LOOKUP(2,1/(Amendoim!$E33:INDEX(Amendoim!$E33:$Z33,MIN(AH$6-$E$3,22))&lt;&gt;""),Amendoim!$E33:INDEX(Amendoim!$E33:$Z33,MIN(AH$6-$E$3,22))),0))-IF($G$2,0,IF((AH$6-$G$3)&lt;1,0,IFERROR(LOOKUP(2,1/(Amendoim!$E33:INDEX(Amendoim!$E33:$Z33,MIN(AH$6-$G$3,22))&lt;&gt;""),Amendoim!$E33:INDEX(Amendoim!$E33:$Z33,MIN(AH$6-$G$3,22))),0)))))</f>
        <v>0</v>
      </c>
      <c r="AI35" s="27" t="n">
        <f aca="false">IF(COUNT(Amendoim!$E33:$Z33)=0,0,MAX(0,IF((AI$6-$E$3)&lt;1,0,IFERROR(LOOKUP(2,1/(Amendoim!$E33:INDEX(Amendoim!$E33:$Z33,MIN(AI$6-$E$3,22))&lt;&gt;""),Amendoim!$E33:INDEX(Amendoim!$E33:$Z33,MIN(AI$6-$E$3,22))),0))-IF($G$2,0,IF((AI$6-$G$3)&lt;1,0,IFERROR(LOOKUP(2,1/(Amendoim!$E33:INDEX(Amendoim!$E33:$Z33,MIN(AI$6-$G$3,22))&lt;&gt;""),Amendoim!$E33:INDEX(Amendoim!$E33:$Z33,MIN(AI$6-$G$3,22))),0)))))</f>
        <v>0</v>
      </c>
      <c r="AJ35" s="27" t="n">
        <f aca="false">IF(COUNT(Amendoim!$E33:$Z33)=0,0,MAX(0,IF((AJ$6-$E$3)&lt;1,0,IFERROR(LOOKUP(2,1/(Amendoim!$E33:INDEX(Amendoim!$E33:$Z33,MIN(AJ$6-$E$3,22))&lt;&gt;""),Amendoim!$E33:INDEX(Amendoim!$E33:$Z33,MIN(AJ$6-$E$3,22))),0))-IF($G$2,0,IF((AJ$6-$G$3)&lt;1,0,IFERROR(LOOKUP(2,1/(Amendoim!$E33:INDEX(Amendoim!$E33:$Z33,MIN(AJ$6-$G$3,22))&lt;&gt;""),Amendoim!$E33:INDEX(Amendoim!$E33:$Z33,MIN(AJ$6-$G$3,22))),0)))))</f>
        <v>0</v>
      </c>
      <c r="AK35" s="27" t="n">
        <f aca="false">IF(COUNT(Amendoim!$E33:$Z33)=0,0,MAX(0,IF((AK$6-$E$3)&lt;1,0,IFERROR(LOOKUP(2,1/(Amendoim!$E33:INDEX(Amendoim!$E33:$Z33,MIN(AK$6-$E$3,22))&lt;&gt;""),Amendoim!$E33:INDEX(Amendoim!$E33:$Z33,MIN(AK$6-$E$3,22))),0))-IF($G$2,0,IF((AK$6-$G$3)&lt;1,0,IFERROR(LOOKUP(2,1/(Amendoim!$E33:INDEX(Amendoim!$E33:$Z33,MIN(AK$6-$G$3,22))&lt;&gt;""),Amendoim!$E33:INDEX(Amendoim!$E33:$Z33,MIN(AK$6-$G$3,22))),0)))))</f>
        <v>0</v>
      </c>
      <c r="AL35" s="27" t="n">
        <f aca="false">IF(COUNT(Amendoim!$E33:$Z33)=0,0,MAX(0,IF((AL$6-$E$3)&lt;1,0,IFERROR(LOOKUP(2,1/(Amendoim!$E33:INDEX(Amendoim!$E33:$Z33,MIN(AL$6-$E$3,22))&lt;&gt;""),Amendoim!$E33:INDEX(Amendoim!$E33:$Z33,MIN(AL$6-$E$3,22))),0))-IF($G$2,0,IF((AL$6-$G$3)&lt;1,0,IFERROR(LOOKUP(2,1/(Amendoim!$E33:INDEX(Amendoim!$E33:$Z33,MIN(AL$6-$G$3,22))&lt;&gt;""),Amendoim!$E33:INDEX(Amendoim!$E33:$Z33,MIN(AL$6-$G$3,22))),0)))))</f>
        <v>0</v>
      </c>
      <c r="AM35" s="27" t="n">
        <f aca="false">IF(COUNT(Amendoim!$E33:$Z33)=0,0,MAX(0,IF((AM$6-$E$3)&lt;1,0,IFERROR(LOOKUP(2,1/(Amendoim!$E33:INDEX(Amendoim!$E33:$Z33,MIN(AM$6-$E$3,22))&lt;&gt;""),Amendoim!$E33:INDEX(Amendoim!$E33:$Z33,MIN(AM$6-$E$3,22))),0))-IF($G$2,0,IF((AM$6-$G$3)&lt;1,0,IFERROR(LOOKUP(2,1/(Amendoim!$E33:INDEX(Amendoim!$E33:$Z33,MIN(AM$6-$G$3,22))&lt;&gt;""),Amendoim!$E33:INDEX(Amendoim!$E33:$Z33,MIN(AM$6-$G$3,22))),0)))))</f>
        <v>0</v>
      </c>
      <c r="AN35" s="27" t="n">
        <f aca="false">IF(COUNT(Amendoim!$E33:$Z33)=0,0,MAX(0,IF((AN$6-$E$3)&lt;1,0,IFERROR(LOOKUP(2,1/(Amendoim!$E33:INDEX(Amendoim!$E33:$Z33,MIN(AN$6-$E$3,22))&lt;&gt;""),Amendoim!$E33:INDEX(Amendoim!$E33:$Z33,MIN(AN$6-$E$3,22))),0))-IF($G$2,0,IF((AN$6-$G$3)&lt;1,0,IFERROR(LOOKUP(2,1/(Amendoim!$E33:INDEX(Amendoim!$E33:$Z33,MIN(AN$6-$G$3,22))&lt;&gt;""),Amendoim!$E33:INDEX(Amendoim!$E33:$Z33,MIN(AN$6-$G$3,22))),0)))))</f>
        <v>0</v>
      </c>
      <c r="AO35" s="27" t="n">
        <f aca="false">IF(COUNT(Amendoim!$E33:$Z33)=0,0,MAX(0,IF((AO$6-$E$3)&lt;1,0,IFERROR(LOOKUP(2,1/(Amendoim!$E33:INDEX(Amendoim!$E33:$Z33,MIN(AO$6-$E$3,22))&lt;&gt;""),Amendoim!$E33:INDEX(Amendoim!$E33:$Z33,MIN(AO$6-$E$3,22))),0))-IF($G$2,0,IF((AO$6-$G$3)&lt;1,0,IFERROR(LOOKUP(2,1/(Amendoim!$E33:INDEX(Amendoim!$E33:$Z33,MIN(AO$6-$G$3,22))&lt;&gt;""),Amendoim!$E33:INDEX(Amendoim!$E33:$Z33,MIN(AO$6-$G$3,22))),0)))))</f>
        <v>0</v>
      </c>
      <c r="AP35" s="27" t="n">
        <f aca="false">IF(COUNT(Amendoim!$E33:$Z33)=0,0,MAX(0,IF((AP$6-$E$3)&lt;1,0,IFERROR(LOOKUP(2,1/(Amendoim!$E33:INDEX(Amendoim!$E33:$Z33,MIN(AP$6-$E$3,22))&lt;&gt;""),Amendoim!$E33:INDEX(Amendoim!$E33:$Z33,MIN(AP$6-$E$3,22))),0))-IF($G$2,0,IF((AP$6-$G$3)&lt;1,0,IFERROR(LOOKUP(2,1/(Amendoim!$E33:INDEX(Amendoim!$E33:$Z33,MIN(AP$6-$G$3,22))&lt;&gt;""),Amendoim!$E33:INDEX(Amendoim!$E33:$Z33,MIN(AP$6-$G$3,22))),0)))))</f>
        <v>0</v>
      </c>
      <c r="AQ35" s="27" t="n">
        <f aca="false">IF(COUNT(Amendoim!$E33:$Z33)=0,0,MAX(0,IF((AQ$6-$E$3)&lt;1,0,IFERROR(LOOKUP(2,1/(Amendoim!$E33:INDEX(Amendoim!$E33:$Z33,MIN(AQ$6-$E$3,22))&lt;&gt;""),Amendoim!$E33:INDEX(Amendoim!$E33:$Z33,MIN(AQ$6-$E$3,22))),0))-IF($G$2,0,IF((AQ$6-$G$3)&lt;1,0,IFERROR(LOOKUP(2,1/(Amendoim!$E33:INDEX(Amendoim!$E33:$Z33,MIN(AQ$6-$G$3,22))&lt;&gt;""),Amendoim!$E33:INDEX(Amendoim!$E33:$Z33,MIN(AQ$6-$G$3,22))),0)))))</f>
        <v>0</v>
      </c>
      <c r="AR35" s="27" t="n">
        <f aca="false">IF(COUNT(Amendoim!$E33:$Z33)=0,0,MAX(0,IF((AR$6-$E$3)&lt;1,0,IFERROR(LOOKUP(2,1/(Amendoim!$E33:INDEX(Amendoim!$E33:$Z33,MIN(AR$6-$E$3,22))&lt;&gt;""),Amendoim!$E33:INDEX(Amendoim!$E33:$Z33,MIN(AR$6-$E$3,22))),0))-IF($G$2,0,IF((AR$6-$G$3)&lt;1,0,IFERROR(LOOKUP(2,1/(Amendoim!$E33:INDEX(Amendoim!$E33:$Z33,MIN(AR$6-$G$3,22))&lt;&gt;""),Amendoim!$E33:INDEX(Amendoim!$E33:$Z33,MIN(AR$6-$G$3,22))),0)))))</f>
        <v>0</v>
      </c>
      <c r="AS35" s="27" t="n">
        <f aca="false">IF(COUNT(Amendoim!$E33:$Z33)=0,0,MAX(0,IF((AS$6-$E$3)&lt;1,0,IFERROR(LOOKUP(2,1/(Amendoim!$E33:INDEX(Amendoim!$E33:$Z33,MIN(AS$6-$E$3,22))&lt;&gt;""),Amendoim!$E33:INDEX(Amendoim!$E33:$Z33,MIN(AS$6-$E$3,22))),0))-IF($G$2,0,IF((AS$6-$G$3)&lt;1,0,IFERROR(LOOKUP(2,1/(Amendoim!$E33:INDEX(Amendoim!$E33:$Z33,MIN(AS$6-$G$3,22))&lt;&gt;""),Amendoim!$E33:INDEX(Amendoim!$E33:$Z33,MIN(AS$6-$G$3,22))),0)))))</f>
        <v>0</v>
      </c>
      <c r="AT35" s="27" t="n">
        <f aca="false">IF(COUNT(Amendoim!$E33:$Z33)=0,0,MAX(0,IF((AT$6-$E$3)&lt;1,0,IFERROR(LOOKUP(2,1/(Amendoim!$E33:INDEX(Amendoim!$E33:$Z33,MIN(AT$6-$E$3,22))&lt;&gt;""),Amendoim!$E33:INDEX(Amendoim!$E33:$Z33,MIN(AT$6-$E$3,22))),0))-IF($G$2,0,IF((AT$6-$G$3)&lt;1,0,IFERROR(LOOKUP(2,1/(Amendoim!$E33:INDEX(Amendoim!$E33:$Z33,MIN(AT$6-$G$3,22))&lt;&gt;""),Amendoim!$E33:INDEX(Amendoim!$E33:$Z33,MIN(AT$6-$G$3,22))),0)))))</f>
        <v>0</v>
      </c>
      <c r="AU35" s="27" t="n">
        <f aca="false">IF(COUNT(Amendoim!$E33:$Z33)=0,0,MAX(0,IF((AU$6-$E$3)&lt;1,0,IFERROR(LOOKUP(2,1/(Amendoim!$E33:INDEX(Amendoim!$E33:$Z33,MIN(AU$6-$E$3,22))&lt;&gt;""),Amendoim!$E33:INDEX(Amendoim!$E33:$Z33,MIN(AU$6-$E$3,22))),0))-IF($G$2,0,IF((AU$6-$G$3)&lt;1,0,IFERROR(LOOKUP(2,1/(Amendoim!$E33:INDEX(Amendoim!$E33:$Z33,MIN(AU$6-$G$3,22))&lt;&gt;""),Amendoim!$E33:INDEX(Amendoim!$E33:$Z33,MIN(AU$6-$G$3,22))),0)))))</f>
        <v>0</v>
      </c>
      <c r="AV35" s="27" t="n">
        <f aca="false">IF(COUNT(Amendoim!$E33:$Z33)=0,0,MAX(0,IF((AV$6-$E$3)&lt;1,0,IFERROR(LOOKUP(2,1/(Amendoim!$E33:INDEX(Amendoim!$E33:$Z33,MIN(AV$6-$E$3,22))&lt;&gt;""),Amendoim!$E33:INDEX(Amendoim!$E33:$Z33,MIN(AV$6-$E$3,22))),0))-IF($G$2,0,IF((AV$6-$G$3)&lt;1,0,IFERROR(LOOKUP(2,1/(Amendoim!$E33:INDEX(Amendoim!$E33:$Z33,MIN(AV$6-$G$3,22))&lt;&gt;""),Amendoim!$E33:INDEX(Amendoim!$E33:$Z33,MIN(AV$6-$G$3,22))),0)))))</f>
        <v>0</v>
      </c>
      <c r="AW35" s="27" t="n">
        <f aca="false">IF(COUNT(Amendoim!$E33:$Z33)=0,0,MAX(0,IF((AW$6-$E$3)&lt;1,0,IFERROR(LOOKUP(2,1/(Amendoim!$E33:INDEX(Amendoim!$E33:$Z33,MIN(AW$6-$E$3,22))&lt;&gt;""),Amendoim!$E33:INDEX(Amendoim!$E33:$Z33,MIN(AW$6-$E$3,22))),0))-IF($G$2,0,IF((AW$6-$G$3)&lt;1,0,IFERROR(LOOKUP(2,1/(Amendoim!$E33:INDEX(Amendoim!$E33:$Z33,MIN(AW$6-$G$3,22))&lt;&gt;""),Amendoim!$E33:INDEX(Amendoim!$E33:$Z33,MIN(AW$6-$G$3,22))),0)))))</f>
        <v>0</v>
      </c>
      <c r="AX35" s="27" t="n">
        <f aca="false">IF(COUNT(Amendoim!$E33:$Z33)=0,0,MAX(0,IF((AX$6-$E$3)&lt;1,0,IFERROR(LOOKUP(2,1/(Amendoim!$E33:INDEX(Amendoim!$E33:$Z33,MIN(AX$6-$E$3,22))&lt;&gt;""),Amendoim!$E33:INDEX(Amendoim!$E33:$Z33,MIN(AX$6-$E$3,22))),0))-IF($G$2,0,IF((AX$6-$G$3)&lt;1,0,IFERROR(LOOKUP(2,1/(Amendoim!$E33:INDEX(Amendoim!$E33:$Z33,MIN(AX$6-$G$3,22))&lt;&gt;""),Amendoim!$E33:INDEX(Amendoim!$E33:$Z33,MIN(AX$6-$G$3,22))),0)))))</f>
        <v>0</v>
      </c>
      <c r="AY35" s="27" t="n">
        <f aca="false">IF(COUNT(Amendoim!$E33:$Z33)=0,0,MAX(0,IF((AY$6-$E$3)&lt;1,0,IFERROR(LOOKUP(2,1/(Amendoim!$E33:INDEX(Amendoim!$E33:$Z33,MIN(AY$6-$E$3,22))&lt;&gt;""),Amendoim!$E33:INDEX(Amendoim!$E33:$Z33,MIN(AY$6-$E$3,22))),0))-IF($G$2,0,IF((AY$6-$G$3)&lt;1,0,IFERROR(LOOKUP(2,1/(Amendoim!$E33:INDEX(Amendoim!$E33:$Z33,MIN(AY$6-$G$3,22))&lt;&gt;""),Amendoim!$E33:INDEX(Amendoim!$E33:$Z33,MIN(AY$6-$G$3,22))),0)))))</f>
        <v>0</v>
      </c>
      <c r="AZ35" s="27" t="n">
        <f aca="false">IF(COUNT(Amendoim!$E33:$Z33)=0,0,MAX(0,IF((AZ$6-$E$3)&lt;1,0,IFERROR(LOOKUP(2,1/(Amendoim!$E33:INDEX(Amendoim!$E33:$Z33,MIN(AZ$6-$E$3,22))&lt;&gt;""),Amendoim!$E33:INDEX(Amendoim!$E33:$Z33,MIN(AZ$6-$E$3,22))),0))-IF($G$2,0,IF((AZ$6-$G$3)&lt;1,0,IFERROR(LOOKUP(2,1/(Amendoim!$E33:INDEX(Amendoim!$E33:$Z33,MIN(AZ$6-$G$3,22))&lt;&gt;""),Amendoim!$E33:INDEX(Amendoim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IF(COUNT(Amendoim!$E34:$Z34)&gt;0,N(Amendoim!$D34),0)</f>
        <v>0</v>
      </c>
      <c r="E36" s="27" t="n">
        <f aca="false">IF(COUNT(Amendoim!$E34:$Z34)=0,0,MAX(0,IF((E$6-$E$3)&lt;1,0,IFERROR(LOOKUP(2,1/(Amendoim!$E34:INDEX(Amendoim!$E34:$Z34,MIN(E$6-$E$3,22))&lt;&gt;""),Amendoim!$E34:INDEX(Amendoim!$E34:$Z34,MIN(E$6-$E$3,22))),0))-IF($G$2,0,IF((E$6-$G$3)&lt;1,0,IFERROR(LOOKUP(2,1/(Amendoim!$E34:INDEX(Amendoim!$E34:$Z34,MIN(E$6-$G$3,22))&lt;&gt;""),Amendoim!$E34:INDEX(Amendoim!$E34:$Z34,MIN(E$6-$G$3,22))),0)))))</f>
        <v>0</v>
      </c>
      <c r="F36" s="27" t="n">
        <f aca="false">IF(COUNT(Amendoim!$E34:$Z34)=0,0,MAX(0,IF((F$6-$E$3)&lt;1,0,IFERROR(LOOKUP(2,1/(Amendoim!$E34:INDEX(Amendoim!$E34:$Z34,MIN(F$6-$E$3,22))&lt;&gt;""),Amendoim!$E34:INDEX(Amendoim!$E34:$Z34,MIN(F$6-$E$3,22))),0))-IF($G$2,0,IF((F$6-$G$3)&lt;1,0,IFERROR(LOOKUP(2,1/(Amendoim!$E34:INDEX(Amendoim!$E34:$Z34,MIN(F$6-$G$3,22))&lt;&gt;""),Amendoim!$E34:INDEX(Amendoim!$E34:$Z34,MIN(F$6-$G$3,22))),0)))))</f>
        <v>0</v>
      </c>
      <c r="G36" s="27" t="n">
        <f aca="false">IF(COUNT(Amendoim!$E34:$Z34)=0,0,MAX(0,IF((G$6-$E$3)&lt;1,0,IFERROR(LOOKUP(2,1/(Amendoim!$E34:INDEX(Amendoim!$E34:$Z34,MIN(G$6-$E$3,22))&lt;&gt;""),Amendoim!$E34:INDEX(Amendoim!$E34:$Z34,MIN(G$6-$E$3,22))),0))-IF($G$2,0,IF((G$6-$G$3)&lt;1,0,IFERROR(LOOKUP(2,1/(Amendoim!$E34:INDEX(Amendoim!$E34:$Z34,MIN(G$6-$G$3,22))&lt;&gt;""),Amendoim!$E34:INDEX(Amendoim!$E34:$Z34,MIN(G$6-$G$3,22))),0)))))</f>
        <v>0</v>
      </c>
      <c r="H36" s="27" t="n">
        <f aca="false">IF(COUNT(Amendoim!$E34:$Z34)=0,0,MAX(0,IF((H$6-$E$3)&lt;1,0,IFERROR(LOOKUP(2,1/(Amendoim!$E34:INDEX(Amendoim!$E34:$Z34,MIN(H$6-$E$3,22))&lt;&gt;""),Amendoim!$E34:INDEX(Amendoim!$E34:$Z34,MIN(H$6-$E$3,22))),0))-IF($G$2,0,IF((H$6-$G$3)&lt;1,0,IFERROR(LOOKUP(2,1/(Amendoim!$E34:INDEX(Amendoim!$E34:$Z34,MIN(H$6-$G$3,22))&lt;&gt;""),Amendoim!$E34:INDEX(Amendoim!$E34:$Z34,MIN(H$6-$G$3,22))),0)))))</f>
        <v>0</v>
      </c>
      <c r="I36" s="27" t="n">
        <f aca="false">IF(COUNT(Amendoim!$E34:$Z34)=0,0,MAX(0,IF((I$6-$E$3)&lt;1,0,IFERROR(LOOKUP(2,1/(Amendoim!$E34:INDEX(Amendoim!$E34:$Z34,MIN(I$6-$E$3,22))&lt;&gt;""),Amendoim!$E34:INDEX(Amendoim!$E34:$Z34,MIN(I$6-$E$3,22))),0))-IF($G$2,0,IF((I$6-$G$3)&lt;1,0,IFERROR(LOOKUP(2,1/(Amendoim!$E34:INDEX(Amendoim!$E34:$Z34,MIN(I$6-$G$3,22))&lt;&gt;""),Amendoim!$E34:INDEX(Amendoim!$E34:$Z34,MIN(I$6-$G$3,22))),0)))))</f>
        <v>0</v>
      </c>
      <c r="J36" s="27" t="n">
        <f aca="false">IF(COUNT(Amendoim!$E34:$Z34)=0,0,MAX(0,IF((J$6-$E$3)&lt;1,0,IFERROR(LOOKUP(2,1/(Amendoim!$E34:INDEX(Amendoim!$E34:$Z34,MIN(J$6-$E$3,22))&lt;&gt;""),Amendoim!$E34:INDEX(Amendoim!$E34:$Z34,MIN(J$6-$E$3,22))),0))-IF($G$2,0,IF((J$6-$G$3)&lt;1,0,IFERROR(LOOKUP(2,1/(Amendoim!$E34:INDEX(Amendoim!$E34:$Z34,MIN(J$6-$G$3,22))&lt;&gt;""),Amendoim!$E34:INDEX(Amendoim!$E34:$Z34,MIN(J$6-$G$3,22))),0)))))</f>
        <v>0</v>
      </c>
      <c r="K36" s="27" t="n">
        <f aca="false">IF(COUNT(Amendoim!$E34:$Z34)=0,0,MAX(0,IF((K$6-$E$3)&lt;1,0,IFERROR(LOOKUP(2,1/(Amendoim!$E34:INDEX(Amendoim!$E34:$Z34,MIN(K$6-$E$3,22))&lt;&gt;""),Amendoim!$E34:INDEX(Amendoim!$E34:$Z34,MIN(K$6-$E$3,22))),0))-IF($G$2,0,IF((K$6-$G$3)&lt;1,0,IFERROR(LOOKUP(2,1/(Amendoim!$E34:INDEX(Amendoim!$E34:$Z34,MIN(K$6-$G$3,22))&lt;&gt;""),Amendoim!$E34:INDEX(Amendoim!$E34:$Z34,MIN(K$6-$G$3,22))),0)))))</f>
        <v>0</v>
      </c>
      <c r="L36" s="27" t="n">
        <f aca="false">IF(COUNT(Amendoim!$E34:$Z34)=0,0,MAX(0,IF((L$6-$E$3)&lt;1,0,IFERROR(LOOKUP(2,1/(Amendoim!$E34:INDEX(Amendoim!$E34:$Z34,MIN(L$6-$E$3,22))&lt;&gt;""),Amendoim!$E34:INDEX(Amendoim!$E34:$Z34,MIN(L$6-$E$3,22))),0))-IF($G$2,0,IF((L$6-$G$3)&lt;1,0,IFERROR(LOOKUP(2,1/(Amendoim!$E34:INDEX(Amendoim!$E34:$Z34,MIN(L$6-$G$3,22))&lt;&gt;""),Amendoim!$E34:INDEX(Amendoim!$E34:$Z34,MIN(L$6-$G$3,22))),0)))))</f>
        <v>0</v>
      </c>
      <c r="M36" s="27" t="n">
        <f aca="false">IF(COUNT(Amendoim!$E34:$Z34)=0,0,MAX(0,IF((M$6-$E$3)&lt;1,0,IFERROR(LOOKUP(2,1/(Amendoim!$E34:INDEX(Amendoim!$E34:$Z34,MIN(M$6-$E$3,22))&lt;&gt;""),Amendoim!$E34:INDEX(Amendoim!$E34:$Z34,MIN(M$6-$E$3,22))),0))-IF($G$2,0,IF((M$6-$G$3)&lt;1,0,IFERROR(LOOKUP(2,1/(Amendoim!$E34:INDEX(Amendoim!$E34:$Z34,MIN(M$6-$G$3,22))&lt;&gt;""),Amendoim!$E34:INDEX(Amendoim!$E34:$Z34,MIN(M$6-$G$3,22))),0)))))</f>
        <v>0</v>
      </c>
      <c r="N36" s="27" t="n">
        <f aca="false">IF(COUNT(Amendoim!$E34:$Z34)=0,0,MAX(0,IF((N$6-$E$3)&lt;1,0,IFERROR(LOOKUP(2,1/(Amendoim!$E34:INDEX(Amendoim!$E34:$Z34,MIN(N$6-$E$3,22))&lt;&gt;""),Amendoim!$E34:INDEX(Amendoim!$E34:$Z34,MIN(N$6-$E$3,22))),0))-IF($G$2,0,IF((N$6-$G$3)&lt;1,0,IFERROR(LOOKUP(2,1/(Amendoim!$E34:INDEX(Amendoim!$E34:$Z34,MIN(N$6-$G$3,22))&lt;&gt;""),Amendoim!$E34:INDEX(Amendoim!$E34:$Z34,MIN(N$6-$G$3,22))),0)))))</f>
        <v>0</v>
      </c>
      <c r="O36" s="27" t="n">
        <f aca="false">IF(COUNT(Amendoim!$E34:$Z34)=0,0,MAX(0,IF((O$6-$E$3)&lt;1,0,IFERROR(LOOKUP(2,1/(Amendoim!$E34:INDEX(Amendoim!$E34:$Z34,MIN(O$6-$E$3,22))&lt;&gt;""),Amendoim!$E34:INDEX(Amendoim!$E34:$Z34,MIN(O$6-$E$3,22))),0))-IF($G$2,0,IF((O$6-$G$3)&lt;1,0,IFERROR(LOOKUP(2,1/(Amendoim!$E34:INDEX(Amendoim!$E34:$Z34,MIN(O$6-$G$3,22))&lt;&gt;""),Amendoim!$E34:INDEX(Amendoim!$E34:$Z34,MIN(O$6-$G$3,22))),0)))))</f>
        <v>0</v>
      </c>
      <c r="P36" s="27" t="n">
        <f aca="false">IF(COUNT(Amendoim!$E34:$Z34)=0,0,MAX(0,IF((P$6-$E$3)&lt;1,0,IFERROR(LOOKUP(2,1/(Amendoim!$E34:INDEX(Amendoim!$E34:$Z34,MIN(P$6-$E$3,22))&lt;&gt;""),Amendoim!$E34:INDEX(Amendoim!$E34:$Z34,MIN(P$6-$E$3,22))),0))-IF($G$2,0,IF((P$6-$G$3)&lt;1,0,IFERROR(LOOKUP(2,1/(Amendoim!$E34:INDEX(Amendoim!$E34:$Z34,MIN(P$6-$G$3,22))&lt;&gt;""),Amendoim!$E34:INDEX(Amendoim!$E34:$Z34,MIN(P$6-$G$3,22))),0)))))</f>
        <v>0</v>
      </c>
      <c r="Q36" s="27" t="n">
        <f aca="false">IF(COUNT(Amendoim!$E34:$Z34)=0,0,MAX(0,IF((Q$6-$E$3)&lt;1,0,IFERROR(LOOKUP(2,1/(Amendoim!$E34:INDEX(Amendoim!$E34:$Z34,MIN(Q$6-$E$3,22))&lt;&gt;""),Amendoim!$E34:INDEX(Amendoim!$E34:$Z34,MIN(Q$6-$E$3,22))),0))-IF($G$2,0,IF((Q$6-$G$3)&lt;1,0,IFERROR(LOOKUP(2,1/(Amendoim!$E34:INDEX(Amendoim!$E34:$Z34,MIN(Q$6-$G$3,22))&lt;&gt;""),Amendoim!$E34:INDEX(Amendoim!$E34:$Z34,MIN(Q$6-$G$3,22))),0)))))</f>
        <v>0</v>
      </c>
      <c r="R36" s="27" t="n">
        <f aca="false">IF(COUNT(Amendoim!$E34:$Z34)=0,0,MAX(0,IF((R$6-$E$3)&lt;1,0,IFERROR(LOOKUP(2,1/(Amendoim!$E34:INDEX(Amendoim!$E34:$Z34,MIN(R$6-$E$3,22))&lt;&gt;""),Amendoim!$E34:INDEX(Amendoim!$E34:$Z34,MIN(R$6-$E$3,22))),0))-IF($G$2,0,IF((R$6-$G$3)&lt;1,0,IFERROR(LOOKUP(2,1/(Amendoim!$E34:INDEX(Amendoim!$E34:$Z34,MIN(R$6-$G$3,22))&lt;&gt;""),Amendoim!$E34:INDEX(Amendoim!$E34:$Z34,MIN(R$6-$G$3,22))),0)))))</f>
        <v>0</v>
      </c>
      <c r="S36" s="27" t="n">
        <f aca="false">IF(COUNT(Amendoim!$E34:$Z34)=0,0,MAX(0,IF((S$6-$E$3)&lt;1,0,IFERROR(LOOKUP(2,1/(Amendoim!$E34:INDEX(Amendoim!$E34:$Z34,MIN(S$6-$E$3,22))&lt;&gt;""),Amendoim!$E34:INDEX(Amendoim!$E34:$Z34,MIN(S$6-$E$3,22))),0))-IF($G$2,0,IF((S$6-$G$3)&lt;1,0,IFERROR(LOOKUP(2,1/(Amendoim!$E34:INDEX(Amendoim!$E34:$Z34,MIN(S$6-$G$3,22))&lt;&gt;""),Amendoim!$E34:INDEX(Amendoim!$E34:$Z34,MIN(S$6-$G$3,22))),0)))))</f>
        <v>0</v>
      </c>
      <c r="T36" s="27" t="n">
        <f aca="false">IF(COUNT(Amendoim!$E34:$Z34)=0,0,MAX(0,IF((T$6-$E$3)&lt;1,0,IFERROR(LOOKUP(2,1/(Amendoim!$E34:INDEX(Amendoim!$E34:$Z34,MIN(T$6-$E$3,22))&lt;&gt;""),Amendoim!$E34:INDEX(Amendoim!$E34:$Z34,MIN(T$6-$E$3,22))),0))-IF($G$2,0,IF((T$6-$G$3)&lt;1,0,IFERROR(LOOKUP(2,1/(Amendoim!$E34:INDEX(Amendoim!$E34:$Z34,MIN(T$6-$G$3,22))&lt;&gt;""),Amendoim!$E34:INDEX(Amendoim!$E34:$Z34,MIN(T$6-$G$3,22))),0)))))</f>
        <v>0</v>
      </c>
      <c r="U36" s="27" t="n">
        <f aca="false">IF(COUNT(Amendoim!$E34:$Z34)=0,0,MAX(0,IF((U$6-$E$3)&lt;1,0,IFERROR(LOOKUP(2,1/(Amendoim!$E34:INDEX(Amendoim!$E34:$Z34,MIN(U$6-$E$3,22))&lt;&gt;""),Amendoim!$E34:INDEX(Amendoim!$E34:$Z34,MIN(U$6-$E$3,22))),0))-IF($G$2,0,IF((U$6-$G$3)&lt;1,0,IFERROR(LOOKUP(2,1/(Amendoim!$E34:INDEX(Amendoim!$E34:$Z34,MIN(U$6-$G$3,22))&lt;&gt;""),Amendoim!$E34:INDEX(Amendoim!$E34:$Z34,MIN(U$6-$G$3,22))),0)))))</f>
        <v>0</v>
      </c>
      <c r="V36" s="27" t="n">
        <f aca="false">IF(COUNT(Amendoim!$E34:$Z34)=0,0,MAX(0,IF((V$6-$E$3)&lt;1,0,IFERROR(LOOKUP(2,1/(Amendoim!$E34:INDEX(Amendoim!$E34:$Z34,MIN(V$6-$E$3,22))&lt;&gt;""),Amendoim!$E34:INDEX(Amendoim!$E34:$Z34,MIN(V$6-$E$3,22))),0))-IF($G$2,0,IF((V$6-$G$3)&lt;1,0,IFERROR(LOOKUP(2,1/(Amendoim!$E34:INDEX(Amendoim!$E34:$Z34,MIN(V$6-$G$3,22))&lt;&gt;""),Amendoim!$E34:INDEX(Amendoim!$E34:$Z34,MIN(V$6-$G$3,22))),0)))))</f>
        <v>0</v>
      </c>
      <c r="W36" s="27" t="n">
        <f aca="false">IF(COUNT(Amendoim!$E34:$Z34)=0,0,MAX(0,IF((W$6-$E$3)&lt;1,0,IFERROR(LOOKUP(2,1/(Amendoim!$E34:INDEX(Amendoim!$E34:$Z34,MIN(W$6-$E$3,22))&lt;&gt;""),Amendoim!$E34:INDEX(Amendoim!$E34:$Z34,MIN(W$6-$E$3,22))),0))-IF($G$2,0,IF((W$6-$G$3)&lt;1,0,IFERROR(LOOKUP(2,1/(Amendoim!$E34:INDEX(Amendoim!$E34:$Z34,MIN(W$6-$G$3,22))&lt;&gt;""),Amendoim!$E34:INDEX(Amendoim!$E34:$Z34,MIN(W$6-$G$3,22))),0)))))</f>
        <v>0</v>
      </c>
      <c r="X36" s="27" t="n">
        <f aca="false">IF(COUNT(Amendoim!$E34:$Z34)=0,0,MAX(0,IF((X$6-$E$3)&lt;1,0,IFERROR(LOOKUP(2,1/(Amendoim!$E34:INDEX(Amendoim!$E34:$Z34,MIN(X$6-$E$3,22))&lt;&gt;""),Amendoim!$E34:INDEX(Amendoim!$E34:$Z34,MIN(X$6-$E$3,22))),0))-IF($G$2,0,IF((X$6-$G$3)&lt;1,0,IFERROR(LOOKUP(2,1/(Amendoim!$E34:INDEX(Amendoim!$E34:$Z34,MIN(X$6-$G$3,22))&lt;&gt;""),Amendoim!$E34:INDEX(Amendoim!$E34:$Z34,MIN(X$6-$G$3,22))),0)))))</f>
        <v>0</v>
      </c>
      <c r="Y36" s="27" t="n">
        <f aca="false">IF(COUNT(Amendoim!$E34:$Z34)=0,0,MAX(0,IF((Y$6-$E$3)&lt;1,0,IFERROR(LOOKUP(2,1/(Amendoim!$E34:INDEX(Amendoim!$E34:$Z34,MIN(Y$6-$E$3,22))&lt;&gt;""),Amendoim!$E34:INDEX(Amendoim!$E34:$Z34,MIN(Y$6-$E$3,22))),0))-IF($G$2,0,IF((Y$6-$G$3)&lt;1,0,IFERROR(LOOKUP(2,1/(Amendoim!$E34:INDEX(Amendoim!$E34:$Z34,MIN(Y$6-$G$3,22))&lt;&gt;""),Amendoim!$E34:INDEX(Amendoim!$E34:$Z34,MIN(Y$6-$G$3,22))),0)))))</f>
        <v>0</v>
      </c>
      <c r="Z36" s="27" t="n">
        <f aca="false">IF(COUNT(Amendoim!$E34:$Z34)=0,0,MAX(0,IF((Z$6-$E$3)&lt;1,0,IFERROR(LOOKUP(2,1/(Amendoim!$E34:INDEX(Amendoim!$E34:$Z34,MIN(Z$6-$E$3,22))&lt;&gt;""),Amendoim!$E34:INDEX(Amendoim!$E34:$Z34,MIN(Z$6-$E$3,22))),0))-IF($G$2,0,IF((Z$6-$G$3)&lt;1,0,IFERROR(LOOKUP(2,1/(Amendoim!$E34:INDEX(Amendoim!$E34:$Z34,MIN(Z$6-$G$3,22))&lt;&gt;""),Amendoim!$E34:INDEX(Amendoim!$E34:$Z34,MIN(Z$6-$G$3,22))),0)))))</f>
        <v>0</v>
      </c>
      <c r="AA36" s="27" t="n">
        <f aca="false">IF(COUNT(Amendoim!$E34:$Z34)=0,0,MAX(0,IF((AA$6-$E$3)&lt;1,0,IFERROR(LOOKUP(2,1/(Amendoim!$E34:INDEX(Amendoim!$E34:$Z34,MIN(AA$6-$E$3,22))&lt;&gt;""),Amendoim!$E34:INDEX(Amendoim!$E34:$Z34,MIN(AA$6-$E$3,22))),0))-IF($G$2,0,IF((AA$6-$G$3)&lt;1,0,IFERROR(LOOKUP(2,1/(Amendoim!$E34:INDEX(Amendoim!$E34:$Z34,MIN(AA$6-$G$3,22))&lt;&gt;""),Amendoim!$E34:INDEX(Amendoim!$E34:$Z34,MIN(AA$6-$G$3,22))),0)))))</f>
        <v>0</v>
      </c>
      <c r="AB36" s="27" t="n">
        <f aca="false">IF(COUNT(Amendoim!$E34:$Z34)=0,0,MAX(0,IF((AB$6-$E$3)&lt;1,0,IFERROR(LOOKUP(2,1/(Amendoim!$E34:INDEX(Amendoim!$E34:$Z34,MIN(AB$6-$E$3,22))&lt;&gt;""),Amendoim!$E34:INDEX(Amendoim!$E34:$Z34,MIN(AB$6-$E$3,22))),0))-IF($G$2,0,IF((AB$6-$G$3)&lt;1,0,IFERROR(LOOKUP(2,1/(Amendoim!$E34:INDEX(Amendoim!$E34:$Z34,MIN(AB$6-$G$3,22))&lt;&gt;""),Amendoim!$E34:INDEX(Amendoim!$E34:$Z34,MIN(AB$6-$G$3,22))),0)))))</f>
        <v>0</v>
      </c>
      <c r="AC36" s="27" t="n">
        <f aca="false">IF(COUNT(Amendoim!$E34:$Z34)=0,0,MAX(0,IF((AC$6-$E$3)&lt;1,0,IFERROR(LOOKUP(2,1/(Amendoim!$E34:INDEX(Amendoim!$E34:$Z34,MIN(AC$6-$E$3,22))&lt;&gt;""),Amendoim!$E34:INDEX(Amendoim!$E34:$Z34,MIN(AC$6-$E$3,22))),0))-IF($G$2,0,IF((AC$6-$G$3)&lt;1,0,IFERROR(LOOKUP(2,1/(Amendoim!$E34:INDEX(Amendoim!$E34:$Z34,MIN(AC$6-$G$3,22))&lt;&gt;""),Amendoim!$E34:INDEX(Amendoim!$E34:$Z34,MIN(AC$6-$G$3,22))),0)))))</f>
        <v>0</v>
      </c>
      <c r="AD36" s="27" t="n">
        <f aca="false">IF(COUNT(Amendoim!$E34:$Z34)=0,0,MAX(0,IF((AD$6-$E$3)&lt;1,0,IFERROR(LOOKUP(2,1/(Amendoim!$E34:INDEX(Amendoim!$E34:$Z34,MIN(AD$6-$E$3,22))&lt;&gt;""),Amendoim!$E34:INDEX(Amendoim!$E34:$Z34,MIN(AD$6-$E$3,22))),0))-IF($G$2,0,IF((AD$6-$G$3)&lt;1,0,IFERROR(LOOKUP(2,1/(Amendoim!$E34:INDEX(Amendoim!$E34:$Z34,MIN(AD$6-$G$3,22))&lt;&gt;""),Amendoim!$E34:INDEX(Amendoim!$E34:$Z34,MIN(AD$6-$G$3,22))),0)))))</f>
        <v>0</v>
      </c>
      <c r="AE36" s="27" t="n">
        <f aca="false">IF(COUNT(Amendoim!$E34:$Z34)=0,0,MAX(0,IF((AE$6-$E$3)&lt;1,0,IFERROR(LOOKUP(2,1/(Amendoim!$E34:INDEX(Amendoim!$E34:$Z34,MIN(AE$6-$E$3,22))&lt;&gt;""),Amendoim!$E34:INDEX(Amendoim!$E34:$Z34,MIN(AE$6-$E$3,22))),0))-IF($G$2,0,IF((AE$6-$G$3)&lt;1,0,IFERROR(LOOKUP(2,1/(Amendoim!$E34:INDEX(Amendoim!$E34:$Z34,MIN(AE$6-$G$3,22))&lt;&gt;""),Amendoim!$E34:INDEX(Amendoim!$E34:$Z34,MIN(AE$6-$G$3,22))),0)))))</f>
        <v>0</v>
      </c>
      <c r="AF36" s="27" t="n">
        <f aca="false">IF(COUNT(Amendoim!$E34:$Z34)=0,0,MAX(0,IF((AF$6-$E$3)&lt;1,0,IFERROR(LOOKUP(2,1/(Amendoim!$E34:INDEX(Amendoim!$E34:$Z34,MIN(AF$6-$E$3,22))&lt;&gt;""),Amendoim!$E34:INDEX(Amendoim!$E34:$Z34,MIN(AF$6-$E$3,22))),0))-IF($G$2,0,IF((AF$6-$G$3)&lt;1,0,IFERROR(LOOKUP(2,1/(Amendoim!$E34:INDEX(Amendoim!$E34:$Z34,MIN(AF$6-$G$3,22))&lt;&gt;""),Amendoim!$E34:INDEX(Amendoim!$E34:$Z34,MIN(AF$6-$G$3,22))),0)))))</f>
        <v>0</v>
      </c>
      <c r="AG36" s="27" t="n">
        <f aca="false">IF(COUNT(Amendoim!$E34:$Z34)=0,0,MAX(0,IF((AG$6-$E$3)&lt;1,0,IFERROR(LOOKUP(2,1/(Amendoim!$E34:INDEX(Amendoim!$E34:$Z34,MIN(AG$6-$E$3,22))&lt;&gt;""),Amendoim!$E34:INDEX(Amendoim!$E34:$Z34,MIN(AG$6-$E$3,22))),0))-IF($G$2,0,IF((AG$6-$G$3)&lt;1,0,IFERROR(LOOKUP(2,1/(Amendoim!$E34:INDEX(Amendoim!$E34:$Z34,MIN(AG$6-$G$3,22))&lt;&gt;""),Amendoim!$E34:INDEX(Amendoim!$E34:$Z34,MIN(AG$6-$G$3,22))),0)))))</f>
        <v>0</v>
      </c>
      <c r="AH36" s="27" t="n">
        <f aca="false">IF(COUNT(Amendoim!$E34:$Z34)=0,0,MAX(0,IF((AH$6-$E$3)&lt;1,0,IFERROR(LOOKUP(2,1/(Amendoim!$E34:INDEX(Amendoim!$E34:$Z34,MIN(AH$6-$E$3,22))&lt;&gt;""),Amendoim!$E34:INDEX(Amendoim!$E34:$Z34,MIN(AH$6-$E$3,22))),0))-IF($G$2,0,IF((AH$6-$G$3)&lt;1,0,IFERROR(LOOKUP(2,1/(Amendoim!$E34:INDEX(Amendoim!$E34:$Z34,MIN(AH$6-$G$3,22))&lt;&gt;""),Amendoim!$E34:INDEX(Amendoim!$E34:$Z34,MIN(AH$6-$G$3,22))),0)))))</f>
        <v>0</v>
      </c>
      <c r="AI36" s="27" t="n">
        <f aca="false">IF(COUNT(Amendoim!$E34:$Z34)=0,0,MAX(0,IF((AI$6-$E$3)&lt;1,0,IFERROR(LOOKUP(2,1/(Amendoim!$E34:INDEX(Amendoim!$E34:$Z34,MIN(AI$6-$E$3,22))&lt;&gt;""),Amendoim!$E34:INDEX(Amendoim!$E34:$Z34,MIN(AI$6-$E$3,22))),0))-IF($G$2,0,IF((AI$6-$G$3)&lt;1,0,IFERROR(LOOKUP(2,1/(Amendoim!$E34:INDEX(Amendoim!$E34:$Z34,MIN(AI$6-$G$3,22))&lt;&gt;""),Amendoim!$E34:INDEX(Amendoim!$E34:$Z34,MIN(AI$6-$G$3,22))),0)))))</f>
        <v>0</v>
      </c>
      <c r="AJ36" s="27" t="n">
        <f aca="false">IF(COUNT(Amendoim!$E34:$Z34)=0,0,MAX(0,IF((AJ$6-$E$3)&lt;1,0,IFERROR(LOOKUP(2,1/(Amendoim!$E34:INDEX(Amendoim!$E34:$Z34,MIN(AJ$6-$E$3,22))&lt;&gt;""),Amendoim!$E34:INDEX(Amendoim!$E34:$Z34,MIN(AJ$6-$E$3,22))),0))-IF($G$2,0,IF((AJ$6-$G$3)&lt;1,0,IFERROR(LOOKUP(2,1/(Amendoim!$E34:INDEX(Amendoim!$E34:$Z34,MIN(AJ$6-$G$3,22))&lt;&gt;""),Amendoim!$E34:INDEX(Amendoim!$E34:$Z34,MIN(AJ$6-$G$3,22))),0)))))</f>
        <v>0</v>
      </c>
      <c r="AK36" s="27" t="n">
        <f aca="false">IF(COUNT(Amendoim!$E34:$Z34)=0,0,MAX(0,IF((AK$6-$E$3)&lt;1,0,IFERROR(LOOKUP(2,1/(Amendoim!$E34:INDEX(Amendoim!$E34:$Z34,MIN(AK$6-$E$3,22))&lt;&gt;""),Amendoim!$E34:INDEX(Amendoim!$E34:$Z34,MIN(AK$6-$E$3,22))),0))-IF($G$2,0,IF((AK$6-$G$3)&lt;1,0,IFERROR(LOOKUP(2,1/(Amendoim!$E34:INDEX(Amendoim!$E34:$Z34,MIN(AK$6-$G$3,22))&lt;&gt;""),Amendoim!$E34:INDEX(Amendoim!$E34:$Z34,MIN(AK$6-$G$3,22))),0)))))</f>
        <v>0</v>
      </c>
      <c r="AL36" s="27" t="n">
        <f aca="false">IF(COUNT(Amendoim!$E34:$Z34)=0,0,MAX(0,IF((AL$6-$E$3)&lt;1,0,IFERROR(LOOKUP(2,1/(Amendoim!$E34:INDEX(Amendoim!$E34:$Z34,MIN(AL$6-$E$3,22))&lt;&gt;""),Amendoim!$E34:INDEX(Amendoim!$E34:$Z34,MIN(AL$6-$E$3,22))),0))-IF($G$2,0,IF((AL$6-$G$3)&lt;1,0,IFERROR(LOOKUP(2,1/(Amendoim!$E34:INDEX(Amendoim!$E34:$Z34,MIN(AL$6-$G$3,22))&lt;&gt;""),Amendoim!$E34:INDEX(Amendoim!$E34:$Z34,MIN(AL$6-$G$3,22))),0)))))</f>
        <v>0</v>
      </c>
      <c r="AM36" s="27" t="n">
        <f aca="false">IF(COUNT(Amendoim!$E34:$Z34)=0,0,MAX(0,IF((AM$6-$E$3)&lt;1,0,IFERROR(LOOKUP(2,1/(Amendoim!$E34:INDEX(Amendoim!$E34:$Z34,MIN(AM$6-$E$3,22))&lt;&gt;""),Amendoim!$E34:INDEX(Amendoim!$E34:$Z34,MIN(AM$6-$E$3,22))),0))-IF($G$2,0,IF((AM$6-$G$3)&lt;1,0,IFERROR(LOOKUP(2,1/(Amendoim!$E34:INDEX(Amendoim!$E34:$Z34,MIN(AM$6-$G$3,22))&lt;&gt;""),Amendoim!$E34:INDEX(Amendoim!$E34:$Z34,MIN(AM$6-$G$3,22))),0)))))</f>
        <v>0</v>
      </c>
      <c r="AN36" s="27" t="n">
        <f aca="false">IF(COUNT(Amendoim!$E34:$Z34)=0,0,MAX(0,IF((AN$6-$E$3)&lt;1,0,IFERROR(LOOKUP(2,1/(Amendoim!$E34:INDEX(Amendoim!$E34:$Z34,MIN(AN$6-$E$3,22))&lt;&gt;""),Amendoim!$E34:INDEX(Amendoim!$E34:$Z34,MIN(AN$6-$E$3,22))),0))-IF($G$2,0,IF((AN$6-$G$3)&lt;1,0,IFERROR(LOOKUP(2,1/(Amendoim!$E34:INDEX(Amendoim!$E34:$Z34,MIN(AN$6-$G$3,22))&lt;&gt;""),Amendoim!$E34:INDEX(Amendoim!$E34:$Z34,MIN(AN$6-$G$3,22))),0)))))</f>
        <v>0</v>
      </c>
      <c r="AO36" s="27" t="n">
        <f aca="false">IF(COUNT(Amendoim!$E34:$Z34)=0,0,MAX(0,IF((AO$6-$E$3)&lt;1,0,IFERROR(LOOKUP(2,1/(Amendoim!$E34:INDEX(Amendoim!$E34:$Z34,MIN(AO$6-$E$3,22))&lt;&gt;""),Amendoim!$E34:INDEX(Amendoim!$E34:$Z34,MIN(AO$6-$E$3,22))),0))-IF($G$2,0,IF((AO$6-$G$3)&lt;1,0,IFERROR(LOOKUP(2,1/(Amendoim!$E34:INDEX(Amendoim!$E34:$Z34,MIN(AO$6-$G$3,22))&lt;&gt;""),Amendoim!$E34:INDEX(Amendoim!$E34:$Z34,MIN(AO$6-$G$3,22))),0)))))</f>
        <v>0</v>
      </c>
      <c r="AP36" s="27" t="n">
        <f aca="false">IF(COUNT(Amendoim!$E34:$Z34)=0,0,MAX(0,IF((AP$6-$E$3)&lt;1,0,IFERROR(LOOKUP(2,1/(Amendoim!$E34:INDEX(Amendoim!$E34:$Z34,MIN(AP$6-$E$3,22))&lt;&gt;""),Amendoim!$E34:INDEX(Amendoim!$E34:$Z34,MIN(AP$6-$E$3,22))),0))-IF($G$2,0,IF((AP$6-$G$3)&lt;1,0,IFERROR(LOOKUP(2,1/(Amendoim!$E34:INDEX(Amendoim!$E34:$Z34,MIN(AP$6-$G$3,22))&lt;&gt;""),Amendoim!$E34:INDEX(Amendoim!$E34:$Z34,MIN(AP$6-$G$3,22))),0)))))</f>
        <v>0</v>
      </c>
      <c r="AQ36" s="27" t="n">
        <f aca="false">IF(COUNT(Amendoim!$E34:$Z34)=0,0,MAX(0,IF((AQ$6-$E$3)&lt;1,0,IFERROR(LOOKUP(2,1/(Amendoim!$E34:INDEX(Amendoim!$E34:$Z34,MIN(AQ$6-$E$3,22))&lt;&gt;""),Amendoim!$E34:INDEX(Amendoim!$E34:$Z34,MIN(AQ$6-$E$3,22))),0))-IF($G$2,0,IF((AQ$6-$G$3)&lt;1,0,IFERROR(LOOKUP(2,1/(Amendoim!$E34:INDEX(Amendoim!$E34:$Z34,MIN(AQ$6-$G$3,22))&lt;&gt;""),Amendoim!$E34:INDEX(Amendoim!$E34:$Z34,MIN(AQ$6-$G$3,22))),0)))))</f>
        <v>0</v>
      </c>
      <c r="AR36" s="27" t="n">
        <f aca="false">IF(COUNT(Amendoim!$E34:$Z34)=0,0,MAX(0,IF((AR$6-$E$3)&lt;1,0,IFERROR(LOOKUP(2,1/(Amendoim!$E34:INDEX(Amendoim!$E34:$Z34,MIN(AR$6-$E$3,22))&lt;&gt;""),Amendoim!$E34:INDEX(Amendoim!$E34:$Z34,MIN(AR$6-$E$3,22))),0))-IF($G$2,0,IF((AR$6-$G$3)&lt;1,0,IFERROR(LOOKUP(2,1/(Amendoim!$E34:INDEX(Amendoim!$E34:$Z34,MIN(AR$6-$G$3,22))&lt;&gt;""),Amendoim!$E34:INDEX(Amendoim!$E34:$Z34,MIN(AR$6-$G$3,22))),0)))))</f>
        <v>0</v>
      </c>
      <c r="AS36" s="27" t="n">
        <f aca="false">IF(COUNT(Amendoim!$E34:$Z34)=0,0,MAX(0,IF((AS$6-$E$3)&lt;1,0,IFERROR(LOOKUP(2,1/(Amendoim!$E34:INDEX(Amendoim!$E34:$Z34,MIN(AS$6-$E$3,22))&lt;&gt;""),Amendoim!$E34:INDEX(Amendoim!$E34:$Z34,MIN(AS$6-$E$3,22))),0))-IF($G$2,0,IF((AS$6-$G$3)&lt;1,0,IFERROR(LOOKUP(2,1/(Amendoim!$E34:INDEX(Amendoim!$E34:$Z34,MIN(AS$6-$G$3,22))&lt;&gt;""),Amendoim!$E34:INDEX(Amendoim!$E34:$Z34,MIN(AS$6-$G$3,22))),0)))))</f>
        <v>0</v>
      </c>
      <c r="AT36" s="27" t="n">
        <f aca="false">IF(COUNT(Amendoim!$E34:$Z34)=0,0,MAX(0,IF((AT$6-$E$3)&lt;1,0,IFERROR(LOOKUP(2,1/(Amendoim!$E34:INDEX(Amendoim!$E34:$Z34,MIN(AT$6-$E$3,22))&lt;&gt;""),Amendoim!$E34:INDEX(Amendoim!$E34:$Z34,MIN(AT$6-$E$3,22))),0))-IF($G$2,0,IF((AT$6-$G$3)&lt;1,0,IFERROR(LOOKUP(2,1/(Amendoim!$E34:INDEX(Amendoim!$E34:$Z34,MIN(AT$6-$G$3,22))&lt;&gt;""),Amendoim!$E34:INDEX(Amendoim!$E34:$Z34,MIN(AT$6-$G$3,22))),0)))))</f>
        <v>0</v>
      </c>
      <c r="AU36" s="27" t="n">
        <f aca="false">IF(COUNT(Amendoim!$E34:$Z34)=0,0,MAX(0,IF((AU$6-$E$3)&lt;1,0,IFERROR(LOOKUP(2,1/(Amendoim!$E34:INDEX(Amendoim!$E34:$Z34,MIN(AU$6-$E$3,22))&lt;&gt;""),Amendoim!$E34:INDEX(Amendoim!$E34:$Z34,MIN(AU$6-$E$3,22))),0))-IF($G$2,0,IF((AU$6-$G$3)&lt;1,0,IFERROR(LOOKUP(2,1/(Amendoim!$E34:INDEX(Amendoim!$E34:$Z34,MIN(AU$6-$G$3,22))&lt;&gt;""),Amendoim!$E34:INDEX(Amendoim!$E34:$Z34,MIN(AU$6-$G$3,22))),0)))))</f>
        <v>0</v>
      </c>
      <c r="AV36" s="27" t="n">
        <f aca="false">IF(COUNT(Amendoim!$E34:$Z34)=0,0,MAX(0,IF((AV$6-$E$3)&lt;1,0,IFERROR(LOOKUP(2,1/(Amendoim!$E34:INDEX(Amendoim!$E34:$Z34,MIN(AV$6-$E$3,22))&lt;&gt;""),Amendoim!$E34:INDEX(Amendoim!$E34:$Z34,MIN(AV$6-$E$3,22))),0))-IF($G$2,0,IF((AV$6-$G$3)&lt;1,0,IFERROR(LOOKUP(2,1/(Amendoim!$E34:INDEX(Amendoim!$E34:$Z34,MIN(AV$6-$G$3,22))&lt;&gt;""),Amendoim!$E34:INDEX(Amendoim!$E34:$Z34,MIN(AV$6-$G$3,22))),0)))))</f>
        <v>0</v>
      </c>
      <c r="AW36" s="27" t="n">
        <f aca="false">IF(COUNT(Amendoim!$E34:$Z34)=0,0,MAX(0,IF((AW$6-$E$3)&lt;1,0,IFERROR(LOOKUP(2,1/(Amendoim!$E34:INDEX(Amendoim!$E34:$Z34,MIN(AW$6-$E$3,22))&lt;&gt;""),Amendoim!$E34:INDEX(Amendoim!$E34:$Z34,MIN(AW$6-$E$3,22))),0))-IF($G$2,0,IF((AW$6-$G$3)&lt;1,0,IFERROR(LOOKUP(2,1/(Amendoim!$E34:INDEX(Amendoim!$E34:$Z34,MIN(AW$6-$G$3,22))&lt;&gt;""),Amendoim!$E34:INDEX(Amendoim!$E34:$Z34,MIN(AW$6-$G$3,22))),0)))))</f>
        <v>0</v>
      </c>
      <c r="AX36" s="27" t="n">
        <f aca="false">IF(COUNT(Amendoim!$E34:$Z34)=0,0,MAX(0,IF((AX$6-$E$3)&lt;1,0,IFERROR(LOOKUP(2,1/(Amendoim!$E34:INDEX(Amendoim!$E34:$Z34,MIN(AX$6-$E$3,22))&lt;&gt;""),Amendoim!$E34:INDEX(Amendoim!$E34:$Z34,MIN(AX$6-$E$3,22))),0))-IF($G$2,0,IF((AX$6-$G$3)&lt;1,0,IFERROR(LOOKUP(2,1/(Amendoim!$E34:INDEX(Amendoim!$E34:$Z34,MIN(AX$6-$G$3,22))&lt;&gt;""),Amendoim!$E34:INDEX(Amendoim!$E34:$Z34,MIN(AX$6-$G$3,22))),0)))))</f>
        <v>0</v>
      </c>
      <c r="AY36" s="27" t="n">
        <f aca="false">IF(COUNT(Amendoim!$E34:$Z34)=0,0,MAX(0,IF((AY$6-$E$3)&lt;1,0,IFERROR(LOOKUP(2,1/(Amendoim!$E34:INDEX(Amendoim!$E34:$Z34,MIN(AY$6-$E$3,22))&lt;&gt;""),Amendoim!$E34:INDEX(Amendoim!$E34:$Z34,MIN(AY$6-$E$3,22))),0))-IF($G$2,0,IF((AY$6-$G$3)&lt;1,0,IFERROR(LOOKUP(2,1/(Amendoim!$E34:INDEX(Amendoim!$E34:$Z34,MIN(AY$6-$G$3,22))&lt;&gt;""),Amendoim!$E34:INDEX(Amendoim!$E34:$Z34,MIN(AY$6-$G$3,22))),0)))))</f>
        <v>0</v>
      </c>
      <c r="AZ36" s="27" t="n">
        <f aca="false">IF(COUNT(Amendoim!$E34:$Z34)=0,0,MAX(0,IF((AZ$6-$E$3)&lt;1,0,IFERROR(LOOKUP(2,1/(Amendoim!$E34:INDEX(Amendoim!$E34:$Z34,MIN(AZ$6-$E$3,22))&lt;&gt;""),Amendoim!$E34:INDEX(Amendoim!$E34:$Z34,MIN(AZ$6-$E$3,22))),0))-IF($G$2,0,IF((AZ$6-$G$3)&lt;1,0,IFERROR(LOOKUP(2,1/(Amendoim!$E34:INDEX(Amendoim!$E34:$Z34,MIN(AZ$6-$G$3,22))&lt;&gt;""),Amendoim!$E34:INDEX(Amendoim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IF(COUNT(Amendoim!$E35:$Z35)&gt;0,N(Amendoim!$D35),0)</f>
        <v>0</v>
      </c>
      <c r="E37" s="27" t="n">
        <f aca="false">IF(COUNT(Amendoim!$E35:$Z35)=0,0,MAX(0,IF((E$6-$E$3)&lt;1,0,IFERROR(LOOKUP(2,1/(Amendoim!$E35:INDEX(Amendoim!$E35:$Z35,MIN(E$6-$E$3,22))&lt;&gt;""),Amendoim!$E35:INDEX(Amendoim!$E35:$Z35,MIN(E$6-$E$3,22))),0))-IF($G$2,0,IF((E$6-$G$3)&lt;1,0,IFERROR(LOOKUP(2,1/(Amendoim!$E35:INDEX(Amendoim!$E35:$Z35,MIN(E$6-$G$3,22))&lt;&gt;""),Amendoim!$E35:INDEX(Amendoim!$E35:$Z35,MIN(E$6-$G$3,22))),0)))))</f>
        <v>0</v>
      </c>
      <c r="F37" s="27" t="n">
        <f aca="false">IF(COUNT(Amendoim!$E35:$Z35)=0,0,MAX(0,IF((F$6-$E$3)&lt;1,0,IFERROR(LOOKUP(2,1/(Amendoim!$E35:INDEX(Amendoim!$E35:$Z35,MIN(F$6-$E$3,22))&lt;&gt;""),Amendoim!$E35:INDEX(Amendoim!$E35:$Z35,MIN(F$6-$E$3,22))),0))-IF($G$2,0,IF((F$6-$G$3)&lt;1,0,IFERROR(LOOKUP(2,1/(Amendoim!$E35:INDEX(Amendoim!$E35:$Z35,MIN(F$6-$G$3,22))&lt;&gt;""),Amendoim!$E35:INDEX(Amendoim!$E35:$Z35,MIN(F$6-$G$3,22))),0)))))</f>
        <v>0</v>
      </c>
      <c r="G37" s="27" t="n">
        <f aca="false">IF(COUNT(Amendoim!$E35:$Z35)=0,0,MAX(0,IF((G$6-$E$3)&lt;1,0,IFERROR(LOOKUP(2,1/(Amendoim!$E35:INDEX(Amendoim!$E35:$Z35,MIN(G$6-$E$3,22))&lt;&gt;""),Amendoim!$E35:INDEX(Amendoim!$E35:$Z35,MIN(G$6-$E$3,22))),0))-IF($G$2,0,IF((G$6-$G$3)&lt;1,0,IFERROR(LOOKUP(2,1/(Amendoim!$E35:INDEX(Amendoim!$E35:$Z35,MIN(G$6-$G$3,22))&lt;&gt;""),Amendoim!$E35:INDEX(Amendoim!$E35:$Z35,MIN(G$6-$G$3,22))),0)))))</f>
        <v>0</v>
      </c>
      <c r="H37" s="27" t="n">
        <f aca="false">IF(COUNT(Amendoim!$E35:$Z35)=0,0,MAX(0,IF((H$6-$E$3)&lt;1,0,IFERROR(LOOKUP(2,1/(Amendoim!$E35:INDEX(Amendoim!$E35:$Z35,MIN(H$6-$E$3,22))&lt;&gt;""),Amendoim!$E35:INDEX(Amendoim!$E35:$Z35,MIN(H$6-$E$3,22))),0))-IF($G$2,0,IF((H$6-$G$3)&lt;1,0,IFERROR(LOOKUP(2,1/(Amendoim!$E35:INDEX(Amendoim!$E35:$Z35,MIN(H$6-$G$3,22))&lt;&gt;""),Amendoim!$E35:INDEX(Amendoim!$E35:$Z35,MIN(H$6-$G$3,22))),0)))))</f>
        <v>0</v>
      </c>
      <c r="I37" s="27" t="n">
        <f aca="false">IF(COUNT(Amendoim!$E35:$Z35)=0,0,MAX(0,IF((I$6-$E$3)&lt;1,0,IFERROR(LOOKUP(2,1/(Amendoim!$E35:INDEX(Amendoim!$E35:$Z35,MIN(I$6-$E$3,22))&lt;&gt;""),Amendoim!$E35:INDEX(Amendoim!$E35:$Z35,MIN(I$6-$E$3,22))),0))-IF($G$2,0,IF((I$6-$G$3)&lt;1,0,IFERROR(LOOKUP(2,1/(Amendoim!$E35:INDEX(Amendoim!$E35:$Z35,MIN(I$6-$G$3,22))&lt;&gt;""),Amendoim!$E35:INDEX(Amendoim!$E35:$Z35,MIN(I$6-$G$3,22))),0)))))</f>
        <v>0</v>
      </c>
      <c r="J37" s="27" t="n">
        <f aca="false">IF(COUNT(Amendoim!$E35:$Z35)=0,0,MAX(0,IF((J$6-$E$3)&lt;1,0,IFERROR(LOOKUP(2,1/(Amendoim!$E35:INDEX(Amendoim!$E35:$Z35,MIN(J$6-$E$3,22))&lt;&gt;""),Amendoim!$E35:INDEX(Amendoim!$E35:$Z35,MIN(J$6-$E$3,22))),0))-IF($G$2,0,IF((J$6-$G$3)&lt;1,0,IFERROR(LOOKUP(2,1/(Amendoim!$E35:INDEX(Amendoim!$E35:$Z35,MIN(J$6-$G$3,22))&lt;&gt;""),Amendoim!$E35:INDEX(Amendoim!$E35:$Z35,MIN(J$6-$G$3,22))),0)))))</f>
        <v>0</v>
      </c>
      <c r="K37" s="27" t="n">
        <f aca="false">IF(COUNT(Amendoim!$E35:$Z35)=0,0,MAX(0,IF((K$6-$E$3)&lt;1,0,IFERROR(LOOKUP(2,1/(Amendoim!$E35:INDEX(Amendoim!$E35:$Z35,MIN(K$6-$E$3,22))&lt;&gt;""),Amendoim!$E35:INDEX(Amendoim!$E35:$Z35,MIN(K$6-$E$3,22))),0))-IF($G$2,0,IF((K$6-$G$3)&lt;1,0,IFERROR(LOOKUP(2,1/(Amendoim!$E35:INDEX(Amendoim!$E35:$Z35,MIN(K$6-$G$3,22))&lt;&gt;""),Amendoim!$E35:INDEX(Amendoim!$E35:$Z35,MIN(K$6-$G$3,22))),0)))))</f>
        <v>0</v>
      </c>
      <c r="L37" s="27" t="n">
        <f aca="false">IF(COUNT(Amendoim!$E35:$Z35)=0,0,MAX(0,IF((L$6-$E$3)&lt;1,0,IFERROR(LOOKUP(2,1/(Amendoim!$E35:INDEX(Amendoim!$E35:$Z35,MIN(L$6-$E$3,22))&lt;&gt;""),Amendoim!$E35:INDEX(Amendoim!$E35:$Z35,MIN(L$6-$E$3,22))),0))-IF($G$2,0,IF((L$6-$G$3)&lt;1,0,IFERROR(LOOKUP(2,1/(Amendoim!$E35:INDEX(Amendoim!$E35:$Z35,MIN(L$6-$G$3,22))&lt;&gt;""),Amendoim!$E35:INDEX(Amendoim!$E35:$Z35,MIN(L$6-$G$3,22))),0)))))</f>
        <v>0</v>
      </c>
      <c r="M37" s="27" t="n">
        <f aca="false">IF(COUNT(Amendoim!$E35:$Z35)=0,0,MAX(0,IF((M$6-$E$3)&lt;1,0,IFERROR(LOOKUP(2,1/(Amendoim!$E35:INDEX(Amendoim!$E35:$Z35,MIN(M$6-$E$3,22))&lt;&gt;""),Amendoim!$E35:INDEX(Amendoim!$E35:$Z35,MIN(M$6-$E$3,22))),0))-IF($G$2,0,IF((M$6-$G$3)&lt;1,0,IFERROR(LOOKUP(2,1/(Amendoim!$E35:INDEX(Amendoim!$E35:$Z35,MIN(M$6-$G$3,22))&lt;&gt;""),Amendoim!$E35:INDEX(Amendoim!$E35:$Z35,MIN(M$6-$G$3,22))),0)))))</f>
        <v>0</v>
      </c>
      <c r="N37" s="27" t="n">
        <f aca="false">IF(COUNT(Amendoim!$E35:$Z35)=0,0,MAX(0,IF((N$6-$E$3)&lt;1,0,IFERROR(LOOKUP(2,1/(Amendoim!$E35:INDEX(Amendoim!$E35:$Z35,MIN(N$6-$E$3,22))&lt;&gt;""),Amendoim!$E35:INDEX(Amendoim!$E35:$Z35,MIN(N$6-$E$3,22))),0))-IF($G$2,0,IF((N$6-$G$3)&lt;1,0,IFERROR(LOOKUP(2,1/(Amendoim!$E35:INDEX(Amendoim!$E35:$Z35,MIN(N$6-$G$3,22))&lt;&gt;""),Amendoim!$E35:INDEX(Amendoim!$E35:$Z35,MIN(N$6-$G$3,22))),0)))))</f>
        <v>0</v>
      </c>
      <c r="O37" s="27" t="n">
        <f aca="false">IF(COUNT(Amendoim!$E35:$Z35)=0,0,MAX(0,IF((O$6-$E$3)&lt;1,0,IFERROR(LOOKUP(2,1/(Amendoim!$E35:INDEX(Amendoim!$E35:$Z35,MIN(O$6-$E$3,22))&lt;&gt;""),Amendoim!$E35:INDEX(Amendoim!$E35:$Z35,MIN(O$6-$E$3,22))),0))-IF($G$2,0,IF((O$6-$G$3)&lt;1,0,IFERROR(LOOKUP(2,1/(Amendoim!$E35:INDEX(Amendoim!$E35:$Z35,MIN(O$6-$G$3,22))&lt;&gt;""),Amendoim!$E35:INDEX(Amendoim!$E35:$Z35,MIN(O$6-$G$3,22))),0)))))</f>
        <v>0</v>
      </c>
      <c r="P37" s="27" t="n">
        <f aca="false">IF(COUNT(Amendoim!$E35:$Z35)=0,0,MAX(0,IF((P$6-$E$3)&lt;1,0,IFERROR(LOOKUP(2,1/(Amendoim!$E35:INDEX(Amendoim!$E35:$Z35,MIN(P$6-$E$3,22))&lt;&gt;""),Amendoim!$E35:INDEX(Amendoim!$E35:$Z35,MIN(P$6-$E$3,22))),0))-IF($G$2,0,IF((P$6-$G$3)&lt;1,0,IFERROR(LOOKUP(2,1/(Amendoim!$E35:INDEX(Amendoim!$E35:$Z35,MIN(P$6-$G$3,22))&lt;&gt;""),Amendoim!$E35:INDEX(Amendoim!$E35:$Z35,MIN(P$6-$G$3,22))),0)))))</f>
        <v>0</v>
      </c>
      <c r="Q37" s="27" t="n">
        <f aca="false">IF(COUNT(Amendoim!$E35:$Z35)=0,0,MAX(0,IF((Q$6-$E$3)&lt;1,0,IFERROR(LOOKUP(2,1/(Amendoim!$E35:INDEX(Amendoim!$E35:$Z35,MIN(Q$6-$E$3,22))&lt;&gt;""),Amendoim!$E35:INDEX(Amendoim!$E35:$Z35,MIN(Q$6-$E$3,22))),0))-IF($G$2,0,IF((Q$6-$G$3)&lt;1,0,IFERROR(LOOKUP(2,1/(Amendoim!$E35:INDEX(Amendoim!$E35:$Z35,MIN(Q$6-$G$3,22))&lt;&gt;""),Amendoim!$E35:INDEX(Amendoim!$E35:$Z35,MIN(Q$6-$G$3,22))),0)))))</f>
        <v>0</v>
      </c>
      <c r="R37" s="27" t="n">
        <f aca="false">IF(COUNT(Amendoim!$E35:$Z35)=0,0,MAX(0,IF((R$6-$E$3)&lt;1,0,IFERROR(LOOKUP(2,1/(Amendoim!$E35:INDEX(Amendoim!$E35:$Z35,MIN(R$6-$E$3,22))&lt;&gt;""),Amendoim!$E35:INDEX(Amendoim!$E35:$Z35,MIN(R$6-$E$3,22))),0))-IF($G$2,0,IF((R$6-$G$3)&lt;1,0,IFERROR(LOOKUP(2,1/(Amendoim!$E35:INDEX(Amendoim!$E35:$Z35,MIN(R$6-$G$3,22))&lt;&gt;""),Amendoim!$E35:INDEX(Amendoim!$E35:$Z35,MIN(R$6-$G$3,22))),0)))))</f>
        <v>0</v>
      </c>
      <c r="S37" s="27" t="n">
        <f aca="false">IF(COUNT(Amendoim!$E35:$Z35)=0,0,MAX(0,IF((S$6-$E$3)&lt;1,0,IFERROR(LOOKUP(2,1/(Amendoim!$E35:INDEX(Amendoim!$E35:$Z35,MIN(S$6-$E$3,22))&lt;&gt;""),Amendoim!$E35:INDEX(Amendoim!$E35:$Z35,MIN(S$6-$E$3,22))),0))-IF($G$2,0,IF((S$6-$G$3)&lt;1,0,IFERROR(LOOKUP(2,1/(Amendoim!$E35:INDEX(Amendoim!$E35:$Z35,MIN(S$6-$G$3,22))&lt;&gt;""),Amendoim!$E35:INDEX(Amendoim!$E35:$Z35,MIN(S$6-$G$3,22))),0)))))</f>
        <v>0</v>
      </c>
      <c r="T37" s="27" t="n">
        <f aca="false">IF(COUNT(Amendoim!$E35:$Z35)=0,0,MAX(0,IF((T$6-$E$3)&lt;1,0,IFERROR(LOOKUP(2,1/(Amendoim!$E35:INDEX(Amendoim!$E35:$Z35,MIN(T$6-$E$3,22))&lt;&gt;""),Amendoim!$E35:INDEX(Amendoim!$E35:$Z35,MIN(T$6-$E$3,22))),0))-IF($G$2,0,IF((T$6-$G$3)&lt;1,0,IFERROR(LOOKUP(2,1/(Amendoim!$E35:INDEX(Amendoim!$E35:$Z35,MIN(T$6-$G$3,22))&lt;&gt;""),Amendoim!$E35:INDEX(Amendoim!$E35:$Z35,MIN(T$6-$G$3,22))),0)))))</f>
        <v>0</v>
      </c>
      <c r="U37" s="27" t="n">
        <f aca="false">IF(COUNT(Amendoim!$E35:$Z35)=0,0,MAX(0,IF((U$6-$E$3)&lt;1,0,IFERROR(LOOKUP(2,1/(Amendoim!$E35:INDEX(Amendoim!$E35:$Z35,MIN(U$6-$E$3,22))&lt;&gt;""),Amendoim!$E35:INDEX(Amendoim!$E35:$Z35,MIN(U$6-$E$3,22))),0))-IF($G$2,0,IF((U$6-$G$3)&lt;1,0,IFERROR(LOOKUP(2,1/(Amendoim!$E35:INDEX(Amendoim!$E35:$Z35,MIN(U$6-$G$3,22))&lt;&gt;""),Amendoim!$E35:INDEX(Amendoim!$E35:$Z35,MIN(U$6-$G$3,22))),0)))))</f>
        <v>0</v>
      </c>
      <c r="V37" s="27" t="n">
        <f aca="false">IF(COUNT(Amendoim!$E35:$Z35)=0,0,MAX(0,IF((V$6-$E$3)&lt;1,0,IFERROR(LOOKUP(2,1/(Amendoim!$E35:INDEX(Amendoim!$E35:$Z35,MIN(V$6-$E$3,22))&lt;&gt;""),Amendoim!$E35:INDEX(Amendoim!$E35:$Z35,MIN(V$6-$E$3,22))),0))-IF($G$2,0,IF((V$6-$G$3)&lt;1,0,IFERROR(LOOKUP(2,1/(Amendoim!$E35:INDEX(Amendoim!$E35:$Z35,MIN(V$6-$G$3,22))&lt;&gt;""),Amendoim!$E35:INDEX(Amendoim!$E35:$Z35,MIN(V$6-$G$3,22))),0)))))</f>
        <v>0</v>
      </c>
      <c r="W37" s="27" t="n">
        <f aca="false">IF(COUNT(Amendoim!$E35:$Z35)=0,0,MAX(0,IF((W$6-$E$3)&lt;1,0,IFERROR(LOOKUP(2,1/(Amendoim!$E35:INDEX(Amendoim!$E35:$Z35,MIN(W$6-$E$3,22))&lt;&gt;""),Amendoim!$E35:INDEX(Amendoim!$E35:$Z35,MIN(W$6-$E$3,22))),0))-IF($G$2,0,IF((W$6-$G$3)&lt;1,0,IFERROR(LOOKUP(2,1/(Amendoim!$E35:INDEX(Amendoim!$E35:$Z35,MIN(W$6-$G$3,22))&lt;&gt;""),Amendoim!$E35:INDEX(Amendoim!$E35:$Z35,MIN(W$6-$G$3,22))),0)))))</f>
        <v>0</v>
      </c>
      <c r="X37" s="27" t="n">
        <f aca="false">IF(COUNT(Amendoim!$E35:$Z35)=0,0,MAX(0,IF((X$6-$E$3)&lt;1,0,IFERROR(LOOKUP(2,1/(Amendoim!$E35:INDEX(Amendoim!$E35:$Z35,MIN(X$6-$E$3,22))&lt;&gt;""),Amendoim!$E35:INDEX(Amendoim!$E35:$Z35,MIN(X$6-$E$3,22))),0))-IF($G$2,0,IF((X$6-$G$3)&lt;1,0,IFERROR(LOOKUP(2,1/(Amendoim!$E35:INDEX(Amendoim!$E35:$Z35,MIN(X$6-$G$3,22))&lt;&gt;""),Amendoim!$E35:INDEX(Amendoim!$E35:$Z35,MIN(X$6-$G$3,22))),0)))))</f>
        <v>0</v>
      </c>
      <c r="Y37" s="27" t="n">
        <f aca="false">IF(COUNT(Amendoim!$E35:$Z35)=0,0,MAX(0,IF((Y$6-$E$3)&lt;1,0,IFERROR(LOOKUP(2,1/(Amendoim!$E35:INDEX(Amendoim!$E35:$Z35,MIN(Y$6-$E$3,22))&lt;&gt;""),Amendoim!$E35:INDEX(Amendoim!$E35:$Z35,MIN(Y$6-$E$3,22))),0))-IF($G$2,0,IF((Y$6-$G$3)&lt;1,0,IFERROR(LOOKUP(2,1/(Amendoim!$E35:INDEX(Amendoim!$E35:$Z35,MIN(Y$6-$G$3,22))&lt;&gt;""),Amendoim!$E35:INDEX(Amendoim!$E35:$Z35,MIN(Y$6-$G$3,22))),0)))))</f>
        <v>0</v>
      </c>
      <c r="Z37" s="27" t="n">
        <f aca="false">IF(COUNT(Amendoim!$E35:$Z35)=0,0,MAX(0,IF((Z$6-$E$3)&lt;1,0,IFERROR(LOOKUP(2,1/(Amendoim!$E35:INDEX(Amendoim!$E35:$Z35,MIN(Z$6-$E$3,22))&lt;&gt;""),Amendoim!$E35:INDEX(Amendoim!$E35:$Z35,MIN(Z$6-$E$3,22))),0))-IF($G$2,0,IF((Z$6-$G$3)&lt;1,0,IFERROR(LOOKUP(2,1/(Amendoim!$E35:INDEX(Amendoim!$E35:$Z35,MIN(Z$6-$G$3,22))&lt;&gt;""),Amendoim!$E35:INDEX(Amendoim!$E35:$Z35,MIN(Z$6-$G$3,22))),0)))))</f>
        <v>0</v>
      </c>
      <c r="AA37" s="27" t="n">
        <f aca="false">IF(COUNT(Amendoim!$E35:$Z35)=0,0,MAX(0,IF((AA$6-$E$3)&lt;1,0,IFERROR(LOOKUP(2,1/(Amendoim!$E35:INDEX(Amendoim!$E35:$Z35,MIN(AA$6-$E$3,22))&lt;&gt;""),Amendoim!$E35:INDEX(Amendoim!$E35:$Z35,MIN(AA$6-$E$3,22))),0))-IF($G$2,0,IF((AA$6-$G$3)&lt;1,0,IFERROR(LOOKUP(2,1/(Amendoim!$E35:INDEX(Amendoim!$E35:$Z35,MIN(AA$6-$G$3,22))&lt;&gt;""),Amendoim!$E35:INDEX(Amendoim!$E35:$Z35,MIN(AA$6-$G$3,22))),0)))))</f>
        <v>0</v>
      </c>
      <c r="AB37" s="27" t="n">
        <f aca="false">IF(COUNT(Amendoim!$E35:$Z35)=0,0,MAX(0,IF((AB$6-$E$3)&lt;1,0,IFERROR(LOOKUP(2,1/(Amendoim!$E35:INDEX(Amendoim!$E35:$Z35,MIN(AB$6-$E$3,22))&lt;&gt;""),Amendoim!$E35:INDEX(Amendoim!$E35:$Z35,MIN(AB$6-$E$3,22))),0))-IF($G$2,0,IF((AB$6-$G$3)&lt;1,0,IFERROR(LOOKUP(2,1/(Amendoim!$E35:INDEX(Amendoim!$E35:$Z35,MIN(AB$6-$G$3,22))&lt;&gt;""),Amendoim!$E35:INDEX(Amendoim!$E35:$Z35,MIN(AB$6-$G$3,22))),0)))))</f>
        <v>0</v>
      </c>
      <c r="AC37" s="27" t="n">
        <f aca="false">IF(COUNT(Amendoim!$E35:$Z35)=0,0,MAX(0,IF((AC$6-$E$3)&lt;1,0,IFERROR(LOOKUP(2,1/(Amendoim!$E35:INDEX(Amendoim!$E35:$Z35,MIN(AC$6-$E$3,22))&lt;&gt;""),Amendoim!$E35:INDEX(Amendoim!$E35:$Z35,MIN(AC$6-$E$3,22))),0))-IF($G$2,0,IF((AC$6-$G$3)&lt;1,0,IFERROR(LOOKUP(2,1/(Amendoim!$E35:INDEX(Amendoim!$E35:$Z35,MIN(AC$6-$G$3,22))&lt;&gt;""),Amendoim!$E35:INDEX(Amendoim!$E35:$Z35,MIN(AC$6-$G$3,22))),0)))))</f>
        <v>0</v>
      </c>
      <c r="AD37" s="27" t="n">
        <f aca="false">IF(COUNT(Amendoim!$E35:$Z35)=0,0,MAX(0,IF((AD$6-$E$3)&lt;1,0,IFERROR(LOOKUP(2,1/(Amendoim!$E35:INDEX(Amendoim!$E35:$Z35,MIN(AD$6-$E$3,22))&lt;&gt;""),Amendoim!$E35:INDEX(Amendoim!$E35:$Z35,MIN(AD$6-$E$3,22))),0))-IF($G$2,0,IF((AD$6-$G$3)&lt;1,0,IFERROR(LOOKUP(2,1/(Amendoim!$E35:INDEX(Amendoim!$E35:$Z35,MIN(AD$6-$G$3,22))&lt;&gt;""),Amendoim!$E35:INDEX(Amendoim!$E35:$Z35,MIN(AD$6-$G$3,22))),0)))))</f>
        <v>0</v>
      </c>
      <c r="AE37" s="27" t="n">
        <f aca="false">IF(COUNT(Amendoim!$E35:$Z35)=0,0,MAX(0,IF((AE$6-$E$3)&lt;1,0,IFERROR(LOOKUP(2,1/(Amendoim!$E35:INDEX(Amendoim!$E35:$Z35,MIN(AE$6-$E$3,22))&lt;&gt;""),Amendoim!$E35:INDEX(Amendoim!$E35:$Z35,MIN(AE$6-$E$3,22))),0))-IF($G$2,0,IF((AE$6-$G$3)&lt;1,0,IFERROR(LOOKUP(2,1/(Amendoim!$E35:INDEX(Amendoim!$E35:$Z35,MIN(AE$6-$G$3,22))&lt;&gt;""),Amendoim!$E35:INDEX(Amendoim!$E35:$Z35,MIN(AE$6-$G$3,22))),0)))))</f>
        <v>0</v>
      </c>
      <c r="AF37" s="27" t="n">
        <f aca="false">IF(COUNT(Amendoim!$E35:$Z35)=0,0,MAX(0,IF((AF$6-$E$3)&lt;1,0,IFERROR(LOOKUP(2,1/(Amendoim!$E35:INDEX(Amendoim!$E35:$Z35,MIN(AF$6-$E$3,22))&lt;&gt;""),Amendoim!$E35:INDEX(Amendoim!$E35:$Z35,MIN(AF$6-$E$3,22))),0))-IF($G$2,0,IF((AF$6-$G$3)&lt;1,0,IFERROR(LOOKUP(2,1/(Amendoim!$E35:INDEX(Amendoim!$E35:$Z35,MIN(AF$6-$G$3,22))&lt;&gt;""),Amendoim!$E35:INDEX(Amendoim!$E35:$Z35,MIN(AF$6-$G$3,22))),0)))))</f>
        <v>0</v>
      </c>
      <c r="AG37" s="27" t="n">
        <f aca="false">IF(COUNT(Amendoim!$E35:$Z35)=0,0,MAX(0,IF((AG$6-$E$3)&lt;1,0,IFERROR(LOOKUP(2,1/(Amendoim!$E35:INDEX(Amendoim!$E35:$Z35,MIN(AG$6-$E$3,22))&lt;&gt;""),Amendoim!$E35:INDEX(Amendoim!$E35:$Z35,MIN(AG$6-$E$3,22))),0))-IF($G$2,0,IF((AG$6-$G$3)&lt;1,0,IFERROR(LOOKUP(2,1/(Amendoim!$E35:INDEX(Amendoim!$E35:$Z35,MIN(AG$6-$G$3,22))&lt;&gt;""),Amendoim!$E35:INDEX(Amendoim!$E35:$Z35,MIN(AG$6-$G$3,22))),0)))))</f>
        <v>0</v>
      </c>
      <c r="AH37" s="27" t="n">
        <f aca="false">IF(COUNT(Amendoim!$E35:$Z35)=0,0,MAX(0,IF((AH$6-$E$3)&lt;1,0,IFERROR(LOOKUP(2,1/(Amendoim!$E35:INDEX(Amendoim!$E35:$Z35,MIN(AH$6-$E$3,22))&lt;&gt;""),Amendoim!$E35:INDEX(Amendoim!$E35:$Z35,MIN(AH$6-$E$3,22))),0))-IF($G$2,0,IF((AH$6-$G$3)&lt;1,0,IFERROR(LOOKUP(2,1/(Amendoim!$E35:INDEX(Amendoim!$E35:$Z35,MIN(AH$6-$G$3,22))&lt;&gt;""),Amendoim!$E35:INDEX(Amendoim!$E35:$Z35,MIN(AH$6-$G$3,22))),0)))))</f>
        <v>0</v>
      </c>
      <c r="AI37" s="27" t="n">
        <f aca="false">IF(COUNT(Amendoim!$E35:$Z35)=0,0,MAX(0,IF((AI$6-$E$3)&lt;1,0,IFERROR(LOOKUP(2,1/(Amendoim!$E35:INDEX(Amendoim!$E35:$Z35,MIN(AI$6-$E$3,22))&lt;&gt;""),Amendoim!$E35:INDEX(Amendoim!$E35:$Z35,MIN(AI$6-$E$3,22))),0))-IF($G$2,0,IF((AI$6-$G$3)&lt;1,0,IFERROR(LOOKUP(2,1/(Amendoim!$E35:INDEX(Amendoim!$E35:$Z35,MIN(AI$6-$G$3,22))&lt;&gt;""),Amendoim!$E35:INDEX(Amendoim!$E35:$Z35,MIN(AI$6-$G$3,22))),0)))))</f>
        <v>0</v>
      </c>
      <c r="AJ37" s="27" t="n">
        <f aca="false">IF(COUNT(Amendoim!$E35:$Z35)=0,0,MAX(0,IF((AJ$6-$E$3)&lt;1,0,IFERROR(LOOKUP(2,1/(Amendoim!$E35:INDEX(Amendoim!$E35:$Z35,MIN(AJ$6-$E$3,22))&lt;&gt;""),Amendoim!$E35:INDEX(Amendoim!$E35:$Z35,MIN(AJ$6-$E$3,22))),0))-IF($G$2,0,IF((AJ$6-$G$3)&lt;1,0,IFERROR(LOOKUP(2,1/(Amendoim!$E35:INDEX(Amendoim!$E35:$Z35,MIN(AJ$6-$G$3,22))&lt;&gt;""),Amendoim!$E35:INDEX(Amendoim!$E35:$Z35,MIN(AJ$6-$G$3,22))),0)))))</f>
        <v>0</v>
      </c>
      <c r="AK37" s="27" t="n">
        <f aca="false">IF(COUNT(Amendoim!$E35:$Z35)=0,0,MAX(0,IF((AK$6-$E$3)&lt;1,0,IFERROR(LOOKUP(2,1/(Amendoim!$E35:INDEX(Amendoim!$E35:$Z35,MIN(AK$6-$E$3,22))&lt;&gt;""),Amendoim!$E35:INDEX(Amendoim!$E35:$Z35,MIN(AK$6-$E$3,22))),0))-IF($G$2,0,IF((AK$6-$G$3)&lt;1,0,IFERROR(LOOKUP(2,1/(Amendoim!$E35:INDEX(Amendoim!$E35:$Z35,MIN(AK$6-$G$3,22))&lt;&gt;""),Amendoim!$E35:INDEX(Amendoim!$E35:$Z35,MIN(AK$6-$G$3,22))),0)))))</f>
        <v>0</v>
      </c>
      <c r="AL37" s="27" t="n">
        <f aca="false">IF(COUNT(Amendoim!$E35:$Z35)=0,0,MAX(0,IF((AL$6-$E$3)&lt;1,0,IFERROR(LOOKUP(2,1/(Amendoim!$E35:INDEX(Amendoim!$E35:$Z35,MIN(AL$6-$E$3,22))&lt;&gt;""),Amendoim!$E35:INDEX(Amendoim!$E35:$Z35,MIN(AL$6-$E$3,22))),0))-IF($G$2,0,IF((AL$6-$G$3)&lt;1,0,IFERROR(LOOKUP(2,1/(Amendoim!$E35:INDEX(Amendoim!$E35:$Z35,MIN(AL$6-$G$3,22))&lt;&gt;""),Amendoim!$E35:INDEX(Amendoim!$E35:$Z35,MIN(AL$6-$G$3,22))),0)))))</f>
        <v>0</v>
      </c>
      <c r="AM37" s="27" t="n">
        <f aca="false">IF(COUNT(Amendoim!$E35:$Z35)=0,0,MAX(0,IF((AM$6-$E$3)&lt;1,0,IFERROR(LOOKUP(2,1/(Amendoim!$E35:INDEX(Amendoim!$E35:$Z35,MIN(AM$6-$E$3,22))&lt;&gt;""),Amendoim!$E35:INDEX(Amendoim!$E35:$Z35,MIN(AM$6-$E$3,22))),0))-IF($G$2,0,IF((AM$6-$G$3)&lt;1,0,IFERROR(LOOKUP(2,1/(Amendoim!$E35:INDEX(Amendoim!$E35:$Z35,MIN(AM$6-$G$3,22))&lt;&gt;""),Amendoim!$E35:INDEX(Amendoim!$E35:$Z35,MIN(AM$6-$G$3,22))),0)))))</f>
        <v>0</v>
      </c>
      <c r="AN37" s="27" t="n">
        <f aca="false">IF(COUNT(Amendoim!$E35:$Z35)=0,0,MAX(0,IF((AN$6-$E$3)&lt;1,0,IFERROR(LOOKUP(2,1/(Amendoim!$E35:INDEX(Amendoim!$E35:$Z35,MIN(AN$6-$E$3,22))&lt;&gt;""),Amendoim!$E35:INDEX(Amendoim!$E35:$Z35,MIN(AN$6-$E$3,22))),0))-IF($G$2,0,IF((AN$6-$G$3)&lt;1,0,IFERROR(LOOKUP(2,1/(Amendoim!$E35:INDEX(Amendoim!$E35:$Z35,MIN(AN$6-$G$3,22))&lt;&gt;""),Amendoim!$E35:INDEX(Amendoim!$E35:$Z35,MIN(AN$6-$G$3,22))),0)))))</f>
        <v>0</v>
      </c>
      <c r="AO37" s="27" t="n">
        <f aca="false">IF(COUNT(Amendoim!$E35:$Z35)=0,0,MAX(0,IF((AO$6-$E$3)&lt;1,0,IFERROR(LOOKUP(2,1/(Amendoim!$E35:INDEX(Amendoim!$E35:$Z35,MIN(AO$6-$E$3,22))&lt;&gt;""),Amendoim!$E35:INDEX(Amendoim!$E35:$Z35,MIN(AO$6-$E$3,22))),0))-IF($G$2,0,IF((AO$6-$G$3)&lt;1,0,IFERROR(LOOKUP(2,1/(Amendoim!$E35:INDEX(Amendoim!$E35:$Z35,MIN(AO$6-$G$3,22))&lt;&gt;""),Amendoim!$E35:INDEX(Amendoim!$E35:$Z35,MIN(AO$6-$G$3,22))),0)))))</f>
        <v>0</v>
      </c>
      <c r="AP37" s="27" t="n">
        <f aca="false">IF(COUNT(Amendoim!$E35:$Z35)=0,0,MAX(0,IF((AP$6-$E$3)&lt;1,0,IFERROR(LOOKUP(2,1/(Amendoim!$E35:INDEX(Amendoim!$E35:$Z35,MIN(AP$6-$E$3,22))&lt;&gt;""),Amendoim!$E35:INDEX(Amendoim!$E35:$Z35,MIN(AP$6-$E$3,22))),0))-IF($G$2,0,IF((AP$6-$G$3)&lt;1,0,IFERROR(LOOKUP(2,1/(Amendoim!$E35:INDEX(Amendoim!$E35:$Z35,MIN(AP$6-$G$3,22))&lt;&gt;""),Amendoim!$E35:INDEX(Amendoim!$E35:$Z35,MIN(AP$6-$G$3,22))),0)))))</f>
        <v>0</v>
      </c>
      <c r="AQ37" s="27" t="n">
        <f aca="false">IF(COUNT(Amendoim!$E35:$Z35)=0,0,MAX(0,IF((AQ$6-$E$3)&lt;1,0,IFERROR(LOOKUP(2,1/(Amendoim!$E35:INDEX(Amendoim!$E35:$Z35,MIN(AQ$6-$E$3,22))&lt;&gt;""),Amendoim!$E35:INDEX(Amendoim!$E35:$Z35,MIN(AQ$6-$E$3,22))),0))-IF($G$2,0,IF((AQ$6-$G$3)&lt;1,0,IFERROR(LOOKUP(2,1/(Amendoim!$E35:INDEX(Amendoim!$E35:$Z35,MIN(AQ$6-$G$3,22))&lt;&gt;""),Amendoim!$E35:INDEX(Amendoim!$E35:$Z35,MIN(AQ$6-$G$3,22))),0)))))</f>
        <v>0</v>
      </c>
      <c r="AR37" s="27" t="n">
        <f aca="false">IF(COUNT(Amendoim!$E35:$Z35)=0,0,MAX(0,IF((AR$6-$E$3)&lt;1,0,IFERROR(LOOKUP(2,1/(Amendoim!$E35:INDEX(Amendoim!$E35:$Z35,MIN(AR$6-$E$3,22))&lt;&gt;""),Amendoim!$E35:INDEX(Amendoim!$E35:$Z35,MIN(AR$6-$E$3,22))),0))-IF($G$2,0,IF((AR$6-$G$3)&lt;1,0,IFERROR(LOOKUP(2,1/(Amendoim!$E35:INDEX(Amendoim!$E35:$Z35,MIN(AR$6-$G$3,22))&lt;&gt;""),Amendoim!$E35:INDEX(Amendoim!$E35:$Z35,MIN(AR$6-$G$3,22))),0)))))</f>
        <v>0</v>
      </c>
      <c r="AS37" s="27" t="n">
        <f aca="false">IF(COUNT(Amendoim!$E35:$Z35)=0,0,MAX(0,IF((AS$6-$E$3)&lt;1,0,IFERROR(LOOKUP(2,1/(Amendoim!$E35:INDEX(Amendoim!$E35:$Z35,MIN(AS$6-$E$3,22))&lt;&gt;""),Amendoim!$E35:INDEX(Amendoim!$E35:$Z35,MIN(AS$6-$E$3,22))),0))-IF($G$2,0,IF((AS$6-$G$3)&lt;1,0,IFERROR(LOOKUP(2,1/(Amendoim!$E35:INDEX(Amendoim!$E35:$Z35,MIN(AS$6-$G$3,22))&lt;&gt;""),Amendoim!$E35:INDEX(Amendoim!$E35:$Z35,MIN(AS$6-$G$3,22))),0)))))</f>
        <v>0</v>
      </c>
      <c r="AT37" s="27" t="n">
        <f aca="false">IF(COUNT(Amendoim!$E35:$Z35)=0,0,MAX(0,IF((AT$6-$E$3)&lt;1,0,IFERROR(LOOKUP(2,1/(Amendoim!$E35:INDEX(Amendoim!$E35:$Z35,MIN(AT$6-$E$3,22))&lt;&gt;""),Amendoim!$E35:INDEX(Amendoim!$E35:$Z35,MIN(AT$6-$E$3,22))),0))-IF($G$2,0,IF((AT$6-$G$3)&lt;1,0,IFERROR(LOOKUP(2,1/(Amendoim!$E35:INDEX(Amendoim!$E35:$Z35,MIN(AT$6-$G$3,22))&lt;&gt;""),Amendoim!$E35:INDEX(Amendoim!$E35:$Z35,MIN(AT$6-$G$3,22))),0)))))</f>
        <v>0</v>
      </c>
      <c r="AU37" s="27" t="n">
        <f aca="false">IF(COUNT(Amendoim!$E35:$Z35)=0,0,MAX(0,IF((AU$6-$E$3)&lt;1,0,IFERROR(LOOKUP(2,1/(Amendoim!$E35:INDEX(Amendoim!$E35:$Z35,MIN(AU$6-$E$3,22))&lt;&gt;""),Amendoim!$E35:INDEX(Amendoim!$E35:$Z35,MIN(AU$6-$E$3,22))),0))-IF($G$2,0,IF((AU$6-$G$3)&lt;1,0,IFERROR(LOOKUP(2,1/(Amendoim!$E35:INDEX(Amendoim!$E35:$Z35,MIN(AU$6-$G$3,22))&lt;&gt;""),Amendoim!$E35:INDEX(Amendoim!$E35:$Z35,MIN(AU$6-$G$3,22))),0)))))</f>
        <v>0</v>
      </c>
      <c r="AV37" s="27" t="n">
        <f aca="false">IF(COUNT(Amendoim!$E35:$Z35)=0,0,MAX(0,IF((AV$6-$E$3)&lt;1,0,IFERROR(LOOKUP(2,1/(Amendoim!$E35:INDEX(Amendoim!$E35:$Z35,MIN(AV$6-$E$3,22))&lt;&gt;""),Amendoim!$E35:INDEX(Amendoim!$E35:$Z35,MIN(AV$6-$E$3,22))),0))-IF($G$2,0,IF((AV$6-$G$3)&lt;1,0,IFERROR(LOOKUP(2,1/(Amendoim!$E35:INDEX(Amendoim!$E35:$Z35,MIN(AV$6-$G$3,22))&lt;&gt;""),Amendoim!$E35:INDEX(Amendoim!$E35:$Z35,MIN(AV$6-$G$3,22))),0)))))</f>
        <v>0</v>
      </c>
      <c r="AW37" s="27" t="n">
        <f aca="false">IF(COUNT(Amendoim!$E35:$Z35)=0,0,MAX(0,IF((AW$6-$E$3)&lt;1,0,IFERROR(LOOKUP(2,1/(Amendoim!$E35:INDEX(Amendoim!$E35:$Z35,MIN(AW$6-$E$3,22))&lt;&gt;""),Amendoim!$E35:INDEX(Amendoim!$E35:$Z35,MIN(AW$6-$E$3,22))),0))-IF($G$2,0,IF((AW$6-$G$3)&lt;1,0,IFERROR(LOOKUP(2,1/(Amendoim!$E35:INDEX(Amendoim!$E35:$Z35,MIN(AW$6-$G$3,22))&lt;&gt;""),Amendoim!$E35:INDEX(Amendoim!$E35:$Z35,MIN(AW$6-$G$3,22))),0)))))</f>
        <v>0</v>
      </c>
      <c r="AX37" s="27" t="n">
        <f aca="false">IF(COUNT(Amendoim!$E35:$Z35)=0,0,MAX(0,IF((AX$6-$E$3)&lt;1,0,IFERROR(LOOKUP(2,1/(Amendoim!$E35:INDEX(Amendoim!$E35:$Z35,MIN(AX$6-$E$3,22))&lt;&gt;""),Amendoim!$E35:INDEX(Amendoim!$E35:$Z35,MIN(AX$6-$E$3,22))),0))-IF($G$2,0,IF((AX$6-$G$3)&lt;1,0,IFERROR(LOOKUP(2,1/(Amendoim!$E35:INDEX(Amendoim!$E35:$Z35,MIN(AX$6-$G$3,22))&lt;&gt;""),Amendoim!$E35:INDEX(Amendoim!$E35:$Z35,MIN(AX$6-$G$3,22))),0)))))</f>
        <v>0</v>
      </c>
      <c r="AY37" s="27" t="n">
        <f aca="false">IF(COUNT(Amendoim!$E35:$Z35)=0,0,MAX(0,IF((AY$6-$E$3)&lt;1,0,IFERROR(LOOKUP(2,1/(Amendoim!$E35:INDEX(Amendoim!$E35:$Z35,MIN(AY$6-$E$3,22))&lt;&gt;""),Amendoim!$E35:INDEX(Amendoim!$E35:$Z35,MIN(AY$6-$E$3,22))),0))-IF($G$2,0,IF((AY$6-$G$3)&lt;1,0,IFERROR(LOOKUP(2,1/(Amendoim!$E35:INDEX(Amendoim!$E35:$Z35,MIN(AY$6-$G$3,22))&lt;&gt;""),Amendoim!$E35:INDEX(Amendoim!$E35:$Z35,MIN(AY$6-$G$3,22))),0)))))</f>
        <v>0</v>
      </c>
      <c r="AZ37" s="27" t="n">
        <f aca="false">IF(COUNT(Amendoim!$E35:$Z35)=0,0,MAX(0,IF((AZ$6-$E$3)&lt;1,0,IFERROR(LOOKUP(2,1/(Amendoim!$E35:INDEX(Amendoim!$E35:$Z35,MIN(AZ$6-$E$3,22))&lt;&gt;""),Amendoim!$E35:INDEX(Amendoim!$E35:$Z35,MIN(AZ$6-$E$3,22))),0))-IF($G$2,0,IF((AZ$6-$G$3)&lt;1,0,IFERROR(LOOKUP(2,1/(Amendoim!$E35:INDEX(Amendoim!$E35:$Z35,MIN(AZ$6-$G$3,22))&lt;&gt;""),Amendoim!$E35:INDEX(Amendoim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IF(COUNT(Amendoim!$E36:$Z36)&gt;0,N(Amendoim!$D36),0)</f>
        <v>0</v>
      </c>
      <c r="E38" s="27" t="n">
        <f aca="false">IF(COUNT(Amendoim!$E36:$Z36)=0,0,MAX(0,IF((E$6-$E$3)&lt;1,0,IFERROR(LOOKUP(2,1/(Amendoim!$E36:INDEX(Amendoim!$E36:$Z36,MIN(E$6-$E$3,22))&lt;&gt;""),Amendoim!$E36:INDEX(Amendoim!$E36:$Z36,MIN(E$6-$E$3,22))),0))-IF($G$2,0,IF((E$6-$G$3)&lt;1,0,IFERROR(LOOKUP(2,1/(Amendoim!$E36:INDEX(Amendoim!$E36:$Z36,MIN(E$6-$G$3,22))&lt;&gt;""),Amendoim!$E36:INDEX(Amendoim!$E36:$Z36,MIN(E$6-$G$3,22))),0)))))</f>
        <v>0</v>
      </c>
      <c r="F38" s="27" t="n">
        <f aca="false">IF(COUNT(Amendoim!$E36:$Z36)=0,0,MAX(0,IF((F$6-$E$3)&lt;1,0,IFERROR(LOOKUP(2,1/(Amendoim!$E36:INDEX(Amendoim!$E36:$Z36,MIN(F$6-$E$3,22))&lt;&gt;""),Amendoim!$E36:INDEX(Amendoim!$E36:$Z36,MIN(F$6-$E$3,22))),0))-IF($G$2,0,IF((F$6-$G$3)&lt;1,0,IFERROR(LOOKUP(2,1/(Amendoim!$E36:INDEX(Amendoim!$E36:$Z36,MIN(F$6-$G$3,22))&lt;&gt;""),Amendoim!$E36:INDEX(Amendoim!$E36:$Z36,MIN(F$6-$G$3,22))),0)))))</f>
        <v>0</v>
      </c>
      <c r="G38" s="27" t="n">
        <f aca="false">IF(COUNT(Amendoim!$E36:$Z36)=0,0,MAX(0,IF((G$6-$E$3)&lt;1,0,IFERROR(LOOKUP(2,1/(Amendoim!$E36:INDEX(Amendoim!$E36:$Z36,MIN(G$6-$E$3,22))&lt;&gt;""),Amendoim!$E36:INDEX(Amendoim!$E36:$Z36,MIN(G$6-$E$3,22))),0))-IF($G$2,0,IF((G$6-$G$3)&lt;1,0,IFERROR(LOOKUP(2,1/(Amendoim!$E36:INDEX(Amendoim!$E36:$Z36,MIN(G$6-$G$3,22))&lt;&gt;""),Amendoim!$E36:INDEX(Amendoim!$E36:$Z36,MIN(G$6-$G$3,22))),0)))))</f>
        <v>0</v>
      </c>
      <c r="H38" s="27" t="n">
        <f aca="false">IF(COUNT(Amendoim!$E36:$Z36)=0,0,MAX(0,IF((H$6-$E$3)&lt;1,0,IFERROR(LOOKUP(2,1/(Amendoim!$E36:INDEX(Amendoim!$E36:$Z36,MIN(H$6-$E$3,22))&lt;&gt;""),Amendoim!$E36:INDEX(Amendoim!$E36:$Z36,MIN(H$6-$E$3,22))),0))-IF($G$2,0,IF((H$6-$G$3)&lt;1,0,IFERROR(LOOKUP(2,1/(Amendoim!$E36:INDEX(Amendoim!$E36:$Z36,MIN(H$6-$G$3,22))&lt;&gt;""),Amendoim!$E36:INDEX(Amendoim!$E36:$Z36,MIN(H$6-$G$3,22))),0)))))</f>
        <v>0</v>
      </c>
      <c r="I38" s="27" t="n">
        <f aca="false">IF(COUNT(Amendoim!$E36:$Z36)=0,0,MAX(0,IF((I$6-$E$3)&lt;1,0,IFERROR(LOOKUP(2,1/(Amendoim!$E36:INDEX(Amendoim!$E36:$Z36,MIN(I$6-$E$3,22))&lt;&gt;""),Amendoim!$E36:INDEX(Amendoim!$E36:$Z36,MIN(I$6-$E$3,22))),0))-IF($G$2,0,IF((I$6-$G$3)&lt;1,0,IFERROR(LOOKUP(2,1/(Amendoim!$E36:INDEX(Amendoim!$E36:$Z36,MIN(I$6-$G$3,22))&lt;&gt;""),Amendoim!$E36:INDEX(Amendoim!$E36:$Z36,MIN(I$6-$G$3,22))),0)))))</f>
        <v>0</v>
      </c>
      <c r="J38" s="27" t="n">
        <f aca="false">IF(COUNT(Amendoim!$E36:$Z36)=0,0,MAX(0,IF((J$6-$E$3)&lt;1,0,IFERROR(LOOKUP(2,1/(Amendoim!$E36:INDEX(Amendoim!$E36:$Z36,MIN(J$6-$E$3,22))&lt;&gt;""),Amendoim!$E36:INDEX(Amendoim!$E36:$Z36,MIN(J$6-$E$3,22))),0))-IF($G$2,0,IF((J$6-$G$3)&lt;1,0,IFERROR(LOOKUP(2,1/(Amendoim!$E36:INDEX(Amendoim!$E36:$Z36,MIN(J$6-$G$3,22))&lt;&gt;""),Amendoim!$E36:INDEX(Amendoim!$E36:$Z36,MIN(J$6-$G$3,22))),0)))))</f>
        <v>0</v>
      </c>
      <c r="K38" s="27" t="n">
        <f aca="false">IF(COUNT(Amendoim!$E36:$Z36)=0,0,MAX(0,IF((K$6-$E$3)&lt;1,0,IFERROR(LOOKUP(2,1/(Amendoim!$E36:INDEX(Amendoim!$E36:$Z36,MIN(K$6-$E$3,22))&lt;&gt;""),Amendoim!$E36:INDEX(Amendoim!$E36:$Z36,MIN(K$6-$E$3,22))),0))-IF($G$2,0,IF((K$6-$G$3)&lt;1,0,IFERROR(LOOKUP(2,1/(Amendoim!$E36:INDEX(Amendoim!$E36:$Z36,MIN(K$6-$G$3,22))&lt;&gt;""),Amendoim!$E36:INDEX(Amendoim!$E36:$Z36,MIN(K$6-$G$3,22))),0)))))</f>
        <v>0</v>
      </c>
      <c r="L38" s="27" t="n">
        <f aca="false">IF(COUNT(Amendoim!$E36:$Z36)=0,0,MAX(0,IF((L$6-$E$3)&lt;1,0,IFERROR(LOOKUP(2,1/(Amendoim!$E36:INDEX(Amendoim!$E36:$Z36,MIN(L$6-$E$3,22))&lt;&gt;""),Amendoim!$E36:INDEX(Amendoim!$E36:$Z36,MIN(L$6-$E$3,22))),0))-IF($G$2,0,IF((L$6-$G$3)&lt;1,0,IFERROR(LOOKUP(2,1/(Amendoim!$E36:INDEX(Amendoim!$E36:$Z36,MIN(L$6-$G$3,22))&lt;&gt;""),Amendoim!$E36:INDEX(Amendoim!$E36:$Z36,MIN(L$6-$G$3,22))),0)))))</f>
        <v>0</v>
      </c>
      <c r="M38" s="27" t="n">
        <f aca="false">IF(COUNT(Amendoim!$E36:$Z36)=0,0,MAX(0,IF((M$6-$E$3)&lt;1,0,IFERROR(LOOKUP(2,1/(Amendoim!$E36:INDEX(Amendoim!$E36:$Z36,MIN(M$6-$E$3,22))&lt;&gt;""),Amendoim!$E36:INDEX(Amendoim!$E36:$Z36,MIN(M$6-$E$3,22))),0))-IF($G$2,0,IF((M$6-$G$3)&lt;1,0,IFERROR(LOOKUP(2,1/(Amendoim!$E36:INDEX(Amendoim!$E36:$Z36,MIN(M$6-$G$3,22))&lt;&gt;""),Amendoim!$E36:INDEX(Amendoim!$E36:$Z36,MIN(M$6-$G$3,22))),0)))))</f>
        <v>0</v>
      </c>
      <c r="N38" s="27" t="n">
        <f aca="false">IF(COUNT(Amendoim!$E36:$Z36)=0,0,MAX(0,IF((N$6-$E$3)&lt;1,0,IFERROR(LOOKUP(2,1/(Amendoim!$E36:INDEX(Amendoim!$E36:$Z36,MIN(N$6-$E$3,22))&lt;&gt;""),Amendoim!$E36:INDEX(Amendoim!$E36:$Z36,MIN(N$6-$E$3,22))),0))-IF($G$2,0,IF((N$6-$G$3)&lt;1,0,IFERROR(LOOKUP(2,1/(Amendoim!$E36:INDEX(Amendoim!$E36:$Z36,MIN(N$6-$G$3,22))&lt;&gt;""),Amendoim!$E36:INDEX(Amendoim!$E36:$Z36,MIN(N$6-$G$3,22))),0)))))</f>
        <v>0</v>
      </c>
      <c r="O38" s="27" t="n">
        <f aca="false">IF(COUNT(Amendoim!$E36:$Z36)=0,0,MAX(0,IF((O$6-$E$3)&lt;1,0,IFERROR(LOOKUP(2,1/(Amendoim!$E36:INDEX(Amendoim!$E36:$Z36,MIN(O$6-$E$3,22))&lt;&gt;""),Amendoim!$E36:INDEX(Amendoim!$E36:$Z36,MIN(O$6-$E$3,22))),0))-IF($G$2,0,IF((O$6-$G$3)&lt;1,0,IFERROR(LOOKUP(2,1/(Amendoim!$E36:INDEX(Amendoim!$E36:$Z36,MIN(O$6-$G$3,22))&lt;&gt;""),Amendoim!$E36:INDEX(Amendoim!$E36:$Z36,MIN(O$6-$G$3,22))),0)))))</f>
        <v>0</v>
      </c>
      <c r="P38" s="27" t="n">
        <f aca="false">IF(COUNT(Amendoim!$E36:$Z36)=0,0,MAX(0,IF((P$6-$E$3)&lt;1,0,IFERROR(LOOKUP(2,1/(Amendoim!$E36:INDEX(Amendoim!$E36:$Z36,MIN(P$6-$E$3,22))&lt;&gt;""),Amendoim!$E36:INDEX(Amendoim!$E36:$Z36,MIN(P$6-$E$3,22))),0))-IF($G$2,0,IF((P$6-$G$3)&lt;1,0,IFERROR(LOOKUP(2,1/(Amendoim!$E36:INDEX(Amendoim!$E36:$Z36,MIN(P$6-$G$3,22))&lt;&gt;""),Amendoim!$E36:INDEX(Amendoim!$E36:$Z36,MIN(P$6-$G$3,22))),0)))))</f>
        <v>0</v>
      </c>
      <c r="Q38" s="27" t="n">
        <f aca="false">IF(COUNT(Amendoim!$E36:$Z36)=0,0,MAX(0,IF((Q$6-$E$3)&lt;1,0,IFERROR(LOOKUP(2,1/(Amendoim!$E36:INDEX(Amendoim!$E36:$Z36,MIN(Q$6-$E$3,22))&lt;&gt;""),Amendoim!$E36:INDEX(Amendoim!$E36:$Z36,MIN(Q$6-$E$3,22))),0))-IF($G$2,0,IF((Q$6-$G$3)&lt;1,0,IFERROR(LOOKUP(2,1/(Amendoim!$E36:INDEX(Amendoim!$E36:$Z36,MIN(Q$6-$G$3,22))&lt;&gt;""),Amendoim!$E36:INDEX(Amendoim!$E36:$Z36,MIN(Q$6-$G$3,22))),0)))))</f>
        <v>0</v>
      </c>
      <c r="R38" s="27" t="n">
        <f aca="false">IF(COUNT(Amendoim!$E36:$Z36)=0,0,MAX(0,IF((R$6-$E$3)&lt;1,0,IFERROR(LOOKUP(2,1/(Amendoim!$E36:INDEX(Amendoim!$E36:$Z36,MIN(R$6-$E$3,22))&lt;&gt;""),Amendoim!$E36:INDEX(Amendoim!$E36:$Z36,MIN(R$6-$E$3,22))),0))-IF($G$2,0,IF((R$6-$G$3)&lt;1,0,IFERROR(LOOKUP(2,1/(Amendoim!$E36:INDEX(Amendoim!$E36:$Z36,MIN(R$6-$G$3,22))&lt;&gt;""),Amendoim!$E36:INDEX(Amendoim!$E36:$Z36,MIN(R$6-$G$3,22))),0)))))</f>
        <v>0</v>
      </c>
      <c r="S38" s="27" t="n">
        <f aca="false">IF(COUNT(Amendoim!$E36:$Z36)=0,0,MAX(0,IF((S$6-$E$3)&lt;1,0,IFERROR(LOOKUP(2,1/(Amendoim!$E36:INDEX(Amendoim!$E36:$Z36,MIN(S$6-$E$3,22))&lt;&gt;""),Amendoim!$E36:INDEX(Amendoim!$E36:$Z36,MIN(S$6-$E$3,22))),0))-IF($G$2,0,IF((S$6-$G$3)&lt;1,0,IFERROR(LOOKUP(2,1/(Amendoim!$E36:INDEX(Amendoim!$E36:$Z36,MIN(S$6-$G$3,22))&lt;&gt;""),Amendoim!$E36:INDEX(Amendoim!$E36:$Z36,MIN(S$6-$G$3,22))),0)))))</f>
        <v>0</v>
      </c>
      <c r="T38" s="27" t="n">
        <f aca="false">IF(COUNT(Amendoim!$E36:$Z36)=0,0,MAX(0,IF((T$6-$E$3)&lt;1,0,IFERROR(LOOKUP(2,1/(Amendoim!$E36:INDEX(Amendoim!$E36:$Z36,MIN(T$6-$E$3,22))&lt;&gt;""),Amendoim!$E36:INDEX(Amendoim!$E36:$Z36,MIN(T$6-$E$3,22))),0))-IF($G$2,0,IF((T$6-$G$3)&lt;1,0,IFERROR(LOOKUP(2,1/(Amendoim!$E36:INDEX(Amendoim!$E36:$Z36,MIN(T$6-$G$3,22))&lt;&gt;""),Amendoim!$E36:INDEX(Amendoim!$E36:$Z36,MIN(T$6-$G$3,22))),0)))))</f>
        <v>0</v>
      </c>
      <c r="U38" s="27" t="n">
        <f aca="false">IF(COUNT(Amendoim!$E36:$Z36)=0,0,MAX(0,IF((U$6-$E$3)&lt;1,0,IFERROR(LOOKUP(2,1/(Amendoim!$E36:INDEX(Amendoim!$E36:$Z36,MIN(U$6-$E$3,22))&lt;&gt;""),Amendoim!$E36:INDEX(Amendoim!$E36:$Z36,MIN(U$6-$E$3,22))),0))-IF($G$2,0,IF((U$6-$G$3)&lt;1,0,IFERROR(LOOKUP(2,1/(Amendoim!$E36:INDEX(Amendoim!$E36:$Z36,MIN(U$6-$G$3,22))&lt;&gt;""),Amendoim!$E36:INDEX(Amendoim!$E36:$Z36,MIN(U$6-$G$3,22))),0)))))</f>
        <v>0</v>
      </c>
      <c r="V38" s="27" t="n">
        <f aca="false">IF(COUNT(Amendoim!$E36:$Z36)=0,0,MAX(0,IF((V$6-$E$3)&lt;1,0,IFERROR(LOOKUP(2,1/(Amendoim!$E36:INDEX(Amendoim!$E36:$Z36,MIN(V$6-$E$3,22))&lt;&gt;""),Amendoim!$E36:INDEX(Amendoim!$E36:$Z36,MIN(V$6-$E$3,22))),0))-IF($G$2,0,IF((V$6-$G$3)&lt;1,0,IFERROR(LOOKUP(2,1/(Amendoim!$E36:INDEX(Amendoim!$E36:$Z36,MIN(V$6-$G$3,22))&lt;&gt;""),Amendoim!$E36:INDEX(Amendoim!$E36:$Z36,MIN(V$6-$G$3,22))),0)))))</f>
        <v>0</v>
      </c>
      <c r="W38" s="27" t="n">
        <f aca="false">IF(COUNT(Amendoim!$E36:$Z36)=0,0,MAX(0,IF((W$6-$E$3)&lt;1,0,IFERROR(LOOKUP(2,1/(Amendoim!$E36:INDEX(Amendoim!$E36:$Z36,MIN(W$6-$E$3,22))&lt;&gt;""),Amendoim!$E36:INDEX(Amendoim!$E36:$Z36,MIN(W$6-$E$3,22))),0))-IF($G$2,0,IF((W$6-$G$3)&lt;1,0,IFERROR(LOOKUP(2,1/(Amendoim!$E36:INDEX(Amendoim!$E36:$Z36,MIN(W$6-$G$3,22))&lt;&gt;""),Amendoim!$E36:INDEX(Amendoim!$E36:$Z36,MIN(W$6-$G$3,22))),0)))))</f>
        <v>0</v>
      </c>
      <c r="X38" s="27" t="n">
        <f aca="false">IF(COUNT(Amendoim!$E36:$Z36)=0,0,MAX(0,IF((X$6-$E$3)&lt;1,0,IFERROR(LOOKUP(2,1/(Amendoim!$E36:INDEX(Amendoim!$E36:$Z36,MIN(X$6-$E$3,22))&lt;&gt;""),Amendoim!$E36:INDEX(Amendoim!$E36:$Z36,MIN(X$6-$E$3,22))),0))-IF($G$2,0,IF((X$6-$G$3)&lt;1,0,IFERROR(LOOKUP(2,1/(Amendoim!$E36:INDEX(Amendoim!$E36:$Z36,MIN(X$6-$G$3,22))&lt;&gt;""),Amendoim!$E36:INDEX(Amendoim!$E36:$Z36,MIN(X$6-$G$3,22))),0)))))</f>
        <v>0</v>
      </c>
      <c r="Y38" s="27" t="n">
        <f aca="false">IF(COUNT(Amendoim!$E36:$Z36)=0,0,MAX(0,IF((Y$6-$E$3)&lt;1,0,IFERROR(LOOKUP(2,1/(Amendoim!$E36:INDEX(Amendoim!$E36:$Z36,MIN(Y$6-$E$3,22))&lt;&gt;""),Amendoim!$E36:INDEX(Amendoim!$E36:$Z36,MIN(Y$6-$E$3,22))),0))-IF($G$2,0,IF((Y$6-$G$3)&lt;1,0,IFERROR(LOOKUP(2,1/(Amendoim!$E36:INDEX(Amendoim!$E36:$Z36,MIN(Y$6-$G$3,22))&lt;&gt;""),Amendoim!$E36:INDEX(Amendoim!$E36:$Z36,MIN(Y$6-$G$3,22))),0)))))</f>
        <v>0</v>
      </c>
      <c r="Z38" s="27" t="n">
        <f aca="false">IF(COUNT(Amendoim!$E36:$Z36)=0,0,MAX(0,IF((Z$6-$E$3)&lt;1,0,IFERROR(LOOKUP(2,1/(Amendoim!$E36:INDEX(Amendoim!$E36:$Z36,MIN(Z$6-$E$3,22))&lt;&gt;""),Amendoim!$E36:INDEX(Amendoim!$E36:$Z36,MIN(Z$6-$E$3,22))),0))-IF($G$2,0,IF((Z$6-$G$3)&lt;1,0,IFERROR(LOOKUP(2,1/(Amendoim!$E36:INDEX(Amendoim!$E36:$Z36,MIN(Z$6-$G$3,22))&lt;&gt;""),Amendoim!$E36:INDEX(Amendoim!$E36:$Z36,MIN(Z$6-$G$3,22))),0)))))</f>
        <v>0</v>
      </c>
      <c r="AA38" s="27" t="n">
        <f aca="false">IF(COUNT(Amendoim!$E36:$Z36)=0,0,MAX(0,IF((AA$6-$E$3)&lt;1,0,IFERROR(LOOKUP(2,1/(Amendoim!$E36:INDEX(Amendoim!$E36:$Z36,MIN(AA$6-$E$3,22))&lt;&gt;""),Amendoim!$E36:INDEX(Amendoim!$E36:$Z36,MIN(AA$6-$E$3,22))),0))-IF($G$2,0,IF((AA$6-$G$3)&lt;1,0,IFERROR(LOOKUP(2,1/(Amendoim!$E36:INDEX(Amendoim!$E36:$Z36,MIN(AA$6-$G$3,22))&lt;&gt;""),Amendoim!$E36:INDEX(Amendoim!$E36:$Z36,MIN(AA$6-$G$3,22))),0)))))</f>
        <v>0</v>
      </c>
      <c r="AB38" s="27" t="n">
        <f aca="false">IF(COUNT(Amendoim!$E36:$Z36)=0,0,MAX(0,IF((AB$6-$E$3)&lt;1,0,IFERROR(LOOKUP(2,1/(Amendoim!$E36:INDEX(Amendoim!$E36:$Z36,MIN(AB$6-$E$3,22))&lt;&gt;""),Amendoim!$E36:INDEX(Amendoim!$E36:$Z36,MIN(AB$6-$E$3,22))),0))-IF($G$2,0,IF((AB$6-$G$3)&lt;1,0,IFERROR(LOOKUP(2,1/(Amendoim!$E36:INDEX(Amendoim!$E36:$Z36,MIN(AB$6-$G$3,22))&lt;&gt;""),Amendoim!$E36:INDEX(Amendoim!$E36:$Z36,MIN(AB$6-$G$3,22))),0)))))</f>
        <v>0</v>
      </c>
      <c r="AC38" s="27" t="n">
        <f aca="false">IF(COUNT(Amendoim!$E36:$Z36)=0,0,MAX(0,IF((AC$6-$E$3)&lt;1,0,IFERROR(LOOKUP(2,1/(Amendoim!$E36:INDEX(Amendoim!$E36:$Z36,MIN(AC$6-$E$3,22))&lt;&gt;""),Amendoim!$E36:INDEX(Amendoim!$E36:$Z36,MIN(AC$6-$E$3,22))),0))-IF($G$2,0,IF((AC$6-$G$3)&lt;1,0,IFERROR(LOOKUP(2,1/(Amendoim!$E36:INDEX(Amendoim!$E36:$Z36,MIN(AC$6-$G$3,22))&lt;&gt;""),Amendoim!$E36:INDEX(Amendoim!$E36:$Z36,MIN(AC$6-$G$3,22))),0)))))</f>
        <v>0</v>
      </c>
      <c r="AD38" s="27" t="n">
        <f aca="false">IF(COUNT(Amendoim!$E36:$Z36)=0,0,MAX(0,IF((AD$6-$E$3)&lt;1,0,IFERROR(LOOKUP(2,1/(Amendoim!$E36:INDEX(Amendoim!$E36:$Z36,MIN(AD$6-$E$3,22))&lt;&gt;""),Amendoim!$E36:INDEX(Amendoim!$E36:$Z36,MIN(AD$6-$E$3,22))),0))-IF($G$2,0,IF((AD$6-$G$3)&lt;1,0,IFERROR(LOOKUP(2,1/(Amendoim!$E36:INDEX(Amendoim!$E36:$Z36,MIN(AD$6-$G$3,22))&lt;&gt;""),Amendoim!$E36:INDEX(Amendoim!$E36:$Z36,MIN(AD$6-$G$3,22))),0)))))</f>
        <v>0</v>
      </c>
      <c r="AE38" s="27" t="n">
        <f aca="false">IF(COUNT(Amendoim!$E36:$Z36)=0,0,MAX(0,IF((AE$6-$E$3)&lt;1,0,IFERROR(LOOKUP(2,1/(Amendoim!$E36:INDEX(Amendoim!$E36:$Z36,MIN(AE$6-$E$3,22))&lt;&gt;""),Amendoim!$E36:INDEX(Amendoim!$E36:$Z36,MIN(AE$6-$E$3,22))),0))-IF($G$2,0,IF((AE$6-$G$3)&lt;1,0,IFERROR(LOOKUP(2,1/(Amendoim!$E36:INDEX(Amendoim!$E36:$Z36,MIN(AE$6-$G$3,22))&lt;&gt;""),Amendoim!$E36:INDEX(Amendoim!$E36:$Z36,MIN(AE$6-$G$3,22))),0)))))</f>
        <v>0</v>
      </c>
      <c r="AF38" s="27" t="n">
        <f aca="false">IF(COUNT(Amendoim!$E36:$Z36)=0,0,MAX(0,IF((AF$6-$E$3)&lt;1,0,IFERROR(LOOKUP(2,1/(Amendoim!$E36:INDEX(Amendoim!$E36:$Z36,MIN(AF$6-$E$3,22))&lt;&gt;""),Amendoim!$E36:INDEX(Amendoim!$E36:$Z36,MIN(AF$6-$E$3,22))),0))-IF($G$2,0,IF((AF$6-$G$3)&lt;1,0,IFERROR(LOOKUP(2,1/(Amendoim!$E36:INDEX(Amendoim!$E36:$Z36,MIN(AF$6-$G$3,22))&lt;&gt;""),Amendoim!$E36:INDEX(Amendoim!$E36:$Z36,MIN(AF$6-$G$3,22))),0)))))</f>
        <v>0</v>
      </c>
      <c r="AG38" s="27" t="n">
        <f aca="false">IF(COUNT(Amendoim!$E36:$Z36)=0,0,MAX(0,IF((AG$6-$E$3)&lt;1,0,IFERROR(LOOKUP(2,1/(Amendoim!$E36:INDEX(Amendoim!$E36:$Z36,MIN(AG$6-$E$3,22))&lt;&gt;""),Amendoim!$E36:INDEX(Amendoim!$E36:$Z36,MIN(AG$6-$E$3,22))),0))-IF($G$2,0,IF((AG$6-$G$3)&lt;1,0,IFERROR(LOOKUP(2,1/(Amendoim!$E36:INDEX(Amendoim!$E36:$Z36,MIN(AG$6-$G$3,22))&lt;&gt;""),Amendoim!$E36:INDEX(Amendoim!$E36:$Z36,MIN(AG$6-$G$3,22))),0)))))</f>
        <v>0</v>
      </c>
      <c r="AH38" s="27" t="n">
        <f aca="false">IF(COUNT(Amendoim!$E36:$Z36)=0,0,MAX(0,IF((AH$6-$E$3)&lt;1,0,IFERROR(LOOKUP(2,1/(Amendoim!$E36:INDEX(Amendoim!$E36:$Z36,MIN(AH$6-$E$3,22))&lt;&gt;""),Amendoim!$E36:INDEX(Amendoim!$E36:$Z36,MIN(AH$6-$E$3,22))),0))-IF($G$2,0,IF((AH$6-$G$3)&lt;1,0,IFERROR(LOOKUP(2,1/(Amendoim!$E36:INDEX(Amendoim!$E36:$Z36,MIN(AH$6-$G$3,22))&lt;&gt;""),Amendoim!$E36:INDEX(Amendoim!$E36:$Z36,MIN(AH$6-$G$3,22))),0)))))</f>
        <v>0</v>
      </c>
      <c r="AI38" s="27" t="n">
        <f aca="false">IF(COUNT(Amendoim!$E36:$Z36)=0,0,MAX(0,IF((AI$6-$E$3)&lt;1,0,IFERROR(LOOKUP(2,1/(Amendoim!$E36:INDEX(Amendoim!$E36:$Z36,MIN(AI$6-$E$3,22))&lt;&gt;""),Amendoim!$E36:INDEX(Amendoim!$E36:$Z36,MIN(AI$6-$E$3,22))),0))-IF($G$2,0,IF((AI$6-$G$3)&lt;1,0,IFERROR(LOOKUP(2,1/(Amendoim!$E36:INDEX(Amendoim!$E36:$Z36,MIN(AI$6-$G$3,22))&lt;&gt;""),Amendoim!$E36:INDEX(Amendoim!$E36:$Z36,MIN(AI$6-$G$3,22))),0)))))</f>
        <v>0</v>
      </c>
      <c r="AJ38" s="27" t="n">
        <f aca="false">IF(COUNT(Amendoim!$E36:$Z36)=0,0,MAX(0,IF((AJ$6-$E$3)&lt;1,0,IFERROR(LOOKUP(2,1/(Amendoim!$E36:INDEX(Amendoim!$E36:$Z36,MIN(AJ$6-$E$3,22))&lt;&gt;""),Amendoim!$E36:INDEX(Amendoim!$E36:$Z36,MIN(AJ$6-$E$3,22))),0))-IF($G$2,0,IF((AJ$6-$G$3)&lt;1,0,IFERROR(LOOKUP(2,1/(Amendoim!$E36:INDEX(Amendoim!$E36:$Z36,MIN(AJ$6-$G$3,22))&lt;&gt;""),Amendoim!$E36:INDEX(Amendoim!$E36:$Z36,MIN(AJ$6-$G$3,22))),0)))))</f>
        <v>0</v>
      </c>
      <c r="AK38" s="27" t="n">
        <f aca="false">IF(COUNT(Amendoim!$E36:$Z36)=0,0,MAX(0,IF((AK$6-$E$3)&lt;1,0,IFERROR(LOOKUP(2,1/(Amendoim!$E36:INDEX(Amendoim!$E36:$Z36,MIN(AK$6-$E$3,22))&lt;&gt;""),Amendoim!$E36:INDEX(Amendoim!$E36:$Z36,MIN(AK$6-$E$3,22))),0))-IF($G$2,0,IF((AK$6-$G$3)&lt;1,0,IFERROR(LOOKUP(2,1/(Amendoim!$E36:INDEX(Amendoim!$E36:$Z36,MIN(AK$6-$G$3,22))&lt;&gt;""),Amendoim!$E36:INDEX(Amendoim!$E36:$Z36,MIN(AK$6-$G$3,22))),0)))))</f>
        <v>0</v>
      </c>
      <c r="AL38" s="27" t="n">
        <f aca="false">IF(COUNT(Amendoim!$E36:$Z36)=0,0,MAX(0,IF((AL$6-$E$3)&lt;1,0,IFERROR(LOOKUP(2,1/(Amendoim!$E36:INDEX(Amendoim!$E36:$Z36,MIN(AL$6-$E$3,22))&lt;&gt;""),Amendoim!$E36:INDEX(Amendoim!$E36:$Z36,MIN(AL$6-$E$3,22))),0))-IF($G$2,0,IF((AL$6-$G$3)&lt;1,0,IFERROR(LOOKUP(2,1/(Amendoim!$E36:INDEX(Amendoim!$E36:$Z36,MIN(AL$6-$G$3,22))&lt;&gt;""),Amendoim!$E36:INDEX(Amendoim!$E36:$Z36,MIN(AL$6-$G$3,22))),0)))))</f>
        <v>0</v>
      </c>
      <c r="AM38" s="27" t="n">
        <f aca="false">IF(COUNT(Amendoim!$E36:$Z36)=0,0,MAX(0,IF((AM$6-$E$3)&lt;1,0,IFERROR(LOOKUP(2,1/(Amendoim!$E36:INDEX(Amendoim!$E36:$Z36,MIN(AM$6-$E$3,22))&lt;&gt;""),Amendoim!$E36:INDEX(Amendoim!$E36:$Z36,MIN(AM$6-$E$3,22))),0))-IF($G$2,0,IF((AM$6-$G$3)&lt;1,0,IFERROR(LOOKUP(2,1/(Amendoim!$E36:INDEX(Amendoim!$E36:$Z36,MIN(AM$6-$G$3,22))&lt;&gt;""),Amendoim!$E36:INDEX(Amendoim!$E36:$Z36,MIN(AM$6-$G$3,22))),0)))))</f>
        <v>0</v>
      </c>
      <c r="AN38" s="27" t="n">
        <f aca="false">IF(COUNT(Amendoim!$E36:$Z36)=0,0,MAX(0,IF((AN$6-$E$3)&lt;1,0,IFERROR(LOOKUP(2,1/(Amendoim!$E36:INDEX(Amendoim!$E36:$Z36,MIN(AN$6-$E$3,22))&lt;&gt;""),Amendoim!$E36:INDEX(Amendoim!$E36:$Z36,MIN(AN$6-$E$3,22))),0))-IF($G$2,0,IF((AN$6-$G$3)&lt;1,0,IFERROR(LOOKUP(2,1/(Amendoim!$E36:INDEX(Amendoim!$E36:$Z36,MIN(AN$6-$G$3,22))&lt;&gt;""),Amendoim!$E36:INDEX(Amendoim!$E36:$Z36,MIN(AN$6-$G$3,22))),0)))))</f>
        <v>0</v>
      </c>
      <c r="AO38" s="27" t="n">
        <f aca="false">IF(COUNT(Amendoim!$E36:$Z36)=0,0,MAX(0,IF((AO$6-$E$3)&lt;1,0,IFERROR(LOOKUP(2,1/(Amendoim!$E36:INDEX(Amendoim!$E36:$Z36,MIN(AO$6-$E$3,22))&lt;&gt;""),Amendoim!$E36:INDEX(Amendoim!$E36:$Z36,MIN(AO$6-$E$3,22))),0))-IF($G$2,0,IF((AO$6-$G$3)&lt;1,0,IFERROR(LOOKUP(2,1/(Amendoim!$E36:INDEX(Amendoim!$E36:$Z36,MIN(AO$6-$G$3,22))&lt;&gt;""),Amendoim!$E36:INDEX(Amendoim!$E36:$Z36,MIN(AO$6-$G$3,22))),0)))))</f>
        <v>0</v>
      </c>
      <c r="AP38" s="27" t="n">
        <f aca="false">IF(COUNT(Amendoim!$E36:$Z36)=0,0,MAX(0,IF((AP$6-$E$3)&lt;1,0,IFERROR(LOOKUP(2,1/(Amendoim!$E36:INDEX(Amendoim!$E36:$Z36,MIN(AP$6-$E$3,22))&lt;&gt;""),Amendoim!$E36:INDEX(Amendoim!$E36:$Z36,MIN(AP$6-$E$3,22))),0))-IF($G$2,0,IF((AP$6-$G$3)&lt;1,0,IFERROR(LOOKUP(2,1/(Amendoim!$E36:INDEX(Amendoim!$E36:$Z36,MIN(AP$6-$G$3,22))&lt;&gt;""),Amendoim!$E36:INDEX(Amendoim!$E36:$Z36,MIN(AP$6-$G$3,22))),0)))))</f>
        <v>0</v>
      </c>
      <c r="AQ38" s="27" t="n">
        <f aca="false">IF(COUNT(Amendoim!$E36:$Z36)=0,0,MAX(0,IF((AQ$6-$E$3)&lt;1,0,IFERROR(LOOKUP(2,1/(Amendoim!$E36:INDEX(Amendoim!$E36:$Z36,MIN(AQ$6-$E$3,22))&lt;&gt;""),Amendoim!$E36:INDEX(Amendoim!$E36:$Z36,MIN(AQ$6-$E$3,22))),0))-IF($G$2,0,IF((AQ$6-$G$3)&lt;1,0,IFERROR(LOOKUP(2,1/(Amendoim!$E36:INDEX(Amendoim!$E36:$Z36,MIN(AQ$6-$G$3,22))&lt;&gt;""),Amendoim!$E36:INDEX(Amendoim!$E36:$Z36,MIN(AQ$6-$G$3,22))),0)))))</f>
        <v>0</v>
      </c>
      <c r="AR38" s="27" t="n">
        <f aca="false">IF(COUNT(Amendoim!$E36:$Z36)=0,0,MAX(0,IF((AR$6-$E$3)&lt;1,0,IFERROR(LOOKUP(2,1/(Amendoim!$E36:INDEX(Amendoim!$E36:$Z36,MIN(AR$6-$E$3,22))&lt;&gt;""),Amendoim!$E36:INDEX(Amendoim!$E36:$Z36,MIN(AR$6-$E$3,22))),0))-IF($G$2,0,IF((AR$6-$G$3)&lt;1,0,IFERROR(LOOKUP(2,1/(Amendoim!$E36:INDEX(Amendoim!$E36:$Z36,MIN(AR$6-$G$3,22))&lt;&gt;""),Amendoim!$E36:INDEX(Amendoim!$E36:$Z36,MIN(AR$6-$G$3,22))),0)))))</f>
        <v>0</v>
      </c>
      <c r="AS38" s="27" t="n">
        <f aca="false">IF(COUNT(Amendoim!$E36:$Z36)=0,0,MAX(0,IF((AS$6-$E$3)&lt;1,0,IFERROR(LOOKUP(2,1/(Amendoim!$E36:INDEX(Amendoim!$E36:$Z36,MIN(AS$6-$E$3,22))&lt;&gt;""),Amendoim!$E36:INDEX(Amendoim!$E36:$Z36,MIN(AS$6-$E$3,22))),0))-IF($G$2,0,IF((AS$6-$G$3)&lt;1,0,IFERROR(LOOKUP(2,1/(Amendoim!$E36:INDEX(Amendoim!$E36:$Z36,MIN(AS$6-$G$3,22))&lt;&gt;""),Amendoim!$E36:INDEX(Amendoim!$E36:$Z36,MIN(AS$6-$G$3,22))),0)))))</f>
        <v>0</v>
      </c>
      <c r="AT38" s="27" t="n">
        <f aca="false">IF(COUNT(Amendoim!$E36:$Z36)=0,0,MAX(0,IF((AT$6-$E$3)&lt;1,0,IFERROR(LOOKUP(2,1/(Amendoim!$E36:INDEX(Amendoim!$E36:$Z36,MIN(AT$6-$E$3,22))&lt;&gt;""),Amendoim!$E36:INDEX(Amendoim!$E36:$Z36,MIN(AT$6-$E$3,22))),0))-IF($G$2,0,IF((AT$6-$G$3)&lt;1,0,IFERROR(LOOKUP(2,1/(Amendoim!$E36:INDEX(Amendoim!$E36:$Z36,MIN(AT$6-$G$3,22))&lt;&gt;""),Amendoim!$E36:INDEX(Amendoim!$E36:$Z36,MIN(AT$6-$G$3,22))),0)))))</f>
        <v>0</v>
      </c>
      <c r="AU38" s="27" t="n">
        <f aca="false">IF(COUNT(Amendoim!$E36:$Z36)=0,0,MAX(0,IF((AU$6-$E$3)&lt;1,0,IFERROR(LOOKUP(2,1/(Amendoim!$E36:INDEX(Amendoim!$E36:$Z36,MIN(AU$6-$E$3,22))&lt;&gt;""),Amendoim!$E36:INDEX(Amendoim!$E36:$Z36,MIN(AU$6-$E$3,22))),0))-IF($G$2,0,IF((AU$6-$G$3)&lt;1,0,IFERROR(LOOKUP(2,1/(Amendoim!$E36:INDEX(Amendoim!$E36:$Z36,MIN(AU$6-$G$3,22))&lt;&gt;""),Amendoim!$E36:INDEX(Amendoim!$E36:$Z36,MIN(AU$6-$G$3,22))),0)))))</f>
        <v>0</v>
      </c>
      <c r="AV38" s="27" t="n">
        <f aca="false">IF(COUNT(Amendoim!$E36:$Z36)=0,0,MAX(0,IF((AV$6-$E$3)&lt;1,0,IFERROR(LOOKUP(2,1/(Amendoim!$E36:INDEX(Amendoim!$E36:$Z36,MIN(AV$6-$E$3,22))&lt;&gt;""),Amendoim!$E36:INDEX(Amendoim!$E36:$Z36,MIN(AV$6-$E$3,22))),0))-IF($G$2,0,IF((AV$6-$G$3)&lt;1,0,IFERROR(LOOKUP(2,1/(Amendoim!$E36:INDEX(Amendoim!$E36:$Z36,MIN(AV$6-$G$3,22))&lt;&gt;""),Amendoim!$E36:INDEX(Amendoim!$E36:$Z36,MIN(AV$6-$G$3,22))),0)))))</f>
        <v>0</v>
      </c>
      <c r="AW38" s="27" t="n">
        <f aca="false">IF(COUNT(Amendoim!$E36:$Z36)=0,0,MAX(0,IF((AW$6-$E$3)&lt;1,0,IFERROR(LOOKUP(2,1/(Amendoim!$E36:INDEX(Amendoim!$E36:$Z36,MIN(AW$6-$E$3,22))&lt;&gt;""),Amendoim!$E36:INDEX(Amendoim!$E36:$Z36,MIN(AW$6-$E$3,22))),0))-IF($G$2,0,IF((AW$6-$G$3)&lt;1,0,IFERROR(LOOKUP(2,1/(Amendoim!$E36:INDEX(Amendoim!$E36:$Z36,MIN(AW$6-$G$3,22))&lt;&gt;""),Amendoim!$E36:INDEX(Amendoim!$E36:$Z36,MIN(AW$6-$G$3,22))),0)))))</f>
        <v>0</v>
      </c>
      <c r="AX38" s="27" t="n">
        <f aca="false">IF(COUNT(Amendoim!$E36:$Z36)=0,0,MAX(0,IF((AX$6-$E$3)&lt;1,0,IFERROR(LOOKUP(2,1/(Amendoim!$E36:INDEX(Amendoim!$E36:$Z36,MIN(AX$6-$E$3,22))&lt;&gt;""),Amendoim!$E36:INDEX(Amendoim!$E36:$Z36,MIN(AX$6-$E$3,22))),0))-IF($G$2,0,IF((AX$6-$G$3)&lt;1,0,IFERROR(LOOKUP(2,1/(Amendoim!$E36:INDEX(Amendoim!$E36:$Z36,MIN(AX$6-$G$3,22))&lt;&gt;""),Amendoim!$E36:INDEX(Amendoim!$E36:$Z36,MIN(AX$6-$G$3,22))),0)))))</f>
        <v>0</v>
      </c>
      <c r="AY38" s="27" t="n">
        <f aca="false">IF(COUNT(Amendoim!$E36:$Z36)=0,0,MAX(0,IF((AY$6-$E$3)&lt;1,0,IFERROR(LOOKUP(2,1/(Amendoim!$E36:INDEX(Amendoim!$E36:$Z36,MIN(AY$6-$E$3,22))&lt;&gt;""),Amendoim!$E36:INDEX(Amendoim!$E36:$Z36,MIN(AY$6-$E$3,22))),0))-IF($G$2,0,IF((AY$6-$G$3)&lt;1,0,IFERROR(LOOKUP(2,1/(Amendoim!$E36:INDEX(Amendoim!$E36:$Z36,MIN(AY$6-$G$3,22))&lt;&gt;""),Amendoim!$E36:INDEX(Amendoim!$E36:$Z36,MIN(AY$6-$G$3,22))),0)))))</f>
        <v>0</v>
      </c>
      <c r="AZ38" s="27" t="n">
        <f aca="false">IF(COUNT(Amendoim!$E36:$Z36)=0,0,MAX(0,IF((AZ$6-$E$3)&lt;1,0,IFERROR(LOOKUP(2,1/(Amendoim!$E36:INDEX(Amendoim!$E36:$Z36,MIN(AZ$6-$E$3,22))&lt;&gt;""),Amendoim!$E36:INDEX(Amendoim!$E36:$Z36,MIN(AZ$6-$E$3,22))),0))-IF($G$2,0,IF((AZ$6-$G$3)&lt;1,0,IFERROR(LOOKUP(2,1/(Amendoim!$E36:INDEX(Amendoim!$E36:$Z36,MIN(AZ$6-$G$3,22))&lt;&gt;""),Amendoim!$E36:INDEX(Amendoim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IF(COUNT(Amendoim!$E37:$Z37)&gt;0,N(Amendoim!$D37),0)</f>
        <v>0</v>
      </c>
      <c r="E39" s="27" t="n">
        <f aca="false">IF(COUNT(Amendoim!$E37:$Z37)=0,0,MAX(0,IF((E$6-$E$3)&lt;1,0,IFERROR(LOOKUP(2,1/(Amendoim!$E37:INDEX(Amendoim!$E37:$Z37,MIN(E$6-$E$3,22))&lt;&gt;""),Amendoim!$E37:INDEX(Amendoim!$E37:$Z37,MIN(E$6-$E$3,22))),0))-IF($G$2,0,IF((E$6-$G$3)&lt;1,0,IFERROR(LOOKUP(2,1/(Amendoim!$E37:INDEX(Amendoim!$E37:$Z37,MIN(E$6-$G$3,22))&lt;&gt;""),Amendoim!$E37:INDEX(Amendoim!$E37:$Z37,MIN(E$6-$G$3,22))),0)))))</f>
        <v>0</v>
      </c>
      <c r="F39" s="27" t="n">
        <f aca="false">IF(COUNT(Amendoim!$E37:$Z37)=0,0,MAX(0,IF((F$6-$E$3)&lt;1,0,IFERROR(LOOKUP(2,1/(Amendoim!$E37:INDEX(Amendoim!$E37:$Z37,MIN(F$6-$E$3,22))&lt;&gt;""),Amendoim!$E37:INDEX(Amendoim!$E37:$Z37,MIN(F$6-$E$3,22))),0))-IF($G$2,0,IF((F$6-$G$3)&lt;1,0,IFERROR(LOOKUP(2,1/(Amendoim!$E37:INDEX(Amendoim!$E37:$Z37,MIN(F$6-$G$3,22))&lt;&gt;""),Amendoim!$E37:INDEX(Amendoim!$E37:$Z37,MIN(F$6-$G$3,22))),0)))))</f>
        <v>0</v>
      </c>
      <c r="G39" s="27" t="n">
        <f aca="false">IF(COUNT(Amendoim!$E37:$Z37)=0,0,MAX(0,IF((G$6-$E$3)&lt;1,0,IFERROR(LOOKUP(2,1/(Amendoim!$E37:INDEX(Amendoim!$E37:$Z37,MIN(G$6-$E$3,22))&lt;&gt;""),Amendoim!$E37:INDEX(Amendoim!$E37:$Z37,MIN(G$6-$E$3,22))),0))-IF($G$2,0,IF((G$6-$G$3)&lt;1,0,IFERROR(LOOKUP(2,1/(Amendoim!$E37:INDEX(Amendoim!$E37:$Z37,MIN(G$6-$G$3,22))&lt;&gt;""),Amendoim!$E37:INDEX(Amendoim!$E37:$Z37,MIN(G$6-$G$3,22))),0)))))</f>
        <v>0</v>
      </c>
      <c r="H39" s="27" t="n">
        <f aca="false">IF(COUNT(Amendoim!$E37:$Z37)=0,0,MAX(0,IF((H$6-$E$3)&lt;1,0,IFERROR(LOOKUP(2,1/(Amendoim!$E37:INDEX(Amendoim!$E37:$Z37,MIN(H$6-$E$3,22))&lt;&gt;""),Amendoim!$E37:INDEX(Amendoim!$E37:$Z37,MIN(H$6-$E$3,22))),0))-IF($G$2,0,IF((H$6-$G$3)&lt;1,0,IFERROR(LOOKUP(2,1/(Amendoim!$E37:INDEX(Amendoim!$E37:$Z37,MIN(H$6-$G$3,22))&lt;&gt;""),Amendoim!$E37:INDEX(Amendoim!$E37:$Z37,MIN(H$6-$G$3,22))),0)))))</f>
        <v>0</v>
      </c>
      <c r="I39" s="27" t="n">
        <f aca="false">IF(COUNT(Amendoim!$E37:$Z37)=0,0,MAX(0,IF((I$6-$E$3)&lt;1,0,IFERROR(LOOKUP(2,1/(Amendoim!$E37:INDEX(Amendoim!$E37:$Z37,MIN(I$6-$E$3,22))&lt;&gt;""),Amendoim!$E37:INDEX(Amendoim!$E37:$Z37,MIN(I$6-$E$3,22))),0))-IF($G$2,0,IF((I$6-$G$3)&lt;1,0,IFERROR(LOOKUP(2,1/(Amendoim!$E37:INDEX(Amendoim!$E37:$Z37,MIN(I$6-$G$3,22))&lt;&gt;""),Amendoim!$E37:INDEX(Amendoim!$E37:$Z37,MIN(I$6-$G$3,22))),0)))))</f>
        <v>0</v>
      </c>
      <c r="J39" s="27" t="n">
        <f aca="false">IF(COUNT(Amendoim!$E37:$Z37)=0,0,MAX(0,IF((J$6-$E$3)&lt;1,0,IFERROR(LOOKUP(2,1/(Amendoim!$E37:INDEX(Amendoim!$E37:$Z37,MIN(J$6-$E$3,22))&lt;&gt;""),Amendoim!$E37:INDEX(Amendoim!$E37:$Z37,MIN(J$6-$E$3,22))),0))-IF($G$2,0,IF((J$6-$G$3)&lt;1,0,IFERROR(LOOKUP(2,1/(Amendoim!$E37:INDEX(Amendoim!$E37:$Z37,MIN(J$6-$G$3,22))&lt;&gt;""),Amendoim!$E37:INDEX(Amendoim!$E37:$Z37,MIN(J$6-$G$3,22))),0)))))</f>
        <v>0</v>
      </c>
      <c r="K39" s="27" t="n">
        <f aca="false">IF(COUNT(Amendoim!$E37:$Z37)=0,0,MAX(0,IF((K$6-$E$3)&lt;1,0,IFERROR(LOOKUP(2,1/(Amendoim!$E37:INDEX(Amendoim!$E37:$Z37,MIN(K$6-$E$3,22))&lt;&gt;""),Amendoim!$E37:INDEX(Amendoim!$E37:$Z37,MIN(K$6-$E$3,22))),0))-IF($G$2,0,IF((K$6-$G$3)&lt;1,0,IFERROR(LOOKUP(2,1/(Amendoim!$E37:INDEX(Amendoim!$E37:$Z37,MIN(K$6-$G$3,22))&lt;&gt;""),Amendoim!$E37:INDEX(Amendoim!$E37:$Z37,MIN(K$6-$G$3,22))),0)))))</f>
        <v>0</v>
      </c>
      <c r="L39" s="27" t="n">
        <f aca="false">IF(COUNT(Amendoim!$E37:$Z37)=0,0,MAX(0,IF((L$6-$E$3)&lt;1,0,IFERROR(LOOKUP(2,1/(Amendoim!$E37:INDEX(Amendoim!$E37:$Z37,MIN(L$6-$E$3,22))&lt;&gt;""),Amendoim!$E37:INDEX(Amendoim!$E37:$Z37,MIN(L$6-$E$3,22))),0))-IF($G$2,0,IF((L$6-$G$3)&lt;1,0,IFERROR(LOOKUP(2,1/(Amendoim!$E37:INDEX(Amendoim!$E37:$Z37,MIN(L$6-$G$3,22))&lt;&gt;""),Amendoim!$E37:INDEX(Amendoim!$E37:$Z37,MIN(L$6-$G$3,22))),0)))))</f>
        <v>0</v>
      </c>
      <c r="M39" s="27" t="n">
        <f aca="false">IF(COUNT(Amendoim!$E37:$Z37)=0,0,MAX(0,IF((M$6-$E$3)&lt;1,0,IFERROR(LOOKUP(2,1/(Amendoim!$E37:INDEX(Amendoim!$E37:$Z37,MIN(M$6-$E$3,22))&lt;&gt;""),Amendoim!$E37:INDEX(Amendoim!$E37:$Z37,MIN(M$6-$E$3,22))),0))-IF($G$2,0,IF((M$6-$G$3)&lt;1,0,IFERROR(LOOKUP(2,1/(Amendoim!$E37:INDEX(Amendoim!$E37:$Z37,MIN(M$6-$G$3,22))&lt;&gt;""),Amendoim!$E37:INDEX(Amendoim!$E37:$Z37,MIN(M$6-$G$3,22))),0)))))</f>
        <v>0</v>
      </c>
      <c r="N39" s="27" t="n">
        <f aca="false">IF(COUNT(Amendoim!$E37:$Z37)=0,0,MAX(0,IF((N$6-$E$3)&lt;1,0,IFERROR(LOOKUP(2,1/(Amendoim!$E37:INDEX(Amendoim!$E37:$Z37,MIN(N$6-$E$3,22))&lt;&gt;""),Amendoim!$E37:INDEX(Amendoim!$E37:$Z37,MIN(N$6-$E$3,22))),0))-IF($G$2,0,IF((N$6-$G$3)&lt;1,0,IFERROR(LOOKUP(2,1/(Amendoim!$E37:INDEX(Amendoim!$E37:$Z37,MIN(N$6-$G$3,22))&lt;&gt;""),Amendoim!$E37:INDEX(Amendoim!$E37:$Z37,MIN(N$6-$G$3,22))),0)))))</f>
        <v>0</v>
      </c>
      <c r="O39" s="27" t="n">
        <f aca="false">IF(COUNT(Amendoim!$E37:$Z37)=0,0,MAX(0,IF((O$6-$E$3)&lt;1,0,IFERROR(LOOKUP(2,1/(Amendoim!$E37:INDEX(Amendoim!$E37:$Z37,MIN(O$6-$E$3,22))&lt;&gt;""),Amendoim!$E37:INDEX(Amendoim!$E37:$Z37,MIN(O$6-$E$3,22))),0))-IF($G$2,0,IF((O$6-$G$3)&lt;1,0,IFERROR(LOOKUP(2,1/(Amendoim!$E37:INDEX(Amendoim!$E37:$Z37,MIN(O$6-$G$3,22))&lt;&gt;""),Amendoim!$E37:INDEX(Amendoim!$E37:$Z37,MIN(O$6-$G$3,22))),0)))))</f>
        <v>0</v>
      </c>
      <c r="P39" s="27" t="n">
        <f aca="false">IF(COUNT(Amendoim!$E37:$Z37)=0,0,MAX(0,IF((P$6-$E$3)&lt;1,0,IFERROR(LOOKUP(2,1/(Amendoim!$E37:INDEX(Amendoim!$E37:$Z37,MIN(P$6-$E$3,22))&lt;&gt;""),Amendoim!$E37:INDEX(Amendoim!$E37:$Z37,MIN(P$6-$E$3,22))),0))-IF($G$2,0,IF((P$6-$G$3)&lt;1,0,IFERROR(LOOKUP(2,1/(Amendoim!$E37:INDEX(Amendoim!$E37:$Z37,MIN(P$6-$G$3,22))&lt;&gt;""),Amendoim!$E37:INDEX(Amendoim!$E37:$Z37,MIN(P$6-$G$3,22))),0)))))</f>
        <v>0</v>
      </c>
      <c r="Q39" s="27" t="n">
        <f aca="false">IF(COUNT(Amendoim!$E37:$Z37)=0,0,MAX(0,IF((Q$6-$E$3)&lt;1,0,IFERROR(LOOKUP(2,1/(Amendoim!$E37:INDEX(Amendoim!$E37:$Z37,MIN(Q$6-$E$3,22))&lt;&gt;""),Amendoim!$E37:INDEX(Amendoim!$E37:$Z37,MIN(Q$6-$E$3,22))),0))-IF($G$2,0,IF((Q$6-$G$3)&lt;1,0,IFERROR(LOOKUP(2,1/(Amendoim!$E37:INDEX(Amendoim!$E37:$Z37,MIN(Q$6-$G$3,22))&lt;&gt;""),Amendoim!$E37:INDEX(Amendoim!$E37:$Z37,MIN(Q$6-$G$3,22))),0)))))</f>
        <v>0</v>
      </c>
      <c r="R39" s="27" t="n">
        <f aca="false">IF(COUNT(Amendoim!$E37:$Z37)=0,0,MAX(0,IF((R$6-$E$3)&lt;1,0,IFERROR(LOOKUP(2,1/(Amendoim!$E37:INDEX(Amendoim!$E37:$Z37,MIN(R$6-$E$3,22))&lt;&gt;""),Amendoim!$E37:INDEX(Amendoim!$E37:$Z37,MIN(R$6-$E$3,22))),0))-IF($G$2,0,IF((R$6-$G$3)&lt;1,0,IFERROR(LOOKUP(2,1/(Amendoim!$E37:INDEX(Amendoim!$E37:$Z37,MIN(R$6-$G$3,22))&lt;&gt;""),Amendoim!$E37:INDEX(Amendoim!$E37:$Z37,MIN(R$6-$G$3,22))),0)))))</f>
        <v>0</v>
      </c>
      <c r="S39" s="27" t="n">
        <f aca="false">IF(COUNT(Amendoim!$E37:$Z37)=0,0,MAX(0,IF((S$6-$E$3)&lt;1,0,IFERROR(LOOKUP(2,1/(Amendoim!$E37:INDEX(Amendoim!$E37:$Z37,MIN(S$6-$E$3,22))&lt;&gt;""),Amendoim!$E37:INDEX(Amendoim!$E37:$Z37,MIN(S$6-$E$3,22))),0))-IF($G$2,0,IF((S$6-$G$3)&lt;1,0,IFERROR(LOOKUP(2,1/(Amendoim!$E37:INDEX(Amendoim!$E37:$Z37,MIN(S$6-$G$3,22))&lt;&gt;""),Amendoim!$E37:INDEX(Amendoim!$E37:$Z37,MIN(S$6-$G$3,22))),0)))))</f>
        <v>0</v>
      </c>
      <c r="T39" s="27" t="n">
        <f aca="false">IF(COUNT(Amendoim!$E37:$Z37)=0,0,MAX(0,IF((T$6-$E$3)&lt;1,0,IFERROR(LOOKUP(2,1/(Amendoim!$E37:INDEX(Amendoim!$E37:$Z37,MIN(T$6-$E$3,22))&lt;&gt;""),Amendoim!$E37:INDEX(Amendoim!$E37:$Z37,MIN(T$6-$E$3,22))),0))-IF($G$2,0,IF((T$6-$G$3)&lt;1,0,IFERROR(LOOKUP(2,1/(Amendoim!$E37:INDEX(Amendoim!$E37:$Z37,MIN(T$6-$G$3,22))&lt;&gt;""),Amendoim!$E37:INDEX(Amendoim!$E37:$Z37,MIN(T$6-$G$3,22))),0)))))</f>
        <v>0</v>
      </c>
      <c r="U39" s="27" t="n">
        <f aca="false">IF(COUNT(Amendoim!$E37:$Z37)=0,0,MAX(0,IF((U$6-$E$3)&lt;1,0,IFERROR(LOOKUP(2,1/(Amendoim!$E37:INDEX(Amendoim!$E37:$Z37,MIN(U$6-$E$3,22))&lt;&gt;""),Amendoim!$E37:INDEX(Amendoim!$E37:$Z37,MIN(U$6-$E$3,22))),0))-IF($G$2,0,IF((U$6-$G$3)&lt;1,0,IFERROR(LOOKUP(2,1/(Amendoim!$E37:INDEX(Amendoim!$E37:$Z37,MIN(U$6-$G$3,22))&lt;&gt;""),Amendoim!$E37:INDEX(Amendoim!$E37:$Z37,MIN(U$6-$G$3,22))),0)))))</f>
        <v>0</v>
      </c>
      <c r="V39" s="27" t="n">
        <f aca="false">IF(COUNT(Amendoim!$E37:$Z37)=0,0,MAX(0,IF((V$6-$E$3)&lt;1,0,IFERROR(LOOKUP(2,1/(Amendoim!$E37:INDEX(Amendoim!$E37:$Z37,MIN(V$6-$E$3,22))&lt;&gt;""),Amendoim!$E37:INDEX(Amendoim!$E37:$Z37,MIN(V$6-$E$3,22))),0))-IF($G$2,0,IF((V$6-$G$3)&lt;1,0,IFERROR(LOOKUP(2,1/(Amendoim!$E37:INDEX(Amendoim!$E37:$Z37,MIN(V$6-$G$3,22))&lt;&gt;""),Amendoim!$E37:INDEX(Amendoim!$E37:$Z37,MIN(V$6-$G$3,22))),0)))))</f>
        <v>0</v>
      </c>
      <c r="W39" s="27" t="n">
        <f aca="false">IF(COUNT(Amendoim!$E37:$Z37)=0,0,MAX(0,IF((W$6-$E$3)&lt;1,0,IFERROR(LOOKUP(2,1/(Amendoim!$E37:INDEX(Amendoim!$E37:$Z37,MIN(W$6-$E$3,22))&lt;&gt;""),Amendoim!$E37:INDEX(Amendoim!$E37:$Z37,MIN(W$6-$E$3,22))),0))-IF($G$2,0,IF((W$6-$G$3)&lt;1,0,IFERROR(LOOKUP(2,1/(Amendoim!$E37:INDEX(Amendoim!$E37:$Z37,MIN(W$6-$G$3,22))&lt;&gt;""),Amendoim!$E37:INDEX(Amendoim!$E37:$Z37,MIN(W$6-$G$3,22))),0)))))</f>
        <v>0</v>
      </c>
      <c r="X39" s="27" t="n">
        <f aca="false">IF(COUNT(Amendoim!$E37:$Z37)=0,0,MAX(0,IF((X$6-$E$3)&lt;1,0,IFERROR(LOOKUP(2,1/(Amendoim!$E37:INDEX(Amendoim!$E37:$Z37,MIN(X$6-$E$3,22))&lt;&gt;""),Amendoim!$E37:INDEX(Amendoim!$E37:$Z37,MIN(X$6-$E$3,22))),0))-IF($G$2,0,IF((X$6-$G$3)&lt;1,0,IFERROR(LOOKUP(2,1/(Amendoim!$E37:INDEX(Amendoim!$E37:$Z37,MIN(X$6-$G$3,22))&lt;&gt;""),Amendoim!$E37:INDEX(Amendoim!$E37:$Z37,MIN(X$6-$G$3,22))),0)))))</f>
        <v>0</v>
      </c>
      <c r="Y39" s="27" t="n">
        <f aca="false">IF(COUNT(Amendoim!$E37:$Z37)=0,0,MAX(0,IF((Y$6-$E$3)&lt;1,0,IFERROR(LOOKUP(2,1/(Amendoim!$E37:INDEX(Amendoim!$E37:$Z37,MIN(Y$6-$E$3,22))&lt;&gt;""),Amendoim!$E37:INDEX(Amendoim!$E37:$Z37,MIN(Y$6-$E$3,22))),0))-IF($G$2,0,IF((Y$6-$G$3)&lt;1,0,IFERROR(LOOKUP(2,1/(Amendoim!$E37:INDEX(Amendoim!$E37:$Z37,MIN(Y$6-$G$3,22))&lt;&gt;""),Amendoim!$E37:INDEX(Amendoim!$E37:$Z37,MIN(Y$6-$G$3,22))),0)))))</f>
        <v>0</v>
      </c>
      <c r="Z39" s="27" t="n">
        <f aca="false">IF(COUNT(Amendoim!$E37:$Z37)=0,0,MAX(0,IF((Z$6-$E$3)&lt;1,0,IFERROR(LOOKUP(2,1/(Amendoim!$E37:INDEX(Amendoim!$E37:$Z37,MIN(Z$6-$E$3,22))&lt;&gt;""),Amendoim!$E37:INDEX(Amendoim!$E37:$Z37,MIN(Z$6-$E$3,22))),0))-IF($G$2,0,IF((Z$6-$G$3)&lt;1,0,IFERROR(LOOKUP(2,1/(Amendoim!$E37:INDEX(Amendoim!$E37:$Z37,MIN(Z$6-$G$3,22))&lt;&gt;""),Amendoim!$E37:INDEX(Amendoim!$E37:$Z37,MIN(Z$6-$G$3,22))),0)))))</f>
        <v>0</v>
      </c>
      <c r="AA39" s="27" t="n">
        <f aca="false">IF(COUNT(Amendoim!$E37:$Z37)=0,0,MAX(0,IF((AA$6-$E$3)&lt;1,0,IFERROR(LOOKUP(2,1/(Amendoim!$E37:INDEX(Amendoim!$E37:$Z37,MIN(AA$6-$E$3,22))&lt;&gt;""),Amendoim!$E37:INDEX(Amendoim!$E37:$Z37,MIN(AA$6-$E$3,22))),0))-IF($G$2,0,IF((AA$6-$G$3)&lt;1,0,IFERROR(LOOKUP(2,1/(Amendoim!$E37:INDEX(Amendoim!$E37:$Z37,MIN(AA$6-$G$3,22))&lt;&gt;""),Amendoim!$E37:INDEX(Amendoim!$E37:$Z37,MIN(AA$6-$G$3,22))),0)))))</f>
        <v>0</v>
      </c>
      <c r="AB39" s="27" t="n">
        <f aca="false">IF(COUNT(Amendoim!$E37:$Z37)=0,0,MAX(0,IF((AB$6-$E$3)&lt;1,0,IFERROR(LOOKUP(2,1/(Amendoim!$E37:INDEX(Amendoim!$E37:$Z37,MIN(AB$6-$E$3,22))&lt;&gt;""),Amendoim!$E37:INDEX(Amendoim!$E37:$Z37,MIN(AB$6-$E$3,22))),0))-IF($G$2,0,IF((AB$6-$G$3)&lt;1,0,IFERROR(LOOKUP(2,1/(Amendoim!$E37:INDEX(Amendoim!$E37:$Z37,MIN(AB$6-$G$3,22))&lt;&gt;""),Amendoim!$E37:INDEX(Amendoim!$E37:$Z37,MIN(AB$6-$G$3,22))),0)))))</f>
        <v>0</v>
      </c>
      <c r="AC39" s="27" t="n">
        <f aca="false">IF(COUNT(Amendoim!$E37:$Z37)=0,0,MAX(0,IF((AC$6-$E$3)&lt;1,0,IFERROR(LOOKUP(2,1/(Amendoim!$E37:INDEX(Amendoim!$E37:$Z37,MIN(AC$6-$E$3,22))&lt;&gt;""),Amendoim!$E37:INDEX(Amendoim!$E37:$Z37,MIN(AC$6-$E$3,22))),0))-IF($G$2,0,IF((AC$6-$G$3)&lt;1,0,IFERROR(LOOKUP(2,1/(Amendoim!$E37:INDEX(Amendoim!$E37:$Z37,MIN(AC$6-$G$3,22))&lt;&gt;""),Amendoim!$E37:INDEX(Amendoim!$E37:$Z37,MIN(AC$6-$G$3,22))),0)))))</f>
        <v>0</v>
      </c>
      <c r="AD39" s="27" t="n">
        <f aca="false">IF(COUNT(Amendoim!$E37:$Z37)=0,0,MAX(0,IF((AD$6-$E$3)&lt;1,0,IFERROR(LOOKUP(2,1/(Amendoim!$E37:INDEX(Amendoim!$E37:$Z37,MIN(AD$6-$E$3,22))&lt;&gt;""),Amendoim!$E37:INDEX(Amendoim!$E37:$Z37,MIN(AD$6-$E$3,22))),0))-IF($G$2,0,IF((AD$6-$G$3)&lt;1,0,IFERROR(LOOKUP(2,1/(Amendoim!$E37:INDEX(Amendoim!$E37:$Z37,MIN(AD$6-$G$3,22))&lt;&gt;""),Amendoim!$E37:INDEX(Amendoim!$E37:$Z37,MIN(AD$6-$G$3,22))),0)))))</f>
        <v>0</v>
      </c>
      <c r="AE39" s="27" t="n">
        <f aca="false">IF(COUNT(Amendoim!$E37:$Z37)=0,0,MAX(0,IF((AE$6-$E$3)&lt;1,0,IFERROR(LOOKUP(2,1/(Amendoim!$E37:INDEX(Amendoim!$E37:$Z37,MIN(AE$6-$E$3,22))&lt;&gt;""),Amendoim!$E37:INDEX(Amendoim!$E37:$Z37,MIN(AE$6-$E$3,22))),0))-IF($G$2,0,IF((AE$6-$G$3)&lt;1,0,IFERROR(LOOKUP(2,1/(Amendoim!$E37:INDEX(Amendoim!$E37:$Z37,MIN(AE$6-$G$3,22))&lt;&gt;""),Amendoim!$E37:INDEX(Amendoim!$E37:$Z37,MIN(AE$6-$G$3,22))),0)))))</f>
        <v>0</v>
      </c>
      <c r="AF39" s="27" t="n">
        <f aca="false">IF(COUNT(Amendoim!$E37:$Z37)=0,0,MAX(0,IF((AF$6-$E$3)&lt;1,0,IFERROR(LOOKUP(2,1/(Amendoim!$E37:INDEX(Amendoim!$E37:$Z37,MIN(AF$6-$E$3,22))&lt;&gt;""),Amendoim!$E37:INDEX(Amendoim!$E37:$Z37,MIN(AF$6-$E$3,22))),0))-IF($G$2,0,IF((AF$6-$G$3)&lt;1,0,IFERROR(LOOKUP(2,1/(Amendoim!$E37:INDEX(Amendoim!$E37:$Z37,MIN(AF$6-$G$3,22))&lt;&gt;""),Amendoim!$E37:INDEX(Amendoim!$E37:$Z37,MIN(AF$6-$G$3,22))),0)))))</f>
        <v>0</v>
      </c>
      <c r="AG39" s="27" t="n">
        <f aca="false">IF(COUNT(Amendoim!$E37:$Z37)=0,0,MAX(0,IF((AG$6-$E$3)&lt;1,0,IFERROR(LOOKUP(2,1/(Amendoim!$E37:INDEX(Amendoim!$E37:$Z37,MIN(AG$6-$E$3,22))&lt;&gt;""),Amendoim!$E37:INDEX(Amendoim!$E37:$Z37,MIN(AG$6-$E$3,22))),0))-IF($G$2,0,IF((AG$6-$G$3)&lt;1,0,IFERROR(LOOKUP(2,1/(Amendoim!$E37:INDEX(Amendoim!$E37:$Z37,MIN(AG$6-$G$3,22))&lt;&gt;""),Amendoim!$E37:INDEX(Amendoim!$E37:$Z37,MIN(AG$6-$G$3,22))),0)))))</f>
        <v>0</v>
      </c>
      <c r="AH39" s="27" t="n">
        <f aca="false">IF(COUNT(Amendoim!$E37:$Z37)=0,0,MAX(0,IF((AH$6-$E$3)&lt;1,0,IFERROR(LOOKUP(2,1/(Amendoim!$E37:INDEX(Amendoim!$E37:$Z37,MIN(AH$6-$E$3,22))&lt;&gt;""),Amendoim!$E37:INDEX(Amendoim!$E37:$Z37,MIN(AH$6-$E$3,22))),0))-IF($G$2,0,IF((AH$6-$G$3)&lt;1,0,IFERROR(LOOKUP(2,1/(Amendoim!$E37:INDEX(Amendoim!$E37:$Z37,MIN(AH$6-$G$3,22))&lt;&gt;""),Amendoim!$E37:INDEX(Amendoim!$E37:$Z37,MIN(AH$6-$G$3,22))),0)))))</f>
        <v>0</v>
      </c>
      <c r="AI39" s="27" t="n">
        <f aca="false">IF(COUNT(Amendoim!$E37:$Z37)=0,0,MAX(0,IF((AI$6-$E$3)&lt;1,0,IFERROR(LOOKUP(2,1/(Amendoim!$E37:INDEX(Amendoim!$E37:$Z37,MIN(AI$6-$E$3,22))&lt;&gt;""),Amendoim!$E37:INDEX(Amendoim!$E37:$Z37,MIN(AI$6-$E$3,22))),0))-IF($G$2,0,IF((AI$6-$G$3)&lt;1,0,IFERROR(LOOKUP(2,1/(Amendoim!$E37:INDEX(Amendoim!$E37:$Z37,MIN(AI$6-$G$3,22))&lt;&gt;""),Amendoim!$E37:INDEX(Amendoim!$E37:$Z37,MIN(AI$6-$G$3,22))),0)))))</f>
        <v>0</v>
      </c>
      <c r="AJ39" s="27" t="n">
        <f aca="false">IF(COUNT(Amendoim!$E37:$Z37)=0,0,MAX(0,IF((AJ$6-$E$3)&lt;1,0,IFERROR(LOOKUP(2,1/(Amendoim!$E37:INDEX(Amendoim!$E37:$Z37,MIN(AJ$6-$E$3,22))&lt;&gt;""),Amendoim!$E37:INDEX(Amendoim!$E37:$Z37,MIN(AJ$6-$E$3,22))),0))-IF($G$2,0,IF((AJ$6-$G$3)&lt;1,0,IFERROR(LOOKUP(2,1/(Amendoim!$E37:INDEX(Amendoim!$E37:$Z37,MIN(AJ$6-$G$3,22))&lt;&gt;""),Amendoim!$E37:INDEX(Amendoim!$E37:$Z37,MIN(AJ$6-$G$3,22))),0)))))</f>
        <v>0</v>
      </c>
      <c r="AK39" s="27" t="n">
        <f aca="false">IF(COUNT(Amendoim!$E37:$Z37)=0,0,MAX(0,IF((AK$6-$E$3)&lt;1,0,IFERROR(LOOKUP(2,1/(Amendoim!$E37:INDEX(Amendoim!$E37:$Z37,MIN(AK$6-$E$3,22))&lt;&gt;""),Amendoim!$E37:INDEX(Amendoim!$E37:$Z37,MIN(AK$6-$E$3,22))),0))-IF($G$2,0,IF((AK$6-$G$3)&lt;1,0,IFERROR(LOOKUP(2,1/(Amendoim!$E37:INDEX(Amendoim!$E37:$Z37,MIN(AK$6-$G$3,22))&lt;&gt;""),Amendoim!$E37:INDEX(Amendoim!$E37:$Z37,MIN(AK$6-$G$3,22))),0)))))</f>
        <v>0</v>
      </c>
      <c r="AL39" s="27" t="n">
        <f aca="false">IF(COUNT(Amendoim!$E37:$Z37)=0,0,MAX(0,IF((AL$6-$E$3)&lt;1,0,IFERROR(LOOKUP(2,1/(Amendoim!$E37:INDEX(Amendoim!$E37:$Z37,MIN(AL$6-$E$3,22))&lt;&gt;""),Amendoim!$E37:INDEX(Amendoim!$E37:$Z37,MIN(AL$6-$E$3,22))),0))-IF($G$2,0,IF((AL$6-$G$3)&lt;1,0,IFERROR(LOOKUP(2,1/(Amendoim!$E37:INDEX(Amendoim!$E37:$Z37,MIN(AL$6-$G$3,22))&lt;&gt;""),Amendoim!$E37:INDEX(Amendoim!$E37:$Z37,MIN(AL$6-$G$3,22))),0)))))</f>
        <v>0</v>
      </c>
      <c r="AM39" s="27" t="n">
        <f aca="false">IF(COUNT(Amendoim!$E37:$Z37)=0,0,MAX(0,IF((AM$6-$E$3)&lt;1,0,IFERROR(LOOKUP(2,1/(Amendoim!$E37:INDEX(Amendoim!$E37:$Z37,MIN(AM$6-$E$3,22))&lt;&gt;""),Amendoim!$E37:INDEX(Amendoim!$E37:$Z37,MIN(AM$6-$E$3,22))),0))-IF($G$2,0,IF((AM$6-$G$3)&lt;1,0,IFERROR(LOOKUP(2,1/(Amendoim!$E37:INDEX(Amendoim!$E37:$Z37,MIN(AM$6-$G$3,22))&lt;&gt;""),Amendoim!$E37:INDEX(Amendoim!$E37:$Z37,MIN(AM$6-$G$3,22))),0)))))</f>
        <v>0</v>
      </c>
      <c r="AN39" s="27" t="n">
        <f aca="false">IF(COUNT(Amendoim!$E37:$Z37)=0,0,MAX(0,IF((AN$6-$E$3)&lt;1,0,IFERROR(LOOKUP(2,1/(Amendoim!$E37:INDEX(Amendoim!$E37:$Z37,MIN(AN$6-$E$3,22))&lt;&gt;""),Amendoim!$E37:INDEX(Amendoim!$E37:$Z37,MIN(AN$6-$E$3,22))),0))-IF($G$2,0,IF((AN$6-$G$3)&lt;1,0,IFERROR(LOOKUP(2,1/(Amendoim!$E37:INDEX(Amendoim!$E37:$Z37,MIN(AN$6-$G$3,22))&lt;&gt;""),Amendoim!$E37:INDEX(Amendoim!$E37:$Z37,MIN(AN$6-$G$3,22))),0)))))</f>
        <v>0</v>
      </c>
      <c r="AO39" s="27" t="n">
        <f aca="false">IF(COUNT(Amendoim!$E37:$Z37)=0,0,MAX(0,IF((AO$6-$E$3)&lt;1,0,IFERROR(LOOKUP(2,1/(Amendoim!$E37:INDEX(Amendoim!$E37:$Z37,MIN(AO$6-$E$3,22))&lt;&gt;""),Amendoim!$E37:INDEX(Amendoim!$E37:$Z37,MIN(AO$6-$E$3,22))),0))-IF($G$2,0,IF((AO$6-$G$3)&lt;1,0,IFERROR(LOOKUP(2,1/(Amendoim!$E37:INDEX(Amendoim!$E37:$Z37,MIN(AO$6-$G$3,22))&lt;&gt;""),Amendoim!$E37:INDEX(Amendoim!$E37:$Z37,MIN(AO$6-$G$3,22))),0)))))</f>
        <v>0</v>
      </c>
      <c r="AP39" s="27" t="n">
        <f aca="false">IF(COUNT(Amendoim!$E37:$Z37)=0,0,MAX(0,IF((AP$6-$E$3)&lt;1,0,IFERROR(LOOKUP(2,1/(Amendoim!$E37:INDEX(Amendoim!$E37:$Z37,MIN(AP$6-$E$3,22))&lt;&gt;""),Amendoim!$E37:INDEX(Amendoim!$E37:$Z37,MIN(AP$6-$E$3,22))),0))-IF($G$2,0,IF((AP$6-$G$3)&lt;1,0,IFERROR(LOOKUP(2,1/(Amendoim!$E37:INDEX(Amendoim!$E37:$Z37,MIN(AP$6-$G$3,22))&lt;&gt;""),Amendoim!$E37:INDEX(Amendoim!$E37:$Z37,MIN(AP$6-$G$3,22))),0)))))</f>
        <v>0</v>
      </c>
      <c r="AQ39" s="27" t="n">
        <f aca="false">IF(COUNT(Amendoim!$E37:$Z37)=0,0,MAX(0,IF((AQ$6-$E$3)&lt;1,0,IFERROR(LOOKUP(2,1/(Amendoim!$E37:INDEX(Amendoim!$E37:$Z37,MIN(AQ$6-$E$3,22))&lt;&gt;""),Amendoim!$E37:INDEX(Amendoim!$E37:$Z37,MIN(AQ$6-$E$3,22))),0))-IF($G$2,0,IF((AQ$6-$G$3)&lt;1,0,IFERROR(LOOKUP(2,1/(Amendoim!$E37:INDEX(Amendoim!$E37:$Z37,MIN(AQ$6-$G$3,22))&lt;&gt;""),Amendoim!$E37:INDEX(Amendoim!$E37:$Z37,MIN(AQ$6-$G$3,22))),0)))))</f>
        <v>0</v>
      </c>
      <c r="AR39" s="27" t="n">
        <f aca="false">IF(COUNT(Amendoim!$E37:$Z37)=0,0,MAX(0,IF((AR$6-$E$3)&lt;1,0,IFERROR(LOOKUP(2,1/(Amendoim!$E37:INDEX(Amendoim!$E37:$Z37,MIN(AR$6-$E$3,22))&lt;&gt;""),Amendoim!$E37:INDEX(Amendoim!$E37:$Z37,MIN(AR$6-$E$3,22))),0))-IF($G$2,0,IF((AR$6-$G$3)&lt;1,0,IFERROR(LOOKUP(2,1/(Amendoim!$E37:INDEX(Amendoim!$E37:$Z37,MIN(AR$6-$G$3,22))&lt;&gt;""),Amendoim!$E37:INDEX(Amendoim!$E37:$Z37,MIN(AR$6-$G$3,22))),0)))))</f>
        <v>0</v>
      </c>
      <c r="AS39" s="27" t="n">
        <f aca="false">IF(COUNT(Amendoim!$E37:$Z37)=0,0,MAX(0,IF((AS$6-$E$3)&lt;1,0,IFERROR(LOOKUP(2,1/(Amendoim!$E37:INDEX(Amendoim!$E37:$Z37,MIN(AS$6-$E$3,22))&lt;&gt;""),Amendoim!$E37:INDEX(Amendoim!$E37:$Z37,MIN(AS$6-$E$3,22))),0))-IF($G$2,0,IF((AS$6-$G$3)&lt;1,0,IFERROR(LOOKUP(2,1/(Amendoim!$E37:INDEX(Amendoim!$E37:$Z37,MIN(AS$6-$G$3,22))&lt;&gt;""),Amendoim!$E37:INDEX(Amendoim!$E37:$Z37,MIN(AS$6-$G$3,22))),0)))))</f>
        <v>0</v>
      </c>
      <c r="AT39" s="27" t="n">
        <f aca="false">IF(COUNT(Amendoim!$E37:$Z37)=0,0,MAX(0,IF((AT$6-$E$3)&lt;1,0,IFERROR(LOOKUP(2,1/(Amendoim!$E37:INDEX(Amendoim!$E37:$Z37,MIN(AT$6-$E$3,22))&lt;&gt;""),Amendoim!$E37:INDEX(Amendoim!$E37:$Z37,MIN(AT$6-$E$3,22))),0))-IF($G$2,0,IF((AT$6-$G$3)&lt;1,0,IFERROR(LOOKUP(2,1/(Amendoim!$E37:INDEX(Amendoim!$E37:$Z37,MIN(AT$6-$G$3,22))&lt;&gt;""),Amendoim!$E37:INDEX(Amendoim!$E37:$Z37,MIN(AT$6-$G$3,22))),0)))))</f>
        <v>0</v>
      </c>
      <c r="AU39" s="27" t="n">
        <f aca="false">IF(COUNT(Amendoim!$E37:$Z37)=0,0,MAX(0,IF((AU$6-$E$3)&lt;1,0,IFERROR(LOOKUP(2,1/(Amendoim!$E37:INDEX(Amendoim!$E37:$Z37,MIN(AU$6-$E$3,22))&lt;&gt;""),Amendoim!$E37:INDEX(Amendoim!$E37:$Z37,MIN(AU$6-$E$3,22))),0))-IF($G$2,0,IF((AU$6-$G$3)&lt;1,0,IFERROR(LOOKUP(2,1/(Amendoim!$E37:INDEX(Amendoim!$E37:$Z37,MIN(AU$6-$G$3,22))&lt;&gt;""),Amendoim!$E37:INDEX(Amendoim!$E37:$Z37,MIN(AU$6-$G$3,22))),0)))))</f>
        <v>0</v>
      </c>
      <c r="AV39" s="27" t="n">
        <f aca="false">IF(COUNT(Amendoim!$E37:$Z37)=0,0,MAX(0,IF((AV$6-$E$3)&lt;1,0,IFERROR(LOOKUP(2,1/(Amendoim!$E37:INDEX(Amendoim!$E37:$Z37,MIN(AV$6-$E$3,22))&lt;&gt;""),Amendoim!$E37:INDEX(Amendoim!$E37:$Z37,MIN(AV$6-$E$3,22))),0))-IF($G$2,0,IF((AV$6-$G$3)&lt;1,0,IFERROR(LOOKUP(2,1/(Amendoim!$E37:INDEX(Amendoim!$E37:$Z37,MIN(AV$6-$G$3,22))&lt;&gt;""),Amendoim!$E37:INDEX(Amendoim!$E37:$Z37,MIN(AV$6-$G$3,22))),0)))))</f>
        <v>0</v>
      </c>
      <c r="AW39" s="27" t="n">
        <f aca="false">IF(COUNT(Amendoim!$E37:$Z37)=0,0,MAX(0,IF((AW$6-$E$3)&lt;1,0,IFERROR(LOOKUP(2,1/(Amendoim!$E37:INDEX(Amendoim!$E37:$Z37,MIN(AW$6-$E$3,22))&lt;&gt;""),Amendoim!$E37:INDEX(Amendoim!$E37:$Z37,MIN(AW$6-$E$3,22))),0))-IF($G$2,0,IF((AW$6-$G$3)&lt;1,0,IFERROR(LOOKUP(2,1/(Amendoim!$E37:INDEX(Amendoim!$E37:$Z37,MIN(AW$6-$G$3,22))&lt;&gt;""),Amendoim!$E37:INDEX(Amendoim!$E37:$Z37,MIN(AW$6-$G$3,22))),0)))))</f>
        <v>0</v>
      </c>
      <c r="AX39" s="27" t="n">
        <f aca="false">IF(COUNT(Amendoim!$E37:$Z37)=0,0,MAX(0,IF((AX$6-$E$3)&lt;1,0,IFERROR(LOOKUP(2,1/(Amendoim!$E37:INDEX(Amendoim!$E37:$Z37,MIN(AX$6-$E$3,22))&lt;&gt;""),Amendoim!$E37:INDEX(Amendoim!$E37:$Z37,MIN(AX$6-$E$3,22))),0))-IF($G$2,0,IF((AX$6-$G$3)&lt;1,0,IFERROR(LOOKUP(2,1/(Amendoim!$E37:INDEX(Amendoim!$E37:$Z37,MIN(AX$6-$G$3,22))&lt;&gt;""),Amendoim!$E37:INDEX(Amendoim!$E37:$Z37,MIN(AX$6-$G$3,22))),0)))))</f>
        <v>0</v>
      </c>
      <c r="AY39" s="27" t="n">
        <f aca="false">IF(COUNT(Amendoim!$E37:$Z37)=0,0,MAX(0,IF((AY$6-$E$3)&lt;1,0,IFERROR(LOOKUP(2,1/(Amendoim!$E37:INDEX(Amendoim!$E37:$Z37,MIN(AY$6-$E$3,22))&lt;&gt;""),Amendoim!$E37:INDEX(Amendoim!$E37:$Z37,MIN(AY$6-$E$3,22))),0))-IF($G$2,0,IF((AY$6-$G$3)&lt;1,0,IFERROR(LOOKUP(2,1/(Amendoim!$E37:INDEX(Amendoim!$E37:$Z37,MIN(AY$6-$G$3,22))&lt;&gt;""),Amendoim!$E37:INDEX(Amendoim!$E37:$Z37,MIN(AY$6-$G$3,22))),0)))))</f>
        <v>0</v>
      </c>
      <c r="AZ39" s="27" t="n">
        <f aca="false">IF(COUNT(Amendoim!$E37:$Z37)=0,0,MAX(0,IF((AZ$6-$E$3)&lt;1,0,IFERROR(LOOKUP(2,1/(Amendoim!$E37:INDEX(Amendoim!$E37:$Z37,MIN(AZ$6-$E$3,22))&lt;&gt;""),Amendoim!$E37:INDEX(Amendoim!$E37:$Z37,MIN(AZ$6-$E$3,22))),0))-IF($G$2,0,IF((AZ$6-$G$3)&lt;1,0,IFERROR(LOOKUP(2,1/(Amendoim!$E37:INDEX(Amendoim!$E37:$Z37,MIN(AZ$6-$G$3,22))&lt;&gt;""),Amendoim!$E37:INDEX(Amendoim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IF(COUNT(Amendoim!$E38:$Z38)&gt;0,N(Amendoim!$D38),0)</f>
        <v>0</v>
      </c>
      <c r="E40" s="27" t="n">
        <f aca="false">IF(COUNT(Amendoim!$E38:$Z38)=0,0,MAX(0,IF((E$6-$E$3)&lt;1,0,IFERROR(LOOKUP(2,1/(Amendoim!$E38:INDEX(Amendoim!$E38:$Z38,MIN(E$6-$E$3,22))&lt;&gt;""),Amendoim!$E38:INDEX(Amendoim!$E38:$Z38,MIN(E$6-$E$3,22))),0))-IF($G$2,0,IF((E$6-$G$3)&lt;1,0,IFERROR(LOOKUP(2,1/(Amendoim!$E38:INDEX(Amendoim!$E38:$Z38,MIN(E$6-$G$3,22))&lt;&gt;""),Amendoim!$E38:INDEX(Amendoim!$E38:$Z38,MIN(E$6-$G$3,22))),0)))))</f>
        <v>0</v>
      </c>
      <c r="F40" s="27" t="n">
        <f aca="false">IF(COUNT(Amendoim!$E38:$Z38)=0,0,MAX(0,IF((F$6-$E$3)&lt;1,0,IFERROR(LOOKUP(2,1/(Amendoim!$E38:INDEX(Amendoim!$E38:$Z38,MIN(F$6-$E$3,22))&lt;&gt;""),Amendoim!$E38:INDEX(Amendoim!$E38:$Z38,MIN(F$6-$E$3,22))),0))-IF($G$2,0,IF((F$6-$G$3)&lt;1,0,IFERROR(LOOKUP(2,1/(Amendoim!$E38:INDEX(Amendoim!$E38:$Z38,MIN(F$6-$G$3,22))&lt;&gt;""),Amendoim!$E38:INDEX(Amendoim!$E38:$Z38,MIN(F$6-$G$3,22))),0)))))</f>
        <v>0</v>
      </c>
      <c r="G40" s="27" t="n">
        <f aca="false">IF(COUNT(Amendoim!$E38:$Z38)=0,0,MAX(0,IF((G$6-$E$3)&lt;1,0,IFERROR(LOOKUP(2,1/(Amendoim!$E38:INDEX(Amendoim!$E38:$Z38,MIN(G$6-$E$3,22))&lt;&gt;""),Amendoim!$E38:INDEX(Amendoim!$E38:$Z38,MIN(G$6-$E$3,22))),0))-IF($G$2,0,IF((G$6-$G$3)&lt;1,0,IFERROR(LOOKUP(2,1/(Amendoim!$E38:INDEX(Amendoim!$E38:$Z38,MIN(G$6-$G$3,22))&lt;&gt;""),Amendoim!$E38:INDEX(Amendoim!$E38:$Z38,MIN(G$6-$G$3,22))),0)))))</f>
        <v>0</v>
      </c>
      <c r="H40" s="27" t="n">
        <f aca="false">IF(COUNT(Amendoim!$E38:$Z38)=0,0,MAX(0,IF((H$6-$E$3)&lt;1,0,IFERROR(LOOKUP(2,1/(Amendoim!$E38:INDEX(Amendoim!$E38:$Z38,MIN(H$6-$E$3,22))&lt;&gt;""),Amendoim!$E38:INDEX(Amendoim!$E38:$Z38,MIN(H$6-$E$3,22))),0))-IF($G$2,0,IF((H$6-$G$3)&lt;1,0,IFERROR(LOOKUP(2,1/(Amendoim!$E38:INDEX(Amendoim!$E38:$Z38,MIN(H$6-$G$3,22))&lt;&gt;""),Amendoim!$E38:INDEX(Amendoim!$E38:$Z38,MIN(H$6-$G$3,22))),0)))))</f>
        <v>0</v>
      </c>
      <c r="I40" s="27" t="n">
        <f aca="false">IF(COUNT(Amendoim!$E38:$Z38)=0,0,MAX(0,IF((I$6-$E$3)&lt;1,0,IFERROR(LOOKUP(2,1/(Amendoim!$E38:INDEX(Amendoim!$E38:$Z38,MIN(I$6-$E$3,22))&lt;&gt;""),Amendoim!$E38:INDEX(Amendoim!$E38:$Z38,MIN(I$6-$E$3,22))),0))-IF($G$2,0,IF((I$6-$G$3)&lt;1,0,IFERROR(LOOKUP(2,1/(Amendoim!$E38:INDEX(Amendoim!$E38:$Z38,MIN(I$6-$G$3,22))&lt;&gt;""),Amendoim!$E38:INDEX(Amendoim!$E38:$Z38,MIN(I$6-$G$3,22))),0)))))</f>
        <v>0</v>
      </c>
      <c r="J40" s="27" t="n">
        <f aca="false">IF(COUNT(Amendoim!$E38:$Z38)=0,0,MAX(0,IF((J$6-$E$3)&lt;1,0,IFERROR(LOOKUP(2,1/(Amendoim!$E38:INDEX(Amendoim!$E38:$Z38,MIN(J$6-$E$3,22))&lt;&gt;""),Amendoim!$E38:INDEX(Amendoim!$E38:$Z38,MIN(J$6-$E$3,22))),0))-IF($G$2,0,IF((J$6-$G$3)&lt;1,0,IFERROR(LOOKUP(2,1/(Amendoim!$E38:INDEX(Amendoim!$E38:$Z38,MIN(J$6-$G$3,22))&lt;&gt;""),Amendoim!$E38:INDEX(Amendoim!$E38:$Z38,MIN(J$6-$G$3,22))),0)))))</f>
        <v>0</v>
      </c>
      <c r="K40" s="27" t="n">
        <f aca="false">IF(COUNT(Amendoim!$E38:$Z38)=0,0,MAX(0,IF((K$6-$E$3)&lt;1,0,IFERROR(LOOKUP(2,1/(Amendoim!$E38:INDEX(Amendoim!$E38:$Z38,MIN(K$6-$E$3,22))&lt;&gt;""),Amendoim!$E38:INDEX(Amendoim!$E38:$Z38,MIN(K$6-$E$3,22))),0))-IF($G$2,0,IF((K$6-$G$3)&lt;1,0,IFERROR(LOOKUP(2,1/(Amendoim!$E38:INDEX(Amendoim!$E38:$Z38,MIN(K$6-$G$3,22))&lt;&gt;""),Amendoim!$E38:INDEX(Amendoim!$E38:$Z38,MIN(K$6-$G$3,22))),0)))))</f>
        <v>0</v>
      </c>
      <c r="L40" s="27" t="n">
        <f aca="false">IF(COUNT(Amendoim!$E38:$Z38)=0,0,MAX(0,IF((L$6-$E$3)&lt;1,0,IFERROR(LOOKUP(2,1/(Amendoim!$E38:INDEX(Amendoim!$E38:$Z38,MIN(L$6-$E$3,22))&lt;&gt;""),Amendoim!$E38:INDEX(Amendoim!$E38:$Z38,MIN(L$6-$E$3,22))),0))-IF($G$2,0,IF((L$6-$G$3)&lt;1,0,IFERROR(LOOKUP(2,1/(Amendoim!$E38:INDEX(Amendoim!$E38:$Z38,MIN(L$6-$G$3,22))&lt;&gt;""),Amendoim!$E38:INDEX(Amendoim!$E38:$Z38,MIN(L$6-$G$3,22))),0)))))</f>
        <v>0</v>
      </c>
      <c r="M40" s="27" t="n">
        <f aca="false">IF(COUNT(Amendoim!$E38:$Z38)=0,0,MAX(0,IF((M$6-$E$3)&lt;1,0,IFERROR(LOOKUP(2,1/(Amendoim!$E38:INDEX(Amendoim!$E38:$Z38,MIN(M$6-$E$3,22))&lt;&gt;""),Amendoim!$E38:INDEX(Amendoim!$E38:$Z38,MIN(M$6-$E$3,22))),0))-IF($G$2,0,IF((M$6-$G$3)&lt;1,0,IFERROR(LOOKUP(2,1/(Amendoim!$E38:INDEX(Amendoim!$E38:$Z38,MIN(M$6-$G$3,22))&lt;&gt;""),Amendoim!$E38:INDEX(Amendoim!$E38:$Z38,MIN(M$6-$G$3,22))),0)))))</f>
        <v>0</v>
      </c>
      <c r="N40" s="27" t="n">
        <f aca="false">IF(COUNT(Amendoim!$E38:$Z38)=0,0,MAX(0,IF((N$6-$E$3)&lt;1,0,IFERROR(LOOKUP(2,1/(Amendoim!$E38:INDEX(Amendoim!$E38:$Z38,MIN(N$6-$E$3,22))&lt;&gt;""),Amendoim!$E38:INDEX(Amendoim!$E38:$Z38,MIN(N$6-$E$3,22))),0))-IF($G$2,0,IF((N$6-$G$3)&lt;1,0,IFERROR(LOOKUP(2,1/(Amendoim!$E38:INDEX(Amendoim!$E38:$Z38,MIN(N$6-$G$3,22))&lt;&gt;""),Amendoim!$E38:INDEX(Amendoim!$E38:$Z38,MIN(N$6-$G$3,22))),0)))))</f>
        <v>0</v>
      </c>
      <c r="O40" s="27" t="n">
        <f aca="false">IF(COUNT(Amendoim!$E38:$Z38)=0,0,MAX(0,IF((O$6-$E$3)&lt;1,0,IFERROR(LOOKUP(2,1/(Amendoim!$E38:INDEX(Amendoim!$E38:$Z38,MIN(O$6-$E$3,22))&lt;&gt;""),Amendoim!$E38:INDEX(Amendoim!$E38:$Z38,MIN(O$6-$E$3,22))),0))-IF($G$2,0,IF((O$6-$G$3)&lt;1,0,IFERROR(LOOKUP(2,1/(Amendoim!$E38:INDEX(Amendoim!$E38:$Z38,MIN(O$6-$G$3,22))&lt;&gt;""),Amendoim!$E38:INDEX(Amendoim!$E38:$Z38,MIN(O$6-$G$3,22))),0)))))</f>
        <v>0</v>
      </c>
      <c r="P40" s="27" t="n">
        <f aca="false">IF(COUNT(Amendoim!$E38:$Z38)=0,0,MAX(0,IF((P$6-$E$3)&lt;1,0,IFERROR(LOOKUP(2,1/(Amendoim!$E38:INDEX(Amendoim!$E38:$Z38,MIN(P$6-$E$3,22))&lt;&gt;""),Amendoim!$E38:INDEX(Amendoim!$E38:$Z38,MIN(P$6-$E$3,22))),0))-IF($G$2,0,IF((P$6-$G$3)&lt;1,0,IFERROR(LOOKUP(2,1/(Amendoim!$E38:INDEX(Amendoim!$E38:$Z38,MIN(P$6-$G$3,22))&lt;&gt;""),Amendoim!$E38:INDEX(Amendoim!$E38:$Z38,MIN(P$6-$G$3,22))),0)))))</f>
        <v>0</v>
      </c>
      <c r="Q40" s="27" t="n">
        <f aca="false">IF(COUNT(Amendoim!$E38:$Z38)=0,0,MAX(0,IF((Q$6-$E$3)&lt;1,0,IFERROR(LOOKUP(2,1/(Amendoim!$E38:INDEX(Amendoim!$E38:$Z38,MIN(Q$6-$E$3,22))&lt;&gt;""),Amendoim!$E38:INDEX(Amendoim!$E38:$Z38,MIN(Q$6-$E$3,22))),0))-IF($G$2,0,IF((Q$6-$G$3)&lt;1,0,IFERROR(LOOKUP(2,1/(Amendoim!$E38:INDEX(Amendoim!$E38:$Z38,MIN(Q$6-$G$3,22))&lt;&gt;""),Amendoim!$E38:INDEX(Amendoim!$E38:$Z38,MIN(Q$6-$G$3,22))),0)))))</f>
        <v>0</v>
      </c>
      <c r="R40" s="27" t="n">
        <f aca="false">IF(COUNT(Amendoim!$E38:$Z38)=0,0,MAX(0,IF((R$6-$E$3)&lt;1,0,IFERROR(LOOKUP(2,1/(Amendoim!$E38:INDEX(Amendoim!$E38:$Z38,MIN(R$6-$E$3,22))&lt;&gt;""),Amendoim!$E38:INDEX(Amendoim!$E38:$Z38,MIN(R$6-$E$3,22))),0))-IF($G$2,0,IF((R$6-$G$3)&lt;1,0,IFERROR(LOOKUP(2,1/(Amendoim!$E38:INDEX(Amendoim!$E38:$Z38,MIN(R$6-$G$3,22))&lt;&gt;""),Amendoim!$E38:INDEX(Amendoim!$E38:$Z38,MIN(R$6-$G$3,22))),0)))))</f>
        <v>0</v>
      </c>
      <c r="S40" s="27" t="n">
        <f aca="false">IF(COUNT(Amendoim!$E38:$Z38)=0,0,MAX(0,IF((S$6-$E$3)&lt;1,0,IFERROR(LOOKUP(2,1/(Amendoim!$E38:INDEX(Amendoim!$E38:$Z38,MIN(S$6-$E$3,22))&lt;&gt;""),Amendoim!$E38:INDEX(Amendoim!$E38:$Z38,MIN(S$6-$E$3,22))),0))-IF($G$2,0,IF((S$6-$G$3)&lt;1,0,IFERROR(LOOKUP(2,1/(Amendoim!$E38:INDEX(Amendoim!$E38:$Z38,MIN(S$6-$G$3,22))&lt;&gt;""),Amendoim!$E38:INDEX(Amendoim!$E38:$Z38,MIN(S$6-$G$3,22))),0)))))</f>
        <v>0</v>
      </c>
      <c r="T40" s="27" t="n">
        <f aca="false">IF(COUNT(Amendoim!$E38:$Z38)=0,0,MAX(0,IF((T$6-$E$3)&lt;1,0,IFERROR(LOOKUP(2,1/(Amendoim!$E38:INDEX(Amendoim!$E38:$Z38,MIN(T$6-$E$3,22))&lt;&gt;""),Amendoim!$E38:INDEX(Amendoim!$E38:$Z38,MIN(T$6-$E$3,22))),0))-IF($G$2,0,IF((T$6-$G$3)&lt;1,0,IFERROR(LOOKUP(2,1/(Amendoim!$E38:INDEX(Amendoim!$E38:$Z38,MIN(T$6-$G$3,22))&lt;&gt;""),Amendoim!$E38:INDEX(Amendoim!$E38:$Z38,MIN(T$6-$G$3,22))),0)))))</f>
        <v>0</v>
      </c>
      <c r="U40" s="27" t="n">
        <f aca="false">IF(COUNT(Amendoim!$E38:$Z38)=0,0,MAX(0,IF((U$6-$E$3)&lt;1,0,IFERROR(LOOKUP(2,1/(Amendoim!$E38:INDEX(Amendoim!$E38:$Z38,MIN(U$6-$E$3,22))&lt;&gt;""),Amendoim!$E38:INDEX(Amendoim!$E38:$Z38,MIN(U$6-$E$3,22))),0))-IF($G$2,0,IF((U$6-$G$3)&lt;1,0,IFERROR(LOOKUP(2,1/(Amendoim!$E38:INDEX(Amendoim!$E38:$Z38,MIN(U$6-$G$3,22))&lt;&gt;""),Amendoim!$E38:INDEX(Amendoim!$E38:$Z38,MIN(U$6-$G$3,22))),0)))))</f>
        <v>0</v>
      </c>
      <c r="V40" s="27" t="n">
        <f aca="false">IF(COUNT(Amendoim!$E38:$Z38)=0,0,MAX(0,IF((V$6-$E$3)&lt;1,0,IFERROR(LOOKUP(2,1/(Amendoim!$E38:INDEX(Amendoim!$E38:$Z38,MIN(V$6-$E$3,22))&lt;&gt;""),Amendoim!$E38:INDEX(Amendoim!$E38:$Z38,MIN(V$6-$E$3,22))),0))-IF($G$2,0,IF((V$6-$G$3)&lt;1,0,IFERROR(LOOKUP(2,1/(Amendoim!$E38:INDEX(Amendoim!$E38:$Z38,MIN(V$6-$G$3,22))&lt;&gt;""),Amendoim!$E38:INDEX(Amendoim!$E38:$Z38,MIN(V$6-$G$3,22))),0)))))</f>
        <v>0</v>
      </c>
      <c r="W40" s="27" t="n">
        <f aca="false">IF(COUNT(Amendoim!$E38:$Z38)=0,0,MAX(0,IF((W$6-$E$3)&lt;1,0,IFERROR(LOOKUP(2,1/(Amendoim!$E38:INDEX(Amendoim!$E38:$Z38,MIN(W$6-$E$3,22))&lt;&gt;""),Amendoim!$E38:INDEX(Amendoim!$E38:$Z38,MIN(W$6-$E$3,22))),0))-IF($G$2,0,IF((W$6-$G$3)&lt;1,0,IFERROR(LOOKUP(2,1/(Amendoim!$E38:INDEX(Amendoim!$E38:$Z38,MIN(W$6-$G$3,22))&lt;&gt;""),Amendoim!$E38:INDEX(Amendoim!$E38:$Z38,MIN(W$6-$G$3,22))),0)))))</f>
        <v>0</v>
      </c>
      <c r="X40" s="27" t="n">
        <f aca="false">IF(COUNT(Amendoim!$E38:$Z38)=0,0,MAX(0,IF((X$6-$E$3)&lt;1,0,IFERROR(LOOKUP(2,1/(Amendoim!$E38:INDEX(Amendoim!$E38:$Z38,MIN(X$6-$E$3,22))&lt;&gt;""),Amendoim!$E38:INDEX(Amendoim!$E38:$Z38,MIN(X$6-$E$3,22))),0))-IF($G$2,0,IF((X$6-$G$3)&lt;1,0,IFERROR(LOOKUP(2,1/(Amendoim!$E38:INDEX(Amendoim!$E38:$Z38,MIN(X$6-$G$3,22))&lt;&gt;""),Amendoim!$E38:INDEX(Amendoim!$E38:$Z38,MIN(X$6-$G$3,22))),0)))))</f>
        <v>0</v>
      </c>
      <c r="Y40" s="27" t="n">
        <f aca="false">IF(COUNT(Amendoim!$E38:$Z38)=0,0,MAX(0,IF((Y$6-$E$3)&lt;1,0,IFERROR(LOOKUP(2,1/(Amendoim!$E38:INDEX(Amendoim!$E38:$Z38,MIN(Y$6-$E$3,22))&lt;&gt;""),Amendoim!$E38:INDEX(Amendoim!$E38:$Z38,MIN(Y$6-$E$3,22))),0))-IF($G$2,0,IF((Y$6-$G$3)&lt;1,0,IFERROR(LOOKUP(2,1/(Amendoim!$E38:INDEX(Amendoim!$E38:$Z38,MIN(Y$6-$G$3,22))&lt;&gt;""),Amendoim!$E38:INDEX(Amendoim!$E38:$Z38,MIN(Y$6-$G$3,22))),0)))))</f>
        <v>0</v>
      </c>
      <c r="Z40" s="27" t="n">
        <f aca="false">IF(COUNT(Amendoim!$E38:$Z38)=0,0,MAX(0,IF((Z$6-$E$3)&lt;1,0,IFERROR(LOOKUP(2,1/(Amendoim!$E38:INDEX(Amendoim!$E38:$Z38,MIN(Z$6-$E$3,22))&lt;&gt;""),Amendoim!$E38:INDEX(Amendoim!$E38:$Z38,MIN(Z$6-$E$3,22))),0))-IF($G$2,0,IF((Z$6-$G$3)&lt;1,0,IFERROR(LOOKUP(2,1/(Amendoim!$E38:INDEX(Amendoim!$E38:$Z38,MIN(Z$6-$G$3,22))&lt;&gt;""),Amendoim!$E38:INDEX(Amendoim!$E38:$Z38,MIN(Z$6-$G$3,22))),0)))))</f>
        <v>0</v>
      </c>
      <c r="AA40" s="27" t="n">
        <f aca="false">IF(COUNT(Amendoim!$E38:$Z38)=0,0,MAX(0,IF((AA$6-$E$3)&lt;1,0,IFERROR(LOOKUP(2,1/(Amendoim!$E38:INDEX(Amendoim!$E38:$Z38,MIN(AA$6-$E$3,22))&lt;&gt;""),Amendoim!$E38:INDEX(Amendoim!$E38:$Z38,MIN(AA$6-$E$3,22))),0))-IF($G$2,0,IF((AA$6-$G$3)&lt;1,0,IFERROR(LOOKUP(2,1/(Amendoim!$E38:INDEX(Amendoim!$E38:$Z38,MIN(AA$6-$G$3,22))&lt;&gt;""),Amendoim!$E38:INDEX(Amendoim!$E38:$Z38,MIN(AA$6-$G$3,22))),0)))))</f>
        <v>0</v>
      </c>
      <c r="AB40" s="27" t="n">
        <f aca="false">IF(COUNT(Amendoim!$E38:$Z38)=0,0,MAX(0,IF((AB$6-$E$3)&lt;1,0,IFERROR(LOOKUP(2,1/(Amendoim!$E38:INDEX(Amendoim!$E38:$Z38,MIN(AB$6-$E$3,22))&lt;&gt;""),Amendoim!$E38:INDEX(Amendoim!$E38:$Z38,MIN(AB$6-$E$3,22))),0))-IF($G$2,0,IF((AB$6-$G$3)&lt;1,0,IFERROR(LOOKUP(2,1/(Amendoim!$E38:INDEX(Amendoim!$E38:$Z38,MIN(AB$6-$G$3,22))&lt;&gt;""),Amendoim!$E38:INDEX(Amendoim!$E38:$Z38,MIN(AB$6-$G$3,22))),0)))))</f>
        <v>0</v>
      </c>
      <c r="AC40" s="27" t="n">
        <f aca="false">IF(COUNT(Amendoim!$E38:$Z38)=0,0,MAX(0,IF((AC$6-$E$3)&lt;1,0,IFERROR(LOOKUP(2,1/(Amendoim!$E38:INDEX(Amendoim!$E38:$Z38,MIN(AC$6-$E$3,22))&lt;&gt;""),Amendoim!$E38:INDEX(Amendoim!$E38:$Z38,MIN(AC$6-$E$3,22))),0))-IF($G$2,0,IF((AC$6-$G$3)&lt;1,0,IFERROR(LOOKUP(2,1/(Amendoim!$E38:INDEX(Amendoim!$E38:$Z38,MIN(AC$6-$G$3,22))&lt;&gt;""),Amendoim!$E38:INDEX(Amendoim!$E38:$Z38,MIN(AC$6-$G$3,22))),0)))))</f>
        <v>0</v>
      </c>
      <c r="AD40" s="27" t="n">
        <f aca="false">IF(COUNT(Amendoim!$E38:$Z38)=0,0,MAX(0,IF((AD$6-$E$3)&lt;1,0,IFERROR(LOOKUP(2,1/(Amendoim!$E38:INDEX(Amendoim!$E38:$Z38,MIN(AD$6-$E$3,22))&lt;&gt;""),Amendoim!$E38:INDEX(Amendoim!$E38:$Z38,MIN(AD$6-$E$3,22))),0))-IF($G$2,0,IF((AD$6-$G$3)&lt;1,0,IFERROR(LOOKUP(2,1/(Amendoim!$E38:INDEX(Amendoim!$E38:$Z38,MIN(AD$6-$G$3,22))&lt;&gt;""),Amendoim!$E38:INDEX(Amendoim!$E38:$Z38,MIN(AD$6-$G$3,22))),0)))))</f>
        <v>0</v>
      </c>
      <c r="AE40" s="27" t="n">
        <f aca="false">IF(COUNT(Amendoim!$E38:$Z38)=0,0,MAX(0,IF((AE$6-$E$3)&lt;1,0,IFERROR(LOOKUP(2,1/(Amendoim!$E38:INDEX(Amendoim!$E38:$Z38,MIN(AE$6-$E$3,22))&lt;&gt;""),Amendoim!$E38:INDEX(Amendoim!$E38:$Z38,MIN(AE$6-$E$3,22))),0))-IF($G$2,0,IF((AE$6-$G$3)&lt;1,0,IFERROR(LOOKUP(2,1/(Amendoim!$E38:INDEX(Amendoim!$E38:$Z38,MIN(AE$6-$G$3,22))&lt;&gt;""),Amendoim!$E38:INDEX(Amendoim!$E38:$Z38,MIN(AE$6-$G$3,22))),0)))))</f>
        <v>0</v>
      </c>
      <c r="AF40" s="27" t="n">
        <f aca="false">IF(COUNT(Amendoim!$E38:$Z38)=0,0,MAX(0,IF((AF$6-$E$3)&lt;1,0,IFERROR(LOOKUP(2,1/(Amendoim!$E38:INDEX(Amendoim!$E38:$Z38,MIN(AF$6-$E$3,22))&lt;&gt;""),Amendoim!$E38:INDEX(Amendoim!$E38:$Z38,MIN(AF$6-$E$3,22))),0))-IF($G$2,0,IF((AF$6-$G$3)&lt;1,0,IFERROR(LOOKUP(2,1/(Amendoim!$E38:INDEX(Amendoim!$E38:$Z38,MIN(AF$6-$G$3,22))&lt;&gt;""),Amendoim!$E38:INDEX(Amendoim!$E38:$Z38,MIN(AF$6-$G$3,22))),0)))))</f>
        <v>0</v>
      </c>
      <c r="AG40" s="27" t="n">
        <f aca="false">IF(COUNT(Amendoim!$E38:$Z38)=0,0,MAX(0,IF((AG$6-$E$3)&lt;1,0,IFERROR(LOOKUP(2,1/(Amendoim!$E38:INDEX(Amendoim!$E38:$Z38,MIN(AG$6-$E$3,22))&lt;&gt;""),Amendoim!$E38:INDEX(Amendoim!$E38:$Z38,MIN(AG$6-$E$3,22))),0))-IF($G$2,0,IF((AG$6-$G$3)&lt;1,0,IFERROR(LOOKUP(2,1/(Amendoim!$E38:INDEX(Amendoim!$E38:$Z38,MIN(AG$6-$G$3,22))&lt;&gt;""),Amendoim!$E38:INDEX(Amendoim!$E38:$Z38,MIN(AG$6-$G$3,22))),0)))))</f>
        <v>0</v>
      </c>
      <c r="AH40" s="27" t="n">
        <f aca="false">IF(COUNT(Amendoim!$E38:$Z38)=0,0,MAX(0,IF((AH$6-$E$3)&lt;1,0,IFERROR(LOOKUP(2,1/(Amendoim!$E38:INDEX(Amendoim!$E38:$Z38,MIN(AH$6-$E$3,22))&lt;&gt;""),Amendoim!$E38:INDEX(Amendoim!$E38:$Z38,MIN(AH$6-$E$3,22))),0))-IF($G$2,0,IF((AH$6-$G$3)&lt;1,0,IFERROR(LOOKUP(2,1/(Amendoim!$E38:INDEX(Amendoim!$E38:$Z38,MIN(AH$6-$G$3,22))&lt;&gt;""),Amendoim!$E38:INDEX(Amendoim!$E38:$Z38,MIN(AH$6-$G$3,22))),0)))))</f>
        <v>0</v>
      </c>
      <c r="AI40" s="27" t="n">
        <f aca="false">IF(COUNT(Amendoim!$E38:$Z38)=0,0,MAX(0,IF((AI$6-$E$3)&lt;1,0,IFERROR(LOOKUP(2,1/(Amendoim!$E38:INDEX(Amendoim!$E38:$Z38,MIN(AI$6-$E$3,22))&lt;&gt;""),Amendoim!$E38:INDEX(Amendoim!$E38:$Z38,MIN(AI$6-$E$3,22))),0))-IF($G$2,0,IF((AI$6-$G$3)&lt;1,0,IFERROR(LOOKUP(2,1/(Amendoim!$E38:INDEX(Amendoim!$E38:$Z38,MIN(AI$6-$G$3,22))&lt;&gt;""),Amendoim!$E38:INDEX(Amendoim!$E38:$Z38,MIN(AI$6-$G$3,22))),0)))))</f>
        <v>0</v>
      </c>
      <c r="AJ40" s="27" t="n">
        <f aca="false">IF(COUNT(Amendoim!$E38:$Z38)=0,0,MAX(0,IF((AJ$6-$E$3)&lt;1,0,IFERROR(LOOKUP(2,1/(Amendoim!$E38:INDEX(Amendoim!$E38:$Z38,MIN(AJ$6-$E$3,22))&lt;&gt;""),Amendoim!$E38:INDEX(Amendoim!$E38:$Z38,MIN(AJ$6-$E$3,22))),0))-IF($G$2,0,IF((AJ$6-$G$3)&lt;1,0,IFERROR(LOOKUP(2,1/(Amendoim!$E38:INDEX(Amendoim!$E38:$Z38,MIN(AJ$6-$G$3,22))&lt;&gt;""),Amendoim!$E38:INDEX(Amendoim!$E38:$Z38,MIN(AJ$6-$G$3,22))),0)))))</f>
        <v>0</v>
      </c>
      <c r="AK40" s="27" t="n">
        <f aca="false">IF(COUNT(Amendoim!$E38:$Z38)=0,0,MAX(0,IF((AK$6-$E$3)&lt;1,0,IFERROR(LOOKUP(2,1/(Amendoim!$E38:INDEX(Amendoim!$E38:$Z38,MIN(AK$6-$E$3,22))&lt;&gt;""),Amendoim!$E38:INDEX(Amendoim!$E38:$Z38,MIN(AK$6-$E$3,22))),0))-IF($G$2,0,IF((AK$6-$G$3)&lt;1,0,IFERROR(LOOKUP(2,1/(Amendoim!$E38:INDEX(Amendoim!$E38:$Z38,MIN(AK$6-$G$3,22))&lt;&gt;""),Amendoim!$E38:INDEX(Amendoim!$E38:$Z38,MIN(AK$6-$G$3,22))),0)))))</f>
        <v>0</v>
      </c>
      <c r="AL40" s="27" t="n">
        <f aca="false">IF(COUNT(Amendoim!$E38:$Z38)=0,0,MAX(0,IF((AL$6-$E$3)&lt;1,0,IFERROR(LOOKUP(2,1/(Amendoim!$E38:INDEX(Amendoim!$E38:$Z38,MIN(AL$6-$E$3,22))&lt;&gt;""),Amendoim!$E38:INDEX(Amendoim!$E38:$Z38,MIN(AL$6-$E$3,22))),0))-IF($G$2,0,IF((AL$6-$G$3)&lt;1,0,IFERROR(LOOKUP(2,1/(Amendoim!$E38:INDEX(Amendoim!$E38:$Z38,MIN(AL$6-$G$3,22))&lt;&gt;""),Amendoim!$E38:INDEX(Amendoim!$E38:$Z38,MIN(AL$6-$G$3,22))),0)))))</f>
        <v>0</v>
      </c>
      <c r="AM40" s="27" t="n">
        <f aca="false">IF(COUNT(Amendoim!$E38:$Z38)=0,0,MAX(0,IF((AM$6-$E$3)&lt;1,0,IFERROR(LOOKUP(2,1/(Amendoim!$E38:INDEX(Amendoim!$E38:$Z38,MIN(AM$6-$E$3,22))&lt;&gt;""),Amendoim!$E38:INDEX(Amendoim!$E38:$Z38,MIN(AM$6-$E$3,22))),0))-IF($G$2,0,IF((AM$6-$G$3)&lt;1,0,IFERROR(LOOKUP(2,1/(Amendoim!$E38:INDEX(Amendoim!$E38:$Z38,MIN(AM$6-$G$3,22))&lt;&gt;""),Amendoim!$E38:INDEX(Amendoim!$E38:$Z38,MIN(AM$6-$G$3,22))),0)))))</f>
        <v>0</v>
      </c>
      <c r="AN40" s="27" t="n">
        <f aca="false">IF(COUNT(Amendoim!$E38:$Z38)=0,0,MAX(0,IF((AN$6-$E$3)&lt;1,0,IFERROR(LOOKUP(2,1/(Amendoim!$E38:INDEX(Amendoim!$E38:$Z38,MIN(AN$6-$E$3,22))&lt;&gt;""),Amendoim!$E38:INDEX(Amendoim!$E38:$Z38,MIN(AN$6-$E$3,22))),0))-IF($G$2,0,IF((AN$6-$G$3)&lt;1,0,IFERROR(LOOKUP(2,1/(Amendoim!$E38:INDEX(Amendoim!$E38:$Z38,MIN(AN$6-$G$3,22))&lt;&gt;""),Amendoim!$E38:INDEX(Amendoim!$E38:$Z38,MIN(AN$6-$G$3,22))),0)))))</f>
        <v>0</v>
      </c>
      <c r="AO40" s="27" t="n">
        <f aca="false">IF(COUNT(Amendoim!$E38:$Z38)=0,0,MAX(0,IF((AO$6-$E$3)&lt;1,0,IFERROR(LOOKUP(2,1/(Amendoim!$E38:INDEX(Amendoim!$E38:$Z38,MIN(AO$6-$E$3,22))&lt;&gt;""),Amendoim!$E38:INDEX(Amendoim!$E38:$Z38,MIN(AO$6-$E$3,22))),0))-IF($G$2,0,IF((AO$6-$G$3)&lt;1,0,IFERROR(LOOKUP(2,1/(Amendoim!$E38:INDEX(Amendoim!$E38:$Z38,MIN(AO$6-$G$3,22))&lt;&gt;""),Amendoim!$E38:INDEX(Amendoim!$E38:$Z38,MIN(AO$6-$G$3,22))),0)))))</f>
        <v>0</v>
      </c>
      <c r="AP40" s="27" t="n">
        <f aca="false">IF(COUNT(Amendoim!$E38:$Z38)=0,0,MAX(0,IF((AP$6-$E$3)&lt;1,0,IFERROR(LOOKUP(2,1/(Amendoim!$E38:INDEX(Amendoim!$E38:$Z38,MIN(AP$6-$E$3,22))&lt;&gt;""),Amendoim!$E38:INDEX(Amendoim!$E38:$Z38,MIN(AP$6-$E$3,22))),0))-IF($G$2,0,IF((AP$6-$G$3)&lt;1,0,IFERROR(LOOKUP(2,1/(Amendoim!$E38:INDEX(Amendoim!$E38:$Z38,MIN(AP$6-$G$3,22))&lt;&gt;""),Amendoim!$E38:INDEX(Amendoim!$E38:$Z38,MIN(AP$6-$G$3,22))),0)))))</f>
        <v>0</v>
      </c>
      <c r="AQ40" s="27" t="n">
        <f aca="false">IF(COUNT(Amendoim!$E38:$Z38)=0,0,MAX(0,IF((AQ$6-$E$3)&lt;1,0,IFERROR(LOOKUP(2,1/(Amendoim!$E38:INDEX(Amendoim!$E38:$Z38,MIN(AQ$6-$E$3,22))&lt;&gt;""),Amendoim!$E38:INDEX(Amendoim!$E38:$Z38,MIN(AQ$6-$E$3,22))),0))-IF($G$2,0,IF((AQ$6-$G$3)&lt;1,0,IFERROR(LOOKUP(2,1/(Amendoim!$E38:INDEX(Amendoim!$E38:$Z38,MIN(AQ$6-$G$3,22))&lt;&gt;""),Amendoim!$E38:INDEX(Amendoim!$E38:$Z38,MIN(AQ$6-$G$3,22))),0)))))</f>
        <v>0</v>
      </c>
      <c r="AR40" s="27" t="n">
        <f aca="false">IF(COUNT(Amendoim!$E38:$Z38)=0,0,MAX(0,IF((AR$6-$E$3)&lt;1,0,IFERROR(LOOKUP(2,1/(Amendoim!$E38:INDEX(Amendoim!$E38:$Z38,MIN(AR$6-$E$3,22))&lt;&gt;""),Amendoim!$E38:INDEX(Amendoim!$E38:$Z38,MIN(AR$6-$E$3,22))),0))-IF($G$2,0,IF((AR$6-$G$3)&lt;1,0,IFERROR(LOOKUP(2,1/(Amendoim!$E38:INDEX(Amendoim!$E38:$Z38,MIN(AR$6-$G$3,22))&lt;&gt;""),Amendoim!$E38:INDEX(Amendoim!$E38:$Z38,MIN(AR$6-$G$3,22))),0)))))</f>
        <v>0</v>
      </c>
      <c r="AS40" s="27" t="n">
        <f aca="false">IF(COUNT(Amendoim!$E38:$Z38)=0,0,MAX(0,IF((AS$6-$E$3)&lt;1,0,IFERROR(LOOKUP(2,1/(Amendoim!$E38:INDEX(Amendoim!$E38:$Z38,MIN(AS$6-$E$3,22))&lt;&gt;""),Amendoim!$E38:INDEX(Amendoim!$E38:$Z38,MIN(AS$6-$E$3,22))),0))-IF($G$2,0,IF((AS$6-$G$3)&lt;1,0,IFERROR(LOOKUP(2,1/(Amendoim!$E38:INDEX(Amendoim!$E38:$Z38,MIN(AS$6-$G$3,22))&lt;&gt;""),Amendoim!$E38:INDEX(Amendoim!$E38:$Z38,MIN(AS$6-$G$3,22))),0)))))</f>
        <v>0</v>
      </c>
      <c r="AT40" s="27" t="n">
        <f aca="false">IF(COUNT(Amendoim!$E38:$Z38)=0,0,MAX(0,IF((AT$6-$E$3)&lt;1,0,IFERROR(LOOKUP(2,1/(Amendoim!$E38:INDEX(Amendoim!$E38:$Z38,MIN(AT$6-$E$3,22))&lt;&gt;""),Amendoim!$E38:INDEX(Amendoim!$E38:$Z38,MIN(AT$6-$E$3,22))),0))-IF($G$2,0,IF((AT$6-$G$3)&lt;1,0,IFERROR(LOOKUP(2,1/(Amendoim!$E38:INDEX(Amendoim!$E38:$Z38,MIN(AT$6-$G$3,22))&lt;&gt;""),Amendoim!$E38:INDEX(Amendoim!$E38:$Z38,MIN(AT$6-$G$3,22))),0)))))</f>
        <v>0</v>
      </c>
      <c r="AU40" s="27" t="n">
        <f aca="false">IF(COUNT(Amendoim!$E38:$Z38)=0,0,MAX(0,IF((AU$6-$E$3)&lt;1,0,IFERROR(LOOKUP(2,1/(Amendoim!$E38:INDEX(Amendoim!$E38:$Z38,MIN(AU$6-$E$3,22))&lt;&gt;""),Amendoim!$E38:INDEX(Amendoim!$E38:$Z38,MIN(AU$6-$E$3,22))),0))-IF($G$2,0,IF((AU$6-$G$3)&lt;1,0,IFERROR(LOOKUP(2,1/(Amendoim!$E38:INDEX(Amendoim!$E38:$Z38,MIN(AU$6-$G$3,22))&lt;&gt;""),Amendoim!$E38:INDEX(Amendoim!$E38:$Z38,MIN(AU$6-$G$3,22))),0)))))</f>
        <v>0</v>
      </c>
      <c r="AV40" s="27" t="n">
        <f aca="false">IF(COUNT(Amendoim!$E38:$Z38)=0,0,MAX(0,IF((AV$6-$E$3)&lt;1,0,IFERROR(LOOKUP(2,1/(Amendoim!$E38:INDEX(Amendoim!$E38:$Z38,MIN(AV$6-$E$3,22))&lt;&gt;""),Amendoim!$E38:INDEX(Amendoim!$E38:$Z38,MIN(AV$6-$E$3,22))),0))-IF($G$2,0,IF((AV$6-$G$3)&lt;1,0,IFERROR(LOOKUP(2,1/(Amendoim!$E38:INDEX(Amendoim!$E38:$Z38,MIN(AV$6-$G$3,22))&lt;&gt;""),Amendoim!$E38:INDEX(Amendoim!$E38:$Z38,MIN(AV$6-$G$3,22))),0)))))</f>
        <v>0</v>
      </c>
      <c r="AW40" s="27" t="n">
        <f aca="false">IF(COUNT(Amendoim!$E38:$Z38)=0,0,MAX(0,IF((AW$6-$E$3)&lt;1,0,IFERROR(LOOKUP(2,1/(Amendoim!$E38:INDEX(Amendoim!$E38:$Z38,MIN(AW$6-$E$3,22))&lt;&gt;""),Amendoim!$E38:INDEX(Amendoim!$E38:$Z38,MIN(AW$6-$E$3,22))),0))-IF($G$2,0,IF((AW$6-$G$3)&lt;1,0,IFERROR(LOOKUP(2,1/(Amendoim!$E38:INDEX(Amendoim!$E38:$Z38,MIN(AW$6-$G$3,22))&lt;&gt;""),Amendoim!$E38:INDEX(Amendoim!$E38:$Z38,MIN(AW$6-$G$3,22))),0)))))</f>
        <v>0</v>
      </c>
      <c r="AX40" s="27" t="n">
        <f aca="false">IF(COUNT(Amendoim!$E38:$Z38)=0,0,MAX(0,IF((AX$6-$E$3)&lt;1,0,IFERROR(LOOKUP(2,1/(Amendoim!$E38:INDEX(Amendoim!$E38:$Z38,MIN(AX$6-$E$3,22))&lt;&gt;""),Amendoim!$E38:INDEX(Amendoim!$E38:$Z38,MIN(AX$6-$E$3,22))),0))-IF($G$2,0,IF((AX$6-$G$3)&lt;1,0,IFERROR(LOOKUP(2,1/(Amendoim!$E38:INDEX(Amendoim!$E38:$Z38,MIN(AX$6-$G$3,22))&lt;&gt;""),Amendoim!$E38:INDEX(Amendoim!$E38:$Z38,MIN(AX$6-$G$3,22))),0)))))</f>
        <v>0</v>
      </c>
      <c r="AY40" s="27" t="n">
        <f aca="false">IF(COUNT(Amendoim!$E38:$Z38)=0,0,MAX(0,IF((AY$6-$E$3)&lt;1,0,IFERROR(LOOKUP(2,1/(Amendoim!$E38:INDEX(Amendoim!$E38:$Z38,MIN(AY$6-$E$3,22))&lt;&gt;""),Amendoim!$E38:INDEX(Amendoim!$E38:$Z38,MIN(AY$6-$E$3,22))),0))-IF($G$2,0,IF((AY$6-$G$3)&lt;1,0,IFERROR(LOOKUP(2,1/(Amendoim!$E38:INDEX(Amendoim!$E38:$Z38,MIN(AY$6-$G$3,22))&lt;&gt;""),Amendoim!$E38:INDEX(Amendoim!$E38:$Z38,MIN(AY$6-$G$3,22))),0)))))</f>
        <v>0</v>
      </c>
      <c r="AZ40" s="27" t="n">
        <f aca="false">IF(COUNT(Amendoim!$E38:$Z38)=0,0,MAX(0,IF((AZ$6-$E$3)&lt;1,0,IFERROR(LOOKUP(2,1/(Amendoim!$E38:INDEX(Amendoim!$E38:$Z38,MIN(AZ$6-$E$3,22))&lt;&gt;""),Amendoim!$E38:INDEX(Amendoim!$E38:$Z38,MIN(AZ$6-$E$3,22))),0))-IF($G$2,0,IF((AZ$6-$G$3)&lt;1,0,IFERROR(LOOKUP(2,1/(Amendoim!$E38:INDEX(Amendoim!$E38:$Z38,MIN(AZ$6-$G$3,22))&lt;&gt;""),Amendoim!$E38:INDEX(Amendoim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IF(COUNT(Amendoim!$E39:$Z39)&gt;0,N(Amendoim!$D39),0)</f>
        <v>0</v>
      </c>
      <c r="E41" s="27" t="n">
        <f aca="false">IF(COUNT(Amendoim!$E39:$Z39)=0,0,MAX(0,IF((E$6-$E$3)&lt;1,0,IFERROR(LOOKUP(2,1/(Amendoim!$E39:INDEX(Amendoim!$E39:$Z39,MIN(E$6-$E$3,22))&lt;&gt;""),Amendoim!$E39:INDEX(Amendoim!$E39:$Z39,MIN(E$6-$E$3,22))),0))-IF($G$2,0,IF((E$6-$G$3)&lt;1,0,IFERROR(LOOKUP(2,1/(Amendoim!$E39:INDEX(Amendoim!$E39:$Z39,MIN(E$6-$G$3,22))&lt;&gt;""),Amendoim!$E39:INDEX(Amendoim!$E39:$Z39,MIN(E$6-$G$3,22))),0)))))</f>
        <v>0</v>
      </c>
      <c r="F41" s="27" t="n">
        <f aca="false">IF(COUNT(Amendoim!$E39:$Z39)=0,0,MAX(0,IF((F$6-$E$3)&lt;1,0,IFERROR(LOOKUP(2,1/(Amendoim!$E39:INDEX(Amendoim!$E39:$Z39,MIN(F$6-$E$3,22))&lt;&gt;""),Amendoim!$E39:INDEX(Amendoim!$E39:$Z39,MIN(F$6-$E$3,22))),0))-IF($G$2,0,IF((F$6-$G$3)&lt;1,0,IFERROR(LOOKUP(2,1/(Amendoim!$E39:INDEX(Amendoim!$E39:$Z39,MIN(F$6-$G$3,22))&lt;&gt;""),Amendoim!$E39:INDEX(Amendoim!$E39:$Z39,MIN(F$6-$G$3,22))),0)))))</f>
        <v>0</v>
      </c>
      <c r="G41" s="27" t="n">
        <f aca="false">IF(COUNT(Amendoim!$E39:$Z39)=0,0,MAX(0,IF((G$6-$E$3)&lt;1,0,IFERROR(LOOKUP(2,1/(Amendoim!$E39:INDEX(Amendoim!$E39:$Z39,MIN(G$6-$E$3,22))&lt;&gt;""),Amendoim!$E39:INDEX(Amendoim!$E39:$Z39,MIN(G$6-$E$3,22))),0))-IF($G$2,0,IF((G$6-$G$3)&lt;1,0,IFERROR(LOOKUP(2,1/(Amendoim!$E39:INDEX(Amendoim!$E39:$Z39,MIN(G$6-$G$3,22))&lt;&gt;""),Amendoim!$E39:INDEX(Amendoim!$E39:$Z39,MIN(G$6-$G$3,22))),0)))))</f>
        <v>0</v>
      </c>
      <c r="H41" s="27" t="n">
        <f aca="false">IF(COUNT(Amendoim!$E39:$Z39)=0,0,MAX(0,IF((H$6-$E$3)&lt;1,0,IFERROR(LOOKUP(2,1/(Amendoim!$E39:INDEX(Amendoim!$E39:$Z39,MIN(H$6-$E$3,22))&lt;&gt;""),Amendoim!$E39:INDEX(Amendoim!$E39:$Z39,MIN(H$6-$E$3,22))),0))-IF($G$2,0,IF((H$6-$G$3)&lt;1,0,IFERROR(LOOKUP(2,1/(Amendoim!$E39:INDEX(Amendoim!$E39:$Z39,MIN(H$6-$G$3,22))&lt;&gt;""),Amendoim!$E39:INDEX(Amendoim!$E39:$Z39,MIN(H$6-$G$3,22))),0)))))</f>
        <v>0</v>
      </c>
      <c r="I41" s="27" t="n">
        <f aca="false">IF(COUNT(Amendoim!$E39:$Z39)=0,0,MAX(0,IF((I$6-$E$3)&lt;1,0,IFERROR(LOOKUP(2,1/(Amendoim!$E39:INDEX(Amendoim!$E39:$Z39,MIN(I$6-$E$3,22))&lt;&gt;""),Amendoim!$E39:INDEX(Amendoim!$E39:$Z39,MIN(I$6-$E$3,22))),0))-IF($G$2,0,IF((I$6-$G$3)&lt;1,0,IFERROR(LOOKUP(2,1/(Amendoim!$E39:INDEX(Amendoim!$E39:$Z39,MIN(I$6-$G$3,22))&lt;&gt;""),Amendoim!$E39:INDEX(Amendoim!$E39:$Z39,MIN(I$6-$G$3,22))),0)))))</f>
        <v>0</v>
      </c>
      <c r="J41" s="27" t="n">
        <f aca="false">IF(COUNT(Amendoim!$E39:$Z39)=0,0,MAX(0,IF((J$6-$E$3)&lt;1,0,IFERROR(LOOKUP(2,1/(Amendoim!$E39:INDEX(Amendoim!$E39:$Z39,MIN(J$6-$E$3,22))&lt;&gt;""),Amendoim!$E39:INDEX(Amendoim!$E39:$Z39,MIN(J$6-$E$3,22))),0))-IF($G$2,0,IF((J$6-$G$3)&lt;1,0,IFERROR(LOOKUP(2,1/(Amendoim!$E39:INDEX(Amendoim!$E39:$Z39,MIN(J$6-$G$3,22))&lt;&gt;""),Amendoim!$E39:INDEX(Amendoim!$E39:$Z39,MIN(J$6-$G$3,22))),0)))))</f>
        <v>0</v>
      </c>
      <c r="K41" s="27" t="n">
        <f aca="false">IF(COUNT(Amendoim!$E39:$Z39)=0,0,MAX(0,IF((K$6-$E$3)&lt;1,0,IFERROR(LOOKUP(2,1/(Amendoim!$E39:INDEX(Amendoim!$E39:$Z39,MIN(K$6-$E$3,22))&lt;&gt;""),Amendoim!$E39:INDEX(Amendoim!$E39:$Z39,MIN(K$6-$E$3,22))),0))-IF($G$2,0,IF((K$6-$G$3)&lt;1,0,IFERROR(LOOKUP(2,1/(Amendoim!$E39:INDEX(Amendoim!$E39:$Z39,MIN(K$6-$G$3,22))&lt;&gt;""),Amendoim!$E39:INDEX(Amendoim!$E39:$Z39,MIN(K$6-$G$3,22))),0)))))</f>
        <v>0</v>
      </c>
      <c r="L41" s="27" t="n">
        <f aca="false">IF(COUNT(Amendoim!$E39:$Z39)=0,0,MAX(0,IF((L$6-$E$3)&lt;1,0,IFERROR(LOOKUP(2,1/(Amendoim!$E39:INDEX(Amendoim!$E39:$Z39,MIN(L$6-$E$3,22))&lt;&gt;""),Amendoim!$E39:INDEX(Amendoim!$E39:$Z39,MIN(L$6-$E$3,22))),0))-IF($G$2,0,IF((L$6-$G$3)&lt;1,0,IFERROR(LOOKUP(2,1/(Amendoim!$E39:INDEX(Amendoim!$E39:$Z39,MIN(L$6-$G$3,22))&lt;&gt;""),Amendoim!$E39:INDEX(Amendoim!$E39:$Z39,MIN(L$6-$G$3,22))),0)))))</f>
        <v>0</v>
      </c>
      <c r="M41" s="27" t="n">
        <f aca="false">IF(COUNT(Amendoim!$E39:$Z39)=0,0,MAX(0,IF((M$6-$E$3)&lt;1,0,IFERROR(LOOKUP(2,1/(Amendoim!$E39:INDEX(Amendoim!$E39:$Z39,MIN(M$6-$E$3,22))&lt;&gt;""),Amendoim!$E39:INDEX(Amendoim!$E39:$Z39,MIN(M$6-$E$3,22))),0))-IF($G$2,0,IF((M$6-$G$3)&lt;1,0,IFERROR(LOOKUP(2,1/(Amendoim!$E39:INDEX(Amendoim!$E39:$Z39,MIN(M$6-$G$3,22))&lt;&gt;""),Amendoim!$E39:INDEX(Amendoim!$E39:$Z39,MIN(M$6-$G$3,22))),0)))))</f>
        <v>0</v>
      </c>
      <c r="N41" s="27" t="n">
        <f aca="false">IF(COUNT(Amendoim!$E39:$Z39)=0,0,MAX(0,IF((N$6-$E$3)&lt;1,0,IFERROR(LOOKUP(2,1/(Amendoim!$E39:INDEX(Amendoim!$E39:$Z39,MIN(N$6-$E$3,22))&lt;&gt;""),Amendoim!$E39:INDEX(Amendoim!$E39:$Z39,MIN(N$6-$E$3,22))),0))-IF($G$2,0,IF((N$6-$G$3)&lt;1,0,IFERROR(LOOKUP(2,1/(Amendoim!$E39:INDEX(Amendoim!$E39:$Z39,MIN(N$6-$G$3,22))&lt;&gt;""),Amendoim!$E39:INDEX(Amendoim!$E39:$Z39,MIN(N$6-$G$3,22))),0)))))</f>
        <v>0</v>
      </c>
      <c r="O41" s="27" t="n">
        <f aca="false">IF(COUNT(Amendoim!$E39:$Z39)=0,0,MAX(0,IF((O$6-$E$3)&lt;1,0,IFERROR(LOOKUP(2,1/(Amendoim!$E39:INDEX(Amendoim!$E39:$Z39,MIN(O$6-$E$3,22))&lt;&gt;""),Amendoim!$E39:INDEX(Amendoim!$E39:$Z39,MIN(O$6-$E$3,22))),0))-IF($G$2,0,IF((O$6-$G$3)&lt;1,0,IFERROR(LOOKUP(2,1/(Amendoim!$E39:INDEX(Amendoim!$E39:$Z39,MIN(O$6-$G$3,22))&lt;&gt;""),Amendoim!$E39:INDEX(Amendoim!$E39:$Z39,MIN(O$6-$G$3,22))),0)))))</f>
        <v>0</v>
      </c>
      <c r="P41" s="27" t="n">
        <f aca="false">IF(COUNT(Amendoim!$E39:$Z39)=0,0,MAX(0,IF((P$6-$E$3)&lt;1,0,IFERROR(LOOKUP(2,1/(Amendoim!$E39:INDEX(Amendoim!$E39:$Z39,MIN(P$6-$E$3,22))&lt;&gt;""),Amendoim!$E39:INDEX(Amendoim!$E39:$Z39,MIN(P$6-$E$3,22))),0))-IF($G$2,0,IF((P$6-$G$3)&lt;1,0,IFERROR(LOOKUP(2,1/(Amendoim!$E39:INDEX(Amendoim!$E39:$Z39,MIN(P$6-$G$3,22))&lt;&gt;""),Amendoim!$E39:INDEX(Amendoim!$E39:$Z39,MIN(P$6-$G$3,22))),0)))))</f>
        <v>0</v>
      </c>
      <c r="Q41" s="27" t="n">
        <f aca="false">IF(COUNT(Amendoim!$E39:$Z39)=0,0,MAX(0,IF((Q$6-$E$3)&lt;1,0,IFERROR(LOOKUP(2,1/(Amendoim!$E39:INDEX(Amendoim!$E39:$Z39,MIN(Q$6-$E$3,22))&lt;&gt;""),Amendoim!$E39:INDEX(Amendoim!$E39:$Z39,MIN(Q$6-$E$3,22))),0))-IF($G$2,0,IF((Q$6-$G$3)&lt;1,0,IFERROR(LOOKUP(2,1/(Amendoim!$E39:INDEX(Amendoim!$E39:$Z39,MIN(Q$6-$G$3,22))&lt;&gt;""),Amendoim!$E39:INDEX(Amendoim!$E39:$Z39,MIN(Q$6-$G$3,22))),0)))))</f>
        <v>0</v>
      </c>
      <c r="R41" s="27" t="n">
        <f aca="false">IF(COUNT(Amendoim!$E39:$Z39)=0,0,MAX(0,IF((R$6-$E$3)&lt;1,0,IFERROR(LOOKUP(2,1/(Amendoim!$E39:INDEX(Amendoim!$E39:$Z39,MIN(R$6-$E$3,22))&lt;&gt;""),Amendoim!$E39:INDEX(Amendoim!$E39:$Z39,MIN(R$6-$E$3,22))),0))-IF($G$2,0,IF((R$6-$G$3)&lt;1,0,IFERROR(LOOKUP(2,1/(Amendoim!$E39:INDEX(Amendoim!$E39:$Z39,MIN(R$6-$G$3,22))&lt;&gt;""),Amendoim!$E39:INDEX(Amendoim!$E39:$Z39,MIN(R$6-$G$3,22))),0)))))</f>
        <v>0</v>
      </c>
      <c r="S41" s="27" t="n">
        <f aca="false">IF(COUNT(Amendoim!$E39:$Z39)=0,0,MAX(0,IF((S$6-$E$3)&lt;1,0,IFERROR(LOOKUP(2,1/(Amendoim!$E39:INDEX(Amendoim!$E39:$Z39,MIN(S$6-$E$3,22))&lt;&gt;""),Amendoim!$E39:INDEX(Amendoim!$E39:$Z39,MIN(S$6-$E$3,22))),0))-IF($G$2,0,IF((S$6-$G$3)&lt;1,0,IFERROR(LOOKUP(2,1/(Amendoim!$E39:INDEX(Amendoim!$E39:$Z39,MIN(S$6-$G$3,22))&lt;&gt;""),Amendoim!$E39:INDEX(Amendoim!$E39:$Z39,MIN(S$6-$G$3,22))),0)))))</f>
        <v>0</v>
      </c>
      <c r="T41" s="27" t="n">
        <f aca="false">IF(COUNT(Amendoim!$E39:$Z39)=0,0,MAX(0,IF((T$6-$E$3)&lt;1,0,IFERROR(LOOKUP(2,1/(Amendoim!$E39:INDEX(Amendoim!$E39:$Z39,MIN(T$6-$E$3,22))&lt;&gt;""),Amendoim!$E39:INDEX(Amendoim!$E39:$Z39,MIN(T$6-$E$3,22))),0))-IF($G$2,0,IF((T$6-$G$3)&lt;1,0,IFERROR(LOOKUP(2,1/(Amendoim!$E39:INDEX(Amendoim!$E39:$Z39,MIN(T$6-$G$3,22))&lt;&gt;""),Amendoim!$E39:INDEX(Amendoim!$E39:$Z39,MIN(T$6-$G$3,22))),0)))))</f>
        <v>0</v>
      </c>
      <c r="U41" s="27" t="n">
        <f aca="false">IF(COUNT(Amendoim!$E39:$Z39)=0,0,MAX(0,IF((U$6-$E$3)&lt;1,0,IFERROR(LOOKUP(2,1/(Amendoim!$E39:INDEX(Amendoim!$E39:$Z39,MIN(U$6-$E$3,22))&lt;&gt;""),Amendoim!$E39:INDEX(Amendoim!$E39:$Z39,MIN(U$6-$E$3,22))),0))-IF($G$2,0,IF((U$6-$G$3)&lt;1,0,IFERROR(LOOKUP(2,1/(Amendoim!$E39:INDEX(Amendoim!$E39:$Z39,MIN(U$6-$G$3,22))&lt;&gt;""),Amendoim!$E39:INDEX(Amendoim!$E39:$Z39,MIN(U$6-$G$3,22))),0)))))</f>
        <v>0</v>
      </c>
      <c r="V41" s="27" t="n">
        <f aca="false">IF(COUNT(Amendoim!$E39:$Z39)=0,0,MAX(0,IF((V$6-$E$3)&lt;1,0,IFERROR(LOOKUP(2,1/(Amendoim!$E39:INDEX(Amendoim!$E39:$Z39,MIN(V$6-$E$3,22))&lt;&gt;""),Amendoim!$E39:INDEX(Amendoim!$E39:$Z39,MIN(V$6-$E$3,22))),0))-IF($G$2,0,IF((V$6-$G$3)&lt;1,0,IFERROR(LOOKUP(2,1/(Amendoim!$E39:INDEX(Amendoim!$E39:$Z39,MIN(V$6-$G$3,22))&lt;&gt;""),Amendoim!$E39:INDEX(Amendoim!$E39:$Z39,MIN(V$6-$G$3,22))),0)))))</f>
        <v>0</v>
      </c>
      <c r="W41" s="27" t="n">
        <f aca="false">IF(COUNT(Amendoim!$E39:$Z39)=0,0,MAX(0,IF((W$6-$E$3)&lt;1,0,IFERROR(LOOKUP(2,1/(Amendoim!$E39:INDEX(Amendoim!$E39:$Z39,MIN(W$6-$E$3,22))&lt;&gt;""),Amendoim!$E39:INDEX(Amendoim!$E39:$Z39,MIN(W$6-$E$3,22))),0))-IF($G$2,0,IF((W$6-$G$3)&lt;1,0,IFERROR(LOOKUP(2,1/(Amendoim!$E39:INDEX(Amendoim!$E39:$Z39,MIN(W$6-$G$3,22))&lt;&gt;""),Amendoim!$E39:INDEX(Amendoim!$E39:$Z39,MIN(W$6-$G$3,22))),0)))))</f>
        <v>0</v>
      </c>
      <c r="X41" s="27" t="n">
        <f aca="false">IF(COUNT(Amendoim!$E39:$Z39)=0,0,MAX(0,IF((X$6-$E$3)&lt;1,0,IFERROR(LOOKUP(2,1/(Amendoim!$E39:INDEX(Amendoim!$E39:$Z39,MIN(X$6-$E$3,22))&lt;&gt;""),Amendoim!$E39:INDEX(Amendoim!$E39:$Z39,MIN(X$6-$E$3,22))),0))-IF($G$2,0,IF((X$6-$G$3)&lt;1,0,IFERROR(LOOKUP(2,1/(Amendoim!$E39:INDEX(Amendoim!$E39:$Z39,MIN(X$6-$G$3,22))&lt;&gt;""),Amendoim!$E39:INDEX(Amendoim!$E39:$Z39,MIN(X$6-$G$3,22))),0)))))</f>
        <v>0</v>
      </c>
      <c r="Y41" s="27" t="n">
        <f aca="false">IF(COUNT(Amendoim!$E39:$Z39)=0,0,MAX(0,IF((Y$6-$E$3)&lt;1,0,IFERROR(LOOKUP(2,1/(Amendoim!$E39:INDEX(Amendoim!$E39:$Z39,MIN(Y$6-$E$3,22))&lt;&gt;""),Amendoim!$E39:INDEX(Amendoim!$E39:$Z39,MIN(Y$6-$E$3,22))),0))-IF($G$2,0,IF((Y$6-$G$3)&lt;1,0,IFERROR(LOOKUP(2,1/(Amendoim!$E39:INDEX(Amendoim!$E39:$Z39,MIN(Y$6-$G$3,22))&lt;&gt;""),Amendoim!$E39:INDEX(Amendoim!$E39:$Z39,MIN(Y$6-$G$3,22))),0)))))</f>
        <v>0</v>
      </c>
      <c r="Z41" s="27" t="n">
        <f aca="false">IF(COUNT(Amendoim!$E39:$Z39)=0,0,MAX(0,IF((Z$6-$E$3)&lt;1,0,IFERROR(LOOKUP(2,1/(Amendoim!$E39:INDEX(Amendoim!$E39:$Z39,MIN(Z$6-$E$3,22))&lt;&gt;""),Amendoim!$E39:INDEX(Amendoim!$E39:$Z39,MIN(Z$6-$E$3,22))),0))-IF($G$2,0,IF((Z$6-$G$3)&lt;1,0,IFERROR(LOOKUP(2,1/(Amendoim!$E39:INDEX(Amendoim!$E39:$Z39,MIN(Z$6-$G$3,22))&lt;&gt;""),Amendoim!$E39:INDEX(Amendoim!$E39:$Z39,MIN(Z$6-$G$3,22))),0)))))</f>
        <v>0</v>
      </c>
      <c r="AA41" s="27" t="n">
        <f aca="false">IF(COUNT(Amendoim!$E39:$Z39)=0,0,MAX(0,IF((AA$6-$E$3)&lt;1,0,IFERROR(LOOKUP(2,1/(Amendoim!$E39:INDEX(Amendoim!$E39:$Z39,MIN(AA$6-$E$3,22))&lt;&gt;""),Amendoim!$E39:INDEX(Amendoim!$E39:$Z39,MIN(AA$6-$E$3,22))),0))-IF($G$2,0,IF((AA$6-$G$3)&lt;1,0,IFERROR(LOOKUP(2,1/(Amendoim!$E39:INDEX(Amendoim!$E39:$Z39,MIN(AA$6-$G$3,22))&lt;&gt;""),Amendoim!$E39:INDEX(Amendoim!$E39:$Z39,MIN(AA$6-$G$3,22))),0)))))</f>
        <v>0</v>
      </c>
      <c r="AB41" s="27" t="n">
        <f aca="false">IF(COUNT(Amendoim!$E39:$Z39)=0,0,MAX(0,IF((AB$6-$E$3)&lt;1,0,IFERROR(LOOKUP(2,1/(Amendoim!$E39:INDEX(Amendoim!$E39:$Z39,MIN(AB$6-$E$3,22))&lt;&gt;""),Amendoim!$E39:INDEX(Amendoim!$E39:$Z39,MIN(AB$6-$E$3,22))),0))-IF($G$2,0,IF((AB$6-$G$3)&lt;1,0,IFERROR(LOOKUP(2,1/(Amendoim!$E39:INDEX(Amendoim!$E39:$Z39,MIN(AB$6-$G$3,22))&lt;&gt;""),Amendoim!$E39:INDEX(Amendoim!$E39:$Z39,MIN(AB$6-$G$3,22))),0)))))</f>
        <v>0</v>
      </c>
      <c r="AC41" s="27" t="n">
        <f aca="false">IF(COUNT(Amendoim!$E39:$Z39)=0,0,MAX(0,IF((AC$6-$E$3)&lt;1,0,IFERROR(LOOKUP(2,1/(Amendoim!$E39:INDEX(Amendoim!$E39:$Z39,MIN(AC$6-$E$3,22))&lt;&gt;""),Amendoim!$E39:INDEX(Amendoim!$E39:$Z39,MIN(AC$6-$E$3,22))),0))-IF($G$2,0,IF((AC$6-$G$3)&lt;1,0,IFERROR(LOOKUP(2,1/(Amendoim!$E39:INDEX(Amendoim!$E39:$Z39,MIN(AC$6-$G$3,22))&lt;&gt;""),Amendoim!$E39:INDEX(Amendoim!$E39:$Z39,MIN(AC$6-$G$3,22))),0)))))</f>
        <v>0</v>
      </c>
      <c r="AD41" s="27" t="n">
        <f aca="false">IF(COUNT(Amendoim!$E39:$Z39)=0,0,MAX(0,IF((AD$6-$E$3)&lt;1,0,IFERROR(LOOKUP(2,1/(Amendoim!$E39:INDEX(Amendoim!$E39:$Z39,MIN(AD$6-$E$3,22))&lt;&gt;""),Amendoim!$E39:INDEX(Amendoim!$E39:$Z39,MIN(AD$6-$E$3,22))),0))-IF($G$2,0,IF((AD$6-$G$3)&lt;1,0,IFERROR(LOOKUP(2,1/(Amendoim!$E39:INDEX(Amendoim!$E39:$Z39,MIN(AD$6-$G$3,22))&lt;&gt;""),Amendoim!$E39:INDEX(Amendoim!$E39:$Z39,MIN(AD$6-$G$3,22))),0)))))</f>
        <v>0</v>
      </c>
      <c r="AE41" s="27" t="n">
        <f aca="false">IF(COUNT(Amendoim!$E39:$Z39)=0,0,MAX(0,IF((AE$6-$E$3)&lt;1,0,IFERROR(LOOKUP(2,1/(Amendoim!$E39:INDEX(Amendoim!$E39:$Z39,MIN(AE$6-$E$3,22))&lt;&gt;""),Amendoim!$E39:INDEX(Amendoim!$E39:$Z39,MIN(AE$6-$E$3,22))),0))-IF($G$2,0,IF((AE$6-$G$3)&lt;1,0,IFERROR(LOOKUP(2,1/(Amendoim!$E39:INDEX(Amendoim!$E39:$Z39,MIN(AE$6-$G$3,22))&lt;&gt;""),Amendoim!$E39:INDEX(Amendoim!$E39:$Z39,MIN(AE$6-$G$3,22))),0)))))</f>
        <v>0</v>
      </c>
      <c r="AF41" s="27" t="n">
        <f aca="false">IF(COUNT(Amendoim!$E39:$Z39)=0,0,MAX(0,IF((AF$6-$E$3)&lt;1,0,IFERROR(LOOKUP(2,1/(Amendoim!$E39:INDEX(Amendoim!$E39:$Z39,MIN(AF$6-$E$3,22))&lt;&gt;""),Amendoim!$E39:INDEX(Amendoim!$E39:$Z39,MIN(AF$6-$E$3,22))),0))-IF($G$2,0,IF((AF$6-$G$3)&lt;1,0,IFERROR(LOOKUP(2,1/(Amendoim!$E39:INDEX(Amendoim!$E39:$Z39,MIN(AF$6-$G$3,22))&lt;&gt;""),Amendoim!$E39:INDEX(Amendoim!$E39:$Z39,MIN(AF$6-$G$3,22))),0)))))</f>
        <v>0</v>
      </c>
      <c r="AG41" s="27" t="n">
        <f aca="false">IF(COUNT(Amendoim!$E39:$Z39)=0,0,MAX(0,IF((AG$6-$E$3)&lt;1,0,IFERROR(LOOKUP(2,1/(Amendoim!$E39:INDEX(Amendoim!$E39:$Z39,MIN(AG$6-$E$3,22))&lt;&gt;""),Amendoim!$E39:INDEX(Amendoim!$E39:$Z39,MIN(AG$6-$E$3,22))),0))-IF($G$2,0,IF((AG$6-$G$3)&lt;1,0,IFERROR(LOOKUP(2,1/(Amendoim!$E39:INDEX(Amendoim!$E39:$Z39,MIN(AG$6-$G$3,22))&lt;&gt;""),Amendoim!$E39:INDEX(Amendoim!$E39:$Z39,MIN(AG$6-$G$3,22))),0)))))</f>
        <v>0</v>
      </c>
      <c r="AH41" s="27" t="n">
        <f aca="false">IF(COUNT(Amendoim!$E39:$Z39)=0,0,MAX(0,IF((AH$6-$E$3)&lt;1,0,IFERROR(LOOKUP(2,1/(Amendoim!$E39:INDEX(Amendoim!$E39:$Z39,MIN(AH$6-$E$3,22))&lt;&gt;""),Amendoim!$E39:INDEX(Amendoim!$E39:$Z39,MIN(AH$6-$E$3,22))),0))-IF($G$2,0,IF((AH$6-$G$3)&lt;1,0,IFERROR(LOOKUP(2,1/(Amendoim!$E39:INDEX(Amendoim!$E39:$Z39,MIN(AH$6-$G$3,22))&lt;&gt;""),Amendoim!$E39:INDEX(Amendoim!$E39:$Z39,MIN(AH$6-$G$3,22))),0)))))</f>
        <v>0</v>
      </c>
      <c r="AI41" s="27" t="n">
        <f aca="false">IF(COUNT(Amendoim!$E39:$Z39)=0,0,MAX(0,IF((AI$6-$E$3)&lt;1,0,IFERROR(LOOKUP(2,1/(Amendoim!$E39:INDEX(Amendoim!$E39:$Z39,MIN(AI$6-$E$3,22))&lt;&gt;""),Amendoim!$E39:INDEX(Amendoim!$E39:$Z39,MIN(AI$6-$E$3,22))),0))-IF($G$2,0,IF((AI$6-$G$3)&lt;1,0,IFERROR(LOOKUP(2,1/(Amendoim!$E39:INDEX(Amendoim!$E39:$Z39,MIN(AI$6-$G$3,22))&lt;&gt;""),Amendoim!$E39:INDEX(Amendoim!$E39:$Z39,MIN(AI$6-$G$3,22))),0)))))</f>
        <v>0</v>
      </c>
      <c r="AJ41" s="27" t="n">
        <f aca="false">IF(COUNT(Amendoim!$E39:$Z39)=0,0,MAX(0,IF((AJ$6-$E$3)&lt;1,0,IFERROR(LOOKUP(2,1/(Amendoim!$E39:INDEX(Amendoim!$E39:$Z39,MIN(AJ$6-$E$3,22))&lt;&gt;""),Amendoim!$E39:INDEX(Amendoim!$E39:$Z39,MIN(AJ$6-$E$3,22))),0))-IF($G$2,0,IF((AJ$6-$G$3)&lt;1,0,IFERROR(LOOKUP(2,1/(Amendoim!$E39:INDEX(Amendoim!$E39:$Z39,MIN(AJ$6-$G$3,22))&lt;&gt;""),Amendoim!$E39:INDEX(Amendoim!$E39:$Z39,MIN(AJ$6-$G$3,22))),0)))))</f>
        <v>0</v>
      </c>
      <c r="AK41" s="27" t="n">
        <f aca="false">IF(COUNT(Amendoim!$E39:$Z39)=0,0,MAX(0,IF((AK$6-$E$3)&lt;1,0,IFERROR(LOOKUP(2,1/(Amendoim!$E39:INDEX(Amendoim!$E39:$Z39,MIN(AK$6-$E$3,22))&lt;&gt;""),Amendoim!$E39:INDEX(Amendoim!$E39:$Z39,MIN(AK$6-$E$3,22))),0))-IF($G$2,0,IF((AK$6-$G$3)&lt;1,0,IFERROR(LOOKUP(2,1/(Amendoim!$E39:INDEX(Amendoim!$E39:$Z39,MIN(AK$6-$G$3,22))&lt;&gt;""),Amendoim!$E39:INDEX(Amendoim!$E39:$Z39,MIN(AK$6-$G$3,22))),0)))))</f>
        <v>0</v>
      </c>
      <c r="AL41" s="27" t="n">
        <f aca="false">IF(COUNT(Amendoim!$E39:$Z39)=0,0,MAX(0,IF((AL$6-$E$3)&lt;1,0,IFERROR(LOOKUP(2,1/(Amendoim!$E39:INDEX(Amendoim!$E39:$Z39,MIN(AL$6-$E$3,22))&lt;&gt;""),Amendoim!$E39:INDEX(Amendoim!$E39:$Z39,MIN(AL$6-$E$3,22))),0))-IF($G$2,0,IF((AL$6-$G$3)&lt;1,0,IFERROR(LOOKUP(2,1/(Amendoim!$E39:INDEX(Amendoim!$E39:$Z39,MIN(AL$6-$G$3,22))&lt;&gt;""),Amendoim!$E39:INDEX(Amendoim!$E39:$Z39,MIN(AL$6-$G$3,22))),0)))))</f>
        <v>0</v>
      </c>
      <c r="AM41" s="27" t="n">
        <f aca="false">IF(COUNT(Amendoim!$E39:$Z39)=0,0,MAX(0,IF((AM$6-$E$3)&lt;1,0,IFERROR(LOOKUP(2,1/(Amendoim!$E39:INDEX(Amendoim!$E39:$Z39,MIN(AM$6-$E$3,22))&lt;&gt;""),Amendoim!$E39:INDEX(Amendoim!$E39:$Z39,MIN(AM$6-$E$3,22))),0))-IF($G$2,0,IF((AM$6-$G$3)&lt;1,0,IFERROR(LOOKUP(2,1/(Amendoim!$E39:INDEX(Amendoim!$E39:$Z39,MIN(AM$6-$G$3,22))&lt;&gt;""),Amendoim!$E39:INDEX(Amendoim!$E39:$Z39,MIN(AM$6-$G$3,22))),0)))))</f>
        <v>0</v>
      </c>
      <c r="AN41" s="27" t="n">
        <f aca="false">IF(COUNT(Amendoim!$E39:$Z39)=0,0,MAX(0,IF((AN$6-$E$3)&lt;1,0,IFERROR(LOOKUP(2,1/(Amendoim!$E39:INDEX(Amendoim!$E39:$Z39,MIN(AN$6-$E$3,22))&lt;&gt;""),Amendoim!$E39:INDEX(Amendoim!$E39:$Z39,MIN(AN$6-$E$3,22))),0))-IF($G$2,0,IF((AN$6-$G$3)&lt;1,0,IFERROR(LOOKUP(2,1/(Amendoim!$E39:INDEX(Amendoim!$E39:$Z39,MIN(AN$6-$G$3,22))&lt;&gt;""),Amendoim!$E39:INDEX(Amendoim!$E39:$Z39,MIN(AN$6-$G$3,22))),0)))))</f>
        <v>0</v>
      </c>
      <c r="AO41" s="27" t="n">
        <f aca="false">IF(COUNT(Amendoim!$E39:$Z39)=0,0,MAX(0,IF((AO$6-$E$3)&lt;1,0,IFERROR(LOOKUP(2,1/(Amendoim!$E39:INDEX(Amendoim!$E39:$Z39,MIN(AO$6-$E$3,22))&lt;&gt;""),Amendoim!$E39:INDEX(Amendoim!$E39:$Z39,MIN(AO$6-$E$3,22))),0))-IF($G$2,0,IF((AO$6-$G$3)&lt;1,0,IFERROR(LOOKUP(2,1/(Amendoim!$E39:INDEX(Amendoim!$E39:$Z39,MIN(AO$6-$G$3,22))&lt;&gt;""),Amendoim!$E39:INDEX(Amendoim!$E39:$Z39,MIN(AO$6-$G$3,22))),0)))))</f>
        <v>0</v>
      </c>
      <c r="AP41" s="27" t="n">
        <f aca="false">IF(COUNT(Amendoim!$E39:$Z39)=0,0,MAX(0,IF((AP$6-$E$3)&lt;1,0,IFERROR(LOOKUP(2,1/(Amendoim!$E39:INDEX(Amendoim!$E39:$Z39,MIN(AP$6-$E$3,22))&lt;&gt;""),Amendoim!$E39:INDEX(Amendoim!$E39:$Z39,MIN(AP$6-$E$3,22))),0))-IF($G$2,0,IF((AP$6-$G$3)&lt;1,0,IFERROR(LOOKUP(2,1/(Amendoim!$E39:INDEX(Amendoim!$E39:$Z39,MIN(AP$6-$G$3,22))&lt;&gt;""),Amendoim!$E39:INDEX(Amendoim!$E39:$Z39,MIN(AP$6-$G$3,22))),0)))))</f>
        <v>0</v>
      </c>
      <c r="AQ41" s="27" t="n">
        <f aca="false">IF(COUNT(Amendoim!$E39:$Z39)=0,0,MAX(0,IF((AQ$6-$E$3)&lt;1,0,IFERROR(LOOKUP(2,1/(Amendoim!$E39:INDEX(Amendoim!$E39:$Z39,MIN(AQ$6-$E$3,22))&lt;&gt;""),Amendoim!$E39:INDEX(Amendoim!$E39:$Z39,MIN(AQ$6-$E$3,22))),0))-IF($G$2,0,IF((AQ$6-$G$3)&lt;1,0,IFERROR(LOOKUP(2,1/(Amendoim!$E39:INDEX(Amendoim!$E39:$Z39,MIN(AQ$6-$G$3,22))&lt;&gt;""),Amendoim!$E39:INDEX(Amendoim!$E39:$Z39,MIN(AQ$6-$G$3,22))),0)))))</f>
        <v>0</v>
      </c>
      <c r="AR41" s="27" t="n">
        <f aca="false">IF(COUNT(Amendoim!$E39:$Z39)=0,0,MAX(0,IF((AR$6-$E$3)&lt;1,0,IFERROR(LOOKUP(2,1/(Amendoim!$E39:INDEX(Amendoim!$E39:$Z39,MIN(AR$6-$E$3,22))&lt;&gt;""),Amendoim!$E39:INDEX(Amendoim!$E39:$Z39,MIN(AR$6-$E$3,22))),0))-IF($G$2,0,IF((AR$6-$G$3)&lt;1,0,IFERROR(LOOKUP(2,1/(Amendoim!$E39:INDEX(Amendoim!$E39:$Z39,MIN(AR$6-$G$3,22))&lt;&gt;""),Amendoim!$E39:INDEX(Amendoim!$E39:$Z39,MIN(AR$6-$G$3,22))),0)))))</f>
        <v>0</v>
      </c>
      <c r="AS41" s="27" t="n">
        <f aca="false">IF(COUNT(Amendoim!$E39:$Z39)=0,0,MAX(0,IF((AS$6-$E$3)&lt;1,0,IFERROR(LOOKUP(2,1/(Amendoim!$E39:INDEX(Amendoim!$E39:$Z39,MIN(AS$6-$E$3,22))&lt;&gt;""),Amendoim!$E39:INDEX(Amendoim!$E39:$Z39,MIN(AS$6-$E$3,22))),0))-IF($G$2,0,IF((AS$6-$G$3)&lt;1,0,IFERROR(LOOKUP(2,1/(Amendoim!$E39:INDEX(Amendoim!$E39:$Z39,MIN(AS$6-$G$3,22))&lt;&gt;""),Amendoim!$E39:INDEX(Amendoim!$E39:$Z39,MIN(AS$6-$G$3,22))),0)))))</f>
        <v>0</v>
      </c>
      <c r="AT41" s="27" t="n">
        <f aca="false">IF(COUNT(Amendoim!$E39:$Z39)=0,0,MAX(0,IF((AT$6-$E$3)&lt;1,0,IFERROR(LOOKUP(2,1/(Amendoim!$E39:INDEX(Amendoim!$E39:$Z39,MIN(AT$6-$E$3,22))&lt;&gt;""),Amendoim!$E39:INDEX(Amendoim!$E39:$Z39,MIN(AT$6-$E$3,22))),0))-IF($G$2,0,IF((AT$6-$G$3)&lt;1,0,IFERROR(LOOKUP(2,1/(Amendoim!$E39:INDEX(Amendoim!$E39:$Z39,MIN(AT$6-$G$3,22))&lt;&gt;""),Amendoim!$E39:INDEX(Amendoim!$E39:$Z39,MIN(AT$6-$G$3,22))),0)))))</f>
        <v>0</v>
      </c>
      <c r="AU41" s="27" t="n">
        <f aca="false">IF(COUNT(Amendoim!$E39:$Z39)=0,0,MAX(0,IF((AU$6-$E$3)&lt;1,0,IFERROR(LOOKUP(2,1/(Amendoim!$E39:INDEX(Amendoim!$E39:$Z39,MIN(AU$6-$E$3,22))&lt;&gt;""),Amendoim!$E39:INDEX(Amendoim!$E39:$Z39,MIN(AU$6-$E$3,22))),0))-IF($G$2,0,IF((AU$6-$G$3)&lt;1,0,IFERROR(LOOKUP(2,1/(Amendoim!$E39:INDEX(Amendoim!$E39:$Z39,MIN(AU$6-$G$3,22))&lt;&gt;""),Amendoim!$E39:INDEX(Amendoim!$E39:$Z39,MIN(AU$6-$G$3,22))),0)))))</f>
        <v>0</v>
      </c>
      <c r="AV41" s="27" t="n">
        <f aca="false">IF(COUNT(Amendoim!$E39:$Z39)=0,0,MAX(0,IF((AV$6-$E$3)&lt;1,0,IFERROR(LOOKUP(2,1/(Amendoim!$E39:INDEX(Amendoim!$E39:$Z39,MIN(AV$6-$E$3,22))&lt;&gt;""),Amendoim!$E39:INDEX(Amendoim!$E39:$Z39,MIN(AV$6-$E$3,22))),0))-IF($G$2,0,IF((AV$6-$G$3)&lt;1,0,IFERROR(LOOKUP(2,1/(Amendoim!$E39:INDEX(Amendoim!$E39:$Z39,MIN(AV$6-$G$3,22))&lt;&gt;""),Amendoim!$E39:INDEX(Amendoim!$E39:$Z39,MIN(AV$6-$G$3,22))),0)))))</f>
        <v>0</v>
      </c>
      <c r="AW41" s="27" t="n">
        <f aca="false">IF(COUNT(Amendoim!$E39:$Z39)=0,0,MAX(0,IF((AW$6-$E$3)&lt;1,0,IFERROR(LOOKUP(2,1/(Amendoim!$E39:INDEX(Amendoim!$E39:$Z39,MIN(AW$6-$E$3,22))&lt;&gt;""),Amendoim!$E39:INDEX(Amendoim!$E39:$Z39,MIN(AW$6-$E$3,22))),0))-IF($G$2,0,IF((AW$6-$G$3)&lt;1,0,IFERROR(LOOKUP(2,1/(Amendoim!$E39:INDEX(Amendoim!$E39:$Z39,MIN(AW$6-$G$3,22))&lt;&gt;""),Amendoim!$E39:INDEX(Amendoim!$E39:$Z39,MIN(AW$6-$G$3,22))),0)))))</f>
        <v>0</v>
      </c>
      <c r="AX41" s="27" t="n">
        <f aca="false">IF(COUNT(Amendoim!$E39:$Z39)=0,0,MAX(0,IF((AX$6-$E$3)&lt;1,0,IFERROR(LOOKUP(2,1/(Amendoim!$E39:INDEX(Amendoim!$E39:$Z39,MIN(AX$6-$E$3,22))&lt;&gt;""),Amendoim!$E39:INDEX(Amendoim!$E39:$Z39,MIN(AX$6-$E$3,22))),0))-IF($G$2,0,IF((AX$6-$G$3)&lt;1,0,IFERROR(LOOKUP(2,1/(Amendoim!$E39:INDEX(Amendoim!$E39:$Z39,MIN(AX$6-$G$3,22))&lt;&gt;""),Amendoim!$E39:INDEX(Amendoim!$E39:$Z39,MIN(AX$6-$G$3,22))),0)))))</f>
        <v>0</v>
      </c>
      <c r="AY41" s="27" t="n">
        <f aca="false">IF(COUNT(Amendoim!$E39:$Z39)=0,0,MAX(0,IF((AY$6-$E$3)&lt;1,0,IFERROR(LOOKUP(2,1/(Amendoim!$E39:INDEX(Amendoim!$E39:$Z39,MIN(AY$6-$E$3,22))&lt;&gt;""),Amendoim!$E39:INDEX(Amendoim!$E39:$Z39,MIN(AY$6-$E$3,22))),0))-IF($G$2,0,IF((AY$6-$G$3)&lt;1,0,IFERROR(LOOKUP(2,1/(Amendoim!$E39:INDEX(Amendoim!$E39:$Z39,MIN(AY$6-$G$3,22))&lt;&gt;""),Amendoim!$E39:INDEX(Amendoim!$E39:$Z39,MIN(AY$6-$G$3,22))),0)))))</f>
        <v>0</v>
      </c>
      <c r="AZ41" s="27" t="n">
        <f aca="false">IF(COUNT(Amendoim!$E39:$Z39)=0,0,MAX(0,IF((AZ$6-$E$3)&lt;1,0,IFERROR(LOOKUP(2,1/(Amendoim!$E39:INDEX(Amendoim!$E39:$Z39,MIN(AZ$6-$E$3,22))&lt;&gt;""),Amendoim!$E39:INDEX(Amendoim!$E39:$Z39,MIN(AZ$6-$E$3,22))),0))-IF($G$2,0,IF((AZ$6-$G$3)&lt;1,0,IFERROR(LOOKUP(2,1/(Amendoim!$E39:INDEX(Amendoim!$E39:$Z39,MIN(AZ$6-$G$3,22))&lt;&gt;""),Amendoim!$E39:INDEX(Amendoim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IF(COUNT(Amendoim!$E40:$Z40)&gt;0,N(Amendoim!$D40),0)</f>
        <v>0</v>
      </c>
      <c r="E42" s="27" t="n">
        <f aca="false">IF(COUNT(Amendoim!$E40:$Z40)=0,0,MAX(0,IF((E$6-$E$3)&lt;1,0,IFERROR(LOOKUP(2,1/(Amendoim!$E40:INDEX(Amendoim!$E40:$Z40,MIN(E$6-$E$3,22))&lt;&gt;""),Amendoim!$E40:INDEX(Amendoim!$E40:$Z40,MIN(E$6-$E$3,22))),0))-IF($G$2,0,IF((E$6-$G$3)&lt;1,0,IFERROR(LOOKUP(2,1/(Amendoim!$E40:INDEX(Amendoim!$E40:$Z40,MIN(E$6-$G$3,22))&lt;&gt;""),Amendoim!$E40:INDEX(Amendoim!$E40:$Z40,MIN(E$6-$G$3,22))),0)))))</f>
        <v>0</v>
      </c>
      <c r="F42" s="27" t="n">
        <f aca="false">IF(COUNT(Amendoim!$E40:$Z40)=0,0,MAX(0,IF((F$6-$E$3)&lt;1,0,IFERROR(LOOKUP(2,1/(Amendoim!$E40:INDEX(Amendoim!$E40:$Z40,MIN(F$6-$E$3,22))&lt;&gt;""),Amendoim!$E40:INDEX(Amendoim!$E40:$Z40,MIN(F$6-$E$3,22))),0))-IF($G$2,0,IF((F$6-$G$3)&lt;1,0,IFERROR(LOOKUP(2,1/(Amendoim!$E40:INDEX(Amendoim!$E40:$Z40,MIN(F$6-$G$3,22))&lt;&gt;""),Amendoim!$E40:INDEX(Amendoim!$E40:$Z40,MIN(F$6-$G$3,22))),0)))))</f>
        <v>0</v>
      </c>
      <c r="G42" s="27" t="n">
        <f aca="false">IF(COUNT(Amendoim!$E40:$Z40)=0,0,MAX(0,IF((G$6-$E$3)&lt;1,0,IFERROR(LOOKUP(2,1/(Amendoim!$E40:INDEX(Amendoim!$E40:$Z40,MIN(G$6-$E$3,22))&lt;&gt;""),Amendoim!$E40:INDEX(Amendoim!$E40:$Z40,MIN(G$6-$E$3,22))),0))-IF($G$2,0,IF((G$6-$G$3)&lt;1,0,IFERROR(LOOKUP(2,1/(Amendoim!$E40:INDEX(Amendoim!$E40:$Z40,MIN(G$6-$G$3,22))&lt;&gt;""),Amendoim!$E40:INDEX(Amendoim!$E40:$Z40,MIN(G$6-$G$3,22))),0)))))</f>
        <v>0</v>
      </c>
      <c r="H42" s="27" t="n">
        <f aca="false">IF(COUNT(Amendoim!$E40:$Z40)=0,0,MAX(0,IF((H$6-$E$3)&lt;1,0,IFERROR(LOOKUP(2,1/(Amendoim!$E40:INDEX(Amendoim!$E40:$Z40,MIN(H$6-$E$3,22))&lt;&gt;""),Amendoim!$E40:INDEX(Amendoim!$E40:$Z40,MIN(H$6-$E$3,22))),0))-IF($G$2,0,IF((H$6-$G$3)&lt;1,0,IFERROR(LOOKUP(2,1/(Amendoim!$E40:INDEX(Amendoim!$E40:$Z40,MIN(H$6-$G$3,22))&lt;&gt;""),Amendoim!$E40:INDEX(Amendoim!$E40:$Z40,MIN(H$6-$G$3,22))),0)))))</f>
        <v>0</v>
      </c>
      <c r="I42" s="27" t="n">
        <f aca="false">IF(COUNT(Amendoim!$E40:$Z40)=0,0,MAX(0,IF((I$6-$E$3)&lt;1,0,IFERROR(LOOKUP(2,1/(Amendoim!$E40:INDEX(Amendoim!$E40:$Z40,MIN(I$6-$E$3,22))&lt;&gt;""),Amendoim!$E40:INDEX(Amendoim!$E40:$Z40,MIN(I$6-$E$3,22))),0))-IF($G$2,0,IF((I$6-$G$3)&lt;1,0,IFERROR(LOOKUP(2,1/(Amendoim!$E40:INDEX(Amendoim!$E40:$Z40,MIN(I$6-$G$3,22))&lt;&gt;""),Amendoim!$E40:INDEX(Amendoim!$E40:$Z40,MIN(I$6-$G$3,22))),0)))))</f>
        <v>0</v>
      </c>
      <c r="J42" s="27" t="n">
        <f aca="false">IF(COUNT(Amendoim!$E40:$Z40)=0,0,MAX(0,IF((J$6-$E$3)&lt;1,0,IFERROR(LOOKUP(2,1/(Amendoim!$E40:INDEX(Amendoim!$E40:$Z40,MIN(J$6-$E$3,22))&lt;&gt;""),Amendoim!$E40:INDEX(Amendoim!$E40:$Z40,MIN(J$6-$E$3,22))),0))-IF($G$2,0,IF((J$6-$G$3)&lt;1,0,IFERROR(LOOKUP(2,1/(Amendoim!$E40:INDEX(Amendoim!$E40:$Z40,MIN(J$6-$G$3,22))&lt;&gt;""),Amendoim!$E40:INDEX(Amendoim!$E40:$Z40,MIN(J$6-$G$3,22))),0)))))</f>
        <v>0</v>
      </c>
      <c r="K42" s="27" t="n">
        <f aca="false">IF(COUNT(Amendoim!$E40:$Z40)=0,0,MAX(0,IF((K$6-$E$3)&lt;1,0,IFERROR(LOOKUP(2,1/(Amendoim!$E40:INDEX(Amendoim!$E40:$Z40,MIN(K$6-$E$3,22))&lt;&gt;""),Amendoim!$E40:INDEX(Amendoim!$E40:$Z40,MIN(K$6-$E$3,22))),0))-IF($G$2,0,IF((K$6-$G$3)&lt;1,0,IFERROR(LOOKUP(2,1/(Amendoim!$E40:INDEX(Amendoim!$E40:$Z40,MIN(K$6-$G$3,22))&lt;&gt;""),Amendoim!$E40:INDEX(Amendoim!$E40:$Z40,MIN(K$6-$G$3,22))),0)))))</f>
        <v>0</v>
      </c>
      <c r="L42" s="27" t="n">
        <f aca="false">IF(COUNT(Amendoim!$E40:$Z40)=0,0,MAX(0,IF((L$6-$E$3)&lt;1,0,IFERROR(LOOKUP(2,1/(Amendoim!$E40:INDEX(Amendoim!$E40:$Z40,MIN(L$6-$E$3,22))&lt;&gt;""),Amendoim!$E40:INDEX(Amendoim!$E40:$Z40,MIN(L$6-$E$3,22))),0))-IF($G$2,0,IF((L$6-$G$3)&lt;1,0,IFERROR(LOOKUP(2,1/(Amendoim!$E40:INDEX(Amendoim!$E40:$Z40,MIN(L$6-$G$3,22))&lt;&gt;""),Amendoim!$E40:INDEX(Amendoim!$E40:$Z40,MIN(L$6-$G$3,22))),0)))))</f>
        <v>0</v>
      </c>
      <c r="M42" s="27" t="n">
        <f aca="false">IF(COUNT(Amendoim!$E40:$Z40)=0,0,MAX(0,IF((M$6-$E$3)&lt;1,0,IFERROR(LOOKUP(2,1/(Amendoim!$E40:INDEX(Amendoim!$E40:$Z40,MIN(M$6-$E$3,22))&lt;&gt;""),Amendoim!$E40:INDEX(Amendoim!$E40:$Z40,MIN(M$6-$E$3,22))),0))-IF($G$2,0,IF((M$6-$G$3)&lt;1,0,IFERROR(LOOKUP(2,1/(Amendoim!$E40:INDEX(Amendoim!$E40:$Z40,MIN(M$6-$G$3,22))&lt;&gt;""),Amendoim!$E40:INDEX(Amendoim!$E40:$Z40,MIN(M$6-$G$3,22))),0)))))</f>
        <v>0</v>
      </c>
      <c r="N42" s="27" t="n">
        <f aca="false">IF(COUNT(Amendoim!$E40:$Z40)=0,0,MAX(0,IF((N$6-$E$3)&lt;1,0,IFERROR(LOOKUP(2,1/(Amendoim!$E40:INDEX(Amendoim!$E40:$Z40,MIN(N$6-$E$3,22))&lt;&gt;""),Amendoim!$E40:INDEX(Amendoim!$E40:$Z40,MIN(N$6-$E$3,22))),0))-IF($G$2,0,IF((N$6-$G$3)&lt;1,0,IFERROR(LOOKUP(2,1/(Amendoim!$E40:INDEX(Amendoim!$E40:$Z40,MIN(N$6-$G$3,22))&lt;&gt;""),Amendoim!$E40:INDEX(Amendoim!$E40:$Z40,MIN(N$6-$G$3,22))),0)))))</f>
        <v>0</v>
      </c>
      <c r="O42" s="27" t="n">
        <f aca="false">IF(COUNT(Amendoim!$E40:$Z40)=0,0,MAX(0,IF((O$6-$E$3)&lt;1,0,IFERROR(LOOKUP(2,1/(Amendoim!$E40:INDEX(Amendoim!$E40:$Z40,MIN(O$6-$E$3,22))&lt;&gt;""),Amendoim!$E40:INDEX(Amendoim!$E40:$Z40,MIN(O$6-$E$3,22))),0))-IF($G$2,0,IF((O$6-$G$3)&lt;1,0,IFERROR(LOOKUP(2,1/(Amendoim!$E40:INDEX(Amendoim!$E40:$Z40,MIN(O$6-$G$3,22))&lt;&gt;""),Amendoim!$E40:INDEX(Amendoim!$E40:$Z40,MIN(O$6-$G$3,22))),0)))))</f>
        <v>0</v>
      </c>
      <c r="P42" s="27" t="n">
        <f aca="false">IF(COUNT(Amendoim!$E40:$Z40)=0,0,MAX(0,IF((P$6-$E$3)&lt;1,0,IFERROR(LOOKUP(2,1/(Amendoim!$E40:INDEX(Amendoim!$E40:$Z40,MIN(P$6-$E$3,22))&lt;&gt;""),Amendoim!$E40:INDEX(Amendoim!$E40:$Z40,MIN(P$6-$E$3,22))),0))-IF($G$2,0,IF((P$6-$G$3)&lt;1,0,IFERROR(LOOKUP(2,1/(Amendoim!$E40:INDEX(Amendoim!$E40:$Z40,MIN(P$6-$G$3,22))&lt;&gt;""),Amendoim!$E40:INDEX(Amendoim!$E40:$Z40,MIN(P$6-$G$3,22))),0)))))</f>
        <v>0</v>
      </c>
      <c r="Q42" s="27" t="n">
        <f aca="false">IF(COUNT(Amendoim!$E40:$Z40)=0,0,MAX(0,IF((Q$6-$E$3)&lt;1,0,IFERROR(LOOKUP(2,1/(Amendoim!$E40:INDEX(Amendoim!$E40:$Z40,MIN(Q$6-$E$3,22))&lt;&gt;""),Amendoim!$E40:INDEX(Amendoim!$E40:$Z40,MIN(Q$6-$E$3,22))),0))-IF($G$2,0,IF((Q$6-$G$3)&lt;1,0,IFERROR(LOOKUP(2,1/(Amendoim!$E40:INDEX(Amendoim!$E40:$Z40,MIN(Q$6-$G$3,22))&lt;&gt;""),Amendoim!$E40:INDEX(Amendoim!$E40:$Z40,MIN(Q$6-$G$3,22))),0)))))</f>
        <v>0</v>
      </c>
      <c r="R42" s="27" t="n">
        <f aca="false">IF(COUNT(Amendoim!$E40:$Z40)=0,0,MAX(0,IF((R$6-$E$3)&lt;1,0,IFERROR(LOOKUP(2,1/(Amendoim!$E40:INDEX(Amendoim!$E40:$Z40,MIN(R$6-$E$3,22))&lt;&gt;""),Amendoim!$E40:INDEX(Amendoim!$E40:$Z40,MIN(R$6-$E$3,22))),0))-IF($G$2,0,IF((R$6-$G$3)&lt;1,0,IFERROR(LOOKUP(2,1/(Amendoim!$E40:INDEX(Amendoim!$E40:$Z40,MIN(R$6-$G$3,22))&lt;&gt;""),Amendoim!$E40:INDEX(Amendoim!$E40:$Z40,MIN(R$6-$G$3,22))),0)))))</f>
        <v>0</v>
      </c>
      <c r="S42" s="27" t="n">
        <f aca="false">IF(COUNT(Amendoim!$E40:$Z40)=0,0,MAX(0,IF((S$6-$E$3)&lt;1,0,IFERROR(LOOKUP(2,1/(Amendoim!$E40:INDEX(Amendoim!$E40:$Z40,MIN(S$6-$E$3,22))&lt;&gt;""),Amendoim!$E40:INDEX(Amendoim!$E40:$Z40,MIN(S$6-$E$3,22))),0))-IF($G$2,0,IF((S$6-$G$3)&lt;1,0,IFERROR(LOOKUP(2,1/(Amendoim!$E40:INDEX(Amendoim!$E40:$Z40,MIN(S$6-$G$3,22))&lt;&gt;""),Amendoim!$E40:INDEX(Amendoim!$E40:$Z40,MIN(S$6-$G$3,22))),0)))))</f>
        <v>0</v>
      </c>
      <c r="T42" s="27" t="n">
        <f aca="false">IF(COUNT(Amendoim!$E40:$Z40)=0,0,MAX(0,IF((T$6-$E$3)&lt;1,0,IFERROR(LOOKUP(2,1/(Amendoim!$E40:INDEX(Amendoim!$E40:$Z40,MIN(T$6-$E$3,22))&lt;&gt;""),Amendoim!$E40:INDEX(Amendoim!$E40:$Z40,MIN(T$6-$E$3,22))),0))-IF($G$2,0,IF((T$6-$G$3)&lt;1,0,IFERROR(LOOKUP(2,1/(Amendoim!$E40:INDEX(Amendoim!$E40:$Z40,MIN(T$6-$G$3,22))&lt;&gt;""),Amendoim!$E40:INDEX(Amendoim!$E40:$Z40,MIN(T$6-$G$3,22))),0)))))</f>
        <v>0</v>
      </c>
      <c r="U42" s="27" t="n">
        <f aca="false">IF(COUNT(Amendoim!$E40:$Z40)=0,0,MAX(0,IF((U$6-$E$3)&lt;1,0,IFERROR(LOOKUP(2,1/(Amendoim!$E40:INDEX(Amendoim!$E40:$Z40,MIN(U$6-$E$3,22))&lt;&gt;""),Amendoim!$E40:INDEX(Amendoim!$E40:$Z40,MIN(U$6-$E$3,22))),0))-IF($G$2,0,IF((U$6-$G$3)&lt;1,0,IFERROR(LOOKUP(2,1/(Amendoim!$E40:INDEX(Amendoim!$E40:$Z40,MIN(U$6-$G$3,22))&lt;&gt;""),Amendoim!$E40:INDEX(Amendoim!$E40:$Z40,MIN(U$6-$G$3,22))),0)))))</f>
        <v>0</v>
      </c>
      <c r="V42" s="27" t="n">
        <f aca="false">IF(COUNT(Amendoim!$E40:$Z40)=0,0,MAX(0,IF((V$6-$E$3)&lt;1,0,IFERROR(LOOKUP(2,1/(Amendoim!$E40:INDEX(Amendoim!$E40:$Z40,MIN(V$6-$E$3,22))&lt;&gt;""),Amendoim!$E40:INDEX(Amendoim!$E40:$Z40,MIN(V$6-$E$3,22))),0))-IF($G$2,0,IF((V$6-$G$3)&lt;1,0,IFERROR(LOOKUP(2,1/(Amendoim!$E40:INDEX(Amendoim!$E40:$Z40,MIN(V$6-$G$3,22))&lt;&gt;""),Amendoim!$E40:INDEX(Amendoim!$E40:$Z40,MIN(V$6-$G$3,22))),0)))))</f>
        <v>0</v>
      </c>
      <c r="W42" s="27" t="n">
        <f aca="false">IF(COUNT(Amendoim!$E40:$Z40)=0,0,MAX(0,IF((W$6-$E$3)&lt;1,0,IFERROR(LOOKUP(2,1/(Amendoim!$E40:INDEX(Amendoim!$E40:$Z40,MIN(W$6-$E$3,22))&lt;&gt;""),Amendoim!$E40:INDEX(Amendoim!$E40:$Z40,MIN(W$6-$E$3,22))),0))-IF($G$2,0,IF((W$6-$G$3)&lt;1,0,IFERROR(LOOKUP(2,1/(Amendoim!$E40:INDEX(Amendoim!$E40:$Z40,MIN(W$6-$G$3,22))&lt;&gt;""),Amendoim!$E40:INDEX(Amendoim!$E40:$Z40,MIN(W$6-$G$3,22))),0)))))</f>
        <v>0</v>
      </c>
      <c r="X42" s="27" t="n">
        <f aca="false">IF(COUNT(Amendoim!$E40:$Z40)=0,0,MAX(0,IF((X$6-$E$3)&lt;1,0,IFERROR(LOOKUP(2,1/(Amendoim!$E40:INDEX(Amendoim!$E40:$Z40,MIN(X$6-$E$3,22))&lt;&gt;""),Amendoim!$E40:INDEX(Amendoim!$E40:$Z40,MIN(X$6-$E$3,22))),0))-IF($G$2,0,IF((X$6-$G$3)&lt;1,0,IFERROR(LOOKUP(2,1/(Amendoim!$E40:INDEX(Amendoim!$E40:$Z40,MIN(X$6-$G$3,22))&lt;&gt;""),Amendoim!$E40:INDEX(Amendoim!$E40:$Z40,MIN(X$6-$G$3,22))),0)))))</f>
        <v>0</v>
      </c>
      <c r="Y42" s="27" t="n">
        <f aca="false">IF(COUNT(Amendoim!$E40:$Z40)=0,0,MAX(0,IF((Y$6-$E$3)&lt;1,0,IFERROR(LOOKUP(2,1/(Amendoim!$E40:INDEX(Amendoim!$E40:$Z40,MIN(Y$6-$E$3,22))&lt;&gt;""),Amendoim!$E40:INDEX(Amendoim!$E40:$Z40,MIN(Y$6-$E$3,22))),0))-IF($G$2,0,IF((Y$6-$G$3)&lt;1,0,IFERROR(LOOKUP(2,1/(Amendoim!$E40:INDEX(Amendoim!$E40:$Z40,MIN(Y$6-$G$3,22))&lt;&gt;""),Amendoim!$E40:INDEX(Amendoim!$E40:$Z40,MIN(Y$6-$G$3,22))),0)))))</f>
        <v>0</v>
      </c>
      <c r="Z42" s="27" t="n">
        <f aca="false">IF(COUNT(Amendoim!$E40:$Z40)=0,0,MAX(0,IF((Z$6-$E$3)&lt;1,0,IFERROR(LOOKUP(2,1/(Amendoim!$E40:INDEX(Amendoim!$E40:$Z40,MIN(Z$6-$E$3,22))&lt;&gt;""),Amendoim!$E40:INDEX(Amendoim!$E40:$Z40,MIN(Z$6-$E$3,22))),0))-IF($G$2,0,IF((Z$6-$G$3)&lt;1,0,IFERROR(LOOKUP(2,1/(Amendoim!$E40:INDEX(Amendoim!$E40:$Z40,MIN(Z$6-$G$3,22))&lt;&gt;""),Amendoim!$E40:INDEX(Amendoim!$E40:$Z40,MIN(Z$6-$G$3,22))),0)))))</f>
        <v>0</v>
      </c>
      <c r="AA42" s="27" t="n">
        <f aca="false">IF(COUNT(Amendoim!$E40:$Z40)=0,0,MAX(0,IF((AA$6-$E$3)&lt;1,0,IFERROR(LOOKUP(2,1/(Amendoim!$E40:INDEX(Amendoim!$E40:$Z40,MIN(AA$6-$E$3,22))&lt;&gt;""),Amendoim!$E40:INDEX(Amendoim!$E40:$Z40,MIN(AA$6-$E$3,22))),0))-IF($G$2,0,IF((AA$6-$G$3)&lt;1,0,IFERROR(LOOKUP(2,1/(Amendoim!$E40:INDEX(Amendoim!$E40:$Z40,MIN(AA$6-$G$3,22))&lt;&gt;""),Amendoim!$E40:INDEX(Amendoim!$E40:$Z40,MIN(AA$6-$G$3,22))),0)))))</f>
        <v>0</v>
      </c>
      <c r="AB42" s="27" t="n">
        <f aca="false">IF(COUNT(Amendoim!$E40:$Z40)=0,0,MAX(0,IF((AB$6-$E$3)&lt;1,0,IFERROR(LOOKUP(2,1/(Amendoim!$E40:INDEX(Amendoim!$E40:$Z40,MIN(AB$6-$E$3,22))&lt;&gt;""),Amendoim!$E40:INDEX(Amendoim!$E40:$Z40,MIN(AB$6-$E$3,22))),0))-IF($G$2,0,IF((AB$6-$G$3)&lt;1,0,IFERROR(LOOKUP(2,1/(Amendoim!$E40:INDEX(Amendoim!$E40:$Z40,MIN(AB$6-$G$3,22))&lt;&gt;""),Amendoim!$E40:INDEX(Amendoim!$E40:$Z40,MIN(AB$6-$G$3,22))),0)))))</f>
        <v>0</v>
      </c>
      <c r="AC42" s="27" t="n">
        <f aca="false">IF(COUNT(Amendoim!$E40:$Z40)=0,0,MAX(0,IF((AC$6-$E$3)&lt;1,0,IFERROR(LOOKUP(2,1/(Amendoim!$E40:INDEX(Amendoim!$E40:$Z40,MIN(AC$6-$E$3,22))&lt;&gt;""),Amendoim!$E40:INDEX(Amendoim!$E40:$Z40,MIN(AC$6-$E$3,22))),0))-IF($G$2,0,IF((AC$6-$G$3)&lt;1,0,IFERROR(LOOKUP(2,1/(Amendoim!$E40:INDEX(Amendoim!$E40:$Z40,MIN(AC$6-$G$3,22))&lt;&gt;""),Amendoim!$E40:INDEX(Amendoim!$E40:$Z40,MIN(AC$6-$G$3,22))),0)))))</f>
        <v>0</v>
      </c>
      <c r="AD42" s="27" t="n">
        <f aca="false">IF(COUNT(Amendoim!$E40:$Z40)=0,0,MAX(0,IF((AD$6-$E$3)&lt;1,0,IFERROR(LOOKUP(2,1/(Amendoim!$E40:INDEX(Amendoim!$E40:$Z40,MIN(AD$6-$E$3,22))&lt;&gt;""),Amendoim!$E40:INDEX(Amendoim!$E40:$Z40,MIN(AD$6-$E$3,22))),0))-IF($G$2,0,IF((AD$6-$G$3)&lt;1,0,IFERROR(LOOKUP(2,1/(Amendoim!$E40:INDEX(Amendoim!$E40:$Z40,MIN(AD$6-$G$3,22))&lt;&gt;""),Amendoim!$E40:INDEX(Amendoim!$E40:$Z40,MIN(AD$6-$G$3,22))),0)))))</f>
        <v>0</v>
      </c>
      <c r="AE42" s="27" t="n">
        <f aca="false">IF(COUNT(Amendoim!$E40:$Z40)=0,0,MAX(0,IF((AE$6-$E$3)&lt;1,0,IFERROR(LOOKUP(2,1/(Amendoim!$E40:INDEX(Amendoim!$E40:$Z40,MIN(AE$6-$E$3,22))&lt;&gt;""),Amendoim!$E40:INDEX(Amendoim!$E40:$Z40,MIN(AE$6-$E$3,22))),0))-IF($G$2,0,IF((AE$6-$G$3)&lt;1,0,IFERROR(LOOKUP(2,1/(Amendoim!$E40:INDEX(Amendoim!$E40:$Z40,MIN(AE$6-$G$3,22))&lt;&gt;""),Amendoim!$E40:INDEX(Amendoim!$E40:$Z40,MIN(AE$6-$G$3,22))),0)))))</f>
        <v>0</v>
      </c>
      <c r="AF42" s="27" t="n">
        <f aca="false">IF(COUNT(Amendoim!$E40:$Z40)=0,0,MAX(0,IF((AF$6-$E$3)&lt;1,0,IFERROR(LOOKUP(2,1/(Amendoim!$E40:INDEX(Amendoim!$E40:$Z40,MIN(AF$6-$E$3,22))&lt;&gt;""),Amendoim!$E40:INDEX(Amendoim!$E40:$Z40,MIN(AF$6-$E$3,22))),0))-IF($G$2,0,IF((AF$6-$G$3)&lt;1,0,IFERROR(LOOKUP(2,1/(Amendoim!$E40:INDEX(Amendoim!$E40:$Z40,MIN(AF$6-$G$3,22))&lt;&gt;""),Amendoim!$E40:INDEX(Amendoim!$E40:$Z40,MIN(AF$6-$G$3,22))),0)))))</f>
        <v>0</v>
      </c>
      <c r="AG42" s="27" t="n">
        <f aca="false">IF(COUNT(Amendoim!$E40:$Z40)=0,0,MAX(0,IF((AG$6-$E$3)&lt;1,0,IFERROR(LOOKUP(2,1/(Amendoim!$E40:INDEX(Amendoim!$E40:$Z40,MIN(AG$6-$E$3,22))&lt;&gt;""),Amendoim!$E40:INDEX(Amendoim!$E40:$Z40,MIN(AG$6-$E$3,22))),0))-IF($G$2,0,IF((AG$6-$G$3)&lt;1,0,IFERROR(LOOKUP(2,1/(Amendoim!$E40:INDEX(Amendoim!$E40:$Z40,MIN(AG$6-$G$3,22))&lt;&gt;""),Amendoim!$E40:INDEX(Amendoim!$E40:$Z40,MIN(AG$6-$G$3,22))),0)))))</f>
        <v>0</v>
      </c>
      <c r="AH42" s="27" t="n">
        <f aca="false">IF(COUNT(Amendoim!$E40:$Z40)=0,0,MAX(0,IF((AH$6-$E$3)&lt;1,0,IFERROR(LOOKUP(2,1/(Amendoim!$E40:INDEX(Amendoim!$E40:$Z40,MIN(AH$6-$E$3,22))&lt;&gt;""),Amendoim!$E40:INDEX(Amendoim!$E40:$Z40,MIN(AH$6-$E$3,22))),0))-IF($G$2,0,IF((AH$6-$G$3)&lt;1,0,IFERROR(LOOKUP(2,1/(Amendoim!$E40:INDEX(Amendoim!$E40:$Z40,MIN(AH$6-$G$3,22))&lt;&gt;""),Amendoim!$E40:INDEX(Amendoim!$E40:$Z40,MIN(AH$6-$G$3,22))),0)))))</f>
        <v>0</v>
      </c>
      <c r="AI42" s="27" t="n">
        <f aca="false">IF(COUNT(Amendoim!$E40:$Z40)=0,0,MAX(0,IF((AI$6-$E$3)&lt;1,0,IFERROR(LOOKUP(2,1/(Amendoim!$E40:INDEX(Amendoim!$E40:$Z40,MIN(AI$6-$E$3,22))&lt;&gt;""),Amendoim!$E40:INDEX(Amendoim!$E40:$Z40,MIN(AI$6-$E$3,22))),0))-IF($G$2,0,IF((AI$6-$G$3)&lt;1,0,IFERROR(LOOKUP(2,1/(Amendoim!$E40:INDEX(Amendoim!$E40:$Z40,MIN(AI$6-$G$3,22))&lt;&gt;""),Amendoim!$E40:INDEX(Amendoim!$E40:$Z40,MIN(AI$6-$G$3,22))),0)))))</f>
        <v>0</v>
      </c>
      <c r="AJ42" s="27" t="n">
        <f aca="false">IF(COUNT(Amendoim!$E40:$Z40)=0,0,MAX(0,IF((AJ$6-$E$3)&lt;1,0,IFERROR(LOOKUP(2,1/(Amendoim!$E40:INDEX(Amendoim!$E40:$Z40,MIN(AJ$6-$E$3,22))&lt;&gt;""),Amendoim!$E40:INDEX(Amendoim!$E40:$Z40,MIN(AJ$6-$E$3,22))),0))-IF($G$2,0,IF((AJ$6-$G$3)&lt;1,0,IFERROR(LOOKUP(2,1/(Amendoim!$E40:INDEX(Amendoim!$E40:$Z40,MIN(AJ$6-$G$3,22))&lt;&gt;""),Amendoim!$E40:INDEX(Amendoim!$E40:$Z40,MIN(AJ$6-$G$3,22))),0)))))</f>
        <v>0</v>
      </c>
      <c r="AK42" s="27" t="n">
        <f aca="false">IF(COUNT(Amendoim!$E40:$Z40)=0,0,MAX(0,IF((AK$6-$E$3)&lt;1,0,IFERROR(LOOKUP(2,1/(Amendoim!$E40:INDEX(Amendoim!$E40:$Z40,MIN(AK$6-$E$3,22))&lt;&gt;""),Amendoim!$E40:INDEX(Amendoim!$E40:$Z40,MIN(AK$6-$E$3,22))),0))-IF($G$2,0,IF((AK$6-$G$3)&lt;1,0,IFERROR(LOOKUP(2,1/(Amendoim!$E40:INDEX(Amendoim!$E40:$Z40,MIN(AK$6-$G$3,22))&lt;&gt;""),Amendoim!$E40:INDEX(Amendoim!$E40:$Z40,MIN(AK$6-$G$3,22))),0)))))</f>
        <v>0</v>
      </c>
      <c r="AL42" s="27" t="n">
        <f aca="false">IF(COUNT(Amendoim!$E40:$Z40)=0,0,MAX(0,IF((AL$6-$E$3)&lt;1,0,IFERROR(LOOKUP(2,1/(Amendoim!$E40:INDEX(Amendoim!$E40:$Z40,MIN(AL$6-$E$3,22))&lt;&gt;""),Amendoim!$E40:INDEX(Amendoim!$E40:$Z40,MIN(AL$6-$E$3,22))),0))-IF($G$2,0,IF((AL$6-$G$3)&lt;1,0,IFERROR(LOOKUP(2,1/(Amendoim!$E40:INDEX(Amendoim!$E40:$Z40,MIN(AL$6-$G$3,22))&lt;&gt;""),Amendoim!$E40:INDEX(Amendoim!$E40:$Z40,MIN(AL$6-$G$3,22))),0)))))</f>
        <v>0</v>
      </c>
      <c r="AM42" s="27" t="n">
        <f aca="false">IF(COUNT(Amendoim!$E40:$Z40)=0,0,MAX(0,IF((AM$6-$E$3)&lt;1,0,IFERROR(LOOKUP(2,1/(Amendoim!$E40:INDEX(Amendoim!$E40:$Z40,MIN(AM$6-$E$3,22))&lt;&gt;""),Amendoim!$E40:INDEX(Amendoim!$E40:$Z40,MIN(AM$6-$E$3,22))),0))-IF($G$2,0,IF((AM$6-$G$3)&lt;1,0,IFERROR(LOOKUP(2,1/(Amendoim!$E40:INDEX(Amendoim!$E40:$Z40,MIN(AM$6-$G$3,22))&lt;&gt;""),Amendoim!$E40:INDEX(Amendoim!$E40:$Z40,MIN(AM$6-$G$3,22))),0)))))</f>
        <v>0</v>
      </c>
      <c r="AN42" s="27" t="n">
        <f aca="false">IF(COUNT(Amendoim!$E40:$Z40)=0,0,MAX(0,IF((AN$6-$E$3)&lt;1,0,IFERROR(LOOKUP(2,1/(Amendoim!$E40:INDEX(Amendoim!$E40:$Z40,MIN(AN$6-$E$3,22))&lt;&gt;""),Amendoim!$E40:INDEX(Amendoim!$E40:$Z40,MIN(AN$6-$E$3,22))),0))-IF($G$2,0,IF((AN$6-$G$3)&lt;1,0,IFERROR(LOOKUP(2,1/(Amendoim!$E40:INDEX(Amendoim!$E40:$Z40,MIN(AN$6-$G$3,22))&lt;&gt;""),Amendoim!$E40:INDEX(Amendoim!$E40:$Z40,MIN(AN$6-$G$3,22))),0)))))</f>
        <v>0</v>
      </c>
      <c r="AO42" s="27" t="n">
        <f aca="false">IF(COUNT(Amendoim!$E40:$Z40)=0,0,MAX(0,IF((AO$6-$E$3)&lt;1,0,IFERROR(LOOKUP(2,1/(Amendoim!$E40:INDEX(Amendoim!$E40:$Z40,MIN(AO$6-$E$3,22))&lt;&gt;""),Amendoim!$E40:INDEX(Amendoim!$E40:$Z40,MIN(AO$6-$E$3,22))),0))-IF($G$2,0,IF((AO$6-$G$3)&lt;1,0,IFERROR(LOOKUP(2,1/(Amendoim!$E40:INDEX(Amendoim!$E40:$Z40,MIN(AO$6-$G$3,22))&lt;&gt;""),Amendoim!$E40:INDEX(Amendoim!$E40:$Z40,MIN(AO$6-$G$3,22))),0)))))</f>
        <v>0</v>
      </c>
      <c r="AP42" s="27" t="n">
        <f aca="false">IF(COUNT(Amendoim!$E40:$Z40)=0,0,MAX(0,IF((AP$6-$E$3)&lt;1,0,IFERROR(LOOKUP(2,1/(Amendoim!$E40:INDEX(Amendoim!$E40:$Z40,MIN(AP$6-$E$3,22))&lt;&gt;""),Amendoim!$E40:INDEX(Amendoim!$E40:$Z40,MIN(AP$6-$E$3,22))),0))-IF($G$2,0,IF((AP$6-$G$3)&lt;1,0,IFERROR(LOOKUP(2,1/(Amendoim!$E40:INDEX(Amendoim!$E40:$Z40,MIN(AP$6-$G$3,22))&lt;&gt;""),Amendoim!$E40:INDEX(Amendoim!$E40:$Z40,MIN(AP$6-$G$3,22))),0)))))</f>
        <v>0</v>
      </c>
      <c r="AQ42" s="27" t="n">
        <f aca="false">IF(COUNT(Amendoim!$E40:$Z40)=0,0,MAX(0,IF((AQ$6-$E$3)&lt;1,0,IFERROR(LOOKUP(2,1/(Amendoim!$E40:INDEX(Amendoim!$E40:$Z40,MIN(AQ$6-$E$3,22))&lt;&gt;""),Amendoim!$E40:INDEX(Amendoim!$E40:$Z40,MIN(AQ$6-$E$3,22))),0))-IF($G$2,0,IF((AQ$6-$G$3)&lt;1,0,IFERROR(LOOKUP(2,1/(Amendoim!$E40:INDEX(Amendoim!$E40:$Z40,MIN(AQ$6-$G$3,22))&lt;&gt;""),Amendoim!$E40:INDEX(Amendoim!$E40:$Z40,MIN(AQ$6-$G$3,22))),0)))))</f>
        <v>0</v>
      </c>
      <c r="AR42" s="27" t="n">
        <f aca="false">IF(COUNT(Amendoim!$E40:$Z40)=0,0,MAX(0,IF((AR$6-$E$3)&lt;1,0,IFERROR(LOOKUP(2,1/(Amendoim!$E40:INDEX(Amendoim!$E40:$Z40,MIN(AR$6-$E$3,22))&lt;&gt;""),Amendoim!$E40:INDEX(Amendoim!$E40:$Z40,MIN(AR$6-$E$3,22))),0))-IF($G$2,0,IF((AR$6-$G$3)&lt;1,0,IFERROR(LOOKUP(2,1/(Amendoim!$E40:INDEX(Amendoim!$E40:$Z40,MIN(AR$6-$G$3,22))&lt;&gt;""),Amendoim!$E40:INDEX(Amendoim!$E40:$Z40,MIN(AR$6-$G$3,22))),0)))))</f>
        <v>0</v>
      </c>
      <c r="AS42" s="27" t="n">
        <f aca="false">IF(COUNT(Amendoim!$E40:$Z40)=0,0,MAX(0,IF((AS$6-$E$3)&lt;1,0,IFERROR(LOOKUP(2,1/(Amendoim!$E40:INDEX(Amendoim!$E40:$Z40,MIN(AS$6-$E$3,22))&lt;&gt;""),Amendoim!$E40:INDEX(Amendoim!$E40:$Z40,MIN(AS$6-$E$3,22))),0))-IF($G$2,0,IF((AS$6-$G$3)&lt;1,0,IFERROR(LOOKUP(2,1/(Amendoim!$E40:INDEX(Amendoim!$E40:$Z40,MIN(AS$6-$G$3,22))&lt;&gt;""),Amendoim!$E40:INDEX(Amendoim!$E40:$Z40,MIN(AS$6-$G$3,22))),0)))))</f>
        <v>0</v>
      </c>
      <c r="AT42" s="27" t="n">
        <f aca="false">IF(COUNT(Amendoim!$E40:$Z40)=0,0,MAX(0,IF((AT$6-$E$3)&lt;1,0,IFERROR(LOOKUP(2,1/(Amendoim!$E40:INDEX(Amendoim!$E40:$Z40,MIN(AT$6-$E$3,22))&lt;&gt;""),Amendoim!$E40:INDEX(Amendoim!$E40:$Z40,MIN(AT$6-$E$3,22))),0))-IF($G$2,0,IF((AT$6-$G$3)&lt;1,0,IFERROR(LOOKUP(2,1/(Amendoim!$E40:INDEX(Amendoim!$E40:$Z40,MIN(AT$6-$G$3,22))&lt;&gt;""),Amendoim!$E40:INDEX(Amendoim!$E40:$Z40,MIN(AT$6-$G$3,22))),0)))))</f>
        <v>0</v>
      </c>
      <c r="AU42" s="27" t="n">
        <f aca="false">IF(COUNT(Amendoim!$E40:$Z40)=0,0,MAX(0,IF((AU$6-$E$3)&lt;1,0,IFERROR(LOOKUP(2,1/(Amendoim!$E40:INDEX(Amendoim!$E40:$Z40,MIN(AU$6-$E$3,22))&lt;&gt;""),Amendoim!$E40:INDEX(Amendoim!$E40:$Z40,MIN(AU$6-$E$3,22))),0))-IF($G$2,0,IF((AU$6-$G$3)&lt;1,0,IFERROR(LOOKUP(2,1/(Amendoim!$E40:INDEX(Amendoim!$E40:$Z40,MIN(AU$6-$G$3,22))&lt;&gt;""),Amendoim!$E40:INDEX(Amendoim!$E40:$Z40,MIN(AU$6-$G$3,22))),0)))))</f>
        <v>0</v>
      </c>
      <c r="AV42" s="27" t="n">
        <f aca="false">IF(COUNT(Amendoim!$E40:$Z40)=0,0,MAX(0,IF((AV$6-$E$3)&lt;1,0,IFERROR(LOOKUP(2,1/(Amendoim!$E40:INDEX(Amendoim!$E40:$Z40,MIN(AV$6-$E$3,22))&lt;&gt;""),Amendoim!$E40:INDEX(Amendoim!$E40:$Z40,MIN(AV$6-$E$3,22))),0))-IF($G$2,0,IF((AV$6-$G$3)&lt;1,0,IFERROR(LOOKUP(2,1/(Amendoim!$E40:INDEX(Amendoim!$E40:$Z40,MIN(AV$6-$G$3,22))&lt;&gt;""),Amendoim!$E40:INDEX(Amendoim!$E40:$Z40,MIN(AV$6-$G$3,22))),0)))))</f>
        <v>0</v>
      </c>
      <c r="AW42" s="27" t="n">
        <f aca="false">IF(COUNT(Amendoim!$E40:$Z40)=0,0,MAX(0,IF((AW$6-$E$3)&lt;1,0,IFERROR(LOOKUP(2,1/(Amendoim!$E40:INDEX(Amendoim!$E40:$Z40,MIN(AW$6-$E$3,22))&lt;&gt;""),Amendoim!$E40:INDEX(Amendoim!$E40:$Z40,MIN(AW$6-$E$3,22))),0))-IF($G$2,0,IF((AW$6-$G$3)&lt;1,0,IFERROR(LOOKUP(2,1/(Amendoim!$E40:INDEX(Amendoim!$E40:$Z40,MIN(AW$6-$G$3,22))&lt;&gt;""),Amendoim!$E40:INDEX(Amendoim!$E40:$Z40,MIN(AW$6-$G$3,22))),0)))))</f>
        <v>0</v>
      </c>
      <c r="AX42" s="27" t="n">
        <f aca="false">IF(COUNT(Amendoim!$E40:$Z40)=0,0,MAX(0,IF((AX$6-$E$3)&lt;1,0,IFERROR(LOOKUP(2,1/(Amendoim!$E40:INDEX(Amendoim!$E40:$Z40,MIN(AX$6-$E$3,22))&lt;&gt;""),Amendoim!$E40:INDEX(Amendoim!$E40:$Z40,MIN(AX$6-$E$3,22))),0))-IF($G$2,0,IF((AX$6-$G$3)&lt;1,0,IFERROR(LOOKUP(2,1/(Amendoim!$E40:INDEX(Amendoim!$E40:$Z40,MIN(AX$6-$G$3,22))&lt;&gt;""),Amendoim!$E40:INDEX(Amendoim!$E40:$Z40,MIN(AX$6-$G$3,22))),0)))))</f>
        <v>0</v>
      </c>
      <c r="AY42" s="27" t="n">
        <f aca="false">IF(COUNT(Amendoim!$E40:$Z40)=0,0,MAX(0,IF((AY$6-$E$3)&lt;1,0,IFERROR(LOOKUP(2,1/(Amendoim!$E40:INDEX(Amendoim!$E40:$Z40,MIN(AY$6-$E$3,22))&lt;&gt;""),Amendoim!$E40:INDEX(Amendoim!$E40:$Z40,MIN(AY$6-$E$3,22))),0))-IF($G$2,0,IF((AY$6-$G$3)&lt;1,0,IFERROR(LOOKUP(2,1/(Amendoim!$E40:INDEX(Amendoim!$E40:$Z40,MIN(AY$6-$G$3,22))&lt;&gt;""),Amendoim!$E40:INDEX(Amendoim!$E40:$Z40,MIN(AY$6-$G$3,22))),0)))))</f>
        <v>0</v>
      </c>
      <c r="AZ42" s="27" t="n">
        <f aca="false">IF(COUNT(Amendoim!$E40:$Z40)=0,0,MAX(0,IF((AZ$6-$E$3)&lt;1,0,IFERROR(LOOKUP(2,1/(Amendoim!$E40:INDEX(Amendoim!$E40:$Z40,MIN(AZ$6-$E$3,22))&lt;&gt;""),Amendoim!$E40:INDEX(Amendoim!$E40:$Z40,MIN(AZ$6-$E$3,22))),0))-IF($G$2,0,IF((AZ$6-$G$3)&lt;1,0,IFERROR(LOOKUP(2,1/(Amendoim!$E40:INDEX(Amendoim!$E40:$Z40,MIN(AZ$6-$G$3,22))&lt;&gt;""),Amendoim!$E40:INDEX(Amendoim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IF(COUNT(Amendoim!$E41:$Z41)&gt;0,N(Amendoim!$D41),0)</f>
        <v>0</v>
      </c>
      <c r="E43" s="27" t="n">
        <f aca="false">IF(COUNT(Amendoim!$E41:$Z41)=0,0,MAX(0,IF((E$6-$E$3)&lt;1,0,IFERROR(LOOKUP(2,1/(Amendoim!$E41:INDEX(Amendoim!$E41:$Z41,MIN(E$6-$E$3,22))&lt;&gt;""),Amendoim!$E41:INDEX(Amendoim!$E41:$Z41,MIN(E$6-$E$3,22))),0))-IF($G$2,0,IF((E$6-$G$3)&lt;1,0,IFERROR(LOOKUP(2,1/(Amendoim!$E41:INDEX(Amendoim!$E41:$Z41,MIN(E$6-$G$3,22))&lt;&gt;""),Amendoim!$E41:INDEX(Amendoim!$E41:$Z41,MIN(E$6-$G$3,22))),0)))))</f>
        <v>0</v>
      </c>
      <c r="F43" s="27" t="n">
        <f aca="false">IF(COUNT(Amendoim!$E41:$Z41)=0,0,MAX(0,IF((F$6-$E$3)&lt;1,0,IFERROR(LOOKUP(2,1/(Amendoim!$E41:INDEX(Amendoim!$E41:$Z41,MIN(F$6-$E$3,22))&lt;&gt;""),Amendoim!$E41:INDEX(Amendoim!$E41:$Z41,MIN(F$6-$E$3,22))),0))-IF($G$2,0,IF((F$6-$G$3)&lt;1,0,IFERROR(LOOKUP(2,1/(Amendoim!$E41:INDEX(Amendoim!$E41:$Z41,MIN(F$6-$G$3,22))&lt;&gt;""),Amendoim!$E41:INDEX(Amendoim!$E41:$Z41,MIN(F$6-$G$3,22))),0)))))</f>
        <v>0</v>
      </c>
      <c r="G43" s="27" t="n">
        <f aca="false">IF(COUNT(Amendoim!$E41:$Z41)=0,0,MAX(0,IF((G$6-$E$3)&lt;1,0,IFERROR(LOOKUP(2,1/(Amendoim!$E41:INDEX(Amendoim!$E41:$Z41,MIN(G$6-$E$3,22))&lt;&gt;""),Amendoim!$E41:INDEX(Amendoim!$E41:$Z41,MIN(G$6-$E$3,22))),0))-IF($G$2,0,IF((G$6-$G$3)&lt;1,0,IFERROR(LOOKUP(2,1/(Amendoim!$E41:INDEX(Amendoim!$E41:$Z41,MIN(G$6-$G$3,22))&lt;&gt;""),Amendoim!$E41:INDEX(Amendoim!$E41:$Z41,MIN(G$6-$G$3,22))),0)))))</f>
        <v>0</v>
      </c>
      <c r="H43" s="27" t="n">
        <f aca="false">IF(COUNT(Amendoim!$E41:$Z41)=0,0,MAX(0,IF((H$6-$E$3)&lt;1,0,IFERROR(LOOKUP(2,1/(Amendoim!$E41:INDEX(Amendoim!$E41:$Z41,MIN(H$6-$E$3,22))&lt;&gt;""),Amendoim!$E41:INDEX(Amendoim!$E41:$Z41,MIN(H$6-$E$3,22))),0))-IF($G$2,0,IF((H$6-$G$3)&lt;1,0,IFERROR(LOOKUP(2,1/(Amendoim!$E41:INDEX(Amendoim!$E41:$Z41,MIN(H$6-$G$3,22))&lt;&gt;""),Amendoim!$E41:INDEX(Amendoim!$E41:$Z41,MIN(H$6-$G$3,22))),0)))))</f>
        <v>0</v>
      </c>
      <c r="I43" s="27" t="n">
        <f aca="false">IF(COUNT(Amendoim!$E41:$Z41)=0,0,MAX(0,IF((I$6-$E$3)&lt;1,0,IFERROR(LOOKUP(2,1/(Amendoim!$E41:INDEX(Amendoim!$E41:$Z41,MIN(I$6-$E$3,22))&lt;&gt;""),Amendoim!$E41:INDEX(Amendoim!$E41:$Z41,MIN(I$6-$E$3,22))),0))-IF($G$2,0,IF((I$6-$G$3)&lt;1,0,IFERROR(LOOKUP(2,1/(Amendoim!$E41:INDEX(Amendoim!$E41:$Z41,MIN(I$6-$G$3,22))&lt;&gt;""),Amendoim!$E41:INDEX(Amendoim!$E41:$Z41,MIN(I$6-$G$3,22))),0)))))</f>
        <v>0</v>
      </c>
      <c r="J43" s="27" t="n">
        <f aca="false">IF(COUNT(Amendoim!$E41:$Z41)=0,0,MAX(0,IF((J$6-$E$3)&lt;1,0,IFERROR(LOOKUP(2,1/(Amendoim!$E41:INDEX(Amendoim!$E41:$Z41,MIN(J$6-$E$3,22))&lt;&gt;""),Amendoim!$E41:INDEX(Amendoim!$E41:$Z41,MIN(J$6-$E$3,22))),0))-IF($G$2,0,IF((J$6-$G$3)&lt;1,0,IFERROR(LOOKUP(2,1/(Amendoim!$E41:INDEX(Amendoim!$E41:$Z41,MIN(J$6-$G$3,22))&lt;&gt;""),Amendoim!$E41:INDEX(Amendoim!$E41:$Z41,MIN(J$6-$G$3,22))),0)))))</f>
        <v>0</v>
      </c>
      <c r="K43" s="27" t="n">
        <f aca="false">IF(COUNT(Amendoim!$E41:$Z41)=0,0,MAX(0,IF((K$6-$E$3)&lt;1,0,IFERROR(LOOKUP(2,1/(Amendoim!$E41:INDEX(Amendoim!$E41:$Z41,MIN(K$6-$E$3,22))&lt;&gt;""),Amendoim!$E41:INDEX(Amendoim!$E41:$Z41,MIN(K$6-$E$3,22))),0))-IF($G$2,0,IF((K$6-$G$3)&lt;1,0,IFERROR(LOOKUP(2,1/(Amendoim!$E41:INDEX(Amendoim!$E41:$Z41,MIN(K$6-$G$3,22))&lt;&gt;""),Amendoim!$E41:INDEX(Amendoim!$E41:$Z41,MIN(K$6-$G$3,22))),0)))))</f>
        <v>0</v>
      </c>
      <c r="L43" s="27" t="n">
        <f aca="false">IF(COUNT(Amendoim!$E41:$Z41)=0,0,MAX(0,IF((L$6-$E$3)&lt;1,0,IFERROR(LOOKUP(2,1/(Amendoim!$E41:INDEX(Amendoim!$E41:$Z41,MIN(L$6-$E$3,22))&lt;&gt;""),Amendoim!$E41:INDEX(Amendoim!$E41:$Z41,MIN(L$6-$E$3,22))),0))-IF($G$2,0,IF((L$6-$G$3)&lt;1,0,IFERROR(LOOKUP(2,1/(Amendoim!$E41:INDEX(Amendoim!$E41:$Z41,MIN(L$6-$G$3,22))&lt;&gt;""),Amendoim!$E41:INDEX(Amendoim!$E41:$Z41,MIN(L$6-$G$3,22))),0)))))</f>
        <v>0</v>
      </c>
      <c r="M43" s="27" t="n">
        <f aca="false">IF(COUNT(Amendoim!$E41:$Z41)=0,0,MAX(0,IF((M$6-$E$3)&lt;1,0,IFERROR(LOOKUP(2,1/(Amendoim!$E41:INDEX(Amendoim!$E41:$Z41,MIN(M$6-$E$3,22))&lt;&gt;""),Amendoim!$E41:INDEX(Amendoim!$E41:$Z41,MIN(M$6-$E$3,22))),0))-IF($G$2,0,IF((M$6-$G$3)&lt;1,0,IFERROR(LOOKUP(2,1/(Amendoim!$E41:INDEX(Amendoim!$E41:$Z41,MIN(M$6-$G$3,22))&lt;&gt;""),Amendoim!$E41:INDEX(Amendoim!$E41:$Z41,MIN(M$6-$G$3,22))),0)))))</f>
        <v>0</v>
      </c>
      <c r="N43" s="27" t="n">
        <f aca="false">IF(COUNT(Amendoim!$E41:$Z41)=0,0,MAX(0,IF((N$6-$E$3)&lt;1,0,IFERROR(LOOKUP(2,1/(Amendoim!$E41:INDEX(Amendoim!$E41:$Z41,MIN(N$6-$E$3,22))&lt;&gt;""),Amendoim!$E41:INDEX(Amendoim!$E41:$Z41,MIN(N$6-$E$3,22))),0))-IF($G$2,0,IF((N$6-$G$3)&lt;1,0,IFERROR(LOOKUP(2,1/(Amendoim!$E41:INDEX(Amendoim!$E41:$Z41,MIN(N$6-$G$3,22))&lt;&gt;""),Amendoim!$E41:INDEX(Amendoim!$E41:$Z41,MIN(N$6-$G$3,22))),0)))))</f>
        <v>0</v>
      </c>
      <c r="O43" s="27" t="n">
        <f aca="false">IF(COUNT(Amendoim!$E41:$Z41)=0,0,MAX(0,IF((O$6-$E$3)&lt;1,0,IFERROR(LOOKUP(2,1/(Amendoim!$E41:INDEX(Amendoim!$E41:$Z41,MIN(O$6-$E$3,22))&lt;&gt;""),Amendoim!$E41:INDEX(Amendoim!$E41:$Z41,MIN(O$6-$E$3,22))),0))-IF($G$2,0,IF((O$6-$G$3)&lt;1,0,IFERROR(LOOKUP(2,1/(Amendoim!$E41:INDEX(Amendoim!$E41:$Z41,MIN(O$6-$G$3,22))&lt;&gt;""),Amendoim!$E41:INDEX(Amendoim!$E41:$Z41,MIN(O$6-$G$3,22))),0)))))</f>
        <v>0</v>
      </c>
      <c r="P43" s="27" t="n">
        <f aca="false">IF(COUNT(Amendoim!$E41:$Z41)=0,0,MAX(0,IF((P$6-$E$3)&lt;1,0,IFERROR(LOOKUP(2,1/(Amendoim!$E41:INDEX(Amendoim!$E41:$Z41,MIN(P$6-$E$3,22))&lt;&gt;""),Amendoim!$E41:INDEX(Amendoim!$E41:$Z41,MIN(P$6-$E$3,22))),0))-IF($G$2,0,IF((P$6-$G$3)&lt;1,0,IFERROR(LOOKUP(2,1/(Amendoim!$E41:INDEX(Amendoim!$E41:$Z41,MIN(P$6-$G$3,22))&lt;&gt;""),Amendoim!$E41:INDEX(Amendoim!$E41:$Z41,MIN(P$6-$G$3,22))),0)))))</f>
        <v>0</v>
      </c>
      <c r="Q43" s="27" t="n">
        <f aca="false">IF(COUNT(Amendoim!$E41:$Z41)=0,0,MAX(0,IF((Q$6-$E$3)&lt;1,0,IFERROR(LOOKUP(2,1/(Amendoim!$E41:INDEX(Amendoim!$E41:$Z41,MIN(Q$6-$E$3,22))&lt;&gt;""),Amendoim!$E41:INDEX(Amendoim!$E41:$Z41,MIN(Q$6-$E$3,22))),0))-IF($G$2,0,IF((Q$6-$G$3)&lt;1,0,IFERROR(LOOKUP(2,1/(Amendoim!$E41:INDEX(Amendoim!$E41:$Z41,MIN(Q$6-$G$3,22))&lt;&gt;""),Amendoim!$E41:INDEX(Amendoim!$E41:$Z41,MIN(Q$6-$G$3,22))),0)))))</f>
        <v>0</v>
      </c>
      <c r="R43" s="27" t="n">
        <f aca="false">IF(COUNT(Amendoim!$E41:$Z41)=0,0,MAX(0,IF((R$6-$E$3)&lt;1,0,IFERROR(LOOKUP(2,1/(Amendoim!$E41:INDEX(Amendoim!$E41:$Z41,MIN(R$6-$E$3,22))&lt;&gt;""),Amendoim!$E41:INDEX(Amendoim!$E41:$Z41,MIN(R$6-$E$3,22))),0))-IF($G$2,0,IF((R$6-$G$3)&lt;1,0,IFERROR(LOOKUP(2,1/(Amendoim!$E41:INDEX(Amendoim!$E41:$Z41,MIN(R$6-$G$3,22))&lt;&gt;""),Amendoim!$E41:INDEX(Amendoim!$E41:$Z41,MIN(R$6-$G$3,22))),0)))))</f>
        <v>0</v>
      </c>
      <c r="S43" s="27" t="n">
        <f aca="false">IF(COUNT(Amendoim!$E41:$Z41)=0,0,MAX(0,IF((S$6-$E$3)&lt;1,0,IFERROR(LOOKUP(2,1/(Amendoim!$E41:INDEX(Amendoim!$E41:$Z41,MIN(S$6-$E$3,22))&lt;&gt;""),Amendoim!$E41:INDEX(Amendoim!$E41:$Z41,MIN(S$6-$E$3,22))),0))-IF($G$2,0,IF((S$6-$G$3)&lt;1,0,IFERROR(LOOKUP(2,1/(Amendoim!$E41:INDEX(Amendoim!$E41:$Z41,MIN(S$6-$G$3,22))&lt;&gt;""),Amendoim!$E41:INDEX(Amendoim!$E41:$Z41,MIN(S$6-$G$3,22))),0)))))</f>
        <v>0</v>
      </c>
      <c r="T43" s="27" t="n">
        <f aca="false">IF(COUNT(Amendoim!$E41:$Z41)=0,0,MAX(0,IF((T$6-$E$3)&lt;1,0,IFERROR(LOOKUP(2,1/(Amendoim!$E41:INDEX(Amendoim!$E41:$Z41,MIN(T$6-$E$3,22))&lt;&gt;""),Amendoim!$E41:INDEX(Amendoim!$E41:$Z41,MIN(T$6-$E$3,22))),0))-IF($G$2,0,IF((T$6-$G$3)&lt;1,0,IFERROR(LOOKUP(2,1/(Amendoim!$E41:INDEX(Amendoim!$E41:$Z41,MIN(T$6-$G$3,22))&lt;&gt;""),Amendoim!$E41:INDEX(Amendoim!$E41:$Z41,MIN(T$6-$G$3,22))),0)))))</f>
        <v>0</v>
      </c>
      <c r="U43" s="27" t="n">
        <f aca="false">IF(COUNT(Amendoim!$E41:$Z41)=0,0,MAX(0,IF((U$6-$E$3)&lt;1,0,IFERROR(LOOKUP(2,1/(Amendoim!$E41:INDEX(Amendoim!$E41:$Z41,MIN(U$6-$E$3,22))&lt;&gt;""),Amendoim!$E41:INDEX(Amendoim!$E41:$Z41,MIN(U$6-$E$3,22))),0))-IF($G$2,0,IF((U$6-$G$3)&lt;1,0,IFERROR(LOOKUP(2,1/(Amendoim!$E41:INDEX(Amendoim!$E41:$Z41,MIN(U$6-$G$3,22))&lt;&gt;""),Amendoim!$E41:INDEX(Amendoim!$E41:$Z41,MIN(U$6-$G$3,22))),0)))))</f>
        <v>0</v>
      </c>
      <c r="V43" s="27" t="n">
        <f aca="false">IF(COUNT(Amendoim!$E41:$Z41)=0,0,MAX(0,IF((V$6-$E$3)&lt;1,0,IFERROR(LOOKUP(2,1/(Amendoim!$E41:INDEX(Amendoim!$E41:$Z41,MIN(V$6-$E$3,22))&lt;&gt;""),Amendoim!$E41:INDEX(Amendoim!$E41:$Z41,MIN(V$6-$E$3,22))),0))-IF($G$2,0,IF((V$6-$G$3)&lt;1,0,IFERROR(LOOKUP(2,1/(Amendoim!$E41:INDEX(Amendoim!$E41:$Z41,MIN(V$6-$G$3,22))&lt;&gt;""),Amendoim!$E41:INDEX(Amendoim!$E41:$Z41,MIN(V$6-$G$3,22))),0)))))</f>
        <v>0</v>
      </c>
      <c r="W43" s="27" t="n">
        <f aca="false">IF(COUNT(Amendoim!$E41:$Z41)=0,0,MAX(0,IF((W$6-$E$3)&lt;1,0,IFERROR(LOOKUP(2,1/(Amendoim!$E41:INDEX(Amendoim!$E41:$Z41,MIN(W$6-$E$3,22))&lt;&gt;""),Amendoim!$E41:INDEX(Amendoim!$E41:$Z41,MIN(W$6-$E$3,22))),0))-IF($G$2,0,IF((W$6-$G$3)&lt;1,0,IFERROR(LOOKUP(2,1/(Amendoim!$E41:INDEX(Amendoim!$E41:$Z41,MIN(W$6-$G$3,22))&lt;&gt;""),Amendoim!$E41:INDEX(Amendoim!$E41:$Z41,MIN(W$6-$G$3,22))),0)))))</f>
        <v>0</v>
      </c>
      <c r="X43" s="27" t="n">
        <f aca="false">IF(COUNT(Amendoim!$E41:$Z41)=0,0,MAX(0,IF((X$6-$E$3)&lt;1,0,IFERROR(LOOKUP(2,1/(Amendoim!$E41:INDEX(Amendoim!$E41:$Z41,MIN(X$6-$E$3,22))&lt;&gt;""),Amendoim!$E41:INDEX(Amendoim!$E41:$Z41,MIN(X$6-$E$3,22))),0))-IF($G$2,0,IF((X$6-$G$3)&lt;1,0,IFERROR(LOOKUP(2,1/(Amendoim!$E41:INDEX(Amendoim!$E41:$Z41,MIN(X$6-$G$3,22))&lt;&gt;""),Amendoim!$E41:INDEX(Amendoim!$E41:$Z41,MIN(X$6-$G$3,22))),0)))))</f>
        <v>0</v>
      </c>
      <c r="Y43" s="27" t="n">
        <f aca="false">IF(COUNT(Amendoim!$E41:$Z41)=0,0,MAX(0,IF((Y$6-$E$3)&lt;1,0,IFERROR(LOOKUP(2,1/(Amendoim!$E41:INDEX(Amendoim!$E41:$Z41,MIN(Y$6-$E$3,22))&lt;&gt;""),Amendoim!$E41:INDEX(Amendoim!$E41:$Z41,MIN(Y$6-$E$3,22))),0))-IF($G$2,0,IF((Y$6-$G$3)&lt;1,0,IFERROR(LOOKUP(2,1/(Amendoim!$E41:INDEX(Amendoim!$E41:$Z41,MIN(Y$6-$G$3,22))&lt;&gt;""),Amendoim!$E41:INDEX(Amendoim!$E41:$Z41,MIN(Y$6-$G$3,22))),0)))))</f>
        <v>0</v>
      </c>
      <c r="Z43" s="27" t="n">
        <f aca="false">IF(COUNT(Amendoim!$E41:$Z41)=0,0,MAX(0,IF((Z$6-$E$3)&lt;1,0,IFERROR(LOOKUP(2,1/(Amendoim!$E41:INDEX(Amendoim!$E41:$Z41,MIN(Z$6-$E$3,22))&lt;&gt;""),Amendoim!$E41:INDEX(Amendoim!$E41:$Z41,MIN(Z$6-$E$3,22))),0))-IF($G$2,0,IF((Z$6-$G$3)&lt;1,0,IFERROR(LOOKUP(2,1/(Amendoim!$E41:INDEX(Amendoim!$E41:$Z41,MIN(Z$6-$G$3,22))&lt;&gt;""),Amendoim!$E41:INDEX(Amendoim!$E41:$Z41,MIN(Z$6-$G$3,22))),0)))))</f>
        <v>0</v>
      </c>
      <c r="AA43" s="27" t="n">
        <f aca="false">IF(COUNT(Amendoim!$E41:$Z41)=0,0,MAX(0,IF((AA$6-$E$3)&lt;1,0,IFERROR(LOOKUP(2,1/(Amendoim!$E41:INDEX(Amendoim!$E41:$Z41,MIN(AA$6-$E$3,22))&lt;&gt;""),Amendoim!$E41:INDEX(Amendoim!$E41:$Z41,MIN(AA$6-$E$3,22))),0))-IF($G$2,0,IF((AA$6-$G$3)&lt;1,0,IFERROR(LOOKUP(2,1/(Amendoim!$E41:INDEX(Amendoim!$E41:$Z41,MIN(AA$6-$G$3,22))&lt;&gt;""),Amendoim!$E41:INDEX(Amendoim!$E41:$Z41,MIN(AA$6-$G$3,22))),0)))))</f>
        <v>0</v>
      </c>
      <c r="AB43" s="27" t="n">
        <f aca="false">IF(COUNT(Amendoim!$E41:$Z41)=0,0,MAX(0,IF((AB$6-$E$3)&lt;1,0,IFERROR(LOOKUP(2,1/(Amendoim!$E41:INDEX(Amendoim!$E41:$Z41,MIN(AB$6-$E$3,22))&lt;&gt;""),Amendoim!$E41:INDEX(Amendoim!$E41:$Z41,MIN(AB$6-$E$3,22))),0))-IF($G$2,0,IF((AB$6-$G$3)&lt;1,0,IFERROR(LOOKUP(2,1/(Amendoim!$E41:INDEX(Amendoim!$E41:$Z41,MIN(AB$6-$G$3,22))&lt;&gt;""),Amendoim!$E41:INDEX(Amendoim!$E41:$Z41,MIN(AB$6-$G$3,22))),0)))))</f>
        <v>0</v>
      </c>
      <c r="AC43" s="27" t="n">
        <f aca="false">IF(COUNT(Amendoim!$E41:$Z41)=0,0,MAX(0,IF((AC$6-$E$3)&lt;1,0,IFERROR(LOOKUP(2,1/(Amendoim!$E41:INDEX(Amendoim!$E41:$Z41,MIN(AC$6-$E$3,22))&lt;&gt;""),Amendoim!$E41:INDEX(Amendoim!$E41:$Z41,MIN(AC$6-$E$3,22))),0))-IF($G$2,0,IF((AC$6-$G$3)&lt;1,0,IFERROR(LOOKUP(2,1/(Amendoim!$E41:INDEX(Amendoim!$E41:$Z41,MIN(AC$6-$G$3,22))&lt;&gt;""),Amendoim!$E41:INDEX(Amendoim!$E41:$Z41,MIN(AC$6-$G$3,22))),0)))))</f>
        <v>0</v>
      </c>
      <c r="AD43" s="27" t="n">
        <f aca="false">IF(COUNT(Amendoim!$E41:$Z41)=0,0,MAX(0,IF((AD$6-$E$3)&lt;1,0,IFERROR(LOOKUP(2,1/(Amendoim!$E41:INDEX(Amendoim!$E41:$Z41,MIN(AD$6-$E$3,22))&lt;&gt;""),Amendoim!$E41:INDEX(Amendoim!$E41:$Z41,MIN(AD$6-$E$3,22))),0))-IF($G$2,0,IF((AD$6-$G$3)&lt;1,0,IFERROR(LOOKUP(2,1/(Amendoim!$E41:INDEX(Amendoim!$E41:$Z41,MIN(AD$6-$G$3,22))&lt;&gt;""),Amendoim!$E41:INDEX(Amendoim!$E41:$Z41,MIN(AD$6-$G$3,22))),0)))))</f>
        <v>0</v>
      </c>
      <c r="AE43" s="27" t="n">
        <f aca="false">IF(COUNT(Amendoim!$E41:$Z41)=0,0,MAX(0,IF((AE$6-$E$3)&lt;1,0,IFERROR(LOOKUP(2,1/(Amendoim!$E41:INDEX(Amendoim!$E41:$Z41,MIN(AE$6-$E$3,22))&lt;&gt;""),Amendoim!$E41:INDEX(Amendoim!$E41:$Z41,MIN(AE$6-$E$3,22))),0))-IF($G$2,0,IF((AE$6-$G$3)&lt;1,0,IFERROR(LOOKUP(2,1/(Amendoim!$E41:INDEX(Amendoim!$E41:$Z41,MIN(AE$6-$G$3,22))&lt;&gt;""),Amendoim!$E41:INDEX(Amendoim!$E41:$Z41,MIN(AE$6-$G$3,22))),0)))))</f>
        <v>0</v>
      </c>
      <c r="AF43" s="27" t="n">
        <f aca="false">IF(COUNT(Amendoim!$E41:$Z41)=0,0,MAX(0,IF((AF$6-$E$3)&lt;1,0,IFERROR(LOOKUP(2,1/(Amendoim!$E41:INDEX(Amendoim!$E41:$Z41,MIN(AF$6-$E$3,22))&lt;&gt;""),Amendoim!$E41:INDEX(Amendoim!$E41:$Z41,MIN(AF$6-$E$3,22))),0))-IF($G$2,0,IF((AF$6-$G$3)&lt;1,0,IFERROR(LOOKUP(2,1/(Amendoim!$E41:INDEX(Amendoim!$E41:$Z41,MIN(AF$6-$G$3,22))&lt;&gt;""),Amendoim!$E41:INDEX(Amendoim!$E41:$Z41,MIN(AF$6-$G$3,22))),0)))))</f>
        <v>0</v>
      </c>
      <c r="AG43" s="27" t="n">
        <f aca="false">IF(COUNT(Amendoim!$E41:$Z41)=0,0,MAX(0,IF((AG$6-$E$3)&lt;1,0,IFERROR(LOOKUP(2,1/(Amendoim!$E41:INDEX(Amendoim!$E41:$Z41,MIN(AG$6-$E$3,22))&lt;&gt;""),Amendoim!$E41:INDEX(Amendoim!$E41:$Z41,MIN(AG$6-$E$3,22))),0))-IF($G$2,0,IF((AG$6-$G$3)&lt;1,0,IFERROR(LOOKUP(2,1/(Amendoim!$E41:INDEX(Amendoim!$E41:$Z41,MIN(AG$6-$G$3,22))&lt;&gt;""),Amendoim!$E41:INDEX(Amendoim!$E41:$Z41,MIN(AG$6-$G$3,22))),0)))))</f>
        <v>0</v>
      </c>
      <c r="AH43" s="27" t="n">
        <f aca="false">IF(COUNT(Amendoim!$E41:$Z41)=0,0,MAX(0,IF((AH$6-$E$3)&lt;1,0,IFERROR(LOOKUP(2,1/(Amendoim!$E41:INDEX(Amendoim!$E41:$Z41,MIN(AH$6-$E$3,22))&lt;&gt;""),Amendoim!$E41:INDEX(Amendoim!$E41:$Z41,MIN(AH$6-$E$3,22))),0))-IF($G$2,0,IF((AH$6-$G$3)&lt;1,0,IFERROR(LOOKUP(2,1/(Amendoim!$E41:INDEX(Amendoim!$E41:$Z41,MIN(AH$6-$G$3,22))&lt;&gt;""),Amendoim!$E41:INDEX(Amendoim!$E41:$Z41,MIN(AH$6-$G$3,22))),0)))))</f>
        <v>0</v>
      </c>
      <c r="AI43" s="27" t="n">
        <f aca="false">IF(COUNT(Amendoim!$E41:$Z41)=0,0,MAX(0,IF((AI$6-$E$3)&lt;1,0,IFERROR(LOOKUP(2,1/(Amendoim!$E41:INDEX(Amendoim!$E41:$Z41,MIN(AI$6-$E$3,22))&lt;&gt;""),Amendoim!$E41:INDEX(Amendoim!$E41:$Z41,MIN(AI$6-$E$3,22))),0))-IF($G$2,0,IF((AI$6-$G$3)&lt;1,0,IFERROR(LOOKUP(2,1/(Amendoim!$E41:INDEX(Amendoim!$E41:$Z41,MIN(AI$6-$G$3,22))&lt;&gt;""),Amendoim!$E41:INDEX(Amendoim!$E41:$Z41,MIN(AI$6-$G$3,22))),0)))))</f>
        <v>0</v>
      </c>
      <c r="AJ43" s="27" t="n">
        <f aca="false">IF(COUNT(Amendoim!$E41:$Z41)=0,0,MAX(0,IF((AJ$6-$E$3)&lt;1,0,IFERROR(LOOKUP(2,1/(Amendoim!$E41:INDEX(Amendoim!$E41:$Z41,MIN(AJ$6-$E$3,22))&lt;&gt;""),Amendoim!$E41:INDEX(Amendoim!$E41:$Z41,MIN(AJ$6-$E$3,22))),0))-IF($G$2,0,IF((AJ$6-$G$3)&lt;1,0,IFERROR(LOOKUP(2,1/(Amendoim!$E41:INDEX(Amendoim!$E41:$Z41,MIN(AJ$6-$G$3,22))&lt;&gt;""),Amendoim!$E41:INDEX(Amendoim!$E41:$Z41,MIN(AJ$6-$G$3,22))),0)))))</f>
        <v>0</v>
      </c>
      <c r="AK43" s="27" t="n">
        <f aca="false">IF(COUNT(Amendoim!$E41:$Z41)=0,0,MAX(0,IF((AK$6-$E$3)&lt;1,0,IFERROR(LOOKUP(2,1/(Amendoim!$E41:INDEX(Amendoim!$E41:$Z41,MIN(AK$6-$E$3,22))&lt;&gt;""),Amendoim!$E41:INDEX(Amendoim!$E41:$Z41,MIN(AK$6-$E$3,22))),0))-IF($G$2,0,IF((AK$6-$G$3)&lt;1,0,IFERROR(LOOKUP(2,1/(Amendoim!$E41:INDEX(Amendoim!$E41:$Z41,MIN(AK$6-$G$3,22))&lt;&gt;""),Amendoim!$E41:INDEX(Amendoim!$E41:$Z41,MIN(AK$6-$G$3,22))),0)))))</f>
        <v>0</v>
      </c>
      <c r="AL43" s="27" t="n">
        <f aca="false">IF(COUNT(Amendoim!$E41:$Z41)=0,0,MAX(0,IF((AL$6-$E$3)&lt;1,0,IFERROR(LOOKUP(2,1/(Amendoim!$E41:INDEX(Amendoim!$E41:$Z41,MIN(AL$6-$E$3,22))&lt;&gt;""),Amendoim!$E41:INDEX(Amendoim!$E41:$Z41,MIN(AL$6-$E$3,22))),0))-IF($G$2,0,IF((AL$6-$G$3)&lt;1,0,IFERROR(LOOKUP(2,1/(Amendoim!$E41:INDEX(Amendoim!$E41:$Z41,MIN(AL$6-$G$3,22))&lt;&gt;""),Amendoim!$E41:INDEX(Amendoim!$E41:$Z41,MIN(AL$6-$G$3,22))),0)))))</f>
        <v>0</v>
      </c>
      <c r="AM43" s="27" t="n">
        <f aca="false">IF(COUNT(Amendoim!$E41:$Z41)=0,0,MAX(0,IF((AM$6-$E$3)&lt;1,0,IFERROR(LOOKUP(2,1/(Amendoim!$E41:INDEX(Amendoim!$E41:$Z41,MIN(AM$6-$E$3,22))&lt;&gt;""),Amendoim!$E41:INDEX(Amendoim!$E41:$Z41,MIN(AM$6-$E$3,22))),0))-IF($G$2,0,IF((AM$6-$G$3)&lt;1,0,IFERROR(LOOKUP(2,1/(Amendoim!$E41:INDEX(Amendoim!$E41:$Z41,MIN(AM$6-$G$3,22))&lt;&gt;""),Amendoim!$E41:INDEX(Amendoim!$E41:$Z41,MIN(AM$6-$G$3,22))),0)))))</f>
        <v>0</v>
      </c>
      <c r="AN43" s="27" t="n">
        <f aca="false">IF(COUNT(Amendoim!$E41:$Z41)=0,0,MAX(0,IF((AN$6-$E$3)&lt;1,0,IFERROR(LOOKUP(2,1/(Amendoim!$E41:INDEX(Amendoim!$E41:$Z41,MIN(AN$6-$E$3,22))&lt;&gt;""),Amendoim!$E41:INDEX(Amendoim!$E41:$Z41,MIN(AN$6-$E$3,22))),0))-IF($G$2,0,IF((AN$6-$G$3)&lt;1,0,IFERROR(LOOKUP(2,1/(Amendoim!$E41:INDEX(Amendoim!$E41:$Z41,MIN(AN$6-$G$3,22))&lt;&gt;""),Amendoim!$E41:INDEX(Amendoim!$E41:$Z41,MIN(AN$6-$G$3,22))),0)))))</f>
        <v>0</v>
      </c>
      <c r="AO43" s="27" t="n">
        <f aca="false">IF(COUNT(Amendoim!$E41:$Z41)=0,0,MAX(0,IF((AO$6-$E$3)&lt;1,0,IFERROR(LOOKUP(2,1/(Amendoim!$E41:INDEX(Amendoim!$E41:$Z41,MIN(AO$6-$E$3,22))&lt;&gt;""),Amendoim!$E41:INDEX(Amendoim!$E41:$Z41,MIN(AO$6-$E$3,22))),0))-IF($G$2,0,IF((AO$6-$G$3)&lt;1,0,IFERROR(LOOKUP(2,1/(Amendoim!$E41:INDEX(Amendoim!$E41:$Z41,MIN(AO$6-$G$3,22))&lt;&gt;""),Amendoim!$E41:INDEX(Amendoim!$E41:$Z41,MIN(AO$6-$G$3,22))),0)))))</f>
        <v>0</v>
      </c>
      <c r="AP43" s="27" t="n">
        <f aca="false">IF(COUNT(Amendoim!$E41:$Z41)=0,0,MAX(0,IF((AP$6-$E$3)&lt;1,0,IFERROR(LOOKUP(2,1/(Amendoim!$E41:INDEX(Amendoim!$E41:$Z41,MIN(AP$6-$E$3,22))&lt;&gt;""),Amendoim!$E41:INDEX(Amendoim!$E41:$Z41,MIN(AP$6-$E$3,22))),0))-IF($G$2,0,IF((AP$6-$G$3)&lt;1,0,IFERROR(LOOKUP(2,1/(Amendoim!$E41:INDEX(Amendoim!$E41:$Z41,MIN(AP$6-$G$3,22))&lt;&gt;""),Amendoim!$E41:INDEX(Amendoim!$E41:$Z41,MIN(AP$6-$G$3,22))),0)))))</f>
        <v>0</v>
      </c>
      <c r="AQ43" s="27" t="n">
        <f aca="false">IF(COUNT(Amendoim!$E41:$Z41)=0,0,MAX(0,IF((AQ$6-$E$3)&lt;1,0,IFERROR(LOOKUP(2,1/(Amendoim!$E41:INDEX(Amendoim!$E41:$Z41,MIN(AQ$6-$E$3,22))&lt;&gt;""),Amendoim!$E41:INDEX(Amendoim!$E41:$Z41,MIN(AQ$6-$E$3,22))),0))-IF($G$2,0,IF((AQ$6-$G$3)&lt;1,0,IFERROR(LOOKUP(2,1/(Amendoim!$E41:INDEX(Amendoim!$E41:$Z41,MIN(AQ$6-$G$3,22))&lt;&gt;""),Amendoim!$E41:INDEX(Amendoim!$E41:$Z41,MIN(AQ$6-$G$3,22))),0)))))</f>
        <v>0</v>
      </c>
      <c r="AR43" s="27" t="n">
        <f aca="false">IF(COUNT(Amendoim!$E41:$Z41)=0,0,MAX(0,IF((AR$6-$E$3)&lt;1,0,IFERROR(LOOKUP(2,1/(Amendoim!$E41:INDEX(Amendoim!$E41:$Z41,MIN(AR$6-$E$3,22))&lt;&gt;""),Amendoim!$E41:INDEX(Amendoim!$E41:$Z41,MIN(AR$6-$E$3,22))),0))-IF($G$2,0,IF((AR$6-$G$3)&lt;1,0,IFERROR(LOOKUP(2,1/(Amendoim!$E41:INDEX(Amendoim!$E41:$Z41,MIN(AR$6-$G$3,22))&lt;&gt;""),Amendoim!$E41:INDEX(Amendoim!$E41:$Z41,MIN(AR$6-$G$3,22))),0)))))</f>
        <v>0</v>
      </c>
      <c r="AS43" s="27" t="n">
        <f aca="false">IF(COUNT(Amendoim!$E41:$Z41)=0,0,MAX(0,IF((AS$6-$E$3)&lt;1,0,IFERROR(LOOKUP(2,1/(Amendoim!$E41:INDEX(Amendoim!$E41:$Z41,MIN(AS$6-$E$3,22))&lt;&gt;""),Amendoim!$E41:INDEX(Amendoim!$E41:$Z41,MIN(AS$6-$E$3,22))),0))-IF($G$2,0,IF((AS$6-$G$3)&lt;1,0,IFERROR(LOOKUP(2,1/(Amendoim!$E41:INDEX(Amendoim!$E41:$Z41,MIN(AS$6-$G$3,22))&lt;&gt;""),Amendoim!$E41:INDEX(Amendoim!$E41:$Z41,MIN(AS$6-$G$3,22))),0)))))</f>
        <v>0</v>
      </c>
      <c r="AT43" s="27" t="n">
        <f aca="false">IF(COUNT(Amendoim!$E41:$Z41)=0,0,MAX(0,IF((AT$6-$E$3)&lt;1,0,IFERROR(LOOKUP(2,1/(Amendoim!$E41:INDEX(Amendoim!$E41:$Z41,MIN(AT$6-$E$3,22))&lt;&gt;""),Amendoim!$E41:INDEX(Amendoim!$E41:$Z41,MIN(AT$6-$E$3,22))),0))-IF($G$2,0,IF((AT$6-$G$3)&lt;1,0,IFERROR(LOOKUP(2,1/(Amendoim!$E41:INDEX(Amendoim!$E41:$Z41,MIN(AT$6-$G$3,22))&lt;&gt;""),Amendoim!$E41:INDEX(Amendoim!$E41:$Z41,MIN(AT$6-$G$3,22))),0)))))</f>
        <v>0</v>
      </c>
      <c r="AU43" s="27" t="n">
        <f aca="false">IF(COUNT(Amendoim!$E41:$Z41)=0,0,MAX(0,IF((AU$6-$E$3)&lt;1,0,IFERROR(LOOKUP(2,1/(Amendoim!$E41:INDEX(Amendoim!$E41:$Z41,MIN(AU$6-$E$3,22))&lt;&gt;""),Amendoim!$E41:INDEX(Amendoim!$E41:$Z41,MIN(AU$6-$E$3,22))),0))-IF($G$2,0,IF((AU$6-$G$3)&lt;1,0,IFERROR(LOOKUP(2,1/(Amendoim!$E41:INDEX(Amendoim!$E41:$Z41,MIN(AU$6-$G$3,22))&lt;&gt;""),Amendoim!$E41:INDEX(Amendoim!$E41:$Z41,MIN(AU$6-$G$3,22))),0)))))</f>
        <v>0</v>
      </c>
      <c r="AV43" s="27" t="n">
        <f aca="false">IF(COUNT(Amendoim!$E41:$Z41)=0,0,MAX(0,IF((AV$6-$E$3)&lt;1,0,IFERROR(LOOKUP(2,1/(Amendoim!$E41:INDEX(Amendoim!$E41:$Z41,MIN(AV$6-$E$3,22))&lt;&gt;""),Amendoim!$E41:INDEX(Amendoim!$E41:$Z41,MIN(AV$6-$E$3,22))),0))-IF($G$2,0,IF((AV$6-$G$3)&lt;1,0,IFERROR(LOOKUP(2,1/(Amendoim!$E41:INDEX(Amendoim!$E41:$Z41,MIN(AV$6-$G$3,22))&lt;&gt;""),Amendoim!$E41:INDEX(Amendoim!$E41:$Z41,MIN(AV$6-$G$3,22))),0)))))</f>
        <v>0</v>
      </c>
      <c r="AW43" s="27" t="n">
        <f aca="false">IF(COUNT(Amendoim!$E41:$Z41)=0,0,MAX(0,IF((AW$6-$E$3)&lt;1,0,IFERROR(LOOKUP(2,1/(Amendoim!$E41:INDEX(Amendoim!$E41:$Z41,MIN(AW$6-$E$3,22))&lt;&gt;""),Amendoim!$E41:INDEX(Amendoim!$E41:$Z41,MIN(AW$6-$E$3,22))),0))-IF($G$2,0,IF((AW$6-$G$3)&lt;1,0,IFERROR(LOOKUP(2,1/(Amendoim!$E41:INDEX(Amendoim!$E41:$Z41,MIN(AW$6-$G$3,22))&lt;&gt;""),Amendoim!$E41:INDEX(Amendoim!$E41:$Z41,MIN(AW$6-$G$3,22))),0)))))</f>
        <v>0</v>
      </c>
      <c r="AX43" s="27" t="n">
        <f aca="false">IF(COUNT(Amendoim!$E41:$Z41)=0,0,MAX(0,IF((AX$6-$E$3)&lt;1,0,IFERROR(LOOKUP(2,1/(Amendoim!$E41:INDEX(Amendoim!$E41:$Z41,MIN(AX$6-$E$3,22))&lt;&gt;""),Amendoim!$E41:INDEX(Amendoim!$E41:$Z41,MIN(AX$6-$E$3,22))),0))-IF($G$2,0,IF((AX$6-$G$3)&lt;1,0,IFERROR(LOOKUP(2,1/(Amendoim!$E41:INDEX(Amendoim!$E41:$Z41,MIN(AX$6-$G$3,22))&lt;&gt;""),Amendoim!$E41:INDEX(Amendoim!$E41:$Z41,MIN(AX$6-$G$3,22))),0)))))</f>
        <v>0</v>
      </c>
      <c r="AY43" s="27" t="n">
        <f aca="false">IF(COUNT(Amendoim!$E41:$Z41)=0,0,MAX(0,IF((AY$6-$E$3)&lt;1,0,IFERROR(LOOKUP(2,1/(Amendoim!$E41:INDEX(Amendoim!$E41:$Z41,MIN(AY$6-$E$3,22))&lt;&gt;""),Amendoim!$E41:INDEX(Amendoim!$E41:$Z41,MIN(AY$6-$E$3,22))),0))-IF($G$2,0,IF((AY$6-$G$3)&lt;1,0,IFERROR(LOOKUP(2,1/(Amendoim!$E41:INDEX(Amendoim!$E41:$Z41,MIN(AY$6-$G$3,22))&lt;&gt;""),Amendoim!$E41:INDEX(Amendoim!$E41:$Z41,MIN(AY$6-$G$3,22))),0)))))</f>
        <v>0</v>
      </c>
      <c r="AZ43" s="27" t="n">
        <f aca="false">IF(COUNT(Amendoim!$E41:$Z41)=0,0,MAX(0,IF((AZ$6-$E$3)&lt;1,0,IFERROR(LOOKUP(2,1/(Amendoim!$E41:INDEX(Amendoim!$E41:$Z41,MIN(AZ$6-$E$3,22))&lt;&gt;""),Amendoim!$E41:INDEX(Amendoim!$E41:$Z41,MIN(AZ$6-$E$3,22))),0))-IF($G$2,0,IF((AZ$6-$G$3)&lt;1,0,IFERROR(LOOKUP(2,1/(Amendoim!$E41:INDEX(Amendoim!$E41:$Z41,MIN(AZ$6-$G$3,22))&lt;&gt;""),Amendoim!$E41:INDEX(Amendoim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IF(COUNT(Amendoim!$E42:$Z42)&gt;0,N(Amendoim!$D42),0)</f>
        <v>0</v>
      </c>
      <c r="E44" s="27" t="n">
        <f aca="false">IF(COUNT(Amendoim!$E42:$Z42)=0,0,MAX(0,IF((E$6-$E$3)&lt;1,0,IFERROR(LOOKUP(2,1/(Amendoim!$E42:INDEX(Amendoim!$E42:$Z42,MIN(E$6-$E$3,22))&lt;&gt;""),Amendoim!$E42:INDEX(Amendoim!$E42:$Z42,MIN(E$6-$E$3,22))),0))-IF($G$2,0,IF((E$6-$G$3)&lt;1,0,IFERROR(LOOKUP(2,1/(Amendoim!$E42:INDEX(Amendoim!$E42:$Z42,MIN(E$6-$G$3,22))&lt;&gt;""),Amendoim!$E42:INDEX(Amendoim!$E42:$Z42,MIN(E$6-$G$3,22))),0)))))</f>
        <v>0</v>
      </c>
      <c r="F44" s="27" t="n">
        <f aca="false">IF(COUNT(Amendoim!$E42:$Z42)=0,0,MAX(0,IF((F$6-$E$3)&lt;1,0,IFERROR(LOOKUP(2,1/(Amendoim!$E42:INDEX(Amendoim!$E42:$Z42,MIN(F$6-$E$3,22))&lt;&gt;""),Amendoim!$E42:INDEX(Amendoim!$E42:$Z42,MIN(F$6-$E$3,22))),0))-IF($G$2,0,IF((F$6-$G$3)&lt;1,0,IFERROR(LOOKUP(2,1/(Amendoim!$E42:INDEX(Amendoim!$E42:$Z42,MIN(F$6-$G$3,22))&lt;&gt;""),Amendoim!$E42:INDEX(Amendoim!$E42:$Z42,MIN(F$6-$G$3,22))),0)))))</f>
        <v>0</v>
      </c>
      <c r="G44" s="27" t="n">
        <f aca="false">IF(COUNT(Amendoim!$E42:$Z42)=0,0,MAX(0,IF((G$6-$E$3)&lt;1,0,IFERROR(LOOKUP(2,1/(Amendoim!$E42:INDEX(Amendoim!$E42:$Z42,MIN(G$6-$E$3,22))&lt;&gt;""),Amendoim!$E42:INDEX(Amendoim!$E42:$Z42,MIN(G$6-$E$3,22))),0))-IF($G$2,0,IF((G$6-$G$3)&lt;1,0,IFERROR(LOOKUP(2,1/(Amendoim!$E42:INDEX(Amendoim!$E42:$Z42,MIN(G$6-$G$3,22))&lt;&gt;""),Amendoim!$E42:INDEX(Amendoim!$E42:$Z42,MIN(G$6-$G$3,22))),0)))))</f>
        <v>0</v>
      </c>
      <c r="H44" s="27" t="n">
        <f aca="false">IF(COUNT(Amendoim!$E42:$Z42)=0,0,MAX(0,IF((H$6-$E$3)&lt;1,0,IFERROR(LOOKUP(2,1/(Amendoim!$E42:INDEX(Amendoim!$E42:$Z42,MIN(H$6-$E$3,22))&lt;&gt;""),Amendoim!$E42:INDEX(Amendoim!$E42:$Z42,MIN(H$6-$E$3,22))),0))-IF($G$2,0,IF((H$6-$G$3)&lt;1,0,IFERROR(LOOKUP(2,1/(Amendoim!$E42:INDEX(Amendoim!$E42:$Z42,MIN(H$6-$G$3,22))&lt;&gt;""),Amendoim!$E42:INDEX(Amendoim!$E42:$Z42,MIN(H$6-$G$3,22))),0)))))</f>
        <v>0</v>
      </c>
      <c r="I44" s="27" t="n">
        <f aca="false">IF(COUNT(Amendoim!$E42:$Z42)=0,0,MAX(0,IF((I$6-$E$3)&lt;1,0,IFERROR(LOOKUP(2,1/(Amendoim!$E42:INDEX(Amendoim!$E42:$Z42,MIN(I$6-$E$3,22))&lt;&gt;""),Amendoim!$E42:INDEX(Amendoim!$E42:$Z42,MIN(I$6-$E$3,22))),0))-IF($G$2,0,IF((I$6-$G$3)&lt;1,0,IFERROR(LOOKUP(2,1/(Amendoim!$E42:INDEX(Amendoim!$E42:$Z42,MIN(I$6-$G$3,22))&lt;&gt;""),Amendoim!$E42:INDEX(Amendoim!$E42:$Z42,MIN(I$6-$G$3,22))),0)))))</f>
        <v>0</v>
      </c>
      <c r="J44" s="27" t="n">
        <f aca="false">IF(COUNT(Amendoim!$E42:$Z42)=0,0,MAX(0,IF((J$6-$E$3)&lt;1,0,IFERROR(LOOKUP(2,1/(Amendoim!$E42:INDEX(Amendoim!$E42:$Z42,MIN(J$6-$E$3,22))&lt;&gt;""),Amendoim!$E42:INDEX(Amendoim!$E42:$Z42,MIN(J$6-$E$3,22))),0))-IF($G$2,0,IF((J$6-$G$3)&lt;1,0,IFERROR(LOOKUP(2,1/(Amendoim!$E42:INDEX(Amendoim!$E42:$Z42,MIN(J$6-$G$3,22))&lt;&gt;""),Amendoim!$E42:INDEX(Amendoim!$E42:$Z42,MIN(J$6-$G$3,22))),0)))))</f>
        <v>0</v>
      </c>
      <c r="K44" s="27" t="n">
        <f aca="false">IF(COUNT(Amendoim!$E42:$Z42)=0,0,MAX(0,IF((K$6-$E$3)&lt;1,0,IFERROR(LOOKUP(2,1/(Amendoim!$E42:INDEX(Amendoim!$E42:$Z42,MIN(K$6-$E$3,22))&lt;&gt;""),Amendoim!$E42:INDEX(Amendoim!$E42:$Z42,MIN(K$6-$E$3,22))),0))-IF($G$2,0,IF((K$6-$G$3)&lt;1,0,IFERROR(LOOKUP(2,1/(Amendoim!$E42:INDEX(Amendoim!$E42:$Z42,MIN(K$6-$G$3,22))&lt;&gt;""),Amendoim!$E42:INDEX(Amendoim!$E42:$Z42,MIN(K$6-$G$3,22))),0)))))</f>
        <v>0</v>
      </c>
      <c r="L44" s="27" t="n">
        <f aca="false">IF(COUNT(Amendoim!$E42:$Z42)=0,0,MAX(0,IF((L$6-$E$3)&lt;1,0,IFERROR(LOOKUP(2,1/(Amendoim!$E42:INDEX(Amendoim!$E42:$Z42,MIN(L$6-$E$3,22))&lt;&gt;""),Amendoim!$E42:INDEX(Amendoim!$E42:$Z42,MIN(L$6-$E$3,22))),0))-IF($G$2,0,IF((L$6-$G$3)&lt;1,0,IFERROR(LOOKUP(2,1/(Amendoim!$E42:INDEX(Amendoim!$E42:$Z42,MIN(L$6-$G$3,22))&lt;&gt;""),Amendoim!$E42:INDEX(Amendoim!$E42:$Z42,MIN(L$6-$G$3,22))),0)))))</f>
        <v>0</v>
      </c>
      <c r="M44" s="27" t="n">
        <f aca="false">IF(COUNT(Amendoim!$E42:$Z42)=0,0,MAX(0,IF((M$6-$E$3)&lt;1,0,IFERROR(LOOKUP(2,1/(Amendoim!$E42:INDEX(Amendoim!$E42:$Z42,MIN(M$6-$E$3,22))&lt;&gt;""),Amendoim!$E42:INDEX(Amendoim!$E42:$Z42,MIN(M$6-$E$3,22))),0))-IF($G$2,0,IF((M$6-$G$3)&lt;1,0,IFERROR(LOOKUP(2,1/(Amendoim!$E42:INDEX(Amendoim!$E42:$Z42,MIN(M$6-$G$3,22))&lt;&gt;""),Amendoim!$E42:INDEX(Amendoim!$E42:$Z42,MIN(M$6-$G$3,22))),0)))))</f>
        <v>0</v>
      </c>
      <c r="N44" s="27" t="n">
        <f aca="false">IF(COUNT(Amendoim!$E42:$Z42)=0,0,MAX(0,IF((N$6-$E$3)&lt;1,0,IFERROR(LOOKUP(2,1/(Amendoim!$E42:INDEX(Amendoim!$E42:$Z42,MIN(N$6-$E$3,22))&lt;&gt;""),Amendoim!$E42:INDEX(Amendoim!$E42:$Z42,MIN(N$6-$E$3,22))),0))-IF($G$2,0,IF((N$6-$G$3)&lt;1,0,IFERROR(LOOKUP(2,1/(Amendoim!$E42:INDEX(Amendoim!$E42:$Z42,MIN(N$6-$G$3,22))&lt;&gt;""),Amendoim!$E42:INDEX(Amendoim!$E42:$Z42,MIN(N$6-$G$3,22))),0)))))</f>
        <v>0</v>
      </c>
      <c r="O44" s="27" t="n">
        <f aca="false">IF(COUNT(Amendoim!$E42:$Z42)=0,0,MAX(0,IF((O$6-$E$3)&lt;1,0,IFERROR(LOOKUP(2,1/(Amendoim!$E42:INDEX(Amendoim!$E42:$Z42,MIN(O$6-$E$3,22))&lt;&gt;""),Amendoim!$E42:INDEX(Amendoim!$E42:$Z42,MIN(O$6-$E$3,22))),0))-IF($G$2,0,IF((O$6-$G$3)&lt;1,0,IFERROR(LOOKUP(2,1/(Amendoim!$E42:INDEX(Amendoim!$E42:$Z42,MIN(O$6-$G$3,22))&lt;&gt;""),Amendoim!$E42:INDEX(Amendoim!$E42:$Z42,MIN(O$6-$G$3,22))),0)))))</f>
        <v>0</v>
      </c>
      <c r="P44" s="27" t="n">
        <f aca="false">IF(COUNT(Amendoim!$E42:$Z42)=0,0,MAX(0,IF((P$6-$E$3)&lt;1,0,IFERROR(LOOKUP(2,1/(Amendoim!$E42:INDEX(Amendoim!$E42:$Z42,MIN(P$6-$E$3,22))&lt;&gt;""),Amendoim!$E42:INDEX(Amendoim!$E42:$Z42,MIN(P$6-$E$3,22))),0))-IF($G$2,0,IF((P$6-$G$3)&lt;1,0,IFERROR(LOOKUP(2,1/(Amendoim!$E42:INDEX(Amendoim!$E42:$Z42,MIN(P$6-$G$3,22))&lt;&gt;""),Amendoim!$E42:INDEX(Amendoim!$E42:$Z42,MIN(P$6-$G$3,22))),0)))))</f>
        <v>0</v>
      </c>
      <c r="Q44" s="27" t="n">
        <f aca="false">IF(COUNT(Amendoim!$E42:$Z42)=0,0,MAX(0,IF((Q$6-$E$3)&lt;1,0,IFERROR(LOOKUP(2,1/(Amendoim!$E42:INDEX(Amendoim!$E42:$Z42,MIN(Q$6-$E$3,22))&lt;&gt;""),Amendoim!$E42:INDEX(Amendoim!$E42:$Z42,MIN(Q$6-$E$3,22))),0))-IF($G$2,0,IF((Q$6-$G$3)&lt;1,0,IFERROR(LOOKUP(2,1/(Amendoim!$E42:INDEX(Amendoim!$E42:$Z42,MIN(Q$6-$G$3,22))&lt;&gt;""),Amendoim!$E42:INDEX(Amendoim!$E42:$Z42,MIN(Q$6-$G$3,22))),0)))))</f>
        <v>0</v>
      </c>
      <c r="R44" s="27" t="n">
        <f aca="false">IF(COUNT(Amendoim!$E42:$Z42)=0,0,MAX(0,IF((R$6-$E$3)&lt;1,0,IFERROR(LOOKUP(2,1/(Amendoim!$E42:INDEX(Amendoim!$E42:$Z42,MIN(R$6-$E$3,22))&lt;&gt;""),Amendoim!$E42:INDEX(Amendoim!$E42:$Z42,MIN(R$6-$E$3,22))),0))-IF($G$2,0,IF((R$6-$G$3)&lt;1,0,IFERROR(LOOKUP(2,1/(Amendoim!$E42:INDEX(Amendoim!$E42:$Z42,MIN(R$6-$G$3,22))&lt;&gt;""),Amendoim!$E42:INDEX(Amendoim!$E42:$Z42,MIN(R$6-$G$3,22))),0)))))</f>
        <v>0</v>
      </c>
      <c r="S44" s="27" t="n">
        <f aca="false">IF(COUNT(Amendoim!$E42:$Z42)=0,0,MAX(0,IF((S$6-$E$3)&lt;1,0,IFERROR(LOOKUP(2,1/(Amendoim!$E42:INDEX(Amendoim!$E42:$Z42,MIN(S$6-$E$3,22))&lt;&gt;""),Amendoim!$E42:INDEX(Amendoim!$E42:$Z42,MIN(S$6-$E$3,22))),0))-IF($G$2,0,IF((S$6-$G$3)&lt;1,0,IFERROR(LOOKUP(2,1/(Amendoim!$E42:INDEX(Amendoim!$E42:$Z42,MIN(S$6-$G$3,22))&lt;&gt;""),Amendoim!$E42:INDEX(Amendoim!$E42:$Z42,MIN(S$6-$G$3,22))),0)))))</f>
        <v>0</v>
      </c>
      <c r="T44" s="27" t="n">
        <f aca="false">IF(COUNT(Amendoim!$E42:$Z42)=0,0,MAX(0,IF((T$6-$E$3)&lt;1,0,IFERROR(LOOKUP(2,1/(Amendoim!$E42:INDEX(Amendoim!$E42:$Z42,MIN(T$6-$E$3,22))&lt;&gt;""),Amendoim!$E42:INDEX(Amendoim!$E42:$Z42,MIN(T$6-$E$3,22))),0))-IF($G$2,0,IF((T$6-$G$3)&lt;1,0,IFERROR(LOOKUP(2,1/(Amendoim!$E42:INDEX(Amendoim!$E42:$Z42,MIN(T$6-$G$3,22))&lt;&gt;""),Amendoim!$E42:INDEX(Amendoim!$E42:$Z42,MIN(T$6-$G$3,22))),0)))))</f>
        <v>0</v>
      </c>
      <c r="U44" s="27" t="n">
        <f aca="false">IF(COUNT(Amendoim!$E42:$Z42)=0,0,MAX(0,IF((U$6-$E$3)&lt;1,0,IFERROR(LOOKUP(2,1/(Amendoim!$E42:INDEX(Amendoim!$E42:$Z42,MIN(U$6-$E$3,22))&lt;&gt;""),Amendoim!$E42:INDEX(Amendoim!$E42:$Z42,MIN(U$6-$E$3,22))),0))-IF($G$2,0,IF((U$6-$G$3)&lt;1,0,IFERROR(LOOKUP(2,1/(Amendoim!$E42:INDEX(Amendoim!$E42:$Z42,MIN(U$6-$G$3,22))&lt;&gt;""),Amendoim!$E42:INDEX(Amendoim!$E42:$Z42,MIN(U$6-$G$3,22))),0)))))</f>
        <v>0</v>
      </c>
      <c r="V44" s="27" t="n">
        <f aca="false">IF(COUNT(Amendoim!$E42:$Z42)=0,0,MAX(0,IF((V$6-$E$3)&lt;1,0,IFERROR(LOOKUP(2,1/(Amendoim!$E42:INDEX(Amendoim!$E42:$Z42,MIN(V$6-$E$3,22))&lt;&gt;""),Amendoim!$E42:INDEX(Amendoim!$E42:$Z42,MIN(V$6-$E$3,22))),0))-IF($G$2,0,IF((V$6-$G$3)&lt;1,0,IFERROR(LOOKUP(2,1/(Amendoim!$E42:INDEX(Amendoim!$E42:$Z42,MIN(V$6-$G$3,22))&lt;&gt;""),Amendoim!$E42:INDEX(Amendoim!$E42:$Z42,MIN(V$6-$G$3,22))),0)))))</f>
        <v>0</v>
      </c>
      <c r="W44" s="27" t="n">
        <f aca="false">IF(COUNT(Amendoim!$E42:$Z42)=0,0,MAX(0,IF((W$6-$E$3)&lt;1,0,IFERROR(LOOKUP(2,1/(Amendoim!$E42:INDEX(Amendoim!$E42:$Z42,MIN(W$6-$E$3,22))&lt;&gt;""),Amendoim!$E42:INDEX(Amendoim!$E42:$Z42,MIN(W$6-$E$3,22))),0))-IF($G$2,0,IF((W$6-$G$3)&lt;1,0,IFERROR(LOOKUP(2,1/(Amendoim!$E42:INDEX(Amendoim!$E42:$Z42,MIN(W$6-$G$3,22))&lt;&gt;""),Amendoim!$E42:INDEX(Amendoim!$E42:$Z42,MIN(W$6-$G$3,22))),0)))))</f>
        <v>0</v>
      </c>
      <c r="X44" s="27" t="n">
        <f aca="false">IF(COUNT(Amendoim!$E42:$Z42)=0,0,MAX(0,IF((X$6-$E$3)&lt;1,0,IFERROR(LOOKUP(2,1/(Amendoim!$E42:INDEX(Amendoim!$E42:$Z42,MIN(X$6-$E$3,22))&lt;&gt;""),Amendoim!$E42:INDEX(Amendoim!$E42:$Z42,MIN(X$6-$E$3,22))),0))-IF($G$2,0,IF((X$6-$G$3)&lt;1,0,IFERROR(LOOKUP(2,1/(Amendoim!$E42:INDEX(Amendoim!$E42:$Z42,MIN(X$6-$G$3,22))&lt;&gt;""),Amendoim!$E42:INDEX(Amendoim!$E42:$Z42,MIN(X$6-$G$3,22))),0)))))</f>
        <v>0</v>
      </c>
      <c r="Y44" s="27" t="n">
        <f aca="false">IF(COUNT(Amendoim!$E42:$Z42)=0,0,MAX(0,IF((Y$6-$E$3)&lt;1,0,IFERROR(LOOKUP(2,1/(Amendoim!$E42:INDEX(Amendoim!$E42:$Z42,MIN(Y$6-$E$3,22))&lt;&gt;""),Amendoim!$E42:INDEX(Amendoim!$E42:$Z42,MIN(Y$6-$E$3,22))),0))-IF($G$2,0,IF((Y$6-$G$3)&lt;1,0,IFERROR(LOOKUP(2,1/(Amendoim!$E42:INDEX(Amendoim!$E42:$Z42,MIN(Y$6-$G$3,22))&lt;&gt;""),Amendoim!$E42:INDEX(Amendoim!$E42:$Z42,MIN(Y$6-$G$3,22))),0)))))</f>
        <v>0</v>
      </c>
      <c r="Z44" s="27" t="n">
        <f aca="false">IF(COUNT(Amendoim!$E42:$Z42)=0,0,MAX(0,IF((Z$6-$E$3)&lt;1,0,IFERROR(LOOKUP(2,1/(Amendoim!$E42:INDEX(Amendoim!$E42:$Z42,MIN(Z$6-$E$3,22))&lt;&gt;""),Amendoim!$E42:INDEX(Amendoim!$E42:$Z42,MIN(Z$6-$E$3,22))),0))-IF($G$2,0,IF((Z$6-$G$3)&lt;1,0,IFERROR(LOOKUP(2,1/(Amendoim!$E42:INDEX(Amendoim!$E42:$Z42,MIN(Z$6-$G$3,22))&lt;&gt;""),Amendoim!$E42:INDEX(Amendoim!$E42:$Z42,MIN(Z$6-$G$3,22))),0)))))</f>
        <v>0</v>
      </c>
      <c r="AA44" s="27" t="n">
        <f aca="false">IF(COUNT(Amendoim!$E42:$Z42)=0,0,MAX(0,IF((AA$6-$E$3)&lt;1,0,IFERROR(LOOKUP(2,1/(Amendoim!$E42:INDEX(Amendoim!$E42:$Z42,MIN(AA$6-$E$3,22))&lt;&gt;""),Amendoim!$E42:INDEX(Amendoim!$E42:$Z42,MIN(AA$6-$E$3,22))),0))-IF($G$2,0,IF((AA$6-$G$3)&lt;1,0,IFERROR(LOOKUP(2,1/(Amendoim!$E42:INDEX(Amendoim!$E42:$Z42,MIN(AA$6-$G$3,22))&lt;&gt;""),Amendoim!$E42:INDEX(Amendoim!$E42:$Z42,MIN(AA$6-$G$3,22))),0)))))</f>
        <v>0</v>
      </c>
      <c r="AB44" s="27" t="n">
        <f aca="false">IF(COUNT(Amendoim!$E42:$Z42)=0,0,MAX(0,IF((AB$6-$E$3)&lt;1,0,IFERROR(LOOKUP(2,1/(Amendoim!$E42:INDEX(Amendoim!$E42:$Z42,MIN(AB$6-$E$3,22))&lt;&gt;""),Amendoim!$E42:INDEX(Amendoim!$E42:$Z42,MIN(AB$6-$E$3,22))),0))-IF($G$2,0,IF((AB$6-$G$3)&lt;1,0,IFERROR(LOOKUP(2,1/(Amendoim!$E42:INDEX(Amendoim!$E42:$Z42,MIN(AB$6-$G$3,22))&lt;&gt;""),Amendoim!$E42:INDEX(Amendoim!$E42:$Z42,MIN(AB$6-$G$3,22))),0)))))</f>
        <v>0</v>
      </c>
      <c r="AC44" s="27" t="n">
        <f aca="false">IF(COUNT(Amendoim!$E42:$Z42)=0,0,MAX(0,IF((AC$6-$E$3)&lt;1,0,IFERROR(LOOKUP(2,1/(Amendoim!$E42:INDEX(Amendoim!$E42:$Z42,MIN(AC$6-$E$3,22))&lt;&gt;""),Amendoim!$E42:INDEX(Amendoim!$E42:$Z42,MIN(AC$6-$E$3,22))),0))-IF($G$2,0,IF((AC$6-$G$3)&lt;1,0,IFERROR(LOOKUP(2,1/(Amendoim!$E42:INDEX(Amendoim!$E42:$Z42,MIN(AC$6-$G$3,22))&lt;&gt;""),Amendoim!$E42:INDEX(Amendoim!$E42:$Z42,MIN(AC$6-$G$3,22))),0)))))</f>
        <v>0</v>
      </c>
      <c r="AD44" s="27" t="n">
        <f aca="false">IF(COUNT(Amendoim!$E42:$Z42)=0,0,MAX(0,IF((AD$6-$E$3)&lt;1,0,IFERROR(LOOKUP(2,1/(Amendoim!$E42:INDEX(Amendoim!$E42:$Z42,MIN(AD$6-$E$3,22))&lt;&gt;""),Amendoim!$E42:INDEX(Amendoim!$E42:$Z42,MIN(AD$6-$E$3,22))),0))-IF($G$2,0,IF((AD$6-$G$3)&lt;1,0,IFERROR(LOOKUP(2,1/(Amendoim!$E42:INDEX(Amendoim!$E42:$Z42,MIN(AD$6-$G$3,22))&lt;&gt;""),Amendoim!$E42:INDEX(Amendoim!$E42:$Z42,MIN(AD$6-$G$3,22))),0)))))</f>
        <v>0</v>
      </c>
      <c r="AE44" s="27" t="n">
        <f aca="false">IF(COUNT(Amendoim!$E42:$Z42)=0,0,MAX(0,IF((AE$6-$E$3)&lt;1,0,IFERROR(LOOKUP(2,1/(Amendoim!$E42:INDEX(Amendoim!$E42:$Z42,MIN(AE$6-$E$3,22))&lt;&gt;""),Amendoim!$E42:INDEX(Amendoim!$E42:$Z42,MIN(AE$6-$E$3,22))),0))-IF($G$2,0,IF((AE$6-$G$3)&lt;1,0,IFERROR(LOOKUP(2,1/(Amendoim!$E42:INDEX(Amendoim!$E42:$Z42,MIN(AE$6-$G$3,22))&lt;&gt;""),Amendoim!$E42:INDEX(Amendoim!$E42:$Z42,MIN(AE$6-$G$3,22))),0)))))</f>
        <v>0</v>
      </c>
      <c r="AF44" s="27" t="n">
        <f aca="false">IF(COUNT(Amendoim!$E42:$Z42)=0,0,MAX(0,IF((AF$6-$E$3)&lt;1,0,IFERROR(LOOKUP(2,1/(Amendoim!$E42:INDEX(Amendoim!$E42:$Z42,MIN(AF$6-$E$3,22))&lt;&gt;""),Amendoim!$E42:INDEX(Amendoim!$E42:$Z42,MIN(AF$6-$E$3,22))),0))-IF($G$2,0,IF((AF$6-$G$3)&lt;1,0,IFERROR(LOOKUP(2,1/(Amendoim!$E42:INDEX(Amendoim!$E42:$Z42,MIN(AF$6-$G$3,22))&lt;&gt;""),Amendoim!$E42:INDEX(Amendoim!$E42:$Z42,MIN(AF$6-$G$3,22))),0)))))</f>
        <v>0</v>
      </c>
      <c r="AG44" s="27" t="n">
        <f aca="false">IF(COUNT(Amendoim!$E42:$Z42)=0,0,MAX(0,IF((AG$6-$E$3)&lt;1,0,IFERROR(LOOKUP(2,1/(Amendoim!$E42:INDEX(Amendoim!$E42:$Z42,MIN(AG$6-$E$3,22))&lt;&gt;""),Amendoim!$E42:INDEX(Amendoim!$E42:$Z42,MIN(AG$6-$E$3,22))),0))-IF($G$2,0,IF((AG$6-$G$3)&lt;1,0,IFERROR(LOOKUP(2,1/(Amendoim!$E42:INDEX(Amendoim!$E42:$Z42,MIN(AG$6-$G$3,22))&lt;&gt;""),Amendoim!$E42:INDEX(Amendoim!$E42:$Z42,MIN(AG$6-$G$3,22))),0)))))</f>
        <v>0</v>
      </c>
      <c r="AH44" s="27" t="n">
        <f aca="false">IF(COUNT(Amendoim!$E42:$Z42)=0,0,MAX(0,IF((AH$6-$E$3)&lt;1,0,IFERROR(LOOKUP(2,1/(Amendoim!$E42:INDEX(Amendoim!$E42:$Z42,MIN(AH$6-$E$3,22))&lt;&gt;""),Amendoim!$E42:INDEX(Amendoim!$E42:$Z42,MIN(AH$6-$E$3,22))),0))-IF($G$2,0,IF((AH$6-$G$3)&lt;1,0,IFERROR(LOOKUP(2,1/(Amendoim!$E42:INDEX(Amendoim!$E42:$Z42,MIN(AH$6-$G$3,22))&lt;&gt;""),Amendoim!$E42:INDEX(Amendoim!$E42:$Z42,MIN(AH$6-$G$3,22))),0)))))</f>
        <v>0</v>
      </c>
      <c r="AI44" s="27" t="n">
        <f aca="false">IF(COUNT(Amendoim!$E42:$Z42)=0,0,MAX(0,IF((AI$6-$E$3)&lt;1,0,IFERROR(LOOKUP(2,1/(Amendoim!$E42:INDEX(Amendoim!$E42:$Z42,MIN(AI$6-$E$3,22))&lt;&gt;""),Amendoim!$E42:INDEX(Amendoim!$E42:$Z42,MIN(AI$6-$E$3,22))),0))-IF($G$2,0,IF((AI$6-$G$3)&lt;1,0,IFERROR(LOOKUP(2,1/(Amendoim!$E42:INDEX(Amendoim!$E42:$Z42,MIN(AI$6-$G$3,22))&lt;&gt;""),Amendoim!$E42:INDEX(Amendoim!$E42:$Z42,MIN(AI$6-$G$3,22))),0)))))</f>
        <v>0</v>
      </c>
      <c r="AJ44" s="27" t="n">
        <f aca="false">IF(COUNT(Amendoim!$E42:$Z42)=0,0,MAX(0,IF((AJ$6-$E$3)&lt;1,0,IFERROR(LOOKUP(2,1/(Amendoim!$E42:INDEX(Amendoim!$E42:$Z42,MIN(AJ$6-$E$3,22))&lt;&gt;""),Amendoim!$E42:INDEX(Amendoim!$E42:$Z42,MIN(AJ$6-$E$3,22))),0))-IF($G$2,0,IF((AJ$6-$G$3)&lt;1,0,IFERROR(LOOKUP(2,1/(Amendoim!$E42:INDEX(Amendoim!$E42:$Z42,MIN(AJ$6-$G$3,22))&lt;&gt;""),Amendoim!$E42:INDEX(Amendoim!$E42:$Z42,MIN(AJ$6-$G$3,22))),0)))))</f>
        <v>0</v>
      </c>
      <c r="AK44" s="27" t="n">
        <f aca="false">IF(COUNT(Amendoim!$E42:$Z42)=0,0,MAX(0,IF((AK$6-$E$3)&lt;1,0,IFERROR(LOOKUP(2,1/(Amendoim!$E42:INDEX(Amendoim!$E42:$Z42,MIN(AK$6-$E$3,22))&lt;&gt;""),Amendoim!$E42:INDEX(Amendoim!$E42:$Z42,MIN(AK$6-$E$3,22))),0))-IF($G$2,0,IF((AK$6-$G$3)&lt;1,0,IFERROR(LOOKUP(2,1/(Amendoim!$E42:INDEX(Amendoim!$E42:$Z42,MIN(AK$6-$G$3,22))&lt;&gt;""),Amendoim!$E42:INDEX(Amendoim!$E42:$Z42,MIN(AK$6-$G$3,22))),0)))))</f>
        <v>0</v>
      </c>
      <c r="AL44" s="27" t="n">
        <f aca="false">IF(COUNT(Amendoim!$E42:$Z42)=0,0,MAX(0,IF((AL$6-$E$3)&lt;1,0,IFERROR(LOOKUP(2,1/(Amendoim!$E42:INDEX(Amendoim!$E42:$Z42,MIN(AL$6-$E$3,22))&lt;&gt;""),Amendoim!$E42:INDEX(Amendoim!$E42:$Z42,MIN(AL$6-$E$3,22))),0))-IF($G$2,0,IF((AL$6-$G$3)&lt;1,0,IFERROR(LOOKUP(2,1/(Amendoim!$E42:INDEX(Amendoim!$E42:$Z42,MIN(AL$6-$G$3,22))&lt;&gt;""),Amendoim!$E42:INDEX(Amendoim!$E42:$Z42,MIN(AL$6-$G$3,22))),0)))))</f>
        <v>0</v>
      </c>
      <c r="AM44" s="27" t="n">
        <f aca="false">IF(COUNT(Amendoim!$E42:$Z42)=0,0,MAX(0,IF((AM$6-$E$3)&lt;1,0,IFERROR(LOOKUP(2,1/(Amendoim!$E42:INDEX(Amendoim!$E42:$Z42,MIN(AM$6-$E$3,22))&lt;&gt;""),Amendoim!$E42:INDEX(Amendoim!$E42:$Z42,MIN(AM$6-$E$3,22))),0))-IF($G$2,0,IF((AM$6-$G$3)&lt;1,0,IFERROR(LOOKUP(2,1/(Amendoim!$E42:INDEX(Amendoim!$E42:$Z42,MIN(AM$6-$G$3,22))&lt;&gt;""),Amendoim!$E42:INDEX(Amendoim!$E42:$Z42,MIN(AM$6-$G$3,22))),0)))))</f>
        <v>0</v>
      </c>
      <c r="AN44" s="27" t="n">
        <f aca="false">IF(COUNT(Amendoim!$E42:$Z42)=0,0,MAX(0,IF((AN$6-$E$3)&lt;1,0,IFERROR(LOOKUP(2,1/(Amendoim!$E42:INDEX(Amendoim!$E42:$Z42,MIN(AN$6-$E$3,22))&lt;&gt;""),Amendoim!$E42:INDEX(Amendoim!$E42:$Z42,MIN(AN$6-$E$3,22))),0))-IF($G$2,0,IF((AN$6-$G$3)&lt;1,0,IFERROR(LOOKUP(2,1/(Amendoim!$E42:INDEX(Amendoim!$E42:$Z42,MIN(AN$6-$G$3,22))&lt;&gt;""),Amendoim!$E42:INDEX(Amendoim!$E42:$Z42,MIN(AN$6-$G$3,22))),0)))))</f>
        <v>0</v>
      </c>
      <c r="AO44" s="27" t="n">
        <f aca="false">IF(COUNT(Amendoim!$E42:$Z42)=0,0,MAX(0,IF((AO$6-$E$3)&lt;1,0,IFERROR(LOOKUP(2,1/(Amendoim!$E42:INDEX(Amendoim!$E42:$Z42,MIN(AO$6-$E$3,22))&lt;&gt;""),Amendoim!$E42:INDEX(Amendoim!$E42:$Z42,MIN(AO$6-$E$3,22))),0))-IF($G$2,0,IF((AO$6-$G$3)&lt;1,0,IFERROR(LOOKUP(2,1/(Amendoim!$E42:INDEX(Amendoim!$E42:$Z42,MIN(AO$6-$G$3,22))&lt;&gt;""),Amendoim!$E42:INDEX(Amendoim!$E42:$Z42,MIN(AO$6-$G$3,22))),0)))))</f>
        <v>0</v>
      </c>
      <c r="AP44" s="27" t="n">
        <f aca="false">IF(COUNT(Amendoim!$E42:$Z42)=0,0,MAX(0,IF((AP$6-$E$3)&lt;1,0,IFERROR(LOOKUP(2,1/(Amendoim!$E42:INDEX(Amendoim!$E42:$Z42,MIN(AP$6-$E$3,22))&lt;&gt;""),Amendoim!$E42:INDEX(Amendoim!$E42:$Z42,MIN(AP$6-$E$3,22))),0))-IF($G$2,0,IF((AP$6-$G$3)&lt;1,0,IFERROR(LOOKUP(2,1/(Amendoim!$E42:INDEX(Amendoim!$E42:$Z42,MIN(AP$6-$G$3,22))&lt;&gt;""),Amendoim!$E42:INDEX(Amendoim!$E42:$Z42,MIN(AP$6-$G$3,22))),0)))))</f>
        <v>0</v>
      </c>
      <c r="AQ44" s="27" t="n">
        <f aca="false">IF(COUNT(Amendoim!$E42:$Z42)=0,0,MAX(0,IF((AQ$6-$E$3)&lt;1,0,IFERROR(LOOKUP(2,1/(Amendoim!$E42:INDEX(Amendoim!$E42:$Z42,MIN(AQ$6-$E$3,22))&lt;&gt;""),Amendoim!$E42:INDEX(Amendoim!$E42:$Z42,MIN(AQ$6-$E$3,22))),0))-IF($G$2,0,IF((AQ$6-$G$3)&lt;1,0,IFERROR(LOOKUP(2,1/(Amendoim!$E42:INDEX(Amendoim!$E42:$Z42,MIN(AQ$6-$G$3,22))&lt;&gt;""),Amendoim!$E42:INDEX(Amendoim!$E42:$Z42,MIN(AQ$6-$G$3,22))),0)))))</f>
        <v>0</v>
      </c>
      <c r="AR44" s="27" t="n">
        <f aca="false">IF(COUNT(Amendoim!$E42:$Z42)=0,0,MAX(0,IF((AR$6-$E$3)&lt;1,0,IFERROR(LOOKUP(2,1/(Amendoim!$E42:INDEX(Amendoim!$E42:$Z42,MIN(AR$6-$E$3,22))&lt;&gt;""),Amendoim!$E42:INDEX(Amendoim!$E42:$Z42,MIN(AR$6-$E$3,22))),0))-IF($G$2,0,IF((AR$6-$G$3)&lt;1,0,IFERROR(LOOKUP(2,1/(Amendoim!$E42:INDEX(Amendoim!$E42:$Z42,MIN(AR$6-$G$3,22))&lt;&gt;""),Amendoim!$E42:INDEX(Amendoim!$E42:$Z42,MIN(AR$6-$G$3,22))),0)))))</f>
        <v>0</v>
      </c>
      <c r="AS44" s="27" t="n">
        <f aca="false">IF(COUNT(Amendoim!$E42:$Z42)=0,0,MAX(0,IF((AS$6-$E$3)&lt;1,0,IFERROR(LOOKUP(2,1/(Amendoim!$E42:INDEX(Amendoim!$E42:$Z42,MIN(AS$6-$E$3,22))&lt;&gt;""),Amendoim!$E42:INDEX(Amendoim!$E42:$Z42,MIN(AS$6-$E$3,22))),0))-IF($G$2,0,IF((AS$6-$G$3)&lt;1,0,IFERROR(LOOKUP(2,1/(Amendoim!$E42:INDEX(Amendoim!$E42:$Z42,MIN(AS$6-$G$3,22))&lt;&gt;""),Amendoim!$E42:INDEX(Amendoim!$E42:$Z42,MIN(AS$6-$G$3,22))),0)))))</f>
        <v>0</v>
      </c>
      <c r="AT44" s="27" t="n">
        <f aca="false">IF(COUNT(Amendoim!$E42:$Z42)=0,0,MAX(0,IF((AT$6-$E$3)&lt;1,0,IFERROR(LOOKUP(2,1/(Amendoim!$E42:INDEX(Amendoim!$E42:$Z42,MIN(AT$6-$E$3,22))&lt;&gt;""),Amendoim!$E42:INDEX(Amendoim!$E42:$Z42,MIN(AT$6-$E$3,22))),0))-IF($G$2,0,IF((AT$6-$G$3)&lt;1,0,IFERROR(LOOKUP(2,1/(Amendoim!$E42:INDEX(Amendoim!$E42:$Z42,MIN(AT$6-$G$3,22))&lt;&gt;""),Amendoim!$E42:INDEX(Amendoim!$E42:$Z42,MIN(AT$6-$G$3,22))),0)))))</f>
        <v>0</v>
      </c>
      <c r="AU44" s="27" t="n">
        <f aca="false">IF(COUNT(Amendoim!$E42:$Z42)=0,0,MAX(0,IF((AU$6-$E$3)&lt;1,0,IFERROR(LOOKUP(2,1/(Amendoim!$E42:INDEX(Amendoim!$E42:$Z42,MIN(AU$6-$E$3,22))&lt;&gt;""),Amendoim!$E42:INDEX(Amendoim!$E42:$Z42,MIN(AU$6-$E$3,22))),0))-IF($G$2,0,IF((AU$6-$G$3)&lt;1,0,IFERROR(LOOKUP(2,1/(Amendoim!$E42:INDEX(Amendoim!$E42:$Z42,MIN(AU$6-$G$3,22))&lt;&gt;""),Amendoim!$E42:INDEX(Amendoim!$E42:$Z42,MIN(AU$6-$G$3,22))),0)))))</f>
        <v>0</v>
      </c>
      <c r="AV44" s="27" t="n">
        <f aca="false">IF(COUNT(Amendoim!$E42:$Z42)=0,0,MAX(0,IF((AV$6-$E$3)&lt;1,0,IFERROR(LOOKUP(2,1/(Amendoim!$E42:INDEX(Amendoim!$E42:$Z42,MIN(AV$6-$E$3,22))&lt;&gt;""),Amendoim!$E42:INDEX(Amendoim!$E42:$Z42,MIN(AV$6-$E$3,22))),0))-IF($G$2,0,IF((AV$6-$G$3)&lt;1,0,IFERROR(LOOKUP(2,1/(Amendoim!$E42:INDEX(Amendoim!$E42:$Z42,MIN(AV$6-$G$3,22))&lt;&gt;""),Amendoim!$E42:INDEX(Amendoim!$E42:$Z42,MIN(AV$6-$G$3,22))),0)))))</f>
        <v>0</v>
      </c>
      <c r="AW44" s="27" t="n">
        <f aca="false">IF(COUNT(Amendoim!$E42:$Z42)=0,0,MAX(0,IF((AW$6-$E$3)&lt;1,0,IFERROR(LOOKUP(2,1/(Amendoim!$E42:INDEX(Amendoim!$E42:$Z42,MIN(AW$6-$E$3,22))&lt;&gt;""),Amendoim!$E42:INDEX(Amendoim!$E42:$Z42,MIN(AW$6-$E$3,22))),0))-IF($G$2,0,IF((AW$6-$G$3)&lt;1,0,IFERROR(LOOKUP(2,1/(Amendoim!$E42:INDEX(Amendoim!$E42:$Z42,MIN(AW$6-$G$3,22))&lt;&gt;""),Amendoim!$E42:INDEX(Amendoim!$E42:$Z42,MIN(AW$6-$G$3,22))),0)))))</f>
        <v>0</v>
      </c>
      <c r="AX44" s="27" t="n">
        <f aca="false">IF(COUNT(Amendoim!$E42:$Z42)=0,0,MAX(0,IF((AX$6-$E$3)&lt;1,0,IFERROR(LOOKUP(2,1/(Amendoim!$E42:INDEX(Amendoim!$E42:$Z42,MIN(AX$6-$E$3,22))&lt;&gt;""),Amendoim!$E42:INDEX(Amendoim!$E42:$Z42,MIN(AX$6-$E$3,22))),0))-IF($G$2,0,IF((AX$6-$G$3)&lt;1,0,IFERROR(LOOKUP(2,1/(Amendoim!$E42:INDEX(Amendoim!$E42:$Z42,MIN(AX$6-$G$3,22))&lt;&gt;""),Amendoim!$E42:INDEX(Amendoim!$E42:$Z42,MIN(AX$6-$G$3,22))),0)))))</f>
        <v>0</v>
      </c>
      <c r="AY44" s="27" t="n">
        <f aca="false">IF(COUNT(Amendoim!$E42:$Z42)=0,0,MAX(0,IF((AY$6-$E$3)&lt;1,0,IFERROR(LOOKUP(2,1/(Amendoim!$E42:INDEX(Amendoim!$E42:$Z42,MIN(AY$6-$E$3,22))&lt;&gt;""),Amendoim!$E42:INDEX(Amendoim!$E42:$Z42,MIN(AY$6-$E$3,22))),0))-IF($G$2,0,IF((AY$6-$G$3)&lt;1,0,IFERROR(LOOKUP(2,1/(Amendoim!$E42:INDEX(Amendoim!$E42:$Z42,MIN(AY$6-$G$3,22))&lt;&gt;""),Amendoim!$E42:INDEX(Amendoim!$E42:$Z42,MIN(AY$6-$G$3,22))),0)))))</f>
        <v>0</v>
      </c>
      <c r="AZ44" s="27" t="n">
        <f aca="false">IF(COUNT(Amendoim!$E42:$Z42)=0,0,MAX(0,IF((AZ$6-$E$3)&lt;1,0,IFERROR(LOOKUP(2,1/(Amendoim!$E42:INDEX(Amendoim!$E42:$Z42,MIN(AZ$6-$E$3,22))&lt;&gt;""),Amendoim!$E42:INDEX(Amendoim!$E42:$Z42,MIN(AZ$6-$E$3,22))),0))-IF($G$2,0,IF((AZ$6-$G$3)&lt;1,0,IFERROR(LOOKUP(2,1/(Amendoim!$E42:INDEX(Amendoim!$E42:$Z42,MIN(AZ$6-$G$3,22))&lt;&gt;""),Amendoim!$E42:INDEX(Amendoim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IF(COUNT(Amendoim!$E43:$Z43)&gt;0,N(Amendoim!$D43),0)</f>
        <v>0</v>
      </c>
      <c r="E45" s="27" t="n">
        <f aca="false">IF(COUNT(Amendoim!$E43:$Z43)=0,0,MAX(0,IF((E$6-$E$3)&lt;1,0,IFERROR(LOOKUP(2,1/(Amendoim!$E43:INDEX(Amendoim!$E43:$Z43,MIN(E$6-$E$3,22))&lt;&gt;""),Amendoim!$E43:INDEX(Amendoim!$E43:$Z43,MIN(E$6-$E$3,22))),0))-IF($G$2,0,IF((E$6-$G$3)&lt;1,0,IFERROR(LOOKUP(2,1/(Amendoim!$E43:INDEX(Amendoim!$E43:$Z43,MIN(E$6-$G$3,22))&lt;&gt;""),Amendoim!$E43:INDEX(Amendoim!$E43:$Z43,MIN(E$6-$G$3,22))),0)))))</f>
        <v>0</v>
      </c>
      <c r="F45" s="27" t="n">
        <f aca="false">IF(COUNT(Amendoim!$E43:$Z43)=0,0,MAX(0,IF((F$6-$E$3)&lt;1,0,IFERROR(LOOKUP(2,1/(Amendoim!$E43:INDEX(Amendoim!$E43:$Z43,MIN(F$6-$E$3,22))&lt;&gt;""),Amendoim!$E43:INDEX(Amendoim!$E43:$Z43,MIN(F$6-$E$3,22))),0))-IF($G$2,0,IF((F$6-$G$3)&lt;1,0,IFERROR(LOOKUP(2,1/(Amendoim!$E43:INDEX(Amendoim!$E43:$Z43,MIN(F$6-$G$3,22))&lt;&gt;""),Amendoim!$E43:INDEX(Amendoim!$E43:$Z43,MIN(F$6-$G$3,22))),0)))))</f>
        <v>0</v>
      </c>
      <c r="G45" s="27" t="n">
        <f aca="false">IF(COUNT(Amendoim!$E43:$Z43)=0,0,MAX(0,IF((G$6-$E$3)&lt;1,0,IFERROR(LOOKUP(2,1/(Amendoim!$E43:INDEX(Amendoim!$E43:$Z43,MIN(G$6-$E$3,22))&lt;&gt;""),Amendoim!$E43:INDEX(Amendoim!$E43:$Z43,MIN(G$6-$E$3,22))),0))-IF($G$2,0,IF((G$6-$G$3)&lt;1,0,IFERROR(LOOKUP(2,1/(Amendoim!$E43:INDEX(Amendoim!$E43:$Z43,MIN(G$6-$G$3,22))&lt;&gt;""),Amendoim!$E43:INDEX(Amendoim!$E43:$Z43,MIN(G$6-$G$3,22))),0)))))</f>
        <v>0</v>
      </c>
      <c r="H45" s="27" t="n">
        <f aca="false">IF(COUNT(Amendoim!$E43:$Z43)=0,0,MAX(0,IF((H$6-$E$3)&lt;1,0,IFERROR(LOOKUP(2,1/(Amendoim!$E43:INDEX(Amendoim!$E43:$Z43,MIN(H$6-$E$3,22))&lt;&gt;""),Amendoim!$E43:INDEX(Amendoim!$E43:$Z43,MIN(H$6-$E$3,22))),0))-IF($G$2,0,IF((H$6-$G$3)&lt;1,0,IFERROR(LOOKUP(2,1/(Amendoim!$E43:INDEX(Amendoim!$E43:$Z43,MIN(H$6-$G$3,22))&lt;&gt;""),Amendoim!$E43:INDEX(Amendoim!$E43:$Z43,MIN(H$6-$G$3,22))),0)))))</f>
        <v>0</v>
      </c>
      <c r="I45" s="27" t="n">
        <f aca="false">IF(COUNT(Amendoim!$E43:$Z43)=0,0,MAX(0,IF((I$6-$E$3)&lt;1,0,IFERROR(LOOKUP(2,1/(Amendoim!$E43:INDEX(Amendoim!$E43:$Z43,MIN(I$6-$E$3,22))&lt;&gt;""),Amendoim!$E43:INDEX(Amendoim!$E43:$Z43,MIN(I$6-$E$3,22))),0))-IF($G$2,0,IF((I$6-$G$3)&lt;1,0,IFERROR(LOOKUP(2,1/(Amendoim!$E43:INDEX(Amendoim!$E43:$Z43,MIN(I$6-$G$3,22))&lt;&gt;""),Amendoim!$E43:INDEX(Amendoim!$E43:$Z43,MIN(I$6-$G$3,22))),0)))))</f>
        <v>0</v>
      </c>
      <c r="J45" s="27" t="n">
        <f aca="false">IF(COUNT(Amendoim!$E43:$Z43)=0,0,MAX(0,IF((J$6-$E$3)&lt;1,0,IFERROR(LOOKUP(2,1/(Amendoim!$E43:INDEX(Amendoim!$E43:$Z43,MIN(J$6-$E$3,22))&lt;&gt;""),Amendoim!$E43:INDEX(Amendoim!$E43:$Z43,MIN(J$6-$E$3,22))),0))-IF($G$2,0,IF((J$6-$G$3)&lt;1,0,IFERROR(LOOKUP(2,1/(Amendoim!$E43:INDEX(Amendoim!$E43:$Z43,MIN(J$6-$G$3,22))&lt;&gt;""),Amendoim!$E43:INDEX(Amendoim!$E43:$Z43,MIN(J$6-$G$3,22))),0)))))</f>
        <v>0</v>
      </c>
      <c r="K45" s="27" t="n">
        <f aca="false">IF(COUNT(Amendoim!$E43:$Z43)=0,0,MAX(0,IF((K$6-$E$3)&lt;1,0,IFERROR(LOOKUP(2,1/(Amendoim!$E43:INDEX(Amendoim!$E43:$Z43,MIN(K$6-$E$3,22))&lt;&gt;""),Amendoim!$E43:INDEX(Amendoim!$E43:$Z43,MIN(K$6-$E$3,22))),0))-IF($G$2,0,IF((K$6-$G$3)&lt;1,0,IFERROR(LOOKUP(2,1/(Amendoim!$E43:INDEX(Amendoim!$E43:$Z43,MIN(K$6-$G$3,22))&lt;&gt;""),Amendoim!$E43:INDEX(Amendoim!$E43:$Z43,MIN(K$6-$G$3,22))),0)))))</f>
        <v>0</v>
      </c>
      <c r="L45" s="27" t="n">
        <f aca="false">IF(COUNT(Amendoim!$E43:$Z43)=0,0,MAX(0,IF((L$6-$E$3)&lt;1,0,IFERROR(LOOKUP(2,1/(Amendoim!$E43:INDEX(Amendoim!$E43:$Z43,MIN(L$6-$E$3,22))&lt;&gt;""),Amendoim!$E43:INDEX(Amendoim!$E43:$Z43,MIN(L$6-$E$3,22))),0))-IF($G$2,0,IF((L$6-$G$3)&lt;1,0,IFERROR(LOOKUP(2,1/(Amendoim!$E43:INDEX(Amendoim!$E43:$Z43,MIN(L$6-$G$3,22))&lt;&gt;""),Amendoim!$E43:INDEX(Amendoim!$E43:$Z43,MIN(L$6-$G$3,22))),0)))))</f>
        <v>0</v>
      </c>
      <c r="M45" s="27" t="n">
        <f aca="false">IF(COUNT(Amendoim!$E43:$Z43)=0,0,MAX(0,IF((M$6-$E$3)&lt;1,0,IFERROR(LOOKUP(2,1/(Amendoim!$E43:INDEX(Amendoim!$E43:$Z43,MIN(M$6-$E$3,22))&lt;&gt;""),Amendoim!$E43:INDEX(Amendoim!$E43:$Z43,MIN(M$6-$E$3,22))),0))-IF($G$2,0,IF((M$6-$G$3)&lt;1,0,IFERROR(LOOKUP(2,1/(Amendoim!$E43:INDEX(Amendoim!$E43:$Z43,MIN(M$6-$G$3,22))&lt;&gt;""),Amendoim!$E43:INDEX(Amendoim!$E43:$Z43,MIN(M$6-$G$3,22))),0)))))</f>
        <v>0</v>
      </c>
      <c r="N45" s="27" t="n">
        <f aca="false">IF(COUNT(Amendoim!$E43:$Z43)=0,0,MAX(0,IF((N$6-$E$3)&lt;1,0,IFERROR(LOOKUP(2,1/(Amendoim!$E43:INDEX(Amendoim!$E43:$Z43,MIN(N$6-$E$3,22))&lt;&gt;""),Amendoim!$E43:INDEX(Amendoim!$E43:$Z43,MIN(N$6-$E$3,22))),0))-IF($G$2,0,IF((N$6-$G$3)&lt;1,0,IFERROR(LOOKUP(2,1/(Amendoim!$E43:INDEX(Amendoim!$E43:$Z43,MIN(N$6-$G$3,22))&lt;&gt;""),Amendoim!$E43:INDEX(Amendoim!$E43:$Z43,MIN(N$6-$G$3,22))),0)))))</f>
        <v>0</v>
      </c>
      <c r="O45" s="27" t="n">
        <f aca="false">IF(COUNT(Amendoim!$E43:$Z43)=0,0,MAX(0,IF((O$6-$E$3)&lt;1,0,IFERROR(LOOKUP(2,1/(Amendoim!$E43:INDEX(Amendoim!$E43:$Z43,MIN(O$6-$E$3,22))&lt;&gt;""),Amendoim!$E43:INDEX(Amendoim!$E43:$Z43,MIN(O$6-$E$3,22))),0))-IF($G$2,0,IF((O$6-$G$3)&lt;1,0,IFERROR(LOOKUP(2,1/(Amendoim!$E43:INDEX(Amendoim!$E43:$Z43,MIN(O$6-$G$3,22))&lt;&gt;""),Amendoim!$E43:INDEX(Amendoim!$E43:$Z43,MIN(O$6-$G$3,22))),0)))))</f>
        <v>0</v>
      </c>
      <c r="P45" s="27" t="n">
        <f aca="false">IF(COUNT(Amendoim!$E43:$Z43)=0,0,MAX(0,IF((P$6-$E$3)&lt;1,0,IFERROR(LOOKUP(2,1/(Amendoim!$E43:INDEX(Amendoim!$E43:$Z43,MIN(P$6-$E$3,22))&lt;&gt;""),Amendoim!$E43:INDEX(Amendoim!$E43:$Z43,MIN(P$6-$E$3,22))),0))-IF($G$2,0,IF((P$6-$G$3)&lt;1,0,IFERROR(LOOKUP(2,1/(Amendoim!$E43:INDEX(Amendoim!$E43:$Z43,MIN(P$6-$G$3,22))&lt;&gt;""),Amendoim!$E43:INDEX(Amendoim!$E43:$Z43,MIN(P$6-$G$3,22))),0)))))</f>
        <v>0</v>
      </c>
      <c r="Q45" s="27" t="n">
        <f aca="false">IF(COUNT(Amendoim!$E43:$Z43)=0,0,MAX(0,IF((Q$6-$E$3)&lt;1,0,IFERROR(LOOKUP(2,1/(Amendoim!$E43:INDEX(Amendoim!$E43:$Z43,MIN(Q$6-$E$3,22))&lt;&gt;""),Amendoim!$E43:INDEX(Amendoim!$E43:$Z43,MIN(Q$6-$E$3,22))),0))-IF($G$2,0,IF((Q$6-$G$3)&lt;1,0,IFERROR(LOOKUP(2,1/(Amendoim!$E43:INDEX(Amendoim!$E43:$Z43,MIN(Q$6-$G$3,22))&lt;&gt;""),Amendoim!$E43:INDEX(Amendoim!$E43:$Z43,MIN(Q$6-$G$3,22))),0)))))</f>
        <v>0</v>
      </c>
      <c r="R45" s="27" t="n">
        <f aca="false">IF(COUNT(Amendoim!$E43:$Z43)=0,0,MAX(0,IF((R$6-$E$3)&lt;1,0,IFERROR(LOOKUP(2,1/(Amendoim!$E43:INDEX(Amendoim!$E43:$Z43,MIN(R$6-$E$3,22))&lt;&gt;""),Amendoim!$E43:INDEX(Amendoim!$E43:$Z43,MIN(R$6-$E$3,22))),0))-IF($G$2,0,IF((R$6-$G$3)&lt;1,0,IFERROR(LOOKUP(2,1/(Amendoim!$E43:INDEX(Amendoim!$E43:$Z43,MIN(R$6-$G$3,22))&lt;&gt;""),Amendoim!$E43:INDEX(Amendoim!$E43:$Z43,MIN(R$6-$G$3,22))),0)))))</f>
        <v>0</v>
      </c>
      <c r="S45" s="27" t="n">
        <f aca="false">IF(COUNT(Amendoim!$E43:$Z43)=0,0,MAX(0,IF((S$6-$E$3)&lt;1,0,IFERROR(LOOKUP(2,1/(Amendoim!$E43:INDEX(Amendoim!$E43:$Z43,MIN(S$6-$E$3,22))&lt;&gt;""),Amendoim!$E43:INDEX(Amendoim!$E43:$Z43,MIN(S$6-$E$3,22))),0))-IF($G$2,0,IF((S$6-$G$3)&lt;1,0,IFERROR(LOOKUP(2,1/(Amendoim!$E43:INDEX(Amendoim!$E43:$Z43,MIN(S$6-$G$3,22))&lt;&gt;""),Amendoim!$E43:INDEX(Amendoim!$E43:$Z43,MIN(S$6-$G$3,22))),0)))))</f>
        <v>0</v>
      </c>
      <c r="T45" s="27" t="n">
        <f aca="false">IF(COUNT(Amendoim!$E43:$Z43)=0,0,MAX(0,IF((T$6-$E$3)&lt;1,0,IFERROR(LOOKUP(2,1/(Amendoim!$E43:INDEX(Amendoim!$E43:$Z43,MIN(T$6-$E$3,22))&lt;&gt;""),Amendoim!$E43:INDEX(Amendoim!$E43:$Z43,MIN(T$6-$E$3,22))),0))-IF($G$2,0,IF((T$6-$G$3)&lt;1,0,IFERROR(LOOKUP(2,1/(Amendoim!$E43:INDEX(Amendoim!$E43:$Z43,MIN(T$6-$G$3,22))&lt;&gt;""),Amendoim!$E43:INDEX(Amendoim!$E43:$Z43,MIN(T$6-$G$3,22))),0)))))</f>
        <v>0</v>
      </c>
      <c r="U45" s="27" t="n">
        <f aca="false">IF(COUNT(Amendoim!$E43:$Z43)=0,0,MAX(0,IF((U$6-$E$3)&lt;1,0,IFERROR(LOOKUP(2,1/(Amendoim!$E43:INDEX(Amendoim!$E43:$Z43,MIN(U$6-$E$3,22))&lt;&gt;""),Amendoim!$E43:INDEX(Amendoim!$E43:$Z43,MIN(U$6-$E$3,22))),0))-IF($G$2,0,IF((U$6-$G$3)&lt;1,0,IFERROR(LOOKUP(2,1/(Amendoim!$E43:INDEX(Amendoim!$E43:$Z43,MIN(U$6-$G$3,22))&lt;&gt;""),Amendoim!$E43:INDEX(Amendoim!$E43:$Z43,MIN(U$6-$G$3,22))),0)))))</f>
        <v>0</v>
      </c>
      <c r="V45" s="27" t="n">
        <f aca="false">IF(COUNT(Amendoim!$E43:$Z43)=0,0,MAX(0,IF((V$6-$E$3)&lt;1,0,IFERROR(LOOKUP(2,1/(Amendoim!$E43:INDEX(Amendoim!$E43:$Z43,MIN(V$6-$E$3,22))&lt;&gt;""),Amendoim!$E43:INDEX(Amendoim!$E43:$Z43,MIN(V$6-$E$3,22))),0))-IF($G$2,0,IF((V$6-$G$3)&lt;1,0,IFERROR(LOOKUP(2,1/(Amendoim!$E43:INDEX(Amendoim!$E43:$Z43,MIN(V$6-$G$3,22))&lt;&gt;""),Amendoim!$E43:INDEX(Amendoim!$E43:$Z43,MIN(V$6-$G$3,22))),0)))))</f>
        <v>0</v>
      </c>
      <c r="W45" s="27" t="n">
        <f aca="false">IF(COUNT(Amendoim!$E43:$Z43)=0,0,MAX(0,IF((W$6-$E$3)&lt;1,0,IFERROR(LOOKUP(2,1/(Amendoim!$E43:INDEX(Amendoim!$E43:$Z43,MIN(W$6-$E$3,22))&lt;&gt;""),Amendoim!$E43:INDEX(Amendoim!$E43:$Z43,MIN(W$6-$E$3,22))),0))-IF($G$2,0,IF((W$6-$G$3)&lt;1,0,IFERROR(LOOKUP(2,1/(Amendoim!$E43:INDEX(Amendoim!$E43:$Z43,MIN(W$6-$G$3,22))&lt;&gt;""),Amendoim!$E43:INDEX(Amendoim!$E43:$Z43,MIN(W$6-$G$3,22))),0)))))</f>
        <v>0</v>
      </c>
      <c r="X45" s="27" t="n">
        <f aca="false">IF(COUNT(Amendoim!$E43:$Z43)=0,0,MAX(0,IF((X$6-$E$3)&lt;1,0,IFERROR(LOOKUP(2,1/(Amendoim!$E43:INDEX(Amendoim!$E43:$Z43,MIN(X$6-$E$3,22))&lt;&gt;""),Amendoim!$E43:INDEX(Amendoim!$E43:$Z43,MIN(X$6-$E$3,22))),0))-IF($G$2,0,IF((X$6-$G$3)&lt;1,0,IFERROR(LOOKUP(2,1/(Amendoim!$E43:INDEX(Amendoim!$E43:$Z43,MIN(X$6-$G$3,22))&lt;&gt;""),Amendoim!$E43:INDEX(Amendoim!$E43:$Z43,MIN(X$6-$G$3,22))),0)))))</f>
        <v>0</v>
      </c>
      <c r="Y45" s="27" t="n">
        <f aca="false">IF(COUNT(Amendoim!$E43:$Z43)=0,0,MAX(0,IF((Y$6-$E$3)&lt;1,0,IFERROR(LOOKUP(2,1/(Amendoim!$E43:INDEX(Amendoim!$E43:$Z43,MIN(Y$6-$E$3,22))&lt;&gt;""),Amendoim!$E43:INDEX(Amendoim!$E43:$Z43,MIN(Y$6-$E$3,22))),0))-IF($G$2,0,IF((Y$6-$G$3)&lt;1,0,IFERROR(LOOKUP(2,1/(Amendoim!$E43:INDEX(Amendoim!$E43:$Z43,MIN(Y$6-$G$3,22))&lt;&gt;""),Amendoim!$E43:INDEX(Amendoim!$E43:$Z43,MIN(Y$6-$G$3,22))),0)))))</f>
        <v>0</v>
      </c>
      <c r="Z45" s="27" t="n">
        <f aca="false">IF(COUNT(Amendoim!$E43:$Z43)=0,0,MAX(0,IF((Z$6-$E$3)&lt;1,0,IFERROR(LOOKUP(2,1/(Amendoim!$E43:INDEX(Amendoim!$E43:$Z43,MIN(Z$6-$E$3,22))&lt;&gt;""),Amendoim!$E43:INDEX(Amendoim!$E43:$Z43,MIN(Z$6-$E$3,22))),0))-IF($G$2,0,IF((Z$6-$G$3)&lt;1,0,IFERROR(LOOKUP(2,1/(Amendoim!$E43:INDEX(Amendoim!$E43:$Z43,MIN(Z$6-$G$3,22))&lt;&gt;""),Amendoim!$E43:INDEX(Amendoim!$E43:$Z43,MIN(Z$6-$G$3,22))),0)))))</f>
        <v>0</v>
      </c>
      <c r="AA45" s="27" t="n">
        <f aca="false">IF(COUNT(Amendoim!$E43:$Z43)=0,0,MAX(0,IF((AA$6-$E$3)&lt;1,0,IFERROR(LOOKUP(2,1/(Amendoim!$E43:INDEX(Amendoim!$E43:$Z43,MIN(AA$6-$E$3,22))&lt;&gt;""),Amendoim!$E43:INDEX(Amendoim!$E43:$Z43,MIN(AA$6-$E$3,22))),0))-IF($G$2,0,IF((AA$6-$G$3)&lt;1,0,IFERROR(LOOKUP(2,1/(Amendoim!$E43:INDEX(Amendoim!$E43:$Z43,MIN(AA$6-$G$3,22))&lt;&gt;""),Amendoim!$E43:INDEX(Amendoim!$E43:$Z43,MIN(AA$6-$G$3,22))),0)))))</f>
        <v>0</v>
      </c>
      <c r="AB45" s="27" t="n">
        <f aca="false">IF(COUNT(Amendoim!$E43:$Z43)=0,0,MAX(0,IF((AB$6-$E$3)&lt;1,0,IFERROR(LOOKUP(2,1/(Amendoim!$E43:INDEX(Amendoim!$E43:$Z43,MIN(AB$6-$E$3,22))&lt;&gt;""),Amendoim!$E43:INDEX(Amendoim!$E43:$Z43,MIN(AB$6-$E$3,22))),0))-IF($G$2,0,IF((AB$6-$G$3)&lt;1,0,IFERROR(LOOKUP(2,1/(Amendoim!$E43:INDEX(Amendoim!$E43:$Z43,MIN(AB$6-$G$3,22))&lt;&gt;""),Amendoim!$E43:INDEX(Amendoim!$E43:$Z43,MIN(AB$6-$G$3,22))),0)))))</f>
        <v>0</v>
      </c>
      <c r="AC45" s="27" t="n">
        <f aca="false">IF(COUNT(Amendoim!$E43:$Z43)=0,0,MAX(0,IF((AC$6-$E$3)&lt;1,0,IFERROR(LOOKUP(2,1/(Amendoim!$E43:INDEX(Amendoim!$E43:$Z43,MIN(AC$6-$E$3,22))&lt;&gt;""),Amendoim!$E43:INDEX(Amendoim!$E43:$Z43,MIN(AC$6-$E$3,22))),0))-IF($G$2,0,IF((AC$6-$G$3)&lt;1,0,IFERROR(LOOKUP(2,1/(Amendoim!$E43:INDEX(Amendoim!$E43:$Z43,MIN(AC$6-$G$3,22))&lt;&gt;""),Amendoim!$E43:INDEX(Amendoim!$E43:$Z43,MIN(AC$6-$G$3,22))),0)))))</f>
        <v>0</v>
      </c>
      <c r="AD45" s="27" t="n">
        <f aca="false">IF(COUNT(Amendoim!$E43:$Z43)=0,0,MAX(0,IF((AD$6-$E$3)&lt;1,0,IFERROR(LOOKUP(2,1/(Amendoim!$E43:INDEX(Amendoim!$E43:$Z43,MIN(AD$6-$E$3,22))&lt;&gt;""),Amendoim!$E43:INDEX(Amendoim!$E43:$Z43,MIN(AD$6-$E$3,22))),0))-IF($G$2,0,IF((AD$6-$G$3)&lt;1,0,IFERROR(LOOKUP(2,1/(Amendoim!$E43:INDEX(Amendoim!$E43:$Z43,MIN(AD$6-$G$3,22))&lt;&gt;""),Amendoim!$E43:INDEX(Amendoim!$E43:$Z43,MIN(AD$6-$G$3,22))),0)))))</f>
        <v>0</v>
      </c>
      <c r="AE45" s="27" t="n">
        <f aca="false">IF(COUNT(Amendoim!$E43:$Z43)=0,0,MAX(0,IF((AE$6-$E$3)&lt;1,0,IFERROR(LOOKUP(2,1/(Amendoim!$E43:INDEX(Amendoim!$E43:$Z43,MIN(AE$6-$E$3,22))&lt;&gt;""),Amendoim!$E43:INDEX(Amendoim!$E43:$Z43,MIN(AE$6-$E$3,22))),0))-IF($G$2,0,IF((AE$6-$G$3)&lt;1,0,IFERROR(LOOKUP(2,1/(Amendoim!$E43:INDEX(Amendoim!$E43:$Z43,MIN(AE$6-$G$3,22))&lt;&gt;""),Amendoim!$E43:INDEX(Amendoim!$E43:$Z43,MIN(AE$6-$G$3,22))),0)))))</f>
        <v>0</v>
      </c>
      <c r="AF45" s="27" t="n">
        <f aca="false">IF(COUNT(Amendoim!$E43:$Z43)=0,0,MAX(0,IF((AF$6-$E$3)&lt;1,0,IFERROR(LOOKUP(2,1/(Amendoim!$E43:INDEX(Amendoim!$E43:$Z43,MIN(AF$6-$E$3,22))&lt;&gt;""),Amendoim!$E43:INDEX(Amendoim!$E43:$Z43,MIN(AF$6-$E$3,22))),0))-IF($G$2,0,IF((AF$6-$G$3)&lt;1,0,IFERROR(LOOKUP(2,1/(Amendoim!$E43:INDEX(Amendoim!$E43:$Z43,MIN(AF$6-$G$3,22))&lt;&gt;""),Amendoim!$E43:INDEX(Amendoim!$E43:$Z43,MIN(AF$6-$G$3,22))),0)))))</f>
        <v>0</v>
      </c>
      <c r="AG45" s="27" t="n">
        <f aca="false">IF(COUNT(Amendoim!$E43:$Z43)=0,0,MAX(0,IF((AG$6-$E$3)&lt;1,0,IFERROR(LOOKUP(2,1/(Amendoim!$E43:INDEX(Amendoim!$E43:$Z43,MIN(AG$6-$E$3,22))&lt;&gt;""),Amendoim!$E43:INDEX(Amendoim!$E43:$Z43,MIN(AG$6-$E$3,22))),0))-IF($G$2,0,IF((AG$6-$G$3)&lt;1,0,IFERROR(LOOKUP(2,1/(Amendoim!$E43:INDEX(Amendoim!$E43:$Z43,MIN(AG$6-$G$3,22))&lt;&gt;""),Amendoim!$E43:INDEX(Amendoim!$E43:$Z43,MIN(AG$6-$G$3,22))),0)))))</f>
        <v>0</v>
      </c>
      <c r="AH45" s="27" t="n">
        <f aca="false">IF(COUNT(Amendoim!$E43:$Z43)=0,0,MAX(0,IF((AH$6-$E$3)&lt;1,0,IFERROR(LOOKUP(2,1/(Amendoim!$E43:INDEX(Amendoim!$E43:$Z43,MIN(AH$6-$E$3,22))&lt;&gt;""),Amendoim!$E43:INDEX(Amendoim!$E43:$Z43,MIN(AH$6-$E$3,22))),0))-IF($G$2,0,IF((AH$6-$G$3)&lt;1,0,IFERROR(LOOKUP(2,1/(Amendoim!$E43:INDEX(Amendoim!$E43:$Z43,MIN(AH$6-$G$3,22))&lt;&gt;""),Amendoim!$E43:INDEX(Amendoim!$E43:$Z43,MIN(AH$6-$G$3,22))),0)))))</f>
        <v>0</v>
      </c>
      <c r="AI45" s="27" t="n">
        <f aca="false">IF(COUNT(Amendoim!$E43:$Z43)=0,0,MAX(0,IF((AI$6-$E$3)&lt;1,0,IFERROR(LOOKUP(2,1/(Amendoim!$E43:INDEX(Amendoim!$E43:$Z43,MIN(AI$6-$E$3,22))&lt;&gt;""),Amendoim!$E43:INDEX(Amendoim!$E43:$Z43,MIN(AI$6-$E$3,22))),0))-IF($G$2,0,IF((AI$6-$G$3)&lt;1,0,IFERROR(LOOKUP(2,1/(Amendoim!$E43:INDEX(Amendoim!$E43:$Z43,MIN(AI$6-$G$3,22))&lt;&gt;""),Amendoim!$E43:INDEX(Amendoim!$E43:$Z43,MIN(AI$6-$G$3,22))),0)))))</f>
        <v>0</v>
      </c>
      <c r="AJ45" s="27" t="n">
        <f aca="false">IF(COUNT(Amendoim!$E43:$Z43)=0,0,MAX(0,IF((AJ$6-$E$3)&lt;1,0,IFERROR(LOOKUP(2,1/(Amendoim!$E43:INDEX(Amendoim!$E43:$Z43,MIN(AJ$6-$E$3,22))&lt;&gt;""),Amendoim!$E43:INDEX(Amendoim!$E43:$Z43,MIN(AJ$6-$E$3,22))),0))-IF($G$2,0,IF((AJ$6-$G$3)&lt;1,0,IFERROR(LOOKUP(2,1/(Amendoim!$E43:INDEX(Amendoim!$E43:$Z43,MIN(AJ$6-$G$3,22))&lt;&gt;""),Amendoim!$E43:INDEX(Amendoim!$E43:$Z43,MIN(AJ$6-$G$3,22))),0)))))</f>
        <v>0</v>
      </c>
      <c r="AK45" s="27" t="n">
        <f aca="false">IF(COUNT(Amendoim!$E43:$Z43)=0,0,MAX(0,IF((AK$6-$E$3)&lt;1,0,IFERROR(LOOKUP(2,1/(Amendoim!$E43:INDEX(Amendoim!$E43:$Z43,MIN(AK$6-$E$3,22))&lt;&gt;""),Amendoim!$E43:INDEX(Amendoim!$E43:$Z43,MIN(AK$6-$E$3,22))),0))-IF($G$2,0,IF((AK$6-$G$3)&lt;1,0,IFERROR(LOOKUP(2,1/(Amendoim!$E43:INDEX(Amendoim!$E43:$Z43,MIN(AK$6-$G$3,22))&lt;&gt;""),Amendoim!$E43:INDEX(Amendoim!$E43:$Z43,MIN(AK$6-$G$3,22))),0)))))</f>
        <v>0</v>
      </c>
      <c r="AL45" s="27" t="n">
        <f aca="false">IF(COUNT(Amendoim!$E43:$Z43)=0,0,MAX(0,IF((AL$6-$E$3)&lt;1,0,IFERROR(LOOKUP(2,1/(Amendoim!$E43:INDEX(Amendoim!$E43:$Z43,MIN(AL$6-$E$3,22))&lt;&gt;""),Amendoim!$E43:INDEX(Amendoim!$E43:$Z43,MIN(AL$6-$E$3,22))),0))-IF($G$2,0,IF((AL$6-$G$3)&lt;1,0,IFERROR(LOOKUP(2,1/(Amendoim!$E43:INDEX(Amendoim!$E43:$Z43,MIN(AL$6-$G$3,22))&lt;&gt;""),Amendoim!$E43:INDEX(Amendoim!$E43:$Z43,MIN(AL$6-$G$3,22))),0)))))</f>
        <v>0</v>
      </c>
      <c r="AM45" s="27" t="n">
        <f aca="false">IF(COUNT(Amendoim!$E43:$Z43)=0,0,MAX(0,IF((AM$6-$E$3)&lt;1,0,IFERROR(LOOKUP(2,1/(Amendoim!$E43:INDEX(Amendoim!$E43:$Z43,MIN(AM$6-$E$3,22))&lt;&gt;""),Amendoim!$E43:INDEX(Amendoim!$E43:$Z43,MIN(AM$6-$E$3,22))),0))-IF($G$2,0,IF((AM$6-$G$3)&lt;1,0,IFERROR(LOOKUP(2,1/(Amendoim!$E43:INDEX(Amendoim!$E43:$Z43,MIN(AM$6-$G$3,22))&lt;&gt;""),Amendoim!$E43:INDEX(Amendoim!$E43:$Z43,MIN(AM$6-$G$3,22))),0)))))</f>
        <v>0</v>
      </c>
      <c r="AN45" s="27" t="n">
        <f aca="false">IF(COUNT(Amendoim!$E43:$Z43)=0,0,MAX(0,IF((AN$6-$E$3)&lt;1,0,IFERROR(LOOKUP(2,1/(Amendoim!$E43:INDEX(Amendoim!$E43:$Z43,MIN(AN$6-$E$3,22))&lt;&gt;""),Amendoim!$E43:INDEX(Amendoim!$E43:$Z43,MIN(AN$6-$E$3,22))),0))-IF($G$2,0,IF((AN$6-$G$3)&lt;1,0,IFERROR(LOOKUP(2,1/(Amendoim!$E43:INDEX(Amendoim!$E43:$Z43,MIN(AN$6-$G$3,22))&lt;&gt;""),Amendoim!$E43:INDEX(Amendoim!$E43:$Z43,MIN(AN$6-$G$3,22))),0)))))</f>
        <v>0</v>
      </c>
      <c r="AO45" s="27" t="n">
        <f aca="false">IF(COUNT(Amendoim!$E43:$Z43)=0,0,MAX(0,IF((AO$6-$E$3)&lt;1,0,IFERROR(LOOKUP(2,1/(Amendoim!$E43:INDEX(Amendoim!$E43:$Z43,MIN(AO$6-$E$3,22))&lt;&gt;""),Amendoim!$E43:INDEX(Amendoim!$E43:$Z43,MIN(AO$6-$E$3,22))),0))-IF($G$2,0,IF((AO$6-$G$3)&lt;1,0,IFERROR(LOOKUP(2,1/(Amendoim!$E43:INDEX(Amendoim!$E43:$Z43,MIN(AO$6-$G$3,22))&lt;&gt;""),Amendoim!$E43:INDEX(Amendoim!$E43:$Z43,MIN(AO$6-$G$3,22))),0)))))</f>
        <v>0</v>
      </c>
      <c r="AP45" s="27" t="n">
        <f aca="false">IF(COUNT(Amendoim!$E43:$Z43)=0,0,MAX(0,IF((AP$6-$E$3)&lt;1,0,IFERROR(LOOKUP(2,1/(Amendoim!$E43:INDEX(Amendoim!$E43:$Z43,MIN(AP$6-$E$3,22))&lt;&gt;""),Amendoim!$E43:INDEX(Amendoim!$E43:$Z43,MIN(AP$6-$E$3,22))),0))-IF($G$2,0,IF((AP$6-$G$3)&lt;1,0,IFERROR(LOOKUP(2,1/(Amendoim!$E43:INDEX(Amendoim!$E43:$Z43,MIN(AP$6-$G$3,22))&lt;&gt;""),Amendoim!$E43:INDEX(Amendoim!$E43:$Z43,MIN(AP$6-$G$3,22))),0)))))</f>
        <v>0</v>
      </c>
      <c r="AQ45" s="27" t="n">
        <f aca="false">IF(COUNT(Amendoim!$E43:$Z43)=0,0,MAX(0,IF((AQ$6-$E$3)&lt;1,0,IFERROR(LOOKUP(2,1/(Amendoim!$E43:INDEX(Amendoim!$E43:$Z43,MIN(AQ$6-$E$3,22))&lt;&gt;""),Amendoim!$E43:INDEX(Amendoim!$E43:$Z43,MIN(AQ$6-$E$3,22))),0))-IF($G$2,0,IF((AQ$6-$G$3)&lt;1,0,IFERROR(LOOKUP(2,1/(Amendoim!$E43:INDEX(Amendoim!$E43:$Z43,MIN(AQ$6-$G$3,22))&lt;&gt;""),Amendoim!$E43:INDEX(Amendoim!$E43:$Z43,MIN(AQ$6-$G$3,22))),0)))))</f>
        <v>0</v>
      </c>
      <c r="AR45" s="27" t="n">
        <f aca="false">IF(COUNT(Amendoim!$E43:$Z43)=0,0,MAX(0,IF((AR$6-$E$3)&lt;1,0,IFERROR(LOOKUP(2,1/(Amendoim!$E43:INDEX(Amendoim!$E43:$Z43,MIN(AR$6-$E$3,22))&lt;&gt;""),Amendoim!$E43:INDEX(Amendoim!$E43:$Z43,MIN(AR$6-$E$3,22))),0))-IF($G$2,0,IF((AR$6-$G$3)&lt;1,0,IFERROR(LOOKUP(2,1/(Amendoim!$E43:INDEX(Amendoim!$E43:$Z43,MIN(AR$6-$G$3,22))&lt;&gt;""),Amendoim!$E43:INDEX(Amendoim!$E43:$Z43,MIN(AR$6-$G$3,22))),0)))))</f>
        <v>0</v>
      </c>
      <c r="AS45" s="27" t="n">
        <f aca="false">IF(COUNT(Amendoim!$E43:$Z43)=0,0,MAX(0,IF((AS$6-$E$3)&lt;1,0,IFERROR(LOOKUP(2,1/(Amendoim!$E43:INDEX(Amendoim!$E43:$Z43,MIN(AS$6-$E$3,22))&lt;&gt;""),Amendoim!$E43:INDEX(Amendoim!$E43:$Z43,MIN(AS$6-$E$3,22))),0))-IF($G$2,0,IF((AS$6-$G$3)&lt;1,0,IFERROR(LOOKUP(2,1/(Amendoim!$E43:INDEX(Amendoim!$E43:$Z43,MIN(AS$6-$G$3,22))&lt;&gt;""),Amendoim!$E43:INDEX(Amendoim!$E43:$Z43,MIN(AS$6-$G$3,22))),0)))))</f>
        <v>0</v>
      </c>
      <c r="AT45" s="27" t="n">
        <f aca="false">IF(COUNT(Amendoim!$E43:$Z43)=0,0,MAX(0,IF((AT$6-$E$3)&lt;1,0,IFERROR(LOOKUP(2,1/(Amendoim!$E43:INDEX(Amendoim!$E43:$Z43,MIN(AT$6-$E$3,22))&lt;&gt;""),Amendoim!$E43:INDEX(Amendoim!$E43:$Z43,MIN(AT$6-$E$3,22))),0))-IF($G$2,0,IF((AT$6-$G$3)&lt;1,0,IFERROR(LOOKUP(2,1/(Amendoim!$E43:INDEX(Amendoim!$E43:$Z43,MIN(AT$6-$G$3,22))&lt;&gt;""),Amendoim!$E43:INDEX(Amendoim!$E43:$Z43,MIN(AT$6-$G$3,22))),0)))))</f>
        <v>0</v>
      </c>
      <c r="AU45" s="27" t="n">
        <f aca="false">IF(COUNT(Amendoim!$E43:$Z43)=0,0,MAX(0,IF((AU$6-$E$3)&lt;1,0,IFERROR(LOOKUP(2,1/(Amendoim!$E43:INDEX(Amendoim!$E43:$Z43,MIN(AU$6-$E$3,22))&lt;&gt;""),Amendoim!$E43:INDEX(Amendoim!$E43:$Z43,MIN(AU$6-$E$3,22))),0))-IF($G$2,0,IF((AU$6-$G$3)&lt;1,0,IFERROR(LOOKUP(2,1/(Amendoim!$E43:INDEX(Amendoim!$E43:$Z43,MIN(AU$6-$G$3,22))&lt;&gt;""),Amendoim!$E43:INDEX(Amendoim!$E43:$Z43,MIN(AU$6-$G$3,22))),0)))))</f>
        <v>0</v>
      </c>
      <c r="AV45" s="27" t="n">
        <f aca="false">IF(COUNT(Amendoim!$E43:$Z43)=0,0,MAX(0,IF((AV$6-$E$3)&lt;1,0,IFERROR(LOOKUP(2,1/(Amendoim!$E43:INDEX(Amendoim!$E43:$Z43,MIN(AV$6-$E$3,22))&lt;&gt;""),Amendoim!$E43:INDEX(Amendoim!$E43:$Z43,MIN(AV$6-$E$3,22))),0))-IF($G$2,0,IF((AV$6-$G$3)&lt;1,0,IFERROR(LOOKUP(2,1/(Amendoim!$E43:INDEX(Amendoim!$E43:$Z43,MIN(AV$6-$G$3,22))&lt;&gt;""),Amendoim!$E43:INDEX(Amendoim!$E43:$Z43,MIN(AV$6-$G$3,22))),0)))))</f>
        <v>0</v>
      </c>
      <c r="AW45" s="27" t="n">
        <f aca="false">IF(COUNT(Amendoim!$E43:$Z43)=0,0,MAX(0,IF((AW$6-$E$3)&lt;1,0,IFERROR(LOOKUP(2,1/(Amendoim!$E43:INDEX(Amendoim!$E43:$Z43,MIN(AW$6-$E$3,22))&lt;&gt;""),Amendoim!$E43:INDEX(Amendoim!$E43:$Z43,MIN(AW$6-$E$3,22))),0))-IF($G$2,0,IF((AW$6-$G$3)&lt;1,0,IFERROR(LOOKUP(2,1/(Amendoim!$E43:INDEX(Amendoim!$E43:$Z43,MIN(AW$6-$G$3,22))&lt;&gt;""),Amendoim!$E43:INDEX(Amendoim!$E43:$Z43,MIN(AW$6-$G$3,22))),0)))))</f>
        <v>0</v>
      </c>
      <c r="AX45" s="27" t="n">
        <f aca="false">IF(COUNT(Amendoim!$E43:$Z43)=0,0,MAX(0,IF((AX$6-$E$3)&lt;1,0,IFERROR(LOOKUP(2,1/(Amendoim!$E43:INDEX(Amendoim!$E43:$Z43,MIN(AX$6-$E$3,22))&lt;&gt;""),Amendoim!$E43:INDEX(Amendoim!$E43:$Z43,MIN(AX$6-$E$3,22))),0))-IF($G$2,0,IF((AX$6-$G$3)&lt;1,0,IFERROR(LOOKUP(2,1/(Amendoim!$E43:INDEX(Amendoim!$E43:$Z43,MIN(AX$6-$G$3,22))&lt;&gt;""),Amendoim!$E43:INDEX(Amendoim!$E43:$Z43,MIN(AX$6-$G$3,22))),0)))))</f>
        <v>0</v>
      </c>
      <c r="AY45" s="27" t="n">
        <f aca="false">IF(COUNT(Amendoim!$E43:$Z43)=0,0,MAX(0,IF((AY$6-$E$3)&lt;1,0,IFERROR(LOOKUP(2,1/(Amendoim!$E43:INDEX(Amendoim!$E43:$Z43,MIN(AY$6-$E$3,22))&lt;&gt;""),Amendoim!$E43:INDEX(Amendoim!$E43:$Z43,MIN(AY$6-$E$3,22))),0))-IF($G$2,0,IF((AY$6-$G$3)&lt;1,0,IFERROR(LOOKUP(2,1/(Amendoim!$E43:INDEX(Amendoim!$E43:$Z43,MIN(AY$6-$G$3,22))&lt;&gt;""),Amendoim!$E43:INDEX(Amendoim!$E43:$Z43,MIN(AY$6-$G$3,22))),0)))))</f>
        <v>0</v>
      </c>
      <c r="AZ45" s="27" t="n">
        <f aca="false">IF(COUNT(Amendoim!$E43:$Z43)=0,0,MAX(0,IF((AZ$6-$E$3)&lt;1,0,IFERROR(LOOKUP(2,1/(Amendoim!$E43:INDEX(Amendoim!$E43:$Z43,MIN(AZ$6-$E$3,22))&lt;&gt;""),Amendoim!$E43:INDEX(Amendoim!$E43:$Z43,MIN(AZ$6-$E$3,22))),0))-IF($G$2,0,IF((AZ$6-$G$3)&lt;1,0,IFERROR(LOOKUP(2,1/(Amendoim!$E43:INDEX(Amendoim!$E43:$Z43,MIN(AZ$6-$G$3,22))&lt;&gt;""),Amendoim!$E43:INDEX(Amendoim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IF(COUNT(Amendoim!$E44:$Z44)&gt;0,N(Amendoim!$D44),0)</f>
        <v>0</v>
      </c>
      <c r="E46" s="27" t="n">
        <f aca="false">IF(COUNT(Amendoim!$E44:$Z44)=0,0,MAX(0,IF((E$6-$E$3)&lt;1,0,IFERROR(LOOKUP(2,1/(Amendoim!$E44:INDEX(Amendoim!$E44:$Z44,MIN(E$6-$E$3,22))&lt;&gt;""),Amendoim!$E44:INDEX(Amendoim!$E44:$Z44,MIN(E$6-$E$3,22))),0))-IF($G$2,0,IF((E$6-$G$3)&lt;1,0,IFERROR(LOOKUP(2,1/(Amendoim!$E44:INDEX(Amendoim!$E44:$Z44,MIN(E$6-$G$3,22))&lt;&gt;""),Amendoim!$E44:INDEX(Amendoim!$E44:$Z44,MIN(E$6-$G$3,22))),0)))))</f>
        <v>0</v>
      </c>
      <c r="F46" s="27" t="n">
        <f aca="false">IF(COUNT(Amendoim!$E44:$Z44)=0,0,MAX(0,IF((F$6-$E$3)&lt;1,0,IFERROR(LOOKUP(2,1/(Amendoim!$E44:INDEX(Amendoim!$E44:$Z44,MIN(F$6-$E$3,22))&lt;&gt;""),Amendoim!$E44:INDEX(Amendoim!$E44:$Z44,MIN(F$6-$E$3,22))),0))-IF($G$2,0,IF((F$6-$G$3)&lt;1,0,IFERROR(LOOKUP(2,1/(Amendoim!$E44:INDEX(Amendoim!$E44:$Z44,MIN(F$6-$G$3,22))&lt;&gt;""),Amendoim!$E44:INDEX(Amendoim!$E44:$Z44,MIN(F$6-$G$3,22))),0)))))</f>
        <v>0</v>
      </c>
      <c r="G46" s="27" t="n">
        <f aca="false">IF(COUNT(Amendoim!$E44:$Z44)=0,0,MAX(0,IF((G$6-$E$3)&lt;1,0,IFERROR(LOOKUP(2,1/(Amendoim!$E44:INDEX(Amendoim!$E44:$Z44,MIN(G$6-$E$3,22))&lt;&gt;""),Amendoim!$E44:INDEX(Amendoim!$E44:$Z44,MIN(G$6-$E$3,22))),0))-IF($G$2,0,IF((G$6-$G$3)&lt;1,0,IFERROR(LOOKUP(2,1/(Amendoim!$E44:INDEX(Amendoim!$E44:$Z44,MIN(G$6-$G$3,22))&lt;&gt;""),Amendoim!$E44:INDEX(Amendoim!$E44:$Z44,MIN(G$6-$G$3,22))),0)))))</f>
        <v>0</v>
      </c>
      <c r="H46" s="27" t="n">
        <f aca="false">IF(COUNT(Amendoim!$E44:$Z44)=0,0,MAX(0,IF((H$6-$E$3)&lt;1,0,IFERROR(LOOKUP(2,1/(Amendoim!$E44:INDEX(Amendoim!$E44:$Z44,MIN(H$6-$E$3,22))&lt;&gt;""),Amendoim!$E44:INDEX(Amendoim!$E44:$Z44,MIN(H$6-$E$3,22))),0))-IF($G$2,0,IF((H$6-$G$3)&lt;1,0,IFERROR(LOOKUP(2,1/(Amendoim!$E44:INDEX(Amendoim!$E44:$Z44,MIN(H$6-$G$3,22))&lt;&gt;""),Amendoim!$E44:INDEX(Amendoim!$E44:$Z44,MIN(H$6-$G$3,22))),0)))))</f>
        <v>0</v>
      </c>
      <c r="I46" s="27" t="n">
        <f aca="false">IF(COUNT(Amendoim!$E44:$Z44)=0,0,MAX(0,IF((I$6-$E$3)&lt;1,0,IFERROR(LOOKUP(2,1/(Amendoim!$E44:INDEX(Amendoim!$E44:$Z44,MIN(I$6-$E$3,22))&lt;&gt;""),Amendoim!$E44:INDEX(Amendoim!$E44:$Z44,MIN(I$6-$E$3,22))),0))-IF($G$2,0,IF((I$6-$G$3)&lt;1,0,IFERROR(LOOKUP(2,1/(Amendoim!$E44:INDEX(Amendoim!$E44:$Z44,MIN(I$6-$G$3,22))&lt;&gt;""),Amendoim!$E44:INDEX(Amendoim!$E44:$Z44,MIN(I$6-$G$3,22))),0)))))</f>
        <v>0</v>
      </c>
      <c r="J46" s="27" t="n">
        <f aca="false">IF(COUNT(Amendoim!$E44:$Z44)=0,0,MAX(0,IF((J$6-$E$3)&lt;1,0,IFERROR(LOOKUP(2,1/(Amendoim!$E44:INDEX(Amendoim!$E44:$Z44,MIN(J$6-$E$3,22))&lt;&gt;""),Amendoim!$E44:INDEX(Amendoim!$E44:$Z44,MIN(J$6-$E$3,22))),0))-IF($G$2,0,IF((J$6-$G$3)&lt;1,0,IFERROR(LOOKUP(2,1/(Amendoim!$E44:INDEX(Amendoim!$E44:$Z44,MIN(J$6-$G$3,22))&lt;&gt;""),Amendoim!$E44:INDEX(Amendoim!$E44:$Z44,MIN(J$6-$G$3,22))),0)))))</f>
        <v>0</v>
      </c>
      <c r="K46" s="27" t="n">
        <f aca="false">IF(COUNT(Amendoim!$E44:$Z44)=0,0,MAX(0,IF((K$6-$E$3)&lt;1,0,IFERROR(LOOKUP(2,1/(Amendoim!$E44:INDEX(Amendoim!$E44:$Z44,MIN(K$6-$E$3,22))&lt;&gt;""),Amendoim!$E44:INDEX(Amendoim!$E44:$Z44,MIN(K$6-$E$3,22))),0))-IF($G$2,0,IF((K$6-$G$3)&lt;1,0,IFERROR(LOOKUP(2,1/(Amendoim!$E44:INDEX(Amendoim!$E44:$Z44,MIN(K$6-$G$3,22))&lt;&gt;""),Amendoim!$E44:INDEX(Amendoim!$E44:$Z44,MIN(K$6-$G$3,22))),0)))))</f>
        <v>0</v>
      </c>
      <c r="L46" s="27" t="n">
        <f aca="false">IF(COUNT(Amendoim!$E44:$Z44)=0,0,MAX(0,IF((L$6-$E$3)&lt;1,0,IFERROR(LOOKUP(2,1/(Amendoim!$E44:INDEX(Amendoim!$E44:$Z44,MIN(L$6-$E$3,22))&lt;&gt;""),Amendoim!$E44:INDEX(Amendoim!$E44:$Z44,MIN(L$6-$E$3,22))),0))-IF($G$2,0,IF((L$6-$G$3)&lt;1,0,IFERROR(LOOKUP(2,1/(Amendoim!$E44:INDEX(Amendoim!$E44:$Z44,MIN(L$6-$G$3,22))&lt;&gt;""),Amendoim!$E44:INDEX(Amendoim!$E44:$Z44,MIN(L$6-$G$3,22))),0)))))</f>
        <v>0</v>
      </c>
      <c r="M46" s="27" t="n">
        <f aca="false">IF(COUNT(Amendoim!$E44:$Z44)=0,0,MAX(0,IF((M$6-$E$3)&lt;1,0,IFERROR(LOOKUP(2,1/(Amendoim!$E44:INDEX(Amendoim!$E44:$Z44,MIN(M$6-$E$3,22))&lt;&gt;""),Amendoim!$E44:INDEX(Amendoim!$E44:$Z44,MIN(M$6-$E$3,22))),0))-IF($G$2,0,IF((M$6-$G$3)&lt;1,0,IFERROR(LOOKUP(2,1/(Amendoim!$E44:INDEX(Amendoim!$E44:$Z44,MIN(M$6-$G$3,22))&lt;&gt;""),Amendoim!$E44:INDEX(Amendoim!$E44:$Z44,MIN(M$6-$G$3,22))),0)))))</f>
        <v>0</v>
      </c>
      <c r="N46" s="27" t="n">
        <f aca="false">IF(COUNT(Amendoim!$E44:$Z44)=0,0,MAX(0,IF((N$6-$E$3)&lt;1,0,IFERROR(LOOKUP(2,1/(Amendoim!$E44:INDEX(Amendoim!$E44:$Z44,MIN(N$6-$E$3,22))&lt;&gt;""),Amendoim!$E44:INDEX(Amendoim!$E44:$Z44,MIN(N$6-$E$3,22))),0))-IF($G$2,0,IF((N$6-$G$3)&lt;1,0,IFERROR(LOOKUP(2,1/(Amendoim!$E44:INDEX(Amendoim!$E44:$Z44,MIN(N$6-$G$3,22))&lt;&gt;""),Amendoim!$E44:INDEX(Amendoim!$E44:$Z44,MIN(N$6-$G$3,22))),0)))))</f>
        <v>0</v>
      </c>
      <c r="O46" s="27" t="n">
        <f aca="false">IF(COUNT(Amendoim!$E44:$Z44)=0,0,MAX(0,IF((O$6-$E$3)&lt;1,0,IFERROR(LOOKUP(2,1/(Amendoim!$E44:INDEX(Amendoim!$E44:$Z44,MIN(O$6-$E$3,22))&lt;&gt;""),Amendoim!$E44:INDEX(Amendoim!$E44:$Z44,MIN(O$6-$E$3,22))),0))-IF($G$2,0,IF((O$6-$G$3)&lt;1,0,IFERROR(LOOKUP(2,1/(Amendoim!$E44:INDEX(Amendoim!$E44:$Z44,MIN(O$6-$G$3,22))&lt;&gt;""),Amendoim!$E44:INDEX(Amendoim!$E44:$Z44,MIN(O$6-$G$3,22))),0)))))</f>
        <v>0</v>
      </c>
      <c r="P46" s="27" t="n">
        <f aca="false">IF(COUNT(Amendoim!$E44:$Z44)=0,0,MAX(0,IF((P$6-$E$3)&lt;1,0,IFERROR(LOOKUP(2,1/(Amendoim!$E44:INDEX(Amendoim!$E44:$Z44,MIN(P$6-$E$3,22))&lt;&gt;""),Amendoim!$E44:INDEX(Amendoim!$E44:$Z44,MIN(P$6-$E$3,22))),0))-IF($G$2,0,IF((P$6-$G$3)&lt;1,0,IFERROR(LOOKUP(2,1/(Amendoim!$E44:INDEX(Amendoim!$E44:$Z44,MIN(P$6-$G$3,22))&lt;&gt;""),Amendoim!$E44:INDEX(Amendoim!$E44:$Z44,MIN(P$6-$G$3,22))),0)))))</f>
        <v>0</v>
      </c>
      <c r="Q46" s="27" t="n">
        <f aca="false">IF(COUNT(Amendoim!$E44:$Z44)=0,0,MAX(0,IF((Q$6-$E$3)&lt;1,0,IFERROR(LOOKUP(2,1/(Amendoim!$E44:INDEX(Amendoim!$E44:$Z44,MIN(Q$6-$E$3,22))&lt;&gt;""),Amendoim!$E44:INDEX(Amendoim!$E44:$Z44,MIN(Q$6-$E$3,22))),0))-IF($G$2,0,IF((Q$6-$G$3)&lt;1,0,IFERROR(LOOKUP(2,1/(Amendoim!$E44:INDEX(Amendoim!$E44:$Z44,MIN(Q$6-$G$3,22))&lt;&gt;""),Amendoim!$E44:INDEX(Amendoim!$E44:$Z44,MIN(Q$6-$G$3,22))),0)))))</f>
        <v>0</v>
      </c>
      <c r="R46" s="27" t="n">
        <f aca="false">IF(COUNT(Amendoim!$E44:$Z44)=0,0,MAX(0,IF((R$6-$E$3)&lt;1,0,IFERROR(LOOKUP(2,1/(Amendoim!$E44:INDEX(Amendoim!$E44:$Z44,MIN(R$6-$E$3,22))&lt;&gt;""),Amendoim!$E44:INDEX(Amendoim!$E44:$Z44,MIN(R$6-$E$3,22))),0))-IF($G$2,0,IF((R$6-$G$3)&lt;1,0,IFERROR(LOOKUP(2,1/(Amendoim!$E44:INDEX(Amendoim!$E44:$Z44,MIN(R$6-$G$3,22))&lt;&gt;""),Amendoim!$E44:INDEX(Amendoim!$E44:$Z44,MIN(R$6-$G$3,22))),0)))))</f>
        <v>0</v>
      </c>
      <c r="S46" s="27" t="n">
        <f aca="false">IF(COUNT(Amendoim!$E44:$Z44)=0,0,MAX(0,IF((S$6-$E$3)&lt;1,0,IFERROR(LOOKUP(2,1/(Amendoim!$E44:INDEX(Amendoim!$E44:$Z44,MIN(S$6-$E$3,22))&lt;&gt;""),Amendoim!$E44:INDEX(Amendoim!$E44:$Z44,MIN(S$6-$E$3,22))),0))-IF($G$2,0,IF((S$6-$G$3)&lt;1,0,IFERROR(LOOKUP(2,1/(Amendoim!$E44:INDEX(Amendoim!$E44:$Z44,MIN(S$6-$G$3,22))&lt;&gt;""),Amendoim!$E44:INDEX(Amendoim!$E44:$Z44,MIN(S$6-$G$3,22))),0)))))</f>
        <v>0</v>
      </c>
      <c r="T46" s="27" t="n">
        <f aca="false">IF(COUNT(Amendoim!$E44:$Z44)=0,0,MAX(0,IF((T$6-$E$3)&lt;1,0,IFERROR(LOOKUP(2,1/(Amendoim!$E44:INDEX(Amendoim!$E44:$Z44,MIN(T$6-$E$3,22))&lt;&gt;""),Amendoim!$E44:INDEX(Amendoim!$E44:$Z44,MIN(T$6-$E$3,22))),0))-IF($G$2,0,IF((T$6-$G$3)&lt;1,0,IFERROR(LOOKUP(2,1/(Amendoim!$E44:INDEX(Amendoim!$E44:$Z44,MIN(T$6-$G$3,22))&lt;&gt;""),Amendoim!$E44:INDEX(Amendoim!$E44:$Z44,MIN(T$6-$G$3,22))),0)))))</f>
        <v>0</v>
      </c>
      <c r="U46" s="27" t="n">
        <f aca="false">IF(COUNT(Amendoim!$E44:$Z44)=0,0,MAX(0,IF((U$6-$E$3)&lt;1,0,IFERROR(LOOKUP(2,1/(Amendoim!$E44:INDEX(Amendoim!$E44:$Z44,MIN(U$6-$E$3,22))&lt;&gt;""),Amendoim!$E44:INDEX(Amendoim!$E44:$Z44,MIN(U$6-$E$3,22))),0))-IF($G$2,0,IF((U$6-$G$3)&lt;1,0,IFERROR(LOOKUP(2,1/(Amendoim!$E44:INDEX(Amendoim!$E44:$Z44,MIN(U$6-$G$3,22))&lt;&gt;""),Amendoim!$E44:INDEX(Amendoim!$E44:$Z44,MIN(U$6-$G$3,22))),0)))))</f>
        <v>0</v>
      </c>
      <c r="V46" s="27" t="n">
        <f aca="false">IF(COUNT(Amendoim!$E44:$Z44)=0,0,MAX(0,IF((V$6-$E$3)&lt;1,0,IFERROR(LOOKUP(2,1/(Amendoim!$E44:INDEX(Amendoim!$E44:$Z44,MIN(V$6-$E$3,22))&lt;&gt;""),Amendoim!$E44:INDEX(Amendoim!$E44:$Z44,MIN(V$6-$E$3,22))),0))-IF($G$2,0,IF((V$6-$G$3)&lt;1,0,IFERROR(LOOKUP(2,1/(Amendoim!$E44:INDEX(Amendoim!$E44:$Z44,MIN(V$6-$G$3,22))&lt;&gt;""),Amendoim!$E44:INDEX(Amendoim!$E44:$Z44,MIN(V$6-$G$3,22))),0)))))</f>
        <v>0</v>
      </c>
      <c r="W46" s="27" t="n">
        <f aca="false">IF(COUNT(Amendoim!$E44:$Z44)=0,0,MAX(0,IF((W$6-$E$3)&lt;1,0,IFERROR(LOOKUP(2,1/(Amendoim!$E44:INDEX(Amendoim!$E44:$Z44,MIN(W$6-$E$3,22))&lt;&gt;""),Amendoim!$E44:INDEX(Amendoim!$E44:$Z44,MIN(W$6-$E$3,22))),0))-IF($G$2,0,IF((W$6-$G$3)&lt;1,0,IFERROR(LOOKUP(2,1/(Amendoim!$E44:INDEX(Amendoim!$E44:$Z44,MIN(W$6-$G$3,22))&lt;&gt;""),Amendoim!$E44:INDEX(Amendoim!$E44:$Z44,MIN(W$6-$G$3,22))),0)))))</f>
        <v>0</v>
      </c>
      <c r="X46" s="27" t="n">
        <f aca="false">IF(COUNT(Amendoim!$E44:$Z44)=0,0,MAX(0,IF((X$6-$E$3)&lt;1,0,IFERROR(LOOKUP(2,1/(Amendoim!$E44:INDEX(Amendoim!$E44:$Z44,MIN(X$6-$E$3,22))&lt;&gt;""),Amendoim!$E44:INDEX(Amendoim!$E44:$Z44,MIN(X$6-$E$3,22))),0))-IF($G$2,0,IF((X$6-$G$3)&lt;1,0,IFERROR(LOOKUP(2,1/(Amendoim!$E44:INDEX(Amendoim!$E44:$Z44,MIN(X$6-$G$3,22))&lt;&gt;""),Amendoim!$E44:INDEX(Amendoim!$E44:$Z44,MIN(X$6-$G$3,22))),0)))))</f>
        <v>0</v>
      </c>
      <c r="Y46" s="27" t="n">
        <f aca="false">IF(COUNT(Amendoim!$E44:$Z44)=0,0,MAX(0,IF((Y$6-$E$3)&lt;1,0,IFERROR(LOOKUP(2,1/(Amendoim!$E44:INDEX(Amendoim!$E44:$Z44,MIN(Y$6-$E$3,22))&lt;&gt;""),Amendoim!$E44:INDEX(Amendoim!$E44:$Z44,MIN(Y$6-$E$3,22))),0))-IF($G$2,0,IF((Y$6-$G$3)&lt;1,0,IFERROR(LOOKUP(2,1/(Amendoim!$E44:INDEX(Amendoim!$E44:$Z44,MIN(Y$6-$G$3,22))&lt;&gt;""),Amendoim!$E44:INDEX(Amendoim!$E44:$Z44,MIN(Y$6-$G$3,22))),0)))))</f>
        <v>0</v>
      </c>
      <c r="Z46" s="27" t="n">
        <f aca="false">IF(COUNT(Amendoim!$E44:$Z44)=0,0,MAX(0,IF((Z$6-$E$3)&lt;1,0,IFERROR(LOOKUP(2,1/(Amendoim!$E44:INDEX(Amendoim!$E44:$Z44,MIN(Z$6-$E$3,22))&lt;&gt;""),Amendoim!$E44:INDEX(Amendoim!$E44:$Z44,MIN(Z$6-$E$3,22))),0))-IF($G$2,0,IF((Z$6-$G$3)&lt;1,0,IFERROR(LOOKUP(2,1/(Amendoim!$E44:INDEX(Amendoim!$E44:$Z44,MIN(Z$6-$G$3,22))&lt;&gt;""),Amendoim!$E44:INDEX(Amendoim!$E44:$Z44,MIN(Z$6-$G$3,22))),0)))))</f>
        <v>0</v>
      </c>
      <c r="AA46" s="27" t="n">
        <f aca="false">IF(COUNT(Amendoim!$E44:$Z44)=0,0,MAX(0,IF((AA$6-$E$3)&lt;1,0,IFERROR(LOOKUP(2,1/(Amendoim!$E44:INDEX(Amendoim!$E44:$Z44,MIN(AA$6-$E$3,22))&lt;&gt;""),Amendoim!$E44:INDEX(Amendoim!$E44:$Z44,MIN(AA$6-$E$3,22))),0))-IF($G$2,0,IF((AA$6-$G$3)&lt;1,0,IFERROR(LOOKUP(2,1/(Amendoim!$E44:INDEX(Amendoim!$E44:$Z44,MIN(AA$6-$G$3,22))&lt;&gt;""),Amendoim!$E44:INDEX(Amendoim!$E44:$Z44,MIN(AA$6-$G$3,22))),0)))))</f>
        <v>0</v>
      </c>
      <c r="AB46" s="27" t="n">
        <f aca="false">IF(COUNT(Amendoim!$E44:$Z44)=0,0,MAX(0,IF((AB$6-$E$3)&lt;1,0,IFERROR(LOOKUP(2,1/(Amendoim!$E44:INDEX(Amendoim!$E44:$Z44,MIN(AB$6-$E$3,22))&lt;&gt;""),Amendoim!$E44:INDEX(Amendoim!$E44:$Z44,MIN(AB$6-$E$3,22))),0))-IF($G$2,0,IF((AB$6-$G$3)&lt;1,0,IFERROR(LOOKUP(2,1/(Amendoim!$E44:INDEX(Amendoim!$E44:$Z44,MIN(AB$6-$G$3,22))&lt;&gt;""),Amendoim!$E44:INDEX(Amendoim!$E44:$Z44,MIN(AB$6-$G$3,22))),0)))))</f>
        <v>0</v>
      </c>
      <c r="AC46" s="27" t="n">
        <f aca="false">IF(COUNT(Amendoim!$E44:$Z44)=0,0,MAX(0,IF((AC$6-$E$3)&lt;1,0,IFERROR(LOOKUP(2,1/(Amendoim!$E44:INDEX(Amendoim!$E44:$Z44,MIN(AC$6-$E$3,22))&lt;&gt;""),Amendoim!$E44:INDEX(Amendoim!$E44:$Z44,MIN(AC$6-$E$3,22))),0))-IF($G$2,0,IF((AC$6-$G$3)&lt;1,0,IFERROR(LOOKUP(2,1/(Amendoim!$E44:INDEX(Amendoim!$E44:$Z44,MIN(AC$6-$G$3,22))&lt;&gt;""),Amendoim!$E44:INDEX(Amendoim!$E44:$Z44,MIN(AC$6-$G$3,22))),0)))))</f>
        <v>0</v>
      </c>
      <c r="AD46" s="27" t="n">
        <f aca="false">IF(COUNT(Amendoim!$E44:$Z44)=0,0,MAX(0,IF((AD$6-$E$3)&lt;1,0,IFERROR(LOOKUP(2,1/(Amendoim!$E44:INDEX(Amendoim!$E44:$Z44,MIN(AD$6-$E$3,22))&lt;&gt;""),Amendoim!$E44:INDEX(Amendoim!$E44:$Z44,MIN(AD$6-$E$3,22))),0))-IF($G$2,0,IF((AD$6-$G$3)&lt;1,0,IFERROR(LOOKUP(2,1/(Amendoim!$E44:INDEX(Amendoim!$E44:$Z44,MIN(AD$6-$G$3,22))&lt;&gt;""),Amendoim!$E44:INDEX(Amendoim!$E44:$Z44,MIN(AD$6-$G$3,22))),0)))))</f>
        <v>0</v>
      </c>
      <c r="AE46" s="27" t="n">
        <f aca="false">IF(COUNT(Amendoim!$E44:$Z44)=0,0,MAX(0,IF((AE$6-$E$3)&lt;1,0,IFERROR(LOOKUP(2,1/(Amendoim!$E44:INDEX(Amendoim!$E44:$Z44,MIN(AE$6-$E$3,22))&lt;&gt;""),Amendoim!$E44:INDEX(Amendoim!$E44:$Z44,MIN(AE$6-$E$3,22))),0))-IF($G$2,0,IF((AE$6-$G$3)&lt;1,0,IFERROR(LOOKUP(2,1/(Amendoim!$E44:INDEX(Amendoim!$E44:$Z44,MIN(AE$6-$G$3,22))&lt;&gt;""),Amendoim!$E44:INDEX(Amendoim!$E44:$Z44,MIN(AE$6-$G$3,22))),0)))))</f>
        <v>0</v>
      </c>
      <c r="AF46" s="27" t="n">
        <f aca="false">IF(COUNT(Amendoim!$E44:$Z44)=0,0,MAX(0,IF((AF$6-$E$3)&lt;1,0,IFERROR(LOOKUP(2,1/(Amendoim!$E44:INDEX(Amendoim!$E44:$Z44,MIN(AF$6-$E$3,22))&lt;&gt;""),Amendoim!$E44:INDEX(Amendoim!$E44:$Z44,MIN(AF$6-$E$3,22))),0))-IF($G$2,0,IF((AF$6-$G$3)&lt;1,0,IFERROR(LOOKUP(2,1/(Amendoim!$E44:INDEX(Amendoim!$E44:$Z44,MIN(AF$6-$G$3,22))&lt;&gt;""),Amendoim!$E44:INDEX(Amendoim!$E44:$Z44,MIN(AF$6-$G$3,22))),0)))))</f>
        <v>0</v>
      </c>
      <c r="AG46" s="27" t="n">
        <f aca="false">IF(COUNT(Amendoim!$E44:$Z44)=0,0,MAX(0,IF((AG$6-$E$3)&lt;1,0,IFERROR(LOOKUP(2,1/(Amendoim!$E44:INDEX(Amendoim!$E44:$Z44,MIN(AG$6-$E$3,22))&lt;&gt;""),Amendoim!$E44:INDEX(Amendoim!$E44:$Z44,MIN(AG$6-$E$3,22))),0))-IF($G$2,0,IF((AG$6-$G$3)&lt;1,0,IFERROR(LOOKUP(2,1/(Amendoim!$E44:INDEX(Amendoim!$E44:$Z44,MIN(AG$6-$G$3,22))&lt;&gt;""),Amendoim!$E44:INDEX(Amendoim!$E44:$Z44,MIN(AG$6-$G$3,22))),0)))))</f>
        <v>0</v>
      </c>
      <c r="AH46" s="27" t="n">
        <f aca="false">IF(COUNT(Amendoim!$E44:$Z44)=0,0,MAX(0,IF((AH$6-$E$3)&lt;1,0,IFERROR(LOOKUP(2,1/(Amendoim!$E44:INDEX(Amendoim!$E44:$Z44,MIN(AH$6-$E$3,22))&lt;&gt;""),Amendoim!$E44:INDEX(Amendoim!$E44:$Z44,MIN(AH$6-$E$3,22))),0))-IF($G$2,0,IF((AH$6-$G$3)&lt;1,0,IFERROR(LOOKUP(2,1/(Amendoim!$E44:INDEX(Amendoim!$E44:$Z44,MIN(AH$6-$G$3,22))&lt;&gt;""),Amendoim!$E44:INDEX(Amendoim!$E44:$Z44,MIN(AH$6-$G$3,22))),0)))))</f>
        <v>0</v>
      </c>
      <c r="AI46" s="27" t="n">
        <f aca="false">IF(COUNT(Amendoim!$E44:$Z44)=0,0,MAX(0,IF((AI$6-$E$3)&lt;1,0,IFERROR(LOOKUP(2,1/(Amendoim!$E44:INDEX(Amendoim!$E44:$Z44,MIN(AI$6-$E$3,22))&lt;&gt;""),Amendoim!$E44:INDEX(Amendoim!$E44:$Z44,MIN(AI$6-$E$3,22))),0))-IF($G$2,0,IF((AI$6-$G$3)&lt;1,0,IFERROR(LOOKUP(2,1/(Amendoim!$E44:INDEX(Amendoim!$E44:$Z44,MIN(AI$6-$G$3,22))&lt;&gt;""),Amendoim!$E44:INDEX(Amendoim!$E44:$Z44,MIN(AI$6-$G$3,22))),0)))))</f>
        <v>0</v>
      </c>
      <c r="AJ46" s="27" t="n">
        <f aca="false">IF(COUNT(Amendoim!$E44:$Z44)=0,0,MAX(0,IF((AJ$6-$E$3)&lt;1,0,IFERROR(LOOKUP(2,1/(Amendoim!$E44:INDEX(Amendoim!$E44:$Z44,MIN(AJ$6-$E$3,22))&lt;&gt;""),Amendoim!$E44:INDEX(Amendoim!$E44:$Z44,MIN(AJ$6-$E$3,22))),0))-IF($G$2,0,IF((AJ$6-$G$3)&lt;1,0,IFERROR(LOOKUP(2,1/(Amendoim!$E44:INDEX(Amendoim!$E44:$Z44,MIN(AJ$6-$G$3,22))&lt;&gt;""),Amendoim!$E44:INDEX(Amendoim!$E44:$Z44,MIN(AJ$6-$G$3,22))),0)))))</f>
        <v>0</v>
      </c>
      <c r="AK46" s="27" t="n">
        <f aca="false">IF(COUNT(Amendoim!$E44:$Z44)=0,0,MAX(0,IF((AK$6-$E$3)&lt;1,0,IFERROR(LOOKUP(2,1/(Amendoim!$E44:INDEX(Amendoim!$E44:$Z44,MIN(AK$6-$E$3,22))&lt;&gt;""),Amendoim!$E44:INDEX(Amendoim!$E44:$Z44,MIN(AK$6-$E$3,22))),0))-IF($G$2,0,IF((AK$6-$G$3)&lt;1,0,IFERROR(LOOKUP(2,1/(Amendoim!$E44:INDEX(Amendoim!$E44:$Z44,MIN(AK$6-$G$3,22))&lt;&gt;""),Amendoim!$E44:INDEX(Amendoim!$E44:$Z44,MIN(AK$6-$G$3,22))),0)))))</f>
        <v>0</v>
      </c>
      <c r="AL46" s="27" t="n">
        <f aca="false">IF(COUNT(Amendoim!$E44:$Z44)=0,0,MAX(0,IF((AL$6-$E$3)&lt;1,0,IFERROR(LOOKUP(2,1/(Amendoim!$E44:INDEX(Amendoim!$E44:$Z44,MIN(AL$6-$E$3,22))&lt;&gt;""),Amendoim!$E44:INDEX(Amendoim!$E44:$Z44,MIN(AL$6-$E$3,22))),0))-IF($G$2,0,IF((AL$6-$G$3)&lt;1,0,IFERROR(LOOKUP(2,1/(Amendoim!$E44:INDEX(Amendoim!$E44:$Z44,MIN(AL$6-$G$3,22))&lt;&gt;""),Amendoim!$E44:INDEX(Amendoim!$E44:$Z44,MIN(AL$6-$G$3,22))),0)))))</f>
        <v>0</v>
      </c>
      <c r="AM46" s="27" t="n">
        <f aca="false">IF(COUNT(Amendoim!$E44:$Z44)=0,0,MAX(0,IF((AM$6-$E$3)&lt;1,0,IFERROR(LOOKUP(2,1/(Amendoim!$E44:INDEX(Amendoim!$E44:$Z44,MIN(AM$6-$E$3,22))&lt;&gt;""),Amendoim!$E44:INDEX(Amendoim!$E44:$Z44,MIN(AM$6-$E$3,22))),0))-IF($G$2,0,IF((AM$6-$G$3)&lt;1,0,IFERROR(LOOKUP(2,1/(Amendoim!$E44:INDEX(Amendoim!$E44:$Z44,MIN(AM$6-$G$3,22))&lt;&gt;""),Amendoim!$E44:INDEX(Amendoim!$E44:$Z44,MIN(AM$6-$G$3,22))),0)))))</f>
        <v>0</v>
      </c>
      <c r="AN46" s="27" t="n">
        <f aca="false">IF(COUNT(Amendoim!$E44:$Z44)=0,0,MAX(0,IF((AN$6-$E$3)&lt;1,0,IFERROR(LOOKUP(2,1/(Amendoim!$E44:INDEX(Amendoim!$E44:$Z44,MIN(AN$6-$E$3,22))&lt;&gt;""),Amendoim!$E44:INDEX(Amendoim!$E44:$Z44,MIN(AN$6-$E$3,22))),0))-IF($G$2,0,IF((AN$6-$G$3)&lt;1,0,IFERROR(LOOKUP(2,1/(Amendoim!$E44:INDEX(Amendoim!$E44:$Z44,MIN(AN$6-$G$3,22))&lt;&gt;""),Amendoim!$E44:INDEX(Amendoim!$E44:$Z44,MIN(AN$6-$G$3,22))),0)))))</f>
        <v>0</v>
      </c>
      <c r="AO46" s="27" t="n">
        <f aca="false">IF(COUNT(Amendoim!$E44:$Z44)=0,0,MAX(0,IF((AO$6-$E$3)&lt;1,0,IFERROR(LOOKUP(2,1/(Amendoim!$E44:INDEX(Amendoim!$E44:$Z44,MIN(AO$6-$E$3,22))&lt;&gt;""),Amendoim!$E44:INDEX(Amendoim!$E44:$Z44,MIN(AO$6-$E$3,22))),0))-IF($G$2,0,IF((AO$6-$G$3)&lt;1,0,IFERROR(LOOKUP(2,1/(Amendoim!$E44:INDEX(Amendoim!$E44:$Z44,MIN(AO$6-$G$3,22))&lt;&gt;""),Amendoim!$E44:INDEX(Amendoim!$E44:$Z44,MIN(AO$6-$G$3,22))),0)))))</f>
        <v>0</v>
      </c>
      <c r="AP46" s="27" t="n">
        <f aca="false">IF(COUNT(Amendoim!$E44:$Z44)=0,0,MAX(0,IF((AP$6-$E$3)&lt;1,0,IFERROR(LOOKUP(2,1/(Amendoim!$E44:INDEX(Amendoim!$E44:$Z44,MIN(AP$6-$E$3,22))&lt;&gt;""),Amendoim!$E44:INDEX(Amendoim!$E44:$Z44,MIN(AP$6-$E$3,22))),0))-IF($G$2,0,IF((AP$6-$G$3)&lt;1,0,IFERROR(LOOKUP(2,1/(Amendoim!$E44:INDEX(Amendoim!$E44:$Z44,MIN(AP$6-$G$3,22))&lt;&gt;""),Amendoim!$E44:INDEX(Amendoim!$E44:$Z44,MIN(AP$6-$G$3,22))),0)))))</f>
        <v>0</v>
      </c>
      <c r="AQ46" s="27" t="n">
        <f aca="false">IF(COUNT(Amendoim!$E44:$Z44)=0,0,MAX(0,IF((AQ$6-$E$3)&lt;1,0,IFERROR(LOOKUP(2,1/(Amendoim!$E44:INDEX(Amendoim!$E44:$Z44,MIN(AQ$6-$E$3,22))&lt;&gt;""),Amendoim!$E44:INDEX(Amendoim!$E44:$Z44,MIN(AQ$6-$E$3,22))),0))-IF($G$2,0,IF((AQ$6-$G$3)&lt;1,0,IFERROR(LOOKUP(2,1/(Amendoim!$E44:INDEX(Amendoim!$E44:$Z44,MIN(AQ$6-$G$3,22))&lt;&gt;""),Amendoim!$E44:INDEX(Amendoim!$E44:$Z44,MIN(AQ$6-$G$3,22))),0)))))</f>
        <v>0</v>
      </c>
      <c r="AR46" s="27" t="n">
        <f aca="false">IF(COUNT(Amendoim!$E44:$Z44)=0,0,MAX(0,IF((AR$6-$E$3)&lt;1,0,IFERROR(LOOKUP(2,1/(Amendoim!$E44:INDEX(Amendoim!$E44:$Z44,MIN(AR$6-$E$3,22))&lt;&gt;""),Amendoim!$E44:INDEX(Amendoim!$E44:$Z44,MIN(AR$6-$E$3,22))),0))-IF($G$2,0,IF((AR$6-$G$3)&lt;1,0,IFERROR(LOOKUP(2,1/(Amendoim!$E44:INDEX(Amendoim!$E44:$Z44,MIN(AR$6-$G$3,22))&lt;&gt;""),Amendoim!$E44:INDEX(Amendoim!$E44:$Z44,MIN(AR$6-$G$3,22))),0)))))</f>
        <v>0</v>
      </c>
      <c r="AS46" s="27" t="n">
        <f aca="false">IF(COUNT(Amendoim!$E44:$Z44)=0,0,MAX(0,IF((AS$6-$E$3)&lt;1,0,IFERROR(LOOKUP(2,1/(Amendoim!$E44:INDEX(Amendoim!$E44:$Z44,MIN(AS$6-$E$3,22))&lt;&gt;""),Amendoim!$E44:INDEX(Amendoim!$E44:$Z44,MIN(AS$6-$E$3,22))),0))-IF($G$2,0,IF((AS$6-$G$3)&lt;1,0,IFERROR(LOOKUP(2,1/(Amendoim!$E44:INDEX(Amendoim!$E44:$Z44,MIN(AS$6-$G$3,22))&lt;&gt;""),Amendoim!$E44:INDEX(Amendoim!$E44:$Z44,MIN(AS$6-$G$3,22))),0)))))</f>
        <v>0</v>
      </c>
      <c r="AT46" s="27" t="n">
        <f aca="false">IF(COUNT(Amendoim!$E44:$Z44)=0,0,MAX(0,IF((AT$6-$E$3)&lt;1,0,IFERROR(LOOKUP(2,1/(Amendoim!$E44:INDEX(Amendoim!$E44:$Z44,MIN(AT$6-$E$3,22))&lt;&gt;""),Amendoim!$E44:INDEX(Amendoim!$E44:$Z44,MIN(AT$6-$E$3,22))),0))-IF($G$2,0,IF((AT$6-$G$3)&lt;1,0,IFERROR(LOOKUP(2,1/(Amendoim!$E44:INDEX(Amendoim!$E44:$Z44,MIN(AT$6-$G$3,22))&lt;&gt;""),Amendoim!$E44:INDEX(Amendoim!$E44:$Z44,MIN(AT$6-$G$3,22))),0)))))</f>
        <v>0</v>
      </c>
      <c r="AU46" s="27" t="n">
        <f aca="false">IF(COUNT(Amendoim!$E44:$Z44)=0,0,MAX(0,IF((AU$6-$E$3)&lt;1,0,IFERROR(LOOKUP(2,1/(Amendoim!$E44:INDEX(Amendoim!$E44:$Z44,MIN(AU$6-$E$3,22))&lt;&gt;""),Amendoim!$E44:INDEX(Amendoim!$E44:$Z44,MIN(AU$6-$E$3,22))),0))-IF($G$2,0,IF((AU$6-$G$3)&lt;1,0,IFERROR(LOOKUP(2,1/(Amendoim!$E44:INDEX(Amendoim!$E44:$Z44,MIN(AU$6-$G$3,22))&lt;&gt;""),Amendoim!$E44:INDEX(Amendoim!$E44:$Z44,MIN(AU$6-$G$3,22))),0)))))</f>
        <v>0</v>
      </c>
      <c r="AV46" s="27" t="n">
        <f aca="false">IF(COUNT(Amendoim!$E44:$Z44)=0,0,MAX(0,IF((AV$6-$E$3)&lt;1,0,IFERROR(LOOKUP(2,1/(Amendoim!$E44:INDEX(Amendoim!$E44:$Z44,MIN(AV$6-$E$3,22))&lt;&gt;""),Amendoim!$E44:INDEX(Amendoim!$E44:$Z44,MIN(AV$6-$E$3,22))),0))-IF($G$2,0,IF((AV$6-$G$3)&lt;1,0,IFERROR(LOOKUP(2,1/(Amendoim!$E44:INDEX(Amendoim!$E44:$Z44,MIN(AV$6-$G$3,22))&lt;&gt;""),Amendoim!$E44:INDEX(Amendoim!$E44:$Z44,MIN(AV$6-$G$3,22))),0)))))</f>
        <v>0</v>
      </c>
      <c r="AW46" s="27" t="n">
        <f aca="false">IF(COUNT(Amendoim!$E44:$Z44)=0,0,MAX(0,IF((AW$6-$E$3)&lt;1,0,IFERROR(LOOKUP(2,1/(Amendoim!$E44:INDEX(Amendoim!$E44:$Z44,MIN(AW$6-$E$3,22))&lt;&gt;""),Amendoim!$E44:INDEX(Amendoim!$E44:$Z44,MIN(AW$6-$E$3,22))),0))-IF($G$2,0,IF((AW$6-$G$3)&lt;1,0,IFERROR(LOOKUP(2,1/(Amendoim!$E44:INDEX(Amendoim!$E44:$Z44,MIN(AW$6-$G$3,22))&lt;&gt;""),Amendoim!$E44:INDEX(Amendoim!$E44:$Z44,MIN(AW$6-$G$3,22))),0)))))</f>
        <v>0</v>
      </c>
      <c r="AX46" s="27" t="n">
        <f aca="false">IF(COUNT(Amendoim!$E44:$Z44)=0,0,MAX(0,IF((AX$6-$E$3)&lt;1,0,IFERROR(LOOKUP(2,1/(Amendoim!$E44:INDEX(Amendoim!$E44:$Z44,MIN(AX$6-$E$3,22))&lt;&gt;""),Amendoim!$E44:INDEX(Amendoim!$E44:$Z44,MIN(AX$6-$E$3,22))),0))-IF($G$2,0,IF((AX$6-$G$3)&lt;1,0,IFERROR(LOOKUP(2,1/(Amendoim!$E44:INDEX(Amendoim!$E44:$Z44,MIN(AX$6-$G$3,22))&lt;&gt;""),Amendoim!$E44:INDEX(Amendoim!$E44:$Z44,MIN(AX$6-$G$3,22))),0)))))</f>
        <v>0</v>
      </c>
      <c r="AY46" s="27" t="n">
        <f aca="false">IF(COUNT(Amendoim!$E44:$Z44)=0,0,MAX(0,IF((AY$6-$E$3)&lt;1,0,IFERROR(LOOKUP(2,1/(Amendoim!$E44:INDEX(Amendoim!$E44:$Z44,MIN(AY$6-$E$3,22))&lt;&gt;""),Amendoim!$E44:INDEX(Amendoim!$E44:$Z44,MIN(AY$6-$E$3,22))),0))-IF($G$2,0,IF((AY$6-$G$3)&lt;1,0,IFERROR(LOOKUP(2,1/(Amendoim!$E44:INDEX(Amendoim!$E44:$Z44,MIN(AY$6-$G$3,22))&lt;&gt;""),Amendoim!$E44:INDEX(Amendoim!$E44:$Z44,MIN(AY$6-$G$3,22))),0)))))</f>
        <v>0</v>
      </c>
      <c r="AZ46" s="27" t="n">
        <f aca="false">IF(COUNT(Amendoim!$E44:$Z44)=0,0,MAX(0,IF((AZ$6-$E$3)&lt;1,0,IFERROR(LOOKUP(2,1/(Amendoim!$E44:INDEX(Amendoim!$E44:$Z44,MIN(AZ$6-$E$3,22))&lt;&gt;""),Amendoim!$E44:INDEX(Amendoim!$E44:$Z44,MIN(AZ$6-$E$3,22))),0))-IF($G$2,0,IF((AZ$6-$G$3)&lt;1,0,IFERROR(LOOKUP(2,1/(Amendoim!$E44:INDEX(Amendoim!$E44:$Z44,MIN(AZ$6-$G$3,22))&lt;&gt;""),Amendoim!$E44:INDEX(Amendoim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IF(COUNT(Amendoim!$E45:$Z45)&gt;0,N(Amendoim!$D45),0)</f>
        <v>0</v>
      </c>
      <c r="E47" s="27" t="n">
        <f aca="false">IF(COUNT(Amendoim!$E45:$Z45)=0,0,MAX(0,IF((E$6-$E$3)&lt;1,0,IFERROR(LOOKUP(2,1/(Amendoim!$E45:INDEX(Amendoim!$E45:$Z45,MIN(E$6-$E$3,22))&lt;&gt;""),Amendoim!$E45:INDEX(Amendoim!$E45:$Z45,MIN(E$6-$E$3,22))),0))-IF($G$2,0,IF((E$6-$G$3)&lt;1,0,IFERROR(LOOKUP(2,1/(Amendoim!$E45:INDEX(Amendoim!$E45:$Z45,MIN(E$6-$G$3,22))&lt;&gt;""),Amendoim!$E45:INDEX(Amendoim!$E45:$Z45,MIN(E$6-$G$3,22))),0)))))</f>
        <v>0</v>
      </c>
      <c r="F47" s="27" t="n">
        <f aca="false">IF(COUNT(Amendoim!$E45:$Z45)=0,0,MAX(0,IF((F$6-$E$3)&lt;1,0,IFERROR(LOOKUP(2,1/(Amendoim!$E45:INDEX(Amendoim!$E45:$Z45,MIN(F$6-$E$3,22))&lt;&gt;""),Amendoim!$E45:INDEX(Amendoim!$E45:$Z45,MIN(F$6-$E$3,22))),0))-IF($G$2,0,IF((F$6-$G$3)&lt;1,0,IFERROR(LOOKUP(2,1/(Amendoim!$E45:INDEX(Amendoim!$E45:$Z45,MIN(F$6-$G$3,22))&lt;&gt;""),Amendoim!$E45:INDEX(Amendoim!$E45:$Z45,MIN(F$6-$G$3,22))),0)))))</f>
        <v>0</v>
      </c>
      <c r="G47" s="27" t="n">
        <f aca="false">IF(COUNT(Amendoim!$E45:$Z45)=0,0,MAX(0,IF((G$6-$E$3)&lt;1,0,IFERROR(LOOKUP(2,1/(Amendoim!$E45:INDEX(Amendoim!$E45:$Z45,MIN(G$6-$E$3,22))&lt;&gt;""),Amendoim!$E45:INDEX(Amendoim!$E45:$Z45,MIN(G$6-$E$3,22))),0))-IF($G$2,0,IF((G$6-$G$3)&lt;1,0,IFERROR(LOOKUP(2,1/(Amendoim!$E45:INDEX(Amendoim!$E45:$Z45,MIN(G$6-$G$3,22))&lt;&gt;""),Amendoim!$E45:INDEX(Amendoim!$E45:$Z45,MIN(G$6-$G$3,22))),0)))))</f>
        <v>0</v>
      </c>
      <c r="H47" s="27" t="n">
        <f aca="false">IF(COUNT(Amendoim!$E45:$Z45)=0,0,MAX(0,IF((H$6-$E$3)&lt;1,0,IFERROR(LOOKUP(2,1/(Amendoim!$E45:INDEX(Amendoim!$E45:$Z45,MIN(H$6-$E$3,22))&lt;&gt;""),Amendoim!$E45:INDEX(Amendoim!$E45:$Z45,MIN(H$6-$E$3,22))),0))-IF($G$2,0,IF((H$6-$G$3)&lt;1,0,IFERROR(LOOKUP(2,1/(Amendoim!$E45:INDEX(Amendoim!$E45:$Z45,MIN(H$6-$G$3,22))&lt;&gt;""),Amendoim!$E45:INDEX(Amendoim!$E45:$Z45,MIN(H$6-$G$3,22))),0)))))</f>
        <v>0</v>
      </c>
      <c r="I47" s="27" t="n">
        <f aca="false">IF(COUNT(Amendoim!$E45:$Z45)=0,0,MAX(0,IF((I$6-$E$3)&lt;1,0,IFERROR(LOOKUP(2,1/(Amendoim!$E45:INDEX(Amendoim!$E45:$Z45,MIN(I$6-$E$3,22))&lt;&gt;""),Amendoim!$E45:INDEX(Amendoim!$E45:$Z45,MIN(I$6-$E$3,22))),0))-IF($G$2,0,IF((I$6-$G$3)&lt;1,0,IFERROR(LOOKUP(2,1/(Amendoim!$E45:INDEX(Amendoim!$E45:$Z45,MIN(I$6-$G$3,22))&lt;&gt;""),Amendoim!$E45:INDEX(Amendoim!$E45:$Z45,MIN(I$6-$G$3,22))),0)))))</f>
        <v>0</v>
      </c>
      <c r="J47" s="27" t="n">
        <f aca="false">IF(COUNT(Amendoim!$E45:$Z45)=0,0,MAX(0,IF((J$6-$E$3)&lt;1,0,IFERROR(LOOKUP(2,1/(Amendoim!$E45:INDEX(Amendoim!$E45:$Z45,MIN(J$6-$E$3,22))&lt;&gt;""),Amendoim!$E45:INDEX(Amendoim!$E45:$Z45,MIN(J$6-$E$3,22))),0))-IF($G$2,0,IF((J$6-$G$3)&lt;1,0,IFERROR(LOOKUP(2,1/(Amendoim!$E45:INDEX(Amendoim!$E45:$Z45,MIN(J$6-$G$3,22))&lt;&gt;""),Amendoim!$E45:INDEX(Amendoim!$E45:$Z45,MIN(J$6-$G$3,22))),0)))))</f>
        <v>0</v>
      </c>
      <c r="K47" s="27" t="n">
        <f aca="false">IF(COUNT(Amendoim!$E45:$Z45)=0,0,MAX(0,IF((K$6-$E$3)&lt;1,0,IFERROR(LOOKUP(2,1/(Amendoim!$E45:INDEX(Amendoim!$E45:$Z45,MIN(K$6-$E$3,22))&lt;&gt;""),Amendoim!$E45:INDEX(Amendoim!$E45:$Z45,MIN(K$6-$E$3,22))),0))-IF($G$2,0,IF((K$6-$G$3)&lt;1,0,IFERROR(LOOKUP(2,1/(Amendoim!$E45:INDEX(Amendoim!$E45:$Z45,MIN(K$6-$G$3,22))&lt;&gt;""),Amendoim!$E45:INDEX(Amendoim!$E45:$Z45,MIN(K$6-$G$3,22))),0)))))</f>
        <v>0</v>
      </c>
      <c r="L47" s="27" t="n">
        <f aca="false">IF(COUNT(Amendoim!$E45:$Z45)=0,0,MAX(0,IF((L$6-$E$3)&lt;1,0,IFERROR(LOOKUP(2,1/(Amendoim!$E45:INDEX(Amendoim!$E45:$Z45,MIN(L$6-$E$3,22))&lt;&gt;""),Amendoim!$E45:INDEX(Amendoim!$E45:$Z45,MIN(L$6-$E$3,22))),0))-IF($G$2,0,IF((L$6-$G$3)&lt;1,0,IFERROR(LOOKUP(2,1/(Amendoim!$E45:INDEX(Amendoim!$E45:$Z45,MIN(L$6-$G$3,22))&lt;&gt;""),Amendoim!$E45:INDEX(Amendoim!$E45:$Z45,MIN(L$6-$G$3,22))),0)))))</f>
        <v>0</v>
      </c>
      <c r="M47" s="27" t="n">
        <f aca="false">IF(COUNT(Amendoim!$E45:$Z45)=0,0,MAX(0,IF((M$6-$E$3)&lt;1,0,IFERROR(LOOKUP(2,1/(Amendoim!$E45:INDEX(Amendoim!$E45:$Z45,MIN(M$6-$E$3,22))&lt;&gt;""),Amendoim!$E45:INDEX(Amendoim!$E45:$Z45,MIN(M$6-$E$3,22))),0))-IF($G$2,0,IF((M$6-$G$3)&lt;1,0,IFERROR(LOOKUP(2,1/(Amendoim!$E45:INDEX(Amendoim!$E45:$Z45,MIN(M$6-$G$3,22))&lt;&gt;""),Amendoim!$E45:INDEX(Amendoim!$E45:$Z45,MIN(M$6-$G$3,22))),0)))))</f>
        <v>0</v>
      </c>
      <c r="N47" s="27" t="n">
        <f aca="false">IF(COUNT(Amendoim!$E45:$Z45)=0,0,MAX(0,IF((N$6-$E$3)&lt;1,0,IFERROR(LOOKUP(2,1/(Amendoim!$E45:INDEX(Amendoim!$E45:$Z45,MIN(N$6-$E$3,22))&lt;&gt;""),Amendoim!$E45:INDEX(Amendoim!$E45:$Z45,MIN(N$6-$E$3,22))),0))-IF($G$2,0,IF((N$6-$G$3)&lt;1,0,IFERROR(LOOKUP(2,1/(Amendoim!$E45:INDEX(Amendoim!$E45:$Z45,MIN(N$6-$G$3,22))&lt;&gt;""),Amendoim!$E45:INDEX(Amendoim!$E45:$Z45,MIN(N$6-$G$3,22))),0)))))</f>
        <v>0</v>
      </c>
      <c r="O47" s="27" t="n">
        <f aca="false">IF(COUNT(Amendoim!$E45:$Z45)=0,0,MAX(0,IF((O$6-$E$3)&lt;1,0,IFERROR(LOOKUP(2,1/(Amendoim!$E45:INDEX(Amendoim!$E45:$Z45,MIN(O$6-$E$3,22))&lt;&gt;""),Amendoim!$E45:INDEX(Amendoim!$E45:$Z45,MIN(O$6-$E$3,22))),0))-IF($G$2,0,IF((O$6-$G$3)&lt;1,0,IFERROR(LOOKUP(2,1/(Amendoim!$E45:INDEX(Amendoim!$E45:$Z45,MIN(O$6-$G$3,22))&lt;&gt;""),Amendoim!$E45:INDEX(Amendoim!$E45:$Z45,MIN(O$6-$G$3,22))),0)))))</f>
        <v>0</v>
      </c>
      <c r="P47" s="27" t="n">
        <f aca="false">IF(COUNT(Amendoim!$E45:$Z45)=0,0,MAX(0,IF((P$6-$E$3)&lt;1,0,IFERROR(LOOKUP(2,1/(Amendoim!$E45:INDEX(Amendoim!$E45:$Z45,MIN(P$6-$E$3,22))&lt;&gt;""),Amendoim!$E45:INDEX(Amendoim!$E45:$Z45,MIN(P$6-$E$3,22))),0))-IF($G$2,0,IF((P$6-$G$3)&lt;1,0,IFERROR(LOOKUP(2,1/(Amendoim!$E45:INDEX(Amendoim!$E45:$Z45,MIN(P$6-$G$3,22))&lt;&gt;""),Amendoim!$E45:INDEX(Amendoim!$E45:$Z45,MIN(P$6-$G$3,22))),0)))))</f>
        <v>0</v>
      </c>
      <c r="Q47" s="27" t="n">
        <f aca="false">IF(COUNT(Amendoim!$E45:$Z45)=0,0,MAX(0,IF((Q$6-$E$3)&lt;1,0,IFERROR(LOOKUP(2,1/(Amendoim!$E45:INDEX(Amendoim!$E45:$Z45,MIN(Q$6-$E$3,22))&lt;&gt;""),Amendoim!$E45:INDEX(Amendoim!$E45:$Z45,MIN(Q$6-$E$3,22))),0))-IF($G$2,0,IF((Q$6-$G$3)&lt;1,0,IFERROR(LOOKUP(2,1/(Amendoim!$E45:INDEX(Amendoim!$E45:$Z45,MIN(Q$6-$G$3,22))&lt;&gt;""),Amendoim!$E45:INDEX(Amendoim!$E45:$Z45,MIN(Q$6-$G$3,22))),0)))))</f>
        <v>0</v>
      </c>
      <c r="R47" s="27" t="n">
        <f aca="false">IF(COUNT(Amendoim!$E45:$Z45)=0,0,MAX(0,IF((R$6-$E$3)&lt;1,0,IFERROR(LOOKUP(2,1/(Amendoim!$E45:INDEX(Amendoim!$E45:$Z45,MIN(R$6-$E$3,22))&lt;&gt;""),Amendoim!$E45:INDEX(Amendoim!$E45:$Z45,MIN(R$6-$E$3,22))),0))-IF($G$2,0,IF((R$6-$G$3)&lt;1,0,IFERROR(LOOKUP(2,1/(Amendoim!$E45:INDEX(Amendoim!$E45:$Z45,MIN(R$6-$G$3,22))&lt;&gt;""),Amendoim!$E45:INDEX(Amendoim!$E45:$Z45,MIN(R$6-$G$3,22))),0)))))</f>
        <v>0</v>
      </c>
      <c r="S47" s="27" t="n">
        <f aca="false">IF(COUNT(Amendoim!$E45:$Z45)=0,0,MAX(0,IF((S$6-$E$3)&lt;1,0,IFERROR(LOOKUP(2,1/(Amendoim!$E45:INDEX(Amendoim!$E45:$Z45,MIN(S$6-$E$3,22))&lt;&gt;""),Amendoim!$E45:INDEX(Amendoim!$E45:$Z45,MIN(S$6-$E$3,22))),0))-IF($G$2,0,IF((S$6-$G$3)&lt;1,0,IFERROR(LOOKUP(2,1/(Amendoim!$E45:INDEX(Amendoim!$E45:$Z45,MIN(S$6-$G$3,22))&lt;&gt;""),Amendoim!$E45:INDEX(Amendoim!$E45:$Z45,MIN(S$6-$G$3,22))),0)))))</f>
        <v>0</v>
      </c>
      <c r="T47" s="27" t="n">
        <f aca="false">IF(COUNT(Amendoim!$E45:$Z45)=0,0,MAX(0,IF((T$6-$E$3)&lt;1,0,IFERROR(LOOKUP(2,1/(Amendoim!$E45:INDEX(Amendoim!$E45:$Z45,MIN(T$6-$E$3,22))&lt;&gt;""),Amendoim!$E45:INDEX(Amendoim!$E45:$Z45,MIN(T$6-$E$3,22))),0))-IF($G$2,0,IF((T$6-$G$3)&lt;1,0,IFERROR(LOOKUP(2,1/(Amendoim!$E45:INDEX(Amendoim!$E45:$Z45,MIN(T$6-$G$3,22))&lt;&gt;""),Amendoim!$E45:INDEX(Amendoim!$E45:$Z45,MIN(T$6-$G$3,22))),0)))))</f>
        <v>0</v>
      </c>
      <c r="U47" s="27" t="n">
        <f aca="false">IF(COUNT(Amendoim!$E45:$Z45)=0,0,MAX(0,IF((U$6-$E$3)&lt;1,0,IFERROR(LOOKUP(2,1/(Amendoim!$E45:INDEX(Amendoim!$E45:$Z45,MIN(U$6-$E$3,22))&lt;&gt;""),Amendoim!$E45:INDEX(Amendoim!$E45:$Z45,MIN(U$6-$E$3,22))),0))-IF($G$2,0,IF((U$6-$G$3)&lt;1,0,IFERROR(LOOKUP(2,1/(Amendoim!$E45:INDEX(Amendoim!$E45:$Z45,MIN(U$6-$G$3,22))&lt;&gt;""),Amendoim!$E45:INDEX(Amendoim!$E45:$Z45,MIN(U$6-$G$3,22))),0)))))</f>
        <v>0</v>
      </c>
      <c r="V47" s="27" t="n">
        <f aca="false">IF(COUNT(Amendoim!$E45:$Z45)=0,0,MAX(0,IF((V$6-$E$3)&lt;1,0,IFERROR(LOOKUP(2,1/(Amendoim!$E45:INDEX(Amendoim!$E45:$Z45,MIN(V$6-$E$3,22))&lt;&gt;""),Amendoim!$E45:INDEX(Amendoim!$E45:$Z45,MIN(V$6-$E$3,22))),0))-IF($G$2,0,IF((V$6-$G$3)&lt;1,0,IFERROR(LOOKUP(2,1/(Amendoim!$E45:INDEX(Amendoim!$E45:$Z45,MIN(V$6-$G$3,22))&lt;&gt;""),Amendoim!$E45:INDEX(Amendoim!$E45:$Z45,MIN(V$6-$G$3,22))),0)))))</f>
        <v>0</v>
      </c>
      <c r="W47" s="27" t="n">
        <f aca="false">IF(COUNT(Amendoim!$E45:$Z45)=0,0,MAX(0,IF((W$6-$E$3)&lt;1,0,IFERROR(LOOKUP(2,1/(Amendoim!$E45:INDEX(Amendoim!$E45:$Z45,MIN(W$6-$E$3,22))&lt;&gt;""),Amendoim!$E45:INDEX(Amendoim!$E45:$Z45,MIN(W$6-$E$3,22))),0))-IF($G$2,0,IF((W$6-$G$3)&lt;1,0,IFERROR(LOOKUP(2,1/(Amendoim!$E45:INDEX(Amendoim!$E45:$Z45,MIN(W$6-$G$3,22))&lt;&gt;""),Amendoim!$E45:INDEX(Amendoim!$E45:$Z45,MIN(W$6-$G$3,22))),0)))))</f>
        <v>0</v>
      </c>
      <c r="X47" s="27" t="n">
        <f aca="false">IF(COUNT(Amendoim!$E45:$Z45)=0,0,MAX(0,IF((X$6-$E$3)&lt;1,0,IFERROR(LOOKUP(2,1/(Amendoim!$E45:INDEX(Amendoim!$E45:$Z45,MIN(X$6-$E$3,22))&lt;&gt;""),Amendoim!$E45:INDEX(Amendoim!$E45:$Z45,MIN(X$6-$E$3,22))),0))-IF($G$2,0,IF((X$6-$G$3)&lt;1,0,IFERROR(LOOKUP(2,1/(Amendoim!$E45:INDEX(Amendoim!$E45:$Z45,MIN(X$6-$G$3,22))&lt;&gt;""),Amendoim!$E45:INDEX(Amendoim!$E45:$Z45,MIN(X$6-$G$3,22))),0)))))</f>
        <v>0</v>
      </c>
      <c r="Y47" s="27" t="n">
        <f aca="false">IF(COUNT(Amendoim!$E45:$Z45)=0,0,MAX(0,IF((Y$6-$E$3)&lt;1,0,IFERROR(LOOKUP(2,1/(Amendoim!$E45:INDEX(Amendoim!$E45:$Z45,MIN(Y$6-$E$3,22))&lt;&gt;""),Amendoim!$E45:INDEX(Amendoim!$E45:$Z45,MIN(Y$6-$E$3,22))),0))-IF($G$2,0,IF((Y$6-$G$3)&lt;1,0,IFERROR(LOOKUP(2,1/(Amendoim!$E45:INDEX(Amendoim!$E45:$Z45,MIN(Y$6-$G$3,22))&lt;&gt;""),Amendoim!$E45:INDEX(Amendoim!$E45:$Z45,MIN(Y$6-$G$3,22))),0)))))</f>
        <v>0</v>
      </c>
      <c r="Z47" s="27" t="n">
        <f aca="false">IF(COUNT(Amendoim!$E45:$Z45)=0,0,MAX(0,IF((Z$6-$E$3)&lt;1,0,IFERROR(LOOKUP(2,1/(Amendoim!$E45:INDEX(Amendoim!$E45:$Z45,MIN(Z$6-$E$3,22))&lt;&gt;""),Amendoim!$E45:INDEX(Amendoim!$E45:$Z45,MIN(Z$6-$E$3,22))),0))-IF($G$2,0,IF((Z$6-$G$3)&lt;1,0,IFERROR(LOOKUP(2,1/(Amendoim!$E45:INDEX(Amendoim!$E45:$Z45,MIN(Z$6-$G$3,22))&lt;&gt;""),Amendoim!$E45:INDEX(Amendoim!$E45:$Z45,MIN(Z$6-$G$3,22))),0)))))</f>
        <v>0</v>
      </c>
      <c r="AA47" s="27" t="n">
        <f aca="false">IF(COUNT(Amendoim!$E45:$Z45)=0,0,MAX(0,IF((AA$6-$E$3)&lt;1,0,IFERROR(LOOKUP(2,1/(Amendoim!$E45:INDEX(Amendoim!$E45:$Z45,MIN(AA$6-$E$3,22))&lt;&gt;""),Amendoim!$E45:INDEX(Amendoim!$E45:$Z45,MIN(AA$6-$E$3,22))),0))-IF($G$2,0,IF((AA$6-$G$3)&lt;1,0,IFERROR(LOOKUP(2,1/(Amendoim!$E45:INDEX(Amendoim!$E45:$Z45,MIN(AA$6-$G$3,22))&lt;&gt;""),Amendoim!$E45:INDEX(Amendoim!$E45:$Z45,MIN(AA$6-$G$3,22))),0)))))</f>
        <v>0</v>
      </c>
      <c r="AB47" s="27" t="n">
        <f aca="false">IF(COUNT(Amendoim!$E45:$Z45)=0,0,MAX(0,IF((AB$6-$E$3)&lt;1,0,IFERROR(LOOKUP(2,1/(Amendoim!$E45:INDEX(Amendoim!$E45:$Z45,MIN(AB$6-$E$3,22))&lt;&gt;""),Amendoim!$E45:INDEX(Amendoim!$E45:$Z45,MIN(AB$6-$E$3,22))),0))-IF($G$2,0,IF((AB$6-$G$3)&lt;1,0,IFERROR(LOOKUP(2,1/(Amendoim!$E45:INDEX(Amendoim!$E45:$Z45,MIN(AB$6-$G$3,22))&lt;&gt;""),Amendoim!$E45:INDEX(Amendoim!$E45:$Z45,MIN(AB$6-$G$3,22))),0)))))</f>
        <v>0</v>
      </c>
      <c r="AC47" s="27" t="n">
        <f aca="false">IF(COUNT(Amendoim!$E45:$Z45)=0,0,MAX(0,IF((AC$6-$E$3)&lt;1,0,IFERROR(LOOKUP(2,1/(Amendoim!$E45:INDEX(Amendoim!$E45:$Z45,MIN(AC$6-$E$3,22))&lt;&gt;""),Amendoim!$E45:INDEX(Amendoim!$E45:$Z45,MIN(AC$6-$E$3,22))),0))-IF($G$2,0,IF((AC$6-$G$3)&lt;1,0,IFERROR(LOOKUP(2,1/(Amendoim!$E45:INDEX(Amendoim!$E45:$Z45,MIN(AC$6-$G$3,22))&lt;&gt;""),Amendoim!$E45:INDEX(Amendoim!$E45:$Z45,MIN(AC$6-$G$3,22))),0)))))</f>
        <v>0</v>
      </c>
      <c r="AD47" s="27" t="n">
        <f aca="false">IF(COUNT(Amendoim!$E45:$Z45)=0,0,MAX(0,IF((AD$6-$E$3)&lt;1,0,IFERROR(LOOKUP(2,1/(Amendoim!$E45:INDEX(Amendoim!$E45:$Z45,MIN(AD$6-$E$3,22))&lt;&gt;""),Amendoim!$E45:INDEX(Amendoim!$E45:$Z45,MIN(AD$6-$E$3,22))),0))-IF($G$2,0,IF((AD$6-$G$3)&lt;1,0,IFERROR(LOOKUP(2,1/(Amendoim!$E45:INDEX(Amendoim!$E45:$Z45,MIN(AD$6-$G$3,22))&lt;&gt;""),Amendoim!$E45:INDEX(Amendoim!$E45:$Z45,MIN(AD$6-$G$3,22))),0)))))</f>
        <v>0</v>
      </c>
      <c r="AE47" s="27" t="n">
        <f aca="false">IF(COUNT(Amendoim!$E45:$Z45)=0,0,MAX(0,IF((AE$6-$E$3)&lt;1,0,IFERROR(LOOKUP(2,1/(Amendoim!$E45:INDEX(Amendoim!$E45:$Z45,MIN(AE$6-$E$3,22))&lt;&gt;""),Amendoim!$E45:INDEX(Amendoim!$E45:$Z45,MIN(AE$6-$E$3,22))),0))-IF($G$2,0,IF((AE$6-$G$3)&lt;1,0,IFERROR(LOOKUP(2,1/(Amendoim!$E45:INDEX(Amendoim!$E45:$Z45,MIN(AE$6-$G$3,22))&lt;&gt;""),Amendoim!$E45:INDEX(Amendoim!$E45:$Z45,MIN(AE$6-$G$3,22))),0)))))</f>
        <v>0</v>
      </c>
      <c r="AF47" s="27" t="n">
        <f aca="false">IF(COUNT(Amendoim!$E45:$Z45)=0,0,MAX(0,IF((AF$6-$E$3)&lt;1,0,IFERROR(LOOKUP(2,1/(Amendoim!$E45:INDEX(Amendoim!$E45:$Z45,MIN(AF$6-$E$3,22))&lt;&gt;""),Amendoim!$E45:INDEX(Amendoim!$E45:$Z45,MIN(AF$6-$E$3,22))),0))-IF($G$2,0,IF((AF$6-$G$3)&lt;1,0,IFERROR(LOOKUP(2,1/(Amendoim!$E45:INDEX(Amendoim!$E45:$Z45,MIN(AF$6-$G$3,22))&lt;&gt;""),Amendoim!$E45:INDEX(Amendoim!$E45:$Z45,MIN(AF$6-$G$3,22))),0)))))</f>
        <v>0</v>
      </c>
      <c r="AG47" s="27" t="n">
        <f aca="false">IF(COUNT(Amendoim!$E45:$Z45)=0,0,MAX(0,IF((AG$6-$E$3)&lt;1,0,IFERROR(LOOKUP(2,1/(Amendoim!$E45:INDEX(Amendoim!$E45:$Z45,MIN(AG$6-$E$3,22))&lt;&gt;""),Amendoim!$E45:INDEX(Amendoim!$E45:$Z45,MIN(AG$6-$E$3,22))),0))-IF($G$2,0,IF((AG$6-$G$3)&lt;1,0,IFERROR(LOOKUP(2,1/(Amendoim!$E45:INDEX(Amendoim!$E45:$Z45,MIN(AG$6-$G$3,22))&lt;&gt;""),Amendoim!$E45:INDEX(Amendoim!$E45:$Z45,MIN(AG$6-$G$3,22))),0)))))</f>
        <v>0</v>
      </c>
      <c r="AH47" s="27" t="n">
        <f aca="false">IF(COUNT(Amendoim!$E45:$Z45)=0,0,MAX(0,IF((AH$6-$E$3)&lt;1,0,IFERROR(LOOKUP(2,1/(Amendoim!$E45:INDEX(Amendoim!$E45:$Z45,MIN(AH$6-$E$3,22))&lt;&gt;""),Amendoim!$E45:INDEX(Amendoim!$E45:$Z45,MIN(AH$6-$E$3,22))),0))-IF($G$2,0,IF((AH$6-$G$3)&lt;1,0,IFERROR(LOOKUP(2,1/(Amendoim!$E45:INDEX(Amendoim!$E45:$Z45,MIN(AH$6-$G$3,22))&lt;&gt;""),Amendoim!$E45:INDEX(Amendoim!$E45:$Z45,MIN(AH$6-$G$3,22))),0)))))</f>
        <v>0</v>
      </c>
      <c r="AI47" s="27" t="n">
        <f aca="false">IF(COUNT(Amendoim!$E45:$Z45)=0,0,MAX(0,IF((AI$6-$E$3)&lt;1,0,IFERROR(LOOKUP(2,1/(Amendoim!$E45:INDEX(Amendoim!$E45:$Z45,MIN(AI$6-$E$3,22))&lt;&gt;""),Amendoim!$E45:INDEX(Amendoim!$E45:$Z45,MIN(AI$6-$E$3,22))),0))-IF($G$2,0,IF((AI$6-$G$3)&lt;1,0,IFERROR(LOOKUP(2,1/(Amendoim!$E45:INDEX(Amendoim!$E45:$Z45,MIN(AI$6-$G$3,22))&lt;&gt;""),Amendoim!$E45:INDEX(Amendoim!$E45:$Z45,MIN(AI$6-$G$3,22))),0)))))</f>
        <v>0</v>
      </c>
      <c r="AJ47" s="27" t="n">
        <f aca="false">IF(COUNT(Amendoim!$E45:$Z45)=0,0,MAX(0,IF((AJ$6-$E$3)&lt;1,0,IFERROR(LOOKUP(2,1/(Amendoim!$E45:INDEX(Amendoim!$E45:$Z45,MIN(AJ$6-$E$3,22))&lt;&gt;""),Amendoim!$E45:INDEX(Amendoim!$E45:$Z45,MIN(AJ$6-$E$3,22))),0))-IF($G$2,0,IF((AJ$6-$G$3)&lt;1,0,IFERROR(LOOKUP(2,1/(Amendoim!$E45:INDEX(Amendoim!$E45:$Z45,MIN(AJ$6-$G$3,22))&lt;&gt;""),Amendoim!$E45:INDEX(Amendoim!$E45:$Z45,MIN(AJ$6-$G$3,22))),0)))))</f>
        <v>0</v>
      </c>
      <c r="AK47" s="27" t="n">
        <f aca="false">IF(COUNT(Amendoim!$E45:$Z45)=0,0,MAX(0,IF((AK$6-$E$3)&lt;1,0,IFERROR(LOOKUP(2,1/(Amendoim!$E45:INDEX(Amendoim!$E45:$Z45,MIN(AK$6-$E$3,22))&lt;&gt;""),Amendoim!$E45:INDEX(Amendoim!$E45:$Z45,MIN(AK$6-$E$3,22))),0))-IF($G$2,0,IF((AK$6-$G$3)&lt;1,0,IFERROR(LOOKUP(2,1/(Amendoim!$E45:INDEX(Amendoim!$E45:$Z45,MIN(AK$6-$G$3,22))&lt;&gt;""),Amendoim!$E45:INDEX(Amendoim!$E45:$Z45,MIN(AK$6-$G$3,22))),0)))))</f>
        <v>0</v>
      </c>
      <c r="AL47" s="27" t="n">
        <f aca="false">IF(COUNT(Amendoim!$E45:$Z45)=0,0,MAX(0,IF((AL$6-$E$3)&lt;1,0,IFERROR(LOOKUP(2,1/(Amendoim!$E45:INDEX(Amendoim!$E45:$Z45,MIN(AL$6-$E$3,22))&lt;&gt;""),Amendoim!$E45:INDEX(Amendoim!$E45:$Z45,MIN(AL$6-$E$3,22))),0))-IF($G$2,0,IF((AL$6-$G$3)&lt;1,0,IFERROR(LOOKUP(2,1/(Amendoim!$E45:INDEX(Amendoim!$E45:$Z45,MIN(AL$6-$G$3,22))&lt;&gt;""),Amendoim!$E45:INDEX(Amendoim!$E45:$Z45,MIN(AL$6-$G$3,22))),0)))))</f>
        <v>0</v>
      </c>
      <c r="AM47" s="27" t="n">
        <f aca="false">IF(COUNT(Amendoim!$E45:$Z45)=0,0,MAX(0,IF((AM$6-$E$3)&lt;1,0,IFERROR(LOOKUP(2,1/(Amendoim!$E45:INDEX(Amendoim!$E45:$Z45,MIN(AM$6-$E$3,22))&lt;&gt;""),Amendoim!$E45:INDEX(Amendoim!$E45:$Z45,MIN(AM$6-$E$3,22))),0))-IF($G$2,0,IF((AM$6-$G$3)&lt;1,0,IFERROR(LOOKUP(2,1/(Amendoim!$E45:INDEX(Amendoim!$E45:$Z45,MIN(AM$6-$G$3,22))&lt;&gt;""),Amendoim!$E45:INDEX(Amendoim!$E45:$Z45,MIN(AM$6-$G$3,22))),0)))))</f>
        <v>0</v>
      </c>
      <c r="AN47" s="27" t="n">
        <f aca="false">IF(COUNT(Amendoim!$E45:$Z45)=0,0,MAX(0,IF((AN$6-$E$3)&lt;1,0,IFERROR(LOOKUP(2,1/(Amendoim!$E45:INDEX(Amendoim!$E45:$Z45,MIN(AN$6-$E$3,22))&lt;&gt;""),Amendoim!$E45:INDEX(Amendoim!$E45:$Z45,MIN(AN$6-$E$3,22))),0))-IF($G$2,0,IF((AN$6-$G$3)&lt;1,0,IFERROR(LOOKUP(2,1/(Amendoim!$E45:INDEX(Amendoim!$E45:$Z45,MIN(AN$6-$G$3,22))&lt;&gt;""),Amendoim!$E45:INDEX(Amendoim!$E45:$Z45,MIN(AN$6-$G$3,22))),0)))))</f>
        <v>0</v>
      </c>
      <c r="AO47" s="27" t="n">
        <f aca="false">IF(COUNT(Amendoim!$E45:$Z45)=0,0,MAX(0,IF((AO$6-$E$3)&lt;1,0,IFERROR(LOOKUP(2,1/(Amendoim!$E45:INDEX(Amendoim!$E45:$Z45,MIN(AO$6-$E$3,22))&lt;&gt;""),Amendoim!$E45:INDEX(Amendoim!$E45:$Z45,MIN(AO$6-$E$3,22))),0))-IF($G$2,0,IF((AO$6-$G$3)&lt;1,0,IFERROR(LOOKUP(2,1/(Amendoim!$E45:INDEX(Amendoim!$E45:$Z45,MIN(AO$6-$G$3,22))&lt;&gt;""),Amendoim!$E45:INDEX(Amendoim!$E45:$Z45,MIN(AO$6-$G$3,22))),0)))))</f>
        <v>0</v>
      </c>
      <c r="AP47" s="27" t="n">
        <f aca="false">IF(COUNT(Amendoim!$E45:$Z45)=0,0,MAX(0,IF((AP$6-$E$3)&lt;1,0,IFERROR(LOOKUP(2,1/(Amendoim!$E45:INDEX(Amendoim!$E45:$Z45,MIN(AP$6-$E$3,22))&lt;&gt;""),Amendoim!$E45:INDEX(Amendoim!$E45:$Z45,MIN(AP$6-$E$3,22))),0))-IF($G$2,0,IF((AP$6-$G$3)&lt;1,0,IFERROR(LOOKUP(2,1/(Amendoim!$E45:INDEX(Amendoim!$E45:$Z45,MIN(AP$6-$G$3,22))&lt;&gt;""),Amendoim!$E45:INDEX(Amendoim!$E45:$Z45,MIN(AP$6-$G$3,22))),0)))))</f>
        <v>0</v>
      </c>
      <c r="AQ47" s="27" t="n">
        <f aca="false">IF(COUNT(Amendoim!$E45:$Z45)=0,0,MAX(0,IF((AQ$6-$E$3)&lt;1,0,IFERROR(LOOKUP(2,1/(Amendoim!$E45:INDEX(Amendoim!$E45:$Z45,MIN(AQ$6-$E$3,22))&lt;&gt;""),Amendoim!$E45:INDEX(Amendoim!$E45:$Z45,MIN(AQ$6-$E$3,22))),0))-IF($G$2,0,IF((AQ$6-$G$3)&lt;1,0,IFERROR(LOOKUP(2,1/(Amendoim!$E45:INDEX(Amendoim!$E45:$Z45,MIN(AQ$6-$G$3,22))&lt;&gt;""),Amendoim!$E45:INDEX(Amendoim!$E45:$Z45,MIN(AQ$6-$G$3,22))),0)))))</f>
        <v>0</v>
      </c>
      <c r="AR47" s="27" t="n">
        <f aca="false">IF(COUNT(Amendoim!$E45:$Z45)=0,0,MAX(0,IF((AR$6-$E$3)&lt;1,0,IFERROR(LOOKUP(2,1/(Amendoim!$E45:INDEX(Amendoim!$E45:$Z45,MIN(AR$6-$E$3,22))&lt;&gt;""),Amendoim!$E45:INDEX(Amendoim!$E45:$Z45,MIN(AR$6-$E$3,22))),0))-IF($G$2,0,IF((AR$6-$G$3)&lt;1,0,IFERROR(LOOKUP(2,1/(Amendoim!$E45:INDEX(Amendoim!$E45:$Z45,MIN(AR$6-$G$3,22))&lt;&gt;""),Amendoim!$E45:INDEX(Amendoim!$E45:$Z45,MIN(AR$6-$G$3,22))),0)))))</f>
        <v>0</v>
      </c>
      <c r="AS47" s="27" t="n">
        <f aca="false">IF(COUNT(Amendoim!$E45:$Z45)=0,0,MAX(0,IF((AS$6-$E$3)&lt;1,0,IFERROR(LOOKUP(2,1/(Amendoim!$E45:INDEX(Amendoim!$E45:$Z45,MIN(AS$6-$E$3,22))&lt;&gt;""),Amendoim!$E45:INDEX(Amendoim!$E45:$Z45,MIN(AS$6-$E$3,22))),0))-IF($G$2,0,IF((AS$6-$G$3)&lt;1,0,IFERROR(LOOKUP(2,1/(Amendoim!$E45:INDEX(Amendoim!$E45:$Z45,MIN(AS$6-$G$3,22))&lt;&gt;""),Amendoim!$E45:INDEX(Amendoim!$E45:$Z45,MIN(AS$6-$G$3,22))),0)))))</f>
        <v>0</v>
      </c>
      <c r="AT47" s="27" t="n">
        <f aca="false">IF(COUNT(Amendoim!$E45:$Z45)=0,0,MAX(0,IF((AT$6-$E$3)&lt;1,0,IFERROR(LOOKUP(2,1/(Amendoim!$E45:INDEX(Amendoim!$E45:$Z45,MIN(AT$6-$E$3,22))&lt;&gt;""),Amendoim!$E45:INDEX(Amendoim!$E45:$Z45,MIN(AT$6-$E$3,22))),0))-IF($G$2,0,IF((AT$6-$G$3)&lt;1,0,IFERROR(LOOKUP(2,1/(Amendoim!$E45:INDEX(Amendoim!$E45:$Z45,MIN(AT$6-$G$3,22))&lt;&gt;""),Amendoim!$E45:INDEX(Amendoim!$E45:$Z45,MIN(AT$6-$G$3,22))),0)))))</f>
        <v>0</v>
      </c>
      <c r="AU47" s="27" t="n">
        <f aca="false">IF(COUNT(Amendoim!$E45:$Z45)=0,0,MAX(0,IF((AU$6-$E$3)&lt;1,0,IFERROR(LOOKUP(2,1/(Amendoim!$E45:INDEX(Amendoim!$E45:$Z45,MIN(AU$6-$E$3,22))&lt;&gt;""),Amendoim!$E45:INDEX(Amendoim!$E45:$Z45,MIN(AU$6-$E$3,22))),0))-IF($G$2,0,IF((AU$6-$G$3)&lt;1,0,IFERROR(LOOKUP(2,1/(Amendoim!$E45:INDEX(Amendoim!$E45:$Z45,MIN(AU$6-$G$3,22))&lt;&gt;""),Amendoim!$E45:INDEX(Amendoim!$E45:$Z45,MIN(AU$6-$G$3,22))),0)))))</f>
        <v>0</v>
      </c>
      <c r="AV47" s="27" t="n">
        <f aca="false">IF(COUNT(Amendoim!$E45:$Z45)=0,0,MAX(0,IF((AV$6-$E$3)&lt;1,0,IFERROR(LOOKUP(2,1/(Amendoim!$E45:INDEX(Amendoim!$E45:$Z45,MIN(AV$6-$E$3,22))&lt;&gt;""),Amendoim!$E45:INDEX(Amendoim!$E45:$Z45,MIN(AV$6-$E$3,22))),0))-IF($G$2,0,IF((AV$6-$G$3)&lt;1,0,IFERROR(LOOKUP(2,1/(Amendoim!$E45:INDEX(Amendoim!$E45:$Z45,MIN(AV$6-$G$3,22))&lt;&gt;""),Amendoim!$E45:INDEX(Amendoim!$E45:$Z45,MIN(AV$6-$G$3,22))),0)))))</f>
        <v>0</v>
      </c>
      <c r="AW47" s="27" t="n">
        <f aca="false">IF(COUNT(Amendoim!$E45:$Z45)=0,0,MAX(0,IF((AW$6-$E$3)&lt;1,0,IFERROR(LOOKUP(2,1/(Amendoim!$E45:INDEX(Amendoim!$E45:$Z45,MIN(AW$6-$E$3,22))&lt;&gt;""),Amendoim!$E45:INDEX(Amendoim!$E45:$Z45,MIN(AW$6-$E$3,22))),0))-IF($G$2,0,IF((AW$6-$G$3)&lt;1,0,IFERROR(LOOKUP(2,1/(Amendoim!$E45:INDEX(Amendoim!$E45:$Z45,MIN(AW$6-$G$3,22))&lt;&gt;""),Amendoim!$E45:INDEX(Amendoim!$E45:$Z45,MIN(AW$6-$G$3,22))),0)))))</f>
        <v>0</v>
      </c>
      <c r="AX47" s="27" t="n">
        <f aca="false">IF(COUNT(Amendoim!$E45:$Z45)=0,0,MAX(0,IF((AX$6-$E$3)&lt;1,0,IFERROR(LOOKUP(2,1/(Amendoim!$E45:INDEX(Amendoim!$E45:$Z45,MIN(AX$6-$E$3,22))&lt;&gt;""),Amendoim!$E45:INDEX(Amendoim!$E45:$Z45,MIN(AX$6-$E$3,22))),0))-IF($G$2,0,IF((AX$6-$G$3)&lt;1,0,IFERROR(LOOKUP(2,1/(Amendoim!$E45:INDEX(Amendoim!$E45:$Z45,MIN(AX$6-$G$3,22))&lt;&gt;""),Amendoim!$E45:INDEX(Amendoim!$E45:$Z45,MIN(AX$6-$G$3,22))),0)))))</f>
        <v>0</v>
      </c>
      <c r="AY47" s="27" t="n">
        <f aca="false">IF(COUNT(Amendoim!$E45:$Z45)=0,0,MAX(0,IF((AY$6-$E$3)&lt;1,0,IFERROR(LOOKUP(2,1/(Amendoim!$E45:INDEX(Amendoim!$E45:$Z45,MIN(AY$6-$E$3,22))&lt;&gt;""),Amendoim!$E45:INDEX(Amendoim!$E45:$Z45,MIN(AY$6-$E$3,22))),0))-IF($G$2,0,IF((AY$6-$G$3)&lt;1,0,IFERROR(LOOKUP(2,1/(Amendoim!$E45:INDEX(Amendoim!$E45:$Z45,MIN(AY$6-$G$3,22))&lt;&gt;""),Amendoim!$E45:INDEX(Amendoim!$E45:$Z45,MIN(AY$6-$G$3,22))),0)))))</f>
        <v>0</v>
      </c>
      <c r="AZ47" s="27" t="n">
        <f aca="false">IF(COUNT(Amendoim!$E45:$Z45)=0,0,MAX(0,IF((AZ$6-$E$3)&lt;1,0,IFERROR(LOOKUP(2,1/(Amendoim!$E45:INDEX(Amendoim!$E45:$Z45,MIN(AZ$6-$E$3,22))&lt;&gt;""),Amendoim!$E45:INDEX(Amendoim!$E45:$Z45,MIN(AZ$6-$E$3,22))),0))-IF($G$2,0,IF((AZ$6-$G$3)&lt;1,0,IFERROR(LOOKUP(2,1/(Amendoim!$E45:INDEX(Amendoim!$E45:$Z45,MIN(AZ$6-$G$3,22))&lt;&gt;""),Amendoim!$E45:INDEX(Amendoim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IF(COUNT(Amendoim!$E46:$Z46)&gt;0,N(Amendoim!$D46),0)</f>
        <v>0</v>
      </c>
      <c r="E48" s="27" t="n">
        <f aca="false">IF(COUNT(Amendoim!$E46:$Z46)=0,0,MAX(0,IF((E$6-$E$3)&lt;1,0,IFERROR(LOOKUP(2,1/(Amendoim!$E46:INDEX(Amendoim!$E46:$Z46,MIN(E$6-$E$3,22))&lt;&gt;""),Amendoim!$E46:INDEX(Amendoim!$E46:$Z46,MIN(E$6-$E$3,22))),0))-IF($G$2,0,IF((E$6-$G$3)&lt;1,0,IFERROR(LOOKUP(2,1/(Amendoim!$E46:INDEX(Amendoim!$E46:$Z46,MIN(E$6-$G$3,22))&lt;&gt;""),Amendoim!$E46:INDEX(Amendoim!$E46:$Z46,MIN(E$6-$G$3,22))),0)))))</f>
        <v>0</v>
      </c>
      <c r="F48" s="27" t="n">
        <f aca="false">IF(COUNT(Amendoim!$E46:$Z46)=0,0,MAX(0,IF((F$6-$E$3)&lt;1,0,IFERROR(LOOKUP(2,1/(Amendoim!$E46:INDEX(Amendoim!$E46:$Z46,MIN(F$6-$E$3,22))&lt;&gt;""),Amendoim!$E46:INDEX(Amendoim!$E46:$Z46,MIN(F$6-$E$3,22))),0))-IF($G$2,0,IF((F$6-$G$3)&lt;1,0,IFERROR(LOOKUP(2,1/(Amendoim!$E46:INDEX(Amendoim!$E46:$Z46,MIN(F$6-$G$3,22))&lt;&gt;""),Amendoim!$E46:INDEX(Amendoim!$E46:$Z46,MIN(F$6-$G$3,22))),0)))))</f>
        <v>0</v>
      </c>
      <c r="G48" s="27" t="n">
        <f aca="false">IF(COUNT(Amendoim!$E46:$Z46)=0,0,MAX(0,IF((G$6-$E$3)&lt;1,0,IFERROR(LOOKUP(2,1/(Amendoim!$E46:INDEX(Amendoim!$E46:$Z46,MIN(G$6-$E$3,22))&lt;&gt;""),Amendoim!$E46:INDEX(Amendoim!$E46:$Z46,MIN(G$6-$E$3,22))),0))-IF($G$2,0,IF((G$6-$G$3)&lt;1,0,IFERROR(LOOKUP(2,1/(Amendoim!$E46:INDEX(Amendoim!$E46:$Z46,MIN(G$6-$G$3,22))&lt;&gt;""),Amendoim!$E46:INDEX(Amendoim!$E46:$Z46,MIN(G$6-$G$3,22))),0)))))</f>
        <v>0</v>
      </c>
      <c r="H48" s="27" t="n">
        <f aca="false">IF(COUNT(Amendoim!$E46:$Z46)=0,0,MAX(0,IF((H$6-$E$3)&lt;1,0,IFERROR(LOOKUP(2,1/(Amendoim!$E46:INDEX(Amendoim!$E46:$Z46,MIN(H$6-$E$3,22))&lt;&gt;""),Amendoim!$E46:INDEX(Amendoim!$E46:$Z46,MIN(H$6-$E$3,22))),0))-IF($G$2,0,IF((H$6-$G$3)&lt;1,0,IFERROR(LOOKUP(2,1/(Amendoim!$E46:INDEX(Amendoim!$E46:$Z46,MIN(H$6-$G$3,22))&lt;&gt;""),Amendoim!$E46:INDEX(Amendoim!$E46:$Z46,MIN(H$6-$G$3,22))),0)))))</f>
        <v>0</v>
      </c>
      <c r="I48" s="27" t="n">
        <f aca="false">IF(COUNT(Amendoim!$E46:$Z46)=0,0,MAX(0,IF((I$6-$E$3)&lt;1,0,IFERROR(LOOKUP(2,1/(Amendoim!$E46:INDEX(Amendoim!$E46:$Z46,MIN(I$6-$E$3,22))&lt;&gt;""),Amendoim!$E46:INDEX(Amendoim!$E46:$Z46,MIN(I$6-$E$3,22))),0))-IF($G$2,0,IF((I$6-$G$3)&lt;1,0,IFERROR(LOOKUP(2,1/(Amendoim!$E46:INDEX(Amendoim!$E46:$Z46,MIN(I$6-$G$3,22))&lt;&gt;""),Amendoim!$E46:INDEX(Amendoim!$E46:$Z46,MIN(I$6-$G$3,22))),0)))))</f>
        <v>0</v>
      </c>
      <c r="J48" s="27" t="n">
        <f aca="false">IF(COUNT(Amendoim!$E46:$Z46)=0,0,MAX(0,IF((J$6-$E$3)&lt;1,0,IFERROR(LOOKUP(2,1/(Amendoim!$E46:INDEX(Amendoim!$E46:$Z46,MIN(J$6-$E$3,22))&lt;&gt;""),Amendoim!$E46:INDEX(Amendoim!$E46:$Z46,MIN(J$6-$E$3,22))),0))-IF($G$2,0,IF((J$6-$G$3)&lt;1,0,IFERROR(LOOKUP(2,1/(Amendoim!$E46:INDEX(Amendoim!$E46:$Z46,MIN(J$6-$G$3,22))&lt;&gt;""),Amendoim!$E46:INDEX(Amendoim!$E46:$Z46,MIN(J$6-$G$3,22))),0)))))</f>
        <v>0</v>
      </c>
      <c r="K48" s="27" t="n">
        <f aca="false">IF(COUNT(Amendoim!$E46:$Z46)=0,0,MAX(0,IF((K$6-$E$3)&lt;1,0,IFERROR(LOOKUP(2,1/(Amendoim!$E46:INDEX(Amendoim!$E46:$Z46,MIN(K$6-$E$3,22))&lt;&gt;""),Amendoim!$E46:INDEX(Amendoim!$E46:$Z46,MIN(K$6-$E$3,22))),0))-IF($G$2,0,IF((K$6-$G$3)&lt;1,0,IFERROR(LOOKUP(2,1/(Amendoim!$E46:INDEX(Amendoim!$E46:$Z46,MIN(K$6-$G$3,22))&lt;&gt;""),Amendoim!$E46:INDEX(Amendoim!$E46:$Z46,MIN(K$6-$G$3,22))),0)))))</f>
        <v>0</v>
      </c>
      <c r="L48" s="27" t="n">
        <f aca="false">IF(COUNT(Amendoim!$E46:$Z46)=0,0,MAX(0,IF((L$6-$E$3)&lt;1,0,IFERROR(LOOKUP(2,1/(Amendoim!$E46:INDEX(Amendoim!$E46:$Z46,MIN(L$6-$E$3,22))&lt;&gt;""),Amendoim!$E46:INDEX(Amendoim!$E46:$Z46,MIN(L$6-$E$3,22))),0))-IF($G$2,0,IF((L$6-$G$3)&lt;1,0,IFERROR(LOOKUP(2,1/(Amendoim!$E46:INDEX(Amendoim!$E46:$Z46,MIN(L$6-$G$3,22))&lt;&gt;""),Amendoim!$E46:INDEX(Amendoim!$E46:$Z46,MIN(L$6-$G$3,22))),0)))))</f>
        <v>0</v>
      </c>
      <c r="M48" s="27" t="n">
        <f aca="false">IF(COUNT(Amendoim!$E46:$Z46)=0,0,MAX(0,IF((M$6-$E$3)&lt;1,0,IFERROR(LOOKUP(2,1/(Amendoim!$E46:INDEX(Amendoim!$E46:$Z46,MIN(M$6-$E$3,22))&lt;&gt;""),Amendoim!$E46:INDEX(Amendoim!$E46:$Z46,MIN(M$6-$E$3,22))),0))-IF($G$2,0,IF((M$6-$G$3)&lt;1,0,IFERROR(LOOKUP(2,1/(Amendoim!$E46:INDEX(Amendoim!$E46:$Z46,MIN(M$6-$G$3,22))&lt;&gt;""),Amendoim!$E46:INDEX(Amendoim!$E46:$Z46,MIN(M$6-$G$3,22))),0)))))</f>
        <v>0</v>
      </c>
      <c r="N48" s="27" t="n">
        <f aca="false">IF(COUNT(Amendoim!$E46:$Z46)=0,0,MAX(0,IF((N$6-$E$3)&lt;1,0,IFERROR(LOOKUP(2,1/(Amendoim!$E46:INDEX(Amendoim!$E46:$Z46,MIN(N$6-$E$3,22))&lt;&gt;""),Amendoim!$E46:INDEX(Amendoim!$E46:$Z46,MIN(N$6-$E$3,22))),0))-IF($G$2,0,IF((N$6-$G$3)&lt;1,0,IFERROR(LOOKUP(2,1/(Amendoim!$E46:INDEX(Amendoim!$E46:$Z46,MIN(N$6-$G$3,22))&lt;&gt;""),Amendoim!$E46:INDEX(Amendoim!$E46:$Z46,MIN(N$6-$G$3,22))),0)))))</f>
        <v>0</v>
      </c>
      <c r="O48" s="27" t="n">
        <f aca="false">IF(COUNT(Amendoim!$E46:$Z46)=0,0,MAX(0,IF((O$6-$E$3)&lt;1,0,IFERROR(LOOKUP(2,1/(Amendoim!$E46:INDEX(Amendoim!$E46:$Z46,MIN(O$6-$E$3,22))&lt;&gt;""),Amendoim!$E46:INDEX(Amendoim!$E46:$Z46,MIN(O$6-$E$3,22))),0))-IF($G$2,0,IF((O$6-$G$3)&lt;1,0,IFERROR(LOOKUP(2,1/(Amendoim!$E46:INDEX(Amendoim!$E46:$Z46,MIN(O$6-$G$3,22))&lt;&gt;""),Amendoim!$E46:INDEX(Amendoim!$E46:$Z46,MIN(O$6-$G$3,22))),0)))))</f>
        <v>0</v>
      </c>
      <c r="P48" s="27" t="n">
        <f aca="false">IF(COUNT(Amendoim!$E46:$Z46)=0,0,MAX(0,IF((P$6-$E$3)&lt;1,0,IFERROR(LOOKUP(2,1/(Amendoim!$E46:INDEX(Amendoim!$E46:$Z46,MIN(P$6-$E$3,22))&lt;&gt;""),Amendoim!$E46:INDEX(Amendoim!$E46:$Z46,MIN(P$6-$E$3,22))),0))-IF($G$2,0,IF((P$6-$G$3)&lt;1,0,IFERROR(LOOKUP(2,1/(Amendoim!$E46:INDEX(Amendoim!$E46:$Z46,MIN(P$6-$G$3,22))&lt;&gt;""),Amendoim!$E46:INDEX(Amendoim!$E46:$Z46,MIN(P$6-$G$3,22))),0)))))</f>
        <v>0</v>
      </c>
      <c r="Q48" s="27" t="n">
        <f aca="false">IF(COUNT(Amendoim!$E46:$Z46)=0,0,MAX(0,IF((Q$6-$E$3)&lt;1,0,IFERROR(LOOKUP(2,1/(Amendoim!$E46:INDEX(Amendoim!$E46:$Z46,MIN(Q$6-$E$3,22))&lt;&gt;""),Amendoim!$E46:INDEX(Amendoim!$E46:$Z46,MIN(Q$6-$E$3,22))),0))-IF($G$2,0,IF((Q$6-$G$3)&lt;1,0,IFERROR(LOOKUP(2,1/(Amendoim!$E46:INDEX(Amendoim!$E46:$Z46,MIN(Q$6-$G$3,22))&lt;&gt;""),Amendoim!$E46:INDEX(Amendoim!$E46:$Z46,MIN(Q$6-$G$3,22))),0)))))</f>
        <v>0</v>
      </c>
      <c r="R48" s="27" t="n">
        <f aca="false">IF(COUNT(Amendoim!$E46:$Z46)=0,0,MAX(0,IF((R$6-$E$3)&lt;1,0,IFERROR(LOOKUP(2,1/(Amendoim!$E46:INDEX(Amendoim!$E46:$Z46,MIN(R$6-$E$3,22))&lt;&gt;""),Amendoim!$E46:INDEX(Amendoim!$E46:$Z46,MIN(R$6-$E$3,22))),0))-IF($G$2,0,IF((R$6-$G$3)&lt;1,0,IFERROR(LOOKUP(2,1/(Amendoim!$E46:INDEX(Amendoim!$E46:$Z46,MIN(R$6-$G$3,22))&lt;&gt;""),Amendoim!$E46:INDEX(Amendoim!$E46:$Z46,MIN(R$6-$G$3,22))),0)))))</f>
        <v>0</v>
      </c>
      <c r="S48" s="27" t="n">
        <f aca="false">IF(COUNT(Amendoim!$E46:$Z46)=0,0,MAX(0,IF((S$6-$E$3)&lt;1,0,IFERROR(LOOKUP(2,1/(Amendoim!$E46:INDEX(Amendoim!$E46:$Z46,MIN(S$6-$E$3,22))&lt;&gt;""),Amendoim!$E46:INDEX(Amendoim!$E46:$Z46,MIN(S$6-$E$3,22))),0))-IF($G$2,0,IF((S$6-$G$3)&lt;1,0,IFERROR(LOOKUP(2,1/(Amendoim!$E46:INDEX(Amendoim!$E46:$Z46,MIN(S$6-$G$3,22))&lt;&gt;""),Amendoim!$E46:INDEX(Amendoim!$E46:$Z46,MIN(S$6-$G$3,22))),0)))))</f>
        <v>0</v>
      </c>
      <c r="T48" s="27" t="n">
        <f aca="false">IF(COUNT(Amendoim!$E46:$Z46)=0,0,MAX(0,IF((T$6-$E$3)&lt;1,0,IFERROR(LOOKUP(2,1/(Amendoim!$E46:INDEX(Amendoim!$E46:$Z46,MIN(T$6-$E$3,22))&lt;&gt;""),Amendoim!$E46:INDEX(Amendoim!$E46:$Z46,MIN(T$6-$E$3,22))),0))-IF($G$2,0,IF((T$6-$G$3)&lt;1,0,IFERROR(LOOKUP(2,1/(Amendoim!$E46:INDEX(Amendoim!$E46:$Z46,MIN(T$6-$G$3,22))&lt;&gt;""),Amendoim!$E46:INDEX(Amendoim!$E46:$Z46,MIN(T$6-$G$3,22))),0)))))</f>
        <v>0</v>
      </c>
      <c r="U48" s="27" t="n">
        <f aca="false">IF(COUNT(Amendoim!$E46:$Z46)=0,0,MAX(0,IF((U$6-$E$3)&lt;1,0,IFERROR(LOOKUP(2,1/(Amendoim!$E46:INDEX(Amendoim!$E46:$Z46,MIN(U$6-$E$3,22))&lt;&gt;""),Amendoim!$E46:INDEX(Amendoim!$E46:$Z46,MIN(U$6-$E$3,22))),0))-IF($G$2,0,IF((U$6-$G$3)&lt;1,0,IFERROR(LOOKUP(2,1/(Amendoim!$E46:INDEX(Amendoim!$E46:$Z46,MIN(U$6-$G$3,22))&lt;&gt;""),Amendoim!$E46:INDEX(Amendoim!$E46:$Z46,MIN(U$6-$G$3,22))),0)))))</f>
        <v>0</v>
      </c>
      <c r="V48" s="27" t="n">
        <f aca="false">IF(COUNT(Amendoim!$E46:$Z46)=0,0,MAX(0,IF((V$6-$E$3)&lt;1,0,IFERROR(LOOKUP(2,1/(Amendoim!$E46:INDEX(Amendoim!$E46:$Z46,MIN(V$6-$E$3,22))&lt;&gt;""),Amendoim!$E46:INDEX(Amendoim!$E46:$Z46,MIN(V$6-$E$3,22))),0))-IF($G$2,0,IF((V$6-$G$3)&lt;1,0,IFERROR(LOOKUP(2,1/(Amendoim!$E46:INDEX(Amendoim!$E46:$Z46,MIN(V$6-$G$3,22))&lt;&gt;""),Amendoim!$E46:INDEX(Amendoim!$E46:$Z46,MIN(V$6-$G$3,22))),0)))))</f>
        <v>0</v>
      </c>
      <c r="W48" s="27" t="n">
        <f aca="false">IF(COUNT(Amendoim!$E46:$Z46)=0,0,MAX(0,IF((W$6-$E$3)&lt;1,0,IFERROR(LOOKUP(2,1/(Amendoim!$E46:INDEX(Amendoim!$E46:$Z46,MIN(W$6-$E$3,22))&lt;&gt;""),Amendoim!$E46:INDEX(Amendoim!$E46:$Z46,MIN(W$6-$E$3,22))),0))-IF($G$2,0,IF((W$6-$G$3)&lt;1,0,IFERROR(LOOKUP(2,1/(Amendoim!$E46:INDEX(Amendoim!$E46:$Z46,MIN(W$6-$G$3,22))&lt;&gt;""),Amendoim!$E46:INDEX(Amendoim!$E46:$Z46,MIN(W$6-$G$3,22))),0)))))</f>
        <v>0</v>
      </c>
      <c r="X48" s="27" t="n">
        <f aca="false">IF(COUNT(Amendoim!$E46:$Z46)=0,0,MAX(0,IF((X$6-$E$3)&lt;1,0,IFERROR(LOOKUP(2,1/(Amendoim!$E46:INDEX(Amendoim!$E46:$Z46,MIN(X$6-$E$3,22))&lt;&gt;""),Amendoim!$E46:INDEX(Amendoim!$E46:$Z46,MIN(X$6-$E$3,22))),0))-IF($G$2,0,IF((X$6-$G$3)&lt;1,0,IFERROR(LOOKUP(2,1/(Amendoim!$E46:INDEX(Amendoim!$E46:$Z46,MIN(X$6-$G$3,22))&lt;&gt;""),Amendoim!$E46:INDEX(Amendoim!$E46:$Z46,MIN(X$6-$G$3,22))),0)))))</f>
        <v>0</v>
      </c>
      <c r="Y48" s="27" t="n">
        <f aca="false">IF(COUNT(Amendoim!$E46:$Z46)=0,0,MAX(0,IF((Y$6-$E$3)&lt;1,0,IFERROR(LOOKUP(2,1/(Amendoim!$E46:INDEX(Amendoim!$E46:$Z46,MIN(Y$6-$E$3,22))&lt;&gt;""),Amendoim!$E46:INDEX(Amendoim!$E46:$Z46,MIN(Y$6-$E$3,22))),0))-IF($G$2,0,IF((Y$6-$G$3)&lt;1,0,IFERROR(LOOKUP(2,1/(Amendoim!$E46:INDEX(Amendoim!$E46:$Z46,MIN(Y$6-$G$3,22))&lt;&gt;""),Amendoim!$E46:INDEX(Amendoim!$E46:$Z46,MIN(Y$6-$G$3,22))),0)))))</f>
        <v>0</v>
      </c>
      <c r="Z48" s="27" t="n">
        <f aca="false">IF(COUNT(Amendoim!$E46:$Z46)=0,0,MAX(0,IF((Z$6-$E$3)&lt;1,0,IFERROR(LOOKUP(2,1/(Amendoim!$E46:INDEX(Amendoim!$E46:$Z46,MIN(Z$6-$E$3,22))&lt;&gt;""),Amendoim!$E46:INDEX(Amendoim!$E46:$Z46,MIN(Z$6-$E$3,22))),0))-IF($G$2,0,IF((Z$6-$G$3)&lt;1,0,IFERROR(LOOKUP(2,1/(Amendoim!$E46:INDEX(Amendoim!$E46:$Z46,MIN(Z$6-$G$3,22))&lt;&gt;""),Amendoim!$E46:INDEX(Amendoim!$E46:$Z46,MIN(Z$6-$G$3,22))),0)))))</f>
        <v>0</v>
      </c>
      <c r="AA48" s="27" t="n">
        <f aca="false">IF(COUNT(Amendoim!$E46:$Z46)=0,0,MAX(0,IF((AA$6-$E$3)&lt;1,0,IFERROR(LOOKUP(2,1/(Amendoim!$E46:INDEX(Amendoim!$E46:$Z46,MIN(AA$6-$E$3,22))&lt;&gt;""),Amendoim!$E46:INDEX(Amendoim!$E46:$Z46,MIN(AA$6-$E$3,22))),0))-IF($G$2,0,IF((AA$6-$G$3)&lt;1,0,IFERROR(LOOKUP(2,1/(Amendoim!$E46:INDEX(Amendoim!$E46:$Z46,MIN(AA$6-$G$3,22))&lt;&gt;""),Amendoim!$E46:INDEX(Amendoim!$E46:$Z46,MIN(AA$6-$G$3,22))),0)))))</f>
        <v>0</v>
      </c>
      <c r="AB48" s="27" t="n">
        <f aca="false">IF(COUNT(Amendoim!$E46:$Z46)=0,0,MAX(0,IF((AB$6-$E$3)&lt;1,0,IFERROR(LOOKUP(2,1/(Amendoim!$E46:INDEX(Amendoim!$E46:$Z46,MIN(AB$6-$E$3,22))&lt;&gt;""),Amendoim!$E46:INDEX(Amendoim!$E46:$Z46,MIN(AB$6-$E$3,22))),0))-IF($G$2,0,IF((AB$6-$G$3)&lt;1,0,IFERROR(LOOKUP(2,1/(Amendoim!$E46:INDEX(Amendoim!$E46:$Z46,MIN(AB$6-$G$3,22))&lt;&gt;""),Amendoim!$E46:INDEX(Amendoim!$E46:$Z46,MIN(AB$6-$G$3,22))),0)))))</f>
        <v>0</v>
      </c>
      <c r="AC48" s="27" t="n">
        <f aca="false">IF(COUNT(Amendoim!$E46:$Z46)=0,0,MAX(0,IF((AC$6-$E$3)&lt;1,0,IFERROR(LOOKUP(2,1/(Amendoim!$E46:INDEX(Amendoim!$E46:$Z46,MIN(AC$6-$E$3,22))&lt;&gt;""),Amendoim!$E46:INDEX(Amendoim!$E46:$Z46,MIN(AC$6-$E$3,22))),0))-IF($G$2,0,IF((AC$6-$G$3)&lt;1,0,IFERROR(LOOKUP(2,1/(Amendoim!$E46:INDEX(Amendoim!$E46:$Z46,MIN(AC$6-$G$3,22))&lt;&gt;""),Amendoim!$E46:INDEX(Amendoim!$E46:$Z46,MIN(AC$6-$G$3,22))),0)))))</f>
        <v>0</v>
      </c>
      <c r="AD48" s="27" t="n">
        <f aca="false">IF(COUNT(Amendoim!$E46:$Z46)=0,0,MAX(0,IF((AD$6-$E$3)&lt;1,0,IFERROR(LOOKUP(2,1/(Amendoim!$E46:INDEX(Amendoim!$E46:$Z46,MIN(AD$6-$E$3,22))&lt;&gt;""),Amendoim!$E46:INDEX(Amendoim!$E46:$Z46,MIN(AD$6-$E$3,22))),0))-IF($G$2,0,IF((AD$6-$G$3)&lt;1,0,IFERROR(LOOKUP(2,1/(Amendoim!$E46:INDEX(Amendoim!$E46:$Z46,MIN(AD$6-$G$3,22))&lt;&gt;""),Amendoim!$E46:INDEX(Amendoim!$E46:$Z46,MIN(AD$6-$G$3,22))),0)))))</f>
        <v>0</v>
      </c>
      <c r="AE48" s="27" t="n">
        <f aca="false">IF(COUNT(Amendoim!$E46:$Z46)=0,0,MAX(0,IF((AE$6-$E$3)&lt;1,0,IFERROR(LOOKUP(2,1/(Amendoim!$E46:INDEX(Amendoim!$E46:$Z46,MIN(AE$6-$E$3,22))&lt;&gt;""),Amendoim!$E46:INDEX(Amendoim!$E46:$Z46,MIN(AE$6-$E$3,22))),0))-IF($G$2,0,IF((AE$6-$G$3)&lt;1,0,IFERROR(LOOKUP(2,1/(Amendoim!$E46:INDEX(Amendoim!$E46:$Z46,MIN(AE$6-$G$3,22))&lt;&gt;""),Amendoim!$E46:INDEX(Amendoim!$E46:$Z46,MIN(AE$6-$G$3,22))),0)))))</f>
        <v>0</v>
      </c>
      <c r="AF48" s="27" t="n">
        <f aca="false">IF(COUNT(Amendoim!$E46:$Z46)=0,0,MAX(0,IF((AF$6-$E$3)&lt;1,0,IFERROR(LOOKUP(2,1/(Amendoim!$E46:INDEX(Amendoim!$E46:$Z46,MIN(AF$6-$E$3,22))&lt;&gt;""),Amendoim!$E46:INDEX(Amendoim!$E46:$Z46,MIN(AF$6-$E$3,22))),0))-IF($G$2,0,IF((AF$6-$G$3)&lt;1,0,IFERROR(LOOKUP(2,1/(Amendoim!$E46:INDEX(Amendoim!$E46:$Z46,MIN(AF$6-$G$3,22))&lt;&gt;""),Amendoim!$E46:INDEX(Amendoim!$E46:$Z46,MIN(AF$6-$G$3,22))),0)))))</f>
        <v>0</v>
      </c>
      <c r="AG48" s="27" t="n">
        <f aca="false">IF(COUNT(Amendoim!$E46:$Z46)=0,0,MAX(0,IF((AG$6-$E$3)&lt;1,0,IFERROR(LOOKUP(2,1/(Amendoim!$E46:INDEX(Amendoim!$E46:$Z46,MIN(AG$6-$E$3,22))&lt;&gt;""),Amendoim!$E46:INDEX(Amendoim!$E46:$Z46,MIN(AG$6-$E$3,22))),0))-IF($G$2,0,IF((AG$6-$G$3)&lt;1,0,IFERROR(LOOKUP(2,1/(Amendoim!$E46:INDEX(Amendoim!$E46:$Z46,MIN(AG$6-$G$3,22))&lt;&gt;""),Amendoim!$E46:INDEX(Amendoim!$E46:$Z46,MIN(AG$6-$G$3,22))),0)))))</f>
        <v>0</v>
      </c>
      <c r="AH48" s="27" t="n">
        <f aca="false">IF(COUNT(Amendoim!$E46:$Z46)=0,0,MAX(0,IF((AH$6-$E$3)&lt;1,0,IFERROR(LOOKUP(2,1/(Amendoim!$E46:INDEX(Amendoim!$E46:$Z46,MIN(AH$6-$E$3,22))&lt;&gt;""),Amendoim!$E46:INDEX(Amendoim!$E46:$Z46,MIN(AH$6-$E$3,22))),0))-IF($G$2,0,IF((AH$6-$G$3)&lt;1,0,IFERROR(LOOKUP(2,1/(Amendoim!$E46:INDEX(Amendoim!$E46:$Z46,MIN(AH$6-$G$3,22))&lt;&gt;""),Amendoim!$E46:INDEX(Amendoim!$E46:$Z46,MIN(AH$6-$G$3,22))),0)))))</f>
        <v>0</v>
      </c>
      <c r="AI48" s="27" t="n">
        <f aca="false">IF(COUNT(Amendoim!$E46:$Z46)=0,0,MAX(0,IF((AI$6-$E$3)&lt;1,0,IFERROR(LOOKUP(2,1/(Amendoim!$E46:INDEX(Amendoim!$E46:$Z46,MIN(AI$6-$E$3,22))&lt;&gt;""),Amendoim!$E46:INDEX(Amendoim!$E46:$Z46,MIN(AI$6-$E$3,22))),0))-IF($G$2,0,IF((AI$6-$G$3)&lt;1,0,IFERROR(LOOKUP(2,1/(Amendoim!$E46:INDEX(Amendoim!$E46:$Z46,MIN(AI$6-$G$3,22))&lt;&gt;""),Amendoim!$E46:INDEX(Amendoim!$E46:$Z46,MIN(AI$6-$G$3,22))),0)))))</f>
        <v>0</v>
      </c>
      <c r="AJ48" s="27" t="n">
        <f aca="false">IF(COUNT(Amendoim!$E46:$Z46)=0,0,MAX(0,IF((AJ$6-$E$3)&lt;1,0,IFERROR(LOOKUP(2,1/(Amendoim!$E46:INDEX(Amendoim!$E46:$Z46,MIN(AJ$6-$E$3,22))&lt;&gt;""),Amendoim!$E46:INDEX(Amendoim!$E46:$Z46,MIN(AJ$6-$E$3,22))),0))-IF($G$2,0,IF((AJ$6-$G$3)&lt;1,0,IFERROR(LOOKUP(2,1/(Amendoim!$E46:INDEX(Amendoim!$E46:$Z46,MIN(AJ$6-$G$3,22))&lt;&gt;""),Amendoim!$E46:INDEX(Amendoim!$E46:$Z46,MIN(AJ$6-$G$3,22))),0)))))</f>
        <v>0</v>
      </c>
      <c r="AK48" s="27" t="n">
        <f aca="false">IF(COUNT(Amendoim!$E46:$Z46)=0,0,MAX(0,IF((AK$6-$E$3)&lt;1,0,IFERROR(LOOKUP(2,1/(Amendoim!$E46:INDEX(Amendoim!$E46:$Z46,MIN(AK$6-$E$3,22))&lt;&gt;""),Amendoim!$E46:INDEX(Amendoim!$E46:$Z46,MIN(AK$6-$E$3,22))),0))-IF($G$2,0,IF((AK$6-$G$3)&lt;1,0,IFERROR(LOOKUP(2,1/(Amendoim!$E46:INDEX(Amendoim!$E46:$Z46,MIN(AK$6-$G$3,22))&lt;&gt;""),Amendoim!$E46:INDEX(Amendoim!$E46:$Z46,MIN(AK$6-$G$3,22))),0)))))</f>
        <v>0</v>
      </c>
      <c r="AL48" s="27" t="n">
        <f aca="false">IF(COUNT(Amendoim!$E46:$Z46)=0,0,MAX(0,IF((AL$6-$E$3)&lt;1,0,IFERROR(LOOKUP(2,1/(Amendoim!$E46:INDEX(Amendoim!$E46:$Z46,MIN(AL$6-$E$3,22))&lt;&gt;""),Amendoim!$E46:INDEX(Amendoim!$E46:$Z46,MIN(AL$6-$E$3,22))),0))-IF($G$2,0,IF((AL$6-$G$3)&lt;1,0,IFERROR(LOOKUP(2,1/(Amendoim!$E46:INDEX(Amendoim!$E46:$Z46,MIN(AL$6-$G$3,22))&lt;&gt;""),Amendoim!$E46:INDEX(Amendoim!$E46:$Z46,MIN(AL$6-$G$3,22))),0)))))</f>
        <v>0</v>
      </c>
      <c r="AM48" s="27" t="n">
        <f aca="false">IF(COUNT(Amendoim!$E46:$Z46)=0,0,MAX(0,IF((AM$6-$E$3)&lt;1,0,IFERROR(LOOKUP(2,1/(Amendoim!$E46:INDEX(Amendoim!$E46:$Z46,MIN(AM$6-$E$3,22))&lt;&gt;""),Amendoim!$E46:INDEX(Amendoim!$E46:$Z46,MIN(AM$6-$E$3,22))),0))-IF($G$2,0,IF((AM$6-$G$3)&lt;1,0,IFERROR(LOOKUP(2,1/(Amendoim!$E46:INDEX(Amendoim!$E46:$Z46,MIN(AM$6-$G$3,22))&lt;&gt;""),Amendoim!$E46:INDEX(Amendoim!$E46:$Z46,MIN(AM$6-$G$3,22))),0)))))</f>
        <v>0</v>
      </c>
      <c r="AN48" s="27" t="n">
        <f aca="false">IF(COUNT(Amendoim!$E46:$Z46)=0,0,MAX(0,IF((AN$6-$E$3)&lt;1,0,IFERROR(LOOKUP(2,1/(Amendoim!$E46:INDEX(Amendoim!$E46:$Z46,MIN(AN$6-$E$3,22))&lt;&gt;""),Amendoim!$E46:INDEX(Amendoim!$E46:$Z46,MIN(AN$6-$E$3,22))),0))-IF($G$2,0,IF((AN$6-$G$3)&lt;1,0,IFERROR(LOOKUP(2,1/(Amendoim!$E46:INDEX(Amendoim!$E46:$Z46,MIN(AN$6-$G$3,22))&lt;&gt;""),Amendoim!$E46:INDEX(Amendoim!$E46:$Z46,MIN(AN$6-$G$3,22))),0)))))</f>
        <v>0</v>
      </c>
      <c r="AO48" s="27" t="n">
        <f aca="false">IF(COUNT(Amendoim!$E46:$Z46)=0,0,MAX(0,IF((AO$6-$E$3)&lt;1,0,IFERROR(LOOKUP(2,1/(Amendoim!$E46:INDEX(Amendoim!$E46:$Z46,MIN(AO$6-$E$3,22))&lt;&gt;""),Amendoim!$E46:INDEX(Amendoim!$E46:$Z46,MIN(AO$6-$E$3,22))),0))-IF($G$2,0,IF((AO$6-$G$3)&lt;1,0,IFERROR(LOOKUP(2,1/(Amendoim!$E46:INDEX(Amendoim!$E46:$Z46,MIN(AO$6-$G$3,22))&lt;&gt;""),Amendoim!$E46:INDEX(Amendoim!$E46:$Z46,MIN(AO$6-$G$3,22))),0)))))</f>
        <v>0</v>
      </c>
      <c r="AP48" s="27" t="n">
        <f aca="false">IF(COUNT(Amendoim!$E46:$Z46)=0,0,MAX(0,IF((AP$6-$E$3)&lt;1,0,IFERROR(LOOKUP(2,1/(Amendoim!$E46:INDEX(Amendoim!$E46:$Z46,MIN(AP$6-$E$3,22))&lt;&gt;""),Amendoim!$E46:INDEX(Amendoim!$E46:$Z46,MIN(AP$6-$E$3,22))),0))-IF($G$2,0,IF((AP$6-$G$3)&lt;1,0,IFERROR(LOOKUP(2,1/(Amendoim!$E46:INDEX(Amendoim!$E46:$Z46,MIN(AP$6-$G$3,22))&lt;&gt;""),Amendoim!$E46:INDEX(Amendoim!$E46:$Z46,MIN(AP$6-$G$3,22))),0)))))</f>
        <v>0</v>
      </c>
      <c r="AQ48" s="27" t="n">
        <f aca="false">IF(COUNT(Amendoim!$E46:$Z46)=0,0,MAX(0,IF((AQ$6-$E$3)&lt;1,0,IFERROR(LOOKUP(2,1/(Amendoim!$E46:INDEX(Amendoim!$E46:$Z46,MIN(AQ$6-$E$3,22))&lt;&gt;""),Amendoim!$E46:INDEX(Amendoim!$E46:$Z46,MIN(AQ$6-$E$3,22))),0))-IF($G$2,0,IF((AQ$6-$G$3)&lt;1,0,IFERROR(LOOKUP(2,1/(Amendoim!$E46:INDEX(Amendoim!$E46:$Z46,MIN(AQ$6-$G$3,22))&lt;&gt;""),Amendoim!$E46:INDEX(Amendoim!$E46:$Z46,MIN(AQ$6-$G$3,22))),0)))))</f>
        <v>0</v>
      </c>
      <c r="AR48" s="27" t="n">
        <f aca="false">IF(COUNT(Amendoim!$E46:$Z46)=0,0,MAX(0,IF((AR$6-$E$3)&lt;1,0,IFERROR(LOOKUP(2,1/(Amendoim!$E46:INDEX(Amendoim!$E46:$Z46,MIN(AR$6-$E$3,22))&lt;&gt;""),Amendoim!$E46:INDEX(Amendoim!$E46:$Z46,MIN(AR$6-$E$3,22))),0))-IF($G$2,0,IF((AR$6-$G$3)&lt;1,0,IFERROR(LOOKUP(2,1/(Amendoim!$E46:INDEX(Amendoim!$E46:$Z46,MIN(AR$6-$G$3,22))&lt;&gt;""),Amendoim!$E46:INDEX(Amendoim!$E46:$Z46,MIN(AR$6-$G$3,22))),0)))))</f>
        <v>0</v>
      </c>
      <c r="AS48" s="27" t="n">
        <f aca="false">IF(COUNT(Amendoim!$E46:$Z46)=0,0,MAX(0,IF((AS$6-$E$3)&lt;1,0,IFERROR(LOOKUP(2,1/(Amendoim!$E46:INDEX(Amendoim!$E46:$Z46,MIN(AS$6-$E$3,22))&lt;&gt;""),Amendoim!$E46:INDEX(Amendoim!$E46:$Z46,MIN(AS$6-$E$3,22))),0))-IF($G$2,0,IF((AS$6-$G$3)&lt;1,0,IFERROR(LOOKUP(2,1/(Amendoim!$E46:INDEX(Amendoim!$E46:$Z46,MIN(AS$6-$G$3,22))&lt;&gt;""),Amendoim!$E46:INDEX(Amendoim!$E46:$Z46,MIN(AS$6-$G$3,22))),0)))))</f>
        <v>0</v>
      </c>
      <c r="AT48" s="27" t="n">
        <f aca="false">IF(COUNT(Amendoim!$E46:$Z46)=0,0,MAX(0,IF((AT$6-$E$3)&lt;1,0,IFERROR(LOOKUP(2,1/(Amendoim!$E46:INDEX(Amendoim!$E46:$Z46,MIN(AT$6-$E$3,22))&lt;&gt;""),Amendoim!$E46:INDEX(Amendoim!$E46:$Z46,MIN(AT$6-$E$3,22))),0))-IF($G$2,0,IF((AT$6-$G$3)&lt;1,0,IFERROR(LOOKUP(2,1/(Amendoim!$E46:INDEX(Amendoim!$E46:$Z46,MIN(AT$6-$G$3,22))&lt;&gt;""),Amendoim!$E46:INDEX(Amendoim!$E46:$Z46,MIN(AT$6-$G$3,22))),0)))))</f>
        <v>0</v>
      </c>
      <c r="AU48" s="27" t="n">
        <f aca="false">IF(COUNT(Amendoim!$E46:$Z46)=0,0,MAX(0,IF((AU$6-$E$3)&lt;1,0,IFERROR(LOOKUP(2,1/(Amendoim!$E46:INDEX(Amendoim!$E46:$Z46,MIN(AU$6-$E$3,22))&lt;&gt;""),Amendoim!$E46:INDEX(Amendoim!$E46:$Z46,MIN(AU$6-$E$3,22))),0))-IF($G$2,0,IF((AU$6-$G$3)&lt;1,0,IFERROR(LOOKUP(2,1/(Amendoim!$E46:INDEX(Amendoim!$E46:$Z46,MIN(AU$6-$G$3,22))&lt;&gt;""),Amendoim!$E46:INDEX(Amendoim!$E46:$Z46,MIN(AU$6-$G$3,22))),0)))))</f>
        <v>0</v>
      </c>
      <c r="AV48" s="27" t="n">
        <f aca="false">IF(COUNT(Amendoim!$E46:$Z46)=0,0,MAX(0,IF((AV$6-$E$3)&lt;1,0,IFERROR(LOOKUP(2,1/(Amendoim!$E46:INDEX(Amendoim!$E46:$Z46,MIN(AV$6-$E$3,22))&lt;&gt;""),Amendoim!$E46:INDEX(Amendoim!$E46:$Z46,MIN(AV$6-$E$3,22))),0))-IF($G$2,0,IF((AV$6-$G$3)&lt;1,0,IFERROR(LOOKUP(2,1/(Amendoim!$E46:INDEX(Amendoim!$E46:$Z46,MIN(AV$6-$G$3,22))&lt;&gt;""),Amendoim!$E46:INDEX(Amendoim!$E46:$Z46,MIN(AV$6-$G$3,22))),0)))))</f>
        <v>0</v>
      </c>
      <c r="AW48" s="27" t="n">
        <f aca="false">IF(COUNT(Amendoim!$E46:$Z46)=0,0,MAX(0,IF((AW$6-$E$3)&lt;1,0,IFERROR(LOOKUP(2,1/(Amendoim!$E46:INDEX(Amendoim!$E46:$Z46,MIN(AW$6-$E$3,22))&lt;&gt;""),Amendoim!$E46:INDEX(Amendoim!$E46:$Z46,MIN(AW$6-$E$3,22))),0))-IF($G$2,0,IF((AW$6-$G$3)&lt;1,0,IFERROR(LOOKUP(2,1/(Amendoim!$E46:INDEX(Amendoim!$E46:$Z46,MIN(AW$6-$G$3,22))&lt;&gt;""),Amendoim!$E46:INDEX(Amendoim!$E46:$Z46,MIN(AW$6-$G$3,22))),0)))))</f>
        <v>0</v>
      </c>
      <c r="AX48" s="27" t="n">
        <f aca="false">IF(COUNT(Amendoim!$E46:$Z46)=0,0,MAX(0,IF((AX$6-$E$3)&lt;1,0,IFERROR(LOOKUP(2,1/(Amendoim!$E46:INDEX(Amendoim!$E46:$Z46,MIN(AX$6-$E$3,22))&lt;&gt;""),Amendoim!$E46:INDEX(Amendoim!$E46:$Z46,MIN(AX$6-$E$3,22))),0))-IF($G$2,0,IF((AX$6-$G$3)&lt;1,0,IFERROR(LOOKUP(2,1/(Amendoim!$E46:INDEX(Amendoim!$E46:$Z46,MIN(AX$6-$G$3,22))&lt;&gt;""),Amendoim!$E46:INDEX(Amendoim!$E46:$Z46,MIN(AX$6-$G$3,22))),0)))))</f>
        <v>0</v>
      </c>
      <c r="AY48" s="27" t="n">
        <f aca="false">IF(COUNT(Amendoim!$E46:$Z46)=0,0,MAX(0,IF((AY$6-$E$3)&lt;1,0,IFERROR(LOOKUP(2,1/(Amendoim!$E46:INDEX(Amendoim!$E46:$Z46,MIN(AY$6-$E$3,22))&lt;&gt;""),Amendoim!$E46:INDEX(Amendoim!$E46:$Z46,MIN(AY$6-$E$3,22))),0))-IF($G$2,0,IF((AY$6-$G$3)&lt;1,0,IFERROR(LOOKUP(2,1/(Amendoim!$E46:INDEX(Amendoim!$E46:$Z46,MIN(AY$6-$G$3,22))&lt;&gt;""),Amendoim!$E46:INDEX(Amendoim!$E46:$Z46,MIN(AY$6-$G$3,22))),0)))))</f>
        <v>0</v>
      </c>
      <c r="AZ48" s="27" t="n">
        <f aca="false">IF(COUNT(Amendoim!$E46:$Z46)=0,0,MAX(0,IF((AZ$6-$E$3)&lt;1,0,IFERROR(LOOKUP(2,1/(Amendoim!$E46:INDEX(Amendoim!$E46:$Z46,MIN(AZ$6-$E$3,22))&lt;&gt;""),Amendoim!$E46:INDEX(Amendoim!$E46:$Z46,MIN(AZ$6-$E$3,22))),0))-IF($G$2,0,IF((AZ$6-$G$3)&lt;1,0,IFERROR(LOOKUP(2,1/(Amendoim!$E46:INDEX(Amendoim!$E46:$Z46,MIN(AZ$6-$G$3,22))&lt;&gt;""),Amendoim!$E46:INDEX(Amendoim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IF(COUNT(Amendoim!$E47:$Z47)&gt;0,N(Amendoim!$D47),0)</f>
        <v>0</v>
      </c>
      <c r="E49" s="27" t="n">
        <f aca="false">IF(COUNT(Amendoim!$E47:$Z47)=0,0,MAX(0,IF((E$6-$E$3)&lt;1,0,IFERROR(LOOKUP(2,1/(Amendoim!$E47:INDEX(Amendoim!$E47:$Z47,MIN(E$6-$E$3,22))&lt;&gt;""),Amendoim!$E47:INDEX(Amendoim!$E47:$Z47,MIN(E$6-$E$3,22))),0))-IF($G$2,0,IF((E$6-$G$3)&lt;1,0,IFERROR(LOOKUP(2,1/(Amendoim!$E47:INDEX(Amendoim!$E47:$Z47,MIN(E$6-$G$3,22))&lt;&gt;""),Amendoim!$E47:INDEX(Amendoim!$E47:$Z47,MIN(E$6-$G$3,22))),0)))))</f>
        <v>0</v>
      </c>
      <c r="F49" s="27" t="n">
        <f aca="false">IF(COUNT(Amendoim!$E47:$Z47)=0,0,MAX(0,IF((F$6-$E$3)&lt;1,0,IFERROR(LOOKUP(2,1/(Amendoim!$E47:INDEX(Amendoim!$E47:$Z47,MIN(F$6-$E$3,22))&lt;&gt;""),Amendoim!$E47:INDEX(Amendoim!$E47:$Z47,MIN(F$6-$E$3,22))),0))-IF($G$2,0,IF((F$6-$G$3)&lt;1,0,IFERROR(LOOKUP(2,1/(Amendoim!$E47:INDEX(Amendoim!$E47:$Z47,MIN(F$6-$G$3,22))&lt;&gt;""),Amendoim!$E47:INDEX(Amendoim!$E47:$Z47,MIN(F$6-$G$3,22))),0)))))</f>
        <v>0</v>
      </c>
      <c r="G49" s="27" t="n">
        <f aca="false">IF(COUNT(Amendoim!$E47:$Z47)=0,0,MAX(0,IF((G$6-$E$3)&lt;1,0,IFERROR(LOOKUP(2,1/(Amendoim!$E47:INDEX(Amendoim!$E47:$Z47,MIN(G$6-$E$3,22))&lt;&gt;""),Amendoim!$E47:INDEX(Amendoim!$E47:$Z47,MIN(G$6-$E$3,22))),0))-IF($G$2,0,IF((G$6-$G$3)&lt;1,0,IFERROR(LOOKUP(2,1/(Amendoim!$E47:INDEX(Amendoim!$E47:$Z47,MIN(G$6-$G$3,22))&lt;&gt;""),Amendoim!$E47:INDEX(Amendoim!$E47:$Z47,MIN(G$6-$G$3,22))),0)))))</f>
        <v>0</v>
      </c>
      <c r="H49" s="27" t="n">
        <f aca="false">IF(COUNT(Amendoim!$E47:$Z47)=0,0,MAX(0,IF((H$6-$E$3)&lt;1,0,IFERROR(LOOKUP(2,1/(Amendoim!$E47:INDEX(Amendoim!$E47:$Z47,MIN(H$6-$E$3,22))&lt;&gt;""),Amendoim!$E47:INDEX(Amendoim!$E47:$Z47,MIN(H$6-$E$3,22))),0))-IF($G$2,0,IF((H$6-$G$3)&lt;1,0,IFERROR(LOOKUP(2,1/(Amendoim!$E47:INDEX(Amendoim!$E47:$Z47,MIN(H$6-$G$3,22))&lt;&gt;""),Amendoim!$E47:INDEX(Amendoim!$E47:$Z47,MIN(H$6-$G$3,22))),0)))))</f>
        <v>0</v>
      </c>
      <c r="I49" s="27" t="n">
        <f aca="false">IF(COUNT(Amendoim!$E47:$Z47)=0,0,MAX(0,IF((I$6-$E$3)&lt;1,0,IFERROR(LOOKUP(2,1/(Amendoim!$E47:INDEX(Amendoim!$E47:$Z47,MIN(I$6-$E$3,22))&lt;&gt;""),Amendoim!$E47:INDEX(Amendoim!$E47:$Z47,MIN(I$6-$E$3,22))),0))-IF($G$2,0,IF((I$6-$G$3)&lt;1,0,IFERROR(LOOKUP(2,1/(Amendoim!$E47:INDEX(Amendoim!$E47:$Z47,MIN(I$6-$G$3,22))&lt;&gt;""),Amendoim!$E47:INDEX(Amendoim!$E47:$Z47,MIN(I$6-$G$3,22))),0)))))</f>
        <v>0</v>
      </c>
      <c r="J49" s="27" t="n">
        <f aca="false">IF(COUNT(Amendoim!$E47:$Z47)=0,0,MAX(0,IF((J$6-$E$3)&lt;1,0,IFERROR(LOOKUP(2,1/(Amendoim!$E47:INDEX(Amendoim!$E47:$Z47,MIN(J$6-$E$3,22))&lt;&gt;""),Amendoim!$E47:INDEX(Amendoim!$E47:$Z47,MIN(J$6-$E$3,22))),0))-IF($G$2,0,IF((J$6-$G$3)&lt;1,0,IFERROR(LOOKUP(2,1/(Amendoim!$E47:INDEX(Amendoim!$E47:$Z47,MIN(J$6-$G$3,22))&lt;&gt;""),Amendoim!$E47:INDEX(Amendoim!$E47:$Z47,MIN(J$6-$G$3,22))),0)))))</f>
        <v>0</v>
      </c>
      <c r="K49" s="27" t="n">
        <f aca="false">IF(COUNT(Amendoim!$E47:$Z47)=0,0,MAX(0,IF((K$6-$E$3)&lt;1,0,IFERROR(LOOKUP(2,1/(Amendoim!$E47:INDEX(Amendoim!$E47:$Z47,MIN(K$6-$E$3,22))&lt;&gt;""),Amendoim!$E47:INDEX(Amendoim!$E47:$Z47,MIN(K$6-$E$3,22))),0))-IF($G$2,0,IF((K$6-$G$3)&lt;1,0,IFERROR(LOOKUP(2,1/(Amendoim!$E47:INDEX(Amendoim!$E47:$Z47,MIN(K$6-$G$3,22))&lt;&gt;""),Amendoim!$E47:INDEX(Amendoim!$E47:$Z47,MIN(K$6-$G$3,22))),0)))))</f>
        <v>0</v>
      </c>
      <c r="L49" s="27" t="n">
        <f aca="false">IF(COUNT(Amendoim!$E47:$Z47)=0,0,MAX(0,IF((L$6-$E$3)&lt;1,0,IFERROR(LOOKUP(2,1/(Amendoim!$E47:INDEX(Amendoim!$E47:$Z47,MIN(L$6-$E$3,22))&lt;&gt;""),Amendoim!$E47:INDEX(Amendoim!$E47:$Z47,MIN(L$6-$E$3,22))),0))-IF($G$2,0,IF((L$6-$G$3)&lt;1,0,IFERROR(LOOKUP(2,1/(Amendoim!$E47:INDEX(Amendoim!$E47:$Z47,MIN(L$6-$G$3,22))&lt;&gt;""),Amendoim!$E47:INDEX(Amendoim!$E47:$Z47,MIN(L$6-$G$3,22))),0)))))</f>
        <v>0</v>
      </c>
      <c r="M49" s="27" t="n">
        <f aca="false">IF(COUNT(Amendoim!$E47:$Z47)=0,0,MAX(0,IF((M$6-$E$3)&lt;1,0,IFERROR(LOOKUP(2,1/(Amendoim!$E47:INDEX(Amendoim!$E47:$Z47,MIN(M$6-$E$3,22))&lt;&gt;""),Amendoim!$E47:INDEX(Amendoim!$E47:$Z47,MIN(M$6-$E$3,22))),0))-IF($G$2,0,IF((M$6-$G$3)&lt;1,0,IFERROR(LOOKUP(2,1/(Amendoim!$E47:INDEX(Amendoim!$E47:$Z47,MIN(M$6-$G$3,22))&lt;&gt;""),Amendoim!$E47:INDEX(Amendoim!$E47:$Z47,MIN(M$6-$G$3,22))),0)))))</f>
        <v>0</v>
      </c>
      <c r="N49" s="27" t="n">
        <f aca="false">IF(COUNT(Amendoim!$E47:$Z47)=0,0,MAX(0,IF((N$6-$E$3)&lt;1,0,IFERROR(LOOKUP(2,1/(Amendoim!$E47:INDEX(Amendoim!$E47:$Z47,MIN(N$6-$E$3,22))&lt;&gt;""),Amendoim!$E47:INDEX(Amendoim!$E47:$Z47,MIN(N$6-$E$3,22))),0))-IF($G$2,0,IF((N$6-$G$3)&lt;1,0,IFERROR(LOOKUP(2,1/(Amendoim!$E47:INDEX(Amendoim!$E47:$Z47,MIN(N$6-$G$3,22))&lt;&gt;""),Amendoim!$E47:INDEX(Amendoim!$E47:$Z47,MIN(N$6-$G$3,22))),0)))))</f>
        <v>0</v>
      </c>
      <c r="O49" s="27" t="n">
        <f aca="false">IF(COUNT(Amendoim!$E47:$Z47)=0,0,MAX(0,IF((O$6-$E$3)&lt;1,0,IFERROR(LOOKUP(2,1/(Amendoim!$E47:INDEX(Amendoim!$E47:$Z47,MIN(O$6-$E$3,22))&lt;&gt;""),Amendoim!$E47:INDEX(Amendoim!$E47:$Z47,MIN(O$6-$E$3,22))),0))-IF($G$2,0,IF((O$6-$G$3)&lt;1,0,IFERROR(LOOKUP(2,1/(Amendoim!$E47:INDEX(Amendoim!$E47:$Z47,MIN(O$6-$G$3,22))&lt;&gt;""),Amendoim!$E47:INDEX(Amendoim!$E47:$Z47,MIN(O$6-$G$3,22))),0)))))</f>
        <v>0</v>
      </c>
      <c r="P49" s="27" t="n">
        <f aca="false">IF(COUNT(Amendoim!$E47:$Z47)=0,0,MAX(0,IF((P$6-$E$3)&lt;1,0,IFERROR(LOOKUP(2,1/(Amendoim!$E47:INDEX(Amendoim!$E47:$Z47,MIN(P$6-$E$3,22))&lt;&gt;""),Amendoim!$E47:INDEX(Amendoim!$E47:$Z47,MIN(P$6-$E$3,22))),0))-IF($G$2,0,IF((P$6-$G$3)&lt;1,0,IFERROR(LOOKUP(2,1/(Amendoim!$E47:INDEX(Amendoim!$E47:$Z47,MIN(P$6-$G$3,22))&lt;&gt;""),Amendoim!$E47:INDEX(Amendoim!$E47:$Z47,MIN(P$6-$G$3,22))),0)))))</f>
        <v>0</v>
      </c>
      <c r="Q49" s="27" t="n">
        <f aca="false">IF(COUNT(Amendoim!$E47:$Z47)=0,0,MAX(0,IF((Q$6-$E$3)&lt;1,0,IFERROR(LOOKUP(2,1/(Amendoim!$E47:INDEX(Amendoim!$E47:$Z47,MIN(Q$6-$E$3,22))&lt;&gt;""),Amendoim!$E47:INDEX(Amendoim!$E47:$Z47,MIN(Q$6-$E$3,22))),0))-IF($G$2,0,IF((Q$6-$G$3)&lt;1,0,IFERROR(LOOKUP(2,1/(Amendoim!$E47:INDEX(Amendoim!$E47:$Z47,MIN(Q$6-$G$3,22))&lt;&gt;""),Amendoim!$E47:INDEX(Amendoim!$E47:$Z47,MIN(Q$6-$G$3,22))),0)))))</f>
        <v>0</v>
      </c>
      <c r="R49" s="27" t="n">
        <f aca="false">IF(COUNT(Amendoim!$E47:$Z47)=0,0,MAX(0,IF((R$6-$E$3)&lt;1,0,IFERROR(LOOKUP(2,1/(Amendoim!$E47:INDEX(Amendoim!$E47:$Z47,MIN(R$6-$E$3,22))&lt;&gt;""),Amendoim!$E47:INDEX(Amendoim!$E47:$Z47,MIN(R$6-$E$3,22))),0))-IF($G$2,0,IF((R$6-$G$3)&lt;1,0,IFERROR(LOOKUP(2,1/(Amendoim!$E47:INDEX(Amendoim!$E47:$Z47,MIN(R$6-$G$3,22))&lt;&gt;""),Amendoim!$E47:INDEX(Amendoim!$E47:$Z47,MIN(R$6-$G$3,22))),0)))))</f>
        <v>0</v>
      </c>
      <c r="S49" s="27" t="n">
        <f aca="false">IF(COUNT(Amendoim!$E47:$Z47)=0,0,MAX(0,IF((S$6-$E$3)&lt;1,0,IFERROR(LOOKUP(2,1/(Amendoim!$E47:INDEX(Amendoim!$E47:$Z47,MIN(S$6-$E$3,22))&lt;&gt;""),Amendoim!$E47:INDEX(Amendoim!$E47:$Z47,MIN(S$6-$E$3,22))),0))-IF($G$2,0,IF((S$6-$G$3)&lt;1,0,IFERROR(LOOKUP(2,1/(Amendoim!$E47:INDEX(Amendoim!$E47:$Z47,MIN(S$6-$G$3,22))&lt;&gt;""),Amendoim!$E47:INDEX(Amendoim!$E47:$Z47,MIN(S$6-$G$3,22))),0)))))</f>
        <v>0</v>
      </c>
      <c r="T49" s="27" t="n">
        <f aca="false">IF(COUNT(Amendoim!$E47:$Z47)=0,0,MAX(0,IF((T$6-$E$3)&lt;1,0,IFERROR(LOOKUP(2,1/(Amendoim!$E47:INDEX(Amendoim!$E47:$Z47,MIN(T$6-$E$3,22))&lt;&gt;""),Amendoim!$E47:INDEX(Amendoim!$E47:$Z47,MIN(T$6-$E$3,22))),0))-IF($G$2,0,IF((T$6-$G$3)&lt;1,0,IFERROR(LOOKUP(2,1/(Amendoim!$E47:INDEX(Amendoim!$E47:$Z47,MIN(T$6-$G$3,22))&lt;&gt;""),Amendoim!$E47:INDEX(Amendoim!$E47:$Z47,MIN(T$6-$G$3,22))),0)))))</f>
        <v>0</v>
      </c>
      <c r="U49" s="27" t="n">
        <f aca="false">IF(COUNT(Amendoim!$E47:$Z47)=0,0,MAX(0,IF((U$6-$E$3)&lt;1,0,IFERROR(LOOKUP(2,1/(Amendoim!$E47:INDEX(Amendoim!$E47:$Z47,MIN(U$6-$E$3,22))&lt;&gt;""),Amendoim!$E47:INDEX(Amendoim!$E47:$Z47,MIN(U$6-$E$3,22))),0))-IF($G$2,0,IF((U$6-$G$3)&lt;1,0,IFERROR(LOOKUP(2,1/(Amendoim!$E47:INDEX(Amendoim!$E47:$Z47,MIN(U$6-$G$3,22))&lt;&gt;""),Amendoim!$E47:INDEX(Amendoim!$E47:$Z47,MIN(U$6-$G$3,22))),0)))))</f>
        <v>0</v>
      </c>
      <c r="V49" s="27" t="n">
        <f aca="false">IF(COUNT(Amendoim!$E47:$Z47)=0,0,MAX(0,IF((V$6-$E$3)&lt;1,0,IFERROR(LOOKUP(2,1/(Amendoim!$E47:INDEX(Amendoim!$E47:$Z47,MIN(V$6-$E$3,22))&lt;&gt;""),Amendoim!$E47:INDEX(Amendoim!$E47:$Z47,MIN(V$6-$E$3,22))),0))-IF($G$2,0,IF((V$6-$G$3)&lt;1,0,IFERROR(LOOKUP(2,1/(Amendoim!$E47:INDEX(Amendoim!$E47:$Z47,MIN(V$6-$G$3,22))&lt;&gt;""),Amendoim!$E47:INDEX(Amendoim!$E47:$Z47,MIN(V$6-$G$3,22))),0)))))</f>
        <v>0</v>
      </c>
      <c r="W49" s="27" t="n">
        <f aca="false">IF(COUNT(Amendoim!$E47:$Z47)=0,0,MAX(0,IF((W$6-$E$3)&lt;1,0,IFERROR(LOOKUP(2,1/(Amendoim!$E47:INDEX(Amendoim!$E47:$Z47,MIN(W$6-$E$3,22))&lt;&gt;""),Amendoim!$E47:INDEX(Amendoim!$E47:$Z47,MIN(W$6-$E$3,22))),0))-IF($G$2,0,IF((W$6-$G$3)&lt;1,0,IFERROR(LOOKUP(2,1/(Amendoim!$E47:INDEX(Amendoim!$E47:$Z47,MIN(W$6-$G$3,22))&lt;&gt;""),Amendoim!$E47:INDEX(Amendoim!$E47:$Z47,MIN(W$6-$G$3,22))),0)))))</f>
        <v>0</v>
      </c>
      <c r="X49" s="27" t="n">
        <f aca="false">IF(COUNT(Amendoim!$E47:$Z47)=0,0,MAX(0,IF((X$6-$E$3)&lt;1,0,IFERROR(LOOKUP(2,1/(Amendoim!$E47:INDEX(Amendoim!$E47:$Z47,MIN(X$6-$E$3,22))&lt;&gt;""),Amendoim!$E47:INDEX(Amendoim!$E47:$Z47,MIN(X$6-$E$3,22))),0))-IF($G$2,0,IF((X$6-$G$3)&lt;1,0,IFERROR(LOOKUP(2,1/(Amendoim!$E47:INDEX(Amendoim!$E47:$Z47,MIN(X$6-$G$3,22))&lt;&gt;""),Amendoim!$E47:INDEX(Amendoim!$E47:$Z47,MIN(X$6-$G$3,22))),0)))))</f>
        <v>0</v>
      </c>
      <c r="Y49" s="27" t="n">
        <f aca="false">IF(COUNT(Amendoim!$E47:$Z47)=0,0,MAX(0,IF((Y$6-$E$3)&lt;1,0,IFERROR(LOOKUP(2,1/(Amendoim!$E47:INDEX(Amendoim!$E47:$Z47,MIN(Y$6-$E$3,22))&lt;&gt;""),Amendoim!$E47:INDEX(Amendoim!$E47:$Z47,MIN(Y$6-$E$3,22))),0))-IF($G$2,0,IF((Y$6-$G$3)&lt;1,0,IFERROR(LOOKUP(2,1/(Amendoim!$E47:INDEX(Amendoim!$E47:$Z47,MIN(Y$6-$G$3,22))&lt;&gt;""),Amendoim!$E47:INDEX(Amendoim!$E47:$Z47,MIN(Y$6-$G$3,22))),0)))))</f>
        <v>0</v>
      </c>
      <c r="Z49" s="27" t="n">
        <f aca="false">IF(COUNT(Amendoim!$E47:$Z47)=0,0,MAX(0,IF((Z$6-$E$3)&lt;1,0,IFERROR(LOOKUP(2,1/(Amendoim!$E47:INDEX(Amendoim!$E47:$Z47,MIN(Z$6-$E$3,22))&lt;&gt;""),Amendoim!$E47:INDEX(Amendoim!$E47:$Z47,MIN(Z$6-$E$3,22))),0))-IF($G$2,0,IF((Z$6-$G$3)&lt;1,0,IFERROR(LOOKUP(2,1/(Amendoim!$E47:INDEX(Amendoim!$E47:$Z47,MIN(Z$6-$G$3,22))&lt;&gt;""),Amendoim!$E47:INDEX(Amendoim!$E47:$Z47,MIN(Z$6-$G$3,22))),0)))))</f>
        <v>0</v>
      </c>
      <c r="AA49" s="27" t="n">
        <f aca="false">IF(COUNT(Amendoim!$E47:$Z47)=0,0,MAX(0,IF((AA$6-$E$3)&lt;1,0,IFERROR(LOOKUP(2,1/(Amendoim!$E47:INDEX(Amendoim!$E47:$Z47,MIN(AA$6-$E$3,22))&lt;&gt;""),Amendoim!$E47:INDEX(Amendoim!$E47:$Z47,MIN(AA$6-$E$3,22))),0))-IF($G$2,0,IF((AA$6-$G$3)&lt;1,0,IFERROR(LOOKUP(2,1/(Amendoim!$E47:INDEX(Amendoim!$E47:$Z47,MIN(AA$6-$G$3,22))&lt;&gt;""),Amendoim!$E47:INDEX(Amendoim!$E47:$Z47,MIN(AA$6-$G$3,22))),0)))))</f>
        <v>0</v>
      </c>
      <c r="AB49" s="27" t="n">
        <f aca="false">IF(COUNT(Amendoim!$E47:$Z47)=0,0,MAX(0,IF((AB$6-$E$3)&lt;1,0,IFERROR(LOOKUP(2,1/(Amendoim!$E47:INDEX(Amendoim!$E47:$Z47,MIN(AB$6-$E$3,22))&lt;&gt;""),Amendoim!$E47:INDEX(Amendoim!$E47:$Z47,MIN(AB$6-$E$3,22))),0))-IF($G$2,0,IF((AB$6-$G$3)&lt;1,0,IFERROR(LOOKUP(2,1/(Amendoim!$E47:INDEX(Amendoim!$E47:$Z47,MIN(AB$6-$G$3,22))&lt;&gt;""),Amendoim!$E47:INDEX(Amendoim!$E47:$Z47,MIN(AB$6-$G$3,22))),0)))))</f>
        <v>0</v>
      </c>
      <c r="AC49" s="27" t="n">
        <f aca="false">IF(COUNT(Amendoim!$E47:$Z47)=0,0,MAX(0,IF((AC$6-$E$3)&lt;1,0,IFERROR(LOOKUP(2,1/(Amendoim!$E47:INDEX(Amendoim!$E47:$Z47,MIN(AC$6-$E$3,22))&lt;&gt;""),Amendoim!$E47:INDEX(Amendoim!$E47:$Z47,MIN(AC$6-$E$3,22))),0))-IF($G$2,0,IF((AC$6-$G$3)&lt;1,0,IFERROR(LOOKUP(2,1/(Amendoim!$E47:INDEX(Amendoim!$E47:$Z47,MIN(AC$6-$G$3,22))&lt;&gt;""),Amendoim!$E47:INDEX(Amendoim!$E47:$Z47,MIN(AC$6-$G$3,22))),0)))))</f>
        <v>0</v>
      </c>
      <c r="AD49" s="27" t="n">
        <f aca="false">IF(COUNT(Amendoim!$E47:$Z47)=0,0,MAX(0,IF((AD$6-$E$3)&lt;1,0,IFERROR(LOOKUP(2,1/(Amendoim!$E47:INDEX(Amendoim!$E47:$Z47,MIN(AD$6-$E$3,22))&lt;&gt;""),Amendoim!$E47:INDEX(Amendoim!$E47:$Z47,MIN(AD$6-$E$3,22))),0))-IF($G$2,0,IF((AD$6-$G$3)&lt;1,0,IFERROR(LOOKUP(2,1/(Amendoim!$E47:INDEX(Amendoim!$E47:$Z47,MIN(AD$6-$G$3,22))&lt;&gt;""),Amendoim!$E47:INDEX(Amendoim!$E47:$Z47,MIN(AD$6-$G$3,22))),0)))))</f>
        <v>0</v>
      </c>
      <c r="AE49" s="27" t="n">
        <f aca="false">IF(COUNT(Amendoim!$E47:$Z47)=0,0,MAX(0,IF((AE$6-$E$3)&lt;1,0,IFERROR(LOOKUP(2,1/(Amendoim!$E47:INDEX(Amendoim!$E47:$Z47,MIN(AE$6-$E$3,22))&lt;&gt;""),Amendoim!$E47:INDEX(Amendoim!$E47:$Z47,MIN(AE$6-$E$3,22))),0))-IF($G$2,0,IF((AE$6-$G$3)&lt;1,0,IFERROR(LOOKUP(2,1/(Amendoim!$E47:INDEX(Amendoim!$E47:$Z47,MIN(AE$6-$G$3,22))&lt;&gt;""),Amendoim!$E47:INDEX(Amendoim!$E47:$Z47,MIN(AE$6-$G$3,22))),0)))))</f>
        <v>0</v>
      </c>
      <c r="AF49" s="27" t="n">
        <f aca="false">IF(COUNT(Amendoim!$E47:$Z47)=0,0,MAX(0,IF((AF$6-$E$3)&lt;1,0,IFERROR(LOOKUP(2,1/(Amendoim!$E47:INDEX(Amendoim!$E47:$Z47,MIN(AF$6-$E$3,22))&lt;&gt;""),Amendoim!$E47:INDEX(Amendoim!$E47:$Z47,MIN(AF$6-$E$3,22))),0))-IF($G$2,0,IF((AF$6-$G$3)&lt;1,0,IFERROR(LOOKUP(2,1/(Amendoim!$E47:INDEX(Amendoim!$E47:$Z47,MIN(AF$6-$G$3,22))&lt;&gt;""),Amendoim!$E47:INDEX(Amendoim!$E47:$Z47,MIN(AF$6-$G$3,22))),0)))))</f>
        <v>0</v>
      </c>
      <c r="AG49" s="27" t="n">
        <f aca="false">IF(COUNT(Amendoim!$E47:$Z47)=0,0,MAX(0,IF((AG$6-$E$3)&lt;1,0,IFERROR(LOOKUP(2,1/(Amendoim!$E47:INDEX(Amendoim!$E47:$Z47,MIN(AG$6-$E$3,22))&lt;&gt;""),Amendoim!$E47:INDEX(Amendoim!$E47:$Z47,MIN(AG$6-$E$3,22))),0))-IF($G$2,0,IF((AG$6-$G$3)&lt;1,0,IFERROR(LOOKUP(2,1/(Amendoim!$E47:INDEX(Amendoim!$E47:$Z47,MIN(AG$6-$G$3,22))&lt;&gt;""),Amendoim!$E47:INDEX(Amendoim!$E47:$Z47,MIN(AG$6-$G$3,22))),0)))))</f>
        <v>0</v>
      </c>
      <c r="AH49" s="27" t="n">
        <f aca="false">IF(COUNT(Amendoim!$E47:$Z47)=0,0,MAX(0,IF((AH$6-$E$3)&lt;1,0,IFERROR(LOOKUP(2,1/(Amendoim!$E47:INDEX(Amendoim!$E47:$Z47,MIN(AH$6-$E$3,22))&lt;&gt;""),Amendoim!$E47:INDEX(Amendoim!$E47:$Z47,MIN(AH$6-$E$3,22))),0))-IF($G$2,0,IF((AH$6-$G$3)&lt;1,0,IFERROR(LOOKUP(2,1/(Amendoim!$E47:INDEX(Amendoim!$E47:$Z47,MIN(AH$6-$G$3,22))&lt;&gt;""),Amendoim!$E47:INDEX(Amendoim!$E47:$Z47,MIN(AH$6-$G$3,22))),0)))))</f>
        <v>0</v>
      </c>
      <c r="AI49" s="27" t="n">
        <f aca="false">IF(COUNT(Amendoim!$E47:$Z47)=0,0,MAX(0,IF((AI$6-$E$3)&lt;1,0,IFERROR(LOOKUP(2,1/(Amendoim!$E47:INDEX(Amendoim!$E47:$Z47,MIN(AI$6-$E$3,22))&lt;&gt;""),Amendoim!$E47:INDEX(Amendoim!$E47:$Z47,MIN(AI$6-$E$3,22))),0))-IF($G$2,0,IF((AI$6-$G$3)&lt;1,0,IFERROR(LOOKUP(2,1/(Amendoim!$E47:INDEX(Amendoim!$E47:$Z47,MIN(AI$6-$G$3,22))&lt;&gt;""),Amendoim!$E47:INDEX(Amendoim!$E47:$Z47,MIN(AI$6-$G$3,22))),0)))))</f>
        <v>0</v>
      </c>
      <c r="AJ49" s="27" t="n">
        <f aca="false">IF(COUNT(Amendoim!$E47:$Z47)=0,0,MAX(0,IF((AJ$6-$E$3)&lt;1,0,IFERROR(LOOKUP(2,1/(Amendoim!$E47:INDEX(Amendoim!$E47:$Z47,MIN(AJ$6-$E$3,22))&lt;&gt;""),Amendoim!$E47:INDEX(Amendoim!$E47:$Z47,MIN(AJ$6-$E$3,22))),0))-IF($G$2,0,IF((AJ$6-$G$3)&lt;1,0,IFERROR(LOOKUP(2,1/(Amendoim!$E47:INDEX(Amendoim!$E47:$Z47,MIN(AJ$6-$G$3,22))&lt;&gt;""),Amendoim!$E47:INDEX(Amendoim!$E47:$Z47,MIN(AJ$6-$G$3,22))),0)))))</f>
        <v>0</v>
      </c>
      <c r="AK49" s="27" t="n">
        <f aca="false">IF(COUNT(Amendoim!$E47:$Z47)=0,0,MAX(0,IF((AK$6-$E$3)&lt;1,0,IFERROR(LOOKUP(2,1/(Amendoim!$E47:INDEX(Amendoim!$E47:$Z47,MIN(AK$6-$E$3,22))&lt;&gt;""),Amendoim!$E47:INDEX(Amendoim!$E47:$Z47,MIN(AK$6-$E$3,22))),0))-IF($G$2,0,IF((AK$6-$G$3)&lt;1,0,IFERROR(LOOKUP(2,1/(Amendoim!$E47:INDEX(Amendoim!$E47:$Z47,MIN(AK$6-$G$3,22))&lt;&gt;""),Amendoim!$E47:INDEX(Amendoim!$E47:$Z47,MIN(AK$6-$G$3,22))),0)))))</f>
        <v>0</v>
      </c>
      <c r="AL49" s="27" t="n">
        <f aca="false">IF(COUNT(Amendoim!$E47:$Z47)=0,0,MAX(0,IF((AL$6-$E$3)&lt;1,0,IFERROR(LOOKUP(2,1/(Amendoim!$E47:INDEX(Amendoim!$E47:$Z47,MIN(AL$6-$E$3,22))&lt;&gt;""),Amendoim!$E47:INDEX(Amendoim!$E47:$Z47,MIN(AL$6-$E$3,22))),0))-IF($G$2,0,IF((AL$6-$G$3)&lt;1,0,IFERROR(LOOKUP(2,1/(Amendoim!$E47:INDEX(Amendoim!$E47:$Z47,MIN(AL$6-$G$3,22))&lt;&gt;""),Amendoim!$E47:INDEX(Amendoim!$E47:$Z47,MIN(AL$6-$G$3,22))),0)))))</f>
        <v>0</v>
      </c>
      <c r="AM49" s="27" t="n">
        <f aca="false">IF(COUNT(Amendoim!$E47:$Z47)=0,0,MAX(0,IF((AM$6-$E$3)&lt;1,0,IFERROR(LOOKUP(2,1/(Amendoim!$E47:INDEX(Amendoim!$E47:$Z47,MIN(AM$6-$E$3,22))&lt;&gt;""),Amendoim!$E47:INDEX(Amendoim!$E47:$Z47,MIN(AM$6-$E$3,22))),0))-IF($G$2,0,IF((AM$6-$G$3)&lt;1,0,IFERROR(LOOKUP(2,1/(Amendoim!$E47:INDEX(Amendoim!$E47:$Z47,MIN(AM$6-$G$3,22))&lt;&gt;""),Amendoim!$E47:INDEX(Amendoim!$E47:$Z47,MIN(AM$6-$G$3,22))),0)))))</f>
        <v>0</v>
      </c>
      <c r="AN49" s="27" t="n">
        <f aca="false">IF(COUNT(Amendoim!$E47:$Z47)=0,0,MAX(0,IF((AN$6-$E$3)&lt;1,0,IFERROR(LOOKUP(2,1/(Amendoim!$E47:INDEX(Amendoim!$E47:$Z47,MIN(AN$6-$E$3,22))&lt;&gt;""),Amendoim!$E47:INDEX(Amendoim!$E47:$Z47,MIN(AN$6-$E$3,22))),0))-IF($G$2,0,IF((AN$6-$G$3)&lt;1,0,IFERROR(LOOKUP(2,1/(Amendoim!$E47:INDEX(Amendoim!$E47:$Z47,MIN(AN$6-$G$3,22))&lt;&gt;""),Amendoim!$E47:INDEX(Amendoim!$E47:$Z47,MIN(AN$6-$G$3,22))),0)))))</f>
        <v>0</v>
      </c>
      <c r="AO49" s="27" t="n">
        <f aca="false">IF(COUNT(Amendoim!$E47:$Z47)=0,0,MAX(0,IF((AO$6-$E$3)&lt;1,0,IFERROR(LOOKUP(2,1/(Amendoim!$E47:INDEX(Amendoim!$E47:$Z47,MIN(AO$6-$E$3,22))&lt;&gt;""),Amendoim!$E47:INDEX(Amendoim!$E47:$Z47,MIN(AO$6-$E$3,22))),0))-IF($G$2,0,IF((AO$6-$G$3)&lt;1,0,IFERROR(LOOKUP(2,1/(Amendoim!$E47:INDEX(Amendoim!$E47:$Z47,MIN(AO$6-$G$3,22))&lt;&gt;""),Amendoim!$E47:INDEX(Amendoim!$E47:$Z47,MIN(AO$6-$G$3,22))),0)))))</f>
        <v>0</v>
      </c>
      <c r="AP49" s="27" t="n">
        <f aca="false">IF(COUNT(Amendoim!$E47:$Z47)=0,0,MAX(0,IF((AP$6-$E$3)&lt;1,0,IFERROR(LOOKUP(2,1/(Amendoim!$E47:INDEX(Amendoim!$E47:$Z47,MIN(AP$6-$E$3,22))&lt;&gt;""),Amendoim!$E47:INDEX(Amendoim!$E47:$Z47,MIN(AP$6-$E$3,22))),0))-IF($G$2,0,IF((AP$6-$G$3)&lt;1,0,IFERROR(LOOKUP(2,1/(Amendoim!$E47:INDEX(Amendoim!$E47:$Z47,MIN(AP$6-$G$3,22))&lt;&gt;""),Amendoim!$E47:INDEX(Amendoim!$E47:$Z47,MIN(AP$6-$G$3,22))),0)))))</f>
        <v>0</v>
      </c>
      <c r="AQ49" s="27" t="n">
        <f aca="false">IF(COUNT(Amendoim!$E47:$Z47)=0,0,MAX(0,IF((AQ$6-$E$3)&lt;1,0,IFERROR(LOOKUP(2,1/(Amendoim!$E47:INDEX(Amendoim!$E47:$Z47,MIN(AQ$6-$E$3,22))&lt;&gt;""),Amendoim!$E47:INDEX(Amendoim!$E47:$Z47,MIN(AQ$6-$E$3,22))),0))-IF($G$2,0,IF((AQ$6-$G$3)&lt;1,0,IFERROR(LOOKUP(2,1/(Amendoim!$E47:INDEX(Amendoim!$E47:$Z47,MIN(AQ$6-$G$3,22))&lt;&gt;""),Amendoim!$E47:INDEX(Amendoim!$E47:$Z47,MIN(AQ$6-$G$3,22))),0)))))</f>
        <v>0</v>
      </c>
      <c r="AR49" s="27" t="n">
        <f aca="false">IF(COUNT(Amendoim!$E47:$Z47)=0,0,MAX(0,IF((AR$6-$E$3)&lt;1,0,IFERROR(LOOKUP(2,1/(Amendoim!$E47:INDEX(Amendoim!$E47:$Z47,MIN(AR$6-$E$3,22))&lt;&gt;""),Amendoim!$E47:INDEX(Amendoim!$E47:$Z47,MIN(AR$6-$E$3,22))),0))-IF($G$2,0,IF((AR$6-$G$3)&lt;1,0,IFERROR(LOOKUP(2,1/(Amendoim!$E47:INDEX(Amendoim!$E47:$Z47,MIN(AR$6-$G$3,22))&lt;&gt;""),Amendoim!$E47:INDEX(Amendoim!$E47:$Z47,MIN(AR$6-$G$3,22))),0)))))</f>
        <v>0</v>
      </c>
      <c r="AS49" s="27" t="n">
        <f aca="false">IF(COUNT(Amendoim!$E47:$Z47)=0,0,MAX(0,IF((AS$6-$E$3)&lt;1,0,IFERROR(LOOKUP(2,1/(Amendoim!$E47:INDEX(Amendoim!$E47:$Z47,MIN(AS$6-$E$3,22))&lt;&gt;""),Amendoim!$E47:INDEX(Amendoim!$E47:$Z47,MIN(AS$6-$E$3,22))),0))-IF($G$2,0,IF((AS$6-$G$3)&lt;1,0,IFERROR(LOOKUP(2,1/(Amendoim!$E47:INDEX(Amendoim!$E47:$Z47,MIN(AS$6-$G$3,22))&lt;&gt;""),Amendoim!$E47:INDEX(Amendoim!$E47:$Z47,MIN(AS$6-$G$3,22))),0)))))</f>
        <v>0</v>
      </c>
      <c r="AT49" s="27" t="n">
        <f aca="false">IF(COUNT(Amendoim!$E47:$Z47)=0,0,MAX(0,IF((AT$6-$E$3)&lt;1,0,IFERROR(LOOKUP(2,1/(Amendoim!$E47:INDEX(Amendoim!$E47:$Z47,MIN(AT$6-$E$3,22))&lt;&gt;""),Amendoim!$E47:INDEX(Amendoim!$E47:$Z47,MIN(AT$6-$E$3,22))),0))-IF($G$2,0,IF((AT$6-$G$3)&lt;1,0,IFERROR(LOOKUP(2,1/(Amendoim!$E47:INDEX(Amendoim!$E47:$Z47,MIN(AT$6-$G$3,22))&lt;&gt;""),Amendoim!$E47:INDEX(Amendoim!$E47:$Z47,MIN(AT$6-$G$3,22))),0)))))</f>
        <v>0</v>
      </c>
      <c r="AU49" s="27" t="n">
        <f aca="false">IF(COUNT(Amendoim!$E47:$Z47)=0,0,MAX(0,IF((AU$6-$E$3)&lt;1,0,IFERROR(LOOKUP(2,1/(Amendoim!$E47:INDEX(Amendoim!$E47:$Z47,MIN(AU$6-$E$3,22))&lt;&gt;""),Amendoim!$E47:INDEX(Amendoim!$E47:$Z47,MIN(AU$6-$E$3,22))),0))-IF($G$2,0,IF((AU$6-$G$3)&lt;1,0,IFERROR(LOOKUP(2,1/(Amendoim!$E47:INDEX(Amendoim!$E47:$Z47,MIN(AU$6-$G$3,22))&lt;&gt;""),Amendoim!$E47:INDEX(Amendoim!$E47:$Z47,MIN(AU$6-$G$3,22))),0)))))</f>
        <v>0</v>
      </c>
      <c r="AV49" s="27" t="n">
        <f aca="false">IF(COUNT(Amendoim!$E47:$Z47)=0,0,MAX(0,IF((AV$6-$E$3)&lt;1,0,IFERROR(LOOKUP(2,1/(Amendoim!$E47:INDEX(Amendoim!$E47:$Z47,MIN(AV$6-$E$3,22))&lt;&gt;""),Amendoim!$E47:INDEX(Amendoim!$E47:$Z47,MIN(AV$6-$E$3,22))),0))-IF($G$2,0,IF((AV$6-$G$3)&lt;1,0,IFERROR(LOOKUP(2,1/(Amendoim!$E47:INDEX(Amendoim!$E47:$Z47,MIN(AV$6-$G$3,22))&lt;&gt;""),Amendoim!$E47:INDEX(Amendoim!$E47:$Z47,MIN(AV$6-$G$3,22))),0)))))</f>
        <v>0</v>
      </c>
      <c r="AW49" s="27" t="n">
        <f aca="false">IF(COUNT(Amendoim!$E47:$Z47)=0,0,MAX(0,IF((AW$6-$E$3)&lt;1,0,IFERROR(LOOKUP(2,1/(Amendoim!$E47:INDEX(Amendoim!$E47:$Z47,MIN(AW$6-$E$3,22))&lt;&gt;""),Amendoim!$E47:INDEX(Amendoim!$E47:$Z47,MIN(AW$6-$E$3,22))),0))-IF($G$2,0,IF((AW$6-$G$3)&lt;1,0,IFERROR(LOOKUP(2,1/(Amendoim!$E47:INDEX(Amendoim!$E47:$Z47,MIN(AW$6-$G$3,22))&lt;&gt;""),Amendoim!$E47:INDEX(Amendoim!$E47:$Z47,MIN(AW$6-$G$3,22))),0)))))</f>
        <v>0</v>
      </c>
      <c r="AX49" s="27" t="n">
        <f aca="false">IF(COUNT(Amendoim!$E47:$Z47)=0,0,MAX(0,IF((AX$6-$E$3)&lt;1,0,IFERROR(LOOKUP(2,1/(Amendoim!$E47:INDEX(Amendoim!$E47:$Z47,MIN(AX$6-$E$3,22))&lt;&gt;""),Amendoim!$E47:INDEX(Amendoim!$E47:$Z47,MIN(AX$6-$E$3,22))),0))-IF($G$2,0,IF((AX$6-$G$3)&lt;1,0,IFERROR(LOOKUP(2,1/(Amendoim!$E47:INDEX(Amendoim!$E47:$Z47,MIN(AX$6-$G$3,22))&lt;&gt;""),Amendoim!$E47:INDEX(Amendoim!$E47:$Z47,MIN(AX$6-$G$3,22))),0)))))</f>
        <v>0</v>
      </c>
      <c r="AY49" s="27" t="n">
        <f aca="false">IF(COUNT(Amendoim!$E47:$Z47)=0,0,MAX(0,IF((AY$6-$E$3)&lt;1,0,IFERROR(LOOKUP(2,1/(Amendoim!$E47:INDEX(Amendoim!$E47:$Z47,MIN(AY$6-$E$3,22))&lt;&gt;""),Amendoim!$E47:INDEX(Amendoim!$E47:$Z47,MIN(AY$6-$E$3,22))),0))-IF($G$2,0,IF((AY$6-$G$3)&lt;1,0,IFERROR(LOOKUP(2,1/(Amendoim!$E47:INDEX(Amendoim!$E47:$Z47,MIN(AY$6-$G$3,22))&lt;&gt;""),Amendoim!$E47:INDEX(Amendoim!$E47:$Z47,MIN(AY$6-$G$3,22))),0)))))</f>
        <v>0</v>
      </c>
      <c r="AZ49" s="27" t="n">
        <f aca="false">IF(COUNT(Amendoim!$E47:$Z47)=0,0,MAX(0,IF((AZ$6-$E$3)&lt;1,0,IFERROR(LOOKUP(2,1/(Amendoim!$E47:INDEX(Amendoim!$E47:$Z47,MIN(AZ$6-$E$3,22))&lt;&gt;""),Amendoim!$E47:INDEX(Amendoim!$E47:$Z47,MIN(AZ$6-$E$3,22))),0))-IF($G$2,0,IF((AZ$6-$G$3)&lt;1,0,IFERROR(LOOKUP(2,1/(Amendoim!$E47:INDEX(Amendoim!$E47:$Z47,MIN(AZ$6-$G$3,22))&lt;&gt;""),Amendoim!$E47:INDEX(Amendoim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IF(COUNT(Amendoim!$E48:$Z48)&gt;0,N(Amendoim!$D48),0)</f>
        <v>0</v>
      </c>
      <c r="E50" s="27" t="n">
        <f aca="false">IF(COUNT(Amendoim!$E48:$Z48)=0,0,MAX(0,IF((E$6-$E$3)&lt;1,0,IFERROR(LOOKUP(2,1/(Amendoim!$E48:INDEX(Amendoim!$E48:$Z48,MIN(E$6-$E$3,22))&lt;&gt;""),Amendoim!$E48:INDEX(Amendoim!$E48:$Z48,MIN(E$6-$E$3,22))),0))-IF($G$2,0,IF((E$6-$G$3)&lt;1,0,IFERROR(LOOKUP(2,1/(Amendoim!$E48:INDEX(Amendoim!$E48:$Z48,MIN(E$6-$G$3,22))&lt;&gt;""),Amendoim!$E48:INDEX(Amendoim!$E48:$Z48,MIN(E$6-$G$3,22))),0)))))</f>
        <v>0</v>
      </c>
      <c r="F50" s="27" t="n">
        <f aca="false">IF(COUNT(Amendoim!$E48:$Z48)=0,0,MAX(0,IF((F$6-$E$3)&lt;1,0,IFERROR(LOOKUP(2,1/(Amendoim!$E48:INDEX(Amendoim!$E48:$Z48,MIN(F$6-$E$3,22))&lt;&gt;""),Amendoim!$E48:INDEX(Amendoim!$E48:$Z48,MIN(F$6-$E$3,22))),0))-IF($G$2,0,IF((F$6-$G$3)&lt;1,0,IFERROR(LOOKUP(2,1/(Amendoim!$E48:INDEX(Amendoim!$E48:$Z48,MIN(F$6-$G$3,22))&lt;&gt;""),Amendoim!$E48:INDEX(Amendoim!$E48:$Z48,MIN(F$6-$G$3,22))),0)))))</f>
        <v>0</v>
      </c>
      <c r="G50" s="27" t="n">
        <f aca="false">IF(COUNT(Amendoim!$E48:$Z48)=0,0,MAX(0,IF((G$6-$E$3)&lt;1,0,IFERROR(LOOKUP(2,1/(Amendoim!$E48:INDEX(Amendoim!$E48:$Z48,MIN(G$6-$E$3,22))&lt;&gt;""),Amendoim!$E48:INDEX(Amendoim!$E48:$Z48,MIN(G$6-$E$3,22))),0))-IF($G$2,0,IF((G$6-$G$3)&lt;1,0,IFERROR(LOOKUP(2,1/(Amendoim!$E48:INDEX(Amendoim!$E48:$Z48,MIN(G$6-$G$3,22))&lt;&gt;""),Amendoim!$E48:INDEX(Amendoim!$E48:$Z48,MIN(G$6-$G$3,22))),0)))))</f>
        <v>0</v>
      </c>
      <c r="H50" s="27" t="n">
        <f aca="false">IF(COUNT(Amendoim!$E48:$Z48)=0,0,MAX(0,IF((H$6-$E$3)&lt;1,0,IFERROR(LOOKUP(2,1/(Amendoim!$E48:INDEX(Amendoim!$E48:$Z48,MIN(H$6-$E$3,22))&lt;&gt;""),Amendoim!$E48:INDEX(Amendoim!$E48:$Z48,MIN(H$6-$E$3,22))),0))-IF($G$2,0,IF((H$6-$G$3)&lt;1,0,IFERROR(LOOKUP(2,1/(Amendoim!$E48:INDEX(Amendoim!$E48:$Z48,MIN(H$6-$G$3,22))&lt;&gt;""),Amendoim!$E48:INDEX(Amendoim!$E48:$Z48,MIN(H$6-$G$3,22))),0)))))</f>
        <v>0</v>
      </c>
      <c r="I50" s="27" t="n">
        <f aca="false">IF(COUNT(Amendoim!$E48:$Z48)=0,0,MAX(0,IF((I$6-$E$3)&lt;1,0,IFERROR(LOOKUP(2,1/(Amendoim!$E48:INDEX(Amendoim!$E48:$Z48,MIN(I$6-$E$3,22))&lt;&gt;""),Amendoim!$E48:INDEX(Amendoim!$E48:$Z48,MIN(I$6-$E$3,22))),0))-IF($G$2,0,IF((I$6-$G$3)&lt;1,0,IFERROR(LOOKUP(2,1/(Amendoim!$E48:INDEX(Amendoim!$E48:$Z48,MIN(I$6-$G$3,22))&lt;&gt;""),Amendoim!$E48:INDEX(Amendoim!$E48:$Z48,MIN(I$6-$G$3,22))),0)))))</f>
        <v>0</v>
      </c>
      <c r="J50" s="27" t="n">
        <f aca="false">IF(COUNT(Amendoim!$E48:$Z48)=0,0,MAX(0,IF((J$6-$E$3)&lt;1,0,IFERROR(LOOKUP(2,1/(Amendoim!$E48:INDEX(Amendoim!$E48:$Z48,MIN(J$6-$E$3,22))&lt;&gt;""),Amendoim!$E48:INDEX(Amendoim!$E48:$Z48,MIN(J$6-$E$3,22))),0))-IF($G$2,0,IF((J$6-$G$3)&lt;1,0,IFERROR(LOOKUP(2,1/(Amendoim!$E48:INDEX(Amendoim!$E48:$Z48,MIN(J$6-$G$3,22))&lt;&gt;""),Amendoim!$E48:INDEX(Amendoim!$E48:$Z48,MIN(J$6-$G$3,22))),0)))))</f>
        <v>0</v>
      </c>
      <c r="K50" s="27" t="n">
        <f aca="false">IF(COUNT(Amendoim!$E48:$Z48)=0,0,MAX(0,IF((K$6-$E$3)&lt;1,0,IFERROR(LOOKUP(2,1/(Amendoim!$E48:INDEX(Amendoim!$E48:$Z48,MIN(K$6-$E$3,22))&lt;&gt;""),Amendoim!$E48:INDEX(Amendoim!$E48:$Z48,MIN(K$6-$E$3,22))),0))-IF($G$2,0,IF((K$6-$G$3)&lt;1,0,IFERROR(LOOKUP(2,1/(Amendoim!$E48:INDEX(Amendoim!$E48:$Z48,MIN(K$6-$G$3,22))&lt;&gt;""),Amendoim!$E48:INDEX(Amendoim!$E48:$Z48,MIN(K$6-$G$3,22))),0)))))</f>
        <v>0</v>
      </c>
      <c r="L50" s="27" t="n">
        <f aca="false">IF(COUNT(Amendoim!$E48:$Z48)=0,0,MAX(0,IF((L$6-$E$3)&lt;1,0,IFERROR(LOOKUP(2,1/(Amendoim!$E48:INDEX(Amendoim!$E48:$Z48,MIN(L$6-$E$3,22))&lt;&gt;""),Amendoim!$E48:INDEX(Amendoim!$E48:$Z48,MIN(L$6-$E$3,22))),0))-IF($G$2,0,IF((L$6-$G$3)&lt;1,0,IFERROR(LOOKUP(2,1/(Amendoim!$E48:INDEX(Amendoim!$E48:$Z48,MIN(L$6-$G$3,22))&lt;&gt;""),Amendoim!$E48:INDEX(Amendoim!$E48:$Z48,MIN(L$6-$G$3,22))),0)))))</f>
        <v>0</v>
      </c>
      <c r="M50" s="27" t="n">
        <f aca="false">IF(COUNT(Amendoim!$E48:$Z48)=0,0,MAX(0,IF((M$6-$E$3)&lt;1,0,IFERROR(LOOKUP(2,1/(Amendoim!$E48:INDEX(Amendoim!$E48:$Z48,MIN(M$6-$E$3,22))&lt;&gt;""),Amendoim!$E48:INDEX(Amendoim!$E48:$Z48,MIN(M$6-$E$3,22))),0))-IF($G$2,0,IF((M$6-$G$3)&lt;1,0,IFERROR(LOOKUP(2,1/(Amendoim!$E48:INDEX(Amendoim!$E48:$Z48,MIN(M$6-$G$3,22))&lt;&gt;""),Amendoim!$E48:INDEX(Amendoim!$E48:$Z48,MIN(M$6-$G$3,22))),0)))))</f>
        <v>0</v>
      </c>
      <c r="N50" s="27" t="n">
        <f aca="false">IF(COUNT(Amendoim!$E48:$Z48)=0,0,MAX(0,IF((N$6-$E$3)&lt;1,0,IFERROR(LOOKUP(2,1/(Amendoim!$E48:INDEX(Amendoim!$E48:$Z48,MIN(N$6-$E$3,22))&lt;&gt;""),Amendoim!$E48:INDEX(Amendoim!$E48:$Z48,MIN(N$6-$E$3,22))),0))-IF($G$2,0,IF((N$6-$G$3)&lt;1,0,IFERROR(LOOKUP(2,1/(Amendoim!$E48:INDEX(Amendoim!$E48:$Z48,MIN(N$6-$G$3,22))&lt;&gt;""),Amendoim!$E48:INDEX(Amendoim!$E48:$Z48,MIN(N$6-$G$3,22))),0)))))</f>
        <v>0</v>
      </c>
      <c r="O50" s="27" t="n">
        <f aca="false">IF(COUNT(Amendoim!$E48:$Z48)=0,0,MAX(0,IF((O$6-$E$3)&lt;1,0,IFERROR(LOOKUP(2,1/(Amendoim!$E48:INDEX(Amendoim!$E48:$Z48,MIN(O$6-$E$3,22))&lt;&gt;""),Amendoim!$E48:INDEX(Amendoim!$E48:$Z48,MIN(O$6-$E$3,22))),0))-IF($G$2,0,IF((O$6-$G$3)&lt;1,0,IFERROR(LOOKUP(2,1/(Amendoim!$E48:INDEX(Amendoim!$E48:$Z48,MIN(O$6-$G$3,22))&lt;&gt;""),Amendoim!$E48:INDEX(Amendoim!$E48:$Z48,MIN(O$6-$G$3,22))),0)))))</f>
        <v>0</v>
      </c>
      <c r="P50" s="27" t="n">
        <f aca="false">IF(COUNT(Amendoim!$E48:$Z48)=0,0,MAX(0,IF((P$6-$E$3)&lt;1,0,IFERROR(LOOKUP(2,1/(Amendoim!$E48:INDEX(Amendoim!$E48:$Z48,MIN(P$6-$E$3,22))&lt;&gt;""),Amendoim!$E48:INDEX(Amendoim!$E48:$Z48,MIN(P$6-$E$3,22))),0))-IF($G$2,0,IF((P$6-$G$3)&lt;1,0,IFERROR(LOOKUP(2,1/(Amendoim!$E48:INDEX(Amendoim!$E48:$Z48,MIN(P$6-$G$3,22))&lt;&gt;""),Amendoim!$E48:INDEX(Amendoim!$E48:$Z48,MIN(P$6-$G$3,22))),0)))))</f>
        <v>0</v>
      </c>
      <c r="Q50" s="27" t="n">
        <f aca="false">IF(COUNT(Amendoim!$E48:$Z48)=0,0,MAX(0,IF((Q$6-$E$3)&lt;1,0,IFERROR(LOOKUP(2,1/(Amendoim!$E48:INDEX(Amendoim!$E48:$Z48,MIN(Q$6-$E$3,22))&lt;&gt;""),Amendoim!$E48:INDEX(Amendoim!$E48:$Z48,MIN(Q$6-$E$3,22))),0))-IF($G$2,0,IF((Q$6-$G$3)&lt;1,0,IFERROR(LOOKUP(2,1/(Amendoim!$E48:INDEX(Amendoim!$E48:$Z48,MIN(Q$6-$G$3,22))&lt;&gt;""),Amendoim!$E48:INDEX(Amendoim!$E48:$Z48,MIN(Q$6-$G$3,22))),0)))))</f>
        <v>0</v>
      </c>
      <c r="R50" s="27" t="n">
        <f aca="false">IF(COUNT(Amendoim!$E48:$Z48)=0,0,MAX(0,IF((R$6-$E$3)&lt;1,0,IFERROR(LOOKUP(2,1/(Amendoim!$E48:INDEX(Amendoim!$E48:$Z48,MIN(R$6-$E$3,22))&lt;&gt;""),Amendoim!$E48:INDEX(Amendoim!$E48:$Z48,MIN(R$6-$E$3,22))),0))-IF($G$2,0,IF((R$6-$G$3)&lt;1,0,IFERROR(LOOKUP(2,1/(Amendoim!$E48:INDEX(Amendoim!$E48:$Z48,MIN(R$6-$G$3,22))&lt;&gt;""),Amendoim!$E48:INDEX(Amendoim!$E48:$Z48,MIN(R$6-$G$3,22))),0)))))</f>
        <v>0</v>
      </c>
      <c r="S50" s="27" t="n">
        <f aca="false">IF(COUNT(Amendoim!$E48:$Z48)=0,0,MAX(0,IF((S$6-$E$3)&lt;1,0,IFERROR(LOOKUP(2,1/(Amendoim!$E48:INDEX(Amendoim!$E48:$Z48,MIN(S$6-$E$3,22))&lt;&gt;""),Amendoim!$E48:INDEX(Amendoim!$E48:$Z48,MIN(S$6-$E$3,22))),0))-IF($G$2,0,IF((S$6-$G$3)&lt;1,0,IFERROR(LOOKUP(2,1/(Amendoim!$E48:INDEX(Amendoim!$E48:$Z48,MIN(S$6-$G$3,22))&lt;&gt;""),Amendoim!$E48:INDEX(Amendoim!$E48:$Z48,MIN(S$6-$G$3,22))),0)))))</f>
        <v>0</v>
      </c>
      <c r="T50" s="27" t="n">
        <f aca="false">IF(COUNT(Amendoim!$E48:$Z48)=0,0,MAX(0,IF((T$6-$E$3)&lt;1,0,IFERROR(LOOKUP(2,1/(Amendoim!$E48:INDEX(Amendoim!$E48:$Z48,MIN(T$6-$E$3,22))&lt;&gt;""),Amendoim!$E48:INDEX(Amendoim!$E48:$Z48,MIN(T$6-$E$3,22))),0))-IF($G$2,0,IF((T$6-$G$3)&lt;1,0,IFERROR(LOOKUP(2,1/(Amendoim!$E48:INDEX(Amendoim!$E48:$Z48,MIN(T$6-$G$3,22))&lt;&gt;""),Amendoim!$E48:INDEX(Amendoim!$E48:$Z48,MIN(T$6-$G$3,22))),0)))))</f>
        <v>0</v>
      </c>
      <c r="U50" s="27" t="n">
        <f aca="false">IF(COUNT(Amendoim!$E48:$Z48)=0,0,MAX(0,IF((U$6-$E$3)&lt;1,0,IFERROR(LOOKUP(2,1/(Amendoim!$E48:INDEX(Amendoim!$E48:$Z48,MIN(U$6-$E$3,22))&lt;&gt;""),Amendoim!$E48:INDEX(Amendoim!$E48:$Z48,MIN(U$6-$E$3,22))),0))-IF($G$2,0,IF((U$6-$G$3)&lt;1,0,IFERROR(LOOKUP(2,1/(Amendoim!$E48:INDEX(Amendoim!$E48:$Z48,MIN(U$6-$G$3,22))&lt;&gt;""),Amendoim!$E48:INDEX(Amendoim!$E48:$Z48,MIN(U$6-$G$3,22))),0)))))</f>
        <v>0</v>
      </c>
      <c r="V50" s="27" t="n">
        <f aca="false">IF(COUNT(Amendoim!$E48:$Z48)=0,0,MAX(0,IF((V$6-$E$3)&lt;1,0,IFERROR(LOOKUP(2,1/(Amendoim!$E48:INDEX(Amendoim!$E48:$Z48,MIN(V$6-$E$3,22))&lt;&gt;""),Amendoim!$E48:INDEX(Amendoim!$E48:$Z48,MIN(V$6-$E$3,22))),0))-IF($G$2,0,IF((V$6-$G$3)&lt;1,0,IFERROR(LOOKUP(2,1/(Amendoim!$E48:INDEX(Amendoim!$E48:$Z48,MIN(V$6-$G$3,22))&lt;&gt;""),Amendoim!$E48:INDEX(Amendoim!$E48:$Z48,MIN(V$6-$G$3,22))),0)))))</f>
        <v>0</v>
      </c>
      <c r="W50" s="27" t="n">
        <f aca="false">IF(COUNT(Amendoim!$E48:$Z48)=0,0,MAX(0,IF((W$6-$E$3)&lt;1,0,IFERROR(LOOKUP(2,1/(Amendoim!$E48:INDEX(Amendoim!$E48:$Z48,MIN(W$6-$E$3,22))&lt;&gt;""),Amendoim!$E48:INDEX(Amendoim!$E48:$Z48,MIN(W$6-$E$3,22))),0))-IF($G$2,0,IF((W$6-$G$3)&lt;1,0,IFERROR(LOOKUP(2,1/(Amendoim!$E48:INDEX(Amendoim!$E48:$Z48,MIN(W$6-$G$3,22))&lt;&gt;""),Amendoim!$E48:INDEX(Amendoim!$E48:$Z48,MIN(W$6-$G$3,22))),0)))))</f>
        <v>0</v>
      </c>
      <c r="X50" s="27" t="n">
        <f aca="false">IF(COUNT(Amendoim!$E48:$Z48)=0,0,MAX(0,IF((X$6-$E$3)&lt;1,0,IFERROR(LOOKUP(2,1/(Amendoim!$E48:INDEX(Amendoim!$E48:$Z48,MIN(X$6-$E$3,22))&lt;&gt;""),Amendoim!$E48:INDEX(Amendoim!$E48:$Z48,MIN(X$6-$E$3,22))),0))-IF($G$2,0,IF((X$6-$G$3)&lt;1,0,IFERROR(LOOKUP(2,1/(Amendoim!$E48:INDEX(Amendoim!$E48:$Z48,MIN(X$6-$G$3,22))&lt;&gt;""),Amendoim!$E48:INDEX(Amendoim!$E48:$Z48,MIN(X$6-$G$3,22))),0)))))</f>
        <v>0</v>
      </c>
      <c r="Y50" s="27" t="n">
        <f aca="false">IF(COUNT(Amendoim!$E48:$Z48)=0,0,MAX(0,IF((Y$6-$E$3)&lt;1,0,IFERROR(LOOKUP(2,1/(Amendoim!$E48:INDEX(Amendoim!$E48:$Z48,MIN(Y$6-$E$3,22))&lt;&gt;""),Amendoim!$E48:INDEX(Amendoim!$E48:$Z48,MIN(Y$6-$E$3,22))),0))-IF($G$2,0,IF((Y$6-$G$3)&lt;1,0,IFERROR(LOOKUP(2,1/(Amendoim!$E48:INDEX(Amendoim!$E48:$Z48,MIN(Y$6-$G$3,22))&lt;&gt;""),Amendoim!$E48:INDEX(Amendoim!$E48:$Z48,MIN(Y$6-$G$3,22))),0)))))</f>
        <v>0</v>
      </c>
      <c r="Z50" s="27" t="n">
        <f aca="false">IF(COUNT(Amendoim!$E48:$Z48)=0,0,MAX(0,IF((Z$6-$E$3)&lt;1,0,IFERROR(LOOKUP(2,1/(Amendoim!$E48:INDEX(Amendoim!$E48:$Z48,MIN(Z$6-$E$3,22))&lt;&gt;""),Amendoim!$E48:INDEX(Amendoim!$E48:$Z48,MIN(Z$6-$E$3,22))),0))-IF($G$2,0,IF((Z$6-$G$3)&lt;1,0,IFERROR(LOOKUP(2,1/(Amendoim!$E48:INDEX(Amendoim!$E48:$Z48,MIN(Z$6-$G$3,22))&lt;&gt;""),Amendoim!$E48:INDEX(Amendoim!$E48:$Z48,MIN(Z$6-$G$3,22))),0)))))</f>
        <v>0</v>
      </c>
      <c r="AA50" s="27" t="n">
        <f aca="false">IF(COUNT(Amendoim!$E48:$Z48)=0,0,MAX(0,IF((AA$6-$E$3)&lt;1,0,IFERROR(LOOKUP(2,1/(Amendoim!$E48:INDEX(Amendoim!$E48:$Z48,MIN(AA$6-$E$3,22))&lt;&gt;""),Amendoim!$E48:INDEX(Amendoim!$E48:$Z48,MIN(AA$6-$E$3,22))),0))-IF($G$2,0,IF((AA$6-$G$3)&lt;1,0,IFERROR(LOOKUP(2,1/(Amendoim!$E48:INDEX(Amendoim!$E48:$Z48,MIN(AA$6-$G$3,22))&lt;&gt;""),Amendoim!$E48:INDEX(Amendoim!$E48:$Z48,MIN(AA$6-$G$3,22))),0)))))</f>
        <v>0</v>
      </c>
      <c r="AB50" s="27" t="n">
        <f aca="false">IF(COUNT(Amendoim!$E48:$Z48)=0,0,MAX(0,IF((AB$6-$E$3)&lt;1,0,IFERROR(LOOKUP(2,1/(Amendoim!$E48:INDEX(Amendoim!$E48:$Z48,MIN(AB$6-$E$3,22))&lt;&gt;""),Amendoim!$E48:INDEX(Amendoim!$E48:$Z48,MIN(AB$6-$E$3,22))),0))-IF($G$2,0,IF((AB$6-$G$3)&lt;1,0,IFERROR(LOOKUP(2,1/(Amendoim!$E48:INDEX(Amendoim!$E48:$Z48,MIN(AB$6-$G$3,22))&lt;&gt;""),Amendoim!$E48:INDEX(Amendoim!$E48:$Z48,MIN(AB$6-$G$3,22))),0)))))</f>
        <v>0</v>
      </c>
      <c r="AC50" s="27" t="n">
        <f aca="false">IF(COUNT(Amendoim!$E48:$Z48)=0,0,MAX(0,IF((AC$6-$E$3)&lt;1,0,IFERROR(LOOKUP(2,1/(Amendoim!$E48:INDEX(Amendoim!$E48:$Z48,MIN(AC$6-$E$3,22))&lt;&gt;""),Amendoim!$E48:INDEX(Amendoim!$E48:$Z48,MIN(AC$6-$E$3,22))),0))-IF($G$2,0,IF((AC$6-$G$3)&lt;1,0,IFERROR(LOOKUP(2,1/(Amendoim!$E48:INDEX(Amendoim!$E48:$Z48,MIN(AC$6-$G$3,22))&lt;&gt;""),Amendoim!$E48:INDEX(Amendoim!$E48:$Z48,MIN(AC$6-$G$3,22))),0)))))</f>
        <v>0</v>
      </c>
      <c r="AD50" s="27" t="n">
        <f aca="false">IF(COUNT(Amendoim!$E48:$Z48)=0,0,MAX(0,IF((AD$6-$E$3)&lt;1,0,IFERROR(LOOKUP(2,1/(Amendoim!$E48:INDEX(Amendoim!$E48:$Z48,MIN(AD$6-$E$3,22))&lt;&gt;""),Amendoim!$E48:INDEX(Amendoim!$E48:$Z48,MIN(AD$6-$E$3,22))),0))-IF($G$2,0,IF((AD$6-$G$3)&lt;1,0,IFERROR(LOOKUP(2,1/(Amendoim!$E48:INDEX(Amendoim!$E48:$Z48,MIN(AD$6-$G$3,22))&lt;&gt;""),Amendoim!$E48:INDEX(Amendoim!$E48:$Z48,MIN(AD$6-$G$3,22))),0)))))</f>
        <v>0</v>
      </c>
      <c r="AE50" s="27" t="n">
        <f aca="false">IF(COUNT(Amendoim!$E48:$Z48)=0,0,MAX(0,IF((AE$6-$E$3)&lt;1,0,IFERROR(LOOKUP(2,1/(Amendoim!$E48:INDEX(Amendoim!$E48:$Z48,MIN(AE$6-$E$3,22))&lt;&gt;""),Amendoim!$E48:INDEX(Amendoim!$E48:$Z48,MIN(AE$6-$E$3,22))),0))-IF($G$2,0,IF((AE$6-$G$3)&lt;1,0,IFERROR(LOOKUP(2,1/(Amendoim!$E48:INDEX(Amendoim!$E48:$Z48,MIN(AE$6-$G$3,22))&lt;&gt;""),Amendoim!$E48:INDEX(Amendoim!$E48:$Z48,MIN(AE$6-$G$3,22))),0)))))</f>
        <v>0</v>
      </c>
      <c r="AF50" s="27" t="n">
        <f aca="false">IF(COUNT(Amendoim!$E48:$Z48)=0,0,MAX(0,IF((AF$6-$E$3)&lt;1,0,IFERROR(LOOKUP(2,1/(Amendoim!$E48:INDEX(Amendoim!$E48:$Z48,MIN(AF$6-$E$3,22))&lt;&gt;""),Amendoim!$E48:INDEX(Amendoim!$E48:$Z48,MIN(AF$6-$E$3,22))),0))-IF($G$2,0,IF((AF$6-$G$3)&lt;1,0,IFERROR(LOOKUP(2,1/(Amendoim!$E48:INDEX(Amendoim!$E48:$Z48,MIN(AF$6-$G$3,22))&lt;&gt;""),Amendoim!$E48:INDEX(Amendoim!$E48:$Z48,MIN(AF$6-$G$3,22))),0)))))</f>
        <v>0</v>
      </c>
      <c r="AG50" s="27" t="n">
        <f aca="false">IF(COUNT(Amendoim!$E48:$Z48)=0,0,MAX(0,IF((AG$6-$E$3)&lt;1,0,IFERROR(LOOKUP(2,1/(Amendoim!$E48:INDEX(Amendoim!$E48:$Z48,MIN(AG$6-$E$3,22))&lt;&gt;""),Amendoim!$E48:INDEX(Amendoim!$E48:$Z48,MIN(AG$6-$E$3,22))),0))-IF($G$2,0,IF((AG$6-$G$3)&lt;1,0,IFERROR(LOOKUP(2,1/(Amendoim!$E48:INDEX(Amendoim!$E48:$Z48,MIN(AG$6-$G$3,22))&lt;&gt;""),Amendoim!$E48:INDEX(Amendoim!$E48:$Z48,MIN(AG$6-$G$3,22))),0)))))</f>
        <v>0</v>
      </c>
      <c r="AH50" s="27" t="n">
        <f aca="false">IF(COUNT(Amendoim!$E48:$Z48)=0,0,MAX(0,IF((AH$6-$E$3)&lt;1,0,IFERROR(LOOKUP(2,1/(Amendoim!$E48:INDEX(Amendoim!$E48:$Z48,MIN(AH$6-$E$3,22))&lt;&gt;""),Amendoim!$E48:INDEX(Amendoim!$E48:$Z48,MIN(AH$6-$E$3,22))),0))-IF($G$2,0,IF((AH$6-$G$3)&lt;1,0,IFERROR(LOOKUP(2,1/(Amendoim!$E48:INDEX(Amendoim!$E48:$Z48,MIN(AH$6-$G$3,22))&lt;&gt;""),Amendoim!$E48:INDEX(Amendoim!$E48:$Z48,MIN(AH$6-$G$3,22))),0)))))</f>
        <v>0</v>
      </c>
      <c r="AI50" s="27" t="n">
        <f aca="false">IF(COUNT(Amendoim!$E48:$Z48)=0,0,MAX(0,IF((AI$6-$E$3)&lt;1,0,IFERROR(LOOKUP(2,1/(Amendoim!$E48:INDEX(Amendoim!$E48:$Z48,MIN(AI$6-$E$3,22))&lt;&gt;""),Amendoim!$E48:INDEX(Amendoim!$E48:$Z48,MIN(AI$6-$E$3,22))),0))-IF($G$2,0,IF((AI$6-$G$3)&lt;1,0,IFERROR(LOOKUP(2,1/(Amendoim!$E48:INDEX(Amendoim!$E48:$Z48,MIN(AI$6-$G$3,22))&lt;&gt;""),Amendoim!$E48:INDEX(Amendoim!$E48:$Z48,MIN(AI$6-$G$3,22))),0)))))</f>
        <v>0</v>
      </c>
      <c r="AJ50" s="27" t="n">
        <f aca="false">IF(COUNT(Amendoim!$E48:$Z48)=0,0,MAX(0,IF((AJ$6-$E$3)&lt;1,0,IFERROR(LOOKUP(2,1/(Amendoim!$E48:INDEX(Amendoim!$E48:$Z48,MIN(AJ$6-$E$3,22))&lt;&gt;""),Amendoim!$E48:INDEX(Amendoim!$E48:$Z48,MIN(AJ$6-$E$3,22))),0))-IF($G$2,0,IF((AJ$6-$G$3)&lt;1,0,IFERROR(LOOKUP(2,1/(Amendoim!$E48:INDEX(Amendoim!$E48:$Z48,MIN(AJ$6-$G$3,22))&lt;&gt;""),Amendoim!$E48:INDEX(Amendoim!$E48:$Z48,MIN(AJ$6-$G$3,22))),0)))))</f>
        <v>0</v>
      </c>
      <c r="AK50" s="27" t="n">
        <f aca="false">IF(COUNT(Amendoim!$E48:$Z48)=0,0,MAX(0,IF((AK$6-$E$3)&lt;1,0,IFERROR(LOOKUP(2,1/(Amendoim!$E48:INDEX(Amendoim!$E48:$Z48,MIN(AK$6-$E$3,22))&lt;&gt;""),Amendoim!$E48:INDEX(Amendoim!$E48:$Z48,MIN(AK$6-$E$3,22))),0))-IF($G$2,0,IF((AK$6-$G$3)&lt;1,0,IFERROR(LOOKUP(2,1/(Amendoim!$E48:INDEX(Amendoim!$E48:$Z48,MIN(AK$6-$G$3,22))&lt;&gt;""),Amendoim!$E48:INDEX(Amendoim!$E48:$Z48,MIN(AK$6-$G$3,22))),0)))))</f>
        <v>0</v>
      </c>
      <c r="AL50" s="27" t="n">
        <f aca="false">IF(COUNT(Amendoim!$E48:$Z48)=0,0,MAX(0,IF((AL$6-$E$3)&lt;1,0,IFERROR(LOOKUP(2,1/(Amendoim!$E48:INDEX(Amendoim!$E48:$Z48,MIN(AL$6-$E$3,22))&lt;&gt;""),Amendoim!$E48:INDEX(Amendoim!$E48:$Z48,MIN(AL$6-$E$3,22))),0))-IF($G$2,0,IF((AL$6-$G$3)&lt;1,0,IFERROR(LOOKUP(2,1/(Amendoim!$E48:INDEX(Amendoim!$E48:$Z48,MIN(AL$6-$G$3,22))&lt;&gt;""),Amendoim!$E48:INDEX(Amendoim!$E48:$Z48,MIN(AL$6-$G$3,22))),0)))))</f>
        <v>0</v>
      </c>
      <c r="AM50" s="27" t="n">
        <f aca="false">IF(COUNT(Amendoim!$E48:$Z48)=0,0,MAX(0,IF((AM$6-$E$3)&lt;1,0,IFERROR(LOOKUP(2,1/(Amendoim!$E48:INDEX(Amendoim!$E48:$Z48,MIN(AM$6-$E$3,22))&lt;&gt;""),Amendoim!$E48:INDEX(Amendoim!$E48:$Z48,MIN(AM$6-$E$3,22))),0))-IF($G$2,0,IF((AM$6-$G$3)&lt;1,0,IFERROR(LOOKUP(2,1/(Amendoim!$E48:INDEX(Amendoim!$E48:$Z48,MIN(AM$6-$G$3,22))&lt;&gt;""),Amendoim!$E48:INDEX(Amendoim!$E48:$Z48,MIN(AM$6-$G$3,22))),0)))))</f>
        <v>0</v>
      </c>
      <c r="AN50" s="27" t="n">
        <f aca="false">IF(COUNT(Amendoim!$E48:$Z48)=0,0,MAX(0,IF((AN$6-$E$3)&lt;1,0,IFERROR(LOOKUP(2,1/(Amendoim!$E48:INDEX(Amendoim!$E48:$Z48,MIN(AN$6-$E$3,22))&lt;&gt;""),Amendoim!$E48:INDEX(Amendoim!$E48:$Z48,MIN(AN$6-$E$3,22))),0))-IF($G$2,0,IF((AN$6-$G$3)&lt;1,0,IFERROR(LOOKUP(2,1/(Amendoim!$E48:INDEX(Amendoim!$E48:$Z48,MIN(AN$6-$G$3,22))&lt;&gt;""),Amendoim!$E48:INDEX(Amendoim!$E48:$Z48,MIN(AN$6-$G$3,22))),0)))))</f>
        <v>0</v>
      </c>
      <c r="AO50" s="27" t="n">
        <f aca="false">IF(COUNT(Amendoim!$E48:$Z48)=0,0,MAX(0,IF((AO$6-$E$3)&lt;1,0,IFERROR(LOOKUP(2,1/(Amendoim!$E48:INDEX(Amendoim!$E48:$Z48,MIN(AO$6-$E$3,22))&lt;&gt;""),Amendoim!$E48:INDEX(Amendoim!$E48:$Z48,MIN(AO$6-$E$3,22))),0))-IF($G$2,0,IF((AO$6-$G$3)&lt;1,0,IFERROR(LOOKUP(2,1/(Amendoim!$E48:INDEX(Amendoim!$E48:$Z48,MIN(AO$6-$G$3,22))&lt;&gt;""),Amendoim!$E48:INDEX(Amendoim!$E48:$Z48,MIN(AO$6-$G$3,22))),0)))))</f>
        <v>0</v>
      </c>
      <c r="AP50" s="27" t="n">
        <f aca="false">IF(COUNT(Amendoim!$E48:$Z48)=0,0,MAX(0,IF((AP$6-$E$3)&lt;1,0,IFERROR(LOOKUP(2,1/(Amendoim!$E48:INDEX(Amendoim!$E48:$Z48,MIN(AP$6-$E$3,22))&lt;&gt;""),Amendoim!$E48:INDEX(Amendoim!$E48:$Z48,MIN(AP$6-$E$3,22))),0))-IF($G$2,0,IF((AP$6-$G$3)&lt;1,0,IFERROR(LOOKUP(2,1/(Amendoim!$E48:INDEX(Amendoim!$E48:$Z48,MIN(AP$6-$G$3,22))&lt;&gt;""),Amendoim!$E48:INDEX(Amendoim!$E48:$Z48,MIN(AP$6-$G$3,22))),0)))))</f>
        <v>0</v>
      </c>
      <c r="AQ50" s="27" t="n">
        <f aca="false">IF(COUNT(Amendoim!$E48:$Z48)=0,0,MAX(0,IF((AQ$6-$E$3)&lt;1,0,IFERROR(LOOKUP(2,1/(Amendoim!$E48:INDEX(Amendoim!$E48:$Z48,MIN(AQ$6-$E$3,22))&lt;&gt;""),Amendoim!$E48:INDEX(Amendoim!$E48:$Z48,MIN(AQ$6-$E$3,22))),0))-IF($G$2,0,IF((AQ$6-$G$3)&lt;1,0,IFERROR(LOOKUP(2,1/(Amendoim!$E48:INDEX(Amendoim!$E48:$Z48,MIN(AQ$6-$G$3,22))&lt;&gt;""),Amendoim!$E48:INDEX(Amendoim!$E48:$Z48,MIN(AQ$6-$G$3,22))),0)))))</f>
        <v>0</v>
      </c>
      <c r="AR50" s="27" t="n">
        <f aca="false">IF(COUNT(Amendoim!$E48:$Z48)=0,0,MAX(0,IF((AR$6-$E$3)&lt;1,0,IFERROR(LOOKUP(2,1/(Amendoim!$E48:INDEX(Amendoim!$E48:$Z48,MIN(AR$6-$E$3,22))&lt;&gt;""),Amendoim!$E48:INDEX(Amendoim!$E48:$Z48,MIN(AR$6-$E$3,22))),0))-IF($G$2,0,IF((AR$6-$G$3)&lt;1,0,IFERROR(LOOKUP(2,1/(Amendoim!$E48:INDEX(Amendoim!$E48:$Z48,MIN(AR$6-$G$3,22))&lt;&gt;""),Amendoim!$E48:INDEX(Amendoim!$E48:$Z48,MIN(AR$6-$G$3,22))),0)))))</f>
        <v>0</v>
      </c>
      <c r="AS50" s="27" t="n">
        <f aca="false">IF(COUNT(Amendoim!$E48:$Z48)=0,0,MAX(0,IF((AS$6-$E$3)&lt;1,0,IFERROR(LOOKUP(2,1/(Amendoim!$E48:INDEX(Amendoim!$E48:$Z48,MIN(AS$6-$E$3,22))&lt;&gt;""),Amendoim!$E48:INDEX(Amendoim!$E48:$Z48,MIN(AS$6-$E$3,22))),0))-IF($G$2,0,IF((AS$6-$G$3)&lt;1,0,IFERROR(LOOKUP(2,1/(Amendoim!$E48:INDEX(Amendoim!$E48:$Z48,MIN(AS$6-$G$3,22))&lt;&gt;""),Amendoim!$E48:INDEX(Amendoim!$E48:$Z48,MIN(AS$6-$G$3,22))),0)))))</f>
        <v>0</v>
      </c>
      <c r="AT50" s="27" t="n">
        <f aca="false">IF(COUNT(Amendoim!$E48:$Z48)=0,0,MAX(0,IF((AT$6-$E$3)&lt;1,0,IFERROR(LOOKUP(2,1/(Amendoim!$E48:INDEX(Amendoim!$E48:$Z48,MIN(AT$6-$E$3,22))&lt;&gt;""),Amendoim!$E48:INDEX(Amendoim!$E48:$Z48,MIN(AT$6-$E$3,22))),0))-IF($G$2,0,IF((AT$6-$G$3)&lt;1,0,IFERROR(LOOKUP(2,1/(Amendoim!$E48:INDEX(Amendoim!$E48:$Z48,MIN(AT$6-$G$3,22))&lt;&gt;""),Amendoim!$E48:INDEX(Amendoim!$E48:$Z48,MIN(AT$6-$G$3,22))),0)))))</f>
        <v>0</v>
      </c>
      <c r="AU50" s="27" t="n">
        <f aca="false">IF(COUNT(Amendoim!$E48:$Z48)=0,0,MAX(0,IF((AU$6-$E$3)&lt;1,0,IFERROR(LOOKUP(2,1/(Amendoim!$E48:INDEX(Amendoim!$E48:$Z48,MIN(AU$6-$E$3,22))&lt;&gt;""),Amendoim!$E48:INDEX(Amendoim!$E48:$Z48,MIN(AU$6-$E$3,22))),0))-IF($G$2,0,IF((AU$6-$G$3)&lt;1,0,IFERROR(LOOKUP(2,1/(Amendoim!$E48:INDEX(Amendoim!$E48:$Z48,MIN(AU$6-$G$3,22))&lt;&gt;""),Amendoim!$E48:INDEX(Amendoim!$E48:$Z48,MIN(AU$6-$G$3,22))),0)))))</f>
        <v>0</v>
      </c>
      <c r="AV50" s="27" t="n">
        <f aca="false">IF(COUNT(Amendoim!$E48:$Z48)=0,0,MAX(0,IF((AV$6-$E$3)&lt;1,0,IFERROR(LOOKUP(2,1/(Amendoim!$E48:INDEX(Amendoim!$E48:$Z48,MIN(AV$6-$E$3,22))&lt;&gt;""),Amendoim!$E48:INDEX(Amendoim!$E48:$Z48,MIN(AV$6-$E$3,22))),0))-IF($G$2,0,IF((AV$6-$G$3)&lt;1,0,IFERROR(LOOKUP(2,1/(Amendoim!$E48:INDEX(Amendoim!$E48:$Z48,MIN(AV$6-$G$3,22))&lt;&gt;""),Amendoim!$E48:INDEX(Amendoim!$E48:$Z48,MIN(AV$6-$G$3,22))),0)))))</f>
        <v>0</v>
      </c>
      <c r="AW50" s="27" t="n">
        <f aca="false">IF(COUNT(Amendoim!$E48:$Z48)=0,0,MAX(0,IF((AW$6-$E$3)&lt;1,0,IFERROR(LOOKUP(2,1/(Amendoim!$E48:INDEX(Amendoim!$E48:$Z48,MIN(AW$6-$E$3,22))&lt;&gt;""),Amendoim!$E48:INDEX(Amendoim!$E48:$Z48,MIN(AW$6-$E$3,22))),0))-IF($G$2,0,IF((AW$6-$G$3)&lt;1,0,IFERROR(LOOKUP(2,1/(Amendoim!$E48:INDEX(Amendoim!$E48:$Z48,MIN(AW$6-$G$3,22))&lt;&gt;""),Amendoim!$E48:INDEX(Amendoim!$E48:$Z48,MIN(AW$6-$G$3,22))),0)))))</f>
        <v>0</v>
      </c>
      <c r="AX50" s="27" t="n">
        <f aca="false">IF(COUNT(Amendoim!$E48:$Z48)=0,0,MAX(0,IF((AX$6-$E$3)&lt;1,0,IFERROR(LOOKUP(2,1/(Amendoim!$E48:INDEX(Amendoim!$E48:$Z48,MIN(AX$6-$E$3,22))&lt;&gt;""),Amendoim!$E48:INDEX(Amendoim!$E48:$Z48,MIN(AX$6-$E$3,22))),0))-IF($G$2,0,IF((AX$6-$G$3)&lt;1,0,IFERROR(LOOKUP(2,1/(Amendoim!$E48:INDEX(Amendoim!$E48:$Z48,MIN(AX$6-$G$3,22))&lt;&gt;""),Amendoim!$E48:INDEX(Amendoim!$E48:$Z48,MIN(AX$6-$G$3,22))),0)))))</f>
        <v>0</v>
      </c>
      <c r="AY50" s="27" t="n">
        <f aca="false">IF(COUNT(Amendoim!$E48:$Z48)=0,0,MAX(0,IF((AY$6-$E$3)&lt;1,0,IFERROR(LOOKUP(2,1/(Amendoim!$E48:INDEX(Amendoim!$E48:$Z48,MIN(AY$6-$E$3,22))&lt;&gt;""),Amendoim!$E48:INDEX(Amendoim!$E48:$Z48,MIN(AY$6-$E$3,22))),0))-IF($G$2,0,IF((AY$6-$G$3)&lt;1,0,IFERROR(LOOKUP(2,1/(Amendoim!$E48:INDEX(Amendoim!$E48:$Z48,MIN(AY$6-$G$3,22))&lt;&gt;""),Amendoim!$E48:INDEX(Amendoim!$E48:$Z48,MIN(AY$6-$G$3,22))),0)))))</f>
        <v>0</v>
      </c>
      <c r="AZ50" s="27" t="n">
        <f aca="false">IF(COUNT(Amendoim!$E48:$Z48)=0,0,MAX(0,IF((AZ$6-$E$3)&lt;1,0,IFERROR(LOOKUP(2,1/(Amendoim!$E48:INDEX(Amendoim!$E48:$Z48,MIN(AZ$6-$E$3,22))&lt;&gt;""),Amendoim!$E48:INDEX(Amendoim!$E48:$Z48,MIN(AZ$6-$E$3,22))),0))-IF($G$2,0,IF((AZ$6-$G$3)&lt;1,0,IFERROR(LOOKUP(2,1/(Amendoim!$E48:INDEX(Amendoim!$E48:$Z48,MIN(AZ$6-$G$3,22))&lt;&gt;""),Amendoim!$E48:INDEX(Amendoim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IF(COUNT(Amendoim!$E49:$Z49)&gt;0,N(Amendoim!$D49),0)</f>
        <v>0</v>
      </c>
      <c r="E51" s="27" t="n">
        <f aca="false">IF(COUNT(Amendoim!$E49:$Z49)=0,0,MAX(0,IF((E$6-$E$3)&lt;1,0,IFERROR(LOOKUP(2,1/(Amendoim!$E49:INDEX(Amendoim!$E49:$Z49,MIN(E$6-$E$3,22))&lt;&gt;""),Amendoim!$E49:INDEX(Amendoim!$E49:$Z49,MIN(E$6-$E$3,22))),0))-IF($G$2,0,IF((E$6-$G$3)&lt;1,0,IFERROR(LOOKUP(2,1/(Amendoim!$E49:INDEX(Amendoim!$E49:$Z49,MIN(E$6-$G$3,22))&lt;&gt;""),Amendoim!$E49:INDEX(Amendoim!$E49:$Z49,MIN(E$6-$G$3,22))),0)))))</f>
        <v>0</v>
      </c>
      <c r="F51" s="27" t="n">
        <f aca="false">IF(COUNT(Amendoim!$E49:$Z49)=0,0,MAX(0,IF((F$6-$E$3)&lt;1,0,IFERROR(LOOKUP(2,1/(Amendoim!$E49:INDEX(Amendoim!$E49:$Z49,MIN(F$6-$E$3,22))&lt;&gt;""),Amendoim!$E49:INDEX(Amendoim!$E49:$Z49,MIN(F$6-$E$3,22))),0))-IF($G$2,0,IF((F$6-$G$3)&lt;1,0,IFERROR(LOOKUP(2,1/(Amendoim!$E49:INDEX(Amendoim!$E49:$Z49,MIN(F$6-$G$3,22))&lt;&gt;""),Amendoim!$E49:INDEX(Amendoim!$E49:$Z49,MIN(F$6-$G$3,22))),0)))))</f>
        <v>0</v>
      </c>
      <c r="G51" s="27" t="n">
        <f aca="false">IF(COUNT(Amendoim!$E49:$Z49)=0,0,MAX(0,IF((G$6-$E$3)&lt;1,0,IFERROR(LOOKUP(2,1/(Amendoim!$E49:INDEX(Amendoim!$E49:$Z49,MIN(G$6-$E$3,22))&lt;&gt;""),Amendoim!$E49:INDEX(Amendoim!$E49:$Z49,MIN(G$6-$E$3,22))),0))-IF($G$2,0,IF((G$6-$G$3)&lt;1,0,IFERROR(LOOKUP(2,1/(Amendoim!$E49:INDEX(Amendoim!$E49:$Z49,MIN(G$6-$G$3,22))&lt;&gt;""),Amendoim!$E49:INDEX(Amendoim!$E49:$Z49,MIN(G$6-$G$3,22))),0)))))</f>
        <v>0</v>
      </c>
      <c r="H51" s="27" t="n">
        <f aca="false">IF(COUNT(Amendoim!$E49:$Z49)=0,0,MAX(0,IF((H$6-$E$3)&lt;1,0,IFERROR(LOOKUP(2,1/(Amendoim!$E49:INDEX(Amendoim!$E49:$Z49,MIN(H$6-$E$3,22))&lt;&gt;""),Amendoim!$E49:INDEX(Amendoim!$E49:$Z49,MIN(H$6-$E$3,22))),0))-IF($G$2,0,IF((H$6-$G$3)&lt;1,0,IFERROR(LOOKUP(2,1/(Amendoim!$E49:INDEX(Amendoim!$E49:$Z49,MIN(H$6-$G$3,22))&lt;&gt;""),Amendoim!$E49:INDEX(Amendoim!$E49:$Z49,MIN(H$6-$G$3,22))),0)))))</f>
        <v>0</v>
      </c>
      <c r="I51" s="27" t="n">
        <f aca="false">IF(COUNT(Amendoim!$E49:$Z49)=0,0,MAX(0,IF((I$6-$E$3)&lt;1,0,IFERROR(LOOKUP(2,1/(Amendoim!$E49:INDEX(Amendoim!$E49:$Z49,MIN(I$6-$E$3,22))&lt;&gt;""),Amendoim!$E49:INDEX(Amendoim!$E49:$Z49,MIN(I$6-$E$3,22))),0))-IF($G$2,0,IF((I$6-$G$3)&lt;1,0,IFERROR(LOOKUP(2,1/(Amendoim!$E49:INDEX(Amendoim!$E49:$Z49,MIN(I$6-$G$3,22))&lt;&gt;""),Amendoim!$E49:INDEX(Amendoim!$E49:$Z49,MIN(I$6-$G$3,22))),0)))))</f>
        <v>0</v>
      </c>
      <c r="J51" s="27" t="n">
        <f aca="false">IF(COUNT(Amendoim!$E49:$Z49)=0,0,MAX(0,IF((J$6-$E$3)&lt;1,0,IFERROR(LOOKUP(2,1/(Amendoim!$E49:INDEX(Amendoim!$E49:$Z49,MIN(J$6-$E$3,22))&lt;&gt;""),Amendoim!$E49:INDEX(Amendoim!$E49:$Z49,MIN(J$6-$E$3,22))),0))-IF($G$2,0,IF((J$6-$G$3)&lt;1,0,IFERROR(LOOKUP(2,1/(Amendoim!$E49:INDEX(Amendoim!$E49:$Z49,MIN(J$6-$G$3,22))&lt;&gt;""),Amendoim!$E49:INDEX(Amendoim!$E49:$Z49,MIN(J$6-$G$3,22))),0)))))</f>
        <v>0</v>
      </c>
      <c r="K51" s="27" t="n">
        <f aca="false">IF(COUNT(Amendoim!$E49:$Z49)=0,0,MAX(0,IF((K$6-$E$3)&lt;1,0,IFERROR(LOOKUP(2,1/(Amendoim!$E49:INDEX(Amendoim!$E49:$Z49,MIN(K$6-$E$3,22))&lt;&gt;""),Amendoim!$E49:INDEX(Amendoim!$E49:$Z49,MIN(K$6-$E$3,22))),0))-IF($G$2,0,IF((K$6-$G$3)&lt;1,0,IFERROR(LOOKUP(2,1/(Amendoim!$E49:INDEX(Amendoim!$E49:$Z49,MIN(K$6-$G$3,22))&lt;&gt;""),Amendoim!$E49:INDEX(Amendoim!$E49:$Z49,MIN(K$6-$G$3,22))),0)))))</f>
        <v>0</v>
      </c>
      <c r="L51" s="27" t="n">
        <f aca="false">IF(COUNT(Amendoim!$E49:$Z49)=0,0,MAX(0,IF((L$6-$E$3)&lt;1,0,IFERROR(LOOKUP(2,1/(Amendoim!$E49:INDEX(Amendoim!$E49:$Z49,MIN(L$6-$E$3,22))&lt;&gt;""),Amendoim!$E49:INDEX(Amendoim!$E49:$Z49,MIN(L$6-$E$3,22))),0))-IF($G$2,0,IF((L$6-$G$3)&lt;1,0,IFERROR(LOOKUP(2,1/(Amendoim!$E49:INDEX(Amendoim!$E49:$Z49,MIN(L$6-$G$3,22))&lt;&gt;""),Amendoim!$E49:INDEX(Amendoim!$E49:$Z49,MIN(L$6-$G$3,22))),0)))))</f>
        <v>0</v>
      </c>
      <c r="M51" s="27" t="n">
        <f aca="false">IF(COUNT(Amendoim!$E49:$Z49)=0,0,MAX(0,IF((M$6-$E$3)&lt;1,0,IFERROR(LOOKUP(2,1/(Amendoim!$E49:INDEX(Amendoim!$E49:$Z49,MIN(M$6-$E$3,22))&lt;&gt;""),Amendoim!$E49:INDEX(Amendoim!$E49:$Z49,MIN(M$6-$E$3,22))),0))-IF($G$2,0,IF((M$6-$G$3)&lt;1,0,IFERROR(LOOKUP(2,1/(Amendoim!$E49:INDEX(Amendoim!$E49:$Z49,MIN(M$6-$G$3,22))&lt;&gt;""),Amendoim!$E49:INDEX(Amendoim!$E49:$Z49,MIN(M$6-$G$3,22))),0)))))</f>
        <v>0</v>
      </c>
      <c r="N51" s="27" t="n">
        <f aca="false">IF(COUNT(Amendoim!$E49:$Z49)=0,0,MAX(0,IF((N$6-$E$3)&lt;1,0,IFERROR(LOOKUP(2,1/(Amendoim!$E49:INDEX(Amendoim!$E49:$Z49,MIN(N$6-$E$3,22))&lt;&gt;""),Amendoim!$E49:INDEX(Amendoim!$E49:$Z49,MIN(N$6-$E$3,22))),0))-IF($G$2,0,IF((N$6-$G$3)&lt;1,0,IFERROR(LOOKUP(2,1/(Amendoim!$E49:INDEX(Amendoim!$E49:$Z49,MIN(N$6-$G$3,22))&lt;&gt;""),Amendoim!$E49:INDEX(Amendoim!$E49:$Z49,MIN(N$6-$G$3,22))),0)))))</f>
        <v>0</v>
      </c>
      <c r="O51" s="27" t="n">
        <f aca="false">IF(COUNT(Amendoim!$E49:$Z49)=0,0,MAX(0,IF((O$6-$E$3)&lt;1,0,IFERROR(LOOKUP(2,1/(Amendoim!$E49:INDEX(Amendoim!$E49:$Z49,MIN(O$6-$E$3,22))&lt;&gt;""),Amendoim!$E49:INDEX(Amendoim!$E49:$Z49,MIN(O$6-$E$3,22))),0))-IF($G$2,0,IF((O$6-$G$3)&lt;1,0,IFERROR(LOOKUP(2,1/(Amendoim!$E49:INDEX(Amendoim!$E49:$Z49,MIN(O$6-$G$3,22))&lt;&gt;""),Amendoim!$E49:INDEX(Amendoim!$E49:$Z49,MIN(O$6-$G$3,22))),0)))))</f>
        <v>0</v>
      </c>
      <c r="P51" s="27" t="n">
        <f aca="false">IF(COUNT(Amendoim!$E49:$Z49)=0,0,MAX(0,IF((P$6-$E$3)&lt;1,0,IFERROR(LOOKUP(2,1/(Amendoim!$E49:INDEX(Amendoim!$E49:$Z49,MIN(P$6-$E$3,22))&lt;&gt;""),Amendoim!$E49:INDEX(Amendoim!$E49:$Z49,MIN(P$6-$E$3,22))),0))-IF($G$2,0,IF((P$6-$G$3)&lt;1,0,IFERROR(LOOKUP(2,1/(Amendoim!$E49:INDEX(Amendoim!$E49:$Z49,MIN(P$6-$G$3,22))&lt;&gt;""),Amendoim!$E49:INDEX(Amendoim!$E49:$Z49,MIN(P$6-$G$3,22))),0)))))</f>
        <v>0</v>
      </c>
      <c r="Q51" s="27" t="n">
        <f aca="false">IF(COUNT(Amendoim!$E49:$Z49)=0,0,MAX(0,IF((Q$6-$E$3)&lt;1,0,IFERROR(LOOKUP(2,1/(Amendoim!$E49:INDEX(Amendoim!$E49:$Z49,MIN(Q$6-$E$3,22))&lt;&gt;""),Amendoim!$E49:INDEX(Amendoim!$E49:$Z49,MIN(Q$6-$E$3,22))),0))-IF($G$2,0,IF((Q$6-$G$3)&lt;1,0,IFERROR(LOOKUP(2,1/(Amendoim!$E49:INDEX(Amendoim!$E49:$Z49,MIN(Q$6-$G$3,22))&lt;&gt;""),Amendoim!$E49:INDEX(Amendoim!$E49:$Z49,MIN(Q$6-$G$3,22))),0)))))</f>
        <v>0</v>
      </c>
      <c r="R51" s="27" t="n">
        <f aca="false">IF(COUNT(Amendoim!$E49:$Z49)=0,0,MAX(0,IF((R$6-$E$3)&lt;1,0,IFERROR(LOOKUP(2,1/(Amendoim!$E49:INDEX(Amendoim!$E49:$Z49,MIN(R$6-$E$3,22))&lt;&gt;""),Amendoim!$E49:INDEX(Amendoim!$E49:$Z49,MIN(R$6-$E$3,22))),0))-IF($G$2,0,IF((R$6-$G$3)&lt;1,0,IFERROR(LOOKUP(2,1/(Amendoim!$E49:INDEX(Amendoim!$E49:$Z49,MIN(R$6-$G$3,22))&lt;&gt;""),Amendoim!$E49:INDEX(Amendoim!$E49:$Z49,MIN(R$6-$G$3,22))),0)))))</f>
        <v>0</v>
      </c>
      <c r="S51" s="27" t="n">
        <f aca="false">IF(COUNT(Amendoim!$E49:$Z49)=0,0,MAX(0,IF((S$6-$E$3)&lt;1,0,IFERROR(LOOKUP(2,1/(Amendoim!$E49:INDEX(Amendoim!$E49:$Z49,MIN(S$6-$E$3,22))&lt;&gt;""),Amendoim!$E49:INDEX(Amendoim!$E49:$Z49,MIN(S$6-$E$3,22))),0))-IF($G$2,0,IF((S$6-$G$3)&lt;1,0,IFERROR(LOOKUP(2,1/(Amendoim!$E49:INDEX(Amendoim!$E49:$Z49,MIN(S$6-$G$3,22))&lt;&gt;""),Amendoim!$E49:INDEX(Amendoim!$E49:$Z49,MIN(S$6-$G$3,22))),0)))))</f>
        <v>0</v>
      </c>
      <c r="T51" s="27" t="n">
        <f aca="false">IF(COUNT(Amendoim!$E49:$Z49)=0,0,MAX(0,IF((T$6-$E$3)&lt;1,0,IFERROR(LOOKUP(2,1/(Amendoim!$E49:INDEX(Amendoim!$E49:$Z49,MIN(T$6-$E$3,22))&lt;&gt;""),Amendoim!$E49:INDEX(Amendoim!$E49:$Z49,MIN(T$6-$E$3,22))),0))-IF($G$2,0,IF((T$6-$G$3)&lt;1,0,IFERROR(LOOKUP(2,1/(Amendoim!$E49:INDEX(Amendoim!$E49:$Z49,MIN(T$6-$G$3,22))&lt;&gt;""),Amendoim!$E49:INDEX(Amendoim!$E49:$Z49,MIN(T$6-$G$3,22))),0)))))</f>
        <v>0</v>
      </c>
      <c r="U51" s="27" t="n">
        <f aca="false">IF(COUNT(Amendoim!$E49:$Z49)=0,0,MAX(0,IF((U$6-$E$3)&lt;1,0,IFERROR(LOOKUP(2,1/(Amendoim!$E49:INDEX(Amendoim!$E49:$Z49,MIN(U$6-$E$3,22))&lt;&gt;""),Amendoim!$E49:INDEX(Amendoim!$E49:$Z49,MIN(U$6-$E$3,22))),0))-IF($G$2,0,IF((U$6-$G$3)&lt;1,0,IFERROR(LOOKUP(2,1/(Amendoim!$E49:INDEX(Amendoim!$E49:$Z49,MIN(U$6-$G$3,22))&lt;&gt;""),Amendoim!$E49:INDEX(Amendoim!$E49:$Z49,MIN(U$6-$G$3,22))),0)))))</f>
        <v>0</v>
      </c>
      <c r="V51" s="27" t="n">
        <f aca="false">IF(COUNT(Amendoim!$E49:$Z49)=0,0,MAX(0,IF((V$6-$E$3)&lt;1,0,IFERROR(LOOKUP(2,1/(Amendoim!$E49:INDEX(Amendoim!$E49:$Z49,MIN(V$6-$E$3,22))&lt;&gt;""),Amendoim!$E49:INDEX(Amendoim!$E49:$Z49,MIN(V$6-$E$3,22))),0))-IF($G$2,0,IF((V$6-$G$3)&lt;1,0,IFERROR(LOOKUP(2,1/(Amendoim!$E49:INDEX(Amendoim!$E49:$Z49,MIN(V$6-$G$3,22))&lt;&gt;""),Amendoim!$E49:INDEX(Amendoim!$E49:$Z49,MIN(V$6-$G$3,22))),0)))))</f>
        <v>0</v>
      </c>
      <c r="W51" s="27" t="n">
        <f aca="false">IF(COUNT(Amendoim!$E49:$Z49)=0,0,MAX(0,IF((W$6-$E$3)&lt;1,0,IFERROR(LOOKUP(2,1/(Amendoim!$E49:INDEX(Amendoim!$E49:$Z49,MIN(W$6-$E$3,22))&lt;&gt;""),Amendoim!$E49:INDEX(Amendoim!$E49:$Z49,MIN(W$6-$E$3,22))),0))-IF($G$2,0,IF((W$6-$G$3)&lt;1,0,IFERROR(LOOKUP(2,1/(Amendoim!$E49:INDEX(Amendoim!$E49:$Z49,MIN(W$6-$G$3,22))&lt;&gt;""),Amendoim!$E49:INDEX(Amendoim!$E49:$Z49,MIN(W$6-$G$3,22))),0)))))</f>
        <v>0</v>
      </c>
      <c r="X51" s="27" t="n">
        <f aca="false">IF(COUNT(Amendoim!$E49:$Z49)=0,0,MAX(0,IF((X$6-$E$3)&lt;1,0,IFERROR(LOOKUP(2,1/(Amendoim!$E49:INDEX(Amendoim!$E49:$Z49,MIN(X$6-$E$3,22))&lt;&gt;""),Amendoim!$E49:INDEX(Amendoim!$E49:$Z49,MIN(X$6-$E$3,22))),0))-IF($G$2,0,IF((X$6-$G$3)&lt;1,0,IFERROR(LOOKUP(2,1/(Amendoim!$E49:INDEX(Amendoim!$E49:$Z49,MIN(X$6-$G$3,22))&lt;&gt;""),Amendoim!$E49:INDEX(Amendoim!$E49:$Z49,MIN(X$6-$G$3,22))),0)))))</f>
        <v>0</v>
      </c>
      <c r="Y51" s="27" t="n">
        <f aca="false">IF(COUNT(Amendoim!$E49:$Z49)=0,0,MAX(0,IF((Y$6-$E$3)&lt;1,0,IFERROR(LOOKUP(2,1/(Amendoim!$E49:INDEX(Amendoim!$E49:$Z49,MIN(Y$6-$E$3,22))&lt;&gt;""),Amendoim!$E49:INDEX(Amendoim!$E49:$Z49,MIN(Y$6-$E$3,22))),0))-IF($G$2,0,IF((Y$6-$G$3)&lt;1,0,IFERROR(LOOKUP(2,1/(Amendoim!$E49:INDEX(Amendoim!$E49:$Z49,MIN(Y$6-$G$3,22))&lt;&gt;""),Amendoim!$E49:INDEX(Amendoim!$E49:$Z49,MIN(Y$6-$G$3,22))),0)))))</f>
        <v>0</v>
      </c>
      <c r="Z51" s="27" t="n">
        <f aca="false">IF(COUNT(Amendoim!$E49:$Z49)=0,0,MAX(0,IF((Z$6-$E$3)&lt;1,0,IFERROR(LOOKUP(2,1/(Amendoim!$E49:INDEX(Amendoim!$E49:$Z49,MIN(Z$6-$E$3,22))&lt;&gt;""),Amendoim!$E49:INDEX(Amendoim!$E49:$Z49,MIN(Z$6-$E$3,22))),0))-IF($G$2,0,IF((Z$6-$G$3)&lt;1,0,IFERROR(LOOKUP(2,1/(Amendoim!$E49:INDEX(Amendoim!$E49:$Z49,MIN(Z$6-$G$3,22))&lt;&gt;""),Amendoim!$E49:INDEX(Amendoim!$E49:$Z49,MIN(Z$6-$G$3,22))),0)))))</f>
        <v>0</v>
      </c>
      <c r="AA51" s="27" t="n">
        <f aca="false">IF(COUNT(Amendoim!$E49:$Z49)=0,0,MAX(0,IF((AA$6-$E$3)&lt;1,0,IFERROR(LOOKUP(2,1/(Amendoim!$E49:INDEX(Amendoim!$E49:$Z49,MIN(AA$6-$E$3,22))&lt;&gt;""),Amendoim!$E49:INDEX(Amendoim!$E49:$Z49,MIN(AA$6-$E$3,22))),0))-IF($G$2,0,IF((AA$6-$G$3)&lt;1,0,IFERROR(LOOKUP(2,1/(Amendoim!$E49:INDEX(Amendoim!$E49:$Z49,MIN(AA$6-$G$3,22))&lt;&gt;""),Amendoim!$E49:INDEX(Amendoim!$E49:$Z49,MIN(AA$6-$G$3,22))),0)))))</f>
        <v>0</v>
      </c>
      <c r="AB51" s="27" t="n">
        <f aca="false">IF(COUNT(Amendoim!$E49:$Z49)=0,0,MAX(0,IF((AB$6-$E$3)&lt;1,0,IFERROR(LOOKUP(2,1/(Amendoim!$E49:INDEX(Amendoim!$E49:$Z49,MIN(AB$6-$E$3,22))&lt;&gt;""),Amendoim!$E49:INDEX(Amendoim!$E49:$Z49,MIN(AB$6-$E$3,22))),0))-IF($G$2,0,IF((AB$6-$G$3)&lt;1,0,IFERROR(LOOKUP(2,1/(Amendoim!$E49:INDEX(Amendoim!$E49:$Z49,MIN(AB$6-$G$3,22))&lt;&gt;""),Amendoim!$E49:INDEX(Amendoim!$E49:$Z49,MIN(AB$6-$G$3,22))),0)))))</f>
        <v>0</v>
      </c>
      <c r="AC51" s="27" t="n">
        <f aca="false">IF(COUNT(Amendoim!$E49:$Z49)=0,0,MAX(0,IF((AC$6-$E$3)&lt;1,0,IFERROR(LOOKUP(2,1/(Amendoim!$E49:INDEX(Amendoim!$E49:$Z49,MIN(AC$6-$E$3,22))&lt;&gt;""),Amendoim!$E49:INDEX(Amendoim!$E49:$Z49,MIN(AC$6-$E$3,22))),0))-IF($G$2,0,IF((AC$6-$G$3)&lt;1,0,IFERROR(LOOKUP(2,1/(Amendoim!$E49:INDEX(Amendoim!$E49:$Z49,MIN(AC$6-$G$3,22))&lt;&gt;""),Amendoim!$E49:INDEX(Amendoim!$E49:$Z49,MIN(AC$6-$G$3,22))),0)))))</f>
        <v>0</v>
      </c>
      <c r="AD51" s="27" t="n">
        <f aca="false">IF(COUNT(Amendoim!$E49:$Z49)=0,0,MAX(0,IF((AD$6-$E$3)&lt;1,0,IFERROR(LOOKUP(2,1/(Amendoim!$E49:INDEX(Amendoim!$E49:$Z49,MIN(AD$6-$E$3,22))&lt;&gt;""),Amendoim!$E49:INDEX(Amendoim!$E49:$Z49,MIN(AD$6-$E$3,22))),0))-IF($G$2,0,IF((AD$6-$G$3)&lt;1,0,IFERROR(LOOKUP(2,1/(Amendoim!$E49:INDEX(Amendoim!$E49:$Z49,MIN(AD$6-$G$3,22))&lt;&gt;""),Amendoim!$E49:INDEX(Amendoim!$E49:$Z49,MIN(AD$6-$G$3,22))),0)))))</f>
        <v>0</v>
      </c>
      <c r="AE51" s="27" t="n">
        <f aca="false">IF(COUNT(Amendoim!$E49:$Z49)=0,0,MAX(0,IF((AE$6-$E$3)&lt;1,0,IFERROR(LOOKUP(2,1/(Amendoim!$E49:INDEX(Amendoim!$E49:$Z49,MIN(AE$6-$E$3,22))&lt;&gt;""),Amendoim!$E49:INDEX(Amendoim!$E49:$Z49,MIN(AE$6-$E$3,22))),0))-IF($G$2,0,IF((AE$6-$G$3)&lt;1,0,IFERROR(LOOKUP(2,1/(Amendoim!$E49:INDEX(Amendoim!$E49:$Z49,MIN(AE$6-$G$3,22))&lt;&gt;""),Amendoim!$E49:INDEX(Amendoim!$E49:$Z49,MIN(AE$6-$G$3,22))),0)))))</f>
        <v>0</v>
      </c>
      <c r="AF51" s="27" t="n">
        <f aca="false">IF(COUNT(Amendoim!$E49:$Z49)=0,0,MAX(0,IF((AF$6-$E$3)&lt;1,0,IFERROR(LOOKUP(2,1/(Amendoim!$E49:INDEX(Amendoim!$E49:$Z49,MIN(AF$6-$E$3,22))&lt;&gt;""),Amendoim!$E49:INDEX(Amendoim!$E49:$Z49,MIN(AF$6-$E$3,22))),0))-IF($G$2,0,IF((AF$6-$G$3)&lt;1,0,IFERROR(LOOKUP(2,1/(Amendoim!$E49:INDEX(Amendoim!$E49:$Z49,MIN(AF$6-$G$3,22))&lt;&gt;""),Amendoim!$E49:INDEX(Amendoim!$E49:$Z49,MIN(AF$6-$G$3,22))),0)))))</f>
        <v>0</v>
      </c>
      <c r="AG51" s="27" t="n">
        <f aca="false">IF(COUNT(Amendoim!$E49:$Z49)=0,0,MAX(0,IF((AG$6-$E$3)&lt;1,0,IFERROR(LOOKUP(2,1/(Amendoim!$E49:INDEX(Amendoim!$E49:$Z49,MIN(AG$6-$E$3,22))&lt;&gt;""),Amendoim!$E49:INDEX(Amendoim!$E49:$Z49,MIN(AG$6-$E$3,22))),0))-IF($G$2,0,IF((AG$6-$G$3)&lt;1,0,IFERROR(LOOKUP(2,1/(Amendoim!$E49:INDEX(Amendoim!$E49:$Z49,MIN(AG$6-$G$3,22))&lt;&gt;""),Amendoim!$E49:INDEX(Amendoim!$E49:$Z49,MIN(AG$6-$G$3,22))),0)))))</f>
        <v>0</v>
      </c>
      <c r="AH51" s="27" t="n">
        <f aca="false">IF(COUNT(Amendoim!$E49:$Z49)=0,0,MAX(0,IF((AH$6-$E$3)&lt;1,0,IFERROR(LOOKUP(2,1/(Amendoim!$E49:INDEX(Amendoim!$E49:$Z49,MIN(AH$6-$E$3,22))&lt;&gt;""),Amendoim!$E49:INDEX(Amendoim!$E49:$Z49,MIN(AH$6-$E$3,22))),0))-IF($G$2,0,IF((AH$6-$G$3)&lt;1,0,IFERROR(LOOKUP(2,1/(Amendoim!$E49:INDEX(Amendoim!$E49:$Z49,MIN(AH$6-$G$3,22))&lt;&gt;""),Amendoim!$E49:INDEX(Amendoim!$E49:$Z49,MIN(AH$6-$G$3,22))),0)))))</f>
        <v>0</v>
      </c>
      <c r="AI51" s="27" t="n">
        <f aca="false">IF(COUNT(Amendoim!$E49:$Z49)=0,0,MAX(0,IF((AI$6-$E$3)&lt;1,0,IFERROR(LOOKUP(2,1/(Amendoim!$E49:INDEX(Amendoim!$E49:$Z49,MIN(AI$6-$E$3,22))&lt;&gt;""),Amendoim!$E49:INDEX(Amendoim!$E49:$Z49,MIN(AI$6-$E$3,22))),0))-IF($G$2,0,IF((AI$6-$G$3)&lt;1,0,IFERROR(LOOKUP(2,1/(Amendoim!$E49:INDEX(Amendoim!$E49:$Z49,MIN(AI$6-$G$3,22))&lt;&gt;""),Amendoim!$E49:INDEX(Amendoim!$E49:$Z49,MIN(AI$6-$G$3,22))),0)))))</f>
        <v>0</v>
      </c>
      <c r="AJ51" s="27" t="n">
        <f aca="false">IF(COUNT(Amendoim!$E49:$Z49)=0,0,MAX(0,IF((AJ$6-$E$3)&lt;1,0,IFERROR(LOOKUP(2,1/(Amendoim!$E49:INDEX(Amendoim!$E49:$Z49,MIN(AJ$6-$E$3,22))&lt;&gt;""),Amendoim!$E49:INDEX(Amendoim!$E49:$Z49,MIN(AJ$6-$E$3,22))),0))-IF($G$2,0,IF((AJ$6-$G$3)&lt;1,0,IFERROR(LOOKUP(2,1/(Amendoim!$E49:INDEX(Amendoim!$E49:$Z49,MIN(AJ$6-$G$3,22))&lt;&gt;""),Amendoim!$E49:INDEX(Amendoim!$E49:$Z49,MIN(AJ$6-$G$3,22))),0)))))</f>
        <v>0</v>
      </c>
      <c r="AK51" s="27" t="n">
        <f aca="false">IF(COUNT(Amendoim!$E49:$Z49)=0,0,MAX(0,IF((AK$6-$E$3)&lt;1,0,IFERROR(LOOKUP(2,1/(Amendoim!$E49:INDEX(Amendoim!$E49:$Z49,MIN(AK$6-$E$3,22))&lt;&gt;""),Amendoim!$E49:INDEX(Amendoim!$E49:$Z49,MIN(AK$6-$E$3,22))),0))-IF($G$2,0,IF((AK$6-$G$3)&lt;1,0,IFERROR(LOOKUP(2,1/(Amendoim!$E49:INDEX(Amendoim!$E49:$Z49,MIN(AK$6-$G$3,22))&lt;&gt;""),Amendoim!$E49:INDEX(Amendoim!$E49:$Z49,MIN(AK$6-$G$3,22))),0)))))</f>
        <v>0</v>
      </c>
      <c r="AL51" s="27" t="n">
        <f aca="false">IF(COUNT(Amendoim!$E49:$Z49)=0,0,MAX(0,IF((AL$6-$E$3)&lt;1,0,IFERROR(LOOKUP(2,1/(Amendoim!$E49:INDEX(Amendoim!$E49:$Z49,MIN(AL$6-$E$3,22))&lt;&gt;""),Amendoim!$E49:INDEX(Amendoim!$E49:$Z49,MIN(AL$6-$E$3,22))),0))-IF($G$2,0,IF((AL$6-$G$3)&lt;1,0,IFERROR(LOOKUP(2,1/(Amendoim!$E49:INDEX(Amendoim!$E49:$Z49,MIN(AL$6-$G$3,22))&lt;&gt;""),Amendoim!$E49:INDEX(Amendoim!$E49:$Z49,MIN(AL$6-$G$3,22))),0)))))</f>
        <v>0</v>
      </c>
      <c r="AM51" s="27" t="n">
        <f aca="false">IF(COUNT(Amendoim!$E49:$Z49)=0,0,MAX(0,IF((AM$6-$E$3)&lt;1,0,IFERROR(LOOKUP(2,1/(Amendoim!$E49:INDEX(Amendoim!$E49:$Z49,MIN(AM$6-$E$3,22))&lt;&gt;""),Amendoim!$E49:INDEX(Amendoim!$E49:$Z49,MIN(AM$6-$E$3,22))),0))-IF($G$2,0,IF((AM$6-$G$3)&lt;1,0,IFERROR(LOOKUP(2,1/(Amendoim!$E49:INDEX(Amendoim!$E49:$Z49,MIN(AM$6-$G$3,22))&lt;&gt;""),Amendoim!$E49:INDEX(Amendoim!$E49:$Z49,MIN(AM$6-$G$3,22))),0)))))</f>
        <v>0</v>
      </c>
      <c r="AN51" s="27" t="n">
        <f aca="false">IF(COUNT(Amendoim!$E49:$Z49)=0,0,MAX(0,IF((AN$6-$E$3)&lt;1,0,IFERROR(LOOKUP(2,1/(Amendoim!$E49:INDEX(Amendoim!$E49:$Z49,MIN(AN$6-$E$3,22))&lt;&gt;""),Amendoim!$E49:INDEX(Amendoim!$E49:$Z49,MIN(AN$6-$E$3,22))),0))-IF($G$2,0,IF((AN$6-$G$3)&lt;1,0,IFERROR(LOOKUP(2,1/(Amendoim!$E49:INDEX(Amendoim!$E49:$Z49,MIN(AN$6-$G$3,22))&lt;&gt;""),Amendoim!$E49:INDEX(Amendoim!$E49:$Z49,MIN(AN$6-$G$3,22))),0)))))</f>
        <v>0</v>
      </c>
      <c r="AO51" s="27" t="n">
        <f aca="false">IF(COUNT(Amendoim!$E49:$Z49)=0,0,MAX(0,IF((AO$6-$E$3)&lt;1,0,IFERROR(LOOKUP(2,1/(Amendoim!$E49:INDEX(Amendoim!$E49:$Z49,MIN(AO$6-$E$3,22))&lt;&gt;""),Amendoim!$E49:INDEX(Amendoim!$E49:$Z49,MIN(AO$6-$E$3,22))),0))-IF($G$2,0,IF((AO$6-$G$3)&lt;1,0,IFERROR(LOOKUP(2,1/(Amendoim!$E49:INDEX(Amendoim!$E49:$Z49,MIN(AO$6-$G$3,22))&lt;&gt;""),Amendoim!$E49:INDEX(Amendoim!$E49:$Z49,MIN(AO$6-$G$3,22))),0)))))</f>
        <v>0</v>
      </c>
      <c r="AP51" s="27" t="n">
        <f aca="false">IF(COUNT(Amendoim!$E49:$Z49)=0,0,MAX(0,IF((AP$6-$E$3)&lt;1,0,IFERROR(LOOKUP(2,1/(Amendoim!$E49:INDEX(Amendoim!$E49:$Z49,MIN(AP$6-$E$3,22))&lt;&gt;""),Amendoim!$E49:INDEX(Amendoim!$E49:$Z49,MIN(AP$6-$E$3,22))),0))-IF($G$2,0,IF((AP$6-$G$3)&lt;1,0,IFERROR(LOOKUP(2,1/(Amendoim!$E49:INDEX(Amendoim!$E49:$Z49,MIN(AP$6-$G$3,22))&lt;&gt;""),Amendoim!$E49:INDEX(Amendoim!$E49:$Z49,MIN(AP$6-$G$3,22))),0)))))</f>
        <v>0</v>
      </c>
      <c r="AQ51" s="27" t="n">
        <f aca="false">IF(COUNT(Amendoim!$E49:$Z49)=0,0,MAX(0,IF((AQ$6-$E$3)&lt;1,0,IFERROR(LOOKUP(2,1/(Amendoim!$E49:INDEX(Amendoim!$E49:$Z49,MIN(AQ$6-$E$3,22))&lt;&gt;""),Amendoim!$E49:INDEX(Amendoim!$E49:$Z49,MIN(AQ$6-$E$3,22))),0))-IF($G$2,0,IF((AQ$6-$G$3)&lt;1,0,IFERROR(LOOKUP(2,1/(Amendoim!$E49:INDEX(Amendoim!$E49:$Z49,MIN(AQ$6-$G$3,22))&lt;&gt;""),Amendoim!$E49:INDEX(Amendoim!$E49:$Z49,MIN(AQ$6-$G$3,22))),0)))))</f>
        <v>0</v>
      </c>
      <c r="AR51" s="27" t="n">
        <f aca="false">IF(COUNT(Amendoim!$E49:$Z49)=0,0,MAX(0,IF((AR$6-$E$3)&lt;1,0,IFERROR(LOOKUP(2,1/(Amendoim!$E49:INDEX(Amendoim!$E49:$Z49,MIN(AR$6-$E$3,22))&lt;&gt;""),Amendoim!$E49:INDEX(Amendoim!$E49:$Z49,MIN(AR$6-$E$3,22))),0))-IF($G$2,0,IF((AR$6-$G$3)&lt;1,0,IFERROR(LOOKUP(2,1/(Amendoim!$E49:INDEX(Amendoim!$E49:$Z49,MIN(AR$6-$G$3,22))&lt;&gt;""),Amendoim!$E49:INDEX(Amendoim!$E49:$Z49,MIN(AR$6-$G$3,22))),0)))))</f>
        <v>0</v>
      </c>
      <c r="AS51" s="27" t="n">
        <f aca="false">IF(COUNT(Amendoim!$E49:$Z49)=0,0,MAX(0,IF((AS$6-$E$3)&lt;1,0,IFERROR(LOOKUP(2,1/(Amendoim!$E49:INDEX(Amendoim!$E49:$Z49,MIN(AS$6-$E$3,22))&lt;&gt;""),Amendoim!$E49:INDEX(Amendoim!$E49:$Z49,MIN(AS$6-$E$3,22))),0))-IF($G$2,0,IF((AS$6-$G$3)&lt;1,0,IFERROR(LOOKUP(2,1/(Amendoim!$E49:INDEX(Amendoim!$E49:$Z49,MIN(AS$6-$G$3,22))&lt;&gt;""),Amendoim!$E49:INDEX(Amendoim!$E49:$Z49,MIN(AS$6-$G$3,22))),0)))))</f>
        <v>0</v>
      </c>
      <c r="AT51" s="27" t="n">
        <f aca="false">IF(COUNT(Amendoim!$E49:$Z49)=0,0,MAX(0,IF((AT$6-$E$3)&lt;1,0,IFERROR(LOOKUP(2,1/(Amendoim!$E49:INDEX(Amendoim!$E49:$Z49,MIN(AT$6-$E$3,22))&lt;&gt;""),Amendoim!$E49:INDEX(Amendoim!$E49:$Z49,MIN(AT$6-$E$3,22))),0))-IF($G$2,0,IF((AT$6-$G$3)&lt;1,0,IFERROR(LOOKUP(2,1/(Amendoim!$E49:INDEX(Amendoim!$E49:$Z49,MIN(AT$6-$G$3,22))&lt;&gt;""),Amendoim!$E49:INDEX(Amendoim!$E49:$Z49,MIN(AT$6-$G$3,22))),0)))))</f>
        <v>0</v>
      </c>
      <c r="AU51" s="27" t="n">
        <f aca="false">IF(COUNT(Amendoim!$E49:$Z49)=0,0,MAX(0,IF((AU$6-$E$3)&lt;1,0,IFERROR(LOOKUP(2,1/(Amendoim!$E49:INDEX(Amendoim!$E49:$Z49,MIN(AU$6-$E$3,22))&lt;&gt;""),Amendoim!$E49:INDEX(Amendoim!$E49:$Z49,MIN(AU$6-$E$3,22))),0))-IF($G$2,0,IF((AU$6-$G$3)&lt;1,0,IFERROR(LOOKUP(2,1/(Amendoim!$E49:INDEX(Amendoim!$E49:$Z49,MIN(AU$6-$G$3,22))&lt;&gt;""),Amendoim!$E49:INDEX(Amendoim!$E49:$Z49,MIN(AU$6-$G$3,22))),0)))))</f>
        <v>0</v>
      </c>
      <c r="AV51" s="27" t="n">
        <f aca="false">IF(COUNT(Amendoim!$E49:$Z49)=0,0,MAX(0,IF((AV$6-$E$3)&lt;1,0,IFERROR(LOOKUP(2,1/(Amendoim!$E49:INDEX(Amendoim!$E49:$Z49,MIN(AV$6-$E$3,22))&lt;&gt;""),Amendoim!$E49:INDEX(Amendoim!$E49:$Z49,MIN(AV$6-$E$3,22))),0))-IF($G$2,0,IF((AV$6-$G$3)&lt;1,0,IFERROR(LOOKUP(2,1/(Amendoim!$E49:INDEX(Amendoim!$E49:$Z49,MIN(AV$6-$G$3,22))&lt;&gt;""),Amendoim!$E49:INDEX(Amendoim!$E49:$Z49,MIN(AV$6-$G$3,22))),0)))))</f>
        <v>0</v>
      </c>
      <c r="AW51" s="27" t="n">
        <f aca="false">IF(COUNT(Amendoim!$E49:$Z49)=0,0,MAX(0,IF((AW$6-$E$3)&lt;1,0,IFERROR(LOOKUP(2,1/(Amendoim!$E49:INDEX(Amendoim!$E49:$Z49,MIN(AW$6-$E$3,22))&lt;&gt;""),Amendoim!$E49:INDEX(Amendoim!$E49:$Z49,MIN(AW$6-$E$3,22))),0))-IF($G$2,0,IF((AW$6-$G$3)&lt;1,0,IFERROR(LOOKUP(2,1/(Amendoim!$E49:INDEX(Amendoim!$E49:$Z49,MIN(AW$6-$G$3,22))&lt;&gt;""),Amendoim!$E49:INDEX(Amendoim!$E49:$Z49,MIN(AW$6-$G$3,22))),0)))))</f>
        <v>0</v>
      </c>
      <c r="AX51" s="27" t="n">
        <f aca="false">IF(COUNT(Amendoim!$E49:$Z49)=0,0,MAX(0,IF((AX$6-$E$3)&lt;1,0,IFERROR(LOOKUP(2,1/(Amendoim!$E49:INDEX(Amendoim!$E49:$Z49,MIN(AX$6-$E$3,22))&lt;&gt;""),Amendoim!$E49:INDEX(Amendoim!$E49:$Z49,MIN(AX$6-$E$3,22))),0))-IF($G$2,0,IF((AX$6-$G$3)&lt;1,0,IFERROR(LOOKUP(2,1/(Amendoim!$E49:INDEX(Amendoim!$E49:$Z49,MIN(AX$6-$G$3,22))&lt;&gt;""),Amendoim!$E49:INDEX(Amendoim!$E49:$Z49,MIN(AX$6-$G$3,22))),0)))))</f>
        <v>0</v>
      </c>
      <c r="AY51" s="27" t="n">
        <f aca="false">IF(COUNT(Amendoim!$E49:$Z49)=0,0,MAX(0,IF((AY$6-$E$3)&lt;1,0,IFERROR(LOOKUP(2,1/(Amendoim!$E49:INDEX(Amendoim!$E49:$Z49,MIN(AY$6-$E$3,22))&lt;&gt;""),Amendoim!$E49:INDEX(Amendoim!$E49:$Z49,MIN(AY$6-$E$3,22))),0))-IF($G$2,0,IF((AY$6-$G$3)&lt;1,0,IFERROR(LOOKUP(2,1/(Amendoim!$E49:INDEX(Amendoim!$E49:$Z49,MIN(AY$6-$G$3,22))&lt;&gt;""),Amendoim!$E49:INDEX(Amendoim!$E49:$Z49,MIN(AY$6-$G$3,22))),0)))))</f>
        <v>0</v>
      </c>
      <c r="AZ51" s="27" t="n">
        <f aca="false">IF(COUNT(Amendoim!$E49:$Z49)=0,0,MAX(0,IF((AZ$6-$E$3)&lt;1,0,IFERROR(LOOKUP(2,1/(Amendoim!$E49:INDEX(Amendoim!$E49:$Z49,MIN(AZ$6-$E$3,22))&lt;&gt;""),Amendoim!$E49:INDEX(Amendoim!$E49:$Z49,MIN(AZ$6-$E$3,22))),0))-IF($G$2,0,IF((AZ$6-$G$3)&lt;1,0,IFERROR(LOOKUP(2,1/(Amendoim!$E49:INDEX(Amendoim!$E49:$Z49,MIN(AZ$6-$G$3,22))&lt;&gt;""),Amendoim!$E49:INDEX(Amendoim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IF(COUNT(Amendoim!$E50:$Z50)&gt;0,N(Amendoim!$D50),0)</f>
        <v>0</v>
      </c>
      <c r="E52" s="27" t="n">
        <f aca="false">IF(COUNT(Amendoim!$E50:$Z50)=0,0,MAX(0,IF((E$6-$E$3)&lt;1,0,IFERROR(LOOKUP(2,1/(Amendoim!$E50:INDEX(Amendoim!$E50:$Z50,MIN(E$6-$E$3,22))&lt;&gt;""),Amendoim!$E50:INDEX(Amendoim!$E50:$Z50,MIN(E$6-$E$3,22))),0))-IF($G$2,0,IF((E$6-$G$3)&lt;1,0,IFERROR(LOOKUP(2,1/(Amendoim!$E50:INDEX(Amendoim!$E50:$Z50,MIN(E$6-$G$3,22))&lt;&gt;""),Amendoim!$E50:INDEX(Amendoim!$E50:$Z50,MIN(E$6-$G$3,22))),0)))))</f>
        <v>0</v>
      </c>
      <c r="F52" s="27" t="n">
        <f aca="false">IF(COUNT(Amendoim!$E50:$Z50)=0,0,MAX(0,IF((F$6-$E$3)&lt;1,0,IFERROR(LOOKUP(2,1/(Amendoim!$E50:INDEX(Amendoim!$E50:$Z50,MIN(F$6-$E$3,22))&lt;&gt;""),Amendoim!$E50:INDEX(Amendoim!$E50:$Z50,MIN(F$6-$E$3,22))),0))-IF($G$2,0,IF((F$6-$G$3)&lt;1,0,IFERROR(LOOKUP(2,1/(Amendoim!$E50:INDEX(Amendoim!$E50:$Z50,MIN(F$6-$G$3,22))&lt;&gt;""),Amendoim!$E50:INDEX(Amendoim!$E50:$Z50,MIN(F$6-$G$3,22))),0)))))</f>
        <v>0</v>
      </c>
      <c r="G52" s="27" t="n">
        <f aca="false">IF(COUNT(Amendoim!$E50:$Z50)=0,0,MAX(0,IF((G$6-$E$3)&lt;1,0,IFERROR(LOOKUP(2,1/(Amendoim!$E50:INDEX(Amendoim!$E50:$Z50,MIN(G$6-$E$3,22))&lt;&gt;""),Amendoim!$E50:INDEX(Amendoim!$E50:$Z50,MIN(G$6-$E$3,22))),0))-IF($G$2,0,IF((G$6-$G$3)&lt;1,0,IFERROR(LOOKUP(2,1/(Amendoim!$E50:INDEX(Amendoim!$E50:$Z50,MIN(G$6-$G$3,22))&lt;&gt;""),Amendoim!$E50:INDEX(Amendoim!$E50:$Z50,MIN(G$6-$G$3,22))),0)))))</f>
        <v>0</v>
      </c>
      <c r="H52" s="27" t="n">
        <f aca="false">IF(COUNT(Amendoim!$E50:$Z50)=0,0,MAX(0,IF((H$6-$E$3)&lt;1,0,IFERROR(LOOKUP(2,1/(Amendoim!$E50:INDEX(Amendoim!$E50:$Z50,MIN(H$6-$E$3,22))&lt;&gt;""),Amendoim!$E50:INDEX(Amendoim!$E50:$Z50,MIN(H$6-$E$3,22))),0))-IF($G$2,0,IF((H$6-$G$3)&lt;1,0,IFERROR(LOOKUP(2,1/(Amendoim!$E50:INDEX(Amendoim!$E50:$Z50,MIN(H$6-$G$3,22))&lt;&gt;""),Amendoim!$E50:INDEX(Amendoim!$E50:$Z50,MIN(H$6-$G$3,22))),0)))))</f>
        <v>0</v>
      </c>
      <c r="I52" s="27" t="n">
        <f aca="false">IF(COUNT(Amendoim!$E50:$Z50)=0,0,MAX(0,IF((I$6-$E$3)&lt;1,0,IFERROR(LOOKUP(2,1/(Amendoim!$E50:INDEX(Amendoim!$E50:$Z50,MIN(I$6-$E$3,22))&lt;&gt;""),Amendoim!$E50:INDEX(Amendoim!$E50:$Z50,MIN(I$6-$E$3,22))),0))-IF($G$2,0,IF((I$6-$G$3)&lt;1,0,IFERROR(LOOKUP(2,1/(Amendoim!$E50:INDEX(Amendoim!$E50:$Z50,MIN(I$6-$G$3,22))&lt;&gt;""),Amendoim!$E50:INDEX(Amendoim!$E50:$Z50,MIN(I$6-$G$3,22))),0)))))</f>
        <v>0</v>
      </c>
      <c r="J52" s="27" t="n">
        <f aca="false">IF(COUNT(Amendoim!$E50:$Z50)=0,0,MAX(0,IF((J$6-$E$3)&lt;1,0,IFERROR(LOOKUP(2,1/(Amendoim!$E50:INDEX(Amendoim!$E50:$Z50,MIN(J$6-$E$3,22))&lt;&gt;""),Amendoim!$E50:INDEX(Amendoim!$E50:$Z50,MIN(J$6-$E$3,22))),0))-IF($G$2,0,IF((J$6-$G$3)&lt;1,0,IFERROR(LOOKUP(2,1/(Amendoim!$E50:INDEX(Amendoim!$E50:$Z50,MIN(J$6-$G$3,22))&lt;&gt;""),Amendoim!$E50:INDEX(Amendoim!$E50:$Z50,MIN(J$6-$G$3,22))),0)))))</f>
        <v>0</v>
      </c>
      <c r="K52" s="27" t="n">
        <f aca="false">IF(COUNT(Amendoim!$E50:$Z50)=0,0,MAX(0,IF((K$6-$E$3)&lt;1,0,IFERROR(LOOKUP(2,1/(Amendoim!$E50:INDEX(Amendoim!$E50:$Z50,MIN(K$6-$E$3,22))&lt;&gt;""),Amendoim!$E50:INDEX(Amendoim!$E50:$Z50,MIN(K$6-$E$3,22))),0))-IF($G$2,0,IF((K$6-$G$3)&lt;1,0,IFERROR(LOOKUP(2,1/(Amendoim!$E50:INDEX(Amendoim!$E50:$Z50,MIN(K$6-$G$3,22))&lt;&gt;""),Amendoim!$E50:INDEX(Amendoim!$E50:$Z50,MIN(K$6-$G$3,22))),0)))))</f>
        <v>0</v>
      </c>
      <c r="L52" s="27" t="n">
        <f aca="false">IF(COUNT(Amendoim!$E50:$Z50)=0,0,MAX(0,IF((L$6-$E$3)&lt;1,0,IFERROR(LOOKUP(2,1/(Amendoim!$E50:INDEX(Amendoim!$E50:$Z50,MIN(L$6-$E$3,22))&lt;&gt;""),Amendoim!$E50:INDEX(Amendoim!$E50:$Z50,MIN(L$6-$E$3,22))),0))-IF($G$2,0,IF((L$6-$G$3)&lt;1,0,IFERROR(LOOKUP(2,1/(Amendoim!$E50:INDEX(Amendoim!$E50:$Z50,MIN(L$6-$G$3,22))&lt;&gt;""),Amendoim!$E50:INDEX(Amendoim!$E50:$Z50,MIN(L$6-$G$3,22))),0)))))</f>
        <v>0</v>
      </c>
      <c r="M52" s="27" t="n">
        <f aca="false">IF(COUNT(Amendoim!$E50:$Z50)=0,0,MAX(0,IF((M$6-$E$3)&lt;1,0,IFERROR(LOOKUP(2,1/(Amendoim!$E50:INDEX(Amendoim!$E50:$Z50,MIN(M$6-$E$3,22))&lt;&gt;""),Amendoim!$E50:INDEX(Amendoim!$E50:$Z50,MIN(M$6-$E$3,22))),0))-IF($G$2,0,IF((M$6-$G$3)&lt;1,0,IFERROR(LOOKUP(2,1/(Amendoim!$E50:INDEX(Amendoim!$E50:$Z50,MIN(M$6-$G$3,22))&lt;&gt;""),Amendoim!$E50:INDEX(Amendoim!$E50:$Z50,MIN(M$6-$G$3,22))),0)))))</f>
        <v>0</v>
      </c>
      <c r="N52" s="27" t="n">
        <f aca="false">IF(COUNT(Amendoim!$E50:$Z50)=0,0,MAX(0,IF((N$6-$E$3)&lt;1,0,IFERROR(LOOKUP(2,1/(Amendoim!$E50:INDEX(Amendoim!$E50:$Z50,MIN(N$6-$E$3,22))&lt;&gt;""),Amendoim!$E50:INDEX(Amendoim!$E50:$Z50,MIN(N$6-$E$3,22))),0))-IF($G$2,0,IF((N$6-$G$3)&lt;1,0,IFERROR(LOOKUP(2,1/(Amendoim!$E50:INDEX(Amendoim!$E50:$Z50,MIN(N$6-$G$3,22))&lt;&gt;""),Amendoim!$E50:INDEX(Amendoim!$E50:$Z50,MIN(N$6-$G$3,22))),0)))))</f>
        <v>0</v>
      </c>
      <c r="O52" s="27" t="n">
        <f aca="false">IF(COUNT(Amendoim!$E50:$Z50)=0,0,MAX(0,IF((O$6-$E$3)&lt;1,0,IFERROR(LOOKUP(2,1/(Amendoim!$E50:INDEX(Amendoim!$E50:$Z50,MIN(O$6-$E$3,22))&lt;&gt;""),Amendoim!$E50:INDEX(Amendoim!$E50:$Z50,MIN(O$6-$E$3,22))),0))-IF($G$2,0,IF((O$6-$G$3)&lt;1,0,IFERROR(LOOKUP(2,1/(Amendoim!$E50:INDEX(Amendoim!$E50:$Z50,MIN(O$6-$G$3,22))&lt;&gt;""),Amendoim!$E50:INDEX(Amendoim!$E50:$Z50,MIN(O$6-$G$3,22))),0)))))</f>
        <v>0</v>
      </c>
      <c r="P52" s="27" t="n">
        <f aca="false">IF(COUNT(Amendoim!$E50:$Z50)=0,0,MAX(0,IF((P$6-$E$3)&lt;1,0,IFERROR(LOOKUP(2,1/(Amendoim!$E50:INDEX(Amendoim!$E50:$Z50,MIN(P$6-$E$3,22))&lt;&gt;""),Amendoim!$E50:INDEX(Amendoim!$E50:$Z50,MIN(P$6-$E$3,22))),0))-IF($G$2,0,IF((P$6-$G$3)&lt;1,0,IFERROR(LOOKUP(2,1/(Amendoim!$E50:INDEX(Amendoim!$E50:$Z50,MIN(P$6-$G$3,22))&lt;&gt;""),Amendoim!$E50:INDEX(Amendoim!$E50:$Z50,MIN(P$6-$G$3,22))),0)))))</f>
        <v>0</v>
      </c>
      <c r="Q52" s="27" t="n">
        <f aca="false">IF(COUNT(Amendoim!$E50:$Z50)=0,0,MAX(0,IF((Q$6-$E$3)&lt;1,0,IFERROR(LOOKUP(2,1/(Amendoim!$E50:INDEX(Amendoim!$E50:$Z50,MIN(Q$6-$E$3,22))&lt;&gt;""),Amendoim!$E50:INDEX(Amendoim!$E50:$Z50,MIN(Q$6-$E$3,22))),0))-IF($G$2,0,IF((Q$6-$G$3)&lt;1,0,IFERROR(LOOKUP(2,1/(Amendoim!$E50:INDEX(Amendoim!$E50:$Z50,MIN(Q$6-$G$3,22))&lt;&gt;""),Amendoim!$E50:INDEX(Amendoim!$E50:$Z50,MIN(Q$6-$G$3,22))),0)))))</f>
        <v>0</v>
      </c>
      <c r="R52" s="27" t="n">
        <f aca="false">IF(COUNT(Amendoim!$E50:$Z50)=0,0,MAX(0,IF((R$6-$E$3)&lt;1,0,IFERROR(LOOKUP(2,1/(Amendoim!$E50:INDEX(Amendoim!$E50:$Z50,MIN(R$6-$E$3,22))&lt;&gt;""),Amendoim!$E50:INDEX(Amendoim!$E50:$Z50,MIN(R$6-$E$3,22))),0))-IF($G$2,0,IF((R$6-$G$3)&lt;1,0,IFERROR(LOOKUP(2,1/(Amendoim!$E50:INDEX(Amendoim!$E50:$Z50,MIN(R$6-$G$3,22))&lt;&gt;""),Amendoim!$E50:INDEX(Amendoim!$E50:$Z50,MIN(R$6-$G$3,22))),0)))))</f>
        <v>0</v>
      </c>
      <c r="S52" s="27" t="n">
        <f aca="false">IF(COUNT(Amendoim!$E50:$Z50)=0,0,MAX(0,IF((S$6-$E$3)&lt;1,0,IFERROR(LOOKUP(2,1/(Amendoim!$E50:INDEX(Amendoim!$E50:$Z50,MIN(S$6-$E$3,22))&lt;&gt;""),Amendoim!$E50:INDEX(Amendoim!$E50:$Z50,MIN(S$6-$E$3,22))),0))-IF($G$2,0,IF((S$6-$G$3)&lt;1,0,IFERROR(LOOKUP(2,1/(Amendoim!$E50:INDEX(Amendoim!$E50:$Z50,MIN(S$6-$G$3,22))&lt;&gt;""),Amendoim!$E50:INDEX(Amendoim!$E50:$Z50,MIN(S$6-$G$3,22))),0)))))</f>
        <v>0</v>
      </c>
      <c r="T52" s="27" t="n">
        <f aca="false">IF(COUNT(Amendoim!$E50:$Z50)=0,0,MAX(0,IF((T$6-$E$3)&lt;1,0,IFERROR(LOOKUP(2,1/(Amendoim!$E50:INDEX(Amendoim!$E50:$Z50,MIN(T$6-$E$3,22))&lt;&gt;""),Amendoim!$E50:INDEX(Amendoim!$E50:$Z50,MIN(T$6-$E$3,22))),0))-IF($G$2,0,IF((T$6-$G$3)&lt;1,0,IFERROR(LOOKUP(2,1/(Amendoim!$E50:INDEX(Amendoim!$E50:$Z50,MIN(T$6-$G$3,22))&lt;&gt;""),Amendoim!$E50:INDEX(Amendoim!$E50:$Z50,MIN(T$6-$G$3,22))),0)))))</f>
        <v>0</v>
      </c>
      <c r="U52" s="27" t="n">
        <f aca="false">IF(COUNT(Amendoim!$E50:$Z50)=0,0,MAX(0,IF((U$6-$E$3)&lt;1,0,IFERROR(LOOKUP(2,1/(Amendoim!$E50:INDEX(Amendoim!$E50:$Z50,MIN(U$6-$E$3,22))&lt;&gt;""),Amendoim!$E50:INDEX(Amendoim!$E50:$Z50,MIN(U$6-$E$3,22))),0))-IF($G$2,0,IF((U$6-$G$3)&lt;1,0,IFERROR(LOOKUP(2,1/(Amendoim!$E50:INDEX(Amendoim!$E50:$Z50,MIN(U$6-$G$3,22))&lt;&gt;""),Amendoim!$E50:INDEX(Amendoim!$E50:$Z50,MIN(U$6-$G$3,22))),0)))))</f>
        <v>0</v>
      </c>
      <c r="V52" s="27" t="n">
        <f aca="false">IF(COUNT(Amendoim!$E50:$Z50)=0,0,MAX(0,IF((V$6-$E$3)&lt;1,0,IFERROR(LOOKUP(2,1/(Amendoim!$E50:INDEX(Amendoim!$E50:$Z50,MIN(V$6-$E$3,22))&lt;&gt;""),Amendoim!$E50:INDEX(Amendoim!$E50:$Z50,MIN(V$6-$E$3,22))),0))-IF($G$2,0,IF((V$6-$G$3)&lt;1,0,IFERROR(LOOKUP(2,1/(Amendoim!$E50:INDEX(Amendoim!$E50:$Z50,MIN(V$6-$G$3,22))&lt;&gt;""),Amendoim!$E50:INDEX(Amendoim!$E50:$Z50,MIN(V$6-$G$3,22))),0)))))</f>
        <v>0</v>
      </c>
      <c r="W52" s="27" t="n">
        <f aca="false">IF(COUNT(Amendoim!$E50:$Z50)=0,0,MAX(0,IF((W$6-$E$3)&lt;1,0,IFERROR(LOOKUP(2,1/(Amendoim!$E50:INDEX(Amendoim!$E50:$Z50,MIN(W$6-$E$3,22))&lt;&gt;""),Amendoim!$E50:INDEX(Amendoim!$E50:$Z50,MIN(W$6-$E$3,22))),0))-IF($G$2,0,IF((W$6-$G$3)&lt;1,0,IFERROR(LOOKUP(2,1/(Amendoim!$E50:INDEX(Amendoim!$E50:$Z50,MIN(W$6-$G$3,22))&lt;&gt;""),Amendoim!$E50:INDEX(Amendoim!$E50:$Z50,MIN(W$6-$G$3,22))),0)))))</f>
        <v>0</v>
      </c>
      <c r="X52" s="27" t="n">
        <f aca="false">IF(COUNT(Amendoim!$E50:$Z50)=0,0,MAX(0,IF((X$6-$E$3)&lt;1,0,IFERROR(LOOKUP(2,1/(Amendoim!$E50:INDEX(Amendoim!$E50:$Z50,MIN(X$6-$E$3,22))&lt;&gt;""),Amendoim!$E50:INDEX(Amendoim!$E50:$Z50,MIN(X$6-$E$3,22))),0))-IF($G$2,0,IF((X$6-$G$3)&lt;1,0,IFERROR(LOOKUP(2,1/(Amendoim!$E50:INDEX(Amendoim!$E50:$Z50,MIN(X$6-$G$3,22))&lt;&gt;""),Amendoim!$E50:INDEX(Amendoim!$E50:$Z50,MIN(X$6-$G$3,22))),0)))))</f>
        <v>0</v>
      </c>
      <c r="Y52" s="27" t="n">
        <f aca="false">IF(COUNT(Amendoim!$E50:$Z50)=0,0,MAX(0,IF((Y$6-$E$3)&lt;1,0,IFERROR(LOOKUP(2,1/(Amendoim!$E50:INDEX(Amendoim!$E50:$Z50,MIN(Y$6-$E$3,22))&lt;&gt;""),Amendoim!$E50:INDEX(Amendoim!$E50:$Z50,MIN(Y$6-$E$3,22))),0))-IF($G$2,0,IF((Y$6-$G$3)&lt;1,0,IFERROR(LOOKUP(2,1/(Amendoim!$E50:INDEX(Amendoim!$E50:$Z50,MIN(Y$6-$G$3,22))&lt;&gt;""),Amendoim!$E50:INDEX(Amendoim!$E50:$Z50,MIN(Y$6-$G$3,22))),0)))))</f>
        <v>0</v>
      </c>
      <c r="Z52" s="27" t="n">
        <f aca="false">IF(COUNT(Amendoim!$E50:$Z50)=0,0,MAX(0,IF((Z$6-$E$3)&lt;1,0,IFERROR(LOOKUP(2,1/(Amendoim!$E50:INDEX(Amendoim!$E50:$Z50,MIN(Z$6-$E$3,22))&lt;&gt;""),Amendoim!$E50:INDEX(Amendoim!$E50:$Z50,MIN(Z$6-$E$3,22))),0))-IF($G$2,0,IF((Z$6-$G$3)&lt;1,0,IFERROR(LOOKUP(2,1/(Amendoim!$E50:INDEX(Amendoim!$E50:$Z50,MIN(Z$6-$G$3,22))&lt;&gt;""),Amendoim!$E50:INDEX(Amendoim!$E50:$Z50,MIN(Z$6-$G$3,22))),0)))))</f>
        <v>0</v>
      </c>
      <c r="AA52" s="27" t="n">
        <f aca="false">IF(COUNT(Amendoim!$E50:$Z50)=0,0,MAX(0,IF((AA$6-$E$3)&lt;1,0,IFERROR(LOOKUP(2,1/(Amendoim!$E50:INDEX(Amendoim!$E50:$Z50,MIN(AA$6-$E$3,22))&lt;&gt;""),Amendoim!$E50:INDEX(Amendoim!$E50:$Z50,MIN(AA$6-$E$3,22))),0))-IF($G$2,0,IF((AA$6-$G$3)&lt;1,0,IFERROR(LOOKUP(2,1/(Amendoim!$E50:INDEX(Amendoim!$E50:$Z50,MIN(AA$6-$G$3,22))&lt;&gt;""),Amendoim!$E50:INDEX(Amendoim!$E50:$Z50,MIN(AA$6-$G$3,22))),0)))))</f>
        <v>0</v>
      </c>
      <c r="AB52" s="27" t="n">
        <f aca="false">IF(COUNT(Amendoim!$E50:$Z50)=0,0,MAX(0,IF((AB$6-$E$3)&lt;1,0,IFERROR(LOOKUP(2,1/(Amendoim!$E50:INDEX(Amendoim!$E50:$Z50,MIN(AB$6-$E$3,22))&lt;&gt;""),Amendoim!$E50:INDEX(Amendoim!$E50:$Z50,MIN(AB$6-$E$3,22))),0))-IF($G$2,0,IF((AB$6-$G$3)&lt;1,0,IFERROR(LOOKUP(2,1/(Amendoim!$E50:INDEX(Amendoim!$E50:$Z50,MIN(AB$6-$G$3,22))&lt;&gt;""),Amendoim!$E50:INDEX(Amendoim!$E50:$Z50,MIN(AB$6-$G$3,22))),0)))))</f>
        <v>0</v>
      </c>
      <c r="AC52" s="27" t="n">
        <f aca="false">IF(COUNT(Amendoim!$E50:$Z50)=0,0,MAX(0,IF((AC$6-$E$3)&lt;1,0,IFERROR(LOOKUP(2,1/(Amendoim!$E50:INDEX(Amendoim!$E50:$Z50,MIN(AC$6-$E$3,22))&lt;&gt;""),Amendoim!$E50:INDEX(Amendoim!$E50:$Z50,MIN(AC$6-$E$3,22))),0))-IF($G$2,0,IF((AC$6-$G$3)&lt;1,0,IFERROR(LOOKUP(2,1/(Amendoim!$E50:INDEX(Amendoim!$E50:$Z50,MIN(AC$6-$G$3,22))&lt;&gt;""),Amendoim!$E50:INDEX(Amendoim!$E50:$Z50,MIN(AC$6-$G$3,22))),0)))))</f>
        <v>0</v>
      </c>
      <c r="AD52" s="27" t="n">
        <f aca="false">IF(COUNT(Amendoim!$E50:$Z50)=0,0,MAX(0,IF((AD$6-$E$3)&lt;1,0,IFERROR(LOOKUP(2,1/(Amendoim!$E50:INDEX(Amendoim!$E50:$Z50,MIN(AD$6-$E$3,22))&lt;&gt;""),Amendoim!$E50:INDEX(Amendoim!$E50:$Z50,MIN(AD$6-$E$3,22))),0))-IF($G$2,0,IF((AD$6-$G$3)&lt;1,0,IFERROR(LOOKUP(2,1/(Amendoim!$E50:INDEX(Amendoim!$E50:$Z50,MIN(AD$6-$G$3,22))&lt;&gt;""),Amendoim!$E50:INDEX(Amendoim!$E50:$Z50,MIN(AD$6-$G$3,22))),0)))))</f>
        <v>0</v>
      </c>
      <c r="AE52" s="27" t="n">
        <f aca="false">IF(COUNT(Amendoim!$E50:$Z50)=0,0,MAX(0,IF((AE$6-$E$3)&lt;1,0,IFERROR(LOOKUP(2,1/(Amendoim!$E50:INDEX(Amendoim!$E50:$Z50,MIN(AE$6-$E$3,22))&lt;&gt;""),Amendoim!$E50:INDEX(Amendoim!$E50:$Z50,MIN(AE$6-$E$3,22))),0))-IF($G$2,0,IF((AE$6-$G$3)&lt;1,0,IFERROR(LOOKUP(2,1/(Amendoim!$E50:INDEX(Amendoim!$E50:$Z50,MIN(AE$6-$G$3,22))&lt;&gt;""),Amendoim!$E50:INDEX(Amendoim!$E50:$Z50,MIN(AE$6-$G$3,22))),0)))))</f>
        <v>0</v>
      </c>
      <c r="AF52" s="27" t="n">
        <f aca="false">IF(COUNT(Amendoim!$E50:$Z50)=0,0,MAX(0,IF((AF$6-$E$3)&lt;1,0,IFERROR(LOOKUP(2,1/(Amendoim!$E50:INDEX(Amendoim!$E50:$Z50,MIN(AF$6-$E$3,22))&lt;&gt;""),Amendoim!$E50:INDEX(Amendoim!$E50:$Z50,MIN(AF$6-$E$3,22))),0))-IF($G$2,0,IF((AF$6-$G$3)&lt;1,0,IFERROR(LOOKUP(2,1/(Amendoim!$E50:INDEX(Amendoim!$E50:$Z50,MIN(AF$6-$G$3,22))&lt;&gt;""),Amendoim!$E50:INDEX(Amendoim!$E50:$Z50,MIN(AF$6-$G$3,22))),0)))))</f>
        <v>0</v>
      </c>
      <c r="AG52" s="27" t="n">
        <f aca="false">IF(COUNT(Amendoim!$E50:$Z50)=0,0,MAX(0,IF((AG$6-$E$3)&lt;1,0,IFERROR(LOOKUP(2,1/(Amendoim!$E50:INDEX(Amendoim!$E50:$Z50,MIN(AG$6-$E$3,22))&lt;&gt;""),Amendoim!$E50:INDEX(Amendoim!$E50:$Z50,MIN(AG$6-$E$3,22))),0))-IF($G$2,0,IF((AG$6-$G$3)&lt;1,0,IFERROR(LOOKUP(2,1/(Amendoim!$E50:INDEX(Amendoim!$E50:$Z50,MIN(AG$6-$G$3,22))&lt;&gt;""),Amendoim!$E50:INDEX(Amendoim!$E50:$Z50,MIN(AG$6-$G$3,22))),0)))))</f>
        <v>0</v>
      </c>
      <c r="AH52" s="27" t="n">
        <f aca="false">IF(COUNT(Amendoim!$E50:$Z50)=0,0,MAX(0,IF((AH$6-$E$3)&lt;1,0,IFERROR(LOOKUP(2,1/(Amendoim!$E50:INDEX(Amendoim!$E50:$Z50,MIN(AH$6-$E$3,22))&lt;&gt;""),Amendoim!$E50:INDEX(Amendoim!$E50:$Z50,MIN(AH$6-$E$3,22))),0))-IF($G$2,0,IF((AH$6-$G$3)&lt;1,0,IFERROR(LOOKUP(2,1/(Amendoim!$E50:INDEX(Amendoim!$E50:$Z50,MIN(AH$6-$G$3,22))&lt;&gt;""),Amendoim!$E50:INDEX(Amendoim!$E50:$Z50,MIN(AH$6-$G$3,22))),0)))))</f>
        <v>0</v>
      </c>
      <c r="AI52" s="27" t="n">
        <f aca="false">IF(COUNT(Amendoim!$E50:$Z50)=0,0,MAX(0,IF((AI$6-$E$3)&lt;1,0,IFERROR(LOOKUP(2,1/(Amendoim!$E50:INDEX(Amendoim!$E50:$Z50,MIN(AI$6-$E$3,22))&lt;&gt;""),Amendoim!$E50:INDEX(Amendoim!$E50:$Z50,MIN(AI$6-$E$3,22))),0))-IF($G$2,0,IF((AI$6-$G$3)&lt;1,0,IFERROR(LOOKUP(2,1/(Amendoim!$E50:INDEX(Amendoim!$E50:$Z50,MIN(AI$6-$G$3,22))&lt;&gt;""),Amendoim!$E50:INDEX(Amendoim!$E50:$Z50,MIN(AI$6-$G$3,22))),0)))))</f>
        <v>0</v>
      </c>
      <c r="AJ52" s="27" t="n">
        <f aca="false">IF(COUNT(Amendoim!$E50:$Z50)=0,0,MAX(0,IF((AJ$6-$E$3)&lt;1,0,IFERROR(LOOKUP(2,1/(Amendoim!$E50:INDEX(Amendoim!$E50:$Z50,MIN(AJ$6-$E$3,22))&lt;&gt;""),Amendoim!$E50:INDEX(Amendoim!$E50:$Z50,MIN(AJ$6-$E$3,22))),0))-IF($G$2,0,IF((AJ$6-$G$3)&lt;1,0,IFERROR(LOOKUP(2,1/(Amendoim!$E50:INDEX(Amendoim!$E50:$Z50,MIN(AJ$6-$G$3,22))&lt;&gt;""),Amendoim!$E50:INDEX(Amendoim!$E50:$Z50,MIN(AJ$6-$G$3,22))),0)))))</f>
        <v>0</v>
      </c>
      <c r="AK52" s="27" t="n">
        <f aca="false">IF(COUNT(Amendoim!$E50:$Z50)=0,0,MAX(0,IF((AK$6-$E$3)&lt;1,0,IFERROR(LOOKUP(2,1/(Amendoim!$E50:INDEX(Amendoim!$E50:$Z50,MIN(AK$6-$E$3,22))&lt;&gt;""),Amendoim!$E50:INDEX(Amendoim!$E50:$Z50,MIN(AK$6-$E$3,22))),0))-IF($G$2,0,IF((AK$6-$G$3)&lt;1,0,IFERROR(LOOKUP(2,1/(Amendoim!$E50:INDEX(Amendoim!$E50:$Z50,MIN(AK$6-$G$3,22))&lt;&gt;""),Amendoim!$E50:INDEX(Amendoim!$E50:$Z50,MIN(AK$6-$G$3,22))),0)))))</f>
        <v>0</v>
      </c>
      <c r="AL52" s="27" t="n">
        <f aca="false">IF(COUNT(Amendoim!$E50:$Z50)=0,0,MAX(0,IF((AL$6-$E$3)&lt;1,0,IFERROR(LOOKUP(2,1/(Amendoim!$E50:INDEX(Amendoim!$E50:$Z50,MIN(AL$6-$E$3,22))&lt;&gt;""),Amendoim!$E50:INDEX(Amendoim!$E50:$Z50,MIN(AL$6-$E$3,22))),0))-IF($G$2,0,IF((AL$6-$G$3)&lt;1,0,IFERROR(LOOKUP(2,1/(Amendoim!$E50:INDEX(Amendoim!$E50:$Z50,MIN(AL$6-$G$3,22))&lt;&gt;""),Amendoim!$E50:INDEX(Amendoim!$E50:$Z50,MIN(AL$6-$G$3,22))),0)))))</f>
        <v>0</v>
      </c>
      <c r="AM52" s="27" t="n">
        <f aca="false">IF(COUNT(Amendoim!$E50:$Z50)=0,0,MAX(0,IF((AM$6-$E$3)&lt;1,0,IFERROR(LOOKUP(2,1/(Amendoim!$E50:INDEX(Amendoim!$E50:$Z50,MIN(AM$6-$E$3,22))&lt;&gt;""),Amendoim!$E50:INDEX(Amendoim!$E50:$Z50,MIN(AM$6-$E$3,22))),0))-IF($G$2,0,IF((AM$6-$G$3)&lt;1,0,IFERROR(LOOKUP(2,1/(Amendoim!$E50:INDEX(Amendoim!$E50:$Z50,MIN(AM$6-$G$3,22))&lt;&gt;""),Amendoim!$E50:INDEX(Amendoim!$E50:$Z50,MIN(AM$6-$G$3,22))),0)))))</f>
        <v>0</v>
      </c>
      <c r="AN52" s="27" t="n">
        <f aca="false">IF(COUNT(Amendoim!$E50:$Z50)=0,0,MAX(0,IF((AN$6-$E$3)&lt;1,0,IFERROR(LOOKUP(2,1/(Amendoim!$E50:INDEX(Amendoim!$E50:$Z50,MIN(AN$6-$E$3,22))&lt;&gt;""),Amendoim!$E50:INDEX(Amendoim!$E50:$Z50,MIN(AN$6-$E$3,22))),0))-IF($G$2,0,IF((AN$6-$G$3)&lt;1,0,IFERROR(LOOKUP(2,1/(Amendoim!$E50:INDEX(Amendoim!$E50:$Z50,MIN(AN$6-$G$3,22))&lt;&gt;""),Amendoim!$E50:INDEX(Amendoim!$E50:$Z50,MIN(AN$6-$G$3,22))),0)))))</f>
        <v>0</v>
      </c>
      <c r="AO52" s="27" t="n">
        <f aca="false">IF(COUNT(Amendoim!$E50:$Z50)=0,0,MAX(0,IF((AO$6-$E$3)&lt;1,0,IFERROR(LOOKUP(2,1/(Amendoim!$E50:INDEX(Amendoim!$E50:$Z50,MIN(AO$6-$E$3,22))&lt;&gt;""),Amendoim!$E50:INDEX(Amendoim!$E50:$Z50,MIN(AO$6-$E$3,22))),0))-IF($G$2,0,IF((AO$6-$G$3)&lt;1,0,IFERROR(LOOKUP(2,1/(Amendoim!$E50:INDEX(Amendoim!$E50:$Z50,MIN(AO$6-$G$3,22))&lt;&gt;""),Amendoim!$E50:INDEX(Amendoim!$E50:$Z50,MIN(AO$6-$G$3,22))),0)))))</f>
        <v>0</v>
      </c>
      <c r="AP52" s="27" t="n">
        <f aca="false">IF(COUNT(Amendoim!$E50:$Z50)=0,0,MAX(0,IF((AP$6-$E$3)&lt;1,0,IFERROR(LOOKUP(2,1/(Amendoim!$E50:INDEX(Amendoim!$E50:$Z50,MIN(AP$6-$E$3,22))&lt;&gt;""),Amendoim!$E50:INDEX(Amendoim!$E50:$Z50,MIN(AP$6-$E$3,22))),0))-IF($G$2,0,IF((AP$6-$G$3)&lt;1,0,IFERROR(LOOKUP(2,1/(Amendoim!$E50:INDEX(Amendoim!$E50:$Z50,MIN(AP$6-$G$3,22))&lt;&gt;""),Amendoim!$E50:INDEX(Amendoim!$E50:$Z50,MIN(AP$6-$G$3,22))),0)))))</f>
        <v>0</v>
      </c>
      <c r="AQ52" s="27" t="n">
        <f aca="false">IF(COUNT(Amendoim!$E50:$Z50)=0,0,MAX(0,IF((AQ$6-$E$3)&lt;1,0,IFERROR(LOOKUP(2,1/(Amendoim!$E50:INDEX(Amendoim!$E50:$Z50,MIN(AQ$6-$E$3,22))&lt;&gt;""),Amendoim!$E50:INDEX(Amendoim!$E50:$Z50,MIN(AQ$6-$E$3,22))),0))-IF($G$2,0,IF((AQ$6-$G$3)&lt;1,0,IFERROR(LOOKUP(2,1/(Amendoim!$E50:INDEX(Amendoim!$E50:$Z50,MIN(AQ$6-$G$3,22))&lt;&gt;""),Amendoim!$E50:INDEX(Amendoim!$E50:$Z50,MIN(AQ$6-$G$3,22))),0)))))</f>
        <v>0</v>
      </c>
      <c r="AR52" s="27" t="n">
        <f aca="false">IF(COUNT(Amendoim!$E50:$Z50)=0,0,MAX(0,IF((AR$6-$E$3)&lt;1,0,IFERROR(LOOKUP(2,1/(Amendoim!$E50:INDEX(Amendoim!$E50:$Z50,MIN(AR$6-$E$3,22))&lt;&gt;""),Amendoim!$E50:INDEX(Amendoim!$E50:$Z50,MIN(AR$6-$E$3,22))),0))-IF($G$2,0,IF((AR$6-$G$3)&lt;1,0,IFERROR(LOOKUP(2,1/(Amendoim!$E50:INDEX(Amendoim!$E50:$Z50,MIN(AR$6-$G$3,22))&lt;&gt;""),Amendoim!$E50:INDEX(Amendoim!$E50:$Z50,MIN(AR$6-$G$3,22))),0)))))</f>
        <v>0</v>
      </c>
      <c r="AS52" s="27" t="n">
        <f aca="false">IF(COUNT(Amendoim!$E50:$Z50)=0,0,MAX(0,IF((AS$6-$E$3)&lt;1,0,IFERROR(LOOKUP(2,1/(Amendoim!$E50:INDEX(Amendoim!$E50:$Z50,MIN(AS$6-$E$3,22))&lt;&gt;""),Amendoim!$E50:INDEX(Amendoim!$E50:$Z50,MIN(AS$6-$E$3,22))),0))-IF($G$2,0,IF((AS$6-$G$3)&lt;1,0,IFERROR(LOOKUP(2,1/(Amendoim!$E50:INDEX(Amendoim!$E50:$Z50,MIN(AS$6-$G$3,22))&lt;&gt;""),Amendoim!$E50:INDEX(Amendoim!$E50:$Z50,MIN(AS$6-$G$3,22))),0)))))</f>
        <v>0</v>
      </c>
      <c r="AT52" s="27" t="n">
        <f aca="false">IF(COUNT(Amendoim!$E50:$Z50)=0,0,MAX(0,IF((AT$6-$E$3)&lt;1,0,IFERROR(LOOKUP(2,1/(Amendoim!$E50:INDEX(Amendoim!$E50:$Z50,MIN(AT$6-$E$3,22))&lt;&gt;""),Amendoim!$E50:INDEX(Amendoim!$E50:$Z50,MIN(AT$6-$E$3,22))),0))-IF($G$2,0,IF((AT$6-$G$3)&lt;1,0,IFERROR(LOOKUP(2,1/(Amendoim!$E50:INDEX(Amendoim!$E50:$Z50,MIN(AT$6-$G$3,22))&lt;&gt;""),Amendoim!$E50:INDEX(Amendoim!$E50:$Z50,MIN(AT$6-$G$3,22))),0)))))</f>
        <v>0</v>
      </c>
      <c r="AU52" s="27" t="n">
        <f aca="false">IF(COUNT(Amendoim!$E50:$Z50)=0,0,MAX(0,IF((AU$6-$E$3)&lt;1,0,IFERROR(LOOKUP(2,1/(Amendoim!$E50:INDEX(Amendoim!$E50:$Z50,MIN(AU$6-$E$3,22))&lt;&gt;""),Amendoim!$E50:INDEX(Amendoim!$E50:$Z50,MIN(AU$6-$E$3,22))),0))-IF($G$2,0,IF((AU$6-$G$3)&lt;1,0,IFERROR(LOOKUP(2,1/(Amendoim!$E50:INDEX(Amendoim!$E50:$Z50,MIN(AU$6-$G$3,22))&lt;&gt;""),Amendoim!$E50:INDEX(Amendoim!$E50:$Z50,MIN(AU$6-$G$3,22))),0)))))</f>
        <v>0</v>
      </c>
      <c r="AV52" s="27" t="n">
        <f aca="false">IF(COUNT(Amendoim!$E50:$Z50)=0,0,MAX(0,IF((AV$6-$E$3)&lt;1,0,IFERROR(LOOKUP(2,1/(Amendoim!$E50:INDEX(Amendoim!$E50:$Z50,MIN(AV$6-$E$3,22))&lt;&gt;""),Amendoim!$E50:INDEX(Amendoim!$E50:$Z50,MIN(AV$6-$E$3,22))),0))-IF($G$2,0,IF((AV$6-$G$3)&lt;1,0,IFERROR(LOOKUP(2,1/(Amendoim!$E50:INDEX(Amendoim!$E50:$Z50,MIN(AV$6-$G$3,22))&lt;&gt;""),Amendoim!$E50:INDEX(Amendoim!$E50:$Z50,MIN(AV$6-$G$3,22))),0)))))</f>
        <v>0</v>
      </c>
      <c r="AW52" s="27" t="n">
        <f aca="false">IF(COUNT(Amendoim!$E50:$Z50)=0,0,MAX(0,IF((AW$6-$E$3)&lt;1,0,IFERROR(LOOKUP(2,1/(Amendoim!$E50:INDEX(Amendoim!$E50:$Z50,MIN(AW$6-$E$3,22))&lt;&gt;""),Amendoim!$E50:INDEX(Amendoim!$E50:$Z50,MIN(AW$6-$E$3,22))),0))-IF($G$2,0,IF((AW$6-$G$3)&lt;1,0,IFERROR(LOOKUP(2,1/(Amendoim!$E50:INDEX(Amendoim!$E50:$Z50,MIN(AW$6-$G$3,22))&lt;&gt;""),Amendoim!$E50:INDEX(Amendoim!$E50:$Z50,MIN(AW$6-$G$3,22))),0)))))</f>
        <v>0</v>
      </c>
      <c r="AX52" s="27" t="n">
        <f aca="false">IF(COUNT(Amendoim!$E50:$Z50)=0,0,MAX(0,IF((AX$6-$E$3)&lt;1,0,IFERROR(LOOKUP(2,1/(Amendoim!$E50:INDEX(Amendoim!$E50:$Z50,MIN(AX$6-$E$3,22))&lt;&gt;""),Amendoim!$E50:INDEX(Amendoim!$E50:$Z50,MIN(AX$6-$E$3,22))),0))-IF($G$2,0,IF((AX$6-$G$3)&lt;1,0,IFERROR(LOOKUP(2,1/(Amendoim!$E50:INDEX(Amendoim!$E50:$Z50,MIN(AX$6-$G$3,22))&lt;&gt;""),Amendoim!$E50:INDEX(Amendoim!$E50:$Z50,MIN(AX$6-$G$3,22))),0)))))</f>
        <v>0</v>
      </c>
      <c r="AY52" s="27" t="n">
        <f aca="false">IF(COUNT(Amendoim!$E50:$Z50)=0,0,MAX(0,IF((AY$6-$E$3)&lt;1,0,IFERROR(LOOKUP(2,1/(Amendoim!$E50:INDEX(Amendoim!$E50:$Z50,MIN(AY$6-$E$3,22))&lt;&gt;""),Amendoim!$E50:INDEX(Amendoim!$E50:$Z50,MIN(AY$6-$E$3,22))),0))-IF($G$2,0,IF((AY$6-$G$3)&lt;1,0,IFERROR(LOOKUP(2,1/(Amendoim!$E50:INDEX(Amendoim!$E50:$Z50,MIN(AY$6-$G$3,22))&lt;&gt;""),Amendoim!$E50:INDEX(Amendoim!$E50:$Z50,MIN(AY$6-$G$3,22))),0)))))</f>
        <v>0</v>
      </c>
      <c r="AZ52" s="27" t="n">
        <f aca="false">IF(COUNT(Amendoim!$E50:$Z50)=0,0,MAX(0,IF((AZ$6-$E$3)&lt;1,0,IFERROR(LOOKUP(2,1/(Amendoim!$E50:INDEX(Amendoim!$E50:$Z50,MIN(AZ$6-$E$3,22))&lt;&gt;""),Amendoim!$E50:INDEX(Amendoim!$E50:$Z50,MIN(AZ$6-$E$3,22))),0))-IF($G$2,0,IF((AZ$6-$G$3)&lt;1,0,IFERROR(LOOKUP(2,1/(Amendoim!$E50:INDEX(Amendoim!$E50:$Z50,MIN(AZ$6-$G$3,22))&lt;&gt;""),Amendoim!$E50:INDEX(Amendoim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IF(COUNT(Amendoim!$E51:$Z51)&gt;0,N(Amendoim!$D51),0)</f>
        <v>0</v>
      </c>
      <c r="E53" s="27" t="n">
        <f aca="false">IF(COUNT(Amendoim!$E51:$Z51)=0,0,MAX(0,IF((E$6-$E$3)&lt;1,0,IFERROR(LOOKUP(2,1/(Amendoim!$E51:INDEX(Amendoim!$E51:$Z51,MIN(E$6-$E$3,22))&lt;&gt;""),Amendoim!$E51:INDEX(Amendoim!$E51:$Z51,MIN(E$6-$E$3,22))),0))-IF($G$2,0,IF((E$6-$G$3)&lt;1,0,IFERROR(LOOKUP(2,1/(Amendoim!$E51:INDEX(Amendoim!$E51:$Z51,MIN(E$6-$G$3,22))&lt;&gt;""),Amendoim!$E51:INDEX(Amendoim!$E51:$Z51,MIN(E$6-$G$3,22))),0)))))</f>
        <v>0</v>
      </c>
      <c r="F53" s="27" t="n">
        <f aca="false">IF(COUNT(Amendoim!$E51:$Z51)=0,0,MAX(0,IF((F$6-$E$3)&lt;1,0,IFERROR(LOOKUP(2,1/(Amendoim!$E51:INDEX(Amendoim!$E51:$Z51,MIN(F$6-$E$3,22))&lt;&gt;""),Amendoim!$E51:INDEX(Amendoim!$E51:$Z51,MIN(F$6-$E$3,22))),0))-IF($G$2,0,IF((F$6-$G$3)&lt;1,0,IFERROR(LOOKUP(2,1/(Amendoim!$E51:INDEX(Amendoim!$E51:$Z51,MIN(F$6-$G$3,22))&lt;&gt;""),Amendoim!$E51:INDEX(Amendoim!$E51:$Z51,MIN(F$6-$G$3,22))),0)))))</f>
        <v>0</v>
      </c>
      <c r="G53" s="27" t="n">
        <f aca="false">IF(COUNT(Amendoim!$E51:$Z51)=0,0,MAX(0,IF((G$6-$E$3)&lt;1,0,IFERROR(LOOKUP(2,1/(Amendoim!$E51:INDEX(Amendoim!$E51:$Z51,MIN(G$6-$E$3,22))&lt;&gt;""),Amendoim!$E51:INDEX(Amendoim!$E51:$Z51,MIN(G$6-$E$3,22))),0))-IF($G$2,0,IF((G$6-$G$3)&lt;1,0,IFERROR(LOOKUP(2,1/(Amendoim!$E51:INDEX(Amendoim!$E51:$Z51,MIN(G$6-$G$3,22))&lt;&gt;""),Amendoim!$E51:INDEX(Amendoim!$E51:$Z51,MIN(G$6-$G$3,22))),0)))))</f>
        <v>0</v>
      </c>
      <c r="H53" s="27" t="n">
        <f aca="false">IF(COUNT(Amendoim!$E51:$Z51)=0,0,MAX(0,IF((H$6-$E$3)&lt;1,0,IFERROR(LOOKUP(2,1/(Amendoim!$E51:INDEX(Amendoim!$E51:$Z51,MIN(H$6-$E$3,22))&lt;&gt;""),Amendoim!$E51:INDEX(Amendoim!$E51:$Z51,MIN(H$6-$E$3,22))),0))-IF($G$2,0,IF((H$6-$G$3)&lt;1,0,IFERROR(LOOKUP(2,1/(Amendoim!$E51:INDEX(Amendoim!$E51:$Z51,MIN(H$6-$G$3,22))&lt;&gt;""),Amendoim!$E51:INDEX(Amendoim!$E51:$Z51,MIN(H$6-$G$3,22))),0)))))</f>
        <v>0</v>
      </c>
      <c r="I53" s="27" t="n">
        <f aca="false">IF(COUNT(Amendoim!$E51:$Z51)=0,0,MAX(0,IF((I$6-$E$3)&lt;1,0,IFERROR(LOOKUP(2,1/(Amendoim!$E51:INDEX(Amendoim!$E51:$Z51,MIN(I$6-$E$3,22))&lt;&gt;""),Amendoim!$E51:INDEX(Amendoim!$E51:$Z51,MIN(I$6-$E$3,22))),0))-IF($G$2,0,IF((I$6-$G$3)&lt;1,0,IFERROR(LOOKUP(2,1/(Amendoim!$E51:INDEX(Amendoim!$E51:$Z51,MIN(I$6-$G$3,22))&lt;&gt;""),Amendoim!$E51:INDEX(Amendoim!$E51:$Z51,MIN(I$6-$G$3,22))),0)))))</f>
        <v>0</v>
      </c>
      <c r="J53" s="27" t="n">
        <f aca="false">IF(COUNT(Amendoim!$E51:$Z51)=0,0,MAX(0,IF((J$6-$E$3)&lt;1,0,IFERROR(LOOKUP(2,1/(Amendoim!$E51:INDEX(Amendoim!$E51:$Z51,MIN(J$6-$E$3,22))&lt;&gt;""),Amendoim!$E51:INDEX(Amendoim!$E51:$Z51,MIN(J$6-$E$3,22))),0))-IF($G$2,0,IF((J$6-$G$3)&lt;1,0,IFERROR(LOOKUP(2,1/(Amendoim!$E51:INDEX(Amendoim!$E51:$Z51,MIN(J$6-$G$3,22))&lt;&gt;""),Amendoim!$E51:INDEX(Amendoim!$E51:$Z51,MIN(J$6-$G$3,22))),0)))))</f>
        <v>0</v>
      </c>
      <c r="K53" s="27" t="n">
        <f aca="false">IF(COUNT(Amendoim!$E51:$Z51)=0,0,MAX(0,IF((K$6-$E$3)&lt;1,0,IFERROR(LOOKUP(2,1/(Amendoim!$E51:INDEX(Amendoim!$E51:$Z51,MIN(K$6-$E$3,22))&lt;&gt;""),Amendoim!$E51:INDEX(Amendoim!$E51:$Z51,MIN(K$6-$E$3,22))),0))-IF($G$2,0,IF((K$6-$G$3)&lt;1,0,IFERROR(LOOKUP(2,1/(Amendoim!$E51:INDEX(Amendoim!$E51:$Z51,MIN(K$6-$G$3,22))&lt;&gt;""),Amendoim!$E51:INDEX(Amendoim!$E51:$Z51,MIN(K$6-$G$3,22))),0)))))</f>
        <v>0</v>
      </c>
      <c r="L53" s="27" t="n">
        <f aca="false">IF(COUNT(Amendoim!$E51:$Z51)=0,0,MAX(0,IF((L$6-$E$3)&lt;1,0,IFERROR(LOOKUP(2,1/(Amendoim!$E51:INDEX(Amendoim!$E51:$Z51,MIN(L$6-$E$3,22))&lt;&gt;""),Amendoim!$E51:INDEX(Amendoim!$E51:$Z51,MIN(L$6-$E$3,22))),0))-IF($G$2,0,IF((L$6-$G$3)&lt;1,0,IFERROR(LOOKUP(2,1/(Amendoim!$E51:INDEX(Amendoim!$E51:$Z51,MIN(L$6-$G$3,22))&lt;&gt;""),Amendoim!$E51:INDEX(Amendoim!$E51:$Z51,MIN(L$6-$G$3,22))),0)))))</f>
        <v>0</v>
      </c>
      <c r="M53" s="27" t="n">
        <f aca="false">IF(COUNT(Amendoim!$E51:$Z51)=0,0,MAX(0,IF((M$6-$E$3)&lt;1,0,IFERROR(LOOKUP(2,1/(Amendoim!$E51:INDEX(Amendoim!$E51:$Z51,MIN(M$6-$E$3,22))&lt;&gt;""),Amendoim!$E51:INDEX(Amendoim!$E51:$Z51,MIN(M$6-$E$3,22))),0))-IF($G$2,0,IF((M$6-$G$3)&lt;1,0,IFERROR(LOOKUP(2,1/(Amendoim!$E51:INDEX(Amendoim!$E51:$Z51,MIN(M$6-$G$3,22))&lt;&gt;""),Amendoim!$E51:INDEX(Amendoim!$E51:$Z51,MIN(M$6-$G$3,22))),0)))))</f>
        <v>0</v>
      </c>
      <c r="N53" s="27" t="n">
        <f aca="false">IF(COUNT(Amendoim!$E51:$Z51)=0,0,MAX(0,IF((N$6-$E$3)&lt;1,0,IFERROR(LOOKUP(2,1/(Amendoim!$E51:INDEX(Amendoim!$E51:$Z51,MIN(N$6-$E$3,22))&lt;&gt;""),Amendoim!$E51:INDEX(Amendoim!$E51:$Z51,MIN(N$6-$E$3,22))),0))-IF($G$2,0,IF((N$6-$G$3)&lt;1,0,IFERROR(LOOKUP(2,1/(Amendoim!$E51:INDEX(Amendoim!$E51:$Z51,MIN(N$6-$G$3,22))&lt;&gt;""),Amendoim!$E51:INDEX(Amendoim!$E51:$Z51,MIN(N$6-$G$3,22))),0)))))</f>
        <v>0</v>
      </c>
      <c r="O53" s="27" t="n">
        <f aca="false">IF(COUNT(Amendoim!$E51:$Z51)=0,0,MAX(0,IF((O$6-$E$3)&lt;1,0,IFERROR(LOOKUP(2,1/(Amendoim!$E51:INDEX(Amendoim!$E51:$Z51,MIN(O$6-$E$3,22))&lt;&gt;""),Amendoim!$E51:INDEX(Amendoim!$E51:$Z51,MIN(O$6-$E$3,22))),0))-IF($G$2,0,IF((O$6-$G$3)&lt;1,0,IFERROR(LOOKUP(2,1/(Amendoim!$E51:INDEX(Amendoim!$E51:$Z51,MIN(O$6-$G$3,22))&lt;&gt;""),Amendoim!$E51:INDEX(Amendoim!$E51:$Z51,MIN(O$6-$G$3,22))),0)))))</f>
        <v>0</v>
      </c>
      <c r="P53" s="27" t="n">
        <f aca="false">IF(COUNT(Amendoim!$E51:$Z51)=0,0,MAX(0,IF((P$6-$E$3)&lt;1,0,IFERROR(LOOKUP(2,1/(Amendoim!$E51:INDEX(Amendoim!$E51:$Z51,MIN(P$6-$E$3,22))&lt;&gt;""),Amendoim!$E51:INDEX(Amendoim!$E51:$Z51,MIN(P$6-$E$3,22))),0))-IF($G$2,0,IF((P$6-$G$3)&lt;1,0,IFERROR(LOOKUP(2,1/(Amendoim!$E51:INDEX(Amendoim!$E51:$Z51,MIN(P$6-$G$3,22))&lt;&gt;""),Amendoim!$E51:INDEX(Amendoim!$E51:$Z51,MIN(P$6-$G$3,22))),0)))))</f>
        <v>0</v>
      </c>
      <c r="Q53" s="27" t="n">
        <f aca="false">IF(COUNT(Amendoim!$E51:$Z51)=0,0,MAX(0,IF((Q$6-$E$3)&lt;1,0,IFERROR(LOOKUP(2,1/(Amendoim!$E51:INDEX(Amendoim!$E51:$Z51,MIN(Q$6-$E$3,22))&lt;&gt;""),Amendoim!$E51:INDEX(Amendoim!$E51:$Z51,MIN(Q$6-$E$3,22))),0))-IF($G$2,0,IF((Q$6-$G$3)&lt;1,0,IFERROR(LOOKUP(2,1/(Amendoim!$E51:INDEX(Amendoim!$E51:$Z51,MIN(Q$6-$G$3,22))&lt;&gt;""),Amendoim!$E51:INDEX(Amendoim!$E51:$Z51,MIN(Q$6-$G$3,22))),0)))))</f>
        <v>0</v>
      </c>
      <c r="R53" s="27" t="n">
        <f aca="false">IF(COUNT(Amendoim!$E51:$Z51)=0,0,MAX(0,IF((R$6-$E$3)&lt;1,0,IFERROR(LOOKUP(2,1/(Amendoim!$E51:INDEX(Amendoim!$E51:$Z51,MIN(R$6-$E$3,22))&lt;&gt;""),Amendoim!$E51:INDEX(Amendoim!$E51:$Z51,MIN(R$6-$E$3,22))),0))-IF($G$2,0,IF((R$6-$G$3)&lt;1,0,IFERROR(LOOKUP(2,1/(Amendoim!$E51:INDEX(Amendoim!$E51:$Z51,MIN(R$6-$G$3,22))&lt;&gt;""),Amendoim!$E51:INDEX(Amendoim!$E51:$Z51,MIN(R$6-$G$3,22))),0)))))</f>
        <v>0</v>
      </c>
      <c r="S53" s="27" t="n">
        <f aca="false">IF(COUNT(Amendoim!$E51:$Z51)=0,0,MAX(0,IF((S$6-$E$3)&lt;1,0,IFERROR(LOOKUP(2,1/(Amendoim!$E51:INDEX(Amendoim!$E51:$Z51,MIN(S$6-$E$3,22))&lt;&gt;""),Amendoim!$E51:INDEX(Amendoim!$E51:$Z51,MIN(S$6-$E$3,22))),0))-IF($G$2,0,IF((S$6-$G$3)&lt;1,0,IFERROR(LOOKUP(2,1/(Amendoim!$E51:INDEX(Amendoim!$E51:$Z51,MIN(S$6-$G$3,22))&lt;&gt;""),Amendoim!$E51:INDEX(Amendoim!$E51:$Z51,MIN(S$6-$G$3,22))),0)))))</f>
        <v>0</v>
      </c>
      <c r="T53" s="27" t="n">
        <f aca="false">IF(COUNT(Amendoim!$E51:$Z51)=0,0,MAX(0,IF((T$6-$E$3)&lt;1,0,IFERROR(LOOKUP(2,1/(Amendoim!$E51:INDEX(Amendoim!$E51:$Z51,MIN(T$6-$E$3,22))&lt;&gt;""),Amendoim!$E51:INDEX(Amendoim!$E51:$Z51,MIN(T$6-$E$3,22))),0))-IF($G$2,0,IF((T$6-$G$3)&lt;1,0,IFERROR(LOOKUP(2,1/(Amendoim!$E51:INDEX(Amendoim!$E51:$Z51,MIN(T$6-$G$3,22))&lt;&gt;""),Amendoim!$E51:INDEX(Amendoim!$E51:$Z51,MIN(T$6-$G$3,22))),0)))))</f>
        <v>0</v>
      </c>
      <c r="U53" s="27" t="n">
        <f aca="false">IF(COUNT(Amendoim!$E51:$Z51)=0,0,MAX(0,IF((U$6-$E$3)&lt;1,0,IFERROR(LOOKUP(2,1/(Amendoim!$E51:INDEX(Amendoim!$E51:$Z51,MIN(U$6-$E$3,22))&lt;&gt;""),Amendoim!$E51:INDEX(Amendoim!$E51:$Z51,MIN(U$6-$E$3,22))),0))-IF($G$2,0,IF((U$6-$G$3)&lt;1,0,IFERROR(LOOKUP(2,1/(Amendoim!$E51:INDEX(Amendoim!$E51:$Z51,MIN(U$6-$G$3,22))&lt;&gt;""),Amendoim!$E51:INDEX(Amendoim!$E51:$Z51,MIN(U$6-$G$3,22))),0)))))</f>
        <v>0</v>
      </c>
      <c r="V53" s="27" t="n">
        <f aca="false">IF(COUNT(Amendoim!$E51:$Z51)=0,0,MAX(0,IF((V$6-$E$3)&lt;1,0,IFERROR(LOOKUP(2,1/(Amendoim!$E51:INDEX(Amendoim!$E51:$Z51,MIN(V$6-$E$3,22))&lt;&gt;""),Amendoim!$E51:INDEX(Amendoim!$E51:$Z51,MIN(V$6-$E$3,22))),0))-IF($G$2,0,IF((V$6-$G$3)&lt;1,0,IFERROR(LOOKUP(2,1/(Amendoim!$E51:INDEX(Amendoim!$E51:$Z51,MIN(V$6-$G$3,22))&lt;&gt;""),Amendoim!$E51:INDEX(Amendoim!$E51:$Z51,MIN(V$6-$G$3,22))),0)))))</f>
        <v>0</v>
      </c>
      <c r="W53" s="27" t="n">
        <f aca="false">IF(COUNT(Amendoim!$E51:$Z51)=0,0,MAX(0,IF((W$6-$E$3)&lt;1,0,IFERROR(LOOKUP(2,1/(Amendoim!$E51:INDEX(Amendoim!$E51:$Z51,MIN(W$6-$E$3,22))&lt;&gt;""),Amendoim!$E51:INDEX(Amendoim!$E51:$Z51,MIN(W$6-$E$3,22))),0))-IF($G$2,0,IF((W$6-$G$3)&lt;1,0,IFERROR(LOOKUP(2,1/(Amendoim!$E51:INDEX(Amendoim!$E51:$Z51,MIN(W$6-$G$3,22))&lt;&gt;""),Amendoim!$E51:INDEX(Amendoim!$E51:$Z51,MIN(W$6-$G$3,22))),0)))))</f>
        <v>0</v>
      </c>
      <c r="X53" s="27" t="n">
        <f aca="false">IF(COUNT(Amendoim!$E51:$Z51)=0,0,MAX(0,IF((X$6-$E$3)&lt;1,0,IFERROR(LOOKUP(2,1/(Amendoim!$E51:INDEX(Amendoim!$E51:$Z51,MIN(X$6-$E$3,22))&lt;&gt;""),Amendoim!$E51:INDEX(Amendoim!$E51:$Z51,MIN(X$6-$E$3,22))),0))-IF($G$2,0,IF((X$6-$G$3)&lt;1,0,IFERROR(LOOKUP(2,1/(Amendoim!$E51:INDEX(Amendoim!$E51:$Z51,MIN(X$6-$G$3,22))&lt;&gt;""),Amendoim!$E51:INDEX(Amendoim!$E51:$Z51,MIN(X$6-$G$3,22))),0)))))</f>
        <v>0</v>
      </c>
      <c r="Y53" s="27" t="n">
        <f aca="false">IF(COUNT(Amendoim!$E51:$Z51)=0,0,MAX(0,IF((Y$6-$E$3)&lt;1,0,IFERROR(LOOKUP(2,1/(Amendoim!$E51:INDEX(Amendoim!$E51:$Z51,MIN(Y$6-$E$3,22))&lt;&gt;""),Amendoim!$E51:INDEX(Amendoim!$E51:$Z51,MIN(Y$6-$E$3,22))),0))-IF($G$2,0,IF((Y$6-$G$3)&lt;1,0,IFERROR(LOOKUP(2,1/(Amendoim!$E51:INDEX(Amendoim!$E51:$Z51,MIN(Y$6-$G$3,22))&lt;&gt;""),Amendoim!$E51:INDEX(Amendoim!$E51:$Z51,MIN(Y$6-$G$3,22))),0)))))</f>
        <v>0</v>
      </c>
      <c r="Z53" s="27" t="n">
        <f aca="false">IF(COUNT(Amendoim!$E51:$Z51)=0,0,MAX(0,IF((Z$6-$E$3)&lt;1,0,IFERROR(LOOKUP(2,1/(Amendoim!$E51:INDEX(Amendoim!$E51:$Z51,MIN(Z$6-$E$3,22))&lt;&gt;""),Amendoim!$E51:INDEX(Amendoim!$E51:$Z51,MIN(Z$6-$E$3,22))),0))-IF($G$2,0,IF((Z$6-$G$3)&lt;1,0,IFERROR(LOOKUP(2,1/(Amendoim!$E51:INDEX(Amendoim!$E51:$Z51,MIN(Z$6-$G$3,22))&lt;&gt;""),Amendoim!$E51:INDEX(Amendoim!$E51:$Z51,MIN(Z$6-$G$3,22))),0)))))</f>
        <v>0</v>
      </c>
      <c r="AA53" s="27" t="n">
        <f aca="false">IF(COUNT(Amendoim!$E51:$Z51)=0,0,MAX(0,IF((AA$6-$E$3)&lt;1,0,IFERROR(LOOKUP(2,1/(Amendoim!$E51:INDEX(Amendoim!$E51:$Z51,MIN(AA$6-$E$3,22))&lt;&gt;""),Amendoim!$E51:INDEX(Amendoim!$E51:$Z51,MIN(AA$6-$E$3,22))),0))-IF($G$2,0,IF((AA$6-$G$3)&lt;1,0,IFERROR(LOOKUP(2,1/(Amendoim!$E51:INDEX(Amendoim!$E51:$Z51,MIN(AA$6-$G$3,22))&lt;&gt;""),Amendoim!$E51:INDEX(Amendoim!$E51:$Z51,MIN(AA$6-$G$3,22))),0)))))</f>
        <v>0</v>
      </c>
      <c r="AB53" s="27" t="n">
        <f aca="false">IF(COUNT(Amendoim!$E51:$Z51)=0,0,MAX(0,IF((AB$6-$E$3)&lt;1,0,IFERROR(LOOKUP(2,1/(Amendoim!$E51:INDEX(Amendoim!$E51:$Z51,MIN(AB$6-$E$3,22))&lt;&gt;""),Amendoim!$E51:INDEX(Amendoim!$E51:$Z51,MIN(AB$6-$E$3,22))),0))-IF($G$2,0,IF((AB$6-$G$3)&lt;1,0,IFERROR(LOOKUP(2,1/(Amendoim!$E51:INDEX(Amendoim!$E51:$Z51,MIN(AB$6-$G$3,22))&lt;&gt;""),Amendoim!$E51:INDEX(Amendoim!$E51:$Z51,MIN(AB$6-$G$3,22))),0)))))</f>
        <v>0</v>
      </c>
      <c r="AC53" s="27" t="n">
        <f aca="false">IF(COUNT(Amendoim!$E51:$Z51)=0,0,MAX(0,IF((AC$6-$E$3)&lt;1,0,IFERROR(LOOKUP(2,1/(Amendoim!$E51:INDEX(Amendoim!$E51:$Z51,MIN(AC$6-$E$3,22))&lt;&gt;""),Amendoim!$E51:INDEX(Amendoim!$E51:$Z51,MIN(AC$6-$E$3,22))),0))-IF($G$2,0,IF((AC$6-$G$3)&lt;1,0,IFERROR(LOOKUP(2,1/(Amendoim!$E51:INDEX(Amendoim!$E51:$Z51,MIN(AC$6-$G$3,22))&lt;&gt;""),Amendoim!$E51:INDEX(Amendoim!$E51:$Z51,MIN(AC$6-$G$3,22))),0)))))</f>
        <v>0</v>
      </c>
      <c r="AD53" s="27" t="n">
        <f aca="false">IF(COUNT(Amendoim!$E51:$Z51)=0,0,MAX(0,IF((AD$6-$E$3)&lt;1,0,IFERROR(LOOKUP(2,1/(Amendoim!$E51:INDEX(Amendoim!$E51:$Z51,MIN(AD$6-$E$3,22))&lt;&gt;""),Amendoim!$E51:INDEX(Amendoim!$E51:$Z51,MIN(AD$6-$E$3,22))),0))-IF($G$2,0,IF((AD$6-$G$3)&lt;1,0,IFERROR(LOOKUP(2,1/(Amendoim!$E51:INDEX(Amendoim!$E51:$Z51,MIN(AD$6-$G$3,22))&lt;&gt;""),Amendoim!$E51:INDEX(Amendoim!$E51:$Z51,MIN(AD$6-$G$3,22))),0)))))</f>
        <v>0</v>
      </c>
      <c r="AE53" s="27" t="n">
        <f aca="false">IF(COUNT(Amendoim!$E51:$Z51)=0,0,MAX(0,IF((AE$6-$E$3)&lt;1,0,IFERROR(LOOKUP(2,1/(Amendoim!$E51:INDEX(Amendoim!$E51:$Z51,MIN(AE$6-$E$3,22))&lt;&gt;""),Amendoim!$E51:INDEX(Amendoim!$E51:$Z51,MIN(AE$6-$E$3,22))),0))-IF($G$2,0,IF((AE$6-$G$3)&lt;1,0,IFERROR(LOOKUP(2,1/(Amendoim!$E51:INDEX(Amendoim!$E51:$Z51,MIN(AE$6-$G$3,22))&lt;&gt;""),Amendoim!$E51:INDEX(Amendoim!$E51:$Z51,MIN(AE$6-$G$3,22))),0)))))</f>
        <v>0</v>
      </c>
      <c r="AF53" s="27" t="n">
        <f aca="false">IF(COUNT(Amendoim!$E51:$Z51)=0,0,MAX(0,IF((AF$6-$E$3)&lt;1,0,IFERROR(LOOKUP(2,1/(Amendoim!$E51:INDEX(Amendoim!$E51:$Z51,MIN(AF$6-$E$3,22))&lt;&gt;""),Amendoim!$E51:INDEX(Amendoim!$E51:$Z51,MIN(AF$6-$E$3,22))),0))-IF($G$2,0,IF((AF$6-$G$3)&lt;1,0,IFERROR(LOOKUP(2,1/(Amendoim!$E51:INDEX(Amendoim!$E51:$Z51,MIN(AF$6-$G$3,22))&lt;&gt;""),Amendoim!$E51:INDEX(Amendoim!$E51:$Z51,MIN(AF$6-$G$3,22))),0)))))</f>
        <v>0</v>
      </c>
      <c r="AG53" s="27" t="n">
        <f aca="false">IF(COUNT(Amendoim!$E51:$Z51)=0,0,MAX(0,IF((AG$6-$E$3)&lt;1,0,IFERROR(LOOKUP(2,1/(Amendoim!$E51:INDEX(Amendoim!$E51:$Z51,MIN(AG$6-$E$3,22))&lt;&gt;""),Amendoim!$E51:INDEX(Amendoim!$E51:$Z51,MIN(AG$6-$E$3,22))),0))-IF($G$2,0,IF((AG$6-$G$3)&lt;1,0,IFERROR(LOOKUP(2,1/(Amendoim!$E51:INDEX(Amendoim!$E51:$Z51,MIN(AG$6-$G$3,22))&lt;&gt;""),Amendoim!$E51:INDEX(Amendoim!$E51:$Z51,MIN(AG$6-$G$3,22))),0)))))</f>
        <v>0</v>
      </c>
      <c r="AH53" s="27" t="n">
        <f aca="false">IF(COUNT(Amendoim!$E51:$Z51)=0,0,MAX(0,IF((AH$6-$E$3)&lt;1,0,IFERROR(LOOKUP(2,1/(Amendoim!$E51:INDEX(Amendoim!$E51:$Z51,MIN(AH$6-$E$3,22))&lt;&gt;""),Amendoim!$E51:INDEX(Amendoim!$E51:$Z51,MIN(AH$6-$E$3,22))),0))-IF($G$2,0,IF((AH$6-$G$3)&lt;1,0,IFERROR(LOOKUP(2,1/(Amendoim!$E51:INDEX(Amendoim!$E51:$Z51,MIN(AH$6-$G$3,22))&lt;&gt;""),Amendoim!$E51:INDEX(Amendoim!$E51:$Z51,MIN(AH$6-$G$3,22))),0)))))</f>
        <v>0</v>
      </c>
      <c r="AI53" s="27" t="n">
        <f aca="false">IF(COUNT(Amendoim!$E51:$Z51)=0,0,MAX(0,IF((AI$6-$E$3)&lt;1,0,IFERROR(LOOKUP(2,1/(Amendoim!$E51:INDEX(Amendoim!$E51:$Z51,MIN(AI$6-$E$3,22))&lt;&gt;""),Amendoim!$E51:INDEX(Amendoim!$E51:$Z51,MIN(AI$6-$E$3,22))),0))-IF($G$2,0,IF((AI$6-$G$3)&lt;1,0,IFERROR(LOOKUP(2,1/(Amendoim!$E51:INDEX(Amendoim!$E51:$Z51,MIN(AI$6-$G$3,22))&lt;&gt;""),Amendoim!$E51:INDEX(Amendoim!$E51:$Z51,MIN(AI$6-$G$3,22))),0)))))</f>
        <v>0</v>
      </c>
      <c r="AJ53" s="27" t="n">
        <f aca="false">IF(COUNT(Amendoim!$E51:$Z51)=0,0,MAX(0,IF((AJ$6-$E$3)&lt;1,0,IFERROR(LOOKUP(2,1/(Amendoim!$E51:INDEX(Amendoim!$E51:$Z51,MIN(AJ$6-$E$3,22))&lt;&gt;""),Amendoim!$E51:INDEX(Amendoim!$E51:$Z51,MIN(AJ$6-$E$3,22))),0))-IF($G$2,0,IF((AJ$6-$G$3)&lt;1,0,IFERROR(LOOKUP(2,1/(Amendoim!$E51:INDEX(Amendoim!$E51:$Z51,MIN(AJ$6-$G$3,22))&lt;&gt;""),Amendoim!$E51:INDEX(Amendoim!$E51:$Z51,MIN(AJ$6-$G$3,22))),0)))))</f>
        <v>0</v>
      </c>
      <c r="AK53" s="27" t="n">
        <f aca="false">IF(COUNT(Amendoim!$E51:$Z51)=0,0,MAX(0,IF((AK$6-$E$3)&lt;1,0,IFERROR(LOOKUP(2,1/(Amendoim!$E51:INDEX(Amendoim!$E51:$Z51,MIN(AK$6-$E$3,22))&lt;&gt;""),Amendoim!$E51:INDEX(Amendoim!$E51:$Z51,MIN(AK$6-$E$3,22))),0))-IF($G$2,0,IF((AK$6-$G$3)&lt;1,0,IFERROR(LOOKUP(2,1/(Amendoim!$E51:INDEX(Amendoim!$E51:$Z51,MIN(AK$6-$G$3,22))&lt;&gt;""),Amendoim!$E51:INDEX(Amendoim!$E51:$Z51,MIN(AK$6-$G$3,22))),0)))))</f>
        <v>0</v>
      </c>
      <c r="AL53" s="27" t="n">
        <f aca="false">IF(COUNT(Amendoim!$E51:$Z51)=0,0,MAX(0,IF((AL$6-$E$3)&lt;1,0,IFERROR(LOOKUP(2,1/(Amendoim!$E51:INDEX(Amendoim!$E51:$Z51,MIN(AL$6-$E$3,22))&lt;&gt;""),Amendoim!$E51:INDEX(Amendoim!$E51:$Z51,MIN(AL$6-$E$3,22))),0))-IF($G$2,0,IF((AL$6-$G$3)&lt;1,0,IFERROR(LOOKUP(2,1/(Amendoim!$E51:INDEX(Amendoim!$E51:$Z51,MIN(AL$6-$G$3,22))&lt;&gt;""),Amendoim!$E51:INDEX(Amendoim!$E51:$Z51,MIN(AL$6-$G$3,22))),0)))))</f>
        <v>0</v>
      </c>
      <c r="AM53" s="27" t="n">
        <f aca="false">IF(COUNT(Amendoim!$E51:$Z51)=0,0,MAX(0,IF((AM$6-$E$3)&lt;1,0,IFERROR(LOOKUP(2,1/(Amendoim!$E51:INDEX(Amendoim!$E51:$Z51,MIN(AM$6-$E$3,22))&lt;&gt;""),Amendoim!$E51:INDEX(Amendoim!$E51:$Z51,MIN(AM$6-$E$3,22))),0))-IF($G$2,0,IF((AM$6-$G$3)&lt;1,0,IFERROR(LOOKUP(2,1/(Amendoim!$E51:INDEX(Amendoim!$E51:$Z51,MIN(AM$6-$G$3,22))&lt;&gt;""),Amendoim!$E51:INDEX(Amendoim!$E51:$Z51,MIN(AM$6-$G$3,22))),0)))))</f>
        <v>0</v>
      </c>
      <c r="AN53" s="27" t="n">
        <f aca="false">IF(COUNT(Amendoim!$E51:$Z51)=0,0,MAX(0,IF((AN$6-$E$3)&lt;1,0,IFERROR(LOOKUP(2,1/(Amendoim!$E51:INDEX(Amendoim!$E51:$Z51,MIN(AN$6-$E$3,22))&lt;&gt;""),Amendoim!$E51:INDEX(Amendoim!$E51:$Z51,MIN(AN$6-$E$3,22))),0))-IF($G$2,0,IF((AN$6-$G$3)&lt;1,0,IFERROR(LOOKUP(2,1/(Amendoim!$E51:INDEX(Amendoim!$E51:$Z51,MIN(AN$6-$G$3,22))&lt;&gt;""),Amendoim!$E51:INDEX(Amendoim!$E51:$Z51,MIN(AN$6-$G$3,22))),0)))))</f>
        <v>0</v>
      </c>
      <c r="AO53" s="27" t="n">
        <f aca="false">IF(COUNT(Amendoim!$E51:$Z51)=0,0,MAX(0,IF((AO$6-$E$3)&lt;1,0,IFERROR(LOOKUP(2,1/(Amendoim!$E51:INDEX(Amendoim!$E51:$Z51,MIN(AO$6-$E$3,22))&lt;&gt;""),Amendoim!$E51:INDEX(Amendoim!$E51:$Z51,MIN(AO$6-$E$3,22))),0))-IF($G$2,0,IF((AO$6-$G$3)&lt;1,0,IFERROR(LOOKUP(2,1/(Amendoim!$E51:INDEX(Amendoim!$E51:$Z51,MIN(AO$6-$G$3,22))&lt;&gt;""),Amendoim!$E51:INDEX(Amendoim!$E51:$Z51,MIN(AO$6-$G$3,22))),0)))))</f>
        <v>0</v>
      </c>
      <c r="AP53" s="27" t="n">
        <f aca="false">IF(COUNT(Amendoim!$E51:$Z51)=0,0,MAX(0,IF((AP$6-$E$3)&lt;1,0,IFERROR(LOOKUP(2,1/(Amendoim!$E51:INDEX(Amendoim!$E51:$Z51,MIN(AP$6-$E$3,22))&lt;&gt;""),Amendoim!$E51:INDEX(Amendoim!$E51:$Z51,MIN(AP$6-$E$3,22))),0))-IF($G$2,0,IF((AP$6-$G$3)&lt;1,0,IFERROR(LOOKUP(2,1/(Amendoim!$E51:INDEX(Amendoim!$E51:$Z51,MIN(AP$6-$G$3,22))&lt;&gt;""),Amendoim!$E51:INDEX(Amendoim!$E51:$Z51,MIN(AP$6-$G$3,22))),0)))))</f>
        <v>0</v>
      </c>
      <c r="AQ53" s="27" t="n">
        <f aca="false">IF(COUNT(Amendoim!$E51:$Z51)=0,0,MAX(0,IF((AQ$6-$E$3)&lt;1,0,IFERROR(LOOKUP(2,1/(Amendoim!$E51:INDEX(Amendoim!$E51:$Z51,MIN(AQ$6-$E$3,22))&lt;&gt;""),Amendoim!$E51:INDEX(Amendoim!$E51:$Z51,MIN(AQ$6-$E$3,22))),0))-IF($G$2,0,IF((AQ$6-$G$3)&lt;1,0,IFERROR(LOOKUP(2,1/(Amendoim!$E51:INDEX(Amendoim!$E51:$Z51,MIN(AQ$6-$G$3,22))&lt;&gt;""),Amendoim!$E51:INDEX(Amendoim!$E51:$Z51,MIN(AQ$6-$G$3,22))),0)))))</f>
        <v>0</v>
      </c>
      <c r="AR53" s="27" t="n">
        <f aca="false">IF(COUNT(Amendoim!$E51:$Z51)=0,0,MAX(0,IF((AR$6-$E$3)&lt;1,0,IFERROR(LOOKUP(2,1/(Amendoim!$E51:INDEX(Amendoim!$E51:$Z51,MIN(AR$6-$E$3,22))&lt;&gt;""),Amendoim!$E51:INDEX(Amendoim!$E51:$Z51,MIN(AR$6-$E$3,22))),0))-IF($G$2,0,IF((AR$6-$G$3)&lt;1,0,IFERROR(LOOKUP(2,1/(Amendoim!$E51:INDEX(Amendoim!$E51:$Z51,MIN(AR$6-$G$3,22))&lt;&gt;""),Amendoim!$E51:INDEX(Amendoim!$E51:$Z51,MIN(AR$6-$G$3,22))),0)))))</f>
        <v>0</v>
      </c>
      <c r="AS53" s="27" t="n">
        <f aca="false">IF(COUNT(Amendoim!$E51:$Z51)=0,0,MAX(0,IF((AS$6-$E$3)&lt;1,0,IFERROR(LOOKUP(2,1/(Amendoim!$E51:INDEX(Amendoim!$E51:$Z51,MIN(AS$6-$E$3,22))&lt;&gt;""),Amendoim!$E51:INDEX(Amendoim!$E51:$Z51,MIN(AS$6-$E$3,22))),0))-IF($G$2,0,IF((AS$6-$G$3)&lt;1,0,IFERROR(LOOKUP(2,1/(Amendoim!$E51:INDEX(Amendoim!$E51:$Z51,MIN(AS$6-$G$3,22))&lt;&gt;""),Amendoim!$E51:INDEX(Amendoim!$E51:$Z51,MIN(AS$6-$G$3,22))),0)))))</f>
        <v>0</v>
      </c>
      <c r="AT53" s="27" t="n">
        <f aca="false">IF(COUNT(Amendoim!$E51:$Z51)=0,0,MAX(0,IF((AT$6-$E$3)&lt;1,0,IFERROR(LOOKUP(2,1/(Amendoim!$E51:INDEX(Amendoim!$E51:$Z51,MIN(AT$6-$E$3,22))&lt;&gt;""),Amendoim!$E51:INDEX(Amendoim!$E51:$Z51,MIN(AT$6-$E$3,22))),0))-IF($G$2,0,IF((AT$6-$G$3)&lt;1,0,IFERROR(LOOKUP(2,1/(Amendoim!$E51:INDEX(Amendoim!$E51:$Z51,MIN(AT$6-$G$3,22))&lt;&gt;""),Amendoim!$E51:INDEX(Amendoim!$E51:$Z51,MIN(AT$6-$G$3,22))),0)))))</f>
        <v>0</v>
      </c>
      <c r="AU53" s="27" t="n">
        <f aca="false">IF(COUNT(Amendoim!$E51:$Z51)=0,0,MAX(0,IF((AU$6-$E$3)&lt;1,0,IFERROR(LOOKUP(2,1/(Amendoim!$E51:INDEX(Amendoim!$E51:$Z51,MIN(AU$6-$E$3,22))&lt;&gt;""),Amendoim!$E51:INDEX(Amendoim!$E51:$Z51,MIN(AU$6-$E$3,22))),0))-IF($G$2,0,IF((AU$6-$G$3)&lt;1,0,IFERROR(LOOKUP(2,1/(Amendoim!$E51:INDEX(Amendoim!$E51:$Z51,MIN(AU$6-$G$3,22))&lt;&gt;""),Amendoim!$E51:INDEX(Amendoim!$E51:$Z51,MIN(AU$6-$G$3,22))),0)))))</f>
        <v>0</v>
      </c>
      <c r="AV53" s="27" t="n">
        <f aca="false">IF(COUNT(Amendoim!$E51:$Z51)=0,0,MAX(0,IF((AV$6-$E$3)&lt;1,0,IFERROR(LOOKUP(2,1/(Amendoim!$E51:INDEX(Amendoim!$E51:$Z51,MIN(AV$6-$E$3,22))&lt;&gt;""),Amendoim!$E51:INDEX(Amendoim!$E51:$Z51,MIN(AV$6-$E$3,22))),0))-IF($G$2,0,IF((AV$6-$G$3)&lt;1,0,IFERROR(LOOKUP(2,1/(Amendoim!$E51:INDEX(Amendoim!$E51:$Z51,MIN(AV$6-$G$3,22))&lt;&gt;""),Amendoim!$E51:INDEX(Amendoim!$E51:$Z51,MIN(AV$6-$G$3,22))),0)))))</f>
        <v>0</v>
      </c>
      <c r="AW53" s="27" t="n">
        <f aca="false">IF(COUNT(Amendoim!$E51:$Z51)=0,0,MAX(0,IF((AW$6-$E$3)&lt;1,0,IFERROR(LOOKUP(2,1/(Amendoim!$E51:INDEX(Amendoim!$E51:$Z51,MIN(AW$6-$E$3,22))&lt;&gt;""),Amendoim!$E51:INDEX(Amendoim!$E51:$Z51,MIN(AW$6-$E$3,22))),0))-IF($G$2,0,IF((AW$6-$G$3)&lt;1,0,IFERROR(LOOKUP(2,1/(Amendoim!$E51:INDEX(Amendoim!$E51:$Z51,MIN(AW$6-$G$3,22))&lt;&gt;""),Amendoim!$E51:INDEX(Amendoim!$E51:$Z51,MIN(AW$6-$G$3,22))),0)))))</f>
        <v>0</v>
      </c>
      <c r="AX53" s="27" t="n">
        <f aca="false">IF(COUNT(Amendoim!$E51:$Z51)=0,0,MAX(0,IF((AX$6-$E$3)&lt;1,0,IFERROR(LOOKUP(2,1/(Amendoim!$E51:INDEX(Amendoim!$E51:$Z51,MIN(AX$6-$E$3,22))&lt;&gt;""),Amendoim!$E51:INDEX(Amendoim!$E51:$Z51,MIN(AX$6-$E$3,22))),0))-IF($G$2,0,IF((AX$6-$G$3)&lt;1,0,IFERROR(LOOKUP(2,1/(Amendoim!$E51:INDEX(Amendoim!$E51:$Z51,MIN(AX$6-$G$3,22))&lt;&gt;""),Amendoim!$E51:INDEX(Amendoim!$E51:$Z51,MIN(AX$6-$G$3,22))),0)))))</f>
        <v>0</v>
      </c>
      <c r="AY53" s="27" t="n">
        <f aca="false">IF(COUNT(Amendoim!$E51:$Z51)=0,0,MAX(0,IF((AY$6-$E$3)&lt;1,0,IFERROR(LOOKUP(2,1/(Amendoim!$E51:INDEX(Amendoim!$E51:$Z51,MIN(AY$6-$E$3,22))&lt;&gt;""),Amendoim!$E51:INDEX(Amendoim!$E51:$Z51,MIN(AY$6-$E$3,22))),0))-IF($G$2,0,IF((AY$6-$G$3)&lt;1,0,IFERROR(LOOKUP(2,1/(Amendoim!$E51:INDEX(Amendoim!$E51:$Z51,MIN(AY$6-$G$3,22))&lt;&gt;""),Amendoim!$E51:INDEX(Amendoim!$E51:$Z51,MIN(AY$6-$G$3,22))),0)))))</f>
        <v>0</v>
      </c>
      <c r="AZ53" s="27" t="n">
        <f aca="false">IF(COUNT(Amendoim!$E51:$Z51)=0,0,MAX(0,IF((AZ$6-$E$3)&lt;1,0,IFERROR(LOOKUP(2,1/(Amendoim!$E51:INDEX(Amendoim!$E51:$Z51,MIN(AZ$6-$E$3,22))&lt;&gt;""),Amendoim!$E51:INDEX(Amendoim!$E51:$Z51,MIN(AZ$6-$E$3,22))),0))-IF($G$2,0,IF((AZ$6-$G$3)&lt;1,0,IFERROR(LOOKUP(2,1/(Amendoim!$E51:INDEX(Amendoim!$E51:$Z51,MIN(AZ$6-$G$3,22))&lt;&gt;""),Amendoim!$E51:INDEX(Amendoim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IF(COUNT(Amendoim!$E52:$Z52)&gt;0,N(Amendoim!$D52),0)</f>
        <v>0</v>
      </c>
      <c r="E54" s="27" t="n">
        <f aca="false">IF(COUNT(Amendoim!$E52:$Z52)=0,0,MAX(0,IF((E$6-$E$3)&lt;1,0,IFERROR(LOOKUP(2,1/(Amendoim!$E52:INDEX(Amendoim!$E52:$Z52,MIN(E$6-$E$3,22))&lt;&gt;""),Amendoim!$E52:INDEX(Amendoim!$E52:$Z52,MIN(E$6-$E$3,22))),0))-IF($G$2,0,IF((E$6-$G$3)&lt;1,0,IFERROR(LOOKUP(2,1/(Amendoim!$E52:INDEX(Amendoim!$E52:$Z52,MIN(E$6-$G$3,22))&lt;&gt;""),Amendoim!$E52:INDEX(Amendoim!$E52:$Z52,MIN(E$6-$G$3,22))),0)))))</f>
        <v>0</v>
      </c>
      <c r="F54" s="27" t="n">
        <f aca="false">IF(COUNT(Amendoim!$E52:$Z52)=0,0,MAX(0,IF((F$6-$E$3)&lt;1,0,IFERROR(LOOKUP(2,1/(Amendoim!$E52:INDEX(Amendoim!$E52:$Z52,MIN(F$6-$E$3,22))&lt;&gt;""),Amendoim!$E52:INDEX(Amendoim!$E52:$Z52,MIN(F$6-$E$3,22))),0))-IF($G$2,0,IF((F$6-$G$3)&lt;1,0,IFERROR(LOOKUP(2,1/(Amendoim!$E52:INDEX(Amendoim!$E52:$Z52,MIN(F$6-$G$3,22))&lt;&gt;""),Amendoim!$E52:INDEX(Amendoim!$E52:$Z52,MIN(F$6-$G$3,22))),0)))))</f>
        <v>0</v>
      </c>
      <c r="G54" s="27" t="n">
        <f aca="false">IF(COUNT(Amendoim!$E52:$Z52)=0,0,MAX(0,IF((G$6-$E$3)&lt;1,0,IFERROR(LOOKUP(2,1/(Amendoim!$E52:INDEX(Amendoim!$E52:$Z52,MIN(G$6-$E$3,22))&lt;&gt;""),Amendoim!$E52:INDEX(Amendoim!$E52:$Z52,MIN(G$6-$E$3,22))),0))-IF($G$2,0,IF((G$6-$G$3)&lt;1,0,IFERROR(LOOKUP(2,1/(Amendoim!$E52:INDEX(Amendoim!$E52:$Z52,MIN(G$6-$G$3,22))&lt;&gt;""),Amendoim!$E52:INDEX(Amendoim!$E52:$Z52,MIN(G$6-$G$3,22))),0)))))</f>
        <v>0</v>
      </c>
      <c r="H54" s="27" t="n">
        <f aca="false">IF(COUNT(Amendoim!$E52:$Z52)=0,0,MAX(0,IF((H$6-$E$3)&lt;1,0,IFERROR(LOOKUP(2,1/(Amendoim!$E52:INDEX(Amendoim!$E52:$Z52,MIN(H$6-$E$3,22))&lt;&gt;""),Amendoim!$E52:INDEX(Amendoim!$E52:$Z52,MIN(H$6-$E$3,22))),0))-IF($G$2,0,IF((H$6-$G$3)&lt;1,0,IFERROR(LOOKUP(2,1/(Amendoim!$E52:INDEX(Amendoim!$E52:$Z52,MIN(H$6-$G$3,22))&lt;&gt;""),Amendoim!$E52:INDEX(Amendoim!$E52:$Z52,MIN(H$6-$G$3,22))),0)))))</f>
        <v>0</v>
      </c>
      <c r="I54" s="27" t="n">
        <f aca="false">IF(COUNT(Amendoim!$E52:$Z52)=0,0,MAX(0,IF((I$6-$E$3)&lt;1,0,IFERROR(LOOKUP(2,1/(Amendoim!$E52:INDEX(Amendoim!$E52:$Z52,MIN(I$6-$E$3,22))&lt;&gt;""),Amendoim!$E52:INDEX(Amendoim!$E52:$Z52,MIN(I$6-$E$3,22))),0))-IF($G$2,0,IF((I$6-$G$3)&lt;1,0,IFERROR(LOOKUP(2,1/(Amendoim!$E52:INDEX(Amendoim!$E52:$Z52,MIN(I$6-$G$3,22))&lt;&gt;""),Amendoim!$E52:INDEX(Amendoim!$E52:$Z52,MIN(I$6-$G$3,22))),0)))))</f>
        <v>0</v>
      </c>
      <c r="J54" s="27" t="n">
        <f aca="false">IF(COUNT(Amendoim!$E52:$Z52)=0,0,MAX(0,IF((J$6-$E$3)&lt;1,0,IFERROR(LOOKUP(2,1/(Amendoim!$E52:INDEX(Amendoim!$E52:$Z52,MIN(J$6-$E$3,22))&lt;&gt;""),Amendoim!$E52:INDEX(Amendoim!$E52:$Z52,MIN(J$6-$E$3,22))),0))-IF($G$2,0,IF((J$6-$G$3)&lt;1,0,IFERROR(LOOKUP(2,1/(Amendoim!$E52:INDEX(Amendoim!$E52:$Z52,MIN(J$6-$G$3,22))&lt;&gt;""),Amendoim!$E52:INDEX(Amendoim!$E52:$Z52,MIN(J$6-$G$3,22))),0)))))</f>
        <v>0</v>
      </c>
      <c r="K54" s="27" t="n">
        <f aca="false">IF(COUNT(Amendoim!$E52:$Z52)=0,0,MAX(0,IF((K$6-$E$3)&lt;1,0,IFERROR(LOOKUP(2,1/(Amendoim!$E52:INDEX(Amendoim!$E52:$Z52,MIN(K$6-$E$3,22))&lt;&gt;""),Amendoim!$E52:INDEX(Amendoim!$E52:$Z52,MIN(K$6-$E$3,22))),0))-IF($G$2,0,IF((K$6-$G$3)&lt;1,0,IFERROR(LOOKUP(2,1/(Amendoim!$E52:INDEX(Amendoim!$E52:$Z52,MIN(K$6-$G$3,22))&lt;&gt;""),Amendoim!$E52:INDEX(Amendoim!$E52:$Z52,MIN(K$6-$G$3,22))),0)))))</f>
        <v>0</v>
      </c>
      <c r="L54" s="27" t="n">
        <f aca="false">IF(COUNT(Amendoim!$E52:$Z52)=0,0,MAX(0,IF((L$6-$E$3)&lt;1,0,IFERROR(LOOKUP(2,1/(Amendoim!$E52:INDEX(Amendoim!$E52:$Z52,MIN(L$6-$E$3,22))&lt;&gt;""),Amendoim!$E52:INDEX(Amendoim!$E52:$Z52,MIN(L$6-$E$3,22))),0))-IF($G$2,0,IF((L$6-$G$3)&lt;1,0,IFERROR(LOOKUP(2,1/(Amendoim!$E52:INDEX(Amendoim!$E52:$Z52,MIN(L$6-$G$3,22))&lt;&gt;""),Amendoim!$E52:INDEX(Amendoim!$E52:$Z52,MIN(L$6-$G$3,22))),0)))))</f>
        <v>0</v>
      </c>
      <c r="M54" s="27" t="n">
        <f aca="false">IF(COUNT(Amendoim!$E52:$Z52)=0,0,MAX(0,IF((M$6-$E$3)&lt;1,0,IFERROR(LOOKUP(2,1/(Amendoim!$E52:INDEX(Amendoim!$E52:$Z52,MIN(M$6-$E$3,22))&lt;&gt;""),Amendoim!$E52:INDEX(Amendoim!$E52:$Z52,MIN(M$6-$E$3,22))),0))-IF($G$2,0,IF((M$6-$G$3)&lt;1,0,IFERROR(LOOKUP(2,1/(Amendoim!$E52:INDEX(Amendoim!$E52:$Z52,MIN(M$6-$G$3,22))&lt;&gt;""),Amendoim!$E52:INDEX(Amendoim!$E52:$Z52,MIN(M$6-$G$3,22))),0)))))</f>
        <v>0</v>
      </c>
      <c r="N54" s="27" t="n">
        <f aca="false">IF(COUNT(Amendoim!$E52:$Z52)=0,0,MAX(0,IF((N$6-$E$3)&lt;1,0,IFERROR(LOOKUP(2,1/(Amendoim!$E52:INDEX(Amendoim!$E52:$Z52,MIN(N$6-$E$3,22))&lt;&gt;""),Amendoim!$E52:INDEX(Amendoim!$E52:$Z52,MIN(N$6-$E$3,22))),0))-IF($G$2,0,IF((N$6-$G$3)&lt;1,0,IFERROR(LOOKUP(2,1/(Amendoim!$E52:INDEX(Amendoim!$E52:$Z52,MIN(N$6-$G$3,22))&lt;&gt;""),Amendoim!$E52:INDEX(Amendoim!$E52:$Z52,MIN(N$6-$G$3,22))),0)))))</f>
        <v>0</v>
      </c>
      <c r="O54" s="27" t="n">
        <f aca="false">IF(COUNT(Amendoim!$E52:$Z52)=0,0,MAX(0,IF((O$6-$E$3)&lt;1,0,IFERROR(LOOKUP(2,1/(Amendoim!$E52:INDEX(Amendoim!$E52:$Z52,MIN(O$6-$E$3,22))&lt;&gt;""),Amendoim!$E52:INDEX(Amendoim!$E52:$Z52,MIN(O$6-$E$3,22))),0))-IF($G$2,0,IF((O$6-$G$3)&lt;1,0,IFERROR(LOOKUP(2,1/(Amendoim!$E52:INDEX(Amendoim!$E52:$Z52,MIN(O$6-$G$3,22))&lt;&gt;""),Amendoim!$E52:INDEX(Amendoim!$E52:$Z52,MIN(O$6-$G$3,22))),0)))))</f>
        <v>0</v>
      </c>
      <c r="P54" s="27" t="n">
        <f aca="false">IF(COUNT(Amendoim!$E52:$Z52)=0,0,MAX(0,IF((P$6-$E$3)&lt;1,0,IFERROR(LOOKUP(2,1/(Amendoim!$E52:INDEX(Amendoim!$E52:$Z52,MIN(P$6-$E$3,22))&lt;&gt;""),Amendoim!$E52:INDEX(Amendoim!$E52:$Z52,MIN(P$6-$E$3,22))),0))-IF($G$2,0,IF((P$6-$G$3)&lt;1,0,IFERROR(LOOKUP(2,1/(Amendoim!$E52:INDEX(Amendoim!$E52:$Z52,MIN(P$6-$G$3,22))&lt;&gt;""),Amendoim!$E52:INDEX(Amendoim!$E52:$Z52,MIN(P$6-$G$3,22))),0)))))</f>
        <v>0</v>
      </c>
      <c r="Q54" s="27" t="n">
        <f aca="false">IF(COUNT(Amendoim!$E52:$Z52)=0,0,MAX(0,IF((Q$6-$E$3)&lt;1,0,IFERROR(LOOKUP(2,1/(Amendoim!$E52:INDEX(Amendoim!$E52:$Z52,MIN(Q$6-$E$3,22))&lt;&gt;""),Amendoim!$E52:INDEX(Amendoim!$E52:$Z52,MIN(Q$6-$E$3,22))),0))-IF($G$2,0,IF((Q$6-$G$3)&lt;1,0,IFERROR(LOOKUP(2,1/(Amendoim!$E52:INDEX(Amendoim!$E52:$Z52,MIN(Q$6-$G$3,22))&lt;&gt;""),Amendoim!$E52:INDEX(Amendoim!$E52:$Z52,MIN(Q$6-$G$3,22))),0)))))</f>
        <v>0</v>
      </c>
      <c r="R54" s="27" t="n">
        <f aca="false">IF(COUNT(Amendoim!$E52:$Z52)=0,0,MAX(0,IF((R$6-$E$3)&lt;1,0,IFERROR(LOOKUP(2,1/(Amendoim!$E52:INDEX(Amendoim!$E52:$Z52,MIN(R$6-$E$3,22))&lt;&gt;""),Amendoim!$E52:INDEX(Amendoim!$E52:$Z52,MIN(R$6-$E$3,22))),0))-IF($G$2,0,IF((R$6-$G$3)&lt;1,0,IFERROR(LOOKUP(2,1/(Amendoim!$E52:INDEX(Amendoim!$E52:$Z52,MIN(R$6-$G$3,22))&lt;&gt;""),Amendoim!$E52:INDEX(Amendoim!$E52:$Z52,MIN(R$6-$G$3,22))),0)))))</f>
        <v>0</v>
      </c>
      <c r="S54" s="27" t="n">
        <f aca="false">IF(COUNT(Amendoim!$E52:$Z52)=0,0,MAX(0,IF((S$6-$E$3)&lt;1,0,IFERROR(LOOKUP(2,1/(Amendoim!$E52:INDEX(Amendoim!$E52:$Z52,MIN(S$6-$E$3,22))&lt;&gt;""),Amendoim!$E52:INDEX(Amendoim!$E52:$Z52,MIN(S$6-$E$3,22))),0))-IF($G$2,0,IF((S$6-$G$3)&lt;1,0,IFERROR(LOOKUP(2,1/(Amendoim!$E52:INDEX(Amendoim!$E52:$Z52,MIN(S$6-$G$3,22))&lt;&gt;""),Amendoim!$E52:INDEX(Amendoim!$E52:$Z52,MIN(S$6-$G$3,22))),0)))))</f>
        <v>0</v>
      </c>
      <c r="T54" s="27" t="n">
        <f aca="false">IF(COUNT(Amendoim!$E52:$Z52)=0,0,MAX(0,IF((T$6-$E$3)&lt;1,0,IFERROR(LOOKUP(2,1/(Amendoim!$E52:INDEX(Amendoim!$E52:$Z52,MIN(T$6-$E$3,22))&lt;&gt;""),Amendoim!$E52:INDEX(Amendoim!$E52:$Z52,MIN(T$6-$E$3,22))),0))-IF($G$2,0,IF((T$6-$G$3)&lt;1,0,IFERROR(LOOKUP(2,1/(Amendoim!$E52:INDEX(Amendoim!$E52:$Z52,MIN(T$6-$G$3,22))&lt;&gt;""),Amendoim!$E52:INDEX(Amendoim!$E52:$Z52,MIN(T$6-$G$3,22))),0)))))</f>
        <v>0</v>
      </c>
      <c r="U54" s="27" t="n">
        <f aca="false">IF(COUNT(Amendoim!$E52:$Z52)=0,0,MAX(0,IF((U$6-$E$3)&lt;1,0,IFERROR(LOOKUP(2,1/(Amendoim!$E52:INDEX(Amendoim!$E52:$Z52,MIN(U$6-$E$3,22))&lt;&gt;""),Amendoim!$E52:INDEX(Amendoim!$E52:$Z52,MIN(U$6-$E$3,22))),0))-IF($G$2,0,IF((U$6-$G$3)&lt;1,0,IFERROR(LOOKUP(2,1/(Amendoim!$E52:INDEX(Amendoim!$E52:$Z52,MIN(U$6-$G$3,22))&lt;&gt;""),Amendoim!$E52:INDEX(Amendoim!$E52:$Z52,MIN(U$6-$G$3,22))),0)))))</f>
        <v>0</v>
      </c>
      <c r="V54" s="27" t="n">
        <f aca="false">IF(COUNT(Amendoim!$E52:$Z52)=0,0,MAX(0,IF((V$6-$E$3)&lt;1,0,IFERROR(LOOKUP(2,1/(Amendoim!$E52:INDEX(Amendoim!$E52:$Z52,MIN(V$6-$E$3,22))&lt;&gt;""),Amendoim!$E52:INDEX(Amendoim!$E52:$Z52,MIN(V$6-$E$3,22))),0))-IF($G$2,0,IF((V$6-$G$3)&lt;1,0,IFERROR(LOOKUP(2,1/(Amendoim!$E52:INDEX(Amendoim!$E52:$Z52,MIN(V$6-$G$3,22))&lt;&gt;""),Amendoim!$E52:INDEX(Amendoim!$E52:$Z52,MIN(V$6-$G$3,22))),0)))))</f>
        <v>0</v>
      </c>
      <c r="W54" s="27" t="n">
        <f aca="false">IF(COUNT(Amendoim!$E52:$Z52)=0,0,MAX(0,IF((W$6-$E$3)&lt;1,0,IFERROR(LOOKUP(2,1/(Amendoim!$E52:INDEX(Amendoim!$E52:$Z52,MIN(W$6-$E$3,22))&lt;&gt;""),Amendoim!$E52:INDEX(Amendoim!$E52:$Z52,MIN(W$6-$E$3,22))),0))-IF($G$2,0,IF((W$6-$G$3)&lt;1,0,IFERROR(LOOKUP(2,1/(Amendoim!$E52:INDEX(Amendoim!$E52:$Z52,MIN(W$6-$G$3,22))&lt;&gt;""),Amendoim!$E52:INDEX(Amendoim!$E52:$Z52,MIN(W$6-$G$3,22))),0)))))</f>
        <v>0</v>
      </c>
      <c r="X54" s="27" t="n">
        <f aca="false">IF(COUNT(Amendoim!$E52:$Z52)=0,0,MAX(0,IF((X$6-$E$3)&lt;1,0,IFERROR(LOOKUP(2,1/(Amendoim!$E52:INDEX(Amendoim!$E52:$Z52,MIN(X$6-$E$3,22))&lt;&gt;""),Amendoim!$E52:INDEX(Amendoim!$E52:$Z52,MIN(X$6-$E$3,22))),0))-IF($G$2,0,IF((X$6-$G$3)&lt;1,0,IFERROR(LOOKUP(2,1/(Amendoim!$E52:INDEX(Amendoim!$E52:$Z52,MIN(X$6-$G$3,22))&lt;&gt;""),Amendoim!$E52:INDEX(Amendoim!$E52:$Z52,MIN(X$6-$G$3,22))),0)))))</f>
        <v>0</v>
      </c>
      <c r="Y54" s="27" t="n">
        <f aca="false">IF(COUNT(Amendoim!$E52:$Z52)=0,0,MAX(0,IF((Y$6-$E$3)&lt;1,0,IFERROR(LOOKUP(2,1/(Amendoim!$E52:INDEX(Amendoim!$E52:$Z52,MIN(Y$6-$E$3,22))&lt;&gt;""),Amendoim!$E52:INDEX(Amendoim!$E52:$Z52,MIN(Y$6-$E$3,22))),0))-IF($G$2,0,IF((Y$6-$G$3)&lt;1,0,IFERROR(LOOKUP(2,1/(Amendoim!$E52:INDEX(Amendoim!$E52:$Z52,MIN(Y$6-$G$3,22))&lt;&gt;""),Amendoim!$E52:INDEX(Amendoim!$E52:$Z52,MIN(Y$6-$G$3,22))),0)))))</f>
        <v>0</v>
      </c>
      <c r="Z54" s="27" t="n">
        <f aca="false">IF(COUNT(Amendoim!$E52:$Z52)=0,0,MAX(0,IF((Z$6-$E$3)&lt;1,0,IFERROR(LOOKUP(2,1/(Amendoim!$E52:INDEX(Amendoim!$E52:$Z52,MIN(Z$6-$E$3,22))&lt;&gt;""),Amendoim!$E52:INDEX(Amendoim!$E52:$Z52,MIN(Z$6-$E$3,22))),0))-IF($G$2,0,IF((Z$6-$G$3)&lt;1,0,IFERROR(LOOKUP(2,1/(Amendoim!$E52:INDEX(Amendoim!$E52:$Z52,MIN(Z$6-$G$3,22))&lt;&gt;""),Amendoim!$E52:INDEX(Amendoim!$E52:$Z52,MIN(Z$6-$G$3,22))),0)))))</f>
        <v>0</v>
      </c>
      <c r="AA54" s="27" t="n">
        <f aca="false">IF(COUNT(Amendoim!$E52:$Z52)=0,0,MAX(0,IF((AA$6-$E$3)&lt;1,0,IFERROR(LOOKUP(2,1/(Amendoim!$E52:INDEX(Amendoim!$E52:$Z52,MIN(AA$6-$E$3,22))&lt;&gt;""),Amendoim!$E52:INDEX(Amendoim!$E52:$Z52,MIN(AA$6-$E$3,22))),0))-IF($G$2,0,IF((AA$6-$G$3)&lt;1,0,IFERROR(LOOKUP(2,1/(Amendoim!$E52:INDEX(Amendoim!$E52:$Z52,MIN(AA$6-$G$3,22))&lt;&gt;""),Amendoim!$E52:INDEX(Amendoim!$E52:$Z52,MIN(AA$6-$G$3,22))),0)))))</f>
        <v>0</v>
      </c>
      <c r="AB54" s="27" t="n">
        <f aca="false">IF(COUNT(Amendoim!$E52:$Z52)=0,0,MAX(0,IF((AB$6-$E$3)&lt;1,0,IFERROR(LOOKUP(2,1/(Amendoim!$E52:INDEX(Amendoim!$E52:$Z52,MIN(AB$6-$E$3,22))&lt;&gt;""),Amendoim!$E52:INDEX(Amendoim!$E52:$Z52,MIN(AB$6-$E$3,22))),0))-IF($G$2,0,IF((AB$6-$G$3)&lt;1,0,IFERROR(LOOKUP(2,1/(Amendoim!$E52:INDEX(Amendoim!$E52:$Z52,MIN(AB$6-$G$3,22))&lt;&gt;""),Amendoim!$E52:INDEX(Amendoim!$E52:$Z52,MIN(AB$6-$G$3,22))),0)))))</f>
        <v>0</v>
      </c>
      <c r="AC54" s="27" t="n">
        <f aca="false">IF(COUNT(Amendoim!$E52:$Z52)=0,0,MAX(0,IF((AC$6-$E$3)&lt;1,0,IFERROR(LOOKUP(2,1/(Amendoim!$E52:INDEX(Amendoim!$E52:$Z52,MIN(AC$6-$E$3,22))&lt;&gt;""),Amendoim!$E52:INDEX(Amendoim!$E52:$Z52,MIN(AC$6-$E$3,22))),0))-IF($G$2,0,IF((AC$6-$G$3)&lt;1,0,IFERROR(LOOKUP(2,1/(Amendoim!$E52:INDEX(Amendoim!$E52:$Z52,MIN(AC$6-$G$3,22))&lt;&gt;""),Amendoim!$E52:INDEX(Amendoim!$E52:$Z52,MIN(AC$6-$G$3,22))),0)))))</f>
        <v>0</v>
      </c>
      <c r="AD54" s="27" t="n">
        <f aca="false">IF(COUNT(Amendoim!$E52:$Z52)=0,0,MAX(0,IF((AD$6-$E$3)&lt;1,0,IFERROR(LOOKUP(2,1/(Amendoim!$E52:INDEX(Amendoim!$E52:$Z52,MIN(AD$6-$E$3,22))&lt;&gt;""),Amendoim!$E52:INDEX(Amendoim!$E52:$Z52,MIN(AD$6-$E$3,22))),0))-IF($G$2,0,IF((AD$6-$G$3)&lt;1,0,IFERROR(LOOKUP(2,1/(Amendoim!$E52:INDEX(Amendoim!$E52:$Z52,MIN(AD$6-$G$3,22))&lt;&gt;""),Amendoim!$E52:INDEX(Amendoim!$E52:$Z52,MIN(AD$6-$G$3,22))),0)))))</f>
        <v>0</v>
      </c>
      <c r="AE54" s="27" t="n">
        <f aca="false">IF(COUNT(Amendoim!$E52:$Z52)=0,0,MAX(0,IF((AE$6-$E$3)&lt;1,0,IFERROR(LOOKUP(2,1/(Amendoim!$E52:INDEX(Amendoim!$E52:$Z52,MIN(AE$6-$E$3,22))&lt;&gt;""),Amendoim!$E52:INDEX(Amendoim!$E52:$Z52,MIN(AE$6-$E$3,22))),0))-IF($G$2,0,IF((AE$6-$G$3)&lt;1,0,IFERROR(LOOKUP(2,1/(Amendoim!$E52:INDEX(Amendoim!$E52:$Z52,MIN(AE$6-$G$3,22))&lt;&gt;""),Amendoim!$E52:INDEX(Amendoim!$E52:$Z52,MIN(AE$6-$G$3,22))),0)))))</f>
        <v>0</v>
      </c>
      <c r="AF54" s="27" t="n">
        <f aca="false">IF(COUNT(Amendoim!$E52:$Z52)=0,0,MAX(0,IF((AF$6-$E$3)&lt;1,0,IFERROR(LOOKUP(2,1/(Amendoim!$E52:INDEX(Amendoim!$E52:$Z52,MIN(AF$6-$E$3,22))&lt;&gt;""),Amendoim!$E52:INDEX(Amendoim!$E52:$Z52,MIN(AF$6-$E$3,22))),0))-IF($G$2,0,IF((AF$6-$G$3)&lt;1,0,IFERROR(LOOKUP(2,1/(Amendoim!$E52:INDEX(Amendoim!$E52:$Z52,MIN(AF$6-$G$3,22))&lt;&gt;""),Amendoim!$E52:INDEX(Amendoim!$E52:$Z52,MIN(AF$6-$G$3,22))),0)))))</f>
        <v>0</v>
      </c>
      <c r="AG54" s="27" t="n">
        <f aca="false">IF(COUNT(Amendoim!$E52:$Z52)=0,0,MAX(0,IF((AG$6-$E$3)&lt;1,0,IFERROR(LOOKUP(2,1/(Amendoim!$E52:INDEX(Amendoim!$E52:$Z52,MIN(AG$6-$E$3,22))&lt;&gt;""),Amendoim!$E52:INDEX(Amendoim!$E52:$Z52,MIN(AG$6-$E$3,22))),0))-IF($G$2,0,IF((AG$6-$G$3)&lt;1,0,IFERROR(LOOKUP(2,1/(Amendoim!$E52:INDEX(Amendoim!$E52:$Z52,MIN(AG$6-$G$3,22))&lt;&gt;""),Amendoim!$E52:INDEX(Amendoim!$E52:$Z52,MIN(AG$6-$G$3,22))),0)))))</f>
        <v>0</v>
      </c>
      <c r="AH54" s="27" t="n">
        <f aca="false">IF(COUNT(Amendoim!$E52:$Z52)=0,0,MAX(0,IF((AH$6-$E$3)&lt;1,0,IFERROR(LOOKUP(2,1/(Amendoim!$E52:INDEX(Amendoim!$E52:$Z52,MIN(AH$6-$E$3,22))&lt;&gt;""),Amendoim!$E52:INDEX(Amendoim!$E52:$Z52,MIN(AH$6-$E$3,22))),0))-IF($G$2,0,IF((AH$6-$G$3)&lt;1,0,IFERROR(LOOKUP(2,1/(Amendoim!$E52:INDEX(Amendoim!$E52:$Z52,MIN(AH$6-$G$3,22))&lt;&gt;""),Amendoim!$E52:INDEX(Amendoim!$E52:$Z52,MIN(AH$6-$G$3,22))),0)))))</f>
        <v>0</v>
      </c>
      <c r="AI54" s="27" t="n">
        <f aca="false">IF(COUNT(Amendoim!$E52:$Z52)=0,0,MAX(0,IF((AI$6-$E$3)&lt;1,0,IFERROR(LOOKUP(2,1/(Amendoim!$E52:INDEX(Amendoim!$E52:$Z52,MIN(AI$6-$E$3,22))&lt;&gt;""),Amendoim!$E52:INDEX(Amendoim!$E52:$Z52,MIN(AI$6-$E$3,22))),0))-IF($G$2,0,IF((AI$6-$G$3)&lt;1,0,IFERROR(LOOKUP(2,1/(Amendoim!$E52:INDEX(Amendoim!$E52:$Z52,MIN(AI$6-$G$3,22))&lt;&gt;""),Amendoim!$E52:INDEX(Amendoim!$E52:$Z52,MIN(AI$6-$G$3,22))),0)))))</f>
        <v>0</v>
      </c>
      <c r="AJ54" s="27" t="n">
        <f aca="false">IF(COUNT(Amendoim!$E52:$Z52)=0,0,MAX(0,IF((AJ$6-$E$3)&lt;1,0,IFERROR(LOOKUP(2,1/(Amendoim!$E52:INDEX(Amendoim!$E52:$Z52,MIN(AJ$6-$E$3,22))&lt;&gt;""),Amendoim!$E52:INDEX(Amendoim!$E52:$Z52,MIN(AJ$6-$E$3,22))),0))-IF($G$2,0,IF((AJ$6-$G$3)&lt;1,0,IFERROR(LOOKUP(2,1/(Amendoim!$E52:INDEX(Amendoim!$E52:$Z52,MIN(AJ$6-$G$3,22))&lt;&gt;""),Amendoim!$E52:INDEX(Amendoim!$E52:$Z52,MIN(AJ$6-$G$3,22))),0)))))</f>
        <v>0</v>
      </c>
      <c r="AK54" s="27" t="n">
        <f aca="false">IF(COUNT(Amendoim!$E52:$Z52)=0,0,MAX(0,IF((AK$6-$E$3)&lt;1,0,IFERROR(LOOKUP(2,1/(Amendoim!$E52:INDEX(Amendoim!$E52:$Z52,MIN(AK$6-$E$3,22))&lt;&gt;""),Amendoim!$E52:INDEX(Amendoim!$E52:$Z52,MIN(AK$6-$E$3,22))),0))-IF($G$2,0,IF((AK$6-$G$3)&lt;1,0,IFERROR(LOOKUP(2,1/(Amendoim!$E52:INDEX(Amendoim!$E52:$Z52,MIN(AK$6-$G$3,22))&lt;&gt;""),Amendoim!$E52:INDEX(Amendoim!$E52:$Z52,MIN(AK$6-$G$3,22))),0)))))</f>
        <v>0</v>
      </c>
      <c r="AL54" s="27" t="n">
        <f aca="false">IF(COUNT(Amendoim!$E52:$Z52)=0,0,MAX(0,IF((AL$6-$E$3)&lt;1,0,IFERROR(LOOKUP(2,1/(Amendoim!$E52:INDEX(Amendoim!$E52:$Z52,MIN(AL$6-$E$3,22))&lt;&gt;""),Amendoim!$E52:INDEX(Amendoim!$E52:$Z52,MIN(AL$6-$E$3,22))),0))-IF($G$2,0,IF((AL$6-$G$3)&lt;1,0,IFERROR(LOOKUP(2,1/(Amendoim!$E52:INDEX(Amendoim!$E52:$Z52,MIN(AL$6-$G$3,22))&lt;&gt;""),Amendoim!$E52:INDEX(Amendoim!$E52:$Z52,MIN(AL$6-$G$3,22))),0)))))</f>
        <v>0</v>
      </c>
      <c r="AM54" s="27" t="n">
        <f aca="false">IF(COUNT(Amendoim!$E52:$Z52)=0,0,MAX(0,IF((AM$6-$E$3)&lt;1,0,IFERROR(LOOKUP(2,1/(Amendoim!$E52:INDEX(Amendoim!$E52:$Z52,MIN(AM$6-$E$3,22))&lt;&gt;""),Amendoim!$E52:INDEX(Amendoim!$E52:$Z52,MIN(AM$6-$E$3,22))),0))-IF($G$2,0,IF((AM$6-$G$3)&lt;1,0,IFERROR(LOOKUP(2,1/(Amendoim!$E52:INDEX(Amendoim!$E52:$Z52,MIN(AM$6-$G$3,22))&lt;&gt;""),Amendoim!$E52:INDEX(Amendoim!$E52:$Z52,MIN(AM$6-$G$3,22))),0)))))</f>
        <v>0</v>
      </c>
      <c r="AN54" s="27" t="n">
        <f aca="false">IF(COUNT(Amendoim!$E52:$Z52)=0,0,MAX(0,IF((AN$6-$E$3)&lt;1,0,IFERROR(LOOKUP(2,1/(Amendoim!$E52:INDEX(Amendoim!$E52:$Z52,MIN(AN$6-$E$3,22))&lt;&gt;""),Amendoim!$E52:INDEX(Amendoim!$E52:$Z52,MIN(AN$6-$E$3,22))),0))-IF($G$2,0,IF((AN$6-$G$3)&lt;1,0,IFERROR(LOOKUP(2,1/(Amendoim!$E52:INDEX(Amendoim!$E52:$Z52,MIN(AN$6-$G$3,22))&lt;&gt;""),Amendoim!$E52:INDEX(Amendoim!$E52:$Z52,MIN(AN$6-$G$3,22))),0)))))</f>
        <v>0</v>
      </c>
      <c r="AO54" s="27" t="n">
        <f aca="false">IF(COUNT(Amendoim!$E52:$Z52)=0,0,MAX(0,IF((AO$6-$E$3)&lt;1,0,IFERROR(LOOKUP(2,1/(Amendoim!$E52:INDEX(Amendoim!$E52:$Z52,MIN(AO$6-$E$3,22))&lt;&gt;""),Amendoim!$E52:INDEX(Amendoim!$E52:$Z52,MIN(AO$6-$E$3,22))),0))-IF($G$2,0,IF((AO$6-$G$3)&lt;1,0,IFERROR(LOOKUP(2,1/(Amendoim!$E52:INDEX(Amendoim!$E52:$Z52,MIN(AO$6-$G$3,22))&lt;&gt;""),Amendoim!$E52:INDEX(Amendoim!$E52:$Z52,MIN(AO$6-$G$3,22))),0)))))</f>
        <v>0</v>
      </c>
      <c r="AP54" s="27" t="n">
        <f aca="false">IF(COUNT(Amendoim!$E52:$Z52)=0,0,MAX(0,IF((AP$6-$E$3)&lt;1,0,IFERROR(LOOKUP(2,1/(Amendoim!$E52:INDEX(Amendoim!$E52:$Z52,MIN(AP$6-$E$3,22))&lt;&gt;""),Amendoim!$E52:INDEX(Amendoim!$E52:$Z52,MIN(AP$6-$E$3,22))),0))-IF($G$2,0,IF((AP$6-$G$3)&lt;1,0,IFERROR(LOOKUP(2,1/(Amendoim!$E52:INDEX(Amendoim!$E52:$Z52,MIN(AP$6-$G$3,22))&lt;&gt;""),Amendoim!$E52:INDEX(Amendoim!$E52:$Z52,MIN(AP$6-$G$3,22))),0)))))</f>
        <v>0</v>
      </c>
      <c r="AQ54" s="27" t="n">
        <f aca="false">IF(COUNT(Amendoim!$E52:$Z52)=0,0,MAX(0,IF((AQ$6-$E$3)&lt;1,0,IFERROR(LOOKUP(2,1/(Amendoim!$E52:INDEX(Amendoim!$E52:$Z52,MIN(AQ$6-$E$3,22))&lt;&gt;""),Amendoim!$E52:INDEX(Amendoim!$E52:$Z52,MIN(AQ$6-$E$3,22))),0))-IF($G$2,0,IF((AQ$6-$G$3)&lt;1,0,IFERROR(LOOKUP(2,1/(Amendoim!$E52:INDEX(Amendoim!$E52:$Z52,MIN(AQ$6-$G$3,22))&lt;&gt;""),Amendoim!$E52:INDEX(Amendoim!$E52:$Z52,MIN(AQ$6-$G$3,22))),0)))))</f>
        <v>0</v>
      </c>
      <c r="AR54" s="27" t="n">
        <f aca="false">IF(COUNT(Amendoim!$E52:$Z52)=0,0,MAX(0,IF((AR$6-$E$3)&lt;1,0,IFERROR(LOOKUP(2,1/(Amendoim!$E52:INDEX(Amendoim!$E52:$Z52,MIN(AR$6-$E$3,22))&lt;&gt;""),Amendoim!$E52:INDEX(Amendoim!$E52:$Z52,MIN(AR$6-$E$3,22))),0))-IF($G$2,0,IF((AR$6-$G$3)&lt;1,0,IFERROR(LOOKUP(2,1/(Amendoim!$E52:INDEX(Amendoim!$E52:$Z52,MIN(AR$6-$G$3,22))&lt;&gt;""),Amendoim!$E52:INDEX(Amendoim!$E52:$Z52,MIN(AR$6-$G$3,22))),0)))))</f>
        <v>0</v>
      </c>
      <c r="AS54" s="27" t="n">
        <f aca="false">IF(COUNT(Amendoim!$E52:$Z52)=0,0,MAX(0,IF((AS$6-$E$3)&lt;1,0,IFERROR(LOOKUP(2,1/(Amendoim!$E52:INDEX(Amendoim!$E52:$Z52,MIN(AS$6-$E$3,22))&lt;&gt;""),Amendoim!$E52:INDEX(Amendoim!$E52:$Z52,MIN(AS$6-$E$3,22))),0))-IF($G$2,0,IF((AS$6-$G$3)&lt;1,0,IFERROR(LOOKUP(2,1/(Amendoim!$E52:INDEX(Amendoim!$E52:$Z52,MIN(AS$6-$G$3,22))&lt;&gt;""),Amendoim!$E52:INDEX(Amendoim!$E52:$Z52,MIN(AS$6-$G$3,22))),0)))))</f>
        <v>0</v>
      </c>
      <c r="AT54" s="27" t="n">
        <f aca="false">IF(COUNT(Amendoim!$E52:$Z52)=0,0,MAX(0,IF((AT$6-$E$3)&lt;1,0,IFERROR(LOOKUP(2,1/(Amendoim!$E52:INDEX(Amendoim!$E52:$Z52,MIN(AT$6-$E$3,22))&lt;&gt;""),Amendoim!$E52:INDEX(Amendoim!$E52:$Z52,MIN(AT$6-$E$3,22))),0))-IF($G$2,0,IF((AT$6-$G$3)&lt;1,0,IFERROR(LOOKUP(2,1/(Amendoim!$E52:INDEX(Amendoim!$E52:$Z52,MIN(AT$6-$G$3,22))&lt;&gt;""),Amendoim!$E52:INDEX(Amendoim!$E52:$Z52,MIN(AT$6-$G$3,22))),0)))))</f>
        <v>0</v>
      </c>
      <c r="AU54" s="27" t="n">
        <f aca="false">IF(COUNT(Amendoim!$E52:$Z52)=0,0,MAX(0,IF((AU$6-$E$3)&lt;1,0,IFERROR(LOOKUP(2,1/(Amendoim!$E52:INDEX(Amendoim!$E52:$Z52,MIN(AU$6-$E$3,22))&lt;&gt;""),Amendoim!$E52:INDEX(Amendoim!$E52:$Z52,MIN(AU$6-$E$3,22))),0))-IF($G$2,0,IF((AU$6-$G$3)&lt;1,0,IFERROR(LOOKUP(2,1/(Amendoim!$E52:INDEX(Amendoim!$E52:$Z52,MIN(AU$6-$G$3,22))&lt;&gt;""),Amendoim!$E52:INDEX(Amendoim!$E52:$Z52,MIN(AU$6-$G$3,22))),0)))))</f>
        <v>0</v>
      </c>
      <c r="AV54" s="27" t="n">
        <f aca="false">IF(COUNT(Amendoim!$E52:$Z52)=0,0,MAX(0,IF((AV$6-$E$3)&lt;1,0,IFERROR(LOOKUP(2,1/(Amendoim!$E52:INDEX(Amendoim!$E52:$Z52,MIN(AV$6-$E$3,22))&lt;&gt;""),Amendoim!$E52:INDEX(Amendoim!$E52:$Z52,MIN(AV$6-$E$3,22))),0))-IF($G$2,0,IF((AV$6-$G$3)&lt;1,0,IFERROR(LOOKUP(2,1/(Amendoim!$E52:INDEX(Amendoim!$E52:$Z52,MIN(AV$6-$G$3,22))&lt;&gt;""),Amendoim!$E52:INDEX(Amendoim!$E52:$Z52,MIN(AV$6-$G$3,22))),0)))))</f>
        <v>0</v>
      </c>
      <c r="AW54" s="27" t="n">
        <f aca="false">IF(COUNT(Amendoim!$E52:$Z52)=0,0,MAX(0,IF((AW$6-$E$3)&lt;1,0,IFERROR(LOOKUP(2,1/(Amendoim!$E52:INDEX(Amendoim!$E52:$Z52,MIN(AW$6-$E$3,22))&lt;&gt;""),Amendoim!$E52:INDEX(Amendoim!$E52:$Z52,MIN(AW$6-$E$3,22))),0))-IF($G$2,0,IF((AW$6-$G$3)&lt;1,0,IFERROR(LOOKUP(2,1/(Amendoim!$E52:INDEX(Amendoim!$E52:$Z52,MIN(AW$6-$G$3,22))&lt;&gt;""),Amendoim!$E52:INDEX(Amendoim!$E52:$Z52,MIN(AW$6-$G$3,22))),0)))))</f>
        <v>0</v>
      </c>
      <c r="AX54" s="27" t="n">
        <f aca="false">IF(COUNT(Amendoim!$E52:$Z52)=0,0,MAX(0,IF((AX$6-$E$3)&lt;1,0,IFERROR(LOOKUP(2,1/(Amendoim!$E52:INDEX(Amendoim!$E52:$Z52,MIN(AX$6-$E$3,22))&lt;&gt;""),Amendoim!$E52:INDEX(Amendoim!$E52:$Z52,MIN(AX$6-$E$3,22))),0))-IF($G$2,0,IF((AX$6-$G$3)&lt;1,0,IFERROR(LOOKUP(2,1/(Amendoim!$E52:INDEX(Amendoim!$E52:$Z52,MIN(AX$6-$G$3,22))&lt;&gt;""),Amendoim!$E52:INDEX(Amendoim!$E52:$Z52,MIN(AX$6-$G$3,22))),0)))))</f>
        <v>0</v>
      </c>
      <c r="AY54" s="27" t="n">
        <f aca="false">IF(COUNT(Amendoim!$E52:$Z52)=0,0,MAX(0,IF((AY$6-$E$3)&lt;1,0,IFERROR(LOOKUP(2,1/(Amendoim!$E52:INDEX(Amendoim!$E52:$Z52,MIN(AY$6-$E$3,22))&lt;&gt;""),Amendoim!$E52:INDEX(Amendoim!$E52:$Z52,MIN(AY$6-$E$3,22))),0))-IF($G$2,0,IF((AY$6-$G$3)&lt;1,0,IFERROR(LOOKUP(2,1/(Amendoim!$E52:INDEX(Amendoim!$E52:$Z52,MIN(AY$6-$G$3,22))&lt;&gt;""),Amendoim!$E52:INDEX(Amendoim!$E52:$Z52,MIN(AY$6-$G$3,22))),0)))))</f>
        <v>0</v>
      </c>
      <c r="AZ54" s="27" t="n">
        <f aca="false">IF(COUNT(Amendoim!$E52:$Z52)=0,0,MAX(0,IF((AZ$6-$E$3)&lt;1,0,IFERROR(LOOKUP(2,1/(Amendoim!$E52:INDEX(Amendoim!$E52:$Z52,MIN(AZ$6-$E$3,22))&lt;&gt;""),Amendoim!$E52:INDEX(Amendoim!$E52:$Z52,MIN(AZ$6-$E$3,22))),0))-IF($G$2,0,IF((AZ$6-$G$3)&lt;1,0,IFERROR(LOOKUP(2,1/(Amendoim!$E52:INDEX(Amendoim!$E52:$Z52,MIN(AZ$6-$G$3,22))&lt;&gt;""),Amendoim!$E52:INDEX(Amendoim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IF(COUNT(Amendoim!$E53:$Z53)&gt;0,N(Amendoim!$D53),0)</f>
        <v>0</v>
      </c>
      <c r="E55" s="27" t="n">
        <f aca="false">IF(COUNT(Amendoim!$E53:$Z53)=0,0,MAX(0,IF((E$6-$E$3)&lt;1,0,IFERROR(LOOKUP(2,1/(Amendoim!$E53:INDEX(Amendoim!$E53:$Z53,MIN(E$6-$E$3,22))&lt;&gt;""),Amendoim!$E53:INDEX(Amendoim!$E53:$Z53,MIN(E$6-$E$3,22))),0))-IF($G$2,0,IF((E$6-$G$3)&lt;1,0,IFERROR(LOOKUP(2,1/(Amendoim!$E53:INDEX(Amendoim!$E53:$Z53,MIN(E$6-$G$3,22))&lt;&gt;""),Amendoim!$E53:INDEX(Amendoim!$E53:$Z53,MIN(E$6-$G$3,22))),0)))))</f>
        <v>0</v>
      </c>
      <c r="F55" s="27" t="n">
        <f aca="false">IF(COUNT(Amendoim!$E53:$Z53)=0,0,MAX(0,IF((F$6-$E$3)&lt;1,0,IFERROR(LOOKUP(2,1/(Amendoim!$E53:INDEX(Amendoim!$E53:$Z53,MIN(F$6-$E$3,22))&lt;&gt;""),Amendoim!$E53:INDEX(Amendoim!$E53:$Z53,MIN(F$6-$E$3,22))),0))-IF($G$2,0,IF((F$6-$G$3)&lt;1,0,IFERROR(LOOKUP(2,1/(Amendoim!$E53:INDEX(Amendoim!$E53:$Z53,MIN(F$6-$G$3,22))&lt;&gt;""),Amendoim!$E53:INDEX(Amendoim!$E53:$Z53,MIN(F$6-$G$3,22))),0)))))</f>
        <v>0</v>
      </c>
      <c r="G55" s="27" t="n">
        <f aca="false">IF(COUNT(Amendoim!$E53:$Z53)=0,0,MAX(0,IF((G$6-$E$3)&lt;1,0,IFERROR(LOOKUP(2,1/(Amendoim!$E53:INDEX(Amendoim!$E53:$Z53,MIN(G$6-$E$3,22))&lt;&gt;""),Amendoim!$E53:INDEX(Amendoim!$E53:$Z53,MIN(G$6-$E$3,22))),0))-IF($G$2,0,IF((G$6-$G$3)&lt;1,0,IFERROR(LOOKUP(2,1/(Amendoim!$E53:INDEX(Amendoim!$E53:$Z53,MIN(G$6-$G$3,22))&lt;&gt;""),Amendoim!$E53:INDEX(Amendoim!$E53:$Z53,MIN(G$6-$G$3,22))),0)))))</f>
        <v>0</v>
      </c>
      <c r="H55" s="27" t="n">
        <f aca="false">IF(COUNT(Amendoim!$E53:$Z53)=0,0,MAX(0,IF((H$6-$E$3)&lt;1,0,IFERROR(LOOKUP(2,1/(Amendoim!$E53:INDEX(Amendoim!$E53:$Z53,MIN(H$6-$E$3,22))&lt;&gt;""),Amendoim!$E53:INDEX(Amendoim!$E53:$Z53,MIN(H$6-$E$3,22))),0))-IF($G$2,0,IF((H$6-$G$3)&lt;1,0,IFERROR(LOOKUP(2,1/(Amendoim!$E53:INDEX(Amendoim!$E53:$Z53,MIN(H$6-$G$3,22))&lt;&gt;""),Amendoim!$E53:INDEX(Amendoim!$E53:$Z53,MIN(H$6-$G$3,22))),0)))))</f>
        <v>0</v>
      </c>
      <c r="I55" s="27" t="n">
        <f aca="false">IF(COUNT(Amendoim!$E53:$Z53)=0,0,MAX(0,IF((I$6-$E$3)&lt;1,0,IFERROR(LOOKUP(2,1/(Amendoim!$E53:INDEX(Amendoim!$E53:$Z53,MIN(I$6-$E$3,22))&lt;&gt;""),Amendoim!$E53:INDEX(Amendoim!$E53:$Z53,MIN(I$6-$E$3,22))),0))-IF($G$2,0,IF((I$6-$G$3)&lt;1,0,IFERROR(LOOKUP(2,1/(Amendoim!$E53:INDEX(Amendoim!$E53:$Z53,MIN(I$6-$G$3,22))&lt;&gt;""),Amendoim!$E53:INDEX(Amendoim!$E53:$Z53,MIN(I$6-$G$3,22))),0)))))</f>
        <v>0</v>
      </c>
      <c r="J55" s="27" t="n">
        <f aca="false">IF(COUNT(Amendoim!$E53:$Z53)=0,0,MAX(0,IF((J$6-$E$3)&lt;1,0,IFERROR(LOOKUP(2,1/(Amendoim!$E53:INDEX(Amendoim!$E53:$Z53,MIN(J$6-$E$3,22))&lt;&gt;""),Amendoim!$E53:INDEX(Amendoim!$E53:$Z53,MIN(J$6-$E$3,22))),0))-IF($G$2,0,IF((J$6-$G$3)&lt;1,0,IFERROR(LOOKUP(2,1/(Amendoim!$E53:INDEX(Amendoim!$E53:$Z53,MIN(J$6-$G$3,22))&lt;&gt;""),Amendoim!$E53:INDEX(Amendoim!$E53:$Z53,MIN(J$6-$G$3,22))),0)))))</f>
        <v>0</v>
      </c>
      <c r="K55" s="27" t="n">
        <f aca="false">IF(COUNT(Amendoim!$E53:$Z53)=0,0,MAX(0,IF((K$6-$E$3)&lt;1,0,IFERROR(LOOKUP(2,1/(Amendoim!$E53:INDEX(Amendoim!$E53:$Z53,MIN(K$6-$E$3,22))&lt;&gt;""),Amendoim!$E53:INDEX(Amendoim!$E53:$Z53,MIN(K$6-$E$3,22))),0))-IF($G$2,0,IF((K$6-$G$3)&lt;1,0,IFERROR(LOOKUP(2,1/(Amendoim!$E53:INDEX(Amendoim!$E53:$Z53,MIN(K$6-$G$3,22))&lt;&gt;""),Amendoim!$E53:INDEX(Amendoim!$E53:$Z53,MIN(K$6-$G$3,22))),0)))))</f>
        <v>0</v>
      </c>
      <c r="L55" s="27" t="n">
        <f aca="false">IF(COUNT(Amendoim!$E53:$Z53)=0,0,MAX(0,IF((L$6-$E$3)&lt;1,0,IFERROR(LOOKUP(2,1/(Amendoim!$E53:INDEX(Amendoim!$E53:$Z53,MIN(L$6-$E$3,22))&lt;&gt;""),Amendoim!$E53:INDEX(Amendoim!$E53:$Z53,MIN(L$6-$E$3,22))),0))-IF($G$2,0,IF((L$6-$G$3)&lt;1,0,IFERROR(LOOKUP(2,1/(Amendoim!$E53:INDEX(Amendoim!$E53:$Z53,MIN(L$6-$G$3,22))&lt;&gt;""),Amendoim!$E53:INDEX(Amendoim!$E53:$Z53,MIN(L$6-$G$3,22))),0)))))</f>
        <v>0</v>
      </c>
      <c r="M55" s="27" t="n">
        <f aca="false">IF(COUNT(Amendoim!$E53:$Z53)=0,0,MAX(0,IF((M$6-$E$3)&lt;1,0,IFERROR(LOOKUP(2,1/(Amendoim!$E53:INDEX(Amendoim!$E53:$Z53,MIN(M$6-$E$3,22))&lt;&gt;""),Amendoim!$E53:INDEX(Amendoim!$E53:$Z53,MIN(M$6-$E$3,22))),0))-IF($G$2,0,IF((M$6-$G$3)&lt;1,0,IFERROR(LOOKUP(2,1/(Amendoim!$E53:INDEX(Amendoim!$E53:$Z53,MIN(M$6-$G$3,22))&lt;&gt;""),Amendoim!$E53:INDEX(Amendoim!$E53:$Z53,MIN(M$6-$G$3,22))),0)))))</f>
        <v>0</v>
      </c>
      <c r="N55" s="27" t="n">
        <f aca="false">IF(COUNT(Amendoim!$E53:$Z53)=0,0,MAX(0,IF((N$6-$E$3)&lt;1,0,IFERROR(LOOKUP(2,1/(Amendoim!$E53:INDEX(Amendoim!$E53:$Z53,MIN(N$6-$E$3,22))&lt;&gt;""),Amendoim!$E53:INDEX(Amendoim!$E53:$Z53,MIN(N$6-$E$3,22))),0))-IF($G$2,0,IF((N$6-$G$3)&lt;1,0,IFERROR(LOOKUP(2,1/(Amendoim!$E53:INDEX(Amendoim!$E53:$Z53,MIN(N$6-$G$3,22))&lt;&gt;""),Amendoim!$E53:INDEX(Amendoim!$E53:$Z53,MIN(N$6-$G$3,22))),0)))))</f>
        <v>0</v>
      </c>
      <c r="O55" s="27" t="n">
        <f aca="false">IF(COUNT(Amendoim!$E53:$Z53)=0,0,MAX(0,IF((O$6-$E$3)&lt;1,0,IFERROR(LOOKUP(2,1/(Amendoim!$E53:INDEX(Amendoim!$E53:$Z53,MIN(O$6-$E$3,22))&lt;&gt;""),Amendoim!$E53:INDEX(Amendoim!$E53:$Z53,MIN(O$6-$E$3,22))),0))-IF($G$2,0,IF((O$6-$G$3)&lt;1,0,IFERROR(LOOKUP(2,1/(Amendoim!$E53:INDEX(Amendoim!$E53:$Z53,MIN(O$6-$G$3,22))&lt;&gt;""),Amendoim!$E53:INDEX(Amendoim!$E53:$Z53,MIN(O$6-$G$3,22))),0)))))</f>
        <v>0</v>
      </c>
      <c r="P55" s="27" t="n">
        <f aca="false">IF(COUNT(Amendoim!$E53:$Z53)=0,0,MAX(0,IF((P$6-$E$3)&lt;1,0,IFERROR(LOOKUP(2,1/(Amendoim!$E53:INDEX(Amendoim!$E53:$Z53,MIN(P$6-$E$3,22))&lt;&gt;""),Amendoim!$E53:INDEX(Amendoim!$E53:$Z53,MIN(P$6-$E$3,22))),0))-IF($G$2,0,IF((P$6-$G$3)&lt;1,0,IFERROR(LOOKUP(2,1/(Amendoim!$E53:INDEX(Amendoim!$E53:$Z53,MIN(P$6-$G$3,22))&lt;&gt;""),Amendoim!$E53:INDEX(Amendoim!$E53:$Z53,MIN(P$6-$G$3,22))),0)))))</f>
        <v>0</v>
      </c>
      <c r="Q55" s="27" t="n">
        <f aca="false">IF(COUNT(Amendoim!$E53:$Z53)=0,0,MAX(0,IF((Q$6-$E$3)&lt;1,0,IFERROR(LOOKUP(2,1/(Amendoim!$E53:INDEX(Amendoim!$E53:$Z53,MIN(Q$6-$E$3,22))&lt;&gt;""),Amendoim!$E53:INDEX(Amendoim!$E53:$Z53,MIN(Q$6-$E$3,22))),0))-IF($G$2,0,IF((Q$6-$G$3)&lt;1,0,IFERROR(LOOKUP(2,1/(Amendoim!$E53:INDEX(Amendoim!$E53:$Z53,MIN(Q$6-$G$3,22))&lt;&gt;""),Amendoim!$E53:INDEX(Amendoim!$E53:$Z53,MIN(Q$6-$G$3,22))),0)))))</f>
        <v>0</v>
      </c>
      <c r="R55" s="27" t="n">
        <f aca="false">IF(COUNT(Amendoim!$E53:$Z53)=0,0,MAX(0,IF((R$6-$E$3)&lt;1,0,IFERROR(LOOKUP(2,1/(Amendoim!$E53:INDEX(Amendoim!$E53:$Z53,MIN(R$6-$E$3,22))&lt;&gt;""),Amendoim!$E53:INDEX(Amendoim!$E53:$Z53,MIN(R$6-$E$3,22))),0))-IF($G$2,0,IF((R$6-$G$3)&lt;1,0,IFERROR(LOOKUP(2,1/(Amendoim!$E53:INDEX(Amendoim!$E53:$Z53,MIN(R$6-$G$3,22))&lt;&gt;""),Amendoim!$E53:INDEX(Amendoim!$E53:$Z53,MIN(R$6-$G$3,22))),0)))))</f>
        <v>0</v>
      </c>
      <c r="S55" s="27" t="n">
        <f aca="false">IF(COUNT(Amendoim!$E53:$Z53)=0,0,MAX(0,IF((S$6-$E$3)&lt;1,0,IFERROR(LOOKUP(2,1/(Amendoim!$E53:INDEX(Amendoim!$E53:$Z53,MIN(S$6-$E$3,22))&lt;&gt;""),Amendoim!$E53:INDEX(Amendoim!$E53:$Z53,MIN(S$6-$E$3,22))),0))-IF($G$2,0,IF((S$6-$G$3)&lt;1,0,IFERROR(LOOKUP(2,1/(Amendoim!$E53:INDEX(Amendoim!$E53:$Z53,MIN(S$6-$G$3,22))&lt;&gt;""),Amendoim!$E53:INDEX(Amendoim!$E53:$Z53,MIN(S$6-$G$3,22))),0)))))</f>
        <v>0</v>
      </c>
      <c r="T55" s="27" t="n">
        <f aca="false">IF(COUNT(Amendoim!$E53:$Z53)=0,0,MAX(0,IF((T$6-$E$3)&lt;1,0,IFERROR(LOOKUP(2,1/(Amendoim!$E53:INDEX(Amendoim!$E53:$Z53,MIN(T$6-$E$3,22))&lt;&gt;""),Amendoim!$E53:INDEX(Amendoim!$E53:$Z53,MIN(T$6-$E$3,22))),0))-IF($G$2,0,IF((T$6-$G$3)&lt;1,0,IFERROR(LOOKUP(2,1/(Amendoim!$E53:INDEX(Amendoim!$E53:$Z53,MIN(T$6-$G$3,22))&lt;&gt;""),Amendoim!$E53:INDEX(Amendoim!$E53:$Z53,MIN(T$6-$G$3,22))),0)))))</f>
        <v>0</v>
      </c>
      <c r="U55" s="27" t="n">
        <f aca="false">IF(COUNT(Amendoim!$E53:$Z53)=0,0,MAX(0,IF((U$6-$E$3)&lt;1,0,IFERROR(LOOKUP(2,1/(Amendoim!$E53:INDEX(Amendoim!$E53:$Z53,MIN(U$6-$E$3,22))&lt;&gt;""),Amendoim!$E53:INDEX(Amendoim!$E53:$Z53,MIN(U$6-$E$3,22))),0))-IF($G$2,0,IF((U$6-$G$3)&lt;1,0,IFERROR(LOOKUP(2,1/(Amendoim!$E53:INDEX(Amendoim!$E53:$Z53,MIN(U$6-$G$3,22))&lt;&gt;""),Amendoim!$E53:INDEX(Amendoim!$E53:$Z53,MIN(U$6-$G$3,22))),0)))))</f>
        <v>0</v>
      </c>
      <c r="V55" s="27" t="n">
        <f aca="false">IF(COUNT(Amendoim!$E53:$Z53)=0,0,MAX(0,IF((V$6-$E$3)&lt;1,0,IFERROR(LOOKUP(2,1/(Amendoim!$E53:INDEX(Amendoim!$E53:$Z53,MIN(V$6-$E$3,22))&lt;&gt;""),Amendoim!$E53:INDEX(Amendoim!$E53:$Z53,MIN(V$6-$E$3,22))),0))-IF($G$2,0,IF((V$6-$G$3)&lt;1,0,IFERROR(LOOKUP(2,1/(Amendoim!$E53:INDEX(Amendoim!$E53:$Z53,MIN(V$6-$G$3,22))&lt;&gt;""),Amendoim!$E53:INDEX(Amendoim!$E53:$Z53,MIN(V$6-$G$3,22))),0)))))</f>
        <v>0</v>
      </c>
      <c r="W55" s="27" t="n">
        <f aca="false">IF(COUNT(Amendoim!$E53:$Z53)=0,0,MAX(0,IF((W$6-$E$3)&lt;1,0,IFERROR(LOOKUP(2,1/(Amendoim!$E53:INDEX(Amendoim!$E53:$Z53,MIN(W$6-$E$3,22))&lt;&gt;""),Amendoim!$E53:INDEX(Amendoim!$E53:$Z53,MIN(W$6-$E$3,22))),0))-IF($G$2,0,IF((W$6-$G$3)&lt;1,0,IFERROR(LOOKUP(2,1/(Amendoim!$E53:INDEX(Amendoim!$E53:$Z53,MIN(W$6-$G$3,22))&lt;&gt;""),Amendoim!$E53:INDEX(Amendoim!$E53:$Z53,MIN(W$6-$G$3,22))),0)))))</f>
        <v>0</v>
      </c>
      <c r="X55" s="27" t="n">
        <f aca="false">IF(COUNT(Amendoim!$E53:$Z53)=0,0,MAX(0,IF((X$6-$E$3)&lt;1,0,IFERROR(LOOKUP(2,1/(Amendoim!$E53:INDEX(Amendoim!$E53:$Z53,MIN(X$6-$E$3,22))&lt;&gt;""),Amendoim!$E53:INDEX(Amendoim!$E53:$Z53,MIN(X$6-$E$3,22))),0))-IF($G$2,0,IF((X$6-$G$3)&lt;1,0,IFERROR(LOOKUP(2,1/(Amendoim!$E53:INDEX(Amendoim!$E53:$Z53,MIN(X$6-$G$3,22))&lt;&gt;""),Amendoim!$E53:INDEX(Amendoim!$E53:$Z53,MIN(X$6-$G$3,22))),0)))))</f>
        <v>0</v>
      </c>
      <c r="Y55" s="27" t="n">
        <f aca="false">IF(COUNT(Amendoim!$E53:$Z53)=0,0,MAX(0,IF((Y$6-$E$3)&lt;1,0,IFERROR(LOOKUP(2,1/(Amendoim!$E53:INDEX(Amendoim!$E53:$Z53,MIN(Y$6-$E$3,22))&lt;&gt;""),Amendoim!$E53:INDEX(Amendoim!$E53:$Z53,MIN(Y$6-$E$3,22))),0))-IF($G$2,0,IF((Y$6-$G$3)&lt;1,0,IFERROR(LOOKUP(2,1/(Amendoim!$E53:INDEX(Amendoim!$E53:$Z53,MIN(Y$6-$G$3,22))&lt;&gt;""),Amendoim!$E53:INDEX(Amendoim!$E53:$Z53,MIN(Y$6-$G$3,22))),0)))))</f>
        <v>0</v>
      </c>
      <c r="Z55" s="27" t="n">
        <f aca="false">IF(COUNT(Amendoim!$E53:$Z53)=0,0,MAX(0,IF((Z$6-$E$3)&lt;1,0,IFERROR(LOOKUP(2,1/(Amendoim!$E53:INDEX(Amendoim!$E53:$Z53,MIN(Z$6-$E$3,22))&lt;&gt;""),Amendoim!$E53:INDEX(Amendoim!$E53:$Z53,MIN(Z$6-$E$3,22))),0))-IF($G$2,0,IF((Z$6-$G$3)&lt;1,0,IFERROR(LOOKUP(2,1/(Amendoim!$E53:INDEX(Amendoim!$E53:$Z53,MIN(Z$6-$G$3,22))&lt;&gt;""),Amendoim!$E53:INDEX(Amendoim!$E53:$Z53,MIN(Z$6-$G$3,22))),0)))))</f>
        <v>0</v>
      </c>
      <c r="AA55" s="27" t="n">
        <f aca="false">IF(COUNT(Amendoim!$E53:$Z53)=0,0,MAX(0,IF((AA$6-$E$3)&lt;1,0,IFERROR(LOOKUP(2,1/(Amendoim!$E53:INDEX(Amendoim!$E53:$Z53,MIN(AA$6-$E$3,22))&lt;&gt;""),Amendoim!$E53:INDEX(Amendoim!$E53:$Z53,MIN(AA$6-$E$3,22))),0))-IF($G$2,0,IF((AA$6-$G$3)&lt;1,0,IFERROR(LOOKUP(2,1/(Amendoim!$E53:INDEX(Amendoim!$E53:$Z53,MIN(AA$6-$G$3,22))&lt;&gt;""),Amendoim!$E53:INDEX(Amendoim!$E53:$Z53,MIN(AA$6-$G$3,22))),0)))))</f>
        <v>0</v>
      </c>
      <c r="AB55" s="27" t="n">
        <f aca="false">IF(COUNT(Amendoim!$E53:$Z53)=0,0,MAX(0,IF((AB$6-$E$3)&lt;1,0,IFERROR(LOOKUP(2,1/(Amendoim!$E53:INDEX(Amendoim!$E53:$Z53,MIN(AB$6-$E$3,22))&lt;&gt;""),Amendoim!$E53:INDEX(Amendoim!$E53:$Z53,MIN(AB$6-$E$3,22))),0))-IF($G$2,0,IF((AB$6-$G$3)&lt;1,0,IFERROR(LOOKUP(2,1/(Amendoim!$E53:INDEX(Amendoim!$E53:$Z53,MIN(AB$6-$G$3,22))&lt;&gt;""),Amendoim!$E53:INDEX(Amendoim!$E53:$Z53,MIN(AB$6-$G$3,22))),0)))))</f>
        <v>0</v>
      </c>
      <c r="AC55" s="27" t="n">
        <f aca="false">IF(COUNT(Amendoim!$E53:$Z53)=0,0,MAX(0,IF((AC$6-$E$3)&lt;1,0,IFERROR(LOOKUP(2,1/(Amendoim!$E53:INDEX(Amendoim!$E53:$Z53,MIN(AC$6-$E$3,22))&lt;&gt;""),Amendoim!$E53:INDEX(Amendoim!$E53:$Z53,MIN(AC$6-$E$3,22))),0))-IF($G$2,0,IF((AC$6-$G$3)&lt;1,0,IFERROR(LOOKUP(2,1/(Amendoim!$E53:INDEX(Amendoim!$E53:$Z53,MIN(AC$6-$G$3,22))&lt;&gt;""),Amendoim!$E53:INDEX(Amendoim!$E53:$Z53,MIN(AC$6-$G$3,22))),0)))))</f>
        <v>0</v>
      </c>
      <c r="AD55" s="27" t="n">
        <f aca="false">IF(COUNT(Amendoim!$E53:$Z53)=0,0,MAX(0,IF((AD$6-$E$3)&lt;1,0,IFERROR(LOOKUP(2,1/(Amendoim!$E53:INDEX(Amendoim!$E53:$Z53,MIN(AD$6-$E$3,22))&lt;&gt;""),Amendoim!$E53:INDEX(Amendoim!$E53:$Z53,MIN(AD$6-$E$3,22))),0))-IF($G$2,0,IF((AD$6-$G$3)&lt;1,0,IFERROR(LOOKUP(2,1/(Amendoim!$E53:INDEX(Amendoim!$E53:$Z53,MIN(AD$6-$G$3,22))&lt;&gt;""),Amendoim!$E53:INDEX(Amendoim!$E53:$Z53,MIN(AD$6-$G$3,22))),0)))))</f>
        <v>0</v>
      </c>
      <c r="AE55" s="27" t="n">
        <f aca="false">IF(COUNT(Amendoim!$E53:$Z53)=0,0,MAX(0,IF((AE$6-$E$3)&lt;1,0,IFERROR(LOOKUP(2,1/(Amendoim!$E53:INDEX(Amendoim!$E53:$Z53,MIN(AE$6-$E$3,22))&lt;&gt;""),Amendoim!$E53:INDEX(Amendoim!$E53:$Z53,MIN(AE$6-$E$3,22))),0))-IF($G$2,0,IF((AE$6-$G$3)&lt;1,0,IFERROR(LOOKUP(2,1/(Amendoim!$E53:INDEX(Amendoim!$E53:$Z53,MIN(AE$6-$G$3,22))&lt;&gt;""),Amendoim!$E53:INDEX(Amendoim!$E53:$Z53,MIN(AE$6-$G$3,22))),0)))))</f>
        <v>0</v>
      </c>
      <c r="AF55" s="27" t="n">
        <f aca="false">IF(COUNT(Amendoim!$E53:$Z53)=0,0,MAX(0,IF((AF$6-$E$3)&lt;1,0,IFERROR(LOOKUP(2,1/(Amendoim!$E53:INDEX(Amendoim!$E53:$Z53,MIN(AF$6-$E$3,22))&lt;&gt;""),Amendoim!$E53:INDEX(Amendoim!$E53:$Z53,MIN(AF$6-$E$3,22))),0))-IF($G$2,0,IF((AF$6-$G$3)&lt;1,0,IFERROR(LOOKUP(2,1/(Amendoim!$E53:INDEX(Amendoim!$E53:$Z53,MIN(AF$6-$G$3,22))&lt;&gt;""),Amendoim!$E53:INDEX(Amendoim!$E53:$Z53,MIN(AF$6-$G$3,22))),0)))))</f>
        <v>0</v>
      </c>
      <c r="AG55" s="27" t="n">
        <f aca="false">IF(COUNT(Amendoim!$E53:$Z53)=0,0,MAX(0,IF((AG$6-$E$3)&lt;1,0,IFERROR(LOOKUP(2,1/(Amendoim!$E53:INDEX(Amendoim!$E53:$Z53,MIN(AG$6-$E$3,22))&lt;&gt;""),Amendoim!$E53:INDEX(Amendoim!$E53:$Z53,MIN(AG$6-$E$3,22))),0))-IF($G$2,0,IF((AG$6-$G$3)&lt;1,0,IFERROR(LOOKUP(2,1/(Amendoim!$E53:INDEX(Amendoim!$E53:$Z53,MIN(AG$6-$G$3,22))&lt;&gt;""),Amendoim!$E53:INDEX(Amendoim!$E53:$Z53,MIN(AG$6-$G$3,22))),0)))))</f>
        <v>0</v>
      </c>
      <c r="AH55" s="27" t="n">
        <f aca="false">IF(COUNT(Amendoim!$E53:$Z53)=0,0,MAX(0,IF((AH$6-$E$3)&lt;1,0,IFERROR(LOOKUP(2,1/(Amendoim!$E53:INDEX(Amendoim!$E53:$Z53,MIN(AH$6-$E$3,22))&lt;&gt;""),Amendoim!$E53:INDEX(Amendoim!$E53:$Z53,MIN(AH$6-$E$3,22))),0))-IF($G$2,0,IF((AH$6-$G$3)&lt;1,0,IFERROR(LOOKUP(2,1/(Amendoim!$E53:INDEX(Amendoim!$E53:$Z53,MIN(AH$6-$G$3,22))&lt;&gt;""),Amendoim!$E53:INDEX(Amendoim!$E53:$Z53,MIN(AH$6-$G$3,22))),0)))))</f>
        <v>0</v>
      </c>
      <c r="AI55" s="27" t="n">
        <f aca="false">IF(COUNT(Amendoim!$E53:$Z53)=0,0,MAX(0,IF((AI$6-$E$3)&lt;1,0,IFERROR(LOOKUP(2,1/(Amendoim!$E53:INDEX(Amendoim!$E53:$Z53,MIN(AI$6-$E$3,22))&lt;&gt;""),Amendoim!$E53:INDEX(Amendoim!$E53:$Z53,MIN(AI$6-$E$3,22))),0))-IF($G$2,0,IF((AI$6-$G$3)&lt;1,0,IFERROR(LOOKUP(2,1/(Amendoim!$E53:INDEX(Amendoim!$E53:$Z53,MIN(AI$6-$G$3,22))&lt;&gt;""),Amendoim!$E53:INDEX(Amendoim!$E53:$Z53,MIN(AI$6-$G$3,22))),0)))))</f>
        <v>0</v>
      </c>
      <c r="AJ55" s="27" t="n">
        <f aca="false">IF(COUNT(Amendoim!$E53:$Z53)=0,0,MAX(0,IF((AJ$6-$E$3)&lt;1,0,IFERROR(LOOKUP(2,1/(Amendoim!$E53:INDEX(Amendoim!$E53:$Z53,MIN(AJ$6-$E$3,22))&lt;&gt;""),Amendoim!$E53:INDEX(Amendoim!$E53:$Z53,MIN(AJ$6-$E$3,22))),0))-IF($G$2,0,IF((AJ$6-$G$3)&lt;1,0,IFERROR(LOOKUP(2,1/(Amendoim!$E53:INDEX(Amendoim!$E53:$Z53,MIN(AJ$6-$G$3,22))&lt;&gt;""),Amendoim!$E53:INDEX(Amendoim!$E53:$Z53,MIN(AJ$6-$G$3,22))),0)))))</f>
        <v>0</v>
      </c>
      <c r="AK55" s="27" t="n">
        <f aca="false">IF(COUNT(Amendoim!$E53:$Z53)=0,0,MAX(0,IF((AK$6-$E$3)&lt;1,0,IFERROR(LOOKUP(2,1/(Amendoim!$E53:INDEX(Amendoim!$E53:$Z53,MIN(AK$6-$E$3,22))&lt;&gt;""),Amendoim!$E53:INDEX(Amendoim!$E53:$Z53,MIN(AK$6-$E$3,22))),0))-IF($G$2,0,IF((AK$6-$G$3)&lt;1,0,IFERROR(LOOKUP(2,1/(Amendoim!$E53:INDEX(Amendoim!$E53:$Z53,MIN(AK$6-$G$3,22))&lt;&gt;""),Amendoim!$E53:INDEX(Amendoim!$E53:$Z53,MIN(AK$6-$G$3,22))),0)))))</f>
        <v>0</v>
      </c>
      <c r="AL55" s="27" t="n">
        <f aca="false">IF(COUNT(Amendoim!$E53:$Z53)=0,0,MAX(0,IF((AL$6-$E$3)&lt;1,0,IFERROR(LOOKUP(2,1/(Amendoim!$E53:INDEX(Amendoim!$E53:$Z53,MIN(AL$6-$E$3,22))&lt;&gt;""),Amendoim!$E53:INDEX(Amendoim!$E53:$Z53,MIN(AL$6-$E$3,22))),0))-IF($G$2,0,IF((AL$6-$G$3)&lt;1,0,IFERROR(LOOKUP(2,1/(Amendoim!$E53:INDEX(Amendoim!$E53:$Z53,MIN(AL$6-$G$3,22))&lt;&gt;""),Amendoim!$E53:INDEX(Amendoim!$E53:$Z53,MIN(AL$6-$G$3,22))),0)))))</f>
        <v>0</v>
      </c>
      <c r="AM55" s="27" t="n">
        <f aca="false">IF(COUNT(Amendoim!$E53:$Z53)=0,0,MAX(0,IF((AM$6-$E$3)&lt;1,0,IFERROR(LOOKUP(2,1/(Amendoim!$E53:INDEX(Amendoim!$E53:$Z53,MIN(AM$6-$E$3,22))&lt;&gt;""),Amendoim!$E53:INDEX(Amendoim!$E53:$Z53,MIN(AM$6-$E$3,22))),0))-IF($G$2,0,IF((AM$6-$G$3)&lt;1,0,IFERROR(LOOKUP(2,1/(Amendoim!$E53:INDEX(Amendoim!$E53:$Z53,MIN(AM$6-$G$3,22))&lt;&gt;""),Amendoim!$E53:INDEX(Amendoim!$E53:$Z53,MIN(AM$6-$G$3,22))),0)))))</f>
        <v>0</v>
      </c>
      <c r="AN55" s="27" t="n">
        <f aca="false">IF(COUNT(Amendoim!$E53:$Z53)=0,0,MAX(0,IF((AN$6-$E$3)&lt;1,0,IFERROR(LOOKUP(2,1/(Amendoim!$E53:INDEX(Amendoim!$E53:$Z53,MIN(AN$6-$E$3,22))&lt;&gt;""),Amendoim!$E53:INDEX(Amendoim!$E53:$Z53,MIN(AN$6-$E$3,22))),0))-IF($G$2,0,IF((AN$6-$G$3)&lt;1,0,IFERROR(LOOKUP(2,1/(Amendoim!$E53:INDEX(Amendoim!$E53:$Z53,MIN(AN$6-$G$3,22))&lt;&gt;""),Amendoim!$E53:INDEX(Amendoim!$E53:$Z53,MIN(AN$6-$G$3,22))),0)))))</f>
        <v>0</v>
      </c>
      <c r="AO55" s="27" t="n">
        <f aca="false">IF(COUNT(Amendoim!$E53:$Z53)=0,0,MAX(0,IF((AO$6-$E$3)&lt;1,0,IFERROR(LOOKUP(2,1/(Amendoim!$E53:INDEX(Amendoim!$E53:$Z53,MIN(AO$6-$E$3,22))&lt;&gt;""),Amendoim!$E53:INDEX(Amendoim!$E53:$Z53,MIN(AO$6-$E$3,22))),0))-IF($G$2,0,IF((AO$6-$G$3)&lt;1,0,IFERROR(LOOKUP(2,1/(Amendoim!$E53:INDEX(Amendoim!$E53:$Z53,MIN(AO$6-$G$3,22))&lt;&gt;""),Amendoim!$E53:INDEX(Amendoim!$E53:$Z53,MIN(AO$6-$G$3,22))),0)))))</f>
        <v>0</v>
      </c>
      <c r="AP55" s="27" t="n">
        <f aca="false">IF(COUNT(Amendoim!$E53:$Z53)=0,0,MAX(0,IF((AP$6-$E$3)&lt;1,0,IFERROR(LOOKUP(2,1/(Amendoim!$E53:INDEX(Amendoim!$E53:$Z53,MIN(AP$6-$E$3,22))&lt;&gt;""),Amendoim!$E53:INDEX(Amendoim!$E53:$Z53,MIN(AP$6-$E$3,22))),0))-IF($G$2,0,IF((AP$6-$G$3)&lt;1,0,IFERROR(LOOKUP(2,1/(Amendoim!$E53:INDEX(Amendoim!$E53:$Z53,MIN(AP$6-$G$3,22))&lt;&gt;""),Amendoim!$E53:INDEX(Amendoim!$E53:$Z53,MIN(AP$6-$G$3,22))),0)))))</f>
        <v>0</v>
      </c>
      <c r="AQ55" s="27" t="n">
        <f aca="false">IF(COUNT(Amendoim!$E53:$Z53)=0,0,MAX(0,IF((AQ$6-$E$3)&lt;1,0,IFERROR(LOOKUP(2,1/(Amendoim!$E53:INDEX(Amendoim!$E53:$Z53,MIN(AQ$6-$E$3,22))&lt;&gt;""),Amendoim!$E53:INDEX(Amendoim!$E53:$Z53,MIN(AQ$6-$E$3,22))),0))-IF($G$2,0,IF((AQ$6-$G$3)&lt;1,0,IFERROR(LOOKUP(2,1/(Amendoim!$E53:INDEX(Amendoim!$E53:$Z53,MIN(AQ$6-$G$3,22))&lt;&gt;""),Amendoim!$E53:INDEX(Amendoim!$E53:$Z53,MIN(AQ$6-$G$3,22))),0)))))</f>
        <v>0</v>
      </c>
      <c r="AR55" s="27" t="n">
        <f aca="false">IF(COUNT(Amendoim!$E53:$Z53)=0,0,MAX(0,IF((AR$6-$E$3)&lt;1,0,IFERROR(LOOKUP(2,1/(Amendoim!$E53:INDEX(Amendoim!$E53:$Z53,MIN(AR$6-$E$3,22))&lt;&gt;""),Amendoim!$E53:INDEX(Amendoim!$E53:$Z53,MIN(AR$6-$E$3,22))),0))-IF($G$2,0,IF((AR$6-$G$3)&lt;1,0,IFERROR(LOOKUP(2,1/(Amendoim!$E53:INDEX(Amendoim!$E53:$Z53,MIN(AR$6-$G$3,22))&lt;&gt;""),Amendoim!$E53:INDEX(Amendoim!$E53:$Z53,MIN(AR$6-$G$3,22))),0)))))</f>
        <v>0</v>
      </c>
      <c r="AS55" s="27" t="n">
        <f aca="false">IF(COUNT(Amendoim!$E53:$Z53)=0,0,MAX(0,IF((AS$6-$E$3)&lt;1,0,IFERROR(LOOKUP(2,1/(Amendoim!$E53:INDEX(Amendoim!$E53:$Z53,MIN(AS$6-$E$3,22))&lt;&gt;""),Amendoim!$E53:INDEX(Amendoim!$E53:$Z53,MIN(AS$6-$E$3,22))),0))-IF($G$2,0,IF((AS$6-$G$3)&lt;1,0,IFERROR(LOOKUP(2,1/(Amendoim!$E53:INDEX(Amendoim!$E53:$Z53,MIN(AS$6-$G$3,22))&lt;&gt;""),Amendoim!$E53:INDEX(Amendoim!$E53:$Z53,MIN(AS$6-$G$3,22))),0)))))</f>
        <v>0</v>
      </c>
      <c r="AT55" s="27" t="n">
        <f aca="false">IF(COUNT(Amendoim!$E53:$Z53)=0,0,MAX(0,IF((AT$6-$E$3)&lt;1,0,IFERROR(LOOKUP(2,1/(Amendoim!$E53:INDEX(Amendoim!$E53:$Z53,MIN(AT$6-$E$3,22))&lt;&gt;""),Amendoim!$E53:INDEX(Amendoim!$E53:$Z53,MIN(AT$6-$E$3,22))),0))-IF($G$2,0,IF((AT$6-$G$3)&lt;1,0,IFERROR(LOOKUP(2,1/(Amendoim!$E53:INDEX(Amendoim!$E53:$Z53,MIN(AT$6-$G$3,22))&lt;&gt;""),Amendoim!$E53:INDEX(Amendoim!$E53:$Z53,MIN(AT$6-$G$3,22))),0)))))</f>
        <v>0</v>
      </c>
      <c r="AU55" s="27" t="n">
        <f aca="false">IF(COUNT(Amendoim!$E53:$Z53)=0,0,MAX(0,IF((AU$6-$E$3)&lt;1,0,IFERROR(LOOKUP(2,1/(Amendoim!$E53:INDEX(Amendoim!$E53:$Z53,MIN(AU$6-$E$3,22))&lt;&gt;""),Amendoim!$E53:INDEX(Amendoim!$E53:$Z53,MIN(AU$6-$E$3,22))),0))-IF($G$2,0,IF((AU$6-$G$3)&lt;1,0,IFERROR(LOOKUP(2,1/(Amendoim!$E53:INDEX(Amendoim!$E53:$Z53,MIN(AU$6-$G$3,22))&lt;&gt;""),Amendoim!$E53:INDEX(Amendoim!$E53:$Z53,MIN(AU$6-$G$3,22))),0)))))</f>
        <v>0</v>
      </c>
      <c r="AV55" s="27" t="n">
        <f aca="false">IF(COUNT(Amendoim!$E53:$Z53)=0,0,MAX(0,IF((AV$6-$E$3)&lt;1,0,IFERROR(LOOKUP(2,1/(Amendoim!$E53:INDEX(Amendoim!$E53:$Z53,MIN(AV$6-$E$3,22))&lt;&gt;""),Amendoim!$E53:INDEX(Amendoim!$E53:$Z53,MIN(AV$6-$E$3,22))),0))-IF($G$2,0,IF((AV$6-$G$3)&lt;1,0,IFERROR(LOOKUP(2,1/(Amendoim!$E53:INDEX(Amendoim!$E53:$Z53,MIN(AV$6-$G$3,22))&lt;&gt;""),Amendoim!$E53:INDEX(Amendoim!$E53:$Z53,MIN(AV$6-$G$3,22))),0)))))</f>
        <v>0</v>
      </c>
      <c r="AW55" s="27" t="n">
        <f aca="false">IF(COUNT(Amendoim!$E53:$Z53)=0,0,MAX(0,IF((AW$6-$E$3)&lt;1,0,IFERROR(LOOKUP(2,1/(Amendoim!$E53:INDEX(Amendoim!$E53:$Z53,MIN(AW$6-$E$3,22))&lt;&gt;""),Amendoim!$E53:INDEX(Amendoim!$E53:$Z53,MIN(AW$6-$E$3,22))),0))-IF($G$2,0,IF((AW$6-$G$3)&lt;1,0,IFERROR(LOOKUP(2,1/(Amendoim!$E53:INDEX(Amendoim!$E53:$Z53,MIN(AW$6-$G$3,22))&lt;&gt;""),Amendoim!$E53:INDEX(Amendoim!$E53:$Z53,MIN(AW$6-$G$3,22))),0)))))</f>
        <v>0</v>
      </c>
      <c r="AX55" s="27" t="n">
        <f aca="false">IF(COUNT(Amendoim!$E53:$Z53)=0,0,MAX(0,IF((AX$6-$E$3)&lt;1,0,IFERROR(LOOKUP(2,1/(Amendoim!$E53:INDEX(Amendoim!$E53:$Z53,MIN(AX$6-$E$3,22))&lt;&gt;""),Amendoim!$E53:INDEX(Amendoim!$E53:$Z53,MIN(AX$6-$E$3,22))),0))-IF($G$2,0,IF((AX$6-$G$3)&lt;1,0,IFERROR(LOOKUP(2,1/(Amendoim!$E53:INDEX(Amendoim!$E53:$Z53,MIN(AX$6-$G$3,22))&lt;&gt;""),Amendoim!$E53:INDEX(Amendoim!$E53:$Z53,MIN(AX$6-$G$3,22))),0)))))</f>
        <v>0</v>
      </c>
      <c r="AY55" s="27" t="n">
        <f aca="false">IF(COUNT(Amendoim!$E53:$Z53)=0,0,MAX(0,IF((AY$6-$E$3)&lt;1,0,IFERROR(LOOKUP(2,1/(Amendoim!$E53:INDEX(Amendoim!$E53:$Z53,MIN(AY$6-$E$3,22))&lt;&gt;""),Amendoim!$E53:INDEX(Amendoim!$E53:$Z53,MIN(AY$6-$E$3,22))),0))-IF($G$2,0,IF((AY$6-$G$3)&lt;1,0,IFERROR(LOOKUP(2,1/(Amendoim!$E53:INDEX(Amendoim!$E53:$Z53,MIN(AY$6-$G$3,22))&lt;&gt;""),Amendoim!$E53:INDEX(Amendoim!$E53:$Z53,MIN(AY$6-$G$3,22))),0)))))</f>
        <v>0</v>
      </c>
      <c r="AZ55" s="27" t="n">
        <f aca="false">IF(COUNT(Amendoim!$E53:$Z53)=0,0,MAX(0,IF((AZ$6-$E$3)&lt;1,0,IFERROR(LOOKUP(2,1/(Amendoim!$E53:INDEX(Amendoim!$E53:$Z53,MIN(AZ$6-$E$3,22))&lt;&gt;""),Amendoim!$E53:INDEX(Amendoim!$E53:$Z53,MIN(AZ$6-$E$3,22))),0))-IF($G$2,0,IF((AZ$6-$G$3)&lt;1,0,IFERROR(LOOKUP(2,1/(Amendoim!$E53:INDEX(Amendoim!$E53:$Z53,MIN(AZ$6-$G$3,22))&lt;&gt;""),Amendoim!$E53:INDEX(Amendoim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IF(COUNT(Amendoim!$E54:$Z54)&gt;0,N(Amendoim!$D54),0)</f>
        <v>0</v>
      </c>
      <c r="E56" s="27" t="n">
        <f aca="false">IF(COUNT(Amendoim!$E54:$Z54)=0,0,MAX(0,IF((E$6-$E$3)&lt;1,0,IFERROR(LOOKUP(2,1/(Amendoim!$E54:INDEX(Amendoim!$E54:$Z54,MIN(E$6-$E$3,22))&lt;&gt;""),Amendoim!$E54:INDEX(Amendoim!$E54:$Z54,MIN(E$6-$E$3,22))),0))-IF($G$2,0,IF((E$6-$G$3)&lt;1,0,IFERROR(LOOKUP(2,1/(Amendoim!$E54:INDEX(Amendoim!$E54:$Z54,MIN(E$6-$G$3,22))&lt;&gt;""),Amendoim!$E54:INDEX(Amendoim!$E54:$Z54,MIN(E$6-$G$3,22))),0)))))</f>
        <v>0</v>
      </c>
      <c r="F56" s="27" t="n">
        <f aca="false">IF(COUNT(Amendoim!$E54:$Z54)=0,0,MAX(0,IF((F$6-$E$3)&lt;1,0,IFERROR(LOOKUP(2,1/(Amendoim!$E54:INDEX(Amendoim!$E54:$Z54,MIN(F$6-$E$3,22))&lt;&gt;""),Amendoim!$E54:INDEX(Amendoim!$E54:$Z54,MIN(F$6-$E$3,22))),0))-IF($G$2,0,IF((F$6-$G$3)&lt;1,0,IFERROR(LOOKUP(2,1/(Amendoim!$E54:INDEX(Amendoim!$E54:$Z54,MIN(F$6-$G$3,22))&lt;&gt;""),Amendoim!$E54:INDEX(Amendoim!$E54:$Z54,MIN(F$6-$G$3,22))),0)))))</f>
        <v>0</v>
      </c>
      <c r="G56" s="27" t="n">
        <f aca="false">IF(COUNT(Amendoim!$E54:$Z54)=0,0,MAX(0,IF((G$6-$E$3)&lt;1,0,IFERROR(LOOKUP(2,1/(Amendoim!$E54:INDEX(Amendoim!$E54:$Z54,MIN(G$6-$E$3,22))&lt;&gt;""),Amendoim!$E54:INDEX(Amendoim!$E54:$Z54,MIN(G$6-$E$3,22))),0))-IF($G$2,0,IF((G$6-$G$3)&lt;1,0,IFERROR(LOOKUP(2,1/(Amendoim!$E54:INDEX(Amendoim!$E54:$Z54,MIN(G$6-$G$3,22))&lt;&gt;""),Amendoim!$E54:INDEX(Amendoim!$E54:$Z54,MIN(G$6-$G$3,22))),0)))))</f>
        <v>0</v>
      </c>
      <c r="H56" s="27" t="n">
        <f aca="false">IF(COUNT(Amendoim!$E54:$Z54)=0,0,MAX(0,IF((H$6-$E$3)&lt;1,0,IFERROR(LOOKUP(2,1/(Amendoim!$E54:INDEX(Amendoim!$E54:$Z54,MIN(H$6-$E$3,22))&lt;&gt;""),Amendoim!$E54:INDEX(Amendoim!$E54:$Z54,MIN(H$6-$E$3,22))),0))-IF($G$2,0,IF((H$6-$G$3)&lt;1,0,IFERROR(LOOKUP(2,1/(Amendoim!$E54:INDEX(Amendoim!$E54:$Z54,MIN(H$6-$G$3,22))&lt;&gt;""),Amendoim!$E54:INDEX(Amendoim!$E54:$Z54,MIN(H$6-$G$3,22))),0)))))</f>
        <v>0</v>
      </c>
      <c r="I56" s="27" t="n">
        <f aca="false">IF(COUNT(Amendoim!$E54:$Z54)=0,0,MAX(0,IF((I$6-$E$3)&lt;1,0,IFERROR(LOOKUP(2,1/(Amendoim!$E54:INDEX(Amendoim!$E54:$Z54,MIN(I$6-$E$3,22))&lt;&gt;""),Amendoim!$E54:INDEX(Amendoim!$E54:$Z54,MIN(I$6-$E$3,22))),0))-IF($G$2,0,IF((I$6-$G$3)&lt;1,0,IFERROR(LOOKUP(2,1/(Amendoim!$E54:INDEX(Amendoim!$E54:$Z54,MIN(I$6-$G$3,22))&lt;&gt;""),Amendoim!$E54:INDEX(Amendoim!$E54:$Z54,MIN(I$6-$G$3,22))),0)))))</f>
        <v>0</v>
      </c>
      <c r="J56" s="27" t="n">
        <f aca="false">IF(COUNT(Amendoim!$E54:$Z54)=0,0,MAX(0,IF((J$6-$E$3)&lt;1,0,IFERROR(LOOKUP(2,1/(Amendoim!$E54:INDEX(Amendoim!$E54:$Z54,MIN(J$6-$E$3,22))&lt;&gt;""),Amendoim!$E54:INDEX(Amendoim!$E54:$Z54,MIN(J$6-$E$3,22))),0))-IF($G$2,0,IF((J$6-$G$3)&lt;1,0,IFERROR(LOOKUP(2,1/(Amendoim!$E54:INDEX(Amendoim!$E54:$Z54,MIN(J$6-$G$3,22))&lt;&gt;""),Amendoim!$E54:INDEX(Amendoim!$E54:$Z54,MIN(J$6-$G$3,22))),0)))))</f>
        <v>0</v>
      </c>
      <c r="K56" s="27" t="n">
        <f aca="false">IF(COUNT(Amendoim!$E54:$Z54)=0,0,MAX(0,IF((K$6-$E$3)&lt;1,0,IFERROR(LOOKUP(2,1/(Amendoim!$E54:INDEX(Amendoim!$E54:$Z54,MIN(K$6-$E$3,22))&lt;&gt;""),Amendoim!$E54:INDEX(Amendoim!$E54:$Z54,MIN(K$6-$E$3,22))),0))-IF($G$2,0,IF((K$6-$G$3)&lt;1,0,IFERROR(LOOKUP(2,1/(Amendoim!$E54:INDEX(Amendoim!$E54:$Z54,MIN(K$6-$G$3,22))&lt;&gt;""),Amendoim!$E54:INDEX(Amendoim!$E54:$Z54,MIN(K$6-$G$3,22))),0)))))</f>
        <v>0</v>
      </c>
      <c r="L56" s="27" t="n">
        <f aca="false">IF(COUNT(Amendoim!$E54:$Z54)=0,0,MAX(0,IF((L$6-$E$3)&lt;1,0,IFERROR(LOOKUP(2,1/(Amendoim!$E54:INDEX(Amendoim!$E54:$Z54,MIN(L$6-$E$3,22))&lt;&gt;""),Amendoim!$E54:INDEX(Amendoim!$E54:$Z54,MIN(L$6-$E$3,22))),0))-IF($G$2,0,IF((L$6-$G$3)&lt;1,0,IFERROR(LOOKUP(2,1/(Amendoim!$E54:INDEX(Amendoim!$E54:$Z54,MIN(L$6-$G$3,22))&lt;&gt;""),Amendoim!$E54:INDEX(Amendoim!$E54:$Z54,MIN(L$6-$G$3,22))),0)))))</f>
        <v>0</v>
      </c>
      <c r="M56" s="27" t="n">
        <f aca="false">IF(COUNT(Amendoim!$E54:$Z54)=0,0,MAX(0,IF((M$6-$E$3)&lt;1,0,IFERROR(LOOKUP(2,1/(Amendoim!$E54:INDEX(Amendoim!$E54:$Z54,MIN(M$6-$E$3,22))&lt;&gt;""),Amendoim!$E54:INDEX(Amendoim!$E54:$Z54,MIN(M$6-$E$3,22))),0))-IF($G$2,0,IF((M$6-$G$3)&lt;1,0,IFERROR(LOOKUP(2,1/(Amendoim!$E54:INDEX(Amendoim!$E54:$Z54,MIN(M$6-$G$3,22))&lt;&gt;""),Amendoim!$E54:INDEX(Amendoim!$E54:$Z54,MIN(M$6-$G$3,22))),0)))))</f>
        <v>0</v>
      </c>
      <c r="N56" s="27" t="n">
        <f aca="false">IF(COUNT(Amendoim!$E54:$Z54)=0,0,MAX(0,IF((N$6-$E$3)&lt;1,0,IFERROR(LOOKUP(2,1/(Amendoim!$E54:INDEX(Amendoim!$E54:$Z54,MIN(N$6-$E$3,22))&lt;&gt;""),Amendoim!$E54:INDEX(Amendoim!$E54:$Z54,MIN(N$6-$E$3,22))),0))-IF($G$2,0,IF((N$6-$G$3)&lt;1,0,IFERROR(LOOKUP(2,1/(Amendoim!$E54:INDEX(Amendoim!$E54:$Z54,MIN(N$6-$G$3,22))&lt;&gt;""),Amendoim!$E54:INDEX(Amendoim!$E54:$Z54,MIN(N$6-$G$3,22))),0)))))</f>
        <v>0</v>
      </c>
      <c r="O56" s="27" t="n">
        <f aca="false">IF(COUNT(Amendoim!$E54:$Z54)=0,0,MAX(0,IF((O$6-$E$3)&lt;1,0,IFERROR(LOOKUP(2,1/(Amendoim!$E54:INDEX(Amendoim!$E54:$Z54,MIN(O$6-$E$3,22))&lt;&gt;""),Amendoim!$E54:INDEX(Amendoim!$E54:$Z54,MIN(O$6-$E$3,22))),0))-IF($G$2,0,IF((O$6-$G$3)&lt;1,0,IFERROR(LOOKUP(2,1/(Amendoim!$E54:INDEX(Amendoim!$E54:$Z54,MIN(O$6-$G$3,22))&lt;&gt;""),Amendoim!$E54:INDEX(Amendoim!$E54:$Z54,MIN(O$6-$G$3,22))),0)))))</f>
        <v>0</v>
      </c>
      <c r="P56" s="27" t="n">
        <f aca="false">IF(COUNT(Amendoim!$E54:$Z54)=0,0,MAX(0,IF((P$6-$E$3)&lt;1,0,IFERROR(LOOKUP(2,1/(Amendoim!$E54:INDEX(Amendoim!$E54:$Z54,MIN(P$6-$E$3,22))&lt;&gt;""),Amendoim!$E54:INDEX(Amendoim!$E54:$Z54,MIN(P$6-$E$3,22))),0))-IF($G$2,0,IF((P$6-$G$3)&lt;1,0,IFERROR(LOOKUP(2,1/(Amendoim!$E54:INDEX(Amendoim!$E54:$Z54,MIN(P$6-$G$3,22))&lt;&gt;""),Amendoim!$E54:INDEX(Amendoim!$E54:$Z54,MIN(P$6-$G$3,22))),0)))))</f>
        <v>0</v>
      </c>
      <c r="Q56" s="27" t="n">
        <f aca="false">IF(COUNT(Amendoim!$E54:$Z54)=0,0,MAX(0,IF((Q$6-$E$3)&lt;1,0,IFERROR(LOOKUP(2,1/(Amendoim!$E54:INDEX(Amendoim!$E54:$Z54,MIN(Q$6-$E$3,22))&lt;&gt;""),Amendoim!$E54:INDEX(Amendoim!$E54:$Z54,MIN(Q$6-$E$3,22))),0))-IF($G$2,0,IF((Q$6-$G$3)&lt;1,0,IFERROR(LOOKUP(2,1/(Amendoim!$E54:INDEX(Amendoim!$E54:$Z54,MIN(Q$6-$G$3,22))&lt;&gt;""),Amendoim!$E54:INDEX(Amendoim!$E54:$Z54,MIN(Q$6-$G$3,22))),0)))))</f>
        <v>0</v>
      </c>
      <c r="R56" s="27" t="n">
        <f aca="false">IF(COUNT(Amendoim!$E54:$Z54)=0,0,MAX(0,IF((R$6-$E$3)&lt;1,0,IFERROR(LOOKUP(2,1/(Amendoim!$E54:INDEX(Amendoim!$E54:$Z54,MIN(R$6-$E$3,22))&lt;&gt;""),Amendoim!$E54:INDEX(Amendoim!$E54:$Z54,MIN(R$6-$E$3,22))),0))-IF($G$2,0,IF((R$6-$G$3)&lt;1,0,IFERROR(LOOKUP(2,1/(Amendoim!$E54:INDEX(Amendoim!$E54:$Z54,MIN(R$6-$G$3,22))&lt;&gt;""),Amendoim!$E54:INDEX(Amendoim!$E54:$Z54,MIN(R$6-$G$3,22))),0)))))</f>
        <v>0</v>
      </c>
      <c r="S56" s="27" t="n">
        <f aca="false">IF(COUNT(Amendoim!$E54:$Z54)=0,0,MAX(0,IF((S$6-$E$3)&lt;1,0,IFERROR(LOOKUP(2,1/(Amendoim!$E54:INDEX(Amendoim!$E54:$Z54,MIN(S$6-$E$3,22))&lt;&gt;""),Amendoim!$E54:INDEX(Amendoim!$E54:$Z54,MIN(S$6-$E$3,22))),0))-IF($G$2,0,IF((S$6-$G$3)&lt;1,0,IFERROR(LOOKUP(2,1/(Amendoim!$E54:INDEX(Amendoim!$E54:$Z54,MIN(S$6-$G$3,22))&lt;&gt;""),Amendoim!$E54:INDEX(Amendoim!$E54:$Z54,MIN(S$6-$G$3,22))),0)))))</f>
        <v>0</v>
      </c>
      <c r="T56" s="27" t="n">
        <f aca="false">IF(COUNT(Amendoim!$E54:$Z54)=0,0,MAX(0,IF((T$6-$E$3)&lt;1,0,IFERROR(LOOKUP(2,1/(Amendoim!$E54:INDEX(Amendoim!$E54:$Z54,MIN(T$6-$E$3,22))&lt;&gt;""),Amendoim!$E54:INDEX(Amendoim!$E54:$Z54,MIN(T$6-$E$3,22))),0))-IF($G$2,0,IF((T$6-$G$3)&lt;1,0,IFERROR(LOOKUP(2,1/(Amendoim!$E54:INDEX(Amendoim!$E54:$Z54,MIN(T$6-$G$3,22))&lt;&gt;""),Amendoim!$E54:INDEX(Amendoim!$E54:$Z54,MIN(T$6-$G$3,22))),0)))))</f>
        <v>0</v>
      </c>
      <c r="U56" s="27" t="n">
        <f aca="false">IF(COUNT(Amendoim!$E54:$Z54)=0,0,MAX(0,IF((U$6-$E$3)&lt;1,0,IFERROR(LOOKUP(2,1/(Amendoim!$E54:INDEX(Amendoim!$E54:$Z54,MIN(U$6-$E$3,22))&lt;&gt;""),Amendoim!$E54:INDEX(Amendoim!$E54:$Z54,MIN(U$6-$E$3,22))),0))-IF($G$2,0,IF((U$6-$G$3)&lt;1,0,IFERROR(LOOKUP(2,1/(Amendoim!$E54:INDEX(Amendoim!$E54:$Z54,MIN(U$6-$G$3,22))&lt;&gt;""),Amendoim!$E54:INDEX(Amendoim!$E54:$Z54,MIN(U$6-$G$3,22))),0)))))</f>
        <v>0</v>
      </c>
      <c r="V56" s="27" t="n">
        <f aca="false">IF(COUNT(Amendoim!$E54:$Z54)=0,0,MAX(0,IF((V$6-$E$3)&lt;1,0,IFERROR(LOOKUP(2,1/(Amendoim!$E54:INDEX(Amendoim!$E54:$Z54,MIN(V$6-$E$3,22))&lt;&gt;""),Amendoim!$E54:INDEX(Amendoim!$E54:$Z54,MIN(V$6-$E$3,22))),0))-IF($G$2,0,IF((V$6-$G$3)&lt;1,0,IFERROR(LOOKUP(2,1/(Amendoim!$E54:INDEX(Amendoim!$E54:$Z54,MIN(V$6-$G$3,22))&lt;&gt;""),Amendoim!$E54:INDEX(Amendoim!$E54:$Z54,MIN(V$6-$G$3,22))),0)))))</f>
        <v>0</v>
      </c>
      <c r="W56" s="27" t="n">
        <f aca="false">IF(COUNT(Amendoim!$E54:$Z54)=0,0,MAX(0,IF((W$6-$E$3)&lt;1,0,IFERROR(LOOKUP(2,1/(Amendoim!$E54:INDEX(Amendoim!$E54:$Z54,MIN(W$6-$E$3,22))&lt;&gt;""),Amendoim!$E54:INDEX(Amendoim!$E54:$Z54,MIN(W$6-$E$3,22))),0))-IF($G$2,0,IF((W$6-$G$3)&lt;1,0,IFERROR(LOOKUP(2,1/(Amendoim!$E54:INDEX(Amendoim!$E54:$Z54,MIN(W$6-$G$3,22))&lt;&gt;""),Amendoim!$E54:INDEX(Amendoim!$E54:$Z54,MIN(W$6-$G$3,22))),0)))))</f>
        <v>0</v>
      </c>
      <c r="X56" s="27" t="n">
        <f aca="false">IF(COUNT(Amendoim!$E54:$Z54)=0,0,MAX(0,IF((X$6-$E$3)&lt;1,0,IFERROR(LOOKUP(2,1/(Amendoim!$E54:INDEX(Amendoim!$E54:$Z54,MIN(X$6-$E$3,22))&lt;&gt;""),Amendoim!$E54:INDEX(Amendoim!$E54:$Z54,MIN(X$6-$E$3,22))),0))-IF($G$2,0,IF((X$6-$G$3)&lt;1,0,IFERROR(LOOKUP(2,1/(Amendoim!$E54:INDEX(Amendoim!$E54:$Z54,MIN(X$6-$G$3,22))&lt;&gt;""),Amendoim!$E54:INDEX(Amendoim!$E54:$Z54,MIN(X$6-$G$3,22))),0)))))</f>
        <v>0</v>
      </c>
      <c r="Y56" s="27" t="n">
        <f aca="false">IF(COUNT(Amendoim!$E54:$Z54)=0,0,MAX(0,IF((Y$6-$E$3)&lt;1,0,IFERROR(LOOKUP(2,1/(Amendoim!$E54:INDEX(Amendoim!$E54:$Z54,MIN(Y$6-$E$3,22))&lt;&gt;""),Amendoim!$E54:INDEX(Amendoim!$E54:$Z54,MIN(Y$6-$E$3,22))),0))-IF($G$2,0,IF((Y$6-$G$3)&lt;1,0,IFERROR(LOOKUP(2,1/(Amendoim!$E54:INDEX(Amendoim!$E54:$Z54,MIN(Y$6-$G$3,22))&lt;&gt;""),Amendoim!$E54:INDEX(Amendoim!$E54:$Z54,MIN(Y$6-$G$3,22))),0)))))</f>
        <v>0</v>
      </c>
      <c r="Z56" s="27" t="n">
        <f aca="false">IF(COUNT(Amendoim!$E54:$Z54)=0,0,MAX(0,IF((Z$6-$E$3)&lt;1,0,IFERROR(LOOKUP(2,1/(Amendoim!$E54:INDEX(Amendoim!$E54:$Z54,MIN(Z$6-$E$3,22))&lt;&gt;""),Amendoim!$E54:INDEX(Amendoim!$E54:$Z54,MIN(Z$6-$E$3,22))),0))-IF($G$2,0,IF((Z$6-$G$3)&lt;1,0,IFERROR(LOOKUP(2,1/(Amendoim!$E54:INDEX(Amendoim!$E54:$Z54,MIN(Z$6-$G$3,22))&lt;&gt;""),Amendoim!$E54:INDEX(Amendoim!$E54:$Z54,MIN(Z$6-$G$3,22))),0)))))</f>
        <v>0</v>
      </c>
      <c r="AA56" s="27" t="n">
        <f aca="false">IF(COUNT(Amendoim!$E54:$Z54)=0,0,MAX(0,IF((AA$6-$E$3)&lt;1,0,IFERROR(LOOKUP(2,1/(Amendoim!$E54:INDEX(Amendoim!$E54:$Z54,MIN(AA$6-$E$3,22))&lt;&gt;""),Amendoim!$E54:INDEX(Amendoim!$E54:$Z54,MIN(AA$6-$E$3,22))),0))-IF($G$2,0,IF((AA$6-$G$3)&lt;1,0,IFERROR(LOOKUP(2,1/(Amendoim!$E54:INDEX(Amendoim!$E54:$Z54,MIN(AA$6-$G$3,22))&lt;&gt;""),Amendoim!$E54:INDEX(Amendoim!$E54:$Z54,MIN(AA$6-$G$3,22))),0)))))</f>
        <v>0</v>
      </c>
      <c r="AB56" s="27" t="n">
        <f aca="false">IF(COUNT(Amendoim!$E54:$Z54)=0,0,MAX(0,IF((AB$6-$E$3)&lt;1,0,IFERROR(LOOKUP(2,1/(Amendoim!$E54:INDEX(Amendoim!$E54:$Z54,MIN(AB$6-$E$3,22))&lt;&gt;""),Amendoim!$E54:INDEX(Amendoim!$E54:$Z54,MIN(AB$6-$E$3,22))),0))-IF($G$2,0,IF((AB$6-$G$3)&lt;1,0,IFERROR(LOOKUP(2,1/(Amendoim!$E54:INDEX(Amendoim!$E54:$Z54,MIN(AB$6-$G$3,22))&lt;&gt;""),Amendoim!$E54:INDEX(Amendoim!$E54:$Z54,MIN(AB$6-$G$3,22))),0)))))</f>
        <v>0</v>
      </c>
      <c r="AC56" s="27" t="n">
        <f aca="false">IF(COUNT(Amendoim!$E54:$Z54)=0,0,MAX(0,IF((AC$6-$E$3)&lt;1,0,IFERROR(LOOKUP(2,1/(Amendoim!$E54:INDEX(Amendoim!$E54:$Z54,MIN(AC$6-$E$3,22))&lt;&gt;""),Amendoim!$E54:INDEX(Amendoim!$E54:$Z54,MIN(AC$6-$E$3,22))),0))-IF($G$2,0,IF((AC$6-$G$3)&lt;1,0,IFERROR(LOOKUP(2,1/(Amendoim!$E54:INDEX(Amendoim!$E54:$Z54,MIN(AC$6-$G$3,22))&lt;&gt;""),Amendoim!$E54:INDEX(Amendoim!$E54:$Z54,MIN(AC$6-$G$3,22))),0)))))</f>
        <v>0</v>
      </c>
      <c r="AD56" s="27" t="n">
        <f aca="false">IF(COUNT(Amendoim!$E54:$Z54)=0,0,MAX(0,IF((AD$6-$E$3)&lt;1,0,IFERROR(LOOKUP(2,1/(Amendoim!$E54:INDEX(Amendoim!$E54:$Z54,MIN(AD$6-$E$3,22))&lt;&gt;""),Amendoim!$E54:INDEX(Amendoim!$E54:$Z54,MIN(AD$6-$E$3,22))),0))-IF($G$2,0,IF((AD$6-$G$3)&lt;1,0,IFERROR(LOOKUP(2,1/(Amendoim!$E54:INDEX(Amendoim!$E54:$Z54,MIN(AD$6-$G$3,22))&lt;&gt;""),Amendoim!$E54:INDEX(Amendoim!$E54:$Z54,MIN(AD$6-$G$3,22))),0)))))</f>
        <v>0</v>
      </c>
      <c r="AE56" s="27" t="n">
        <f aca="false">IF(COUNT(Amendoim!$E54:$Z54)=0,0,MAX(0,IF((AE$6-$E$3)&lt;1,0,IFERROR(LOOKUP(2,1/(Amendoim!$E54:INDEX(Amendoim!$E54:$Z54,MIN(AE$6-$E$3,22))&lt;&gt;""),Amendoim!$E54:INDEX(Amendoim!$E54:$Z54,MIN(AE$6-$E$3,22))),0))-IF($G$2,0,IF((AE$6-$G$3)&lt;1,0,IFERROR(LOOKUP(2,1/(Amendoim!$E54:INDEX(Amendoim!$E54:$Z54,MIN(AE$6-$G$3,22))&lt;&gt;""),Amendoim!$E54:INDEX(Amendoim!$E54:$Z54,MIN(AE$6-$G$3,22))),0)))))</f>
        <v>0</v>
      </c>
      <c r="AF56" s="27" t="n">
        <f aca="false">IF(COUNT(Amendoim!$E54:$Z54)=0,0,MAX(0,IF((AF$6-$E$3)&lt;1,0,IFERROR(LOOKUP(2,1/(Amendoim!$E54:INDEX(Amendoim!$E54:$Z54,MIN(AF$6-$E$3,22))&lt;&gt;""),Amendoim!$E54:INDEX(Amendoim!$E54:$Z54,MIN(AF$6-$E$3,22))),0))-IF($G$2,0,IF((AF$6-$G$3)&lt;1,0,IFERROR(LOOKUP(2,1/(Amendoim!$E54:INDEX(Amendoim!$E54:$Z54,MIN(AF$6-$G$3,22))&lt;&gt;""),Amendoim!$E54:INDEX(Amendoim!$E54:$Z54,MIN(AF$6-$G$3,22))),0)))))</f>
        <v>0</v>
      </c>
      <c r="AG56" s="27" t="n">
        <f aca="false">IF(COUNT(Amendoim!$E54:$Z54)=0,0,MAX(0,IF((AG$6-$E$3)&lt;1,0,IFERROR(LOOKUP(2,1/(Amendoim!$E54:INDEX(Amendoim!$E54:$Z54,MIN(AG$6-$E$3,22))&lt;&gt;""),Amendoim!$E54:INDEX(Amendoim!$E54:$Z54,MIN(AG$6-$E$3,22))),0))-IF($G$2,0,IF((AG$6-$G$3)&lt;1,0,IFERROR(LOOKUP(2,1/(Amendoim!$E54:INDEX(Amendoim!$E54:$Z54,MIN(AG$6-$G$3,22))&lt;&gt;""),Amendoim!$E54:INDEX(Amendoim!$E54:$Z54,MIN(AG$6-$G$3,22))),0)))))</f>
        <v>0</v>
      </c>
      <c r="AH56" s="27" t="n">
        <f aca="false">IF(COUNT(Amendoim!$E54:$Z54)=0,0,MAX(0,IF((AH$6-$E$3)&lt;1,0,IFERROR(LOOKUP(2,1/(Amendoim!$E54:INDEX(Amendoim!$E54:$Z54,MIN(AH$6-$E$3,22))&lt;&gt;""),Amendoim!$E54:INDEX(Amendoim!$E54:$Z54,MIN(AH$6-$E$3,22))),0))-IF($G$2,0,IF((AH$6-$G$3)&lt;1,0,IFERROR(LOOKUP(2,1/(Amendoim!$E54:INDEX(Amendoim!$E54:$Z54,MIN(AH$6-$G$3,22))&lt;&gt;""),Amendoim!$E54:INDEX(Amendoim!$E54:$Z54,MIN(AH$6-$G$3,22))),0)))))</f>
        <v>0</v>
      </c>
      <c r="AI56" s="27" t="n">
        <f aca="false">IF(COUNT(Amendoim!$E54:$Z54)=0,0,MAX(0,IF((AI$6-$E$3)&lt;1,0,IFERROR(LOOKUP(2,1/(Amendoim!$E54:INDEX(Amendoim!$E54:$Z54,MIN(AI$6-$E$3,22))&lt;&gt;""),Amendoim!$E54:INDEX(Amendoim!$E54:$Z54,MIN(AI$6-$E$3,22))),0))-IF($G$2,0,IF((AI$6-$G$3)&lt;1,0,IFERROR(LOOKUP(2,1/(Amendoim!$E54:INDEX(Amendoim!$E54:$Z54,MIN(AI$6-$G$3,22))&lt;&gt;""),Amendoim!$E54:INDEX(Amendoim!$E54:$Z54,MIN(AI$6-$G$3,22))),0)))))</f>
        <v>0</v>
      </c>
      <c r="AJ56" s="27" t="n">
        <f aca="false">IF(COUNT(Amendoim!$E54:$Z54)=0,0,MAX(0,IF((AJ$6-$E$3)&lt;1,0,IFERROR(LOOKUP(2,1/(Amendoim!$E54:INDEX(Amendoim!$E54:$Z54,MIN(AJ$6-$E$3,22))&lt;&gt;""),Amendoim!$E54:INDEX(Amendoim!$E54:$Z54,MIN(AJ$6-$E$3,22))),0))-IF($G$2,0,IF((AJ$6-$G$3)&lt;1,0,IFERROR(LOOKUP(2,1/(Amendoim!$E54:INDEX(Amendoim!$E54:$Z54,MIN(AJ$6-$G$3,22))&lt;&gt;""),Amendoim!$E54:INDEX(Amendoim!$E54:$Z54,MIN(AJ$6-$G$3,22))),0)))))</f>
        <v>0</v>
      </c>
      <c r="AK56" s="27" t="n">
        <f aca="false">IF(COUNT(Amendoim!$E54:$Z54)=0,0,MAX(0,IF((AK$6-$E$3)&lt;1,0,IFERROR(LOOKUP(2,1/(Amendoim!$E54:INDEX(Amendoim!$E54:$Z54,MIN(AK$6-$E$3,22))&lt;&gt;""),Amendoim!$E54:INDEX(Amendoim!$E54:$Z54,MIN(AK$6-$E$3,22))),0))-IF($G$2,0,IF((AK$6-$G$3)&lt;1,0,IFERROR(LOOKUP(2,1/(Amendoim!$E54:INDEX(Amendoim!$E54:$Z54,MIN(AK$6-$G$3,22))&lt;&gt;""),Amendoim!$E54:INDEX(Amendoim!$E54:$Z54,MIN(AK$6-$G$3,22))),0)))))</f>
        <v>0</v>
      </c>
      <c r="AL56" s="27" t="n">
        <f aca="false">IF(COUNT(Amendoim!$E54:$Z54)=0,0,MAX(0,IF((AL$6-$E$3)&lt;1,0,IFERROR(LOOKUP(2,1/(Amendoim!$E54:INDEX(Amendoim!$E54:$Z54,MIN(AL$6-$E$3,22))&lt;&gt;""),Amendoim!$E54:INDEX(Amendoim!$E54:$Z54,MIN(AL$6-$E$3,22))),0))-IF($G$2,0,IF((AL$6-$G$3)&lt;1,0,IFERROR(LOOKUP(2,1/(Amendoim!$E54:INDEX(Amendoim!$E54:$Z54,MIN(AL$6-$G$3,22))&lt;&gt;""),Amendoim!$E54:INDEX(Amendoim!$E54:$Z54,MIN(AL$6-$G$3,22))),0)))))</f>
        <v>0</v>
      </c>
      <c r="AM56" s="27" t="n">
        <f aca="false">IF(COUNT(Amendoim!$E54:$Z54)=0,0,MAX(0,IF((AM$6-$E$3)&lt;1,0,IFERROR(LOOKUP(2,1/(Amendoim!$E54:INDEX(Amendoim!$E54:$Z54,MIN(AM$6-$E$3,22))&lt;&gt;""),Amendoim!$E54:INDEX(Amendoim!$E54:$Z54,MIN(AM$6-$E$3,22))),0))-IF($G$2,0,IF((AM$6-$G$3)&lt;1,0,IFERROR(LOOKUP(2,1/(Amendoim!$E54:INDEX(Amendoim!$E54:$Z54,MIN(AM$6-$G$3,22))&lt;&gt;""),Amendoim!$E54:INDEX(Amendoim!$E54:$Z54,MIN(AM$6-$G$3,22))),0)))))</f>
        <v>0</v>
      </c>
      <c r="AN56" s="27" t="n">
        <f aca="false">IF(COUNT(Amendoim!$E54:$Z54)=0,0,MAX(0,IF((AN$6-$E$3)&lt;1,0,IFERROR(LOOKUP(2,1/(Amendoim!$E54:INDEX(Amendoim!$E54:$Z54,MIN(AN$6-$E$3,22))&lt;&gt;""),Amendoim!$E54:INDEX(Amendoim!$E54:$Z54,MIN(AN$6-$E$3,22))),0))-IF($G$2,0,IF((AN$6-$G$3)&lt;1,0,IFERROR(LOOKUP(2,1/(Amendoim!$E54:INDEX(Amendoim!$E54:$Z54,MIN(AN$6-$G$3,22))&lt;&gt;""),Amendoim!$E54:INDEX(Amendoim!$E54:$Z54,MIN(AN$6-$G$3,22))),0)))))</f>
        <v>0</v>
      </c>
      <c r="AO56" s="27" t="n">
        <f aca="false">IF(COUNT(Amendoim!$E54:$Z54)=0,0,MAX(0,IF((AO$6-$E$3)&lt;1,0,IFERROR(LOOKUP(2,1/(Amendoim!$E54:INDEX(Amendoim!$E54:$Z54,MIN(AO$6-$E$3,22))&lt;&gt;""),Amendoim!$E54:INDEX(Amendoim!$E54:$Z54,MIN(AO$6-$E$3,22))),0))-IF($G$2,0,IF((AO$6-$G$3)&lt;1,0,IFERROR(LOOKUP(2,1/(Amendoim!$E54:INDEX(Amendoim!$E54:$Z54,MIN(AO$6-$G$3,22))&lt;&gt;""),Amendoim!$E54:INDEX(Amendoim!$E54:$Z54,MIN(AO$6-$G$3,22))),0)))))</f>
        <v>0</v>
      </c>
      <c r="AP56" s="27" t="n">
        <f aca="false">IF(COUNT(Amendoim!$E54:$Z54)=0,0,MAX(0,IF((AP$6-$E$3)&lt;1,0,IFERROR(LOOKUP(2,1/(Amendoim!$E54:INDEX(Amendoim!$E54:$Z54,MIN(AP$6-$E$3,22))&lt;&gt;""),Amendoim!$E54:INDEX(Amendoim!$E54:$Z54,MIN(AP$6-$E$3,22))),0))-IF($G$2,0,IF((AP$6-$G$3)&lt;1,0,IFERROR(LOOKUP(2,1/(Amendoim!$E54:INDEX(Amendoim!$E54:$Z54,MIN(AP$6-$G$3,22))&lt;&gt;""),Amendoim!$E54:INDEX(Amendoim!$E54:$Z54,MIN(AP$6-$G$3,22))),0)))))</f>
        <v>0</v>
      </c>
      <c r="AQ56" s="27" t="n">
        <f aca="false">IF(COUNT(Amendoim!$E54:$Z54)=0,0,MAX(0,IF((AQ$6-$E$3)&lt;1,0,IFERROR(LOOKUP(2,1/(Amendoim!$E54:INDEX(Amendoim!$E54:$Z54,MIN(AQ$6-$E$3,22))&lt;&gt;""),Amendoim!$E54:INDEX(Amendoim!$E54:$Z54,MIN(AQ$6-$E$3,22))),0))-IF($G$2,0,IF((AQ$6-$G$3)&lt;1,0,IFERROR(LOOKUP(2,1/(Amendoim!$E54:INDEX(Amendoim!$E54:$Z54,MIN(AQ$6-$G$3,22))&lt;&gt;""),Amendoim!$E54:INDEX(Amendoim!$E54:$Z54,MIN(AQ$6-$G$3,22))),0)))))</f>
        <v>0</v>
      </c>
      <c r="AR56" s="27" t="n">
        <f aca="false">IF(COUNT(Amendoim!$E54:$Z54)=0,0,MAX(0,IF((AR$6-$E$3)&lt;1,0,IFERROR(LOOKUP(2,1/(Amendoim!$E54:INDEX(Amendoim!$E54:$Z54,MIN(AR$6-$E$3,22))&lt;&gt;""),Amendoim!$E54:INDEX(Amendoim!$E54:$Z54,MIN(AR$6-$E$3,22))),0))-IF($G$2,0,IF((AR$6-$G$3)&lt;1,0,IFERROR(LOOKUP(2,1/(Amendoim!$E54:INDEX(Amendoim!$E54:$Z54,MIN(AR$6-$G$3,22))&lt;&gt;""),Amendoim!$E54:INDEX(Amendoim!$E54:$Z54,MIN(AR$6-$G$3,22))),0)))))</f>
        <v>0</v>
      </c>
      <c r="AS56" s="27" t="n">
        <f aca="false">IF(COUNT(Amendoim!$E54:$Z54)=0,0,MAX(0,IF((AS$6-$E$3)&lt;1,0,IFERROR(LOOKUP(2,1/(Amendoim!$E54:INDEX(Amendoim!$E54:$Z54,MIN(AS$6-$E$3,22))&lt;&gt;""),Amendoim!$E54:INDEX(Amendoim!$E54:$Z54,MIN(AS$6-$E$3,22))),0))-IF($G$2,0,IF((AS$6-$G$3)&lt;1,0,IFERROR(LOOKUP(2,1/(Amendoim!$E54:INDEX(Amendoim!$E54:$Z54,MIN(AS$6-$G$3,22))&lt;&gt;""),Amendoim!$E54:INDEX(Amendoim!$E54:$Z54,MIN(AS$6-$G$3,22))),0)))))</f>
        <v>0</v>
      </c>
      <c r="AT56" s="27" t="n">
        <f aca="false">IF(COUNT(Amendoim!$E54:$Z54)=0,0,MAX(0,IF((AT$6-$E$3)&lt;1,0,IFERROR(LOOKUP(2,1/(Amendoim!$E54:INDEX(Amendoim!$E54:$Z54,MIN(AT$6-$E$3,22))&lt;&gt;""),Amendoim!$E54:INDEX(Amendoim!$E54:$Z54,MIN(AT$6-$E$3,22))),0))-IF($G$2,0,IF((AT$6-$G$3)&lt;1,0,IFERROR(LOOKUP(2,1/(Amendoim!$E54:INDEX(Amendoim!$E54:$Z54,MIN(AT$6-$G$3,22))&lt;&gt;""),Amendoim!$E54:INDEX(Amendoim!$E54:$Z54,MIN(AT$6-$G$3,22))),0)))))</f>
        <v>0</v>
      </c>
      <c r="AU56" s="27" t="n">
        <f aca="false">IF(COUNT(Amendoim!$E54:$Z54)=0,0,MAX(0,IF((AU$6-$E$3)&lt;1,0,IFERROR(LOOKUP(2,1/(Amendoim!$E54:INDEX(Amendoim!$E54:$Z54,MIN(AU$6-$E$3,22))&lt;&gt;""),Amendoim!$E54:INDEX(Amendoim!$E54:$Z54,MIN(AU$6-$E$3,22))),0))-IF($G$2,0,IF((AU$6-$G$3)&lt;1,0,IFERROR(LOOKUP(2,1/(Amendoim!$E54:INDEX(Amendoim!$E54:$Z54,MIN(AU$6-$G$3,22))&lt;&gt;""),Amendoim!$E54:INDEX(Amendoim!$E54:$Z54,MIN(AU$6-$G$3,22))),0)))))</f>
        <v>0</v>
      </c>
      <c r="AV56" s="27" t="n">
        <f aca="false">IF(COUNT(Amendoim!$E54:$Z54)=0,0,MAX(0,IF((AV$6-$E$3)&lt;1,0,IFERROR(LOOKUP(2,1/(Amendoim!$E54:INDEX(Amendoim!$E54:$Z54,MIN(AV$6-$E$3,22))&lt;&gt;""),Amendoim!$E54:INDEX(Amendoim!$E54:$Z54,MIN(AV$6-$E$3,22))),0))-IF($G$2,0,IF((AV$6-$G$3)&lt;1,0,IFERROR(LOOKUP(2,1/(Amendoim!$E54:INDEX(Amendoim!$E54:$Z54,MIN(AV$6-$G$3,22))&lt;&gt;""),Amendoim!$E54:INDEX(Amendoim!$E54:$Z54,MIN(AV$6-$G$3,22))),0)))))</f>
        <v>0</v>
      </c>
      <c r="AW56" s="27" t="n">
        <f aca="false">IF(COUNT(Amendoim!$E54:$Z54)=0,0,MAX(0,IF((AW$6-$E$3)&lt;1,0,IFERROR(LOOKUP(2,1/(Amendoim!$E54:INDEX(Amendoim!$E54:$Z54,MIN(AW$6-$E$3,22))&lt;&gt;""),Amendoim!$E54:INDEX(Amendoim!$E54:$Z54,MIN(AW$6-$E$3,22))),0))-IF($G$2,0,IF((AW$6-$G$3)&lt;1,0,IFERROR(LOOKUP(2,1/(Amendoim!$E54:INDEX(Amendoim!$E54:$Z54,MIN(AW$6-$G$3,22))&lt;&gt;""),Amendoim!$E54:INDEX(Amendoim!$E54:$Z54,MIN(AW$6-$G$3,22))),0)))))</f>
        <v>0</v>
      </c>
      <c r="AX56" s="27" t="n">
        <f aca="false">IF(COUNT(Amendoim!$E54:$Z54)=0,0,MAX(0,IF((AX$6-$E$3)&lt;1,0,IFERROR(LOOKUP(2,1/(Amendoim!$E54:INDEX(Amendoim!$E54:$Z54,MIN(AX$6-$E$3,22))&lt;&gt;""),Amendoim!$E54:INDEX(Amendoim!$E54:$Z54,MIN(AX$6-$E$3,22))),0))-IF($G$2,0,IF((AX$6-$G$3)&lt;1,0,IFERROR(LOOKUP(2,1/(Amendoim!$E54:INDEX(Amendoim!$E54:$Z54,MIN(AX$6-$G$3,22))&lt;&gt;""),Amendoim!$E54:INDEX(Amendoim!$E54:$Z54,MIN(AX$6-$G$3,22))),0)))))</f>
        <v>0</v>
      </c>
      <c r="AY56" s="27" t="n">
        <f aca="false">IF(COUNT(Amendoim!$E54:$Z54)=0,0,MAX(0,IF((AY$6-$E$3)&lt;1,0,IFERROR(LOOKUP(2,1/(Amendoim!$E54:INDEX(Amendoim!$E54:$Z54,MIN(AY$6-$E$3,22))&lt;&gt;""),Amendoim!$E54:INDEX(Amendoim!$E54:$Z54,MIN(AY$6-$E$3,22))),0))-IF($G$2,0,IF((AY$6-$G$3)&lt;1,0,IFERROR(LOOKUP(2,1/(Amendoim!$E54:INDEX(Amendoim!$E54:$Z54,MIN(AY$6-$G$3,22))&lt;&gt;""),Amendoim!$E54:INDEX(Amendoim!$E54:$Z54,MIN(AY$6-$G$3,22))),0)))))</f>
        <v>0</v>
      </c>
      <c r="AZ56" s="27" t="n">
        <f aca="false">IF(COUNT(Amendoim!$E54:$Z54)=0,0,MAX(0,IF((AZ$6-$E$3)&lt;1,0,IFERROR(LOOKUP(2,1/(Amendoim!$E54:INDEX(Amendoim!$E54:$Z54,MIN(AZ$6-$E$3,22))&lt;&gt;""),Amendoim!$E54:INDEX(Amendoim!$E54:$Z54,MIN(AZ$6-$E$3,22))),0))-IF($G$2,0,IF((AZ$6-$G$3)&lt;1,0,IFERROR(LOOKUP(2,1/(Amendoim!$E54:INDEX(Amendoim!$E54:$Z54,MIN(AZ$6-$G$3,22))&lt;&gt;""),Amendoim!$E54:INDEX(Amendoim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IF(COUNT(Amendoim!$E55:$Z55)&gt;0,N(Amendoim!$D55),0)</f>
        <v>0</v>
      </c>
      <c r="E57" s="27" t="n">
        <f aca="false">IF(COUNT(Amendoim!$E55:$Z55)=0,0,MAX(0,IF((E$6-$E$3)&lt;1,0,IFERROR(LOOKUP(2,1/(Amendoim!$E55:INDEX(Amendoim!$E55:$Z55,MIN(E$6-$E$3,22))&lt;&gt;""),Amendoim!$E55:INDEX(Amendoim!$E55:$Z55,MIN(E$6-$E$3,22))),0))-IF($G$2,0,IF((E$6-$G$3)&lt;1,0,IFERROR(LOOKUP(2,1/(Amendoim!$E55:INDEX(Amendoim!$E55:$Z55,MIN(E$6-$G$3,22))&lt;&gt;""),Amendoim!$E55:INDEX(Amendoim!$E55:$Z55,MIN(E$6-$G$3,22))),0)))))</f>
        <v>0</v>
      </c>
      <c r="F57" s="27" t="n">
        <f aca="false">IF(COUNT(Amendoim!$E55:$Z55)=0,0,MAX(0,IF((F$6-$E$3)&lt;1,0,IFERROR(LOOKUP(2,1/(Amendoim!$E55:INDEX(Amendoim!$E55:$Z55,MIN(F$6-$E$3,22))&lt;&gt;""),Amendoim!$E55:INDEX(Amendoim!$E55:$Z55,MIN(F$6-$E$3,22))),0))-IF($G$2,0,IF((F$6-$G$3)&lt;1,0,IFERROR(LOOKUP(2,1/(Amendoim!$E55:INDEX(Amendoim!$E55:$Z55,MIN(F$6-$G$3,22))&lt;&gt;""),Amendoim!$E55:INDEX(Amendoim!$E55:$Z55,MIN(F$6-$G$3,22))),0)))))</f>
        <v>0</v>
      </c>
      <c r="G57" s="27" t="n">
        <f aca="false">IF(COUNT(Amendoim!$E55:$Z55)=0,0,MAX(0,IF((G$6-$E$3)&lt;1,0,IFERROR(LOOKUP(2,1/(Amendoim!$E55:INDEX(Amendoim!$E55:$Z55,MIN(G$6-$E$3,22))&lt;&gt;""),Amendoim!$E55:INDEX(Amendoim!$E55:$Z55,MIN(G$6-$E$3,22))),0))-IF($G$2,0,IF((G$6-$G$3)&lt;1,0,IFERROR(LOOKUP(2,1/(Amendoim!$E55:INDEX(Amendoim!$E55:$Z55,MIN(G$6-$G$3,22))&lt;&gt;""),Amendoim!$E55:INDEX(Amendoim!$E55:$Z55,MIN(G$6-$G$3,22))),0)))))</f>
        <v>0</v>
      </c>
      <c r="H57" s="27" t="n">
        <f aca="false">IF(COUNT(Amendoim!$E55:$Z55)=0,0,MAX(0,IF((H$6-$E$3)&lt;1,0,IFERROR(LOOKUP(2,1/(Amendoim!$E55:INDEX(Amendoim!$E55:$Z55,MIN(H$6-$E$3,22))&lt;&gt;""),Amendoim!$E55:INDEX(Amendoim!$E55:$Z55,MIN(H$6-$E$3,22))),0))-IF($G$2,0,IF((H$6-$G$3)&lt;1,0,IFERROR(LOOKUP(2,1/(Amendoim!$E55:INDEX(Amendoim!$E55:$Z55,MIN(H$6-$G$3,22))&lt;&gt;""),Amendoim!$E55:INDEX(Amendoim!$E55:$Z55,MIN(H$6-$G$3,22))),0)))))</f>
        <v>0</v>
      </c>
      <c r="I57" s="27" t="n">
        <f aca="false">IF(COUNT(Amendoim!$E55:$Z55)=0,0,MAX(0,IF((I$6-$E$3)&lt;1,0,IFERROR(LOOKUP(2,1/(Amendoim!$E55:INDEX(Amendoim!$E55:$Z55,MIN(I$6-$E$3,22))&lt;&gt;""),Amendoim!$E55:INDEX(Amendoim!$E55:$Z55,MIN(I$6-$E$3,22))),0))-IF($G$2,0,IF((I$6-$G$3)&lt;1,0,IFERROR(LOOKUP(2,1/(Amendoim!$E55:INDEX(Amendoim!$E55:$Z55,MIN(I$6-$G$3,22))&lt;&gt;""),Amendoim!$E55:INDEX(Amendoim!$E55:$Z55,MIN(I$6-$G$3,22))),0)))))</f>
        <v>0</v>
      </c>
      <c r="J57" s="27" t="n">
        <f aca="false">IF(COUNT(Amendoim!$E55:$Z55)=0,0,MAX(0,IF((J$6-$E$3)&lt;1,0,IFERROR(LOOKUP(2,1/(Amendoim!$E55:INDEX(Amendoim!$E55:$Z55,MIN(J$6-$E$3,22))&lt;&gt;""),Amendoim!$E55:INDEX(Amendoim!$E55:$Z55,MIN(J$6-$E$3,22))),0))-IF($G$2,0,IF((J$6-$G$3)&lt;1,0,IFERROR(LOOKUP(2,1/(Amendoim!$E55:INDEX(Amendoim!$E55:$Z55,MIN(J$6-$G$3,22))&lt;&gt;""),Amendoim!$E55:INDEX(Amendoim!$E55:$Z55,MIN(J$6-$G$3,22))),0)))))</f>
        <v>0</v>
      </c>
      <c r="K57" s="27" t="n">
        <f aca="false">IF(COUNT(Amendoim!$E55:$Z55)=0,0,MAX(0,IF((K$6-$E$3)&lt;1,0,IFERROR(LOOKUP(2,1/(Amendoim!$E55:INDEX(Amendoim!$E55:$Z55,MIN(K$6-$E$3,22))&lt;&gt;""),Amendoim!$E55:INDEX(Amendoim!$E55:$Z55,MIN(K$6-$E$3,22))),0))-IF($G$2,0,IF((K$6-$G$3)&lt;1,0,IFERROR(LOOKUP(2,1/(Amendoim!$E55:INDEX(Amendoim!$E55:$Z55,MIN(K$6-$G$3,22))&lt;&gt;""),Amendoim!$E55:INDEX(Amendoim!$E55:$Z55,MIN(K$6-$G$3,22))),0)))))</f>
        <v>0</v>
      </c>
      <c r="L57" s="27" t="n">
        <f aca="false">IF(COUNT(Amendoim!$E55:$Z55)=0,0,MAX(0,IF((L$6-$E$3)&lt;1,0,IFERROR(LOOKUP(2,1/(Amendoim!$E55:INDEX(Amendoim!$E55:$Z55,MIN(L$6-$E$3,22))&lt;&gt;""),Amendoim!$E55:INDEX(Amendoim!$E55:$Z55,MIN(L$6-$E$3,22))),0))-IF($G$2,0,IF((L$6-$G$3)&lt;1,0,IFERROR(LOOKUP(2,1/(Amendoim!$E55:INDEX(Amendoim!$E55:$Z55,MIN(L$6-$G$3,22))&lt;&gt;""),Amendoim!$E55:INDEX(Amendoim!$E55:$Z55,MIN(L$6-$G$3,22))),0)))))</f>
        <v>0</v>
      </c>
      <c r="M57" s="27" t="n">
        <f aca="false">IF(COUNT(Amendoim!$E55:$Z55)=0,0,MAX(0,IF((M$6-$E$3)&lt;1,0,IFERROR(LOOKUP(2,1/(Amendoim!$E55:INDEX(Amendoim!$E55:$Z55,MIN(M$6-$E$3,22))&lt;&gt;""),Amendoim!$E55:INDEX(Amendoim!$E55:$Z55,MIN(M$6-$E$3,22))),0))-IF($G$2,0,IF((M$6-$G$3)&lt;1,0,IFERROR(LOOKUP(2,1/(Amendoim!$E55:INDEX(Amendoim!$E55:$Z55,MIN(M$6-$G$3,22))&lt;&gt;""),Amendoim!$E55:INDEX(Amendoim!$E55:$Z55,MIN(M$6-$G$3,22))),0)))))</f>
        <v>0</v>
      </c>
      <c r="N57" s="27" t="n">
        <f aca="false">IF(COUNT(Amendoim!$E55:$Z55)=0,0,MAX(0,IF((N$6-$E$3)&lt;1,0,IFERROR(LOOKUP(2,1/(Amendoim!$E55:INDEX(Amendoim!$E55:$Z55,MIN(N$6-$E$3,22))&lt;&gt;""),Amendoim!$E55:INDEX(Amendoim!$E55:$Z55,MIN(N$6-$E$3,22))),0))-IF($G$2,0,IF((N$6-$G$3)&lt;1,0,IFERROR(LOOKUP(2,1/(Amendoim!$E55:INDEX(Amendoim!$E55:$Z55,MIN(N$6-$G$3,22))&lt;&gt;""),Amendoim!$E55:INDEX(Amendoim!$E55:$Z55,MIN(N$6-$G$3,22))),0)))))</f>
        <v>0</v>
      </c>
      <c r="O57" s="27" t="n">
        <f aca="false">IF(COUNT(Amendoim!$E55:$Z55)=0,0,MAX(0,IF((O$6-$E$3)&lt;1,0,IFERROR(LOOKUP(2,1/(Amendoim!$E55:INDEX(Amendoim!$E55:$Z55,MIN(O$6-$E$3,22))&lt;&gt;""),Amendoim!$E55:INDEX(Amendoim!$E55:$Z55,MIN(O$6-$E$3,22))),0))-IF($G$2,0,IF((O$6-$G$3)&lt;1,0,IFERROR(LOOKUP(2,1/(Amendoim!$E55:INDEX(Amendoim!$E55:$Z55,MIN(O$6-$G$3,22))&lt;&gt;""),Amendoim!$E55:INDEX(Amendoim!$E55:$Z55,MIN(O$6-$G$3,22))),0)))))</f>
        <v>0</v>
      </c>
      <c r="P57" s="27" t="n">
        <f aca="false">IF(COUNT(Amendoim!$E55:$Z55)=0,0,MAX(0,IF((P$6-$E$3)&lt;1,0,IFERROR(LOOKUP(2,1/(Amendoim!$E55:INDEX(Amendoim!$E55:$Z55,MIN(P$6-$E$3,22))&lt;&gt;""),Amendoim!$E55:INDEX(Amendoim!$E55:$Z55,MIN(P$6-$E$3,22))),0))-IF($G$2,0,IF((P$6-$G$3)&lt;1,0,IFERROR(LOOKUP(2,1/(Amendoim!$E55:INDEX(Amendoim!$E55:$Z55,MIN(P$6-$G$3,22))&lt;&gt;""),Amendoim!$E55:INDEX(Amendoim!$E55:$Z55,MIN(P$6-$G$3,22))),0)))))</f>
        <v>0</v>
      </c>
      <c r="Q57" s="27" t="n">
        <f aca="false">IF(COUNT(Amendoim!$E55:$Z55)=0,0,MAX(0,IF((Q$6-$E$3)&lt;1,0,IFERROR(LOOKUP(2,1/(Amendoim!$E55:INDEX(Amendoim!$E55:$Z55,MIN(Q$6-$E$3,22))&lt;&gt;""),Amendoim!$E55:INDEX(Amendoim!$E55:$Z55,MIN(Q$6-$E$3,22))),0))-IF($G$2,0,IF((Q$6-$G$3)&lt;1,0,IFERROR(LOOKUP(2,1/(Amendoim!$E55:INDEX(Amendoim!$E55:$Z55,MIN(Q$6-$G$3,22))&lt;&gt;""),Amendoim!$E55:INDEX(Amendoim!$E55:$Z55,MIN(Q$6-$G$3,22))),0)))))</f>
        <v>0</v>
      </c>
      <c r="R57" s="27" t="n">
        <f aca="false">IF(COUNT(Amendoim!$E55:$Z55)=0,0,MAX(0,IF((R$6-$E$3)&lt;1,0,IFERROR(LOOKUP(2,1/(Amendoim!$E55:INDEX(Amendoim!$E55:$Z55,MIN(R$6-$E$3,22))&lt;&gt;""),Amendoim!$E55:INDEX(Amendoim!$E55:$Z55,MIN(R$6-$E$3,22))),0))-IF($G$2,0,IF((R$6-$G$3)&lt;1,0,IFERROR(LOOKUP(2,1/(Amendoim!$E55:INDEX(Amendoim!$E55:$Z55,MIN(R$6-$G$3,22))&lt;&gt;""),Amendoim!$E55:INDEX(Amendoim!$E55:$Z55,MIN(R$6-$G$3,22))),0)))))</f>
        <v>0</v>
      </c>
      <c r="S57" s="27" t="n">
        <f aca="false">IF(COUNT(Amendoim!$E55:$Z55)=0,0,MAX(0,IF((S$6-$E$3)&lt;1,0,IFERROR(LOOKUP(2,1/(Amendoim!$E55:INDEX(Amendoim!$E55:$Z55,MIN(S$6-$E$3,22))&lt;&gt;""),Amendoim!$E55:INDEX(Amendoim!$E55:$Z55,MIN(S$6-$E$3,22))),0))-IF($G$2,0,IF((S$6-$G$3)&lt;1,0,IFERROR(LOOKUP(2,1/(Amendoim!$E55:INDEX(Amendoim!$E55:$Z55,MIN(S$6-$G$3,22))&lt;&gt;""),Amendoim!$E55:INDEX(Amendoim!$E55:$Z55,MIN(S$6-$G$3,22))),0)))))</f>
        <v>0</v>
      </c>
      <c r="T57" s="27" t="n">
        <f aca="false">IF(COUNT(Amendoim!$E55:$Z55)=0,0,MAX(0,IF((T$6-$E$3)&lt;1,0,IFERROR(LOOKUP(2,1/(Amendoim!$E55:INDEX(Amendoim!$E55:$Z55,MIN(T$6-$E$3,22))&lt;&gt;""),Amendoim!$E55:INDEX(Amendoim!$E55:$Z55,MIN(T$6-$E$3,22))),0))-IF($G$2,0,IF((T$6-$G$3)&lt;1,0,IFERROR(LOOKUP(2,1/(Amendoim!$E55:INDEX(Amendoim!$E55:$Z55,MIN(T$6-$G$3,22))&lt;&gt;""),Amendoim!$E55:INDEX(Amendoim!$E55:$Z55,MIN(T$6-$G$3,22))),0)))))</f>
        <v>0</v>
      </c>
      <c r="U57" s="27" t="n">
        <f aca="false">IF(COUNT(Amendoim!$E55:$Z55)=0,0,MAX(0,IF((U$6-$E$3)&lt;1,0,IFERROR(LOOKUP(2,1/(Amendoim!$E55:INDEX(Amendoim!$E55:$Z55,MIN(U$6-$E$3,22))&lt;&gt;""),Amendoim!$E55:INDEX(Amendoim!$E55:$Z55,MIN(U$6-$E$3,22))),0))-IF($G$2,0,IF((U$6-$G$3)&lt;1,0,IFERROR(LOOKUP(2,1/(Amendoim!$E55:INDEX(Amendoim!$E55:$Z55,MIN(U$6-$G$3,22))&lt;&gt;""),Amendoim!$E55:INDEX(Amendoim!$E55:$Z55,MIN(U$6-$G$3,22))),0)))))</f>
        <v>0</v>
      </c>
      <c r="V57" s="27" t="n">
        <f aca="false">IF(COUNT(Amendoim!$E55:$Z55)=0,0,MAX(0,IF((V$6-$E$3)&lt;1,0,IFERROR(LOOKUP(2,1/(Amendoim!$E55:INDEX(Amendoim!$E55:$Z55,MIN(V$6-$E$3,22))&lt;&gt;""),Amendoim!$E55:INDEX(Amendoim!$E55:$Z55,MIN(V$6-$E$3,22))),0))-IF($G$2,0,IF((V$6-$G$3)&lt;1,0,IFERROR(LOOKUP(2,1/(Amendoim!$E55:INDEX(Amendoim!$E55:$Z55,MIN(V$6-$G$3,22))&lt;&gt;""),Amendoim!$E55:INDEX(Amendoim!$E55:$Z55,MIN(V$6-$G$3,22))),0)))))</f>
        <v>0</v>
      </c>
      <c r="W57" s="27" t="n">
        <f aca="false">IF(COUNT(Amendoim!$E55:$Z55)=0,0,MAX(0,IF((W$6-$E$3)&lt;1,0,IFERROR(LOOKUP(2,1/(Amendoim!$E55:INDEX(Amendoim!$E55:$Z55,MIN(W$6-$E$3,22))&lt;&gt;""),Amendoim!$E55:INDEX(Amendoim!$E55:$Z55,MIN(W$6-$E$3,22))),0))-IF($G$2,0,IF((W$6-$G$3)&lt;1,0,IFERROR(LOOKUP(2,1/(Amendoim!$E55:INDEX(Amendoim!$E55:$Z55,MIN(W$6-$G$3,22))&lt;&gt;""),Amendoim!$E55:INDEX(Amendoim!$E55:$Z55,MIN(W$6-$G$3,22))),0)))))</f>
        <v>0</v>
      </c>
      <c r="X57" s="27" t="n">
        <f aca="false">IF(COUNT(Amendoim!$E55:$Z55)=0,0,MAX(0,IF((X$6-$E$3)&lt;1,0,IFERROR(LOOKUP(2,1/(Amendoim!$E55:INDEX(Amendoim!$E55:$Z55,MIN(X$6-$E$3,22))&lt;&gt;""),Amendoim!$E55:INDEX(Amendoim!$E55:$Z55,MIN(X$6-$E$3,22))),0))-IF($G$2,0,IF((X$6-$G$3)&lt;1,0,IFERROR(LOOKUP(2,1/(Amendoim!$E55:INDEX(Amendoim!$E55:$Z55,MIN(X$6-$G$3,22))&lt;&gt;""),Amendoim!$E55:INDEX(Amendoim!$E55:$Z55,MIN(X$6-$G$3,22))),0)))))</f>
        <v>0</v>
      </c>
      <c r="Y57" s="27" t="n">
        <f aca="false">IF(COUNT(Amendoim!$E55:$Z55)=0,0,MAX(0,IF((Y$6-$E$3)&lt;1,0,IFERROR(LOOKUP(2,1/(Amendoim!$E55:INDEX(Amendoim!$E55:$Z55,MIN(Y$6-$E$3,22))&lt;&gt;""),Amendoim!$E55:INDEX(Amendoim!$E55:$Z55,MIN(Y$6-$E$3,22))),0))-IF($G$2,0,IF((Y$6-$G$3)&lt;1,0,IFERROR(LOOKUP(2,1/(Amendoim!$E55:INDEX(Amendoim!$E55:$Z55,MIN(Y$6-$G$3,22))&lt;&gt;""),Amendoim!$E55:INDEX(Amendoim!$E55:$Z55,MIN(Y$6-$G$3,22))),0)))))</f>
        <v>0</v>
      </c>
      <c r="Z57" s="27" t="n">
        <f aca="false">IF(COUNT(Amendoim!$E55:$Z55)=0,0,MAX(0,IF((Z$6-$E$3)&lt;1,0,IFERROR(LOOKUP(2,1/(Amendoim!$E55:INDEX(Amendoim!$E55:$Z55,MIN(Z$6-$E$3,22))&lt;&gt;""),Amendoim!$E55:INDEX(Amendoim!$E55:$Z55,MIN(Z$6-$E$3,22))),0))-IF($G$2,0,IF((Z$6-$G$3)&lt;1,0,IFERROR(LOOKUP(2,1/(Amendoim!$E55:INDEX(Amendoim!$E55:$Z55,MIN(Z$6-$G$3,22))&lt;&gt;""),Amendoim!$E55:INDEX(Amendoim!$E55:$Z55,MIN(Z$6-$G$3,22))),0)))))</f>
        <v>0</v>
      </c>
      <c r="AA57" s="27" t="n">
        <f aca="false">IF(COUNT(Amendoim!$E55:$Z55)=0,0,MAX(0,IF((AA$6-$E$3)&lt;1,0,IFERROR(LOOKUP(2,1/(Amendoim!$E55:INDEX(Amendoim!$E55:$Z55,MIN(AA$6-$E$3,22))&lt;&gt;""),Amendoim!$E55:INDEX(Amendoim!$E55:$Z55,MIN(AA$6-$E$3,22))),0))-IF($G$2,0,IF((AA$6-$G$3)&lt;1,0,IFERROR(LOOKUP(2,1/(Amendoim!$E55:INDEX(Amendoim!$E55:$Z55,MIN(AA$6-$G$3,22))&lt;&gt;""),Amendoim!$E55:INDEX(Amendoim!$E55:$Z55,MIN(AA$6-$G$3,22))),0)))))</f>
        <v>0</v>
      </c>
      <c r="AB57" s="27" t="n">
        <f aca="false">IF(COUNT(Amendoim!$E55:$Z55)=0,0,MAX(0,IF((AB$6-$E$3)&lt;1,0,IFERROR(LOOKUP(2,1/(Amendoim!$E55:INDEX(Amendoim!$E55:$Z55,MIN(AB$6-$E$3,22))&lt;&gt;""),Amendoim!$E55:INDEX(Amendoim!$E55:$Z55,MIN(AB$6-$E$3,22))),0))-IF($G$2,0,IF((AB$6-$G$3)&lt;1,0,IFERROR(LOOKUP(2,1/(Amendoim!$E55:INDEX(Amendoim!$E55:$Z55,MIN(AB$6-$G$3,22))&lt;&gt;""),Amendoim!$E55:INDEX(Amendoim!$E55:$Z55,MIN(AB$6-$G$3,22))),0)))))</f>
        <v>0</v>
      </c>
      <c r="AC57" s="27" t="n">
        <f aca="false">IF(COUNT(Amendoim!$E55:$Z55)=0,0,MAX(0,IF((AC$6-$E$3)&lt;1,0,IFERROR(LOOKUP(2,1/(Amendoim!$E55:INDEX(Amendoim!$E55:$Z55,MIN(AC$6-$E$3,22))&lt;&gt;""),Amendoim!$E55:INDEX(Amendoim!$E55:$Z55,MIN(AC$6-$E$3,22))),0))-IF($G$2,0,IF((AC$6-$G$3)&lt;1,0,IFERROR(LOOKUP(2,1/(Amendoim!$E55:INDEX(Amendoim!$E55:$Z55,MIN(AC$6-$G$3,22))&lt;&gt;""),Amendoim!$E55:INDEX(Amendoim!$E55:$Z55,MIN(AC$6-$G$3,22))),0)))))</f>
        <v>0</v>
      </c>
      <c r="AD57" s="27" t="n">
        <f aca="false">IF(COUNT(Amendoim!$E55:$Z55)=0,0,MAX(0,IF((AD$6-$E$3)&lt;1,0,IFERROR(LOOKUP(2,1/(Amendoim!$E55:INDEX(Amendoim!$E55:$Z55,MIN(AD$6-$E$3,22))&lt;&gt;""),Amendoim!$E55:INDEX(Amendoim!$E55:$Z55,MIN(AD$6-$E$3,22))),0))-IF($G$2,0,IF((AD$6-$G$3)&lt;1,0,IFERROR(LOOKUP(2,1/(Amendoim!$E55:INDEX(Amendoim!$E55:$Z55,MIN(AD$6-$G$3,22))&lt;&gt;""),Amendoim!$E55:INDEX(Amendoim!$E55:$Z55,MIN(AD$6-$G$3,22))),0)))))</f>
        <v>0</v>
      </c>
      <c r="AE57" s="27" t="n">
        <f aca="false">IF(COUNT(Amendoim!$E55:$Z55)=0,0,MAX(0,IF((AE$6-$E$3)&lt;1,0,IFERROR(LOOKUP(2,1/(Amendoim!$E55:INDEX(Amendoim!$E55:$Z55,MIN(AE$6-$E$3,22))&lt;&gt;""),Amendoim!$E55:INDEX(Amendoim!$E55:$Z55,MIN(AE$6-$E$3,22))),0))-IF($G$2,0,IF((AE$6-$G$3)&lt;1,0,IFERROR(LOOKUP(2,1/(Amendoim!$E55:INDEX(Amendoim!$E55:$Z55,MIN(AE$6-$G$3,22))&lt;&gt;""),Amendoim!$E55:INDEX(Amendoim!$E55:$Z55,MIN(AE$6-$G$3,22))),0)))))</f>
        <v>0</v>
      </c>
      <c r="AF57" s="27" t="n">
        <f aca="false">IF(COUNT(Amendoim!$E55:$Z55)=0,0,MAX(0,IF((AF$6-$E$3)&lt;1,0,IFERROR(LOOKUP(2,1/(Amendoim!$E55:INDEX(Amendoim!$E55:$Z55,MIN(AF$6-$E$3,22))&lt;&gt;""),Amendoim!$E55:INDEX(Amendoim!$E55:$Z55,MIN(AF$6-$E$3,22))),0))-IF($G$2,0,IF((AF$6-$G$3)&lt;1,0,IFERROR(LOOKUP(2,1/(Amendoim!$E55:INDEX(Amendoim!$E55:$Z55,MIN(AF$6-$G$3,22))&lt;&gt;""),Amendoim!$E55:INDEX(Amendoim!$E55:$Z55,MIN(AF$6-$G$3,22))),0)))))</f>
        <v>0</v>
      </c>
      <c r="AG57" s="27" t="n">
        <f aca="false">IF(COUNT(Amendoim!$E55:$Z55)=0,0,MAX(0,IF((AG$6-$E$3)&lt;1,0,IFERROR(LOOKUP(2,1/(Amendoim!$E55:INDEX(Amendoim!$E55:$Z55,MIN(AG$6-$E$3,22))&lt;&gt;""),Amendoim!$E55:INDEX(Amendoim!$E55:$Z55,MIN(AG$6-$E$3,22))),0))-IF($G$2,0,IF((AG$6-$G$3)&lt;1,0,IFERROR(LOOKUP(2,1/(Amendoim!$E55:INDEX(Amendoim!$E55:$Z55,MIN(AG$6-$G$3,22))&lt;&gt;""),Amendoim!$E55:INDEX(Amendoim!$E55:$Z55,MIN(AG$6-$G$3,22))),0)))))</f>
        <v>0</v>
      </c>
      <c r="AH57" s="27" t="n">
        <f aca="false">IF(COUNT(Amendoim!$E55:$Z55)=0,0,MAX(0,IF((AH$6-$E$3)&lt;1,0,IFERROR(LOOKUP(2,1/(Amendoim!$E55:INDEX(Amendoim!$E55:$Z55,MIN(AH$6-$E$3,22))&lt;&gt;""),Amendoim!$E55:INDEX(Amendoim!$E55:$Z55,MIN(AH$6-$E$3,22))),0))-IF($G$2,0,IF((AH$6-$G$3)&lt;1,0,IFERROR(LOOKUP(2,1/(Amendoim!$E55:INDEX(Amendoim!$E55:$Z55,MIN(AH$6-$G$3,22))&lt;&gt;""),Amendoim!$E55:INDEX(Amendoim!$E55:$Z55,MIN(AH$6-$G$3,22))),0)))))</f>
        <v>0</v>
      </c>
      <c r="AI57" s="27" t="n">
        <f aca="false">IF(COUNT(Amendoim!$E55:$Z55)=0,0,MAX(0,IF((AI$6-$E$3)&lt;1,0,IFERROR(LOOKUP(2,1/(Amendoim!$E55:INDEX(Amendoim!$E55:$Z55,MIN(AI$6-$E$3,22))&lt;&gt;""),Amendoim!$E55:INDEX(Amendoim!$E55:$Z55,MIN(AI$6-$E$3,22))),0))-IF($G$2,0,IF((AI$6-$G$3)&lt;1,0,IFERROR(LOOKUP(2,1/(Amendoim!$E55:INDEX(Amendoim!$E55:$Z55,MIN(AI$6-$G$3,22))&lt;&gt;""),Amendoim!$E55:INDEX(Amendoim!$E55:$Z55,MIN(AI$6-$G$3,22))),0)))))</f>
        <v>0</v>
      </c>
      <c r="AJ57" s="27" t="n">
        <f aca="false">IF(COUNT(Amendoim!$E55:$Z55)=0,0,MAX(0,IF((AJ$6-$E$3)&lt;1,0,IFERROR(LOOKUP(2,1/(Amendoim!$E55:INDEX(Amendoim!$E55:$Z55,MIN(AJ$6-$E$3,22))&lt;&gt;""),Amendoim!$E55:INDEX(Amendoim!$E55:$Z55,MIN(AJ$6-$E$3,22))),0))-IF($G$2,0,IF((AJ$6-$G$3)&lt;1,0,IFERROR(LOOKUP(2,1/(Amendoim!$E55:INDEX(Amendoim!$E55:$Z55,MIN(AJ$6-$G$3,22))&lt;&gt;""),Amendoim!$E55:INDEX(Amendoim!$E55:$Z55,MIN(AJ$6-$G$3,22))),0)))))</f>
        <v>0</v>
      </c>
      <c r="AK57" s="27" t="n">
        <f aca="false">IF(COUNT(Amendoim!$E55:$Z55)=0,0,MAX(0,IF((AK$6-$E$3)&lt;1,0,IFERROR(LOOKUP(2,1/(Amendoim!$E55:INDEX(Amendoim!$E55:$Z55,MIN(AK$6-$E$3,22))&lt;&gt;""),Amendoim!$E55:INDEX(Amendoim!$E55:$Z55,MIN(AK$6-$E$3,22))),0))-IF($G$2,0,IF((AK$6-$G$3)&lt;1,0,IFERROR(LOOKUP(2,1/(Amendoim!$E55:INDEX(Amendoim!$E55:$Z55,MIN(AK$6-$G$3,22))&lt;&gt;""),Amendoim!$E55:INDEX(Amendoim!$E55:$Z55,MIN(AK$6-$G$3,22))),0)))))</f>
        <v>0</v>
      </c>
      <c r="AL57" s="27" t="n">
        <f aca="false">IF(COUNT(Amendoim!$E55:$Z55)=0,0,MAX(0,IF((AL$6-$E$3)&lt;1,0,IFERROR(LOOKUP(2,1/(Amendoim!$E55:INDEX(Amendoim!$E55:$Z55,MIN(AL$6-$E$3,22))&lt;&gt;""),Amendoim!$E55:INDEX(Amendoim!$E55:$Z55,MIN(AL$6-$E$3,22))),0))-IF($G$2,0,IF((AL$6-$G$3)&lt;1,0,IFERROR(LOOKUP(2,1/(Amendoim!$E55:INDEX(Amendoim!$E55:$Z55,MIN(AL$6-$G$3,22))&lt;&gt;""),Amendoim!$E55:INDEX(Amendoim!$E55:$Z55,MIN(AL$6-$G$3,22))),0)))))</f>
        <v>0</v>
      </c>
      <c r="AM57" s="27" t="n">
        <f aca="false">IF(COUNT(Amendoim!$E55:$Z55)=0,0,MAX(0,IF((AM$6-$E$3)&lt;1,0,IFERROR(LOOKUP(2,1/(Amendoim!$E55:INDEX(Amendoim!$E55:$Z55,MIN(AM$6-$E$3,22))&lt;&gt;""),Amendoim!$E55:INDEX(Amendoim!$E55:$Z55,MIN(AM$6-$E$3,22))),0))-IF($G$2,0,IF((AM$6-$G$3)&lt;1,0,IFERROR(LOOKUP(2,1/(Amendoim!$E55:INDEX(Amendoim!$E55:$Z55,MIN(AM$6-$G$3,22))&lt;&gt;""),Amendoim!$E55:INDEX(Amendoim!$E55:$Z55,MIN(AM$6-$G$3,22))),0)))))</f>
        <v>0</v>
      </c>
      <c r="AN57" s="27" t="n">
        <f aca="false">IF(COUNT(Amendoim!$E55:$Z55)=0,0,MAX(0,IF((AN$6-$E$3)&lt;1,0,IFERROR(LOOKUP(2,1/(Amendoim!$E55:INDEX(Amendoim!$E55:$Z55,MIN(AN$6-$E$3,22))&lt;&gt;""),Amendoim!$E55:INDEX(Amendoim!$E55:$Z55,MIN(AN$6-$E$3,22))),0))-IF($G$2,0,IF((AN$6-$G$3)&lt;1,0,IFERROR(LOOKUP(2,1/(Amendoim!$E55:INDEX(Amendoim!$E55:$Z55,MIN(AN$6-$G$3,22))&lt;&gt;""),Amendoim!$E55:INDEX(Amendoim!$E55:$Z55,MIN(AN$6-$G$3,22))),0)))))</f>
        <v>0</v>
      </c>
      <c r="AO57" s="27" t="n">
        <f aca="false">IF(COUNT(Amendoim!$E55:$Z55)=0,0,MAX(0,IF((AO$6-$E$3)&lt;1,0,IFERROR(LOOKUP(2,1/(Amendoim!$E55:INDEX(Amendoim!$E55:$Z55,MIN(AO$6-$E$3,22))&lt;&gt;""),Amendoim!$E55:INDEX(Amendoim!$E55:$Z55,MIN(AO$6-$E$3,22))),0))-IF($G$2,0,IF((AO$6-$G$3)&lt;1,0,IFERROR(LOOKUP(2,1/(Amendoim!$E55:INDEX(Amendoim!$E55:$Z55,MIN(AO$6-$G$3,22))&lt;&gt;""),Amendoim!$E55:INDEX(Amendoim!$E55:$Z55,MIN(AO$6-$G$3,22))),0)))))</f>
        <v>0</v>
      </c>
      <c r="AP57" s="27" t="n">
        <f aca="false">IF(COUNT(Amendoim!$E55:$Z55)=0,0,MAX(0,IF((AP$6-$E$3)&lt;1,0,IFERROR(LOOKUP(2,1/(Amendoim!$E55:INDEX(Amendoim!$E55:$Z55,MIN(AP$6-$E$3,22))&lt;&gt;""),Amendoim!$E55:INDEX(Amendoim!$E55:$Z55,MIN(AP$6-$E$3,22))),0))-IF($G$2,0,IF((AP$6-$G$3)&lt;1,0,IFERROR(LOOKUP(2,1/(Amendoim!$E55:INDEX(Amendoim!$E55:$Z55,MIN(AP$6-$G$3,22))&lt;&gt;""),Amendoim!$E55:INDEX(Amendoim!$E55:$Z55,MIN(AP$6-$G$3,22))),0)))))</f>
        <v>0</v>
      </c>
      <c r="AQ57" s="27" t="n">
        <f aca="false">IF(COUNT(Amendoim!$E55:$Z55)=0,0,MAX(0,IF((AQ$6-$E$3)&lt;1,0,IFERROR(LOOKUP(2,1/(Amendoim!$E55:INDEX(Amendoim!$E55:$Z55,MIN(AQ$6-$E$3,22))&lt;&gt;""),Amendoim!$E55:INDEX(Amendoim!$E55:$Z55,MIN(AQ$6-$E$3,22))),0))-IF($G$2,0,IF((AQ$6-$G$3)&lt;1,0,IFERROR(LOOKUP(2,1/(Amendoim!$E55:INDEX(Amendoim!$E55:$Z55,MIN(AQ$6-$G$3,22))&lt;&gt;""),Amendoim!$E55:INDEX(Amendoim!$E55:$Z55,MIN(AQ$6-$G$3,22))),0)))))</f>
        <v>0</v>
      </c>
      <c r="AR57" s="27" t="n">
        <f aca="false">IF(COUNT(Amendoim!$E55:$Z55)=0,0,MAX(0,IF((AR$6-$E$3)&lt;1,0,IFERROR(LOOKUP(2,1/(Amendoim!$E55:INDEX(Amendoim!$E55:$Z55,MIN(AR$6-$E$3,22))&lt;&gt;""),Amendoim!$E55:INDEX(Amendoim!$E55:$Z55,MIN(AR$6-$E$3,22))),0))-IF($G$2,0,IF((AR$6-$G$3)&lt;1,0,IFERROR(LOOKUP(2,1/(Amendoim!$E55:INDEX(Amendoim!$E55:$Z55,MIN(AR$6-$G$3,22))&lt;&gt;""),Amendoim!$E55:INDEX(Amendoim!$E55:$Z55,MIN(AR$6-$G$3,22))),0)))))</f>
        <v>0</v>
      </c>
      <c r="AS57" s="27" t="n">
        <f aca="false">IF(COUNT(Amendoim!$E55:$Z55)=0,0,MAX(0,IF((AS$6-$E$3)&lt;1,0,IFERROR(LOOKUP(2,1/(Amendoim!$E55:INDEX(Amendoim!$E55:$Z55,MIN(AS$6-$E$3,22))&lt;&gt;""),Amendoim!$E55:INDEX(Amendoim!$E55:$Z55,MIN(AS$6-$E$3,22))),0))-IF($G$2,0,IF((AS$6-$G$3)&lt;1,0,IFERROR(LOOKUP(2,1/(Amendoim!$E55:INDEX(Amendoim!$E55:$Z55,MIN(AS$6-$G$3,22))&lt;&gt;""),Amendoim!$E55:INDEX(Amendoim!$E55:$Z55,MIN(AS$6-$G$3,22))),0)))))</f>
        <v>0</v>
      </c>
      <c r="AT57" s="27" t="n">
        <f aca="false">IF(COUNT(Amendoim!$E55:$Z55)=0,0,MAX(0,IF((AT$6-$E$3)&lt;1,0,IFERROR(LOOKUP(2,1/(Amendoim!$E55:INDEX(Amendoim!$E55:$Z55,MIN(AT$6-$E$3,22))&lt;&gt;""),Amendoim!$E55:INDEX(Amendoim!$E55:$Z55,MIN(AT$6-$E$3,22))),0))-IF($G$2,0,IF((AT$6-$G$3)&lt;1,0,IFERROR(LOOKUP(2,1/(Amendoim!$E55:INDEX(Amendoim!$E55:$Z55,MIN(AT$6-$G$3,22))&lt;&gt;""),Amendoim!$E55:INDEX(Amendoim!$E55:$Z55,MIN(AT$6-$G$3,22))),0)))))</f>
        <v>0</v>
      </c>
      <c r="AU57" s="27" t="n">
        <f aca="false">IF(COUNT(Amendoim!$E55:$Z55)=0,0,MAX(0,IF((AU$6-$E$3)&lt;1,0,IFERROR(LOOKUP(2,1/(Amendoim!$E55:INDEX(Amendoim!$E55:$Z55,MIN(AU$6-$E$3,22))&lt;&gt;""),Amendoim!$E55:INDEX(Amendoim!$E55:$Z55,MIN(AU$6-$E$3,22))),0))-IF($G$2,0,IF((AU$6-$G$3)&lt;1,0,IFERROR(LOOKUP(2,1/(Amendoim!$E55:INDEX(Amendoim!$E55:$Z55,MIN(AU$6-$G$3,22))&lt;&gt;""),Amendoim!$E55:INDEX(Amendoim!$E55:$Z55,MIN(AU$6-$G$3,22))),0)))))</f>
        <v>0</v>
      </c>
      <c r="AV57" s="27" t="n">
        <f aca="false">IF(COUNT(Amendoim!$E55:$Z55)=0,0,MAX(0,IF((AV$6-$E$3)&lt;1,0,IFERROR(LOOKUP(2,1/(Amendoim!$E55:INDEX(Amendoim!$E55:$Z55,MIN(AV$6-$E$3,22))&lt;&gt;""),Amendoim!$E55:INDEX(Amendoim!$E55:$Z55,MIN(AV$6-$E$3,22))),0))-IF($G$2,0,IF((AV$6-$G$3)&lt;1,0,IFERROR(LOOKUP(2,1/(Amendoim!$E55:INDEX(Amendoim!$E55:$Z55,MIN(AV$6-$G$3,22))&lt;&gt;""),Amendoim!$E55:INDEX(Amendoim!$E55:$Z55,MIN(AV$6-$G$3,22))),0)))))</f>
        <v>0</v>
      </c>
      <c r="AW57" s="27" t="n">
        <f aca="false">IF(COUNT(Amendoim!$E55:$Z55)=0,0,MAX(0,IF((AW$6-$E$3)&lt;1,0,IFERROR(LOOKUP(2,1/(Amendoim!$E55:INDEX(Amendoim!$E55:$Z55,MIN(AW$6-$E$3,22))&lt;&gt;""),Amendoim!$E55:INDEX(Amendoim!$E55:$Z55,MIN(AW$6-$E$3,22))),0))-IF($G$2,0,IF((AW$6-$G$3)&lt;1,0,IFERROR(LOOKUP(2,1/(Amendoim!$E55:INDEX(Amendoim!$E55:$Z55,MIN(AW$6-$G$3,22))&lt;&gt;""),Amendoim!$E55:INDEX(Amendoim!$E55:$Z55,MIN(AW$6-$G$3,22))),0)))))</f>
        <v>0</v>
      </c>
      <c r="AX57" s="27" t="n">
        <f aca="false">IF(COUNT(Amendoim!$E55:$Z55)=0,0,MAX(0,IF((AX$6-$E$3)&lt;1,0,IFERROR(LOOKUP(2,1/(Amendoim!$E55:INDEX(Amendoim!$E55:$Z55,MIN(AX$6-$E$3,22))&lt;&gt;""),Amendoim!$E55:INDEX(Amendoim!$E55:$Z55,MIN(AX$6-$E$3,22))),0))-IF($G$2,0,IF((AX$6-$G$3)&lt;1,0,IFERROR(LOOKUP(2,1/(Amendoim!$E55:INDEX(Amendoim!$E55:$Z55,MIN(AX$6-$G$3,22))&lt;&gt;""),Amendoim!$E55:INDEX(Amendoim!$E55:$Z55,MIN(AX$6-$G$3,22))),0)))))</f>
        <v>0</v>
      </c>
      <c r="AY57" s="27" t="n">
        <f aca="false">IF(COUNT(Amendoim!$E55:$Z55)=0,0,MAX(0,IF((AY$6-$E$3)&lt;1,0,IFERROR(LOOKUP(2,1/(Amendoim!$E55:INDEX(Amendoim!$E55:$Z55,MIN(AY$6-$E$3,22))&lt;&gt;""),Amendoim!$E55:INDEX(Amendoim!$E55:$Z55,MIN(AY$6-$E$3,22))),0))-IF($G$2,0,IF((AY$6-$G$3)&lt;1,0,IFERROR(LOOKUP(2,1/(Amendoim!$E55:INDEX(Amendoim!$E55:$Z55,MIN(AY$6-$G$3,22))&lt;&gt;""),Amendoim!$E55:INDEX(Amendoim!$E55:$Z55,MIN(AY$6-$G$3,22))),0)))))</f>
        <v>0</v>
      </c>
      <c r="AZ57" s="27" t="n">
        <f aca="false">IF(COUNT(Amendoim!$E55:$Z55)=0,0,MAX(0,IF((AZ$6-$E$3)&lt;1,0,IFERROR(LOOKUP(2,1/(Amendoim!$E55:INDEX(Amendoim!$E55:$Z55,MIN(AZ$6-$E$3,22))&lt;&gt;""),Amendoim!$E55:INDEX(Amendoim!$E55:$Z55,MIN(AZ$6-$E$3,22))),0))-IF($G$2,0,IF((AZ$6-$G$3)&lt;1,0,IFERROR(LOOKUP(2,1/(Amendoim!$E55:INDEX(Amendoim!$E55:$Z55,MIN(AZ$6-$G$3,22))&lt;&gt;""),Amendoim!$E55:INDEX(Amendoim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IF(COUNT(Amendoim!$E56:$Z56)&gt;0,N(Amendoim!$D56),0)</f>
        <v>0</v>
      </c>
      <c r="E58" s="27" t="n">
        <f aca="false">IF(COUNT(Amendoim!$E56:$Z56)=0,0,MAX(0,IF((E$6-$E$3)&lt;1,0,IFERROR(LOOKUP(2,1/(Amendoim!$E56:INDEX(Amendoim!$E56:$Z56,MIN(E$6-$E$3,22))&lt;&gt;""),Amendoim!$E56:INDEX(Amendoim!$E56:$Z56,MIN(E$6-$E$3,22))),0))-IF($G$2,0,IF((E$6-$G$3)&lt;1,0,IFERROR(LOOKUP(2,1/(Amendoim!$E56:INDEX(Amendoim!$E56:$Z56,MIN(E$6-$G$3,22))&lt;&gt;""),Amendoim!$E56:INDEX(Amendoim!$E56:$Z56,MIN(E$6-$G$3,22))),0)))))</f>
        <v>0</v>
      </c>
      <c r="F58" s="27" t="n">
        <f aca="false">IF(COUNT(Amendoim!$E56:$Z56)=0,0,MAX(0,IF((F$6-$E$3)&lt;1,0,IFERROR(LOOKUP(2,1/(Amendoim!$E56:INDEX(Amendoim!$E56:$Z56,MIN(F$6-$E$3,22))&lt;&gt;""),Amendoim!$E56:INDEX(Amendoim!$E56:$Z56,MIN(F$6-$E$3,22))),0))-IF($G$2,0,IF((F$6-$G$3)&lt;1,0,IFERROR(LOOKUP(2,1/(Amendoim!$E56:INDEX(Amendoim!$E56:$Z56,MIN(F$6-$G$3,22))&lt;&gt;""),Amendoim!$E56:INDEX(Amendoim!$E56:$Z56,MIN(F$6-$G$3,22))),0)))))</f>
        <v>0</v>
      </c>
      <c r="G58" s="27" t="n">
        <f aca="false">IF(COUNT(Amendoim!$E56:$Z56)=0,0,MAX(0,IF((G$6-$E$3)&lt;1,0,IFERROR(LOOKUP(2,1/(Amendoim!$E56:INDEX(Amendoim!$E56:$Z56,MIN(G$6-$E$3,22))&lt;&gt;""),Amendoim!$E56:INDEX(Amendoim!$E56:$Z56,MIN(G$6-$E$3,22))),0))-IF($G$2,0,IF((G$6-$G$3)&lt;1,0,IFERROR(LOOKUP(2,1/(Amendoim!$E56:INDEX(Amendoim!$E56:$Z56,MIN(G$6-$G$3,22))&lt;&gt;""),Amendoim!$E56:INDEX(Amendoim!$E56:$Z56,MIN(G$6-$G$3,22))),0)))))</f>
        <v>0</v>
      </c>
      <c r="H58" s="27" t="n">
        <f aca="false">IF(COUNT(Amendoim!$E56:$Z56)=0,0,MAX(0,IF((H$6-$E$3)&lt;1,0,IFERROR(LOOKUP(2,1/(Amendoim!$E56:INDEX(Amendoim!$E56:$Z56,MIN(H$6-$E$3,22))&lt;&gt;""),Amendoim!$E56:INDEX(Amendoim!$E56:$Z56,MIN(H$6-$E$3,22))),0))-IF($G$2,0,IF((H$6-$G$3)&lt;1,0,IFERROR(LOOKUP(2,1/(Amendoim!$E56:INDEX(Amendoim!$E56:$Z56,MIN(H$6-$G$3,22))&lt;&gt;""),Amendoim!$E56:INDEX(Amendoim!$E56:$Z56,MIN(H$6-$G$3,22))),0)))))</f>
        <v>0</v>
      </c>
      <c r="I58" s="27" t="n">
        <f aca="false">IF(COUNT(Amendoim!$E56:$Z56)=0,0,MAX(0,IF((I$6-$E$3)&lt;1,0,IFERROR(LOOKUP(2,1/(Amendoim!$E56:INDEX(Amendoim!$E56:$Z56,MIN(I$6-$E$3,22))&lt;&gt;""),Amendoim!$E56:INDEX(Amendoim!$E56:$Z56,MIN(I$6-$E$3,22))),0))-IF($G$2,0,IF((I$6-$G$3)&lt;1,0,IFERROR(LOOKUP(2,1/(Amendoim!$E56:INDEX(Amendoim!$E56:$Z56,MIN(I$6-$G$3,22))&lt;&gt;""),Amendoim!$E56:INDEX(Amendoim!$E56:$Z56,MIN(I$6-$G$3,22))),0)))))</f>
        <v>0</v>
      </c>
      <c r="J58" s="27" t="n">
        <f aca="false">IF(COUNT(Amendoim!$E56:$Z56)=0,0,MAX(0,IF((J$6-$E$3)&lt;1,0,IFERROR(LOOKUP(2,1/(Amendoim!$E56:INDEX(Amendoim!$E56:$Z56,MIN(J$6-$E$3,22))&lt;&gt;""),Amendoim!$E56:INDEX(Amendoim!$E56:$Z56,MIN(J$6-$E$3,22))),0))-IF($G$2,0,IF((J$6-$G$3)&lt;1,0,IFERROR(LOOKUP(2,1/(Amendoim!$E56:INDEX(Amendoim!$E56:$Z56,MIN(J$6-$G$3,22))&lt;&gt;""),Amendoim!$E56:INDEX(Amendoim!$E56:$Z56,MIN(J$6-$G$3,22))),0)))))</f>
        <v>0</v>
      </c>
      <c r="K58" s="27" t="n">
        <f aca="false">IF(COUNT(Amendoim!$E56:$Z56)=0,0,MAX(0,IF((K$6-$E$3)&lt;1,0,IFERROR(LOOKUP(2,1/(Amendoim!$E56:INDEX(Amendoim!$E56:$Z56,MIN(K$6-$E$3,22))&lt;&gt;""),Amendoim!$E56:INDEX(Amendoim!$E56:$Z56,MIN(K$6-$E$3,22))),0))-IF($G$2,0,IF((K$6-$G$3)&lt;1,0,IFERROR(LOOKUP(2,1/(Amendoim!$E56:INDEX(Amendoim!$E56:$Z56,MIN(K$6-$G$3,22))&lt;&gt;""),Amendoim!$E56:INDEX(Amendoim!$E56:$Z56,MIN(K$6-$G$3,22))),0)))))</f>
        <v>0</v>
      </c>
      <c r="L58" s="27" t="n">
        <f aca="false">IF(COUNT(Amendoim!$E56:$Z56)=0,0,MAX(0,IF((L$6-$E$3)&lt;1,0,IFERROR(LOOKUP(2,1/(Amendoim!$E56:INDEX(Amendoim!$E56:$Z56,MIN(L$6-$E$3,22))&lt;&gt;""),Amendoim!$E56:INDEX(Amendoim!$E56:$Z56,MIN(L$6-$E$3,22))),0))-IF($G$2,0,IF((L$6-$G$3)&lt;1,0,IFERROR(LOOKUP(2,1/(Amendoim!$E56:INDEX(Amendoim!$E56:$Z56,MIN(L$6-$G$3,22))&lt;&gt;""),Amendoim!$E56:INDEX(Amendoim!$E56:$Z56,MIN(L$6-$G$3,22))),0)))))</f>
        <v>0</v>
      </c>
      <c r="M58" s="27" t="n">
        <f aca="false">IF(COUNT(Amendoim!$E56:$Z56)=0,0,MAX(0,IF((M$6-$E$3)&lt;1,0,IFERROR(LOOKUP(2,1/(Amendoim!$E56:INDEX(Amendoim!$E56:$Z56,MIN(M$6-$E$3,22))&lt;&gt;""),Amendoim!$E56:INDEX(Amendoim!$E56:$Z56,MIN(M$6-$E$3,22))),0))-IF($G$2,0,IF((M$6-$G$3)&lt;1,0,IFERROR(LOOKUP(2,1/(Amendoim!$E56:INDEX(Amendoim!$E56:$Z56,MIN(M$6-$G$3,22))&lt;&gt;""),Amendoim!$E56:INDEX(Amendoim!$E56:$Z56,MIN(M$6-$G$3,22))),0)))))</f>
        <v>0</v>
      </c>
      <c r="N58" s="27" t="n">
        <f aca="false">IF(COUNT(Amendoim!$E56:$Z56)=0,0,MAX(0,IF((N$6-$E$3)&lt;1,0,IFERROR(LOOKUP(2,1/(Amendoim!$E56:INDEX(Amendoim!$E56:$Z56,MIN(N$6-$E$3,22))&lt;&gt;""),Amendoim!$E56:INDEX(Amendoim!$E56:$Z56,MIN(N$6-$E$3,22))),0))-IF($G$2,0,IF((N$6-$G$3)&lt;1,0,IFERROR(LOOKUP(2,1/(Amendoim!$E56:INDEX(Amendoim!$E56:$Z56,MIN(N$6-$G$3,22))&lt;&gt;""),Amendoim!$E56:INDEX(Amendoim!$E56:$Z56,MIN(N$6-$G$3,22))),0)))))</f>
        <v>0</v>
      </c>
      <c r="O58" s="27" t="n">
        <f aca="false">IF(COUNT(Amendoim!$E56:$Z56)=0,0,MAX(0,IF((O$6-$E$3)&lt;1,0,IFERROR(LOOKUP(2,1/(Amendoim!$E56:INDEX(Amendoim!$E56:$Z56,MIN(O$6-$E$3,22))&lt;&gt;""),Amendoim!$E56:INDEX(Amendoim!$E56:$Z56,MIN(O$6-$E$3,22))),0))-IF($G$2,0,IF((O$6-$G$3)&lt;1,0,IFERROR(LOOKUP(2,1/(Amendoim!$E56:INDEX(Amendoim!$E56:$Z56,MIN(O$6-$G$3,22))&lt;&gt;""),Amendoim!$E56:INDEX(Amendoim!$E56:$Z56,MIN(O$6-$G$3,22))),0)))))</f>
        <v>0</v>
      </c>
      <c r="P58" s="27" t="n">
        <f aca="false">IF(COUNT(Amendoim!$E56:$Z56)=0,0,MAX(0,IF((P$6-$E$3)&lt;1,0,IFERROR(LOOKUP(2,1/(Amendoim!$E56:INDEX(Amendoim!$E56:$Z56,MIN(P$6-$E$3,22))&lt;&gt;""),Amendoim!$E56:INDEX(Amendoim!$E56:$Z56,MIN(P$6-$E$3,22))),0))-IF($G$2,0,IF((P$6-$G$3)&lt;1,0,IFERROR(LOOKUP(2,1/(Amendoim!$E56:INDEX(Amendoim!$E56:$Z56,MIN(P$6-$G$3,22))&lt;&gt;""),Amendoim!$E56:INDEX(Amendoim!$E56:$Z56,MIN(P$6-$G$3,22))),0)))))</f>
        <v>0</v>
      </c>
      <c r="Q58" s="27" t="n">
        <f aca="false">IF(COUNT(Amendoim!$E56:$Z56)=0,0,MAX(0,IF((Q$6-$E$3)&lt;1,0,IFERROR(LOOKUP(2,1/(Amendoim!$E56:INDEX(Amendoim!$E56:$Z56,MIN(Q$6-$E$3,22))&lt;&gt;""),Amendoim!$E56:INDEX(Amendoim!$E56:$Z56,MIN(Q$6-$E$3,22))),0))-IF($G$2,0,IF((Q$6-$G$3)&lt;1,0,IFERROR(LOOKUP(2,1/(Amendoim!$E56:INDEX(Amendoim!$E56:$Z56,MIN(Q$6-$G$3,22))&lt;&gt;""),Amendoim!$E56:INDEX(Amendoim!$E56:$Z56,MIN(Q$6-$G$3,22))),0)))))</f>
        <v>0</v>
      </c>
      <c r="R58" s="27" t="n">
        <f aca="false">IF(COUNT(Amendoim!$E56:$Z56)=0,0,MAX(0,IF((R$6-$E$3)&lt;1,0,IFERROR(LOOKUP(2,1/(Amendoim!$E56:INDEX(Amendoim!$E56:$Z56,MIN(R$6-$E$3,22))&lt;&gt;""),Amendoim!$E56:INDEX(Amendoim!$E56:$Z56,MIN(R$6-$E$3,22))),0))-IF($G$2,0,IF((R$6-$G$3)&lt;1,0,IFERROR(LOOKUP(2,1/(Amendoim!$E56:INDEX(Amendoim!$E56:$Z56,MIN(R$6-$G$3,22))&lt;&gt;""),Amendoim!$E56:INDEX(Amendoim!$E56:$Z56,MIN(R$6-$G$3,22))),0)))))</f>
        <v>0</v>
      </c>
      <c r="S58" s="27" t="n">
        <f aca="false">IF(COUNT(Amendoim!$E56:$Z56)=0,0,MAX(0,IF((S$6-$E$3)&lt;1,0,IFERROR(LOOKUP(2,1/(Amendoim!$E56:INDEX(Amendoim!$E56:$Z56,MIN(S$6-$E$3,22))&lt;&gt;""),Amendoim!$E56:INDEX(Amendoim!$E56:$Z56,MIN(S$6-$E$3,22))),0))-IF($G$2,0,IF((S$6-$G$3)&lt;1,0,IFERROR(LOOKUP(2,1/(Amendoim!$E56:INDEX(Amendoim!$E56:$Z56,MIN(S$6-$G$3,22))&lt;&gt;""),Amendoim!$E56:INDEX(Amendoim!$E56:$Z56,MIN(S$6-$G$3,22))),0)))))</f>
        <v>0</v>
      </c>
      <c r="T58" s="27" t="n">
        <f aca="false">IF(COUNT(Amendoim!$E56:$Z56)=0,0,MAX(0,IF((T$6-$E$3)&lt;1,0,IFERROR(LOOKUP(2,1/(Amendoim!$E56:INDEX(Amendoim!$E56:$Z56,MIN(T$6-$E$3,22))&lt;&gt;""),Amendoim!$E56:INDEX(Amendoim!$E56:$Z56,MIN(T$6-$E$3,22))),0))-IF($G$2,0,IF((T$6-$G$3)&lt;1,0,IFERROR(LOOKUP(2,1/(Amendoim!$E56:INDEX(Amendoim!$E56:$Z56,MIN(T$6-$G$3,22))&lt;&gt;""),Amendoim!$E56:INDEX(Amendoim!$E56:$Z56,MIN(T$6-$G$3,22))),0)))))</f>
        <v>0</v>
      </c>
      <c r="U58" s="27" t="n">
        <f aca="false">IF(COUNT(Amendoim!$E56:$Z56)=0,0,MAX(0,IF((U$6-$E$3)&lt;1,0,IFERROR(LOOKUP(2,1/(Amendoim!$E56:INDEX(Amendoim!$E56:$Z56,MIN(U$6-$E$3,22))&lt;&gt;""),Amendoim!$E56:INDEX(Amendoim!$E56:$Z56,MIN(U$6-$E$3,22))),0))-IF($G$2,0,IF((U$6-$G$3)&lt;1,0,IFERROR(LOOKUP(2,1/(Amendoim!$E56:INDEX(Amendoim!$E56:$Z56,MIN(U$6-$G$3,22))&lt;&gt;""),Amendoim!$E56:INDEX(Amendoim!$E56:$Z56,MIN(U$6-$G$3,22))),0)))))</f>
        <v>0</v>
      </c>
      <c r="V58" s="27" t="n">
        <f aca="false">IF(COUNT(Amendoim!$E56:$Z56)=0,0,MAX(0,IF((V$6-$E$3)&lt;1,0,IFERROR(LOOKUP(2,1/(Amendoim!$E56:INDEX(Amendoim!$E56:$Z56,MIN(V$6-$E$3,22))&lt;&gt;""),Amendoim!$E56:INDEX(Amendoim!$E56:$Z56,MIN(V$6-$E$3,22))),0))-IF($G$2,0,IF((V$6-$G$3)&lt;1,0,IFERROR(LOOKUP(2,1/(Amendoim!$E56:INDEX(Amendoim!$E56:$Z56,MIN(V$6-$G$3,22))&lt;&gt;""),Amendoim!$E56:INDEX(Amendoim!$E56:$Z56,MIN(V$6-$G$3,22))),0)))))</f>
        <v>0</v>
      </c>
      <c r="W58" s="27" t="n">
        <f aca="false">IF(COUNT(Amendoim!$E56:$Z56)=0,0,MAX(0,IF((W$6-$E$3)&lt;1,0,IFERROR(LOOKUP(2,1/(Amendoim!$E56:INDEX(Amendoim!$E56:$Z56,MIN(W$6-$E$3,22))&lt;&gt;""),Amendoim!$E56:INDEX(Amendoim!$E56:$Z56,MIN(W$6-$E$3,22))),0))-IF($G$2,0,IF((W$6-$G$3)&lt;1,0,IFERROR(LOOKUP(2,1/(Amendoim!$E56:INDEX(Amendoim!$E56:$Z56,MIN(W$6-$G$3,22))&lt;&gt;""),Amendoim!$E56:INDEX(Amendoim!$E56:$Z56,MIN(W$6-$G$3,22))),0)))))</f>
        <v>0</v>
      </c>
      <c r="X58" s="27" t="n">
        <f aca="false">IF(COUNT(Amendoim!$E56:$Z56)=0,0,MAX(0,IF((X$6-$E$3)&lt;1,0,IFERROR(LOOKUP(2,1/(Amendoim!$E56:INDEX(Amendoim!$E56:$Z56,MIN(X$6-$E$3,22))&lt;&gt;""),Amendoim!$E56:INDEX(Amendoim!$E56:$Z56,MIN(X$6-$E$3,22))),0))-IF($G$2,0,IF((X$6-$G$3)&lt;1,0,IFERROR(LOOKUP(2,1/(Amendoim!$E56:INDEX(Amendoim!$E56:$Z56,MIN(X$6-$G$3,22))&lt;&gt;""),Amendoim!$E56:INDEX(Amendoim!$E56:$Z56,MIN(X$6-$G$3,22))),0)))))</f>
        <v>0</v>
      </c>
      <c r="Y58" s="27" t="n">
        <f aca="false">IF(COUNT(Amendoim!$E56:$Z56)=0,0,MAX(0,IF((Y$6-$E$3)&lt;1,0,IFERROR(LOOKUP(2,1/(Amendoim!$E56:INDEX(Amendoim!$E56:$Z56,MIN(Y$6-$E$3,22))&lt;&gt;""),Amendoim!$E56:INDEX(Amendoim!$E56:$Z56,MIN(Y$6-$E$3,22))),0))-IF($G$2,0,IF((Y$6-$G$3)&lt;1,0,IFERROR(LOOKUP(2,1/(Amendoim!$E56:INDEX(Amendoim!$E56:$Z56,MIN(Y$6-$G$3,22))&lt;&gt;""),Amendoim!$E56:INDEX(Amendoim!$E56:$Z56,MIN(Y$6-$G$3,22))),0)))))</f>
        <v>0</v>
      </c>
      <c r="Z58" s="27" t="n">
        <f aca="false">IF(COUNT(Amendoim!$E56:$Z56)=0,0,MAX(0,IF((Z$6-$E$3)&lt;1,0,IFERROR(LOOKUP(2,1/(Amendoim!$E56:INDEX(Amendoim!$E56:$Z56,MIN(Z$6-$E$3,22))&lt;&gt;""),Amendoim!$E56:INDEX(Amendoim!$E56:$Z56,MIN(Z$6-$E$3,22))),0))-IF($G$2,0,IF((Z$6-$G$3)&lt;1,0,IFERROR(LOOKUP(2,1/(Amendoim!$E56:INDEX(Amendoim!$E56:$Z56,MIN(Z$6-$G$3,22))&lt;&gt;""),Amendoim!$E56:INDEX(Amendoim!$E56:$Z56,MIN(Z$6-$G$3,22))),0)))))</f>
        <v>0</v>
      </c>
      <c r="AA58" s="27" t="n">
        <f aca="false">IF(COUNT(Amendoim!$E56:$Z56)=0,0,MAX(0,IF((AA$6-$E$3)&lt;1,0,IFERROR(LOOKUP(2,1/(Amendoim!$E56:INDEX(Amendoim!$E56:$Z56,MIN(AA$6-$E$3,22))&lt;&gt;""),Amendoim!$E56:INDEX(Amendoim!$E56:$Z56,MIN(AA$6-$E$3,22))),0))-IF($G$2,0,IF((AA$6-$G$3)&lt;1,0,IFERROR(LOOKUP(2,1/(Amendoim!$E56:INDEX(Amendoim!$E56:$Z56,MIN(AA$6-$G$3,22))&lt;&gt;""),Amendoim!$E56:INDEX(Amendoim!$E56:$Z56,MIN(AA$6-$G$3,22))),0)))))</f>
        <v>0</v>
      </c>
      <c r="AB58" s="27" t="n">
        <f aca="false">IF(COUNT(Amendoim!$E56:$Z56)=0,0,MAX(0,IF((AB$6-$E$3)&lt;1,0,IFERROR(LOOKUP(2,1/(Amendoim!$E56:INDEX(Amendoim!$E56:$Z56,MIN(AB$6-$E$3,22))&lt;&gt;""),Amendoim!$E56:INDEX(Amendoim!$E56:$Z56,MIN(AB$6-$E$3,22))),0))-IF($G$2,0,IF((AB$6-$G$3)&lt;1,0,IFERROR(LOOKUP(2,1/(Amendoim!$E56:INDEX(Amendoim!$E56:$Z56,MIN(AB$6-$G$3,22))&lt;&gt;""),Amendoim!$E56:INDEX(Amendoim!$E56:$Z56,MIN(AB$6-$G$3,22))),0)))))</f>
        <v>0</v>
      </c>
      <c r="AC58" s="27" t="n">
        <f aca="false">IF(COUNT(Amendoim!$E56:$Z56)=0,0,MAX(0,IF((AC$6-$E$3)&lt;1,0,IFERROR(LOOKUP(2,1/(Amendoim!$E56:INDEX(Amendoim!$E56:$Z56,MIN(AC$6-$E$3,22))&lt;&gt;""),Amendoim!$E56:INDEX(Amendoim!$E56:$Z56,MIN(AC$6-$E$3,22))),0))-IF($G$2,0,IF((AC$6-$G$3)&lt;1,0,IFERROR(LOOKUP(2,1/(Amendoim!$E56:INDEX(Amendoim!$E56:$Z56,MIN(AC$6-$G$3,22))&lt;&gt;""),Amendoim!$E56:INDEX(Amendoim!$E56:$Z56,MIN(AC$6-$G$3,22))),0)))))</f>
        <v>0</v>
      </c>
      <c r="AD58" s="27" t="n">
        <f aca="false">IF(COUNT(Amendoim!$E56:$Z56)=0,0,MAX(0,IF((AD$6-$E$3)&lt;1,0,IFERROR(LOOKUP(2,1/(Amendoim!$E56:INDEX(Amendoim!$E56:$Z56,MIN(AD$6-$E$3,22))&lt;&gt;""),Amendoim!$E56:INDEX(Amendoim!$E56:$Z56,MIN(AD$6-$E$3,22))),0))-IF($G$2,0,IF((AD$6-$G$3)&lt;1,0,IFERROR(LOOKUP(2,1/(Amendoim!$E56:INDEX(Amendoim!$E56:$Z56,MIN(AD$6-$G$3,22))&lt;&gt;""),Amendoim!$E56:INDEX(Amendoim!$E56:$Z56,MIN(AD$6-$G$3,22))),0)))))</f>
        <v>0</v>
      </c>
      <c r="AE58" s="27" t="n">
        <f aca="false">IF(COUNT(Amendoim!$E56:$Z56)=0,0,MAX(0,IF((AE$6-$E$3)&lt;1,0,IFERROR(LOOKUP(2,1/(Amendoim!$E56:INDEX(Amendoim!$E56:$Z56,MIN(AE$6-$E$3,22))&lt;&gt;""),Amendoim!$E56:INDEX(Amendoim!$E56:$Z56,MIN(AE$6-$E$3,22))),0))-IF($G$2,0,IF((AE$6-$G$3)&lt;1,0,IFERROR(LOOKUP(2,1/(Amendoim!$E56:INDEX(Amendoim!$E56:$Z56,MIN(AE$6-$G$3,22))&lt;&gt;""),Amendoim!$E56:INDEX(Amendoim!$E56:$Z56,MIN(AE$6-$G$3,22))),0)))))</f>
        <v>0</v>
      </c>
      <c r="AF58" s="27" t="n">
        <f aca="false">IF(COUNT(Amendoim!$E56:$Z56)=0,0,MAX(0,IF((AF$6-$E$3)&lt;1,0,IFERROR(LOOKUP(2,1/(Amendoim!$E56:INDEX(Amendoim!$E56:$Z56,MIN(AF$6-$E$3,22))&lt;&gt;""),Amendoim!$E56:INDEX(Amendoim!$E56:$Z56,MIN(AF$6-$E$3,22))),0))-IF($G$2,0,IF((AF$6-$G$3)&lt;1,0,IFERROR(LOOKUP(2,1/(Amendoim!$E56:INDEX(Amendoim!$E56:$Z56,MIN(AF$6-$G$3,22))&lt;&gt;""),Amendoim!$E56:INDEX(Amendoim!$E56:$Z56,MIN(AF$6-$G$3,22))),0)))))</f>
        <v>0</v>
      </c>
      <c r="AG58" s="27" t="n">
        <f aca="false">IF(COUNT(Amendoim!$E56:$Z56)=0,0,MAX(0,IF((AG$6-$E$3)&lt;1,0,IFERROR(LOOKUP(2,1/(Amendoim!$E56:INDEX(Amendoim!$E56:$Z56,MIN(AG$6-$E$3,22))&lt;&gt;""),Amendoim!$E56:INDEX(Amendoim!$E56:$Z56,MIN(AG$6-$E$3,22))),0))-IF($G$2,0,IF((AG$6-$G$3)&lt;1,0,IFERROR(LOOKUP(2,1/(Amendoim!$E56:INDEX(Amendoim!$E56:$Z56,MIN(AG$6-$G$3,22))&lt;&gt;""),Amendoim!$E56:INDEX(Amendoim!$E56:$Z56,MIN(AG$6-$G$3,22))),0)))))</f>
        <v>0</v>
      </c>
      <c r="AH58" s="27" t="n">
        <f aca="false">IF(COUNT(Amendoim!$E56:$Z56)=0,0,MAX(0,IF((AH$6-$E$3)&lt;1,0,IFERROR(LOOKUP(2,1/(Amendoim!$E56:INDEX(Amendoim!$E56:$Z56,MIN(AH$6-$E$3,22))&lt;&gt;""),Amendoim!$E56:INDEX(Amendoim!$E56:$Z56,MIN(AH$6-$E$3,22))),0))-IF($G$2,0,IF((AH$6-$G$3)&lt;1,0,IFERROR(LOOKUP(2,1/(Amendoim!$E56:INDEX(Amendoim!$E56:$Z56,MIN(AH$6-$G$3,22))&lt;&gt;""),Amendoim!$E56:INDEX(Amendoim!$E56:$Z56,MIN(AH$6-$G$3,22))),0)))))</f>
        <v>0</v>
      </c>
      <c r="AI58" s="27" t="n">
        <f aca="false">IF(COUNT(Amendoim!$E56:$Z56)=0,0,MAX(0,IF((AI$6-$E$3)&lt;1,0,IFERROR(LOOKUP(2,1/(Amendoim!$E56:INDEX(Amendoim!$E56:$Z56,MIN(AI$6-$E$3,22))&lt;&gt;""),Amendoim!$E56:INDEX(Amendoim!$E56:$Z56,MIN(AI$6-$E$3,22))),0))-IF($G$2,0,IF((AI$6-$G$3)&lt;1,0,IFERROR(LOOKUP(2,1/(Amendoim!$E56:INDEX(Amendoim!$E56:$Z56,MIN(AI$6-$G$3,22))&lt;&gt;""),Amendoim!$E56:INDEX(Amendoim!$E56:$Z56,MIN(AI$6-$G$3,22))),0)))))</f>
        <v>0</v>
      </c>
      <c r="AJ58" s="27" t="n">
        <f aca="false">IF(COUNT(Amendoim!$E56:$Z56)=0,0,MAX(0,IF((AJ$6-$E$3)&lt;1,0,IFERROR(LOOKUP(2,1/(Amendoim!$E56:INDEX(Amendoim!$E56:$Z56,MIN(AJ$6-$E$3,22))&lt;&gt;""),Amendoim!$E56:INDEX(Amendoim!$E56:$Z56,MIN(AJ$6-$E$3,22))),0))-IF($G$2,0,IF((AJ$6-$G$3)&lt;1,0,IFERROR(LOOKUP(2,1/(Amendoim!$E56:INDEX(Amendoim!$E56:$Z56,MIN(AJ$6-$G$3,22))&lt;&gt;""),Amendoim!$E56:INDEX(Amendoim!$E56:$Z56,MIN(AJ$6-$G$3,22))),0)))))</f>
        <v>0</v>
      </c>
      <c r="AK58" s="27" t="n">
        <f aca="false">IF(COUNT(Amendoim!$E56:$Z56)=0,0,MAX(0,IF((AK$6-$E$3)&lt;1,0,IFERROR(LOOKUP(2,1/(Amendoim!$E56:INDEX(Amendoim!$E56:$Z56,MIN(AK$6-$E$3,22))&lt;&gt;""),Amendoim!$E56:INDEX(Amendoim!$E56:$Z56,MIN(AK$6-$E$3,22))),0))-IF($G$2,0,IF((AK$6-$G$3)&lt;1,0,IFERROR(LOOKUP(2,1/(Amendoim!$E56:INDEX(Amendoim!$E56:$Z56,MIN(AK$6-$G$3,22))&lt;&gt;""),Amendoim!$E56:INDEX(Amendoim!$E56:$Z56,MIN(AK$6-$G$3,22))),0)))))</f>
        <v>0</v>
      </c>
      <c r="AL58" s="27" t="n">
        <f aca="false">IF(COUNT(Amendoim!$E56:$Z56)=0,0,MAX(0,IF((AL$6-$E$3)&lt;1,0,IFERROR(LOOKUP(2,1/(Amendoim!$E56:INDEX(Amendoim!$E56:$Z56,MIN(AL$6-$E$3,22))&lt;&gt;""),Amendoim!$E56:INDEX(Amendoim!$E56:$Z56,MIN(AL$6-$E$3,22))),0))-IF($G$2,0,IF((AL$6-$G$3)&lt;1,0,IFERROR(LOOKUP(2,1/(Amendoim!$E56:INDEX(Amendoim!$E56:$Z56,MIN(AL$6-$G$3,22))&lt;&gt;""),Amendoim!$E56:INDEX(Amendoim!$E56:$Z56,MIN(AL$6-$G$3,22))),0)))))</f>
        <v>0</v>
      </c>
      <c r="AM58" s="27" t="n">
        <f aca="false">IF(COUNT(Amendoim!$E56:$Z56)=0,0,MAX(0,IF((AM$6-$E$3)&lt;1,0,IFERROR(LOOKUP(2,1/(Amendoim!$E56:INDEX(Amendoim!$E56:$Z56,MIN(AM$6-$E$3,22))&lt;&gt;""),Amendoim!$E56:INDEX(Amendoim!$E56:$Z56,MIN(AM$6-$E$3,22))),0))-IF($G$2,0,IF((AM$6-$G$3)&lt;1,0,IFERROR(LOOKUP(2,1/(Amendoim!$E56:INDEX(Amendoim!$E56:$Z56,MIN(AM$6-$G$3,22))&lt;&gt;""),Amendoim!$E56:INDEX(Amendoim!$E56:$Z56,MIN(AM$6-$G$3,22))),0)))))</f>
        <v>0</v>
      </c>
      <c r="AN58" s="27" t="n">
        <f aca="false">IF(COUNT(Amendoim!$E56:$Z56)=0,0,MAX(0,IF((AN$6-$E$3)&lt;1,0,IFERROR(LOOKUP(2,1/(Amendoim!$E56:INDEX(Amendoim!$E56:$Z56,MIN(AN$6-$E$3,22))&lt;&gt;""),Amendoim!$E56:INDEX(Amendoim!$E56:$Z56,MIN(AN$6-$E$3,22))),0))-IF($G$2,0,IF((AN$6-$G$3)&lt;1,0,IFERROR(LOOKUP(2,1/(Amendoim!$E56:INDEX(Amendoim!$E56:$Z56,MIN(AN$6-$G$3,22))&lt;&gt;""),Amendoim!$E56:INDEX(Amendoim!$E56:$Z56,MIN(AN$6-$G$3,22))),0)))))</f>
        <v>0</v>
      </c>
      <c r="AO58" s="27" t="n">
        <f aca="false">IF(COUNT(Amendoim!$E56:$Z56)=0,0,MAX(0,IF((AO$6-$E$3)&lt;1,0,IFERROR(LOOKUP(2,1/(Amendoim!$E56:INDEX(Amendoim!$E56:$Z56,MIN(AO$6-$E$3,22))&lt;&gt;""),Amendoim!$E56:INDEX(Amendoim!$E56:$Z56,MIN(AO$6-$E$3,22))),0))-IF($G$2,0,IF((AO$6-$G$3)&lt;1,0,IFERROR(LOOKUP(2,1/(Amendoim!$E56:INDEX(Amendoim!$E56:$Z56,MIN(AO$6-$G$3,22))&lt;&gt;""),Amendoim!$E56:INDEX(Amendoim!$E56:$Z56,MIN(AO$6-$G$3,22))),0)))))</f>
        <v>0</v>
      </c>
      <c r="AP58" s="27" t="n">
        <f aca="false">IF(COUNT(Amendoim!$E56:$Z56)=0,0,MAX(0,IF((AP$6-$E$3)&lt;1,0,IFERROR(LOOKUP(2,1/(Amendoim!$E56:INDEX(Amendoim!$E56:$Z56,MIN(AP$6-$E$3,22))&lt;&gt;""),Amendoim!$E56:INDEX(Amendoim!$E56:$Z56,MIN(AP$6-$E$3,22))),0))-IF($G$2,0,IF((AP$6-$G$3)&lt;1,0,IFERROR(LOOKUP(2,1/(Amendoim!$E56:INDEX(Amendoim!$E56:$Z56,MIN(AP$6-$G$3,22))&lt;&gt;""),Amendoim!$E56:INDEX(Amendoim!$E56:$Z56,MIN(AP$6-$G$3,22))),0)))))</f>
        <v>0</v>
      </c>
      <c r="AQ58" s="27" t="n">
        <f aca="false">IF(COUNT(Amendoim!$E56:$Z56)=0,0,MAX(0,IF((AQ$6-$E$3)&lt;1,0,IFERROR(LOOKUP(2,1/(Amendoim!$E56:INDEX(Amendoim!$E56:$Z56,MIN(AQ$6-$E$3,22))&lt;&gt;""),Amendoim!$E56:INDEX(Amendoim!$E56:$Z56,MIN(AQ$6-$E$3,22))),0))-IF($G$2,0,IF((AQ$6-$G$3)&lt;1,0,IFERROR(LOOKUP(2,1/(Amendoim!$E56:INDEX(Amendoim!$E56:$Z56,MIN(AQ$6-$G$3,22))&lt;&gt;""),Amendoim!$E56:INDEX(Amendoim!$E56:$Z56,MIN(AQ$6-$G$3,22))),0)))))</f>
        <v>0</v>
      </c>
      <c r="AR58" s="27" t="n">
        <f aca="false">IF(COUNT(Amendoim!$E56:$Z56)=0,0,MAX(0,IF((AR$6-$E$3)&lt;1,0,IFERROR(LOOKUP(2,1/(Amendoim!$E56:INDEX(Amendoim!$E56:$Z56,MIN(AR$6-$E$3,22))&lt;&gt;""),Amendoim!$E56:INDEX(Amendoim!$E56:$Z56,MIN(AR$6-$E$3,22))),0))-IF($G$2,0,IF((AR$6-$G$3)&lt;1,0,IFERROR(LOOKUP(2,1/(Amendoim!$E56:INDEX(Amendoim!$E56:$Z56,MIN(AR$6-$G$3,22))&lt;&gt;""),Amendoim!$E56:INDEX(Amendoim!$E56:$Z56,MIN(AR$6-$G$3,22))),0)))))</f>
        <v>0</v>
      </c>
      <c r="AS58" s="27" t="n">
        <f aca="false">IF(COUNT(Amendoim!$E56:$Z56)=0,0,MAX(0,IF((AS$6-$E$3)&lt;1,0,IFERROR(LOOKUP(2,1/(Amendoim!$E56:INDEX(Amendoim!$E56:$Z56,MIN(AS$6-$E$3,22))&lt;&gt;""),Amendoim!$E56:INDEX(Amendoim!$E56:$Z56,MIN(AS$6-$E$3,22))),0))-IF($G$2,0,IF((AS$6-$G$3)&lt;1,0,IFERROR(LOOKUP(2,1/(Amendoim!$E56:INDEX(Amendoim!$E56:$Z56,MIN(AS$6-$G$3,22))&lt;&gt;""),Amendoim!$E56:INDEX(Amendoim!$E56:$Z56,MIN(AS$6-$G$3,22))),0)))))</f>
        <v>0</v>
      </c>
      <c r="AT58" s="27" t="n">
        <f aca="false">IF(COUNT(Amendoim!$E56:$Z56)=0,0,MAX(0,IF((AT$6-$E$3)&lt;1,0,IFERROR(LOOKUP(2,1/(Amendoim!$E56:INDEX(Amendoim!$E56:$Z56,MIN(AT$6-$E$3,22))&lt;&gt;""),Amendoim!$E56:INDEX(Amendoim!$E56:$Z56,MIN(AT$6-$E$3,22))),0))-IF($G$2,0,IF((AT$6-$G$3)&lt;1,0,IFERROR(LOOKUP(2,1/(Amendoim!$E56:INDEX(Amendoim!$E56:$Z56,MIN(AT$6-$G$3,22))&lt;&gt;""),Amendoim!$E56:INDEX(Amendoim!$E56:$Z56,MIN(AT$6-$G$3,22))),0)))))</f>
        <v>0</v>
      </c>
      <c r="AU58" s="27" t="n">
        <f aca="false">IF(COUNT(Amendoim!$E56:$Z56)=0,0,MAX(0,IF((AU$6-$E$3)&lt;1,0,IFERROR(LOOKUP(2,1/(Amendoim!$E56:INDEX(Amendoim!$E56:$Z56,MIN(AU$6-$E$3,22))&lt;&gt;""),Amendoim!$E56:INDEX(Amendoim!$E56:$Z56,MIN(AU$6-$E$3,22))),0))-IF($G$2,0,IF((AU$6-$G$3)&lt;1,0,IFERROR(LOOKUP(2,1/(Amendoim!$E56:INDEX(Amendoim!$E56:$Z56,MIN(AU$6-$G$3,22))&lt;&gt;""),Amendoim!$E56:INDEX(Amendoim!$E56:$Z56,MIN(AU$6-$G$3,22))),0)))))</f>
        <v>0</v>
      </c>
      <c r="AV58" s="27" t="n">
        <f aca="false">IF(COUNT(Amendoim!$E56:$Z56)=0,0,MAX(0,IF((AV$6-$E$3)&lt;1,0,IFERROR(LOOKUP(2,1/(Amendoim!$E56:INDEX(Amendoim!$E56:$Z56,MIN(AV$6-$E$3,22))&lt;&gt;""),Amendoim!$E56:INDEX(Amendoim!$E56:$Z56,MIN(AV$6-$E$3,22))),0))-IF($G$2,0,IF((AV$6-$G$3)&lt;1,0,IFERROR(LOOKUP(2,1/(Amendoim!$E56:INDEX(Amendoim!$E56:$Z56,MIN(AV$6-$G$3,22))&lt;&gt;""),Amendoim!$E56:INDEX(Amendoim!$E56:$Z56,MIN(AV$6-$G$3,22))),0)))))</f>
        <v>0</v>
      </c>
      <c r="AW58" s="27" t="n">
        <f aca="false">IF(COUNT(Amendoim!$E56:$Z56)=0,0,MAX(0,IF((AW$6-$E$3)&lt;1,0,IFERROR(LOOKUP(2,1/(Amendoim!$E56:INDEX(Amendoim!$E56:$Z56,MIN(AW$6-$E$3,22))&lt;&gt;""),Amendoim!$E56:INDEX(Amendoim!$E56:$Z56,MIN(AW$6-$E$3,22))),0))-IF($G$2,0,IF((AW$6-$G$3)&lt;1,0,IFERROR(LOOKUP(2,1/(Amendoim!$E56:INDEX(Amendoim!$E56:$Z56,MIN(AW$6-$G$3,22))&lt;&gt;""),Amendoim!$E56:INDEX(Amendoim!$E56:$Z56,MIN(AW$6-$G$3,22))),0)))))</f>
        <v>0</v>
      </c>
      <c r="AX58" s="27" t="n">
        <f aca="false">IF(COUNT(Amendoim!$E56:$Z56)=0,0,MAX(0,IF((AX$6-$E$3)&lt;1,0,IFERROR(LOOKUP(2,1/(Amendoim!$E56:INDEX(Amendoim!$E56:$Z56,MIN(AX$6-$E$3,22))&lt;&gt;""),Amendoim!$E56:INDEX(Amendoim!$E56:$Z56,MIN(AX$6-$E$3,22))),0))-IF($G$2,0,IF((AX$6-$G$3)&lt;1,0,IFERROR(LOOKUP(2,1/(Amendoim!$E56:INDEX(Amendoim!$E56:$Z56,MIN(AX$6-$G$3,22))&lt;&gt;""),Amendoim!$E56:INDEX(Amendoim!$E56:$Z56,MIN(AX$6-$G$3,22))),0)))))</f>
        <v>0</v>
      </c>
      <c r="AY58" s="27" t="n">
        <f aca="false">IF(COUNT(Amendoim!$E56:$Z56)=0,0,MAX(0,IF((AY$6-$E$3)&lt;1,0,IFERROR(LOOKUP(2,1/(Amendoim!$E56:INDEX(Amendoim!$E56:$Z56,MIN(AY$6-$E$3,22))&lt;&gt;""),Amendoim!$E56:INDEX(Amendoim!$E56:$Z56,MIN(AY$6-$E$3,22))),0))-IF($G$2,0,IF((AY$6-$G$3)&lt;1,0,IFERROR(LOOKUP(2,1/(Amendoim!$E56:INDEX(Amendoim!$E56:$Z56,MIN(AY$6-$G$3,22))&lt;&gt;""),Amendoim!$E56:INDEX(Amendoim!$E56:$Z56,MIN(AY$6-$G$3,22))),0)))))</f>
        <v>0</v>
      </c>
      <c r="AZ58" s="27" t="n">
        <f aca="false">IF(COUNT(Amendoim!$E56:$Z56)=0,0,MAX(0,IF((AZ$6-$E$3)&lt;1,0,IFERROR(LOOKUP(2,1/(Amendoim!$E56:INDEX(Amendoim!$E56:$Z56,MIN(AZ$6-$E$3,22))&lt;&gt;""),Amendoim!$E56:INDEX(Amendoim!$E56:$Z56,MIN(AZ$6-$E$3,22))),0))-IF($G$2,0,IF((AZ$6-$G$3)&lt;1,0,IFERROR(LOOKUP(2,1/(Amendoim!$E56:INDEX(Amendoim!$E56:$Z56,MIN(AZ$6-$G$3,22))&lt;&gt;""),Amendoim!$E56:INDEX(Amendoim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IF(COUNT(Amendoim!$E57:$Z57)&gt;0,N(Amendoim!$D57),0)</f>
        <v>0</v>
      </c>
      <c r="E59" s="27" t="n">
        <f aca="false">IF(COUNT(Amendoim!$E57:$Z57)=0,0,MAX(0,IF((E$6-$E$3)&lt;1,0,IFERROR(LOOKUP(2,1/(Amendoim!$E57:INDEX(Amendoim!$E57:$Z57,MIN(E$6-$E$3,22))&lt;&gt;""),Amendoim!$E57:INDEX(Amendoim!$E57:$Z57,MIN(E$6-$E$3,22))),0))-IF($G$2,0,IF((E$6-$G$3)&lt;1,0,IFERROR(LOOKUP(2,1/(Amendoim!$E57:INDEX(Amendoim!$E57:$Z57,MIN(E$6-$G$3,22))&lt;&gt;""),Amendoim!$E57:INDEX(Amendoim!$E57:$Z57,MIN(E$6-$G$3,22))),0)))))</f>
        <v>0</v>
      </c>
      <c r="F59" s="27" t="n">
        <f aca="false">IF(COUNT(Amendoim!$E57:$Z57)=0,0,MAX(0,IF((F$6-$E$3)&lt;1,0,IFERROR(LOOKUP(2,1/(Amendoim!$E57:INDEX(Amendoim!$E57:$Z57,MIN(F$6-$E$3,22))&lt;&gt;""),Amendoim!$E57:INDEX(Amendoim!$E57:$Z57,MIN(F$6-$E$3,22))),0))-IF($G$2,0,IF((F$6-$G$3)&lt;1,0,IFERROR(LOOKUP(2,1/(Amendoim!$E57:INDEX(Amendoim!$E57:$Z57,MIN(F$6-$G$3,22))&lt;&gt;""),Amendoim!$E57:INDEX(Amendoim!$E57:$Z57,MIN(F$6-$G$3,22))),0)))))</f>
        <v>0</v>
      </c>
      <c r="G59" s="27" t="n">
        <f aca="false">IF(COUNT(Amendoim!$E57:$Z57)=0,0,MAX(0,IF((G$6-$E$3)&lt;1,0,IFERROR(LOOKUP(2,1/(Amendoim!$E57:INDEX(Amendoim!$E57:$Z57,MIN(G$6-$E$3,22))&lt;&gt;""),Amendoim!$E57:INDEX(Amendoim!$E57:$Z57,MIN(G$6-$E$3,22))),0))-IF($G$2,0,IF((G$6-$G$3)&lt;1,0,IFERROR(LOOKUP(2,1/(Amendoim!$E57:INDEX(Amendoim!$E57:$Z57,MIN(G$6-$G$3,22))&lt;&gt;""),Amendoim!$E57:INDEX(Amendoim!$E57:$Z57,MIN(G$6-$G$3,22))),0)))))</f>
        <v>0</v>
      </c>
      <c r="H59" s="27" t="n">
        <f aca="false">IF(COUNT(Amendoim!$E57:$Z57)=0,0,MAX(0,IF((H$6-$E$3)&lt;1,0,IFERROR(LOOKUP(2,1/(Amendoim!$E57:INDEX(Amendoim!$E57:$Z57,MIN(H$6-$E$3,22))&lt;&gt;""),Amendoim!$E57:INDEX(Amendoim!$E57:$Z57,MIN(H$6-$E$3,22))),0))-IF($G$2,0,IF((H$6-$G$3)&lt;1,0,IFERROR(LOOKUP(2,1/(Amendoim!$E57:INDEX(Amendoim!$E57:$Z57,MIN(H$6-$G$3,22))&lt;&gt;""),Amendoim!$E57:INDEX(Amendoim!$E57:$Z57,MIN(H$6-$G$3,22))),0)))))</f>
        <v>0</v>
      </c>
      <c r="I59" s="27" t="n">
        <f aca="false">IF(COUNT(Amendoim!$E57:$Z57)=0,0,MAX(0,IF((I$6-$E$3)&lt;1,0,IFERROR(LOOKUP(2,1/(Amendoim!$E57:INDEX(Amendoim!$E57:$Z57,MIN(I$6-$E$3,22))&lt;&gt;""),Amendoim!$E57:INDEX(Amendoim!$E57:$Z57,MIN(I$6-$E$3,22))),0))-IF($G$2,0,IF((I$6-$G$3)&lt;1,0,IFERROR(LOOKUP(2,1/(Amendoim!$E57:INDEX(Amendoim!$E57:$Z57,MIN(I$6-$G$3,22))&lt;&gt;""),Amendoim!$E57:INDEX(Amendoim!$E57:$Z57,MIN(I$6-$G$3,22))),0)))))</f>
        <v>0</v>
      </c>
      <c r="J59" s="27" t="n">
        <f aca="false">IF(COUNT(Amendoim!$E57:$Z57)=0,0,MAX(0,IF((J$6-$E$3)&lt;1,0,IFERROR(LOOKUP(2,1/(Amendoim!$E57:INDEX(Amendoim!$E57:$Z57,MIN(J$6-$E$3,22))&lt;&gt;""),Amendoim!$E57:INDEX(Amendoim!$E57:$Z57,MIN(J$6-$E$3,22))),0))-IF($G$2,0,IF((J$6-$G$3)&lt;1,0,IFERROR(LOOKUP(2,1/(Amendoim!$E57:INDEX(Amendoim!$E57:$Z57,MIN(J$6-$G$3,22))&lt;&gt;""),Amendoim!$E57:INDEX(Amendoim!$E57:$Z57,MIN(J$6-$G$3,22))),0)))))</f>
        <v>0</v>
      </c>
      <c r="K59" s="27" t="n">
        <f aca="false">IF(COUNT(Amendoim!$E57:$Z57)=0,0,MAX(0,IF((K$6-$E$3)&lt;1,0,IFERROR(LOOKUP(2,1/(Amendoim!$E57:INDEX(Amendoim!$E57:$Z57,MIN(K$6-$E$3,22))&lt;&gt;""),Amendoim!$E57:INDEX(Amendoim!$E57:$Z57,MIN(K$6-$E$3,22))),0))-IF($G$2,0,IF((K$6-$G$3)&lt;1,0,IFERROR(LOOKUP(2,1/(Amendoim!$E57:INDEX(Amendoim!$E57:$Z57,MIN(K$6-$G$3,22))&lt;&gt;""),Amendoim!$E57:INDEX(Amendoim!$E57:$Z57,MIN(K$6-$G$3,22))),0)))))</f>
        <v>0</v>
      </c>
      <c r="L59" s="27" t="n">
        <f aca="false">IF(COUNT(Amendoim!$E57:$Z57)=0,0,MAX(0,IF((L$6-$E$3)&lt;1,0,IFERROR(LOOKUP(2,1/(Amendoim!$E57:INDEX(Amendoim!$E57:$Z57,MIN(L$6-$E$3,22))&lt;&gt;""),Amendoim!$E57:INDEX(Amendoim!$E57:$Z57,MIN(L$6-$E$3,22))),0))-IF($G$2,0,IF((L$6-$G$3)&lt;1,0,IFERROR(LOOKUP(2,1/(Amendoim!$E57:INDEX(Amendoim!$E57:$Z57,MIN(L$6-$G$3,22))&lt;&gt;""),Amendoim!$E57:INDEX(Amendoim!$E57:$Z57,MIN(L$6-$G$3,22))),0)))))</f>
        <v>0</v>
      </c>
      <c r="M59" s="27" t="n">
        <f aca="false">IF(COUNT(Amendoim!$E57:$Z57)=0,0,MAX(0,IF((M$6-$E$3)&lt;1,0,IFERROR(LOOKUP(2,1/(Amendoim!$E57:INDEX(Amendoim!$E57:$Z57,MIN(M$6-$E$3,22))&lt;&gt;""),Amendoim!$E57:INDEX(Amendoim!$E57:$Z57,MIN(M$6-$E$3,22))),0))-IF($G$2,0,IF((M$6-$G$3)&lt;1,0,IFERROR(LOOKUP(2,1/(Amendoim!$E57:INDEX(Amendoim!$E57:$Z57,MIN(M$6-$G$3,22))&lt;&gt;""),Amendoim!$E57:INDEX(Amendoim!$E57:$Z57,MIN(M$6-$G$3,22))),0)))))</f>
        <v>0</v>
      </c>
      <c r="N59" s="27" t="n">
        <f aca="false">IF(COUNT(Amendoim!$E57:$Z57)=0,0,MAX(0,IF((N$6-$E$3)&lt;1,0,IFERROR(LOOKUP(2,1/(Amendoim!$E57:INDEX(Amendoim!$E57:$Z57,MIN(N$6-$E$3,22))&lt;&gt;""),Amendoim!$E57:INDEX(Amendoim!$E57:$Z57,MIN(N$6-$E$3,22))),0))-IF($G$2,0,IF((N$6-$G$3)&lt;1,0,IFERROR(LOOKUP(2,1/(Amendoim!$E57:INDEX(Amendoim!$E57:$Z57,MIN(N$6-$G$3,22))&lt;&gt;""),Amendoim!$E57:INDEX(Amendoim!$E57:$Z57,MIN(N$6-$G$3,22))),0)))))</f>
        <v>0</v>
      </c>
      <c r="O59" s="27" t="n">
        <f aca="false">IF(COUNT(Amendoim!$E57:$Z57)=0,0,MAX(0,IF((O$6-$E$3)&lt;1,0,IFERROR(LOOKUP(2,1/(Amendoim!$E57:INDEX(Amendoim!$E57:$Z57,MIN(O$6-$E$3,22))&lt;&gt;""),Amendoim!$E57:INDEX(Amendoim!$E57:$Z57,MIN(O$6-$E$3,22))),0))-IF($G$2,0,IF((O$6-$G$3)&lt;1,0,IFERROR(LOOKUP(2,1/(Amendoim!$E57:INDEX(Amendoim!$E57:$Z57,MIN(O$6-$G$3,22))&lt;&gt;""),Amendoim!$E57:INDEX(Amendoim!$E57:$Z57,MIN(O$6-$G$3,22))),0)))))</f>
        <v>0</v>
      </c>
      <c r="P59" s="27" t="n">
        <f aca="false">IF(COUNT(Amendoim!$E57:$Z57)=0,0,MAX(0,IF((P$6-$E$3)&lt;1,0,IFERROR(LOOKUP(2,1/(Amendoim!$E57:INDEX(Amendoim!$E57:$Z57,MIN(P$6-$E$3,22))&lt;&gt;""),Amendoim!$E57:INDEX(Amendoim!$E57:$Z57,MIN(P$6-$E$3,22))),0))-IF($G$2,0,IF((P$6-$G$3)&lt;1,0,IFERROR(LOOKUP(2,1/(Amendoim!$E57:INDEX(Amendoim!$E57:$Z57,MIN(P$6-$G$3,22))&lt;&gt;""),Amendoim!$E57:INDEX(Amendoim!$E57:$Z57,MIN(P$6-$G$3,22))),0)))))</f>
        <v>0</v>
      </c>
      <c r="Q59" s="27" t="n">
        <f aca="false">IF(COUNT(Amendoim!$E57:$Z57)=0,0,MAX(0,IF((Q$6-$E$3)&lt;1,0,IFERROR(LOOKUP(2,1/(Amendoim!$E57:INDEX(Amendoim!$E57:$Z57,MIN(Q$6-$E$3,22))&lt;&gt;""),Amendoim!$E57:INDEX(Amendoim!$E57:$Z57,MIN(Q$6-$E$3,22))),0))-IF($G$2,0,IF((Q$6-$G$3)&lt;1,0,IFERROR(LOOKUP(2,1/(Amendoim!$E57:INDEX(Amendoim!$E57:$Z57,MIN(Q$6-$G$3,22))&lt;&gt;""),Amendoim!$E57:INDEX(Amendoim!$E57:$Z57,MIN(Q$6-$G$3,22))),0)))))</f>
        <v>0</v>
      </c>
      <c r="R59" s="27" t="n">
        <f aca="false">IF(COUNT(Amendoim!$E57:$Z57)=0,0,MAX(0,IF((R$6-$E$3)&lt;1,0,IFERROR(LOOKUP(2,1/(Amendoim!$E57:INDEX(Amendoim!$E57:$Z57,MIN(R$6-$E$3,22))&lt;&gt;""),Amendoim!$E57:INDEX(Amendoim!$E57:$Z57,MIN(R$6-$E$3,22))),0))-IF($G$2,0,IF((R$6-$G$3)&lt;1,0,IFERROR(LOOKUP(2,1/(Amendoim!$E57:INDEX(Amendoim!$E57:$Z57,MIN(R$6-$G$3,22))&lt;&gt;""),Amendoim!$E57:INDEX(Amendoim!$E57:$Z57,MIN(R$6-$G$3,22))),0)))))</f>
        <v>0</v>
      </c>
      <c r="S59" s="27" t="n">
        <f aca="false">IF(COUNT(Amendoim!$E57:$Z57)=0,0,MAX(0,IF((S$6-$E$3)&lt;1,0,IFERROR(LOOKUP(2,1/(Amendoim!$E57:INDEX(Amendoim!$E57:$Z57,MIN(S$6-$E$3,22))&lt;&gt;""),Amendoim!$E57:INDEX(Amendoim!$E57:$Z57,MIN(S$6-$E$3,22))),0))-IF($G$2,0,IF((S$6-$G$3)&lt;1,0,IFERROR(LOOKUP(2,1/(Amendoim!$E57:INDEX(Amendoim!$E57:$Z57,MIN(S$6-$G$3,22))&lt;&gt;""),Amendoim!$E57:INDEX(Amendoim!$E57:$Z57,MIN(S$6-$G$3,22))),0)))))</f>
        <v>0</v>
      </c>
      <c r="T59" s="27" t="n">
        <f aca="false">IF(COUNT(Amendoim!$E57:$Z57)=0,0,MAX(0,IF((T$6-$E$3)&lt;1,0,IFERROR(LOOKUP(2,1/(Amendoim!$E57:INDEX(Amendoim!$E57:$Z57,MIN(T$6-$E$3,22))&lt;&gt;""),Amendoim!$E57:INDEX(Amendoim!$E57:$Z57,MIN(T$6-$E$3,22))),0))-IF($G$2,0,IF((T$6-$G$3)&lt;1,0,IFERROR(LOOKUP(2,1/(Amendoim!$E57:INDEX(Amendoim!$E57:$Z57,MIN(T$6-$G$3,22))&lt;&gt;""),Amendoim!$E57:INDEX(Amendoim!$E57:$Z57,MIN(T$6-$G$3,22))),0)))))</f>
        <v>0</v>
      </c>
      <c r="U59" s="27" t="n">
        <f aca="false">IF(COUNT(Amendoim!$E57:$Z57)=0,0,MAX(0,IF((U$6-$E$3)&lt;1,0,IFERROR(LOOKUP(2,1/(Amendoim!$E57:INDEX(Amendoim!$E57:$Z57,MIN(U$6-$E$3,22))&lt;&gt;""),Amendoim!$E57:INDEX(Amendoim!$E57:$Z57,MIN(U$6-$E$3,22))),0))-IF($G$2,0,IF((U$6-$G$3)&lt;1,0,IFERROR(LOOKUP(2,1/(Amendoim!$E57:INDEX(Amendoim!$E57:$Z57,MIN(U$6-$G$3,22))&lt;&gt;""),Amendoim!$E57:INDEX(Amendoim!$E57:$Z57,MIN(U$6-$G$3,22))),0)))))</f>
        <v>0</v>
      </c>
      <c r="V59" s="27" t="n">
        <f aca="false">IF(COUNT(Amendoim!$E57:$Z57)=0,0,MAX(0,IF((V$6-$E$3)&lt;1,0,IFERROR(LOOKUP(2,1/(Amendoim!$E57:INDEX(Amendoim!$E57:$Z57,MIN(V$6-$E$3,22))&lt;&gt;""),Amendoim!$E57:INDEX(Amendoim!$E57:$Z57,MIN(V$6-$E$3,22))),0))-IF($G$2,0,IF((V$6-$G$3)&lt;1,0,IFERROR(LOOKUP(2,1/(Amendoim!$E57:INDEX(Amendoim!$E57:$Z57,MIN(V$6-$G$3,22))&lt;&gt;""),Amendoim!$E57:INDEX(Amendoim!$E57:$Z57,MIN(V$6-$G$3,22))),0)))))</f>
        <v>0</v>
      </c>
      <c r="W59" s="27" t="n">
        <f aca="false">IF(COUNT(Amendoim!$E57:$Z57)=0,0,MAX(0,IF((W$6-$E$3)&lt;1,0,IFERROR(LOOKUP(2,1/(Amendoim!$E57:INDEX(Amendoim!$E57:$Z57,MIN(W$6-$E$3,22))&lt;&gt;""),Amendoim!$E57:INDEX(Amendoim!$E57:$Z57,MIN(W$6-$E$3,22))),0))-IF($G$2,0,IF((W$6-$G$3)&lt;1,0,IFERROR(LOOKUP(2,1/(Amendoim!$E57:INDEX(Amendoim!$E57:$Z57,MIN(W$6-$G$3,22))&lt;&gt;""),Amendoim!$E57:INDEX(Amendoim!$E57:$Z57,MIN(W$6-$G$3,22))),0)))))</f>
        <v>0</v>
      </c>
      <c r="X59" s="27" t="n">
        <f aca="false">IF(COUNT(Amendoim!$E57:$Z57)=0,0,MAX(0,IF((X$6-$E$3)&lt;1,0,IFERROR(LOOKUP(2,1/(Amendoim!$E57:INDEX(Amendoim!$E57:$Z57,MIN(X$6-$E$3,22))&lt;&gt;""),Amendoim!$E57:INDEX(Amendoim!$E57:$Z57,MIN(X$6-$E$3,22))),0))-IF($G$2,0,IF((X$6-$G$3)&lt;1,0,IFERROR(LOOKUP(2,1/(Amendoim!$E57:INDEX(Amendoim!$E57:$Z57,MIN(X$6-$G$3,22))&lt;&gt;""),Amendoim!$E57:INDEX(Amendoim!$E57:$Z57,MIN(X$6-$G$3,22))),0)))))</f>
        <v>0</v>
      </c>
      <c r="Y59" s="27" t="n">
        <f aca="false">IF(COUNT(Amendoim!$E57:$Z57)=0,0,MAX(0,IF((Y$6-$E$3)&lt;1,0,IFERROR(LOOKUP(2,1/(Amendoim!$E57:INDEX(Amendoim!$E57:$Z57,MIN(Y$6-$E$3,22))&lt;&gt;""),Amendoim!$E57:INDEX(Amendoim!$E57:$Z57,MIN(Y$6-$E$3,22))),0))-IF($G$2,0,IF((Y$6-$G$3)&lt;1,0,IFERROR(LOOKUP(2,1/(Amendoim!$E57:INDEX(Amendoim!$E57:$Z57,MIN(Y$6-$G$3,22))&lt;&gt;""),Amendoim!$E57:INDEX(Amendoim!$E57:$Z57,MIN(Y$6-$G$3,22))),0)))))</f>
        <v>0</v>
      </c>
      <c r="Z59" s="27" t="n">
        <f aca="false">IF(COUNT(Amendoim!$E57:$Z57)=0,0,MAX(0,IF((Z$6-$E$3)&lt;1,0,IFERROR(LOOKUP(2,1/(Amendoim!$E57:INDEX(Amendoim!$E57:$Z57,MIN(Z$6-$E$3,22))&lt;&gt;""),Amendoim!$E57:INDEX(Amendoim!$E57:$Z57,MIN(Z$6-$E$3,22))),0))-IF($G$2,0,IF((Z$6-$G$3)&lt;1,0,IFERROR(LOOKUP(2,1/(Amendoim!$E57:INDEX(Amendoim!$E57:$Z57,MIN(Z$6-$G$3,22))&lt;&gt;""),Amendoim!$E57:INDEX(Amendoim!$E57:$Z57,MIN(Z$6-$G$3,22))),0)))))</f>
        <v>0</v>
      </c>
      <c r="AA59" s="27" t="n">
        <f aca="false">IF(COUNT(Amendoim!$E57:$Z57)=0,0,MAX(0,IF((AA$6-$E$3)&lt;1,0,IFERROR(LOOKUP(2,1/(Amendoim!$E57:INDEX(Amendoim!$E57:$Z57,MIN(AA$6-$E$3,22))&lt;&gt;""),Amendoim!$E57:INDEX(Amendoim!$E57:$Z57,MIN(AA$6-$E$3,22))),0))-IF($G$2,0,IF((AA$6-$G$3)&lt;1,0,IFERROR(LOOKUP(2,1/(Amendoim!$E57:INDEX(Amendoim!$E57:$Z57,MIN(AA$6-$G$3,22))&lt;&gt;""),Amendoim!$E57:INDEX(Amendoim!$E57:$Z57,MIN(AA$6-$G$3,22))),0)))))</f>
        <v>0</v>
      </c>
      <c r="AB59" s="27" t="n">
        <f aca="false">IF(COUNT(Amendoim!$E57:$Z57)=0,0,MAX(0,IF((AB$6-$E$3)&lt;1,0,IFERROR(LOOKUP(2,1/(Amendoim!$E57:INDEX(Amendoim!$E57:$Z57,MIN(AB$6-$E$3,22))&lt;&gt;""),Amendoim!$E57:INDEX(Amendoim!$E57:$Z57,MIN(AB$6-$E$3,22))),0))-IF($G$2,0,IF((AB$6-$G$3)&lt;1,0,IFERROR(LOOKUP(2,1/(Amendoim!$E57:INDEX(Amendoim!$E57:$Z57,MIN(AB$6-$G$3,22))&lt;&gt;""),Amendoim!$E57:INDEX(Amendoim!$E57:$Z57,MIN(AB$6-$G$3,22))),0)))))</f>
        <v>0</v>
      </c>
      <c r="AC59" s="27" t="n">
        <f aca="false">IF(COUNT(Amendoim!$E57:$Z57)=0,0,MAX(0,IF((AC$6-$E$3)&lt;1,0,IFERROR(LOOKUP(2,1/(Amendoim!$E57:INDEX(Amendoim!$E57:$Z57,MIN(AC$6-$E$3,22))&lt;&gt;""),Amendoim!$E57:INDEX(Amendoim!$E57:$Z57,MIN(AC$6-$E$3,22))),0))-IF($G$2,0,IF((AC$6-$G$3)&lt;1,0,IFERROR(LOOKUP(2,1/(Amendoim!$E57:INDEX(Amendoim!$E57:$Z57,MIN(AC$6-$G$3,22))&lt;&gt;""),Amendoim!$E57:INDEX(Amendoim!$E57:$Z57,MIN(AC$6-$G$3,22))),0)))))</f>
        <v>0</v>
      </c>
      <c r="AD59" s="27" t="n">
        <f aca="false">IF(COUNT(Amendoim!$E57:$Z57)=0,0,MAX(0,IF((AD$6-$E$3)&lt;1,0,IFERROR(LOOKUP(2,1/(Amendoim!$E57:INDEX(Amendoim!$E57:$Z57,MIN(AD$6-$E$3,22))&lt;&gt;""),Amendoim!$E57:INDEX(Amendoim!$E57:$Z57,MIN(AD$6-$E$3,22))),0))-IF($G$2,0,IF((AD$6-$G$3)&lt;1,0,IFERROR(LOOKUP(2,1/(Amendoim!$E57:INDEX(Amendoim!$E57:$Z57,MIN(AD$6-$G$3,22))&lt;&gt;""),Amendoim!$E57:INDEX(Amendoim!$E57:$Z57,MIN(AD$6-$G$3,22))),0)))))</f>
        <v>0</v>
      </c>
      <c r="AE59" s="27" t="n">
        <f aca="false">IF(COUNT(Amendoim!$E57:$Z57)=0,0,MAX(0,IF((AE$6-$E$3)&lt;1,0,IFERROR(LOOKUP(2,1/(Amendoim!$E57:INDEX(Amendoim!$E57:$Z57,MIN(AE$6-$E$3,22))&lt;&gt;""),Amendoim!$E57:INDEX(Amendoim!$E57:$Z57,MIN(AE$6-$E$3,22))),0))-IF($G$2,0,IF((AE$6-$G$3)&lt;1,0,IFERROR(LOOKUP(2,1/(Amendoim!$E57:INDEX(Amendoim!$E57:$Z57,MIN(AE$6-$G$3,22))&lt;&gt;""),Amendoim!$E57:INDEX(Amendoim!$E57:$Z57,MIN(AE$6-$G$3,22))),0)))))</f>
        <v>0</v>
      </c>
      <c r="AF59" s="27" t="n">
        <f aca="false">IF(COUNT(Amendoim!$E57:$Z57)=0,0,MAX(0,IF((AF$6-$E$3)&lt;1,0,IFERROR(LOOKUP(2,1/(Amendoim!$E57:INDEX(Amendoim!$E57:$Z57,MIN(AF$6-$E$3,22))&lt;&gt;""),Amendoim!$E57:INDEX(Amendoim!$E57:$Z57,MIN(AF$6-$E$3,22))),0))-IF($G$2,0,IF((AF$6-$G$3)&lt;1,0,IFERROR(LOOKUP(2,1/(Amendoim!$E57:INDEX(Amendoim!$E57:$Z57,MIN(AF$6-$G$3,22))&lt;&gt;""),Amendoim!$E57:INDEX(Amendoim!$E57:$Z57,MIN(AF$6-$G$3,22))),0)))))</f>
        <v>0</v>
      </c>
      <c r="AG59" s="27" t="n">
        <f aca="false">IF(COUNT(Amendoim!$E57:$Z57)=0,0,MAX(0,IF((AG$6-$E$3)&lt;1,0,IFERROR(LOOKUP(2,1/(Amendoim!$E57:INDEX(Amendoim!$E57:$Z57,MIN(AG$6-$E$3,22))&lt;&gt;""),Amendoim!$E57:INDEX(Amendoim!$E57:$Z57,MIN(AG$6-$E$3,22))),0))-IF($G$2,0,IF((AG$6-$G$3)&lt;1,0,IFERROR(LOOKUP(2,1/(Amendoim!$E57:INDEX(Amendoim!$E57:$Z57,MIN(AG$6-$G$3,22))&lt;&gt;""),Amendoim!$E57:INDEX(Amendoim!$E57:$Z57,MIN(AG$6-$G$3,22))),0)))))</f>
        <v>0</v>
      </c>
      <c r="AH59" s="27" t="n">
        <f aca="false">IF(COUNT(Amendoim!$E57:$Z57)=0,0,MAX(0,IF((AH$6-$E$3)&lt;1,0,IFERROR(LOOKUP(2,1/(Amendoim!$E57:INDEX(Amendoim!$E57:$Z57,MIN(AH$6-$E$3,22))&lt;&gt;""),Amendoim!$E57:INDEX(Amendoim!$E57:$Z57,MIN(AH$6-$E$3,22))),0))-IF($G$2,0,IF((AH$6-$G$3)&lt;1,0,IFERROR(LOOKUP(2,1/(Amendoim!$E57:INDEX(Amendoim!$E57:$Z57,MIN(AH$6-$G$3,22))&lt;&gt;""),Amendoim!$E57:INDEX(Amendoim!$E57:$Z57,MIN(AH$6-$G$3,22))),0)))))</f>
        <v>0</v>
      </c>
      <c r="AI59" s="27" t="n">
        <f aca="false">IF(COUNT(Amendoim!$E57:$Z57)=0,0,MAX(0,IF((AI$6-$E$3)&lt;1,0,IFERROR(LOOKUP(2,1/(Amendoim!$E57:INDEX(Amendoim!$E57:$Z57,MIN(AI$6-$E$3,22))&lt;&gt;""),Amendoim!$E57:INDEX(Amendoim!$E57:$Z57,MIN(AI$6-$E$3,22))),0))-IF($G$2,0,IF((AI$6-$G$3)&lt;1,0,IFERROR(LOOKUP(2,1/(Amendoim!$E57:INDEX(Amendoim!$E57:$Z57,MIN(AI$6-$G$3,22))&lt;&gt;""),Amendoim!$E57:INDEX(Amendoim!$E57:$Z57,MIN(AI$6-$G$3,22))),0)))))</f>
        <v>0</v>
      </c>
      <c r="AJ59" s="27" t="n">
        <f aca="false">IF(COUNT(Amendoim!$E57:$Z57)=0,0,MAX(0,IF((AJ$6-$E$3)&lt;1,0,IFERROR(LOOKUP(2,1/(Amendoim!$E57:INDEX(Amendoim!$E57:$Z57,MIN(AJ$6-$E$3,22))&lt;&gt;""),Amendoim!$E57:INDEX(Amendoim!$E57:$Z57,MIN(AJ$6-$E$3,22))),0))-IF($G$2,0,IF((AJ$6-$G$3)&lt;1,0,IFERROR(LOOKUP(2,1/(Amendoim!$E57:INDEX(Amendoim!$E57:$Z57,MIN(AJ$6-$G$3,22))&lt;&gt;""),Amendoim!$E57:INDEX(Amendoim!$E57:$Z57,MIN(AJ$6-$G$3,22))),0)))))</f>
        <v>0</v>
      </c>
      <c r="AK59" s="27" t="n">
        <f aca="false">IF(COUNT(Amendoim!$E57:$Z57)=0,0,MAX(0,IF((AK$6-$E$3)&lt;1,0,IFERROR(LOOKUP(2,1/(Amendoim!$E57:INDEX(Amendoim!$E57:$Z57,MIN(AK$6-$E$3,22))&lt;&gt;""),Amendoim!$E57:INDEX(Amendoim!$E57:$Z57,MIN(AK$6-$E$3,22))),0))-IF($G$2,0,IF((AK$6-$G$3)&lt;1,0,IFERROR(LOOKUP(2,1/(Amendoim!$E57:INDEX(Amendoim!$E57:$Z57,MIN(AK$6-$G$3,22))&lt;&gt;""),Amendoim!$E57:INDEX(Amendoim!$E57:$Z57,MIN(AK$6-$G$3,22))),0)))))</f>
        <v>0</v>
      </c>
      <c r="AL59" s="27" t="n">
        <f aca="false">IF(COUNT(Amendoim!$E57:$Z57)=0,0,MAX(0,IF((AL$6-$E$3)&lt;1,0,IFERROR(LOOKUP(2,1/(Amendoim!$E57:INDEX(Amendoim!$E57:$Z57,MIN(AL$6-$E$3,22))&lt;&gt;""),Amendoim!$E57:INDEX(Amendoim!$E57:$Z57,MIN(AL$6-$E$3,22))),0))-IF($G$2,0,IF((AL$6-$G$3)&lt;1,0,IFERROR(LOOKUP(2,1/(Amendoim!$E57:INDEX(Amendoim!$E57:$Z57,MIN(AL$6-$G$3,22))&lt;&gt;""),Amendoim!$E57:INDEX(Amendoim!$E57:$Z57,MIN(AL$6-$G$3,22))),0)))))</f>
        <v>0</v>
      </c>
      <c r="AM59" s="27" t="n">
        <f aca="false">IF(COUNT(Amendoim!$E57:$Z57)=0,0,MAX(0,IF((AM$6-$E$3)&lt;1,0,IFERROR(LOOKUP(2,1/(Amendoim!$E57:INDEX(Amendoim!$E57:$Z57,MIN(AM$6-$E$3,22))&lt;&gt;""),Amendoim!$E57:INDEX(Amendoim!$E57:$Z57,MIN(AM$6-$E$3,22))),0))-IF($G$2,0,IF((AM$6-$G$3)&lt;1,0,IFERROR(LOOKUP(2,1/(Amendoim!$E57:INDEX(Amendoim!$E57:$Z57,MIN(AM$6-$G$3,22))&lt;&gt;""),Amendoim!$E57:INDEX(Amendoim!$E57:$Z57,MIN(AM$6-$G$3,22))),0)))))</f>
        <v>0</v>
      </c>
      <c r="AN59" s="27" t="n">
        <f aca="false">IF(COUNT(Amendoim!$E57:$Z57)=0,0,MAX(0,IF((AN$6-$E$3)&lt;1,0,IFERROR(LOOKUP(2,1/(Amendoim!$E57:INDEX(Amendoim!$E57:$Z57,MIN(AN$6-$E$3,22))&lt;&gt;""),Amendoim!$E57:INDEX(Amendoim!$E57:$Z57,MIN(AN$6-$E$3,22))),0))-IF($G$2,0,IF((AN$6-$G$3)&lt;1,0,IFERROR(LOOKUP(2,1/(Amendoim!$E57:INDEX(Amendoim!$E57:$Z57,MIN(AN$6-$G$3,22))&lt;&gt;""),Amendoim!$E57:INDEX(Amendoim!$E57:$Z57,MIN(AN$6-$G$3,22))),0)))))</f>
        <v>0</v>
      </c>
      <c r="AO59" s="27" t="n">
        <f aca="false">IF(COUNT(Amendoim!$E57:$Z57)=0,0,MAX(0,IF((AO$6-$E$3)&lt;1,0,IFERROR(LOOKUP(2,1/(Amendoim!$E57:INDEX(Amendoim!$E57:$Z57,MIN(AO$6-$E$3,22))&lt;&gt;""),Amendoim!$E57:INDEX(Amendoim!$E57:$Z57,MIN(AO$6-$E$3,22))),0))-IF($G$2,0,IF((AO$6-$G$3)&lt;1,0,IFERROR(LOOKUP(2,1/(Amendoim!$E57:INDEX(Amendoim!$E57:$Z57,MIN(AO$6-$G$3,22))&lt;&gt;""),Amendoim!$E57:INDEX(Amendoim!$E57:$Z57,MIN(AO$6-$G$3,22))),0)))))</f>
        <v>0</v>
      </c>
      <c r="AP59" s="27" t="n">
        <f aca="false">IF(COUNT(Amendoim!$E57:$Z57)=0,0,MAX(0,IF((AP$6-$E$3)&lt;1,0,IFERROR(LOOKUP(2,1/(Amendoim!$E57:INDEX(Amendoim!$E57:$Z57,MIN(AP$6-$E$3,22))&lt;&gt;""),Amendoim!$E57:INDEX(Amendoim!$E57:$Z57,MIN(AP$6-$E$3,22))),0))-IF($G$2,0,IF((AP$6-$G$3)&lt;1,0,IFERROR(LOOKUP(2,1/(Amendoim!$E57:INDEX(Amendoim!$E57:$Z57,MIN(AP$6-$G$3,22))&lt;&gt;""),Amendoim!$E57:INDEX(Amendoim!$E57:$Z57,MIN(AP$6-$G$3,22))),0)))))</f>
        <v>0</v>
      </c>
      <c r="AQ59" s="27" t="n">
        <f aca="false">IF(COUNT(Amendoim!$E57:$Z57)=0,0,MAX(0,IF((AQ$6-$E$3)&lt;1,0,IFERROR(LOOKUP(2,1/(Amendoim!$E57:INDEX(Amendoim!$E57:$Z57,MIN(AQ$6-$E$3,22))&lt;&gt;""),Amendoim!$E57:INDEX(Amendoim!$E57:$Z57,MIN(AQ$6-$E$3,22))),0))-IF($G$2,0,IF((AQ$6-$G$3)&lt;1,0,IFERROR(LOOKUP(2,1/(Amendoim!$E57:INDEX(Amendoim!$E57:$Z57,MIN(AQ$6-$G$3,22))&lt;&gt;""),Amendoim!$E57:INDEX(Amendoim!$E57:$Z57,MIN(AQ$6-$G$3,22))),0)))))</f>
        <v>0</v>
      </c>
      <c r="AR59" s="27" t="n">
        <f aca="false">IF(COUNT(Amendoim!$E57:$Z57)=0,0,MAX(0,IF((AR$6-$E$3)&lt;1,0,IFERROR(LOOKUP(2,1/(Amendoim!$E57:INDEX(Amendoim!$E57:$Z57,MIN(AR$6-$E$3,22))&lt;&gt;""),Amendoim!$E57:INDEX(Amendoim!$E57:$Z57,MIN(AR$6-$E$3,22))),0))-IF($G$2,0,IF((AR$6-$G$3)&lt;1,0,IFERROR(LOOKUP(2,1/(Amendoim!$E57:INDEX(Amendoim!$E57:$Z57,MIN(AR$6-$G$3,22))&lt;&gt;""),Amendoim!$E57:INDEX(Amendoim!$E57:$Z57,MIN(AR$6-$G$3,22))),0)))))</f>
        <v>0</v>
      </c>
      <c r="AS59" s="27" t="n">
        <f aca="false">IF(COUNT(Amendoim!$E57:$Z57)=0,0,MAX(0,IF((AS$6-$E$3)&lt;1,0,IFERROR(LOOKUP(2,1/(Amendoim!$E57:INDEX(Amendoim!$E57:$Z57,MIN(AS$6-$E$3,22))&lt;&gt;""),Amendoim!$E57:INDEX(Amendoim!$E57:$Z57,MIN(AS$6-$E$3,22))),0))-IF($G$2,0,IF((AS$6-$G$3)&lt;1,0,IFERROR(LOOKUP(2,1/(Amendoim!$E57:INDEX(Amendoim!$E57:$Z57,MIN(AS$6-$G$3,22))&lt;&gt;""),Amendoim!$E57:INDEX(Amendoim!$E57:$Z57,MIN(AS$6-$G$3,22))),0)))))</f>
        <v>0</v>
      </c>
      <c r="AT59" s="27" t="n">
        <f aca="false">IF(COUNT(Amendoim!$E57:$Z57)=0,0,MAX(0,IF((AT$6-$E$3)&lt;1,0,IFERROR(LOOKUP(2,1/(Amendoim!$E57:INDEX(Amendoim!$E57:$Z57,MIN(AT$6-$E$3,22))&lt;&gt;""),Amendoim!$E57:INDEX(Amendoim!$E57:$Z57,MIN(AT$6-$E$3,22))),0))-IF($G$2,0,IF((AT$6-$G$3)&lt;1,0,IFERROR(LOOKUP(2,1/(Amendoim!$E57:INDEX(Amendoim!$E57:$Z57,MIN(AT$6-$G$3,22))&lt;&gt;""),Amendoim!$E57:INDEX(Amendoim!$E57:$Z57,MIN(AT$6-$G$3,22))),0)))))</f>
        <v>0</v>
      </c>
      <c r="AU59" s="27" t="n">
        <f aca="false">IF(COUNT(Amendoim!$E57:$Z57)=0,0,MAX(0,IF((AU$6-$E$3)&lt;1,0,IFERROR(LOOKUP(2,1/(Amendoim!$E57:INDEX(Amendoim!$E57:$Z57,MIN(AU$6-$E$3,22))&lt;&gt;""),Amendoim!$E57:INDEX(Amendoim!$E57:$Z57,MIN(AU$6-$E$3,22))),0))-IF($G$2,0,IF((AU$6-$G$3)&lt;1,0,IFERROR(LOOKUP(2,1/(Amendoim!$E57:INDEX(Amendoim!$E57:$Z57,MIN(AU$6-$G$3,22))&lt;&gt;""),Amendoim!$E57:INDEX(Amendoim!$E57:$Z57,MIN(AU$6-$G$3,22))),0)))))</f>
        <v>0</v>
      </c>
      <c r="AV59" s="27" t="n">
        <f aca="false">IF(COUNT(Amendoim!$E57:$Z57)=0,0,MAX(0,IF((AV$6-$E$3)&lt;1,0,IFERROR(LOOKUP(2,1/(Amendoim!$E57:INDEX(Amendoim!$E57:$Z57,MIN(AV$6-$E$3,22))&lt;&gt;""),Amendoim!$E57:INDEX(Amendoim!$E57:$Z57,MIN(AV$6-$E$3,22))),0))-IF($G$2,0,IF((AV$6-$G$3)&lt;1,0,IFERROR(LOOKUP(2,1/(Amendoim!$E57:INDEX(Amendoim!$E57:$Z57,MIN(AV$6-$G$3,22))&lt;&gt;""),Amendoim!$E57:INDEX(Amendoim!$E57:$Z57,MIN(AV$6-$G$3,22))),0)))))</f>
        <v>0</v>
      </c>
      <c r="AW59" s="27" t="n">
        <f aca="false">IF(COUNT(Amendoim!$E57:$Z57)=0,0,MAX(0,IF((AW$6-$E$3)&lt;1,0,IFERROR(LOOKUP(2,1/(Amendoim!$E57:INDEX(Amendoim!$E57:$Z57,MIN(AW$6-$E$3,22))&lt;&gt;""),Amendoim!$E57:INDEX(Amendoim!$E57:$Z57,MIN(AW$6-$E$3,22))),0))-IF($G$2,0,IF((AW$6-$G$3)&lt;1,0,IFERROR(LOOKUP(2,1/(Amendoim!$E57:INDEX(Amendoim!$E57:$Z57,MIN(AW$6-$G$3,22))&lt;&gt;""),Amendoim!$E57:INDEX(Amendoim!$E57:$Z57,MIN(AW$6-$G$3,22))),0)))))</f>
        <v>0</v>
      </c>
      <c r="AX59" s="27" t="n">
        <f aca="false">IF(COUNT(Amendoim!$E57:$Z57)=0,0,MAX(0,IF((AX$6-$E$3)&lt;1,0,IFERROR(LOOKUP(2,1/(Amendoim!$E57:INDEX(Amendoim!$E57:$Z57,MIN(AX$6-$E$3,22))&lt;&gt;""),Amendoim!$E57:INDEX(Amendoim!$E57:$Z57,MIN(AX$6-$E$3,22))),0))-IF($G$2,0,IF((AX$6-$G$3)&lt;1,0,IFERROR(LOOKUP(2,1/(Amendoim!$E57:INDEX(Amendoim!$E57:$Z57,MIN(AX$6-$G$3,22))&lt;&gt;""),Amendoim!$E57:INDEX(Amendoim!$E57:$Z57,MIN(AX$6-$G$3,22))),0)))))</f>
        <v>0</v>
      </c>
      <c r="AY59" s="27" t="n">
        <f aca="false">IF(COUNT(Amendoim!$E57:$Z57)=0,0,MAX(0,IF((AY$6-$E$3)&lt;1,0,IFERROR(LOOKUP(2,1/(Amendoim!$E57:INDEX(Amendoim!$E57:$Z57,MIN(AY$6-$E$3,22))&lt;&gt;""),Amendoim!$E57:INDEX(Amendoim!$E57:$Z57,MIN(AY$6-$E$3,22))),0))-IF($G$2,0,IF((AY$6-$G$3)&lt;1,0,IFERROR(LOOKUP(2,1/(Amendoim!$E57:INDEX(Amendoim!$E57:$Z57,MIN(AY$6-$G$3,22))&lt;&gt;""),Amendoim!$E57:INDEX(Amendoim!$E57:$Z57,MIN(AY$6-$G$3,22))),0)))))</f>
        <v>0</v>
      </c>
      <c r="AZ59" s="27" t="n">
        <f aca="false">IF(COUNT(Amendoim!$E57:$Z57)=0,0,MAX(0,IF((AZ$6-$E$3)&lt;1,0,IFERROR(LOOKUP(2,1/(Amendoim!$E57:INDEX(Amendoim!$E57:$Z57,MIN(AZ$6-$E$3,22))&lt;&gt;""),Amendoim!$E57:INDEX(Amendoim!$E57:$Z57,MIN(AZ$6-$E$3,22))),0))-IF($G$2,0,IF((AZ$6-$G$3)&lt;1,0,IFERROR(LOOKUP(2,1/(Amendoim!$E57:INDEX(Amendoim!$E57:$Z57,MIN(AZ$6-$G$3,22))&lt;&gt;""),Amendoim!$E57:INDEX(Amendoim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IF(COUNT(Amendoim!$E58:$Z58)&gt;0,N(Amendoim!$D58),0)</f>
        <v>0</v>
      </c>
      <c r="E60" s="27" t="n">
        <f aca="false">IF(COUNT(Amendoim!$E58:$Z58)=0,0,MAX(0,IF((E$6-$E$3)&lt;1,0,IFERROR(LOOKUP(2,1/(Amendoim!$E58:INDEX(Amendoim!$E58:$Z58,MIN(E$6-$E$3,22))&lt;&gt;""),Amendoim!$E58:INDEX(Amendoim!$E58:$Z58,MIN(E$6-$E$3,22))),0))-IF($G$2,0,IF((E$6-$G$3)&lt;1,0,IFERROR(LOOKUP(2,1/(Amendoim!$E58:INDEX(Amendoim!$E58:$Z58,MIN(E$6-$G$3,22))&lt;&gt;""),Amendoim!$E58:INDEX(Amendoim!$E58:$Z58,MIN(E$6-$G$3,22))),0)))))</f>
        <v>0</v>
      </c>
      <c r="F60" s="27" t="n">
        <f aca="false">IF(COUNT(Amendoim!$E58:$Z58)=0,0,MAX(0,IF((F$6-$E$3)&lt;1,0,IFERROR(LOOKUP(2,1/(Amendoim!$E58:INDEX(Amendoim!$E58:$Z58,MIN(F$6-$E$3,22))&lt;&gt;""),Amendoim!$E58:INDEX(Amendoim!$E58:$Z58,MIN(F$6-$E$3,22))),0))-IF($G$2,0,IF((F$6-$G$3)&lt;1,0,IFERROR(LOOKUP(2,1/(Amendoim!$E58:INDEX(Amendoim!$E58:$Z58,MIN(F$6-$G$3,22))&lt;&gt;""),Amendoim!$E58:INDEX(Amendoim!$E58:$Z58,MIN(F$6-$G$3,22))),0)))))</f>
        <v>0</v>
      </c>
      <c r="G60" s="27" t="n">
        <f aca="false">IF(COUNT(Amendoim!$E58:$Z58)=0,0,MAX(0,IF((G$6-$E$3)&lt;1,0,IFERROR(LOOKUP(2,1/(Amendoim!$E58:INDEX(Amendoim!$E58:$Z58,MIN(G$6-$E$3,22))&lt;&gt;""),Amendoim!$E58:INDEX(Amendoim!$E58:$Z58,MIN(G$6-$E$3,22))),0))-IF($G$2,0,IF((G$6-$G$3)&lt;1,0,IFERROR(LOOKUP(2,1/(Amendoim!$E58:INDEX(Amendoim!$E58:$Z58,MIN(G$6-$G$3,22))&lt;&gt;""),Amendoim!$E58:INDEX(Amendoim!$E58:$Z58,MIN(G$6-$G$3,22))),0)))))</f>
        <v>0</v>
      </c>
      <c r="H60" s="27" t="n">
        <f aca="false">IF(COUNT(Amendoim!$E58:$Z58)=0,0,MAX(0,IF((H$6-$E$3)&lt;1,0,IFERROR(LOOKUP(2,1/(Amendoim!$E58:INDEX(Amendoim!$E58:$Z58,MIN(H$6-$E$3,22))&lt;&gt;""),Amendoim!$E58:INDEX(Amendoim!$E58:$Z58,MIN(H$6-$E$3,22))),0))-IF($G$2,0,IF((H$6-$G$3)&lt;1,0,IFERROR(LOOKUP(2,1/(Amendoim!$E58:INDEX(Amendoim!$E58:$Z58,MIN(H$6-$G$3,22))&lt;&gt;""),Amendoim!$E58:INDEX(Amendoim!$E58:$Z58,MIN(H$6-$G$3,22))),0)))))</f>
        <v>0</v>
      </c>
      <c r="I60" s="27" t="n">
        <f aca="false">IF(COUNT(Amendoim!$E58:$Z58)=0,0,MAX(0,IF((I$6-$E$3)&lt;1,0,IFERROR(LOOKUP(2,1/(Amendoim!$E58:INDEX(Amendoim!$E58:$Z58,MIN(I$6-$E$3,22))&lt;&gt;""),Amendoim!$E58:INDEX(Amendoim!$E58:$Z58,MIN(I$6-$E$3,22))),0))-IF($G$2,0,IF((I$6-$G$3)&lt;1,0,IFERROR(LOOKUP(2,1/(Amendoim!$E58:INDEX(Amendoim!$E58:$Z58,MIN(I$6-$G$3,22))&lt;&gt;""),Amendoim!$E58:INDEX(Amendoim!$E58:$Z58,MIN(I$6-$G$3,22))),0)))))</f>
        <v>0</v>
      </c>
      <c r="J60" s="27" t="n">
        <f aca="false">IF(COUNT(Amendoim!$E58:$Z58)=0,0,MAX(0,IF((J$6-$E$3)&lt;1,0,IFERROR(LOOKUP(2,1/(Amendoim!$E58:INDEX(Amendoim!$E58:$Z58,MIN(J$6-$E$3,22))&lt;&gt;""),Amendoim!$E58:INDEX(Amendoim!$E58:$Z58,MIN(J$6-$E$3,22))),0))-IF($G$2,0,IF((J$6-$G$3)&lt;1,0,IFERROR(LOOKUP(2,1/(Amendoim!$E58:INDEX(Amendoim!$E58:$Z58,MIN(J$6-$G$3,22))&lt;&gt;""),Amendoim!$E58:INDEX(Amendoim!$E58:$Z58,MIN(J$6-$G$3,22))),0)))))</f>
        <v>0</v>
      </c>
      <c r="K60" s="27" t="n">
        <f aca="false">IF(COUNT(Amendoim!$E58:$Z58)=0,0,MAX(0,IF((K$6-$E$3)&lt;1,0,IFERROR(LOOKUP(2,1/(Amendoim!$E58:INDEX(Amendoim!$E58:$Z58,MIN(K$6-$E$3,22))&lt;&gt;""),Amendoim!$E58:INDEX(Amendoim!$E58:$Z58,MIN(K$6-$E$3,22))),0))-IF($G$2,0,IF((K$6-$G$3)&lt;1,0,IFERROR(LOOKUP(2,1/(Amendoim!$E58:INDEX(Amendoim!$E58:$Z58,MIN(K$6-$G$3,22))&lt;&gt;""),Amendoim!$E58:INDEX(Amendoim!$E58:$Z58,MIN(K$6-$G$3,22))),0)))))</f>
        <v>0</v>
      </c>
      <c r="L60" s="27" t="n">
        <f aca="false">IF(COUNT(Amendoim!$E58:$Z58)=0,0,MAX(0,IF((L$6-$E$3)&lt;1,0,IFERROR(LOOKUP(2,1/(Amendoim!$E58:INDEX(Amendoim!$E58:$Z58,MIN(L$6-$E$3,22))&lt;&gt;""),Amendoim!$E58:INDEX(Amendoim!$E58:$Z58,MIN(L$6-$E$3,22))),0))-IF($G$2,0,IF((L$6-$G$3)&lt;1,0,IFERROR(LOOKUP(2,1/(Amendoim!$E58:INDEX(Amendoim!$E58:$Z58,MIN(L$6-$G$3,22))&lt;&gt;""),Amendoim!$E58:INDEX(Amendoim!$E58:$Z58,MIN(L$6-$G$3,22))),0)))))</f>
        <v>0</v>
      </c>
      <c r="M60" s="27" t="n">
        <f aca="false">IF(COUNT(Amendoim!$E58:$Z58)=0,0,MAX(0,IF((M$6-$E$3)&lt;1,0,IFERROR(LOOKUP(2,1/(Amendoim!$E58:INDEX(Amendoim!$E58:$Z58,MIN(M$6-$E$3,22))&lt;&gt;""),Amendoim!$E58:INDEX(Amendoim!$E58:$Z58,MIN(M$6-$E$3,22))),0))-IF($G$2,0,IF((M$6-$G$3)&lt;1,0,IFERROR(LOOKUP(2,1/(Amendoim!$E58:INDEX(Amendoim!$E58:$Z58,MIN(M$6-$G$3,22))&lt;&gt;""),Amendoim!$E58:INDEX(Amendoim!$E58:$Z58,MIN(M$6-$G$3,22))),0)))))</f>
        <v>0</v>
      </c>
      <c r="N60" s="27" t="n">
        <f aca="false">IF(COUNT(Amendoim!$E58:$Z58)=0,0,MAX(0,IF((N$6-$E$3)&lt;1,0,IFERROR(LOOKUP(2,1/(Amendoim!$E58:INDEX(Amendoim!$E58:$Z58,MIN(N$6-$E$3,22))&lt;&gt;""),Amendoim!$E58:INDEX(Amendoim!$E58:$Z58,MIN(N$6-$E$3,22))),0))-IF($G$2,0,IF((N$6-$G$3)&lt;1,0,IFERROR(LOOKUP(2,1/(Amendoim!$E58:INDEX(Amendoim!$E58:$Z58,MIN(N$6-$G$3,22))&lt;&gt;""),Amendoim!$E58:INDEX(Amendoim!$E58:$Z58,MIN(N$6-$G$3,22))),0)))))</f>
        <v>0</v>
      </c>
      <c r="O60" s="27" t="n">
        <f aca="false">IF(COUNT(Amendoim!$E58:$Z58)=0,0,MAX(0,IF((O$6-$E$3)&lt;1,0,IFERROR(LOOKUP(2,1/(Amendoim!$E58:INDEX(Amendoim!$E58:$Z58,MIN(O$6-$E$3,22))&lt;&gt;""),Amendoim!$E58:INDEX(Amendoim!$E58:$Z58,MIN(O$6-$E$3,22))),0))-IF($G$2,0,IF((O$6-$G$3)&lt;1,0,IFERROR(LOOKUP(2,1/(Amendoim!$E58:INDEX(Amendoim!$E58:$Z58,MIN(O$6-$G$3,22))&lt;&gt;""),Amendoim!$E58:INDEX(Amendoim!$E58:$Z58,MIN(O$6-$G$3,22))),0)))))</f>
        <v>0</v>
      </c>
      <c r="P60" s="27" t="n">
        <f aca="false">IF(COUNT(Amendoim!$E58:$Z58)=0,0,MAX(0,IF((P$6-$E$3)&lt;1,0,IFERROR(LOOKUP(2,1/(Amendoim!$E58:INDEX(Amendoim!$E58:$Z58,MIN(P$6-$E$3,22))&lt;&gt;""),Amendoim!$E58:INDEX(Amendoim!$E58:$Z58,MIN(P$6-$E$3,22))),0))-IF($G$2,0,IF((P$6-$G$3)&lt;1,0,IFERROR(LOOKUP(2,1/(Amendoim!$E58:INDEX(Amendoim!$E58:$Z58,MIN(P$6-$G$3,22))&lt;&gt;""),Amendoim!$E58:INDEX(Amendoim!$E58:$Z58,MIN(P$6-$G$3,22))),0)))))</f>
        <v>0</v>
      </c>
      <c r="Q60" s="27" t="n">
        <f aca="false">IF(COUNT(Amendoim!$E58:$Z58)=0,0,MAX(0,IF((Q$6-$E$3)&lt;1,0,IFERROR(LOOKUP(2,1/(Amendoim!$E58:INDEX(Amendoim!$E58:$Z58,MIN(Q$6-$E$3,22))&lt;&gt;""),Amendoim!$E58:INDEX(Amendoim!$E58:$Z58,MIN(Q$6-$E$3,22))),0))-IF($G$2,0,IF((Q$6-$G$3)&lt;1,0,IFERROR(LOOKUP(2,1/(Amendoim!$E58:INDEX(Amendoim!$E58:$Z58,MIN(Q$6-$G$3,22))&lt;&gt;""),Amendoim!$E58:INDEX(Amendoim!$E58:$Z58,MIN(Q$6-$G$3,22))),0)))))</f>
        <v>0</v>
      </c>
      <c r="R60" s="27" t="n">
        <f aca="false">IF(COUNT(Amendoim!$E58:$Z58)=0,0,MAX(0,IF((R$6-$E$3)&lt;1,0,IFERROR(LOOKUP(2,1/(Amendoim!$E58:INDEX(Amendoim!$E58:$Z58,MIN(R$6-$E$3,22))&lt;&gt;""),Amendoim!$E58:INDEX(Amendoim!$E58:$Z58,MIN(R$6-$E$3,22))),0))-IF($G$2,0,IF((R$6-$G$3)&lt;1,0,IFERROR(LOOKUP(2,1/(Amendoim!$E58:INDEX(Amendoim!$E58:$Z58,MIN(R$6-$G$3,22))&lt;&gt;""),Amendoim!$E58:INDEX(Amendoim!$E58:$Z58,MIN(R$6-$G$3,22))),0)))))</f>
        <v>0</v>
      </c>
      <c r="S60" s="27" t="n">
        <f aca="false">IF(COUNT(Amendoim!$E58:$Z58)=0,0,MAX(0,IF((S$6-$E$3)&lt;1,0,IFERROR(LOOKUP(2,1/(Amendoim!$E58:INDEX(Amendoim!$E58:$Z58,MIN(S$6-$E$3,22))&lt;&gt;""),Amendoim!$E58:INDEX(Amendoim!$E58:$Z58,MIN(S$6-$E$3,22))),0))-IF($G$2,0,IF((S$6-$G$3)&lt;1,0,IFERROR(LOOKUP(2,1/(Amendoim!$E58:INDEX(Amendoim!$E58:$Z58,MIN(S$6-$G$3,22))&lt;&gt;""),Amendoim!$E58:INDEX(Amendoim!$E58:$Z58,MIN(S$6-$G$3,22))),0)))))</f>
        <v>0</v>
      </c>
      <c r="T60" s="27" t="n">
        <f aca="false">IF(COUNT(Amendoim!$E58:$Z58)=0,0,MAX(0,IF((T$6-$E$3)&lt;1,0,IFERROR(LOOKUP(2,1/(Amendoim!$E58:INDEX(Amendoim!$E58:$Z58,MIN(T$6-$E$3,22))&lt;&gt;""),Amendoim!$E58:INDEX(Amendoim!$E58:$Z58,MIN(T$6-$E$3,22))),0))-IF($G$2,0,IF((T$6-$G$3)&lt;1,0,IFERROR(LOOKUP(2,1/(Amendoim!$E58:INDEX(Amendoim!$E58:$Z58,MIN(T$6-$G$3,22))&lt;&gt;""),Amendoim!$E58:INDEX(Amendoim!$E58:$Z58,MIN(T$6-$G$3,22))),0)))))</f>
        <v>0</v>
      </c>
      <c r="U60" s="27" t="n">
        <f aca="false">IF(COUNT(Amendoim!$E58:$Z58)=0,0,MAX(0,IF((U$6-$E$3)&lt;1,0,IFERROR(LOOKUP(2,1/(Amendoim!$E58:INDEX(Amendoim!$E58:$Z58,MIN(U$6-$E$3,22))&lt;&gt;""),Amendoim!$E58:INDEX(Amendoim!$E58:$Z58,MIN(U$6-$E$3,22))),0))-IF($G$2,0,IF((U$6-$G$3)&lt;1,0,IFERROR(LOOKUP(2,1/(Amendoim!$E58:INDEX(Amendoim!$E58:$Z58,MIN(U$6-$G$3,22))&lt;&gt;""),Amendoim!$E58:INDEX(Amendoim!$E58:$Z58,MIN(U$6-$G$3,22))),0)))))</f>
        <v>0</v>
      </c>
      <c r="V60" s="27" t="n">
        <f aca="false">IF(COUNT(Amendoim!$E58:$Z58)=0,0,MAX(0,IF((V$6-$E$3)&lt;1,0,IFERROR(LOOKUP(2,1/(Amendoim!$E58:INDEX(Amendoim!$E58:$Z58,MIN(V$6-$E$3,22))&lt;&gt;""),Amendoim!$E58:INDEX(Amendoim!$E58:$Z58,MIN(V$6-$E$3,22))),0))-IF($G$2,0,IF((V$6-$G$3)&lt;1,0,IFERROR(LOOKUP(2,1/(Amendoim!$E58:INDEX(Amendoim!$E58:$Z58,MIN(V$6-$G$3,22))&lt;&gt;""),Amendoim!$E58:INDEX(Amendoim!$E58:$Z58,MIN(V$6-$G$3,22))),0)))))</f>
        <v>0</v>
      </c>
      <c r="W60" s="27" t="n">
        <f aca="false">IF(COUNT(Amendoim!$E58:$Z58)=0,0,MAX(0,IF((W$6-$E$3)&lt;1,0,IFERROR(LOOKUP(2,1/(Amendoim!$E58:INDEX(Amendoim!$E58:$Z58,MIN(W$6-$E$3,22))&lt;&gt;""),Amendoim!$E58:INDEX(Amendoim!$E58:$Z58,MIN(W$6-$E$3,22))),0))-IF($G$2,0,IF((W$6-$G$3)&lt;1,0,IFERROR(LOOKUP(2,1/(Amendoim!$E58:INDEX(Amendoim!$E58:$Z58,MIN(W$6-$G$3,22))&lt;&gt;""),Amendoim!$E58:INDEX(Amendoim!$E58:$Z58,MIN(W$6-$G$3,22))),0)))))</f>
        <v>0</v>
      </c>
      <c r="X60" s="27" t="n">
        <f aca="false">IF(COUNT(Amendoim!$E58:$Z58)=0,0,MAX(0,IF((X$6-$E$3)&lt;1,0,IFERROR(LOOKUP(2,1/(Amendoim!$E58:INDEX(Amendoim!$E58:$Z58,MIN(X$6-$E$3,22))&lt;&gt;""),Amendoim!$E58:INDEX(Amendoim!$E58:$Z58,MIN(X$6-$E$3,22))),0))-IF($G$2,0,IF((X$6-$G$3)&lt;1,0,IFERROR(LOOKUP(2,1/(Amendoim!$E58:INDEX(Amendoim!$E58:$Z58,MIN(X$6-$G$3,22))&lt;&gt;""),Amendoim!$E58:INDEX(Amendoim!$E58:$Z58,MIN(X$6-$G$3,22))),0)))))</f>
        <v>0</v>
      </c>
      <c r="Y60" s="27" t="n">
        <f aca="false">IF(COUNT(Amendoim!$E58:$Z58)=0,0,MAX(0,IF((Y$6-$E$3)&lt;1,0,IFERROR(LOOKUP(2,1/(Amendoim!$E58:INDEX(Amendoim!$E58:$Z58,MIN(Y$6-$E$3,22))&lt;&gt;""),Amendoim!$E58:INDEX(Amendoim!$E58:$Z58,MIN(Y$6-$E$3,22))),0))-IF($G$2,0,IF((Y$6-$G$3)&lt;1,0,IFERROR(LOOKUP(2,1/(Amendoim!$E58:INDEX(Amendoim!$E58:$Z58,MIN(Y$6-$G$3,22))&lt;&gt;""),Amendoim!$E58:INDEX(Amendoim!$E58:$Z58,MIN(Y$6-$G$3,22))),0)))))</f>
        <v>0</v>
      </c>
      <c r="Z60" s="27" t="n">
        <f aca="false">IF(COUNT(Amendoim!$E58:$Z58)=0,0,MAX(0,IF((Z$6-$E$3)&lt;1,0,IFERROR(LOOKUP(2,1/(Amendoim!$E58:INDEX(Amendoim!$E58:$Z58,MIN(Z$6-$E$3,22))&lt;&gt;""),Amendoim!$E58:INDEX(Amendoim!$E58:$Z58,MIN(Z$6-$E$3,22))),0))-IF($G$2,0,IF((Z$6-$G$3)&lt;1,0,IFERROR(LOOKUP(2,1/(Amendoim!$E58:INDEX(Amendoim!$E58:$Z58,MIN(Z$6-$G$3,22))&lt;&gt;""),Amendoim!$E58:INDEX(Amendoim!$E58:$Z58,MIN(Z$6-$G$3,22))),0)))))</f>
        <v>0</v>
      </c>
      <c r="AA60" s="27" t="n">
        <f aca="false">IF(COUNT(Amendoim!$E58:$Z58)=0,0,MAX(0,IF((AA$6-$E$3)&lt;1,0,IFERROR(LOOKUP(2,1/(Amendoim!$E58:INDEX(Amendoim!$E58:$Z58,MIN(AA$6-$E$3,22))&lt;&gt;""),Amendoim!$E58:INDEX(Amendoim!$E58:$Z58,MIN(AA$6-$E$3,22))),0))-IF($G$2,0,IF((AA$6-$G$3)&lt;1,0,IFERROR(LOOKUP(2,1/(Amendoim!$E58:INDEX(Amendoim!$E58:$Z58,MIN(AA$6-$G$3,22))&lt;&gt;""),Amendoim!$E58:INDEX(Amendoim!$E58:$Z58,MIN(AA$6-$G$3,22))),0)))))</f>
        <v>0</v>
      </c>
      <c r="AB60" s="27" t="n">
        <f aca="false">IF(COUNT(Amendoim!$E58:$Z58)=0,0,MAX(0,IF((AB$6-$E$3)&lt;1,0,IFERROR(LOOKUP(2,1/(Amendoim!$E58:INDEX(Amendoim!$E58:$Z58,MIN(AB$6-$E$3,22))&lt;&gt;""),Amendoim!$E58:INDEX(Amendoim!$E58:$Z58,MIN(AB$6-$E$3,22))),0))-IF($G$2,0,IF((AB$6-$G$3)&lt;1,0,IFERROR(LOOKUP(2,1/(Amendoim!$E58:INDEX(Amendoim!$E58:$Z58,MIN(AB$6-$G$3,22))&lt;&gt;""),Amendoim!$E58:INDEX(Amendoim!$E58:$Z58,MIN(AB$6-$G$3,22))),0)))))</f>
        <v>0</v>
      </c>
      <c r="AC60" s="27" t="n">
        <f aca="false">IF(COUNT(Amendoim!$E58:$Z58)=0,0,MAX(0,IF((AC$6-$E$3)&lt;1,0,IFERROR(LOOKUP(2,1/(Amendoim!$E58:INDEX(Amendoim!$E58:$Z58,MIN(AC$6-$E$3,22))&lt;&gt;""),Amendoim!$E58:INDEX(Amendoim!$E58:$Z58,MIN(AC$6-$E$3,22))),0))-IF($G$2,0,IF((AC$6-$G$3)&lt;1,0,IFERROR(LOOKUP(2,1/(Amendoim!$E58:INDEX(Amendoim!$E58:$Z58,MIN(AC$6-$G$3,22))&lt;&gt;""),Amendoim!$E58:INDEX(Amendoim!$E58:$Z58,MIN(AC$6-$G$3,22))),0)))))</f>
        <v>0</v>
      </c>
      <c r="AD60" s="27" t="n">
        <f aca="false">IF(COUNT(Amendoim!$E58:$Z58)=0,0,MAX(0,IF((AD$6-$E$3)&lt;1,0,IFERROR(LOOKUP(2,1/(Amendoim!$E58:INDEX(Amendoim!$E58:$Z58,MIN(AD$6-$E$3,22))&lt;&gt;""),Amendoim!$E58:INDEX(Amendoim!$E58:$Z58,MIN(AD$6-$E$3,22))),0))-IF($G$2,0,IF((AD$6-$G$3)&lt;1,0,IFERROR(LOOKUP(2,1/(Amendoim!$E58:INDEX(Amendoim!$E58:$Z58,MIN(AD$6-$G$3,22))&lt;&gt;""),Amendoim!$E58:INDEX(Amendoim!$E58:$Z58,MIN(AD$6-$G$3,22))),0)))))</f>
        <v>0</v>
      </c>
      <c r="AE60" s="27" t="n">
        <f aca="false">IF(COUNT(Amendoim!$E58:$Z58)=0,0,MAX(0,IF((AE$6-$E$3)&lt;1,0,IFERROR(LOOKUP(2,1/(Amendoim!$E58:INDEX(Amendoim!$E58:$Z58,MIN(AE$6-$E$3,22))&lt;&gt;""),Amendoim!$E58:INDEX(Amendoim!$E58:$Z58,MIN(AE$6-$E$3,22))),0))-IF($G$2,0,IF((AE$6-$G$3)&lt;1,0,IFERROR(LOOKUP(2,1/(Amendoim!$E58:INDEX(Amendoim!$E58:$Z58,MIN(AE$6-$G$3,22))&lt;&gt;""),Amendoim!$E58:INDEX(Amendoim!$E58:$Z58,MIN(AE$6-$G$3,22))),0)))))</f>
        <v>0</v>
      </c>
      <c r="AF60" s="27" t="n">
        <f aca="false">IF(COUNT(Amendoim!$E58:$Z58)=0,0,MAX(0,IF((AF$6-$E$3)&lt;1,0,IFERROR(LOOKUP(2,1/(Amendoim!$E58:INDEX(Amendoim!$E58:$Z58,MIN(AF$6-$E$3,22))&lt;&gt;""),Amendoim!$E58:INDEX(Amendoim!$E58:$Z58,MIN(AF$6-$E$3,22))),0))-IF($G$2,0,IF((AF$6-$G$3)&lt;1,0,IFERROR(LOOKUP(2,1/(Amendoim!$E58:INDEX(Amendoim!$E58:$Z58,MIN(AF$6-$G$3,22))&lt;&gt;""),Amendoim!$E58:INDEX(Amendoim!$E58:$Z58,MIN(AF$6-$G$3,22))),0)))))</f>
        <v>0</v>
      </c>
      <c r="AG60" s="27" t="n">
        <f aca="false">IF(COUNT(Amendoim!$E58:$Z58)=0,0,MAX(0,IF((AG$6-$E$3)&lt;1,0,IFERROR(LOOKUP(2,1/(Amendoim!$E58:INDEX(Amendoim!$E58:$Z58,MIN(AG$6-$E$3,22))&lt;&gt;""),Amendoim!$E58:INDEX(Amendoim!$E58:$Z58,MIN(AG$6-$E$3,22))),0))-IF($G$2,0,IF((AG$6-$G$3)&lt;1,0,IFERROR(LOOKUP(2,1/(Amendoim!$E58:INDEX(Amendoim!$E58:$Z58,MIN(AG$6-$G$3,22))&lt;&gt;""),Amendoim!$E58:INDEX(Amendoim!$E58:$Z58,MIN(AG$6-$G$3,22))),0)))))</f>
        <v>0</v>
      </c>
      <c r="AH60" s="27" t="n">
        <f aca="false">IF(COUNT(Amendoim!$E58:$Z58)=0,0,MAX(0,IF((AH$6-$E$3)&lt;1,0,IFERROR(LOOKUP(2,1/(Amendoim!$E58:INDEX(Amendoim!$E58:$Z58,MIN(AH$6-$E$3,22))&lt;&gt;""),Amendoim!$E58:INDEX(Amendoim!$E58:$Z58,MIN(AH$6-$E$3,22))),0))-IF($G$2,0,IF((AH$6-$G$3)&lt;1,0,IFERROR(LOOKUP(2,1/(Amendoim!$E58:INDEX(Amendoim!$E58:$Z58,MIN(AH$6-$G$3,22))&lt;&gt;""),Amendoim!$E58:INDEX(Amendoim!$E58:$Z58,MIN(AH$6-$G$3,22))),0)))))</f>
        <v>0</v>
      </c>
      <c r="AI60" s="27" t="n">
        <f aca="false">IF(COUNT(Amendoim!$E58:$Z58)=0,0,MAX(0,IF((AI$6-$E$3)&lt;1,0,IFERROR(LOOKUP(2,1/(Amendoim!$E58:INDEX(Amendoim!$E58:$Z58,MIN(AI$6-$E$3,22))&lt;&gt;""),Amendoim!$E58:INDEX(Amendoim!$E58:$Z58,MIN(AI$6-$E$3,22))),0))-IF($G$2,0,IF((AI$6-$G$3)&lt;1,0,IFERROR(LOOKUP(2,1/(Amendoim!$E58:INDEX(Amendoim!$E58:$Z58,MIN(AI$6-$G$3,22))&lt;&gt;""),Amendoim!$E58:INDEX(Amendoim!$E58:$Z58,MIN(AI$6-$G$3,22))),0)))))</f>
        <v>0</v>
      </c>
      <c r="AJ60" s="27" t="n">
        <f aca="false">IF(COUNT(Amendoim!$E58:$Z58)=0,0,MAX(0,IF((AJ$6-$E$3)&lt;1,0,IFERROR(LOOKUP(2,1/(Amendoim!$E58:INDEX(Amendoim!$E58:$Z58,MIN(AJ$6-$E$3,22))&lt;&gt;""),Amendoim!$E58:INDEX(Amendoim!$E58:$Z58,MIN(AJ$6-$E$3,22))),0))-IF($G$2,0,IF((AJ$6-$G$3)&lt;1,0,IFERROR(LOOKUP(2,1/(Amendoim!$E58:INDEX(Amendoim!$E58:$Z58,MIN(AJ$6-$G$3,22))&lt;&gt;""),Amendoim!$E58:INDEX(Amendoim!$E58:$Z58,MIN(AJ$6-$G$3,22))),0)))))</f>
        <v>0</v>
      </c>
      <c r="AK60" s="27" t="n">
        <f aca="false">IF(COUNT(Amendoim!$E58:$Z58)=0,0,MAX(0,IF((AK$6-$E$3)&lt;1,0,IFERROR(LOOKUP(2,1/(Amendoim!$E58:INDEX(Amendoim!$E58:$Z58,MIN(AK$6-$E$3,22))&lt;&gt;""),Amendoim!$E58:INDEX(Amendoim!$E58:$Z58,MIN(AK$6-$E$3,22))),0))-IF($G$2,0,IF((AK$6-$G$3)&lt;1,0,IFERROR(LOOKUP(2,1/(Amendoim!$E58:INDEX(Amendoim!$E58:$Z58,MIN(AK$6-$G$3,22))&lt;&gt;""),Amendoim!$E58:INDEX(Amendoim!$E58:$Z58,MIN(AK$6-$G$3,22))),0)))))</f>
        <v>0</v>
      </c>
      <c r="AL60" s="27" t="n">
        <f aca="false">IF(COUNT(Amendoim!$E58:$Z58)=0,0,MAX(0,IF((AL$6-$E$3)&lt;1,0,IFERROR(LOOKUP(2,1/(Amendoim!$E58:INDEX(Amendoim!$E58:$Z58,MIN(AL$6-$E$3,22))&lt;&gt;""),Amendoim!$E58:INDEX(Amendoim!$E58:$Z58,MIN(AL$6-$E$3,22))),0))-IF($G$2,0,IF((AL$6-$G$3)&lt;1,0,IFERROR(LOOKUP(2,1/(Amendoim!$E58:INDEX(Amendoim!$E58:$Z58,MIN(AL$6-$G$3,22))&lt;&gt;""),Amendoim!$E58:INDEX(Amendoim!$E58:$Z58,MIN(AL$6-$G$3,22))),0)))))</f>
        <v>0</v>
      </c>
      <c r="AM60" s="27" t="n">
        <f aca="false">IF(COUNT(Amendoim!$E58:$Z58)=0,0,MAX(0,IF((AM$6-$E$3)&lt;1,0,IFERROR(LOOKUP(2,1/(Amendoim!$E58:INDEX(Amendoim!$E58:$Z58,MIN(AM$6-$E$3,22))&lt;&gt;""),Amendoim!$E58:INDEX(Amendoim!$E58:$Z58,MIN(AM$6-$E$3,22))),0))-IF($G$2,0,IF((AM$6-$G$3)&lt;1,0,IFERROR(LOOKUP(2,1/(Amendoim!$E58:INDEX(Amendoim!$E58:$Z58,MIN(AM$6-$G$3,22))&lt;&gt;""),Amendoim!$E58:INDEX(Amendoim!$E58:$Z58,MIN(AM$6-$G$3,22))),0)))))</f>
        <v>0</v>
      </c>
      <c r="AN60" s="27" t="n">
        <f aca="false">IF(COUNT(Amendoim!$E58:$Z58)=0,0,MAX(0,IF((AN$6-$E$3)&lt;1,0,IFERROR(LOOKUP(2,1/(Amendoim!$E58:INDEX(Amendoim!$E58:$Z58,MIN(AN$6-$E$3,22))&lt;&gt;""),Amendoim!$E58:INDEX(Amendoim!$E58:$Z58,MIN(AN$6-$E$3,22))),0))-IF($G$2,0,IF((AN$6-$G$3)&lt;1,0,IFERROR(LOOKUP(2,1/(Amendoim!$E58:INDEX(Amendoim!$E58:$Z58,MIN(AN$6-$G$3,22))&lt;&gt;""),Amendoim!$E58:INDEX(Amendoim!$E58:$Z58,MIN(AN$6-$G$3,22))),0)))))</f>
        <v>0</v>
      </c>
      <c r="AO60" s="27" t="n">
        <f aca="false">IF(COUNT(Amendoim!$E58:$Z58)=0,0,MAX(0,IF((AO$6-$E$3)&lt;1,0,IFERROR(LOOKUP(2,1/(Amendoim!$E58:INDEX(Amendoim!$E58:$Z58,MIN(AO$6-$E$3,22))&lt;&gt;""),Amendoim!$E58:INDEX(Amendoim!$E58:$Z58,MIN(AO$6-$E$3,22))),0))-IF($G$2,0,IF((AO$6-$G$3)&lt;1,0,IFERROR(LOOKUP(2,1/(Amendoim!$E58:INDEX(Amendoim!$E58:$Z58,MIN(AO$6-$G$3,22))&lt;&gt;""),Amendoim!$E58:INDEX(Amendoim!$E58:$Z58,MIN(AO$6-$G$3,22))),0)))))</f>
        <v>0</v>
      </c>
      <c r="AP60" s="27" t="n">
        <f aca="false">IF(COUNT(Amendoim!$E58:$Z58)=0,0,MAX(0,IF((AP$6-$E$3)&lt;1,0,IFERROR(LOOKUP(2,1/(Amendoim!$E58:INDEX(Amendoim!$E58:$Z58,MIN(AP$6-$E$3,22))&lt;&gt;""),Amendoim!$E58:INDEX(Amendoim!$E58:$Z58,MIN(AP$6-$E$3,22))),0))-IF($G$2,0,IF((AP$6-$G$3)&lt;1,0,IFERROR(LOOKUP(2,1/(Amendoim!$E58:INDEX(Amendoim!$E58:$Z58,MIN(AP$6-$G$3,22))&lt;&gt;""),Amendoim!$E58:INDEX(Amendoim!$E58:$Z58,MIN(AP$6-$G$3,22))),0)))))</f>
        <v>0</v>
      </c>
      <c r="AQ60" s="27" t="n">
        <f aca="false">IF(COUNT(Amendoim!$E58:$Z58)=0,0,MAX(0,IF((AQ$6-$E$3)&lt;1,0,IFERROR(LOOKUP(2,1/(Amendoim!$E58:INDEX(Amendoim!$E58:$Z58,MIN(AQ$6-$E$3,22))&lt;&gt;""),Amendoim!$E58:INDEX(Amendoim!$E58:$Z58,MIN(AQ$6-$E$3,22))),0))-IF($G$2,0,IF((AQ$6-$G$3)&lt;1,0,IFERROR(LOOKUP(2,1/(Amendoim!$E58:INDEX(Amendoim!$E58:$Z58,MIN(AQ$6-$G$3,22))&lt;&gt;""),Amendoim!$E58:INDEX(Amendoim!$E58:$Z58,MIN(AQ$6-$G$3,22))),0)))))</f>
        <v>0</v>
      </c>
      <c r="AR60" s="27" t="n">
        <f aca="false">IF(COUNT(Amendoim!$E58:$Z58)=0,0,MAX(0,IF((AR$6-$E$3)&lt;1,0,IFERROR(LOOKUP(2,1/(Amendoim!$E58:INDEX(Amendoim!$E58:$Z58,MIN(AR$6-$E$3,22))&lt;&gt;""),Amendoim!$E58:INDEX(Amendoim!$E58:$Z58,MIN(AR$6-$E$3,22))),0))-IF($G$2,0,IF((AR$6-$G$3)&lt;1,0,IFERROR(LOOKUP(2,1/(Amendoim!$E58:INDEX(Amendoim!$E58:$Z58,MIN(AR$6-$G$3,22))&lt;&gt;""),Amendoim!$E58:INDEX(Amendoim!$E58:$Z58,MIN(AR$6-$G$3,22))),0)))))</f>
        <v>0</v>
      </c>
      <c r="AS60" s="27" t="n">
        <f aca="false">IF(COUNT(Amendoim!$E58:$Z58)=0,0,MAX(0,IF((AS$6-$E$3)&lt;1,0,IFERROR(LOOKUP(2,1/(Amendoim!$E58:INDEX(Amendoim!$E58:$Z58,MIN(AS$6-$E$3,22))&lt;&gt;""),Amendoim!$E58:INDEX(Amendoim!$E58:$Z58,MIN(AS$6-$E$3,22))),0))-IF($G$2,0,IF((AS$6-$G$3)&lt;1,0,IFERROR(LOOKUP(2,1/(Amendoim!$E58:INDEX(Amendoim!$E58:$Z58,MIN(AS$6-$G$3,22))&lt;&gt;""),Amendoim!$E58:INDEX(Amendoim!$E58:$Z58,MIN(AS$6-$G$3,22))),0)))))</f>
        <v>0</v>
      </c>
      <c r="AT60" s="27" t="n">
        <f aca="false">IF(COUNT(Amendoim!$E58:$Z58)=0,0,MAX(0,IF((AT$6-$E$3)&lt;1,0,IFERROR(LOOKUP(2,1/(Amendoim!$E58:INDEX(Amendoim!$E58:$Z58,MIN(AT$6-$E$3,22))&lt;&gt;""),Amendoim!$E58:INDEX(Amendoim!$E58:$Z58,MIN(AT$6-$E$3,22))),0))-IF($G$2,0,IF((AT$6-$G$3)&lt;1,0,IFERROR(LOOKUP(2,1/(Amendoim!$E58:INDEX(Amendoim!$E58:$Z58,MIN(AT$6-$G$3,22))&lt;&gt;""),Amendoim!$E58:INDEX(Amendoim!$E58:$Z58,MIN(AT$6-$G$3,22))),0)))))</f>
        <v>0</v>
      </c>
      <c r="AU60" s="27" t="n">
        <f aca="false">IF(COUNT(Amendoim!$E58:$Z58)=0,0,MAX(0,IF((AU$6-$E$3)&lt;1,0,IFERROR(LOOKUP(2,1/(Amendoim!$E58:INDEX(Amendoim!$E58:$Z58,MIN(AU$6-$E$3,22))&lt;&gt;""),Amendoim!$E58:INDEX(Amendoim!$E58:$Z58,MIN(AU$6-$E$3,22))),0))-IF($G$2,0,IF((AU$6-$G$3)&lt;1,0,IFERROR(LOOKUP(2,1/(Amendoim!$E58:INDEX(Amendoim!$E58:$Z58,MIN(AU$6-$G$3,22))&lt;&gt;""),Amendoim!$E58:INDEX(Amendoim!$E58:$Z58,MIN(AU$6-$G$3,22))),0)))))</f>
        <v>0</v>
      </c>
      <c r="AV60" s="27" t="n">
        <f aca="false">IF(COUNT(Amendoim!$E58:$Z58)=0,0,MAX(0,IF((AV$6-$E$3)&lt;1,0,IFERROR(LOOKUP(2,1/(Amendoim!$E58:INDEX(Amendoim!$E58:$Z58,MIN(AV$6-$E$3,22))&lt;&gt;""),Amendoim!$E58:INDEX(Amendoim!$E58:$Z58,MIN(AV$6-$E$3,22))),0))-IF($G$2,0,IF((AV$6-$G$3)&lt;1,0,IFERROR(LOOKUP(2,1/(Amendoim!$E58:INDEX(Amendoim!$E58:$Z58,MIN(AV$6-$G$3,22))&lt;&gt;""),Amendoim!$E58:INDEX(Amendoim!$E58:$Z58,MIN(AV$6-$G$3,22))),0)))))</f>
        <v>0</v>
      </c>
      <c r="AW60" s="27" t="n">
        <f aca="false">IF(COUNT(Amendoim!$E58:$Z58)=0,0,MAX(0,IF((AW$6-$E$3)&lt;1,0,IFERROR(LOOKUP(2,1/(Amendoim!$E58:INDEX(Amendoim!$E58:$Z58,MIN(AW$6-$E$3,22))&lt;&gt;""),Amendoim!$E58:INDEX(Amendoim!$E58:$Z58,MIN(AW$6-$E$3,22))),0))-IF($G$2,0,IF((AW$6-$G$3)&lt;1,0,IFERROR(LOOKUP(2,1/(Amendoim!$E58:INDEX(Amendoim!$E58:$Z58,MIN(AW$6-$G$3,22))&lt;&gt;""),Amendoim!$E58:INDEX(Amendoim!$E58:$Z58,MIN(AW$6-$G$3,22))),0)))))</f>
        <v>0</v>
      </c>
      <c r="AX60" s="27" t="n">
        <f aca="false">IF(COUNT(Amendoim!$E58:$Z58)=0,0,MAX(0,IF((AX$6-$E$3)&lt;1,0,IFERROR(LOOKUP(2,1/(Amendoim!$E58:INDEX(Amendoim!$E58:$Z58,MIN(AX$6-$E$3,22))&lt;&gt;""),Amendoim!$E58:INDEX(Amendoim!$E58:$Z58,MIN(AX$6-$E$3,22))),0))-IF($G$2,0,IF((AX$6-$G$3)&lt;1,0,IFERROR(LOOKUP(2,1/(Amendoim!$E58:INDEX(Amendoim!$E58:$Z58,MIN(AX$6-$G$3,22))&lt;&gt;""),Amendoim!$E58:INDEX(Amendoim!$E58:$Z58,MIN(AX$6-$G$3,22))),0)))))</f>
        <v>0</v>
      </c>
      <c r="AY60" s="27" t="n">
        <f aca="false">IF(COUNT(Amendoim!$E58:$Z58)=0,0,MAX(0,IF((AY$6-$E$3)&lt;1,0,IFERROR(LOOKUP(2,1/(Amendoim!$E58:INDEX(Amendoim!$E58:$Z58,MIN(AY$6-$E$3,22))&lt;&gt;""),Amendoim!$E58:INDEX(Amendoim!$E58:$Z58,MIN(AY$6-$E$3,22))),0))-IF($G$2,0,IF((AY$6-$G$3)&lt;1,0,IFERROR(LOOKUP(2,1/(Amendoim!$E58:INDEX(Amendoim!$E58:$Z58,MIN(AY$6-$G$3,22))&lt;&gt;""),Amendoim!$E58:INDEX(Amendoim!$E58:$Z58,MIN(AY$6-$G$3,22))),0)))))</f>
        <v>0</v>
      </c>
      <c r="AZ60" s="27" t="n">
        <f aca="false">IF(COUNT(Amendoim!$E58:$Z58)=0,0,MAX(0,IF((AZ$6-$E$3)&lt;1,0,IFERROR(LOOKUP(2,1/(Amendoim!$E58:INDEX(Amendoim!$E58:$Z58,MIN(AZ$6-$E$3,22))&lt;&gt;""),Amendoim!$E58:INDEX(Amendoim!$E58:$Z58,MIN(AZ$6-$E$3,22))),0))-IF($G$2,0,IF((AZ$6-$G$3)&lt;1,0,IFERROR(LOOKUP(2,1/(Amendoim!$E58:INDEX(Amendoim!$E58:$Z58,MIN(AZ$6-$G$3,22))&lt;&gt;""),Amendoim!$E58:INDEX(Amendoim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IF(COUNT(Amendoim!$E59:$Z59)&gt;0,N(Amendoim!$D59),0)</f>
        <v>0</v>
      </c>
      <c r="E61" s="27" t="n">
        <f aca="false">IF(COUNT(Amendoim!$E59:$Z59)=0,0,MAX(0,IF((E$6-$E$3)&lt;1,0,IFERROR(LOOKUP(2,1/(Amendoim!$E59:INDEX(Amendoim!$E59:$Z59,MIN(E$6-$E$3,22))&lt;&gt;""),Amendoim!$E59:INDEX(Amendoim!$E59:$Z59,MIN(E$6-$E$3,22))),0))-IF($G$2,0,IF((E$6-$G$3)&lt;1,0,IFERROR(LOOKUP(2,1/(Amendoim!$E59:INDEX(Amendoim!$E59:$Z59,MIN(E$6-$G$3,22))&lt;&gt;""),Amendoim!$E59:INDEX(Amendoim!$E59:$Z59,MIN(E$6-$G$3,22))),0)))))</f>
        <v>0</v>
      </c>
      <c r="F61" s="27" t="n">
        <f aca="false">IF(COUNT(Amendoim!$E59:$Z59)=0,0,MAX(0,IF((F$6-$E$3)&lt;1,0,IFERROR(LOOKUP(2,1/(Amendoim!$E59:INDEX(Amendoim!$E59:$Z59,MIN(F$6-$E$3,22))&lt;&gt;""),Amendoim!$E59:INDEX(Amendoim!$E59:$Z59,MIN(F$6-$E$3,22))),0))-IF($G$2,0,IF((F$6-$G$3)&lt;1,0,IFERROR(LOOKUP(2,1/(Amendoim!$E59:INDEX(Amendoim!$E59:$Z59,MIN(F$6-$G$3,22))&lt;&gt;""),Amendoim!$E59:INDEX(Amendoim!$E59:$Z59,MIN(F$6-$G$3,22))),0)))))</f>
        <v>0</v>
      </c>
      <c r="G61" s="27" t="n">
        <f aca="false">IF(COUNT(Amendoim!$E59:$Z59)=0,0,MAX(0,IF((G$6-$E$3)&lt;1,0,IFERROR(LOOKUP(2,1/(Amendoim!$E59:INDEX(Amendoim!$E59:$Z59,MIN(G$6-$E$3,22))&lt;&gt;""),Amendoim!$E59:INDEX(Amendoim!$E59:$Z59,MIN(G$6-$E$3,22))),0))-IF($G$2,0,IF((G$6-$G$3)&lt;1,0,IFERROR(LOOKUP(2,1/(Amendoim!$E59:INDEX(Amendoim!$E59:$Z59,MIN(G$6-$G$3,22))&lt;&gt;""),Amendoim!$E59:INDEX(Amendoim!$E59:$Z59,MIN(G$6-$G$3,22))),0)))))</f>
        <v>0</v>
      </c>
      <c r="H61" s="27" t="n">
        <f aca="false">IF(COUNT(Amendoim!$E59:$Z59)=0,0,MAX(0,IF((H$6-$E$3)&lt;1,0,IFERROR(LOOKUP(2,1/(Amendoim!$E59:INDEX(Amendoim!$E59:$Z59,MIN(H$6-$E$3,22))&lt;&gt;""),Amendoim!$E59:INDEX(Amendoim!$E59:$Z59,MIN(H$6-$E$3,22))),0))-IF($G$2,0,IF((H$6-$G$3)&lt;1,0,IFERROR(LOOKUP(2,1/(Amendoim!$E59:INDEX(Amendoim!$E59:$Z59,MIN(H$6-$G$3,22))&lt;&gt;""),Amendoim!$E59:INDEX(Amendoim!$E59:$Z59,MIN(H$6-$G$3,22))),0)))))</f>
        <v>0</v>
      </c>
      <c r="I61" s="27" t="n">
        <f aca="false">IF(COUNT(Amendoim!$E59:$Z59)=0,0,MAX(0,IF((I$6-$E$3)&lt;1,0,IFERROR(LOOKUP(2,1/(Amendoim!$E59:INDEX(Amendoim!$E59:$Z59,MIN(I$6-$E$3,22))&lt;&gt;""),Amendoim!$E59:INDEX(Amendoim!$E59:$Z59,MIN(I$6-$E$3,22))),0))-IF($G$2,0,IF((I$6-$G$3)&lt;1,0,IFERROR(LOOKUP(2,1/(Amendoim!$E59:INDEX(Amendoim!$E59:$Z59,MIN(I$6-$G$3,22))&lt;&gt;""),Amendoim!$E59:INDEX(Amendoim!$E59:$Z59,MIN(I$6-$G$3,22))),0)))))</f>
        <v>0</v>
      </c>
      <c r="J61" s="27" t="n">
        <f aca="false">IF(COUNT(Amendoim!$E59:$Z59)=0,0,MAX(0,IF((J$6-$E$3)&lt;1,0,IFERROR(LOOKUP(2,1/(Amendoim!$E59:INDEX(Amendoim!$E59:$Z59,MIN(J$6-$E$3,22))&lt;&gt;""),Amendoim!$E59:INDEX(Amendoim!$E59:$Z59,MIN(J$6-$E$3,22))),0))-IF($G$2,0,IF((J$6-$G$3)&lt;1,0,IFERROR(LOOKUP(2,1/(Amendoim!$E59:INDEX(Amendoim!$E59:$Z59,MIN(J$6-$G$3,22))&lt;&gt;""),Amendoim!$E59:INDEX(Amendoim!$E59:$Z59,MIN(J$6-$G$3,22))),0)))))</f>
        <v>0</v>
      </c>
      <c r="K61" s="27" t="n">
        <f aca="false">IF(COUNT(Amendoim!$E59:$Z59)=0,0,MAX(0,IF((K$6-$E$3)&lt;1,0,IFERROR(LOOKUP(2,1/(Amendoim!$E59:INDEX(Amendoim!$E59:$Z59,MIN(K$6-$E$3,22))&lt;&gt;""),Amendoim!$E59:INDEX(Amendoim!$E59:$Z59,MIN(K$6-$E$3,22))),0))-IF($G$2,0,IF((K$6-$G$3)&lt;1,0,IFERROR(LOOKUP(2,1/(Amendoim!$E59:INDEX(Amendoim!$E59:$Z59,MIN(K$6-$G$3,22))&lt;&gt;""),Amendoim!$E59:INDEX(Amendoim!$E59:$Z59,MIN(K$6-$G$3,22))),0)))))</f>
        <v>0</v>
      </c>
      <c r="L61" s="27" t="n">
        <f aca="false">IF(COUNT(Amendoim!$E59:$Z59)=0,0,MAX(0,IF((L$6-$E$3)&lt;1,0,IFERROR(LOOKUP(2,1/(Amendoim!$E59:INDEX(Amendoim!$E59:$Z59,MIN(L$6-$E$3,22))&lt;&gt;""),Amendoim!$E59:INDEX(Amendoim!$E59:$Z59,MIN(L$6-$E$3,22))),0))-IF($G$2,0,IF((L$6-$G$3)&lt;1,0,IFERROR(LOOKUP(2,1/(Amendoim!$E59:INDEX(Amendoim!$E59:$Z59,MIN(L$6-$G$3,22))&lt;&gt;""),Amendoim!$E59:INDEX(Amendoim!$E59:$Z59,MIN(L$6-$G$3,22))),0)))))</f>
        <v>0</v>
      </c>
      <c r="M61" s="27" t="n">
        <f aca="false">IF(COUNT(Amendoim!$E59:$Z59)=0,0,MAX(0,IF((M$6-$E$3)&lt;1,0,IFERROR(LOOKUP(2,1/(Amendoim!$E59:INDEX(Amendoim!$E59:$Z59,MIN(M$6-$E$3,22))&lt;&gt;""),Amendoim!$E59:INDEX(Amendoim!$E59:$Z59,MIN(M$6-$E$3,22))),0))-IF($G$2,0,IF((M$6-$G$3)&lt;1,0,IFERROR(LOOKUP(2,1/(Amendoim!$E59:INDEX(Amendoim!$E59:$Z59,MIN(M$6-$G$3,22))&lt;&gt;""),Amendoim!$E59:INDEX(Amendoim!$E59:$Z59,MIN(M$6-$G$3,22))),0)))))</f>
        <v>0</v>
      </c>
      <c r="N61" s="27" t="n">
        <f aca="false">IF(COUNT(Amendoim!$E59:$Z59)=0,0,MAX(0,IF((N$6-$E$3)&lt;1,0,IFERROR(LOOKUP(2,1/(Amendoim!$E59:INDEX(Amendoim!$E59:$Z59,MIN(N$6-$E$3,22))&lt;&gt;""),Amendoim!$E59:INDEX(Amendoim!$E59:$Z59,MIN(N$6-$E$3,22))),0))-IF($G$2,0,IF((N$6-$G$3)&lt;1,0,IFERROR(LOOKUP(2,1/(Amendoim!$E59:INDEX(Amendoim!$E59:$Z59,MIN(N$6-$G$3,22))&lt;&gt;""),Amendoim!$E59:INDEX(Amendoim!$E59:$Z59,MIN(N$6-$G$3,22))),0)))))</f>
        <v>0</v>
      </c>
      <c r="O61" s="27" t="n">
        <f aca="false">IF(COUNT(Amendoim!$E59:$Z59)=0,0,MAX(0,IF((O$6-$E$3)&lt;1,0,IFERROR(LOOKUP(2,1/(Amendoim!$E59:INDEX(Amendoim!$E59:$Z59,MIN(O$6-$E$3,22))&lt;&gt;""),Amendoim!$E59:INDEX(Amendoim!$E59:$Z59,MIN(O$6-$E$3,22))),0))-IF($G$2,0,IF((O$6-$G$3)&lt;1,0,IFERROR(LOOKUP(2,1/(Amendoim!$E59:INDEX(Amendoim!$E59:$Z59,MIN(O$6-$G$3,22))&lt;&gt;""),Amendoim!$E59:INDEX(Amendoim!$E59:$Z59,MIN(O$6-$G$3,22))),0)))))</f>
        <v>0</v>
      </c>
      <c r="P61" s="27" t="n">
        <f aca="false">IF(COUNT(Amendoim!$E59:$Z59)=0,0,MAX(0,IF((P$6-$E$3)&lt;1,0,IFERROR(LOOKUP(2,1/(Amendoim!$E59:INDEX(Amendoim!$E59:$Z59,MIN(P$6-$E$3,22))&lt;&gt;""),Amendoim!$E59:INDEX(Amendoim!$E59:$Z59,MIN(P$6-$E$3,22))),0))-IF($G$2,0,IF((P$6-$G$3)&lt;1,0,IFERROR(LOOKUP(2,1/(Amendoim!$E59:INDEX(Amendoim!$E59:$Z59,MIN(P$6-$G$3,22))&lt;&gt;""),Amendoim!$E59:INDEX(Amendoim!$E59:$Z59,MIN(P$6-$G$3,22))),0)))))</f>
        <v>0</v>
      </c>
      <c r="Q61" s="27" t="n">
        <f aca="false">IF(COUNT(Amendoim!$E59:$Z59)=0,0,MAX(0,IF((Q$6-$E$3)&lt;1,0,IFERROR(LOOKUP(2,1/(Amendoim!$E59:INDEX(Amendoim!$E59:$Z59,MIN(Q$6-$E$3,22))&lt;&gt;""),Amendoim!$E59:INDEX(Amendoim!$E59:$Z59,MIN(Q$6-$E$3,22))),0))-IF($G$2,0,IF((Q$6-$G$3)&lt;1,0,IFERROR(LOOKUP(2,1/(Amendoim!$E59:INDEX(Amendoim!$E59:$Z59,MIN(Q$6-$G$3,22))&lt;&gt;""),Amendoim!$E59:INDEX(Amendoim!$E59:$Z59,MIN(Q$6-$G$3,22))),0)))))</f>
        <v>0</v>
      </c>
      <c r="R61" s="27" t="n">
        <f aca="false">IF(COUNT(Amendoim!$E59:$Z59)=0,0,MAX(0,IF((R$6-$E$3)&lt;1,0,IFERROR(LOOKUP(2,1/(Amendoim!$E59:INDEX(Amendoim!$E59:$Z59,MIN(R$6-$E$3,22))&lt;&gt;""),Amendoim!$E59:INDEX(Amendoim!$E59:$Z59,MIN(R$6-$E$3,22))),0))-IF($G$2,0,IF((R$6-$G$3)&lt;1,0,IFERROR(LOOKUP(2,1/(Amendoim!$E59:INDEX(Amendoim!$E59:$Z59,MIN(R$6-$G$3,22))&lt;&gt;""),Amendoim!$E59:INDEX(Amendoim!$E59:$Z59,MIN(R$6-$G$3,22))),0)))))</f>
        <v>0</v>
      </c>
      <c r="S61" s="27" t="n">
        <f aca="false">IF(COUNT(Amendoim!$E59:$Z59)=0,0,MAX(0,IF((S$6-$E$3)&lt;1,0,IFERROR(LOOKUP(2,1/(Amendoim!$E59:INDEX(Amendoim!$E59:$Z59,MIN(S$6-$E$3,22))&lt;&gt;""),Amendoim!$E59:INDEX(Amendoim!$E59:$Z59,MIN(S$6-$E$3,22))),0))-IF($G$2,0,IF((S$6-$G$3)&lt;1,0,IFERROR(LOOKUP(2,1/(Amendoim!$E59:INDEX(Amendoim!$E59:$Z59,MIN(S$6-$G$3,22))&lt;&gt;""),Amendoim!$E59:INDEX(Amendoim!$E59:$Z59,MIN(S$6-$G$3,22))),0)))))</f>
        <v>0</v>
      </c>
      <c r="T61" s="27" t="n">
        <f aca="false">IF(COUNT(Amendoim!$E59:$Z59)=0,0,MAX(0,IF((T$6-$E$3)&lt;1,0,IFERROR(LOOKUP(2,1/(Amendoim!$E59:INDEX(Amendoim!$E59:$Z59,MIN(T$6-$E$3,22))&lt;&gt;""),Amendoim!$E59:INDEX(Amendoim!$E59:$Z59,MIN(T$6-$E$3,22))),0))-IF($G$2,0,IF((T$6-$G$3)&lt;1,0,IFERROR(LOOKUP(2,1/(Amendoim!$E59:INDEX(Amendoim!$E59:$Z59,MIN(T$6-$G$3,22))&lt;&gt;""),Amendoim!$E59:INDEX(Amendoim!$E59:$Z59,MIN(T$6-$G$3,22))),0)))))</f>
        <v>0</v>
      </c>
      <c r="U61" s="27" t="n">
        <f aca="false">IF(COUNT(Amendoim!$E59:$Z59)=0,0,MAX(0,IF((U$6-$E$3)&lt;1,0,IFERROR(LOOKUP(2,1/(Amendoim!$E59:INDEX(Amendoim!$E59:$Z59,MIN(U$6-$E$3,22))&lt;&gt;""),Amendoim!$E59:INDEX(Amendoim!$E59:$Z59,MIN(U$6-$E$3,22))),0))-IF($G$2,0,IF((U$6-$G$3)&lt;1,0,IFERROR(LOOKUP(2,1/(Amendoim!$E59:INDEX(Amendoim!$E59:$Z59,MIN(U$6-$G$3,22))&lt;&gt;""),Amendoim!$E59:INDEX(Amendoim!$E59:$Z59,MIN(U$6-$G$3,22))),0)))))</f>
        <v>0</v>
      </c>
      <c r="V61" s="27" t="n">
        <f aca="false">IF(COUNT(Amendoim!$E59:$Z59)=0,0,MAX(0,IF((V$6-$E$3)&lt;1,0,IFERROR(LOOKUP(2,1/(Amendoim!$E59:INDEX(Amendoim!$E59:$Z59,MIN(V$6-$E$3,22))&lt;&gt;""),Amendoim!$E59:INDEX(Amendoim!$E59:$Z59,MIN(V$6-$E$3,22))),0))-IF($G$2,0,IF((V$6-$G$3)&lt;1,0,IFERROR(LOOKUP(2,1/(Amendoim!$E59:INDEX(Amendoim!$E59:$Z59,MIN(V$6-$G$3,22))&lt;&gt;""),Amendoim!$E59:INDEX(Amendoim!$E59:$Z59,MIN(V$6-$G$3,22))),0)))))</f>
        <v>0</v>
      </c>
      <c r="W61" s="27" t="n">
        <f aca="false">IF(COUNT(Amendoim!$E59:$Z59)=0,0,MAX(0,IF((W$6-$E$3)&lt;1,0,IFERROR(LOOKUP(2,1/(Amendoim!$E59:INDEX(Amendoim!$E59:$Z59,MIN(W$6-$E$3,22))&lt;&gt;""),Amendoim!$E59:INDEX(Amendoim!$E59:$Z59,MIN(W$6-$E$3,22))),0))-IF($G$2,0,IF((W$6-$G$3)&lt;1,0,IFERROR(LOOKUP(2,1/(Amendoim!$E59:INDEX(Amendoim!$E59:$Z59,MIN(W$6-$G$3,22))&lt;&gt;""),Amendoim!$E59:INDEX(Amendoim!$E59:$Z59,MIN(W$6-$G$3,22))),0)))))</f>
        <v>0</v>
      </c>
      <c r="X61" s="27" t="n">
        <f aca="false">IF(COUNT(Amendoim!$E59:$Z59)=0,0,MAX(0,IF((X$6-$E$3)&lt;1,0,IFERROR(LOOKUP(2,1/(Amendoim!$E59:INDEX(Amendoim!$E59:$Z59,MIN(X$6-$E$3,22))&lt;&gt;""),Amendoim!$E59:INDEX(Amendoim!$E59:$Z59,MIN(X$6-$E$3,22))),0))-IF($G$2,0,IF((X$6-$G$3)&lt;1,0,IFERROR(LOOKUP(2,1/(Amendoim!$E59:INDEX(Amendoim!$E59:$Z59,MIN(X$6-$G$3,22))&lt;&gt;""),Amendoim!$E59:INDEX(Amendoim!$E59:$Z59,MIN(X$6-$G$3,22))),0)))))</f>
        <v>0</v>
      </c>
      <c r="Y61" s="27" t="n">
        <f aca="false">IF(COUNT(Amendoim!$E59:$Z59)=0,0,MAX(0,IF((Y$6-$E$3)&lt;1,0,IFERROR(LOOKUP(2,1/(Amendoim!$E59:INDEX(Amendoim!$E59:$Z59,MIN(Y$6-$E$3,22))&lt;&gt;""),Amendoim!$E59:INDEX(Amendoim!$E59:$Z59,MIN(Y$6-$E$3,22))),0))-IF($G$2,0,IF((Y$6-$G$3)&lt;1,0,IFERROR(LOOKUP(2,1/(Amendoim!$E59:INDEX(Amendoim!$E59:$Z59,MIN(Y$6-$G$3,22))&lt;&gt;""),Amendoim!$E59:INDEX(Amendoim!$E59:$Z59,MIN(Y$6-$G$3,22))),0)))))</f>
        <v>0</v>
      </c>
      <c r="Z61" s="27" t="n">
        <f aca="false">IF(COUNT(Amendoim!$E59:$Z59)=0,0,MAX(0,IF((Z$6-$E$3)&lt;1,0,IFERROR(LOOKUP(2,1/(Amendoim!$E59:INDEX(Amendoim!$E59:$Z59,MIN(Z$6-$E$3,22))&lt;&gt;""),Amendoim!$E59:INDEX(Amendoim!$E59:$Z59,MIN(Z$6-$E$3,22))),0))-IF($G$2,0,IF((Z$6-$G$3)&lt;1,0,IFERROR(LOOKUP(2,1/(Amendoim!$E59:INDEX(Amendoim!$E59:$Z59,MIN(Z$6-$G$3,22))&lt;&gt;""),Amendoim!$E59:INDEX(Amendoim!$E59:$Z59,MIN(Z$6-$G$3,22))),0)))))</f>
        <v>0</v>
      </c>
      <c r="AA61" s="27" t="n">
        <f aca="false">IF(COUNT(Amendoim!$E59:$Z59)=0,0,MAX(0,IF((AA$6-$E$3)&lt;1,0,IFERROR(LOOKUP(2,1/(Amendoim!$E59:INDEX(Amendoim!$E59:$Z59,MIN(AA$6-$E$3,22))&lt;&gt;""),Amendoim!$E59:INDEX(Amendoim!$E59:$Z59,MIN(AA$6-$E$3,22))),0))-IF($G$2,0,IF((AA$6-$G$3)&lt;1,0,IFERROR(LOOKUP(2,1/(Amendoim!$E59:INDEX(Amendoim!$E59:$Z59,MIN(AA$6-$G$3,22))&lt;&gt;""),Amendoim!$E59:INDEX(Amendoim!$E59:$Z59,MIN(AA$6-$G$3,22))),0)))))</f>
        <v>0</v>
      </c>
      <c r="AB61" s="27" t="n">
        <f aca="false">IF(COUNT(Amendoim!$E59:$Z59)=0,0,MAX(0,IF((AB$6-$E$3)&lt;1,0,IFERROR(LOOKUP(2,1/(Amendoim!$E59:INDEX(Amendoim!$E59:$Z59,MIN(AB$6-$E$3,22))&lt;&gt;""),Amendoim!$E59:INDEX(Amendoim!$E59:$Z59,MIN(AB$6-$E$3,22))),0))-IF($G$2,0,IF((AB$6-$G$3)&lt;1,0,IFERROR(LOOKUP(2,1/(Amendoim!$E59:INDEX(Amendoim!$E59:$Z59,MIN(AB$6-$G$3,22))&lt;&gt;""),Amendoim!$E59:INDEX(Amendoim!$E59:$Z59,MIN(AB$6-$G$3,22))),0)))))</f>
        <v>0</v>
      </c>
      <c r="AC61" s="27" t="n">
        <f aca="false">IF(COUNT(Amendoim!$E59:$Z59)=0,0,MAX(0,IF((AC$6-$E$3)&lt;1,0,IFERROR(LOOKUP(2,1/(Amendoim!$E59:INDEX(Amendoim!$E59:$Z59,MIN(AC$6-$E$3,22))&lt;&gt;""),Amendoim!$E59:INDEX(Amendoim!$E59:$Z59,MIN(AC$6-$E$3,22))),0))-IF($G$2,0,IF((AC$6-$G$3)&lt;1,0,IFERROR(LOOKUP(2,1/(Amendoim!$E59:INDEX(Amendoim!$E59:$Z59,MIN(AC$6-$G$3,22))&lt;&gt;""),Amendoim!$E59:INDEX(Amendoim!$E59:$Z59,MIN(AC$6-$G$3,22))),0)))))</f>
        <v>0</v>
      </c>
      <c r="AD61" s="27" t="n">
        <f aca="false">IF(COUNT(Amendoim!$E59:$Z59)=0,0,MAX(0,IF((AD$6-$E$3)&lt;1,0,IFERROR(LOOKUP(2,1/(Amendoim!$E59:INDEX(Amendoim!$E59:$Z59,MIN(AD$6-$E$3,22))&lt;&gt;""),Amendoim!$E59:INDEX(Amendoim!$E59:$Z59,MIN(AD$6-$E$3,22))),0))-IF($G$2,0,IF((AD$6-$G$3)&lt;1,0,IFERROR(LOOKUP(2,1/(Amendoim!$E59:INDEX(Amendoim!$E59:$Z59,MIN(AD$6-$G$3,22))&lt;&gt;""),Amendoim!$E59:INDEX(Amendoim!$E59:$Z59,MIN(AD$6-$G$3,22))),0)))))</f>
        <v>0</v>
      </c>
      <c r="AE61" s="27" t="n">
        <f aca="false">IF(COUNT(Amendoim!$E59:$Z59)=0,0,MAX(0,IF((AE$6-$E$3)&lt;1,0,IFERROR(LOOKUP(2,1/(Amendoim!$E59:INDEX(Amendoim!$E59:$Z59,MIN(AE$6-$E$3,22))&lt;&gt;""),Amendoim!$E59:INDEX(Amendoim!$E59:$Z59,MIN(AE$6-$E$3,22))),0))-IF($G$2,0,IF((AE$6-$G$3)&lt;1,0,IFERROR(LOOKUP(2,1/(Amendoim!$E59:INDEX(Amendoim!$E59:$Z59,MIN(AE$6-$G$3,22))&lt;&gt;""),Amendoim!$E59:INDEX(Amendoim!$E59:$Z59,MIN(AE$6-$G$3,22))),0)))))</f>
        <v>0</v>
      </c>
      <c r="AF61" s="27" t="n">
        <f aca="false">IF(COUNT(Amendoim!$E59:$Z59)=0,0,MAX(0,IF((AF$6-$E$3)&lt;1,0,IFERROR(LOOKUP(2,1/(Amendoim!$E59:INDEX(Amendoim!$E59:$Z59,MIN(AF$6-$E$3,22))&lt;&gt;""),Amendoim!$E59:INDEX(Amendoim!$E59:$Z59,MIN(AF$6-$E$3,22))),0))-IF($G$2,0,IF((AF$6-$G$3)&lt;1,0,IFERROR(LOOKUP(2,1/(Amendoim!$E59:INDEX(Amendoim!$E59:$Z59,MIN(AF$6-$G$3,22))&lt;&gt;""),Amendoim!$E59:INDEX(Amendoim!$E59:$Z59,MIN(AF$6-$G$3,22))),0)))))</f>
        <v>0</v>
      </c>
      <c r="AG61" s="27" t="n">
        <f aca="false">IF(COUNT(Amendoim!$E59:$Z59)=0,0,MAX(0,IF((AG$6-$E$3)&lt;1,0,IFERROR(LOOKUP(2,1/(Amendoim!$E59:INDEX(Amendoim!$E59:$Z59,MIN(AG$6-$E$3,22))&lt;&gt;""),Amendoim!$E59:INDEX(Amendoim!$E59:$Z59,MIN(AG$6-$E$3,22))),0))-IF($G$2,0,IF((AG$6-$G$3)&lt;1,0,IFERROR(LOOKUP(2,1/(Amendoim!$E59:INDEX(Amendoim!$E59:$Z59,MIN(AG$6-$G$3,22))&lt;&gt;""),Amendoim!$E59:INDEX(Amendoim!$E59:$Z59,MIN(AG$6-$G$3,22))),0)))))</f>
        <v>0</v>
      </c>
      <c r="AH61" s="27" t="n">
        <f aca="false">IF(COUNT(Amendoim!$E59:$Z59)=0,0,MAX(0,IF((AH$6-$E$3)&lt;1,0,IFERROR(LOOKUP(2,1/(Amendoim!$E59:INDEX(Amendoim!$E59:$Z59,MIN(AH$6-$E$3,22))&lt;&gt;""),Amendoim!$E59:INDEX(Amendoim!$E59:$Z59,MIN(AH$6-$E$3,22))),0))-IF($G$2,0,IF((AH$6-$G$3)&lt;1,0,IFERROR(LOOKUP(2,1/(Amendoim!$E59:INDEX(Amendoim!$E59:$Z59,MIN(AH$6-$G$3,22))&lt;&gt;""),Amendoim!$E59:INDEX(Amendoim!$E59:$Z59,MIN(AH$6-$G$3,22))),0)))))</f>
        <v>0</v>
      </c>
      <c r="AI61" s="27" t="n">
        <f aca="false">IF(COUNT(Amendoim!$E59:$Z59)=0,0,MAX(0,IF((AI$6-$E$3)&lt;1,0,IFERROR(LOOKUP(2,1/(Amendoim!$E59:INDEX(Amendoim!$E59:$Z59,MIN(AI$6-$E$3,22))&lt;&gt;""),Amendoim!$E59:INDEX(Amendoim!$E59:$Z59,MIN(AI$6-$E$3,22))),0))-IF($G$2,0,IF((AI$6-$G$3)&lt;1,0,IFERROR(LOOKUP(2,1/(Amendoim!$E59:INDEX(Amendoim!$E59:$Z59,MIN(AI$6-$G$3,22))&lt;&gt;""),Amendoim!$E59:INDEX(Amendoim!$E59:$Z59,MIN(AI$6-$G$3,22))),0)))))</f>
        <v>0</v>
      </c>
      <c r="AJ61" s="27" t="n">
        <f aca="false">IF(COUNT(Amendoim!$E59:$Z59)=0,0,MAX(0,IF((AJ$6-$E$3)&lt;1,0,IFERROR(LOOKUP(2,1/(Amendoim!$E59:INDEX(Amendoim!$E59:$Z59,MIN(AJ$6-$E$3,22))&lt;&gt;""),Amendoim!$E59:INDEX(Amendoim!$E59:$Z59,MIN(AJ$6-$E$3,22))),0))-IF($G$2,0,IF((AJ$6-$G$3)&lt;1,0,IFERROR(LOOKUP(2,1/(Amendoim!$E59:INDEX(Amendoim!$E59:$Z59,MIN(AJ$6-$G$3,22))&lt;&gt;""),Amendoim!$E59:INDEX(Amendoim!$E59:$Z59,MIN(AJ$6-$G$3,22))),0)))))</f>
        <v>0</v>
      </c>
      <c r="AK61" s="27" t="n">
        <f aca="false">IF(COUNT(Amendoim!$E59:$Z59)=0,0,MAX(0,IF((AK$6-$E$3)&lt;1,0,IFERROR(LOOKUP(2,1/(Amendoim!$E59:INDEX(Amendoim!$E59:$Z59,MIN(AK$6-$E$3,22))&lt;&gt;""),Amendoim!$E59:INDEX(Amendoim!$E59:$Z59,MIN(AK$6-$E$3,22))),0))-IF($G$2,0,IF((AK$6-$G$3)&lt;1,0,IFERROR(LOOKUP(2,1/(Amendoim!$E59:INDEX(Amendoim!$E59:$Z59,MIN(AK$6-$G$3,22))&lt;&gt;""),Amendoim!$E59:INDEX(Amendoim!$E59:$Z59,MIN(AK$6-$G$3,22))),0)))))</f>
        <v>0</v>
      </c>
      <c r="AL61" s="27" t="n">
        <f aca="false">IF(COUNT(Amendoim!$E59:$Z59)=0,0,MAX(0,IF((AL$6-$E$3)&lt;1,0,IFERROR(LOOKUP(2,1/(Amendoim!$E59:INDEX(Amendoim!$E59:$Z59,MIN(AL$6-$E$3,22))&lt;&gt;""),Amendoim!$E59:INDEX(Amendoim!$E59:$Z59,MIN(AL$6-$E$3,22))),0))-IF($G$2,0,IF((AL$6-$G$3)&lt;1,0,IFERROR(LOOKUP(2,1/(Amendoim!$E59:INDEX(Amendoim!$E59:$Z59,MIN(AL$6-$G$3,22))&lt;&gt;""),Amendoim!$E59:INDEX(Amendoim!$E59:$Z59,MIN(AL$6-$G$3,22))),0)))))</f>
        <v>0</v>
      </c>
      <c r="AM61" s="27" t="n">
        <f aca="false">IF(COUNT(Amendoim!$E59:$Z59)=0,0,MAX(0,IF((AM$6-$E$3)&lt;1,0,IFERROR(LOOKUP(2,1/(Amendoim!$E59:INDEX(Amendoim!$E59:$Z59,MIN(AM$6-$E$3,22))&lt;&gt;""),Amendoim!$E59:INDEX(Amendoim!$E59:$Z59,MIN(AM$6-$E$3,22))),0))-IF($G$2,0,IF((AM$6-$G$3)&lt;1,0,IFERROR(LOOKUP(2,1/(Amendoim!$E59:INDEX(Amendoim!$E59:$Z59,MIN(AM$6-$G$3,22))&lt;&gt;""),Amendoim!$E59:INDEX(Amendoim!$E59:$Z59,MIN(AM$6-$G$3,22))),0)))))</f>
        <v>0</v>
      </c>
      <c r="AN61" s="27" t="n">
        <f aca="false">IF(COUNT(Amendoim!$E59:$Z59)=0,0,MAX(0,IF((AN$6-$E$3)&lt;1,0,IFERROR(LOOKUP(2,1/(Amendoim!$E59:INDEX(Amendoim!$E59:$Z59,MIN(AN$6-$E$3,22))&lt;&gt;""),Amendoim!$E59:INDEX(Amendoim!$E59:$Z59,MIN(AN$6-$E$3,22))),0))-IF($G$2,0,IF((AN$6-$G$3)&lt;1,0,IFERROR(LOOKUP(2,1/(Amendoim!$E59:INDEX(Amendoim!$E59:$Z59,MIN(AN$6-$G$3,22))&lt;&gt;""),Amendoim!$E59:INDEX(Amendoim!$E59:$Z59,MIN(AN$6-$G$3,22))),0)))))</f>
        <v>0</v>
      </c>
      <c r="AO61" s="27" t="n">
        <f aca="false">IF(COUNT(Amendoim!$E59:$Z59)=0,0,MAX(0,IF((AO$6-$E$3)&lt;1,0,IFERROR(LOOKUP(2,1/(Amendoim!$E59:INDEX(Amendoim!$E59:$Z59,MIN(AO$6-$E$3,22))&lt;&gt;""),Amendoim!$E59:INDEX(Amendoim!$E59:$Z59,MIN(AO$6-$E$3,22))),0))-IF($G$2,0,IF((AO$6-$G$3)&lt;1,0,IFERROR(LOOKUP(2,1/(Amendoim!$E59:INDEX(Amendoim!$E59:$Z59,MIN(AO$6-$G$3,22))&lt;&gt;""),Amendoim!$E59:INDEX(Amendoim!$E59:$Z59,MIN(AO$6-$G$3,22))),0)))))</f>
        <v>0</v>
      </c>
      <c r="AP61" s="27" t="n">
        <f aca="false">IF(COUNT(Amendoim!$E59:$Z59)=0,0,MAX(0,IF((AP$6-$E$3)&lt;1,0,IFERROR(LOOKUP(2,1/(Amendoim!$E59:INDEX(Amendoim!$E59:$Z59,MIN(AP$6-$E$3,22))&lt;&gt;""),Amendoim!$E59:INDEX(Amendoim!$E59:$Z59,MIN(AP$6-$E$3,22))),0))-IF($G$2,0,IF((AP$6-$G$3)&lt;1,0,IFERROR(LOOKUP(2,1/(Amendoim!$E59:INDEX(Amendoim!$E59:$Z59,MIN(AP$6-$G$3,22))&lt;&gt;""),Amendoim!$E59:INDEX(Amendoim!$E59:$Z59,MIN(AP$6-$G$3,22))),0)))))</f>
        <v>0</v>
      </c>
      <c r="AQ61" s="27" t="n">
        <f aca="false">IF(COUNT(Amendoim!$E59:$Z59)=0,0,MAX(0,IF((AQ$6-$E$3)&lt;1,0,IFERROR(LOOKUP(2,1/(Amendoim!$E59:INDEX(Amendoim!$E59:$Z59,MIN(AQ$6-$E$3,22))&lt;&gt;""),Amendoim!$E59:INDEX(Amendoim!$E59:$Z59,MIN(AQ$6-$E$3,22))),0))-IF($G$2,0,IF((AQ$6-$G$3)&lt;1,0,IFERROR(LOOKUP(2,1/(Amendoim!$E59:INDEX(Amendoim!$E59:$Z59,MIN(AQ$6-$G$3,22))&lt;&gt;""),Amendoim!$E59:INDEX(Amendoim!$E59:$Z59,MIN(AQ$6-$G$3,22))),0)))))</f>
        <v>0</v>
      </c>
      <c r="AR61" s="27" t="n">
        <f aca="false">IF(COUNT(Amendoim!$E59:$Z59)=0,0,MAX(0,IF((AR$6-$E$3)&lt;1,0,IFERROR(LOOKUP(2,1/(Amendoim!$E59:INDEX(Amendoim!$E59:$Z59,MIN(AR$6-$E$3,22))&lt;&gt;""),Amendoim!$E59:INDEX(Amendoim!$E59:$Z59,MIN(AR$6-$E$3,22))),0))-IF($G$2,0,IF((AR$6-$G$3)&lt;1,0,IFERROR(LOOKUP(2,1/(Amendoim!$E59:INDEX(Amendoim!$E59:$Z59,MIN(AR$6-$G$3,22))&lt;&gt;""),Amendoim!$E59:INDEX(Amendoim!$E59:$Z59,MIN(AR$6-$G$3,22))),0)))))</f>
        <v>0</v>
      </c>
      <c r="AS61" s="27" t="n">
        <f aca="false">IF(COUNT(Amendoim!$E59:$Z59)=0,0,MAX(0,IF((AS$6-$E$3)&lt;1,0,IFERROR(LOOKUP(2,1/(Amendoim!$E59:INDEX(Amendoim!$E59:$Z59,MIN(AS$6-$E$3,22))&lt;&gt;""),Amendoim!$E59:INDEX(Amendoim!$E59:$Z59,MIN(AS$6-$E$3,22))),0))-IF($G$2,0,IF((AS$6-$G$3)&lt;1,0,IFERROR(LOOKUP(2,1/(Amendoim!$E59:INDEX(Amendoim!$E59:$Z59,MIN(AS$6-$G$3,22))&lt;&gt;""),Amendoim!$E59:INDEX(Amendoim!$E59:$Z59,MIN(AS$6-$G$3,22))),0)))))</f>
        <v>0</v>
      </c>
      <c r="AT61" s="27" t="n">
        <f aca="false">IF(COUNT(Amendoim!$E59:$Z59)=0,0,MAX(0,IF((AT$6-$E$3)&lt;1,0,IFERROR(LOOKUP(2,1/(Amendoim!$E59:INDEX(Amendoim!$E59:$Z59,MIN(AT$6-$E$3,22))&lt;&gt;""),Amendoim!$E59:INDEX(Amendoim!$E59:$Z59,MIN(AT$6-$E$3,22))),0))-IF($G$2,0,IF((AT$6-$G$3)&lt;1,0,IFERROR(LOOKUP(2,1/(Amendoim!$E59:INDEX(Amendoim!$E59:$Z59,MIN(AT$6-$G$3,22))&lt;&gt;""),Amendoim!$E59:INDEX(Amendoim!$E59:$Z59,MIN(AT$6-$G$3,22))),0)))))</f>
        <v>0</v>
      </c>
      <c r="AU61" s="27" t="n">
        <f aca="false">IF(COUNT(Amendoim!$E59:$Z59)=0,0,MAX(0,IF((AU$6-$E$3)&lt;1,0,IFERROR(LOOKUP(2,1/(Amendoim!$E59:INDEX(Amendoim!$E59:$Z59,MIN(AU$6-$E$3,22))&lt;&gt;""),Amendoim!$E59:INDEX(Amendoim!$E59:$Z59,MIN(AU$6-$E$3,22))),0))-IF($G$2,0,IF((AU$6-$G$3)&lt;1,0,IFERROR(LOOKUP(2,1/(Amendoim!$E59:INDEX(Amendoim!$E59:$Z59,MIN(AU$6-$G$3,22))&lt;&gt;""),Amendoim!$E59:INDEX(Amendoim!$E59:$Z59,MIN(AU$6-$G$3,22))),0)))))</f>
        <v>0</v>
      </c>
      <c r="AV61" s="27" t="n">
        <f aca="false">IF(COUNT(Amendoim!$E59:$Z59)=0,0,MAX(0,IF((AV$6-$E$3)&lt;1,0,IFERROR(LOOKUP(2,1/(Amendoim!$E59:INDEX(Amendoim!$E59:$Z59,MIN(AV$6-$E$3,22))&lt;&gt;""),Amendoim!$E59:INDEX(Amendoim!$E59:$Z59,MIN(AV$6-$E$3,22))),0))-IF($G$2,0,IF((AV$6-$G$3)&lt;1,0,IFERROR(LOOKUP(2,1/(Amendoim!$E59:INDEX(Amendoim!$E59:$Z59,MIN(AV$6-$G$3,22))&lt;&gt;""),Amendoim!$E59:INDEX(Amendoim!$E59:$Z59,MIN(AV$6-$G$3,22))),0)))))</f>
        <v>0</v>
      </c>
      <c r="AW61" s="27" t="n">
        <f aca="false">IF(COUNT(Amendoim!$E59:$Z59)=0,0,MAX(0,IF((AW$6-$E$3)&lt;1,0,IFERROR(LOOKUP(2,1/(Amendoim!$E59:INDEX(Amendoim!$E59:$Z59,MIN(AW$6-$E$3,22))&lt;&gt;""),Amendoim!$E59:INDEX(Amendoim!$E59:$Z59,MIN(AW$6-$E$3,22))),0))-IF($G$2,0,IF((AW$6-$G$3)&lt;1,0,IFERROR(LOOKUP(2,1/(Amendoim!$E59:INDEX(Amendoim!$E59:$Z59,MIN(AW$6-$G$3,22))&lt;&gt;""),Amendoim!$E59:INDEX(Amendoim!$E59:$Z59,MIN(AW$6-$G$3,22))),0)))))</f>
        <v>0</v>
      </c>
      <c r="AX61" s="27" t="n">
        <f aca="false">IF(COUNT(Amendoim!$E59:$Z59)=0,0,MAX(0,IF((AX$6-$E$3)&lt;1,0,IFERROR(LOOKUP(2,1/(Amendoim!$E59:INDEX(Amendoim!$E59:$Z59,MIN(AX$6-$E$3,22))&lt;&gt;""),Amendoim!$E59:INDEX(Amendoim!$E59:$Z59,MIN(AX$6-$E$3,22))),0))-IF($G$2,0,IF((AX$6-$G$3)&lt;1,0,IFERROR(LOOKUP(2,1/(Amendoim!$E59:INDEX(Amendoim!$E59:$Z59,MIN(AX$6-$G$3,22))&lt;&gt;""),Amendoim!$E59:INDEX(Amendoim!$E59:$Z59,MIN(AX$6-$G$3,22))),0)))))</f>
        <v>0</v>
      </c>
      <c r="AY61" s="27" t="n">
        <f aca="false">IF(COUNT(Amendoim!$E59:$Z59)=0,0,MAX(0,IF((AY$6-$E$3)&lt;1,0,IFERROR(LOOKUP(2,1/(Amendoim!$E59:INDEX(Amendoim!$E59:$Z59,MIN(AY$6-$E$3,22))&lt;&gt;""),Amendoim!$E59:INDEX(Amendoim!$E59:$Z59,MIN(AY$6-$E$3,22))),0))-IF($G$2,0,IF((AY$6-$G$3)&lt;1,0,IFERROR(LOOKUP(2,1/(Amendoim!$E59:INDEX(Amendoim!$E59:$Z59,MIN(AY$6-$G$3,22))&lt;&gt;""),Amendoim!$E59:INDEX(Amendoim!$E59:$Z59,MIN(AY$6-$G$3,22))),0)))))</f>
        <v>0</v>
      </c>
      <c r="AZ61" s="27" t="n">
        <f aca="false">IF(COUNT(Amendoim!$E59:$Z59)=0,0,MAX(0,IF((AZ$6-$E$3)&lt;1,0,IFERROR(LOOKUP(2,1/(Amendoim!$E59:INDEX(Amendoim!$E59:$Z59,MIN(AZ$6-$E$3,22))&lt;&gt;""),Amendoim!$E59:INDEX(Amendoim!$E59:$Z59,MIN(AZ$6-$E$3,22))),0))-IF($G$2,0,IF((AZ$6-$G$3)&lt;1,0,IFERROR(LOOKUP(2,1/(Amendoim!$E59:INDEX(Amendoim!$E59:$Z59,MIN(AZ$6-$G$3,22))&lt;&gt;""),Amendoim!$E59:INDEX(Amendoim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IF(COUNT(Amendoim!$E60:$Z60)&gt;0,N(Amendoim!$D60),0)</f>
        <v>0</v>
      </c>
      <c r="E62" s="27" t="n">
        <f aca="false">IF(COUNT(Amendoim!$E60:$Z60)=0,0,MAX(0,IF((E$6-$E$3)&lt;1,0,IFERROR(LOOKUP(2,1/(Amendoim!$E60:INDEX(Amendoim!$E60:$Z60,MIN(E$6-$E$3,22))&lt;&gt;""),Amendoim!$E60:INDEX(Amendoim!$E60:$Z60,MIN(E$6-$E$3,22))),0))-IF($G$2,0,IF((E$6-$G$3)&lt;1,0,IFERROR(LOOKUP(2,1/(Amendoim!$E60:INDEX(Amendoim!$E60:$Z60,MIN(E$6-$G$3,22))&lt;&gt;""),Amendoim!$E60:INDEX(Amendoim!$E60:$Z60,MIN(E$6-$G$3,22))),0)))))</f>
        <v>0</v>
      </c>
      <c r="F62" s="27" t="n">
        <f aca="false">IF(COUNT(Amendoim!$E60:$Z60)=0,0,MAX(0,IF((F$6-$E$3)&lt;1,0,IFERROR(LOOKUP(2,1/(Amendoim!$E60:INDEX(Amendoim!$E60:$Z60,MIN(F$6-$E$3,22))&lt;&gt;""),Amendoim!$E60:INDEX(Amendoim!$E60:$Z60,MIN(F$6-$E$3,22))),0))-IF($G$2,0,IF((F$6-$G$3)&lt;1,0,IFERROR(LOOKUP(2,1/(Amendoim!$E60:INDEX(Amendoim!$E60:$Z60,MIN(F$6-$G$3,22))&lt;&gt;""),Amendoim!$E60:INDEX(Amendoim!$E60:$Z60,MIN(F$6-$G$3,22))),0)))))</f>
        <v>0</v>
      </c>
      <c r="G62" s="27" t="n">
        <f aca="false">IF(COUNT(Amendoim!$E60:$Z60)=0,0,MAX(0,IF((G$6-$E$3)&lt;1,0,IFERROR(LOOKUP(2,1/(Amendoim!$E60:INDEX(Amendoim!$E60:$Z60,MIN(G$6-$E$3,22))&lt;&gt;""),Amendoim!$E60:INDEX(Amendoim!$E60:$Z60,MIN(G$6-$E$3,22))),0))-IF($G$2,0,IF((G$6-$G$3)&lt;1,0,IFERROR(LOOKUP(2,1/(Amendoim!$E60:INDEX(Amendoim!$E60:$Z60,MIN(G$6-$G$3,22))&lt;&gt;""),Amendoim!$E60:INDEX(Amendoim!$E60:$Z60,MIN(G$6-$G$3,22))),0)))))</f>
        <v>0</v>
      </c>
      <c r="H62" s="27" t="n">
        <f aca="false">IF(COUNT(Amendoim!$E60:$Z60)=0,0,MAX(0,IF((H$6-$E$3)&lt;1,0,IFERROR(LOOKUP(2,1/(Amendoim!$E60:INDEX(Amendoim!$E60:$Z60,MIN(H$6-$E$3,22))&lt;&gt;""),Amendoim!$E60:INDEX(Amendoim!$E60:$Z60,MIN(H$6-$E$3,22))),0))-IF($G$2,0,IF((H$6-$G$3)&lt;1,0,IFERROR(LOOKUP(2,1/(Amendoim!$E60:INDEX(Amendoim!$E60:$Z60,MIN(H$6-$G$3,22))&lt;&gt;""),Amendoim!$E60:INDEX(Amendoim!$E60:$Z60,MIN(H$6-$G$3,22))),0)))))</f>
        <v>0</v>
      </c>
      <c r="I62" s="27" t="n">
        <f aca="false">IF(COUNT(Amendoim!$E60:$Z60)=0,0,MAX(0,IF((I$6-$E$3)&lt;1,0,IFERROR(LOOKUP(2,1/(Amendoim!$E60:INDEX(Amendoim!$E60:$Z60,MIN(I$6-$E$3,22))&lt;&gt;""),Amendoim!$E60:INDEX(Amendoim!$E60:$Z60,MIN(I$6-$E$3,22))),0))-IF($G$2,0,IF((I$6-$G$3)&lt;1,0,IFERROR(LOOKUP(2,1/(Amendoim!$E60:INDEX(Amendoim!$E60:$Z60,MIN(I$6-$G$3,22))&lt;&gt;""),Amendoim!$E60:INDEX(Amendoim!$E60:$Z60,MIN(I$6-$G$3,22))),0)))))</f>
        <v>0</v>
      </c>
      <c r="J62" s="27" t="n">
        <f aca="false">IF(COUNT(Amendoim!$E60:$Z60)=0,0,MAX(0,IF((J$6-$E$3)&lt;1,0,IFERROR(LOOKUP(2,1/(Amendoim!$E60:INDEX(Amendoim!$E60:$Z60,MIN(J$6-$E$3,22))&lt;&gt;""),Amendoim!$E60:INDEX(Amendoim!$E60:$Z60,MIN(J$6-$E$3,22))),0))-IF($G$2,0,IF((J$6-$G$3)&lt;1,0,IFERROR(LOOKUP(2,1/(Amendoim!$E60:INDEX(Amendoim!$E60:$Z60,MIN(J$6-$G$3,22))&lt;&gt;""),Amendoim!$E60:INDEX(Amendoim!$E60:$Z60,MIN(J$6-$G$3,22))),0)))))</f>
        <v>0</v>
      </c>
      <c r="K62" s="27" t="n">
        <f aca="false">IF(COUNT(Amendoim!$E60:$Z60)=0,0,MAX(0,IF((K$6-$E$3)&lt;1,0,IFERROR(LOOKUP(2,1/(Amendoim!$E60:INDEX(Amendoim!$E60:$Z60,MIN(K$6-$E$3,22))&lt;&gt;""),Amendoim!$E60:INDEX(Amendoim!$E60:$Z60,MIN(K$6-$E$3,22))),0))-IF($G$2,0,IF((K$6-$G$3)&lt;1,0,IFERROR(LOOKUP(2,1/(Amendoim!$E60:INDEX(Amendoim!$E60:$Z60,MIN(K$6-$G$3,22))&lt;&gt;""),Amendoim!$E60:INDEX(Amendoim!$E60:$Z60,MIN(K$6-$G$3,22))),0)))))</f>
        <v>0</v>
      </c>
      <c r="L62" s="27" t="n">
        <f aca="false">IF(COUNT(Amendoim!$E60:$Z60)=0,0,MAX(0,IF((L$6-$E$3)&lt;1,0,IFERROR(LOOKUP(2,1/(Amendoim!$E60:INDEX(Amendoim!$E60:$Z60,MIN(L$6-$E$3,22))&lt;&gt;""),Amendoim!$E60:INDEX(Amendoim!$E60:$Z60,MIN(L$6-$E$3,22))),0))-IF($G$2,0,IF((L$6-$G$3)&lt;1,0,IFERROR(LOOKUP(2,1/(Amendoim!$E60:INDEX(Amendoim!$E60:$Z60,MIN(L$6-$G$3,22))&lt;&gt;""),Amendoim!$E60:INDEX(Amendoim!$E60:$Z60,MIN(L$6-$G$3,22))),0)))))</f>
        <v>0</v>
      </c>
      <c r="M62" s="27" t="n">
        <f aca="false">IF(COUNT(Amendoim!$E60:$Z60)=0,0,MAX(0,IF((M$6-$E$3)&lt;1,0,IFERROR(LOOKUP(2,1/(Amendoim!$E60:INDEX(Amendoim!$E60:$Z60,MIN(M$6-$E$3,22))&lt;&gt;""),Amendoim!$E60:INDEX(Amendoim!$E60:$Z60,MIN(M$6-$E$3,22))),0))-IF($G$2,0,IF((M$6-$G$3)&lt;1,0,IFERROR(LOOKUP(2,1/(Amendoim!$E60:INDEX(Amendoim!$E60:$Z60,MIN(M$6-$G$3,22))&lt;&gt;""),Amendoim!$E60:INDEX(Amendoim!$E60:$Z60,MIN(M$6-$G$3,22))),0)))))</f>
        <v>0</v>
      </c>
      <c r="N62" s="27" t="n">
        <f aca="false">IF(COUNT(Amendoim!$E60:$Z60)=0,0,MAX(0,IF((N$6-$E$3)&lt;1,0,IFERROR(LOOKUP(2,1/(Amendoim!$E60:INDEX(Amendoim!$E60:$Z60,MIN(N$6-$E$3,22))&lt;&gt;""),Amendoim!$E60:INDEX(Amendoim!$E60:$Z60,MIN(N$6-$E$3,22))),0))-IF($G$2,0,IF((N$6-$G$3)&lt;1,0,IFERROR(LOOKUP(2,1/(Amendoim!$E60:INDEX(Amendoim!$E60:$Z60,MIN(N$6-$G$3,22))&lt;&gt;""),Amendoim!$E60:INDEX(Amendoim!$E60:$Z60,MIN(N$6-$G$3,22))),0)))))</f>
        <v>0</v>
      </c>
      <c r="O62" s="27" t="n">
        <f aca="false">IF(COUNT(Amendoim!$E60:$Z60)=0,0,MAX(0,IF((O$6-$E$3)&lt;1,0,IFERROR(LOOKUP(2,1/(Amendoim!$E60:INDEX(Amendoim!$E60:$Z60,MIN(O$6-$E$3,22))&lt;&gt;""),Amendoim!$E60:INDEX(Amendoim!$E60:$Z60,MIN(O$6-$E$3,22))),0))-IF($G$2,0,IF((O$6-$G$3)&lt;1,0,IFERROR(LOOKUP(2,1/(Amendoim!$E60:INDEX(Amendoim!$E60:$Z60,MIN(O$6-$G$3,22))&lt;&gt;""),Amendoim!$E60:INDEX(Amendoim!$E60:$Z60,MIN(O$6-$G$3,22))),0)))))</f>
        <v>0</v>
      </c>
      <c r="P62" s="27" t="n">
        <f aca="false">IF(COUNT(Amendoim!$E60:$Z60)=0,0,MAX(0,IF((P$6-$E$3)&lt;1,0,IFERROR(LOOKUP(2,1/(Amendoim!$E60:INDEX(Amendoim!$E60:$Z60,MIN(P$6-$E$3,22))&lt;&gt;""),Amendoim!$E60:INDEX(Amendoim!$E60:$Z60,MIN(P$6-$E$3,22))),0))-IF($G$2,0,IF((P$6-$G$3)&lt;1,0,IFERROR(LOOKUP(2,1/(Amendoim!$E60:INDEX(Amendoim!$E60:$Z60,MIN(P$6-$G$3,22))&lt;&gt;""),Amendoim!$E60:INDEX(Amendoim!$E60:$Z60,MIN(P$6-$G$3,22))),0)))))</f>
        <v>0</v>
      </c>
      <c r="Q62" s="27" t="n">
        <f aca="false">IF(COUNT(Amendoim!$E60:$Z60)=0,0,MAX(0,IF((Q$6-$E$3)&lt;1,0,IFERROR(LOOKUP(2,1/(Amendoim!$E60:INDEX(Amendoim!$E60:$Z60,MIN(Q$6-$E$3,22))&lt;&gt;""),Amendoim!$E60:INDEX(Amendoim!$E60:$Z60,MIN(Q$6-$E$3,22))),0))-IF($G$2,0,IF((Q$6-$G$3)&lt;1,0,IFERROR(LOOKUP(2,1/(Amendoim!$E60:INDEX(Amendoim!$E60:$Z60,MIN(Q$6-$G$3,22))&lt;&gt;""),Amendoim!$E60:INDEX(Amendoim!$E60:$Z60,MIN(Q$6-$G$3,22))),0)))))</f>
        <v>0</v>
      </c>
      <c r="R62" s="27" t="n">
        <f aca="false">IF(COUNT(Amendoim!$E60:$Z60)=0,0,MAX(0,IF((R$6-$E$3)&lt;1,0,IFERROR(LOOKUP(2,1/(Amendoim!$E60:INDEX(Amendoim!$E60:$Z60,MIN(R$6-$E$3,22))&lt;&gt;""),Amendoim!$E60:INDEX(Amendoim!$E60:$Z60,MIN(R$6-$E$3,22))),0))-IF($G$2,0,IF((R$6-$G$3)&lt;1,0,IFERROR(LOOKUP(2,1/(Amendoim!$E60:INDEX(Amendoim!$E60:$Z60,MIN(R$6-$G$3,22))&lt;&gt;""),Amendoim!$E60:INDEX(Amendoim!$E60:$Z60,MIN(R$6-$G$3,22))),0)))))</f>
        <v>0</v>
      </c>
      <c r="S62" s="27" t="n">
        <f aca="false">IF(COUNT(Amendoim!$E60:$Z60)=0,0,MAX(0,IF((S$6-$E$3)&lt;1,0,IFERROR(LOOKUP(2,1/(Amendoim!$E60:INDEX(Amendoim!$E60:$Z60,MIN(S$6-$E$3,22))&lt;&gt;""),Amendoim!$E60:INDEX(Amendoim!$E60:$Z60,MIN(S$6-$E$3,22))),0))-IF($G$2,0,IF((S$6-$G$3)&lt;1,0,IFERROR(LOOKUP(2,1/(Amendoim!$E60:INDEX(Amendoim!$E60:$Z60,MIN(S$6-$G$3,22))&lt;&gt;""),Amendoim!$E60:INDEX(Amendoim!$E60:$Z60,MIN(S$6-$G$3,22))),0)))))</f>
        <v>0</v>
      </c>
      <c r="T62" s="27" t="n">
        <f aca="false">IF(COUNT(Amendoim!$E60:$Z60)=0,0,MAX(0,IF((T$6-$E$3)&lt;1,0,IFERROR(LOOKUP(2,1/(Amendoim!$E60:INDEX(Amendoim!$E60:$Z60,MIN(T$6-$E$3,22))&lt;&gt;""),Amendoim!$E60:INDEX(Amendoim!$E60:$Z60,MIN(T$6-$E$3,22))),0))-IF($G$2,0,IF((T$6-$G$3)&lt;1,0,IFERROR(LOOKUP(2,1/(Amendoim!$E60:INDEX(Amendoim!$E60:$Z60,MIN(T$6-$G$3,22))&lt;&gt;""),Amendoim!$E60:INDEX(Amendoim!$E60:$Z60,MIN(T$6-$G$3,22))),0)))))</f>
        <v>0</v>
      </c>
      <c r="U62" s="27" t="n">
        <f aca="false">IF(COUNT(Amendoim!$E60:$Z60)=0,0,MAX(0,IF((U$6-$E$3)&lt;1,0,IFERROR(LOOKUP(2,1/(Amendoim!$E60:INDEX(Amendoim!$E60:$Z60,MIN(U$6-$E$3,22))&lt;&gt;""),Amendoim!$E60:INDEX(Amendoim!$E60:$Z60,MIN(U$6-$E$3,22))),0))-IF($G$2,0,IF((U$6-$G$3)&lt;1,0,IFERROR(LOOKUP(2,1/(Amendoim!$E60:INDEX(Amendoim!$E60:$Z60,MIN(U$6-$G$3,22))&lt;&gt;""),Amendoim!$E60:INDEX(Amendoim!$E60:$Z60,MIN(U$6-$G$3,22))),0)))))</f>
        <v>0</v>
      </c>
      <c r="V62" s="27" t="n">
        <f aca="false">IF(COUNT(Amendoim!$E60:$Z60)=0,0,MAX(0,IF((V$6-$E$3)&lt;1,0,IFERROR(LOOKUP(2,1/(Amendoim!$E60:INDEX(Amendoim!$E60:$Z60,MIN(V$6-$E$3,22))&lt;&gt;""),Amendoim!$E60:INDEX(Amendoim!$E60:$Z60,MIN(V$6-$E$3,22))),0))-IF($G$2,0,IF((V$6-$G$3)&lt;1,0,IFERROR(LOOKUP(2,1/(Amendoim!$E60:INDEX(Amendoim!$E60:$Z60,MIN(V$6-$G$3,22))&lt;&gt;""),Amendoim!$E60:INDEX(Amendoim!$E60:$Z60,MIN(V$6-$G$3,22))),0)))))</f>
        <v>0</v>
      </c>
      <c r="W62" s="27" t="n">
        <f aca="false">IF(COUNT(Amendoim!$E60:$Z60)=0,0,MAX(0,IF((W$6-$E$3)&lt;1,0,IFERROR(LOOKUP(2,1/(Amendoim!$E60:INDEX(Amendoim!$E60:$Z60,MIN(W$6-$E$3,22))&lt;&gt;""),Amendoim!$E60:INDEX(Amendoim!$E60:$Z60,MIN(W$6-$E$3,22))),0))-IF($G$2,0,IF((W$6-$G$3)&lt;1,0,IFERROR(LOOKUP(2,1/(Amendoim!$E60:INDEX(Amendoim!$E60:$Z60,MIN(W$6-$G$3,22))&lt;&gt;""),Amendoim!$E60:INDEX(Amendoim!$E60:$Z60,MIN(W$6-$G$3,22))),0)))))</f>
        <v>0</v>
      </c>
      <c r="X62" s="27" t="n">
        <f aca="false">IF(COUNT(Amendoim!$E60:$Z60)=0,0,MAX(0,IF((X$6-$E$3)&lt;1,0,IFERROR(LOOKUP(2,1/(Amendoim!$E60:INDEX(Amendoim!$E60:$Z60,MIN(X$6-$E$3,22))&lt;&gt;""),Amendoim!$E60:INDEX(Amendoim!$E60:$Z60,MIN(X$6-$E$3,22))),0))-IF($G$2,0,IF((X$6-$G$3)&lt;1,0,IFERROR(LOOKUP(2,1/(Amendoim!$E60:INDEX(Amendoim!$E60:$Z60,MIN(X$6-$G$3,22))&lt;&gt;""),Amendoim!$E60:INDEX(Amendoim!$E60:$Z60,MIN(X$6-$G$3,22))),0)))))</f>
        <v>0</v>
      </c>
      <c r="Y62" s="27" t="n">
        <f aca="false">IF(COUNT(Amendoim!$E60:$Z60)=0,0,MAX(0,IF((Y$6-$E$3)&lt;1,0,IFERROR(LOOKUP(2,1/(Amendoim!$E60:INDEX(Amendoim!$E60:$Z60,MIN(Y$6-$E$3,22))&lt;&gt;""),Amendoim!$E60:INDEX(Amendoim!$E60:$Z60,MIN(Y$6-$E$3,22))),0))-IF($G$2,0,IF((Y$6-$G$3)&lt;1,0,IFERROR(LOOKUP(2,1/(Amendoim!$E60:INDEX(Amendoim!$E60:$Z60,MIN(Y$6-$G$3,22))&lt;&gt;""),Amendoim!$E60:INDEX(Amendoim!$E60:$Z60,MIN(Y$6-$G$3,22))),0)))))</f>
        <v>0</v>
      </c>
      <c r="Z62" s="27" t="n">
        <f aca="false">IF(COUNT(Amendoim!$E60:$Z60)=0,0,MAX(0,IF((Z$6-$E$3)&lt;1,0,IFERROR(LOOKUP(2,1/(Amendoim!$E60:INDEX(Amendoim!$E60:$Z60,MIN(Z$6-$E$3,22))&lt;&gt;""),Amendoim!$E60:INDEX(Amendoim!$E60:$Z60,MIN(Z$6-$E$3,22))),0))-IF($G$2,0,IF((Z$6-$G$3)&lt;1,0,IFERROR(LOOKUP(2,1/(Amendoim!$E60:INDEX(Amendoim!$E60:$Z60,MIN(Z$6-$G$3,22))&lt;&gt;""),Amendoim!$E60:INDEX(Amendoim!$E60:$Z60,MIN(Z$6-$G$3,22))),0)))))</f>
        <v>0</v>
      </c>
      <c r="AA62" s="27" t="n">
        <f aca="false">IF(COUNT(Amendoim!$E60:$Z60)=0,0,MAX(0,IF((AA$6-$E$3)&lt;1,0,IFERROR(LOOKUP(2,1/(Amendoim!$E60:INDEX(Amendoim!$E60:$Z60,MIN(AA$6-$E$3,22))&lt;&gt;""),Amendoim!$E60:INDEX(Amendoim!$E60:$Z60,MIN(AA$6-$E$3,22))),0))-IF($G$2,0,IF((AA$6-$G$3)&lt;1,0,IFERROR(LOOKUP(2,1/(Amendoim!$E60:INDEX(Amendoim!$E60:$Z60,MIN(AA$6-$G$3,22))&lt;&gt;""),Amendoim!$E60:INDEX(Amendoim!$E60:$Z60,MIN(AA$6-$G$3,22))),0)))))</f>
        <v>0</v>
      </c>
      <c r="AB62" s="27" t="n">
        <f aca="false">IF(COUNT(Amendoim!$E60:$Z60)=0,0,MAX(0,IF((AB$6-$E$3)&lt;1,0,IFERROR(LOOKUP(2,1/(Amendoim!$E60:INDEX(Amendoim!$E60:$Z60,MIN(AB$6-$E$3,22))&lt;&gt;""),Amendoim!$E60:INDEX(Amendoim!$E60:$Z60,MIN(AB$6-$E$3,22))),0))-IF($G$2,0,IF((AB$6-$G$3)&lt;1,0,IFERROR(LOOKUP(2,1/(Amendoim!$E60:INDEX(Amendoim!$E60:$Z60,MIN(AB$6-$G$3,22))&lt;&gt;""),Amendoim!$E60:INDEX(Amendoim!$E60:$Z60,MIN(AB$6-$G$3,22))),0)))))</f>
        <v>0</v>
      </c>
      <c r="AC62" s="27" t="n">
        <f aca="false">IF(COUNT(Amendoim!$E60:$Z60)=0,0,MAX(0,IF((AC$6-$E$3)&lt;1,0,IFERROR(LOOKUP(2,1/(Amendoim!$E60:INDEX(Amendoim!$E60:$Z60,MIN(AC$6-$E$3,22))&lt;&gt;""),Amendoim!$E60:INDEX(Amendoim!$E60:$Z60,MIN(AC$6-$E$3,22))),0))-IF($G$2,0,IF((AC$6-$G$3)&lt;1,0,IFERROR(LOOKUP(2,1/(Amendoim!$E60:INDEX(Amendoim!$E60:$Z60,MIN(AC$6-$G$3,22))&lt;&gt;""),Amendoim!$E60:INDEX(Amendoim!$E60:$Z60,MIN(AC$6-$G$3,22))),0)))))</f>
        <v>0</v>
      </c>
      <c r="AD62" s="27" t="n">
        <f aca="false">IF(COUNT(Amendoim!$E60:$Z60)=0,0,MAX(0,IF((AD$6-$E$3)&lt;1,0,IFERROR(LOOKUP(2,1/(Amendoim!$E60:INDEX(Amendoim!$E60:$Z60,MIN(AD$6-$E$3,22))&lt;&gt;""),Amendoim!$E60:INDEX(Amendoim!$E60:$Z60,MIN(AD$6-$E$3,22))),0))-IF($G$2,0,IF((AD$6-$G$3)&lt;1,0,IFERROR(LOOKUP(2,1/(Amendoim!$E60:INDEX(Amendoim!$E60:$Z60,MIN(AD$6-$G$3,22))&lt;&gt;""),Amendoim!$E60:INDEX(Amendoim!$E60:$Z60,MIN(AD$6-$G$3,22))),0)))))</f>
        <v>0</v>
      </c>
      <c r="AE62" s="27" t="n">
        <f aca="false">IF(COUNT(Amendoim!$E60:$Z60)=0,0,MAX(0,IF((AE$6-$E$3)&lt;1,0,IFERROR(LOOKUP(2,1/(Amendoim!$E60:INDEX(Amendoim!$E60:$Z60,MIN(AE$6-$E$3,22))&lt;&gt;""),Amendoim!$E60:INDEX(Amendoim!$E60:$Z60,MIN(AE$6-$E$3,22))),0))-IF($G$2,0,IF((AE$6-$G$3)&lt;1,0,IFERROR(LOOKUP(2,1/(Amendoim!$E60:INDEX(Amendoim!$E60:$Z60,MIN(AE$6-$G$3,22))&lt;&gt;""),Amendoim!$E60:INDEX(Amendoim!$E60:$Z60,MIN(AE$6-$G$3,22))),0)))))</f>
        <v>0</v>
      </c>
      <c r="AF62" s="27" t="n">
        <f aca="false">IF(COUNT(Amendoim!$E60:$Z60)=0,0,MAX(0,IF((AF$6-$E$3)&lt;1,0,IFERROR(LOOKUP(2,1/(Amendoim!$E60:INDEX(Amendoim!$E60:$Z60,MIN(AF$6-$E$3,22))&lt;&gt;""),Amendoim!$E60:INDEX(Amendoim!$E60:$Z60,MIN(AF$6-$E$3,22))),0))-IF($G$2,0,IF((AF$6-$G$3)&lt;1,0,IFERROR(LOOKUP(2,1/(Amendoim!$E60:INDEX(Amendoim!$E60:$Z60,MIN(AF$6-$G$3,22))&lt;&gt;""),Amendoim!$E60:INDEX(Amendoim!$E60:$Z60,MIN(AF$6-$G$3,22))),0)))))</f>
        <v>0</v>
      </c>
      <c r="AG62" s="27" t="n">
        <f aca="false">IF(COUNT(Amendoim!$E60:$Z60)=0,0,MAX(0,IF((AG$6-$E$3)&lt;1,0,IFERROR(LOOKUP(2,1/(Amendoim!$E60:INDEX(Amendoim!$E60:$Z60,MIN(AG$6-$E$3,22))&lt;&gt;""),Amendoim!$E60:INDEX(Amendoim!$E60:$Z60,MIN(AG$6-$E$3,22))),0))-IF($G$2,0,IF((AG$6-$G$3)&lt;1,0,IFERROR(LOOKUP(2,1/(Amendoim!$E60:INDEX(Amendoim!$E60:$Z60,MIN(AG$6-$G$3,22))&lt;&gt;""),Amendoim!$E60:INDEX(Amendoim!$E60:$Z60,MIN(AG$6-$G$3,22))),0)))))</f>
        <v>0</v>
      </c>
      <c r="AH62" s="27" t="n">
        <f aca="false">IF(COUNT(Amendoim!$E60:$Z60)=0,0,MAX(0,IF((AH$6-$E$3)&lt;1,0,IFERROR(LOOKUP(2,1/(Amendoim!$E60:INDEX(Amendoim!$E60:$Z60,MIN(AH$6-$E$3,22))&lt;&gt;""),Amendoim!$E60:INDEX(Amendoim!$E60:$Z60,MIN(AH$6-$E$3,22))),0))-IF($G$2,0,IF((AH$6-$G$3)&lt;1,0,IFERROR(LOOKUP(2,1/(Amendoim!$E60:INDEX(Amendoim!$E60:$Z60,MIN(AH$6-$G$3,22))&lt;&gt;""),Amendoim!$E60:INDEX(Amendoim!$E60:$Z60,MIN(AH$6-$G$3,22))),0)))))</f>
        <v>0</v>
      </c>
      <c r="AI62" s="27" t="n">
        <f aca="false">IF(COUNT(Amendoim!$E60:$Z60)=0,0,MAX(0,IF((AI$6-$E$3)&lt;1,0,IFERROR(LOOKUP(2,1/(Amendoim!$E60:INDEX(Amendoim!$E60:$Z60,MIN(AI$6-$E$3,22))&lt;&gt;""),Amendoim!$E60:INDEX(Amendoim!$E60:$Z60,MIN(AI$6-$E$3,22))),0))-IF($G$2,0,IF((AI$6-$G$3)&lt;1,0,IFERROR(LOOKUP(2,1/(Amendoim!$E60:INDEX(Amendoim!$E60:$Z60,MIN(AI$6-$G$3,22))&lt;&gt;""),Amendoim!$E60:INDEX(Amendoim!$E60:$Z60,MIN(AI$6-$G$3,22))),0)))))</f>
        <v>0</v>
      </c>
      <c r="AJ62" s="27" t="n">
        <f aca="false">IF(COUNT(Amendoim!$E60:$Z60)=0,0,MAX(0,IF((AJ$6-$E$3)&lt;1,0,IFERROR(LOOKUP(2,1/(Amendoim!$E60:INDEX(Amendoim!$E60:$Z60,MIN(AJ$6-$E$3,22))&lt;&gt;""),Amendoim!$E60:INDEX(Amendoim!$E60:$Z60,MIN(AJ$6-$E$3,22))),0))-IF($G$2,0,IF((AJ$6-$G$3)&lt;1,0,IFERROR(LOOKUP(2,1/(Amendoim!$E60:INDEX(Amendoim!$E60:$Z60,MIN(AJ$6-$G$3,22))&lt;&gt;""),Amendoim!$E60:INDEX(Amendoim!$E60:$Z60,MIN(AJ$6-$G$3,22))),0)))))</f>
        <v>0</v>
      </c>
      <c r="AK62" s="27" t="n">
        <f aca="false">IF(COUNT(Amendoim!$E60:$Z60)=0,0,MAX(0,IF((AK$6-$E$3)&lt;1,0,IFERROR(LOOKUP(2,1/(Amendoim!$E60:INDEX(Amendoim!$E60:$Z60,MIN(AK$6-$E$3,22))&lt;&gt;""),Amendoim!$E60:INDEX(Amendoim!$E60:$Z60,MIN(AK$6-$E$3,22))),0))-IF($G$2,0,IF((AK$6-$G$3)&lt;1,0,IFERROR(LOOKUP(2,1/(Amendoim!$E60:INDEX(Amendoim!$E60:$Z60,MIN(AK$6-$G$3,22))&lt;&gt;""),Amendoim!$E60:INDEX(Amendoim!$E60:$Z60,MIN(AK$6-$G$3,22))),0)))))</f>
        <v>0</v>
      </c>
      <c r="AL62" s="27" t="n">
        <f aca="false">IF(COUNT(Amendoim!$E60:$Z60)=0,0,MAX(0,IF((AL$6-$E$3)&lt;1,0,IFERROR(LOOKUP(2,1/(Amendoim!$E60:INDEX(Amendoim!$E60:$Z60,MIN(AL$6-$E$3,22))&lt;&gt;""),Amendoim!$E60:INDEX(Amendoim!$E60:$Z60,MIN(AL$6-$E$3,22))),0))-IF($G$2,0,IF((AL$6-$G$3)&lt;1,0,IFERROR(LOOKUP(2,1/(Amendoim!$E60:INDEX(Amendoim!$E60:$Z60,MIN(AL$6-$G$3,22))&lt;&gt;""),Amendoim!$E60:INDEX(Amendoim!$E60:$Z60,MIN(AL$6-$G$3,22))),0)))))</f>
        <v>0</v>
      </c>
      <c r="AM62" s="27" t="n">
        <f aca="false">IF(COUNT(Amendoim!$E60:$Z60)=0,0,MAX(0,IF((AM$6-$E$3)&lt;1,0,IFERROR(LOOKUP(2,1/(Amendoim!$E60:INDEX(Amendoim!$E60:$Z60,MIN(AM$6-$E$3,22))&lt;&gt;""),Amendoim!$E60:INDEX(Amendoim!$E60:$Z60,MIN(AM$6-$E$3,22))),0))-IF($G$2,0,IF((AM$6-$G$3)&lt;1,0,IFERROR(LOOKUP(2,1/(Amendoim!$E60:INDEX(Amendoim!$E60:$Z60,MIN(AM$6-$G$3,22))&lt;&gt;""),Amendoim!$E60:INDEX(Amendoim!$E60:$Z60,MIN(AM$6-$G$3,22))),0)))))</f>
        <v>0</v>
      </c>
      <c r="AN62" s="27" t="n">
        <f aca="false">IF(COUNT(Amendoim!$E60:$Z60)=0,0,MAX(0,IF((AN$6-$E$3)&lt;1,0,IFERROR(LOOKUP(2,1/(Amendoim!$E60:INDEX(Amendoim!$E60:$Z60,MIN(AN$6-$E$3,22))&lt;&gt;""),Amendoim!$E60:INDEX(Amendoim!$E60:$Z60,MIN(AN$6-$E$3,22))),0))-IF($G$2,0,IF((AN$6-$G$3)&lt;1,0,IFERROR(LOOKUP(2,1/(Amendoim!$E60:INDEX(Amendoim!$E60:$Z60,MIN(AN$6-$G$3,22))&lt;&gt;""),Amendoim!$E60:INDEX(Amendoim!$E60:$Z60,MIN(AN$6-$G$3,22))),0)))))</f>
        <v>0</v>
      </c>
      <c r="AO62" s="27" t="n">
        <f aca="false">IF(COUNT(Amendoim!$E60:$Z60)=0,0,MAX(0,IF((AO$6-$E$3)&lt;1,0,IFERROR(LOOKUP(2,1/(Amendoim!$E60:INDEX(Amendoim!$E60:$Z60,MIN(AO$6-$E$3,22))&lt;&gt;""),Amendoim!$E60:INDEX(Amendoim!$E60:$Z60,MIN(AO$6-$E$3,22))),0))-IF($G$2,0,IF((AO$6-$G$3)&lt;1,0,IFERROR(LOOKUP(2,1/(Amendoim!$E60:INDEX(Amendoim!$E60:$Z60,MIN(AO$6-$G$3,22))&lt;&gt;""),Amendoim!$E60:INDEX(Amendoim!$E60:$Z60,MIN(AO$6-$G$3,22))),0)))))</f>
        <v>0</v>
      </c>
      <c r="AP62" s="27" t="n">
        <f aca="false">IF(COUNT(Amendoim!$E60:$Z60)=0,0,MAX(0,IF((AP$6-$E$3)&lt;1,0,IFERROR(LOOKUP(2,1/(Amendoim!$E60:INDEX(Amendoim!$E60:$Z60,MIN(AP$6-$E$3,22))&lt;&gt;""),Amendoim!$E60:INDEX(Amendoim!$E60:$Z60,MIN(AP$6-$E$3,22))),0))-IF($G$2,0,IF((AP$6-$G$3)&lt;1,0,IFERROR(LOOKUP(2,1/(Amendoim!$E60:INDEX(Amendoim!$E60:$Z60,MIN(AP$6-$G$3,22))&lt;&gt;""),Amendoim!$E60:INDEX(Amendoim!$E60:$Z60,MIN(AP$6-$G$3,22))),0)))))</f>
        <v>0</v>
      </c>
      <c r="AQ62" s="27" t="n">
        <f aca="false">IF(COUNT(Amendoim!$E60:$Z60)=0,0,MAX(0,IF((AQ$6-$E$3)&lt;1,0,IFERROR(LOOKUP(2,1/(Amendoim!$E60:INDEX(Amendoim!$E60:$Z60,MIN(AQ$6-$E$3,22))&lt;&gt;""),Amendoim!$E60:INDEX(Amendoim!$E60:$Z60,MIN(AQ$6-$E$3,22))),0))-IF($G$2,0,IF((AQ$6-$G$3)&lt;1,0,IFERROR(LOOKUP(2,1/(Amendoim!$E60:INDEX(Amendoim!$E60:$Z60,MIN(AQ$6-$G$3,22))&lt;&gt;""),Amendoim!$E60:INDEX(Amendoim!$E60:$Z60,MIN(AQ$6-$G$3,22))),0)))))</f>
        <v>0</v>
      </c>
      <c r="AR62" s="27" t="n">
        <f aca="false">IF(COUNT(Amendoim!$E60:$Z60)=0,0,MAX(0,IF((AR$6-$E$3)&lt;1,0,IFERROR(LOOKUP(2,1/(Amendoim!$E60:INDEX(Amendoim!$E60:$Z60,MIN(AR$6-$E$3,22))&lt;&gt;""),Amendoim!$E60:INDEX(Amendoim!$E60:$Z60,MIN(AR$6-$E$3,22))),0))-IF($G$2,0,IF((AR$6-$G$3)&lt;1,0,IFERROR(LOOKUP(2,1/(Amendoim!$E60:INDEX(Amendoim!$E60:$Z60,MIN(AR$6-$G$3,22))&lt;&gt;""),Amendoim!$E60:INDEX(Amendoim!$E60:$Z60,MIN(AR$6-$G$3,22))),0)))))</f>
        <v>0</v>
      </c>
      <c r="AS62" s="27" t="n">
        <f aca="false">IF(COUNT(Amendoim!$E60:$Z60)=0,0,MAX(0,IF((AS$6-$E$3)&lt;1,0,IFERROR(LOOKUP(2,1/(Amendoim!$E60:INDEX(Amendoim!$E60:$Z60,MIN(AS$6-$E$3,22))&lt;&gt;""),Amendoim!$E60:INDEX(Amendoim!$E60:$Z60,MIN(AS$6-$E$3,22))),0))-IF($G$2,0,IF((AS$6-$G$3)&lt;1,0,IFERROR(LOOKUP(2,1/(Amendoim!$E60:INDEX(Amendoim!$E60:$Z60,MIN(AS$6-$G$3,22))&lt;&gt;""),Amendoim!$E60:INDEX(Amendoim!$E60:$Z60,MIN(AS$6-$G$3,22))),0)))))</f>
        <v>0</v>
      </c>
      <c r="AT62" s="27" t="n">
        <f aca="false">IF(COUNT(Amendoim!$E60:$Z60)=0,0,MAX(0,IF((AT$6-$E$3)&lt;1,0,IFERROR(LOOKUP(2,1/(Amendoim!$E60:INDEX(Amendoim!$E60:$Z60,MIN(AT$6-$E$3,22))&lt;&gt;""),Amendoim!$E60:INDEX(Amendoim!$E60:$Z60,MIN(AT$6-$E$3,22))),0))-IF($G$2,0,IF((AT$6-$G$3)&lt;1,0,IFERROR(LOOKUP(2,1/(Amendoim!$E60:INDEX(Amendoim!$E60:$Z60,MIN(AT$6-$G$3,22))&lt;&gt;""),Amendoim!$E60:INDEX(Amendoim!$E60:$Z60,MIN(AT$6-$G$3,22))),0)))))</f>
        <v>0</v>
      </c>
      <c r="AU62" s="27" t="n">
        <f aca="false">IF(COUNT(Amendoim!$E60:$Z60)=0,0,MAX(0,IF((AU$6-$E$3)&lt;1,0,IFERROR(LOOKUP(2,1/(Amendoim!$E60:INDEX(Amendoim!$E60:$Z60,MIN(AU$6-$E$3,22))&lt;&gt;""),Amendoim!$E60:INDEX(Amendoim!$E60:$Z60,MIN(AU$6-$E$3,22))),0))-IF($G$2,0,IF((AU$6-$G$3)&lt;1,0,IFERROR(LOOKUP(2,1/(Amendoim!$E60:INDEX(Amendoim!$E60:$Z60,MIN(AU$6-$G$3,22))&lt;&gt;""),Amendoim!$E60:INDEX(Amendoim!$E60:$Z60,MIN(AU$6-$G$3,22))),0)))))</f>
        <v>0</v>
      </c>
      <c r="AV62" s="27" t="n">
        <f aca="false">IF(COUNT(Amendoim!$E60:$Z60)=0,0,MAX(0,IF((AV$6-$E$3)&lt;1,0,IFERROR(LOOKUP(2,1/(Amendoim!$E60:INDEX(Amendoim!$E60:$Z60,MIN(AV$6-$E$3,22))&lt;&gt;""),Amendoim!$E60:INDEX(Amendoim!$E60:$Z60,MIN(AV$6-$E$3,22))),0))-IF($G$2,0,IF((AV$6-$G$3)&lt;1,0,IFERROR(LOOKUP(2,1/(Amendoim!$E60:INDEX(Amendoim!$E60:$Z60,MIN(AV$6-$G$3,22))&lt;&gt;""),Amendoim!$E60:INDEX(Amendoim!$E60:$Z60,MIN(AV$6-$G$3,22))),0)))))</f>
        <v>0</v>
      </c>
      <c r="AW62" s="27" t="n">
        <f aca="false">IF(COUNT(Amendoim!$E60:$Z60)=0,0,MAX(0,IF((AW$6-$E$3)&lt;1,0,IFERROR(LOOKUP(2,1/(Amendoim!$E60:INDEX(Amendoim!$E60:$Z60,MIN(AW$6-$E$3,22))&lt;&gt;""),Amendoim!$E60:INDEX(Amendoim!$E60:$Z60,MIN(AW$6-$E$3,22))),0))-IF($G$2,0,IF((AW$6-$G$3)&lt;1,0,IFERROR(LOOKUP(2,1/(Amendoim!$E60:INDEX(Amendoim!$E60:$Z60,MIN(AW$6-$G$3,22))&lt;&gt;""),Amendoim!$E60:INDEX(Amendoim!$E60:$Z60,MIN(AW$6-$G$3,22))),0)))))</f>
        <v>0</v>
      </c>
      <c r="AX62" s="27" t="n">
        <f aca="false">IF(COUNT(Amendoim!$E60:$Z60)=0,0,MAX(0,IF((AX$6-$E$3)&lt;1,0,IFERROR(LOOKUP(2,1/(Amendoim!$E60:INDEX(Amendoim!$E60:$Z60,MIN(AX$6-$E$3,22))&lt;&gt;""),Amendoim!$E60:INDEX(Amendoim!$E60:$Z60,MIN(AX$6-$E$3,22))),0))-IF($G$2,0,IF((AX$6-$G$3)&lt;1,0,IFERROR(LOOKUP(2,1/(Amendoim!$E60:INDEX(Amendoim!$E60:$Z60,MIN(AX$6-$G$3,22))&lt;&gt;""),Amendoim!$E60:INDEX(Amendoim!$E60:$Z60,MIN(AX$6-$G$3,22))),0)))))</f>
        <v>0</v>
      </c>
      <c r="AY62" s="27" t="n">
        <f aca="false">IF(COUNT(Amendoim!$E60:$Z60)=0,0,MAX(0,IF((AY$6-$E$3)&lt;1,0,IFERROR(LOOKUP(2,1/(Amendoim!$E60:INDEX(Amendoim!$E60:$Z60,MIN(AY$6-$E$3,22))&lt;&gt;""),Amendoim!$E60:INDEX(Amendoim!$E60:$Z60,MIN(AY$6-$E$3,22))),0))-IF($G$2,0,IF((AY$6-$G$3)&lt;1,0,IFERROR(LOOKUP(2,1/(Amendoim!$E60:INDEX(Amendoim!$E60:$Z60,MIN(AY$6-$G$3,22))&lt;&gt;""),Amendoim!$E60:INDEX(Amendoim!$E60:$Z60,MIN(AY$6-$G$3,22))),0)))))</f>
        <v>0</v>
      </c>
      <c r="AZ62" s="27" t="n">
        <f aca="false">IF(COUNT(Amendoim!$E60:$Z60)=0,0,MAX(0,IF((AZ$6-$E$3)&lt;1,0,IFERROR(LOOKUP(2,1/(Amendoim!$E60:INDEX(Amendoim!$E60:$Z60,MIN(AZ$6-$E$3,22))&lt;&gt;""),Amendoim!$E60:INDEX(Amendoim!$E60:$Z60,MIN(AZ$6-$E$3,22))),0))-IF($G$2,0,IF((AZ$6-$G$3)&lt;1,0,IFERROR(LOOKUP(2,1/(Amendoim!$E60:INDEX(Amendoim!$E60:$Z60,MIN(AZ$6-$G$3,22))&lt;&gt;""),Amendoim!$E60:INDEX(Amendoim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IF(COUNT(Amendoim!$E61:$Z61)&gt;0,N(Amendoim!$D61),0)</f>
        <v>0</v>
      </c>
      <c r="E63" s="27" t="n">
        <f aca="false">IF(COUNT(Amendoim!$E61:$Z61)=0,0,MAX(0,IF((E$6-$E$3)&lt;1,0,IFERROR(LOOKUP(2,1/(Amendoim!$E61:INDEX(Amendoim!$E61:$Z61,MIN(E$6-$E$3,22))&lt;&gt;""),Amendoim!$E61:INDEX(Amendoim!$E61:$Z61,MIN(E$6-$E$3,22))),0))-IF($G$2,0,IF((E$6-$G$3)&lt;1,0,IFERROR(LOOKUP(2,1/(Amendoim!$E61:INDEX(Amendoim!$E61:$Z61,MIN(E$6-$G$3,22))&lt;&gt;""),Amendoim!$E61:INDEX(Amendoim!$E61:$Z61,MIN(E$6-$G$3,22))),0)))))</f>
        <v>0</v>
      </c>
      <c r="F63" s="27" t="n">
        <f aca="false">IF(COUNT(Amendoim!$E61:$Z61)=0,0,MAX(0,IF((F$6-$E$3)&lt;1,0,IFERROR(LOOKUP(2,1/(Amendoim!$E61:INDEX(Amendoim!$E61:$Z61,MIN(F$6-$E$3,22))&lt;&gt;""),Amendoim!$E61:INDEX(Amendoim!$E61:$Z61,MIN(F$6-$E$3,22))),0))-IF($G$2,0,IF((F$6-$G$3)&lt;1,0,IFERROR(LOOKUP(2,1/(Amendoim!$E61:INDEX(Amendoim!$E61:$Z61,MIN(F$6-$G$3,22))&lt;&gt;""),Amendoim!$E61:INDEX(Amendoim!$E61:$Z61,MIN(F$6-$G$3,22))),0)))))</f>
        <v>0</v>
      </c>
      <c r="G63" s="27" t="n">
        <f aca="false">IF(COUNT(Amendoim!$E61:$Z61)=0,0,MAX(0,IF((G$6-$E$3)&lt;1,0,IFERROR(LOOKUP(2,1/(Amendoim!$E61:INDEX(Amendoim!$E61:$Z61,MIN(G$6-$E$3,22))&lt;&gt;""),Amendoim!$E61:INDEX(Amendoim!$E61:$Z61,MIN(G$6-$E$3,22))),0))-IF($G$2,0,IF((G$6-$G$3)&lt;1,0,IFERROR(LOOKUP(2,1/(Amendoim!$E61:INDEX(Amendoim!$E61:$Z61,MIN(G$6-$G$3,22))&lt;&gt;""),Amendoim!$E61:INDEX(Amendoim!$E61:$Z61,MIN(G$6-$G$3,22))),0)))))</f>
        <v>0</v>
      </c>
      <c r="H63" s="27" t="n">
        <f aca="false">IF(COUNT(Amendoim!$E61:$Z61)=0,0,MAX(0,IF((H$6-$E$3)&lt;1,0,IFERROR(LOOKUP(2,1/(Amendoim!$E61:INDEX(Amendoim!$E61:$Z61,MIN(H$6-$E$3,22))&lt;&gt;""),Amendoim!$E61:INDEX(Amendoim!$E61:$Z61,MIN(H$6-$E$3,22))),0))-IF($G$2,0,IF((H$6-$G$3)&lt;1,0,IFERROR(LOOKUP(2,1/(Amendoim!$E61:INDEX(Amendoim!$E61:$Z61,MIN(H$6-$G$3,22))&lt;&gt;""),Amendoim!$E61:INDEX(Amendoim!$E61:$Z61,MIN(H$6-$G$3,22))),0)))))</f>
        <v>0</v>
      </c>
      <c r="I63" s="27" t="n">
        <f aca="false">IF(COUNT(Amendoim!$E61:$Z61)=0,0,MAX(0,IF((I$6-$E$3)&lt;1,0,IFERROR(LOOKUP(2,1/(Amendoim!$E61:INDEX(Amendoim!$E61:$Z61,MIN(I$6-$E$3,22))&lt;&gt;""),Amendoim!$E61:INDEX(Amendoim!$E61:$Z61,MIN(I$6-$E$3,22))),0))-IF($G$2,0,IF((I$6-$G$3)&lt;1,0,IFERROR(LOOKUP(2,1/(Amendoim!$E61:INDEX(Amendoim!$E61:$Z61,MIN(I$6-$G$3,22))&lt;&gt;""),Amendoim!$E61:INDEX(Amendoim!$E61:$Z61,MIN(I$6-$G$3,22))),0)))))</f>
        <v>0</v>
      </c>
      <c r="J63" s="27" t="n">
        <f aca="false">IF(COUNT(Amendoim!$E61:$Z61)=0,0,MAX(0,IF((J$6-$E$3)&lt;1,0,IFERROR(LOOKUP(2,1/(Amendoim!$E61:INDEX(Amendoim!$E61:$Z61,MIN(J$6-$E$3,22))&lt;&gt;""),Amendoim!$E61:INDEX(Amendoim!$E61:$Z61,MIN(J$6-$E$3,22))),0))-IF($G$2,0,IF((J$6-$G$3)&lt;1,0,IFERROR(LOOKUP(2,1/(Amendoim!$E61:INDEX(Amendoim!$E61:$Z61,MIN(J$6-$G$3,22))&lt;&gt;""),Amendoim!$E61:INDEX(Amendoim!$E61:$Z61,MIN(J$6-$G$3,22))),0)))))</f>
        <v>0</v>
      </c>
      <c r="K63" s="27" t="n">
        <f aca="false">IF(COUNT(Amendoim!$E61:$Z61)=0,0,MAX(0,IF((K$6-$E$3)&lt;1,0,IFERROR(LOOKUP(2,1/(Amendoim!$E61:INDEX(Amendoim!$E61:$Z61,MIN(K$6-$E$3,22))&lt;&gt;""),Amendoim!$E61:INDEX(Amendoim!$E61:$Z61,MIN(K$6-$E$3,22))),0))-IF($G$2,0,IF((K$6-$G$3)&lt;1,0,IFERROR(LOOKUP(2,1/(Amendoim!$E61:INDEX(Amendoim!$E61:$Z61,MIN(K$6-$G$3,22))&lt;&gt;""),Amendoim!$E61:INDEX(Amendoim!$E61:$Z61,MIN(K$6-$G$3,22))),0)))))</f>
        <v>0</v>
      </c>
      <c r="L63" s="27" t="n">
        <f aca="false">IF(COUNT(Amendoim!$E61:$Z61)=0,0,MAX(0,IF((L$6-$E$3)&lt;1,0,IFERROR(LOOKUP(2,1/(Amendoim!$E61:INDEX(Amendoim!$E61:$Z61,MIN(L$6-$E$3,22))&lt;&gt;""),Amendoim!$E61:INDEX(Amendoim!$E61:$Z61,MIN(L$6-$E$3,22))),0))-IF($G$2,0,IF((L$6-$G$3)&lt;1,0,IFERROR(LOOKUP(2,1/(Amendoim!$E61:INDEX(Amendoim!$E61:$Z61,MIN(L$6-$G$3,22))&lt;&gt;""),Amendoim!$E61:INDEX(Amendoim!$E61:$Z61,MIN(L$6-$G$3,22))),0)))))</f>
        <v>0</v>
      </c>
      <c r="M63" s="27" t="n">
        <f aca="false">IF(COUNT(Amendoim!$E61:$Z61)=0,0,MAX(0,IF((M$6-$E$3)&lt;1,0,IFERROR(LOOKUP(2,1/(Amendoim!$E61:INDEX(Amendoim!$E61:$Z61,MIN(M$6-$E$3,22))&lt;&gt;""),Amendoim!$E61:INDEX(Amendoim!$E61:$Z61,MIN(M$6-$E$3,22))),0))-IF($G$2,0,IF((M$6-$G$3)&lt;1,0,IFERROR(LOOKUP(2,1/(Amendoim!$E61:INDEX(Amendoim!$E61:$Z61,MIN(M$6-$G$3,22))&lt;&gt;""),Amendoim!$E61:INDEX(Amendoim!$E61:$Z61,MIN(M$6-$G$3,22))),0)))))</f>
        <v>0</v>
      </c>
      <c r="N63" s="27" t="n">
        <f aca="false">IF(COUNT(Amendoim!$E61:$Z61)=0,0,MAX(0,IF((N$6-$E$3)&lt;1,0,IFERROR(LOOKUP(2,1/(Amendoim!$E61:INDEX(Amendoim!$E61:$Z61,MIN(N$6-$E$3,22))&lt;&gt;""),Amendoim!$E61:INDEX(Amendoim!$E61:$Z61,MIN(N$6-$E$3,22))),0))-IF($G$2,0,IF((N$6-$G$3)&lt;1,0,IFERROR(LOOKUP(2,1/(Amendoim!$E61:INDEX(Amendoim!$E61:$Z61,MIN(N$6-$G$3,22))&lt;&gt;""),Amendoim!$E61:INDEX(Amendoim!$E61:$Z61,MIN(N$6-$G$3,22))),0)))))</f>
        <v>0</v>
      </c>
      <c r="O63" s="27" t="n">
        <f aca="false">IF(COUNT(Amendoim!$E61:$Z61)=0,0,MAX(0,IF((O$6-$E$3)&lt;1,0,IFERROR(LOOKUP(2,1/(Amendoim!$E61:INDEX(Amendoim!$E61:$Z61,MIN(O$6-$E$3,22))&lt;&gt;""),Amendoim!$E61:INDEX(Amendoim!$E61:$Z61,MIN(O$6-$E$3,22))),0))-IF($G$2,0,IF((O$6-$G$3)&lt;1,0,IFERROR(LOOKUP(2,1/(Amendoim!$E61:INDEX(Amendoim!$E61:$Z61,MIN(O$6-$G$3,22))&lt;&gt;""),Amendoim!$E61:INDEX(Amendoim!$E61:$Z61,MIN(O$6-$G$3,22))),0)))))</f>
        <v>0</v>
      </c>
      <c r="P63" s="27" t="n">
        <f aca="false">IF(COUNT(Amendoim!$E61:$Z61)=0,0,MAX(0,IF((P$6-$E$3)&lt;1,0,IFERROR(LOOKUP(2,1/(Amendoim!$E61:INDEX(Amendoim!$E61:$Z61,MIN(P$6-$E$3,22))&lt;&gt;""),Amendoim!$E61:INDEX(Amendoim!$E61:$Z61,MIN(P$6-$E$3,22))),0))-IF($G$2,0,IF((P$6-$G$3)&lt;1,0,IFERROR(LOOKUP(2,1/(Amendoim!$E61:INDEX(Amendoim!$E61:$Z61,MIN(P$6-$G$3,22))&lt;&gt;""),Amendoim!$E61:INDEX(Amendoim!$E61:$Z61,MIN(P$6-$G$3,22))),0)))))</f>
        <v>0</v>
      </c>
      <c r="Q63" s="27" t="n">
        <f aca="false">IF(COUNT(Amendoim!$E61:$Z61)=0,0,MAX(0,IF((Q$6-$E$3)&lt;1,0,IFERROR(LOOKUP(2,1/(Amendoim!$E61:INDEX(Amendoim!$E61:$Z61,MIN(Q$6-$E$3,22))&lt;&gt;""),Amendoim!$E61:INDEX(Amendoim!$E61:$Z61,MIN(Q$6-$E$3,22))),0))-IF($G$2,0,IF((Q$6-$G$3)&lt;1,0,IFERROR(LOOKUP(2,1/(Amendoim!$E61:INDEX(Amendoim!$E61:$Z61,MIN(Q$6-$G$3,22))&lt;&gt;""),Amendoim!$E61:INDEX(Amendoim!$E61:$Z61,MIN(Q$6-$G$3,22))),0)))))</f>
        <v>0</v>
      </c>
      <c r="R63" s="27" t="n">
        <f aca="false">IF(COUNT(Amendoim!$E61:$Z61)=0,0,MAX(0,IF((R$6-$E$3)&lt;1,0,IFERROR(LOOKUP(2,1/(Amendoim!$E61:INDEX(Amendoim!$E61:$Z61,MIN(R$6-$E$3,22))&lt;&gt;""),Amendoim!$E61:INDEX(Amendoim!$E61:$Z61,MIN(R$6-$E$3,22))),0))-IF($G$2,0,IF((R$6-$G$3)&lt;1,0,IFERROR(LOOKUP(2,1/(Amendoim!$E61:INDEX(Amendoim!$E61:$Z61,MIN(R$6-$G$3,22))&lt;&gt;""),Amendoim!$E61:INDEX(Amendoim!$E61:$Z61,MIN(R$6-$G$3,22))),0)))))</f>
        <v>0</v>
      </c>
      <c r="S63" s="27" t="n">
        <f aca="false">IF(COUNT(Amendoim!$E61:$Z61)=0,0,MAX(0,IF((S$6-$E$3)&lt;1,0,IFERROR(LOOKUP(2,1/(Amendoim!$E61:INDEX(Amendoim!$E61:$Z61,MIN(S$6-$E$3,22))&lt;&gt;""),Amendoim!$E61:INDEX(Amendoim!$E61:$Z61,MIN(S$6-$E$3,22))),0))-IF($G$2,0,IF((S$6-$G$3)&lt;1,0,IFERROR(LOOKUP(2,1/(Amendoim!$E61:INDEX(Amendoim!$E61:$Z61,MIN(S$6-$G$3,22))&lt;&gt;""),Amendoim!$E61:INDEX(Amendoim!$E61:$Z61,MIN(S$6-$G$3,22))),0)))))</f>
        <v>0</v>
      </c>
      <c r="T63" s="27" t="n">
        <f aca="false">IF(COUNT(Amendoim!$E61:$Z61)=0,0,MAX(0,IF((T$6-$E$3)&lt;1,0,IFERROR(LOOKUP(2,1/(Amendoim!$E61:INDEX(Amendoim!$E61:$Z61,MIN(T$6-$E$3,22))&lt;&gt;""),Amendoim!$E61:INDEX(Amendoim!$E61:$Z61,MIN(T$6-$E$3,22))),0))-IF($G$2,0,IF((T$6-$G$3)&lt;1,0,IFERROR(LOOKUP(2,1/(Amendoim!$E61:INDEX(Amendoim!$E61:$Z61,MIN(T$6-$G$3,22))&lt;&gt;""),Amendoim!$E61:INDEX(Amendoim!$E61:$Z61,MIN(T$6-$G$3,22))),0)))))</f>
        <v>0</v>
      </c>
      <c r="U63" s="27" t="n">
        <f aca="false">IF(COUNT(Amendoim!$E61:$Z61)=0,0,MAX(0,IF((U$6-$E$3)&lt;1,0,IFERROR(LOOKUP(2,1/(Amendoim!$E61:INDEX(Amendoim!$E61:$Z61,MIN(U$6-$E$3,22))&lt;&gt;""),Amendoim!$E61:INDEX(Amendoim!$E61:$Z61,MIN(U$6-$E$3,22))),0))-IF($G$2,0,IF((U$6-$G$3)&lt;1,0,IFERROR(LOOKUP(2,1/(Amendoim!$E61:INDEX(Amendoim!$E61:$Z61,MIN(U$6-$G$3,22))&lt;&gt;""),Amendoim!$E61:INDEX(Amendoim!$E61:$Z61,MIN(U$6-$G$3,22))),0)))))</f>
        <v>0</v>
      </c>
      <c r="V63" s="27" t="n">
        <f aca="false">IF(COUNT(Amendoim!$E61:$Z61)=0,0,MAX(0,IF((V$6-$E$3)&lt;1,0,IFERROR(LOOKUP(2,1/(Amendoim!$E61:INDEX(Amendoim!$E61:$Z61,MIN(V$6-$E$3,22))&lt;&gt;""),Amendoim!$E61:INDEX(Amendoim!$E61:$Z61,MIN(V$6-$E$3,22))),0))-IF($G$2,0,IF((V$6-$G$3)&lt;1,0,IFERROR(LOOKUP(2,1/(Amendoim!$E61:INDEX(Amendoim!$E61:$Z61,MIN(V$6-$G$3,22))&lt;&gt;""),Amendoim!$E61:INDEX(Amendoim!$E61:$Z61,MIN(V$6-$G$3,22))),0)))))</f>
        <v>0</v>
      </c>
      <c r="W63" s="27" t="n">
        <f aca="false">IF(COUNT(Amendoim!$E61:$Z61)=0,0,MAX(0,IF((W$6-$E$3)&lt;1,0,IFERROR(LOOKUP(2,1/(Amendoim!$E61:INDEX(Amendoim!$E61:$Z61,MIN(W$6-$E$3,22))&lt;&gt;""),Amendoim!$E61:INDEX(Amendoim!$E61:$Z61,MIN(W$6-$E$3,22))),0))-IF($G$2,0,IF((W$6-$G$3)&lt;1,0,IFERROR(LOOKUP(2,1/(Amendoim!$E61:INDEX(Amendoim!$E61:$Z61,MIN(W$6-$G$3,22))&lt;&gt;""),Amendoim!$E61:INDEX(Amendoim!$E61:$Z61,MIN(W$6-$G$3,22))),0)))))</f>
        <v>0</v>
      </c>
      <c r="X63" s="27" t="n">
        <f aca="false">IF(COUNT(Amendoim!$E61:$Z61)=0,0,MAX(0,IF((X$6-$E$3)&lt;1,0,IFERROR(LOOKUP(2,1/(Amendoim!$E61:INDEX(Amendoim!$E61:$Z61,MIN(X$6-$E$3,22))&lt;&gt;""),Amendoim!$E61:INDEX(Amendoim!$E61:$Z61,MIN(X$6-$E$3,22))),0))-IF($G$2,0,IF((X$6-$G$3)&lt;1,0,IFERROR(LOOKUP(2,1/(Amendoim!$E61:INDEX(Amendoim!$E61:$Z61,MIN(X$6-$G$3,22))&lt;&gt;""),Amendoim!$E61:INDEX(Amendoim!$E61:$Z61,MIN(X$6-$G$3,22))),0)))))</f>
        <v>0</v>
      </c>
      <c r="Y63" s="27" t="n">
        <f aca="false">IF(COUNT(Amendoim!$E61:$Z61)=0,0,MAX(0,IF((Y$6-$E$3)&lt;1,0,IFERROR(LOOKUP(2,1/(Amendoim!$E61:INDEX(Amendoim!$E61:$Z61,MIN(Y$6-$E$3,22))&lt;&gt;""),Amendoim!$E61:INDEX(Amendoim!$E61:$Z61,MIN(Y$6-$E$3,22))),0))-IF($G$2,0,IF((Y$6-$G$3)&lt;1,0,IFERROR(LOOKUP(2,1/(Amendoim!$E61:INDEX(Amendoim!$E61:$Z61,MIN(Y$6-$G$3,22))&lt;&gt;""),Amendoim!$E61:INDEX(Amendoim!$E61:$Z61,MIN(Y$6-$G$3,22))),0)))))</f>
        <v>0</v>
      </c>
      <c r="Z63" s="27" t="n">
        <f aca="false">IF(COUNT(Amendoim!$E61:$Z61)=0,0,MAX(0,IF((Z$6-$E$3)&lt;1,0,IFERROR(LOOKUP(2,1/(Amendoim!$E61:INDEX(Amendoim!$E61:$Z61,MIN(Z$6-$E$3,22))&lt;&gt;""),Amendoim!$E61:INDEX(Amendoim!$E61:$Z61,MIN(Z$6-$E$3,22))),0))-IF($G$2,0,IF((Z$6-$G$3)&lt;1,0,IFERROR(LOOKUP(2,1/(Amendoim!$E61:INDEX(Amendoim!$E61:$Z61,MIN(Z$6-$G$3,22))&lt;&gt;""),Amendoim!$E61:INDEX(Amendoim!$E61:$Z61,MIN(Z$6-$G$3,22))),0)))))</f>
        <v>0</v>
      </c>
      <c r="AA63" s="27" t="n">
        <f aca="false">IF(COUNT(Amendoim!$E61:$Z61)=0,0,MAX(0,IF((AA$6-$E$3)&lt;1,0,IFERROR(LOOKUP(2,1/(Amendoim!$E61:INDEX(Amendoim!$E61:$Z61,MIN(AA$6-$E$3,22))&lt;&gt;""),Amendoim!$E61:INDEX(Amendoim!$E61:$Z61,MIN(AA$6-$E$3,22))),0))-IF($G$2,0,IF((AA$6-$G$3)&lt;1,0,IFERROR(LOOKUP(2,1/(Amendoim!$E61:INDEX(Amendoim!$E61:$Z61,MIN(AA$6-$G$3,22))&lt;&gt;""),Amendoim!$E61:INDEX(Amendoim!$E61:$Z61,MIN(AA$6-$G$3,22))),0)))))</f>
        <v>0</v>
      </c>
      <c r="AB63" s="27" t="n">
        <f aca="false">IF(COUNT(Amendoim!$E61:$Z61)=0,0,MAX(0,IF((AB$6-$E$3)&lt;1,0,IFERROR(LOOKUP(2,1/(Amendoim!$E61:INDEX(Amendoim!$E61:$Z61,MIN(AB$6-$E$3,22))&lt;&gt;""),Amendoim!$E61:INDEX(Amendoim!$E61:$Z61,MIN(AB$6-$E$3,22))),0))-IF($G$2,0,IF((AB$6-$G$3)&lt;1,0,IFERROR(LOOKUP(2,1/(Amendoim!$E61:INDEX(Amendoim!$E61:$Z61,MIN(AB$6-$G$3,22))&lt;&gt;""),Amendoim!$E61:INDEX(Amendoim!$E61:$Z61,MIN(AB$6-$G$3,22))),0)))))</f>
        <v>0</v>
      </c>
      <c r="AC63" s="27" t="n">
        <f aca="false">IF(COUNT(Amendoim!$E61:$Z61)=0,0,MAX(0,IF((AC$6-$E$3)&lt;1,0,IFERROR(LOOKUP(2,1/(Amendoim!$E61:INDEX(Amendoim!$E61:$Z61,MIN(AC$6-$E$3,22))&lt;&gt;""),Amendoim!$E61:INDEX(Amendoim!$E61:$Z61,MIN(AC$6-$E$3,22))),0))-IF($G$2,0,IF((AC$6-$G$3)&lt;1,0,IFERROR(LOOKUP(2,1/(Amendoim!$E61:INDEX(Amendoim!$E61:$Z61,MIN(AC$6-$G$3,22))&lt;&gt;""),Amendoim!$E61:INDEX(Amendoim!$E61:$Z61,MIN(AC$6-$G$3,22))),0)))))</f>
        <v>0</v>
      </c>
      <c r="AD63" s="27" t="n">
        <f aca="false">IF(COUNT(Amendoim!$E61:$Z61)=0,0,MAX(0,IF((AD$6-$E$3)&lt;1,0,IFERROR(LOOKUP(2,1/(Amendoim!$E61:INDEX(Amendoim!$E61:$Z61,MIN(AD$6-$E$3,22))&lt;&gt;""),Amendoim!$E61:INDEX(Amendoim!$E61:$Z61,MIN(AD$6-$E$3,22))),0))-IF($G$2,0,IF((AD$6-$G$3)&lt;1,0,IFERROR(LOOKUP(2,1/(Amendoim!$E61:INDEX(Amendoim!$E61:$Z61,MIN(AD$6-$G$3,22))&lt;&gt;""),Amendoim!$E61:INDEX(Amendoim!$E61:$Z61,MIN(AD$6-$G$3,22))),0)))))</f>
        <v>0</v>
      </c>
      <c r="AE63" s="27" t="n">
        <f aca="false">IF(COUNT(Amendoim!$E61:$Z61)=0,0,MAX(0,IF((AE$6-$E$3)&lt;1,0,IFERROR(LOOKUP(2,1/(Amendoim!$E61:INDEX(Amendoim!$E61:$Z61,MIN(AE$6-$E$3,22))&lt;&gt;""),Amendoim!$E61:INDEX(Amendoim!$E61:$Z61,MIN(AE$6-$E$3,22))),0))-IF($G$2,0,IF((AE$6-$G$3)&lt;1,0,IFERROR(LOOKUP(2,1/(Amendoim!$E61:INDEX(Amendoim!$E61:$Z61,MIN(AE$6-$G$3,22))&lt;&gt;""),Amendoim!$E61:INDEX(Amendoim!$E61:$Z61,MIN(AE$6-$G$3,22))),0)))))</f>
        <v>0</v>
      </c>
      <c r="AF63" s="27" t="n">
        <f aca="false">IF(COUNT(Amendoim!$E61:$Z61)=0,0,MAX(0,IF((AF$6-$E$3)&lt;1,0,IFERROR(LOOKUP(2,1/(Amendoim!$E61:INDEX(Amendoim!$E61:$Z61,MIN(AF$6-$E$3,22))&lt;&gt;""),Amendoim!$E61:INDEX(Amendoim!$E61:$Z61,MIN(AF$6-$E$3,22))),0))-IF($G$2,0,IF((AF$6-$G$3)&lt;1,0,IFERROR(LOOKUP(2,1/(Amendoim!$E61:INDEX(Amendoim!$E61:$Z61,MIN(AF$6-$G$3,22))&lt;&gt;""),Amendoim!$E61:INDEX(Amendoim!$E61:$Z61,MIN(AF$6-$G$3,22))),0)))))</f>
        <v>0</v>
      </c>
      <c r="AG63" s="27" t="n">
        <f aca="false">IF(COUNT(Amendoim!$E61:$Z61)=0,0,MAX(0,IF((AG$6-$E$3)&lt;1,0,IFERROR(LOOKUP(2,1/(Amendoim!$E61:INDEX(Amendoim!$E61:$Z61,MIN(AG$6-$E$3,22))&lt;&gt;""),Amendoim!$E61:INDEX(Amendoim!$E61:$Z61,MIN(AG$6-$E$3,22))),0))-IF($G$2,0,IF((AG$6-$G$3)&lt;1,0,IFERROR(LOOKUP(2,1/(Amendoim!$E61:INDEX(Amendoim!$E61:$Z61,MIN(AG$6-$G$3,22))&lt;&gt;""),Amendoim!$E61:INDEX(Amendoim!$E61:$Z61,MIN(AG$6-$G$3,22))),0)))))</f>
        <v>0</v>
      </c>
      <c r="AH63" s="27" t="n">
        <f aca="false">IF(COUNT(Amendoim!$E61:$Z61)=0,0,MAX(0,IF((AH$6-$E$3)&lt;1,0,IFERROR(LOOKUP(2,1/(Amendoim!$E61:INDEX(Amendoim!$E61:$Z61,MIN(AH$6-$E$3,22))&lt;&gt;""),Amendoim!$E61:INDEX(Amendoim!$E61:$Z61,MIN(AH$6-$E$3,22))),0))-IF($G$2,0,IF((AH$6-$G$3)&lt;1,0,IFERROR(LOOKUP(2,1/(Amendoim!$E61:INDEX(Amendoim!$E61:$Z61,MIN(AH$6-$G$3,22))&lt;&gt;""),Amendoim!$E61:INDEX(Amendoim!$E61:$Z61,MIN(AH$6-$G$3,22))),0)))))</f>
        <v>0</v>
      </c>
      <c r="AI63" s="27" t="n">
        <f aca="false">IF(COUNT(Amendoim!$E61:$Z61)=0,0,MAX(0,IF((AI$6-$E$3)&lt;1,0,IFERROR(LOOKUP(2,1/(Amendoim!$E61:INDEX(Amendoim!$E61:$Z61,MIN(AI$6-$E$3,22))&lt;&gt;""),Amendoim!$E61:INDEX(Amendoim!$E61:$Z61,MIN(AI$6-$E$3,22))),0))-IF($G$2,0,IF((AI$6-$G$3)&lt;1,0,IFERROR(LOOKUP(2,1/(Amendoim!$E61:INDEX(Amendoim!$E61:$Z61,MIN(AI$6-$G$3,22))&lt;&gt;""),Amendoim!$E61:INDEX(Amendoim!$E61:$Z61,MIN(AI$6-$G$3,22))),0)))))</f>
        <v>0</v>
      </c>
      <c r="AJ63" s="27" t="n">
        <f aca="false">IF(COUNT(Amendoim!$E61:$Z61)=0,0,MAX(0,IF((AJ$6-$E$3)&lt;1,0,IFERROR(LOOKUP(2,1/(Amendoim!$E61:INDEX(Amendoim!$E61:$Z61,MIN(AJ$6-$E$3,22))&lt;&gt;""),Amendoim!$E61:INDEX(Amendoim!$E61:$Z61,MIN(AJ$6-$E$3,22))),0))-IF($G$2,0,IF((AJ$6-$G$3)&lt;1,0,IFERROR(LOOKUP(2,1/(Amendoim!$E61:INDEX(Amendoim!$E61:$Z61,MIN(AJ$6-$G$3,22))&lt;&gt;""),Amendoim!$E61:INDEX(Amendoim!$E61:$Z61,MIN(AJ$6-$G$3,22))),0)))))</f>
        <v>0</v>
      </c>
      <c r="AK63" s="27" t="n">
        <f aca="false">IF(COUNT(Amendoim!$E61:$Z61)=0,0,MAX(0,IF((AK$6-$E$3)&lt;1,0,IFERROR(LOOKUP(2,1/(Amendoim!$E61:INDEX(Amendoim!$E61:$Z61,MIN(AK$6-$E$3,22))&lt;&gt;""),Amendoim!$E61:INDEX(Amendoim!$E61:$Z61,MIN(AK$6-$E$3,22))),0))-IF($G$2,0,IF((AK$6-$G$3)&lt;1,0,IFERROR(LOOKUP(2,1/(Amendoim!$E61:INDEX(Amendoim!$E61:$Z61,MIN(AK$6-$G$3,22))&lt;&gt;""),Amendoim!$E61:INDEX(Amendoim!$E61:$Z61,MIN(AK$6-$G$3,22))),0)))))</f>
        <v>0</v>
      </c>
      <c r="AL63" s="27" t="n">
        <f aca="false">IF(COUNT(Amendoim!$E61:$Z61)=0,0,MAX(0,IF((AL$6-$E$3)&lt;1,0,IFERROR(LOOKUP(2,1/(Amendoim!$E61:INDEX(Amendoim!$E61:$Z61,MIN(AL$6-$E$3,22))&lt;&gt;""),Amendoim!$E61:INDEX(Amendoim!$E61:$Z61,MIN(AL$6-$E$3,22))),0))-IF($G$2,0,IF((AL$6-$G$3)&lt;1,0,IFERROR(LOOKUP(2,1/(Amendoim!$E61:INDEX(Amendoim!$E61:$Z61,MIN(AL$6-$G$3,22))&lt;&gt;""),Amendoim!$E61:INDEX(Amendoim!$E61:$Z61,MIN(AL$6-$G$3,22))),0)))))</f>
        <v>0</v>
      </c>
      <c r="AM63" s="27" t="n">
        <f aca="false">IF(COUNT(Amendoim!$E61:$Z61)=0,0,MAX(0,IF((AM$6-$E$3)&lt;1,0,IFERROR(LOOKUP(2,1/(Amendoim!$E61:INDEX(Amendoim!$E61:$Z61,MIN(AM$6-$E$3,22))&lt;&gt;""),Amendoim!$E61:INDEX(Amendoim!$E61:$Z61,MIN(AM$6-$E$3,22))),0))-IF($G$2,0,IF((AM$6-$G$3)&lt;1,0,IFERROR(LOOKUP(2,1/(Amendoim!$E61:INDEX(Amendoim!$E61:$Z61,MIN(AM$6-$G$3,22))&lt;&gt;""),Amendoim!$E61:INDEX(Amendoim!$E61:$Z61,MIN(AM$6-$G$3,22))),0)))))</f>
        <v>0</v>
      </c>
      <c r="AN63" s="27" t="n">
        <f aca="false">IF(COUNT(Amendoim!$E61:$Z61)=0,0,MAX(0,IF((AN$6-$E$3)&lt;1,0,IFERROR(LOOKUP(2,1/(Amendoim!$E61:INDEX(Amendoim!$E61:$Z61,MIN(AN$6-$E$3,22))&lt;&gt;""),Amendoim!$E61:INDEX(Amendoim!$E61:$Z61,MIN(AN$6-$E$3,22))),0))-IF($G$2,0,IF((AN$6-$G$3)&lt;1,0,IFERROR(LOOKUP(2,1/(Amendoim!$E61:INDEX(Amendoim!$E61:$Z61,MIN(AN$6-$G$3,22))&lt;&gt;""),Amendoim!$E61:INDEX(Amendoim!$E61:$Z61,MIN(AN$6-$G$3,22))),0)))))</f>
        <v>0</v>
      </c>
      <c r="AO63" s="27" t="n">
        <f aca="false">IF(COUNT(Amendoim!$E61:$Z61)=0,0,MAX(0,IF((AO$6-$E$3)&lt;1,0,IFERROR(LOOKUP(2,1/(Amendoim!$E61:INDEX(Amendoim!$E61:$Z61,MIN(AO$6-$E$3,22))&lt;&gt;""),Amendoim!$E61:INDEX(Amendoim!$E61:$Z61,MIN(AO$6-$E$3,22))),0))-IF($G$2,0,IF((AO$6-$G$3)&lt;1,0,IFERROR(LOOKUP(2,1/(Amendoim!$E61:INDEX(Amendoim!$E61:$Z61,MIN(AO$6-$G$3,22))&lt;&gt;""),Amendoim!$E61:INDEX(Amendoim!$E61:$Z61,MIN(AO$6-$G$3,22))),0)))))</f>
        <v>0</v>
      </c>
      <c r="AP63" s="27" t="n">
        <f aca="false">IF(COUNT(Amendoim!$E61:$Z61)=0,0,MAX(0,IF((AP$6-$E$3)&lt;1,0,IFERROR(LOOKUP(2,1/(Amendoim!$E61:INDEX(Amendoim!$E61:$Z61,MIN(AP$6-$E$3,22))&lt;&gt;""),Amendoim!$E61:INDEX(Amendoim!$E61:$Z61,MIN(AP$6-$E$3,22))),0))-IF($G$2,0,IF((AP$6-$G$3)&lt;1,0,IFERROR(LOOKUP(2,1/(Amendoim!$E61:INDEX(Amendoim!$E61:$Z61,MIN(AP$6-$G$3,22))&lt;&gt;""),Amendoim!$E61:INDEX(Amendoim!$E61:$Z61,MIN(AP$6-$G$3,22))),0)))))</f>
        <v>0</v>
      </c>
      <c r="AQ63" s="27" t="n">
        <f aca="false">IF(COUNT(Amendoim!$E61:$Z61)=0,0,MAX(0,IF((AQ$6-$E$3)&lt;1,0,IFERROR(LOOKUP(2,1/(Amendoim!$E61:INDEX(Amendoim!$E61:$Z61,MIN(AQ$6-$E$3,22))&lt;&gt;""),Amendoim!$E61:INDEX(Amendoim!$E61:$Z61,MIN(AQ$6-$E$3,22))),0))-IF($G$2,0,IF((AQ$6-$G$3)&lt;1,0,IFERROR(LOOKUP(2,1/(Amendoim!$E61:INDEX(Amendoim!$E61:$Z61,MIN(AQ$6-$G$3,22))&lt;&gt;""),Amendoim!$E61:INDEX(Amendoim!$E61:$Z61,MIN(AQ$6-$G$3,22))),0)))))</f>
        <v>0</v>
      </c>
      <c r="AR63" s="27" t="n">
        <f aca="false">IF(COUNT(Amendoim!$E61:$Z61)=0,0,MAX(0,IF((AR$6-$E$3)&lt;1,0,IFERROR(LOOKUP(2,1/(Amendoim!$E61:INDEX(Amendoim!$E61:$Z61,MIN(AR$6-$E$3,22))&lt;&gt;""),Amendoim!$E61:INDEX(Amendoim!$E61:$Z61,MIN(AR$6-$E$3,22))),0))-IF($G$2,0,IF((AR$6-$G$3)&lt;1,0,IFERROR(LOOKUP(2,1/(Amendoim!$E61:INDEX(Amendoim!$E61:$Z61,MIN(AR$6-$G$3,22))&lt;&gt;""),Amendoim!$E61:INDEX(Amendoim!$E61:$Z61,MIN(AR$6-$G$3,22))),0)))))</f>
        <v>0</v>
      </c>
      <c r="AS63" s="27" t="n">
        <f aca="false">IF(COUNT(Amendoim!$E61:$Z61)=0,0,MAX(0,IF((AS$6-$E$3)&lt;1,0,IFERROR(LOOKUP(2,1/(Amendoim!$E61:INDEX(Amendoim!$E61:$Z61,MIN(AS$6-$E$3,22))&lt;&gt;""),Amendoim!$E61:INDEX(Amendoim!$E61:$Z61,MIN(AS$6-$E$3,22))),0))-IF($G$2,0,IF((AS$6-$G$3)&lt;1,0,IFERROR(LOOKUP(2,1/(Amendoim!$E61:INDEX(Amendoim!$E61:$Z61,MIN(AS$6-$G$3,22))&lt;&gt;""),Amendoim!$E61:INDEX(Amendoim!$E61:$Z61,MIN(AS$6-$G$3,22))),0)))))</f>
        <v>0</v>
      </c>
      <c r="AT63" s="27" t="n">
        <f aca="false">IF(COUNT(Amendoim!$E61:$Z61)=0,0,MAX(0,IF((AT$6-$E$3)&lt;1,0,IFERROR(LOOKUP(2,1/(Amendoim!$E61:INDEX(Amendoim!$E61:$Z61,MIN(AT$6-$E$3,22))&lt;&gt;""),Amendoim!$E61:INDEX(Amendoim!$E61:$Z61,MIN(AT$6-$E$3,22))),0))-IF($G$2,0,IF((AT$6-$G$3)&lt;1,0,IFERROR(LOOKUP(2,1/(Amendoim!$E61:INDEX(Amendoim!$E61:$Z61,MIN(AT$6-$G$3,22))&lt;&gt;""),Amendoim!$E61:INDEX(Amendoim!$E61:$Z61,MIN(AT$6-$G$3,22))),0)))))</f>
        <v>0</v>
      </c>
      <c r="AU63" s="27" t="n">
        <f aca="false">IF(COUNT(Amendoim!$E61:$Z61)=0,0,MAX(0,IF((AU$6-$E$3)&lt;1,0,IFERROR(LOOKUP(2,1/(Amendoim!$E61:INDEX(Amendoim!$E61:$Z61,MIN(AU$6-$E$3,22))&lt;&gt;""),Amendoim!$E61:INDEX(Amendoim!$E61:$Z61,MIN(AU$6-$E$3,22))),0))-IF($G$2,0,IF((AU$6-$G$3)&lt;1,0,IFERROR(LOOKUP(2,1/(Amendoim!$E61:INDEX(Amendoim!$E61:$Z61,MIN(AU$6-$G$3,22))&lt;&gt;""),Amendoim!$E61:INDEX(Amendoim!$E61:$Z61,MIN(AU$6-$G$3,22))),0)))))</f>
        <v>0</v>
      </c>
      <c r="AV63" s="27" t="n">
        <f aca="false">IF(COUNT(Amendoim!$E61:$Z61)=0,0,MAX(0,IF((AV$6-$E$3)&lt;1,0,IFERROR(LOOKUP(2,1/(Amendoim!$E61:INDEX(Amendoim!$E61:$Z61,MIN(AV$6-$E$3,22))&lt;&gt;""),Amendoim!$E61:INDEX(Amendoim!$E61:$Z61,MIN(AV$6-$E$3,22))),0))-IF($G$2,0,IF((AV$6-$G$3)&lt;1,0,IFERROR(LOOKUP(2,1/(Amendoim!$E61:INDEX(Amendoim!$E61:$Z61,MIN(AV$6-$G$3,22))&lt;&gt;""),Amendoim!$E61:INDEX(Amendoim!$E61:$Z61,MIN(AV$6-$G$3,22))),0)))))</f>
        <v>0</v>
      </c>
      <c r="AW63" s="27" t="n">
        <f aca="false">IF(COUNT(Amendoim!$E61:$Z61)=0,0,MAX(0,IF((AW$6-$E$3)&lt;1,0,IFERROR(LOOKUP(2,1/(Amendoim!$E61:INDEX(Amendoim!$E61:$Z61,MIN(AW$6-$E$3,22))&lt;&gt;""),Amendoim!$E61:INDEX(Amendoim!$E61:$Z61,MIN(AW$6-$E$3,22))),0))-IF($G$2,0,IF((AW$6-$G$3)&lt;1,0,IFERROR(LOOKUP(2,1/(Amendoim!$E61:INDEX(Amendoim!$E61:$Z61,MIN(AW$6-$G$3,22))&lt;&gt;""),Amendoim!$E61:INDEX(Amendoim!$E61:$Z61,MIN(AW$6-$G$3,22))),0)))))</f>
        <v>0</v>
      </c>
      <c r="AX63" s="27" t="n">
        <f aca="false">IF(COUNT(Amendoim!$E61:$Z61)=0,0,MAX(0,IF((AX$6-$E$3)&lt;1,0,IFERROR(LOOKUP(2,1/(Amendoim!$E61:INDEX(Amendoim!$E61:$Z61,MIN(AX$6-$E$3,22))&lt;&gt;""),Amendoim!$E61:INDEX(Amendoim!$E61:$Z61,MIN(AX$6-$E$3,22))),0))-IF($G$2,0,IF((AX$6-$G$3)&lt;1,0,IFERROR(LOOKUP(2,1/(Amendoim!$E61:INDEX(Amendoim!$E61:$Z61,MIN(AX$6-$G$3,22))&lt;&gt;""),Amendoim!$E61:INDEX(Amendoim!$E61:$Z61,MIN(AX$6-$G$3,22))),0)))))</f>
        <v>0</v>
      </c>
      <c r="AY63" s="27" t="n">
        <f aca="false">IF(COUNT(Amendoim!$E61:$Z61)=0,0,MAX(0,IF((AY$6-$E$3)&lt;1,0,IFERROR(LOOKUP(2,1/(Amendoim!$E61:INDEX(Amendoim!$E61:$Z61,MIN(AY$6-$E$3,22))&lt;&gt;""),Amendoim!$E61:INDEX(Amendoim!$E61:$Z61,MIN(AY$6-$E$3,22))),0))-IF($G$2,0,IF((AY$6-$G$3)&lt;1,0,IFERROR(LOOKUP(2,1/(Amendoim!$E61:INDEX(Amendoim!$E61:$Z61,MIN(AY$6-$G$3,22))&lt;&gt;""),Amendoim!$E61:INDEX(Amendoim!$E61:$Z61,MIN(AY$6-$G$3,22))),0)))))</f>
        <v>0</v>
      </c>
      <c r="AZ63" s="27" t="n">
        <f aca="false">IF(COUNT(Amendoim!$E61:$Z61)=0,0,MAX(0,IF((AZ$6-$E$3)&lt;1,0,IFERROR(LOOKUP(2,1/(Amendoim!$E61:INDEX(Amendoim!$E61:$Z61,MIN(AZ$6-$E$3,22))&lt;&gt;""),Amendoim!$E61:INDEX(Amendoim!$E61:$Z61,MIN(AZ$6-$E$3,22))),0))-IF($G$2,0,IF((AZ$6-$G$3)&lt;1,0,IFERROR(LOOKUP(2,1/(Amendoim!$E61:INDEX(Amendoim!$E61:$Z61,MIN(AZ$6-$G$3,22))&lt;&gt;""),Amendoim!$E61:INDEX(Amendoim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IF(COUNT(Amendoim!$E62:$Z62)&gt;0,N(Amendoim!$D62),0)</f>
        <v>0</v>
      </c>
      <c r="E64" s="27" t="n">
        <f aca="false">IF(COUNT(Amendoim!$E62:$Z62)=0,0,MAX(0,IF((E$6-$E$3)&lt;1,0,IFERROR(LOOKUP(2,1/(Amendoim!$E62:INDEX(Amendoim!$E62:$Z62,MIN(E$6-$E$3,22))&lt;&gt;""),Amendoim!$E62:INDEX(Amendoim!$E62:$Z62,MIN(E$6-$E$3,22))),0))-IF($G$2,0,IF((E$6-$G$3)&lt;1,0,IFERROR(LOOKUP(2,1/(Amendoim!$E62:INDEX(Amendoim!$E62:$Z62,MIN(E$6-$G$3,22))&lt;&gt;""),Amendoim!$E62:INDEX(Amendoim!$E62:$Z62,MIN(E$6-$G$3,22))),0)))))</f>
        <v>0</v>
      </c>
      <c r="F64" s="27" t="n">
        <f aca="false">IF(COUNT(Amendoim!$E62:$Z62)=0,0,MAX(0,IF((F$6-$E$3)&lt;1,0,IFERROR(LOOKUP(2,1/(Amendoim!$E62:INDEX(Amendoim!$E62:$Z62,MIN(F$6-$E$3,22))&lt;&gt;""),Amendoim!$E62:INDEX(Amendoim!$E62:$Z62,MIN(F$6-$E$3,22))),0))-IF($G$2,0,IF((F$6-$G$3)&lt;1,0,IFERROR(LOOKUP(2,1/(Amendoim!$E62:INDEX(Amendoim!$E62:$Z62,MIN(F$6-$G$3,22))&lt;&gt;""),Amendoim!$E62:INDEX(Amendoim!$E62:$Z62,MIN(F$6-$G$3,22))),0)))))</f>
        <v>0</v>
      </c>
      <c r="G64" s="27" t="n">
        <f aca="false">IF(COUNT(Amendoim!$E62:$Z62)=0,0,MAX(0,IF((G$6-$E$3)&lt;1,0,IFERROR(LOOKUP(2,1/(Amendoim!$E62:INDEX(Amendoim!$E62:$Z62,MIN(G$6-$E$3,22))&lt;&gt;""),Amendoim!$E62:INDEX(Amendoim!$E62:$Z62,MIN(G$6-$E$3,22))),0))-IF($G$2,0,IF((G$6-$G$3)&lt;1,0,IFERROR(LOOKUP(2,1/(Amendoim!$E62:INDEX(Amendoim!$E62:$Z62,MIN(G$6-$G$3,22))&lt;&gt;""),Amendoim!$E62:INDEX(Amendoim!$E62:$Z62,MIN(G$6-$G$3,22))),0)))))</f>
        <v>0</v>
      </c>
      <c r="H64" s="27" t="n">
        <f aca="false">IF(COUNT(Amendoim!$E62:$Z62)=0,0,MAX(0,IF((H$6-$E$3)&lt;1,0,IFERROR(LOOKUP(2,1/(Amendoim!$E62:INDEX(Amendoim!$E62:$Z62,MIN(H$6-$E$3,22))&lt;&gt;""),Amendoim!$E62:INDEX(Amendoim!$E62:$Z62,MIN(H$6-$E$3,22))),0))-IF($G$2,0,IF((H$6-$G$3)&lt;1,0,IFERROR(LOOKUP(2,1/(Amendoim!$E62:INDEX(Amendoim!$E62:$Z62,MIN(H$6-$G$3,22))&lt;&gt;""),Amendoim!$E62:INDEX(Amendoim!$E62:$Z62,MIN(H$6-$G$3,22))),0)))))</f>
        <v>0</v>
      </c>
      <c r="I64" s="27" t="n">
        <f aca="false">IF(COUNT(Amendoim!$E62:$Z62)=0,0,MAX(0,IF((I$6-$E$3)&lt;1,0,IFERROR(LOOKUP(2,1/(Amendoim!$E62:INDEX(Amendoim!$E62:$Z62,MIN(I$6-$E$3,22))&lt;&gt;""),Amendoim!$E62:INDEX(Amendoim!$E62:$Z62,MIN(I$6-$E$3,22))),0))-IF($G$2,0,IF((I$6-$G$3)&lt;1,0,IFERROR(LOOKUP(2,1/(Amendoim!$E62:INDEX(Amendoim!$E62:$Z62,MIN(I$6-$G$3,22))&lt;&gt;""),Amendoim!$E62:INDEX(Amendoim!$E62:$Z62,MIN(I$6-$G$3,22))),0)))))</f>
        <v>0</v>
      </c>
      <c r="J64" s="27" t="n">
        <f aca="false">IF(COUNT(Amendoim!$E62:$Z62)=0,0,MAX(0,IF((J$6-$E$3)&lt;1,0,IFERROR(LOOKUP(2,1/(Amendoim!$E62:INDEX(Amendoim!$E62:$Z62,MIN(J$6-$E$3,22))&lt;&gt;""),Amendoim!$E62:INDEX(Amendoim!$E62:$Z62,MIN(J$6-$E$3,22))),0))-IF($G$2,0,IF((J$6-$G$3)&lt;1,0,IFERROR(LOOKUP(2,1/(Amendoim!$E62:INDEX(Amendoim!$E62:$Z62,MIN(J$6-$G$3,22))&lt;&gt;""),Amendoim!$E62:INDEX(Amendoim!$E62:$Z62,MIN(J$6-$G$3,22))),0)))))</f>
        <v>0</v>
      </c>
      <c r="K64" s="27" t="n">
        <f aca="false">IF(COUNT(Amendoim!$E62:$Z62)=0,0,MAX(0,IF((K$6-$E$3)&lt;1,0,IFERROR(LOOKUP(2,1/(Amendoim!$E62:INDEX(Amendoim!$E62:$Z62,MIN(K$6-$E$3,22))&lt;&gt;""),Amendoim!$E62:INDEX(Amendoim!$E62:$Z62,MIN(K$6-$E$3,22))),0))-IF($G$2,0,IF((K$6-$G$3)&lt;1,0,IFERROR(LOOKUP(2,1/(Amendoim!$E62:INDEX(Amendoim!$E62:$Z62,MIN(K$6-$G$3,22))&lt;&gt;""),Amendoim!$E62:INDEX(Amendoim!$E62:$Z62,MIN(K$6-$G$3,22))),0)))))</f>
        <v>0</v>
      </c>
      <c r="L64" s="27" t="n">
        <f aca="false">IF(COUNT(Amendoim!$E62:$Z62)=0,0,MAX(0,IF((L$6-$E$3)&lt;1,0,IFERROR(LOOKUP(2,1/(Amendoim!$E62:INDEX(Amendoim!$E62:$Z62,MIN(L$6-$E$3,22))&lt;&gt;""),Amendoim!$E62:INDEX(Amendoim!$E62:$Z62,MIN(L$6-$E$3,22))),0))-IF($G$2,0,IF((L$6-$G$3)&lt;1,0,IFERROR(LOOKUP(2,1/(Amendoim!$E62:INDEX(Amendoim!$E62:$Z62,MIN(L$6-$G$3,22))&lt;&gt;""),Amendoim!$E62:INDEX(Amendoim!$E62:$Z62,MIN(L$6-$G$3,22))),0)))))</f>
        <v>0</v>
      </c>
      <c r="M64" s="27" t="n">
        <f aca="false">IF(COUNT(Amendoim!$E62:$Z62)=0,0,MAX(0,IF((M$6-$E$3)&lt;1,0,IFERROR(LOOKUP(2,1/(Amendoim!$E62:INDEX(Amendoim!$E62:$Z62,MIN(M$6-$E$3,22))&lt;&gt;""),Amendoim!$E62:INDEX(Amendoim!$E62:$Z62,MIN(M$6-$E$3,22))),0))-IF($G$2,0,IF((M$6-$G$3)&lt;1,0,IFERROR(LOOKUP(2,1/(Amendoim!$E62:INDEX(Amendoim!$E62:$Z62,MIN(M$6-$G$3,22))&lt;&gt;""),Amendoim!$E62:INDEX(Amendoim!$E62:$Z62,MIN(M$6-$G$3,22))),0)))))</f>
        <v>0</v>
      </c>
      <c r="N64" s="27" t="n">
        <f aca="false">IF(COUNT(Amendoim!$E62:$Z62)=0,0,MAX(0,IF((N$6-$E$3)&lt;1,0,IFERROR(LOOKUP(2,1/(Amendoim!$E62:INDEX(Amendoim!$E62:$Z62,MIN(N$6-$E$3,22))&lt;&gt;""),Amendoim!$E62:INDEX(Amendoim!$E62:$Z62,MIN(N$6-$E$3,22))),0))-IF($G$2,0,IF((N$6-$G$3)&lt;1,0,IFERROR(LOOKUP(2,1/(Amendoim!$E62:INDEX(Amendoim!$E62:$Z62,MIN(N$6-$G$3,22))&lt;&gt;""),Amendoim!$E62:INDEX(Amendoim!$E62:$Z62,MIN(N$6-$G$3,22))),0)))))</f>
        <v>0</v>
      </c>
      <c r="O64" s="27" t="n">
        <f aca="false">IF(COUNT(Amendoim!$E62:$Z62)=0,0,MAX(0,IF((O$6-$E$3)&lt;1,0,IFERROR(LOOKUP(2,1/(Amendoim!$E62:INDEX(Amendoim!$E62:$Z62,MIN(O$6-$E$3,22))&lt;&gt;""),Amendoim!$E62:INDEX(Amendoim!$E62:$Z62,MIN(O$6-$E$3,22))),0))-IF($G$2,0,IF((O$6-$G$3)&lt;1,0,IFERROR(LOOKUP(2,1/(Amendoim!$E62:INDEX(Amendoim!$E62:$Z62,MIN(O$6-$G$3,22))&lt;&gt;""),Amendoim!$E62:INDEX(Amendoim!$E62:$Z62,MIN(O$6-$G$3,22))),0)))))</f>
        <v>0</v>
      </c>
      <c r="P64" s="27" t="n">
        <f aca="false">IF(COUNT(Amendoim!$E62:$Z62)=0,0,MAX(0,IF((P$6-$E$3)&lt;1,0,IFERROR(LOOKUP(2,1/(Amendoim!$E62:INDEX(Amendoim!$E62:$Z62,MIN(P$6-$E$3,22))&lt;&gt;""),Amendoim!$E62:INDEX(Amendoim!$E62:$Z62,MIN(P$6-$E$3,22))),0))-IF($G$2,0,IF((P$6-$G$3)&lt;1,0,IFERROR(LOOKUP(2,1/(Amendoim!$E62:INDEX(Amendoim!$E62:$Z62,MIN(P$6-$G$3,22))&lt;&gt;""),Amendoim!$E62:INDEX(Amendoim!$E62:$Z62,MIN(P$6-$G$3,22))),0)))))</f>
        <v>0</v>
      </c>
      <c r="Q64" s="27" t="n">
        <f aca="false">IF(COUNT(Amendoim!$E62:$Z62)=0,0,MAX(0,IF((Q$6-$E$3)&lt;1,0,IFERROR(LOOKUP(2,1/(Amendoim!$E62:INDEX(Amendoim!$E62:$Z62,MIN(Q$6-$E$3,22))&lt;&gt;""),Amendoim!$E62:INDEX(Amendoim!$E62:$Z62,MIN(Q$6-$E$3,22))),0))-IF($G$2,0,IF((Q$6-$G$3)&lt;1,0,IFERROR(LOOKUP(2,1/(Amendoim!$E62:INDEX(Amendoim!$E62:$Z62,MIN(Q$6-$G$3,22))&lt;&gt;""),Amendoim!$E62:INDEX(Amendoim!$E62:$Z62,MIN(Q$6-$G$3,22))),0)))))</f>
        <v>0</v>
      </c>
      <c r="R64" s="27" t="n">
        <f aca="false">IF(COUNT(Amendoim!$E62:$Z62)=0,0,MAX(0,IF((R$6-$E$3)&lt;1,0,IFERROR(LOOKUP(2,1/(Amendoim!$E62:INDEX(Amendoim!$E62:$Z62,MIN(R$6-$E$3,22))&lt;&gt;""),Amendoim!$E62:INDEX(Amendoim!$E62:$Z62,MIN(R$6-$E$3,22))),0))-IF($G$2,0,IF((R$6-$G$3)&lt;1,0,IFERROR(LOOKUP(2,1/(Amendoim!$E62:INDEX(Amendoim!$E62:$Z62,MIN(R$6-$G$3,22))&lt;&gt;""),Amendoim!$E62:INDEX(Amendoim!$E62:$Z62,MIN(R$6-$G$3,22))),0)))))</f>
        <v>0</v>
      </c>
      <c r="S64" s="27" t="n">
        <f aca="false">IF(COUNT(Amendoim!$E62:$Z62)=0,0,MAX(0,IF((S$6-$E$3)&lt;1,0,IFERROR(LOOKUP(2,1/(Amendoim!$E62:INDEX(Amendoim!$E62:$Z62,MIN(S$6-$E$3,22))&lt;&gt;""),Amendoim!$E62:INDEX(Amendoim!$E62:$Z62,MIN(S$6-$E$3,22))),0))-IF($G$2,0,IF((S$6-$G$3)&lt;1,0,IFERROR(LOOKUP(2,1/(Amendoim!$E62:INDEX(Amendoim!$E62:$Z62,MIN(S$6-$G$3,22))&lt;&gt;""),Amendoim!$E62:INDEX(Amendoim!$E62:$Z62,MIN(S$6-$G$3,22))),0)))))</f>
        <v>0</v>
      </c>
      <c r="T64" s="27" t="n">
        <f aca="false">IF(COUNT(Amendoim!$E62:$Z62)=0,0,MAX(0,IF((T$6-$E$3)&lt;1,0,IFERROR(LOOKUP(2,1/(Amendoim!$E62:INDEX(Amendoim!$E62:$Z62,MIN(T$6-$E$3,22))&lt;&gt;""),Amendoim!$E62:INDEX(Amendoim!$E62:$Z62,MIN(T$6-$E$3,22))),0))-IF($G$2,0,IF((T$6-$G$3)&lt;1,0,IFERROR(LOOKUP(2,1/(Amendoim!$E62:INDEX(Amendoim!$E62:$Z62,MIN(T$6-$G$3,22))&lt;&gt;""),Amendoim!$E62:INDEX(Amendoim!$E62:$Z62,MIN(T$6-$G$3,22))),0)))))</f>
        <v>0</v>
      </c>
      <c r="U64" s="27" t="n">
        <f aca="false">IF(COUNT(Amendoim!$E62:$Z62)=0,0,MAX(0,IF((U$6-$E$3)&lt;1,0,IFERROR(LOOKUP(2,1/(Amendoim!$E62:INDEX(Amendoim!$E62:$Z62,MIN(U$6-$E$3,22))&lt;&gt;""),Amendoim!$E62:INDEX(Amendoim!$E62:$Z62,MIN(U$6-$E$3,22))),0))-IF($G$2,0,IF((U$6-$G$3)&lt;1,0,IFERROR(LOOKUP(2,1/(Amendoim!$E62:INDEX(Amendoim!$E62:$Z62,MIN(U$6-$G$3,22))&lt;&gt;""),Amendoim!$E62:INDEX(Amendoim!$E62:$Z62,MIN(U$6-$G$3,22))),0)))))</f>
        <v>0</v>
      </c>
      <c r="V64" s="27" t="n">
        <f aca="false">IF(COUNT(Amendoim!$E62:$Z62)=0,0,MAX(0,IF((V$6-$E$3)&lt;1,0,IFERROR(LOOKUP(2,1/(Amendoim!$E62:INDEX(Amendoim!$E62:$Z62,MIN(V$6-$E$3,22))&lt;&gt;""),Amendoim!$E62:INDEX(Amendoim!$E62:$Z62,MIN(V$6-$E$3,22))),0))-IF($G$2,0,IF((V$6-$G$3)&lt;1,0,IFERROR(LOOKUP(2,1/(Amendoim!$E62:INDEX(Amendoim!$E62:$Z62,MIN(V$6-$G$3,22))&lt;&gt;""),Amendoim!$E62:INDEX(Amendoim!$E62:$Z62,MIN(V$6-$G$3,22))),0)))))</f>
        <v>0</v>
      </c>
      <c r="W64" s="27" t="n">
        <f aca="false">IF(COUNT(Amendoim!$E62:$Z62)=0,0,MAX(0,IF((W$6-$E$3)&lt;1,0,IFERROR(LOOKUP(2,1/(Amendoim!$E62:INDEX(Amendoim!$E62:$Z62,MIN(W$6-$E$3,22))&lt;&gt;""),Amendoim!$E62:INDEX(Amendoim!$E62:$Z62,MIN(W$6-$E$3,22))),0))-IF($G$2,0,IF((W$6-$G$3)&lt;1,0,IFERROR(LOOKUP(2,1/(Amendoim!$E62:INDEX(Amendoim!$E62:$Z62,MIN(W$6-$G$3,22))&lt;&gt;""),Amendoim!$E62:INDEX(Amendoim!$E62:$Z62,MIN(W$6-$G$3,22))),0)))))</f>
        <v>0</v>
      </c>
      <c r="X64" s="27" t="n">
        <f aca="false">IF(COUNT(Amendoim!$E62:$Z62)=0,0,MAX(0,IF((X$6-$E$3)&lt;1,0,IFERROR(LOOKUP(2,1/(Amendoim!$E62:INDEX(Amendoim!$E62:$Z62,MIN(X$6-$E$3,22))&lt;&gt;""),Amendoim!$E62:INDEX(Amendoim!$E62:$Z62,MIN(X$6-$E$3,22))),0))-IF($G$2,0,IF((X$6-$G$3)&lt;1,0,IFERROR(LOOKUP(2,1/(Amendoim!$E62:INDEX(Amendoim!$E62:$Z62,MIN(X$6-$G$3,22))&lt;&gt;""),Amendoim!$E62:INDEX(Amendoim!$E62:$Z62,MIN(X$6-$G$3,22))),0)))))</f>
        <v>0</v>
      </c>
      <c r="Y64" s="27" t="n">
        <f aca="false">IF(COUNT(Amendoim!$E62:$Z62)=0,0,MAX(0,IF((Y$6-$E$3)&lt;1,0,IFERROR(LOOKUP(2,1/(Amendoim!$E62:INDEX(Amendoim!$E62:$Z62,MIN(Y$6-$E$3,22))&lt;&gt;""),Amendoim!$E62:INDEX(Amendoim!$E62:$Z62,MIN(Y$6-$E$3,22))),0))-IF($G$2,0,IF((Y$6-$G$3)&lt;1,0,IFERROR(LOOKUP(2,1/(Amendoim!$E62:INDEX(Amendoim!$E62:$Z62,MIN(Y$6-$G$3,22))&lt;&gt;""),Amendoim!$E62:INDEX(Amendoim!$E62:$Z62,MIN(Y$6-$G$3,22))),0)))))</f>
        <v>0</v>
      </c>
      <c r="Z64" s="27" t="n">
        <f aca="false">IF(COUNT(Amendoim!$E62:$Z62)=0,0,MAX(0,IF((Z$6-$E$3)&lt;1,0,IFERROR(LOOKUP(2,1/(Amendoim!$E62:INDEX(Amendoim!$E62:$Z62,MIN(Z$6-$E$3,22))&lt;&gt;""),Amendoim!$E62:INDEX(Amendoim!$E62:$Z62,MIN(Z$6-$E$3,22))),0))-IF($G$2,0,IF((Z$6-$G$3)&lt;1,0,IFERROR(LOOKUP(2,1/(Amendoim!$E62:INDEX(Amendoim!$E62:$Z62,MIN(Z$6-$G$3,22))&lt;&gt;""),Amendoim!$E62:INDEX(Amendoim!$E62:$Z62,MIN(Z$6-$G$3,22))),0)))))</f>
        <v>0</v>
      </c>
      <c r="AA64" s="27" t="n">
        <f aca="false">IF(COUNT(Amendoim!$E62:$Z62)=0,0,MAX(0,IF((AA$6-$E$3)&lt;1,0,IFERROR(LOOKUP(2,1/(Amendoim!$E62:INDEX(Amendoim!$E62:$Z62,MIN(AA$6-$E$3,22))&lt;&gt;""),Amendoim!$E62:INDEX(Amendoim!$E62:$Z62,MIN(AA$6-$E$3,22))),0))-IF($G$2,0,IF((AA$6-$G$3)&lt;1,0,IFERROR(LOOKUP(2,1/(Amendoim!$E62:INDEX(Amendoim!$E62:$Z62,MIN(AA$6-$G$3,22))&lt;&gt;""),Amendoim!$E62:INDEX(Amendoim!$E62:$Z62,MIN(AA$6-$G$3,22))),0)))))</f>
        <v>0</v>
      </c>
      <c r="AB64" s="27" t="n">
        <f aca="false">IF(COUNT(Amendoim!$E62:$Z62)=0,0,MAX(0,IF((AB$6-$E$3)&lt;1,0,IFERROR(LOOKUP(2,1/(Amendoim!$E62:INDEX(Amendoim!$E62:$Z62,MIN(AB$6-$E$3,22))&lt;&gt;""),Amendoim!$E62:INDEX(Amendoim!$E62:$Z62,MIN(AB$6-$E$3,22))),0))-IF($G$2,0,IF((AB$6-$G$3)&lt;1,0,IFERROR(LOOKUP(2,1/(Amendoim!$E62:INDEX(Amendoim!$E62:$Z62,MIN(AB$6-$G$3,22))&lt;&gt;""),Amendoim!$E62:INDEX(Amendoim!$E62:$Z62,MIN(AB$6-$G$3,22))),0)))))</f>
        <v>0</v>
      </c>
      <c r="AC64" s="27" t="n">
        <f aca="false">IF(COUNT(Amendoim!$E62:$Z62)=0,0,MAX(0,IF((AC$6-$E$3)&lt;1,0,IFERROR(LOOKUP(2,1/(Amendoim!$E62:INDEX(Amendoim!$E62:$Z62,MIN(AC$6-$E$3,22))&lt;&gt;""),Amendoim!$E62:INDEX(Amendoim!$E62:$Z62,MIN(AC$6-$E$3,22))),0))-IF($G$2,0,IF((AC$6-$G$3)&lt;1,0,IFERROR(LOOKUP(2,1/(Amendoim!$E62:INDEX(Amendoim!$E62:$Z62,MIN(AC$6-$G$3,22))&lt;&gt;""),Amendoim!$E62:INDEX(Amendoim!$E62:$Z62,MIN(AC$6-$G$3,22))),0)))))</f>
        <v>0</v>
      </c>
      <c r="AD64" s="27" t="n">
        <f aca="false">IF(COUNT(Amendoim!$E62:$Z62)=0,0,MAX(0,IF((AD$6-$E$3)&lt;1,0,IFERROR(LOOKUP(2,1/(Amendoim!$E62:INDEX(Amendoim!$E62:$Z62,MIN(AD$6-$E$3,22))&lt;&gt;""),Amendoim!$E62:INDEX(Amendoim!$E62:$Z62,MIN(AD$6-$E$3,22))),0))-IF($G$2,0,IF((AD$6-$G$3)&lt;1,0,IFERROR(LOOKUP(2,1/(Amendoim!$E62:INDEX(Amendoim!$E62:$Z62,MIN(AD$6-$G$3,22))&lt;&gt;""),Amendoim!$E62:INDEX(Amendoim!$E62:$Z62,MIN(AD$6-$G$3,22))),0)))))</f>
        <v>0</v>
      </c>
      <c r="AE64" s="27" t="n">
        <f aca="false">IF(COUNT(Amendoim!$E62:$Z62)=0,0,MAX(0,IF((AE$6-$E$3)&lt;1,0,IFERROR(LOOKUP(2,1/(Amendoim!$E62:INDEX(Amendoim!$E62:$Z62,MIN(AE$6-$E$3,22))&lt;&gt;""),Amendoim!$E62:INDEX(Amendoim!$E62:$Z62,MIN(AE$6-$E$3,22))),0))-IF($G$2,0,IF((AE$6-$G$3)&lt;1,0,IFERROR(LOOKUP(2,1/(Amendoim!$E62:INDEX(Amendoim!$E62:$Z62,MIN(AE$6-$G$3,22))&lt;&gt;""),Amendoim!$E62:INDEX(Amendoim!$E62:$Z62,MIN(AE$6-$G$3,22))),0)))))</f>
        <v>0</v>
      </c>
      <c r="AF64" s="27" t="n">
        <f aca="false">IF(COUNT(Amendoim!$E62:$Z62)=0,0,MAX(0,IF((AF$6-$E$3)&lt;1,0,IFERROR(LOOKUP(2,1/(Amendoim!$E62:INDEX(Amendoim!$E62:$Z62,MIN(AF$6-$E$3,22))&lt;&gt;""),Amendoim!$E62:INDEX(Amendoim!$E62:$Z62,MIN(AF$6-$E$3,22))),0))-IF($G$2,0,IF((AF$6-$G$3)&lt;1,0,IFERROR(LOOKUP(2,1/(Amendoim!$E62:INDEX(Amendoim!$E62:$Z62,MIN(AF$6-$G$3,22))&lt;&gt;""),Amendoim!$E62:INDEX(Amendoim!$E62:$Z62,MIN(AF$6-$G$3,22))),0)))))</f>
        <v>0</v>
      </c>
      <c r="AG64" s="27" t="n">
        <f aca="false">IF(COUNT(Amendoim!$E62:$Z62)=0,0,MAX(0,IF((AG$6-$E$3)&lt;1,0,IFERROR(LOOKUP(2,1/(Amendoim!$E62:INDEX(Amendoim!$E62:$Z62,MIN(AG$6-$E$3,22))&lt;&gt;""),Amendoim!$E62:INDEX(Amendoim!$E62:$Z62,MIN(AG$6-$E$3,22))),0))-IF($G$2,0,IF((AG$6-$G$3)&lt;1,0,IFERROR(LOOKUP(2,1/(Amendoim!$E62:INDEX(Amendoim!$E62:$Z62,MIN(AG$6-$G$3,22))&lt;&gt;""),Amendoim!$E62:INDEX(Amendoim!$E62:$Z62,MIN(AG$6-$G$3,22))),0)))))</f>
        <v>0</v>
      </c>
      <c r="AH64" s="27" t="n">
        <f aca="false">IF(COUNT(Amendoim!$E62:$Z62)=0,0,MAX(0,IF((AH$6-$E$3)&lt;1,0,IFERROR(LOOKUP(2,1/(Amendoim!$E62:INDEX(Amendoim!$E62:$Z62,MIN(AH$6-$E$3,22))&lt;&gt;""),Amendoim!$E62:INDEX(Amendoim!$E62:$Z62,MIN(AH$6-$E$3,22))),0))-IF($G$2,0,IF((AH$6-$G$3)&lt;1,0,IFERROR(LOOKUP(2,1/(Amendoim!$E62:INDEX(Amendoim!$E62:$Z62,MIN(AH$6-$G$3,22))&lt;&gt;""),Amendoim!$E62:INDEX(Amendoim!$E62:$Z62,MIN(AH$6-$G$3,22))),0)))))</f>
        <v>0</v>
      </c>
      <c r="AI64" s="27" t="n">
        <f aca="false">IF(COUNT(Amendoim!$E62:$Z62)=0,0,MAX(0,IF((AI$6-$E$3)&lt;1,0,IFERROR(LOOKUP(2,1/(Amendoim!$E62:INDEX(Amendoim!$E62:$Z62,MIN(AI$6-$E$3,22))&lt;&gt;""),Amendoim!$E62:INDEX(Amendoim!$E62:$Z62,MIN(AI$6-$E$3,22))),0))-IF($G$2,0,IF((AI$6-$G$3)&lt;1,0,IFERROR(LOOKUP(2,1/(Amendoim!$E62:INDEX(Amendoim!$E62:$Z62,MIN(AI$6-$G$3,22))&lt;&gt;""),Amendoim!$E62:INDEX(Amendoim!$E62:$Z62,MIN(AI$6-$G$3,22))),0)))))</f>
        <v>0</v>
      </c>
      <c r="AJ64" s="27" t="n">
        <f aca="false">IF(COUNT(Amendoim!$E62:$Z62)=0,0,MAX(0,IF((AJ$6-$E$3)&lt;1,0,IFERROR(LOOKUP(2,1/(Amendoim!$E62:INDEX(Amendoim!$E62:$Z62,MIN(AJ$6-$E$3,22))&lt;&gt;""),Amendoim!$E62:INDEX(Amendoim!$E62:$Z62,MIN(AJ$6-$E$3,22))),0))-IF($G$2,0,IF((AJ$6-$G$3)&lt;1,0,IFERROR(LOOKUP(2,1/(Amendoim!$E62:INDEX(Amendoim!$E62:$Z62,MIN(AJ$6-$G$3,22))&lt;&gt;""),Amendoim!$E62:INDEX(Amendoim!$E62:$Z62,MIN(AJ$6-$G$3,22))),0)))))</f>
        <v>0</v>
      </c>
      <c r="AK64" s="27" t="n">
        <f aca="false">IF(COUNT(Amendoim!$E62:$Z62)=0,0,MAX(0,IF((AK$6-$E$3)&lt;1,0,IFERROR(LOOKUP(2,1/(Amendoim!$E62:INDEX(Amendoim!$E62:$Z62,MIN(AK$6-$E$3,22))&lt;&gt;""),Amendoim!$E62:INDEX(Amendoim!$E62:$Z62,MIN(AK$6-$E$3,22))),0))-IF($G$2,0,IF((AK$6-$G$3)&lt;1,0,IFERROR(LOOKUP(2,1/(Amendoim!$E62:INDEX(Amendoim!$E62:$Z62,MIN(AK$6-$G$3,22))&lt;&gt;""),Amendoim!$E62:INDEX(Amendoim!$E62:$Z62,MIN(AK$6-$G$3,22))),0)))))</f>
        <v>0</v>
      </c>
      <c r="AL64" s="27" t="n">
        <f aca="false">IF(COUNT(Amendoim!$E62:$Z62)=0,0,MAX(0,IF((AL$6-$E$3)&lt;1,0,IFERROR(LOOKUP(2,1/(Amendoim!$E62:INDEX(Amendoim!$E62:$Z62,MIN(AL$6-$E$3,22))&lt;&gt;""),Amendoim!$E62:INDEX(Amendoim!$E62:$Z62,MIN(AL$6-$E$3,22))),0))-IF($G$2,0,IF((AL$6-$G$3)&lt;1,0,IFERROR(LOOKUP(2,1/(Amendoim!$E62:INDEX(Amendoim!$E62:$Z62,MIN(AL$6-$G$3,22))&lt;&gt;""),Amendoim!$E62:INDEX(Amendoim!$E62:$Z62,MIN(AL$6-$G$3,22))),0)))))</f>
        <v>0</v>
      </c>
      <c r="AM64" s="27" t="n">
        <f aca="false">IF(COUNT(Amendoim!$E62:$Z62)=0,0,MAX(0,IF((AM$6-$E$3)&lt;1,0,IFERROR(LOOKUP(2,1/(Amendoim!$E62:INDEX(Amendoim!$E62:$Z62,MIN(AM$6-$E$3,22))&lt;&gt;""),Amendoim!$E62:INDEX(Amendoim!$E62:$Z62,MIN(AM$6-$E$3,22))),0))-IF($G$2,0,IF((AM$6-$G$3)&lt;1,0,IFERROR(LOOKUP(2,1/(Amendoim!$E62:INDEX(Amendoim!$E62:$Z62,MIN(AM$6-$G$3,22))&lt;&gt;""),Amendoim!$E62:INDEX(Amendoim!$E62:$Z62,MIN(AM$6-$G$3,22))),0)))))</f>
        <v>0</v>
      </c>
      <c r="AN64" s="27" t="n">
        <f aca="false">IF(COUNT(Amendoim!$E62:$Z62)=0,0,MAX(0,IF((AN$6-$E$3)&lt;1,0,IFERROR(LOOKUP(2,1/(Amendoim!$E62:INDEX(Amendoim!$E62:$Z62,MIN(AN$6-$E$3,22))&lt;&gt;""),Amendoim!$E62:INDEX(Amendoim!$E62:$Z62,MIN(AN$6-$E$3,22))),0))-IF($G$2,0,IF((AN$6-$G$3)&lt;1,0,IFERROR(LOOKUP(2,1/(Amendoim!$E62:INDEX(Amendoim!$E62:$Z62,MIN(AN$6-$G$3,22))&lt;&gt;""),Amendoim!$E62:INDEX(Amendoim!$E62:$Z62,MIN(AN$6-$G$3,22))),0)))))</f>
        <v>0</v>
      </c>
      <c r="AO64" s="27" t="n">
        <f aca="false">IF(COUNT(Amendoim!$E62:$Z62)=0,0,MAX(0,IF((AO$6-$E$3)&lt;1,0,IFERROR(LOOKUP(2,1/(Amendoim!$E62:INDEX(Amendoim!$E62:$Z62,MIN(AO$6-$E$3,22))&lt;&gt;""),Amendoim!$E62:INDEX(Amendoim!$E62:$Z62,MIN(AO$6-$E$3,22))),0))-IF($G$2,0,IF((AO$6-$G$3)&lt;1,0,IFERROR(LOOKUP(2,1/(Amendoim!$E62:INDEX(Amendoim!$E62:$Z62,MIN(AO$6-$G$3,22))&lt;&gt;""),Amendoim!$E62:INDEX(Amendoim!$E62:$Z62,MIN(AO$6-$G$3,22))),0)))))</f>
        <v>0</v>
      </c>
      <c r="AP64" s="27" t="n">
        <f aca="false">IF(COUNT(Amendoim!$E62:$Z62)=0,0,MAX(0,IF((AP$6-$E$3)&lt;1,0,IFERROR(LOOKUP(2,1/(Amendoim!$E62:INDEX(Amendoim!$E62:$Z62,MIN(AP$6-$E$3,22))&lt;&gt;""),Amendoim!$E62:INDEX(Amendoim!$E62:$Z62,MIN(AP$6-$E$3,22))),0))-IF($G$2,0,IF((AP$6-$G$3)&lt;1,0,IFERROR(LOOKUP(2,1/(Amendoim!$E62:INDEX(Amendoim!$E62:$Z62,MIN(AP$6-$G$3,22))&lt;&gt;""),Amendoim!$E62:INDEX(Amendoim!$E62:$Z62,MIN(AP$6-$G$3,22))),0)))))</f>
        <v>0</v>
      </c>
      <c r="AQ64" s="27" t="n">
        <f aca="false">IF(COUNT(Amendoim!$E62:$Z62)=0,0,MAX(0,IF((AQ$6-$E$3)&lt;1,0,IFERROR(LOOKUP(2,1/(Amendoim!$E62:INDEX(Amendoim!$E62:$Z62,MIN(AQ$6-$E$3,22))&lt;&gt;""),Amendoim!$E62:INDEX(Amendoim!$E62:$Z62,MIN(AQ$6-$E$3,22))),0))-IF($G$2,0,IF((AQ$6-$G$3)&lt;1,0,IFERROR(LOOKUP(2,1/(Amendoim!$E62:INDEX(Amendoim!$E62:$Z62,MIN(AQ$6-$G$3,22))&lt;&gt;""),Amendoim!$E62:INDEX(Amendoim!$E62:$Z62,MIN(AQ$6-$G$3,22))),0)))))</f>
        <v>0</v>
      </c>
      <c r="AR64" s="27" t="n">
        <f aca="false">IF(COUNT(Amendoim!$E62:$Z62)=0,0,MAX(0,IF((AR$6-$E$3)&lt;1,0,IFERROR(LOOKUP(2,1/(Amendoim!$E62:INDEX(Amendoim!$E62:$Z62,MIN(AR$6-$E$3,22))&lt;&gt;""),Amendoim!$E62:INDEX(Amendoim!$E62:$Z62,MIN(AR$6-$E$3,22))),0))-IF($G$2,0,IF((AR$6-$G$3)&lt;1,0,IFERROR(LOOKUP(2,1/(Amendoim!$E62:INDEX(Amendoim!$E62:$Z62,MIN(AR$6-$G$3,22))&lt;&gt;""),Amendoim!$E62:INDEX(Amendoim!$E62:$Z62,MIN(AR$6-$G$3,22))),0)))))</f>
        <v>0</v>
      </c>
      <c r="AS64" s="27" t="n">
        <f aca="false">IF(COUNT(Amendoim!$E62:$Z62)=0,0,MAX(0,IF((AS$6-$E$3)&lt;1,0,IFERROR(LOOKUP(2,1/(Amendoim!$E62:INDEX(Amendoim!$E62:$Z62,MIN(AS$6-$E$3,22))&lt;&gt;""),Amendoim!$E62:INDEX(Amendoim!$E62:$Z62,MIN(AS$6-$E$3,22))),0))-IF($G$2,0,IF((AS$6-$G$3)&lt;1,0,IFERROR(LOOKUP(2,1/(Amendoim!$E62:INDEX(Amendoim!$E62:$Z62,MIN(AS$6-$G$3,22))&lt;&gt;""),Amendoim!$E62:INDEX(Amendoim!$E62:$Z62,MIN(AS$6-$G$3,22))),0)))))</f>
        <v>0</v>
      </c>
      <c r="AT64" s="27" t="n">
        <f aca="false">IF(COUNT(Amendoim!$E62:$Z62)=0,0,MAX(0,IF((AT$6-$E$3)&lt;1,0,IFERROR(LOOKUP(2,1/(Amendoim!$E62:INDEX(Amendoim!$E62:$Z62,MIN(AT$6-$E$3,22))&lt;&gt;""),Amendoim!$E62:INDEX(Amendoim!$E62:$Z62,MIN(AT$6-$E$3,22))),0))-IF($G$2,0,IF((AT$6-$G$3)&lt;1,0,IFERROR(LOOKUP(2,1/(Amendoim!$E62:INDEX(Amendoim!$E62:$Z62,MIN(AT$6-$G$3,22))&lt;&gt;""),Amendoim!$E62:INDEX(Amendoim!$E62:$Z62,MIN(AT$6-$G$3,22))),0)))))</f>
        <v>0</v>
      </c>
      <c r="AU64" s="27" t="n">
        <f aca="false">IF(COUNT(Amendoim!$E62:$Z62)=0,0,MAX(0,IF((AU$6-$E$3)&lt;1,0,IFERROR(LOOKUP(2,1/(Amendoim!$E62:INDEX(Amendoim!$E62:$Z62,MIN(AU$6-$E$3,22))&lt;&gt;""),Amendoim!$E62:INDEX(Amendoim!$E62:$Z62,MIN(AU$6-$E$3,22))),0))-IF($G$2,0,IF((AU$6-$G$3)&lt;1,0,IFERROR(LOOKUP(2,1/(Amendoim!$E62:INDEX(Amendoim!$E62:$Z62,MIN(AU$6-$G$3,22))&lt;&gt;""),Amendoim!$E62:INDEX(Amendoim!$E62:$Z62,MIN(AU$6-$G$3,22))),0)))))</f>
        <v>0</v>
      </c>
      <c r="AV64" s="27" t="n">
        <f aca="false">IF(COUNT(Amendoim!$E62:$Z62)=0,0,MAX(0,IF((AV$6-$E$3)&lt;1,0,IFERROR(LOOKUP(2,1/(Amendoim!$E62:INDEX(Amendoim!$E62:$Z62,MIN(AV$6-$E$3,22))&lt;&gt;""),Amendoim!$E62:INDEX(Amendoim!$E62:$Z62,MIN(AV$6-$E$3,22))),0))-IF($G$2,0,IF((AV$6-$G$3)&lt;1,0,IFERROR(LOOKUP(2,1/(Amendoim!$E62:INDEX(Amendoim!$E62:$Z62,MIN(AV$6-$G$3,22))&lt;&gt;""),Amendoim!$E62:INDEX(Amendoim!$E62:$Z62,MIN(AV$6-$G$3,22))),0)))))</f>
        <v>0</v>
      </c>
      <c r="AW64" s="27" t="n">
        <f aca="false">IF(COUNT(Amendoim!$E62:$Z62)=0,0,MAX(0,IF((AW$6-$E$3)&lt;1,0,IFERROR(LOOKUP(2,1/(Amendoim!$E62:INDEX(Amendoim!$E62:$Z62,MIN(AW$6-$E$3,22))&lt;&gt;""),Amendoim!$E62:INDEX(Amendoim!$E62:$Z62,MIN(AW$6-$E$3,22))),0))-IF($G$2,0,IF((AW$6-$G$3)&lt;1,0,IFERROR(LOOKUP(2,1/(Amendoim!$E62:INDEX(Amendoim!$E62:$Z62,MIN(AW$6-$G$3,22))&lt;&gt;""),Amendoim!$E62:INDEX(Amendoim!$E62:$Z62,MIN(AW$6-$G$3,22))),0)))))</f>
        <v>0</v>
      </c>
      <c r="AX64" s="27" t="n">
        <f aca="false">IF(COUNT(Amendoim!$E62:$Z62)=0,0,MAX(0,IF((AX$6-$E$3)&lt;1,0,IFERROR(LOOKUP(2,1/(Amendoim!$E62:INDEX(Amendoim!$E62:$Z62,MIN(AX$6-$E$3,22))&lt;&gt;""),Amendoim!$E62:INDEX(Amendoim!$E62:$Z62,MIN(AX$6-$E$3,22))),0))-IF($G$2,0,IF((AX$6-$G$3)&lt;1,0,IFERROR(LOOKUP(2,1/(Amendoim!$E62:INDEX(Amendoim!$E62:$Z62,MIN(AX$6-$G$3,22))&lt;&gt;""),Amendoim!$E62:INDEX(Amendoim!$E62:$Z62,MIN(AX$6-$G$3,22))),0)))))</f>
        <v>0</v>
      </c>
      <c r="AY64" s="27" t="n">
        <f aca="false">IF(COUNT(Amendoim!$E62:$Z62)=0,0,MAX(0,IF((AY$6-$E$3)&lt;1,0,IFERROR(LOOKUP(2,1/(Amendoim!$E62:INDEX(Amendoim!$E62:$Z62,MIN(AY$6-$E$3,22))&lt;&gt;""),Amendoim!$E62:INDEX(Amendoim!$E62:$Z62,MIN(AY$6-$E$3,22))),0))-IF($G$2,0,IF((AY$6-$G$3)&lt;1,0,IFERROR(LOOKUP(2,1/(Amendoim!$E62:INDEX(Amendoim!$E62:$Z62,MIN(AY$6-$G$3,22))&lt;&gt;""),Amendoim!$E62:INDEX(Amendoim!$E62:$Z62,MIN(AY$6-$G$3,22))),0)))))</f>
        <v>0</v>
      </c>
      <c r="AZ64" s="27" t="n">
        <f aca="false">IF(COUNT(Amendoim!$E62:$Z62)=0,0,MAX(0,IF((AZ$6-$E$3)&lt;1,0,IFERROR(LOOKUP(2,1/(Amendoim!$E62:INDEX(Amendoim!$E62:$Z62,MIN(AZ$6-$E$3,22))&lt;&gt;""),Amendoim!$E62:INDEX(Amendoim!$E62:$Z62,MIN(AZ$6-$E$3,22))),0))-IF($G$2,0,IF((AZ$6-$G$3)&lt;1,0,IFERROR(LOOKUP(2,1/(Amendoim!$E62:INDEX(Amendoim!$E62:$Z62,MIN(AZ$6-$G$3,22))&lt;&gt;""),Amendoim!$E62:INDEX(Amendoim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IF(COUNT(Amendoim!$E63:$Z63)&gt;0,N(Amendoim!$D63),0)</f>
        <v>0</v>
      </c>
      <c r="E65" s="27" t="n">
        <f aca="false">IF(COUNT(Amendoim!$E63:$Z63)=0,0,MAX(0,IF((E$6-$E$3)&lt;1,0,IFERROR(LOOKUP(2,1/(Amendoim!$E63:INDEX(Amendoim!$E63:$Z63,MIN(E$6-$E$3,22))&lt;&gt;""),Amendoim!$E63:INDEX(Amendoim!$E63:$Z63,MIN(E$6-$E$3,22))),0))-IF($G$2,0,IF((E$6-$G$3)&lt;1,0,IFERROR(LOOKUP(2,1/(Amendoim!$E63:INDEX(Amendoim!$E63:$Z63,MIN(E$6-$G$3,22))&lt;&gt;""),Amendoim!$E63:INDEX(Amendoim!$E63:$Z63,MIN(E$6-$G$3,22))),0)))))</f>
        <v>0</v>
      </c>
      <c r="F65" s="27" t="n">
        <f aca="false">IF(COUNT(Amendoim!$E63:$Z63)=0,0,MAX(0,IF((F$6-$E$3)&lt;1,0,IFERROR(LOOKUP(2,1/(Amendoim!$E63:INDEX(Amendoim!$E63:$Z63,MIN(F$6-$E$3,22))&lt;&gt;""),Amendoim!$E63:INDEX(Amendoim!$E63:$Z63,MIN(F$6-$E$3,22))),0))-IF($G$2,0,IF((F$6-$G$3)&lt;1,0,IFERROR(LOOKUP(2,1/(Amendoim!$E63:INDEX(Amendoim!$E63:$Z63,MIN(F$6-$G$3,22))&lt;&gt;""),Amendoim!$E63:INDEX(Amendoim!$E63:$Z63,MIN(F$6-$G$3,22))),0)))))</f>
        <v>0</v>
      </c>
      <c r="G65" s="27" t="n">
        <f aca="false">IF(COUNT(Amendoim!$E63:$Z63)=0,0,MAX(0,IF((G$6-$E$3)&lt;1,0,IFERROR(LOOKUP(2,1/(Amendoim!$E63:INDEX(Amendoim!$E63:$Z63,MIN(G$6-$E$3,22))&lt;&gt;""),Amendoim!$E63:INDEX(Amendoim!$E63:$Z63,MIN(G$6-$E$3,22))),0))-IF($G$2,0,IF((G$6-$G$3)&lt;1,0,IFERROR(LOOKUP(2,1/(Amendoim!$E63:INDEX(Amendoim!$E63:$Z63,MIN(G$6-$G$3,22))&lt;&gt;""),Amendoim!$E63:INDEX(Amendoim!$E63:$Z63,MIN(G$6-$G$3,22))),0)))))</f>
        <v>0</v>
      </c>
      <c r="H65" s="27" t="n">
        <f aca="false">IF(COUNT(Amendoim!$E63:$Z63)=0,0,MAX(0,IF((H$6-$E$3)&lt;1,0,IFERROR(LOOKUP(2,1/(Amendoim!$E63:INDEX(Amendoim!$E63:$Z63,MIN(H$6-$E$3,22))&lt;&gt;""),Amendoim!$E63:INDEX(Amendoim!$E63:$Z63,MIN(H$6-$E$3,22))),0))-IF($G$2,0,IF((H$6-$G$3)&lt;1,0,IFERROR(LOOKUP(2,1/(Amendoim!$E63:INDEX(Amendoim!$E63:$Z63,MIN(H$6-$G$3,22))&lt;&gt;""),Amendoim!$E63:INDEX(Amendoim!$E63:$Z63,MIN(H$6-$G$3,22))),0)))))</f>
        <v>0</v>
      </c>
      <c r="I65" s="27" t="n">
        <f aca="false">IF(COUNT(Amendoim!$E63:$Z63)=0,0,MAX(0,IF((I$6-$E$3)&lt;1,0,IFERROR(LOOKUP(2,1/(Amendoim!$E63:INDEX(Amendoim!$E63:$Z63,MIN(I$6-$E$3,22))&lt;&gt;""),Amendoim!$E63:INDEX(Amendoim!$E63:$Z63,MIN(I$6-$E$3,22))),0))-IF($G$2,0,IF((I$6-$G$3)&lt;1,0,IFERROR(LOOKUP(2,1/(Amendoim!$E63:INDEX(Amendoim!$E63:$Z63,MIN(I$6-$G$3,22))&lt;&gt;""),Amendoim!$E63:INDEX(Amendoim!$E63:$Z63,MIN(I$6-$G$3,22))),0)))))</f>
        <v>0</v>
      </c>
      <c r="J65" s="27" t="n">
        <f aca="false">IF(COUNT(Amendoim!$E63:$Z63)=0,0,MAX(0,IF((J$6-$E$3)&lt;1,0,IFERROR(LOOKUP(2,1/(Amendoim!$E63:INDEX(Amendoim!$E63:$Z63,MIN(J$6-$E$3,22))&lt;&gt;""),Amendoim!$E63:INDEX(Amendoim!$E63:$Z63,MIN(J$6-$E$3,22))),0))-IF($G$2,0,IF((J$6-$G$3)&lt;1,0,IFERROR(LOOKUP(2,1/(Amendoim!$E63:INDEX(Amendoim!$E63:$Z63,MIN(J$6-$G$3,22))&lt;&gt;""),Amendoim!$E63:INDEX(Amendoim!$E63:$Z63,MIN(J$6-$G$3,22))),0)))))</f>
        <v>0</v>
      </c>
      <c r="K65" s="27" t="n">
        <f aca="false">IF(COUNT(Amendoim!$E63:$Z63)=0,0,MAX(0,IF((K$6-$E$3)&lt;1,0,IFERROR(LOOKUP(2,1/(Amendoim!$E63:INDEX(Amendoim!$E63:$Z63,MIN(K$6-$E$3,22))&lt;&gt;""),Amendoim!$E63:INDEX(Amendoim!$E63:$Z63,MIN(K$6-$E$3,22))),0))-IF($G$2,0,IF((K$6-$G$3)&lt;1,0,IFERROR(LOOKUP(2,1/(Amendoim!$E63:INDEX(Amendoim!$E63:$Z63,MIN(K$6-$G$3,22))&lt;&gt;""),Amendoim!$E63:INDEX(Amendoim!$E63:$Z63,MIN(K$6-$G$3,22))),0)))))</f>
        <v>0</v>
      </c>
      <c r="L65" s="27" t="n">
        <f aca="false">IF(COUNT(Amendoim!$E63:$Z63)=0,0,MAX(0,IF((L$6-$E$3)&lt;1,0,IFERROR(LOOKUP(2,1/(Amendoim!$E63:INDEX(Amendoim!$E63:$Z63,MIN(L$6-$E$3,22))&lt;&gt;""),Amendoim!$E63:INDEX(Amendoim!$E63:$Z63,MIN(L$6-$E$3,22))),0))-IF($G$2,0,IF((L$6-$G$3)&lt;1,0,IFERROR(LOOKUP(2,1/(Amendoim!$E63:INDEX(Amendoim!$E63:$Z63,MIN(L$6-$G$3,22))&lt;&gt;""),Amendoim!$E63:INDEX(Amendoim!$E63:$Z63,MIN(L$6-$G$3,22))),0)))))</f>
        <v>0</v>
      </c>
      <c r="M65" s="27" t="n">
        <f aca="false">IF(COUNT(Amendoim!$E63:$Z63)=0,0,MAX(0,IF((M$6-$E$3)&lt;1,0,IFERROR(LOOKUP(2,1/(Amendoim!$E63:INDEX(Amendoim!$E63:$Z63,MIN(M$6-$E$3,22))&lt;&gt;""),Amendoim!$E63:INDEX(Amendoim!$E63:$Z63,MIN(M$6-$E$3,22))),0))-IF($G$2,0,IF((M$6-$G$3)&lt;1,0,IFERROR(LOOKUP(2,1/(Amendoim!$E63:INDEX(Amendoim!$E63:$Z63,MIN(M$6-$G$3,22))&lt;&gt;""),Amendoim!$E63:INDEX(Amendoim!$E63:$Z63,MIN(M$6-$G$3,22))),0)))))</f>
        <v>0</v>
      </c>
      <c r="N65" s="27" t="n">
        <f aca="false">IF(COUNT(Amendoim!$E63:$Z63)=0,0,MAX(0,IF((N$6-$E$3)&lt;1,0,IFERROR(LOOKUP(2,1/(Amendoim!$E63:INDEX(Amendoim!$E63:$Z63,MIN(N$6-$E$3,22))&lt;&gt;""),Amendoim!$E63:INDEX(Amendoim!$E63:$Z63,MIN(N$6-$E$3,22))),0))-IF($G$2,0,IF((N$6-$G$3)&lt;1,0,IFERROR(LOOKUP(2,1/(Amendoim!$E63:INDEX(Amendoim!$E63:$Z63,MIN(N$6-$G$3,22))&lt;&gt;""),Amendoim!$E63:INDEX(Amendoim!$E63:$Z63,MIN(N$6-$G$3,22))),0)))))</f>
        <v>0</v>
      </c>
      <c r="O65" s="27" t="n">
        <f aca="false">IF(COUNT(Amendoim!$E63:$Z63)=0,0,MAX(0,IF((O$6-$E$3)&lt;1,0,IFERROR(LOOKUP(2,1/(Amendoim!$E63:INDEX(Amendoim!$E63:$Z63,MIN(O$6-$E$3,22))&lt;&gt;""),Amendoim!$E63:INDEX(Amendoim!$E63:$Z63,MIN(O$6-$E$3,22))),0))-IF($G$2,0,IF((O$6-$G$3)&lt;1,0,IFERROR(LOOKUP(2,1/(Amendoim!$E63:INDEX(Amendoim!$E63:$Z63,MIN(O$6-$G$3,22))&lt;&gt;""),Amendoim!$E63:INDEX(Amendoim!$E63:$Z63,MIN(O$6-$G$3,22))),0)))))</f>
        <v>0</v>
      </c>
      <c r="P65" s="27" t="n">
        <f aca="false">IF(COUNT(Amendoim!$E63:$Z63)=0,0,MAX(0,IF((P$6-$E$3)&lt;1,0,IFERROR(LOOKUP(2,1/(Amendoim!$E63:INDEX(Amendoim!$E63:$Z63,MIN(P$6-$E$3,22))&lt;&gt;""),Amendoim!$E63:INDEX(Amendoim!$E63:$Z63,MIN(P$6-$E$3,22))),0))-IF($G$2,0,IF((P$6-$G$3)&lt;1,0,IFERROR(LOOKUP(2,1/(Amendoim!$E63:INDEX(Amendoim!$E63:$Z63,MIN(P$6-$G$3,22))&lt;&gt;""),Amendoim!$E63:INDEX(Amendoim!$E63:$Z63,MIN(P$6-$G$3,22))),0)))))</f>
        <v>0</v>
      </c>
      <c r="Q65" s="27" t="n">
        <f aca="false">IF(COUNT(Amendoim!$E63:$Z63)=0,0,MAX(0,IF((Q$6-$E$3)&lt;1,0,IFERROR(LOOKUP(2,1/(Amendoim!$E63:INDEX(Amendoim!$E63:$Z63,MIN(Q$6-$E$3,22))&lt;&gt;""),Amendoim!$E63:INDEX(Amendoim!$E63:$Z63,MIN(Q$6-$E$3,22))),0))-IF($G$2,0,IF((Q$6-$G$3)&lt;1,0,IFERROR(LOOKUP(2,1/(Amendoim!$E63:INDEX(Amendoim!$E63:$Z63,MIN(Q$6-$G$3,22))&lt;&gt;""),Amendoim!$E63:INDEX(Amendoim!$E63:$Z63,MIN(Q$6-$G$3,22))),0)))))</f>
        <v>0</v>
      </c>
      <c r="R65" s="27" t="n">
        <f aca="false">IF(COUNT(Amendoim!$E63:$Z63)=0,0,MAX(0,IF((R$6-$E$3)&lt;1,0,IFERROR(LOOKUP(2,1/(Amendoim!$E63:INDEX(Amendoim!$E63:$Z63,MIN(R$6-$E$3,22))&lt;&gt;""),Amendoim!$E63:INDEX(Amendoim!$E63:$Z63,MIN(R$6-$E$3,22))),0))-IF($G$2,0,IF((R$6-$G$3)&lt;1,0,IFERROR(LOOKUP(2,1/(Amendoim!$E63:INDEX(Amendoim!$E63:$Z63,MIN(R$6-$G$3,22))&lt;&gt;""),Amendoim!$E63:INDEX(Amendoim!$E63:$Z63,MIN(R$6-$G$3,22))),0)))))</f>
        <v>0</v>
      </c>
      <c r="S65" s="27" t="n">
        <f aca="false">IF(COUNT(Amendoim!$E63:$Z63)=0,0,MAX(0,IF((S$6-$E$3)&lt;1,0,IFERROR(LOOKUP(2,1/(Amendoim!$E63:INDEX(Amendoim!$E63:$Z63,MIN(S$6-$E$3,22))&lt;&gt;""),Amendoim!$E63:INDEX(Amendoim!$E63:$Z63,MIN(S$6-$E$3,22))),0))-IF($G$2,0,IF((S$6-$G$3)&lt;1,0,IFERROR(LOOKUP(2,1/(Amendoim!$E63:INDEX(Amendoim!$E63:$Z63,MIN(S$6-$G$3,22))&lt;&gt;""),Amendoim!$E63:INDEX(Amendoim!$E63:$Z63,MIN(S$6-$G$3,22))),0)))))</f>
        <v>0</v>
      </c>
      <c r="T65" s="27" t="n">
        <f aca="false">IF(COUNT(Amendoim!$E63:$Z63)=0,0,MAX(0,IF((T$6-$E$3)&lt;1,0,IFERROR(LOOKUP(2,1/(Amendoim!$E63:INDEX(Amendoim!$E63:$Z63,MIN(T$6-$E$3,22))&lt;&gt;""),Amendoim!$E63:INDEX(Amendoim!$E63:$Z63,MIN(T$6-$E$3,22))),0))-IF($G$2,0,IF((T$6-$G$3)&lt;1,0,IFERROR(LOOKUP(2,1/(Amendoim!$E63:INDEX(Amendoim!$E63:$Z63,MIN(T$6-$G$3,22))&lt;&gt;""),Amendoim!$E63:INDEX(Amendoim!$E63:$Z63,MIN(T$6-$G$3,22))),0)))))</f>
        <v>0</v>
      </c>
      <c r="U65" s="27" t="n">
        <f aca="false">IF(COUNT(Amendoim!$E63:$Z63)=0,0,MAX(0,IF((U$6-$E$3)&lt;1,0,IFERROR(LOOKUP(2,1/(Amendoim!$E63:INDEX(Amendoim!$E63:$Z63,MIN(U$6-$E$3,22))&lt;&gt;""),Amendoim!$E63:INDEX(Amendoim!$E63:$Z63,MIN(U$6-$E$3,22))),0))-IF($G$2,0,IF((U$6-$G$3)&lt;1,0,IFERROR(LOOKUP(2,1/(Amendoim!$E63:INDEX(Amendoim!$E63:$Z63,MIN(U$6-$G$3,22))&lt;&gt;""),Amendoim!$E63:INDEX(Amendoim!$E63:$Z63,MIN(U$6-$G$3,22))),0)))))</f>
        <v>0</v>
      </c>
      <c r="V65" s="27" t="n">
        <f aca="false">IF(COUNT(Amendoim!$E63:$Z63)=0,0,MAX(0,IF((V$6-$E$3)&lt;1,0,IFERROR(LOOKUP(2,1/(Amendoim!$E63:INDEX(Amendoim!$E63:$Z63,MIN(V$6-$E$3,22))&lt;&gt;""),Amendoim!$E63:INDEX(Amendoim!$E63:$Z63,MIN(V$6-$E$3,22))),0))-IF($G$2,0,IF((V$6-$G$3)&lt;1,0,IFERROR(LOOKUP(2,1/(Amendoim!$E63:INDEX(Amendoim!$E63:$Z63,MIN(V$6-$G$3,22))&lt;&gt;""),Amendoim!$E63:INDEX(Amendoim!$E63:$Z63,MIN(V$6-$G$3,22))),0)))))</f>
        <v>0</v>
      </c>
      <c r="W65" s="27" t="n">
        <f aca="false">IF(COUNT(Amendoim!$E63:$Z63)=0,0,MAX(0,IF((W$6-$E$3)&lt;1,0,IFERROR(LOOKUP(2,1/(Amendoim!$E63:INDEX(Amendoim!$E63:$Z63,MIN(W$6-$E$3,22))&lt;&gt;""),Amendoim!$E63:INDEX(Amendoim!$E63:$Z63,MIN(W$6-$E$3,22))),0))-IF($G$2,0,IF((W$6-$G$3)&lt;1,0,IFERROR(LOOKUP(2,1/(Amendoim!$E63:INDEX(Amendoim!$E63:$Z63,MIN(W$6-$G$3,22))&lt;&gt;""),Amendoim!$E63:INDEX(Amendoim!$E63:$Z63,MIN(W$6-$G$3,22))),0)))))</f>
        <v>0</v>
      </c>
      <c r="X65" s="27" t="n">
        <f aca="false">IF(COUNT(Amendoim!$E63:$Z63)=0,0,MAX(0,IF((X$6-$E$3)&lt;1,0,IFERROR(LOOKUP(2,1/(Amendoim!$E63:INDEX(Amendoim!$E63:$Z63,MIN(X$6-$E$3,22))&lt;&gt;""),Amendoim!$E63:INDEX(Amendoim!$E63:$Z63,MIN(X$6-$E$3,22))),0))-IF($G$2,0,IF((X$6-$G$3)&lt;1,0,IFERROR(LOOKUP(2,1/(Amendoim!$E63:INDEX(Amendoim!$E63:$Z63,MIN(X$6-$G$3,22))&lt;&gt;""),Amendoim!$E63:INDEX(Amendoim!$E63:$Z63,MIN(X$6-$G$3,22))),0)))))</f>
        <v>0</v>
      </c>
      <c r="Y65" s="27" t="n">
        <f aca="false">IF(COUNT(Amendoim!$E63:$Z63)=0,0,MAX(0,IF((Y$6-$E$3)&lt;1,0,IFERROR(LOOKUP(2,1/(Amendoim!$E63:INDEX(Amendoim!$E63:$Z63,MIN(Y$6-$E$3,22))&lt;&gt;""),Amendoim!$E63:INDEX(Amendoim!$E63:$Z63,MIN(Y$6-$E$3,22))),0))-IF($G$2,0,IF((Y$6-$G$3)&lt;1,0,IFERROR(LOOKUP(2,1/(Amendoim!$E63:INDEX(Amendoim!$E63:$Z63,MIN(Y$6-$G$3,22))&lt;&gt;""),Amendoim!$E63:INDEX(Amendoim!$E63:$Z63,MIN(Y$6-$G$3,22))),0)))))</f>
        <v>0</v>
      </c>
      <c r="Z65" s="27" t="n">
        <f aca="false">IF(COUNT(Amendoim!$E63:$Z63)=0,0,MAX(0,IF((Z$6-$E$3)&lt;1,0,IFERROR(LOOKUP(2,1/(Amendoim!$E63:INDEX(Amendoim!$E63:$Z63,MIN(Z$6-$E$3,22))&lt;&gt;""),Amendoim!$E63:INDEX(Amendoim!$E63:$Z63,MIN(Z$6-$E$3,22))),0))-IF($G$2,0,IF((Z$6-$G$3)&lt;1,0,IFERROR(LOOKUP(2,1/(Amendoim!$E63:INDEX(Amendoim!$E63:$Z63,MIN(Z$6-$G$3,22))&lt;&gt;""),Amendoim!$E63:INDEX(Amendoim!$E63:$Z63,MIN(Z$6-$G$3,22))),0)))))</f>
        <v>0</v>
      </c>
      <c r="AA65" s="27" t="n">
        <f aca="false">IF(COUNT(Amendoim!$E63:$Z63)=0,0,MAX(0,IF((AA$6-$E$3)&lt;1,0,IFERROR(LOOKUP(2,1/(Amendoim!$E63:INDEX(Amendoim!$E63:$Z63,MIN(AA$6-$E$3,22))&lt;&gt;""),Amendoim!$E63:INDEX(Amendoim!$E63:$Z63,MIN(AA$6-$E$3,22))),0))-IF($G$2,0,IF((AA$6-$G$3)&lt;1,0,IFERROR(LOOKUP(2,1/(Amendoim!$E63:INDEX(Amendoim!$E63:$Z63,MIN(AA$6-$G$3,22))&lt;&gt;""),Amendoim!$E63:INDEX(Amendoim!$E63:$Z63,MIN(AA$6-$G$3,22))),0)))))</f>
        <v>0</v>
      </c>
      <c r="AB65" s="27" t="n">
        <f aca="false">IF(COUNT(Amendoim!$E63:$Z63)=0,0,MAX(0,IF((AB$6-$E$3)&lt;1,0,IFERROR(LOOKUP(2,1/(Amendoim!$E63:INDEX(Amendoim!$E63:$Z63,MIN(AB$6-$E$3,22))&lt;&gt;""),Amendoim!$E63:INDEX(Amendoim!$E63:$Z63,MIN(AB$6-$E$3,22))),0))-IF($G$2,0,IF((AB$6-$G$3)&lt;1,0,IFERROR(LOOKUP(2,1/(Amendoim!$E63:INDEX(Amendoim!$E63:$Z63,MIN(AB$6-$G$3,22))&lt;&gt;""),Amendoim!$E63:INDEX(Amendoim!$E63:$Z63,MIN(AB$6-$G$3,22))),0)))))</f>
        <v>0</v>
      </c>
      <c r="AC65" s="27" t="n">
        <f aca="false">IF(COUNT(Amendoim!$E63:$Z63)=0,0,MAX(0,IF((AC$6-$E$3)&lt;1,0,IFERROR(LOOKUP(2,1/(Amendoim!$E63:INDEX(Amendoim!$E63:$Z63,MIN(AC$6-$E$3,22))&lt;&gt;""),Amendoim!$E63:INDEX(Amendoim!$E63:$Z63,MIN(AC$6-$E$3,22))),0))-IF($G$2,0,IF((AC$6-$G$3)&lt;1,0,IFERROR(LOOKUP(2,1/(Amendoim!$E63:INDEX(Amendoim!$E63:$Z63,MIN(AC$6-$G$3,22))&lt;&gt;""),Amendoim!$E63:INDEX(Amendoim!$E63:$Z63,MIN(AC$6-$G$3,22))),0)))))</f>
        <v>0</v>
      </c>
      <c r="AD65" s="27" t="n">
        <f aca="false">IF(COUNT(Amendoim!$E63:$Z63)=0,0,MAX(0,IF((AD$6-$E$3)&lt;1,0,IFERROR(LOOKUP(2,1/(Amendoim!$E63:INDEX(Amendoim!$E63:$Z63,MIN(AD$6-$E$3,22))&lt;&gt;""),Amendoim!$E63:INDEX(Amendoim!$E63:$Z63,MIN(AD$6-$E$3,22))),0))-IF($G$2,0,IF((AD$6-$G$3)&lt;1,0,IFERROR(LOOKUP(2,1/(Amendoim!$E63:INDEX(Amendoim!$E63:$Z63,MIN(AD$6-$G$3,22))&lt;&gt;""),Amendoim!$E63:INDEX(Amendoim!$E63:$Z63,MIN(AD$6-$G$3,22))),0)))))</f>
        <v>0</v>
      </c>
      <c r="AE65" s="27" t="n">
        <f aca="false">IF(COUNT(Amendoim!$E63:$Z63)=0,0,MAX(0,IF((AE$6-$E$3)&lt;1,0,IFERROR(LOOKUP(2,1/(Amendoim!$E63:INDEX(Amendoim!$E63:$Z63,MIN(AE$6-$E$3,22))&lt;&gt;""),Amendoim!$E63:INDEX(Amendoim!$E63:$Z63,MIN(AE$6-$E$3,22))),0))-IF($G$2,0,IF((AE$6-$G$3)&lt;1,0,IFERROR(LOOKUP(2,1/(Amendoim!$E63:INDEX(Amendoim!$E63:$Z63,MIN(AE$6-$G$3,22))&lt;&gt;""),Amendoim!$E63:INDEX(Amendoim!$E63:$Z63,MIN(AE$6-$G$3,22))),0)))))</f>
        <v>0</v>
      </c>
      <c r="AF65" s="27" t="n">
        <f aca="false">IF(COUNT(Amendoim!$E63:$Z63)=0,0,MAX(0,IF((AF$6-$E$3)&lt;1,0,IFERROR(LOOKUP(2,1/(Amendoim!$E63:INDEX(Amendoim!$E63:$Z63,MIN(AF$6-$E$3,22))&lt;&gt;""),Amendoim!$E63:INDEX(Amendoim!$E63:$Z63,MIN(AF$6-$E$3,22))),0))-IF($G$2,0,IF((AF$6-$G$3)&lt;1,0,IFERROR(LOOKUP(2,1/(Amendoim!$E63:INDEX(Amendoim!$E63:$Z63,MIN(AF$6-$G$3,22))&lt;&gt;""),Amendoim!$E63:INDEX(Amendoim!$E63:$Z63,MIN(AF$6-$G$3,22))),0)))))</f>
        <v>0</v>
      </c>
      <c r="AG65" s="27" t="n">
        <f aca="false">IF(COUNT(Amendoim!$E63:$Z63)=0,0,MAX(0,IF((AG$6-$E$3)&lt;1,0,IFERROR(LOOKUP(2,1/(Amendoim!$E63:INDEX(Amendoim!$E63:$Z63,MIN(AG$6-$E$3,22))&lt;&gt;""),Amendoim!$E63:INDEX(Amendoim!$E63:$Z63,MIN(AG$6-$E$3,22))),0))-IF($G$2,0,IF((AG$6-$G$3)&lt;1,0,IFERROR(LOOKUP(2,1/(Amendoim!$E63:INDEX(Amendoim!$E63:$Z63,MIN(AG$6-$G$3,22))&lt;&gt;""),Amendoim!$E63:INDEX(Amendoim!$E63:$Z63,MIN(AG$6-$G$3,22))),0)))))</f>
        <v>0</v>
      </c>
      <c r="AH65" s="27" t="n">
        <f aca="false">IF(COUNT(Amendoim!$E63:$Z63)=0,0,MAX(0,IF((AH$6-$E$3)&lt;1,0,IFERROR(LOOKUP(2,1/(Amendoim!$E63:INDEX(Amendoim!$E63:$Z63,MIN(AH$6-$E$3,22))&lt;&gt;""),Amendoim!$E63:INDEX(Amendoim!$E63:$Z63,MIN(AH$6-$E$3,22))),0))-IF($G$2,0,IF((AH$6-$G$3)&lt;1,0,IFERROR(LOOKUP(2,1/(Amendoim!$E63:INDEX(Amendoim!$E63:$Z63,MIN(AH$6-$G$3,22))&lt;&gt;""),Amendoim!$E63:INDEX(Amendoim!$E63:$Z63,MIN(AH$6-$G$3,22))),0)))))</f>
        <v>0</v>
      </c>
      <c r="AI65" s="27" t="n">
        <f aca="false">IF(COUNT(Amendoim!$E63:$Z63)=0,0,MAX(0,IF((AI$6-$E$3)&lt;1,0,IFERROR(LOOKUP(2,1/(Amendoim!$E63:INDEX(Amendoim!$E63:$Z63,MIN(AI$6-$E$3,22))&lt;&gt;""),Amendoim!$E63:INDEX(Amendoim!$E63:$Z63,MIN(AI$6-$E$3,22))),0))-IF($G$2,0,IF((AI$6-$G$3)&lt;1,0,IFERROR(LOOKUP(2,1/(Amendoim!$E63:INDEX(Amendoim!$E63:$Z63,MIN(AI$6-$G$3,22))&lt;&gt;""),Amendoim!$E63:INDEX(Amendoim!$E63:$Z63,MIN(AI$6-$G$3,22))),0)))))</f>
        <v>0</v>
      </c>
      <c r="AJ65" s="27" t="n">
        <f aca="false">IF(COUNT(Amendoim!$E63:$Z63)=0,0,MAX(0,IF((AJ$6-$E$3)&lt;1,0,IFERROR(LOOKUP(2,1/(Amendoim!$E63:INDEX(Amendoim!$E63:$Z63,MIN(AJ$6-$E$3,22))&lt;&gt;""),Amendoim!$E63:INDEX(Amendoim!$E63:$Z63,MIN(AJ$6-$E$3,22))),0))-IF($G$2,0,IF((AJ$6-$G$3)&lt;1,0,IFERROR(LOOKUP(2,1/(Amendoim!$E63:INDEX(Amendoim!$E63:$Z63,MIN(AJ$6-$G$3,22))&lt;&gt;""),Amendoim!$E63:INDEX(Amendoim!$E63:$Z63,MIN(AJ$6-$G$3,22))),0)))))</f>
        <v>0</v>
      </c>
      <c r="AK65" s="27" t="n">
        <f aca="false">IF(COUNT(Amendoim!$E63:$Z63)=0,0,MAX(0,IF((AK$6-$E$3)&lt;1,0,IFERROR(LOOKUP(2,1/(Amendoim!$E63:INDEX(Amendoim!$E63:$Z63,MIN(AK$6-$E$3,22))&lt;&gt;""),Amendoim!$E63:INDEX(Amendoim!$E63:$Z63,MIN(AK$6-$E$3,22))),0))-IF($G$2,0,IF((AK$6-$G$3)&lt;1,0,IFERROR(LOOKUP(2,1/(Amendoim!$E63:INDEX(Amendoim!$E63:$Z63,MIN(AK$6-$G$3,22))&lt;&gt;""),Amendoim!$E63:INDEX(Amendoim!$E63:$Z63,MIN(AK$6-$G$3,22))),0)))))</f>
        <v>0</v>
      </c>
      <c r="AL65" s="27" t="n">
        <f aca="false">IF(COUNT(Amendoim!$E63:$Z63)=0,0,MAX(0,IF((AL$6-$E$3)&lt;1,0,IFERROR(LOOKUP(2,1/(Amendoim!$E63:INDEX(Amendoim!$E63:$Z63,MIN(AL$6-$E$3,22))&lt;&gt;""),Amendoim!$E63:INDEX(Amendoim!$E63:$Z63,MIN(AL$6-$E$3,22))),0))-IF($G$2,0,IF((AL$6-$G$3)&lt;1,0,IFERROR(LOOKUP(2,1/(Amendoim!$E63:INDEX(Amendoim!$E63:$Z63,MIN(AL$6-$G$3,22))&lt;&gt;""),Amendoim!$E63:INDEX(Amendoim!$E63:$Z63,MIN(AL$6-$G$3,22))),0)))))</f>
        <v>0</v>
      </c>
      <c r="AM65" s="27" t="n">
        <f aca="false">IF(COUNT(Amendoim!$E63:$Z63)=0,0,MAX(0,IF((AM$6-$E$3)&lt;1,0,IFERROR(LOOKUP(2,1/(Amendoim!$E63:INDEX(Amendoim!$E63:$Z63,MIN(AM$6-$E$3,22))&lt;&gt;""),Amendoim!$E63:INDEX(Amendoim!$E63:$Z63,MIN(AM$6-$E$3,22))),0))-IF($G$2,0,IF((AM$6-$G$3)&lt;1,0,IFERROR(LOOKUP(2,1/(Amendoim!$E63:INDEX(Amendoim!$E63:$Z63,MIN(AM$6-$G$3,22))&lt;&gt;""),Amendoim!$E63:INDEX(Amendoim!$E63:$Z63,MIN(AM$6-$G$3,22))),0)))))</f>
        <v>0</v>
      </c>
      <c r="AN65" s="27" t="n">
        <f aca="false">IF(COUNT(Amendoim!$E63:$Z63)=0,0,MAX(0,IF((AN$6-$E$3)&lt;1,0,IFERROR(LOOKUP(2,1/(Amendoim!$E63:INDEX(Amendoim!$E63:$Z63,MIN(AN$6-$E$3,22))&lt;&gt;""),Amendoim!$E63:INDEX(Amendoim!$E63:$Z63,MIN(AN$6-$E$3,22))),0))-IF($G$2,0,IF((AN$6-$G$3)&lt;1,0,IFERROR(LOOKUP(2,1/(Amendoim!$E63:INDEX(Amendoim!$E63:$Z63,MIN(AN$6-$G$3,22))&lt;&gt;""),Amendoim!$E63:INDEX(Amendoim!$E63:$Z63,MIN(AN$6-$G$3,22))),0)))))</f>
        <v>0</v>
      </c>
      <c r="AO65" s="27" t="n">
        <f aca="false">IF(COUNT(Amendoim!$E63:$Z63)=0,0,MAX(0,IF((AO$6-$E$3)&lt;1,0,IFERROR(LOOKUP(2,1/(Amendoim!$E63:INDEX(Amendoim!$E63:$Z63,MIN(AO$6-$E$3,22))&lt;&gt;""),Amendoim!$E63:INDEX(Amendoim!$E63:$Z63,MIN(AO$6-$E$3,22))),0))-IF($G$2,0,IF((AO$6-$G$3)&lt;1,0,IFERROR(LOOKUP(2,1/(Amendoim!$E63:INDEX(Amendoim!$E63:$Z63,MIN(AO$6-$G$3,22))&lt;&gt;""),Amendoim!$E63:INDEX(Amendoim!$E63:$Z63,MIN(AO$6-$G$3,22))),0)))))</f>
        <v>0</v>
      </c>
      <c r="AP65" s="27" t="n">
        <f aca="false">IF(COUNT(Amendoim!$E63:$Z63)=0,0,MAX(0,IF((AP$6-$E$3)&lt;1,0,IFERROR(LOOKUP(2,1/(Amendoim!$E63:INDEX(Amendoim!$E63:$Z63,MIN(AP$6-$E$3,22))&lt;&gt;""),Amendoim!$E63:INDEX(Amendoim!$E63:$Z63,MIN(AP$6-$E$3,22))),0))-IF($G$2,0,IF((AP$6-$G$3)&lt;1,0,IFERROR(LOOKUP(2,1/(Amendoim!$E63:INDEX(Amendoim!$E63:$Z63,MIN(AP$6-$G$3,22))&lt;&gt;""),Amendoim!$E63:INDEX(Amendoim!$E63:$Z63,MIN(AP$6-$G$3,22))),0)))))</f>
        <v>0</v>
      </c>
      <c r="AQ65" s="27" t="n">
        <f aca="false">IF(COUNT(Amendoim!$E63:$Z63)=0,0,MAX(0,IF((AQ$6-$E$3)&lt;1,0,IFERROR(LOOKUP(2,1/(Amendoim!$E63:INDEX(Amendoim!$E63:$Z63,MIN(AQ$6-$E$3,22))&lt;&gt;""),Amendoim!$E63:INDEX(Amendoim!$E63:$Z63,MIN(AQ$6-$E$3,22))),0))-IF($G$2,0,IF((AQ$6-$G$3)&lt;1,0,IFERROR(LOOKUP(2,1/(Amendoim!$E63:INDEX(Amendoim!$E63:$Z63,MIN(AQ$6-$G$3,22))&lt;&gt;""),Amendoim!$E63:INDEX(Amendoim!$E63:$Z63,MIN(AQ$6-$G$3,22))),0)))))</f>
        <v>0</v>
      </c>
      <c r="AR65" s="27" t="n">
        <f aca="false">IF(COUNT(Amendoim!$E63:$Z63)=0,0,MAX(0,IF((AR$6-$E$3)&lt;1,0,IFERROR(LOOKUP(2,1/(Amendoim!$E63:INDEX(Amendoim!$E63:$Z63,MIN(AR$6-$E$3,22))&lt;&gt;""),Amendoim!$E63:INDEX(Amendoim!$E63:$Z63,MIN(AR$6-$E$3,22))),0))-IF($G$2,0,IF((AR$6-$G$3)&lt;1,0,IFERROR(LOOKUP(2,1/(Amendoim!$E63:INDEX(Amendoim!$E63:$Z63,MIN(AR$6-$G$3,22))&lt;&gt;""),Amendoim!$E63:INDEX(Amendoim!$E63:$Z63,MIN(AR$6-$G$3,22))),0)))))</f>
        <v>0</v>
      </c>
      <c r="AS65" s="27" t="n">
        <f aca="false">IF(COUNT(Amendoim!$E63:$Z63)=0,0,MAX(0,IF((AS$6-$E$3)&lt;1,0,IFERROR(LOOKUP(2,1/(Amendoim!$E63:INDEX(Amendoim!$E63:$Z63,MIN(AS$6-$E$3,22))&lt;&gt;""),Amendoim!$E63:INDEX(Amendoim!$E63:$Z63,MIN(AS$6-$E$3,22))),0))-IF($G$2,0,IF((AS$6-$G$3)&lt;1,0,IFERROR(LOOKUP(2,1/(Amendoim!$E63:INDEX(Amendoim!$E63:$Z63,MIN(AS$6-$G$3,22))&lt;&gt;""),Amendoim!$E63:INDEX(Amendoim!$E63:$Z63,MIN(AS$6-$G$3,22))),0)))))</f>
        <v>0</v>
      </c>
      <c r="AT65" s="27" t="n">
        <f aca="false">IF(COUNT(Amendoim!$E63:$Z63)=0,0,MAX(0,IF((AT$6-$E$3)&lt;1,0,IFERROR(LOOKUP(2,1/(Amendoim!$E63:INDEX(Amendoim!$E63:$Z63,MIN(AT$6-$E$3,22))&lt;&gt;""),Amendoim!$E63:INDEX(Amendoim!$E63:$Z63,MIN(AT$6-$E$3,22))),0))-IF($G$2,0,IF((AT$6-$G$3)&lt;1,0,IFERROR(LOOKUP(2,1/(Amendoim!$E63:INDEX(Amendoim!$E63:$Z63,MIN(AT$6-$G$3,22))&lt;&gt;""),Amendoim!$E63:INDEX(Amendoim!$E63:$Z63,MIN(AT$6-$G$3,22))),0)))))</f>
        <v>0</v>
      </c>
      <c r="AU65" s="27" t="n">
        <f aca="false">IF(COUNT(Amendoim!$E63:$Z63)=0,0,MAX(0,IF((AU$6-$E$3)&lt;1,0,IFERROR(LOOKUP(2,1/(Amendoim!$E63:INDEX(Amendoim!$E63:$Z63,MIN(AU$6-$E$3,22))&lt;&gt;""),Amendoim!$E63:INDEX(Amendoim!$E63:$Z63,MIN(AU$6-$E$3,22))),0))-IF($G$2,0,IF((AU$6-$G$3)&lt;1,0,IFERROR(LOOKUP(2,1/(Amendoim!$E63:INDEX(Amendoim!$E63:$Z63,MIN(AU$6-$G$3,22))&lt;&gt;""),Amendoim!$E63:INDEX(Amendoim!$E63:$Z63,MIN(AU$6-$G$3,22))),0)))))</f>
        <v>0</v>
      </c>
      <c r="AV65" s="27" t="n">
        <f aca="false">IF(COUNT(Amendoim!$E63:$Z63)=0,0,MAX(0,IF((AV$6-$E$3)&lt;1,0,IFERROR(LOOKUP(2,1/(Amendoim!$E63:INDEX(Amendoim!$E63:$Z63,MIN(AV$6-$E$3,22))&lt;&gt;""),Amendoim!$E63:INDEX(Amendoim!$E63:$Z63,MIN(AV$6-$E$3,22))),0))-IF($G$2,0,IF((AV$6-$G$3)&lt;1,0,IFERROR(LOOKUP(2,1/(Amendoim!$E63:INDEX(Amendoim!$E63:$Z63,MIN(AV$6-$G$3,22))&lt;&gt;""),Amendoim!$E63:INDEX(Amendoim!$E63:$Z63,MIN(AV$6-$G$3,22))),0)))))</f>
        <v>0</v>
      </c>
      <c r="AW65" s="27" t="n">
        <f aca="false">IF(COUNT(Amendoim!$E63:$Z63)=0,0,MAX(0,IF((AW$6-$E$3)&lt;1,0,IFERROR(LOOKUP(2,1/(Amendoim!$E63:INDEX(Amendoim!$E63:$Z63,MIN(AW$6-$E$3,22))&lt;&gt;""),Amendoim!$E63:INDEX(Amendoim!$E63:$Z63,MIN(AW$6-$E$3,22))),0))-IF($G$2,0,IF((AW$6-$G$3)&lt;1,0,IFERROR(LOOKUP(2,1/(Amendoim!$E63:INDEX(Amendoim!$E63:$Z63,MIN(AW$6-$G$3,22))&lt;&gt;""),Amendoim!$E63:INDEX(Amendoim!$E63:$Z63,MIN(AW$6-$G$3,22))),0)))))</f>
        <v>0</v>
      </c>
      <c r="AX65" s="27" t="n">
        <f aca="false">IF(COUNT(Amendoim!$E63:$Z63)=0,0,MAX(0,IF((AX$6-$E$3)&lt;1,0,IFERROR(LOOKUP(2,1/(Amendoim!$E63:INDEX(Amendoim!$E63:$Z63,MIN(AX$6-$E$3,22))&lt;&gt;""),Amendoim!$E63:INDEX(Amendoim!$E63:$Z63,MIN(AX$6-$E$3,22))),0))-IF($G$2,0,IF((AX$6-$G$3)&lt;1,0,IFERROR(LOOKUP(2,1/(Amendoim!$E63:INDEX(Amendoim!$E63:$Z63,MIN(AX$6-$G$3,22))&lt;&gt;""),Amendoim!$E63:INDEX(Amendoim!$E63:$Z63,MIN(AX$6-$G$3,22))),0)))))</f>
        <v>0</v>
      </c>
      <c r="AY65" s="27" t="n">
        <f aca="false">IF(COUNT(Amendoim!$E63:$Z63)=0,0,MAX(0,IF((AY$6-$E$3)&lt;1,0,IFERROR(LOOKUP(2,1/(Amendoim!$E63:INDEX(Amendoim!$E63:$Z63,MIN(AY$6-$E$3,22))&lt;&gt;""),Amendoim!$E63:INDEX(Amendoim!$E63:$Z63,MIN(AY$6-$E$3,22))),0))-IF($G$2,0,IF((AY$6-$G$3)&lt;1,0,IFERROR(LOOKUP(2,1/(Amendoim!$E63:INDEX(Amendoim!$E63:$Z63,MIN(AY$6-$G$3,22))&lt;&gt;""),Amendoim!$E63:INDEX(Amendoim!$E63:$Z63,MIN(AY$6-$G$3,22))),0)))))</f>
        <v>0</v>
      </c>
      <c r="AZ65" s="27" t="n">
        <f aca="false">IF(COUNT(Amendoim!$E63:$Z63)=0,0,MAX(0,IF((AZ$6-$E$3)&lt;1,0,IFERROR(LOOKUP(2,1/(Amendoim!$E63:INDEX(Amendoim!$E63:$Z63,MIN(AZ$6-$E$3,22))&lt;&gt;""),Amendoim!$E63:INDEX(Amendoim!$E63:$Z63,MIN(AZ$6-$E$3,22))),0))-IF($G$2,0,IF((AZ$6-$G$3)&lt;1,0,IFERROR(LOOKUP(2,1/(Amendoim!$E63:INDEX(Amendoim!$E63:$Z63,MIN(AZ$6-$G$3,22))&lt;&gt;""),Amendoim!$E63:INDEX(Amendoim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IF(COUNT(Amendoim!$E64:$Z64)&gt;0,N(Amendoim!$D64),0)</f>
        <v>0</v>
      </c>
      <c r="E66" s="27" t="n">
        <f aca="false">IF(COUNT(Amendoim!$E64:$Z64)=0,0,MAX(0,IF((E$6-$E$3)&lt;1,0,IFERROR(LOOKUP(2,1/(Amendoim!$E64:INDEX(Amendoim!$E64:$Z64,MIN(E$6-$E$3,22))&lt;&gt;""),Amendoim!$E64:INDEX(Amendoim!$E64:$Z64,MIN(E$6-$E$3,22))),0))-IF($G$2,0,IF((E$6-$G$3)&lt;1,0,IFERROR(LOOKUP(2,1/(Amendoim!$E64:INDEX(Amendoim!$E64:$Z64,MIN(E$6-$G$3,22))&lt;&gt;""),Amendoim!$E64:INDEX(Amendoim!$E64:$Z64,MIN(E$6-$G$3,22))),0)))))</f>
        <v>0</v>
      </c>
      <c r="F66" s="27" t="n">
        <f aca="false">IF(COUNT(Amendoim!$E64:$Z64)=0,0,MAX(0,IF((F$6-$E$3)&lt;1,0,IFERROR(LOOKUP(2,1/(Amendoim!$E64:INDEX(Amendoim!$E64:$Z64,MIN(F$6-$E$3,22))&lt;&gt;""),Amendoim!$E64:INDEX(Amendoim!$E64:$Z64,MIN(F$6-$E$3,22))),0))-IF($G$2,0,IF((F$6-$G$3)&lt;1,0,IFERROR(LOOKUP(2,1/(Amendoim!$E64:INDEX(Amendoim!$E64:$Z64,MIN(F$6-$G$3,22))&lt;&gt;""),Amendoim!$E64:INDEX(Amendoim!$E64:$Z64,MIN(F$6-$G$3,22))),0)))))</f>
        <v>0</v>
      </c>
      <c r="G66" s="27" t="n">
        <f aca="false">IF(COUNT(Amendoim!$E64:$Z64)=0,0,MAX(0,IF((G$6-$E$3)&lt;1,0,IFERROR(LOOKUP(2,1/(Amendoim!$E64:INDEX(Amendoim!$E64:$Z64,MIN(G$6-$E$3,22))&lt;&gt;""),Amendoim!$E64:INDEX(Amendoim!$E64:$Z64,MIN(G$6-$E$3,22))),0))-IF($G$2,0,IF((G$6-$G$3)&lt;1,0,IFERROR(LOOKUP(2,1/(Amendoim!$E64:INDEX(Amendoim!$E64:$Z64,MIN(G$6-$G$3,22))&lt;&gt;""),Amendoim!$E64:INDEX(Amendoim!$E64:$Z64,MIN(G$6-$G$3,22))),0)))))</f>
        <v>0</v>
      </c>
      <c r="H66" s="27" t="n">
        <f aca="false">IF(COUNT(Amendoim!$E64:$Z64)=0,0,MAX(0,IF((H$6-$E$3)&lt;1,0,IFERROR(LOOKUP(2,1/(Amendoim!$E64:INDEX(Amendoim!$E64:$Z64,MIN(H$6-$E$3,22))&lt;&gt;""),Amendoim!$E64:INDEX(Amendoim!$E64:$Z64,MIN(H$6-$E$3,22))),0))-IF($G$2,0,IF((H$6-$G$3)&lt;1,0,IFERROR(LOOKUP(2,1/(Amendoim!$E64:INDEX(Amendoim!$E64:$Z64,MIN(H$6-$G$3,22))&lt;&gt;""),Amendoim!$E64:INDEX(Amendoim!$E64:$Z64,MIN(H$6-$G$3,22))),0)))))</f>
        <v>0</v>
      </c>
      <c r="I66" s="27" t="n">
        <f aca="false">IF(COUNT(Amendoim!$E64:$Z64)=0,0,MAX(0,IF((I$6-$E$3)&lt;1,0,IFERROR(LOOKUP(2,1/(Amendoim!$E64:INDEX(Amendoim!$E64:$Z64,MIN(I$6-$E$3,22))&lt;&gt;""),Amendoim!$E64:INDEX(Amendoim!$E64:$Z64,MIN(I$6-$E$3,22))),0))-IF($G$2,0,IF((I$6-$G$3)&lt;1,0,IFERROR(LOOKUP(2,1/(Amendoim!$E64:INDEX(Amendoim!$E64:$Z64,MIN(I$6-$G$3,22))&lt;&gt;""),Amendoim!$E64:INDEX(Amendoim!$E64:$Z64,MIN(I$6-$G$3,22))),0)))))</f>
        <v>0</v>
      </c>
      <c r="J66" s="27" t="n">
        <f aca="false">IF(COUNT(Amendoim!$E64:$Z64)=0,0,MAX(0,IF((J$6-$E$3)&lt;1,0,IFERROR(LOOKUP(2,1/(Amendoim!$E64:INDEX(Amendoim!$E64:$Z64,MIN(J$6-$E$3,22))&lt;&gt;""),Amendoim!$E64:INDEX(Amendoim!$E64:$Z64,MIN(J$6-$E$3,22))),0))-IF($G$2,0,IF((J$6-$G$3)&lt;1,0,IFERROR(LOOKUP(2,1/(Amendoim!$E64:INDEX(Amendoim!$E64:$Z64,MIN(J$6-$G$3,22))&lt;&gt;""),Amendoim!$E64:INDEX(Amendoim!$E64:$Z64,MIN(J$6-$G$3,22))),0)))))</f>
        <v>0</v>
      </c>
      <c r="K66" s="27" t="n">
        <f aca="false">IF(COUNT(Amendoim!$E64:$Z64)=0,0,MAX(0,IF((K$6-$E$3)&lt;1,0,IFERROR(LOOKUP(2,1/(Amendoim!$E64:INDEX(Amendoim!$E64:$Z64,MIN(K$6-$E$3,22))&lt;&gt;""),Amendoim!$E64:INDEX(Amendoim!$E64:$Z64,MIN(K$6-$E$3,22))),0))-IF($G$2,0,IF((K$6-$G$3)&lt;1,0,IFERROR(LOOKUP(2,1/(Amendoim!$E64:INDEX(Amendoim!$E64:$Z64,MIN(K$6-$G$3,22))&lt;&gt;""),Amendoim!$E64:INDEX(Amendoim!$E64:$Z64,MIN(K$6-$G$3,22))),0)))))</f>
        <v>0</v>
      </c>
      <c r="L66" s="27" t="n">
        <f aca="false">IF(COUNT(Amendoim!$E64:$Z64)=0,0,MAX(0,IF((L$6-$E$3)&lt;1,0,IFERROR(LOOKUP(2,1/(Amendoim!$E64:INDEX(Amendoim!$E64:$Z64,MIN(L$6-$E$3,22))&lt;&gt;""),Amendoim!$E64:INDEX(Amendoim!$E64:$Z64,MIN(L$6-$E$3,22))),0))-IF($G$2,0,IF((L$6-$G$3)&lt;1,0,IFERROR(LOOKUP(2,1/(Amendoim!$E64:INDEX(Amendoim!$E64:$Z64,MIN(L$6-$G$3,22))&lt;&gt;""),Amendoim!$E64:INDEX(Amendoim!$E64:$Z64,MIN(L$6-$G$3,22))),0)))))</f>
        <v>0</v>
      </c>
      <c r="M66" s="27" t="n">
        <f aca="false">IF(COUNT(Amendoim!$E64:$Z64)=0,0,MAX(0,IF((M$6-$E$3)&lt;1,0,IFERROR(LOOKUP(2,1/(Amendoim!$E64:INDEX(Amendoim!$E64:$Z64,MIN(M$6-$E$3,22))&lt;&gt;""),Amendoim!$E64:INDEX(Amendoim!$E64:$Z64,MIN(M$6-$E$3,22))),0))-IF($G$2,0,IF((M$6-$G$3)&lt;1,0,IFERROR(LOOKUP(2,1/(Amendoim!$E64:INDEX(Amendoim!$E64:$Z64,MIN(M$6-$G$3,22))&lt;&gt;""),Amendoim!$E64:INDEX(Amendoim!$E64:$Z64,MIN(M$6-$G$3,22))),0)))))</f>
        <v>0</v>
      </c>
      <c r="N66" s="27" t="n">
        <f aca="false">IF(COUNT(Amendoim!$E64:$Z64)=0,0,MAX(0,IF((N$6-$E$3)&lt;1,0,IFERROR(LOOKUP(2,1/(Amendoim!$E64:INDEX(Amendoim!$E64:$Z64,MIN(N$6-$E$3,22))&lt;&gt;""),Amendoim!$E64:INDEX(Amendoim!$E64:$Z64,MIN(N$6-$E$3,22))),0))-IF($G$2,0,IF((N$6-$G$3)&lt;1,0,IFERROR(LOOKUP(2,1/(Amendoim!$E64:INDEX(Amendoim!$E64:$Z64,MIN(N$6-$G$3,22))&lt;&gt;""),Amendoim!$E64:INDEX(Amendoim!$E64:$Z64,MIN(N$6-$G$3,22))),0)))))</f>
        <v>0</v>
      </c>
      <c r="O66" s="27" t="n">
        <f aca="false">IF(COUNT(Amendoim!$E64:$Z64)=0,0,MAX(0,IF((O$6-$E$3)&lt;1,0,IFERROR(LOOKUP(2,1/(Amendoim!$E64:INDEX(Amendoim!$E64:$Z64,MIN(O$6-$E$3,22))&lt;&gt;""),Amendoim!$E64:INDEX(Amendoim!$E64:$Z64,MIN(O$6-$E$3,22))),0))-IF($G$2,0,IF((O$6-$G$3)&lt;1,0,IFERROR(LOOKUP(2,1/(Amendoim!$E64:INDEX(Amendoim!$E64:$Z64,MIN(O$6-$G$3,22))&lt;&gt;""),Amendoim!$E64:INDEX(Amendoim!$E64:$Z64,MIN(O$6-$G$3,22))),0)))))</f>
        <v>0</v>
      </c>
      <c r="P66" s="27" t="n">
        <f aca="false">IF(COUNT(Amendoim!$E64:$Z64)=0,0,MAX(0,IF((P$6-$E$3)&lt;1,0,IFERROR(LOOKUP(2,1/(Amendoim!$E64:INDEX(Amendoim!$E64:$Z64,MIN(P$6-$E$3,22))&lt;&gt;""),Amendoim!$E64:INDEX(Amendoim!$E64:$Z64,MIN(P$6-$E$3,22))),0))-IF($G$2,0,IF((P$6-$G$3)&lt;1,0,IFERROR(LOOKUP(2,1/(Amendoim!$E64:INDEX(Amendoim!$E64:$Z64,MIN(P$6-$G$3,22))&lt;&gt;""),Amendoim!$E64:INDEX(Amendoim!$E64:$Z64,MIN(P$6-$G$3,22))),0)))))</f>
        <v>0</v>
      </c>
      <c r="Q66" s="27" t="n">
        <f aca="false">IF(COUNT(Amendoim!$E64:$Z64)=0,0,MAX(0,IF((Q$6-$E$3)&lt;1,0,IFERROR(LOOKUP(2,1/(Amendoim!$E64:INDEX(Amendoim!$E64:$Z64,MIN(Q$6-$E$3,22))&lt;&gt;""),Amendoim!$E64:INDEX(Amendoim!$E64:$Z64,MIN(Q$6-$E$3,22))),0))-IF($G$2,0,IF((Q$6-$G$3)&lt;1,0,IFERROR(LOOKUP(2,1/(Amendoim!$E64:INDEX(Amendoim!$E64:$Z64,MIN(Q$6-$G$3,22))&lt;&gt;""),Amendoim!$E64:INDEX(Amendoim!$E64:$Z64,MIN(Q$6-$G$3,22))),0)))))</f>
        <v>0</v>
      </c>
      <c r="R66" s="27" t="n">
        <f aca="false">IF(COUNT(Amendoim!$E64:$Z64)=0,0,MAX(0,IF((R$6-$E$3)&lt;1,0,IFERROR(LOOKUP(2,1/(Amendoim!$E64:INDEX(Amendoim!$E64:$Z64,MIN(R$6-$E$3,22))&lt;&gt;""),Amendoim!$E64:INDEX(Amendoim!$E64:$Z64,MIN(R$6-$E$3,22))),0))-IF($G$2,0,IF((R$6-$G$3)&lt;1,0,IFERROR(LOOKUP(2,1/(Amendoim!$E64:INDEX(Amendoim!$E64:$Z64,MIN(R$6-$G$3,22))&lt;&gt;""),Amendoim!$E64:INDEX(Amendoim!$E64:$Z64,MIN(R$6-$G$3,22))),0)))))</f>
        <v>0</v>
      </c>
      <c r="S66" s="27" t="n">
        <f aca="false">IF(COUNT(Amendoim!$E64:$Z64)=0,0,MAX(0,IF((S$6-$E$3)&lt;1,0,IFERROR(LOOKUP(2,1/(Amendoim!$E64:INDEX(Amendoim!$E64:$Z64,MIN(S$6-$E$3,22))&lt;&gt;""),Amendoim!$E64:INDEX(Amendoim!$E64:$Z64,MIN(S$6-$E$3,22))),0))-IF($G$2,0,IF((S$6-$G$3)&lt;1,0,IFERROR(LOOKUP(2,1/(Amendoim!$E64:INDEX(Amendoim!$E64:$Z64,MIN(S$6-$G$3,22))&lt;&gt;""),Amendoim!$E64:INDEX(Amendoim!$E64:$Z64,MIN(S$6-$G$3,22))),0)))))</f>
        <v>0</v>
      </c>
      <c r="T66" s="27" t="n">
        <f aca="false">IF(COUNT(Amendoim!$E64:$Z64)=0,0,MAX(0,IF((T$6-$E$3)&lt;1,0,IFERROR(LOOKUP(2,1/(Amendoim!$E64:INDEX(Amendoim!$E64:$Z64,MIN(T$6-$E$3,22))&lt;&gt;""),Amendoim!$E64:INDEX(Amendoim!$E64:$Z64,MIN(T$6-$E$3,22))),0))-IF($G$2,0,IF((T$6-$G$3)&lt;1,0,IFERROR(LOOKUP(2,1/(Amendoim!$E64:INDEX(Amendoim!$E64:$Z64,MIN(T$6-$G$3,22))&lt;&gt;""),Amendoim!$E64:INDEX(Amendoim!$E64:$Z64,MIN(T$6-$G$3,22))),0)))))</f>
        <v>0</v>
      </c>
      <c r="U66" s="27" t="n">
        <f aca="false">IF(COUNT(Amendoim!$E64:$Z64)=0,0,MAX(0,IF((U$6-$E$3)&lt;1,0,IFERROR(LOOKUP(2,1/(Amendoim!$E64:INDEX(Amendoim!$E64:$Z64,MIN(U$6-$E$3,22))&lt;&gt;""),Amendoim!$E64:INDEX(Amendoim!$E64:$Z64,MIN(U$6-$E$3,22))),0))-IF($G$2,0,IF((U$6-$G$3)&lt;1,0,IFERROR(LOOKUP(2,1/(Amendoim!$E64:INDEX(Amendoim!$E64:$Z64,MIN(U$6-$G$3,22))&lt;&gt;""),Amendoim!$E64:INDEX(Amendoim!$E64:$Z64,MIN(U$6-$G$3,22))),0)))))</f>
        <v>0</v>
      </c>
      <c r="V66" s="27" t="n">
        <f aca="false">IF(COUNT(Amendoim!$E64:$Z64)=0,0,MAX(0,IF((V$6-$E$3)&lt;1,0,IFERROR(LOOKUP(2,1/(Amendoim!$E64:INDEX(Amendoim!$E64:$Z64,MIN(V$6-$E$3,22))&lt;&gt;""),Amendoim!$E64:INDEX(Amendoim!$E64:$Z64,MIN(V$6-$E$3,22))),0))-IF($G$2,0,IF((V$6-$G$3)&lt;1,0,IFERROR(LOOKUP(2,1/(Amendoim!$E64:INDEX(Amendoim!$E64:$Z64,MIN(V$6-$G$3,22))&lt;&gt;""),Amendoim!$E64:INDEX(Amendoim!$E64:$Z64,MIN(V$6-$G$3,22))),0)))))</f>
        <v>0</v>
      </c>
      <c r="W66" s="27" t="n">
        <f aca="false">IF(COUNT(Amendoim!$E64:$Z64)=0,0,MAX(0,IF((W$6-$E$3)&lt;1,0,IFERROR(LOOKUP(2,1/(Amendoim!$E64:INDEX(Amendoim!$E64:$Z64,MIN(W$6-$E$3,22))&lt;&gt;""),Amendoim!$E64:INDEX(Amendoim!$E64:$Z64,MIN(W$6-$E$3,22))),0))-IF($G$2,0,IF((W$6-$G$3)&lt;1,0,IFERROR(LOOKUP(2,1/(Amendoim!$E64:INDEX(Amendoim!$E64:$Z64,MIN(W$6-$G$3,22))&lt;&gt;""),Amendoim!$E64:INDEX(Amendoim!$E64:$Z64,MIN(W$6-$G$3,22))),0)))))</f>
        <v>0</v>
      </c>
      <c r="X66" s="27" t="n">
        <f aca="false">IF(COUNT(Amendoim!$E64:$Z64)=0,0,MAX(0,IF((X$6-$E$3)&lt;1,0,IFERROR(LOOKUP(2,1/(Amendoim!$E64:INDEX(Amendoim!$E64:$Z64,MIN(X$6-$E$3,22))&lt;&gt;""),Amendoim!$E64:INDEX(Amendoim!$E64:$Z64,MIN(X$6-$E$3,22))),0))-IF($G$2,0,IF((X$6-$G$3)&lt;1,0,IFERROR(LOOKUP(2,1/(Amendoim!$E64:INDEX(Amendoim!$E64:$Z64,MIN(X$6-$G$3,22))&lt;&gt;""),Amendoim!$E64:INDEX(Amendoim!$E64:$Z64,MIN(X$6-$G$3,22))),0)))))</f>
        <v>0</v>
      </c>
      <c r="Y66" s="27" t="n">
        <f aca="false">IF(COUNT(Amendoim!$E64:$Z64)=0,0,MAX(0,IF((Y$6-$E$3)&lt;1,0,IFERROR(LOOKUP(2,1/(Amendoim!$E64:INDEX(Amendoim!$E64:$Z64,MIN(Y$6-$E$3,22))&lt;&gt;""),Amendoim!$E64:INDEX(Amendoim!$E64:$Z64,MIN(Y$6-$E$3,22))),0))-IF($G$2,0,IF((Y$6-$G$3)&lt;1,0,IFERROR(LOOKUP(2,1/(Amendoim!$E64:INDEX(Amendoim!$E64:$Z64,MIN(Y$6-$G$3,22))&lt;&gt;""),Amendoim!$E64:INDEX(Amendoim!$E64:$Z64,MIN(Y$6-$G$3,22))),0)))))</f>
        <v>0</v>
      </c>
      <c r="Z66" s="27" t="n">
        <f aca="false">IF(COUNT(Amendoim!$E64:$Z64)=0,0,MAX(0,IF((Z$6-$E$3)&lt;1,0,IFERROR(LOOKUP(2,1/(Amendoim!$E64:INDEX(Amendoim!$E64:$Z64,MIN(Z$6-$E$3,22))&lt;&gt;""),Amendoim!$E64:INDEX(Amendoim!$E64:$Z64,MIN(Z$6-$E$3,22))),0))-IF($G$2,0,IF((Z$6-$G$3)&lt;1,0,IFERROR(LOOKUP(2,1/(Amendoim!$E64:INDEX(Amendoim!$E64:$Z64,MIN(Z$6-$G$3,22))&lt;&gt;""),Amendoim!$E64:INDEX(Amendoim!$E64:$Z64,MIN(Z$6-$G$3,22))),0)))))</f>
        <v>0</v>
      </c>
      <c r="AA66" s="27" t="n">
        <f aca="false">IF(COUNT(Amendoim!$E64:$Z64)=0,0,MAX(0,IF((AA$6-$E$3)&lt;1,0,IFERROR(LOOKUP(2,1/(Amendoim!$E64:INDEX(Amendoim!$E64:$Z64,MIN(AA$6-$E$3,22))&lt;&gt;""),Amendoim!$E64:INDEX(Amendoim!$E64:$Z64,MIN(AA$6-$E$3,22))),0))-IF($G$2,0,IF((AA$6-$G$3)&lt;1,0,IFERROR(LOOKUP(2,1/(Amendoim!$E64:INDEX(Amendoim!$E64:$Z64,MIN(AA$6-$G$3,22))&lt;&gt;""),Amendoim!$E64:INDEX(Amendoim!$E64:$Z64,MIN(AA$6-$G$3,22))),0)))))</f>
        <v>0</v>
      </c>
      <c r="AB66" s="27" t="n">
        <f aca="false">IF(COUNT(Amendoim!$E64:$Z64)=0,0,MAX(0,IF((AB$6-$E$3)&lt;1,0,IFERROR(LOOKUP(2,1/(Amendoim!$E64:INDEX(Amendoim!$E64:$Z64,MIN(AB$6-$E$3,22))&lt;&gt;""),Amendoim!$E64:INDEX(Amendoim!$E64:$Z64,MIN(AB$6-$E$3,22))),0))-IF($G$2,0,IF((AB$6-$G$3)&lt;1,0,IFERROR(LOOKUP(2,1/(Amendoim!$E64:INDEX(Amendoim!$E64:$Z64,MIN(AB$6-$G$3,22))&lt;&gt;""),Amendoim!$E64:INDEX(Amendoim!$E64:$Z64,MIN(AB$6-$G$3,22))),0)))))</f>
        <v>0</v>
      </c>
      <c r="AC66" s="27" t="n">
        <f aca="false">IF(COUNT(Amendoim!$E64:$Z64)=0,0,MAX(0,IF((AC$6-$E$3)&lt;1,0,IFERROR(LOOKUP(2,1/(Amendoim!$E64:INDEX(Amendoim!$E64:$Z64,MIN(AC$6-$E$3,22))&lt;&gt;""),Amendoim!$E64:INDEX(Amendoim!$E64:$Z64,MIN(AC$6-$E$3,22))),0))-IF($G$2,0,IF((AC$6-$G$3)&lt;1,0,IFERROR(LOOKUP(2,1/(Amendoim!$E64:INDEX(Amendoim!$E64:$Z64,MIN(AC$6-$G$3,22))&lt;&gt;""),Amendoim!$E64:INDEX(Amendoim!$E64:$Z64,MIN(AC$6-$G$3,22))),0)))))</f>
        <v>0</v>
      </c>
      <c r="AD66" s="27" t="n">
        <f aca="false">IF(COUNT(Amendoim!$E64:$Z64)=0,0,MAX(0,IF((AD$6-$E$3)&lt;1,0,IFERROR(LOOKUP(2,1/(Amendoim!$E64:INDEX(Amendoim!$E64:$Z64,MIN(AD$6-$E$3,22))&lt;&gt;""),Amendoim!$E64:INDEX(Amendoim!$E64:$Z64,MIN(AD$6-$E$3,22))),0))-IF($G$2,0,IF((AD$6-$G$3)&lt;1,0,IFERROR(LOOKUP(2,1/(Amendoim!$E64:INDEX(Amendoim!$E64:$Z64,MIN(AD$6-$G$3,22))&lt;&gt;""),Amendoim!$E64:INDEX(Amendoim!$E64:$Z64,MIN(AD$6-$G$3,22))),0)))))</f>
        <v>0</v>
      </c>
      <c r="AE66" s="27" t="n">
        <f aca="false">IF(COUNT(Amendoim!$E64:$Z64)=0,0,MAX(0,IF((AE$6-$E$3)&lt;1,0,IFERROR(LOOKUP(2,1/(Amendoim!$E64:INDEX(Amendoim!$E64:$Z64,MIN(AE$6-$E$3,22))&lt;&gt;""),Amendoim!$E64:INDEX(Amendoim!$E64:$Z64,MIN(AE$6-$E$3,22))),0))-IF($G$2,0,IF((AE$6-$G$3)&lt;1,0,IFERROR(LOOKUP(2,1/(Amendoim!$E64:INDEX(Amendoim!$E64:$Z64,MIN(AE$6-$G$3,22))&lt;&gt;""),Amendoim!$E64:INDEX(Amendoim!$E64:$Z64,MIN(AE$6-$G$3,22))),0)))))</f>
        <v>0</v>
      </c>
      <c r="AF66" s="27" t="n">
        <f aca="false">IF(COUNT(Amendoim!$E64:$Z64)=0,0,MAX(0,IF((AF$6-$E$3)&lt;1,0,IFERROR(LOOKUP(2,1/(Amendoim!$E64:INDEX(Amendoim!$E64:$Z64,MIN(AF$6-$E$3,22))&lt;&gt;""),Amendoim!$E64:INDEX(Amendoim!$E64:$Z64,MIN(AF$6-$E$3,22))),0))-IF($G$2,0,IF((AF$6-$G$3)&lt;1,0,IFERROR(LOOKUP(2,1/(Amendoim!$E64:INDEX(Amendoim!$E64:$Z64,MIN(AF$6-$G$3,22))&lt;&gt;""),Amendoim!$E64:INDEX(Amendoim!$E64:$Z64,MIN(AF$6-$G$3,22))),0)))))</f>
        <v>0</v>
      </c>
      <c r="AG66" s="27" t="n">
        <f aca="false">IF(COUNT(Amendoim!$E64:$Z64)=0,0,MAX(0,IF((AG$6-$E$3)&lt;1,0,IFERROR(LOOKUP(2,1/(Amendoim!$E64:INDEX(Amendoim!$E64:$Z64,MIN(AG$6-$E$3,22))&lt;&gt;""),Amendoim!$E64:INDEX(Amendoim!$E64:$Z64,MIN(AG$6-$E$3,22))),0))-IF($G$2,0,IF((AG$6-$G$3)&lt;1,0,IFERROR(LOOKUP(2,1/(Amendoim!$E64:INDEX(Amendoim!$E64:$Z64,MIN(AG$6-$G$3,22))&lt;&gt;""),Amendoim!$E64:INDEX(Amendoim!$E64:$Z64,MIN(AG$6-$G$3,22))),0)))))</f>
        <v>0</v>
      </c>
      <c r="AH66" s="27" t="n">
        <f aca="false">IF(COUNT(Amendoim!$E64:$Z64)=0,0,MAX(0,IF((AH$6-$E$3)&lt;1,0,IFERROR(LOOKUP(2,1/(Amendoim!$E64:INDEX(Amendoim!$E64:$Z64,MIN(AH$6-$E$3,22))&lt;&gt;""),Amendoim!$E64:INDEX(Amendoim!$E64:$Z64,MIN(AH$6-$E$3,22))),0))-IF($G$2,0,IF((AH$6-$G$3)&lt;1,0,IFERROR(LOOKUP(2,1/(Amendoim!$E64:INDEX(Amendoim!$E64:$Z64,MIN(AH$6-$G$3,22))&lt;&gt;""),Amendoim!$E64:INDEX(Amendoim!$E64:$Z64,MIN(AH$6-$G$3,22))),0)))))</f>
        <v>0</v>
      </c>
      <c r="AI66" s="27" t="n">
        <f aca="false">IF(COUNT(Amendoim!$E64:$Z64)=0,0,MAX(0,IF((AI$6-$E$3)&lt;1,0,IFERROR(LOOKUP(2,1/(Amendoim!$E64:INDEX(Amendoim!$E64:$Z64,MIN(AI$6-$E$3,22))&lt;&gt;""),Amendoim!$E64:INDEX(Amendoim!$E64:$Z64,MIN(AI$6-$E$3,22))),0))-IF($G$2,0,IF((AI$6-$G$3)&lt;1,0,IFERROR(LOOKUP(2,1/(Amendoim!$E64:INDEX(Amendoim!$E64:$Z64,MIN(AI$6-$G$3,22))&lt;&gt;""),Amendoim!$E64:INDEX(Amendoim!$E64:$Z64,MIN(AI$6-$G$3,22))),0)))))</f>
        <v>0</v>
      </c>
      <c r="AJ66" s="27" t="n">
        <f aca="false">IF(COUNT(Amendoim!$E64:$Z64)=0,0,MAX(0,IF((AJ$6-$E$3)&lt;1,0,IFERROR(LOOKUP(2,1/(Amendoim!$E64:INDEX(Amendoim!$E64:$Z64,MIN(AJ$6-$E$3,22))&lt;&gt;""),Amendoim!$E64:INDEX(Amendoim!$E64:$Z64,MIN(AJ$6-$E$3,22))),0))-IF($G$2,0,IF((AJ$6-$G$3)&lt;1,0,IFERROR(LOOKUP(2,1/(Amendoim!$E64:INDEX(Amendoim!$E64:$Z64,MIN(AJ$6-$G$3,22))&lt;&gt;""),Amendoim!$E64:INDEX(Amendoim!$E64:$Z64,MIN(AJ$6-$G$3,22))),0)))))</f>
        <v>0</v>
      </c>
      <c r="AK66" s="27" t="n">
        <f aca="false">IF(COUNT(Amendoim!$E64:$Z64)=0,0,MAX(0,IF((AK$6-$E$3)&lt;1,0,IFERROR(LOOKUP(2,1/(Amendoim!$E64:INDEX(Amendoim!$E64:$Z64,MIN(AK$6-$E$3,22))&lt;&gt;""),Amendoim!$E64:INDEX(Amendoim!$E64:$Z64,MIN(AK$6-$E$3,22))),0))-IF($G$2,0,IF((AK$6-$G$3)&lt;1,0,IFERROR(LOOKUP(2,1/(Amendoim!$E64:INDEX(Amendoim!$E64:$Z64,MIN(AK$6-$G$3,22))&lt;&gt;""),Amendoim!$E64:INDEX(Amendoim!$E64:$Z64,MIN(AK$6-$G$3,22))),0)))))</f>
        <v>0</v>
      </c>
      <c r="AL66" s="27" t="n">
        <f aca="false">IF(COUNT(Amendoim!$E64:$Z64)=0,0,MAX(0,IF((AL$6-$E$3)&lt;1,0,IFERROR(LOOKUP(2,1/(Amendoim!$E64:INDEX(Amendoim!$E64:$Z64,MIN(AL$6-$E$3,22))&lt;&gt;""),Amendoim!$E64:INDEX(Amendoim!$E64:$Z64,MIN(AL$6-$E$3,22))),0))-IF($G$2,0,IF((AL$6-$G$3)&lt;1,0,IFERROR(LOOKUP(2,1/(Amendoim!$E64:INDEX(Amendoim!$E64:$Z64,MIN(AL$6-$G$3,22))&lt;&gt;""),Amendoim!$E64:INDEX(Amendoim!$E64:$Z64,MIN(AL$6-$G$3,22))),0)))))</f>
        <v>0</v>
      </c>
      <c r="AM66" s="27" t="n">
        <f aca="false">IF(COUNT(Amendoim!$E64:$Z64)=0,0,MAX(0,IF((AM$6-$E$3)&lt;1,0,IFERROR(LOOKUP(2,1/(Amendoim!$E64:INDEX(Amendoim!$E64:$Z64,MIN(AM$6-$E$3,22))&lt;&gt;""),Amendoim!$E64:INDEX(Amendoim!$E64:$Z64,MIN(AM$6-$E$3,22))),0))-IF($G$2,0,IF((AM$6-$G$3)&lt;1,0,IFERROR(LOOKUP(2,1/(Amendoim!$E64:INDEX(Amendoim!$E64:$Z64,MIN(AM$6-$G$3,22))&lt;&gt;""),Amendoim!$E64:INDEX(Amendoim!$E64:$Z64,MIN(AM$6-$G$3,22))),0)))))</f>
        <v>0</v>
      </c>
      <c r="AN66" s="27" t="n">
        <f aca="false">IF(COUNT(Amendoim!$E64:$Z64)=0,0,MAX(0,IF((AN$6-$E$3)&lt;1,0,IFERROR(LOOKUP(2,1/(Amendoim!$E64:INDEX(Amendoim!$E64:$Z64,MIN(AN$6-$E$3,22))&lt;&gt;""),Amendoim!$E64:INDEX(Amendoim!$E64:$Z64,MIN(AN$6-$E$3,22))),0))-IF($G$2,0,IF((AN$6-$G$3)&lt;1,0,IFERROR(LOOKUP(2,1/(Amendoim!$E64:INDEX(Amendoim!$E64:$Z64,MIN(AN$6-$G$3,22))&lt;&gt;""),Amendoim!$E64:INDEX(Amendoim!$E64:$Z64,MIN(AN$6-$G$3,22))),0)))))</f>
        <v>0</v>
      </c>
      <c r="AO66" s="27" t="n">
        <f aca="false">IF(COUNT(Amendoim!$E64:$Z64)=0,0,MAX(0,IF((AO$6-$E$3)&lt;1,0,IFERROR(LOOKUP(2,1/(Amendoim!$E64:INDEX(Amendoim!$E64:$Z64,MIN(AO$6-$E$3,22))&lt;&gt;""),Amendoim!$E64:INDEX(Amendoim!$E64:$Z64,MIN(AO$6-$E$3,22))),0))-IF($G$2,0,IF((AO$6-$G$3)&lt;1,0,IFERROR(LOOKUP(2,1/(Amendoim!$E64:INDEX(Amendoim!$E64:$Z64,MIN(AO$6-$G$3,22))&lt;&gt;""),Amendoim!$E64:INDEX(Amendoim!$E64:$Z64,MIN(AO$6-$G$3,22))),0)))))</f>
        <v>0</v>
      </c>
      <c r="AP66" s="27" t="n">
        <f aca="false">IF(COUNT(Amendoim!$E64:$Z64)=0,0,MAX(0,IF((AP$6-$E$3)&lt;1,0,IFERROR(LOOKUP(2,1/(Amendoim!$E64:INDEX(Amendoim!$E64:$Z64,MIN(AP$6-$E$3,22))&lt;&gt;""),Amendoim!$E64:INDEX(Amendoim!$E64:$Z64,MIN(AP$6-$E$3,22))),0))-IF($G$2,0,IF((AP$6-$G$3)&lt;1,0,IFERROR(LOOKUP(2,1/(Amendoim!$E64:INDEX(Amendoim!$E64:$Z64,MIN(AP$6-$G$3,22))&lt;&gt;""),Amendoim!$E64:INDEX(Amendoim!$E64:$Z64,MIN(AP$6-$G$3,22))),0)))))</f>
        <v>0</v>
      </c>
      <c r="AQ66" s="27" t="n">
        <f aca="false">IF(COUNT(Amendoim!$E64:$Z64)=0,0,MAX(0,IF((AQ$6-$E$3)&lt;1,0,IFERROR(LOOKUP(2,1/(Amendoim!$E64:INDEX(Amendoim!$E64:$Z64,MIN(AQ$6-$E$3,22))&lt;&gt;""),Amendoim!$E64:INDEX(Amendoim!$E64:$Z64,MIN(AQ$6-$E$3,22))),0))-IF($G$2,0,IF((AQ$6-$G$3)&lt;1,0,IFERROR(LOOKUP(2,1/(Amendoim!$E64:INDEX(Amendoim!$E64:$Z64,MIN(AQ$6-$G$3,22))&lt;&gt;""),Amendoim!$E64:INDEX(Amendoim!$E64:$Z64,MIN(AQ$6-$G$3,22))),0)))))</f>
        <v>0</v>
      </c>
      <c r="AR66" s="27" t="n">
        <f aca="false">IF(COUNT(Amendoim!$E64:$Z64)=0,0,MAX(0,IF((AR$6-$E$3)&lt;1,0,IFERROR(LOOKUP(2,1/(Amendoim!$E64:INDEX(Amendoim!$E64:$Z64,MIN(AR$6-$E$3,22))&lt;&gt;""),Amendoim!$E64:INDEX(Amendoim!$E64:$Z64,MIN(AR$6-$E$3,22))),0))-IF($G$2,0,IF((AR$6-$G$3)&lt;1,0,IFERROR(LOOKUP(2,1/(Amendoim!$E64:INDEX(Amendoim!$E64:$Z64,MIN(AR$6-$G$3,22))&lt;&gt;""),Amendoim!$E64:INDEX(Amendoim!$E64:$Z64,MIN(AR$6-$G$3,22))),0)))))</f>
        <v>0</v>
      </c>
      <c r="AS66" s="27" t="n">
        <f aca="false">IF(COUNT(Amendoim!$E64:$Z64)=0,0,MAX(0,IF((AS$6-$E$3)&lt;1,0,IFERROR(LOOKUP(2,1/(Amendoim!$E64:INDEX(Amendoim!$E64:$Z64,MIN(AS$6-$E$3,22))&lt;&gt;""),Amendoim!$E64:INDEX(Amendoim!$E64:$Z64,MIN(AS$6-$E$3,22))),0))-IF($G$2,0,IF((AS$6-$G$3)&lt;1,0,IFERROR(LOOKUP(2,1/(Amendoim!$E64:INDEX(Amendoim!$E64:$Z64,MIN(AS$6-$G$3,22))&lt;&gt;""),Amendoim!$E64:INDEX(Amendoim!$E64:$Z64,MIN(AS$6-$G$3,22))),0)))))</f>
        <v>0</v>
      </c>
      <c r="AT66" s="27" t="n">
        <f aca="false">IF(COUNT(Amendoim!$E64:$Z64)=0,0,MAX(0,IF((AT$6-$E$3)&lt;1,0,IFERROR(LOOKUP(2,1/(Amendoim!$E64:INDEX(Amendoim!$E64:$Z64,MIN(AT$6-$E$3,22))&lt;&gt;""),Amendoim!$E64:INDEX(Amendoim!$E64:$Z64,MIN(AT$6-$E$3,22))),0))-IF($G$2,0,IF((AT$6-$G$3)&lt;1,0,IFERROR(LOOKUP(2,1/(Amendoim!$E64:INDEX(Amendoim!$E64:$Z64,MIN(AT$6-$G$3,22))&lt;&gt;""),Amendoim!$E64:INDEX(Amendoim!$E64:$Z64,MIN(AT$6-$G$3,22))),0)))))</f>
        <v>0</v>
      </c>
      <c r="AU66" s="27" t="n">
        <f aca="false">IF(COUNT(Amendoim!$E64:$Z64)=0,0,MAX(0,IF((AU$6-$E$3)&lt;1,0,IFERROR(LOOKUP(2,1/(Amendoim!$E64:INDEX(Amendoim!$E64:$Z64,MIN(AU$6-$E$3,22))&lt;&gt;""),Amendoim!$E64:INDEX(Amendoim!$E64:$Z64,MIN(AU$6-$E$3,22))),0))-IF($G$2,0,IF((AU$6-$G$3)&lt;1,0,IFERROR(LOOKUP(2,1/(Amendoim!$E64:INDEX(Amendoim!$E64:$Z64,MIN(AU$6-$G$3,22))&lt;&gt;""),Amendoim!$E64:INDEX(Amendoim!$E64:$Z64,MIN(AU$6-$G$3,22))),0)))))</f>
        <v>0</v>
      </c>
      <c r="AV66" s="27" t="n">
        <f aca="false">IF(COUNT(Amendoim!$E64:$Z64)=0,0,MAX(0,IF((AV$6-$E$3)&lt;1,0,IFERROR(LOOKUP(2,1/(Amendoim!$E64:INDEX(Amendoim!$E64:$Z64,MIN(AV$6-$E$3,22))&lt;&gt;""),Amendoim!$E64:INDEX(Amendoim!$E64:$Z64,MIN(AV$6-$E$3,22))),0))-IF($G$2,0,IF((AV$6-$G$3)&lt;1,0,IFERROR(LOOKUP(2,1/(Amendoim!$E64:INDEX(Amendoim!$E64:$Z64,MIN(AV$6-$G$3,22))&lt;&gt;""),Amendoim!$E64:INDEX(Amendoim!$E64:$Z64,MIN(AV$6-$G$3,22))),0)))))</f>
        <v>0</v>
      </c>
      <c r="AW66" s="27" t="n">
        <f aca="false">IF(COUNT(Amendoim!$E64:$Z64)=0,0,MAX(0,IF((AW$6-$E$3)&lt;1,0,IFERROR(LOOKUP(2,1/(Amendoim!$E64:INDEX(Amendoim!$E64:$Z64,MIN(AW$6-$E$3,22))&lt;&gt;""),Amendoim!$E64:INDEX(Amendoim!$E64:$Z64,MIN(AW$6-$E$3,22))),0))-IF($G$2,0,IF((AW$6-$G$3)&lt;1,0,IFERROR(LOOKUP(2,1/(Amendoim!$E64:INDEX(Amendoim!$E64:$Z64,MIN(AW$6-$G$3,22))&lt;&gt;""),Amendoim!$E64:INDEX(Amendoim!$E64:$Z64,MIN(AW$6-$G$3,22))),0)))))</f>
        <v>0</v>
      </c>
      <c r="AX66" s="27" t="n">
        <f aca="false">IF(COUNT(Amendoim!$E64:$Z64)=0,0,MAX(0,IF((AX$6-$E$3)&lt;1,0,IFERROR(LOOKUP(2,1/(Amendoim!$E64:INDEX(Amendoim!$E64:$Z64,MIN(AX$6-$E$3,22))&lt;&gt;""),Amendoim!$E64:INDEX(Amendoim!$E64:$Z64,MIN(AX$6-$E$3,22))),0))-IF($G$2,0,IF((AX$6-$G$3)&lt;1,0,IFERROR(LOOKUP(2,1/(Amendoim!$E64:INDEX(Amendoim!$E64:$Z64,MIN(AX$6-$G$3,22))&lt;&gt;""),Amendoim!$E64:INDEX(Amendoim!$E64:$Z64,MIN(AX$6-$G$3,22))),0)))))</f>
        <v>0</v>
      </c>
      <c r="AY66" s="27" t="n">
        <f aca="false">IF(COUNT(Amendoim!$E64:$Z64)=0,0,MAX(0,IF((AY$6-$E$3)&lt;1,0,IFERROR(LOOKUP(2,1/(Amendoim!$E64:INDEX(Amendoim!$E64:$Z64,MIN(AY$6-$E$3,22))&lt;&gt;""),Amendoim!$E64:INDEX(Amendoim!$E64:$Z64,MIN(AY$6-$E$3,22))),0))-IF($G$2,0,IF((AY$6-$G$3)&lt;1,0,IFERROR(LOOKUP(2,1/(Amendoim!$E64:INDEX(Amendoim!$E64:$Z64,MIN(AY$6-$G$3,22))&lt;&gt;""),Amendoim!$E64:INDEX(Amendoim!$E64:$Z64,MIN(AY$6-$G$3,22))),0)))))</f>
        <v>0</v>
      </c>
      <c r="AZ66" s="27" t="n">
        <f aca="false">IF(COUNT(Amendoim!$E64:$Z64)=0,0,MAX(0,IF((AZ$6-$E$3)&lt;1,0,IFERROR(LOOKUP(2,1/(Amendoim!$E64:INDEX(Amendoim!$E64:$Z64,MIN(AZ$6-$E$3,22))&lt;&gt;""),Amendoim!$E64:INDEX(Amendoim!$E64:$Z64,MIN(AZ$6-$E$3,22))),0))-IF($G$2,0,IF((AZ$6-$G$3)&lt;1,0,IFERROR(LOOKUP(2,1/(Amendoim!$E64:INDEX(Amendoim!$E64:$Z64,MIN(AZ$6-$G$3,22))&lt;&gt;""),Amendoim!$E64:INDEX(Amendoim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IF(COUNT(Amendoim!$E65:$Z65)&gt;0,N(Amendoim!$D65),0)</f>
        <v>0</v>
      </c>
      <c r="E67" s="27" t="n">
        <f aca="false">IF(COUNT(Amendoim!$E65:$Z65)=0,0,MAX(0,IF((E$6-$E$3)&lt;1,0,IFERROR(LOOKUP(2,1/(Amendoim!$E65:INDEX(Amendoim!$E65:$Z65,MIN(E$6-$E$3,22))&lt;&gt;""),Amendoim!$E65:INDEX(Amendoim!$E65:$Z65,MIN(E$6-$E$3,22))),0))-IF($G$2,0,IF((E$6-$G$3)&lt;1,0,IFERROR(LOOKUP(2,1/(Amendoim!$E65:INDEX(Amendoim!$E65:$Z65,MIN(E$6-$G$3,22))&lt;&gt;""),Amendoim!$E65:INDEX(Amendoim!$E65:$Z65,MIN(E$6-$G$3,22))),0)))))</f>
        <v>0</v>
      </c>
      <c r="F67" s="27" t="n">
        <f aca="false">IF(COUNT(Amendoim!$E65:$Z65)=0,0,MAX(0,IF((F$6-$E$3)&lt;1,0,IFERROR(LOOKUP(2,1/(Amendoim!$E65:INDEX(Amendoim!$E65:$Z65,MIN(F$6-$E$3,22))&lt;&gt;""),Amendoim!$E65:INDEX(Amendoim!$E65:$Z65,MIN(F$6-$E$3,22))),0))-IF($G$2,0,IF((F$6-$G$3)&lt;1,0,IFERROR(LOOKUP(2,1/(Amendoim!$E65:INDEX(Amendoim!$E65:$Z65,MIN(F$6-$G$3,22))&lt;&gt;""),Amendoim!$E65:INDEX(Amendoim!$E65:$Z65,MIN(F$6-$G$3,22))),0)))))</f>
        <v>0</v>
      </c>
      <c r="G67" s="27" t="n">
        <f aca="false">IF(COUNT(Amendoim!$E65:$Z65)=0,0,MAX(0,IF((G$6-$E$3)&lt;1,0,IFERROR(LOOKUP(2,1/(Amendoim!$E65:INDEX(Amendoim!$E65:$Z65,MIN(G$6-$E$3,22))&lt;&gt;""),Amendoim!$E65:INDEX(Amendoim!$E65:$Z65,MIN(G$6-$E$3,22))),0))-IF($G$2,0,IF((G$6-$G$3)&lt;1,0,IFERROR(LOOKUP(2,1/(Amendoim!$E65:INDEX(Amendoim!$E65:$Z65,MIN(G$6-$G$3,22))&lt;&gt;""),Amendoim!$E65:INDEX(Amendoim!$E65:$Z65,MIN(G$6-$G$3,22))),0)))))</f>
        <v>0</v>
      </c>
      <c r="H67" s="27" t="n">
        <f aca="false">IF(COUNT(Amendoim!$E65:$Z65)=0,0,MAX(0,IF((H$6-$E$3)&lt;1,0,IFERROR(LOOKUP(2,1/(Amendoim!$E65:INDEX(Amendoim!$E65:$Z65,MIN(H$6-$E$3,22))&lt;&gt;""),Amendoim!$E65:INDEX(Amendoim!$E65:$Z65,MIN(H$6-$E$3,22))),0))-IF($G$2,0,IF((H$6-$G$3)&lt;1,0,IFERROR(LOOKUP(2,1/(Amendoim!$E65:INDEX(Amendoim!$E65:$Z65,MIN(H$6-$G$3,22))&lt;&gt;""),Amendoim!$E65:INDEX(Amendoim!$E65:$Z65,MIN(H$6-$G$3,22))),0)))))</f>
        <v>0</v>
      </c>
      <c r="I67" s="27" t="n">
        <f aca="false">IF(COUNT(Amendoim!$E65:$Z65)=0,0,MAX(0,IF((I$6-$E$3)&lt;1,0,IFERROR(LOOKUP(2,1/(Amendoim!$E65:INDEX(Amendoim!$E65:$Z65,MIN(I$6-$E$3,22))&lt;&gt;""),Amendoim!$E65:INDEX(Amendoim!$E65:$Z65,MIN(I$6-$E$3,22))),0))-IF($G$2,0,IF((I$6-$G$3)&lt;1,0,IFERROR(LOOKUP(2,1/(Amendoim!$E65:INDEX(Amendoim!$E65:$Z65,MIN(I$6-$G$3,22))&lt;&gt;""),Amendoim!$E65:INDEX(Amendoim!$E65:$Z65,MIN(I$6-$G$3,22))),0)))))</f>
        <v>0</v>
      </c>
      <c r="J67" s="27" t="n">
        <f aca="false">IF(COUNT(Amendoim!$E65:$Z65)=0,0,MAX(0,IF((J$6-$E$3)&lt;1,0,IFERROR(LOOKUP(2,1/(Amendoim!$E65:INDEX(Amendoim!$E65:$Z65,MIN(J$6-$E$3,22))&lt;&gt;""),Amendoim!$E65:INDEX(Amendoim!$E65:$Z65,MIN(J$6-$E$3,22))),0))-IF($G$2,0,IF((J$6-$G$3)&lt;1,0,IFERROR(LOOKUP(2,1/(Amendoim!$E65:INDEX(Amendoim!$E65:$Z65,MIN(J$6-$G$3,22))&lt;&gt;""),Amendoim!$E65:INDEX(Amendoim!$E65:$Z65,MIN(J$6-$G$3,22))),0)))))</f>
        <v>0</v>
      </c>
      <c r="K67" s="27" t="n">
        <f aca="false">IF(COUNT(Amendoim!$E65:$Z65)=0,0,MAX(0,IF((K$6-$E$3)&lt;1,0,IFERROR(LOOKUP(2,1/(Amendoim!$E65:INDEX(Amendoim!$E65:$Z65,MIN(K$6-$E$3,22))&lt;&gt;""),Amendoim!$E65:INDEX(Amendoim!$E65:$Z65,MIN(K$6-$E$3,22))),0))-IF($G$2,0,IF((K$6-$G$3)&lt;1,0,IFERROR(LOOKUP(2,1/(Amendoim!$E65:INDEX(Amendoim!$E65:$Z65,MIN(K$6-$G$3,22))&lt;&gt;""),Amendoim!$E65:INDEX(Amendoim!$E65:$Z65,MIN(K$6-$G$3,22))),0)))))</f>
        <v>0</v>
      </c>
      <c r="L67" s="27" t="n">
        <f aca="false">IF(COUNT(Amendoim!$E65:$Z65)=0,0,MAX(0,IF((L$6-$E$3)&lt;1,0,IFERROR(LOOKUP(2,1/(Amendoim!$E65:INDEX(Amendoim!$E65:$Z65,MIN(L$6-$E$3,22))&lt;&gt;""),Amendoim!$E65:INDEX(Amendoim!$E65:$Z65,MIN(L$6-$E$3,22))),0))-IF($G$2,0,IF((L$6-$G$3)&lt;1,0,IFERROR(LOOKUP(2,1/(Amendoim!$E65:INDEX(Amendoim!$E65:$Z65,MIN(L$6-$G$3,22))&lt;&gt;""),Amendoim!$E65:INDEX(Amendoim!$E65:$Z65,MIN(L$6-$G$3,22))),0)))))</f>
        <v>0</v>
      </c>
      <c r="M67" s="27" t="n">
        <f aca="false">IF(COUNT(Amendoim!$E65:$Z65)=0,0,MAX(0,IF((M$6-$E$3)&lt;1,0,IFERROR(LOOKUP(2,1/(Amendoim!$E65:INDEX(Amendoim!$E65:$Z65,MIN(M$6-$E$3,22))&lt;&gt;""),Amendoim!$E65:INDEX(Amendoim!$E65:$Z65,MIN(M$6-$E$3,22))),0))-IF($G$2,0,IF((M$6-$G$3)&lt;1,0,IFERROR(LOOKUP(2,1/(Amendoim!$E65:INDEX(Amendoim!$E65:$Z65,MIN(M$6-$G$3,22))&lt;&gt;""),Amendoim!$E65:INDEX(Amendoim!$E65:$Z65,MIN(M$6-$G$3,22))),0)))))</f>
        <v>0</v>
      </c>
      <c r="N67" s="27" t="n">
        <f aca="false">IF(COUNT(Amendoim!$E65:$Z65)=0,0,MAX(0,IF((N$6-$E$3)&lt;1,0,IFERROR(LOOKUP(2,1/(Amendoim!$E65:INDEX(Amendoim!$E65:$Z65,MIN(N$6-$E$3,22))&lt;&gt;""),Amendoim!$E65:INDEX(Amendoim!$E65:$Z65,MIN(N$6-$E$3,22))),0))-IF($G$2,0,IF((N$6-$G$3)&lt;1,0,IFERROR(LOOKUP(2,1/(Amendoim!$E65:INDEX(Amendoim!$E65:$Z65,MIN(N$6-$G$3,22))&lt;&gt;""),Amendoim!$E65:INDEX(Amendoim!$E65:$Z65,MIN(N$6-$G$3,22))),0)))))</f>
        <v>0</v>
      </c>
      <c r="O67" s="27" t="n">
        <f aca="false">IF(COUNT(Amendoim!$E65:$Z65)=0,0,MAX(0,IF((O$6-$E$3)&lt;1,0,IFERROR(LOOKUP(2,1/(Amendoim!$E65:INDEX(Amendoim!$E65:$Z65,MIN(O$6-$E$3,22))&lt;&gt;""),Amendoim!$E65:INDEX(Amendoim!$E65:$Z65,MIN(O$6-$E$3,22))),0))-IF($G$2,0,IF((O$6-$G$3)&lt;1,0,IFERROR(LOOKUP(2,1/(Amendoim!$E65:INDEX(Amendoim!$E65:$Z65,MIN(O$6-$G$3,22))&lt;&gt;""),Amendoim!$E65:INDEX(Amendoim!$E65:$Z65,MIN(O$6-$G$3,22))),0)))))</f>
        <v>0</v>
      </c>
      <c r="P67" s="27" t="n">
        <f aca="false">IF(COUNT(Amendoim!$E65:$Z65)=0,0,MAX(0,IF((P$6-$E$3)&lt;1,0,IFERROR(LOOKUP(2,1/(Amendoim!$E65:INDEX(Amendoim!$E65:$Z65,MIN(P$6-$E$3,22))&lt;&gt;""),Amendoim!$E65:INDEX(Amendoim!$E65:$Z65,MIN(P$6-$E$3,22))),0))-IF($G$2,0,IF((P$6-$G$3)&lt;1,0,IFERROR(LOOKUP(2,1/(Amendoim!$E65:INDEX(Amendoim!$E65:$Z65,MIN(P$6-$G$3,22))&lt;&gt;""),Amendoim!$E65:INDEX(Amendoim!$E65:$Z65,MIN(P$6-$G$3,22))),0)))))</f>
        <v>0</v>
      </c>
      <c r="Q67" s="27" t="n">
        <f aca="false">IF(COUNT(Amendoim!$E65:$Z65)=0,0,MAX(0,IF((Q$6-$E$3)&lt;1,0,IFERROR(LOOKUP(2,1/(Amendoim!$E65:INDEX(Amendoim!$E65:$Z65,MIN(Q$6-$E$3,22))&lt;&gt;""),Amendoim!$E65:INDEX(Amendoim!$E65:$Z65,MIN(Q$6-$E$3,22))),0))-IF($G$2,0,IF((Q$6-$G$3)&lt;1,0,IFERROR(LOOKUP(2,1/(Amendoim!$E65:INDEX(Amendoim!$E65:$Z65,MIN(Q$6-$G$3,22))&lt;&gt;""),Amendoim!$E65:INDEX(Amendoim!$E65:$Z65,MIN(Q$6-$G$3,22))),0)))))</f>
        <v>0</v>
      </c>
      <c r="R67" s="27" t="n">
        <f aca="false">IF(COUNT(Amendoim!$E65:$Z65)=0,0,MAX(0,IF((R$6-$E$3)&lt;1,0,IFERROR(LOOKUP(2,1/(Amendoim!$E65:INDEX(Amendoim!$E65:$Z65,MIN(R$6-$E$3,22))&lt;&gt;""),Amendoim!$E65:INDEX(Amendoim!$E65:$Z65,MIN(R$6-$E$3,22))),0))-IF($G$2,0,IF((R$6-$G$3)&lt;1,0,IFERROR(LOOKUP(2,1/(Amendoim!$E65:INDEX(Amendoim!$E65:$Z65,MIN(R$6-$G$3,22))&lt;&gt;""),Amendoim!$E65:INDEX(Amendoim!$E65:$Z65,MIN(R$6-$G$3,22))),0)))))</f>
        <v>0</v>
      </c>
      <c r="S67" s="27" t="n">
        <f aca="false">IF(COUNT(Amendoim!$E65:$Z65)=0,0,MAX(0,IF((S$6-$E$3)&lt;1,0,IFERROR(LOOKUP(2,1/(Amendoim!$E65:INDEX(Amendoim!$E65:$Z65,MIN(S$6-$E$3,22))&lt;&gt;""),Amendoim!$E65:INDEX(Amendoim!$E65:$Z65,MIN(S$6-$E$3,22))),0))-IF($G$2,0,IF((S$6-$G$3)&lt;1,0,IFERROR(LOOKUP(2,1/(Amendoim!$E65:INDEX(Amendoim!$E65:$Z65,MIN(S$6-$G$3,22))&lt;&gt;""),Amendoim!$E65:INDEX(Amendoim!$E65:$Z65,MIN(S$6-$G$3,22))),0)))))</f>
        <v>0</v>
      </c>
      <c r="T67" s="27" t="n">
        <f aca="false">IF(COUNT(Amendoim!$E65:$Z65)=0,0,MAX(0,IF((T$6-$E$3)&lt;1,0,IFERROR(LOOKUP(2,1/(Amendoim!$E65:INDEX(Amendoim!$E65:$Z65,MIN(T$6-$E$3,22))&lt;&gt;""),Amendoim!$E65:INDEX(Amendoim!$E65:$Z65,MIN(T$6-$E$3,22))),0))-IF($G$2,0,IF((T$6-$G$3)&lt;1,0,IFERROR(LOOKUP(2,1/(Amendoim!$E65:INDEX(Amendoim!$E65:$Z65,MIN(T$6-$G$3,22))&lt;&gt;""),Amendoim!$E65:INDEX(Amendoim!$E65:$Z65,MIN(T$6-$G$3,22))),0)))))</f>
        <v>0</v>
      </c>
      <c r="U67" s="27" t="n">
        <f aca="false">IF(COUNT(Amendoim!$E65:$Z65)=0,0,MAX(0,IF((U$6-$E$3)&lt;1,0,IFERROR(LOOKUP(2,1/(Amendoim!$E65:INDEX(Amendoim!$E65:$Z65,MIN(U$6-$E$3,22))&lt;&gt;""),Amendoim!$E65:INDEX(Amendoim!$E65:$Z65,MIN(U$6-$E$3,22))),0))-IF($G$2,0,IF((U$6-$G$3)&lt;1,0,IFERROR(LOOKUP(2,1/(Amendoim!$E65:INDEX(Amendoim!$E65:$Z65,MIN(U$6-$G$3,22))&lt;&gt;""),Amendoim!$E65:INDEX(Amendoim!$E65:$Z65,MIN(U$6-$G$3,22))),0)))))</f>
        <v>0</v>
      </c>
      <c r="V67" s="27" t="n">
        <f aca="false">IF(COUNT(Amendoim!$E65:$Z65)=0,0,MAX(0,IF((V$6-$E$3)&lt;1,0,IFERROR(LOOKUP(2,1/(Amendoim!$E65:INDEX(Amendoim!$E65:$Z65,MIN(V$6-$E$3,22))&lt;&gt;""),Amendoim!$E65:INDEX(Amendoim!$E65:$Z65,MIN(V$6-$E$3,22))),0))-IF($G$2,0,IF((V$6-$G$3)&lt;1,0,IFERROR(LOOKUP(2,1/(Amendoim!$E65:INDEX(Amendoim!$E65:$Z65,MIN(V$6-$G$3,22))&lt;&gt;""),Amendoim!$E65:INDEX(Amendoim!$E65:$Z65,MIN(V$6-$G$3,22))),0)))))</f>
        <v>0</v>
      </c>
      <c r="W67" s="27" t="n">
        <f aca="false">IF(COUNT(Amendoim!$E65:$Z65)=0,0,MAX(0,IF((W$6-$E$3)&lt;1,0,IFERROR(LOOKUP(2,1/(Amendoim!$E65:INDEX(Amendoim!$E65:$Z65,MIN(W$6-$E$3,22))&lt;&gt;""),Amendoim!$E65:INDEX(Amendoim!$E65:$Z65,MIN(W$6-$E$3,22))),0))-IF($G$2,0,IF((W$6-$G$3)&lt;1,0,IFERROR(LOOKUP(2,1/(Amendoim!$E65:INDEX(Amendoim!$E65:$Z65,MIN(W$6-$G$3,22))&lt;&gt;""),Amendoim!$E65:INDEX(Amendoim!$E65:$Z65,MIN(W$6-$G$3,22))),0)))))</f>
        <v>0</v>
      </c>
      <c r="X67" s="27" t="n">
        <f aca="false">IF(COUNT(Amendoim!$E65:$Z65)=0,0,MAX(0,IF((X$6-$E$3)&lt;1,0,IFERROR(LOOKUP(2,1/(Amendoim!$E65:INDEX(Amendoim!$E65:$Z65,MIN(X$6-$E$3,22))&lt;&gt;""),Amendoim!$E65:INDEX(Amendoim!$E65:$Z65,MIN(X$6-$E$3,22))),0))-IF($G$2,0,IF((X$6-$G$3)&lt;1,0,IFERROR(LOOKUP(2,1/(Amendoim!$E65:INDEX(Amendoim!$E65:$Z65,MIN(X$6-$G$3,22))&lt;&gt;""),Amendoim!$E65:INDEX(Amendoim!$E65:$Z65,MIN(X$6-$G$3,22))),0)))))</f>
        <v>0</v>
      </c>
      <c r="Y67" s="27" t="n">
        <f aca="false">IF(COUNT(Amendoim!$E65:$Z65)=0,0,MAX(0,IF((Y$6-$E$3)&lt;1,0,IFERROR(LOOKUP(2,1/(Amendoim!$E65:INDEX(Amendoim!$E65:$Z65,MIN(Y$6-$E$3,22))&lt;&gt;""),Amendoim!$E65:INDEX(Amendoim!$E65:$Z65,MIN(Y$6-$E$3,22))),0))-IF($G$2,0,IF((Y$6-$G$3)&lt;1,0,IFERROR(LOOKUP(2,1/(Amendoim!$E65:INDEX(Amendoim!$E65:$Z65,MIN(Y$6-$G$3,22))&lt;&gt;""),Amendoim!$E65:INDEX(Amendoim!$E65:$Z65,MIN(Y$6-$G$3,22))),0)))))</f>
        <v>0</v>
      </c>
      <c r="Z67" s="27" t="n">
        <f aca="false">IF(COUNT(Amendoim!$E65:$Z65)=0,0,MAX(0,IF((Z$6-$E$3)&lt;1,0,IFERROR(LOOKUP(2,1/(Amendoim!$E65:INDEX(Amendoim!$E65:$Z65,MIN(Z$6-$E$3,22))&lt;&gt;""),Amendoim!$E65:INDEX(Amendoim!$E65:$Z65,MIN(Z$6-$E$3,22))),0))-IF($G$2,0,IF((Z$6-$G$3)&lt;1,0,IFERROR(LOOKUP(2,1/(Amendoim!$E65:INDEX(Amendoim!$E65:$Z65,MIN(Z$6-$G$3,22))&lt;&gt;""),Amendoim!$E65:INDEX(Amendoim!$E65:$Z65,MIN(Z$6-$G$3,22))),0)))))</f>
        <v>0</v>
      </c>
      <c r="AA67" s="27" t="n">
        <f aca="false">IF(COUNT(Amendoim!$E65:$Z65)=0,0,MAX(0,IF((AA$6-$E$3)&lt;1,0,IFERROR(LOOKUP(2,1/(Amendoim!$E65:INDEX(Amendoim!$E65:$Z65,MIN(AA$6-$E$3,22))&lt;&gt;""),Amendoim!$E65:INDEX(Amendoim!$E65:$Z65,MIN(AA$6-$E$3,22))),0))-IF($G$2,0,IF((AA$6-$G$3)&lt;1,0,IFERROR(LOOKUP(2,1/(Amendoim!$E65:INDEX(Amendoim!$E65:$Z65,MIN(AA$6-$G$3,22))&lt;&gt;""),Amendoim!$E65:INDEX(Amendoim!$E65:$Z65,MIN(AA$6-$G$3,22))),0)))))</f>
        <v>0</v>
      </c>
      <c r="AB67" s="27" t="n">
        <f aca="false">IF(COUNT(Amendoim!$E65:$Z65)=0,0,MAX(0,IF((AB$6-$E$3)&lt;1,0,IFERROR(LOOKUP(2,1/(Amendoim!$E65:INDEX(Amendoim!$E65:$Z65,MIN(AB$6-$E$3,22))&lt;&gt;""),Amendoim!$E65:INDEX(Amendoim!$E65:$Z65,MIN(AB$6-$E$3,22))),0))-IF($G$2,0,IF((AB$6-$G$3)&lt;1,0,IFERROR(LOOKUP(2,1/(Amendoim!$E65:INDEX(Amendoim!$E65:$Z65,MIN(AB$6-$G$3,22))&lt;&gt;""),Amendoim!$E65:INDEX(Amendoim!$E65:$Z65,MIN(AB$6-$G$3,22))),0)))))</f>
        <v>0</v>
      </c>
      <c r="AC67" s="27" t="n">
        <f aca="false">IF(COUNT(Amendoim!$E65:$Z65)=0,0,MAX(0,IF((AC$6-$E$3)&lt;1,0,IFERROR(LOOKUP(2,1/(Amendoim!$E65:INDEX(Amendoim!$E65:$Z65,MIN(AC$6-$E$3,22))&lt;&gt;""),Amendoim!$E65:INDEX(Amendoim!$E65:$Z65,MIN(AC$6-$E$3,22))),0))-IF($G$2,0,IF((AC$6-$G$3)&lt;1,0,IFERROR(LOOKUP(2,1/(Amendoim!$E65:INDEX(Amendoim!$E65:$Z65,MIN(AC$6-$G$3,22))&lt;&gt;""),Amendoim!$E65:INDEX(Amendoim!$E65:$Z65,MIN(AC$6-$G$3,22))),0)))))</f>
        <v>0</v>
      </c>
      <c r="AD67" s="27" t="n">
        <f aca="false">IF(COUNT(Amendoim!$E65:$Z65)=0,0,MAX(0,IF((AD$6-$E$3)&lt;1,0,IFERROR(LOOKUP(2,1/(Amendoim!$E65:INDEX(Amendoim!$E65:$Z65,MIN(AD$6-$E$3,22))&lt;&gt;""),Amendoim!$E65:INDEX(Amendoim!$E65:$Z65,MIN(AD$6-$E$3,22))),0))-IF($G$2,0,IF((AD$6-$G$3)&lt;1,0,IFERROR(LOOKUP(2,1/(Amendoim!$E65:INDEX(Amendoim!$E65:$Z65,MIN(AD$6-$G$3,22))&lt;&gt;""),Amendoim!$E65:INDEX(Amendoim!$E65:$Z65,MIN(AD$6-$G$3,22))),0)))))</f>
        <v>0</v>
      </c>
      <c r="AE67" s="27" t="n">
        <f aca="false">IF(COUNT(Amendoim!$E65:$Z65)=0,0,MAX(0,IF((AE$6-$E$3)&lt;1,0,IFERROR(LOOKUP(2,1/(Amendoim!$E65:INDEX(Amendoim!$E65:$Z65,MIN(AE$6-$E$3,22))&lt;&gt;""),Amendoim!$E65:INDEX(Amendoim!$E65:$Z65,MIN(AE$6-$E$3,22))),0))-IF($G$2,0,IF((AE$6-$G$3)&lt;1,0,IFERROR(LOOKUP(2,1/(Amendoim!$E65:INDEX(Amendoim!$E65:$Z65,MIN(AE$6-$G$3,22))&lt;&gt;""),Amendoim!$E65:INDEX(Amendoim!$E65:$Z65,MIN(AE$6-$G$3,22))),0)))))</f>
        <v>0</v>
      </c>
      <c r="AF67" s="27" t="n">
        <f aca="false">IF(COUNT(Amendoim!$E65:$Z65)=0,0,MAX(0,IF((AF$6-$E$3)&lt;1,0,IFERROR(LOOKUP(2,1/(Amendoim!$E65:INDEX(Amendoim!$E65:$Z65,MIN(AF$6-$E$3,22))&lt;&gt;""),Amendoim!$E65:INDEX(Amendoim!$E65:$Z65,MIN(AF$6-$E$3,22))),0))-IF($G$2,0,IF((AF$6-$G$3)&lt;1,0,IFERROR(LOOKUP(2,1/(Amendoim!$E65:INDEX(Amendoim!$E65:$Z65,MIN(AF$6-$G$3,22))&lt;&gt;""),Amendoim!$E65:INDEX(Amendoim!$E65:$Z65,MIN(AF$6-$G$3,22))),0)))))</f>
        <v>0</v>
      </c>
      <c r="AG67" s="27" t="n">
        <f aca="false">IF(COUNT(Amendoim!$E65:$Z65)=0,0,MAX(0,IF((AG$6-$E$3)&lt;1,0,IFERROR(LOOKUP(2,1/(Amendoim!$E65:INDEX(Amendoim!$E65:$Z65,MIN(AG$6-$E$3,22))&lt;&gt;""),Amendoim!$E65:INDEX(Amendoim!$E65:$Z65,MIN(AG$6-$E$3,22))),0))-IF($G$2,0,IF((AG$6-$G$3)&lt;1,0,IFERROR(LOOKUP(2,1/(Amendoim!$E65:INDEX(Amendoim!$E65:$Z65,MIN(AG$6-$G$3,22))&lt;&gt;""),Amendoim!$E65:INDEX(Amendoim!$E65:$Z65,MIN(AG$6-$G$3,22))),0)))))</f>
        <v>0</v>
      </c>
      <c r="AH67" s="27" t="n">
        <f aca="false">IF(COUNT(Amendoim!$E65:$Z65)=0,0,MAX(0,IF((AH$6-$E$3)&lt;1,0,IFERROR(LOOKUP(2,1/(Amendoim!$E65:INDEX(Amendoim!$E65:$Z65,MIN(AH$6-$E$3,22))&lt;&gt;""),Amendoim!$E65:INDEX(Amendoim!$E65:$Z65,MIN(AH$6-$E$3,22))),0))-IF($G$2,0,IF((AH$6-$G$3)&lt;1,0,IFERROR(LOOKUP(2,1/(Amendoim!$E65:INDEX(Amendoim!$E65:$Z65,MIN(AH$6-$G$3,22))&lt;&gt;""),Amendoim!$E65:INDEX(Amendoim!$E65:$Z65,MIN(AH$6-$G$3,22))),0)))))</f>
        <v>0</v>
      </c>
      <c r="AI67" s="27" t="n">
        <f aca="false">IF(COUNT(Amendoim!$E65:$Z65)=0,0,MAX(0,IF((AI$6-$E$3)&lt;1,0,IFERROR(LOOKUP(2,1/(Amendoim!$E65:INDEX(Amendoim!$E65:$Z65,MIN(AI$6-$E$3,22))&lt;&gt;""),Amendoim!$E65:INDEX(Amendoim!$E65:$Z65,MIN(AI$6-$E$3,22))),0))-IF($G$2,0,IF((AI$6-$G$3)&lt;1,0,IFERROR(LOOKUP(2,1/(Amendoim!$E65:INDEX(Amendoim!$E65:$Z65,MIN(AI$6-$G$3,22))&lt;&gt;""),Amendoim!$E65:INDEX(Amendoim!$E65:$Z65,MIN(AI$6-$G$3,22))),0)))))</f>
        <v>0</v>
      </c>
      <c r="AJ67" s="27" t="n">
        <f aca="false">IF(COUNT(Amendoim!$E65:$Z65)=0,0,MAX(0,IF((AJ$6-$E$3)&lt;1,0,IFERROR(LOOKUP(2,1/(Amendoim!$E65:INDEX(Amendoim!$E65:$Z65,MIN(AJ$6-$E$3,22))&lt;&gt;""),Amendoim!$E65:INDEX(Amendoim!$E65:$Z65,MIN(AJ$6-$E$3,22))),0))-IF($G$2,0,IF((AJ$6-$G$3)&lt;1,0,IFERROR(LOOKUP(2,1/(Amendoim!$E65:INDEX(Amendoim!$E65:$Z65,MIN(AJ$6-$G$3,22))&lt;&gt;""),Amendoim!$E65:INDEX(Amendoim!$E65:$Z65,MIN(AJ$6-$G$3,22))),0)))))</f>
        <v>0</v>
      </c>
      <c r="AK67" s="27" t="n">
        <f aca="false">IF(COUNT(Amendoim!$E65:$Z65)=0,0,MAX(0,IF((AK$6-$E$3)&lt;1,0,IFERROR(LOOKUP(2,1/(Amendoim!$E65:INDEX(Amendoim!$E65:$Z65,MIN(AK$6-$E$3,22))&lt;&gt;""),Amendoim!$E65:INDEX(Amendoim!$E65:$Z65,MIN(AK$6-$E$3,22))),0))-IF($G$2,0,IF((AK$6-$G$3)&lt;1,0,IFERROR(LOOKUP(2,1/(Amendoim!$E65:INDEX(Amendoim!$E65:$Z65,MIN(AK$6-$G$3,22))&lt;&gt;""),Amendoim!$E65:INDEX(Amendoim!$E65:$Z65,MIN(AK$6-$G$3,22))),0)))))</f>
        <v>0</v>
      </c>
      <c r="AL67" s="27" t="n">
        <f aca="false">IF(COUNT(Amendoim!$E65:$Z65)=0,0,MAX(0,IF((AL$6-$E$3)&lt;1,0,IFERROR(LOOKUP(2,1/(Amendoim!$E65:INDEX(Amendoim!$E65:$Z65,MIN(AL$6-$E$3,22))&lt;&gt;""),Amendoim!$E65:INDEX(Amendoim!$E65:$Z65,MIN(AL$6-$E$3,22))),0))-IF($G$2,0,IF((AL$6-$G$3)&lt;1,0,IFERROR(LOOKUP(2,1/(Amendoim!$E65:INDEX(Amendoim!$E65:$Z65,MIN(AL$6-$G$3,22))&lt;&gt;""),Amendoim!$E65:INDEX(Amendoim!$E65:$Z65,MIN(AL$6-$G$3,22))),0)))))</f>
        <v>0</v>
      </c>
      <c r="AM67" s="27" t="n">
        <f aca="false">IF(COUNT(Amendoim!$E65:$Z65)=0,0,MAX(0,IF((AM$6-$E$3)&lt;1,0,IFERROR(LOOKUP(2,1/(Amendoim!$E65:INDEX(Amendoim!$E65:$Z65,MIN(AM$6-$E$3,22))&lt;&gt;""),Amendoim!$E65:INDEX(Amendoim!$E65:$Z65,MIN(AM$6-$E$3,22))),0))-IF($G$2,0,IF((AM$6-$G$3)&lt;1,0,IFERROR(LOOKUP(2,1/(Amendoim!$E65:INDEX(Amendoim!$E65:$Z65,MIN(AM$6-$G$3,22))&lt;&gt;""),Amendoim!$E65:INDEX(Amendoim!$E65:$Z65,MIN(AM$6-$G$3,22))),0)))))</f>
        <v>0</v>
      </c>
      <c r="AN67" s="27" t="n">
        <f aca="false">IF(COUNT(Amendoim!$E65:$Z65)=0,0,MAX(0,IF((AN$6-$E$3)&lt;1,0,IFERROR(LOOKUP(2,1/(Amendoim!$E65:INDEX(Amendoim!$E65:$Z65,MIN(AN$6-$E$3,22))&lt;&gt;""),Amendoim!$E65:INDEX(Amendoim!$E65:$Z65,MIN(AN$6-$E$3,22))),0))-IF($G$2,0,IF((AN$6-$G$3)&lt;1,0,IFERROR(LOOKUP(2,1/(Amendoim!$E65:INDEX(Amendoim!$E65:$Z65,MIN(AN$6-$G$3,22))&lt;&gt;""),Amendoim!$E65:INDEX(Amendoim!$E65:$Z65,MIN(AN$6-$G$3,22))),0)))))</f>
        <v>0</v>
      </c>
      <c r="AO67" s="27" t="n">
        <f aca="false">IF(COUNT(Amendoim!$E65:$Z65)=0,0,MAX(0,IF((AO$6-$E$3)&lt;1,0,IFERROR(LOOKUP(2,1/(Amendoim!$E65:INDEX(Amendoim!$E65:$Z65,MIN(AO$6-$E$3,22))&lt;&gt;""),Amendoim!$E65:INDEX(Amendoim!$E65:$Z65,MIN(AO$6-$E$3,22))),0))-IF($G$2,0,IF((AO$6-$G$3)&lt;1,0,IFERROR(LOOKUP(2,1/(Amendoim!$E65:INDEX(Amendoim!$E65:$Z65,MIN(AO$6-$G$3,22))&lt;&gt;""),Amendoim!$E65:INDEX(Amendoim!$E65:$Z65,MIN(AO$6-$G$3,22))),0)))))</f>
        <v>0</v>
      </c>
      <c r="AP67" s="27" t="n">
        <f aca="false">IF(COUNT(Amendoim!$E65:$Z65)=0,0,MAX(0,IF((AP$6-$E$3)&lt;1,0,IFERROR(LOOKUP(2,1/(Amendoim!$E65:INDEX(Amendoim!$E65:$Z65,MIN(AP$6-$E$3,22))&lt;&gt;""),Amendoim!$E65:INDEX(Amendoim!$E65:$Z65,MIN(AP$6-$E$3,22))),0))-IF($G$2,0,IF((AP$6-$G$3)&lt;1,0,IFERROR(LOOKUP(2,1/(Amendoim!$E65:INDEX(Amendoim!$E65:$Z65,MIN(AP$6-$G$3,22))&lt;&gt;""),Amendoim!$E65:INDEX(Amendoim!$E65:$Z65,MIN(AP$6-$G$3,22))),0)))))</f>
        <v>0</v>
      </c>
      <c r="AQ67" s="27" t="n">
        <f aca="false">IF(COUNT(Amendoim!$E65:$Z65)=0,0,MAX(0,IF((AQ$6-$E$3)&lt;1,0,IFERROR(LOOKUP(2,1/(Amendoim!$E65:INDEX(Amendoim!$E65:$Z65,MIN(AQ$6-$E$3,22))&lt;&gt;""),Amendoim!$E65:INDEX(Amendoim!$E65:$Z65,MIN(AQ$6-$E$3,22))),0))-IF($G$2,0,IF((AQ$6-$G$3)&lt;1,0,IFERROR(LOOKUP(2,1/(Amendoim!$E65:INDEX(Amendoim!$E65:$Z65,MIN(AQ$6-$G$3,22))&lt;&gt;""),Amendoim!$E65:INDEX(Amendoim!$E65:$Z65,MIN(AQ$6-$G$3,22))),0)))))</f>
        <v>0</v>
      </c>
      <c r="AR67" s="27" t="n">
        <f aca="false">IF(COUNT(Amendoim!$E65:$Z65)=0,0,MAX(0,IF((AR$6-$E$3)&lt;1,0,IFERROR(LOOKUP(2,1/(Amendoim!$E65:INDEX(Amendoim!$E65:$Z65,MIN(AR$6-$E$3,22))&lt;&gt;""),Amendoim!$E65:INDEX(Amendoim!$E65:$Z65,MIN(AR$6-$E$3,22))),0))-IF($G$2,0,IF((AR$6-$G$3)&lt;1,0,IFERROR(LOOKUP(2,1/(Amendoim!$E65:INDEX(Amendoim!$E65:$Z65,MIN(AR$6-$G$3,22))&lt;&gt;""),Amendoim!$E65:INDEX(Amendoim!$E65:$Z65,MIN(AR$6-$G$3,22))),0)))))</f>
        <v>0</v>
      </c>
      <c r="AS67" s="27" t="n">
        <f aca="false">IF(COUNT(Amendoim!$E65:$Z65)=0,0,MAX(0,IF((AS$6-$E$3)&lt;1,0,IFERROR(LOOKUP(2,1/(Amendoim!$E65:INDEX(Amendoim!$E65:$Z65,MIN(AS$6-$E$3,22))&lt;&gt;""),Amendoim!$E65:INDEX(Amendoim!$E65:$Z65,MIN(AS$6-$E$3,22))),0))-IF($G$2,0,IF((AS$6-$G$3)&lt;1,0,IFERROR(LOOKUP(2,1/(Amendoim!$E65:INDEX(Amendoim!$E65:$Z65,MIN(AS$6-$G$3,22))&lt;&gt;""),Amendoim!$E65:INDEX(Amendoim!$E65:$Z65,MIN(AS$6-$G$3,22))),0)))))</f>
        <v>0</v>
      </c>
      <c r="AT67" s="27" t="n">
        <f aca="false">IF(COUNT(Amendoim!$E65:$Z65)=0,0,MAX(0,IF((AT$6-$E$3)&lt;1,0,IFERROR(LOOKUP(2,1/(Amendoim!$E65:INDEX(Amendoim!$E65:$Z65,MIN(AT$6-$E$3,22))&lt;&gt;""),Amendoim!$E65:INDEX(Amendoim!$E65:$Z65,MIN(AT$6-$E$3,22))),0))-IF($G$2,0,IF((AT$6-$G$3)&lt;1,0,IFERROR(LOOKUP(2,1/(Amendoim!$E65:INDEX(Amendoim!$E65:$Z65,MIN(AT$6-$G$3,22))&lt;&gt;""),Amendoim!$E65:INDEX(Amendoim!$E65:$Z65,MIN(AT$6-$G$3,22))),0)))))</f>
        <v>0</v>
      </c>
      <c r="AU67" s="27" t="n">
        <f aca="false">IF(COUNT(Amendoim!$E65:$Z65)=0,0,MAX(0,IF((AU$6-$E$3)&lt;1,0,IFERROR(LOOKUP(2,1/(Amendoim!$E65:INDEX(Amendoim!$E65:$Z65,MIN(AU$6-$E$3,22))&lt;&gt;""),Amendoim!$E65:INDEX(Amendoim!$E65:$Z65,MIN(AU$6-$E$3,22))),0))-IF($G$2,0,IF((AU$6-$G$3)&lt;1,0,IFERROR(LOOKUP(2,1/(Amendoim!$E65:INDEX(Amendoim!$E65:$Z65,MIN(AU$6-$G$3,22))&lt;&gt;""),Amendoim!$E65:INDEX(Amendoim!$E65:$Z65,MIN(AU$6-$G$3,22))),0)))))</f>
        <v>0</v>
      </c>
      <c r="AV67" s="27" t="n">
        <f aca="false">IF(COUNT(Amendoim!$E65:$Z65)=0,0,MAX(0,IF((AV$6-$E$3)&lt;1,0,IFERROR(LOOKUP(2,1/(Amendoim!$E65:INDEX(Amendoim!$E65:$Z65,MIN(AV$6-$E$3,22))&lt;&gt;""),Amendoim!$E65:INDEX(Amendoim!$E65:$Z65,MIN(AV$6-$E$3,22))),0))-IF($G$2,0,IF((AV$6-$G$3)&lt;1,0,IFERROR(LOOKUP(2,1/(Amendoim!$E65:INDEX(Amendoim!$E65:$Z65,MIN(AV$6-$G$3,22))&lt;&gt;""),Amendoim!$E65:INDEX(Amendoim!$E65:$Z65,MIN(AV$6-$G$3,22))),0)))))</f>
        <v>0</v>
      </c>
      <c r="AW67" s="27" t="n">
        <f aca="false">IF(COUNT(Amendoim!$E65:$Z65)=0,0,MAX(0,IF((AW$6-$E$3)&lt;1,0,IFERROR(LOOKUP(2,1/(Amendoim!$E65:INDEX(Amendoim!$E65:$Z65,MIN(AW$6-$E$3,22))&lt;&gt;""),Amendoim!$E65:INDEX(Amendoim!$E65:$Z65,MIN(AW$6-$E$3,22))),0))-IF($G$2,0,IF((AW$6-$G$3)&lt;1,0,IFERROR(LOOKUP(2,1/(Amendoim!$E65:INDEX(Amendoim!$E65:$Z65,MIN(AW$6-$G$3,22))&lt;&gt;""),Amendoim!$E65:INDEX(Amendoim!$E65:$Z65,MIN(AW$6-$G$3,22))),0)))))</f>
        <v>0</v>
      </c>
      <c r="AX67" s="27" t="n">
        <f aca="false">IF(COUNT(Amendoim!$E65:$Z65)=0,0,MAX(0,IF((AX$6-$E$3)&lt;1,0,IFERROR(LOOKUP(2,1/(Amendoim!$E65:INDEX(Amendoim!$E65:$Z65,MIN(AX$6-$E$3,22))&lt;&gt;""),Amendoim!$E65:INDEX(Amendoim!$E65:$Z65,MIN(AX$6-$E$3,22))),0))-IF($G$2,0,IF((AX$6-$G$3)&lt;1,0,IFERROR(LOOKUP(2,1/(Amendoim!$E65:INDEX(Amendoim!$E65:$Z65,MIN(AX$6-$G$3,22))&lt;&gt;""),Amendoim!$E65:INDEX(Amendoim!$E65:$Z65,MIN(AX$6-$G$3,22))),0)))))</f>
        <v>0</v>
      </c>
      <c r="AY67" s="27" t="n">
        <f aca="false">IF(COUNT(Amendoim!$E65:$Z65)=0,0,MAX(0,IF((AY$6-$E$3)&lt;1,0,IFERROR(LOOKUP(2,1/(Amendoim!$E65:INDEX(Amendoim!$E65:$Z65,MIN(AY$6-$E$3,22))&lt;&gt;""),Amendoim!$E65:INDEX(Amendoim!$E65:$Z65,MIN(AY$6-$E$3,22))),0))-IF($G$2,0,IF((AY$6-$G$3)&lt;1,0,IFERROR(LOOKUP(2,1/(Amendoim!$E65:INDEX(Amendoim!$E65:$Z65,MIN(AY$6-$G$3,22))&lt;&gt;""),Amendoim!$E65:INDEX(Amendoim!$E65:$Z65,MIN(AY$6-$G$3,22))),0)))))</f>
        <v>0</v>
      </c>
      <c r="AZ67" s="27" t="n">
        <f aca="false">IF(COUNT(Amendoim!$E65:$Z65)=0,0,MAX(0,IF((AZ$6-$E$3)&lt;1,0,IFERROR(LOOKUP(2,1/(Amendoim!$E65:INDEX(Amendoim!$E65:$Z65,MIN(AZ$6-$E$3,22))&lt;&gt;""),Amendoim!$E65:INDEX(Amendoim!$E65:$Z65,MIN(AZ$6-$E$3,22))),0))-IF($G$2,0,IF((AZ$6-$G$3)&lt;1,0,IFERROR(LOOKUP(2,1/(Amendoim!$E65:INDEX(Amendoim!$E65:$Z65,MIN(AZ$6-$G$3,22))&lt;&gt;""),Amendoim!$E65:INDEX(Amendoim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IF(COUNT(Amendoim!$E66:$Z66)&gt;0,N(Amendoim!$D66),0)</f>
        <v>0</v>
      </c>
      <c r="E68" s="27" t="n">
        <f aca="false">IF(COUNT(Amendoim!$E66:$Z66)=0,0,MAX(0,IF((E$6-$E$3)&lt;1,0,IFERROR(LOOKUP(2,1/(Amendoim!$E66:INDEX(Amendoim!$E66:$Z66,MIN(E$6-$E$3,22))&lt;&gt;""),Amendoim!$E66:INDEX(Amendoim!$E66:$Z66,MIN(E$6-$E$3,22))),0))-IF($G$2,0,IF((E$6-$G$3)&lt;1,0,IFERROR(LOOKUP(2,1/(Amendoim!$E66:INDEX(Amendoim!$E66:$Z66,MIN(E$6-$G$3,22))&lt;&gt;""),Amendoim!$E66:INDEX(Amendoim!$E66:$Z66,MIN(E$6-$G$3,22))),0)))))</f>
        <v>0</v>
      </c>
      <c r="F68" s="27" t="n">
        <f aca="false">IF(COUNT(Amendoim!$E66:$Z66)=0,0,MAX(0,IF((F$6-$E$3)&lt;1,0,IFERROR(LOOKUP(2,1/(Amendoim!$E66:INDEX(Amendoim!$E66:$Z66,MIN(F$6-$E$3,22))&lt;&gt;""),Amendoim!$E66:INDEX(Amendoim!$E66:$Z66,MIN(F$6-$E$3,22))),0))-IF($G$2,0,IF((F$6-$G$3)&lt;1,0,IFERROR(LOOKUP(2,1/(Amendoim!$E66:INDEX(Amendoim!$E66:$Z66,MIN(F$6-$G$3,22))&lt;&gt;""),Amendoim!$E66:INDEX(Amendoim!$E66:$Z66,MIN(F$6-$G$3,22))),0)))))</f>
        <v>0</v>
      </c>
      <c r="G68" s="27" t="n">
        <f aca="false">IF(COUNT(Amendoim!$E66:$Z66)=0,0,MAX(0,IF((G$6-$E$3)&lt;1,0,IFERROR(LOOKUP(2,1/(Amendoim!$E66:INDEX(Amendoim!$E66:$Z66,MIN(G$6-$E$3,22))&lt;&gt;""),Amendoim!$E66:INDEX(Amendoim!$E66:$Z66,MIN(G$6-$E$3,22))),0))-IF($G$2,0,IF((G$6-$G$3)&lt;1,0,IFERROR(LOOKUP(2,1/(Amendoim!$E66:INDEX(Amendoim!$E66:$Z66,MIN(G$6-$G$3,22))&lt;&gt;""),Amendoim!$E66:INDEX(Amendoim!$E66:$Z66,MIN(G$6-$G$3,22))),0)))))</f>
        <v>0</v>
      </c>
      <c r="H68" s="27" t="n">
        <f aca="false">IF(COUNT(Amendoim!$E66:$Z66)=0,0,MAX(0,IF((H$6-$E$3)&lt;1,0,IFERROR(LOOKUP(2,1/(Amendoim!$E66:INDEX(Amendoim!$E66:$Z66,MIN(H$6-$E$3,22))&lt;&gt;""),Amendoim!$E66:INDEX(Amendoim!$E66:$Z66,MIN(H$6-$E$3,22))),0))-IF($G$2,0,IF((H$6-$G$3)&lt;1,0,IFERROR(LOOKUP(2,1/(Amendoim!$E66:INDEX(Amendoim!$E66:$Z66,MIN(H$6-$G$3,22))&lt;&gt;""),Amendoim!$E66:INDEX(Amendoim!$E66:$Z66,MIN(H$6-$G$3,22))),0)))))</f>
        <v>0</v>
      </c>
      <c r="I68" s="27" t="n">
        <f aca="false">IF(COUNT(Amendoim!$E66:$Z66)=0,0,MAX(0,IF((I$6-$E$3)&lt;1,0,IFERROR(LOOKUP(2,1/(Amendoim!$E66:INDEX(Amendoim!$E66:$Z66,MIN(I$6-$E$3,22))&lt;&gt;""),Amendoim!$E66:INDEX(Amendoim!$E66:$Z66,MIN(I$6-$E$3,22))),0))-IF($G$2,0,IF((I$6-$G$3)&lt;1,0,IFERROR(LOOKUP(2,1/(Amendoim!$E66:INDEX(Amendoim!$E66:$Z66,MIN(I$6-$G$3,22))&lt;&gt;""),Amendoim!$E66:INDEX(Amendoim!$E66:$Z66,MIN(I$6-$G$3,22))),0)))))</f>
        <v>0</v>
      </c>
      <c r="J68" s="27" t="n">
        <f aca="false">IF(COUNT(Amendoim!$E66:$Z66)=0,0,MAX(0,IF((J$6-$E$3)&lt;1,0,IFERROR(LOOKUP(2,1/(Amendoim!$E66:INDEX(Amendoim!$E66:$Z66,MIN(J$6-$E$3,22))&lt;&gt;""),Amendoim!$E66:INDEX(Amendoim!$E66:$Z66,MIN(J$6-$E$3,22))),0))-IF($G$2,0,IF((J$6-$G$3)&lt;1,0,IFERROR(LOOKUP(2,1/(Amendoim!$E66:INDEX(Amendoim!$E66:$Z66,MIN(J$6-$G$3,22))&lt;&gt;""),Amendoim!$E66:INDEX(Amendoim!$E66:$Z66,MIN(J$6-$G$3,22))),0)))))</f>
        <v>0</v>
      </c>
      <c r="K68" s="27" t="n">
        <f aca="false">IF(COUNT(Amendoim!$E66:$Z66)=0,0,MAX(0,IF((K$6-$E$3)&lt;1,0,IFERROR(LOOKUP(2,1/(Amendoim!$E66:INDEX(Amendoim!$E66:$Z66,MIN(K$6-$E$3,22))&lt;&gt;""),Amendoim!$E66:INDEX(Amendoim!$E66:$Z66,MIN(K$6-$E$3,22))),0))-IF($G$2,0,IF((K$6-$G$3)&lt;1,0,IFERROR(LOOKUP(2,1/(Amendoim!$E66:INDEX(Amendoim!$E66:$Z66,MIN(K$6-$G$3,22))&lt;&gt;""),Amendoim!$E66:INDEX(Amendoim!$E66:$Z66,MIN(K$6-$G$3,22))),0)))))</f>
        <v>0</v>
      </c>
      <c r="L68" s="27" t="n">
        <f aca="false">IF(COUNT(Amendoim!$E66:$Z66)=0,0,MAX(0,IF((L$6-$E$3)&lt;1,0,IFERROR(LOOKUP(2,1/(Amendoim!$E66:INDEX(Amendoim!$E66:$Z66,MIN(L$6-$E$3,22))&lt;&gt;""),Amendoim!$E66:INDEX(Amendoim!$E66:$Z66,MIN(L$6-$E$3,22))),0))-IF($G$2,0,IF((L$6-$G$3)&lt;1,0,IFERROR(LOOKUP(2,1/(Amendoim!$E66:INDEX(Amendoim!$E66:$Z66,MIN(L$6-$G$3,22))&lt;&gt;""),Amendoim!$E66:INDEX(Amendoim!$E66:$Z66,MIN(L$6-$G$3,22))),0)))))</f>
        <v>0</v>
      </c>
      <c r="M68" s="27" t="n">
        <f aca="false">IF(COUNT(Amendoim!$E66:$Z66)=0,0,MAX(0,IF((M$6-$E$3)&lt;1,0,IFERROR(LOOKUP(2,1/(Amendoim!$E66:INDEX(Amendoim!$E66:$Z66,MIN(M$6-$E$3,22))&lt;&gt;""),Amendoim!$E66:INDEX(Amendoim!$E66:$Z66,MIN(M$6-$E$3,22))),0))-IF($G$2,0,IF((M$6-$G$3)&lt;1,0,IFERROR(LOOKUP(2,1/(Amendoim!$E66:INDEX(Amendoim!$E66:$Z66,MIN(M$6-$G$3,22))&lt;&gt;""),Amendoim!$E66:INDEX(Amendoim!$E66:$Z66,MIN(M$6-$G$3,22))),0)))))</f>
        <v>0</v>
      </c>
      <c r="N68" s="27" t="n">
        <f aca="false">IF(COUNT(Amendoim!$E66:$Z66)=0,0,MAX(0,IF((N$6-$E$3)&lt;1,0,IFERROR(LOOKUP(2,1/(Amendoim!$E66:INDEX(Amendoim!$E66:$Z66,MIN(N$6-$E$3,22))&lt;&gt;""),Amendoim!$E66:INDEX(Amendoim!$E66:$Z66,MIN(N$6-$E$3,22))),0))-IF($G$2,0,IF((N$6-$G$3)&lt;1,0,IFERROR(LOOKUP(2,1/(Amendoim!$E66:INDEX(Amendoim!$E66:$Z66,MIN(N$6-$G$3,22))&lt;&gt;""),Amendoim!$E66:INDEX(Amendoim!$E66:$Z66,MIN(N$6-$G$3,22))),0)))))</f>
        <v>0</v>
      </c>
      <c r="O68" s="27" t="n">
        <f aca="false">IF(COUNT(Amendoim!$E66:$Z66)=0,0,MAX(0,IF((O$6-$E$3)&lt;1,0,IFERROR(LOOKUP(2,1/(Amendoim!$E66:INDEX(Amendoim!$E66:$Z66,MIN(O$6-$E$3,22))&lt;&gt;""),Amendoim!$E66:INDEX(Amendoim!$E66:$Z66,MIN(O$6-$E$3,22))),0))-IF($G$2,0,IF((O$6-$G$3)&lt;1,0,IFERROR(LOOKUP(2,1/(Amendoim!$E66:INDEX(Amendoim!$E66:$Z66,MIN(O$6-$G$3,22))&lt;&gt;""),Amendoim!$E66:INDEX(Amendoim!$E66:$Z66,MIN(O$6-$G$3,22))),0)))))</f>
        <v>0</v>
      </c>
      <c r="P68" s="27" t="n">
        <f aca="false">IF(COUNT(Amendoim!$E66:$Z66)=0,0,MAX(0,IF((P$6-$E$3)&lt;1,0,IFERROR(LOOKUP(2,1/(Amendoim!$E66:INDEX(Amendoim!$E66:$Z66,MIN(P$6-$E$3,22))&lt;&gt;""),Amendoim!$E66:INDEX(Amendoim!$E66:$Z66,MIN(P$6-$E$3,22))),0))-IF($G$2,0,IF((P$6-$G$3)&lt;1,0,IFERROR(LOOKUP(2,1/(Amendoim!$E66:INDEX(Amendoim!$E66:$Z66,MIN(P$6-$G$3,22))&lt;&gt;""),Amendoim!$E66:INDEX(Amendoim!$E66:$Z66,MIN(P$6-$G$3,22))),0)))))</f>
        <v>0</v>
      </c>
      <c r="Q68" s="27" t="n">
        <f aca="false">IF(COUNT(Amendoim!$E66:$Z66)=0,0,MAX(0,IF((Q$6-$E$3)&lt;1,0,IFERROR(LOOKUP(2,1/(Amendoim!$E66:INDEX(Amendoim!$E66:$Z66,MIN(Q$6-$E$3,22))&lt;&gt;""),Amendoim!$E66:INDEX(Amendoim!$E66:$Z66,MIN(Q$6-$E$3,22))),0))-IF($G$2,0,IF((Q$6-$G$3)&lt;1,0,IFERROR(LOOKUP(2,1/(Amendoim!$E66:INDEX(Amendoim!$E66:$Z66,MIN(Q$6-$G$3,22))&lt;&gt;""),Amendoim!$E66:INDEX(Amendoim!$E66:$Z66,MIN(Q$6-$G$3,22))),0)))))</f>
        <v>0</v>
      </c>
      <c r="R68" s="27" t="n">
        <f aca="false">IF(COUNT(Amendoim!$E66:$Z66)=0,0,MAX(0,IF((R$6-$E$3)&lt;1,0,IFERROR(LOOKUP(2,1/(Amendoim!$E66:INDEX(Amendoim!$E66:$Z66,MIN(R$6-$E$3,22))&lt;&gt;""),Amendoim!$E66:INDEX(Amendoim!$E66:$Z66,MIN(R$6-$E$3,22))),0))-IF($G$2,0,IF((R$6-$G$3)&lt;1,0,IFERROR(LOOKUP(2,1/(Amendoim!$E66:INDEX(Amendoim!$E66:$Z66,MIN(R$6-$G$3,22))&lt;&gt;""),Amendoim!$E66:INDEX(Amendoim!$E66:$Z66,MIN(R$6-$G$3,22))),0)))))</f>
        <v>0</v>
      </c>
      <c r="S68" s="27" t="n">
        <f aca="false">IF(COUNT(Amendoim!$E66:$Z66)=0,0,MAX(0,IF((S$6-$E$3)&lt;1,0,IFERROR(LOOKUP(2,1/(Amendoim!$E66:INDEX(Amendoim!$E66:$Z66,MIN(S$6-$E$3,22))&lt;&gt;""),Amendoim!$E66:INDEX(Amendoim!$E66:$Z66,MIN(S$6-$E$3,22))),0))-IF($G$2,0,IF((S$6-$G$3)&lt;1,0,IFERROR(LOOKUP(2,1/(Amendoim!$E66:INDEX(Amendoim!$E66:$Z66,MIN(S$6-$G$3,22))&lt;&gt;""),Amendoim!$E66:INDEX(Amendoim!$E66:$Z66,MIN(S$6-$G$3,22))),0)))))</f>
        <v>0</v>
      </c>
      <c r="T68" s="27" t="n">
        <f aca="false">IF(COUNT(Amendoim!$E66:$Z66)=0,0,MAX(0,IF((T$6-$E$3)&lt;1,0,IFERROR(LOOKUP(2,1/(Amendoim!$E66:INDEX(Amendoim!$E66:$Z66,MIN(T$6-$E$3,22))&lt;&gt;""),Amendoim!$E66:INDEX(Amendoim!$E66:$Z66,MIN(T$6-$E$3,22))),0))-IF($G$2,0,IF((T$6-$G$3)&lt;1,0,IFERROR(LOOKUP(2,1/(Amendoim!$E66:INDEX(Amendoim!$E66:$Z66,MIN(T$6-$G$3,22))&lt;&gt;""),Amendoim!$E66:INDEX(Amendoim!$E66:$Z66,MIN(T$6-$G$3,22))),0)))))</f>
        <v>0</v>
      </c>
      <c r="U68" s="27" t="n">
        <f aca="false">IF(COUNT(Amendoim!$E66:$Z66)=0,0,MAX(0,IF((U$6-$E$3)&lt;1,0,IFERROR(LOOKUP(2,1/(Amendoim!$E66:INDEX(Amendoim!$E66:$Z66,MIN(U$6-$E$3,22))&lt;&gt;""),Amendoim!$E66:INDEX(Amendoim!$E66:$Z66,MIN(U$6-$E$3,22))),0))-IF($G$2,0,IF((U$6-$G$3)&lt;1,0,IFERROR(LOOKUP(2,1/(Amendoim!$E66:INDEX(Amendoim!$E66:$Z66,MIN(U$6-$G$3,22))&lt;&gt;""),Amendoim!$E66:INDEX(Amendoim!$E66:$Z66,MIN(U$6-$G$3,22))),0)))))</f>
        <v>0</v>
      </c>
      <c r="V68" s="27" t="n">
        <f aca="false">IF(COUNT(Amendoim!$E66:$Z66)=0,0,MAX(0,IF((V$6-$E$3)&lt;1,0,IFERROR(LOOKUP(2,1/(Amendoim!$E66:INDEX(Amendoim!$E66:$Z66,MIN(V$6-$E$3,22))&lt;&gt;""),Amendoim!$E66:INDEX(Amendoim!$E66:$Z66,MIN(V$6-$E$3,22))),0))-IF($G$2,0,IF((V$6-$G$3)&lt;1,0,IFERROR(LOOKUP(2,1/(Amendoim!$E66:INDEX(Amendoim!$E66:$Z66,MIN(V$6-$G$3,22))&lt;&gt;""),Amendoim!$E66:INDEX(Amendoim!$E66:$Z66,MIN(V$6-$G$3,22))),0)))))</f>
        <v>0</v>
      </c>
      <c r="W68" s="27" t="n">
        <f aca="false">IF(COUNT(Amendoim!$E66:$Z66)=0,0,MAX(0,IF((W$6-$E$3)&lt;1,0,IFERROR(LOOKUP(2,1/(Amendoim!$E66:INDEX(Amendoim!$E66:$Z66,MIN(W$6-$E$3,22))&lt;&gt;""),Amendoim!$E66:INDEX(Amendoim!$E66:$Z66,MIN(W$6-$E$3,22))),0))-IF($G$2,0,IF((W$6-$G$3)&lt;1,0,IFERROR(LOOKUP(2,1/(Amendoim!$E66:INDEX(Amendoim!$E66:$Z66,MIN(W$6-$G$3,22))&lt;&gt;""),Amendoim!$E66:INDEX(Amendoim!$E66:$Z66,MIN(W$6-$G$3,22))),0)))))</f>
        <v>0</v>
      </c>
      <c r="X68" s="27" t="n">
        <f aca="false">IF(COUNT(Amendoim!$E66:$Z66)=0,0,MAX(0,IF((X$6-$E$3)&lt;1,0,IFERROR(LOOKUP(2,1/(Amendoim!$E66:INDEX(Amendoim!$E66:$Z66,MIN(X$6-$E$3,22))&lt;&gt;""),Amendoim!$E66:INDEX(Amendoim!$E66:$Z66,MIN(X$6-$E$3,22))),0))-IF($G$2,0,IF((X$6-$G$3)&lt;1,0,IFERROR(LOOKUP(2,1/(Amendoim!$E66:INDEX(Amendoim!$E66:$Z66,MIN(X$6-$G$3,22))&lt;&gt;""),Amendoim!$E66:INDEX(Amendoim!$E66:$Z66,MIN(X$6-$G$3,22))),0)))))</f>
        <v>0</v>
      </c>
      <c r="Y68" s="27" t="n">
        <f aca="false">IF(COUNT(Amendoim!$E66:$Z66)=0,0,MAX(0,IF((Y$6-$E$3)&lt;1,0,IFERROR(LOOKUP(2,1/(Amendoim!$E66:INDEX(Amendoim!$E66:$Z66,MIN(Y$6-$E$3,22))&lt;&gt;""),Amendoim!$E66:INDEX(Amendoim!$E66:$Z66,MIN(Y$6-$E$3,22))),0))-IF($G$2,0,IF((Y$6-$G$3)&lt;1,0,IFERROR(LOOKUP(2,1/(Amendoim!$E66:INDEX(Amendoim!$E66:$Z66,MIN(Y$6-$G$3,22))&lt;&gt;""),Amendoim!$E66:INDEX(Amendoim!$E66:$Z66,MIN(Y$6-$G$3,22))),0)))))</f>
        <v>0</v>
      </c>
      <c r="Z68" s="27" t="n">
        <f aca="false">IF(COUNT(Amendoim!$E66:$Z66)=0,0,MAX(0,IF((Z$6-$E$3)&lt;1,0,IFERROR(LOOKUP(2,1/(Amendoim!$E66:INDEX(Amendoim!$E66:$Z66,MIN(Z$6-$E$3,22))&lt;&gt;""),Amendoim!$E66:INDEX(Amendoim!$E66:$Z66,MIN(Z$6-$E$3,22))),0))-IF($G$2,0,IF((Z$6-$G$3)&lt;1,0,IFERROR(LOOKUP(2,1/(Amendoim!$E66:INDEX(Amendoim!$E66:$Z66,MIN(Z$6-$G$3,22))&lt;&gt;""),Amendoim!$E66:INDEX(Amendoim!$E66:$Z66,MIN(Z$6-$G$3,22))),0)))))</f>
        <v>0</v>
      </c>
      <c r="AA68" s="27" t="n">
        <f aca="false">IF(COUNT(Amendoim!$E66:$Z66)=0,0,MAX(0,IF((AA$6-$E$3)&lt;1,0,IFERROR(LOOKUP(2,1/(Amendoim!$E66:INDEX(Amendoim!$E66:$Z66,MIN(AA$6-$E$3,22))&lt;&gt;""),Amendoim!$E66:INDEX(Amendoim!$E66:$Z66,MIN(AA$6-$E$3,22))),0))-IF($G$2,0,IF((AA$6-$G$3)&lt;1,0,IFERROR(LOOKUP(2,1/(Amendoim!$E66:INDEX(Amendoim!$E66:$Z66,MIN(AA$6-$G$3,22))&lt;&gt;""),Amendoim!$E66:INDEX(Amendoim!$E66:$Z66,MIN(AA$6-$G$3,22))),0)))))</f>
        <v>0</v>
      </c>
      <c r="AB68" s="27" t="n">
        <f aca="false">IF(COUNT(Amendoim!$E66:$Z66)=0,0,MAX(0,IF((AB$6-$E$3)&lt;1,0,IFERROR(LOOKUP(2,1/(Amendoim!$E66:INDEX(Amendoim!$E66:$Z66,MIN(AB$6-$E$3,22))&lt;&gt;""),Amendoim!$E66:INDEX(Amendoim!$E66:$Z66,MIN(AB$6-$E$3,22))),0))-IF($G$2,0,IF((AB$6-$G$3)&lt;1,0,IFERROR(LOOKUP(2,1/(Amendoim!$E66:INDEX(Amendoim!$E66:$Z66,MIN(AB$6-$G$3,22))&lt;&gt;""),Amendoim!$E66:INDEX(Amendoim!$E66:$Z66,MIN(AB$6-$G$3,22))),0)))))</f>
        <v>0</v>
      </c>
      <c r="AC68" s="27" t="n">
        <f aca="false">IF(COUNT(Amendoim!$E66:$Z66)=0,0,MAX(0,IF((AC$6-$E$3)&lt;1,0,IFERROR(LOOKUP(2,1/(Amendoim!$E66:INDEX(Amendoim!$E66:$Z66,MIN(AC$6-$E$3,22))&lt;&gt;""),Amendoim!$E66:INDEX(Amendoim!$E66:$Z66,MIN(AC$6-$E$3,22))),0))-IF($G$2,0,IF((AC$6-$G$3)&lt;1,0,IFERROR(LOOKUP(2,1/(Amendoim!$E66:INDEX(Amendoim!$E66:$Z66,MIN(AC$6-$G$3,22))&lt;&gt;""),Amendoim!$E66:INDEX(Amendoim!$E66:$Z66,MIN(AC$6-$G$3,22))),0)))))</f>
        <v>0</v>
      </c>
      <c r="AD68" s="27" t="n">
        <f aca="false">IF(COUNT(Amendoim!$E66:$Z66)=0,0,MAX(0,IF((AD$6-$E$3)&lt;1,0,IFERROR(LOOKUP(2,1/(Amendoim!$E66:INDEX(Amendoim!$E66:$Z66,MIN(AD$6-$E$3,22))&lt;&gt;""),Amendoim!$E66:INDEX(Amendoim!$E66:$Z66,MIN(AD$6-$E$3,22))),0))-IF($G$2,0,IF((AD$6-$G$3)&lt;1,0,IFERROR(LOOKUP(2,1/(Amendoim!$E66:INDEX(Amendoim!$E66:$Z66,MIN(AD$6-$G$3,22))&lt;&gt;""),Amendoim!$E66:INDEX(Amendoim!$E66:$Z66,MIN(AD$6-$G$3,22))),0)))))</f>
        <v>0</v>
      </c>
      <c r="AE68" s="27" t="n">
        <f aca="false">IF(COUNT(Amendoim!$E66:$Z66)=0,0,MAX(0,IF((AE$6-$E$3)&lt;1,0,IFERROR(LOOKUP(2,1/(Amendoim!$E66:INDEX(Amendoim!$E66:$Z66,MIN(AE$6-$E$3,22))&lt;&gt;""),Amendoim!$E66:INDEX(Amendoim!$E66:$Z66,MIN(AE$6-$E$3,22))),0))-IF($G$2,0,IF((AE$6-$G$3)&lt;1,0,IFERROR(LOOKUP(2,1/(Amendoim!$E66:INDEX(Amendoim!$E66:$Z66,MIN(AE$6-$G$3,22))&lt;&gt;""),Amendoim!$E66:INDEX(Amendoim!$E66:$Z66,MIN(AE$6-$G$3,22))),0)))))</f>
        <v>0</v>
      </c>
      <c r="AF68" s="27" t="n">
        <f aca="false">IF(COUNT(Amendoim!$E66:$Z66)=0,0,MAX(0,IF((AF$6-$E$3)&lt;1,0,IFERROR(LOOKUP(2,1/(Amendoim!$E66:INDEX(Amendoim!$E66:$Z66,MIN(AF$6-$E$3,22))&lt;&gt;""),Amendoim!$E66:INDEX(Amendoim!$E66:$Z66,MIN(AF$6-$E$3,22))),0))-IF($G$2,0,IF((AF$6-$G$3)&lt;1,0,IFERROR(LOOKUP(2,1/(Amendoim!$E66:INDEX(Amendoim!$E66:$Z66,MIN(AF$6-$G$3,22))&lt;&gt;""),Amendoim!$E66:INDEX(Amendoim!$E66:$Z66,MIN(AF$6-$G$3,22))),0)))))</f>
        <v>0</v>
      </c>
      <c r="AG68" s="27" t="n">
        <f aca="false">IF(COUNT(Amendoim!$E66:$Z66)=0,0,MAX(0,IF((AG$6-$E$3)&lt;1,0,IFERROR(LOOKUP(2,1/(Amendoim!$E66:INDEX(Amendoim!$E66:$Z66,MIN(AG$6-$E$3,22))&lt;&gt;""),Amendoim!$E66:INDEX(Amendoim!$E66:$Z66,MIN(AG$6-$E$3,22))),0))-IF($G$2,0,IF((AG$6-$G$3)&lt;1,0,IFERROR(LOOKUP(2,1/(Amendoim!$E66:INDEX(Amendoim!$E66:$Z66,MIN(AG$6-$G$3,22))&lt;&gt;""),Amendoim!$E66:INDEX(Amendoim!$E66:$Z66,MIN(AG$6-$G$3,22))),0)))))</f>
        <v>0</v>
      </c>
      <c r="AH68" s="27" t="n">
        <f aca="false">IF(COUNT(Amendoim!$E66:$Z66)=0,0,MAX(0,IF((AH$6-$E$3)&lt;1,0,IFERROR(LOOKUP(2,1/(Amendoim!$E66:INDEX(Amendoim!$E66:$Z66,MIN(AH$6-$E$3,22))&lt;&gt;""),Amendoim!$E66:INDEX(Amendoim!$E66:$Z66,MIN(AH$6-$E$3,22))),0))-IF($G$2,0,IF((AH$6-$G$3)&lt;1,0,IFERROR(LOOKUP(2,1/(Amendoim!$E66:INDEX(Amendoim!$E66:$Z66,MIN(AH$6-$G$3,22))&lt;&gt;""),Amendoim!$E66:INDEX(Amendoim!$E66:$Z66,MIN(AH$6-$G$3,22))),0)))))</f>
        <v>0</v>
      </c>
      <c r="AI68" s="27" t="n">
        <f aca="false">IF(COUNT(Amendoim!$E66:$Z66)=0,0,MAX(0,IF((AI$6-$E$3)&lt;1,0,IFERROR(LOOKUP(2,1/(Amendoim!$E66:INDEX(Amendoim!$E66:$Z66,MIN(AI$6-$E$3,22))&lt;&gt;""),Amendoim!$E66:INDEX(Amendoim!$E66:$Z66,MIN(AI$6-$E$3,22))),0))-IF($G$2,0,IF((AI$6-$G$3)&lt;1,0,IFERROR(LOOKUP(2,1/(Amendoim!$E66:INDEX(Amendoim!$E66:$Z66,MIN(AI$6-$G$3,22))&lt;&gt;""),Amendoim!$E66:INDEX(Amendoim!$E66:$Z66,MIN(AI$6-$G$3,22))),0)))))</f>
        <v>0</v>
      </c>
      <c r="AJ68" s="27" t="n">
        <f aca="false">IF(COUNT(Amendoim!$E66:$Z66)=0,0,MAX(0,IF((AJ$6-$E$3)&lt;1,0,IFERROR(LOOKUP(2,1/(Amendoim!$E66:INDEX(Amendoim!$E66:$Z66,MIN(AJ$6-$E$3,22))&lt;&gt;""),Amendoim!$E66:INDEX(Amendoim!$E66:$Z66,MIN(AJ$6-$E$3,22))),0))-IF($G$2,0,IF((AJ$6-$G$3)&lt;1,0,IFERROR(LOOKUP(2,1/(Amendoim!$E66:INDEX(Amendoim!$E66:$Z66,MIN(AJ$6-$G$3,22))&lt;&gt;""),Amendoim!$E66:INDEX(Amendoim!$E66:$Z66,MIN(AJ$6-$G$3,22))),0)))))</f>
        <v>0</v>
      </c>
      <c r="AK68" s="27" t="n">
        <f aca="false">IF(COUNT(Amendoim!$E66:$Z66)=0,0,MAX(0,IF((AK$6-$E$3)&lt;1,0,IFERROR(LOOKUP(2,1/(Amendoim!$E66:INDEX(Amendoim!$E66:$Z66,MIN(AK$6-$E$3,22))&lt;&gt;""),Amendoim!$E66:INDEX(Amendoim!$E66:$Z66,MIN(AK$6-$E$3,22))),0))-IF($G$2,0,IF((AK$6-$G$3)&lt;1,0,IFERROR(LOOKUP(2,1/(Amendoim!$E66:INDEX(Amendoim!$E66:$Z66,MIN(AK$6-$G$3,22))&lt;&gt;""),Amendoim!$E66:INDEX(Amendoim!$E66:$Z66,MIN(AK$6-$G$3,22))),0)))))</f>
        <v>0</v>
      </c>
      <c r="AL68" s="27" t="n">
        <f aca="false">IF(COUNT(Amendoim!$E66:$Z66)=0,0,MAX(0,IF((AL$6-$E$3)&lt;1,0,IFERROR(LOOKUP(2,1/(Amendoim!$E66:INDEX(Amendoim!$E66:$Z66,MIN(AL$6-$E$3,22))&lt;&gt;""),Amendoim!$E66:INDEX(Amendoim!$E66:$Z66,MIN(AL$6-$E$3,22))),0))-IF($G$2,0,IF((AL$6-$G$3)&lt;1,0,IFERROR(LOOKUP(2,1/(Amendoim!$E66:INDEX(Amendoim!$E66:$Z66,MIN(AL$6-$G$3,22))&lt;&gt;""),Amendoim!$E66:INDEX(Amendoim!$E66:$Z66,MIN(AL$6-$G$3,22))),0)))))</f>
        <v>0</v>
      </c>
      <c r="AM68" s="27" t="n">
        <f aca="false">IF(COUNT(Amendoim!$E66:$Z66)=0,0,MAX(0,IF((AM$6-$E$3)&lt;1,0,IFERROR(LOOKUP(2,1/(Amendoim!$E66:INDEX(Amendoim!$E66:$Z66,MIN(AM$6-$E$3,22))&lt;&gt;""),Amendoim!$E66:INDEX(Amendoim!$E66:$Z66,MIN(AM$6-$E$3,22))),0))-IF($G$2,0,IF((AM$6-$G$3)&lt;1,0,IFERROR(LOOKUP(2,1/(Amendoim!$E66:INDEX(Amendoim!$E66:$Z66,MIN(AM$6-$G$3,22))&lt;&gt;""),Amendoim!$E66:INDEX(Amendoim!$E66:$Z66,MIN(AM$6-$G$3,22))),0)))))</f>
        <v>0</v>
      </c>
      <c r="AN68" s="27" t="n">
        <f aca="false">IF(COUNT(Amendoim!$E66:$Z66)=0,0,MAX(0,IF((AN$6-$E$3)&lt;1,0,IFERROR(LOOKUP(2,1/(Amendoim!$E66:INDEX(Amendoim!$E66:$Z66,MIN(AN$6-$E$3,22))&lt;&gt;""),Amendoim!$E66:INDEX(Amendoim!$E66:$Z66,MIN(AN$6-$E$3,22))),0))-IF($G$2,0,IF((AN$6-$G$3)&lt;1,0,IFERROR(LOOKUP(2,1/(Amendoim!$E66:INDEX(Amendoim!$E66:$Z66,MIN(AN$6-$G$3,22))&lt;&gt;""),Amendoim!$E66:INDEX(Amendoim!$E66:$Z66,MIN(AN$6-$G$3,22))),0)))))</f>
        <v>0</v>
      </c>
      <c r="AO68" s="27" t="n">
        <f aca="false">IF(COUNT(Amendoim!$E66:$Z66)=0,0,MAX(0,IF((AO$6-$E$3)&lt;1,0,IFERROR(LOOKUP(2,1/(Amendoim!$E66:INDEX(Amendoim!$E66:$Z66,MIN(AO$6-$E$3,22))&lt;&gt;""),Amendoim!$E66:INDEX(Amendoim!$E66:$Z66,MIN(AO$6-$E$3,22))),0))-IF($G$2,0,IF((AO$6-$G$3)&lt;1,0,IFERROR(LOOKUP(2,1/(Amendoim!$E66:INDEX(Amendoim!$E66:$Z66,MIN(AO$6-$G$3,22))&lt;&gt;""),Amendoim!$E66:INDEX(Amendoim!$E66:$Z66,MIN(AO$6-$G$3,22))),0)))))</f>
        <v>0</v>
      </c>
      <c r="AP68" s="27" t="n">
        <f aca="false">IF(COUNT(Amendoim!$E66:$Z66)=0,0,MAX(0,IF((AP$6-$E$3)&lt;1,0,IFERROR(LOOKUP(2,1/(Amendoim!$E66:INDEX(Amendoim!$E66:$Z66,MIN(AP$6-$E$3,22))&lt;&gt;""),Amendoim!$E66:INDEX(Amendoim!$E66:$Z66,MIN(AP$6-$E$3,22))),0))-IF($G$2,0,IF((AP$6-$G$3)&lt;1,0,IFERROR(LOOKUP(2,1/(Amendoim!$E66:INDEX(Amendoim!$E66:$Z66,MIN(AP$6-$G$3,22))&lt;&gt;""),Amendoim!$E66:INDEX(Amendoim!$E66:$Z66,MIN(AP$6-$G$3,22))),0)))))</f>
        <v>0</v>
      </c>
      <c r="AQ68" s="27" t="n">
        <f aca="false">IF(COUNT(Amendoim!$E66:$Z66)=0,0,MAX(0,IF((AQ$6-$E$3)&lt;1,0,IFERROR(LOOKUP(2,1/(Amendoim!$E66:INDEX(Amendoim!$E66:$Z66,MIN(AQ$6-$E$3,22))&lt;&gt;""),Amendoim!$E66:INDEX(Amendoim!$E66:$Z66,MIN(AQ$6-$E$3,22))),0))-IF($G$2,0,IF((AQ$6-$G$3)&lt;1,0,IFERROR(LOOKUP(2,1/(Amendoim!$E66:INDEX(Amendoim!$E66:$Z66,MIN(AQ$6-$G$3,22))&lt;&gt;""),Amendoim!$E66:INDEX(Amendoim!$E66:$Z66,MIN(AQ$6-$G$3,22))),0)))))</f>
        <v>0</v>
      </c>
      <c r="AR68" s="27" t="n">
        <f aca="false">IF(COUNT(Amendoim!$E66:$Z66)=0,0,MAX(0,IF((AR$6-$E$3)&lt;1,0,IFERROR(LOOKUP(2,1/(Amendoim!$E66:INDEX(Amendoim!$E66:$Z66,MIN(AR$6-$E$3,22))&lt;&gt;""),Amendoim!$E66:INDEX(Amendoim!$E66:$Z66,MIN(AR$6-$E$3,22))),0))-IF($G$2,0,IF((AR$6-$G$3)&lt;1,0,IFERROR(LOOKUP(2,1/(Amendoim!$E66:INDEX(Amendoim!$E66:$Z66,MIN(AR$6-$G$3,22))&lt;&gt;""),Amendoim!$E66:INDEX(Amendoim!$E66:$Z66,MIN(AR$6-$G$3,22))),0)))))</f>
        <v>0</v>
      </c>
      <c r="AS68" s="27" t="n">
        <f aca="false">IF(COUNT(Amendoim!$E66:$Z66)=0,0,MAX(0,IF((AS$6-$E$3)&lt;1,0,IFERROR(LOOKUP(2,1/(Amendoim!$E66:INDEX(Amendoim!$E66:$Z66,MIN(AS$6-$E$3,22))&lt;&gt;""),Amendoim!$E66:INDEX(Amendoim!$E66:$Z66,MIN(AS$6-$E$3,22))),0))-IF($G$2,0,IF((AS$6-$G$3)&lt;1,0,IFERROR(LOOKUP(2,1/(Amendoim!$E66:INDEX(Amendoim!$E66:$Z66,MIN(AS$6-$G$3,22))&lt;&gt;""),Amendoim!$E66:INDEX(Amendoim!$E66:$Z66,MIN(AS$6-$G$3,22))),0)))))</f>
        <v>0</v>
      </c>
      <c r="AT68" s="27" t="n">
        <f aca="false">IF(COUNT(Amendoim!$E66:$Z66)=0,0,MAX(0,IF((AT$6-$E$3)&lt;1,0,IFERROR(LOOKUP(2,1/(Amendoim!$E66:INDEX(Amendoim!$E66:$Z66,MIN(AT$6-$E$3,22))&lt;&gt;""),Amendoim!$E66:INDEX(Amendoim!$E66:$Z66,MIN(AT$6-$E$3,22))),0))-IF($G$2,0,IF((AT$6-$G$3)&lt;1,0,IFERROR(LOOKUP(2,1/(Amendoim!$E66:INDEX(Amendoim!$E66:$Z66,MIN(AT$6-$G$3,22))&lt;&gt;""),Amendoim!$E66:INDEX(Amendoim!$E66:$Z66,MIN(AT$6-$G$3,22))),0)))))</f>
        <v>0</v>
      </c>
      <c r="AU68" s="27" t="n">
        <f aca="false">IF(COUNT(Amendoim!$E66:$Z66)=0,0,MAX(0,IF((AU$6-$E$3)&lt;1,0,IFERROR(LOOKUP(2,1/(Amendoim!$E66:INDEX(Amendoim!$E66:$Z66,MIN(AU$6-$E$3,22))&lt;&gt;""),Amendoim!$E66:INDEX(Amendoim!$E66:$Z66,MIN(AU$6-$E$3,22))),0))-IF($G$2,0,IF((AU$6-$G$3)&lt;1,0,IFERROR(LOOKUP(2,1/(Amendoim!$E66:INDEX(Amendoim!$E66:$Z66,MIN(AU$6-$G$3,22))&lt;&gt;""),Amendoim!$E66:INDEX(Amendoim!$E66:$Z66,MIN(AU$6-$G$3,22))),0)))))</f>
        <v>0</v>
      </c>
      <c r="AV68" s="27" t="n">
        <f aca="false">IF(COUNT(Amendoim!$E66:$Z66)=0,0,MAX(0,IF((AV$6-$E$3)&lt;1,0,IFERROR(LOOKUP(2,1/(Amendoim!$E66:INDEX(Amendoim!$E66:$Z66,MIN(AV$6-$E$3,22))&lt;&gt;""),Amendoim!$E66:INDEX(Amendoim!$E66:$Z66,MIN(AV$6-$E$3,22))),0))-IF($G$2,0,IF((AV$6-$G$3)&lt;1,0,IFERROR(LOOKUP(2,1/(Amendoim!$E66:INDEX(Amendoim!$E66:$Z66,MIN(AV$6-$G$3,22))&lt;&gt;""),Amendoim!$E66:INDEX(Amendoim!$E66:$Z66,MIN(AV$6-$G$3,22))),0)))))</f>
        <v>0</v>
      </c>
      <c r="AW68" s="27" t="n">
        <f aca="false">IF(COUNT(Amendoim!$E66:$Z66)=0,0,MAX(0,IF((AW$6-$E$3)&lt;1,0,IFERROR(LOOKUP(2,1/(Amendoim!$E66:INDEX(Amendoim!$E66:$Z66,MIN(AW$6-$E$3,22))&lt;&gt;""),Amendoim!$E66:INDEX(Amendoim!$E66:$Z66,MIN(AW$6-$E$3,22))),0))-IF($G$2,0,IF((AW$6-$G$3)&lt;1,0,IFERROR(LOOKUP(2,1/(Amendoim!$E66:INDEX(Amendoim!$E66:$Z66,MIN(AW$6-$G$3,22))&lt;&gt;""),Amendoim!$E66:INDEX(Amendoim!$E66:$Z66,MIN(AW$6-$G$3,22))),0)))))</f>
        <v>0</v>
      </c>
      <c r="AX68" s="27" t="n">
        <f aca="false">IF(COUNT(Amendoim!$E66:$Z66)=0,0,MAX(0,IF((AX$6-$E$3)&lt;1,0,IFERROR(LOOKUP(2,1/(Amendoim!$E66:INDEX(Amendoim!$E66:$Z66,MIN(AX$6-$E$3,22))&lt;&gt;""),Amendoim!$E66:INDEX(Amendoim!$E66:$Z66,MIN(AX$6-$E$3,22))),0))-IF($G$2,0,IF((AX$6-$G$3)&lt;1,0,IFERROR(LOOKUP(2,1/(Amendoim!$E66:INDEX(Amendoim!$E66:$Z66,MIN(AX$6-$G$3,22))&lt;&gt;""),Amendoim!$E66:INDEX(Amendoim!$E66:$Z66,MIN(AX$6-$G$3,22))),0)))))</f>
        <v>0</v>
      </c>
      <c r="AY68" s="27" t="n">
        <f aca="false">IF(COUNT(Amendoim!$E66:$Z66)=0,0,MAX(0,IF((AY$6-$E$3)&lt;1,0,IFERROR(LOOKUP(2,1/(Amendoim!$E66:INDEX(Amendoim!$E66:$Z66,MIN(AY$6-$E$3,22))&lt;&gt;""),Amendoim!$E66:INDEX(Amendoim!$E66:$Z66,MIN(AY$6-$E$3,22))),0))-IF($G$2,0,IF((AY$6-$G$3)&lt;1,0,IFERROR(LOOKUP(2,1/(Amendoim!$E66:INDEX(Amendoim!$E66:$Z66,MIN(AY$6-$G$3,22))&lt;&gt;""),Amendoim!$E66:INDEX(Amendoim!$E66:$Z66,MIN(AY$6-$G$3,22))),0)))))</f>
        <v>0</v>
      </c>
      <c r="AZ68" s="27" t="n">
        <f aca="false">IF(COUNT(Amendoim!$E66:$Z66)=0,0,MAX(0,IF((AZ$6-$E$3)&lt;1,0,IFERROR(LOOKUP(2,1/(Amendoim!$E66:INDEX(Amendoim!$E66:$Z66,MIN(AZ$6-$E$3,22))&lt;&gt;""),Amendoim!$E66:INDEX(Amendoim!$E66:$Z66,MIN(AZ$6-$E$3,22))),0))-IF($G$2,0,IF((AZ$6-$G$3)&lt;1,0,IFERROR(LOOKUP(2,1/(Amendoim!$E66:INDEX(Amendoim!$E66:$Z66,MIN(AZ$6-$G$3,22))&lt;&gt;""),Amendoim!$E66:INDEX(Amendoim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IF(COUNT(Amendoim!$E67:$Z67)&gt;0,N(Amendoim!$D67),0)</f>
        <v>0</v>
      </c>
      <c r="E69" s="27" t="n">
        <f aca="false">IF(COUNT(Amendoim!$E67:$Z67)=0,0,MAX(0,IF((E$6-$E$3)&lt;1,0,IFERROR(LOOKUP(2,1/(Amendoim!$E67:INDEX(Amendoim!$E67:$Z67,MIN(E$6-$E$3,22))&lt;&gt;""),Amendoim!$E67:INDEX(Amendoim!$E67:$Z67,MIN(E$6-$E$3,22))),0))-IF($G$2,0,IF((E$6-$G$3)&lt;1,0,IFERROR(LOOKUP(2,1/(Amendoim!$E67:INDEX(Amendoim!$E67:$Z67,MIN(E$6-$G$3,22))&lt;&gt;""),Amendoim!$E67:INDEX(Amendoim!$E67:$Z67,MIN(E$6-$G$3,22))),0)))))</f>
        <v>0</v>
      </c>
      <c r="F69" s="27" t="n">
        <f aca="false">IF(COUNT(Amendoim!$E67:$Z67)=0,0,MAX(0,IF((F$6-$E$3)&lt;1,0,IFERROR(LOOKUP(2,1/(Amendoim!$E67:INDEX(Amendoim!$E67:$Z67,MIN(F$6-$E$3,22))&lt;&gt;""),Amendoim!$E67:INDEX(Amendoim!$E67:$Z67,MIN(F$6-$E$3,22))),0))-IF($G$2,0,IF((F$6-$G$3)&lt;1,0,IFERROR(LOOKUP(2,1/(Amendoim!$E67:INDEX(Amendoim!$E67:$Z67,MIN(F$6-$G$3,22))&lt;&gt;""),Amendoim!$E67:INDEX(Amendoim!$E67:$Z67,MIN(F$6-$G$3,22))),0)))))</f>
        <v>0</v>
      </c>
      <c r="G69" s="27" t="n">
        <f aca="false">IF(COUNT(Amendoim!$E67:$Z67)=0,0,MAX(0,IF((G$6-$E$3)&lt;1,0,IFERROR(LOOKUP(2,1/(Amendoim!$E67:INDEX(Amendoim!$E67:$Z67,MIN(G$6-$E$3,22))&lt;&gt;""),Amendoim!$E67:INDEX(Amendoim!$E67:$Z67,MIN(G$6-$E$3,22))),0))-IF($G$2,0,IF((G$6-$G$3)&lt;1,0,IFERROR(LOOKUP(2,1/(Amendoim!$E67:INDEX(Amendoim!$E67:$Z67,MIN(G$6-$G$3,22))&lt;&gt;""),Amendoim!$E67:INDEX(Amendoim!$E67:$Z67,MIN(G$6-$G$3,22))),0)))))</f>
        <v>0</v>
      </c>
      <c r="H69" s="27" t="n">
        <f aca="false">IF(COUNT(Amendoim!$E67:$Z67)=0,0,MAX(0,IF((H$6-$E$3)&lt;1,0,IFERROR(LOOKUP(2,1/(Amendoim!$E67:INDEX(Amendoim!$E67:$Z67,MIN(H$6-$E$3,22))&lt;&gt;""),Amendoim!$E67:INDEX(Amendoim!$E67:$Z67,MIN(H$6-$E$3,22))),0))-IF($G$2,0,IF((H$6-$G$3)&lt;1,0,IFERROR(LOOKUP(2,1/(Amendoim!$E67:INDEX(Amendoim!$E67:$Z67,MIN(H$6-$G$3,22))&lt;&gt;""),Amendoim!$E67:INDEX(Amendoim!$E67:$Z67,MIN(H$6-$G$3,22))),0)))))</f>
        <v>0</v>
      </c>
      <c r="I69" s="27" t="n">
        <f aca="false">IF(COUNT(Amendoim!$E67:$Z67)=0,0,MAX(0,IF((I$6-$E$3)&lt;1,0,IFERROR(LOOKUP(2,1/(Amendoim!$E67:INDEX(Amendoim!$E67:$Z67,MIN(I$6-$E$3,22))&lt;&gt;""),Amendoim!$E67:INDEX(Amendoim!$E67:$Z67,MIN(I$6-$E$3,22))),0))-IF($G$2,0,IF((I$6-$G$3)&lt;1,0,IFERROR(LOOKUP(2,1/(Amendoim!$E67:INDEX(Amendoim!$E67:$Z67,MIN(I$6-$G$3,22))&lt;&gt;""),Amendoim!$E67:INDEX(Amendoim!$E67:$Z67,MIN(I$6-$G$3,22))),0)))))</f>
        <v>0</v>
      </c>
      <c r="J69" s="27" t="n">
        <f aca="false">IF(COUNT(Amendoim!$E67:$Z67)=0,0,MAX(0,IF((J$6-$E$3)&lt;1,0,IFERROR(LOOKUP(2,1/(Amendoim!$E67:INDEX(Amendoim!$E67:$Z67,MIN(J$6-$E$3,22))&lt;&gt;""),Amendoim!$E67:INDEX(Amendoim!$E67:$Z67,MIN(J$6-$E$3,22))),0))-IF($G$2,0,IF((J$6-$G$3)&lt;1,0,IFERROR(LOOKUP(2,1/(Amendoim!$E67:INDEX(Amendoim!$E67:$Z67,MIN(J$6-$G$3,22))&lt;&gt;""),Amendoim!$E67:INDEX(Amendoim!$E67:$Z67,MIN(J$6-$G$3,22))),0)))))</f>
        <v>0</v>
      </c>
      <c r="K69" s="27" t="n">
        <f aca="false">IF(COUNT(Amendoim!$E67:$Z67)=0,0,MAX(0,IF((K$6-$E$3)&lt;1,0,IFERROR(LOOKUP(2,1/(Amendoim!$E67:INDEX(Amendoim!$E67:$Z67,MIN(K$6-$E$3,22))&lt;&gt;""),Amendoim!$E67:INDEX(Amendoim!$E67:$Z67,MIN(K$6-$E$3,22))),0))-IF($G$2,0,IF((K$6-$G$3)&lt;1,0,IFERROR(LOOKUP(2,1/(Amendoim!$E67:INDEX(Amendoim!$E67:$Z67,MIN(K$6-$G$3,22))&lt;&gt;""),Amendoim!$E67:INDEX(Amendoim!$E67:$Z67,MIN(K$6-$G$3,22))),0)))))</f>
        <v>0</v>
      </c>
      <c r="L69" s="27" t="n">
        <f aca="false">IF(COUNT(Amendoim!$E67:$Z67)=0,0,MAX(0,IF((L$6-$E$3)&lt;1,0,IFERROR(LOOKUP(2,1/(Amendoim!$E67:INDEX(Amendoim!$E67:$Z67,MIN(L$6-$E$3,22))&lt;&gt;""),Amendoim!$E67:INDEX(Amendoim!$E67:$Z67,MIN(L$6-$E$3,22))),0))-IF($G$2,0,IF((L$6-$G$3)&lt;1,0,IFERROR(LOOKUP(2,1/(Amendoim!$E67:INDEX(Amendoim!$E67:$Z67,MIN(L$6-$G$3,22))&lt;&gt;""),Amendoim!$E67:INDEX(Amendoim!$E67:$Z67,MIN(L$6-$G$3,22))),0)))))</f>
        <v>0</v>
      </c>
      <c r="M69" s="27" t="n">
        <f aca="false">IF(COUNT(Amendoim!$E67:$Z67)=0,0,MAX(0,IF((M$6-$E$3)&lt;1,0,IFERROR(LOOKUP(2,1/(Amendoim!$E67:INDEX(Amendoim!$E67:$Z67,MIN(M$6-$E$3,22))&lt;&gt;""),Amendoim!$E67:INDEX(Amendoim!$E67:$Z67,MIN(M$6-$E$3,22))),0))-IF($G$2,0,IF((M$6-$G$3)&lt;1,0,IFERROR(LOOKUP(2,1/(Amendoim!$E67:INDEX(Amendoim!$E67:$Z67,MIN(M$6-$G$3,22))&lt;&gt;""),Amendoim!$E67:INDEX(Amendoim!$E67:$Z67,MIN(M$6-$G$3,22))),0)))))</f>
        <v>0</v>
      </c>
      <c r="N69" s="27" t="n">
        <f aca="false">IF(COUNT(Amendoim!$E67:$Z67)=0,0,MAX(0,IF((N$6-$E$3)&lt;1,0,IFERROR(LOOKUP(2,1/(Amendoim!$E67:INDEX(Amendoim!$E67:$Z67,MIN(N$6-$E$3,22))&lt;&gt;""),Amendoim!$E67:INDEX(Amendoim!$E67:$Z67,MIN(N$6-$E$3,22))),0))-IF($G$2,0,IF((N$6-$G$3)&lt;1,0,IFERROR(LOOKUP(2,1/(Amendoim!$E67:INDEX(Amendoim!$E67:$Z67,MIN(N$6-$G$3,22))&lt;&gt;""),Amendoim!$E67:INDEX(Amendoim!$E67:$Z67,MIN(N$6-$G$3,22))),0)))))</f>
        <v>0</v>
      </c>
      <c r="O69" s="27" t="n">
        <f aca="false">IF(COUNT(Amendoim!$E67:$Z67)=0,0,MAX(0,IF((O$6-$E$3)&lt;1,0,IFERROR(LOOKUP(2,1/(Amendoim!$E67:INDEX(Amendoim!$E67:$Z67,MIN(O$6-$E$3,22))&lt;&gt;""),Amendoim!$E67:INDEX(Amendoim!$E67:$Z67,MIN(O$6-$E$3,22))),0))-IF($G$2,0,IF((O$6-$G$3)&lt;1,0,IFERROR(LOOKUP(2,1/(Amendoim!$E67:INDEX(Amendoim!$E67:$Z67,MIN(O$6-$G$3,22))&lt;&gt;""),Amendoim!$E67:INDEX(Amendoim!$E67:$Z67,MIN(O$6-$G$3,22))),0)))))</f>
        <v>0</v>
      </c>
      <c r="P69" s="27" t="n">
        <f aca="false">IF(COUNT(Amendoim!$E67:$Z67)=0,0,MAX(0,IF((P$6-$E$3)&lt;1,0,IFERROR(LOOKUP(2,1/(Amendoim!$E67:INDEX(Amendoim!$E67:$Z67,MIN(P$6-$E$3,22))&lt;&gt;""),Amendoim!$E67:INDEX(Amendoim!$E67:$Z67,MIN(P$6-$E$3,22))),0))-IF($G$2,0,IF((P$6-$G$3)&lt;1,0,IFERROR(LOOKUP(2,1/(Amendoim!$E67:INDEX(Amendoim!$E67:$Z67,MIN(P$6-$G$3,22))&lt;&gt;""),Amendoim!$E67:INDEX(Amendoim!$E67:$Z67,MIN(P$6-$G$3,22))),0)))))</f>
        <v>0</v>
      </c>
      <c r="Q69" s="27" t="n">
        <f aca="false">IF(COUNT(Amendoim!$E67:$Z67)=0,0,MAX(0,IF((Q$6-$E$3)&lt;1,0,IFERROR(LOOKUP(2,1/(Amendoim!$E67:INDEX(Amendoim!$E67:$Z67,MIN(Q$6-$E$3,22))&lt;&gt;""),Amendoim!$E67:INDEX(Amendoim!$E67:$Z67,MIN(Q$6-$E$3,22))),0))-IF($G$2,0,IF((Q$6-$G$3)&lt;1,0,IFERROR(LOOKUP(2,1/(Amendoim!$E67:INDEX(Amendoim!$E67:$Z67,MIN(Q$6-$G$3,22))&lt;&gt;""),Amendoim!$E67:INDEX(Amendoim!$E67:$Z67,MIN(Q$6-$G$3,22))),0)))))</f>
        <v>0</v>
      </c>
      <c r="R69" s="27" t="n">
        <f aca="false">IF(COUNT(Amendoim!$E67:$Z67)=0,0,MAX(0,IF((R$6-$E$3)&lt;1,0,IFERROR(LOOKUP(2,1/(Amendoim!$E67:INDEX(Amendoim!$E67:$Z67,MIN(R$6-$E$3,22))&lt;&gt;""),Amendoim!$E67:INDEX(Amendoim!$E67:$Z67,MIN(R$6-$E$3,22))),0))-IF($G$2,0,IF((R$6-$G$3)&lt;1,0,IFERROR(LOOKUP(2,1/(Amendoim!$E67:INDEX(Amendoim!$E67:$Z67,MIN(R$6-$G$3,22))&lt;&gt;""),Amendoim!$E67:INDEX(Amendoim!$E67:$Z67,MIN(R$6-$G$3,22))),0)))))</f>
        <v>0</v>
      </c>
      <c r="S69" s="27" t="n">
        <f aca="false">IF(COUNT(Amendoim!$E67:$Z67)=0,0,MAX(0,IF((S$6-$E$3)&lt;1,0,IFERROR(LOOKUP(2,1/(Amendoim!$E67:INDEX(Amendoim!$E67:$Z67,MIN(S$6-$E$3,22))&lt;&gt;""),Amendoim!$E67:INDEX(Amendoim!$E67:$Z67,MIN(S$6-$E$3,22))),0))-IF($G$2,0,IF((S$6-$G$3)&lt;1,0,IFERROR(LOOKUP(2,1/(Amendoim!$E67:INDEX(Amendoim!$E67:$Z67,MIN(S$6-$G$3,22))&lt;&gt;""),Amendoim!$E67:INDEX(Amendoim!$E67:$Z67,MIN(S$6-$G$3,22))),0)))))</f>
        <v>0</v>
      </c>
      <c r="T69" s="27" t="n">
        <f aca="false">IF(COUNT(Amendoim!$E67:$Z67)=0,0,MAX(0,IF((T$6-$E$3)&lt;1,0,IFERROR(LOOKUP(2,1/(Amendoim!$E67:INDEX(Amendoim!$E67:$Z67,MIN(T$6-$E$3,22))&lt;&gt;""),Amendoim!$E67:INDEX(Amendoim!$E67:$Z67,MIN(T$6-$E$3,22))),0))-IF($G$2,0,IF((T$6-$G$3)&lt;1,0,IFERROR(LOOKUP(2,1/(Amendoim!$E67:INDEX(Amendoim!$E67:$Z67,MIN(T$6-$G$3,22))&lt;&gt;""),Amendoim!$E67:INDEX(Amendoim!$E67:$Z67,MIN(T$6-$G$3,22))),0)))))</f>
        <v>0</v>
      </c>
      <c r="U69" s="27" t="n">
        <f aca="false">IF(COUNT(Amendoim!$E67:$Z67)=0,0,MAX(0,IF((U$6-$E$3)&lt;1,0,IFERROR(LOOKUP(2,1/(Amendoim!$E67:INDEX(Amendoim!$E67:$Z67,MIN(U$6-$E$3,22))&lt;&gt;""),Amendoim!$E67:INDEX(Amendoim!$E67:$Z67,MIN(U$6-$E$3,22))),0))-IF($G$2,0,IF((U$6-$G$3)&lt;1,0,IFERROR(LOOKUP(2,1/(Amendoim!$E67:INDEX(Amendoim!$E67:$Z67,MIN(U$6-$G$3,22))&lt;&gt;""),Amendoim!$E67:INDEX(Amendoim!$E67:$Z67,MIN(U$6-$G$3,22))),0)))))</f>
        <v>0</v>
      </c>
      <c r="V69" s="27" t="n">
        <f aca="false">IF(COUNT(Amendoim!$E67:$Z67)=0,0,MAX(0,IF((V$6-$E$3)&lt;1,0,IFERROR(LOOKUP(2,1/(Amendoim!$E67:INDEX(Amendoim!$E67:$Z67,MIN(V$6-$E$3,22))&lt;&gt;""),Amendoim!$E67:INDEX(Amendoim!$E67:$Z67,MIN(V$6-$E$3,22))),0))-IF($G$2,0,IF((V$6-$G$3)&lt;1,0,IFERROR(LOOKUP(2,1/(Amendoim!$E67:INDEX(Amendoim!$E67:$Z67,MIN(V$6-$G$3,22))&lt;&gt;""),Amendoim!$E67:INDEX(Amendoim!$E67:$Z67,MIN(V$6-$G$3,22))),0)))))</f>
        <v>0</v>
      </c>
      <c r="W69" s="27" t="n">
        <f aca="false">IF(COUNT(Amendoim!$E67:$Z67)=0,0,MAX(0,IF((W$6-$E$3)&lt;1,0,IFERROR(LOOKUP(2,1/(Amendoim!$E67:INDEX(Amendoim!$E67:$Z67,MIN(W$6-$E$3,22))&lt;&gt;""),Amendoim!$E67:INDEX(Amendoim!$E67:$Z67,MIN(W$6-$E$3,22))),0))-IF($G$2,0,IF((W$6-$G$3)&lt;1,0,IFERROR(LOOKUP(2,1/(Amendoim!$E67:INDEX(Amendoim!$E67:$Z67,MIN(W$6-$G$3,22))&lt;&gt;""),Amendoim!$E67:INDEX(Amendoim!$E67:$Z67,MIN(W$6-$G$3,22))),0)))))</f>
        <v>0</v>
      </c>
      <c r="X69" s="27" t="n">
        <f aca="false">IF(COUNT(Amendoim!$E67:$Z67)=0,0,MAX(0,IF((X$6-$E$3)&lt;1,0,IFERROR(LOOKUP(2,1/(Amendoim!$E67:INDEX(Amendoim!$E67:$Z67,MIN(X$6-$E$3,22))&lt;&gt;""),Amendoim!$E67:INDEX(Amendoim!$E67:$Z67,MIN(X$6-$E$3,22))),0))-IF($G$2,0,IF((X$6-$G$3)&lt;1,0,IFERROR(LOOKUP(2,1/(Amendoim!$E67:INDEX(Amendoim!$E67:$Z67,MIN(X$6-$G$3,22))&lt;&gt;""),Amendoim!$E67:INDEX(Amendoim!$E67:$Z67,MIN(X$6-$G$3,22))),0)))))</f>
        <v>0</v>
      </c>
      <c r="Y69" s="27" t="n">
        <f aca="false">IF(COUNT(Amendoim!$E67:$Z67)=0,0,MAX(0,IF((Y$6-$E$3)&lt;1,0,IFERROR(LOOKUP(2,1/(Amendoim!$E67:INDEX(Amendoim!$E67:$Z67,MIN(Y$6-$E$3,22))&lt;&gt;""),Amendoim!$E67:INDEX(Amendoim!$E67:$Z67,MIN(Y$6-$E$3,22))),0))-IF($G$2,0,IF((Y$6-$G$3)&lt;1,0,IFERROR(LOOKUP(2,1/(Amendoim!$E67:INDEX(Amendoim!$E67:$Z67,MIN(Y$6-$G$3,22))&lt;&gt;""),Amendoim!$E67:INDEX(Amendoim!$E67:$Z67,MIN(Y$6-$G$3,22))),0)))))</f>
        <v>0</v>
      </c>
      <c r="Z69" s="27" t="n">
        <f aca="false">IF(COUNT(Amendoim!$E67:$Z67)=0,0,MAX(0,IF((Z$6-$E$3)&lt;1,0,IFERROR(LOOKUP(2,1/(Amendoim!$E67:INDEX(Amendoim!$E67:$Z67,MIN(Z$6-$E$3,22))&lt;&gt;""),Amendoim!$E67:INDEX(Amendoim!$E67:$Z67,MIN(Z$6-$E$3,22))),0))-IF($G$2,0,IF((Z$6-$G$3)&lt;1,0,IFERROR(LOOKUP(2,1/(Amendoim!$E67:INDEX(Amendoim!$E67:$Z67,MIN(Z$6-$G$3,22))&lt;&gt;""),Amendoim!$E67:INDEX(Amendoim!$E67:$Z67,MIN(Z$6-$G$3,22))),0)))))</f>
        <v>0</v>
      </c>
      <c r="AA69" s="27" t="n">
        <f aca="false">IF(COUNT(Amendoim!$E67:$Z67)=0,0,MAX(0,IF((AA$6-$E$3)&lt;1,0,IFERROR(LOOKUP(2,1/(Amendoim!$E67:INDEX(Amendoim!$E67:$Z67,MIN(AA$6-$E$3,22))&lt;&gt;""),Amendoim!$E67:INDEX(Amendoim!$E67:$Z67,MIN(AA$6-$E$3,22))),0))-IF($G$2,0,IF((AA$6-$G$3)&lt;1,0,IFERROR(LOOKUP(2,1/(Amendoim!$E67:INDEX(Amendoim!$E67:$Z67,MIN(AA$6-$G$3,22))&lt;&gt;""),Amendoim!$E67:INDEX(Amendoim!$E67:$Z67,MIN(AA$6-$G$3,22))),0)))))</f>
        <v>0</v>
      </c>
      <c r="AB69" s="27" t="n">
        <f aca="false">IF(COUNT(Amendoim!$E67:$Z67)=0,0,MAX(0,IF((AB$6-$E$3)&lt;1,0,IFERROR(LOOKUP(2,1/(Amendoim!$E67:INDEX(Amendoim!$E67:$Z67,MIN(AB$6-$E$3,22))&lt;&gt;""),Amendoim!$E67:INDEX(Amendoim!$E67:$Z67,MIN(AB$6-$E$3,22))),0))-IF($G$2,0,IF((AB$6-$G$3)&lt;1,0,IFERROR(LOOKUP(2,1/(Amendoim!$E67:INDEX(Amendoim!$E67:$Z67,MIN(AB$6-$G$3,22))&lt;&gt;""),Amendoim!$E67:INDEX(Amendoim!$E67:$Z67,MIN(AB$6-$G$3,22))),0)))))</f>
        <v>0</v>
      </c>
      <c r="AC69" s="27" t="n">
        <f aca="false">IF(COUNT(Amendoim!$E67:$Z67)=0,0,MAX(0,IF((AC$6-$E$3)&lt;1,0,IFERROR(LOOKUP(2,1/(Amendoim!$E67:INDEX(Amendoim!$E67:$Z67,MIN(AC$6-$E$3,22))&lt;&gt;""),Amendoim!$E67:INDEX(Amendoim!$E67:$Z67,MIN(AC$6-$E$3,22))),0))-IF($G$2,0,IF((AC$6-$G$3)&lt;1,0,IFERROR(LOOKUP(2,1/(Amendoim!$E67:INDEX(Amendoim!$E67:$Z67,MIN(AC$6-$G$3,22))&lt;&gt;""),Amendoim!$E67:INDEX(Amendoim!$E67:$Z67,MIN(AC$6-$G$3,22))),0)))))</f>
        <v>0</v>
      </c>
      <c r="AD69" s="27" t="n">
        <f aca="false">IF(COUNT(Amendoim!$E67:$Z67)=0,0,MAX(0,IF((AD$6-$E$3)&lt;1,0,IFERROR(LOOKUP(2,1/(Amendoim!$E67:INDEX(Amendoim!$E67:$Z67,MIN(AD$6-$E$3,22))&lt;&gt;""),Amendoim!$E67:INDEX(Amendoim!$E67:$Z67,MIN(AD$6-$E$3,22))),0))-IF($G$2,0,IF((AD$6-$G$3)&lt;1,0,IFERROR(LOOKUP(2,1/(Amendoim!$E67:INDEX(Amendoim!$E67:$Z67,MIN(AD$6-$G$3,22))&lt;&gt;""),Amendoim!$E67:INDEX(Amendoim!$E67:$Z67,MIN(AD$6-$G$3,22))),0)))))</f>
        <v>0</v>
      </c>
      <c r="AE69" s="27" t="n">
        <f aca="false">IF(COUNT(Amendoim!$E67:$Z67)=0,0,MAX(0,IF((AE$6-$E$3)&lt;1,0,IFERROR(LOOKUP(2,1/(Amendoim!$E67:INDEX(Amendoim!$E67:$Z67,MIN(AE$6-$E$3,22))&lt;&gt;""),Amendoim!$E67:INDEX(Amendoim!$E67:$Z67,MIN(AE$6-$E$3,22))),0))-IF($G$2,0,IF((AE$6-$G$3)&lt;1,0,IFERROR(LOOKUP(2,1/(Amendoim!$E67:INDEX(Amendoim!$E67:$Z67,MIN(AE$6-$G$3,22))&lt;&gt;""),Amendoim!$E67:INDEX(Amendoim!$E67:$Z67,MIN(AE$6-$G$3,22))),0)))))</f>
        <v>0</v>
      </c>
      <c r="AF69" s="27" t="n">
        <f aca="false">IF(COUNT(Amendoim!$E67:$Z67)=0,0,MAX(0,IF((AF$6-$E$3)&lt;1,0,IFERROR(LOOKUP(2,1/(Amendoim!$E67:INDEX(Amendoim!$E67:$Z67,MIN(AF$6-$E$3,22))&lt;&gt;""),Amendoim!$E67:INDEX(Amendoim!$E67:$Z67,MIN(AF$6-$E$3,22))),0))-IF($G$2,0,IF((AF$6-$G$3)&lt;1,0,IFERROR(LOOKUP(2,1/(Amendoim!$E67:INDEX(Amendoim!$E67:$Z67,MIN(AF$6-$G$3,22))&lt;&gt;""),Amendoim!$E67:INDEX(Amendoim!$E67:$Z67,MIN(AF$6-$G$3,22))),0)))))</f>
        <v>0</v>
      </c>
      <c r="AG69" s="27" t="n">
        <f aca="false">IF(COUNT(Amendoim!$E67:$Z67)=0,0,MAX(0,IF((AG$6-$E$3)&lt;1,0,IFERROR(LOOKUP(2,1/(Amendoim!$E67:INDEX(Amendoim!$E67:$Z67,MIN(AG$6-$E$3,22))&lt;&gt;""),Amendoim!$E67:INDEX(Amendoim!$E67:$Z67,MIN(AG$6-$E$3,22))),0))-IF($G$2,0,IF((AG$6-$G$3)&lt;1,0,IFERROR(LOOKUP(2,1/(Amendoim!$E67:INDEX(Amendoim!$E67:$Z67,MIN(AG$6-$G$3,22))&lt;&gt;""),Amendoim!$E67:INDEX(Amendoim!$E67:$Z67,MIN(AG$6-$G$3,22))),0)))))</f>
        <v>0</v>
      </c>
      <c r="AH69" s="27" t="n">
        <f aca="false">IF(COUNT(Amendoim!$E67:$Z67)=0,0,MAX(0,IF((AH$6-$E$3)&lt;1,0,IFERROR(LOOKUP(2,1/(Amendoim!$E67:INDEX(Amendoim!$E67:$Z67,MIN(AH$6-$E$3,22))&lt;&gt;""),Amendoim!$E67:INDEX(Amendoim!$E67:$Z67,MIN(AH$6-$E$3,22))),0))-IF($G$2,0,IF((AH$6-$G$3)&lt;1,0,IFERROR(LOOKUP(2,1/(Amendoim!$E67:INDEX(Amendoim!$E67:$Z67,MIN(AH$6-$G$3,22))&lt;&gt;""),Amendoim!$E67:INDEX(Amendoim!$E67:$Z67,MIN(AH$6-$G$3,22))),0)))))</f>
        <v>0</v>
      </c>
      <c r="AI69" s="27" t="n">
        <f aca="false">IF(COUNT(Amendoim!$E67:$Z67)=0,0,MAX(0,IF((AI$6-$E$3)&lt;1,0,IFERROR(LOOKUP(2,1/(Amendoim!$E67:INDEX(Amendoim!$E67:$Z67,MIN(AI$6-$E$3,22))&lt;&gt;""),Amendoim!$E67:INDEX(Amendoim!$E67:$Z67,MIN(AI$6-$E$3,22))),0))-IF($G$2,0,IF((AI$6-$G$3)&lt;1,0,IFERROR(LOOKUP(2,1/(Amendoim!$E67:INDEX(Amendoim!$E67:$Z67,MIN(AI$6-$G$3,22))&lt;&gt;""),Amendoim!$E67:INDEX(Amendoim!$E67:$Z67,MIN(AI$6-$G$3,22))),0)))))</f>
        <v>0</v>
      </c>
      <c r="AJ69" s="27" t="n">
        <f aca="false">IF(COUNT(Amendoim!$E67:$Z67)=0,0,MAX(0,IF((AJ$6-$E$3)&lt;1,0,IFERROR(LOOKUP(2,1/(Amendoim!$E67:INDEX(Amendoim!$E67:$Z67,MIN(AJ$6-$E$3,22))&lt;&gt;""),Amendoim!$E67:INDEX(Amendoim!$E67:$Z67,MIN(AJ$6-$E$3,22))),0))-IF($G$2,0,IF((AJ$6-$G$3)&lt;1,0,IFERROR(LOOKUP(2,1/(Amendoim!$E67:INDEX(Amendoim!$E67:$Z67,MIN(AJ$6-$G$3,22))&lt;&gt;""),Amendoim!$E67:INDEX(Amendoim!$E67:$Z67,MIN(AJ$6-$G$3,22))),0)))))</f>
        <v>0</v>
      </c>
      <c r="AK69" s="27" t="n">
        <f aca="false">IF(COUNT(Amendoim!$E67:$Z67)=0,0,MAX(0,IF((AK$6-$E$3)&lt;1,0,IFERROR(LOOKUP(2,1/(Amendoim!$E67:INDEX(Amendoim!$E67:$Z67,MIN(AK$6-$E$3,22))&lt;&gt;""),Amendoim!$E67:INDEX(Amendoim!$E67:$Z67,MIN(AK$6-$E$3,22))),0))-IF($G$2,0,IF((AK$6-$G$3)&lt;1,0,IFERROR(LOOKUP(2,1/(Amendoim!$E67:INDEX(Amendoim!$E67:$Z67,MIN(AK$6-$G$3,22))&lt;&gt;""),Amendoim!$E67:INDEX(Amendoim!$E67:$Z67,MIN(AK$6-$G$3,22))),0)))))</f>
        <v>0</v>
      </c>
      <c r="AL69" s="27" t="n">
        <f aca="false">IF(COUNT(Amendoim!$E67:$Z67)=0,0,MAX(0,IF((AL$6-$E$3)&lt;1,0,IFERROR(LOOKUP(2,1/(Amendoim!$E67:INDEX(Amendoim!$E67:$Z67,MIN(AL$6-$E$3,22))&lt;&gt;""),Amendoim!$E67:INDEX(Amendoim!$E67:$Z67,MIN(AL$6-$E$3,22))),0))-IF($G$2,0,IF((AL$6-$G$3)&lt;1,0,IFERROR(LOOKUP(2,1/(Amendoim!$E67:INDEX(Amendoim!$E67:$Z67,MIN(AL$6-$G$3,22))&lt;&gt;""),Amendoim!$E67:INDEX(Amendoim!$E67:$Z67,MIN(AL$6-$G$3,22))),0)))))</f>
        <v>0</v>
      </c>
      <c r="AM69" s="27" t="n">
        <f aca="false">IF(COUNT(Amendoim!$E67:$Z67)=0,0,MAX(0,IF((AM$6-$E$3)&lt;1,0,IFERROR(LOOKUP(2,1/(Amendoim!$E67:INDEX(Amendoim!$E67:$Z67,MIN(AM$6-$E$3,22))&lt;&gt;""),Amendoim!$E67:INDEX(Amendoim!$E67:$Z67,MIN(AM$6-$E$3,22))),0))-IF($G$2,0,IF((AM$6-$G$3)&lt;1,0,IFERROR(LOOKUP(2,1/(Amendoim!$E67:INDEX(Amendoim!$E67:$Z67,MIN(AM$6-$G$3,22))&lt;&gt;""),Amendoim!$E67:INDEX(Amendoim!$E67:$Z67,MIN(AM$6-$G$3,22))),0)))))</f>
        <v>0</v>
      </c>
      <c r="AN69" s="27" t="n">
        <f aca="false">IF(COUNT(Amendoim!$E67:$Z67)=0,0,MAX(0,IF((AN$6-$E$3)&lt;1,0,IFERROR(LOOKUP(2,1/(Amendoim!$E67:INDEX(Amendoim!$E67:$Z67,MIN(AN$6-$E$3,22))&lt;&gt;""),Amendoim!$E67:INDEX(Amendoim!$E67:$Z67,MIN(AN$6-$E$3,22))),0))-IF($G$2,0,IF((AN$6-$G$3)&lt;1,0,IFERROR(LOOKUP(2,1/(Amendoim!$E67:INDEX(Amendoim!$E67:$Z67,MIN(AN$6-$G$3,22))&lt;&gt;""),Amendoim!$E67:INDEX(Amendoim!$E67:$Z67,MIN(AN$6-$G$3,22))),0)))))</f>
        <v>0</v>
      </c>
      <c r="AO69" s="27" t="n">
        <f aca="false">IF(COUNT(Amendoim!$E67:$Z67)=0,0,MAX(0,IF((AO$6-$E$3)&lt;1,0,IFERROR(LOOKUP(2,1/(Amendoim!$E67:INDEX(Amendoim!$E67:$Z67,MIN(AO$6-$E$3,22))&lt;&gt;""),Amendoim!$E67:INDEX(Amendoim!$E67:$Z67,MIN(AO$6-$E$3,22))),0))-IF($G$2,0,IF((AO$6-$G$3)&lt;1,0,IFERROR(LOOKUP(2,1/(Amendoim!$E67:INDEX(Amendoim!$E67:$Z67,MIN(AO$6-$G$3,22))&lt;&gt;""),Amendoim!$E67:INDEX(Amendoim!$E67:$Z67,MIN(AO$6-$G$3,22))),0)))))</f>
        <v>0</v>
      </c>
      <c r="AP69" s="27" t="n">
        <f aca="false">IF(COUNT(Amendoim!$E67:$Z67)=0,0,MAX(0,IF((AP$6-$E$3)&lt;1,0,IFERROR(LOOKUP(2,1/(Amendoim!$E67:INDEX(Amendoim!$E67:$Z67,MIN(AP$6-$E$3,22))&lt;&gt;""),Amendoim!$E67:INDEX(Amendoim!$E67:$Z67,MIN(AP$6-$E$3,22))),0))-IF($G$2,0,IF((AP$6-$G$3)&lt;1,0,IFERROR(LOOKUP(2,1/(Amendoim!$E67:INDEX(Amendoim!$E67:$Z67,MIN(AP$6-$G$3,22))&lt;&gt;""),Amendoim!$E67:INDEX(Amendoim!$E67:$Z67,MIN(AP$6-$G$3,22))),0)))))</f>
        <v>0</v>
      </c>
      <c r="AQ69" s="27" t="n">
        <f aca="false">IF(COUNT(Amendoim!$E67:$Z67)=0,0,MAX(0,IF((AQ$6-$E$3)&lt;1,0,IFERROR(LOOKUP(2,1/(Amendoim!$E67:INDEX(Amendoim!$E67:$Z67,MIN(AQ$6-$E$3,22))&lt;&gt;""),Amendoim!$E67:INDEX(Amendoim!$E67:$Z67,MIN(AQ$6-$E$3,22))),0))-IF($G$2,0,IF((AQ$6-$G$3)&lt;1,0,IFERROR(LOOKUP(2,1/(Amendoim!$E67:INDEX(Amendoim!$E67:$Z67,MIN(AQ$6-$G$3,22))&lt;&gt;""),Amendoim!$E67:INDEX(Amendoim!$E67:$Z67,MIN(AQ$6-$G$3,22))),0)))))</f>
        <v>0</v>
      </c>
      <c r="AR69" s="27" t="n">
        <f aca="false">IF(COUNT(Amendoim!$E67:$Z67)=0,0,MAX(0,IF((AR$6-$E$3)&lt;1,0,IFERROR(LOOKUP(2,1/(Amendoim!$E67:INDEX(Amendoim!$E67:$Z67,MIN(AR$6-$E$3,22))&lt;&gt;""),Amendoim!$E67:INDEX(Amendoim!$E67:$Z67,MIN(AR$6-$E$3,22))),0))-IF($G$2,0,IF((AR$6-$G$3)&lt;1,0,IFERROR(LOOKUP(2,1/(Amendoim!$E67:INDEX(Amendoim!$E67:$Z67,MIN(AR$6-$G$3,22))&lt;&gt;""),Amendoim!$E67:INDEX(Amendoim!$E67:$Z67,MIN(AR$6-$G$3,22))),0)))))</f>
        <v>0</v>
      </c>
      <c r="AS69" s="27" t="n">
        <f aca="false">IF(COUNT(Amendoim!$E67:$Z67)=0,0,MAX(0,IF((AS$6-$E$3)&lt;1,0,IFERROR(LOOKUP(2,1/(Amendoim!$E67:INDEX(Amendoim!$E67:$Z67,MIN(AS$6-$E$3,22))&lt;&gt;""),Amendoim!$E67:INDEX(Amendoim!$E67:$Z67,MIN(AS$6-$E$3,22))),0))-IF($G$2,0,IF((AS$6-$G$3)&lt;1,0,IFERROR(LOOKUP(2,1/(Amendoim!$E67:INDEX(Amendoim!$E67:$Z67,MIN(AS$6-$G$3,22))&lt;&gt;""),Amendoim!$E67:INDEX(Amendoim!$E67:$Z67,MIN(AS$6-$G$3,22))),0)))))</f>
        <v>0</v>
      </c>
      <c r="AT69" s="27" t="n">
        <f aca="false">IF(COUNT(Amendoim!$E67:$Z67)=0,0,MAX(0,IF((AT$6-$E$3)&lt;1,0,IFERROR(LOOKUP(2,1/(Amendoim!$E67:INDEX(Amendoim!$E67:$Z67,MIN(AT$6-$E$3,22))&lt;&gt;""),Amendoim!$E67:INDEX(Amendoim!$E67:$Z67,MIN(AT$6-$E$3,22))),0))-IF($G$2,0,IF((AT$6-$G$3)&lt;1,0,IFERROR(LOOKUP(2,1/(Amendoim!$E67:INDEX(Amendoim!$E67:$Z67,MIN(AT$6-$G$3,22))&lt;&gt;""),Amendoim!$E67:INDEX(Amendoim!$E67:$Z67,MIN(AT$6-$G$3,22))),0)))))</f>
        <v>0</v>
      </c>
      <c r="AU69" s="27" t="n">
        <f aca="false">IF(COUNT(Amendoim!$E67:$Z67)=0,0,MAX(0,IF((AU$6-$E$3)&lt;1,0,IFERROR(LOOKUP(2,1/(Amendoim!$E67:INDEX(Amendoim!$E67:$Z67,MIN(AU$6-$E$3,22))&lt;&gt;""),Amendoim!$E67:INDEX(Amendoim!$E67:$Z67,MIN(AU$6-$E$3,22))),0))-IF($G$2,0,IF((AU$6-$G$3)&lt;1,0,IFERROR(LOOKUP(2,1/(Amendoim!$E67:INDEX(Amendoim!$E67:$Z67,MIN(AU$6-$G$3,22))&lt;&gt;""),Amendoim!$E67:INDEX(Amendoim!$E67:$Z67,MIN(AU$6-$G$3,22))),0)))))</f>
        <v>0</v>
      </c>
      <c r="AV69" s="27" t="n">
        <f aca="false">IF(COUNT(Amendoim!$E67:$Z67)=0,0,MAX(0,IF((AV$6-$E$3)&lt;1,0,IFERROR(LOOKUP(2,1/(Amendoim!$E67:INDEX(Amendoim!$E67:$Z67,MIN(AV$6-$E$3,22))&lt;&gt;""),Amendoim!$E67:INDEX(Amendoim!$E67:$Z67,MIN(AV$6-$E$3,22))),0))-IF($G$2,0,IF((AV$6-$G$3)&lt;1,0,IFERROR(LOOKUP(2,1/(Amendoim!$E67:INDEX(Amendoim!$E67:$Z67,MIN(AV$6-$G$3,22))&lt;&gt;""),Amendoim!$E67:INDEX(Amendoim!$E67:$Z67,MIN(AV$6-$G$3,22))),0)))))</f>
        <v>0</v>
      </c>
      <c r="AW69" s="27" t="n">
        <f aca="false">IF(COUNT(Amendoim!$E67:$Z67)=0,0,MAX(0,IF((AW$6-$E$3)&lt;1,0,IFERROR(LOOKUP(2,1/(Amendoim!$E67:INDEX(Amendoim!$E67:$Z67,MIN(AW$6-$E$3,22))&lt;&gt;""),Amendoim!$E67:INDEX(Amendoim!$E67:$Z67,MIN(AW$6-$E$3,22))),0))-IF($G$2,0,IF((AW$6-$G$3)&lt;1,0,IFERROR(LOOKUP(2,1/(Amendoim!$E67:INDEX(Amendoim!$E67:$Z67,MIN(AW$6-$G$3,22))&lt;&gt;""),Amendoim!$E67:INDEX(Amendoim!$E67:$Z67,MIN(AW$6-$G$3,22))),0)))))</f>
        <v>0</v>
      </c>
      <c r="AX69" s="27" t="n">
        <f aca="false">IF(COUNT(Amendoim!$E67:$Z67)=0,0,MAX(0,IF((AX$6-$E$3)&lt;1,0,IFERROR(LOOKUP(2,1/(Amendoim!$E67:INDEX(Amendoim!$E67:$Z67,MIN(AX$6-$E$3,22))&lt;&gt;""),Amendoim!$E67:INDEX(Amendoim!$E67:$Z67,MIN(AX$6-$E$3,22))),0))-IF($G$2,0,IF((AX$6-$G$3)&lt;1,0,IFERROR(LOOKUP(2,1/(Amendoim!$E67:INDEX(Amendoim!$E67:$Z67,MIN(AX$6-$G$3,22))&lt;&gt;""),Amendoim!$E67:INDEX(Amendoim!$E67:$Z67,MIN(AX$6-$G$3,22))),0)))))</f>
        <v>0</v>
      </c>
      <c r="AY69" s="27" t="n">
        <f aca="false">IF(COUNT(Amendoim!$E67:$Z67)=0,0,MAX(0,IF((AY$6-$E$3)&lt;1,0,IFERROR(LOOKUP(2,1/(Amendoim!$E67:INDEX(Amendoim!$E67:$Z67,MIN(AY$6-$E$3,22))&lt;&gt;""),Amendoim!$E67:INDEX(Amendoim!$E67:$Z67,MIN(AY$6-$E$3,22))),0))-IF($G$2,0,IF((AY$6-$G$3)&lt;1,0,IFERROR(LOOKUP(2,1/(Amendoim!$E67:INDEX(Amendoim!$E67:$Z67,MIN(AY$6-$G$3,22))&lt;&gt;""),Amendoim!$E67:INDEX(Amendoim!$E67:$Z67,MIN(AY$6-$G$3,22))),0)))))</f>
        <v>0</v>
      </c>
      <c r="AZ69" s="27" t="n">
        <f aca="false">IF(COUNT(Amendoim!$E67:$Z67)=0,0,MAX(0,IF((AZ$6-$E$3)&lt;1,0,IFERROR(LOOKUP(2,1/(Amendoim!$E67:INDEX(Amendoim!$E67:$Z67,MIN(AZ$6-$E$3,22))&lt;&gt;""),Amendoim!$E67:INDEX(Amendoim!$E67:$Z67,MIN(AZ$6-$E$3,22))),0))-IF($G$2,0,IF((AZ$6-$G$3)&lt;1,0,IFERROR(LOOKUP(2,1/(Amendoim!$E67:INDEX(Amendoim!$E67:$Z67,MIN(AZ$6-$G$3,22))&lt;&gt;""),Amendoim!$E67:INDEX(Amendoim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IF(COUNT(Amendoim!$E68:$Z68)&gt;0,N(Amendoim!$D68),0)</f>
        <v>0</v>
      </c>
      <c r="E70" s="27" t="n">
        <f aca="false">IF(COUNT(Amendoim!$E68:$Z68)=0,0,MAX(0,IF((E$6-$E$3)&lt;1,0,IFERROR(LOOKUP(2,1/(Amendoim!$E68:INDEX(Amendoim!$E68:$Z68,MIN(E$6-$E$3,22))&lt;&gt;""),Amendoim!$E68:INDEX(Amendoim!$E68:$Z68,MIN(E$6-$E$3,22))),0))-IF($G$2,0,IF((E$6-$G$3)&lt;1,0,IFERROR(LOOKUP(2,1/(Amendoim!$E68:INDEX(Amendoim!$E68:$Z68,MIN(E$6-$G$3,22))&lt;&gt;""),Amendoim!$E68:INDEX(Amendoim!$E68:$Z68,MIN(E$6-$G$3,22))),0)))))</f>
        <v>0</v>
      </c>
      <c r="F70" s="27" t="n">
        <f aca="false">IF(COUNT(Amendoim!$E68:$Z68)=0,0,MAX(0,IF((F$6-$E$3)&lt;1,0,IFERROR(LOOKUP(2,1/(Amendoim!$E68:INDEX(Amendoim!$E68:$Z68,MIN(F$6-$E$3,22))&lt;&gt;""),Amendoim!$E68:INDEX(Amendoim!$E68:$Z68,MIN(F$6-$E$3,22))),0))-IF($G$2,0,IF((F$6-$G$3)&lt;1,0,IFERROR(LOOKUP(2,1/(Amendoim!$E68:INDEX(Amendoim!$E68:$Z68,MIN(F$6-$G$3,22))&lt;&gt;""),Amendoim!$E68:INDEX(Amendoim!$E68:$Z68,MIN(F$6-$G$3,22))),0)))))</f>
        <v>0</v>
      </c>
      <c r="G70" s="27" t="n">
        <f aca="false">IF(COUNT(Amendoim!$E68:$Z68)=0,0,MAX(0,IF((G$6-$E$3)&lt;1,0,IFERROR(LOOKUP(2,1/(Amendoim!$E68:INDEX(Amendoim!$E68:$Z68,MIN(G$6-$E$3,22))&lt;&gt;""),Amendoim!$E68:INDEX(Amendoim!$E68:$Z68,MIN(G$6-$E$3,22))),0))-IF($G$2,0,IF((G$6-$G$3)&lt;1,0,IFERROR(LOOKUP(2,1/(Amendoim!$E68:INDEX(Amendoim!$E68:$Z68,MIN(G$6-$G$3,22))&lt;&gt;""),Amendoim!$E68:INDEX(Amendoim!$E68:$Z68,MIN(G$6-$G$3,22))),0)))))</f>
        <v>0</v>
      </c>
      <c r="H70" s="27" t="n">
        <f aca="false">IF(COUNT(Amendoim!$E68:$Z68)=0,0,MAX(0,IF((H$6-$E$3)&lt;1,0,IFERROR(LOOKUP(2,1/(Amendoim!$E68:INDEX(Amendoim!$E68:$Z68,MIN(H$6-$E$3,22))&lt;&gt;""),Amendoim!$E68:INDEX(Amendoim!$E68:$Z68,MIN(H$6-$E$3,22))),0))-IF($G$2,0,IF((H$6-$G$3)&lt;1,0,IFERROR(LOOKUP(2,1/(Amendoim!$E68:INDEX(Amendoim!$E68:$Z68,MIN(H$6-$G$3,22))&lt;&gt;""),Amendoim!$E68:INDEX(Amendoim!$E68:$Z68,MIN(H$6-$G$3,22))),0)))))</f>
        <v>0</v>
      </c>
      <c r="I70" s="27" t="n">
        <f aca="false">IF(COUNT(Amendoim!$E68:$Z68)=0,0,MAX(0,IF((I$6-$E$3)&lt;1,0,IFERROR(LOOKUP(2,1/(Amendoim!$E68:INDEX(Amendoim!$E68:$Z68,MIN(I$6-$E$3,22))&lt;&gt;""),Amendoim!$E68:INDEX(Amendoim!$E68:$Z68,MIN(I$6-$E$3,22))),0))-IF($G$2,0,IF((I$6-$G$3)&lt;1,0,IFERROR(LOOKUP(2,1/(Amendoim!$E68:INDEX(Amendoim!$E68:$Z68,MIN(I$6-$G$3,22))&lt;&gt;""),Amendoim!$E68:INDEX(Amendoim!$E68:$Z68,MIN(I$6-$G$3,22))),0)))))</f>
        <v>0</v>
      </c>
      <c r="J70" s="27" t="n">
        <f aca="false">IF(COUNT(Amendoim!$E68:$Z68)=0,0,MAX(0,IF((J$6-$E$3)&lt;1,0,IFERROR(LOOKUP(2,1/(Amendoim!$E68:INDEX(Amendoim!$E68:$Z68,MIN(J$6-$E$3,22))&lt;&gt;""),Amendoim!$E68:INDEX(Amendoim!$E68:$Z68,MIN(J$6-$E$3,22))),0))-IF($G$2,0,IF((J$6-$G$3)&lt;1,0,IFERROR(LOOKUP(2,1/(Amendoim!$E68:INDEX(Amendoim!$E68:$Z68,MIN(J$6-$G$3,22))&lt;&gt;""),Amendoim!$E68:INDEX(Amendoim!$E68:$Z68,MIN(J$6-$G$3,22))),0)))))</f>
        <v>0</v>
      </c>
      <c r="K70" s="27" t="n">
        <f aca="false">IF(COUNT(Amendoim!$E68:$Z68)=0,0,MAX(0,IF((K$6-$E$3)&lt;1,0,IFERROR(LOOKUP(2,1/(Amendoim!$E68:INDEX(Amendoim!$E68:$Z68,MIN(K$6-$E$3,22))&lt;&gt;""),Amendoim!$E68:INDEX(Amendoim!$E68:$Z68,MIN(K$6-$E$3,22))),0))-IF($G$2,0,IF((K$6-$G$3)&lt;1,0,IFERROR(LOOKUP(2,1/(Amendoim!$E68:INDEX(Amendoim!$E68:$Z68,MIN(K$6-$G$3,22))&lt;&gt;""),Amendoim!$E68:INDEX(Amendoim!$E68:$Z68,MIN(K$6-$G$3,22))),0)))))</f>
        <v>0</v>
      </c>
      <c r="L70" s="27" t="n">
        <f aca="false">IF(COUNT(Amendoim!$E68:$Z68)=0,0,MAX(0,IF((L$6-$E$3)&lt;1,0,IFERROR(LOOKUP(2,1/(Amendoim!$E68:INDEX(Amendoim!$E68:$Z68,MIN(L$6-$E$3,22))&lt;&gt;""),Amendoim!$E68:INDEX(Amendoim!$E68:$Z68,MIN(L$6-$E$3,22))),0))-IF($G$2,0,IF((L$6-$G$3)&lt;1,0,IFERROR(LOOKUP(2,1/(Amendoim!$E68:INDEX(Amendoim!$E68:$Z68,MIN(L$6-$G$3,22))&lt;&gt;""),Amendoim!$E68:INDEX(Amendoim!$E68:$Z68,MIN(L$6-$G$3,22))),0)))))</f>
        <v>0</v>
      </c>
      <c r="M70" s="27" t="n">
        <f aca="false">IF(COUNT(Amendoim!$E68:$Z68)=0,0,MAX(0,IF((M$6-$E$3)&lt;1,0,IFERROR(LOOKUP(2,1/(Amendoim!$E68:INDEX(Amendoim!$E68:$Z68,MIN(M$6-$E$3,22))&lt;&gt;""),Amendoim!$E68:INDEX(Amendoim!$E68:$Z68,MIN(M$6-$E$3,22))),0))-IF($G$2,0,IF((M$6-$G$3)&lt;1,0,IFERROR(LOOKUP(2,1/(Amendoim!$E68:INDEX(Amendoim!$E68:$Z68,MIN(M$6-$G$3,22))&lt;&gt;""),Amendoim!$E68:INDEX(Amendoim!$E68:$Z68,MIN(M$6-$G$3,22))),0)))))</f>
        <v>0</v>
      </c>
      <c r="N70" s="27" t="n">
        <f aca="false">IF(COUNT(Amendoim!$E68:$Z68)=0,0,MAX(0,IF((N$6-$E$3)&lt;1,0,IFERROR(LOOKUP(2,1/(Amendoim!$E68:INDEX(Amendoim!$E68:$Z68,MIN(N$6-$E$3,22))&lt;&gt;""),Amendoim!$E68:INDEX(Amendoim!$E68:$Z68,MIN(N$6-$E$3,22))),0))-IF($G$2,0,IF((N$6-$G$3)&lt;1,0,IFERROR(LOOKUP(2,1/(Amendoim!$E68:INDEX(Amendoim!$E68:$Z68,MIN(N$6-$G$3,22))&lt;&gt;""),Amendoim!$E68:INDEX(Amendoim!$E68:$Z68,MIN(N$6-$G$3,22))),0)))))</f>
        <v>0</v>
      </c>
      <c r="O70" s="27" t="n">
        <f aca="false">IF(COUNT(Amendoim!$E68:$Z68)=0,0,MAX(0,IF((O$6-$E$3)&lt;1,0,IFERROR(LOOKUP(2,1/(Amendoim!$E68:INDEX(Amendoim!$E68:$Z68,MIN(O$6-$E$3,22))&lt;&gt;""),Amendoim!$E68:INDEX(Amendoim!$E68:$Z68,MIN(O$6-$E$3,22))),0))-IF($G$2,0,IF((O$6-$G$3)&lt;1,0,IFERROR(LOOKUP(2,1/(Amendoim!$E68:INDEX(Amendoim!$E68:$Z68,MIN(O$6-$G$3,22))&lt;&gt;""),Amendoim!$E68:INDEX(Amendoim!$E68:$Z68,MIN(O$6-$G$3,22))),0)))))</f>
        <v>0</v>
      </c>
      <c r="P70" s="27" t="n">
        <f aca="false">IF(COUNT(Amendoim!$E68:$Z68)=0,0,MAX(0,IF((P$6-$E$3)&lt;1,0,IFERROR(LOOKUP(2,1/(Amendoim!$E68:INDEX(Amendoim!$E68:$Z68,MIN(P$6-$E$3,22))&lt;&gt;""),Amendoim!$E68:INDEX(Amendoim!$E68:$Z68,MIN(P$6-$E$3,22))),0))-IF($G$2,0,IF((P$6-$G$3)&lt;1,0,IFERROR(LOOKUP(2,1/(Amendoim!$E68:INDEX(Amendoim!$E68:$Z68,MIN(P$6-$G$3,22))&lt;&gt;""),Amendoim!$E68:INDEX(Amendoim!$E68:$Z68,MIN(P$6-$G$3,22))),0)))))</f>
        <v>0</v>
      </c>
      <c r="Q70" s="27" t="n">
        <f aca="false">IF(COUNT(Amendoim!$E68:$Z68)=0,0,MAX(0,IF((Q$6-$E$3)&lt;1,0,IFERROR(LOOKUP(2,1/(Amendoim!$E68:INDEX(Amendoim!$E68:$Z68,MIN(Q$6-$E$3,22))&lt;&gt;""),Amendoim!$E68:INDEX(Amendoim!$E68:$Z68,MIN(Q$6-$E$3,22))),0))-IF($G$2,0,IF((Q$6-$G$3)&lt;1,0,IFERROR(LOOKUP(2,1/(Amendoim!$E68:INDEX(Amendoim!$E68:$Z68,MIN(Q$6-$G$3,22))&lt;&gt;""),Amendoim!$E68:INDEX(Amendoim!$E68:$Z68,MIN(Q$6-$G$3,22))),0)))))</f>
        <v>0</v>
      </c>
      <c r="R70" s="27" t="n">
        <f aca="false">IF(COUNT(Amendoim!$E68:$Z68)=0,0,MAX(0,IF((R$6-$E$3)&lt;1,0,IFERROR(LOOKUP(2,1/(Amendoim!$E68:INDEX(Amendoim!$E68:$Z68,MIN(R$6-$E$3,22))&lt;&gt;""),Amendoim!$E68:INDEX(Amendoim!$E68:$Z68,MIN(R$6-$E$3,22))),0))-IF($G$2,0,IF((R$6-$G$3)&lt;1,0,IFERROR(LOOKUP(2,1/(Amendoim!$E68:INDEX(Amendoim!$E68:$Z68,MIN(R$6-$G$3,22))&lt;&gt;""),Amendoim!$E68:INDEX(Amendoim!$E68:$Z68,MIN(R$6-$G$3,22))),0)))))</f>
        <v>0</v>
      </c>
      <c r="S70" s="27" t="n">
        <f aca="false">IF(COUNT(Amendoim!$E68:$Z68)=0,0,MAX(0,IF((S$6-$E$3)&lt;1,0,IFERROR(LOOKUP(2,1/(Amendoim!$E68:INDEX(Amendoim!$E68:$Z68,MIN(S$6-$E$3,22))&lt;&gt;""),Amendoim!$E68:INDEX(Amendoim!$E68:$Z68,MIN(S$6-$E$3,22))),0))-IF($G$2,0,IF((S$6-$G$3)&lt;1,0,IFERROR(LOOKUP(2,1/(Amendoim!$E68:INDEX(Amendoim!$E68:$Z68,MIN(S$6-$G$3,22))&lt;&gt;""),Amendoim!$E68:INDEX(Amendoim!$E68:$Z68,MIN(S$6-$G$3,22))),0)))))</f>
        <v>0</v>
      </c>
      <c r="T70" s="27" t="n">
        <f aca="false">IF(COUNT(Amendoim!$E68:$Z68)=0,0,MAX(0,IF((T$6-$E$3)&lt;1,0,IFERROR(LOOKUP(2,1/(Amendoim!$E68:INDEX(Amendoim!$E68:$Z68,MIN(T$6-$E$3,22))&lt;&gt;""),Amendoim!$E68:INDEX(Amendoim!$E68:$Z68,MIN(T$6-$E$3,22))),0))-IF($G$2,0,IF((T$6-$G$3)&lt;1,0,IFERROR(LOOKUP(2,1/(Amendoim!$E68:INDEX(Amendoim!$E68:$Z68,MIN(T$6-$G$3,22))&lt;&gt;""),Amendoim!$E68:INDEX(Amendoim!$E68:$Z68,MIN(T$6-$G$3,22))),0)))))</f>
        <v>0</v>
      </c>
      <c r="U70" s="27" t="n">
        <f aca="false">IF(COUNT(Amendoim!$E68:$Z68)=0,0,MAX(0,IF((U$6-$E$3)&lt;1,0,IFERROR(LOOKUP(2,1/(Amendoim!$E68:INDEX(Amendoim!$E68:$Z68,MIN(U$6-$E$3,22))&lt;&gt;""),Amendoim!$E68:INDEX(Amendoim!$E68:$Z68,MIN(U$6-$E$3,22))),0))-IF($G$2,0,IF((U$6-$G$3)&lt;1,0,IFERROR(LOOKUP(2,1/(Amendoim!$E68:INDEX(Amendoim!$E68:$Z68,MIN(U$6-$G$3,22))&lt;&gt;""),Amendoim!$E68:INDEX(Amendoim!$E68:$Z68,MIN(U$6-$G$3,22))),0)))))</f>
        <v>0</v>
      </c>
      <c r="V70" s="27" t="n">
        <f aca="false">IF(COUNT(Amendoim!$E68:$Z68)=0,0,MAX(0,IF((V$6-$E$3)&lt;1,0,IFERROR(LOOKUP(2,1/(Amendoim!$E68:INDEX(Amendoim!$E68:$Z68,MIN(V$6-$E$3,22))&lt;&gt;""),Amendoim!$E68:INDEX(Amendoim!$E68:$Z68,MIN(V$6-$E$3,22))),0))-IF($G$2,0,IF((V$6-$G$3)&lt;1,0,IFERROR(LOOKUP(2,1/(Amendoim!$E68:INDEX(Amendoim!$E68:$Z68,MIN(V$6-$G$3,22))&lt;&gt;""),Amendoim!$E68:INDEX(Amendoim!$E68:$Z68,MIN(V$6-$G$3,22))),0)))))</f>
        <v>0</v>
      </c>
      <c r="W70" s="27" t="n">
        <f aca="false">IF(COUNT(Amendoim!$E68:$Z68)=0,0,MAX(0,IF((W$6-$E$3)&lt;1,0,IFERROR(LOOKUP(2,1/(Amendoim!$E68:INDEX(Amendoim!$E68:$Z68,MIN(W$6-$E$3,22))&lt;&gt;""),Amendoim!$E68:INDEX(Amendoim!$E68:$Z68,MIN(W$6-$E$3,22))),0))-IF($G$2,0,IF((W$6-$G$3)&lt;1,0,IFERROR(LOOKUP(2,1/(Amendoim!$E68:INDEX(Amendoim!$E68:$Z68,MIN(W$6-$G$3,22))&lt;&gt;""),Amendoim!$E68:INDEX(Amendoim!$E68:$Z68,MIN(W$6-$G$3,22))),0)))))</f>
        <v>0</v>
      </c>
      <c r="X70" s="27" t="n">
        <f aca="false">IF(COUNT(Amendoim!$E68:$Z68)=0,0,MAX(0,IF((X$6-$E$3)&lt;1,0,IFERROR(LOOKUP(2,1/(Amendoim!$E68:INDEX(Amendoim!$E68:$Z68,MIN(X$6-$E$3,22))&lt;&gt;""),Amendoim!$E68:INDEX(Amendoim!$E68:$Z68,MIN(X$6-$E$3,22))),0))-IF($G$2,0,IF((X$6-$G$3)&lt;1,0,IFERROR(LOOKUP(2,1/(Amendoim!$E68:INDEX(Amendoim!$E68:$Z68,MIN(X$6-$G$3,22))&lt;&gt;""),Amendoim!$E68:INDEX(Amendoim!$E68:$Z68,MIN(X$6-$G$3,22))),0)))))</f>
        <v>0</v>
      </c>
      <c r="Y70" s="27" t="n">
        <f aca="false">IF(COUNT(Amendoim!$E68:$Z68)=0,0,MAX(0,IF((Y$6-$E$3)&lt;1,0,IFERROR(LOOKUP(2,1/(Amendoim!$E68:INDEX(Amendoim!$E68:$Z68,MIN(Y$6-$E$3,22))&lt;&gt;""),Amendoim!$E68:INDEX(Amendoim!$E68:$Z68,MIN(Y$6-$E$3,22))),0))-IF($G$2,0,IF((Y$6-$G$3)&lt;1,0,IFERROR(LOOKUP(2,1/(Amendoim!$E68:INDEX(Amendoim!$E68:$Z68,MIN(Y$6-$G$3,22))&lt;&gt;""),Amendoim!$E68:INDEX(Amendoim!$E68:$Z68,MIN(Y$6-$G$3,22))),0)))))</f>
        <v>0</v>
      </c>
      <c r="Z70" s="27" t="n">
        <f aca="false">IF(COUNT(Amendoim!$E68:$Z68)=0,0,MAX(0,IF((Z$6-$E$3)&lt;1,0,IFERROR(LOOKUP(2,1/(Amendoim!$E68:INDEX(Amendoim!$E68:$Z68,MIN(Z$6-$E$3,22))&lt;&gt;""),Amendoim!$E68:INDEX(Amendoim!$E68:$Z68,MIN(Z$6-$E$3,22))),0))-IF($G$2,0,IF((Z$6-$G$3)&lt;1,0,IFERROR(LOOKUP(2,1/(Amendoim!$E68:INDEX(Amendoim!$E68:$Z68,MIN(Z$6-$G$3,22))&lt;&gt;""),Amendoim!$E68:INDEX(Amendoim!$E68:$Z68,MIN(Z$6-$G$3,22))),0)))))</f>
        <v>0</v>
      </c>
      <c r="AA70" s="27" t="n">
        <f aca="false">IF(COUNT(Amendoim!$E68:$Z68)=0,0,MAX(0,IF((AA$6-$E$3)&lt;1,0,IFERROR(LOOKUP(2,1/(Amendoim!$E68:INDEX(Amendoim!$E68:$Z68,MIN(AA$6-$E$3,22))&lt;&gt;""),Amendoim!$E68:INDEX(Amendoim!$E68:$Z68,MIN(AA$6-$E$3,22))),0))-IF($G$2,0,IF((AA$6-$G$3)&lt;1,0,IFERROR(LOOKUP(2,1/(Amendoim!$E68:INDEX(Amendoim!$E68:$Z68,MIN(AA$6-$G$3,22))&lt;&gt;""),Amendoim!$E68:INDEX(Amendoim!$E68:$Z68,MIN(AA$6-$G$3,22))),0)))))</f>
        <v>0</v>
      </c>
      <c r="AB70" s="27" t="n">
        <f aca="false">IF(COUNT(Amendoim!$E68:$Z68)=0,0,MAX(0,IF((AB$6-$E$3)&lt;1,0,IFERROR(LOOKUP(2,1/(Amendoim!$E68:INDEX(Amendoim!$E68:$Z68,MIN(AB$6-$E$3,22))&lt;&gt;""),Amendoim!$E68:INDEX(Amendoim!$E68:$Z68,MIN(AB$6-$E$3,22))),0))-IF($G$2,0,IF((AB$6-$G$3)&lt;1,0,IFERROR(LOOKUP(2,1/(Amendoim!$E68:INDEX(Amendoim!$E68:$Z68,MIN(AB$6-$G$3,22))&lt;&gt;""),Amendoim!$E68:INDEX(Amendoim!$E68:$Z68,MIN(AB$6-$G$3,22))),0)))))</f>
        <v>0</v>
      </c>
      <c r="AC70" s="27" t="n">
        <f aca="false">IF(COUNT(Amendoim!$E68:$Z68)=0,0,MAX(0,IF((AC$6-$E$3)&lt;1,0,IFERROR(LOOKUP(2,1/(Amendoim!$E68:INDEX(Amendoim!$E68:$Z68,MIN(AC$6-$E$3,22))&lt;&gt;""),Amendoim!$E68:INDEX(Amendoim!$E68:$Z68,MIN(AC$6-$E$3,22))),0))-IF($G$2,0,IF((AC$6-$G$3)&lt;1,0,IFERROR(LOOKUP(2,1/(Amendoim!$E68:INDEX(Amendoim!$E68:$Z68,MIN(AC$6-$G$3,22))&lt;&gt;""),Amendoim!$E68:INDEX(Amendoim!$E68:$Z68,MIN(AC$6-$G$3,22))),0)))))</f>
        <v>0</v>
      </c>
      <c r="AD70" s="27" t="n">
        <f aca="false">IF(COUNT(Amendoim!$E68:$Z68)=0,0,MAX(0,IF((AD$6-$E$3)&lt;1,0,IFERROR(LOOKUP(2,1/(Amendoim!$E68:INDEX(Amendoim!$E68:$Z68,MIN(AD$6-$E$3,22))&lt;&gt;""),Amendoim!$E68:INDEX(Amendoim!$E68:$Z68,MIN(AD$6-$E$3,22))),0))-IF($G$2,0,IF((AD$6-$G$3)&lt;1,0,IFERROR(LOOKUP(2,1/(Amendoim!$E68:INDEX(Amendoim!$E68:$Z68,MIN(AD$6-$G$3,22))&lt;&gt;""),Amendoim!$E68:INDEX(Amendoim!$E68:$Z68,MIN(AD$6-$G$3,22))),0)))))</f>
        <v>0</v>
      </c>
      <c r="AE70" s="27" t="n">
        <f aca="false">IF(COUNT(Amendoim!$E68:$Z68)=0,0,MAX(0,IF((AE$6-$E$3)&lt;1,0,IFERROR(LOOKUP(2,1/(Amendoim!$E68:INDEX(Amendoim!$E68:$Z68,MIN(AE$6-$E$3,22))&lt;&gt;""),Amendoim!$E68:INDEX(Amendoim!$E68:$Z68,MIN(AE$6-$E$3,22))),0))-IF($G$2,0,IF((AE$6-$G$3)&lt;1,0,IFERROR(LOOKUP(2,1/(Amendoim!$E68:INDEX(Amendoim!$E68:$Z68,MIN(AE$6-$G$3,22))&lt;&gt;""),Amendoim!$E68:INDEX(Amendoim!$E68:$Z68,MIN(AE$6-$G$3,22))),0)))))</f>
        <v>0</v>
      </c>
      <c r="AF70" s="27" t="n">
        <f aca="false">IF(COUNT(Amendoim!$E68:$Z68)=0,0,MAX(0,IF((AF$6-$E$3)&lt;1,0,IFERROR(LOOKUP(2,1/(Amendoim!$E68:INDEX(Amendoim!$E68:$Z68,MIN(AF$6-$E$3,22))&lt;&gt;""),Amendoim!$E68:INDEX(Amendoim!$E68:$Z68,MIN(AF$6-$E$3,22))),0))-IF($G$2,0,IF((AF$6-$G$3)&lt;1,0,IFERROR(LOOKUP(2,1/(Amendoim!$E68:INDEX(Amendoim!$E68:$Z68,MIN(AF$6-$G$3,22))&lt;&gt;""),Amendoim!$E68:INDEX(Amendoim!$E68:$Z68,MIN(AF$6-$G$3,22))),0)))))</f>
        <v>0</v>
      </c>
      <c r="AG70" s="27" t="n">
        <f aca="false">IF(COUNT(Amendoim!$E68:$Z68)=0,0,MAX(0,IF((AG$6-$E$3)&lt;1,0,IFERROR(LOOKUP(2,1/(Amendoim!$E68:INDEX(Amendoim!$E68:$Z68,MIN(AG$6-$E$3,22))&lt;&gt;""),Amendoim!$E68:INDEX(Amendoim!$E68:$Z68,MIN(AG$6-$E$3,22))),0))-IF($G$2,0,IF((AG$6-$G$3)&lt;1,0,IFERROR(LOOKUP(2,1/(Amendoim!$E68:INDEX(Amendoim!$E68:$Z68,MIN(AG$6-$G$3,22))&lt;&gt;""),Amendoim!$E68:INDEX(Amendoim!$E68:$Z68,MIN(AG$6-$G$3,22))),0)))))</f>
        <v>0</v>
      </c>
      <c r="AH70" s="27" t="n">
        <f aca="false">IF(COUNT(Amendoim!$E68:$Z68)=0,0,MAX(0,IF((AH$6-$E$3)&lt;1,0,IFERROR(LOOKUP(2,1/(Amendoim!$E68:INDEX(Amendoim!$E68:$Z68,MIN(AH$6-$E$3,22))&lt;&gt;""),Amendoim!$E68:INDEX(Amendoim!$E68:$Z68,MIN(AH$6-$E$3,22))),0))-IF($G$2,0,IF((AH$6-$G$3)&lt;1,0,IFERROR(LOOKUP(2,1/(Amendoim!$E68:INDEX(Amendoim!$E68:$Z68,MIN(AH$6-$G$3,22))&lt;&gt;""),Amendoim!$E68:INDEX(Amendoim!$E68:$Z68,MIN(AH$6-$G$3,22))),0)))))</f>
        <v>0</v>
      </c>
      <c r="AI70" s="27" t="n">
        <f aca="false">IF(COUNT(Amendoim!$E68:$Z68)=0,0,MAX(0,IF((AI$6-$E$3)&lt;1,0,IFERROR(LOOKUP(2,1/(Amendoim!$E68:INDEX(Amendoim!$E68:$Z68,MIN(AI$6-$E$3,22))&lt;&gt;""),Amendoim!$E68:INDEX(Amendoim!$E68:$Z68,MIN(AI$6-$E$3,22))),0))-IF($G$2,0,IF((AI$6-$G$3)&lt;1,0,IFERROR(LOOKUP(2,1/(Amendoim!$E68:INDEX(Amendoim!$E68:$Z68,MIN(AI$6-$G$3,22))&lt;&gt;""),Amendoim!$E68:INDEX(Amendoim!$E68:$Z68,MIN(AI$6-$G$3,22))),0)))))</f>
        <v>0</v>
      </c>
      <c r="AJ70" s="27" t="n">
        <f aca="false">IF(COUNT(Amendoim!$E68:$Z68)=0,0,MAX(0,IF((AJ$6-$E$3)&lt;1,0,IFERROR(LOOKUP(2,1/(Amendoim!$E68:INDEX(Amendoim!$E68:$Z68,MIN(AJ$6-$E$3,22))&lt;&gt;""),Amendoim!$E68:INDEX(Amendoim!$E68:$Z68,MIN(AJ$6-$E$3,22))),0))-IF($G$2,0,IF((AJ$6-$G$3)&lt;1,0,IFERROR(LOOKUP(2,1/(Amendoim!$E68:INDEX(Amendoim!$E68:$Z68,MIN(AJ$6-$G$3,22))&lt;&gt;""),Amendoim!$E68:INDEX(Amendoim!$E68:$Z68,MIN(AJ$6-$G$3,22))),0)))))</f>
        <v>0</v>
      </c>
      <c r="AK70" s="27" t="n">
        <f aca="false">IF(COUNT(Amendoim!$E68:$Z68)=0,0,MAX(0,IF((AK$6-$E$3)&lt;1,0,IFERROR(LOOKUP(2,1/(Amendoim!$E68:INDEX(Amendoim!$E68:$Z68,MIN(AK$6-$E$3,22))&lt;&gt;""),Amendoim!$E68:INDEX(Amendoim!$E68:$Z68,MIN(AK$6-$E$3,22))),0))-IF($G$2,0,IF((AK$6-$G$3)&lt;1,0,IFERROR(LOOKUP(2,1/(Amendoim!$E68:INDEX(Amendoim!$E68:$Z68,MIN(AK$6-$G$3,22))&lt;&gt;""),Amendoim!$E68:INDEX(Amendoim!$E68:$Z68,MIN(AK$6-$G$3,22))),0)))))</f>
        <v>0</v>
      </c>
      <c r="AL70" s="27" t="n">
        <f aca="false">IF(COUNT(Amendoim!$E68:$Z68)=0,0,MAX(0,IF((AL$6-$E$3)&lt;1,0,IFERROR(LOOKUP(2,1/(Amendoim!$E68:INDEX(Amendoim!$E68:$Z68,MIN(AL$6-$E$3,22))&lt;&gt;""),Amendoim!$E68:INDEX(Amendoim!$E68:$Z68,MIN(AL$6-$E$3,22))),0))-IF($G$2,0,IF((AL$6-$G$3)&lt;1,0,IFERROR(LOOKUP(2,1/(Amendoim!$E68:INDEX(Amendoim!$E68:$Z68,MIN(AL$6-$G$3,22))&lt;&gt;""),Amendoim!$E68:INDEX(Amendoim!$E68:$Z68,MIN(AL$6-$G$3,22))),0)))))</f>
        <v>0</v>
      </c>
      <c r="AM70" s="27" t="n">
        <f aca="false">IF(COUNT(Amendoim!$E68:$Z68)=0,0,MAX(0,IF((AM$6-$E$3)&lt;1,0,IFERROR(LOOKUP(2,1/(Amendoim!$E68:INDEX(Amendoim!$E68:$Z68,MIN(AM$6-$E$3,22))&lt;&gt;""),Amendoim!$E68:INDEX(Amendoim!$E68:$Z68,MIN(AM$6-$E$3,22))),0))-IF($G$2,0,IF((AM$6-$G$3)&lt;1,0,IFERROR(LOOKUP(2,1/(Amendoim!$E68:INDEX(Amendoim!$E68:$Z68,MIN(AM$6-$G$3,22))&lt;&gt;""),Amendoim!$E68:INDEX(Amendoim!$E68:$Z68,MIN(AM$6-$G$3,22))),0)))))</f>
        <v>0</v>
      </c>
      <c r="AN70" s="27" t="n">
        <f aca="false">IF(COUNT(Amendoim!$E68:$Z68)=0,0,MAX(0,IF((AN$6-$E$3)&lt;1,0,IFERROR(LOOKUP(2,1/(Amendoim!$E68:INDEX(Amendoim!$E68:$Z68,MIN(AN$6-$E$3,22))&lt;&gt;""),Amendoim!$E68:INDEX(Amendoim!$E68:$Z68,MIN(AN$6-$E$3,22))),0))-IF($G$2,0,IF((AN$6-$G$3)&lt;1,0,IFERROR(LOOKUP(2,1/(Amendoim!$E68:INDEX(Amendoim!$E68:$Z68,MIN(AN$6-$G$3,22))&lt;&gt;""),Amendoim!$E68:INDEX(Amendoim!$E68:$Z68,MIN(AN$6-$G$3,22))),0)))))</f>
        <v>0</v>
      </c>
      <c r="AO70" s="27" t="n">
        <f aca="false">IF(COUNT(Amendoim!$E68:$Z68)=0,0,MAX(0,IF((AO$6-$E$3)&lt;1,0,IFERROR(LOOKUP(2,1/(Amendoim!$E68:INDEX(Amendoim!$E68:$Z68,MIN(AO$6-$E$3,22))&lt;&gt;""),Amendoim!$E68:INDEX(Amendoim!$E68:$Z68,MIN(AO$6-$E$3,22))),0))-IF($G$2,0,IF((AO$6-$G$3)&lt;1,0,IFERROR(LOOKUP(2,1/(Amendoim!$E68:INDEX(Amendoim!$E68:$Z68,MIN(AO$6-$G$3,22))&lt;&gt;""),Amendoim!$E68:INDEX(Amendoim!$E68:$Z68,MIN(AO$6-$G$3,22))),0)))))</f>
        <v>0</v>
      </c>
      <c r="AP70" s="27" t="n">
        <f aca="false">IF(COUNT(Amendoim!$E68:$Z68)=0,0,MAX(0,IF((AP$6-$E$3)&lt;1,0,IFERROR(LOOKUP(2,1/(Amendoim!$E68:INDEX(Amendoim!$E68:$Z68,MIN(AP$6-$E$3,22))&lt;&gt;""),Amendoim!$E68:INDEX(Amendoim!$E68:$Z68,MIN(AP$6-$E$3,22))),0))-IF($G$2,0,IF((AP$6-$G$3)&lt;1,0,IFERROR(LOOKUP(2,1/(Amendoim!$E68:INDEX(Amendoim!$E68:$Z68,MIN(AP$6-$G$3,22))&lt;&gt;""),Amendoim!$E68:INDEX(Amendoim!$E68:$Z68,MIN(AP$6-$G$3,22))),0)))))</f>
        <v>0</v>
      </c>
      <c r="AQ70" s="27" t="n">
        <f aca="false">IF(COUNT(Amendoim!$E68:$Z68)=0,0,MAX(0,IF((AQ$6-$E$3)&lt;1,0,IFERROR(LOOKUP(2,1/(Amendoim!$E68:INDEX(Amendoim!$E68:$Z68,MIN(AQ$6-$E$3,22))&lt;&gt;""),Amendoim!$E68:INDEX(Amendoim!$E68:$Z68,MIN(AQ$6-$E$3,22))),0))-IF($G$2,0,IF((AQ$6-$G$3)&lt;1,0,IFERROR(LOOKUP(2,1/(Amendoim!$E68:INDEX(Amendoim!$E68:$Z68,MIN(AQ$6-$G$3,22))&lt;&gt;""),Amendoim!$E68:INDEX(Amendoim!$E68:$Z68,MIN(AQ$6-$G$3,22))),0)))))</f>
        <v>0</v>
      </c>
      <c r="AR70" s="27" t="n">
        <f aca="false">IF(COUNT(Amendoim!$E68:$Z68)=0,0,MAX(0,IF((AR$6-$E$3)&lt;1,0,IFERROR(LOOKUP(2,1/(Amendoim!$E68:INDEX(Amendoim!$E68:$Z68,MIN(AR$6-$E$3,22))&lt;&gt;""),Amendoim!$E68:INDEX(Amendoim!$E68:$Z68,MIN(AR$6-$E$3,22))),0))-IF($G$2,0,IF((AR$6-$G$3)&lt;1,0,IFERROR(LOOKUP(2,1/(Amendoim!$E68:INDEX(Amendoim!$E68:$Z68,MIN(AR$6-$G$3,22))&lt;&gt;""),Amendoim!$E68:INDEX(Amendoim!$E68:$Z68,MIN(AR$6-$G$3,22))),0)))))</f>
        <v>0</v>
      </c>
      <c r="AS70" s="27" t="n">
        <f aca="false">IF(COUNT(Amendoim!$E68:$Z68)=0,0,MAX(0,IF((AS$6-$E$3)&lt;1,0,IFERROR(LOOKUP(2,1/(Amendoim!$E68:INDEX(Amendoim!$E68:$Z68,MIN(AS$6-$E$3,22))&lt;&gt;""),Amendoim!$E68:INDEX(Amendoim!$E68:$Z68,MIN(AS$6-$E$3,22))),0))-IF($G$2,0,IF((AS$6-$G$3)&lt;1,0,IFERROR(LOOKUP(2,1/(Amendoim!$E68:INDEX(Amendoim!$E68:$Z68,MIN(AS$6-$G$3,22))&lt;&gt;""),Amendoim!$E68:INDEX(Amendoim!$E68:$Z68,MIN(AS$6-$G$3,22))),0)))))</f>
        <v>0</v>
      </c>
      <c r="AT70" s="27" t="n">
        <f aca="false">IF(COUNT(Amendoim!$E68:$Z68)=0,0,MAX(0,IF((AT$6-$E$3)&lt;1,0,IFERROR(LOOKUP(2,1/(Amendoim!$E68:INDEX(Amendoim!$E68:$Z68,MIN(AT$6-$E$3,22))&lt;&gt;""),Amendoim!$E68:INDEX(Amendoim!$E68:$Z68,MIN(AT$6-$E$3,22))),0))-IF($G$2,0,IF((AT$6-$G$3)&lt;1,0,IFERROR(LOOKUP(2,1/(Amendoim!$E68:INDEX(Amendoim!$E68:$Z68,MIN(AT$6-$G$3,22))&lt;&gt;""),Amendoim!$E68:INDEX(Amendoim!$E68:$Z68,MIN(AT$6-$G$3,22))),0)))))</f>
        <v>0</v>
      </c>
      <c r="AU70" s="27" t="n">
        <f aca="false">IF(COUNT(Amendoim!$E68:$Z68)=0,0,MAX(0,IF((AU$6-$E$3)&lt;1,0,IFERROR(LOOKUP(2,1/(Amendoim!$E68:INDEX(Amendoim!$E68:$Z68,MIN(AU$6-$E$3,22))&lt;&gt;""),Amendoim!$E68:INDEX(Amendoim!$E68:$Z68,MIN(AU$6-$E$3,22))),0))-IF($G$2,0,IF((AU$6-$G$3)&lt;1,0,IFERROR(LOOKUP(2,1/(Amendoim!$E68:INDEX(Amendoim!$E68:$Z68,MIN(AU$6-$G$3,22))&lt;&gt;""),Amendoim!$E68:INDEX(Amendoim!$E68:$Z68,MIN(AU$6-$G$3,22))),0)))))</f>
        <v>0</v>
      </c>
      <c r="AV70" s="27" t="n">
        <f aca="false">IF(COUNT(Amendoim!$E68:$Z68)=0,0,MAX(0,IF((AV$6-$E$3)&lt;1,0,IFERROR(LOOKUP(2,1/(Amendoim!$E68:INDEX(Amendoim!$E68:$Z68,MIN(AV$6-$E$3,22))&lt;&gt;""),Amendoim!$E68:INDEX(Amendoim!$E68:$Z68,MIN(AV$6-$E$3,22))),0))-IF($G$2,0,IF((AV$6-$G$3)&lt;1,0,IFERROR(LOOKUP(2,1/(Amendoim!$E68:INDEX(Amendoim!$E68:$Z68,MIN(AV$6-$G$3,22))&lt;&gt;""),Amendoim!$E68:INDEX(Amendoim!$E68:$Z68,MIN(AV$6-$G$3,22))),0)))))</f>
        <v>0</v>
      </c>
      <c r="AW70" s="27" t="n">
        <f aca="false">IF(COUNT(Amendoim!$E68:$Z68)=0,0,MAX(0,IF((AW$6-$E$3)&lt;1,0,IFERROR(LOOKUP(2,1/(Amendoim!$E68:INDEX(Amendoim!$E68:$Z68,MIN(AW$6-$E$3,22))&lt;&gt;""),Amendoim!$E68:INDEX(Amendoim!$E68:$Z68,MIN(AW$6-$E$3,22))),0))-IF($G$2,0,IF((AW$6-$G$3)&lt;1,0,IFERROR(LOOKUP(2,1/(Amendoim!$E68:INDEX(Amendoim!$E68:$Z68,MIN(AW$6-$G$3,22))&lt;&gt;""),Amendoim!$E68:INDEX(Amendoim!$E68:$Z68,MIN(AW$6-$G$3,22))),0)))))</f>
        <v>0</v>
      </c>
      <c r="AX70" s="27" t="n">
        <f aca="false">IF(COUNT(Amendoim!$E68:$Z68)=0,0,MAX(0,IF((AX$6-$E$3)&lt;1,0,IFERROR(LOOKUP(2,1/(Amendoim!$E68:INDEX(Amendoim!$E68:$Z68,MIN(AX$6-$E$3,22))&lt;&gt;""),Amendoim!$E68:INDEX(Amendoim!$E68:$Z68,MIN(AX$6-$E$3,22))),0))-IF($G$2,0,IF((AX$6-$G$3)&lt;1,0,IFERROR(LOOKUP(2,1/(Amendoim!$E68:INDEX(Amendoim!$E68:$Z68,MIN(AX$6-$G$3,22))&lt;&gt;""),Amendoim!$E68:INDEX(Amendoim!$E68:$Z68,MIN(AX$6-$G$3,22))),0)))))</f>
        <v>0</v>
      </c>
      <c r="AY70" s="27" t="n">
        <f aca="false">IF(COUNT(Amendoim!$E68:$Z68)=0,0,MAX(0,IF((AY$6-$E$3)&lt;1,0,IFERROR(LOOKUP(2,1/(Amendoim!$E68:INDEX(Amendoim!$E68:$Z68,MIN(AY$6-$E$3,22))&lt;&gt;""),Amendoim!$E68:INDEX(Amendoim!$E68:$Z68,MIN(AY$6-$E$3,22))),0))-IF($G$2,0,IF((AY$6-$G$3)&lt;1,0,IFERROR(LOOKUP(2,1/(Amendoim!$E68:INDEX(Amendoim!$E68:$Z68,MIN(AY$6-$G$3,22))&lt;&gt;""),Amendoim!$E68:INDEX(Amendoim!$E68:$Z68,MIN(AY$6-$G$3,22))),0)))))</f>
        <v>0</v>
      </c>
      <c r="AZ70" s="27" t="n">
        <f aca="false">IF(COUNT(Amendoim!$E68:$Z68)=0,0,MAX(0,IF((AZ$6-$E$3)&lt;1,0,IFERROR(LOOKUP(2,1/(Amendoim!$E68:INDEX(Amendoim!$E68:$Z68,MIN(AZ$6-$E$3,22))&lt;&gt;""),Amendoim!$E68:INDEX(Amendoim!$E68:$Z68,MIN(AZ$6-$E$3,22))),0))-IF($G$2,0,IF((AZ$6-$G$3)&lt;1,0,IFERROR(LOOKUP(2,1/(Amendoim!$E68:INDEX(Amendoim!$E68:$Z68,MIN(AZ$6-$G$3,22))&lt;&gt;""),Amendoim!$E68:INDEX(Amendoim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IF(COUNT(Amendoim!$E69:$Z69)&gt;0,N(Amendoim!$D69),0)</f>
        <v>0</v>
      </c>
      <c r="E71" s="27" t="n">
        <f aca="false">IF(COUNT(Amendoim!$E69:$Z69)=0,0,MAX(0,IF((E$6-$E$3)&lt;1,0,IFERROR(LOOKUP(2,1/(Amendoim!$E69:INDEX(Amendoim!$E69:$Z69,MIN(E$6-$E$3,22))&lt;&gt;""),Amendoim!$E69:INDEX(Amendoim!$E69:$Z69,MIN(E$6-$E$3,22))),0))-IF($G$2,0,IF((E$6-$G$3)&lt;1,0,IFERROR(LOOKUP(2,1/(Amendoim!$E69:INDEX(Amendoim!$E69:$Z69,MIN(E$6-$G$3,22))&lt;&gt;""),Amendoim!$E69:INDEX(Amendoim!$E69:$Z69,MIN(E$6-$G$3,22))),0)))))</f>
        <v>0</v>
      </c>
      <c r="F71" s="27" t="n">
        <f aca="false">IF(COUNT(Amendoim!$E69:$Z69)=0,0,MAX(0,IF((F$6-$E$3)&lt;1,0,IFERROR(LOOKUP(2,1/(Amendoim!$E69:INDEX(Amendoim!$E69:$Z69,MIN(F$6-$E$3,22))&lt;&gt;""),Amendoim!$E69:INDEX(Amendoim!$E69:$Z69,MIN(F$6-$E$3,22))),0))-IF($G$2,0,IF((F$6-$G$3)&lt;1,0,IFERROR(LOOKUP(2,1/(Amendoim!$E69:INDEX(Amendoim!$E69:$Z69,MIN(F$6-$G$3,22))&lt;&gt;""),Amendoim!$E69:INDEX(Amendoim!$E69:$Z69,MIN(F$6-$G$3,22))),0)))))</f>
        <v>0</v>
      </c>
      <c r="G71" s="27" t="n">
        <f aca="false">IF(COUNT(Amendoim!$E69:$Z69)=0,0,MAX(0,IF((G$6-$E$3)&lt;1,0,IFERROR(LOOKUP(2,1/(Amendoim!$E69:INDEX(Amendoim!$E69:$Z69,MIN(G$6-$E$3,22))&lt;&gt;""),Amendoim!$E69:INDEX(Amendoim!$E69:$Z69,MIN(G$6-$E$3,22))),0))-IF($G$2,0,IF((G$6-$G$3)&lt;1,0,IFERROR(LOOKUP(2,1/(Amendoim!$E69:INDEX(Amendoim!$E69:$Z69,MIN(G$6-$G$3,22))&lt;&gt;""),Amendoim!$E69:INDEX(Amendoim!$E69:$Z69,MIN(G$6-$G$3,22))),0)))))</f>
        <v>0</v>
      </c>
      <c r="H71" s="27" t="n">
        <f aca="false">IF(COUNT(Amendoim!$E69:$Z69)=0,0,MAX(0,IF((H$6-$E$3)&lt;1,0,IFERROR(LOOKUP(2,1/(Amendoim!$E69:INDEX(Amendoim!$E69:$Z69,MIN(H$6-$E$3,22))&lt;&gt;""),Amendoim!$E69:INDEX(Amendoim!$E69:$Z69,MIN(H$6-$E$3,22))),0))-IF($G$2,0,IF((H$6-$G$3)&lt;1,0,IFERROR(LOOKUP(2,1/(Amendoim!$E69:INDEX(Amendoim!$E69:$Z69,MIN(H$6-$G$3,22))&lt;&gt;""),Amendoim!$E69:INDEX(Amendoim!$E69:$Z69,MIN(H$6-$G$3,22))),0)))))</f>
        <v>0</v>
      </c>
      <c r="I71" s="27" t="n">
        <f aca="false">IF(COUNT(Amendoim!$E69:$Z69)=0,0,MAX(0,IF((I$6-$E$3)&lt;1,0,IFERROR(LOOKUP(2,1/(Amendoim!$E69:INDEX(Amendoim!$E69:$Z69,MIN(I$6-$E$3,22))&lt;&gt;""),Amendoim!$E69:INDEX(Amendoim!$E69:$Z69,MIN(I$6-$E$3,22))),0))-IF($G$2,0,IF((I$6-$G$3)&lt;1,0,IFERROR(LOOKUP(2,1/(Amendoim!$E69:INDEX(Amendoim!$E69:$Z69,MIN(I$6-$G$3,22))&lt;&gt;""),Amendoim!$E69:INDEX(Amendoim!$E69:$Z69,MIN(I$6-$G$3,22))),0)))))</f>
        <v>0</v>
      </c>
      <c r="J71" s="27" t="n">
        <f aca="false">IF(COUNT(Amendoim!$E69:$Z69)=0,0,MAX(0,IF((J$6-$E$3)&lt;1,0,IFERROR(LOOKUP(2,1/(Amendoim!$E69:INDEX(Amendoim!$E69:$Z69,MIN(J$6-$E$3,22))&lt;&gt;""),Amendoim!$E69:INDEX(Amendoim!$E69:$Z69,MIN(J$6-$E$3,22))),0))-IF($G$2,0,IF((J$6-$G$3)&lt;1,0,IFERROR(LOOKUP(2,1/(Amendoim!$E69:INDEX(Amendoim!$E69:$Z69,MIN(J$6-$G$3,22))&lt;&gt;""),Amendoim!$E69:INDEX(Amendoim!$E69:$Z69,MIN(J$6-$G$3,22))),0)))))</f>
        <v>0</v>
      </c>
      <c r="K71" s="27" t="n">
        <f aca="false">IF(COUNT(Amendoim!$E69:$Z69)=0,0,MAX(0,IF((K$6-$E$3)&lt;1,0,IFERROR(LOOKUP(2,1/(Amendoim!$E69:INDEX(Amendoim!$E69:$Z69,MIN(K$6-$E$3,22))&lt;&gt;""),Amendoim!$E69:INDEX(Amendoim!$E69:$Z69,MIN(K$6-$E$3,22))),0))-IF($G$2,0,IF((K$6-$G$3)&lt;1,0,IFERROR(LOOKUP(2,1/(Amendoim!$E69:INDEX(Amendoim!$E69:$Z69,MIN(K$6-$G$3,22))&lt;&gt;""),Amendoim!$E69:INDEX(Amendoim!$E69:$Z69,MIN(K$6-$G$3,22))),0)))))</f>
        <v>0</v>
      </c>
      <c r="L71" s="27" t="n">
        <f aca="false">IF(COUNT(Amendoim!$E69:$Z69)=0,0,MAX(0,IF((L$6-$E$3)&lt;1,0,IFERROR(LOOKUP(2,1/(Amendoim!$E69:INDEX(Amendoim!$E69:$Z69,MIN(L$6-$E$3,22))&lt;&gt;""),Amendoim!$E69:INDEX(Amendoim!$E69:$Z69,MIN(L$6-$E$3,22))),0))-IF($G$2,0,IF((L$6-$G$3)&lt;1,0,IFERROR(LOOKUP(2,1/(Amendoim!$E69:INDEX(Amendoim!$E69:$Z69,MIN(L$6-$G$3,22))&lt;&gt;""),Amendoim!$E69:INDEX(Amendoim!$E69:$Z69,MIN(L$6-$G$3,22))),0)))))</f>
        <v>0</v>
      </c>
      <c r="M71" s="27" t="n">
        <f aca="false">IF(COUNT(Amendoim!$E69:$Z69)=0,0,MAX(0,IF((M$6-$E$3)&lt;1,0,IFERROR(LOOKUP(2,1/(Amendoim!$E69:INDEX(Amendoim!$E69:$Z69,MIN(M$6-$E$3,22))&lt;&gt;""),Amendoim!$E69:INDEX(Amendoim!$E69:$Z69,MIN(M$6-$E$3,22))),0))-IF($G$2,0,IF((M$6-$G$3)&lt;1,0,IFERROR(LOOKUP(2,1/(Amendoim!$E69:INDEX(Amendoim!$E69:$Z69,MIN(M$6-$G$3,22))&lt;&gt;""),Amendoim!$E69:INDEX(Amendoim!$E69:$Z69,MIN(M$6-$G$3,22))),0)))))</f>
        <v>0</v>
      </c>
      <c r="N71" s="27" t="n">
        <f aca="false">IF(COUNT(Amendoim!$E69:$Z69)=0,0,MAX(0,IF((N$6-$E$3)&lt;1,0,IFERROR(LOOKUP(2,1/(Amendoim!$E69:INDEX(Amendoim!$E69:$Z69,MIN(N$6-$E$3,22))&lt;&gt;""),Amendoim!$E69:INDEX(Amendoim!$E69:$Z69,MIN(N$6-$E$3,22))),0))-IF($G$2,0,IF((N$6-$G$3)&lt;1,0,IFERROR(LOOKUP(2,1/(Amendoim!$E69:INDEX(Amendoim!$E69:$Z69,MIN(N$6-$G$3,22))&lt;&gt;""),Amendoim!$E69:INDEX(Amendoim!$E69:$Z69,MIN(N$6-$G$3,22))),0)))))</f>
        <v>0</v>
      </c>
      <c r="O71" s="27" t="n">
        <f aca="false">IF(COUNT(Amendoim!$E69:$Z69)=0,0,MAX(0,IF((O$6-$E$3)&lt;1,0,IFERROR(LOOKUP(2,1/(Amendoim!$E69:INDEX(Amendoim!$E69:$Z69,MIN(O$6-$E$3,22))&lt;&gt;""),Amendoim!$E69:INDEX(Amendoim!$E69:$Z69,MIN(O$6-$E$3,22))),0))-IF($G$2,0,IF((O$6-$G$3)&lt;1,0,IFERROR(LOOKUP(2,1/(Amendoim!$E69:INDEX(Amendoim!$E69:$Z69,MIN(O$6-$G$3,22))&lt;&gt;""),Amendoim!$E69:INDEX(Amendoim!$E69:$Z69,MIN(O$6-$G$3,22))),0)))))</f>
        <v>0</v>
      </c>
      <c r="P71" s="27" t="n">
        <f aca="false">IF(COUNT(Amendoim!$E69:$Z69)=0,0,MAX(0,IF((P$6-$E$3)&lt;1,0,IFERROR(LOOKUP(2,1/(Amendoim!$E69:INDEX(Amendoim!$E69:$Z69,MIN(P$6-$E$3,22))&lt;&gt;""),Amendoim!$E69:INDEX(Amendoim!$E69:$Z69,MIN(P$6-$E$3,22))),0))-IF($G$2,0,IF((P$6-$G$3)&lt;1,0,IFERROR(LOOKUP(2,1/(Amendoim!$E69:INDEX(Amendoim!$E69:$Z69,MIN(P$6-$G$3,22))&lt;&gt;""),Amendoim!$E69:INDEX(Amendoim!$E69:$Z69,MIN(P$6-$G$3,22))),0)))))</f>
        <v>0</v>
      </c>
      <c r="Q71" s="27" t="n">
        <f aca="false">IF(COUNT(Amendoim!$E69:$Z69)=0,0,MAX(0,IF((Q$6-$E$3)&lt;1,0,IFERROR(LOOKUP(2,1/(Amendoim!$E69:INDEX(Amendoim!$E69:$Z69,MIN(Q$6-$E$3,22))&lt;&gt;""),Amendoim!$E69:INDEX(Amendoim!$E69:$Z69,MIN(Q$6-$E$3,22))),0))-IF($G$2,0,IF((Q$6-$G$3)&lt;1,0,IFERROR(LOOKUP(2,1/(Amendoim!$E69:INDEX(Amendoim!$E69:$Z69,MIN(Q$6-$G$3,22))&lt;&gt;""),Amendoim!$E69:INDEX(Amendoim!$E69:$Z69,MIN(Q$6-$G$3,22))),0)))))</f>
        <v>0</v>
      </c>
      <c r="R71" s="27" t="n">
        <f aca="false">IF(COUNT(Amendoim!$E69:$Z69)=0,0,MAX(0,IF((R$6-$E$3)&lt;1,0,IFERROR(LOOKUP(2,1/(Amendoim!$E69:INDEX(Amendoim!$E69:$Z69,MIN(R$6-$E$3,22))&lt;&gt;""),Amendoim!$E69:INDEX(Amendoim!$E69:$Z69,MIN(R$6-$E$3,22))),0))-IF($G$2,0,IF((R$6-$G$3)&lt;1,0,IFERROR(LOOKUP(2,1/(Amendoim!$E69:INDEX(Amendoim!$E69:$Z69,MIN(R$6-$G$3,22))&lt;&gt;""),Amendoim!$E69:INDEX(Amendoim!$E69:$Z69,MIN(R$6-$G$3,22))),0)))))</f>
        <v>0</v>
      </c>
      <c r="S71" s="27" t="n">
        <f aca="false">IF(COUNT(Amendoim!$E69:$Z69)=0,0,MAX(0,IF((S$6-$E$3)&lt;1,0,IFERROR(LOOKUP(2,1/(Amendoim!$E69:INDEX(Amendoim!$E69:$Z69,MIN(S$6-$E$3,22))&lt;&gt;""),Amendoim!$E69:INDEX(Amendoim!$E69:$Z69,MIN(S$6-$E$3,22))),0))-IF($G$2,0,IF((S$6-$G$3)&lt;1,0,IFERROR(LOOKUP(2,1/(Amendoim!$E69:INDEX(Amendoim!$E69:$Z69,MIN(S$6-$G$3,22))&lt;&gt;""),Amendoim!$E69:INDEX(Amendoim!$E69:$Z69,MIN(S$6-$G$3,22))),0)))))</f>
        <v>0</v>
      </c>
      <c r="T71" s="27" t="n">
        <f aca="false">IF(COUNT(Amendoim!$E69:$Z69)=0,0,MAX(0,IF((T$6-$E$3)&lt;1,0,IFERROR(LOOKUP(2,1/(Amendoim!$E69:INDEX(Amendoim!$E69:$Z69,MIN(T$6-$E$3,22))&lt;&gt;""),Amendoim!$E69:INDEX(Amendoim!$E69:$Z69,MIN(T$6-$E$3,22))),0))-IF($G$2,0,IF((T$6-$G$3)&lt;1,0,IFERROR(LOOKUP(2,1/(Amendoim!$E69:INDEX(Amendoim!$E69:$Z69,MIN(T$6-$G$3,22))&lt;&gt;""),Amendoim!$E69:INDEX(Amendoim!$E69:$Z69,MIN(T$6-$G$3,22))),0)))))</f>
        <v>0</v>
      </c>
      <c r="U71" s="27" t="n">
        <f aca="false">IF(COUNT(Amendoim!$E69:$Z69)=0,0,MAX(0,IF((U$6-$E$3)&lt;1,0,IFERROR(LOOKUP(2,1/(Amendoim!$E69:INDEX(Amendoim!$E69:$Z69,MIN(U$6-$E$3,22))&lt;&gt;""),Amendoim!$E69:INDEX(Amendoim!$E69:$Z69,MIN(U$6-$E$3,22))),0))-IF($G$2,0,IF((U$6-$G$3)&lt;1,0,IFERROR(LOOKUP(2,1/(Amendoim!$E69:INDEX(Amendoim!$E69:$Z69,MIN(U$6-$G$3,22))&lt;&gt;""),Amendoim!$E69:INDEX(Amendoim!$E69:$Z69,MIN(U$6-$G$3,22))),0)))))</f>
        <v>0</v>
      </c>
      <c r="V71" s="27" t="n">
        <f aca="false">IF(COUNT(Amendoim!$E69:$Z69)=0,0,MAX(0,IF((V$6-$E$3)&lt;1,0,IFERROR(LOOKUP(2,1/(Amendoim!$E69:INDEX(Amendoim!$E69:$Z69,MIN(V$6-$E$3,22))&lt;&gt;""),Amendoim!$E69:INDEX(Amendoim!$E69:$Z69,MIN(V$6-$E$3,22))),0))-IF($G$2,0,IF((V$6-$G$3)&lt;1,0,IFERROR(LOOKUP(2,1/(Amendoim!$E69:INDEX(Amendoim!$E69:$Z69,MIN(V$6-$G$3,22))&lt;&gt;""),Amendoim!$E69:INDEX(Amendoim!$E69:$Z69,MIN(V$6-$G$3,22))),0)))))</f>
        <v>0</v>
      </c>
      <c r="W71" s="27" t="n">
        <f aca="false">IF(COUNT(Amendoim!$E69:$Z69)=0,0,MAX(0,IF((W$6-$E$3)&lt;1,0,IFERROR(LOOKUP(2,1/(Amendoim!$E69:INDEX(Amendoim!$E69:$Z69,MIN(W$6-$E$3,22))&lt;&gt;""),Amendoim!$E69:INDEX(Amendoim!$E69:$Z69,MIN(W$6-$E$3,22))),0))-IF($G$2,0,IF((W$6-$G$3)&lt;1,0,IFERROR(LOOKUP(2,1/(Amendoim!$E69:INDEX(Amendoim!$E69:$Z69,MIN(W$6-$G$3,22))&lt;&gt;""),Amendoim!$E69:INDEX(Amendoim!$E69:$Z69,MIN(W$6-$G$3,22))),0)))))</f>
        <v>0</v>
      </c>
      <c r="X71" s="27" t="n">
        <f aca="false">IF(COUNT(Amendoim!$E69:$Z69)=0,0,MAX(0,IF((X$6-$E$3)&lt;1,0,IFERROR(LOOKUP(2,1/(Amendoim!$E69:INDEX(Amendoim!$E69:$Z69,MIN(X$6-$E$3,22))&lt;&gt;""),Amendoim!$E69:INDEX(Amendoim!$E69:$Z69,MIN(X$6-$E$3,22))),0))-IF($G$2,0,IF((X$6-$G$3)&lt;1,0,IFERROR(LOOKUP(2,1/(Amendoim!$E69:INDEX(Amendoim!$E69:$Z69,MIN(X$6-$G$3,22))&lt;&gt;""),Amendoim!$E69:INDEX(Amendoim!$E69:$Z69,MIN(X$6-$G$3,22))),0)))))</f>
        <v>0</v>
      </c>
      <c r="Y71" s="27" t="n">
        <f aca="false">IF(COUNT(Amendoim!$E69:$Z69)=0,0,MAX(0,IF((Y$6-$E$3)&lt;1,0,IFERROR(LOOKUP(2,1/(Amendoim!$E69:INDEX(Amendoim!$E69:$Z69,MIN(Y$6-$E$3,22))&lt;&gt;""),Amendoim!$E69:INDEX(Amendoim!$E69:$Z69,MIN(Y$6-$E$3,22))),0))-IF($G$2,0,IF((Y$6-$G$3)&lt;1,0,IFERROR(LOOKUP(2,1/(Amendoim!$E69:INDEX(Amendoim!$E69:$Z69,MIN(Y$6-$G$3,22))&lt;&gt;""),Amendoim!$E69:INDEX(Amendoim!$E69:$Z69,MIN(Y$6-$G$3,22))),0)))))</f>
        <v>0</v>
      </c>
      <c r="Z71" s="27" t="n">
        <f aca="false">IF(COUNT(Amendoim!$E69:$Z69)=0,0,MAX(0,IF((Z$6-$E$3)&lt;1,0,IFERROR(LOOKUP(2,1/(Amendoim!$E69:INDEX(Amendoim!$E69:$Z69,MIN(Z$6-$E$3,22))&lt;&gt;""),Amendoim!$E69:INDEX(Amendoim!$E69:$Z69,MIN(Z$6-$E$3,22))),0))-IF($G$2,0,IF((Z$6-$G$3)&lt;1,0,IFERROR(LOOKUP(2,1/(Amendoim!$E69:INDEX(Amendoim!$E69:$Z69,MIN(Z$6-$G$3,22))&lt;&gt;""),Amendoim!$E69:INDEX(Amendoim!$E69:$Z69,MIN(Z$6-$G$3,22))),0)))))</f>
        <v>0</v>
      </c>
      <c r="AA71" s="27" t="n">
        <f aca="false">IF(COUNT(Amendoim!$E69:$Z69)=0,0,MAX(0,IF((AA$6-$E$3)&lt;1,0,IFERROR(LOOKUP(2,1/(Amendoim!$E69:INDEX(Amendoim!$E69:$Z69,MIN(AA$6-$E$3,22))&lt;&gt;""),Amendoim!$E69:INDEX(Amendoim!$E69:$Z69,MIN(AA$6-$E$3,22))),0))-IF($G$2,0,IF((AA$6-$G$3)&lt;1,0,IFERROR(LOOKUP(2,1/(Amendoim!$E69:INDEX(Amendoim!$E69:$Z69,MIN(AA$6-$G$3,22))&lt;&gt;""),Amendoim!$E69:INDEX(Amendoim!$E69:$Z69,MIN(AA$6-$G$3,22))),0)))))</f>
        <v>0</v>
      </c>
      <c r="AB71" s="27" t="n">
        <f aca="false">IF(COUNT(Amendoim!$E69:$Z69)=0,0,MAX(0,IF((AB$6-$E$3)&lt;1,0,IFERROR(LOOKUP(2,1/(Amendoim!$E69:INDEX(Amendoim!$E69:$Z69,MIN(AB$6-$E$3,22))&lt;&gt;""),Amendoim!$E69:INDEX(Amendoim!$E69:$Z69,MIN(AB$6-$E$3,22))),0))-IF($G$2,0,IF((AB$6-$G$3)&lt;1,0,IFERROR(LOOKUP(2,1/(Amendoim!$E69:INDEX(Amendoim!$E69:$Z69,MIN(AB$6-$G$3,22))&lt;&gt;""),Amendoim!$E69:INDEX(Amendoim!$E69:$Z69,MIN(AB$6-$G$3,22))),0)))))</f>
        <v>0</v>
      </c>
      <c r="AC71" s="27" t="n">
        <f aca="false">IF(COUNT(Amendoim!$E69:$Z69)=0,0,MAX(0,IF((AC$6-$E$3)&lt;1,0,IFERROR(LOOKUP(2,1/(Amendoim!$E69:INDEX(Amendoim!$E69:$Z69,MIN(AC$6-$E$3,22))&lt;&gt;""),Amendoim!$E69:INDEX(Amendoim!$E69:$Z69,MIN(AC$6-$E$3,22))),0))-IF($G$2,0,IF((AC$6-$G$3)&lt;1,0,IFERROR(LOOKUP(2,1/(Amendoim!$E69:INDEX(Amendoim!$E69:$Z69,MIN(AC$6-$G$3,22))&lt;&gt;""),Amendoim!$E69:INDEX(Amendoim!$E69:$Z69,MIN(AC$6-$G$3,22))),0)))))</f>
        <v>0</v>
      </c>
      <c r="AD71" s="27" t="n">
        <f aca="false">IF(COUNT(Amendoim!$E69:$Z69)=0,0,MAX(0,IF((AD$6-$E$3)&lt;1,0,IFERROR(LOOKUP(2,1/(Amendoim!$E69:INDEX(Amendoim!$E69:$Z69,MIN(AD$6-$E$3,22))&lt;&gt;""),Amendoim!$E69:INDEX(Amendoim!$E69:$Z69,MIN(AD$6-$E$3,22))),0))-IF($G$2,0,IF((AD$6-$G$3)&lt;1,0,IFERROR(LOOKUP(2,1/(Amendoim!$E69:INDEX(Amendoim!$E69:$Z69,MIN(AD$6-$G$3,22))&lt;&gt;""),Amendoim!$E69:INDEX(Amendoim!$E69:$Z69,MIN(AD$6-$G$3,22))),0)))))</f>
        <v>0</v>
      </c>
      <c r="AE71" s="27" t="n">
        <f aca="false">IF(COUNT(Amendoim!$E69:$Z69)=0,0,MAX(0,IF((AE$6-$E$3)&lt;1,0,IFERROR(LOOKUP(2,1/(Amendoim!$E69:INDEX(Amendoim!$E69:$Z69,MIN(AE$6-$E$3,22))&lt;&gt;""),Amendoim!$E69:INDEX(Amendoim!$E69:$Z69,MIN(AE$6-$E$3,22))),0))-IF($G$2,0,IF((AE$6-$G$3)&lt;1,0,IFERROR(LOOKUP(2,1/(Amendoim!$E69:INDEX(Amendoim!$E69:$Z69,MIN(AE$6-$G$3,22))&lt;&gt;""),Amendoim!$E69:INDEX(Amendoim!$E69:$Z69,MIN(AE$6-$G$3,22))),0)))))</f>
        <v>0</v>
      </c>
      <c r="AF71" s="27" t="n">
        <f aca="false">IF(COUNT(Amendoim!$E69:$Z69)=0,0,MAX(0,IF((AF$6-$E$3)&lt;1,0,IFERROR(LOOKUP(2,1/(Amendoim!$E69:INDEX(Amendoim!$E69:$Z69,MIN(AF$6-$E$3,22))&lt;&gt;""),Amendoim!$E69:INDEX(Amendoim!$E69:$Z69,MIN(AF$6-$E$3,22))),0))-IF($G$2,0,IF((AF$6-$G$3)&lt;1,0,IFERROR(LOOKUP(2,1/(Amendoim!$E69:INDEX(Amendoim!$E69:$Z69,MIN(AF$6-$G$3,22))&lt;&gt;""),Amendoim!$E69:INDEX(Amendoim!$E69:$Z69,MIN(AF$6-$G$3,22))),0)))))</f>
        <v>0</v>
      </c>
      <c r="AG71" s="27" t="n">
        <f aca="false">IF(COUNT(Amendoim!$E69:$Z69)=0,0,MAX(0,IF((AG$6-$E$3)&lt;1,0,IFERROR(LOOKUP(2,1/(Amendoim!$E69:INDEX(Amendoim!$E69:$Z69,MIN(AG$6-$E$3,22))&lt;&gt;""),Amendoim!$E69:INDEX(Amendoim!$E69:$Z69,MIN(AG$6-$E$3,22))),0))-IF($G$2,0,IF((AG$6-$G$3)&lt;1,0,IFERROR(LOOKUP(2,1/(Amendoim!$E69:INDEX(Amendoim!$E69:$Z69,MIN(AG$6-$G$3,22))&lt;&gt;""),Amendoim!$E69:INDEX(Amendoim!$E69:$Z69,MIN(AG$6-$G$3,22))),0)))))</f>
        <v>0</v>
      </c>
      <c r="AH71" s="27" t="n">
        <f aca="false">IF(COUNT(Amendoim!$E69:$Z69)=0,0,MAX(0,IF((AH$6-$E$3)&lt;1,0,IFERROR(LOOKUP(2,1/(Amendoim!$E69:INDEX(Amendoim!$E69:$Z69,MIN(AH$6-$E$3,22))&lt;&gt;""),Amendoim!$E69:INDEX(Amendoim!$E69:$Z69,MIN(AH$6-$E$3,22))),0))-IF($G$2,0,IF((AH$6-$G$3)&lt;1,0,IFERROR(LOOKUP(2,1/(Amendoim!$E69:INDEX(Amendoim!$E69:$Z69,MIN(AH$6-$G$3,22))&lt;&gt;""),Amendoim!$E69:INDEX(Amendoim!$E69:$Z69,MIN(AH$6-$G$3,22))),0)))))</f>
        <v>0</v>
      </c>
      <c r="AI71" s="27" t="n">
        <f aca="false">IF(COUNT(Amendoim!$E69:$Z69)=0,0,MAX(0,IF((AI$6-$E$3)&lt;1,0,IFERROR(LOOKUP(2,1/(Amendoim!$E69:INDEX(Amendoim!$E69:$Z69,MIN(AI$6-$E$3,22))&lt;&gt;""),Amendoim!$E69:INDEX(Amendoim!$E69:$Z69,MIN(AI$6-$E$3,22))),0))-IF($G$2,0,IF((AI$6-$G$3)&lt;1,0,IFERROR(LOOKUP(2,1/(Amendoim!$E69:INDEX(Amendoim!$E69:$Z69,MIN(AI$6-$G$3,22))&lt;&gt;""),Amendoim!$E69:INDEX(Amendoim!$E69:$Z69,MIN(AI$6-$G$3,22))),0)))))</f>
        <v>0</v>
      </c>
      <c r="AJ71" s="27" t="n">
        <f aca="false">IF(COUNT(Amendoim!$E69:$Z69)=0,0,MAX(0,IF((AJ$6-$E$3)&lt;1,0,IFERROR(LOOKUP(2,1/(Amendoim!$E69:INDEX(Amendoim!$E69:$Z69,MIN(AJ$6-$E$3,22))&lt;&gt;""),Amendoim!$E69:INDEX(Amendoim!$E69:$Z69,MIN(AJ$6-$E$3,22))),0))-IF($G$2,0,IF((AJ$6-$G$3)&lt;1,0,IFERROR(LOOKUP(2,1/(Amendoim!$E69:INDEX(Amendoim!$E69:$Z69,MIN(AJ$6-$G$3,22))&lt;&gt;""),Amendoim!$E69:INDEX(Amendoim!$E69:$Z69,MIN(AJ$6-$G$3,22))),0)))))</f>
        <v>0</v>
      </c>
      <c r="AK71" s="27" t="n">
        <f aca="false">IF(COUNT(Amendoim!$E69:$Z69)=0,0,MAX(0,IF((AK$6-$E$3)&lt;1,0,IFERROR(LOOKUP(2,1/(Amendoim!$E69:INDEX(Amendoim!$E69:$Z69,MIN(AK$6-$E$3,22))&lt;&gt;""),Amendoim!$E69:INDEX(Amendoim!$E69:$Z69,MIN(AK$6-$E$3,22))),0))-IF($G$2,0,IF((AK$6-$G$3)&lt;1,0,IFERROR(LOOKUP(2,1/(Amendoim!$E69:INDEX(Amendoim!$E69:$Z69,MIN(AK$6-$G$3,22))&lt;&gt;""),Amendoim!$E69:INDEX(Amendoim!$E69:$Z69,MIN(AK$6-$G$3,22))),0)))))</f>
        <v>0</v>
      </c>
      <c r="AL71" s="27" t="n">
        <f aca="false">IF(COUNT(Amendoim!$E69:$Z69)=0,0,MAX(0,IF((AL$6-$E$3)&lt;1,0,IFERROR(LOOKUP(2,1/(Amendoim!$E69:INDEX(Amendoim!$E69:$Z69,MIN(AL$6-$E$3,22))&lt;&gt;""),Amendoim!$E69:INDEX(Amendoim!$E69:$Z69,MIN(AL$6-$E$3,22))),0))-IF($G$2,0,IF((AL$6-$G$3)&lt;1,0,IFERROR(LOOKUP(2,1/(Amendoim!$E69:INDEX(Amendoim!$E69:$Z69,MIN(AL$6-$G$3,22))&lt;&gt;""),Amendoim!$E69:INDEX(Amendoim!$E69:$Z69,MIN(AL$6-$G$3,22))),0)))))</f>
        <v>0</v>
      </c>
      <c r="AM71" s="27" t="n">
        <f aca="false">IF(COUNT(Amendoim!$E69:$Z69)=0,0,MAX(0,IF((AM$6-$E$3)&lt;1,0,IFERROR(LOOKUP(2,1/(Amendoim!$E69:INDEX(Amendoim!$E69:$Z69,MIN(AM$6-$E$3,22))&lt;&gt;""),Amendoim!$E69:INDEX(Amendoim!$E69:$Z69,MIN(AM$6-$E$3,22))),0))-IF($G$2,0,IF((AM$6-$G$3)&lt;1,0,IFERROR(LOOKUP(2,1/(Amendoim!$E69:INDEX(Amendoim!$E69:$Z69,MIN(AM$6-$G$3,22))&lt;&gt;""),Amendoim!$E69:INDEX(Amendoim!$E69:$Z69,MIN(AM$6-$G$3,22))),0)))))</f>
        <v>0</v>
      </c>
      <c r="AN71" s="27" t="n">
        <f aca="false">IF(COUNT(Amendoim!$E69:$Z69)=0,0,MAX(0,IF((AN$6-$E$3)&lt;1,0,IFERROR(LOOKUP(2,1/(Amendoim!$E69:INDEX(Amendoim!$E69:$Z69,MIN(AN$6-$E$3,22))&lt;&gt;""),Amendoim!$E69:INDEX(Amendoim!$E69:$Z69,MIN(AN$6-$E$3,22))),0))-IF($G$2,0,IF((AN$6-$G$3)&lt;1,0,IFERROR(LOOKUP(2,1/(Amendoim!$E69:INDEX(Amendoim!$E69:$Z69,MIN(AN$6-$G$3,22))&lt;&gt;""),Amendoim!$E69:INDEX(Amendoim!$E69:$Z69,MIN(AN$6-$G$3,22))),0)))))</f>
        <v>0</v>
      </c>
      <c r="AO71" s="27" t="n">
        <f aca="false">IF(COUNT(Amendoim!$E69:$Z69)=0,0,MAX(0,IF((AO$6-$E$3)&lt;1,0,IFERROR(LOOKUP(2,1/(Amendoim!$E69:INDEX(Amendoim!$E69:$Z69,MIN(AO$6-$E$3,22))&lt;&gt;""),Amendoim!$E69:INDEX(Amendoim!$E69:$Z69,MIN(AO$6-$E$3,22))),0))-IF($G$2,0,IF((AO$6-$G$3)&lt;1,0,IFERROR(LOOKUP(2,1/(Amendoim!$E69:INDEX(Amendoim!$E69:$Z69,MIN(AO$6-$G$3,22))&lt;&gt;""),Amendoim!$E69:INDEX(Amendoim!$E69:$Z69,MIN(AO$6-$G$3,22))),0)))))</f>
        <v>0</v>
      </c>
      <c r="AP71" s="27" t="n">
        <f aca="false">IF(COUNT(Amendoim!$E69:$Z69)=0,0,MAX(0,IF((AP$6-$E$3)&lt;1,0,IFERROR(LOOKUP(2,1/(Amendoim!$E69:INDEX(Amendoim!$E69:$Z69,MIN(AP$6-$E$3,22))&lt;&gt;""),Amendoim!$E69:INDEX(Amendoim!$E69:$Z69,MIN(AP$6-$E$3,22))),0))-IF($G$2,0,IF((AP$6-$G$3)&lt;1,0,IFERROR(LOOKUP(2,1/(Amendoim!$E69:INDEX(Amendoim!$E69:$Z69,MIN(AP$6-$G$3,22))&lt;&gt;""),Amendoim!$E69:INDEX(Amendoim!$E69:$Z69,MIN(AP$6-$G$3,22))),0)))))</f>
        <v>0</v>
      </c>
      <c r="AQ71" s="27" t="n">
        <f aca="false">IF(COUNT(Amendoim!$E69:$Z69)=0,0,MAX(0,IF((AQ$6-$E$3)&lt;1,0,IFERROR(LOOKUP(2,1/(Amendoim!$E69:INDEX(Amendoim!$E69:$Z69,MIN(AQ$6-$E$3,22))&lt;&gt;""),Amendoim!$E69:INDEX(Amendoim!$E69:$Z69,MIN(AQ$6-$E$3,22))),0))-IF($G$2,0,IF((AQ$6-$G$3)&lt;1,0,IFERROR(LOOKUP(2,1/(Amendoim!$E69:INDEX(Amendoim!$E69:$Z69,MIN(AQ$6-$G$3,22))&lt;&gt;""),Amendoim!$E69:INDEX(Amendoim!$E69:$Z69,MIN(AQ$6-$G$3,22))),0)))))</f>
        <v>0</v>
      </c>
      <c r="AR71" s="27" t="n">
        <f aca="false">IF(COUNT(Amendoim!$E69:$Z69)=0,0,MAX(0,IF((AR$6-$E$3)&lt;1,0,IFERROR(LOOKUP(2,1/(Amendoim!$E69:INDEX(Amendoim!$E69:$Z69,MIN(AR$6-$E$3,22))&lt;&gt;""),Amendoim!$E69:INDEX(Amendoim!$E69:$Z69,MIN(AR$6-$E$3,22))),0))-IF($G$2,0,IF((AR$6-$G$3)&lt;1,0,IFERROR(LOOKUP(2,1/(Amendoim!$E69:INDEX(Amendoim!$E69:$Z69,MIN(AR$6-$G$3,22))&lt;&gt;""),Amendoim!$E69:INDEX(Amendoim!$E69:$Z69,MIN(AR$6-$G$3,22))),0)))))</f>
        <v>0</v>
      </c>
      <c r="AS71" s="27" t="n">
        <f aca="false">IF(COUNT(Amendoim!$E69:$Z69)=0,0,MAX(0,IF((AS$6-$E$3)&lt;1,0,IFERROR(LOOKUP(2,1/(Amendoim!$E69:INDEX(Amendoim!$E69:$Z69,MIN(AS$6-$E$3,22))&lt;&gt;""),Amendoim!$E69:INDEX(Amendoim!$E69:$Z69,MIN(AS$6-$E$3,22))),0))-IF($G$2,0,IF((AS$6-$G$3)&lt;1,0,IFERROR(LOOKUP(2,1/(Amendoim!$E69:INDEX(Amendoim!$E69:$Z69,MIN(AS$6-$G$3,22))&lt;&gt;""),Amendoim!$E69:INDEX(Amendoim!$E69:$Z69,MIN(AS$6-$G$3,22))),0)))))</f>
        <v>0</v>
      </c>
      <c r="AT71" s="27" t="n">
        <f aca="false">IF(COUNT(Amendoim!$E69:$Z69)=0,0,MAX(0,IF((AT$6-$E$3)&lt;1,0,IFERROR(LOOKUP(2,1/(Amendoim!$E69:INDEX(Amendoim!$E69:$Z69,MIN(AT$6-$E$3,22))&lt;&gt;""),Amendoim!$E69:INDEX(Amendoim!$E69:$Z69,MIN(AT$6-$E$3,22))),0))-IF($G$2,0,IF((AT$6-$G$3)&lt;1,0,IFERROR(LOOKUP(2,1/(Amendoim!$E69:INDEX(Amendoim!$E69:$Z69,MIN(AT$6-$G$3,22))&lt;&gt;""),Amendoim!$E69:INDEX(Amendoim!$E69:$Z69,MIN(AT$6-$G$3,22))),0)))))</f>
        <v>0</v>
      </c>
      <c r="AU71" s="27" t="n">
        <f aca="false">IF(COUNT(Amendoim!$E69:$Z69)=0,0,MAX(0,IF((AU$6-$E$3)&lt;1,0,IFERROR(LOOKUP(2,1/(Amendoim!$E69:INDEX(Amendoim!$E69:$Z69,MIN(AU$6-$E$3,22))&lt;&gt;""),Amendoim!$E69:INDEX(Amendoim!$E69:$Z69,MIN(AU$6-$E$3,22))),0))-IF($G$2,0,IF((AU$6-$G$3)&lt;1,0,IFERROR(LOOKUP(2,1/(Amendoim!$E69:INDEX(Amendoim!$E69:$Z69,MIN(AU$6-$G$3,22))&lt;&gt;""),Amendoim!$E69:INDEX(Amendoim!$E69:$Z69,MIN(AU$6-$G$3,22))),0)))))</f>
        <v>0</v>
      </c>
      <c r="AV71" s="27" t="n">
        <f aca="false">IF(COUNT(Amendoim!$E69:$Z69)=0,0,MAX(0,IF((AV$6-$E$3)&lt;1,0,IFERROR(LOOKUP(2,1/(Amendoim!$E69:INDEX(Amendoim!$E69:$Z69,MIN(AV$6-$E$3,22))&lt;&gt;""),Amendoim!$E69:INDEX(Amendoim!$E69:$Z69,MIN(AV$6-$E$3,22))),0))-IF($G$2,0,IF((AV$6-$G$3)&lt;1,0,IFERROR(LOOKUP(2,1/(Amendoim!$E69:INDEX(Amendoim!$E69:$Z69,MIN(AV$6-$G$3,22))&lt;&gt;""),Amendoim!$E69:INDEX(Amendoim!$E69:$Z69,MIN(AV$6-$G$3,22))),0)))))</f>
        <v>0</v>
      </c>
      <c r="AW71" s="27" t="n">
        <f aca="false">IF(COUNT(Amendoim!$E69:$Z69)=0,0,MAX(0,IF((AW$6-$E$3)&lt;1,0,IFERROR(LOOKUP(2,1/(Amendoim!$E69:INDEX(Amendoim!$E69:$Z69,MIN(AW$6-$E$3,22))&lt;&gt;""),Amendoim!$E69:INDEX(Amendoim!$E69:$Z69,MIN(AW$6-$E$3,22))),0))-IF($G$2,0,IF((AW$6-$G$3)&lt;1,0,IFERROR(LOOKUP(2,1/(Amendoim!$E69:INDEX(Amendoim!$E69:$Z69,MIN(AW$6-$G$3,22))&lt;&gt;""),Amendoim!$E69:INDEX(Amendoim!$E69:$Z69,MIN(AW$6-$G$3,22))),0)))))</f>
        <v>0</v>
      </c>
      <c r="AX71" s="27" t="n">
        <f aca="false">IF(COUNT(Amendoim!$E69:$Z69)=0,0,MAX(0,IF((AX$6-$E$3)&lt;1,0,IFERROR(LOOKUP(2,1/(Amendoim!$E69:INDEX(Amendoim!$E69:$Z69,MIN(AX$6-$E$3,22))&lt;&gt;""),Amendoim!$E69:INDEX(Amendoim!$E69:$Z69,MIN(AX$6-$E$3,22))),0))-IF($G$2,0,IF((AX$6-$G$3)&lt;1,0,IFERROR(LOOKUP(2,1/(Amendoim!$E69:INDEX(Amendoim!$E69:$Z69,MIN(AX$6-$G$3,22))&lt;&gt;""),Amendoim!$E69:INDEX(Amendoim!$E69:$Z69,MIN(AX$6-$G$3,22))),0)))))</f>
        <v>0</v>
      </c>
      <c r="AY71" s="27" t="n">
        <f aca="false">IF(COUNT(Amendoim!$E69:$Z69)=0,0,MAX(0,IF((AY$6-$E$3)&lt;1,0,IFERROR(LOOKUP(2,1/(Amendoim!$E69:INDEX(Amendoim!$E69:$Z69,MIN(AY$6-$E$3,22))&lt;&gt;""),Amendoim!$E69:INDEX(Amendoim!$E69:$Z69,MIN(AY$6-$E$3,22))),0))-IF($G$2,0,IF((AY$6-$G$3)&lt;1,0,IFERROR(LOOKUP(2,1/(Amendoim!$E69:INDEX(Amendoim!$E69:$Z69,MIN(AY$6-$G$3,22))&lt;&gt;""),Amendoim!$E69:INDEX(Amendoim!$E69:$Z69,MIN(AY$6-$G$3,22))),0)))))</f>
        <v>0</v>
      </c>
      <c r="AZ71" s="27" t="n">
        <f aca="false">IF(COUNT(Amendoim!$E69:$Z69)=0,0,MAX(0,IF((AZ$6-$E$3)&lt;1,0,IFERROR(LOOKUP(2,1/(Amendoim!$E69:INDEX(Amendoim!$E69:$Z69,MIN(AZ$6-$E$3,22))&lt;&gt;""),Amendoim!$E69:INDEX(Amendoim!$E69:$Z69,MIN(AZ$6-$E$3,22))),0))-IF($G$2,0,IF((AZ$6-$G$3)&lt;1,0,IFERROR(LOOKUP(2,1/(Amendoim!$E69:INDEX(Amendoim!$E69:$Z69,MIN(AZ$6-$G$3,22))&lt;&gt;""),Amendoim!$E69:INDEX(Amendoim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IF(COUNT(Amendoim!$E70:$Z70)&gt;0,N(Amendoim!$D70),0)</f>
        <v>0</v>
      </c>
      <c r="E72" s="27" t="n">
        <f aca="false">IF(COUNT(Amendoim!$E70:$Z70)=0,0,MAX(0,IF((E$6-$E$3)&lt;1,0,IFERROR(LOOKUP(2,1/(Amendoim!$E70:INDEX(Amendoim!$E70:$Z70,MIN(E$6-$E$3,22))&lt;&gt;""),Amendoim!$E70:INDEX(Amendoim!$E70:$Z70,MIN(E$6-$E$3,22))),0))-IF($G$2,0,IF((E$6-$G$3)&lt;1,0,IFERROR(LOOKUP(2,1/(Amendoim!$E70:INDEX(Amendoim!$E70:$Z70,MIN(E$6-$G$3,22))&lt;&gt;""),Amendoim!$E70:INDEX(Amendoim!$E70:$Z70,MIN(E$6-$G$3,22))),0)))))</f>
        <v>0</v>
      </c>
      <c r="F72" s="27" t="n">
        <f aca="false">IF(COUNT(Amendoim!$E70:$Z70)=0,0,MAX(0,IF((F$6-$E$3)&lt;1,0,IFERROR(LOOKUP(2,1/(Amendoim!$E70:INDEX(Amendoim!$E70:$Z70,MIN(F$6-$E$3,22))&lt;&gt;""),Amendoim!$E70:INDEX(Amendoim!$E70:$Z70,MIN(F$6-$E$3,22))),0))-IF($G$2,0,IF((F$6-$G$3)&lt;1,0,IFERROR(LOOKUP(2,1/(Amendoim!$E70:INDEX(Amendoim!$E70:$Z70,MIN(F$6-$G$3,22))&lt;&gt;""),Amendoim!$E70:INDEX(Amendoim!$E70:$Z70,MIN(F$6-$G$3,22))),0)))))</f>
        <v>0</v>
      </c>
      <c r="G72" s="27" t="n">
        <f aca="false">IF(COUNT(Amendoim!$E70:$Z70)=0,0,MAX(0,IF((G$6-$E$3)&lt;1,0,IFERROR(LOOKUP(2,1/(Amendoim!$E70:INDEX(Amendoim!$E70:$Z70,MIN(G$6-$E$3,22))&lt;&gt;""),Amendoim!$E70:INDEX(Amendoim!$E70:$Z70,MIN(G$6-$E$3,22))),0))-IF($G$2,0,IF((G$6-$G$3)&lt;1,0,IFERROR(LOOKUP(2,1/(Amendoim!$E70:INDEX(Amendoim!$E70:$Z70,MIN(G$6-$G$3,22))&lt;&gt;""),Amendoim!$E70:INDEX(Amendoim!$E70:$Z70,MIN(G$6-$G$3,22))),0)))))</f>
        <v>0</v>
      </c>
      <c r="H72" s="27" t="n">
        <f aca="false">IF(COUNT(Amendoim!$E70:$Z70)=0,0,MAX(0,IF((H$6-$E$3)&lt;1,0,IFERROR(LOOKUP(2,1/(Amendoim!$E70:INDEX(Amendoim!$E70:$Z70,MIN(H$6-$E$3,22))&lt;&gt;""),Amendoim!$E70:INDEX(Amendoim!$E70:$Z70,MIN(H$6-$E$3,22))),0))-IF($G$2,0,IF((H$6-$G$3)&lt;1,0,IFERROR(LOOKUP(2,1/(Amendoim!$E70:INDEX(Amendoim!$E70:$Z70,MIN(H$6-$G$3,22))&lt;&gt;""),Amendoim!$E70:INDEX(Amendoim!$E70:$Z70,MIN(H$6-$G$3,22))),0)))))</f>
        <v>0</v>
      </c>
      <c r="I72" s="27" t="n">
        <f aca="false">IF(COUNT(Amendoim!$E70:$Z70)=0,0,MAX(0,IF((I$6-$E$3)&lt;1,0,IFERROR(LOOKUP(2,1/(Amendoim!$E70:INDEX(Amendoim!$E70:$Z70,MIN(I$6-$E$3,22))&lt;&gt;""),Amendoim!$E70:INDEX(Amendoim!$E70:$Z70,MIN(I$6-$E$3,22))),0))-IF($G$2,0,IF((I$6-$G$3)&lt;1,0,IFERROR(LOOKUP(2,1/(Amendoim!$E70:INDEX(Amendoim!$E70:$Z70,MIN(I$6-$G$3,22))&lt;&gt;""),Amendoim!$E70:INDEX(Amendoim!$E70:$Z70,MIN(I$6-$G$3,22))),0)))))</f>
        <v>0</v>
      </c>
      <c r="J72" s="27" t="n">
        <f aca="false">IF(COUNT(Amendoim!$E70:$Z70)=0,0,MAX(0,IF((J$6-$E$3)&lt;1,0,IFERROR(LOOKUP(2,1/(Amendoim!$E70:INDEX(Amendoim!$E70:$Z70,MIN(J$6-$E$3,22))&lt;&gt;""),Amendoim!$E70:INDEX(Amendoim!$E70:$Z70,MIN(J$6-$E$3,22))),0))-IF($G$2,0,IF((J$6-$G$3)&lt;1,0,IFERROR(LOOKUP(2,1/(Amendoim!$E70:INDEX(Amendoim!$E70:$Z70,MIN(J$6-$G$3,22))&lt;&gt;""),Amendoim!$E70:INDEX(Amendoim!$E70:$Z70,MIN(J$6-$G$3,22))),0)))))</f>
        <v>0</v>
      </c>
      <c r="K72" s="27" t="n">
        <f aca="false">IF(COUNT(Amendoim!$E70:$Z70)=0,0,MAX(0,IF((K$6-$E$3)&lt;1,0,IFERROR(LOOKUP(2,1/(Amendoim!$E70:INDEX(Amendoim!$E70:$Z70,MIN(K$6-$E$3,22))&lt;&gt;""),Amendoim!$E70:INDEX(Amendoim!$E70:$Z70,MIN(K$6-$E$3,22))),0))-IF($G$2,0,IF((K$6-$G$3)&lt;1,0,IFERROR(LOOKUP(2,1/(Amendoim!$E70:INDEX(Amendoim!$E70:$Z70,MIN(K$6-$G$3,22))&lt;&gt;""),Amendoim!$E70:INDEX(Amendoim!$E70:$Z70,MIN(K$6-$G$3,22))),0)))))</f>
        <v>0</v>
      </c>
      <c r="L72" s="27" t="n">
        <f aca="false">IF(COUNT(Amendoim!$E70:$Z70)=0,0,MAX(0,IF((L$6-$E$3)&lt;1,0,IFERROR(LOOKUP(2,1/(Amendoim!$E70:INDEX(Amendoim!$E70:$Z70,MIN(L$6-$E$3,22))&lt;&gt;""),Amendoim!$E70:INDEX(Amendoim!$E70:$Z70,MIN(L$6-$E$3,22))),0))-IF($G$2,0,IF((L$6-$G$3)&lt;1,0,IFERROR(LOOKUP(2,1/(Amendoim!$E70:INDEX(Amendoim!$E70:$Z70,MIN(L$6-$G$3,22))&lt;&gt;""),Amendoim!$E70:INDEX(Amendoim!$E70:$Z70,MIN(L$6-$G$3,22))),0)))))</f>
        <v>0</v>
      </c>
      <c r="M72" s="27" t="n">
        <f aca="false">IF(COUNT(Amendoim!$E70:$Z70)=0,0,MAX(0,IF((M$6-$E$3)&lt;1,0,IFERROR(LOOKUP(2,1/(Amendoim!$E70:INDEX(Amendoim!$E70:$Z70,MIN(M$6-$E$3,22))&lt;&gt;""),Amendoim!$E70:INDEX(Amendoim!$E70:$Z70,MIN(M$6-$E$3,22))),0))-IF($G$2,0,IF((M$6-$G$3)&lt;1,0,IFERROR(LOOKUP(2,1/(Amendoim!$E70:INDEX(Amendoim!$E70:$Z70,MIN(M$6-$G$3,22))&lt;&gt;""),Amendoim!$E70:INDEX(Amendoim!$E70:$Z70,MIN(M$6-$G$3,22))),0)))))</f>
        <v>0</v>
      </c>
      <c r="N72" s="27" t="n">
        <f aca="false">IF(COUNT(Amendoim!$E70:$Z70)=0,0,MAX(0,IF((N$6-$E$3)&lt;1,0,IFERROR(LOOKUP(2,1/(Amendoim!$E70:INDEX(Amendoim!$E70:$Z70,MIN(N$6-$E$3,22))&lt;&gt;""),Amendoim!$E70:INDEX(Amendoim!$E70:$Z70,MIN(N$6-$E$3,22))),0))-IF($G$2,0,IF((N$6-$G$3)&lt;1,0,IFERROR(LOOKUP(2,1/(Amendoim!$E70:INDEX(Amendoim!$E70:$Z70,MIN(N$6-$G$3,22))&lt;&gt;""),Amendoim!$E70:INDEX(Amendoim!$E70:$Z70,MIN(N$6-$G$3,22))),0)))))</f>
        <v>0</v>
      </c>
      <c r="O72" s="27" t="n">
        <f aca="false">IF(COUNT(Amendoim!$E70:$Z70)=0,0,MAX(0,IF((O$6-$E$3)&lt;1,0,IFERROR(LOOKUP(2,1/(Amendoim!$E70:INDEX(Amendoim!$E70:$Z70,MIN(O$6-$E$3,22))&lt;&gt;""),Amendoim!$E70:INDEX(Amendoim!$E70:$Z70,MIN(O$6-$E$3,22))),0))-IF($G$2,0,IF((O$6-$G$3)&lt;1,0,IFERROR(LOOKUP(2,1/(Amendoim!$E70:INDEX(Amendoim!$E70:$Z70,MIN(O$6-$G$3,22))&lt;&gt;""),Amendoim!$E70:INDEX(Amendoim!$E70:$Z70,MIN(O$6-$G$3,22))),0)))))</f>
        <v>0</v>
      </c>
      <c r="P72" s="27" t="n">
        <f aca="false">IF(COUNT(Amendoim!$E70:$Z70)=0,0,MAX(0,IF((P$6-$E$3)&lt;1,0,IFERROR(LOOKUP(2,1/(Amendoim!$E70:INDEX(Amendoim!$E70:$Z70,MIN(P$6-$E$3,22))&lt;&gt;""),Amendoim!$E70:INDEX(Amendoim!$E70:$Z70,MIN(P$6-$E$3,22))),0))-IF($G$2,0,IF((P$6-$G$3)&lt;1,0,IFERROR(LOOKUP(2,1/(Amendoim!$E70:INDEX(Amendoim!$E70:$Z70,MIN(P$6-$G$3,22))&lt;&gt;""),Amendoim!$E70:INDEX(Amendoim!$E70:$Z70,MIN(P$6-$G$3,22))),0)))))</f>
        <v>0</v>
      </c>
      <c r="Q72" s="27" t="n">
        <f aca="false">IF(COUNT(Amendoim!$E70:$Z70)=0,0,MAX(0,IF((Q$6-$E$3)&lt;1,0,IFERROR(LOOKUP(2,1/(Amendoim!$E70:INDEX(Amendoim!$E70:$Z70,MIN(Q$6-$E$3,22))&lt;&gt;""),Amendoim!$E70:INDEX(Amendoim!$E70:$Z70,MIN(Q$6-$E$3,22))),0))-IF($G$2,0,IF((Q$6-$G$3)&lt;1,0,IFERROR(LOOKUP(2,1/(Amendoim!$E70:INDEX(Amendoim!$E70:$Z70,MIN(Q$6-$G$3,22))&lt;&gt;""),Amendoim!$E70:INDEX(Amendoim!$E70:$Z70,MIN(Q$6-$G$3,22))),0)))))</f>
        <v>0</v>
      </c>
      <c r="R72" s="27" t="n">
        <f aca="false">IF(COUNT(Amendoim!$E70:$Z70)=0,0,MAX(0,IF((R$6-$E$3)&lt;1,0,IFERROR(LOOKUP(2,1/(Amendoim!$E70:INDEX(Amendoim!$E70:$Z70,MIN(R$6-$E$3,22))&lt;&gt;""),Amendoim!$E70:INDEX(Amendoim!$E70:$Z70,MIN(R$6-$E$3,22))),0))-IF($G$2,0,IF((R$6-$G$3)&lt;1,0,IFERROR(LOOKUP(2,1/(Amendoim!$E70:INDEX(Amendoim!$E70:$Z70,MIN(R$6-$G$3,22))&lt;&gt;""),Amendoim!$E70:INDEX(Amendoim!$E70:$Z70,MIN(R$6-$G$3,22))),0)))))</f>
        <v>0</v>
      </c>
      <c r="S72" s="27" t="n">
        <f aca="false">IF(COUNT(Amendoim!$E70:$Z70)=0,0,MAX(0,IF((S$6-$E$3)&lt;1,0,IFERROR(LOOKUP(2,1/(Amendoim!$E70:INDEX(Amendoim!$E70:$Z70,MIN(S$6-$E$3,22))&lt;&gt;""),Amendoim!$E70:INDEX(Amendoim!$E70:$Z70,MIN(S$6-$E$3,22))),0))-IF($G$2,0,IF((S$6-$G$3)&lt;1,0,IFERROR(LOOKUP(2,1/(Amendoim!$E70:INDEX(Amendoim!$E70:$Z70,MIN(S$6-$G$3,22))&lt;&gt;""),Amendoim!$E70:INDEX(Amendoim!$E70:$Z70,MIN(S$6-$G$3,22))),0)))))</f>
        <v>0</v>
      </c>
      <c r="T72" s="27" t="n">
        <f aca="false">IF(COUNT(Amendoim!$E70:$Z70)=0,0,MAX(0,IF((T$6-$E$3)&lt;1,0,IFERROR(LOOKUP(2,1/(Amendoim!$E70:INDEX(Amendoim!$E70:$Z70,MIN(T$6-$E$3,22))&lt;&gt;""),Amendoim!$E70:INDEX(Amendoim!$E70:$Z70,MIN(T$6-$E$3,22))),0))-IF($G$2,0,IF((T$6-$G$3)&lt;1,0,IFERROR(LOOKUP(2,1/(Amendoim!$E70:INDEX(Amendoim!$E70:$Z70,MIN(T$6-$G$3,22))&lt;&gt;""),Amendoim!$E70:INDEX(Amendoim!$E70:$Z70,MIN(T$6-$G$3,22))),0)))))</f>
        <v>0</v>
      </c>
      <c r="U72" s="27" t="n">
        <f aca="false">IF(COUNT(Amendoim!$E70:$Z70)=0,0,MAX(0,IF((U$6-$E$3)&lt;1,0,IFERROR(LOOKUP(2,1/(Amendoim!$E70:INDEX(Amendoim!$E70:$Z70,MIN(U$6-$E$3,22))&lt;&gt;""),Amendoim!$E70:INDEX(Amendoim!$E70:$Z70,MIN(U$6-$E$3,22))),0))-IF($G$2,0,IF((U$6-$G$3)&lt;1,0,IFERROR(LOOKUP(2,1/(Amendoim!$E70:INDEX(Amendoim!$E70:$Z70,MIN(U$6-$G$3,22))&lt;&gt;""),Amendoim!$E70:INDEX(Amendoim!$E70:$Z70,MIN(U$6-$G$3,22))),0)))))</f>
        <v>0</v>
      </c>
      <c r="V72" s="27" t="n">
        <f aca="false">IF(COUNT(Amendoim!$E70:$Z70)=0,0,MAX(0,IF((V$6-$E$3)&lt;1,0,IFERROR(LOOKUP(2,1/(Amendoim!$E70:INDEX(Amendoim!$E70:$Z70,MIN(V$6-$E$3,22))&lt;&gt;""),Amendoim!$E70:INDEX(Amendoim!$E70:$Z70,MIN(V$6-$E$3,22))),0))-IF($G$2,0,IF((V$6-$G$3)&lt;1,0,IFERROR(LOOKUP(2,1/(Amendoim!$E70:INDEX(Amendoim!$E70:$Z70,MIN(V$6-$G$3,22))&lt;&gt;""),Amendoim!$E70:INDEX(Amendoim!$E70:$Z70,MIN(V$6-$G$3,22))),0)))))</f>
        <v>0</v>
      </c>
      <c r="W72" s="27" t="n">
        <f aca="false">IF(COUNT(Amendoim!$E70:$Z70)=0,0,MAX(0,IF((W$6-$E$3)&lt;1,0,IFERROR(LOOKUP(2,1/(Amendoim!$E70:INDEX(Amendoim!$E70:$Z70,MIN(W$6-$E$3,22))&lt;&gt;""),Amendoim!$E70:INDEX(Amendoim!$E70:$Z70,MIN(W$6-$E$3,22))),0))-IF($G$2,0,IF((W$6-$G$3)&lt;1,0,IFERROR(LOOKUP(2,1/(Amendoim!$E70:INDEX(Amendoim!$E70:$Z70,MIN(W$6-$G$3,22))&lt;&gt;""),Amendoim!$E70:INDEX(Amendoim!$E70:$Z70,MIN(W$6-$G$3,22))),0)))))</f>
        <v>0</v>
      </c>
      <c r="X72" s="27" t="n">
        <f aca="false">IF(COUNT(Amendoim!$E70:$Z70)=0,0,MAX(0,IF((X$6-$E$3)&lt;1,0,IFERROR(LOOKUP(2,1/(Amendoim!$E70:INDEX(Amendoim!$E70:$Z70,MIN(X$6-$E$3,22))&lt;&gt;""),Amendoim!$E70:INDEX(Amendoim!$E70:$Z70,MIN(X$6-$E$3,22))),0))-IF($G$2,0,IF((X$6-$G$3)&lt;1,0,IFERROR(LOOKUP(2,1/(Amendoim!$E70:INDEX(Amendoim!$E70:$Z70,MIN(X$6-$G$3,22))&lt;&gt;""),Amendoim!$E70:INDEX(Amendoim!$E70:$Z70,MIN(X$6-$G$3,22))),0)))))</f>
        <v>0</v>
      </c>
      <c r="Y72" s="27" t="n">
        <f aca="false">IF(COUNT(Amendoim!$E70:$Z70)=0,0,MAX(0,IF((Y$6-$E$3)&lt;1,0,IFERROR(LOOKUP(2,1/(Amendoim!$E70:INDEX(Amendoim!$E70:$Z70,MIN(Y$6-$E$3,22))&lt;&gt;""),Amendoim!$E70:INDEX(Amendoim!$E70:$Z70,MIN(Y$6-$E$3,22))),0))-IF($G$2,0,IF((Y$6-$G$3)&lt;1,0,IFERROR(LOOKUP(2,1/(Amendoim!$E70:INDEX(Amendoim!$E70:$Z70,MIN(Y$6-$G$3,22))&lt;&gt;""),Amendoim!$E70:INDEX(Amendoim!$E70:$Z70,MIN(Y$6-$G$3,22))),0)))))</f>
        <v>0</v>
      </c>
      <c r="Z72" s="27" t="n">
        <f aca="false">IF(COUNT(Amendoim!$E70:$Z70)=0,0,MAX(0,IF((Z$6-$E$3)&lt;1,0,IFERROR(LOOKUP(2,1/(Amendoim!$E70:INDEX(Amendoim!$E70:$Z70,MIN(Z$6-$E$3,22))&lt;&gt;""),Amendoim!$E70:INDEX(Amendoim!$E70:$Z70,MIN(Z$6-$E$3,22))),0))-IF($G$2,0,IF((Z$6-$G$3)&lt;1,0,IFERROR(LOOKUP(2,1/(Amendoim!$E70:INDEX(Amendoim!$E70:$Z70,MIN(Z$6-$G$3,22))&lt;&gt;""),Amendoim!$E70:INDEX(Amendoim!$E70:$Z70,MIN(Z$6-$G$3,22))),0)))))</f>
        <v>0</v>
      </c>
      <c r="AA72" s="27" t="n">
        <f aca="false">IF(COUNT(Amendoim!$E70:$Z70)=0,0,MAX(0,IF((AA$6-$E$3)&lt;1,0,IFERROR(LOOKUP(2,1/(Amendoim!$E70:INDEX(Amendoim!$E70:$Z70,MIN(AA$6-$E$3,22))&lt;&gt;""),Amendoim!$E70:INDEX(Amendoim!$E70:$Z70,MIN(AA$6-$E$3,22))),0))-IF($G$2,0,IF((AA$6-$G$3)&lt;1,0,IFERROR(LOOKUP(2,1/(Amendoim!$E70:INDEX(Amendoim!$E70:$Z70,MIN(AA$6-$G$3,22))&lt;&gt;""),Amendoim!$E70:INDEX(Amendoim!$E70:$Z70,MIN(AA$6-$G$3,22))),0)))))</f>
        <v>0</v>
      </c>
      <c r="AB72" s="27" t="n">
        <f aca="false">IF(COUNT(Amendoim!$E70:$Z70)=0,0,MAX(0,IF((AB$6-$E$3)&lt;1,0,IFERROR(LOOKUP(2,1/(Amendoim!$E70:INDEX(Amendoim!$E70:$Z70,MIN(AB$6-$E$3,22))&lt;&gt;""),Amendoim!$E70:INDEX(Amendoim!$E70:$Z70,MIN(AB$6-$E$3,22))),0))-IF($G$2,0,IF((AB$6-$G$3)&lt;1,0,IFERROR(LOOKUP(2,1/(Amendoim!$E70:INDEX(Amendoim!$E70:$Z70,MIN(AB$6-$G$3,22))&lt;&gt;""),Amendoim!$E70:INDEX(Amendoim!$E70:$Z70,MIN(AB$6-$G$3,22))),0)))))</f>
        <v>0</v>
      </c>
      <c r="AC72" s="27" t="n">
        <f aca="false">IF(COUNT(Amendoim!$E70:$Z70)=0,0,MAX(0,IF((AC$6-$E$3)&lt;1,0,IFERROR(LOOKUP(2,1/(Amendoim!$E70:INDEX(Amendoim!$E70:$Z70,MIN(AC$6-$E$3,22))&lt;&gt;""),Amendoim!$E70:INDEX(Amendoim!$E70:$Z70,MIN(AC$6-$E$3,22))),0))-IF($G$2,0,IF((AC$6-$G$3)&lt;1,0,IFERROR(LOOKUP(2,1/(Amendoim!$E70:INDEX(Amendoim!$E70:$Z70,MIN(AC$6-$G$3,22))&lt;&gt;""),Amendoim!$E70:INDEX(Amendoim!$E70:$Z70,MIN(AC$6-$G$3,22))),0)))))</f>
        <v>0</v>
      </c>
      <c r="AD72" s="27" t="n">
        <f aca="false">IF(COUNT(Amendoim!$E70:$Z70)=0,0,MAX(0,IF((AD$6-$E$3)&lt;1,0,IFERROR(LOOKUP(2,1/(Amendoim!$E70:INDEX(Amendoim!$E70:$Z70,MIN(AD$6-$E$3,22))&lt;&gt;""),Amendoim!$E70:INDEX(Amendoim!$E70:$Z70,MIN(AD$6-$E$3,22))),0))-IF($G$2,0,IF((AD$6-$G$3)&lt;1,0,IFERROR(LOOKUP(2,1/(Amendoim!$E70:INDEX(Amendoim!$E70:$Z70,MIN(AD$6-$G$3,22))&lt;&gt;""),Amendoim!$E70:INDEX(Amendoim!$E70:$Z70,MIN(AD$6-$G$3,22))),0)))))</f>
        <v>0</v>
      </c>
      <c r="AE72" s="27" t="n">
        <f aca="false">IF(COUNT(Amendoim!$E70:$Z70)=0,0,MAX(0,IF((AE$6-$E$3)&lt;1,0,IFERROR(LOOKUP(2,1/(Amendoim!$E70:INDEX(Amendoim!$E70:$Z70,MIN(AE$6-$E$3,22))&lt;&gt;""),Amendoim!$E70:INDEX(Amendoim!$E70:$Z70,MIN(AE$6-$E$3,22))),0))-IF($G$2,0,IF((AE$6-$G$3)&lt;1,0,IFERROR(LOOKUP(2,1/(Amendoim!$E70:INDEX(Amendoim!$E70:$Z70,MIN(AE$6-$G$3,22))&lt;&gt;""),Amendoim!$E70:INDEX(Amendoim!$E70:$Z70,MIN(AE$6-$G$3,22))),0)))))</f>
        <v>0</v>
      </c>
      <c r="AF72" s="27" t="n">
        <f aca="false">IF(COUNT(Amendoim!$E70:$Z70)=0,0,MAX(0,IF((AF$6-$E$3)&lt;1,0,IFERROR(LOOKUP(2,1/(Amendoim!$E70:INDEX(Amendoim!$E70:$Z70,MIN(AF$6-$E$3,22))&lt;&gt;""),Amendoim!$E70:INDEX(Amendoim!$E70:$Z70,MIN(AF$6-$E$3,22))),0))-IF($G$2,0,IF((AF$6-$G$3)&lt;1,0,IFERROR(LOOKUP(2,1/(Amendoim!$E70:INDEX(Amendoim!$E70:$Z70,MIN(AF$6-$G$3,22))&lt;&gt;""),Amendoim!$E70:INDEX(Amendoim!$E70:$Z70,MIN(AF$6-$G$3,22))),0)))))</f>
        <v>0</v>
      </c>
      <c r="AG72" s="27" t="n">
        <f aca="false">IF(COUNT(Amendoim!$E70:$Z70)=0,0,MAX(0,IF((AG$6-$E$3)&lt;1,0,IFERROR(LOOKUP(2,1/(Amendoim!$E70:INDEX(Amendoim!$E70:$Z70,MIN(AG$6-$E$3,22))&lt;&gt;""),Amendoim!$E70:INDEX(Amendoim!$E70:$Z70,MIN(AG$6-$E$3,22))),0))-IF($G$2,0,IF((AG$6-$G$3)&lt;1,0,IFERROR(LOOKUP(2,1/(Amendoim!$E70:INDEX(Amendoim!$E70:$Z70,MIN(AG$6-$G$3,22))&lt;&gt;""),Amendoim!$E70:INDEX(Amendoim!$E70:$Z70,MIN(AG$6-$G$3,22))),0)))))</f>
        <v>0</v>
      </c>
      <c r="AH72" s="27" t="n">
        <f aca="false">IF(COUNT(Amendoim!$E70:$Z70)=0,0,MAX(0,IF((AH$6-$E$3)&lt;1,0,IFERROR(LOOKUP(2,1/(Amendoim!$E70:INDEX(Amendoim!$E70:$Z70,MIN(AH$6-$E$3,22))&lt;&gt;""),Amendoim!$E70:INDEX(Amendoim!$E70:$Z70,MIN(AH$6-$E$3,22))),0))-IF($G$2,0,IF((AH$6-$G$3)&lt;1,0,IFERROR(LOOKUP(2,1/(Amendoim!$E70:INDEX(Amendoim!$E70:$Z70,MIN(AH$6-$G$3,22))&lt;&gt;""),Amendoim!$E70:INDEX(Amendoim!$E70:$Z70,MIN(AH$6-$G$3,22))),0)))))</f>
        <v>0</v>
      </c>
      <c r="AI72" s="27" t="n">
        <f aca="false">IF(COUNT(Amendoim!$E70:$Z70)=0,0,MAX(0,IF((AI$6-$E$3)&lt;1,0,IFERROR(LOOKUP(2,1/(Amendoim!$E70:INDEX(Amendoim!$E70:$Z70,MIN(AI$6-$E$3,22))&lt;&gt;""),Amendoim!$E70:INDEX(Amendoim!$E70:$Z70,MIN(AI$6-$E$3,22))),0))-IF($G$2,0,IF((AI$6-$G$3)&lt;1,0,IFERROR(LOOKUP(2,1/(Amendoim!$E70:INDEX(Amendoim!$E70:$Z70,MIN(AI$6-$G$3,22))&lt;&gt;""),Amendoim!$E70:INDEX(Amendoim!$E70:$Z70,MIN(AI$6-$G$3,22))),0)))))</f>
        <v>0</v>
      </c>
      <c r="AJ72" s="27" t="n">
        <f aca="false">IF(COUNT(Amendoim!$E70:$Z70)=0,0,MAX(0,IF((AJ$6-$E$3)&lt;1,0,IFERROR(LOOKUP(2,1/(Amendoim!$E70:INDEX(Amendoim!$E70:$Z70,MIN(AJ$6-$E$3,22))&lt;&gt;""),Amendoim!$E70:INDEX(Amendoim!$E70:$Z70,MIN(AJ$6-$E$3,22))),0))-IF($G$2,0,IF((AJ$6-$G$3)&lt;1,0,IFERROR(LOOKUP(2,1/(Amendoim!$E70:INDEX(Amendoim!$E70:$Z70,MIN(AJ$6-$G$3,22))&lt;&gt;""),Amendoim!$E70:INDEX(Amendoim!$E70:$Z70,MIN(AJ$6-$G$3,22))),0)))))</f>
        <v>0</v>
      </c>
      <c r="AK72" s="27" t="n">
        <f aca="false">IF(COUNT(Amendoim!$E70:$Z70)=0,0,MAX(0,IF((AK$6-$E$3)&lt;1,0,IFERROR(LOOKUP(2,1/(Amendoim!$E70:INDEX(Amendoim!$E70:$Z70,MIN(AK$6-$E$3,22))&lt;&gt;""),Amendoim!$E70:INDEX(Amendoim!$E70:$Z70,MIN(AK$6-$E$3,22))),0))-IF($G$2,0,IF((AK$6-$G$3)&lt;1,0,IFERROR(LOOKUP(2,1/(Amendoim!$E70:INDEX(Amendoim!$E70:$Z70,MIN(AK$6-$G$3,22))&lt;&gt;""),Amendoim!$E70:INDEX(Amendoim!$E70:$Z70,MIN(AK$6-$G$3,22))),0)))))</f>
        <v>0</v>
      </c>
      <c r="AL72" s="27" t="n">
        <f aca="false">IF(COUNT(Amendoim!$E70:$Z70)=0,0,MAX(0,IF((AL$6-$E$3)&lt;1,0,IFERROR(LOOKUP(2,1/(Amendoim!$E70:INDEX(Amendoim!$E70:$Z70,MIN(AL$6-$E$3,22))&lt;&gt;""),Amendoim!$E70:INDEX(Amendoim!$E70:$Z70,MIN(AL$6-$E$3,22))),0))-IF($G$2,0,IF((AL$6-$G$3)&lt;1,0,IFERROR(LOOKUP(2,1/(Amendoim!$E70:INDEX(Amendoim!$E70:$Z70,MIN(AL$6-$G$3,22))&lt;&gt;""),Amendoim!$E70:INDEX(Amendoim!$E70:$Z70,MIN(AL$6-$G$3,22))),0)))))</f>
        <v>0</v>
      </c>
      <c r="AM72" s="27" t="n">
        <f aca="false">IF(COUNT(Amendoim!$E70:$Z70)=0,0,MAX(0,IF((AM$6-$E$3)&lt;1,0,IFERROR(LOOKUP(2,1/(Amendoim!$E70:INDEX(Amendoim!$E70:$Z70,MIN(AM$6-$E$3,22))&lt;&gt;""),Amendoim!$E70:INDEX(Amendoim!$E70:$Z70,MIN(AM$6-$E$3,22))),0))-IF($G$2,0,IF((AM$6-$G$3)&lt;1,0,IFERROR(LOOKUP(2,1/(Amendoim!$E70:INDEX(Amendoim!$E70:$Z70,MIN(AM$6-$G$3,22))&lt;&gt;""),Amendoim!$E70:INDEX(Amendoim!$E70:$Z70,MIN(AM$6-$G$3,22))),0)))))</f>
        <v>0</v>
      </c>
      <c r="AN72" s="27" t="n">
        <f aca="false">IF(COUNT(Amendoim!$E70:$Z70)=0,0,MAX(0,IF((AN$6-$E$3)&lt;1,0,IFERROR(LOOKUP(2,1/(Amendoim!$E70:INDEX(Amendoim!$E70:$Z70,MIN(AN$6-$E$3,22))&lt;&gt;""),Amendoim!$E70:INDEX(Amendoim!$E70:$Z70,MIN(AN$6-$E$3,22))),0))-IF($G$2,0,IF((AN$6-$G$3)&lt;1,0,IFERROR(LOOKUP(2,1/(Amendoim!$E70:INDEX(Amendoim!$E70:$Z70,MIN(AN$6-$G$3,22))&lt;&gt;""),Amendoim!$E70:INDEX(Amendoim!$E70:$Z70,MIN(AN$6-$G$3,22))),0)))))</f>
        <v>0</v>
      </c>
      <c r="AO72" s="27" t="n">
        <f aca="false">IF(COUNT(Amendoim!$E70:$Z70)=0,0,MAX(0,IF((AO$6-$E$3)&lt;1,0,IFERROR(LOOKUP(2,1/(Amendoim!$E70:INDEX(Amendoim!$E70:$Z70,MIN(AO$6-$E$3,22))&lt;&gt;""),Amendoim!$E70:INDEX(Amendoim!$E70:$Z70,MIN(AO$6-$E$3,22))),0))-IF($G$2,0,IF((AO$6-$G$3)&lt;1,0,IFERROR(LOOKUP(2,1/(Amendoim!$E70:INDEX(Amendoim!$E70:$Z70,MIN(AO$6-$G$3,22))&lt;&gt;""),Amendoim!$E70:INDEX(Amendoim!$E70:$Z70,MIN(AO$6-$G$3,22))),0)))))</f>
        <v>0</v>
      </c>
      <c r="AP72" s="27" t="n">
        <f aca="false">IF(COUNT(Amendoim!$E70:$Z70)=0,0,MAX(0,IF((AP$6-$E$3)&lt;1,0,IFERROR(LOOKUP(2,1/(Amendoim!$E70:INDEX(Amendoim!$E70:$Z70,MIN(AP$6-$E$3,22))&lt;&gt;""),Amendoim!$E70:INDEX(Amendoim!$E70:$Z70,MIN(AP$6-$E$3,22))),0))-IF($G$2,0,IF((AP$6-$G$3)&lt;1,0,IFERROR(LOOKUP(2,1/(Amendoim!$E70:INDEX(Amendoim!$E70:$Z70,MIN(AP$6-$G$3,22))&lt;&gt;""),Amendoim!$E70:INDEX(Amendoim!$E70:$Z70,MIN(AP$6-$G$3,22))),0)))))</f>
        <v>0</v>
      </c>
      <c r="AQ72" s="27" t="n">
        <f aca="false">IF(COUNT(Amendoim!$E70:$Z70)=0,0,MAX(0,IF((AQ$6-$E$3)&lt;1,0,IFERROR(LOOKUP(2,1/(Amendoim!$E70:INDEX(Amendoim!$E70:$Z70,MIN(AQ$6-$E$3,22))&lt;&gt;""),Amendoim!$E70:INDEX(Amendoim!$E70:$Z70,MIN(AQ$6-$E$3,22))),0))-IF($G$2,0,IF((AQ$6-$G$3)&lt;1,0,IFERROR(LOOKUP(2,1/(Amendoim!$E70:INDEX(Amendoim!$E70:$Z70,MIN(AQ$6-$G$3,22))&lt;&gt;""),Amendoim!$E70:INDEX(Amendoim!$E70:$Z70,MIN(AQ$6-$G$3,22))),0)))))</f>
        <v>0</v>
      </c>
      <c r="AR72" s="27" t="n">
        <f aca="false">IF(COUNT(Amendoim!$E70:$Z70)=0,0,MAX(0,IF((AR$6-$E$3)&lt;1,0,IFERROR(LOOKUP(2,1/(Amendoim!$E70:INDEX(Amendoim!$E70:$Z70,MIN(AR$6-$E$3,22))&lt;&gt;""),Amendoim!$E70:INDEX(Amendoim!$E70:$Z70,MIN(AR$6-$E$3,22))),0))-IF($G$2,0,IF((AR$6-$G$3)&lt;1,0,IFERROR(LOOKUP(2,1/(Amendoim!$E70:INDEX(Amendoim!$E70:$Z70,MIN(AR$6-$G$3,22))&lt;&gt;""),Amendoim!$E70:INDEX(Amendoim!$E70:$Z70,MIN(AR$6-$G$3,22))),0)))))</f>
        <v>0</v>
      </c>
      <c r="AS72" s="27" t="n">
        <f aca="false">IF(COUNT(Amendoim!$E70:$Z70)=0,0,MAX(0,IF((AS$6-$E$3)&lt;1,0,IFERROR(LOOKUP(2,1/(Amendoim!$E70:INDEX(Amendoim!$E70:$Z70,MIN(AS$6-$E$3,22))&lt;&gt;""),Amendoim!$E70:INDEX(Amendoim!$E70:$Z70,MIN(AS$6-$E$3,22))),0))-IF($G$2,0,IF((AS$6-$G$3)&lt;1,0,IFERROR(LOOKUP(2,1/(Amendoim!$E70:INDEX(Amendoim!$E70:$Z70,MIN(AS$6-$G$3,22))&lt;&gt;""),Amendoim!$E70:INDEX(Amendoim!$E70:$Z70,MIN(AS$6-$G$3,22))),0)))))</f>
        <v>0</v>
      </c>
      <c r="AT72" s="27" t="n">
        <f aca="false">IF(COUNT(Amendoim!$E70:$Z70)=0,0,MAX(0,IF((AT$6-$E$3)&lt;1,0,IFERROR(LOOKUP(2,1/(Amendoim!$E70:INDEX(Amendoim!$E70:$Z70,MIN(AT$6-$E$3,22))&lt;&gt;""),Amendoim!$E70:INDEX(Amendoim!$E70:$Z70,MIN(AT$6-$E$3,22))),0))-IF($G$2,0,IF((AT$6-$G$3)&lt;1,0,IFERROR(LOOKUP(2,1/(Amendoim!$E70:INDEX(Amendoim!$E70:$Z70,MIN(AT$6-$G$3,22))&lt;&gt;""),Amendoim!$E70:INDEX(Amendoim!$E70:$Z70,MIN(AT$6-$G$3,22))),0)))))</f>
        <v>0</v>
      </c>
      <c r="AU72" s="27" t="n">
        <f aca="false">IF(COUNT(Amendoim!$E70:$Z70)=0,0,MAX(0,IF((AU$6-$E$3)&lt;1,0,IFERROR(LOOKUP(2,1/(Amendoim!$E70:INDEX(Amendoim!$E70:$Z70,MIN(AU$6-$E$3,22))&lt;&gt;""),Amendoim!$E70:INDEX(Amendoim!$E70:$Z70,MIN(AU$6-$E$3,22))),0))-IF($G$2,0,IF((AU$6-$G$3)&lt;1,0,IFERROR(LOOKUP(2,1/(Amendoim!$E70:INDEX(Amendoim!$E70:$Z70,MIN(AU$6-$G$3,22))&lt;&gt;""),Amendoim!$E70:INDEX(Amendoim!$E70:$Z70,MIN(AU$6-$G$3,22))),0)))))</f>
        <v>0</v>
      </c>
      <c r="AV72" s="27" t="n">
        <f aca="false">IF(COUNT(Amendoim!$E70:$Z70)=0,0,MAX(0,IF((AV$6-$E$3)&lt;1,0,IFERROR(LOOKUP(2,1/(Amendoim!$E70:INDEX(Amendoim!$E70:$Z70,MIN(AV$6-$E$3,22))&lt;&gt;""),Amendoim!$E70:INDEX(Amendoim!$E70:$Z70,MIN(AV$6-$E$3,22))),0))-IF($G$2,0,IF((AV$6-$G$3)&lt;1,0,IFERROR(LOOKUP(2,1/(Amendoim!$E70:INDEX(Amendoim!$E70:$Z70,MIN(AV$6-$G$3,22))&lt;&gt;""),Amendoim!$E70:INDEX(Amendoim!$E70:$Z70,MIN(AV$6-$G$3,22))),0)))))</f>
        <v>0</v>
      </c>
      <c r="AW72" s="27" t="n">
        <f aca="false">IF(COUNT(Amendoim!$E70:$Z70)=0,0,MAX(0,IF((AW$6-$E$3)&lt;1,0,IFERROR(LOOKUP(2,1/(Amendoim!$E70:INDEX(Amendoim!$E70:$Z70,MIN(AW$6-$E$3,22))&lt;&gt;""),Amendoim!$E70:INDEX(Amendoim!$E70:$Z70,MIN(AW$6-$E$3,22))),0))-IF($G$2,0,IF((AW$6-$G$3)&lt;1,0,IFERROR(LOOKUP(2,1/(Amendoim!$E70:INDEX(Amendoim!$E70:$Z70,MIN(AW$6-$G$3,22))&lt;&gt;""),Amendoim!$E70:INDEX(Amendoim!$E70:$Z70,MIN(AW$6-$G$3,22))),0)))))</f>
        <v>0</v>
      </c>
      <c r="AX72" s="27" t="n">
        <f aca="false">IF(COUNT(Amendoim!$E70:$Z70)=0,0,MAX(0,IF((AX$6-$E$3)&lt;1,0,IFERROR(LOOKUP(2,1/(Amendoim!$E70:INDEX(Amendoim!$E70:$Z70,MIN(AX$6-$E$3,22))&lt;&gt;""),Amendoim!$E70:INDEX(Amendoim!$E70:$Z70,MIN(AX$6-$E$3,22))),0))-IF($G$2,0,IF((AX$6-$G$3)&lt;1,0,IFERROR(LOOKUP(2,1/(Amendoim!$E70:INDEX(Amendoim!$E70:$Z70,MIN(AX$6-$G$3,22))&lt;&gt;""),Amendoim!$E70:INDEX(Amendoim!$E70:$Z70,MIN(AX$6-$G$3,22))),0)))))</f>
        <v>0</v>
      </c>
      <c r="AY72" s="27" t="n">
        <f aca="false">IF(COUNT(Amendoim!$E70:$Z70)=0,0,MAX(0,IF((AY$6-$E$3)&lt;1,0,IFERROR(LOOKUP(2,1/(Amendoim!$E70:INDEX(Amendoim!$E70:$Z70,MIN(AY$6-$E$3,22))&lt;&gt;""),Amendoim!$E70:INDEX(Amendoim!$E70:$Z70,MIN(AY$6-$E$3,22))),0))-IF($G$2,0,IF((AY$6-$G$3)&lt;1,0,IFERROR(LOOKUP(2,1/(Amendoim!$E70:INDEX(Amendoim!$E70:$Z70,MIN(AY$6-$G$3,22))&lt;&gt;""),Amendoim!$E70:INDEX(Amendoim!$E70:$Z70,MIN(AY$6-$G$3,22))),0)))))</f>
        <v>0</v>
      </c>
      <c r="AZ72" s="27" t="n">
        <f aca="false">IF(COUNT(Amendoim!$E70:$Z70)=0,0,MAX(0,IF((AZ$6-$E$3)&lt;1,0,IFERROR(LOOKUP(2,1/(Amendoim!$E70:INDEX(Amendoim!$E70:$Z70,MIN(AZ$6-$E$3,22))&lt;&gt;""),Amendoim!$E70:INDEX(Amendoim!$E70:$Z70,MIN(AZ$6-$E$3,22))),0))-IF($G$2,0,IF((AZ$6-$G$3)&lt;1,0,IFERROR(LOOKUP(2,1/(Amendoim!$E70:INDEX(Amendoim!$E70:$Z70,MIN(AZ$6-$G$3,22))&lt;&gt;""),Amendoim!$E70:INDEX(Amendoim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IF(COUNT(Amendoim!$E71:$Z71)&gt;0,N(Amendoim!$D71),0)</f>
        <v>0</v>
      </c>
      <c r="E73" s="27" t="n">
        <f aca="false">IF(COUNT(Amendoim!$E71:$Z71)=0,0,MAX(0,IF((E$6-$E$3)&lt;1,0,IFERROR(LOOKUP(2,1/(Amendoim!$E71:INDEX(Amendoim!$E71:$Z71,MIN(E$6-$E$3,22))&lt;&gt;""),Amendoim!$E71:INDEX(Amendoim!$E71:$Z71,MIN(E$6-$E$3,22))),0))-IF($G$2,0,IF((E$6-$G$3)&lt;1,0,IFERROR(LOOKUP(2,1/(Amendoim!$E71:INDEX(Amendoim!$E71:$Z71,MIN(E$6-$G$3,22))&lt;&gt;""),Amendoim!$E71:INDEX(Amendoim!$E71:$Z71,MIN(E$6-$G$3,22))),0)))))</f>
        <v>0</v>
      </c>
      <c r="F73" s="27" t="n">
        <f aca="false">IF(COUNT(Amendoim!$E71:$Z71)=0,0,MAX(0,IF((F$6-$E$3)&lt;1,0,IFERROR(LOOKUP(2,1/(Amendoim!$E71:INDEX(Amendoim!$E71:$Z71,MIN(F$6-$E$3,22))&lt;&gt;""),Amendoim!$E71:INDEX(Amendoim!$E71:$Z71,MIN(F$6-$E$3,22))),0))-IF($G$2,0,IF((F$6-$G$3)&lt;1,0,IFERROR(LOOKUP(2,1/(Amendoim!$E71:INDEX(Amendoim!$E71:$Z71,MIN(F$6-$G$3,22))&lt;&gt;""),Amendoim!$E71:INDEX(Amendoim!$E71:$Z71,MIN(F$6-$G$3,22))),0)))))</f>
        <v>0</v>
      </c>
      <c r="G73" s="27" t="n">
        <f aca="false">IF(COUNT(Amendoim!$E71:$Z71)=0,0,MAX(0,IF((G$6-$E$3)&lt;1,0,IFERROR(LOOKUP(2,1/(Amendoim!$E71:INDEX(Amendoim!$E71:$Z71,MIN(G$6-$E$3,22))&lt;&gt;""),Amendoim!$E71:INDEX(Amendoim!$E71:$Z71,MIN(G$6-$E$3,22))),0))-IF($G$2,0,IF((G$6-$G$3)&lt;1,0,IFERROR(LOOKUP(2,1/(Amendoim!$E71:INDEX(Amendoim!$E71:$Z71,MIN(G$6-$G$3,22))&lt;&gt;""),Amendoim!$E71:INDEX(Amendoim!$E71:$Z71,MIN(G$6-$G$3,22))),0)))))</f>
        <v>0</v>
      </c>
      <c r="H73" s="27" t="n">
        <f aca="false">IF(COUNT(Amendoim!$E71:$Z71)=0,0,MAX(0,IF((H$6-$E$3)&lt;1,0,IFERROR(LOOKUP(2,1/(Amendoim!$E71:INDEX(Amendoim!$E71:$Z71,MIN(H$6-$E$3,22))&lt;&gt;""),Amendoim!$E71:INDEX(Amendoim!$E71:$Z71,MIN(H$6-$E$3,22))),0))-IF($G$2,0,IF((H$6-$G$3)&lt;1,0,IFERROR(LOOKUP(2,1/(Amendoim!$E71:INDEX(Amendoim!$E71:$Z71,MIN(H$6-$G$3,22))&lt;&gt;""),Amendoim!$E71:INDEX(Amendoim!$E71:$Z71,MIN(H$6-$G$3,22))),0)))))</f>
        <v>0</v>
      </c>
      <c r="I73" s="27" t="n">
        <f aca="false">IF(COUNT(Amendoim!$E71:$Z71)=0,0,MAX(0,IF((I$6-$E$3)&lt;1,0,IFERROR(LOOKUP(2,1/(Amendoim!$E71:INDEX(Amendoim!$E71:$Z71,MIN(I$6-$E$3,22))&lt;&gt;""),Amendoim!$E71:INDEX(Amendoim!$E71:$Z71,MIN(I$6-$E$3,22))),0))-IF($G$2,0,IF((I$6-$G$3)&lt;1,0,IFERROR(LOOKUP(2,1/(Amendoim!$E71:INDEX(Amendoim!$E71:$Z71,MIN(I$6-$G$3,22))&lt;&gt;""),Amendoim!$E71:INDEX(Amendoim!$E71:$Z71,MIN(I$6-$G$3,22))),0)))))</f>
        <v>0</v>
      </c>
      <c r="J73" s="27" t="n">
        <f aca="false">IF(COUNT(Amendoim!$E71:$Z71)=0,0,MAX(0,IF((J$6-$E$3)&lt;1,0,IFERROR(LOOKUP(2,1/(Amendoim!$E71:INDEX(Amendoim!$E71:$Z71,MIN(J$6-$E$3,22))&lt;&gt;""),Amendoim!$E71:INDEX(Amendoim!$E71:$Z71,MIN(J$6-$E$3,22))),0))-IF($G$2,0,IF((J$6-$G$3)&lt;1,0,IFERROR(LOOKUP(2,1/(Amendoim!$E71:INDEX(Amendoim!$E71:$Z71,MIN(J$6-$G$3,22))&lt;&gt;""),Amendoim!$E71:INDEX(Amendoim!$E71:$Z71,MIN(J$6-$G$3,22))),0)))))</f>
        <v>0</v>
      </c>
      <c r="K73" s="27" t="n">
        <f aca="false">IF(COUNT(Amendoim!$E71:$Z71)=0,0,MAX(0,IF((K$6-$E$3)&lt;1,0,IFERROR(LOOKUP(2,1/(Amendoim!$E71:INDEX(Amendoim!$E71:$Z71,MIN(K$6-$E$3,22))&lt;&gt;""),Amendoim!$E71:INDEX(Amendoim!$E71:$Z71,MIN(K$6-$E$3,22))),0))-IF($G$2,0,IF((K$6-$G$3)&lt;1,0,IFERROR(LOOKUP(2,1/(Amendoim!$E71:INDEX(Amendoim!$E71:$Z71,MIN(K$6-$G$3,22))&lt;&gt;""),Amendoim!$E71:INDEX(Amendoim!$E71:$Z71,MIN(K$6-$G$3,22))),0)))))</f>
        <v>0</v>
      </c>
      <c r="L73" s="27" t="n">
        <f aca="false">IF(COUNT(Amendoim!$E71:$Z71)=0,0,MAX(0,IF((L$6-$E$3)&lt;1,0,IFERROR(LOOKUP(2,1/(Amendoim!$E71:INDEX(Amendoim!$E71:$Z71,MIN(L$6-$E$3,22))&lt;&gt;""),Amendoim!$E71:INDEX(Amendoim!$E71:$Z71,MIN(L$6-$E$3,22))),0))-IF($G$2,0,IF((L$6-$G$3)&lt;1,0,IFERROR(LOOKUP(2,1/(Amendoim!$E71:INDEX(Amendoim!$E71:$Z71,MIN(L$6-$G$3,22))&lt;&gt;""),Amendoim!$E71:INDEX(Amendoim!$E71:$Z71,MIN(L$6-$G$3,22))),0)))))</f>
        <v>0</v>
      </c>
      <c r="M73" s="27" t="n">
        <f aca="false">IF(COUNT(Amendoim!$E71:$Z71)=0,0,MAX(0,IF((M$6-$E$3)&lt;1,0,IFERROR(LOOKUP(2,1/(Amendoim!$E71:INDEX(Amendoim!$E71:$Z71,MIN(M$6-$E$3,22))&lt;&gt;""),Amendoim!$E71:INDEX(Amendoim!$E71:$Z71,MIN(M$6-$E$3,22))),0))-IF($G$2,0,IF((M$6-$G$3)&lt;1,0,IFERROR(LOOKUP(2,1/(Amendoim!$E71:INDEX(Amendoim!$E71:$Z71,MIN(M$6-$G$3,22))&lt;&gt;""),Amendoim!$E71:INDEX(Amendoim!$E71:$Z71,MIN(M$6-$G$3,22))),0)))))</f>
        <v>0</v>
      </c>
      <c r="N73" s="27" t="n">
        <f aca="false">IF(COUNT(Amendoim!$E71:$Z71)=0,0,MAX(0,IF((N$6-$E$3)&lt;1,0,IFERROR(LOOKUP(2,1/(Amendoim!$E71:INDEX(Amendoim!$E71:$Z71,MIN(N$6-$E$3,22))&lt;&gt;""),Amendoim!$E71:INDEX(Amendoim!$E71:$Z71,MIN(N$6-$E$3,22))),0))-IF($G$2,0,IF((N$6-$G$3)&lt;1,0,IFERROR(LOOKUP(2,1/(Amendoim!$E71:INDEX(Amendoim!$E71:$Z71,MIN(N$6-$G$3,22))&lt;&gt;""),Amendoim!$E71:INDEX(Amendoim!$E71:$Z71,MIN(N$6-$G$3,22))),0)))))</f>
        <v>0</v>
      </c>
      <c r="O73" s="27" t="n">
        <f aca="false">IF(COUNT(Amendoim!$E71:$Z71)=0,0,MAX(0,IF((O$6-$E$3)&lt;1,0,IFERROR(LOOKUP(2,1/(Amendoim!$E71:INDEX(Amendoim!$E71:$Z71,MIN(O$6-$E$3,22))&lt;&gt;""),Amendoim!$E71:INDEX(Amendoim!$E71:$Z71,MIN(O$6-$E$3,22))),0))-IF($G$2,0,IF((O$6-$G$3)&lt;1,0,IFERROR(LOOKUP(2,1/(Amendoim!$E71:INDEX(Amendoim!$E71:$Z71,MIN(O$6-$G$3,22))&lt;&gt;""),Amendoim!$E71:INDEX(Amendoim!$E71:$Z71,MIN(O$6-$G$3,22))),0)))))</f>
        <v>0</v>
      </c>
      <c r="P73" s="27" t="n">
        <f aca="false">IF(COUNT(Amendoim!$E71:$Z71)=0,0,MAX(0,IF((P$6-$E$3)&lt;1,0,IFERROR(LOOKUP(2,1/(Amendoim!$E71:INDEX(Amendoim!$E71:$Z71,MIN(P$6-$E$3,22))&lt;&gt;""),Amendoim!$E71:INDEX(Amendoim!$E71:$Z71,MIN(P$6-$E$3,22))),0))-IF($G$2,0,IF((P$6-$G$3)&lt;1,0,IFERROR(LOOKUP(2,1/(Amendoim!$E71:INDEX(Amendoim!$E71:$Z71,MIN(P$6-$G$3,22))&lt;&gt;""),Amendoim!$E71:INDEX(Amendoim!$E71:$Z71,MIN(P$6-$G$3,22))),0)))))</f>
        <v>0</v>
      </c>
      <c r="Q73" s="27" t="n">
        <f aca="false">IF(COUNT(Amendoim!$E71:$Z71)=0,0,MAX(0,IF((Q$6-$E$3)&lt;1,0,IFERROR(LOOKUP(2,1/(Amendoim!$E71:INDEX(Amendoim!$E71:$Z71,MIN(Q$6-$E$3,22))&lt;&gt;""),Amendoim!$E71:INDEX(Amendoim!$E71:$Z71,MIN(Q$6-$E$3,22))),0))-IF($G$2,0,IF((Q$6-$G$3)&lt;1,0,IFERROR(LOOKUP(2,1/(Amendoim!$E71:INDEX(Amendoim!$E71:$Z71,MIN(Q$6-$G$3,22))&lt;&gt;""),Amendoim!$E71:INDEX(Amendoim!$E71:$Z71,MIN(Q$6-$G$3,22))),0)))))</f>
        <v>0</v>
      </c>
      <c r="R73" s="27" t="n">
        <f aca="false">IF(COUNT(Amendoim!$E71:$Z71)=0,0,MAX(0,IF((R$6-$E$3)&lt;1,0,IFERROR(LOOKUP(2,1/(Amendoim!$E71:INDEX(Amendoim!$E71:$Z71,MIN(R$6-$E$3,22))&lt;&gt;""),Amendoim!$E71:INDEX(Amendoim!$E71:$Z71,MIN(R$6-$E$3,22))),0))-IF($G$2,0,IF((R$6-$G$3)&lt;1,0,IFERROR(LOOKUP(2,1/(Amendoim!$E71:INDEX(Amendoim!$E71:$Z71,MIN(R$6-$G$3,22))&lt;&gt;""),Amendoim!$E71:INDEX(Amendoim!$E71:$Z71,MIN(R$6-$G$3,22))),0)))))</f>
        <v>0</v>
      </c>
      <c r="S73" s="27" t="n">
        <f aca="false">IF(COUNT(Amendoim!$E71:$Z71)=0,0,MAX(0,IF((S$6-$E$3)&lt;1,0,IFERROR(LOOKUP(2,1/(Amendoim!$E71:INDEX(Amendoim!$E71:$Z71,MIN(S$6-$E$3,22))&lt;&gt;""),Amendoim!$E71:INDEX(Amendoim!$E71:$Z71,MIN(S$6-$E$3,22))),0))-IF($G$2,0,IF((S$6-$G$3)&lt;1,0,IFERROR(LOOKUP(2,1/(Amendoim!$E71:INDEX(Amendoim!$E71:$Z71,MIN(S$6-$G$3,22))&lt;&gt;""),Amendoim!$E71:INDEX(Amendoim!$E71:$Z71,MIN(S$6-$G$3,22))),0)))))</f>
        <v>0</v>
      </c>
      <c r="T73" s="27" t="n">
        <f aca="false">IF(COUNT(Amendoim!$E71:$Z71)=0,0,MAX(0,IF((T$6-$E$3)&lt;1,0,IFERROR(LOOKUP(2,1/(Amendoim!$E71:INDEX(Amendoim!$E71:$Z71,MIN(T$6-$E$3,22))&lt;&gt;""),Amendoim!$E71:INDEX(Amendoim!$E71:$Z71,MIN(T$6-$E$3,22))),0))-IF($G$2,0,IF((T$6-$G$3)&lt;1,0,IFERROR(LOOKUP(2,1/(Amendoim!$E71:INDEX(Amendoim!$E71:$Z71,MIN(T$6-$G$3,22))&lt;&gt;""),Amendoim!$E71:INDEX(Amendoim!$E71:$Z71,MIN(T$6-$G$3,22))),0)))))</f>
        <v>0</v>
      </c>
      <c r="U73" s="27" t="n">
        <f aca="false">IF(COUNT(Amendoim!$E71:$Z71)=0,0,MAX(0,IF((U$6-$E$3)&lt;1,0,IFERROR(LOOKUP(2,1/(Amendoim!$E71:INDEX(Amendoim!$E71:$Z71,MIN(U$6-$E$3,22))&lt;&gt;""),Amendoim!$E71:INDEX(Amendoim!$E71:$Z71,MIN(U$6-$E$3,22))),0))-IF($G$2,0,IF((U$6-$G$3)&lt;1,0,IFERROR(LOOKUP(2,1/(Amendoim!$E71:INDEX(Amendoim!$E71:$Z71,MIN(U$6-$G$3,22))&lt;&gt;""),Amendoim!$E71:INDEX(Amendoim!$E71:$Z71,MIN(U$6-$G$3,22))),0)))))</f>
        <v>0</v>
      </c>
      <c r="V73" s="27" t="n">
        <f aca="false">IF(COUNT(Amendoim!$E71:$Z71)=0,0,MAX(0,IF((V$6-$E$3)&lt;1,0,IFERROR(LOOKUP(2,1/(Amendoim!$E71:INDEX(Amendoim!$E71:$Z71,MIN(V$6-$E$3,22))&lt;&gt;""),Amendoim!$E71:INDEX(Amendoim!$E71:$Z71,MIN(V$6-$E$3,22))),0))-IF($G$2,0,IF((V$6-$G$3)&lt;1,0,IFERROR(LOOKUP(2,1/(Amendoim!$E71:INDEX(Amendoim!$E71:$Z71,MIN(V$6-$G$3,22))&lt;&gt;""),Amendoim!$E71:INDEX(Amendoim!$E71:$Z71,MIN(V$6-$G$3,22))),0)))))</f>
        <v>0</v>
      </c>
      <c r="W73" s="27" t="n">
        <f aca="false">IF(COUNT(Amendoim!$E71:$Z71)=0,0,MAX(0,IF((W$6-$E$3)&lt;1,0,IFERROR(LOOKUP(2,1/(Amendoim!$E71:INDEX(Amendoim!$E71:$Z71,MIN(W$6-$E$3,22))&lt;&gt;""),Amendoim!$E71:INDEX(Amendoim!$E71:$Z71,MIN(W$6-$E$3,22))),0))-IF($G$2,0,IF((W$6-$G$3)&lt;1,0,IFERROR(LOOKUP(2,1/(Amendoim!$E71:INDEX(Amendoim!$E71:$Z71,MIN(W$6-$G$3,22))&lt;&gt;""),Amendoim!$E71:INDEX(Amendoim!$E71:$Z71,MIN(W$6-$G$3,22))),0)))))</f>
        <v>0</v>
      </c>
      <c r="X73" s="27" t="n">
        <f aca="false">IF(COUNT(Amendoim!$E71:$Z71)=0,0,MAX(0,IF((X$6-$E$3)&lt;1,0,IFERROR(LOOKUP(2,1/(Amendoim!$E71:INDEX(Amendoim!$E71:$Z71,MIN(X$6-$E$3,22))&lt;&gt;""),Amendoim!$E71:INDEX(Amendoim!$E71:$Z71,MIN(X$6-$E$3,22))),0))-IF($G$2,0,IF((X$6-$G$3)&lt;1,0,IFERROR(LOOKUP(2,1/(Amendoim!$E71:INDEX(Amendoim!$E71:$Z71,MIN(X$6-$G$3,22))&lt;&gt;""),Amendoim!$E71:INDEX(Amendoim!$E71:$Z71,MIN(X$6-$G$3,22))),0)))))</f>
        <v>0</v>
      </c>
      <c r="Y73" s="27" t="n">
        <f aca="false">IF(COUNT(Amendoim!$E71:$Z71)=0,0,MAX(0,IF((Y$6-$E$3)&lt;1,0,IFERROR(LOOKUP(2,1/(Amendoim!$E71:INDEX(Amendoim!$E71:$Z71,MIN(Y$6-$E$3,22))&lt;&gt;""),Amendoim!$E71:INDEX(Amendoim!$E71:$Z71,MIN(Y$6-$E$3,22))),0))-IF($G$2,0,IF((Y$6-$G$3)&lt;1,0,IFERROR(LOOKUP(2,1/(Amendoim!$E71:INDEX(Amendoim!$E71:$Z71,MIN(Y$6-$G$3,22))&lt;&gt;""),Amendoim!$E71:INDEX(Amendoim!$E71:$Z71,MIN(Y$6-$G$3,22))),0)))))</f>
        <v>0</v>
      </c>
      <c r="Z73" s="27" t="n">
        <f aca="false">IF(COUNT(Amendoim!$E71:$Z71)=0,0,MAX(0,IF((Z$6-$E$3)&lt;1,0,IFERROR(LOOKUP(2,1/(Amendoim!$E71:INDEX(Amendoim!$E71:$Z71,MIN(Z$6-$E$3,22))&lt;&gt;""),Amendoim!$E71:INDEX(Amendoim!$E71:$Z71,MIN(Z$6-$E$3,22))),0))-IF($G$2,0,IF((Z$6-$G$3)&lt;1,0,IFERROR(LOOKUP(2,1/(Amendoim!$E71:INDEX(Amendoim!$E71:$Z71,MIN(Z$6-$G$3,22))&lt;&gt;""),Amendoim!$E71:INDEX(Amendoim!$E71:$Z71,MIN(Z$6-$G$3,22))),0)))))</f>
        <v>0</v>
      </c>
      <c r="AA73" s="27" t="n">
        <f aca="false">IF(COUNT(Amendoim!$E71:$Z71)=0,0,MAX(0,IF((AA$6-$E$3)&lt;1,0,IFERROR(LOOKUP(2,1/(Amendoim!$E71:INDEX(Amendoim!$E71:$Z71,MIN(AA$6-$E$3,22))&lt;&gt;""),Amendoim!$E71:INDEX(Amendoim!$E71:$Z71,MIN(AA$6-$E$3,22))),0))-IF($G$2,0,IF((AA$6-$G$3)&lt;1,0,IFERROR(LOOKUP(2,1/(Amendoim!$E71:INDEX(Amendoim!$E71:$Z71,MIN(AA$6-$G$3,22))&lt;&gt;""),Amendoim!$E71:INDEX(Amendoim!$E71:$Z71,MIN(AA$6-$G$3,22))),0)))))</f>
        <v>0</v>
      </c>
      <c r="AB73" s="27" t="n">
        <f aca="false">IF(COUNT(Amendoim!$E71:$Z71)=0,0,MAX(0,IF((AB$6-$E$3)&lt;1,0,IFERROR(LOOKUP(2,1/(Amendoim!$E71:INDEX(Amendoim!$E71:$Z71,MIN(AB$6-$E$3,22))&lt;&gt;""),Amendoim!$E71:INDEX(Amendoim!$E71:$Z71,MIN(AB$6-$E$3,22))),0))-IF($G$2,0,IF((AB$6-$G$3)&lt;1,0,IFERROR(LOOKUP(2,1/(Amendoim!$E71:INDEX(Amendoim!$E71:$Z71,MIN(AB$6-$G$3,22))&lt;&gt;""),Amendoim!$E71:INDEX(Amendoim!$E71:$Z71,MIN(AB$6-$G$3,22))),0)))))</f>
        <v>0</v>
      </c>
      <c r="AC73" s="27" t="n">
        <f aca="false">IF(COUNT(Amendoim!$E71:$Z71)=0,0,MAX(0,IF((AC$6-$E$3)&lt;1,0,IFERROR(LOOKUP(2,1/(Amendoim!$E71:INDEX(Amendoim!$E71:$Z71,MIN(AC$6-$E$3,22))&lt;&gt;""),Amendoim!$E71:INDEX(Amendoim!$E71:$Z71,MIN(AC$6-$E$3,22))),0))-IF($G$2,0,IF((AC$6-$G$3)&lt;1,0,IFERROR(LOOKUP(2,1/(Amendoim!$E71:INDEX(Amendoim!$E71:$Z71,MIN(AC$6-$G$3,22))&lt;&gt;""),Amendoim!$E71:INDEX(Amendoim!$E71:$Z71,MIN(AC$6-$G$3,22))),0)))))</f>
        <v>0</v>
      </c>
      <c r="AD73" s="27" t="n">
        <f aca="false">IF(COUNT(Amendoim!$E71:$Z71)=0,0,MAX(0,IF((AD$6-$E$3)&lt;1,0,IFERROR(LOOKUP(2,1/(Amendoim!$E71:INDEX(Amendoim!$E71:$Z71,MIN(AD$6-$E$3,22))&lt;&gt;""),Amendoim!$E71:INDEX(Amendoim!$E71:$Z71,MIN(AD$6-$E$3,22))),0))-IF($G$2,0,IF((AD$6-$G$3)&lt;1,0,IFERROR(LOOKUP(2,1/(Amendoim!$E71:INDEX(Amendoim!$E71:$Z71,MIN(AD$6-$G$3,22))&lt;&gt;""),Amendoim!$E71:INDEX(Amendoim!$E71:$Z71,MIN(AD$6-$G$3,22))),0)))))</f>
        <v>0</v>
      </c>
      <c r="AE73" s="27" t="n">
        <f aca="false">IF(COUNT(Amendoim!$E71:$Z71)=0,0,MAX(0,IF((AE$6-$E$3)&lt;1,0,IFERROR(LOOKUP(2,1/(Amendoim!$E71:INDEX(Amendoim!$E71:$Z71,MIN(AE$6-$E$3,22))&lt;&gt;""),Amendoim!$E71:INDEX(Amendoim!$E71:$Z71,MIN(AE$6-$E$3,22))),0))-IF($G$2,0,IF((AE$6-$G$3)&lt;1,0,IFERROR(LOOKUP(2,1/(Amendoim!$E71:INDEX(Amendoim!$E71:$Z71,MIN(AE$6-$G$3,22))&lt;&gt;""),Amendoim!$E71:INDEX(Amendoim!$E71:$Z71,MIN(AE$6-$G$3,22))),0)))))</f>
        <v>0</v>
      </c>
      <c r="AF73" s="27" t="n">
        <f aca="false">IF(COUNT(Amendoim!$E71:$Z71)=0,0,MAX(0,IF((AF$6-$E$3)&lt;1,0,IFERROR(LOOKUP(2,1/(Amendoim!$E71:INDEX(Amendoim!$E71:$Z71,MIN(AF$6-$E$3,22))&lt;&gt;""),Amendoim!$E71:INDEX(Amendoim!$E71:$Z71,MIN(AF$6-$E$3,22))),0))-IF($G$2,0,IF((AF$6-$G$3)&lt;1,0,IFERROR(LOOKUP(2,1/(Amendoim!$E71:INDEX(Amendoim!$E71:$Z71,MIN(AF$6-$G$3,22))&lt;&gt;""),Amendoim!$E71:INDEX(Amendoim!$E71:$Z71,MIN(AF$6-$G$3,22))),0)))))</f>
        <v>0</v>
      </c>
      <c r="AG73" s="27" t="n">
        <f aca="false">IF(COUNT(Amendoim!$E71:$Z71)=0,0,MAX(0,IF((AG$6-$E$3)&lt;1,0,IFERROR(LOOKUP(2,1/(Amendoim!$E71:INDEX(Amendoim!$E71:$Z71,MIN(AG$6-$E$3,22))&lt;&gt;""),Amendoim!$E71:INDEX(Amendoim!$E71:$Z71,MIN(AG$6-$E$3,22))),0))-IF($G$2,0,IF((AG$6-$G$3)&lt;1,0,IFERROR(LOOKUP(2,1/(Amendoim!$E71:INDEX(Amendoim!$E71:$Z71,MIN(AG$6-$G$3,22))&lt;&gt;""),Amendoim!$E71:INDEX(Amendoim!$E71:$Z71,MIN(AG$6-$G$3,22))),0)))))</f>
        <v>0</v>
      </c>
      <c r="AH73" s="27" t="n">
        <f aca="false">IF(COUNT(Amendoim!$E71:$Z71)=0,0,MAX(0,IF((AH$6-$E$3)&lt;1,0,IFERROR(LOOKUP(2,1/(Amendoim!$E71:INDEX(Amendoim!$E71:$Z71,MIN(AH$6-$E$3,22))&lt;&gt;""),Amendoim!$E71:INDEX(Amendoim!$E71:$Z71,MIN(AH$6-$E$3,22))),0))-IF($G$2,0,IF((AH$6-$G$3)&lt;1,0,IFERROR(LOOKUP(2,1/(Amendoim!$E71:INDEX(Amendoim!$E71:$Z71,MIN(AH$6-$G$3,22))&lt;&gt;""),Amendoim!$E71:INDEX(Amendoim!$E71:$Z71,MIN(AH$6-$G$3,22))),0)))))</f>
        <v>0</v>
      </c>
      <c r="AI73" s="27" t="n">
        <f aca="false">IF(COUNT(Amendoim!$E71:$Z71)=0,0,MAX(0,IF((AI$6-$E$3)&lt;1,0,IFERROR(LOOKUP(2,1/(Amendoim!$E71:INDEX(Amendoim!$E71:$Z71,MIN(AI$6-$E$3,22))&lt;&gt;""),Amendoim!$E71:INDEX(Amendoim!$E71:$Z71,MIN(AI$6-$E$3,22))),0))-IF($G$2,0,IF((AI$6-$G$3)&lt;1,0,IFERROR(LOOKUP(2,1/(Amendoim!$E71:INDEX(Amendoim!$E71:$Z71,MIN(AI$6-$G$3,22))&lt;&gt;""),Amendoim!$E71:INDEX(Amendoim!$E71:$Z71,MIN(AI$6-$G$3,22))),0)))))</f>
        <v>0</v>
      </c>
      <c r="AJ73" s="27" t="n">
        <f aca="false">IF(COUNT(Amendoim!$E71:$Z71)=0,0,MAX(0,IF((AJ$6-$E$3)&lt;1,0,IFERROR(LOOKUP(2,1/(Amendoim!$E71:INDEX(Amendoim!$E71:$Z71,MIN(AJ$6-$E$3,22))&lt;&gt;""),Amendoim!$E71:INDEX(Amendoim!$E71:$Z71,MIN(AJ$6-$E$3,22))),0))-IF($G$2,0,IF((AJ$6-$G$3)&lt;1,0,IFERROR(LOOKUP(2,1/(Amendoim!$E71:INDEX(Amendoim!$E71:$Z71,MIN(AJ$6-$G$3,22))&lt;&gt;""),Amendoim!$E71:INDEX(Amendoim!$E71:$Z71,MIN(AJ$6-$G$3,22))),0)))))</f>
        <v>0</v>
      </c>
      <c r="AK73" s="27" t="n">
        <f aca="false">IF(COUNT(Amendoim!$E71:$Z71)=0,0,MAX(0,IF((AK$6-$E$3)&lt;1,0,IFERROR(LOOKUP(2,1/(Amendoim!$E71:INDEX(Amendoim!$E71:$Z71,MIN(AK$6-$E$3,22))&lt;&gt;""),Amendoim!$E71:INDEX(Amendoim!$E71:$Z71,MIN(AK$6-$E$3,22))),0))-IF($G$2,0,IF((AK$6-$G$3)&lt;1,0,IFERROR(LOOKUP(2,1/(Amendoim!$E71:INDEX(Amendoim!$E71:$Z71,MIN(AK$6-$G$3,22))&lt;&gt;""),Amendoim!$E71:INDEX(Amendoim!$E71:$Z71,MIN(AK$6-$G$3,22))),0)))))</f>
        <v>0</v>
      </c>
      <c r="AL73" s="27" t="n">
        <f aca="false">IF(COUNT(Amendoim!$E71:$Z71)=0,0,MAX(0,IF((AL$6-$E$3)&lt;1,0,IFERROR(LOOKUP(2,1/(Amendoim!$E71:INDEX(Amendoim!$E71:$Z71,MIN(AL$6-$E$3,22))&lt;&gt;""),Amendoim!$E71:INDEX(Amendoim!$E71:$Z71,MIN(AL$6-$E$3,22))),0))-IF($G$2,0,IF((AL$6-$G$3)&lt;1,0,IFERROR(LOOKUP(2,1/(Amendoim!$E71:INDEX(Amendoim!$E71:$Z71,MIN(AL$6-$G$3,22))&lt;&gt;""),Amendoim!$E71:INDEX(Amendoim!$E71:$Z71,MIN(AL$6-$G$3,22))),0)))))</f>
        <v>0</v>
      </c>
      <c r="AM73" s="27" t="n">
        <f aca="false">IF(COUNT(Amendoim!$E71:$Z71)=0,0,MAX(0,IF((AM$6-$E$3)&lt;1,0,IFERROR(LOOKUP(2,1/(Amendoim!$E71:INDEX(Amendoim!$E71:$Z71,MIN(AM$6-$E$3,22))&lt;&gt;""),Amendoim!$E71:INDEX(Amendoim!$E71:$Z71,MIN(AM$6-$E$3,22))),0))-IF($G$2,0,IF((AM$6-$G$3)&lt;1,0,IFERROR(LOOKUP(2,1/(Amendoim!$E71:INDEX(Amendoim!$E71:$Z71,MIN(AM$6-$G$3,22))&lt;&gt;""),Amendoim!$E71:INDEX(Amendoim!$E71:$Z71,MIN(AM$6-$G$3,22))),0)))))</f>
        <v>0</v>
      </c>
      <c r="AN73" s="27" t="n">
        <f aca="false">IF(COUNT(Amendoim!$E71:$Z71)=0,0,MAX(0,IF((AN$6-$E$3)&lt;1,0,IFERROR(LOOKUP(2,1/(Amendoim!$E71:INDEX(Amendoim!$E71:$Z71,MIN(AN$6-$E$3,22))&lt;&gt;""),Amendoim!$E71:INDEX(Amendoim!$E71:$Z71,MIN(AN$6-$E$3,22))),0))-IF($G$2,0,IF((AN$6-$G$3)&lt;1,0,IFERROR(LOOKUP(2,1/(Amendoim!$E71:INDEX(Amendoim!$E71:$Z71,MIN(AN$6-$G$3,22))&lt;&gt;""),Amendoim!$E71:INDEX(Amendoim!$E71:$Z71,MIN(AN$6-$G$3,22))),0)))))</f>
        <v>0</v>
      </c>
      <c r="AO73" s="27" t="n">
        <f aca="false">IF(COUNT(Amendoim!$E71:$Z71)=0,0,MAX(0,IF((AO$6-$E$3)&lt;1,0,IFERROR(LOOKUP(2,1/(Amendoim!$E71:INDEX(Amendoim!$E71:$Z71,MIN(AO$6-$E$3,22))&lt;&gt;""),Amendoim!$E71:INDEX(Amendoim!$E71:$Z71,MIN(AO$6-$E$3,22))),0))-IF($G$2,0,IF((AO$6-$G$3)&lt;1,0,IFERROR(LOOKUP(2,1/(Amendoim!$E71:INDEX(Amendoim!$E71:$Z71,MIN(AO$6-$G$3,22))&lt;&gt;""),Amendoim!$E71:INDEX(Amendoim!$E71:$Z71,MIN(AO$6-$G$3,22))),0)))))</f>
        <v>0</v>
      </c>
      <c r="AP73" s="27" t="n">
        <f aca="false">IF(COUNT(Amendoim!$E71:$Z71)=0,0,MAX(0,IF((AP$6-$E$3)&lt;1,0,IFERROR(LOOKUP(2,1/(Amendoim!$E71:INDEX(Amendoim!$E71:$Z71,MIN(AP$6-$E$3,22))&lt;&gt;""),Amendoim!$E71:INDEX(Amendoim!$E71:$Z71,MIN(AP$6-$E$3,22))),0))-IF($G$2,0,IF((AP$6-$G$3)&lt;1,0,IFERROR(LOOKUP(2,1/(Amendoim!$E71:INDEX(Amendoim!$E71:$Z71,MIN(AP$6-$G$3,22))&lt;&gt;""),Amendoim!$E71:INDEX(Amendoim!$E71:$Z71,MIN(AP$6-$G$3,22))),0)))))</f>
        <v>0</v>
      </c>
      <c r="AQ73" s="27" t="n">
        <f aca="false">IF(COUNT(Amendoim!$E71:$Z71)=0,0,MAX(0,IF((AQ$6-$E$3)&lt;1,0,IFERROR(LOOKUP(2,1/(Amendoim!$E71:INDEX(Amendoim!$E71:$Z71,MIN(AQ$6-$E$3,22))&lt;&gt;""),Amendoim!$E71:INDEX(Amendoim!$E71:$Z71,MIN(AQ$6-$E$3,22))),0))-IF($G$2,0,IF((AQ$6-$G$3)&lt;1,0,IFERROR(LOOKUP(2,1/(Amendoim!$E71:INDEX(Amendoim!$E71:$Z71,MIN(AQ$6-$G$3,22))&lt;&gt;""),Amendoim!$E71:INDEX(Amendoim!$E71:$Z71,MIN(AQ$6-$G$3,22))),0)))))</f>
        <v>0</v>
      </c>
      <c r="AR73" s="27" t="n">
        <f aca="false">IF(COUNT(Amendoim!$E71:$Z71)=0,0,MAX(0,IF((AR$6-$E$3)&lt;1,0,IFERROR(LOOKUP(2,1/(Amendoim!$E71:INDEX(Amendoim!$E71:$Z71,MIN(AR$6-$E$3,22))&lt;&gt;""),Amendoim!$E71:INDEX(Amendoim!$E71:$Z71,MIN(AR$6-$E$3,22))),0))-IF($G$2,0,IF((AR$6-$G$3)&lt;1,0,IFERROR(LOOKUP(2,1/(Amendoim!$E71:INDEX(Amendoim!$E71:$Z71,MIN(AR$6-$G$3,22))&lt;&gt;""),Amendoim!$E71:INDEX(Amendoim!$E71:$Z71,MIN(AR$6-$G$3,22))),0)))))</f>
        <v>0</v>
      </c>
      <c r="AS73" s="27" t="n">
        <f aca="false">IF(COUNT(Amendoim!$E71:$Z71)=0,0,MAX(0,IF((AS$6-$E$3)&lt;1,0,IFERROR(LOOKUP(2,1/(Amendoim!$E71:INDEX(Amendoim!$E71:$Z71,MIN(AS$6-$E$3,22))&lt;&gt;""),Amendoim!$E71:INDEX(Amendoim!$E71:$Z71,MIN(AS$6-$E$3,22))),0))-IF($G$2,0,IF((AS$6-$G$3)&lt;1,0,IFERROR(LOOKUP(2,1/(Amendoim!$E71:INDEX(Amendoim!$E71:$Z71,MIN(AS$6-$G$3,22))&lt;&gt;""),Amendoim!$E71:INDEX(Amendoim!$E71:$Z71,MIN(AS$6-$G$3,22))),0)))))</f>
        <v>0</v>
      </c>
      <c r="AT73" s="27" t="n">
        <f aca="false">IF(COUNT(Amendoim!$E71:$Z71)=0,0,MAX(0,IF((AT$6-$E$3)&lt;1,0,IFERROR(LOOKUP(2,1/(Amendoim!$E71:INDEX(Amendoim!$E71:$Z71,MIN(AT$6-$E$3,22))&lt;&gt;""),Amendoim!$E71:INDEX(Amendoim!$E71:$Z71,MIN(AT$6-$E$3,22))),0))-IF($G$2,0,IF((AT$6-$G$3)&lt;1,0,IFERROR(LOOKUP(2,1/(Amendoim!$E71:INDEX(Amendoim!$E71:$Z71,MIN(AT$6-$G$3,22))&lt;&gt;""),Amendoim!$E71:INDEX(Amendoim!$E71:$Z71,MIN(AT$6-$G$3,22))),0)))))</f>
        <v>0</v>
      </c>
      <c r="AU73" s="27" t="n">
        <f aca="false">IF(COUNT(Amendoim!$E71:$Z71)=0,0,MAX(0,IF((AU$6-$E$3)&lt;1,0,IFERROR(LOOKUP(2,1/(Amendoim!$E71:INDEX(Amendoim!$E71:$Z71,MIN(AU$6-$E$3,22))&lt;&gt;""),Amendoim!$E71:INDEX(Amendoim!$E71:$Z71,MIN(AU$6-$E$3,22))),0))-IF($G$2,0,IF((AU$6-$G$3)&lt;1,0,IFERROR(LOOKUP(2,1/(Amendoim!$E71:INDEX(Amendoim!$E71:$Z71,MIN(AU$6-$G$3,22))&lt;&gt;""),Amendoim!$E71:INDEX(Amendoim!$E71:$Z71,MIN(AU$6-$G$3,22))),0)))))</f>
        <v>0</v>
      </c>
      <c r="AV73" s="27" t="n">
        <f aca="false">IF(COUNT(Amendoim!$E71:$Z71)=0,0,MAX(0,IF((AV$6-$E$3)&lt;1,0,IFERROR(LOOKUP(2,1/(Amendoim!$E71:INDEX(Amendoim!$E71:$Z71,MIN(AV$6-$E$3,22))&lt;&gt;""),Amendoim!$E71:INDEX(Amendoim!$E71:$Z71,MIN(AV$6-$E$3,22))),0))-IF($G$2,0,IF((AV$6-$G$3)&lt;1,0,IFERROR(LOOKUP(2,1/(Amendoim!$E71:INDEX(Amendoim!$E71:$Z71,MIN(AV$6-$G$3,22))&lt;&gt;""),Amendoim!$E71:INDEX(Amendoim!$E71:$Z71,MIN(AV$6-$G$3,22))),0)))))</f>
        <v>0</v>
      </c>
      <c r="AW73" s="27" t="n">
        <f aca="false">IF(COUNT(Amendoim!$E71:$Z71)=0,0,MAX(0,IF((AW$6-$E$3)&lt;1,0,IFERROR(LOOKUP(2,1/(Amendoim!$E71:INDEX(Amendoim!$E71:$Z71,MIN(AW$6-$E$3,22))&lt;&gt;""),Amendoim!$E71:INDEX(Amendoim!$E71:$Z71,MIN(AW$6-$E$3,22))),0))-IF($G$2,0,IF((AW$6-$G$3)&lt;1,0,IFERROR(LOOKUP(2,1/(Amendoim!$E71:INDEX(Amendoim!$E71:$Z71,MIN(AW$6-$G$3,22))&lt;&gt;""),Amendoim!$E71:INDEX(Amendoim!$E71:$Z71,MIN(AW$6-$G$3,22))),0)))))</f>
        <v>0</v>
      </c>
      <c r="AX73" s="27" t="n">
        <f aca="false">IF(COUNT(Amendoim!$E71:$Z71)=0,0,MAX(0,IF((AX$6-$E$3)&lt;1,0,IFERROR(LOOKUP(2,1/(Amendoim!$E71:INDEX(Amendoim!$E71:$Z71,MIN(AX$6-$E$3,22))&lt;&gt;""),Amendoim!$E71:INDEX(Amendoim!$E71:$Z71,MIN(AX$6-$E$3,22))),0))-IF($G$2,0,IF((AX$6-$G$3)&lt;1,0,IFERROR(LOOKUP(2,1/(Amendoim!$E71:INDEX(Amendoim!$E71:$Z71,MIN(AX$6-$G$3,22))&lt;&gt;""),Amendoim!$E71:INDEX(Amendoim!$E71:$Z71,MIN(AX$6-$G$3,22))),0)))))</f>
        <v>0</v>
      </c>
      <c r="AY73" s="27" t="n">
        <f aca="false">IF(COUNT(Amendoim!$E71:$Z71)=0,0,MAX(0,IF((AY$6-$E$3)&lt;1,0,IFERROR(LOOKUP(2,1/(Amendoim!$E71:INDEX(Amendoim!$E71:$Z71,MIN(AY$6-$E$3,22))&lt;&gt;""),Amendoim!$E71:INDEX(Amendoim!$E71:$Z71,MIN(AY$6-$E$3,22))),0))-IF($G$2,0,IF((AY$6-$G$3)&lt;1,0,IFERROR(LOOKUP(2,1/(Amendoim!$E71:INDEX(Amendoim!$E71:$Z71,MIN(AY$6-$G$3,22))&lt;&gt;""),Amendoim!$E71:INDEX(Amendoim!$E71:$Z71,MIN(AY$6-$G$3,22))),0)))))</f>
        <v>0</v>
      </c>
      <c r="AZ73" s="27" t="n">
        <f aca="false">IF(COUNT(Amendoim!$E71:$Z71)=0,0,MAX(0,IF((AZ$6-$E$3)&lt;1,0,IFERROR(LOOKUP(2,1/(Amendoim!$E71:INDEX(Amendoim!$E71:$Z71,MIN(AZ$6-$E$3,22))&lt;&gt;""),Amendoim!$E71:INDEX(Amendoim!$E71:$Z71,MIN(AZ$6-$E$3,22))),0))-IF($G$2,0,IF((AZ$6-$G$3)&lt;1,0,IFERROR(LOOKUP(2,1/(Amendoim!$E71:INDEX(Amendoim!$E71:$Z71,MIN(AZ$6-$G$3,22))&lt;&gt;""),Amendoim!$E71:INDEX(Amendoim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IF(COUNT(Amendoim!$E72:$Z72)&gt;0,N(Amendoim!$D72),0)</f>
        <v>0</v>
      </c>
      <c r="E74" s="27" t="n">
        <f aca="false">IF(COUNT(Amendoim!$E72:$Z72)=0,0,MAX(0,IF((E$6-$E$3)&lt;1,0,IFERROR(LOOKUP(2,1/(Amendoim!$E72:INDEX(Amendoim!$E72:$Z72,MIN(E$6-$E$3,22))&lt;&gt;""),Amendoim!$E72:INDEX(Amendoim!$E72:$Z72,MIN(E$6-$E$3,22))),0))-IF($G$2,0,IF((E$6-$G$3)&lt;1,0,IFERROR(LOOKUP(2,1/(Amendoim!$E72:INDEX(Amendoim!$E72:$Z72,MIN(E$6-$G$3,22))&lt;&gt;""),Amendoim!$E72:INDEX(Amendoim!$E72:$Z72,MIN(E$6-$G$3,22))),0)))))</f>
        <v>0</v>
      </c>
      <c r="F74" s="27" t="n">
        <f aca="false">IF(COUNT(Amendoim!$E72:$Z72)=0,0,MAX(0,IF((F$6-$E$3)&lt;1,0,IFERROR(LOOKUP(2,1/(Amendoim!$E72:INDEX(Amendoim!$E72:$Z72,MIN(F$6-$E$3,22))&lt;&gt;""),Amendoim!$E72:INDEX(Amendoim!$E72:$Z72,MIN(F$6-$E$3,22))),0))-IF($G$2,0,IF((F$6-$G$3)&lt;1,0,IFERROR(LOOKUP(2,1/(Amendoim!$E72:INDEX(Amendoim!$E72:$Z72,MIN(F$6-$G$3,22))&lt;&gt;""),Amendoim!$E72:INDEX(Amendoim!$E72:$Z72,MIN(F$6-$G$3,22))),0)))))</f>
        <v>0</v>
      </c>
      <c r="G74" s="27" t="n">
        <f aca="false">IF(COUNT(Amendoim!$E72:$Z72)=0,0,MAX(0,IF((G$6-$E$3)&lt;1,0,IFERROR(LOOKUP(2,1/(Amendoim!$E72:INDEX(Amendoim!$E72:$Z72,MIN(G$6-$E$3,22))&lt;&gt;""),Amendoim!$E72:INDEX(Amendoim!$E72:$Z72,MIN(G$6-$E$3,22))),0))-IF($G$2,0,IF((G$6-$G$3)&lt;1,0,IFERROR(LOOKUP(2,1/(Amendoim!$E72:INDEX(Amendoim!$E72:$Z72,MIN(G$6-$G$3,22))&lt;&gt;""),Amendoim!$E72:INDEX(Amendoim!$E72:$Z72,MIN(G$6-$G$3,22))),0)))))</f>
        <v>0</v>
      </c>
      <c r="H74" s="27" t="n">
        <f aca="false">IF(COUNT(Amendoim!$E72:$Z72)=0,0,MAX(0,IF((H$6-$E$3)&lt;1,0,IFERROR(LOOKUP(2,1/(Amendoim!$E72:INDEX(Amendoim!$E72:$Z72,MIN(H$6-$E$3,22))&lt;&gt;""),Amendoim!$E72:INDEX(Amendoim!$E72:$Z72,MIN(H$6-$E$3,22))),0))-IF($G$2,0,IF((H$6-$G$3)&lt;1,0,IFERROR(LOOKUP(2,1/(Amendoim!$E72:INDEX(Amendoim!$E72:$Z72,MIN(H$6-$G$3,22))&lt;&gt;""),Amendoim!$E72:INDEX(Amendoim!$E72:$Z72,MIN(H$6-$G$3,22))),0)))))</f>
        <v>0</v>
      </c>
      <c r="I74" s="27" t="n">
        <f aca="false">IF(COUNT(Amendoim!$E72:$Z72)=0,0,MAX(0,IF((I$6-$E$3)&lt;1,0,IFERROR(LOOKUP(2,1/(Amendoim!$E72:INDEX(Amendoim!$E72:$Z72,MIN(I$6-$E$3,22))&lt;&gt;""),Amendoim!$E72:INDEX(Amendoim!$E72:$Z72,MIN(I$6-$E$3,22))),0))-IF($G$2,0,IF((I$6-$G$3)&lt;1,0,IFERROR(LOOKUP(2,1/(Amendoim!$E72:INDEX(Amendoim!$E72:$Z72,MIN(I$6-$G$3,22))&lt;&gt;""),Amendoim!$E72:INDEX(Amendoim!$E72:$Z72,MIN(I$6-$G$3,22))),0)))))</f>
        <v>0</v>
      </c>
      <c r="J74" s="27" t="n">
        <f aca="false">IF(COUNT(Amendoim!$E72:$Z72)=0,0,MAX(0,IF((J$6-$E$3)&lt;1,0,IFERROR(LOOKUP(2,1/(Amendoim!$E72:INDEX(Amendoim!$E72:$Z72,MIN(J$6-$E$3,22))&lt;&gt;""),Amendoim!$E72:INDEX(Amendoim!$E72:$Z72,MIN(J$6-$E$3,22))),0))-IF($G$2,0,IF((J$6-$G$3)&lt;1,0,IFERROR(LOOKUP(2,1/(Amendoim!$E72:INDEX(Amendoim!$E72:$Z72,MIN(J$6-$G$3,22))&lt;&gt;""),Amendoim!$E72:INDEX(Amendoim!$E72:$Z72,MIN(J$6-$G$3,22))),0)))))</f>
        <v>0</v>
      </c>
      <c r="K74" s="27" t="n">
        <f aca="false">IF(COUNT(Amendoim!$E72:$Z72)=0,0,MAX(0,IF((K$6-$E$3)&lt;1,0,IFERROR(LOOKUP(2,1/(Amendoim!$E72:INDEX(Amendoim!$E72:$Z72,MIN(K$6-$E$3,22))&lt;&gt;""),Amendoim!$E72:INDEX(Amendoim!$E72:$Z72,MIN(K$6-$E$3,22))),0))-IF($G$2,0,IF((K$6-$G$3)&lt;1,0,IFERROR(LOOKUP(2,1/(Amendoim!$E72:INDEX(Amendoim!$E72:$Z72,MIN(K$6-$G$3,22))&lt;&gt;""),Amendoim!$E72:INDEX(Amendoim!$E72:$Z72,MIN(K$6-$G$3,22))),0)))))</f>
        <v>0</v>
      </c>
      <c r="L74" s="27" t="n">
        <f aca="false">IF(COUNT(Amendoim!$E72:$Z72)=0,0,MAX(0,IF((L$6-$E$3)&lt;1,0,IFERROR(LOOKUP(2,1/(Amendoim!$E72:INDEX(Amendoim!$E72:$Z72,MIN(L$6-$E$3,22))&lt;&gt;""),Amendoim!$E72:INDEX(Amendoim!$E72:$Z72,MIN(L$6-$E$3,22))),0))-IF($G$2,0,IF((L$6-$G$3)&lt;1,0,IFERROR(LOOKUP(2,1/(Amendoim!$E72:INDEX(Amendoim!$E72:$Z72,MIN(L$6-$G$3,22))&lt;&gt;""),Amendoim!$E72:INDEX(Amendoim!$E72:$Z72,MIN(L$6-$G$3,22))),0)))))</f>
        <v>0</v>
      </c>
      <c r="M74" s="27" t="n">
        <f aca="false">IF(COUNT(Amendoim!$E72:$Z72)=0,0,MAX(0,IF((M$6-$E$3)&lt;1,0,IFERROR(LOOKUP(2,1/(Amendoim!$E72:INDEX(Amendoim!$E72:$Z72,MIN(M$6-$E$3,22))&lt;&gt;""),Amendoim!$E72:INDEX(Amendoim!$E72:$Z72,MIN(M$6-$E$3,22))),0))-IF($G$2,0,IF((M$6-$G$3)&lt;1,0,IFERROR(LOOKUP(2,1/(Amendoim!$E72:INDEX(Amendoim!$E72:$Z72,MIN(M$6-$G$3,22))&lt;&gt;""),Amendoim!$E72:INDEX(Amendoim!$E72:$Z72,MIN(M$6-$G$3,22))),0)))))</f>
        <v>0</v>
      </c>
      <c r="N74" s="27" t="n">
        <f aca="false">IF(COUNT(Amendoim!$E72:$Z72)=0,0,MAX(0,IF((N$6-$E$3)&lt;1,0,IFERROR(LOOKUP(2,1/(Amendoim!$E72:INDEX(Amendoim!$E72:$Z72,MIN(N$6-$E$3,22))&lt;&gt;""),Amendoim!$E72:INDEX(Amendoim!$E72:$Z72,MIN(N$6-$E$3,22))),0))-IF($G$2,0,IF((N$6-$G$3)&lt;1,0,IFERROR(LOOKUP(2,1/(Amendoim!$E72:INDEX(Amendoim!$E72:$Z72,MIN(N$6-$G$3,22))&lt;&gt;""),Amendoim!$E72:INDEX(Amendoim!$E72:$Z72,MIN(N$6-$G$3,22))),0)))))</f>
        <v>0</v>
      </c>
      <c r="O74" s="27" t="n">
        <f aca="false">IF(COUNT(Amendoim!$E72:$Z72)=0,0,MAX(0,IF((O$6-$E$3)&lt;1,0,IFERROR(LOOKUP(2,1/(Amendoim!$E72:INDEX(Amendoim!$E72:$Z72,MIN(O$6-$E$3,22))&lt;&gt;""),Amendoim!$E72:INDEX(Amendoim!$E72:$Z72,MIN(O$6-$E$3,22))),0))-IF($G$2,0,IF((O$6-$G$3)&lt;1,0,IFERROR(LOOKUP(2,1/(Amendoim!$E72:INDEX(Amendoim!$E72:$Z72,MIN(O$6-$G$3,22))&lt;&gt;""),Amendoim!$E72:INDEX(Amendoim!$E72:$Z72,MIN(O$6-$G$3,22))),0)))))</f>
        <v>0</v>
      </c>
      <c r="P74" s="27" t="n">
        <f aca="false">IF(COUNT(Amendoim!$E72:$Z72)=0,0,MAX(0,IF((P$6-$E$3)&lt;1,0,IFERROR(LOOKUP(2,1/(Amendoim!$E72:INDEX(Amendoim!$E72:$Z72,MIN(P$6-$E$3,22))&lt;&gt;""),Amendoim!$E72:INDEX(Amendoim!$E72:$Z72,MIN(P$6-$E$3,22))),0))-IF($G$2,0,IF((P$6-$G$3)&lt;1,0,IFERROR(LOOKUP(2,1/(Amendoim!$E72:INDEX(Amendoim!$E72:$Z72,MIN(P$6-$G$3,22))&lt;&gt;""),Amendoim!$E72:INDEX(Amendoim!$E72:$Z72,MIN(P$6-$G$3,22))),0)))))</f>
        <v>0</v>
      </c>
      <c r="Q74" s="27" t="n">
        <f aca="false">IF(COUNT(Amendoim!$E72:$Z72)=0,0,MAX(0,IF((Q$6-$E$3)&lt;1,0,IFERROR(LOOKUP(2,1/(Amendoim!$E72:INDEX(Amendoim!$E72:$Z72,MIN(Q$6-$E$3,22))&lt;&gt;""),Amendoim!$E72:INDEX(Amendoim!$E72:$Z72,MIN(Q$6-$E$3,22))),0))-IF($G$2,0,IF((Q$6-$G$3)&lt;1,0,IFERROR(LOOKUP(2,1/(Amendoim!$E72:INDEX(Amendoim!$E72:$Z72,MIN(Q$6-$G$3,22))&lt;&gt;""),Amendoim!$E72:INDEX(Amendoim!$E72:$Z72,MIN(Q$6-$G$3,22))),0)))))</f>
        <v>0</v>
      </c>
      <c r="R74" s="27" t="n">
        <f aca="false">IF(COUNT(Amendoim!$E72:$Z72)=0,0,MAX(0,IF((R$6-$E$3)&lt;1,0,IFERROR(LOOKUP(2,1/(Amendoim!$E72:INDEX(Amendoim!$E72:$Z72,MIN(R$6-$E$3,22))&lt;&gt;""),Amendoim!$E72:INDEX(Amendoim!$E72:$Z72,MIN(R$6-$E$3,22))),0))-IF($G$2,0,IF((R$6-$G$3)&lt;1,0,IFERROR(LOOKUP(2,1/(Amendoim!$E72:INDEX(Amendoim!$E72:$Z72,MIN(R$6-$G$3,22))&lt;&gt;""),Amendoim!$E72:INDEX(Amendoim!$E72:$Z72,MIN(R$6-$G$3,22))),0)))))</f>
        <v>0</v>
      </c>
      <c r="S74" s="27" t="n">
        <f aca="false">IF(COUNT(Amendoim!$E72:$Z72)=0,0,MAX(0,IF((S$6-$E$3)&lt;1,0,IFERROR(LOOKUP(2,1/(Amendoim!$E72:INDEX(Amendoim!$E72:$Z72,MIN(S$6-$E$3,22))&lt;&gt;""),Amendoim!$E72:INDEX(Amendoim!$E72:$Z72,MIN(S$6-$E$3,22))),0))-IF($G$2,0,IF((S$6-$G$3)&lt;1,0,IFERROR(LOOKUP(2,1/(Amendoim!$E72:INDEX(Amendoim!$E72:$Z72,MIN(S$6-$G$3,22))&lt;&gt;""),Amendoim!$E72:INDEX(Amendoim!$E72:$Z72,MIN(S$6-$G$3,22))),0)))))</f>
        <v>0</v>
      </c>
      <c r="T74" s="27" t="n">
        <f aca="false">IF(COUNT(Amendoim!$E72:$Z72)=0,0,MAX(0,IF((T$6-$E$3)&lt;1,0,IFERROR(LOOKUP(2,1/(Amendoim!$E72:INDEX(Amendoim!$E72:$Z72,MIN(T$6-$E$3,22))&lt;&gt;""),Amendoim!$E72:INDEX(Amendoim!$E72:$Z72,MIN(T$6-$E$3,22))),0))-IF($G$2,0,IF((T$6-$G$3)&lt;1,0,IFERROR(LOOKUP(2,1/(Amendoim!$E72:INDEX(Amendoim!$E72:$Z72,MIN(T$6-$G$3,22))&lt;&gt;""),Amendoim!$E72:INDEX(Amendoim!$E72:$Z72,MIN(T$6-$G$3,22))),0)))))</f>
        <v>0</v>
      </c>
      <c r="U74" s="27" t="n">
        <f aca="false">IF(COUNT(Amendoim!$E72:$Z72)=0,0,MAX(0,IF((U$6-$E$3)&lt;1,0,IFERROR(LOOKUP(2,1/(Amendoim!$E72:INDEX(Amendoim!$E72:$Z72,MIN(U$6-$E$3,22))&lt;&gt;""),Amendoim!$E72:INDEX(Amendoim!$E72:$Z72,MIN(U$6-$E$3,22))),0))-IF($G$2,0,IF((U$6-$G$3)&lt;1,0,IFERROR(LOOKUP(2,1/(Amendoim!$E72:INDEX(Amendoim!$E72:$Z72,MIN(U$6-$G$3,22))&lt;&gt;""),Amendoim!$E72:INDEX(Amendoim!$E72:$Z72,MIN(U$6-$G$3,22))),0)))))</f>
        <v>0</v>
      </c>
      <c r="V74" s="27" t="n">
        <f aca="false">IF(COUNT(Amendoim!$E72:$Z72)=0,0,MAX(0,IF((V$6-$E$3)&lt;1,0,IFERROR(LOOKUP(2,1/(Amendoim!$E72:INDEX(Amendoim!$E72:$Z72,MIN(V$6-$E$3,22))&lt;&gt;""),Amendoim!$E72:INDEX(Amendoim!$E72:$Z72,MIN(V$6-$E$3,22))),0))-IF($G$2,0,IF((V$6-$G$3)&lt;1,0,IFERROR(LOOKUP(2,1/(Amendoim!$E72:INDEX(Amendoim!$E72:$Z72,MIN(V$6-$G$3,22))&lt;&gt;""),Amendoim!$E72:INDEX(Amendoim!$E72:$Z72,MIN(V$6-$G$3,22))),0)))))</f>
        <v>0</v>
      </c>
      <c r="W74" s="27" t="n">
        <f aca="false">IF(COUNT(Amendoim!$E72:$Z72)=0,0,MAX(0,IF((W$6-$E$3)&lt;1,0,IFERROR(LOOKUP(2,1/(Amendoim!$E72:INDEX(Amendoim!$E72:$Z72,MIN(W$6-$E$3,22))&lt;&gt;""),Amendoim!$E72:INDEX(Amendoim!$E72:$Z72,MIN(W$6-$E$3,22))),0))-IF($G$2,0,IF((W$6-$G$3)&lt;1,0,IFERROR(LOOKUP(2,1/(Amendoim!$E72:INDEX(Amendoim!$E72:$Z72,MIN(W$6-$G$3,22))&lt;&gt;""),Amendoim!$E72:INDEX(Amendoim!$E72:$Z72,MIN(W$6-$G$3,22))),0)))))</f>
        <v>0</v>
      </c>
      <c r="X74" s="27" t="n">
        <f aca="false">IF(COUNT(Amendoim!$E72:$Z72)=0,0,MAX(0,IF((X$6-$E$3)&lt;1,0,IFERROR(LOOKUP(2,1/(Amendoim!$E72:INDEX(Amendoim!$E72:$Z72,MIN(X$6-$E$3,22))&lt;&gt;""),Amendoim!$E72:INDEX(Amendoim!$E72:$Z72,MIN(X$6-$E$3,22))),0))-IF($G$2,0,IF((X$6-$G$3)&lt;1,0,IFERROR(LOOKUP(2,1/(Amendoim!$E72:INDEX(Amendoim!$E72:$Z72,MIN(X$6-$G$3,22))&lt;&gt;""),Amendoim!$E72:INDEX(Amendoim!$E72:$Z72,MIN(X$6-$G$3,22))),0)))))</f>
        <v>0</v>
      </c>
      <c r="Y74" s="27" t="n">
        <f aca="false">IF(COUNT(Amendoim!$E72:$Z72)=0,0,MAX(0,IF((Y$6-$E$3)&lt;1,0,IFERROR(LOOKUP(2,1/(Amendoim!$E72:INDEX(Amendoim!$E72:$Z72,MIN(Y$6-$E$3,22))&lt;&gt;""),Amendoim!$E72:INDEX(Amendoim!$E72:$Z72,MIN(Y$6-$E$3,22))),0))-IF($G$2,0,IF((Y$6-$G$3)&lt;1,0,IFERROR(LOOKUP(2,1/(Amendoim!$E72:INDEX(Amendoim!$E72:$Z72,MIN(Y$6-$G$3,22))&lt;&gt;""),Amendoim!$E72:INDEX(Amendoim!$E72:$Z72,MIN(Y$6-$G$3,22))),0)))))</f>
        <v>0</v>
      </c>
      <c r="Z74" s="27" t="n">
        <f aca="false">IF(COUNT(Amendoim!$E72:$Z72)=0,0,MAX(0,IF((Z$6-$E$3)&lt;1,0,IFERROR(LOOKUP(2,1/(Amendoim!$E72:INDEX(Amendoim!$E72:$Z72,MIN(Z$6-$E$3,22))&lt;&gt;""),Amendoim!$E72:INDEX(Amendoim!$E72:$Z72,MIN(Z$6-$E$3,22))),0))-IF($G$2,0,IF((Z$6-$G$3)&lt;1,0,IFERROR(LOOKUP(2,1/(Amendoim!$E72:INDEX(Amendoim!$E72:$Z72,MIN(Z$6-$G$3,22))&lt;&gt;""),Amendoim!$E72:INDEX(Amendoim!$E72:$Z72,MIN(Z$6-$G$3,22))),0)))))</f>
        <v>0</v>
      </c>
      <c r="AA74" s="27" t="n">
        <f aca="false">IF(COUNT(Amendoim!$E72:$Z72)=0,0,MAX(0,IF((AA$6-$E$3)&lt;1,0,IFERROR(LOOKUP(2,1/(Amendoim!$E72:INDEX(Amendoim!$E72:$Z72,MIN(AA$6-$E$3,22))&lt;&gt;""),Amendoim!$E72:INDEX(Amendoim!$E72:$Z72,MIN(AA$6-$E$3,22))),0))-IF($G$2,0,IF((AA$6-$G$3)&lt;1,0,IFERROR(LOOKUP(2,1/(Amendoim!$E72:INDEX(Amendoim!$E72:$Z72,MIN(AA$6-$G$3,22))&lt;&gt;""),Amendoim!$E72:INDEX(Amendoim!$E72:$Z72,MIN(AA$6-$G$3,22))),0)))))</f>
        <v>0</v>
      </c>
      <c r="AB74" s="27" t="n">
        <f aca="false">IF(COUNT(Amendoim!$E72:$Z72)=0,0,MAX(0,IF((AB$6-$E$3)&lt;1,0,IFERROR(LOOKUP(2,1/(Amendoim!$E72:INDEX(Amendoim!$E72:$Z72,MIN(AB$6-$E$3,22))&lt;&gt;""),Amendoim!$E72:INDEX(Amendoim!$E72:$Z72,MIN(AB$6-$E$3,22))),0))-IF($G$2,0,IF((AB$6-$G$3)&lt;1,0,IFERROR(LOOKUP(2,1/(Amendoim!$E72:INDEX(Amendoim!$E72:$Z72,MIN(AB$6-$G$3,22))&lt;&gt;""),Amendoim!$E72:INDEX(Amendoim!$E72:$Z72,MIN(AB$6-$G$3,22))),0)))))</f>
        <v>0</v>
      </c>
      <c r="AC74" s="27" t="n">
        <f aca="false">IF(COUNT(Amendoim!$E72:$Z72)=0,0,MAX(0,IF((AC$6-$E$3)&lt;1,0,IFERROR(LOOKUP(2,1/(Amendoim!$E72:INDEX(Amendoim!$E72:$Z72,MIN(AC$6-$E$3,22))&lt;&gt;""),Amendoim!$E72:INDEX(Amendoim!$E72:$Z72,MIN(AC$6-$E$3,22))),0))-IF($G$2,0,IF((AC$6-$G$3)&lt;1,0,IFERROR(LOOKUP(2,1/(Amendoim!$E72:INDEX(Amendoim!$E72:$Z72,MIN(AC$6-$G$3,22))&lt;&gt;""),Amendoim!$E72:INDEX(Amendoim!$E72:$Z72,MIN(AC$6-$G$3,22))),0)))))</f>
        <v>0</v>
      </c>
      <c r="AD74" s="27" t="n">
        <f aca="false">IF(COUNT(Amendoim!$E72:$Z72)=0,0,MAX(0,IF((AD$6-$E$3)&lt;1,0,IFERROR(LOOKUP(2,1/(Amendoim!$E72:INDEX(Amendoim!$E72:$Z72,MIN(AD$6-$E$3,22))&lt;&gt;""),Amendoim!$E72:INDEX(Amendoim!$E72:$Z72,MIN(AD$6-$E$3,22))),0))-IF($G$2,0,IF((AD$6-$G$3)&lt;1,0,IFERROR(LOOKUP(2,1/(Amendoim!$E72:INDEX(Amendoim!$E72:$Z72,MIN(AD$6-$G$3,22))&lt;&gt;""),Amendoim!$E72:INDEX(Amendoim!$E72:$Z72,MIN(AD$6-$G$3,22))),0)))))</f>
        <v>0</v>
      </c>
      <c r="AE74" s="27" t="n">
        <f aca="false">IF(COUNT(Amendoim!$E72:$Z72)=0,0,MAX(0,IF((AE$6-$E$3)&lt;1,0,IFERROR(LOOKUP(2,1/(Amendoim!$E72:INDEX(Amendoim!$E72:$Z72,MIN(AE$6-$E$3,22))&lt;&gt;""),Amendoim!$E72:INDEX(Amendoim!$E72:$Z72,MIN(AE$6-$E$3,22))),0))-IF($G$2,0,IF((AE$6-$G$3)&lt;1,0,IFERROR(LOOKUP(2,1/(Amendoim!$E72:INDEX(Amendoim!$E72:$Z72,MIN(AE$6-$G$3,22))&lt;&gt;""),Amendoim!$E72:INDEX(Amendoim!$E72:$Z72,MIN(AE$6-$G$3,22))),0)))))</f>
        <v>0</v>
      </c>
      <c r="AF74" s="27" t="n">
        <f aca="false">IF(COUNT(Amendoim!$E72:$Z72)=0,0,MAX(0,IF((AF$6-$E$3)&lt;1,0,IFERROR(LOOKUP(2,1/(Amendoim!$E72:INDEX(Amendoim!$E72:$Z72,MIN(AF$6-$E$3,22))&lt;&gt;""),Amendoim!$E72:INDEX(Amendoim!$E72:$Z72,MIN(AF$6-$E$3,22))),0))-IF($G$2,0,IF((AF$6-$G$3)&lt;1,0,IFERROR(LOOKUP(2,1/(Amendoim!$E72:INDEX(Amendoim!$E72:$Z72,MIN(AF$6-$G$3,22))&lt;&gt;""),Amendoim!$E72:INDEX(Amendoim!$E72:$Z72,MIN(AF$6-$G$3,22))),0)))))</f>
        <v>0</v>
      </c>
      <c r="AG74" s="27" t="n">
        <f aca="false">IF(COUNT(Amendoim!$E72:$Z72)=0,0,MAX(0,IF((AG$6-$E$3)&lt;1,0,IFERROR(LOOKUP(2,1/(Amendoim!$E72:INDEX(Amendoim!$E72:$Z72,MIN(AG$6-$E$3,22))&lt;&gt;""),Amendoim!$E72:INDEX(Amendoim!$E72:$Z72,MIN(AG$6-$E$3,22))),0))-IF($G$2,0,IF((AG$6-$G$3)&lt;1,0,IFERROR(LOOKUP(2,1/(Amendoim!$E72:INDEX(Amendoim!$E72:$Z72,MIN(AG$6-$G$3,22))&lt;&gt;""),Amendoim!$E72:INDEX(Amendoim!$E72:$Z72,MIN(AG$6-$G$3,22))),0)))))</f>
        <v>0</v>
      </c>
      <c r="AH74" s="27" t="n">
        <f aca="false">IF(COUNT(Amendoim!$E72:$Z72)=0,0,MAX(0,IF((AH$6-$E$3)&lt;1,0,IFERROR(LOOKUP(2,1/(Amendoim!$E72:INDEX(Amendoim!$E72:$Z72,MIN(AH$6-$E$3,22))&lt;&gt;""),Amendoim!$E72:INDEX(Amendoim!$E72:$Z72,MIN(AH$6-$E$3,22))),0))-IF($G$2,0,IF((AH$6-$G$3)&lt;1,0,IFERROR(LOOKUP(2,1/(Amendoim!$E72:INDEX(Amendoim!$E72:$Z72,MIN(AH$6-$G$3,22))&lt;&gt;""),Amendoim!$E72:INDEX(Amendoim!$E72:$Z72,MIN(AH$6-$G$3,22))),0)))))</f>
        <v>0</v>
      </c>
      <c r="AI74" s="27" t="n">
        <f aca="false">IF(COUNT(Amendoim!$E72:$Z72)=0,0,MAX(0,IF((AI$6-$E$3)&lt;1,0,IFERROR(LOOKUP(2,1/(Amendoim!$E72:INDEX(Amendoim!$E72:$Z72,MIN(AI$6-$E$3,22))&lt;&gt;""),Amendoim!$E72:INDEX(Amendoim!$E72:$Z72,MIN(AI$6-$E$3,22))),0))-IF($G$2,0,IF((AI$6-$G$3)&lt;1,0,IFERROR(LOOKUP(2,1/(Amendoim!$E72:INDEX(Amendoim!$E72:$Z72,MIN(AI$6-$G$3,22))&lt;&gt;""),Amendoim!$E72:INDEX(Amendoim!$E72:$Z72,MIN(AI$6-$G$3,22))),0)))))</f>
        <v>0</v>
      </c>
      <c r="AJ74" s="27" t="n">
        <f aca="false">IF(COUNT(Amendoim!$E72:$Z72)=0,0,MAX(0,IF((AJ$6-$E$3)&lt;1,0,IFERROR(LOOKUP(2,1/(Amendoim!$E72:INDEX(Amendoim!$E72:$Z72,MIN(AJ$6-$E$3,22))&lt;&gt;""),Amendoim!$E72:INDEX(Amendoim!$E72:$Z72,MIN(AJ$6-$E$3,22))),0))-IF($G$2,0,IF((AJ$6-$G$3)&lt;1,0,IFERROR(LOOKUP(2,1/(Amendoim!$E72:INDEX(Amendoim!$E72:$Z72,MIN(AJ$6-$G$3,22))&lt;&gt;""),Amendoim!$E72:INDEX(Amendoim!$E72:$Z72,MIN(AJ$6-$G$3,22))),0)))))</f>
        <v>0</v>
      </c>
      <c r="AK74" s="27" t="n">
        <f aca="false">IF(COUNT(Amendoim!$E72:$Z72)=0,0,MAX(0,IF((AK$6-$E$3)&lt;1,0,IFERROR(LOOKUP(2,1/(Amendoim!$E72:INDEX(Amendoim!$E72:$Z72,MIN(AK$6-$E$3,22))&lt;&gt;""),Amendoim!$E72:INDEX(Amendoim!$E72:$Z72,MIN(AK$6-$E$3,22))),0))-IF($G$2,0,IF((AK$6-$G$3)&lt;1,0,IFERROR(LOOKUP(2,1/(Amendoim!$E72:INDEX(Amendoim!$E72:$Z72,MIN(AK$6-$G$3,22))&lt;&gt;""),Amendoim!$E72:INDEX(Amendoim!$E72:$Z72,MIN(AK$6-$G$3,22))),0)))))</f>
        <v>0</v>
      </c>
      <c r="AL74" s="27" t="n">
        <f aca="false">IF(COUNT(Amendoim!$E72:$Z72)=0,0,MAX(0,IF((AL$6-$E$3)&lt;1,0,IFERROR(LOOKUP(2,1/(Amendoim!$E72:INDEX(Amendoim!$E72:$Z72,MIN(AL$6-$E$3,22))&lt;&gt;""),Amendoim!$E72:INDEX(Amendoim!$E72:$Z72,MIN(AL$6-$E$3,22))),0))-IF($G$2,0,IF((AL$6-$G$3)&lt;1,0,IFERROR(LOOKUP(2,1/(Amendoim!$E72:INDEX(Amendoim!$E72:$Z72,MIN(AL$6-$G$3,22))&lt;&gt;""),Amendoim!$E72:INDEX(Amendoim!$E72:$Z72,MIN(AL$6-$G$3,22))),0)))))</f>
        <v>0</v>
      </c>
      <c r="AM74" s="27" t="n">
        <f aca="false">IF(COUNT(Amendoim!$E72:$Z72)=0,0,MAX(0,IF((AM$6-$E$3)&lt;1,0,IFERROR(LOOKUP(2,1/(Amendoim!$E72:INDEX(Amendoim!$E72:$Z72,MIN(AM$6-$E$3,22))&lt;&gt;""),Amendoim!$E72:INDEX(Amendoim!$E72:$Z72,MIN(AM$6-$E$3,22))),0))-IF($G$2,0,IF((AM$6-$G$3)&lt;1,0,IFERROR(LOOKUP(2,1/(Amendoim!$E72:INDEX(Amendoim!$E72:$Z72,MIN(AM$6-$G$3,22))&lt;&gt;""),Amendoim!$E72:INDEX(Amendoim!$E72:$Z72,MIN(AM$6-$G$3,22))),0)))))</f>
        <v>0</v>
      </c>
      <c r="AN74" s="27" t="n">
        <f aca="false">IF(COUNT(Amendoim!$E72:$Z72)=0,0,MAX(0,IF((AN$6-$E$3)&lt;1,0,IFERROR(LOOKUP(2,1/(Amendoim!$E72:INDEX(Amendoim!$E72:$Z72,MIN(AN$6-$E$3,22))&lt;&gt;""),Amendoim!$E72:INDEX(Amendoim!$E72:$Z72,MIN(AN$6-$E$3,22))),0))-IF($G$2,0,IF((AN$6-$G$3)&lt;1,0,IFERROR(LOOKUP(2,1/(Amendoim!$E72:INDEX(Amendoim!$E72:$Z72,MIN(AN$6-$G$3,22))&lt;&gt;""),Amendoim!$E72:INDEX(Amendoim!$E72:$Z72,MIN(AN$6-$G$3,22))),0)))))</f>
        <v>0</v>
      </c>
      <c r="AO74" s="27" t="n">
        <f aca="false">IF(COUNT(Amendoim!$E72:$Z72)=0,0,MAX(0,IF((AO$6-$E$3)&lt;1,0,IFERROR(LOOKUP(2,1/(Amendoim!$E72:INDEX(Amendoim!$E72:$Z72,MIN(AO$6-$E$3,22))&lt;&gt;""),Amendoim!$E72:INDEX(Amendoim!$E72:$Z72,MIN(AO$6-$E$3,22))),0))-IF($G$2,0,IF((AO$6-$G$3)&lt;1,0,IFERROR(LOOKUP(2,1/(Amendoim!$E72:INDEX(Amendoim!$E72:$Z72,MIN(AO$6-$G$3,22))&lt;&gt;""),Amendoim!$E72:INDEX(Amendoim!$E72:$Z72,MIN(AO$6-$G$3,22))),0)))))</f>
        <v>0</v>
      </c>
      <c r="AP74" s="27" t="n">
        <f aca="false">IF(COUNT(Amendoim!$E72:$Z72)=0,0,MAX(0,IF((AP$6-$E$3)&lt;1,0,IFERROR(LOOKUP(2,1/(Amendoim!$E72:INDEX(Amendoim!$E72:$Z72,MIN(AP$6-$E$3,22))&lt;&gt;""),Amendoim!$E72:INDEX(Amendoim!$E72:$Z72,MIN(AP$6-$E$3,22))),0))-IF($G$2,0,IF((AP$6-$G$3)&lt;1,0,IFERROR(LOOKUP(2,1/(Amendoim!$E72:INDEX(Amendoim!$E72:$Z72,MIN(AP$6-$G$3,22))&lt;&gt;""),Amendoim!$E72:INDEX(Amendoim!$E72:$Z72,MIN(AP$6-$G$3,22))),0)))))</f>
        <v>0</v>
      </c>
      <c r="AQ74" s="27" t="n">
        <f aca="false">IF(COUNT(Amendoim!$E72:$Z72)=0,0,MAX(0,IF((AQ$6-$E$3)&lt;1,0,IFERROR(LOOKUP(2,1/(Amendoim!$E72:INDEX(Amendoim!$E72:$Z72,MIN(AQ$6-$E$3,22))&lt;&gt;""),Amendoim!$E72:INDEX(Amendoim!$E72:$Z72,MIN(AQ$6-$E$3,22))),0))-IF($G$2,0,IF((AQ$6-$G$3)&lt;1,0,IFERROR(LOOKUP(2,1/(Amendoim!$E72:INDEX(Amendoim!$E72:$Z72,MIN(AQ$6-$G$3,22))&lt;&gt;""),Amendoim!$E72:INDEX(Amendoim!$E72:$Z72,MIN(AQ$6-$G$3,22))),0)))))</f>
        <v>0</v>
      </c>
      <c r="AR74" s="27" t="n">
        <f aca="false">IF(COUNT(Amendoim!$E72:$Z72)=0,0,MAX(0,IF((AR$6-$E$3)&lt;1,0,IFERROR(LOOKUP(2,1/(Amendoim!$E72:INDEX(Amendoim!$E72:$Z72,MIN(AR$6-$E$3,22))&lt;&gt;""),Amendoim!$E72:INDEX(Amendoim!$E72:$Z72,MIN(AR$6-$E$3,22))),0))-IF($G$2,0,IF((AR$6-$G$3)&lt;1,0,IFERROR(LOOKUP(2,1/(Amendoim!$E72:INDEX(Amendoim!$E72:$Z72,MIN(AR$6-$G$3,22))&lt;&gt;""),Amendoim!$E72:INDEX(Amendoim!$E72:$Z72,MIN(AR$6-$G$3,22))),0)))))</f>
        <v>0</v>
      </c>
      <c r="AS74" s="27" t="n">
        <f aca="false">IF(COUNT(Amendoim!$E72:$Z72)=0,0,MAX(0,IF((AS$6-$E$3)&lt;1,0,IFERROR(LOOKUP(2,1/(Amendoim!$E72:INDEX(Amendoim!$E72:$Z72,MIN(AS$6-$E$3,22))&lt;&gt;""),Amendoim!$E72:INDEX(Amendoim!$E72:$Z72,MIN(AS$6-$E$3,22))),0))-IF($G$2,0,IF((AS$6-$G$3)&lt;1,0,IFERROR(LOOKUP(2,1/(Amendoim!$E72:INDEX(Amendoim!$E72:$Z72,MIN(AS$6-$G$3,22))&lt;&gt;""),Amendoim!$E72:INDEX(Amendoim!$E72:$Z72,MIN(AS$6-$G$3,22))),0)))))</f>
        <v>0</v>
      </c>
      <c r="AT74" s="27" t="n">
        <f aca="false">IF(COUNT(Amendoim!$E72:$Z72)=0,0,MAX(0,IF((AT$6-$E$3)&lt;1,0,IFERROR(LOOKUP(2,1/(Amendoim!$E72:INDEX(Amendoim!$E72:$Z72,MIN(AT$6-$E$3,22))&lt;&gt;""),Amendoim!$E72:INDEX(Amendoim!$E72:$Z72,MIN(AT$6-$E$3,22))),0))-IF($G$2,0,IF((AT$6-$G$3)&lt;1,0,IFERROR(LOOKUP(2,1/(Amendoim!$E72:INDEX(Amendoim!$E72:$Z72,MIN(AT$6-$G$3,22))&lt;&gt;""),Amendoim!$E72:INDEX(Amendoim!$E72:$Z72,MIN(AT$6-$G$3,22))),0)))))</f>
        <v>0</v>
      </c>
      <c r="AU74" s="27" t="n">
        <f aca="false">IF(COUNT(Amendoim!$E72:$Z72)=0,0,MAX(0,IF((AU$6-$E$3)&lt;1,0,IFERROR(LOOKUP(2,1/(Amendoim!$E72:INDEX(Amendoim!$E72:$Z72,MIN(AU$6-$E$3,22))&lt;&gt;""),Amendoim!$E72:INDEX(Amendoim!$E72:$Z72,MIN(AU$6-$E$3,22))),0))-IF($G$2,0,IF((AU$6-$G$3)&lt;1,0,IFERROR(LOOKUP(2,1/(Amendoim!$E72:INDEX(Amendoim!$E72:$Z72,MIN(AU$6-$G$3,22))&lt;&gt;""),Amendoim!$E72:INDEX(Amendoim!$E72:$Z72,MIN(AU$6-$G$3,22))),0)))))</f>
        <v>0</v>
      </c>
      <c r="AV74" s="27" t="n">
        <f aca="false">IF(COUNT(Amendoim!$E72:$Z72)=0,0,MAX(0,IF((AV$6-$E$3)&lt;1,0,IFERROR(LOOKUP(2,1/(Amendoim!$E72:INDEX(Amendoim!$E72:$Z72,MIN(AV$6-$E$3,22))&lt;&gt;""),Amendoim!$E72:INDEX(Amendoim!$E72:$Z72,MIN(AV$6-$E$3,22))),0))-IF($G$2,0,IF((AV$6-$G$3)&lt;1,0,IFERROR(LOOKUP(2,1/(Amendoim!$E72:INDEX(Amendoim!$E72:$Z72,MIN(AV$6-$G$3,22))&lt;&gt;""),Amendoim!$E72:INDEX(Amendoim!$E72:$Z72,MIN(AV$6-$G$3,22))),0)))))</f>
        <v>0</v>
      </c>
      <c r="AW74" s="27" t="n">
        <f aca="false">IF(COUNT(Amendoim!$E72:$Z72)=0,0,MAX(0,IF((AW$6-$E$3)&lt;1,0,IFERROR(LOOKUP(2,1/(Amendoim!$E72:INDEX(Amendoim!$E72:$Z72,MIN(AW$6-$E$3,22))&lt;&gt;""),Amendoim!$E72:INDEX(Amendoim!$E72:$Z72,MIN(AW$6-$E$3,22))),0))-IF($G$2,0,IF((AW$6-$G$3)&lt;1,0,IFERROR(LOOKUP(2,1/(Amendoim!$E72:INDEX(Amendoim!$E72:$Z72,MIN(AW$6-$G$3,22))&lt;&gt;""),Amendoim!$E72:INDEX(Amendoim!$E72:$Z72,MIN(AW$6-$G$3,22))),0)))))</f>
        <v>0</v>
      </c>
      <c r="AX74" s="27" t="n">
        <f aca="false">IF(COUNT(Amendoim!$E72:$Z72)=0,0,MAX(0,IF((AX$6-$E$3)&lt;1,0,IFERROR(LOOKUP(2,1/(Amendoim!$E72:INDEX(Amendoim!$E72:$Z72,MIN(AX$6-$E$3,22))&lt;&gt;""),Amendoim!$E72:INDEX(Amendoim!$E72:$Z72,MIN(AX$6-$E$3,22))),0))-IF($G$2,0,IF((AX$6-$G$3)&lt;1,0,IFERROR(LOOKUP(2,1/(Amendoim!$E72:INDEX(Amendoim!$E72:$Z72,MIN(AX$6-$G$3,22))&lt;&gt;""),Amendoim!$E72:INDEX(Amendoim!$E72:$Z72,MIN(AX$6-$G$3,22))),0)))))</f>
        <v>0</v>
      </c>
      <c r="AY74" s="27" t="n">
        <f aca="false">IF(COUNT(Amendoim!$E72:$Z72)=0,0,MAX(0,IF((AY$6-$E$3)&lt;1,0,IFERROR(LOOKUP(2,1/(Amendoim!$E72:INDEX(Amendoim!$E72:$Z72,MIN(AY$6-$E$3,22))&lt;&gt;""),Amendoim!$E72:INDEX(Amendoim!$E72:$Z72,MIN(AY$6-$E$3,22))),0))-IF($G$2,0,IF((AY$6-$G$3)&lt;1,0,IFERROR(LOOKUP(2,1/(Amendoim!$E72:INDEX(Amendoim!$E72:$Z72,MIN(AY$6-$G$3,22))&lt;&gt;""),Amendoim!$E72:INDEX(Amendoim!$E72:$Z72,MIN(AY$6-$G$3,22))),0)))))</f>
        <v>0</v>
      </c>
      <c r="AZ74" s="27" t="n">
        <f aca="false">IF(COUNT(Amendoim!$E72:$Z72)=0,0,MAX(0,IF((AZ$6-$E$3)&lt;1,0,IFERROR(LOOKUP(2,1/(Amendoim!$E72:INDEX(Amendoim!$E72:$Z72,MIN(AZ$6-$E$3,22))&lt;&gt;""),Amendoim!$E72:INDEX(Amendoim!$E72:$Z72,MIN(AZ$6-$E$3,22))),0))-IF($G$2,0,IF((AZ$6-$G$3)&lt;1,0,IFERROR(LOOKUP(2,1/(Amendoim!$E72:INDEX(Amendoim!$E72:$Z72,MIN(AZ$6-$G$3,22))&lt;&gt;""),Amendoim!$E72:INDEX(Amendoim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IF(COUNT(Amendoim!$E73:$Z73)&gt;0,N(Amendoim!$D73),0)</f>
        <v>0</v>
      </c>
      <c r="E75" s="27" t="n">
        <f aca="false">IF(COUNT(Amendoim!$E73:$Z73)=0,0,MAX(0,IF((E$6-$E$3)&lt;1,0,IFERROR(LOOKUP(2,1/(Amendoim!$E73:INDEX(Amendoim!$E73:$Z73,MIN(E$6-$E$3,22))&lt;&gt;""),Amendoim!$E73:INDEX(Amendoim!$E73:$Z73,MIN(E$6-$E$3,22))),0))-IF($G$2,0,IF((E$6-$G$3)&lt;1,0,IFERROR(LOOKUP(2,1/(Amendoim!$E73:INDEX(Amendoim!$E73:$Z73,MIN(E$6-$G$3,22))&lt;&gt;""),Amendoim!$E73:INDEX(Amendoim!$E73:$Z73,MIN(E$6-$G$3,22))),0)))))</f>
        <v>0</v>
      </c>
      <c r="F75" s="27" t="n">
        <f aca="false">IF(COUNT(Amendoim!$E73:$Z73)=0,0,MAX(0,IF((F$6-$E$3)&lt;1,0,IFERROR(LOOKUP(2,1/(Amendoim!$E73:INDEX(Amendoim!$E73:$Z73,MIN(F$6-$E$3,22))&lt;&gt;""),Amendoim!$E73:INDEX(Amendoim!$E73:$Z73,MIN(F$6-$E$3,22))),0))-IF($G$2,0,IF((F$6-$G$3)&lt;1,0,IFERROR(LOOKUP(2,1/(Amendoim!$E73:INDEX(Amendoim!$E73:$Z73,MIN(F$6-$G$3,22))&lt;&gt;""),Amendoim!$E73:INDEX(Amendoim!$E73:$Z73,MIN(F$6-$G$3,22))),0)))))</f>
        <v>0</v>
      </c>
      <c r="G75" s="27" t="n">
        <f aca="false">IF(COUNT(Amendoim!$E73:$Z73)=0,0,MAX(0,IF((G$6-$E$3)&lt;1,0,IFERROR(LOOKUP(2,1/(Amendoim!$E73:INDEX(Amendoim!$E73:$Z73,MIN(G$6-$E$3,22))&lt;&gt;""),Amendoim!$E73:INDEX(Amendoim!$E73:$Z73,MIN(G$6-$E$3,22))),0))-IF($G$2,0,IF((G$6-$G$3)&lt;1,0,IFERROR(LOOKUP(2,1/(Amendoim!$E73:INDEX(Amendoim!$E73:$Z73,MIN(G$6-$G$3,22))&lt;&gt;""),Amendoim!$E73:INDEX(Amendoim!$E73:$Z73,MIN(G$6-$G$3,22))),0)))))</f>
        <v>0</v>
      </c>
      <c r="H75" s="27" t="n">
        <f aca="false">IF(COUNT(Amendoim!$E73:$Z73)=0,0,MAX(0,IF((H$6-$E$3)&lt;1,0,IFERROR(LOOKUP(2,1/(Amendoim!$E73:INDEX(Amendoim!$E73:$Z73,MIN(H$6-$E$3,22))&lt;&gt;""),Amendoim!$E73:INDEX(Amendoim!$E73:$Z73,MIN(H$6-$E$3,22))),0))-IF($G$2,0,IF((H$6-$G$3)&lt;1,0,IFERROR(LOOKUP(2,1/(Amendoim!$E73:INDEX(Amendoim!$E73:$Z73,MIN(H$6-$G$3,22))&lt;&gt;""),Amendoim!$E73:INDEX(Amendoim!$E73:$Z73,MIN(H$6-$G$3,22))),0)))))</f>
        <v>0</v>
      </c>
      <c r="I75" s="27" t="n">
        <f aca="false">IF(COUNT(Amendoim!$E73:$Z73)=0,0,MAX(0,IF((I$6-$E$3)&lt;1,0,IFERROR(LOOKUP(2,1/(Amendoim!$E73:INDEX(Amendoim!$E73:$Z73,MIN(I$6-$E$3,22))&lt;&gt;""),Amendoim!$E73:INDEX(Amendoim!$E73:$Z73,MIN(I$6-$E$3,22))),0))-IF($G$2,0,IF((I$6-$G$3)&lt;1,0,IFERROR(LOOKUP(2,1/(Amendoim!$E73:INDEX(Amendoim!$E73:$Z73,MIN(I$6-$G$3,22))&lt;&gt;""),Amendoim!$E73:INDEX(Amendoim!$E73:$Z73,MIN(I$6-$G$3,22))),0)))))</f>
        <v>0</v>
      </c>
      <c r="J75" s="27" t="n">
        <f aca="false">IF(COUNT(Amendoim!$E73:$Z73)=0,0,MAX(0,IF((J$6-$E$3)&lt;1,0,IFERROR(LOOKUP(2,1/(Amendoim!$E73:INDEX(Amendoim!$E73:$Z73,MIN(J$6-$E$3,22))&lt;&gt;""),Amendoim!$E73:INDEX(Amendoim!$E73:$Z73,MIN(J$6-$E$3,22))),0))-IF($G$2,0,IF((J$6-$G$3)&lt;1,0,IFERROR(LOOKUP(2,1/(Amendoim!$E73:INDEX(Amendoim!$E73:$Z73,MIN(J$6-$G$3,22))&lt;&gt;""),Amendoim!$E73:INDEX(Amendoim!$E73:$Z73,MIN(J$6-$G$3,22))),0)))))</f>
        <v>0</v>
      </c>
      <c r="K75" s="27" t="n">
        <f aca="false">IF(COUNT(Amendoim!$E73:$Z73)=0,0,MAX(0,IF((K$6-$E$3)&lt;1,0,IFERROR(LOOKUP(2,1/(Amendoim!$E73:INDEX(Amendoim!$E73:$Z73,MIN(K$6-$E$3,22))&lt;&gt;""),Amendoim!$E73:INDEX(Amendoim!$E73:$Z73,MIN(K$6-$E$3,22))),0))-IF($G$2,0,IF((K$6-$G$3)&lt;1,0,IFERROR(LOOKUP(2,1/(Amendoim!$E73:INDEX(Amendoim!$E73:$Z73,MIN(K$6-$G$3,22))&lt;&gt;""),Amendoim!$E73:INDEX(Amendoim!$E73:$Z73,MIN(K$6-$G$3,22))),0)))))</f>
        <v>0</v>
      </c>
      <c r="L75" s="27" t="n">
        <f aca="false">IF(COUNT(Amendoim!$E73:$Z73)=0,0,MAX(0,IF((L$6-$E$3)&lt;1,0,IFERROR(LOOKUP(2,1/(Amendoim!$E73:INDEX(Amendoim!$E73:$Z73,MIN(L$6-$E$3,22))&lt;&gt;""),Amendoim!$E73:INDEX(Amendoim!$E73:$Z73,MIN(L$6-$E$3,22))),0))-IF($G$2,0,IF((L$6-$G$3)&lt;1,0,IFERROR(LOOKUP(2,1/(Amendoim!$E73:INDEX(Amendoim!$E73:$Z73,MIN(L$6-$G$3,22))&lt;&gt;""),Amendoim!$E73:INDEX(Amendoim!$E73:$Z73,MIN(L$6-$G$3,22))),0)))))</f>
        <v>0</v>
      </c>
      <c r="M75" s="27" t="n">
        <f aca="false">IF(COUNT(Amendoim!$E73:$Z73)=0,0,MAX(0,IF((M$6-$E$3)&lt;1,0,IFERROR(LOOKUP(2,1/(Amendoim!$E73:INDEX(Amendoim!$E73:$Z73,MIN(M$6-$E$3,22))&lt;&gt;""),Amendoim!$E73:INDEX(Amendoim!$E73:$Z73,MIN(M$6-$E$3,22))),0))-IF($G$2,0,IF((M$6-$G$3)&lt;1,0,IFERROR(LOOKUP(2,1/(Amendoim!$E73:INDEX(Amendoim!$E73:$Z73,MIN(M$6-$G$3,22))&lt;&gt;""),Amendoim!$E73:INDEX(Amendoim!$E73:$Z73,MIN(M$6-$G$3,22))),0)))))</f>
        <v>0</v>
      </c>
      <c r="N75" s="27" t="n">
        <f aca="false">IF(COUNT(Amendoim!$E73:$Z73)=0,0,MAX(0,IF((N$6-$E$3)&lt;1,0,IFERROR(LOOKUP(2,1/(Amendoim!$E73:INDEX(Amendoim!$E73:$Z73,MIN(N$6-$E$3,22))&lt;&gt;""),Amendoim!$E73:INDEX(Amendoim!$E73:$Z73,MIN(N$6-$E$3,22))),0))-IF($G$2,0,IF((N$6-$G$3)&lt;1,0,IFERROR(LOOKUP(2,1/(Amendoim!$E73:INDEX(Amendoim!$E73:$Z73,MIN(N$6-$G$3,22))&lt;&gt;""),Amendoim!$E73:INDEX(Amendoim!$E73:$Z73,MIN(N$6-$G$3,22))),0)))))</f>
        <v>0</v>
      </c>
      <c r="O75" s="27" t="n">
        <f aca="false">IF(COUNT(Amendoim!$E73:$Z73)=0,0,MAX(0,IF((O$6-$E$3)&lt;1,0,IFERROR(LOOKUP(2,1/(Amendoim!$E73:INDEX(Amendoim!$E73:$Z73,MIN(O$6-$E$3,22))&lt;&gt;""),Amendoim!$E73:INDEX(Amendoim!$E73:$Z73,MIN(O$6-$E$3,22))),0))-IF($G$2,0,IF((O$6-$G$3)&lt;1,0,IFERROR(LOOKUP(2,1/(Amendoim!$E73:INDEX(Amendoim!$E73:$Z73,MIN(O$6-$G$3,22))&lt;&gt;""),Amendoim!$E73:INDEX(Amendoim!$E73:$Z73,MIN(O$6-$G$3,22))),0)))))</f>
        <v>0</v>
      </c>
      <c r="P75" s="27" t="n">
        <f aca="false">IF(COUNT(Amendoim!$E73:$Z73)=0,0,MAX(0,IF((P$6-$E$3)&lt;1,0,IFERROR(LOOKUP(2,1/(Amendoim!$E73:INDEX(Amendoim!$E73:$Z73,MIN(P$6-$E$3,22))&lt;&gt;""),Amendoim!$E73:INDEX(Amendoim!$E73:$Z73,MIN(P$6-$E$3,22))),0))-IF($G$2,0,IF((P$6-$G$3)&lt;1,0,IFERROR(LOOKUP(2,1/(Amendoim!$E73:INDEX(Amendoim!$E73:$Z73,MIN(P$6-$G$3,22))&lt;&gt;""),Amendoim!$E73:INDEX(Amendoim!$E73:$Z73,MIN(P$6-$G$3,22))),0)))))</f>
        <v>0</v>
      </c>
      <c r="Q75" s="27" t="n">
        <f aca="false">IF(COUNT(Amendoim!$E73:$Z73)=0,0,MAX(0,IF((Q$6-$E$3)&lt;1,0,IFERROR(LOOKUP(2,1/(Amendoim!$E73:INDEX(Amendoim!$E73:$Z73,MIN(Q$6-$E$3,22))&lt;&gt;""),Amendoim!$E73:INDEX(Amendoim!$E73:$Z73,MIN(Q$6-$E$3,22))),0))-IF($G$2,0,IF((Q$6-$G$3)&lt;1,0,IFERROR(LOOKUP(2,1/(Amendoim!$E73:INDEX(Amendoim!$E73:$Z73,MIN(Q$6-$G$3,22))&lt;&gt;""),Amendoim!$E73:INDEX(Amendoim!$E73:$Z73,MIN(Q$6-$G$3,22))),0)))))</f>
        <v>0</v>
      </c>
      <c r="R75" s="27" t="n">
        <f aca="false">IF(COUNT(Amendoim!$E73:$Z73)=0,0,MAX(0,IF((R$6-$E$3)&lt;1,0,IFERROR(LOOKUP(2,1/(Amendoim!$E73:INDEX(Amendoim!$E73:$Z73,MIN(R$6-$E$3,22))&lt;&gt;""),Amendoim!$E73:INDEX(Amendoim!$E73:$Z73,MIN(R$6-$E$3,22))),0))-IF($G$2,0,IF((R$6-$G$3)&lt;1,0,IFERROR(LOOKUP(2,1/(Amendoim!$E73:INDEX(Amendoim!$E73:$Z73,MIN(R$6-$G$3,22))&lt;&gt;""),Amendoim!$E73:INDEX(Amendoim!$E73:$Z73,MIN(R$6-$G$3,22))),0)))))</f>
        <v>0</v>
      </c>
      <c r="S75" s="27" t="n">
        <f aca="false">IF(COUNT(Amendoim!$E73:$Z73)=0,0,MAX(0,IF((S$6-$E$3)&lt;1,0,IFERROR(LOOKUP(2,1/(Amendoim!$E73:INDEX(Amendoim!$E73:$Z73,MIN(S$6-$E$3,22))&lt;&gt;""),Amendoim!$E73:INDEX(Amendoim!$E73:$Z73,MIN(S$6-$E$3,22))),0))-IF($G$2,0,IF((S$6-$G$3)&lt;1,0,IFERROR(LOOKUP(2,1/(Amendoim!$E73:INDEX(Amendoim!$E73:$Z73,MIN(S$6-$G$3,22))&lt;&gt;""),Amendoim!$E73:INDEX(Amendoim!$E73:$Z73,MIN(S$6-$G$3,22))),0)))))</f>
        <v>0</v>
      </c>
      <c r="T75" s="27" t="n">
        <f aca="false">IF(COUNT(Amendoim!$E73:$Z73)=0,0,MAX(0,IF((T$6-$E$3)&lt;1,0,IFERROR(LOOKUP(2,1/(Amendoim!$E73:INDEX(Amendoim!$E73:$Z73,MIN(T$6-$E$3,22))&lt;&gt;""),Amendoim!$E73:INDEX(Amendoim!$E73:$Z73,MIN(T$6-$E$3,22))),0))-IF($G$2,0,IF((T$6-$G$3)&lt;1,0,IFERROR(LOOKUP(2,1/(Amendoim!$E73:INDEX(Amendoim!$E73:$Z73,MIN(T$6-$G$3,22))&lt;&gt;""),Amendoim!$E73:INDEX(Amendoim!$E73:$Z73,MIN(T$6-$G$3,22))),0)))))</f>
        <v>0</v>
      </c>
      <c r="U75" s="27" t="n">
        <f aca="false">IF(COUNT(Amendoim!$E73:$Z73)=0,0,MAX(0,IF((U$6-$E$3)&lt;1,0,IFERROR(LOOKUP(2,1/(Amendoim!$E73:INDEX(Amendoim!$E73:$Z73,MIN(U$6-$E$3,22))&lt;&gt;""),Amendoim!$E73:INDEX(Amendoim!$E73:$Z73,MIN(U$6-$E$3,22))),0))-IF($G$2,0,IF((U$6-$G$3)&lt;1,0,IFERROR(LOOKUP(2,1/(Amendoim!$E73:INDEX(Amendoim!$E73:$Z73,MIN(U$6-$G$3,22))&lt;&gt;""),Amendoim!$E73:INDEX(Amendoim!$E73:$Z73,MIN(U$6-$G$3,22))),0)))))</f>
        <v>0</v>
      </c>
      <c r="V75" s="27" t="n">
        <f aca="false">IF(COUNT(Amendoim!$E73:$Z73)=0,0,MAX(0,IF((V$6-$E$3)&lt;1,0,IFERROR(LOOKUP(2,1/(Amendoim!$E73:INDEX(Amendoim!$E73:$Z73,MIN(V$6-$E$3,22))&lt;&gt;""),Amendoim!$E73:INDEX(Amendoim!$E73:$Z73,MIN(V$6-$E$3,22))),0))-IF($G$2,0,IF((V$6-$G$3)&lt;1,0,IFERROR(LOOKUP(2,1/(Amendoim!$E73:INDEX(Amendoim!$E73:$Z73,MIN(V$6-$G$3,22))&lt;&gt;""),Amendoim!$E73:INDEX(Amendoim!$E73:$Z73,MIN(V$6-$G$3,22))),0)))))</f>
        <v>0</v>
      </c>
      <c r="W75" s="27" t="n">
        <f aca="false">IF(COUNT(Amendoim!$E73:$Z73)=0,0,MAX(0,IF((W$6-$E$3)&lt;1,0,IFERROR(LOOKUP(2,1/(Amendoim!$E73:INDEX(Amendoim!$E73:$Z73,MIN(W$6-$E$3,22))&lt;&gt;""),Amendoim!$E73:INDEX(Amendoim!$E73:$Z73,MIN(W$6-$E$3,22))),0))-IF($G$2,0,IF((W$6-$G$3)&lt;1,0,IFERROR(LOOKUP(2,1/(Amendoim!$E73:INDEX(Amendoim!$E73:$Z73,MIN(W$6-$G$3,22))&lt;&gt;""),Amendoim!$E73:INDEX(Amendoim!$E73:$Z73,MIN(W$6-$G$3,22))),0)))))</f>
        <v>0</v>
      </c>
      <c r="X75" s="27" t="n">
        <f aca="false">IF(COUNT(Amendoim!$E73:$Z73)=0,0,MAX(0,IF((X$6-$E$3)&lt;1,0,IFERROR(LOOKUP(2,1/(Amendoim!$E73:INDEX(Amendoim!$E73:$Z73,MIN(X$6-$E$3,22))&lt;&gt;""),Amendoim!$E73:INDEX(Amendoim!$E73:$Z73,MIN(X$6-$E$3,22))),0))-IF($G$2,0,IF((X$6-$G$3)&lt;1,0,IFERROR(LOOKUP(2,1/(Amendoim!$E73:INDEX(Amendoim!$E73:$Z73,MIN(X$6-$G$3,22))&lt;&gt;""),Amendoim!$E73:INDEX(Amendoim!$E73:$Z73,MIN(X$6-$G$3,22))),0)))))</f>
        <v>0</v>
      </c>
      <c r="Y75" s="27" t="n">
        <f aca="false">IF(COUNT(Amendoim!$E73:$Z73)=0,0,MAX(0,IF((Y$6-$E$3)&lt;1,0,IFERROR(LOOKUP(2,1/(Amendoim!$E73:INDEX(Amendoim!$E73:$Z73,MIN(Y$6-$E$3,22))&lt;&gt;""),Amendoim!$E73:INDEX(Amendoim!$E73:$Z73,MIN(Y$6-$E$3,22))),0))-IF($G$2,0,IF((Y$6-$G$3)&lt;1,0,IFERROR(LOOKUP(2,1/(Amendoim!$E73:INDEX(Amendoim!$E73:$Z73,MIN(Y$6-$G$3,22))&lt;&gt;""),Amendoim!$E73:INDEX(Amendoim!$E73:$Z73,MIN(Y$6-$G$3,22))),0)))))</f>
        <v>0</v>
      </c>
      <c r="Z75" s="27" t="n">
        <f aca="false">IF(COUNT(Amendoim!$E73:$Z73)=0,0,MAX(0,IF((Z$6-$E$3)&lt;1,0,IFERROR(LOOKUP(2,1/(Amendoim!$E73:INDEX(Amendoim!$E73:$Z73,MIN(Z$6-$E$3,22))&lt;&gt;""),Amendoim!$E73:INDEX(Amendoim!$E73:$Z73,MIN(Z$6-$E$3,22))),0))-IF($G$2,0,IF((Z$6-$G$3)&lt;1,0,IFERROR(LOOKUP(2,1/(Amendoim!$E73:INDEX(Amendoim!$E73:$Z73,MIN(Z$6-$G$3,22))&lt;&gt;""),Amendoim!$E73:INDEX(Amendoim!$E73:$Z73,MIN(Z$6-$G$3,22))),0)))))</f>
        <v>0</v>
      </c>
      <c r="AA75" s="27" t="n">
        <f aca="false">IF(COUNT(Amendoim!$E73:$Z73)=0,0,MAX(0,IF((AA$6-$E$3)&lt;1,0,IFERROR(LOOKUP(2,1/(Amendoim!$E73:INDEX(Amendoim!$E73:$Z73,MIN(AA$6-$E$3,22))&lt;&gt;""),Amendoim!$E73:INDEX(Amendoim!$E73:$Z73,MIN(AA$6-$E$3,22))),0))-IF($G$2,0,IF((AA$6-$G$3)&lt;1,0,IFERROR(LOOKUP(2,1/(Amendoim!$E73:INDEX(Amendoim!$E73:$Z73,MIN(AA$6-$G$3,22))&lt;&gt;""),Amendoim!$E73:INDEX(Amendoim!$E73:$Z73,MIN(AA$6-$G$3,22))),0)))))</f>
        <v>0</v>
      </c>
      <c r="AB75" s="27" t="n">
        <f aca="false">IF(COUNT(Amendoim!$E73:$Z73)=0,0,MAX(0,IF((AB$6-$E$3)&lt;1,0,IFERROR(LOOKUP(2,1/(Amendoim!$E73:INDEX(Amendoim!$E73:$Z73,MIN(AB$6-$E$3,22))&lt;&gt;""),Amendoim!$E73:INDEX(Amendoim!$E73:$Z73,MIN(AB$6-$E$3,22))),0))-IF($G$2,0,IF((AB$6-$G$3)&lt;1,0,IFERROR(LOOKUP(2,1/(Amendoim!$E73:INDEX(Amendoim!$E73:$Z73,MIN(AB$6-$G$3,22))&lt;&gt;""),Amendoim!$E73:INDEX(Amendoim!$E73:$Z73,MIN(AB$6-$G$3,22))),0)))))</f>
        <v>0</v>
      </c>
      <c r="AC75" s="27" t="n">
        <f aca="false">IF(COUNT(Amendoim!$E73:$Z73)=0,0,MAX(0,IF((AC$6-$E$3)&lt;1,0,IFERROR(LOOKUP(2,1/(Amendoim!$E73:INDEX(Amendoim!$E73:$Z73,MIN(AC$6-$E$3,22))&lt;&gt;""),Amendoim!$E73:INDEX(Amendoim!$E73:$Z73,MIN(AC$6-$E$3,22))),0))-IF($G$2,0,IF((AC$6-$G$3)&lt;1,0,IFERROR(LOOKUP(2,1/(Amendoim!$E73:INDEX(Amendoim!$E73:$Z73,MIN(AC$6-$G$3,22))&lt;&gt;""),Amendoim!$E73:INDEX(Amendoim!$E73:$Z73,MIN(AC$6-$G$3,22))),0)))))</f>
        <v>0</v>
      </c>
      <c r="AD75" s="27" t="n">
        <f aca="false">IF(COUNT(Amendoim!$E73:$Z73)=0,0,MAX(0,IF((AD$6-$E$3)&lt;1,0,IFERROR(LOOKUP(2,1/(Amendoim!$E73:INDEX(Amendoim!$E73:$Z73,MIN(AD$6-$E$3,22))&lt;&gt;""),Amendoim!$E73:INDEX(Amendoim!$E73:$Z73,MIN(AD$6-$E$3,22))),0))-IF($G$2,0,IF((AD$6-$G$3)&lt;1,0,IFERROR(LOOKUP(2,1/(Amendoim!$E73:INDEX(Amendoim!$E73:$Z73,MIN(AD$6-$G$3,22))&lt;&gt;""),Amendoim!$E73:INDEX(Amendoim!$E73:$Z73,MIN(AD$6-$G$3,22))),0)))))</f>
        <v>0</v>
      </c>
      <c r="AE75" s="27" t="n">
        <f aca="false">IF(COUNT(Amendoim!$E73:$Z73)=0,0,MAX(0,IF((AE$6-$E$3)&lt;1,0,IFERROR(LOOKUP(2,1/(Amendoim!$E73:INDEX(Amendoim!$E73:$Z73,MIN(AE$6-$E$3,22))&lt;&gt;""),Amendoim!$E73:INDEX(Amendoim!$E73:$Z73,MIN(AE$6-$E$3,22))),0))-IF($G$2,0,IF((AE$6-$G$3)&lt;1,0,IFERROR(LOOKUP(2,1/(Amendoim!$E73:INDEX(Amendoim!$E73:$Z73,MIN(AE$6-$G$3,22))&lt;&gt;""),Amendoim!$E73:INDEX(Amendoim!$E73:$Z73,MIN(AE$6-$G$3,22))),0)))))</f>
        <v>0</v>
      </c>
      <c r="AF75" s="27" t="n">
        <f aca="false">IF(COUNT(Amendoim!$E73:$Z73)=0,0,MAX(0,IF((AF$6-$E$3)&lt;1,0,IFERROR(LOOKUP(2,1/(Amendoim!$E73:INDEX(Amendoim!$E73:$Z73,MIN(AF$6-$E$3,22))&lt;&gt;""),Amendoim!$E73:INDEX(Amendoim!$E73:$Z73,MIN(AF$6-$E$3,22))),0))-IF($G$2,0,IF((AF$6-$G$3)&lt;1,0,IFERROR(LOOKUP(2,1/(Amendoim!$E73:INDEX(Amendoim!$E73:$Z73,MIN(AF$6-$G$3,22))&lt;&gt;""),Amendoim!$E73:INDEX(Amendoim!$E73:$Z73,MIN(AF$6-$G$3,22))),0)))))</f>
        <v>0</v>
      </c>
      <c r="AG75" s="27" t="n">
        <f aca="false">IF(COUNT(Amendoim!$E73:$Z73)=0,0,MAX(0,IF((AG$6-$E$3)&lt;1,0,IFERROR(LOOKUP(2,1/(Amendoim!$E73:INDEX(Amendoim!$E73:$Z73,MIN(AG$6-$E$3,22))&lt;&gt;""),Amendoim!$E73:INDEX(Amendoim!$E73:$Z73,MIN(AG$6-$E$3,22))),0))-IF($G$2,0,IF((AG$6-$G$3)&lt;1,0,IFERROR(LOOKUP(2,1/(Amendoim!$E73:INDEX(Amendoim!$E73:$Z73,MIN(AG$6-$G$3,22))&lt;&gt;""),Amendoim!$E73:INDEX(Amendoim!$E73:$Z73,MIN(AG$6-$G$3,22))),0)))))</f>
        <v>0</v>
      </c>
      <c r="AH75" s="27" t="n">
        <f aca="false">IF(COUNT(Amendoim!$E73:$Z73)=0,0,MAX(0,IF((AH$6-$E$3)&lt;1,0,IFERROR(LOOKUP(2,1/(Amendoim!$E73:INDEX(Amendoim!$E73:$Z73,MIN(AH$6-$E$3,22))&lt;&gt;""),Amendoim!$E73:INDEX(Amendoim!$E73:$Z73,MIN(AH$6-$E$3,22))),0))-IF($G$2,0,IF((AH$6-$G$3)&lt;1,0,IFERROR(LOOKUP(2,1/(Amendoim!$E73:INDEX(Amendoim!$E73:$Z73,MIN(AH$6-$G$3,22))&lt;&gt;""),Amendoim!$E73:INDEX(Amendoim!$E73:$Z73,MIN(AH$6-$G$3,22))),0)))))</f>
        <v>0</v>
      </c>
      <c r="AI75" s="27" t="n">
        <f aca="false">IF(COUNT(Amendoim!$E73:$Z73)=0,0,MAX(0,IF((AI$6-$E$3)&lt;1,0,IFERROR(LOOKUP(2,1/(Amendoim!$E73:INDEX(Amendoim!$E73:$Z73,MIN(AI$6-$E$3,22))&lt;&gt;""),Amendoim!$E73:INDEX(Amendoim!$E73:$Z73,MIN(AI$6-$E$3,22))),0))-IF($G$2,0,IF((AI$6-$G$3)&lt;1,0,IFERROR(LOOKUP(2,1/(Amendoim!$E73:INDEX(Amendoim!$E73:$Z73,MIN(AI$6-$G$3,22))&lt;&gt;""),Amendoim!$E73:INDEX(Amendoim!$E73:$Z73,MIN(AI$6-$G$3,22))),0)))))</f>
        <v>0</v>
      </c>
      <c r="AJ75" s="27" t="n">
        <f aca="false">IF(COUNT(Amendoim!$E73:$Z73)=0,0,MAX(0,IF((AJ$6-$E$3)&lt;1,0,IFERROR(LOOKUP(2,1/(Amendoim!$E73:INDEX(Amendoim!$E73:$Z73,MIN(AJ$6-$E$3,22))&lt;&gt;""),Amendoim!$E73:INDEX(Amendoim!$E73:$Z73,MIN(AJ$6-$E$3,22))),0))-IF($G$2,0,IF((AJ$6-$G$3)&lt;1,0,IFERROR(LOOKUP(2,1/(Amendoim!$E73:INDEX(Amendoim!$E73:$Z73,MIN(AJ$6-$G$3,22))&lt;&gt;""),Amendoim!$E73:INDEX(Amendoim!$E73:$Z73,MIN(AJ$6-$G$3,22))),0)))))</f>
        <v>0</v>
      </c>
      <c r="AK75" s="27" t="n">
        <f aca="false">IF(COUNT(Amendoim!$E73:$Z73)=0,0,MAX(0,IF((AK$6-$E$3)&lt;1,0,IFERROR(LOOKUP(2,1/(Amendoim!$E73:INDEX(Amendoim!$E73:$Z73,MIN(AK$6-$E$3,22))&lt;&gt;""),Amendoim!$E73:INDEX(Amendoim!$E73:$Z73,MIN(AK$6-$E$3,22))),0))-IF($G$2,0,IF((AK$6-$G$3)&lt;1,0,IFERROR(LOOKUP(2,1/(Amendoim!$E73:INDEX(Amendoim!$E73:$Z73,MIN(AK$6-$G$3,22))&lt;&gt;""),Amendoim!$E73:INDEX(Amendoim!$E73:$Z73,MIN(AK$6-$G$3,22))),0)))))</f>
        <v>0</v>
      </c>
      <c r="AL75" s="27" t="n">
        <f aca="false">IF(COUNT(Amendoim!$E73:$Z73)=0,0,MAX(0,IF((AL$6-$E$3)&lt;1,0,IFERROR(LOOKUP(2,1/(Amendoim!$E73:INDEX(Amendoim!$E73:$Z73,MIN(AL$6-$E$3,22))&lt;&gt;""),Amendoim!$E73:INDEX(Amendoim!$E73:$Z73,MIN(AL$6-$E$3,22))),0))-IF($G$2,0,IF((AL$6-$G$3)&lt;1,0,IFERROR(LOOKUP(2,1/(Amendoim!$E73:INDEX(Amendoim!$E73:$Z73,MIN(AL$6-$G$3,22))&lt;&gt;""),Amendoim!$E73:INDEX(Amendoim!$E73:$Z73,MIN(AL$6-$G$3,22))),0)))))</f>
        <v>0</v>
      </c>
      <c r="AM75" s="27" t="n">
        <f aca="false">IF(COUNT(Amendoim!$E73:$Z73)=0,0,MAX(0,IF((AM$6-$E$3)&lt;1,0,IFERROR(LOOKUP(2,1/(Amendoim!$E73:INDEX(Amendoim!$E73:$Z73,MIN(AM$6-$E$3,22))&lt;&gt;""),Amendoim!$E73:INDEX(Amendoim!$E73:$Z73,MIN(AM$6-$E$3,22))),0))-IF($G$2,0,IF((AM$6-$G$3)&lt;1,0,IFERROR(LOOKUP(2,1/(Amendoim!$E73:INDEX(Amendoim!$E73:$Z73,MIN(AM$6-$G$3,22))&lt;&gt;""),Amendoim!$E73:INDEX(Amendoim!$E73:$Z73,MIN(AM$6-$G$3,22))),0)))))</f>
        <v>0</v>
      </c>
      <c r="AN75" s="27" t="n">
        <f aca="false">IF(COUNT(Amendoim!$E73:$Z73)=0,0,MAX(0,IF((AN$6-$E$3)&lt;1,0,IFERROR(LOOKUP(2,1/(Amendoim!$E73:INDEX(Amendoim!$E73:$Z73,MIN(AN$6-$E$3,22))&lt;&gt;""),Amendoim!$E73:INDEX(Amendoim!$E73:$Z73,MIN(AN$6-$E$3,22))),0))-IF($G$2,0,IF((AN$6-$G$3)&lt;1,0,IFERROR(LOOKUP(2,1/(Amendoim!$E73:INDEX(Amendoim!$E73:$Z73,MIN(AN$6-$G$3,22))&lt;&gt;""),Amendoim!$E73:INDEX(Amendoim!$E73:$Z73,MIN(AN$6-$G$3,22))),0)))))</f>
        <v>0</v>
      </c>
      <c r="AO75" s="27" t="n">
        <f aca="false">IF(COUNT(Amendoim!$E73:$Z73)=0,0,MAX(0,IF((AO$6-$E$3)&lt;1,0,IFERROR(LOOKUP(2,1/(Amendoim!$E73:INDEX(Amendoim!$E73:$Z73,MIN(AO$6-$E$3,22))&lt;&gt;""),Amendoim!$E73:INDEX(Amendoim!$E73:$Z73,MIN(AO$6-$E$3,22))),0))-IF($G$2,0,IF((AO$6-$G$3)&lt;1,0,IFERROR(LOOKUP(2,1/(Amendoim!$E73:INDEX(Amendoim!$E73:$Z73,MIN(AO$6-$G$3,22))&lt;&gt;""),Amendoim!$E73:INDEX(Amendoim!$E73:$Z73,MIN(AO$6-$G$3,22))),0)))))</f>
        <v>0</v>
      </c>
      <c r="AP75" s="27" t="n">
        <f aca="false">IF(COUNT(Amendoim!$E73:$Z73)=0,0,MAX(0,IF((AP$6-$E$3)&lt;1,0,IFERROR(LOOKUP(2,1/(Amendoim!$E73:INDEX(Amendoim!$E73:$Z73,MIN(AP$6-$E$3,22))&lt;&gt;""),Amendoim!$E73:INDEX(Amendoim!$E73:$Z73,MIN(AP$6-$E$3,22))),0))-IF($G$2,0,IF((AP$6-$G$3)&lt;1,0,IFERROR(LOOKUP(2,1/(Amendoim!$E73:INDEX(Amendoim!$E73:$Z73,MIN(AP$6-$G$3,22))&lt;&gt;""),Amendoim!$E73:INDEX(Amendoim!$E73:$Z73,MIN(AP$6-$G$3,22))),0)))))</f>
        <v>0</v>
      </c>
      <c r="AQ75" s="27" t="n">
        <f aca="false">IF(COUNT(Amendoim!$E73:$Z73)=0,0,MAX(0,IF((AQ$6-$E$3)&lt;1,0,IFERROR(LOOKUP(2,1/(Amendoim!$E73:INDEX(Amendoim!$E73:$Z73,MIN(AQ$6-$E$3,22))&lt;&gt;""),Amendoim!$E73:INDEX(Amendoim!$E73:$Z73,MIN(AQ$6-$E$3,22))),0))-IF($G$2,0,IF((AQ$6-$G$3)&lt;1,0,IFERROR(LOOKUP(2,1/(Amendoim!$E73:INDEX(Amendoim!$E73:$Z73,MIN(AQ$6-$G$3,22))&lt;&gt;""),Amendoim!$E73:INDEX(Amendoim!$E73:$Z73,MIN(AQ$6-$G$3,22))),0)))))</f>
        <v>0</v>
      </c>
      <c r="AR75" s="27" t="n">
        <f aca="false">IF(COUNT(Amendoim!$E73:$Z73)=0,0,MAX(0,IF((AR$6-$E$3)&lt;1,0,IFERROR(LOOKUP(2,1/(Amendoim!$E73:INDEX(Amendoim!$E73:$Z73,MIN(AR$6-$E$3,22))&lt;&gt;""),Amendoim!$E73:INDEX(Amendoim!$E73:$Z73,MIN(AR$6-$E$3,22))),0))-IF($G$2,0,IF((AR$6-$G$3)&lt;1,0,IFERROR(LOOKUP(2,1/(Amendoim!$E73:INDEX(Amendoim!$E73:$Z73,MIN(AR$6-$G$3,22))&lt;&gt;""),Amendoim!$E73:INDEX(Amendoim!$E73:$Z73,MIN(AR$6-$G$3,22))),0)))))</f>
        <v>0</v>
      </c>
      <c r="AS75" s="27" t="n">
        <f aca="false">IF(COUNT(Amendoim!$E73:$Z73)=0,0,MAX(0,IF((AS$6-$E$3)&lt;1,0,IFERROR(LOOKUP(2,1/(Amendoim!$E73:INDEX(Amendoim!$E73:$Z73,MIN(AS$6-$E$3,22))&lt;&gt;""),Amendoim!$E73:INDEX(Amendoim!$E73:$Z73,MIN(AS$6-$E$3,22))),0))-IF($G$2,0,IF((AS$6-$G$3)&lt;1,0,IFERROR(LOOKUP(2,1/(Amendoim!$E73:INDEX(Amendoim!$E73:$Z73,MIN(AS$6-$G$3,22))&lt;&gt;""),Amendoim!$E73:INDEX(Amendoim!$E73:$Z73,MIN(AS$6-$G$3,22))),0)))))</f>
        <v>0</v>
      </c>
      <c r="AT75" s="27" t="n">
        <f aca="false">IF(COUNT(Amendoim!$E73:$Z73)=0,0,MAX(0,IF((AT$6-$E$3)&lt;1,0,IFERROR(LOOKUP(2,1/(Amendoim!$E73:INDEX(Amendoim!$E73:$Z73,MIN(AT$6-$E$3,22))&lt;&gt;""),Amendoim!$E73:INDEX(Amendoim!$E73:$Z73,MIN(AT$6-$E$3,22))),0))-IF($G$2,0,IF((AT$6-$G$3)&lt;1,0,IFERROR(LOOKUP(2,1/(Amendoim!$E73:INDEX(Amendoim!$E73:$Z73,MIN(AT$6-$G$3,22))&lt;&gt;""),Amendoim!$E73:INDEX(Amendoim!$E73:$Z73,MIN(AT$6-$G$3,22))),0)))))</f>
        <v>0</v>
      </c>
      <c r="AU75" s="27" t="n">
        <f aca="false">IF(COUNT(Amendoim!$E73:$Z73)=0,0,MAX(0,IF((AU$6-$E$3)&lt;1,0,IFERROR(LOOKUP(2,1/(Amendoim!$E73:INDEX(Amendoim!$E73:$Z73,MIN(AU$6-$E$3,22))&lt;&gt;""),Amendoim!$E73:INDEX(Amendoim!$E73:$Z73,MIN(AU$6-$E$3,22))),0))-IF($G$2,0,IF((AU$6-$G$3)&lt;1,0,IFERROR(LOOKUP(2,1/(Amendoim!$E73:INDEX(Amendoim!$E73:$Z73,MIN(AU$6-$G$3,22))&lt;&gt;""),Amendoim!$E73:INDEX(Amendoim!$E73:$Z73,MIN(AU$6-$G$3,22))),0)))))</f>
        <v>0</v>
      </c>
      <c r="AV75" s="27" t="n">
        <f aca="false">IF(COUNT(Amendoim!$E73:$Z73)=0,0,MAX(0,IF((AV$6-$E$3)&lt;1,0,IFERROR(LOOKUP(2,1/(Amendoim!$E73:INDEX(Amendoim!$E73:$Z73,MIN(AV$6-$E$3,22))&lt;&gt;""),Amendoim!$E73:INDEX(Amendoim!$E73:$Z73,MIN(AV$6-$E$3,22))),0))-IF($G$2,0,IF((AV$6-$G$3)&lt;1,0,IFERROR(LOOKUP(2,1/(Amendoim!$E73:INDEX(Amendoim!$E73:$Z73,MIN(AV$6-$G$3,22))&lt;&gt;""),Amendoim!$E73:INDEX(Amendoim!$E73:$Z73,MIN(AV$6-$G$3,22))),0)))))</f>
        <v>0</v>
      </c>
      <c r="AW75" s="27" t="n">
        <f aca="false">IF(COUNT(Amendoim!$E73:$Z73)=0,0,MAX(0,IF((AW$6-$E$3)&lt;1,0,IFERROR(LOOKUP(2,1/(Amendoim!$E73:INDEX(Amendoim!$E73:$Z73,MIN(AW$6-$E$3,22))&lt;&gt;""),Amendoim!$E73:INDEX(Amendoim!$E73:$Z73,MIN(AW$6-$E$3,22))),0))-IF($G$2,0,IF((AW$6-$G$3)&lt;1,0,IFERROR(LOOKUP(2,1/(Amendoim!$E73:INDEX(Amendoim!$E73:$Z73,MIN(AW$6-$G$3,22))&lt;&gt;""),Amendoim!$E73:INDEX(Amendoim!$E73:$Z73,MIN(AW$6-$G$3,22))),0)))))</f>
        <v>0</v>
      </c>
      <c r="AX75" s="27" t="n">
        <f aca="false">IF(COUNT(Amendoim!$E73:$Z73)=0,0,MAX(0,IF((AX$6-$E$3)&lt;1,0,IFERROR(LOOKUP(2,1/(Amendoim!$E73:INDEX(Amendoim!$E73:$Z73,MIN(AX$6-$E$3,22))&lt;&gt;""),Amendoim!$E73:INDEX(Amendoim!$E73:$Z73,MIN(AX$6-$E$3,22))),0))-IF($G$2,0,IF((AX$6-$G$3)&lt;1,0,IFERROR(LOOKUP(2,1/(Amendoim!$E73:INDEX(Amendoim!$E73:$Z73,MIN(AX$6-$G$3,22))&lt;&gt;""),Amendoim!$E73:INDEX(Amendoim!$E73:$Z73,MIN(AX$6-$G$3,22))),0)))))</f>
        <v>0</v>
      </c>
      <c r="AY75" s="27" t="n">
        <f aca="false">IF(COUNT(Amendoim!$E73:$Z73)=0,0,MAX(0,IF((AY$6-$E$3)&lt;1,0,IFERROR(LOOKUP(2,1/(Amendoim!$E73:INDEX(Amendoim!$E73:$Z73,MIN(AY$6-$E$3,22))&lt;&gt;""),Amendoim!$E73:INDEX(Amendoim!$E73:$Z73,MIN(AY$6-$E$3,22))),0))-IF($G$2,0,IF((AY$6-$G$3)&lt;1,0,IFERROR(LOOKUP(2,1/(Amendoim!$E73:INDEX(Amendoim!$E73:$Z73,MIN(AY$6-$G$3,22))&lt;&gt;""),Amendoim!$E73:INDEX(Amendoim!$E73:$Z73,MIN(AY$6-$G$3,22))),0)))))</f>
        <v>0</v>
      </c>
      <c r="AZ75" s="27" t="n">
        <f aca="false">IF(COUNT(Amendoim!$E73:$Z73)=0,0,MAX(0,IF((AZ$6-$E$3)&lt;1,0,IFERROR(LOOKUP(2,1/(Amendoim!$E73:INDEX(Amendoim!$E73:$Z73,MIN(AZ$6-$E$3,22))&lt;&gt;""),Amendoim!$E73:INDEX(Amendoim!$E73:$Z73,MIN(AZ$6-$E$3,22))),0))-IF($G$2,0,IF((AZ$6-$G$3)&lt;1,0,IFERROR(LOOKUP(2,1/(Amendoim!$E73:INDEX(Amendoim!$E73:$Z73,MIN(AZ$6-$G$3,22))&lt;&gt;""),Amendoim!$E73:INDEX(Amendoim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IF(COUNT(Amendoim!$E74:$Z74)&gt;0,N(Amendoim!$D74),0)</f>
        <v>0</v>
      </c>
      <c r="E76" s="27" t="n">
        <f aca="false">IF(COUNT(Amendoim!$E74:$Z74)=0,0,MAX(0,IF((E$6-$E$3)&lt;1,0,IFERROR(LOOKUP(2,1/(Amendoim!$E74:INDEX(Amendoim!$E74:$Z74,MIN(E$6-$E$3,22))&lt;&gt;""),Amendoim!$E74:INDEX(Amendoim!$E74:$Z74,MIN(E$6-$E$3,22))),0))-IF($G$2,0,IF((E$6-$G$3)&lt;1,0,IFERROR(LOOKUP(2,1/(Amendoim!$E74:INDEX(Amendoim!$E74:$Z74,MIN(E$6-$G$3,22))&lt;&gt;""),Amendoim!$E74:INDEX(Amendoim!$E74:$Z74,MIN(E$6-$G$3,22))),0)))))</f>
        <v>0</v>
      </c>
      <c r="F76" s="27" t="n">
        <f aca="false">IF(COUNT(Amendoim!$E74:$Z74)=0,0,MAX(0,IF((F$6-$E$3)&lt;1,0,IFERROR(LOOKUP(2,1/(Amendoim!$E74:INDEX(Amendoim!$E74:$Z74,MIN(F$6-$E$3,22))&lt;&gt;""),Amendoim!$E74:INDEX(Amendoim!$E74:$Z74,MIN(F$6-$E$3,22))),0))-IF($G$2,0,IF((F$6-$G$3)&lt;1,0,IFERROR(LOOKUP(2,1/(Amendoim!$E74:INDEX(Amendoim!$E74:$Z74,MIN(F$6-$G$3,22))&lt;&gt;""),Amendoim!$E74:INDEX(Amendoim!$E74:$Z74,MIN(F$6-$G$3,22))),0)))))</f>
        <v>0</v>
      </c>
      <c r="G76" s="27" t="n">
        <f aca="false">IF(COUNT(Amendoim!$E74:$Z74)=0,0,MAX(0,IF((G$6-$E$3)&lt;1,0,IFERROR(LOOKUP(2,1/(Amendoim!$E74:INDEX(Amendoim!$E74:$Z74,MIN(G$6-$E$3,22))&lt;&gt;""),Amendoim!$E74:INDEX(Amendoim!$E74:$Z74,MIN(G$6-$E$3,22))),0))-IF($G$2,0,IF((G$6-$G$3)&lt;1,0,IFERROR(LOOKUP(2,1/(Amendoim!$E74:INDEX(Amendoim!$E74:$Z74,MIN(G$6-$G$3,22))&lt;&gt;""),Amendoim!$E74:INDEX(Amendoim!$E74:$Z74,MIN(G$6-$G$3,22))),0)))))</f>
        <v>0</v>
      </c>
      <c r="H76" s="27" t="n">
        <f aca="false">IF(COUNT(Amendoim!$E74:$Z74)=0,0,MAX(0,IF((H$6-$E$3)&lt;1,0,IFERROR(LOOKUP(2,1/(Amendoim!$E74:INDEX(Amendoim!$E74:$Z74,MIN(H$6-$E$3,22))&lt;&gt;""),Amendoim!$E74:INDEX(Amendoim!$E74:$Z74,MIN(H$6-$E$3,22))),0))-IF($G$2,0,IF((H$6-$G$3)&lt;1,0,IFERROR(LOOKUP(2,1/(Amendoim!$E74:INDEX(Amendoim!$E74:$Z74,MIN(H$6-$G$3,22))&lt;&gt;""),Amendoim!$E74:INDEX(Amendoim!$E74:$Z74,MIN(H$6-$G$3,22))),0)))))</f>
        <v>0</v>
      </c>
      <c r="I76" s="27" t="n">
        <f aca="false">IF(COUNT(Amendoim!$E74:$Z74)=0,0,MAX(0,IF((I$6-$E$3)&lt;1,0,IFERROR(LOOKUP(2,1/(Amendoim!$E74:INDEX(Amendoim!$E74:$Z74,MIN(I$6-$E$3,22))&lt;&gt;""),Amendoim!$E74:INDEX(Amendoim!$E74:$Z74,MIN(I$6-$E$3,22))),0))-IF($G$2,0,IF((I$6-$G$3)&lt;1,0,IFERROR(LOOKUP(2,1/(Amendoim!$E74:INDEX(Amendoim!$E74:$Z74,MIN(I$6-$G$3,22))&lt;&gt;""),Amendoim!$E74:INDEX(Amendoim!$E74:$Z74,MIN(I$6-$G$3,22))),0)))))</f>
        <v>0</v>
      </c>
      <c r="J76" s="27" t="n">
        <f aca="false">IF(COUNT(Amendoim!$E74:$Z74)=0,0,MAX(0,IF((J$6-$E$3)&lt;1,0,IFERROR(LOOKUP(2,1/(Amendoim!$E74:INDEX(Amendoim!$E74:$Z74,MIN(J$6-$E$3,22))&lt;&gt;""),Amendoim!$E74:INDEX(Amendoim!$E74:$Z74,MIN(J$6-$E$3,22))),0))-IF($G$2,0,IF((J$6-$G$3)&lt;1,0,IFERROR(LOOKUP(2,1/(Amendoim!$E74:INDEX(Amendoim!$E74:$Z74,MIN(J$6-$G$3,22))&lt;&gt;""),Amendoim!$E74:INDEX(Amendoim!$E74:$Z74,MIN(J$6-$G$3,22))),0)))))</f>
        <v>0</v>
      </c>
      <c r="K76" s="27" t="n">
        <f aca="false">IF(COUNT(Amendoim!$E74:$Z74)=0,0,MAX(0,IF((K$6-$E$3)&lt;1,0,IFERROR(LOOKUP(2,1/(Amendoim!$E74:INDEX(Amendoim!$E74:$Z74,MIN(K$6-$E$3,22))&lt;&gt;""),Amendoim!$E74:INDEX(Amendoim!$E74:$Z74,MIN(K$6-$E$3,22))),0))-IF($G$2,0,IF((K$6-$G$3)&lt;1,0,IFERROR(LOOKUP(2,1/(Amendoim!$E74:INDEX(Amendoim!$E74:$Z74,MIN(K$6-$G$3,22))&lt;&gt;""),Amendoim!$E74:INDEX(Amendoim!$E74:$Z74,MIN(K$6-$G$3,22))),0)))))</f>
        <v>0</v>
      </c>
      <c r="L76" s="27" t="n">
        <f aca="false">IF(COUNT(Amendoim!$E74:$Z74)=0,0,MAX(0,IF((L$6-$E$3)&lt;1,0,IFERROR(LOOKUP(2,1/(Amendoim!$E74:INDEX(Amendoim!$E74:$Z74,MIN(L$6-$E$3,22))&lt;&gt;""),Amendoim!$E74:INDEX(Amendoim!$E74:$Z74,MIN(L$6-$E$3,22))),0))-IF($G$2,0,IF((L$6-$G$3)&lt;1,0,IFERROR(LOOKUP(2,1/(Amendoim!$E74:INDEX(Amendoim!$E74:$Z74,MIN(L$6-$G$3,22))&lt;&gt;""),Amendoim!$E74:INDEX(Amendoim!$E74:$Z74,MIN(L$6-$G$3,22))),0)))))</f>
        <v>0</v>
      </c>
      <c r="M76" s="27" t="n">
        <f aca="false">IF(COUNT(Amendoim!$E74:$Z74)=0,0,MAX(0,IF((M$6-$E$3)&lt;1,0,IFERROR(LOOKUP(2,1/(Amendoim!$E74:INDEX(Amendoim!$E74:$Z74,MIN(M$6-$E$3,22))&lt;&gt;""),Amendoim!$E74:INDEX(Amendoim!$E74:$Z74,MIN(M$6-$E$3,22))),0))-IF($G$2,0,IF((M$6-$G$3)&lt;1,0,IFERROR(LOOKUP(2,1/(Amendoim!$E74:INDEX(Amendoim!$E74:$Z74,MIN(M$6-$G$3,22))&lt;&gt;""),Amendoim!$E74:INDEX(Amendoim!$E74:$Z74,MIN(M$6-$G$3,22))),0)))))</f>
        <v>0</v>
      </c>
      <c r="N76" s="27" t="n">
        <f aca="false">IF(COUNT(Amendoim!$E74:$Z74)=0,0,MAX(0,IF((N$6-$E$3)&lt;1,0,IFERROR(LOOKUP(2,1/(Amendoim!$E74:INDEX(Amendoim!$E74:$Z74,MIN(N$6-$E$3,22))&lt;&gt;""),Amendoim!$E74:INDEX(Amendoim!$E74:$Z74,MIN(N$6-$E$3,22))),0))-IF($G$2,0,IF((N$6-$G$3)&lt;1,0,IFERROR(LOOKUP(2,1/(Amendoim!$E74:INDEX(Amendoim!$E74:$Z74,MIN(N$6-$G$3,22))&lt;&gt;""),Amendoim!$E74:INDEX(Amendoim!$E74:$Z74,MIN(N$6-$G$3,22))),0)))))</f>
        <v>0</v>
      </c>
      <c r="O76" s="27" t="n">
        <f aca="false">IF(COUNT(Amendoim!$E74:$Z74)=0,0,MAX(0,IF((O$6-$E$3)&lt;1,0,IFERROR(LOOKUP(2,1/(Amendoim!$E74:INDEX(Amendoim!$E74:$Z74,MIN(O$6-$E$3,22))&lt;&gt;""),Amendoim!$E74:INDEX(Amendoim!$E74:$Z74,MIN(O$6-$E$3,22))),0))-IF($G$2,0,IF((O$6-$G$3)&lt;1,0,IFERROR(LOOKUP(2,1/(Amendoim!$E74:INDEX(Amendoim!$E74:$Z74,MIN(O$6-$G$3,22))&lt;&gt;""),Amendoim!$E74:INDEX(Amendoim!$E74:$Z74,MIN(O$6-$G$3,22))),0)))))</f>
        <v>0</v>
      </c>
      <c r="P76" s="27" t="n">
        <f aca="false">IF(COUNT(Amendoim!$E74:$Z74)=0,0,MAX(0,IF((P$6-$E$3)&lt;1,0,IFERROR(LOOKUP(2,1/(Amendoim!$E74:INDEX(Amendoim!$E74:$Z74,MIN(P$6-$E$3,22))&lt;&gt;""),Amendoim!$E74:INDEX(Amendoim!$E74:$Z74,MIN(P$6-$E$3,22))),0))-IF($G$2,0,IF((P$6-$G$3)&lt;1,0,IFERROR(LOOKUP(2,1/(Amendoim!$E74:INDEX(Amendoim!$E74:$Z74,MIN(P$6-$G$3,22))&lt;&gt;""),Amendoim!$E74:INDEX(Amendoim!$E74:$Z74,MIN(P$6-$G$3,22))),0)))))</f>
        <v>0</v>
      </c>
      <c r="Q76" s="27" t="n">
        <f aca="false">IF(COUNT(Amendoim!$E74:$Z74)=0,0,MAX(0,IF((Q$6-$E$3)&lt;1,0,IFERROR(LOOKUP(2,1/(Amendoim!$E74:INDEX(Amendoim!$E74:$Z74,MIN(Q$6-$E$3,22))&lt;&gt;""),Amendoim!$E74:INDEX(Amendoim!$E74:$Z74,MIN(Q$6-$E$3,22))),0))-IF($G$2,0,IF((Q$6-$G$3)&lt;1,0,IFERROR(LOOKUP(2,1/(Amendoim!$E74:INDEX(Amendoim!$E74:$Z74,MIN(Q$6-$G$3,22))&lt;&gt;""),Amendoim!$E74:INDEX(Amendoim!$E74:$Z74,MIN(Q$6-$G$3,22))),0)))))</f>
        <v>0</v>
      </c>
      <c r="R76" s="27" t="n">
        <f aca="false">IF(COUNT(Amendoim!$E74:$Z74)=0,0,MAX(0,IF((R$6-$E$3)&lt;1,0,IFERROR(LOOKUP(2,1/(Amendoim!$E74:INDEX(Amendoim!$E74:$Z74,MIN(R$6-$E$3,22))&lt;&gt;""),Amendoim!$E74:INDEX(Amendoim!$E74:$Z74,MIN(R$6-$E$3,22))),0))-IF($G$2,0,IF((R$6-$G$3)&lt;1,0,IFERROR(LOOKUP(2,1/(Amendoim!$E74:INDEX(Amendoim!$E74:$Z74,MIN(R$6-$G$3,22))&lt;&gt;""),Amendoim!$E74:INDEX(Amendoim!$E74:$Z74,MIN(R$6-$G$3,22))),0)))))</f>
        <v>0</v>
      </c>
      <c r="S76" s="27" t="n">
        <f aca="false">IF(COUNT(Amendoim!$E74:$Z74)=0,0,MAX(0,IF((S$6-$E$3)&lt;1,0,IFERROR(LOOKUP(2,1/(Amendoim!$E74:INDEX(Amendoim!$E74:$Z74,MIN(S$6-$E$3,22))&lt;&gt;""),Amendoim!$E74:INDEX(Amendoim!$E74:$Z74,MIN(S$6-$E$3,22))),0))-IF($G$2,0,IF((S$6-$G$3)&lt;1,0,IFERROR(LOOKUP(2,1/(Amendoim!$E74:INDEX(Amendoim!$E74:$Z74,MIN(S$6-$G$3,22))&lt;&gt;""),Amendoim!$E74:INDEX(Amendoim!$E74:$Z74,MIN(S$6-$G$3,22))),0)))))</f>
        <v>0</v>
      </c>
      <c r="T76" s="27" t="n">
        <f aca="false">IF(COUNT(Amendoim!$E74:$Z74)=0,0,MAX(0,IF((T$6-$E$3)&lt;1,0,IFERROR(LOOKUP(2,1/(Amendoim!$E74:INDEX(Amendoim!$E74:$Z74,MIN(T$6-$E$3,22))&lt;&gt;""),Amendoim!$E74:INDEX(Amendoim!$E74:$Z74,MIN(T$6-$E$3,22))),0))-IF($G$2,0,IF((T$6-$G$3)&lt;1,0,IFERROR(LOOKUP(2,1/(Amendoim!$E74:INDEX(Amendoim!$E74:$Z74,MIN(T$6-$G$3,22))&lt;&gt;""),Amendoim!$E74:INDEX(Amendoim!$E74:$Z74,MIN(T$6-$G$3,22))),0)))))</f>
        <v>0</v>
      </c>
      <c r="U76" s="27" t="n">
        <f aca="false">IF(COUNT(Amendoim!$E74:$Z74)=0,0,MAX(0,IF((U$6-$E$3)&lt;1,0,IFERROR(LOOKUP(2,1/(Amendoim!$E74:INDEX(Amendoim!$E74:$Z74,MIN(U$6-$E$3,22))&lt;&gt;""),Amendoim!$E74:INDEX(Amendoim!$E74:$Z74,MIN(U$6-$E$3,22))),0))-IF($G$2,0,IF((U$6-$G$3)&lt;1,0,IFERROR(LOOKUP(2,1/(Amendoim!$E74:INDEX(Amendoim!$E74:$Z74,MIN(U$6-$G$3,22))&lt;&gt;""),Amendoim!$E74:INDEX(Amendoim!$E74:$Z74,MIN(U$6-$G$3,22))),0)))))</f>
        <v>0</v>
      </c>
      <c r="V76" s="27" t="n">
        <f aca="false">IF(COUNT(Amendoim!$E74:$Z74)=0,0,MAX(0,IF((V$6-$E$3)&lt;1,0,IFERROR(LOOKUP(2,1/(Amendoim!$E74:INDEX(Amendoim!$E74:$Z74,MIN(V$6-$E$3,22))&lt;&gt;""),Amendoim!$E74:INDEX(Amendoim!$E74:$Z74,MIN(V$6-$E$3,22))),0))-IF($G$2,0,IF((V$6-$G$3)&lt;1,0,IFERROR(LOOKUP(2,1/(Amendoim!$E74:INDEX(Amendoim!$E74:$Z74,MIN(V$6-$G$3,22))&lt;&gt;""),Amendoim!$E74:INDEX(Amendoim!$E74:$Z74,MIN(V$6-$G$3,22))),0)))))</f>
        <v>0</v>
      </c>
      <c r="W76" s="27" t="n">
        <f aca="false">IF(COUNT(Amendoim!$E74:$Z74)=0,0,MAX(0,IF((W$6-$E$3)&lt;1,0,IFERROR(LOOKUP(2,1/(Amendoim!$E74:INDEX(Amendoim!$E74:$Z74,MIN(W$6-$E$3,22))&lt;&gt;""),Amendoim!$E74:INDEX(Amendoim!$E74:$Z74,MIN(W$6-$E$3,22))),0))-IF($G$2,0,IF((W$6-$G$3)&lt;1,0,IFERROR(LOOKUP(2,1/(Amendoim!$E74:INDEX(Amendoim!$E74:$Z74,MIN(W$6-$G$3,22))&lt;&gt;""),Amendoim!$E74:INDEX(Amendoim!$E74:$Z74,MIN(W$6-$G$3,22))),0)))))</f>
        <v>0</v>
      </c>
      <c r="X76" s="27" t="n">
        <f aca="false">IF(COUNT(Amendoim!$E74:$Z74)=0,0,MAX(0,IF((X$6-$E$3)&lt;1,0,IFERROR(LOOKUP(2,1/(Amendoim!$E74:INDEX(Amendoim!$E74:$Z74,MIN(X$6-$E$3,22))&lt;&gt;""),Amendoim!$E74:INDEX(Amendoim!$E74:$Z74,MIN(X$6-$E$3,22))),0))-IF($G$2,0,IF((X$6-$G$3)&lt;1,0,IFERROR(LOOKUP(2,1/(Amendoim!$E74:INDEX(Amendoim!$E74:$Z74,MIN(X$6-$G$3,22))&lt;&gt;""),Amendoim!$E74:INDEX(Amendoim!$E74:$Z74,MIN(X$6-$G$3,22))),0)))))</f>
        <v>0</v>
      </c>
      <c r="Y76" s="27" t="n">
        <f aca="false">IF(COUNT(Amendoim!$E74:$Z74)=0,0,MAX(0,IF((Y$6-$E$3)&lt;1,0,IFERROR(LOOKUP(2,1/(Amendoim!$E74:INDEX(Amendoim!$E74:$Z74,MIN(Y$6-$E$3,22))&lt;&gt;""),Amendoim!$E74:INDEX(Amendoim!$E74:$Z74,MIN(Y$6-$E$3,22))),0))-IF($G$2,0,IF((Y$6-$G$3)&lt;1,0,IFERROR(LOOKUP(2,1/(Amendoim!$E74:INDEX(Amendoim!$E74:$Z74,MIN(Y$6-$G$3,22))&lt;&gt;""),Amendoim!$E74:INDEX(Amendoim!$E74:$Z74,MIN(Y$6-$G$3,22))),0)))))</f>
        <v>0</v>
      </c>
      <c r="Z76" s="27" t="n">
        <f aca="false">IF(COUNT(Amendoim!$E74:$Z74)=0,0,MAX(0,IF((Z$6-$E$3)&lt;1,0,IFERROR(LOOKUP(2,1/(Amendoim!$E74:INDEX(Amendoim!$E74:$Z74,MIN(Z$6-$E$3,22))&lt;&gt;""),Amendoim!$E74:INDEX(Amendoim!$E74:$Z74,MIN(Z$6-$E$3,22))),0))-IF($G$2,0,IF((Z$6-$G$3)&lt;1,0,IFERROR(LOOKUP(2,1/(Amendoim!$E74:INDEX(Amendoim!$E74:$Z74,MIN(Z$6-$G$3,22))&lt;&gt;""),Amendoim!$E74:INDEX(Amendoim!$E74:$Z74,MIN(Z$6-$G$3,22))),0)))))</f>
        <v>0</v>
      </c>
      <c r="AA76" s="27" t="n">
        <f aca="false">IF(COUNT(Amendoim!$E74:$Z74)=0,0,MAX(0,IF((AA$6-$E$3)&lt;1,0,IFERROR(LOOKUP(2,1/(Amendoim!$E74:INDEX(Amendoim!$E74:$Z74,MIN(AA$6-$E$3,22))&lt;&gt;""),Amendoim!$E74:INDEX(Amendoim!$E74:$Z74,MIN(AA$6-$E$3,22))),0))-IF($G$2,0,IF((AA$6-$G$3)&lt;1,0,IFERROR(LOOKUP(2,1/(Amendoim!$E74:INDEX(Amendoim!$E74:$Z74,MIN(AA$6-$G$3,22))&lt;&gt;""),Amendoim!$E74:INDEX(Amendoim!$E74:$Z74,MIN(AA$6-$G$3,22))),0)))))</f>
        <v>0</v>
      </c>
      <c r="AB76" s="27" t="n">
        <f aca="false">IF(COUNT(Amendoim!$E74:$Z74)=0,0,MAX(0,IF((AB$6-$E$3)&lt;1,0,IFERROR(LOOKUP(2,1/(Amendoim!$E74:INDEX(Amendoim!$E74:$Z74,MIN(AB$6-$E$3,22))&lt;&gt;""),Amendoim!$E74:INDEX(Amendoim!$E74:$Z74,MIN(AB$6-$E$3,22))),0))-IF($G$2,0,IF((AB$6-$G$3)&lt;1,0,IFERROR(LOOKUP(2,1/(Amendoim!$E74:INDEX(Amendoim!$E74:$Z74,MIN(AB$6-$G$3,22))&lt;&gt;""),Amendoim!$E74:INDEX(Amendoim!$E74:$Z74,MIN(AB$6-$G$3,22))),0)))))</f>
        <v>0</v>
      </c>
      <c r="AC76" s="27" t="n">
        <f aca="false">IF(COUNT(Amendoim!$E74:$Z74)=0,0,MAX(0,IF((AC$6-$E$3)&lt;1,0,IFERROR(LOOKUP(2,1/(Amendoim!$E74:INDEX(Amendoim!$E74:$Z74,MIN(AC$6-$E$3,22))&lt;&gt;""),Amendoim!$E74:INDEX(Amendoim!$E74:$Z74,MIN(AC$6-$E$3,22))),0))-IF($G$2,0,IF((AC$6-$G$3)&lt;1,0,IFERROR(LOOKUP(2,1/(Amendoim!$E74:INDEX(Amendoim!$E74:$Z74,MIN(AC$6-$G$3,22))&lt;&gt;""),Amendoim!$E74:INDEX(Amendoim!$E74:$Z74,MIN(AC$6-$G$3,22))),0)))))</f>
        <v>0</v>
      </c>
      <c r="AD76" s="27" t="n">
        <f aca="false">IF(COUNT(Amendoim!$E74:$Z74)=0,0,MAX(0,IF((AD$6-$E$3)&lt;1,0,IFERROR(LOOKUP(2,1/(Amendoim!$E74:INDEX(Amendoim!$E74:$Z74,MIN(AD$6-$E$3,22))&lt;&gt;""),Amendoim!$E74:INDEX(Amendoim!$E74:$Z74,MIN(AD$6-$E$3,22))),0))-IF($G$2,0,IF((AD$6-$G$3)&lt;1,0,IFERROR(LOOKUP(2,1/(Amendoim!$E74:INDEX(Amendoim!$E74:$Z74,MIN(AD$6-$G$3,22))&lt;&gt;""),Amendoim!$E74:INDEX(Amendoim!$E74:$Z74,MIN(AD$6-$G$3,22))),0)))))</f>
        <v>0</v>
      </c>
      <c r="AE76" s="27" t="n">
        <f aca="false">IF(COUNT(Amendoim!$E74:$Z74)=0,0,MAX(0,IF((AE$6-$E$3)&lt;1,0,IFERROR(LOOKUP(2,1/(Amendoim!$E74:INDEX(Amendoim!$E74:$Z74,MIN(AE$6-$E$3,22))&lt;&gt;""),Amendoim!$E74:INDEX(Amendoim!$E74:$Z74,MIN(AE$6-$E$3,22))),0))-IF($G$2,0,IF((AE$6-$G$3)&lt;1,0,IFERROR(LOOKUP(2,1/(Amendoim!$E74:INDEX(Amendoim!$E74:$Z74,MIN(AE$6-$G$3,22))&lt;&gt;""),Amendoim!$E74:INDEX(Amendoim!$E74:$Z74,MIN(AE$6-$G$3,22))),0)))))</f>
        <v>0</v>
      </c>
      <c r="AF76" s="27" t="n">
        <f aca="false">IF(COUNT(Amendoim!$E74:$Z74)=0,0,MAX(0,IF((AF$6-$E$3)&lt;1,0,IFERROR(LOOKUP(2,1/(Amendoim!$E74:INDEX(Amendoim!$E74:$Z74,MIN(AF$6-$E$3,22))&lt;&gt;""),Amendoim!$E74:INDEX(Amendoim!$E74:$Z74,MIN(AF$6-$E$3,22))),0))-IF($G$2,0,IF((AF$6-$G$3)&lt;1,0,IFERROR(LOOKUP(2,1/(Amendoim!$E74:INDEX(Amendoim!$E74:$Z74,MIN(AF$6-$G$3,22))&lt;&gt;""),Amendoim!$E74:INDEX(Amendoim!$E74:$Z74,MIN(AF$6-$G$3,22))),0)))))</f>
        <v>0</v>
      </c>
      <c r="AG76" s="27" t="n">
        <f aca="false">IF(COUNT(Amendoim!$E74:$Z74)=0,0,MAX(0,IF((AG$6-$E$3)&lt;1,0,IFERROR(LOOKUP(2,1/(Amendoim!$E74:INDEX(Amendoim!$E74:$Z74,MIN(AG$6-$E$3,22))&lt;&gt;""),Amendoim!$E74:INDEX(Amendoim!$E74:$Z74,MIN(AG$6-$E$3,22))),0))-IF($G$2,0,IF((AG$6-$G$3)&lt;1,0,IFERROR(LOOKUP(2,1/(Amendoim!$E74:INDEX(Amendoim!$E74:$Z74,MIN(AG$6-$G$3,22))&lt;&gt;""),Amendoim!$E74:INDEX(Amendoim!$E74:$Z74,MIN(AG$6-$G$3,22))),0)))))</f>
        <v>0</v>
      </c>
      <c r="AH76" s="27" t="n">
        <f aca="false">IF(COUNT(Amendoim!$E74:$Z74)=0,0,MAX(0,IF((AH$6-$E$3)&lt;1,0,IFERROR(LOOKUP(2,1/(Amendoim!$E74:INDEX(Amendoim!$E74:$Z74,MIN(AH$6-$E$3,22))&lt;&gt;""),Amendoim!$E74:INDEX(Amendoim!$E74:$Z74,MIN(AH$6-$E$3,22))),0))-IF($G$2,0,IF((AH$6-$G$3)&lt;1,0,IFERROR(LOOKUP(2,1/(Amendoim!$E74:INDEX(Amendoim!$E74:$Z74,MIN(AH$6-$G$3,22))&lt;&gt;""),Amendoim!$E74:INDEX(Amendoim!$E74:$Z74,MIN(AH$6-$G$3,22))),0)))))</f>
        <v>0</v>
      </c>
      <c r="AI76" s="27" t="n">
        <f aca="false">IF(COUNT(Amendoim!$E74:$Z74)=0,0,MAX(0,IF((AI$6-$E$3)&lt;1,0,IFERROR(LOOKUP(2,1/(Amendoim!$E74:INDEX(Amendoim!$E74:$Z74,MIN(AI$6-$E$3,22))&lt;&gt;""),Amendoim!$E74:INDEX(Amendoim!$E74:$Z74,MIN(AI$6-$E$3,22))),0))-IF($G$2,0,IF((AI$6-$G$3)&lt;1,0,IFERROR(LOOKUP(2,1/(Amendoim!$E74:INDEX(Amendoim!$E74:$Z74,MIN(AI$6-$G$3,22))&lt;&gt;""),Amendoim!$E74:INDEX(Amendoim!$E74:$Z74,MIN(AI$6-$G$3,22))),0)))))</f>
        <v>0</v>
      </c>
      <c r="AJ76" s="27" t="n">
        <f aca="false">IF(COUNT(Amendoim!$E74:$Z74)=0,0,MAX(0,IF((AJ$6-$E$3)&lt;1,0,IFERROR(LOOKUP(2,1/(Amendoim!$E74:INDEX(Amendoim!$E74:$Z74,MIN(AJ$6-$E$3,22))&lt;&gt;""),Amendoim!$E74:INDEX(Amendoim!$E74:$Z74,MIN(AJ$6-$E$3,22))),0))-IF($G$2,0,IF((AJ$6-$G$3)&lt;1,0,IFERROR(LOOKUP(2,1/(Amendoim!$E74:INDEX(Amendoim!$E74:$Z74,MIN(AJ$6-$G$3,22))&lt;&gt;""),Amendoim!$E74:INDEX(Amendoim!$E74:$Z74,MIN(AJ$6-$G$3,22))),0)))))</f>
        <v>0</v>
      </c>
      <c r="AK76" s="27" t="n">
        <f aca="false">IF(COUNT(Amendoim!$E74:$Z74)=0,0,MAX(0,IF((AK$6-$E$3)&lt;1,0,IFERROR(LOOKUP(2,1/(Amendoim!$E74:INDEX(Amendoim!$E74:$Z74,MIN(AK$6-$E$3,22))&lt;&gt;""),Amendoim!$E74:INDEX(Amendoim!$E74:$Z74,MIN(AK$6-$E$3,22))),0))-IF($G$2,0,IF((AK$6-$G$3)&lt;1,0,IFERROR(LOOKUP(2,1/(Amendoim!$E74:INDEX(Amendoim!$E74:$Z74,MIN(AK$6-$G$3,22))&lt;&gt;""),Amendoim!$E74:INDEX(Amendoim!$E74:$Z74,MIN(AK$6-$G$3,22))),0)))))</f>
        <v>0</v>
      </c>
      <c r="AL76" s="27" t="n">
        <f aca="false">IF(COUNT(Amendoim!$E74:$Z74)=0,0,MAX(0,IF((AL$6-$E$3)&lt;1,0,IFERROR(LOOKUP(2,1/(Amendoim!$E74:INDEX(Amendoim!$E74:$Z74,MIN(AL$6-$E$3,22))&lt;&gt;""),Amendoim!$E74:INDEX(Amendoim!$E74:$Z74,MIN(AL$6-$E$3,22))),0))-IF($G$2,0,IF((AL$6-$G$3)&lt;1,0,IFERROR(LOOKUP(2,1/(Amendoim!$E74:INDEX(Amendoim!$E74:$Z74,MIN(AL$6-$G$3,22))&lt;&gt;""),Amendoim!$E74:INDEX(Amendoim!$E74:$Z74,MIN(AL$6-$G$3,22))),0)))))</f>
        <v>0</v>
      </c>
      <c r="AM76" s="27" t="n">
        <f aca="false">IF(COUNT(Amendoim!$E74:$Z74)=0,0,MAX(0,IF((AM$6-$E$3)&lt;1,0,IFERROR(LOOKUP(2,1/(Amendoim!$E74:INDEX(Amendoim!$E74:$Z74,MIN(AM$6-$E$3,22))&lt;&gt;""),Amendoim!$E74:INDEX(Amendoim!$E74:$Z74,MIN(AM$6-$E$3,22))),0))-IF($G$2,0,IF((AM$6-$G$3)&lt;1,0,IFERROR(LOOKUP(2,1/(Amendoim!$E74:INDEX(Amendoim!$E74:$Z74,MIN(AM$6-$G$3,22))&lt;&gt;""),Amendoim!$E74:INDEX(Amendoim!$E74:$Z74,MIN(AM$6-$G$3,22))),0)))))</f>
        <v>0</v>
      </c>
      <c r="AN76" s="27" t="n">
        <f aca="false">IF(COUNT(Amendoim!$E74:$Z74)=0,0,MAX(0,IF((AN$6-$E$3)&lt;1,0,IFERROR(LOOKUP(2,1/(Amendoim!$E74:INDEX(Amendoim!$E74:$Z74,MIN(AN$6-$E$3,22))&lt;&gt;""),Amendoim!$E74:INDEX(Amendoim!$E74:$Z74,MIN(AN$6-$E$3,22))),0))-IF($G$2,0,IF((AN$6-$G$3)&lt;1,0,IFERROR(LOOKUP(2,1/(Amendoim!$E74:INDEX(Amendoim!$E74:$Z74,MIN(AN$6-$G$3,22))&lt;&gt;""),Amendoim!$E74:INDEX(Amendoim!$E74:$Z74,MIN(AN$6-$G$3,22))),0)))))</f>
        <v>0</v>
      </c>
      <c r="AO76" s="27" t="n">
        <f aca="false">IF(COUNT(Amendoim!$E74:$Z74)=0,0,MAX(0,IF((AO$6-$E$3)&lt;1,0,IFERROR(LOOKUP(2,1/(Amendoim!$E74:INDEX(Amendoim!$E74:$Z74,MIN(AO$6-$E$3,22))&lt;&gt;""),Amendoim!$E74:INDEX(Amendoim!$E74:$Z74,MIN(AO$6-$E$3,22))),0))-IF($G$2,0,IF((AO$6-$G$3)&lt;1,0,IFERROR(LOOKUP(2,1/(Amendoim!$E74:INDEX(Amendoim!$E74:$Z74,MIN(AO$6-$G$3,22))&lt;&gt;""),Amendoim!$E74:INDEX(Amendoim!$E74:$Z74,MIN(AO$6-$G$3,22))),0)))))</f>
        <v>0</v>
      </c>
      <c r="AP76" s="27" t="n">
        <f aca="false">IF(COUNT(Amendoim!$E74:$Z74)=0,0,MAX(0,IF((AP$6-$E$3)&lt;1,0,IFERROR(LOOKUP(2,1/(Amendoim!$E74:INDEX(Amendoim!$E74:$Z74,MIN(AP$6-$E$3,22))&lt;&gt;""),Amendoim!$E74:INDEX(Amendoim!$E74:$Z74,MIN(AP$6-$E$3,22))),0))-IF($G$2,0,IF((AP$6-$G$3)&lt;1,0,IFERROR(LOOKUP(2,1/(Amendoim!$E74:INDEX(Amendoim!$E74:$Z74,MIN(AP$6-$G$3,22))&lt;&gt;""),Amendoim!$E74:INDEX(Amendoim!$E74:$Z74,MIN(AP$6-$G$3,22))),0)))))</f>
        <v>0</v>
      </c>
      <c r="AQ76" s="27" t="n">
        <f aca="false">IF(COUNT(Amendoim!$E74:$Z74)=0,0,MAX(0,IF((AQ$6-$E$3)&lt;1,0,IFERROR(LOOKUP(2,1/(Amendoim!$E74:INDEX(Amendoim!$E74:$Z74,MIN(AQ$6-$E$3,22))&lt;&gt;""),Amendoim!$E74:INDEX(Amendoim!$E74:$Z74,MIN(AQ$6-$E$3,22))),0))-IF($G$2,0,IF((AQ$6-$G$3)&lt;1,0,IFERROR(LOOKUP(2,1/(Amendoim!$E74:INDEX(Amendoim!$E74:$Z74,MIN(AQ$6-$G$3,22))&lt;&gt;""),Amendoim!$E74:INDEX(Amendoim!$E74:$Z74,MIN(AQ$6-$G$3,22))),0)))))</f>
        <v>0</v>
      </c>
      <c r="AR76" s="27" t="n">
        <f aca="false">IF(COUNT(Amendoim!$E74:$Z74)=0,0,MAX(0,IF((AR$6-$E$3)&lt;1,0,IFERROR(LOOKUP(2,1/(Amendoim!$E74:INDEX(Amendoim!$E74:$Z74,MIN(AR$6-$E$3,22))&lt;&gt;""),Amendoim!$E74:INDEX(Amendoim!$E74:$Z74,MIN(AR$6-$E$3,22))),0))-IF($G$2,0,IF((AR$6-$G$3)&lt;1,0,IFERROR(LOOKUP(2,1/(Amendoim!$E74:INDEX(Amendoim!$E74:$Z74,MIN(AR$6-$G$3,22))&lt;&gt;""),Amendoim!$E74:INDEX(Amendoim!$E74:$Z74,MIN(AR$6-$G$3,22))),0)))))</f>
        <v>0</v>
      </c>
      <c r="AS76" s="27" t="n">
        <f aca="false">IF(COUNT(Amendoim!$E74:$Z74)=0,0,MAX(0,IF((AS$6-$E$3)&lt;1,0,IFERROR(LOOKUP(2,1/(Amendoim!$E74:INDEX(Amendoim!$E74:$Z74,MIN(AS$6-$E$3,22))&lt;&gt;""),Amendoim!$E74:INDEX(Amendoim!$E74:$Z74,MIN(AS$6-$E$3,22))),0))-IF($G$2,0,IF((AS$6-$G$3)&lt;1,0,IFERROR(LOOKUP(2,1/(Amendoim!$E74:INDEX(Amendoim!$E74:$Z74,MIN(AS$6-$G$3,22))&lt;&gt;""),Amendoim!$E74:INDEX(Amendoim!$E74:$Z74,MIN(AS$6-$G$3,22))),0)))))</f>
        <v>0</v>
      </c>
      <c r="AT76" s="27" t="n">
        <f aca="false">IF(COUNT(Amendoim!$E74:$Z74)=0,0,MAX(0,IF((AT$6-$E$3)&lt;1,0,IFERROR(LOOKUP(2,1/(Amendoim!$E74:INDEX(Amendoim!$E74:$Z74,MIN(AT$6-$E$3,22))&lt;&gt;""),Amendoim!$E74:INDEX(Amendoim!$E74:$Z74,MIN(AT$6-$E$3,22))),0))-IF($G$2,0,IF((AT$6-$G$3)&lt;1,0,IFERROR(LOOKUP(2,1/(Amendoim!$E74:INDEX(Amendoim!$E74:$Z74,MIN(AT$6-$G$3,22))&lt;&gt;""),Amendoim!$E74:INDEX(Amendoim!$E74:$Z74,MIN(AT$6-$G$3,22))),0)))))</f>
        <v>0</v>
      </c>
      <c r="AU76" s="27" t="n">
        <f aca="false">IF(COUNT(Amendoim!$E74:$Z74)=0,0,MAX(0,IF((AU$6-$E$3)&lt;1,0,IFERROR(LOOKUP(2,1/(Amendoim!$E74:INDEX(Amendoim!$E74:$Z74,MIN(AU$6-$E$3,22))&lt;&gt;""),Amendoim!$E74:INDEX(Amendoim!$E74:$Z74,MIN(AU$6-$E$3,22))),0))-IF($G$2,0,IF((AU$6-$G$3)&lt;1,0,IFERROR(LOOKUP(2,1/(Amendoim!$E74:INDEX(Amendoim!$E74:$Z74,MIN(AU$6-$G$3,22))&lt;&gt;""),Amendoim!$E74:INDEX(Amendoim!$E74:$Z74,MIN(AU$6-$G$3,22))),0)))))</f>
        <v>0</v>
      </c>
      <c r="AV76" s="27" t="n">
        <f aca="false">IF(COUNT(Amendoim!$E74:$Z74)=0,0,MAX(0,IF((AV$6-$E$3)&lt;1,0,IFERROR(LOOKUP(2,1/(Amendoim!$E74:INDEX(Amendoim!$E74:$Z74,MIN(AV$6-$E$3,22))&lt;&gt;""),Amendoim!$E74:INDEX(Amendoim!$E74:$Z74,MIN(AV$6-$E$3,22))),0))-IF($G$2,0,IF((AV$6-$G$3)&lt;1,0,IFERROR(LOOKUP(2,1/(Amendoim!$E74:INDEX(Amendoim!$E74:$Z74,MIN(AV$6-$G$3,22))&lt;&gt;""),Amendoim!$E74:INDEX(Amendoim!$E74:$Z74,MIN(AV$6-$G$3,22))),0)))))</f>
        <v>0</v>
      </c>
      <c r="AW76" s="27" t="n">
        <f aca="false">IF(COUNT(Amendoim!$E74:$Z74)=0,0,MAX(0,IF((AW$6-$E$3)&lt;1,0,IFERROR(LOOKUP(2,1/(Amendoim!$E74:INDEX(Amendoim!$E74:$Z74,MIN(AW$6-$E$3,22))&lt;&gt;""),Amendoim!$E74:INDEX(Amendoim!$E74:$Z74,MIN(AW$6-$E$3,22))),0))-IF($G$2,0,IF((AW$6-$G$3)&lt;1,0,IFERROR(LOOKUP(2,1/(Amendoim!$E74:INDEX(Amendoim!$E74:$Z74,MIN(AW$6-$G$3,22))&lt;&gt;""),Amendoim!$E74:INDEX(Amendoim!$E74:$Z74,MIN(AW$6-$G$3,22))),0)))))</f>
        <v>0</v>
      </c>
      <c r="AX76" s="27" t="n">
        <f aca="false">IF(COUNT(Amendoim!$E74:$Z74)=0,0,MAX(0,IF((AX$6-$E$3)&lt;1,0,IFERROR(LOOKUP(2,1/(Amendoim!$E74:INDEX(Amendoim!$E74:$Z74,MIN(AX$6-$E$3,22))&lt;&gt;""),Amendoim!$E74:INDEX(Amendoim!$E74:$Z74,MIN(AX$6-$E$3,22))),0))-IF($G$2,0,IF((AX$6-$G$3)&lt;1,0,IFERROR(LOOKUP(2,1/(Amendoim!$E74:INDEX(Amendoim!$E74:$Z74,MIN(AX$6-$G$3,22))&lt;&gt;""),Amendoim!$E74:INDEX(Amendoim!$E74:$Z74,MIN(AX$6-$G$3,22))),0)))))</f>
        <v>0</v>
      </c>
      <c r="AY76" s="27" t="n">
        <f aca="false">IF(COUNT(Amendoim!$E74:$Z74)=0,0,MAX(0,IF((AY$6-$E$3)&lt;1,0,IFERROR(LOOKUP(2,1/(Amendoim!$E74:INDEX(Amendoim!$E74:$Z74,MIN(AY$6-$E$3,22))&lt;&gt;""),Amendoim!$E74:INDEX(Amendoim!$E74:$Z74,MIN(AY$6-$E$3,22))),0))-IF($G$2,0,IF((AY$6-$G$3)&lt;1,0,IFERROR(LOOKUP(2,1/(Amendoim!$E74:INDEX(Amendoim!$E74:$Z74,MIN(AY$6-$G$3,22))&lt;&gt;""),Amendoim!$E74:INDEX(Amendoim!$E74:$Z74,MIN(AY$6-$G$3,22))),0)))))</f>
        <v>0</v>
      </c>
      <c r="AZ76" s="27" t="n">
        <f aca="false">IF(COUNT(Amendoim!$E74:$Z74)=0,0,MAX(0,IF((AZ$6-$E$3)&lt;1,0,IFERROR(LOOKUP(2,1/(Amendoim!$E74:INDEX(Amendoim!$E74:$Z74,MIN(AZ$6-$E$3,22))&lt;&gt;""),Amendoim!$E74:INDEX(Amendoim!$E74:$Z74,MIN(AZ$6-$E$3,22))),0))-IF($G$2,0,IF((AZ$6-$G$3)&lt;1,0,IFERROR(LOOKUP(2,1/(Amendoim!$E74:INDEX(Amendoim!$E74:$Z74,MIN(AZ$6-$G$3,22))&lt;&gt;""),Amendoim!$E74:INDEX(Amendoim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IF(COUNT(Amendoim!$E75:$Z75)&gt;0,N(Amendoim!$D75),0)</f>
        <v>0</v>
      </c>
      <c r="E77" s="27" t="n">
        <f aca="false">IF(COUNT(Amendoim!$E75:$Z75)=0,0,MAX(0,IF((E$6-$E$3)&lt;1,0,IFERROR(LOOKUP(2,1/(Amendoim!$E75:INDEX(Amendoim!$E75:$Z75,MIN(E$6-$E$3,22))&lt;&gt;""),Amendoim!$E75:INDEX(Amendoim!$E75:$Z75,MIN(E$6-$E$3,22))),0))-IF($G$2,0,IF((E$6-$G$3)&lt;1,0,IFERROR(LOOKUP(2,1/(Amendoim!$E75:INDEX(Amendoim!$E75:$Z75,MIN(E$6-$G$3,22))&lt;&gt;""),Amendoim!$E75:INDEX(Amendoim!$E75:$Z75,MIN(E$6-$G$3,22))),0)))))</f>
        <v>0</v>
      </c>
      <c r="F77" s="27" t="n">
        <f aca="false">IF(COUNT(Amendoim!$E75:$Z75)=0,0,MAX(0,IF((F$6-$E$3)&lt;1,0,IFERROR(LOOKUP(2,1/(Amendoim!$E75:INDEX(Amendoim!$E75:$Z75,MIN(F$6-$E$3,22))&lt;&gt;""),Amendoim!$E75:INDEX(Amendoim!$E75:$Z75,MIN(F$6-$E$3,22))),0))-IF($G$2,0,IF((F$6-$G$3)&lt;1,0,IFERROR(LOOKUP(2,1/(Amendoim!$E75:INDEX(Amendoim!$E75:$Z75,MIN(F$6-$G$3,22))&lt;&gt;""),Amendoim!$E75:INDEX(Amendoim!$E75:$Z75,MIN(F$6-$G$3,22))),0)))))</f>
        <v>0</v>
      </c>
      <c r="G77" s="27" t="n">
        <f aca="false">IF(COUNT(Amendoim!$E75:$Z75)=0,0,MAX(0,IF((G$6-$E$3)&lt;1,0,IFERROR(LOOKUP(2,1/(Amendoim!$E75:INDEX(Amendoim!$E75:$Z75,MIN(G$6-$E$3,22))&lt;&gt;""),Amendoim!$E75:INDEX(Amendoim!$E75:$Z75,MIN(G$6-$E$3,22))),0))-IF($G$2,0,IF((G$6-$G$3)&lt;1,0,IFERROR(LOOKUP(2,1/(Amendoim!$E75:INDEX(Amendoim!$E75:$Z75,MIN(G$6-$G$3,22))&lt;&gt;""),Amendoim!$E75:INDEX(Amendoim!$E75:$Z75,MIN(G$6-$G$3,22))),0)))))</f>
        <v>0</v>
      </c>
      <c r="H77" s="27" t="n">
        <f aca="false">IF(COUNT(Amendoim!$E75:$Z75)=0,0,MAX(0,IF((H$6-$E$3)&lt;1,0,IFERROR(LOOKUP(2,1/(Amendoim!$E75:INDEX(Amendoim!$E75:$Z75,MIN(H$6-$E$3,22))&lt;&gt;""),Amendoim!$E75:INDEX(Amendoim!$E75:$Z75,MIN(H$6-$E$3,22))),0))-IF($G$2,0,IF((H$6-$G$3)&lt;1,0,IFERROR(LOOKUP(2,1/(Amendoim!$E75:INDEX(Amendoim!$E75:$Z75,MIN(H$6-$G$3,22))&lt;&gt;""),Amendoim!$E75:INDEX(Amendoim!$E75:$Z75,MIN(H$6-$G$3,22))),0)))))</f>
        <v>0</v>
      </c>
      <c r="I77" s="27" t="n">
        <f aca="false">IF(COUNT(Amendoim!$E75:$Z75)=0,0,MAX(0,IF((I$6-$E$3)&lt;1,0,IFERROR(LOOKUP(2,1/(Amendoim!$E75:INDEX(Amendoim!$E75:$Z75,MIN(I$6-$E$3,22))&lt;&gt;""),Amendoim!$E75:INDEX(Amendoim!$E75:$Z75,MIN(I$6-$E$3,22))),0))-IF($G$2,0,IF((I$6-$G$3)&lt;1,0,IFERROR(LOOKUP(2,1/(Amendoim!$E75:INDEX(Amendoim!$E75:$Z75,MIN(I$6-$G$3,22))&lt;&gt;""),Amendoim!$E75:INDEX(Amendoim!$E75:$Z75,MIN(I$6-$G$3,22))),0)))))</f>
        <v>0</v>
      </c>
      <c r="J77" s="27" t="n">
        <f aca="false">IF(COUNT(Amendoim!$E75:$Z75)=0,0,MAX(0,IF((J$6-$E$3)&lt;1,0,IFERROR(LOOKUP(2,1/(Amendoim!$E75:INDEX(Amendoim!$E75:$Z75,MIN(J$6-$E$3,22))&lt;&gt;""),Amendoim!$E75:INDEX(Amendoim!$E75:$Z75,MIN(J$6-$E$3,22))),0))-IF($G$2,0,IF((J$6-$G$3)&lt;1,0,IFERROR(LOOKUP(2,1/(Amendoim!$E75:INDEX(Amendoim!$E75:$Z75,MIN(J$6-$G$3,22))&lt;&gt;""),Amendoim!$E75:INDEX(Amendoim!$E75:$Z75,MIN(J$6-$G$3,22))),0)))))</f>
        <v>0</v>
      </c>
      <c r="K77" s="27" t="n">
        <f aca="false">IF(COUNT(Amendoim!$E75:$Z75)=0,0,MAX(0,IF((K$6-$E$3)&lt;1,0,IFERROR(LOOKUP(2,1/(Amendoim!$E75:INDEX(Amendoim!$E75:$Z75,MIN(K$6-$E$3,22))&lt;&gt;""),Amendoim!$E75:INDEX(Amendoim!$E75:$Z75,MIN(K$6-$E$3,22))),0))-IF($G$2,0,IF((K$6-$G$3)&lt;1,0,IFERROR(LOOKUP(2,1/(Amendoim!$E75:INDEX(Amendoim!$E75:$Z75,MIN(K$6-$G$3,22))&lt;&gt;""),Amendoim!$E75:INDEX(Amendoim!$E75:$Z75,MIN(K$6-$G$3,22))),0)))))</f>
        <v>0</v>
      </c>
      <c r="L77" s="27" t="n">
        <f aca="false">IF(COUNT(Amendoim!$E75:$Z75)=0,0,MAX(0,IF((L$6-$E$3)&lt;1,0,IFERROR(LOOKUP(2,1/(Amendoim!$E75:INDEX(Amendoim!$E75:$Z75,MIN(L$6-$E$3,22))&lt;&gt;""),Amendoim!$E75:INDEX(Amendoim!$E75:$Z75,MIN(L$6-$E$3,22))),0))-IF($G$2,0,IF((L$6-$G$3)&lt;1,0,IFERROR(LOOKUP(2,1/(Amendoim!$E75:INDEX(Amendoim!$E75:$Z75,MIN(L$6-$G$3,22))&lt;&gt;""),Amendoim!$E75:INDEX(Amendoim!$E75:$Z75,MIN(L$6-$G$3,22))),0)))))</f>
        <v>0</v>
      </c>
      <c r="M77" s="27" t="n">
        <f aca="false">IF(COUNT(Amendoim!$E75:$Z75)=0,0,MAX(0,IF((M$6-$E$3)&lt;1,0,IFERROR(LOOKUP(2,1/(Amendoim!$E75:INDEX(Amendoim!$E75:$Z75,MIN(M$6-$E$3,22))&lt;&gt;""),Amendoim!$E75:INDEX(Amendoim!$E75:$Z75,MIN(M$6-$E$3,22))),0))-IF($G$2,0,IF((M$6-$G$3)&lt;1,0,IFERROR(LOOKUP(2,1/(Amendoim!$E75:INDEX(Amendoim!$E75:$Z75,MIN(M$6-$G$3,22))&lt;&gt;""),Amendoim!$E75:INDEX(Amendoim!$E75:$Z75,MIN(M$6-$G$3,22))),0)))))</f>
        <v>0</v>
      </c>
      <c r="N77" s="27" t="n">
        <f aca="false">IF(COUNT(Amendoim!$E75:$Z75)=0,0,MAX(0,IF((N$6-$E$3)&lt;1,0,IFERROR(LOOKUP(2,1/(Amendoim!$E75:INDEX(Amendoim!$E75:$Z75,MIN(N$6-$E$3,22))&lt;&gt;""),Amendoim!$E75:INDEX(Amendoim!$E75:$Z75,MIN(N$6-$E$3,22))),0))-IF($G$2,0,IF((N$6-$G$3)&lt;1,0,IFERROR(LOOKUP(2,1/(Amendoim!$E75:INDEX(Amendoim!$E75:$Z75,MIN(N$6-$G$3,22))&lt;&gt;""),Amendoim!$E75:INDEX(Amendoim!$E75:$Z75,MIN(N$6-$G$3,22))),0)))))</f>
        <v>0</v>
      </c>
      <c r="O77" s="27" t="n">
        <f aca="false">IF(COUNT(Amendoim!$E75:$Z75)=0,0,MAX(0,IF((O$6-$E$3)&lt;1,0,IFERROR(LOOKUP(2,1/(Amendoim!$E75:INDEX(Amendoim!$E75:$Z75,MIN(O$6-$E$3,22))&lt;&gt;""),Amendoim!$E75:INDEX(Amendoim!$E75:$Z75,MIN(O$6-$E$3,22))),0))-IF($G$2,0,IF((O$6-$G$3)&lt;1,0,IFERROR(LOOKUP(2,1/(Amendoim!$E75:INDEX(Amendoim!$E75:$Z75,MIN(O$6-$G$3,22))&lt;&gt;""),Amendoim!$E75:INDEX(Amendoim!$E75:$Z75,MIN(O$6-$G$3,22))),0)))))</f>
        <v>0</v>
      </c>
      <c r="P77" s="27" t="n">
        <f aca="false">IF(COUNT(Amendoim!$E75:$Z75)=0,0,MAX(0,IF((P$6-$E$3)&lt;1,0,IFERROR(LOOKUP(2,1/(Amendoim!$E75:INDEX(Amendoim!$E75:$Z75,MIN(P$6-$E$3,22))&lt;&gt;""),Amendoim!$E75:INDEX(Amendoim!$E75:$Z75,MIN(P$6-$E$3,22))),0))-IF($G$2,0,IF((P$6-$G$3)&lt;1,0,IFERROR(LOOKUP(2,1/(Amendoim!$E75:INDEX(Amendoim!$E75:$Z75,MIN(P$6-$G$3,22))&lt;&gt;""),Amendoim!$E75:INDEX(Amendoim!$E75:$Z75,MIN(P$6-$G$3,22))),0)))))</f>
        <v>0</v>
      </c>
      <c r="Q77" s="27" t="n">
        <f aca="false">IF(COUNT(Amendoim!$E75:$Z75)=0,0,MAX(0,IF((Q$6-$E$3)&lt;1,0,IFERROR(LOOKUP(2,1/(Amendoim!$E75:INDEX(Amendoim!$E75:$Z75,MIN(Q$6-$E$3,22))&lt;&gt;""),Amendoim!$E75:INDEX(Amendoim!$E75:$Z75,MIN(Q$6-$E$3,22))),0))-IF($G$2,0,IF((Q$6-$G$3)&lt;1,0,IFERROR(LOOKUP(2,1/(Amendoim!$E75:INDEX(Amendoim!$E75:$Z75,MIN(Q$6-$G$3,22))&lt;&gt;""),Amendoim!$E75:INDEX(Amendoim!$E75:$Z75,MIN(Q$6-$G$3,22))),0)))))</f>
        <v>0</v>
      </c>
      <c r="R77" s="27" t="n">
        <f aca="false">IF(COUNT(Amendoim!$E75:$Z75)=0,0,MAX(0,IF((R$6-$E$3)&lt;1,0,IFERROR(LOOKUP(2,1/(Amendoim!$E75:INDEX(Amendoim!$E75:$Z75,MIN(R$6-$E$3,22))&lt;&gt;""),Amendoim!$E75:INDEX(Amendoim!$E75:$Z75,MIN(R$6-$E$3,22))),0))-IF($G$2,0,IF((R$6-$G$3)&lt;1,0,IFERROR(LOOKUP(2,1/(Amendoim!$E75:INDEX(Amendoim!$E75:$Z75,MIN(R$6-$G$3,22))&lt;&gt;""),Amendoim!$E75:INDEX(Amendoim!$E75:$Z75,MIN(R$6-$G$3,22))),0)))))</f>
        <v>0</v>
      </c>
      <c r="S77" s="27" t="n">
        <f aca="false">IF(COUNT(Amendoim!$E75:$Z75)=0,0,MAX(0,IF((S$6-$E$3)&lt;1,0,IFERROR(LOOKUP(2,1/(Amendoim!$E75:INDEX(Amendoim!$E75:$Z75,MIN(S$6-$E$3,22))&lt;&gt;""),Amendoim!$E75:INDEX(Amendoim!$E75:$Z75,MIN(S$6-$E$3,22))),0))-IF($G$2,0,IF((S$6-$G$3)&lt;1,0,IFERROR(LOOKUP(2,1/(Amendoim!$E75:INDEX(Amendoim!$E75:$Z75,MIN(S$6-$G$3,22))&lt;&gt;""),Amendoim!$E75:INDEX(Amendoim!$E75:$Z75,MIN(S$6-$G$3,22))),0)))))</f>
        <v>0</v>
      </c>
      <c r="T77" s="27" t="n">
        <f aca="false">IF(COUNT(Amendoim!$E75:$Z75)=0,0,MAX(0,IF((T$6-$E$3)&lt;1,0,IFERROR(LOOKUP(2,1/(Amendoim!$E75:INDEX(Amendoim!$E75:$Z75,MIN(T$6-$E$3,22))&lt;&gt;""),Amendoim!$E75:INDEX(Amendoim!$E75:$Z75,MIN(T$6-$E$3,22))),0))-IF($G$2,0,IF((T$6-$G$3)&lt;1,0,IFERROR(LOOKUP(2,1/(Amendoim!$E75:INDEX(Amendoim!$E75:$Z75,MIN(T$6-$G$3,22))&lt;&gt;""),Amendoim!$E75:INDEX(Amendoim!$E75:$Z75,MIN(T$6-$G$3,22))),0)))))</f>
        <v>0</v>
      </c>
      <c r="U77" s="27" t="n">
        <f aca="false">IF(COUNT(Amendoim!$E75:$Z75)=0,0,MAX(0,IF((U$6-$E$3)&lt;1,0,IFERROR(LOOKUP(2,1/(Amendoim!$E75:INDEX(Amendoim!$E75:$Z75,MIN(U$6-$E$3,22))&lt;&gt;""),Amendoim!$E75:INDEX(Amendoim!$E75:$Z75,MIN(U$6-$E$3,22))),0))-IF($G$2,0,IF((U$6-$G$3)&lt;1,0,IFERROR(LOOKUP(2,1/(Amendoim!$E75:INDEX(Amendoim!$E75:$Z75,MIN(U$6-$G$3,22))&lt;&gt;""),Amendoim!$E75:INDEX(Amendoim!$E75:$Z75,MIN(U$6-$G$3,22))),0)))))</f>
        <v>0</v>
      </c>
      <c r="V77" s="27" t="n">
        <f aca="false">IF(COUNT(Amendoim!$E75:$Z75)=0,0,MAX(0,IF((V$6-$E$3)&lt;1,0,IFERROR(LOOKUP(2,1/(Amendoim!$E75:INDEX(Amendoim!$E75:$Z75,MIN(V$6-$E$3,22))&lt;&gt;""),Amendoim!$E75:INDEX(Amendoim!$E75:$Z75,MIN(V$6-$E$3,22))),0))-IF($G$2,0,IF((V$6-$G$3)&lt;1,0,IFERROR(LOOKUP(2,1/(Amendoim!$E75:INDEX(Amendoim!$E75:$Z75,MIN(V$6-$G$3,22))&lt;&gt;""),Amendoim!$E75:INDEX(Amendoim!$E75:$Z75,MIN(V$6-$G$3,22))),0)))))</f>
        <v>0</v>
      </c>
      <c r="W77" s="27" t="n">
        <f aca="false">IF(COUNT(Amendoim!$E75:$Z75)=0,0,MAX(0,IF((W$6-$E$3)&lt;1,0,IFERROR(LOOKUP(2,1/(Amendoim!$E75:INDEX(Amendoim!$E75:$Z75,MIN(W$6-$E$3,22))&lt;&gt;""),Amendoim!$E75:INDEX(Amendoim!$E75:$Z75,MIN(W$6-$E$3,22))),0))-IF($G$2,0,IF((W$6-$G$3)&lt;1,0,IFERROR(LOOKUP(2,1/(Amendoim!$E75:INDEX(Amendoim!$E75:$Z75,MIN(W$6-$G$3,22))&lt;&gt;""),Amendoim!$E75:INDEX(Amendoim!$E75:$Z75,MIN(W$6-$G$3,22))),0)))))</f>
        <v>0</v>
      </c>
      <c r="X77" s="27" t="n">
        <f aca="false">IF(COUNT(Amendoim!$E75:$Z75)=0,0,MAX(0,IF((X$6-$E$3)&lt;1,0,IFERROR(LOOKUP(2,1/(Amendoim!$E75:INDEX(Amendoim!$E75:$Z75,MIN(X$6-$E$3,22))&lt;&gt;""),Amendoim!$E75:INDEX(Amendoim!$E75:$Z75,MIN(X$6-$E$3,22))),0))-IF($G$2,0,IF((X$6-$G$3)&lt;1,0,IFERROR(LOOKUP(2,1/(Amendoim!$E75:INDEX(Amendoim!$E75:$Z75,MIN(X$6-$G$3,22))&lt;&gt;""),Amendoim!$E75:INDEX(Amendoim!$E75:$Z75,MIN(X$6-$G$3,22))),0)))))</f>
        <v>0</v>
      </c>
      <c r="Y77" s="27" t="n">
        <f aca="false">IF(COUNT(Amendoim!$E75:$Z75)=0,0,MAX(0,IF((Y$6-$E$3)&lt;1,0,IFERROR(LOOKUP(2,1/(Amendoim!$E75:INDEX(Amendoim!$E75:$Z75,MIN(Y$6-$E$3,22))&lt;&gt;""),Amendoim!$E75:INDEX(Amendoim!$E75:$Z75,MIN(Y$6-$E$3,22))),0))-IF($G$2,0,IF((Y$6-$G$3)&lt;1,0,IFERROR(LOOKUP(2,1/(Amendoim!$E75:INDEX(Amendoim!$E75:$Z75,MIN(Y$6-$G$3,22))&lt;&gt;""),Amendoim!$E75:INDEX(Amendoim!$E75:$Z75,MIN(Y$6-$G$3,22))),0)))))</f>
        <v>0</v>
      </c>
      <c r="Z77" s="27" t="n">
        <f aca="false">IF(COUNT(Amendoim!$E75:$Z75)=0,0,MAX(0,IF((Z$6-$E$3)&lt;1,0,IFERROR(LOOKUP(2,1/(Amendoim!$E75:INDEX(Amendoim!$E75:$Z75,MIN(Z$6-$E$3,22))&lt;&gt;""),Amendoim!$E75:INDEX(Amendoim!$E75:$Z75,MIN(Z$6-$E$3,22))),0))-IF($G$2,0,IF((Z$6-$G$3)&lt;1,0,IFERROR(LOOKUP(2,1/(Amendoim!$E75:INDEX(Amendoim!$E75:$Z75,MIN(Z$6-$G$3,22))&lt;&gt;""),Amendoim!$E75:INDEX(Amendoim!$E75:$Z75,MIN(Z$6-$G$3,22))),0)))))</f>
        <v>0</v>
      </c>
      <c r="AA77" s="27" t="n">
        <f aca="false">IF(COUNT(Amendoim!$E75:$Z75)=0,0,MAX(0,IF((AA$6-$E$3)&lt;1,0,IFERROR(LOOKUP(2,1/(Amendoim!$E75:INDEX(Amendoim!$E75:$Z75,MIN(AA$6-$E$3,22))&lt;&gt;""),Amendoim!$E75:INDEX(Amendoim!$E75:$Z75,MIN(AA$6-$E$3,22))),0))-IF($G$2,0,IF((AA$6-$G$3)&lt;1,0,IFERROR(LOOKUP(2,1/(Amendoim!$E75:INDEX(Amendoim!$E75:$Z75,MIN(AA$6-$G$3,22))&lt;&gt;""),Amendoim!$E75:INDEX(Amendoim!$E75:$Z75,MIN(AA$6-$G$3,22))),0)))))</f>
        <v>0</v>
      </c>
      <c r="AB77" s="27" t="n">
        <f aca="false">IF(COUNT(Amendoim!$E75:$Z75)=0,0,MAX(0,IF((AB$6-$E$3)&lt;1,0,IFERROR(LOOKUP(2,1/(Amendoim!$E75:INDEX(Amendoim!$E75:$Z75,MIN(AB$6-$E$3,22))&lt;&gt;""),Amendoim!$E75:INDEX(Amendoim!$E75:$Z75,MIN(AB$6-$E$3,22))),0))-IF($G$2,0,IF((AB$6-$G$3)&lt;1,0,IFERROR(LOOKUP(2,1/(Amendoim!$E75:INDEX(Amendoim!$E75:$Z75,MIN(AB$6-$G$3,22))&lt;&gt;""),Amendoim!$E75:INDEX(Amendoim!$E75:$Z75,MIN(AB$6-$G$3,22))),0)))))</f>
        <v>0</v>
      </c>
      <c r="AC77" s="27" t="n">
        <f aca="false">IF(COUNT(Amendoim!$E75:$Z75)=0,0,MAX(0,IF((AC$6-$E$3)&lt;1,0,IFERROR(LOOKUP(2,1/(Amendoim!$E75:INDEX(Amendoim!$E75:$Z75,MIN(AC$6-$E$3,22))&lt;&gt;""),Amendoim!$E75:INDEX(Amendoim!$E75:$Z75,MIN(AC$6-$E$3,22))),0))-IF($G$2,0,IF((AC$6-$G$3)&lt;1,0,IFERROR(LOOKUP(2,1/(Amendoim!$E75:INDEX(Amendoim!$E75:$Z75,MIN(AC$6-$G$3,22))&lt;&gt;""),Amendoim!$E75:INDEX(Amendoim!$E75:$Z75,MIN(AC$6-$G$3,22))),0)))))</f>
        <v>0</v>
      </c>
      <c r="AD77" s="27" t="n">
        <f aca="false">IF(COUNT(Amendoim!$E75:$Z75)=0,0,MAX(0,IF((AD$6-$E$3)&lt;1,0,IFERROR(LOOKUP(2,1/(Amendoim!$E75:INDEX(Amendoim!$E75:$Z75,MIN(AD$6-$E$3,22))&lt;&gt;""),Amendoim!$E75:INDEX(Amendoim!$E75:$Z75,MIN(AD$6-$E$3,22))),0))-IF($G$2,0,IF((AD$6-$G$3)&lt;1,0,IFERROR(LOOKUP(2,1/(Amendoim!$E75:INDEX(Amendoim!$E75:$Z75,MIN(AD$6-$G$3,22))&lt;&gt;""),Amendoim!$E75:INDEX(Amendoim!$E75:$Z75,MIN(AD$6-$G$3,22))),0)))))</f>
        <v>0</v>
      </c>
      <c r="AE77" s="27" t="n">
        <f aca="false">IF(COUNT(Amendoim!$E75:$Z75)=0,0,MAX(0,IF((AE$6-$E$3)&lt;1,0,IFERROR(LOOKUP(2,1/(Amendoim!$E75:INDEX(Amendoim!$E75:$Z75,MIN(AE$6-$E$3,22))&lt;&gt;""),Amendoim!$E75:INDEX(Amendoim!$E75:$Z75,MIN(AE$6-$E$3,22))),0))-IF($G$2,0,IF((AE$6-$G$3)&lt;1,0,IFERROR(LOOKUP(2,1/(Amendoim!$E75:INDEX(Amendoim!$E75:$Z75,MIN(AE$6-$G$3,22))&lt;&gt;""),Amendoim!$E75:INDEX(Amendoim!$E75:$Z75,MIN(AE$6-$G$3,22))),0)))))</f>
        <v>0</v>
      </c>
      <c r="AF77" s="27" t="n">
        <f aca="false">IF(COUNT(Amendoim!$E75:$Z75)=0,0,MAX(0,IF((AF$6-$E$3)&lt;1,0,IFERROR(LOOKUP(2,1/(Amendoim!$E75:INDEX(Amendoim!$E75:$Z75,MIN(AF$6-$E$3,22))&lt;&gt;""),Amendoim!$E75:INDEX(Amendoim!$E75:$Z75,MIN(AF$6-$E$3,22))),0))-IF($G$2,0,IF((AF$6-$G$3)&lt;1,0,IFERROR(LOOKUP(2,1/(Amendoim!$E75:INDEX(Amendoim!$E75:$Z75,MIN(AF$6-$G$3,22))&lt;&gt;""),Amendoim!$E75:INDEX(Amendoim!$E75:$Z75,MIN(AF$6-$G$3,22))),0)))))</f>
        <v>0</v>
      </c>
      <c r="AG77" s="27" t="n">
        <f aca="false">IF(COUNT(Amendoim!$E75:$Z75)=0,0,MAX(0,IF((AG$6-$E$3)&lt;1,0,IFERROR(LOOKUP(2,1/(Amendoim!$E75:INDEX(Amendoim!$E75:$Z75,MIN(AG$6-$E$3,22))&lt;&gt;""),Amendoim!$E75:INDEX(Amendoim!$E75:$Z75,MIN(AG$6-$E$3,22))),0))-IF($G$2,0,IF((AG$6-$G$3)&lt;1,0,IFERROR(LOOKUP(2,1/(Amendoim!$E75:INDEX(Amendoim!$E75:$Z75,MIN(AG$6-$G$3,22))&lt;&gt;""),Amendoim!$E75:INDEX(Amendoim!$E75:$Z75,MIN(AG$6-$G$3,22))),0)))))</f>
        <v>0</v>
      </c>
      <c r="AH77" s="27" t="n">
        <f aca="false">IF(COUNT(Amendoim!$E75:$Z75)=0,0,MAX(0,IF((AH$6-$E$3)&lt;1,0,IFERROR(LOOKUP(2,1/(Amendoim!$E75:INDEX(Amendoim!$E75:$Z75,MIN(AH$6-$E$3,22))&lt;&gt;""),Amendoim!$E75:INDEX(Amendoim!$E75:$Z75,MIN(AH$6-$E$3,22))),0))-IF($G$2,0,IF((AH$6-$G$3)&lt;1,0,IFERROR(LOOKUP(2,1/(Amendoim!$E75:INDEX(Amendoim!$E75:$Z75,MIN(AH$6-$G$3,22))&lt;&gt;""),Amendoim!$E75:INDEX(Amendoim!$E75:$Z75,MIN(AH$6-$G$3,22))),0)))))</f>
        <v>0</v>
      </c>
      <c r="AI77" s="27" t="n">
        <f aca="false">IF(COUNT(Amendoim!$E75:$Z75)=0,0,MAX(0,IF((AI$6-$E$3)&lt;1,0,IFERROR(LOOKUP(2,1/(Amendoim!$E75:INDEX(Amendoim!$E75:$Z75,MIN(AI$6-$E$3,22))&lt;&gt;""),Amendoim!$E75:INDEX(Amendoim!$E75:$Z75,MIN(AI$6-$E$3,22))),0))-IF($G$2,0,IF((AI$6-$G$3)&lt;1,0,IFERROR(LOOKUP(2,1/(Amendoim!$E75:INDEX(Amendoim!$E75:$Z75,MIN(AI$6-$G$3,22))&lt;&gt;""),Amendoim!$E75:INDEX(Amendoim!$E75:$Z75,MIN(AI$6-$G$3,22))),0)))))</f>
        <v>0</v>
      </c>
      <c r="AJ77" s="27" t="n">
        <f aca="false">IF(COUNT(Amendoim!$E75:$Z75)=0,0,MAX(0,IF((AJ$6-$E$3)&lt;1,0,IFERROR(LOOKUP(2,1/(Amendoim!$E75:INDEX(Amendoim!$E75:$Z75,MIN(AJ$6-$E$3,22))&lt;&gt;""),Amendoim!$E75:INDEX(Amendoim!$E75:$Z75,MIN(AJ$6-$E$3,22))),0))-IF($G$2,0,IF((AJ$6-$G$3)&lt;1,0,IFERROR(LOOKUP(2,1/(Amendoim!$E75:INDEX(Amendoim!$E75:$Z75,MIN(AJ$6-$G$3,22))&lt;&gt;""),Amendoim!$E75:INDEX(Amendoim!$E75:$Z75,MIN(AJ$6-$G$3,22))),0)))))</f>
        <v>0</v>
      </c>
      <c r="AK77" s="27" t="n">
        <f aca="false">IF(COUNT(Amendoim!$E75:$Z75)=0,0,MAX(0,IF((AK$6-$E$3)&lt;1,0,IFERROR(LOOKUP(2,1/(Amendoim!$E75:INDEX(Amendoim!$E75:$Z75,MIN(AK$6-$E$3,22))&lt;&gt;""),Amendoim!$E75:INDEX(Amendoim!$E75:$Z75,MIN(AK$6-$E$3,22))),0))-IF($G$2,0,IF((AK$6-$G$3)&lt;1,0,IFERROR(LOOKUP(2,1/(Amendoim!$E75:INDEX(Amendoim!$E75:$Z75,MIN(AK$6-$G$3,22))&lt;&gt;""),Amendoim!$E75:INDEX(Amendoim!$E75:$Z75,MIN(AK$6-$G$3,22))),0)))))</f>
        <v>0</v>
      </c>
      <c r="AL77" s="27" t="n">
        <f aca="false">IF(COUNT(Amendoim!$E75:$Z75)=0,0,MAX(0,IF((AL$6-$E$3)&lt;1,0,IFERROR(LOOKUP(2,1/(Amendoim!$E75:INDEX(Amendoim!$E75:$Z75,MIN(AL$6-$E$3,22))&lt;&gt;""),Amendoim!$E75:INDEX(Amendoim!$E75:$Z75,MIN(AL$6-$E$3,22))),0))-IF($G$2,0,IF((AL$6-$G$3)&lt;1,0,IFERROR(LOOKUP(2,1/(Amendoim!$E75:INDEX(Amendoim!$E75:$Z75,MIN(AL$6-$G$3,22))&lt;&gt;""),Amendoim!$E75:INDEX(Amendoim!$E75:$Z75,MIN(AL$6-$G$3,22))),0)))))</f>
        <v>0</v>
      </c>
      <c r="AM77" s="27" t="n">
        <f aca="false">IF(COUNT(Amendoim!$E75:$Z75)=0,0,MAX(0,IF((AM$6-$E$3)&lt;1,0,IFERROR(LOOKUP(2,1/(Amendoim!$E75:INDEX(Amendoim!$E75:$Z75,MIN(AM$6-$E$3,22))&lt;&gt;""),Amendoim!$E75:INDEX(Amendoim!$E75:$Z75,MIN(AM$6-$E$3,22))),0))-IF($G$2,0,IF((AM$6-$G$3)&lt;1,0,IFERROR(LOOKUP(2,1/(Amendoim!$E75:INDEX(Amendoim!$E75:$Z75,MIN(AM$6-$G$3,22))&lt;&gt;""),Amendoim!$E75:INDEX(Amendoim!$E75:$Z75,MIN(AM$6-$G$3,22))),0)))))</f>
        <v>0</v>
      </c>
      <c r="AN77" s="27" t="n">
        <f aca="false">IF(COUNT(Amendoim!$E75:$Z75)=0,0,MAX(0,IF((AN$6-$E$3)&lt;1,0,IFERROR(LOOKUP(2,1/(Amendoim!$E75:INDEX(Amendoim!$E75:$Z75,MIN(AN$6-$E$3,22))&lt;&gt;""),Amendoim!$E75:INDEX(Amendoim!$E75:$Z75,MIN(AN$6-$E$3,22))),0))-IF($G$2,0,IF((AN$6-$G$3)&lt;1,0,IFERROR(LOOKUP(2,1/(Amendoim!$E75:INDEX(Amendoim!$E75:$Z75,MIN(AN$6-$G$3,22))&lt;&gt;""),Amendoim!$E75:INDEX(Amendoim!$E75:$Z75,MIN(AN$6-$G$3,22))),0)))))</f>
        <v>0</v>
      </c>
      <c r="AO77" s="27" t="n">
        <f aca="false">IF(COUNT(Amendoim!$E75:$Z75)=0,0,MAX(0,IF((AO$6-$E$3)&lt;1,0,IFERROR(LOOKUP(2,1/(Amendoim!$E75:INDEX(Amendoim!$E75:$Z75,MIN(AO$6-$E$3,22))&lt;&gt;""),Amendoim!$E75:INDEX(Amendoim!$E75:$Z75,MIN(AO$6-$E$3,22))),0))-IF($G$2,0,IF((AO$6-$G$3)&lt;1,0,IFERROR(LOOKUP(2,1/(Amendoim!$E75:INDEX(Amendoim!$E75:$Z75,MIN(AO$6-$G$3,22))&lt;&gt;""),Amendoim!$E75:INDEX(Amendoim!$E75:$Z75,MIN(AO$6-$G$3,22))),0)))))</f>
        <v>0</v>
      </c>
      <c r="AP77" s="27" t="n">
        <f aca="false">IF(COUNT(Amendoim!$E75:$Z75)=0,0,MAX(0,IF((AP$6-$E$3)&lt;1,0,IFERROR(LOOKUP(2,1/(Amendoim!$E75:INDEX(Amendoim!$E75:$Z75,MIN(AP$6-$E$3,22))&lt;&gt;""),Amendoim!$E75:INDEX(Amendoim!$E75:$Z75,MIN(AP$6-$E$3,22))),0))-IF($G$2,0,IF((AP$6-$G$3)&lt;1,0,IFERROR(LOOKUP(2,1/(Amendoim!$E75:INDEX(Amendoim!$E75:$Z75,MIN(AP$6-$G$3,22))&lt;&gt;""),Amendoim!$E75:INDEX(Amendoim!$E75:$Z75,MIN(AP$6-$G$3,22))),0)))))</f>
        <v>0</v>
      </c>
      <c r="AQ77" s="27" t="n">
        <f aca="false">IF(COUNT(Amendoim!$E75:$Z75)=0,0,MAX(0,IF((AQ$6-$E$3)&lt;1,0,IFERROR(LOOKUP(2,1/(Amendoim!$E75:INDEX(Amendoim!$E75:$Z75,MIN(AQ$6-$E$3,22))&lt;&gt;""),Amendoim!$E75:INDEX(Amendoim!$E75:$Z75,MIN(AQ$6-$E$3,22))),0))-IF($G$2,0,IF((AQ$6-$G$3)&lt;1,0,IFERROR(LOOKUP(2,1/(Amendoim!$E75:INDEX(Amendoim!$E75:$Z75,MIN(AQ$6-$G$3,22))&lt;&gt;""),Amendoim!$E75:INDEX(Amendoim!$E75:$Z75,MIN(AQ$6-$G$3,22))),0)))))</f>
        <v>0</v>
      </c>
      <c r="AR77" s="27" t="n">
        <f aca="false">IF(COUNT(Amendoim!$E75:$Z75)=0,0,MAX(0,IF((AR$6-$E$3)&lt;1,0,IFERROR(LOOKUP(2,1/(Amendoim!$E75:INDEX(Amendoim!$E75:$Z75,MIN(AR$6-$E$3,22))&lt;&gt;""),Amendoim!$E75:INDEX(Amendoim!$E75:$Z75,MIN(AR$6-$E$3,22))),0))-IF($G$2,0,IF((AR$6-$G$3)&lt;1,0,IFERROR(LOOKUP(2,1/(Amendoim!$E75:INDEX(Amendoim!$E75:$Z75,MIN(AR$6-$G$3,22))&lt;&gt;""),Amendoim!$E75:INDEX(Amendoim!$E75:$Z75,MIN(AR$6-$G$3,22))),0)))))</f>
        <v>0</v>
      </c>
      <c r="AS77" s="27" t="n">
        <f aca="false">IF(COUNT(Amendoim!$E75:$Z75)=0,0,MAX(0,IF((AS$6-$E$3)&lt;1,0,IFERROR(LOOKUP(2,1/(Amendoim!$E75:INDEX(Amendoim!$E75:$Z75,MIN(AS$6-$E$3,22))&lt;&gt;""),Amendoim!$E75:INDEX(Amendoim!$E75:$Z75,MIN(AS$6-$E$3,22))),0))-IF($G$2,0,IF((AS$6-$G$3)&lt;1,0,IFERROR(LOOKUP(2,1/(Amendoim!$E75:INDEX(Amendoim!$E75:$Z75,MIN(AS$6-$G$3,22))&lt;&gt;""),Amendoim!$E75:INDEX(Amendoim!$E75:$Z75,MIN(AS$6-$G$3,22))),0)))))</f>
        <v>0</v>
      </c>
      <c r="AT77" s="27" t="n">
        <f aca="false">IF(COUNT(Amendoim!$E75:$Z75)=0,0,MAX(0,IF((AT$6-$E$3)&lt;1,0,IFERROR(LOOKUP(2,1/(Amendoim!$E75:INDEX(Amendoim!$E75:$Z75,MIN(AT$6-$E$3,22))&lt;&gt;""),Amendoim!$E75:INDEX(Amendoim!$E75:$Z75,MIN(AT$6-$E$3,22))),0))-IF($G$2,0,IF((AT$6-$G$3)&lt;1,0,IFERROR(LOOKUP(2,1/(Amendoim!$E75:INDEX(Amendoim!$E75:$Z75,MIN(AT$6-$G$3,22))&lt;&gt;""),Amendoim!$E75:INDEX(Amendoim!$E75:$Z75,MIN(AT$6-$G$3,22))),0)))))</f>
        <v>0</v>
      </c>
      <c r="AU77" s="27" t="n">
        <f aca="false">IF(COUNT(Amendoim!$E75:$Z75)=0,0,MAX(0,IF((AU$6-$E$3)&lt;1,0,IFERROR(LOOKUP(2,1/(Amendoim!$E75:INDEX(Amendoim!$E75:$Z75,MIN(AU$6-$E$3,22))&lt;&gt;""),Amendoim!$E75:INDEX(Amendoim!$E75:$Z75,MIN(AU$6-$E$3,22))),0))-IF($G$2,0,IF((AU$6-$G$3)&lt;1,0,IFERROR(LOOKUP(2,1/(Amendoim!$E75:INDEX(Amendoim!$E75:$Z75,MIN(AU$6-$G$3,22))&lt;&gt;""),Amendoim!$E75:INDEX(Amendoim!$E75:$Z75,MIN(AU$6-$G$3,22))),0)))))</f>
        <v>0</v>
      </c>
      <c r="AV77" s="27" t="n">
        <f aca="false">IF(COUNT(Amendoim!$E75:$Z75)=0,0,MAX(0,IF((AV$6-$E$3)&lt;1,0,IFERROR(LOOKUP(2,1/(Amendoim!$E75:INDEX(Amendoim!$E75:$Z75,MIN(AV$6-$E$3,22))&lt;&gt;""),Amendoim!$E75:INDEX(Amendoim!$E75:$Z75,MIN(AV$6-$E$3,22))),0))-IF($G$2,0,IF((AV$6-$G$3)&lt;1,0,IFERROR(LOOKUP(2,1/(Amendoim!$E75:INDEX(Amendoim!$E75:$Z75,MIN(AV$6-$G$3,22))&lt;&gt;""),Amendoim!$E75:INDEX(Amendoim!$E75:$Z75,MIN(AV$6-$G$3,22))),0)))))</f>
        <v>0</v>
      </c>
      <c r="AW77" s="27" t="n">
        <f aca="false">IF(COUNT(Amendoim!$E75:$Z75)=0,0,MAX(0,IF((AW$6-$E$3)&lt;1,0,IFERROR(LOOKUP(2,1/(Amendoim!$E75:INDEX(Amendoim!$E75:$Z75,MIN(AW$6-$E$3,22))&lt;&gt;""),Amendoim!$E75:INDEX(Amendoim!$E75:$Z75,MIN(AW$6-$E$3,22))),0))-IF($G$2,0,IF((AW$6-$G$3)&lt;1,0,IFERROR(LOOKUP(2,1/(Amendoim!$E75:INDEX(Amendoim!$E75:$Z75,MIN(AW$6-$G$3,22))&lt;&gt;""),Amendoim!$E75:INDEX(Amendoim!$E75:$Z75,MIN(AW$6-$G$3,22))),0)))))</f>
        <v>0</v>
      </c>
      <c r="AX77" s="27" t="n">
        <f aca="false">IF(COUNT(Amendoim!$E75:$Z75)=0,0,MAX(0,IF((AX$6-$E$3)&lt;1,0,IFERROR(LOOKUP(2,1/(Amendoim!$E75:INDEX(Amendoim!$E75:$Z75,MIN(AX$6-$E$3,22))&lt;&gt;""),Amendoim!$E75:INDEX(Amendoim!$E75:$Z75,MIN(AX$6-$E$3,22))),0))-IF($G$2,0,IF((AX$6-$G$3)&lt;1,0,IFERROR(LOOKUP(2,1/(Amendoim!$E75:INDEX(Amendoim!$E75:$Z75,MIN(AX$6-$G$3,22))&lt;&gt;""),Amendoim!$E75:INDEX(Amendoim!$E75:$Z75,MIN(AX$6-$G$3,22))),0)))))</f>
        <v>0</v>
      </c>
      <c r="AY77" s="27" t="n">
        <f aca="false">IF(COUNT(Amendoim!$E75:$Z75)=0,0,MAX(0,IF((AY$6-$E$3)&lt;1,0,IFERROR(LOOKUP(2,1/(Amendoim!$E75:INDEX(Amendoim!$E75:$Z75,MIN(AY$6-$E$3,22))&lt;&gt;""),Amendoim!$E75:INDEX(Amendoim!$E75:$Z75,MIN(AY$6-$E$3,22))),0))-IF($G$2,0,IF((AY$6-$G$3)&lt;1,0,IFERROR(LOOKUP(2,1/(Amendoim!$E75:INDEX(Amendoim!$E75:$Z75,MIN(AY$6-$G$3,22))&lt;&gt;""),Amendoim!$E75:INDEX(Amendoim!$E75:$Z75,MIN(AY$6-$G$3,22))),0)))))</f>
        <v>0</v>
      </c>
      <c r="AZ77" s="27" t="n">
        <f aca="false">IF(COUNT(Amendoim!$E75:$Z75)=0,0,MAX(0,IF((AZ$6-$E$3)&lt;1,0,IFERROR(LOOKUP(2,1/(Amendoim!$E75:INDEX(Amendoim!$E75:$Z75,MIN(AZ$6-$E$3,22))&lt;&gt;""),Amendoim!$E75:INDEX(Amendoim!$E75:$Z75,MIN(AZ$6-$E$3,22))),0))-IF($G$2,0,IF((AZ$6-$G$3)&lt;1,0,IFERROR(LOOKUP(2,1/(Amendoim!$E75:INDEX(Amendoim!$E75:$Z75,MIN(AZ$6-$G$3,22))&lt;&gt;""),Amendoim!$E75:INDEX(Amendoim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IF(COUNT(Amendoim!$E76:$Z76)&gt;0,N(Amendoim!$D76),0)</f>
        <v>0</v>
      </c>
      <c r="E78" s="27" t="n">
        <f aca="false">IF(COUNT(Amendoim!$E76:$Z76)=0,0,MAX(0,IF((E$6-$E$3)&lt;1,0,IFERROR(LOOKUP(2,1/(Amendoim!$E76:INDEX(Amendoim!$E76:$Z76,MIN(E$6-$E$3,22))&lt;&gt;""),Amendoim!$E76:INDEX(Amendoim!$E76:$Z76,MIN(E$6-$E$3,22))),0))-IF($G$2,0,IF((E$6-$G$3)&lt;1,0,IFERROR(LOOKUP(2,1/(Amendoim!$E76:INDEX(Amendoim!$E76:$Z76,MIN(E$6-$G$3,22))&lt;&gt;""),Amendoim!$E76:INDEX(Amendoim!$E76:$Z76,MIN(E$6-$G$3,22))),0)))))</f>
        <v>0</v>
      </c>
      <c r="F78" s="27" t="n">
        <f aca="false">IF(COUNT(Amendoim!$E76:$Z76)=0,0,MAX(0,IF((F$6-$E$3)&lt;1,0,IFERROR(LOOKUP(2,1/(Amendoim!$E76:INDEX(Amendoim!$E76:$Z76,MIN(F$6-$E$3,22))&lt;&gt;""),Amendoim!$E76:INDEX(Amendoim!$E76:$Z76,MIN(F$6-$E$3,22))),0))-IF($G$2,0,IF((F$6-$G$3)&lt;1,0,IFERROR(LOOKUP(2,1/(Amendoim!$E76:INDEX(Amendoim!$E76:$Z76,MIN(F$6-$G$3,22))&lt;&gt;""),Amendoim!$E76:INDEX(Amendoim!$E76:$Z76,MIN(F$6-$G$3,22))),0)))))</f>
        <v>0</v>
      </c>
      <c r="G78" s="27" t="n">
        <f aca="false">IF(COUNT(Amendoim!$E76:$Z76)=0,0,MAX(0,IF((G$6-$E$3)&lt;1,0,IFERROR(LOOKUP(2,1/(Amendoim!$E76:INDEX(Amendoim!$E76:$Z76,MIN(G$6-$E$3,22))&lt;&gt;""),Amendoim!$E76:INDEX(Amendoim!$E76:$Z76,MIN(G$6-$E$3,22))),0))-IF($G$2,0,IF((G$6-$G$3)&lt;1,0,IFERROR(LOOKUP(2,1/(Amendoim!$E76:INDEX(Amendoim!$E76:$Z76,MIN(G$6-$G$3,22))&lt;&gt;""),Amendoim!$E76:INDEX(Amendoim!$E76:$Z76,MIN(G$6-$G$3,22))),0)))))</f>
        <v>0</v>
      </c>
      <c r="H78" s="27" t="n">
        <f aca="false">IF(COUNT(Amendoim!$E76:$Z76)=0,0,MAX(0,IF((H$6-$E$3)&lt;1,0,IFERROR(LOOKUP(2,1/(Amendoim!$E76:INDEX(Amendoim!$E76:$Z76,MIN(H$6-$E$3,22))&lt;&gt;""),Amendoim!$E76:INDEX(Amendoim!$E76:$Z76,MIN(H$6-$E$3,22))),0))-IF($G$2,0,IF((H$6-$G$3)&lt;1,0,IFERROR(LOOKUP(2,1/(Amendoim!$E76:INDEX(Amendoim!$E76:$Z76,MIN(H$6-$G$3,22))&lt;&gt;""),Amendoim!$E76:INDEX(Amendoim!$E76:$Z76,MIN(H$6-$G$3,22))),0)))))</f>
        <v>0</v>
      </c>
      <c r="I78" s="27" t="n">
        <f aca="false">IF(COUNT(Amendoim!$E76:$Z76)=0,0,MAX(0,IF((I$6-$E$3)&lt;1,0,IFERROR(LOOKUP(2,1/(Amendoim!$E76:INDEX(Amendoim!$E76:$Z76,MIN(I$6-$E$3,22))&lt;&gt;""),Amendoim!$E76:INDEX(Amendoim!$E76:$Z76,MIN(I$6-$E$3,22))),0))-IF($G$2,0,IF((I$6-$G$3)&lt;1,0,IFERROR(LOOKUP(2,1/(Amendoim!$E76:INDEX(Amendoim!$E76:$Z76,MIN(I$6-$G$3,22))&lt;&gt;""),Amendoim!$E76:INDEX(Amendoim!$E76:$Z76,MIN(I$6-$G$3,22))),0)))))</f>
        <v>0</v>
      </c>
      <c r="J78" s="27" t="n">
        <f aca="false">IF(COUNT(Amendoim!$E76:$Z76)=0,0,MAX(0,IF((J$6-$E$3)&lt;1,0,IFERROR(LOOKUP(2,1/(Amendoim!$E76:INDEX(Amendoim!$E76:$Z76,MIN(J$6-$E$3,22))&lt;&gt;""),Amendoim!$E76:INDEX(Amendoim!$E76:$Z76,MIN(J$6-$E$3,22))),0))-IF($G$2,0,IF((J$6-$G$3)&lt;1,0,IFERROR(LOOKUP(2,1/(Amendoim!$E76:INDEX(Amendoim!$E76:$Z76,MIN(J$6-$G$3,22))&lt;&gt;""),Amendoim!$E76:INDEX(Amendoim!$E76:$Z76,MIN(J$6-$G$3,22))),0)))))</f>
        <v>0</v>
      </c>
      <c r="K78" s="27" t="n">
        <f aca="false">IF(COUNT(Amendoim!$E76:$Z76)=0,0,MAX(0,IF((K$6-$E$3)&lt;1,0,IFERROR(LOOKUP(2,1/(Amendoim!$E76:INDEX(Amendoim!$E76:$Z76,MIN(K$6-$E$3,22))&lt;&gt;""),Amendoim!$E76:INDEX(Amendoim!$E76:$Z76,MIN(K$6-$E$3,22))),0))-IF($G$2,0,IF((K$6-$G$3)&lt;1,0,IFERROR(LOOKUP(2,1/(Amendoim!$E76:INDEX(Amendoim!$E76:$Z76,MIN(K$6-$G$3,22))&lt;&gt;""),Amendoim!$E76:INDEX(Amendoim!$E76:$Z76,MIN(K$6-$G$3,22))),0)))))</f>
        <v>0</v>
      </c>
      <c r="L78" s="27" t="n">
        <f aca="false">IF(COUNT(Amendoim!$E76:$Z76)=0,0,MAX(0,IF((L$6-$E$3)&lt;1,0,IFERROR(LOOKUP(2,1/(Amendoim!$E76:INDEX(Amendoim!$E76:$Z76,MIN(L$6-$E$3,22))&lt;&gt;""),Amendoim!$E76:INDEX(Amendoim!$E76:$Z76,MIN(L$6-$E$3,22))),0))-IF($G$2,0,IF((L$6-$G$3)&lt;1,0,IFERROR(LOOKUP(2,1/(Amendoim!$E76:INDEX(Amendoim!$E76:$Z76,MIN(L$6-$G$3,22))&lt;&gt;""),Amendoim!$E76:INDEX(Amendoim!$E76:$Z76,MIN(L$6-$G$3,22))),0)))))</f>
        <v>0</v>
      </c>
      <c r="M78" s="27" t="n">
        <f aca="false">IF(COUNT(Amendoim!$E76:$Z76)=0,0,MAX(0,IF((M$6-$E$3)&lt;1,0,IFERROR(LOOKUP(2,1/(Amendoim!$E76:INDEX(Amendoim!$E76:$Z76,MIN(M$6-$E$3,22))&lt;&gt;""),Amendoim!$E76:INDEX(Amendoim!$E76:$Z76,MIN(M$6-$E$3,22))),0))-IF($G$2,0,IF((M$6-$G$3)&lt;1,0,IFERROR(LOOKUP(2,1/(Amendoim!$E76:INDEX(Amendoim!$E76:$Z76,MIN(M$6-$G$3,22))&lt;&gt;""),Amendoim!$E76:INDEX(Amendoim!$E76:$Z76,MIN(M$6-$G$3,22))),0)))))</f>
        <v>0</v>
      </c>
      <c r="N78" s="27" t="n">
        <f aca="false">IF(COUNT(Amendoim!$E76:$Z76)=0,0,MAX(0,IF((N$6-$E$3)&lt;1,0,IFERROR(LOOKUP(2,1/(Amendoim!$E76:INDEX(Amendoim!$E76:$Z76,MIN(N$6-$E$3,22))&lt;&gt;""),Amendoim!$E76:INDEX(Amendoim!$E76:$Z76,MIN(N$6-$E$3,22))),0))-IF($G$2,0,IF((N$6-$G$3)&lt;1,0,IFERROR(LOOKUP(2,1/(Amendoim!$E76:INDEX(Amendoim!$E76:$Z76,MIN(N$6-$G$3,22))&lt;&gt;""),Amendoim!$E76:INDEX(Amendoim!$E76:$Z76,MIN(N$6-$G$3,22))),0)))))</f>
        <v>0</v>
      </c>
      <c r="O78" s="27" t="n">
        <f aca="false">IF(COUNT(Amendoim!$E76:$Z76)=0,0,MAX(0,IF((O$6-$E$3)&lt;1,0,IFERROR(LOOKUP(2,1/(Amendoim!$E76:INDEX(Amendoim!$E76:$Z76,MIN(O$6-$E$3,22))&lt;&gt;""),Amendoim!$E76:INDEX(Amendoim!$E76:$Z76,MIN(O$6-$E$3,22))),0))-IF($G$2,0,IF((O$6-$G$3)&lt;1,0,IFERROR(LOOKUP(2,1/(Amendoim!$E76:INDEX(Amendoim!$E76:$Z76,MIN(O$6-$G$3,22))&lt;&gt;""),Amendoim!$E76:INDEX(Amendoim!$E76:$Z76,MIN(O$6-$G$3,22))),0)))))</f>
        <v>0</v>
      </c>
      <c r="P78" s="27" t="n">
        <f aca="false">IF(COUNT(Amendoim!$E76:$Z76)=0,0,MAX(0,IF((P$6-$E$3)&lt;1,0,IFERROR(LOOKUP(2,1/(Amendoim!$E76:INDEX(Amendoim!$E76:$Z76,MIN(P$6-$E$3,22))&lt;&gt;""),Amendoim!$E76:INDEX(Amendoim!$E76:$Z76,MIN(P$6-$E$3,22))),0))-IF($G$2,0,IF((P$6-$G$3)&lt;1,0,IFERROR(LOOKUP(2,1/(Amendoim!$E76:INDEX(Amendoim!$E76:$Z76,MIN(P$6-$G$3,22))&lt;&gt;""),Amendoim!$E76:INDEX(Amendoim!$E76:$Z76,MIN(P$6-$G$3,22))),0)))))</f>
        <v>0</v>
      </c>
      <c r="Q78" s="27" t="n">
        <f aca="false">IF(COUNT(Amendoim!$E76:$Z76)=0,0,MAX(0,IF((Q$6-$E$3)&lt;1,0,IFERROR(LOOKUP(2,1/(Amendoim!$E76:INDEX(Amendoim!$E76:$Z76,MIN(Q$6-$E$3,22))&lt;&gt;""),Amendoim!$E76:INDEX(Amendoim!$E76:$Z76,MIN(Q$6-$E$3,22))),0))-IF($G$2,0,IF((Q$6-$G$3)&lt;1,0,IFERROR(LOOKUP(2,1/(Amendoim!$E76:INDEX(Amendoim!$E76:$Z76,MIN(Q$6-$G$3,22))&lt;&gt;""),Amendoim!$E76:INDEX(Amendoim!$E76:$Z76,MIN(Q$6-$G$3,22))),0)))))</f>
        <v>0</v>
      </c>
      <c r="R78" s="27" t="n">
        <f aca="false">IF(COUNT(Amendoim!$E76:$Z76)=0,0,MAX(0,IF((R$6-$E$3)&lt;1,0,IFERROR(LOOKUP(2,1/(Amendoim!$E76:INDEX(Amendoim!$E76:$Z76,MIN(R$6-$E$3,22))&lt;&gt;""),Amendoim!$E76:INDEX(Amendoim!$E76:$Z76,MIN(R$6-$E$3,22))),0))-IF($G$2,0,IF((R$6-$G$3)&lt;1,0,IFERROR(LOOKUP(2,1/(Amendoim!$E76:INDEX(Amendoim!$E76:$Z76,MIN(R$6-$G$3,22))&lt;&gt;""),Amendoim!$E76:INDEX(Amendoim!$E76:$Z76,MIN(R$6-$G$3,22))),0)))))</f>
        <v>0</v>
      </c>
      <c r="S78" s="27" t="n">
        <f aca="false">IF(COUNT(Amendoim!$E76:$Z76)=0,0,MAX(0,IF((S$6-$E$3)&lt;1,0,IFERROR(LOOKUP(2,1/(Amendoim!$E76:INDEX(Amendoim!$E76:$Z76,MIN(S$6-$E$3,22))&lt;&gt;""),Amendoim!$E76:INDEX(Amendoim!$E76:$Z76,MIN(S$6-$E$3,22))),0))-IF($G$2,0,IF((S$6-$G$3)&lt;1,0,IFERROR(LOOKUP(2,1/(Amendoim!$E76:INDEX(Amendoim!$E76:$Z76,MIN(S$6-$G$3,22))&lt;&gt;""),Amendoim!$E76:INDEX(Amendoim!$E76:$Z76,MIN(S$6-$G$3,22))),0)))))</f>
        <v>0</v>
      </c>
      <c r="T78" s="27" t="n">
        <f aca="false">IF(COUNT(Amendoim!$E76:$Z76)=0,0,MAX(0,IF((T$6-$E$3)&lt;1,0,IFERROR(LOOKUP(2,1/(Amendoim!$E76:INDEX(Amendoim!$E76:$Z76,MIN(T$6-$E$3,22))&lt;&gt;""),Amendoim!$E76:INDEX(Amendoim!$E76:$Z76,MIN(T$6-$E$3,22))),0))-IF($G$2,0,IF((T$6-$G$3)&lt;1,0,IFERROR(LOOKUP(2,1/(Amendoim!$E76:INDEX(Amendoim!$E76:$Z76,MIN(T$6-$G$3,22))&lt;&gt;""),Amendoim!$E76:INDEX(Amendoim!$E76:$Z76,MIN(T$6-$G$3,22))),0)))))</f>
        <v>0</v>
      </c>
      <c r="U78" s="27" t="n">
        <f aca="false">IF(COUNT(Amendoim!$E76:$Z76)=0,0,MAX(0,IF((U$6-$E$3)&lt;1,0,IFERROR(LOOKUP(2,1/(Amendoim!$E76:INDEX(Amendoim!$E76:$Z76,MIN(U$6-$E$3,22))&lt;&gt;""),Amendoim!$E76:INDEX(Amendoim!$E76:$Z76,MIN(U$6-$E$3,22))),0))-IF($G$2,0,IF((U$6-$G$3)&lt;1,0,IFERROR(LOOKUP(2,1/(Amendoim!$E76:INDEX(Amendoim!$E76:$Z76,MIN(U$6-$G$3,22))&lt;&gt;""),Amendoim!$E76:INDEX(Amendoim!$E76:$Z76,MIN(U$6-$G$3,22))),0)))))</f>
        <v>0</v>
      </c>
      <c r="V78" s="27" t="n">
        <f aca="false">IF(COUNT(Amendoim!$E76:$Z76)=0,0,MAX(0,IF((V$6-$E$3)&lt;1,0,IFERROR(LOOKUP(2,1/(Amendoim!$E76:INDEX(Amendoim!$E76:$Z76,MIN(V$6-$E$3,22))&lt;&gt;""),Amendoim!$E76:INDEX(Amendoim!$E76:$Z76,MIN(V$6-$E$3,22))),0))-IF($G$2,0,IF((V$6-$G$3)&lt;1,0,IFERROR(LOOKUP(2,1/(Amendoim!$E76:INDEX(Amendoim!$E76:$Z76,MIN(V$6-$G$3,22))&lt;&gt;""),Amendoim!$E76:INDEX(Amendoim!$E76:$Z76,MIN(V$6-$G$3,22))),0)))))</f>
        <v>0</v>
      </c>
      <c r="W78" s="27" t="n">
        <f aca="false">IF(COUNT(Amendoim!$E76:$Z76)=0,0,MAX(0,IF((W$6-$E$3)&lt;1,0,IFERROR(LOOKUP(2,1/(Amendoim!$E76:INDEX(Amendoim!$E76:$Z76,MIN(W$6-$E$3,22))&lt;&gt;""),Amendoim!$E76:INDEX(Amendoim!$E76:$Z76,MIN(W$6-$E$3,22))),0))-IF($G$2,0,IF((W$6-$G$3)&lt;1,0,IFERROR(LOOKUP(2,1/(Amendoim!$E76:INDEX(Amendoim!$E76:$Z76,MIN(W$6-$G$3,22))&lt;&gt;""),Amendoim!$E76:INDEX(Amendoim!$E76:$Z76,MIN(W$6-$G$3,22))),0)))))</f>
        <v>0</v>
      </c>
      <c r="X78" s="27" t="n">
        <f aca="false">IF(COUNT(Amendoim!$E76:$Z76)=0,0,MAX(0,IF((X$6-$E$3)&lt;1,0,IFERROR(LOOKUP(2,1/(Amendoim!$E76:INDEX(Amendoim!$E76:$Z76,MIN(X$6-$E$3,22))&lt;&gt;""),Amendoim!$E76:INDEX(Amendoim!$E76:$Z76,MIN(X$6-$E$3,22))),0))-IF($G$2,0,IF((X$6-$G$3)&lt;1,0,IFERROR(LOOKUP(2,1/(Amendoim!$E76:INDEX(Amendoim!$E76:$Z76,MIN(X$6-$G$3,22))&lt;&gt;""),Amendoim!$E76:INDEX(Amendoim!$E76:$Z76,MIN(X$6-$G$3,22))),0)))))</f>
        <v>0</v>
      </c>
      <c r="Y78" s="27" t="n">
        <f aca="false">IF(COUNT(Amendoim!$E76:$Z76)=0,0,MAX(0,IF((Y$6-$E$3)&lt;1,0,IFERROR(LOOKUP(2,1/(Amendoim!$E76:INDEX(Amendoim!$E76:$Z76,MIN(Y$6-$E$3,22))&lt;&gt;""),Amendoim!$E76:INDEX(Amendoim!$E76:$Z76,MIN(Y$6-$E$3,22))),0))-IF($G$2,0,IF((Y$6-$G$3)&lt;1,0,IFERROR(LOOKUP(2,1/(Amendoim!$E76:INDEX(Amendoim!$E76:$Z76,MIN(Y$6-$G$3,22))&lt;&gt;""),Amendoim!$E76:INDEX(Amendoim!$E76:$Z76,MIN(Y$6-$G$3,22))),0)))))</f>
        <v>0</v>
      </c>
      <c r="Z78" s="27" t="n">
        <f aca="false">IF(COUNT(Amendoim!$E76:$Z76)=0,0,MAX(0,IF((Z$6-$E$3)&lt;1,0,IFERROR(LOOKUP(2,1/(Amendoim!$E76:INDEX(Amendoim!$E76:$Z76,MIN(Z$6-$E$3,22))&lt;&gt;""),Amendoim!$E76:INDEX(Amendoim!$E76:$Z76,MIN(Z$6-$E$3,22))),0))-IF($G$2,0,IF((Z$6-$G$3)&lt;1,0,IFERROR(LOOKUP(2,1/(Amendoim!$E76:INDEX(Amendoim!$E76:$Z76,MIN(Z$6-$G$3,22))&lt;&gt;""),Amendoim!$E76:INDEX(Amendoim!$E76:$Z76,MIN(Z$6-$G$3,22))),0)))))</f>
        <v>0</v>
      </c>
      <c r="AA78" s="27" t="n">
        <f aca="false">IF(COUNT(Amendoim!$E76:$Z76)=0,0,MAX(0,IF((AA$6-$E$3)&lt;1,0,IFERROR(LOOKUP(2,1/(Amendoim!$E76:INDEX(Amendoim!$E76:$Z76,MIN(AA$6-$E$3,22))&lt;&gt;""),Amendoim!$E76:INDEX(Amendoim!$E76:$Z76,MIN(AA$6-$E$3,22))),0))-IF($G$2,0,IF((AA$6-$G$3)&lt;1,0,IFERROR(LOOKUP(2,1/(Amendoim!$E76:INDEX(Amendoim!$E76:$Z76,MIN(AA$6-$G$3,22))&lt;&gt;""),Amendoim!$E76:INDEX(Amendoim!$E76:$Z76,MIN(AA$6-$G$3,22))),0)))))</f>
        <v>0</v>
      </c>
      <c r="AB78" s="27" t="n">
        <f aca="false">IF(COUNT(Amendoim!$E76:$Z76)=0,0,MAX(0,IF((AB$6-$E$3)&lt;1,0,IFERROR(LOOKUP(2,1/(Amendoim!$E76:INDEX(Amendoim!$E76:$Z76,MIN(AB$6-$E$3,22))&lt;&gt;""),Amendoim!$E76:INDEX(Amendoim!$E76:$Z76,MIN(AB$6-$E$3,22))),0))-IF($G$2,0,IF((AB$6-$G$3)&lt;1,0,IFERROR(LOOKUP(2,1/(Amendoim!$E76:INDEX(Amendoim!$E76:$Z76,MIN(AB$6-$G$3,22))&lt;&gt;""),Amendoim!$E76:INDEX(Amendoim!$E76:$Z76,MIN(AB$6-$G$3,22))),0)))))</f>
        <v>0</v>
      </c>
      <c r="AC78" s="27" t="n">
        <f aca="false">IF(COUNT(Amendoim!$E76:$Z76)=0,0,MAX(0,IF((AC$6-$E$3)&lt;1,0,IFERROR(LOOKUP(2,1/(Amendoim!$E76:INDEX(Amendoim!$E76:$Z76,MIN(AC$6-$E$3,22))&lt;&gt;""),Amendoim!$E76:INDEX(Amendoim!$E76:$Z76,MIN(AC$6-$E$3,22))),0))-IF($G$2,0,IF((AC$6-$G$3)&lt;1,0,IFERROR(LOOKUP(2,1/(Amendoim!$E76:INDEX(Amendoim!$E76:$Z76,MIN(AC$6-$G$3,22))&lt;&gt;""),Amendoim!$E76:INDEX(Amendoim!$E76:$Z76,MIN(AC$6-$G$3,22))),0)))))</f>
        <v>0</v>
      </c>
      <c r="AD78" s="27" t="n">
        <f aca="false">IF(COUNT(Amendoim!$E76:$Z76)=0,0,MAX(0,IF((AD$6-$E$3)&lt;1,0,IFERROR(LOOKUP(2,1/(Amendoim!$E76:INDEX(Amendoim!$E76:$Z76,MIN(AD$6-$E$3,22))&lt;&gt;""),Amendoim!$E76:INDEX(Amendoim!$E76:$Z76,MIN(AD$6-$E$3,22))),0))-IF($G$2,0,IF((AD$6-$G$3)&lt;1,0,IFERROR(LOOKUP(2,1/(Amendoim!$E76:INDEX(Amendoim!$E76:$Z76,MIN(AD$6-$G$3,22))&lt;&gt;""),Amendoim!$E76:INDEX(Amendoim!$E76:$Z76,MIN(AD$6-$G$3,22))),0)))))</f>
        <v>0</v>
      </c>
      <c r="AE78" s="27" t="n">
        <f aca="false">IF(COUNT(Amendoim!$E76:$Z76)=0,0,MAX(0,IF((AE$6-$E$3)&lt;1,0,IFERROR(LOOKUP(2,1/(Amendoim!$E76:INDEX(Amendoim!$E76:$Z76,MIN(AE$6-$E$3,22))&lt;&gt;""),Amendoim!$E76:INDEX(Amendoim!$E76:$Z76,MIN(AE$6-$E$3,22))),0))-IF($G$2,0,IF((AE$6-$G$3)&lt;1,0,IFERROR(LOOKUP(2,1/(Amendoim!$E76:INDEX(Amendoim!$E76:$Z76,MIN(AE$6-$G$3,22))&lt;&gt;""),Amendoim!$E76:INDEX(Amendoim!$E76:$Z76,MIN(AE$6-$G$3,22))),0)))))</f>
        <v>0</v>
      </c>
      <c r="AF78" s="27" t="n">
        <f aca="false">IF(COUNT(Amendoim!$E76:$Z76)=0,0,MAX(0,IF((AF$6-$E$3)&lt;1,0,IFERROR(LOOKUP(2,1/(Amendoim!$E76:INDEX(Amendoim!$E76:$Z76,MIN(AF$6-$E$3,22))&lt;&gt;""),Amendoim!$E76:INDEX(Amendoim!$E76:$Z76,MIN(AF$6-$E$3,22))),0))-IF($G$2,0,IF((AF$6-$G$3)&lt;1,0,IFERROR(LOOKUP(2,1/(Amendoim!$E76:INDEX(Amendoim!$E76:$Z76,MIN(AF$6-$G$3,22))&lt;&gt;""),Amendoim!$E76:INDEX(Amendoim!$E76:$Z76,MIN(AF$6-$G$3,22))),0)))))</f>
        <v>0</v>
      </c>
      <c r="AG78" s="27" t="n">
        <f aca="false">IF(COUNT(Amendoim!$E76:$Z76)=0,0,MAX(0,IF((AG$6-$E$3)&lt;1,0,IFERROR(LOOKUP(2,1/(Amendoim!$E76:INDEX(Amendoim!$E76:$Z76,MIN(AG$6-$E$3,22))&lt;&gt;""),Amendoim!$E76:INDEX(Amendoim!$E76:$Z76,MIN(AG$6-$E$3,22))),0))-IF($G$2,0,IF((AG$6-$G$3)&lt;1,0,IFERROR(LOOKUP(2,1/(Amendoim!$E76:INDEX(Amendoim!$E76:$Z76,MIN(AG$6-$G$3,22))&lt;&gt;""),Amendoim!$E76:INDEX(Amendoim!$E76:$Z76,MIN(AG$6-$G$3,22))),0)))))</f>
        <v>0</v>
      </c>
      <c r="AH78" s="27" t="n">
        <f aca="false">IF(COUNT(Amendoim!$E76:$Z76)=0,0,MAX(0,IF((AH$6-$E$3)&lt;1,0,IFERROR(LOOKUP(2,1/(Amendoim!$E76:INDEX(Amendoim!$E76:$Z76,MIN(AH$6-$E$3,22))&lt;&gt;""),Amendoim!$E76:INDEX(Amendoim!$E76:$Z76,MIN(AH$6-$E$3,22))),0))-IF($G$2,0,IF((AH$6-$G$3)&lt;1,0,IFERROR(LOOKUP(2,1/(Amendoim!$E76:INDEX(Amendoim!$E76:$Z76,MIN(AH$6-$G$3,22))&lt;&gt;""),Amendoim!$E76:INDEX(Amendoim!$E76:$Z76,MIN(AH$6-$G$3,22))),0)))))</f>
        <v>0</v>
      </c>
      <c r="AI78" s="27" t="n">
        <f aca="false">IF(COUNT(Amendoim!$E76:$Z76)=0,0,MAX(0,IF((AI$6-$E$3)&lt;1,0,IFERROR(LOOKUP(2,1/(Amendoim!$E76:INDEX(Amendoim!$E76:$Z76,MIN(AI$6-$E$3,22))&lt;&gt;""),Amendoim!$E76:INDEX(Amendoim!$E76:$Z76,MIN(AI$6-$E$3,22))),0))-IF($G$2,0,IF((AI$6-$G$3)&lt;1,0,IFERROR(LOOKUP(2,1/(Amendoim!$E76:INDEX(Amendoim!$E76:$Z76,MIN(AI$6-$G$3,22))&lt;&gt;""),Amendoim!$E76:INDEX(Amendoim!$E76:$Z76,MIN(AI$6-$G$3,22))),0)))))</f>
        <v>0</v>
      </c>
      <c r="AJ78" s="27" t="n">
        <f aca="false">IF(COUNT(Amendoim!$E76:$Z76)=0,0,MAX(0,IF((AJ$6-$E$3)&lt;1,0,IFERROR(LOOKUP(2,1/(Amendoim!$E76:INDEX(Amendoim!$E76:$Z76,MIN(AJ$6-$E$3,22))&lt;&gt;""),Amendoim!$E76:INDEX(Amendoim!$E76:$Z76,MIN(AJ$6-$E$3,22))),0))-IF($G$2,0,IF((AJ$6-$G$3)&lt;1,0,IFERROR(LOOKUP(2,1/(Amendoim!$E76:INDEX(Amendoim!$E76:$Z76,MIN(AJ$6-$G$3,22))&lt;&gt;""),Amendoim!$E76:INDEX(Amendoim!$E76:$Z76,MIN(AJ$6-$G$3,22))),0)))))</f>
        <v>0</v>
      </c>
      <c r="AK78" s="27" t="n">
        <f aca="false">IF(COUNT(Amendoim!$E76:$Z76)=0,0,MAX(0,IF((AK$6-$E$3)&lt;1,0,IFERROR(LOOKUP(2,1/(Amendoim!$E76:INDEX(Amendoim!$E76:$Z76,MIN(AK$6-$E$3,22))&lt;&gt;""),Amendoim!$E76:INDEX(Amendoim!$E76:$Z76,MIN(AK$6-$E$3,22))),0))-IF($G$2,0,IF((AK$6-$G$3)&lt;1,0,IFERROR(LOOKUP(2,1/(Amendoim!$E76:INDEX(Amendoim!$E76:$Z76,MIN(AK$6-$G$3,22))&lt;&gt;""),Amendoim!$E76:INDEX(Amendoim!$E76:$Z76,MIN(AK$6-$G$3,22))),0)))))</f>
        <v>0</v>
      </c>
      <c r="AL78" s="27" t="n">
        <f aca="false">IF(COUNT(Amendoim!$E76:$Z76)=0,0,MAX(0,IF((AL$6-$E$3)&lt;1,0,IFERROR(LOOKUP(2,1/(Amendoim!$E76:INDEX(Amendoim!$E76:$Z76,MIN(AL$6-$E$3,22))&lt;&gt;""),Amendoim!$E76:INDEX(Amendoim!$E76:$Z76,MIN(AL$6-$E$3,22))),0))-IF($G$2,0,IF((AL$6-$G$3)&lt;1,0,IFERROR(LOOKUP(2,1/(Amendoim!$E76:INDEX(Amendoim!$E76:$Z76,MIN(AL$6-$G$3,22))&lt;&gt;""),Amendoim!$E76:INDEX(Amendoim!$E76:$Z76,MIN(AL$6-$G$3,22))),0)))))</f>
        <v>0</v>
      </c>
      <c r="AM78" s="27" t="n">
        <f aca="false">IF(COUNT(Amendoim!$E76:$Z76)=0,0,MAX(0,IF((AM$6-$E$3)&lt;1,0,IFERROR(LOOKUP(2,1/(Amendoim!$E76:INDEX(Amendoim!$E76:$Z76,MIN(AM$6-$E$3,22))&lt;&gt;""),Amendoim!$E76:INDEX(Amendoim!$E76:$Z76,MIN(AM$6-$E$3,22))),0))-IF($G$2,0,IF((AM$6-$G$3)&lt;1,0,IFERROR(LOOKUP(2,1/(Amendoim!$E76:INDEX(Amendoim!$E76:$Z76,MIN(AM$6-$G$3,22))&lt;&gt;""),Amendoim!$E76:INDEX(Amendoim!$E76:$Z76,MIN(AM$6-$G$3,22))),0)))))</f>
        <v>0</v>
      </c>
      <c r="AN78" s="27" t="n">
        <f aca="false">IF(COUNT(Amendoim!$E76:$Z76)=0,0,MAX(0,IF((AN$6-$E$3)&lt;1,0,IFERROR(LOOKUP(2,1/(Amendoim!$E76:INDEX(Amendoim!$E76:$Z76,MIN(AN$6-$E$3,22))&lt;&gt;""),Amendoim!$E76:INDEX(Amendoim!$E76:$Z76,MIN(AN$6-$E$3,22))),0))-IF($G$2,0,IF((AN$6-$G$3)&lt;1,0,IFERROR(LOOKUP(2,1/(Amendoim!$E76:INDEX(Amendoim!$E76:$Z76,MIN(AN$6-$G$3,22))&lt;&gt;""),Amendoim!$E76:INDEX(Amendoim!$E76:$Z76,MIN(AN$6-$G$3,22))),0)))))</f>
        <v>0</v>
      </c>
      <c r="AO78" s="27" t="n">
        <f aca="false">IF(COUNT(Amendoim!$E76:$Z76)=0,0,MAX(0,IF((AO$6-$E$3)&lt;1,0,IFERROR(LOOKUP(2,1/(Amendoim!$E76:INDEX(Amendoim!$E76:$Z76,MIN(AO$6-$E$3,22))&lt;&gt;""),Amendoim!$E76:INDEX(Amendoim!$E76:$Z76,MIN(AO$6-$E$3,22))),0))-IF($G$2,0,IF((AO$6-$G$3)&lt;1,0,IFERROR(LOOKUP(2,1/(Amendoim!$E76:INDEX(Amendoim!$E76:$Z76,MIN(AO$6-$G$3,22))&lt;&gt;""),Amendoim!$E76:INDEX(Amendoim!$E76:$Z76,MIN(AO$6-$G$3,22))),0)))))</f>
        <v>0</v>
      </c>
      <c r="AP78" s="27" t="n">
        <f aca="false">IF(COUNT(Amendoim!$E76:$Z76)=0,0,MAX(0,IF((AP$6-$E$3)&lt;1,0,IFERROR(LOOKUP(2,1/(Amendoim!$E76:INDEX(Amendoim!$E76:$Z76,MIN(AP$6-$E$3,22))&lt;&gt;""),Amendoim!$E76:INDEX(Amendoim!$E76:$Z76,MIN(AP$6-$E$3,22))),0))-IF($G$2,0,IF((AP$6-$G$3)&lt;1,0,IFERROR(LOOKUP(2,1/(Amendoim!$E76:INDEX(Amendoim!$E76:$Z76,MIN(AP$6-$G$3,22))&lt;&gt;""),Amendoim!$E76:INDEX(Amendoim!$E76:$Z76,MIN(AP$6-$G$3,22))),0)))))</f>
        <v>0</v>
      </c>
      <c r="AQ78" s="27" t="n">
        <f aca="false">IF(COUNT(Amendoim!$E76:$Z76)=0,0,MAX(0,IF((AQ$6-$E$3)&lt;1,0,IFERROR(LOOKUP(2,1/(Amendoim!$E76:INDEX(Amendoim!$E76:$Z76,MIN(AQ$6-$E$3,22))&lt;&gt;""),Amendoim!$E76:INDEX(Amendoim!$E76:$Z76,MIN(AQ$6-$E$3,22))),0))-IF($G$2,0,IF((AQ$6-$G$3)&lt;1,0,IFERROR(LOOKUP(2,1/(Amendoim!$E76:INDEX(Amendoim!$E76:$Z76,MIN(AQ$6-$G$3,22))&lt;&gt;""),Amendoim!$E76:INDEX(Amendoim!$E76:$Z76,MIN(AQ$6-$G$3,22))),0)))))</f>
        <v>0</v>
      </c>
      <c r="AR78" s="27" t="n">
        <f aca="false">IF(COUNT(Amendoim!$E76:$Z76)=0,0,MAX(0,IF((AR$6-$E$3)&lt;1,0,IFERROR(LOOKUP(2,1/(Amendoim!$E76:INDEX(Amendoim!$E76:$Z76,MIN(AR$6-$E$3,22))&lt;&gt;""),Amendoim!$E76:INDEX(Amendoim!$E76:$Z76,MIN(AR$6-$E$3,22))),0))-IF($G$2,0,IF((AR$6-$G$3)&lt;1,0,IFERROR(LOOKUP(2,1/(Amendoim!$E76:INDEX(Amendoim!$E76:$Z76,MIN(AR$6-$G$3,22))&lt;&gt;""),Amendoim!$E76:INDEX(Amendoim!$E76:$Z76,MIN(AR$6-$G$3,22))),0)))))</f>
        <v>0</v>
      </c>
      <c r="AS78" s="27" t="n">
        <f aca="false">IF(COUNT(Amendoim!$E76:$Z76)=0,0,MAX(0,IF((AS$6-$E$3)&lt;1,0,IFERROR(LOOKUP(2,1/(Amendoim!$E76:INDEX(Amendoim!$E76:$Z76,MIN(AS$6-$E$3,22))&lt;&gt;""),Amendoim!$E76:INDEX(Amendoim!$E76:$Z76,MIN(AS$6-$E$3,22))),0))-IF($G$2,0,IF((AS$6-$G$3)&lt;1,0,IFERROR(LOOKUP(2,1/(Amendoim!$E76:INDEX(Amendoim!$E76:$Z76,MIN(AS$6-$G$3,22))&lt;&gt;""),Amendoim!$E76:INDEX(Amendoim!$E76:$Z76,MIN(AS$6-$G$3,22))),0)))))</f>
        <v>0</v>
      </c>
      <c r="AT78" s="27" t="n">
        <f aca="false">IF(COUNT(Amendoim!$E76:$Z76)=0,0,MAX(0,IF((AT$6-$E$3)&lt;1,0,IFERROR(LOOKUP(2,1/(Amendoim!$E76:INDEX(Amendoim!$E76:$Z76,MIN(AT$6-$E$3,22))&lt;&gt;""),Amendoim!$E76:INDEX(Amendoim!$E76:$Z76,MIN(AT$6-$E$3,22))),0))-IF($G$2,0,IF((AT$6-$G$3)&lt;1,0,IFERROR(LOOKUP(2,1/(Amendoim!$E76:INDEX(Amendoim!$E76:$Z76,MIN(AT$6-$G$3,22))&lt;&gt;""),Amendoim!$E76:INDEX(Amendoim!$E76:$Z76,MIN(AT$6-$G$3,22))),0)))))</f>
        <v>0</v>
      </c>
      <c r="AU78" s="27" t="n">
        <f aca="false">IF(COUNT(Amendoim!$E76:$Z76)=0,0,MAX(0,IF((AU$6-$E$3)&lt;1,0,IFERROR(LOOKUP(2,1/(Amendoim!$E76:INDEX(Amendoim!$E76:$Z76,MIN(AU$6-$E$3,22))&lt;&gt;""),Amendoim!$E76:INDEX(Amendoim!$E76:$Z76,MIN(AU$6-$E$3,22))),0))-IF($G$2,0,IF((AU$6-$G$3)&lt;1,0,IFERROR(LOOKUP(2,1/(Amendoim!$E76:INDEX(Amendoim!$E76:$Z76,MIN(AU$6-$G$3,22))&lt;&gt;""),Amendoim!$E76:INDEX(Amendoim!$E76:$Z76,MIN(AU$6-$G$3,22))),0)))))</f>
        <v>0</v>
      </c>
      <c r="AV78" s="27" t="n">
        <f aca="false">IF(COUNT(Amendoim!$E76:$Z76)=0,0,MAX(0,IF((AV$6-$E$3)&lt;1,0,IFERROR(LOOKUP(2,1/(Amendoim!$E76:INDEX(Amendoim!$E76:$Z76,MIN(AV$6-$E$3,22))&lt;&gt;""),Amendoim!$E76:INDEX(Amendoim!$E76:$Z76,MIN(AV$6-$E$3,22))),0))-IF($G$2,0,IF((AV$6-$G$3)&lt;1,0,IFERROR(LOOKUP(2,1/(Amendoim!$E76:INDEX(Amendoim!$E76:$Z76,MIN(AV$6-$G$3,22))&lt;&gt;""),Amendoim!$E76:INDEX(Amendoim!$E76:$Z76,MIN(AV$6-$G$3,22))),0)))))</f>
        <v>0</v>
      </c>
      <c r="AW78" s="27" t="n">
        <f aca="false">IF(COUNT(Amendoim!$E76:$Z76)=0,0,MAX(0,IF((AW$6-$E$3)&lt;1,0,IFERROR(LOOKUP(2,1/(Amendoim!$E76:INDEX(Amendoim!$E76:$Z76,MIN(AW$6-$E$3,22))&lt;&gt;""),Amendoim!$E76:INDEX(Amendoim!$E76:$Z76,MIN(AW$6-$E$3,22))),0))-IF($G$2,0,IF((AW$6-$G$3)&lt;1,0,IFERROR(LOOKUP(2,1/(Amendoim!$E76:INDEX(Amendoim!$E76:$Z76,MIN(AW$6-$G$3,22))&lt;&gt;""),Amendoim!$E76:INDEX(Amendoim!$E76:$Z76,MIN(AW$6-$G$3,22))),0)))))</f>
        <v>0</v>
      </c>
      <c r="AX78" s="27" t="n">
        <f aca="false">IF(COUNT(Amendoim!$E76:$Z76)=0,0,MAX(0,IF((AX$6-$E$3)&lt;1,0,IFERROR(LOOKUP(2,1/(Amendoim!$E76:INDEX(Amendoim!$E76:$Z76,MIN(AX$6-$E$3,22))&lt;&gt;""),Amendoim!$E76:INDEX(Amendoim!$E76:$Z76,MIN(AX$6-$E$3,22))),0))-IF($G$2,0,IF((AX$6-$G$3)&lt;1,0,IFERROR(LOOKUP(2,1/(Amendoim!$E76:INDEX(Amendoim!$E76:$Z76,MIN(AX$6-$G$3,22))&lt;&gt;""),Amendoim!$E76:INDEX(Amendoim!$E76:$Z76,MIN(AX$6-$G$3,22))),0)))))</f>
        <v>0</v>
      </c>
      <c r="AY78" s="27" t="n">
        <f aca="false">IF(COUNT(Amendoim!$E76:$Z76)=0,0,MAX(0,IF((AY$6-$E$3)&lt;1,0,IFERROR(LOOKUP(2,1/(Amendoim!$E76:INDEX(Amendoim!$E76:$Z76,MIN(AY$6-$E$3,22))&lt;&gt;""),Amendoim!$E76:INDEX(Amendoim!$E76:$Z76,MIN(AY$6-$E$3,22))),0))-IF($G$2,0,IF((AY$6-$G$3)&lt;1,0,IFERROR(LOOKUP(2,1/(Amendoim!$E76:INDEX(Amendoim!$E76:$Z76,MIN(AY$6-$G$3,22))&lt;&gt;""),Amendoim!$E76:INDEX(Amendoim!$E76:$Z76,MIN(AY$6-$G$3,22))),0)))))</f>
        <v>0</v>
      </c>
      <c r="AZ78" s="27" t="n">
        <f aca="false">IF(COUNT(Amendoim!$E76:$Z76)=0,0,MAX(0,IF((AZ$6-$E$3)&lt;1,0,IFERROR(LOOKUP(2,1/(Amendoim!$E76:INDEX(Amendoim!$E76:$Z76,MIN(AZ$6-$E$3,22))&lt;&gt;""),Amendoim!$E76:INDEX(Amendoim!$E76:$Z76,MIN(AZ$6-$E$3,22))),0))-IF($G$2,0,IF((AZ$6-$G$3)&lt;1,0,IFERROR(LOOKUP(2,1/(Amendoim!$E76:INDEX(Amendoim!$E76:$Z76,MIN(AZ$6-$G$3,22))&lt;&gt;""),Amendoim!$E76:INDEX(Amendoim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IF(COUNT(Amendoim!$E77:$Z77)&gt;0,N(Amendoim!$D77),0)</f>
        <v>0</v>
      </c>
      <c r="E79" s="27" t="n">
        <f aca="false">IF(COUNT(Amendoim!$E77:$Z77)=0,0,MAX(0,IF((E$6-$E$3)&lt;1,0,IFERROR(LOOKUP(2,1/(Amendoim!$E77:INDEX(Amendoim!$E77:$Z77,MIN(E$6-$E$3,22))&lt;&gt;""),Amendoim!$E77:INDEX(Amendoim!$E77:$Z77,MIN(E$6-$E$3,22))),0))-IF($G$2,0,IF((E$6-$G$3)&lt;1,0,IFERROR(LOOKUP(2,1/(Amendoim!$E77:INDEX(Amendoim!$E77:$Z77,MIN(E$6-$G$3,22))&lt;&gt;""),Amendoim!$E77:INDEX(Amendoim!$E77:$Z77,MIN(E$6-$G$3,22))),0)))))</f>
        <v>0</v>
      </c>
      <c r="F79" s="27" t="n">
        <f aca="false">IF(COUNT(Amendoim!$E77:$Z77)=0,0,MAX(0,IF((F$6-$E$3)&lt;1,0,IFERROR(LOOKUP(2,1/(Amendoim!$E77:INDEX(Amendoim!$E77:$Z77,MIN(F$6-$E$3,22))&lt;&gt;""),Amendoim!$E77:INDEX(Amendoim!$E77:$Z77,MIN(F$6-$E$3,22))),0))-IF($G$2,0,IF((F$6-$G$3)&lt;1,0,IFERROR(LOOKUP(2,1/(Amendoim!$E77:INDEX(Amendoim!$E77:$Z77,MIN(F$6-$G$3,22))&lt;&gt;""),Amendoim!$E77:INDEX(Amendoim!$E77:$Z77,MIN(F$6-$G$3,22))),0)))))</f>
        <v>0</v>
      </c>
      <c r="G79" s="27" t="n">
        <f aca="false">IF(COUNT(Amendoim!$E77:$Z77)=0,0,MAX(0,IF((G$6-$E$3)&lt;1,0,IFERROR(LOOKUP(2,1/(Amendoim!$E77:INDEX(Amendoim!$E77:$Z77,MIN(G$6-$E$3,22))&lt;&gt;""),Amendoim!$E77:INDEX(Amendoim!$E77:$Z77,MIN(G$6-$E$3,22))),0))-IF($G$2,0,IF((G$6-$G$3)&lt;1,0,IFERROR(LOOKUP(2,1/(Amendoim!$E77:INDEX(Amendoim!$E77:$Z77,MIN(G$6-$G$3,22))&lt;&gt;""),Amendoim!$E77:INDEX(Amendoim!$E77:$Z77,MIN(G$6-$G$3,22))),0)))))</f>
        <v>0</v>
      </c>
      <c r="H79" s="27" t="n">
        <f aca="false">IF(COUNT(Amendoim!$E77:$Z77)=0,0,MAX(0,IF((H$6-$E$3)&lt;1,0,IFERROR(LOOKUP(2,1/(Amendoim!$E77:INDEX(Amendoim!$E77:$Z77,MIN(H$6-$E$3,22))&lt;&gt;""),Amendoim!$E77:INDEX(Amendoim!$E77:$Z77,MIN(H$6-$E$3,22))),0))-IF($G$2,0,IF((H$6-$G$3)&lt;1,0,IFERROR(LOOKUP(2,1/(Amendoim!$E77:INDEX(Amendoim!$E77:$Z77,MIN(H$6-$G$3,22))&lt;&gt;""),Amendoim!$E77:INDEX(Amendoim!$E77:$Z77,MIN(H$6-$G$3,22))),0)))))</f>
        <v>0</v>
      </c>
      <c r="I79" s="27" t="n">
        <f aca="false">IF(COUNT(Amendoim!$E77:$Z77)=0,0,MAX(0,IF((I$6-$E$3)&lt;1,0,IFERROR(LOOKUP(2,1/(Amendoim!$E77:INDEX(Amendoim!$E77:$Z77,MIN(I$6-$E$3,22))&lt;&gt;""),Amendoim!$E77:INDEX(Amendoim!$E77:$Z77,MIN(I$6-$E$3,22))),0))-IF($G$2,0,IF((I$6-$G$3)&lt;1,0,IFERROR(LOOKUP(2,1/(Amendoim!$E77:INDEX(Amendoim!$E77:$Z77,MIN(I$6-$G$3,22))&lt;&gt;""),Amendoim!$E77:INDEX(Amendoim!$E77:$Z77,MIN(I$6-$G$3,22))),0)))))</f>
        <v>0</v>
      </c>
      <c r="J79" s="27" t="n">
        <f aca="false">IF(COUNT(Amendoim!$E77:$Z77)=0,0,MAX(0,IF((J$6-$E$3)&lt;1,0,IFERROR(LOOKUP(2,1/(Amendoim!$E77:INDEX(Amendoim!$E77:$Z77,MIN(J$6-$E$3,22))&lt;&gt;""),Amendoim!$E77:INDEX(Amendoim!$E77:$Z77,MIN(J$6-$E$3,22))),0))-IF($G$2,0,IF((J$6-$G$3)&lt;1,0,IFERROR(LOOKUP(2,1/(Amendoim!$E77:INDEX(Amendoim!$E77:$Z77,MIN(J$6-$G$3,22))&lt;&gt;""),Amendoim!$E77:INDEX(Amendoim!$E77:$Z77,MIN(J$6-$G$3,22))),0)))))</f>
        <v>0</v>
      </c>
      <c r="K79" s="27" t="n">
        <f aca="false">IF(COUNT(Amendoim!$E77:$Z77)=0,0,MAX(0,IF((K$6-$E$3)&lt;1,0,IFERROR(LOOKUP(2,1/(Amendoim!$E77:INDEX(Amendoim!$E77:$Z77,MIN(K$6-$E$3,22))&lt;&gt;""),Amendoim!$E77:INDEX(Amendoim!$E77:$Z77,MIN(K$6-$E$3,22))),0))-IF($G$2,0,IF((K$6-$G$3)&lt;1,0,IFERROR(LOOKUP(2,1/(Amendoim!$E77:INDEX(Amendoim!$E77:$Z77,MIN(K$6-$G$3,22))&lt;&gt;""),Amendoim!$E77:INDEX(Amendoim!$E77:$Z77,MIN(K$6-$G$3,22))),0)))))</f>
        <v>0</v>
      </c>
      <c r="L79" s="27" t="n">
        <f aca="false">IF(COUNT(Amendoim!$E77:$Z77)=0,0,MAX(0,IF((L$6-$E$3)&lt;1,0,IFERROR(LOOKUP(2,1/(Amendoim!$E77:INDEX(Amendoim!$E77:$Z77,MIN(L$6-$E$3,22))&lt;&gt;""),Amendoim!$E77:INDEX(Amendoim!$E77:$Z77,MIN(L$6-$E$3,22))),0))-IF($G$2,0,IF((L$6-$G$3)&lt;1,0,IFERROR(LOOKUP(2,1/(Amendoim!$E77:INDEX(Amendoim!$E77:$Z77,MIN(L$6-$G$3,22))&lt;&gt;""),Amendoim!$E77:INDEX(Amendoim!$E77:$Z77,MIN(L$6-$G$3,22))),0)))))</f>
        <v>0</v>
      </c>
      <c r="M79" s="27" t="n">
        <f aca="false">IF(COUNT(Amendoim!$E77:$Z77)=0,0,MAX(0,IF((M$6-$E$3)&lt;1,0,IFERROR(LOOKUP(2,1/(Amendoim!$E77:INDEX(Amendoim!$E77:$Z77,MIN(M$6-$E$3,22))&lt;&gt;""),Amendoim!$E77:INDEX(Amendoim!$E77:$Z77,MIN(M$6-$E$3,22))),0))-IF($G$2,0,IF((M$6-$G$3)&lt;1,0,IFERROR(LOOKUP(2,1/(Amendoim!$E77:INDEX(Amendoim!$E77:$Z77,MIN(M$6-$G$3,22))&lt;&gt;""),Amendoim!$E77:INDEX(Amendoim!$E77:$Z77,MIN(M$6-$G$3,22))),0)))))</f>
        <v>0</v>
      </c>
      <c r="N79" s="27" t="n">
        <f aca="false">IF(COUNT(Amendoim!$E77:$Z77)=0,0,MAX(0,IF((N$6-$E$3)&lt;1,0,IFERROR(LOOKUP(2,1/(Amendoim!$E77:INDEX(Amendoim!$E77:$Z77,MIN(N$6-$E$3,22))&lt;&gt;""),Amendoim!$E77:INDEX(Amendoim!$E77:$Z77,MIN(N$6-$E$3,22))),0))-IF($G$2,0,IF((N$6-$G$3)&lt;1,0,IFERROR(LOOKUP(2,1/(Amendoim!$E77:INDEX(Amendoim!$E77:$Z77,MIN(N$6-$G$3,22))&lt;&gt;""),Amendoim!$E77:INDEX(Amendoim!$E77:$Z77,MIN(N$6-$G$3,22))),0)))))</f>
        <v>0</v>
      </c>
      <c r="O79" s="27" t="n">
        <f aca="false">IF(COUNT(Amendoim!$E77:$Z77)=0,0,MAX(0,IF((O$6-$E$3)&lt;1,0,IFERROR(LOOKUP(2,1/(Amendoim!$E77:INDEX(Amendoim!$E77:$Z77,MIN(O$6-$E$3,22))&lt;&gt;""),Amendoim!$E77:INDEX(Amendoim!$E77:$Z77,MIN(O$6-$E$3,22))),0))-IF($G$2,0,IF((O$6-$G$3)&lt;1,0,IFERROR(LOOKUP(2,1/(Amendoim!$E77:INDEX(Amendoim!$E77:$Z77,MIN(O$6-$G$3,22))&lt;&gt;""),Amendoim!$E77:INDEX(Amendoim!$E77:$Z77,MIN(O$6-$G$3,22))),0)))))</f>
        <v>0</v>
      </c>
      <c r="P79" s="27" t="n">
        <f aca="false">IF(COUNT(Amendoim!$E77:$Z77)=0,0,MAX(0,IF((P$6-$E$3)&lt;1,0,IFERROR(LOOKUP(2,1/(Amendoim!$E77:INDEX(Amendoim!$E77:$Z77,MIN(P$6-$E$3,22))&lt;&gt;""),Amendoim!$E77:INDEX(Amendoim!$E77:$Z77,MIN(P$6-$E$3,22))),0))-IF($G$2,0,IF((P$6-$G$3)&lt;1,0,IFERROR(LOOKUP(2,1/(Amendoim!$E77:INDEX(Amendoim!$E77:$Z77,MIN(P$6-$G$3,22))&lt;&gt;""),Amendoim!$E77:INDEX(Amendoim!$E77:$Z77,MIN(P$6-$G$3,22))),0)))))</f>
        <v>0</v>
      </c>
      <c r="Q79" s="27" t="n">
        <f aca="false">IF(COUNT(Amendoim!$E77:$Z77)=0,0,MAX(0,IF((Q$6-$E$3)&lt;1,0,IFERROR(LOOKUP(2,1/(Amendoim!$E77:INDEX(Amendoim!$E77:$Z77,MIN(Q$6-$E$3,22))&lt;&gt;""),Amendoim!$E77:INDEX(Amendoim!$E77:$Z77,MIN(Q$6-$E$3,22))),0))-IF($G$2,0,IF((Q$6-$G$3)&lt;1,0,IFERROR(LOOKUP(2,1/(Amendoim!$E77:INDEX(Amendoim!$E77:$Z77,MIN(Q$6-$G$3,22))&lt;&gt;""),Amendoim!$E77:INDEX(Amendoim!$E77:$Z77,MIN(Q$6-$G$3,22))),0)))))</f>
        <v>0</v>
      </c>
      <c r="R79" s="27" t="n">
        <f aca="false">IF(COUNT(Amendoim!$E77:$Z77)=0,0,MAX(0,IF((R$6-$E$3)&lt;1,0,IFERROR(LOOKUP(2,1/(Amendoim!$E77:INDEX(Amendoim!$E77:$Z77,MIN(R$6-$E$3,22))&lt;&gt;""),Amendoim!$E77:INDEX(Amendoim!$E77:$Z77,MIN(R$6-$E$3,22))),0))-IF($G$2,0,IF((R$6-$G$3)&lt;1,0,IFERROR(LOOKUP(2,1/(Amendoim!$E77:INDEX(Amendoim!$E77:$Z77,MIN(R$6-$G$3,22))&lt;&gt;""),Amendoim!$E77:INDEX(Amendoim!$E77:$Z77,MIN(R$6-$G$3,22))),0)))))</f>
        <v>0</v>
      </c>
      <c r="S79" s="27" t="n">
        <f aca="false">IF(COUNT(Amendoim!$E77:$Z77)=0,0,MAX(0,IF((S$6-$E$3)&lt;1,0,IFERROR(LOOKUP(2,1/(Amendoim!$E77:INDEX(Amendoim!$E77:$Z77,MIN(S$6-$E$3,22))&lt;&gt;""),Amendoim!$E77:INDEX(Amendoim!$E77:$Z77,MIN(S$6-$E$3,22))),0))-IF($G$2,0,IF((S$6-$G$3)&lt;1,0,IFERROR(LOOKUP(2,1/(Amendoim!$E77:INDEX(Amendoim!$E77:$Z77,MIN(S$6-$G$3,22))&lt;&gt;""),Amendoim!$E77:INDEX(Amendoim!$E77:$Z77,MIN(S$6-$G$3,22))),0)))))</f>
        <v>0</v>
      </c>
      <c r="T79" s="27" t="n">
        <f aca="false">IF(COUNT(Amendoim!$E77:$Z77)=0,0,MAX(0,IF((T$6-$E$3)&lt;1,0,IFERROR(LOOKUP(2,1/(Amendoim!$E77:INDEX(Amendoim!$E77:$Z77,MIN(T$6-$E$3,22))&lt;&gt;""),Amendoim!$E77:INDEX(Amendoim!$E77:$Z77,MIN(T$6-$E$3,22))),0))-IF($G$2,0,IF((T$6-$G$3)&lt;1,0,IFERROR(LOOKUP(2,1/(Amendoim!$E77:INDEX(Amendoim!$E77:$Z77,MIN(T$6-$G$3,22))&lt;&gt;""),Amendoim!$E77:INDEX(Amendoim!$E77:$Z77,MIN(T$6-$G$3,22))),0)))))</f>
        <v>0</v>
      </c>
      <c r="U79" s="27" t="n">
        <f aca="false">IF(COUNT(Amendoim!$E77:$Z77)=0,0,MAX(0,IF((U$6-$E$3)&lt;1,0,IFERROR(LOOKUP(2,1/(Amendoim!$E77:INDEX(Amendoim!$E77:$Z77,MIN(U$6-$E$3,22))&lt;&gt;""),Amendoim!$E77:INDEX(Amendoim!$E77:$Z77,MIN(U$6-$E$3,22))),0))-IF($G$2,0,IF((U$6-$G$3)&lt;1,0,IFERROR(LOOKUP(2,1/(Amendoim!$E77:INDEX(Amendoim!$E77:$Z77,MIN(U$6-$G$3,22))&lt;&gt;""),Amendoim!$E77:INDEX(Amendoim!$E77:$Z77,MIN(U$6-$G$3,22))),0)))))</f>
        <v>0</v>
      </c>
      <c r="V79" s="27" t="n">
        <f aca="false">IF(COUNT(Amendoim!$E77:$Z77)=0,0,MAX(0,IF((V$6-$E$3)&lt;1,0,IFERROR(LOOKUP(2,1/(Amendoim!$E77:INDEX(Amendoim!$E77:$Z77,MIN(V$6-$E$3,22))&lt;&gt;""),Amendoim!$E77:INDEX(Amendoim!$E77:$Z77,MIN(V$6-$E$3,22))),0))-IF($G$2,0,IF((V$6-$G$3)&lt;1,0,IFERROR(LOOKUP(2,1/(Amendoim!$E77:INDEX(Amendoim!$E77:$Z77,MIN(V$6-$G$3,22))&lt;&gt;""),Amendoim!$E77:INDEX(Amendoim!$E77:$Z77,MIN(V$6-$G$3,22))),0)))))</f>
        <v>0</v>
      </c>
      <c r="W79" s="27" t="n">
        <f aca="false">IF(COUNT(Amendoim!$E77:$Z77)=0,0,MAX(0,IF((W$6-$E$3)&lt;1,0,IFERROR(LOOKUP(2,1/(Amendoim!$E77:INDEX(Amendoim!$E77:$Z77,MIN(W$6-$E$3,22))&lt;&gt;""),Amendoim!$E77:INDEX(Amendoim!$E77:$Z77,MIN(W$6-$E$3,22))),0))-IF($G$2,0,IF((W$6-$G$3)&lt;1,0,IFERROR(LOOKUP(2,1/(Amendoim!$E77:INDEX(Amendoim!$E77:$Z77,MIN(W$6-$G$3,22))&lt;&gt;""),Amendoim!$E77:INDEX(Amendoim!$E77:$Z77,MIN(W$6-$G$3,22))),0)))))</f>
        <v>0</v>
      </c>
      <c r="X79" s="27" t="n">
        <f aca="false">IF(COUNT(Amendoim!$E77:$Z77)=0,0,MAX(0,IF((X$6-$E$3)&lt;1,0,IFERROR(LOOKUP(2,1/(Amendoim!$E77:INDEX(Amendoim!$E77:$Z77,MIN(X$6-$E$3,22))&lt;&gt;""),Amendoim!$E77:INDEX(Amendoim!$E77:$Z77,MIN(X$6-$E$3,22))),0))-IF($G$2,0,IF((X$6-$G$3)&lt;1,0,IFERROR(LOOKUP(2,1/(Amendoim!$E77:INDEX(Amendoim!$E77:$Z77,MIN(X$6-$G$3,22))&lt;&gt;""),Amendoim!$E77:INDEX(Amendoim!$E77:$Z77,MIN(X$6-$G$3,22))),0)))))</f>
        <v>0</v>
      </c>
      <c r="Y79" s="27" t="n">
        <f aca="false">IF(COUNT(Amendoim!$E77:$Z77)=0,0,MAX(0,IF((Y$6-$E$3)&lt;1,0,IFERROR(LOOKUP(2,1/(Amendoim!$E77:INDEX(Amendoim!$E77:$Z77,MIN(Y$6-$E$3,22))&lt;&gt;""),Amendoim!$E77:INDEX(Amendoim!$E77:$Z77,MIN(Y$6-$E$3,22))),0))-IF($G$2,0,IF((Y$6-$G$3)&lt;1,0,IFERROR(LOOKUP(2,1/(Amendoim!$E77:INDEX(Amendoim!$E77:$Z77,MIN(Y$6-$G$3,22))&lt;&gt;""),Amendoim!$E77:INDEX(Amendoim!$E77:$Z77,MIN(Y$6-$G$3,22))),0)))))</f>
        <v>0</v>
      </c>
      <c r="Z79" s="27" t="n">
        <f aca="false">IF(COUNT(Amendoim!$E77:$Z77)=0,0,MAX(0,IF((Z$6-$E$3)&lt;1,0,IFERROR(LOOKUP(2,1/(Amendoim!$E77:INDEX(Amendoim!$E77:$Z77,MIN(Z$6-$E$3,22))&lt;&gt;""),Amendoim!$E77:INDEX(Amendoim!$E77:$Z77,MIN(Z$6-$E$3,22))),0))-IF($G$2,0,IF((Z$6-$G$3)&lt;1,0,IFERROR(LOOKUP(2,1/(Amendoim!$E77:INDEX(Amendoim!$E77:$Z77,MIN(Z$6-$G$3,22))&lt;&gt;""),Amendoim!$E77:INDEX(Amendoim!$E77:$Z77,MIN(Z$6-$G$3,22))),0)))))</f>
        <v>0</v>
      </c>
      <c r="AA79" s="27" t="n">
        <f aca="false">IF(COUNT(Amendoim!$E77:$Z77)=0,0,MAX(0,IF((AA$6-$E$3)&lt;1,0,IFERROR(LOOKUP(2,1/(Amendoim!$E77:INDEX(Amendoim!$E77:$Z77,MIN(AA$6-$E$3,22))&lt;&gt;""),Amendoim!$E77:INDEX(Amendoim!$E77:$Z77,MIN(AA$6-$E$3,22))),0))-IF($G$2,0,IF((AA$6-$G$3)&lt;1,0,IFERROR(LOOKUP(2,1/(Amendoim!$E77:INDEX(Amendoim!$E77:$Z77,MIN(AA$6-$G$3,22))&lt;&gt;""),Amendoim!$E77:INDEX(Amendoim!$E77:$Z77,MIN(AA$6-$G$3,22))),0)))))</f>
        <v>0</v>
      </c>
      <c r="AB79" s="27" t="n">
        <f aca="false">IF(COUNT(Amendoim!$E77:$Z77)=0,0,MAX(0,IF((AB$6-$E$3)&lt;1,0,IFERROR(LOOKUP(2,1/(Amendoim!$E77:INDEX(Amendoim!$E77:$Z77,MIN(AB$6-$E$3,22))&lt;&gt;""),Amendoim!$E77:INDEX(Amendoim!$E77:$Z77,MIN(AB$6-$E$3,22))),0))-IF($G$2,0,IF((AB$6-$G$3)&lt;1,0,IFERROR(LOOKUP(2,1/(Amendoim!$E77:INDEX(Amendoim!$E77:$Z77,MIN(AB$6-$G$3,22))&lt;&gt;""),Amendoim!$E77:INDEX(Amendoim!$E77:$Z77,MIN(AB$6-$G$3,22))),0)))))</f>
        <v>0</v>
      </c>
      <c r="AC79" s="27" t="n">
        <f aca="false">IF(COUNT(Amendoim!$E77:$Z77)=0,0,MAX(0,IF((AC$6-$E$3)&lt;1,0,IFERROR(LOOKUP(2,1/(Amendoim!$E77:INDEX(Amendoim!$E77:$Z77,MIN(AC$6-$E$3,22))&lt;&gt;""),Amendoim!$E77:INDEX(Amendoim!$E77:$Z77,MIN(AC$6-$E$3,22))),0))-IF($G$2,0,IF((AC$6-$G$3)&lt;1,0,IFERROR(LOOKUP(2,1/(Amendoim!$E77:INDEX(Amendoim!$E77:$Z77,MIN(AC$6-$G$3,22))&lt;&gt;""),Amendoim!$E77:INDEX(Amendoim!$E77:$Z77,MIN(AC$6-$G$3,22))),0)))))</f>
        <v>0</v>
      </c>
      <c r="AD79" s="27" t="n">
        <f aca="false">IF(COUNT(Amendoim!$E77:$Z77)=0,0,MAX(0,IF((AD$6-$E$3)&lt;1,0,IFERROR(LOOKUP(2,1/(Amendoim!$E77:INDEX(Amendoim!$E77:$Z77,MIN(AD$6-$E$3,22))&lt;&gt;""),Amendoim!$E77:INDEX(Amendoim!$E77:$Z77,MIN(AD$6-$E$3,22))),0))-IF($G$2,0,IF((AD$6-$G$3)&lt;1,0,IFERROR(LOOKUP(2,1/(Amendoim!$E77:INDEX(Amendoim!$E77:$Z77,MIN(AD$6-$G$3,22))&lt;&gt;""),Amendoim!$E77:INDEX(Amendoim!$E77:$Z77,MIN(AD$6-$G$3,22))),0)))))</f>
        <v>0</v>
      </c>
      <c r="AE79" s="27" t="n">
        <f aca="false">IF(COUNT(Amendoim!$E77:$Z77)=0,0,MAX(0,IF((AE$6-$E$3)&lt;1,0,IFERROR(LOOKUP(2,1/(Amendoim!$E77:INDEX(Amendoim!$E77:$Z77,MIN(AE$6-$E$3,22))&lt;&gt;""),Amendoim!$E77:INDEX(Amendoim!$E77:$Z77,MIN(AE$6-$E$3,22))),0))-IF($G$2,0,IF((AE$6-$G$3)&lt;1,0,IFERROR(LOOKUP(2,1/(Amendoim!$E77:INDEX(Amendoim!$E77:$Z77,MIN(AE$6-$G$3,22))&lt;&gt;""),Amendoim!$E77:INDEX(Amendoim!$E77:$Z77,MIN(AE$6-$G$3,22))),0)))))</f>
        <v>0</v>
      </c>
      <c r="AF79" s="27" t="n">
        <f aca="false">IF(COUNT(Amendoim!$E77:$Z77)=0,0,MAX(0,IF((AF$6-$E$3)&lt;1,0,IFERROR(LOOKUP(2,1/(Amendoim!$E77:INDEX(Amendoim!$E77:$Z77,MIN(AF$6-$E$3,22))&lt;&gt;""),Amendoim!$E77:INDEX(Amendoim!$E77:$Z77,MIN(AF$6-$E$3,22))),0))-IF($G$2,0,IF((AF$6-$G$3)&lt;1,0,IFERROR(LOOKUP(2,1/(Amendoim!$E77:INDEX(Amendoim!$E77:$Z77,MIN(AF$6-$G$3,22))&lt;&gt;""),Amendoim!$E77:INDEX(Amendoim!$E77:$Z77,MIN(AF$6-$G$3,22))),0)))))</f>
        <v>0</v>
      </c>
      <c r="AG79" s="27" t="n">
        <f aca="false">IF(COUNT(Amendoim!$E77:$Z77)=0,0,MAX(0,IF((AG$6-$E$3)&lt;1,0,IFERROR(LOOKUP(2,1/(Amendoim!$E77:INDEX(Amendoim!$E77:$Z77,MIN(AG$6-$E$3,22))&lt;&gt;""),Amendoim!$E77:INDEX(Amendoim!$E77:$Z77,MIN(AG$6-$E$3,22))),0))-IF($G$2,0,IF((AG$6-$G$3)&lt;1,0,IFERROR(LOOKUP(2,1/(Amendoim!$E77:INDEX(Amendoim!$E77:$Z77,MIN(AG$6-$G$3,22))&lt;&gt;""),Amendoim!$E77:INDEX(Amendoim!$E77:$Z77,MIN(AG$6-$G$3,22))),0)))))</f>
        <v>0</v>
      </c>
      <c r="AH79" s="27" t="n">
        <f aca="false">IF(COUNT(Amendoim!$E77:$Z77)=0,0,MAX(0,IF((AH$6-$E$3)&lt;1,0,IFERROR(LOOKUP(2,1/(Amendoim!$E77:INDEX(Amendoim!$E77:$Z77,MIN(AH$6-$E$3,22))&lt;&gt;""),Amendoim!$E77:INDEX(Amendoim!$E77:$Z77,MIN(AH$6-$E$3,22))),0))-IF($G$2,0,IF((AH$6-$G$3)&lt;1,0,IFERROR(LOOKUP(2,1/(Amendoim!$E77:INDEX(Amendoim!$E77:$Z77,MIN(AH$6-$G$3,22))&lt;&gt;""),Amendoim!$E77:INDEX(Amendoim!$E77:$Z77,MIN(AH$6-$G$3,22))),0)))))</f>
        <v>0</v>
      </c>
      <c r="AI79" s="27" t="n">
        <f aca="false">IF(COUNT(Amendoim!$E77:$Z77)=0,0,MAX(0,IF((AI$6-$E$3)&lt;1,0,IFERROR(LOOKUP(2,1/(Amendoim!$E77:INDEX(Amendoim!$E77:$Z77,MIN(AI$6-$E$3,22))&lt;&gt;""),Amendoim!$E77:INDEX(Amendoim!$E77:$Z77,MIN(AI$6-$E$3,22))),0))-IF($G$2,0,IF((AI$6-$G$3)&lt;1,0,IFERROR(LOOKUP(2,1/(Amendoim!$E77:INDEX(Amendoim!$E77:$Z77,MIN(AI$6-$G$3,22))&lt;&gt;""),Amendoim!$E77:INDEX(Amendoim!$E77:$Z77,MIN(AI$6-$G$3,22))),0)))))</f>
        <v>0</v>
      </c>
      <c r="AJ79" s="27" t="n">
        <f aca="false">IF(COUNT(Amendoim!$E77:$Z77)=0,0,MAX(0,IF((AJ$6-$E$3)&lt;1,0,IFERROR(LOOKUP(2,1/(Amendoim!$E77:INDEX(Amendoim!$E77:$Z77,MIN(AJ$6-$E$3,22))&lt;&gt;""),Amendoim!$E77:INDEX(Amendoim!$E77:$Z77,MIN(AJ$6-$E$3,22))),0))-IF($G$2,0,IF((AJ$6-$G$3)&lt;1,0,IFERROR(LOOKUP(2,1/(Amendoim!$E77:INDEX(Amendoim!$E77:$Z77,MIN(AJ$6-$G$3,22))&lt;&gt;""),Amendoim!$E77:INDEX(Amendoim!$E77:$Z77,MIN(AJ$6-$G$3,22))),0)))))</f>
        <v>0</v>
      </c>
      <c r="AK79" s="27" t="n">
        <f aca="false">IF(COUNT(Amendoim!$E77:$Z77)=0,0,MAX(0,IF((AK$6-$E$3)&lt;1,0,IFERROR(LOOKUP(2,1/(Amendoim!$E77:INDEX(Amendoim!$E77:$Z77,MIN(AK$6-$E$3,22))&lt;&gt;""),Amendoim!$E77:INDEX(Amendoim!$E77:$Z77,MIN(AK$6-$E$3,22))),0))-IF($G$2,0,IF((AK$6-$G$3)&lt;1,0,IFERROR(LOOKUP(2,1/(Amendoim!$E77:INDEX(Amendoim!$E77:$Z77,MIN(AK$6-$G$3,22))&lt;&gt;""),Amendoim!$E77:INDEX(Amendoim!$E77:$Z77,MIN(AK$6-$G$3,22))),0)))))</f>
        <v>0</v>
      </c>
      <c r="AL79" s="27" t="n">
        <f aca="false">IF(COUNT(Amendoim!$E77:$Z77)=0,0,MAX(0,IF((AL$6-$E$3)&lt;1,0,IFERROR(LOOKUP(2,1/(Amendoim!$E77:INDEX(Amendoim!$E77:$Z77,MIN(AL$6-$E$3,22))&lt;&gt;""),Amendoim!$E77:INDEX(Amendoim!$E77:$Z77,MIN(AL$6-$E$3,22))),0))-IF($G$2,0,IF((AL$6-$G$3)&lt;1,0,IFERROR(LOOKUP(2,1/(Amendoim!$E77:INDEX(Amendoim!$E77:$Z77,MIN(AL$6-$G$3,22))&lt;&gt;""),Amendoim!$E77:INDEX(Amendoim!$E77:$Z77,MIN(AL$6-$G$3,22))),0)))))</f>
        <v>0</v>
      </c>
      <c r="AM79" s="27" t="n">
        <f aca="false">IF(COUNT(Amendoim!$E77:$Z77)=0,0,MAX(0,IF((AM$6-$E$3)&lt;1,0,IFERROR(LOOKUP(2,1/(Amendoim!$E77:INDEX(Amendoim!$E77:$Z77,MIN(AM$6-$E$3,22))&lt;&gt;""),Amendoim!$E77:INDEX(Amendoim!$E77:$Z77,MIN(AM$6-$E$3,22))),0))-IF($G$2,0,IF((AM$6-$G$3)&lt;1,0,IFERROR(LOOKUP(2,1/(Amendoim!$E77:INDEX(Amendoim!$E77:$Z77,MIN(AM$6-$G$3,22))&lt;&gt;""),Amendoim!$E77:INDEX(Amendoim!$E77:$Z77,MIN(AM$6-$G$3,22))),0)))))</f>
        <v>0</v>
      </c>
      <c r="AN79" s="27" t="n">
        <f aca="false">IF(COUNT(Amendoim!$E77:$Z77)=0,0,MAX(0,IF((AN$6-$E$3)&lt;1,0,IFERROR(LOOKUP(2,1/(Amendoim!$E77:INDEX(Amendoim!$E77:$Z77,MIN(AN$6-$E$3,22))&lt;&gt;""),Amendoim!$E77:INDEX(Amendoim!$E77:$Z77,MIN(AN$6-$E$3,22))),0))-IF($G$2,0,IF((AN$6-$G$3)&lt;1,0,IFERROR(LOOKUP(2,1/(Amendoim!$E77:INDEX(Amendoim!$E77:$Z77,MIN(AN$6-$G$3,22))&lt;&gt;""),Amendoim!$E77:INDEX(Amendoim!$E77:$Z77,MIN(AN$6-$G$3,22))),0)))))</f>
        <v>0</v>
      </c>
      <c r="AO79" s="27" t="n">
        <f aca="false">IF(COUNT(Amendoim!$E77:$Z77)=0,0,MAX(0,IF((AO$6-$E$3)&lt;1,0,IFERROR(LOOKUP(2,1/(Amendoim!$E77:INDEX(Amendoim!$E77:$Z77,MIN(AO$6-$E$3,22))&lt;&gt;""),Amendoim!$E77:INDEX(Amendoim!$E77:$Z77,MIN(AO$6-$E$3,22))),0))-IF($G$2,0,IF((AO$6-$G$3)&lt;1,0,IFERROR(LOOKUP(2,1/(Amendoim!$E77:INDEX(Amendoim!$E77:$Z77,MIN(AO$6-$G$3,22))&lt;&gt;""),Amendoim!$E77:INDEX(Amendoim!$E77:$Z77,MIN(AO$6-$G$3,22))),0)))))</f>
        <v>0</v>
      </c>
      <c r="AP79" s="27" t="n">
        <f aca="false">IF(COUNT(Amendoim!$E77:$Z77)=0,0,MAX(0,IF((AP$6-$E$3)&lt;1,0,IFERROR(LOOKUP(2,1/(Amendoim!$E77:INDEX(Amendoim!$E77:$Z77,MIN(AP$6-$E$3,22))&lt;&gt;""),Amendoim!$E77:INDEX(Amendoim!$E77:$Z77,MIN(AP$6-$E$3,22))),0))-IF($G$2,0,IF((AP$6-$G$3)&lt;1,0,IFERROR(LOOKUP(2,1/(Amendoim!$E77:INDEX(Amendoim!$E77:$Z77,MIN(AP$6-$G$3,22))&lt;&gt;""),Amendoim!$E77:INDEX(Amendoim!$E77:$Z77,MIN(AP$6-$G$3,22))),0)))))</f>
        <v>0</v>
      </c>
      <c r="AQ79" s="27" t="n">
        <f aca="false">IF(COUNT(Amendoim!$E77:$Z77)=0,0,MAX(0,IF((AQ$6-$E$3)&lt;1,0,IFERROR(LOOKUP(2,1/(Amendoim!$E77:INDEX(Amendoim!$E77:$Z77,MIN(AQ$6-$E$3,22))&lt;&gt;""),Amendoim!$E77:INDEX(Amendoim!$E77:$Z77,MIN(AQ$6-$E$3,22))),0))-IF($G$2,0,IF((AQ$6-$G$3)&lt;1,0,IFERROR(LOOKUP(2,1/(Amendoim!$E77:INDEX(Amendoim!$E77:$Z77,MIN(AQ$6-$G$3,22))&lt;&gt;""),Amendoim!$E77:INDEX(Amendoim!$E77:$Z77,MIN(AQ$6-$G$3,22))),0)))))</f>
        <v>0</v>
      </c>
      <c r="AR79" s="27" t="n">
        <f aca="false">IF(COUNT(Amendoim!$E77:$Z77)=0,0,MAX(0,IF((AR$6-$E$3)&lt;1,0,IFERROR(LOOKUP(2,1/(Amendoim!$E77:INDEX(Amendoim!$E77:$Z77,MIN(AR$6-$E$3,22))&lt;&gt;""),Amendoim!$E77:INDEX(Amendoim!$E77:$Z77,MIN(AR$6-$E$3,22))),0))-IF($G$2,0,IF((AR$6-$G$3)&lt;1,0,IFERROR(LOOKUP(2,1/(Amendoim!$E77:INDEX(Amendoim!$E77:$Z77,MIN(AR$6-$G$3,22))&lt;&gt;""),Amendoim!$E77:INDEX(Amendoim!$E77:$Z77,MIN(AR$6-$G$3,22))),0)))))</f>
        <v>0</v>
      </c>
      <c r="AS79" s="27" t="n">
        <f aca="false">IF(COUNT(Amendoim!$E77:$Z77)=0,0,MAX(0,IF((AS$6-$E$3)&lt;1,0,IFERROR(LOOKUP(2,1/(Amendoim!$E77:INDEX(Amendoim!$E77:$Z77,MIN(AS$6-$E$3,22))&lt;&gt;""),Amendoim!$E77:INDEX(Amendoim!$E77:$Z77,MIN(AS$6-$E$3,22))),0))-IF($G$2,0,IF((AS$6-$G$3)&lt;1,0,IFERROR(LOOKUP(2,1/(Amendoim!$E77:INDEX(Amendoim!$E77:$Z77,MIN(AS$6-$G$3,22))&lt;&gt;""),Amendoim!$E77:INDEX(Amendoim!$E77:$Z77,MIN(AS$6-$G$3,22))),0)))))</f>
        <v>0</v>
      </c>
      <c r="AT79" s="27" t="n">
        <f aca="false">IF(COUNT(Amendoim!$E77:$Z77)=0,0,MAX(0,IF((AT$6-$E$3)&lt;1,0,IFERROR(LOOKUP(2,1/(Amendoim!$E77:INDEX(Amendoim!$E77:$Z77,MIN(AT$6-$E$3,22))&lt;&gt;""),Amendoim!$E77:INDEX(Amendoim!$E77:$Z77,MIN(AT$6-$E$3,22))),0))-IF($G$2,0,IF((AT$6-$G$3)&lt;1,0,IFERROR(LOOKUP(2,1/(Amendoim!$E77:INDEX(Amendoim!$E77:$Z77,MIN(AT$6-$G$3,22))&lt;&gt;""),Amendoim!$E77:INDEX(Amendoim!$E77:$Z77,MIN(AT$6-$G$3,22))),0)))))</f>
        <v>0</v>
      </c>
      <c r="AU79" s="27" t="n">
        <f aca="false">IF(COUNT(Amendoim!$E77:$Z77)=0,0,MAX(0,IF((AU$6-$E$3)&lt;1,0,IFERROR(LOOKUP(2,1/(Amendoim!$E77:INDEX(Amendoim!$E77:$Z77,MIN(AU$6-$E$3,22))&lt;&gt;""),Amendoim!$E77:INDEX(Amendoim!$E77:$Z77,MIN(AU$6-$E$3,22))),0))-IF($G$2,0,IF((AU$6-$G$3)&lt;1,0,IFERROR(LOOKUP(2,1/(Amendoim!$E77:INDEX(Amendoim!$E77:$Z77,MIN(AU$6-$G$3,22))&lt;&gt;""),Amendoim!$E77:INDEX(Amendoim!$E77:$Z77,MIN(AU$6-$G$3,22))),0)))))</f>
        <v>0</v>
      </c>
      <c r="AV79" s="27" t="n">
        <f aca="false">IF(COUNT(Amendoim!$E77:$Z77)=0,0,MAX(0,IF((AV$6-$E$3)&lt;1,0,IFERROR(LOOKUP(2,1/(Amendoim!$E77:INDEX(Amendoim!$E77:$Z77,MIN(AV$6-$E$3,22))&lt;&gt;""),Amendoim!$E77:INDEX(Amendoim!$E77:$Z77,MIN(AV$6-$E$3,22))),0))-IF($G$2,0,IF((AV$6-$G$3)&lt;1,0,IFERROR(LOOKUP(2,1/(Amendoim!$E77:INDEX(Amendoim!$E77:$Z77,MIN(AV$6-$G$3,22))&lt;&gt;""),Amendoim!$E77:INDEX(Amendoim!$E77:$Z77,MIN(AV$6-$G$3,22))),0)))))</f>
        <v>0</v>
      </c>
      <c r="AW79" s="27" t="n">
        <f aca="false">IF(COUNT(Amendoim!$E77:$Z77)=0,0,MAX(0,IF((AW$6-$E$3)&lt;1,0,IFERROR(LOOKUP(2,1/(Amendoim!$E77:INDEX(Amendoim!$E77:$Z77,MIN(AW$6-$E$3,22))&lt;&gt;""),Amendoim!$E77:INDEX(Amendoim!$E77:$Z77,MIN(AW$6-$E$3,22))),0))-IF($G$2,0,IF((AW$6-$G$3)&lt;1,0,IFERROR(LOOKUP(2,1/(Amendoim!$E77:INDEX(Amendoim!$E77:$Z77,MIN(AW$6-$G$3,22))&lt;&gt;""),Amendoim!$E77:INDEX(Amendoim!$E77:$Z77,MIN(AW$6-$G$3,22))),0)))))</f>
        <v>0</v>
      </c>
      <c r="AX79" s="27" t="n">
        <f aca="false">IF(COUNT(Amendoim!$E77:$Z77)=0,0,MAX(0,IF((AX$6-$E$3)&lt;1,0,IFERROR(LOOKUP(2,1/(Amendoim!$E77:INDEX(Amendoim!$E77:$Z77,MIN(AX$6-$E$3,22))&lt;&gt;""),Amendoim!$E77:INDEX(Amendoim!$E77:$Z77,MIN(AX$6-$E$3,22))),0))-IF($G$2,0,IF((AX$6-$G$3)&lt;1,0,IFERROR(LOOKUP(2,1/(Amendoim!$E77:INDEX(Amendoim!$E77:$Z77,MIN(AX$6-$G$3,22))&lt;&gt;""),Amendoim!$E77:INDEX(Amendoim!$E77:$Z77,MIN(AX$6-$G$3,22))),0)))))</f>
        <v>0</v>
      </c>
      <c r="AY79" s="27" t="n">
        <f aca="false">IF(COUNT(Amendoim!$E77:$Z77)=0,0,MAX(0,IF((AY$6-$E$3)&lt;1,0,IFERROR(LOOKUP(2,1/(Amendoim!$E77:INDEX(Amendoim!$E77:$Z77,MIN(AY$6-$E$3,22))&lt;&gt;""),Amendoim!$E77:INDEX(Amendoim!$E77:$Z77,MIN(AY$6-$E$3,22))),0))-IF($G$2,0,IF((AY$6-$G$3)&lt;1,0,IFERROR(LOOKUP(2,1/(Amendoim!$E77:INDEX(Amendoim!$E77:$Z77,MIN(AY$6-$G$3,22))&lt;&gt;""),Amendoim!$E77:INDEX(Amendoim!$E77:$Z77,MIN(AY$6-$G$3,22))),0)))))</f>
        <v>0</v>
      </c>
      <c r="AZ79" s="27" t="n">
        <f aca="false">IF(COUNT(Amendoim!$E77:$Z77)=0,0,MAX(0,IF((AZ$6-$E$3)&lt;1,0,IFERROR(LOOKUP(2,1/(Amendoim!$E77:INDEX(Amendoim!$E77:$Z77,MIN(AZ$6-$E$3,22))&lt;&gt;""),Amendoim!$E77:INDEX(Amendoim!$E77:$Z77,MIN(AZ$6-$E$3,22))),0))-IF($G$2,0,IF((AZ$6-$G$3)&lt;1,0,IFERROR(LOOKUP(2,1/(Amendoim!$E77:INDEX(Amendoim!$E77:$Z77,MIN(AZ$6-$G$3,22))&lt;&gt;""),Amendoim!$E77:INDEX(Amendoim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IF(COUNT(Amendoim!$E78:$Z78)&gt;0,N(Amendoim!$D78),0)</f>
        <v>0</v>
      </c>
      <c r="E80" s="27" t="n">
        <f aca="false">IF(COUNT(Amendoim!$E78:$Z78)=0,0,MAX(0,IF((E$6-$E$3)&lt;1,0,IFERROR(LOOKUP(2,1/(Amendoim!$E78:INDEX(Amendoim!$E78:$Z78,MIN(E$6-$E$3,22))&lt;&gt;""),Amendoim!$E78:INDEX(Amendoim!$E78:$Z78,MIN(E$6-$E$3,22))),0))-IF($G$2,0,IF((E$6-$G$3)&lt;1,0,IFERROR(LOOKUP(2,1/(Amendoim!$E78:INDEX(Amendoim!$E78:$Z78,MIN(E$6-$G$3,22))&lt;&gt;""),Amendoim!$E78:INDEX(Amendoim!$E78:$Z78,MIN(E$6-$G$3,22))),0)))))</f>
        <v>0</v>
      </c>
      <c r="F80" s="27" t="n">
        <f aca="false">IF(COUNT(Amendoim!$E78:$Z78)=0,0,MAX(0,IF((F$6-$E$3)&lt;1,0,IFERROR(LOOKUP(2,1/(Amendoim!$E78:INDEX(Amendoim!$E78:$Z78,MIN(F$6-$E$3,22))&lt;&gt;""),Amendoim!$E78:INDEX(Amendoim!$E78:$Z78,MIN(F$6-$E$3,22))),0))-IF($G$2,0,IF((F$6-$G$3)&lt;1,0,IFERROR(LOOKUP(2,1/(Amendoim!$E78:INDEX(Amendoim!$E78:$Z78,MIN(F$6-$G$3,22))&lt;&gt;""),Amendoim!$E78:INDEX(Amendoim!$E78:$Z78,MIN(F$6-$G$3,22))),0)))))</f>
        <v>0</v>
      </c>
      <c r="G80" s="27" t="n">
        <f aca="false">IF(COUNT(Amendoim!$E78:$Z78)=0,0,MAX(0,IF((G$6-$E$3)&lt;1,0,IFERROR(LOOKUP(2,1/(Amendoim!$E78:INDEX(Amendoim!$E78:$Z78,MIN(G$6-$E$3,22))&lt;&gt;""),Amendoim!$E78:INDEX(Amendoim!$E78:$Z78,MIN(G$6-$E$3,22))),0))-IF($G$2,0,IF((G$6-$G$3)&lt;1,0,IFERROR(LOOKUP(2,1/(Amendoim!$E78:INDEX(Amendoim!$E78:$Z78,MIN(G$6-$G$3,22))&lt;&gt;""),Amendoim!$E78:INDEX(Amendoim!$E78:$Z78,MIN(G$6-$G$3,22))),0)))))</f>
        <v>0</v>
      </c>
      <c r="H80" s="27" t="n">
        <f aca="false">IF(COUNT(Amendoim!$E78:$Z78)=0,0,MAX(0,IF((H$6-$E$3)&lt;1,0,IFERROR(LOOKUP(2,1/(Amendoim!$E78:INDEX(Amendoim!$E78:$Z78,MIN(H$6-$E$3,22))&lt;&gt;""),Amendoim!$E78:INDEX(Amendoim!$E78:$Z78,MIN(H$6-$E$3,22))),0))-IF($G$2,0,IF((H$6-$G$3)&lt;1,0,IFERROR(LOOKUP(2,1/(Amendoim!$E78:INDEX(Amendoim!$E78:$Z78,MIN(H$6-$G$3,22))&lt;&gt;""),Amendoim!$E78:INDEX(Amendoim!$E78:$Z78,MIN(H$6-$G$3,22))),0)))))</f>
        <v>0</v>
      </c>
      <c r="I80" s="27" t="n">
        <f aca="false">IF(COUNT(Amendoim!$E78:$Z78)=0,0,MAX(0,IF((I$6-$E$3)&lt;1,0,IFERROR(LOOKUP(2,1/(Amendoim!$E78:INDEX(Amendoim!$E78:$Z78,MIN(I$6-$E$3,22))&lt;&gt;""),Amendoim!$E78:INDEX(Amendoim!$E78:$Z78,MIN(I$6-$E$3,22))),0))-IF($G$2,0,IF((I$6-$G$3)&lt;1,0,IFERROR(LOOKUP(2,1/(Amendoim!$E78:INDEX(Amendoim!$E78:$Z78,MIN(I$6-$G$3,22))&lt;&gt;""),Amendoim!$E78:INDEX(Amendoim!$E78:$Z78,MIN(I$6-$G$3,22))),0)))))</f>
        <v>0</v>
      </c>
      <c r="J80" s="27" t="n">
        <f aca="false">IF(COUNT(Amendoim!$E78:$Z78)=0,0,MAX(0,IF((J$6-$E$3)&lt;1,0,IFERROR(LOOKUP(2,1/(Amendoim!$E78:INDEX(Amendoim!$E78:$Z78,MIN(J$6-$E$3,22))&lt;&gt;""),Amendoim!$E78:INDEX(Amendoim!$E78:$Z78,MIN(J$6-$E$3,22))),0))-IF($G$2,0,IF((J$6-$G$3)&lt;1,0,IFERROR(LOOKUP(2,1/(Amendoim!$E78:INDEX(Amendoim!$E78:$Z78,MIN(J$6-$G$3,22))&lt;&gt;""),Amendoim!$E78:INDEX(Amendoim!$E78:$Z78,MIN(J$6-$G$3,22))),0)))))</f>
        <v>0</v>
      </c>
      <c r="K80" s="27" t="n">
        <f aca="false">IF(COUNT(Amendoim!$E78:$Z78)=0,0,MAX(0,IF((K$6-$E$3)&lt;1,0,IFERROR(LOOKUP(2,1/(Amendoim!$E78:INDEX(Amendoim!$E78:$Z78,MIN(K$6-$E$3,22))&lt;&gt;""),Amendoim!$E78:INDEX(Amendoim!$E78:$Z78,MIN(K$6-$E$3,22))),0))-IF($G$2,0,IF((K$6-$G$3)&lt;1,0,IFERROR(LOOKUP(2,1/(Amendoim!$E78:INDEX(Amendoim!$E78:$Z78,MIN(K$6-$G$3,22))&lt;&gt;""),Amendoim!$E78:INDEX(Amendoim!$E78:$Z78,MIN(K$6-$G$3,22))),0)))))</f>
        <v>0</v>
      </c>
      <c r="L80" s="27" t="n">
        <f aca="false">IF(COUNT(Amendoim!$E78:$Z78)=0,0,MAX(0,IF((L$6-$E$3)&lt;1,0,IFERROR(LOOKUP(2,1/(Amendoim!$E78:INDEX(Amendoim!$E78:$Z78,MIN(L$6-$E$3,22))&lt;&gt;""),Amendoim!$E78:INDEX(Amendoim!$E78:$Z78,MIN(L$6-$E$3,22))),0))-IF($G$2,0,IF((L$6-$G$3)&lt;1,0,IFERROR(LOOKUP(2,1/(Amendoim!$E78:INDEX(Amendoim!$E78:$Z78,MIN(L$6-$G$3,22))&lt;&gt;""),Amendoim!$E78:INDEX(Amendoim!$E78:$Z78,MIN(L$6-$G$3,22))),0)))))</f>
        <v>0</v>
      </c>
      <c r="M80" s="27" t="n">
        <f aca="false">IF(COUNT(Amendoim!$E78:$Z78)=0,0,MAX(0,IF((M$6-$E$3)&lt;1,0,IFERROR(LOOKUP(2,1/(Amendoim!$E78:INDEX(Amendoim!$E78:$Z78,MIN(M$6-$E$3,22))&lt;&gt;""),Amendoim!$E78:INDEX(Amendoim!$E78:$Z78,MIN(M$6-$E$3,22))),0))-IF($G$2,0,IF((M$6-$G$3)&lt;1,0,IFERROR(LOOKUP(2,1/(Amendoim!$E78:INDEX(Amendoim!$E78:$Z78,MIN(M$6-$G$3,22))&lt;&gt;""),Amendoim!$E78:INDEX(Amendoim!$E78:$Z78,MIN(M$6-$G$3,22))),0)))))</f>
        <v>0</v>
      </c>
      <c r="N80" s="27" t="n">
        <f aca="false">IF(COUNT(Amendoim!$E78:$Z78)=0,0,MAX(0,IF((N$6-$E$3)&lt;1,0,IFERROR(LOOKUP(2,1/(Amendoim!$E78:INDEX(Amendoim!$E78:$Z78,MIN(N$6-$E$3,22))&lt;&gt;""),Amendoim!$E78:INDEX(Amendoim!$E78:$Z78,MIN(N$6-$E$3,22))),0))-IF($G$2,0,IF((N$6-$G$3)&lt;1,0,IFERROR(LOOKUP(2,1/(Amendoim!$E78:INDEX(Amendoim!$E78:$Z78,MIN(N$6-$G$3,22))&lt;&gt;""),Amendoim!$E78:INDEX(Amendoim!$E78:$Z78,MIN(N$6-$G$3,22))),0)))))</f>
        <v>0</v>
      </c>
      <c r="O80" s="27" t="n">
        <f aca="false">IF(COUNT(Amendoim!$E78:$Z78)=0,0,MAX(0,IF((O$6-$E$3)&lt;1,0,IFERROR(LOOKUP(2,1/(Amendoim!$E78:INDEX(Amendoim!$E78:$Z78,MIN(O$6-$E$3,22))&lt;&gt;""),Amendoim!$E78:INDEX(Amendoim!$E78:$Z78,MIN(O$6-$E$3,22))),0))-IF($G$2,0,IF((O$6-$G$3)&lt;1,0,IFERROR(LOOKUP(2,1/(Amendoim!$E78:INDEX(Amendoim!$E78:$Z78,MIN(O$6-$G$3,22))&lt;&gt;""),Amendoim!$E78:INDEX(Amendoim!$E78:$Z78,MIN(O$6-$G$3,22))),0)))))</f>
        <v>0</v>
      </c>
      <c r="P80" s="27" t="n">
        <f aca="false">IF(COUNT(Amendoim!$E78:$Z78)=0,0,MAX(0,IF((P$6-$E$3)&lt;1,0,IFERROR(LOOKUP(2,1/(Amendoim!$E78:INDEX(Amendoim!$E78:$Z78,MIN(P$6-$E$3,22))&lt;&gt;""),Amendoim!$E78:INDEX(Amendoim!$E78:$Z78,MIN(P$6-$E$3,22))),0))-IF($G$2,0,IF((P$6-$G$3)&lt;1,0,IFERROR(LOOKUP(2,1/(Amendoim!$E78:INDEX(Amendoim!$E78:$Z78,MIN(P$6-$G$3,22))&lt;&gt;""),Amendoim!$E78:INDEX(Amendoim!$E78:$Z78,MIN(P$6-$G$3,22))),0)))))</f>
        <v>0</v>
      </c>
      <c r="Q80" s="27" t="n">
        <f aca="false">IF(COUNT(Amendoim!$E78:$Z78)=0,0,MAX(0,IF((Q$6-$E$3)&lt;1,0,IFERROR(LOOKUP(2,1/(Amendoim!$E78:INDEX(Amendoim!$E78:$Z78,MIN(Q$6-$E$3,22))&lt;&gt;""),Amendoim!$E78:INDEX(Amendoim!$E78:$Z78,MIN(Q$6-$E$3,22))),0))-IF($G$2,0,IF((Q$6-$G$3)&lt;1,0,IFERROR(LOOKUP(2,1/(Amendoim!$E78:INDEX(Amendoim!$E78:$Z78,MIN(Q$6-$G$3,22))&lt;&gt;""),Amendoim!$E78:INDEX(Amendoim!$E78:$Z78,MIN(Q$6-$G$3,22))),0)))))</f>
        <v>0</v>
      </c>
      <c r="R80" s="27" t="n">
        <f aca="false">IF(COUNT(Amendoim!$E78:$Z78)=0,0,MAX(0,IF((R$6-$E$3)&lt;1,0,IFERROR(LOOKUP(2,1/(Amendoim!$E78:INDEX(Amendoim!$E78:$Z78,MIN(R$6-$E$3,22))&lt;&gt;""),Amendoim!$E78:INDEX(Amendoim!$E78:$Z78,MIN(R$6-$E$3,22))),0))-IF($G$2,0,IF((R$6-$G$3)&lt;1,0,IFERROR(LOOKUP(2,1/(Amendoim!$E78:INDEX(Amendoim!$E78:$Z78,MIN(R$6-$G$3,22))&lt;&gt;""),Amendoim!$E78:INDEX(Amendoim!$E78:$Z78,MIN(R$6-$G$3,22))),0)))))</f>
        <v>0</v>
      </c>
      <c r="S80" s="27" t="n">
        <f aca="false">IF(COUNT(Amendoim!$E78:$Z78)=0,0,MAX(0,IF((S$6-$E$3)&lt;1,0,IFERROR(LOOKUP(2,1/(Amendoim!$E78:INDEX(Amendoim!$E78:$Z78,MIN(S$6-$E$3,22))&lt;&gt;""),Amendoim!$E78:INDEX(Amendoim!$E78:$Z78,MIN(S$6-$E$3,22))),0))-IF($G$2,0,IF((S$6-$G$3)&lt;1,0,IFERROR(LOOKUP(2,1/(Amendoim!$E78:INDEX(Amendoim!$E78:$Z78,MIN(S$6-$G$3,22))&lt;&gt;""),Amendoim!$E78:INDEX(Amendoim!$E78:$Z78,MIN(S$6-$G$3,22))),0)))))</f>
        <v>0</v>
      </c>
      <c r="T80" s="27" t="n">
        <f aca="false">IF(COUNT(Amendoim!$E78:$Z78)=0,0,MAX(0,IF((T$6-$E$3)&lt;1,0,IFERROR(LOOKUP(2,1/(Amendoim!$E78:INDEX(Amendoim!$E78:$Z78,MIN(T$6-$E$3,22))&lt;&gt;""),Amendoim!$E78:INDEX(Amendoim!$E78:$Z78,MIN(T$6-$E$3,22))),0))-IF($G$2,0,IF((T$6-$G$3)&lt;1,0,IFERROR(LOOKUP(2,1/(Amendoim!$E78:INDEX(Amendoim!$E78:$Z78,MIN(T$6-$G$3,22))&lt;&gt;""),Amendoim!$E78:INDEX(Amendoim!$E78:$Z78,MIN(T$6-$G$3,22))),0)))))</f>
        <v>0</v>
      </c>
      <c r="U80" s="27" t="n">
        <f aca="false">IF(COUNT(Amendoim!$E78:$Z78)=0,0,MAX(0,IF((U$6-$E$3)&lt;1,0,IFERROR(LOOKUP(2,1/(Amendoim!$E78:INDEX(Amendoim!$E78:$Z78,MIN(U$6-$E$3,22))&lt;&gt;""),Amendoim!$E78:INDEX(Amendoim!$E78:$Z78,MIN(U$6-$E$3,22))),0))-IF($G$2,0,IF((U$6-$G$3)&lt;1,0,IFERROR(LOOKUP(2,1/(Amendoim!$E78:INDEX(Amendoim!$E78:$Z78,MIN(U$6-$G$3,22))&lt;&gt;""),Amendoim!$E78:INDEX(Amendoim!$E78:$Z78,MIN(U$6-$G$3,22))),0)))))</f>
        <v>0</v>
      </c>
      <c r="V80" s="27" t="n">
        <f aca="false">IF(COUNT(Amendoim!$E78:$Z78)=0,0,MAX(0,IF((V$6-$E$3)&lt;1,0,IFERROR(LOOKUP(2,1/(Amendoim!$E78:INDEX(Amendoim!$E78:$Z78,MIN(V$6-$E$3,22))&lt;&gt;""),Amendoim!$E78:INDEX(Amendoim!$E78:$Z78,MIN(V$6-$E$3,22))),0))-IF($G$2,0,IF((V$6-$G$3)&lt;1,0,IFERROR(LOOKUP(2,1/(Amendoim!$E78:INDEX(Amendoim!$E78:$Z78,MIN(V$6-$G$3,22))&lt;&gt;""),Amendoim!$E78:INDEX(Amendoim!$E78:$Z78,MIN(V$6-$G$3,22))),0)))))</f>
        <v>0</v>
      </c>
      <c r="W80" s="27" t="n">
        <f aca="false">IF(COUNT(Amendoim!$E78:$Z78)=0,0,MAX(0,IF((W$6-$E$3)&lt;1,0,IFERROR(LOOKUP(2,1/(Amendoim!$E78:INDEX(Amendoim!$E78:$Z78,MIN(W$6-$E$3,22))&lt;&gt;""),Amendoim!$E78:INDEX(Amendoim!$E78:$Z78,MIN(W$6-$E$3,22))),0))-IF($G$2,0,IF((W$6-$G$3)&lt;1,0,IFERROR(LOOKUP(2,1/(Amendoim!$E78:INDEX(Amendoim!$E78:$Z78,MIN(W$6-$G$3,22))&lt;&gt;""),Amendoim!$E78:INDEX(Amendoim!$E78:$Z78,MIN(W$6-$G$3,22))),0)))))</f>
        <v>0</v>
      </c>
      <c r="X80" s="27" t="n">
        <f aca="false">IF(COUNT(Amendoim!$E78:$Z78)=0,0,MAX(0,IF((X$6-$E$3)&lt;1,0,IFERROR(LOOKUP(2,1/(Amendoim!$E78:INDEX(Amendoim!$E78:$Z78,MIN(X$6-$E$3,22))&lt;&gt;""),Amendoim!$E78:INDEX(Amendoim!$E78:$Z78,MIN(X$6-$E$3,22))),0))-IF($G$2,0,IF((X$6-$G$3)&lt;1,0,IFERROR(LOOKUP(2,1/(Amendoim!$E78:INDEX(Amendoim!$E78:$Z78,MIN(X$6-$G$3,22))&lt;&gt;""),Amendoim!$E78:INDEX(Amendoim!$E78:$Z78,MIN(X$6-$G$3,22))),0)))))</f>
        <v>0</v>
      </c>
      <c r="Y80" s="27" t="n">
        <f aca="false">IF(COUNT(Amendoim!$E78:$Z78)=0,0,MAX(0,IF((Y$6-$E$3)&lt;1,0,IFERROR(LOOKUP(2,1/(Amendoim!$E78:INDEX(Amendoim!$E78:$Z78,MIN(Y$6-$E$3,22))&lt;&gt;""),Amendoim!$E78:INDEX(Amendoim!$E78:$Z78,MIN(Y$6-$E$3,22))),0))-IF($G$2,0,IF((Y$6-$G$3)&lt;1,0,IFERROR(LOOKUP(2,1/(Amendoim!$E78:INDEX(Amendoim!$E78:$Z78,MIN(Y$6-$G$3,22))&lt;&gt;""),Amendoim!$E78:INDEX(Amendoim!$E78:$Z78,MIN(Y$6-$G$3,22))),0)))))</f>
        <v>0</v>
      </c>
      <c r="Z80" s="27" t="n">
        <f aca="false">IF(COUNT(Amendoim!$E78:$Z78)=0,0,MAX(0,IF((Z$6-$E$3)&lt;1,0,IFERROR(LOOKUP(2,1/(Amendoim!$E78:INDEX(Amendoim!$E78:$Z78,MIN(Z$6-$E$3,22))&lt;&gt;""),Amendoim!$E78:INDEX(Amendoim!$E78:$Z78,MIN(Z$6-$E$3,22))),0))-IF($G$2,0,IF((Z$6-$G$3)&lt;1,0,IFERROR(LOOKUP(2,1/(Amendoim!$E78:INDEX(Amendoim!$E78:$Z78,MIN(Z$6-$G$3,22))&lt;&gt;""),Amendoim!$E78:INDEX(Amendoim!$E78:$Z78,MIN(Z$6-$G$3,22))),0)))))</f>
        <v>0</v>
      </c>
      <c r="AA80" s="27" t="n">
        <f aca="false">IF(COUNT(Amendoim!$E78:$Z78)=0,0,MAX(0,IF((AA$6-$E$3)&lt;1,0,IFERROR(LOOKUP(2,1/(Amendoim!$E78:INDEX(Amendoim!$E78:$Z78,MIN(AA$6-$E$3,22))&lt;&gt;""),Amendoim!$E78:INDEX(Amendoim!$E78:$Z78,MIN(AA$6-$E$3,22))),0))-IF($G$2,0,IF((AA$6-$G$3)&lt;1,0,IFERROR(LOOKUP(2,1/(Amendoim!$E78:INDEX(Amendoim!$E78:$Z78,MIN(AA$6-$G$3,22))&lt;&gt;""),Amendoim!$E78:INDEX(Amendoim!$E78:$Z78,MIN(AA$6-$G$3,22))),0)))))</f>
        <v>0</v>
      </c>
      <c r="AB80" s="27" t="n">
        <f aca="false">IF(COUNT(Amendoim!$E78:$Z78)=0,0,MAX(0,IF((AB$6-$E$3)&lt;1,0,IFERROR(LOOKUP(2,1/(Amendoim!$E78:INDEX(Amendoim!$E78:$Z78,MIN(AB$6-$E$3,22))&lt;&gt;""),Amendoim!$E78:INDEX(Amendoim!$E78:$Z78,MIN(AB$6-$E$3,22))),0))-IF($G$2,0,IF((AB$6-$G$3)&lt;1,0,IFERROR(LOOKUP(2,1/(Amendoim!$E78:INDEX(Amendoim!$E78:$Z78,MIN(AB$6-$G$3,22))&lt;&gt;""),Amendoim!$E78:INDEX(Amendoim!$E78:$Z78,MIN(AB$6-$G$3,22))),0)))))</f>
        <v>0</v>
      </c>
      <c r="AC80" s="27" t="n">
        <f aca="false">IF(COUNT(Amendoim!$E78:$Z78)=0,0,MAX(0,IF((AC$6-$E$3)&lt;1,0,IFERROR(LOOKUP(2,1/(Amendoim!$E78:INDEX(Amendoim!$E78:$Z78,MIN(AC$6-$E$3,22))&lt;&gt;""),Amendoim!$E78:INDEX(Amendoim!$E78:$Z78,MIN(AC$6-$E$3,22))),0))-IF($G$2,0,IF((AC$6-$G$3)&lt;1,0,IFERROR(LOOKUP(2,1/(Amendoim!$E78:INDEX(Amendoim!$E78:$Z78,MIN(AC$6-$G$3,22))&lt;&gt;""),Amendoim!$E78:INDEX(Amendoim!$E78:$Z78,MIN(AC$6-$G$3,22))),0)))))</f>
        <v>0</v>
      </c>
      <c r="AD80" s="27" t="n">
        <f aca="false">IF(COUNT(Amendoim!$E78:$Z78)=0,0,MAX(0,IF((AD$6-$E$3)&lt;1,0,IFERROR(LOOKUP(2,1/(Amendoim!$E78:INDEX(Amendoim!$E78:$Z78,MIN(AD$6-$E$3,22))&lt;&gt;""),Amendoim!$E78:INDEX(Amendoim!$E78:$Z78,MIN(AD$6-$E$3,22))),0))-IF($G$2,0,IF((AD$6-$G$3)&lt;1,0,IFERROR(LOOKUP(2,1/(Amendoim!$E78:INDEX(Amendoim!$E78:$Z78,MIN(AD$6-$G$3,22))&lt;&gt;""),Amendoim!$E78:INDEX(Amendoim!$E78:$Z78,MIN(AD$6-$G$3,22))),0)))))</f>
        <v>0</v>
      </c>
      <c r="AE80" s="27" t="n">
        <f aca="false">IF(COUNT(Amendoim!$E78:$Z78)=0,0,MAX(0,IF((AE$6-$E$3)&lt;1,0,IFERROR(LOOKUP(2,1/(Amendoim!$E78:INDEX(Amendoim!$E78:$Z78,MIN(AE$6-$E$3,22))&lt;&gt;""),Amendoim!$E78:INDEX(Amendoim!$E78:$Z78,MIN(AE$6-$E$3,22))),0))-IF($G$2,0,IF((AE$6-$G$3)&lt;1,0,IFERROR(LOOKUP(2,1/(Amendoim!$E78:INDEX(Amendoim!$E78:$Z78,MIN(AE$6-$G$3,22))&lt;&gt;""),Amendoim!$E78:INDEX(Amendoim!$E78:$Z78,MIN(AE$6-$G$3,22))),0)))))</f>
        <v>0</v>
      </c>
      <c r="AF80" s="27" t="n">
        <f aca="false">IF(COUNT(Amendoim!$E78:$Z78)=0,0,MAX(0,IF((AF$6-$E$3)&lt;1,0,IFERROR(LOOKUP(2,1/(Amendoim!$E78:INDEX(Amendoim!$E78:$Z78,MIN(AF$6-$E$3,22))&lt;&gt;""),Amendoim!$E78:INDEX(Amendoim!$E78:$Z78,MIN(AF$6-$E$3,22))),0))-IF($G$2,0,IF((AF$6-$G$3)&lt;1,0,IFERROR(LOOKUP(2,1/(Amendoim!$E78:INDEX(Amendoim!$E78:$Z78,MIN(AF$6-$G$3,22))&lt;&gt;""),Amendoim!$E78:INDEX(Amendoim!$E78:$Z78,MIN(AF$6-$G$3,22))),0)))))</f>
        <v>0</v>
      </c>
      <c r="AG80" s="27" t="n">
        <f aca="false">IF(COUNT(Amendoim!$E78:$Z78)=0,0,MAX(0,IF((AG$6-$E$3)&lt;1,0,IFERROR(LOOKUP(2,1/(Amendoim!$E78:INDEX(Amendoim!$E78:$Z78,MIN(AG$6-$E$3,22))&lt;&gt;""),Amendoim!$E78:INDEX(Amendoim!$E78:$Z78,MIN(AG$6-$E$3,22))),0))-IF($G$2,0,IF((AG$6-$G$3)&lt;1,0,IFERROR(LOOKUP(2,1/(Amendoim!$E78:INDEX(Amendoim!$E78:$Z78,MIN(AG$6-$G$3,22))&lt;&gt;""),Amendoim!$E78:INDEX(Amendoim!$E78:$Z78,MIN(AG$6-$G$3,22))),0)))))</f>
        <v>0</v>
      </c>
      <c r="AH80" s="27" t="n">
        <f aca="false">IF(COUNT(Amendoim!$E78:$Z78)=0,0,MAX(0,IF((AH$6-$E$3)&lt;1,0,IFERROR(LOOKUP(2,1/(Amendoim!$E78:INDEX(Amendoim!$E78:$Z78,MIN(AH$6-$E$3,22))&lt;&gt;""),Amendoim!$E78:INDEX(Amendoim!$E78:$Z78,MIN(AH$6-$E$3,22))),0))-IF($G$2,0,IF((AH$6-$G$3)&lt;1,0,IFERROR(LOOKUP(2,1/(Amendoim!$E78:INDEX(Amendoim!$E78:$Z78,MIN(AH$6-$G$3,22))&lt;&gt;""),Amendoim!$E78:INDEX(Amendoim!$E78:$Z78,MIN(AH$6-$G$3,22))),0)))))</f>
        <v>0</v>
      </c>
      <c r="AI80" s="27" t="n">
        <f aca="false">IF(COUNT(Amendoim!$E78:$Z78)=0,0,MAX(0,IF((AI$6-$E$3)&lt;1,0,IFERROR(LOOKUP(2,1/(Amendoim!$E78:INDEX(Amendoim!$E78:$Z78,MIN(AI$6-$E$3,22))&lt;&gt;""),Amendoim!$E78:INDEX(Amendoim!$E78:$Z78,MIN(AI$6-$E$3,22))),0))-IF($G$2,0,IF((AI$6-$G$3)&lt;1,0,IFERROR(LOOKUP(2,1/(Amendoim!$E78:INDEX(Amendoim!$E78:$Z78,MIN(AI$6-$G$3,22))&lt;&gt;""),Amendoim!$E78:INDEX(Amendoim!$E78:$Z78,MIN(AI$6-$G$3,22))),0)))))</f>
        <v>0</v>
      </c>
      <c r="AJ80" s="27" t="n">
        <f aca="false">IF(COUNT(Amendoim!$E78:$Z78)=0,0,MAX(0,IF((AJ$6-$E$3)&lt;1,0,IFERROR(LOOKUP(2,1/(Amendoim!$E78:INDEX(Amendoim!$E78:$Z78,MIN(AJ$6-$E$3,22))&lt;&gt;""),Amendoim!$E78:INDEX(Amendoim!$E78:$Z78,MIN(AJ$6-$E$3,22))),0))-IF($G$2,0,IF((AJ$6-$G$3)&lt;1,0,IFERROR(LOOKUP(2,1/(Amendoim!$E78:INDEX(Amendoim!$E78:$Z78,MIN(AJ$6-$G$3,22))&lt;&gt;""),Amendoim!$E78:INDEX(Amendoim!$E78:$Z78,MIN(AJ$6-$G$3,22))),0)))))</f>
        <v>0</v>
      </c>
      <c r="AK80" s="27" t="n">
        <f aca="false">IF(COUNT(Amendoim!$E78:$Z78)=0,0,MAX(0,IF((AK$6-$E$3)&lt;1,0,IFERROR(LOOKUP(2,1/(Amendoim!$E78:INDEX(Amendoim!$E78:$Z78,MIN(AK$6-$E$3,22))&lt;&gt;""),Amendoim!$E78:INDEX(Amendoim!$E78:$Z78,MIN(AK$6-$E$3,22))),0))-IF($G$2,0,IF((AK$6-$G$3)&lt;1,0,IFERROR(LOOKUP(2,1/(Amendoim!$E78:INDEX(Amendoim!$E78:$Z78,MIN(AK$6-$G$3,22))&lt;&gt;""),Amendoim!$E78:INDEX(Amendoim!$E78:$Z78,MIN(AK$6-$G$3,22))),0)))))</f>
        <v>0</v>
      </c>
      <c r="AL80" s="27" t="n">
        <f aca="false">IF(COUNT(Amendoim!$E78:$Z78)=0,0,MAX(0,IF((AL$6-$E$3)&lt;1,0,IFERROR(LOOKUP(2,1/(Amendoim!$E78:INDEX(Amendoim!$E78:$Z78,MIN(AL$6-$E$3,22))&lt;&gt;""),Amendoim!$E78:INDEX(Amendoim!$E78:$Z78,MIN(AL$6-$E$3,22))),0))-IF($G$2,0,IF((AL$6-$G$3)&lt;1,0,IFERROR(LOOKUP(2,1/(Amendoim!$E78:INDEX(Amendoim!$E78:$Z78,MIN(AL$6-$G$3,22))&lt;&gt;""),Amendoim!$E78:INDEX(Amendoim!$E78:$Z78,MIN(AL$6-$G$3,22))),0)))))</f>
        <v>0</v>
      </c>
      <c r="AM80" s="27" t="n">
        <f aca="false">IF(COUNT(Amendoim!$E78:$Z78)=0,0,MAX(0,IF((AM$6-$E$3)&lt;1,0,IFERROR(LOOKUP(2,1/(Amendoim!$E78:INDEX(Amendoim!$E78:$Z78,MIN(AM$6-$E$3,22))&lt;&gt;""),Amendoim!$E78:INDEX(Amendoim!$E78:$Z78,MIN(AM$6-$E$3,22))),0))-IF($G$2,0,IF((AM$6-$G$3)&lt;1,0,IFERROR(LOOKUP(2,1/(Amendoim!$E78:INDEX(Amendoim!$E78:$Z78,MIN(AM$6-$G$3,22))&lt;&gt;""),Amendoim!$E78:INDEX(Amendoim!$E78:$Z78,MIN(AM$6-$G$3,22))),0)))))</f>
        <v>0</v>
      </c>
      <c r="AN80" s="27" t="n">
        <f aca="false">IF(COUNT(Amendoim!$E78:$Z78)=0,0,MAX(0,IF((AN$6-$E$3)&lt;1,0,IFERROR(LOOKUP(2,1/(Amendoim!$E78:INDEX(Amendoim!$E78:$Z78,MIN(AN$6-$E$3,22))&lt;&gt;""),Amendoim!$E78:INDEX(Amendoim!$E78:$Z78,MIN(AN$6-$E$3,22))),0))-IF($G$2,0,IF((AN$6-$G$3)&lt;1,0,IFERROR(LOOKUP(2,1/(Amendoim!$E78:INDEX(Amendoim!$E78:$Z78,MIN(AN$6-$G$3,22))&lt;&gt;""),Amendoim!$E78:INDEX(Amendoim!$E78:$Z78,MIN(AN$6-$G$3,22))),0)))))</f>
        <v>0</v>
      </c>
      <c r="AO80" s="27" t="n">
        <f aca="false">IF(COUNT(Amendoim!$E78:$Z78)=0,0,MAX(0,IF((AO$6-$E$3)&lt;1,0,IFERROR(LOOKUP(2,1/(Amendoim!$E78:INDEX(Amendoim!$E78:$Z78,MIN(AO$6-$E$3,22))&lt;&gt;""),Amendoim!$E78:INDEX(Amendoim!$E78:$Z78,MIN(AO$6-$E$3,22))),0))-IF($G$2,0,IF((AO$6-$G$3)&lt;1,0,IFERROR(LOOKUP(2,1/(Amendoim!$E78:INDEX(Amendoim!$E78:$Z78,MIN(AO$6-$G$3,22))&lt;&gt;""),Amendoim!$E78:INDEX(Amendoim!$E78:$Z78,MIN(AO$6-$G$3,22))),0)))))</f>
        <v>0</v>
      </c>
      <c r="AP80" s="27" t="n">
        <f aca="false">IF(COUNT(Amendoim!$E78:$Z78)=0,0,MAX(0,IF((AP$6-$E$3)&lt;1,0,IFERROR(LOOKUP(2,1/(Amendoim!$E78:INDEX(Amendoim!$E78:$Z78,MIN(AP$6-$E$3,22))&lt;&gt;""),Amendoim!$E78:INDEX(Amendoim!$E78:$Z78,MIN(AP$6-$E$3,22))),0))-IF($G$2,0,IF((AP$6-$G$3)&lt;1,0,IFERROR(LOOKUP(2,1/(Amendoim!$E78:INDEX(Amendoim!$E78:$Z78,MIN(AP$6-$G$3,22))&lt;&gt;""),Amendoim!$E78:INDEX(Amendoim!$E78:$Z78,MIN(AP$6-$G$3,22))),0)))))</f>
        <v>0</v>
      </c>
      <c r="AQ80" s="27" t="n">
        <f aca="false">IF(COUNT(Amendoim!$E78:$Z78)=0,0,MAX(0,IF((AQ$6-$E$3)&lt;1,0,IFERROR(LOOKUP(2,1/(Amendoim!$E78:INDEX(Amendoim!$E78:$Z78,MIN(AQ$6-$E$3,22))&lt;&gt;""),Amendoim!$E78:INDEX(Amendoim!$E78:$Z78,MIN(AQ$6-$E$3,22))),0))-IF($G$2,0,IF((AQ$6-$G$3)&lt;1,0,IFERROR(LOOKUP(2,1/(Amendoim!$E78:INDEX(Amendoim!$E78:$Z78,MIN(AQ$6-$G$3,22))&lt;&gt;""),Amendoim!$E78:INDEX(Amendoim!$E78:$Z78,MIN(AQ$6-$G$3,22))),0)))))</f>
        <v>0</v>
      </c>
      <c r="AR80" s="27" t="n">
        <f aca="false">IF(COUNT(Amendoim!$E78:$Z78)=0,0,MAX(0,IF((AR$6-$E$3)&lt;1,0,IFERROR(LOOKUP(2,1/(Amendoim!$E78:INDEX(Amendoim!$E78:$Z78,MIN(AR$6-$E$3,22))&lt;&gt;""),Amendoim!$E78:INDEX(Amendoim!$E78:$Z78,MIN(AR$6-$E$3,22))),0))-IF($G$2,0,IF((AR$6-$G$3)&lt;1,0,IFERROR(LOOKUP(2,1/(Amendoim!$E78:INDEX(Amendoim!$E78:$Z78,MIN(AR$6-$G$3,22))&lt;&gt;""),Amendoim!$E78:INDEX(Amendoim!$E78:$Z78,MIN(AR$6-$G$3,22))),0)))))</f>
        <v>0</v>
      </c>
      <c r="AS80" s="27" t="n">
        <f aca="false">IF(COUNT(Amendoim!$E78:$Z78)=0,0,MAX(0,IF((AS$6-$E$3)&lt;1,0,IFERROR(LOOKUP(2,1/(Amendoim!$E78:INDEX(Amendoim!$E78:$Z78,MIN(AS$6-$E$3,22))&lt;&gt;""),Amendoim!$E78:INDEX(Amendoim!$E78:$Z78,MIN(AS$6-$E$3,22))),0))-IF($G$2,0,IF((AS$6-$G$3)&lt;1,0,IFERROR(LOOKUP(2,1/(Amendoim!$E78:INDEX(Amendoim!$E78:$Z78,MIN(AS$6-$G$3,22))&lt;&gt;""),Amendoim!$E78:INDEX(Amendoim!$E78:$Z78,MIN(AS$6-$G$3,22))),0)))))</f>
        <v>0</v>
      </c>
      <c r="AT80" s="27" t="n">
        <f aca="false">IF(COUNT(Amendoim!$E78:$Z78)=0,0,MAX(0,IF((AT$6-$E$3)&lt;1,0,IFERROR(LOOKUP(2,1/(Amendoim!$E78:INDEX(Amendoim!$E78:$Z78,MIN(AT$6-$E$3,22))&lt;&gt;""),Amendoim!$E78:INDEX(Amendoim!$E78:$Z78,MIN(AT$6-$E$3,22))),0))-IF($G$2,0,IF((AT$6-$G$3)&lt;1,0,IFERROR(LOOKUP(2,1/(Amendoim!$E78:INDEX(Amendoim!$E78:$Z78,MIN(AT$6-$G$3,22))&lt;&gt;""),Amendoim!$E78:INDEX(Amendoim!$E78:$Z78,MIN(AT$6-$G$3,22))),0)))))</f>
        <v>0</v>
      </c>
      <c r="AU80" s="27" t="n">
        <f aca="false">IF(COUNT(Amendoim!$E78:$Z78)=0,0,MAX(0,IF((AU$6-$E$3)&lt;1,0,IFERROR(LOOKUP(2,1/(Amendoim!$E78:INDEX(Amendoim!$E78:$Z78,MIN(AU$6-$E$3,22))&lt;&gt;""),Amendoim!$E78:INDEX(Amendoim!$E78:$Z78,MIN(AU$6-$E$3,22))),0))-IF($G$2,0,IF((AU$6-$G$3)&lt;1,0,IFERROR(LOOKUP(2,1/(Amendoim!$E78:INDEX(Amendoim!$E78:$Z78,MIN(AU$6-$G$3,22))&lt;&gt;""),Amendoim!$E78:INDEX(Amendoim!$E78:$Z78,MIN(AU$6-$G$3,22))),0)))))</f>
        <v>0</v>
      </c>
      <c r="AV80" s="27" t="n">
        <f aca="false">IF(COUNT(Amendoim!$E78:$Z78)=0,0,MAX(0,IF((AV$6-$E$3)&lt;1,0,IFERROR(LOOKUP(2,1/(Amendoim!$E78:INDEX(Amendoim!$E78:$Z78,MIN(AV$6-$E$3,22))&lt;&gt;""),Amendoim!$E78:INDEX(Amendoim!$E78:$Z78,MIN(AV$6-$E$3,22))),0))-IF($G$2,0,IF((AV$6-$G$3)&lt;1,0,IFERROR(LOOKUP(2,1/(Amendoim!$E78:INDEX(Amendoim!$E78:$Z78,MIN(AV$6-$G$3,22))&lt;&gt;""),Amendoim!$E78:INDEX(Amendoim!$E78:$Z78,MIN(AV$6-$G$3,22))),0)))))</f>
        <v>0</v>
      </c>
      <c r="AW80" s="27" t="n">
        <f aca="false">IF(COUNT(Amendoim!$E78:$Z78)=0,0,MAX(0,IF((AW$6-$E$3)&lt;1,0,IFERROR(LOOKUP(2,1/(Amendoim!$E78:INDEX(Amendoim!$E78:$Z78,MIN(AW$6-$E$3,22))&lt;&gt;""),Amendoim!$E78:INDEX(Amendoim!$E78:$Z78,MIN(AW$6-$E$3,22))),0))-IF($G$2,0,IF((AW$6-$G$3)&lt;1,0,IFERROR(LOOKUP(2,1/(Amendoim!$E78:INDEX(Amendoim!$E78:$Z78,MIN(AW$6-$G$3,22))&lt;&gt;""),Amendoim!$E78:INDEX(Amendoim!$E78:$Z78,MIN(AW$6-$G$3,22))),0)))))</f>
        <v>0</v>
      </c>
      <c r="AX80" s="27" t="n">
        <f aca="false">IF(COUNT(Amendoim!$E78:$Z78)=0,0,MAX(0,IF((AX$6-$E$3)&lt;1,0,IFERROR(LOOKUP(2,1/(Amendoim!$E78:INDEX(Amendoim!$E78:$Z78,MIN(AX$6-$E$3,22))&lt;&gt;""),Amendoim!$E78:INDEX(Amendoim!$E78:$Z78,MIN(AX$6-$E$3,22))),0))-IF($G$2,0,IF((AX$6-$G$3)&lt;1,0,IFERROR(LOOKUP(2,1/(Amendoim!$E78:INDEX(Amendoim!$E78:$Z78,MIN(AX$6-$G$3,22))&lt;&gt;""),Amendoim!$E78:INDEX(Amendoim!$E78:$Z78,MIN(AX$6-$G$3,22))),0)))))</f>
        <v>0</v>
      </c>
      <c r="AY80" s="27" t="n">
        <f aca="false">IF(COUNT(Amendoim!$E78:$Z78)=0,0,MAX(0,IF((AY$6-$E$3)&lt;1,0,IFERROR(LOOKUP(2,1/(Amendoim!$E78:INDEX(Amendoim!$E78:$Z78,MIN(AY$6-$E$3,22))&lt;&gt;""),Amendoim!$E78:INDEX(Amendoim!$E78:$Z78,MIN(AY$6-$E$3,22))),0))-IF($G$2,0,IF((AY$6-$G$3)&lt;1,0,IFERROR(LOOKUP(2,1/(Amendoim!$E78:INDEX(Amendoim!$E78:$Z78,MIN(AY$6-$G$3,22))&lt;&gt;""),Amendoim!$E78:INDEX(Amendoim!$E78:$Z78,MIN(AY$6-$G$3,22))),0)))))</f>
        <v>0</v>
      </c>
      <c r="AZ80" s="27" t="n">
        <f aca="false">IF(COUNT(Amendoim!$E78:$Z78)=0,0,MAX(0,IF((AZ$6-$E$3)&lt;1,0,IFERROR(LOOKUP(2,1/(Amendoim!$E78:INDEX(Amendoim!$E78:$Z78,MIN(AZ$6-$E$3,22))&lt;&gt;""),Amendoim!$E78:INDEX(Amendoim!$E78:$Z78,MIN(AZ$6-$E$3,22))),0))-IF($G$2,0,IF((AZ$6-$G$3)&lt;1,0,IFERROR(LOOKUP(2,1/(Amendoim!$E78:INDEX(Amendoim!$E78:$Z78,MIN(AZ$6-$G$3,22))&lt;&gt;""),Amendoim!$E78:INDEX(Amendoim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IF(COUNT(Amendoim!$E79:$Z79)&gt;0,N(Amendoim!$D79),0)</f>
        <v>0</v>
      </c>
      <c r="E81" s="27" t="n">
        <f aca="false">IF(COUNT(Amendoim!$E79:$Z79)=0,0,MAX(0,IF((E$6-$E$3)&lt;1,0,IFERROR(LOOKUP(2,1/(Amendoim!$E79:INDEX(Amendoim!$E79:$Z79,MIN(E$6-$E$3,22))&lt;&gt;""),Amendoim!$E79:INDEX(Amendoim!$E79:$Z79,MIN(E$6-$E$3,22))),0))-IF($G$2,0,IF((E$6-$G$3)&lt;1,0,IFERROR(LOOKUP(2,1/(Amendoim!$E79:INDEX(Amendoim!$E79:$Z79,MIN(E$6-$G$3,22))&lt;&gt;""),Amendoim!$E79:INDEX(Amendoim!$E79:$Z79,MIN(E$6-$G$3,22))),0)))))</f>
        <v>0</v>
      </c>
      <c r="F81" s="27" t="n">
        <f aca="false">IF(COUNT(Amendoim!$E79:$Z79)=0,0,MAX(0,IF((F$6-$E$3)&lt;1,0,IFERROR(LOOKUP(2,1/(Amendoim!$E79:INDEX(Amendoim!$E79:$Z79,MIN(F$6-$E$3,22))&lt;&gt;""),Amendoim!$E79:INDEX(Amendoim!$E79:$Z79,MIN(F$6-$E$3,22))),0))-IF($G$2,0,IF((F$6-$G$3)&lt;1,0,IFERROR(LOOKUP(2,1/(Amendoim!$E79:INDEX(Amendoim!$E79:$Z79,MIN(F$6-$G$3,22))&lt;&gt;""),Amendoim!$E79:INDEX(Amendoim!$E79:$Z79,MIN(F$6-$G$3,22))),0)))))</f>
        <v>0</v>
      </c>
      <c r="G81" s="27" t="n">
        <f aca="false">IF(COUNT(Amendoim!$E79:$Z79)=0,0,MAX(0,IF((G$6-$E$3)&lt;1,0,IFERROR(LOOKUP(2,1/(Amendoim!$E79:INDEX(Amendoim!$E79:$Z79,MIN(G$6-$E$3,22))&lt;&gt;""),Amendoim!$E79:INDEX(Amendoim!$E79:$Z79,MIN(G$6-$E$3,22))),0))-IF($G$2,0,IF((G$6-$G$3)&lt;1,0,IFERROR(LOOKUP(2,1/(Amendoim!$E79:INDEX(Amendoim!$E79:$Z79,MIN(G$6-$G$3,22))&lt;&gt;""),Amendoim!$E79:INDEX(Amendoim!$E79:$Z79,MIN(G$6-$G$3,22))),0)))))</f>
        <v>0</v>
      </c>
      <c r="H81" s="27" t="n">
        <f aca="false">IF(COUNT(Amendoim!$E79:$Z79)=0,0,MAX(0,IF((H$6-$E$3)&lt;1,0,IFERROR(LOOKUP(2,1/(Amendoim!$E79:INDEX(Amendoim!$E79:$Z79,MIN(H$6-$E$3,22))&lt;&gt;""),Amendoim!$E79:INDEX(Amendoim!$E79:$Z79,MIN(H$6-$E$3,22))),0))-IF($G$2,0,IF((H$6-$G$3)&lt;1,0,IFERROR(LOOKUP(2,1/(Amendoim!$E79:INDEX(Amendoim!$E79:$Z79,MIN(H$6-$G$3,22))&lt;&gt;""),Amendoim!$E79:INDEX(Amendoim!$E79:$Z79,MIN(H$6-$G$3,22))),0)))))</f>
        <v>0</v>
      </c>
      <c r="I81" s="27" t="n">
        <f aca="false">IF(COUNT(Amendoim!$E79:$Z79)=0,0,MAX(0,IF((I$6-$E$3)&lt;1,0,IFERROR(LOOKUP(2,1/(Amendoim!$E79:INDEX(Amendoim!$E79:$Z79,MIN(I$6-$E$3,22))&lt;&gt;""),Amendoim!$E79:INDEX(Amendoim!$E79:$Z79,MIN(I$6-$E$3,22))),0))-IF($G$2,0,IF((I$6-$G$3)&lt;1,0,IFERROR(LOOKUP(2,1/(Amendoim!$E79:INDEX(Amendoim!$E79:$Z79,MIN(I$6-$G$3,22))&lt;&gt;""),Amendoim!$E79:INDEX(Amendoim!$E79:$Z79,MIN(I$6-$G$3,22))),0)))))</f>
        <v>0</v>
      </c>
      <c r="J81" s="27" t="n">
        <f aca="false">IF(COUNT(Amendoim!$E79:$Z79)=0,0,MAX(0,IF((J$6-$E$3)&lt;1,0,IFERROR(LOOKUP(2,1/(Amendoim!$E79:INDEX(Amendoim!$E79:$Z79,MIN(J$6-$E$3,22))&lt;&gt;""),Amendoim!$E79:INDEX(Amendoim!$E79:$Z79,MIN(J$6-$E$3,22))),0))-IF($G$2,0,IF((J$6-$G$3)&lt;1,0,IFERROR(LOOKUP(2,1/(Amendoim!$E79:INDEX(Amendoim!$E79:$Z79,MIN(J$6-$G$3,22))&lt;&gt;""),Amendoim!$E79:INDEX(Amendoim!$E79:$Z79,MIN(J$6-$G$3,22))),0)))))</f>
        <v>0</v>
      </c>
      <c r="K81" s="27" t="n">
        <f aca="false">IF(COUNT(Amendoim!$E79:$Z79)=0,0,MAX(0,IF((K$6-$E$3)&lt;1,0,IFERROR(LOOKUP(2,1/(Amendoim!$E79:INDEX(Amendoim!$E79:$Z79,MIN(K$6-$E$3,22))&lt;&gt;""),Amendoim!$E79:INDEX(Amendoim!$E79:$Z79,MIN(K$6-$E$3,22))),0))-IF($G$2,0,IF((K$6-$G$3)&lt;1,0,IFERROR(LOOKUP(2,1/(Amendoim!$E79:INDEX(Amendoim!$E79:$Z79,MIN(K$6-$G$3,22))&lt;&gt;""),Amendoim!$E79:INDEX(Amendoim!$E79:$Z79,MIN(K$6-$G$3,22))),0)))))</f>
        <v>0</v>
      </c>
      <c r="L81" s="27" t="n">
        <f aca="false">IF(COUNT(Amendoim!$E79:$Z79)=0,0,MAX(0,IF((L$6-$E$3)&lt;1,0,IFERROR(LOOKUP(2,1/(Amendoim!$E79:INDEX(Amendoim!$E79:$Z79,MIN(L$6-$E$3,22))&lt;&gt;""),Amendoim!$E79:INDEX(Amendoim!$E79:$Z79,MIN(L$6-$E$3,22))),0))-IF($G$2,0,IF((L$6-$G$3)&lt;1,0,IFERROR(LOOKUP(2,1/(Amendoim!$E79:INDEX(Amendoim!$E79:$Z79,MIN(L$6-$G$3,22))&lt;&gt;""),Amendoim!$E79:INDEX(Amendoim!$E79:$Z79,MIN(L$6-$G$3,22))),0)))))</f>
        <v>0</v>
      </c>
      <c r="M81" s="27" t="n">
        <f aca="false">IF(COUNT(Amendoim!$E79:$Z79)=0,0,MAX(0,IF((M$6-$E$3)&lt;1,0,IFERROR(LOOKUP(2,1/(Amendoim!$E79:INDEX(Amendoim!$E79:$Z79,MIN(M$6-$E$3,22))&lt;&gt;""),Amendoim!$E79:INDEX(Amendoim!$E79:$Z79,MIN(M$6-$E$3,22))),0))-IF($G$2,0,IF((M$6-$G$3)&lt;1,0,IFERROR(LOOKUP(2,1/(Amendoim!$E79:INDEX(Amendoim!$E79:$Z79,MIN(M$6-$G$3,22))&lt;&gt;""),Amendoim!$E79:INDEX(Amendoim!$E79:$Z79,MIN(M$6-$G$3,22))),0)))))</f>
        <v>0</v>
      </c>
      <c r="N81" s="27" t="n">
        <f aca="false">IF(COUNT(Amendoim!$E79:$Z79)=0,0,MAX(0,IF((N$6-$E$3)&lt;1,0,IFERROR(LOOKUP(2,1/(Amendoim!$E79:INDEX(Amendoim!$E79:$Z79,MIN(N$6-$E$3,22))&lt;&gt;""),Amendoim!$E79:INDEX(Amendoim!$E79:$Z79,MIN(N$6-$E$3,22))),0))-IF($G$2,0,IF((N$6-$G$3)&lt;1,0,IFERROR(LOOKUP(2,1/(Amendoim!$E79:INDEX(Amendoim!$E79:$Z79,MIN(N$6-$G$3,22))&lt;&gt;""),Amendoim!$E79:INDEX(Amendoim!$E79:$Z79,MIN(N$6-$G$3,22))),0)))))</f>
        <v>0</v>
      </c>
      <c r="O81" s="27" t="n">
        <f aca="false">IF(COUNT(Amendoim!$E79:$Z79)=0,0,MAX(0,IF((O$6-$E$3)&lt;1,0,IFERROR(LOOKUP(2,1/(Amendoim!$E79:INDEX(Amendoim!$E79:$Z79,MIN(O$6-$E$3,22))&lt;&gt;""),Amendoim!$E79:INDEX(Amendoim!$E79:$Z79,MIN(O$6-$E$3,22))),0))-IF($G$2,0,IF((O$6-$G$3)&lt;1,0,IFERROR(LOOKUP(2,1/(Amendoim!$E79:INDEX(Amendoim!$E79:$Z79,MIN(O$6-$G$3,22))&lt;&gt;""),Amendoim!$E79:INDEX(Amendoim!$E79:$Z79,MIN(O$6-$G$3,22))),0)))))</f>
        <v>0</v>
      </c>
      <c r="P81" s="27" t="n">
        <f aca="false">IF(COUNT(Amendoim!$E79:$Z79)=0,0,MAX(0,IF((P$6-$E$3)&lt;1,0,IFERROR(LOOKUP(2,1/(Amendoim!$E79:INDEX(Amendoim!$E79:$Z79,MIN(P$6-$E$3,22))&lt;&gt;""),Amendoim!$E79:INDEX(Amendoim!$E79:$Z79,MIN(P$6-$E$3,22))),0))-IF($G$2,0,IF((P$6-$G$3)&lt;1,0,IFERROR(LOOKUP(2,1/(Amendoim!$E79:INDEX(Amendoim!$E79:$Z79,MIN(P$6-$G$3,22))&lt;&gt;""),Amendoim!$E79:INDEX(Amendoim!$E79:$Z79,MIN(P$6-$G$3,22))),0)))))</f>
        <v>0</v>
      </c>
      <c r="Q81" s="27" t="n">
        <f aca="false">IF(COUNT(Amendoim!$E79:$Z79)=0,0,MAX(0,IF((Q$6-$E$3)&lt;1,0,IFERROR(LOOKUP(2,1/(Amendoim!$E79:INDEX(Amendoim!$E79:$Z79,MIN(Q$6-$E$3,22))&lt;&gt;""),Amendoim!$E79:INDEX(Amendoim!$E79:$Z79,MIN(Q$6-$E$3,22))),0))-IF($G$2,0,IF((Q$6-$G$3)&lt;1,0,IFERROR(LOOKUP(2,1/(Amendoim!$E79:INDEX(Amendoim!$E79:$Z79,MIN(Q$6-$G$3,22))&lt;&gt;""),Amendoim!$E79:INDEX(Amendoim!$E79:$Z79,MIN(Q$6-$G$3,22))),0)))))</f>
        <v>0</v>
      </c>
      <c r="R81" s="27" t="n">
        <f aca="false">IF(COUNT(Amendoim!$E79:$Z79)=0,0,MAX(0,IF((R$6-$E$3)&lt;1,0,IFERROR(LOOKUP(2,1/(Amendoim!$E79:INDEX(Amendoim!$E79:$Z79,MIN(R$6-$E$3,22))&lt;&gt;""),Amendoim!$E79:INDEX(Amendoim!$E79:$Z79,MIN(R$6-$E$3,22))),0))-IF($G$2,0,IF((R$6-$G$3)&lt;1,0,IFERROR(LOOKUP(2,1/(Amendoim!$E79:INDEX(Amendoim!$E79:$Z79,MIN(R$6-$G$3,22))&lt;&gt;""),Amendoim!$E79:INDEX(Amendoim!$E79:$Z79,MIN(R$6-$G$3,22))),0)))))</f>
        <v>0</v>
      </c>
      <c r="S81" s="27" t="n">
        <f aca="false">IF(COUNT(Amendoim!$E79:$Z79)=0,0,MAX(0,IF((S$6-$E$3)&lt;1,0,IFERROR(LOOKUP(2,1/(Amendoim!$E79:INDEX(Amendoim!$E79:$Z79,MIN(S$6-$E$3,22))&lt;&gt;""),Amendoim!$E79:INDEX(Amendoim!$E79:$Z79,MIN(S$6-$E$3,22))),0))-IF($G$2,0,IF((S$6-$G$3)&lt;1,0,IFERROR(LOOKUP(2,1/(Amendoim!$E79:INDEX(Amendoim!$E79:$Z79,MIN(S$6-$G$3,22))&lt;&gt;""),Amendoim!$E79:INDEX(Amendoim!$E79:$Z79,MIN(S$6-$G$3,22))),0)))))</f>
        <v>0</v>
      </c>
      <c r="T81" s="27" t="n">
        <f aca="false">IF(COUNT(Amendoim!$E79:$Z79)=0,0,MAX(0,IF((T$6-$E$3)&lt;1,0,IFERROR(LOOKUP(2,1/(Amendoim!$E79:INDEX(Amendoim!$E79:$Z79,MIN(T$6-$E$3,22))&lt;&gt;""),Amendoim!$E79:INDEX(Amendoim!$E79:$Z79,MIN(T$6-$E$3,22))),0))-IF($G$2,0,IF((T$6-$G$3)&lt;1,0,IFERROR(LOOKUP(2,1/(Amendoim!$E79:INDEX(Amendoim!$E79:$Z79,MIN(T$6-$G$3,22))&lt;&gt;""),Amendoim!$E79:INDEX(Amendoim!$E79:$Z79,MIN(T$6-$G$3,22))),0)))))</f>
        <v>0</v>
      </c>
      <c r="U81" s="27" t="n">
        <f aca="false">IF(COUNT(Amendoim!$E79:$Z79)=0,0,MAX(0,IF((U$6-$E$3)&lt;1,0,IFERROR(LOOKUP(2,1/(Amendoim!$E79:INDEX(Amendoim!$E79:$Z79,MIN(U$6-$E$3,22))&lt;&gt;""),Amendoim!$E79:INDEX(Amendoim!$E79:$Z79,MIN(U$6-$E$3,22))),0))-IF($G$2,0,IF((U$6-$G$3)&lt;1,0,IFERROR(LOOKUP(2,1/(Amendoim!$E79:INDEX(Amendoim!$E79:$Z79,MIN(U$6-$G$3,22))&lt;&gt;""),Amendoim!$E79:INDEX(Amendoim!$E79:$Z79,MIN(U$6-$G$3,22))),0)))))</f>
        <v>0</v>
      </c>
      <c r="V81" s="27" t="n">
        <f aca="false">IF(COUNT(Amendoim!$E79:$Z79)=0,0,MAX(0,IF((V$6-$E$3)&lt;1,0,IFERROR(LOOKUP(2,1/(Amendoim!$E79:INDEX(Amendoim!$E79:$Z79,MIN(V$6-$E$3,22))&lt;&gt;""),Amendoim!$E79:INDEX(Amendoim!$E79:$Z79,MIN(V$6-$E$3,22))),0))-IF($G$2,0,IF((V$6-$G$3)&lt;1,0,IFERROR(LOOKUP(2,1/(Amendoim!$E79:INDEX(Amendoim!$E79:$Z79,MIN(V$6-$G$3,22))&lt;&gt;""),Amendoim!$E79:INDEX(Amendoim!$E79:$Z79,MIN(V$6-$G$3,22))),0)))))</f>
        <v>0</v>
      </c>
      <c r="W81" s="27" t="n">
        <f aca="false">IF(COUNT(Amendoim!$E79:$Z79)=0,0,MAX(0,IF((W$6-$E$3)&lt;1,0,IFERROR(LOOKUP(2,1/(Amendoim!$E79:INDEX(Amendoim!$E79:$Z79,MIN(W$6-$E$3,22))&lt;&gt;""),Amendoim!$E79:INDEX(Amendoim!$E79:$Z79,MIN(W$6-$E$3,22))),0))-IF($G$2,0,IF((W$6-$G$3)&lt;1,0,IFERROR(LOOKUP(2,1/(Amendoim!$E79:INDEX(Amendoim!$E79:$Z79,MIN(W$6-$G$3,22))&lt;&gt;""),Amendoim!$E79:INDEX(Amendoim!$E79:$Z79,MIN(W$6-$G$3,22))),0)))))</f>
        <v>0</v>
      </c>
      <c r="X81" s="27" t="n">
        <f aca="false">IF(COUNT(Amendoim!$E79:$Z79)=0,0,MAX(0,IF((X$6-$E$3)&lt;1,0,IFERROR(LOOKUP(2,1/(Amendoim!$E79:INDEX(Amendoim!$E79:$Z79,MIN(X$6-$E$3,22))&lt;&gt;""),Amendoim!$E79:INDEX(Amendoim!$E79:$Z79,MIN(X$6-$E$3,22))),0))-IF($G$2,0,IF((X$6-$G$3)&lt;1,0,IFERROR(LOOKUP(2,1/(Amendoim!$E79:INDEX(Amendoim!$E79:$Z79,MIN(X$6-$G$3,22))&lt;&gt;""),Amendoim!$E79:INDEX(Amendoim!$E79:$Z79,MIN(X$6-$G$3,22))),0)))))</f>
        <v>0</v>
      </c>
      <c r="Y81" s="27" t="n">
        <f aca="false">IF(COUNT(Amendoim!$E79:$Z79)=0,0,MAX(0,IF((Y$6-$E$3)&lt;1,0,IFERROR(LOOKUP(2,1/(Amendoim!$E79:INDEX(Amendoim!$E79:$Z79,MIN(Y$6-$E$3,22))&lt;&gt;""),Amendoim!$E79:INDEX(Amendoim!$E79:$Z79,MIN(Y$6-$E$3,22))),0))-IF($G$2,0,IF((Y$6-$G$3)&lt;1,0,IFERROR(LOOKUP(2,1/(Amendoim!$E79:INDEX(Amendoim!$E79:$Z79,MIN(Y$6-$G$3,22))&lt;&gt;""),Amendoim!$E79:INDEX(Amendoim!$E79:$Z79,MIN(Y$6-$G$3,22))),0)))))</f>
        <v>0</v>
      </c>
      <c r="Z81" s="27" t="n">
        <f aca="false">IF(COUNT(Amendoim!$E79:$Z79)=0,0,MAX(0,IF((Z$6-$E$3)&lt;1,0,IFERROR(LOOKUP(2,1/(Amendoim!$E79:INDEX(Amendoim!$E79:$Z79,MIN(Z$6-$E$3,22))&lt;&gt;""),Amendoim!$E79:INDEX(Amendoim!$E79:$Z79,MIN(Z$6-$E$3,22))),0))-IF($G$2,0,IF((Z$6-$G$3)&lt;1,0,IFERROR(LOOKUP(2,1/(Amendoim!$E79:INDEX(Amendoim!$E79:$Z79,MIN(Z$6-$G$3,22))&lt;&gt;""),Amendoim!$E79:INDEX(Amendoim!$E79:$Z79,MIN(Z$6-$G$3,22))),0)))))</f>
        <v>0</v>
      </c>
      <c r="AA81" s="27" t="n">
        <f aca="false">IF(COUNT(Amendoim!$E79:$Z79)=0,0,MAX(0,IF((AA$6-$E$3)&lt;1,0,IFERROR(LOOKUP(2,1/(Amendoim!$E79:INDEX(Amendoim!$E79:$Z79,MIN(AA$6-$E$3,22))&lt;&gt;""),Amendoim!$E79:INDEX(Amendoim!$E79:$Z79,MIN(AA$6-$E$3,22))),0))-IF($G$2,0,IF((AA$6-$G$3)&lt;1,0,IFERROR(LOOKUP(2,1/(Amendoim!$E79:INDEX(Amendoim!$E79:$Z79,MIN(AA$6-$G$3,22))&lt;&gt;""),Amendoim!$E79:INDEX(Amendoim!$E79:$Z79,MIN(AA$6-$G$3,22))),0)))))</f>
        <v>0</v>
      </c>
      <c r="AB81" s="27" t="n">
        <f aca="false">IF(COUNT(Amendoim!$E79:$Z79)=0,0,MAX(0,IF((AB$6-$E$3)&lt;1,0,IFERROR(LOOKUP(2,1/(Amendoim!$E79:INDEX(Amendoim!$E79:$Z79,MIN(AB$6-$E$3,22))&lt;&gt;""),Amendoim!$E79:INDEX(Amendoim!$E79:$Z79,MIN(AB$6-$E$3,22))),0))-IF($G$2,0,IF((AB$6-$G$3)&lt;1,0,IFERROR(LOOKUP(2,1/(Amendoim!$E79:INDEX(Amendoim!$E79:$Z79,MIN(AB$6-$G$3,22))&lt;&gt;""),Amendoim!$E79:INDEX(Amendoim!$E79:$Z79,MIN(AB$6-$G$3,22))),0)))))</f>
        <v>0</v>
      </c>
      <c r="AC81" s="27" t="n">
        <f aca="false">IF(COUNT(Amendoim!$E79:$Z79)=0,0,MAX(0,IF((AC$6-$E$3)&lt;1,0,IFERROR(LOOKUP(2,1/(Amendoim!$E79:INDEX(Amendoim!$E79:$Z79,MIN(AC$6-$E$3,22))&lt;&gt;""),Amendoim!$E79:INDEX(Amendoim!$E79:$Z79,MIN(AC$6-$E$3,22))),0))-IF($G$2,0,IF((AC$6-$G$3)&lt;1,0,IFERROR(LOOKUP(2,1/(Amendoim!$E79:INDEX(Amendoim!$E79:$Z79,MIN(AC$6-$G$3,22))&lt;&gt;""),Amendoim!$E79:INDEX(Amendoim!$E79:$Z79,MIN(AC$6-$G$3,22))),0)))))</f>
        <v>0</v>
      </c>
      <c r="AD81" s="27" t="n">
        <f aca="false">IF(COUNT(Amendoim!$E79:$Z79)=0,0,MAX(0,IF((AD$6-$E$3)&lt;1,0,IFERROR(LOOKUP(2,1/(Amendoim!$E79:INDEX(Amendoim!$E79:$Z79,MIN(AD$6-$E$3,22))&lt;&gt;""),Amendoim!$E79:INDEX(Amendoim!$E79:$Z79,MIN(AD$6-$E$3,22))),0))-IF($G$2,0,IF((AD$6-$G$3)&lt;1,0,IFERROR(LOOKUP(2,1/(Amendoim!$E79:INDEX(Amendoim!$E79:$Z79,MIN(AD$6-$G$3,22))&lt;&gt;""),Amendoim!$E79:INDEX(Amendoim!$E79:$Z79,MIN(AD$6-$G$3,22))),0)))))</f>
        <v>0</v>
      </c>
      <c r="AE81" s="27" t="n">
        <f aca="false">IF(COUNT(Amendoim!$E79:$Z79)=0,0,MAX(0,IF((AE$6-$E$3)&lt;1,0,IFERROR(LOOKUP(2,1/(Amendoim!$E79:INDEX(Amendoim!$E79:$Z79,MIN(AE$6-$E$3,22))&lt;&gt;""),Amendoim!$E79:INDEX(Amendoim!$E79:$Z79,MIN(AE$6-$E$3,22))),0))-IF($G$2,0,IF((AE$6-$G$3)&lt;1,0,IFERROR(LOOKUP(2,1/(Amendoim!$E79:INDEX(Amendoim!$E79:$Z79,MIN(AE$6-$G$3,22))&lt;&gt;""),Amendoim!$E79:INDEX(Amendoim!$E79:$Z79,MIN(AE$6-$G$3,22))),0)))))</f>
        <v>0</v>
      </c>
      <c r="AF81" s="27" t="n">
        <f aca="false">IF(COUNT(Amendoim!$E79:$Z79)=0,0,MAX(0,IF((AF$6-$E$3)&lt;1,0,IFERROR(LOOKUP(2,1/(Amendoim!$E79:INDEX(Amendoim!$E79:$Z79,MIN(AF$6-$E$3,22))&lt;&gt;""),Amendoim!$E79:INDEX(Amendoim!$E79:$Z79,MIN(AF$6-$E$3,22))),0))-IF($G$2,0,IF((AF$6-$G$3)&lt;1,0,IFERROR(LOOKUP(2,1/(Amendoim!$E79:INDEX(Amendoim!$E79:$Z79,MIN(AF$6-$G$3,22))&lt;&gt;""),Amendoim!$E79:INDEX(Amendoim!$E79:$Z79,MIN(AF$6-$G$3,22))),0)))))</f>
        <v>0</v>
      </c>
      <c r="AG81" s="27" t="n">
        <f aca="false">IF(COUNT(Amendoim!$E79:$Z79)=0,0,MAX(0,IF((AG$6-$E$3)&lt;1,0,IFERROR(LOOKUP(2,1/(Amendoim!$E79:INDEX(Amendoim!$E79:$Z79,MIN(AG$6-$E$3,22))&lt;&gt;""),Amendoim!$E79:INDEX(Amendoim!$E79:$Z79,MIN(AG$6-$E$3,22))),0))-IF($G$2,0,IF((AG$6-$G$3)&lt;1,0,IFERROR(LOOKUP(2,1/(Amendoim!$E79:INDEX(Amendoim!$E79:$Z79,MIN(AG$6-$G$3,22))&lt;&gt;""),Amendoim!$E79:INDEX(Amendoim!$E79:$Z79,MIN(AG$6-$G$3,22))),0)))))</f>
        <v>0</v>
      </c>
      <c r="AH81" s="27" t="n">
        <f aca="false">IF(COUNT(Amendoim!$E79:$Z79)=0,0,MAX(0,IF((AH$6-$E$3)&lt;1,0,IFERROR(LOOKUP(2,1/(Amendoim!$E79:INDEX(Amendoim!$E79:$Z79,MIN(AH$6-$E$3,22))&lt;&gt;""),Amendoim!$E79:INDEX(Amendoim!$E79:$Z79,MIN(AH$6-$E$3,22))),0))-IF($G$2,0,IF((AH$6-$G$3)&lt;1,0,IFERROR(LOOKUP(2,1/(Amendoim!$E79:INDEX(Amendoim!$E79:$Z79,MIN(AH$6-$G$3,22))&lt;&gt;""),Amendoim!$E79:INDEX(Amendoim!$E79:$Z79,MIN(AH$6-$G$3,22))),0)))))</f>
        <v>0</v>
      </c>
      <c r="AI81" s="27" t="n">
        <f aca="false">IF(COUNT(Amendoim!$E79:$Z79)=0,0,MAX(0,IF((AI$6-$E$3)&lt;1,0,IFERROR(LOOKUP(2,1/(Amendoim!$E79:INDEX(Amendoim!$E79:$Z79,MIN(AI$6-$E$3,22))&lt;&gt;""),Amendoim!$E79:INDEX(Amendoim!$E79:$Z79,MIN(AI$6-$E$3,22))),0))-IF($G$2,0,IF((AI$6-$G$3)&lt;1,0,IFERROR(LOOKUP(2,1/(Amendoim!$E79:INDEX(Amendoim!$E79:$Z79,MIN(AI$6-$G$3,22))&lt;&gt;""),Amendoim!$E79:INDEX(Amendoim!$E79:$Z79,MIN(AI$6-$G$3,22))),0)))))</f>
        <v>0</v>
      </c>
      <c r="AJ81" s="27" t="n">
        <f aca="false">IF(COUNT(Amendoim!$E79:$Z79)=0,0,MAX(0,IF((AJ$6-$E$3)&lt;1,0,IFERROR(LOOKUP(2,1/(Amendoim!$E79:INDEX(Amendoim!$E79:$Z79,MIN(AJ$6-$E$3,22))&lt;&gt;""),Amendoim!$E79:INDEX(Amendoim!$E79:$Z79,MIN(AJ$6-$E$3,22))),0))-IF($G$2,0,IF((AJ$6-$G$3)&lt;1,0,IFERROR(LOOKUP(2,1/(Amendoim!$E79:INDEX(Amendoim!$E79:$Z79,MIN(AJ$6-$G$3,22))&lt;&gt;""),Amendoim!$E79:INDEX(Amendoim!$E79:$Z79,MIN(AJ$6-$G$3,22))),0)))))</f>
        <v>0</v>
      </c>
      <c r="AK81" s="27" t="n">
        <f aca="false">IF(COUNT(Amendoim!$E79:$Z79)=0,0,MAX(0,IF((AK$6-$E$3)&lt;1,0,IFERROR(LOOKUP(2,1/(Amendoim!$E79:INDEX(Amendoim!$E79:$Z79,MIN(AK$6-$E$3,22))&lt;&gt;""),Amendoim!$E79:INDEX(Amendoim!$E79:$Z79,MIN(AK$6-$E$3,22))),0))-IF($G$2,0,IF((AK$6-$G$3)&lt;1,0,IFERROR(LOOKUP(2,1/(Amendoim!$E79:INDEX(Amendoim!$E79:$Z79,MIN(AK$6-$G$3,22))&lt;&gt;""),Amendoim!$E79:INDEX(Amendoim!$E79:$Z79,MIN(AK$6-$G$3,22))),0)))))</f>
        <v>0</v>
      </c>
      <c r="AL81" s="27" t="n">
        <f aca="false">IF(COUNT(Amendoim!$E79:$Z79)=0,0,MAX(0,IF((AL$6-$E$3)&lt;1,0,IFERROR(LOOKUP(2,1/(Amendoim!$E79:INDEX(Amendoim!$E79:$Z79,MIN(AL$6-$E$3,22))&lt;&gt;""),Amendoim!$E79:INDEX(Amendoim!$E79:$Z79,MIN(AL$6-$E$3,22))),0))-IF($G$2,0,IF((AL$6-$G$3)&lt;1,0,IFERROR(LOOKUP(2,1/(Amendoim!$E79:INDEX(Amendoim!$E79:$Z79,MIN(AL$6-$G$3,22))&lt;&gt;""),Amendoim!$E79:INDEX(Amendoim!$E79:$Z79,MIN(AL$6-$G$3,22))),0)))))</f>
        <v>0</v>
      </c>
      <c r="AM81" s="27" t="n">
        <f aca="false">IF(COUNT(Amendoim!$E79:$Z79)=0,0,MAX(0,IF((AM$6-$E$3)&lt;1,0,IFERROR(LOOKUP(2,1/(Amendoim!$E79:INDEX(Amendoim!$E79:$Z79,MIN(AM$6-$E$3,22))&lt;&gt;""),Amendoim!$E79:INDEX(Amendoim!$E79:$Z79,MIN(AM$6-$E$3,22))),0))-IF($G$2,0,IF((AM$6-$G$3)&lt;1,0,IFERROR(LOOKUP(2,1/(Amendoim!$E79:INDEX(Amendoim!$E79:$Z79,MIN(AM$6-$G$3,22))&lt;&gt;""),Amendoim!$E79:INDEX(Amendoim!$E79:$Z79,MIN(AM$6-$G$3,22))),0)))))</f>
        <v>0</v>
      </c>
      <c r="AN81" s="27" t="n">
        <f aca="false">IF(COUNT(Amendoim!$E79:$Z79)=0,0,MAX(0,IF((AN$6-$E$3)&lt;1,0,IFERROR(LOOKUP(2,1/(Amendoim!$E79:INDEX(Amendoim!$E79:$Z79,MIN(AN$6-$E$3,22))&lt;&gt;""),Amendoim!$E79:INDEX(Amendoim!$E79:$Z79,MIN(AN$6-$E$3,22))),0))-IF($G$2,0,IF((AN$6-$G$3)&lt;1,0,IFERROR(LOOKUP(2,1/(Amendoim!$E79:INDEX(Amendoim!$E79:$Z79,MIN(AN$6-$G$3,22))&lt;&gt;""),Amendoim!$E79:INDEX(Amendoim!$E79:$Z79,MIN(AN$6-$G$3,22))),0)))))</f>
        <v>0</v>
      </c>
      <c r="AO81" s="27" t="n">
        <f aca="false">IF(COUNT(Amendoim!$E79:$Z79)=0,0,MAX(0,IF((AO$6-$E$3)&lt;1,0,IFERROR(LOOKUP(2,1/(Amendoim!$E79:INDEX(Amendoim!$E79:$Z79,MIN(AO$6-$E$3,22))&lt;&gt;""),Amendoim!$E79:INDEX(Amendoim!$E79:$Z79,MIN(AO$6-$E$3,22))),0))-IF($G$2,0,IF((AO$6-$G$3)&lt;1,0,IFERROR(LOOKUP(2,1/(Amendoim!$E79:INDEX(Amendoim!$E79:$Z79,MIN(AO$6-$G$3,22))&lt;&gt;""),Amendoim!$E79:INDEX(Amendoim!$E79:$Z79,MIN(AO$6-$G$3,22))),0)))))</f>
        <v>0</v>
      </c>
      <c r="AP81" s="27" t="n">
        <f aca="false">IF(COUNT(Amendoim!$E79:$Z79)=0,0,MAX(0,IF((AP$6-$E$3)&lt;1,0,IFERROR(LOOKUP(2,1/(Amendoim!$E79:INDEX(Amendoim!$E79:$Z79,MIN(AP$6-$E$3,22))&lt;&gt;""),Amendoim!$E79:INDEX(Amendoim!$E79:$Z79,MIN(AP$6-$E$3,22))),0))-IF($G$2,0,IF((AP$6-$G$3)&lt;1,0,IFERROR(LOOKUP(2,1/(Amendoim!$E79:INDEX(Amendoim!$E79:$Z79,MIN(AP$6-$G$3,22))&lt;&gt;""),Amendoim!$E79:INDEX(Amendoim!$E79:$Z79,MIN(AP$6-$G$3,22))),0)))))</f>
        <v>0</v>
      </c>
      <c r="AQ81" s="27" t="n">
        <f aca="false">IF(COUNT(Amendoim!$E79:$Z79)=0,0,MAX(0,IF((AQ$6-$E$3)&lt;1,0,IFERROR(LOOKUP(2,1/(Amendoim!$E79:INDEX(Amendoim!$E79:$Z79,MIN(AQ$6-$E$3,22))&lt;&gt;""),Amendoim!$E79:INDEX(Amendoim!$E79:$Z79,MIN(AQ$6-$E$3,22))),0))-IF($G$2,0,IF((AQ$6-$G$3)&lt;1,0,IFERROR(LOOKUP(2,1/(Amendoim!$E79:INDEX(Amendoim!$E79:$Z79,MIN(AQ$6-$G$3,22))&lt;&gt;""),Amendoim!$E79:INDEX(Amendoim!$E79:$Z79,MIN(AQ$6-$G$3,22))),0)))))</f>
        <v>0</v>
      </c>
      <c r="AR81" s="27" t="n">
        <f aca="false">IF(COUNT(Amendoim!$E79:$Z79)=0,0,MAX(0,IF((AR$6-$E$3)&lt;1,0,IFERROR(LOOKUP(2,1/(Amendoim!$E79:INDEX(Amendoim!$E79:$Z79,MIN(AR$6-$E$3,22))&lt;&gt;""),Amendoim!$E79:INDEX(Amendoim!$E79:$Z79,MIN(AR$6-$E$3,22))),0))-IF($G$2,0,IF((AR$6-$G$3)&lt;1,0,IFERROR(LOOKUP(2,1/(Amendoim!$E79:INDEX(Amendoim!$E79:$Z79,MIN(AR$6-$G$3,22))&lt;&gt;""),Amendoim!$E79:INDEX(Amendoim!$E79:$Z79,MIN(AR$6-$G$3,22))),0)))))</f>
        <v>0</v>
      </c>
      <c r="AS81" s="27" t="n">
        <f aca="false">IF(COUNT(Amendoim!$E79:$Z79)=0,0,MAX(0,IF((AS$6-$E$3)&lt;1,0,IFERROR(LOOKUP(2,1/(Amendoim!$E79:INDEX(Amendoim!$E79:$Z79,MIN(AS$6-$E$3,22))&lt;&gt;""),Amendoim!$E79:INDEX(Amendoim!$E79:$Z79,MIN(AS$6-$E$3,22))),0))-IF($G$2,0,IF((AS$6-$G$3)&lt;1,0,IFERROR(LOOKUP(2,1/(Amendoim!$E79:INDEX(Amendoim!$E79:$Z79,MIN(AS$6-$G$3,22))&lt;&gt;""),Amendoim!$E79:INDEX(Amendoim!$E79:$Z79,MIN(AS$6-$G$3,22))),0)))))</f>
        <v>0</v>
      </c>
      <c r="AT81" s="27" t="n">
        <f aca="false">IF(COUNT(Amendoim!$E79:$Z79)=0,0,MAX(0,IF((AT$6-$E$3)&lt;1,0,IFERROR(LOOKUP(2,1/(Amendoim!$E79:INDEX(Amendoim!$E79:$Z79,MIN(AT$6-$E$3,22))&lt;&gt;""),Amendoim!$E79:INDEX(Amendoim!$E79:$Z79,MIN(AT$6-$E$3,22))),0))-IF($G$2,0,IF((AT$6-$G$3)&lt;1,0,IFERROR(LOOKUP(2,1/(Amendoim!$E79:INDEX(Amendoim!$E79:$Z79,MIN(AT$6-$G$3,22))&lt;&gt;""),Amendoim!$E79:INDEX(Amendoim!$E79:$Z79,MIN(AT$6-$G$3,22))),0)))))</f>
        <v>0</v>
      </c>
      <c r="AU81" s="27" t="n">
        <f aca="false">IF(COUNT(Amendoim!$E79:$Z79)=0,0,MAX(0,IF((AU$6-$E$3)&lt;1,0,IFERROR(LOOKUP(2,1/(Amendoim!$E79:INDEX(Amendoim!$E79:$Z79,MIN(AU$6-$E$3,22))&lt;&gt;""),Amendoim!$E79:INDEX(Amendoim!$E79:$Z79,MIN(AU$6-$E$3,22))),0))-IF($G$2,0,IF((AU$6-$G$3)&lt;1,0,IFERROR(LOOKUP(2,1/(Amendoim!$E79:INDEX(Amendoim!$E79:$Z79,MIN(AU$6-$G$3,22))&lt;&gt;""),Amendoim!$E79:INDEX(Amendoim!$E79:$Z79,MIN(AU$6-$G$3,22))),0)))))</f>
        <v>0</v>
      </c>
      <c r="AV81" s="27" t="n">
        <f aca="false">IF(COUNT(Amendoim!$E79:$Z79)=0,0,MAX(0,IF((AV$6-$E$3)&lt;1,0,IFERROR(LOOKUP(2,1/(Amendoim!$E79:INDEX(Amendoim!$E79:$Z79,MIN(AV$6-$E$3,22))&lt;&gt;""),Amendoim!$E79:INDEX(Amendoim!$E79:$Z79,MIN(AV$6-$E$3,22))),0))-IF($G$2,0,IF((AV$6-$G$3)&lt;1,0,IFERROR(LOOKUP(2,1/(Amendoim!$E79:INDEX(Amendoim!$E79:$Z79,MIN(AV$6-$G$3,22))&lt;&gt;""),Amendoim!$E79:INDEX(Amendoim!$E79:$Z79,MIN(AV$6-$G$3,22))),0)))))</f>
        <v>0</v>
      </c>
      <c r="AW81" s="27" t="n">
        <f aca="false">IF(COUNT(Amendoim!$E79:$Z79)=0,0,MAX(0,IF((AW$6-$E$3)&lt;1,0,IFERROR(LOOKUP(2,1/(Amendoim!$E79:INDEX(Amendoim!$E79:$Z79,MIN(AW$6-$E$3,22))&lt;&gt;""),Amendoim!$E79:INDEX(Amendoim!$E79:$Z79,MIN(AW$6-$E$3,22))),0))-IF($G$2,0,IF((AW$6-$G$3)&lt;1,0,IFERROR(LOOKUP(2,1/(Amendoim!$E79:INDEX(Amendoim!$E79:$Z79,MIN(AW$6-$G$3,22))&lt;&gt;""),Amendoim!$E79:INDEX(Amendoim!$E79:$Z79,MIN(AW$6-$G$3,22))),0)))))</f>
        <v>0</v>
      </c>
      <c r="AX81" s="27" t="n">
        <f aca="false">IF(COUNT(Amendoim!$E79:$Z79)=0,0,MAX(0,IF((AX$6-$E$3)&lt;1,0,IFERROR(LOOKUP(2,1/(Amendoim!$E79:INDEX(Amendoim!$E79:$Z79,MIN(AX$6-$E$3,22))&lt;&gt;""),Amendoim!$E79:INDEX(Amendoim!$E79:$Z79,MIN(AX$6-$E$3,22))),0))-IF($G$2,0,IF((AX$6-$G$3)&lt;1,0,IFERROR(LOOKUP(2,1/(Amendoim!$E79:INDEX(Amendoim!$E79:$Z79,MIN(AX$6-$G$3,22))&lt;&gt;""),Amendoim!$E79:INDEX(Amendoim!$E79:$Z79,MIN(AX$6-$G$3,22))),0)))))</f>
        <v>0</v>
      </c>
      <c r="AY81" s="27" t="n">
        <f aca="false">IF(COUNT(Amendoim!$E79:$Z79)=0,0,MAX(0,IF((AY$6-$E$3)&lt;1,0,IFERROR(LOOKUP(2,1/(Amendoim!$E79:INDEX(Amendoim!$E79:$Z79,MIN(AY$6-$E$3,22))&lt;&gt;""),Amendoim!$E79:INDEX(Amendoim!$E79:$Z79,MIN(AY$6-$E$3,22))),0))-IF($G$2,0,IF((AY$6-$G$3)&lt;1,0,IFERROR(LOOKUP(2,1/(Amendoim!$E79:INDEX(Amendoim!$E79:$Z79,MIN(AY$6-$G$3,22))&lt;&gt;""),Amendoim!$E79:INDEX(Amendoim!$E79:$Z79,MIN(AY$6-$G$3,22))),0)))))</f>
        <v>0</v>
      </c>
      <c r="AZ81" s="27" t="n">
        <f aca="false">IF(COUNT(Amendoim!$E79:$Z79)=0,0,MAX(0,IF((AZ$6-$E$3)&lt;1,0,IFERROR(LOOKUP(2,1/(Amendoim!$E79:INDEX(Amendoim!$E79:$Z79,MIN(AZ$6-$E$3,22))&lt;&gt;""),Amendoim!$E79:INDEX(Amendoim!$E79:$Z79,MIN(AZ$6-$E$3,22))),0))-IF($G$2,0,IF((AZ$6-$G$3)&lt;1,0,IFERROR(LOOKUP(2,1/(Amendoim!$E79:INDEX(Amendoim!$E79:$Z79,MIN(AZ$6-$G$3,22))&lt;&gt;""),Amendoim!$E79:INDEX(Amendoim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IF(COUNT(Amendoim!$E80:$Z80)&gt;0,N(Amendoim!$D80),0)</f>
        <v>0</v>
      </c>
      <c r="E82" s="27" t="n">
        <f aca="false">IF(COUNT(Amendoim!$E80:$Z80)=0,0,MAX(0,IF((E$6-$E$3)&lt;1,0,IFERROR(LOOKUP(2,1/(Amendoim!$E80:INDEX(Amendoim!$E80:$Z80,MIN(E$6-$E$3,22))&lt;&gt;""),Amendoim!$E80:INDEX(Amendoim!$E80:$Z80,MIN(E$6-$E$3,22))),0))-IF($G$2,0,IF((E$6-$G$3)&lt;1,0,IFERROR(LOOKUP(2,1/(Amendoim!$E80:INDEX(Amendoim!$E80:$Z80,MIN(E$6-$G$3,22))&lt;&gt;""),Amendoim!$E80:INDEX(Amendoim!$E80:$Z80,MIN(E$6-$G$3,22))),0)))))</f>
        <v>0</v>
      </c>
      <c r="F82" s="27" t="n">
        <f aca="false">IF(COUNT(Amendoim!$E80:$Z80)=0,0,MAX(0,IF((F$6-$E$3)&lt;1,0,IFERROR(LOOKUP(2,1/(Amendoim!$E80:INDEX(Amendoim!$E80:$Z80,MIN(F$6-$E$3,22))&lt;&gt;""),Amendoim!$E80:INDEX(Amendoim!$E80:$Z80,MIN(F$6-$E$3,22))),0))-IF($G$2,0,IF((F$6-$G$3)&lt;1,0,IFERROR(LOOKUP(2,1/(Amendoim!$E80:INDEX(Amendoim!$E80:$Z80,MIN(F$6-$G$3,22))&lt;&gt;""),Amendoim!$E80:INDEX(Amendoim!$E80:$Z80,MIN(F$6-$G$3,22))),0)))))</f>
        <v>0</v>
      </c>
      <c r="G82" s="27" t="n">
        <f aca="false">IF(COUNT(Amendoim!$E80:$Z80)=0,0,MAX(0,IF((G$6-$E$3)&lt;1,0,IFERROR(LOOKUP(2,1/(Amendoim!$E80:INDEX(Amendoim!$E80:$Z80,MIN(G$6-$E$3,22))&lt;&gt;""),Amendoim!$E80:INDEX(Amendoim!$E80:$Z80,MIN(G$6-$E$3,22))),0))-IF($G$2,0,IF((G$6-$G$3)&lt;1,0,IFERROR(LOOKUP(2,1/(Amendoim!$E80:INDEX(Amendoim!$E80:$Z80,MIN(G$6-$G$3,22))&lt;&gt;""),Amendoim!$E80:INDEX(Amendoim!$E80:$Z80,MIN(G$6-$G$3,22))),0)))))</f>
        <v>0</v>
      </c>
      <c r="H82" s="27" t="n">
        <f aca="false">IF(COUNT(Amendoim!$E80:$Z80)=0,0,MAX(0,IF((H$6-$E$3)&lt;1,0,IFERROR(LOOKUP(2,1/(Amendoim!$E80:INDEX(Amendoim!$E80:$Z80,MIN(H$6-$E$3,22))&lt;&gt;""),Amendoim!$E80:INDEX(Amendoim!$E80:$Z80,MIN(H$6-$E$3,22))),0))-IF($G$2,0,IF((H$6-$G$3)&lt;1,0,IFERROR(LOOKUP(2,1/(Amendoim!$E80:INDEX(Amendoim!$E80:$Z80,MIN(H$6-$G$3,22))&lt;&gt;""),Amendoim!$E80:INDEX(Amendoim!$E80:$Z80,MIN(H$6-$G$3,22))),0)))))</f>
        <v>0</v>
      </c>
      <c r="I82" s="27" t="n">
        <f aca="false">IF(COUNT(Amendoim!$E80:$Z80)=0,0,MAX(0,IF((I$6-$E$3)&lt;1,0,IFERROR(LOOKUP(2,1/(Amendoim!$E80:INDEX(Amendoim!$E80:$Z80,MIN(I$6-$E$3,22))&lt;&gt;""),Amendoim!$E80:INDEX(Amendoim!$E80:$Z80,MIN(I$6-$E$3,22))),0))-IF($G$2,0,IF((I$6-$G$3)&lt;1,0,IFERROR(LOOKUP(2,1/(Amendoim!$E80:INDEX(Amendoim!$E80:$Z80,MIN(I$6-$G$3,22))&lt;&gt;""),Amendoim!$E80:INDEX(Amendoim!$E80:$Z80,MIN(I$6-$G$3,22))),0)))))</f>
        <v>0</v>
      </c>
      <c r="J82" s="27" t="n">
        <f aca="false">IF(COUNT(Amendoim!$E80:$Z80)=0,0,MAX(0,IF((J$6-$E$3)&lt;1,0,IFERROR(LOOKUP(2,1/(Amendoim!$E80:INDEX(Amendoim!$E80:$Z80,MIN(J$6-$E$3,22))&lt;&gt;""),Amendoim!$E80:INDEX(Amendoim!$E80:$Z80,MIN(J$6-$E$3,22))),0))-IF($G$2,0,IF((J$6-$G$3)&lt;1,0,IFERROR(LOOKUP(2,1/(Amendoim!$E80:INDEX(Amendoim!$E80:$Z80,MIN(J$6-$G$3,22))&lt;&gt;""),Amendoim!$E80:INDEX(Amendoim!$E80:$Z80,MIN(J$6-$G$3,22))),0)))))</f>
        <v>0</v>
      </c>
      <c r="K82" s="27" t="n">
        <f aca="false">IF(COUNT(Amendoim!$E80:$Z80)=0,0,MAX(0,IF((K$6-$E$3)&lt;1,0,IFERROR(LOOKUP(2,1/(Amendoim!$E80:INDEX(Amendoim!$E80:$Z80,MIN(K$6-$E$3,22))&lt;&gt;""),Amendoim!$E80:INDEX(Amendoim!$E80:$Z80,MIN(K$6-$E$3,22))),0))-IF($G$2,0,IF((K$6-$G$3)&lt;1,0,IFERROR(LOOKUP(2,1/(Amendoim!$E80:INDEX(Amendoim!$E80:$Z80,MIN(K$6-$G$3,22))&lt;&gt;""),Amendoim!$E80:INDEX(Amendoim!$E80:$Z80,MIN(K$6-$G$3,22))),0)))))</f>
        <v>0</v>
      </c>
      <c r="L82" s="27" t="n">
        <f aca="false">IF(COUNT(Amendoim!$E80:$Z80)=0,0,MAX(0,IF((L$6-$E$3)&lt;1,0,IFERROR(LOOKUP(2,1/(Amendoim!$E80:INDEX(Amendoim!$E80:$Z80,MIN(L$6-$E$3,22))&lt;&gt;""),Amendoim!$E80:INDEX(Amendoim!$E80:$Z80,MIN(L$6-$E$3,22))),0))-IF($G$2,0,IF((L$6-$G$3)&lt;1,0,IFERROR(LOOKUP(2,1/(Amendoim!$E80:INDEX(Amendoim!$E80:$Z80,MIN(L$6-$G$3,22))&lt;&gt;""),Amendoim!$E80:INDEX(Amendoim!$E80:$Z80,MIN(L$6-$G$3,22))),0)))))</f>
        <v>0</v>
      </c>
      <c r="M82" s="27" t="n">
        <f aca="false">IF(COUNT(Amendoim!$E80:$Z80)=0,0,MAX(0,IF((M$6-$E$3)&lt;1,0,IFERROR(LOOKUP(2,1/(Amendoim!$E80:INDEX(Amendoim!$E80:$Z80,MIN(M$6-$E$3,22))&lt;&gt;""),Amendoim!$E80:INDEX(Amendoim!$E80:$Z80,MIN(M$6-$E$3,22))),0))-IF($G$2,0,IF((M$6-$G$3)&lt;1,0,IFERROR(LOOKUP(2,1/(Amendoim!$E80:INDEX(Amendoim!$E80:$Z80,MIN(M$6-$G$3,22))&lt;&gt;""),Amendoim!$E80:INDEX(Amendoim!$E80:$Z80,MIN(M$6-$G$3,22))),0)))))</f>
        <v>0</v>
      </c>
      <c r="N82" s="27" t="n">
        <f aca="false">IF(COUNT(Amendoim!$E80:$Z80)=0,0,MAX(0,IF((N$6-$E$3)&lt;1,0,IFERROR(LOOKUP(2,1/(Amendoim!$E80:INDEX(Amendoim!$E80:$Z80,MIN(N$6-$E$3,22))&lt;&gt;""),Amendoim!$E80:INDEX(Amendoim!$E80:$Z80,MIN(N$6-$E$3,22))),0))-IF($G$2,0,IF((N$6-$G$3)&lt;1,0,IFERROR(LOOKUP(2,1/(Amendoim!$E80:INDEX(Amendoim!$E80:$Z80,MIN(N$6-$G$3,22))&lt;&gt;""),Amendoim!$E80:INDEX(Amendoim!$E80:$Z80,MIN(N$6-$G$3,22))),0)))))</f>
        <v>0</v>
      </c>
      <c r="O82" s="27" t="n">
        <f aca="false">IF(COUNT(Amendoim!$E80:$Z80)=0,0,MAX(0,IF((O$6-$E$3)&lt;1,0,IFERROR(LOOKUP(2,1/(Amendoim!$E80:INDEX(Amendoim!$E80:$Z80,MIN(O$6-$E$3,22))&lt;&gt;""),Amendoim!$E80:INDEX(Amendoim!$E80:$Z80,MIN(O$6-$E$3,22))),0))-IF($G$2,0,IF((O$6-$G$3)&lt;1,0,IFERROR(LOOKUP(2,1/(Amendoim!$E80:INDEX(Amendoim!$E80:$Z80,MIN(O$6-$G$3,22))&lt;&gt;""),Amendoim!$E80:INDEX(Amendoim!$E80:$Z80,MIN(O$6-$G$3,22))),0)))))</f>
        <v>0</v>
      </c>
      <c r="P82" s="27" t="n">
        <f aca="false">IF(COUNT(Amendoim!$E80:$Z80)=0,0,MAX(0,IF((P$6-$E$3)&lt;1,0,IFERROR(LOOKUP(2,1/(Amendoim!$E80:INDEX(Amendoim!$E80:$Z80,MIN(P$6-$E$3,22))&lt;&gt;""),Amendoim!$E80:INDEX(Amendoim!$E80:$Z80,MIN(P$6-$E$3,22))),0))-IF($G$2,0,IF((P$6-$G$3)&lt;1,0,IFERROR(LOOKUP(2,1/(Amendoim!$E80:INDEX(Amendoim!$E80:$Z80,MIN(P$6-$G$3,22))&lt;&gt;""),Amendoim!$E80:INDEX(Amendoim!$E80:$Z80,MIN(P$6-$G$3,22))),0)))))</f>
        <v>0</v>
      </c>
      <c r="Q82" s="27" t="n">
        <f aca="false">IF(COUNT(Amendoim!$E80:$Z80)=0,0,MAX(0,IF((Q$6-$E$3)&lt;1,0,IFERROR(LOOKUP(2,1/(Amendoim!$E80:INDEX(Amendoim!$E80:$Z80,MIN(Q$6-$E$3,22))&lt;&gt;""),Amendoim!$E80:INDEX(Amendoim!$E80:$Z80,MIN(Q$6-$E$3,22))),0))-IF($G$2,0,IF((Q$6-$G$3)&lt;1,0,IFERROR(LOOKUP(2,1/(Amendoim!$E80:INDEX(Amendoim!$E80:$Z80,MIN(Q$6-$G$3,22))&lt;&gt;""),Amendoim!$E80:INDEX(Amendoim!$E80:$Z80,MIN(Q$6-$G$3,22))),0)))))</f>
        <v>0</v>
      </c>
      <c r="R82" s="27" t="n">
        <f aca="false">IF(COUNT(Amendoim!$E80:$Z80)=0,0,MAX(0,IF((R$6-$E$3)&lt;1,0,IFERROR(LOOKUP(2,1/(Amendoim!$E80:INDEX(Amendoim!$E80:$Z80,MIN(R$6-$E$3,22))&lt;&gt;""),Amendoim!$E80:INDEX(Amendoim!$E80:$Z80,MIN(R$6-$E$3,22))),0))-IF($G$2,0,IF((R$6-$G$3)&lt;1,0,IFERROR(LOOKUP(2,1/(Amendoim!$E80:INDEX(Amendoim!$E80:$Z80,MIN(R$6-$G$3,22))&lt;&gt;""),Amendoim!$E80:INDEX(Amendoim!$E80:$Z80,MIN(R$6-$G$3,22))),0)))))</f>
        <v>0</v>
      </c>
      <c r="S82" s="27" t="n">
        <f aca="false">IF(COUNT(Amendoim!$E80:$Z80)=0,0,MAX(0,IF((S$6-$E$3)&lt;1,0,IFERROR(LOOKUP(2,1/(Amendoim!$E80:INDEX(Amendoim!$E80:$Z80,MIN(S$6-$E$3,22))&lt;&gt;""),Amendoim!$E80:INDEX(Amendoim!$E80:$Z80,MIN(S$6-$E$3,22))),0))-IF($G$2,0,IF((S$6-$G$3)&lt;1,0,IFERROR(LOOKUP(2,1/(Amendoim!$E80:INDEX(Amendoim!$E80:$Z80,MIN(S$6-$G$3,22))&lt;&gt;""),Amendoim!$E80:INDEX(Amendoim!$E80:$Z80,MIN(S$6-$G$3,22))),0)))))</f>
        <v>0</v>
      </c>
      <c r="T82" s="27" t="n">
        <f aca="false">IF(COUNT(Amendoim!$E80:$Z80)=0,0,MAX(0,IF((T$6-$E$3)&lt;1,0,IFERROR(LOOKUP(2,1/(Amendoim!$E80:INDEX(Amendoim!$E80:$Z80,MIN(T$6-$E$3,22))&lt;&gt;""),Amendoim!$E80:INDEX(Amendoim!$E80:$Z80,MIN(T$6-$E$3,22))),0))-IF($G$2,0,IF((T$6-$G$3)&lt;1,0,IFERROR(LOOKUP(2,1/(Amendoim!$E80:INDEX(Amendoim!$E80:$Z80,MIN(T$6-$G$3,22))&lt;&gt;""),Amendoim!$E80:INDEX(Amendoim!$E80:$Z80,MIN(T$6-$G$3,22))),0)))))</f>
        <v>0</v>
      </c>
      <c r="U82" s="27" t="n">
        <f aca="false">IF(COUNT(Amendoim!$E80:$Z80)=0,0,MAX(0,IF((U$6-$E$3)&lt;1,0,IFERROR(LOOKUP(2,1/(Amendoim!$E80:INDEX(Amendoim!$E80:$Z80,MIN(U$6-$E$3,22))&lt;&gt;""),Amendoim!$E80:INDEX(Amendoim!$E80:$Z80,MIN(U$6-$E$3,22))),0))-IF($G$2,0,IF((U$6-$G$3)&lt;1,0,IFERROR(LOOKUP(2,1/(Amendoim!$E80:INDEX(Amendoim!$E80:$Z80,MIN(U$6-$G$3,22))&lt;&gt;""),Amendoim!$E80:INDEX(Amendoim!$E80:$Z80,MIN(U$6-$G$3,22))),0)))))</f>
        <v>0</v>
      </c>
      <c r="V82" s="27" t="n">
        <f aca="false">IF(COUNT(Amendoim!$E80:$Z80)=0,0,MAX(0,IF((V$6-$E$3)&lt;1,0,IFERROR(LOOKUP(2,1/(Amendoim!$E80:INDEX(Amendoim!$E80:$Z80,MIN(V$6-$E$3,22))&lt;&gt;""),Amendoim!$E80:INDEX(Amendoim!$E80:$Z80,MIN(V$6-$E$3,22))),0))-IF($G$2,0,IF((V$6-$G$3)&lt;1,0,IFERROR(LOOKUP(2,1/(Amendoim!$E80:INDEX(Amendoim!$E80:$Z80,MIN(V$6-$G$3,22))&lt;&gt;""),Amendoim!$E80:INDEX(Amendoim!$E80:$Z80,MIN(V$6-$G$3,22))),0)))))</f>
        <v>0</v>
      </c>
      <c r="W82" s="27" t="n">
        <f aca="false">IF(COUNT(Amendoim!$E80:$Z80)=0,0,MAX(0,IF((W$6-$E$3)&lt;1,0,IFERROR(LOOKUP(2,1/(Amendoim!$E80:INDEX(Amendoim!$E80:$Z80,MIN(W$6-$E$3,22))&lt;&gt;""),Amendoim!$E80:INDEX(Amendoim!$E80:$Z80,MIN(W$6-$E$3,22))),0))-IF($G$2,0,IF((W$6-$G$3)&lt;1,0,IFERROR(LOOKUP(2,1/(Amendoim!$E80:INDEX(Amendoim!$E80:$Z80,MIN(W$6-$G$3,22))&lt;&gt;""),Amendoim!$E80:INDEX(Amendoim!$E80:$Z80,MIN(W$6-$G$3,22))),0)))))</f>
        <v>0</v>
      </c>
      <c r="X82" s="27" t="n">
        <f aca="false">IF(COUNT(Amendoim!$E80:$Z80)=0,0,MAX(0,IF((X$6-$E$3)&lt;1,0,IFERROR(LOOKUP(2,1/(Amendoim!$E80:INDEX(Amendoim!$E80:$Z80,MIN(X$6-$E$3,22))&lt;&gt;""),Amendoim!$E80:INDEX(Amendoim!$E80:$Z80,MIN(X$6-$E$3,22))),0))-IF($G$2,0,IF((X$6-$G$3)&lt;1,0,IFERROR(LOOKUP(2,1/(Amendoim!$E80:INDEX(Amendoim!$E80:$Z80,MIN(X$6-$G$3,22))&lt;&gt;""),Amendoim!$E80:INDEX(Amendoim!$E80:$Z80,MIN(X$6-$G$3,22))),0)))))</f>
        <v>0</v>
      </c>
      <c r="Y82" s="27" t="n">
        <f aca="false">IF(COUNT(Amendoim!$E80:$Z80)=0,0,MAX(0,IF((Y$6-$E$3)&lt;1,0,IFERROR(LOOKUP(2,1/(Amendoim!$E80:INDEX(Amendoim!$E80:$Z80,MIN(Y$6-$E$3,22))&lt;&gt;""),Amendoim!$E80:INDEX(Amendoim!$E80:$Z80,MIN(Y$6-$E$3,22))),0))-IF($G$2,0,IF((Y$6-$G$3)&lt;1,0,IFERROR(LOOKUP(2,1/(Amendoim!$E80:INDEX(Amendoim!$E80:$Z80,MIN(Y$6-$G$3,22))&lt;&gt;""),Amendoim!$E80:INDEX(Amendoim!$E80:$Z80,MIN(Y$6-$G$3,22))),0)))))</f>
        <v>0</v>
      </c>
      <c r="Z82" s="27" t="n">
        <f aca="false">IF(COUNT(Amendoim!$E80:$Z80)=0,0,MAX(0,IF((Z$6-$E$3)&lt;1,0,IFERROR(LOOKUP(2,1/(Amendoim!$E80:INDEX(Amendoim!$E80:$Z80,MIN(Z$6-$E$3,22))&lt;&gt;""),Amendoim!$E80:INDEX(Amendoim!$E80:$Z80,MIN(Z$6-$E$3,22))),0))-IF($G$2,0,IF((Z$6-$G$3)&lt;1,0,IFERROR(LOOKUP(2,1/(Amendoim!$E80:INDEX(Amendoim!$E80:$Z80,MIN(Z$6-$G$3,22))&lt;&gt;""),Amendoim!$E80:INDEX(Amendoim!$E80:$Z80,MIN(Z$6-$G$3,22))),0)))))</f>
        <v>0</v>
      </c>
      <c r="AA82" s="27" t="n">
        <f aca="false">IF(COUNT(Amendoim!$E80:$Z80)=0,0,MAX(0,IF((AA$6-$E$3)&lt;1,0,IFERROR(LOOKUP(2,1/(Amendoim!$E80:INDEX(Amendoim!$E80:$Z80,MIN(AA$6-$E$3,22))&lt;&gt;""),Amendoim!$E80:INDEX(Amendoim!$E80:$Z80,MIN(AA$6-$E$3,22))),0))-IF($G$2,0,IF((AA$6-$G$3)&lt;1,0,IFERROR(LOOKUP(2,1/(Amendoim!$E80:INDEX(Amendoim!$E80:$Z80,MIN(AA$6-$G$3,22))&lt;&gt;""),Amendoim!$E80:INDEX(Amendoim!$E80:$Z80,MIN(AA$6-$G$3,22))),0)))))</f>
        <v>0</v>
      </c>
      <c r="AB82" s="27" t="n">
        <f aca="false">IF(COUNT(Amendoim!$E80:$Z80)=0,0,MAX(0,IF((AB$6-$E$3)&lt;1,0,IFERROR(LOOKUP(2,1/(Amendoim!$E80:INDEX(Amendoim!$E80:$Z80,MIN(AB$6-$E$3,22))&lt;&gt;""),Amendoim!$E80:INDEX(Amendoim!$E80:$Z80,MIN(AB$6-$E$3,22))),0))-IF($G$2,0,IF((AB$6-$G$3)&lt;1,0,IFERROR(LOOKUP(2,1/(Amendoim!$E80:INDEX(Amendoim!$E80:$Z80,MIN(AB$6-$G$3,22))&lt;&gt;""),Amendoim!$E80:INDEX(Amendoim!$E80:$Z80,MIN(AB$6-$G$3,22))),0)))))</f>
        <v>0</v>
      </c>
      <c r="AC82" s="27" t="n">
        <f aca="false">IF(COUNT(Amendoim!$E80:$Z80)=0,0,MAX(0,IF((AC$6-$E$3)&lt;1,0,IFERROR(LOOKUP(2,1/(Amendoim!$E80:INDEX(Amendoim!$E80:$Z80,MIN(AC$6-$E$3,22))&lt;&gt;""),Amendoim!$E80:INDEX(Amendoim!$E80:$Z80,MIN(AC$6-$E$3,22))),0))-IF($G$2,0,IF((AC$6-$G$3)&lt;1,0,IFERROR(LOOKUP(2,1/(Amendoim!$E80:INDEX(Amendoim!$E80:$Z80,MIN(AC$6-$G$3,22))&lt;&gt;""),Amendoim!$E80:INDEX(Amendoim!$E80:$Z80,MIN(AC$6-$G$3,22))),0)))))</f>
        <v>0</v>
      </c>
      <c r="AD82" s="27" t="n">
        <f aca="false">IF(COUNT(Amendoim!$E80:$Z80)=0,0,MAX(0,IF((AD$6-$E$3)&lt;1,0,IFERROR(LOOKUP(2,1/(Amendoim!$E80:INDEX(Amendoim!$E80:$Z80,MIN(AD$6-$E$3,22))&lt;&gt;""),Amendoim!$E80:INDEX(Amendoim!$E80:$Z80,MIN(AD$6-$E$3,22))),0))-IF($G$2,0,IF((AD$6-$G$3)&lt;1,0,IFERROR(LOOKUP(2,1/(Amendoim!$E80:INDEX(Amendoim!$E80:$Z80,MIN(AD$6-$G$3,22))&lt;&gt;""),Amendoim!$E80:INDEX(Amendoim!$E80:$Z80,MIN(AD$6-$G$3,22))),0)))))</f>
        <v>0</v>
      </c>
      <c r="AE82" s="27" t="n">
        <f aca="false">IF(COUNT(Amendoim!$E80:$Z80)=0,0,MAX(0,IF((AE$6-$E$3)&lt;1,0,IFERROR(LOOKUP(2,1/(Amendoim!$E80:INDEX(Amendoim!$E80:$Z80,MIN(AE$6-$E$3,22))&lt;&gt;""),Amendoim!$E80:INDEX(Amendoim!$E80:$Z80,MIN(AE$6-$E$3,22))),0))-IF($G$2,0,IF((AE$6-$G$3)&lt;1,0,IFERROR(LOOKUP(2,1/(Amendoim!$E80:INDEX(Amendoim!$E80:$Z80,MIN(AE$6-$G$3,22))&lt;&gt;""),Amendoim!$E80:INDEX(Amendoim!$E80:$Z80,MIN(AE$6-$G$3,22))),0)))))</f>
        <v>0</v>
      </c>
      <c r="AF82" s="27" t="n">
        <f aca="false">IF(COUNT(Amendoim!$E80:$Z80)=0,0,MAX(0,IF((AF$6-$E$3)&lt;1,0,IFERROR(LOOKUP(2,1/(Amendoim!$E80:INDEX(Amendoim!$E80:$Z80,MIN(AF$6-$E$3,22))&lt;&gt;""),Amendoim!$E80:INDEX(Amendoim!$E80:$Z80,MIN(AF$6-$E$3,22))),0))-IF($G$2,0,IF((AF$6-$G$3)&lt;1,0,IFERROR(LOOKUP(2,1/(Amendoim!$E80:INDEX(Amendoim!$E80:$Z80,MIN(AF$6-$G$3,22))&lt;&gt;""),Amendoim!$E80:INDEX(Amendoim!$E80:$Z80,MIN(AF$6-$G$3,22))),0)))))</f>
        <v>0</v>
      </c>
      <c r="AG82" s="27" t="n">
        <f aca="false">IF(COUNT(Amendoim!$E80:$Z80)=0,0,MAX(0,IF((AG$6-$E$3)&lt;1,0,IFERROR(LOOKUP(2,1/(Amendoim!$E80:INDEX(Amendoim!$E80:$Z80,MIN(AG$6-$E$3,22))&lt;&gt;""),Amendoim!$E80:INDEX(Amendoim!$E80:$Z80,MIN(AG$6-$E$3,22))),0))-IF($G$2,0,IF((AG$6-$G$3)&lt;1,0,IFERROR(LOOKUP(2,1/(Amendoim!$E80:INDEX(Amendoim!$E80:$Z80,MIN(AG$6-$G$3,22))&lt;&gt;""),Amendoim!$E80:INDEX(Amendoim!$E80:$Z80,MIN(AG$6-$G$3,22))),0)))))</f>
        <v>0</v>
      </c>
      <c r="AH82" s="27" t="n">
        <f aca="false">IF(COUNT(Amendoim!$E80:$Z80)=0,0,MAX(0,IF((AH$6-$E$3)&lt;1,0,IFERROR(LOOKUP(2,1/(Amendoim!$E80:INDEX(Amendoim!$E80:$Z80,MIN(AH$6-$E$3,22))&lt;&gt;""),Amendoim!$E80:INDEX(Amendoim!$E80:$Z80,MIN(AH$6-$E$3,22))),0))-IF($G$2,0,IF((AH$6-$G$3)&lt;1,0,IFERROR(LOOKUP(2,1/(Amendoim!$E80:INDEX(Amendoim!$E80:$Z80,MIN(AH$6-$G$3,22))&lt;&gt;""),Amendoim!$E80:INDEX(Amendoim!$E80:$Z80,MIN(AH$6-$G$3,22))),0)))))</f>
        <v>0</v>
      </c>
      <c r="AI82" s="27" t="n">
        <f aca="false">IF(COUNT(Amendoim!$E80:$Z80)=0,0,MAX(0,IF((AI$6-$E$3)&lt;1,0,IFERROR(LOOKUP(2,1/(Amendoim!$E80:INDEX(Amendoim!$E80:$Z80,MIN(AI$6-$E$3,22))&lt;&gt;""),Amendoim!$E80:INDEX(Amendoim!$E80:$Z80,MIN(AI$6-$E$3,22))),0))-IF($G$2,0,IF((AI$6-$G$3)&lt;1,0,IFERROR(LOOKUP(2,1/(Amendoim!$E80:INDEX(Amendoim!$E80:$Z80,MIN(AI$6-$G$3,22))&lt;&gt;""),Amendoim!$E80:INDEX(Amendoim!$E80:$Z80,MIN(AI$6-$G$3,22))),0)))))</f>
        <v>0</v>
      </c>
      <c r="AJ82" s="27" t="n">
        <f aca="false">IF(COUNT(Amendoim!$E80:$Z80)=0,0,MAX(0,IF((AJ$6-$E$3)&lt;1,0,IFERROR(LOOKUP(2,1/(Amendoim!$E80:INDEX(Amendoim!$E80:$Z80,MIN(AJ$6-$E$3,22))&lt;&gt;""),Amendoim!$E80:INDEX(Amendoim!$E80:$Z80,MIN(AJ$6-$E$3,22))),0))-IF($G$2,0,IF((AJ$6-$G$3)&lt;1,0,IFERROR(LOOKUP(2,1/(Amendoim!$E80:INDEX(Amendoim!$E80:$Z80,MIN(AJ$6-$G$3,22))&lt;&gt;""),Amendoim!$E80:INDEX(Amendoim!$E80:$Z80,MIN(AJ$6-$G$3,22))),0)))))</f>
        <v>0</v>
      </c>
      <c r="AK82" s="27" t="n">
        <f aca="false">IF(COUNT(Amendoim!$E80:$Z80)=0,0,MAX(0,IF((AK$6-$E$3)&lt;1,0,IFERROR(LOOKUP(2,1/(Amendoim!$E80:INDEX(Amendoim!$E80:$Z80,MIN(AK$6-$E$3,22))&lt;&gt;""),Amendoim!$E80:INDEX(Amendoim!$E80:$Z80,MIN(AK$6-$E$3,22))),0))-IF($G$2,0,IF((AK$6-$G$3)&lt;1,0,IFERROR(LOOKUP(2,1/(Amendoim!$E80:INDEX(Amendoim!$E80:$Z80,MIN(AK$6-$G$3,22))&lt;&gt;""),Amendoim!$E80:INDEX(Amendoim!$E80:$Z80,MIN(AK$6-$G$3,22))),0)))))</f>
        <v>0</v>
      </c>
      <c r="AL82" s="27" t="n">
        <f aca="false">IF(COUNT(Amendoim!$E80:$Z80)=0,0,MAX(0,IF((AL$6-$E$3)&lt;1,0,IFERROR(LOOKUP(2,1/(Amendoim!$E80:INDEX(Amendoim!$E80:$Z80,MIN(AL$6-$E$3,22))&lt;&gt;""),Amendoim!$E80:INDEX(Amendoim!$E80:$Z80,MIN(AL$6-$E$3,22))),0))-IF($G$2,0,IF((AL$6-$G$3)&lt;1,0,IFERROR(LOOKUP(2,1/(Amendoim!$E80:INDEX(Amendoim!$E80:$Z80,MIN(AL$6-$G$3,22))&lt;&gt;""),Amendoim!$E80:INDEX(Amendoim!$E80:$Z80,MIN(AL$6-$G$3,22))),0)))))</f>
        <v>0</v>
      </c>
      <c r="AM82" s="27" t="n">
        <f aca="false">IF(COUNT(Amendoim!$E80:$Z80)=0,0,MAX(0,IF((AM$6-$E$3)&lt;1,0,IFERROR(LOOKUP(2,1/(Amendoim!$E80:INDEX(Amendoim!$E80:$Z80,MIN(AM$6-$E$3,22))&lt;&gt;""),Amendoim!$E80:INDEX(Amendoim!$E80:$Z80,MIN(AM$6-$E$3,22))),0))-IF($G$2,0,IF((AM$6-$G$3)&lt;1,0,IFERROR(LOOKUP(2,1/(Amendoim!$E80:INDEX(Amendoim!$E80:$Z80,MIN(AM$6-$G$3,22))&lt;&gt;""),Amendoim!$E80:INDEX(Amendoim!$E80:$Z80,MIN(AM$6-$G$3,22))),0)))))</f>
        <v>0</v>
      </c>
      <c r="AN82" s="27" t="n">
        <f aca="false">IF(COUNT(Amendoim!$E80:$Z80)=0,0,MAX(0,IF((AN$6-$E$3)&lt;1,0,IFERROR(LOOKUP(2,1/(Amendoim!$E80:INDEX(Amendoim!$E80:$Z80,MIN(AN$6-$E$3,22))&lt;&gt;""),Amendoim!$E80:INDEX(Amendoim!$E80:$Z80,MIN(AN$6-$E$3,22))),0))-IF($G$2,0,IF((AN$6-$G$3)&lt;1,0,IFERROR(LOOKUP(2,1/(Amendoim!$E80:INDEX(Amendoim!$E80:$Z80,MIN(AN$6-$G$3,22))&lt;&gt;""),Amendoim!$E80:INDEX(Amendoim!$E80:$Z80,MIN(AN$6-$G$3,22))),0)))))</f>
        <v>0</v>
      </c>
      <c r="AO82" s="27" t="n">
        <f aca="false">IF(COUNT(Amendoim!$E80:$Z80)=0,0,MAX(0,IF((AO$6-$E$3)&lt;1,0,IFERROR(LOOKUP(2,1/(Amendoim!$E80:INDEX(Amendoim!$E80:$Z80,MIN(AO$6-$E$3,22))&lt;&gt;""),Amendoim!$E80:INDEX(Amendoim!$E80:$Z80,MIN(AO$6-$E$3,22))),0))-IF($G$2,0,IF((AO$6-$G$3)&lt;1,0,IFERROR(LOOKUP(2,1/(Amendoim!$E80:INDEX(Amendoim!$E80:$Z80,MIN(AO$6-$G$3,22))&lt;&gt;""),Amendoim!$E80:INDEX(Amendoim!$E80:$Z80,MIN(AO$6-$G$3,22))),0)))))</f>
        <v>0</v>
      </c>
      <c r="AP82" s="27" t="n">
        <f aca="false">IF(COUNT(Amendoim!$E80:$Z80)=0,0,MAX(0,IF((AP$6-$E$3)&lt;1,0,IFERROR(LOOKUP(2,1/(Amendoim!$E80:INDEX(Amendoim!$E80:$Z80,MIN(AP$6-$E$3,22))&lt;&gt;""),Amendoim!$E80:INDEX(Amendoim!$E80:$Z80,MIN(AP$6-$E$3,22))),0))-IF($G$2,0,IF((AP$6-$G$3)&lt;1,0,IFERROR(LOOKUP(2,1/(Amendoim!$E80:INDEX(Amendoim!$E80:$Z80,MIN(AP$6-$G$3,22))&lt;&gt;""),Amendoim!$E80:INDEX(Amendoim!$E80:$Z80,MIN(AP$6-$G$3,22))),0)))))</f>
        <v>0</v>
      </c>
      <c r="AQ82" s="27" t="n">
        <f aca="false">IF(COUNT(Amendoim!$E80:$Z80)=0,0,MAX(0,IF((AQ$6-$E$3)&lt;1,0,IFERROR(LOOKUP(2,1/(Amendoim!$E80:INDEX(Amendoim!$E80:$Z80,MIN(AQ$6-$E$3,22))&lt;&gt;""),Amendoim!$E80:INDEX(Amendoim!$E80:$Z80,MIN(AQ$6-$E$3,22))),0))-IF($G$2,0,IF((AQ$6-$G$3)&lt;1,0,IFERROR(LOOKUP(2,1/(Amendoim!$E80:INDEX(Amendoim!$E80:$Z80,MIN(AQ$6-$G$3,22))&lt;&gt;""),Amendoim!$E80:INDEX(Amendoim!$E80:$Z80,MIN(AQ$6-$G$3,22))),0)))))</f>
        <v>0</v>
      </c>
      <c r="AR82" s="27" t="n">
        <f aca="false">IF(COUNT(Amendoim!$E80:$Z80)=0,0,MAX(0,IF((AR$6-$E$3)&lt;1,0,IFERROR(LOOKUP(2,1/(Amendoim!$E80:INDEX(Amendoim!$E80:$Z80,MIN(AR$6-$E$3,22))&lt;&gt;""),Amendoim!$E80:INDEX(Amendoim!$E80:$Z80,MIN(AR$6-$E$3,22))),0))-IF($G$2,0,IF((AR$6-$G$3)&lt;1,0,IFERROR(LOOKUP(2,1/(Amendoim!$E80:INDEX(Amendoim!$E80:$Z80,MIN(AR$6-$G$3,22))&lt;&gt;""),Amendoim!$E80:INDEX(Amendoim!$E80:$Z80,MIN(AR$6-$G$3,22))),0)))))</f>
        <v>0</v>
      </c>
      <c r="AS82" s="27" t="n">
        <f aca="false">IF(COUNT(Amendoim!$E80:$Z80)=0,0,MAX(0,IF((AS$6-$E$3)&lt;1,0,IFERROR(LOOKUP(2,1/(Amendoim!$E80:INDEX(Amendoim!$E80:$Z80,MIN(AS$6-$E$3,22))&lt;&gt;""),Amendoim!$E80:INDEX(Amendoim!$E80:$Z80,MIN(AS$6-$E$3,22))),0))-IF($G$2,0,IF((AS$6-$G$3)&lt;1,0,IFERROR(LOOKUP(2,1/(Amendoim!$E80:INDEX(Amendoim!$E80:$Z80,MIN(AS$6-$G$3,22))&lt;&gt;""),Amendoim!$E80:INDEX(Amendoim!$E80:$Z80,MIN(AS$6-$G$3,22))),0)))))</f>
        <v>0</v>
      </c>
      <c r="AT82" s="27" t="n">
        <f aca="false">IF(COUNT(Amendoim!$E80:$Z80)=0,0,MAX(0,IF((AT$6-$E$3)&lt;1,0,IFERROR(LOOKUP(2,1/(Amendoim!$E80:INDEX(Amendoim!$E80:$Z80,MIN(AT$6-$E$3,22))&lt;&gt;""),Amendoim!$E80:INDEX(Amendoim!$E80:$Z80,MIN(AT$6-$E$3,22))),0))-IF($G$2,0,IF((AT$6-$G$3)&lt;1,0,IFERROR(LOOKUP(2,1/(Amendoim!$E80:INDEX(Amendoim!$E80:$Z80,MIN(AT$6-$G$3,22))&lt;&gt;""),Amendoim!$E80:INDEX(Amendoim!$E80:$Z80,MIN(AT$6-$G$3,22))),0)))))</f>
        <v>0</v>
      </c>
      <c r="AU82" s="27" t="n">
        <f aca="false">IF(COUNT(Amendoim!$E80:$Z80)=0,0,MAX(0,IF((AU$6-$E$3)&lt;1,0,IFERROR(LOOKUP(2,1/(Amendoim!$E80:INDEX(Amendoim!$E80:$Z80,MIN(AU$6-$E$3,22))&lt;&gt;""),Amendoim!$E80:INDEX(Amendoim!$E80:$Z80,MIN(AU$6-$E$3,22))),0))-IF($G$2,0,IF((AU$6-$G$3)&lt;1,0,IFERROR(LOOKUP(2,1/(Amendoim!$E80:INDEX(Amendoim!$E80:$Z80,MIN(AU$6-$G$3,22))&lt;&gt;""),Amendoim!$E80:INDEX(Amendoim!$E80:$Z80,MIN(AU$6-$G$3,22))),0)))))</f>
        <v>0</v>
      </c>
      <c r="AV82" s="27" t="n">
        <f aca="false">IF(COUNT(Amendoim!$E80:$Z80)=0,0,MAX(0,IF((AV$6-$E$3)&lt;1,0,IFERROR(LOOKUP(2,1/(Amendoim!$E80:INDEX(Amendoim!$E80:$Z80,MIN(AV$6-$E$3,22))&lt;&gt;""),Amendoim!$E80:INDEX(Amendoim!$E80:$Z80,MIN(AV$6-$E$3,22))),0))-IF($G$2,0,IF((AV$6-$G$3)&lt;1,0,IFERROR(LOOKUP(2,1/(Amendoim!$E80:INDEX(Amendoim!$E80:$Z80,MIN(AV$6-$G$3,22))&lt;&gt;""),Amendoim!$E80:INDEX(Amendoim!$E80:$Z80,MIN(AV$6-$G$3,22))),0)))))</f>
        <v>0</v>
      </c>
      <c r="AW82" s="27" t="n">
        <f aca="false">IF(COUNT(Amendoim!$E80:$Z80)=0,0,MAX(0,IF((AW$6-$E$3)&lt;1,0,IFERROR(LOOKUP(2,1/(Amendoim!$E80:INDEX(Amendoim!$E80:$Z80,MIN(AW$6-$E$3,22))&lt;&gt;""),Amendoim!$E80:INDEX(Amendoim!$E80:$Z80,MIN(AW$6-$E$3,22))),0))-IF($G$2,0,IF((AW$6-$G$3)&lt;1,0,IFERROR(LOOKUP(2,1/(Amendoim!$E80:INDEX(Amendoim!$E80:$Z80,MIN(AW$6-$G$3,22))&lt;&gt;""),Amendoim!$E80:INDEX(Amendoim!$E80:$Z80,MIN(AW$6-$G$3,22))),0)))))</f>
        <v>0</v>
      </c>
      <c r="AX82" s="27" t="n">
        <f aca="false">IF(COUNT(Amendoim!$E80:$Z80)=0,0,MAX(0,IF((AX$6-$E$3)&lt;1,0,IFERROR(LOOKUP(2,1/(Amendoim!$E80:INDEX(Amendoim!$E80:$Z80,MIN(AX$6-$E$3,22))&lt;&gt;""),Amendoim!$E80:INDEX(Amendoim!$E80:$Z80,MIN(AX$6-$E$3,22))),0))-IF($G$2,0,IF((AX$6-$G$3)&lt;1,0,IFERROR(LOOKUP(2,1/(Amendoim!$E80:INDEX(Amendoim!$E80:$Z80,MIN(AX$6-$G$3,22))&lt;&gt;""),Amendoim!$E80:INDEX(Amendoim!$E80:$Z80,MIN(AX$6-$G$3,22))),0)))))</f>
        <v>0</v>
      </c>
      <c r="AY82" s="27" t="n">
        <f aca="false">IF(COUNT(Amendoim!$E80:$Z80)=0,0,MAX(0,IF((AY$6-$E$3)&lt;1,0,IFERROR(LOOKUP(2,1/(Amendoim!$E80:INDEX(Amendoim!$E80:$Z80,MIN(AY$6-$E$3,22))&lt;&gt;""),Amendoim!$E80:INDEX(Amendoim!$E80:$Z80,MIN(AY$6-$E$3,22))),0))-IF($G$2,0,IF((AY$6-$G$3)&lt;1,0,IFERROR(LOOKUP(2,1/(Amendoim!$E80:INDEX(Amendoim!$E80:$Z80,MIN(AY$6-$G$3,22))&lt;&gt;""),Amendoim!$E80:INDEX(Amendoim!$E80:$Z80,MIN(AY$6-$G$3,22))),0)))))</f>
        <v>0</v>
      </c>
      <c r="AZ82" s="27" t="n">
        <f aca="false">IF(COUNT(Amendoim!$E80:$Z80)=0,0,MAX(0,IF((AZ$6-$E$3)&lt;1,0,IFERROR(LOOKUP(2,1/(Amendoim!$E80:INDEX(Amendoim!$E80:$Z80,MIN(AZ$6-$E$3,22))&lt;&gt;""),Amendoim!$E80:INDEX(Amendoim!$E80:$Z80,MIN(AZ$6-$E$3,22))),0))-IF($G$2,0,IF((AZ$6-$G$3)&lt;1,0,IFERROR(LOOKUP(2,1/(Amendoim!$E80:INDEX(Amendoim!$E80:$Z80,MIN(AZ$6-$G$3,22))&lt;&gt;""),Amendoim!$E80:INDEX(Amendoim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IF(COUNT(Amendoim!$E81:$Z81)&gt;0,N(Amendoim!$D81),0)</f>
        <v>0</v>
      </c>
      <c r="E83" s="27" t="n">
        <f aca="false">IF(COUNT(Amendoim!$E81:$Z81)=0,0,MAX(0,IF((E$6-$E$3)&lt;1,0,IFERROR(LOOKUP(2,1/(Amendoim!$E81:INDEX(Amendoim!$E81:$Z81,MIN(E$6-$E$3,22))&lt;&gt;""),Amendoim!$E81:INDEX(Amendoim!$E81:$Z81,MIN(E$6-$E$3,22))),0))-IF($G$2,0,IF((E$6-$G$3)&lt;1,0,IFERROR(LOOKUP(2,1/(Amendoim!$E81:INDEX(Amendoim!$E81:$Z81,MIN(E$6-$G$3,22))&lt;&gt;""),Amendoim!$E81:INDEX(Amendoim!$E81:$Z81,MIN(E$6-$G$3,22))),0)))))</f>
        <v>0</v>
      </c>
      <c r="F83" s="27" t="n">
        <f aca="false">IF(COUNT(Amendoim!$E81:$Z81)=0,0,MAX(0,IF((F$6-$E$3)&lt;1,0,IFERROR(LOOKUP(2,1/(Amendoim!$E81:INDEX(Amendoim!$E81:$Z81,MIN(F$6-$E$3,22))&lt;&gt;""),Amendoim!$E81:INDEX(Amendoim!$E81:$Z81,MIN(F$6-$E$3,22))),0))-IF($G$2,0,IF((F$6-$G$3)&lt;1,0,IFERROR(LOOKUP(2,1/(Amendoim!$E81:INDEX(Amendoim!$E81:$Z81,MIN(F$6-$G$3,22))&lt;&gt;""),Amendoim!$E81:INDEX(Amendoim!$E81:$Z81,MIN(F$6-$G$3,22))),0)))))</f>
        <v>0</v>
      </c>
      <c r="G83" s="27" t="n">
        <f aca="false">IF(COUNT(Amendoim!$E81:$Z81)=0,0,MAX(0,IF((G$6-$E$3)&lt;1,0,IFERROR(LOOKUP(2,1/(Amendoim!$E81:INDEX(Amendoim!$E81:$Z81,MIN(G$6-$E$3,22))&lt;&gt;""),Amendoim!$E81:INDEX(Amendoim!$E81:$Z81,MIN(G$6-$E$3,22))),0))-IF($G$2,0,IF((G$6-$G$3)&lt;1,0,IFERROR(LOOKUP(2,1/(Amendoim!$E81:INDEX(Amendoim!$E81:$Z81,MIN(G$6-$G$3,22))&lt;&gt;""),Amendoim!$E81:INDEX(Amendoim!$E81:$Z81,MIN(G$6-$G$3,22))),0)))))</f>
        <v>0</v>
      </c>
      <c r="H83" s="27" t="n">
        <f aca="false">IF(COUNT(Amendoim!$E81:$Z81)=0,0,MAX(0,IF((H$6-$E$3)&lt;1,0,IFERROR(LOOKUP(2,1/(Amendoim!$E81:INDEX(Amendoim!$E81:$Z81,MIN(H$6-$E$3,22))&lt;&gt;""),Amendoim!$E81:INDEX(Amendoim!$E81:$Z81,MIN(H$6-$E$3,22))),0))-IF($G$2,0,IF((H$6-$G$3)&lt;1,0,IFERROR(LOOKUP(2,1/(Amendoim!$E81:INDEX(Amendoim!$E81:$Z81,MIN(H$6-$G$3,22))&lt;&gt;""),Amendoim!$E81:INDEX(Amendoim!$E81:$Z81,MIN(H$6-$G$3,22))),0)))))</f>
        <v>0</v>
      </c>
      <c r="I83" s="27" t="n">
        <f aca="false">IF(COUNT(Amendoim!$E81:$Z81)=0,0,MAX(0,IF((I$6-$E$3)&lt;1,0,IFERROR(LOOKUP(2,1/(Amendoim!$E81:INDEX(Amendoim!$E81:$Z81,MIN(I$6-$E$3,22))&lt;&gt;""),Amendoim!$E81:INDEX(Amendoim!$E81:$Z81,MIN(I$6-$E$3,22))),0))-IF($G$2,0,IF((I$6-$G$3)&lt;1,0,IFERROR(LOOKUP(2,1/(Amendoim!$E81:INDEX(Amendoim!$E81:$Z81,MIN(I$6-$G$3,22))&lt;&gt;""),Amendoim!$E81:INDEX(Amendoim!$E81:$Z81,MIN(I$6-$G$3,22))),0)))))</f>
        <v>0</v>
      </c>
      <c r="J83" s="27" t="n">
        <f aca="false">IF(COUNT(Amendoim!$E81:$Z81)=0,0,MAX(0,IF((J$6-$E$3)&lt;1,0,IFERROR(LOOKUP(2,1/(Amendoim!$E81:INDEX(Amendoim!$E81:$Z81,MIN(J$6-$E$3,22))&lt;&gt;""),Amendoim!$E81:INDEX(Amendoim!$E81:$Z81,MIN(J$6-$E$3,22))),0))-IF($G$2,0,IF((J$6-$G$3)&lt;1,0,IFERROR(LOOKUP(2,1/(Amendoim!$E81:INDEX(Amendoim!$E81:$Z81,MIN(J$6-$G$3,22))&lt;&gt;""),Amendoim!$E81:INDEX(Amendoim!$E81:$Z81,MIN(J$6-$G$3,22))),0)))))</f>
        <v>0</v>
      </c>
      <c r="K83" s="27" t="n">
        <f aca="false">IF(COUNT(Amendoim!$E81:$Z81)=0,0,MAX(0,IF((K$6-$E$3)&lt;1,0,IFERROR(LOOKUP(2,1/(Amendoim!$E81:INDEX(Amendoim!$E81:$Z81,MIN(K$6-$E$3,22))&lt;&gt;""),Amendoim!$E81:INDEX(Amendoim!$E81:$Z81,MIN(K$6-$E$3,22))),0))-IF($G$2,0,IF((K$6-$G$3)&lt;1,0,IFERROR(LOOKUP(2,1/(Amendoim!$E81:INDEX(Amendoim!$E81:$Z81,MIN(K$6-$G$3,22))&lt;&gt;""),Amendoim!$E81:INDEX(Amendoim!$E81:$Z81,MIN(K$6-$G$3,22))),0)))))</f>
        <v>0</v>
      </c>
      <c r="L83" s="27" t="n">
        <f aca="false">IF(COUNT(Amendoim!$E81:$Z81)=0,0,MAX(0,IF((L$6-$E$3)&lt;1,0,IFERROR(LOOKUP(2,1/(Amendoim!$E81:INDEX(Amendoim!$E81:$Z81,MIN(L$6-$E$3,22))&lt;&gt;""),Amendoim!$E81:INDEX(Amendoim!$E81:$Z81,MIN(L$6-$E$3,22))),0))-IF($G$2,0,IF((L$6-$G$3)&lt;1,0,IFERROR(LOOKUP(2,1/(Amendoim!$E81:INDEX(Amendoim!$E81:$Z81,MIN(L$6-$G$3,22))&lt;&gt;""),Amendoim!$E81:INDEX(Amendoim!$E81:$Z81,MIN(L$6-$G$3,22))),0)))))</f>
        <v>0</v>
      </c>
      <c r="M83" s="27" t="n">
        <f aca="false">IF(COUNT(Amendoim!$E81:$Z81)=0,0,MAX(0,IF((M$6-$E$3)&lt;1,0,IFERROR(LOOKUP(2,1/(Amendoim!$E81:INDEX(Amendoim!$E81:$Z81,MIN(M$6-$E$3,22))&lt;&gt;""),Amendoim!$E81:INDEX(Amendoim!$E81:$Z81,MIN(M$6-$E$3,22))),0))-IF($G$2,0,IF((M$6-$G$3)&lt;1,0,IFERROR(LOOKUP(2,1/(Amendoim!$E81:INDEX(Amendoim!$E81:$Z81,MIN(M$6-$G$3,22))&lt;&gt;""),Amendoim!$E81:INDEX(Amendoim!$E81:$Z81,MIN(M$6-$G$3,22))),0)))))</f>
        <v>0</v>
      </c>
      <c r="N83" s="27" t="n">
        <f aca="false">IF(COUNT(Amendoim!$E81:$Z81)=0,0,MAX(0,IF((N$6-$E$3)&lt;1,0,IFERROR(LOOKUP(2,1/(Amendoim!$E81:INDEX(Amendoim!$E81:$Z81,MIN(N$6-$E$3,22))&lt;&gt;""),Amendoim!$E81:INDEX(Amendoim!$E81:$Z81,MIN(N$6-$E$3,22))),0))-IF($G$2,0,IF((N$6-$G$3)&lt;1,0,IFERROR(LOOKUP(2,1/(Amendoim!$E81:INDEX(Amendoim!$E81:$Z81,MIN(N$6-$G$3,22))&lt;&gt;""),Amendoim!$E81:INDEX(Amendoim!$E81:$Z81,MIN(N$6-$G$3,22))),0)))))</f>
        <v>0</v>
      </c>
      <c r="O83" s="27" t="n">
        <f aca="false">IF(COUNT(Amendoim!$E81:$Z81)=0,0,MAX(0,IF((O$6-$E$3)&lt;1,0,IFERROR(LOOKUP(2,1/(Amendoim!$E81:INDEX(Amendoim!$E81:$Z81,MIN(O$6-$E$3,22))&lt;&gt;""),Amendoim!$E81:INDEX(Amendoim!$E81:$Z81,MIN(O$6-$E$3,22))),0))-IF($G$2,0,IF((O$6-$G$3)&lt;1,0,IFERROR(LOOKUP(2,1/(Amendoim!$E81:INDEX(Amendoim!$E81:$Z81,MIN(O$6-$G$3,22))&lt;&gt;""),Amendoim!$E81:INDEX(Amendoim!$E81:$Z81,MIN(O$6-$G$3,22))),0)))))</f>
        <v>0</v>
      </c>
      <c r="P83" s="27" t="n">
        <f aca="false">IF(COUNT(Amendoim!$E81:$Z81)=0,0,MAX(0,IF((P$6-$E$3)&lt;1,0,IFERROR(LOOKUP(2,1/(Amendoim!$E81:INDEX(Amendoim!$E81:$Z81,MIN(P$6-$E$3,22))&lt;&gt;""),Amendoim!$E81:INDEX(Amendoim!$E81:$Z81,MIN(P$6-$E$3,22))),0))-IF($G$2,0,IF((P$6-$G$3)&lt;1,0,IFERROR(LOOKUP(2,1/(Amendoim!$E81:INDEX(Amendoim!$E81:$Z81,MIN(P$6-$G$3,22))&lt;&gt;""),Amendoim!$E81:INDEX(Amendoim!$E81:$Z81,MIN(P$6-$G$3,22))),0)))))</f>
        <v>0</v>
      </c>
      <c r="Q83" s="27" t="n">
        <f aca="false">IF(COUNT(Amendoim!$E81:$Z81)=0,0,MAX(0,IF((Q$6-$E$3)&lt;1,0,IFERROR(LOOKUP(2,1/(Amendoim!$E81:INDEX(Amendoim!$E81:$Z81,MIN(Q$6-$E$3,22))&lt;&gt;""),Amendoim!$E81:INDEX(Amendoim!$E81:$Z81,MIN(Q$6-$E$3,22))),0))-IF($G$2,0,IF((Q$6-$G$3)&lt;1,0,IFERROR(LOOKUP(2,1/(Amendoim!$E81:INDEX(Amendoim!$E81:$Z81,MIN(Q$6-$G$3,22))&lt;&gt;""),Amendoim!$E81:INDEX(Amendoim!$E81:$Z81,MIN(Q$6-$G$3,22))),0)))))</f>
        <v>0</v>
      </c>
      <c r="R83" s="27" t="n">
        <f aca="false">IF(COUNT(Amendoim!$E81:$Z81)=0,0,MAX(0,IF((R$6-$E$3)&lt;1,0,IFERROR(LOOKUP(2,1/(Amendoim!$E81:INDEX(Amendoim!$E81:$Z81,MIN(R$6-$E$3,22))&lt;&gt;""),Amendoim!$E81:INDEX(Amendoim!$E81:$Z81,MIN(R$6-$E$3,22))),0))-IF($G$2,0,IF((R$6-$G$3)&lt;1,0,IFERROR(LOOKUP(2,1/(Amendoim!$E81:INDEX(Amendoim!$E81:$Z81,MIN(R$6-$G$3,22))&lt;&gt;""),Amendoim!$E81:INDEX(Amendoim!$E81:$Z81,MIN(R$6-$G$3,22))),0)))))</f>
        <v>0</v>
      </c>
      <c r="S83" s="27" t="n">
        <f aca="false">IF(COUNT(Amendoim!$E81:$Z81)=0,0,MAX(0,IF((S$6-$E$3)&lt;1,0,IFERROR(LOOKUP(2,1/(Amendoim!$E81:INDEX(Amendoim!$E81:$Z81,MIN(S$6-$E$3,22))&lt;&gt;""),Amendoim!$E81:INDEX(Amendoim!$E81:$Z81,MIN(S$6-$E$3,22))),0))-IF($G$2,0,IF((S$6-$G$3)&lt;1,0,IFERROR(LOOKUP(2,1/(Amendoim!$E81:INDEX(Amendoim!$E81:$Z81,MIN(S$6-$G$3,22))&lt;&gt;""),Amendoim!$E81:INDEX(Amendoim!$E81:$Z81,MIN(S$6-$G$3,22))),0)))))</f>
        <v>0</v>
      </c>
      <c r="T83" s="27" t="n">
        <f aca="false">IF(COUNT(Amendoim!$E81:$Z81)=0,0,MAX(0,IF((T$6-$E$3)&lt;1,0,IFERROR(LOOKUP(2,1/(Amendoim!$E81:INDEX(Amendoim!$E81:$Z81,MIN(T$6-$E$3,22))&lt;&gt;""),Amendoim!$E81:INDEX(Amendoim!$E81:$Z81,MIN(T$6-$E$3,22))),0))-IF($G$2,0,IF((T$6-$G$3)&lt;1,0,IFERROR(LOOKUP(2,1/(Amendoim!$E81:INDEX(Amendoim!$E81:$Z81,MIN(T$6-$G$3,22))&lt;&gt;""),Amendoim!$E81:INDEX(Amendoim!$E81:$Z81,MIN(T$6-$G$3,22))),0)))))</f>
        <v>0</v>
      </c>
      <c r="U83" s="27" t="n">
        <f aca="false">IF(COUNT(Amendoim!$E81:$Z81)=0,0,MAX(0,IF((U$6-$E$3)&lt;1,0,IFERROR(LOOKUP(2,1/(Amendoim!$E81:INDEX(Amendoim!$E81:$Z81,MIN(U$6-$E$3,22))&lt;&gt;""),Amendoim!$E81:INDEX(Amendoim!$E81:$Z81,MIN(U$6-$E$3,22))),0))-IF($G$2,0,IF((U$6-$G$3)&lt;1,0,IFERROR(LOOKUP(2,1/(Amendoim!$E81:INDEX(Amendoim!$E81:$Z81,MIN(U$6-$G$3,22))&lt;&gt;""),Amendoim!$E81:INDEX(Amendoim!$E81:$Z81,MIN(U$6-$G$3,22))),0)))))</f>
        <v>0</v>
      </c>
      <c r="V83" s="27" t="n">
        <f aca="false">IF(COUNT(Amendoim!$E81:$Z81)=0,0,MAX(0,IF((V$6-$E$3)&lt;1,0,IFERROR(LOOKUP(2,1/(Amendoim!$E81:INDEX(Amendoim!$E81:$Z81,MIN(V$6-$E$3,22))&lt;&gt;""),Amendoim!$E81:INDEX(Amendoim!$E81:$Z81,MIN(V$6-$E$3,22))),0))-IF($G$2,0,IF((V$6-$G$3)&lt;1,0,IFERROR(LOOKUP(2,1/(Amendoim!$E81:INDEX(Amendoim!$E81:$Z81,MIN(V$6-$G$3,22))&lt;&gt;""),Amendoim!$E81:INDEX(Amendoim!$E81:$Z81,MIN(V$6-$G$3,22))),0)))))</f>
        <v>0</v>
      </c>
      <c r="W83" s="27" t="n">
        <f aca="false">IF(COUNT(Amendoim!$E81:$Z81)=0,0,MAX(0,IF((W$6-$E$3)&lt;1,0,IFERROR(LOOKUP(2,1/(Amendoim!$E81:INDEX(Amendoim!$E81:$Z81,MIN(W$6-$E$3,22))&lt;&gt;""),Amendoim!$E81:INDEX(Amendoim!$E81:$Z81,MIN(W$6-$E$3,22))),0))-IF($G$2,0,IF((W$6-$G$3)&lt;1,0,IFERROR(LOOKUP(2,1/(Amendoim!$E81:INDEX(Amendoim!$E81:$Z81,MIN(W$6-$G$3,22))&lt;&gt;""),Amendoim!$E81:INDEX(Amendoim!$E81:$Z81,MIN(W$6-$G$3,22))),0)))))</f>
        <v>0</v>
      </c>
      <c r="X83" s="27" t="n">
        <f aca="false">IF(COUNT(Amendoim!$E81:$Z81)=0,0,MAX(0,IF((X$6-$E$3)&lt;1,0,IFERROR(LOOKUP(2,1/(Amendoim!$E81:INDEX(Amendoim!$E81:$Z81,MIN(X$6-$E$3,22))&lt;&gt;""),Amendoim!$E81:INDEX(Amendoim!$E81:$Z81,MIN(X$6-$E$3,22))),0))-IF($G$2,0,IF((X$6-$G$3)&lt;1,0,IFERROR(LOOKUP(2,1/(Amendoim!$E81:INDEX(Amendoim!$E81:$Z81,MIN(X$6-$G$3,22))&lt;&gt;""),Amendoim!$E81:INDEX(Amendoim!$E81:$Z81,MIN(X$6-$G$3,22))),0)))))</f>
        <v>0</v>
      </c>
      <c r="Y83" s="27" t="n">
        <f aca="false">IF(COUNT(Amendoim!$E81:$Z81)=0,0,MAX(0,IF((Y$6-$E$3)&lt;1,0,IFERROR(LOOKUP(2,1/(Amendoim!$E81:INDEX(Amendoim!$E81:$Z81,MIN(Y$6-$E$3,22))&lt;&gt;""),Amendoim!$E81:INDEX(Amendoim!$E81:$Z81,MIN(Y$6-$E$3,22))),0))-IF($G$2,0,IF((Y$6-$G$3)&lt;1,0,IFERROR(LOOKUP(2,1/(Amendoim!$E81:INDEX(Amendoim!$E81:$Z81,MIN(Y$6-$G$3,22))&lt;&gt;""),Amendoim!$E81:INDEX(Amendoim!$E81:$Z81,MIN(Y$6-$G$3,22))),0)))))</f>
        <v>0</v>
      </c>
      <c r="Z83" s="27" t="n">
        <f aca="false">IF(COUNT(Amendoim!$E81:$Z81)=0,0,MAX(0,IF((Z$6-$E$3)&lt;1,0,IFERROR(LOOKUP(2,1/(Amendoim!$E81:INDEX(Amendoim!$E81:$Z81,MIN(Z$6-$E$3,22))&lt;&gt;""),Amendoim!$E81:INDEX(Amendoim!$E81:$Z81,MIN(Z$6-$E$3,22))),0))-IF($G$2,0,IF((Z$6-$G$3)&lt;1,0,IFERROR(LOOKUP(2,1/(Amendoim!$E81:INDEX(Amendoim!$E81:$Z81,MIN(Z$6-$G$3,22))&lt;&gt;""),Amendoim!$E81:INDEX(Amendoim!$E81:$Z81,MIN(Z$6-$G$3,22))),0)))))</f>
        <v>0</v>
      </c>
      <c r="AA83" s="27" t="n">
        <f aca="false">IF(COUNT(Amendoim!$E81:$Z81)=0,0,MAX(0,IF((AA$6-$E$3)&lt;1,0,IFERROR(LOOKUP(2,1/(Amendoim!$E81:INDEX(Amendoim!$E81:$Z81,MIN(AA$6-$E$3,22))&lt;&gt;""),Amendoim!$E81:INDEX(Amendoim!$E81:$Z81,MIN(AA$6-$E$3,22))),0))-IF($G$2,0,IF((AA$6-$G$3)&lt;1,0,IFERROR(LOOKUP(2,1/(Amendoim!$E81:INDEX(Amendoim!$E81:$Z81,MIN(AA$6-$G$3,22))&lt;&gt;""),Amendoim!$E81:INDEX(Amendoim!$E81:$Z81,MIN(AA$6-$G$3,22))),0)))))</f>
        <v>0</v>
      </c>
      <c r="AB83" s="27" t="n">
        <f aca="false">IF(COUNT(Amendoim!$E81:$Z81)=0,0,MAX(0,IF((AB$6-$E$3)&lt;1,0,IFERROR(LOOKUP(2,1/(Amendoim!$E81:INDEX(Amendoim!$E81:$Z81,MIN(AB$6-$E$3,22))&lt;&gt;""),Amendoim!$E81:INDEX(Amendoim!$E81:$Z81,MIN(AB$6-$E$3,22))),0))-IF($G$2,0,IF((AB$6-$G$3)&lt;1,0,IFERROR(LOOKUP(2,1/(Amendoim!$E81:INDEX(Amendoim!$E81:$Z81,MIN(AB$6-$G$3,22))&lt;&gt;""),Amendoim!$E81:INDEX(Amendoim!$E81:$Z81,MIN(AB$6-$G$3,22))),0)))))</f>
        <v>0</v>
      </c>
      <c r="AC83" s="27" t="n">
        <f aca="false">IF(COUNT(Amendoim!$E81:$Z81)=0,0,MAX(0,IF((AC$6-$E$3)&lt;1,0,IFERROR(LOOKUP(2,1/(Amendoim!$E81:INDEX(Amendoim!$E81:$Z81,MIN(AC$6-$E$3,22))&lt;&gt;""),Amendoim!$E81:INDEX(Amendoim!$E81:$Z81,MIN(AC$6-$E$3,22))),0))-IF($G$2,0,IF((AC$6-$G$3)&lt;1,0,IFERROR(LOOKUP(2,1/(Amendoim!$E81:INDEX(Amendoim!$E81:$Z81,MIN(AC$6-$G$3,22))&lt;&gt;""),Amendoim!$E81:INDEX(Amendoim!$E81:$Z81,MIN(AC$6-$G$3,22))),0)))))</f>
        <v>0</v>
      </c>
      <c r="AD83" s="27" t="n">
        <f aca="false">IF(COUNT(Amendoim!$E81:$Z81)=0,0,MAX(0,IF((AD$6-$E$3)&lt;1,0,IFERROR(LOOKUP(2,1/(Amendoim!$E81:INDEX(Amendoim!$E81:$Z81,MIN(AD$6-$E$3,22))&lt;&gt;""),Amendoim!$E81:INDEX(Amendoim!$E81:$Z81,MIN(AD$6-$E$3,22))),0))-IF($G$2,0,IF((AD$6-$G$3)&lt;1,0,IFERROR(LOOKUP(2,1/(Amendoim!$E81:INDEX(Amendoim!$E81:$Z81,MIN(AD$6-$G$3,22))&lt;&gt;""),Amendoim!$E81:INDEX(Amendoim!$E81:$Z81,MIN(AD$6-$G$3,22))),0)))))</f>
        <v>0</v>
      </c>
      <c r="AE83" s="27" t="n">
        <f aca="false">IF(COUNT(Amendoim!$E81:$Z81)=0,0,MAX(0,IF((AE$6-$E$3)&lt;1,0,IFERROR(LOOKUP(2,1/(Amendoim!$E81:INDEX(Amendoim!$E81:$Z81,MIN(AE$6-$E$3,22))&lt;&gt;""),Amendoim!$E81:INDEX(Amendoim!$E81:$Z81,MIN(AE$6-$E$3,22))),0))-IF($G$2,0,IF((AE$6-$G$3)&lt;1,0,IFERROR(LOOKUP(2,1/(Amendoim!$E81:INDEX(Amendoim!$E81:$Z81,MIN(AE$6-$G$3,22))&lt;&gt;""),Amendoim!$E81:INDEX(Amendoim!$E81:$Z81,MIN(AE$6-$G$3,22))),0)))))</f>
        <v>0</v>
      </c>
      <c r="AF83" s="27" t="n">
        <f aca="false">IF(COUNT(Amendoim!$E81:$Z81)=0,0,MAX(0,IF((AF$6-$E$3)&lt;1,0,IFERROR(LOOKUP(2,1/(Amendoim!$E81:INDEX(Amendoim!$E81:$Z81,MIN(AF$6-$E$3,22))&lt;&gt;""),Amendoim!$E81:INDEX(Amendoim!$E81:$Z81,MIN(AF$6-$E$3,22))),0))-IF($G$2,0,IF((AF$6-$G$3)&lt;1,0,IFERROR(LOOKUP(2,1/(Amendoim!$E81:INDEX(Amendoim!$E81:$Z81,MIN(AF$6-$G$3,22))&lt;&gt;""),Amendoim!$E81:INDEX(Amendoim!$E81:$Z81,MIN(AF$6-$G$3,22))),0)))))</f>
        <v>0</v>
      </c>
      <c r="AG83" s="27" t="n">
        <f aca="false">IF(COUNT(Amendoim!$E81:$Z81)=0,0,MAX(0,IF((AG$6-$E$3)&lt;1,0,IFERROR(LOOKUP(2,1/(Amendoim!$E81:INDEX(Amendoim!$E81:$Z81,MIN(AG$6-$E$3,22))&lt;&gt;""),Amendoim!$E81:INDEX(Amendoim!$E81:$Z81,MIN(AG$6-$E$3,22))),0))-IF($G$2,0,IF((AG$6-$G$3)&lt;1,0,IFERROR(LOOKUP(2,1/(Amendoim!$E81:INDEX(Amendoim!$E81:$Z81,MIN(AG$6-$G$3,22))&lt;&gt;""),Amendoim!$E81:INDEX(Amendoim!$E81:$Z81,MIN(AG$6-$G$3,22))),0)))))</f>
        <v>0</v>
      </c>
      <c r="AH83" s="27" t="n">
        <f aca="false">IF(COUNT(Amendoim!$E81:$Z81)=0,0,MAX(0,IF((AH$6-$E$3)&lt;1,0,IFERROR(LOOKUP(2,1/(Amendoim!$E81:INDEX(Amendoim!$E81:$Z81,MIN(AH$6-$E$3,22))&lt;&gt;""),Amendoim!$E81:INDEX(Amendoim!$E81:$Z81,MIN(AH$6-$E$3,22))),0))-IF($G$2,0,IF((AH$6-$G$3)&lt;1,0,IFERROR(LOOKUP(2,1/(Amendoim!$E81:INDEX(Amendoim!$E81:$Z81,MIN(AH$6-$G$3,22))&lt;&gt;""),Amendoim!$E81:INDEX(Amendoim!$E81:$Z81,MIN(AH$6-$G$3,22))),0)))))</f>
        <v>0</v>
      </c>
      <c r="AI83" s="27" t="n">
        <f aca="false">IF(COUNT(Amendoim!$E81:$Z81)=0,0,MAX(0,IF((AI$6-$E$3)&lt;1,0,IFERROR(LOOKUP(2,1/(Amendoim!$E81:INDEX(Amendoim!$E81:$Z81,MIN(AI$6-$E$3,22))&lt;&gt;""),Amendoim!$E81:INDEX(Amendoim!$E81:$Z81,MIN(AI$6-$E$3,22))),0))-IF($G$2,0,IF((AI$6-$G$3)&lt;1,0,IFERROR(LOOKUP(2,1/(Amendoim!$E81:INDEX(Amendoim!$E81:$Z81,MIN(AI$6-$G$3,22))&lt;&gt;""),Amendoim!$E81:INDEX(Amendoim!$E81:$Z81,MIN(AI$6-$G$3,22))),0)))))</f>
        <v>0</v>
      </c>
      <c r="AJ83" s="27" t="n">
        <f aca="false">IF(COUNT(Amendoim!$E81:$Z81)=0,0,MAX(0,IF((AJ$6-$E$3)&lt;1,0,IFERROR(LOOKUP(2,1/(Amendoim!$E81:INDEX(Amendoim!$E81:$Z81,MIN(AJ$6-$E$3,22))&lt;&gt;""),Amendoim!$E81:INDEX(Amendoim!$E81:$Z81,MIN(AJ$6-$E$3,22))),0))-IF($G$2,0,IF((AJ$6-$G$3)&lt;1,0,IFERROR(LOOKUP(2,1/(Amendoim!$E81:INDEX(Amendoim!$E81:$Z81,MIN(AJ$6-$G$3,22))&lt;&gt;""),Amendoim!$E81:INDEX(Amendoim!$E81:$Z81,MIN(AJ$6-$G$3,22))),0)))))</f>
        <v>0</v>
      </c>
      <c r="AK83" s="27" t="n">
        <f aca="false">IF(COUNT(Amendoim!$E81:$Z81)=0,0,MAX(0,IF((AK$6-$E$3)&lt;1,0,IFERROR(LOOKUP(2,1/(Amendoim!$E81:INDEX(Amendoim!$E81:$Z81,MIN(AK$6-$E$3,22))&lt;&gt;""),Amendoim!$E81:INDEX(Amendoim!$E81:$Z81,MIN(AK$6-$E$3,22))),0))-IF($G$2,0,IF((AK$6-$G$3)&lt;1,0,IFERROR(LOOKUP(2,1/(Amendoim!$E81:INDEX(Amendoim!$E81:$Z81,MIN(AK$6-$G$3,22))&lt;&gt;""),Amendoim!$E81:INDEX(Amendoim!$E81:$Z81,MIN(AK$6-$G$3,22))),0)))))</f>
        <v>0</v>
      </c>
      <c r="AL83" s="27" t="n">
        <f aca="false">IF(COUNT(Amendoim!$E81:$Z81)=0,0,MAX(0,IF((AL$6-$E$3)&lt;1,0,IFERROR(LOOKUP(2,1/(Amendoim!$E81:INDEX(Amendoim!$E81:$Z81,MIN(AL$6-$E$3,22))&lt;&gt;""),Amendoim!$E81:INDEX(Amendoim!$E81:$Z81,MIN(AL$6-$E$3,22))),0))-IF($G$2,0,IF((AL$6-$G$3)&lt;1,0,IFERROR(LOOKUP(2,1/(Amendoim!$E81:INDEX(Amendoim!$E81:$Z81,MIN(AL$6-$G$3,22))&lt;&gt;""),Amendoim!$E81:INDEX(Amendoim!$E81:$Z81,MIN(AL$6-$G$3,22))),0)))))</f>
        <v>0</v>
      </c>
      <c r="AM83" s="27" t="n">
        <f aca="false">IF(COUNT(Amendoim!$E81:$Z81)=0,0,MAX(0,IF((AM$6-$E$3)&lt;1,0,IFERROR(LOOKUP(2,1/(Amendoim!$E81:INDEX(Amendoim!$E81:$Z81,MIN(AM$6-$E$3,22))&lt;&gt;""),Amendoim!$E81:INDEX(Amendoim!$E81:$Z81,MIN(AM$6-$E$3,22))),0))-IF($G$2,0,IF((AM$6-$G$3)&lt;1,0,IFERROR(LOOKUP(2,1/(Amendoim!$E81:INDEX(Amendoim!$E81:$Z81,MIN(AM$6-$G$3,22))&lt;&gt;""),Amendoim!$E81:INDEX(Amendoim!$E81:$Z81,MIN(AM$6-$G$3,22))),0)))))</f>
        <v>0</v>
      </c>
      <c r="AN83" s="27" t="n">
        <f aca="false">IF(COUNT(Amendoim!$E81:$Z81)=0,0,MAX(0,IF((AN$6-$E$3)&lt;1,0,IFERROR(LOOKUP(2,1/(Amendoim!$E81:INDEX(Amendoim!$E81:$Z81,MIN(AN$6-$E$3,22))&lt;&gt;""),Amendoim!$E81:INDEX(Amendoim!$E81:$Z81,MIN(AN$6-$E$3,22))),0))-IF($G$2,0,IF((AN$6-$G$3)&lt;1,0,IFERROR(LOOKUP(2,1/(Amendoim!$E81:INDEX(Amendoim!$E81:$Z81,MIN(AN$6-$G$3,22))&lt;&gt;""),Amendoim!$E81:INDEX(Amendoim!$E81:$Z81,MIN(AN$6-$G$3,22))),0)))))</f>
        <v>0</v>
      </c>
      <c r="AO83" s="27" t="n">
        <f aca="false">IF(COUNT(Amendoim!$E81:$Z81)=0,0,MAX(0,IF((AO$6-$E$3)&lt;1,0,IFERROR(LOOKUP(2,1/(Amendoim!$E81:INDEX(Amendoim!$E81:$Z81,MIN(AO$6-$E$3,22))&lt;&gt;""),Amendoim!$E81:INDEX(Amendoim!$E81:$Z81,MIN(AO$6-$E$3,22))),0))-IF($G$2,0,IF((AO$6-$G$3)&lt;1,0,IFERROR(LOOKUP(2,1/(Amendoim!$E81:INDEX(Amendoim!$E81:$Z81,MIN(AO$6-$G$3,22))&lt;&gt;""),Amendoim!$E81:INDEX(Amendoim!$E81:$Z81,MIN(AO$6-$G$3,22))),0)))))</f>
        <v>0</v>
      </c>
      <c r="AP83" s="27" t="n">
        <f aca="false">IF(COUNT(Amendoim!$E81:$Z81)=0,0,MAX(0,IF((AP$6-$E$3)&lt;1,0,IFERROR(LOOKUP(2,1/(Amendoim!$E81:INDEX(Amendoim!$E81:$Z81,MIN(AP$6-$E$3,22))&lt;&gt;""),Amendoim!$E81:INDEX(Amendoim!$E81:$Z81,MIN(AP$6-$E$3,22))),0))-IF($G$2,0,IF((AP$6-$G$3)&lt;1,0,IFERROR(LOOKUP(2,1/(Amendoim!$E81:INDEX(Amendoim!$E81:$Z81,MIN(AP$6-$G$3,22))&lt;&gt;""),Amendoim!$E81:INDEX(Amendoim!$E81:$Z81,MIN(AP$6-$G$3,22))),0)))))</f>
        <v>0</v>
      </c>
      <c r="AQ83" s="27" t="n">
        <f aca="false">IF(COUNT(Amendoim!$E81:$Z81)=0,0,MAX(0,IF((AQ$6-$E$3)&lt;1,0,IFERROR(LOOKUP(2,1/(Amendoim!$E81:INDEX(Amendoim!$E81:$Z81,MIN(AQ$6-$E$3,22))&lt;&gt;""),Amendoim!$E81:INDEX(Amendoim!$E81:$Z81,MIN(AQ$6-$E$3,22))),0))-IF($G$2,0,IF((AQ$6-$G$3)&lt;1,0,IFERROR(LOOKUP(2,1/(Amendoim!$E81:INDEX(Amendoim!$E81:$Z81,MIN(AQ$6-$G$3,22))&lt;&gt;""),Amendoim!$E81:INDEX(Amendoim!$E81:$Z81,MIN(AQ$6-$G$3,22))),0)))))</f>
        <v>0</v>
      </c>
      <c r="AR83" s="27" t="n">
        <f aca="false">IF(COUNT(Amendoim!$E81:$Z81)=0,0,MAX(0,IF((AR$6-$E$3)&lt;1,0,IFERROR(LOOKUP(2,1/(Amendoim!$E81:INDEX(Amendoim!$E81:$Z81,MIN(AR$6-$E$3,22))&lt;&gt;""),Amendoim!$E81:INDEX(Amendoim!$E81:$Z81,MIN(AR$6-$E$3,22))),0))-IF($G$2,0,IF((AR$6-$G$3)&lt;1,0,IFERROR(LOOKUP(2,1/(Amendoim!$E81:INDEX(Amendoim!$E81:$Z81,MIN(AR$6-$G$3,22))&lt;&gt;""),Amendoim!$E81:INDEX(Amendoim!$E81:$Z81,MIN(AR$6-$G$3,22))),0)))))</f>
        <v>0</v>
      </c>
      <c r="AS83" s="27" t="n">
        <f aca="false">IF(COUNT(Amendoim!$E81:$Z81)=0,0,MAX(0,IF((AS$6-$E$3)&lt;1,0,IFERROR(LOOKUP(2,1/(Amendoim!$E81:INDEX(Amendoim!$E81:$Z81,MIN(AS$6-$E$3,22))&lt;&gt;""),Amendoim!$E81:INDEX(Amendoim!$E81:$Z81,MIN(AS$6-$E$3,22))),0))-IF($G$2,0,IF((AS$6-$G$3)&lt;1,0,IFERROR(LOOKUP(2,1/(Amendoim!$E81:INDEX(Amendoim!$E81:$Z81,MIN(AS$6-$G$3,22))&lt;&gt;""),Amendoim!$E81:INDEX(Amendoim!$E81:$Z81,MIN(AS$6-$G$3,22))),0)))))</f>
        <v>0</v>
      </c>
      <c r="AT83" s="27" t="n">
        <f aca="false">IF(COUNT(Amendoim!$E81:$Z81)=0,0,MAX(0,IF((AT$6-$E$3)&lt;1,0,IFERROR(LOOKUP(2,1/(Amendoim!$E81:INDEX(Amendoim!$E81:$Z81,MIN(AT$6-$E$3,22))&lt;&gt;""),Amendoim!$E81:INDEX(Amendoim!$E81:$Z81,MIN(AT$6-$E$3,22))),0))-IF($G$2,0,IF((AT$6-$G$3)&lt;1,0,IFERROR(LOOKUP(2,1/(Amendoim!$E81:INDEX(Amendoim!$E81:$Z81,MIN(AT$6-$G$3,22))&lt;&gt;""),Amendoim!$E81:INDEX(Amendoim!$E81:$Z81,MIN(AT$6-$G$3,22))),0)))))</f>
        <v>0</v>
      </c>
      <c r="AU83" s="27" t="n">
        <f aca="false">IF(COUNT(Amendoim!$E81:$Z81)=0,0,MAX(0,IF((AU$6-$E$3)&lt;1,0,IFERROR(LOOKUP(2,1/(Amendoim!$E81:INDEX(Amendoim!$E81:$Z81,MIN(AU$6-$E$3,22))&lt;&gt;""),Amendoim!$E81:INDEX(Amendoim!$E81:$Z81,MIN(AU$6-$E$3,22))),0))-IF($G$2,0,IF((AU$6-$G$3)&lt;1,0,IFERROR(LOOKUP(2,1/(Amendoim!$E81:INDEX(Amendoim!$E81:$Z81,MIN(AU$6-$G$3,22))&lt;&gt;""),Amendoim!$E81:INDEX(Amendoim!$E81:$Z81,MIN(AU$6-$G$3,22))),0)))))</f>
        <v>0</v>
      </c>
      <c r="AV83" s="27" t="n">
        <f aca="false">IF(COUNT(Amendoim!$E81:$Z81)=0,0,MAX(0,IF((AV$6-$E$3)&lt;1,0,IFERROR(LOOKUP(2,1/(Amendoim!$E81:INDEX(Amendoim!$E81:$Z81,MIN(AV$6-$E$3,22))&lt;&gt;""),Amendoim!$E81:INDEX(Amendoim!$E81:$Z81,MIN(AV$6-$E$3,22))),0))-IF($G$2,0,IF((AV$6-$G$3)&lt;1,0,IFERROR(LOOKUP(2,1/(Amendoim!$E81:INDEX(Amendoim!$E81:$Z81,MIN(AV$6-$G$3,22))&lt;&gt;""),Amendoim!$E81:INDEX(Amendoim!$E81:$Z81,MIN(AV$6-$G$3,22))),0)))))</f>
        <v>0</v>
      </c>
      <c r="AW83" s="27" t="n">
        <f aca="false">IF(COUNT(Amendoim!$E81:$Z81)=0,0,MAX(0,IF((AW$6-$E$3)&lt;1,0,IFERROR(LOOKUP(2,1/(Amendoim!$E81:INDEX(Amendoim!$E81:$Z81,MIN(AW$6-$E$3,22))&lt;&gt;""),Amendoim!$E81:INDEX(Amendoim!$E81:$Z81,MIN(AW$6-$E$3,22))),0))-IF($G$2,0,IF((AW$6-$G$3)&lt;1,0,IFERROR(LOOKUP(2,1/(Amendoim!$E81:INDEX(Amendoim!$E81:$Z81,MIN(AW$6-$G$3,22))&lt;&gt;""),Amendoim!$E81:INDEX(Amendoim!$E81:$Z81,MIN(AW$6-$G$3,22))),0)))))</f>
        <v>0</v>
      </c>
      <c r="AX83" s="27" t="n">
        <f aca="false">IF(COUNT(Amendoim!$E81:$Z81)=0,0,MAX(0,IF((AX$6-$E$3)&lt;1,0,IFERROR(LOOKUP(2,1/(Amendoim!$E81:INDEX(Amendoim!$E81:$Z81,MIN(AX$6-$E$3,22))&lt;&gt;""),Amendoim!$E81:INDEX(Amendoim!$E81:$Z81,MIN(AX$6-$E$3,22))),0))-IF($G$2,0,IF((AX$6-$G$3)&lt;1,0,IFERROR(LOOKUP(2,1/(Amendoim!$E81:INDEX(Amendoim!$E81:$Z81,MIN(AX$6-$G$3,22))&lt;&gt;""),Amendoim!$E81:INDEX(Amendoim!$E81:$Z81,MIN(AX$6-$G$3,22))),0)))))</f>
        <v>0</v>
      </c>
      <c r="AY83" s="27" t="n">
        <f aca="false">IF(COUNT(Amendoim!$E81:$Z81)=0,0,MAX(0,IF((AY$6-$E$3)&lt;1,0,IFERROR(LOOKUP(2,1/(Amendoim!$E81:INDEX(Amendoim!$E81:$Z81,MIN(AY$6-$E$3,22))&lt;&gt;""),Amendoim!$E81:INDEX(Amendoim!$E81:$Z81,MIN(AY$6-$E$3,22))),0))-IF($G$2,0,IF((AY$6-$G$3)&lt;1,0,IFERROR(LOOKUP(2,1/(Amendoim!$E81:INDEX(Amendoim!$E81:$Z81,MIN(AY$6-$G$3,22))&lt;&gt;""),Amendoim!$E81:INDEX(Amendoim!$E81:$Z81,MIN(AY$6-$G$3,22))),0)))))</f>
        <v>0</v>
      </c>
      <c r="AZ83" s="27" t="n">
        <f aca="false">IF(COUNT(Amendoim!$E81:$Z81)=0,0,MAX(0,IF((AZ$6-$E$3)&lt;1,0,IFERROR(LOOKUP(2,1/(Amendoim!$E81:INDEX(Amendoim!$E81:$Z81,MIN(AZ$6-$E$3,22))&lt;&gt;""),Amendoim!$E81:INDEX(Amendoim!$E81:$Z81,MIN(AZ$6-$E$3,22))),0))-IF($G$2,0,IF((AZ$6-$G$3)&lt;1,0,IFERROR(LOOKUP(2,1/(Amendoim!$E81:INDEX(Amendoim!$E81:$Z81,MIN(AZ$6-$G$3,22))&lt;&gt;""),Amendoim!$E81:INDEX(Amendoim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IF(COUNT(Amendoim!$E82:$Z82)&gt;0,N(Amendoim!$D82),0)</f>
        <v>0</v>
      </c>
      <c r="E84" s="27" t="n">
        <f aca="false">IF(COUNT(Amendoim!$E82:$Z82)=0,0,MAX(0,IF((E$6-$E$3)&lt;1,0,IFERROR(LOOKUP(2,1/(Amendoim!$E82:INDEX(Amendoim!$E82:$Z82,MIN(E$6-$E$3,22))&lt;&gt;""),Amendoim!$E82:INDEX(Amendoim!$E82:$Z82,MIN(E$6-$E$3,22))),0))-IF($G$2,0,IF((E$6-$G$3)&lt;1,0,IFERROR(LOOKUP(2,1/(Amendoim!$E82:INDEX(Amendoim!$E82:$Z82,MIN(E$6-$G$3,22))&lt;&gt;""),Amendoim!$E82:INDEX(Amendoim!$E82:$Z82,MIN(E$6-$G$3,22))),0)))))</f>
        <v>0</v>
      </c>
      <c r="F84" s="27" t="n">
        <f aca="false">IF(COUNT(Amendoim!$E82:$Z82)=0,0,MAX(0,IF((F$6-$E$3)&lt;1,0,IFERROR(LOOKUP(2,1/(Amendoim!$E82:INDEX(Amendoim!$E82:$Z82,MIN(F$6-$E$3,22))&lt;&gt;""),Amendoim!$E82:INDEX(Amendoim!$E82:$Z82,MIN(F$6-$E$3,22))),0))-IF($G$2,0,IF((F$6-$G$3)&lt;1,0,IFERROR(LOOKUP(2,1/(Amendoim!$E82:INDEX(Amendoim!$E82:$Z82,MIN(F$6-$G$3,22))&lt;&gt;""),Amendoim!$E82:INDEX(Amendoim!$E82:$Z82,MIN(F$6-$G$3,22))),0)))))</f>
        <v>0</v>
      </c>
      <c r="G84" s="27" t="n">
        <f aca="false">IF(COUNT(Amendoim!$E82:$Z82)=0,0,MAX(0,IF((G$6-$E$3)&lt;1,0,IFERROR(LOOKUP(2,1/(Amendoim!$E82:INDEX(Amendoim!$E82:$Z82,MIN(G$6-$E$3,22))&lt;&gt;""),Amendoim!$E82:INDEX(Amendoim!$E82:$Z82,MIN(G$6-$E$3,22))),0))-IF($G$2,0,IF((G$6-$G$3)&lt;1,0,IFERROR(LOOKUP(2,1/(Amendoim!$E82:INDEX(Amendoim!$E82:$Z82,MIN(G$6-$G$3,22))&lt;&gt;""),Amendoim!$E82:INDEX(Amendoim!$E82:$Z82,MIN(G$6-$G$3,22))),0)))))</f>
        <v>0</v>
      </c>
      <c r="H84" s="27" t="n">
        <f aca="false">IF(COUNT(Amendoim!$E82:$Z82)=0,0,MAX(0,IF((H$6-$E$3)&lt;1,0,IFERROR(LOOKUP(2,1/(Amendoim!$E82:INDEX(Amendoim!$E82:$Z82,MIN(H$6-$E$3,22))&lt;&gt;""),Amendoim!$E82:INDEX(Amendoim!$E82:$Z82,MIN(H$6-$E$3,22))),0))-IF($G$2,0,IF((H$6-$G$3)&lt;1,0,IFERROR(LOOKUP(2,1/(Amendoim!$E82:INDEX(Amendoim!$E82:$Z82,MIN(H$6-$G$3,22))&lt;&gt;""),Amendoim!$E82:INDEX(Amendoim!$E82:$Z82,MIN(H$6-$G$3,22))),0)))))</f>
        <v>0</v>
      </c>
      <c r="I84" s="27" t="n">
        <f aca="false">IF(COUNT(Amendoim!$E82:$Z82)=0,0,MAX(0,IF((I$6-$E$3)&lt;1,0,IFERROR(LOOKUP(2,1/(Amendoim!$E82:INDEX(Amendoim!$E82:$Z82,MIN(I$6-$E$3,22))&lt;&gt;""),Amendoim!$E82:INDEX(Amendoim!$E82:$Z82,MIN(I$6-$E$3,22))),0))-IF($G$2,0,IF((I$6-$G$3)&lt;1,0,IFERROR(LOOKUP(2,1/(Amendoim!$E82:INDEX(Amendoim!$E82:$Z82,MIN(I$6-$G$3,22))&lt;&gt;""),Amendoim!$E82:INDEX(Amendoim!$E82:$Z82,MIN(I$6-$G$3,22))),0)))))</f>
        <v>0</v>
      </c>
      <c r="J84" s="27" t="n">
        <f aca="false">IF(COUNT(Amendoim!$E82:$Z82)=0,0,MAX(0,IF((J$6-$E$3)&lt;1,0,IFERROR(LOOKUP(2,1/(Amendoim!$E82:INDEX(Amendoim!$E82:$Z82,MIN(J$6-$E$3,22))&lt;&gt;""),Amendoim!$E82:INDEX(Amendoim!$E82:$Z82,MIN(J$6-$E$3,22))),0))-IF($G$2,0,IF((J$6-$G$3)&lt;1,0,IFERROR(LOOKUP(2,1/(Amendoim!$E82:INDEX(Amendoim!$E82:$Z82,MIN(J$6-$G$3,22))&lt;&gt;""),Amendoim!$E82:INDEX(Amendoim!$E82:$Z82,MIN(J$6-$G$3,22))),0)))))</f>
        <v>0</v>
      </c>
      <c r="K84" s="27" t="n">
        <f aca="false">IF(COUNT(Amendoim!$E82:$Z82)=0,0,MAX(0,IF((K$6-$E$3)&lt;1,0,IFERROR(LOOKUP(2,1/(Amendoim!$E82:INDEX(Amendoim!$E82:$Z82,MIN(K$6-$E$3,22))&lt;&gt;""),Amendoim!$E82:INDEX(Amendoim!$E82:$Z82,MIN(K$6-$E$3,22))),0))-IF($G$2,0,IF((K$6-$G$3)&lt;1,0,IFERROR(LOOKUP(2,1/(Amendoim!$E82:INDEX(Amendoim!$E82:$Z82,MIN(K$6-$G$3,22))&lt;&gt;""),Amendoim!$E82:INDEX(Amendoim!$E82:$Z82,MIN(K$6-$G$3,22))),0)))))</f>
        <v>0</v>
      </c>
      <c r="L84" s="27" t="n">
        <f aca="false">IF(COUNT(Amendoim!$E82:$Z82)=0,0,MAX(0,IF((L$6-$E$3)&lt;1,0,IFERROR(LOOKUP(2,1/(Amendoim!$E82:INDEX(Amendoim!$E82:$Z82,MIN(L$6-$E$3,22))&lt;&gt;""),Amendoim!$E82:INDEX(Amendoim!$E82:$Z82,MIN(L$6-$E$3,22))),0))-IF($G$2,0,IF((L$6-$G$3)&lt;1,0,IFERROR(LOOKUP(2,1/(Amendoim!$E82:INDEX(Amendoim!$E82:$Z82,MIN(L$6-$G$3,22))&lt;&gt;""),Amendoim!$E82:INDEX(Amendoim!$E82:$Z82,MIN(L$6-$G$3,22))),0)))))</f>
        <v>0</v>
      </c>
      <c r="M84" s="27" t="n">
        <f aca="false">IF(COUNT(Amendoim!$E82:$Z82)=0,0,MAX(0,IF((M$6-$E$3)&lt;1,0,IFERROR(LOOKUP(2,1/(Amendoim!$E82:INDEX(Amendoim!$E82:$Z82,MIN(M$6-$E$3,22))&lt;&gt;""),Amendoim!$E82:INDEX(Amendoim!$E82:$Z82,MIN(M$6-$E$3,22))),0))-IF($G$2,0,IF((M$6-$G$3)&lt;1,0,IFERROR(LOOKUP(2,1/(Amendoim!$E82:INDEX(Amendoim!$E82:$Z82,MIN(M$6-$G$3,22))&lt;&gt;""),Amendoim!$E82:INDEX(Amendoim!$E82:$Z82,MIN(M$6-$G$3,22))),0)))))</f>
        <v>0</v>
      </c>
      <c r="N84" s="27" t="n">
        <f aca="false">IF(COUNT(Amendoim!$E82:$Z82)=0,0,MAX(0,IF((N$6-$E$3)&lt;1,0,IFERROR(LOOKUP(2,1/(Amendoim!$E82:INDEX(Amendoim!$E82:$Z82,MIN(N$6-$E$3,22))&lt;&gt;""),Amendoim!$E82:INDEX(Amendoim!$E82:$Z82,MIN(N$6-$E$3,22))),0))-IF($G$2,0,IF((N$6-$G$3)&lt;1,0,IFERROR(LOOKUP(2,1/(Amendoim!$E82:INDEX(Amendoim!$E82:$Z82,MIN(N$6-$G$3,22))&lt;&gt;""),Amendoim!$E82:INDEX(Amendoim!$E82:$Z82,MIN(N$6-$G$3,22))),0)))))</f>
        <v>0</v>
      </c>
      <c r="O84" s="27" t="n">
        <f aca="false">IF(COUNT(Amendoim!$E82:$Z82)=0,0,MAX(0,IF((O$6-$E$3)&lt;1,0,IFERROR(LOOKUP(2,1/(Amendoim!$E82:INDEX(Amendoim!$E82:$Z82,MIN(O$6-$E$3,22))&lt;&gt;""),Amendoim!$E82:INDEX(Amendoim!$E82:$Z82,MIN(O$6-$E$3,22))),0))-IF($G$2,0,IF((O$6-$G$3)&lt;1,0,IFERROR(LOOKUP(2,1/(Amendoim!$E82:INDEX(Amendoim!$E82:$Z82,MIN(O$6-$G$3,22))&lt;&gt;""),Amendoim!$E82:INDEX(Amendoim!$E82:$Z82,MIN(O$6-$G$3,22))),0)))))</f>
        <v>0</v>
      </c>
      <c r="P84" s="27" t="n">
        <f aca="false">IF(COUNT(Amendoim!$E82:$Z82)=0,0,MAX(0,IF((P$6-$E$3)&lt;1,0,IFERROR(LOOKUP(2,1/(Amendoim!$E82:INDEX(Amendoim!$E82:$Z82,MIN(P$6-$E$3,22))&lt;&gt;""),Amendoim!$E82:INDEX(Amendoim!$E82:$Z82,MIN(P$6-$E$3,22))),0))-IF($G$2,0,IF((P$6-$G$3)&lt;1,0,IFERROR(LOOKUP(2,1/(Amendoim!$E82:INDEX(Amendoim!$E82:$Z82,MIN(P$6-$G$3,22))&lt;&gt;""),Amendoim!$E82:INDEX(Amendoim!$E82:$Z82,MIN(P$6-$G$3,22))),0)))))</f>
        <v>0</v>
      </c>
      <c r="Q84" s="27" t="n">
        <f aca="false">IF(COUNT(Amendoim!$E82:$Z82)=0,0,MAX(0,IF((Q$6-$E$3)&lt;1,0,IFERROR(LOOKUP(2,1/(Amendoim!$E82:INDEX(Amendoim!$E82:$Z82,MIN(Q$6-$E$3,22))&lt;&gt;""),Amendoim!$E82:INDEX(Amendoim!$E82:$Z82,MIN(Q$6-$E$3,22))),0))-IF($G$2,0,IF((Q$6-$G$3)&lt;1,0,IFERROR(LOOKUP(2,1/(Amendoim!$E82:INDEX(Amendoim!$E82:$Z82,MIN(Q$6-$G$3,22))&lt;&gt;""),Amendoim!$E82:INDEX(Amendoim!$E82:$Z82,MIN(Q$6-$G$3,22))),0)))))</f>
        <v>0</v>
      </c>
      <c r="R84" s="27" t="n">
        <f aca="false">IF(COUNT(Amendoim!$E82:$Z82)=0,0,MAX(0,IF((R$6-$E$3)&lt;1,0,IFERROR(LOOKUP(2,1/(Amendoim!$E82:INDEX(Amendoim!$E82:$Z82,MIN(R$6-$E$3,22))&lt;&gt;""),Amendoim!$E82:INDEX(Amendoim!$E82:$Z82,MIN(R$6-$E$3,22))),0))-IF($G$2,0,IF((R$6-$G$3)&lt;1,0,IFERROR(LOOKUP(2,1/(Amendoim!$E82:INDEX(Amendoim!$E82:$Z82,MIN(R$6-$G$3,22))&lt;&gt;""),Amendoim!$E82:INDEX(Amendoim!$E82:$Z82,MIN(R$6-$G$3,22))),0)))))</f>
        <v>0</v>
      </c>
      <c r="S84" s="27" t="n">
        <f aca="false">IF(COUNT(Amendoim!$E82:$Z82)=0,0,MAX(0,IF((S$6-$E$3)&lt;1,0,IFERROR(LOOKUP(2,1/(Amendoim!$E82:INDEX(Amendoim!$E82:$Z82,MIN(S$6-$E$3,22))&lt;&gt;""),Amendoim!$E82:INDEX(Amendoim!$E82:$Z82,MIN(S$6-$E$3,22))),0))-IF($G$2,0,IF((S$6-$G$3)&lt;1,0,IFERROR(LOOKUP(2,1/(Amendoim!$E82:INDEX(Amendoim!$E82:$Z82,MIN(S$6-$G$3,22))&lt;&gt;""),Amendoim!$E82:INDEX(Amendoim!$E82:$Z82,MIN(S$6-$G$3,22))),0)))))</f>
        <v>0</v>
      </c>
      <c r="T84" s="27" t="n">
        <f aca="false">IF(COUNT(Amendoim!$E82:$Z82)=0,0,MAX(0,IF((T$6-$E$3)&lt;1,0,IFERROR(LOOKUP(2,1/(Amendoim!$E82:INDEX(Amendoim!$E82:$Z82,MIN(T$6-$E$3,22))&lt;&gt;""),Amendoim!$E82:INDEX(Amendoim!$E82:$Z82,MIN(T$6-$E$3,22))),0))-IF($G$2,0,IF((T$6-$G$3)&lt;1,0,IFERROR(LOOKUP(2,1/(Amendoim!$E82:INDEX(Amendoim!$E82:$Z82,MIN(T$6-$G$3,22))&lt;&gt;""),Amendoim!$E82:INDEX(Amendoim!$E82:$Z82,MIN(T$6-$G$3,22))),0)))))</f>
        <v>0</v>
      </c>
      <c r="U84" s="27" t="n">
        <f aca="false">IF(COUNT(Amendoim!$E82:$Z82)=0,0,MAX(0,IF((U$6-$E$3)&lt;1,0,IFERROR(LOOKUP(2,1/(Amendoim!$E82:INDEX(Amendoim!$E82:$Z82,MIN(U$6-$E$3,22))&lt;&gt;""),Amendoim!$E82:INDEX(Amendoim!$E82:$Z82,MIN(U$6-$E$3,22))),0))-IF($G$2,0,IF((U$6-$G$3)&lt;1,0,IFERROR(LOOKUP(2,1/(Amendoim!$E82:INDEX(Amendoim!$E82:$Z82,MIN(U$6-$G$3,22))&lt;&gt;""),Amendoim!$E82:INDEX(Amendoim!$E82:$Z82,MIN(U$6-$G$3,22))),0)))))</f>
        <v>0</v>
      </c>
      <c r="V84" s="27" t="n">
        <f aca="false">IF(COUNT(Amendoim!$E82:$Z82)=0,0,MAX(0,IF((V$6-$E$3)&lt;1,0,IFERROR(LOOKUP(2,1/(Amendoim!$E82:INDEX(Amendoim!$E82:$Z82,MIN(V$6-$E$3,22))&lt;&gt;""),Amendoim!$E82:INDEX(Amendoim!$E82:$Z82,MIN(V$6-$E$3,22))),0))-IF($G$2,0,IF((V$6-$G$3)&lt;1,0,IFERROR(LOOKUP(2,1/(Amendoim!$E82:INDEX(Amendoim!$E82:$Z82,MIN(V$6-$G$3,22))&lt;&gt;""),Amendoim!$E82:INDEX(Amendoim!$E82:$Z82,MIN(V$6-$G$3,22))),0)))))</f>
        <v>0</v>
      </c>
      <c r="W84" s="27" t="n">
        <f aca="false">IF(COUNT(Amendoim!$E82:$Z82)=0,0,MAX(0,IF((W$6-$E$3)&lt;1,0,IFERROR(LOOKUP(2,1/(Amendoim!$E82:INDEX(Amendoim!$E82:$Z82,MIN(W$6-$E$3,22))&lt;&gt;""),Amendoim!$E82:INDEX(Amendoim!$E82:$Z82,MIN(W$6-$E$3,22))),0))-IF($G$2,0,IF((W$6-$G$3)&lt;1,0,IFERROR(LOOKUP(2,1/(Amendoim!$E82:INDEX(Amendoim!$E82:$Z82,MIN(W$6-$G$3,22))&lt;&gt;""),Amendoim!$E82:INDEX(Amendoim!$E82:$Z82,MIN(W$6-$G$3,22))),0)))))</f>
        <v>0</v>
      </c>
      <c r="X84" s="27" t="n">
        <f aca="false">IF(COUNT(Amendoim!$E82:$Z82)=0,0,MAX(0,IF((X$6-$E$3)&lt;1,0,IFERROR(LOOKUP(2,1/(Amendoim!$E82:INDEX(Amendoim!$E82:$Z82,MIN(X$6-$E$3,22))&lt;&gt;""),Amendoim!$E82:INDEX(Amendoim!$E82:$Z82,MIN(X$6-$E$3,22))),0))-IF($G$2,0,IF((X$6-$G$3)&lt;1,0,IFERROR(LOOKUP(2,1/(Amendoim!$E82:INDEX(Amendoim!$E82:$Z82,MIN(X$6-$G$3,22))&lt;&gt;""),Amendoim!$E82:INDEX(Amendoim!$E82:$Z82,MIN(X$6-$G$3,22))),0)))))</f>
        <v>0</v>
      </c>
      <c r="Y84" s="27" t="n">
        <f aca="false">IF(COUNT(Amendoim!$E82:$Z82)=0,0,MAX(0,IF((Y$6-$E$3)&lt;1,0,IFERROR(LOOKUP(2,1/(Amendoim!$E82:INDEX(Amendoim!$E82:$Z82,MIN(Y$6-$E$3,22))&lt;&gt;""),Amendoim!$E82:INDEX(Amendoim!$E82:$Z82,MIN(Y$6-$E$3,22))),0))-IF($G$2,0,IF((Y$6-$G$3)&lt;1,0,IFERROR(LOOKUP(2,1/(Amendoim!$E82:INDEX(Amendoim!$E82:$Z82,MIN(Y$6-$G$3,22))&lt;&gt;""),Amendoim!$E82:INDEX(Amendoim!$E82:$Z82,MIN(Y$6-$G$3,22))),0)))))</f>
        <v>0</v>
      </c>
      <c r="Z84" s="27" t="n">
        <f aca="false">IF(COUNT(Amendoim!$E82:$Z82)=0,0,MAX(0,IF((Z$6-$E$3)&lt;1,0,IFERROR(LOOKUP(2,1/(Amendoim!$E82:INDEX(Amendoim!$E82:$Z82,MIN(Z$6-$E$3,22))&lt;&gt;""),Amendoim!$E82:INDEX(Amendoim!$E82:$Z82,MIN(Z$6-$E$3,22))),0))-IF($G$2,0,IF((Z$6-$G$3)&lt;1,0,IFERROR(LOOKUP(2,1/(Amendoim!$E82:INDEX(Amendoim!$E82:$Z82,MIN(Z$6-$G$3,22))&lt;&gt;""),Amendoim!$E82:INDEX(Amendoim!$E82:$Z82,MIN(Z$6-$G$3,22))),0)))))</f>
        <v>0</v>
      </c>
      <c r="AA84" s="27" t="n">
        <f aca="false">IF(COUNT(Amendoim!$E82:$Z82)=0,0,MAX(0,IF((AA$6-$E$3)&lt;1,0,IFERROR(LOOKUP(2,1/(Amendoim!$E82:INDEX(Amendoim!$E82:$Z82,MIN(AA$6-$E$3,22))&lt;&gt;""),Amendoim!$E82:INDEX(Amendoim!$E82:$Z82,MIN(AA$6-$E$3,22))),0))-IF($G$2,0,IF((AA$6-$G$3)&lt;1,0,IFERROR(LOOKUP(2,1/(Amendoim!$E82:INDEX(Amendoim!$E82:$Z82,MIN(AA$6-$G$3,22))&lt;&gt;""),Amendoim!$E82:INDEX(Amendoim!$E82:$Z82,MIN(AA$6-$G$3,22))),0)))))</f>
        <v>0</v>
      </c>
      <c r="AB84" s="27" t="n">
        <f aca="false">IF(COUNT(Amendoim!$E82:$Z82)=0,0,MAX(0,IF((AB$6-$E$3)&lt;1,0,IFERROR(LOOKUP(2,1/(Amendoim!$E82:INDEX(Amendoim!$E82:$Z82,MIN(AB$6-$E$3,22))&lt;&gt;""),Amendoim!$E82:INDEX(Amendoim!$E82:$Z82,MIN(AB$6-$E$3,22))),0))-IF($G$2,0,IF((AB$6-$G$3)&lt;1,0,IFERROR(LOOKUP(2,1/(Amendoim!$E82:INDEX(Amendoim!$E82:$Z82,MIN(AB$6-$G$3,22))&lt;&gt;""),Amendoim!$E82:INDEX(Amendoim!$E82:$Z82,MIN(AB$6-$G$3,22))),0)))))</f>
        <v>0</v>
      </c>
      <c r="AC84" s="27" t="n">
        <f aca="false">IF(COUNT(Amendoim!$E82:$Z82)=0,0,MAX(0,IF((AC$6-$E$3)&lt;1,0,IFERROR(LOOKUP(2,1/(Amendoim!$E82:INDEX(Amendoim!$E82:$Z82,MIN(AC$6-$E$3,22))&lt;&gt;""),Amendoim!$E82:INDEX(Amendoim!$E82:$Z82,MIN(AC$6-$E$3,22))),0))-IF($G$2,0,IF((AC$6-$G$3)&lt;1,0,IFERROR(LOOKUP(2,1/(Amendoim!$E82:INDEX(Amendoim!$E82:$Z82,MIN(AC$6-$G$3,22))&lt;&gt;""),Amendoim!$E82:INDEX(Amendoim!$E82:$Z82,MIN(AC$6-$G$3,22))),0)))))</f>
        <v>0</v>
      </c>
      <c r="AD84" s="27" t="n">
        <f aca="false">IF(COUNT(Amendoim!$E82:$Z82)=0,0,MAX(0,IF((AD$6-$E$3)&lt;1,0,IFERROR(LOOKUP(2,1/(Amendoim!$E82:INDEX(Amendoim!$E82:$Z82,MIN(AD$6-$E$3,22))&lt;&gt;""),Amendoim!$E82:INDEX(Amendoim!$E82:$Z82,MIN(AD$6-$E$3,22))),0))-IF($G$2,0,IF((AD$6-$G$3)&lt;1,0,IFERROR(LOOKUP(2,1/(Amendoim!$E82:INDEX(Amendoim!$E82:$Z82,MIN(AD$6-$G$3,22))&lt;&gt;""),Amendoim!$E82:INDEX(Amendoim!$E82:$Z82,MIN(AD$6-$G$3,22))),0)))))</f>
        <v>0</v>
      </c>
      <c r="AE84" s="27" t="n">
        <f aca="false">IF(COUNT(Amendoim!$E82:$Z82)=0,0,MAX(0,IF((AE$6-$E$3)&lt;1,0,IFERROR(LOOKUP(2,1/(Amendoim!$E82:INDEX(Amendoim!$E82:$Z82,MIN(AE$6-$E$3,22))&lt;&gt;""),Amendoim!$E82:INDEX(Amendoim!$E82:$Z82,MIN(AE$6-$E$3,22))),0))-IF($G$2,0,IF((AE$6-$G$3)&lt;1,0,IFERROR(LOOKUP(2,1/(Amendoim!$E82:INDEX(Amendoim!$E82:$Z82,MIN(AE$6-$G$3,22))&lt;&gt;""),Amendoim!$E82:INDEX(Amendoim!$E82:$Z82,MIN(AE$6-$G$3,22))),0)))))</f>
        <v>0</v>
      </c>
      <c r="AF84" s="27" t="n">
        <f aca="false">IF(COUNT(Amendoim!$E82:$Z82)=0,0,MAX(0,IF((AF$6-$E$3)&lt;1,0,IFERROR(LOOKUP(2,1/(Amendoim!$E82:INDEX(Amendoim!$E82:$Z82,MIN(AF$6-$E$3,22))&lt;&gt;""),Amendoim!$E82:INDEX(Amendoim!$E82:$Z82,MIN(AF$6-$E$3,22))),0))-IF($G$2,0,IF((AF$6-$G$3)&lt;1,0,IFERROR(LOOKUP(2,1/(Amendoim!$E82:INDEX(Amendoim!$E82:$Z82,MIN(AF$6-$G$3,22))&lt;&gt;""),Amendoim!$E82:INDEX(Amendoim!$E82:$Z82,MIN(AF$6-$G$3,22))),0)))))</f>
        <v>0</v>
      </c>
      <c r="AG84" s="27" t="n">
        <f aca="false">IF(COUNT(Amendoim!$E82:$Z82)=0,0,MAX(0,IF((AG$6-$E$3)&lt;1,0,IFERROR(LOOKUP(2,1/(Amendoim!$E82:INDEX(Amendoim!$E82:$Z82,MIN(AG$6-$E$3,22))&lt;&gt;""),Amendoim!$E82:INDEX(Amendoim!$E82:$Z82,MIN(AG$6-$E$3,22))),0))-IF($G$2,0,IF((AG$6-$G$3)&lt;1,0,IFERROR(LOOKUP(2,1/(Amendoim!$E82:INDEX(Amendoim!$E82:$Z82,MIN(AG$6-$G$3,22))&lt;&gt;""),Amendoim!$E82:INDEX(Amendoim!$E82:$Z82,MIN(AG$6-$G$3,22))),0)))))</f>
        <v>0</v>
      </c>
      <c r="AH84" s="27" t="n">
        <f aca="false">IF(COUNT(Amendoim!$E82:$Z82)=0,0,MAX(0,IF((AH$6-$E$3)&lt;1,0,IFERROR(LOOKUP(2,1/(Amendoim!$E82:INDEX(Amendoim!$E82:$Z82,MIN(AH$6-$E$3,22))&lt;&gt;""),Amendoim!$E82:INDEX(Amendoim!$E82:$Z82,MIN(AH$6-$E$3,22))),0))-IF($G$2,0,IF((AH$6-$G$3)&lt;1,0,IFERROR(LOOKUP(2,1/(Amendoim!$E82:INDEX(Amendoim!$E82:$Z82,MIN(AH$6-$G$3,22))&lt;&gt;""),Amendoim!$E82:INDEX(Amendoim!$E82:$Z82,MIN(AH$6-$G$3,22))),0)))))</f>
        <v>0</v>
      </c>
      <c r="AI84" s="27" t="n">
        <f aca="false">IF(COUNT(Amendoim!$E82:$Z82)=0,0,MAX(0,IF((AI$6-$E$3)&lt;1,0,IFERROR(LOOKUP(2,1/(Amendoim!$E82:INDEX(Amendoim!$E82:$Z82,MIN(AI$6-$E$3,22))&lt;&gt;""),Amendoim!$E82:INDEX(Amendoim!$E82:$Z82,MIN(AI$6-$E$3,22))),0))-IF($G$2,0,IF((AI$6-$G$3)&lt;1,0,IFERROR(LOOKUP(2,1/(Amendoim!$E82:INDEX(Amendoim!$E82:$Z82,MIN(AI$6-$G$3,22))&lt;&gt;""),Amendoim!$E82:INDEX(Amendoim!$E82:$Z82,MIN(AI$6-$G$3,22))),0)))))</f>
        <v>0</v>
      </c>
      <c r="AJ84" s="27" t="n">
        <f aca="false">IF(COUNT(Amendoim!$E82:$Z82)=0,0,MAX(0,IF((AJ$6-$E$3)&lt;1,0,IFERROR(LOOKUP(2,1/(Amendoim!$E82:INDEX(Amendoim!$E82:$Z82,MIN(AJ$6-$E$3,22))&lt;&gt;""),Amendoim!$E82:INDEX(Amendoim!$E82:$Z82,MIN(AJ$6-$E$3,22))),0))-IF($G$2,0,IF((AJ$6-$G$3)&lt;1,0,IFERROR(LOOKUP(2,1/(Amendoim!$E82:INDEX(Amendoim!$E82:$Z82,MIN(AJ$6-$G$3,22))&lt;&gt;""),Amendoim!$E82:INDEX(Amendoim!$E82:$Z82,MIN(AJ$6-$G$3,22))),0)))))</f>
        <v>0</v>
      </c>
      <c r="AK84" s="27" t="n">
        <f aca="false">IF(COUNT(Amendoim!$E82:$Z82)=0,0,MAX(0,IF((AK$6-$E$3)&lt;1,0,IFERROR(LOOKUP(2,1/(Amendoim!$E82:INDEX(Amendoim!$E82:$Z82,MIN(AK$6-$E$3,22))&lt;&gt;""),Amendoim!$E82:INDEX(Amendoim!$E82:$Z82,MIN(AK$6-$E$3,22))),0))-IF($G$2,0,IF((AK$6-$G$3)&lt;1,0,IFERROR(LOOKUP(2,1/(Amendoim!$E82:INDEX(Amendoim!$E82:$Z82,MIN(AK$6-$G$3,22))&lt;&gt;""),Amendoim!$E82:INDEX(Amendoim!$E82:$Z82,MIN(AK$6-$G$3,22))),0)))))</f>
        <v>0</v>
      </c>
      <c r="AL84" s="27" t="n">
        <f aca="false">IF(COUNT(Amendoim!$E82:$Z82)=0,0,MAX(0,IF((AL$6-$E$3)&lt;1,0,IFERROR(LOOKUP(2,1/(Amendoim!$E82:INDEX(Amendoim!$E82:$Z82,MIN(AL$6-$E$3,22))&lt;&gt;""),Amendoim!$E82:INDEX(Amendoim!$E82:$Z82,MIN(AL$6-$E$3,22))),0))-IF($G$2,0,IF((AL$6-$G$3)&lt;1,0,IFERROR(LOOKUP(2,1/(Amendoim!$E82:INDEX(Amendoim!$E82:$Z82,MIN(AL$6-$G$3,22))&lt;&gt;""),Amendoim!$E82:INDEX(Amendoim!$E82:$Z82,MIN(AL$6-$G$3,22))),0)))))</f>
        <v>0</v>
      </c>
      <c r="AM84" s="27" t="n">
        <f aca="false">IF(COUNT(Amendoim!$E82:$Z82)=0,0,MAX(0,IF((AM$6-$E$3)&lt;1,0,IFERROR(LOOKUP(2,1/(Amendoim!$E82:INDEX(Amendoim!$E82:$Z82,MIN(AM$6-$E$3,22))&lt;&gt;""),Amendoim!$E82:INDEX(Amendoim!$E82:$Z82,MIN(AM$6-$E$3,22))),0))-IF($G$2,0,IF((AM$6-$G$3)&lt;1,0,IFERROR(LOOKUP(2,1/(Amendoim!$E82:INDEX(Amendoim!$E82:$Z82,MIN(AM$6-$G$3,22))&lt;&gt;""),Amendoim!$E82:INDEX(Amendoim!$E82:$Z82,MIN(AM$6-$G$3,22))),0)))))</f>
        <v>0</v>
      </c>
      <c r="AN84" s="27" t="n">
        <f aca="false">IF(COUNT(Amendoim!$E82:$Z82)=0,0,MAX(0,IF((AN$6-$E$3)&lt;1,0,IFERROR(LOOKUP(2,1/(Amendoim!$E82:INDEX(Amendoim!$E82:$Z82,MIN(AN$6-$E$3,22))&lt;&gt;""),Amendoim!$E82:INDEX(Amendoim!$E82:$Z82,MIN(AN$6-$E$3,22))),0))-IF($G$2,0,IF((AN$6-$G$3)&lt;1,0,IFERROR(LOOKUP(2,1/(Amendoim!$E82:INDEX(Amendoim!$E82:$Z82,MIN(AN$6-$G$3,22))&lt;&gt;""),Amendoim!$E82:INDEX(Amendoim!$E82:$Z82,MIN(AN$6-$G$3,22))),0)))))</f>
        <v>0</v>
      </c>
      <c r="AO84" s="27" t="n">
        <f aca="false">IF(COUNT(Amendoim!$E82:$Z82)=0,0,MAX(0,IF((AO$6-$E$3)&lt;1,0,IFERROR(LOOKUP(2,1/(Amendoim!$E82:INDEX(Amendoim!$E82:$Z82,MIN(AO$6-$E$3,22))&lt;&gt;""),Amendoim!$E82:INDEX(Amendoim!$E82:$Z82,MIN(AO$6-$E$3,22))),0))-IF($G$2,0,IF((AO$6-$G$3)&lt;1,0,IFERROR(LOOKUP(2,1/(Amendoim!$E82:INDEX(Amendoim!$E82:$Z82,MIN(AO$6-$G$3,22))&lt;&gt;""),Amendoim!$E82:INDEX(Amendoim!$E82:$Z82,MIN(AO$6-$G$3,22))),0)))))</f>
        <v>0</v>
      </c>
      <c r="AP84" s="27" t="n">
        <f aca="false">IF(COUNT(Amendoim!$E82:$Z82)=0,0,MAX(0,IF((AP$6-$E$3)&lt;1,0,IFERROR(LOOKUP(2,1/(Amendoim!$E82:INDEX(Amendoim!$E82:$Z82,MIN(AP$6-$E$3,22))&lt;&gt;""),Amendoim!$E82:INDEX(Amendoim!$E82:$Z82,MIN(AP$6-$E$3,22))),0))-IF($G$2,0,IF((AP$6-$G$3)&lt;1,0,IFERROR(LOOKUP(2,1/(Amendoim!$E82:INDEX(Amendoim!$E82:$Z82,MIN(AP$6-$G$3,22))&lt;&gt;""),Amendoim!$E82:INDEX(Amendoim!$E82:$Z82,MIN(AP$6-$G$3,22))),0)))))</f>
        <v>0</v>
      </c>
      <c r="AQ84" s="27" t="n">
        <f aca="false">IF(COUNT(Amendoim!$E82:$Z82)=0,0,MAX(0,IF((AQ$6-$E$3)&lt;1,0,IFERROR(LOOKUP(2,1/(Amendoim!$E82:INDEX(Amendoim!$E82:$Z82,MIN(AQ$6-$E$3,22))&lt;&gt;""),Amendoim!$E82:INDEX(Amendoim!$E82:$Z82,MIN(AQ$6-$E$3,22))),0))-IF($G$2,0,IF((AQ$6-$G$3)&lt;1,0,IFERROR(LOOKUP(2,1/(Amendoim!$E82:INDEX(Amendoim!$E82:$Z82,MIN(AQ$6-$G$3,22))&lt;&gt;""),Amendoim!$E82:INDEX(Amendoim!$E82:$Z82,MIN(AQ$6-$G$3,22))),0)))))</f>
        <v>0</v>
      </c>
      <c r="AR84" s="27" t="n">
        <f aca="false">IF(COUNT(Amendoim!$E82:$Z82)=0,0,MAX(0,IF((AR$6-$E$3)&lt;1,0,IFERROR(LOOKUP(2,1/(Amendoim!$E82:INDEX(Amendoim!$E82:$Z82,MIN(AR$6-$E$3,22))&lt;&gt;""),Amendoim!$E82:INDEX(Amendoim!$E82:$Z82,MIN(AR$6-$E$3,22))),0))-IF($G$2,0,IF((AR$6-$G$3)&lt;1,0,IFERROR(LOOKUP(2,1/(Amendoim!$E82:INDEX(Amendoim!$E82:$Z82,MIN(AR$6-$G$3,22))&lt;&gt;""),Amendoim!$E82:INDEX(Amendoim!$E82:$Z82,MIN(AR$6-$G$3,22))),0)))))</f>
        <v>0</v>
      </c>
      <c r="AS84" s="27" t="n">
        <f aca="false">IF(COUNT(Amendoim!$E82:$Z82)=0,0,MAX(0,IF((AS$6-$E$3)&lt;1,0,IFERROR(LOOKUP(2,1/(Amendoim!$E82:INDEX(Amendoim!$E82:$Z82,MIN(AS$6-$E$3,22))&lt;&gt;""),Amendoim!$E82:INDEX(Amendoim!$E82:$Z82,MIN(AS$6-$E$3,22))),0))-IF($G$2,0,IF((AS$6-$G$3)&lt;1,0,IFERROR(LOOKUP(2,1/(Amendoim!$E82:INDEX(Amendoim!$E82:$Z82,MIN(AS$6-$G$3,22))&lt;&gt;""),Amendoim!$E82:INDEX(Amendoim!$E82:$Z82,MIN(AS$6-$G$3,22))),0)))))</f>
        <v>0</v>
      </c>
      <c r="AT84" s="27" t="n">
        <f aca="false">IF(COUNT(Amendoim!$E82:$Z82)=0,0,MAX(0,IF((AT$6-$E$3)&lt;1,0,IFERROR(LOOKUP(2,1/(Amendoim!$E82:INDEX(Amendoim!$E82:$Z82,MIN(AT$6-$E$3,22))&lt;&gt;""),Amendoim!$E82:INDEX(Amendoim!$E82:$Z82,MIN(AT$6-$E$3,22))),0))-IF($G$2,0,IF((AT$6-$G$3)&lt;1,0,IFERROR(LOOKUP(2,1/(Amendoim!$E82:INDEX(Amendoim!$E82:$Z82,MIN(AT$6-$G$3,22))&lt;&gt;""),Amendoim!$E82:INDEX(Amendoim!$E82:$Z82,MIN(AT$6-$G$3,22))),0)))))</f>
        <v>0</v>
      </c>
      <c r="AU84" s="27" t="n">
        <f aca="false">IF(COUNT(Amendoim!$E82:$Z82)=0,0,MAX(0,IF((AU$6-$E$3)&lt;1,0,IFERROR(LOOKUP(2,1/(Amendoim!$E82:INDEX(Amendoim!$E82:$Z82,MIN(AU$6-$E$3,22))&lt;&gt;""),Amendoim!$E82:INDEX(Amendoim!$E82:$Z82,MIN(AU$6-$E$3,22))),0))-IF($G$2,0,IF((AU$6-$G$3)&lt;1,0,IFERROR(LOOKUP(2,1/(Amendoim!$E82:INDEX(Amendoim!$E82:$Z82,MIN(AU$6-$G$3,22))&lt;&gt;""),Amendoim!$E82:INDEX(Amendoim!$E82:$Z82,MIN(AU$6-$G$3,22))),0)))))</f>
        <v>0</v>
      </c>
      <c r="AV84" s="27" t="n">
        <f aca="false">IF(COUNT(Amendoim!$E82:$Z82)=0,0,MAX(0,IF((AV$6-$E$3)&lt;1,0,IFERROR(LOOKUP(2,1/(Amendoim!$E82:INDEX(Amendoim!$E82:$Z82,MIN(AV$6-$E$3,22))&lt;&gt;""),Amendoim!$E82:INDEX(Amendoim!$E82:$Z82,MIN(AV$6-$E$3,22))),0))-IF($G$2,0,IF((AV$6-$G$3)&lt;1,0,IFERROR(LOOKUP(2,1/(Amendoim!$E82:INDEX(Amendoim!$E82:$Z82,MIN(AV$6-$G$3,22))&lt;&gt;""),Amendoim!$E82:INDEX(Amendoim!$E82:$Z82,MIN(AV$6-$G$3,22))),0)))))</f>
        <v>0</v>
      </c>
      <c r="AW84" s="27" t="n">
        <f aca="false">IF(COUNT(Amendoim!$E82:$Z82)=0,0,MAX(0,IF((AW$6-$E$3)&lt;1,0,IFERROR(LOOKUP(2,1/(Amendoim!$E82:INDEX(Amendoim!$E82:$Z82,MIN(AW$6-$E$3,22))&lt;&gt;""),Amendoim!$E82:INDEX(Amendoim!$E82:$Z82,MIN(AW$6-$E$3,22))),0))-IF($G$2,0,IF((AW$6-$G$3)&lt;1,0,IFERROR(LOOKUP(2,1/(Amendoim!$E82:INDEX(Amendoim!$E82:$Z82,MIN(AW$6-$G$3,22))&lt;&gt;""),Amendoim!$E82:INDEX(Amendoim!$E82:$Z82,MIN(AW$6-$G$3,22))),0)))))</f>
        <v>0</v>
      </c>
      <c r="AX84" s="27" t="n">
        <f aca="false">IF(COUNT(Amendoim!$E82:$Z82)=0,0,MAX(0,IF((AX$6-$E$3)&lt;1,0,IFERROR(LOOKUP(2,1/(Amendoim!$E82:INDEX(Amendoim!$E82:$Z82,MIN(AX$6-$E$3,22))&lt;&gt;""),Amendoim!$E82:INDEX(Amendoim!$E82:$Z82,MIN(AX$6-$E$3,22))),0))-IF($G$2,0,IF((AX$6-$G$3)&lt;1,0,IFERROR(LOOKUP(2,1/(Amendoim!$E82:INDEX(Amendoim!$E82:$Z82,MIN(AX$6-$G$3,22))&lt;&gt;""),Amendoim!$E82:INDEX(Amendoim!$E82:$Z82,MIN(AX$6-$G$3,22))),0)))))</f>
        <v>0</v>
      </c>
      <c r="AY84" s="27" t="n">
        <f aca="false">IF(COUNT(Amendoim!$E82:$Z82)=0,0,MAX(0,IF((AY$6-$E$3)&lt;1,0,IFERROR(LOOKUP(2,1/(Amendoim!$E82:INDEX(Amendoim!$E82:$Z82,MIN(AY$6-$E$3,22))&lt;&gt;""),Amendoim!$E82:INDEX(Amendoim!$E82:$Z82,MIN(AY$6-$E$3,22))),0))-IF($G$2,0,IF((AY$6-$G$3)&lt;1,0,IFERROR(LOOKUP(2,1/(Amendoim!$E82:INDEX(Amendoim!$E82:$Z82,MIN(AY$6-$G$3,22))&lt;&gt;""),Amendoim!$E82:INDEX(Amendoim!$E82:$Z82,MIN(AY$6-$G$3,22))),0)))))</f>
        <v>0</v>
      </c>
      <c r="AZ84" s="27" t="n">
        <f aca="false">IF(COUNT(Amendoim!$E82:$Z82)=0,0,MAX(0,IF((AZ$6-$E$3)&lt;1,0,IFERROR(LOOKUP(2,1/(Amendoim!$E82:INDEX(Amendoim!$E82:$Z82,MIN(AZ$6-$E$3,22))&lt;&gt;""),Amendoim!$E82:INDEX(Amendoim!$E82:$Z82,MIN(AZ$6-$E$3,22))),0))-IF($G$2,0,IF((AZ$6-$G$3)&lt;1,0,IFERROR(LOOKUP(2,1/(Amendoim!$E82:INDEX(Amendoim!$E82:$Z82,MIN(AZ$6-$G$3,22))&lt;&gt;""),Amendoim!$E82:INDEX(Amendoim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IF(COUNT(Amendoim!$E83:$Z83)&gt;0,N(Amendoim!$D83),0)</f>
        <v>0</v>
      </c>
      <c r="E85" s="27" t="n">
        <f aca="false">IF(COUNT(Amendoim!$E83:$Z83)=0,0,MAX(0,IF((E$6-$E$3)&lt;1,0,IFERROR(LOOKUP(2,1/(Amendoim!$E83:INDEX(Amendoim!$E83:$Z83,MIN(E$6-$E$3,22))&lt;&gt;""),Amendoim!$E83:INDEX(Amendoim!$E83:$Z83,MIN(E$6-$E$3,22))),0))-IF($G$2,0,IF((E$6-$G$3)&lt;1,0,IFERROR(LOOKUP(2,1/(Amendoim!$E83:INDEX(Amendoim!$E83:$Z83,MIN(E$6-$G$3,22))&lt;&gt;""),Amendoim!$E83:INDEX(Amendoim!$E83:$Z83,MIN(E$6-$G$3,22))),0)))))</f>
        <v>0</v>
      </c>
      <c r="F85" s="27" t="n">
        <f aca="false">IF(COUNT(Amendoim!$E83:$Z83)=0,0,MAX(0,IF((F$6-$E$3)&lt;1,0,IFERROR(LOOKUP(2,1/(Amendoim!$E83:INDEX(Amendoim!$E83:$Z83,MIN(F$6-$E$3,22))&lt;&gt;""),Amendoim!$E83:INDEX(Amendoim!$E83:$Z83,MIN(F$6-$E$3,22))),0))-IF($G$2,0,IF((F$6-$G$3)&lt;1,0,IFERROR(LOOKUP(2,1/(Amendoim!$E83:INDEX(Amendoim!$E83:$Z83,MIN(F$6-$G$3,22))&lt;&gt;""),Amendoim!$E83:INDEX(Amendoim!$E83:$Z83,MIN(F$6-$G$3,22))),0)))))</f>
        <v>0</v>
      </c>
      <c r="G85" s="27" t="n">
        <f aca="false">IF(COUNT(Amendoim!$E83:$Z83)=0,0,MAX(0,IF((G$6-$E$3)&lt;1,0,IFERROR(LOOKUP(2,1/(Amendoim!$E83:INDEX(Amendoim!$E83:$Z83,MIN(G$6-$E$3,22))&lt;&gt;""),Amendoim!$E83:INDEX(Amendoim!$E83:$Z83,MIN(G$6-$E$3,22))),0))-IF($G$2,0,IF((G$6-$G$3)&lt;1,0,IFERROR(LOOKUP(2,1/(Amendoim!$E83:INDEX(Amendoim!$E83:$Z83,MIN(G$6-$G$3,22))&lt;&gt;""),Amendoim!$E83:INDEX(Amendoim!$E83:$Z83,MIN(G$6-$G$3,22))),0)))))</f>
        <v>0</v>
      </c>
      <c r="H85" s="27" t="n">
        <f aca="false">IF(COUNT(Amendoim!$E83:$Z83)=0,0,MAX(0,IF((H$6-$E$3)&lt;1,0,IFERROR(LOOKUP(2,1/(Amendoim!$E83:INDEX(Amendoim!$E83:$Z83,MIN(H$6-$E$3,22))&lt;&gt;""),Amendoim!$E83:INDEX(Amendoim!$E83:$Z83,MIN(H$6-$E$3,22))),0))-IF($G$2,0,IF((H$6-$G$3)&lt;1,0,IFERROR(LOOKUP(2,1/(Amendoim!$E83:INDEX(Amendoim!$E83:$Z83,MIN(H$6-$G$3,22))&lt;&gt;""),Amendoim!$E83:INDEX(Amendoim!$E83:$Z83,MIN(H$6-$G$3,22))),0)))))</f>
        <v>0</v>
      </c>
      <c r="I85" s="27" t="n">
        <f aca="false">IF(COUNT(Amendoim!$E83:$Z83)=0,0,MAX(0,IF((I$6-$E$3)&lt;1,0,IFERROR(LOOKUP(2,1/(Amendoim!$E83:INDEX(Amendoim!$E83:$Z83,MIN(I$6-$E$3,22))&lt;&gt;""),Amendoim!$E83:INDEX(Amendoim!$E83:$Z83,MIN(I$6-$E$3,22))),0))-IF($G$2,0,IF((I$6-$G$3)&lt;1,0,IFERROR(LOOKUP(2,1/(Amendoim!$E83:INDEX(Amendoim!$E83:$Z83,MIN(I$6-$G$3,22))&lt;&gt;""),Amendoim!$E83:INDEX(Amendoim!$E83:$Z83,MIN(I$6-$G$3,22))),0)))))</f>
        <v>0</v>
      </c>
      <c r="J85" s="27" t="n">
        <f aca="false">IF(COUNT(Amendoim!$E83:$Z83)=0,0,MAX(0,IF((J$6-$E$3)&lt;1,0,IFERROR(LOOKUP(2,1/(Amendoim!$E83:INDEX(Amendoim!$E83:$Z83,MIN(J$6-$E$3,22))&lt;&gt;""),Amendoim!$E83:INDEX(Amendoim!$E83:$Z83,MIN(J$6-$E$3,22))),0))-IF($G$2,0,IF((J$6-$G$3)&lt;1,0,IFERROR(LOOKUP(2,1/(Amendoim!$E83:INDEX(Amendoim!$E83:$Z83,MIN(J$6-$G$3,22))&lt;&gt;""),Amendoim!$E83:INDEX(Amendoim!$E83:$Z83,MIN(J$6-$G$3,22))),0)))))</f>
        <v>0</v>
      </c>
      <c r="K85" s="27" t="n">
        <f aca="false">IF(COUNT(Amendoim!$E83:$Z83)=0,0,MAX(0,IF((K$6-$E$3)&lt;1,0,IFERROR(LOOKUP(2,1/(Amendoim!$E83:INDEX(Amendoim!$E83:$Z83,MIN(K$6-$E$3,22))&lt;&gt;""),Amendoim!$E83:INDEX(Amendoim!$E83:$Z83,MIN(K$6-$E$3,22))),0))-IF($G$2,0,IF((K$6-$G$3)&lt;1,0,IFERROR(LOOKUP(2,1/(Amendoim!$E83:INDEX(Amendoim!$E83:$Z83,MIN(K$6-$G$3,22))&lt;&gt;""),Amendoim!$E83:INDEX(Amendoim!$E83:$Z83,MIN(K$6-$G$3,22))),0)))))</f>
        <v>0</v>
      </c>
      <c r="L85" s="27" t="n">
        <f aca="false">IF(COUNT(Amendoim!$E83:$Z83)=0,0,MAX(0,IF((L$6-$E$3)&lt;1,0,IFERROR(LOOKUP(2,1/(Amendoim!$E83:INDEX(Amendoim!$E83:$Z83,MIN(L$6-$E$3,22))&lt;&gt;""),Amendoim!$E83:INDEX(Amendoim!$E83:$Z83,MIN(L$6-$E$3,22))),0))-IF($G$2,0,IF((L$6-$G$3)&lt;1,0,IFERROR(LOOKUP(2,1/(Amendoim!$E83:INDEX(Amendoim!$E83:$Z83,MIN(L$6-$G$3,22))&lt;&gt;""),Amendoim!$E83:INDEX(Amendoim!$E83:$Z83,MIN(L$6-$G$3,22))),0)))))</f>
        <v>0</v>
      </c>
      <c r="M85" s="27" t="n">
        <f aca="false">IF(COUNT(Amendoim!$E83:$Z83)=0,0,MAX(0,IF((M$6-$E$3)&lt;1,0,IFERROR(LOOKUP(2,1/(Amendoim!$E83:INDEX(Amendoim!$E83:$Z83,MIN(M$6-$E$3,22))&lt;&gt;""),Amendoim!$E83:INDEX(Amendoim!$E83:$Z83,MIN(M$6-$E$3,22))),0))-IF($G$2,0,IF((M$6-$G$3)&lt;1,0,IFERROR(LOOKUP(2,1/(Amendoim!$E83:INDEX(Amendoim!$E83:$Z83,MIN(M$6-$G$3,22))&lt;&gt;""),Amendoim!$E83:INDEX(Amendoim!$E83:$Z83,MIN(M$6-$G$3,22))),0)))))</f>
        <v>0</v>
      </c>
      <c r="N85" s="27" t="n">
        <f aca="false">IF(COUNT(Amendoim!$E83:$Z83)=0,0,MAX(0,IF((N$6-$E$3)&lt;1,0,IFERROR(LOOKUP(2,1/(Amendoim!$E83:INDEX(Amendoim!$E83:$Z83,MIN(N$6-$E$3,22))&lt;&gt;""),Amendoim!$E83:INDEX(Amendoim!$E83:$Z83,MIN(N$6-$E$3,22))),0))-IF($G$2,0,IF((N$6-$G$3)&lt;1,0,IFERROR(LOOKUP(2,1/(Amendoim!$E83:INDEX(Amendoim!$E83:$Z83,MIN(N$6-$G$3,22))&lt;&gt;""),Amendoim!$E83:INDEX(Amendoim!$E83:$Z83,MIN(N$6-$G$3,22))),0)))))</f>
        <v>0</v>
      </c>
      <c r="O85" s="27" t="n">
        <f aca="false">IF(COUNT(Amendoim!$E83:$Z83)=0,0,MAX(0,IF((O$6-$E$3)&lt;1,0,IFERROR(LOOKUP(2,1/(Amendoim!$E83:INDEX(Amendoim!$E83:$Z83,MIN(O$6-$E$3,22))&lt;&gt;""),Amendoim!$E83:INDEX(Amendoim!$E83:$Z83,MIN(O$6-$E$3,22))),0))-IF($G$2,0,IF((O$6-$G$3)&lt;1,0,IFERROR(LOOKUP(2,1/(Amendoim!$E83:INDEX(Amendoim!$E83:$Z83,MIN(O$6-$G$3,22))&lt;&gt;""),Amendoim!$E83:INDEX(Amendoim!$E83:$Z83,MIN(O$6-$G$3,22))),0)))))</f>
        <v>0</v>
      </c>
      <c r="P85" s="27" t="n">
        <f aca="false">IF(COUNT(Amendoim!$E83:$Z83)=0,0,MAX(0,IF((P$6-$E$3)&lt;1,0,IFERROR(LOOKUP(2,1/(Amendoim!$E83:INDEX(Amendoim!$E83:$Z83,MIN(P$6-$E$3,22))&lt;&gt;""),Amendoim!$E83:INDEX(Amendoim!$E83:$Z83,MIN(P$6-$E$3,22))),0))-IF($G$2,0,IF((P$6-$G$3)&lt;1,0,IFERROR(LOOKUP(2,1/(Amendoim!$E83:INDEX(Amendoim!$E83:$Z83,MIN(P$6-$G$3,22))&lt;&gt;""),Amendoim!$E83:INDEX(Amendoim!$E83:$Z83,MIN(P$6-$G$3,22))),0)))))</f>
        <v>0</v>
      </c>
      <c r="Q85" s="27" t="n">
        <f aca="false">IF(COUNT(Amendoim!$E83:$Z83)=0,0,MAX(0,IF((Q$6-$E$3)&lt;1,0,IFERROR(LOOKUP(2,1/(Amendoim!$E83:INDEX(Amendoim!$E83:$Z83,MIN(Q$6-$E$3,22))&lt;&gt;""),Amendoim!$E83:INDEX(Amendoim!$E83:$Z83,MIN(Q$6-$E$3,22))),0))-IF($G$2,0,IF((Q$6-$G$3)&lt;1,0,IFERROR(LOOKUP(2,1/(Amendoim!$E83:INDEX(Amendoim!$E83:$Z83,MIN(Q$6-$G$3,22))&lt;&gt;""),Amendoim!$E83:INDEX(Amendoim!$E83:$Z83,MIN(Q$6-$G$3,22))),0)))))</f>
        <v>0</v>
      </c>
      <c r="R85" s="27" t="n">
        <f aca="false">IF(COUNT(Amendoim!$E83:$Z83)=0,0,MAX(0,IF((R$6-$E$3)&lt;1,0,IFERROR(LOOKUP(2,1/(Amendoim!$E83:INDEX(Amendoim!$E83:$Z83,MIN(R$6-$E$3,22))&lt;&gt;""),Amendoim!$E83:INDEX(Amendoim!$E83:$Z83,MIN(R$6-$E$3,22))),0))-IF($G$2,0,IF((R$6-$G$3)&lt;1,0,IFERROR(LOOKUP(2,1/(Amendoim!$E83:INDEX(Amendoim!$E83:$Z83,MIN(R$6-$G$3,22))&lt;&gt;""),Amendoim!$E83:INDEX(Amendoim!$E83:$Z83,MIN(R$6-$G$3,22))),0)))))</f>
        <v>0</v>
      </c>
      <c r="S85" s="27" t="n">
        <f aca="false">IF(COUNT(Amendoim!$E83:$Z83)=0,0,MAX(0,IF((S$6-$E$3)&lt;1,0,IFERROR(LOOKUP(2,1/(Amendoim!$E83:INDEX(Amendoim!$E83:$Z83,MIN(S$6-$E$3,22))&lt;&gt;""),Amendoim!$E83:INDEX(Amendoim!$E83:$Z83,MIN(S$6-$E$3,22))),0))-IF($G$2,0,IF((S$6-$G$3)&lt;1,0,IFERROR(LOOKUP(2,1/(Amendoim!$E83:INDEX(Amendoim!$E83:$Z83,MIN(S$6-$G$3,22))&lt;&gt;""),Amendoim!$E83:INDEX(Amendoim!$E83:$Z83,MIN(S$6-$G$3,22))),0)))))</f>
        <v>0</v>
      </c>
      <c r="T85" s="27" t="n">
        <f aca="false">IF(COUNT(Amendoim!$E83:$Z83)=0,0,MAX(0,IF((T$6-$E$3)&lt;1,0,IFERROR(LOOKUP(2,1/(Amendoim!$E83:INDEX(Amendoim!$E83:$Z83,MIN(T$6-$E$3,22))&lt;&gt;""),Amendoim!$E83:INDEX(Amendoim!$E83:$Z83,MIN(T$6-$E$3,22))),0))-IF($G$2,0,IF((T$6-$G$3)&lt;1,0,IFERROR(LOOKUP(2,1/(Amendoim!$E83:INDEX(Amendoim!$E83:$Z83,MIN(T$6-$G$3,22))&lt;&gt;""),Amendoim!$E83:INDEX(Amendoim!$E83:$Z83,MIN(T$6-$G$3,22))),0)))))</f>
        <v>0</v>
      </c>
      <c r="U85" s="27" t="n">
        <f aca="false">IF(COUNT(Amendoim!$E83:$Z83)=0,0,MAX(0,IF((U$6-$E$3)&lt;1,0,IFERROR(LOOKUP(2,1/(Amendoim!$E83:INDEX(Amendoim!$E83:$Z83,MIN(U$6-$E$3,22))&lt;&gt;""),Amendoim!$E83:INDEX(Amendoim!$E83:$Z83,MIN(U$6-$E$3,22))),0))-IF($G$2,0,IF((U$6-$G$3)&lt;1,0,IFERROR(LOOKUP(2,1/(Amendoim!$E83:INDEX(Amendoim!$E83:$Z83,MIN(U$6-$G$3,22))&lt;&gt;""),Amendoim!$E83:INDEX(Amendoim!$E83:$Z83,MIN(U$6-$G$3,22))),0)))))</f>
        <v>0</v>
      </c>
      <c r="V85" s="27" t="n">
        <f aca="false">IF(COUNT(Amendoim!$E83:$Z83)=0,0,MAX(0,IF((V$6-$E$3)&lt;1,0,IFERROR(LOOKUP(2,1/(Amendoim!$E83:INDEX(Amendoim!$E83:$Z83,MIN(V$6-$E$3,22))&lt;&gt;""),Amendoim!$E83:INDEX(Amendoim!$E83:$Z83,MIN(V$6-$E$3,22))),0))-IF($G$2,0,IF((V$6-$G$3)&lt;1,0,IFERROR(LOOKUP(2,1/(Amendoim!$E83:INDEX(Amendoim!$E83:$Z83,MIN(V$6-$G$3,22))&lt;&gt;""),Amendoim!$E83:INDEX(Amendoim!$E83:$Z83,MIN(V$6-$G$3,22))),0)))))</f>
        <v>0</v>
      </c>
      <c r="W85" s="27" t="n">
        <f aca="false">IF(COUNT(Amendoim!$E83:$Z83)=0,0,MAX(0,IF((W$6-$E$3)&lt;1,0,IFERROR(LOOKUP(2,1/(Amendoim!$E83:INDEX(Amendoim!$E83:$Z83,MIN(W$6-$E$3,22))&lt;&gt;""),Amendoim!$E83:INDEX(Amendoim!$E83:$Z83,MIN(W$6-$E$3,22))),0))-IF($G$2,0,IF((W$6-$G$3)&lt;1,0,IFERROR(LOOKUP(2,1/(Amendoim!$E83:INDEX(Amendoim!$E83:$Z83,MIN(W$6-$G$3,22))&lt;&gt;""),Amendoim!$E83:INDEX(Amendoim!$E83:$Z83,MIN(W$6-$G$3,22))),0)))))</f>
        <v>0</v>
      </c>
      <c r="X85" s="27" t="n">
        <f aca="false">IF(COUNT(Amendoim!$E83:$Z83)=0,0,MAX(0,IF((X$6-$E$3)&lt;1,0,IFERROR(LOOKUP(2,1/(Amendoim!$E83:INDEX(Amendoim!$E83:$Z83,MIN(X$6-$E$3,22))&lt;&gt;""),Amendoim!$E83:INDEX(Amendoim!$E83:$Z83,MIN(X$6-$E$3,22))),0))-IF($G$2,0,IF((X$6-$G$3)&lt;1,0,IFERROR(LOOKUP(2,1/(Amendoim!$E83:INDEX(Amendoim!$E83:$Z83,MIN(X$6-$G$3,22))&lt;&gt;""),Amendoim!$E83:INDEX(Amendoim!$E83:$Z83,MIN(X$6-$G$3,22))),0)))))</f>
        <v>0</v>
      </c>
      <c r="Y85" s="27" t="n">
        <f aca="false">IF(COUNT(Amendoim!$E83:$Z83)=0,0,MAX(0,IF((Y$6-$E$3)&lt;1,0,IFERROR(LOOKUP(2,1/(Amendoim!$E83:INDEX(Amendoim!$E83:$Z83,MIN(Y$6-$E$3,22))&lt;&gt;""),Amendoim!$E83:INDEX(Amendoim!$E83:$Z83,MIN(Y$6-$E$3,22))),0))-IF($G$2,0,IF((Y$6-$G$3)&lt;1,0,IFERROR(LOOKUP(2,1/(Amendoim!$E83:INDEX(Amendoim!$E83:$Z83,MIN(Y$6-$G$3,22))&lt;&gt;""),Amendoim!$E83:INDEX(Amendoim!$E83:$Z83,MIN(Y$6-$G$3,22))),0)))))</f>
        <v>0</v>
      </c>
      <c r="Z85" s="27" t="n">
        <f aca="false">IF(COUNT(Amendoim!$E83:$Z83)=0,0,MAX(0,IF((Z$6-$E$3)&lt;1,0,IFERROR(LOOKUP(2,1/(Amendoim!$E83:INDEX(Amendoim!$E83:$Z83,MIN(Z$6-$E$3,22))&lt;&gt;""),Amendoim!$E83:INDEX(Amendoim!$E83:$Z83,MIN(Z$6-$E$3,22))),0))-IF($G$2,0,IF((Z$6-$G$3)&lt;1,0,IFERROR(LOOKUP(2,1/(Amendoim!$E83:INDEX(Amendoim!$E83:$Z83,MIN(Z$6-$G$3,22))&lt;&gt;""),Amendoim!$E83:INDEX(Amendoim!$E83:$Z83,MIN(Z$6-$G$3,22))),0)))))</f>
        <v>0</v>
      </c>
      <c r="AA85" s="27" t="n">
        <f aca="false">IF(COUNT(Amendoim!$E83:$Z83)=0,0,MAX(0,IF((AA$6-$E$3)&lt;1,0,IFERROR(LOOKUP(2,1/(Amendoim!$E83:INDEX(Amendoim!$E83:$Z83,MIN(AA$6-$E$3,22))&lt;&gt;""),Amendoim!$E83:INDEX(Amendoim!$E83:$Z83,MIN(AA$6-$E$3,22))),0))-IF($G$2,0,IF((AA$6-$G$3)&lt;1,0,IFERROR(LOOKUP(2,1/(Amendoim!$E83:INDEX(Amendoim!$E83:$Z83,MIN(AA$6-$G$3,22))&lt;&gt;""),Amendoim!$E83:INDEX(Amendoim!$E83:$Z83,MIN(AA$6-$G$3,22))),0)))))</f>
        <v>0</v>
      </c>
      <c r="AB85" s="27" t="n">
        <f aca="false">IF(COUNT(Amendoim!$E83:$Z83)=0,0,MAX(0,IF((AB$6-$E$3)&lt;1,0,IFERROR(LOOKUP(2,1/(Amendoim!$E83:INDEX(Amendoim!$E83:$Z83,MIN(AB$6-$E$3,22))&lt;&gt;""),Amendoim!$E83:INDEX(Amendoim!$E83:$Z83,MIN(AB$6-$E$3,22))),0))-IF($G$2,0,IF((AB$6-$G$3)&lt;1,0,IFERROR(LOOKUP(2,1/(Amendoim!$E83:INDEX(Amendoim!$E83:$Z83,MIN(AB$6-$G$3,22))&lt;&gt;""),Amendoim!$E83:INDEX(Amendoim!$E83:$Z83,MIN(AB$6-$G$3,22))),0)))))</f>
        <v>0</v>
      </c>
      <c r="AC85" s="27" t="n">
        <f aca="false">IF(COUNT(Amendoim!$E83:$Z83)=0,0,MAX(0,IF((AC$6-$E$3)&lt;1,0,IFERROR(LOOKUP(2,1/(Amendoim!$E83:INDEX(Amendoim!$E83:$Z83,MIN(AC$6-$E$3,22))&lt;&gt;""),Amendoim!$E83:INDEX(Amendoim!$E83:$Z83,MIN(AC$6-$E$3,22))),0))-IF($G$2,0,IF((AC$6-$G$3)&lt;1,0,IFERROR(LOOKUP(2,1/(Amendoim!$E83:INDEX(Amendoim!$E83:$Z83,MIN(AC$6-$G$3,22))&lt;&gt;""),Amendoim!$E83:INDEX(Amendoim!$E83:$Z83,MIN(AC$6-$G$3,22))),0)))))</f>
        <v>0</v>
      </c>
      <c r="AD85" s="27" t="n">
        <f aca="false">IF(COUNT(Amendoim!$E83:$Z83)=0,0,MAX(0,IF((AD$6-$E$3)&lt;1,0,IFERROR(LOOKUP(2,1/(Amendoim!$E83:INDEX(Amendoim!$E83:$Z83,MIN(AD$6-$E$3,22))&lt;&gt;""),Amendoim!$E83:INDEX(Amendoim!$E83:$Z83,MIN(AD$6-$E$3,22))),0))-IF($G$2,0,IF((AD$6-$G$3)&lt;1,0,IFERROR(LOOKUP(2,1/(Amendoim!$E83:INDEX(Amendoim!$E83:$Z83,MIN(AD$6-$G$3,22))&lt;&gt;""),Amendoim!$E83:INDEX(Amendoim!$E83:$Z83,MIN(AD$6-$G$3,22))),0)))))</f>
        <v>0</v>
      </c>
      <c r="AE85" s="27" t="n">
        <f aca="false">IF(COUNT(Amendoim!$E83:$Z83)=0,0,MAX(0,IF((AE$6-$E$3)&lt;1,0,IFERROR(LOOKUP(2,1/(Amendoim!$E83:INDEX(Amendoim!$E83:$Z83,MIN(AE$6-$E$3,22))&lt;&gt;""),Amendoim!$E83:INDEX(Amendoim!$E83:$Z83,MIN(AE$6-$E$3,22))),0))-IF($G$2,0,IF((AE$6-$G$3)&lt;1,0,IFERROR(LOOKUP(2,1/(Amendoim!$E83:INDEX(Amendoim!$E83:$Z83,MIN(AE$6-$G$3,22))&lt;&gt;""),Amendoim!$E83:INDEX(Amendoim!$E83:$Z83,MIN(AE$6-$G$3,22))),0)))))</f>
        <v>0</v>
      </c>
      <c r="AF85" s="27" t="n">
        <f aca="false">IF(COUNT(Amendoim!$E83:$Z83)=0,0,MAX(0,IF((AF$6-$E$3)&lt;1,0,IFERROR(LOOKUP(2,1/(Amendoim!$E83:INDEX(Amendoim!$E83:$Z83,MIN(AF$6-$E$3,22))&lt;&gt;""),Amendoim!$E83:INDEX(Amendoim!$E83:$Z83,MIN(AF$6-$E$3,22))),0))-IF($G$2,0,IF((AF$6-$G$3)&lt;1,0,IFERROR(LOOKUP(2,1/(Amendoim!$E83:INDEX(Amendoim!$E83:$Z83,MIN(AF$6-$G$3,22))&lt;&gt;""),Amendoim!$E83:INDEX(Amendoim!$E83:$Z83,MIN(AF$6-$G$3,22))),0)))))</f>
        <v>0</v>
      </c>
      <c r="AG85" s="27" t="n">
        <f aca="false">IF(COUNT(Amendoim!$E83:$Z83)=0,0,MAX(0,IF((AG$6-$E$3)&lt;1,0,IFERROR(LOOKUP(2,1/(Amendoim!$E83:INDEX(Amendoim!$E83:$Z83,MIN(AG$6-$E$3,22))&lt;&gt;""),Amendoim!$E83:INDEX(Amendoim!$E83:$Z83,MIN(AG$6-$E$3,22))),0))-IF($G$2,0,IF((AG$6-$G$3)&lt;1,0,IFERROR(LOOKUP(2,1/(Amendoim!$E83:INDEX(Amendoim!$E83:$Z83,MIN(AG$6-$G$3,22))&lt;&gt;""),Amendoim!$E83:INDEX(Amendoim!$E83:$Z83,MIN(AG$6-$G$3,22))),0)))))</f>
        <v>0</v>
      </c>
      <c r="AH85" s="27" t="n">
        <f aca="false">IF(COUNT(Amendoim!$E83:$Z83)=0,0,MAX(0,IF((AH$6-$E$3)&lt;1,0,IFERROR(LOOKUP(2,1/(Amendoim!$E83:INDEX(Amendoim!$E83:$Z83,MIN(AH$6-$E$3,22))&lt;&gt;""),Amendoim!$E83:INDEX(Amendoim!$E83:$Z83,MIN(AH$6-$E$3,22))),0))-IF($G$2,0,IF((AH$6-$G$3)&lt;1,0,IFERROR(LOOKUP(2,1/(Amendoim!$E83:INDEX(Amendoim!$E83:$Z83,MIN(AH$6-$G$3,22))&lt;&gt;""),Amendoim!$E83:INDEX(Amendoim!$E83:$Z83,MIN(AH$6-$G$3,22))),0)))))</f>
        <v>0</v>
      </c>
      <c r="AI85" s="27" t="n">
        <f aca="false">IF(COUNT(Amendoim!$E83:$Z83)=0,0,MAX(0,IF((AI$6-$E$3)&lt;1,0,IFERROR(LOOKUP(2,1/(Amendoim!$E83:INDEX(Amendoim!$E83:$Z83,MIN(AI$6-$E$3,22))&lt;&gt;""),Amendoim!$E83:INDEX(Amendoim!$E83:$Z83,MIN(AI$6-$E$3,22))),0))-IF($G$2,0,IF((AI$6-$G$3)&lt;1,0,IFERROR(LOOKUP(2,1/(Amendoim!$E83:INDEX(Amendoim!$E83:$Z83,MIN(AI$6-$G$3,22))&lt;&gt;""),Amendoim!$E83:INDEX(Amendoim!$E83:$Z83,MIN(AI$6-$G$3,22))),0)))))</f>
        <v>0</v>
      </c>
      <c r="AJ85" s="27" t="n">
        <f aca="false">IF(COUNT(Amendoim!$E83:$Z83)=0,0,MAX(0,IF((AJ$6-$E$3)&lt;1,0,IFERROR(LOOKUP(2,1/(Amendoim!$E83:INDEX(Amendoim!$E83:$Z83,MIN(AJ$6-$E$3,22))&lt;&gt;""),Amendoim!$E83:INDEX(Amendoim!$E83:$Z83,MIN(AJ$6-$E$3,22))),0))-IF($G$2,0,IF((AJ$6-$G$3)&lt;1,0,IFERROR(LOOKUP(2,1/(Amendoim!$E83:INDEX(Amendoim!$E83:$Z83,MIN(AJ$6-$G$3,22))&lt;&gt;""),Amendoim!$E83:INDEX(Amendoim!$E83:$Z83,MIN(AJ$6-$G$3,22))),0)))))</f>
        <v>0</v>
      </c>
      <c r="AK85" s="27" t="n">
        <f aca="false">IF(COUNT(Amendoim!$E83:$Z83)=0,0,MAX(0,IF((AK$6-$E$3)&lt;1,0,IFERROR(LOOKUP(2,1/(Amendoim!$E83:INDEX(Amendoim!$E83:$Z83,MIN(AK$6-$E$3,22))&lt;&gt;""),Amendoim!$E83:INDEX(Amendoim!$E83:$Z83,MIN(AK$6-$E$3,22))),0))-IF($G$2,0,IF((AK$6-$G$3)&lt;1,0,IFERROR(LOOKUP(2,1/(Amendoim!$E83:INDEX(Amendoim!$E83:$Z83,MIN(AK$6-$G$3,22))&lt;&gt;""),Amendoim!$E83:INDEX(Amendoim!$E83:$Z83,MIN(AK$6-$G$3,22))),0)))))</f>
        <v>0</v>
      </c>
      <c r="AL85" s="27" t="n">
        <f aca="false">IF(COUNT(Amendoim!$E83:$Z83)=0,0,MAX(0,IF((AL$6-$E$3)&lt;1,0,IFERROR(LOOKUP(2,1/(Amendoim!$E83:INDEX(Amendoim!$E83:$Z83,MIN(AL$6-$E$3,22))&lt;&gt;""),Amendoim!$E83:INDEX(Amendoim!$E83:$Z83,MIN(AL$6-$E$3,22))),0))-IF($G$2,0,IF((AL$6-$G$3)&lt;1,0,IFERROR(LOOKUP(2,1/(Amendoim!$E83:INDEX(Amendoim!$E83:$Z83,MIN(AL$6-$G$3,22))&lt;&gt;""),Amendoim!$E83:INDEX(Amendoim!$E83:$Z83,MIN(AL$6-$G$3,22))),0)))))</f>
        <v>0</v>
      </c>
      <c r="AM85" s="27" t="n">
        <f aca="false">IF(COUNT(Amendoim!$E83:$Z83)=0,0,MAX(0,IF((AM$6-$E$3)&lt;1,0,IFERROR(LOOKUP(2,1/(Amendoim!$E83:INDEX(Amendoim!$E83:$Z83,MIN(AM$6-$E$3,22))&lt;&gt;""),Amendoim!$E83:INDEX(Amendoim!$E83:$Z83,MIN(AM$6-$E$3,22))),0))-IF($G$2,0,IF((AM$6-$G$3)&lt;1,0,IFERROR(LOOKUP(2,1/(Amendoim!$E83:INDEX(Amendoim!$E83:$Z83,MIN(AM$6-$G$3,22))&lt;&gt;""),Amendoim!$E83:INDEX(Amendoim!$E83:$Z83,MIN(AM$6-$G$3,22))),0)))))</f>
        <v>0</v>
      </c>
      <c r="AN85" s="27" t="n">
        <f aca="false">IF(COUNT(Amendoim!$E83:$Z83)=0,0,MAX(0,IF((AN$6-$E$3)&lt;1,0,IFERROR(LOOKUP(2,1/(Amendoim!$E83:INDEX(Amendoim!$E83:$Z83,MIN(AN$6-$E$3,22))&lt;&gt;""),Amendoim!$E83:INDEX(Amendoim!$E83:$Z83,MIN(AN$6-$E$3,22))),0))-IF($G$2,0,IF((AN$6-$G$3)&lt;1,0,IFERROR(LOOKUP(2,1/(Amendoim!$E83:INDEX(Amendoim!$E83:$Z83,MIN(AN$6-$G$3,22))&lt;&gt;""),Amendoim!$E83:INDEX(Amendoim!$E83:$Z83,MIN(AN$6-$G$3,22))),0)))))</f>
        <v>0</v>
      </c>
      <c r="AO85" s="27" t="n">
        <f aca="false">IF(COUNT(Amendoim!$E83:$Z83)=0,0,MAX(0,IF((AO$6-$E$3)&lt;1,0,IFERROR(LOOKUP(2,1/(Amendoim!$E83:INDEX(Amendoim!$E83:$Z83,MIN(AO$6-$E$3,22))&lt;&gt;""),Amendoim!$E83:INDEX(Amendoim!$E83:$Z83,MIN(AO$6-$E$3,22))),0))-IF($G$2,0,IF((AO$6-$G$3)&lt;1,0,IFERROR(LOOKUP(2,1/(Amendoim!$E83:INDEX(Amendoim!$E83:$Z83,MIN(AO$6-$G$3,22))&lt;&gt;""),Amendoim!$E83:INDEX(Amendoim!$E83:$Z83,MIN(AO$6-$G$3,22))),0)))))</f>
        <v>0</v>
      </c>
      <c r="AP85" s="27" t="n">
        <f aca="false">IF(COUNT(Amendoim!$E83:$Z83)=0,0,MAX(0,IF((AP$6-$E$3)&lt;1,0,IFERROR(LOOKUP(2,1/(Amendoim!$E83:INDEX(Amendoim!$E83:$Z83,MIN(AP$6-$E$3,22))&lt;&gt;""),Amendoim!$E83:INDEX(Amendoim!$E83:$Z83,MIN(AP$6-$E$3,22))),0))-IF($G$2,0,IF((AP$6-$G$3)&lt;1,0,IFERROR(LOOKUP(2,1/(Amendoim!$E83:INDEX(Amendoim!$E83:$Z83,MIN(AP$6-$G$3,22))&lt;&gt;""),Amendoim!$E83:INDEX(Amendoim!$E83:$Z83,MIN(AP$6-$G$3,22))),0)))))</f>
        <v>0</v>
      </c>
      <c r="AQ85" s="27" t="n">
        <f aca="false">IF(COUNT(Amendoim!$E83:$Z83)=0,0,MAX(0,IF((AQ$6-$E$3)&lt;1,0,IFERROR(LOOKUP(2,1/(Amendoim!$E83:INDEX(Amendoim!$E83:$Z83,MIN(AQ$6-$E$3,22))&lt;&gt;""),Amendoim!$E83:INDEX(Amendoim!$E83:$Z83,MIN(AQ$6-$E$3,22))),0))-IF($G$2,0,IF((AQ$6-$G$3)&lt;1,0,IFERROR(LOOKUP(2,1/(Amendoim!$E83:INDEX(Amendoim!$E83:$Z83,MIN(AQ$6-$G$3,22))&lt;&gt;""),Amendoim!$E83:INDEX(Amendoim!$E83:$Z83,MIN(AQ$6-$G$3,22))),0)))))</f>
        <v>0</v>
      </c>
      <c r="AR85" s="27" t="n">
        <f aca="false">IF(COUNT(Amendoim!$E83:$Z83)=0,0,MAX(0,IF((AR$6-$E$3)&lt;1,0,IFERROR(LOOKUP(2,1/(Amendoim!$E83:INDEX(Amendoim!$E83:$Z83,MIN(AR$6-$E$3,22))&lt;&gt;""),Amendoim!$E83:INDEX(Amendoim!$E83:$Z83,MIN(AR$6-$E$3,22))),0))-IF($G$2,0,IF((AR$6-$G$3)&lt;1,0,IFERROR(LOOKUP(2,1/(Amendoim!$E83:INDEX(Amendoim!$E83:$Z83,MIN(AR$6-$G$3,22))&lt;&gt;""),Amendoim!$E83:INDEX(Amendoim!$E83:$Z83,MIN(AR$6-$G$3,22))),0)))))</f>
        <v>0</v>
      </c>
      <c r="AS85" s="27" t="n">
        <f aca="false">IF(COUNT(Amendoim!$E83:$Z83)=0,0,MAX(0,IF((AS$6-$E$3)&lt;1,0,IFERROR(LOOKUP(2,1/(Amendoim!$E83:INDEX(Amendoim!$E83:$Z83,MIN(AS$6-$E$3,22))&lt;&gt;""),Amendoim!$E83:INDEX(Amendoim!$E83:$Z83,MIN(AS$6-$E$3,22))),0))-IF($G$2,0,IF((AS$6-$G$3)&lt;1,0,IFERROR(LOOKUP(2,1/(Amendoim!$E83:INDEX(Amendoim!$E83:$Z83,MIN(AS$6-$G$3,22))&lt;&gt;""),Amendoim!$E83:INDEX(Amendoim!$E83:$Z83,MIN(AS$6-$G$3,22))),0)))))</f>
        <v>0</v>
      </c>
      <c r="AT85" s="27" t="n">
        <f aca="false">IF(COUNT(Amendoim!$E83:$Z83)=0,0,MAX(0,IF((AT$6-$E$3)&lt;1,0,IFERROR(LOOKUP(2,1/(Amendoim!$E83:INDEX(Amendoim!$E83:$Z83,MIN(AT$6-$E$3,22))&lt;&gt;""),Amendoim!$E83:INDEX(Amendoim!$E83:$Z83,MIN(AT$6-$E$3,22))),0))-IF($G$2,0,IF((AT$6-$G$3)&lt;1,0,IFERROR(LOOKUP(2,1/(Amendoim!$E83:INDEX(Amendoim!$E83:$Z83,MIN(AT$6-$G$3,22))&lt;&gt;""),Amendoim!$E83:INDEX(Amendoim!$E83:$Z83,MIN(AT$6-$G$3,22))),0)))))</f>
        <v>0</v>
      </c>
      <c r="AU85" s="27" t="n">
        <f aca="false">IF(COUNT(Amendoim!$E83:$Z83)=0,0,MAX(0,IF((AU$6-$E$3)&lt;1,0,IFERROR(LOOKUP(2,1/(Amendoim!$E83:INDEX(Amendoim!$E83:$Z83,MIN(AU$6-$E$3,22))&lt;&gt;""),Amendoim!$E83:INDEX(Amendoim!$E83:$Z83,MIN(AU$6-$E$3,22))),0))-IF($G$2,0,IF((AU$6-$G$3)&lt;1,0,IFERROR(LOOKUP(2,1/(Amendoim!$E83:INDEX(Amendoim!$E83:$Z83,MIN(AU$6-$G$3,22))&lt;&gt;""),Amendoim!$E83:INDEX(Amendoim!$E83:$Z83,MIN(AU$6-$G$3,22))),0)))))</f>
        <v>0</v>
      </c>
      <c r="AV85" s="27" t="n">
        <f aca="false">IF(COUNT(Amendoim!$E83:$Z83)=0,0,MAX(0,IF((AV$6-$E$3)&lt;1,0,IFERROR(LOOKUP(2,1/(Amendoim!$E83:INDEX(Amendoim!$E83:$Z83,MIN(AV$6-$E$3,22))&lt;&gt;""),Amendoim!$E83:INDEX(Amendoim!$E83:$Z83,MIN(AV$6-$E$3,22))),0))-IF($G$2,0,IF((AV$6-$G$3)&lt;1,0,IFERROR(LOOKUP(2,1/(Amendoim!$E83:INDEX(Amendoim!$E83:$Z83,MIN(AV$6-$G$3,22))&lt;&gt;""),Amendoim!$E83:INDEX(Amendoim!$E83:$Z83,MIN(AV$6-$G$3,22))),0)))))</f>
        <v>0</v>
      </c>
      <c r="AW85" s="27" t="n">
        <f aca="false">IF(COUNT(Amendoim!$E83:$Z83)=0,0,MAX(0,IF((AW$6-$E$3)&lt;1,0,IFERROR(LOOKUP(2,1/(Amendoim!$E83:INDEX(Amendoim!$E83:$Z83,MIN(AW$6-$E$3,22))&lt;&gt;""),Amendoim!$E83:INDEX(Amendoim!$E83:$Z83,MIN(AW$6-$E$3,22))),0))-IF($G$2,0,IF((AW$6-$G$3)&lt;1,0,IFERROR(LOOKUP(2,1/(Amendoim!$E83:INDEX(Amendoim!$E83:$Z83,MIN(AW$6-$G$3,22))&lt;&gt;""),Amendoim!$E83:INDEX(Amendoim!$E83:$Z83,MIN(AW$6-$G$3,22))),0)))))</f>
        <v>0</v>
      </c>
      <c r="AX85" s="27" t="n">
        <f aca="false">IF(COUNT(Amendoim!$E83:$Z83)=0,0,MAX(0,IF((AX$6-$E$3)&lt;1,0,IFERROR(LOOKUP(2,1/(Amendoim!$E83:INDEX(Amendoim!$E83:$Z83,MIN(AX$6-$E$3,22))&lt;&gt;""),Amendoim!$E83:INDEX(Amendoim!$E83:$Z83,MIN(AX$6-$E$3,22))),0))-IF($G$2,0,IF((AX$6-$G$3)&lt;1,0,IFERROR(LOOKUP(2,1/(Amendoim!$E83:INDEX(Amendoim!$E83:$Z83,MIN(AX$6-$G$3,22))&lt;&gt;""),Amendoim!$E83:INDEX(Amendoim!$E83:$Z83,MIN(AX$6-$G$3,22))),0)))))</f>
        <v>0</v>
      </c>
      <c r="AY85" s="27" t="n">
        <f aca="false">IF(COUNT(Amendoim!$E83:$Z83)=0,0,MAX(0,IF((AY$6-$E$3)&lt;1,0,IFERROR(LOOKUP(2,1/(Amendoim!$E83:INDEX(Amendoim!$E83:$Z83,MIN(AY$6-$E$3,22))&lt;&gt;""),Amendoim!$E83:INDEX(Amendoim!$E83:$Z83,MIN(AY$6-$E$3,22))),0))-IF($G$2,0,IF((AY$6-$G$3)&lt;1,0,IFERROR(LOOKUP(2,1/(Amendoim!$E83:INDEX(Amendoim!$E83:$Z83,MIN(AY$6-$G$3,22))&lt;&gt;""),Amendoim!$E83:INDEX(Amendoim!$E83:$Z83,MIN(AY$6-$G$3,22))),0)))))</f>
        <v>0</v>
      </c>
      <c r="AZ85" s="27" t="n">
        <f aca="false">IF(COUNT(Amendoim!$E83:$Z83)=0,0,MAX(0,IF((AZ$6-$E$3)&lt;1,0,IFERROR(LOOKUP(2,1/(Amendoim!$E83:INDEX(Amendoim!$E83:$Z83,MIN(AZ$6-$E$3,22))&lt;&gt;""),Amendoim!$E83:INDEX(Amendoim!$E83:$Z83,MIN(AZ$6-$E$3,22))),0))-IF($G$2,0,IF((AZ$6-$G$3)&lt;1,0,IFERROR(LOOKUP(2,1/(Amendoim!$E83:INDEX(Amendoim!$E83:$Z83,MIN(AZ$6-$G$3,22))&lt;&gt;""),Amendoim!$E83:INDEX(Amendoim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IF(COUNT(Amendoim!$E84:$Z84)&gt;0,N(Amendoim!$D84),0)</f>
        <v>0</v>
      </c>
      <c r="E86" s="27" t="n">
        <f aca="false">IF(COUNT(Amendoim!$E84:$Z84)=0,0,MAX(0,IF((E$6-$E$3)&lt;1,0,IFERROR(LOOKUP(2,1/(Amendoim!$E84:INDEX(Amendoim!$E84:$Z84,MIN(E$6-$E$3,22))&lt;&gt;""),Amendoim!$E84:INDEX(Amendoim!$E84:$Z84,MIN(E$6-$E$3,22))),0))-IF($G$2,0,IF((E$6-$G$3)&lt;1,0,IFERROR(LOOKUP(2,1/(Amendoim!$E84:INDEX(Amendoim!$E84:$Z84,MIN(E$6-$G$3,22))&lt;&gt;""),Amendoim!$E84:INDEX(Amendoim!$E84:$Z84,MIN(E$6-$G$3,22))),0)))))</f>
        <v>0</v>
      </c>
      <c r="F86" s="27" t="n">
        <f aca="false">IF(COUNT(Amendoim!$E84:$Z84)=0,0,MAX(0,IF((F$6-$E$3)&lt;1,0,IFERROR(LOOKUP(2,1/(Amendoim!$E84:INDEX(Amendoim!$E84:$Z84,MIN(F$6-$E$3,22))&lt;&gt;""),Amendoim!$E84:INDEX(Amendoim!$E84:$Z84,MIN(F$6-$E$3,22))),0))-IF($G$2,0,IF((F$6-$G$3)&lt;1,0,IFERROR(LOOKUP(2,1/(Amendoim!$E84:INDEX(Amendoim!$E84:$Z84,MIN(F$6-$G$3,22))&lt;&gt;""),Amendoim!$E84:INDEX(Amendoim!$E84:$Z84,MIN(F$6-$G$3,22))),0)))))</f>
        <v>0</v>
      </c>
      <c r="G86" s="27" t="n">
        <f aca="false">IF(COUNT(Amendoim!$E84:$Z84)=0,0,MAX(0,IF((G$6-$E$3)&lt;1,0,IFERROR(LOOKUP(2,1/(Amendoim!$E84:INDEX(Amendoim!$E84:$Z84,MIN(G$6-$E$3,22))&lt;&gt;""),Amendoim!$E84:INDEX(Amendoim!$E84:$Z84,MIN(G$6-$E$3,22))),0))-IF($G$2,0,IF((G$6-$G$3)&lt;1,0,IFERROR(LOOKUP(2,1/(Amendoim!$E84:INDEX(Amendoim!$E84:$Z84,MIN(G$6-$G$3,22))&lt;&gt;""),Amendoim!$E84:INDEX(Amendoim!$E84:$Z84,MIN(G$6-$G$3,22))),0)))))</f>
        <v>0</v>
      </c>
      <c r="H86" s="27" t="n">
        <f aca="false">IF(COUNT(Amendoim!$E84:$Z84)=0,0,MAX(0,IF((H$6-$E$3)&lt;1,0,IFERROR(LOOKUP(2,1/(Amendoim!$E84:INDEX(Amendoim!$E84:$Z84,MIN(H$6-$E$3,22))&lt;&gt;""),Amendoim!$E84:INDEX(Amendoim!$E84:$Z84,MIN(H$6-$E$3,22))),0))-IF($G$2,0,IF((H$6-$G$3)&lt;1,0,IFERROR(LOOKUP(2,1/(Amendoim!$E84:INDEX(Amendoim!$E84:$Z84,MIN(H$6-$G$3,22))&lt;&gt;""),Amendoim!$E84:INDEX(Amendoim!$E84:$Z84,MIN(H$6-$G$3,22))),0)))))</f>
        <v>0</v>
      </c>
      <c r="I86" s="27" t="n">
        <f aca="false">IF(COUNT(Amendoim!$E84:$Z84)=0,0,MAX(0,IF((I$6-$E$3)&lt;1,0,IFERROR(LOOKUP(2,1/(Amendoim!$E84:INDEX(Amendoim!$E84:$Z84,MIN(I$6-$E$3,22))&lt;&gt;""),Amendoim!$E84:INDEX(Amendoim!$E84:$Z84,MIN(I$6-$E$3,22))),0))-IF($G$2,0,IF((I$6-$G$3)&lt;1,0,IFERROR(LOOKUP(2,1/(Amendoim!$E84:INDEX(Amendoim!$E84:$Z84,MIN(I$6-$G$3,22))&lt;&gt;""),Amendoim!$E84:INDEX(Amendoim!$E84:$Z84,MIN(I$6-$G$3,22))),0)))))</f>
        <v>0</v>
      </c>
      <c r="J86" s="27" t="n">
        <f aca="false">IF(COUNT(Amendoim!$E84:$Z84)=0,0,MAX(0,IF((J$6-$E$3)&lt;1,0,IFERROR(LOOKUP(2,1/(Amendoim!$E84:INDEX(Amendoim!$E84:$Z84,MIN(J$6-$E$3,22))&lt;&gt;""),Amendoim!$E84:INDEX(Amendoim!$E84:$Z84,MIN(J$6-$E$3,22))),0))-IF($G$2,0,IF((J$6-$G$3)&lt;1,0,IFERROR(LOOKUP(2,1/(Amendoim!$E84:INDEX(Amendoim!$E84:$Z84,MIN(J$6-$G$3,22))&lt;&gt;""),Amendoim!$E84:INDEX(Amendoim!$E84:$Z84,MIN(J$6-$G$3,22))),0)))))</f>
        <v>0</v>
      </c>
      <c r="K86" s="27" t="n">
        <f aca="false">IF(COUNT(Amendoim!$E84:$Z84)=0,0,MAX(0,IF((K$6-$E$3)&lt;1,0,IFERROR(LOOKUP(2,1/(Amendoim!$E84:INDEX(Amendoim!$E84:$Z84,MIN(K$6-$E$3,22))&lt;&gt;""),Amendoim!$E84:INDEX(Amendoim!$E84:$Z84,MIN(K$6-$E$3,22))),0))-IF($G$2,0,IF((K$6-$G$3)&lt;1,0,IFERROR(LOOKUP(2,1/(Amendoim!$E84:INDEX(Amendoim!$E84:$Z84,MIN(K$6-$G$3,22))&lt;&gt;""),Amendoim!$E84:INDEX(Amendoim!$E84:$Z84,MIN(K$6-$G$3,22))),0)))))</f>
        <v>0</v>
      </c>
      <c r="L86" s="27" t="n">
        <f aca="false">IF(COUNT(Amendoim!$E84:$Z84)=0,0,MAX(0,IF((L$6-$E$3)&lt;1,0,IFERROR(LOOKUP(2,1/(Amendoim!$E84:INDEX(Amendoim!$E84:$Z84,MIN(L$6-$E$3,22))&lt;&gt;""),Amendoim!$E84:INDEX(Amendoim!$E84:$Z84,MIN(L$6-$E$3,22))),0))-IF($G$2,0,IF((L$6-$G$3)&lt;1,0,IFERROR(LOOKUP(2,1/(Amendoim!$E84:INDEX(Amendoim!$E84:$Z84,MIN(L$6-$G$3,22))&lt;&gt;""),Amendoim!$E84:INDEX(Amendoim!$E84:$Z84,MIN(L$6-$G$3,22))),0)))))</f>
        <v>0</v>
      </c>
      <c r="M86" s="27" t="n">
        <f aca="false">IF(COUNT(Amendoim!$E84:$Z84)=0,0,MAX(0,IF((M$6-$E$3)&lt;1,0,IFERROR(LOOKUP(2,1/(Amendoim!$E84:INDEX(Amendoim!$E84:$Z84,MIN(M$6-$E$3,22))&lt;&gt;""),Amendoim!$E84:INDEX(Amendoim!$E84:$Z84,MIN(M$6-$E$3,22))),0))-IF($G$2,0,IF((M$6-$G$3)&lt;1,0,IFERROR(LOOKUP(2,1/(Amendoim!$E84:INDEX(Amendoim!$E84:$Z84,MIN(M$6-$G$3,22))&lt;&gt;""),Amendoim!$E84:INDEX(Amendoim!$E84:$Z84,MIN(M$6-$G$3,22))),0)))))</f>
        <v>0</v>
      </c>
      <c r="N86" s="27" t="n">
        <f aca="false">IF(COUNT(Amendoim!$E84:$Z84)=0,0,MAX(0,IF((N$6-$E$3)&lt;1,0,IFERROR(LOOKUP(2,1/(Amendoim!$E84:INDEX(Amendoim!$E84:$Z84,MIN(N$6-$E$3,22))&lt;&gt;""),Amendoim!$E84:INDEX(Amendoim!$E84:$Z84,MIN(N$6-$E$3,22))),0))-IF($G$2,0,IF((N$6-$G$3)&lt;1,0,IFERROR(LOOKUP(2,1/(Amendoim!$E84:INDEX(Amendoim!$E84:$Z84,MIN(N$6-$G$3,22))&lt;&gt;""),Amendoim!$E84:INDEX(Amendoim!$E84:$Z84,MIN(N$6-$G$3,22))),0)))))</f>
        <v>0</v>
      </c>
      <c r="O86" s="27" t="n">
        <f aca="false">IF(COUNT(Amendoim!$E84:$Z84)=0,0,MAX(0,IF((O$6-$E$3)&lt;1,0,IFERROR(LOOKUP(2,1/(Amendoim!$E84:INDEX(Amendoim!$E84:$Z84,MIN(O$6-$E$3,22))&lt;&gt;""),Amendoim!$E84:INDEX(Amendoim!$E84:$Z84,MIN(O$6-$E$3,22))),0))-IF($G$2,0,IF((O$6-$G$3)&lt;1,0,IFERROR(LOOKUP(2,1/(Amendoim!$E84:INDEX(Amendoim!$E84:$Z84,MIN(O$6-$G$3,22))&lt;&gt;""),Amendoim!$E84:INDEX(Amendoim!$E84:$Z84,MIN(O$6-$G$3,22))),0)))))</f>
        <v>0</v>
      </c>
      <c r="P86" s="27" t="n">
        <f aca="false">IF(COUNT(Amendoim!$E84:$Z84)=0,0,MAX(0,IF((P$6-$E$3)&lt;1,0,IFERROR(LOOKUP(2,1/(Amendoim!$E84:INDEX(Amendoim!$E84:$Z84,MIN(P$6-$E$3,22))&lt;&gt;""),Amendoim!$E84:INDEX(Amendoim!$E84:$Z84,MIN(P$6-$E$3,22))),0))-IF($G$2,0,IF((P$6-$G$3)&lt;1,0,IFERROR(LOOKUP(2,1/(Amendoim!$E84:INDEX(Amendoim!$E84:$Z84,MIN(P$6-$G$3,22))&lt;&gt;""),Amendoim!$E84:INDEX(Amendoim!$E84:$Z84,MIN(P$6-$G$3,22))),0)))))</f>
        <v>0</v>
      </c>
      <c r="Q86" s="27" t="n">
        <f aca="false">IF(COUNT(Amendoim!$E84:$Z84)=0,0,MAX(0,IF((Q$6-$E$3)&lt;1,0,IFERROR(LOOKUP(2,1/(Amendoim!$E84:INDEX(Amendoim!$E84:$Z84,MIN(Q$6-$E$3,22))&lt;&gt;""),Amendoim!$E84:INDEX(Amendoim!$E84:$Z84,MIN(Q$6-$E$3,22))),0))-IF($G$2,0,IF((Q$6-$G$3)&lt;1,0,IFERROR(LOOKUP(2,1/(Amendoim!$E84:INDEX(Amendoim!$E84:$Z84,MIN(Q$6-$G$3,22))&lt;&gt;""),Amendoim!$E84:INDEX(Amendoim!$E84:$Z84,MIN(Q$6-$G$3,22))),0)))))</f>
        <v>0</v>
      </c>
      <c r="R86" s="27" t="n">
        <f aca="false">IF(COUNT(Amendoim!$E84:$Z84)=0,0,MAX(0,IF((R$6-$E$3)&lt;1,0,IFERROR(LOOKUP(2,1/(Amendoim!$E84:INDEX(Amendoim!$E84:$Z84,MIN(R$6-$E$3,22))&lt;&gt;""),Amendoim!$E84:INDEX(Amendoim!$E84:$Z84,MIN(R$6-$E$3,22))),0))-IF($G$2,0,IF((R$6-$G$3)&lt;1,0,IFERROR(LOOKUP(2,1/(Amendoim!$E84:INDEX(Amendoim!$E84:$Z84,MIN(R$6-$G$3,22))&lt;&gt;""),Amendoim!$E84:INDEX(Amendoim!$E84:$Z84,MIN(R$6-$G$3,22))),0)))))</f>
        <v>0</v>
      </c>
      <c r="S86" s="27" t="n">
        <f aca="false">IF(COUNT(Amendoim!$E84:$Z84)=0,0,MAX(0,IF((S$6-$E$3)&lt;1,0,IFERROR(LOOKUP(2,1/(Amendoim!$E84:INDEX(Amendoim!$E84:$Z84,MIN(S$6-$E$3,22))&lt;&gt;""),Amendoim!$E84:INDEX(Amendoim!$E84:$Z84,MIN(S$6-$E$3,22))),0))-IF($G$2,0,IF((S$6-$G$3)&lt;1,0,IFERROR(LOOKUP(2,1/(Amendoim!$E84:INDEX(Amendoim!$E84:$Z84,MIN(S$6-$G$3,22))&lt;&gt;""),Amendoim!$E84:INDEX(Amendoim!$E84:$Z84,MIN(S$6-$G$3,22))),0)))))</f>
        <v>0</v>
      </c>
      <c r="T86" s="27" t="n">
        <f aca="false">IF(COUNT(Amendoim!$E84:$Z84)=0,0,MAX(0,IF((T$6-$E$3)&lt;1,0,IFERROR(LOOKUP(2,1/(Amendoim!$E84:INDEX(Amendoim!$E84:$Z84,MIN(T$6-$E$3,22))&lt;&gt;""),Amendoim!$E84:INDEX(Amendoim!$E84:$Z84,MIN(T$6-$E$3,22))),0))-IF($G$2,0,IF((T$6-$G$3)&lt;1,0,IFERROR(LOOKUP(2,1/(Amendoim!$E84:INDEX(Amendoim!$E84:$Z84,MIN(T$6-$G$3,22))&lt;&gt;""),Amendoim!$E84:INDEX(Amendoim!$E84:$Z84,MIN(T$6-$G$3,22))),0)))))</f>
        <v>0</v>
      </c>
      <c r="U86" s="27" t="n">
        <f aca="false">IF(COUNT(Amendoim!$E84:$Z84)=0,0,MAX(0,IF((U$6-$E$3)&lt;1,0,IFERROR(LOOKUP(2,1/(Amendoim!$E84:INDEX(Amendoim!$E84:$Z84,MIN(U$6-$E$3,22))&lt;&gt;""),Amendoim!$E84:INDEX(Amendoim!$E84:$Z84,MIN(U$6-$E$3,22))),0))-IF($G$2,0,IF((U$6-$G$3)&lt;1,0,IFERROR(LOOKUP(2,1/(Amendoim!$E84:INDEX(Amendoim!$E84:$Z84,MIN(U$6-$G$3,22))&lt;&gt;""),Amendoim!$E84:INDEX(Amendoim!$E84:$Z84,MIN(U$6-$G$3,22))),0)))))</f>
        <v>0</v>
      </c>
      <c r="V86" s="27" t="n">
        <f aca="false">IF(COUNT(Amendoim!$E84:$Z84)=0,0,MAX(0,IF((V$6-$E$3)&lt;1,0,IFERROR(LOOKUP(2,1/(Amendoim!$E84:INDEX(Amendoim!$E84:$Z84,MIN(V$6-$E$3,22))&lt;&gt;""),Amendoim!$E84:INDEX(Amendoim!$E84:$Z84,MIN(V$6-$E$3,22))),0))-IF($G$2,0,IF((V$6-$G$3)&lt;1,0,IFERROR(LOOKUP(2,1/(Amendoim!$E84:INDEX(Amendoim!$E84:$Z84,MIN(V$6-$G$3,22))&lt;&gt;""),Amendoim!$E84:INDEX(Amendoim!$E84:$Z84,MIN(V$6-$G$3,22))),0)))))</f>
        <v>0</v>
      </c>
      <c r="W86" s="27" t="n">
        <f aca="false">IF(COUNT(Amendoim!$E84:$Z84)=0,0,MAX(0,IF((W$6-$E$3)&lt;1,0,IFERROR(LOOKUP(2,1/(Amendoim!$E84:INDEX(Amendoim!$E84:$Z84,MIN(W$6-$E$3,22))&lt;&gt;""),Amendoim!$E84:INDEX(Amendoim!$E84:$Z84,MIN(W$6-$E$3,22))),0))-IF($G$2,0,IF((W$6-$G$3)&lt;1,0,IFERROR(LOOKUP(2,1/(Amendoim!$E84:INDEX(Amendoim!$E84:$Z84,MIN(W$6-$G$3,22))&lt;&gt;""),Amendoim!$E84:INDEX(Amendoim!$E84:$Z84,MIN(W$6-$G$3,22))),0)))))</f>
        <v>0</v>
      </c>
      <c r="X86" s="27" t="n">
        <f aca="false">IF(COUNT(Amendoim!$E84:$Z84)=0,0,MAX(0,IF((X$6-$E$3)&lt;1,0,IFERROR(LOOKUP(2,1/(Amendoim!$E84:INDEX(Amendoim!$E84:$Z84,MIN(X$6-$E$3,22))&lt;&gt;""),Amendoim!$E84:INDEX(Amendoim!$E84:$Z84,MIN(X$6-$E$3,22))),0))-IF($G$2,0,IF((X$6-$G$3)&lt;1,0,IFERROR(LOOKUP(2,1/(Amendoim!$E84:INDEX(Amendoim!$E84:$Z84,MIN(X$6-$G$3,22))&lt;&gt;""),Amendoim!$E84:INDEX(Amendoim!$E84:$Z84,MIN(X$6-$G$3,22))),0)))))</f>
        <v>0</v>
      </c>
      <c r="Y86" s="27" t="n">
        <f aca="false">IF(COUNT(Amendoim!$E84:$Z84)=0,0,MAX(0,IF((Y$6-$E$3)&lt;1,0,IFERROR(LOOKUP(2,1/(Amendoim!$E84:INDEX(Amendoim!$E84:$Z84,MIN(Y$6-$E$3,22))&lt;&gt;""),Amendoim!$E84:INDEX(Amendoim!$E84:$Z84,MIN(Y$6-$E$3,22))),0))-IF($G$2,0,IF((Y$6-$G$3)&lt;1,0,IFERROR(LOOKUP(2,1/(Amendoim!$E84:INDEX(Amendoim!$E84:$Z84,MIN(Y$6-$G$3,22))&lt;&gt;""),Amendoim!$E84:INDEX(Amendoim!$E84:$Z84,MIN(Y$6-$G$3,22))),0)))))</f>
        <v>0</v>
      </c>
      <c r="Z86" s="27" t="n">
        <f aca="false">IF(COUNT(Amendoim!$E84:$Z84)=0,0,MAX(0,IF((Z$6-$E$3)&lt;1,0,IFERROR(LOOKUP(2,1/(Amendoim!$E84:INDEX(Amendoim!$E84:$Z84,MIN(Z$6-$E$3,22))&lt;&gt;""),Amendoim!$E84:INDEX(Amendoim!$E84:$Z84,MIN(Z$6-$E$3,22))),0))-IF($G$2,0,IF((Z$6-$G$3)&lt;1,0,IFERROR(LOOKUP(2,1/(Amendoim!$E84:INDEX(Amendoim!$E84:$Z84,MIN(Z$6-$G$3,22))&lt;&gt;""),Amendoim!$E84:INDEX(Amendoim!$E84:$Z84,MIN(Z$6-$G$3,22))),0)))))</f>
        <v>0</v>
      </c>
      <c r="AA86" s="27" t="n">
        <f aca="false">IF(COUNT(Amendoim!$E84:$Z84)=0,0,MAX(0,IF((AA$6-$E$3)&lt;1,0,IFERROR(LOOKUP(2,1/(Amendoim!$E84:INDEX(Amendoim!$E84:$Z84,MIN(AA$6-$E$3,22))&lt;&gt;""),Amendoim!$E84:INDEX(Amendoim!$E84:$Z84,MIN(AA$6-$E$3,22))),0))-IF($G$2,0,IF((AA$6-$G$3)&lt;1,0,IFERROR(LOOKUP(2,1/(Amendoim!$E84:INDEX(Amendoim!$E84:$Z84,MIN(AA$6-$G$3,22))&lt;&gt;""),Amendoim!$E84:INDEX(Amendoim!$E84:$Z84,MIN(AA$6-$G$3,22))),0)))))</f>
        <v>0</v>
      </c>
      <c r="AB86" s="27" t="n">
        <f aca="false">IF(COUNT(Amendoim!$E84:$Z84)=0,0,MAX(0,IF((AB$6-$E$3)&lt;1,0,IFERROR(LOOKUP(2,1/(Amendoim!$E84:INDEX(Amendoim!$E84:$Z84,MIN(AB$6-$E$3,22))&lt;&gt;""),Amendoim!$E84:INDEX(Amendoim!$E84:$Z84,MIN(AB$6-$E$3,22))),0))-IF($G$2,0,IF((AB$6-$G$3)&lt;1,0,IFERROR(LOOKUP(2,1/(Amendoim!$E84:INDEX(Amendoim!$E84:$Z84,MIN(AB$6-$G$3,22))&lt;&gt;""),Amendoim!$E84:INDEX(Amendoim!$E84:$Z84,MIN(AB$6-$G$3,22))),0)))))</f>
        <v>0</v>
      </c>
      <c r="AC86" s="27" t="n">
        <f aca="false">IF(COUNT(Amendoim!$E84:$Z84)=0,0,MAX(0,IF((AC$6-$E$3)&lt;1,0,IFERROR(LOOKUP(2,1/(Amendoim!$E84:INDEX(Amendoim!$E84:$Z84,MIN(AC$6-$E$3,22))&lt;&gt;""),Amendoim!$E84:INDEX(Amendoim!$E84:$Z84,MIN(AC$6-$E$3,22))),0))-IF($G$2,0,IF((AC$6-$G$3)&lt;1,0,IFERROR(LOOKUP(2,1/(Amendoim!$E84:INDEX(Amendoim!$E84:$Z84,MIN(AC$6-$G$3,22))&lt;&gt;""),Amendoim!$E84:INDEX(Amendoim!$E84:$Z84,MIN(AC$6-$G$3,22))),0)))))</f>
        <v>0</v>
      </c>
      <c r="AD86" s="27" t="n">
        <f aca="false">IF(COUNT(Amendoim!$E84:$Z84)=0,0,MAX(0,IF((AD$6-$E$3)&lt;1,0,IFERROR(LOOKUP(2,1/(Amendoim!$E84:INDEX(Amendoim!$E84:$Z84,MIN(AD$6-$E$3,22))&lt;&gt;""),Amendoim!$E84:INDEX(Amendoim!$E84:$Z84,MIN(AD$6-$E$3,22))),0))-IF($G$2,0,IF((AD$6-$G$3)&lt;1,0,IFERROR(LOOKUP(2,1/(Amendoim!$E84:INDEX(Amendoim!$E84:$Z84,MIN(AD$6-$G$3,22))&lt;&gt;""),Amendoim!$E84:INDEX(Amendoim!$E84:$Z84,MIN(AD$6-$G$3,22))),0)))))</f>
        <v>0</v>
      </c>
      <c r="AE86" s="27" t="n">
        <f aca="false">IF(COUNT(Amendoim!$E84:$Z84)=0,0,MAX(0,IF((AE$6-$E$3)&lt;1,0,IFERROR(LOOKUP(2,1/(Amendoim!$E84:INDEX(Amendoim!$E84:$Z84,MIN(AE$6-$E$3,22))&lt;&gt;""),Amendoim!$E84:INDEX(Amendoim!$E84:$Z84,MIN(AE$6-$E$3,22))),0))-IF($G$2,0,IF((AE$6-$G$3)&lt;1,0,IFERROR(LOOKUP(2,1/(Amendoim!$E84:INDEX(Amendoim!$E84:$Z84,MIN(AE$6-$G$3,22))&lt;&gt;""),Amendoim!$E84:INDEX(Amendoim!$E84:$Z84,MIN(AE$6-$G$3,22))),0)))))</f>
        <v>0</v>
      </c>
      <c r="AF86" s="27" t="n">
        <f aca="false">IF(COUNT(Amendoim!$E84:$Z84)=0,0,MAX(0,IF((AF$6-$E$3)&lt;1,0,IFERROR(LOOKUP(2,1/(Amendoim!$E84:INDEX(Amendoim!$E84:$Z84,MIN(AF$6-$E$3,22))&lt;&gt;""),Amendoim!$E84:INDEX(Amendoim!$E84:$Z84,MIN(AF$6-$E$3,22))),0))-IF($G$2,0,IF((AF$6-$G$3)&lt;1,0,IFERROR(LOOKUP(2,1/(Amendoim!$E84:INDEX(Amendoim!$E84:$Z84,MIN(AF$6-$G$3,22))&lt;&gt;""),Amendoim!$E84:INDEX(Amendoim!$E84:$Z84,MIN(AF$6-$G$3,22))),0)))))</f>
        <v>0</v>
      </c>
      <c r="AG86" s="27" t="n">
        <f aca="false">IF(COUNT(Amendoim!$E84:$Z84)=0,0,MAX(0,IF((AG$6-$E$3)&lt;1,0,IFERROR(LOOKUP(2,1/(Amendoim!$E84:INDEX(Amendoim!$E84:$Z84,MIN(AG$6-$E$3,22))&lt;&gt;""),Amendoim!$E84:INDEX(Amendoim!$E84:$Z84,MIN(AG$6-$E$3,22))),0))-IF($G$2,0,IF((AG$6-$G$3)&lt;1,0,IFERROR(LOOKUP(2,1/(Amendoim!$E84:INDEX(Amendoim!$E84:$Z84,MIN(AG$6-$G$3,22))&lt;&gt;""),Amendoim!$E84:INDEX(Amendoim!$E84:$Z84,MIN(AG$6-$G$3,22))),0)))))</f>
        <v>0</v>
      </c>
      <c r="AH86" s="27" t="n">
        <f aca="false">IF(COUNT(Amendoim!$E84:$Z84)=0,0,MAX(0,IF((AH$6-$E$3)&lt;1,0,IFERROR(LOOKUP(2,1/(Amendoim!$E84:INDEX(Amendoim!$E84:$Z84,MIN(AH$6-$E$3,22))&lt;&gt;""),Amendoim!$E84:INDEX(Amendoim!$E84:$Z84,MIN(AH$6-$E$3,22))),0))-IF($G$2,0,IF((AH$6-$G$3)&lt;1,0,IFERROR(LOOKUP(2,1/(Amendoim!$E84:INDEX(Amendoim!$E84:$Z84,MIN(AH$6-$G$3,22))&lt;&gt;""),Amendoim!$E84:INDEX(Amendoim!$E84:$Z84,MIN(AH$6-$G$3,22))),0)))))</f>
        <v>0</v>
      </c>
      <c r="AI86" s="27" t="n">
        <f aca="false">IF(COUNT(Amendoim!$E84:$Z84)=0,0,MAX(0,IF((AI$6-$E$3)&lt;1,0,IFERROR(LOOKUP(2,1/(Amendoim!$E84:INDEX(Amendoim!$E84:$Z84,MIN(AI$6-$E$3,22))&lt;&gt;""),Amendoim!$E84:INDEX(Amendoim!$E84:$Z84,MIN(AI$6-$E$3,22))),0))-IF($G$2,0,IF((AI$6-$G$3)&lt;1,0,IFERROR(LOOKUP(2,1/(Amendoim!$E84:INDEX(Amendoim!$E84:$Z84,MIN(AI$6-$G$3,22))&lt;&gt;""),Amendoim!$E84:INDEX(Amendoim!$E84:$Z84,MIN(AI$6-$G$3,22))),0)))))</f>
        <v>0</v>
      </c>
      <c r="AJ86" s="27" t="n">
        <f aca="false">IF(COUNT(Amendoim!$E84:$Z84)=0,0,MAX(0,IF((AJ$6-$E$3)&lt;1,0,IFERROR(LOOKUP(2,1/(Amendoim!$E84:INDEX(Amendoim!$E84:$Z84,MIN(AJ$6-$E$3,22))&lt;&gt;""),Amendoim!$E84:INDEX(Amendoim!$E84:$Z84,MIN(AJ$6-$E$3,22))),0))-IF($G$2,0,IF((AJ$6-$G$3)&lt;1,0,IFERROR(LOOKUP(2,1/(Amendoim!$E84:INDEX(Amendoim!$E84:$Z84,MIN(AJ$6-$G$3,22))&lt;&gt;""),Amendoim!$E84:INDEX(Amendoim!$E84:$Z84,MIN(AJ$6-$G$3,22))),0)))))</f>
        <v>0</v>
      </c>
      <c r="AK86" s="27" t="n">
        <f aca="false">IF(COUNT(Amendoim!$E84:$Z84)=0,0,MAX(0,IF((AK$6-$E$3)&lt;1,0,IFERROR(LOOKUP(2,1/(Amendoim!$E84:INDEX(Amendoim!$E84:$Z84,MIN(AK$6-$E$3,22))&lt;&gt;""),Amendoim!$E84:INDEX(Amendoim!$E84:$Z84,MIN(AK$6-$E$3,22))),0))-IF($G$2,0,IF((AK$6-$G$3)&lt;1,0,IFERROR(LOOKUP(2,1/(Amendoim!$E84:INDEX(Amendoim!$E84:$Z84,MIN(AK$6-$G$3,22))&lt;&gt;""),Amendoim!$E84:INDEX(Amendoim!$E84:$Z84,MIN(AK$6-$G$3,22))),0)))))</f>
        <v>0</v>
      </c>
      <c r="AL86" s="27" t="n">
        <f aca="false">IF(COUNT(Amendoim!$E84:$Z84)=0,0,MAX(0,IF((AL$6-$E$3)&lt;1,0,IFERROR(LOOKUP(2,1/(Amendoim!$E84:INDEX(Amendoim!$E84:$Z84,MIN(AL$6-$E$3,22))&lt;&gt;""),Amendoim!$E84:INDEX(Amendoim!$E84:$Z84,MIN(AL$6-$E$3,22))),0))-IF($G$2,0,IF((AL$6-$G$3)&lt;1,0,IFERROR(LOOKUP(2,1/(Amendoim!$E84:INDEX(Amendoim!$E84:$Z84,MIN(AL$6-$G$3,22))&lt;&gt;""),Amendoim!$E84:INDEX(Amendoim!$E84:$Z84,MIN(AL$6-$G$3,22))),0)))))</f>
        <v>0</v>
      </c>
      <c r="AM86" s="27" t="n">
        <f aca="false">IF(COUNT(Amendoim!$E84:$Z84)=0,0,MAX(0,IF((AM$6-$E$3)&lt;1,0,IFERROR(LOOKUP(2,1/(Amendoim!$E84:INDEX(Amendoim!$E84:$Z84,MIN(AM$6-$E$3,22))&lt;&gt;""),Amendoim!$E84:INDEX(Amendoim!$E84:$Z84,MIN(AM$6-$E$3,22))),0))-IF($G$2,0,IF((AM$6-$G$3)&lt;1,0,IFERROR(LOOKUP(2,1/(Amendoim!$E84:INDEX(Amendoim!$E84:$Z84,MIN(AM$6-$G$3,22))&lt;&gt;""),Amendoim!$E84:INDEX(Amendoim!$E84:$Z84,MIN(AM$6-$G$3,22))),0)))))</f>
        <v>0</v>
      </c>
      <c r="AN86" s="27" t="n">
        <f aca="false">IF(COUNT(Amendoim!$E84:$Z84)=0,0,MAX(0,IF((AN$6-$E$3)&lt;1,0,IFERROR(LOOKUP(2,1/(Amendoim!$E84:INDEX(Amendoim!$E84:$Z84,MIN(AN$6-$E$3,22))&lt;&gt;""),Amendoim!$E84:INDEX(Amendoim!$E84:$Z84,MIN(AN$6-$E$3,22))),0))-IF($G$2,0,IF((AN$6-$G$3)&lt;1,0,IFERROR(LOOKUP(2,1/(Amendoim!$E84:INDEX(Amendoim!$E84:$Z84,MIN(AN$6-$G$3,22))&lt;&gt;""),Amendoim!$E84:INDEX(Amendoim!$E84:$Z84,MIN(AN$6-$G$3,22))),0)))))</f>
        <v>0</v>
      </c>
      <c r="AO86" s="27" t="n">
        <f aca="false">IF(COUNT(Amendoim!$E84:$Z84)=0,0,MAX(0,IF((AO$6-$E$3)&lt;1,0,IFERROR(LOOKUP(2,1/(Amendoim!$E84:INDEX(Amendoim!$E84:$Z84,MIN(AO$6-$E$3,22))&lt;&gt;""),Amendoim!$E84:INDEX(Amendoim!$E84:$Z84,MIN(AO$6-$E$3,22))),0))-IF($G$2,0,IF((AO$6-$G$3)&lt;1,0,IFERROR(LOOKUP(2,1/(Amendoim!$E84:INDEX(Amendoim!$E84:$Z84,MIN(AO$6-$G$3,22))&lt;&gt;""),Amendoim!$E84:INDEX(Amendoim!$E84:$Z84,MIN(AO$6-$G$3,22))),0)))))</f>
        <v>0</v>
      </c>
      <c r="AP86" s="27" t="n">
        <f aca="false">IF(COUNT(Amendoim!$E84:$Z84)=0,0,MAX(0,IF((AP$6-$E$3)&lt;1,0,IFERROR(LOOKUP(2,1/(Amendoim!$E84:INDEX(Amendoim!$E84:$Z84,MIN(AP$6-$E$3,22))&lt;&gt;""),Amendoim!$E84:INDEX(Amendoim!$E84:$Z84,MIN(AP$6-$E$3,22))),0))-IF($G$2,0,IF((AP$6-$G$3)&lt;1,0,IFERROR(LOOKUP(2,1/(Amendoim!$E84:INDEX(Amendoim!$E84:$Z84,MIN(AP$6-$G$3,22))&lt;&gt;""),Amendoim!$E84:INDEX(Amendoim!$E84:$Z84,MIN(AP$6-$G$3,22))),0)))))</f>
        <v>0</v>
      </c>
      <c r="AQ86" s="27" t="n">
        <f aca="false">IF(COUNT(Amendoim!$E84:$Z84)=0,0,MAX(0,IF((AQ$6-$E$3)&lt;1,0,IFERROR(LOOKUP(2,1/(Amendoim!$E84:INDEX(Amendoim!$E84:$Z84,MIN(AQ$6-$E$3,22))&lt;&gt;""),Amendoim!$E84:INDEX(Amendoim!$E84:$Z84,MIN(AQ$6-$E$3,22))),0))-IF($G$2,0,IF((AQ$6-$G$3)&lt;1,0,IFERROR(LOOKUP(2,1/(Amendoim!$E84:INDEX(Amendoim!$E84:$Z84,MIN(AQ$6-$G$3,22))&lt;&gt;""),Amendoim!$E84:INDEX(Amendoim!$E84:$Z84,MIN(AQ$6-$G$3,22))),0)))))</f>
        <v>0</v>
      </c>
      <c r="AR86" s="27" t="n">
        <f aca="false">IF(COUNT(Amendoim!$E84:$Z84)=0,0,MAX(0,IF((AR$6-$E$3)&lt;1,0,IFERROR(LOOKUP(2,1/(Amendoim!$E84:INDEX(Amendoim!$E84:$Z84,MIN(AR$6-$E$3,22))&lt;&gt;""),Amendoim!$E84:INDEX(Amendoim!$E84:$Z84,MIN(AR$6-$E$3,22))),0))-IF($G$2,0,IF((AR$6-$G$3)&lt;1,0,IFERROR(LOOKUP(2,1/(Amendoim!$E84:INDEX(Amendoim!$E84:$Z84,MIN(AR$6-$G$3,22))&lt;&gt;""),Amendoim!$E84:INDEX(Amendoim!$E84:$Z84,MIN(AR$6-$G$3,22))),0)))))</f>
        <v>0</v>
      </c>
      <c r="AS86" s="27" t="n">
        <f aca="false">IF(COUNT(Amendoim!$E84:$Z84)=0,0,MAX(0,IF((AS$6-$E$3)&lt;1,0,IFERROR(LOOKUP(2,1/(Amendoim!$E84:INDEX(Amendoim!$E84:$Z84,MIN(AS$6-$E$3,22))&lt;&gt;""),Amendoim!$E84:INDEX(Amendoim!$E84:$Z84,MIN(AS$6-$E$3,22))),0))-IF($G$2,0,IF((AS$6-$G$3)&lt;1,0,IFERROR(LOOKUP(2,1/(Amendoim!$E84:INDEX(Amendoim!$E84:$Z84,MIN(AS$6-$G$3,22))&lt;&gt;""),Amendoim!$E84:INDEX(Amendoim!$E84:$Z84,MIN(AS$6-$G$3,22))),0)))))</f>
        <v>0</v>
      </c>
      <c r="AT86" s="27" t="n">
        <f aca="false">IF(COUNT(Amendoim!$E84:$Z84)=0,0,MAX(0,IF((AT$6-$E$3)&lt;1,0,IFERROR(LOOKUP(2,1/(Amendoim!$E84:INDEX(Amendoim!$E84:$Z84,MIN(AT$6-$E$3,22))&lt;&gt;""),Amendoim!$E84:INDEX(Amendoim!$E84:$Z84,MIN(AT$6-$E$3,22))),0))-IF($G$2,0,IF((AT$6-$G$3)&lt;1,0,IFERROR(LOOKUP(2,1/(Amendoim!$E84:INDEX(Amendoim!$E84:$Z84,MIN(AT$6-$G$3,22))&lt;&gt;""),Amendoim!$E84:INDEX(Amendoim!$E84:$Z84,MIN(AT$6-$G$3,22))),0)))))</f>
        <v>0</v>
      </c>
      <c r="AU86" s="27" t="n">
        <f aca="false">IF(COUNT(Amendoim!$E84:$Z84)=0,0,MAX(0,IF((AU$6-$E$3)&lt;1,0,IFERROR(LOOKUP(2,1/(Amendoim!$E84:INDEX(Amendoim!$E84:$Z84,MIN(AU$6-$E$3,22))&lt;&gt;""),Amendoim!$E84:INDEX(Amendoim!$E84:$Z84,MIN(AU$6-$E$3,22))),0))-IF($G$2,0,IF((AU$6-$G$3)&lt;1,0,IFERROR(LOOKUP(2,1/(Amendoim!$E84:INDEX(Amendoim!$E84:$Z84,MIN(AU$6-$G$3,22))&lt;&gt;""),Amendoim!$E84:INDEX(Amendoim!$E84:$Z84,MIN(AU$6-$G$3,22))),0)))))</f>
        <v>0</v>
      </c>
      <c r="AV86" s="27" t="n">
        <f aca="false">IF(COUNT(Amendoim!$E84:$Z84)=0,0,MAX(0,IF((AV$6-$E$3)&lt;1,0,IFERROR(LOOKUP(2,1/(Amendoim!$E84:INDEX(Amendoim!$E84:$Z84,MIN(AV$6-$E$3,22))&lt;&gt;""),Amendoim!$E84:INDEX(Amendoim!$E84:$Z84,MIN(AV$6-$E$3,22))),0))-IF($G$2,0,IF((AV$6-$G$3)&lt;1,0,IFERROR(LOOKUP(2,1/(Amendoim!$E84:INDEX(Amendoim!$E84:$Z84,MIN(AV$6-$G$3,22))&lt;&gt;""),Amendoim!$E84:INDEX(Amendoim!$E84:$Z84,MIN(AV$6-$G$3,22))),0)))))</f>
        <v>0</v>
      </c>
      <c r="AW86" s="27" t="n">
        <f aca="false">IF(COUNT(Amendoim!$E84:$Z84)=0,0,MAX(0,IF((AW$6-$E$3)&lt;1,0,IFERROR(LOOKUP(2,1/(Amendoim!$E84:INDEX(Amendoim!$E84:$Z84,MIN(AW$6-$E$3,22))&lt;&gt;""),Amendoim!$E84:INDEX(Amendoim!$E84:$Z84,MIN(AW$6-$E$3,22))),0))-IF($G$2,0,IF((AW$6-$G$3)&lt;1,0,IFERROR(LOOKUP(2,1/(Amendoim!$E84:INDEX(Amendoim!$E84:$Z84,MIN(AW$6-$G$3,22))&lt;&gt;""),Amendoim!$E84:INDEX(Amendoim!$E84:$Z84,MIN(AW$6-$G$3,22))),0)))))</f>
        <v>0</v>
      </c>
      <c r="AX86" s="27" t="n">
        <f aca="false">IF(COUNT(Amendoim!$E84:$Z84)=0,0,MAX(0,IF((AX$6-$E$3)&lt;1,0,IFERROR(LOOKUP(2,1/(Amendoim!$E84:INDEX(Amendoim!$E84:$Z84,MIN(AX$6-$E$3,22))&lt;&gt;""),Amendoim!$E84:INDEX(Amendoim!$E84:$Z84,MIN(AX$6-$E$3,22))),0))-IF($G$2,0,IF((AX$6-$G$3)&lt;1,0,IFERROR(LOOKUP(2,1/(Amendoim!$E84:INDEX(Amendoim!$E84:$Z84,MIN(AX$6-$G$3,22))&lt;&gt;""),Amendoim!$E84:INDEX(Amendoim!$E84:$Z84,MIN(AX$6-$G$3,22))),0)))))</f>
        <v>0</v>
      </c>
      <c r="AY86" s="27" t="n">
        <f aca="false">IF(COUNT(Amendoim!$E84:$Z84)=0,0,MAX(0,IF((AY$6-$E$3)&lt;1,0,IFERROR(LOOKUP(2,1/(Amendoim!$E84:INDEX(Amendoim!$E84:$Z84,MIN(AY$6-$E$3,22))&lt;&gt;""),Amendoim!$E84:INDEX(Amendoim!$E84:$Z84,MIN(AY$6-$E$3,22))),0))-IF($G$2,0,IF((AY$6-$G$3)&lt;1,0,IFERROR(LOOKUP(2,1/(Amendoim!$E84:INDEX(Amendoim!$E84:$Z84,MIN(AY$6-$G$3,22))&lt;&gt;""),Amendoim!$E84:INDEX(Amendoim!$E84:$Z84,MIN(AY$6-$G$3,22))),0)))))</f>
        <v>0</v>
      </c>
      <c r="AZ86" s="27" t="n">
        <f aca="false">IF(COUNT(Amendoim!$E84:$Z84)=0,0,MAX(0,IF((AZ$6-$E$3)&lt;1,0,IFERROR(LOOKUP(2,1/(Amendoim!$E84:INDEX(Amendoim!$E84:$Z84,MIN(AZ$6-$E$3,22))&lt;&gt;""),Amendoim!$E84:INDEX(Amendoim!$E84:$Z84,MIN(AZ$6-$E$3,22))),0))-IF($G$2,0,IF((AZ$6-$G$3)&lt;1,0,IFERROR(LOOKUP(2,1/(Amendoim!$E84:INDEX(Amendoim!$E84:$Z84,MIN(AZ$6-$G$3,22))&lt;&gt;""),Amendoim!$E84:INDEX(Amendoim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Parâmetros!$C$32:$C$38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308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Parâmetros!$J$9</f>
        <v>46270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46270</v>
      </c>
      <c r="F5" s="17" t="n">
        <f aca="false">$B$3+7</f>
        <v>46277</v>
      </c>
      <c r="G5" s="17" t="n">
        <f aca="false">$B$3+14</f>
        <v>46284</v>
      </c>
      <c r="H5" s="17" t="n">
        <f aca="false">$B$3+21</f>
        <v>46291</v>
      </c>
      <c r="I5" s="17" t="n">
        <f aca="false">$B$3+28</f>
        <v>46298</v>
      </c>
      <c r="J5" s="17" t="n">
        <f aca="false">$B$3+35</f>
        <v>46305</v>
      </c>
      <c r="K5" s="17" t="n">
        <f aca="false">$B$3+42</f>
        <v>46312</v>
      </c>
      <c r="L5" s="17" t="n">
        <f aca="false">$B$3+49</f>
        <v>46319</v>
      </c>
      <c r="M5" s="17" t="n">
        <f aca="false">$B$3+56</f>
        <v>46326</v>
      </c>
      <c r="N5" s="17" t="n">
        <f aca="false">$B$3+63</f>
        <v>46333</v>
      </c>
      <c r="O5" s="17" t="n">
        <f aca="false">$B$3+70</f>
        <v>46340</v>
      </c>
      <c r="P5" s="17" t="n">
        <f aca="false">$B$3+77</f>
        <v>46347</v>
      </c>
      <c r="Q5" s="17" t="n">
        <f aca="false">$B$3+84</f>
        <v>46354</v>
      </c>
      <c r="R5" s="17" t="n">
        <f aca="false">$B$3+91</f>
        <v>46361</v>
      </c>
      <c r="S5" s="17" t="n">
        <f aca="false">$B$3+98</f>
        <v>46368</v>
      </c>
      <c r="T5" s="17" t="n">
        <f aca="false">$B$3+105</f>
        <v>46375</v>
      </c>
      <c r="U5" s="17" t="n">
        <f aca="false">$B$3+112</f>
        <v>46382</v>
      </c>
      <c r="V5" s="17" t="n">
        <f aca="false">$B$3+119</f>
        <v>46389</v>
      </c>
      <c r="W5" s="17" t="n">
        <f aca="false">$B$3+126</f>
        <v>46396</v>
      </c>
      <c r="X5" s="17" t="n">
        <f aca="false">$B$3+133</f>
        <v>46403</v>
      </c>
      <c r="Y5" s="17" t="n">
        <f aca="false">$B$3+140</f>
        <v>46410</v>
      </c>
      <c r="Z5" s="17" t="n">
        <f aca="false">$B$3+147</f>
        <v>46417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309</v>
      </c>
    </row>
    <row r="2" customFormat="false" ht="15" hidden="false" customHeight="false" outlineLevel="0" collapsed="false">
      <c r="D2" s="21" t="s">
        <v>293</v>
      </c>
      <c r="E2" s="21" t="n">
        <f aca="false">MATCH("Arroz irrigado|"&amp;$B$3,Parâmetros!$G$4:$G$83,0)+3</f>
        <v>41</v>
      </c>
      <c r="F2" s="21" t="s">
        <v>294</v>
      </c>
      <c r="G2" s="22" t="b">
        <f aca="false">INDEX(Parâmetros!$A$1:$A$84,$E$2+1)&lt;&gt;"Arroz irrigado"</f>
        <v>0</v>
      </c>
    </row>
    <row r="3" customFormat="false" ht="15" hidden="false" customHeight="false" outlineLevel="0" collapsed="false">
      <c r="A3" s="13" t="s">
        <v>295</v>
      </c>
      <c r="B3" s="9" t="s">
        <v>78</v>
      </c>
      <c r="D3" s="21" t="s">
        <v>296</v>
      </c>
      <c r="E3" s="21" t="n">
        <f aca="false">ROUND(INDEX(Parâmetros!$D$1:$D$83,$E$2)/7,0)</f>
        <v>8</v>
      </c>
      <c r="F3" s="21" t="s">
        <v>297</v>
      </c>
      <c r="G3" s="21" t="n">
        <f aca="false">IF($G$2,999,ROUND(INDEX(Parâmetros!$D$1:$D$84,$E$2+1)/7,0))</f>
        <v>12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Frio afeta formação de espiguetas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'Arroz irrigado'!$B$3+0</f>
        <v>46270</v>
      </c>
      <c r="F7" s="17" t="n">
        <f aca="false">'Arroz irrigado'!$B$3+7</f>
        <v>46277</v>
      </c>
      <c r="G7" s="17" t="n">
        <f aca="false">'Arroz irrigado'!$B$3+14</f>
        <v>46284</v>
      </c>
      <c r="H7" s="17" t="n">
        <f aca="false">'Arroz irrigado'!$B$3+21</f>
        <v>46291</v>
      </c>
      <c r="I7" s="17" t="n">
        <f aca="false">'Arroz irrigado'!$B$3+28</f>
        <v>46298</v>
      </c>
      <c r="J7" s="17" t="n">
        <f aca="false">'Arroz irrigado'!$B$3+35</f>
        <v>46305</v>
      </c>
      <c r="K7" s="17" t="n">
        <f aca="false">'Arroz irrigado'!$B$3+42</f>
        <v>46312</v>
      </c>
      <c r="L7" s="17" t="n">
        <f aca="false">'Arroz irrigado'!$B$3+49</f>
        <v>46319</v>
      </c>
      <c r="M7" s="17" t="n">
        <f aca="false">'Arroz irrigado'!$B$3+56</f>
        <v>46326</v>
      </c>
      <c r="N7" s="17" t="n">
        <f aca="false">'Arroz irrigado'!$B$3+63</f>
        <v>46333</v>
      </c>
      <c r="O7" s="17" t="n">
        <f aca="false">'Arroz irrigado'!$B$3+70</f>
        <v>46340</v>
      </c>
      <c r="P7" s="17" t="n">
        <f aca="false">'Arroz irrigado'!$B$3+77</f>
        <v>46347</v>
      </c>
      <c r="Q7" s="17" t="n">
        <f aca="false">'Arroz irrigado'!$B$3+84</f>
        <v>46354</v>
      </c>
      <c r="R7" s="17" t="n">
        <f aca="false">'Arroz irrigado'!$B$3+91</f>
        <v>46361</v>
      </c>
      <c r="S7" s="17" t="n">
        <f aca="false">'Arroz irrigado'!$B$3+98</f>
        <v>46368</v>
      </c>
      <c r="T7" s="17" t="n">
        <f aca="false">'Arroz irrigado'!$B$3+105</f>
        <v>46375</v>
      </c>
      <c r="U7" s="17" t="n">
        <f aca="false">'Arroz irrigado'!$B$3+112</f>
        <v>46382</v>
      </c>
      <c r="V7" s="17" t="n">
        <f aca="false">'Arroz irrigado'!$B$3+119</f>
        <v>46389</v>
      </c>
      <c r="W7" s="17" t="n">
        <f aca="false">'Arroz irrigado'!$B$3+126</f>
        <v>46396</v>
      </c>
      <c r="X7" s="17" t="n">
        <f aca="false">'Arroz irrigado'!$B$3+133</f>
        <v>46403</v>
      </c>
      <c r="Y7" s="17" t="n">
        <f aca="false">'Arroz irrigado'!$B$3+140</f>
        <v>46410</v>
      </c>
      <c r="Z7" s="17" t="n">
        <f aca="false">'Arroz irrigado'!$B$3+147</f>
        <v>46417</v>
      </c>
      <c r="AA7" s="17" t="n">
        <f aca="false">'Arroz irrigado'!$B$3+154</f>
        <v>46424</v>
      </c>
      <c r="AB7" s="17" t="n">
        <f aca="false">'Arroz irrigado'!$B$3+161</f>
        <v>46431</v>
      </c>
      <c r="AC7" s="17" t="n">
        <f aca="false">'Arroz irrigado'!$B$3+168</f>
        <v>46438</v>
      </c>
      <c r="AD7" s="17" t="n">
        <f aca="false">'Arroz irrigado'!$B$3+175</f>
        <v>46445</v>
      </c>
      <c r="AE7" s="17" t="n">
        <f aca="false">'Arroz irrigado'!$B$3+182</f>
        <v>46452</v>
      </c>
      <c r="AF7" s="17" t="n">
        <f aca="false">'Arroz irrigado'!$B$3+189</f>
        <v>46459</v>
      </c>
      <c r="AG7" s="17" t="n">
        <f aca="false">'Arroz irrigado'!$B$3+196</f>
        <v>46466</v>
      </c>
      <c r="AH7" s="17" t="n">
        <f aca="false">'Arroz irrigado'!$B$3+203</f>
        <v>46473</v>
      </c>
      <c r="AI7" s="17" t="n">
        <f aca="false">'Arroz irrigado'!$B$3+210</f>
        <v>46480</v>
      </c>
      <c r="AJ7" s="17" t="n">
        <f aca="false">'Arroz irrigado'!$B$3+217</f>
        <v>46487</v>
      </c>
      <c r="AK7" s="17" t="n">
        <f aca="false">'Arroz irrigado'!$B$3+224</f>
        <v>46494</v>
      </c>
      <c r="AL7" s="17" t="n">
        <f aca="false">'Arroz irrigado'!$B$3+231</f>
        <v>46501</v>
      </c>
      <c r="AM7" s="17" t="n">
        <f aca="false">'Arroz irrigado'!$B$3+238</f>
        <v>46508</v>
      </c>
      <c r="AN7" s="17" t="n">
        <f aca="false">'Arroz irrigado'!$B$3+245</f>
        <v>46515</v>
      </c>
      <c r="AO7" s="17" t="n">
        <f aca="false">'Arroz irrigado'!$B$3+252</f>
        <v>46522</v>
      </c>
      <c r="AP7" s="17" t="n">
        <f aca="false">'Arroz irrigado'!$B$3+259</f>
        <v>46529</v>
      </c>
      <c r="AQ7" s="17" t="n">
        <f aca="false">'Arroz irrigado'!$B$3+266</f>
        <v>46536</v>
      </c>
      <c r="AR7" s="17" t="n">
        <f aca="false">'Arroz irrigado'!$B$3+273</f>
        <v>46543</v>
      </c>
      <c r="AS7" s="17" t="n">
        <f aca="false">'Arroz irrigado'!$B$3+280</f>
        <v>46550</v>
      </c>
      <c r="AT7" s="17" t="n">
        <f aca="false">'Arroz irrigado'!$B$3+287</f>
        <v>46557</v>
      </c>
      <c r="AU7" s="17" t="n">
        <f aca="false">'Arroz irrigado'!$B$3+294</f>
        <v>46564</v>
      </c>
      <c r="AV7" s="17" t="n">
        <f aca="false">'Arroz irrigado'!$B$3+301</f>
        <v>46571</v>
      </c>
      <c r="AW7" s="17" t="n">
        <f aca="false">'Arroz irrigado'!$B$3+308</f>
        <v>46578</v>
      </c>
      <c r="AX7" s="17" t="n">
        <f aca="false">'Arroz irrigado'!$B$3+315</f>
        <v>46585</v>
      </c>
      <c r="AY7" s="17" t="n">
        <f aca="false">'Arroz irrigado'!$B$3+322</f>
        <v>46592</v>
      </c>
      <c r="AZ7" s="17" t="n">
        <f aca="false">'Arroz irrigado'!$B$3+329</f>
        <v>46599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IF(COUNT('Arroz irrigado'!$E6:$Z6)&gt;0,N('Arroz irrigado'!$D6),0)</f>
        <v>0</v>
      </c>
      <c r="E8" s="27" t="n">
        <f aca="false">IF(COUNT('Arroz irrigado'!$E6:$Z6)=0,0,MAX(0,IF((E$6-$E$3)&lt;1,0,IFERROR(LOOKUP(2,1/('Arroz irrigado'!$E6:INDEX('Arroz irrigado'!$E6:$Z6,MIN(E$6-$E$3,22))&lt;&gt;""),'Arroz irrigado'!$E6:INDEX('Arroz irrigado'!$E6:$Z6,MIN(E$6-$E$3,22))),0))-IF($G$2,0,IF((E$6-$G$3)&lt;1,0,IFERROR(LOOKUP(2,1/('Arroz irrigado'!$E6:INDEX('Arroz irrigado'!$E6:$Z6,MIN(E$6-$G$3,22))&lt;&gt;""),'Arroz irrigado'!$E6:INDEX('Arroz irrigado'!$E6:$Z6,MIN(E$6-$G$3,22))),0)))))</f>
        <v>0</v>
      </c>
      <c r="F8" s="27" t="n">
        <f aca="false">IF(COUNT('Arroz irrigado'!$E6:$Z6)=0,0,MAX(0,IF((F$6-$E$3)&lt;1,0,IFERROR(LOOKUP(2,1/('Arroz irrigado'!$E6:INDEX('Arroz irrigado'!$E6:$Z6,MIN(F$6-$E$3,22))&lt;&gt;""),'Arroz irrigado'!$E6:INDEX('Arroz irrigado'!$E6:$Z6,MIN(F$6-$E$3,22))),0))-IF($G$2,0,IF((F$6-$G$3)&lt;1,0,IFERROR(LOOKUP(2,1/('Arroz irrigado'!$E6:INDEX('Arroz irrigado'!$E6:$Z6,MIN(F$6-$G$3,22))&lt;&gt;""),'Arroz irrigado'!$E6:INDEX('Arroz irrigado'!$E6:$Z6,MIN(F$6-$G$3,22))),0)))))</f>
        <v>0</v>
      </c>
      <c r="G8" s="27" t="n">
        <f aca="false">IF(COUNT('Arroz irrigado'!$E6:$Z6)=0,0,MAX(0,IF((G$6-$E$3)&lt;1,0,IFERROR(LOOKUP(2,1/('Arroz irrigado'!$E6:INDEX('Arroz irrigado'!$E6:$Z6,MIN(G$6-$E$3,22))&lt;&gt;""),'Arroz irrigado'!$E6:INDEX('Arroz irrigado'!$E6:$Z6,MIN(G$6-$E$3,22))),0))-IF($G$2,0,IF((G$6-$G$3)&lt;1,0,IFERROR(LOOKUP(2,1/('Arroz irrigado'!$E6:INDEX('Arroz irrigado'!$E6:$Z6,MIN(G$6-$G$3,22))&lt;&gt;""),'Arroz irrigado'!$E6:INDEX('Arroz irrigado'!$E6:$Z6,MIN(G$6-$G$3,22))),0)))))</f>
        <v>0</v>
      </c>
      <c r="H8" s="27" t="n">
        <f aca="false">IF(COUNT('Arroz irrigado'!$E6:$Z6)=0,0,MAX(0,IF((H$6-$E$3)&lt;1,0,IFERROR(LOOKUP(2,1/('Arroz irrigado'!$E6:INDEX('Arroz irrigado'!$E6:$Z6,MIN(H$6-$E$3,22))&lt;&gt;""),'Arroz irrigado'!$E6:INDEX('Arroz irrigado'!$E6:$Z6,MIN(H$6-$E$3,22))),0))-IF($G$2,0,IF((H$6-$G$3)&lt;1,0,IFERROR(LOOKUP(2,1/('Arroz irrigado'!$E6:INDEX('Arroz irrigado'!$E6:$Z6,MIN(H$6-$G$3,22))&lt;&gt;""),'Arroz irrigado'!$E6:INDEX('Arroz irrigado'!$E6:$Z6,MIN(H$6-$G$3,22))),0)))))</f>
        <v>0</v>
      </c>
      <c r="I8" s="27" t="n">
        <f aca="false">IF(COUNT('Arroz irrigado'!$E6:$Z6)=0,0,MAX(0,IF((I$6-$E$3)&lt;1,0,IFERROR(LOOKUP(2,1/('Arroz irrigado'!$E6:INDEX('Arroz irrigado'!$E6:$Z6,MIN(I$6-$E$3,22))&lt;&gt;""),'Arroz irrigado'!$E6:INDEX('Arroz irrigado'!$E6:$Z6,MIN(I$6-$E$3,22))),0))-IF($G$2,0,IF((I$6-$G$3)&lt;1,0,IFERROR(LOOKUP(2,1/('Arroz irrigado'!$E6:INDEX('Arroz irrigado'!$E6:$Z6,MIN(I$6-$G$3,22))&lt;&gt;""),'Arroz irrigado'!$E6:INDEX('Arroz irrigado'!$E6:$Z6,MIN(I$6-$G$3,22))),0)))))</f>
        <v>0</v>
      </c>
      <c r="J8" s="27" t="n">
        <f aca="false">IF(COUNT('Arroz irrigado'!$E6:$Z6)=0,0,MAX(0,IF((J$6-$E$3)&lt;1,0,IFERROR(LOOKUP(2,1/('Arroz irrigado'!$E6:INDEX('Arroz irrigado'!$E6:$Z6,MIN(J$6-$E$3,22))&lt;&gt;""),'Arroz irrigado'!$E6:INDEX('Arroz irrigado'!$E6:$Z6,MIN(J$6-$E$3,22))),0))-IF($G$2,0,IF((J$6-$G$3)&lt;1,0,IFERROR(LOOKUP(2,1/('Arroz irrigado'!$E6:INDEX('Arroz irrigado'!$E6:$Z6,MIN(J$6-$G$3,22))&lt;&gt;""),'Arroz irrigado'!$E6:INDEX('Arroz irrigado'!$E6:$Z6,MIN(J$6-$G$3,22))),0)))))</f>
        <v>0</v>
      </c>
      <c r="K8" s="27" t="n">
        <f aca="false">IF(COUNT('Arroz irrigado'!$E6:$Z6)=0,0,MAX(0,IF((K$6-$E$3)&lt;1,0,IFERROR(LOOKUP(2,1/('Arroz irrigado'!$E6:INDEX('Arroz irrigado'!$E6:$Z6,MIN(K$6-$E$3,22))&lt;&gt;""),'Arroz irrigado'!$E6:INDEX('Arroz irrigado'!$E6:$Z6,MIN(K$6-$E$3,22))),0))-IF($G$2,0,IF((K$6-$G$3)&lt;1,0,IFERROR(LOOKUP(2,1/('Arroz irrigado'!$E6:INDEX('Arroz irrigado'!$E6:$Z6,MIN(K$6-$G$3,22))&lt;&gt;""),'Arroz irrigado'!$E6:INDEX('Arroz irrigado'!$E6:$Z6,MIN(K$6-$G$3,22))),0)))))</f>
        <v>0</v>
      </c>
      <c r="L8" s="27" t="n">
        <f aca="false">IF(COUNT('Arroz irrigado'!$E6:$Z6)=0,0,MAX(0,IF((L$6-$E$3)&lt;1,0,IFERROR(LOOKUP(2,1/('Arroz irrigado'!$E6:INDEX('Arroz irrigado'!$E6:$Z6,MIN(L$6-$E$3,22))&lt;&gt;""),'Arroz irrigado'!$E6:INDEX('Arroz irrigado'!$E6:$Z6,MIN(L$6-$E$3,22))),0))-IF($G$2,0,IF((L$6-$G$3)&lt;1,0,IFERROR(LOOKUP(2,1/('Arroz irrigado'!$E6:INDEX('Arroz irrigado'!$E6:$Z6,MIN(L$6-$G$3,22))&lt;&gt;""),'Arroz irrigado'!$E6:INDEX('Arroz irrigado'!$E6:$Z6,MIN(L$6-$G$3,22))),0)))))</f>
        <v>0</v>
      </c>
      <c r="M8" s="27" t="n">
        <f aca="false">IF(COUNT('Arroz irrigado'!$E6:$Z6)=0,0,MAX(0,IF((M$6-$E$3)&lt;1,0,IFERROR(LOOKUP(2,1/('Arroz irrigado'!$E6:INDEX('Arroz irrigado'!$E6:$Z6,MIN(M$6-$E$3,22))&lt;&gt;""),'Arroz irrigado'!$E6:INDEX('Arroz irrigado'!$E6:$Z6,MIN(M$6-$E$3,22))),0))-IF($G$2,0,IF((M$6-$G$3)&lt;1,0,IFERROR(LOOKUP(2,1/('Arroz irrigado'!$E6:INDEX('Arroz irrigado'!$E6:$Z6,MIN(M$6-$G$3,22))&lt;&gt;""),'Arroz irrigado'!$E6:INDEX('Arroz irrigado'!$E6:$Z6,MIN(M$6-$G$3,22))),0)))))</f>
        <v>0</v>
      </c>
      <c r="N8" s="27" t="n">
        <f aca="false">IF(COUNT('Arroz irrigado'!$E6:$Z6)=0,0,MAX(0,IF((N$6-$E$3)&lt;1,0,IFERROR(LOOKUP(2,1/('Arroz irrigado'!$E6:INDEX('Arroz irrigado'!$E6:$Z6,MIN(N$6-$E$3,22))&lt;&gt;""),'Arroz irrigado'!$E6:INDEX('Arroz irrigado'!$E6:$Z6,MIN(N$6-$E$3,22))),0))-IF($G$2,0,IF((N$6-$G$3)&lt;1,0,IFERROR(LOOKUP(2,1/('Arroz irrigado'!$E6:INDEX('Arroz irrigado'!$E6:$Z6,MIN(N$6-$G$3,22))&lt;&gt;""),'Arroz irrigado'!$E6:INDEX('Arroz irrigado'!$E6:$Z6,MIN(N$6-$G$3,22))),0)))))</f>
        <v>0</v>
      </c>
      <c r="O8" s="27" t="n">
        <f aca="false">IF(COUNT('Arroz irrigado'!$E6:$Z6)=0,0,MAX(0,IF((O$6-$E$3)&lt;1,0,IFERROR(LOOKUP(2,1/('Arroz irrigado'!$E6:INDEX('Arroz irrigado'!$E6:$Z6,MIN(O$6-$E$3,22))&lt;&gt;""),'Arroz irrigado'!$E6:INDEX('Arroz irrigado'!$E6:$Z6,MIN(O$6-$E$3,22))),0))-IF($G$2,0,IF((O$6-$G$3)&lt;1,0,IFERROR(LOOKUP(2,1/('Arroz irrigado'!$E6:INDEX('Arroz irrigado'!$E6:$Z6,MIN(O$6-$G$3,22))&lt;&gt;""),'Arroz irrigado'!$E6:INDEX('Arroz irrigado'!$E6:$Z6,MIN(O$6-$G$3,22))),0)))))</f>
        <v>0</v>
      </c>
      <c r="P8" s="27" t="n">
        <f aca="false">IF(COUNT('Arroz irrigado'!$E6:$Z6)=0,0,MAX(0,IF((P$6-$E$3)&lt;1,0,IFERROR(LOOKUP(2,1/('Arroz irrigado'!$E6:INDEX('Arroz irrigado'!$E6:$Z6,MIN(P$6-$E$3,22))&lt;&gt;""),'Arroz irrigado'!$E6:INDEX('Arroz irrigado'!$E6:$Z6,MIN(P$6-$E$3,22))),0))-IF($G$2,0,IF((P$6-$G$3)&lt;1,0,IFERROR(LOOKUP(2,1/('Arroz irrigado'!$E6:INDEX('Arroz irrigado'!$E6:$Z6,MIN(P$6-$G$3,22))&lt;&gt;""),'Arroz irrigado'!$E6:INDEX('Arroz irrigado'!$E6:$Z6,MIN(P$6-$G$3,22))),0)))))</f>
        <v>0</v>
      </c>
      <c r="Q8" s="27" t="n">
        <f aca="false">IF(COUNT('Arroz irrigado'!$E6:$Z6)=0,0,MAX(0,IF((Q$6-$E$3)&lt;1,0,IFERROR(LOOKUP(2,1/('Arroz irrigado'!$E6:INDEX('Arroz irrigado'!$E6:$Z6,MIN(Q$6-$E$3,22))&lt;&gt;""),'Arroz irrigado'!$E6:INDEX('Arroz irrigado'!$E6:$Z6,MIN(Q$6-$E$3,22))),0))-IF($G$2,0,IF((Q$6-$G$3)&lt;1,0,IFERROR(LOOKUP(2,1/('Arroz irrigado'!$E6:INDEX('Arroz irrigado'!$E6:$Z6,MIN(Q$6-$G$3,22))&lt;&gt;""),'Arroz irrigado'!$E6:INDEX('Arroz irrigado'!$E6:$Z6,MIN(Q$6-$G$3,22))),0)))))</f>
        <v>0</v>
      </c>
      <c r="R8" s="27" t="n">
        <f aca="false">IF(COUNT('Arroz irrigado'!$E6:$Z6)=0,0,MAX(0,IF((R$6-$E$3)&lt;1,0,IFERROR(LOOKUP(2,1/('Arroz irrigado'!$E6:INDEX('Arroz irrigado'!$E6:$Z6,MIN(R$6-$E$3,22))&lt;&gt;""),'Arroz irrigado'!$E6:INDEX('Arroz irrigado'!$E6:$Z6,MIN(R$6-$E$3,22))),0))-IF($G$2,0,IF((R$6-$G$3)&lt;1,0,IFERROR(LOOKUP(2,1/('Arroz irrigado'!$E6:INDEX('Arroz irrigado'!$E6:$Z6,MIN(R$6-$G$3,22))&lt;&gt;""),'Arroz irrigado'!$E6:INDEX('Arroz irrigado'!$E6:$Z6,MIN(R$6-$G$3,22))),0)))))</f>
        <v>0</v>
      </c>
      <c r="S8" s="27" t="n">
        <f aca="false">IF(COUNT('Arroz irrigado'!$E6:$Z6)=0,0,MAX(0,IF((S$6-$E$3)&lt;1,0,IFERROR(LOOKUP(2,1/('Arroz irrigado'!$E6:INDEX('Arroz irrigado'!$E6:$Z6,MIN(S$6-$E$3,22))&lt;&gt;""),'Arroz irrigado'!$E6:INDEX('Arroz irrigado'!$E6:$Z6,MIN(S$6-$E$3,22))),0))-IF($G$2,0,IF((S$6-$G$3)&lt;1,0,IFERROR(LOOKUP(2,1/('Arroz irrigado'!$E6:INDEX('Arroz irrigado'!$E6:$Z6,MIN(S$6-$G$3,22))&lt;&gt;""),'Arroz irrigado'!$E6:INDEX('Arroz irrigado'!$E6:$Z6,MIN(S$6-$G$3,22))),0)))))</f>
        <v>0</v>
      </c>
      <c r="T8" s="27" t="n">
        <f aca="false">IF(COUNT('Arroz irrigado'!$E6:$Z6)=0,0,MAX(0,IF((T$6-$E$3)&lt;1,0,IFERROR(LOOKUP(2,1/('Arroz irrigado'!$E6:INDEX('Arroz irrigado'!$E6:$Z6,MIN(T$6-$E$3,22))&lt;&gt;""),'Arroz irrigado'!$E6:INDEX('Arroz irrigado'!$E6:$Z6,MIN(T$6-$E$3,22))),0))-IF($G$2,0,IF((T$6-$G$3)&lt;1,0,IFERROR(LOOKUP(2,1/('Arroz irrigado'!$E6:INDEX('Arroz irrigado'!$E6:$Z6,MIN(T$6-$G$3,22))&lt;&gt;""),'Arroz irrigado'!$E6:INDEX('Arroz irrigado'!$E6:$Z6,MIN(T$6-$G$3,22))),0)))))</f>
        <v>0</v>
      </c>
      <c r="U8" s="27" t="n">
        <f aca="false">IF(COUNT('Arroz irrigado'!$E6:$Z6)=0,0,MAX(0,IF((U$6-$E$3)&lt;1,0,IFERROR(LOOKUP(2,1/('Arroz irrigado'!$E6:INDEX('Arroz irrigado'!$E6:$Z6,MIN(U$6-$E$3,22))&lt;&gt;""),'Arroz irrigado'!$E6:INDEX('Arroz irrigado'!$E6:$Z6,MIN(U$6-$E$3,22))),0))-IF($G$2,0,IF((U$6-$G$3)&lt;1,0,IFERROR(LOOKUP(2,1/('Arroz irrigado'!$E6:INDEX('Arroz irrigado'!$E6:$Z6,MIN(U$6-$G$3,22))&lt;&gt;""),'Arroz irrigado'!$E6:INDEX('Arroz irrigado'!$E6:$Z6,MIN(U$6-$G$3,22))),0)))))</f>
        <v>0</v>
      </c>
      <c r="V8" s="27" t="n">
        <f aca="false">IF(COUNT('Arroz irrigado'!$E6:$Z6)=0,0,MAX(0,IF((V$6-$E$3)&lt;1,0,IFERROR(LOOKUP(2,1/('Arroz irrigado'!$E6:INDEX('Arroz irrigado'!$E6:$Z6,MIN(V$6-$E$3,22))&lt;&gt;""),'Arroz irrigado'!$E6:INDEX('Arroz irrigado'!$E6:$Z6,MIN(V$6-$E$3,22))),0))-IF($G$2,0,IF((V$6-$G$3)&lt;1,0,IFERROR(LOOKUP(2,1/('Arroz irrigado'!$E6:INDEX('Arroz irrigado'!$E6:$Z6,MIN(V$6-$G$3,22))&lt;&gt;""),'Arroz irrigado'!$E6:INDEX('Arroz irrigado'!$E6:$Z6,MIN(V$6-$G$3,22))),0)))))</f>
        <v>0</v>
      </c>
      <c r="W8" s="27" t="n">
        <f aca="false">IF(COUNT('Arroz irrigado'!$E6:$Z6)=0,0,MAX(0,IF((W$6-$E$3)&lt;1,0,IFERROR(LOOKUP(2,1/('Arroz irrigado'!$E6:INDEX('Arroz irrigado'!$E6:$Z6,MIN(W$6-$E$3,22))&lt;&gt;""),'Arroz irrigado'!$E6:INDEX('Arroz irrigado'!$E6:$Z6,MIN(W$6-$E$3,22))),0))-IF($G$2,0,IF((W$6-$G$3)&lt;1,0,IFERROR(LOOKUP(2,1/('Arroz irrigado'!$E6:INDEX('Arroz irrigado'!$E6:$Z6,MIN(W$6-$G$3,22))&lt;&gt;""),'Arroz irrigado'!$E6:INDEX('Arroz irrigado'!$E6:$Z6,MIN(W$6-$G$3,22))),0)))))</f>
        <v>0</v>
      </c>
      <c r="X8" s="27" t="n">
        <f aca="false">IF(COUNT('Arroz irrigado'!$E6:$Z6)=0,0,MAX(0,IF((X$6-$E$3)&lt;1,0,IFERROR(LOOKUP(2,1/('Arroz irrigado'!$E6:INDEX('Arroz irrigado'!$E6:$Z6,MIN(X$6-$E$3,22))&lt;&gt;""),'Arroz irrigado'!$E6:INDEX('Arroz irrigado'!$E6:$Z6,MIN(X$6-$E$3,22))),0))-IF($G$2,0,IF((X$6-$G$3)&lt;1,0,IFERROR(LOOKUP(2,1/('Arroz irrigado'!$E6:INDEX('Arroz irrigado'!$E6:$Z6,MIN(X$6-$G$3,22))&lt;&gt;""),'Arroz irrigado'!$E6:INDEX('Arroz irrigado'!$E6:$Z6,MIN(X$6-$G$3,22))),0)))))</f>
        <v>0</v>
      </c>
      <c r="Y8" s="27" t="n">
        <f aca="false">IF(COUNT('Arroz irrigado'!$E6:$Z6)=0,0,MAX(0,IF((Y$6-$E$3)&lt;1,0,IFERROR(LOOKUP(2,1/('Arroz irrigado'!$E6:INDEX('Arroz irrigado'!$E6:$Z6,MIN(Y$6-$E$3,22))&lt;&gt;""),'Arroz irrigado'!$E6:INDEX('Arroz irrigado'!$E6:$Z6,MIN(Y$6-$E$3,22))),0))-IF($G$2,0,IF((Y$6-$G$3)&lt;1,0,IFERROR(LOOKUP(2,1/('Arroz irrigado'!$E6:INDEX('Arroz irrigado'!$E6:$Z6,MIN(Y$6-$G$3,22))&lt;&gt;""),'Arroz irrigado'!$E6:INDEX('Arroz irrigado'!$E6:$Z6,MIN(Y$6-$G$3,22))),0)))))</f>
        <v>0</v>
      </c>
      <c r="Z8" s="27" t="n">
        <f aca="false">IF(COUNT('Arroz irrigado'!$E6:$Z6)=0,0,MAX(0,IF((Z$6-$E$3)&lt;1,0,IFERROR(LOOKUP(2,1/('Arroz irrigado'!$E6:INDEX('Arroz irrigado'!$E6:$Z6,MIN(Z$6-$E$3,22))&lt;&gt;""),'Arroz irrigado'!$E6:INDEX('Arroz irrigado'!$E6:$Z6,MIN(Z$6-$E$3,22))),0))-IF($G$2,0,IF((Z$6-$G$3)&lt;1,0,IFERROR(LOOKUP(2,1/('Arroz irrigado'!$E6:INDEX('Arroz irrigado'!$E6:$Z6,MIN(Z$6-$G$3,22))&lt;&gt;""),'Arroz irrigado'!$E6:INDEX('Arroz irrigado'!$E6:$Z6,MIN(Z$6-$G$3,22))),0)))))</f>
        <v>0</v>
      </c>
      <c r="AA8" s="27" t="n">
        <f aca="false">IF(COUNT('Arroz irrigado'!$E6:$Z6)=0,0,MAX(0,IF((AA$6-$E$3)&lt;1,0,IFERROR(LOOKUP(2,1/('Arroz irrigado'!$E6:INDEX('Arroz irrigado'!$E6:$Z6,MIN(AA$6-$E$3,22))&lt;&gt;""),'Arroz irrigado'!$E6:INDEX('Arroz irrigado'!$E6:$Z6,MIN(AA$6-$E$3,22))),0))-IF($G$2,0,IF((AA$6-$G$3)&lt;1,0,IFERROR(LOOKUP(2,1/('Arroz irrigado'!$E6:INDEX('Arroz irrigado'!$E6:$Z6,MIN(AA$6-$G$3,22))&lt;&gt;""),'Arroz irrigado'!$E6:INDEX('Arroz irrigado'!$E6:$Z6,MIN(AA$6-$G$3,22))),0)))))</f>
        <v>0</v>
      </c>
      <c r="AB8" s="27" t="n">
        <f aca="false">IF(COUNT('Arroz irrigado'!$E6:$Z6)=0,0,MAX(0,IF((AB$6-$E$3)&lt;1,0,IFERROR(LOOKUP(2,1/('Arroz irrigado'!$E6:INDEX('Arroz irrigado'!$E6:$Z6,MIN(AB$6-$E$3,22))&lt;&gt;""),'Arroz irrigado'!$E6:INDEX('Arroz irrigado'!$E6:$Z6,MIN(AB$6-$E$3,22))),0))-IF($G$2,0,IF((AB$6-$G$3)&lt;1,0,IFERROR(LOOKUP(2,1/('Arroz irrigado'!$E6:INDEX('Arroz irrigado'!$E6:$Z6,MIN(AB$6-$G$3,22))&lt;&gt;""),'Arroz irrigado'!$E6:INDEX('Arroz irrigado'!$E6:$Z6,MIN(AB$6-$G$3,22))),0)))))</f>
        <v>0</v>
      </c>
      <c r="AC8" s="27" t="n">
        <f aca="false">IF(COUNT('Arroz irrigado'!$E6:$Z6)=0,0,MAX(0,IF((AC$6-$E$3)&lt;1,0,IFERROR(LOOKUP(2,1/('Arroz irrigado'!$E6:INDEX('Arroz irrigado'!$E6:$Z6,MIN(AC$6-$E$3,22))&lt;&gt;""),'Arroz irrigado'!$E6:INDEX('Arroz irrigado'!$E6:$Z6,MIN(AC$6-$E$3,22))),0))-IF($G$2,0,IF((AC$6-$G$3)&lt;1,0,IFERROR(LOOKUP(2,1/('Arroz irrigado'!$E6:INDEX('Arroz irrigado'!$E6:$Z6,MIN(AC$6-$G$3,22))&lt;&gt;""),'Arroz irrigado'!$E6:INDEX('Arroz irrigado'!$E6:$Z6,MIN(AC$6-$G$3,22))),0)))))</f>
        <v>0</v>
      </c>
      <c r="AD8" s="27" t="n">
        <f aca="false">IF(COUNT('Arroz irrigado'!$E6:$Z6)=0,0,MAX(0,IF((AD$6-$E$3)&lt;1,0,IFERROR(LOOKUP(2,1/('Arroz irrigado'!$E6:INDEX('Arroz irrigado'!$E6:$Z6,MIN(AD$6-$E$3,22))&lt;&gt;""),'Arroz irrigado'!$E6:INDEX('Arroz irrigado'!$E6:$Z6,MIN(AD$6-$E$3,22))),0))-IF($G$2,0,IF((AD$6-$G$3)&lt;1,0,IFERROR(LOOKUP(2,1/('Arroz irrigado'!$E6:INDEX('Arroz irrigado'!$E6:$Z6,MIN(AD$6-$G$3,22))&lt;&gt;""),'Arroz irrigado'!$E6:INDEX('Arroz irrigado'!$E6:$Z6,MIN(AD$6-$G$3,22))),0)))))</f>
        <v>0</v>
      </c>
      <c r="AE8" s="27" t="n">
        <f aca="false">IF(COUNT('Arroz irrigado'!$E6:$Z6)=0,0,MAX(0,IF((AE$6-$E$3)&lt;1,0,IFERROR(LOOKUP(2,1/('Arroz irrigado'!$E6:INDEX('Arroz irrigado'!$E6:$Z6,MIN(AE$6-$E$3,22))&lt;&gt;""),'Arroz irrigado'!$E6:INDEX('Arroz irrigado'!$E6:$Z6,MIN(AE$6-$E$3,22))),0))-IF($G$2,0,IF((AE$6-$G$3)&lt;1,0,IFERROR(LOOKUP(2,1/('Arroz irrigado'!$E6:INDEX('Arroz irrigado'!$E6:$Z6,MIN(AE$6-$G$3,22))&lt;&gt;""),'Arroz irrigado'!$E6:INDEX('Arroz irrigado'!$E6:$Z6,MIN(AE$6-$G$3,22))),0)))))</f>
        <v>0</v>
      </c>
      <c r="AF8" s="27" t="n">
        <f aca="false">IF(COUNT('Arroz irrigado'!$E6:$Z6)=0,0,MAX(0,IF((AF$6-$E$3)&lt;1,0,IFERROR(LOOKUP(2,1/('Arroz irrigado'!$E6:INDEX('Arroz irrigado'!$E6:$Z6,MIN(AF$6-$E$3,22))&lt;&gt;""),'Arroz irrigado'!$E6:INDEX('Arroz irrigado'!$E6:$Z6,MIN(AF$6-$E$3,22))),0))-IF($G$2,0,IF((AF$6-$G$3)&lt;1,0,IFERROR(LOOKUP(2,1/('Arroz irrigado'!$E6:INDEX('Arroz irrigado'!$E6:$Z6,MIN(AF$6-$G$3,22))&lt;&gt;""),'Arroz irrigado'!$E6:INDEX('Arroz irrigado'!$E6:$Z6,MIN(AF$6-$G$3,22))),0)))))</f>
        <v>0</v>
      </c>
      <c r="AG8" s="27" t="n">
        <f aca="false">IF(COUNT('Arroz irrigado'!$E6:$Z6)=0,0,MAX(0,IF((AG$6-$E$3)&lt;1,0,IFERROR(LOOKUP(2,1/('Arroz irrigado'!$E6:INDEX('Arroz irrigado'!$E6:$Z6,MIN(AG$6-$E$3,22))&lt;&gt;""),'Arroz irrigado'!$E6:INDEX('Arroz irrigado'!$E6:$Z6,MIN(AG$6-$E$3,22))),0))-IF($G$2,0,IF((AG$6-$G$3)&lt;1,0,IFERROR(LOOKUP(2,1/('Arroz irrigado'!$E6:INDEX('Arroz irrigado'!$E6:$Z6,MIN(AG$6-$G$3,22))&lt;&gt;""),'Arroz irrigado'!$E6:INDEX('Arroz irrigado'!$E6:$Z6,MIN(AG$6-$G$3,22))),0)))))</f>
        <v>0</v>
      </c>
      <c r="AH8" s="27" t="n">
        <f aca="false">IF(COUNT('Arroz irrigado'!$E6:$Z6)=0,0,MAX(0,IF((AH$6-$E$3)&lt;1,0,IFERROR(LOOKUP(2,1/('Arroz irrigado'!$E6:INDEX('Arroz irrigado'!$E6:$Z6,MIN(AH$6-$E$3,22))&lt;&gt;""),'Arroz irrigado'!$E6:INDEX('Arroz irrigado'!$E6:$Z6,MIN(AH$6-$E$3,22))),0))-IF($G$2,0,IF((AH$6-$G$3)&lt;1,0,IFERROR(LOOKUP(2,1/('Arroz irrigado'!$E6:INDEX('Arroz irrigado'!$E6:$Z6,MIN(AH$6-$G$3,22))&lt;&gt;""),'Arroz irrigado'!$E6:INDEX('Arroz irrigado'!$E6:$Z6,MIN(AH$6-$G$3,22))),0)))))</f>
        <v>0</v>
      </c>
      <c r="AI8" s="27" t="n">
        <f aca="false">IF(COUNT('Arroz irrigado'!$E6:$Z6)=0,0,MAX(0,IF((AI$6-$E$3)&lt;1,0,IFERROR(LOOKUP(2,1/('Arroz irrigado'!$E6:INDEX('Arroz irrigado'!$E6:$Z6,MIN(AI$6-$E$3,22))&lt;&gt;""),'Arroz irrigado'!$E6:INDEX('Arroz irrigado'!$E6:$Z6,MIN(AI$6-$E$3,22))),0))-IF($G$2,0,IF((AI$6-$G$3)&lt;1,0,IFERROR(LOOKUP(2,1/('Arroz irrigado'!$E6:INDEX('Arroz irrigado'!$E6:$Z6,MIN(AI$6-$G$3,22))&lt;&gt;""),'Arroz irrigado'!$E6:INDEX('Arroz irrigado'!$E6:$Z6,MIN(AI$6-$G$3,22))),0)))))</f>
        <v>0</v>
      </c>
      <c r="AJ8" s="27" t="n">
        <f aca="false">IF(COUNT('Arroz irrigado'!$E6:$Z6)=0,0,MAX(0,IF((AJ$6-$E$3)&lt;1,0,IFERROR(LOOKUP(2,1/('Arroz irrigado'!$E6:INDEX('Arroz irrigado'!$E6:$Z6,MIN(AJ$6-$E$3,22))&lt;&gt;""),'Arroz irrigado'!$E6:INDEX('Arroz irrigado'!$E6:$Z6,MIN(AJ$6-$E$3,22))),0))-IF($G$2,0,IF((AJ$6-$G$3)&lt;1,0,IFERROR(LOOKUP(2,1/('Arroz irrigado'!$E6:INDEX('Arroz irrigado'!$E6:$Z6,MIN(AJ$6-$G$3,22))&lt;&gt;""),'Arroz irrigado'!$E6:INDEX('Arroz irrigado'!$E6:$Z6,MIN(AJ$6-$G$3,22))),0)))))</f>
        <v>0</v>
      </c>
      <c r="AK8" s="27" t="n">
        <f aca="false">IF(COUNT('Arroz irrigado'!$E6:$Z6)=0,0,MAX(0,IF((AK$6-$E$3)&lt;1,0,IFERROR(LOOKUP(2,1/('Arroz irrigado'!$E6:INDEX('Arroz irrigado'!$E6:$Z6,MIN(AK$6-$E$3,22))&lt;&gt;""),'Arroz irrigado'!$E6:INDEX('Arroz irrigado'!$E6:$Z6,MIN(AK$6-$E$3,22))),0))-IF($G$2,0,IF((AK$6-$G$3)&lt;1,0,IFERROR(LOOKUP(2,1/('Arroz irrigado'!$E6:INDEX('Arroz irrigado'!$E6:$Z6,MIN(AK$6-$G$3,22))&lt;&gt;""),'Arroz irrigado'!$E6:INDEX('Arroz irrigado'!$E6:$Z6,MIN(AK$6-$G$3,22))),0)))))</f>
        <v>0</v>
      </c>
      <c r="AL8" s="27" t="n">
        <f aca="false">IF(COUNT('Arroz irrigado'!$E6:$Z6)=0,0,MAX(0,IF((AL$6-$E$3)&lt;1,0,IFERROR(LOOKUP(2,1/('Arroz irrigado'!$E6:INDEX('Arroz irrigado'!$E6:$Z6,MIN(AL$6-$E$3,22))&lt;&gt;""),'Arroz irrigado'!$E6:INDEX('Arroz irrigado'!$E6:$Z6,MIN(AL$6-$E$3,22))),0))-IF($G$2,0,IF((AL$6-$G$3)&lt;1,0,IFERROR(LOOKUP(2,1/('Arroz irrigado'!$E6:INDEX('Arroz irrigado'!$E6:$Z6,MIN(AL$6-$G$3,22))&lt;&gt;""),'Arroz irrigado'!$E6:INDEX('Arroz irrigado'!$E6:$Z6,MIN(AL$6-$G$3,22))),0)))))</f>
        <v>0</v>
      </c>
      <c r="AM8" s="27" t="n">
        <f aca="false">IF(COUNT('Arroz irrigado'!$E6:$Z6)=0,0,MAX(0,IF((AM$6-$E$3)&lt;1,0,IFERROR(LOOKUP(2,1/('Arroz irrigado'!$E6:INDEX('Arroz irrigado'!$E6:$Z6,MIN(AM$6-$E$3,22))&lt;&gt;""),'Arroz irrigado'!$E6:INDEX('Arroz irrigado'!$E6:$Z6,MIN(AM$6-$E$3,22))),0))-IF($G$2,0,IF((AM$6-$G$3)&lt;1,0,IFERROR(LOOKUP(2,1/('Arroz irrigado'!$E6:INDEX('Arroz irrigado'!$E6:$Z6,MIN(AM$6-$G$3,22))&lt;&gt;""),'Arroz irrigado'!$E6:INDEX('Arroz irrigado'!$E6:$Z6,MIN(AM$6-$G$3,22))),0)))))</f>
        <v>0</v>
      </c>
      <c r="AN8" s="27" t="n">
        <f aca="false">IF(COUNT('Arroz irrigado'!$E6:$Z6)=0,0,MAX(0,IF((AN$6-$E$3)&lt;1,0,IFERROR(LOOKUP(2,1/('Arroz irrigado'!$E6:INDEX('Arroz irrigado'!$E6:$Z6,MIN(AN$6-$E$3,22))&lt;&gt;""),'Arroz irrigado'!$E6:INDEX('Arroz irrigado'!$E6:$Z6,MIN(AN$6-$E$3,22))),0))-IF($G$2,0,IF((AN$6-$G$3)&lt;1,0,IFERROR(LOOKUP(2,1/('Arroz irrigado'!$E6:INDEX('Arroz irrigado'!$E6:$Z6,MIN(AN$6-$G$3,22))&lt;&gt;""),'Arroz irrigado'!$E6:INDEX('Arroz irrigado'!$E6:$Z6,MIN(AN$6-$G$3,22))),0)))))</f>
        <v>0</v>
      </c>
      <c r="AO8" s="27" t="n">
        <f aca="false">IF(COUNT('Arroz irrigado'!$E6:$Z6)=0,0,MAX(0,IF((AO$6-$E$3)&lt;1,0,IFERROR(LOOKUP(2,1/('Arroz irrigado'!$E6:INDEX('Arroz irrigado'!$E6:$Z6,MIN(AO$6-$E$3,22))&lt;&gt;""),'Arroz irrigado'!$E6:INDEX('Arroz irrigado'!$E6:$Z6,MIN(AO$6-$E$3,22))),0))-IF($G$2,0,IF((AO$6-$G$3)&lt;1,0,IFERROR(LOOKUP(2,1/('Arroz irrigado'!$E6:INDEX('Arroz irrigado'!$E6:$Z6,MIN(AO$6-$G$3,22))&lt;&gt;""),'Arroz irrigado'!$E6:INDEX('Arroz irrigado'!$E6:$Z6,MIN(AO$6-$G$3,22))),0)))))</f>
        <v>0</v>
      </c>
      <c r="AP8" s="27" t="n">
        <f aca="false">IF(COUNT('Arroz irrigado'!$E6:$Z6)=0,0,MAX(0,IF((AP$6-$E$3)&lt;1,0,IFERROR(LOOKUP(2,1/('Arroz irrigado'!$E6:INDEX('Arroz irrigado'!$E6:$Z6,MIN(AP$6-$E$3,22))&lt;&gt;""),'Arroz irrigado'!$E6:INDEX('Arroz irrigado'!$E6:$Z6,MIN(AP$6-$E$3,22))),0))-IF($G$2,0,IF((AP$6-$G$3)&lt;1,0,IFERROR(LOOKUP(2,1/('Arroz irrigado'!$E6:INDEX('Arroz irrigado'!$E6:$Z6,MIN(AP$6-$G$3,22))&lt;&gt;""),'Arroz irrigado'!$E6:INDEX('Arroz irrigado'!$E6:$Z6,MIN(AP$6-$G$3,22))),0)))))</f>
        <v>0</v>
      </c>
      <c r="AQ8" s="27" t="n">
        <f aca="false">IF(COUNT('Arroz irrigado'!$E6:$Z6)=0,0,MAX(0,IF((AQ$6-$E$3)&lt;1,0,IFERROR(LOOKUP(2,1/('Arroz irrigado'!$E6:INDEX('Arroz irrigado'!$E6:$Z6,MIN(AQ$6-$E$3,22))&lt;&gt;""),'Arroz irrigado'!$E6:INDEX('Arroz irrigado'!$E6:$Z6,MIN(AQ$6-$E$3,22))),0))-IF($G$2,0,IF((AQ$6-$G$3)&lt;1,0,IFERROR(LOOKUP(2,1/('Arroz irrigado'!$E6:INDEX('Arroz irrigado'!$E6:$Z6,MIN(AQ$6-$G$3,22))&lt;&gt;""),'Arroz irrigado'!$E6:INDEX('Arroz irrigado'!$E6:$Z6,MIN(AQ$6-$G$3,22))),0)))))</f>
        <v>0</v>
      </c>
      <c r="AR8" s="27" t="n">
        <f aca="false">IF(COUNT('Arroz irrigado'!$E6:$Z6)=0,0,MAX(0,IF((AR$6-$E$3)&lt;1,0,IFERROR(LOOKUP(2,1/('Arroz irrigado'!$E6:INDEX('Arroz irrigado'!$E6:$Z6,MIN(AR$6-$E$3,22))&lt;&gt;""),'Arroz irrigado'!$E6:INDEX('Arroz irrigado'!$E6:$Z6,MIN(AR$6-$E$3,22))),0))-IF($G$2,0,IF((AR$6-$G$3)&lt;1,0,IFERROR(LOOKUP(2,1/('Arroz irrigado'!$E6:INDEX('Arroz irrigado'!$E6:$Z6,MIN(AR$6-$G$3,22))&lt;&gt;""),'Arroz irrigado'!$E6:INDEX('Arroz irrigado'!$E6:$Z6,MIN(AR$6-$G$3,22))),0)))))</f>
        <v>0</v>
      </c>
      <c r="AS8" s="27" t="n">
        <f aca="false">IF(COUNT('Arroz irrigado'!$E6:$Z6)=0,0,MAX(0,IF((AS$6-$E$3)&lt;1,0,IFERROR(LOOKUP(2,1/('Arroz irrigado'!$E6:INDEX('Arroz irrigado'!$E6:$Z6,MIN(AS$6-$E$3,22))&lt;&gt;""),'Arroz irrigado'!$E6:INDEX('Arroz irrigado'!$E6:$Z6,MIN(AS$6-$E$3,22))),0))-IF($G$2,0,IF((AS$6-$G$3)&lt;1,0,IFERROR(LOOKUP(2,1/('Arroz irrigado'!$E6:INDEX('Arroz irrigado'!$E6:$Z6,MIN(AS$6-$G$3,22))&lt;&gt;""),'Arroz irrigado'!$E6:INDEX('Arroz irrigado'!$E6:$Z6,MIN(AS$6-$G$3,22))),0)))))</f>
        <v>0</v>
      </c>
      <c r="AT8" s="27" t="n">
        <f aca="false">IF(COUNT('Arroz irrigado'!$E6:$Z6)=0,0,MAX(0,IF((AT$6-$E$3)&lt;1,0,IFERROR(LOOKUP(2,1/('Arroz irrigado'!$E6:INDEX('Arroz irrigado'!$E6:$Z6,MIN(AT$6-$E$3,22))&lt;&gt;""),'Arroz irrigado'!$E6:INDEX('Arroz irrigado'!$E6:$Z6,MIN(AT$6-$E$3,22))),0))-IF($G$2,0,IF((AT$6-$G$3)&lt;1,0,IFERROR(LOOKUP(2,1/('Arroz irrigado'!$E6:INDEX('Arroz irrigado'!$E6:$Z6,MIN(AT$6-$G$3,22))&lt;&gt;""),'Arroz irrigado'!$E6:INDEX('Arroz irrigado'!$E6:$Z6,MIN(AT$6-$G$3,22))),0)))))</f>
        <v>0</v>
      </c>
      <c r="AU8" s="27" t="n">
        <f aca="false">IF(COUNT('Arroz irrigado'!$E6:$Z6)=0,0,MAX(0,IF((AU$6-$E$3)&lt;1,0,IFERROR(LOOKUP(2,1/('Arroz irrigado'!$E6:INDEX('Arroz irrigado'!$E6:$Z6,MIN(AU$6-$E$3,22))&lt;&gt;""),'Arroz irrigado'!$E6:INDEX('Arroz irrigado'!$E6:$Z6,MIN(AU$6-$E$3,22))),0))-IF($G$2,0,IF((AU$6-$G$3)&lt;1,0,IFERROR(LOOKUP(2,1/('Arroz irrigado'!$E6:INDEX('Arroz irrigado'!$E6:$Z6,MIN(AU$6-$G$3,22))&lt;&gt;""),'Arroz irrigado'!$E6:INDEX('Arroz irrigado'!$E6:$Z6,MIN(AU$6-$G$3,22))),0)))))</f>
        <v>0</v>
      </c>
      <c r="AV8" s="27" t="n">
        <f aca="false">IF(COUNT('Arroz irrigado'!$E6:$Z6)=0,0,MAX(0,IF((AV$6-$E$3)&lt;1,0,IFERROR(LOOKUP(2,1/('Arroz irrigado'!$E6:INDEX('Arroz irrigado'!$E6:$Z6,MIN(AV$6-$E$3,22))&lt;&gt;""),'Arroz irrigado'!$E6:INDEX('Arroz irrigado'!$E6:$Z6,MIN(AV$6-$E$3,22))),0))-IF($G$2,0,IF((AV$6-$G$3)&lt;1,0,IFERROR(LOOKUP(2,1/('Arroz irrigado'!$E6:INDEX('Arroz irrigado'!$E6:$Z6,MIN(AV$6-$G$3,22))&lt;&gt;""),'Arroz irrigado'!$E6:INDEX('Arroz irrigado'!$E6:$Z6,MIN(AV$6-$G$3,22))),0)))))</f>
        <v>0</v>
      </c>
      <c r="AW8" s="27" t="n">
        <f aca="false">IF(COUNT('Arroz irrigado'!$E6:$Z6)=0,0,MAX(0,IF((AW$6-$E$3)&lt;1,0,IFERROR(LOOKUP(2,1/('Arroz irrigado'!$E6:INDEX('Arroz irrigado'!$E6:$Z6,MIN(AW$6-$E$3,22))&lt;&gt;""),'Arroz irrigado'!$E6:INDEX('Arroz irrigado'!$E6:$Z6,MIN(AW$6-$E$3,22))),0))-IF($G$2,0,IF((AW$6-$G$3)&lt;1,0,IFERROR(LOOKUP(2,1/('Arroz irrigado'!$E6:INDEX('Arroz irrigado'!$E6:$Z6,MIN(AW$6-$G$3,22))&lt;&gt;""),'Arroz irrigado'!$E6:INDEX('Arroz irrigado'!$E6:$Z6,MIN(AW$6-$G$3,22))),0)))))</f>
        <v>0</v>
      </c>
      <c r="AX8" s="27" t="n">
        <f aca="false">IF(COUNT('Arroz irrigado'!$E6:$Z6)=0,0,MAX(0,IF((AX$6-$E$3)&lt;1,0,IFERROR(LOOKUP(2,1/('Arroz irrigado'!$E6:INDEX('Arroz irrigado'!$E6:$Z6,MIN(AX$6-$E$3,22))&lt;&gt;""),'Arroz irrigado'!$E6:INDEX('Arroz irrigado'!$E6:$Z6,MIN(AX$6-$E$3,22))),0))-IF($G$2,0,IF((AX$6-$G$3)&lt;1,0,IFERROR(LOOKUP(2,1/('Arroz irrigado'!$E6:INDEX('Arroz irrigado'!$E6:$Z6,MIN(AX$6-$G$3,22))&lt;&gt;""),'Arroz irrigado'!$E6:INDEX('Arroz irrigado'!$E6:$Z6,MIN(AX$6-$G$3,22))),0)))))</f>
        <v>0</v>
      </c>
      <c r="AY8" s="27" t="n">
        <f aca="false">IF(COUNT('Arroz irrigado'!$E6:$Z6)=0,0,MAX(0,IF((AY$6-$E$3)&lt;1,0,IFERROR(LOOKUP(2,1/('Arroz irrigado'!$E6:INDEX('Arroz irrigado'!$E6:$Z6,MIN(AY$6-$E$3,22))&lt;&gt;""),'Arroz irrigado'!$E6:INDEX('Arroz irrigado'!$E6:$Z6,MIN(AY$6-$E$3,22))),0))-IF($G$2,0,IF((AY$6-$G$3)&lt;1,0,IFERROR(LOOKUP(2,1/('Arroz irrigado'!$E6:INDEX('Arroz irrigado'!$E6:$Z6,MIN(AY$6-$G$3,22))&lt;&gt;""),'Arroz irrigado'!$E6:INDEX('Arroz irrigado'!$E6:$Z6,MIN(AY$6-$G$3,22))),0)))))</f>
        <v>0</v>
      </c>
      <c r="AZ8" s="27" t="n">
        <f aca="false">IF(COUNT('Arroz irrigado'!$E6:$Z6)=0,0,MAX(0,IF((AZ$6-$E$3)&lt;1,0,IFERROR(LOOKUP(2,1/('Arroz irrigado'!$E6:INDEX('Arroz irrigado'!$E6:$Z6,MIN(AZ$6-$E$3,22))&lt;&gt;""),'Arroz irrigado'!$E6:INDEX('Arroz irrigado'!$E6:$Z6,MIN(AZ$6-$E$3,22))),0))-IF($G$2,0,IF((AZ$6-$G$3)&lt;1,0,IFERROR(LOOKUP(2,1/('Arroz irrigado'!$E6:INDEX('Arroz irrigado'!$E6:$Z6,MIN(AZ$6-$G$3,22))&lt;&gt;""),'Arroz irrigado'!$E6:INDEX('Arroz irrigado'!$E6:$Z6,MIN(AZ$6-$G$3,22))),0)))))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IF(COUNT('Arroz irrigado'!$E7:$Z7)&gt;0,N('Arroz irrigado'!$D7),0)</f>
        <v>0</v>
      </c>
      <c r="E9" s="27" t="n">
        <f aca="false">IF(COUNT('Arroz irrigado'!$E7:$Z7)=0,0,MAX(0,IF((E$6-$E$3)&lt;1,0,IFERROR(LOOKUP(2,1/('Arroz irrigado'!$E7:INDEX('Arroz irrigado'!$E7:$Z7,MIN(E$6-$E$3,22))&lt;&gt;""),'Arroz irrigado'!$E7:INDEX('Arroz irrigado'!$E7:$Z7,MIN(E$6-$E$3,22))),0))-IF($G$2,0,IF((E$6-$G$3)&lt;1,0,IFERROR(LOOKUP(2,1/('Arroz irrigado'!$E7:INDEX('Arroz irrigado'!$E7:$Z7,MIN(E$6-$G$3,22))&lt;&gt;""),'Arroz irrigado'!$E7:INDEX('Arroz irrigado'!$E7:$Z7,MIN(E$6-$G$3,22))),0)))))</f>
        <v>0</v>
      </c>
      <c r="F9" s="27" t="n">
        <f aca="false">IF(COUNT('Arroz irrigado'!$E7:$Z7)=0,0,MAX(0,IF((F$6-$E$3)&lt;1,0,IFERROR(LOOKUP(2,1/('Arroz irrigado'!$E7:INDEX('Arroz irrigado'!$E7:$Z7,MIN(F$6-$E$3,22))&lt;&gt;""),'Arroz irrigado'!$E7:INDEX('Arroz irrigado'!$E7:$Z7,MIN(F$6-$E$3,22))),0))-IF($G$2,0,IF((F$6-$G$3)&lt;1,0,IFERROR(LOOKUP(2,1/('Arroz irrigado'!$E7:INDEX('Arroz irrigado'!$E7:$Z7,MIN(F$6-$G$3,22))&lt;&gt;""),'Arroz irrigado'!$E7:INDEX('Arroz irrigado'!$E7:$Z7,MIN(F$6-$G$3,22))),0)))))</f>
        <v>0</v>
      </c>
      <c r="G9" s="27" t="n">
        <f aca="false">IF(COUNT('Arroz irrigado'!$E7:$Z7)=0,0,MAX(0,IF((G$6-$E$3)&lt;1,0,IFERROR(LOOKUP(2,1/('Arroz irrigado'!$E7:INDEX('Arroz irrigado'!$E7:$Z7,MIN(G$6-$E$3,22))&lt;&gt;""),'Arroz irrigado'!$E7:INDEX('Arroz irrigado'!$E7:$Z7,MIN(G$6-$E$3,22))),0))-IF($G$2,0,IF((G$6-$G$3)&lt;1,0,IFERROR(LOOKUP(2,1/('Arroz irrigado'!$E7:INDEX('Arroz irrigado'!$E7:$Z7,MIN(G$6-$G$3,22))&lt;&gt;""),'Arroz irrigado'!$E7:INDEX('Arroz irrigado'!$E7:$Z7,MIN(G$6-$G$3,22))),0)))))</f>
        <v>0</v>
      </c>
      <c r="H9" s="27" t="n">
        <f aca="false">IF(COUNT('Arroz irrigado'!$E7:$Z7)=0,0,MAX(0,IF((H$6-$E$3)&lt;1,0,IFERROR(LOOKUP(2,1/('Arroz irrigado'!$E7:INDEX('Arroz irrigado'!$E7:$Z7,MIN(H$6-$E$3,22))&lt;&gt;""),'Arroz irrigado'!$E7:INDEX('Arroz irrigado'!$E7:$Z7,MIN(H$6-$E$3,22))),0))-IF($G$2,0,IF((H$6-$G$3)&lt;1,0,IFERROR(LOOKUP(2,1/('Arroz irrigado'!$E7:INDEX('Arroz irrigado'!$E7:$Z7,MIN(H$6-$G$3,22))&lt;&gt;""),'Arroz irrigado'!$E7:INDEX('Arroz irrigado'!$E7:$Z7,MIN(H$6-$G$3,22))),0)))))</f>
        <v>0</v>
      </c>
      <c r="I9" s="27" t="n">
        <f aca="false">IF(COUNT('Arroz irrigado'!$E7:$Z7)=0,0,MAX(0,IF((I$6-$E$3)&lt;1,0,IFERROR(LOOKUP(2,1/('Arroz irrigado'!$E7:INDEX('Arroz irrigado'!$E7:$Z7,MIN(I$6-$E$3,22))&lt;&gt;""),'Arroz irrigado'!$E7:INDEX('Arroz irrigado'!$E7:$Z7,MIN(I$6-$E$3,22))),0))-IF($G$2,0,IF((I$6-$G$3)&lt;1,0,IFERROR(LOOKUP(2,1/('Arroz irrigado'!$E7:INDEX('Arroz irrigado'!$E7:$Z7,MIN(I$6-$G$3,22))&lt;&gt;""),'Arroz irrigado'!$E7:INDEX('Arroz irrigado'!$E7:$Z7,MIN(I$6-$G$3,22))),0)))))</f>
        <v>0</v>
      </c>
      <c r="J9" s="27" t="n">
        <f aca="false">IF(COUNT('Arroz irrigado'!$E7:$Z7)=0,0,MAX(0,IF((J$6-$E$3)&lt;1,0,IFERROR(LOOKUP(2,1/('Arroz irrigado'!$E7:INDEX('Arroz irrigado'!$E7:$Z7,MIN(J$6-$E$3,22))&lt;&gt;""),'Arroz irrigado'!$E7:INDEX('Arroz irrigado'!$E7:$Z7,MIN(J$6-$E$3,22))),0))-IF($G$2,0,IF((J$6-$G$3)&lt;1,0,IFERROR(LOOKUP(2,1/('Arroz irrigado'!$E7:INDEX('Arroz irrigado'!$E7:$Z7,MIN(J$6-$G$3,22))&lt;&gt;""),'Arroz irrigado'!$E7:INDEX('Arroz irrigado'!$E7:$Z7,MIN(J$6-$G$3,22))),0)))))</f>
        <v>0</v>
      </c>
      <c r="K9" s="27" t="n">
        <f aca="false">IF(COUNT('Arroz irrigado'!$E7:$Z7)=0,0,MAX(0,IF((K$6-$E$3)&lt;1,0,IFERROR(LOOKUP(2,1/('Arroz irrigado'!$E7:INDEX('Arroz irrigado'!$E7:$Z7,MIN(K$6-$E$3,22))&lt;&gt;""),'Arroz irrigado'!$E7:INDEX('Arroz irrigado'!$E7:$Z7,MIN(K$6-$E$3,22))),0))-IF($G$2,0,IF((K$6-$G$3)&lt;1,0,IFERROR(LOOKUP(2,1/('Arroz irrigado'!$E7:INDEX('Arroz irrigado'!$E7:$Z7,MIN(K$6-$G$3,22))&lt;&gt;""),'Arroz irrigado'!$E7:INDEX('Arroz irrigado'!$E7:$Z7,MIN(K$6-$G$3,22))),0)))))</f>
        <v>0</v>
      </c>
      <c r="L9" s="27" t="n">
        <f aca="false">IF(COUNT('Arroz irrigado'!$E7:$Z7)=0,0,MAX(0,IF((L$6-$E$3)&lt;1,0,IFERROR(LOOKUP(2,1/('Arroz irrigado'!$E7:INDEX('Arroz irrigado'!$E7:$Z7,MIN(L$6-$E$3,22))&lt;&gt;""),'Arroz irrigado'!$E7:INDEX('Arroz irrigado'!$E7:$Z7,MIN(L$6-$E$3,22))),0))-IF($G$2,0,IF((L$6-$G$3)&lt;1,0,IFERROR(LOOKUP(2,1/('Arroz irrigado'!$E7:INDEX('Arroz irrigado'!$E7:$Z7,MIN(L$6-$G$3,22))&lt;&gt;""),'Arroz irrigado'!$E7:INDEX('Arroz irrigado'!$E7:$Z7,MIN(L$6-$G$3,22))),0)))))</f>
        <v>0</v>
      </c>
      <c r="M9" s="27" t="n">
        <f aca="false">IF(COUNT('Arroz irrigado'!$E7:$Z7)=0,0,MAX(0,IF((M$6-$E$3)&lt;1,0,IFERROR(LOOKUP(2,1/('Arroz irrigado'!$E7:INDEX('Arroz irrigado'!$E7:$Z7,MIN(M$6-$E$3,22))&lt;&gt;""),'Arroz irrigado'!$E7:INDEX('Arroz irrigado'!$E7:$Z7,MIN(M$6-$E$3,22))),0))-IF($G$2,0,IF((M$6-$G$3)&lt;1,0,IFERROR(LOOKUP(2,1/('Arroz irrigado'!$E7:INDEX('Arroz irrigado'!$E7:$Z7,MIN(M$6-$G$3,22))&lt;&gt;""),'Arroz irrigado'!$E7:INDEX('Arroz irrigado'!$E7:$Z7,MIN(M$6-$G$3,22))),0)))))</f>
        <v>0</v>
      </c>
      <c r="N9" s="27" t="n">
        <f aca="false">IF(COUNT('Arroz irrigado'!$E7:$Z7)=0,0,MAX(0,IF((N$6-$E$3)&lt;1,0,IFERROR(LOOKUP(2,1/('Arroz irrigado'!$E7:INDEX('Arroz irrigado'!$E7:$Z7,MIN(N$6-$E$3,22))&lt;&gt;""),'Arroz irrigado'!$E7:INDEX('Arroz irrigado'!$E7:$Z7,MIN(N$6-$E$3,22))),0))-IF($G$2,0,IF((N$6-$G$3)&lt;1,0,IFERROR(LOOKUP(2,1/('Arroz irrigado'!$E7:INDEX('Arroz irrigado'!$E7:$Z7,MIN(N$6-$G$3,22))&lt;&gt;""),'Arroz irrigado'!$E7:INDEX('Arroz irrigado'!$E7:$Z7,MIN(N$6-$G$3,22))),0)))))</f>
        <v>0</v>
      </c>
      <c r="O9" s="27" t="n">
        <f aca="false">IF(COUNT('Arroz irrigado'!$E7:$Z7)=0,0,MAX(0,IF((O$6-$E$3)&lt;1,0,IFERROR(LOOKUP(2,1/('Arroz irrigado'!$E7:INDEX('Arroz irrigado'!$E7:$Z7,MIN(O$6-$E$3,22))&lt;&gt;""),'Arroz irrigado'!$E7:INDEX('Arroz irrigado'!$E7:$Z7,MIN(O$6-$E$3,22))),0))-IF($G$2,0,IF((O$6-$G$3)&lt;1,0,IFERROR(LOOKUP(2,1/('Arroz irrigado'!$E7:INDEX('Arroz irrigado'!$E7:$Z7,MIN(O$6-$G$3,22))&lt;&gt;""),'Arroz irrigado'!$E7:INDEX('Arroz irrigado'!$E7:$Z7,MIN(O$6-$G$3,22))),0)))))</f>
        <v>0</v>
      </c>
      <c r="P9" s="27" t="n">
        <f aca="false">IF(COUNT('Arroz irrigado'!$E7:$Z7)=0,0,MAX(0,IF((P$6-$E$3)&lt;1,0,IFERROR(LOOKUP(2,1/('Arroz irrigado'!$E7:INDEX('Arroz irrigado'!$E7:$Z7,MIN(P$6-$E$3,22))&lt;&gt;""),'Arroz irrigado'!$E7:INDEX('Arroz irrigado'!$E7:$Z7,MIN(P$6-$E$3,22))),0))-IF($G$2,0,IF((P$6-$G$3)&lt;1,0,IFERROR(LOOKUP(2,1/('Arroz irrigado'!$E7:INDEX('Arroz irrigado'!$E7:$Z7,MIN(P$6-$G$3,22))&lt;&gt;""),'Arroz irrigado'!$E7:INDEX('Arroz irrigado'!$E7:$Z7,MIN(P$6-$G$3,22))),0)))))</f>
        <v>0</v>
      </c>
      <c r="Q9" s="27" t="n">
        <f aca="false">IF(COUNT('Arroz irrigado'!$E7:$Z7)=0,0,MAX(0,IF((Q$6-$E$3)&lt;1,0,IFERROR(LOOKUP(2,1/('Arroz irrigado'!$E7:INDEX('Arroz irrigado'!$E7:$Z7,MIN(Q$6-$E$3,22))&lt;&gt;""),'Arroz irrigado'!$E7:INDEX('Arroz irrigado'!$E7:$Z7,MIN(Q$6-$E$3,22))),0))-IF($G$2,0,IF((Q$6-$G$3)&lt;1,0,IFERROR(LOOKUP(2,1/('Arroz irrigado'!$E7:INDEX('Arroz irrigado'!$E7:$Z7,MIN(Q$6-$G$3,22))&lt;&gt;""),'Arroz irrigado'!$E7:INDEX('Arroz irrigado'!$E7:$Z7,MIN(Q$6-$G$3,22))),0)))))</f>
        <v>0</v>
      </c>
      <c r="R9" s="27" t="n">
        <f aca="false">IF(COUNT('Arroz irrigado'!$E7:$Z7)=0,0,MAX(0,IF((R$6-$E$3)&lt;1,0,IFERROR(LOOKUP(2,1/('Arroz irrigado'!$E7:INDEX('Arroz irrigado'!$E7:$Z7,MIN(R$6-$E$3,22))&lt;&gt;""),'Arroz irrigado'!$E7:INDEX('Arroz irrigado'!$E7:$Z7,MIN(R$6-$E$3,22))),0))-IF($G$2,0,IF((R$6-$G$3)&lt;1,0,IFERROR(LOOKUP(2,1/('Arroz irrigado'!$E7:INDEX('Arroz irrigado'!$E7:$Z7,MIN(R$6-$G$3,22))&lt;&gt;""),'Arroz irrigado'!$E7:INDEX('Arroz irrigado'!$E7:$Z7,MIN(R$6-$G$3,22))),0)))))</f>
        <v>0</v>
      </c>
      <c r="S9" s="27" t="n">
        <f aca="false">IF(COUNT('Arroz irrigado'!$E7:$Z7)=0,0,MAX(0,IF((S$6-$E$3)&lt;1,0,IFERROR(LOOKUP(2,1/('Arroz irrigado'!$E7:INDEX('Arroz irrigado'!$E7:$Z7,MIN(S$6-$E$3,22))&lt;&gt;""),'Arroz irrigado'!$E7:INDEX('Arroz irrigado'!$E7:$Z7,MIN(S$6-$E$3,22))),0))-IF($G$2,0,IF((S$6-$G$3)&lt;1,0,IFERROR(LOOKUP(2,1/('Arroz irrigado'!$E7:INDEX('Arroz irrigado'!$E7:$Z7,MIN(S$6-$G$3,22))&lt;&gt;""),'Arroz irrigado'!$E7:INDEX('Arroz irrigado'!$E7:$Z7,MIN(S$6-$G$3,22))),0)))))</f>
        <v>0</v>
      </c>
      <c r="T9" s="27" t="n">
        <f aca="false">IF(COUNT('Arroz irrigado'!$E7:$Z7)=0,0,MAX(0,IF((T$6-$E$3)&lt;1,0,IFERROR(LOOKUP(2,1/('Arroz irrigado'!$E7:INDEX('Arroz irrigado'!$E7:$Z7,MIN(T$6-$E$3,22))&lt;&gt;""),'Arroz irrigado'!$E7:INDEX('Arroz irrigado'!$E7:$Z7,MIN(T$6-$E$3,22))),0))-IF($G$2,0,IF((T$6-$G$3)&lt;1,0,IFERROR(LOOKUP(2,1/('Arroz irrigado'!$E7:INDEX('Arroz irrigado'!$E7:$Z7,MIN(T$6-$G$3,22))&lt;&gt;""),'Arroz irrigado'!$E7:INDEX('Arroz irrigado'!$E7:$Z7,MIN(T$6-$G$3,22))),0)))))</f>
        <v>0</v>
      </c>
      <c r="U9" s="27" t="n">
        <f aca="false">IF(COUNT('Arroz irrigado'!$E7:$Z7)=0,0,MAX(0,IF((U$6-$E$3)&lt;1,0,IFERROR(LOOKUP(2,1/('Arroz irrigado'!$E7:INDEX('Arroz irrigado'!$E7:$Z7,MIN(U$6-$E$3,22))&lt;&gt;""),'Arroz irrigado'!$E7:INDEX('Arroz irrigado'!$E7:$Z7,MIN(U$6-$E$3,22))),0))-IF($G$2,0,IF((U$6-$G$3)&lt;1,0,IFERROR(LOOKUP(2,1/('Arroz irrigado'!$E7:INDEX('Arroz irrigado'!$E7:$Z7,MIN(U$6-$G$3,22))&lt;&gt;""),'Arroz irrigado'!$E7:INDEX('Arroz irrigado'!$E7:$Z7,MIN(U$6-$G$3,22))),0)))))</f>
        <v>0</v>
      </c>
      <c r="V9" s="27" t="n">
        <f aca="false">IF(COUNT('Arroz irrigado'!$E7:$Z7)=0,0,MAX(0,IF((V$6-$E$3)&lt;1,0,IFERROR(LOOKUP(2,1/('Arroz irrigado'!$E7:INDEX('Arroz irrigado'!$E7:$Z7,MIN(V$6-$E$3,22))&lt;&gt;""),'Arroz irrigado'!$E7:INDEX('Arroz irrigado'!$E7:$Z7,MIN(V$6-$E$3,22))),0))-IF($G$2,0,IF((V$6-$G$3)&lt;1,0,IFERROR(LOOKUP(2,1/('Arroz irrigado'!$E7:INDEX('Arroz irrigado'!$E7:$Z7,MIN(V$6-$G$3,22))&lt;&gt;""),'Arroz irrigado'!$E7:INDEX('Arroz irrigado'!$E7:$Z7,MIN(V$6-$G$3,22))),0)))))</f>
        <v>0</v>
      </c>
      <c r="W9" s="27" t="n">
        <f aca="false">IF(COUNT('Arroz irrigado'!$E7:$Z7)=0,0,MAX(0,IF((W$6-$E$3)&lt;1,0,IFERROR(LOOKUP(2,1/('Arroz irrigado'!$E7:INDEX('Arroz irrigado'!$E7:$Z7,MIN(W$6-$E$3,22))&lt;&gt;""),'Arroz irrigado'!$E7:INDEX('Arroz irrigado'!$E7:$Z7,MIN(W$6-$E$3,22))),0))-IF($G$2,0,IF((W$6-$G$3)&lt;1,0,IFERROR(LOOKUP(2,1/('Arroz irrigado'!$E7:INDEX('Arroz irrigado'!$E7:$Z7,MIN(W$6-$G$3,22))&lt;&gt;""),'Arroz irrigado'!$E7:INDEX('Arroz irrigado'!$E7:$Z7,MIN(W$6-$G$3,22))),0)))))</f>
        <v>0</v>
      </c>
      <c r="X9" s="27" t="n">
        <f aca="false">IF(COUNT('Arroz irrigado'!$E7:$Z7)=0,0,MAX(0,IF((X$6-$E$3)&lt;1,0,IFERROR(LOOKUP(2,1/('Arroz irrigado'!$E7:INDEX('Arroz irrigado'!$E7:$Z7,MIN(X$6-$E$3,22))&lt;&gt;""),'Arroz irrigado'!$E7:INDEX('Arroz irrigado'!$E7:$Z7,MIN(X$6-$E$3,22))),0))-IF($G$2,0,IF((X$6-$G$3)&lt;1,0,IFERROR(LOOKUP(2,1/('Arroz irrigado'!$E7:INDEX('Arroz irrigado'!$E7:$Z7,MIN(X$6-$G$3,22))&lt;&gt;""),'Arroz irrigado'!$E7:INDEX('Arroz irrigado'!$E7:$Z7,MIN(X$6-$G$3,22))),0)))))</f>
        <v>0</v>
      </c>
      <c r="Y9" s="27" t="n">
        <f aca="false">IF(COUNT('Arroz irrigado'!$E7:$Z7)=0,0,MAX(0,IF((Y$6-$E$3)&lt;1,0,IFERROR(LOOKUP(2,1/('Arroz irrigado'!$E7:INDEX('Arroz irrigado'!$E7:$Z7,MIN(Y$6-$E$3,22))&lt;&gt;""),'Arroz irrigado'!$E7:INDEX('Arroz irrigado'!$E7:$Z7,MIN(Y$6-$E$3,22))),0))-IF($G$2,0,IF((Y$6-$G$3)&lt;1,0,IFERROR(LOOKUP(2,1/('Arroz irrigado'!$E7:INDEX('Arroz irrigado'!$E7:$Z7,MIN(Y$6-$G$3,22))&lt;&gt;""),'Arroz irrigado'!$E7:INDEX('Arroz irrigado'!$E7:$Z7,MIN(Y$6-$G$3,22))),0)))))</f>
        <v>0</v>
      </c>
      <c r="Z9" s="27" t="n">
        <f aca="false">IF(COUNT('Arroz irrigado'!$E7:$Z7)=0,0,MAX(0,IF((Z$6-$E$3)&lt;1,0,IFERROR(LOOKUP(2,1/('Arroz irrigado'!$E7:INDEX('Arroz irrigado'!$E7:$Z7,MIN(Z$6-$E$3,22))&lt;&gt;""),'Arroz irrigado'!$E7:INDEX('Arroz irrigado'!$E7:$Z7,MIN(Z$6-$E$3,22))),0))-IF($G$2,0,IF((Z$6-$G$3)&lt;1,0,IFERROR(LOOKUP(2,1/('Arroz irrigado'!$E7:INDEX('Arroz irrigado'!$E7:$Z7,MIN(Z$6-$G$3,22))&lt;&gt;""),'Arroz irrigado'!$E7:INDEX('Arroz irrigado'!$E7:$Z7,MIN(Z$6-$G$3,22))),0)))))</f>
        <v>0</v>
      </c>
      <c r="AA9" s="27" t="n">
        <f aca="false">IF(COUNT('Arroz irrigado'!$E7:$Z7)=0,0,MAX(0,IF((AA$6-$E$3)&lt;1,0,IFERROR(LOOKUP(2,1/('Arroz irrigado'!$E7:INDEX('Arroz irrigado'!$E7:$Z7,MIN(AA$6-$E$3,22))&lt;&gt;""),'Arroz irrigado'!$E7:INDEX('Arroz irrigado'!$E7:$Z7,MIN(AA$6-$E$3,22))),0))-IF($G$2,0,IF((AA$6-$G$3)&lt;1,0,IFERROR(LOOKUP(2,1/('Arroz irrigado'!$E7:INDEX('Arroz irrigado'!$E7:$Z7,MIN(AA$6-$G$3,22))&lt;&gt;""),'Arroz irrigado'!$E7:INDEX('Arroz irrigado'!$E7:$Z7,MIN(AA$6-$G$3,22))),0)))))</f>
        <v>0</v>
      </c>
      <c r="AB9" s="27" t="n">
        <f aca="false">IF(COUNT('Arroz irrigado'!$E7:$Z7)=0,0,MAX(0,IF((AB$6-$E$3)&lt;1,0,IFERROR(LOOKUP(2,1/('Arroz irrigado'!$E7:INDEX('Arroz irrigado'!$E7:$Z7,MIN(AB$6-$E$3,22))&lt;&gt;""),'Arroz irrigado'!$E7:INDEX('Arroz irrigado'!$E7:$Z7,MIN(AB$6-$E$3,22))),0))-IF($G$2,0,IF((AB$6-$G$3)&lt;1,0,IFERROR(LOOKUP(2,1/('Arroz irrigado'!$E7:INDEX('Arroz irrigado'!$E7:$Z7,MIN(AB$6-$G$3,22))&lt;&gt;""),'Arroz irrigado'!$E7:INDEX('Arroz irrigado'!$E7:$Z7,MIN(AB$6-$G$3,22))),0)))))</f>
        <v>0</v>
      </c>
      <c r="AC9" s="27" t="n">
        <f aca="false">IF(COUNT('Arroz irrigado'!$E7:$Z7)=0,0,MAX(0,IF((AC$6-$E$3)&lt;1,0,IFERROR(LOOKUP(2,1/('Arroz irrigado'!$E7:INDEX('Arroz irrigado'!$E7:$Z7,MIN(AC$6-$E$3,22))&lt;&gt;""),'Arroz irrigado'!$E7:INDEX('Arroz irrigado'!$E7:$Z7,MIN(AC$6-$E$3,22))),0))-IF($G$2,0,IF((AC$6-$G$3)&lt;1,0,IFERROR(LOOKUP(2,1/('Arroz irrigado'!$E7:INDEX('Arroz irrigado'!$E7:$Z7,MIN(AC$6-$G$3,22))&lt;&gt;""),'Arroz irrigado'!$E7:INDEX('Arroz irrigado'!$E7:$Z7,MIN(AC$6-$G$3,22))),0)))))</f>
        <v>0</v>
      </c>
      <c r="AD9" s="27" t="n">
        <f aca="false">IF(COUNT('Arroz irrigado'!$E7:$Z7)=0,0,MAX(0,IF((AD$6-$E$3)&lt;1,0,IFERROR(LOOKUP(2,1/('Arroz irrigado'!$E7:INDEX('Arroz irrigado'!$E7:$Z7,MIN(AD$6-$E$3,22))&lt;&gt;""),'Arroz irrigado'!$E7:INDEX('Arroz irrigado'!$E7:$Z7,MIN(AD$6-$E$3,22))),0))-IF($G$2,0,IF((AD$6-$G$3)&lt;1,0,IFERROR(LOOKUP(2,1/('Arroz irrigado'!$E7:INDEX('Arroz irrigado'!$E7:$Z7,MIN(AD$6-$G$3,22))&lt;&gt;""),'Arroz irrigado'!$E7:INDEX('Arroz irrigado'!$E7:$Z7,MIN(AD$6-$G$3,22))),0)))))</f>
        <v>0</v>
      </c>
      <c r="AE9" s="27" t="n">
        <f aca="false">IF(COUNT('Arroz irrigado'!$E7:$Z7)=0,0,MAX(0,IF((AE$6-$E$3)&lt;1,0,IFERROR(LOOKUP(2,1/('Arroz irrigado'!$E7:INDEX('Arroz irrigado'!$E7:$Z7,MIN(AE$6-$E$3,22))&lt;&gt;""),'Arroz irrigado'!$E7:INDEX('Arroz irrigado'!$E7:$Z7,MIN(AE$6-$E$3,22))),0))-IF($G$2,0,IF((AE$6-$G$3)&lt;1,0,IFERROR(LOOKUP(2,1/('Arroz irrigado'!$E7:INDEX('Arroz irrigado'!$E7:$Z7,MIN(AE$6-$G$3,22))&lt;&gt;""),'Arroz irrigado'!$E7:INDEX('Arroz irrigado'!$E7:$Z7,MIN(AE$6-$G$3,22))),0)))))</f>
        <v>0</v>
      </c>
      <c r="AF9" s="27" t="n">
        <f aca="false">IF(COUNT('Arroz irrigado'!$E7:$Z7)=0,0,MAX(0,IF((AF$6-$E$3)&lt;1,0,IFERROR(LOOKUP(2,1/('Arroz irrigado'!$E7:INDEX('Arroz irrigado'!$E7:$Z7,MIN(AF$6-$E$3,22))&lt;&gt;""),'Arroz irrigado'!$E7:INDEX('Arroz irrigado'!$E7:$Z7,MIN(AF$6-$E$3,22))),0))-IF($G$2,0,IF((AF$6-$G$3)&lt;1,0,IFERROR(LOOKUP(2,1/('Arroz irrigado'!$E7:INDEX('Arroz irrigado'!$E7:$Z7,MIN(AF$6-$G$3,22))&lt;&gt;""),'Arroz irrigado'!$E7:INDEX('Arroz irrigado'!$E7:$Z7,MIN(AF$6-$G$3,22))),0)))))</f>
        <v>0</v>
      </c>
      <c r="AG9" s="27" t="n">
        <f aca="false">IF(COUNT('Arroz irrigado'!$E7:$Z7)=0,0,MAX(0,IF((AG$6-$E$3)&lt;1,0,IFERROR(LOOKUP(2,1/('Arroz irrigado'!$E7:INDEX('Arroz irrigado'!$E7:$Z7,MIN(AG$6-$E$3,22))&lt;&gt;""),'Arroz irrigado'!$E7:INDEX('Arroz irrigado'!$E7:$Z7,MIN(AG$6-$E$3,22))),0))-IF($G$2,0,IF((AG$6-$G$3)&lt;1,0,IFERROR(LOOKUP(2,1/('Arroz irrigado'!$E7:INDEX('Arroz irrigado'!$E7:$Z7,MIN(AG$6-$G$3,22))&lt;&gt;""),'Arroz irrigado'!$E7:INDEX('Arroz irrigado'!$E7:$Z7,MIN(AG$6-$G$3,22))),0)))))</f>
        <v>0</v>
      </c>
      <c r="AH9" s="27" t="n">
        <f aca="false">IF(COUNT('Arroz irrigado'!$E7:$Z7)=0,0,MAX(0,IF((AH$6-$E$3)&lt;1,0,IFERROR(LOOKUP(2,1/('Arroz irrigado'!$E7:INDEX('Arroz irrigado'!$E7:$Z7,MIN(AH$6-$E$3,22))&lt;&gt;""),'Arroz irrigado'!$E7:INDEX('Arroz irrigado'!$E7:$Z7,MIN(AH$6-$E$3,22))),0))-IF($G$2,0,IF((AH$6-$G$3)&lt;1,0,IFERROR(LOOKUP(2,1/('Arroz irrigado'!$E7:INDEX('Arroz irrigado'!$E7:$Z7,MIN(AH$6-$G$3,22))&lt;&gt;""),'Arroz irrigado'!$E7:INDEX('Arroz irrigado'!$E7:$Z7,MIN(AH$6-$G$3,22))),0)))))</f>
        <v>0</v>
      </c>
      <c r="AI9" s="27" t="n">
        <f aca="false">IF(COUNT('Arroz irrigado'!$E7:$Z7)=0,0,MAX(0,IF((AI$6-$E$3)&lt;1,0,IFERROR(LOOKUP(2,1/('Arroz irrigado'!$E7:INDEX('Arroz irrigado'!$E7:$Z7,MIN(AI$6-$E$3,22))&lt;&gt;""),'Arroz irrigado'!$E7:INDEX('Arroz irrigado'!$E7:$Z7,MIN(AI$6-$E$3,22))),0))-IF($G$2,0,IF((AI$6-$G$3)&lt;1,0,IFERROR(LOOKUP(2,1/('Arroz irrigado'!$E7:INDEX('Arroz irrigado'!$E7:$Z7,MIN(AI$6-$G$3,22))&lt;&gt;""),'Arroz irrigado'!$E7:INDEX('Arroz irrigado'!$E7:$Z7,MIN(AI$6-$G$3,22))),0)))))</f>
        <v>0</v>
      </c>
      <c r="AJ9" s="27" t="n">
        <f aca="false">IF(COUNT('Arroz irrigado'!$E7:$Z7)=0,0,MAX(0,IF((AJ$6-$E$3)&lt;1,0,IFERROR(LOOKUP(2,1/('Arroz irrigado'!$E7:INDEX('Arroz irrigado'!$E7:$Z7,MIN(AJ$6-$E$3,22))&lt;&gt;""),'Arroz irrigado'!$E7:INDEX('Arroz irrigado'!$E7:$Z7,MIN(AJ$6-$E$3,22))),0))-IF($G$2,0,IF((AJ$6-$G$3)&lt;1,0,IFERROR(LOOKUP(2,1/('Arroz irrigado'!$E7:INDEX('Arroz irrigado'!$E7:$Z7,MIN(AJ$6-$G$3,22))&lt;&gt;""),'Arroz irrigado'!$E7:INDEX('Arroz irrigado'!$E7:$Z7,MIN(AJ$6-$G$3,22))),0)))))</f>
        <v>0</v>
      </c>
      <c r="AK9" s="27" t="n">
        <f aca="false">IF(COUNT('Arroz irrigado'!$E7:$Z7)=0,0,MAX(0,IF((AK$6-$E$3)&lt;1,0,IFERROR(LOOKUP(2,1/('Arroz irrigado'!$E7:INDEX('Arroz irrigado'!$E7:$Z7,MIN(AK$6-$E$3,22))&lt;&gt;""),'Arroz irrigado'!$E7:INDEX('Arroz irrigado'!$E7:$Z7,MIN(AK$6-$E$3,22))),0))-IF($G$2,0,IF((AK$6-$G$3)&lt;1,0,IFERROR(LOOKUP(2,1/('Arroz irrigado'!$E7:INDEX('Arroz irrigado'!$E7:$Z7,MIN(AK$6-$G$3,22))&lt;&gt;""),'Arroz irrigado'!$E7:INDEX('Arroz irrigado'!$E7:$Z7,MIN(AK$6-$G$3,22))),0)))))</f>
        <v>0</v>
      </c>
      <c r="AL9" s="27" t="n">
        <f aca="false">IF(COUNT('Arroz irrigado'!$E7:$Z7)=0,0,MAX(0,IF((AL$6-$E$3)&lt;1,0,IFERROR(LOOKUP(2,1/('Arroz irrigado'!$E7:INDEX('Arroz irrigado'!$E7:$Z7,MIN(AL$6-$E$3,22))&lt;&gt;""),'Arroz irrigado'!$E7:INDEX('Arroz irrigado'!$E7:$Z7,MIN(AL$6-$E$3,22))),0))-IF($G$2,0,IF((AL$6-$G$3)&lt;1,0,IFERROR(LOOKUP(2,1/('Arroz irrigado'!$E7:INDEX('Arroz irrigado'!$E7:$Z7,MIN(AL$6-$G$3,22))&lt;&gt;""),'Arroz irrigado'!$E7:INDEX('Arroz irrigado'!$E7:$Z7,MIN(AL$6-$G$3,22))),0)))))</f>
        <v>0</v>
      </c>
      <c r="AM9" s="27" t="n">
        <f aca="false">IF(COUNT('Arroz irrigado'!$E7:$Z7)=0,0,MAX(0,IF((AM$6-$E$3)&lt;1,0,IFERROR(LOOKUP(2,1/('Arroz irrigado'!$E7:INDEX('Arroz irrigado'!$E7:$Z7,MIN(AM$6-$E$3,22))&lt;&gt;""),'Arroz irrigado'!$E7:INDEX('Arroz irrigado'!$E7:$Z7,MIN(AM$6-$E$3,22))),0))-IF($G$2,0,IF((AM$6-$G$3)&lt;1,0,IFERROR(LOOKUP(2,1/('Arroz irrigado'!$E7:INDEX('Arroz irrigado'!$E7:$Z7,MIN(AM$6-$G$3,22))&lt;&gt;""),'Arroz irrigado'!$E7:INDEX('Arroz irrigado'!$E7:$Z7,MIN(AM$6-$G$3,22))),0)))))</f>
        <v>0</v>
      </c>
      <c r="AN9" s="27" t="n">
        <f aca="false">IF(COUNT('Arroz irrigado'!$E7:$Z7)=0,0,MAX(0,IF((AN$6-$E$3)&lt;1,0,IFERROR(LOOKUP(2,1/('Arroz irrigado'!$E7:INDEX('Arroz irrigado'!$E7:$Z7,MIN(AN$6-$E$3,22))&lt;&gt;""),'Arroz irrigado'!$E7:INDEX('Arroz irrigado'!$E7:$Z7,MIN(AN$6-$E$3,22))),0))-IF($G$2,0,IF((AN$6-$G$3)&lt;1,0,IFERROR(LOOKUP(2,1/('Arroz irrigado'!$E7:INDEX('Arroz irrigado'!$E7:$Z7,MIN(AN$6-$G$3,22))&lt;&gt;""),'Arroz irrigado'!$E7:INDEX('Arroz irrigado'!$E7:$Z7,MIN(AN$6-$G$3,22))),0)))))</f>
        <v>0</v>
      </c>
      <c r="AO9" s="27" t="n">
        <f aca="false">IF(COUNT('Arroz irrigado'!$E7:$Z7)=0,0,MAX(0,IF((AO$6-$E$3)&lt;1,0,IFERROR(LOOKUP(2,1/('Arroz irrigado'!$E7:INDEX('Arroz irrigado'!$E7:$Z7,MIN(AO$6-$E$3,22))&lt;&gt;""),'Arroz irrigado'!$E7:INDEX('Arroz irrigado'!$E7:$Z7,MIN(AO$6-$E$3,22))),0))-IF($G$2,0,IF((AO$6-$G$3)&lt;1,0,IFERROR(LOOKUP(2,1/('Arroz irrigado'!$E7:INDEX('Arroz irrigado'!$E7:$Z7,MIN(AO$6-$G$3,22))&lt;&gt;""),'Arroz irrigado'!$E7:INDEX('Arroz irrigado'!$E7:$Z7,MIN(AO$6-$G$3,22))),0)))))</f>
        <v>0</v>
      </c>
      <c r="AP9" s="27" t="n">
        <f aca="false">IF(COUNT('Arroz irrigado'!$E7:$Z7)=0,0,MAX(0,IF((AP$6-$E$3)&lt;1,0,IFERROR(LOOKUP(2,1/('Arroz irrigado'!$E7:INDEX('Arroz irrigado'!$E7:$Z7,MIN(AP$6-$E$3,22))&lt;&gt;""),'Arroz irrigado'!$E7:INDEX('Arroz irrigado'!$E7:$Z7,MIN(AP$6-$E$3,22))),0))-IF($G$2,0,IF((AP$6-$G$3)&lt;1,0,IFERROR(LOOKUP(2,1/('Arroz irrigado'!$E7:INDEX('Arroz irrigado'!$E7:$Z7,MIN(AP$6-$G$3,22))&lt;&gt;""),'Arroz irrigado'!$E7:INDEX('Arroz irrigado'!$E7:$Z7,MIN(AP$6-$G$3,22))),0)))))</f>
        <v>0</v>
      </c>
      <c r="AQ9" s="27" t="n">
        <f aca="false">IF(COUNT('Arroz irrigado'!$E7:$Z7)=0,0,MAX(0,IF((AQ$6-$E$3)&lt;1,0,IFERROR(LOOKUP(2,1/('Arroz irrigado'!$E7:INDEX('Arroz irrigado'!$E7:$Z7,MIN(AQ$6-$E$3,22))&lt;&gt;""),'Arroz irrigado'!$E7:INDEX('Arroz irrigado'!$E7:$Z7,MIN(AQ$6-$E$3,22))),0))-IF($G$2,0,IF((AQ$6-$G$3)&lt;1,0,IFERROR(LOOKUP(2,1/('Arroz irrigado'!$E7:INDEX('Arroz irrigado'!$E7:$Z7,MIN(AQ$6-$G$3,22))&lt;&gt;""),'Arroz irrigado'!$E7:INDEX('Arroz irrigado'!$E7:$Z7,MIN(AQ$6-$G$3,22))),0)))))</f>
        <v>0</v>
      </c>
      <c r="AR9" s="27" t="n">
        <f aca="false">IF(COUNT('Arroz irrigado'!$E7:$Z7)=0,0,MAX(0,IF((AR$6-$E$3)&lt;1,0,IFERROR(LOOKUP(2,1/('Arroz irrigado'!$E7:INDEX('Arroz irrigado'!$E7:$Z7,MIN(AR$6-$E$3,22))&lt;&gt;""),'Arroz irrigado'!$E7:INDEX('Arroz irrigado'!$E7:$Z7,MIN(AR$6-$E$3,22))),0))-IF($G$2,0,IF((AR$6-$G$3)&lt;1,0,IFERROR(LOOKUP(2,1/('Arroz irrigado'!$E7:INDEX('Arroz irrigado'!$E7:$Z7,MIN(AR$6-$G$3,22))&lt;&gt;""),'Arroz irrigado'!$E7:INDEX('Arroz irrigado'!$E7:$Z7,MIN(AR$6-$G$3,22))),0)))))</f>
        <v>0</v>
      </c>
      <c r="AS9" s="27" t="n">
        <f aca="false">IF(COUNT('Arroz irrigado'!$E7:$Z7)=0,0,MAX(0,IF((AS$6-$E$3)&lt;1,0,IFERROR(LOOKUP(2,1/('Arroz irrigado'!$E7:INDEX('Arroz irrigado'!$E7:$Z7,MIN(AS$6-$E$3,22))&lt;&gt;""),'Arroz irrigado'!$E7:INDEX('Arroz irrigado'!$E7:$Z7,MIN(AS$6-$E$3,22))),0))-IF($G$2,0,IF((AS$6-$G$3)&lt;1,0,IFERROR(LOOKUP(2,1/('Arroz irrigado'!$E7:INDEX('Arroz irrigado'!$E7:$Z7,MIN(AS$6-$G$3,22))&lt;&gt;""),'Arroz irrigado'!$E7:INDEX('Arroz irrigado'!$E7:$Z7,MIN(AS$6-$G$3,22))),0)))))</f>
        <v>0</v>
      </c>
      <c r="AT9" s="27" t="n">
        <f aca="false">IF(COUNT('Arroz irrigado'!$E7:$Z7)=0,0,MAX(0,IF((AT$6-$E$3)&lt;1,0,IFERROR(LOOKUP(2,1/('Arroz irrigado'!$E7:INDEX('Arroz irrigado'!$E7:$Z7,MIN(AT$6-$E$3,22))&lt;&gt;""),'Arroz irrigado'!$E7:INDEX('Arroz irrigado'!$E7:$Z7,MIN(AT$6-$E$3,22))),0))-IF($G$2,0,IF((AT$6-$G$3)&lt;1,0,IFERROR(LOOKUP(2,1/('Arroz irrigado'!$E7:INDEX('Arroz irrigado'!$E7:$Z7,MIN(AT$6-$G$3,22))&lt;&gt;""),'Arroz irrigado'!$E7:INDEX('Arroz irrigado'!$E7:$Z7,MIN(AT$6-$G$3,22))),0)))))</f>
        <v>0</v>
      </c>
      <c r="AU9" s="27" t="n">
        <f aca="false">IF(COUNT('Arroz irrigado'!$E7:$Z7)=0,0,MAX(0,IF((AU$6-$E$3)&lt;1,0,IFERROR(LOOKUP(2,1/('Arroz irrigado'!$E7:INDEX('Arroz irrigado'!$E7:$Z7,MIN(AU$6-$E$3,22))&lt;&gt;""),'Arroz irrigado'!$E7:INDEX('Arroz irrigado'!$E7:$Z7,MIN(AU$6-$E$3,22))),0))-IF($G$2,0,IF((AU$6-$G$3)&lt;1,0,IFERROR(LOOKUP(2,1/('Arroz irrigado'!$E7:INDEX('Arroz irrigado'!$E7:$Z7,MIN(AU$6-$G$3,22))&lt;&gt;""),'Arroz irrigado'!$E7:INDEX('Arroz irrigado'!$E7:$Z7,MIN(AU$6-$G$3,22))),0)))))</f>
        <v>0</v>
      </c>
      <c r="AV9" s="27" t="n">
        <f aca="false">IF(COUNT('Arroz irrigado'!$E7:$Z7)=0,0,MAX(0,IF((AV$6-$E$3)&lt;1,0,IFERROR(LOOKUP(2,1/('Arroz irrigado'!$E7:INDEX('Arroz irrigado'!$E7:$Z7,MIN(AV$6-$E$3,22))&lt;&gt;""),'Arroz irrigado'!$E7:INDEX('Arroz irrigado'!$E7:$Z7,MIN(AV$6-$E$3,22))),0))-IF($G$2,0,IF((AV$6-$G$3)&lt;1,0,IFERROR(LOOKUP(2,1/('Arroz irrigado'!$E7:INDEX('Arroz irrigado'!$E7:$Z7,MIN(AV$6-$G$3,22))&lt;&gt;""),'Arroz irrigado'!$E7:INDEX('Arroz irrigado'!$E7:$Z7,MIN(AV$6-$G$3,22))),0)))))</f>
        <v>0</v>
      </c>
      <c r="AW9" s="27" t="n">
        <f aca="false">IF(COUNT('Arroz irrigado'!$E7:$Z7)=0,0,MAX(0,IF((AW$6-$E$3)&lt;1,0,IFERROR(LOOKUP(2,1/('Arroz irrigado'!$E7:INDEX('Arroz irrigado'!$E7:$Z7,MIN(AW$6-$E$3,22))&lt;&gt;""),'Arroz irrigado'!$E7:INDEX('Arroz irrigado'!$E7:$Z7,MIN(AW$6-$E$3,22))),0))-IF($G$2,0,IF((AW$6-$G$3)&lt;1,0,IFERROR(LOOKUP(2,1/('Arroz irrigado'!$E7:INDEX('Arroz irrigado'!$E7:$Z7,MIN(AW$6-$G$3,22))&lt;&gt;""),'Arroz irrigado'!$E7:INDEX('Arroz irrigado'!$E7:$Z7,MIN(AW$6-$G$3,22))),0)))))</f>
        <v>0</v>
      </c>
      <c r="AX9" s="27" t="n">
        <f aca="false">IF(COUNT('Arroz irrigado'!$E7:$Z7)=0,0,MAX(0,IF((AX$6-$E$3)&lt;1,0,IFERROR(LOOKUP(2,1/('Arroz irrigado'!$E7:INDEX('Arroz irrigado'!$E7:$Z7,MIN(AX$6-$E$3,22))&lt;&gt;""),'Arroz irrigado'!$E7:INDEX('Arroz irrigado'!$E7:$Z7,MIN(AX$6-$E$3,22))),0))-IF($G$2,0,IF((AX$6-$G$3)&lt;1,0,IFERROR(LOOKUP(2,1/('Arroz irrigado'!$E7:INDEX('Arroz irrigado'!$E7:$Z7,MIN(AX$6-$G$3,22))&lt;&gt;""),'Arroz irrigado'!$E7:INDEX('Arroz irrigado'!$E7:$Z7,MIN(AX$6-$G$3,22))),0)))))</f>
        <v>0</v>
      </c>
      <c r="AY9" s="27" t="n">
        <f aca="false">IF(COUNT('Arroz irrigado'!$E7:$Z7)=0,0,MAX(0,IF((AY$6-$E$3)&lt;1,0,IFERROR(LOOKUP(2,1/('Arroz irrigado'!$E7:INDEX('Arroz irrigado'!$E7:$Z7,MIN(AY$6-$E$3,22))&lt;&gt;""),'Arroz irrigado'!$E7:INDEX('Arroz irrigado'!$E7:$Z7,MIN(AY$6-$E$3,22))),0))-IF($G$2,0,IF((AY$6-$G$3)&lt;1,0,IFERROR(LOOKUP(2,1/('Arroz irrigado'!$E7:INDEX('Arroz irrigado'!$E7:$Z7,MIN(AY$6-$G$3,22))&lt;&gt;""),'Arroz irrigado'!$E7:INDEX('Arroz irrigado'!$E7:$Z7,MIN(AY$6-$G$3,22))),0)))))</f>
        <v>0</v>
      </c>
      <c r="AZ9" s="27" t="n">
        <f aca="false">IF(COUNT('Arroz irrigado'!$E7:$Z7)=0,0,MAX(0,IF((AZ$6-$E$3)&lt;1,0,IFERROR(LOOKUP(2,1/('Arroz irrigado'!$E7:INDEX('Arroz irrigado'!$E7:$Z7,MIN(AZ$6-$E$3,22))&lt;&gt;""),'Arroz irrigado'!$E7:INDEX('Arroz irrigado'!$E7:$Z7,MIN(AZ$6-$E$3,22))),0))-IF($G$2,0,IF((AZ$6-$G$3)&lt;1,0,IFERROR(LOOKUP(2,1/('Arroz irrigado'!$E7:INDEX('Arroz irrigado'!$E7:$Z7,MIN(AZ$6-$G$3,22))&lt;&gt;""),'Arroz irrigado'!$E7:INDEX('Arroz irrigado'!$E7:$Z7,MIN(AZ$6-$G$3,22))),0)))))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IF(COUNT('Arroz irrigado'!$E8:$Z8)&gt;0,N('Arroz irrigado'!$D8),0)</f>
        <v>0</v>
      </c>
      <c r="E10" s="27" t="n">
        <f aca="false">IF(COUNT('Arroz irrigado'!$E8:$Z8)=0,0,MAX(0,IF((E$6-$E$3)&lt;1,0,IFERROR(LOOKUP(2,1/('Arroz irrigado'!$E8:INDEX('Arroz irrigado'!$E8:$Z8,MIN(E$6-$E$3,22))&lt;&gt;""),'Arroz irrigado'!$E8:INDEX('Arroz irrigado'!$E8:$Z8,MIN(E$6-$E$3,22))),0))-IF($G$2,0,IF((E$6-$G$3)&lt;1,0,IFERROR(LOOKUP(2,1/('Arroz irrigado'!$E8:INDEX('Arroz irrigado'!$E8:$Z8,MIN(E$6-$G$3,22))&lt;&gt;""),'Arroz irrigado'!$E8:INDEX('Arroz irrigado'!$E8:$Z8,MIN(E$6-$G$3,22))),0)))))</f>
        <v>0</v>
      </c>
      <c r="F10" s="27" t="n">
        <f aca="false">IF(COUNT('Arroz irrigado'!$E8:$Z8)=0,0,MAX(0,IF((F$6-$E$3)&lt;1,0,IFERROR(LOOKUP(2,1/('Arroz irrigado'!$E8:INDEX('Arroz irrigado'!$E8:$Z8,MIN(F$6-$E$3,22))&lt;&gt;""),'Arroz irrigado'!$E8:INDEX('Arroz irrigado'!$E8:$Z8,MIN(F$6-$E$3,22))),0))-IF($G$2,0,IF((F$6-$G$3)&lt;1,0,IFERROR(LOOKUP(2,1/('Arroz irrigado'!$E8:INDEX('Arroz irrigado'!$E8:$Z8,MIN(F$6-$G$3,22))&lt;&gt;""),'Arroz irrigado'!$E8:INDEX('Arroz irrigado'!$E8:$Z8,MIN(F$6-$G$3,22))),0)))))</f>
        <v>0</v>
      </c>
      <c r="G10" s="27" t="n">
        <f aca="false">IF(COUNT('Arroz irrigado'!$E8:$Z8)=0,0,MAX(0,IF((G$6-$E$3)&lt;1,0,IFERROR(LOOKUP(2,1/('Arroz irrigado'!$E8:INDEX('Arroz irrigado'!$E8:$Z8,MIN(G$6-$E$3,22))&lt;&gt;""),'Arroz irrigado'!$E8:INDEX('Arroz irrigado'!$E8:$Z8,MIN(G$6-$E$3,22))),0))-IF($G$2,0,IF((G$6-$G$3)&lt;1,0,IFERROR(LOOKUP(2,1/('Arroz irrigado'!$E8:INDEX('Arroz irrigado'!$E8:$Z8,MIN(G$6-$G$3,22))&lt;&gt;""),'Arroz irrigado'!$E8:INDEX('Arroz irrigado'!$E8:$Z8,MIN(G$6-$G$3,22))),0)))))</f>
        <v>0</v>
      </c>
      <c r="H10" s="27" t="n">
        <f aca="false">IF(COUNT('Arroz irrigado'!$E8:$Z8)=0,0,MAX(0,IF((H$6-$E$3)&lt;1,0,IFERROR(LOOKUP(2,1/('Arroz irrigado'!$E8:INDEX('Arroz irrigado'!$E8:$Z8,MIN(H$6-$E$3,22))&lt;&gt;""),'Arroz irrigado'!$E8:INDEX('Arroz irrigado'!$E8:$Z8,MIN(H$6-$E$3,22))),0))-IF($G$2,0,IF((H$6-$G$3)&lt;1,0,IFERROR(LOOKUP(2,1/('Arroz irrigado'!$E8:INDEX('Arroz irrigado'!$E8:$Z8,MIN(H$6-$G$3,22))&lt;&gt;""),'Arroz irrigado'!$E8:INDEX('Arroz irrigado'!$E8:$Z8,MIN(H$6-$G$3,22))),0)))))</f>
        <v>0</v>
      </c>
      <c r="I10" s="27" t="n">
        <f aca="false">IF(COUNT('Arroz irrigado'!$E8:$Z8)=0,0,MAX(0,IF((I$6-$E$3)&lt;1,0,IFERROR(LOOKUP(2,1/('Arroz irrigado'!$E8:INDEX('Arroz irrigado'!$E8:$Z8,MIN(I$6-$E$3,22))&lt;&gt;""),'Arroz irrigado'!$E8:INDEX('Arroz irrigado'!$E8:$Z8,MIN(I$6-$E$3,22))),0))-IF($G$2,0,IF((I$6-$G$3)&lt;1,0,IFERROR(LOOKUP(2,1/('Arroz irrigado'!$E8:INDEX('Arroz irrigado'!$E8:$Z8,MIN(I$6-$G$3,22))&lt;&gt;""),'Arroz irrigado'!$E8:INDEX('Arroz irrigado'!$E8:$Z8,MIN(I$6-$G$3,22))),0)))))</f>
        <v>0</v>
      </c>
      <c r="J10" s="27" t="n">
        <f aca="false">IF(COUNT('Arroz irrigado'!$E8:$Z8)=0,0,MAX(0,IF((J$6-$E$3)&lt;1,0,IFERROR(LOOKUP(2,1/('Arroz irrigado'!$E8:INDEX('Arroz irrigado'!$E8:$Z8,MIN(J$6-$E$3,22))&lt;&gt;""),'Arroz irrigado'!$E8:INDEX('Arroz irrigado'!$E8:$Z8,MIN(J$6-$E$3,22))),0))-IF($G$2,0,IF((J$6-$G$3)&lt;1,0,IFERROR(LOOKUP(2,1/('Arroz irrigado'!$E8:INDEX('Arroz irrigado'!$E8:$Z8,MIN(J$6-$G$3,22))&lt;&gt;""),'Arroz irrigado'!$E8:INDEX('Arroz irrigado'!$E8:$Z8,MIN(J$6-$G$3,22))),0)))))</f>
        <v>0</v>
      </c>
      <c r="K10" s="27" t="n">
        <f aca="false">IF(COUNT('Arroz irrigado'!$E8:$Z8)=0,0,MAX(0,IF((K$6-$E$3)&lt;1,0,IFERROR(LOOKUP(2,1/('Arroz irrigado'!$E8:INDEX('Arroz irrigado'!$E8:$Z8,MIN(K$6-$E$3,22))&lt;&gt;""),'Arroz irrigado'!$E8:INDEX('Arroz irrigado'!$E8:$Z8,MIN(K$6-$E$3,22))),0))-IF($G$2,0,IF((K$6-$G$3)&lt;1,0,IFERROR(LOOKUP(2,1/('Arroz irrigado'!$E8:INDEX('Arroz irrigado'!$E8:$Z8,MIN(K$6-$G$3,22))&lt;&gt;""),'Arroz irrigado'!$E8:INDEX('Arroz irrigado'!$E8:$Z8,MIN(K$6-$G$3,22))),0)))))</f>
        <v>0</v>
      </c>
      <c r="L10" s="27" t="n">
        <f aca="false">IF(COUNT('Arroz irrigado'!$E8:$Z8)=0,0,MAX(0,IF((L$6-$E$3)&lt;1,0,IFERROR(LOOKUP(2,1/('Arroz irrigado'!$E8:INDEX('Arroz irrigado'!$E8:$Z8,MIN(L$6-$E$3,22))&lt;&gt;""),'Arroz irrigado'!$E8:INDEX('Arroz irrigado'!$E8:$Z8,MIN(L$6-$E$3,22))),0))-IF($G$2,0,IF((L$6-$G$3)&lt;1,0,IFERROR(LOOKUP(2,1/('Arroz irrigado'!$E8:INDEX('Arroz irrigado'!$E8:$Z8,MIN(L$6-$G$3,22))&lt;&gt;""),'Arroz irrigado'!$E8:INDEX('Arroz irrigado'!$E8:$Z8,MIN(L$6-$G$3,22))),0)))))</f>
        <v>0</v>
      </c>
      <c r="M10" s="27" t="n">
        <f aca="false">IF(COUNT('Arroz irrigado'!$E8:$Z8)=0,0,MAX(0,IF((M$6-$E$3)&lt;1,0,IFERROR(LOOKUP(2,1/('Arroz irrigado'!$E8:INDEX('Arroz irrigado'!$E8:$Z8,MIN(M$6-$E$3,22))&lt;&gt;""),'Arroz irrigado'!$E8:INDEX('Arroz irrigado'!$E8:$Z8,MIN(M$6-$E$3,22))),0))-IF($G$2,0,IF((M$6-$G$3)&lt;1,0,IFERROR(LOOKUP(2,1/('Arroz irrigado'!$E8:INDEX('Arroz irrigado'!$E8:$Z8,MIN(M$6-$G$3,22))&lt;&gt;""),'Arroz irrigado'!$E8:INDEX('Arroz irrigado'!$E8:$Z8,MIN(M$6-$G$3,22))),0)))))</f>
        <v>0</v>
      </c>
      <c r="N10" s="27" t="n">
        <f aca="false">IF(COUNT('Arroz irrigado'!$E8:$Z8)=0,0,MAX(0,IF((N$6-$E$3)&lt;1,0,IFERROR(LOOKUP(2,1/('Arroz irrigado'!$E8:INDEX('Arroz irrigado'!$E8:$Z8,MIN(N$6-$E$3,22))&lt;&gt;""),'Arroz irrigado'!$E8:INDEX('Arroz irrigado'!$E8:$Z8,MIN(N$6-$E$3,22))),0))-IF($G$2,0,IF((N$6-$G$3)&lt;1,0,IFERROR(LOOKUP(2,1/('Arroz irrigado'!$E8:INDEX('Arroz irrigado'!$E8:$Z8,MIN(N$6-$G$3,22))&lt;&gt;""),'Arroz irrigado'!$E8:INDEX('Arroz irrigado'!$E8:$Z8,MIN(N$6-$G$3,22))),0)))))</f>
        <v>0</v>
      </c>
      <c r="O10" s="27" t="n">
        <f aca="false">IF(COUNT('Arroz irrigado'!$E8:$Z8)=0,0,MAX(0,IF((O$6-$E$3)&lt;1,0,IFERROR(LOOKUP(2,1/('Arroz irrigado'!$E8:INDEX('Arroz irrigado'!$E8:$Z8,MIN(O$6-$E$3,22))&lt;&gt;""),'Arroz irrigado'!$E8:INDEX('Arroz irrigado'!$E8:$Z8,MIN(O$6-$E$3,22))),0))-IF($G$2,0,IF((O$6-$G$3)&lt;1,0,IFERROR(LOOKUP(2,1/('Arroz irrigado'!$E8:INDEX('Arroz irrigado'!$E8:$Z8,MIN(O$6-$G$3,22))&lt;&gt;""),'Arroz irrigado'!$E8:INDEX('Arroz irrigado'!$E8:$Z8,MIN(O$6-$G$3,22))),0)))))</f>
        <v>0</v>
      </c>
      <c r="P10" s="27" t="n">
        <f aca="false">IF(COUNT('Arroz irrigado'!$E8:$Z8)=0,0,MAX(0,IF((P$6-$E$3)&lt;1,0,IFERROR(LOOKUP(2,1/('Arroz irrigado'!$E8:INDEX('Arroz irrigado'!$E8:$Z8,MIN(P$6-$E$3,22))&lt;&gt;""),'Arroz irrigado'!$E8:INDEX('Arroz irrigado'!$E8:$Z8,MIN(P$6-$E$3,22))),0))-IF($G$2,0,IF((P$6-$G$3)&lt;1,0,IFERROR(LOOKUP(2,1/('Arroz irrigado'!$E8:INDEX('Arroz irrigado'!$E8:$Z8,MIN(P$6-$G$3,22))&lt;&gt;""),'Arroz irrigado'!$E8:INDEX('Arroz irrigado'!$E8:$Z8,MIN(P$6-$G$3,22))),0)))))</f>
        <v>0</v>
      </c>
      <c r="Q10" s="27" t="n">
        <f aca="false">IF(COUNT('Arroz irrigado'!$E8:$Z8)=0,0,MAX(0,IF((Q$6-$E$3)&lt;1,0,IFERROR(LOOKUP(2,1/('Arroz irrigado'!$E8:INDEX('Arroz irrigado'!$E8:$Z8,MIN(Q$6-$E$3,22))&lt;&gt;""),'Arroz irrigado'!$E8:INDEX('Arroz irrigado'!$E8:$Z8,MIN(Q$6-$E$3,22))),0))-IF($G$2,0,IF((Q$6-$G$3)&lt;1,0,IFERROR(LOOKUP(2,1/('Arroz irrigado'!$E8:INDEX('Arroz irrigado'!$E8:$Z8,MIN(Q$6-$G$3,22))&lt;&gt;""),'Arroz irrigado'!$E8:INDEX('Arroz irrigado'!$E8:$Z8,MIN(Q$6-$G$3,22))),0)))))</f>
        <v>0</v>
      </c>
      <c r="R10" s="27" t="n">
        <f aca="false">IF(COUNT('Arroz irrigado'!$E8:$Z8)=0,0,MAX(0,IF((R$6-$E$3)&lt;1,0,IFERROR(LOOKUP(2,1/('Arroz irrigado'!$E8:INDEX('Arroz irrigado'!$E8:$Z8,MIN(R$6-$E$3,22))&lt;&gt;""),'Arroz irrigado'!$E8:INDEX('Arroz irrigado'!$E8:$Z8,MIN(R$6-$E$3,22))),0))-IF($G$2,0,IF((R$6-$G$3)&lt;1,0,IFERROR(LOOKUP(2,1/('Arroz irrigado'!$E8:INDEX('Arroz irrigado'!$E8:$Z8,MIN(R$6-$G$3,22))&lt;&gt;""),'Arroz irrigado'!$E8:INDEX('Arroz irrigado'!$E8:$Z8,MIN(R$6-$G$3,22))),0)))))</f>
        <v>0</v>
      </c>
      <c r="S10" s="27" t="n">
        <f aca="false">IF(COUNT('Arroz irrigado'!$E8:$Z8)=0,0,MAX(0,IF((S$6-$E$3)&lt;1,0,IFERROR(LOOKUP(2,1/('Arroz irrigado'!$E8:INDEX('Arroz irrigado'!$E8:$Z8,MIN(S$6-$E$3,22))&lt;&gt;""),'Arroz irrigado'!$E8:INDEX('Arroz irrigado'!$E8:$Z8,MIN(S$6-$E$3,22))),0))-IF($G$2,0,IF((S$6-$G$3)&lt;1,0,IFERROR(LOOKUP(2,1/('Arroz irrigado'!$E8:INDEX('Arroz irrigado'!$E8:$Z8,MIN(S$6-$G$3,22))&lt;&gt;""),'Arroz irrigado'!$E8:INDEX('Arroz irrigado'!$E8:$Z8,MIN(S$6-$G$3,22))),0)))))</f>
        <v>0</v>
      </c>
      <c r="T10" s="27" t="n">
        <f aca="false">IF(COUNT('Arroz irrigado'!$E8:$Z8)=0,0,MAX(0,IF((T$6-$E$3)&lt;1,0,IFERROR(LOOKUP(2,1/('Arroz irrigado'!$E8:INDEX('Arroz irrigado'!$E8:$Z8,MIN(T$6-$E$3,22))&lt;&gt;""),'Arroz irrigado'!$E8:INDEX('Arroz irrigado'!$E8:$Z8,MIN(T$6-$E$3,22))),0))-IF($G$2,0,IF((T$6-$G$3)&lt;1,0,IFERROR(LOOKUP(2,1/('Arroz irrigado'!$E8:INDEX('Arroz irrigado'!$E8:$Z8,MIN(T$6-$G$3,22))&lt;&gt;""),'Arroz irrigado'!$E8:INDEX('Arroz irrigado'!$E8:$Z8,MIN(T$6-$G$3,22))),0)))))</f>
        <v>0</v>
      </c>
      <c r="U10" s="27" t="n">
        <f aca="false">IF(COUNT('Arroz irrigado'!$E8:$Z8)=0,0,MAX(0,IF((U$6-$E$3)&lt;1,0,IFERROR(LOOKUP(2,1/('Arroz irrigado'!$E8:INDEX('Arroz irrigado'!$E8:$Z8,MIN(U$6-$E$3,22))&lt;&gt;""),'Arroz irrigado'!$E8:INDEX('Arroz irrigado'!$E8:$Z8,MIN(U$6-$E$3,22))),0))-IF($G$2,0,IF((U$6-$G$3)&lt;1,0,IFERROR(LOOKUP(2,1/('Arroz irrigado'!$E8:INDEX('Arroz irrigado'!$E8:$Z8,MIN(U$6-$G$3,22))&lt;&gt;""),'Arroz irrigado'!$E8:INDEX('Arroz irrigado'!$E8:$Z8,MIN(U$6-$G$3,22))),0)))))</f>
        <v>0</v>
      </c>
      <c r="V10" s="27" t="n">
        <f aca="false">IF(COUNT('Arroz irrigado'!$E8:$Z8)=0,0,MAX(0,IF((V$6-$E$3)&lt;1,0,IFERROR(LOOKUP(2,1/('Arroz irrigado'!$E8:INDEX('Arroz irrigado'!$E8:$Z8,MIN(V$6-$E$3,22))&lt;&gt;""),'Arroz irrigado'!$E8:INDEX('Arroz irrigado'!$E8:$Z8,MIN(V$6-$E$3,22))),0))-IF($G$2,0,IF((V$6-$G$3)&lt;1,0,IFERROR(LOOKUP(2,1/('Arroz irrigado'!$E8:INDEX('Arroz irrigado'!$E8:$Z8,MIN(V$6-$G$3,22))&lt;&gt;""),'Arroz irrigado'!$E8:INDEX('Arroz irrigado'!$E8:$Z8,MIN(V$6-$G$3,22))),0)))))</f>
        <v>0</v>
      </c>
      <c r="W10" s="27" t="n">
        <f aca="false">IF(COUNT('Arroz irrigado'!$E8:$Z8)=0,0,MAX(0,IF((W$6-$E$3)&lt;1,0,IFERROR(LOOKUP(2,1/('Arroz irrigado'!$E8:INDEX('Arroz irrigado'!$E8:$Z8,MIN(W$6-$E$3,22))&lt;&gt;""),'Arroz irrigado'!$E8:INDEX('Arroz irrigado'!$E8:$Z8,MIN(W$6-$E$3,22))),0))-IF($G$2,0,IF((W$6-$G$3)&lt;1,0,IFERROR(LOOKUP(2,1/('Arroz irrigado'!$E8:INDEX('Arroz irrigado'!$E8:$Z8,MIN(W$6-$G$3,22))&lt;&gt;""),'Arroz irrigado'!$E8:INDEX('Arroz irrigado'!$E8:$Z8,MIN(W$6-$G$3,22))),0)))))</f>
        <v>0</v>
      </c>
      <c r="X10" s="27" t="n">
        <f aca="false">IF(COUNT('Arroz irrigado'!$E8:$Z8)=0,0,MAX(0,IF((X$6-$E$3)&lt;1,0,IFERROR(LOOKUP(2,1/('Arroz irrigado'!$E8:INDEX('Arroz irrigado'!$E8:$Z8,MIN(X$6-$E$3,22))&lt;&gt;""),'Arroz irrigado'!$E8:INDEX('Arroz irrigado'!$E8:$Z8,MIN(X$6-$E$3,22))),0))-IF($G$2,0,IF((X$6-$G$3)&lt;1,0,IFERROR(LOOKUP(2,1/('Arroz irrigado'!$E8:INDEX('Arroz irrigado'!$E8:$Z8,MIN(X$6-$G$3,22))&lt;&gt;""),'Arroz irrigado'!$E8:INDEX('Arroz irrigado'!$E8:$Z8,MIN(X$6-$G$3,22))),0)))))</f>
        <v>0</v>
      </c>
      <c r="Y10" s="27" t="n">
        <f aca="false">IF(COUNT('Arroz irrigado'!$E8:$Z8)=0,0,MAX(0,IF((Y$6-$E$3)&lt;1,0,IFERROR(LOOKUP(2,1/('Arroz irrigado'!$E8:INDEX('Arroz irrigado'!$E8:$Z8,MIN(Y$6-$E$3,22))&lt;&gt;""),'Arroz irrigado'!$E8:INDEX('Arroz irrigado'!$E8:$Z8,MIN(Y$6-$E$3,22))),0))-IF($G$2,0,IF((Y$6-$G$3)&lt;1,0,IFERROR(LOOKUP(2,1/('Arroz irrigado'!$E8:INDEX('Arroz irrigado'!$E8:$Z8,MIN(Y$6-$G$3,22))&lt;&gt;""),'Arroz irrigado'!$E8:INDEX('Arroz irrigado'!$E8:$Z8,MIN(Y$6-$G$3,22))),0)))))</f>
        <v>0</v>
      </c>
      <c r="Z10" s="27" t="n">
        <f aca="false">IF(COUNT('Arroz irrigado'!$E8:$Z8)=0,0,MAX(0,IF((Z$6-$E$3)&lt;1,0,IFERROR(LOOKUP(2,1/('Arroz irrigado'!$E8:INDEX('Arroz irrigado'!$E8:$Z8,MIN(Z$6-$E$3,22))&lt;&gt;""),'Arroz irrigado'!$E8:INDEX('Arroz irrigado'!$E8:$Z8,MIN(Z$6-$E$3,22))),0))-IF($G$2,0,IF((Z$6-$G$3)&lt;1,0,IFERROR(LOOKUP(2,1/('Arroz irrigado'!$E8:INDEX('Arroz irrigado'!$E8:$Z8,MIN(Z$6-$G$3,22))&lt;&gt;""),'Arroz irrigado'!$E8:INDEX('Arroz irrigado'!$E8:$Z8,MIN(Z$6-$G$3,22))),0)))))</f>
        <v>0</v>
      </c>
      <c r="AA10" s="27" t="n">
        <f aca="false">IF(COUNT('Arroz irrigado'!$E8:$Z8)=0,0,MAX(0,IF((AA$6-$E$3)&lt;1,0,IFERROR(LOOKUP(2,1/('Arroz irrigado'!$E8:INDEX('Arroz irrigado'!$E8:$Z8,MIN(AA$6-$E$3,22))&lt;&gt;""),'Arroz irrigado'!$E8:INDEX('Arroz irrigado'!$E8:$Z8,MIN(AA$6-$E$3,22))),0))-IF($G$2,0,IF((AA$6-$G$3)&lt;1,0,IFERROR(LOOKUP(2,1/('Arroz irrigado'!$E8:INDEX('Arroz irrigado'!$E8:$Z8,MIN(AA$6-$G$3,22))&lt;&gt;""),'Arroz irrigado'!$E8:INDEX('Arroz irrigado'!$E8:$Z8,MIN(AA$6-$G$3,22))),0)))))</f>
        <v>0</v>
      </c>
      <c r="AB10" s="27" t="n">
        <f aca="false">IF(COUNT('Arroz irrigado'!$E8:$Z8)=0,0,MAX(0,IF((AB$6-$E$3)&lt;1,0,IFERROR(LOOKUP(2,1/('Arroz irrigado'!$E8:INDEX('Arroz irrigado'!$E8:$Z8,MIN(AB$6-$E$3,22))&lt;&gt;""),'Arroz irrigado'!$E8:INDEX('Arroz irrigado'!$E8:$Z8,MIN(AB$6-$E$3,22))),0))-IF($G$2,0,IF((AB$6-$G$3)&lt;1,0,IFERROR(LOOKUP(2,1/('Arroz irrigado'!$E8:INDEX('Arroz irrigado'!$E8:$Z8,MIN(AB$6-$G$3,22))&lt;&gt;""),'Arroz irrigado'!$E8:INDEX('Arroz irrigado'!$E8:$Z8,MIN(AB$6-$G$3,22))),0)))))</f>
        <v>0</v>
      </c>
      <c r="AC10" s="27" t="n">
        <f aca="false">IF(COUNT('Arroz irrigado'!$E8:$Z8)=0,0,MAX(0,IF((AC$6-$E$3)&lt;1,0,IFERROR(LOOKUP(2,1/('Arroz irrigado'!$E8:INDEX('Arroz irrigado'!$E8:$Z8,MIN(AC$6-$E$3,22))&lt;&gt;""),'Arroz irrigado'!$E8:INDEX('Arroz irrigado'!$E8:$Z8,MIN(AC$6-$E$3,22))),0))-IF($G$2,0,IF((AC$6-$G$3)&lt;1,0,IFERROR(LOOKUP(2,1/('Arroz irrigado'!$E8:INDEX('Arroz irrigado'!$E8:$Z8,MIN(AC$6-$G$3,22))&lt;&gt;""),'Arroz irrigado'!$E8:INDEX('Arroz irrigado'!$E8:$Z8,MIN(AC$6-$G$3,22))),0)))))</f>
        <v>0</v>
      </c>
      <c r="AD10" s="27" t="n">
        <f aca="false">IF(COUNT('Arroz irrigado'!$E8:$Z8)=0,0,MAX(0,IF((AD$6-$E$3)&lt;1,0,IFERROR(LOOKUP(2,1/('Arroz irrigado'!$E8:INDEX('Arroz irrigado'!$E8:$Z8,MIN(AD$6-$E$3,22))&lt;&gt;""),'Arroz irrigado'!$E8:INDEX('Arroz irrigado'!$E8:$Z8,MIN(AD$6-$E$3,22))),0))-IF($G$2,0,IF((AD$6-$G$3)&lt;1,0,IFERROR(LOOKUP(2,1/('Arroz irrigado'!$E8:INDEX('Arroz irrigado'!$E8:$Z8,MIN(AD$6-$G$3,22))&lt;&gt;""),'Arroz irrigado'!$E8:INDEX('Arroz irrigado'!$E8:$Z8,MIN(AD$6-$G$3,22))),0)))))</f>
        <v>0</v>
      </c>
      <c r="AE10" s="27" t="n">
        <f aca="false">IF(COUNT('Arroz irrigado'!$E8:$Z8)=0,0,MAX(0,IF((AE$6-$E$3)&lt;1,0,IFERROR(LOOKUP(2,1/('Arroz irrigado'!$E8:INDEX('Arroz irrigado'!$E8:$Z8,MIN(AE$6-$E$3,22))&lt;&gt;""),'Arroz irrigado'!$E8:INDEX('Arroz irrigado'!$E8:$Z8,MIN(AE$6-$E$3,22))),0))-IF($G$2,0,IF((AE$6-$G$3)&lt;1,0,IFERROR(LOOKUP(2,1/('Arroz irrigado'!$E8:INDEX('Arroz irrigado'!$E8:$Z8,MIN(AE$6-$G$3,22))&lt;&gt;""),'Arroz irrigado'!$E8:INDEX('Arroz irrigado'!$E8:$Z8,MIN(AE$6-$G$3,22))),0)))))</f>
        <v>0</v>
      </c>
      <c r="AF10" s="27" t="n">
        <f aca="false">IF(COUNT('Arroz irrigado'!$E8:$Z8)=0,0,MAX(0,IF((AF$6-$E$3)&lt;1,0,IFERROR(LOOKUP(2,1/('Arroz irrigado'!$E8:INDEX('Arroz irrigado'!$E8:$Z8,MIN(AF$6-$E$3,22))&lt;&gt;""),'Arroz irrigado'!$E8:INDEX('Arroz irrigado'!$E8:$Z8,MIN(AF$6-$E$3,22))),0))-IF($G$2,0,IF((AF$6-$G$3)&lt;1,0,IFERROR(LOOKUP(2,1/('Arroz irrigado'!$E8:INDEX('Arroz irrigado'!$E8:$Z8,MIN(AF$6-$G$3,22))&lt;&gt;""),'Arroz irrigado'!$E8:INDEX('Arroz irrigado'!$E8:$Z8,MIN(AF$6-$G$3,22))),0)))))</f>
        <v>0</v>
      </c>
      <c r="AG10" s="27" t="n">
        <f aca="false">IF(COUNT('Arroz irrigado'!$E8:$Z8)=0,0,MAX(0,IF((AG$6-$E$3)&lt;1,0,IFERROR(LOOKUP(2,1/('Arroz irrigado'!$E8:INDEX('Arroz irrigado'!$E8:$Z8,MIN(AG$6-$E$3,22))&lt;&gt;""),'Arroz irrigado'!$E8:INDEX('Arroz irrigado'!$E8:$Z8,MIN(AG$6-$E$3,22))),0))-IF($G$2,0,IF((AG$6-$G$3)&lt;1,0,IFERROR(LOOKUP(2,1/('Arroz irrigado'!$E8:INDEX('Arroz irrigado'!$E8:$Z8,MIN(AG$6-$G$3,22))&lt;&gt;""),'Arroz irrigado'!$E8:INDEX('Arroz irrigado'!$E8:$Z8,MIN(AG$6-$G$3,22))),0)))))</f>
        <v>0</v>
      </c>
      <c r="AH10" s="27" t="n">
        <f aca="false">IF(COUNT('Arroz irrigado'!$E8:$Z8)=0,0,MAX(0,IF((AH$6-$E$3)&lt;1,0,IFERROR(LOOKUP(2,1/('Arroz irrigado'!$E8:INDEX('Arroz irrigado'!$E8:$Z8,MIN(AH$6-$E$3,22))&lt;&gt;""),'Arroz irrigado'!$E8:INDEX('Arroz irrigado'!$E8:$Z8,MIN(AH$6-$E$3,22))),0))-IF($G$2,0,IF((AH$6-$G$3)&lt;1,0,IFERROR(LOOKUP(2,1/('Arroz irrigado'!$E8:INDEX('Arroz irrigado'!$E8:$Z8,MIN(AH$6-$G$3,22))&lt;&gt;""),'Arroz irrigado'!$E8:INDEX('Arroz irrigado'!$E8:$Z8,MIN(AH$6-$G$3,22))),0)))))</f>
        <v>0</v>
      </c>
      <c r="AI10" s="27" t="n">
        <f aca="false">IF(COUNT('Arroz irrigado'!$E8:$Z8)=0,0,MAX(0,IF((AI$6-$E$3)&lt;1,0,IFERROR(LOOKUP(2,1/('Arroz irrigado'!$E8:INDEX('Arroz irrigado'!$E8:$Z8,MIN(AI$6-$E$3,22))&lt;&gt;""),'Arroz irrigado'!$E8:INDEX('Arroz irrigado'!$E8:$Z8,MIN(AI$6-$E$3,22))),0))-IF($G$2,0,IF((AI$6-$G$3)&lt;1,0,IFERROR(LOOKUP(2,1/('Arroz irrigado'!$E8:INDEX('Arroz irrigado'!$E8:$Z8,MIN(AI$6-$G$3,22))&lt;&gt;""),'Arroz irrigado'!$E8:INDEX('Arroz irrigado'!$E8:$Z8,MIN(AI$6-$G$3,22))),0)))))</f>
        <v>0</v>
      </c>
      <c r="AJ10" s="27" t="n">
        <f aca="false">IF(COUNT('Arroz irrigado'!$E8:$Z8)=0,0,MAX(0,IF((AJ$6-$E$3)&lt;1,0,IFERROR(LOOKUP(2,1/('Arroz irrigado'!$E8:INDEX('Arroz irrigado'!$E8:$Z8,MIN(AJ$6-$E$3,22))&lt;&gt;""),'Arroz irrigado'!$E8:INDEX('Arroz irrigado'!$E8:$Z8,MIN(AJ$6-$E$3,22))),0))-IF($G$2,0,IF((AJ$6-$G$3)&lt;1,0,IFERROR(LOOKUP(2,1/('Arroz irrigado'!$E8:INDEX('Arroz irrigado'!$E8:$Z8,MIN(AJ$6-$G$3,22))&lt;&gt;""),'Arroz irrigado'!$E8:INDEX('Arroz irrigado'!$E8:$Z8,MIN(AJ$6-$G$3,22))),0)))))</f>
        <v>0</v>
      </c>
      <c r="AK10" s="27" t="n">
        <f aca="false">IF(COUNT('Arroz irrigado'!$E8:$Z8)=0,0,MAX(0,IF((AK$6-$E$3)&lt;1,0,IFERROR(LOOKUP(2,1/('Arroz irrigado'!$E8:INDEX('Arroz irrigado'!$E8:$Z8,MIN(AK$6-$E$3,22))&lt;&gt;""),'Arroz irrigado'!$E8:INDEX('Arroz irrigado'!$E8:$Z8,MIN(AK$6-$E$3,22))),0))-IF($G$2,0,IF((AK$6-$G$3)&lt;1,0,IFERROR(LOOKUP(2,1/('Arroz irrigado'!$E8:INDEX('Arroz irrigado'!$E8:$Z8,MIN(AK$6-$G$3,22))&lt;&gt;""),'Arroz irrigado'!$E8:INDEX('Arroz irrigado'!$E8:$Z8,MIN(AK$6-$G$3,22))),0)))))</f>
        <v>0</v>
      </c>
      <c r="AL10" s="27" t="n">
        <f aca="false">IF(COUNT('Arroz irrigado'!$E8:$Z8)=0,0,MAX(0,IF((AL$6-$E$3)&lt;1,0,IFERROR(LOOKUP(2,1/('Arroz irrigado'!$E8:INDEX('Arroz irrigado'!$E8:$Z8,MIN(AL$6-$E$3,22))&lt;&gt;""),'Arroz irrigado'!$E8:INDEX('Arroz irrigado'!$E8:$Z8,MIN(AL$6-$E$3,22))),0))-IF($G$2,0,IF((AL$6-$G$3)&lt;1,0,IFERROR(LOOKUP(2,1/('Arroz irrigado'!$E8:INDEX('Arroz irrigado'!$E8:$Z8,MIN(AL$6-$G$3,22))&lt;&gt;""),'Arroz irrigado'!$E8:INDEX('Arroz irrigado'!$E8:$Z8,MIN(AL$6-$G$3,22))),0)))))</f>
        <v>0</v>
      </c>
      <c r="AM10" s="27" t="n">
        <f aca="false">IF(COUNT('Arroz irrigado'!$E8:$Z8)=0,0,MAX(0,IF((AM$6-$E$3)&lt;1,0,IFERROR(LOOKUP(2,1/('Arroz irrigado'!$E8:INDEX('Arroz irrigado'!$E8:$Z8,MIN(AM$6-$E$3,22))&lt;&gt;""),'Arroz irrigado'!$E8:INDEX('Arroz irrigado'!$E8:$Z8,MIN(AM$6-$E$3,22))),0))-IF($G$2,0,IF((AM$6-$G$3)&lt;1,0,IFERROR(LOOKUP(2,1/('Arroz irrigado'!$E8:INDEX('Arroz irrigado'!$E8:$Z8,MIN(AM$6-$G$3,22))&lt;&gt;""),'Arroz irrigado'!$E8:INDEX('Arroz irrigado'!$E8:$Z8,MIN(AM$6-$G$3,22))),0)))))</f>
        <v>0</v>
      </c>
      <c r="AN10" s="27" t="n">
        <f aca="false">IF(COUNT('Arroz irrigado'!$E8:$Z8)=0,0,MAX(0,IF((AN$6-$E$3)&lt;1,0,IFERROR(LOOKUP(2,1/('Arroz irrigado'!$E8:INDEX('Arroz irrigado'!$E8:$Z8,MIN(AN$6-$E$3,22))&lt;&gt;""),'Arroz irrigado'!$E8:INDEX('Arroz irrigado'!$E8:$Z8,MIN(AN$6-$E$3,22))),0))-IF($G$2,0,IF((AN$6-$G$3)&lt;1,0,IFERROR(LOOKUP(2,1/('Arroz irrigado'!$E8:INDEX('Arroz irrigado'!$E8:$Z8,MIN(AN$6-$G$3,22))&lt;&gt;""),'Arroz irrigado'!$E8:INDEX('Arroz irrigado'!$E8:$Z8,MIN(AN$6-$G$3,22))),0)))))</f>
        <v>0</v>
      </c>
      <c r="AO10" s="27" t="n">
        <f aca="false">IF(COUNT('Arroz irrigado'!$E8:$Z8)=0,0,MAX(0,IF((AO$6-$E$3)&lt;1,0,IFERROR(LOOKUP(2,1/('Arroz irrigado'!$E8:INDEX('Arroz irrigado'!$E8:$Z8,MIN(AO$6-$E$3,22))&lt;&gt;""),'Arroz irrigado'!$E8:INDEX('Arroz irrigado'!$E8:$Z8,MIN(AO$6-$E$3,22))),0))-IF($G$2,0,IF((AO$6-$G$3)&lt;1,0,IFERROR(LOOKUP(2,1/('Arroz irrigado'!$E8:INDEX('Arroz irrigado'!$E8:$Z8,MIN(AO$6-$G$3,22))&lt;&gt;""),'Arroz irrigado'!$E8:INDEX('Arroz irrigado'!$E8:$Z8,MIN(AO$6-$G$3,22))),0)))))</f>
        <v>0</v>
      </c>
      <c r="AP10" s="27" t="n">
        <f aca="false">IF(COUNT('Arroz irrigado'!$E8:$Z8)=0,0,MAX(0,IF((AP$6-$E$3)&lt;1,0,IFERROR(LOOKUP(2,1/('Arroz irrigado'!$E8:INDEX('Arroz irrigado'!$E8:$Z8,MIN(AP$6-$E$3,22))&lt;&gt;""),'Arroz irrigado'!$E8:INDEX('Arroz irrigado'!$E8:$Z8,MIN(AP$6-$E$3,22))),0))-IF($G$2,0,IF((AP$6-$G$3)&lt;1,0,IFERROR(LOOKUP(2,1/('Arroz irrigado'!$E8:INDEX('Arroz irrigado'!$E8:$Z8,MIN(AP$6-$G$3,22))&lt;&gt;""),'Arroz irrigado'!$E8:INDEX('Arroz irrigado'!$E8:$Z8,MIN(AP$6-$G$3,22))),0)))))</f>
        <v>0</v>
      </c>
      <c r="AQ10" s="27" t="n">
        <f aca="false">IF(COUNT('Arroz irrigado'!$E8:$Z8)=0,0,MAX(0,IF((AQ$6-$E$3)&lt;1,0,IFERROR(LOOKUP(2,1/('Arroz irrigado'!$E8:INDEX('Arroz irrigado'!$E8:$Z8,MIN(AQ$6-$E$3,22))&lt;&gt;""),'Arroz irrigado'!$E8:INDEX('Arroz irrigado'!$E8:$Z8,MIN(AQ$6-$E$3,22))),0))-IF($G$2,0,IF((AQ$6-$G$3)&lt;1,0,IFERROR(LOOKUP(2,1/('Arroz irrigado'!$E8:INDEX('Arroz irrigado'!$E8:$Z8,MIN(AQ$6-$G$3,22))&lt;&gt;""),'Arroz irrigado'!$E8:INDEX('Arroz irrigado'!$E8:$Z8,MIN(AQ$6-$G$3,22))),0)))))</f>
        <v>0</v>
      </c>
      <c r="AR10" s="27" t="n">
        <f aca="false">IF(COUNT('Arroz irrigado'!$E8:$Z8)=0,0,MAX(0,IF((AR$6-$E$3)&lt;1,0,IFERROR(LOOKUP(2,1/('Arroz irrigado'!$E8:INDEX('Arroz irrigado'!$E8:$Z8,MIN(AR$6-$E$3,22))&lt;&gt;""),'Arroz irrigado'!$E8:INDEX('Arroz irrigado'!$E8:$Z8,MIN(AR$6-$E$3,22))),0))-IF($G$2,0,IF((AR$6-$G$3)&lt;1,0,IFERROR(LOOKUP(2,1/('Arroz irrigado'!$E8:INDEX('Arroz irrigado'!$E8:$Z8,MIN(AR$6-$G$3,22))&lt;&gt;""),'Arroz irrigado'!$E8:INDEX('Arroz irrigado'!$E8:$Z8,MIN(AR$6-$G$3,22))),0)))))</f>
        <v>0</v>
      </c>
      <c r="AS10" s="27" t="n">
        <f aca="false">IF(COUNT('Arroz irrigado'!$E8:$Z8)=0,0,MAX(0,IF((AS$6-$E$3)&lt;1,0,IFERROR(LOOKUP(2,1/('Arroz irrigado'!$E8:INDEX('Arroz irrigado'!$E8:$Z8,MIN(AS$6-$E$3,22))&lt;&gt;""),'Arroz irrigado'!$E8:INDEX('Arroz irrigado'!$E8:$Z8,MIN(AS$6-$E$3,22))),0))-IF($G$2,0,IF((AS$6-$G$3)&lt;1,0,IFERROR(LOOKUP(2,1/('Arroz irrigado'!$E8:INDEX('Arroz irrigado'!$E8:$Z8,MIN(AS$6-$G$3,22))&lt;&gt;""),'Arroz irrigado'!$E8:INDEX('Arroz irrigado'!$E8:$Z8,MIN(AS$6-$G$3,22))),0)))))</f>
        <v>0</v>
      </c>
      <c r="AT10" s="27" t="n">
        <f aca="false">IF(COUNT('Arroz irrigado'!$E8:$Z8)=0,0,MAX(0,IF((AT$6-$E$3)&lt;1,0,IFERROR(LOOKUP(2,1/('Arroz irrigado'!$E8:INDEX('Arroz irrigado'!$E8:$Z8,MIN(AT$6-$E$3,22))&lt;&gt;""),'Arroz irrigado'!$E8:INDEX('Arroz irrigado'!$E8:$Z8,MIN(AT$6-$E$3,22))),0))-IF($G$2,0,IF((AT$6-$G$3)&lt;1,0,IFERROR(LOOKUP(2,1/('Arroz irrigado'!$E8:INDEX('Arroz irrigado'!$E8:$Z8,MIN(AT$6-$G$3,22))&lt;&gt;""),'Arroz irrigado'!$E8:INDEX('Arroz irrigado'!$E8:$Z8,MIN(AT$6-$G$3,22))),0)))))</f>
        <v>0</v>
      </c>
      <c r="AU10" s="27" t="n">
        <f aca="false">IF(COUNT('Arroz irrigado'!$E8:$Z8)=0,0,MAX(0,IF((AU$6-$E$3)&lt;1,0,IFERROR(LOOKUP(2,1/('Arroz irrigado'!$E8:INDEX('Arroz irrigado'!$E8:$Z8,MIN(AU$6-$E$3,22))&lt;&gt;""),'Arroz irrigado'!$E8:INDEX('Arroz irrigado'!$E8:$Z8,MIN(AU$6-$E$3,22))),0))-IF($G$2,0,IF((AU$6-$G$3)&lt;1,0,IFERROR(LOOKUP(2,1/('Arroz irrigado'!$E8:INDEX('Arroz irrigado'!$E8:$Z8,MIN(AU$6-$G$3,22))&lt;&gt;""),'Arroz irrigado'!$E8:INDEX('Arroz irrigado'!$E8:$Z8,MIN(AU$6-$G$3,22))),0)))))</f>
        <v>0</v>
      </c>
      <c r="AV10" s="27" t="n">
        <f aca="false">IF(COUNT('Arroz irrigado'!$E8:$Z8)=0,0,MAX(0,IF((AV$6-$E$3)&lt;1,0,IFERROR(LOOKUP(2,1/('Arroz irrigado'!$E8:INDEX('Arroz irrigado'!$E8:$Z8,MIN(AV$6-$E$3,22))&lt;&gt;""),'Arroz irrigado'!$E8:INDEX('Arroz irrigado'!$E8:$Z8,MIN(AV$6-$E$3,22))),0))-IF($G$2,0,IF((AV$6-$G$3)&lt;1,0,IFERROR(LOOKUP(2,1/('Arroz irrigado'!$E8:INDEX('Arroz irrigado'!$E8:$Z8,MIN(AV$6-$G$3,22))&lt;&gt;""),'Arroz irrigado'!$E8:INDEX('Arroz irrigado'!$E8:$Z8,MIN(AV$6-$G$3,22))),0)))))</f>
        <v>0</v>
      </c>
      <c r="AW10" s="27" t="n">
        <f aca="false">IF(COUNT('Arroz irrigado'!$E8:$Z8)=0,0,MAX(0,IF((AW$6-$E$3)&lt;1,0,IFERROR(LOOKUP(2,1/('Arroz irrigado'!$E8:INDEX('Arroz irrigado'!$E8:$Z8,MIN(AW$6-$E$3,22))&lt;&gt;""),'Arroz irrigado'!$E8:INDEX('Arroz irrigado'!$E8:$Z8,MIN(AW$6-$E$3,22))),0))-IF($G$2,0,IF((AW$6-$G$3)&lt;1,0,IFERROR(LOOKUP(2,1/('Arroz irrigado'!$E8:INDEX('Arroz irrigado'!$E8:$Z8,MIN(AW$6-$G$3,22))&lt;&gt;""),'Arroz irrigado'!$E8:INDEX('Arroz irrigado'!$E8:$Z8,MIN(AW$6-$G$3,22))),0)))))</f>
        <v>0</v>
      </c>
      <c r="AX10" s="27" t="n">
        <f aca="false">IF(COUNT('Arroz irrigado'!$E8:$Z8)=0,0,MAX(0,IF((AX$6-$E$3)&lt;1,0,IFERROR(LOOKUP(2,1/('Arroz irrigado'!$E8:INDEX('Arroz irrigado'!$E8:$Z8,MIN(AX$6-$E$3,22))&lt;&gt;""),'Arroz irrigado'!$E8:INDEX('Arroz irrigado'!$E8:$Z8,MIN(AX$6-$E$3,22))),0))-IF($G$2,0,IF((AX$6-$G$3)&lt;1,0,IFERROR(LOOKUP(2,1/('Arroz irrigado'!$E8:INDEX('Arroz irrigado'!$E8:$Z8,MIN(AX$6-$G$3,22))&lt;&gt;""),'Arroz irrigado'!$E8:INDEX('Arroz irrigado'!$E8:$Z8,MIN(AX$6-$G$3,22))),0)))))</f>
        <v>0</v>
      </c>
      <c r="AY10" s="27" t="n">
        <f aca="false">IF(COUNT('Arroz irrigado'!$E8:$Z8)=0,0,MAX(0,IF((AY$6-$E$3)&lt;1,0,IFERROR(LOOKUP(2,1/('Arroz irrigado'!$E8:INDEX('Arroz irrigado'!$E8:$Z8,MIN(AY$6-$E$3,22))&lt;&gt;""),'Arroz irrigado'!$E8:INDEX('Arroz irrigado'!$E8:$Z8,MIN(AY$6-$E$3,22))),0))-IF($G$2,0,IF((AY$6-$G$3)&lt;1,0,IFERROR(LOOKUP(2,1/('Arroz irrigado'!$E8:INDEX('Arroz irrigado'!$E8:$Z8,MIN(AY$6-$G$3,22))&lt;&gt;""),'Arroz irrigado'!$E8:INDEX('Arroz irrigado'!$E8:$Z8,MIN(AY$6-$G$3,22))),0)))))</f>
        <v>0</v>
      </c>
      <c r="AZ10" s="27" t="n">
        <f aca="false">IF(COUNT('Arroz irrigado'!$E8:$Z8)=0,0,MAX(0,IF((AZ$6-$E$3)&lt;1,0,IFERROR(LOOKUP(2,1/('Arroz irrigado'!$E8:INDEX('Arroz irrigado'!$E8:$Z8,MIN(AZ$6-$E$3,22))&lt;&gt;""),'Arroz irrigado'!$E8:INDEX('Arroz irrigado'!$E8:$Z8,MIN(AZ$6-$E$3,22))),0))-IF($G$2,0,IF((AZ$6-$G$3)&lt;1,0,IFERROR(LOOKUP(2,1/('Arroz irrigado'!$E8:INDEX('Arroz irrigado'!$E8:$Z8,MIN(AZ$6-$G$3,22))&lt;&gt;""),'Arroz irrigado'!$E8:INDEX('Arroz irrigado'!$E8:$Z8,MIN(AZ$6-$G$3,22))),0)))))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IF(COUNT('Arroz irrigado'!$E9:$Z9)&gt;0,N('Arroz irrigado'!$D9),0)</f>
        <v>0</v>
      </c>
      <c r="E11" s="27" t="n">
        <f aca="false">IF(COUNT('Arroz irrigado'!$E9:$Z9)=0,0,MAX(0,IF((E$6-$E$3)&lt;1,0,IFERROR(LOOKUP(2,1/('Arroz irrigado'!$E9:INDEX('Arroz irrigado'!$E9:$Z9,MIN(E$6-$E$3,22))&lt;&gt;""),'Arroz irrigado'!$E9:INDEX('Arroz irrigado'!$E9:$Z9,MIN(E$6-$E$3,22))),0))-IF($G$2,0,IF((E$6-$G$3)&lt;1,0,IFERROR(LOOKUP(2,1/('Arroz irrigado'!$E9:INDEX('Arroz irrigado'!$E9:$Z9,MIN(E$6-$G$3,22))&lt;&gt;""),'Arroz irrigado'!$E9:INDEX('Arroz irrigado'!$E9:$Z9,MIN(E$6-$G$3,22))),0)))))</f>
        <v>0</v>
      </c>
      <c r="F11" s="27" t="n">
        <f aca="false">IF(COUNT('Arroz irrigado'!$E9:$Z9)=0,0,MAX(0,IF((F$6-$E$3)&lt;1,0,IFERROR(LOOKUP(2,1/('Arroz irrigado'!$E9:INDEX('Arroz irrigado'!$E9:$Z9,MIN(F$6-$E$3,22))&lt;&gt;""),'Arroz irrigado'!$E9:INDEX('Arroz irrigado'!$E9:$Z9,MIN(F$6-$E$3,22))),0))-IF($G$2,0,IF((F$6-$G$3)&lt;1,0,IFERROR(LOOKUP(2,1/('Arroz irrigado'!$E9:INDEX('Arroz irrigado'!$E9:$Z9,MIN(F$6-$G$3,22))&lt;&gt;""),'Arroz irrigado'!$E9:INDEX('Arroz irrigado'!$E9:$Z9,MIN(F$6-$G$3,22))),0)))))</f>
        <v>0</v>
      </c>
      <c r="G11" s="27" t="n">
        <f aca="false">IF(COUNT('Arroz irrigado'!$E9:$Z9)=0,0,MAX(0,IF((G$6-$E$3)&lt;1,0,IFERROR(LOOKUP(2,1/('Arroz irrigado'!$E9:INDEX('Arroz irrigado'!$E9:$Z9,MIN(G$6-$E$3,22))&lt;&gt;""),'Arroz irrigado'!$E9:INDEX('Arroz irrigado'!$E9:$Z9,MIN(G$6-$E$3,22))),0))-IF($G$2,0,IF((G$6-$G$3)&lt;1,0,IFERROR(LOOKUP(2,1/('Arroz irrigado'!$E9:INDEX('Arroz irrigado'!$E9:$Z9,MIN(G$6-$G$3,22))&lt;&gt;""),'Arroz irrigado'!$E9:INDEX('Arroz irrigado'!$E9:$Z9,MIN(G$6-$G$3,22))),0)))))</f>
        <v>0</v>
      </c>
      <c r="H11" s="27" t="n">
        <f aca="false">IF(COUNT('Arroz irrigado'!$E9:$Z9)=0,0,MAX(0,IF((H$6-$E$3)&lt;1,0,IFERROR(LOOKUP(2,1/('Arroz irrigado'!$E9:INDEX('Arroz irrigado'!$E9:$Z9,MIN(H$6-$E$3,22))&lt;&gt;""),'Arroz irrigado'!$E9:INDEX('Arroz irrigado'!$E9:$Z9,MIN(H$6-$E$3,22))),0))-IF($G$2,0,IF((H$6-$G$3)&lt;1,0,IFERROR(LOOKUP(2,1/('Arroz irrigado'!$E9:INDEX('Arroz irrigado'!$E9:$Z9,MIN(H$6-$G$3,22))&lt;&gt;""),'Arroz irrigado'!$E9:INDEX('Arroz irrigado'!$E9:$Z9,MIN(H$6-$G$3,22))),0)))))</f>
        <v>0</v>
      </c>
      <c r="I11" s="27" t="n">
        <f aca="false">IF(COUNT('Arroz irrigado'!$E9:$Z9)=0,0,MAX(0,IF((I$6-$E$3)&lt;1,0,IFERROR(LOOKUP(2,1/('Arroz irrigado'!$E9:INDEX('Arroz irrigado'!$E9:$Z9,MIN(I$6-$E$3,22))&lt;&gt;""),'Arroz irrigado'!$E9:INDEX('Arroz irrigado'!$E9:$Z9,MIN(I$6-$E$3,22))),0))-IF($G$2,0,IF((I$6-$G$3)&lt;1,0,IFERROR(LOOKUP(2,1/('Arroz irrigado'!$E9:INDEX('Arroz irrigado'!$E9:$Z9,MIN(I$6-$G$3,22))&lt;&gt;""),'Arroz irrigado'!$E9:INDEX('Arroz irrigado'!$E9:$Z9,MIN(I$6-$G$3,22))),0)))))</f>
        <v>0</v>
      </c>
      <c r="J11" s="27" t="n">
        <f aca="false">IF(COUNT('Arroz irrigado'!$E9:$Z9)=0,0,MAX(0,IF((J$6-$E$3)&lt;1,0,IFERROR(LOOKUP(2,1/('Arroz irrigado'!$E9:INDEX('Arroz irrigado'!$E9:$Z9,MIN(J$6-$E$3,22))&lt;&gt;""),'Arroz irrigado'!$E9:INDEX('Arroz irrigado'!$E9:$Z9,MIN(J$6-$E$3,22))),0))-IF($G$2,0,IF((J$6-$G$3)&lt;1,0,IFERROR(LOOKUP(2,1/('Arroz irrigado'!$E9:INDEX('Arroz irrigado'!$E9:$Z9,MIN(J$6-$G$3,22))&lt;&gt;""),'Arroz irrigado'!$E9:INDEX('Arroz irrigado'!$E9:$Z9,MIN(J$6-$G$3,22))),0)))))</f>
        <v>0</v>
      </c>
      <c r="K11" s="27" t="n">
        <f aca="false">IF(COUNT('Arroz irrigado'!$E9:$Z9)=0,0,MAX(0,IF((K$6-$E$3)&lt;1,0,IFERROR(LOOKUP(2,1/('Arroz irrigado'!$E9:INDEX('Arroz irrigado'!$E9:$Z9,MIN(K$6-$E$3,22))&lt;&gt;""),'Arroz irrigado'!$E9:INDEX('Arroz irrigado'!$E9:$Z9,MIN(K$6-$E$3,22))),0))-IF($G$2,0,IF((K$6-$G$3)&lt;1,0,IFERROR(LOOKUP(2,1/('Arroz irrigado'!$E9:INDEX('Arroz irrigado'!$E9:$Z9,MIN(K$6-$G$3,22))&lt;&gt;""),'Arroz irrigado'!$E9:INDEX('Arroz irrigado'!$E9:$Z9,MIN(K$6-$G$3,22))),0)))))</f>
        <v>0</v>
      </c>
      <c r="L11" s="27" t="n">
        <f aca="false">IF(COUNT('Arroz irrigado'!$E9:$Z9)=0,0,MAX(0,IF((L$6-$E$3)&lt;1,0,IFERROR(LOOKUP(2,1/('Arroz irrigado'!$E9:INDEX('Arroz irrigado'!$E9:$Z9,MIN(L$6-$E$3,22))&lt;&gt;""),'Arroz irrigado'!$E9:INDEX('Arroz irrigado'!$E9:$Z9,MIN(L$6-$E$3,22))),0))-IF($G$2,0,IF((L$6-$G$3)&lt;1,0,IFERROR(LOOKUP(2,1/('Arroz irrigado'!$E9:INDEX('Arroz irrigado'!$E9:$Z9,MIN(L$6-$G$3,22))&lt;&gt;""),'Arroz irrigado'!$E9:INDEX('Arroz irrigado'!$E9:$Z9,MIN(L$6-$G$3,22))),0)))))</f>
        <v>0</v>
      </c>
      <c r="M11" s="27" t="n">
        <f aca="false">IF(COUNT('Arroz irrigado'!$E9:$Z9)=0,0,MAX(0,IF((M$6-$E$3)&lt;1,0,IFERROR(LOOKUP(2,1/('Arroz irrigado'!$E9:INDEX('Arroz irrigado'!$E9:$Z9,MIN(M$6-$E$3,22))&lt;&gt;""),'Arroz irrigado'!$E9:INDEX('Arroz irrigado'!$E9:$Z9,MIN(M$6-$E$3,22))),0))-IF($G$2,0,IF((M$6-$G$3)&lt;1,0,IFERROR(LOOKUP(2,1/('Arroz irrigado'!$E9:INDEX('Arroz irrigado'!$E9:$Z9,MIN(M$6-$G$3,22))&lt;&gt;""),'Arroz irrigado'!$E9:INDEX('Arroz irrigado'!$E9:$Z9,MIN(M$6-$G$3,22))),0)))))</f>
        <v>0</v>
      </c>
      <c r="N11" s="27" t="n">
        <f aca="false">IF(COUNT('Arroz irrigado'!$E9:$Z9)=0,0,MAX(0,IF((N$6-$E$3)&lt;1,0,IFERROR(LOOKUP(2,1/('Arroz irrigado'!$E9:INDEX('Arroz irrigado'!$E9:$Z9,MIN(N$6-$E$3,22))&lt;&gt;""),'Arroz irrigado'!$E9:INDEX('Arroz irrigado'!$E9:$Z9,MIN(N$6-$E$3,22))),0))-IF($G$2,0,IF((N$6-$G$3)&lt;1,0,IFERROR(LOOKUP(2,1/('Arroz irrigado'!$E9:INDEX('Arroz irrigado'!$E9:$Z9,MIN(N$6-$G$3,22))&lt;&gt;""),'Arroz irrigado'!$E9:INDEX('Arroz irrigado'!$E9:$Z9,MIN(N$6-$G$3,22))),0)))))</f>
        <v>0</v>
      </c>
      <c r="O11" s="27" t="n">
        <f aca="false">IF(COUNT('Arroz irrigado'!$E9:$Z9)=0,0,MAX(0,IF((O$6-$E$3)&lt;1,0,IFERROR(LOOKUP(2,1/('Arroz irrigado'!$E9:INDEX('Arroz irrigado'!$E9:$Z9,MIN(O$6-$E$3,22))&lt;&gt;""),'Arroz irrigado'!$E9:INDEX('Arroz irrigado'!$E9:$Z9,MIN(O$6-$E$3,22))),0))-IF($G$2,0,IF((O$6-$G$3)&lt;1,0,IFERROR(LOOKUP(2,1/('Arroz irrigado'!$E9:INDEX('Arroz irrigado'!$E9:$Z9,MIN(O$6-$G$3,22))&lt;&gt;""),'Arroz irrigado'!$E9:INDEX('Arroz irrigado'!$E9:$Z9,MIN(O$6-$G$3,22))),0)))))</f>
        <v>0</v>
      </c>
      <c r="P11" s="27" t="n">
        <f aca="false">IF(COUNT('Arroz irrigado'!$E9:$Z9)=0,0,MAX(0,IF((P$6-$E$3)&lt;1,0,IFERROR(LOOKUP(2,1/('Arroz irrigado'!$E9:INDEX('Arroz irrigado'!$E9:$Z9,MIN(P$6-$E$3,22))&lt;&gt;""),'Arroz irrigado'!$E9:INDEX('Arroz irrigado'!$E9:$Z9,MIN(P$6-$E$3,22))),0))-IF($G$2,0,IF((P$6-$G$3)&lt;1,0,IFERROR(LOOKUP(2,1/('Arroz irrigado'!$E9:INDEX('Arroz irrigado'!$E9:$Z9,MIN(P$6-$G$3,22))&lt;&gt;""),'Arroz irrigado'!$E9:INDEX('Arroz irrigado'!$E9:$Z9,MIN(P$6-$G$3,22))),0)))))</f>
        <v>0</v>
      </c>
      <c r="Q11" s="27" t="n">
        <f aca="false">IF(COUNT('Arroz irrigado'!$E9:$Z9)=0,0,MAX(0,IF((Q$6-$E$3)&lt;1,0,IFERROR(LOOKUP(2,1/('Arroz irrigado'!$E9:INDEX('Arroz irrigado'!$E9:$Z9,MIN(Q$6-$E$3,22))&lt;&gt;""),'Arroz irrigado'!$E9:INDEX('Arroz irrigado'!$E9:$Z9,MIN(Q$6-$E$3,22))),0))-IF($G$2,0,IF((Q$6-$G$3)&lt;1,0,IFERROR(LOOKUP(2,1/('Arroz irrigado'!$E9:INDEX('Arroz irrigado'!$E9:$Z9,MIN(Q$6-$G$3,22))&lt;&gt;""),'Arroz irrigado'!$E9:INDEX('Arroz irrigado'!$E9:$Z9,MIN(Q$6-$G$3,22))),0)))))</f>
        <v>0</v>
      </c>
      <c r="R11" s="27" t="n">
        <f aca="false">IF(COUNT('Arroz irrigado'!$E9:$Z9)=0,0,MAX(0,IF((R$6-$E$3)&lt;1,0,IFERROR(LOOKUP(2,1/('Arroz irrigado'!$E9:INDEX('Arroz irrigado'!$E9:$Z9,MIN(R$6-$E$3,22))&lt;&gt;""),'Arroz irrigado'!$E9:INDEX('Arroz irrigado'!$E9:$Z9,MIN(R$6-$E$3,22))),0))-IF($G$2,0,IF((R$6-$G$3)&lt;1,0,IFERROR(LOOKUP(2,1/('Arroz irrigado'!$E9:INDEX('Arroz irrigado'!$E9:$Z9,MIN(R$6-$G$3,22))&lt;&gt;""),'Arroz irrigado'!$E9:INDEX('Arroz irrigado'!$E9:$Z9,MIN(R$6-$G$3,22))),0)))))</f>
        <v>0</v>
      </c>
      <c r="S11" s="27" t="n">
        <f aca="false">IF(COUNT('Arroz irrigado'!$E9:$Z9)=0,0,MAX(0,IF((S$6-$E$3)&lt;1,0,IFERROR(LOOKUP(2,1/('Arroz irrigado'!$E9:INDEX('Arroz irrigado'!$E9:$Z9,MIN(S$6-$E$3,22))&lt;&gt;""),'Arroz irrigado'!$E9:INDEX('Arroz irrigado'!$E9:$Z9,MIN(S$6-$E$3,22))),0))-IF($G$2,0,IF((S$6-$G$3)&lt;1,0,IFERROR(LOOKUP(2,1/('Arroz irrigado'!$E9:INDEX('Arroz irrigado'!$E9:$Z9,MIN(S$6-$G$3,22))&lt;&gt;""),'Arroz irrigado'!$E9:INDEX('Arroz irrigado'!$E9:$Z9,MIN(S$6-$G$3,22))),0)))))</f>
        <v>0</v>
      </c>
      <c r="T11" s="27" t="n">
        <f aca="false">IF(COUNT('Arroz irrigado'!$E9:$Z9)=0,0,MAX(0,IF((T$6-$E$3)&lt;1,0,IFERROR(LOOKUP(2,1/('Arroz irrigado'!$E9:INDEX('Arroz irrigado'!$E9:$Z9,MIN(T$6-$E$3,22))&lt;&gt;""),'Arroz irrigado'!$E9:INDEX('Arroz irrigado'!$E9:$Z9,MIN(T$6-$E$3,22))),0))-IF($G$2,0,IF((T$6-$G$3)&lt;1,0,IFERROR(LOOKUP(2,1/('Arroz irrigado'!$E9:INDEX('Arroz irrigado'!$E9:$Z9,MIN(T$6-$G$3,22))&lt;&gt;""),'Arroz irrigado'!$E9:INDEX('Arroz irrigado'!$E9:$Z9,MIN(T$6-$G$3,22))),0)))))</f>
        <v>0</v>
      </c>
      <c r="U11" s="27" t="n">
        <f aca="false">IF(COUNT('Arroz irrigado'!$E9:$Z9)=0,0,MAX(0,IF((U$6-$E$3)&lt;1,0,IFERROR(LOOKUP(2,1/('Arroz irrigado'!$E9:INDEX('Arroz irrigado'!$E9:$Z9,MIN(U$6-$E$3,22))&lt;&gt;""),'Arroz irrigado'!$E9:INDEX('Arroz irrigado'!$E9:$Z9,MIN(U$6-$E$3,22))),0))-IF($G$2,0,IF((U$6-$G$3)&lt;1,0,IFERROR(LOOKUP(2,1/('Arroz irrigado'!$E9:INDEX('Arroz irrigado'!$E9:$Z9,MIN(U$6-$G$3,22))&lt;&gt;""),'Arroz irrigado'!$E9:INDEX('Arroz irrigado'!$E9:$Z9,MIN(U$6-$G$3,22))),0)))))</f>
        <v>0</v>
      </c>
      <c r="V11" s="27" t="n">
        <f aca="false">IF(COUNT('Arroz irrigado'!$E9:$Z9)=0,0,MAX(0,IF((V$6-$E$3)&lt;1,0,IFERROR(LOOKUP(2,1/('Arroz irrigado'!$E9:INDEX('Arroz irrigado'!$E9:$Z9,MIN(V$6-$E$3,22))&lt;&gt;""),'Arroz irrigado'!$E9:INDEX('Arroz irrigado'!$E9:$Z9,MIN(V$6-$E$3,22))),0))-IF($G$2,0,IF((V$6-$G$3)&lt;1,0,IFERROR(LOOKUP(2,1/('Arroz irrigado'!$E9:INDEX('Arroz irrigado'!$E9:$Z9,MIN(V$6-$G$3,22))&lt;&gt;""),'Arroz irrigado'!$E9:INDEX('Arroz irrigado'!$E9:$Z9,MIN(V$6-$G$3,22))),0)))))</f>
        <v>0</v>
      </c>
      <c r="W11" s="27" t="n">
        <f aca="false">IF(COUNT('Arroz irrigado'!$E9:$Z9)=0,0,MAX(0,IF((W$6-$E$3)&lt;1,0,IFERROR(LOOKUP(2,1/('Arroz irrigado'!$E9:INDEX('Arroz irrigado'!$E9:$Z9,MIN(W$6-$E$3,22))&lt;&gt;""),'Arroz irrigado'!$E9:INDEX('Arroz irrigado'!$E9:$Z9,MIN(W$6-$E$3,22))),0))-IF($G$2,0,IF((W$6-$G$3)&lt;1,0,IFERROR(LOOKUP(2,1/('Arroz irrigado'!$E9:INDEX('Arroz irrigado'!$E9:$Z9,MIN(W$6-$G$3,22))&lt;&gt;""),'Arroz irrigado'!$E9:INDEX('Arroz irrigado'!$E9:$Z9,MIN(W$6-$G$3,22))),0)))))</f>
        <v>0</v>
      </c>
      <c r="X11" s="27" t="n">
        <f aca="false">IF(COUNT('Arroz irrigado'!$E9:$Z9)=0,0,MAX(0,IF((X$6-$E$3)&lt;1,0,IFERROR(LOOKUP(2,1/('Arroz irrigado'!$E9:INDEX('Arroz irrigado'!$E9:$Z9,MIN(X$6-$E$3,22))&lt;&gt;""),'Arroz irrigado'!$E9:INDEX('Arroz irrigado'!$E9:$Z9,MIN(X$6-$E$3,22))),0))-IF($G$2,0,IF((X$6-$G$3)&lt;1,0,IFERROR(LOOKUP(2,1/('Arroz irrigado'!$E9:INDEX('Arroz irrigado'!$E9:$Z9,MIN(X$6-$G$3,22))&lt;&gt;""),'Arroz irrigado'!$E9:INDEX('Arroz irrigado'!$E9:$Z9,MIN(X$6-$G$3,22))),0)))))</f>
        <v>0</v>
      </c>
      <c r="Y11" s="27" t="n">
        <f aca="false">IF(COUNT('Arroz irrigado'!$E9:$Z9)=0,0,MAX(0,IF((Y$6-$E$3)&lt;1,0,IFERROR(LOOKUP(2,1/('Arroz irrigado'!$E9:INDEX('Arroz irrigado'!$E9:$Z9,MIN(Y$6-$E$3,22))&lt;&gt;""),'Arroz irrigado'!$E9:INDEX('Arroz irrigado'!$E9:$Z9,MIN(Y$6-$E$3,22))),0))-IF($G$2,0,IF((Y$6-$G$3)&lt;1,0,IFERROR(LOOKUP(2,1/('Arroz irrigado'!$E9:INDEX('Arroz irrigado'!$E9:$Z9,MIN(Y$6-$G$3,22))&lt;&gt;""),'Arroz irrigado'!$E9:INDEX('Arroz irrigado'!$E9:$Z9,MIN(Y$6-$G$3,22))),0)))))</f>
        <v>0</v>
      </c>
      <c r="Z11" s="27" t="n">
        <f aca="false">IF(COUNT('Arroz irrigado'!$E9:$Z9)=0,0,MAX(0,IF((Z$6-$E$3)&lt;1,0,IFERROR(LOOKUP(2,1/('Arroz irrigado'!$E9:INDEX('Arroz irrigado'!$E9:$Z9,MIN(Z$6-$E$3,22))&lt;&gt;""),'Arroz irrigado'!$E9:INDEX('Arroz irrigado'!$E9:$Z9,MIN(Z$6-$E$3,22))),0))-IF($G$2,0,IF((Z$6-$G$3)&lt;1,0,IFERROR(LOOKUP(2,1/('Arroz irrigado'!$E9:INDEX('Arroz irrigado'!$E9:$Z9,MIN(Z$6-$G$3,22))&lt;&gt;""),'Arroz irrigado'!$E9:INDEX('Arroz irrigado'!$E9:$Z9,MIN(Z$6-$G$3,22))),0)))))</f>
        <v>0</v>
      </c>
      <c r="AA11" s="27" t="n">
        <f aca="false">IF(COUNT('Arroz irrigado'!$E9:$Z9)=0,0,MAX(0,IF((AA$6-$E$3)&lt;1,0,IFERROR(LOOKUP(2,1/('Arroz irrigado'!$E9:INDEX('Arroz irrigado'!$E9:$Z9,MIN(AA$6-$E$3,22))&lt;&gt;""),'Arroz irrigado'!$E9:INDEX('Arroz irrigado'!$E9:$Z9,MIN(AA$6-$E$3,22))),0))-IF($G$2,0,IF((AA$6-$G$3)&lt;1,0,IFERROR(LOOKUP(2,1/('Arroz irrigado'!$E9:INDEX('Arroz irrigado'!$E9:$Z9,MIN(AA$6-$G$3,22))&lt;&gt;""),'Arroz irrigado'!$E9:INDEX('Arroz irrigado'!$E9:$Z9,MIN(AA$6-$G$3,22))),0)))))</f>
        <v>0</v>
      </c>
      <c r="AB11" s="27" t="n">
        <f aca="false">IF(COUNT('Arroz irrigado'!$E9:$Z9)=0,0,MAX(0,IF((AB$6-$E$3)&lt;1,0,IFERROR(LOOKUP(2,1/('Arroz irrigado'!$E9:INDEX('Arroz irrigado'!$E9:$Z9,MIN(AB$6-$E$3,22))&lt;&gt;""),'Arroz irrigado'!$E9:INDEX('Arroz irrigado'!$E9:$Z9,MIN(AB$6-$E$3,22))),0))-IF($G$2,0,IF((AB$6-$G$3)&lt;1,0,IFERROR(LOOKUP(2,1/('Arroz irrigado'!$E9:INDEX('Arroz irrigado'!$E9:$Z9,MIN(AB$6-$G$3,22))&lt;&gt;""),'Arroz irrigado'!$E9:INDEX('Arroz irrigado'!$E9:$Z9,MIN(AB$6-$G$3,22))),0)))))</f>
        <v>0</v>
      </c>
      <c r="AC11" s="27" t="n">
        <f aca="false">IF(COUNT('Arroz irrigado'!$E9:$Z9)=0,0,MAX(0,IF((AC$6-$E$3)&lt;1,0,IFERROR(LOOKUP(2,1/('Arroz irrigado'!$E9:INDEX('Arroz irrigado'!$E9:$Z9,MIN(AC$6-$E$3,22))&lt;&gt;""),'Arroz irrigado'!$E9:INDEX('Arroz irrigado'!$E9:$Z9,MIN(AC$6-$E$3,22))),0))-IF($G$2,0,IF((AC$6-$G$3)&lt;1,0,IFERROR(LOOKUP(2,1/('Arroz irrigado'!$E9:INDEX('Arroz irrigado'!$E9:$Z9,MIN(AC$6-$G$3,22))&lt;&gt;""),'Arroz irrigado'!$E9:INDEX('Arroz irrigado'!$E9:$Z9,MIN(AC$6-$G$3,22))),0)))))</f>
        <v>0</v>
      </c>
      <c r="AD11" s="27" t="n">
        <f aca="false">IF(COUNT('Arroz irrigado'!$E9:$Z9)=0,0,MAX(0,IF((AD$6-$E$3)&lt;1,0,IFERROR(LOOKUP(2,1/('Arroz irrigado'!$E9:INDEX('Arroz irrigado'!$E9:$Z9,MIN(AD$6-$E$3,22))&lt;&gt;""),'Arroz irrigado'!$E9:INDEX('Arroz irrigado'!$E9:$Z9,MIN(AD$6-$E$3,22))),0))-IF($G$2,0,IF((AD$6-$G$3)&lt;1,0,IFERROR(LOOKUP(2,1/('Arroz irrigado'!$E9:INDEX('Arroz irrigado'!$E9:$Z9,MIN(AD$6-$G$3,22))&lt;&gt;""),'Arroz irrigado'!$E9:INDEX('Arroz irrigado'!$E9:$Z9,MIN(AD$6-$G$3,22))),0)))))</f>
        <v>0</v>
      </c>
      <c r="AE11" s="27" t="n">
        <f aca="false">IF(COUNT('Arroz irrigado'!$E9:$Z9)=0,0,MAX(0,IF((AE$6-$E$3)&lt;1,0,IFERROR(LOOKUP(2,1/('Arroz irrigado'!$E9:INDEX('Arroz irrigado'!$E9:$Z9,MIN(AE$6-$E$3,22))&lt;&gt;""),'Arroz irrigado'!$E9:INDEX('Arroz irrigado'!$E9:$Z9,MIN(AE$6-$E$3,22))),0))-IF($G$2,0,IF((AE$6-$G$3)&lt;1,0,IFERROR(LOOKUP(2,1/('Arroz irrigado'!$E9:INDEX('Arroz irrigado'!$E9:$Z9,MIN(AE$6-$G$3,22))&lt;&gt;""),'Arroz irrigado'!$E9:INDEX('Arroz irrigado'!$E9:$Z9,MIN(AE$6-$G$3,22))),0)))))</f>
        <v>0</v>
      </c>
      <c r="AF11" s="27" t="n">
        <f aca="false">IF(COUNT('Arroz irrigado'!$E9:$Z9)=0,0,MAX(0,IF((AF$6-$E$3)&lt;1,0,IFERROR(LOOKUP(2,1/('Arroz irrigado'!$E9:INDEX('Arroz irrigado'!$E9:$Z9,MIN(AF$6-$E$3,22))&lt;&gt;""),'Arroz irrigado'!$E9:INDEX('Arroz irrigado'!$E9:$Z9,MIN(AF$6-$E$3,22))),0))-IF($G$2,0,IF((AF$6-$G$3)&lt;1,0,IFERROR(LOOKUP(2,1/('Arroz irrigado'!$E9:INDEX('Arroz irrigado'!$E9:$Z9,MIN(AF$6-$G$3,22))&lt;&gt;""),'Arroz irrigado'!$E9:INDEX('Arroz irrigado'!$E9:$Z9,MIN(AF$6-$G$3,22))),0)))))</f>
        <v>0</v>
      </c>
      <c r="AG11" s="27" t="n">
        <f aca="false">IF(COUNT('Arroz irrigado'!$E9:$Z9)=0,0,MAX(0,IF((AG$6-$E$3)&lt;1,0,IFERROR(LOOKUP(2,1/('Arroz irrigado'!$E9:INDEX('Arroz irrigado'!$E9:$Z9,MIN(AG$6-$E$3,22))&lt;&gt;""),'Arroz irrigado'!$E9:INDEX('Arroz irrigado'!$E9:$Z9,MIN(AG$6-$E$3,22))),0))-IF($G$2,0,IF((AG$6-$G$3)&lt;1,0,IFERROR(LOOKUP(2,1/('Arroz irrigado'!$E9:INDEX('Arroz irrigado'!$E9:$Z9,MIN(AG$6-$G$3,22))&lt;&gt;""),'Arroz irrigado'!$E9:INDEX('Arroz irrigado'!$E9:$Z9,MIN(AG$6-$G$3,22))),0)))))</f>
        <v>0</v>
      </c>
      <c r="AH11" s="27" t="n">
        <f aca="false">IF(COUNT('Arroz irrigado'!$E9:$Z9)=0,0,MAX(0,IF((AH$6-$E$3)&lt;1,0,IFERROR(LOOKUP(2,1/('Arroz irrigado'!$E9:INDEX('Arroz irrigado'!$E9:$Z9,MIN(AH$6-$E$3,22))&lt;&gt;""),'Arroz irrigado'!$E9:INDEX('Arroz irrigado'!$E9:$Z9,MIN(AH$6-$E$3,22))),0))-IF($G$2,0,IF((AH$6-$G$3)&lt;1,0,IFERROR(LOOKUP(2,1/('Arroz irrigado'!$E9:INDEX('Arroz irrigado'!$E9:$Z9,MIN(AH$6-$G$3,22))&lt;&gt;""),'Arroz irrigado'!$E9:INDEX('Arroz irrigado'!$E9:$Z9,MIN(AH$6-$G$3,22))),0)))))</f>
        <v>0</v>
      </c>
      <c r="AI11" s="27" t="n">
        <f aca="false">IF(COUNT('Arroz irrigado'!$E9:$Z9)=0,0,MAX(0,IF((AI$6-$E$3)&lt;1,0,IFERROR(LOOKUP(2,1/('Arroz irrigado'!$E9:INDEX('Arroz irrigado'!$E9:$Z9,MIN(AI$6-$E$3,22))&lt;&gt;""),'Arroz irrigado'!$E9:INDEX('Arroz irrigado'!$E9:$Z9,MIN(AI$6-$E$3,22))),0))-IF($G$2,0,IF((AI$6-$G$3)&lt;1,0,IFERROR(LOOKUP(2,1/('Arroz irrigado'!$E9:INDEX('Arroz irrigado'!$E9:$Z9,MIN(AI$6-$G$3,22))&lt;&gt;""),'Arroz irrigado'!$E9:INDEX('Arroz irrigado'!$E9:$Z9,MIN(AI$6-$G$3,22))),0)))))</f>
        <v>0</v>
      </c>
      <c r="AJ11" s="27" t="n">
        <f aca="false">IF(COUNT('Arroz irrigado'!$E9:$Z9)=0,0,MAX(0,IF((AJ$6-$E$3)&lt;1,0,IFERROR(LOOKUP(2,1/('Arroz irrigado'!$E9:INDEX('Arroz irrigado'!$E9:$Z9,MIN(AJ$6-$E$3,22))&lt;&gt;""),'Arroz irrigado'!$E9:INDEX('Arroz irrigado'!$E9:$Z9,MIN(AJ$6-$E$3,22))),0))-IF($G$2,0,IF((AJ$6-$G$3)&lt;1,0,IFERROR(LOOKUP(2,1/('Arroz irrigado'!$E9:INDEX('Arroz irrigado'!$E9:$Z9,MIN(AJ$6-$G$3,22))&lt;&gt;""),'Arroz irrigado'!$E9:INDEX('Arroz irrigado'!$E9:$Z9,MIN(AJ$6-$G$3,22))),0)))))</f>
        <v>0</v>
      </c>
      <c r="AK11" s="27" t="n">
        <f aca="false">IF(COUNT('Arroz irrigado'!$E9:$Z9)=0,0,MAX(0,IF((AK$6-$E$3)&lt;1,0,IFERROR(LOOKUP(2,1/('Arroz irrigado'!$E9:INDEX('Arroz irrigado'!$E9:$Z9,MIN(AK$6-$E$3,22))&lt;&gt;""),'Arroz irrigado'!$E9:INDEX('Arroz irrigado'!$E9:$Z9,MIN(AK$6-$E$3,22))),0))-IF($G$2,0,IF((AK$6-$G$3)&lt;1,0,IFERROR(LOOKUP(2,1/('Arroz irrigado'!$E9:INDEX('Arroz irrigado'!$E9:$Z9,MIN(AK$6-$G$3,22))&lt;&gt;""),'Arroz irrigado'!$E9:INDEX('Arroz irrigado'!$E9:$Z9,MIN(AK$6-$G$3,22))),0)))))</f>
        <v>0</v>
      </c>
      <c r="AL11" s="27" t="n">
        <f aca="false">IF(COUNT('Arroz irrigado'!$E9:$Z9)=0,0,MAX(0,IF((AL$6-$E$3)&lt;1,0,IFERROR(LOOKUP(2,1/('Arroz irrigado'!$E9:INDEX('Arroz irrigado'!$E9:$Z9,MIN(AL$6-$E$3,22))&lt;&gt;""),'Arroz irrigado'!$E9:INDEX('Arroz irrigado'!$E9:$Z9,MIN(AL$6-$E$3,22))),0))-IF($G$2,0,IF((AL$6-$G$3)&lt;1,0,IFERROR(LOOKUP(2,1/('Arroz irrigado'!$E9:INDEX('Arroz irrigado'!$E9:$Z9,MIN(AL$6-$G$3,22))&lt;&gt;""),'Arroz irrigado'!$E9:INDEX('Arroz irrigado'!$E9:$Z9,MIN(AL$6-$G$3,22))),0)))))</f>
        <v>0</v>
      </c>
      <c r="AM11" s="27" t="n">
        <f aca="false">IF(COUNT('Arroz irrigado'!$E9:$Z9)=0,0,MAX(0,IF((AM$6-$E$3)&lt;1,0,IFERROR(LOOKUP(2,1/('Arroz irrigado'!$E9:INDEX('Arroz irrigado'!$E9:$Z9,MIN(AM$6-$E$3,22))&lt;&gt;""),'Arroz irrigado'!$E9:INDEX('Arroz irrigado'!$E9:$Z9,MIN(AM$6-$E$3,22))),0))-IF($G$2,0,IF((AM$6-$G$3)&lt;1,0,IFERROR(LOOKUP(2,1/('Arroz irrigado'!$E9:INDEX('Arroz irrigado'!$E9:$Z9,MIN(AM$6-$G$3,22))&lt;&gt;""),'Arroz irrigado'!$E9:INDEX('Arroz irrigado'!$E9:$Z9,MIN(AM$6-$G$3,22))),0)))))</f>
        <v>0</v>
      </c>
      <c r="AN11" s="27" t="n">
        <f aca="false">IF(COUNT('Arroz irrigado'!$E9:$Z9)=0,0,MAX(0,IF((AN$6-$E$3)&lt;1,0,IFERROR(LOOKUP(2,1/('Arroz irrigado'!$E9:INDEX('Arroz irrigado'!$E9:$Z9,MIN(AN$6-$E$3,22))&lt;&gt;""),'Arroz irrigado'!$E9:INDEX('Arroz irrigado'!$E9:$Z9,MIN(AN$6-$E$3,22))),0))-IF($G$2,0,IF((AN$6-$G$3)&lt;1,0,IFERROR(LOOKUP(2,1/('Arroz irrigado'!$E9:INDEX('Arroz irrigado'!$E9:$Z9,MIN(AN$6-$G$3,22))&lt;&gt;""),'Arroz irrigado'!$E9:INDEX('Arroz irrigado'!$E9:$Z9,MIN(AN$6-$G$3,22))),0)))))</f>
        <v>0</v>
      </c>
      <c r="AO11" s="27" t="n">
        <f aca="false">IF(COUNT('Arroz irrigado'!$E9:$Z9)=0,0,MAX(0,IF((AO$6-$E$3)&lt;1,0,IFERROR(LOOKUP(2,1/('Arroz irrigado'!$E9:INDEX('Arroz irrigado'!$E9:$Z9,MIN(AO$6-$E$3,22))&lt;&gt;""),'Arroz irrigado'!$E9:INDEX('Arroz irrigado'!$E9:$Z9,MIN(AO$6-$E$3,22))),0))-IF($G$2,0,IF((AO$6-$G$3)&lt;1,0,IFERROR(LOOKUP(2,1/('Arroz irrigado'!$E9:INDEX('Arroz irrigado'!$E9:$Z9,MIN(AO$6-$G$3,22))&lt;&gt;""),'Arroz irrigado'!$E9:INDEX('Arroz irrigado'!$E9:$Z9,MIN(AO$6-$G$3,22))),0)))))</f>
        <v>0</v>
      </c>
      <c r="AP11" s="27" t="n">
        <f aca="false">IF(COUNT('Arroz irrigado'!$E9:$Z9)=0,0,MAX(0,IF((AP$6-$E$3)&lt;1,0,IFERROR(LOOKUP(2,1/('Arroz irrigado'!$E9:INDEX('Arroz irrigado'!$E9:$Z9,MIN(AP$6-$E$3,22))&lt;&gt;""),'Arroz irrigado'!$E9:INDEX('Arroz irrigado'!$E9:$Z9,MIN(AP$6-$E$3,22))),0))-IF($G$2,0,IF((AP$6-$G$3)&lt;1,0,IFERROR(LOOKUP(2,1/('Arroz irrigado'!$E9:INDEX('Arroz irrigado'!$E9:$Z9,MIN(AP$6-$G$3,22))&lt;&gt;""),'Arroz irrigado'!$E9:INDEX('Arroz irrigado'!$E9:$Z9,MIN(AP$6-$G$3,22))),0)))))</f>
        <v>0</v>
      </c>
      <c r="AQ11" s="27" t="n">
        <f aca="false">IF(COUNT('Arroz irrigado'!$E9:$Z9)=0,0,MAX(0,IF((AQ$6-$E$3)&lt;1,0,IFERROR(LOOKUP(2,1/('Arroz irrigado'!$E9:INDEX('Arroz irrigado'!$E9:$Z9,MIN(AQ$6-$E$3,22))&lt;&gt;""),'Arroz irrigado'!$E9:INDEX('Arroz irrigado'!$E9:$Z9,MIN(AQ$6-$E$3,22))),0))-IF($G$2,0,IF((AQ$6-$G$3)&lt;1,0,IFERROR(LOOKUP(2,1/('Arroz irrigado'!$E9:INDEX('Arroz irrigado'!$E9:$Z9,MIN(AQ$6-$G$3,22))&lt;&gt;""),'Arroz irrigado'!$E9:INDEX('Arroz irrigado'!$E9:$Z9,MIN(AQ$6-$G$3,22))),0)))))</f>
        <v>0</v>
      </c>
      <c r="AR11" s="27" t="n">
        <f aca="false">IF(COUNT('Arroz irrigado'!$E9:$Z9)=0,0,MAX(0,IF((AR$6-$E$3)&lt;1,0,IFERROR(LOOKUP(2,1/('Arroz irrigado'!$E9:INDEX('Arroz irrigado'!$E9:$Z9,MIN(AR$6-$E$3,22))&lt;&gt;""),'Arroz irrigado'!$E9:INDEX('Arroz irrigado'!$E9:$Z9,MIN(AR$6-$E$3,22))),0))-IF($G$2,0,IF((AR$6-$G$3)&lt;1,0,IFERROR(LOOKUP(2,1/('Arroz irrigado'!$E9:INDEX('Arroz irrigado'!$E9:$Z9,MIN(AR$6-$G$3,22))&lt;&gt;""),'Arroz irrigado'!$E9:INDEX('Arroz irrigado'!$E9:$Z9,MIN(AR$6-$G$3,22))),0)))))</f>
        <v>0</v>
      </c>
      <c r="AS11" s="27" t="n">
        <f aca="false">IF(COUNT('Arroz irrigado'!$E9:$Z9)=0,0,MAX(0,IF((AS$6-$E$3)&lt;1,0,IFERROR(LOOKUP(2,1/('Arroz irrigado'!$E9:INDEX('Arroz irrigado'!$E9:$Z9,MIN(AS$6-$E$3,22))&lt;&gt;""),'Arroz irrigado'!$E9:INDEX('Arroz irrigado'!$E9:$Z9,MIN(AS$6-$E$3,22))),0))-IF($G$2,0,IF((AS$6-$G$3)&lt;1,0,IFERROR(LOOKUP(2,1/('Arroz irrigado'!$E9:INDEX('Arroz irrigado'!$E9:$Z9,MIN(AS$6-$G$3,22))&lt;&gt;""),'Arroz irrigado'!$E9:INDEX('Arroz irrigado'!$E9:$Z9,MIN(AS$6-$G$3,22))),0)))))</f>
        <v>0</v>
      </c>
      <c r="AT11" s="27" t="n">
        <f aca="false">IF(COUNT('Arroz irrigado'!$E9:$Z9)=0,0,MAX(0,IF((AT$6-$E$3)&lt;1,0,IFERROR(LOOKUP(2,1/('Arroz irrigado'!$E9:INDEX('Arroz irrigado'!$E9:$Z9,MIN(AT$6-$E$3,22))&lt;&gt;""),'Arroz irrigado'!$E9:INDEX('Arroz irrigado'!$E9:$Z9,MIN(AT$6-$E$3,22))),0))-IF($G$2,0,IF((AT$6-$G$3)&lt;1,0,IFERROR(LOOKUP(2,1/('Arroz irrigado'!$E9:INDEX('Arroz irrigado'!$E9:$Z9,MIN(AT$6-$G$3,22))&lt;&gt;""),'Arroz irrigado'!$E9:INDEX('Arroz irrigado'!$E9:$Z9,MIN(AT$6-$G$3,22))),0)))))</f>
        <v>0</v>
      </c>
      <c r="AU11" s="27" t="n">
        <f aca="false">IF(COUNT('Arroz irrigado'!$E9:$Z9)=0,0,MAX(0,IF((AU$6-$E$3)&lt;1,0,IFERROR(LOOKUP(2,1/('Arroz irrigado'!$E9:INDEX('Arroz irrigado'!$E9:$Z9,MIN(AU$6-$E$3,22))&lt;&gt;""),'Arroz irrigado'!$E9:INDEX('Arroz irrigado'!$E9:$Z9,MIN(AU$6-$E$3,22))),0))-IF($G$2,0,IF((AU$6-$G$3)&lt;1,0,IFERROR(LOOKUP(2,1/('Arroz irrigado'!$E9:INDEX('Arroz irrigado'!$E9:$Z9,MIN(AU$6-$G$3,22))&lt;&gt;""),'Arroz irrigado'!$E9:INDEX('Arroz irrigado'!$E9:$Z9,MIN(AU$6-$G$3,22))),0)))))</f>
        <v>0</v>
      </c>
      <c r="AV11" s="27" t="n">
        <f aca="false">IF(COUNT('Arroz irrigado'!$E9:$Z9)=0,0,MAX(0,IF((AV$6-$E$3)&lt;1,0,IFERROR(LOOKUP(2,1/('Arroz irrigado'!$E9:INDEX('Arroz irrigado'!$E9:$Z9,MIN(AV$6-$E$3,22))&lt;&gt;""),'Arroz irrigado'!$E9:INDEX('Arroz irrigado'!$E9:$Z9,MIN(AV$6-$E$3,22))),0))-IF($G$2,0,IF((AV$6-$G$3)&lt;1,0,IFERROR(LOOKUP(2,1/('Arroz irrigado'!$E9:INDEX('Arroz irrigado'!$E9:$Z9,MIN(AV$6-$G$3,22))&lt;&gt;""),'Arroz irrigado'!$E9:INDEX('Arroz irrigado'!$E9:$Z9,MIN(AV$6-$G$3,22))),0)))))</f>
        <v>0</v>
      </c>
      <c r="AW11" s="27" t="n">
        <f aca="false">IF(COUNT('Arroz irrigado'!$E9:$Z9)=0,0,MAX(0,IF((AW$6-$E$3)&lt;1,0,IFERROR(LOOKUP(2,1/('Arroz irrigado'!$E9:INDEX('Arroz irrigado'!$E9:$Z9,MIN(AW$6-$E$3,22))&lt;&gt;""),'Arroz irrigado'!$E9:INDEX('Arroz irrigado'!$E9:$Z9,MIN(AW$6-$E$3,22))),0))-IF($G$2,0,IF((AW$6-$G$3)&lt;1,0,IFERROR(LOOKUP(2,1/('Arroz irrigado'!$E9:INDEX('Arroz irrigado'!$E9:$Z9,MIN(AW$6-$G$3,22))&lt;&gt;""),'Arroz irrigado'!$E9:INDEX('Arroz irrigado'!$E9:$Z9,MIN(AW$6-$G$3,22))),0)))))</f>
        <v>0</v>
      </c>
      <c r="AX11" s="27" t="n">
        <f aca="false">IF(COUNT('Arroz irrigado'!$E9:$Z9)=0,0,MAX(0,IF((AX$6-$E$3)&lt;1,0,IFERROR(LOOKUP(2,1/('Arroz irrigado'!$E9:INDEX('Arroz irrigado'!$E9:$Z9,MIN(AX$6-$E$3,22))&lt;&gt;""),'Arroz irrigado'!$E9:INDEX('Arroz irrigado'!$E9:$Z9,MIN(AX$6-$E$3,22))),0))-IF($G$2,0,IF((AX$6-$G$3)&lt;1,0,IFERROR(LOOKUP(2,1/('Arroz irrigado'!$E9:INDEX('Arroz irrigado'!$E9:$Z9,MIN(AX$6-$G$3,22))&lt;&gt;""),'Arroz irrigado'!$E9:INDEX('Arroz irrigado'!$E9:$Z9,MIN(AX$6-$G$3,22))),0)))))</f>
        <v>0</v>
      </c>
      <c r="AY11" s="27" t="n">
        <f aca="false">IF(COUNT('Arroz irrigado'!$E9:$Z9)=0,0,MAX(0,IF((AY$6-$E$3)&lt;1,0,IFERROR(LOOKUP(2,1/('Arroz irrigado'!$E9:INDEX('Arroz irrigado'!$E9:$Z9,MIN(AY$6-$E$3,22))&lt;&gt;""),'Arroz irrigado'!$E9:INDEX('Arroz irrigado'!$E9:$Z9,MIN(AY$6-$E$3,22))),0))-IF($G$2,0,IF((AY$6-$G$3)&lt;1,0,IFERROR(LOOKUP(2,1/('Arroz irrigado'!$E9:INDEX('Arroz irrigado'!$E9:$Z9,MIN(AY$6-$G$3,22))&lt;&gt;""),'Arroz irrigado'!$E9:INDEX('Arroz irrigado'!$E9:$Z9,MIN(AY$6-$G$3,22))),0)))))</f>
        <v>0</v>
      </c>
      <c r="AZ11" s="27" t="n">
        <f aca="false">IF(COUNT('Arroz irrigado'!$E9:$Z9)=0,0,MAX(0,IF((AZ$6-$E$3)&lt;1,0,IFERROR(LOOKUP(2,1/('Arroz irrigado'!$E9:INDEX('Arroz irrigado'!$E9:$Z9,MIN(AZ$6-$E$3,22))&lt;&gt;""),'Arroz irrigado'!$E9:INDEX('Arroz irrigado'!$E9:$Z9,MIN(AZ$6-$E$3,22))),0))-IF($G$2,0,IF((AZ$6-$G$3)&lt;1,0,IFERROR(LOOKUP(2,1/('Arroz irrigado'!$E9:INDEX('Arroz irrigado'!$E9:$Z9,MIN(AZ$6-$G$3,22))&lt;&gt;""),'Arroz irrigado'!$E9:INDEX('Arroz irrigado'!$E9:$Z9,MIN(AZ$6-$G$3,22))),0)))))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IF(COUNT('Arroz irrigado'!$E10:$Z10)&gt;0,N('Arroz irrigado'!$D10),0)</f>
        <v>0</v>
      </c>
      <c r="E12" s="27" t="n">
        <f aca="false">IF(COUNT('Arroz irrigado'!$E10:$Z10)=0,0,MAX(0,IF((E$6-$E$3)&lt;1,0,IFERROR(LOOKUP(2,1/('Arroz irrigado'!$E10:INDEX('Arroz irrigado'!$E10:$Z10,MIN(E$6-$E$3,22))&lt;&gt;""),'Arroz irrigado'!$E10:INDEX('Arroz irrigado'!$E10:$Z10,MIN(E$6-$E$3,22))),0))-IF($G$2,0,IF((E$6-$G$3)&lt;1,0,IFERROR(LOOKUP(2,1/('Arroz irrigado'!$E10:INDEX('Arroz irrigado'!$E10:$Z10,MIN(E$6-$G$3,22))&lt;&gt;""),'Arroz irrigado'!$E10:INDEX('Arroz irrigado'!$E10:$Z10,MIN(E$6-$G$3,22))),0)))))</f>
        <v>0</v>
      </c>
      <c r="F12" s="27" t="n">
        <f aca="false">IF(COUNT('Arroz irrigado'!$E10:$Z10)=0,0,MAX(0,IF((F$6-$E$3)&lt;1,0,IFERROR(LOOKUP(2,1/('Arroz irrigado'!$E10:INDEX('Arroz irrigado'!$E10:$Z10,MIN(F$6-$E$3,22))&lt;&gt;""),'Arroz irrigado'!$E10:INDEX('Arroz irrigado'!$E10:$Z10,MIN(F$6-$E$3,22))),0))-IF($G$2,0,IF((F$6-$G$3)&lt;1,0,IFERROR(LOOKUP(2,1/('Arroz irrigado'!$E10:INDEX('Arroz irrigado'!$E10:$Z10,MIN(F$6-$G$3,22))&lt;&gt;""),'Arroz irrigado'!$E10:INDEX('Arroz irrigado'!$E10:$Z10,MIN(F$6-$G$3,22))),0)))))</f>
        <v>0</v>
      </c>
      <c r="G12" s="27" t="n">
        <f aca="false">IF(COUNT('Arroz irrigado'!$E10:$Z10)=0,0,MAX(0,IF((G$6-$E$3)&lt;1,0,IFERROR(LOOKUP(2,1/('Arroz irrigado'!$E10:INDEX('Arroz irrigado'!$E10:$Z10,MIN(G$6-$E$3,22))&lt;&gt;""),'Arroz irrigado'!$E10:INDEX('Arroz irrigado'!$E10:$Z10,MIN(G$6-$E$3,22))),0))-IF($G$2,0,IF((G$6-$G$3)&lt;1,0,IFERROR(LOOKUP(2,1/('Arroz irrigado'!$E10:INDEX('Arroz irrigado'!$E10:$Z10,MIN(G$6-$G$3,22))&lt;&gt;""),'Arroz irrigado'!$E10:INDEX('Arroz irrigado'!$E10:$Z10,MIN(G$6-$G$3,22))),0)))))</f>
        <v>0</v>
      </c>
      <c r="H12" s="27" t="n">
        <f aca="false">IF(COUNT('Arroz irrigado'!$E10:$Z10)=0,0,MAX(0,IF((H$6-$E$3)&lt;1,0,IFERROR(LOOKUP(2,1/('Arroz irrigado'!$E10:INDEX('Arroz irrigado'!$E10:$Z10,MIN(H$6-$E$3,22))&lt;&gt;""),'Arroz irrigado'!$E10:INDEX('Arroz irrigado'!$E10:$Z10,MIN(H$6-$E$3,22))),0))-IF($G$2,0,IF((H$6-$G$3)&lt;1,0,IFERROR(LOOKUP(2,1/('Arroz irrigado'!$E10:INDEX('Arroz irrigado'!$E10:$Z10,MIN(H$6-$G$3,22))&lt;&gt;""),'Arroz irrigado'!$E10:INDEX('Arroz irrigado'!$E10:$Z10,MIN(H$6-$G$3,22))),0)))))</f>
        <v>0</v>
      </c>
      <c r="I12" s="27" t="n">
        <f aca="false">IF(COUNT('Arroz irrigado'!$E10:$Z10)=0,0,MAX(0,IF((I$6-$E$3)&lt;1,0,IFERROR(LOOKUP(2,1/('Arroz irrigado'!$E10:INDEX('Arroz irrigado'!$E10:$Z10,MIN(I$6-$E$3,22))&lt;&gt;""),'Arroz irrigado'!$E10:INDEX('Arroz irrigado'!$E10:$Z10,MIN(I$6-$E$3,22))),0))-IF($G$2,0,IF((I$6-$G$3)&lt;1,0,IFERROR(LOOKUP(2,1/('Arroz irrigado'!$E10:INDEX('Arroz irrigado'!$E10:$Z10,MIN(I$6-$G$3,22))&lt;&gt;""),'Arroz irrigado'!$E10:INDEX('Arroz irrigado'!$E10:$Z10,MIN(I$6-$G$3,22))),0)))))</f>
        <v>0</v>
      </c>
      <c r="J12" s="27" t="n">
        <f aca="false">IF(COUNT('Arroz irrigado'!$E10:$Z10)=0,0,MAX(0,IF((J$6-$E$3)&lt;1,0,IFERROR(LOOKUP(2,1/('Arroz irrigado'!$E10:INDEX('Arroz irrigado'!$E10:$Z10,MIN(J$6-$E$3,22))&lt;&gt;""),'Arroz irrigado'!$E10:INDEX('Arroz irrigado'!$E10:$Z10,MIN(J$6-$E$3,22))),0))-IF($G$2,0,IF((J$6-$G$3)&lt;1,0,IFERROR(LOOKUP(2,1/('Arroz irrigado'!$E10:INDEX('Arroz irrigado'!$E10:$Z10,MIN(J$6-$G$3,22))&lt;&gt;""),'Arroz irrigado'!$E10:INDEX('Arroz irrigado'!$E10:$Z10,MIN(J$6-$G$3,22))),0)))))</f>
        <v>0</v>
      </c>
      <c r="K12" s="27" t="n">
        <f aca="false">IF(COUNT('Arroz irrigado'!$E10:$Z10)=0,0,MAX(0,IF((K$6-$E$3)&lt;1,0,IFERROR(LOOKUP(2,1/('Arroz irrigado'!$E10:INDEX('Arroz irrigado'!$E10:$Z10,MIN(K$6-$E$3,22))&lt;&gt;""),'Arroz irrigado'!$E10:INDEX('Arroz irrigado'!$E10:$Z10,MIN(K$6-$E$3,22))),0))-IF($G$2,0,IF((K$6-$G$3)&lt;1,0,IFERROR(LOOKUP(2,1/('Arroz irrigado'!$E10:INDEX('Arroz irrigado'!$E10:$Z10,MIN(K$6-$G$3,22))&lt;&gt;""),'Arroz irrigado'!$E10:INDEX('Arroz irrigado'!$E10:$Z10,MIN(K$6-$G$3,22))),0)))))</f>
        <v>0</v>
      </c>
      <c r="L12" s="27" t="n">
        <f aca="false">IF(COUNT('Arroz irrigado'!$E10:$Z10)=0,0,MAX(0,IF((L$6-$E$3)&lt;1,0,IFERROR(LOOKUP(2,1/('Arroz irrigado'!$E10:INDEX('Arroz irrigado'!$E10:$Z10,MIN(L$6-$E$3,22))&lt;&gt;""),'Arroz irrigado'!$E10:INDEX('Arroz irrigado'!$E10:$Z10,MIN(L$6-$E$3,22))),0))-IF($G$2,0,IF((L$6-$G$3)&lt;1,0,IFERROR(LOOKUP(2,1/('Arroz irrigado'!$E10:INDEX('Arroz irrigado'!$E10:$Z10,MIN(L$6-$G$3,22))&lt;&gt;""),'Arroz irrigado'!$E10:INDEX('Arroz irrigado'!$E10:$Z10,MIN(L$6-$G$3,22))),0)))))</f>
        <v>0</v>
      </c>
      <c r="M12" s="27" t="n">
        <f aca="false">IF(COUNT('Arroz irrigado'!$E10:$Z10)=0,0,MAX(0,IF((M$6-$E$3)&lt;1,0,IFERROR(LOOKUP(2,1/('Arroz irrigado'!$E10:INDEX('Arroz irrigado'!$E10:$Z10,MIN(M$6-$E$3,22))&lt;&gt;""),'Arroz irrigado'!$E10:INDEX('Arroz irrigado'!$E10:$Z10,MIN(M$6-$E$3,22))),0))-IF($G$2,0,IF((M$6-$G$3)&lt;1,0,IFERROR(LOOKUP(2,1/('Arroz irrigado'!$E10:INDEX('Arroz irrigado'!$E10:$Z10,MIN(M$6-$G$3,22))&lt;&gt;""),'Arroz irrigado'!$E10:INDEX('Arroz irrigado'!$E10:$Z10,MIN(M$6-$G$3,22))),0)))))</f>
        <v>0</v>
      </c>
      <c r="N12" s="27" t="n">
        <f aca="false">IF(COUNT('Arroz irrigado'!$E10:$Z10)=0,0,MAX(0,IF((N$6-$E$3)&lt;1,0,IFERROR(LOOKUP(2,1/('Arroz irrigado'!$E10:INDEX('Arroz irrigado'!$E10:$Z10,MIN(N$6-$E$3,22))&lt;&gt;""),'Arroz irrigado'!$E10:INDEX('Arroz irrigado'!$E10:$Z10,MIN(N$6-$E$3,22))),0))-IF($G$2,0,IF((N$6-$G$3)&lt;1,0,IFERROR(LOOKUP(2,1/('Arroz irrigado'!$E10:INDEX('Arroz irrigado'!$E10:$Z10,MIN(N$6-$G$3,22))&lt;&gt;""),'Arroz irrigado'!$E10:INDEX('Arroz irrigado'!$E10:$Z10,MIN(N$6-$G$3,22))),0)))))</f>
        <v>0</v>
      </c>
      <c r="O12" s="27" t="n">
        <f aca="false">IF(COUNT('Arroz irrigado'!$E10:$Z10)=0,0,MAX(0,IF((O$6-$E$3)&lt;1,0,IFERROR(LOOKUP(2,1/('Arroz irrigado'!$E10:INDEX('Arroz irrigado'!$E10:$Z10,MIN(O$6-$E$3,22))&lt;&gt;""),'Arroz irrigado'!$E10:INDEX('Arroz irrigado'!$E10:$Z10,MIN(O$6-$E$3,22))),0))-IF($G$2,0,IF((O$6-$G$3)&lt;1,0,IFERROR(LOOKUP(2,1/('Arroz irrigado'!$E10:INDEX('Arroz irrigado'!$E10:$Z10,MIN(O$6-$G$3,22))&lt;&gt;""),'Arroz irrigado'!$E10:INDEX('Arroz irrigado'!$E10:$Z10,MIN(O$6-$G$3,22))),0)))))</f>
        <v>0</v>
      </c>
      <c r="P12" s="27" t="n">
        <f aca="false">IF(COUNT('Arroz irrigado'!$E10:$Z10)=0,0,MAX(0,IF((P$6-$E$3)&lt;1,0,IFERROR(LOOKUP(2,1/('Arroz irrigado'!$E10:INDEX('Arroz irrigado'!$E10:$Z10,MIN(P$6-$E$3,22))&lt;&gt;""),'Arroz irrigado'!$E10:INDEX('Arroz irrigado'!$E10:$Z10,MIN(P$6-$E$3,22))),0))-IF($G$2,0,IF((P$6-$G$3)&lt;1,0,IFERROR(LOOKUP(2,1/('Arroz irrigado'!$E10:INDEX('Arroz irrigado'!$E10:$Z10,MIN(P$6-$G$3,22))&lt;&gt;""),'Arroz irrigado'!$E10:INDEX('Arroz irrigado'!$E10:$Z10,MIN(P$6-$G$3,22))),0)))))</f>
        <v>0</v>
      </c>
      <c r="Q12" s="27" t="n">
        <f aca="false">IF(COUNT('Arroz irrigado'!$E10:$Z10)=0,0,MAX(0,IF((Q$6-$E$3)&lt;1,0,IFERROR(LOOKUP(2,1/('Arroz irrigado'!$E10:INDEX('Arroz irrigado'!$E10:$Z10,MIN(Q$6-$E$3,22))&lt;&gt;""),'Arroz irrigado'!$E10:INDEX('Arroz irrigado'!$E10:$Z10,MIN(Q$6-$E$3,22))),0))-IF($G$2,0,IF((Q$6-$G$3)&lt;1,0,IFERROR(LOOKUP(2,1/('Arroz irrigado'!$E10:INDEX('Arroz irrigado'!$E10:$Z10,MIN(Q$6-$G$3,22))&lt;&gt;""),'Arroz irrigado'!$E10:INDEX('Arroz irrigado'!$E10:$Z10,MIN(Q$6-$G$3,22))),0)))))</f>
        <v>0</v>
      </c>
      <c r="R12" s="27" t="n">
        <f aca="false">IF(COUNT('Arroz irrigado'!$E10:$Z10)=0,0,MAX(0,IF((R$6-$E$3)&lt;1,0,IFERROR(LOOKUP(2,1/('Arroz irrigado'!$E10:INDEX('Arroz irrigado'!$E10:$Z10,MIN(R$6-$E$3,22))&lt;&gt;""),'Arroz irrigado'!$E10:INDEX('Arroz irrigado'!$E10:$Z10,MIN(R$6-$E$3,22))),0))-IF($G$2,0,IF((R$6-$G$3)&lt;1,0,IFERROR(LOOKUP(2,1/('Arroz irrigado'!$E10:INDEX('Arroz irrigado'!$E10:$Z10,MIN(R$6-$G$3,22))&lt;&gt;""),'Arroz irrigado'!$E10:INDEX('Arroz irrigado'!$E10:$Z10,MIN(R$6-$G$3,22))),0)))))</f>
        <v>0</v>
      </c>
      <c r="S12" s="27" t="n">
        <f aca="false">IF(COUNT('Arroz irrigado'!$E10:$Z10)=0,0,MAX(0,IF((S$6-$E$3)&lt;1,0,IFERROR(LOOKUP(2,1/('Arroz irrigado'!$E10:INDEX('Arroz irrigado'!$E10:$Z10,MIN(S$6-$E$3,22))&lt;&gt;""),'Arroz irrigado'!$E10:INDEX('Arroz irrigado'!$E10:$Z10,MIN(S$6-$E$3,22))),0))-IF($G$2,0,IF((S$6-$G$3)&lt;1,0,IFERROR(LOOKUP(2,1/('Arroz irrigado'!$E10:INDEX('Arroz irrigado'!$E10:$Z10,MIN(S$6-$G$3,22))&lt;&gt;""),'Arroz irrigado'!$E10:INDEX('Arroz irrigado'!$E10:$Z10,MIN(S$6-$G$3,22))),0)))))</f>
        <v>0</v>
      </c>
      <c r="T12" s="27" t="n">
        <f aca="false">IF(COUNT('Arroz irrigado'!$E10:$Z10)=0,0,MAX(0,IF((T$6-$E$3)&lt;1,0,IFERROR(LOOKUP(2,1/('Arroz irrigado'!$E10:INDEX('Arroz irrigado'!$E10:$Z10,MIN(T$6-$E$3,22))&lt;&gt;""),'Arroz irrigado'!$E10:INDEX('Arroz irrigado'!$E10:$Z10,MIN(T$6-$E$3,22))),0))-IF($G$2,0,IF((T$6-$G$3)&lt;1,0,IFERROR(LOOKUP(2,1/('Arroz irrigado'!$E10:INDEX('Arroz irrigado'!$E10:$Z10,MIN(T$6-$G$3,22))&lt;&gt;""),'Arroz irrigado'!$E10:INDEX('Arroz irrigado'!$E10:$Z10,MIN(T$6-$G$3,22))),0)))))</f>
        <v>0</v>
      </c>
      <c r="U12" s="27" t="n">
        <f aca="false">IF(COUNT('Arroz irrigado'!$E10:$Z10)=0,0,MAX(0,IF((U$6-$E$3)&lt;1,0,IFERROR(LOOKUP(2,1/('Arroz irrigado'!$E10:INDEX('Arroz irrigado'!$E10:$Z10,MIN(U$6-$E$3,22))&lt;&gt;""),'Arroz irrigado'!$E10:INDEX('Arroz irrigado'!$E10:$Z10,MIN(U$6-$E$3,22))),0))-IF($G$2,0,IF((U$6-$G$3)&lt;1,0,IFERROR(LOOKUP(2,1/('Arroz irrigado'!$E10:INDEX('Arroz irrigado'!$E10:$Z10,MIN(U$6-$G$3,22))&lt;&gt;""),'Arroz irrigado'!$E10:INDEX('Arroz irrigado'!$E10:$Z10,MIN(U$6-$G$3,22))),0)))))</f>
        <v>0</v>
      </c>
      <c r="V12" s="27" t="n">
        <f aca="false">IF(COUNT('Arroz irrigado'!$E10:$Z10)=0,0,MAX(0,IF((V$6-$E$3)&lt;1,0,IFERROR(LOOKUP(2,1/('Arroz irrigado'!$E10:INDEX('Arroz irrigado'!$E10:$Z10,MIN(V$6-$E$3,22))&lt;&gt;""),'Arroz irrigado'!$E10:INDEX('Arroz irrigado'!$E10:$Z10,MIN(V$6-$E$3,22))),0))-IF($G$2,0,IF((V$6-$G$3)&lt;1,0,IFERROR(LOOKUP(2,1/('Arroz irrigado'!$E10:INDEX('Arroz irrigado'!$E10:$Z10,MIN(V$6-$G$3,22))&lt;&gt;""),'Arroz irrigado'!$E10:INDEX('Arroz irrigado'!$E10:$Z10,MIN(V$6-$G$3,22))),0)))))</f>
        <v>0</v>
      </c>
      <c r="W12" s="27" t="n">
        <f aca="false">IF(COUNT('Arroz irrigado'!$E10:$Z10)=0,0,MAX(0,IF((W$6-$E$3)&lt;1,0,IFERROR(LOOKUP(2,1/('Arroz irrigado'!$E10:INDEX('Arroz irrigado'!$E10:$Z10,MIN(W$6-$E$3,22))&lt;&gt;""),'Arroz irrigado'!$E10:INDEX('Arroz irrigado'!$E10:$Z10,MIN(W$6-$E$3,22))),0))-IF($G$2,0,IF((W$6-$G$3)&lt;1,0,IFERROR(LOOKUP(2,1/('Arroz irrigado'!$E10:INDEX('Arroz irrigado'!$E10:$Z10,MIN(W$6-$G$3,22))&lt;&gt;""),'Arroz irrigado'!$E10:INDEX('Arroz irrigado'!$E10:$Z10,MIN(W$6-$G$3,22))),0)))))</f>
        <v>0</v>
      </c>
      <c r="X12" s="27" t="n">
        <f aca="false">IF(COUNT('Arroz irrigado'!$E10:$Z10)=0,0,MAX(0,IF((X$6-$E$3)&lt;1,0,IFERROR(LOOKUP(2,1/('Arroz irrigado'!$E10:INDEX('Arroz irrigado'!$E10:$Z10,MIN(X$6-$E$3,22))&lt;&gt;""),'Arroz irrigado'!$E10:INDEX('Arroz irrigado'!$E10:$Z10,MIN(X$6-$E$3,22))),0))-IF($G$2,0,IF((X$6-$G$3)&lt;1,0,IFERROR(LOOKUP(2,1/('Arroz irrigado'!$E10:INDEX('Arroz irrigado'!$E10:$Z10,MIN(X$6-$G$3,22))&lt;&gt;""),'Arroz irrigado'!$E10:INDEX('Arroz irrigado'!$E10:$Z10,MIN(X$6-$G$3,22))),0)))))</f>
        <v>0</v>
      </c>
      <c r="Y12" s="27" t="n">
        <f aca="false">IF(COUNT('Arroz irrigado'!$E10:$Z10)=0,0,MAX(0,IF((Y$6-$E$3)&lt;1,0,IFERROR(LOOKUP(2,1/('Arroz irrigado'!$E10:INDEX('Arroz irrigado'!$E10:$Z10,MIN(Y$6-$E$3,22))&lt;&gt;""),'Arroz irrigado'!$E10:INDEX('Arroz irrigado'!$E10:$Z10,MIN(Y$6-$E$3,22))),0))-IF($G$2,0,IF((Y$6-$G$3)&lt;1,0,IFERROR(LOOKUP(2,1/('Arroz irrigado'!$E10:INDEX('Arroz irrigado'!$E10:$Z10,MIN(Y$6-$G$3,22))&lt;&gt;""),'Arroz irrigado'!$E10:INDEX('Arroz irrigado'!$E10:$Z10,MIN(Y$6-$G$3,22))),0)))))</f>
        <v>0</v>
      </c>
      <c r="Z12" s="27" t="n">
        <f aca="false">IF(COUNT('Arroz irrigado'!$E10:$Z10)=0,0,MAX(0,IF((Z$6-$E$3)&lt;1,0,IFERROR(LOOKUP(2,1/('Arroz irrigado'!$E10:INDEX('Arroz irrigado'!$E10:$Z10,MIN(Z$6-$E$3,22))&lt;&gt;""),'Arroz irrigado'!$E10:INDEX('Arroz irrigado'!$E10:$Z10,MIN(Z$6-$E$3,22))),0))-IF($G$2,0,IF((Z$6-$G$3)&lt;1,0,IFERROR(LOOKUP(2,1/('Arroz irrigado'!$E10:INDEX('Arroz irrigado'!$E10:$Z10,MIN(Z$6-$G$3,22))&lt;&gt;""),'Arroz irrigado'!$E10:INDEX('Arroz irrigado'!$E10:$Z10,MIN(Z$6-$G$3,22))),0)))))</f>
        <v>0</v>
      </c>
      <c r="AA12" s="27" t="n">
        <f aca="false">IF(COUNT('Arroz irrigado'!$E10:$Z10)=0,0,MAX(0,IF((AA$6-$E$3)&lt;1,0,IFERROR(LOOKUP(2,1/('Arroz irrigado'!$E10:INDEX('Arroz irrigado'!$E10:$Z10,MIN(AA$6-$E$3,22))&lt;&gt;""),'Arroz irrigado'!$E10:INDEX('Arroz irrigado'!$E10:$Z10,MIN(AA$6-$E$3,22))),0))-IF($G$2,0,IF((AA$6-$G$3)&lt;1,0,IFERROR(LOOKUP(2,1/('Arroz irrigado'!$E10:INDEX('Arroz irrigado'!$E10:$Z10,MIN(AA$6-$G$3,22))&lt;&gt;""),'Arroz irrigado'!$E10:INDEX('Arroz irrigado'!$E10:$Z10,MIN(AA$6-$G$3,22))),0)))))</f>
        <v>0</v>
      </c>
      <c r="AB12" s="27" t="n">
        <f aca="false">IF(COUNT('Arroz irrigado'!$E10:$Z10)=0,0,MAX(0,IF((AB$6-$E$3)&lt;1,0,IFERROR(LOOKUP(2,1/('Arroz irrigado'!$E10:INDEX('Arroz irrigado'!$E10:$Z10,MIN(AB$6-$E$3,22))&lt;&gt;""),'Arroz irrigado'!$E10:INDEX('Arroz irrigado'!$E10:$Z10,MIN(AB$6-$E$3,22))),0))-IF($G$2,0,IF((AB$6-$G$3)&lt;1,0,IFERROR(LOOKUP(2,1/('Arroz irrigado'!$E10:INDEX('Arroz irrigado'!$E10:$Z10,MIN(AB$6-$G$3,22))&lt;&gt;""),'Arroz irrigado'!$E10:INDEX('Arroz irrigado'!$E10:$Z10,MIN(AB$6-$G$3,22))),0)))))</f>
        <v>0</v>
      </c>
      <c r="AC12" s="27" t="n">
        <f aca="false">IF(COUNT('Arroz irrigado'!$E10:$Z10)=0,0,MAX(0,IF((AC$6-$E$3)&lt;1,0,IFERROR(LOOKUP(2,1/('Arroz irrigado'!$E10:INDEX('Arroz irrigado'!$E10:$Z10,MIN(AC$6-$E$3,22))&lt;&gt;""),'Arroz irrigado'!$E10:INDEX('Arroz irrigado'!$E10:$Z10,MIN(AC$6-$E$3,22))),0))-IF($G$2,0,IF((AC$6-$G$3)&lt;1,0,IFERROR(LOOKUP(2,1/('Arroz irrigado'!$E10:INDEX('Arroz irrigado'!$E10:$Z10,MIN(AC$6-$G$3,22))&lt;&gt;""),'Arroz irrigado'!$E10:INDEX('Arroz irrigado'!$E10:$Z10,MIN(AC$6-$G$3,22))),0)))))</f>
        <v>0</v>
      </c>
      <c r="AD12" s="27" t="n">
        <f aca="false">IF(COUNT('Arroz irrigado'!$E10:$Z10)=0,0,MAX(0,IF((AD$6-$E$3)&lt;1,0,IFERROR(LOOKUP(2,1/('Arroz irrigado'!$E10:INDEX('Arroz irrigado'!$E10:$Z10,MIN(AD$6-$E$3,22))&lt;&gt;""),'Arroz irrigado'!$E10:INDEX('Arroz irrigado'!$E10:$Z10,MIN(AD$6-$E$3,22))),0))-IF($G$2,0,IF((AD$6-$G$3)&lt;1,0,IFERROR(LOOKUP(2,1/('Arroz irrigado'!$E10:INDEX('Arroz irrigado'!$E10:$Z10,MIN(AD$6-$G$3,22))&lt;&gt;""),'Arroz irrigado'!$E10:INDEX('Arroz irrigado'!$E10:$Z10,MIN(AD$6-$G$3,22))),0)))))</f>
        <v>0</v>
      </c>
      <c r="AE12" s="27" t="n">
        <f aca="false">IF(COUNT('Arroz irrigado'!$E10:$Z10)=0,0,MAX(0,IF((AE$6-$E$3)&lt;1,0,IFERROR(LOOKUP(2,1/('Arroz irrigado'!$E10:INDEX('Arroz irrigado'!$E10:$Z10,MIN(AE$6-$E$3,22))&lt;&gt;""),'Arroz irrigado'!$E10:INDEX('Arroz irrigado'!$E10:$Z10,MIN(AE$6-$E$3,22))),0))-IF($G$2,0,IF((AE$6-$G$3)&lt;1,0,IFERROR(LOOKUP(2,1/('Arroz irrigado'!$E10:INDEX('Arroz irrigado'!$E10:$Z10,MIN(AE$6-$G$3,22))&lt;&gt;""),'Arroz irrigado'!$E10:INDEX('Arroz irrigado'!$E10:$Z10,MIN(AE$6-$G$3,22))),0)))))</f>
        <v>0</v>
      </c>
      <c r="AF12" s="27" t="n">
        <f aca="false">IF(COUNT('Arroz irrigado'!$E10:$Z10)=0,0,MAX(0,IF((AF$6-$E$3)&lt;1,0,IFERROR(LOOKUP(2,1/('Arroz irrigado'!$E10:INDEX('Arroz irrigado'!$E10:$Z10,MIN(AF$6-$E$3,22))&lt;&gt;""),'Arroz irrigado'!$E10:INDEX('Arroz irrigado'!$E10:$Z10,MIN(AF$6-$E$3,22))),0))-IF($G$2,0,IF((AF$6-$G$3)&lt;1,0,IFERROR(LOOKUP(2,1/('Arroz irrigado'!$E10:INDEX('Arroz irrigado'!$E10:$Z10,MIN(AF$6-$G$3,22))&lt;&gt;""),'Arroz irrigado'!$E10:INDEX('Arroz irrigado'!$E10:$Z10,MIN(AF$6-$G$3,22))),0)))))</f>
        <v>0</v>
      </c>
      <c r="AG12" s="27" t="n">
        <f aca="false">IF(COUNT('Arroz irrigado'!$E10:$Z10)=0,0,MAX(0,IF((AG$6-$E$3)&lt;1,0,IFERROR(LOOKUP(2,1/('Arroz irrigado'!$E10:INDEX('Arroz irrigado'!$E10:$Z10,MIN(AG$6-$E$3,22))&lt;&gt;""),'Arroz irrigado'!$E10:INDEX('Arroz irrigado'!$E10:$Z10,MIN(AG$6-$E$3,22))),0))-IF($G$2,0,IF((AG$6-$G$3)&lt;1,0,IFERROR(LOOKUP(2,1/('Arroz irrigado'!$E10:INDEX('Arroz irrigado'!$E10:$Z10,MIN(AG$6-$G$3,22))&lt;&gt;""),'Arroz irrigado'!$E10:INDEX('Arroz irrigado'!$E10:$Z10,MIN(AG$6-$G$3,22))),0)))))</f>
        <v>0</v>
      </c>
      <c r="AH12" s="27" t="n">
        <f aca="false">IF(COUNT('Arroz irrigado'!$E10:$Z10)=0,0,MAX(0,IF((AH$6-$E$3)&lt;1,0,IFERROR(LOOKUP(2,1/('Arroz irrigado'!$E10:INDEX('Arroz irrigado'!$E10:$Z10,MIN(AH$6-$E$3,22))&lt;&gt;""),'Arroz irrigado'!$E10:INDEX('Arroz irrigado'!$E10:$Z10,MIN(AH$6-$E$3,22))),0))-IF($G$2,0,IF((AH$6-$G$3)&lt;1,0,IFERROR(LOOKUP(2,1/('Arroz irrigado'!$E10:INDEX('Arroz irrigado'!$E10:$Z10,MIN(AH$6-$G$3,22))&lt;&gt;""),'Arroz irrigado'!$E10:INDEX('Arroz irrigado'!$E10:$Z10,MIN(AH$6-$G$3,22))),0)))))</f>
        <v>0</v>
      </c>
      <c r="AI12" s="27" t="n">
        <f aca="false">IF(COUNT('Arroz irrigado'!$E10:$Z10)=0,0,MAX(0,IF((AI$6-$E$3)&lt;1,0,IFERROR(LOOKUP(2,1/('Arroz irrigado'!$E10:INDEX('Arroz irrigado'!$E10:$Z10,MIN(AI$6-$E$3,22))&lt;&gt;""),'Arroz irrigado'!$E10:INDEX('Arroz irrigado'!$E10:$Z10,MIN(AI$6-$E$3,22))),0))-IF($G$2,0,IF((AI$6-$G$3)&lt;1,0,IFERROR(LOOKUP(2,1/('Arroz irrigado'!$E10:INDEX('Arroz irrigado'!$E10:$Z10,MIN(AI$6-$G$3,22))&lt;&gt;""),'Arroz irrigado'!$E10:INDEX('Arroz irrigado'!$E10:$Z10,MIN(AI$6-$G$3,22))),0)))))</f>
        <v>0</v>
      </c>
      <c r="AJ12" s="27" t="n">
        <f aca="false">IF(COUNT('Arroz irrigado'!$E10:$Z10)=0,0,MAX(0,IF((AJ$6-$E$3)&lt;1,0,IFERROR(LOOKUP(2,1/('Arroz irrigado'!$E10:INDEX('Arroz irrigado'!$E10:$Z10,MIN(AJ$6-$E$3,22))&lt;&gt;""),'Arroz irrigado'!$E10:INDEX('Arroz irrigado'!$E10:$Z10,MIN(AJ$6-$E$3,22))),0))-IF($G$2,0,IF((AJ$6-$G$3)&lt;1,0,IFERROR(LOOKUP(2,1/('Arroz irrigado'!$E10:INDEX('Arroz irrigado'!$E10:$Z10,MIN(AJ$6-$G$3,22))&lt;&gt;""),'Arroz irrigado'!$E10:INDEX('Arroz irrigado'!$E10:$Z10,MIN(AJ$6-$G$3,22))),0)))))</f>
        <v>0</v>
      </c>
      <c r="AK12" s="27" t="n">
        <f aca="false">IF(COUNT('Arroz irrigado'!$E10:$Z10)=0,0,MAX(0,IF((AK$6-$E$3)&lt;1,0,IFERROR(LOOKUP(2,1/('Arroz irrigado'!$E10:INDEX('Arroz irrigado'!$E10:$Z10,MIN(AK$6-$E$3,22))&lt;&gt;""),'Arroz irrigado'!$E10:INDEX('Arroz irrigado'!$E10:$Z10,MIN(AK$6-$E$3,22))),0))-IF($G$2,0,IF((AK$6-$G$3)&lt;1,0,IFERROR(LOOKUP(2,1/('Arroz irrigado'!$E10:INDEX('Arroz irrigado'!$E10:$Z10,MIN(AK$6-$G$3,22))&lt;&gt;""),'Arroz irrigado'!$E10:INDEX('Arroz irrigado'!$E10:$Z10,MIN(AK$6-$G$3,22))),0)))))</f>
        <v>0</v>
      </c>
      <c r="AL12" s="27" t="n">
        <f aca="false">IF(COUNT('Arroz irrigado'!$E10:$Z10)=0,0,MAX(0,IF((AL$6-$E$3)&lt;1,0,IFERROR(LOOKUP(2,1/('Arroz irrigado'!$E10:INDEX('Arroz irrigado'!$E10:$Z10,MIN(AL$6-$E$3,22))&lt;&gt;""),'Arroz irrigado'!$E10:INDEX('Arroz irrigado'!$E10:$Z10,MIN(AL$6-$E$3,22))),0))-IF($G$2,0,IF((AL$6-$G$3)&lt;1,0,IFERROR(LOOKUP(2,1/('Arroz irrigado'!$E10:INDEX('Arroz irrigado'!$E10:$Z10,MIN(AL$6-$G$3,22))&lt;&gt;""),'Arroz irrigado'!$E10:INDEX('Arroz irrigado'!$E10:$Z10,MIN(AL$6-$G$3,22))),0)))))</f>
        <v>0</v>
      </c>
      <c r="AM12" s="27" t="n">
        <f aca="false">IF(COUNT('Arroz irrigado'!$E10:$Z10)=0,0,MAX(0,IF((AM$6-$E$3)&lt;1,0,IFERROR(LOOKUP(2,1/('Arroz irrigado'!$E10:INDEX('Arroz irrigado'!$E10:$Z10,MIN(AM$6-$E$3,22))&lt;&gt;""),'Arroz irrigado'!$E10:INDEX('Arroz irrigado'!$E10:$Z10,MIN(AM$6-$E$3,22))),0))-IF($G$2,0,IF((AM$6-$G$3)&lt;1,0,IFERROR(LOOKUP(2,1/('Arroz irrigado'!$E10:INDEX('Arroz irrigado'!$E10:$Z10,MIN(AM$6-$G$3,22))&lt;&gt;""),'Arroz irrigado'!$E10:INDEX('Arroz irrigado'!$E10:$Z10,MIN(AM$6-$G$3,22))),0)))))</f>
        <v>0</v>
      </c>
      <c r="AN12" s="27" t="n">
        <f aca="false">IF(COUNT('Arroz irrigado'!$E10:$Z10)=0,0,MAX(0,IF((AN$6-$E$3)&lt;1,0,IFERROR(LOOKUP(2,1/('Arroz irrigado'!$E10:INDEX('Arroz irrigado'!$E10:$Z10,MIN(AN$6-$E$3,22))&lt;&gt;""),'Arroz irrigado'!$E10:INDEX('Arroz irrigado'!$E10:$Z10,MIN(AN$6-$E$3,22))),0))-IF($G$2,0,IF((AN$6-$G$3)&lt;1,0,IFERROR(LOOKUP(2,1/('Arroz irrigado'!$E10:INDEX('Arroz irrigado'!$E10:$Z10,MIN(AN$6-$G$3,22))&lt;&gt;""),'Arroz irrigado'!$E10:INDEX('Arroz irrigado'!$E10:$Z10,MIN(AN$6-$G$3,22))),0)))))</f>
        <v>0</v>
      </c>
      <c r="AO12" s="27" t="n">
        <f aca="false">IF(COUNT('Arroz irrigado'!$E10:$Z10)=0,0,MAX(0,IF((AO$6-$E$3)&lt;1,0,IFERROR(LOOKUP(2,1/('Arroz irrigado'!$E10:INDEX('Arroz irrigado'!$E10:$Z10,MIN(AO$6-$E$3,22))&lt;&gt;""),'Arroz irrigado'!$E10:INDEX('Arroz irrigado'!$E10:$Z10,MIN(AO$6-$E$3,22))),0))-IF($G$2,0,IF((AO$6-$G$3)&lt;1,0,IFERROR(LOOKUP(2,1/('Arroz irrigado'!$E10:INDEX('Arroz irrigado'!$E10:$Z10,MIN(AO$6-$G$3,22))&lt;&gt;""),'Arroz irrigado'!$E10:INDEX('Arroz irrigado'!$E10:$Z10,MIN(AO$6-$G$3,22))),0)))))</f>
        <v>0</v>
      </c>
      <c r="AP12" s="27" t="n">
        <f aca="false">IF(COUNT('Arroz irrigado'!$E10:$Z10)=0,0,MAX(0,IF((AP$6-$E$3)&lt;1,0,IFERROR(LOOKUP(2,1/('Arroz irrigado'!$E10:INDEX('Arroz irrigado'!$E10:$Z10,MIN(AP$6-$E$3,22))&lt;&gt;""),'Arroz irrigado'!$E10:INDEX('Arroz irrigado'!$E10:$Z10,MIN(AP$6-$E$3,22))),0))-IF($G$2,0,IF((AP$6-$G$3)&lt;1,0,IFERROR(LOOKUP(2,1/('Arroz irrigado'!$E10:INDEX('Arroz irrigado'!$E10:$Z10,MIN(AP$6-$G$3,22))&lt;&gt;""),'Arroz irrigado'!$E10:INDEX('Arroz irrigado'!$E10:$Z10,MIN(AP$6-$G$3,22))),0)))))</f>
        <v>0</v>
      </c>
      <c r="AQ12" s="27" t="n">
        <f aca="false">IF(COUNT('Arroz irrigado'!$E10:$Z10)=0,0,MAX(0,IF((AQ$6-$E$3)&lt;1,0,IFERROR(LOOKUP(2,1/('Arroz irrigado'!$E10:INDEX('Arroz irrigado'!$E10:$Z10,MIN(AQ$6-$E$3,22))&lt;&gt;""),'Arroz irrigado'!$E10:INDEX('Arroz irrigado'!$E10:$Z10,MIN(AQ$6-$E$3,22))),0))-IF($G$2,0,IF((AQ$6-$G$3)&lt;1,0,IFERROR(LOOKUP(2,1/('Arroz irrigado'!$E10:INDEX('Arroz irrigado'!$E10:$Z10,MIN(AQ$6-$G$3,22))&lt;&gt;""),'Arroz irrigado'!$E10:INDEX('Arroz irrigado'!$E10:$Z10,MIN(AQ$6-$G$3,22))),0)))))</f>
        <v>0</v>
      </c>
      <c r="AR12" s="27" t="n">
        <f aca="false">IF(COUNT('Arroz irrigado'!$E10:$Z10)=0,0,MAX(0,IF((AR$6-$E$3)&lt;1,0,IFERROR(LOOKUP(2,1/('Arroz irrigado'!$E10:INDEX('Arroz irrigado'!$E10:$Z10,MIN(AR$6-$E$3,22))&lt;&gt;""),'Arroz irrigado'!$E10:INDEX('Arroz irrigado'!$E10:$Z10,MIN(AR$6-$E$3,22))),0))-IF($G$2,0,IF((AR$6-$G$3)&lt;1,0,IFERROR(LOOKUP(2,1/('Arroz irrigado'!$E10:INDEX('Arroz irrigado'!$E10:$Z10,MIN(AR$6-$G$3,22))&lt;&gt;""),'Arroz irrigado'!$E10:INDEX('Arroz irrigado'!$E10:$Z10,MIN(AR$6-$G$3,22))),0)))))</f>
        <v>0</v>
      </c>
      <c r="AS12" s="27" t="n">
        <f aca="false">IF(COUNT('Arroz irrigado'!$E10:$Z10)=0,0,MAX(0,IF((AS$6-$E$3)&lt;1,0,IFERROR(LOOKUP(2,1/('Arroz irrigado'!$E10:INDEX('Arroz irrigado'!$E10:$Z10,MIN(AS$6-$E$3,22))&lt;&gt;""),'Arroz irrigado'!$E10:INDEX('Arroz irrigado'!$E10:$Z10,MIN(AS$6-$E$3,22))),0))-IF($G$2,0,IF((AS$6-$G$3)&lt;1,0,IFERROR(LOOKUP(2,1/('Arroz irrigado'!$E10:INDEX('Arroz irrigado'!$E10:$Z10,MIN(AS$6-$G$3,22))&lt;&gt;""),'Arroz irrigado'!$E10:INDEX('Arroz irrigado'!$E10:$Z10,MIN(AS$6-$G$3,22))),0)))))</f>
        <v>0</v>
      </c>
      <c r="AT12" s="27" t="n">
        <f aca="false">IF(COUNT('Arroz irrigado'!$E10:$Z10)=0,0,MAX(0,IF((AT$6-$E$3)&lt;1,0,IFERROR(LOOKUP(2,1/('Arroz irrigado'!$E10:INDEX('Arroz irrigado'!$E10:$Z10,MIN(AT$6-$E$3,22))&lt;&gt;""),'Arroz irrigado'!$E10:INDEX('Arroz irrigado'!$E10:$Z10,MIN(AT$6-$E$3,22))),0))-IF($G$2,0,IF((AT$6-$G$3)&lt;1,0,IFERROR(LOOKUP(2,1/('Arroz irrigado'!$E10:INDEX('Arroz irrigado'!$E10:$Z10,MIN(AT$6-$G$3,22))&lt;&gt;""),'Arroz irrigado'!$E10:INDEX('Arroz irrigado'!$E10:$Z10,MIN(AT$6-$G$3,22))),0)))))</f>
        <v>0</v>
      </c>
      <c r="AU12" s="27" t="n">
        <f aca="false">IF(COUNT('Arroz irrigado'!$E10:$Z10)=0,0,MAX(0,IF((AU$6-$E$3)&lt;1,0,IFERROR(LOOKUP(2,1/('Arroz irrigado'!$E10:INDEX('Arroz irrigado'!$E10:$Z10,MIN(AU$6-$E$3,22))&lt;&gt;""),'Arroz irrigado'!$E10:INDEX('Arroz irrigado'!$E10:$Z10,MIN(AU$6-$E$3,22))),0))-IF($G$2,0,IF((AU$6-$G$3)&lt;1,0,IFERROR(LOOKUP(2,1/('Arroz irrigado'!$E10:INDEX('Arroz irrigado'!$E10:$Z10,MIN(AU$6-$G$3,22))&lt;&gt;""),'Arroz irrigado'!$E10:INDEX('Arroz irrigado'!$E10:$Z10,MIN(AU$6-$G$3,22))),0)))))</f>
        <v>0</v>
      </c>
      <c r="AV12" s="27" t="n">
        <f aca="false">IF(COUNT('Arroz irrigado'!$E10:$Z10)=0,0,MAX(0,IF((AV$6-$E$3)&lt;1,0,IFERROR(LOOKUP(2,1/('Arroz irrigado'!$E10:INDEX('Arroz irrigado'!$E10:$Z10,MIN(AV$6-$E$3,22))&lt;&gt;""),'Arroz irrigado'!$E10:INDEX('Arroz irrigado'!$E10:$Z10,MIN(AV$6-$E$3,22))),0))-IF($G$2,0,IF((AV$6-$G$3)&lt;1,0,IFERROR(LOOKUP(2,1/('Arroz irrigado'!$E10:INDEX('Arroz irrigado'!$E10:$Z10,MIN(AV$6-$G$3,22))&lt;&gt;""),'Arroz irrigado'!$E10:INDEX('Arroz irrigado'!$E10:$Z10,MIN(AV$6-$G$3,22))),0)))))</f>
        <v>0</v>
      </c>
      <c r="AW12" s="27" t="n">
        <f aca="false">IF(COUNT('Arroz irrigado'!$E10:$Z10)=0,0,MAX(0,IF((AW$6-$E$3)&lt;1,0,IFERROR(LOOKUP(2,1/('Arroz irrigado'!$E10:INDEX('Arroz irrigado'!$E10:$Z10,MIN(AW$6-$E$3,22))&lt;&gt;""),'Arroz irrigado'!$E10:INDEX('Arroz irrigado'!$E10:$Z10,MIN(AW$6-$E$3,22))),0))-IF($G$2,0,IF((AW$6-$G$3)&lt;1,0,IFERROR(LOOKUP(2,1/('Arroz irrigado'!$E10:INDEX('Arroz irrigado'!$E10:$Z10,MIN(AW$6-$G$3,22))&lt;&gt;""),'Arroz irrigado'!$E10:INDEX('Arroz irrigado'!$E10:$Z10,MIN(AW$6-$G$3,22))),0)))))</f>
        <v>0</v>
      </c>
      <c r="AX12" s="27" t="n">
        <f aca="false">IF(COUNT('Arroz irrigado'!$E10:$Z10)=0,0,MAX(0,IF((AX$6-$E$3)&lt;1,0,IFERROR(LOOKUP(2,1/('Arroz irrigado'!$E10:INDEX('Arroz irrigado'!$E10:$Z10,MIN(AX$6-$E$3,22))&lt;&gt;""),'Arroz irrigado'!$E10:INDEX('Arroz irrigado'!$E10:$Z10,MIN(AX$6-$E$3,22))),0))-IF($G$2,0,IF((AX$6-$G$3)&lt;1,0,IFERROR(LOOKUP(2,1/('Arroz irrigado'!$E10:INDEX('Arroz irrigado'!$E10:$Z10,MIN(AX$6-$G$3,22))&lt;&gt;""),'Arroz irrigado'!$E10:INDEX('Arroz irrigado'!$E10:$Z10,MIN(AX$6-$G$3,22))),0)))))</f>
        <v>0</v>
      </c>
      <c r="AY12" s="27" t="n">
        <f aca="false">IF(COUNT('Arroz irrigado'!$E10:$Z10)=0,0,MAX(0,IF((AY$6-$E$3)&lt;1,0,IFERROR(LOOKUP(2,1/('Arroz irrigado'!$E10:INDEX('Arroz irrigado'!$E10:$Z10,MIN(AY$6-$E$3,22))&lt;&gt;""),'Arroz irrigado'!$E10:INDEX('Arroz irrigado'!$E10:$Z10,MIN(AY$6-$E$3,22))),0))-IF($G$2,0,IF((AY$6-$G$3)&lt;1,0,IFERROR(LOOKUP(2,1/('Arroz irrigado'!$E10:INDEX('Arroz irrigado'!$E10:$Z10,MIN(AY$6-$G$3,22))&lt;&gt;""),'Arroz irrigado'!$E10:INDEX('Arroz irrigado'!$E10:$Z10,MIN(AY$6-$G$3,22))),0)))))</f>
        <v>0</v>
      </c>
      <c r="AZ12" s="27" t="n">
        <f aca="false">IF(COUNT('Arroz irrigado'!$E10:$Z10)=0,0,MAX(0,IF((AZ$6-$E$3)&lt;1,0,IFERROR(LOOKUP(2,1/('Arroz irrigado'!$E10:INDEX('Arroz irrigado'!$E10:$Z10,MIN(AZ$6-$E$3,22))&lt;&gt;""),'Arroz irrigado'!$E10:INDEX('Arroz irrigado'!$E10:$Z10,MIN(AZ$6-$E$3,22))),0))-IF($G$2,0,IF((AZ$6-$G$3)&lt;1,0,IFERROR(LOOKUP(2,1/('Arroz irrigado'!$E10:INDEX('Arroz irrigado'!$E10:$Z10,MIN(AZ$6-$G$3,22))&lt;&gt;""),'Arroz irrigado'!$E10:INDEX('Arroz irrigado'!$E10:$Z10,MIN(AZ$6-$G$3,22))),0)))))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IF(COUNT('Arroz irrigado'!$E11:$Z11)&gt;0,N('Arroz irrigado'!$D11),0)</f>
        <v>0</v>
      </c>
      <c r="E13" s="27" t="n">
        <f aca="false">IF(COUNT('Arroz irrigado'!$E11:$Z11)=0,0,MAX(0,IF((E$6-$E$3)&lt;1,0,IFERROR(LOOKUP(2,1/('Arroz irrigado'!$E11:INDEX('Arroz irrigado'!$E11:$Z11,MIN(E$6-$E$3,22))&lt;&gt;""),'Arroz irrigado'!$E11:INDEX('Arroz irrigado'!$E11:$Z11,MIN(E$6-$E$3,22))),0))-IF($G$2,0,IF((E$6-$G$3)&lt;1,0,IFERROR(LOOKUP(2,1/('Arroz irrigado'!$E11:INDEX('Arroz irrigado'!$E11:$Z11,MIN(E$6-$G$3,22))&lt;&gt;""),'Arroz irrigado'!$E11:INDEX('Arroz irrigado'!$E11:$Z11,MIN(E$6-$G$3,22))),0)))))</f>
        <v>0</v>
      </c>
      <c r="F13" s="27" t="n">
        <f aca="false">IF(COUNT('Arroz irrigado'!$E11:$Z11)=0,0,MAX(0,IF((F$6-$E$3)&lt;1,0,IFERROR(LOOKUP(2,1/('Arroz irrigado'!$E11:INDEX('Arroz irrigado'!$E11:$Z11,MIN(F$6-$E$3,22))&lt;&gt;""),'Arroz irrigado'!$E11:INDEX('Arroz irrigado'!$E11:$Z11,MIN(F$6-$E$3,22))),0))-IF($G$2,0,IF((F$6-$G$3)&lt;1,0,IFERROR(LOOKUP(2,1/('Arroz irrigado'!$E11:INDEX('Arroz irrigado'!$E11:$Z11,MIN(F$6-$G$3,22))&lt;&gt;""),'Arroz irrigado'!$E11:INDEX('Arroz irrigado'!$E11:$Z11,MIN(F$6-$G$3,22))),0)))))</f>
        <v>0</v>
      </c>
      <c r="G13" s="27" t="n">
        <f aca="false">IF(COUNT('Arroz irrigado'!$E11:$Z11)=0,0,MAX(0,IF((G$6-$E$3)&lt;1,0,IFERROR(LOOKUP(2,1/('Arroz irrigado'!$E11:INDEX('Arroz irrigado'!$E11:$Z11,MIN(G$6-$E$3,22))&lt;&gt;""),'Arroz irrigado'!$E11:INDEX('Arroz irrigado'!$E11:$Z11,MIN(G$6-$E$3,22))),0))-IF($G$2,0,IF((G$6-$G$3)&lt;1,0,IFERROR(LOOKUP(2,1/('Arroz irrigado'!$E11:INDEX('Arroz irrigado'!$E11:$Z11,MIN(G$6-$G$3,22))&lt;&gt;""),'Arroz irrigado'!$E11:INDEX('Arroz irrigado'!$E11:$Z11,MIN(G$6-$G$3,22))),0)))))</f>
        <v>0</v>
      </c>
      <c r="H13" s="27" t="n">
        <f aca="false">IF(COUNT('Arroz irrigado'!$E11:$Z11)=0,0,MAX(0,IF((H$6-$E$3)&lt;1,0,IFERROR(LOOKUP(2,1/('Arroz irrigado'!$E11:INDEX('Arroz irrigado'!$E11:$Z11,MIN(H$6-$E$3,22))&lt;&gt;""),'Arroz irrigado'!$E11:INDEX('Arroz irrigado'!$E11:$Z11,MIN(H$6-$E$3,22))),0))-IF($G$2,0,IF((H$6-$G$3)&lt;1,0,IFERROR(LOOKUP(2,1/('Arroz irrigado'!$E11:INDEX('Arroz irrigado'!$E11:$Z11,MIN(H$6-$G$3,22))&lt;&gt;""),'Arroz irrigado'!$E11:INDEX('Arroz irrigado'!$E11:$Z11,MIN(H$6-$G$3,22))),0)))))</f>
        <v>0</v>
      </c>
      <c r="I13" s="27" t="n">
        <f aca="false">IF(COUNT('Arroz irrigado'!$E11:$Z11)=0,0,MAX(0,IF((I$6-$E$3)&lt;1,0,IFERROR(LOOKUP(2,1/('Arroz irrigado'!$E11:INDEX('Arroz irrigado'!$E11:$Z11,MIN(I$6-$E$3,22))&lt;&gt;""),'Arroz irrigado'!$E11:INDEX('Arroz irrigado'!$E11:$Z11,MIN(I$6-$E$3,22))),0))-IF($G$2,0,IF((I$6-$G$3)&lt;1,0,IFERROR(LOOKUP(2,1/('Arroz irrigado'!$E11:INDEX('Arroz irrigado'!$E11:$Z11,MIN(I$6-$G$3,22))&lt;&gt;""),'Arroz irrigado'!$E11:INDEX('Arroz irrigado'!$E11:$Z11,MIN(I$6-$G$3,22))),0)))))</f>
        <v>0</v>
      </c>
      <c r="J13" s="27" t="n">
        <f aca="false">IF(COUNT('Arroz irrigado'!$E11:$Z11)=0,0,MAX(0,IF((J$6-$E$3)&lt;1,0,IFERROR(LOOKUP(2,1/('Arroz irrigado'!$E11:INDEX('Arroz irrigado'!$E11:$Z11,MIN(J$6-$E$3,22))&lt;&gt;""),'Arroz irrigado'!$E11:INDEX('Arroz irrigado'!$E11:$Z11,MIN(J$6-$E$3,22))),0))-IF($G$2,0,IF((J$6-$G$3)&lt;1,0,IFERROR(LOOKUP(2,1/('Arroz irrigado'!$E11:INDEX('Arroz irrigado'!$E11:$Z11,MIN(J$6-$G$3,22))&lt;&gt;""),'Arroz irrigado'!$E11:INDEX('Arroz irrigado'!$E11:$Z11,MIN(J$6-$G$3,22))),0)))))</f>
        <v>0</v>
      </c>
      <c r="K13" s="27" t="n">
        <f aca="false">IF(COUNT('Arroz irrigado'!$E11:$Z11)=0,0,MAX(0,IF((K$6-$E$3)&lt;1,0,IFERROR(LOOKUP(2,1/('Arroz irrigado'!$E11:INDEX('Arroz irrigado'!$E11:$Z11,MIN(K$6-$E$3,22))&lt;&gt;""),'Arroz irrigado'!$E11:INDEX('Arroz irrigado'!$E11:$Z11,MIN(K$6-$E$3,22))),0))-IF($G$2,0,IF((K$6-$G$3)&lt;1,0,IFERROR(LOOKUP(2,1/('Arroz irrigado'!$E11:INDEX('Arroz irrigado'!$E11:$Z11,MIN(K$6-$G$3,22))&lt;&gt;""),'Arroz irrigado'!$E11:INDEX('Arroz irrigado'!$E11:$Z11,MIN(K$6-$G$3,22))),0)))))</f>
        <v>0</v>
      </c>
      <c r="L13" s="27" t="n">
        <f aca="false">IF(COUNT('Arroz irrigado'!$E11:$Z11)=0,0,MAX(0,IF((L$6-$E$3)&lt;1,0,IFERROR(LOOKUP(2,1/('Arroz irrigado'!$E11:INDEX('Arroz irrigado'!$E11:$Z11,MIN(L$6-$E$3,22))&lt;&gt;""),'Arroz irrigado'!$E11:INDEX('Arroz irrigado'!$E11:$Z11,MIN(L$6-$E$3,22))),0))-IF($G$2,0,IF((L$6-$G$3)&lt;1,0,IFERROR(LOOKUP(2,1/('Arroz irrigado'!$E11:INDEX('Arroz irrigado'!$E11:$Z11,MIN(L$6-$G$3,22))&lt;&gt;""),'Arroz irrigado'!$E11:INDEX('Arroz irrigado'!$E11:$Z11,MIN(L$6-$G$3,22))),0)))))</f>
        <v>0</v>
      </c>
      <c r="M13" s="27" t="n">
        <f aca="false">IF(COUNT('Arroz irrigado'!$E11:$Z11)=0,0,MAX(0,IF((M$6-$E$3)&lt;1,0,IFERROR(LOOKUP(2,1/('Arroz irrigado'!$E11:INDEX('Arroz irrigado'!$E11:$Z11,MIN(M$6-$E$3,22))&lt;&gt;""),'Arroz irrigado'!$E11:INDEX('Arroz irrigado'!$E11:$Z11,MIN(M$6-$E$3,22))),0))-IF($G$2,0,IF((M$6-$G$3)&lt;1,0,IFERROR(LOOKUP(2,1/('Arroz irrigado'!$E11:INDEX('Arroz irrigado'!$E11:$Z11,MIN(M$6-$G$3,22))&lt;&gt;""),'Arroz irrigado'!$E11:INDEX('Arroz irrigado'!$E11:$Z11,MIN(M$6-$G$3,22))),0)))))</f>
        <v>0</v>
      </c>
      <c r="N13" s="27" t="n">
        <f aca="false">IF(COUNT('Arroz irrigado'!$E11:$Z11)=0,0,MAX(0,IF((N$6-$E$3)&lt;1,0,IFERROR(LOOKUP(2,1/('Arroz irrigado'!$E11:INDEX('Arroz irrigado'!$E11:$Z11,MIN(N$6-$E$3,22))&lt;&gt;""),'Arroz irrigado'!$E11:INDEX('Arroz irrigado'!$E11:$Z11,MIN(N$6-$E$3,22))),0))-IF($G$2,0,IF((N$6-$G$3)&lt;1,0,IFERROR(LOOKUP(2,1/('Arroz irrigado'!$E11:INDEX('Arroz irrigado'!$E11:$Z11,MIN(N$6-$G$3,22))&lt;&gt;""),'Arroz irrigado'!$E11:INDEX('Arroz irrigado'!$E11:$Z11,MIN(N$6-$G$3,22))),0)))))</f>
        <v>0</v>
      </c>
      <c r="O13" s="27" t="n">
        <f aca="false">IF(COUNT('Arroz irrigado'!$E11:$Z11)=0,0,MAX(0,IF((O$6-$E$3)&lt;1,0,IFERROR(LOOKUP(2,1/('Arroz irrigado'!$E11:INDEX('Arroz irrigado'!$E11:$Z11,MIN(O$6-$E$3,22))&lt;&gt;""),'Arroz irrigado'!$E11:INDEX('Arroz irrigado'!$E11:$Z11,MIN(O$6-$E$3,22))),0))-IF($G$2,0,IF((O$6-$G$3)&lt;1,0,IFERROR(LOOKUP(2,1/('Arroz irrigado'!$E11:INDEX('Arroz irrigado'!$E11:$Z11,MIN(O$6-$G$3,22))&lt;&gt;""),'Arroz irrigado'!$E11:INDEX('Arroz irrigado'!$E11:$Z11,MIN(O$6-$G$3,22))),0)))))</f>
        <v>0</v>
      </c>
      <c r="P13" s="27" t="n">
        <f aca="false">IF(COUNT('Arroz irrigado'!$E11:$Z11)=0,0,MAX(0,IF((P$6-$E$3)&lt;1,0,IFERROR(LOOKUP(2,1/('Arroz irrigado'!$E11:INDEX('Arroz irrigado'!$E11:$Z11,MIN(P$6-$E$3,22))&lt;&gt;""),'Arroz irrigado'!$E11:INDEX('Arroz irrigado'!$E11:$Z11,MIN(P$6-$E$3,22))),0))-IF($G$2,0,IF((P$6-$G$3)&lt;1,0,IFERROR(LOOKUP(2,1/('Arroz irrigado'!$E11:INDEX('Arroz irrigado'!$E11:$Z11,MIN(P$6-$G$3,22))&lt;&gt;""),'Arroz irrigado'!$E11:INDEX('Arroz irrigado'!$E11:$Z11,MIN(P$6-$G$3,22))),0)))))</f>
        <v>0</v>
      </c>
      <c r="Q13" s="27" t="n">
        <f aca="false">IF(COUNT('Arroz irrigado'!$E11:$Z11)=0,0,MAX(0,IF((Q$6-$E$3)&lt;1,0,IFERROR(LOOKUP(2,1/('Arroz irrigado'!$E11:INDEX('Arroz irrigado'!$E11:$Z11,MIN(Q$6-$E$3,22))&lt;&gt;""),'Arroz irrigado'!$E11:INDEX('Arroz irrigado'!$E11:$Z11,MIN(Q$6-$E$3,22))),0))-IF($G$2,0,IF((Q$6-$G$3)&lt;1,0,IFERROR(LOOKUP(2,1/('Arroz irrigado'!$E11:INDEX('Arroz irrigado'!$E11:$Z11,MIN(Q$6-$G$3,22))&lt;&gt;""),'Arroz irrigado'!$E11:INDEX('Arroz irrigado'!$E11:$Z11,MIN(Q$6-$G$3,22))),0)))))</f>
        <v>0</v>
      </c>
      <c r="R13" s="27" t="n">
        <f aca="false">IF(COUNT('Arroz irrigado'!$E11:$Z11)=0,0,MAX(0,IF((R$6-$E$3)&lt;1,0,IFERROR(LOOKUP(2,1/('Arroz irrigado'!$E11:INDEX('Arroz irrigado'!$E11:$Z11,MIN(R$6-$E$3,22))&lt;&gt;""),'Arroz irrigado'!$E11:INDEX('Arroz irrigado'!$E11:$Z11,MIN(R$6-$E$3,22))),0))-IF($G$2,0,IF((R$6-$G$3)&lt;1,0,IFERROR(LOOKUP(2,1/('Arroz irrigado'!$E11:INDEX('Arroz irrigado'!$E11:$Z11,MIN(R$6-$G$3,22))&lt;&gt;""),'Arroz irrigado'!$E11:INDEX('Arroz irrigado'!$E11:$Z11,MIN(R$6-$G$3,22))),0)))))</f>
        <v>0</v>
      </c>
      <c r="S13" s="27" t="n">
        <f aca="false">IF(COUNT('Arroz irrigado'!$E11:$Z11)=0,0,MAX(0,IF((S$6-$E$3)&lt;1,0,IFERROR(LOOKUP(2,1/('Arroz irrigado'!$E11:INDEX('Arroz irrigado'!$E11:$Z11,MIN(S$6-$E$3,22))&lt;&gt;""),'Arroz irrigado'!$E11:INDEX('Arroz irrigado'!$E11:$Z11,MIN(S$6-$E$3,22))),0))-IF($G$2,0,IF((S$6-$G$3)&lt;1,0,IFERROR(LOOKUP(2,1/('Arroz irrigado'!$E11:INDEX('Arroz irrigado'!$E11:$Z11,MIN(S$6-$G$3,22))&lt;&gt;""),'Arroz irrigado'!$E11:INDEX('Arroz irrigado'!$E11:$Z11,MIN(S$6-$G$3,22))),0)))))</f>
        <v>0</v>
      </c>
      <c r="T13" s="27" t="n">
        <f aca="false">IF(COUNT('Arroz irrigado'!$E11:$Z11)=0,0,MAX(0,IF((T$6-$E$3)&lt;1,0,IFERROR(LOOKUP(2,1/('Arroz irrigado'!$E11:INDEX('Arroz irrigado'!$E11:$Z11,MIN(T$6-$E$3,22))&lt;&gt;""),'Arroz irrigado'!$E11:INDEX('Arroz irrigado'!$E11:$Z11,MIN(T$6-$E$3,22))),0))-IF($G$2,0,IF((T$6-$G$3)&lt;1,0,IFERROR(LOOKUP(2,1/('Arroz irrigado'!$E11:INDEX('Arroz irrigado'!$E11:$Z11,MIN(T$6-$G$3,22))&lt;&gt;""),'Arroz irrigado'!$E11:INDEX('Arroz irrigado'!$E11:$Z11,MIN(T$6-$G$3,22))),0)))))</f>
        <v>0</v>
      </c>
      <c r="U13" s="27" t="n">
        <f aca="false">IF(COUNT('Arroz irrigado'!$E11:$Z11)=0,0,MAX(0,IF((U$6-$E$3)&lt;1,0,IFERROR(LOOKUP(2,1/('Arroz irrigado'!$E11:INDEX('Arroz irrigado'!$E11:$Z11,MIN(U$6-$E$3,22))&lt;&gt;""),'Arroz irrigado'!$E11:INDEX('Arroz irrigado'!$E11:$Z11,MIN(U$6-$E$3,22))),0))-IF($G$2,0,IF((U$6-$G$3)&lt;1,0,IFERROR(LOOKUP(2,1/('Arroz irrigado'!$E11:INDEX('Arroz irrigado'!$E11:$Z11,MIN(U$6-$G$3,22))&lt;&gt;""),'Arroz irrigado'!$E11:INDEX('Arroz irrigado'!$E11:$Z11,MIN(U$6-$G$3,22))),0)))))</f>
        <v>0</v>
      </c>
      <c r="V13" s="27" t="n">
        <f aca="false">IF(COUNT('Arroz irrigado'!$E11:$Z11)=0,0,MAX(0,IF((V$6-$E$3)&lt;1,0,IFERROR(LOOKUP(2,1/('Arroz irrigado'!$E11:INDEX('Arroz irrigado'!$E11:$Z11,MIN(V$6-$E$3,22))&lt;&gt;""),'Arroz irrigado'!$E11:INDEX('Arroz irrigado'!$E11:$Z11,MIN(V$6-$E$3,22))),0))-IF($G$2,0,IF((V$6-$G$3)&lt;1,0,IFERROR(LOOKUP(2,1/('Arroz irrigado'!$E11:INDEX('Arroz irrigado'!$E11:$Z11,MIN(V$6-$G$3,22))&lt;&gt;""),'Arroz irrigado'!$E11:INDEX('Arroz irrigado'!$E11:$Z11,MIN(V$6-$G$3,22))),0)))))</f>
        <v>0</v>
      </c>
      <c r="W13" s="27" t="n">
        <f aca="false">IF(COUNT('Arroz irrigado'!$E11:$Z11)=0,0,MAX(0,IF((W$6-$E$3)&lt;1,0,IFERROR(LOOKUP(2,1/('Arroz irrigado'!$E11:INDEX('Arroz irrigado'!$E11:$Z11,MIN(W$6-$E$3,22))&lt;&gt;""),'Arroz irrigado'!$E11:INDEX('Arroz irrigado'!$E11:$Z11,MIN(W$6-$E$3,22))),0))-IF($G$2,0,IF((W$6-$G$3)&lt;1,0,IFERROR(LOOKUP(2,1/('Arroz irrigado'!$E11:INDEX('Arroz irrigado'!$E11:$Z11,MIN(W$6-$G$3,22))&lt;&gt;""),'Arroz irrigado'!$E11:INDEX('Arroz irrigado'!$E11:$Z11,MIN(W$6-$G$3,22))),0)))))</f>
        <v>0</v>
      </c>
      <c r="X13" s="27" t="n">
        <f aca="false">IF(COUNT('Arroz irrigado'!$E11:$Z11)=0,0,MAX(0,IF((X$6-$E$3)&lt;1,0,IFERROR(LOOKUP(2,1/('Arroz irrigado'!$E11:INDEX('Arroz irrigado'!$E11:$Z11,MIN(X$6-$E$3,22))&lt;&gt;""),'Arroz irrigado'!$E11:INDEX('Arroz irrigado'!$E11:$Z11,MIN(X$6-$E$3,22))),0))-IF($G$2,0,IF((X$6-$G$3)&lt;1,0,IFERROR(LOOKUP(2,1/('Arroz irrigado'!$E11:INDEX('Arroz irrigado'!$E11:$Z11,MIN(X$6-$G$3,22))&lt;&gt;""),'Arroz irrigado'!$E11:INDEX('Arroz irrigado'!$E11:$Z11,MIN(X$6-$G$3,22))),0)))))</f>
        <v>0</v>
      </c>
      <c r="Y13" s="27" t="n">
        <f aca="false">IF(COUNT('Arroz irrigado'!$E11:$Z11)=0,0,MAX(0,IF((Y$6-$E$3)&lt;1,0,IFERROR(LOOKUP(2,1/('Arroz irrigado'!$E11:INDEX('Arroz irrigado'!$E11:$Z11,MIN(Y$6-$E$3,22))&lt;&gt;""),'Arroz irrigado'!$E11:INDEX('Arroz irrigado'!$E11:$Z11,MIN(Y$6-$E$3,22))),0))-IF($G$2,0,IF((Y$6-$G$3)&lt;1,0,IFERROR(LOOKUP(2,1/('Arroz irrigado'!$E11:INDEX('Arroz irrigado'!$E11:$Z11,MIN(Y$6-$G$3,22))&lt;&gt;""),'Arroz irrigado'!$E11:INDEX('Arroz irrigado'!$E11:$Z11,MIN(Y$6-$G$3,22))),0)))))</f>
        <v>0</v>
      </c>
      <c r="Z13" s="27" t="n">
        <f aca="false">IF(COUNT('Arroz irrigado'!$E11:$Z11)=0,0,MAX(0,IF((Z$6-$E$3)&lt;1,0,IFERROR(LOOKUP(2,1/('Arroz irrigado'!$E11:INDEX('Arroz irrigado'!$E11:$Z11,MIN(Z$6-$E$3,22))&lt;&gt;""),'Arroz irrigado'!$E11:INDEX('Arroz irrigado'!$E11:$Z11,MIN(Z$6-$E$3,22))),0))-IF($G$2,0,IF((Z$6-$G$3)&lt;1,0,IFERROR(LOOKUP(2,1/('Arroz irrigado'!$E11:INDEX('Arroz irrigado'!$E11:$Z11,MIN(Z$6-$G$3,22))&lt;&gt;""),'Arroz irrigado'!$E11:INDEX('Arroz irrigado'!$E11:$Z11,MIN(Z$6-$G$3,22))),0)))))</f>
        <v>0</v>
      </c>
      <c r="AA13" s="27" t="n">
        <f aca="false">IF(COUNT('Arroz irrigado'!$E11:$Z11)=0,0,MAX(0,IF((AA$6-$E$3)&lt;1,0,IFERROR(LOOKUP(2,1/('Arroz irrigado'!$E11:INDEX('Arroz irrigado'!$E11:$Z11,MIN(AA$6-$E$3,22))&lt;&gt;""),'Arroz irrigado'!$E11:INDEX('Arroz irrigado'!$E11:$Z11,MIN(AA$6-$E$3,22))),0))-IF($G$2,0,IF((AA$6-$G$3)&lt;1,0,IFERROR(LOOKUP(2,1/('Arroz irrigado'!$E11:INDEX('Arroz irrigado'!$E11:$Z11,MIN(AA$6-$G$3,22))&lt;&gt;""),'Arroz irrigado'!$E11:INDEX('Arroz irrigado'!$E11:$Z11,MIN(AA$6-$G$3,22))),0)))))</f>
        <v>0</v>
      </c>
      <c r="AB13" s="27" t="n">
        <f aca="false">IF(COUNT('Arroz irrigado'!$E11:$Z11)=0,0,MAX(0,IF((AB$6-$E$3)&lt;1,0,IFERROR(LOOKUP(2,1/('Arroz irrigado'!$E11:INDEX('Arroz irrigado'!$E11:$Z11,MIN(AB$6-$E$3,22))&lt;&gt;""),'Arroz irrigado'!$E11:INDEX('Arroz irrigado'!$E11:$Z11,MIN(AB$6-$E$3,22))),0))-IF($G$2,0,IF((AB$6-$G$3)&lt;1,0,IFERROR(LOOKUP(2,1/('Arroz irrigado'!$E11:INDEX('Arroz irrigado'!$E11:$Z11,MIN(AB$6-$G$3,22))&lt;&gt;""),'Arroz irrigado'!$E11:INDEX('Arroz irrigado'!$E11:$Z11,MIN(AB$6-$G$3,22))),0)))))</f>
        <v>0</v>
      </c>
      <c r="AC13" s="27" t="n">
        <f aca="false">IF(COUNT('Arroz irrigado'!$E11:$Z11)=0,0,MAX(0,IF((AC$6-$E$3)&lt;1,0,IFERROR(LOOKUP(2,1/('Arroz irrigado'!$E11:INDEX('Arroz irrigado'!$E11:$Z11,MIN(AC$6-$E$3,22))&lt;&gt;""),'Arroz irrigado'!$E11:INDEX('Arroz irrigado'!$E11:$Z11,MIN(AC$6-$E$3,22))),0))-IF($G$2,0,IF((AC$6-$G$3)&lt;1,0,IFERROR(LOOKUP(2,1/('Arroz irrigado'!$E11:INDEX('Arroz irrigado'!$E11:$Z11,MIN(AC$6-$G$3,22))&lt;&gt;""),'Arroz irrigado'!$E11:INDEX('Arroz irrigado'!$E11:$Z11,MIN(AC$6-$G$3,22))),0)))))</f>
        <v>0</v>
      </c>
      <c r="AD13" s="27" t="n">
        <f aca="false">IF(COUNT('Arroz irrigado'!$E11:$Z11)=0,0,MAX(0,IF((AD$6-$E$3)&lt;1,0,IFERROR(LOOKUP(2,1/('Arroz irrigado'!$E11:INDEX('Arroz irrigado'!$E11:$Z11,MIN(AD$6-$E$3,22))&lt;&gt;""),'Arroz irrigado'!$E11:INDEX('Arroz irrigado'!$E11:$Z11,MIN(AD$6-$E$3,22))),0))-IF($G$2,0,IF((AD$6-$G$3)&lt;1,0,IFERROR(LOOKUP(2,1/('Arroz irrigado'!$E11:INDEX('Arroz irrigado'!$E11:$Z11,MIN(AD$6-$G$3,22))&lt;&gt;""),'Arroz irrigado'!$E11:INDEX('Arroz irrigado'!$E11:$Z11,MIN(AD$6-$G$3,22))),0)))))</f>
        <v>0</v>
      </c>
      <c r="AE13" s="27" t="n">
        <f aca="false">IF(COUNT('Arroz irrigado'!$E11:$Z11)=0,0,MAX(0,IF((AE$6-$E$3)&lt;1,0,IFERROR(LOOKUP(2,1/('Arroz irrigado'!$E11:INDEX('Arroz irrigado'!$E11:$Z11,MIN(AE$6-$E$3,22))&lt;&gt;""),'Arroz irrigado'!$E11:INDEX('Arroz irrigado'!$E11:$Z11,MIN(AE$6-$E$3,22))),0))-IF($G$2,0,IF((AE$6-$G$3)&lt;1,0,IFERROR(LOOKUP(2,1/('Arroz irrigado'!$E11:INDEX('Arroz irrigado'!$E11:$Z11,MIN(AE$6-$G$3,22))&lt;&gt;""),'Arroz irrigado'!$E11:INDEX('Arroz irrigado'!$E11:$Z11,MIN(AE$6-$G$3,22))),0)))))</f>
        <v>0</v>
      </c>
      <c r="AF13" s="27" t="n">
        <f aca="false">IF(COUNT('Arroz irrigado'!$E11:$Z11)=0,0,MAX(0,IF((AF$6-$E$3)&lt;1,0,IFERROR(LOOKUP(2,1/('Arroz irrigado'!$E11:INDEX('Arroz irrigado'!$E11:$Z11,MIN(AF$6-$E$3,22))&lt;&gt;""),'Arroz irrigado'!$E11:INDEX('Arroz irrigado'!$E11:$Z11,MIN(AF$6-$E$3,22))),0))-IF($G$2,0,IF((AF$6-$G$3)&lt;1,0,IFERROR(LOOKUP(2,1/('Arroz irrigado'!$E11:INDEX('Arroz irrigado'!$E11:$Z11,MIN(AF$6-$G$3,22))&lt;&gt;""),'Arroz irrigado'!$E11:INDEX('Arroz irrigado'!$E11:$Z11,MIN(AF$6-$G$3,22))),0)))))</f>
        <v>0</v>
      </c>
      <c r="AG13" s="27" t="n">
        <f aca="false">IF(COUNT('Arroz irrigado'!$E11:$Z11)=0,0,MAX(0,IF((AG$6-$E$3)&lt;1,0,IFERROR(LOOKUP(2,1/('Arroz irrigado'!$E11:INDEX('Arroz irrigado'!$E11:$Z11,MIN(AG$6-$E$3,22))&lt;&gt;""),'Arroz irrigado'!$E11:INDEX('Arroz irrigado'!$E11:$Z11,MIN(AG$6-$E$3,22))),0))-IF($G$2,0,IF((AG$6-$G$3)&lt;1,0,IFERROR(LOOKUP(2,1/('Arroz irrigado'!$E11:INDEX('Arroz irrigado'!$E11:$Z11,MIN(AG$6-$G$3,22))&lt;&gt;""),'Arroz irrigado'!$E11:INDEX('Arroz irrigado'!$E11:$Z11,MIN(AG$6-$G$3,22))),0)))))</f>
        <v>0</v>
      </c>
      <c r="AH13" s="27" t="n">
        <f aca="false">IF(COUNT('Arroz irrigado'!$E11:$Z11)=0,0,MAX(0,IF((AH$6-$E$3)&lt;1,0,IFERROR(LOOKUP(2,1/('Arroz irrigado'!$E11:INDEX('Arroz irrigado'!$E11:$Z11,MIN(AH$6-$E$3,22))&lt;&gt;""),'Arroz irrigado'!$E11:INDEX('Arroz irrigado'!$E11:$Z11,MIN(AH$6-$E$3,22))),0))-IF($G$2,0,IF((AH$6-$G$3)&lt;1,0,IFERROR(LOOKUP(2,1/('Arroz irrigado'!$E11:INDEX('Arroz irrigado'!$E11:$Z11,MIN(AH$6-$G$3,22))&lt;&gt;""),'Arroz irrigado'!$E11:INDEX('Arroz irrigado'!$E11:$Z11,MIN(AH$6-$G$3,22))),0)))))</f>
        <v>0</v>
      </c>
      <c r="AI13" s="27" t="n">
        <f aca="false">IF(COUNT('Arroz irrigado'!$E11:$Z11)=0,0,MAX(0,IF((AI$6-$E$3)&lt;1,0,IFERROR(LOOKUP(2,1/('Arroz irrigado'!$E11:INDEX('Arroz irrigado'!$E11:$Z11,MIN(AI$6-$E$3,22))&lt;&gt;""),'Arroz irrigado'!$E11:INDEX('Arroz irrigado'!$E11:$Z11,MIN(AI$6-$E$3,22))),0))-IF($G$2,0,IF((AI$6-$G$3)&lt;1,0,IFERROR(LOOKUP(2,1/('Arroz irrigado'!$E11:INDEX('Arroz irrigado'!$E11:$Z11,MIN(AI$6-$G$3,22))&lt;&gt;""),'Arroz irrigado'!$E11:INDEX('Arroz irrigado'!$E11:$Z11,MIN(AI$6-$G$3,22))),0)))))</f>
        <v>0</v>
      </c>
      <c r="AJ13" s="27" t="n">
        <f aca="false">IF(COUNT('Arroz irrigado'!$E11:$Z11)=0,0,MAX(0,IF((AJ$6-$E$3)&lt;1,0,IFERROR(LOOKUP(2,1/('Arroz irrigado'!$E11:INDEX('Arroz irrigado'!$E11:$Z11,MIN(AJ$6-$E$3,22))&lt;&gt;""),'Arroz irrigado'!$E11:INDEX('Arroz irrigado'!$E11:$Z11,MIN(AJ$6-$E$3,22))),0))-IF($G$2,0,IF((AJ$6-$G$3)&lt;1,0,IFERROR(LOOKUP(2,1/('Arroz irrigado'!$E11:INDEX('Arroz irrigado'!$E11:$Z11,MIN(AJ$6-$G$3,22))&lt;&gt;""),'Arroz irrigado'!$E11:INDEX('Arroz irrigado'!$E11:$Z11,MIN(AJ$6-$G$3,22))),0)))))</f>
        <v>0</v>
      </c>
      <c r="AK13" s="27" t="n">
        <f aca="false">IF(COUNT('Arroz irrigado'!$E11:$Z11)=0,0,MAX(0,IF((AK$6-$E$3)&lt;1,0,IFERROR(LOOKUP(2,1/('Arroz irrigado'!$E11:INDEX('Arroz irrigado'!$E11:$Z11,MIN(AK$6-$E$3,22))&lt;&gt;""),'Arroz irrigado'!$E11:INDEX('Arroz irrigado'!$E11:$Z11,MIN(AK$6-$E$3,22))),0))-IF($G$2,0,IF((AK$6-$G$3)&lt;1,0,IFERROR(LOOKUP(2,1/('Arroz irrigado'!$E11:INDEX('Arroz irrigado'!$E11:$Z11,MIN(AK$6-$G$3,22))&lt;&gt;""),'Arroz irrigado'!$E11:INDEX('Arroz irrigado'!$E11:$Z11,MIN(AK$6-$G$3,22))),0)))))</f>
        <v>0</v>
      </c>
      <c r="AL13" s="27" t="n">
        <f aca="false">IF(COUNT('Arroz irrigado'!$E11:$Z11)=0,0,MAX(0,IF((AL$6-$E$3)&lt;1,0,IFERROR(LOOKUP(2,1/('Arroz irrigado'!$E11:INDEX('Arroz irrigado'!$E11:$Z11,MIN(AL$6-$E$3,22))&lt;&gt;""),'Arroz irrigado'!$E11:INDEX('Arroz irrigado'!$E11:$Z11,MIN(AL$6-$E$3,22))),0))-IF($G$2,0,IF((AL$6-$G$3)&lt;1,0,IFERROR(LOOKUP(2,1/('Arroz irrigado'!$E11:INDEX('Arroz irrigado'!$E11:$Z11,MIN(AL$6-$G$3,22))&lt;&gt;""),'Arroz irrigado'!$E11:INDEX('Arroz irrigado'!$E11:$Z11,MIN(AL$6-$G$3,22))),0)))))</f>
        <v>0</v>
      </c>
      <c r="AM13" s="27" t="n">
        <f aca="false">IF(COUNT('Arroz irrigado'!$E11:$Z11)=0,0,MAX(0,IF((AM$6-$E$3)&lt;1,0,IFERROR(LOOKUP(2,1/('Arroz irrigado'!$E11:INDEX('Arroz irrigado'!$E11:$Z11,MIN(AM$6-$E$3,22))&lt;&gt;""),'Arroz irrigado'!$E11:INDEX('Arroz irrigado'!$E11:$Z11,MIN(AM$6-$E$3,22))),0))-IF($G$2,0,IF((AM$6-$G$3)&lt;1,0,IFERROR(LOOKUP(2,1/('Arroz irrigado'!$E11:INDEX('Arroz irrigado'!$E11:$Z11,MIN(AM$6-$G$3,22))&lt;&gt;""),'Arroz irrigado'!$E11:INDEX('Arroz irrigado'!$E11:$Z11,MIN(AM$6-$G$3,22))),0)))))</f>
        <v>0</v>
      </c>
      <c r="AN13" s="27" t="n">
        <f aca="false">IF(COUNT('Arroz irrigado'!$E11:$Z11)=0,0,MAX(0,IF((AN$6-$E$3)&lt;1,0,IFERROR(LOOKUP(2,1/('Arroz irrigado'!$E11:INDEX('Arroz irrigado'!$E11:$Z11,MIN(AN$6-$E$3,22))&lt;&gt;""),'Arroz irrigado'!$E11:INDEX('Arroz irrigado'!$E11:$Z11,MIN(AN$6-$E$3,22))),0))-IF($G$2,0,IF((AN$6-$G$3)&lt;1,0,IFERROR(LOOKUP(2,1/('Arroz irrigado'!$E11:INDEX('Arroz irrigado'!$E11:$Z11,MIN(AN$6-$G$3,22))&lt;&gt;""),'Arroz irrigado'!$E11:INDEX('Arroz irrigado'!$E11:$Z11,MIN(AN$6-$G$3,22))),0)))))</f>
        <v>0</v>
      </c>
      <c r="AO13" s="27" t="n">
        <f aca="false">IF(COUNT('Arroz irrigado'!$E11:$Z11)=0,0,MAX(0,IF((AO$6-$E$3)&lt;1,0,IFERROR(LOOKUP(2,1/('Arroz irrigado'!$E11:INDEX('Arroz irrigado'!$E11:$Z11,MIN(AO$6-$E$3,22))&lt;&gt;""),'Arroz irrigado'!$E11:INDEX('Arroz irrigado'!$E11:$Z11,MIN(AO$6-$E$3,22))),0))-IF($G$2,0,IF((AO$6-$G$3)&lt;1,0,IFERROR(LOOKUP(2,1/('Arroz irrigado'!$E11:INDEX('Arroz irrigado'!$E11:$Z11,MIN(AO$6-$G$3,22))&lt;&gt;""),'Arroz irrigado'!$E11:INDEX('Arroz irrigado'!$E11:$Z11,MIN(AO$6-$G$3,22))),0)))))</f>
        <v>0</v>
      </c>
      <c r="AP13" s="27" t="n">
        <f aca="false">IF(COUNT('Arroz irrigado'!$E11:$Z11)=0,0,MAX(0,IF((AP$6-$E$3)&lt;1,0,IFERROR(LOOKUP(2,1/('Arroz irrigado'!$E11:INDEX('Arroz irrigado'!$E11:$Z11,MIN(AP$6-$E$3,22))&lt;&gt;""),'Arroz irrigado'!$E11:INDEX('Arroz irrigado'!$E11:$Z11,MIN(AP$6-$E$3,22))),0))-IF($G$2,0,IF((AP$6-$G$3)&lt;1,0,IFERROR(LOOKUP(2,1/('Arroz irrigado'!$E11:INDEX('Arroz irrigado'!$E11:$Z11,MIN(AP$6-$G$3,22))&lt;&gt;""),'Arroz irrigado'!$E11:INDEX('Arroz irrigado'!$E11:$Z11,MIN(AP$6-$G$3,22))),0)))))</f>
        <v>0</v>
      </c>
      <c r="AQ13" s="27" t="n">
        <f aca="false">IF(COUNT('Arroz irrigado'!$E11:$Z11)=0,0,MAX(0,IF((AQ$6-$E$3)&lt;1,0,IFERROR(LOOKUP(2,1/('Arroz irrigado'!$E11:INDEX('Arroz irrigado'!$E11:$Z11,MIN(AQ$6-$E$3,22))&lt;&gt;""),'Arroz irrigado'!$E11:INDEX('Arroz irrigado'!$E11:$Z11,MIN(AQ$6-$E$3,22))),0))-IF($G$2,0,IF((AQ$6-$G$3)&lt;1,0,IFERROR(LOOKUP(2,1/('Arroz irrigado'!$E11:INDEX('Arroz irrigado'!$E11:$Z11,MIN(AQ$6-$G$3,22))&lt;&gt;""),'Arroz irrigado'!$E11:INDEX('Arroz irrigado'!$E11:$Z11,MIN(AQ$6-$G$3,22))),0)))))</f>
        <v>0</v>
      </c>
      <c r="AR13" s="27" t="n">
        <f aca="false">IF(COUNT('Arroz irrigado'!$E11:$Z11)=0,0,MAX(0,IF((AR$6-$E$3)&lt;1,0,IFERROR(LOOKUP(2,1/('Arroz irrigado'!$E11:INDEX('Arroz irrigado'!$E11:$Z11,MIN(AR$6-$E$3,22))&lt;&gt;""),'Arroz irrigado'!$E11:INDEX('Arroz irrigado'!$E11:$Z11,MIN(AR$6-$E$3,22))),0))-IF($G$2,0,IF((AR$6-$G$3)&lt;1,0,IFERROR(LOOKUP(2,1/('Arroz irrigado'!$E11:INDEX('Arroz irrigado'!$E11:$Z11,MIN(AR$6-$G$3,22))&lt;&gt;""),'Arroz irrigado'!$E11:INDEX('Arroz irrigado'!$E11:$Z11,MIN(AR$6-$G$3,22))),0)))))</f>
        <v>0</v>
      </c>
      <c r="AS13" s="27" t="n">
        <f aca="false">IF(COUNT('Arroz irrigado'!$E11:$Z11)=0,0,MAX(0,IF((AS$6-$E$3)&lt;1,0,IFERROR(LOOKUP(2,1/('Arroz irrigado'!$E11:INDEX('Arroz irrigado'!$E11:$Z11,MIN(AS$6-$E$3,22))&lt;&gt;""),'Arroz irrigado'!$E11:INDEX('Arroz irrigado'!$E11:$Z11,MIN(AS$6-$E$3,22))),0))-IF($G$2,0,IF((AS$6-$G$3)&lt;1,0,IFERROR(LOOKUP(2,1/('Arroz irrigado'!$E11:INDEX('Arroz irrigado'!$E11:$Z11,MIN(AS$6-$G$3,22))&lt;&gt;""),'Arroz irrigado'!$E11:INDEX('Arroz irrigado'!$E11:$Z11,MIN(AS$6-$G$3,22))),0)))))</f>
        <v>0</v>
      </c>
      <c r="AT13" s="27" t="n">
        <f aca="false">IF(COUNT('Arroz irrigado'!$E11:$Z11)=0,0,MAX(0,IF((AT$6-$E$3)&lt;1,0,IFERROR(LOOKUP(2,1/('Arroz irrigado'!$E11:INDEX('Arroz irrigado'!$E11:$Z11,MIN(AT$6-$E$3,22))&lt;&gt;""),'Arroz irrigado'!$E11:INDEX('Arroz irrigado'!$E11:$Z11,MIN(AT$6-$E$3,22))),0))-IF($G$2,0,IF((AT$6-$G$3)&lt;1,0,IFERROR(LOOKUP(2,1/('Arroz irrigado'!$E11:INDEX('Arroz irrigado'!$E11:$Z11,MIN(AT$6-$G$3,22))&lt;&gt;""),'Arroz irrigado'!$E11:INDEX('Arroz irrigado'!$E11:$Z11,MIN(AT$6-$G$3,22))),0)))))</f>
        <v>0</v>
      </c>
      <c r="AU13" s="27" t="n">
        <f aca="false">IF(COUNT('Arroz irrigado'!$E11:$Z11)=0,0,MAX(0,IF((AU$6-$E$3)&lt;1,0,IFERROR(LOOKUP(2,1/('Arroz irrigado'!$E11:INDEX('Arroz irrigado'!$E11:$Z11,MIN(AU$6-$E$3,22))&lt;&gt;""),'Arroz irrigado'!$E11:INDEX('Arroz irrigado'!$E11:$Z11,MIN(AU$6-$E$3,22))),0))-IF($G$2,0,IF((AU$6-$G$3)&lt;1,0,IFERROR(LOOKUP(2,1/('Arroz irrigado'!$E11:INDEX('Arroz irrigado'!$E11:$Z11,MIN(AU$6-$G$3,22))&lt;&gt;""),'Arroz irrigado'!$E11:INDEX('Arroz irrigado'!$E11:$Z11,MIN(AU$6-$G$3,22))),0)))))</f>
        <v>0</v>
      </c>
      <c r="AV13" s="27" t="n">
        <f aca="false">IF(COUNT('Arroz irrigado'!$E11:$Z11)=0,0,MAX(0,IF((AV$6-$E$3)&lt;1,0,IFERROR(LOOKUP(2,1/('Arroz irrigado'!$E11:INDEX('Arroz irrigado'!$E11:$Z11,MIN(AV$6-$E$3,22))&lt;&gt;""),'Arroz irrigado'!$E11:INDEX('Arroz irrigado'!$E11:$Z11,MIN(AV$6-$E$3,22))),0))-IF($G$2,0,IF((AV$6-$G$3)&lt;1,0,IFERROR(LOOKUP(2,1/('Arroz irrigado'!$E11:INDEX('Arroz irrigado'!$E11:$Z11,MIN(AV$6-$G$3,22))&lt;&gt;""),'Arroz irrigado'!$E11:INDEX('Arroz irrigado'!$E11:$Z11,MIN(AV$6-$G$3,22))),0)))))</f>
        <v>0</v>
      </c>
      <c r="AW13" s="27" t="n">
        <f aca="false">IF(COUNT('Arroz irrigado'!$E11:$Z11)=0,0,MAX(0,IF((AW$6-$E$3)&lt;1,0,IFERROR(LOOKUP(2,1/('Arroz irrigado'!$E11:INDEX('Arroz irrigado'!$E11:$Z11,MIN(AW$6-$E$3,22))&lt;&gt;""),'Arroz irrigado'!$E11:INDEX('Arroz irrigado'!$E11:$Z11,MIN(AW$6-$E$3,22))),0))-IF($G$2,0,IF((AW$6-$G$3)&lt;1,0,IFERROR(LOOKUP(2,1/('Arroz irrigado'!$E11:INDEX('Arroz irrigado'!$E11:$Z11,MIN(AW$6-$G$3,22))&lt;&gt;""),'Arroz irrigado'!$E11:INDEX('Arroz irrigado'!$E11:$Z11,MIN(AW$6-$G$3,22))),0)))))</f>
        <v>0</v>
      </c>
      <c r="AX13" s="27" t="n">
        <f aca="false">IF(COUNT('Arroz irrigado'!$E11:$Z11)=0,0,MAX(0,IF((AX$6-$E$3)&lt;1,0,IFERROR(LOOKUP(2,1/('Arroz irrigado'!$E11:INDEX('Arroz irrigado'!$E11:$Z11,MIN(AX$6-$E$3,22))&lt;&gt;""),'Arroz irrigado'!$E11:INDEX('Arroz irrigado'!$E11:$Z11,MIN(AX$6-$E$3,22))),0))-IF($G$2,0,IF((AX$6-$G$3)&lt;1,0,IFERROR(LOOKUP(2,1/('Arroz irrigado'!$E11:INDEX('Arroz irrigado'!$E11:$Z11,MIN(AX$6-$G$3,22))&lt;&gt;""),'Arroz irrigado'!$E11:INDEX('Arroz irrigado'!$E11:$Z11,MIN(AX$6-$G$3,22))),0)))))</f>
        <v>0</v>
      </c>
      <c r="AY13" s="27" t="n">
        <f aca="false">IF(COUNT('Arroz irrigado'!$E11:$Z11)=0,0,MAX(0,IF((AY$6-$E$3)&lt;1,0,IFERROR(LOOKUP(2,1/('Arroz irrigado'!$E11:INDEX('Arroz irrigado'!$E11:$Z11,MIN(AY$6-$E$3,22))&lt;&gt;""),'Arroz irrigado'!$E11:INDEX('Arroz irrigado'!$E11:$Z11,MIN(AY$6-$E$3,22))),0))-IF($G$2,0,IF((AY$6-$G$3)&lt;1,0,IFERROR(LOOKUP(2,1/('Arroz irrigado'!$E11:INDEX('Arroz irrigado'!$E11:$Z11,MIN(AY$6-$G$3,22))&lt;&gt;""),'Arroz irrigado'!$E11:INDEX('Arroz irrigado'!$E11:$Z11,MIN(AY$6-$G$3,22))),0)))))</f>
        <v>0</v>
      </c>
      <c r="AZ13" s="27" t="n">
        <f aca="false">IF(COUNT('Arroz irrigado'!$E11:$Z11)=0,0,MAX(0,IF((AZ$6-$E$3)&lt;1,0,IFERROR(LOOKUP(2,1/('Arroz irrigado'!$E11:INDEX('Arroz irrigado'!$E11:$Z11,MIN(AZ$6-$E$3,22))&lt;&gt;""),'Arroz irrigado'!$E11:INDEX('Arroz irrigado'!$E11:$Z11,MIN(AZ$6-$E$3,22))),0))-IF($G$2,0,IF((AZ$6-$G$3)&lt;1,0,IFERROR(LOOKUP(2,1/('Arroz irrigado'!$E11:INDEX('Arroz irrigado'!$E11:$Z11,MIN(AZ$6-$G$3,22))&lt;&gt;""),'Arroz irrigado'!$E11:INDEX('Arroz irrigado'!$E11:$Z11,MIN(AZ$6-$G$3,22))),0)))))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IF(COUNT('Arroz irrigado'!$E12:$Z12)&gt;0,N('Arroz irrigado'!$D12),0)</f>
        <v>0</v>
      </c>
      <c r="E14" s="27" t="n">
        <f aca="false">IF(COUNT('Arroz irrigado'!$E12:$Z12)=0,0,MAX(0,IF((E$6-$E$3)&lt;1,0,IFERROR(LOOKUP(2,1/('Arroz irrigado'!$E12:INDEX('Arroz irrigado'!$E12:$Z12,MIN(E$6-$E$3,22))&lt;&gt;""),'Arroz irrigado'!$E12:INDEX('Arroz irrigado'!$E12:$Z12,MIN(E$6-$E$3,22))),0))-IF($G$2,0,IF((E$6-$G$3)&lt;1,0,IFERROR(LOOKUP(2,1/('Arroz irrigado'!$E12:INDEX('Arroz irrigado'!$E12:$Z12,MIN(E$6-$G$3,22))&lt;&gt;""),'Arroz irrigado'!$E12:INDEX('Arroz irrigado'!$E12:$Z12,MIN(E$6-$G$3,22))),0)))))</f>
        <v>0</v>
      </c>
      <c r="F14" s="27" t="n">
        <f aca="false">IF(COUNT('Arroz irrigado'!$E12:$Z12)=0,0,MAX(0,IF((F$6-$E$3)&lt;1,0,IFERROR(LOOKUP(2,1/('Arroz irrigado'!$E12:INDEX('Arroz irrigado'!$E12:$Z12,MIN(F$6-$E$3,22))&lt;&gt;""),'Arroz irrigado'!$E12:INDEX('Arroz irrigado'!$E12:$Z12,MIN(F$6-$E$3,22))),0))-IF($G$2,0,IF((F$6-$G$3)&lt;1,0,IFERROR(LOOKUP(2,1/('Arroz irrigado'!$E12:INDEX('Arroz irrigado'!$E12:$Z12,MIN(F$6-$G$3,22))&lt;&gt;""),'Arroz irrigado'!$E12:INDEX('Arroz irrigado'!$E12:$Z12,MIN(F$6-$G$3,22))),0)))))</f>
        <v>0</v>
      </c>
      <c r="G14" s="27" t="n">
        <f aca="false">IF(COUNT('Arroz irrigado'!$E12:$Z12)=0,0,MAX(0,IF((G$6-$E$3)&lt;1,0,IFERROR(LOOKUP(2,1/('Arroz irrigado'!$E12:INDEX('Arroz irrigado'!$E12:$Z12,MIN(G$6-$E$3,22))&lt;&gt;""),'Arroz irrigado'!$E12:INDEX('Arroz irrigado'!$E12:$Z12,MIN(G$6-$E$3,22))),0))-IF($G$2,0,IF((G$6-$G$3)&lt;1,0,IFERROR(LOOKUP(2,1/('Arroz irrigado'!$E12:INDEX('Arroz irrigado'!$E12:$Z12,MIN(G$6-$G$3,22))&lt;&gt;""),'Arroz irrigado'!$E12:INDEX('Arroz irrigado'!$E12:$Z12,MIN(G$6-$G$3,22))),0)))))</f>
        <v>0</v>
      </c>
      <c r="H14" s="27" t="n">
        <f aca="false">IF(COUNT('Arroz irrigado'!$E12:$Z12)=0,0,MAX(0,IF((H$6-$E$3)&lt;1,0,IFERROR(LOOKUP(2,1/('Arroz irrigado'!$E12:INDEX('Arroz irrigado'!$E12:$Z12,MIN(H$6-$E$3,22))&lt;&gt;""),'Arroz irrigado'!$E12:INDEX('Arroz irrigado'!$E12:$Z12,MIN(H$6-$E$3,22))),0))-IF($G$2,0,IF((H$6-$G$3)&lt;1,0,IFERROR(LOOKUP(2,1/('Arroz irrigado'!$E12:INDEX('Arroz irrigado'!$E12:$Z12,MIN(H$6-$G$3,22))&lt;&gt;""),'Arroz irrigado'!$E12:INDEX('Arroz irrigado'!$E12:$Z12,MIN(H$6-$G$3,22))),0)))))</f>
        <v>0</v>
      </c>
      <c r="I14" s="27" t="n">
        <f aca="false">IF(COUNT('Arroz irrigado'!$E12:$Z12)=0,0,MAX(0,IF((I$6-$E$3)&lt;1,0,IFERROR(LOOKUP(2,1/('Arroz irrigado'!$E12:INDEX('Arroz irrigado'!$E12:$Z12,MIN(I$6-$E$3,22))&lt;&gt;""),'Arroz irrigado'!$E12:INDEX('Arroz irrigado'!$E12:$Z12,MIN(I$6-$E$3,22))),0))-IF($G$2,0,IF((I$6-$G$3)&lt;1,0,IFERROR(LOOKUP(2,1/('Arroz irrigado'!$E12:INDEX('Arroz irrigado'!$E12:$Z12,MIN(I$6-$G$3,22))&lt;&gt;""),'Arroz irrigado'!$E12:INDEX('Arroz irrigado'!$E12:$Z12,MIN(I$6-$G$3,22))),0)))))</f>
        <v>0</v>
      </c>
      <c r="J14" s="27" t="n">
        <f aca="false">IF(COUNT('Arroz irrigado'!$E12:$Z12)=0,0,MAX(0,IF((J$6-$E$3)&lt;1,0,IFERROR(LOOKUP(2,1/('Arroz irrigado'!$E12:INDEX('Arroz irrigado'!$E12:$Z12,MIN(J$6-$E$3,22))&lt;&gt;""),'Arroz irrigado'!$E12:INDEX('Arroz irrigado'!$E12:$Z12,MIN(J$6-$E$3,22))),0))-IF($G$2,0,IF((J$6-$G$3)&lt;1,0,IFERROR(LOOKUP(2,1/('Arroz irrigado'!$E12:INDEX('Arroz irrigado'!$E12:$Z12,MIN(J$6-$G$3,22))&lt;&gt;""),'Arroz irrigado'!$E12:INDEX('Arroz irrigado'!$E12:$Z12,MIN(J$6-$G$3,22))),0)))))</f>
        <v>0</v>
      </c>
      <c r="K14" s="27" t="n">
        <f aca="false">IF(COUNT('Arroz irrigado'!$E12:$Z12)=0,0,MAX(0,IF((K$6-$E$3)&lt;1,0,IFERROR(LOOKUP(2,1/('Arroz irrigado'!$E12:INDEX('Arroz irrigado'!$E12:$Z12,MIN(K$6-$E$3,22))&lt;&gt;""),'Arroz irrigado'!$E12:INDEX('Arroz irrigado'!$E12:$Z12,MIN(K$6-$E$3,22))),0))-IF($G$2,0,IF((K$6-$G$3)&lt;1,0,IFERROR(LOOKUP(2,1/('Arroz irrigado'!$E12:INDEX('Arroz irrigado'!$E12:$Z12,MIN(K$6-$G$3,22))&lt;&gt;""),'Arroz irrigado'!$E12:INDEX('Arroz irrigado'!$E12:$Z12,MIN(K$6-$G$3,22))),0)))))</f>
        <v>0</v>
      </c>
      <c r="L14" s="27" t="n">
        <f aca="false">IF(COUNT('Arroz irrigado'!$E12:$Z12)=0,0,MAX(0,IF((L$6-$E$3)&lt;1,0,IFERROR(LOOKUP(2,1/('Arroz irrigado'!$E12:INDEX('Arroz irrigado'!$E12:$Z12,MIN(L$6-$E$3,22))&lt;&gt;""),'Arroz irrigado'!$E12:INDEX('Arroz irrigado'!$E12:$Z12,MIN(L$6-$E$3,22))),0))-IF($G$2,0,IF((L$6-$G$3)&lt;1,0,IFERROR(LOOKUP(2,1/('Arroz irrigado'!$E12:INDEX('Arroz irrigado'!$E12:$Z12,MIN(L$6-$G$3,22))&lt;&gt;""),'Arroz irrigado'!$E12:INDEX('Arroz irrigado'!$E12:$Z12,MIN(L$6-$G$3,22))),0)))))</f>
        <v>0</v>
      </c>
      <c r="M14" s="27" t="n">
        <f aca="false">IF(COUNT('Arroz irrigado'!$E12:$Z12)=0,0,MAX(0,IF((M$6-$E$3)&lt;1,0,IFERROR(LOOKUP(2,1/('Arroz irrigado'!$E12:INDEX('Arroz irrigado'!$E12:$Z12,MIN(M$6-$E$3,22))&lt;&gt;""),'Arroz irrigado'!$E12:INDEX('Arroz irrigado'!$E12:$Z12,MIN(M$6-$E$3,22))),0))-IF($G$2,0,IF((M$6-$G$3)&lt;1,0,IFERROR(LOOKUP(2,1/('Arroz irrigado'!$E12:INDEX('Arroz irrigado'!$E12:$Z12,MIN(M$6-$G$3,22))&lt;&gt;""),'Arroz irrigado'!$E12:INDEX('Arroz irrigado'!$E12:$Z12,MIN(M$6-$G$3,22))),0)))))</f>
        <v>0</v>
      </c>
      <c r="N14" s="27" t="n">
        <f aca="false">IF(COUNT('Arroz irrigado'!$E12:$Z12)=0,0,MAX(0,IF((N$6-$E$3)&lt;1,0,IFERROR(LOOKUP(2,1/('Arroz irrigado'!$E12:INDEX('Arroz irrigado'!$E12:$Z12,MIN(N$6-$E$3,22))&lt;&gt;""),'Arroz irrigado'!$E12:INDEX('Arroz irrigado'!$E12:$Z12,MIN(N$6-$E$3,22))),0))-IF($G$2,0,IF((N$6-$G$3)&lt;1,0,IFERROR(LOOKUP(2,1/('Arroz irrigado'!$E12:INDEX('Arroz irrigado'!$E12:$Z12,MIN(N$6-$G$3,22))&lt;&gt;""),'Arroz irrigado'!$E12:INDEX('Arroz irrigado'!$E12:$Z12,MIN(N$6-$G$3,22))),0)))))</f>
        <v>0</v>
      </c>
      <c r="O14" s="27" t="n">
        <f aca="false">IF(COUNT('Arroz irrigado'!$E12:$Z12)=0,0,MAX(0,IF((O$6-$E$3)&lt;1,0,IFERROR(LOOKUP(2,1/('Arroz irrigado'!$E12:INDEX('Arroz irrigado'!$E12:$Z12,MIN(O$6-$E$3,22))&lt;&gt;""),'Arroz irrigado'!$E12:INDEX('Arroz irrigado'!$E12:$Z12,MIN(O$6-$E$3,22))),0))-IF($G$2,0,IF((O$6-$G$3)&lt;1,0,IFERROR(LOOKUP(2,1/('Arroz irrigado'!$E12:INDEX('Arroz irrigado'!$E12:$Z12,MIN(O$6-$G$3,22))&lt;&gt;""),'Arroz irrigado'!$E12:INDEX('Arroz irrigado'!$E12:$Z12,MIN(O$6-$G$3,22))),0)))))</f>
        <v>0</v>
      </c>
      <c r="P14" s="27" t="n">
        <f aca="false">IF(COUNT('Arroz irrigado'!$E12:$Z12)=0,0,MAX(0,IF((P$6-$E$3)&lt;1,0,IFERROR(LOOKUP(2,1/('Arroz irrigado'!$E12:INDEX('Arroz irrigado'!$E12:$Z12,MIN(P$6-$E$3,22))&lt;&gt;""),'Arroz irrigado'!$E12:INDEX('Arroz irrigado'!$E12:$Z12,MIN(P$6-$E$3,22))),0))-IF($G$2,0,IF((P$6-$G$3)&lt;1,0,IFERROR(LOOKUP(2,1/('Arroz irrigado'!$E12:INDEX('Arroz irrigado'!$E12:$Z12,MIN(P$6-$G$3,22))&lt;&gt;""),'Arroz irrigado'!$E12:INDEX('Arroz irrigado'!$E12:$Z12,MIN(P$6-$G$3,22))),0)))))</f>
        <v>0</v>
      </c>
      <c r="Q14" s="27" t="n">
        <f aca="false">IF(COUNT('Arroz irrigado'!$E12:$Z12)=0,0,MAX(0,IF((Q$6-$E$3)&lt;1,0,IFERROR(LOOKUP(2,1/('Arroz irrigado'!$E12:INDEX('Arroz irrigado'!$E12:$Z12,MIN(Q$6-$E$3,22))&lt;&gt;""),'Arroz irrigado'!$E12:INDEX('Arroz irrigado'!$E12:$Z12,MIN(Q$6-$E$3,22))),0))-IF($G$2,0,IF((Q$6-$G$3)&lt;1,0,IFERROR(LOOKUP(2,1/('Arroz irrigado'!$E12:INDEX('Arroz irrigado'!$E12:$Z12,MIN(Q$6-$G$3,22))&lt;&gt;""),'Arroz irrigado'!$E12:INDEX('Arroz irrigado'!$E12:$Z12,MIN(Q$6-$G$3,22))),0)))))</f>
        <v>0</v>
      </c>
      <c r="R14" s="27" t="n">
        <f aca="false">IF(COUNT('Arroz irrigado'!$E12:$Z12)=0,0,MAX(0,IF((R$6-$E$3)&lt;1,0,IFERROR(LOOKUP(2,1/('Arroz irrigado'!$E12:INDEX('Arroz irrigado'!$E12:$Z12,MIN(R$6-$E$3,22))&lt;&gt;""),'Arroz irrigado'!$E12:INDEX('Arroz irrigado'!$E12:$Z12,MIN(R$6-$E$3,22))),0))-IF($G$2,0,IF((R$6-$G$3)&lt;1,0,IFERROR(LOOKUP(2,1/('Arroz irrigado'!$E12:INDEX('Arroz irrigado'!$E12:$Z12,MIN(R$6-$G$3,22))&lt;&gt;""),'Arroz irrigado'!$E12:INDEX('Arroz irrigado'!$E12:$Z12,MIN(R$6-$G$3,22))),0)))))</f>
        <v>0</v>
      </c>
      <c r="S14" s="27" t="n">
        <f aca="false">IF(COUNT('Arroz irrigado'!$E12:$Z12)=0,0,MAX(0,IF((S$6-$E$3)&lt;1,0,IFERROR(LOOKUP(2,1/('Arroz irrigado'!$E12:INDEX('Arroz irrigado'!$E12:$Z12,MIN(S$6-$E$3,22))&lt;&gt;""),'Arroz irrigado'!$E12:INDEX('Arroz irrigado'!$E12:$Z12,MIN(S$6-$E$3,22))),0))-IF($G$2,0,IF((S$6-$G$3)&lt;1,0,IFERROR(LOOKUP(2,1/('Arroz irrigado'!$E12:INDEX('Arroz irrigado'!$E12:$Z12,MIN(S$6-$G$3,22))&lt;&gt;""),'Arroz irrigado'!$E12:INDEX('Arroz irrigado'!$E12:$Z12,MIN(S$6-$G$3,22))),0)))))</f>
        <v>0</v>
      </c>
      <c r="T14" s="27" t="n">
        <f aca="false">IF(COUNT('Arroz irrigado'!$E12:$Z12)=0,0,MAX(0,IF((T$6-$E$3)&lt;1,0,IFERROR(LOOKUP(2,1/('Arroz irrigado'!$E12:INDEX('Arroz irrigado'!$E12:$Z12,MIN(T$6-$E$3,22))&lt;&gt;""),'Arroz irrigado'!$E12:INDEX('Arroz irrigado'!$E12:$Z12,MIN(T$6-$E$3,22))),0))-IF($G$2,0,IF((T$6-$G$3)&lt;1,0,IFERROR(LOOKUP(2,1/('Arroz irrigado'!$E12:INDEX('Arroz irrigado'!$E12:$Z12,MIN(T$6-$G$3,22))&lt;&gt;""),'Arroz irrigado'!$E12:INDEX('Arroz irrigado'!$E12:$Z12,MIN(T$6-$G$3,22))),0)))))</f>
        <v>0</v>
      </c>
      <c r="U14" s="27" t="n">
        <f aca="false">IF(COUNT('Arroz irrigado'!$E12:$Z12)=0,0,MAX(0,IF((U$6-$E$3)&lt;1,0,IFERROR(LOOKUP(2,1/('Arroz irrigado'!$E12:INDEX('Arroz irrigado'!$E12:$Z12,MIN(U$6-$E$3,22))&lt;&gt;""),'Arroz irrigado'!$E12:INDEX('Arroz irrigado'!$E12:$Z12,MIN(U$6-$E$3,22))),0))-IF($G$2,0,IF((U$6-$G$3)&lt;1,0,IFERROR(LOOKUP(2,1/('Arroz irrigado'!$E12:INDEX('Arroz irrigado'!$E12:$Z12,MIN(U$6-$G$3,22))&lt;&gt;""),'Arroz irrigado'!$E12:INDEX('Arroz irrigado'!$E12:$Z12,MIN(U$6-$G$3,22))),0)))))</f>
        <v>0</v>
      </c>
      <c r="V14" s="27" t="n">
        <f aca="false">IF(COUNT('Arroz irrigado'!$E12:$Z12)=0,0,MAX(0,IF((V$6-$E$3)&lt;1,0,IFERROR(LOOKUP(2,1/('Arroz irrigado'!$E12:INDEX('Arroz irrigado'!$E12:$Z12,MIN(V$6-$E$3,22))&lt;&gt;""),'Arroz irrigado'!$E12:INDEX('Arroz irrigado'!$E12:$Z12,MIN(V$6-$E$3,22))),0))-IF($G$2,0,IF((V$6-$G$3)&lt;1,0,IFERROR(LOOKUP(2,1/('Arroz irrigado'!$E12:INDEX('Arroz irrigado'!$E12:$Z12,MIN(V$6-$G$3,22))&lt;&gt;""),'Arroz irrigado'!$E12:INDEX('Arroz irrigado'!$E12:$Z12,MIN(V$6-$G$3,22))),0)))))</f>
        <v>0</v>
      </c>
      <c r="W14" s="27" t="n">
        <f aca="false">IF(COUNT('Arroz irrigado'!$E12:$Z12)=0,0,MAX(0,IF((W$6-$E$3)&lt;1,0,IFERROR(LOOKUP(2,1/('Arroz irrigado'!$E12:INDEX('Arroz irrigado'!$E12:$Z12,MIN(W$6-$E$3,22))&lt;&gt;""),'Arroz irrigado'!$E12:INDEX('Arroz irrigado'!$E12:$Z12,MIN(W$6-$E$3,22))),0))-IF($G$2,0,IF((W$6-$G$3)&lt;1,0,IFERROR(LOOKUP(2,1/('Arroz irrigado'!$E12:INDEX('Arroz irrigado'!$E12:$Z12,MIN(W$6-$G$3,22))&lt;&gt;""),'Arroz irrigado'!$E12:INDEX('Arroz irrigado'!$E12:$Z12,MIN(W$6-$G$3,22))),0)))))</f>
        <v>0</v>
      </c>
      <c r="X14" s="27" t="n">
        <f aca="false">IF(COUNT('Arroz irrigado'!$E12:$Z12)=0,0,MAX(0,IF((X$6-$E$3)&lt;1,0,IFERROR(LOOKUP(2,1/('Arroz irrigado'!$E12:INDEX('Arroz irrigado'!$E12:$Z12,MIN(X$6-$E$3,22))&lt;&gt;""),'Arroz irrigado'!$E12:INDEX('Arroz irrigado'!$E12:$Z12,MIN(X$6-$E$3,22))),0))-IF($G$2,0,IF((X$6-$G$3)&lt;1,0,IFERROR(LOOKUP(2,1/('Arroz irrigado'!$E12:INDEX('Arroz irrigado'!$E12:$Z12,MIN(X$6-$G$3,22))&lt;&gt;""),'Arroz irrigado'!$E12:INDEX('Arroz irrigado'!$E12:$Z12,MIN(X$6-$G$3,22))),0)))))</f>
        <v>0</v>
      </c>
      <c r="Y14" s="27" t="n">
        <f aca="false">IF(COUNT('Arroz irrigado'!$E12:$Z12)=0,0,MAX(0,IF((Y$6-$E$3)&lt;1,0,IFERROR(LOOKUP(2,1/('Arroz irrigado'!$E12:INDEX('Arroz irrigado'!$E12:$Z12,MIN(Y$6-$E$3,22))&lt;&gt;""),'Arroz irrigado'!$E12:INDEX('Arroz irrigado'!$E12:$Z12,MIN(Y$6-$E$3,22))),0))-IF($G$2,0,IF((Y$6-$G$3)&lt;1,0,IFERROR(LOOKUP(2,1/('Arroz irrigado'!$E12:INDEX('Arroz irrigado'!$E12:$Z12,MIN(Y$6-$G$3,22))&lt;&gt;""),'Arroz irrigado'!$E12:INDEX('Arroz irrigado'!$E12:$Z12,MIN(Y$6-$G$3,22))),0)))))</f>
        <v>0</v>
      </c>
      <c r="Z14" s="27" t="n">
        <f aca="false">IF(COUNT('Arroz irrigado'!$E12:$Z12)=0,0,MAX(0,IF((Z$6-$E$3)&lt;1,0,IFERROR(LOOKUP(2,1/('Arroz irrigado'!$E12:INDEX('Arroz irrigado'!$E12:$Z12,MIN(Z$6-$E$3,22))&lt;&gt;""),'Arroz irrigado'!$E12:INDEX('Arroz irrigado'!$E12:$Z12,MIN(Z$6-$E$3,22))),0))-IF($G$2,0,IF((Z$6-$G$3)&lt;1,0,IFERROR(LOOKUP(2,1/('Arroz irrigado'!$E12:INDEX('Arroz irrigado'!$E12:$Z12,MIN(Z$6-$G$3,22))&lt;&gt;""),'Arroz irrigado'!$E12:INDEX('Arroz irrigado'!$E12:$Z12,MIN(Z$6-$G$3,22))),0)))))</f>
        <v>0</v>
      </c>
      <c r="AA14" s="27" t="n">
        <f aca="false">IF(COUNT('Arroz irrigado'!$E12:$Z12)=0,0,MAX(0,IF((AA$6-$E$3)&lt;1,0,IFERROR(LOOKUP(2,1/('Arroz irrigado'!$E12:INDEX('Arroz irrigado'!$E12:$Z12,MIN(AA$6-$E$3,22))&lt;&gt;""),'Arroz irrigado'!$E12:INDEX('Arroz irrigado'!$E12:$Z12,MIN(AA$6-$E$3,22))),0))-IF($G$2,0,IF((AA$6-$G$3)&lt;1,0,IFERROR(LOOKUP(2,1/('Arroz irrigado'!$E12:INDEX('Arroz irrigado'!$E12:$Z12,MIN(AA$6-$G$3,22))&lt;&gt;""),'Arroz irrigado'!$E12:INDEX('Arroz irrigado'!$E12:$Z12,MIN(AA$6-$G$3,22))),0)))))</f>
        <v>0</v>
      </c>
      <c r="AB14" s="27" t="n">
        <f aca="false">IF(COUNT('Arroz irrigado'!$E12:$Z12)=0,0,MAX(0,IF((AB$6-$E$3)&lt;1,0,IFERROR(LOOKUP(2,1/('Arroz irrigado'!$E12:INDEX('Arroz irrigado'!$E12:$Z12,MIN(AB$6-$E$3,22))&lt;&gt;""),'Arroz irrigado'!$E12:INDEX('Arroz irrigado'!$E12:$Z12,MIN(AB$6-$E$3,22))),0))-IF($G$2,0,IF((AB$6-$G$3)&lt;1,0,IFERROR(LOOKUP(2,1/('Arroz irrigado'!$E12:INDEX('Arroz irrigado'!$E12:$Z12,MIN(AB$6-$G$3,22))&lt;&gt;""),'Arroz irrigado'!$E12:INDEX('Arroz irrigado'!$E12:$Z12,MIN(AB$6-$G$3,22))),0)))))</f>
        <v>0</v>
      </c>
      <c r="AC14" s="27" t="n">
        <f aca="false">IF(COUNT('Arroz irrigado'!$E12:$Z12)=0,0,MAX(0,IF((AC$6-$E$3)&lt;1,0,IFERROR(LOOKUP(2,1/('Arroz irrigado'!$E12:INDEX('Arroz irrigado'!$E12:$Z12,MIN(AC$6-$E$3,22))&lt;&gt;""),'Arroz irrigado'!$E12:INDEX('Arroz irrigado'!$E12:$Z12,MIN(AC$6-$E$3,22))),0))-IF($G$2,0,IF((AC$6-$G$3)&lt;1,0,IFERROR(LOOKUP(2,1/('Arroz irrigado'!$E12:INDEX('Arroz irrigado'!$E12:$Z12,MIN(AC$6-$G$3,22))&lt;&gt;""),'Arroz irrigado'!$E12:INDEX('Arroz irrigado'!$E12:$Z12,MIN(AC$6-$G$3,22))),0)))))</f>
        <v>0</v>
      </c>
      <c r="AD14" s="27" t="n">
        <f aca="false">IF(COUNT('Arroz irrigado'!$E12:$Z12)=0,0,MAX(0,IF((AD$6-$E$3)&lt;1,0,IFERROR(LOOKUP(2,1/('Arroz irrigado'!$E12:INDEX('Arroz irrigado'!$E12:$Z12,MIN(AD$6-$E$3,22))&lt;&gt;""),'Arroz irrigado'!$E12:INDEX('Arroz irrigado'!$E12:$Z12,MIN(AD$6-$E$3,22))),0))-IF($G$2,0,IF((AD$6-$G$3)&lt;1,0,IFERROR(LOOKUP(2,1/('Arroz irrigado'!$E12:INDEX('Arroz irrigado'!$E12:$Z12,MIN(AD$6-$G$3,22))&lt;&gt;""),'Arroz irrigado'!$E12:INDEX('Arroz irrigado'!$E12:$Z12,MIN(AD$6-$G$3,22))),0)))))</f>
        <v>0</v>
      </c>
      <c r="AE14" s="27" t="n">
        <f aca="false">IF(COUNT('Arroz irrigado'!$E12:$Z12)=0,0,MAX(0,IF((AE$6-$E$3)&lt;1,0,IFERROR(LOOKUP(2,1/('Arroz irrigado'!$E12:INDEX('Arroz irrigado'!$E12:$Z12,MIN(AE$6-$E$3,22))&lt;&gt;""),'Arroz irrigado'!$E12:INDEX('Arroz irrigado'!$E12:$Z12,MIN(AE$6-$E$3,22))),0))-IF($G$2,0,IF((AE$6-$G$3)&lt;1,0,IFERROR(LOOKUP(2,1/('Arroz irrigado'!$E12:INDEX('Arroz irrigado'!$E12:$Z12,MIN(AE$6-$G$3,22))&lt;&gt;""),'Arroz irrigado'!$E12:INDEX('Arroz irrigado'!$E12:$Z12,MIN(AE$6-$G$3,22))),0)))))</f>
        <v>0</v>
      </c>
      <c r="AF14" s="27" t="n">
        <f aca="false">IF(COUNT('Arroz irrigado'!$E12:$Z12)=0,0,MAX(0,IF((AF$6-$E$3)&lt;1,0,IFERROR(LOOKUP(2,1/('Arroz irrigado'!$E12:INDEX('Arroz irrigado'!$E12:$Z12,MIN(AF$6-$E$3,22))&lt;&gt;""),'Arroz irrigado'!$E12:INDEX('Arroz irrigado'!$E12:$Z12,MIN(AF$6-$E$3,22))),0))-IF($G$2,0,IF((AF$6-$G$3)&lt;1,0,IFERROR(LOOKUP(2,1/('Arroz irrigado'!$E12:INDEX('Arroz irrigado'!$E12:$Z12,MIN(AF$6-$G$3,22))&lt;&gt;""),'Arroz irrigado'!$E12:INDEX('Arroz irrigado'!$E12:$Z12,MIN(AF$6-$G$3,22))),0)))))</f>
        <v>0</v>
      </c>
      <c r="AG14" s="27" t="n">
        <f aca="false">IF(COUNT('Arroz irrigado'!$E12:$Z12)=0,0,MAX(0,IF((AG$6-$E$3)&lt;1,0,IFERROR(LOOKUP(2,1/('Arroz irrigado'!$E12:INDEX('Arroz irrigado'!$E12:$Z12,MIN(AG$6-$E$3,22))&lt;&gt;""),'Arroz irrigado'!$E12:INDEX('Arroz irrigado'!$E12:$Z12,MIN(AG$6-$E$3,22))),0))-IF($G$2,0,IF((AG$6-$G$3)&lt;1,0,IFERROR(LOOKUP(2,1/('Arroz irrigado'!$E12:INDEX('Arroz irrigado'!$E12:$Z12,MIN(AG$6-$G$3,22))&lt;&gt;""),'Arroz irrigado'!$E12:INDEX('Arroz irrigado'!$E12:$Z12,MIN(AG$6-$G$3,22))),0)))))</f>
        <v>0</v>
      </c>
      <c r="AH14" s="27" t="n">
        <f aca="false">IF(COUNT('Arroz irrigado'!$E12:$Z12)=0,0,MAX(0,IF((AH$6-$E$3)&lt;1,0,IFERROR(LOOKUP(2,1/('Arroz irrigado'!$E12:INDEX('Arroz irrigado'!$E12:$Z12,MIN(AH$6-$E$3,22))&lt;&gt;""),'Arroz irrigado'!$E12:INDEX('Arroz irrigado'!$E12:$Z12,MIN(AH$6-$E$3,22))),0))-IF($G$2,0,IF((AH$6-$G$3)&lt;1,0,IFERROR(LOOKUP(2,1/('Arroz irrigado'!$E12:INDEX('Arroz irrigado'!$E12:$Z12,MIN(AH$6-$G$3,22))&lt;&gt;""),'Arroz irrigado'!$E12:INDEX('Arroz irrigado'!$E12:$Z12,MIN(AH$6-$G$3,22))),0)))))</f>
        <v>0</v>
      </c>
      <c r="AI14" s="27" t="n">
        <f aca="false">IF(COUNT('Arroz irrigado'!$E12:$Z12)=0,0,MAX(0,IF((AI$6-$E$3)&lt;1,0,IFERROR(LOOKUP(2,1/('Arroz irrigado'!$E12:INDEX('Arroz irrigado'!$E12:$Z12,MIN(AI$6-$E$3,22))&lt;&gt;""),'Arroz irrigado'!$E12:INDEX('Arroz irrigado'!$E12:$Z12,MIN(AI$6-$E$3,22))),0))-IF($G$2,0,IF((AI$6-$G$3)&lt;1,0,IFERROR(LOOKUP(2,1/('Arroz irrigado'!$E12:INDEX('Arroz irrigado'!$E12:$Z12,MIN(AI$6-$G$3,22))&lt;&gt;""),'Arroz irrigado'!$E12:INDEX('Arroz irrigado'!$E12:$Z12,MIN(AI$6-$G$3,22))),0)))))</f>
        <v>0</v>
      </c>
      <c r="AJ14" s="27" t="n">
        <f aca="false">IF(COUNT('Arroz irrigado'!$E12:$Z12)=0,0,MAX(0,IF((AJ$6-$E$3)&lt;1,0,IFERROR(LOOKUP(2,1/('Arroz irrigado'!$E12:INDEX('Arroz irrigado'!$E12:$Z12,MIN(AJ$6-$E$3,22))&lt;&gt;""),'Arroz irrigado'!$E12:INDEX('Arroz irrigado'!$E12:$Z12,MIN(AJ$6-$E$3,22))),0))-IF($G$2,0,IF((AJ$6-$G$3)&lt;1,0,IFERROR(LOOKUP(2,1/('Arroz irrigado'!$E12:INDEX('Arroz irrigado'!$E12:$Z12,MIN(AJ$6-$G$3,22))&lt;&gt;""),'Arroz irrigado'!$E12:INDEX('Arroz irrigado'!$E12:$Z12,MIN(AJ$6-$G$3,22))),0)))))</f>
        <v>0</v>
      </c>
      <c r="AK14" s="27" t="n">
        <f aca="false">IF(COUNT('Arroz irrigado'!$E12:$Z12)=0,0,MAX(0,IF((AK$6-$E$3)&lt;1,0,IFERROR(LOOKUP(2,1/('Arroz irrigado'!$E12:INDEX('Arroz irrigado'!$E12:$Z12,MIN(AK$6-$E$3,22))&lt;&gt;""),'Arroz irrigado'!$E12:INDEX('Arroz irrigado'!$E12:$Z12,MIN(AK$6-$E$3,22))),0))-IF($G$2,0,IF((AK$6-$G$3)&lt;1,0,IFERROR(LOOKUP(2,1/('Arroz irrigado'!$E12:INDEX('Arroz irrigado'!$E12:$Z12,MIN(AK$6-$G$3,22))&lt;&gt;""),'Arroz irrigado'!$E12:INDEX('Arroz irrigado'!$E12:$Z12,MIN(AK$6-$G$3,22))),0)))))</f>
        <v>0</v>
      </c>
      <c r="AL14" s="27" t="n">
        <f aca="false">IF(COUNT('Arroz irrigado'!$E12:$Z12)=0,0,MAX(0,IF((AL$6-$E$3)&lt;1,0,IFERROR(LOOKUP(2,1/('Arroz irrigado'!$E12:INDEX('Arroz irrigado'!$E12:$Z12,MIN(AL$6-$E$3,22))&lt;&gt;""),'Arroz irrigado'!$E12:INDEX('Arroz irrigado'!$E12:$Z12,MIN(AL$6-$E$3,22))),0))-IF($G$2,0,IF((AL$6-$G$3)&lt;1,0,IFERROR(LOOKUP(2,1/('Arroz irrigado'!$E12:INDEX('Arroz irrigado'!$E12:$Z12,MIN(AL$6-$G$3,22))&lt;&gt;""),'Arroz irrigado'!$E12:INDEX('Arroz irrigado'!$E12:$Z12,MIN(AL$6-$G$3,22))),0)))))</f>
        <v>0</v>
      </c>
      <c r="AM14" s="27" t="n">
        <f aca="false">IF(COUNT('Arroz irrigado'!$E12:$Z12)=0,0,MAX(0,IF((AM$6-$E$3)&lt;1,0,IFERROR(LOOKUP(2,1/('Arroz irrigado'!$E12:INDEX('Arroz irrigado'!$E12:$Z12,MIN(AM$6-$E$3,22))&lt;&gt;""),'Arroz irrigado'!$E12:INDEX('Arroz irrigado'!$E12:$Z12,MIN(AM$6-$E$3,22))),0))-IF($G$2,0,IF((AM$6-$G$3)&lt;1,0,IFERROR(LOOKUP(2,1/('Arroz irrigado'!$E12:INDEX('Arroz irrigado'!$E12:$Z12,MIN(AM$6-$G$3,22))&lt;&gt;""),'Arroz irrigado'!$E12:INDEX('Arroz irrigado'!$E12:$Z12,MIN(AM$6-$G$3,22))),0)))))</f>
        <v>0</v>
      </c>
      <c r="AN14" s="27" t="n">
        <f aca="false">IF(COUNT('Arroz irrigado'!$E12:$Z12)=0,0,MAX(0,IF((AN$6-$E$3)&lt;1,0,IFERROR(LOOKUP(2,1/('Arroz irrigado'!$E12:INDEX('Arroz irrigado'!$E12:$Z12,MIN(AN$6-$E$3,22))&lt;&gt;""),'Arroz irrigado'!$E12:INDEX('Arroz irrigado'!$E12:$Z12,MIN(AN$6-$E$3,22))),0))-IF($G$2,0,IF((AN$6-$G$3)&lt;1,0,IFERROR(LOOKUP(2,1/('Arroz irrigado'!$E12:INDEX('Arroz irrigado'!$E12:$Z12,MIN(AN$6-$G$3,22))&lt;&gt;""),'Arroz irrigado'!$E12:INDEX('Arroz irrigado'!$E12:$Z12,MIN(AN$6-$G$3,22))),0)))))</f>
        <v>0</v>
      </c>
      <c r="AO14" s="27" t="n">
        <f aca="false">IF(COUNT('Arroz irrigado'!$E12:$Z12)=0,0,MAX(0,IF((AO$6-$E$3)&lt;1,0,IFERROR(LOOKUP(2,1/('Arroz irrigado'!$E12:INDEX('Arroz irrigado'!$E12:$Z12,MIN(AO$6-$E$3,22))&lt;&gt;""),'Arroz irrigado'!$E12:INDEX('Arroz irrigado'!$E12:$Z12,MIN(AO$6-$E$3,22))),0))-IF($G$2,0,IF((AO$6-$G$3)&lt;1,0,IFERROR(LOOKUP(2,1/('Arroz irrigado'!$E12:INDEX('Arroz irrigado'!$E12:$Z12,MIN(AO$6-$G$3,22))&lt;&gt;""),'Arroz irrigado'!$E12:INDEX('Arroz irrigado'!$E12:$Z12,MIN(AO$6-$G$3,22))),0)))))</f>
        <v>0</v>
      </c>
      <c r="AP14" s="27" t="n">
        <f aca="false">IF(COUNT('Arroz irrigado'!$E12:$Z12)=0,0,MAX(0,IF((AP$6-$E$3)&lt;1,0,IFERROR(LOOKUP(2,1/('Arroz irrigado'!$E12:INDEX('Arroz irrigado'!$E12:$Z12,MIN(AP$6-$E$3,22))&lt;&gt;""),'Arroz irrigado'!$E12:INDEX('Arroz irrigado'!$E12:$Z12,MIN(AP$6-$E$3,22))),0))-IF($G$2,0,IF((AP$6-$G$3)&lt;1,0,IFERROR(LOOKUP(2,1/('Arroz irrigado'!$E12:INDEX('Arroz irrigado'!$E12:$Z12,MIN(AP$6-$G$3,22))&lt;&gt;""),'Arroz irrigado'!$E12:INDEX('Arroz irrigado'!$E12:$Z12,MIN(AP$6-$G$3,22))),0)))))</f>
        <v>0</v>
      </c>
      <c r="AQ14" s="27" t="n">
        <f aca="false">IF(COUNT('Arroz irrigado'!$E12:$Z12)=0,0,MAX(0,IF((AQ$6-$E$3)&lt;1,0,IFERROR(LOOKUP(2,1/('Arroz irrigado'!$E12:INDEX('Arroz irrigado'!$E12:$Z12,MIN(AQ$6-$E$3,22))&lt;&gt;""),'Arroz irrigado'!$E12:INDEX('Arroz irrigado'!$E12:$Z12,MIN(AQ$6-$E$3,22))),0))-IF($G$2,0,IF((AQ$6-$G$3)&lt;1,0,IFERROR(LOOKUP(2,1/('Arroz irrigado'!$E12:INDEX('Arroz irrigado'!$E12:$Z12,MIN(AQ$6-$G$3,22))&lt;&gt;""),'Arroz irrigado'!$E12:INDEX('Arroz irrigado'!$E12:$Z12,MIN(AQ$6-$G$3,22))),0)))))</f>
        <v>0</v>
      </c>
      <c r="AR14" s="27" t="n">
        <f aca="false">IF(COUNT('Arroz irrigado'!$E12:$Z12)=0,0,MAX(0,IF((AR$6-$E$3)&lt;1,0,IFERROR(LOOKUP(2,1/('Arroz irrigado'!$E12:INDEX('Arroz irrigado'!$E12:$Z12,MIN(AR$6-$E$3,22))&lt;&gt;""),'Arroz irrigado'!$E12:INDEX('Arroz irrigado'!$E12:$Z12,MIN(AR$6-$E$3,22))),0))-IF($G$2,0,IF((AR$6-$G$3)&lt;1,0,IFERROR(LOOKUP(2,1/('Arroz irrigado'!$E12:INDEX('Arroz irrigado'!$E12:$Z12,MIN(AR$6-$G$3,22))&lt;&gt;""),'Arroz irrigado'!$E12:INDEX('Arroz irrigado'!$E12:$Z12,MIN(AR$6-$G$3,22))),0)))))</f>
        <v>0</v>
      </c>
      <c r="AS14" s="27" t="n">
        <f aca="false">IF(COUNT('Arroz irrigado'!$E12:$Z12)=0,0,MAX(0,IF((AS$6-$E$3)&lt;1,0,IFERROR(LOOKUP(2,1/('Arroz irrigado'!$E12:INDEX('Arroz irrigado'!$E12:$Z12,MIN(AS$6-$E$3,22))&lt;&gt;""),'Arroz irrigado'!$E12:INDEX('Arroz irrigado'!$E12:$Z12,MIN(AS$6-$E$3,22))),0))-IF($G$2,0,IF((AS$6-$G$3)&lt;1,0,IFERROR(LOOKUP(2,1/('Arroz irrigado'!$E12:INDEX('Arroz irrigado'!$E12:$Z12,MIN(AS$6-$G$3,22))&lt;&gt;""),'Arroz irrigado'!$E12:INDEX('Arroz irrigado'!$E12:$Z12,MIN(AS$6-$G$3,22))),0)))))</f>
        <v>0</v>
      </c>
      <c r="AT14" s="27" t="n">
        <f aca="false">IF(COUNT('Arroz irrigado'!$E12:$Z12)=0,0,MAX(0,IF((AT$6-$E$3)&lt;1,0,IFERROR(LOOKUP(2,1/('Arroz irrigado'!$E12:INDEX('Arroz irrigado'!$E12:$Z12,MIN(AT$6-$E$3,22))&lt;&gt;""),'Arroz irrigado'!$E12:INDEX('Arroz irrigado'!$E12:$Z12,MIN(AT$6-$E$3,22))),0))-IF($G$2,0,IF((AT$6-$G$3)&lt;1,0,IFERROR(LOOKUP(2,1/('Arroz irrigado'!$E12:INDEX('Arroz irrigado'!$E12:$Z12,MIN(AT$6-$G$3,22))&lt;&gt;""),'Arroz irrigado'!$E12:INDEX('Arroz irrigado'!$E12:$Z12,MIN(AT$6-$G$3,22))),0)))))</f>
        <v>0</v>
      </c>
      <c r="AU14" s="27" t="n">
        <f aca="false">IF(COUNT('Arroz irrigado'!$E12:$Z12)=0,0,MAX(0,IF((AU$6-$E$3)&lt;1,0,IFERROR(LOOKUP(2,1/('Arroz irrigado'!$E12:INDEX('Arroz irrigado'!$E12:$Z12,MIN(AU$6-$E$3,22))&lt;&gt;""),'Arroz irrigado'!$E12:INDEX('Arroz irrigado'!$E12:$Z12,MIN(AU$6-$E$3,22))),0))-IF($G$2,0,IF((AU$6-$G$3)&lt;1,0,IFERROR(LOOKUP(2,1/('Arroz irrigado'!$E12:INDEX('Arroz irrigado'!$E12:$Z12,MIN(AU$6-$G$3,22))&lt;&gt;""),'Arroz irrigado'!$E12:INDEX('Arroz irrigado'!$E12:$Z12,MIN(AU$6-$G$3,22))),0)))))</f>
        <v>0</v>
      </c>
      <c r="AV14" s="27" t="n">
        <f aca="false">IF(COUNT('Arroz irrigado'!$E12:$Z12)=0,0,MAX(0,IF((AV$6-$E$3)&lt;1,0,IFERROR(LOOKUP(2,1/('Arroz irrigado'!$E12:INDEX('Arroz irrigado'!$E12:$Z12,MIN(AV$6-$E$3,22))&lt;&gt;""),'Arroz irrigado'!$E12:INDEX('Arroz irrigado'!$E12:$Z12,MIN(AV$6-$E$3,22))),0))-IF($G$2,0,IF((AV$6-$G$3)&lt;1,0,IFERROR(LOOKUP(2,1/('Arroz irrigado'!$E12:INDEX('Arroz irrigado'!$E12:$Z12,MIN(AV$6-$G$3,22))&lt;&gt;""),'Arroz irrigado'!$E12:INDEX('Arroz irrigado'!$E12:$Z12,MIN(AV$6-$G$3,22))),0)))))</f>
        <v>0</v>
      </c>
      <c r="AW14" s="27" t="n">
        <f aca="false">IF(COUNT('Arroz irrigado'!$E12:$Z12)=0,0,MAX(0,IF((AW$6-$E$3)&lt;1,0,IFERROR(LOOKUP(2,1/('Arroz irrigado'!$E12:INDEX('Arroz irrigado'!$E12:$Z12,MIN(AW$6-$E$3,22))&lt;&gt;""),'Arroz irrigado'!$E12:INDEX('Arroz irrigado'!$E12:$Z12,MIN(AW$6-$E$3,22))),0))-IF($G$2,0,IF((AW$6-$G$3)&lt;1,0,IFERROR(LOOKUP(2,1/('Arroz irrigado'!$E12:INDEX('Arroz irrigado'!$E12:$Z12,MIN(AW$6-$G$3,22))&lt;&gt;""),'Arroz irrigado'!$E12:INDEX('Arroz irrigado'!$E12:$Z12,MIN(AW$6-$G$3,22))),0)))))</f>
        <v>0</v>
      </c>
      <c r="AX14" s="27" t="n">
        <f aca="false">IF(COUNT('Arroz irrigado'!$E12:$Z12)=0,0,MAX(0,IF((AX$6-$E$3)&lt;1,0,IFERROR(LOOKUP(2,1/('Arroz irrigado'!$E12:INDEX('Arroz irrigado'!$E12:$Z12,MIN(AX$6-$E$3,22))&lt;&gt;""),'Arroz irrigado'!$E12:INDEX('Arroz irrigado'!$E12:$Z12,MIN(AX$6-$E$3,22))),0))-IF($G$2,0,IF((AX$6-$G$3)&lt;1,0,IFERROR(LOOKUP(2,1/('Arroz irrigado'!$E12:INDEX('Arroz irrigado'!$E12:$Z12,MIN(AX$6-$G$3,22))&lt;&gt;""),'Arroz irrigado'!$E12:INDEX('Arroz irrigado'!$E12:$Z12,MIN(AX$6-$G$3,22))),0)))))</f>
        <v>0</v>
      </c>
      <c r="AY14" s="27" t="n">
        <f aca="false">IF(COUNT('Arroz irrigado'!$E12:$Z12)=0,0,MAX(0,IF((AY$6-$E$3)&lt;1,0,IFERROR(LOOKUP(2,1/('Arroz irrigado'!$E12:INDEX('Arroz irrigado'!$E12:$Z12,MIN(AY$6-$E$3,22))&lt;&gt;""),'Arroz irrigado'!$E12:INDEX('Arroz irrigado'!$E12:$Z12,MIN(AY$6-$E$3,22))),0))-IF($G$2,0,IF((AY$6-$G$3)&lt;1,0,IFERROR(LOOKUP(2,1/('Arroz irrigado'!$E12:INDEX('Arroz irrigado'!$E12:$Z12,MIN(AY$6-$G$3,22))&lt;&gt;""),'Arroz irrigado'!$E12:INDEX('Arroz irrigado'!$E12:$Z12,MIN(AY$6-$G$3,22))),0)))))</f>
        <v>0</v>
      </c>
      <c r="AZ14" s="27" t="n">
        <f aca="false">IF(COUNT('Arroz irrigado'!$E12:$Z12)=0,0,MAX(0,IF((AZ$6-$E$3)&lt;1,0,IFERROR(LOOKUP(2,1/('Arroz irrigado'!$E12:INDEX('Arroz irrigado'!$E12:$Z12,MIN(AZ$6-$E$3,22))&lt;&gt;""),'Arroz irrigado'!$E12:INDEX('Arroz irrigado'!$E12:$Z12,MIN(AZ$6-$E$3,22))),0))-IF($G$2,0,IF((AZ$6-$G$3)&lt;1,0,IFERROR(LOOKUP(2,1/('Arroz irrigado'!$E12:INDEX('Arroz irrigado'!$E12:$Z12,MIN(AZ$6-$G$3,22))&lt;&gt;""),'Arroz irrigado'!$E12:INDEX('Arroz irrigado'!$E12:$Z12,MIN(AZ$6-$G$3,22))),0)))))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IF(COUNT('Arroz irrigado'!$E13:$Z13)&gt;0,N('Arroz irrigado'!$D13),0)</f>
        <v>0</v>
      </c>
      <c r="E15" s="27" t="n">
        <f aca="false">IF(COUNT('Arroz irrigado'!$E13:$Z13)=0,0,MAX(0,IF((E$6-$E$3)&lt;1,0,IFERROR(LOOKUP(2,1/('Arroz irrigado'!$E13:INDEX('Arroz irrigado'!$E13:$Z13,MIN(E$6-$E$3,22))&lt;&gt;""),'Arroz irrigado'!$E13:INDEX('Arroz irrigado'!$E13:$Z13,MIN(E$6-$E$3,22))),0))-IF($G$2,0,IF((E$6-$G$3)&lt;1,0,IFERROR(LOOKUP(2,1/('Arroz irrigado'!$E13:INDEX('Arroz irrigado'!$E13:$Z13,MIN(E$6-$G$3,22))&lt;&gt;""),'Arroz irrigado'!$E13:INDEX('Arroz irrigado'!$E13:$Z13,MIN(E$6-$G$3,22))),0)))))</f>
        <v>0</v>
      </c>
      <c r="F15" s="27" t="n">
        <f aca="false">IF(COUNT('Arroz irrigado'!$E13:$Z13)=0,0,MAX(0,IF((F$6-$E$3)&lt;1,0,IFERROR(LOOKUP(2,1/('Arroz irrigado'!$E13:INDEX('Arroz irrigado'!$E13:$Z13,MIN(F$6-$E$3,22))&lt;&gt;""),'Arroz irrigado'!$E13:INDEX('Arroz irrigado'!$E13:$Z13,MIN(F$6-$E$3,22))),0))-IF($G$2,0,IF((F$6-$G$3)&lt;1,0,IFERROR(LOOKUP(2,1/('Arroz irrigado'!$E13:INDEX('Arroz irrigado'!$E13:$Z13,MIN(F$6-$G$3,22))&lt;&gt;""),'Arroz irrigado'!$E13:INDEX('Arroz irrigado'!$E13:$Z13,MIN(F$6-$G$3,22))),0)))))</f>
        <v>0</v>
      </c>
      <c r="G15" s="27" t="n">
        <f aca="false">IF(COUNT('Arroz irrigado'!$E13:$Z13)=0,0,MAX(0,IF((G$6-$E$3)&lt;1,0,IFERROR(LOOKUP(2,1/('Arroz irrigado'!$E13:INDEX('Arroz irrigado'!$E13:$Z13,MIN(G$6-$E$3,22))&lt;&gt;""),'Arroz irrigado'!$E13:INDEX('Arroz irrigado'!$E13:$Z13,MIN(G$6-$E$3,22))),0))-IF($G$2,0,IF((G$6-$G$3)&lt;1,0,IFERROR(LOOKUP(2,1/('Arroz irrigado'!$E13:INDEX('Arroz irrigado'!$E13:$Z13,MIN(G$6-$G$3,22))&lt;&gt;""),'Arroz irrigado'!$E13:INDEX('Arroz irrigado'!$E13:$Z13,MIN(G$6-$G$3,22))),0)))))</f>
        <v>0</v>
      </c>
      <c r="H15" s="27" t="n">
        <f aca="false">IF(COUNT('Arroz irrigado'!$E13:$Z13)=0,0,MAX(0,IF((H$6-$E$3)&lt;1,0,IFERROR(LOOKUP(2,1/('Arroz irrigado'!$E13:INDEX('Arroz irrigado'!$E13:$Z13,MIN(H$6-$E$3,22))&lt;&gt;""),'Arroz irrigado'!$E13:INDEX('Arroz irrigado'!$E13:$Z13,MIN(H$6-$E$3,22))),0))-IF($G$2,0,IF((H$6-$G$3)&lt;1,0,IFERROR(LOOKUP(2,1/('Arroz irrigado'!$E13:INDEX('Arroz irrigado'!$E13:$Z13,MIN(H$6-$G$3,22))&lt;&gt;""),'Arroz irrigado'!$E13:INDEX('Arroz irrigado'!$E13:$Z13,MIN(H$6-$G$3,22))),0)))))</f>
        <v>0</v>
      </c>
      <c r="I15" s="27" t="n">
        <f aca="false">IF(COUNT('Arroz irrigado'!$E13:$Z13)=0,0,MAX(0,IF((I$6-$E$3)&lt;1,0,IFERROR(LOOKUP(2,1/('Arroz irrigado'!$E13:INDEX('Arroz irrigado'!$E13:$Z13,MIN(I$6-$E$3,22))&lt;&gt;""),'Arroz irrigado'!$E13:INDEX('Arroz irrigado'!$E13:$Z13,MIN(I$6-$E$3,22))),0))-IF($G$2,0,IF((I$6-$G$3)&lt;1,0,IFERROR(LOOKUP(2,1/('Arroz irrigado'!$E13:INDEX('Arroz irrigado'!$E13:$Z13,MIN(I$6-$G$3,22))&lt;&gt;""),'Arroz irrigado'!$E13:INDEX('Arroz irrigado'!$E13:$Z13,MIN(I$6-$G$3,22))),0)))))</f>
        <v>0</v>
      </c>
      <c r="J15" s="27" t="n">
        <f aca="false">IF(COUNT('Arroz irrigado'!$E13:$Z13)=0,0,MAX(0,IF((J$6-$E$3)&lt;1,0,IFERROR(LOOKUP(2,1/('Arroz irrigado'!$E13:INDEX('Arroz irrigado'!$E13:$Z13,MIN(J$6-$E$3,22))&lt;&gt;""),'Arroz irrigado'!$E13:INDEX('Arroz irrigado'!$E13:$Z13,MIN(J$6-$E$3,22))),0))-IF($G$2,0,IF((J$6-$G$3)&lt;1,0,IFERROR(LOOKUP(2,1/('Arroz irrigado'!$E13:INDEX('Arroz irrigado'!$E13:$Z13,MIN(J$6-$G$3,22))&lt;&gt;""),'Arroz irrigado'!$E13:INDEX('Arroz irrigado'!$E13:$Z13,MIN(J$6-$G$3,22))),0)))))</f>
        <v>0</v>
      </c>
      <c r="K15" s="27" t="n">
        <f aca="false">IF(COUNT('Arroz irrigado'!$E13:$Z13)=0,0,MAX(0,IF((K$6-$E$3)&lt;1,0,IFERROR(LOOKUP(2,1/('Arroz irrigado'!$E13:INDEX('Arroz irrigado'!$E13:$Z13,MIN(K$6-$E$3,22))&lt;&gt;""),'Arroz irrigado'!$E13:INDEX('Arroz irrigado'!$E13:$Z13,MIN(K$6-$E$3,22))),0))-IF($G$2,0,IF((K$6-$G$3)&lt;1,0,IFERROR(LOOKUP(2,1/('Arroz irrigado'!$E13:INDEX('Arroz irrigado'!$E13:$Z13,MIN(K$6-$G$3,22))&lt;&gt;""),'Arroz irrigado'!$E13:INDEX('Arroz irrigado'!$E13:$Z13,MIN(K$6-$G$3,22))),0)))))</f>
        <v>0</v>
      </c>
      <c r="L15" s="27" t="n">
        <f aca="false">IF(COUNT('Arroz irrigado'!$E13:$Z13)=0,0,MAX(0,IF((L$6-$E$3)&lt;1,0,IFERROR(LOOKUP(2,1/('Arroz irrigado'!$E13:INDEX('Arroz irrigado'!$E13:$Z13,MIN(L$6-$E$3,22))&lt;&gt;""),'Arroz irrigado'!$E13:INDEX('Arroz irrigado'!$E13:$Z13,MIN(L$6-$E$3,22))),0))-IF($G$2,0,IF((L$6-$G$3)&lt;1,0,IFERROR(LOOKUP(2,1/('Arroz irrigado'!$E13:INDEX('Arroz irrigado'!$E13:$Z13,MIN(L$6-$G$3,22))&lt;&gt;""),'Arroz irrigado'!$E13:INDEX('Arroz irrigado'!$E13:$Z13,MIN(L$6-$G$3,22))),0)))))</f>
        <v>0</v>
      </c>
      <c r="M15" s="27" t="n">
        <f aca="false">IF(COUNT('Arroz irrigado'!$E13:$Z13)=0,0,MAX(0,IF((M$6-$E$3)&lt;1,0,IFERROR(LOOKUP(2,1/('Arroz irrigado'!$E13:INDEX('Arroz irrigado'!$E13:$Z13,MIN(M$6-$E$3,22))&lt;&gt;""),'Arroz irrigado'!$E13:INDEX('Arroz irrigado'!$E13:$Z13,MIN(M$6-$E$3,22))),0))-IF($G$2,0,IF((M$6-$G$3)&lt;1,0,IFERROR(LOOKUP(2,1/('Arroz irrigado'!$E13:INDEX('Arroz irrigado'!$E13:$Z13,MIN(M$6-$G$3,22))&lt;&gt;""),'Arroz irrigado'!$E13:INDEX('Arroz irrigado'!$E13:$Z13,MIN(M$6-$G$3,22))),0)))))</f>
        <v>0</v>
      </c>
      <c r="N15" s="27" t="n">
        <f aca="false">IF(COUNT('Arroz irrigado'!$E13:$Z13)=0,0,MAX(0,IF((N$6-$E$3)&lt;1,0,IFERROR(LOOKUP(2,1/('Arroz irrigado'!$E13:INDEX('Arroz irrigado'!$E13:$Z13,MIN(N$6-$E$3,22))&lt;&gt;""),'Arroz irrigado'!$E13:INDEX('Arroz irrigado'!$E13:$Z13,MIN(N$6-$E$3,22))),0))-IF($G$2,0,IF((N$6-$G$3)&lt;1,0,IFERROR(LOOKUP(2,1/('Arroz irrigado'!$E13:INDEX('Arroz irrigado'!$E13:$Z13,MIN(N$6-$G$3,22))&lt;&gt;""),'Arroz irrigado'!$E13:INDEX('Arroz irrigado'!$E13:$Z13,MIN(N$6-$G$3,22))),0)))))</f>
        <v>0</v>
      </c>
      <c r="O15" s="27" t="n">
        <f aca="false">IF(COUNT('Arroz irrigado'!$E13:$Z13)=0,0,MAX(0,IF((O$6-$E$3)&lt;1,0,IFERROR(LOOKUP(2,1/('Arroz irrigado'!$E13:INDEX('Arroz irrigado'!$E13:$Z13,MIN(O$6-$E$3,22))&lt;&gt;""),'Arroz irrigado'!$E13:INDEX('Arroz irrigado'!$E13:$Z13,MIN(O$6-$E$3,22))),0))-IF($G$2,0,IF((O$6-$G$3)&lt;1,0,IFERROR(LOOKUP(2,1/('Arroz irrigado'!$E13:INDEX('Arroz irrigado'!$E13:$Z13,MIN(O$6-$G$3,22))&lt;&gt;""),'Arroz irrigado'!$E13:INDEX('Arroz irrigado'!$E13:$Z13,MIN(O$6-$G$3,22))),0)))))</f>
        <v>0</v>
      </c>
      <c r="P15" s="27" t="n">
        <f aca="false">IF(COUNT('Arroz irrigado'!$E13:$Z13)=0,0,MAX(0,IF((P$6-$E$3)&lt;1,0,IFERROR(LOOKUP(2,1/('Arroz irrigado'!$E13:INDEX('Arroz irrigado'!$E13:$Z13,MIN(P$6-$E$3,22))&lt;&gt;""),'Arroz irrigado'!$E13:INDEX('Arroz irrigado'!$E13:$Z13,MIN(P$6-$E$3,22))),0))-IF($G$2,0,IF((P$6-$G$3)&lt;1,0,IFERROR(LOOKUP(2,1/('Arroz irrigado'!$E13:INDEX('Arroz irrigado'!$E13:$Z13,MIN(P$6-$G$3,22))&lt;&gt;""),'Arroz irrigado'!$E13:INDEX('Arroz irrigado'!$E13:$Z13,MIN(P$6-$G$3,22))),0)))))</f>
        <v>0</v>
      </c>
      <c r="Q15" s="27" t="n">
        <f aca="false">IF(COUNT('Arroz irrigado'!$E13:$Z13)=0,0,MAX(0,IF((Q$6-$E$3)&lt;1,0,IFERROR(LOOKUP(2,1/('Arroz irrigado'!$E13:INDEX('Arroz irrigado'!$E13:$Z13,MIN(Q$6-$E$3,22))&lt;&gt;""),'Arroz irrigado'!$E13:INDEX('Arroz irrigado'!$E13:$Z13,MIN(Q$6-$E$3,22))),0))-IF($G$2,0,IF((Q$6-$G$3)&lt;1,0,IFERROR(LOOKUP(2,1/('Arroz irrigado'!$E13:INDEX('Arroz irrigado'!$E13:$Z13,MIN(Q$6-$G$3,22))&lt;&gt;""),'Arroz irrigado'!$E13:INDEX('Arroz irrigado'!$E13:$Z13,MIN(Q$6-$G$3,22))),0)))))</f>
        <v>0</v>
      </c>
      <c r="R15" s="27" t="n">
        <f aca="false">IF(COUNT('Arroz irrigado'!$E13:$Z13)=0,0,MAX(0,IF((R$6-$E$3)&lt;1,0,IFERROR(LOOKUP(2,1/('Arroz irrigado'!$E13:INDEX('Arroz irrigado'!$E13:$Z13,MIN(R$6-$E$3,22))&lt;&gt;""),'Arroz irrigado'!$E13:INDEX('Arroz irrigado'!$E13:$Z13,MIN(R$6-$E$3,22))),0))-IF($G$2,0,IF((R$6-$G$3)&lt;1,0,IFERROR(LOOKUP(2,1/('Arroz irrigado'!$E13:INDEX('Arroz irrigado'!$E13:$Z13,MIN(R$6-$G$3,22))&lt;&gt;""),'Arroz irrigado'!$E13:INDEX('Arroz irrigado'!$E13:$Z13,MIN(R$6-$G$3,22))),0)))))</f>
        <v>0</v>
      </c>
      <c r="S15" s="27" t="n">
        <f aca="false">IF(COUNT('Arroz irrigado'!$E13:$Z13)=0,0,MAX(0,IF((S$6-$E$3)&lt;1,0,IFERROR(LOOKUP(2,1/('Arroz irrigado'!$E13:INDEX('Arroz irrigado'!$E13:$Z13,MIN(S$6-$E$3,22))&lt;&gt;""),'Arroz irrigado'!$E13:INDEX('Arroz irrigado'!$E13:$Z13,MIN(S$6-$E$3,22))),0))-IF($G$2,0,IF((S$6-$G$3)&lt;1,0,IFERROR(LOOKUP(2,1/('Arroz irrigado'!$E13:INDEX('Arroz irrigado'!$E13:$Z13,MIN(S$6-$G$3,22))&lt;&gt;""),'Arroz irrigado'!$E13:INDEX('Arroz irrigado'!$E13:$Z13,MIN(S$6-$G$3,22))),0)))))</f>
        <v>0</v>
      </c>
      <c r="T15" s="27" t="n">
        <f aca="false">IF(COUNT('Arroz irrigado'!$E13:$Z13)=0,0,MAX(0,IF((T$6-$E$3)&lt;1,0,IFERROR(LOOKUP(2,1/('Arroz irrigado'!$E13:INDEX('Arroz irrigado'!$E13:$Z13,MIN(T$6-$E$3,22))&lt;&gt;""),'Arroz irrigado'!$E13:INDEX('Arroz irrigado'!$E13:$Z13,MIN(T$6-$E$3,22))),0))-IF($G$2,0,IF((T$6-$G$3)&lt;1,0,IFERROR(LOOKUP(2,1/('Arroz irrigado'!$E13:INDEX('Arroz irrigado'!$E13:$Z13,MIN(T$6-$G$3,22))&lt;&gt;""),'Arroz irrigado'!$E13:INDEX('Arroz irrigado'!$E13:$Z13,MIN(T$6-$G$3,22))),0)))))</f>
        <v>0</v>
      </c>
      <c r="U15" s="27" t="n">
        <f aca="false">IF(COUNT('Arroz irrigado'!$E13:$Z13)=0,0,MAX(0,IF((U$6-$E$3)&lt;1,0,IFERROR(LOOKUP(2,1/('Arroz irrigado'!$E13:INDEX('Arroz irrigado'!$E13:$Z13,MIN(U$6-$E$3,22))&lt;&gt;""),'Arroz irrigado'!$E13:INDEX('Arroz irrigado'!$E13:$Z13,MIN(U$6-$E$3,22))),0))-IF($G$2,0,IF((U$6-$G$3)&lt;1,0,IFERROR(LOOKUP(2,1/('Arroz irrigado'!$E13:INDEX('Arroz irrigado'!$E13:$Z13,MIN(U$6-$G$3,22))&lt;&gt;""),'Arroz irrigado'!$E13:INDEX('Arroz irrigado'!$E13:$Z13,MIN(U$6-$G$3,22))),0)))))</f>
        <v>0</v>
      </c>
      <c r="V15" s="27" t="n">
        <f aca="false">IF(COUNT('Arroz irrigado'!$E13:$Z13)=0,0,MAX(0,IF((V$6-$E$3)&lt;1,0,IFERROR(LOOKUP(2,1/('Arroz irrigado'!$E13:INDEX('Arroz irrigado'!$E13:$Z13,MIN(V$6-$E$3,22))&lt;&gt;""),'Arroz irrigado'!$E13:INDEX('Arroz irrigado'!$E13:$Z13,MIN(V$6-$E$3,22))),0))-IF($G$2,0,IF((V$6-$G$3)&lt;1,0,IFERROR(LOOKUP(2,1/('Arroz irrigado'!$E13:INDEX('Arroz irrigado'!$E13:$Z13,MIN(V$6-$G$3,22))&lt;&gt;""),'Arroz irrigado'!$E13:INDEX('Arroz irrigado'!$E13:$Z13,MIN(V$6-$G$3,22))),0)))))</f>
        <v>0</v>
      </c>
      <c r="W15" s="27" t="n">
        <f aca="false">IF(COUNT('Arroz irrigado'!$E13:$Z13)=0,0,MAX(0,IF((W$6-$E$3)&lt;1,0,IFERROR(LOOKUP(2,1/('Arroz irrigado'!$E13:INDEX('Arroz irrigado'!$E13:$Z13,MIN(W$6-$E$3,22))&lt;&gt;""),'Arroz irrigado'!$E13:INDEX('Arroz irrigado'!$E13:$Z13,MIN(W$6-$E$3,22))),0))-IF($G$2,0,IF((W$6-$G$3)&lt;1,0,IFERROR(LOOKUP(2,1/('Arroz irrigado'!$E13:INDEX('Arroz irrigado'!$E13:$Z13,MIN(W$6-$G$3,22))&lt;&gt;""),'Arroz irrigado'!$E13:INDEX('Arroz irrigado'!$E13:$Z13,MIN(W$6-$G$3,22))),0)))))</f>
        <v>0</v>
      </c>
      <c r="X15" s="27" t="n">
        <f aca="false">IF(COUNT('Arroz irrigado'!$E13:$Z13)=0,0,MAX(0,IF((X$6-$E$3)&lt;1,0,IFERROR(LOOKUP(2,1/('Arroz irrigado'!$E13:INDEX('Arroz irrigado'!$E13:$Z13,MIN(X$6-$E$3,22))&lt;&gt;""),'Arroz irrigado'!$E13:INDEX('Arroz irrigado'!$E13:$Z13,MIN(X$6-$E$3,22))),0))-IF($G$2,0,IF((X$6-$G$3)&lt;1,0,IFERROR(LOOKUP(2,1/('Arroz irrigado'!$E13:INDEX('Arroz irrigado'!$E13:$Z13,MIN(X$6-$G$3,22))&lt;&gt;""),'Arroz irrigado'!$E13:INDEX('Arroz irrigado'!$E13:$Z13,MIN(X$6-$G$3,22))),0)))))</f>
        <v>0</v>
      </c>
      <c r="Y15" s="27" t="n">
        <f aca="false">IF(COUNT('Arroz irrigado'!$E13:$Z13)=0,0,MAX(0,IF((Y$6-$E$3)&lt;1,0,IFERROR(LOOKUP(2,1/('Arroz irrigado'!$E13:INDEX('Arroz irrigado'!$E13:$Z13,MIN(Y$6-$E$3,22))&lt;&gt;""),'Arroz irrigado'!$E13:INDEX('Arroz irrigado'!$E13:$Z13,MIN(Y$6-$E$3,22))),0))-IF($G$2,0,IF((Y$6-$G$3)&lt;1,0,IFERROR(LOOKUP(2,1/('Arroz irrigado'!$E13:INDEX('Arroz irrigado'!$E13:$Z13,MIN(Y$6-$G$3,22))&lt;&gt;""),'Arroz irrigado'!$E13:INDEX('Arroz irrigado'!$E13:$Z13,MIN(Y$6-$G$3,22))),0)))))</f>
        <v>0</v>
      </c>
      <c r="Z15" s="27" t="n">
        <f aca="false">IF(COUNT('Arroz irrigado'!$E13:$Z13)=0,0,MAX(0,IF((Z$6-$E$3)&lt;1,0,IFERROR(LOOKUP(2,1/('Arroz irrigado'!$E13:INDEX('Arroz irrigado'!$E13:$Z13,MIN(Z$6-$E$3,22))&lt;&gt;""),'Arroz irrigado'!$E13:INDEX('Arroz irrigado'!$E13:$Z13,MIN(Z$6-$E$3,22))),0))-IF($G$2,0,IF((Z$6-$G$3)&lt;1,0,IFERROR(LOOKUP(2,1/('Arroz irrigado'!$E13:INDEX('Arroz irrigado'!$E13:$Z13,MIN(Z$6-$G$3,22))&lt;&gt;""),'Arroz irrigado'!$E13:INDEX('Arroz irrigado'!$E13:$Z13,MIN(Z$6-$G$3,22))),0)))))</f>
        <v>0</v>
      </c>
      <c r="AA15" s="27" t="n">
        <f aca="false">IF(COUNT('Arroz irrigado'!$E13:$Z13)=0,0,MAX(0,IF((AA$6-$E$3)&lt;1,0,IFERROR(LOOKUP(2,1/('Arroz irrigado'!$E13:INDEX('Arroz irrigado'!$E13:$Z13,MIN(AA$6-$E$3,22))&lt;&gt;""),'Arroz irrigado'!$E13:INDEX('Arroz irrigado'!$E13:$Z13,MIN(AA$6-$E$3,22))),0))-IF($G$2,0,IF((AA$6-$G$3)&lt;1,0,IFERROR(LOOKUP(2,1/('Arroz irrigado'!$E13:INDEX('Arroz irrigado'!$E13:$Z13,MIN(AA$6-$G$3,22))&lt;&gt;""),'Arroz irrigado'!$E13:INDEX('Arroz irrigado'!$E13:$Z13,MIN(AA$6-$G$3,22))),0)))))</f>
        <v>0</v>
      </c>
      <c r="AB15" s="27" t="n">
        <f aca="false">IF(COUNT('Arroz irrigado'!$E13:$Z13)=0,0,MAX(0,IF((AB$6-$E$3)&lt;1,0,IFERROR(LOOKUP(2,1/('Arroz irrigado'!$E13:INDEX('Arroz irrigado'!$E13:$Z13,MIN(AB$6-$E$3,22))&lt;&gt;""),'Arroz irrigado'!$E13:INDEX('Arroz irrigado'!$E13:$Z13,MIN(AB$6-$E$3,22))),0))-IF($G$2,0,IF((AB$6-$G$3)&lt;1,0,IFERROR(LOOKUP(2,1/('Arroz irrigado'!$E13:INDEX('Arroz irrigado'!$E13:$Z13,MIN(AB$6-$G$3,22))&lt;&gt;""),'Arroz irrigado'!$E13:INDEX('Arroz irrigado'!$E13:$Z13,MIN(AB$6-$G$3,22))),0)))))</f>
        <v>0</v>
      </c>
      <c r="AC15" s="27" t="n">
        <f aca="false">IF(COUNT('Arroz irrigado'!$E13:$Z13)=0,0,MAX(0,IF((AC$6-$E$3)&lt;1,0,IFERROR(LOOKUP(2,1/('Arroz irrigado'!$E13:INDEX('Arroz irrigado'!$E13:$Z13,MIN(AC$6-$E$3,22))&lt;&gt;""),'Arroz irrigado'!$E13:INDEX('Arroz irrigado'!$E13:$Z13,MIN(AC$6-$E$3,22))),0))-IF($G$2,0,IF((AC$6-$G$3)&lt;1,0,IFERROR(LOOKUP(2,1/('Arroz irrigado'!$E13:INDEX('Arroz irrigado'!$E13:$Z13,MIN(AC$6-$G$3,22))&lt;&gt;""),'Arroz irrigado'!$E13:INDEX('Arroz irrigado'!$E13:$Z13,MIN(AC$6-$G$3,22))),0)))))</f>
        <v>0</v>
      </c>
      <c r="AD15" s="27" t="n">
        <f aca="false">IF(COUNT('Arroz irrigado'!$E13:$Z13)=0,0,MAX(0,IF((AD$6-$E$3)&lt;1,0,IFERROR(LOOKUP(2,1/('Arroz irrigado'!$E13:INDEX('Arroz irrigado'!$E13:$Z13,MIN(AD$6-$E$3,22))&lt;&gt;""),'Arroz irrigado'!$E13:INDEX('Arroz irrigado'!$E13:$Z13,MIN(AD$6-$E$3,22))),0))-IF($G$2,0,IF((AD$6-$G$3)&lt;1,0,IFERROR(LOOKUP(2,1/('Arroz irrigado'!$E13:INDEX('Arroz irrigado'!$E13:$Z13,MIN(AD$6-$G$3,22))&lt;&gt;""),'Arroz irrigado'!$E13:INDEX('Arroz irrigado'!$E13:$Z13,MIN(AD$6-$G$3,22))),0)))))</f>
        <v>0</v>
      </c>
      <c r="AE15" s="27" t="n">
        <f aca="false">IF(COUNT('Arroz irrigado'!$E13:$Z13)=0,0,MAX(0,IF((AE$6-$E$3)&lt;1,0,IFERROR(LOOKUP(2,1/('Arroz irrigado'!$E13:INDEX('Arroz irrigado'!$E13:$Z13,MIN(AE$6-$E$3,22))&lt;&gt;""),'Arroz irrigado'!$E13:INDEX('Arroz irrigado'!$E13:$Z13,MIN(AE$6-$E$3,22))),0))-IF($G$2,0,IF((AE$6-$G$3)&lt;1,0,IFERROR(LOOKUP(2,1/('Arroz irrigado'!$E13:INDEX('Arroz irrigado'!$E13:$Z13,MIN(AE$6-$G$3,22))&lt;&gt;""),'Arroz irrigado'!$E13:INDEX('Arroz irrigado'!$E13:$Z13,MIN(AE$6-$G$3,22))),0)))))</f>
        <v>0</v>
      </c>
      <c r="AF15" s="27" t="n">
        <f aca="false">IF(COUNT('Arroz irrigado'!$E13:$Z13)=0,0,MAX(0,IF((AF$6-$E$3)&lt;1,0,IFERROR(LOOKUP(2,1/('Arroz irrigado'!$E13:INDEX('Arroz irrigado'!$E13:$Z13,MIN(AF$6-$E$3,22))&lt;&gt;""),'Arroz irrigado'!$E13:INDEX('Arroz irrigado'!$E13:$Z13,MIN(AF$6-$E$3,22))),0))-IF($G$2,0,IF((AF$6-$G$3)&lt;1,0,IFERROR(LOOKUP(2,1/('Arroz irrigado'!$E13:INDEX('Arroz irrigado'!$E13:$Z13,MIN(AF$6-$G$3,22))&lt;&gt;""),'Arroz irrigado'!$E13:INDEX('Arroz irrigado'!$E13:$Z13,MIN(AF$6-$G$3,22))),0)))))</f>
        <v>0</v>
      </c>
      <c r="AG15" s="27" t="n">
        <f aca="false">IF(COUNT('Arroz irrigado'!$E13:$Z13)=0,0,MAX(0,IF((AG$6-$E$3)&lt;1,0,IFERROR(LOOKUP(2,1/('Arroz irrigado'!$E13:INDEX('Arroz irrigado'!$E13:$Z13,MIN(AG$6-$E$3,22))&lt;&gt;""),'Arroz irrigado'!$E13:INDEX('Arroz irrigado'!$E13:$Z13,MIN(AG$6-$E$3,22))),0))-IF($G$2,0,IF((AG$6-$G$3)&lt;1,0,IFERROR(LOOKUP(2,1/('Arroz irrigado'!$E13:INDEX('Arroz irrigado'!$E13:$Z13,MIN(AG$6-$G$3,22))&lt;&gt;""),'Arroz irrigado'!$E13:INDEX('Arroz irrigado'!$E13:$Z13,MIN(AG$6-$G$3,22))),0)))))</f>
        <v>0</v>
      </c>
      <c r="AH15" s="27" t="n">
        <f aca="false">IF(COUNT('Arroz irrigado'!$E13:$Z13)=0,0,MAX(0,IF((AH$6-$E$3)&lt;1,0,IFERROR(LOOKUP(2,1/('Arroz irrigado'!$E13:INDEX('Arroz irrigado'!$E13:$Z13,MIN(AH$6-$E$3,22))&lt;&gt;""),'Arroz irrigado'!$E13:INDEX('Arroz irrigado'!$E13:$Z13,MIN(AH$6-$E$3,22))),0))-IF($G$2,0,IF((AH$6-$G$3)&lt;1,0,IFERROR(LOOKUP(2,1/('Arroz irrigado'!$E13:INDEX('Arroz irrigado'!$E13:$Z13,MIN(AH$6-$G$3,22))&lt;&gt;""),'Arroz irrigado'!$E13:INDEX('Arroz irrigado'!$E13:$Z13,MIN(AH$6-$G$3,22))),0)))))</f>
        <v>0</v>
      </c>
      <c r="AI15" s="27" t="n">
        <f aca="false">IF(COUNT('Arroz irrigado'!$E13:$Z13)=0,0,MAX(0,IF((AI$6-$E$3)&lt;1,0,IFERROR(LOOKUP(2,1/('Arroz irrigado'!$E13:INDEX('Arroz irrigado'!$E13:$Z13,MIN(AI$6-$E$3,22))&lt;&gt;""),'Arroz irrigado'!$E13:INDEX('Arroz irrigado'!$E13:$Z13,MIN(AI$6-$E$3,22))),0))-IF($G$2,0,IF((AI$6-$G$3)&lt;1,0,IFERROR(LOOKUP(2,1/('Arroz irrigado'!$E13:INDEX('Arroz irrigado'!$E13:$Z13,MIN(AI$6-$G$3,22))&lt;&gt;""),'Arroz irrigado'!$E13:INDEX('Arroz irrigado'!$E13:$Z13,MIN(AI$6-$G$3,22))),0)))))</f>
        <v>0</v>
      </c>
      <c r="AJ15" s="27" t="n">
        <f aca="false">IF(COUNT('Arroz irrigado'!$E13:$Z13)=0,0,MAX(0,IF((AJ$6-$E$3)&lt;1,0,IFERROR(LOOKUP(2,1/('Arroz irrigado'!$E13:INDEX('Arroz irrigado'!$E13:$Z13,MIN(AJ$6-$E$3,22))&lt;&gt;""),'Arroz irrigado'!$E13:INDEX('Arroz irrigado'!$E13:$Z13,MIN(AJ$6-$E$3,22))),0))-IF($G$2,0,IF((AJ$6-$G$3)&lt;1,0,IFERROR(LOOKUP(2,1/('Arroz irrigado'!$E13:INDEX('Arroz irrigado'!$E13:$Z13,MIN(AJ$6-$G$3,22))&lt;&gt;""),'Arroz irrigado'!$E13:INDEX('Arroz irrigado'!$E13:$Z13,MIN(AJ$6-$G$3,22))),0)))))</f>
        <v>0</v>
      </c>
      <c r="AK15" s="27" t="n">
        <f aca="false">IF(COUNT('Arroz irrigado'!$E13:$Z13)=0,0,MAX(0,IF((AK$6-$E$3)&lt;1,0,IFERROR(LOOKUP(2,1/('Arroz irrigado'!$E13:INDEX('Arroz irrigado'!$E13:$Z13,MIN(AK$6-$E$3,22))&lt;&gt;""),'Arroz irrigado'!$E13:INDEX('Arroz irrigado'!$E13:$Z13,MIN(AK$6-$E$3,22))),0))-IF($G$2,0,IF((AK$6-$G$3)&lt;1,0,IFERROR(LOOKUP(2,1/('Arroz irrigado'!$E13:INDEX('Arroz irrigado'!$E13:$Z13,MIN(AK$6-$G$3,22))&lt;&gt;""),'Arroz irrigado'!$E13:INDEX('Arroz irrigado'!$E13:$Z13,MIN(AK$6-$G$3,22))),0)))))</f>
        <v>0</v>
      </c>
      <c r="AL15" s="27" t="n">
        <f aca="false">IF(COUNT('Arroz irrigado'!$E13:$Z13)=0,0,MAX(0,IF((AL$6-$E$3)&lt;1,0,IFERROR(LOOKUP(2,1/('Arroz irrigado'!$E13:INDEX('Arroz irrigado'!$E13:$Z13,MIN(AL$6-$E$3,22))&lt;&gt;""),'Arroz irrigado'!$E13:INDEX('Arroz irrigado'!$E13:$Z13,MIN(AL$6-$E$3,22))),0))-IF($G$2,0,IF((AL$6-$G$3)&lt;1,0,IFERROR(LOOKUP(2,1/('Arroz irrigado'!$E13:INDEX('Arroz irrigado'!$E13:$Z13,MIN(AL$6-$G$3,22))&lt;&gt;""),'Arroz irrigado'!$E13:INDEX('Arroz irrigado'!$E13:$Z13,MIN(AL$6-$G$3,22))),0)))))</f>
        <v>0</v>
      </c>
      <c r="AM15" s="27" t="n">
        <f aca="false">IF(COUNT('Arroz irrigado'!$E13:$Z13)=0,0,MAX(0,IF((AM$6-$E$3)&lt;1,0,IFERROR(LOOKUP(2,1/('Arroz irrigado'!$E13:INDEX('Arroz irrigado'!$E13:$Z13,MIN(AM$6-$E$3,22))&lt;&gt;""),'Arroz irrigado'!$E13:INDEX('Arroz irrigado'!$E13:$Z13,MIN(AM$6-$E$3,22))),0))-IF($G$2,0,IF((AM$6-$G$3)&lt;1,0,IFERROR(LOOKUP(2,1/('Arroz irrigado'!$E13:INDEX('Arroz irrigado'!$E13:$Z13,MIN(AM$6-$G$3,22))&lt;&gt;""),'Arroz irrigado'!$E13:INDEX('Arroz irrigado'!$E13:$Z13,MIN(AM$6-$G$3,22))),0)))))</f>
        <v>0</v>
      </c>
      <c r="AN15" s="27" t="n">
        <f aca="false">IF(COUNT('Arroz irrigado'!$E13:$Z13)=0,0,MAX(0,IF((AN$6-$E$3)&lt;1,0,IFERROR(LOOKUP(2,1/('Arroz irrigado'!$E13:INDEX('Arroz irrigado'!$E13:$Z13,MIN(AN$6-$E$3,22))&lt;&gt;""),'Arroz irrigado'!$E13:INDEX('Arroz irrigado'!$E13:$Z13,MIN(AN$6-$E$3,22))),0))-IF($G$2,0,IF((AN$6-$G$3)&lt;1,0,IFERROR(LOOKUP(2,1/('Arroz irrigado'!$E13:INDEX('Arroz irrigado'!$E13:$Z13,MIN(AN$6-$G$3,22))&lt;&gt;""),'Arroz irrigado'!$E13:INDEX('Arroz irrigado'!$E13:$Z13,MIN(AN$6-$G$3,22))),0)))))</f>
        <v>0</v>
      </c>
      <c r="AO15" s="27" t="n">
        <f aca="false">IF(COUNT('Arroz irrigado'!$E13:$Z13)=0,0,MAX(0,IF((AO$6-$E$3)&lt;1,0,IFERROR(LOOKUP(2,1/('Arroz irrigado'!$E13:INDEX('Arroz irrigado'!$E13:$Z13,MIN(AO$6-$E$3,22))&lt;&gt;""),'Arroz irrigado'!$E13:INDEX('Arroz irrigado'!$E13:$Z13,MIN(AO$6-$E$3,22))),0))-IF($G$2,0,IF((AO$6-$G$3)&lt;1,0,IFERROR(LOOKUP(2,1/('Arroz irrigado'!$E13:INDEX('Arroz irrigado'!$E13:$Z13,MIN(AO$6-$G$3,22))&lt;&gt;""),'Arroz irrigado'!$E13:INDEX('Arroz irrigado'!$E13:$Z13,MIN(AO$6-$G$3,22))),0)))))</f>
        <v>0</v>
      </c>
      <c r="AP15" s="27" t="n">
        <f aca="false">IF(COUNT('Arroz irrigado'!$E13:$Z13)=0,0,MAX(0,IF((AP$6-$E$3)&lt;1,0,IFERROR(LOOKUP(2,1/('Arroz irrigado'!$E13:INDEX('Arroz irrigado'!$E13:$Z13,MIN(AP$6-$E$3,22))&lt;&gt;""),'Arroz irrigado'!$E13:INDEX('Arroz irrigado'!$E13:$Z13,MIN(AP$6-$E$3,22))),0))-IF($G$2,0,IF((AP$6-$G$3)&lt;1,0,IFERROR(LOOKUP(2,1/('Arroz irrigado'!$E13:INDEX('Arroz irrigado'!$E13:$Z13,MIN(AP$6-$G$3,22))&lt;&gt;""),'Arroz irrigado'!$E13:INDEX('Arroz irrigado'!$E13:$Z13,MIN(AP$6-$G$3,22))),0)))))</f>
        <v>0</v>
      </c>
      <c r="AQ15" s="27" t="n">
        <f aca="false">IF(COUNT('Arroz irrigado'!$E13:$Z13)=0,0,MAX(0,IF((AQ$6-$E$3)&lt;1,0,IFERROR(LOOKUP(2,1/('Arroz irrigado'!$E13:INDEX('Arroz irrigado'!$E13:$Z13,MIN(AQ$6-$E$3,22))&lt;&gt;""),'Arroz irrigado'!$E13:INDEX('Arroz irrigado'!$E13:$Z13,MIN(AQ$6-$E$3,22))),0))-IF($G$2,0,IF((AQ$6-$G$3)&lt;1,0,IFERROR(LOOKUP(2,1/('Arroz irrigado'!$E13:INDEX('Arroz irrigado'!$E13:$Z13,MIN(AQ$6-$G$3,22))&lt;&gt;""),'Arroz irrigado'!$E13:INDEX('Arroz irrigado'!$E13:$Z13,MIN(AQ$6-$G$3,22))),0)))))</f>
        <v>0</v>
      </c>
      <c r="AR15" s="27" t="n">
        <f aca="false">IF(COUNT('Arroz irrigado'!$E13:$Z13)=0,0,MAX(0,IF((AR$6-$E$3)&lt;1,0,IFERROR(LOOKUP(2,1/('Arroz irrigado'!$E13:INDEX('Arroz irrigado'!$E13:$Z13,MIN(AR$6-$E$3,22))&lt;&gt;""),'Arroz irrigado'!$E13:INDEX('Arroz irrigado'!$E13:$Z13,MIN(AR$6-$E$3,22))),0))-IF($G$2,0,IF((AR$6-$G$3)&lt;1,0,IFERROR(LOOKUP(2,1/('Arroz irrigado'!$E13:INDEX('Arroz irrigado'!$E13:$Z13,MIN(AR$6-$G$3,22))&lt;&gt;""),'Arroz irrigado'!$E13:INDEX('Arroz irrigado'!$E13:$Z13,MIN(AR$6-$G$3,22))),0)))))</f>
        <v>0</v>
      </c>
      <c r="AS15" s="27" t="n">
        <f aca="false">IF(COUNT('Arroz irrigado'!$E13:$Z13)=0,0,MAX(0,IF((AS$6-$E$3)&lt;1,0,IFERROR(LOOKUP(2,1/('Arroz irrigado'!$E13:INDEX('Arroz irrigado'!$E13:$Z13,MIN(AS$6-$E$3,22))&lt;&gt;""),'Arroz irrigado'!$E13:INDEX('Arroz irrigado'!$E13:$Z13,MIN(AS$6-$E$3,22))),0))-IF($G$2,0,IF((AS$6-$G$3)&lt;1,0,IFERROR(LOOKUP(2,1/('Arroz irrigado'!$E13:INDEX('Arroz irrigado'!$E13:$Z13,MIN(AS$6-$G$3,22))&lt;&gt;""),'Arroz irrigado'!$E13:INDEX('Arroz irrigado'!$E13:$Z13,MIN(AS$6-$G$3,22))),0)))))</f>
        <v>0</v>
      </c>
      <c r="AT15" s="27" t="n">
        <f aca="false">IF(COUNT('Arroz irrigado'!$E13:$Z13)=0,0,MAX(0,IF((AT$6-$E$3)&lt;1,0,IFERROR(LOOKUP(2,1/('Arroz irrigado'!$E13:INDEX('Arroz irrigado'!$E13:$Z13,MIN(AT$6-$E$3,22))&lt;&gt;""),'Arroz irrigado'!$E13:INDEX('Arroz irrigado'!$E13:$Z13,MIN(AT$6-$E$3,22))),0))-IF($G$2,0,IF((AT$6-$G$3)&lt;1,0,IFERROR(LOOKUP(2,1/('Arroz irrigado'!$E13:INDEX('Arroz irrigado'!$E13:$Z13,MIN(AT$6-$G$3,22))&lt;&gt;""),'Arroz irrigado'!$E13:INDEX('Arroz irrigado'!$E13:$Z13,MIN(AT$6-$G$3,22))),0)))))</f>
        <v>0</v>
      </c>
      <c r="AU15" s="27" t="n">
        <f aca="false">IF(COUNT('Arroz irrigado'!$E13:$Z13)=0,0,MAX(0,IF((AU$6-$E$3)&lt;1,0,IFERROR(LOOKUP(2,1/('Arroz irrigado'!$E13:INDEX('Arroz irrigado'!$E13:$Z13,MIN(AU$6-$E$3,22))&lt;&gt;""),'Arroz irrigado'!$E13:INDEX('Arroz irrigado'!$E13:$Z13,MIN(AU$6-$E$3,22))),0))-IF($G$2,0,IF((AU$6-$G$3)&lt;1,0,IFERROR(LOOKUP(2,1/('Arroz irrigado'!$E13:INDEX('Arroz irrigado'!$E13:$Z13,MIN(AU$6-$G$3,22))&lt;&gt;""),'Arroz irrigado'!$E13:INDEX('Arroz irrigado'!$E13:$Z13,MIN(AU$6-$G$3,22))),0)))))</f>
        <v>0</v>
      </c>
      <c r="AV15" s="27" t="n">
        <f aca="false">IF(COUNT('Arroz irrigado'!$E13:$Z13)=0,0,MAX(0,IF((AV$6-$E$3)&lt;1,0,IFERROR(LOOKUP(2,1/('Arroz irrigado'!$E13:INDEX('Arroz irrigado'!$E13:$Z13,MIN(AV$6-$E$3,22))&lt;&gt;""),'Arroz irrigado'!$E13:INDEX('Arroz irrigado'!$E13:$Z13,MIN(AV$6-$E$3,22))),0))-IF($G$2,0,IF((AV$6-$G$3)&lt;1,0,IFERROR(LOOKUP(2,1/('Arroz irrigado'!$E13:INDEX('Arroz irrigado'!$E13:$Z13,MIN(AV$6-$G$3,22))&lt;&gt;""),'Arroz irrigado'!$E13:INDEX('Arroz irrigado'!$E13:$Z13,MIN(AV$6-$G$3,22))),0)))))</f>
        <v>0</v>
      </c>
      <c r="AW15" s="27" t="n">
        <f aca="false">IF(COUNT('Arroz irrigado'!$E13:$Z13)=0,0,MAX(0,IF((AW$6-$E$3)&lt;1,0,IFERROR(LOOKUP(2,1/('Arroz irrigado'!$E13:INDEX('Arroz irrigado'!$E13:$Z13,MIN(AW$6-$E$3,22))&lt;&gt;""),'Arroz irrigado'!$E13:INDEX('Arroz irrigado'!$E13:$Z13,MIN(AW$6-$E$3,22))),0))-IF($G$2,0,IF((AW$6-$G$3)&lt;1,0,IFERROR(LOOKUP(2,1/('Arroz irrigado'!$E13:INDEX('Arroz irrigado'!$E13:$Z13,MIN(AW$6-$G$3,22))&lt;&gt;""),'Arroz irrigado'!$E13:INDEX('Arroz irrigado'!$E13:$Z13,MIN(AW$6-$G$3,22))),0)))))</f>
        <v>0</v>
      </c>
      <c r="AX15" s="27" t="n">
        <f aca="false">IF(COUNT('Arroz irrigado'!$E13:$Z13)=0,0,MAX(0,IF((AX$6-$E$3)&lt;1,0,IFERROR(LOOKUP(2,1/('Arroz irrigado'!$E13:INDEX('Arroz irrigado'!$E13:$Z13,MIN(AX$6-$E$3,22))&lt;&gt;""),'Arroz irrigado'!$E13:INDEX('Arroz irrigado'!$E13:$Z13,MIN(AX$6-$E$3,22))),0))-IF($G$2,0,IF((AX$6-$G$3)&lt;1,0,IFERROR(LOOKUP(2,1/('Arroz irrigado'!$E13:INDEX('Arroz irrigado'!$E13:$Z13,MIN(AX$6-$G$3,22))&lt;&gt;""),'Arroz irrigado'!$E13:INDEX('Arroz irrigado'!$E13:$Z13,MIN(AX$6-$G$3,22))),0)))))</f>
        <v>0</v>
      </c>
      <c r="AY15" s="27" t="n">
        <f aca="false">IF(COUNT('Arroz irrigado'!$E13:$Z13)=0,0,MAX(0,IF((AY$6-$E$3)&lt;1,0,IFERROR(LOOKUP(2,1/('Arroz irrigado'!$E13:INDEX('Arroz irrigado'!$E13:$Z13,MIN(AY$6-$E$3,22))&lt;&gt;""),'Arroz irrigado'!$E13:INDEX('Arroz irrigado'!$E13:$Z13,MIN(AY$6-$E$3,22))),0))-IF($G$2,0,IF((AY$6-$G$3)&lt;1,0,IFERROR(LOOKUP(2,1/('Arroz irrigado'!$E13:INDEX('Arroz irrigado'!$E13:$Z13,MIN(AY$6-$G$3,22))&lt;&gt;""),'Arroz irrigado'!$E13:INDEX('Arroz irrigado'!$E13:$Z13,MIN(AY$6-$G$3,22))),0)))))</f>
        <v>0</v>
      </c>
      <c r="AZ15" s="27" t="n">
        <f aca="false">IF(COUNT('Arroz irrigado'!$E13:$Z13)=0,0,MAX(0,IF((AZ$6-$E$3)&lt;1,0,IFERROR(LOOKUP(2,1/('Arroz irrigado'!$E13:INDEX('Arroz irrigado'!$E13:$Z13,MIN(AZ$6-$E$3,22))&lt;&gt;""),'Arroz irrigado'!$E13:INDEX('Arroz irrigado'!$E13:$Z13,MIN(AZ$6-$E$3,22))),0))-IF($G$2,0,IF((AZ$6-$G$3)&lt;1,0,IFERROR(LOOKUP(2,1/('Arroz irrigado'!$E13:INDEX('Arroz irrigado'!$E13:$Z13,MIN(AZ$6-$G$3,22))&lt;&gt;""),'Arroz irrigado'!$E13:INDEX('Arroz irrigado'!$E13:$Z13,MIN(AZ$6-$G$3,22))),0)))))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IF(COUNT('Arroz irrigado'!$E14:$Z14)&gt;0,N('Arroz irrigado'!$D14),0)</f>
        <v>0</v>
      </c>
      <c r="E16" s="27" t="n">
        <f aca="false">IF(COUNT('Arroz irrigado'!$E14:$Z14)=0,0,MAX(0,IF((E$6-$E$3)&lt;1,0,IFERROR(LOOKUP(2,1/('Arroz irrigado'!$E14:INDEX('Arroz irrigado'!$E14:$Z14,MIN(E$6-$E$3,22))&lt;&gt;""),'Arroz irrigado'!$E14:INDEX('Arroz irrigado'!$E14:$Z14,MIN(E$6-$E$3,22))),0))-IF($G$2,0,IF((E$6-$G$3)&lt;1,0,IFERROR(LOOKUP(2,1/('Arroz irrigado'!$E14:INDEX('Arroz irrigado'!$E14:$Z14,MIN(E$6-$G$3,22))&lt;&gt;""),'Arroz irrigado'!$E14:INDEX('Arroz irrigado'!$E14:$Z14,MIN(E$6-$G$3,22))),0)))))</f>
        <v>0</v>
      </c>
      <c r="F16" s="27" t="n">
        <f aca="false">IF(COUNT('Arroz irrigado'!$E14:$Z14)=0,0,MAX(0,IF((F$6-$E$3)&lt;1,0,IFERROR(LOOKUP(2,1/('Arroz irrigado'!$E14:INDEX('Arroz irrigado'!$E14:$Z14,MIN(F$6-$E$3,22))&lt;&gt;""),'Arroz irrigado'!$E14:INDEX('Arroz irrigado'!$E14:$Z14,MIN(F$6-$E$3,22))),0))-IF($G$2,0,IF((F$6-$G$3)&lt;1,0,IFERROR(LOOKUP(2,1/('Arroz irrigado'!$E14:INDEX('Arroz irrigado'!$E14:$Z14,MIN(F$6-$G$3,22))&lt;&gt;""),'Arroz irrigado'!$E14:INDEX('Arroz irrigado'!$E14:$Z14,MIN(F$6-$G$3,22))),0)))))</f>
        <v>0</v>
      </c>
      <c r="G16" s="27" t="n">
        <f aca="false">IF(COUNT('Arroz irrigado'!$E14:$Z14)=0,0,MAX(0,IF((G$6-$E$3)&lt;1,0,IFERROR(LOOKUP(2,1/('Arroz irrigado'!$E14:INDEX('Arroz irrigado'!$E14:$Z14,MIN(G$6-$E$3,22))&lt;&gt;""),'Arroz irrigado'!$E14:INDEX('Arroz irrigado'!$E14:$Z14,MIN(G$6-$E$3,22))),0))-IF($G$2,0,IF((G$6-$G$3)&lt;1,0,IFERROR(LOOKUP(2,1/('Arroz irrigado'!$E14:INDEX('Arroz irrigado'!$E14:$Z14,MIN(G$6-$G$3,22))&lt;&gt;""),'Arroz irrigado'!$E14:INDEX('Arroz irrigado'!$E14:$Z14,MIN(G$6-$G$3,22))),0)))))</f>
        <v>0</v>
      </c>
      <c r="H16" s="27" t="n">
        <f aca="false">IF(COUNT('Arroz irrigado'!$E14:$Z14)=0,0,MAX(0,IF((H$6-$E$3)&lt;1,0,IFERROR(LOOKUP(2,1/('Arroz irrigado'!$E14:INDEX('Arroz irrigado'!$E14:$Z14,MIN(H$6-$E$3,22))&lt;&gt;""),'Arroz irrigado'!$E14:INDEX('Arroz irrigado'!$E14:$Z14,MIN(H$6-$E$3,22))),0))-IF($G$2,0,IF((H$6-$G$3)&lt;1,0,IFERROR(LOOKUP(2,1/('Arroz irrigado'!$E14:INDEX('Arroz irrigado'!$E14:$Z14,MIN(H$6-$G$3,22))&lt;&gt;""),'Arroz irrigado'!$E14:INDEX('Arroz irrigado'!$E14:$Z14,MIN(H$6-$G$3,22))),0)))))</f>
        <v>0</v>
      </c>
      <c r="I16" s="27" t="n">
        <f aca="false">IF(COUNT('Arroz irrigado'!$E14:$Z14)=0,0,MAX(0,IF((I$6-$E$3)&lt;1,0,IFERROR(LOOKUP(2,1/('Arroz irrigado'!$E14:INDEX('Arroz irrigado'!$E14:$Z14,MIN(I$6-$E$3,22))&lt;&gt;""),'Arroz irrigado'!$E14:INDEX('Arroz irrigado'!$E14:$Z14,MIN(I$6-$E$3,22))),0))-IF($G$2,0,IF((I$6-$G$3)&lt;1,0,IFERROR(LOOKUP(2,1/('Arroz irrigado'!$E14:INDEX('Arroz irrigado'!$E14:$Z14,MIN(I$6-$G$3,22))&lt;&gt;""),'Arroz irrigado'!$E14:INDEX('Arroz irrigado'!$E14:$Z14,MIN(I$6-$G$3,22))),0)))))</f>
        <v>0</v>
      </c>
      <c r="J16" s="27" t="n">
        <f aca="false">IF(COUNT('Arroz irrigado'!$E14:$Z14)=0,0,MAX(0,IF((J$6-$E$3)&lt;1,0,IFERROR(LOOKUP(2,1/('Arroz irrigado'!$E14:INDEX('Arroz irrigado'!$E14:$Z14,MIN(J$6-$E$3,22))&lt;&gt;""),'Arroz irrigado'!$E14:INDEX('Arroz irrigado'!$E14:$Z14,MIN(J$6-$E$3,22))),0))-IF($G$2,0,IF((J$6-$G$3)&lt;1,0,IFERROR(LOOKUP(2,1/('Arroz irrigado'!$E14:INDEX('Arroz irrigado'!$E14:$Z14,MIN(J$6-$G$3,22))&lt;&gt;""),'Arroz irrigado'!$E14:INDEX('Arroz irrigado'!$E14:$Z14,MIN(J$6-$G$3,22))),0)))))</f>
        <v>0</v>
      </c>
      <c r="K16" s="27" t="n">
        <f aca="false">IF(COUNT('Arroz irrigado'!$E14:$Z14)=0,0,MAX(0,IF((K$6-$E$3)&lt;1,0,IFERROR(LOOKUP(2,1/('Arroz irrigado'!$E14:INDEX('Arroz irrigado'!$E14:$Z14,MIN(K$6-$E$3,22))&lt;&gt;""),'Arroz irrigado'!$E14:INDEX('Arroz irrigado'!$E14:$Z14,MIN(K$6-$E$3,22))),0))-IF($G$2,0,IF((K$6-$G$3)&lt;1,0,IFERROR(LOOKUP(2,1/('Arroz irrigado'!$E14:INDEX('Arroz irrigado'!$E14:$Z14,MIN(K$6-$G$3,22))&lt;&gt;""),'Arroz irrigado'!$E14:INDEX('Arroz irrigado'!$E14:$Z14,MIN(K$6-$G$3,22))),0)))))</f>
        <v>0</v>
      </c>
      <c r="L16" s="27" t="n">
        <f aca="false">IF(COUNT('Arroz irrigado'!$E14:$Z14)=0,0,MAX(0,IF((L$6-$E$3)&lt;1,0,IFERROR(LOOKUP(2,1/('Arroz irrigado'!$E14:INDEX('Arroz irrigado'!$E14:$Z14,MIN(L$6-$E$3,22))&lt;&gt;""),'Arroz irrigado'!$E14:INDEX('Arroz irrigado'!$E14:$Z14,MIN(L$6-$E$3,22))),0))-IF($G$2,0,IF((L$6-$G$3)&lt;1,0,IFERROR(LOOKUP(2,1/('Arroz irrigado'!$E14:INDEX('Arroz irrigado'!$E14:$Z14,MIN(L$6-$G$3,22))&lt;&gt;""),'Arroz irrigado'!$E14:INDEX('Arroz irrigado'!$E14:$Z14,MIN(L$6-$G$3,22))),0)))))</f>
        <v>0</v>
      </c>
      <c r="M16" s="27" t="n">
        <f aca="false">IF(COUNT('Arroz irrigado'!$E14:$Z14)=0,0,MAX(0,IF((M$6-$E$3)&lt;1,0,IFERROR(LOOKUP(2,1/('Arroz irrigado'!$E14:INDEX('Arroz irrigado'!$E14:$Z14,MIN(M$6-$E$3,22))&lt;&gt;""),'Arroz irrigado'!$E14:INDEX('Arroz irrigado'!$E14:$Z14,MIN(M$6-$E$3,22))),0))-IF($G$2,0,IF((M$6-$G$3)&lt;1,0,IFERROR(LOOKUP(2,1/('Arroz irrigado'!$E14:INDEX('Arroz irrigado'!$E14:$Z14,MIN(M$6-$G$3,22))&lt;&gt;""),'Arroz irrigado'!$E14:INDEX('Arroz irrigado'!$E14:$Z14,MIN(M$6-$G$3,22))),0)))))</f>
        <v>0</v>
      </c>
      <c r="N16" s="27" t="n">
        <f aca="false">IF(COUNT('Arroz irrigado'!$E14:$Z14)=0,0,MAX(0,IF((N$6-$E$3)&lt;1,0,IFERROR(LOOKUP(2,1/('Arroz irrigado'!$E14:INDEX('Arroz irrigado'!$E14:$Z14,MIN(N$6-$E$3,22))&lt;&gt;""),'Arroz irrigado'!$E14:INDEX('Arroz irrigado'!$E14:$Z14,MIN(N$6-$E$3,22))),0))-IF($G$2,0,IF((N$6-$G$3)&lt;1,0,IFERROR(LOOKUP(2,1/('Arroz irrigado'!$E14:INDEX('Arroz irrigado'!$E14:$Z14,MIN(N$6-$G$3,22))&lt;&gt;""),'Arroz irrigado'!$E14:INDEX('Arroz irrigado'!$E14:$Z14,MIN(N$6-$G$3,22))),0)))))</f>
        <v>0</v>
      </c>
      <c r="O16" s="27" t="n">
        <f aca="false">IF(COUNT('Arroz irrigado'!$E14:$Z14)=0,0,MAX(0,IF((O$6-$E$3)&lt;1,0,IFERROR(LOOKUP(2,1/('Arroz irrigado'!$E14:INDEX('Arroz irrigado'!$E14:$Z14,MIN(O$6-$E$3,22))&lt;&gt;""),'Arroz irrigado'!$E14:INDEX('Arroz irrigado'!$E14:$Z14,MIN(O$6-$E$3,22))),0))-IF($G$2,0,IF((O$6-$G$3)&lt;1,0,IFERROR(LOOKUP(2,1/('Arroz irrigado'!$E14:INDEX('Arroz irrigado'!$E14:$Z14,MIN(O$6-$G$3,22))&lt;&gt;""),'Arroz irrigado'!$E14:INDEX('Arroz irrigado'!$E14:$Z14,MIN(O$6-$G$3,22))),0)))))</f>
        <v>0</v>
      </c>
      <c r="P16" s="27" t="n">
        <f aca="false">IF(COUNT('Arroz irrigado'!$E14:$Z14)=0,0,MAX(0,IF((P$6-$E$3)&lt;1,0,IFERROR(LOOKUP(2,1/('Arroz irrigado'!$E14:INDEX('Arroz irrigado'!$E14:$Z14,MIN(P$6-$E$3,22))&lt;&gt;""),'Arroz irrigado'!$E14:INDEX('Arroz irrigado'!$E14:$Z14,MIN(P$6-$E$3,22))),0))-IF($G$2,0,IF((P$6-$G$3)&lt;1,0,IFERROR(LOOKUP(2,1/('Arroz irrigado'!$E14:INDEX('Arroz irrigado'!$E14:$Z14,MIN(P$6-$G$3,22))&lt;&gt;""),'Arroz irrigado'!$E14:INDEX('Arroz irrigado'!$E14:$Z14,MIN(P$6-$G$3,22))),0)))))</f>
        <v>0</v>
      </c>
      <c r="Q16" s="27" t="n">
        <f aca="false">IF(COUNT('Arroz irrigado'!$E14:$Z14)=0,0,MAX(0,IF((Q$6-$E$3)&lt;1,0,IFERROR(LOOKUP(2,1/('Arroz irrigado'!$E14:INDEX('Arroz irrigado'!$E14:$Z14,MIN(Q$6-$E$3,22))&lt;&gt;""),'Arroz irrigado'!$E14:INDEX('Arroz irrigado'!$E14:$Z14,MIN(Q$6-$E$3,22))),0))-IF($G$2,0,IF((Q$6-$G$3)&lt;1,0,IFERROR(LOOKUP(2,1/('Arroz irrigado'!$E14:INDEX('Arroz irrigado'!$E14:$Z14,MIN(Q$6-$G$3,22))&lt;&gt;""),'Arroz irrigado'!$E14:INDEX('Arroz irrigado'!$E14:$Z14,MIN(Q$6-$G$3,22))),0)))))</f>
        <v>0</v>
      </c>
      <c r="R16" s="27" t="n">
        <f aca="false">IF(COUNT('Arroz irrigado'!$E14:$Z14)=0,0,MAX(0,IF((R$6-$E$3)&lt;1,0,IFERROR(LOOKUP(2,1/('Arroz irrigado'!$E14:INDEX('Arroz irrigado'!$E14:$Z14,MIN(R$6-$E$3,22))&lt;&gt;""),'Arroz irrigado'!$E14:INDEX('Arroz irrigado'!$E14:$Z14,MIN(R$6-$E$3,22))),0))-IF($G$2,0,IF((R$6-$G$3)&lt;1,0,IFERROR(LOOKUP(2,1/('Arroz irrigado'!$E14:INDEX('Arroz irrigado'!$E14:$Z14,MIN(R$6-$G$3,22))&lt;&gt;""),'Arroz irrigado'!$E14:INDEX('Arroz irrigado'!$E14:$Z14,MIN(R$6-$G$3,22))),0)))))</f>
        <v>0</v>
      </c>
      <c r="S16" s="27" t="n">
        <f aca="false">IF(COUNT('Arroz irrigado'!$E14:$Z14)=0,0,MAX(0,IF((S$6-$E$3)&lt;1,0,IFERROR(LOOKUP(2,1/('Arroz irrigado'!$E14:INDEX('Arroz irrigado'!$E14:$Z14,MIN(S$6-$E$3,22))&lt;&gt;""),'Arroz irrigado'!$E14:INDEX('Arroz irrigado'!$E14:$Z14,MIN(S$6-$E$3,22))),0))-IF($G$2,0,IF((S$6-$G$3)&lt;1,0,IFERROR(LOOKUP(2,1/('Arroz irrigado'!$E14:INDEX('Arroz irrigado'!$E14:$Z14,MIN(S$6-$G$3,22))&lt;&gt;""),'Arroz irrigado'!$E14:INDEX('Arroz irrigado'!$E14:$Z14,MIN(S$6-$G$3,22))),0)))))</f>
        <v>0</v>
      </c>
      <c r="T16" s="27" t="n">
        <f aca="false">IF(COUNT('Arroz irrigado'!$E14:$Z14)=0,0,MAX(0,IF((T$6-$E$3)&lt;1,0,IFERROR(LOOKUP(2,1/('Arroz irrigado'!$E14:INDEX('Arroz irrigado'!$E14:$Z14,MIN(T$6-$E$3,22))&lt;&gt;""),'Arroz irrigado'!$E14:INDEX('Arroz irrigado'!$E14:$Z14,MIN(T$6-$E$3,22))),0))-IF($G$2,0,IF((T$6-$G$3)&lt;1,0,IFERROR(LOOKUP(2,1/('Arroz irrigado'!$E14:INDEX('Arroz irrigado'!$E14:$Z14,MIN(T$6-$G$3,22))&lt;&gt;""),'Arroz irrigado'!$E14:INDEX('Arroz irrigado'!$E14:$Z14,MIN(T$6-$G$3,22))),0)))))</f>
        <v>0</v>
      </c>
      <c r="U16" s="27" t="n">
        <f aca="false">IF(COUNT('Arroz irrigado'!$E14:$Z14)=0,0,MAX(0,IF((U$6-$E$3)&lt;1,0,IFERROR(LOOKUP(2,1/('Arroz irrigado'!$E14:INDEX('Arroz irrigado'!$E14:$Z14,MIN(U$6-$E$3,22))&lt;&gt;""),'Arroz irrigado'!$E14:INDEX('Arroz irrigado'!$E14:$Z14,MIN(U$6-$E$3,22))),0))-IF($G$2,0,IF((U$6-$G$3)&lt;1,0,IFERROR(LOOKUP(2,1/('Arroz irrigado'!$E14:INDEX('Arroz irrigado'!$E14:$Z14,MIN(U$6-$G$3,22))&lt;&gt;""),'Arroz irrigado'!$E14:INDEX('Arroz irrigado'!$E14:$Z14,MIN(U$6-$G$3,22))),0)))))</f>
        <v>0</v>
      </c>
      <c r="V16" s="27" t="n">
        <f aca="false">IF(COUNT('Arroz irrigado'!$E14:$Z14)=0,0,MAX(0,IF((V$6-$E$3)&lt;1,0,IFERROR(LOOKUP(2,1/('Arroz irrigado'!$E14:INDEX('Arroz irrigado'!$E14:$Z14,MIN(V$6-$E$3,22))&lt;&gt;""),'Arroz irrigado'!$E14:INDEX('Arroz irrigado'!$E14:$Z14,MIN(V$6-$E$3,22))),0))-IF($G$2,0,IF((V$6-$G$3)&lt;1,0,IFERROR(LOOKUP(2,1/('Arroz irrigado'!$E14:INDEX('Arroz irrigado'!$E14:$Z14,MIN(V$6-$G$3,22))&lt;&gt;""),'Arroz irrigado'!$E14:INDEX('Arroz irrigado'!$E14:$Z14,MIN(V$6-$G$3,22))),0)))))</f>
        <v>0</v>
      </c>
      <c r="W16" s="27" t="n">
        <f aca="false">IF(COUNT('Arroz irrigado'!$E14:$Z14)=0,0,MAX(0,IF((W$6-$E$3)&lt;1,0,IFERROR(LOOKUP(2,1/('Arroz irrigado'!$E14:INDEX('Arroz irrigado'!$E14:$Z14,MIN(W$6-$E$3,22))&lt;&gt;""),'Arroz irrigado'!$E14:INDEX('Arroz irrigado'!$E14:$Z14,MIN(W$6-$E$3,22))),0))-IF($G$2,0,IF((W$6-$G$3)&lt;1,0,IFERROR(LOOKUP(2,1/('Arroz irrigado'!$E14:INDEX('Arroz irrigado'!$E14:$Z14,MIN(W$6-$G$3,22))&lt;&gt;""),'Arroz irrigado'!$E14:INDEX('Arroz irrigado'!$E14:$Z14,MIN(W$6-$G$3,22))),0)))))</f>
        <v>0</v>
      </c>
      <c r="X16" s="27" t="n">
        <f aca="false">IF(COUNT('Arroz irrigado'!$E14:$Z14)=0,0,MAX(0,IF((X$6-$E$3)&lt;1,0,IFERROR(LOOKUP(2,1/('Arroz irrigado'!$E14:INDEX('Arroz irrigado'!$E14:$Z14,MIN(X$6-$E$3,22))&lt;&gt;""),'Arroz irrigado'!$E14:INDEX('Arroz irrigado'!$E14:$Z14,MIN(X$6-$E$3,22))),0))-IF($G$2,0,IF((X$6-$G$3)&lt;1,0,IFERROR(LOOKUP(2,1/('Arroz irrigado'!$E14:INDEX('Arroz irrigado'!$E14:$Z14,MIN(X$6-$G$3,22))&lt;&gt;""),'Arroz irrigado'!$E14:INDEX('Arroz irrigado'!$E14:$Z14,MIN(X$6-$G$3,22))),0)))))</f>
        <v>0</v>
      </c>
      <c r="Y16" s="27" t="n">
        <f aca="false">IF(COUNT('Arroz irrigado'!$E14:$Z14)=0,0,MAX(0,IF((Y$6-$E$3)&lt;1,0,IFERROR(LOOKUP(2,1/('Arroz irrigado'!$E14:INDEX('Arroz irrigado'!$E14:$Z14,MIN(Y$6-$E$3,22))&lt;&gt;""),'Arroz irrigado'!$E14:INDEX('Arroz irrigado'!$E14:$Z14,MIN(Y$6-$E$3,22))),0))-IF($G$2,0,IF((Y$6-$G$3)&lt;1,0,IFERROR(LOOKUP(2,1/('Arroz irrigado'!$E14:INDEX('Arroz irrigado'!$E14:$Z14,MIN(Y$6-$G$3,22))&lt;&gt;""),'Arroz irrigado'!$E14:INDEX('Arroz irrigado'!$E14:$Z14,MIN(Y$6-$G$3,22))),0)))))</f>
        <v>0</v>
      </c>
      <c r="Z16" s="27" t="n">
        <f aca="false">IF(COUNT('Arroz irrigado'!$E14:$Z14)=0,0,MAX(0,IF((Z$6-$E$3)&lt;1,0,IFERROR(LOOKUP(2,1/('Arroz irrigado'!$E14:INDEX('Arroz irrigado'!$E14:$Z14,MIN(Z$6-$E$3,22))&lt;&gt;""),'Arroz irrigado'!$E14:INDEX('Arroz irrigado'!$E14:$Z14,MIN(Z$6-$E$3,22))),0))-IF($G$2,0,IF((Z$6-$G$3)&lt;1,0,IFERROR(LOOKUP(2,1/('Arroz irrigado'!$E14:INDEX('Arroz irrigado'!$E14:$Z14,MIN(Z$6-$G$3,22))&lt;&gt;""),'Arroz irrigado'!$E14:INDEX('Arroz irrigado'!$E14:$Z14,MIN(Z$6-$G$3,22))),0)))))</f>
        <v>0</v>
      </c>
      <c r="AA16" s="27" t="n">
        <f aca="false">IF(COUNT('Arroz irrigado'!$E14:$Z14)=0,0,MAX(0,IF((AA$6-$E$3)&lt;1,0,IFERROR(LOOKUP(2,1/('Arroz irrigado'!$E14:INDEX('Arroz irrigado'!$E14:$Z14,MIN(AA$6-$E$3,22))&lt;&gt;""),'Arroz irrigado'!$E14:INDEX('Arroz irrigado'!$E14:$Z14,MIN(AA$6-$E$3,22))),0))-IF($G$2,0,IF((AA$6-$G$3)&lt;1,0,IFERROR(LOOKUP(2,1/('Arroz irrigado'!$E14:INDEX('Arroz irrigado'!$E14:$Z14,MIN(AA$6-$G$3,22))&lt;&gt;""),'Arroz irrigado'!$E14:INDEX('Arroz irrigado'!$E14:$Z14,MIN(AA$6-$G$3,22))),0)))))</f>
        <v>0</v>
      </c>
      <c r="AB16" s="27" t="n">
        <f aca="false">IF(COUNT('Arroz irrigado'!$E14:$Z14)=0,0,MAX(0,IF((AB$6-$E$3)&lt;1,0,IFERROR(LOOKUP(2,1/('Arroz irrigado'!$E14:INDEX('Arroz irrigado'!$E14:$Z14,MIN(AB$6-$E$3,22))&lt;&gt;""),'Arroz irrigado'!$E14:INDEX('Arroz irrigado'!$E14:$Z14,MIN(AB$6-$E$3,22))),0))-IF($G$2,0,IF((AB$6-$G$3)&lt;1,0,IFERROR(LOOKUP(2,1/('Arroz irrigado'!$E14:INDEX('Arroz irrigado'!$E14:$Z14,MIN(AB$6-$G$3,22))&lt;&gt;""),'Arroz irrigado'!$E14:INDEX('Arroz irrigado'!$E14:$Z14,MIN(AB$6-$G$3,22))),0)))))</f>
        <v>0</v>
      </c>
      <c r="AC16" s="27" t="n">
        <f aca="false">IF(COUNT('Arroz irrigado'!$E14:$Z14)=0,0,MAX(0,IF((AC$6-$E$3)&lt;1,0,IFERROR(LOOKUP(2,1/('Arroz irrigado'!$E14:INDEX('Arroz irrigado'!$E14:$Z14,MIN(AC$6-$E$3,22))&lt;&gt;""),'Arroz irrigado'!$E14:INDEX('Arroz irrigado'!$E14:$Z14,MIN(AC$6-$E$3,22))),0))-IF($G$2,0,IF((AC$6-$G$3)&lt;1,0,IFERROR(LOOKUP(2,1/('Arroz irrigado'!$E14:INDEX('Arroz irrigado'!$E14:$Z14,MIN(AC$6-$G$3,22))&lt;&gt;""),'Arroz irrigado'!$E14:INDEX('Arroz irrigado'!$E14:$Z14,MIN(AC$6-$G$3,22))),0)))))</f>
        <v>0</v>
      </c>
      <c r="AD16" s="27" t="n">
        <f aca="false">IF(COUNT('Arroz irrigado'!$E14:$Z14)=0,0,MAX(0,IF((AD$6-$E$3)&lt;1,0,IFERROR(LOOKUP(2,1/('Arroz irrigado'!$E14:INDEX('Arroz irrigado'!$E14:$Z14,MIN(AD$6-$E$3,22))&lt;&gt;""),'Arroz irrigado'!$E14:INDEX('Arroz irrigado'!$E14:$Z14,MIN(AD$6-$E$3,22))),0))-IF($G$2,0,IF((AD$6-$G$3)&lt;1,0,IFERROR(LOOKUP(2,1/('Arroz irrigado'!$E14:INDEX('Arroz irrigado'!$E14:$Z14,MIN(AD$6-$G$3,22))&lt;&gt;""),'Arroz irrigado'!$E14:INDEX('Arroz irrigado'!$E14:$Z14,MIN(AD$6-$G$3,22))),0)))))</f>
        <v>0</v>
      </c>
      <c r="AE16" s="27" t="n">
        <f aca="false">IF(COUNT('Arroz irrigado'!$E14:$Z14)=0,0,MAX(0,IF((AE$6-$E$3)&lt;1,0,IFERROR(LOOKUP(2,1/('Arroz irrigado'!$E14:INDEX('Arroz irrigado'!$E14:$Z14,MIN(AE$6-$E$3,22))&lt;&gt;""),'Arroz irrigado'!$E14:INDEX('Arroz irrigado'!$E14:$Z14,MIN(AE$6-$E$3,22))),0))-IF($G$2,0,IF((AE$6-$G$3)&lt;1,0,IFERROR(LOOKUP(2,1/('Arroz irrigado'!$E14:INDEX('Arroz irrigado'!$E14:$Z14,MIN(AE$6-$G$3,22))&lt;&gt;""),'Arroz irrigado'!$E14:INDEX('Arroz irrigado'!$E14:$Z14,MIN(AE$6-$G$3,22))),0)))))</f>
        <v>0</v>
      </c>
      <c r="AF16" s="27" t="n">
        <f aca="false">IF(COUNT('Arroz irrigado'!$E14:$Z14)=0,0,MAX(0,IF((AF$6-$E$3)&lt;1,0,IFERROR(LOOKUP(2,1/('Arroz irrigado'!$E14:INDEX('Arroz irrigado'!$E14:$Z14,MIN(AF$6-$E$3,22))&lt;&gt;""),'Arroz irrigado'!$E14:INDEX('Arroz irrigado'!$E14:$Z14,MIN(AF$6-$E$3,22))),0))-IF($G$2,0,IF((AF$6-$G$3)&lt;1,0,IFERROR(LOOKUP(2,1/('Arroz irrigado'!$E14:INDEX('Arroz irrigado'!$E14:$Z14,MIN(AF$6-$G$3,22))&lt;&gt;""),'Arroz irrigado'!$E14:INDEX('Arroz irrigado'!$E14:$Z14,MIN(AF$6-$G$3,22))),0)))))</f>
        <v>0</v>
      </c>
      <c r="AG16" s="27" t="n">
        <f aca="false">IF(COUNT('Arroz irrigado'!$E14:$Z14)=0,0,MAX(0,IF((AG$6-$E$3)&lt;1,0,IFERROR(LOOKUP(2,1/('Arroz irrigado'!$E14:INDEX('Arroz irrigado'!$E14:$Z14,MIN(AG$6-$E$3,22))&lt;&gt;""),'Arroz irrigado'!$E14:INDEX('Arroz irrigado'!$E14:$Z14,MIN(AG$6-$E$3,22))),0))-IF($G$2,0,IF((AG$6-$G$3)&lt;1,0,IFERROR(LOOKUP(2,1/('Arroz irrigado'!$E14:INDEX('Arroz irrigado'!$E14:$Z14,MIN(AG$6-$G$3,22))&lt;&gt;""),'Arroz irrigado'!$E14:INDEX('Arroz irrigado'!$E14:$Z14,MIN(AG$6-$G$3,22))),0)))))</f>
        <v>0</v>
      </c>
      <c r="AH16" s="27" t="n">
        <f aca="false">IF(COUNT('Arroz irrigado'!$E14:$Z14)=0,0,MAX(0,IF((AH$6-$E$3)&lt;1,0,IFERROR(LOOKUP(2,1/('Arroz irrigado'!$E14:INDEX('Arroz irrigado'!$E14:$Z14,MIN(AH$6-$E$3,22))&lt;&gt;""),'Arroz irrigado'!$E14:INDEX('Arroz irrigado'!$E14:$Z14,MIN(AH$6-$E$3,22))),0))-IF($G$2,0,IF((AH$6-$G$3)&lt;1,0,IFERROR(LOOKUP(2,1/('Arroz irrigado'!$E14:INDEX('Arroz irrigado'!$E14:$Z14,MIN(AH$6-$G$3,22))&lt;&gt;""),'Arroz irrigado'!$E14:INDEX('Arroz irrigado'!$E14:$Z14,MIN(AH$6-$G$3,22))),0)))))</f>
        <v>0</v>
      </c>
      <c r="AI16" s="27" t="n">
        <f aca="false">IF(COUNT('Arroz irrigado'!$E14:$Z14)=0,0,MAX(0,IF((AI$6-$E$3)&lt;1,0,IFERROR(LOOKUP(2,1/('Arroz irrigado'!$E14:INDEX('Arroz irrigado'!$E14:$Z14,MIN(AI$6-$E$3,22))&lt;&gt;""),'Arroz irrigado'!$E14:INDEX('Arroz irrigado'!$E14:$Z14,MIN(AI$6-$E$3,22))),0))-IF($G$2,0,IF((AI$6-$G$3)&lt;1,0,IFERROR(LOOKUP(2,1/('Arroz irrigado'!$E14:INDEX('Arroz irrigado'!$E14:$Z14,MIN(AI$6-$G$3,22))&lt;&gt;""),'Arroz irrigado'!$E14:INDEX('Arroz irrigado'!$E14:$Z14,MIN(AI$6-$G$3,22))),0)))))</f>
        <v>0</v>
      </c>
      <c r="AJ16" s="27" t="n">
        <f aca="false">IF(COUNT('Arroz irrigado'!$E14:$Z14)=0,0,MAX(0,IF((AJ$6-$E$3)&lt;1,0,IFERROR(LOOKUP(2,1/('Arroz irrigado'!$E14:INDEX('Arroz irrigado'!$E14:$Z14,MIN(AJ$6-$E$3,22))&lt;&gt;""),'Arroz irrigado'!$E14:INDEX('Arroz irrigado'!$E14:$Z14,MIN(AJ$6-$E$3,22))),0))-IF($G$2,0,IF((AJ$6-$G$3)&lt;1,0,IFERROR(LOOKUP(2,1/('Arroz irrigado'!$E14:INDEX('Arroz irrigado'!$E14:$Z14,MIN(AJ$6-$G$3,22))&lt;&gt;""),'Arroz irrigado'!$E14:INDEX('Arroz irrigado'!$E14:$Z14,MIN(AJ$6-$G$3,22))),0)))))</f>
        <v>0</v>
      </c>
      <c r="AK16" s="27" t="n">
        <f aca="false">IF(COUNT('Arroz irrigado'!$E14:$Z14)=0,0,MAX(0,IF((AK$6-$E$3)&lt;1,0,IFERROR(LOOKUP(2,1/('Arroz irrigado'!$E14:INDEX('Arroz irrigado'!$E14:$Z14,MIN(AK$6-$E$3,22))&lt;&gt;""),'Arroz irrigado'!$E14:INDEX('Arroz irrigado'!$E14:$Z14,MIN(AK$6-$E$3,22))),0))-IF($G$2,0,IF((AK$6-$G$3)&lt;1,0,IFERROR(LOOKUP(2,1/('Arroz irrigado'!$E14:INDEX('Arroz irrigado'!$E14:$Z14,MIN(AK$6-$G$3,22))&lt;&gt;""),'Arroz irrigado'!$E14:INDEX('Arroz irrigado'!$E14:$Z14,MIN(AK$6-$G$3,22))),0)))))</f>
        <v>0</v>
      </c>
      <c r="AL16" s="27" t="n">
        <f aca="false">IF(COUNT('Arroz irrigado'!$E14:$Z14)=0,0,MAX(0,IF((AL$6-$E$3)&lt;1,0,IFERROR(LOOKUP(2,1/('Arroz irrigado'!$E14:INDEX('Arroz irrigado'!$E14:$Z14,MIN(AL$6-$E$3,22))&lt;&gt;""),'Arroz irrigado'!$E14:INDEX('Arroz irrigado'!$E14:$Z14,MIN(AL$6-$E$3,22))),0))-IF($G$2,0,IF((AL$6-$G$3)&lt;1,0,IFERROR(LOOKUP(2,1/('Arroz irrigado'!$E14:INDEX('Arroz irrigado'!$E14:$Z14,MIN(AL$6-$G$3,22))&lt;&gt;""),'Arroz irrigado'!$E14:INDEX('Arroz irrigado'!$E14:$Z14,MIN(AL$6-$G$3,22))),0)))))</f>
        <v>0</v>
      </c>
      <c r="AM16" s="27" t="n">
        <f aca="false">IF(COUNT('Arroz irrigado'!$E14:$Z14)=0,0,MAX(0,IF((AM$6-$E$3)&lt;1,0,IFERROR(LOOKUP(2,1/('Arroz irrigado'!$E14:INDEX('Arroz irrigado'!$E14:$Z14,MIN(AM$6-$E$3,22))&lt;&gt;""),'Arroz irrigado'!$E14:INDEX('Arroz irrigado'!$E14:$Z14,MIN(AM$6-$E$3,22))),0))-IF($G$2,0,IF((AM$6-$G$3)&lt;1,0,IFERROR(LOOKUP(2,1/('Arroz irrigado'!$E14:INDEX('Arroz irrigado'!$E14:$Z14,MIN(AM$6-$G$3,22))&lt;&gt;""),'Arroz irrigado'!$E14:INDEX('Arroz irrigado'!$E14:$Z14,MIN(AM$6-$G$3,22))),0)))))</f>
        <v>0</v>
      </c>
      <c r="AN16" s="27" t="n">
        <f aca="false">IF(COUNT('Arroz irrigado'!$E14:$Z14)=0,0,MAX(0,IF((AN$6-$E$3)&lt;1,0,IFERROR(LOOKUP(2,1/('Arroz irrigado'!$E14:INDEX('Arroz irrigado'!$E14:$Z14,MIN(AN$6-$E$3,22))&lt;&gt;""),'Arroz irrigado'!$E14:INDEX('Arroz irrigado'!$E14:$Z14,MIN(AN$6-$E$3,22))),0))-IF($G$2,0,IF((AN$6-$G$3)&lt;1,0,IFERROR(LOOKUP(2,1/('Arroz irrigado'!$E14:INDEX('Arroz irrigado'!$E14:$Z14,MIN(AN$6-$G$3,22))&lt;&gt;""),'Arroz irrigado'!$E14:INDEX('Arroz irrigado'!$E14:$Z14,MIN(AN$6-$G$3,22))),0)))))</f>
        <v>0</v>
      </c>
      <c r="AO16" s="27" t="n">
        <f aca="false">IF(COUNT('Arroz irrigado'!$E14:$Z14)=0,0,MAX(0,IF((AO$6-$E$3)&lt;1,0,IFERROR(LOOKUP(2,1/('Arroz irrigado'!$E14:INDEX('Arroz irrigado'!$E14:$Z14,MIN(AO$6-$E$3,22))&lt;&gt;""),'Arroz irrigado'!$E14:INDEX('Arroz irrigado'!$E14:$Z14,MIN(AO$6-$E$3,22))),0))-IF($G$2,0,IF((AO$6-$G$3)&lt;1,0,IFERROR(LOOKUP(2,1/('Arroz irrigado'!$E14:INDEX('Arroz irrigado'!$E14:$Z14,MIN(AO$6-$G$3,22))&lt;&gt;""),'Arroz irrigado'!$E14:INDEX('Arroz irrigado'!$E14:$Z14,MIN(AO$6-$G$3,22))),0)))))</f>
        <v>0</v>
      </c>
      <c r="AP16" s="27" t="n">
        <f aca="false">IF(COUNT('Arroz irrigado'!$E14:$Z14)=0,0,MAX(0,IF((AP$6-$E$3)&lt;1,0,IFERROR(LOOKUP(2,1/('Arroz irrigado'!$E14:INDEX('Arroz irrigado'!$E14:$Z14,MIN(AP$6-$E$3,22))&lt;&gt;""),'Arroz irrigado'!$E14:INDEX('Arroz irrigado'!$E14:$Z14,MIN(AP$6-$E$3,22))),0))-IF($G$2,0,IF((AP$6-$G$3)&lt;1,0,IFERROR(LOOKUP(2,1/('Arroz irrigado'!$E14:INDEX('Arroz irrigado'!$E14:$Z14,MIN(AP$6-$G$3,22))&lt;&gt;""),'Arroz irrigado'!$E14:INDEX('Arroz irrigado'!$E14:$Z14,MIN(AP$6-$G$3,22))),0)))))</f>
        <v>0</v>
      </c>
      <c r="AQ16" s="27" t="n">
        <f aca="false">IF(COUNT('Arroz irrigado'!$E14:$Z14)=0,0,MAX(0,IF((AQ$6-$E$3)&lt;1,0,IFERROR(LOOKUP(2,1/('Arroz irrigado'!$E14:INDEX('Arroz irrigado'!$E14:$Z14,MIN(AQ$6-$E$3,22))&lt;&gt;""),'Arroz irrigado'!$E14:INDEX('Arroz irrigado'!$E14:$Z14,MIN(AQ$6-$E$3,22))),0))-IF($G$2,0,IF((AQ$6-$G$3)&lt;1,0,IFERROR(LOOKUP(2,1/('Arroz irrigado'!$E14:INDEX('Arroz irrigado'!$E14:$Z14,MIN(AQ$6-$G$3,22))&lt;&gt;""),'Arroz irrigado'!$E14:INDEX('Arroz irrigado'!$E14:$Z14,MIN(AQ$6-$G$3,22))),0)))))</f>
        <v>0</v>
      </c>
      <c r="AR16" s="27" t="n">
        <f aca="false">IF(COUNT('Arroz irrigado'!$E14:$Z14)=0,0,MAX(0,IF((AR$6-$E$3)&lt;1,0,IFERROR(LOOKUP(2,1/('Arroz irrigado'!$E14:INDEX('Arroz irrigado'!$E14:$Z14,MIN(AR$6-$E$3,22))&lt;&gt;""),'Arroz irrigado'!$E14:INDEX('Arroz irrigado'!$E14:$Z14,MIN(AR$6-$E$3,22))),0))-IF($G$2,0,IF((AR$6-$G$3)&lt;1,0,IFERROR(LOOKUP(2,1/('Arroz irrigado'!$E14:INDEX('Arroz irrigado'!$E14:$Z14,MIN(AR$6-$G$3,22))&lt;&gt;""),'Arroz irrigado'!$E14:INDEX('Arroz irrigado'!$E14:$Z14,MIN(AR$6-$G$3,22))),0)))))</f>
        <v>0</v>
      </c>
      <c r="AS16" s="27" t="n">
        <f aca="false">IF(COUNT('Arroz irrigado'!$E14:$Z14)=0,0,MAX(0,IF((AS$6-$E$3)&lt;1,0,IFERROR(LOOKUP(2,1/('Arroz irrigado'!$E14:INDEX('Arroz irrigado'!$E14:$Z14,MIN(AS$6-$E$3,22))&lt;&gt;""),'Arroz irrigado'!$E14:INDEX('Arroz irrigado'!$E14:$Z14,MIN(AS$6-$E$3,22))),0))-IF($G$2,0,IF((AS$6-$G$3)&lt;1,0,IFERROR(LOOKUP(2,1/('Arroz irrigado'!$E14:INDEX('Arroz irrigado'!$E14:$Z14,MIN(AS$6-$G$3,22))&lt;&gt;""),'Arroz irrigado'!$E14:INDEX('Arroz irrigado'!$E14:$Z14,MIN(AS$6-$G$3,22))),0)))))</f>
        <v>0</v>
      </c>
      <c r="AT16" s="27" t="n">
        <f aca="false">IF(COUNT('Arroz irrigado'!$E14:$Z14)=0,0,MAX(0,IF((AT$6-$E$3)&lt;1,0,IFERROR(LOOKUP(2,1/('Arroz irrigado'!$E14:INDEX('Arroz irrigado'!$E14:$Z14,MIN(AT$6-$E$3,22))&lt;&gt;""),'Arroz irrigado'!$E14:INDEX('Arroz irrigado'!$E14:$Z14,MIN(AT$6-$E$3,22))),0))-IF($G$2,0,IF((AT$6-$G$3)&lt;1,0,IFERROR(LOOKUP(2,1/('Arroz irrigado'!$E14:INDEX('Arroz irrigado'!$E14:$Z14,MIN(AT$6-$G$3,22))&lt;&gt;""),'Arroz irrigado'!$E14:INDEX('Arroz irrigado'!$E14:$Z14,MIN(AT$6-$G$3,22))),0)))))</f>
        <v>0</v>
      </c>
      <c r="AU16" s="27" t="n">
        <f aca="false">IF(COUNT('Arroz irrigado'!$E14:$Z14)=0,0,MAX(0,IF((AU$6-$E$3)&lt;1,0,IFERROR(LOOKUP(2,1/('Arroz irrigado'!$E14:INDEX('Arroz irrigado'!$E14:$Z14,MIN(AU$6-$E$3,22))&lt;&gt;""),'Arroz irrigado'!$E14:INDEX('Arroz irrigado'!$E14:$Z14,MIN(AU$6-$E$3,22))),0))-IF($G$2,0,IF((AU$6-$G$3)&lt;1,0,IFERROR(LOOKUP(2,1/('Arroz irrigado'!$E14:INDEX('Arroz irrigado'!$E14:$Z14,MIN(AU$6-$G$3,22))&lt;&gt;""),'Arroz irrigado'!$E14:INDEX('Arroz irrigado'!$E14:$Z14,MIN(AU$6-$G$3,22))),0)))))</f>
        <v>0</v>
      </c>
      <c r="AV16" s="27" t="n">
        <f aca="false">IF(COUNT('Arroz irrigado'!$E14:$Z14)=0,0,MAX(0,IF((AV$6-$E$3)&lt;1,0,IFERROR(LOOKUP(2,1/('Arroz irrigado'!$E14:INDEX('Arroz irrigado'!$E14:$Z14,MIN(AV$6-$E$3,22))&lt;&gt;""),'Arroz irrigado'!$E14:INDEX('Arroz irrigado'!$E14:$Z14,MIN(AV$6-$E$3,22))),0))-IF($G$2,0,IF((AV$6-$G$3)&lt;1,0,IFERROR(LOOKUP(2,1/('Arroz irrigado'!$E14:INDEX('Arroz irrigado'!$E14:$Z14,MIN(AV$6-$G$3,22))&lt;&gt;""),'Arroz irrigado'!$E14:INDEX('Arroz irrigado'!$E14:$Z14,MIN(AV$6-$G$3,22))),0)))))</f>
        <v>0</v>
      </c>
      <c r="AW16" s="27" t="n">
        <f aca="false">IF(COUNT('Arroz irrigado'!$E14:$Z14)=0,0,MAX(0,IF((AW$6-$E$3)&lt;1,0,IFERROR(LOOKUP(2,1/('Arroz irrigado'!$E14:INDEX('Arroz irrigado'!$E14:$Z14,MIN(AW$6-$E$3,22))&lt;&gt;""),'Arroz irrigado'!$E14:INDEX('Arroz irrigado'!$E14:$Z14,MIN(AW$6-$E$3,22))),0))-IF($G$2,0,IF((AW$6-$G$3)&lt;1,0,IFERROR(LOOKUP(2,1/('Arroz irrigado'!$E14:INDEX('Arroz irrigado'!$E14:$Z14,MIN(AW$6-$G$3,22))&lt;&gt;""),'Arroz irrigado'!$E14:INDEX('Arroz irrigado'!$E14:$Z14,MIN(AW$6-$G$3,22))),0)))))</f>
        <v>0</v>
      </c>
      <c r="AX16" s="27" t="n">
        <f aca="false">IF(COUNT('Arroz irrigado'!$E14:$Z14)=0,0,MAX(0,IF((AX$6-$E$3)&lt;1,0,IFERROR(LOOKUP(2,1/('Arroz irrigado'!$E14:INDEX('Arroz irrigado'!$E14:$Z14,MIN(AX$6-$E$3,22))&lt;&gt;""),'Arroz irrigado'!$E14:INDEX('Arroz irrigado'!$E14:$Z14,MIN(AX$6-$E$3,22))),0))-IF($G$2,0,IF((AX$6-$G$3)&lt;1,0,IFERROR(LOOKUP(2,1/('Arroz irrigado'!$E14:INDEX('Arroz irrigado'!$E14:$Z14,MIN(AX$6-$G$3,22))&lt;&gt;""),'Arroz irrigado'!$E14:INDEX('Arroz irrigado'!$E14:$Z14,MIN(AX$6-$G$3,22))),0)))))</f>
        <v>0</v>
      </c>
      <c r="AY16" s="27" t="n">
        <f aca="false">IF(COUNT('Arroz irrigado'!$E14:$Z14)=0,0,MAX(0,IF((AY$6-$E$3)&lt;1,0,IFERROR(LOOKUP(2,1/('Arroz irrigado'!$E14:INDEX('Arroz irrigado'!$E14:$Z14,MIN(AY$6-$E$3,22))&lt;&gt;""),'Arroz irrigado'!$E14:INDEX('Arroz irrigado'!$E14:$Z14,MIN(AY$6-$E$3,22))),0))-IF($G$2,0,IF((AY$6-$G$3)&lt;1,0,IFERROR(LOOKUP(2,1/('Arroz irrigado'!$E14:INDEX('Arroz irrigado'!$E14:$Z14,MIN(AY$6-$G$3,22))&lt;&gt;""),'Arroz irrigado'!$E14:INDEX('Arroz irrigado'!$E14:$Z14,MIN(AY$6-$G$3,22))),0)))))</f>
        <v>0</v>
      </c>
      <c r="AZ16" s="27" t="n">
        <f aca="false">IF(COUNT('Arroz irrigado'!$E14:$Z14)=0,0,MAX(0,IF((AZ$6-$E$3)&lt;1,0,IFERROR(LOOKUP(2,1/('Arroz irrigado'!$E14:INDEX('Arroz irrigado'!$E14:$Z14,MIN(AZ$6-$E$3,22))&lt;&gt;""),'Arroz irrigado'!$E14:INDEX('Arroz irrigado'!$E14:$Z14,MIN(AZ$6-$E$3,22))),0))-IF($G$2,0,IF((AZ$6-$G$3)&lt;1,0,IFERROR(LOOKUP(2,1/('Arroz irrigado'!$E14:INDEX('Arroz irrigado'!$E14:$Z14,MIN(AZ$6-$G$3,22))&lt;&gt;""),'Arroz irrigado'!$E14:INDEX('Arroz irrigado'!$E14:$Z14,MIN(AZ$6-$G$3,22))),0)))))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IF(COUNT('Arroz irrigado'!$E15:$Z15)&gt;0,N('Arroz irrigado'!$D15),0)</f>
        <v>0</v>
      </c>
      <c r="E17" s="27" t="n">
        <f aca="false">IF(COUNT('Arroz irrigado'!$E15:$Z15)=0,0,MAX(0,IF((E$6-$E$3)&lt;1,0,IFERROR(LOOKUP(2,1/('Arroz irrigado'!$E15:INDEX('Arroz irrigado'!$E15:$Z15,MIN(E$6-$E$3,22))&lt;&gt;""),'Arroz irrigado'!$E15:INDEX('Arroz irrigado'!$E15:$Z15,MIN(E$6-$E$3,22))),0))-IF($G$2,0,IF((E$6-$G$3)&lt;1,0,IFERROR(LOOKUP(2,1/('Arroz irrigado'!$E15:INDEX('Arroz irrigado'!$E15:$Z15,MIN(E$6-$G$3,22))&lt;&gt;""),'Arroz irrigado'!$E15:INDEX('Arroz irrigado'!$E15:$Z15,MIN(E$6-$G$3,22))),0)))))</f>
        <v>0</v>
      </c>
      <c r="F17" s="27" t="n">
        <f aca="false">IF(COUNT('Arroz irrigado'!$E15:$Z15)=0,0,MAX(0,IF((F$6-$E$3)&lt;1,0,IFERROR(LOOKUP(2,1/('Arroz irrigado'!$E15:INDEX('Arroz irrigado'!$E15:$Z15,MIN(F$6-$E$3,22))&lt;&gt;""),'Arroz irrigado'!$E15:INDEX('Arroz irrigado'!$E15:$Z15,MIN(F$6-$E$3,22))),0))-IF($G$2,0,IF((F$6-$G$3)&lt;1,0,IFERROR(LOOKUP(2,1/('Arroz irrigado'!$E15:INDEX('Arroz irrigado'!$E15:$Z15,MIN(F$6-$G$3,22))&lt;&gt;""),'Arroz irrigado'!$E15:INDEX('Arroz irrigado'!$E15:$Z15,MIN(F$6-$G$3,22))),0)))))</f>
        <v>0</v>
      </c>
      <c r="G17" s="27" t="n">
        <f aca="false">IF(COUNT('Arroz irrigado'!$E15:$Z15)=0,0,MAX(0,IF((G$6-$E$3)&lt;1,0,IFERROR(LOOKUP(2,1/('Arroz irrigado'!$E15:INDEX('Arroz irrigado'!$E15:$Z15,MIN(G$6-$E$3,22))&lt;&gt;""),'Arroz irrigado'!$E15:INDEX('Arroz irrigado'!$E15:$Z15,MIN(G$6-$E$3,22))),0))-IF($G$2,0,IF((G$6-$G$3)&lt;1,0,IFERROR(LOOKUP(2,1/('Arroz irrigado'!$E15:INDEX('Arroz irrigado'!$E15:$Z15,MIN(G$6-$G$3,22))&lt;&gt;""),'Arroz irrigado'!$E15:INDEX('Arroz irrigado'!$E15:$Z15,MIN(G$6-$G$3,22))),0)))))</f>
        <v>0</v>
      </c>
      <c r="H17" s="27" t="n">
        <f aca="false">IF(COUNT('Arroz irrigado'!$E15:$Z15)=0,0,MAX(0,IF((H$6-$E$3)&lt;1,0,IFERROR(LOOKUP(2,1/('Arroz irrigado'!$E15:INDEX('Arroz irrigado'!$E15:$Z15,MIN(H$6-$E$3,22))&lt;&gt;""),'Arroz irrigado'!$E15:INDEX('Arroz irrigado'!$E15:$Z15,MIN(H$6-$E$3,22))),0))-IF($G$2,0,IF((H$6-$G$3)&lt;1,0,IFERROR(LOOKUP(2,1/('Arroz irrigado'!$E15:INDEX('Arroz irrigado'!$E15:$Z15,MIN(H$6-$G$3,22))&lt;&gt;""),'Arroz irrigado'!$E15:INDEX('Arroz irrigado'!$E15:$Z15,MIN(H$6-$G$3,22))),0)))))</f>
        <v>0</v>
      </c>
      <c r="I17" s="27" t="n">
        <f aca="false">IF(COUNT('Arroz irrigado'!$E15:$Z15)=0,0,MAX(0,IF((I$6-$E$3)&lt;1,0,IFERROR(LOOKUP(2,1/('Arroz irrigado'!$E15:INDEX('Arroz irrigado'!$E15:$Z15,MIN(I$6-$E$3,22))&lt;&gt;""),'Arroz irrigado'!$E15:INDEX('Arroz irrigado'!$E15:$Z15,MIN(I$6-$E$3,22))),0))-IF($G$2,0,IF((I$6-$G$3)&lt;1,0,IFERROR(LOOKUP(2,1/('Arroz irrigado'!$E15:INDEX('Arroz irrigado'!$E15:$Z15,MIN(I$6-$G$3,22))&lt;&gt;""),'Arroz irrigado'!$E15:INDEX('Arroz irrigado'!$E15:$Z15,MIN(I$6-$G$3,22))),0)))))</f>
        <v>0</v>
      </c>
      <c r="J17" s="27" t="n">
        <f aca="false">IF(COUNT('Arroz irrigado'!$E15:$Z15)=0,0,MAX(0,IF((J$6-$E$3)&lt;1,0,IFERROR(LOOKUP(2,1/('Arroz irrigado'!$E15:INDEX('Arroz irrigado'!$E15:$Z15,MIN(J$6-$E$3,22))&lt;&gt;""),'Arroz irrigado'!$E15:INDEX('Arroz irrigado'!$E15:$Z15,MIN(J$6-$E$3,22))),0))-IF($G$2,0,IF((J$6-$G$3)&lt;1,0,IFERROR(LOOKUP(2,1/('Arroz irrigado'!$E15:INDEX('Arroz irrigado'!$E15:$Z15,MIN(J$6-$G$3,22))&lt;&gt;""),'Arroz irrigado'!$E15:INDEX('Arroz irrigado'!$E15:$Z15,MIN(J$6-$G$3,22))),0)))))</f>
        <v>0</v>
      </c>
      <c r="K17" s="27" t="n">
        <f aca="false">IF(COUNT('Arroz irrigado'!$E15:$Z15)=0,0,MAX(0,IF((K$6-$E$3)&lt;1,0,IFERROR(LOOKUP(2,1/('Arroz irrigado'!$E15:INDEX('Arroz irrigado'!$E15:$Z15,MIN(K$6-$E$3,22))&lt;&gt;""),'Arroz irrigado'!$E15:INDEX('Arroz irrigado'!$E15:$Z15,MIN(K$6-$E$3,22))),0))-IF($G$2,0,IF((K$6-$G$3)&lt;1,0,IFERROR(LOOKUP(2,1/('Arroz irrigado'!$E15:INDEX('Arroz irrigado'!$E15:$Z15,MIN(K$6-$G$3,22))&lt;&gt;""),'Arroz irrigado'!$E15:INDEX('Arroz irrigado'!$E15:$Z15,MIN(K$6-$G$3,22))),0)))))</f>
        <v>0</v>
      </c>
      <c r="L17" s="27" t="n">
        <f aca="false">IF(COUNT('Arroz irrigado'!$E15:$Z15)=0,0,MAX(0,IF((L$6-$E$3)&lt;1,0,IFERROR(LOOKUP(2,1/('Arroz irrigado'!$E15:INDEX('Arroz irrigado'!$E15:$Z15,MIN(L$6-$E$3,22))&lt;&gt;""),'Arroz irrigado'!$E15:INDEX('Arroz irrigado'!$E15:$Z15,MIN(L$6-$E$3,22))),0))-IF($G$2,0,IF((L$6-$G$3)&lt;1,0,IFERROR(LOOKUP(2,1/('Arroz irrigado'!$E15:INDEX('Arroz irrigado'!$E15:$Z15,MIN(L$6-$G$3,22))&lt;&gt;""),'Arroz irrigado'!$E15:INDEX('Arroz irrigado'!$E15:$Z15,MIN(L$6-$G$3,22))),0)))))</f>
        <v>0</v>
      </c>
      <c r="M17" s="27" t="n">
        <f aca="false">IF(COUNT('Arroz irrigado'!$E15:$Z15)=0,0,MAX(0,IF((M$6-$E$3)&lt;1,0,IFERROR(LOOKUP(2,1/('Arroz irrigado'!$E15:INDEX('Arroz irrigado'!$E15:$Z15,MIN(M$6-$E$3,22))&lt;&gt;""),'Arroz irrigado'!$E15:INDEX('Arroz irrigado'!$E15:$Z15,MIN(M$6-$E$3,22))),0))-IF($G$2,0,IF((M$6-$G$3)&lt;1,0,IFERROR(LOOKUP(2,1/('Arroz irrigado'!$E15:INDEX('Arroz irrigado'!$E15:$Z15,MIN(M$6-$G$3,22))&lt;&gt;""),'Arroz irrigado'!$E15:INDEX('Arroz irrigado'!$E15:$Z15,MIN(M$6-$G$3,22))),0)))))</f>
        <v>0</v>
      </c>
      <c r="N17" s="27" t="n">
        <f aca="false">IF(COUNT('Arroz irrigado'!$E15:$Z15)=0,0,MAX(0,IF((N$6-$E$3)&lt;1,0,IFERROR(LOOKUP(2,1/('Arroz irrigado'!$E15:INDEX('Arroz irrigado'!$E15:$Z15,MIN(N$6-$E$3,22))&lt;&gt;""),'Arroz irrigado'!$E15:INDEX('Arroz irrigado'!$E15:$Z15,MIN(N$6-$E$3,22))),0))-IF($G$2,0,IF((N$6-$G$3)&lt;1,0,IFERROR(LOOKUP(2,1/('Arroz irrigado'!$E15:INDEX('Arroz irrigado'!$E15:$Z15,MIN(N$6-$G$3,22))&lt;&gt;""),'Arroz irrigado'!$E15:INDEX('Arroz irrigado'!$E15:$Z15,MIN(N$6-$G$3,22))),0)))))</f>
        <v>0</v>
      </c>
      <c r="O17" s="27" t="n">
        <f aca="false">IF(COUNT('Arroz irrigado'!$E15:$Z15)=0,0,MAX(0,IF((O$6-$E$3)&lt;1,0,IFERROR(LOOKUP(2,1/('Arroz irrigado'!$E15:INDEX('Arroz irrigado'!$E15:$Z15,MIN(O$6-$E$3,22))&lt;&gt;""),'Arroz irrigado'!$E15:INDEX('Arroz irrigado'!$E15:$Z15,MIN(O$6-$E$3,22))),0))-IF($G$2,0,IF((O$6-$G$3)&lt;1,0,IFERROR(LOOKUP(2,1/('Arroz irrigado'!$E15:INDEX('Arroz irrigado'!$E15:$Z15,MIN(O$6-$G$3,22))&lt;&gt;""),'Arroz irrigado'!$E15:INDEX('Arroz irrigado'!$E15:$Z15,MIN(O$6-$G$3,22))),0)))))</f>
        <v>0</v>
      </c>
      <c r="P17" s="27" t="n">
        <f aca="false">IF(COUNT('Arroz irrigado'!$E15:$Z15)=0,0,MAX(0,IF((P$6-$E$3)&lt;1,0,IFERROR(LOOKUP(2,1/('Arroz irrigado'!$E15:INDEX('Arroz irrigado'!$E15:$Z15,MIN(P$6-$E$3,22))&lt;&gt;""),'Arroz irrigado'!$E15:INDEX('Arroz irrigado'!$E15:$Z15,MIN(P$6-$E$3,22))),0))-IF($G$2,0,IF((P$6-$G$3)&lt;1,0,IFERROR(LOOKUP(2,1/('Arroz irrigado'!$E15:INDEX('Arroz irrigado'!$E15:$Z15,MIN(P$6-$G$3,22))&lt;&gt;""),'Arroz irrigado'!$E15:INDEX('Arroz irrigado'!$E15:$Z15,MIN(P$6-$G$3,22))),0)))))</f>
        <v>0</v>
      </c>
      <c r="Q17" s="27" t="n">
        <f aca="false">IF(COUNT('Arroz irrigado'!$E15:$Z15)=0,0,MAX(0,IF((Q$6-$E$3)&lt;1,0,IFERROR(LOOKUP(2,1/('Arroz irrigado'!$E15:INDEX('Arroz irrigado'!$E15:$Z15,MIN(Q$6-$E$3,22))&lt;&gt;""),'Arroz irrigado'!$E15:INDEX('Arroz irrigado'!$E15:$Z15,MIN(Q$6-$E$3,22))),0))-IF($G$2,0,IF((Q$6-$G$3)&lt;1,0,IFERROR(LOOKUP(2,1/('Arroz irrigado'!$E15:INDEX('Arroz irrigado'!$E15:$Z15,MIN(Q$6-$G$3,22))&lt;&gt;""),'Arroz irrigado'!$E15:INDEX('Arroz irrigado'!$E15:$Z15,MIN(Q$6-$G$3,22))),0)))))</f>
        <v>0</v>
      </c>
      <c r="R17" s="27" t="n">
        <f aca="false">IF(COUNT('Arroz irrigado'!$E15:$Z15)=0,0,MAX(0,IF((R$6-$E$3)&lt;1,0,IFERROR(LOOKUP(2,1/('Arroz irrigado'!$E15:INDEX('Arroz irrigado'!$E15:$Z15,MIN(R$6-$E$3,22))&lt;&gt;""),'Arroz irrigado'!$E15:INDEX('Arroz irrigado'!$E15:$Z15,MIN(R$6-$E$3,22))),0))-IF($G$2,0,IF((R$6-$G$3)&lt;1,0,IFERROR(LOOKUP(2,1/('Arroz irrigado'!$E15:INDEX('Arroz irrigado'!$E15:$Z15,MIN(R$6-$G$3,22))&lt;&gt;""),'Arroz irrigado'!$E15:INDEX('Arroz irrigado'!$E15:$Z15,MIN(R$6-$G$3,22))),0)))))</f>
        <v>0</v>
      </c>
      <c r="S17" s="27" t="n">
        <f aca="false">IF(COUNT('Arroz irrigado'!$E15:$Z15)=0,0,MAX(0,IF((S$6-$E$3)&lt;1,0,IFERROR(LOOKUP(2,1/('Arroz irrigado'!$E15:INDEX('Arroz irrigado'!$E15:$Z15,MIN(S$6-$E$3,22))&lt;&gt;""),'Arroz irrigado'!$E15:INDEX('Arroz irrigado'!$E15:$Z15,MIN(S$6-$E$3,22))),0))-IF($G$2,0,IF((S$6-$G$3)&lt;1,0,IFERROR(LOOKUP(2,1/('Arroz irrigado'!$E15:INDEX('Arroz irrigado'!$E15:$Z15,MIN(S$6-$G$3,22))&lt;&gt;""),'Arroz irrigado'!$E15:INDEX('Arroz irrigado'!$E15:$Z15,MIN(S$6-$G$3,22))),0)))))</f>
        <v>0</v>
      </c>
      <c r="T17" s="27" t="n">
        <f aca="false">IF(COUNT('Arroz irrigado'!$E15:$Z15)=0,0,MAX(0,IF((T$6-$E$3)&lt;1,0,IFERROR(LOOKUP(2,1/('Arroz irrigado'!$E15:INDEX('Arroz irrigado'!$E15:$Z15,MIN(T$6-$E$3,22))&lt;&gt;""),'Arroz irrigado'!$E15:INDEX('Arroz irrigado'!$E15:$Z15,MIN(T$6-$E$3,22))),0))-IF($G$2,0,IF((T$6-$G$3)&lt;1,0,IFERROR(LOOKUP(2,1/('Arroz irrigado'!$E15:INDEX('Arroz irrigado'!$E15:$Z15,MIN(T$6-$G$3,22))&lt;&gt;""),'Arroz irrigado'!$E15:INDEX('Arroz irrigado'!$E15:$Z15,MIN(T$6-$G$3,22))),0)))))</f>
        <v>0</v>
      </c>
      <c r="U17" s="27" t="n">
        <f aca="false">IF(COUNT('Arroz irrigado'!$E15:$Z15)=0,0,MAX(0,IF((U$6-$E$3)&lt;1,0,IFERROR(LOOKUP(2,1/('Arroz irrigado'!$E15:INDEX('Arroz irrigado'!$E15:$Z15,MIN(U$6-$E$3,22))&lt;&gt;""),'Arroz irrigado'!$E15:INDEX('Arroz irrigado'!$E15:$Z15,MIN(U$6-$E$3,22))),0))-IF($G$2,0,IF((U$6-$G$3)&lt;1,0,IFERROR(LOOKUP(2,1/('Arroz irrigado'!$E15:INDEX('Arroz irrigado'!$E15:$Z15,MIN(U$6-$G$3,22))&lt;&gt;""),'Arroz irrigado'!$E15:INDEX('Arroz irrigado'!$E15:$Z15,MIN(U$6-$G$3,22))),0)))))</f>
        <v>0</v>
      </c>
      <c r="V17" s="27" t="n">
        <f aca="false">IF(COUNT('Arroz irrigado'!$E15:$Z15)=0,0,MAX(0,IF((V$6-$E$3)&lt;1,0,IFERROR(LOOKUP(2,1/('Arroz irrigado'!$E15:INDEX('Arroz irrigado'!$E15:$Z15,MIN(V$6-$E$3,22))&lt;&gt;""),'Arroz irrigado'!$E15:INDEX('Arroz irrigado'!$E15:$Z15,MIN(V$6-$E$3,22))),0))-IF($G$2,0,IF((V$6-$G$3)&lt;1,0,IFERROR(LOOKUP(2,1/('Arroz irrigado'!$E15:INDEX('Arroz irrigado'!$E15:$Z15,MIN(V$6-$G$3,22))&lt;&gt;""),'Arroz irrigado'!$E15:INDEX('Arroz irrigado'!$E15:$Z15,MIN(V$6-$G$3,22))),0)))))</f>
        <v>0</v>
      </c>
      <c r="W17" s="27" t="n">
        <f aca="false">IF(COUNT('Arroz irrigado'!$E15:$Z15)=0,0,MAX(0,IF((W$6-$E$3)&lt;1,0,IFERROR(LOOKUP(2,1/('Arroz irrigado'!$E15:INDEX('Arroz irrigado'!$E15:$Z15,MIN(W$6-$E$3,22))&lt;&gt;""),'Arroz irrigado'!$E15:INDEX('Arroz irrigado'!$E15:$Z15,MIN(W$6-$E$3,22))),0))-IF($G$2,0,IF((W$6-$G$3)&lt;1,0,IFERROR(LOOKUP(2,1/('Arroz irrigado'!$E15:INDEX('Arroz irrigado'!$E15:$Z15,MIN(W$6-$G$3,22))&lt;&gt;""),'Arroz irrigado'!$E15:INDEX('Arroz irrigado'!$E15:$Z15,MIN(W$6-$G$3,22))),0)))))</f>
        <v>0</v>
      </c>
      <c r="X17" s="27" t="n">
        <f aca="false">IF(COUNT('Arroz irrigado'!$E15:$Z15)=0,0,MAX(0,IF((X$6-$E$3)&lt;1,0,IFERROR(LOOKUP(2,1/('Arroz irrigado'!$E15:INDEX('Arroz irrigado'!$E15:$Z15,MIN(X$6-$E$3,22))&lt;&gt;""),'Arroz irrigado'!$E15:INDEX('Arroz irrigado'!$E15:$Z15,MIN(X$6-$E$3,22))),0))-IF($G$2,0,IF((X$6-$G$3)&lt;1,0,IFERROR(LOOKUP(2,1/('Arroz irrigado'!$E15:INDEX('Arroz irrigado'!$E15:$Z15,MIN(X$6-$G$3,22))&lt;&gt;""),'Arroz irrigado'!$E15:INDEX('Arroz irrigado'!$E15:$Z15,MIN(X$6-$G$3,22))),0)))))</f>
        <v>0</v>
      </c>
      <c r="Y17" s="27" t="n">
        <f aca="false">IF(COUNT('Arroz irrigado'!$E15:$Z15)=0,0,MAX(0,IF((Y$6-$E$3)&lt;1,0,IFERROR(LOOKUP(2,1/('Arroz irrigado'!$E15:INDEX('Arroz irrigado'!$E15:$Z15,MIN(Y$6-$E$3,22))&lt;&gt;""),'Arroz irrigado'!$E15:INDEX('Arroz irrigado'!$E15:$Z15,MIN(Y$6-$E$3,22))),0))-IF($G$2,0,IF((Y$6-$G$3)&lt;1,0,IFERROR(LOOKUP(2,1/('Arroz irrigado'!$E15:INDEX('Arroz irrigado'!$E15:$Z15,MIN(Y$6-$G$3,22))&lt;&gt;""),'Arroz irrigado'!$E15:INDEX('Arroz irrigado'!$E15:$Z15,MIN(Y$6-$G$3,22))),0)))))</f>
        <v>0</v>
      </c>
      <c r="Z17" s="27" t="n">
        <f aca="false">IF(COUNT('Arroz irrigado'!$E15:$Z15)=0,0,MAX(0,IF((Z$6-$E$3)&lt;1,0,IFERROR(LOOKUP(2,1/('Arroz irrigado'!$E15:INDEX('Arroz irrigado'!$E15:$Z15,MIN(Z$6-$E$3,22))&lt;&gt;""),'Arroz irrigado'!$E15:INDEX('Arroz irrigado'!$E15:$Z15,MIN(Z$6-$E$3,22))),0))-IF($G$2,0,IF((Z$6-$G$3)&lt;1,0,IFERROR(LOOKUP(2,1/('Arroz irrigado'!$E15:INDEX('Arroz irrigado'!$E15:$Z15,MIN(Z$6-$G$3,22))&lt;&gt;""),'Arroz irrigado'!$E15:INDEX('Arroz irrigado'!$E15:$Z15,MIN(Z$6-$G$3,22))),0)))))</f>
        <v>0</v>
      </c>
      <c r="AA17" s="27" t="n">
        <f aca="false">IF(COUNT('Arroz irrigado'!$E15:$Z15)=0,0,MAX(0,IF((AA$6-$E$3)&lt;1,0,IFERROR(LOOKUP(2,1/('Arroz irrigado'!$E15:INDEX('Arroz irrigado'!$E15:$Z15,MIN(AA$6-$E$3,22))&lt;&gt;""),'Arroz irrigado'!$E15:INDEX('Arroz irrigado'!$E15:$Z15,MIN(AA$6-$E$3,22))),0))-IF($G$2,0,IF((AA$6-$G$3)&lt;1,0,IFERROR(LOOKUP(2,1/('Arroz irrigado'!$E15:INDEX('Arroz irrigado'!$E15:$Z15,MIN(AA$6-$G$3,22))&lt;&gt;""),'Arroz irrigado'!$E15:INDEX('Arroz irrigado'!$E15:$Z15,MIN(AA$6-$G$3,22))),0)))))</f>
        <v>0</v>
      </c>
      <c r="AB17" s="27" t="n">
        <f aca="false">IF(COUNT('Arroz irrigado'!$E15:$Z15)=0,0,MAX(0,IF((AB$6-$E$3)&lt;1,0,IFERROR(LOOKUP(2,1/('Arroz irrigado'!$E15:INDEX('Arroz irrigado'!$E15:$Z15,MIN(AB$6-$E$3,22))&lt;&gt;""),'Arroz irrigado'!$E15:INDEX('Arroz irrigado'!$E15:$Z15,MIN(AB$6-$E$3,22))),0))-IF($G$2,0,IF((AB$6-$G$3)&lt;1,0,IFERROR(LOOKUP(2,1/('Arroz irrigado'!$E15:INDEX('Arroz irrigado'!$E15:$Z15,MIN(AB$6-$G$3,22))&lt;&gt;""),'Arroz irrigado'!$E15:INDEX('Arroz irrigado'!$E15:$Z15,MIN(AB$6-$G$3,22))),0)))))</f>
        <v>0</v>
      </c>
      <c r="AC17" s="27" t="n">
        <f aca="false">IF(COUNT('Arroz irrigado'!$E15:$Z15)=0,0,MAX(0,IF((AC$6-$E$3)&lt;1,0,IFERROR(LOOKUP(2,1/('Arroz irrigado'!$E15:INDEX('Arroz irrigado'!$E15:$Z15,MIN(AC$6-$E$3,22))&lt;&gt;""),'Arroz irrigado'!$E15:INDEX('Arroz irrigado'!$E15:$Z15,MIN(AC$6-$E$3,22))),0))-IF($G$2,0,IF((AC$6-$G$3)&lt;1,0,IFERROR(LOOKUP(2,1/('Arroz irrigado'!$E15:INDEX('Arroz irrigado'!$E15:$Z15,MIN(AC$6-$G$3,22))&lt;&gt;""),'Arroz irrigado'!$E15:INDEX('Arroz irrigado'!$E15:$Z15,MIN(AC$6-$G$3,22))),0)))))</f>
        <v>0</v>
      </c>
      <c r="AD17" s="27" t="n">
        <f aca="false">IF(COUNT('Arroz irrigado'!$E15:$Z15)=0,0,MAX(0,IF((AD$6-$E$3)&lt;1,0,IFERROR(LOOKUP(2,1/('Arroz irrigado'!$E15:INDEX('Arroz irrigado'!$E15:$Z15,MIN(AD$6-$E$3,22))&lt;&gt;""),'Arroz irrigado'!$E15:INDEX('Arroz irrigado'!$E15:$Z15,MIN(AD$6-$E$3,22))),0))-IF($G$2,0,IF((AD$6-$G$3)&lt;1,0,IFERROR(LOOKUP(2,1/('Arroz irrigado'!$E15:INDEX('Arroz irrigado'!$E15:$Z15,MIN(AD$6-$G$3,22))&lt;&gt;""),'Arroz irrigado'!$E15:INDEX('Arroz irrigado'!$E15:$Z15,MIN(AD$6-$G$3,22))),0)))))</f>
        <v>0</v>
      </c>
      <c r="AE17" s="27" t="n">
        <f aca="false">IF(COUNT('Arroz irrigado'!$E15:$Z15)=0,0,MAX(0,IF((AE$6-$E$3)&lt;1,0,IFERROR(LOOKUP(2,1/('Arroz irrigado'!$E15:INDEX('Arroz irrigado'!$E15:$Z15,MIN(AE$6-$E$3,22))&lt;&gt;""),'Arroz irrigado'!$E15:INDEX('Arroz irrigado'!$E15:$Z15,MIN(AE$6-$E$3,22))),0))-IF($G$2,0,IF((AE$6-$G$3)&lt;1,0,IFERROR(LOOKUP(2,1/('Arroz irrigado'!$E15:INDEX('Arroz irrigado'!$E15:$Z15,MIN(AE$6-$G$3,22))&lt;&gt;""),'Arroz irrigado'!$E15:INDEX('Arroz irrigado'!$E15:$Z15,MIN(AE$6-$G$3,22))),0)))))</f>
        <v>0</v>
      </c>
      <c r="AF17" s="27" t="n">
        <f aca="false">IF(COUNT('Arroz irrigado'!$E15:$Z15)=0,0,MAX(0,IF((AF$6-$E$3)&lt;1,0,IFERROR(LOOKUP(2,1/('Arroz irrigado'!$E15:INDEX('Arroz irrigado'!$E15:$Z15,MIN(AF$6-$E$3,22))&lt;&gt;""),'Arroz irrigado'!$E15:INDEX('Arroz irrigado'!$E15:$Z15,MIN(AF$6-$E$3,22))),0))-IF($G$2,0,IF((AF$6-$G$3)&lt;1,0,IFERROR(LOOKUP(2,1/('Arroz irrigado'!$E15:INDEX('Arroz irrigado'!$E15:$Z15,MIN(AF$6-$G$3,22))&lt;&gt;""),'Arroz irrigado'!$E15:INDEX('Arroz irrigado'!$E15:$Z15,MIN(AF$6-$G$3,22))),0)))))</f>
        <v>0</v>
      </c>
      <c r="AG17" s="27" t="n">
        <f aca="false">IF(COUNT('Arroz irrigado'!$E15:$Z15)=0,0,MAX(0,IF((AG$6-$E$3)&lt;1,0,IFERROR(LOOKUP(2,1/('Arroz irrigado'!$E15:INDEX('Arroz irrigado'!$E15:$Z15,MIN(AG$6-$E$3,22))&lt;&gt;""),'Arroz irrigado'!$E15:INDEX('Arroz irrigado'!$E15:$Z15,MIN(AG$6-$E$3,22))),0))-IF($G$2,0,IF((AG$6-$G$3)&lt;1,0,IFERROR(LOOKUP(2,1/('Arroz irrigado'!$E15:INDEX('Arroz irrigado'!$E15:$Z15,MIN(AG$6-$G$3,22))&lt;&gt;""),'Arroz irrigado'!$E15:INDEX('Arroz irrigado'!$E15:$Z15,MIN(AG$6-$G$3,22))),0)))))</f>
        <v>0</v>
      </c>
      <c r="AH17" s="27" t="n">
        <f aca="false">IF(COUNT('Arroz irrigado'!$E15:$Z15)=0,0,MAX(0,IF((AH$6-$E$3)&lt;1,0,IFERROR(LOOKUP(2,1/('Arroz irrigado'!$E15:INDEX('Arroz irrigado'!$E15:$Z15,MIN(AH$6-$E$3,22))&lt;&gt;""),'Arroz irrigado'!$E15:INDEX('Arroz irrigado'!$E15:$Z15,MIN(AH$6-$E$3,22))),0))-IF($G$2,0,IF((AH$6-$G$3)&lt;1,0,IFERROR(LOOKUP(2,1/('Arroz irrigado'!$E15:INDEX('Arroz irrigado'!$E15:$Z15,MIN(AH$6-$G$3,22))&lt;&gt;""),'Arroz irrigado'!$E15:INDEX('Arroz irrigado'!$E15:$Z15,MIN(AH$6-$G$3,22))),0)))))</f>
        <v>0</v>
      </c>
      <c r="AI17" s="27" t="n">
        <f aca="false">IF(COUNT('Arroz irrigado'!$E15:$Z15)=0,0,MAX(0,IF((AI$6-$E$3)&lt;1,0,IFERROR(LOOKUP(2,1/('Arroz irrigado'!$E15:INDEX('Arroz irrigado'!$E15:$Z15,MIN(AI$6-$E$3,22))&lt;&gt;""),'Arroz irrigado'!$E15:INDEX('Arroz irrigado'!$E15:$Z15,MIN(AI$6-$E$3,22))),0))-IF($G$2,0,IF((AI$6-$G$3)&lt;1,0,IFERROR(LOOKUP(2,1/('Arroz irrigado'!$E15:INDEX('Arroz irrigado'!$E15:$Z15,MIN(AI$6-$G$3,22))&lt;&gt;""),'Arroz irrigado'!$E15:INDEX('Arroz irrigado'!$E15:$Z15,MIN(AI$6-$G$3,22))),0)))))</f>
        <v>0</v>
      </c>
      <c r="AJ17" s="27" t="n">
        <f aca="false">IF(COUNT('Arroz irrigado'!$E15:$Z15)=0,0,MAX(0,IF((AJ$6-$E$3)&lt;1,0,IFERROR(LOOKUP(2,1/('Arroz irrigado'!$E15:INDEX('Arroz irrigado'!$E15:$Z15,MIN(AJ$6-$E$3,22))&lt;&gt;""),'Arroz irrigado'!$E15:INDEX('Arroz irrigado'!$E15:$Z15,MIN(AJ$6-$E$3,22))),0))-IF($G$2,0,IF((AJ$6-$G$3)&lt;1,0,IFERROR(LOOKUP(2,1/('Arroz irrigado'!$E15:INDEX('Arroz irrigado'!$E15:$Z15,MIN(AJ$6-$G$3,22))&lt;&gt;""),'Arroz irrigado'!$E15:INDEX('Arroz irrigado'!$E15:$Z15,MIN(AJ$6-$G$3,22))),0)))))</f>
        <v>0</v>
      </c>
      <c r="AK17" s="27" t="n">
        <f aca="false">IF(COUNT('Arroz irrigado'!$E15:$Z15)=0,0,MAX(0,IF((AK$6-$E$3)&lt;1,0,IFERROR(LOOKUP(2,1/('Arroz irrigado'!$E15:INDEX('Arroz irrigado'!$E15:$Z15,MIN(AK$6-$E$3,22))&lt;&gt;""),'Arroz irrigado'!$E15:INDEX('Arroz irrigado'!$E15:$Z15,MIN(AK$6-$E$3,22))),0))-IF($G$2,0,IF((AK$6-$G$3)&lt;1,0,IFERROR(LOOKUP(2,1/('Arroz irrigado'!$E15:INDEX('Arroz irrigado'!$E15:$Z15,MIN(AK$6-$G$3,22))&lt;&gt;""),'Arroz irrigado'!$E15:INDEX('Arroz irrigado'!$E15:$Z15,MIN(AK$6-$G$3,22))),0)))))</f>
        <v>0</v>
      </c>
      <c r="AL17" s="27" t="n">
        <f aca="false">IF(COUNT('Arroz irrigado'!$E15:$Z15)=0,0,MAX(0,IF((AL$6-$E$3)&lt;1,0,IFERROR(LOOKUP(2,1/('Arroz irrigado'!$E15:INDEX('Arroz irrigado'!$E15:$Z15,MIN(AL$6-$E$3,22))&lt;&gt;""),'Arroz irrigado'!$E15:INDEX('Arroz irrigado'!$E15:$Z15,MIN(AL$6-$E$3,22))),0))-IF($G$2,0,IF((AL$6-$G$3)&lt;1,0,IFERROR(LOOKUP(2,1/('Arroz irrigado'!$E15:INDEX('Arroz irrigado'!$E15:$Z15,MIN(AL$6-$G$3,22))&lt;&gt;""),'Arroz irrigado'!$E15:INDEX('Arroz irrigado'!$E15:$Z15,MIN(AL$6-$G$3,22))),0)))))</f>
        <v>0</v>
      </c>
      <c r="AM17" s="27" t="n">
        <f aca="false">IF(COUNT('Arroz irrigado'!$E15:$Z15)=0,0,MAX(0,IF((AM$6-$E$3)&lt;1,0,IFERROR(LOOKUP(2,1/('Arroz irrigado'!$E15:INDEX('Arroz irrigado'!$E15:$Z15,MIN(AM$6-$E$3,22))&lt;&gt;""),'Arroz irrigado'!$E15:INDEX('Arroz irrigado'!$E15:$Z15,MIN(AM$6-$E$3,22))),0))-IF($G$2,0,IF((AM$6-$G$3)&lt;1,0,IFERROR(LOOKUP(2,1/('Arroz irrigado'!$E15:INDEX('Arroz irrigado'!$E15:$Z15,MIN(AM$6-$G$3,22))&lt;&gt;""),'Arroz irrigado'!$E15:INDEX('Arroz irrigado'!$E15:$Z15,MIN(AM$6-$G$3,22))),0)))))</f>
        <v>0</v>
      </c>
      <c r="AN17" s="27" t="n">
        <f aca="false">IF(COUNT('Arroz irrigado'!$E15:$Z15)=0,0,MAX(0,IF((AN$6-$E$3)&lt;1,0,IFERROR(LOOKUP(2,1/('Arroz irrigado'!$E15:INDEX('Arroz irrigado'!$E15:$Z15,MIN(AN$6-$E$3,22))&lt;&gt;""),'Arroz irrigado'!$E15:INDEX('Arroz irrigado'!$E15:$Z15,MIN(AN$6-$E$3,22))),0))-IF($G$2,0,IF((AN$6-$G$3)&lt;1,0,IFERROR(LOOKUP(2,1/('Arroz irrigado'!$E15:INDEX('Arroz irrigado'!$E15:$Z15,MIN(AN$6-$G$3,22))&lt;&gt;""),'Arroz irrigado'!$E15:INDEX('Arroz irrigado'!$E15:$Z15,MIN(AN$6-$G$3,22))),0)))))</f>
        <v>0</v>
      </c>
      <c r="AO17" s="27" t="n">
        <f aca="false">IF(COUNT('Arroz irrigado'!$E15:$Z15)=0,0,MAX(0,IF((AO$6-$E$3)&lt;1,0,IFERROR(LOOKUP(2,1/('Arroz irrigado'!$E15:INDEX('Arroz irrigado'!$E15:$Z15,MIN(AO$6-$E$3,22))&lt;&gt;""),'Arroz irrigado'!$E15:INDEX('Arroz irrigado'!$E15:$Z15,MIN(AO$6-$E$3,22))),0))-IF($G$2,0,IF((AO$6-$G$3)&lt;1,0,IFERROR(LOOKUP(2,1/('Arroz irrigado'!$E15:INDEX('Arroz irrigado'!$E15:$Z15,MIN(AO$6-$G$3,22))&lt;&gt;""),'Arroz irrigado'!$E15:INDEX('Arroz irrigado'!$E15:$Z15,MIN(AO$6-$G$3,22))),0)))))</f>
        <v>0</v>
      </c>
      <c r="AP17" s="27" t="n">
        <f aca="false">IF(COUNT('Arroz irrigado'!$E15:$Z15)=0,0,MAX(0,IF((AP$6-$E$3)&lt;1,0,IFERROR(LOOKUP(2,1/('Arroz irrigado'!$E15:INDEX('Arroz irrigado'!$E15:$Z15,MIN(AP$6-$E$3,22))&lt;&gt;""),'Arroz irrigado'!$E15:INDEX('Arroz irrigado'!$E15:$Z15,MIN(AP$6-$E$3,22))),0))-IF($G$2,0,IF((AP$6-$G$3)&lt;1,0,IFERROR(LOOKUP(2,1/('Arroz irrigado'!$E15:INDEX('Arroz irrigado'!$E15:$Z15,MIN(AP$6-$G$3,22))&lt;&gt;""),'Arroz irrigado'!$E15:INDEX('Arroz irrigado'!$E15:$Z15,MIN(AP$6-$G$3,22))),0)))))</f>
        <v>0</v>
      </c>
      <c r="AQ17" s="27" t="n">
        <f aca="false">IF(COUNT('Arroz irrigado'!$E15:$Z15)=0,0,MAX(0,IF((AQ$6-$E$3)&lt;1,0,IFERROR(LOOKUP(2,1/('Arroz irrigado'!$E15:INDEX('Arroz irrigado'!$E15:$Z15,MIN(AQ$6-$E$3,22))&lt;&gt;""),'Arroz irrigado'!$E15:INDEX('Arroz irrigado'!$E15:$Z15,MIN(AQ$6-$E$3,22))),0))-IF($G$2,0,IF((AQ$6-$G$3)&lt;1,0,IFERROR(LOOKUP(2,1/('Arroz irrigado'!$E15:INDEX('Arroz irrigado'!$E15:$Z15,MIN(AQ$6-$G$3,22))&lt;&gt;""),'Arroz irrigado'!$E15:INDEX('Arroz irrigado'!$E15:$Z15,MIN(AQ$6-$G$3,22))),0)))))</f>
        <v>0</v>
      </c>
      <c r="AR17" s="27" t="n">
        <f aca="false">IF(COUNT('Arroz irrigado'!$E15:$Z15)=0,0,MAX(0,IF((AR$6-$E$3)&lt;1,0,IFERROR(LOOKUP(2,1/('Arroz irrigado'!$E15:INDEX('Arroz irrigado'!$E15:$Z15,MIN(AR$6-$E$3,22))&lt;&gt;""),'Arroz irrigado'!$E15:INDEX('Arroz irrigado'!$E15:$Z15,MIN(AR$6-$E$3,22))),0))-IF($G$2,0,IF((AR$6-$G$3)&lt;1,0,IFERROR(LOOKUP(2,1/('Arroz irrigado'!$E15:INDEX('Arroz irrigado'!$E15:$Z15,MIN(AR$6-$G$3,22))&lt;&gt;""),'Arroz irrigado'!$E15:INDEX('Arroz irrigado'!$E15:$Z15,MIN(AR$6-$G$3,22))),0)))))</f>
        <v>0</v>
      </c>
      <c r="AS17" s="27" t="n">
        <f aca="false">IF(COUNT('Arroz irrigado'!$E15:$Z15)=0,0,MAX(0,IF((AS$6-$E$3)&lt;1,0,IFERROR(LOOKUP(2,1/('Arroz irrigado'!$E15:INDEX('Arroz irrigado'!$E15:$Z15,MIN(AS$6-$E$3,22))&lt;&gt;""),'Arroz irrigado'!$E15:INDEX('Arroz irrigado'!$E15:$Z15,MIN(AS$6-$E$3,22))),0))-IF($G$2,0,IF((AS$6-$G$3)&lt;1,0,IFERROR(LOOKUP(2,1/('Arroz irrigado'!$E15:INDEX('Arroz irrigado'!$E15:$Z15,MIN(AS$6-$G$3,22))&lt;&gt;""),'Arroz irrigado'!$E15:INDEX('Arroz irrigado'!$E15:$Z15,MIN(AS$6-$G$3,22))),0)))))</f>
        <v>0</v>
      </c>
      <c r="AT17" s="27" t="n">
        <f aca="false">IF(COUNT('Arroz irrigado'!$E15:$Z15)=0,0,MAX(0,IF((AT$6-$E$3)&lt;1,0,IFERROR(LOOKUP(2,1/('Arroz irrigado'!$E15:INDEX('Arroz irrigado'!$E15:$Z15,MIN(AT$6-$E$3,22))&lt;&gt;""),'Arroz irrigado'!$E15:INDEX('Arroz irrigado'!$E15:$Z15,MIN(AT$6-$E$3,22))),0))-IF($G$2,0,IF((AT$6-$G$3)&lt;1,0,IFERROR(LOOKUP(2,1/('Arroz irrigado'!$E15:INDEX('Arroz irrigado'!$E15:$Z15,MIN(AT$6-$G$3,22))&lt;&gt;""),'Arroz irrigado'!$E15:INDEX('Arroz irrigado'!$E15:$Z15,MIN(AT$6-$G$3,22))),0)))))</f>
        <v>0</v>
      </c>
      <c r="AU17" s="27" t="n">
        <f aca="false">IF(COUNT('Arroz irrigado'!$E15:$Z15)=0,0,MAX(0,IF((AU$6-$E$3)&lt;1,0,IFERROR(LOOKUP(2,1/('Arroz irrigado'!$E15:INDEX('Arroz irrigado'!$E15:$Z15,MIN(AU$6-$E$3,22))&lt;&gt;""),'Arroz irrigado'!$E15:INDEX('Arroz irrigado'!$E15:$Z15,MIN(AU$6-$E$3,22))),0))-IF($G$2,0,IF((AU$6-$G$3)&lt;1,0,IFERROR(LOOKUP(2,1/('Arroz irrigado'!$E15:INDEX('Arroz irrigado'!$E15:$Z15,MIN(AU$6-$G$3,22))&lt;&gt;""),'Arroz irrigado'!$E15:INDEX('Arroz irrigado'!$E15:$Z15,MIN(AU$6-$G$3,22))),0)))))</f>
        <v>0</v>
      </c>
      <c r="AV17" s="27" t="n">
        <f aca="false">IF(COUNT('Arroz irrigado'!$E15:$Z15)=0,0,MAX(0,IF((AV$6-$E$3)&lt;1,0,IFERROR(LOOKUP(2,1/('Arroz irrigado'!$E15:INDEX('Arroz irrigado'!$E15:$Z15,MIN(AV$6-$E$3,22))&lt;&gt;""),'Arroz irrigado'!$E15:INDEX('Arroz irrigado'!$E15:$Z15,MIN(AV$6-$E$3,22))),0))-IF($G$2,0,IF((AV$6-$G$3)&lt;1,0,IFERROR(LOOKUP(2,1/('Arroz irrigado'!$E15:INDEX('Arroz irrigado'!$E15:$Z15,MIN(AV$6-$G$3,22))&lt;&gt;""),'Arroz irrigado'!$E15:INDEX('Arroz irrigado'!$E15:$Z15,MIN(AV$6-$G$3,22))),0)))))</f>
        <v>0</v>
      </c>
      <c r="AW17" s="27" t="n">
        <f aca="false">IF(COUNT('Arroz irrigado'!$E15:$Z15)=0,0,MAX(0,IF((AW$6-$E$3)&lt;1,0,IFERROR(LOOKUP(2,1/('Arroz irrigado'!$E15:INDEX('Arroz irrigado'!$E15:$Z15,MIN(AW$6-$E$3,22))&lt;&gt;""),'Arroz irrigado'!$E15:INDEX('Arroz irrigado'!$E15:$Z15,MIN(AW$6-$E$3,22))),0))-IF($G$2,0,IF((AW$6-$G$3)&lt;1,0,IFERROR(LOOKUP(2,1/('Arroz irrigado'!$E15:INDEX('Arroz irrigado'!$E15:$Z15,MIN(AW$6-$G$3,22))&lt;&gt;""),'Arroz irrigado'!$E15:INDEX('Arroz irrigado'!$E15:$Z15,MIN(AW$6-$G$3,22))),0)))))</f>
        <v>0</v>
      </c>
      <c r="AX17" s="27" t="n">
        <f aca="false">IF(COUNT('Arroz irrigado'!$E15:$Z15)=0,0,MAX(0,IF((AX$6-$E$3)&lt;1,0,IFERROR(LOOKUP(2,1/('Arroz irrigado'!$E15:INDEX('Arroz irrigado'!$E15:$Z15,MIN(AX$6-$E$3,22))&lt;&gt;""),'Arroz irrigado'!$E15:INDEX('Arroz irrigado'!$E15:$Z15,MIN(AX$6-$E$3,22))),0))-IF($G$2,0,IF((AX$6-$G$3)&lt;1,0,IFERROR(LOOKUP(2,1/('Arroz irrigado'!$E15:INDEX('Arroz irrigado'!$E15:$Z15,MIN(AX$6-$G$3,22))&lt;&gt;""),'Arroz irrigado'!$E15:INDEX('Arroz irrigado'!$E15:$Z15,MIN(AX$6-$G$3,22))),0)))))</f>
        <v>0</v>
      </c>
      <c r="AY17" s="27" t="n">
        <f aca="false">IF(COUNT('Arroz irrigado'!$E15:$Z15)=0,0,MAX(0,IF((AY$6-$E$3)&lt;1,0,IFERROR(LOOKUP(2,1/('Arroz irrigado'!$E15:INDEX('Arroz irrigado'!$E15:$Z15,MIN(AY$6-$E$3,22))&lt;&gt;""),'Arroz irrigado'!$E15:INDEX('Arroz irrigado'!$E15:$Z15,MIN(AY$6-$E$3,22))),0))-IF($G$2,0,IF((AY$6-$G$3)&lt;1,0,IFERROR(LOOKUP(2,1/('Arroz irrigado'!$E15:INDEX('Arroz irrigado'!$E15:$Z15,MIN(AY$6-$G$3,22))&lt;&gt;""),'Arroz irrigado'!$E15:INDEX('Arroz irrigado'!$E15:$Z15,MIN(AY$6-$G$3,22))),0)))))</f>
        <v>0</v>
      </c>
      <c r="AZ17" s="27" t="n">
        <f aca="false">IF(COUNT('Arroz irrigado'!$E15:$Z15)=0,0,MAX(0,IF((AZ$6-$E$3)&lt;1,0,IFERROR(LOOKUP(2,1/('Arroz irrigado'!$E15:INDEX('Arroz irrigado'!$E15:$Z15,MIN(AZ$6-$E$3,22))&lt;&gt;""),'Arroz irrigado'!$E15:INDEX('Arroz irrigado'!$E15:$Z15,MIN(AZ$6-$E$3,22))),0))-IF($G$2,0,IF((AZ$6-$G$3)&lt;1,0,IFERROR(LOOKUP(2,1/('Arroz irrigado'!$E15:INDEX('Arroz irrigado'!$E15:$Z15,MIN(AZ$6-$G$3,22))&lt;&gt;""),'Arroz irrigado'!$E15:INDEX('Arroz irrigado'!$E15:$Z15,MIN(AZ$6-$G$3,22))),0)))))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IF(COUNT('Arroz irrigado'!$E16:$Z16)&gt;0,N('Arroz irrigado'!$D16),0)</f>
        <v>0</v>
      </c>
      <c r="E18" s="27" t="n">
        <f aca="false">IF(COUNT('Arroz irrigado'!$E16:$Z16)=0,0,MAX(0,IF((E$6-$E$3)&lt;1,0,IFERROR(LOOKUP(2,1/('Arroz irrigado'!$E16:INDEX('Arroz irrigado'!$E16:$Z16,MIN(E$6-$E$3,22))&lt;&gt;""),'Arroz irrigado'!$E16:INDEX('Arroz irrigado'!$E16:$Z16,MIN(E$6-$E$3,22))),0))-IF($G$2,0,IF((E$6-$G$3)&lt;1,0,IFERROR(LOOKUP(2,1/('Arroz irrigado'!$E16:INDEX('Arroz irrigado'!$E16:$Z16,MIN(E$6-$G$3,22))&lt;&gt;""),'Arroz irrigado'!$E16:INDEX('Arroz irrigado'!$E16:$Z16,MIN(E$6-$G$3,22))),0)))))</f>
        <v>0</v>
      </c>
      <c r="F18" s="27" t="n">
        <f aca="false">IF(COUNT('Arroz irrigado'!$E16:$Z16)=0,0,MAX(0,IF((F$6-$E$3)&lt;1,0,IFERROR(LOOKUP(2,1/('Arroz irrigado'!$E16:INDEX('Arroz irrigado'!$E16:$Z16,MIN(F$6-$E$3,22))&lt;&gt;""),'Arroz irrigado'!$E16:INDEX('Arroz irrigado'!$E16:$Z16,MIN(F$6-$E$3,22))),0))-IF($G$2,0,IF((F$6-$G$3)&lt;1,0,IFERROR(LOOKUP(2,1/('Arroz irrigado'!$E16:INDEX('Arroz irrigado'!$E16:$Z16,MIN(F$6-$G$3,22))&lt;&gt;""),'Arroz irrigado'!$E16:INDEX('Arroz irrigado'!$E16:$Z16,MIN(F$6-$G$3,22))),0)))))</f>
        <v>0</v>
      </c>
      <c r="G18" s="27" t="n">
        <f aca="false">IF(COUNT('Arroz irrigado'!$E16:$Z16)=0,0,MAX(0,IF((G$6-$E$3)&lt;1,0,IFERROR(LOOKUP(2,1/('Arroz irrigado'!$E16:INDEX('Arroz irrigado'!$E16:$Z16,MIN(G$6-$E$3,22))&lt;&gt;""),'Arroz irrigado'!$E16:INDEX('Arroz irrigado'!$E16:$Z16,MIN(G$6-$E$3,22))),0))-IF($G$2,0,IF((G$6-$G$3)&lt;1,0,IFERROR(LOOKUP(2,1/('Arroz irrigado'!$E16:INDEX('Arroz irrigado'!$E16:$Z16,MIN(G$6-$G$3,22))&lt;&gt;""),'Arroz irrigado'!$E16:INDEX('Arroz irrigado'!$E16:$Z16,MIN(G$6-$G$3,22))),0)))))</f>
        <v>0</v>
      </c>
      <c r="H18" s="27" t="n">
        <f aca="false">IF(COUNT('Arroz irrigado'!$E16:$Z16)=0,0,MAX(0,IF((H$6-$E$3)&lt;1,0,IFERROR(LOOKUP(2,1/('Arroz irrigado'!$E16:INDEX('Arroz irrigado'!$E16:$Z16,MIN(H$6-$E$3,22))&lt;&gt;""),'Arroz irrigado'!$E16:INDEX('Arroz irrigado'!$E16:$Z16,MIN(H$6-$E$3,22))),0))-IF($G$2,0,IF((H$6-$G$3)&lt;1,0,IFERROR(LOOKUP(2,1/('Arroz irrigado'!$E16:INDEX('Arroz irrigado'!$E16:$Z16,MIN(H$6-$G$3,22))&lt;&gt;""),'Arroz irrigado'!$E16:INDEX('Arroz irrigado'!$E16:$Z16,MIN(H$6-$G$3,22))),0)))))</f>
        <v>0</v>
      </c>
      <c r="I18" s="27" t="n">
        <f aca="false">IF(COUNT('Arroz irrigado'!$E16:$Z16)=0,0,MAX(0,IF((I$6-$E$3)&lt;1,0,IFERROR(LOOKUP(2,1/('Arroz irrigado'!$E16:INDEX('Arroz irrigado'!$E16:$Z16,MIN(I$6-$E$3,22))&lt;&gt;""),'Arroz irrigado'!$E16:INDEX('Arroz irrigado'!$E16:$Z16,MIN(I$6-$E$3,22))),0))-IF($G$2,0,IF((I$6-$G$3)&lt;1,0,IFERROR(LOOKUP(2,1/('Arroz irrigado'!$E16:INDEX('Arroz irrigado'!$E16:$Z16,MIN(I$6-$G$3,22))&lt;&gt;""),'Arroz irrigado'!$E16:INDEX('Arroz irrigado'!$E16:$Z16,MIN(I$6-$G$3,22))),0)))))</f>
        <v>0</v>
      </c>
      <c r="J18" s="27" t="n">
        <f aca="false">IF(COUNT('Arroz irrigado'!$E16:$Z16)=0,0,MAX(0,IF((J$6-$E$3)&lt;1,0,IFERROR(LOOKUP(2,1/('Arroz irrigado'!$E16:INDEX('Arroz irrigado'!$E16:$Z16,MIN(J$6-$E$3,22))&lt;&gt;""),'Arroz irrigado'!$E16:INDEX('Arroz irrigado'!$E16:$Z16,MIN(J$6-$E$3,22))),0))-IF($G$2,0,IF((J$6-$G$3)&lt;1,0,IFERROR(LOOKUP(2,1/('Arroz irrigado'!$E16:INDEX('Arroz irrigado'!$E16:$Z16,MIN(J$6-$G$3,22))&lt;&gt;""),'Arroz irrigado'!$E16:INDEX('Arroz irrigado'!$E16:$Z16,MIN(J$6-$G$3,22))),0)))))</f>
        <v>0</v>
      </c>
      <c r="K18" s="27" t="n">
        <f aca="false">IF(COUNT('Arroz irrigado'!$E16:$Z16)=0,0,MAX(0,IF((K$6-$E$3)&lt;1,0,IFERROR(LOOKUP(2,1/('Arroz irrigado'!$E16:INDEX('Arroz irrigado'!$E16:$Z16,MIN(K$6-$E$3,22))&lt;&gt;""),'Arroz irrigado'!$E16:INDEX('Arroz irrigado'!$E16:$Z16,MIN(K$6-$E$3,22))),0))-IF($G$2,0,IF((K$6-$G$3)&lt;1,0,IFERROR(LOOKUP(2,1/('Arroz irrigado'!$E16:INDEX('Arroz irrigado'!$E16:$Z16,MIN(K$6-$G$3,22))&lt;&gt;""),'Arroz irrigado'!$E16:INDEX('Arroz irrigado'!$E16:$Z16,MIN(K$6-$G$3,22))),0)))))</f>
        <v>0</v>
      </c>
      <c r="L18" s="27" t="n">
        <f aca="false">IF(COUNT('Arroz irrigado'!$E16:$Z16)=0,0,MAX(0,IF((L$6-$E$3)&lt;1,0,IFERROR(LOOKUP(2,1/('Arroz irrigado'!$E16:INDEX('Arroz irrigado'!$E16:$Z16,MIN(L$6-$E$3,22))&lt;&gt;""),'Arroz irrigado'!$E16:INDEX('Arroz irrigado'!$E16:$Z16,MIN(L$6-$E$3,22))),0))-IF($G$2,0,IF((L$6-$G$3)&lt;1,0,IFERROR(LOOKUP(2,1/('Arroz irrigado'!$E16:INDEX('Arroz irrigado'!$E16:$Z16,MIN(L$6-$G$3,22))&lt;&gt;""),'Arroz irrigado'!$E16:INDEX('Arroz irrigado'!$E16:$Z16,MIN(L$6-$G$3,22))),0)))))</f>
        <v>0</v>
      </c>
      <c r="M18" s="27" t="n">
        <f aca="false">IF(COUNT('Arroz irrigado'!$E16:$Z16)=0,0,MAX(0,IF((M$6-$E$3)&lt;1,0,IFERROR(LOOKUP(2,1/('Arroz irrigado'!$E16:INDEX('Arroz irrigado'!$E16:$Z16,MIN(M$6-$E$3,22))&lt;&gt;""),'Arroz irrigado'!$E16:INDEX('Arroz irrigado'!$E16:$Z16,MIN(M$6-$E$3,22))),0))-IF($G$2,0,IF((M$6-$G$3)&lt;1,0,IFERROR(LOOKUP(2,1/('Arroz irrigado'!$E16:INDEX('Arroz irrigado'!$E16:$Z16,MIN(M$6-$G$3,22))&lt;&gt;""),'Arroz irrigado'!$E16:INDEX('Arroz irrigado'!$E16:$Z16,MIN(M$6-$G$3,22))),0)))))</f>
        <v>0</v>
      </c>
      <c r="N18" s="27" t="n">
        <f aca="false">IF(COUNT('Arroz irrigado'!$E16:$Z16)=0,0,MAX(0,IF((N$6-$E$3)&lt;1,0,IFERROR(LOOKUP(2,1/('Arroz irrigado'!$E16:INDEX('Arroz irrigado'!$E16:$Z16,MIN(N$6-$E$3,22))&lt;&gt;""),'Arroz irrigado'!$E16:INDEX('Arroz irrigado'!$E16:$Z16,MIN(N$6-$E$3,22))),0))-IF($G$2,0,IF((N$6-$G$3)&lt;1,0,IFERROR(LOOKUP(2,1/('Arroz irrigado'!$E16:INDEX('Arroz irrigado'!$E16:$Z16,MIN(N$6-$G$3,22))&lt;&gt;""),'Arroz irrigado'!$E16:INDEX('Arroz irrigado'!$E16:$Z16,MIN(N$6-$G$3,22))),0)))))</f>
        <v>0</v>
      </c>
      <c r="O18" s="27" t="n">
        <f aca="false">IF(COUNT('Arroz irrigado'!$E16:$Z16)=0,0,MAX(0,IF((O$6-$E$3)&lt;1,0,IFERROR(LOOKUP(2,1/('Arroz irrigado'!$E16:INDEX('Arroz irrigado'!$E16:$Z16,MIN(O$6-$E$3,22))&lt;&gt;""),'Arroz irrigado'!$E16:INDEX('Arroz irrigado'!$E16:$Z16,MIN(O$6-$E$3,22))),0))-IF($G$2,0,IF((O$6-$G$3)&lt;1,0,IFERROR(LOOKUP(2,1/('Arroz irrigado'!$E16:INDEX('Arroz irrigado'!$E16:$Z16,MIN(O$6-$G$3,22))&lt;&gt;""),'Arroz irrigado'!$E16:INDEX('Arroz irrigado'!$E16:$Z16,MIN(O$6-$G$3,22))),0)))))</f>
        <v>0</v>
      </c>
      <c r="P18" s="27" t="n">
        <f aca="false">IF(COUNT('Arroz irrigado'!$E16:$Z16)=0,0,MAX(0,IF((P$6-$E$3)&lt;1,0,IFERROR(LOOKUP(2,1/('Arroz irrigado'!$E16:INDEX('Arroz irrigado'!$E16:$Z16,MIN(P$6-$E$3,22))&lt;&gt;""),'Arroz irrigado'!$E16:INDEX('Arroz irrigado'!$E16:$Z16,MIN(P$6-$E$3,22))),0))-IF($G$2,0,IF((P$6-$G$3)&lt;1,0,IFERROR(LOOKUP(2,1/('Arroz irrigado'!$E16:INDEX('Arroz irrigado'!$E16:$Z16,MIN(P$6-$G$3,22))&lt;&gt;""),'Arroz irrigado'!$E16:INDEX('Arroz irrigado'!$E16:$Z16,MIN(P$6-$G$3,22))),0)))))</f>
        <v>0</v>
      </c>
      <c r="Q18" s="27" t="n">
        <f aca="false">IF(COUNT('Arroz irrigado'!$E16:$Z16)=0,0,MAX(0,IF((Q$6-$E$3)&lt;1,0,IFERROR(LOOKUP(2,1/('Arroz irrigado'!$E16:INDEX('Arroz irrigado'!$E16:$Z16,MIN(Q$6-$E$3,22))&lt;&gt;""),'Arroz irrigado'!$E16:INDEX('Arroz irrigado'!$E16:$Z16,MIN(Q$6-$E$3,22))),0))-IF($G$2,0,IF((Q$6-$G$3)&lt;1,0,IFERROR(LOOKUP(2,1/('Arroz irrigado'!$E16:INDEX('Arroz irrigado'!$E16:$Z16,MIN(Q$6-$G$3,22))&lt;&gt;""),'Arroz irrigado'!$E16:INDEX('Arroz irrigado'!$E16:$Z16,MIN(Q$6-$G$3,22))),0)))))</f>
        <v>0</v>
      </c>
      <c r="R18" s="27" t="n">
        <f aca="false">IF(COUNT('Arroz irrigado'!$E16:$Z16)=0,0,MAX(0,IF((R$6-$E$3)&lt;1,0,IFERROR(LOOKUP(2,1/('Arroz irrigado'!$E16:INDEX('Arroz irrigado'!$E16:$Z16,MIN(R$6-$E$3,22))&lt;&gt;""),'Arroz irrigado'!$E16:INDEX('Arroz irrigado'!$E16:$Z16,MIN(R$6-$E$3,22))),0))-IF($G$2,0,IF((R$6-$G$3)&lt;1,0,IFERROR(LOOKUP(2,1/('Arroz irrigado'!$E16:INDEX('Arroz irrigado'!$E16:$Z16,MIN(R$6-$G$3,22))&lt;&gt;""),'Arroz irrigado'!$E16:INDEX('Arroz irrigado'!$E16:$Z16,MIN(R$6-$G$3,22))),0)))))</f>
        <v>0</v>
      </c>
      <c r="S18" s="27" t="n">
        <f aca="false">IF(COUNT('Arroz irrigado'!$E16:$Z16)=0,0,MAX(0,IF((S$6-$E$3)&lt;1,0,IFERROR(LOOKUP(2,1/('Arroz irrigado'!$E16:INDEX('Arroz irrigado'!$E16:$Z16,MIN(S$6-$E$3,22))&lt;&gt;""),'Arroz irrigado'!$E16:INDEX('Arroz irrigado'!$E16:$Z16,MIN(S$6-$E$3,22))),0))-IF($G$2,0,IF((S$6-$G$3)&lt;1,0,IFERROR(LOOKUP(2,1/('Arroz irrigado'!$E16:INDEX('Arroz irrigado'!$E16:$Z16,MIN(S$6-$G$3,22))&lt;&gt;""),'Arroz irrigado'!$E16:INDEX('Arroz irrigado'!$E16:$Z16,MIN(S$6-$G$3,22))),0)))))</f>
        <v>0</v>
      </c>
      <c r="T18" s="27" t="n">
        <f aca="false">IF(COUNT('Arroz irrigado'!$E16:$Z16)=0,0,MAX(0,IF((T$6-$E$3)&lt;1,0,IFERROR(LOOKUP(2,1/('Arroz irrigado'!$E16:INDEX('Arroz irrigado'!$E16:$Z16,MIN(T$6-$E$3,22))&lt;&gt;""),'Arroz irrigado'!$E16:INDEX('Arroz irrigado'!$E16:$Z16,MIN(T$6-$E$3,22))),0))-IF($G$2,0,IF((T$6-$G$3)&lt;1,0,IFERROR(LOOKUP(2,1/('Arroz irrigado'!$E16:INDEX('Arroz irrigado'!$E16:$Z16,MIN(T$6-$G$3,22))&lt;&gt;""),'Arroz irrigado'!$E16:INDEX('Arroz irrigado'!$E16:$Z16,MIN(T$6-$G$3,22))),0)))))</f>
        <v>0</v>
      </c>
      <c r="U18" s="27" t="n">
        <f aca="false">IF(COUNT('Arroz irrigado'!$E16:$Z16)=0,0,MAX(0,IF((U$6-$E$3)&lt;1,0,IFERROR(LOOKUP(2,1/('Arroz irrigado'!$E16:INDEX('Arroz irrigado'!$E16:$Z16,MIN(U$6-$E$3,22))&lt;&gt;""),'Arroz irrigado'!$E16:INDEX('Arroz irrigado'!$E16:$Z16,MIN(U$6-$E$3,22))),0))-IF($G$2,0,IF((U$6-$G$3)&lt;1,0,IFERROR(LOOKUP(2,1/('Arroz irrigado'!$E16:INDEX('Arroz irrigado'!$E16:$Z16,MIN(U$6-$G$3,22))&lt;&gt;""),'Arroz irrigado'!$E16:INDEX('Arroz irrigado'!$E16:$Z16,MIN(U$6-$G$3,22))),0)))))</f>
        <v>0</v>
      </c>
      <c r="V18" s="27" t="n">
        <f aca="false">IF(COUNT('Arroz irrigado'!$E16:$Z16)=0,0,MAX(0,IF((V$6-$E$3)&lt;1,0,IFERROR(LOOKUP(2,1/('Arroz irrigado'!$E16:INDEX('Arroz irrigado'!$E16:$Z16,MIN(V$6-$E$3,22))&lt;&gt;""),'Arroz irrigado'!$E16:INDEX('Arroz irrigado'!$E16:$Z16,MIN(V$6-$E$3,22))),0))-IF($G$2,0,IF((V$6-$G$3)&lt;1,0,IFERROR(LOOKUP(2,1/('Arroz irrigado'!$E16:INDEX('Arroz irrigado'!$E16:$Z16,MIN(V$6-$G$3,22))&lt;&gt;""),'Arroz irrigado'!$E16:INDEX('Arroz irrigado'!$E16:$Z16,MIN(V$6-$G$3,22))),0)))))</f>
        <v>0</v>
      </c>
      <c r="W18" s="27" t="n">
        <f aca="false">IF(COUNT('Arroz irrigado'!$E16:$Z16)=0,0,MAX(0,IF((W$6-$E$3)&lt;1,0,IFERROR(LOOKUP(2,1/('Arroz irrigado'!$E16:INDEX('Arroz irrigado'!$E16:$Z16,MIN(W$6-$E$3,22))&lt;&gt;""),'Arroz irrigado'!$E16:INDEX('Arroz irrigado'!$E16:$Z16,MIN(W$6-$E$3,22))),0))-IF($G$2,0,IF((W$6-$G$3)&lt;1,0,IFERROR(LOOKUP(2,1/('Arroz irrigado'!$E16:INDEX('Arroz irrigado'!$E16:$Z16,MIN(W$6-$G$3,22))&lt;&gt;""),'Arroz irrigado'!$E16:INDEX('Arroz irrigado'!$E16:$Z16,MIN(W$6-$G$3,22))),0)))))</f>
        <v>0</v>
      </c>
      <c r="X18" s="27" t="n">
        <f aca="false">IF(COUNT('Arroz irrigado'!$E16:$Z16)=0,0,MAX(0,IF((X$6-$E$3)&lt;1,0,IFERROR(LOOKUP(2,1/('Arroz irrigado'!$E16:INDEX('Arroz irrigado'!$E16:$Z16,MIN(X$6-$E$3,22))&lt;&gt;""),'Arroz irrigado'!$E16:INDEX('Arroz irrigado'!$E16:$Z16,MIN(X$6-$E$3,22))),0))-IF($G$2,0,IF((X$6-$G$3)&lt;1,0,IFERROR(LOOKUP(2,1/('Arroz irrigado'!$E16:INDEX('Arroz irrigado'!$E16:$Z16,MIN(X$6-$G$3,22))&lt;&gt;""),'Arroz irrigado'!$E16:INDEX('Arroz irrigado'!$E16:$Z16,MIN(X$6-$G$3,22))),0)))))</f>
        <v>0</v>
      </c>
      <c r="Y18" s="27" t="n">
        <f aca="false">IF(COUNT('Arroz irrigado'!$E16:$Z16)=0,0,MAX(0,IF((Y$6-$E$3)&lt;1,0,IFERROR(LOOKUP(2,1/('Arroz irrigado'!$E16:INDEX('Arroz irrigado'!$E16:$Z16,MIN(Y$6-$E$3,22))&lt;&gt;""),'Arroz irrigado'!$E16:INDEX('Arroz irrigado'!$E16:$Z16,MIN(Y$6-$E$3,22))),0))-IF($G$2,0,IF((Y$6-$G$3)&lt;1,0,IFERROR(LOOKUP(2,1/('Arroz irrigado'!$E16:INDEX('Arroz irrigado'!$E16:$Z16,MIN(Y$6-$G$3,22))&lt;&gt;""),'Arroz irrigado'!$E16:INDEX('Arroz irrigado'!$E16:$Z16,MIN(Y$6-$G$3,22))),0)))))</f>
        <v>0</v>
      </c>
      <c r="Z18" s="27" t="n">
        <f aca="false">IF(COUNT('Arroz irrigado'!$E16:$Z16)=0,0,MAX(0,IF((Z$6-$E$3)&lt;1,0,IFERROR(LOOKUP(2,1/('Arroz irrigado'!$E16:INDEX('Arroz irrigado'!$E16:$Z16,MIN(Z$6-$E$3,22))&lt;&gt;""),'Arroz irrigado'!$E16:INDEX('Arroz irrigado'!$E16:$Z16,MIN(Z$6-$E$3,22))),0))-IF($G$2,0,IF((Z$6-$G$3)&lt;1,0,IFERROR(LOOKUP(2,1/('Arroz irrigado'!$E16:INDEX('Arroz irrigado'!$E16:$Z16,MIN(Z$6-$G$3,22))&lt;&gt;""),'Arroz irrigado'!$E16:INDEX('Arroz irrigado'!$E16:$Z16,MIN(Z$6-$G$3,22))),0)))))</f>
        <v>0</v>
      </c>
      <c r="AA18" s="27" t="n">
        <f aca="false">IF(COUNT('Arroz irrigado'!$E16:$Z16)=0,0,MAX(0,IF((AA$6-$E$3)&lt;1,0,IFERROR(LOOKUP(2,1/('Arroz irrigado'!$E16:INDEX('Arroz irrigado'!$E16:$Z16,MIN(AA$6-$E$3,22))&lt;&gt;""),'Arroz irrigado'!$E16:INDEX('Arroz irrigado'!$E16:$Z16,MIN(AA$6-$E$3,22))),0))-IF($G$2,0,IF((AA$6-$G$3)&lt;1,0,IFERROR(LOOKUP(2,1/('Arroz irrigado'!$E16:INDEX('Arroz irrigado'!$E16:$Z16,MIN(AA$6-$G$3,22))&lt;&gt;""),'Arroz irrigado'!$E16:INDEX('Arroz irrigado'!$E16:$Z16,MIN(AA$6-$G$3,22))),0)))))</f>
        <v>0</v>
      </c>
      <c r="AB18" s="27" t="n">
        <f aca="false">IF(COUNT('Arroz irrigado'!$E16:$Z16)=0,0,MAX(0,IF((AB$6-$E$3)&lt;1,0,IFERROR(LOOKUP(2,1/('Arroz irrigado'!$E16:INDEX('Arroz irrigado'!$E16:$Z16,MIN(AB$6-$E$3,22))&lt;&gt;""),'Arroz irrigado'!$E16:INDEX('Arroz irrigado'!$E16:$Z16,MIN(AB$6-$E$3,22))),0))-IF($G$2,0,IF((AB$6-$G$3)&lt;1,0,IFERROR(LOOKUP(2,1/('Arroz irrigado'!$E16:INDEX('Arroz irrigado'!$E16:$Z16,MIN(AB$6-$G$3,22))&lt;&gt;""),'Arroz irrigado'!$E16:INDEX('Arroz irrigado'!$E16:$Z16,MIN(AB$6-$G$3,22))),0)))))</f>
        <v>0</v>
      </c>
      <c r="AC18" s="27" t="n">
        <f aca="false">IF(COUNT('Arroz irrigado'!$E16:$Z16)=0,0,MAX(0,IF((AC$6-$E$3)&lt;1,0,IFERROR(LOOKUP(2,1/('Arroz irrigado'!$E16:INDEX('Arroz irrigado'!$E16:$Z16,MIN(AC$6-$E$3,22))&lt;&gt;""),'Arroz irrigado'!$E16:INDEX('Arroz irrigado'!$E16:$Z16,MIN(AC$6-$E$3,22))),0))-IF($G$2,0,IF((AC$6-$G$3)&lt;1,0,IFERROR(LOOKUP(2,1/('Arroz irrigado'!$E16:INDEX('Arroz irrigado'!$E16:$Z16,MIN(AC$6-$G$3,22))&lt;&gt;""),'Arroz irrigado'!$E16:INDEX('Arroz irrigado'!$E16:$Z16,MIN(AC$6-$G$3,22))),0)))))</f>
        <v>0</v>
      </c>
      <c r="AD18" s="27" t="n">
        <f aca="false">IF(COUNT('Arroz irrigado'!$E16:$Z16)=0,0,MAX(0,IF((AD$6-$E$3)&lt;1,0,IFERROR(LOOKUP(2,1/('Arroz irrigado'!$E16:INDEX('Arroz irrigado'!$E16:$Z16,MIN(AD$6-$E$3,22))&lt;&gt;""),'Arroz irrigado'!$E16:INDEX('Arroz irrigado'!$E16:$Z16,MIN(AD$6-$E$3,22))),0))-IF($G$2,0,IF((AD$6-$G$3)&lt;1,0,IFERROR(LOOKUP(2,1/('Arroz irrigado'!$E16:INDEX('Arroz irrigado'!$E16:$Z16,MIN(AD$6-$G$3,22))&lt;&gt;""),'Arroz irrigado'!$E16:INDEX('Arroz irrigado'!$E16:$Z16,MIN(AD$6-$G$3,22))),0)))))</f>
        <v>0</v>
      </c>
      <c r="AE18" s="27" t="n">
        <f aca="false">IF(COUNT('Arroz irrigado'!$E16:$Z16)=0,0,MAX(0,IF((AE$6-$E$3)&lt;1,0,IFERROR(LOOKUP(2,1/('Arroz irrigado'!$E16:INDEX('Arroz irrigado'!$E16:$Z16,MIN(AE$6-$E$3,22))&lt;&gt;""),'Arroz irrigado'!$E16:INDEX('Arroz irrigado'!$E16:$Z16,MIN(AE$6-$E$3,22))),0))-IF($G$2,0,IF((AE$6-$G$3)&lt;1,0,IFERROR(LOOKUP(2,1/('Arroz irrigado'!$E16:INDEX('Arroz irrigado'!$E16:$Z16,MIN(AE$6-$G$3,22))&lt;&gt;""),'Arroz irrigado'!$E16:INDEX('Arroz irrigado'!$E16:$Z16,MIN(AE$6-$G$3,22))),0)))))</f>
        <v>0</v>
      </c>
      <c r="AF18" s="27" t="n">
        <f aca="false">IF(COUNT('Arroz irrigado'!$E16:$Z16)=0,0,MAX(0,IF((AF$6-$E$3)&lt;1,0,IFERROR(LOOKUP(2,1/('Arroz irrigado'!$E16:INDEX('Arroz irrigado'!$E16:$Z16,MIN(AF$6-$E$3,22))&lt;&gt;""),'Arroz irrigado'!$E16:INDEX('Arroz irrigado'!$E16:$Z16,MIN(AF$6-$E$3,22))),0))-IF($G$2,0,IF((AF$6-$G$3)&lt;1,0,IFERROR(LOOKUP(2,1/('Arroz irrigado'!$E16:INDEX('Arroz irrigado'!$E16:$Z16,MIN(AF$6-$G$3,22))&lt;&gt;""),'Arroz irrigado'!$E16:INDEX('Arroz irrigado'!$E16:$Z16,MIN(AF$6-$G$3,22))),0)))))</f>
        <v>0</v>
      </c>
      <c r="AG18" s="27" t="n">
        <f aca="false">IF(COUNT('Arroz irrigado'!$E16:$Z16)=0,0,MAX(0,IF((AG$6-$E$3)&lt;1,0,IFERROR(LOOKUP(2,1/('Arroz irrigado'!$E16:INDEX('Arroz irrigado'!$E16:$Z16,MIN(AG$6-$E$3,22))&lt;&gt;""),'Arroz irrigado'!$E16:INDEX('Arroz irrigado'!$E16:$Z16,MIN(AG$6-$E$3,22))),0))-IF($G$2,0,IF((AG$6-$G$3)&lt;1,0,IFERROR(LOOKUP(2,1/('Arroz irrigado'!$E16:INDEX('Arroz irrigado'!$E16:$Z16,MIN(AG$6-$G$3,22))&lt;&gt;""),'Arroz irrigado'!$E16:INDEX('Arroz irrigado'!$E16:$Z16,MIN(AG$6-$G$3,22))),0)))))</f>
        <v>0</v>
      </c>
      <c r="AH18" s="27" t="n">
        <f aca="false">IF(COUNT('Arroz irrigado'!$E16:$Z16)=0,0,MAX(0,IF((AH$6-$E$3)&lt;1,0,IFERROR(LOOKUP(2,1/('Arroz irrigado'!$E16:INDEX('Arroz irrigado'!$E16:$Z16,MIN(AH$6-$E$3,22))&lt;&gt;""),'Arroz irrigado'!$E16:INDEX('Arroz irrigado'!$E16:$Z16,MIN(AH$6-$E$3,22))),0))-IF($G$2,0,IF((AH$6-$G$3)&lt;1,0,IFERROR(LOOKUP(2,1/('Arroz irrigado'!$E16:INDEX('Arroz irrigado'!$E16:$Z16,MIN(AH$6-$G$3,22))&lt;&gt;""),'Arroz irrigado'!$E16:INDEX('Arroz irrigado'!$E16:$Z16,MIN(AH$6-$G$3,22))),0)))))</f>
        <v>0</v>
      </c>
      <c r="AI18" s="27" t="n">
        <f aca="false">IF(COUNT('Arroz irrigado'!$E16:$Z16)=0,0,MAX(0,IF((AI$6-$E$3)&lt;1,0,IFERROR(LOOKUP(2,1/('Arroz irrigado'!$E16:INDEX('Arroz irrigado'!$E16:$Z16,MIN(AI$6-$E$3,22))&lt;&gt;""),'Arroz irrigado'!$E16:INDEX('Arroz irrigado'!$E16:$Z16,MIN(AI$6-$E$3,22))),0))-IF($G$2,0,IF((AI$6-$G$3)&lt;1,0,IFERROR(LOOKUP(2,1/('Arroz irrigado'!$E16:INDEX('Arroz irrigado'!$E16:$Z16,MIN(AI$6-$G$3,22))&lt;&gt;""),'Arroz irrigado'!$E16:INDEX('Arroz irrigado'!$E16:$Z16,MIN(AI$6-$G$3,22))),0)))))</f>
        <v>0</v>
      </c>
      <c r="AJ18" s="27" t="n">
        <f aca="false">IF(COUNT('Arroz irrigado'!$E16:$Z16)=0,0,MAX(0,IF((AJ$6-$E$3)&lt;1,0,IFERROR(LOOKUP(2,1/('Arroz irrigado'!$E16:INDEX('Arroz irrigado'!$E16:$Z16,MIN(AJ$6-$E$3,22))&lt;&gt;""),'Arroz irrigado'!$E16:INDEX('Arroz irrigado'!$E16:$Z16,MIN(AJ$6-$E$3,22))),0))-IF($G$2,0,IF((AJ$6-$G$3)&lt;1,0,IFERROR(LOOKUP(2,1/('Arroz irrigado'!$E16:INDEX('Arroz irrigado'!$E16:$Z16,MIN(AJ$6-$G$3,22))&lt;&gt;""),'Arroz irrigado'!$E16:INDEX('Arroz irrigado'!$E16:$Z16,MIN(AJ$6-$G$3,22))),0)))))</f>
        <v>0</v>
      </c>
      <c r="AK18" s="27" t="n">
        <f aca="false">IF(COUNT('Arroz irrigado'!$E16:$Z16)=0,0,MAX(0,IF((AK$6-$E$3)&lt;1,0,IFERROR(LOOKUP(2,1/('Arroz irrigado'!$E16:INDEX('Arroz irrigado'!$E16:$Z16,MIN(AK$6-$E$3,22))&lt;&gt;""),'Arroz irrigado'!$E16:INDEX('Arroz irrigado'!$E16:$Z16,MIN(AK$6-$E$3,22))),0))-IF($G$2,0,IF((AK$6-$G$3)&lt;1,0,IFERROR(LOOKUP(2,1/('Arroz irrigado'!$E16:INDEX('Arroz irrigado'!$E16:$Z16,MIN(AK$6-$G$3,22))&lt;&gt;""),'Arroz irrigado'!$E16:INDEX('Arroz irrigado'!$E16:$Z16,MIN(AK$6-$G$3,22))),0)))))</f>
        <v>0</v>
      </c>
      <c r="AL18" s="27" t="n">
        <f aca="false">IF(COUNT('Arroz irrigado'!$E16:$Z16)=0,0,MAX(0,IF((AL$6-$E$3)&lt;1,0,IFERROR(LOOKUP(2,1/('Arroz irrigado'!$E16:INDEX('Arroz irrigado'!$E16:$Z16,MIN(AL$6-$E$3,22))&lt;&gt;""),'Arroz irrigado'!$E16:INDEX('Arroz irrigado'!$E16:$Z16,MIN(AL$6-$E$3,22))),0))-IF($G$2,0,IF((AL$6-$G$3)&lt;1,0,IFERROR(LOOKUP(2,1/('Arroz irrigado'!$E16:INDEX('Arroz irrigado'!$E16:$Z16,MIN(AL$6-$G$3,22))&lt;&gt;""),'Arroz irrigado'!$E16:INDEX('Arroz irrigado'!$E16:$Z16,MIN(AL$6-$G$3,22))),0)))))</f>
        <v>0</v>
      </c>
      <c r="AM18" s="27" t="n">
        <f aca="false">IF(COUNT('Arroz irrigado'!$E16:$Z16)=0,0,MAX(0,IF((AM$6-$E$3)&lt;1,0,IFERROR(LOOKUP(2,1/('Arroz irrigado'!$E16:INDEX('Arroz irrigado'!$E16:$Z16,MIN(AM$6-$E$3,22))&lt;&gt;""),'Arroz irrigado'!$E16:INDEX('Arroz irrigado'!$E16:$Z16,MIN(AM$6-$E$3,22))),0))-IF($G$2,0,IF((AM$6-$G$3)&lt;1,0,IFERROR(LOOKUP(2,1/('Arroz irrigado'!$E16:INDEX('Arroz irrigado'!$E16:$Z16,MIN(AM$6-$G$3,22))&lt;&gt;""),'Arroz irrigado'!$E16:INDEX('Arroz irrigado'!$E16:$Z16,MIN(AM$6-$G$3,22))),0)))))</f>
        <v>0</v>
      </c>
      <c r="AN18" s="27" t="n">
        <f aca="false">IF(COUNT('Arroz irrigado'!$E16:$Z16)=0,0,MAX(0,IF((AN$6-$E$3)&lt;1,0,IFERROR(LOOKUP(2,1/('Arroz irrigado'!$E16:INDEX('Arroz irrigado'!$E16:$Z16,MIN(AN$6-$E$3,22))&lt;&gt;""),'Arroz irrigado'!$E16:INDEX('Arroz irrigado'!$E16:$Z16,MIN(AN$6-$E$3,22))),0))-IF($G$2,0,IF((AN$6-$G$3)&lt;1,0,IFERROR(LOOKUP(2,1/('Arroz irrigado'!$E16:INDEX('Arroz irrigado'!$E16:$Z16,MIN(AN$6-$G$3,22))&lt;&gt;""),'Arroz irrigado'!$E16:INDEX('Arroz irrigado'!$E16:$Z16,MIN(AN$6-$G$3,22))),0)))))</f>
        <v>0</v>
      </c>
      <c r="AO18" s="27" t="n">
        <f aca="false">IF(COUNT('Arroz irrigado'!$E16:$Z16)=0,0,MAX(0,IF((AO$6-$E$3)&lt;1,0,IFERROR(LOOKUP(2,1/('Arroz irrigado'!$E16:INDEX('Arroz irrigado'!$E16:$Z16,MIN(AO$6-$E$3,22))&lt;&gt;""),'Arroz irrigado'!$E16:INDEX('Arroz irrigado'!$E16:$Z16,MIN(AO$6-$E$3,22))),0))-IF($G$2,0,IF((AO$6-$G$3)&lt;1,0,IFERROR(LOOKUP(2,1/('Arroz irrigado'!$E16:INDEX('Arroz irrigado'!$E16:$Z16,MIN(AO$6-$G$3,22))&lt;&gt;""),'Arroz irrigado'!$E16:INDEX('Arroz irrigado'!$E16:$Z16,MIN(AO$6-$G$3,22))),0)))))</f>
        <v>0</v>
      </c>
      <c r="AP18" s="27" t="n">
        <f aca="false">IF(COUNT('Arroz irrigado'!$E16:$Z16)=0,0,MAX(0,IF((AP$6-$E$3)&lt;1,0,IFERROR(LOOKUP(2,1/('Arroz irrigado'!$E16:INDEX('Arroz irrigado'!$E16:$Z16,MIN(AP$6-$E$3,22))&lt;&gt;""),'Arroz irrigado'!$E16:INDEX('Arroz irrigado'!$E16:$Z16,MIN(AP$6-$E$3,22))),0))-IF($G$2,0,IF((AP$6-$G$3)&lt;1,0,IFERROR(LOOKUP(2,1/('Arroz irrigado'!$E16:INDEX('Arroz irrigado'!$E16:$Z16,MIN(AP$6-$G$3,22))&lt;&gt;""),'Arroz irrigado'!$E16:INDEX('Arroz irrigado'!$E16:$Z16,MIN(AP$6-$G$3,22))),0)))))</f>
        <v>0</v>
      </c>
      <c r="AQ18" s="27" t="n">
        <f aca="false">IF(COUNT('Arroz irrigado'!$E16:$Z16)=0,0,MAX(0,IF((AQ$6-$E$3)&lt;1,0,IFERROR(LOOKUP(2,1/('Arroz irrigado'!$E16:INDEX('Arroz irrigado'!$E16:$Z16,MIN(AQ$6-$E$3,22))&lt;&gt;""),'Arroz irrigado'!$E16:INDEX('Arroz irrigado'!$E16:$Z16,MIN(AQ$6-$E$3,22))),0))-IF($G$2,0,IF((AQ$6-$G$3)&lt;1,0,IFERROR(LOOKUP(2,1/('Arroz irrigado'!$E16:INDEX('Arroz irrigado'!$E16:$Z16,MIN(AQ$6-$G$3,22))&lt;&gt;""),'Arroz irrigado'!$E16:INDEX('Arroz irrigado'!$E16:$Z16,MIN(AQ$6-$G$3,22))),0)))))</f>
        <v>0</v>
      </c>
      <c r="AR18" s="27" t="n">
        <f aca="false">IF(COUNT('Arroz irrigado'!$E16:$Z16)=0,0,MAX(0,IF((AR$6-$E$3)&lt;1,0,IFERROR(LOOKUP(2,1/('Arroz irrigado'!$E16:INDEX('Arroz irrigado'!$E16:$Z16,MIN(AR$6-$E$3,22))&lt;&gt;""),'Arroz irrigado'!$E16:INDEX('Arroz irrigado'!$E16:$Z16,MIN(AR$6-$E$3,22))),0))-IF($G$2,0,IF((AR$6-$G$3)&lt;1,0,IFERROR(LOOKUP(2,1/('Arroz irrigado'!$E16:INDEX('Arroz irrigado'!$E16:$Z16,MIN(AR$6-$G$3,22))&lt;&gt;""),'Arroz irrigado'!$E16:INDEX('Arroz irrigado'!$E16:$Z16,MIN(AR$6-$G$3,22))),0)))))</f>
        <v>0</v>
      </c>
      <c r="AS18" s="27" t="n">
        <f aca="false">IF(COUNT('Arroz irrigado'!$E16:$Z16)=0,0,MAX(0,IF((AS$6-$E$3)&lt;1,0,IFERROR(LOOKUP(2,1/('Arroz irrigado'!$E16:INDEX('Arroz irrigado'!$E16:$Z16,MIN(AS$6-$E$3,22))&lt;&gt;""),'Arroz irrigado'!$E16:INDEX('Arroz irrigado'!$E16:$Z16,MIN(AS$6-$E$3,22))),0))-IF($G$2,0,IF((AS$6-$G$3)&lt;1,0,IFERROR(LOOKUP(2,1/('Arroz irrigado'!$E16:INDEX('Arroz irrigado'!$E16:$Z16,MIN(AS$6-$G$3,22))&lt;&gt;""),'Arroz irrigado'!$E16:INDEX('Arroz irrigado'!$E16:$Z16,MIN(AS$6-$G$3,22))),0)))))</f>
        <v>0</v>
      </c>
      <c r="AT18" s="27" t="n">
        <f aca="false">IF(COUNT('Arroz irrigado'!$E16:$Z16)=0,0,MAX(0,IF((AT$6-$E$3)&lt;1,0,IFERROR(LOOKUP(2,1/('Arroz irrigado'!$E16:INDEX('Arroz irrigado'!$E16:$Z16,MIN(AT$6-$E$3,22))&lt;&gt;""),'Arroz irrigado'!$E16:INDEX('Arroz irrigado'!$E16:$Z16,MIN(AT$6-$E$3,22))),0))-IF($G$2,0,IF((AT$6-$G$3)&lt;1,0,IFERROR(LOOKUP(2,1/('Arroz irrigado'!$E16:INDEX('Arroz irrigado'!$E16:$Z16,MIN(AT$6-$G$3,22))&lt;&gt;""),'Arroz irrigado'!$E16:INDEX('Arroz irrigado'!$E16:$Z16,MIN(AT$6-$G$3,22))),0)))))</f>
        <v>0</v>
      </c>
      <c r="AU18" s="27" t="n">
        <f aca="false">IF(COUNT('Arroz irrigado'!$E16:$Z16)=0,0,MAX(0,IF((AU$6-$E$3)&lt;1,0,IFERROR(LOOKUP(2,1/('Arroz irrigado'!$E16:INDEX('Arroz irrigado'!$E16:$Z16,MIN(AU$6-$E$3,22))&lt;&gt;""),'Arroz irrigado'!$E16:INDEX('Arroz irrigado'!$E16:$Z16,MIN(AU$6-$E$3,22))),0))-IF($G$2,0,IF((AU$6-$G$3)&lt;1,0,IFERROR(LOOKUP(2,1/('Arroz irrigado'!$E16:INDEX('Arroz irrigado'!$E16:$Z16,MIN(AU$6-$G$3,22))&lt;&gt;""),'Arroz irrigado'!$E16:INDEX('Arroz irrigado'!$E16:$Z16,MIN(AU$6-$G$3,22))),0)))))</f>
        <v>0</v>
      </c>
      <c r="AV18" s="27" t="n">
        <f aca="false">IF(COUNT('Arroz irrigado'!$E16:$Z16)=0,0,MAX(0,IF((AV$6-$E$3)&lt;1,0,IFERROR(LOOKUP(2,1/('Arroz irrigado'!$E16:INDEX('Arroz irrigado'!$E16:$Z16,MIN(AV$6-$E$3,22))&lt;&gt;""),'Arroz irrigado'!$E16:INDEX('Arroz irrigado'!$E16:$Z16,MIN(AV$6-$E$3,22))),0))-IF($G$2,0,IF((AV$6-$G$3)&lt;1,0,IFERROR(LOOKUP(2,1/('Arroz irrigado'!$E16:INDEX('Arroz irrigado'!$E16:$Z16,MIN(AV$6-$G$3,22))&lt;&gt;""),'Arroz irrigado'!$E16:INDEX('Arroz irrigado'!$E16:$Z16,MIN(AV$6-$G$3,22))),0)))))</f>
        <v>0</v>
      </c>
      <c r="AW18" s="27" t="n">
        <f aca="false">IF(COUNT('Arroz irrigado'!$E16:$Z16)=0,0,MAX(0,IF((AW$6-$E$3)&lt;1,0,IFERROR(LOOKUP(2,1/('Arroz irrigado'!$E16:INDEX('Arroz irrigado'!$E16:$Z16,MIN(AW$6-$E$3,22))&lt;&gt;""),'Arroz irrigado'!$E16:INDEX('Arroz irrigado'!$E16:$Z16,MIN(AW$6-$E$3,22))),0))-IF($G$2,0,IF((AW$6-$G$3)&lt;1,0,IFERROR(LOOKUP(2,1/('Arroz irrigado'!$E16:INDEX('Arroz irrigado'!$E16:$Z16,MIN(AW$6-$G$3,22))&lt;&gt;""),'Arroz irrigado'!$E16:INDEX('Arroz irrigado'!$E16:$Z16,MIN(AW$6-$G$3,22))),0)))))</f>
        <v>0</v>
      </c>
      <c r="AX18" s="27" t="n">
        <f aca="false">IF(COUNT('Arroz irrigado'!$E16:$Z16)=0,0,MAX(0,IF((AX$6-$E$3)&lt;1,0,IFERROR(LOOKUP(2,1/('Arroz irrigado'!$E16:INDEX('Arroz irrigado'!$E16:$Z16,MIN(AX$6-$E$3,22))&lt;&gt;""),'Arroz irrigado'!$E16:INDEX('Arroz irrigado'!$E16:$Z16,MIN(AX$6-$E$3,22))),0))-IF($G$2,0,IF((AX$6-$G$3)&lt;1,0,IFERROR(LOOKUP(2,1/('Arroz irrigado'!$E16:INDEX('Arroz irrigado'!$E16:$Z16,MIN(AX$6-$G$3,22))&lt;&gt;""),'Arroz irrigado'!$E16:INDEX('Arroz irrigado'!$E16:$Z16,MIN(AX$6-$G$3,22))),0)))))</f>
        <v>0</v>
      </c>
      <c r="AY18" s="27" t="n">
        <f aca="false">IF(COUNT('Arroz irrigado'!$E16:$Z16)=0,0,MAX(0,IF((AY$6-$E$3)&lt;1,0,IFERROR(LOOKUP(2,1/('Arroz irrigado'!$E16:INDEX('Arroz irrigado'!$E16:$Z16,MIN(AY$6-$E$3,22))&lt;&gt;""),'Arroz irrigado'!$E16:INDEX('Arroz irrigado'!$E16:$Z16,MIN(AY$6-$E$3,22))),0))-IF($G$2,0,IF((AY$6-$G$3)&lt;1,0,IFERROR(LOOKUP(2,1/('Arroz irrigado'!$E16:INDEX('Arroz irrigado'!$E16:$Z16,MIN(AY$6-$G$3,22))&lt;&gt;""),'Arroz irrigado'!$E16:INDEX('Arroz irrigado'!$E16:$Z16,MIN(AY$6-$G$3,22))),0)))))</f>
        <v>0</v>
      </c>
      <c r="AZ18" s="27" t="n">
        <f aca="false">IF(COUNT('Arroz irrigado'!$E16:$Z16)=0,0,MAX(0,IF((AZ$6-$E$3)&lt;1,0,IFERROR(LOOKUP(2,1/('Arroz irrigado'!$E16:INDEX('Arroz irrigado'!$E16:$Z16,MIN(AZ$6-$E$3,22))&lt;&gt;""),'Arroz irrigado'!$E16:INDEX('Arroz irrigado'!$E16:$Z16,MIN(AZ$6-$E$3,22))),0))-IF($G$2,0,IF((AZ$6-$G$3)&lt;1,0,IFERROR(LOOKUP(2,1/('Arroz irrigado'!$E16:INDEX('Arroz irrigado'!$E16:$Z16,MIN(AZ$6-$G$3,22))&lt;&gt;""),'Arroz irrigado'!$E16:INDEX('Arroz irrigado'!$E16:$Z16,MIN(AZ$6-$G$3,22))),0)))))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IF(COUNT('Arroz irrigado'!$E17:$Z17)&gt;0,N('Arroz irrigado'!$D17),0)</f>
        <v>0</v>
      </c>
      <c r="E19" s="27" t="n">
        <f aca="false">IF(COUNT('Arroz irrigado'!$E17:$Z17)=0,0,MAX(0,IF((E$6-$E$3)&lt;1,0,IFERROR(LOOKUP(2,1/('Arroz irrigado'!$E17:INDEX('Arroz irrigado'!$E17:$Z17,MIN(E$6-$E$3,22))&lt;&gt;""),'Arroz irrigado'!$E17:INDEX('Arroz irrigado'!$E17:$Z17,MIN(E$6-$E$3,22))),0))-IF($G$2,0,IF((E$6-$G$3)&lt;1,0,IFERROR(LOOKUP(2,1/('Arroz irrigado'!$E17:INDEX('Arroz irrigado'!$E17:$Z17,MIN(E$6-$G$3,22))&lt;&gt;""),'Arroz irrigado'!$E17:INDEX('Arroz irrigado'!$E17:$Z17,MIN(E$6-$G$3,22))),0)))))</f>
        <v>0</v>
      </c>
      <c r="F19" s="27" t="n">
        <f aca="false">IF(COUNT('Arroz irrigado'!$E17:$Z17)=0,0,MAX(0,IF((F$6-$E$3)&lt;1,0,IFERROR(LOOKUP(2,1/('Arroz irrigado'!$E17:INDEX('Arroz irrigado'!$E17:$Z17,MIN(F$6-$E$3,22))&lt;&gt;""),'Arroz irrigado'!$E17:INDEX('Arroz irrigado'!$E17:$Z17,MIN(F$6-$E$3,22))),0))-IF($G$2,0,IF((F$6-$G$3)&lt;1,0,IFERROR(LOOKUP(2,1/('Arroz irrigado'!$E17:INDEX('Arroz irrigado'!$E17:$Z17,MIN(F$6-$G$3,22))&lt;&gt;""),'Arroz irrigado'!$E17:INDEX('Arroz irrigado'!$E17:$Z17,MIN(F$6-$G$3,22))),0)))))</f>
        <v>0</v>
      </c>
      <c r="G19" s="27" t="n">
        <f aca="false">IF(COUNT('Arroz irrigado'!$E17:$Z17)=0,0,MAX(0,IF((G$6-$E$3)&lt;1,0,IFERROR(LOOKUP(2,1/('Arroz irrigado'!$E17:INDEX('Arroz irrigado'!$E17:$Z17,MIN(G$6-$E$3,22))&lt;&gt;""),'Arroz irrigado'!$E17:INDEX('Arroz irrigado'!$E17:$Z17,MIN(G$6-$E$3,22))),0))-IF($G$2,0,IF((G$6-$G$3)&lt;1,0,IFERROR(LOOKUP(2,1/('Arroz irrigado'!$E17:INDEX('Arroz irrigado'!$E17:$Z17,MIN(G$6-$G$3,22))&lt;&gt;""),'Arroz irrigado'!$E17:INDEX('Arroz irrigado'!$E17:$Z17,MIN(G$6-$G$3,22))),0)))))</f>
        <v>0</v>
      </c>
      <c r="H19" s="27" t="n">
        <f aca="false">IF(COUNT('Arroz irrigado'!$E17:$Z17)=0,0,MAX(0,IF((H$6-$E$3)&lt;1,0,IFERROR(LOOKUP(2,1/('Arroz irrigado'!$E17:INDEX('Arroz irrigado'!$E17:$Z17,MIN(H$6-$E$3,22))&lt;&gt;""),'Arroz irrigado'!$E17:INDEX('Arroz irrigado'!$E17:$Z17,MIN(H$6-$E$3,22))),0))-IF($G$2,0,IF((H$6-$G$3)&lt;1,0,IFERROR(LOOKUP(2,1/('Arroz irrigado'!$E17:INDEX('Arroz irrigado'!$E17:$Z17,MIN(H$6-$G$3,22))&lt;&gt;""),'Arroz irrigado'!$E17:INDEX('Arroz irrigado'!$E17:$Z17,MIN(H$6-$G$3,22))),0)))))</f>
        <v>0</v>
      </c>
      <c r="I19" s="27" t="n">
        <f aca="false">IF(COUNT('Arroz irrigado'!$E17:$Z17)=0,0,MAX(0,IF((I$6-$E$3)&lt;1,0,IFERROR(LOOKUP(2,1/('Arroz irrigado'!$E17:INDEX('Arroz irrigado'!$E17:$Z17,MIN(I$6-$E$3,22))&lt;&gt;""),'Arroz irrigado'!$E17:INDEX('Arroz irrigado'!$E17:$Z17,MIN(I$6-$E$3,22))),0))-IF($G$2,0,IF((I$6-$G$3)&lt;1,0,IFERROR(LOOKUP(2,1/('Arroz irrigado'!$E17:INDEX('Arroz irrigado'!$E17:$Z17,MIN(I$6-$G$3,22))&lt;&gt;""),'Arroz irrigado'!$E17:INDEX('Arroz irrigado'!$E17:$Z17,MIN(I$6-$G$3,22))),0)))))</f>
        <v>0</v>
      </c>
      <c r="J19" s="27" t="n">
        <f aca="false">IF(COUNT('Arroz irrigado'!$E17:$Z17)=0,0,MAX(0,IF((J$6-$E$3)&lt;1,0,IFERROR(LOOKUP(2,1/('Arroz irrigado'!$E17:INDEX('Arroz irrigado'!$E17:$Z17,MIN(J$6-$E$3,22))&lt;&gt;""),'Arroz irrigado'!$E17:INDEX('Arroz irrigado'!$E17:$Z17,MIN(J$6-$E$3,22))),0))-IF($G$2,0,IF((J$6-$G$3)&lt;1,0,IFERROR(LOOKUP(2,1/('Arroz irrigado'!$E17:INDEX('Arroz irrigado'!$E17:$Z17,MIN(J$6-$G$3,22))&lt;&gt;""),'Arroz irrigado'!$E17:INDEX('Arroz irrigado'!$E17:$Z17,MIN(J$6-$G$3,22))),0)))))</f>
        <v>0</v>
      </c>
      <c r="K19" s="27" t="n">
        <f aca="false">IF(COUNT('Arroz irrigado'!$E17:$Z17)=0,0,MAX(0,IF((K$6-$E$3)&lt;1,0,IFERROR(LOOKUP(2,1/('Arroz irrigado'!$E17:INDEX('Arroz irrigado'!$E17:$Z17,MIN(K$6-$E$3,22))&lt;&gt;""),'Arroz irrigado'!$E17:INDEX('Arroz irrigado'!$E17:$Z17,MIN(K$6-$E$3,22))),0))-IF($G$2,0,IF((K$6-$G$3)&lt;1,0,IFERROR(LOOKUP(2,1/('Arroz irrigado'!$E17:INDEX('Arroz irrigado'!$E17:$Z17,MIN(K$6-$G$3,22))&lt;&gt;""),'Arroz irrigado'!$E17:INDEX('Arroz irrigado'!$E17:$Z17,MIN(K$6-$G$3,22))),0)))))</f>
        <v>0</v>
      </c>
      <c r="L19" s="27" t="n">
        <f aca="false">IF(COUNT('Arroz irrigado'!$E17:$Z17)=0,0,MAX(0,IF((L$6-$E$3)&lt;1,0,IFERROR(LOOKUP(2,1/('Arroz irrigado'!$E17:INDEX('Arroz irrigado'!$E17:$Z17,MIN(L$6-$E$3,22))&lt;&gt;""),'Arroz irrigado'!$E17:INDEX('Arroz irrigado'!$E17:$Z17,MIN(L$6-$E$3,22))),0))-IF($G$2,0,IF((L$6-$G$3)&lt;1,0,IFERROR(LOOKUP(2,1/('Arroz irrigado'!$E17:INDEX('Arroz irrigado'!$E17:$Z17,MIN(L$6-$G$3,22))&lt;&gt;""),'Arroz irrigado'!$E17:INDEX('Arroz irrigado'!$E17:$Z17,MIN(L$6-$G$3,22))),0)))))</f>
        <v>0</v>
      </c>
      <c r="M19" s="27" t="n">
        <f aca="false">IF(COUNT('Arroz irrigado'!$E17:$Z17)=0,0,MAX(0,IF((M$6-$E$3)&lt;1,0,IFERROR(LOOKUP(2,1/('Arroz irrigado'!$E17:INDEX('Arroz irrigado'!$E17:$Z17,MIN(M$6-$E$3,22))&lt;&gt;""),'Arroz irrigado'!$E17:INDEX('Arroz irrigado'!$E17:$Z17,MIN(M$6-$E$3,22))),0))-IF($G$2,0,IF((M$6-$G$3)&lt;1,0,IFERROR(LOOKUP(2,1/('Arroz irrigado'!$E17:INDEX('Arroz irrigado'!$E17:$Z17,MIN(M$6-$G$3,22))&lt;&gt;""),'Arroz irrigado'!$E17:INDEX('Arroz irrigado'!$E17:$Z17,MIN(M$6-$G$3,22))),0)))))</f>
        <v>0</v>
      </c>
      <c r="N19" s="27" t="n">
        <f aca="false">IF(COUNT('Arroz irrigado'!$E17:$Z17)=0,0,MAX(0,IF((N$6-$E$3)&lt;1,0,IFERROR(LOOKUP(2,1/('Arroz irrigado'!$E17:INDEX('Arroz irrigado'!$E17:$Z17,MIN(N$6-$E$3,22))&lt;&gt;""),'Arroz irrigado'!$E17:INDEX('Arroz irrigado'!$E17:$Z17,MIN(N$6-$E$3,22))),0))-IF($G$2,0,IF((N$6-$G$3)&lt;1,0,IFERROR(LOOKUP(2,1/('Arroz irrigado'!$E17:INDEX('Arroz irrigado'!$E17:$Z17,MIN(N$6-$G$3,22))&lt;&gt;""),'Arroz irrigado'!$E17:INDEX('Arroz irrigado'!$E17:$Z17,MIN(N$6-$G$3,22))),0)))))</f>
        <v>0</v>
      </c>
      <c r="O19" s="27" t="n">
        <f aca="false">IF(COUNT('Arroz irrigado'!$E17:$Z17)=0,0,MAX(0,IF((O$6-$E$3)&lt;1,0,IFERROR(LOOKUP(2,1/('Arroz irrigado'!$E17:INDEX('Arroz irrigado'!$E17:$Z17,MIN(O$6-$E$3,22))&lt;&gt;""),'Arroz irrigado'!$E17:INDEX('Arroz irrigado'!$E17:$Z17,MIN(O$6-$E$3,22))),0))-IF($G$2,0,IF((O$6-$G$3)&lt;1,0,IFERROR(LOOKUP(2,1/('Arroz irrigado'!$E17:INDEX('Arroz irrigado'!$E17:$Z17,MIN(O$6-$G$3,22))&lt;&gt;""),'Arroz irrigado'!$E17:INDEX('Arroz irrigado'!$E17:$Z17,MIN(O$6-$G$3,22))),0)))))</f>
        <v>0</v>
      </c>
      <c r="P19" s="27" t="n">
        <f aca="false">IF(COUNT('Arroz irrigado'!$E17:$Z17)=0,0,MAX(0,IF((P$6-$E$3)&lt;1,0,IFERROR(LOOKUP(2,1/('Arroz irrigado'!$E17:INDEX('Arroz irrigado'!$E17:$Z17,MIN(P$6-$E$3,22))&lt;&gt;""),'Arroz irrigado'!$E17:INDEX('Arroz irrigado'!$E17:$Z17,MIN(P$6-$E$3,22))),0))-IF($G$2,0,IF((P$6-$G$3)&lt;1,0,IFERROR(LOOKUP(2,1/('Arroz irrigado'!$E17:INDEX('Arroz irrigado'!$E17:$Z17,MIN(P$6-$G$3,22))&lt;&gt;""),'Arroz irrigado'!$E17:INDEX('Arroz irrigado'!$E17:$Z17,MIN(P$6-$G$3,22))),0)))))</f>
        <v>0</v>
      </c>
      <c r="Q19" s="27" t="n">
        <f aca="false">IF(COUNT('Arroz irrigado'!$E17:$Z17)=0,0,MAX(0,IF((Q$6-$E$3)&lt;1,0,IFERROR(LOOKUP(2,1/('Arroz irrigado'!$E17:INDEX('Arroz irrigado'!$E17:$Z17,MIN(Q$6-$E$3,22))&lt;&gt;""),'Arroz irrigado'!$E17:INDEX('Arroz irrigado'!$E17:$Z17,MIN(Q$6-$E$3,22))),0))-IF($G$2,0,IF((Q$6-$G$3)&lt;1,0,IFERROR(LOOKUP(2,1/('Arroz irrigado'!$E17:INDEX('Arroz irrigado'!$E17:$Z17,MIN(Q$6-$G$3,22))&lt;&gt;""),'Arroz irrigado'!$E17:INDEX('Arroz irrigado'!$E17:$Z17,MIN(Q$6-$G$3,22))),0)))))</f>
        <v>0</v>
      </c>
      <c r="R19" s="27" t="n">
        <f aca="false">IF(COUNT('Arroz irrigado'!$E17:$Z17)=0,0,MAX(0,IF((R$6-$E$3)&lt;1,0,IFERROR(LOOKUP(2,1/('Arroz irrigado'!$E17:INDEX('Arroz irrigado'!$E17:$Z17,MIN(R$6-$E$3,22))&lt;&gt;""),'Arroz irrigado'!$E17:INDEX('Arroz irrigado'!$E17:$Z17,MIN(R$6-$E$3,22))),0))-IF($G$2,0,IF((R$6-$G$3)&lt;1,0,IFERROR(LOOKUP(2,1/('Arroz irrigado'!$E17:INDEX('Arroz irrigado'!$E17:$Z17,MIN(R$6-$G$3,22))&lt;&gt;""),'Arroz irrigado'!$E17:INDEX('Arroz irrigado'!$E17:$Z17,MIN(R$6-$G$3,22))),0)))))</f>
        <v>0</v>
      </c>
      <c r="S19" s="27" t="n">
        <f aca="false">IF(COUNT('Arroz irrigado'!$E17:$Z17)=0,0,MAX(0,IF((S$6-$E$3)&lt;1,0,IFERROR(LOOKUP(2,1/('Arroz irrigado'!$E17:INDEX('Arroz irrigado'!$E17:$Z17,MIN(S$6-$E$3,22))&lt;&gt;""),'Arroz irrigado'!$E17:INDEX('Arroz irrigado'!$E17:$Z17,MIN(S$6-$E$3,22))),0))-IF($G$2,0,IF((S$6-$G$3)&lt;1,0,IFERROR(LOOKUP(2,1/('Arroz irrigado'!$E17:INDEX('Arroz irrigado'!$E17:$Z17,MIN(S$6-$G$3,22))&lt;&gt;""),'Arroz irrigado'!$E17:INDEX('Arroz irrigado'!$E17:$Z17,MIN(S$6-$G$3,22))),0)))))</f>
        <v>0</v>
      </c>
      <c r="T19" s="27" t="n">
        <f aca="false">IF(COUNT('Arroz irrigado'!$E17:$Z17)=0,0,MAX(0,IF((T$6-$E$3)&lt;1,0,IFERROR(LOOKUP(2,1/('Arroz irrigado'!$E17:INDEX('Arroz irrigado'!$E17:$Z17,MIN(T$6-$E$3,22))&lt;&gt;""),'Arroz irrigado'!$E17:INDEX('Arroz irrigado'!$E17:$Z17,MIN(T$6-$E$3,22))),0))-IF($G$2,0,IF((T$6-$G$3)&lt;1,0,IFERROR(LOOKUP(2,1/('Arroz irrigado'!$E17:INDEX('Arroz irrigado'!$E17:$Z17,MIN(T$6-$G$3,22))&lt;&gt;""),'Arroz irrigado'!$E17:INDEX('Arroz irrigado'!$E17:$Z17,MIN(T$6-$G$3,22))),0)))))</f>
        <v>0</v>
      </c>
      <c r="U19" s="27" t="n">
        <f aca="false">IF(COUNT('Arroz irrigado'!$E17:$Z17)=0,0,MAX(0,IF((U$6-$E$3)&lt;1,0,IFERROR(LOOKUP(2,1/('Arroz irrigado'!$E17:INDEX('Arroz irrigado'!$E17:$Z17,MIN(U$6-$E$3,22))&lt;&gt;""),'Arroz irrigado'!$E17:INDEX('Arroz irrigado'!$E17:$Z17,MIN(U$6-$E$3,22))),0))-IF($G$2,0,IF((U$6-$G$3)&lt;1,0,IFERROR(LOOKUP(2,1/('Arroz irrigado'!$E17:INDEX('Arroz irrigado'!$E17:$Z17,MIN(U$6-$G$3,22))&lt;&gt;""),'Arroz irrigado'!$E17:INDEX('Arroz irrigado'!$E17:$Z17,MIN(U$6-$G$3,22))),0)))))</f>
        <v>0</v>
      </c>
      <c r="V19" s="27" t="n">
        <f aca="false">IF(COUNT('Arroz irrigado'!$E17:$Z17)=0,0,MAX(0,IF((V$6-$E$3)&lt;1,0,IFERROR(LOOKUP(2,1/('Arroz irrigado'!$E17:INDEX('Arroz irrigado'!$E17:$Z17,MIN(V$6-$E$3,22))&lt;&gt;""),'Arroz irrigado'!$E17:INDEX('Arroz irrigado'!$E17:$Z17,MIN(V$6-$E$3,22))),0))-IF($G$2,0,IF((V$6-$G$3)&lt;1,0,IFERROR(LOOKUP(2,1/('Arroz irrigado'!$E17:INDEX('Arroz irrigado'!$E17:$Z17,MIN(V$6-$G$3,22))&lt;&gt;""),'Arroz irrigado'!$E17:INDEX('Arroz irrigado'!$E17:$Z17,MIN(V$6-$G$3,22))),0)))))</f>
        <v>0</v>
      </c>
      <c r="W19" s="27" t="n">
        <f aca="false">IF(COUNT('Arroz irrigado'!$E17:$Z17)=0,0,MAX(0,IF((W$6-$E$3)&lt;1,0,IFERROR(LOOKUP(2,1/('Arroz irrigado'!$E17:INDEX('Arroz irrigado'!$E17:$Z17,MIN(W$6-$E$3,22))&lt;&gt;""),'Arroz irrigado'!$E17:INDEX('Arroz irrigado'!$E17:$Z17,MIN(W$6-$E$3,22))),0))-IF($G$2,0,IF((W$6-$G$3)&lt;1,0,IFERROR(LOOKUP(2,1/('Arroz irrigado'!$E17:INDEX('Arroz irrigado'!$E17:$Z17,MIN(W$6-$G$3,22))&lt;&gt;""),'Arroz irrigado'!$E17:INDEX('Arroz irrigado'!$E17:$Z17,MIN(W$6-$G$3,22))),0)))))</f>
        <v>0</v>
      </c>
      <c r="X19" s="27" t="n">
        <f aca="false">IF(COUNT('Arroz irrigado'!$E17:$Z17)=0,0,MAX(0,IF((X$6-$E$3)&lt;1,0,IFERROR(LOOKUP(2,1/('Arroz irrigado'!$E17:INDEX('Arroz irrigado'!$E17:$Z17,MIN(X$6-$E$3,22))&lt;&gt;""),'Arroz irrigado'!$E17:INDEX('Arroz irrigado'!$E17:$Z17,MIN(X$6-$E$3,22))),0))-IF($G$2,0,IF((X$6-$G$3)&lt;1,0,IFERROR(LOOKUP(2,1/('Arroz irrigado'!$E17:INDEX('Arroz irrigado'!$E17:$Z17,MIN(X$6-$G$3,22))&lt;&gt;""),'Arroz irrigado'!$E17:INDEX('Arroz irrigado'!$E17:$Z17,MIN(X$6-$G$3,22))),0)))))</f>
        <v>0</v>
      </c>
      <c r="Y19" s="27" t="n">
        <f aca="false">IF(COUNT('Arroz irrigado'!$E17:$Z17)=0,0,MAX(0,IF((Y$6-$E$3)&lt;1,0,IFERROR(LOOKUP(2,1/('Arroz irrigado'!$E17:INDEX('Arroz irrigado'!$E17:$Z17,MIN(Y$6-$E$3,22))&lt;&gt;""),'Arroz irrigado'!$E17:INDEX('Arroz irrigado'!$E17:$Z17,MIN(Y$6-$E$3,22))),0))-IF($G$2,0,IF((Y$6-$G$3)&lt;1,0,IFERROR(LOOKUP(2,1/('Arroz irrigado'!$E17:INDEX('Arroz irrigado'!$E17:$Z17,MIN(Y$6-$G$3,22))&lt;&gt;""),'Arroz irrigado'!$E17:INDEX('Arroz irrigado'!$E17:$Z17,MIN(Y$6-$G$3,22))),0)))))</f>
        <v>0</v>
      </c>
      <c r="Z19" s="27" t="n">
        <f aca="false">IF(COUNT('Arroz irrigado'!$E17:$Z17)=0,0,MAX(0,IF((Z$6-$E$3)&lt;1,0,IFERROR(LOOKUP(2,1/('Arroz irrigado'!$E17:INDEX('Arroz irrigado'!$E17:$Z17,MIN(Z$6-$E$3,22))&lt;&gt;""),'Arroz irrigado'!$E17:INDEX('Arroz irrigado'!$E17:$Z17,MIN(Z$6-$E$3,22))),0))-IF($G$2,0,IF((Z$6-$G$3)&lt;1,0,IFERROR(LOOKUP(2,1/('Arroz irrigado'!$E17:INDEX('Arroz irrigado'!$E17:$Z17,MIN(Z$6-$G$3,22))&lt;&gt;""),'Arroz irrigado'!$E17:INDEX('Arroz irrigado'!$E17:$Z17,MIN(Z$6-$G$3,22))),0)))))</f>
        <v>0</v>
      </c>
      <c r="AA19" s="27" t="n">
        <f aca="false">IF(COUNT('Arroz irrigado'!$E17:$Z17)=0,0,MAX(0,IF((AA$6-$E$3)&lt;1,0,IFERROR(LOOKUP(2,1/('Arroz irrigado'!$E17:INDEX('Arroz irrigado'!$E17:$Z17,MIN(AA$6-$E$3,22))&lt;&gt;""),'Arroz irrigado'!$E17:INDEX('Arroz irrigado'!$E17:$Z17,MIN(AA$6-$E$3,22))),0))-IF($G$2,0,IF((AA$6-$G$3)&lt;1,0,IFERROR(LOOKUP(2,1/('Arroz irrigado'!$E17:INDEX('Arroz irrigado'!$E17:$Z17,MIN(AA$6-$G$3,22))&lt;&gt;""),'Arroz irrigado'!$E17:INDEX('Arroz irrigado'!$E17:$Z17,MIN(AA$6-$G$3,22))),0)))))</f>
        <v>0</v>
      </c>
      <c r="AB19" s="27" t="n">
        <f aca="false">IF(COUNT('Arroz irrigado'!$E17:$Z17)=0,0,MAX(0,IF((AB$6-$E$3)&lt;1,0,IFERROR(LOOKUP(2,1/('Arroz irrigado'!$E17:INDEX('Arroz irrigado'!$E17:$Z17,MIN(AB$6-$E$3,22))&lt;&gt;""),'Arroz irrigado'!$E17:INDEX('Arroz irrigado'!$E17:$Z17,MIN(AB$6-$E$3,22))),0))-IF($G$2,0,IF((AB$6-$G$3)&lt;1,0,IFERROR(LOOKUP(2,1/('Arroz irrigado'!$E17:INDEX('Arroz irrigado'!$E17:$Z17,MIN(AB$6-$G$3,22))&lt;&gt;""),'Arroz irrigado'!$E17:INDEX('Arroz irrigado'!$E17:$Z17,MIN(AB$6-$G$3,22))),0)))))</f>
        <v>0</v>
      </c>
      <c r="AC19" s="27" t="n">
        <f aca="false">IF(COUNT('Arroz irrigado'!$E17:$Z17)=0,0,MAX(0,IF((AC$6-$E$3)&lt;1,0,IFERROR(LOOKUP(2,1/('Arroz irrigado'!$E17:INDEX('Arroz irrigado'!$E17:$Z17,MIN(AC$6-$E$3,22))&lt;&gt;""),'Arroz irrigado'!$E17:INDEX('Arroz irrigado'!$E17:$Z17,MIN(AC$6-$E$3,22))),0))-IF($G$2,0,IF((AC$6-$G$3)&lt;1,0,IFERROR(LOOKUP(2,1/('Arroz irrigado'!$E17:INDEX('Arroz irrigado'!$E17:$Z17,MIN(AC$6-$G$3,22))&lt;&gt;""),'Arroz irrigado'!$E17:INDEX('Arroz irrigado'!$E17:$Z17,MIN(AC$6-$G$3,22))),0)))))</f>
        <v>0</v>
      </c>
      <c r="AD19" s="27" t="n">
        <f aca="false">IF(COUNT('Arroz irrigado'!$E17:$Z17)=0,0,MAX(0,IF((AD$6-$E$3)&lt;1,0,IFERROR(LOOKUP(2,1/('Arroz irrigado'!$E17:INDEX('Arroz irrigado'!$E17:$Z17,MIN(AD$6-$E$3,22))&lt;&gt;""),'Arroz irrigado'!$E17:INDEX('Arroz irrigado'!$E17:$Z17,MIN(AD$6-$E$3,22))),0))-IF($G$2,0,IF((AD$6-$G$3)&lt;1,0,IFERROR(LOOKUP(2,1/('Arroz irrigado'!$E17:INDEX('Arroz irrigado'!$E17:$Z17,MIN(AD$6-$G$3,22))&lt;&gt;""),'Arroz irrigado'!$E17:INDEX('Arroz irrigado'!$E17:$Z17,MIN(AD$6-$G$3,22))),0)))))</f>
        <v>0</v>
      </c>
      <c r="AE19" s="27" t="n">
        <f aca="false">IF(COUNT('Arroz irrigado'!$E17:$Z17)=0,0,MAX(0,IF((AE$6-$E$3)&lt;1,0,IFERROR(LOOKUP(2,1/('Arroz irrigado'!$E17:INDEX('Arroz irrigado'!$E17:$Z17,MIN(AE$6-$E$3,22))&lt;&gt;""),'Arroz irrigado'!$E17:INDEX('Arroz irrigado'!$E17:$Z17,MIN(AE$6-$E$3,22))),0))-IF($G$2,0,IF((AE$6-$G$3)&lt;1,0,IFERROR(LOOKUP(2,1/('Arroz irrigado'!$E17:INDEX('Arroz irrigado'!$E17:$Z17,MIN(AE$6-$G$3,22))&lt;&gt;""),'Arroz irrigado'!$E17:INDEX('Arroz irrigado'!$E17:$Z17,MIN(AE$6-$G$3,22))),0)))))</f>
        <v>0</v>
      </c>
      <c r="AF19" s="27" t="n">
        <f aca="false">IF(COUNT('Arroz irrigado'!$E17:$Z17)=0,0,MAX(0,IF((AF$6-$E$3)&lt;1,0,IFERROR(LOOKUP(2,1/('Arroz irrigado'!$E17:INDEX('Arroz irrigado'!$E17:$Z17,MIN(AF$6-$E$3,22))&lt;&gt;""),'Arroz irrigado'!$E17:INDEX('Arroz irrigado'!$E17:$Z17,MIN(AF$6-$E$3,22))),0))-IF($G$2,0,IF((AF$6-$G$3)&lt;1,0,IFERROR(LOOKUP(2,1/('Arroz irrigado'!$E17:INDEX('Arroz irrigado'!$E17:$Z17,MIN(AF$6-$G$3,22))&lt;&gt;""),'Arroz irrigado'!$E17:INDEX('Arroz irrigado'!$E17:$Z17,MIN(AF$6-$G$3,22))),0)))))</f>
        <v>0</v>
      </c>
      <c r="AG19" s="27" t="n">
        <f aca="false">IF(COUNT('Arroz irrigado'!$E17:$Z17)=0,0,MAX(0,IF((AG$6-$E$3)&lt;1,0,IFERROR(LOOKUP(2,1/('Arroz irrigado'!$E17:INDEX('Arroz irrigado'!$E17:$Z17,MIN(AG$6-$E$3,22))&lt;&gt;""),'Arroz irrigado'!$E17:INDEX('Arroz irrigado'!$E17:$Z17,MIN(AG$6-$E$3,22))),0))-IF($G$2,0,IF((AG$6-$G$3)&lt;1,0,IFERROR(LOOKUP(2,1/('Arroz irrigado'!$E17:INDEX('Arroz irrigado'!$E17:$Z17,MIN(AG$6-$G$3,22))&lt;&gt;""),'Arroz irrigado'!$E17:INDEX('Arroz irrigado'!$E17:$Z17,MIN(AG$6-$G$3,22))),0)))))</f>
        <v>0</v>
      </c>
      <c r="AH19" s="27" t="n">
        <f aca="false">IF(COUNT('Arroz irrigado'!$E17:$Z17)=0,0,MAX(0,IF((AH$6-$E$3)&lt;1,0,IFERROR(LOOKUP(2,1/('Arroz irrigado'!$E17:INDEX('Arroz irrigado'!$E17:$Z17,MIN(AH$6-$E$3,22))&lt;&gt;""),'Arroz irrigado'!$E17:INDEX('Arroz irrigado'!$E17:$Z17,MIN(AH$6-$E$3,22))),0))-IF($G$2,0,IF((AH$6-$G$3)&lt;1,0,IFERROR(LOOKUP(2,1/('Arroz irrigado'!$E17:INDEX('Arroz irrigado'!$E17:$Z17,MIN(AH$6-$G$3,22))&lt;&gt;""),'Arroz irrigado'!$E17:INDEX('Arroz irrigado'!$E17:$Z17,MIN(AH$6-$G$3,22))),0)))))</f>
        <v>0</v>
      </c>
      <c r="AI19" s="27" t="n">
        <f aca="false">IF(COUNT('Arroz irrigado'!$E17:$Z17)=0,0,MAX(0,IF((AI$6-$E$3)&lt;1,0,IFERROR(LOOKUP(2,1/('Arroz irrigado'!$E17:INDEX('Arroz irrigado'!$E17:$Z17,MIN(AI$6-$E$3,22))&lt;&gt;""),'Arroz irrigado'!$E17:INDEX('Arroz irrigado'!$E17:$Z17,MIN(AI$6-$E$3,22))),0))-IF($G$2,0,IF((AI$6-$G$3)&lt;1,0,IFERROR(LOOKUP(2,1/('Arroz irrigado'!$E17:INDEX('Arroz irrigado'!$E17:$Z17,MIN(AI$6-$G$3,22))&lt;&gt;""),'Arroz irrigado'!$E17:INDEX('Arroz irrigado'!$E17:$Z17,MIN(AI$6-$G$3,22))),0)))))</f>
        <v>0</v>
      </c>
      <c r="AJ19" s="27" t="n">
        <f aca="false">IF(COUNT('Arroz irrigado'!$E17:$Z17)=0,0,MAX(0,IF((AJ$6-$E$3)&lt;1,0,IFERROR(LOOKUP(2,1/('Arroz irrigado'!$E17:INDEX('Arroz irrigado'!$E17:$Z17,MIN(AJ$6-$E$3,22))&lt;&gt;""),'Arroz irrigado'!$E17:INDEX('Arroz irrigado'!$E17:$Z17,MIN(AJ$6-$E$3,22))),0))-IF($G$2,0,IF((AJ$6-$G$3)&lt;1,0,IFERROR(LOOKUP(2,1/('Arroz irrigado'!$E17:INDEX('Arroz irrigado'!$E17:$Z17,MIN(AJ$6-$G$3,22))&lt;&gt;""),'Arroz irrigado'!$E17:INDEX('Arroz irrigado'!$E17:$Z17,MIN(AJ$6-$G$3,22))),0)))))</f>
        <v>0</v>
      </c>
      <c r="AK19" s="27" t="n">
        <f aca="false">IF(COUNT('Arroz irrigado'!$E17:$Z17)=0,0,MAX(0,IF((AK$6-$E$3)&lt;1,0,IFERROR(LOOKUP(2,1/('Arroz irrigado'!$E17:INDEX('Arroz irrigado'!$E17:$Z17,MIN(AK$6-$E$3,22))&lt;&gt;""),'Arroz irrigado'!$E17:INDEX('Arroz irrigado'!$E17:$Z17,MIN(AK$6-$E$3,22))),0))-IF($G$2,0,IF((AK$6-$G$3)&lt;1,0,IFERROR(LOOKUP(2,1/('Arroz irrigado'!$E17:INDEX('Arroz irrigado'!$E17:$Z17,MIN(AK$6-$G$3,22))&lt;&gt;""),'Arroz irrigado'!$E17:INDEX('Arroz irrigado'!$E17:$Z17,MIN(AK$6-$G$3,22))),0)))))</f>
        <v>0</v>
      </c>
      <c r="AL19" s="27" t="n">
        <f aca="false">IF(COUNT('Arroz irrigado'!$E17:$Z17)=0,0,MAX(0,IF((AL$6-$E$3)&lt;1,0,IFERROR(LOOKUP(2,1/('Arroz irrigado'!$E17:INDEX('Arroz irrigado'!$E17:$Z17,MIN(AL$6-$E$3,22))&lt;&gt;""),'Arroz irrigado'!$E17:INDEX('Arroz irrigado'!$E17:$Z17,MIN(AL$6-$E$3,22))),0))-IF($G$2,0,IF((AL$6-$G$3)&lt;1,0,IFERROR(LOOKUP(2,1/('Arroz irrigado'!$E17:INDEX('Arroz irrigado'!$E17:$Z17,MIN(AL$6-$G$3,22))&lt;&gt;""),'Arroz irrigado'!$E17:INDEX('Arroz irrigado'!$E17:$Z17,MIN(AL$6-$G$3,22))),0)))))</f>
        <v>0</v>
      </c>
      <c r="AM19" s="27" t="n">
        <f aca="false">IF(COUNT('Arroz irrigado'!$E17:$Z17)=0,0,MAX(0,IF((AM$6-$E$3)&lt;1,0,IFERROR(LOOKUP(2,1/('Arroz irrigado'!$E17:INDEX('Arroz irrigado'!$E17:$Z17,MIN(AM$6-$E$3,22))&lt;&gt;""),'Arroz irrigado'!$E17:INDEX('Arroz irrigado'!$E17:$Z17,MIN(AM$6-$E$3,22))),0))-IF($G$2,0,IF((AM$6-$G$3)&lt;1,0,IFERROR(LOOKUP(2,1/('Arroz irrigado'!$E17:INDEX('Arroz irrigado'!$E17:$Z17,MIN(AM$6-$G$3,22))&lt;&gt;""),'Arroz irrigado'!$E17:INDEX('Arroz irrigado'!$E17:$Z17,MIN(AM$6-$G$3,22))),0)))))</f>
        <v>0</v>
      </c>
      <c r="AN19" s="27" t="n">
        <f aca="false">IF(COUNT('Arroz irrigado'!$E17:$Z17)=0,0,MAX(0,IF((AN$6-$E$3)&lt;1,0,IFERROR(LOOKUP(2,1/('Arroz irrigado'!$E17:INDEX('Arroz irrigado'!$E17:$Z17,MIN(AN$6-$E$3,22))&lt;&gt;""),'Arroz irrigado'!$E17:INDEX('Arroz irrigado'!$E17:$Z17,MIN(AN$6-$E$3,22))),0))-IF($G$2,0,IF((AN$6-$G$3)&lt;1,0,IFERROR(LOOKUP(2,1/('Arroz irrigado'!$E17:INDEX('Arroz irrigado'!$E17:$Z17,MIN(AN$6-$G$3,22))&lt;&gt;""),'Arroz irrigado'!$E17:INDEX('Arroz irrigado'!$E17:$Z17,MIN(AN$6-$G$3,22))),0)))))</f>
        <v>0</v>
      </c>
      <c r="AO19" s="27" t="n">
        <f aca="false">IF(COUNT('Arroz irrigado'!$E17:$Z17)=0,0,MAX(0,IF((AO$6-$E$3)&lt;1,0,IFERROR(LOOKUP(2,1/('Arroz irrigado'!$E17:INDEX('Arroz irrigado'!$E17:$Z17,MIN(AO$6-$E$3,22))&lt;&gt;""),'Arroz irrigado'!$E17:INDEX('Arroz irrigado'!$E17:$Z17,MIN(AO$6-$E$3,22))),0))-IF($G$2,0,IF((AO$6-$G$3)&lt;1,0,IFERROR(LOOKUP(2,1/('Arroz irrigado'!$E17:INDEX('Arroz irrigado'!$E17:$Z17,MIN(AO$6-$G$3,22))&lt;&gt;""),'Arroz irrigado'!$E17:INDEX('Arroz irrigado'!$E17:$Z17,MIN(AO$6-$G$3,22))),0)))))</f>
        <v>0</v>
      </c>
      <c r="AP19" s="27" t="n">
        <f aca="false">IF(COUNT('Arroz irrigado'!$E17:$Z17)=0,0,MAX(0,IF((AP$6-$E$3)&lt;1,0,IFERROR(LOOKUP(2,1/('Arroz irrigado'!$E17:INDEX('Arroz irrigado'!$E17:$Z17,MIN(AP$6-$E$3,22))&lt;&gt;""),'Arroz irrigado'!$E17:INDEX('Arroz irrigado'!$E17:$Z17,MIN(AP$6-$E$3,22))),0))-IF($G$2,0,IF((AP$6-$G$3)&lt;1,0,IFERROR(LOOKUP(2,1/('Arroz irrigado'!$E17:INDEX('Arroz irrigado'!$E17:$Z17,MIN(AP$6-$G$3,22))&lt;&gt;""),'Arroz irrigado'!$E17:INDEX('Arroz irrigado'!$E17:$Z17,MIN(AP$6-$G$3,22))),0)))))</f>
        <v>0</v>
      </c>
      <c r="AQ19" s="27" t="n">
        <f aca="false">IF(COUNT('Arroz irrigado'!$E17:$Z17)=0,0,MAX(0,IF((AQ$6-$E$3)&lt;1,0,IFERROR(LOOKUP(2,1/('Arroz irrigado'!$E17:INDEX('Arroz irrigado'!$E17:$Z17,MIN(AQ$6-$E$3,22))&lt;&gt;""),'Arroz irrigado'!$E17:INDEX('Arroz irrigado'!$E17:$Z17,MIN(AQ$6-$E$3,22))),0))-IF($G$2,0,IF((AQ$6-$G$3)&lt;1,0,IFERROR(LOOKUP(2,1/('Arroz irrigado'!$E17:INDEX('Arroz irrigado'!$E17:$Z17,MIN(AQ$6-$G$3,22))&lt;&gt;""),'Arroz irrigado'!$E17:INDEX('Arroz irrigado'!$E17:$Z17,MIN(AQ$6-$G$3,22))),0)))))</f>
        <v>0</v>
      </c>
      <c r="AR19" s="27" t="n">
        <f aca="false">IF(COUNT('Arroz irrigado'!$E17:$Z17)=0,0,MAX(0,IF((AR$6-$E$3)&lt;1,0,IFERROR(LOOKUP(2,1/('Arroz irrigado'!$E17:INDEX('Arroz irrigado'!$E17:$Z17,MIN(AR$6-$E$3,22))&lt;&gt;""),'Arroz irrigado'!$E17:INDEX('Arroz irrigado'!$E17:$Z17,MIN(AR$6-$E$3,22))),0))-IF($G$2,0,IF((AR$6-$G$3)&lt;1,0,IFERROR(LOOKUP(2,1/('Arroz irrigado'!$E17:INDEX('Arroz irrigado'!$E17:$Z17,MIN(AR$6-$G$3,22))&lt;&gt;""),'Arroz irrigado'!$E17:INDEX('Arroz irrigado'!$E17:$Z17,MIN(AR$6-$G$3,22))),0)))))</f>
        <v>0</v>
      </c>
      <c r="AS19" s="27" t="n">
        <f aca="false">IF(COUNT('Arroz irrigado'!$E17:$Z17)=0,0,MAX(0,IF((AS$6-$E$3)&lt;1,0,IFERROR(LOOKUP(2,1/('Arroz irrigado'!$E17:INDEX('Arroz irrigado'!$E17:$Z17,MIN(AS$6-$E$3,22))&lt;&gt;""),'Arroz irrigado'!$E17:INDEX('Arroz irrigado'!$E17:$Z17,MIN(AS$6-$E$3,22))),0))-IF($G$2,0,IF((AS$6-$G$3)&lt;1,0,IFERROR(LOOKUP(2,1/('Arroz irrigado'!$E17:INDEX('Arroz irrigado'!$E17:$Z17,MIN(AS$6-$G$3,22))&lt;&gt;""),'Arroz irrigado'!$E17:INDEX('Arroz irrigado'!$E17:$Z17,MIN(AS$6-$G$3,22))),0)))))</f>
        <v>0</v>
      </c>
      <c r="AT19" s="27" t="n">
        <f aca="false">IF(COUNT('Arroz irrigado'!$E17:$Z17)=0,0,MAX(0,IF((AT$6-$E$3)&lt;1,0,IFERROR(LOOKUP(2,1/('Arroz irrigado'!$E17:INDEX('Arroz irrigado'!$E17:$Z17,MIN(AT$6-$E$3,22))&lt;&gt;""),'Arroz irrigado'!$E17:INDEX('Arroz irrigado'!$E17:$Z17,MIN(AT$6-$E$3,22))),0))-IF($G$2,0,IF((AT$6-$G$3)&lt;1,0,IFERROR(LOOKUP(2,1/('Arroz irrigado'!$E17:INDEX('Arroz irrigado'!$E17:$Z17,MIN(AT$6-$G$3,22))&lt;&gt;""),'Arroz irrigado'!$E17:INDEX('Arroz irrigado'!$E17:$Z17,MIN(AT$6-$G$3,22))),0)))))</f>
        <v>0</v>
      </c>
      <c r="AU19" s="27" t="n">
        <f aca="false">IF(COUNT('Arroz irrigado'!$E17:$Z17)=0,0,MAX(0,IF((AU$6-$E$3)&lt;1,0,IFERROR(LOOKUP(2,1/('Arroz irrigado'!$E17:INDEX('Arroz irrigado'!$E17:$Z17,MIN(AU$6-$E$3,22))&lt;&gt;""),'Arroz irrigado'!$E17:INDEX('Arroz irrigado'!$E17:$Z17,MIN(AU$6-$E$3,22))),0))-IF($G$2,0,IF((AU$6-$G$3)&lt;1,0,IFERROR(LOOKUP(2,1/('Arroz irrigado'!$E17:INDEX('Arroz irrigado'!$E17:$Z17,MIN(AU$6-$G$3,22))&lt;&gt;""),'Arroz irrigado'!$E17:INDEX('Arroz irrigado'!$E17:$Z17,MIN(AU$6-$G$3,22))),0)))))</f>
        <v>0</v>
      </c>
      <c r="AV19" s="27" t="n">
        <f aca="false">IF(COUNT('Arroz irrigado'!$E17:$Z17)=0,0,MAX(0,IF((AV$6-$E$3)&lt;1,0,IFERROR(LOOKUP(2,1/('Arroz irrigado'!$E17:INDEX('Arroz irrigado'!$E17:$Z17,MIN(AV$6-$E$3,22))&lt;&gt;""),'Arroz irrigado'!$E17:INDEX('Arroz irrigado'!$E17:$Z17,MIN(AV$6-$E$3,22))),0))-IF($G$2,0,IF((AV$6-$G$3)&lt;1,0,IFERROR(LOOKUP(2,1/('Arroz irrigado'!$E17:INDEX('Arroz irrigado'!$E17:$Z17,MIN(AV$6-$G$3,22))&lt;&gt;""),'Arroz irrigado'!$E17:INDEX('Arroz irrigado'!$E17:$Z17,MIN(AV$6-$G$3,22))),0)))))</f>
        <v>0</v>
      </c>
      <c r="AW19" s="27" t="n">
        <f aca="false">IF(COUNT('Arroz irrigado'!$E17:$Z17)=0,0,MAX(0,IF((AW$6-$E$3)&lt;1,0,IFERROR(LOOKUP(2,1/('Arroz irrigado'!$E17:INDEX('Arroz irrigado'!$E17:$Z17,MIN(AW$6-$E$3,22))&lt;&gt;""),'Arroz irrigado'!$E17:INDEX('Arroz irrigado'!$E17:$Z17,MIN(AW$6-$E$3,22))),0))-IF($G$2,0,IF((AW$6-$G$3)&lt;1,0,IFERROR(LOOKUP(2,1/('Arroz irrigado'!$E17:INDEX('Arroz irrigado'!$E17:$Z17,MIN(AW$6-$G$3,22))&lt;&gt;""),'Arroz irrigado'!$E17:INDEX('Arroz irrigado'!$E17:$Z17,MIN(AW$6-$G$3,22))),0)))))</f>
        <v>0</v>
      </c>
      <c r="AX19" s="27" t="n">
        <f aca="false">IF(COUNT('Arroz irrigado'!$E17:$Z17)=0,0,MAX(0,IF((AX$6-$E$3)&lt;1,0,IFERROR(LOOKUP(2,1/('Arroz irrigado'!$E17:INDEX('Arroz irrigado'!$E17:$Z17,MIN(AX$6-$E$3,22))&lt;&gt;""),'Arroz irrigado'!$E17:INDEX('Arroz irrigado'!$E17:$Z17,MIN(AX$6-$E$3,22))),0))-IF($G$2,0,IF((AX$6-$G$3)&lt;1,0,IFERROR(LOOKUP(2,1/('Arroz irrigado'!$E17:INDEX('Arroz irrigado'!$E17:$Z17,MIN(AX$6-$G$3,22))&lt;&gt;""),'Arroz irrigado'!$E17:INDEX('Arroz irrigado'!$E17:$Z17,MIN(AX$6-$G$3,22))),0)))))</f>
        <v>0</v>
      </c>
      <c r="AY19" s="27" t="n">
        <f aca="false">IF(COUNT('Arroz irrigado'!$E17:$Z17)=0,0,MAX(0,IF((AY$6-$E$3)&lt;1,0,IFERROR(LOOKUP(2,1/('Arroz irrigado'!$E17:INDEX('Arroz irrigado'!$E17:$Z17,MIN(AY$6-$E$3,22))&lt;&gt;""),'Arroz irrigado'!$E17:INDEX('Arroz irrigado'!$E17:$Z17,MIN(AY$6-$E$3,22))),0))-IF($G$2,0,IF((AY$6-$G$3)&lt;1,0,IFERROR(LOOKUP(2,1/('Arroz irrigado'!$E17:INDEX('Arroz irrigado'!$E17:$Z17,MIN(AY$6-$G$3,22))&lt;&gt;""),'Arroz irrigado'!$E17:INDEX('Arroz irrigado'!$E17:$Z17,MIN(AY$6-$G$3,22))),0)))))</f>
        <v>0</v>
      </c>
      <c r="AZ19" s="27" t="n">
        <f aca="false">IF(COUNT('Arroz irrigado'!$E17:$Z17)=0,0,MAX(0,IF((AZ$6-$E$3)&lt;1,0,IFERROR(LOOKUP(2,1/('Arroz irrigado'!$E17:INDEX('Arroz irrigado'!$E17:$Z17,MIN(AZ$6-$E$3,22))&lt;&gt;""),'Arroz irrigado'!$E17:INDEX('Arroz irrigado'!$E17:$Z17,MIN(AZ$6-$E$3,22))),0))-IF($G$2,0,IF((AZ$6-$G$3)&lt;1,0,IFERROR(LOOKUP(2,1/('Arroz irrigado'!$E17:INDEX('Arroz irrigado'!$E17:$Z17,MIN(AZ$6-$G$3,22))&lt;&gt;""),'Arroz irrigado'!$E17:INDEX('Arroz irrigado'!$E17:$Z17,MIN(AZ$6-$G$3,22))),0)))))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IF(COUNT('Arroz irrigado'!$E18:$Z18)&gt;0,N('Arroz irrigado'!$D18),0)</f>
        <v>0</v>
      </c>
      <c r="E20" s="27" t="n">
        <f aca="false">IF(COUNT('Arroz irrigado'!$E18:$Z18)=0,0,MAX(0,IF((E$6-$E$3)&lt;1,0,IFERROR(LOOKUP(2,1/('Arroz irrigado'!$E18:INDEX('Arroz irrigado'!$E18:$Z18,MIN(E$6-$E$3,22))&lt;&gt;""),'Arroz irrigado'!$E18:INDEX('Arroz irrigado'!$E18:$Z18,MIN(E$6-$E$3,22))),0))-IF($G$2,0,IF((E$6-$G$3)&lt;1,0,IFERROR(LOOKUP(2,1/('Arroz irrigado'!$E18:INDEX('Arroz irrigado'!$E18:$Z18,MIN(E$6-$G$3,22))&lt;&gt;""),'Arroz irrigado'!$E18:INDEX('Arroz irrigado'!$E18:$Z18,MIN(E$6-$G$3,22))),0)))))</f>
        <v>0</v>
      </c>
      <c r="F20" s="27" t="n">
        <f aca="false">IF(COUNT('Arroz irrigado'!$E18:$Z18)=0,0,MAX(0,IF((F$6-$E$3)&lt;1,0,IFERROR(LOOKUP(2,1/('Arroz irrigado'!$E18:INDEX('Arroz irrigado'!$E18:$Z18,MIN(F$6-$E$3,22))&lt;&gt;""),'Arroz irrigado'!$E18:INDEX('Arroz irrigado'!$E18:$Z18,MIN(F$6-$E$3,22))),0))-IF($G$2,0,IF((F$6-$G$3)&lt;1,0,IFERROR(LOOKUP(2,1/('Arroz irrigado'!$E18:INDEX('Arroz irrigado'!$E18:$Z18,MIN(F$6-$G$3,22))&lt;&gt;""),'Arroz irrigado'!$E18:INDEX('Arroz irrigado'!$E18:$Z18,MIN(F$6-$G$3,22))),0)))))</f>
        <v>0</v>
      </c>
      <c r="G20" s="27" t="n">
        <f aca="false">IF(COUNT('Arroz irrigado'!$E18:$Z18)=0,0,MAX(0,IF((G$6-$E$3)&lt;1,0,IFERROR(LOOKUP(2,1/('Arroz irrigado'!$E18:INDEX('Arroz irrigado'!$E18:$Z18,MIN(G$6-$E$3,22))&lt;&gt;""),'Arroz irrigado'!$E18:INDEX('Arroz irrigado'!$E18:$Z18,MIN(G$6-$E$3,22))),0))-IF($G$2,0,IF((G$6-$G$3)&lt;1,0,IFERROR(LOOKUP(2,1/('Arroz irrigado'!$E18:INDEX('Arroz irrigado'!$E18:$Z18,MIN(G$6-$G$3,22))&lt;&gt;""),'Arroz irrigado'!$E18:INDEX('Arroz irrigado'!$E18:$Z18,MIN(G$6-$G$3,22))),0)))))</f>
        <v>0</v>
      </c>
      <c r="H20" s="27" t="n">
        <f aca="false">IF(COUNT('Arroz irrigado'!$E18:$Z18)=0,0,MAX(0,IF((H$6-$E$3)&lt;1,0,IFERROR(LOOKUP(2,1/('Arroz irrigado'!$E18:INDEX('Arroz irrigado'!$E18:$Z18,MIN(H$6-$E$3,22))&lt;&gt;""),'Arroz irrigado'!$E18:INDEX('Arroz irrigado'!$E18:$Z18,MIN(H$6-$E$3,22))),0))-IF($G$2,0,IF((H$6-$G$3)&lt;1,0,IFERROR(LOOKUP(2,1/('Arroz irrigado'!$E18:INDEX('Arroz irrigado'!$E18:$Z18,MIN(H$6-$G$3,22))&lt;&gt;""),'Arroz irrigado'!$E18:INDEX('Arroz irrigado'!$E18:$Z18,MIN(H$6-$G$3,22))),0)))))</f>
        <v>0</v>
      </c>
      <c r="I20" s="27" t="n">
        <f aca="false">IF(COUNT('Arroz irrigado'!$E18:$Z18)=0,0,MAX(0,IF((I$6-$E$3)&lt;1,0,IFERROR(LOOKUP(2,1/('Arroz irrigado'!$E18:INDEX('Arroz irrigado'!$E18:$Z18,MIN(I$6-$E$3,22))&lt;&gt;""),'Arroz irrigado'!$E18:INDEX('Arroz irrigado'!$E18:$Z18,MIN(I$6-$E$3,22))),0))-IF($G$2,0,IF((I$6-$G$3)&lt;1,0,IFERROR(LOOKUP(2,1/('Arroz irrigado'!$E18:INDEX('Arroz irrigado'!$E18:$Z18,MIN(I$6-$G$3,22))&lt;&gt;""),'Arroz irrigado'!$E18:INDEX('Arroz irrigado'!$E18:$Z18,MIN(I$6-$G$3,22))),0)))))</f>
        <v>0</v>
      </c>
      <c r="J20" s="27" t="n">
        <f aca="false">IF(COUNT('Arroz irrigado'!$E18:$Z18)=0,0,MAX(0,IF((J$6-$E$3)&lt;1,0,IFERROR(LOOKUP(2,1/('Arroz irrigado'!$E18:INDEX('Arroz irrigado'!$E18:$Z18,MIN(J$6-$E$3,22))&lt;&gt;""),'Arroz irrigado'!$E18:INDEX('Arroz irrigado'!$E18:$Z18,MIN(J$6-$E$3,22))),0))-IF($G$2,0,IF((J$6-$G$3)&lt;1,0,IFERROR(LOOKUP(2,1/('Arroz irrigado'!$E18:INDEX('Arroz irrigado'!$E18:$Z18,MIN(J$6-$G$3,22))&lt;&gt;""),'Arroz irrigado'!$E18:INDEX('Arroz irrigado'!$E18:$Z18,MIN(J$6-$G$3,22))),0)))))</f>
        <v>0</v>
      </c>
      <c r="K20" s="27" t="n">
        <f aca="false">IF(COUNT('Arroz irrigado'!$E18:$Z18)=0,0,MAX(0,IF((K$6-$E$3)&lt;1,0,IFERROR(LOOKUP(2,1/('Arroz irrigado'!$E18:INDEX('Arroz irrigado'!$E18:$Z18,MIN(K$6-$E$3,22))&lt;&gt;""),'Arroz irrigado'!$E18:INDEX('Arroz irrigado'!$E18:$Z18,MIN(K$6-$E$3,22))),0))-IF($G$2,0,IF((K$6-$G$3)&lt;1,0,IFERROR(LOOKUP(2,1/('Arroz irrigado'!$E18:INDEX('Arroz irrigado'!$E18:$Z18,MIN(K$6-$G$3,22))&lt;&gt;""),'Arroz irrigado'!$E18:INDEX('Arroz irrigado'!$E18:$Z18,MIN(K$6-$G$3,22))),0)))))</f>
        <v>0</v>
      </c>
      <c r="L20" s="27" t="n">
        <f aca="false">IF(COUNT('Arroz irrigado'!$E18:$Z18)=0,0,MAX(0,IF((L$6-$E$3)&lt;1,0,IFERROR(LOOKUP(2,1/('Arroz irrigado'!$E18:INDEX('Arroz irrigado'!$E18:$Z18,MIN(L$6-$E$3,22))&lt;&gt;""),'Arroz irrigado'!$E18:INDEX('Arroz irrigado'!$E18:$Z18,MIN(L$6-$E$3,22))),0))-IF($G$2,0,IF((L$6-$G$3)&lt;1,0,IFERROR(LOOKUP(2,1/('Arroz irrigado'!$E18:INDEX('Arroz irrigado'!$E18:$Z18,MIN(L$6-$G$3,22))&lt;&gt;""),'Arroz irrigado'!$E18:INDEX('Arroz irrigado'!$E18:$Z18,MIN(L$6-$G$3,22))),0)))))</f>
        <v>0</v>
      </c>
      <c r="M20" s="27" t="n">
        <f aca="false">IF(COUNT('Arroz irrigado'!$E18:$Z18)=0,0,MAX(0,IF((M$6-$E$3)&lt;1,0,IFERROR(LOOKUP(2,1/('Arroz irrigado'!$E18:INDEX('Arroz irrigado'!$E18:$Z18,MIN(M$6-$E$3,22))&lt;&gt;""),'Arroz irrigado'!$E18:INDEX('Arroz irrigado'!$E18:$Z18,MIN(M$6-$E$3,22))),0))-IF($G$2,0,IF((M$6-$G$3)&lt;1,0,IFERROR(LOOKUP(2,1/('Arroz irrigado'!$E18:INDEX('Arroz irrigado'!$E18:$Z18,MIN(M$6-$G$3,22))&lt;&gt;""),'Arroz irrigado'!$E18:INDEX('Arroz irrigado'!$E18:$Z18,MIN(M$6-$G$3,22))),0)))))</f>
        <v>0</v>
      </c>
      <c r="N20" s="27" t="n">
        <f aca="false">IF(COUNT('Arroz irrigado'!$E18:$Z18)=0,0,MAX(0,IF((N$6-$E$3)&lt;1,0,IFERROR(LOOKUP(2,1/('Arroz irrigado'!$E18:INDEX('Arroz irrigado'!$E18:$Z18,MIN(N$6-$E$3,22))&lt;&gt;""),'Arroz irrigado'!$E18:INDEX('Arroz irrigado'!$E18:$Z18,MIN(N$6-$E$3,22))),0))-IF($G$2,0,IF((N$6-$G$3)&lt;1,0,IFERROR(LOOKUP(2,1/('Arroz irrigado'!$E18:INDEX('Arroz irrigado'!$E18:$Z18,MIN(N$6-$G$3,22))&lt;&gt;""),'Arroz irrigado'!$E18:INDEX('Arroz irrigado'!$E18:$Z18,MIN(N$6-$G$3,22))),0)))))</f>
        <v>0</v>
      </c>
      <c r="O20" s="27" t="n">
        <f aca="false">IF(COUNT('Arroz irrigado'!$E18:$Z18)=0,0,MAX(0,IF((O$6-$E$3)&lt;1,0,IFERROR(LOOKUP(2,1/('Arroz irrigado'!$E18:INDEX('Arroz irrigado'!$E18:$Z18,MIN(O$6-$E$3,22))&lt;&gt;""),'Arroz irrigado'!$E18:INDEX('Arroz irrigado'!$E18:$Z18,MIN(O$6-$E$3,22))),0))-IF($G$2,0,IF((O$6-$G$3)&lt;1,0,IFERROR(LOOKUP(2,1/('Arroz irrigado'!$E18:INDEX('Arroz irrigado'!$E18:$Z18,MIN(O$6-$G$3,22))&lt;&gt;""),'Arroz irrigado'!$E18:INDEX('Arroz irrigado'!$E18:$Z18,MIN(O$6-$G$3,22))),0)))))</f>
        <v>0</v>
      </c>
      <c r="P20" s="27" t="n">
        <f aca="false">IF(COUNT('Arroz irrigado'!$E18:$Z18)=0,0,MAX(0,IF((P$6-$E$3)&lt;1,0,IFERROR(LOOKUP(2,1/('Arroz irrigado'!$E18:INDEX('Arroz irrigado'!$E18:$Z18,MIN(P$6-$E$3,22))&lt;&gt;""),'Arroz irrigado'!$E18:INDEX('Arroz irrigado'!$E18:$Z18,MIN(P$6-$E$3,22))),0))-IF($G$2,0,IF((P$6-$G$3)&lt;1,0,IFERROR(LOOKUP(2,1/('Arroz irrigado'!$E18:INDEX('Arroz irrigado'!$E18:$Z18,MIN(P$6-$G$3,22))&lt;&gt;""),'Arroz irrigado'!$E18:INDEX('Arroz irrigado'!$E18:$Z18,MIN(P$6-$G$3,22))),0)))))</f>
        <v>0</v>
      </c>
      <c r="Q20" s="27" t="n">
        <f aca="false">IF(COUNT('Arroz irrigado'!$E18:$Z18)=0,0,MAX(0,IF((Q$6-$E$3)&lt;1,0,IFERROR(LOOKUP(2,1/('Arroz irrigado'!$E18:INDEX('Arroz irrigado'!$E18:$Z18,MIN(Q$6-$E$3,22))&lt;&gt;""),'Arroz irrigado'!$E18:INDEX('Arroz irrigado'!$E18:$Z18,MIN(Q$6-$E$3,22))),0))-IF($G$2,0,IF((Q$6-$G$3)&lt;1,0,IFERROR(LOOKUP(2,1/('Arroz irrigado'!$E18:INDEX('Arroz irrigado'!$E18:$Z18,MIN(Q$6-$G$3,22))&lt;&gt;""),'Arroz irrigado'!$E18:INDEX('Arroz irrigado'!$E18:$Z18,MIN(Q$6-$G$3,22))),0)))))</f>
        <v>0</v>
      </c>
      <c r="R20" s="27" t="n">
        <f aca="false">IF(COUNT('Arroz irrigado'!$E18:$Z18)=0,0,MAX(0,IF((R$6-$E$3)&lt;1,0,IFERROR(LOOKUP(2,1/('Arroz irrigado'!$E18:INDEX('Arroz irrigado'!$E18:$Z18,MIN(R$6-$E$3,22))&lt;&gt;""),'Arroz irrigado'!$E18:INDEX('Arroz irrigado'!$E18:$Z18,MIN(R$6-$E$3,22))),0))-IF($G$2,0,IF((R$6-$G$3)&lt;1,0,IFERROR(LOOKUP(2,1/('Arroz irrigado'!$E18:INDEX('Arroz irrigado'!$E18:$Z18,MIN(R$6-$G$3,22))&lt;&gt;""),'Arroz irrigado'!$E18:INDEX('Arroz irrigado'!$E18:$Z18,MIN(R$6-$G$3,22))),0)))))</f>
        <v>0</v>
      </c>
      <c r="S20" s="27" t="n">
        <f aca="false">IF(COUNT('Arroz irrigado'!$E18:$Z18)=0,0,MAX(0,IF((S$6-$E$3)&lt;1,0,IFERROR(LOOKUP(2,1/('Arroz irrigado'!$E18:INDEX('Arroz irrigado'!$E18:$Z18,MIN(S$6-$E$3,22))&lt;&gt;""),'Arroz irrigado'!$E18:INDEX('Arroz irrigado'!$E18:$Z18,MIN(S$6-$E$3,22))),0))-IF($G$2,0,IF((S$6-$G$3)&lt;1,0,IFERROR(LOOKUP(2,1/('Arroz irrigado'!$E18:INDEX('Arroz irrigado'!$E18:$Z18,MIN(S$6-$G$3,22))&lt;&gt;""),'Arroz irrigado'!$E18:INDEX('Arroz irrigado'!$E18:$Z18,MIN(S$6-$G$3,22))),0)))))</f>
        <v>0</v>
      </c>
      <c r="T20" s="27" t="n">
        <f aca="false">IF(COUNT('Arroz irrigado'!$E18:$Z18)=0,0,MAX(0,IF((T$6-$E$3)&lt;1,0,IFERROR(LOOKUP(2,1/('Arroz irrigado'!$E18:INDEX('Arroz irrigado'!$E18:$Z18,MIN(T$6-$E$3,22))&lt;&gt;""),'Arroz irrigado'!$E18:INDEX('Arroz irrigado'!$E18:$Z18,MIN(T$6-$E$3,22))),0))-IF($G$2,0,IF((T$6-$G$3)&lt;1,0,IFERROR(LOOKUP(2,1/('Arroz irrigado'!$E18:INDEX('Arroz irrigado'!$E18:$Z18,MIN(T$6-$G$3,22))&lt;&gt;""),'Arroz irrigado'!$E18:INDEX('Arroz irrigado'!$E18:$Z18,MIN(T$6-$G$3,22))),0)))))</f>
        <v>0</v>
      </c>
      <c r="U20" s="27" t="n">
        <f aca="false">IF(COUNT('Arroz irrigado'!$E18:$Z18)=0,0,MAX(0,IF((U$6-$E$3)&lt;1,0,IFERROR(LOOKUP(2,1/('Arroz irrigado'!$E18:INDEX('Arroz irrigado'!$E18:$Z18,MIN(U$6-$E$3,22))&lt;&gt;""),'Arroz irrigado'!$E18:INDEX('Arroz irrigado'!$E18:$Z18,MIN(U$6-$E$3,22))),0))-IF($G$2,0,IF((U$6-$G$3)&lt;1,0,IFERROR(LOOKUP(2,1/('Arroz irrigado'!$E18:INDEX('Arroz irrigado'!$E18:$Z18,MIN(U$6-$G$3,22))&lt;&gt;""),'Arroz irrigado'!$E18:INDEX('Arroz irrigado'!$E18:$Z18,MIN(U$6-$G$3,22))),0)))))</f>
        <v>0</v>
      </c>
      <c r="V20" s="27" t="n">
        <f aca="false">IF(COUNT('Arroz irrigado'!$E18:$Z18)=0,0,MAX(0,IF((V$6-$E$3)&lt;1,0,IFERROR(LOOKUP(2,1/('Arroz irrigado'!$E18:INDEX('Arroz irrigado'!$E18:$Z18,MIN(V$6-$E$3,22))&lt;&gt;""),'Arroz irrigado'!$E18:INDEX('Arroz irrigado'!$E18:$Z18,MIN(V$6-$E$3,22))),0))-IF($G$2,0,IF((V$6-$G$3)&lt;1,0,IFERROR(LOOKUP(2,1/('Arroz irrigado'!$E18:INDEX('Arroz irrigado'!$E18:$Z18,MIN(V$6-$G$3,22))&lt;&gt;""),'Arroz irrigado'!$E18:INDEX('Arroz irrigado'!$E18:$Z18,MIN(V$6-$G$3,22))),0)))))</f>
        <v>0</v>
      </c>
      <c r="W20" s="27" t="n">
        <f aca="false">IF(COUNT('Arroz irrigado'!$E18:$Z18)=0,0,MAX(0,IF((W$6-$E$3)&lt;1,0,IFERROR(LOOKUP(2,1/('Arroz irrigado'!$E18:INDEX('Arroz irrigado'!$E18:$Z18,MIN(W$6-$E$3,22))&lt;&gt;""),'Arroz irrigado'!$E18:INDEX('Arroz irrigado'!$E18:$Z18,MIN(W$6-$E$3,22))),0))-IF($G$2,0,IF((W$6-$G$3)&lt;1,0,IFERROR(LOOKUP(2,1/('Arroz irrigado'!$E18:INDEX('Arroz irrigado'!$E18:$Z18,MIN(W$6-$G$3,22))&lt;&gt;""),'Arroz irrigado'!$E18:INDEX('Arroz irrigado'!$E18:$Z18,MIN(W$6-$G$3,22))),0)))))</f>
        <v>0</v>
      </c>
      <c r="X20" s="27" t="n">
        <f aca="false">IF(COUNT('Arroz irrigado'!$E18:$Z18)=0,0,MAX(0,IF((X$6-$E$3)&lt;1,0,IFERROR(LOOKUP(2,1/('Arroz irrigado'!$E18:INDEX('Arroz irrigado'!$E18:$Z18,MIN(X$6-$E$3,22))&lt;&gt;""),'Arroz irrigado'!$E18:INDEX('Arroz irrigado'!$E18:$Z18,MIN(X$6-$E$3,22))),0))-IF($G$2,0,IF((X$6-$G$3)&lt;1,0,IFERROR(LOOKUP(2,1/('Arroz irrigado'!$E18:INDEX('Arroz irrigado'!$E18:$Z18,MIN(X$6-$G$3,22))&lt;&gt;""),'Arroz irrigado'!$E18:INDEX('Arroz irrigado'!$E18:$Z18,MIN(X$6-$G$3,22))),0)))))</f>
        <v>0</v>
      </c>
      <c r="Y20" s="27" t="n">
        <f aca="false">IF(COUNT('Arroz irrigado'!$E18:$Z18)=0,0,MAX(0,IF((Y$6-$E$3)&lt;1,0,IFERROR(LOOKUP(2,1/('Arroz irrigado'!$E18:INDEX('Arroz irrigado'!$E18:$Z18,MIN(Y$6-$E$3,22))&lt;&gt;""),'Arroz irrigado'!$E18:INDEX('Arroz irrigado'!$E18:$Z18,MIN(Y$6-$E$3,22))),0))-IF($G$2,0,IF((Y$6-$G$3)&lt;1,0,IFERROR(LOOKUP(2,1/('Arroz irrigado'!$E18:INDEX('Arroz irrigado'!$E18:$Z18,MIN(Y$6-$G$3,22))&lt;&gt;""),'Arroz irrigado'!$E18:INDEX('Arroz irrigado'!$E18:$Z18,MIN(Y$6-$G$3,22))),0)))))</f>
        <v>0</v>
      </c>
      <c r="Z20" s="27" t="n">
        <f aca="false">IF(COUNT('Arroz irrigado'!$E18:$Z18)=0,0,MAX(0,IF((Z$6-$E$3)&lt;1,0,IFERROR(LOOKUP(2,1/('Arroz irrigado'!$E18:INDEX('Arroz irrigado'!$E18:$Z18,MIN(Z$6-$E$3,22))&lt;&gt;""),'Arroz irrigado'!$E18:INDEX('Arroz irrigado'!$E18:$Z18,MIN(Z$6-$E$3,22))),0))-IF($G$2,0,IF((Z$6-$G$3)&lt;1,0,IFERROR(LOOKUP(2,1/('Arroz irrigado'!$E18:INDEX('Arroz irrigado'!$E18:$Z18,MIN(Z$6-$G$3,22))&lt;&gt;""),'Arroz irrigado'!$E18:INDEX('Arroz irrigado'!$E18:$Z18,MIN(Z$6-$G$3,22))),0)))))</f>
        <v>0</v>
      </c>
      <c r="AA20" s="27" t="n">
        <f aca="false">IF(COUNT('Arroz irrigado'!$E18:$Z18)=0,0,MAX(0,IF((AA$6-$E$3)&lt;1,0,IFERROR(LOOKUP(2,1/('Arroz irrigado'!$E18:INDEX('Arroz irrigado'!$E18:$Z18,MIN(AA$6-$E$3,22))&lt;&gt;""),'Arroz irrigado'!$E18:INDEX('Arroz irrigado'!$E18:$Z18,MIN(AA$6-$E$3,22))),0))-IF($G$2,0,IF((AA$6-$G$3)&lt;1,0,IFERROR(LOOKUP(2,1/('Arroz irrigado'!$E18:INDEX('Arroz irrigado'!$E18:$Z18,MIN(AA$6-$G$3,22))&lt;&gt;""),'Arroz irrigado'!$E18:INDEX('Arroz irrigado'!$E18:$Z18,MIN(AA$6-$G$3,22))),0)))))</f>
        <v>0</v>
      </c>
      <c r="AB20" s="27" t="n">
        <f aca="false">IF(COUNT('Arroz irrigado'!$E18:$Z18)=0,0,MAX(0,IF((AB$6-$E$3)&lt;1,0,IFERROR(LOOKUP(2,1/('Arroz irrigado'!$E18:INDEX('Arroz irrigado'!$E18:$Z18,MIN(AB$6-$E$3,22))&lt;&gt;""),'Arroz irrigado'!$E18:INDEX('Arroz irrigado'!$E18:$Z18,MIN(AB$6-$E$3,22))),0))-IF($G$2,0,IF((AB$6-$G$3)&lt;1,0,IFERROR(LOOKUP(2,1/('Arroz irrigado'!$E18:INDEX('Arroz irrigado'!$E18:$Z18,MIN(AB$6-$G$3,22))&lt;&gt;""),'Arroz irrigado'!$E18:INDEX('Arroz irrigado'!$E18:$Z18,MIN(AB$6-$G$3,22))),0)))))</f>
        <v>0</v>
      </c>
      <c r="AC20" s="27" t="n">
        <f aca="false">IF(COUNT('Arroz irrigado'!$E18:$Z18)=0,0,MAX(0,IF((AC$6-$E$3)&lt;1,0,IFERROR(LOOKUP(2,1/('Arroz irrigado'!$E18:INDEX('Arroz irrigado'!$E18:$Z18,MIN(AC$6-$E$3,22))&lt;&gt;""),'Arroz irrigado'!$E18:INDEX('Arroz irrigado'!$E18:$Z18,MIN(AC$6-$E$3,22))),0))-IF($G$2,0,IF((AC$6-$G$3)&lt;1,0,IFERROR(LOOKUP(2,1/('Arroz irrigado'!$E18:INDEX('Arroz irrigado'!$E18:$Z18,MIN(AC$6-$G$3,22))&lt;&gt;""),'Arroz irrigado'!$E18:INDEX('Arroz irrigado'!$E18:$Z18,MIN(AC$6-$G$3,22))),0)))))</f>
        <v>0</v>
      </c>
      <c r="AD20" s="27" t="n">
        <f aca="false">IF(COUNT('Arroz irrigado'!$E18:$Z18)=0,0,MAX(0,IF((AD$6-$E$3)&lt;1,0,IFERROR(LOOKUP(2,1/('Arroz irrigado'!$E18:INDEX('Arroz irrigado'!$E18:$Z18,MIN(AD$6-$E$3,22))&lt;&gt;""),'Arroz irrigado'!$E18:INDEX('Arroz irrigado'!$E18:$Z18,MIN(AD$6-$E$3,22))),0))-IF($G$2,0,IF((AD$6-$G$3)&lt;1,0,IFERROR(LOOKUP(2,1/('Arroz irrigado'!$E18:INDEX('Arroz irrigado'!$E18:$Z18,MIN(AD$6-$G$3,22))&lt;&gt;""),'Arroz irrigado'!$E18:INDEX('Arroz irrigado'!$E18:$Z18,MIN(AD$6-$G$3,22))),0)))))</f>
        <v>0</v>
      </c>
      <c r="AE20" s="27" t="n">
        <f aca="false">IF(COUNT('Arroz irrigado'!$E18:$Z18)=0,0,MAX(0,IF((AE$6-$E$3)&lt;1,0,IFERROR(LOOKUP(2,1/('Arroz irrigado'!$E18:INDEX('Arroz irrigado'!$E18:$Z18,MIN(AE$6-$E$3,22))&lt;&gt;""),'Arroz irrigado'!$E18:INDEX('Arroz irrigado'!$E18:$Z18,MIN(AE$6-$E$3,22))),0))-IF($G$2,0,IF((AE$6-$G$3)&lt;1,0,IFERROR(LOOKUP(2,1/('Arroz irrigado'!$E18:INDEX('Arroz irrigado'!$E18:$Z18,MIN(AE$6-$G$3,22))&lt;&gt;""),'Arroz irrigado'!$E18:INDEX('Arroz irrigado'!$E18:$Z18,MIN(AE$6-$G$3,22))),0)))))</f>
        <v>0</v>
      </c>
      <c r="AF20" s="27" t="n">
        <f aca="false">IF(COUNT('Arroz irrigado'!$E18:$Z18)=0,0,MAX(0,IF((AF$6-$E$3)&lt;1,0,IFERROR(LOOKUP(2,1/('Arroz irrigado'!$E18:INDEX('Arroz irrigado'!$E18:$Z18,MIN(AF$6-$E$3,22))&lt;&gt;""),'Arroz irrigado'!$E18:INDEX('Arroz irrigado'!$E18:$Z18,MIN(AF$6-$E$3,22))),0))-IF($G$2,0,IF((AF$6-$G$3)&lt;1,0,IFERROR(LOOKUP(2,1/('Arroz irrigado'!$E18:INDEX('Arroz irrigado'!$E18:$Z18,MIN(AF$6-$G$3,22))&lt;&gt;""),'Arroz irrigado'!$E18:INDEX('Arroz irrigado'!$E18:$Z18,MIN(AF$6-$G$3,22))),0)))))</f>
        <v>0</v>
      </c>
      <c r="AG20" s="27" t="n">
        <f aca="false">IF(COUNT('Arroz irrigado'!$E18:$Z18)=0,0,MAX(0,IF((AG$6-$E$3)&lt;1,0,IFERROR(LOOKUP(2,1/('Arroz irrigado'!$E18:INDEX('Arroz irrigado'!$E18:$Z18,MIN(AG$6-$E$3,22))&lt;&gt;""),'Arroz irrigado'!$E18:INDEX('Arroz irrigado'!$E18:$Z18,MIN(AG$6-$E$3,22))),0))-IF($G$2,0,IF((AG$6-$G$3)&lt;1,0,IFERROR(LOOKUP(2,1/('Arroz irrigado'!$E18:INDEX('Arroz irrigado'!$E18:$Z18,MIN(AG$6-$G$3,22))&lt;&gt;""),'Arroz irrigado'!$E18:INDEX('Arroz irrigado'!$E18:$Z18,MIN(AG$6-$G$3,22))),0)))))</f>
        <v>0</v>
      </c>
      <c r="AH20" s="27" t="n">
        <f aca="false">IF(COUNT('Arroz irrigado'!$E18:$Z18)=0,0,MAX(0,IF((AH$6-$E$3)&lt;1,0,IFERROR(LOOKUP(2,1/('Arroz irrigado'!$E18:INDEX('Arroz irrigado'!$E18:$Z18,MIN(AH$6-$E$3,22))&lt;&gt;""),'Arroz irrigado'!$E18:INDEX('Arroz irrigado'!$E18:$Z18,MIN(AH$6-$E$3,22))),0))-IF($G$2,0,IF((AH$6-$G$3)&lt;1,0,IFERROR(LOOKUP(2,1/('Arroz irrigado'!$E18:INDEX('Arroz irrigado'!$E18:$Z18,MIN(AH$6-$G$3,22))&lt;&gt;""),'Arroz irrigado'!$E18:INDEX('Arroz irrigado'!$E18:$Z18,MIN(AH$6-$G$3,22))),0)))))</f>
        <v>0</v>
      </c>
      <c r="AI20" s="27" t="n">
        <f aca="false">IF(COUNT('Arroz irrigado'!$E18:$Z18)=0,0,MAX(0,IF((AI$6-$E$3)&lt;1,0,IFERROR(LOOKUP(2,1/('Arroz irrigado'!$E18:INDEX('Arroz irrigado'!$E18:$Z18,MIN(AI$6-$E$3,22))&lt;&gt;""),'Arroz irrigado'!$E18:INDEX('Arroz irrigado'!$E18:$Z18,MIN(AI$6-$E$3,22))),0))-IF($G$2,0,IF((AI$6-$G$3)&lt;1,0,IFERROR(LOOKUP(2,1/('Arroz irrigado'!$E18:INDEX('Arroz irrigado'!$E18:$Z18,MIN(AI$6-$G$3,22))&lt;&gt;""),'Arroz irrigado'!$E18:INDEX('Arroz irrigado'!$E18:$Z18,MIN(AI$6-$G$3,22))),0)))))</f>
        <v>0</v>
      </c>
      <c r="AJ20" s="27" t="n">
        <f aca="false">IF(COUNT('Arroz irrigado'!$E18:$Z18)=0,0,MAX(0,IF((AJ$6-$E$3)&lt;1,0,IFERROR(LOOKUP(2,1/('Arroz irrigado'!$E18:INDEX('Arroz irrigado'!$E18:$Z18,MIN(AJ$6-$E$3,22))&lt;&gt;""),'Arroz irrigado'!$E18:INDEX('Arroz irrigado'!$E18:$Z18,MIN(AJ$6-$E$3,22))),0))-IF($G$2,0,IF((AJ$6-$G$3)&lt;1,0,IFERROR(LOOKUP(2,1/('Arroz irrigado'!$E18:INDEX('Arroz irrigado'!$E18:$Z18,MIN(AJ$6-$G$3,22))&lt;&gt;""),'Arroz irrigado'!$E18:INDEX('Arroz irrigado'!$E18:$Z18,MIN(AJ$6-$G$3,22))),0)))))</f>
        <v>0</v>
      </c>
      <c r="AK20" s="27" t="n">
        <f aca="false">IF(COUNT('Arroz irrigado'!$E18:$Z18)=0,0,MAX(0,IF((AK$6-$E$3)&lt;1,0,IFERROR(LOOKUP(2,1/('Arroz irrigado'!$E18:INDEX('Arroz irrigado'!$E18:$Z18,MIN(AK$6-$E$3,22))&lt;&gt;""),'Arroz irrigado'!$E18:INDEX('Arroz irrigado'!$E18:$Z18,MIN(AK$6-$E$3,22))),0))-IF($G$2,0,IF((AK$6-$G$3)&lt;1,0,IFERROR(LOOKUP(2,1/('Arroz irrigado'!$E18:INDEX('Arroz irrigado'!$E18:$Z18,MIN(AK$6-$G$3,22))&lt;&gt;""),'Arroz irrigado'!$E18:INDEX('Arroz irrigado'!$E18:$Z18,MIN(AK$6-$G$3,22))),0)))))</f>
        <v>0</v>
      </c>
      <c r="AL20" s="27" t="n">
        <f aca="false">IF(COUNT('Arroz irrigado'!$E18:$Z18)=0,0,MAX(0,IF((AL$6-$E$3)&lt;1,0,IFERROR(LOOKUP(2,1/('Arroz irrigado'!$E18:INDEX('Arroz irrigado'!$E18:$Z18,MIN(AL$6-$E$3,22))&lt;&gt;""),'Arroz irrigado'!$E18:INDEX('Arroz irrigado'!$E18:$Z18,MIN(AL$6-$E$3,22))),0))-IF($G$2,0,IF((AL$6-$G$3)&lt;1,0,IFERROR(LOOKUP(2,1/('Arroz irrigado'!$E18:INDEX('Arroz irrigado'!$E18:$Z18,MIN(AL$6-$G$3,22))&lt;&gt;""),'Arroz irrigado'!$E18:INDEX('Arroz irrigado'!$E18:$Z18,MIN(AL$6-$G$3,22))),0)))))</f>
        <v>0</v>
      </c>
      <c r="AM20" s="27" t="n">
        <f aca="false">IF(COUNT('Arroz irrigado'!$E18:$Z18)=0,0,MAX(0,IF((AM$6-$E$3)&lt;1,0,IFERROR(LOOKUP(2,1/('Arroz irrigado'!$E18:INDEX('Arroz irrigado'!$E18:$Z18,MIN(AM$6-$E$3,22))&lt;&gt;""),'Arroz irrigado'!$E18:INDEX('Arroz irrigado'!$E18:$Z18,MIN(AM$6-$E$3,22))),0))-IF($G$2,0,IF((AM$6-$G$3)&lt;1,0,IFERROR(LOOKUP(2,1/('Arroz irrigado'!$E18:INDEX('Arroz irrigado'!$E18:$Z18,MIN(AM$6-$G$3,22))&lt;&gt;""),'Arroz irrigado'!$E18:INDEX('Arroz irrigado'!$E18:$Z18,MIN(AM$6-$G$3,22))),0)))))</f>
        <v>0</v>
      </c>
      <c r="AN20" s="27" t="n">
        <f aca="false">IF(COUNT('Arroz irrigado'!$E18:$Z18)=0,0,MAX(0,IF((AN$6-$E$3)&lt;1,0,IFERROR(LOOKUP(2,1/('Arroz irrigado'!$E18:INDEX('Arroz irrigado'!$E18:$Z18,MIN(AN$6-$E$3,22))&lt;&gt;""),'Arroz irrigado'!$E18:INDEX('Arroz irrigado'!$E18:$Z18,MIN(AN$6-$E$3,22))),0))-IF($G$2,0,IF((AN$6-$G$3)&lt;1,0,IFERROR(LOOKUP(2,1/('Arroz irrigado'!$E18:INDEX('Arroz irrigado'!$E18:$Z18,MIN(AN$6-$G$3,22))&lt;&gt;""),'Arroz irrigado'!$E18:INDEX('Arroz irrigado'!$E18:$Z18,MIN(AN$6-$G$3,22))),0)))))</f>
        <v>0</v>
      </c>
      <c r="AO20" s="27" t="n">
        <f aca="false">IF(COUNT('Arroz irrigado'!$E18:$Z18)=0,0,MAX(0,IF((AO$6-$E$3)&lt;1,0,IFERROR(LOOKUP(2,1/('Arroz irrigado'!$E18:INDEX('Arroz irrigado'!$E18:$Z18,MIN(AO$6-$E$3,22))&lt;&gt;""),'Arroz irrigado'!$E18:INDEX('Arroz irrigado'!$E18:$Z18,MIN(AO$6-$E$3,22))),0))-IF($G$2,0,IF((AO$6-$G$3)&lt;1,0,IFERROR(LOOKUP(2,1/('Arroz irrigado'!$E18:INDEX('Arroz irrigado'!$E18:$Z18,MIN(AO$6-$G$3,22))&lt;&gt;""),'Arroz irrigado'!$E18:INDEX('Arroz irrigado'!$E18:$Z18,MIN(AO$6-$G$3,22))),0)))))</f>
        <v>0</v>
      </c>
      <c r="AP20" s="27" t="n">
        <f aca="false">IF(COUNT('Arroz irrigado'!$E18:$Z18)=0,0,MAX(0,IF((AP$6-$E$3)&lt;1,0,IFERROR(LOOKUP(2,1/('Arroz irrigado'!$E18:INDEX('Arroz irrigado'!$E18:$Z18,MIN(AP$6-$E$3,22))&lt;&gt;""),'Arroz irrigado'!$E18:INDEX('Arroz irrigado'!$E18:$Z18,MIN(AP$6-$E$3,22))),0))-IF($G$2,0,IF((AP$6-$G$3)&lt;1,0,IFERROR(LOOKUP(2,1/('Arroz irrigado'!$E18:INDEX('Arroz irrigado'!$E18:$Z18,MIN(AP$6-$G$3,22))&lt;&gt;""),'Arroz irrigado'!$E18:INDEX('Arroz irrigado'!$E18:$Z18,MIN(AP$6-$G$3,22))),0)))))</f>
        <v>0</v>
      </c>
      <c r="AQ20" s="27" t="n">
        <f aca="false">IF(COUNT('Arroz irrigado'!$E18:$Z18)=0,0,MAX(0,IF((AQ$6-$E$3)&lt;1,0,IFERROR(LOOKUP(2,1/('Arroz irrigado'!$E18:INDEX('Arroz irrigado'!$E18:$Z18,MIN(AQ$6-$E$3,22))&lt;&gt;""),'Arroz irrigado'!$E18:INDEX('Arroz irrigado'!$E18:$Z18,MIN(AQ$6-$E$3,22))),0))-IF($G$2,0,IF((AQ$6-$G$3)&lt;1,0,IFERROR(LOOKUP(2,1/('Arroz irrigado'!$E18:INDEX('Arroz irrigado'!$E18:$Z18,MIN(AQ$6-$G$3,22))&lt;&gt;""),'Arroz irrigado'!$E18:INDEX('Arroz irrigado'!$E18:$Z18,MIN(AQ$6-$G$3,22))),0)))))</f>
        <v>0</v>
      </c>
      <c r="AR20" s="27" t="n">
        <f aca="false">IF(COUNT('Arroz irrigado'!$E18:$Z18)=0,0,MAX(0,IF((AR$6-$E$3)&lt;1,0,IFERROR(LOOKUP(2,1/('Arroz irrigado'!$E18:INDEX('Arroz irrigado'!$E18:$Z18,MIN(AR$6-$E$3,22))&lt;&gt;""),'Arroz irrigado'!$E18:INDEX('Arroz irrigado'!$E18:$Z18,MIN(AR$6-$E$3,22))),0))-IF($G$2,0,IF((AR$6-$G$3)&lt;1,0,IFERROR(LOOKUP(2,1/('Arroz irrigado'!$E18:INDEX('Arroz irrigado'!$E18:$Z18,MIN(AR$6-$G$3,22))&lt;&gt;""),'Arroz irrigado'!$E18:INDEX('Arroz irrigado'!$E18:$Z18,MIN(AR$6-$G$3,22))),0)))))</f>
        <v>0</v>
      </c>
      <c r="AS20" s="27" t="n">
        <f aca="false">IF(COUNT('Arroz irrigado'!$E18:$Z18)=0,0,MAX(0,IF((AS$6-$E$3)&lt;1,0,IFERROR(LOOKUP(2,1/('Arroz irrigado'!$E18:INDEX('Arroz irrigado'!$E18:$Z18,MIN(AS$6-$E$3,22))&lt;&gt;""),'Arroz irrigado'!$E18:INDEX('Arroz irrigado'!$E18:$Z18,MIN(AS$6-$E$3,22))),0))-IF($G$2,0,IF((AS$6-$G$3)&lt;1,0,IFERROR(LOOKUP(2,1/('Arroz irrigado'!$E18:INDEX('Arroz irrigado'!$E18:$Z18,MIN(AS$6-$G$3,22))&lt;&gt;""),'Arroz irrigado'!$E18:INDEX('Arroz irrigado'!$E18:$Z18,MIN(AS$6-$G$3,22))),0)))))</f>
        <v>0</v>
      </c>
      <c r="AT20" s="27" t="n">
        <f aca="false">IF(COUNT('Arroz irrigado'!$E18:$Z18)=0,0,MAX(0,IF((AT$6-$E$3)&lt;1,0,IFERROR(LOOKUP(2,1/('Arroz irrigado'!$E18:INDEX('Arroz irrigado'!$E18:$Z18,MIN(AT$6-$E$3,22))&lt;&gt;""),'Arroz irrigado'!$E18:INDEX('Arroz irrigado'!$E18:$Z18,MIN(AT$6-$E$3,22))),0))-IF($G$2,0,IF((AT$6-$G$3)&lt;1,0,IFERROR(LOOKUP(2,1/('Arroz irrigado'!$E18:INDEX('Arroz irrigado'!$E18:$Z18,MIN(AT$6-$G$3,22))&lt;&gt;""),'Arroz irrigado'!$E18:INDEX('Arroz irrigado'!$E18:$Z18,MIN(AT$6-$G$3,22))),0)))))</f>
        <v>0</v>
      </c>
      <c r="AU20" s="27" t="n">
        <f aca="false">IF(COUNT('Arroz irrigado'!$E18:$Z18)=0,0,MAX(0,IF((AU$6-$E$3)&lt;1,0,IFERROR(LOOKUP(2,1/('Arroz irrigado'!$E18:INDEX('Arroz irrigado'!$E18:$Z18,MIN(AU$6-$E$3,22))&lt;&gt;""),'Arroz irrigado'!$E18:INDEX('Arroz irrigado'!$E18:$Z18,MIN(AU$6-$E$3,22))),0))-IF($G$2,0,IF((AU$6-$G$3)&lt;1,0,IFERROR(LOOKUP(2,1/('Arroz irrigado'!$E18:INDEX('Arroz irrigado'!$E18:$Z18,MIN(AU$6-$G$3,22))&lt;&gt;""),'Arroz irrigado'!$E18:INDEX('Arroz irrigado'!$E18:$Z18,MIN(AU$6-$G$3,22))),0)))))</f>
        <v>0</v>
      </c>
      <c r="AV20" s="27" t="n">
        <f aca="false">IF(COUNT('Arroz irrigado'!$E18:$Z18)=0,0,MAX(0,IF((AV$6-$E$3)&lt;1,0,IFERROR(LOOKUP(2,1/('Arroz irrigado'!$E18:INDEX('Arroz irrigado'!$E18:$Z18,MIN(AV$6-$E$3,22))&lt;&gt;""),'Arroz irrigado'!$E18:INDEX('Arroz irrigado'!$E18:$Z18,MIN(AV$6-$E$3,22))),0))-IF($G$2,0,IF((AV$6-$G$3)&lt;1,0,IFERROR(LOOKUP(2,1/('Arroz irrigado'!$E18:INDEX('Arroz irrigado'!$E18:$Z18,MIN(AV$6-$G$3,22))&lt;&gt;""),'Arroz irrigado'!$E18:INDEX('Arroz irrigado'!$E18:$Z18,MIN(AV$6-$G$3,22))),0)))))</f>
        <v>0</v>
      </c>
      <c r="AW20" s="27" t="n">
        <f aca="false">IF(COUNT('Arroz irrigado'!$E18:$Z18)=0,0,MAX(0,IF((AW$6-$E$3)&lt;1,0,IFERROR(LOOKUP(2,1/('Arroz irrigado'!$E18:INDEX('Arroz irrigado'!$E18:$Z18,MIN(AW$6-$E$3,22))&lt;&gt;""),'Arroz irrigado'!$E18:INDEX('Arroz irrigado'!$E18:$Z18,MIN(AW$6-$E$3,22))),0))-IF($G$2,0,IF((AW$6-$G$3)&lt;1,0,IFERROR(LOOKUP(2,1/('Arroz irrigado'!$E18:INDEX('Arroz irrigado'!$E18:$Z18,MIN(AW$6-$G$3,22))&lt;&gt;""),'Arroz irrigado'!$E18:INDEX('Arroz irrigado'!$E18:$Z18,MIN(AW$6-$G$3,22))),0)))))</f>
        <v>0</v>
      </c>
      <c r="AX20" s="27" t="n">
        <f aca="false">IF(COUNT('Arroz irrigado'!$E18:$Z18)=0,0,MAX(0,IF((AX$6-$E$3)&lt;1,0,IFERROR(LOOKUP(2,1/('Arroz irrigado'!$E18:INDEX('Arroz irrigado'!$E18:$Z18,MIN(AX$6-$E$3,22))&lt;&gt;""),'Arroz irrigado'!$E18:INDEX('Arroz irrigado'!$E18:$Z18,MIN(AX$6-$E$3,22))),0))-IF($G$2,0,IF((AX$6-$G$3)&lt;1,0,IFERROR(LOOKUP(2,1/('Arroz irrigado'!$E18:INDEX('Arroz irrigado'!$E18:$Z18,MIN(AX$6-$G$3,22))&lt;&gt;""),'Arroz irrigado'!$E18:INDEX('Arroz irrigado'!$E18:$Z18,MIN(AX$6-$G$3,22))),0)))))</f>
        <v>0</v>
      </c>
      <c r="AY20" s="27" t="n">
        <f aca="false">IF(COUNT('Arroz irrigado'!$E18:$Z18)=0,0,MAX(0,IF((AY$6-$E$3)&lt;1,0,IFERROR(LOOKUP(2,1/('Arroz irrigado'!$E18:INDEX('Arroz irrigado'!$E18:$Z18,MIN(AY$6-$E$3,22))&lt;&gt;""),'Arroz irrigado'!$E18:INDEX('Arroz irrigado'!$E18:$Z18,MIN(AY$6-$E$3,22))),0))-IF($G$2,0,IF((AY$6-$G$3)&lt;1,0,IFERROR(LOOKUP(2,1/('Arroz irrigado'!$E18:INDEX('Arroz irrigado'!$E18:$Z18,MIN(AY$6-$G$3,22))&lt;&gt;""),'Arroz irrigado'!$E18:INDEX('Arroz irrigado'!$E18:$Z18,MIN(AY$6-$G$3,22))),0)))))</f>
        <v>0</v>
      </c>
      <c r="AZ20" s="27" t="n">
        <f aca="false">IF(COUNT('Arroz irrigado'!$E18:$Z18)=0,0,MAX(0,IF((AZ$6-$E$3)&lt;1,0,IFERROR(LOOKUP(2,1/('Arroz irrigado'!$E18:INDEX('Arroz irrigado'!$E18:$Z18,MIN(AZ$6-$E$3,22))&lt;&gt;""),'Arroz irrigado'!$E18:INDEX('Arroz irrigado'!$E18:$Z18,MIN(AZ$6-$E$3,22))),0))-IF($G$2,0,IF((AZ$6-$G$3)&lt;1,0,IFERROR(LOOKUP(2,1/('Arroz irrigado'!$E18:INDEX('Arroz irrigado'!$E18:$Z18,MIN(AZ$6-$G$3,22))&lt;&gt;""),'Arroz irrigado'!$E18:INDEX('Arroz irrigado'!$E18:$Z18,MIN(AZ$6-$G$3,22))),0)))))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IF(COUNT('Arroz irrigado'!$E19:$Z19)&gt;0,N('Arroz irrigado'!$D19),0)</f>
        <v>0</v>
      </c>
      <c r="E21" s="27" t="n">
        <f aca="false">IF(COUNT('Arroz irrigado'!$E19:$Z19)=0,0,MAX(0,IF((E$6-$E$3)&lt;1,0,IFERROR(LOOKUP(2,1/('Arroz irrigado'!$E19:INDEX('Arroz irrigado'!$E19:$Z19,MIN(E$6-$E$3,22))&lt;&gt;""),'Arroz irrigado'!$E19:INDEX('Arroz irrigado'!$E19:$Z19,MIN(E$6-$E$3,22))),0))-IF($G$2,0,IF((E$6-$G$3)&lt;1,0,IFERROR(LOOKUP(2,1/('Arroz irrigado'!$E19:INDEX('Arroz irrigado'!$E19:$Z19,MIN(E$6-$G$3,22))&lt;&gt;""),'Arroz irrigado'!$E19:INDEX('Arroz irrigado'!$E19:$Z19,MIN(E$6-$G$3,22))),0)))))</f>
        <v>0</v>
      </c>
      <c r="F21" s="27" t="n">
        <f aca="false">IF(COUNT('Arroz irrigado'!$E19:$Z19)=0,0,MAX(0,IF((F$6-$E$3)&lt;1,0,IFERROR(LOOKUP(2,1/('Arroz irrigado'!$E19:INDEX('Arroz irrigado'!$E19:$Z19,MIN(F$6-$E$3,22))&lt;&gt;""),'Arroz irrigado'!$E19:INDEX('Arroz irrigado'!$E19:$Z19,MIN(F$6-$E$3,22))),0))-IF($G$2,0,IF((F$6-$G$3)&lt;1,0,IFERROR(LOOKUP(2,1/('Arroz irrigado'!$E19:INDEX('Arroz irrigado'!$E19:$Z19,MIN(F$6-$G$3,22))&lt;&gt;""),'Arroz irrigado'!$E19:INDEX('Arroz irrigado'!$E19:$Z19,MIN(F$6-$G$3,22))),0)))))</f>
        <v>0</v>
      </c>
      <c r="G21" s="27" t="n">
        <f aca="false">IF(COUNT('Arroz irrigado'!$E19:$Z19)=0,0,MAX(0,IF((G$6-$E$3)&lt;1,0,IFERROR(LOOKUP(2,1/('Arroz irrigado'!$E19:INDEX('Arroz irrigado'!$E19:$Z19,MIN(G$6-$E$3,22))&lt;&gt;""),'Arroz irrigado'!$E19:INDEX('Arroz irrigado'!$E19:$Z19,MIN(G$6-$E$3,22))),0))-IF($G$2,0,IF((G$6-$G$3)&lt;1,0,IFERROR(LOOKUP(2,1/('Arroz irrigado'!$E19:INDEX('Arroz irrigado'!$E19:$Z19,MIN(G$6-$G$3,22))&lt;&gt;""),'Arroz irrigado'!$E19:INDEX('Arroz irrigado'!$E19:$Z19,MIN(G$6-$G$3,22))),0)))))</f>
        <v>0</v>
      </c>
      <c r="H21" s="27" t="n">
        <f aca="false">IF(COUNT('Arroz irrigado'!$E19:$Z19)=0,0,MAX(0,IF((H$6-$E$3)&lt;1,0,IFERROR(LOOKUP(2,1/('Arroz irrigado'!$E19:INDEX('Arroz irrigado'!$E19:$Z19,MIN(H$6-$E$3,22))&lt;&gt;""),'Arroz irrigado'!$E19:INDEX('Arroz irrigado'!$E19:$Z19,MIN(H$6-$E$3,22))),0))-IF($G$2,0,IF((H$6-$G$3)&lt;1,0,IFERROR(LOOKUP(2,1/('Arroz irrigado'!$E19:INDEX('Arroz irrigado'!$E19:$Z19,MIN(H$6-$G$3,22))&lt;&gt;""),'Arroz irrigado'!$E19:INDEX('Arroz irrigado'!$E19:$Z19,MIN(H$6-$G$3,22))),0)))))</f>
        <v>0</v>
      </c>
      <c r="I21" s="27" t="n">
        <f aca="false">IF(COUNT('Arroz irrigado'!$E19:$Z19)=0,0,MAX(0,IF((I$6-$E$3)&lt;1,0,IFERROR(LOOKUP(2,1/('Arroz irrigado'!$E19:INDEX('Arroz irrigado'!$E19:$Z19,MIN(I$6-$E$3,22))&lt;&gt;""),'Arroz irrigado'!$E19:INDEX('Arroz irrigado'!$E19:$Z19,MIN(I$6-$E$3,22))),0))-IF($G$2,0,IF((I$6-$G$3)&lt;1,0,IFERROR(LOOKUP(2,1/('Arroz irrigado'!$E19:INDEX('Arroz irrigado'!$E19:$Z19,MIN(I$6-$G$3,22))&lt;&gt;""),'Arroz irrigado'!$E19:INDEX('Arroz irrigado'!$E19:$Z19,MIN(I$6-$G$3,22))),0)))))</f>
        <v>0</v>
      </c>
      <c r="J21" s="27" t="n">
        <f aca="false">IF(COUNT('Arroz irrigado'!$E19:$Z19)=0,0,MAX(0,IF((J$6-$E$3)&lt;1,0,IFERROR(LOOKUP(2,1/('Arroz irrigado'!$E19:INDEX('Arroz irrigado'!$E19:$Z19,MIN(J$6-$E$3,22))&lt;&gt;""),'Arroz irrigado'!$E19:INDEX('Arroz irrigado'!$E19:$Z19,MIN(J$6-$E$3,22))),0))-IF($G$2,0,IF((J$6-$G$3)&lt;1,0,IFERROR(LOOKUP(2,1/('Arroz irrigado'!$E19:INDEX('Arroz irrigado'!$E19:$Z19,MIN(J$6-$G$3,22))&lt;&gt;""),'Arroz irrigado'!$E19:INDEX('Arroz irrigado'!$E19:$Z19,MIN(J$6-$G$3,22))),0)))))</f>
        <v>0</v>
      </c>
      <c r="K21" s="27" t="n">
        <f aca="false">IF(COUNT('Arroz irrigado'!$E19:$Z19)=0,0,MAX(0,IF((K$6-$E$3)&lt;1,0,IFERROR(LOOKUP(2,1/('Arroz irrigado'!$E19:INDEX('Arroz irrigado'!$E19:$Z19,MIN(K$6-$E$3,22))&lt;&gt;""),'Arroz irrigado'!$E19:INDEX('Arroz irrigado'!$E19:$Z19,MIN(K$6-$E$3,22))),0))-IF($G$2,0,IF((K$6-$G$3)&lt;1,0,IFERROR(LOOKUP(2,1/('Arroz irrigado'!$E19:INDEX('Arroz irrigado'!$E19:$Z19,MIN(K$6-$G$3,22))&lt;&gt;""),'Arroz irrigado'!$E19:INDEX('Arroz irrigado'!$E19:$Z19,MIN(K$6-$G$3,22))),0)))))</f>
        <v>0</v>
      </c>
      <c r="L21" s="27" t="n">
        <f aca="false">IF(COUNT('Arroz irrigado'!$E19:$Z19)=0,0,MAX(0,IF((L$6-$E$3)&lt;1,0,IFERROR(LOOKUP(2,1/('Arroz irrigado'!$E19:INDEX('Arroz irrigado'!$E19:$Z19,MIN(L$6-$E$3,22))&lt;&gt;""),'Arroz irrigado'!$E19:INDEX('Arroz irrigado'!$E19:$Z19,MIN(L$6-$E$3,22))),0))-IF($G$2,0,IF((L$6-$G$3)&lt;1,0,IFERROR(LOOKUP(2,1/('Arroz irrigado'!$E19:INDEX('Arroz irrigado'!$E19:$Z19,MIN(L$6-$G$3,22))&lt;&gt;""),'Arroz irrigado'!$E19:INDEX('Arroz irrigado'!$E19:$Z19,MIN(L$6-$G$3,22))),0)))))</f>
        <v>0</v>
      </c>
      <c r="M21" s="27" t="n">
        <f aca="false">IF(COUNT('Arroz irrigado'!$E19:$Z19)=0,0,MAX(0,IF((M$6-$E$3)&lt;1,0,IFERROR(LOOKUP(2,1/('Arroz irrigado'!$E19:INDEX('Arroz irrigado'!$E19:$Z19,MIN(M$6-$E$3,22))&lt;&gt;""),'Arroz irrigado'!$E19:INDEX('Arroz irrigado'!$E19:$Z19,MIN(M$6-$E$3,22))),0))-IF($G$2,0,IF((M$6-$G$3)&lt;1,0,IFERROR(LOOKUP(2,1/('Arroz irrigado'!$E19:INDEX('Arroz irrigado'!$E19:$Z19,MIN(M$6-$G$3,22))&lt;&gt;""),'Arroz irrigado'!$E19:INDEX('Arroz irrigado'!$E19:$Z19,MIN(M$6-$G$3,22))),0)))))</f>
        <v>0</v>
      </c>
      <c r="N21" s="27" t="n">
        <f aca="false">IF(COUNT('Arroz irrigado'!$E19:$Z19)=0,0,MAX(0,IF((N$6-$E$3)&lt;1,0,IFERROR(LOOKUP(2,1/('Arroz irrigado'!$E19:INDEX('Arroz irrigado'!$E19:$Z19,MIN(N$6-$E$3,22))&lt;&gt;""),'Arroz irrigado'!$E19:INDEX('Arroz irrigado'!$E19:$Z19,MIN(N$6-$E$3,22))),0))-IF($G$2,0,IF((N$6-$G$3)&lt;1,0,IFERROR(LOOKUP(2,1/('Arroz irrigado'!$E19:INDEX('Arroz irrigado'!$E19:$Z19,MIN(N$6-$G$3,22))&lt;&gt;""),'Arroz irrigado'!$E19:INDEX('Arroz irrigado'!$E19:$Z19,MIN(N$6-$G$3,22))),0)))))</f>
        <v>0</v>
      </c>
      <c r="O21" s="27" t="n">
        <f aca="false">IF(COUNT('Arroz irrigado'!$E19:$Z19)=0,0,MAX(0,IF((O$6-$E$3)&lt;1,0,IFERROR(LOOKUP(2,1/('Arroz irrigado'!$E19:INDEX('Arroz irrigado'!$E19:$Z19,MIN(O$6-$E$3,22))&lt;&gt;""),'Arroz irrigado'!$E19:INDEX('Arroz irrigado'!$E19:$Z19,MIN(O$6-$E$3,22))),0))-IF($G$2,0,IF((O$6-$G$3)&lt;1,0,IFERROR(LOOKUP(2,1/('Arroz irrigado'!$E19:INDEX('Arroz irrigado'!$E19:$Z19,MIN(O$6-$G$3,22))&lt;&gt;""),'Arroz irrigado'!$E19:INDEX('Arroz irrigado'!$E19:$Z19,MIN(O$6-$G$3,22))),0)))))</f>
        <v>0</v>
      </c>
      <c r="P21" s="27" t="n">
        <f aca="false">IF(COUNT('Arroz irrigado'!$E19:$Z19)=0,0,MAX(0,IF((P$6-$E$3)&lt;1,0,IFERROR(LOOKUP(2,1/('Arroz irrigado'!$E19:INDEX('Arroz irrigado'!$E19:$Z19,MIN(P$6-$E$3,22))&lt;&gt;""),'Arroz irrigado'!$E19:INDEX('Arroz irrigado'!$E19:$Z19,MIN(P$6-$E$3,22))),0))-IF($G$2,0,IF((P$6-$G$3)&lt;1,0,IFERROR(LOOKUP(2,1/('Arroz irrigado'!$E19:INDEX('Arroz irrigado'!$E19:$Z19,MIN(P$6-$G$3,22))&lt;&gt;""),'Arroz irrigado'!$E19:INDEX('Arroz irrigado'!$E19:$Z19,MIN(P$6-$G$3,22))),0)))))</f>
        <v>0</v>
      </c>
      <c r="Q21" s="27" t="n">
        <f aca="false">IF(COUNT('Arroz irrigado'!$E19:$Z19)=0,0,MAX(0,IF((Q$6-$E$3)&lt;1,0,IFERROR(LOOKUP(2,1/('Arroz irrigado'!$E19:INDEX('Arroz irrigado'!$E19:$Z19,MIN(Q$6-$E$3,22))&lt;&gt;""),'Arroz irrigado'!$E19:INDEX('Arroz irrigado'!$E19:$Z19,MIN(Q$6-$E$3,22))),0))-IF($G$2,0,IF((Q$6-$G$3)&lt;1,0,IFERROR(LOOKUP(2,1/('Arroz irrigado'!$E19:INDEX('Arroz irrigado'!$E19:$Z19,MIN(Q$6-$G$3,22))&lt;&gt;""),'Arroz irrigado'!$E19:INDEX('Arroz irrigado'!$E19:$Z19,MIN(Q$6-$G$3,22))),0)))))</f>
        <v>0</v>
      </c>
      <c r="R21" s="27" t="n">
        <f aca="false">IF(COUNT('Arroz irrigado'!$E19:$Z19)=0,0,MAX(0,IF((R$6-$E$3)&lt;1,0,IFERROR(LOOKUP(2,1/('Arroz irrigado'!$E19:INDEX('Arroz irrigado'!$E19:$Z19,MIN(R$6-$E$3,22))&lt;&gt;""),'Arroz irrigado'!$E19:INDEX('Arroz irrigado'!$E19:$Z19,MIN(R$6-$E$3,22))),0))-IF($G$2,0,IF((R$6-$G$3)&lt;1,0,IFERROR(LOOKUP(2,1/('Arroz irrigado'!$E19:INDEX('Arroz irrigado'!$E19:$Z19,MIN(R$6-$G$3,22))&lt;&gt;""),'Arroz irrigado'!$E19:INDEX('Arroz irrigado'!$E19:$Z19,MIN(R$6-$G$3,22))),0)))))</f>
        <v>0</v>
      </c>
      <c r="S21" s="27" t="n">
        <f aca="false">IF(COUNT('Arroz irrigado'!$E19:$Z19)=0,0,MAX(0,IF((S$6-$E$3)&lt;1,0,IFERROR(LOOKUP(2,1/('Arroz irrigado'!$E19:INDEX('Arroz irrigado'!$E19:$Z19,MIN(S$6-$E$3,22))&lt;&gt;""),'Arroz irrigado'!$E19:INDEX('Arroz irrigado'!$E19:$Z19,MIN(S$6-$E$3,22))),0))-IF($G$2,0,IF((S$6-$G$3)&lt;1,0,IFERROR(LOOKUP(2,1/('Arroz irrigado'!$E19:INDEX('Arroz irrigado'!$E19:$Z19,MIN(S$6-$G$3,22))&lt;&gt;""),'Arroz irrigado'!$E19:INDEX('Arroz irrigado'!$E19:$Z19,MIN(S$6-$G$3,22))),0)))))</f>
        <v>0</v>
      </c>
      <c r="T21" s="27" t="n">
        <f aca="false">IF(COUNT('Arroz irrigado'!$E19:$Z19)=0,0,MAX(0,IF((T$6-$E$3)&lt;1,0,IFERROR(LOOKUP(2,1/('Arroz irrigado'!$E19:INDEX('Arroz irrigado'!$E19:$Z19,MIN(T$6-$E$3,22))&lt;&gt;""),'Arroz irrigado'!$E19:INDEX('Arroz irrigado'!$E19:$Z19,MIN(T$6-$E$3,22))),0))-IF($G$2,0,IF((T$6-$G$3)&lt;1,0,IFERROR(LOOKUP(2,1/('Arroz irrigado'!$E19:INDEX('Arroz irrigado'!$E19:$Z19,MIN(T$6-$G$3,22))&lt;&gt;""),'Arroz irrigado'!$E19:INDEX('Arroz irrigado'!$E19:$Z19,MIN(T$6-$G$3,22))),0)))))</f>
        <v>0</v>
      </c>
      <c r="U21" s="27" t="n">
        <f aca="false">IF(COUNT('Arroz irrigado'!$E19:$Z19)=0,0,MAX(0,IF((U$6-$E$3)&lt;1,0,IFERROR(LOOKUP(2,1/('Arroz irrigado'!$E19:INDEX('Arroz irrigado'!$E19:$Z19,MIN(U$6-$E$3,22))&lt;&gt;""),'Arroz irrigado'!$E19:INDEX('Arroz irrigado'!$E19:$Z19,MIN(U$6-$E$3,22))),0))-IF($G$2,0,IF((U$6-$G$3)&lt;1,0,IFERROR(LOOKUP(2,1/('Arroz irrigado'!$E19:INDEX('Arroz irrigado'!$E19:$Z19,MIN(U$6-$G$3,22))&lt;&gt;""),'Arroz irrigado'!$E19:INDEX('Arroz irrigado'!$E19:$Z19,MIN(U$6-$G$3,22))),0)))))</f>
        <v>0</v>
      </c>
      <c r="V21" s="27" t="n">
        <f aca="false">IF(COUNT('Arroz irrigado'!$E19:$Z19)=0,0,MAX(0,IF((V$6-$E$3)&lt;1,0,IFERROR(LOOKUP(2,1/('Arroz irrigado'!$E19:INDEX('Arroz irrigado'!$E19:$Z19,MIN(V$6-$E$3,22))&lt;&gt;""),'Arroz irrigado'!$E19:INDEX('Arroz irrigado'!$E19:$Z19,MIN(V$6-$E$3,22))),0))-IF($G$2,0,IF((V$6-$G$3)&lt;1,0,IFERROR(LOOKUP(2,1/('Arroz irrigado'!$E19:INDEX('Arroz irrigado'!$E19:$Z19,MIN(V$6-$G$3,22))&lt;&gt;""),'Arroz irrigado'!$E19:INDEX('Arroz irrigado'!$E19:$Z19,MIN(V$6-$G$3,22))),0)))))</f>
        <v>0</v>
      </c>
      <c r="W21" s="27" t="n">
        <f aca="false">IF(COUNT('Arroz irrigado'!$E19:$Z19)=0,0,MAX(0,IF((W$6-$E$3)&lt;1,0,IFERROR(LOOKUP(2,1/('Arroz irrigado'!$E19:INDEX('Arroz irrigado'!$E19:$Z19,MIN(W$6-$E$3,22))&lt;&gt;""),'Arroz irrigado'!$E19:INDEX('Arroz irrigado'!$E19:$Z19,MIN(W$6-$E$3,22))),0))-IF($G$2,0,IF((W$6-$G$3)&lt;1,0,IFERROR(LOOKUP(2,1/('Arroz irrigado'!$E19:INDEX('Arroz irrigado'!$E19:$Z19,MIN(W$6-$G$3,22))&lt;&gt;""),'Arroz irrigado'!$E19:INDEX('Arroz irrigado'!$E19:$Z19,MIN(W$6-$G$3,22))),0)))))</f>
        <v>0</v>
      </c>
      <c r="X21" s="27" t="n">
        <f aca="false">IF(COUNT('Arroz irrigado'!$E19:$Z19)=0,0,MAX(0,IF((X$6-$E$3)&lt;1,0,IFERROR(LOOKUP(2,1/('Arroz irrigado'!$E19:INDEX('Arroz irrigado'!$E19:$Z19,MIN(X$6-$E$3,22))&lt;&gt;""),'Arroz irrigado'!$E19:INDEX('Arroz irrigado'!$E19:$Z19,MIN(X$6-$E$3,22))),0))-IF($G$2,0,IF((X$6-$G$3)&lt;1,0,IFERROR(LOOKUP(2,1/('Arroz irrigado'!$E19:INDEX('Arroz irrigado'!$E19:$Z19,MIN(X$6-$G$3,22))&lt;&gt;""),'Arroz irrigado'!$E19:INDEX('Arroz irrigado'!$E19:$Z19,MIN(X$6-$G$3,22))),0)))))</f>
        <v>0</v>
      </c>
      <c r="Y21" s="27" t="n">
        <f aca="false">IF(COUNT('Arroz irrigado'!$E19:$Z19)=0,0,MAX(0,IF((Y$6-$E$3)&lt;1,0,IFERROR(LOOKUP(2,1/('Arroz irrigado'!$E19:INDEX('Arroz irrigado'!$E19:$Z19,MIN(Y$6-$E$3,22))&lt;&gt;""),'Arroz irrigado'!$E19:INDEX('Arroz irrigado'!$E19:$Z19,MIN(Y$6-$E$3,22))),0))-IF($G$2,0,IF((Y$6-$G$3)&lt;1,0,IFERROR(LOOKUP(2,1/('Arroz irrigado'!$E19:INDEX('Arroz irrigado'!$E19:$Z19,MIN(Y$6-$G$3,22))&lt;&gt;""),'Arroz irrigado'!$E19:INDEX('Arroz irrigado'!$E19:$Z19,MIN(Y$6-$G$3,22))),0)))))</f>
        <v>0</v>
      </c>
      <c r="Z21" s="27" t="n">
        <f aca="false">IF(COUNT('Arroz irrigado'!$E19:$Z19)=0,0,MAX(0,IF((Z$6-$E$3)&lt;1,0,IFERROR(LOOKUP(2,1/('Arroz irrigado'!$E19:INDEX('Arroz irrigado'!$E19:$Z19,MIN(Z$6-$E$3,22))&lt;&gt;""),'Arroz irrigado'!$E19:INDEX('Arroz irrigado'!$E19:$Z19,MIN(Z$6-$E$3,22))),0))-IF($G$2,0,IF((Z$6-$G$3)&lt;1,0,IFERROR(LOOKUP(2,1/('Arroz irrigado'!$E19:INDEX('Arroz irrigado'!$E19:$Z19,MIN(Z$6-$G$3,22))&lt;&gt;""),'Arroz irrigado'!$E19:INDEX('Arroz irrigado'!$E19:$Z19,MIN(Z$6-$G$3,22))),0)))))</f>
        <v>0</v>
      </c>
      <c r="AA21" s="27" t="n">
        <f aca="false">IF(COUNT('Arroz irrigado'!$E19:$Z19)=0,0,MAX(0,IF((AA$6-$E$3)&lt;1,0,IFERROR(LOOKUP(2,1/('Arroz irrigado'!$E19:INDEX('Arroz irrigado'!$E19:$Z19,MIN(AA$6-$E$3,22))&lt;&gt;""),'Arroz irrigado'!$E19:INDEX('Arroz irrigado'!$E19:$Z19,MIN(AA$6-$E$3,22))),0))-IF($G$2,0,IF((AA$6-$G$3)&lt;1,0,IFERROR(LOOKUP(2,1/('Arroz irrigado'!$E19:INDEX('Arroz irrigado'!$E19:$Z19,MIN(AA$6-$G$3,22))&lt;&gt;""),'Arroz irrigado'!$E19:INDEX('Arroz irrigado'!$E19:$Z19,MIN(AA$6-$G$3,22))),0)))))</f>
        <v>0</v>
      </c>
      <c r="AB21" s="27" t="n">
        <f aca="false">IF(COUNT('Arroz irrigado'!$E19:$Z19)=0,0,MAX(0,IF((AB$6-$E$3)&lt;1,0,IFERROR(LOOKUP(2,1/('Arroz irrigado'!$E19:INDEX('Arroz irrigado'!$E19:$Z19,MIN(AB$6-$E$3,22))&lt;&gt;""),'Arroz irrigado'!$E19:INDEX('Arroz irrigado'!$E19:$Z19,MIN(AB$6-$E$3,22))),0))-IF($G$2,0,IF((AB$6-$G$3)&lt;1,0,IFERROR(LOOKUP(2,1/('Arroz irrigado'!$E19:INDEX('Arroz irrigado'!$E19:$Z19,MIN(AB$6-$G$3,22))&lt;&gt;""),'Arroz irrigado'!$E19:INDEX('Arroz irrigado'!$E19:$Z19,MIN(AB$6-$G$3,22))),0)))))</f>
        <v>0</v>
      </c>
      <c r="AC21" s="27" t="n">
        <f aca="false">IF(COUNT('Arroz irrigado'!$E19:$Z19)=0,0,MAX(0,IF((AC$6-$E$3)&lt;1,0,IFERROR(LOOKUP(2,1/('Arroz irrigado'!$E19:INDEX('Arroz irrigado'!$E19:$Z19,MIN(AC$6-$E$3,22))&lt;&gt;""),'Arroz irrigado'!$E19:INDEX('Arroz irrigado'!$E19:$Z19,MIN(AC$6-$E$3,22))),0))-IF($G$2,0,IF((AC$6-$G$3)&lt;1,0,IFERROR(LOOKUP(2,1/('Arroz irrigado'!$E19:INDEX('Arroz irrigado'!$E19:$Z19,MIN(AC$6-$G$3,22))&lt;&gt;""),'Arroz irrigado'!$E19:INDEX('Arroz irrigado'!$E19:$Z19,MIN(AC$6-$G$3,22))),0)))))</f>
        <v>0</v>
      </c>
      <c r="AD21" s="27" t="n">
        <f aca="false">IF(COUNT('Arroz irrigado'!$E19:$Z19)=0,0,MAX(0,IF((AD$6-$E$3)&lt;1,0,IFERROR(LOOKUP(2,1/('Arroz irrigado'!$E19:INDEX('Arroz irrigado'!$E19:$Z19,MIN(AD$6-$E$3,22))&lt;&gt;""),'Arroz irrigado'!$E19:INDEX('Arroz irrigado'!$E19:$Z19,MIN(AD$6-$E$3,22))),0))-IF($G$2,0,IF((AD$6-$G$3)&lt;1,0,IFERROR(LOOKUP(2,1/('Arroz irrigado'!$E19:INDEX('Arroz irrigado'!$E19:$Z19,MIN(AD$6-$G$3,22))&lt;&gt;""),'Arroz irrigado'!$E19:INDEX('Arroz irrigado'!$E19:$Z19,MIN(AD$6-$G$3,22))),0)))))</f>
        <v>0</v>
      </c>
      <c r="AE21" s="27" t="n">
        <f aca="false">IF(COUNT('Arroz irrigado'!$E19:$Z19)=0,0,MAX(0,IF((AE$6-$E$3)&lt;1,0,IFERROR(LOOKUP(2,1/('Arroz irrigado'!$E19:INDEX('Arroz irrigado'!$E19:$Z19,MIN(AE$6-$E$3,22))&lt;&gt;""),'Arroz irrigado'!$E19:INDEX('Arroz irrigado'!$E19:$Z19,MIN(AE$6-$E$3,22))),0))-IF($G$2,0,IF((AE$6-$G$3)&lt;1,0,IFERROR(LOOKUP(2,1/('Arroz irrigado'!$E19:INDEX('Arroz irrigado'!$E19:$Z19,MIN(AE$6-$G$3,22))&lt;&gt;""),'Arroz irrigado'!$E19:INDEX('Arroz irrigado'!$E19:$Z19,MIN(AE$6-$G$3,22))),0)))))</f>
        <v>0</v>
      </c>
      <c r="AF21" s="27" t="n">
        <f aca="false">IF(COUNT('Arroz irrigado'!$E19:$Z19)=0,0,MAX(0,IF((AF$6-$E$3)&lt;1,0,IFERROR(LOOKUP(2,1/('Arroz irrigado'!$E19:INDEX('Arroz irrigado'!$E19:$Z19,MIN(AF$6-$E$3,22))&lt;&gt;""),'Arroz irrigado'!$E19:INDEX('Arroz irrigado'!$E19:$Z19,MIN(AF$6-$E$3,22))),0))-IF($G$2,0,IF((AF$6-$G$3)&lt;1,0,IFERROR(LOOKUP(2,1/('Arroz irrigado'!$E19:INDEX('Arroz irrigado'!$E19:$Z19,MIN(AF$6-$G$3,22))&lt;&gt;""),'Arroz irrigado'!$E19:INDEX('Arroz irrigado'!$E19:$Z19,MIN(AF$6-$G$3,22))),0)))))</f>
        <v>0</v>
      </c>
      <c r="AG21" s="27" t="n">
        <f aca="false">IF(COUNT('Arroz irrigado'!$E19:$Z19)=0,0,MAX(0,IF((AG$6-$E$3)&lt;1,0,IFERROR(LOOKUP(2,1/('Arroz irrigado'!$E19:INDEX('Arroz irrigado'!$E19:$Z19,MIN(AG$6-$E$3,22))&lt;&gt;""),'Arroz irrigado'!$E19:INDEX('Arroz irrigado'!$E19:$Z19,MIN(AG$6-$E$3,22))),0))-IF($G$2,0,IF((AG$6-$G$3)&lt;1,0,IFERROR(LOOKUP(2,1/('Arroz irrigado'!$E19:INDEX('Arroz irrigado'!$E19:$Z19,MIN(AG$6-$G$3,22))&lt;&gt;""),'Arroz irrigado'!$E19:INDEX('Arroz irrigado'!$E19:$Z19,MIN(AG$6-$G$3,22))),0)))))</f>
        <v>0</v>
      </c>
      <c r="AH21" s="27" t="n">
        <f aca="false">IF(COUNT('Arroz irrigado'!$E19:$Z19)=0,0,MAX(0,IF((AH$6-$E$3)&lt;1,0,IFERROR(LOOKUP(2,1/('Arroz irrigado'!$E19:INDEX('Arroz irrigado'!$E19:$Z19,MIN(AH$6-$E$3,22))&lt;&gt;""),'Arroz irrigado'!$E19:INDEX('Arroz irrigado'!$E19:$Z19,MIN(AH$6-$E$3,22))),0))-IF($G$2,0,IF((AH$6-$G$3)&lt;1,0,IFERROR(LOOKUP(2,1/('Arroz irrigado'!$E19:INDEX('Arroz irrigado'!$E19:$Z19,MIN(AH$6-$G$3,22))&lt;&gt;""),'Arroz irrigado'!$E19:INDEX('Arroz irrigado'!$E19:$Z19,MIN(AH$6-$G$3,22))),0)))))</f>
        <v>0</v>
      </c>
      <c r="AI21" s="27" t="n">
        <f aca="false">IF(COUNT('Arroz irrigado'!$E19:$Z19)=0,0,MAX(0,IF((AI$6-$E$3)&lt;1,0,IFERROR(LOOKUP(2,1/('Arroz irrigado'!$E19:INDEX('Arroz irrigado'!$E19:$Z19,MIN(AI$6-$E$3,22))&lt;&gt;""),'Arroz irrigado'!$E19:INDEX('Arroz irrigado'!$E19:$Z19,MIN(AI$6-$E$3,22))),0))-IF($G$2,0,IF((AI$6-$G$3)&lt;1,0,IFERROR(LOOKUP(2,1/('Arroz irrigado'!$E19:INDEX('Arroz irrigado'!$E19:$Z19,MIN(AI$6-$G$3,22))&lt;&gt;""),'Arroz irrigado'!$E19:INDEX('Arroz irrigado'!$E19:$Z19,MIN(AI$6-$G$3,22))),0)))))</f>
        <v>0</v>
      </c>
      <c r="AJ21" s="27" t="n">
        <f aca="false">IF(COUNT('Arroz irrigado'!$E19:$Z19)=0,0,MAX(0,IF((AJ$6-$E$3)&lt;1,0,IFERROR(LOOKUP(2,1/('Arroz irrigado'!$E19:INDEX('Arroz irrigado'!$E19:$Z19,MIN(AJ$6-$E$3,22))&lt;&gt;""),'Arroz irrigado'!$E19:INDEX('Arroz irrigado'!$E19:$Z19,MIN(AJ$6-$E$3,22))),0))-IF($G$2,0,IF((AJ$6-$G$3)&lt;1,0,IFERROR(LOOKUP(2,1/('Arroz irrigado'!$E19:INDEX('Arroz irrigado'!$E19:$Z19,MIN(AJ$6-$G$3,22))&lt;&gt;""),'Arroz irrigado'!$E19:INDEX('Arroz irrigado'!$E19:$Z19,MIN(AJ$6-$G$3,22))),0)))))</f>
        <v>0</v>
      </c>
      <c r="AK21" s="27" t="n">
        <f aca="false">IF(COUNT('Arroz irrigado'!$E19:$Z19)=0,0,MAX(0,IF((AK$6-$E$3)&lt;1,0,IFERROR(LOOKUP(2,1/('Arroz irrigado'!$E19:INDEX('Arroz irrigado'!$E19:$Z19,MIN(AK$6-$E$3,22))&lt;&gt;""),'Arroz irrigado'!$E19:INDEX('Arroz irrigado'!$E19:$Z19,MIN(AK$6-$E$3,22))),0))-IF($G$2,0,IF((AK$6-$G$3)&lt;1,0,IFERROR(LOOKUP(2,1/('Arroz irrigado'!$E19:INDEX('Arroz irrigado'!$E19:$Z19,MIN(AK$6-$G$3,22))&lt;&gt;""),'Arroz irrigado'!$E19:INDEX('Arroz irrigado'!$E19:$Z19,MIN(AK$6-$G$3,22))),0)))))</f>
        <v>0</v>
      </c>
      <c r="AL21" s="27" t="n">
        <f aca="false">IF(COUNT('Arroz irrigado'!$E19:$Z19)=0,0,MAX(0,IF((AL$6-$E$3)&lt;1,0,IFERROR(LOOKUP(2,1/('Arroz irrigado'!$E19:INDEX('Arroz irrigado'!$E19:$Z19,MIN(AL$6-$E$3,22))&lt;&gt;""),'Arroz irrigado'!$E19:INDEX('Arroz irrigado'!$E19:$Z19,MIN(AL$6-$E$3,22))),0))-IF($G$2,0,IF((AL$6-$G$3)&lt;1,0,IFERROR(LOOKUP(2,1/('Arroz irrigado'!$E19:INDEX('Arroz irrigado'!$E19:$Z19,MIN(AL$6-$G$3,22))&lt;&gt;""),'Arroz irrigado'!$E19:INDEX('Arroz irrigado'!$E19:$Z19,MIN(AL$6-$G$3,22))),0)))))</f>
        <v>0</v>
      </c>
      <c r="AM21" s="27" t="n">
        <f aca="false">IF(COUNT('Arroz irrigado'!$E19:$Z19)=0,0,MAX(0,IF((AM$6-$E$3)&lt;1,0,IFERROR(LOOKUP(2,1/('Arroz irrigado'!$E19:INDEX('Arroz irrigado'!$E19:$Z19,MIN(AM$6-$E$3,22))&lt;&gt;""),'Arroz irrigado'!$E19:INDEX('Arroz irrigado'!$E19:$Z19,MIN(AM$6-$E$3,22))),0))-IF($G$2,0,IF((AM$6-$G$3)&lt;1,0,IFERROR(LOOKUP(2,1/('Arroz irrigado'!$E19:INDEX('Arroz irrigado'!$E19:$Z19,MIN(AM$6-$G$3,22))&lt;&gt;""),'Arroz irrigado'!$E19:INDEX('Arroz irrigado'!$E19:$Z19,MIN(AM$6-$G$3,22))),0)))))</f>
        <v>0</v>
      </c>
      <c r="AN21" s="27" t="n">
        <f aca="false">IF(COUNT('Arroz irrigado'!$E19:$Z19)=0,0,MAX(0,IF((AN$6-$E$3)&lt;1,0,IFERROR(LOOKUP(2,1/('Arroz irrigado'!$E19:INDEX('Arroz irrigado'!$E19:$Z19,MIN(AN$6-$E$3,22))&lt;&gt;""),'Arroz irrigado'!$E19:INDEX('Arroz irrigado'!$E19:$Z19,MIN(AN$6-$E$3,22))),0))-IF($G$2,0,IF((AN$6-$G$3)&lt;1,0,IFERROR(LOOKUP(2,1/('Arroz irrigado'!$E19:INDEX('Arroz irrigado'!$E19:$Z19,MIN(AN$6-$G$3,22))&lt;&gt;""),'Arroz irrigado'!$E19:INDEX('Arroz irrigado'!$E19:$Z19,MIN(AN$6-$G$3,22))),0)))))</f>
        <v>0</v>
      </c>
      <c r="AO21" s="27" t="n">
        <f aca="false">IF(COUNT('Arroz irrigado'!$E19:$Z19)=0,0,MAX(0,IF((AO$6-$E$3)&lt;1,0,IFERROR(LOOKUP(2,1/('Arroz irrigado'!$E19:INDEX('Arroz irrigado'!$E19:$Z19,MIN(AO$6-$E$3,22))&lt;&gt;""),'Arroz irrigado'!$E19:INDEX('Arroz irrigado'!$E19:$Z19,MIN(AO$6-$E$3,22))),0))-IF($G$2,0,IF((AO$6-$G$3)&lt;1,0,IFERROR(LOOKUP(2,1/('Arroz irrigado'!$E19:INDEX('Arroz irrigado'!$E19:$Z19,MIN(AO$6-$G$3,22))&lt;&gt;""),'Arroz irrigado'!$E19:INDEX('Arroz irrigado'!$E19:$Z19,MIN(AO$6-$G$3,22))),0)))))</f>
        <v>0</v>
      </c>
      <c r="AP21" s="27" t="n">
        <f aca="false">IF(COUNT('Arroz irrigado'!$E19:$Z19)=0,0,MAX(0,IF((AP$6-$E$3)&lt;1,0,IFERROR(LOOKUP(2,1/('Arroz irrigado'!$E19:INDEX('Arroz irrigado'!$E19:$Z19,MIN(AP$6-$E$3,22))&lt;&gt;""),'Arroz irrigado'!$E19:INDEX('Arroz irrigado'!$E19:$Z19,MIN(AP$6-$E$3,22))),0))-IF($G$2,0,IF((AP$6-$G$3)&lt;1,0,IFERROR(LOOKUP(2,1/('Arroz irrigado'!$E19:INDEX('Arroz irrigado'!$E19:$Z19,MIN(AP$6-$G$3,22))&lt;&gt;""),'Arroz irrigado'!$E19:INDEX('Arroz irrigado'!$E19:$Z19,MIN(AP$6-$G$3,22))),0)))))</f>
        <v>0</v>
      </c>
      <c r="AQ21" s="27" t="n">
        <f aca="false">IF(COUNT('Arroz irrigado'!$E19:$Z19)=0,0,MAX(0,IF((AQ$6-$E$3)&lt;1,0,IFERROR(LOOKUP(2,1/('Arroz irrigado'!$E19:INDEX('Arroz irrigado'!$E19:$Z19,MIN(AQ$6-$E$3,22))&lt;&gt;""),'Arroz irrigado'!$E19:INDEX('Arroz irrigado'!$E19:$Z19,MIN(AQ$6-$E$3,22))),0))-IF($G$2,0,IF((AQ$6-$G$3)&lt;1,0,IFERROR(LOOKUP(2,1/('Arroz irrigado'!$E19:INDEX('Arroz irrigado'!$E19:$Z19,MIN(AQ$6-$G$3,22))&lt;&gt;""),'Arroz irrigado'!$E19:INDEX('Arroz irrigado'!$E19:$Z19,MIN(AQ$6-$G$3,22))),0)))))</f>
        <v>0</v>
      </c>
      <c r="AR21" s="27" t="n">
        <f aca="false">IF(COUNT('Arroz irrigado'!$E19:$Z19)=0,0,MAX(0,IF((AR$6-$E$3)&lt;1,0,IFERROR(LOOKUP(2,1/('Arroz irrigado'!$E19:INDEX('Arroz irrigado'!$E19:$Z19,MIN(AR$6-$E$3,22))&lt;&gt;""),'Arroz irrigado'!$E19:INDEX('Arroz irrigado'!$E19:$Z19,MIN(AR$6-$E$3,22))),0))-IF($G$2,0,IF((AR$6-$G$3)&lt;1,0,IFERROR(LOOKUP(2,1/('Arroz irrigado'!$E19:INDEX('Arroz irrigado'!$E19:$Z19,MIN(AR$6-$G$3,22))&lt;&gt;""),'Arroz irrigado'!$E19:INDEX('Arroz irrigado'!$E19:$Z19,MIN(AR$6-$G$3,22))),0)))))</f>
        <v>0</v>
      </c>
      <c r="AS21" s="27" t="n">
        <f aca="false">IF(COUNT('Arroz irrigado'!$E19:$Z19)=0,0,MAX(0,IF((AS$6-$E$3)&lt;1,0,IFERROR(LOOKUP(2,1/('Arroz irrigado'!$E19:INDEX('Arroz irrigado'!$E19:$Z19,MIN(AS$6-$E$3,22))&lt;&gt;""),'Arroz irrigado'!$E19:INDEX('Arroz irrigado'!$E19:$Z19,MIN(AS$6-$E$3,22))),0))-IF($G$2,0,IF((AS$6-$G$3)&lt;1,0,IFERROR(LOOKUP(2,1/('Arroz irrigado'!$E19:INDEX('Arroz irrigado'!$E19:$Z19,MIN(AS$6-$G$3,22))&lt;&gt;""),'Arroz irrigado'!$E19:INDEX('Arroz irrigado'!$E19:$Z19,MIN(AS$6-$G$3,22))),0)))))</f>
        <v>0</v>
      </c>
      <c r="AT21" s="27" t="n">
        <f aca="false">IF(COUNT('Arroz irrigado'!$E19:$Z19)=0,0,MAX(0,IF((AT$6-$E$3)&lt;1,0,IFERROR(LOOKUP(2,1/('Arroz irrigado'!$E19:INDEX('Arroz irrigado'!$E19:$Z19,MIN(AT$6-$E$3,22))&lt;&gt;""),'Arroz irrigado'!$E19:INDEX('Arroz irrigado'!$E19:$Z19,MIN(AT$6-$E$3,22))),0))-IF($G$2,0,IF((AT$6-$G$3)&lt;1,0,IFERROR(LOOKUP(2,1/('Arroz irrigado'!$E19:INDEX('Arroz irrigado'!$E19:$Z19,MIN(AT$6-$G$3,22))&lt;&gt;""),'Arroz irrigado'!$E19:INDEX('Arroz irrigado'!$E19:$Z19,MIN(AT$6-$G$3,22))),0)))))</f>
        <v>0</v>
      </c>
      <c r="AU21" s="27" t="n">
        <f aca="false">IF(COUNT('Arroz irrigado'!$E19:$Z19)=0,0,MAX(0,IF((AU$6-$E$3)&lt;1,0,IFERROR(LOOKUP(2,1/('Arroz irrigado'!$E19:INDEX('Arroz irrigado'!$E19:$Z19,MIN(AU$6-$E$3,22))&lt;&gt;""),'Arroz irrigado'!$E19:INDEX('Arroz irrigado'!$E19:$Z19,MIN(AU$6-$E$3,22))),0))-IF($G$2,0,IF((AU$6-$G$3)&lt;1,0,IFERROR(LOOKUP(2,1/('Arroz irrigado'!$E19:INDEX('Arroz irrigado'!$E19:$Z19,MIN(AU$6-$G$3,22))&lt;&gt;""),'Arroz irrigado'!$E19:INDEX('Arroz irrigado'!$E19:$Z19,MIN(AU$6-$G$3,22))),0)))))</f>
        <v>0</v>
      </c>
      <c r="AV21" s="27" t="n">
        <f aca="false">IF(COUNT('Arroz irrigado'!$E19:$Z19)=0,0,MAX(0,IF((AV$6-$E$3)&lt;1,0,IFERROR(LOOKUP(2,1/('Arroz irrigado'!$E19:INDEX('Arroz irrigado'!$E19:$Z19,MIN(AV$6-$E$3,22))&lt;&gt;""),'Arroz irrigado'!$E19:INDEX('Arroz irrigado'!$E19:$Z19,MIN(AV$6-$E$3,22))),0))-IF($G$2,0,IF((AV$6-$G$3)&lt;1,0,IFERROR(LOOKUP(2,1/('Arroz irrigado'!$E19:INDEX('Arroz irrigado'!$E19:$Z19,MIN(AV$6-$G$3,22))&lt;&gt;""),'Arroz irrigado'!$E19:INDEX('Arroz irrigado'!$E19:$Z19,MIN(AV$6-$G$3,22))),0)))))</f>
        <v>0</v>
      </c>
      <c r="AW21" s="27" t="n">
        <f aca="false">IF(COUNT('Arroz irrigado'!$E19:$Z19)=0,0,MAX(0,IF((AW$6-$E$3)&lt;1,0,IFERROR(LOOKUP(2,1/('Arroz irrigado'!$E19:INDEX('Arroz irrigado'!$E19:$Z19,MIN(AW$6-$E$3,22))&lt;&gt;""),'Arroz irrigado'!$E19:INDEX('Arroz irrigado'!$E19:$Z19,MIN(AW$6-$E$3,22))),0))-IF($G$2,0,IF((AW$6-$G$3)&lt;1,0,IFERROR(LOOKUP(2,1/('Arroz irrigado'!$E19:INDEX('Arroz irrigado'!$E19:$Z19,MIN(AW$6-$G$3,22))&lt;&gt;""),'Arroz irrigado'!$E19:INDEX('Arroz irrigado'!$E19:$Z19,MIN(AW$6-$G$3,22))),0)))))</f>
        <v>0</v>
      </c>
      <c r="AX21" s="27" t="n">
        <f aca="false">IF(COUNT('Arroz irrigado'!$E19:$Z19)=0,0,MAX(0,IF((AX$6-$E$3)&lt;1,0,IFERROR(LOOKUP(2,1/('Arroz irrigado'!$E19:INDEX('Arroz irrigado'!$E19:$Z19,MIN(AX$6-$E$3,22))&lt;&gt;""),'Arroz irrigado'!$E19:INDEX('Arroz irrigado'!$E19:$Z19,MIN(AX$6-$E$3,22))),0))-IF($G$2,0,IF((AX$6-$G$3)&lt;1,0,IFERROR(LOOKUP(2,1/('Arroz irrigado'!$E19:INDEX('Arroz irrigado'!$E19:$Z19,MIN(AX$6-$G$3,22))&lt;&gt;""),'Arroz irrigado'!$E19:INDEX('Arroz irrigado'!$E19:$Z19,MIN(AX$6-$G$3,22))),0)))))</f>
        <v>0</v>
      </c>
      <c r="AY21" s="27" t="n">
        <f aca="false">IF(COUNT('Arroz irrigado'!$E19:$Z19)=0,0,MAX(0,IF((AY$6-$E$3)&lt;1,0,IFERROR(LOOKUP(2,1/('Arroz irrigado'!$E19:INDEX('Arroz irrigado'!$E19:$Z19,MIN(AY$6-$E$3,22))&lt;&gt;""),'Arroz irrigado'!$E19:INDEX('Arroz irrigado'!$E19:$Z19,MIN(AY$6-$E$3,22))),0))-IF($G$2,0,IF((AY$6-$G$3)&lt;1,0,IFERROR(LOOKUP(2,1/('Arroz irrigado'!$E19:INDEX('Arroz irrigado'!$E19:$Z19,MIN(AY$6-$G$3,22))&lt;&gt;""),'Arroz irrigado'!$E19:INDEX('Arroz irrigado'!$E19:$Z19,MIN(AY$6-$G$3,22))),0)))))</f>
        <v>0</v>
      </c>
      <c r="AZ21" s="27" t="n">
        <f aca="false">IF(COUNT('Arroz irrigado'!$E19:$Z19)=0,0,MAX(0,IF((AZ$6-$E$3)&lt;1,0,IFERROR(LOOKUP(2,1/('Arroz irrigado'!$E19:INDEX('Arroz irrigado'!$E19:$Z19,MIN(AZ$6-$E$3,22))&lt;&gt;""),'Arroz irrigado'!$E19:INDEX('Arroz irrigado'!$E19:$Z19,MIN(AZ$6-$E$3,22))),0))-IF($G$2,0,IF((AZ$6-$G$3)&lt;1,0,IFERROR(LOOKUP(2,1/('Arroz irrigado'!$E19:INDEX('Arroz irrigado'!$E19:$Z19,MIN(AZ$6-$G$3,22))&lt;&gt;""),'Arroz irrigado'!$E19:INDEX('Arroz irrigado'!$E19:$Z19,MIN(AZ$6-$G$3,22))),0)))))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IF(COUNT('Arroz irrigado'!$E20:$Z20)&gt;0,N('Arroz irrigado'!$D20),0)</f>
        <v>0</v>
      </c>
      <c r="E22" s="27" t="n">
        <f aca="false">IF(COUNT('Arroz irrigado'!$E20:$Z20)=0,0,MAX(0,IF((E$6-$E$3)&lt;1,0,IFERROR(LOOKUP(2,1/('Arroz irrigado'!$E20:INDEX('Arroz irrigado'!$E20:$Z20,MIN(E$6-$E$3,22))&lt;&gt;""),'Arroz irrigado'!$E20:INDEX('Arroz irrigado'!$E20:$Z20,MIN(E$6-$E$3,22))),0))-IF($G$2,0,IF((E$6-$G$3)&lt;1,0,IFERROR(LOOKUP(2,1/('Arroz irrigado'!$E20:INDEX('Arroz irrigado'!$E20:$Z20,MIN(E$6-$G$3,22))&lt;&gt;""),'Arroz irrigado'!$E20:INDEX('Arroz irrigado'!$E20:$Z20,MIN(E$6-$G$3,22))),0)))))</f>
        <v>0</v>
      </c>
      <c r="F22" s="27" t="n">
        <f aca="false">IF(COUNT('Arroz irrigado'!$E20:$Z20)=0,0,MAX(0,IF((F$6-$E$3)&lt;1,0,IFERROR(LOOKUP(2,1/('Arroz irrigado'!$E20:INDEX('Arroz irrigado'!$E20:$Z20,MIN(F$6-$E$3,22))&lt;&gt;""),'Arroz irrigado'!$E20:INDEX('Arroz irrigado'!$E20:$Z20,MIN(F$6-$E$3,22))),0))-IF($G$2,0,IF((F$6-$G$3)&lt;1,0,IFERROR(LOOKUP(2,1/('Arroz irrigado'!$E20:INDEX('Arroz irrigado'!$E20:$Z20,MIN(F$6-$G$3,22))&lt;&gt;""),'Arroz irrigado'!$E20:INDEX('Arroz irrigado'!$E20:$Z20,MIN(F$6-$G$3,22))),0)))))</f>
        <v>0</v>
      </c>
      <c r="G22" s="27" t="n">
        <f aca="false">IF(COUNT('Arroz irrigado'!$E20:$Z20)=0,0,MAX(0,IF((G$6-$E$3)&lt;1,0,IFERROR(LOOKUP(2,1/('Arroz irrigado'!$E20:INDEX('Arroz irrigado'!$E20:$Z20,MIN(G$6-$E$3,22))&lt;&gt;""),'Arroz irrigado'!$E20:INDEX('Arroz irrigado'!$E20:$Z20,MIN(G$6-$E$3,22))),0))-IF($G$2,0,IF((G$6-$G$3)&lt;1,0,IFERROR(LOOKUP(2,1/('Arroz irrigado'!$E20:INDEX('Arroz irrigado'!$E20:$Z20,MIN(G$6-$G$3,22))&lt;&gt;""),'Arroz irrigado'!$E20:INDEX('Arroz irrigado'!$E20:$Z20,MIN(G$6-$G$3,22))),0)))))</f>
        <v>0</v>
      </c>
      <c r="H22" s="27" t="n">
        <f aca="false">IF(COUNT('Arroz irrigado'!$E20:$Z20)=0,0,MAX(0,IF((H$6-$E$3)&lt;1,0,IFERROR(LOOKUP(2,1/('Arroz irrigado'!$E20:INDEX('Arroz irrigado'!$E20:$Z20,MIN(H$6-$E$3,22))&lt;&gt;""),'Arroz irrigado'!$E20:INDEX('Arroz irrigado'!$E20:$Z20,MIN(H$6-$E$3,22))),0))-IF($G$2,0,IF((H$6-$G$3)&lt;1,0,IFERROR(LOOKUP(2,1/('Arroz irrigado'!$E20:INDEX('Arroz irrigado'!$E20:$Z20,MIN(H$6-$G$3,22))&lt;&gt;""),'Arroz irrigado'!$E20:INDEX('Arroz irrigado'!$E20:$Z20,MIN(H$6-$G$3,22))),0)))))</f>
        <v>0</v>
      </c>
      <c r="I22" s="27" t="n">
        <f aca="false">IF(COUNT('Arroz irrigado'!$E20:$Z20)=0,0,MAX(0,IF((I$6-$E$3)&lt;1,0,IFERROR(LOOKUP(2,1/('Arroz irrigado'!$E20:INDEX('Arroz irrigado'!$E20:$Z20,MIN(I$6-$E$3,22))&lt;&gt;""),'Arroz irrigado'!$E20:INDEX('Arroz irrigado'!$E20:$Z20,MIN(I$6-$E$3,22))),0))-IF($G$2,0,IF((I$6-$G$3)&lt;1,0,IFERROR(LOOKUP(2,1/('Arroz irrigado'!$E20:INDEX('Arroz irrigado'!$E20:$Z20,MIN(I$6-$G$3,22))&lt;&gt;""),'Arroz irrigado'!$E20:INDEX('Arroz irrigado'!$E20:$Z20,MIN(I$6-$G$3,22))),0)))))</f>
        <v>0</v>
      </c>
      <c r="J22" s="27" t="n">
        <f aca="false">IF(COUNT('Arroz irrigado'!$E20:$Z20)=0,0,MAX(0,IF((J$6-$E$3)&lt;1,0,IFERROR(LOOKUP(2,1/('Arroz irrigado'!$E20:INDEX('Arroz irrigado'!$E20:$Z20,MIN(J$6-$E$3,22))&lt;&gt;""),'Arroz irrigado'!$E20:INDEX('Arroz irrigado'!$E20:$Z20,MIN(J$6-$E$3,22))),0))-IF($G$2,0,IF((J$6-$G$3)&lt;1,0,IFERROR(LOOKUP(2,1/('Arroz irrigado'!$E20:INDEX('Arroz irrigado'!$E20:$Z20,MIN(J$6-$G$3,22))&lt;&gt;""),'Arroz irrigado'!$E20:INDEX('Arroz irrigado'!$E20:$Z20,MIN(J$6-$G$3,22))),0)))))</f>
        <v>0</v>
      </c>
      <c r="K22" s="27" t="n">
        <f aca="false">IF(COUNT('Arroz irrigado'!$E20:$Z20)=0,0,MAX(0,IF((K$6-$E$3)&lt;1,0,IFERROR(LOOKUP(2,1/('Arroz irrigado'!$E20:INDEX('Arroz irrigado'!$E20:$Z20,MIN(K$6-$E$3,22))&lt;&gt;""),'Arroz irrigado'!$E20:INDEX('Arroz irrigado'!$E20:$Z20,MIN(K$6-$E$3,22))),0))-IF($G$2,0,IF((K$6-$G$3)&lt;1,0,IFERROR(LOOKUP(2,1/('Arroz irrigado'!$E20:INDEX('Arroz irrigado'!$E20:$Z20,MIN(K$6-$G$3,22))&lt;&gt;""),'Arroz irrigado'!$E20:INDEX('Arroz irrigado'!$E20:$Z20,MIN(K$6-$G$3,22))),0)))))</f>
        <v>0</v>
      </c>
      <c r="L22" s="27" t="n">
        <f aca="false">IF(COUNT('Arroz irrigado'!$E20:$Z20)=0,0,MAX(0,IF((L$6-$E$3)&lt;1,0,IFERROR(LOOKUP(2,1/('Arroz irrigado'!$E20:INDEX('Arroz irrigado'!$E20:$Z20,MIN(L$6-$E$3,22))&lt;&gt;""),'Arroz irrigado'!$E20:INDEX('Arroz irrigado'!$E20:$Z20,MIN(L$6-$E$3,22))),0))-IF($G$2,0,IF((L$6-$G$3)&lt;1,0,IFERROR(LOOKUP(2,1/('Arroz irrigado'!$E20:INDEX('Arroz irrigado'!$E20:$Z20,MIN(L$6-$G$3,22))&lt;&gt;""),'Arroz irrigado'!$E20:INDEX('Arroz irrigado'!$E20:$Z20,MIN(L$6-$G$3,22))),0)))))</f>
        <v>0</v>
      </c>
      <c r="M22" s="27" t="n">
        <f aca="false">IF(COUNT('Arroz irrigado'!$E20:$Z20)=0,0,MAX(0,IF((M$6-$E$3)&lt;1,0,IFERROR(LOOKUP(2,1/('Arroz irrigado'!$E20:INDEX('Arroz irrigado'!$E20:$Z20,MIN(M$6-$E$3,22))&lt;&gt;""),'Arroz irrigado'!$E20:INDEX('Arroz irrigado'!$E20:$Z20,MIN(M$6-$E$3,22))),0))-IF($G$2,0,IF((M$6-$G$3)&lt;1,0,IFERROR(LOOKUP(2,1/('Arroz irrigado'!$E20:INDEX('Arroz irrigado'!$E20:$Z20,MIN(M$6-$G$3,22))&lt;&gt;""),'Arroz irrigado'!$E20:INDEX('Arroz irrigado'!$E20:$Z20,MIN(M$6-$G$3,22))),0)))))</f>
        <v>0</v>
      </c>
      <c r="N22" s="27" t="n">
        <f aca="false">IF(COUNT('Arroz irrigado'!$E20:$Z20)=0,0,MAX(0,IF((N$6-$E$3)&lt;1,0,IFERROR(LOOKUP(2,1/('Arroz irrigado'!$E20:INDEX('Arroz irrigado'!$E20:$Z20,MIN(N$6-$E$3,22))&lt;&gt;""),'Arroz irrigado'!$E20:INDEX('Arroz irrigado'!$E20:$Z20,MIN(N$6-$E$3,22))),0))-IF($G$2,0,IF((N$6-$G$3)&lt;1,0,IFERROR(LOOKUP(2,1/('Arroz irrigado'!$E20:INDEX('Arroz irrigado'!$E20:$Z20,MIN(N$6-$G$3,22))&lt;&gt;""),'Arroz irrigado'!$E20:INDEX('Arroz irrigado'!$E20:$Z20,MIN(N$6-$G$3,22))),0)))))</f>
        <v>0</v>
      </c>
      <c r="O22" s="27" t="n">
        <f aca="false">IF(COUNT('Arroz irrigado'!$E20:$Z20)=0,0,MAX(0,IF((O$6-$E$3)&lt;1,0,IFERROR(LOOKUP(2,1/('Arroz irrigado'!$E20:INDEX('Arroz irrigado'!$E20:$Z20,MIN(O$6-$E$3,22))&lt;&gt;""),'Arroz irrigado'!$E20:INDEX('Arroz irrigado'!$E20:$Z20,MIN(O$6-$E$3,22))),0))-IF($G$2,0,IF((O$6-$G$3)&lt;1,0,IFERROR(LOOKUP(2,1/('Arroz irrigado'!$E20:INDEX('Arroz irrigado'!$E20:$Z20,MIN(O$6-$G$3,22))&lt;&gt;""),'Arroz irrigado'!$E20:INDEX('Arroz irrigado'!$E20:$Z20,MIN(O$6-$G$3,22))),0)))))</f>
        <v>0</v>
      </c>
      <c r="P22" s="27" t="n">
        <f aca="false">IF(COUNT('Arroz irrigado'!$E20:$Z20)=0,0,MAX(0,IF((P$6-$E$3)&lt;1,0,IFERROR(LOOKUP(2,1/('Arroz irrigado'!$E20:INDEX('Arroz irrigado'!$E20:$Z20,MIN(P$6-$E$3,22))&lt;&gt;""),'Arroz irrigado'!$E20:INDEX('Arroz irrigado'!$E20:$Z20,MIN(P$6-$E$3,22))),0))-IF($G$2,0,IF((P$6-$G$3)&lt;1,0,IFERROR(LOOKUP(2,1/('Arroz irrigado'!$E20:INDEX('Arroz irrigado'!$E20:$Z20,MIN(P$6-$G$3,22))&lt;&gt;""),'Arroz irrigado'!$E20:INDEX('Arroz irrigado'!$E20:$Z20,MIN(P$6-$G$3,22))),0)))))</f>
        <v>0</v>
      </c>
      <c r="Q22" s="27" t="n">
        <f aca="false">IF(COUNT('Arroz irrigado'!$E20:$Z20)=0,0,MAX(0,IF((Q$6-$E$3)&lt;1,0,IFERROR(LOOKUP(2,1/('Arroz irrigado'!$E20:INDEX('Arroz irrigado'!$E20:$Z20,MIN(Q$6-$E$3,22))&lt;&gt;""),'Arroz irrigado'!$E20:INDEX('Arroz irrigado'!$E20:$Z20,MIN(Q$6-$E$3,22))),0))-IF($G$2,0,IF((Q$6-$G$3)&lt;1,0,IFERROR(LOOKUP(2,1/('Arroz irrigado'!$E20:INDEX('Arroz irrigado'!$E20:$Z20,MIN(Q$6-$G$3,22))&lt;&gt;""),'Arroz irrigado'!$E20:INDEX('Arroz irrigado'!$E20:$Z20,MIN(Q$6-$G$3,22))),0)))))</f>
        <v>0</v>
      </c>
      <c r="R22" s="27" t="n">
        <f aca="false">IF(COUNT('Arroz irrigado'!$E20:$Z20)=0,0,MAX(0,IF((R$6-$E$3)&lt;1,0,IFERROR(LOOKUP(2,1/('Arroz irrigado'!$E20:INDEX('Arroz irrigado'!$E20:$Z20,MIN(R$6-$E$3,22))&lt;&gt;""),'Arroz irrigado'!$E20:INDEX('Arroz irrigado'!$E20:$Z20,MIN(R$6-$E$3,22))),0))-IF($G$2,0,IF((R$6-$G$3)&lt;1,0,IFERROR(LOOKUP(2,1/('Arroz irrigado'!$E20:INDEX('Arroz irrigado'!$E20:$Z20,MIN(R$6-$G$3,22))&lt;&gt;""),'Arroz irrigado'!$E20:INDEX('Arroz irrigado'!$E20:$Z20,MIN(R$6-$G$3,22))),0)))))</f>
        <v>0</v>
      </c>
      <c r="S22" s="27" t="n">
        <f aca="false">IF(COUNT('Arroz irrigado'!$E20:$Z20)=0,0,MAX(0,IF((S$6-$E$3)&lt;1,0,IFERROR(LOOKUP(2,1/('Arroz irrigado'!$E20:INDEX('Arroz irrigado'!$E20:$Z20,MIN(S$6-$E$3,22))&lt;&gt;""),'Arroz irrigado'!$E20:INDEX('Arroz irrigado'!$E20:$Z20,MIN(S$6-$E$3,22))),0))-IF($G$2,0,IF((S$6-$G$3)&lt;1,0,IFERROR(LOOKUP(2,1/('Arroz irrigado'!$E20:INDEX('Arroz irrigado'!$E20:$Z20,MIN(S$6-$G$3,22))&lt;&gt;""),'Arroz irrigado'!$E20:INDEX('Arroz irrigado'!$E20:$Z20,MIN(S$6-$G$3,22))),0)))))</f>
        <v>0</v>
      </c>
      <c r="T22" s="27" t="n">
        <f aca="false">IF(COUNT('Arroz irrigado'!$E20:$Z20)=0,0,MAX(0,IF((T$6-$E$3)&lt;1,0,IFERROR(LOOKUP(2,1/('Arroz irrigado'!$E20:INDEX('Arroz irrigado'!$E20:$Z20,MIN(T$6-$E$3,22))&lt;&gt;""),'Arroz irrigado'!$E20:INDEX('Arroz irrigado'!$E20:$Z20,MIN(T$6-$E$3,22))),0))-IF($G$2,0,IF((T$6-$G$3)&lt;1,0,IFERROR(LOOKUP(2,1/('Arroz irrigado'!$E20:INDEX('Arroz irrigado'!$E20:$Z20,MIN(T$6-$G$3,22))&lt;&gt;""),'Arroz irrigado'!$E20:INDEX('Arroz irrigado'!$E20:$Z20,MIN(T$6-$G$3,22))),0)))))</f>
        <v>0</v>
      </c>
      <c r="U22" s="27" t="n">
        <f aca="false">IF(COUNT('Arroz irrigado'!$E20:$Z20)=0,0,MAX(0,IF((U$6-$E$3)&lt;1,0,IFERROR(LOOKUP(2,1/('Arroz irrigado'!$E20:INDEX('Arroz irrigado'!$E20:$Z20,MIN(U$6-$E$3,22))&lt;&gt;""),'Arroz irrigado'!$E20:INDEX('Arroz irrigado'!$E20:$Z20,MIN(U$6-$E$3,22))),0))-IF($G$2,0,IF((U$6-$G$3)&lt;1,0,IFERROR(LOOKUP(2,1/('Arroz irrigado'!$E20:INDEX('Arroz irrigado'!$E20:$Z20,MIN(U$6-$G$3,22))&lt;&gt;""),'Arroz irrigado'!$E20:INDEX('Arroz irrigado'!$E20:$Z20,MIN(U$6-$G$3,22))),0)))))</f>
        <v>0</v>
      </c>
      <c r="V22" s="27" t="n">
        <f aca="false">IF(COUNT('Arroz irrigado'!$E20:$Z20)=0,0,MAX(0,IF((V$6-$E$3)&lt;1,0,IFERROR(LOOKUP(2,1/('Arroz irrigado'!$E20:INDEX('Arroz irrigado'!$E20:$Z20,MIN(V$6-$E$3,22))&lt;&gt;""),'Arroz irrigado'!$E20:INDEX('Arroz irrigado'!$E20:$Z20,MIN(V$6-$E$3,22))),0))-IF($G$2,0,IF((V$6-$G$3)&lt;1,0,IFERROR(LOOKUP(2,1/('Arroz irrigado'!$E20:INDEX('Arroz irrigado'!$E20:$Z20,MIN(V$6-$G$3,22))&lt;&gt;""),'Arroz irrigado'!$E20:INDEX('Arroz irrigado'!$E20:$Z20,MIN(V$6-$G$3,22))),0)))))</f>
        <v>0</v>
      </c>
      <c r="W22" s="27" t="n">
        <f aca="false">IF(COUNT('Arroz irrigado'!$E20:$Z20)=0,0,MAX(0,IF((W$6-$E$3)&lt;1,0,IFERROR(LOOKUP(2,1/('Arroz irrigado'!$E20:INDEX('Arroz irrigado'!$E20:$Z20,MIN(W$6-$E$3,22))&lt;&gt;""),'Arroz irrigado'!$E20:INDEX('Arroz irrigado'!$E20:$Z20,MIN(W$6-$E$3,22))),0))-IF($G$2,0,IF((W$6-$G$3)&lt;1,0,IFERROR(LOOKUP(2,1/('Arroz irrigado'!$E20:INDEX('Arroz irrigado'!$E20:$Z20,MIN(W$6-$G$3,22))&lt;&gt;""),'Arroz irrigado'!$E20:INDEX('Arroz irrigado'!$E20:$Z20,MIN(W$6-$G$3,22))),0)))))</f>
        <v>0</v>
      </c>
      <c r="X22" s="27" t="n">
        <f aca="false">IF(COUNT('Arroz irrigado'!$E20:$Z20)=0,0,MAX(0,IF((X$6-$E$3)&lt;1,0,IFERROR(LOOKUP(2,1/('Arroz irrigado'!$E20:INDEX('Arroz irrigado'!$E20:$Z20,MIN(X$6-$E$3,22))&lt;&gt;""),'Arroz irrigado'!$E20:INDEX('Arroz irrigado'!$E20:$Z20,MIN(X$6-$E$3,22))),0))-IF($G$2,0,IF((X$6-$G$3)&lt;1,0,IFERROR(LOOKUP(2,1/('Arroz irrigado'!$E20:INDEX('Arroz irrigado'!$E20:$Z20,MIN(X$6-$G$3,22))&lt;&gt;""),'Arroz irrigado'!$E20:INDEX('Arroz irrigado'!$E20:$Z20,MIN(X$6-$G$3,22))),0)))))</f>
        <v>0</v>
      </c>
      <c r="Y22" s="27" t="n">
        <f aca="false">IF(COUNT('Arroz irrigado'!$E20:$Z20)=0,0,MAX(0,IF((Y$6-$E$3)&lt;1,0,IFERROR(LOOKUP(2,1/('Arroz irrigado'!$E20:INDEX('Arroz irrigado'!$E20:$Z20,MIN(Y$6-$E$3,22))&lt;&gt;""),'Arroz irrigado'!$E20:INDEX('Arroz irrigado'!$E20:$Z20,MIN(Y$6-$E$3,22))),0))-IF($G$2,0,IF((Y$6-$G$3)&lt;1,0,IFERROR(LOOKUP(2,1/('Arroz irrigado'!$E20:INDEX('Arroz irrigado'!$E20:$Z20,MIN(Y$6-$G$3,22))&lt;&gt;""),'Arroz irrigado'!$E20:INDEX('Arroz irrigado'!$E20:$Z20,MIN(Y$6-$G$3,22))),0)))))</f>
        <v>0</v>
      </c>
      <c r="Z22" s="27" t="n">
        <f aca="false">IF(COUNT('Arroz irrigado'!$E20:$Z20)=0,0,MAX(0,IF((Z$6-$E$3)&lt;1,0,IFERROR(LOOKUP(2,1/('Arroz irrigado'!$E20:INDEX('Arroz irrigado'!$E20:$Z20,MIN(Z$6-$E$3,22))&lt;&gt;""),'Arroz irrigado'!$E20:INDEX('Arroz irrigado'!$E20:$Z20,MIN(Z$6-$E$3,22))),0))-IF($G$2,0,IF((Z$6-$G$3)&lt;1,0,IFERROR(LOOKUP(2,1/('Arroz irrigado'!$E20:INDEX('Arroz irrigado'!$E20:$Z20,MIN(Z$6-$G$3,22))&lt;&gt;""),'Arroz irrigado'!$E20:INDEX('Arroz irrigado'!$E20:$Z20,MIN(Z$6-$G$3,22))),0)))))</f>
        <v>0</v>
      </c>
      <c r="AA22" s="27" t="n">
        <f aca="false">IF(COUNT('Arroz irrigado'!$E20:$Z20)=0,0,MAX(0,IF((AA$6-$E$3)&lt;1,0,IFERROR(LOOKUP(2,1/('Arroz irrigado'!$E20:INDEX('Arroz irrigado'!$E20:$Z20,MIN(AA$6-$E$3,22))&lt;&gt;""),'Arroz irrigado'!$E20:INDEX('Arroz irrigado'!$E20:$Z20,MIN(AA$6-$E$3,22))),0))-IF($G$2,0,IF((AA$6-$G$3)&lt;1,0,IFERROR(LOOKUP(2,1/('Arroz irrigado'!$E20:INDEX('Arroz irrigado'!$E20:$Z20,MIN(AA$6-$G$3,22))&lt;&gt;""),'Arroz irrigado'!$E20:INDEX('Arroz irrigado'!$E20:$Z20,MIN(AA$6-$G$3,22))),0)))))</f>
        <v>0</v>
      </c>
      <c r="AB22" s="27" t="n">
        <f aca="false">IF(COUNT('Arroz irrigado'!$E20:$Z20)=0,0,MAX(0,IF((AB$6-$E$3)&lt;1,0,IFERROR(LOOKUP(2,1/('Arroz irrigado'!$E20:INDEX('Arroz irrigado'!$E20:$Z20,MIN(AB$6-$E$3,22))&lt;&gt;""),'Arroz irrigado'!$E20:INDEX('Arroz irrigado'!$E20:$Z20,MIN(AB$6-$E$3,22))),0))-IF($G$2,0,IF((AB$6-$G$3)&lt;1,0,IFERROR(LOOKUP(2,1/('Arroz irrigado'!$E20:INDEX('Arroz irrigado'!$E20:$Z20,MIN(AB$6-$G$3,22))&lt;&gt;""),'Arroz irrigado'!$E20:INDEX('Arroz irrigado'!$E20:$Z20,MIN(AB$6-$G$3,22))),0)))))</f>
        <v>0</v>
      </c>
      <c r="AC22" s="27" t="n">
        <f aca="false">IF(COUNT('Arroz irrigado'!$E20:$Z20)=0,0,MAX(0,IF((AC$6-$E$3)&lt;1,0,IFERROR(LOOKUP(2,1/('Arroz irrigado'!$E20:INDEX('Arroz irrigado'!$E20:$Z20,MIN(AC$6-$E$3,22))&lt;&gt;""),'Arroz irrigado'!$E20:INDEX('Arroz irrigado'!$E20:$Z20,MIN(AC$6-$E$3,22))),0))-IF($G$2,0,IF((AC$6-$G$3)&lt;1,0,IFERROR(LOOKUP(2,1/('Arroz irrigado'!$E20:INDEX('Arroz irrigado'!$E20:$Z20,MIN(AC$6-$G$3,22))&lt;&gt;""),'Arroz irrigado'!$E20:INDEX('Arroz irrigado'!$E20:$Z20,MIN(AC$6-$G$3,22))),0)))))</f>
        <v>0</v>
      </c>
      <c r="AD22" s="27" t="n">
        <f aca="false">IF(COUNT('Arroz irrigado'!$E20:$Z20)=0,0,MAX(0,IF((AD$6-$E$3)&lt;1,0,IFERROR(LOOKUP(2,1/('Arroz irrigado'!$E20:INDEX('Arroz irrigado'!$E20:$Z20,MIN(AD$6-$E$3,22))&lt;&gt;""),'Arroz irrigado'!$E20:INDEX('Arroz irrigado'!$E20:$Z20,MIN(AD$6-$E$3,22))),0))-IF($G$2,0,IF((AD$6-$G$3)&lt;1,0,IFERROR(LOOKUP(2,1/('Arroz irrigado'!$E20:INDEX('Arroz irrigado'!$E20:$Z20,MIN(AD$6-$G$3,22))&lt;&gt;""),'Arroz irrigado'!$E20:INDEX('Arroz irrigado'!$E20:$Z20,MIN(AD$6-$G$3,22))),0)))))</f>
        <v>0</v>
      </c>
      <c r="AE22" s="27" t="n">
        <f aca="false">IF(COUNT('Arroz irrigado'!$E20:$Z20)=0,0,MAX(0,IF((AE$6-$E$3)&lt;1,0,IFERROR(LOOKUP(2,1/('Arroz irrigado'!$E20:INDEX('Arroz irrigado'!$E20:$Z20,MIN(AE$6-$E$3,22))&lt;&gt;""),'Arroz irrigado'!$E20:INDEX('Arroz irrigado'!$E20:$Z20,MIN(AE$6-$E$3,22))),0))-IF($G$2,0,IF((AE$6-$G$3)&lt;1,0,IFERROR(LOOKUP(2,1/('Arroz irrigado'!$E20:INDEX('Arroz irrigado'!$E20:$Z20,MIN(AE$6-$G$3,22))&lt;&gt;""),'Arroz irrigado'!$E20:INDEX('Arroz irrigado'!$E20:$Z20,MIN(AE$6-$G$3,22))),0)))))</f>
        <v>0</v>
      </c>
      <c r="AF22" s="27" t="n">
        <f aca="false">IF(COUNT('Arroz irrigado'!$E20:$Z20)=0,0,MAX(0,IF((AF$6-$E$3)&lt;1,0,IFERROR(LOOKUP(2,1/('Arroz irrigado'!$E20:INDEX('Arroz irrigado'!$E20:$Z20,MIN(AF$6-$E$3,22))&lt;&gt;""),'Arroz irrigado'!$E20:INDEX('Arroz irrigado'!$E20:$Z20,MIN(AF$6-$E$3,22))),0))-IF($G$2,0,IF((AF$6-$G$3)&lt;1,0,IFERROR(LOOKUP(2,1/('Arroz irrigado'!$E20:INDEX('Arroz irrigado'!$E20:$Z20,MIN(AF$6-$G$3,22))&lt;&gt;""),'Arroz irrigado'!$E20:INDEX('Arroz irrigado'!$E20:$Z20,MIN(AF$6-$G$3,22))),0)))))</f>
        <v>0</v>
      </c>
      <c r="AG22" s="27" t="n">
        <f aca="false">IF(COUNT('Arroz irrigado'!$E20:$Z20)=0,0,MAX(0,IF((AG$6-$E$3)&lt;1,0,IFERROR(LOOKUP(2,1/('Arroz irrigado'!$E20:INDEX('Arroz irrigado'!$E20:$Z20,MIN(AG$6-$E$3,22))&lt;&gt;""),'Arroz irrigado'!$E20:INDEX('Arroz irrigado'!$E20:$Z20,MIN(AG$6-$E$3,22))),0))-IF($G$2,0,IF((AG$6-$G$3)&lt;1,0,IFERROR(LOOKUP(2,1/('Arroz irrigado'!$E20:INDEX('Arroz irrigado'!$E20:$Z20,MIN(AG$6-$G$3,22))&lt;&gt;""),'Arroz irrigado'!$E20:INDEX('Arroz irrigado'!$E20:$Z20,MIN(AG$6-$G$3,22))),0)))))</f>
        <v>0</v>
      </c>
      <c r="AH22" s="27" t="n">
        <f aca="false">IF(COUNT('Arroz irrigado'!$E20:$Z20)=0,0,MAX(0,IF((AH$6-$E$3)&lt;1,0,IFERROR(LOOKUP(2,1/('Arroz irrigado'!$E20:INDEX('Arroz irrigado'!$E20:$Z20,MIN(AH$6-$E$3,22))&lt;&gt;""),'Arroz irrigado'!$E20:INDEX('Arroz irrigado'!$E20:$Z20,MIN(AH$6-$E$3,22))),0))-IF($G$2,0,IF((AH$6-$G$3)&lt;1,0,IFERROR(LOOKUP(2,1/('Arroz irrigado'!$E20:INDEX('Arroz irrigado'!$E20:$Z20,MIN(AH$6-$G$3,22))&lt;&gt;""),'Arroz irrigado'!$E20:INDEX('Arroz irrigado'!$E20:$Z20,MIN(AH$6-$G$3,22))),0)))))</f>
        <v>0</v>
      </c>
      <c r="AI22" s="27" t="n">
        <f aca="false">IF(COUNT('Arroz irrigado'!$E20:$Z20)=0,0,MAX(0,IF((AI$6-$E$3)&lt;1,0,IFERROR(LOOKUP(2,1/('Arroz irrigado'!$E20:INDEX('Arroz irrigado'!$E20:$Z20,MIN(AI$6-$E$3,22))&lt;&gt;""),'Arroz irrigado'!$E20:INDEX('Arroz irrigado'!$E20:$Z20,MIN(AI$6-$E$3,22))),0))-IF($G$2,0,IF((AI$6-$G$3)&lt;1,0,IFERROR(LOOKUP(2,1/('Arroz irrigado'!$E20:INDEX('Arroz irrigado'!$E20:$Z20,MIN(AI$6-$G$3,22))&lt;&gt;""),'Arroz irrigado'!$E20:INDEX('Arroz irrigado'!$E20:$Z20,MIN(AI$6-$G$3,22))),0)))))</f>
        <v>0</v>
      </c>
      <c r="AJ22" s="27" t="n">
        <f aca="false">IF(COUNT('Arroz irrigado'!$E20:$Z20)=0,0,MAX(0,IF((AJ$6-$E$3)&lt;1,0,IFERROR(LOOKUP(2,1/('Arroz irrigado'!$E20:INDEX('Arroz irrigado'!$E20:$Z20,MIN(AJ$6-$E$3,22))&lt;&gt;""),'Arroz irrigado'!$E20:INDEX('Arroz irrigado'!$E20:$Z20,MIN(AJ$6-$E$3,22))),0))-IF($G$2,0,IF((AJ$6-$G$3)&lt;1,0,IFERROR(LOOKUP(2,1/('Arroz irrigado'!$E20:INDEX('Arroz irrigado'!$E20:$Z20,MIN(AJ$6-$G$3,22))&lt;&gt;""),'Arroz irrigado'!$E20:INDEX('Arroz irrigado'!$E20:$Z20,MIN(AJ$6-$G$3,22))),0)))))</f>
        <v>0</v>
      </c>
      <c r="AK22" s="27" t="n">
        <f aca="false">IF(COUNT('Arroz irrigado'!$E20:$Z20)=0,0,MAX(0,IF((AK$6-$E$3)&lt;1,0,IFERROR(LOOKUP(2,1/('Arroz irrigado'!$E20:INDEX('Arroz irrigado'!$E20:$Z20,MIN(AK$6-$E$3,22))&lt;&gt;""),'Arroz irrigado'!$E20:INDEX('Arroz irrigado'!$E20:$Z20,MIN(AK$6-$E$3,22))),0))-IF($G$2,0,IF((AK$6-$G$3)&lt;1,0,IFERROR(LOOKUP(2,1/('Arroz irrigado'!$E20:INDEX('Arroz irrigado'!$E20:$Z20,MIN(AK$6-$G$3,22))&lt;&gt;""),'Arroz irrigado'!$E20:INDEX('Arroz irrigado'!$E20:$Z20,MIN(AK$6-$G$3,22))),0)))))</f>
        <v>0</v>
      </c>
      <c r="AL22" s="27" t="n">
        <f aca="false">IF(COUNT('Arroz irrigado'!$E20:$Z20)=0,0,MAX(0,IF((AL$6-$E$3)&lt;1,0,IFERROR(LOOKUP(2,1/('Arroz irrigado'!$E20:INDEX('Arroz irrigado'!$E20:$Z20,MIN(AL$6-$E$3,22))&lt;&gt;""),'Arroz irrigado'!$E20:INDEX('Arroz irrigado'!$E20:$Z20,MIN(AL$6-$E$3,22))),0))-IF($G$2,0,IF((AL$6-$G$3)&lt;1,0,IFERROR(LOOKUP(2,1/('Arroz irrigado'!$E20:INDEX('Arroz irrigado'!$E20:$Z20,MIN(AL$6-$G$3,22))&lt;&gt;""),'Arroz irrigado'!$E20:INDEX('Arroz irrigado'!$E20:$Z20,MIN(AL$6-$G$3,22))),0)))))</f>
        <v>0</v>
      </c>
      <c r="AM22" s="27" t="n">
        <f aca="false">IF(COUNT('Arroz irrigado'!$E20:$Z20)=0,0,MAX(0,IF((AM$6-$E$3)&lt;1,0,IFERROR(LOOKUP(2,1/('Arroz irrigado'!$E20:INDEX('Arroz irrigado'!$E20:$Z20,MIN(AM$6-$E$3,22))&lt;&gt;""),'Arroz irrigado'!$E20:INDEX('Arroz irrigado'!$E20:$Z20,MIN(AM$6-$E$3,22))),0))-IF($G$2,0,IF((AM$6-$G$3)&lt;1,0,IFERROR(LOOKUP(2,1/('Arroz irrigado'!$E20:INDEX('Arroz irrigado'!$E20:$Z20,MIN(AM$6-$G$3,22))&lt;&gt;""),'Arroz irrigado'!$E20:INDEX('Arroz irrigado'!$E20:$Z20,MIN(AM$6-$G$3,22))),0)))))</f>
        <v>0</v>
      </c>
      <c r="AN22" s="27" t="n">
        <f aca="false">IF(COUNT('Arroz irrigado'!$E20:$Z20)=0,0,MAX(0,IF((AN$6-$E$3)&lt;1,0,IFERROR(LOOKUP(2,1/('Arroz irrigado'!$E20:INDEX('Arroz irrigado'!$E20:$Z20,MIN(AN$6-$E$3,22))&lt;&gt;""),'Arroz irrigado'!$E20:INDEX('Arroz irrigado'!$E20:$Z20,MIN(AN$6-$E$3,22))),0))-IF($G$2,0,IF((AN$6-$G$3)&lt;1,0,IFERROR(LOOKUP(2,1/('Arroz irrigado'!$E20:INDEX('Arroz irrigado'!$E20:$Z20,MIN(AN$6-$G$3,22))&lt;&gt;""),'Arroz irrigado'!$E20:INDEX('Arroz irrigado'!$E20:$Z20,MIN(AN$6-$G$3,22))),0)))))</f>
        <v>0</v>
      </c>
      <c r="AO22" s="27" t="n">
        <f aca="false">IF(COUNT('Arroz irrigado'!$E20:$Z20)=0,0,MAX(0,IF((AO$6-$E$3)&lt;1,0,IFERROR(LOOKUP(2,1/('Arroz irrigado'!$E20:INDEX('Arroz irrigado'!$E20:$Z20,MIN(AO$6-$E$3,22))&lt;&gt;""),'Arroz irrigado'!$E20:INDEX('Arroz irrigado'!$E20:$Z20,MIN(AO$6-$E$3,22))),0))-IF($G$2,0,IF((AO$6-$G$3)&lt;1,0,IFERROR(LOOKUP(2,1/('Arroz irrigado'!$E20:INDEX('Arroz irrigado'!$E20:$Z20,MIN(AO$6-$G$3,22))&lt;&gt;""),'Arroz irrigado'!$E20:INDEX('Arroz irrigado'!$E20:$Z20,MIN(AO$6-$G$3,22))),0)))))</f>
        <v>0</v>
      </c>
      <c r="AP22" s="27" t="n">
        <f aca="false">IF(COUNT('Arroz irrigado'!$E20:$Z20)=0,0,MAX(0,IF((AP$6-$E$3)&lt;1,0,IFERROR(LOOKUP(2,1/('Arroz irrigado'!$E20:INDEX('Arroz irrigado'!$E20:$Z20,MIN(AP$6-$E$3,22))&lt;&gt;""),'Arroz irrigado'!$E20:INDEX('Arroz irrigado'!$E20:$Z20,MIN(AP$6-$E$3,22))),0))-IF($G$2,0,IF((AP$6-$G$3)&lt;1,0,IFERROR(LOOKUP(2,1/('Arroz irrigado'!$E20:INDEX('Arroz irrigado'!$E20:$Z20,MIN(AP$6-$G$3,22))&lt;&gt;""),'Arroz irrigado'!$E20:INDEX('Arroz irrigado'!$E20:$Z20,MIN(AP$6-$G$3,22))),0)))))</f>
        <v>0</v>
      </c>
      <c r="AQ22" s="27" t="n">
        <f aca="false">IF(COUNT('Arroz irrigado'!$E20:$Z20)=0,0,MAX(0,IF((AQ$6-$E$3)&lt;1,0,IFERROR(LOOKUP(2,1/('Arroz irrigado'!$E20:INDEX('Arroz irrigado'!$E20:$Z20,MIN(AQ$6-$E$3,22))&lt;&gt;""),'Arroz irrigado'!$E20:INDEX('Arroz irrigado'!$E20:$Z20,MIN(AQ$6-$E$3,22))),0))-IF($G$2,0,IF((AQ$6-$G$3)&lt;1,0,IFERROR(LOOKUP(2,1/('Arroz irrigado'!$E20:INDEX('Arroz irrigado'!$E20:$Z20,MIN(AQ$6-$G$3,22))&lt;&gt;""),'Arroz irrigado'!$E20:INDEX('Arroz irrigado'!$E20:$Z20,MIN(AQ$6-$G$3,22))),0)))))</f>
        <v>0</v>
      </c>
      <c r="AR22" s="27" t="n">
        <f aca="false">IF(COUNT('Arroz irrigado'!$E20:$Z20)=0,0,MAX(0,IF((AR$6-$E$3)&lt;1,0,IFERROR(LOOKUP(2,1/('Arroz irrigado'!$E20:INDEX('Arroz irrigado'!$E20:$Z20,MIN(AR$6-$E$3,22))&lt;&gt;""),'Arroz irrigado'!$E20:INDEX('Arroz irrigado'!$E20:$Z20,MIN(AR$6-$E$3,22))),0))-IF($G$2,0,IF((AR$6-$G$3)&lt;1,0,IFERROR(LOOKUP(2,1/('Arroz irrigado'!$E20:INDEX('Arroz irrigado'!$E20:$Z20,MIN(AR$6-$G$3,22))&lt;&gt;""),'Arroz irrigado'!$E20:INDEX('Arroz irrigado'!$E20:$Z20,MIN(AR$6-$G$3,22))),0)))))</f>
        <v>0</v>
      </c>
      <c r="AS22" s="27" t="n">
        <f aca="false">IF(COUNT('Arroz irrigado'!$E20:$Z20)=0,0,MAX(0,IF((AS$6-$E$3)&lt;1,0,IFERROR(LOOKUP(2,1/('Arroz irrigado'!$E20:INDEX('Arroz irrigado'!$E20:$Z20,MIN(AS$6-$E$3,22))&lt;&gt;""),'Arroz irrigado'!$E20:INDEX('Arroz irrigado'!$E20:$Z20,MIN(AS$6-$E$3,22))),0))-IF($G$2,0,IF((AS$6-$G$3)&lt;1,0,IFERROR(LOOKUP(2,1/('Arroz irrigado'!$E20:INDEX('Arroz irrigado'!$E20:$Z20,MIN(AS$6-$G$3,22))&lt;&gt;""),'Arroz irrigado'!$E20:INDEX('Arroz irrigado'!$E20:$Z20,MIN(AS$6-$G$3,22))),0)))))</f>
        <v>0</v>
      </c>
      <c r="AT22" s="27" t="n">
        <f aca="false">IF(COUNT('Arroz irrigado'!$E20:$Z20)=0,0,MAX(0,IF((AT$6-$E$3)&lt;1,0,IFERROR(LOOKUP(2,1/('Arroz irrigado'!$E20:INDEX('Arroz irrigado'!$E20:$Z20,MIN(AT$6-$E$3,22))&lt;&gt;""),'Arroz irrigado'!$E20:INDEX('Arroz irrigado'!$E20:$Z20,MIN(AT$6-$E$3,22))),0))-IF($G$2,0,IF((AT$6-$G$3)&lt;1,0,IFERROR(LOOKUP(2,1/('Arroz irrigado'!$E20:INDEX('Arroz irrigado'!$E20:$Z20,MIN(AT$6-$G$3,22))&lt;&gt;""),'Arroz irrigado'!$E20:INDEX('Arroz irrigado'!$E20:$Z20,MIN(AT$6-$G$3,22))),0)))))</f>
        <v>0</v>
      </c>
      <c r="AU22" s="27" t="n">
        <f aca="false">IF(COUNT('Arroz irrigado'!$E20:$Z20)=0,0,MAX(0,IF((AU$6-$E$3)&lt;1,0,IFERROR(LOOKUP(2,1/('Arroz irrigado'!$E20:INDEX('Arroz irrigado'!$E20:$Z20,MIN(AU$6-$E$3,22))&lt;&gt;""),'Arroz irrigado'!$E20:INDEX('Arroz irrigado'!$E20:$Z20,MIN(AU$6-$E$3,22))),0))-IF($G$2,0,IF((AU$6-$G$3)&lt;1,0,IFERROR(LOOKUP(2,1/('Arroz irrigado'!$E20:INDEX('Arroz irrigado'!$E20:$Z20,MIN(AU$6-$G$3,22))&lt;&gt;""),'Arroz irrigado'!$E20:INDEX('Arroz irrigado'!$E20:$Z20,MIN(AU$6-$G$3,22))),0)))))</f>
        <v>0</v>
      </c>
      <c r="AV22" s="27" t="n">
        <f aca="false">IF(COUNT('Arroz irrigado'!$E20:$Z20)=0,0,MAX(0,IF((AV$6-$E$3)&lt;1,0,IFERROR(LOOKUP(2,1/('Arroz irrigado'!$E20:INDEX('Arroz irrigado'!$E20:$Z20,MIN(AV$6-$E$3,22))&lt;&gt;""),'Arroz irrigado'!$E20:INDEX('Arroz irrigado'!$E20:$Z20,MIN(AV$6-$E$3,22))),0))-IF($G$2,0,IF((AV$6-$G$3)&lt;1,0,IFERROR(LOOKUP(2,1/('Arroz irrigado'!$E20:INDEX('Arroz irrigado'!$E20:$Z20,MIN(AV$6-$G$3,22))&lt;&gt;""),'Arroz irrigado'!$E20:INDEX('Arroz irrigado'!$E20:$Z20,MIN(AV$6-$G$3,22))),0)))))</f>
        <v>0</v>
      </c>
      <c r="AW22" s="27" t="n">
        <f aca="false">IF(COUNT('Arroz irrigado'!$E20:$Z20)=0,0,MAX(0,IF((AW$6-$E$3)&lt;1,0,IFERROR(LOOKUP(2,1/('Arroz irrigado'!$E20:INDEX('Arroz irrigado'!$E20:$Z20,MIN(AW$6-$E$3,22))&lt;&gt;""),'Arroz irrigado'!$E20:INDEX('Arroz irrigado'!$E20:$Z20,MIN(AW$6-$E$3,22))),0))-IF($G$2,0,IF((AW$6-$G$3)&lt;1,0,IFERROR(LOOKUP(2,1/('Arroz irrigado'!$E20:INDEX('Arroz irrigado'!$E20:$Z20,MIN(AW$6-$G$3,22))&lt;&gt;""),'Arroz irrigado'!$E20:INDEX('Arroz irrigado'!$E20:$Z20,MIN(AW$6-$G$3,22))),0)))))</f>
        <v>0</v>
      </c>
      <c r="AX22" s="27" t="n">
        <f aca="false">IF(COUNT('Arroz irrigado'!$E20:$Z20)=0,0,MAX(0,IF((AX$6-$E$3)&lt;1,0,IFERROR(LOOKUP(2,1/('Arroz irrigado'!$E20:INDEX('Arroz irrigado'!$E20:$Z20,MIN(AX$6-$E$3,22))&lt;&gt;""),'Arroz irrigado'!$E20:INDEX('Arroz irrigado'!$E20:$Z20,MIN(AX$6-$E$3,22))),0))-IF($G$2,0,IF((AX$6-$G$3)&lt;1,0,IFERROR(LOOKUP(2,1/('Arroz irrigado'!$E20:INDEX('Arroz irrigado'!$E20:$Z20,MIN(AX$6-$G$3,22))&lt;&gt;""),'Arroz irrigado'!$E20:INDEX('Arroz irrigado'!$E20:$Z20,MIN(AX$6-$G$3,22))),0)))))</f>
        <v>0</v>
      </c>
      <c r="AY22" s="27" t="n">
        <f aca="false">IF(COUNT('Arroz irrigado'!$E20:$Z20)=0,0,MAX(0,IF((AY$6-$E$3)&lt;1,0,IFERROR(LOOKUP(2,1/('Arroz irrigado'!$E20:INDEX('Arroz irrigado'!$E20:$Z20,MIN(AY$6-$E$3,22))&lt;&gt;""),'Arroz irrigado'!$E20:INDEX('Arroz irrigado'!$E20:$Z20,MIN(AY$6-$E$3,22))),0))-IF($G$2,0,IF((AY$6-$G$3)&lt;1,0,IFERROR(LOOKUP(2,1/('Arroz irrigado'!$E20:INDEX('Arroz irrigado'!$E20:$Z20,MIN(AY$6-$G$3,22))&lt;&gt;""),'Arroz irrigado'!$E20:INDEX('Arroz irrigado'!$E20:$Z20,MIN(AY$6-$G$3,22))),0)))))</f>
        <v>0</v>
      </c>
      <c r="AZ22" s="27" t="n">
        <f aca="false">IF(COUNT('Arroz irrigado'!$E20:$Z20)=0,0,MAX(0,IF((AZ$6-$E$3)&lt;1,0,IFERROR(LOOKUP(2,1/('Arroz irrigado'!$E20:INDEX('Arroz irrigado'!$E20:$Z20,MIN(AZ$6-$E$3,22))&lt;&gt;""),'Arroz irrigado'!$E20:INDEX('Arroz irrigado'!$E20:$Z20,MIN(AZ$6-$E$3,22))),0))-IF($G$2,0,IF((AZ$6-$G$3)&lt;1,0,IFERROR(LOOKUP(2,1/('Arroz irrigado'!$E20:INDEX('Arroz irrigado'!$E20:$Z20,MIN(AZ$6-$G$3,22))&lt;&gt;""),'Arroz irrigado'!$E20:INDEX('Arroz irrigado'!$E20:$Z20,MIN(AZ$6-$G$3,22))),0)))))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IF(COUNT('Arroz irrigado'!$E21:$Z21)&gt;0,N('Arroz irrigado'!$D21),0)</f>
        <v>0</v>
      </c>
      <c r="E23" s="27" t="n">
        <f aca="false">IF(COUNT('Arroz irrigado'!$E21:$Z21)=0,0,MAX(0,IF((E$6-$E$3)&lt;1,0,IFERROR(LOOKUP(2,1/('Arroz irrigado'!$E21:INDEX('Arroz irrigado'!$E21:$Z21,MIN(E$6-$E$3,22))&lt;&gt;""),'Arroz irrigado'!$E21:INDEX('Arroz irrigado'!$E21:$Z21,MIN(E$6-$E$3,22))),0))-IF($G$2,0,IF((E$6-$G$3)&lt;1,0,IFERROR(LOOKUP(2,1/('Arroz irrigado'!$E21:INDEX('Arroz irrigado'!$E21:$Z21,MIN(E$6-$G$3,22))&lt;&gt;""),'Arroz irrigado'!$E21:INDEX('Arroz irrigado'!$E21:$Z21,MIN(E$6-$G$3,22))),0)))))</f>
        <v>0</v>
      </c>
      <c r="F23" s="27" t="n">
        <f aca="false">IF(COUNT('Arroz irrigado'!$E21:$Z21)=0,0,MAX(0,IF((F$6-$E$3)&lt;1,0,IFERROR(LOOKUP(2,1/('Arroz irrigado'!$E21:INDEX('Arroz irrigado'!$E21:$Z21,MIN(F$6-$E$3,22))&lt;&gt;""),'Arroz irrigado'!$E21:INDEX('Arroz irrigado'!$E21:$Z21,MIN(F$6-$E$3,22))),0))-IF($G$2,0,IF((F$6-$G$3)&lt;1,0,IFERROR(LOOKUP(2,1/('Arroz irrigado'!$E21:INDEX('Arroz irrigado'!$E21:$Z21,MIN(F$6-$G$3,22))&lt;&gt;""),'Arroz irrigado'!$E21:INDEX('Arroz irrigado'!$E21:$Z21,MIN(F$6-$G$3,22))),0)))))</f>
        <v>0</v>
      </c>
      <c r="G23" s="27" t="n">
        <f aca="false">IF(COUNT('Arroz irrigado'!$E21:$Z21)=0,0,MAX(0,IF((G$6-$E$3)&lt;1,0,IFERROR(LOOKUP(2,1/('Arroz irrigado'!$E21:INDEX('Arroz irrigado'!$E21:$Z21,MIN(G$6-$E$3,22))&lt;&gt;""),'Arroz irrigado'!$E21:INDEX('Arroz irrigado'!$E21:$Z21,MIN(G$6-$E$3,22))),0))-IF($G$2,0,IF((G$6-$G$3)&lt;1,0,IFERROR(LOOKUP(2,1/('Arroz irrigado'!$E21:INDEX('Arroz irrigado'!$E21:$Z21,MIN(G$6-$G$3,22))&lt;&gt;""),'Arroz irrigado'!$E21:INDEX('Arroz irrigado'!$E21:$Z21,MIN(G$6-$G$3,22))),0)))))</f>
        <v>0</v>
      </c>
      <c r="H23" s="27" t="n">
        <f aca="false">IF(COUNT('Arroz irrigado'!$E21:$Z21)=0,0,MAX(0,IF((H$6-$E$3)&lt;1,0,IFERROR(LOOKUP(2,1/('Arroz irrigado'!$E21:INDEX('Arroz irrigado'!$E21:$Z21,MIN(H$6-$E$3,22))&lt;&gt;""),'Arroz irrigado'!$E21:INDEX('Arroz irrigado'!$E21:$Z21,MIN(H$6-$E$3,22))),0))-IF($G$2,0,IF((H$6-$G$3)&lt;1,0,IFERROR(LOOKUP(2,1/('Arroz irrigado'!$E21:INDEX('Arroz irrigado'!$E21:$Z21,MIN(H$6-$G$3,22))&lt;&gt;""),'Arroz irrigado'!$E21:INDEX('Arroz irrigado'!$E21:$Z21,MIN(H$6-$G$3,22))),0)))))</f>
        <v>0</v>
      </c>
      <c r="I23" s="27" t="n">
        <f aca="false">IF(COUNT('Arroz irrigado'!$E21:$Z21)=0,0,MAX(0,IF((I$6-$E$3)&lt;1,0,IFERROR(LOOKUP(2,1/('Arroz irrigado'!$E21:INDEX('Arroz irrigado'!$E21:$Z21,MIN(I$6-$E$3,22))&lt;&gt;""),'Arroz irrigado'!$E21:INDEX('Arroz irrigado'!$E21:$Z21,MIN(I$6-$E$3,22))),0))-IF($G$2,0,IF((I$6-$G$3)&lt;1,0,IFERROR(LOOKUP(2,1/('Arroz irrigado'!$E21:INDEX('Arroz irrigado'!$E21:$Z21,MIN(I$6-$G$3,22))&lt;&gt;""),'Arroz irrigado'!$E21:INDEX('Arroz irrigado'!$E21:$Z21,MIN(I$6-$G$3,22))),0)))))</f>
        <v>0</v>
      </c>
      <c r="J23" s="27" t="n">
        <f aca="false">IF(COUNT('Arroz irrigado'!$E21:$Z21)=0,0,MAX(0,IF((J$6-$E$3)&lt;1,0,IFERROR(LOOKUP(2,1/('Arroz irrigado'!$E21:INDEX('Arroz irrigado'!$E21:$Z21,MIN(J$6-$E$3,22))&lt;&gt;""),'Arroz irrigado'!$E21:INDEX('Arroz irrigado'!$E21:$Z21,MIN(J$6-$E$3,22))),0))-IF($G$2,0,IF((J$6-$G$3)&lt;1,0,IFERROR(LOOKUP(2,1/('Arroz irrigado'!$E21:INDEX('Arroz irrigado'!$E21:$Z21,MIN(J$6-$G$3,22))&lt;&gt;""),'Arroz irrigado'!$E21:INDEX('Arroz irrigado'!$E21:$Z21,MIN(J$6-$G$3,22))),0)))))</f>
        <v>0</v>
      </c>
      <c r="K23" s="27" t="n">
        <f aca="false">IF(COUNT('Arroz irrigado'!$E21:$Z21)=0,0,MAX(0,IF((K$6-$E$3)&lt;1,0,IFERROR(LOOKUP(2,1/('Arroz irrigado'!$E21:INDEX('Arroz irrigado'!$E21:$Z21,MIN(K$6-$E$3,22))&lt;&gt;""),'Arroz irrigado'!$E21:INDEX('Arroz irrigado'!$E21:$Z21,MIN(K$6-$E$3,22))),0))-IF($G$2,0,IF((K$6-$G$3)&lt;1,0,IFERROR(LOOKUP(2,1/('Arroz irrigado'!$E21:INDEX('Arroz irrigado'!$E21:$Z21,MIN(K$6-$G$3,22))&lt;&gt;""),'Arroz irrigado'!$E21:INDEX('Arroz irrigado'!$E21:$Z21,MIN(K$6-$G$3,22))),0)))))</f>
        <v>0</v>
      </c>
      <c r="L23" s="27" t="n">
        <f aca="false">IF(COUNT('Arroz irrigado'!$E21:$Z21)=0,0,MAX(0,IF((L$6-$E$3)&lt;1,0,IFERROR(LOOKUP(2,1/('Arroz irrigado'!$E21:INDEX('Arroz irrigado'!$E21:$Z21,MIN(L$6-$E$3,22))&lt;&gt;""),'Arroz irrigado'!$E21:INDEX('Arroz irrigado'!$E21:$Z21,MIN(L$6-$E$3,22))),0))-IF($G$2,0,IF((L$6-$G$3)&lt;1,0,IFERROR(LOOKUP(2,1/('Arroz irrigado'!$E21:INDEX('Arroz irrigado'!$E21:$Z21,MIN(L$6-$G$3,22))&lt;&gt;""),'Arroz irrigado'!$E21:INDEX('Arroz irrigado'!$E21:$Z21,MIN(L$6-$G$3,22))),0)))))</f>
        <v>0</v>
      </c>
      <c r="M23" s="27" t="n">
        <f aca="false">IF(COUNT('Arroz irrigado'!$E21:$Z21)=0,0,MAX(0,IF((M$6-$E$3)&lt;1,0,IFERROR(LOOKUP(2,1/('Arroz irrigado'!$E21:INDEX('Arroz irrigado'!$E21:$Z21,MIN(M$6-$E$3,22))&lt;&gt;""),'Arroz irrigado'!$E21:INDEX('Arroz irrigado'!$E21:$Z21,MIN(M$6-$E$3,22))),0))-IF($G$2,0,IF((M$6-$G$3)&lt;1,0,IFERROR(LOOKUP(2,1/('Arroz irrigado'!$E21:INDEX('Arroz irrigado'!$E21:$Z21,MIN(M$6-$G$3,22))&lt;&gt;""),'Arroz irrigado'!$E21:INDEX('Arroz irrigado'!$E21:$Z21,MIN(M$6-$G$3,22))),0)))))</f>
        <v>0</v>
      </c>
      <c r="N23" s="27" t="n">
        <f aca="false">IF(COUNT('Arroz irrigado'!$E21:$Z21)=0,0,MAX(0,IF((N$6-$E$3)&lt;1,0,IFERROR(LOOKUP(2,1/('Arroz irrigado'!$E21:INDEX('Arroz irrigado'!$E21:$Z21,MIN(N$6-$E$3,22))&lt;&gt;""),'Arroz irrigado'!$E21:INDEX('Arroz irrigado'!$E21:$Z21,MIN(N$6-$E$3,22))),0))-IF($G$2,0,IF((N$6-$G$3)&lt;1,0,IFERROR(LOOKUP(2,1/('Arroz irrigado'!$E21:INDEX('Arroz irrigado'!$E21:$Z21,MIN(N$6-$G$3,22))&lt;&gt;""),'Arroz irrigado'!$E21:INDEX('Arroz irrigado'!$E21:$Z21,MIN(N$6-$G$3,22))),0)))))</f>
        <v>0</v>
      </c>
      <c r="O23" s="27" t="n">
        <f aca="false">IF(COUNT('Arroz irrigado'!$E21:$Z21)=0,0,MAX(0,IF((O$6-$E$3)&lt;1,0,IFERROR(LOOKUP(2,1/('Arroz irrigado'!$E21:INDEX('Arroz irrigado'!$E21:$Z21,MIN(O$6-$E$3,22))&lt;&gt;""),'Arroz irrigado'!$E21:INDEX('Arroz irrigado'!$E21:$Z21,MIN(O$6-$E$3,22))),0))-IF($G$2,0,IF((O$6-$G$3)&lt;1,0,IFERROR(LOOKUP(2,1/('Arroz irrigado'!$E21:INDEX('Arroz irrigado'!$E21:$Z21,MIN(O$6-$G$3,22))&lt;&gt;""),'Arroz irrigado'!$E21:INDEX('Arroz irrigado'!$E21:$Z21,MIN(O$6-$G$3,22))),0)))))</f>
        <v>0</v>
      </c>
      <c r="P23" s="27" t="n">
        <f aca="false">IF(COUNT('Arroz irrigado'!$E21:$Z21)=0,0,MAX(0,IF((P$6-$E$3)&lt;1,0,IFERROR(LOOKUP(2,1/('Arroz irrigado'!$E21:INDEX('Arroz irrigado'!$E21:$Z21,MIN(P$6-$E$3,22))&lt;&gt;""),'Arroz irrigado'!$E21:INDEX('Arroz irrigado'!$E21:$Z21,MIN(P$6-$E$3,22))),0))-IF($G$2,0,IF((P$6-$G$3)&lt;1,0,IFERROR(LOOKUP(2,1/('Arroz irrigado'!$E21:INDEX('Arroz irrigado'!$E21:$Z21,MIN(P$6-$G$3,22))&lt;&gt;""),'Arroz irrigado'!$E21:INDEX('Arroz irrigado'!$E21:$Z21,MIN(P$6-$G$3,22))),0)))))</f>
        <v>0</v>
      </c>
      <c r="Q23" s="27" t="n">
        <f aca="false">IF(COUNT('Arroz irrigado'!$E21:$Z21)=0,0,MAX(0,IF((Q$6-$E$3)&lt;1,0,IFERROR(LOOKUP(2,1/('Arroz irrigado'!$E21:INDEX('Arroz irrigado'!$E21:$Z21,MIN(Q$6-$E$3,22))&lt;&gt;""),'Arroz irrigado'!$E21:INDEX('Arroz irrigado'!$E21:$Z21,MIN(Q$6-$E$3,22))),0))-IF($G$2,0,IF((Q$6-$G$3)&lt;1,0,IFERROR(LOOKUP(2,1/('Arroz irrigado'!$E21:INDEX('Arroz irrigado'!$E21:$Z21,MIN(Q$6-$G$3,22))&lt;&gt;""),'Arroz irrigado'!$E21:INDEX('Arroz irrigado'!$E21:$Z21,MIN(Q$6-$G$3,22))),0)))))</f>
        <v>0</v>
      </c>
      <c r="R23" s="27" t="n">
        <f aca="false">IF(COUNT('Arroz irrigado'!$E21:$Z21)=0,0,MAX(0,IF((R$6-$E$3)&lt;1,0,IFERROR(LOOKUP(2,1/('Arroz irrigado'!$E21:INDEX('Arroz irrigado'!$E21:$Z21,MIN(R$6-$E$3,22))&lt;&gt;""),'Arroz irrigado'!$E21:INDEX('Arroz irrigado'!$E21:$Z21,MIN(R$6-$E$3,22))),0))-IF($G$2,0,IF((R$6-$G$3)&lt;1,0,IFERROR(LOOKUP(2,1/('Arroz irrigado'!$E21:INDEX('Arroz irrigado'!$E21:$Z21,MIN(R$6-$G$3,22))&lt;&gt;""),'Arroz irrigado'!$E21:INDEX('Arroz irrigado'!$E21:$Z21,MIN(R$6-$G$3,22))),0)))))</f>
        <v>0</v>
      </c>
      <c r="S23" s="27" t="n">
        <f aca="false">IF(COUNT('Arroz irrigado'!$E21:$Z21)=0,0,MAX(0,IF((S$6-$E$3)&lt;1,0,IFERROR(LOOKUP(2,1/('Arroz irrigado'!$E21:INDEX('Arroz irrigado'!$E21:$Z21,MIN(S$6-$E$3,22))&lt;&gt;""),'Arroz irrigado'!$E21:INDEX('Arroz irrigado'!$E21:$Z21,MIN(S$6-$E$3,22))),0))-IF($G$2,0,IF((S$6-$G$3)&lt;1,0,IFERROR(LOOKUP(2,1/('Arroz irrigado'!$E21:INDEX('Arroz irrigado'!$E21:$Z21,MIN(S$6-$G$3,22))&lt;&gt;""),'Arroz irrigado'!$E21:INDEX('Arroz irrigado'!$E21:$Z21,MIN(S$6-$G$3,22))),0)))))</f>
        <v>0</v>
      </c>
      <c r="T23" s="27" t="n">
        <f aca="false">IF(COUNT('Arroz irrigado'!$E21:$Z21)=0,0,MAX(0,IF((T$6-$E$3)&lt;1,0,IFERROR(LOOKUP(2,1/('Arroz irrigado'!$E21:INDEX('Arroz irrigado'!$E21:$Z21,MIN(T$6-$E$3,22))&lt;&gt;""),'Arroz irrigado'!$E21:INDEX('Arroz irrigado'!$E21:$Z21,MIN(T$6-$E$3,22))),0))-IF($G$2,0,IF((T$6-$G$3)&lt;1,0,IFERROR(LOOKUP(2,1/('Arroz irrigado'!$E21:INDEX('Arroz irrigado'!$E21:$Z21,MIN(T$6-$G$3,22))&lt;&gt;""),'Arroz irrigado'!$E21:INDEX('Arroz irrigado'!$E21:$Z21,MIN(T$6-$G$3,22))),0)))))</f>
        <v>0</v>
      </c>
      <c r="U23" s="27" t="n">
        <f aca="false">IF(COUNT('Arroz irrigado'!$E21:$Z21)=0,0,MAX(0,IF((U$6-$E$3)&lt;1,0,IFERROR(LOOKUP(2,1/('Arroz irrigado'!$E21:INDEX('Arroz irrigado'!$E21:$Z21,MIN(U$6-$E$3,22))&lt;&gt;""),'Arroz irrigado'!$E21:INDEX('Arroz irrigado'!$E21:$Z21,MIN(U$6-$E$3,22))),0))-IF($G$2,0,IF((U$6-$G$3)&lt;1,0,IFERROR(LOOKUP(2,1/('Arroz irrigado'!$E21:INDEX('Arroz irrigado'!$E21:$Z21,MIN(U$6-$G$3,22))&lt;&gt;""),'Arroz irrigado'!$E21:INDEX('Arroz irrigado'!$E21:$Z21,MIN(U$6-$G$3,22))),0)))))</f>
        <v>0</v>
      </c>
      <c r="V23" s="27" t="n">
        <f aca="false">IF(COUNT('Arroz irrigado'!$E21:$Z21)=0,0,MAX(0,IF((V$6-$E$3)&lt;1,0,IFERROR(LOOKUP(2,1/('Arroz irrigado'!$E21:INDEX('Arroz irrigado'!$E21:$Z21,MIN(V$6-$E$3,22))&lt;&gt;""),'Arroz irrigado'!$E21:INDEX('Arroz irrigado'!$E21:$Z21,MIN(V$6-$E$3,22))),0))-IF($G$2,0,IF((V$6-$G$3)&lt;1,0,IFERROR(LOOKUP(2,1/('Arroz irrigado'!$E21:INDEX('Arroz irrigado'!$E21:$Z21,MIN(V$6-$G$3,22))&lt;&gt;""),'Arroz irrigado'!$E21:INDEX('Arroz irrigado'!$E21:$Z21,MIN(V$6-$G$3,22))),0)))))</f>
        <v>0</v>
      </c>
      <c r="W23" s="27" t="n">
        <f aca="false">IF(COUNT('Arroz irrigado'!$E21:$Z21)=0,0,MAX(0,IF((W$6-$E$3)&lt;1,0,IFERROR(LOOKUP(2,1/('Arroz irrigado'!$E21:INDEX('Arroz irrigado'!$E21:$Z21,MIN(W$6-$E$3,22))&lt;&gt;""),'Arroz irrigado'!$E21:INDEX('Arroz irrigado'!$E21:$Z21,MIN(W$6-$E$3,22))),0))-IF($G$2,0,IF((W$6-$G$3)&lt;1,0,IFERROR(LOOKUP(2,1/('Arroz irrigado'!$E21:INDEX('Arroz irrigado'!$E21:$Z21,MIN(W$6-$G$3,22))&lt;&gt;""),'Arroz irrigado'!$E21:INDEX('Arroz irrigado'!$E21:$Z21,MIN(W$6-$G$3,22))),0)))))</f>
        <v>0</v>
      </c>
      <c r="X23" s="27" t="n">
        <f aca="false">IF(COUNT('Arroz irrigado'!$E21:$Z21)=0,0,MAX(0,IF((X$6-$E$3)&lt;1,0,IFERROR(LOOKUP(2,1/('Arroz irrigado'!$E21:INDEX('Arroz irrigado'!$E21:$Z21,MIN(X$6-$E$3,22))&lt;&gt;""),'Arroz irrigado'!$E21:INDEX('Arroz irrigado'!$E21:$Z21,MIN(X$6-$E$3,22))),0))-IF($G$2,0,IF((X$6-$G$3)&lt;1,0,IFERROR(LOOKUP(2,1/('Arroz irrigado'!$E21:INDEX('Arroz irrigado'!$E21:$Z21,MIN(X$6-$G$3,22))&lt;&gt;""),'Arroz irrigado'!$E21:INDEX('Arroz irrigado'!$E21:$Z21,MIN(X$6-$G$3,22))),0)))))</f>
        <v>0</v>
      </c>
      <c r="Y23" s="27" t="n">
        <f aca="false">IF(COUNT('Arroz irrigado'!$E21:$Z21)=0,0,MAX(0,IF((Y$6-$E$3)&lt;1,0,IFERROR(LOOKUP(2,1/('Arroz irrigado'!$E21:INDEX('Arroz irrigado'!$E21:$Z21,MIN(Y$6-$E$3,22))&lt;&gt;""),'Arroz irrigado'!$E21:INDEX('Arroz irrigado'!$E21:$Z21,MIN(Y$6-$E$3,22))),0))-IF($G$2,0,IF((Y$6-$G$3)&lt;1,0,IFERROR(LOOKUP(2,1/('Arroz irrigado'!$E21:INDEX('Arroz irrigado'!$E21:$Z21,MIN(Y$6-$G$3,22))&lt;&gt;""),'Arroz irrigado'!$E21:INDEX('Arroz irrigado'!$E21:$Z21,MIN(Y$6-$G$3,22))),0)))))</f>
        <v>0</v>
      </c>
      <c r="Z23" s="27" t="n">
        <f aca="false">IF(COUNT('Arroz irrigado'!$E21:$Z21)=0,0,MAX(0,IF((Z$6-$E$3)&lt;1,0,IFERROR(LOOKUP(2,1/('Arroz irrigado'!$E21:INDEX('Arroz irrigado'!$E21:$Z21,MIN(Z$6-$E$3,22))&lt;&gt;""),'Arroz irrigado'!$E21:INDEX('Arroz irrigado'!$E21:$Z21,MIN(Z$6-$E$3,22))),0))-IF($G$2,0,IF((Z$6-$G$3)&lt;1,0,IFERROR(LOOKUP(2,1/('Arroz irrigado'!$E21:INDEX('Arroz irrigado'!$E21:$Z21,MIN(Z$6-$G$3,22))&lt;&gt;""),'Arroz irrigado'!$E21:INDEX('Arroz irrigado'!$E21:$Z21,MIN(Z$6-$G$3,22))),0)))))</f>
        <v>0</v>
      </c>
      <c r="AA23" s="27" t="n">
        <f aca="false">IF(COUNT('Arroz irrigado'!$E21:$Z21)=0,0,MAX(0,IF((AA$6-$E$3)&lt;1,0,IFERROR(LOOKUP(2,1/('Arroz irrigado'!$E21:INDEX('Arroz irrigado'!$E21:$Z21,MIN(AA$6-$E$3,22))&lt;&gt;""),'Arroz irrigado'!$E21:INDEX('Arroz irrigado'!$E21:$Z21,MIN(AA$6-$E$3,22))),0))-IF($G$2,0,IF((AA$6-$G$3)&lt;1,0,IFERROR(LOOKUP(2,1/('Arroz irrigado'!$E21:INDEX('Arroz irrigado'!$E21:$Z21,MIN(AA$6-$G$3,22))&lt;&gt;""),'Arroz irrigado'!$E21:INDEX('Arroz irrigado'!$E21:$Z21,MIN(AA$6-$G$3,22))),0)))))</f>
        <v>0</v>
      </c>
      <c r="AB23" s="27" t="n">
        <f aca="false">IF(COUNT('Arroz irrigado'!$E21:$Z21)=0,0,MAX(0,IF((AB$6-$E$3)&lt;1,0,IFERROR(LOOKUP(2,1/('Arroz irrigado'!$E21:INDEX('Arroz irrigado'!$E21:$Z21,MIN(AB$6-$E$3,22))&lt;&gt;""),'Arroz irrigado'!$E21:INDEX('Arroz irrigado'!$E21:$Z21,MIN(AB$6-$E$3,22))),0))-IF($G$2,0,IF((AB$6-$G$3)&lt;1,0,IFERROR(LOOKUP(2,1/('Arroz irrigado'!$E21:INDEX('Arroz irrigado'!$E21:$Z21,MIN(AB$6-$G$3,22))&lt;&gt;""),'Arroz irrigado'!$E21:INDEX('Arroz irrigado'!$E21:$Z21,MIN(AB$6-$G$3,22))),0)))))</f>
        <v>0</v>
      </c>
      <c r="AC23" s="27" t="n">
        <f aca="false">IF(COUNT('Arroz irrigado'!$E21:$Z21)=0,0,MAX(0,IF((AC$6-$E$3)&lt;1,0,IFERROR(LOOKUP(2,1/('Arroz irrigado'!$E21:INDEX('Arroz irrigado'!$E21:$Z21,MIN(AC$6-$E$3,22))&lt;&gt;""),'Arroz irrigado'!$E21:INDEX('Arroz irrigado'!$E21:$Z21,MIN(AC$6-$E$3,22))),0))-IF($G$2,0,IF((AC$6-$G$3)&lt;1,0,IFERROR(LOOKUP(2,1/('Arroz irrigado'!$E21:INDEX('Arroz irrigado'!$E21:$Z21,MIN(AC$6-$G$3,22))&lt;&gt;""),'Arroz irrigado'!$E21:INDEX('Arroz irrigado'!$E21:$Z21,MIN(AC$6-$G$3,22))),0)))))</f>
        <v>0</v>
      </c>
      <c r="AD23" s="27" t="n">
        <f aca="false">IF(COUNT('Arroz irrigado'!$E21:$Z21)=0,0,MAX(0,IF((AD$6-$E$3)&lt;1,0,IFERROR(LOOKUP(2,1/('Arroz irrigado'!$E21:INDEX('Arroz irrigado'!$E21:$Z21,MIN(AD$6-$E$3,22))&lt;&gt;""),'Arroz irrigado'!$E21:INDEX('Arroz irrigado'!$E21:$Z21,MIN(AD$6-$E$3,22))),0))-IF($G$2,0,IF((AD$6-$G$3)&lt;1,0,IFERROR(LOOKUP(2,1/('Arroz irrigado'!$E21:INDEX('Arroz irrigado'!$E21:$Z21,MIN(AD$6-$G$3,22))&lt;&gt;""),'Arroz irrigado'!$E21:INDEX('Arroz irrigado'!$E21:$Z21,MIN(AD$6-$G$3,22))),0)))))</f>
        <v>0</v>
      </c>
      <c r="AE23" s="27" t="n">
        <f aca="false">IF(COUNT('Arroz irrigado'!$E21:$Z21)=0,0,MAX(0,IF((AE$6-$E$3)&lt;1,0,IFERROR(LOOKUP(2,1/('Arroz irrigado'!$E21:INDEX('Arroz irrigado'!$E21:$Z21,MIN(AE$6-$E$3,22))&lt;&gt;""),'Arroz irrigado'!$E21:INDEX('Arroz irrigado'!$E21:$Z21,MIN(AE$6-$E$3,22))),0))-IF($G$2,0,IF((AE$6-$G$3)&lt;1,0,IFERROR(LOOKUP(2,1/('Arroz irrigado'!$E21:INDEX('Arroz irrigado'!$E21:$Z21,MIN(AE$6-$G$3,22))&lt;&gt;""),'Arroz irrigado'!$E21:INDEX('Arroz irrigado'!$E21:$Z21,MIN(AE$6-$G$3,22))),0)))))</f>
        <v>0</v>
      </c>
      <c r="AF23" s="27" t="n">
        <f aca="false">IF(COUNT('Arroz irrigado'!$E21:$Z21)=0,0,MAX(0,IF((AF$6-$E$3)&lt;1,0,IFERROR(LOOKUP(2,1/('Arroz irrigado'!$E21:INDEX('Arroz irrigado'!$E21:$Z21,MIN(AF$6-$E$3,22))&lt;&gt;""),'Arroz irrigado'!$E21:INDEX('Arroz irrigado'!$E21:$Z21,MIN(AF$6-$E$3,22))),0))-IF($G$2,0,IF((AF$6-$G$3)&lt;1,0,IFERROR(LOOKUP(2,1/('Arroz irrigado'!$E21:INDEX('Arroz irrigado'!$E21:$Z21,MIN(AF$6-$G$3,22))&lt;&gt;""),'Arroz irrigado'!$E21:INDEX('Arroz irrigado'!$E21:$Z21,MIN(AF$6-$G$3,22))),0)))))</f>
        <v>0</v>
      </c>
      <c r="AG23" s="27" t="n">
        <f aca="false">IF(COUNT('Arroz irrigado'!$E21:$Z21)=0,0,MAX(0,IF((AG$6-$E$3)&lt;1,0,IFERROR(LOOKUP(2,1/('Arroz irrigado'!$E21:INDEX('Arroz irrigado'!$E21:$Z21,MIN(AG$6-$E$3,22))&lt;&gt;""),'Arroz irrigado'!$E21:INDEX('Arroz irrigado'!$E21:$Z21,MIN(AG$6-$E$3,22))),0))-IF($G$2,0,IF((AG$6-$G$3)&lt;1,0,IFERROR(LOOKUP(2,1/('Arroz irrigado'!$E21:INDEX('Arroz irrigado'!$E21:$Z21,MIN(AG$6-$G$3,22))&lt;&gt;""),'Arroz irrigado'!$E21:INDEX('Arroz irrigado'!$E21:$Z21,MIN(AG$6-$G$3,22))),0)))))</f>
        <v>0</v>
      </c>
      <c r="AH23" s="27" t="n">
        <f aca="false">IF(COUNT('Arroz irrigado'!$E21:$Z21)=0,0,MAX(0,IF((AH$6-$E$3)&lt;1,0,IFERROR(LOOKUP(2,1/('Arroz irrigado'!$E21:INDEX('Arroz irrigado'!$E21:$Z21,MIN(AH$6-$E$3,22))&lt;&gt;""),'Arroz irrigado'!$E21:INDEX('Arroz irrigado'!$E21:$Z21,MIN(AH$6-$E$3,22))),0))-IF($G$2,0,IF((AH$6-$G$3)&lt;1,0,IFERROR(LOOKUP(2,1/('Arroz irrigado'!$E21:INDEX('Arroz irrigado'!$E21:$Z21,MIN(AH$6-$G$3,22))&lt;&gt;""),'Arroz irrigado'!$E21:INDEX('Arroz irrigado'!$E21:$Z21,MIN(AH$6-$G$3,22))),0)))))</f>
        <v>0</v>
      </c>
      <c r="AI23" s="27" t="n">
        <f aca="false">IF(COUNT('Arroz irrigado'!$E21:$Z21)=0,0,MAX(0,IF((AI$6-$E$3)&lt;1,0,IFERROR(LOOKUP(2,1/('Arroz irrigado'!$E21:INDEX('Arroz irrigado'!$E21:$Z21,MIN(AI$6-$E$3,22))&lt;&gt;""),'Arroz irrigado'!$E21:INDEX('Arroz irrigado'!$E21:$Z21,MIN(AI$6-$E$3,22))),0))-IF($G$2,0,IF((AI$6-$G$3)&lt;1,0,IFERROR(LOOKUP(2,1/('Arroz irrigado'!$E21:INDEX('Arroz irrigado'!$E21:$Z21,MIN(AI$6-$G$3,22))&lt;&gt;""),'Arroz irrigado'!$E21:INDEX('Arroz irrigado'!$E21:$Z21,MIN(AI$6-$G$3,22))),0)))))</f>
        <v>0</v>
      </c>
      <c r="AJ23" s="27" t="n">
        <f aca="false">IF(COUNT('Arroz irrigado'!$E21:$Z21)=0,0,MAX(0,IF((AJ$6-$E$3)&lt;1,0,IFERROR(LOOKUP(2,1/('Arroz irrigado'!$E21:INDEX('Arroz irrigado'!$E21:$Z21,MIN(AJ$6-$E$3,22))&lt;&gt;""),'Arroz irrigado'!$E21:INDEX('Arroz irrigado'!$E21:$Z21,MIN(AJ$6-$E$3,22))),0))-IF($G$2,0,IF((AJ$6-$G$3)&lt;1,0,IFERROR(LOOKUP(2,1/('Arroz irrigado'!$E21:INDEX('Arroz irrigado'!$E21:$Z21,MIN(AJ$6-$G$3,22))&lt;&gt;""),'Arroz irrigado'!$E21:INDEX('Arroz irrigado'!$E21:$Z21,MIN(AJ$6-$G$3,22))),0)))))</f>
        <v>0</v>
      </c>
      <c r="AK23" s="27" t="n">
        <f aca="false">IF(COUNT('Arroz irrigado'!$E21:$Z21)=0,0,MAX(0,IF((AK$6-$E$3)&lt;1,0,IFERROR(LOOKUP(2,1/('Arroz irrigado'!$E21:INDEX('Arroz irrigado'!$E21:$Z21,MIN(AK$6-$E$3,22))&lt;&gt;""),'Arroz irrigado'!$E21:INDEX('Arroz irrigado'!$E21:$Z21,MIN(AK$6-$E$3,22))),0))-IF($G$2,0,IF((AK$6-$G$3)&lt;1,0,IFERROR(LOOKUP(2,1/('Arroz irrigado'!$E21:INDEX('Arroz irrigado'!$E21:$Z21,MIN(AK$6-$G$3,22))&lt;&gt;""),'Arroz irrigado'!$E21:INDEX('Arroz irrigado'!$E21:$Z21,MIN(AK$6-$G$3,22))),0)))))</f>
        <v>0</v>
      </c>
      <c r="AL23" s="27" t="n">
        <f aca="false">IF(COUNT('Arroz irrigado'!$E21:$Z21)=0,0,MAX(0,IF((AL$6-$E$3)&lt;1,0,IFERROR(LOOKUP(2,1/('Arroz irrigado'!$E21:INDEX('Arroz irrigado'!$E21:$Z21,MIN(AL$6-$E$3,22))&lt;&gt;""),'Arroz irrigado'!$E21:INDEX('Arroz irrigado'!$E21:$Z21,MIN(AL$6-$E$3,22))),0))-IF($G$2,0,IF((AL$6-$G$3)&lt;1,0,IFERROR(LOOKUP(2,1/('Arroz irrigado'!$E21:INDEX('Arroz irrigado'!$E21:$Z21,MIN(AL$6-$G$3,22))&lt;&gt;""),'Arroz irrigado'!$E21:INDEX('Arroz irrigado'!$E21:$Z21,MIN(AL$6-$G$3,22))),0)))))</f>
        <v>0</v>
      </c>
      <c r="AM23" s="27" t="n">
        <f aca="false">IF(COUNT('Arroz irrigado'!$E21:$Z21)=0,0,MAX(0,IF((AM$6-$E$3)&lt;1,0,IFERROR(LOOKUP(2,1/('Arroz irrigado'!$E21:INDEX('Arroz irrigado'!$E21:$Z21,MIN(AM$6-$E$3,22))&lt;&gt;""),'Arroz irrigado'!$E21:INDEX('Arroz irrigado'!$E21:$Z21,MIN(AM$6-$E$3,22))),0))-IF($G$2,0,IF((AM$6-$G$3)&lt;1,0,IFERROR(LOOKUP(2,1/('Arroz irrigado'!$E21:INDEX('Arroz irrigado'!$E21:$Z21,MIN(AM$6-$G$3,22))&lt;&gt;""),'Arroz irrigado'!$E21:INDEX('Arroz irrigado'!$E21:$Z21,MIN(AM$6-$G$3,22))),0)))))</f>
        <v>0</v>
      </c>
      <c r="AN23" s="27" t="n">
        <f aca="false">IF(COUNT('Arroz irrigado'!$E21:$Z21)=0,0,MAX(0,IF((AN$6-$E$3)&lt;1,0,IFERROR(LOOKUP(2,1/('Arroz irrigado'!$E21:INDEX('Arroz irrigado'!$E21:$Z21,MIN(AN$6-$E$3,22))&lt;&gt;""),'Arroz irrigado'!$E21:INDEX('Arroz irrigado'!$E21:$Z21,MIN(AN$6-$E$3,22))),0))-IF($G$2,0,IF((AN$6-$G$3)&lt;1,0,IFERROR(LOOKUP(2,1/('Arroz irrigado'!$E21:INDEX('Arroz irrigado'!$E21:$Z21,MIN(AN$6-$G$3,22))&lt;&gt;""),'Arroz irrigado'!$E21:INDEX('Arroz irrigado'!$E21:$Z21,MIN(AN$6-$G$3,22))),0)))))</f>
        <v>0</v>
      </c>
      <c r="AO23" s="27" t="n">
        <f aca="false">IF(COUNT('Arroz irrigado'!$E21:$Z21)=0,0,MAX(0,IF((AO$6-$E$3)&lt;1,0,IFERROR(LOOKUP(2,1/('Arroz irrigado'!$E21:INDEX('Arroz irrigado'!$E21:$Z21,MIN(AO$6-$E$3,22))&lt;&gt;""),'Arroz irrigado'!$E21:INDEX('Arroz irrigado'!$E21:$Z21,MIN(AO$6-$E$3,22))),0))-IF($G$2,0,IF((AO$6-$G$3)&lt;1,0,IFERROR(LOOKUP(2,1/('Arroz irrigado'!$E21:INDEX('Arroz irrigado'!$E21:$Z21,MIN(AO$6-$G$3,22))&lt;&gt;""),'Arroz irrigado'!$E21:INDEX('Arroz irrigado'!$E21:$Z21,MIN(AO$6-$G$3,22))),0)))))</f>
        <v>0</v>
      </c>
      <c r="AP23" s="27" t="n">
        <f aca="false">IF(COUNT('Arroz irrigado'!$E21:$Z21)=0,0,MAX(0,IF((AP$6-$E$3)&lt;1,0,IFERROR(LOOKUP(2,1/('Arroz irrigado'!$E21:INDEX('Arroz irrigado'!$E21:$Z21,MIN(AP$6-$E$3,22))&lt;&gt;""),'Arroz irrigado'!$E21:INDEX('Arroz irrigado'!$E21:$Z21,MIN(AP$6-$E$3,22))),0))-IF($G$2,0,IF((AP$6-$G$3)&lt;1,0,IFERROR(LOOKUP(2,1/('Arroz irrigado'!$E21:INDEX('Arroz irrigado'!$E21:$Z21,MIN(AP$6-$G$3,22))&lt;&gt;""),'Arroz irrigado'!$E21:INDEX('Arroz irrigado'!$E21:$Z21,MIN(AP$6-$G$3,22))),0)))))</f>
        <v>0</v>
      </c>
      <c r="AQ23" s="27" t="n">
        <f aca="false">IF(COUNT('Arroz irrigado'!$E21:$Z21)=0,0,MAX(0,IF((AQ$6-$E$3)&lt;1,0,IFERROR(LOOKUP(2,1/('Arroz irrigado'!$E21:INDEX('Arroz irrigado'!$E21:$Z21,MIN(AQ$6-$E$3,22))&lt;&gt;""),'Arroz irrigado'!$E21:INDEX('Arroz irrigado'!$E21:$Z21,MIN(AQ$6-$E$3,22))),0))-IF($G$2,0,IF((AQ$6-$G$3)&lt;1,0,IFERROR(LOOKUP(2,1/('Arroz irrigado'!$E21:INDEX('Arroz irrigado'!$E21:$Z21,MIN(AQ$6-$G$3,22))&lt;&gt;""),'Arroz irrigado'!$E21:INDEX('Arroz irrigado'!$E21:$Z21,MIN(AQ$6-$G$3,22))),0)))))</f>
        <v>0</v>
      </c>
      <c r="AR23" s="27" t="n">
        <f aca="false">IF(COUNT('Arroz irrigado'!$E21:$Z21)=0,0,MAX(0,IF((AR$6-$E$3)&lt;1,0,IFERROR(LOOKUP(2,1/('Arroz irrigado'!$E21:INDEX('Arroz irrigado'!$E21:$Z21,MIN(AR$6-$E$3,22))&lt;&gt;""),'Arroz irrigado'!$E21:INDEX('Arroz irrigado'!$E21:$Z21,MIN(AR$6-$E$3,22))),0))-IF($G$2,0,IF((AR$6-$G$3)&lt;1,0,IFERROR(LOOKUP(2,1/('Arroz irrigado'!$E21:INDEX('Arroz irrigado'!$E21:$Z21,MIN(AR$6-$G$3,22))&lt;&gt;""),'Arroz irrigado'!$E21:INDEX('Arroz irrigado'!$E21:$Z21,MIN(AR$6-$G$3,22))),0)))))</f>
        <v>0</v>
      </c>
      <c r="AS23" s="27" t="n">
        <f aca="false">IF(COUNT('Arroz irrigado'!$E21:$Z21)=0,0,MAX(0,IF((AS$6-$E$3)&lt;1,0,IFERROR(LOOKUP(2,1/('Arroz irrigado'!$E21:INDEX('Arroz irrigado'!$E21:$Z21,MIN(AS$6-$E$3,22))&lt;&gt;""),'Arroz irrigado'!$E21:INDEX('Arroz irrigado'!$E21:$Z21,MIN(AS$6-$E$3,22))),0))-IF($G$2,0,IF((AS$6-$G$3)&lt;1,0,IFERROR(LOOKUP(2,1/('Arroz irrigado'!$E21:INDEX('Arroz irrigado'!$E21:$Z21,MIN(AS$6-$G$3,22))&lt;&gt;""),'Arroz irrigado'!$E21:INDEX('Arroz irrigado'!$E21:$Z21,MIN(AS$6-$G$3,22))),0)))))</f>
        <v>0</v>
      </c>
      <c r="AT23" s="27" t="n">
        <f aca="false">IF(COUNT('Arroz irrigado'!$E21:$Z21)=0,0,MAX(0,IF((AT$6-$E$3)&lt;1,0,IFERROR(LOOKUP(2,1/('Arroz irrigado'!$E21:INDEX('Arroz irrigado'!$E21:$Z21,MIN(AT$6-$E$3,22))&lt;&gt;""),'Arroz irrigado'!$E21:INDEX('Arroz irrigado'!$E21:$Z21,MIN(AT$6-$E$3,22))),0))-IF($G$2,0,IF((AT$6-$G$3)&lt;1,0,IFERROR(LOOKUP(2,1/('Arroz irrigado'!$E21:INDEX('Arroz irrigado'!$E21:$Z21,MIN(AT$6-$G$3,22))&lt;&gt;""),'Arroz irrigado'!$E21:INDEX('Arroz irrigado'!$E21:$Z21,MIN(AT$6-$G$3,22))),0)))))</f>
        <v>0</v>
      </c>
      <c r="AU23" s="27" t="n">
        <f aca="false">IF(COUNT('Arroz irrigado'!$E21:$Z21)=0,0,MAX(0,IF((AU$6-$E$3)&lt;1,0,IFERROR(LOOKUP(2,1/('Arroz irrigado'!$E21:INDEX('Arroz irrigado'!$E21:$Z21,MIN(AU$6-$E$3,22))&lt;&gt;""),'Arroz irrigado'!$E21:INDEX('Arroz irrigado'!$E21:$Z21,MIN(AU$6-$E$3,22))),0))-IF($G$2,0,IF((AU$6-$G$3)&lt;1,0,IFERROR(LOOKUP(2,1/('Arroz irrigado'!$E21:INDEX('Arroz irrigado'!$E21:$Z21,MIN(AU$6-$G$3,22))&lt;&gt;""),'Arroz irrigado'!$E21:INDEX('Arroz irrigado'!$E21:$Z21,MIN(AU$6-$G$3,22))),0)))))</f>
        <v>0</v>
      </c>
      <c r="AV23" s="27" t="n">
        <f aca="false">IF(COUNT('Arroz irrigado'!$E21:$Z21)=0,0,MAX(0,IF((AV$6-$E$3)&lt;1,0,IFERROR(LOOKUP(2,1/('Arroz irrigado'!$E21:INDEX('Arroz irrigado'!$E21:$Z21,MIN(AV$6-$E$3,22))&lt;&gt;""),'Arroz irrigado'!$E21:INDEX('Arroz irrigado'!$E21:$Z21,MIN(AV$6-$E$3,22))),0))-IF($G$2,0,IF((AV$6-$G$3)&lt;1,0,IFERROR(LOOKUP(2,1/('Arroz irrigado'!$E21:INDEX('Arroz irrigado'!$E21:$Z21,MIN(AV$6-$G$3,22))&lt;&gt;""),'Arroz irrigado'!$E21:INDEX('Arroz irrigado'!$E21:$Z21,MIN(AV$6-$G$3,22))),0)))))</f>
        <v>0</v>
      </c>
      <c r="AW23" s="27" t="n">
        <f aca="false">IF(COUNT('Arroz irrigado'!$E21:$Z21)=0,0,MAX(0,IF((AW$6-$E$3)&lt;1,0,IFERROR(LOOKUP(2,1/('Arroz irrigado'!$E21:INDEX('Arroz irrigado'!$E21:$Z21,MIN(AW$6-$E$3,22))&lt;&gt;""),'Arroz irrigado'!$E21:INDEX('Arroz irrigado'!$E21:$Z21,MIN(AW$6-$E$3,22))),0))-IF($G$2,0,IF((AW$6-$G$3)&lt;1,0,IFERROR(LOOKUP(2,1/('Arroz irrigado'!$E21:INDEX('Arroz irrigado'!$E21:$Z21,MIN(AW$6-$G$3,22))&lt;&gt;""),'Arroz irrigado'!$E21:INDEX('Arroz irrigado'!$E21:$Z21,MIN(AW$6-$G$3,22))),0)))))</f>
        <v>0</v>
      </c>
      <c r="AX23" s="27" t="n">
        <f aca="false">IF(COUNT('Arroz irrigado'!$E21:$Z21)=0,0,MAX(0,IF((AX$6-$E$3)&lt;1,0,IFERROR(LOOKUP(2,1/('Arroz irrigado'!$E21:INDEX('Arroz irrigado'!$E21:$Z21,MIN(AX$6-$E$3,22))&lt;&gt;""),'Arroz irrigado'!$E21:INDEX('Arroz irrigado'!$E21:$Z21,MIN(AX$6-$E$3,22))),0))-IF($G$2,0,IF((AX$6-$G$3)&lt;1,0,IFERROR(LOOKUP(2,1/('Arroz irrigado'!$E21:INDEX('Arroz irrigado'!$E21:$Z21,MIN(AX$6-$G$3,22))&lt;&gt;""),'Arroz irrigado'!$E21:INDEX('Arroz irrigado'!$E21:$Z21,MIN(AX$6-$G$3,22))),0)))))</f>
        <v>0</v>
      </c>
      <c r="AY23" s="27" t="n">
        <f aca="false">IF(COUNT('Arroz irrigado'!$E21:$Z21)=0,0,MAX(0,IF((AY$6-$E$3)&lt;1,0,IFERROR(LOOKUP(2,1/('Arroz irrigado'!$E21:INDEX('Arroz irrigado'!$E21:$Z21,MIN(AY$6-$E$3,22))&lt;&gt;""),'Arroz irrigado'!$E21:INDEX('Arroz irrigado'!$E21:$Z21,MIN(AY$6-$E$3,22))),0))-IF($G$2,0,IF((AY$6-$G$3)&lt;1,0,IFERROR(LOOKUP(2,1/('Arroz irrigado'!$E21:INDEX('Arroz irrigado'!$E21:$Z21,MIN(AY$6-$G$3,22))&lt;&gt;""),'Arroz irrigado'!$E21:INDEX('Arroz irrigado'!$E21:$Z21,MIN(AY$6-$G$3,22))),0)))))</f>
        <v>0</v>
      </c>
      <c r="AZ23" s="27" t="n">
        <f aca="false">IF(COUNT('Arroz irrigado'!$E21:$Z21)=0,0,MAX(0,IF((AZ$6-$E$3)&lt;1,0,IFERROR(LOOKUP(2,1/('Arroz irrigado'!$E21:INDEX('Arroz irrigado'!$E21:$Z21,MIN(AZ$6-$E$3,22))&lt;&gt;""),'Arroz irrigado'!$E21:INDEX('Arroz irrigado'!$E21:$Z21,MIN(AZ$6-$E$3,22))),0))-IF($G$2,0,IF((AZ$6-$G$3)&lt;1,0,IFERROR(LOOKUP(2,1/('Arroz irrigado'!$E21:INDEX('Arroz irrigado'!$E21:$Z21,MIN(AZ$6-$G$3,22))&lt;&gt;""),'Arroz irrigado'!$E21:INDEX('Arroz irrigado'!$E21:$Z21,MIN(AZ$6-$G$3,22))),0)))))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IF(COUNT('Arroz irrigado'!$E22:$Z22)&gt;0,N('Arroz irrigado'!$D22),0)</f>
        <v>0</v>
      </c>
      <c r="E24" s="27" t="n">
        <f aca="false">IF(COUNT('Arroz irrigado'!$E22:$Z22)=0,0,MAX(0,IF((E$6-$E$3)&lt;1,0,IFERROR(LOOKUP(2,1/('Arroz irrigado'!$E22:INDEX('Arroz irrigado'!$E22:$Z22,MIN(E$6-$E$3,22))&lt;&gt;""),'Arroz irrigado'!$E22:INDEX('Arroz irrigado'!$E22:$Z22,MIN(E$6-$E$3,22))),0))-IF($G$2,0,IF((E$6-$G$3)&lt;1,0,IFERROR(LOOKUP(2,1/('Arroz irrigado'!$E22:INDEX('Arroz irrigado'!$E22:$Z22,MIN(E$6-$G$3,22))&lt;&gt;""),'Arroz irrigado'!$E22:INDEX('Arroz irrigado'!$E22:$Z22,MIN(E$6-$G$3,22))),0)))))</f>
        <v>0</v>
      </c>
      <c r="F24" s="27" t="n">
        <f aca="false">IF(COUNT('Arroz irrigado'!$E22:$Z22)=0,0,MAX(0,IF((F$6-$E$3)&lt;1,0,IFERROR(LOOKUP(2,1/('Arroz irrigado'!$E22:INDEX('Arroz irrigado'!$E22:$Z22,MIN(F$6-$E$3,22))&lt;&gt;""),'Arroz irrigado'!$E22:INDEX('Arroz irrigado'!$E22:$Z22,MIN(F$6-$E$3,22))),0))-IF($G$2,0,IF((F$6-$G$3)&lt;1,0,IFERROR(LOOKUP(2,1/('Arroz irrigado'!$E22:INDEX('Arroz irrigado'!$E22:$Z22,MIN(F$6-$G$3,22))&lt;&gt;""),'Arroz irrigado'!$E22:INDEX('Arroz irrigado'!$E22:$Z22,MIN(F$6-$G$3,22))),0)))))</f>
        <v>0</v>
      </c>
      <c r="G24" s="27" t="n">
        <f aca="false">IF(COUNT('Arroz irrigado'!$E22:$Z22)=0,0,MAX(0,IF((G$6-$E$3)&lt;1,0,IFERROR(LOOKUP(2,1/('Arroz irrigado'!$E22:INDEX('Arroz irrigado'!$E22:$Z22,MIN(G$6-$E$3,22))&lt;&gt;""),'Arroz irrigado'!$E22:INDEX('Arroz irrigado'!$E22:$Z22,MIN(G$6-$E$3,22))),0))-IF($G$2,0,IF((G$6-$G$3)&lt;1,0,IFERROR(LOOKUP(2,1/('Arroz irrigado'!$E22:INDEX('Arroz irrigado'!$E22:$Z22,MIN(G$6-$G$3,22))&lt;&gt;""),'Arroz irrigado'!$E22:INDEX('Arroz irrigado'!$E22:$Z22,MIN(G$6-$G$3,22))),0)))))</f>
        <v>0</v>
      </c>
      <c r="H24" s="27" t="n">
        <f aca="false">IF(COUNT('Arroz irrigado'!$E22:$Z22)=0,0,MAX(0,IF((H$6-$E$3)&lt;1,0,IFERROR(LOOKUP(2,1/('Arroz irrigado'!$E22:INDEX('Arroz irrigado'!$E22:$Z22,MIN(H$6-$E$3,22))&lt;&gt;""),'Arroz irrigado'!$E22:INDEX('Arroz irrigado'!$E22:$Z22,MIN(H$6-$E$3,22))),0))-IF($G$2,0,IF((H$6-$G$3)&lt;1,0,IFERROR(LOOKUP(2,1/('Arroz irrigado'!$E22:INDEX('Arroz irrigado'!$E22:$Z22,MIN(H$6-$G$3,22))&lt;&gt;""),'Arroz irrigado'!$E22:INDEX('Arroz irrigado'!$E22:$Z22,MIN(H$6-$G$3,22))),0)))))</f>
        <v>0</v>
      </c>
      <c r="I24" s="27" t="n">
        <f aca="false">IF(COUNT('Arroz irrigado'!$E22:$Z22)=0,0,MAX(0,IF((I$6-$E$3)&lt;1,0,IFERROR(LOOKUP(2,1/('Arroz irrigado'!$E22:INDEX('Arroz irrigado'!$E22:$Z22,MIN(I$6-$E$3,22))&lt;&gt;""),'Arroz irrigado'!$E22:INDEX('Arroz irrigado'!$E22:$Z22,MIN(I$6-$E$3,22))),0))-IF($G$2,0,IF((I$6-$G$3)&lt;1,0,IFERROR(LOOKUP(2,1/('Arroz irrigado'!$E22:INDEX('Arroz irrigado'!$E22:$Z22,MIN(I$6-$G$3,22))&lt;&gt;""),'Arroz irrigado'!$E22:INDEX('Arroz irrigado'!$E22:$Z22,MIN(I$6-$G$3,22))),0)))))</f>
        <v>0</v>
      </c>
      <c r="J24" s="27" t="n">
        <f aca="false">IF(COUNT('Arroz irrigado'!$E22:$Z22)=0,0,MAX(0,IF((J$6-$E$3)&lt;1,0,IFERROR(LOOKUP(2,1/('Arroz irrigado'!$E22:INDEX('Arroz irrigado'!$E22:$Z22,MIN(J$6-$E$3,22))&lt;&gt;""),'Arroz irrigado'!$E22:INDEX('Arroz irrigado'!$E22:$Z22,MIN(J$6-$E$3,22))),0))-IF($G$2,0,IF((J$6-$G$3)&lt;1,0,IFERROR(LOOKUP(2,1/('Arroz irrigado'!$E22:INDEX('Arroz irrigado'!$E22:$Z22,MIN(J$6-$G$3,22))&lt;&gt;""),'Arroz irrigado'!$E22:INDEX('Arroz irrigado'!$E22:$Z22,MIN(J$6-$G$3,22))),0)))))</f>
        <v>0</v>
      </c>
      <c r="K24" s="27" t="n">
        <f aca="false">IF(COUNT('Arroz irrigado'!$E22:$Z22)=0,0,MAX(0,IF((K$6-$E$3)&lt;1,0,IFERROR(LOOKUP(2,1/('Arroz irrigado'!$E22:INDEX('Arroz irrigado'!$E22:$Z22,MIN(K$6-$E$3,22))&lt;&gt;""),'Arroz irrigado'!$E22:INDEX('Arroz irrigado'!$E22:$Z22,MIN(K$6-$E$3,22))),0))-IF($G$2,0,IF((K$6-$G$3)&lt;1,0,IFERROR(LOOKUP(2,1/('Arroz irrigado'!$E22:INDEX('Arroz irrigado'!$E22:$Z22,MIN(K$6-$G$3,22))&lt;&gt;""),'Arroz irrigado'!$E22:INDEX('Arroz irrigado'!$E22:$Z22,MIN(K$6-$G$3,22))),0)))))</f>
        <v>0</v>
      </c>
      <c r="L24" s="27" t="n">
        <f aca="false">IF(COUNT('Arroz irrigado'!$E22:$Z22)=0,0,MAX(0,IF((L$6-$E$3)&lt;1,0,IFERROR(LOOKUP(2,1/('Arroz irrigado'!$E22:INDEX('Arroz irrigado'!$E22:$Z22,MIN(L$6-$E$3,22))&lt;&gt;""),'Arroz irrigado'!$E22:INDEX('Arroz irrigado'!$E22:$Z22,MIN(L$6-$E$3,22))),0))-IF($G$2,0,IF((L$6-$G$3)&lt;1,0,IFERROR(LOOKUP(2,1/('Arroz irrigado'!$E22:INDEX('Arroz irrigado'!$E22:$Z22,MIN(L$6-$G$3,22))&lt;&gt;""),'Arroz irrigado'!$E22:INDEX('Arroz irrigado'!$E22:$Z22,MIN(L$6-$G$3,22))),0)))))</f>
        <v>0</v>
      </c>
      <c r="M24" s="27" t="n">
        <f aca="false">IF(COUNT('Arroz irrigado'!$E22:$Z22)=0,0,MAX(0,IF((M$6-$E$3)&lt;1,0,IFERROR(LOOKUP(2,1/('Arroz irrigado'!$E22:INDEX('Arroz irrigado'!$E22:$Z22,MIN(M$6-$E$3,22))&lt;&gt;""),'Arroz irrigado'!$E22:INDEX('Arroz irrigado'!$E22:$Z22,MIN(M$6-$E$3,22))),0))-IF($G$2,0,IF((M$6-$G$3)&lt;1,0,IFERROR(LOOKUP(2,1/('Arroz irrigado'!$E22:INDEX('Arroz irrigado'!$E22:$Z22,MIN(M$6-$G$3,22))&lt;&gt;""),'Arroz irrigado'!$E22:INDEX('Arroz irrigado'!$E22:$Z22,MIN(M$6-$G$3,22))),0)))))</f>
        <v>0</v>
      </c>
      <c r="N24" s="27" t="n">
        <f aca="false">IF(COUNT('Arroz irrigado'!$E22:$Z22)=0,0,MAX(0,IF((N$6-$E$3)&lt;1,0,IFERROR(LOOKUP(2,1/('Arroz irrigado'!$E22:INDEX('Arroz irrigado'!$E22:$Z22,MIN(N$6-$E$3,22))&lt;&gt;""),'Arroz irrigado'!$E22:INDEX('Arroz irrigado'!$E22:$Z22,MIN(N$6-$E$3,22))),0))-IF($G$2,0,IF((N$6-$G$3)&lt;1,0,IFERROR(LOOKUP(2,1/('Arroz irrigado'!$E22:INDEX('Arroz irrigado'!$E22:$Z22,MIN(N$6-$G$3,22))&lt;&gt;""),'Arroz irrigado'!$E22:INDEX('Arroz irrigado'!$E22:$Z22,MIN(N$6-$G$3,22))),0)))))</f>
        <v>0</v>
      </c>
      <c r="O24" s="27" t="n">
        <f aca="false">IF(COUNT('Arroz irrigado'!$E22:$Z22)=0,0,MAX(0,IF((O$6-$E$3)&lt;1,0,IFERROR(LOOKUP(2,1/('Arroz irrigado'!$E22:INDEX('Arroz irrigado'!$E22:$Z22,MIN(O$6-$E$3,22))&lt;&gt;""),'Arroz irrigado'!$E22:INDEX('Arroz irrigado'!$E22:$Z22,MIN(O$6-$E$3,22))),0))-IF($G$2,0,IF((O$6-$G$3)&lt;1,0,IFERROR(LOOKUP(2,1/('Arroz irrigado'!$E22:INDEX('Arroz irrigado'!$E22:$Z22,MIN(O$6-$G$3,22))&lt;&gt;""),'Arroz irrigado'!$E22:INDEX('Arroz irrigado'!$E22:$Z22,MIN(O$6-$G$3,22))),0)))))</f>
        <v>0</v>
      </c>
      <c r="P24" s="27" t="n">
        <f aca="false">IF(COUNT('Arroz irrigado'!$E22:$Z22)=0,0,MAX(0,IF((P$6-$E$3)&lt;1,0,IFERROR(LOOKUP(2,1/('Arroz irrigado'!$E22:INDEX('Arroz irrigado'!$E22:$Z22,MIN(P$6-$E$3,22))&lt;&gt;""),'Arroz irrigado'!$E22:INDEX('Arroz irrigado'!$E22:$Z22,MIN(P$6-$E$3,22))),0))-IF($G$2,0,IF((P$6-$G$3)&lt;1,0,IFERROR(LOOKUP(2,1/('Arroz irrigado'!$E22:INDEX('Arroz irrigado'!$E22:$Z22,MIN(P$6-$G$3,22))&lt;&gt;""),'Arroz irrigado'!$E22:INDEX('Arroz irrigado'!$E22:$Z22,MIN(P$6-$G$3,22))),0)))))</f>
        <v>0</v>
      </c>
      <c r="Q24" s="27" t="n">
        <f aca="false">IF(COUNT('Arroz irrigado'!$E22:$Z22)=0,0,MAX(0,IF((Q$6-$E$3)&lt;1,0,IFERROR(LOOKUP(2,1/('Arroz irrigado'!$E22:INDEX('Arroz irrigado'!$E22:$Z22,MIN(Q$6-$E$3,22))&lt;&gt;""),'Arroz irrigado'!$E22:INDEX('Arroz irrigado'!$E22:$Z22,MIN(Q$6-$E$3,22))),0))-IF($G$2,0,IF((Q$6-$G$3)&lt;1,0,IFERROR(LOOKUP(2,1/('Arroz irrigado'!$E22:INDEX('Arroz irrigado'!$E22:$Z22,MIN(Q$6-$G$3,22))&lt;&gt;""),'Arroz irrigado'!$E22:INDEX('Arroz irrigado'!$E22:$Z22,MIN(Q$6-$G$3,22))),0)))))</f>
        <v>0</v>
      </c>
      <c r="R24" s="27" t="n">
        <f aca="false">IF(COUNT('Arroz irrigado'!$E22:$Z22)=0,0,MAX(0,IF((R$6-$E$3)&lt;1,0,IFERROR(LOOKUP(2,1/('Arroz irrigado'!$E22:INDEX('Arroz irrigado'!$E22:$Z22,MIN(R$6-$E$3,22))&lt;&gt;""),'Arroz irrigado'!$E22:INDEX('Arroz irrigado'!$E22:$Z22,MIN(R$6-$E$3,22))),0))-IF($G$2,0,IF((R$6-$G$3)&lt;1,0,IFERROR(LOOKUP(2,1/('Arroz irrigado'!$E22:INDEX('Arroz irrigado'!$E22:$Z22,MIN(R$6-$G$3,22))&lt;&gt;""),'Arroz irrigado'!$E22:INDEX('Arroz irrigado'!$E22:$Z22,MIN(R$6-$G$3,22))),0)))))</f>
        <v>0</v>
      </c>
      <c r="S24" s="27" t="n">
        <f aca="false">IF(COUNT('Arroz irrigado'!$E22:$Z22)=0,0,MAX(0,IF((S$6-$E$3)&lt;1,0,IFERROR(LOOKUP(2,1/('Arroz irrigado'!$E22:INDEX('Arroz irrigado'!$E22:$Z22,MIN(S$6-$E$3,22))&lt;&gt;""),'Arroz irrigado'!$E22:INDEX('Arroz irrigado'!$E22:$Z22,MIN(S$6-$E$3,22))),0))-IF($G$2,0,IF((S$6-$G$3)&lt;1,0,IFERROR(LOOKUP(2,1/('Arroz irrigado'!$E22:INDEX('Arroz irrigado'!$E22:$Z22,MIN(S$6-$G$3,22))&lt;&gt;""),'Arroz irrigado'!$E22:INDEX('Arroz irrigado'!$E22:$Z22,MIN(S$6-$G$3,22))),0)))))</f>
        <v>0</v>
      </c>
      <c r="T24" s="27" t="n">
        <f aca="false">IF(COUNT('Arroz irrigado'!$E22:$Z22)=0,0,MAX(0,IF((T$6-$E$3)&lt;1,0,IFERROR(LOOKUP(2,1/('Arroz irrigado'!$E22:INDEX('Arroz irrigado'!$E22:$Z22,MIN(T$6-$E$3,22))&lt;&gt;""),'Arroz irrigado'!$E22:INDEX('Arroz irrigado'!$E22:$Z22,MIN(T$6-$E$3,22))),0))-IF($G$2,0,IF((T$6-$G$3)&lt;1,0,IFERROR(LOOKUP(2,1/('Arroz irrigado'!$E22:INDEX('Arroz irrigado'!$E22:$Z22,MIN(T$6-$G$3,22))&lt;&gt;""),'Arroz irrigado'!$E22:INDEX('Arroz irrigado'!$E22:$Z22,MIN(T$6-$G$3,22))),0)))))</f>
        <v>0</v>
      </c>
      <c r="U24" s="27" t="n">
        <f aca="false">IF(COUNT('Arroz irrigado'!$E22:$Z22)=0,0,MAX(0,IF((U$6-$E$3)&lt;1,0,IFERROR(LOOKUP(2,1/('Arroz irrigado'!$E22:INDEX('Arroz irrigado'!$E22:$Z22,MIN(U$6-$E$3,22))&lt;&gt;""),'Arroz irrigado'!$E22:INDEX('Arroz irrigado'!$E22:$Z22,MIN(U$6-$E$3,22))),0))-IF($G$2,0,IF((U$6-$G$3)&lt;1,0,IFERROR(LOOKUP(2,1/('Arroz irrigado'!$E22:INDEX('Arroz irrigado'!$E22:$Z22,MIN(U$6-$G$3,22))&lt;&gt;""),'Arroz irrigado'!$E22:INDEX('Arroz irrigado'!$E22:$Z22,MIN(U$6-$G$3,22))),0)))))</f>
        <v>0</v>
      </c>
      <c r="V24" s="27" t="n">
        <f aca="false">IF(COUNT('Arroz irrigado'!$E22:$Z22)=0,0,MAX(0,IF((V$6-$E$3)&lt;1,0,IFERROR(LOOKUP(2,1/('Arroz irrigado'!$E22:INDEX('Arroz irrigado'!$E22:$Z22,MIN(V$6-$E$3,22))&lt;&gt;""),'Arroz irrigado'!$E22:INDEX('Arroz irrigado'!$E22:$Z22,MIN(V$6-$E$3,22))),0))-IF($G$2,0,IF((V$6-$G$3)&lt;1,0,IFERROR(LOOKUP(2,1/('Arroz irrigado'!$E22:INDEX('Arroz irrigado'!$E22:$Z22,MIN(V$6-$G$3,22))&lt;&gt;""),'Arroz irrigado'!$E22:INDEX('Arroz irrigado'!$E22:$Z22,MIN(V$6-$G$3,22))),0)))))</f>
        <v>0</v>
      </c>
      <c r="W24" s="27" t="n">
        <f aca="false">IF(COUNT('Arroz irrigado'!$E22:$Z22)=0,0,MAX(0,IF((W$6-$E$3)&lt;1,0,IFERROR(LOOKUP(2,1/('Arroz irrigado'!$E22:INDEX('Arroz irrigado'!$E22:$Z22,MIN(W$6-$E$3,22))&lt;&gt;""),'Arroz irrigado'!$E22:INDEX('Arroz irrigado'!$E22:$Z22,MIN(W$6-$E$3,22))),0))-IF($G$2,0,IF((W$6-$G$3)&lt;1,0,IFERROR(LOOKUP(2,1/('Arroz irrigado'!$E22:INDEX('Arroz irrigado'!$E22:$Z22,MIN(W$6-$G$3,22))&lt;&gt;""),'Arroz irrigado'!$E22:INDEX('Arroz irrigado'!$E22:$Z22,MIN(W$6-$G$3,22))),0)))))</f>
        <v>0</v>
      </c>
      <c r="X24" s="27" t="n">
        <f aca="false">IF(COUNT('Arroz irrigado'!$E22:$Z22)=0,0,MAX(0,IF((X$6-$E$3)&lt;1,0,IFERROR(LOOKUP(2,1/('Arroz irrigado'!$E22:INDEX('Arroz irrigado'!$E22:$Z22,MIN(X$6-$E$3,22))&lt;&gt;""),'Arroz irrigado'!$E22:INDEX('Arroz irrigado'!$E22:$Z22,MIN(X$6-$E$3,22))),0))-IF($G$2,0,IF((X$6-$G$3)&lt;1,0,IFERROR(LOOKUP(2,1/('Arroz irrigado'!$E22:INDEX('Arroz irrigado'!$E22:$Z22,MIN(X$6-$G$3,22))&lt;&gt;""),'Arroz irrigado'!$E22:INDEX('Arroz irrigado'!$E22:$Z22,MIN(X$6-$G$3,22))),0)))))</f>
        <v>0</v>
      </c>
      <c r="Y24" s="27" t="n">
        <f aca="false">IF(COUNT('Arroz irrigado'!$E22:$Z22)=0,0,MAX(0,IF((Y$6-$E$3)&lt;1,0,IFERROR(LOOKUP(2,1/('Arroz irrigado'!$E22:INDEX('Arroz irrigado'!$E22:$Z22,MIN(Y$6-$E$3,22))&lt;&gt;""),'Arroz irrigado'!$E22:INDEX('Arroz irrigado'!$E22:$Z22,MIN(Y$6-$E$3,22))),0))-IF($G$2,0,IF((Y$6-$G$3)&lt;1,0,IFERROR(LOOKUP(2,1/('Arroz irrigado'!$E22:INDEX('Arroz irrigado'!$E22:$Z22,MIN(Y$6-$G$3,22))&lt;&gt;""),'Arroz irrigado'!$E22:INDEX('Arroz irrigado'!$E22:$Z22,MIN(Y$6-$G$3,22))),0)))))</f>
        <v>0</v>
      </c>
      <c r="Z24" s="27" t="n">
        <f aca="false">IF(COUNT('Arroz irrigado'!$E22:$Z22)=0,0,MAX(0,IF((Z$6-$E$3)&lt;1,0,IFERROR(LOOKUP(2,1/('Arroz irrigado'!$E22:INDEX('Arroz irrigado'!$E22:$Z22,MIN(Z$6-$E$3,22))&lt;&gt;""),'Arroz irrigado'!$E22:INDEX('Arroz irrigado'!$E22:$Z22,MIN(Z$6-$E$3,22))),0))-IF($G$2,0,IF((Z$6-$G$3)&lt;1,0,IFERROR(LOOKUP(2,1/('Arroz irrigado'!$E22:INDEX('Arroz irrigado'!$E22:$Z22,MIN(Z$6-$G$3,22))&lt;&gt;""),'Arroz irrigado'!$E22:INDEX('Arroz irrigado'!$E22:$Z22,MIN(Z$6-$G$3,22))),0)))))</f>
        <v>0</v>
      </c>
      <c r="AA24" s="27" t="n">
        <f aca="false">IF(COUNT('Arroz irrigado'!$E22:$Z22)=0,0,MAX(0,IF((AA$6-$E$3)&lt;1,0,IFERROR(LOOKUP(2,1/('Arroz irrigado'!$E22:INDEX('Arroz irrigado'!$E22:$Z22,MIN(AA$6-$E$3,22))&lt;&gt;""),'Arroz irrigado'!$E22:INDEX('Arroz irrigado'!$E22:$Z22,MIN(AA$6-$E$3,22))),0))-IF($G$2,0,IF((AA$6-$G$3)&lt;1,0,IFERROR(LOOKUP(2,1/('Arroz irrigado'!$E22:INDEX('Arroz irrigado'!$E22:$Z22,MIN(AA$6-$G$3,22))&lt;&gt;""),'Arroz irrigado'!$E22:INDEX('Arroz irrigado'!$E22:$Z22,MIN(AA$6-$G$3,22))),0)))))</f>
        <v>0</v>
      </c>
      <c r="AB24" s="27" t="n">
        <f aca="false">IF(COUNT('Arroz irrigado'!$E22:$Z22)=0,0,MAX(0,IF((AB$6-$E$3)&lt;1,0,IFERROR(LOOKUP(2,1/('Arroz irrigado'!$E22:INDEX('Arroz irrigado'!$E22:$Z22,MIN(AB$6-$E$3,22))&lt;&gt;""),'Arroz irrigado'!$E22:INDEX('Arroz irrigado'!$E22:$Z22,MIN(AB$6-$E$3,22))),0))-IF($G$2,0,IF((AB$6-$G$3)&lt;1,0,IFERROR(LOOKUP(2,1/('Arroz irrigado'!$E22:INDEX('Arroz irrigado'!$E22:$Z22,MIN(AB$6-$G$3,22))&lt;&gt;""),'Arroz irrigado'!$E22:INDEX('Arroz irrigado'!$E22:$Z22,MIN(AB$6-$G$3,22))),0)))))</f>
        <v>0</v>
      </c>
      <c r="AC24" s="27" t="n">
        <f aca="false">IF(COUNT('Arroz irrigado'!$E22:$Z22)=0,0,MAX(0,IF((AC$6-$E$3)&lt;1,0,IFERROR(LOOKUP(2,1/('Arroz irrigado'!$E22:INDEX('Arroz irrigado'!$E22:$Z22,MIN(AC$6-$E$3,22))&lt;&gt;""),'Arroz irrigado'!$E22:INDEX('Arroz irrigado'!$E22:$Z22,MIN(AC$6-$E$3,22))),0))-IF($G$2,0,IF((AC$6-$G$3)&lt;1,0,IFERROR(LOOKUP(2,1/('Arroz irrigado'!$E22:INDEX('Arroz irrigado'!$E22:$Z22,MIN(AC$6-$G$3,22))&lt;&gt;""),'Arroz irrigado'!$E22:INDEX('Arroz irrigado'!$E22:$Z22,MIN(AC$6-$G$3,22))),0)))))</f>
        <v>0</v>
      </c>
      <c r="AD24" s="27" t="n">
        <f aca="false">IF(COUNT('Arroz irrigado'!$E22:$Z22)=0,0,MAX(0,IF((AD$6-$E$3)&lt;1,0,IFERROR(LOOKUP(2,1/('Arroz irrigado'!$E22:INDEX('Arroz irrigado'!$E22:$Z22,MIN(AD$6-$E$3,22))&lt;&gt;""),'Arroz irrigado'!$E22:INDEX('Arroz irrigado'!$E22:$Z22,MIN(AD$6-$E$3,22))),0))-IF($G$2,0,IF((AD$6-$G$3)&lt;1,0,IFERROR(LOOKUP(2,1/('Arroz irrigado'!$E22:INDEX('Arroz irrigado'!$E22:$Z22,MIN(AD$6-$G$3,22))&lt;&gt;""),'Arroz irrigado'!$E22:INDEX('Arroz irrigado'!$E22:$Z22,MIN(AD$6-$G$3,22))),0)))))</f>
        <v>0</v>
      </c>
      <c r="AE24" s="27" t="n">
        <f aca="false">IF(COUNT('Arroz irrigado'!$E22:$Z22)=0,0,MAX(0,IF((AE$6-$E$3)&lt;1,0,IFERROR(LOOKUP(2,1/('Arroz irrigado'!$E22:INDEX('Arroz irrigado'!$E22:$Z22,MIN(AE$6-$E$3,22))&lt;&gt;""),'Arroz irrigado'!$E22:INDEX('Arroz irrigado'!$E22:$Z22,MIN(AE$6-$E$3,22))),0))-IF($G$2,0,IF((AE$6-$G$3)&lt;1,0,IFERROR(LOOKUP(2,1/('Arroz irrigado'!$E22:INDEX('Arroz irrigado'!$E22:$Z22,MIN(AE$6-$G$3,22))&lt;&gt;""),'Arroz irrigado'!$E22:INDEX('Arroz irrigado'!$E22:$Z22,MIN(AE$6-$G$3,22))),0)))))</f>
        <v>0</v>
      </c>
      <c r="AF24" s="27" t="n">
        <f aca="false">IF(COUNT('Arroz irrigado'!$E22:$Z22)=0,0,MAX(0,IF((AF$6-$E$3)&lt;1,0,IFERROR(LOOKUP(2,1/('Arroz irrigado'!$E22:INDEX('Arroz irrigado'!$E22:$Z22,MIN(AF$6-$E$3,22))&lt;&gt;""),'Arroz irrigado'!$E22:INDEX('Arroz irrigado'!$E22:$Z22,MIN(AF$6-$E$3,22))),0))-IF($G$2,0,IF((AF$6-$G$3)&lt;1,0,IFERROR(LOOKUP(2,1/('Arroz irrigado'!$E22:INDEX('Arroz irrigado'!$E22:$Z22,MIN(AF$6-$G$3,22))&lt;&gt;""),'Arroz irrigado'!$E22:INDEX('Arroz irrigado'!$E22:$Z22,MIN(AF$6-$G$3,22))),0)))))</f>
        <v>0</v>
      </c>
      <c r="AG24" s="27" t="n">
        <f aca="false">IF(COUNT('Arroz irrigado'!$E22:$Z22)=0,0,MAX(0,IF((AG$6-$E$3)&lt;1,0,IFERROR(LOOKUP(2,1/('Arroz irrigado'!$E22:INDEX('Arroz irrigado'!$E22:$Z22,MIN(AG$6-$E$3,22))&lt;&gt;""),'Arroz irrigado'!$E22:INDEX('Arroz irrigado'!$E22:$Z22,MIN(AG$6-$E$3,22))),0))-IF($G$2,0,IF((AG$6-$G$3)&lt;1,0,IFERROR(LOOKUP(2,1/('Arroz irrigado'!$E22:INDEX('Arroz irrigado'!$E22:$Z22,MIN(AG$6-$G$3,22))&lt;&gt;""),'Arroz irrigado'!$E22:INDEX('Arroz irrigado'!$E22:$Z22,MIN(AG$6-$G$3,22))),0)))))</f>
        <v>0</v>
      </c>
      <c r="AH24" s="27" t="n">
        <f aca="false">IF(COUNT('Arroz irrigado'!$E22:$Z22)=0,0,MAX(0,IF((AH$6-$E$3)&lt;1,0,IFERROR(LOOKUP(2,1/('Arroz irrigado'!$E22:INDEX('Arroz irrigado'!$E22:$Z22,MIN(AH$6-$E$3,22))&lt;&gt;""),'Arroz irrigado'!$E22:INDEX('Arroz irrigado'!$E22:$Z22,MIN(AH$6-$E$3,22))),0))-IF($G$2,0,IF((AH$6-$G$3)&lt;1,0,IFERROR(LOOKUP(2,1/('Arroz irrigado'!$E22:INDEX('Arroz irrigado'!$E22:$Z22,MIN(AH$6-$G$3,22))&lt;&gt;""),'Arroz irrigado'!$E22:INDEX('Arroz irrigado'!$E22:$Z22,MIN(AH$6-$G$3,22))),0)))))</f>
        <v>0</v>
      </c>
      <c r="AI24" s="27" t="n">
        <f aca="false">IF(COUNT('Arroz irrigado'!$E22:$Z22)=0,0,MAX(0,IF((AI$6-$E$3)&lt;1,0,IFERROR(LOOKUP(2,1/('Arroz irrigado'!$E22:INDEX('Arroz irrigado'!$E22:$Z22,MIN(AI$6-$E$3,22))&lt;&gt;""),'Arroz irrigado'!$E22:INDEX('Arroz irrigado'!$E22:$Z22,MIN(AI$6-$E$3,22))),0))-IF($G$2,0,IF((AI$6-$G$3)&lt;1,0,IFERROR(LOOKUP(2,1/('Arroz irrigado'!$E22:INDEX('Arroz irrigado'!$E22:$Z22,MIN(AI$6-$G$3,22))&lt;&gt;""),'Arroz irrigado'!$E22:INDEX('Arroz irrigado'!$E22:$Z22,MIN(AI$6-$G$3,22))),0)))))</f>
        <v>0</v>
      </c>
      <c r="AJ24" s="27" t="n">
        <f aca="false">IF(COUNT('Arroz irrigado'!$E22:$Z22)=0,0,MAX(0,IF((AJ$6-$E$3)&lt;1,0,IFERROR(LOOKUP(2,1/('Arroz irrigado'!$E22:INDEX('Arroz irrigado'!$E22:$Z22,MIN(AJ$6-$E$3,22))&lt;&gt;""),'Arroz irrigado'!$E22:INDEX('Arroz irrigado'!$E22:$Z22,MIN(AJ$6-$E$3,22))),0))-IF($G$2,0,IF((AJ$6-$G$3)&lt;1,0,IFERROR(LOOKUP(2,1/('Arroz irrigado'!$E22:INDEX('Arroz irrigado'!$E22:$Z22,MIN(AJ$6-$G$3,22))&lt;&gt;""),'Arroz irrigado'!$E22:INDEX('Arroz irrigado'!$E22:$Z22,MIN(AJ$6-$G$3,22))),0)))))</f>
        <v>0</v>
      </c>
      <c r="AK24" s="27" t="n">
        <f aca="false">IF(COUNT('Arroz irrigado'!$E22:$Z22)=0,0,MAX(0,IF((AK$6-$E$3)&lt;1,0,IFERROR(LOOKUP(2,1/('Arroz irrigado'!$E22:INDEX('Arroz irrigado'!$E22:$Z22,MIN(AK$6-$E$3,22))&lt;&gt;""),'Arroz irrigado'!$E22:INDEX('Arroz irrigado'!$E22:$Z22,MIN(AK$6-$E$3,22))),0))-IF($G$2,0,IF((AK$6-$G$3)&lt;1,0,IFERROR(LOOKUP(2,1/('Arroz irrigado'!$E22:INDEX('Arroz irrigado'!$E22:$Z22,MIN(AK$6-$G$3,22))&lt;&gt;""),'Arroz irrigado'!$E22:INDEX('Arroz irrigado'!$E22:$Z22,MIN(AK$6-$G$3,22))),0)))))</f>
        <v>0</v>
      </c>
      <c r="AL24" s="27" t="n">
        <f aca="false">IF(COUNT('Arroz irrigado'!$E22:$Z22)=0,0,MAX(0,IF((AL$6-$E$3)&lt;1,0,IFERROR(LOOKUP(2,1/('Arroz irrigado'!$E22:INDEX('Arroz irrigado'!$E22:$Z22,MIN(AL$6-$E$3,22))&lt;&gt;""),'Arroz irrigado'!$E22:INDEX('Arroz irrigado'!$E22:$Z22,MIN(AL$6-$E$3,22))),0))-IF($G$2,0,IF((AL$6-$G$3)&lt;1,0,IFERROR(LOOKUP(2,1/('Arroz irrigado'!$E22:INDEX('Arroz irrigado'!$E22:$Z22,MIN(AL$6-$G$3,22))&lt;&gt;""),'Arroz irrigado'!$E22:INDEX('Arroz irrigado'!$E22:$Z22,MIN(AL$6-$G$3,22))),0)))))</f>
        <v>0</v>
      </c>
      <c r="AM24" s="27" t="n">
        <f aca="false">IF(COUNT('Arroz irrigado'!$E22:$Z22)=0,0,MAX(0,IF((AM$6-$E$3)&lt;1,0,IFERROR(LOOKUP(2,1/('Arroz irrigado'!$E22:INDEX('Arroz irrigado'!$E22:$Z22,MIN(AM$6-$E$3,22))&lt;&gt;""),'Arroz irrigado'!$E22:INDEX('Arroz irrigado'!$E22:$Z22,MIN(AM$6-$E$3,22))),0))-IF($G$2,0,IF((AM$6-$G$3)&lt;1,0,IFERROR(LOOKUP(2,1/('Arroz irrigado'!$E22:INDEX('Arroz irrigado'!$E22:$Z22,MIN(AM$6-$G$3,22))&lt;&gt;""),'Arroz irrigado'!$E22:INDEX('Arroz irrigado'!$E22:$Z22,MIN(AM$6-$G$3,22))),0)))))</f>
        <v>0</v>
      </c>
      <c r="AN24" s="27" t="n">
        <f aca="false">IF(COUNT('Arroz irrigado'!$E22:$Z22)=0,0,MAX(0,IF((AN$6-$E$3)&lt;1,0,IFERROR(LOOKUP(2,1/('Arroz irrigado'!$E22:INDEX('Arroz irrigado'!$E22:$Z22,MIN(AN$6-$E$3,22))&lt;&gt;""),'Arroz irrigado'!$E22:INDEX('Arroz irrigado'!$E22:$Z22,MIN(AN$6-$E$3,22))),0))-IF($G$2,0,IF((AN$6-$G$3)&lt;1,0,IFERROR(LOOKUP(2,1/('Arroz irrigado'!$E22:INDEX('Arroz irrigado'!$E22:$Z22,MIN(AN$6-$G$3,22))&lt;&gt;""),'Arroz irrigado'!$E22:INDEX('Arroz irrigado'!$E22:$Z22,MIN(AN$6-$G$3,22))),0)))))</f>
        <v>0</v>
      </c>
      <c r="AO24" s="27" t="n">
        <f aca="false">IF(COUNT('Arroz irrigado'!$E22:$Z22)=0,0,MAX(0,IF((AO$6-$E$3)&lt;1,0,IFERROR(LOOKUP(2,1/('Arroz irrigado'!$E22:INDEX('Arroz irrigado'!$E22:$Z22,MIN(AO$6-$E$3,22))&lt;&gt;""),'Arroz irrigado'!$E22:INDEX('Arroz irrigado'!$E22:$Z22,MIN(AO$6-$E$3,22))),0))-IF($G$2,0,IF((AO$6-$G$3)&lt;1,0,IFERROR(LOOKUP(2,1/('Arroz irrigado'!$E22:INDEX('Arroz irrigado'!$E22:$Z22,MIN(AO$6-$G$3,22))&lt;&gt;""),'Arroz irrigado'!$E22:INDEX('Arroz irrigado'!$E22:$Z22,MIN(AO$6-$G$3,22))),0)))))</f>
        <v>0</v>
      </c>
      <c r="AP24" s="27" t="n">
        <f aca="false">IF(COUNT('Arroz irrigado'!$E22:$Z22)=0,0,MAX(0,IF((AP$6-$E$3)&lt;1,0,IFERROR(LOOKUP(2,1/('Arroz irrigado'!$E22:INDEX('Arroz irrigado'!$E22:$Z22,MIN(AP$6-$E$3,22))&lt;&gt;""),'Arroz irrigado'!$E22:INDEX('Arroz irrigado'!$E22:$Z22,MIN(AP$6-$E$3,22))),0))-IF($G$2,0,IF((AP$6-$G$3)&lt;1,0,IFERROR(LOOKUP(2,1/('Arroz irrigado'!$E22:INDEX('Arroz irrigado'!$E22:$Z22,MIN(AP$6-$G$3,22))&lt;&gt;""),'Arroz irrigado'!$E22:INDEX('Arroz irrigado'!$E22:$Z22,MIN(AP$6-$G$3,22))),0)))))</f>
        <v>0</v>
      </c>
      <c r="AQ24" s="27" t="n">
        <f aca="false">IF(COUNT('Arroz irrigado'!$E22:$Z22)=0,0,MAX(0,IF((AQ$6-$E$3)&lt;1,0,IFERROR(LOOKUP(2,1/('Arroz irrigado'!$E22:INDEX('Arroz irrigado'!$E22:$Z22,MIN(AQ$6-$E$3,22))&lt;&gt;""),'Arroz irrigado'!$E22:INDEX('Arroz irrigado'!$E22:$Z22,MIN(AQ$6-$E$3,22))),0))-IF($G$2,0,IF((AQ$6-$G$3)&lt;1,0,IFERROR(LOOKUP(2,1/('Arroz irrigado'!$E22:INDEX('Arroz irrigado'!$E22:$Z22,MIN(AQ$6-$G$3,22))&lt;&gt;""),'Arroz irrigado'!$E22:INDEX('Arroz irrigado'!$E22:$Z22,MIN(AQ$6-$G$3,22))),0)))))</f>
        <v>0</v>
      </c>
      <c r="AR24" s="27" t="n">
        <f aca="false">IF(COUNT('Arroz irrigado'!$E22:$Z22)=0,0,MAX(0,IF((AR$6-$E$3)&lt;1,0,IFERROR(LOOKUP(2,1/('Arroz irrigado'!$E22:INDEX('Arroz irrigado'!$E22:$Z22,MIN(AR$6-$E$3,22))&lt;&gt;""),'Arroz irrigado'!$E22:INDEX('Arroz irrigado'!$E22:$Z22,MIN(AR$6-$E$3,22))),0))-IF($G$2,0,IF((AR$6-$G$3)&lt;1,0,IFERROR(LOOKUP(2,1/('Arroz irrigado'!$E22:INDEX('Arroz irrigado'!$E22:$Z22,MIN(AR$6-$G$3,22))&lt;&gt;""),'Arroz irrigado'!$E22:INDEX('Arroz irrigado'!$E22:$Z22,MIN(AR$6-$G$3,22))),0)))))</f>
        <v>0</v>
      </c>
      <c r="AS24" s="27" t="n">
        <f aca="false">IF(COUNT('Arroz irrigado'!$E22:$Z22)=0,0,MAX(0,IF((AS$6-$E$3)&lt;1,0,IFERROR(LOOKUP(2,1/('Arroz irrigado'!$E22:INDEX('Arroz irrigado'!$E22:$Z22,MIN(AS$6-$E$3,22))&lt;&gt;""),'Arroz irrigado'!$E22:INDEX('Arroz irrigado'!$E22:$Z22,MIN(AS$6-$E$3,22))),0))-IF($G$2,0,IF((AS$6-$G$3)&lt;1,0,IFERROR(LOOKUP(2,1/('Arroz irrigado'!$E22:INDEX('Arroz irrigado'!$E22:$Z22,MIN(AS$6-$G$3,22))&lt;&gt;""),'Arroz irrigado'!$E22:INDEX('Arroz irrigado'!$E22:$Z22,MIN(AS$6-$G$3,22))),0)))))</f>
        <v>0</v>
      </c>
      <c r="AT24" s="27" t="n">
        <f aca="false">IF(COUNT('Arroz irrigado'!$E22:$Z22)=0,0,MAX(0,IF((AT$6-$E$3)&lt;1,0,IFERROR(LOOKUP(2,1/('Arroz irrigado'!$E22:INDEX('Arroz irrigado'!$E22:$Z22,MIN(AT$6-$E$3,22))&lt;&gt;""),'Arroz irrigado'!$E22:INDEX('Arroz irrigado'!$E22:$Z22,MIN(AT$6-$E$3,22))),0))-IF($G$2,0,IF((AT$6-$G$3)&lt;1,0,IFERROR(LOOKUP(2,1/('Arroz irrigado'!$E22:INDEX('Arroz irrigado'!$E22:$Z22,MIN(AT$6-$G$3,22))&lt;&gt;""),'Arroz irrigado'!$E22:INDEX('Arroz irrigado'!$E22:$Z22,MIN(AT$6-$G$3,22))),0)))))</f>
        <v>0</v>
      </c>
      <c r="AU24" s="27" t="n">
        <f aca="false">IF(COUNT('Arroz irrigado'!$E22:$Z22)=0,0,MAX(0,IF((AU$6-$E$3)&lt;1,0,IFERROR(LOOKUP(2,1/('Arroz irrigado'!$E22:INDEX('Arroz irrigado'!$E22:$Z22,MIN(AU$6-$E$3,22))&lt;&gt;""),'Arroz irrigado'!$E22:INDEX('Arroz irrigado'!$E22:$Z22,MIN(AU$6-$E$3,22))),0))-IF($G$2,0,IF((AU$6-$G$3)&lt;1,0,IFERROR(LOOKUP(2,1/('Arroz irrigado'!$E22:INDEX('Arroz irrigado'!$E22:$Z22,MIN(AU$6-$G$3,22))&lt;&gt;""),'Arroz irrigado'!$E22:INDEX('Arroz irrigado'!$E22:$Z22,MIN(AU$6-$G$3,22))),0)))))</f>
        <v>0</v>
      </c>
      <c r="AV24" s="27" t="n">
        <f aca="false">IF(COUNT('Arroz irrigado'!$E22:$Z22)=0,0,MAX(0,IF((AV$6-$E$3)&lt;1,0,IFERROR(LOOKUP(2,1/('Arroz irrigado'!$E22:INDEX('Arroz irrigado'!$E22:$Z22,MIN(AV$6-$E$3,22))&lt;&gt;""),'Arroz irrigado'!$E22:INDEX('Arroz irrigado'!$E22:$Z22,MIN(AV$6-$E$3,22))),0))-IF($G$2,0,IF((AV$6-$G$3)&lt;1,0,IFERROR(LOOKUP(2,1/('Arroz irrigado'!$E22:INDEX('Arroz irrigado'!$E22:$Z22,MIN(AV$6-$G$3,22))&lt;&gt;""),'Arroz irrigado'!$E22:INDEX('Arroz irrigado'!$E22:$Z22,MIN(AV$6-$G$3,22))),0)))))</f>
        <v>0</v>
      </c>
      <c r="AW24" s="27" t="n">
        <f aca="false">IF(COUNT('Arroz irrigado'!$E22:$Z22)=0,0,MAX(0,IF((AW$6-$E$3)&lt;1,0,IFERROR(LOOKUP(2,1/('Arroz irrigado'!$E22:INDEX('Arroz irrigado'!$E22:$Z22,MIN(AW$6-$E$3,22))&lt;&gt;""),'Arroz irrigado'!$E22:INDEX('Arroz irrigado'!$E22:$Z22,MIN(AW$6-$E$3,22))),0))-IF($G$2,0,IF((AW$6-$G$3)&lt;1,0,IFERROR(LOOKUP(2,1/('Arroz irrigado'!$E22:INDEX('Arroz irrigado'!$E22:$Z22,MIN(AW$6-$G$3,22))&lt;&gt;""),'Arroz irrigado'!$E22:INDEX('Arroz irrigado'!$E22:$Z22,MIN(AW$6-$G$3,22))),0)))))</f>
        <v>0</v>
      </c>
      <c r="AX24" s="27" t="n">
        <f aca="false">IF(COUNT('Arroz irrigado'!$E22:$Z22)=0,0,MAX(0,IF((AX$6-$E$3)&lt;1,0,IFERROR(LOOKUP(2,1/('Arroz irrigado'!$E22:INDEX('Arroz irrigado'!$E22:$Z22,MIN(AX$6-$E$3,22))&lt;&gt;""),'Arroz irrigado'!$E22:INDEX('Arroz irrigado'!$E22:$Z22,MIN(AX$6-$E$3,22))),0))-IF($G$2,0,IF((AX$6-$G$3)&lt;1,0,IFERROR(LOOKUP(2,1/('Arroz irrigado'!$E22:INDEX('Arroz irrigado'!$E22:$Z22,MIN(AX$6-$G$3,22))&lt;&gt;""),'Arroz irrigado'!$E22:INDEX('Arroz irrigado'!$E22:$Z22,MIN(AX$6-$G$3,22))),0)))))</f>
        <v>0</v>
      </c>
      <c r="AY24" s="27" t="n">
        <f aca="false">IF(COUNT('Arroz irrigado'!$E22:$Z22)=0,0,MAX(0,IF((AY$6-$E$3)&lt;1,0,IFERROR(LOOKUP(2,1/('Arroz irrigado'!$E22:INDEX('Arroz irrigado'!$E22:$Z22,MIN(AY$6-$E$3,22))&lt;&gt;""),'Arroz irrigado'!$E22:INDEX('Arroz irrigado'!$E22:$Z22,MIN(AY$6-$E$3,22))),0))-IF($G$2,0,IF((AY$6-$G$3)&lt;1,0,IFERROR(LOOKUP(2,1/('Arroz irrigado'!$E22:INDEX('Arroz irrigado'!$E22:$Z22,MIN(AY$6-$G$3,22))&lt;&gt;""),'Arroz irrigado'!$E22:INDEX('Arroz irrigado'!$E22:$Z22,MIN(AY$6-$G$3,22))),0)))))</f>
        <v>0</v>
      </c>
      <c r="AZ24" s="27" t="n">
        <f aca="false">IF(COUNT('Arroz irrigado'!$E22:$Z22)=0,0,MAX(0,IF((AZ$6-$E$3)&lt;1,0,IFERROR(LOOKUP(2,1/('Arroz irrigado'!$E22:INDEX('Arroz irrigado'!$E22:$Z22,MIN(AZ$6-$E$3,22))&lt;&gt;""),'Arroz irrigado'!$E22:INDEX('Arroz irrigado'!$E22:$Z22,MIN(AZ$6-$E$3,22))),0))-IF($G$2,0,IF((AZ$6-$G$3)&lt;1,0,IFERROR(LOOKUP(2,1/('Arroz irrigado'!$E22:INDEX('Arroz irrigado'!$E22:$Z22,MIN(AZ$6-$G$3,22))&lt;&gt;""),'Arroz irrigado'!$E22:INDEX('Arroz irrigado'!$E22:$Z22,MIN(AZ$6-$G$3,22))),0)))))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IF(COUNT('Arroz irrigado'!$E23:$Z23)&gt;0,N('Arroz irrigado'!$D23),0)</f>
        <v>0</v>
      </c>
      <c r="E25" s="27" t="n">
        <f aca="false">IF(COUNT('Arroz irrigado'!$E23:$Z23)=0,0,MAX(0,IF((E$6-$E$3)&lt;1,0,IFERROR(LOOKUP(2,1/('Arroz irrigado'!$E23:INDEX('Arroz irrigado'!$E23:$Z23,MIN(E$6-$E$3,22))&lt;&gt;""),'Arroz irrigado'!$E23:INDEX('Arroz irrigado'!$E23:$Z23,MIN(E$6-$E$3,22))),0))-IF($G$2,0,IF((E$6-$G$3)&lt;1,0,IFERROR(LOOKUP(2,1/('Arroz irrigado'!$E23:INDEX('Arroz irrigado'!$E23:$Z23,MIN(E$6-$G$3,22))&lt;&gt;""),'Arroz irrigado'!$E23:INDEX('Arroz irrigado'!$E23:$Z23,MIN(E$6-$G$3,22))),0)))))</f>
        <v>0</v>
      </c>
      <c r="F25" s="27" t="n">
        <f aca="false">IF(COUNT('Arroz irrigado'!$E23:$Z23)=0,0,MAX(0,IF((F$6-$E$3)&lt;1,0,IFERROR(LOOKUP(2,1/('Arroz irrigado'!$E23:INDEX('Arroz irrigado'!$E23:$Z23,MIN(F$6-$E$3,22))&lt;&gt;""),'Arroz irrigado'!$E23:INDEX('Arroz irrigado'!$E23:$Z23,MIN(F$6-$E$3,22))),0))-IF($G$2,0,IF((F$6-$G$3)&lt;1,0,IFERROR(LOOKUP(2,1/('Arroz irrigado'!$E23:INDEX('Arroz irrigado'!$E23:$Z23,MIN(F$6-$G$3,22))&lt;&gt;""),'Arroz irrigado'!$E23:INDEX('Arroz irrigado'!$E23:$Z23,MIN(F$6-$G$3,22))),0)))))</f>
        <v>0</v>
      </c>
      <c r="G25" s="27" t="n">
        <f aca="false">IF(COUNT('Arroz irrigado'!$E23:$Z23)=0,0,MAX(0,IF((G$6-$E$3)&lt;1,0,IFERROR(LOOKUP(2,1/('Arroz irrigado'!$E23:INDEX('Arroz irrigado'!$E23:$Z23,MIN(G$6-$E$3,22))&lt;&gt;""),'Arroz irrigado'!$E23:INDEX('Arroz irrigado'!$E23:$Z23,MIN(G$6-$E$3,22))),0))-IF($G$2,0,IF((G$6-$G$3)&lt;1,0,IFERROR(LOOKUP(2,1/('Arroz irrigado'!$E23:INDEX('Arroz irrigado'!$E23:$Z23,MIN(G$6-$G$3,22))&lt;&gt;""),'Arroz irrigado'!$E23:INDEX('Arroz irrigado'!$E23:$Z23,MIN(G$6-$G$3,22))),0)))))</f>
        <v>0</v>
      </c>
      <c r="H25" s="27" t="n">
        <f aca="false">IF(COUNT('Arroz irrigado'!$E23:$Z23)=0,0,MAX(0,IF((H$6-$E$3)&lt;1,0,IFERROR(LOOKUP(2,1/('Arroz irrigado'!$E23:INDEX('Arroz irrigado'!$E23:$Z23,MIN(H$6-$E$3,22))&lt;&gt;""),'Arroz irrigado'!$E23:INDEX('Arroz irrigado'!$E23:$Z23,MIN(H$6-$E$3,22))),0))-IF($G$2,0,IF((H$6-$G$3)&lt;1,0,IFERROR(LOOKUP(2,1/('Arroz irrigado'!$E23:INDEX('Arroz irrigado'!$E23:$Z23,MIN(H$6-$G$3,22))&lt;&gt;""),'Arroz irrigado'!$E23:INDEX('Arroz irrigado'!$E23:$Z23,MIN(H$6-$G$3,22))),0)))))</f>
        <v>0</v>
      </c>
      <c r="I25" s="27" t="n">
        <f aca="false">IF(COUNT('Arroz irrigado'!$E23:$Z23)=0,0,MAX(0,IF((I$6-$E$3)&lt;1,0,IFERROR(LOOKUP(2,1/('Arroz irrigado'!$E23:INDEX('Arroz irrigado'!$E23:$Z23,MIN(I$6-$E$3,22))&lt;&gt;""),'Arroz irrigado'!$E23:INDEX('Arroz irrigado'!$E23:$Z23,MIN(I$6-$E$3,22))),0))-IF($G$2,0,IF((I$6-$G$3)&lt;1,0,IFERROR(LOOKUP(2,1/('Arroz irrigado'!$E23:INDEX('Arroz irrigado'!$E23:$Z23,MIN(I$6-$G$3,22))&lt;&gt;""),'Arroz irrigado'!$E23:INDEX('Arroz irrigado'!$E23:$Z23,MIN(I$6-$G$3,22))),0)))))</f>
        <v>0</v>
      </c>
      <c r="J25" s="27" t="n">
        <f aca="false">IF(COUNT('Arroz irrigado'!$E23:$Z23)=0,0,MAX(0,IF((J$6-$E$3)&lt;1,0,IFERROR(LOOKUP(2,1/('Arroz irrigado'!$E23:INDEX('Arroz irrigado'!$E23:$Z23,MIN(J$6-$E$3,22))&lt;&gt;""),'Arroz irrigado'!$E23:INDEX('Arroz irrigado'!$E23:$Z23,MIN(J$6-$E$3,22))),0))-IF($G$2,0,IF((J$6-$G$3)&lt;1,0,IFERROR(LOOKUP(2,1/('Arroz irrigado'!$E23:INDEX('Arroz irrigado'!$E23:$Z23,MIN(J$6-$G$3,22))&lt;&gt;""),'Arroz irrigado'!$E23:INDEX('Arroz irrigado'!$E23:$Z23,MIN(J$6-$G$3,22))),0)))))</f>
        <v>0</v>
      </c>
      <c r="K25" s="27" t="n">
        <f aca="false">IF(COUNT('Arroz irrigado'!$E23:$Z23)=0,0,MAX(0,IF((K$6-$E$3)&lt;1,0,IFERROR(LOOKUP(2,1/('Arroz irrigado'!$E23:INDEX('Arroz irrigado'!$E23:$Z23,MIN(K$6-$E$3,22))&lt;&gt;""),'Arroz irrigado'!$E23:INDEX('Arroz irrigado'!$E23:$Z23,MIN(K$6-$E$3,22))),0))-IF($G$2,0,IF((K$6-$G$3)&lt;1,0,IFERROR(LOOKUP(2,1/('Arroz irrigado'!$E23:INDEX('Arroz irrigado'!$E23:$Z23,MIN(K$6-$G$3,22))&lt;&gt;""),'Arroz irrigado'!$E23:INDEX('Arroz irrigado'!$E23:$Z23,MIN(K$6-$G$3,22))),0)))))</f>
        <v>0</v>
      </c>
      <c r="L25" s="27" t="n">
        <f aca="false">IF(COUNT('Arroz irrigado'!$E23:$Z23)=0,0,MAX(0,IF((L$6-$E$3)&lt;1,0,IFERROR(LOOKUP(2,1/('Arroz irrigado'!$E23:INDEX('Arroz irrigado'!$E23:$Z23,MIN(L$6-$E$3,22))&lt;&gt;""),'Arroz irrigado'!$E23:INDEX('Arroz irrigado'!$E23:$Z23,MIN(L$6-$E$3,22))),0))-IF($G$2,0,IF((L$6-$G$3)&lt;1,0,IFERROR(LOOKUP(2,1/('Arroz irrigado'!$E23:INDEX('Arroz irrigado'!$E23:$Z23,MIN(L$6-$G$3,22))&lt;&gt;""),'Arroz irrigado'!$E23:INDEX('Arroz irrigado'!$E23:$Z23,MIN(L$6-$G$3,22))),0)))))</f>
        <v>0</v>
      </c>
      <c r="M25" s="27" t="n">
        <f aca="false">IF(COUNT('Arroz irrigado'!$E23:$Z23)=0,0,MAX(0,IF((M$6-$E$3)&lt;1,0,IFERROR(LOOKUP(2,1/('Arroz irrigado'!$E23:INDEX('Arroz irrigado'!$E23:$Z23,MIN(M$6-$E$3,22))&lt;&gt;""),'Arroz irrigado'!$E23:INDEX('Arroz irrigado'!$E23:$Z23,MIN(M$6-$E$3,22))),0))-IF($G$2,0,IF((M$6-$G$3)&lt;1,0,IFERROR(LOOKUP(2,1/('Arroz irrigado'!$E23:INDEX('Arroz irrigado'!$E23:$Z23,MIN(M$6-$G$3,22))&lt;&gt;""),'Arroz irrigado'!$E23:INDEX('Arroz irrigado'!$E23:$Z23,MIN(M$6-$G$3,22))),0)))))</f>
        <v>0</v>
      </c>
      <c r="N25" s="27" t="n">
        <f aca="false">IF(COUNT('Arroz irrigado'!$E23:$Z23)=0,0,MAX(0,IF((N$6-$E$3)&lt;1,0,IFERROR(LOOKUP(2,1/('Arroz irrigado'!$E23:INDEX('Arroz irrigado'!$E23:$Z23,MIN(N$6-$E$3,22))&lt;&gt;""),'Arroz irrigado'!$E23:INDEX('Arroz irrigado'!$E23:$Z23,MIN(N$6-$E$3,22))),0))-IF($G$2,0,IF((N$6-$G$3)&lt;1,0,IFERROR(LOOKUP(2,1/('Arroz irrigado'!$E23:INDEX('Arroz irrigado'!$E23:$Z23,MIN(N$6-$G$3,22))&lt;&gt;""),'Arroz irrigado'!$E23:INDEX('Arroz irrigado'!$E23:$Z23,MIN(N$6-$G$3,22))),0)))))</f>
        <v>0</v>
      </c>
      <c r="O25" s="27" t="n">
        <f aca="false">IF(COUNT('Arroz irrigado'!$E23:$Z23)=0,0,MAX(0,IF((O$6-$E$3)&lt;1,0,IFERROR(LOOKUP(2,1/('Arroz irrigado'!$E23:INDEX('Arroz irrigado'!$E23:$Z23,MIN(O$6-$E$3,22))&lt;&gt;""),'Arroz irrigado'!$E23:INDEX('Arroz irrigado'!$E23:$Z23,MIN(O$6-$E$3,22))),0))-IF($G$2,0,IF((O$6-$G$3)&lt;1,0,IFERROR(LOOKUP(2,1/('Arroz irrigado'!$E23:INDEX('Arroz irrigado'!$E23:$Z23,MIN(O$6-$G$3,22))&lt;&gt;""),'Arroz irrigado'!$E23:INDEX('Arroz irrigado'!$E23:$Z23,MIN(O$6-$G$3,22))),0)))))</f>
        <v>0</v>
      </c>
      <c r="P25" s="27" t="n">
        <f aca="false">IF(COUNT('Arroz irrigado'!$E23:$Z23)=0,0,MAX(0,IF((P$6-$E$3)&lt;1,0,IFERROR(LOOKUP(2,1/('Arroz irrigado'!$E23:INDEX('Arroz irrigado'!$E23:$Z23,MIN(P$6-$E$3,22))&lt;&gt;""),'Arroz irrigado'!$E23:INDEX('Arroz irrigado'!$E23:$Z23,MIN(P$6-$E$3,22))),0))-IF($G$2,0,IF((P$6-$G$3)&lt;1,0,IFERROR(LOOKUP(2,1/('Arroz irrigado'!$E23:INDEX('Arroz irrigado'!$E23:$Z23,MIN(P$6-$G$3,22))&lt;&gt;""),'Arroz irrigado'!$E23:INDEX('Arroz irrigado'!$E23:$Z23,MIN(P$6-$G$3,22))),0)))))</f>
        <v>0</v>
      </c>
      <c r="Q25" s="27" t="n">
        <f aca="false">IF(COUNT('Arroz irrigado'!$E23:$Z23)=0,0,MAX(0,IF((Q$6-$E$3)&lt;1,0,IFERROR(LOOKUP(2,1/('Arroz irrigado'!$E23:INDEX('Arroz irrigado'!$E23:$Z23,MIN(Q$6-$E$3,22))&lt;&gt;""),'Arroz irrigado'!$E23:INDEX('Arroz irrigado'!$E23:$Z23,MIN(Q$6-$E$3,22))),0))-IF($G$2,0,IF((Q$6-$G$3)&lt;1,0,IFERROR(LOOKUP(2,1/('Arroz irrigado'!$E23:INDEX('Arroz irrigado'!$E23:$Z23,MIN(Q$6-$G$3,22))&lt;&gt;""),'Arroz irrigado'!$E23:INDEX('Arroz irrigado'!$E23:$Z23,MIN(Q$6-$G$3,22))),0)))))</f>
        <v>0</v>
      </c>
      <c r="R25" s="27" t="n">
        <f aca="false">IF(COUNT('Arroz irrigado'!$E23:$Z23)=0,0,MAX(0,IF((R$6-$E$3)&lt;1,0,IFERROR(LOOKUP(2,1/('Arroz irrigado'!$E23:INDEX('Arroz irrigado'!$E23:$Z23,MIN(R$6-$E$3,22))&lt;&gt;""),'Arroz irrigado'!$E23:INDEX('Arroz irrigado'!$E23:$Z23,MIN(R$6-$E$3,22))),0))-IF($G$2,0,IF((R$6-$G$3)&lt;1,0,IFERROR(LOOKUP(2,1/('Arroz irrigado'!$E23:INDEX('Arroz irrigado'!$E23:$Z23,MIN(R$6-$G$3,22))&lt;&gt;""),'Arroz irrigado'!$E23:INDEX('Arroz irrigado'!$E23:$Z23,MIN(R$6-$G$3,22))),0)))))</f>
        <v>0</v>
      </c>
      <c r="S25" s="27" t="n">
        <f aca="false">IF(COUNT('Arroz irrigado'!$E23:$Z23)=0,0,MAX(0,IF((S$6-$E$3)&lt;1,0,IFERROR(LOOKUP(2,1/('Arroz irrigado'!$E23:INDEX('Arroz irrigado'!$E23:$Z23,MIN(S$6-$E$3,22))&lt;&gt;""),'Arroz irrigado'!$E23:INDEX('Arroz irrigado'!$E23:$Z23,MIN(S$6-$E$3,22))),0))-IF($G$2,0,IF((S$6-$G$3)&lt;1,0,IFERROR(LOOKUP(2,1/('Arroz irrigado'!$E23:INDEX('Arroz irrigado'!$E23:$Z23,MIN(S$6-$G$3,22))&lt;&gt;""),'Arroz irrigado'!$E23:INDEX('Arroz irrigado'!$E23:$Z23,MIN(S$6-$G$3,22))),0)))))</f>
        <v>0</v>
      </c>
      <c r="T25" s="27" t="n">
        <f aca="false">IF(COUNT('Arroz irrigado'!$E23:$Z23)=0,0,MAX(0,IF((T$6-$E$3)&lt;1,0,IFERROR(LOOKUP(2,1/('Arroz irrigado'!$E23:INDEX('Arroz irrigado'!$E23:$Z23,MIN(T$6-$E$3,22))&lt;&gt;""),'Arroz irrigado'!$E23:INDEX('Arroz irrigado'!$E23:$Z23,MIN(T$6-$E$3,22))),0))-IF($G$2,0,IF((T$6-$G$3)&lt;1,0,IFERROR(LOOKUP(2,1/('Arroz irrigado'!$E23:INDEX('Arroz irrigado'!$E23:$Z23,MIN(T$6-$G$3,22))&lt;&gt;""),'Arroz irrigado'!$E23:INDEX('Arroz irrigado'!$E23:$Z23,MIN(T$6-$G$3,22))),0)))))</f>
        <v>0</v>
      </c>
      <c r="U25" s="27" t="n">
        <f aca="false">IF(COUNT('Arroz irrigado'!$E23:$Z23)=0,0,MAX(0,IF((U$6-$E$3)&lt;1,0,IFERROR(LOOKUP(2,1/('Arroz irrigado'!$E23:INDEX('Arroz irrigado'!$E23:$Z23,MIN(U$6-$E$3,22))&lt;&gt;""),'Arroz irrigado'!$E23:INDEX('Arroz irrigado'!$E23:$Z23,MIN(U$6-$E$3,22))),0))-IF($G$2,0,IF((U$6-$G$3)&lt;1,0,IFERROR(LOOKUP(2,1/('Arroz irrigado'!$E23:INDEX('Arroz irrigado'!$E23:$Z23,MIN(U$6-$G$3,22))&lt;&gt;""),'Arroz irrigado'!$E23:INDEX('Arroz irrigado'!$E23:$Z23,MIN(U$6-$G$3,22))),0)))))</f>
        <v>0</v>
      </c>
      <c r="V25" s="27" t="n">
        <f aca="false">IF(COUNT('Arroz irrigado'!$E23:$Z23)=0,0,MAX(0,IF((V$6-$E$3)&lt;1,0,IFERROR(LOOKUP(2,1/('Arroz irrigado'!$E23:INDEX('Arroz irrigado'!$E23:$Z23,MIN(V$6-$E$3,22))&lt;&gt;""),'Arroz irrigado'!$E23:INDEX('Arroz irrigado'!$E23:$Z23,MIN(V$6-$E$3,22))),0))-IF($G$2,0,IF((V$6-$G$3)&lt;1,0,IFERROR(LOOKUP(2,1/('Arroz irrigado'!$E23:INDEX('Arroz irrigado'!$E23:$Z23,MIN(V$6-$G$3,22))&lt;&gt;""),'Arroz irrigado'!$E23:INDEX('Arroz irrigado'!$E23:$Z23,MIN(V$6-$G$3,22))),0)))))</f>
        <v>0</v>
      </c>
      <c r="W25" s="27" t="n">
        <f aca="false">IF(COUNT('Arroz irrigado'!$E23:$Z23)=0,0,MAX(0,IF((W$6-$E$3)&lt;1,0,IFERROR(LOOKUP(2,1/('Arroz irrigado'!$E23:INDEX('Arroz irrigado'!$E23:$Z23,MIN(W$6-$E$3,22))&lt;&gt;""),'Arroz irrigado'!$E23:INDEX('Arroz irrigado'!$E23:$Z23,MIN(W$6-$E$3,22))),0))-IF($G$2,0,IF((W$6-$G$3)&lt;1,0,IFERROR(LOOKUP(2,1/('Arroz irrigado'!$E23:INDEX('Arroz irrigado'!$E23:$Z23,MIN(W$6-$G$3,22))&lt;&gt;""),'Arroz irrigado'!$E23:INDEX('Arroz irrigado'!$E23:$Z23,MIN(W$6-$G$3,22))),0)))))</f>
        <v>0</v>
      </c>
      <c r="X25" s="27" t="n">
        <f aca="false">IF(COUNT('Arroz irrigado'!$E23:$Z23)=0,0,MAX(0,IF((X$6-$E$3)&lt;1,0,IFERROR(LOOKUP(2,1/('Arroz irrigado'!$E23:INDEX('Arroz irrigado'!$E23:$Z23,MIN(X$6-$E$3,22))&lt;&gt;""),'Arroz irrigado'!$E23:INDEX('Arroz irrigado'!$E23:$Z23,MIN(X$6-$E$3,22))),0))-IF($G$2,0,IF((X$6-$G$3)&lt;1,0,IFERROR(LOOKUP(2,1/('Arroz irrigado'!$E23:INDEX('Arroz irrigado'!$E23:$Z23,MIN(X$6-$G$3,22))&lt;&gt;""),'Arroz irrigado'!$E23:INDEX('Arroz irrigado'!$E23:$Z23,MIN(X$6-$G$3,22))),0)))))</f>
        <v>0</v>
      </c>
      <c r="Y25" s="27" t="n">
        <f aca="false">IF(COUNT('Arroz irrigado'!$E23:$Z23)=0,0,MAX(0,IF((Y$6-$E$3)&lt;1,0,IFERROR(LOOKUP(2,1/('Arroz irrigado'!$E23:INDEX('Arroz irrigado'!$E23:$Z23,MIN(Y$6-$E$3,22))&lt;&gt;""),'Arroz irrigado'!$E23:INDEX('Arroz irrigado'!$E23:$Z23,MIN(Y$6-$E$3,22))),0))-IF($G$2,0,IF((Y$6-$G$3)&lt;1,0,IFERROR(LOOKUP(2,1/('Arroz irrigado'!$E23:INDEX('Arroz irrigado'!$E23:$Z23,MIN(Y$6-$G$3,22))&lt;&gt;""),'Arroz irrigado'!$E23:INDEX('Arroz irrigado'!$E23:$Z23,MIN(Y$6-$G$3,22))),0)))))</f>
        <v>0</v>
      </c>
      <c r="Z25" s="27" t="n">
        <f aca="false">IF(COUNT('Arroz irrigado'!$E23:$Z23)=0,0,MAX(0,IF((Z$6-$E$3)&lt;1,0,IFERROR(LOOKUP(2,1/('Arroz irrigado'!$E23:INDEX('Arroz irrigado'!$E23:$Z23,MIN(Z$6-$E$3,22))&lt;&gt;""),'Arroz irrigado'!$E23:INDEX('Arroz irrigado'!$E23:$Z23,MIN(Z$6-$E$3,22))),0))-IF($G$2,0,IF((Z$6-$G$3)&lt;1,0,IFERROR(LOOKUP(2,1/('Arroz irrigado'!$E23:INDEX('Arroz irrigado'!$E23:$Z23,MIN(Z$6-$G$3,22))&lt;&gt;""),'Arroz irrigado'!$E23:INDEX('Arroz irrigado'!$E23:$Z23,MIN(Z$6-$G$3,22))),0)))))</f>
        <v>0</v>
      </c>
      <c r="AA25" s="27" t="n">
        <f aca="false">IF(COUNT('Arroz irrigado'!$E23:$Z23)=0,0,MAX(0,IF((AA$6-$E$3)&lt;1,0,IFERROR(LOOKUP(2,1/('Arroz irrigado'!$E23:INDEX('Arroz irrigado'!$E23:$Z23,MIN(AA$6-$E$3,22))&lt;&gt;""),'Arroz irrigado'!$E23:INDEX('Arroz irrigado'!$E23:$Z23,MIN(AA$6-$E$3,22))),0))-IF($G$2,0,IF((AA$6-$G$3)&lt;1,0,IFERROR(LOOKUP(2,1/('Arroz irrigado'!$E23:INDEX('Arroz irrigado'!$E23:$Z23,MIN(AA$6-$G$3,22))&lt;&gt;""),'Arroz irrigado'!$E23:INDEX('Arroz irrigado'!$E23:$Z23,MIN(AA$6-$G$3,22))),0)))))</f>
        <v>0</v>
      </c>
      <c r="AB25" s="27" t="n">
        <f aca="false">IF(COUNT('Arroz irrigado'!$E23:$Z23)=0,0,MAX(0,IF((AB$6-$E$3)&lt;1,0,IFERROR(LOOKUP(2,1/('Arroz irrigado'!$E23:INDEX('Arroz irrigado'!$E23:$Z23,MIN(AB$6-$E$3,22))&lt;&gt;""),'Arroz irrigado'!$E23:INDEX('Arroz irrigado'!$E23:$Z23,MIN(AB$6-$E$3,22))),0))-IF($G$2,0,IF((AB$6-$G$3)&lt;1,0,IFERROR(LOOKUP(2,1/('Arroz irrigado'!$E23:INDEX('Arroz irrigado'!$E23:$Z23,MIN(AB$6-$G$3,22))&lt;&gt;""),'Arroz irrigado'!$E23:INDEX('Arroz irrigado'!$E23:$Z23,MIN(AB$6-$G$3,22))),0)))))</f>
        <v>0</v>
      </c>
      <c r="AC25" s="27" t="n">
        <f aca="false">IF(COUNT('Arroz irrigado'!$E23:$Z23)=0,0,MAX(0,IF((AC$6-$E$3)&lt;1,0,IFERROR(LOOKUP(2,1/('Arroz irrigado'!$E23:INDEX('Arroz irrigado'!$E23:$Z23,MIN(AC$6-$E$3,22))&lt;&gt;""),'Arroz irrigado'!$E23:INDEX('Arroz irrigado'!$E23:$Z23,MIN(AC$6-$E$3,22))),0))-IF($G$2,0,IF((AC$6-$G$3)&lt;1,0,IFERROR(LOOKUP(2,1/('Arroz irrigado'!$E23:INDEX('Arroz irrigado'!$E23:$Z23,MIN(AC$6-$G$3,22))&lt;&gt;""),'Arroz irrigado'!$E23:INDEX('Arroz irrigado'!$E23:$Z23,MIN(AC$6-$G$3,22))),0)))))</f>
        <v>0</v>
      </c>
      <c r="AD25" s="27" t="n">
        <f aca="false">IF(COUNT('Arroz irrigado'!$E23:$Z23)=0,0,MAX(0,IF((AD$6-$E$3)&lt;1,0,IFERROR(LOOKUP(2,1/('Arroz irrigado'!$E23:INDEX('Arroz irrigado'!$E23:$Z23,MIN(AD$6-$E$3,22))&lt;&gt;""),'Arroz irrigado'!$E23:INDEX('Arroz irrigado'!$E23:$Z23,MIN(AD$6-$E$3,22))),0))-IF($G$2,0,IF((AD$6-$G$3)&lt;1,0,IFERROR(LOOKUP(2,1/('Arroz irrigado'!$E23:INDEX('Arroz irrigado'!$E23:$Z23,MIN(AD$6-$G$3,22))&lt;&gt;""),'Arroz irrigado'!$E23:INDEX('Arroz irrigado'!$E23:$Z23,MIN(AD$6-$G$3,22))),0)))))</f>
        <v>0</v>
      </c>
      <c r="AE25" s="27" t="n">
        <f aca="false">IF(COUNT('Arroz irrigado'!$E23:$Z23)=0,0,MAX(0,IF((AE$6-$E$3)&lt;1,0,IFERROR(LOOKUP(2,1/('Arroz irrigado'!$E23:INDEX('Arroz irrigado'!$E23:$Z23,MIN(AE$6-$E$3,22))&lt;&gt;""),'Arroz irrigado'!$E23:INDEX('Arroz irrigado'!$E23:$Z23,MIN(AE$6-$E$3,22))),0))-IF($G$2,0,IF((AE$6-$G$3)&lt;1,0,IFERROR(LOOKUP(2,1/('Arroz irrigado'!$E23:INDEX('Arroz irrigado'!$E23:$Z23,MIN(AE$6-$G$3,22))&lt;&gt;""),'Arroz irrigado'!$E23:INDEX('Arroz irrigado'!$E23:$Z23,MIN(AE$6-$G$3,22))),0)))))</f>
        <v>0</v>
      </c>
      <c r="AF25" s="27" t="n">
        <f aca="false">IF(COUNT('Arroz irrigado'!$E23:$Z23)=0,0,MAX(0,IF((AF$6-$E$3)&lt;1,0,IFERROR(LOOKUP(2,1/('Arroz irrigado'!$E23:INDEX('Arroz irrigado'!$E23:$Z23,MIN(AF$6-$E$3,22))&lt;&gt;""),'Arroz irrigado'!$E23:INDEX('Arroz irrigado'!$E23:$Z23,MIN(AF$6-$E$3,22))),0))-IF($G$2,0,IF((AF$6-$G$3)&lt;1,0,IFERROR(LOOKUP(2,1/('Arroz irrigado'!$E23:INDEX('Arroz irrigado'!$E23:$Z23,MIN(AF$6-$G$3,22))&lt;&gt;""),'Arroz irrigado'!$E23:INDEX('Arroz irrigado'!$E23:$Z23,MIN(AF$6-$G$3,22))),0)))))</f>
        <v>0</v>
      </c>
      <c r="AG25" s="27" t="n">
        <f aca="false">IF(COUNT('Arroz irrigado'!$E23:$Z23)=0,0,MAX(0,IF((AG$6-$E$3)&lt;1,0,IFERROR(LOOKUP(2,1/('Arroz irrigado'!$E23:INDEX('Arroz irrigado'!$E23:$Z23,MIN(AG$6-$E$3,22))&lt;&gt;""),'Arroz irrigado'!$E23:INDEX('Arroz irrigado'!$E23:$Z23,MIN(AG$6-$E$3,22))),0))-IF($G$2,0,IF((AG$6-$G$3)&lt;1,0,IFERROR(LOOKUP(2,1/('Arroz irrigado'!$E23:INDEX('Arroz irrigado'!$E23:$Z23,MIN(AG$6-$G$3,22))&lt;&gt;""),'Arroz irrigado'!$E23:INDEX('Arroz irrigado'!$E23:$Z23,MIN(AG$6-$G$3,22))),0)))))</f>
        <v>0</v>
      </c>
      <c r="AH25" s="27" t="n">
        <f aca="false">IF(COUNT('Arroz irrigado'!$E23:$Z23)=0,0,MAX(0,IF((AH$6-$E$3)&lt;1,0,IFERROR(LOOKUP(2,1/('Arroz irrigado'!$E23:INDEX('Arroz irrigado'!$E23:$Z23,MIN(AH$6-$E$3,22))&lt;&gt;""),'Arroz irrigado'!$E23:INDEX('Arroz irrigado'!$E23:$Z23,MIN(AH$6-$E$3,22))),0))-IF($G$2,0,IF((AH$6-$G$3)&lt;1,0,IFERROR(LOOKUP(2,1/('Arroz irrigado'!$E23:INDEX('Arroz irrigado'!$E23:$Z23,MIN(AH$6-$G$3,22))&lt;&gt;""),'Arroz irrigado'!$E23:INDEX('Arroz irrigado'!$E23:$Z23,MIN(AH$6-$G$3,22))),0)))))</f>
        <v>0</v>
      </c>
      <c r="AI25" s="27" t="n">
        <f aca="false">IF(COUNT('Arroz irrigado'!$E23:$Z23)=0,0,MAX(0,IF((AI$6-$E$3)&lt;1,0,IFERROR(LOOKUP(2,1/('Arroz irrigado'!$E23:INDEX('Arroz irrigado'!$E23:$Z23,MIN(AI$6-$E$3,22))&lt;&gt;""),'Arroz irrigado'!$E23:INDEX('Arroz irrigado'!$E23:$Z23,MIN(AI$6-$E$3,22))),0))-IF($G$2,0,IF((AI$6-$G$3)&lt;1,0,IFERROR(LOOKUP(2,1/('Arroz irrigado'!$E23:INDEX('Arroz irrigado'!$E23:$Z23,MIN(AI$6-$G$3,22))&lt;&gt;""),'Arroz irrigado'!$E23:INDEX('Arroz irrigado'!$E23:$Z23,MIN(AI$6-$G$3,22))),0)))))</f>
        <v>0</v>
      </c>
      <c r="AJ25" s="27" t="n">
        <f aca="false">IF(COUNT('Arroz irrigado'!$E23:$Z23)=0,0,MAX(0,IF((AJ$6-$E$3)&lt;1,0,IFERROR(LOOKUP(2,1/('Arroz irrigado'!$E23:INDEX('Arroz irrigado'!$E23:$Z23,MIN(AJ$6-$E$3,22))&lt;&gt;""),'Arroz irrigado'!$E23:INDEX('Arroz irrigado'!$E23:$Z23,MIN(AJ$6-$E$3,22))),0))-IF($G$2,0,IF((AJ$6-$G$3)&lt;1,0,IFERROR(LOOKUP(2,1/('Arroz irrigado'!$E23:INDEX('Arroz irrigado'!$E23:$Z23,MIN(AJ$6-$G$3,22))&lt;&gt;""),'Arroz irrigado'!$E23:INDEX('Arroz irrigado'!$E23:$Z23,MIN(AJ$6-$G$3,22))),0)))))</f>
        <v>0</v>
      </c>
      <c r="AK25" s="27" t="n">
        <f aca="false">IF(COUNT('Arroz irrigado'!$E23:$Z23)=0,0,MAX(0,IF((AK$6-$E$3)&lt;1,0,IFERROR(LOOKUP(2,1/('Arroz irrigado'!$E23:INDEX('Arroz irrigado'!$E23:$Z23,MIN(AK$6-$E$3,22))&lt;&gt;""),'Arroz irrigado'!$E23:INDEX('Arroz irrigado'!$E23:$Z23,MIN(AK$6-$E$3,22))),0))-IF($G$2,0,IF((AK$6-$G$3)&lt;1,0,IFERROR(LOOKUP(2,1/('Arroz irrigado'!$E23:INDEX('Arroz irrigado'!$E23:$Z23,MIN(AK$6-$G$3,22))&lt;&gt;""),'Arroz irrigado'!$E23:INDEX('Arroz irrigado'!$E23:$Z23,MIN(AK$6-$G$3,22))),0)))))</f>
        <v>0</v>
      </c>
      <c r="AL25" s="27" t="n">
        <f aca="false">IF(COUNT('Arroz irrigado'!$E23:$Z23)=0,0,MAX(0,IF((AL$6-$E$3)&lt;1,0,IFERROR(LOOKUP(2,1/('Arroz irrigado'!$E23:INDEX('Arroz irrigado'!$E23:$Z23,MIN(AL$6-$E$3,22))&lt;&gt;""),'Arroz irrigado'!$E23:INDEX('Arroz irrigado'!$E23:$Z23,MIN(AL$6-$E$3,22))),0))-IF($G$2,0,IF((AL$6-$G$3)&lt;1,0,IFERROR(LOOKUP(2,1/('Arroz irrigado'!$E23:INDEX('Arroz irrigado'!$E23:$Z23,MIN(AL$6-$G$3,22))&lt;&gt;""),'Arroz irrigado'!$E23:INDEX('Arroz irrigado'!$E23:$Z23,MIN(AL$6-$G$3,22))),0)))))</f>
        <v>0</v>
      </c>
      <c r="AM25" s="27" t="n">
        <f aca="false">IF(COUNT('Arroz irrigado'!$E23:$Z23)=0,0,MAX(0,IF((AM$6-$E$3)&lt;1,0,IFERROR(LOOKUP(2,1/('Arroz irrigado'!$E23:INDEX('Arroz irrigado'!$E23:$Z23,MIN(AM$6-$E$3,22))&lt;&gt;""),'Arroz irrigado'!$E23:INDEX('Arroz irrigado'!$E23:$Z23,MIN(AM$6-$E$3,22))),0))-IF($G$2,0,IF((AM$6-$G$3)&lt;1,0,IFERROR(LOOKUP(2,1/('Arroz irrigado'!$E23:INDEX('Arroz irrigado'!$E23:$Z23,MIN(AM$6-$G$3,22))&lt;&gt;""),'Arroz irrigado'!$E23:INDEX('Arroz irrigado'!$E23:$Z23,MIN(AM$6-$G$3,22))),0)))))</f>
        <v>0</v>
      </c>
      <c r="AN25" s="27" t="n">
        <f aca="false">IF(COUNT('Arroz irrigado'!$E23:$Z23)=0,0,MAX(0,IF((AN$6-$E$3)&lt;1,0,IFERROR(LOOKUP(2,1/('Arroz irrigado'!$E23:INDEX('Arroz irrigado'!$E23:$Z23,MIN(AN$6-$E$3,22))&lt;&gt;""),'Arroz irrigado'!$E23:INDEX('Arroz irrigado'!$E23:$Z23,MIN(AN$6-$E$3,22))),0))-IF($G$2,0,IF((AN$6-$G$3)&lt;1,0,IFERROR(LOOKUP(2,1/('Arroz irrigado'!$E23:INDEX('Arroz irrigado'!$E23:$Z23,MIN(AN$6-$G$3,22))&lt;&gt;""),'Arroz irrigado'!$E23:INDEX('Arroz irrigado'!$E23:$Z23,MIN(AN$6-$G$3,22))),0)))))</f>
        <v>0</v>
      </c>
      <c r="AO25" s="27" t="n">
        <f aca="false">IF(COUNT('Arroz irrigado'!$E23:$Z23)=0,0,MAX(0,IF((AO$6-$E$3)&lt;1,0,IFERROR(LOOKUP(2,1/('Arroz irrigado'!$E23:INDEX('Arroz irrigado'!$E23:$Z23,MIN(AO$6-$E$3,22))&lt;&gt;""),'Arroz irrigado'!$E23:INDEX('Arroz irrigado'!$E23:$Z23,MIN(AO$6-$E$3,22))),0))-IF($G$2,0,IF((AO$6-$G$3)&lt;1,0,IFERROR(LOOKUP(2,1/('Arroz irrigado'!$E23:INDEX('Arroz irrigado'!$E23:$Z23,MIN(AO$6-$G$3,22))&lt;&gt;""),'Arroz irrigado'!$E23:INDEX('Arroz irrigado'!$E23:$Z23,MIN(AO$6-$G$3,22))),0)))))</f>
        <v>0</v>
      </c>
      <c r="AP25" s="27" t="n">
        <f aca="false">IF(COUNT('Arroz irrigado'!$E23:$Z23)=0,0,MAX(0,IF((AP$6-$E$3)&lt;1,0,IFERROR(LOOKUP(2,1/('Arroz irrigado'!$E23:INDEX('Arroz irrigado'!$E23:$Z23,MIN(AP$6-$E$3,22))&lt;&gt;""),'Arroz irrigado'!$E23:INDEX('Arroz irrigado'!$E23:$Z23,MIN(AP$6-$E$3,22))),0))-IF($G$2,0,IF((AP$6-$G$3)&lt;1,0,IFERROR(LOOKUP(2,1/('Arroz irrigado'!$E23:INDEX('Arroz irrigado'!$E23:$Z23,MIN(AP$6-$G$3,22))&lt;&gt;""),'Arroz irrigado'!$E23:INDEX('Arroz irrigado'!$E23:$Z23,MIN(AP$6-$G$3,22))),0)))))</f>
        <v>0</v>
      </c>
      <c r="AQ25" s="27" t="n">
        <f aca="false">IF(COUNT('Arroz irrigado'!$E23:$Z23)=0,0,MAX(0,IF((AQ$6-$E$3)&lt;1,0,IFERROR(LOOKUP(2,1/('Arroz irrigado'!$E23:INDEX('Arroz irrigado'!$E23:$Z23,MIN(AQ$6-$E$3,22))&lt;&gt;""),'Arroz irrigado'!$E23:INDEX('Arroz irrigado'!$E23:$Z23,MIN(AQ$6-$E$3,22))),0))-IF($G$2,0,IF((AQ$6-$G$3)&lt;1,0,IFERROR(LOOKUP(2,1/('Arroz irrigado'!$E23:INDEX('Arroz irrigado'!$E23:$Z23,MIN(AQ$6-$G$3,22))&lt;&gt;""),'Arroz irrigado'!$E23:INDEX('Arroz irrigado'!$E23:$Z23,MIN(AQ$6-$G$3,22))),0)))))</f>
        <v>0</v>
      </c>
      <c r="AR25" s="27" t="n">
        <f aca="false">IF(COUNT('Arroz irrigado'!$E23:$Z23)=0,0,MAX(0,IF((AR$6-$E$3)&lt;1,0,IFERROR(LOOKUP(2,1/('Arroz irrigado'!$E23:INDEX('Arroz irrigado'!$E23:$Z23,MIN(AR$6-$E$3,22))&lt;&gt;""),'Arroz irrigado'!$E23:INDEX('Arroz irrigado'!$E23:$Z23,MIN(AR$6-$E$3,22))),0))-IF($G$2,0,IF((AR$6-$G$3)&lt;1,0,IFERROR(LOOKUP(2,1/('Arroz irrigado'!$E23:INDEX('Arroz irrigado'!$E23:$Z23,MIN(AR$6-$G$3,22))&lt;&gt;""),'Arroz irrigado'!$E23:INDEX('Arroz irrigado'!$E23:$Z23,MIN(AR$6-$G$3,22))),0)))))</f>
        <v>0</v>
      </c>
      <c r="AS25" s="27" t="n">
        <f aca="false">IF(COUNT('Arroz irrigado'!$E23:$Z23)=0,0,MAX(0,IF((AS$6-$E$3)&lt;1,0,IFERROR(LOOKUP(2,1/('Arroz irrigado'!$E23:INDEX('Arroz irrigado'!$E23:$Z23,MIN(AS$6-$E$3,22))&lt;&gt;""),'Arroz irrigado'!$E23:INDEX('Arroz irrigado'!$E23:$Z23,MIN(AS$6-$E$3,22))),0))-IF($G$2,0,IF((AS$6-$G$3)&lt;1,0,IFERROR(LOOKUP(2,1/('Arroz irrigado'!$E23:INDEX('Arroz irrigado'!$E23:$Z23,MIN(AS$6-$G$3,22))&lt;&gt;""),'Arroz irrigado'!$E23:INDEX('Arroz irrigado'!$E23:$Z23,MIN(AS$6-$G$3,22))),0)))))</f>
        <v>0</v>
      </c>
      <c r="AT25" s="27" t="n">
        <f aca="false">IF(COUNT('Arroz irrigado'!$E23:$Z23)=0,0,MAX(0,IF((AT$6-$E$3)&lt;1,0,IFERROR(LOOKUP(2,1/('Arroz irrigado'!$E23:INDEX('Arroz irrigado'!$E23:$Z23,MIN(AT$6-$E$3,22))&lt;&gt;""),'Arroz irrigado'!$E23:INDEX('Arroz irrigado'!$E23:$Z23,MIN(AT$6-$E$3,22))),0))-IF($G$2,0,IF((AT$6-$G$3)&lt;1,0,IFERROR(LOOKUP(2,1/('Arroz irrigado'!$E23:INDEX('Arroz irrigado'!$E23:$Z23,MIN(AT$6-$G$3,22))&lt;&gt;""),'Arroz irrigado'!$E23:INDEX('Arroz irrigado'!$E23:$Z23,MIN(AT$6-$G$3,22))),0)))))</f>
        <v>0</v>
      </c>
      <c r="AU25" s="27" t="n">
        <f aca="false">IF(COUNT('Arroz irrigado'!$E23:$Z23)=0,0,MAX(0,IF((AU$6-$E$3)&lt;1,0,IFERROR(LOOKUP(2,1/('Arroz irrigado'!$E23:INDEX('Arroz irrigado'!$E23:$Z23,MIN(AU$6-$E$3,22))&lt;&gt;""),'Arroz irrigado'!$E23:INDEX('Arroz irrigado'!$E23:$Z23,MIN(AU$6-$E$3,22))),0))-IF($G$2,0,IF((AU$6-$G$3)&lt;1,0,IFERROR(LOOKUP(2,1/('Arroz irrigado'!$E23:INDEX('Arroz irrigado'!$E23:$Z23,MIN(AU$6-$G$3,22))&lt;&gt;""),'Arroz irrigado'!$E23:INDEX('Arroz irrigado'!$E23:$Z23,MIN(AU$6-$G$3,22))),0)))))</f>
        <v>0</v>
      </c>
      <c r="AV25" s="27" t="n">
        <f aca="false">IF(COUNT('Arroz irrigado'!$E23:$Z23)=0,0,MAX(0,IF((AV$6-$E$3)&lt;1,0,IFERROR(LOOKUP(2,1/('Arroz irrigado'!$E23:INDEX('Arroz irrigado'!$E23:$Z23,MIN(AV$6-$E$3,22))&lt;&gt;""),'Arroz irrigado'!$E23:INDEX('Arroz irrigado'!$E23:$Z23,MIN(AV$6-$E$3,22))),0))-IF($G$2,0,IF((AV$6-$G$3)&lt;1,0,IFERROR(LOOKUP(2,1/('Arroz irrigado'!$E23:INDEX('Arroz irrigado'!$E23:$Z23,MIN(AV$6-$G$3,22))&lt;&gt;""),'Arroz irrigado'!$E23:INDEX('Arroz irrigado'!$E23:$Z23,MIN(AV$6-$G$3,22))),0)))))</f>
        <v>0</v>
      </c>
      <c r="AW25" s="27" t="n">
        <f aca="false">IF(COUNT('Arroz irrigado'!$E23:$Z23)=0,0,MAX(0,IF((AW$6-$E$3)&lt;1,0,IFERROR(LOOKUP(2,1/('Arroz irrigado'!$E23:INDEX('Arroz irrigado'!$E23:$Z23,MIN(AW$6-$E$3,22))&lt;&gt;""),'Arroz irrigado'!$E23:INDEX('Arroz irrigado'!$E23:$Z23,MIN(AW$6-$E$3,22))),0))-IF($G$2,0,IF((AW$6-$G$3)&lt;1,0,IFERROR(LOOKUP(2,1/('Arroz irrigado'!$E23:INDEX('Arroz irrigado'!$E23:$Z23,MIN(AW$6-$G$3,22))&lt;&gt;""),'Arroz irrigado'!$E23:INDEX('Arroz irrigado'!$E23:$Z23,MIN(AW$6-$G$3,22))),0)))))</f>
        <v>0</v>
      </c>
      <c r="AX25" s="27" t="n">
        <f aca="false">IF(COUNT('Arroz irrigado'!$E23:$Z23)=0,0,MAX(0,IF((AX$6-$E$3)&lt;1,0,IFERROR(LOOKUP(2,1/('Arroz irrigado'!$E23:INDEX('Arroz irrigado'!$E23:$Z23,MIN(AX$6-$E$3,22))&lt;&gt;""),'Arroz irrigado'!$E23:INDEX('Arroz irrigado'!$E23:$Z23,MIN(AX$6-$E$3,22))),0))-IF($G$2,0,IF((AX$6-$G$3)&lt;1,0,IFERROR(LOOKUP(2,1/('Arroz irrigado'!$E23:INDEX('Arroz irrigado'!$E23:$Z23,MIN(AX$6-$G$3,22))&lt;&gt;""),'Arroz irrigado'!$E23:INDEX('Arroz irrigado'!$E23:$Z23,MIN(AX$6-$G$3,22))),0)))))</f>
        <v>0</v>
      </c>
      <c r="AY25" s="27" t="n">
        <f aca="false">IF(COUNT('Arroz irrigado'!$E23:$Z23)=0,0,MAX(0,IF((AY$6-$E$3)&lt;1,0,IFERROR(LOOKUP(2,1/('Arroz irrigado'!$E23:INDEX('Arroz irrigado'!$E23:$Z23,MIN(AY$6-$E$3,22))&lt;&gt;""),'Arroz irrigado'!$E23:INDEX('Arroz irrigado'!$E23:$Z23,MIN(AY$6-$E$3,22))),0))-IF($G$2,0,IF((AY$6-$G$3)&lt;1,0,IFERROR(LOOKUP(2,1/('Arroz irrigado'!$E23:INDEX('Arroz irrigado'!$E23:$Z23,MIN(AY$6-$G$3,22))&lt;&gt;""),'Arroz irrigado'!$E23:INDEX('Arroz irrigado'!$E23:$Z23,MIN(AY$6-$G$3,22))),0)))))</f>
        <v>0</v>
      </c>
      <c r="AZ25" s="27" t="n">
        <f aca="false">IF(COUNT('Arroz irrigado'!$E23:$Z23)=0,0,MAX(0,IF((AZ$6-$E$3)&lt;1,0,IFERROR(LOOKUP(2,1/('Arroz irrigado'!$E23:INDEX('Arroz irrigado'!$E23:$Z23,MIN(AZ$6-$E$3,22))&lt;&gt;""),'Arroz irrigado'!$E23:INDEX('Arroz irrigado'!$E23:$Z23,MIN(AZ$6-$E$3,22))),0))-IF($G$2,0,IF((AZ$6-$G$3)&lt;1,0,IFERROR(LOOKUP(2,1/('Arroz irrigado'!$E23:INDEX('Arroz irrigado'!$E23:$Z23,MIN(AZ$6-$G$3,22))&lt;&gt;""),'Arroz irrigado'!$E23:INDEX('Arroz irrigado'!$E23:$Z23,MIN(AZ$6-$G$3,22))),0)))))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IF(COUNT('Arroz irrigado'!$E24:$Z24)&gt;0,N('Arroz irrigado'!$D24),0)</f>
        <v>0</v>
      </c>
      <c r="E26" s="27" t="n">
        <f aca="false">IF(COUNT('Arroz irrigado'!$E24:$Z24)=0,0,MAX(0,IF((E$6-$E$3)&lt;1,0,IFERROR(LOOKUP(2,1/('Arroz irrigado'!$E24:INDEX('Arroz irrigado'!$E24:$Z24,MIN(E$6-$E$3,22))&lt;&gt;""),'Arroz irrigado'!$E24:INDEX('Arroz irrigado'!$E24:$Z24,MIN(E$6-$E$3,22))),0))-IF($G$2,0,IF((E$6-$G$3)&lt;1,0,IFERROR(LOOKUP(2,1/('Arroz irrigado'!$E24:INDEX('Arroz irrigado'!$E24:$Z24,MIN(E$6-$G$3,22))&lt;&gt;""),'Arroz irrigado'!$E24:INDEX('Arroz irrigado'!$E24:$Z24,MIN(E$6-$G$3,22))),0)))))</f>
        <v>0</v>
      </c>
      <c r="F26" s="27" t="n">
        <f aca="false">IF(COUNT('Arroz irrigado'!$E24:$Z24)=0,0,MAX(0,IF((F$6-$E$3)&lt;1,0,IFERROR(LOOKUP(2,1/('Arroz irrigado'!$E24:INDEX('Arroz irrigado'!$E24:$Z24,MIN(F$6-$E$3,22))&lt;&gt;""),'Arroz irrigado'!$E24:INDEX('Arroz irrigado'!$E24:$Z24,MIN(F$6-$E$3,22))),0))-IF($G$2,0,IF((F$6-$G$3)&lt;1,0,IFERROR(LOOKUP(2,1/('Arroz irrigado'!$E24:INDEX('Arroz irrigado'!$E24:$Z24,MIN(F$6-$G$3,22))&lt;&gt;""),'Arroz irrigado'!$E24:INDEX('Arroz irrigado'!$E24:$Z24,MIN(F$6-$G$3,22))),0)))))</f>
        <v>0</v>
      </c>
      <c r="G26" s="27" t="n">
        <f aca="false">IF(COUNT('Arroz irrigado'!$E24:$Z24)=0,0,MAX(0,IF((G$6-$E$3)&lt;1,0,IFERROR(LOOKUP(2,1/('Arroz irrigado'!$E24:INDEX('Arroz irrigado'!$E24:$Z24,MIN(G$6-$E$3,22))&lt;&gt;""),'Arroz irrigado'!$E24:INDEX('Arroz irrigado'!$E24:$Z24,MIN(G$6-$E$3,22))),0))-IF($G$2,0,IF((G$6-$G$3)&lt;1,0,IFERROR(LOOKUP(2,1/('Arroz irrigado'!$E24:INDEX('Arroz irrigado'!$E24:$Z24,MIN(G$6-$G$3,22))&lt;&gt;""),'Arroz irrigado'!$E24:INDEX('Arroz irrigado'!$E24:$Z24,MIN(G$6-$G$3,22))),0)))))</f>
        <v>0</v>
      </c>
      <c r="H26" s="27" t="n">
        <f aca="false">IF(COUNT('Arroz irrigado'!$E24:$Z24)=0,0,MAX(0,IF((H$6-$E$3)&lt;1,0,IFERROR(LOOKUP(2,1/('Arroz irrigado'!$E24:INDEX('Arroz irrigado'!$E24:$Z24,MIN(H$6-$E$3,22))&lt;&gt;""),'Arroz irrigado'!$E24:INDEX('Arroz irrigado'!$E24:$Z24,MIN(H$6-$E$3,22))),0))-IF($G$2,0,IF((H$6-$G$3)&lt;1,0,IFERROR(LOOKUP(2,1/('Arroz irrigado'!$E24:INDEX('Arroz irrigado'!$E24:$Z24,MIN(H$6-$G$3,22))&lt;&gt;""),'Arroz irrigado'!$E24:INDEX('Arroz irrigado'!$E24:$Z24,MIN(H$6-$G$3,22))),0)))))</f>
        <v>0</v>
      </c>
      <c r="I26" s="27" t="n">
        <f aca="false">IF(COUNT('Arroz irrigado'!$E24:$Z24)=0,0,MAX(0,IF((I$6-$E$3)&lt;1,0,IFERROR(LOOKUP(2,1/('Arroz irrigado'!$E24:INDEX('Arroz irrigado'!$E24:$Z24,MIN(I$6-$E$3,22))&lt;&gt;""),'Arroz irrigado'!$E24:INDEX('Arroz irrigado'!$E24:$Z24,MIN(I$6-$E$3,22))),0))-IF($G$2,0,IF((I$6-$G$3)&lt;1,0,IFERROR(LOOKUP(2,1/('Arroz irrigado'!$E24:INDEX('Arroz irrigado'!$E24:$Z24,MIN(I$6-$G$3,22))&lt;&gt;""),'Arroz irrigado'!$E24:INDEX('Arroz irrigado'!$E24:$Z24,MIN(I$6-$G$3,22))),0)))))</f>
        <v>0</v>
      </c>
      <c r="J26" s="27" t="n">
        <f aca="false">IF(COUNT('Arroz irrigado'!$E24:$Z24)=0,0,MAX(0,IF((J$6-$E$3)&lt;1,0,IFERROR(LOOKUP(2,1/('Arroz irrigado'!$E24:INDEX('Arroz irrigado'!$E24:$Z24,MIN(J$6-$E$3,22))&lt;&gt;""),'Arroz irrigado'!$E24:INDEX('Arroz irrigado'!$E24:$Z24,MIN(J$6-$E$3,22))),0))-IF($G$2,0,IF((J$6-$G$3)&lt;1,0,IFERROR(LOOKUP(2,1/('Arroz irrigado'!$E24:INDEX('Arroz irrigado'!$E24:$Z24,MIN(J$6-$G$3,22))&lt;&gt;""),'Arroz irrigado'!$E24:INDEX('Arroz irrigado'!$E24:$Z24,MIN(J$6-$G$3,22))),0)))))</f>
        <v>0</v>
      </c>
      <c r="K26" s="27" t="n">
        <f aca="false">IF(COUNT('Arroz irrigado'!$E24:$Z24)=0,0,MAX(0,IF((K$6-$E$3)&lt;1,0,IFERROR(LOOKUP(2,1/('Arroz irrigado'!$E24:INDEX('Arroz irrigado'!$E24:$Z24,MIN(K$6-$E$3,22))&lt;&gt;""),'Arroz irrigado'!$E24:INDEX('Arroz irrigado'!$E24:$Z24,MIN(K$6-$E$3,22))),0))-IF($G$2,0,IF((K$6-$G$3)&lt;1,0,IFERROR(LOOKUP(2,1/('Arroz irrigado'!$E24:INDEX('Arroz irrigado'!$E24:$Z24,MIN(K$6-$G$3,22))&lt;&gt;""),'Arroz irrigado'!$E24:INDEX('Arroz irrigado'!$E24:$Z24,MIN(K$6-$G$3,22))),0)))))</f>
        <v>0</v>
      </c>
      <c r="L26" s="27" t="n">
        <f aca="false">IF(COUNT('Arroz irrigado'!$E24:$Z24)=0,0,MAX(0,IF((L$6-$E$3)&lt;1,0,IFERROR(LOOKUP(2,1/('Arroz irrigado'!$E24:INDEX('Arroz irrigado'!$E24:$Z24,MIN(L$6-$E$3,22))&lt;&gt;""),'Arroz irrigado'!$E24:INDEX('Arroz irrigado'!$E24:$Z24,MIN(L$6-$E$3,22))),0))-IF($G$2,0,IF((L$6-$G$3)&lt;1,0,IFERROR(LOOKUP(2,1/('Arroz irrigado'!$E24:INDEX('Arroz irrigado'!$E24:$Z24,MIN(L$6-$G$3,22))&lt;&gt;""),'Arroz irrigado'!$E24:INDEX('Arroz irrigado'!$E24:$Z24,MIN(L$6-$G$3,22))),0)))))</f>
        <v>0</v>
      </c>
      <c r="M26" s="27" t="n">
        <f aca="false">IF(COUNT('Arroz irrigado'!$E24:$Z24)=0,0,MAX(0,IF((M$6-$E$3)&lt;1,0,IFERROR(LOOKUP(2,1/('Arroz irrigado'!$E24:INDEX('Arroz irrigado'!$E24:$Z24,MIN(M$6-$E$3,22))&lt;&gt;""),'Arroz irrigado'!$E24:INDEX('Arroz irrigado'!$E24:$Z24,MIN(M$6-$E$3,22))),0))-IF($G$2,0,IF((M$6-$G$3)&lt;1,0,IFERROR(LOOKUP(2,1/('Arroz irrigado'!$E24:INDEX('Arroz irrigado'!$E24:$Z24,MIN(M$6-$G$3,22))&lt;&gt;""),'Arroz irrigado'!$E24:INDEX('Arroz irrigado'!$E24:$Z24,MIN(M$6-$G$3,22))),0)))))</f>
        <v>0</v>
      </c>
      <c r="N26" s="27" t="n">
        <f aca="false">IF(COUNT('Arroz irrigado'!$E24:$Z24)=0,0,MAX(0,IF((N$6-$E$3)&lt;1,0,IFERROR(LOOKUP(2,1/('Arroz irrigado'!$E24:INDEX('Arroz irrigado'!$E24:$Z24,MIN(N$6-$E$3,22))&lt;&gt;""),'Arroz irrigado'!$E24:INDEX('Arroz irrigado'!$E24:$Z24,MIN(N$6-$E$3,22))),0))-IF($G$2,0,IF((N$6-$G$3)&lt;1,0,IFERROR(LOOKUP(2,1/('Arroz irrigado'!$E24:INDEX('Arroz irrigado'!$E24:$Z24,MIN(N$6-$G$3,22))&lt;&gt;""),'Arroz irrigado'!$E24:INDEX('Arroz irrigado'!$E24:$Z24,MIN(N$6-$G$3,22))),0)))))</f>
        <v>0</v>
      </c>
      <c r="O26" s="27" t="n">
        <f aca="false">IF(COUNT('Arroz irrigado'!$E24:$Z24)=0,0,MAX(0,IF((O$6-$E$3)&lt;1,0,IFERROR(LOOKUP(2,1/('Arroz irrigado'!$E24:INDEX('Arroz irrigado'!$E24:$Z24,MIN(O$6-$E$3,22))&lt;&gt;""),'Arroz irrigado'!$E24:INDEX('Arroz irrigado'!$E24:$Z24,MIN(O$6-$E$3,22))),0))-IF($G$2,0,IF((O$6-$G$3)&lt;1,0,IFERROR(LOOKUP(2,1/('Arroz irrigado'!$E24:INDEX('Arroz irrigado'!$E24:$Z24,MIN(O$6-$G$3,22))&lt;&gt;""),'Arroz irrigado'!$E24:INDEX('Arroz irrigado'!$E24:$Z24,MIN(O$6-$G$3,22))),0)))))</f>
        <v>0</v>
      </c>
      <c r="P26" s="27" t="n">
        <f aca="false">IF(COUNT('Arroz irrigado'!$E24:$Z24)=0,0,MAX(0,IF((P$6-$E$3)&lt;1,0,IFERROR(LOOKUP(2,1/('Arroz irrigado'!$E24:INDEX('Arroz irrigado'!$E24:$Z24,MIN(P$6-$E$3,22))&lt;&gt;""),'Arroz irrigado'!$E24:INDEX('Arroz irrigado'!$E24:$Z24,MIN(P$6-$E$3,22))),0))-IF($G$2,0,IF((P$6-$G$3)&lt;1,0,IFERROR(LOOKUP(2,1/('Arroz irrigado'!$E24:INDEX('Arroz irrigado'!$E24:$Z24,MIN(P$6-$G$3,22))&lt;&gt;""),'Arroz irrigado'!$E24:INDEX('Arroz irrigado'!$E24:$Z24,MIN(P$6-$G$3,22))),0)))))</f>
        <v>0</v>
      </c>
      <c r="Q26" s="27" t="n">
        <f aca="false">IF(COUNT('Arroz irrigado'!$E24:$Z24)=0,0,MAX(0,IF((Q$6-$E$3)&lt;1,0,IFERROR(LOOKUP(2,1/('Arroz irrigado'!$E24:INDEX('Arroz irrigado'!$E24:$Z24,MIN(Q$6-$E$3,22))&lt;&gt;""),'Arroz irrigado'!$E24:INDEX('Arroz irrigado'!$E24:$Z24,MIN(Q$6-$E$3,22))),0))-IF($G$2,0,IF((Q$6-$G$3)&lt;1,0,IFERROR(LOOKUP(2,1/('Arroz irrigado'!$E24:INDEX('Arroz irrigado'!$E24:$Z24,MIN(Q$6-$G$3,22))&lt;&gt;""),'Arroz irrigado'!$E24:INDEX('Arroz irrigado'!$E24:$Z24,MIN(Q$6-$G$3,22))),0)))))</f>
        <v>0</v>
      </c>
      <c r="R26" s="27" t="n">
        <f aca="false">IF(COUNT('Arroz irrigado'!$E24:$Z24)=0,0,MAX(0,IF((R$6-$E$3)&lt;1,0,IFERROR(LOOKUP(2,1/('Arroz irrigado'!$E24:INDEX('Arroz irrigado'!$E24:$Z24,MIN(R$6-$E$3,22))&lt;&gt;""),'Arroz irrigado'!$E24:INDEX('Arroz irrigado'!$E24:$Z24,MIN(R$6-$E$3,22))),0))-IF($G$2,0,IF((R$6-$G$3)&lt;1,0,IFERROR(LOOKUP(2,1/('Arroz irrigado'!$E24:INDEX('Arroz irrigado'!$E24:$Z24,MIN(R$6-$G$3,22))&lt;&gt;""),'Arroz irrigado'!$E24:INDEX('Arroz irrigado'!$E24:$Z24,MIN(R$6-$G$3,22))),0)))))</f>
        <v>0</v>
      </c>
      <c r="S26" s="27" t="n">
        <f aca="false">IF(COUNT('Arroz irrigado'!$E24:$Z24)=0,0,MAX(0,IF((S$6-$E$3)&lt;1,0,IFERROR(LOOKUP(2,1/('Arroz irrigado'!$E24:INDEX('Arroz irrigado'!$E24:$Z24,MIN(S$6-$E$3,22))&lt;&gt;""),'Arroz irrigado'!$E24:INDEX('Arroz irrigado'!$E24:$Z24,MIN(S$6-$E$3,22))),0))-IF($G$2,0,IF((S$6-$G$3)&lt;1,0,IFERROR(LOOKUP(2,1/('Arroz irrigado'!$E24:INDEX('Arroz irrigado'!$E24:$Z24,MIN(S$6-$G$3,22))&lt;&gt;""),'Arroz irrigado'!$E24:INDEX('Arroz irrigado'!$E24:$Z24,MIN(S$6-$G$3,22))),0)))))</f>
        <v>0</v>
      </c>
      <c r="T26" s="27" t="n">
        <f aca="false">IF(COUNT('Arroz irrigado'!$E24:$Z24)=0,0,MAX(0,IF((T$6-$E$3)&lt;1,0,IFERROR(LOOKUP(2,1/('Arroz irrigado'!$E24:INDEX('Arroz irrigado'!$E24:$Z24,MIN(T$6-$E$3,22))&lt;&gt;""),'Arroz irrigado'!$E24:INDEX('Arroz irrigado'!$E24:$Z24,MIN(T$6-$E$3,22))),0))-IF($G$2,0,IF((T$6-$G$3)&lt;1,0,IFERROR(LOOKUP(2,1/('Arroz irrigado'!$E24:INDEX('Arroz irrigado'!$E24:$Z24,MIN(T$6-$G$3,22))&lt;&gt;""),'Arroz irrigado'!$E24:INDEX('Arroz irrigado'!$E24:$Z24,MIN(T$6-$G$3,22))),0)))))</f>
        <v>0</v>
      </c>
      <c r="U26" s="27" t="n">
        <f aca="false">IF(COUNT('Arroz irrigado'!$E24:$Z24)=0,0,MAX(0,IF((U$6-$E$3)&lt;1,0,IFERROR(LOOKUP(2,1/('Arroz irrigado'!$E24:INDEX('Arroz irrigado'!$E24:$Z24,MIN(U$6-$E$3,22))&lt;&gt;""),'Arroz irrigado'!$E24:INDEX('Arroz irrigado'!$E24:$Z24,MIN(U$6-$E$3,22))),0))-IF($G$2,0,IF((U$6-$G$3)&lt;1,0,IFERROR(LOOKUP(2,1/('Arroz irrigado'!$E24:INDEX('Arroz irrigado'!$E24:$Z24,MIN(U$6-$G$3,22))&lt;&gt;""),'Arroz irrigado'!$E24:INDEX('Arroz irrigado'!$E24:$Z24,MIN(U$6-$G$3,22))),0)))))</f>
        <v>0</v>
      </c>
      <c r="V26" s="27" t="n">
        <f aca="false">IF(COUNT('Arroz irrigado'!$E24:$Z24)=0,0,MAX(0,IF((V$6-$E$3)&lt;1,0,IFERROR(LOOKUP(2,1/('Arroz irrigado'!$E24:INDEX('Arroz irrigado'!$E24:$Z24,MIN(V$6-$E$3,22))&lt;&gt;""),'Arroz irrigado'!$E24:INDEX('Arroz irrigado'!$E24:$Z24,MIN(V$6-$E$3,22))),0))-IF($G$2,0,IF((V$6-$G$3)&lt;1,0,IFERROR(LOOKUP(2,1/('Arroz irrigado'!$E24:INDEX('Arroz irrigado'!$E24:$Z24,MIN(V$6-$G$3,22))&lt;&gt;""),'Arroz irrigado'!$E24:INDEX('Arroz irrigado'!$E24:$Z24,MIN(V$6-$G$3,22))),0)))))</f>
        <v>0</v>
      </c>
      <c r="W26" s="27" t="n">
        <f aca="false">IF(COUNT('Arroz irrigado'!$E24:$Z24)=0,0,MAX(0,IF((W$6-$E$3)&lt;1,0,IFERROR(LOOKUP(2,1/('Arroz irrigado'!$E24:INDEX('Arroz irrigado'!$E24:$Z24,MIN(W$6-$E$3,22))&lt;&gt;""),'Arroz irrigado'!$E24:INDEX('Arroz irrigado'!$E24:$Z24,MIN(W$6-$E$3,22))),0))-IF($G$2,0,IF((W$6-$G$3)&lt;1,0,IFERROR(LOOKUP(2,1/('Arroz irrigado'!$E24:INDEX('Arroz irrigado'!$E24:$Z24,MIN(W$6-$G$3,22))&lt;&gt;""),'Arroz irrigado'!$E24:INDEX('Arroz irrigado'!$E24:$Z24,MIN(W$6-$G$3,22))),0)))))</f>
        <v>0</v>
      </c>
      <c r="X26" s="27" t="n">
        <f aca="false">IF(COUNT('Arroz irrigado'!$E24:$Z24)=0,0,MAX(0,IF((X$6-$E$3)&lt;1,0,IFERROR(LOOKUP(2,1/('Arroz irrigado'!$E24:INDEX('Arroz irrigado'!$E24:$Z24,MIN(X$6-$E$3,22))&lt;&gt;""),'Arroz irrigado'!$E24:INDEX('Arroz irrigado'!$E24:$Z24,MIN(X$6-$E$3,22))),0))-IF($G$2,0,IF((X$6-$G$3)&lt;1,0,IFERROR(LOOKUP(2,1/('Arroz irrigado'!$E24:INDEX('Arroz irrigado'!$E24:$Z24,MIN(X$6-$G$3,22))&lt;&gt;""),'Arroz irrigado'!$E24:INDEX('Arroz irrigado'!$E24:$Z24,MIN(X$6-$G$3,22))),0)))))</f>
        <v>0</v>
      </c>
      <c r="Y26" s="27" t="n">
        <f aca="false">IF(COUNT('Arroz irrigado'!$E24:$Z24)=0,0,MAX(0,IF((Y$6-$E$3)&lt;1,0,IFERROR(LOOKUP(2,1/('Arroz irrigado'!$E24:INDEX('Arroz irrigado'!$E24:$Z24,MIN(Y$6-$E$3,22))&lt;&gt;""),'Arroz irrigado'!$E24:INDEX('Arroz irrigado'!$E24:$Z24,MIN(Y$6-$E$3,22))),0))-IF($G$2,0,IF((Y$6-$G$3)&lt;1,0,IFERROR(LOOKUP(2,1/('Arroz irrigado'!$E24:INDEX('Arroz irrigado'!$E24:$Z24,MIN(Y$6-$G$3,22))&lt;&gt;""),'Arroz irrigado'!$E24:INDEX('Arroz irrigado'!$E24:$Z24,MIN(Y$6-$G$3,22))),0)))))</f>
        <v>0</v>
      </c>
      <c r="Z26" s="27" t="n">
        <f aca="false">IF(COUNT('Arroz irrigado'!$E24:$Z24)=0,0,MAX(0,IF((Z$6-$E$3)&lt;1,0,IFERROR(LOOKUP(2,1/('Arroz irrigado'!$E24:INDEX('Arroz irrigado'!$E24:$Z24,MIN(Z$6-$E$3,22))&lt;&gt;""),'Arroz irrigado'!$E24:INDEX('Arroz irrigado'!$E24:$Z24,MIN(Z$6-$E$3,22))),0))-IF($G$2,0,IF((Z$6-$G$3)&lt;1,0,IFERROR(LOOKUP(2,1/('Arroz irrigado'!$E24:INDEX('Arroz irrigado'!$E24:$Z24,MIN(Z$6-$G$3,22))&lt;&gt;""),'Arroz irrigado'!$E24:INDEX('Arroz irrigado'!$E24:$Z24,MIN(Z$6-$G$3,22))),0)))))</f>
        <v>0</v>
      </c>
      <c r="AA26" s="27" t="n">
        <f aca="false">IF(COUNT('Arroz irrigado'!$E24:$Z24)=0,0,MAX(0,IF((AA$6-$E$3)&lt;1,0,IFERROR(LOOKUP(2,1/('Arroz irrigado'!$E24:INDEX('Arroz irrigado'!$E24:$Z24,MIN(AA$6-$E$3,22))&lt;&gt;""),'Arroz irrigado'!$E24:INDEX('Arroz irrigado'!$E24:$Z24,MIN(AA$6-$E$3,22))),0))-IF($G$2,0,IF((AA$6-$G$3)&lt;1,0,IFERROR(LOOKUP(2,1/('Arroz irrigado'!$E24:INDEX('Arroz irrigado'!$E24:$Z24,MIN(AA$6-$G$3,22))&lt;&gt;""),'Arroz irrigado'!$E24:INDEX('Arroz irrigado'!$E24:$Z24,MIN(AA$6-$G$3,22))),0)))))</f>
        <v>0</v>
      </c>
      <c r="AB26" s="27" t="n">
        <f aca="false">IF(COUNT('Arroz irrigado'!$E24:$Z24)=0,0,MAX(0,IF((AB$6-$E$3)&lt;1,0,IFERROR(LOOKUP(2,1/('Arroz irrigado'!$E24:INDEX('Arroz irrigado'!$E24:$Z24,MIN(AB$6-$E$3,22))&lt;&gt;""),'Arroz irrigado'!$E24:INDEX('Arroz irrigado'!$E24:$Z24,MIN(AB$6-$E$3,22))),0))-IF($G$2,0,IF((AB$6-$G$3)&lt;1,0,IFERROR(LOOKUP(2,1/('Arroz irrigado'!$E24:INDEX('Arroz irrigado'!$E24:$Z24,MIN(AB$6-$G$3,22))&lt;&gt;""),'Arroz irrigado'!$E24:INDEX('Arroz irrigado'!$E24:$Z24,MIN(AB$6-$G$3,22))),0)))))</f>
        <v>0</v>
      </c>
      <c r="AC26" s="27" t="n">
        <f aca="false">IF(COUNT('Arroz irrigado'!$E24:$Z24)=0,0,MAX(0,IF((AC$6-$E$3)&lt;1,0,IFERROR(LOOKUP(2,1/('Arroz irrigado'!$E24:INDEX('Arroz irrigado'!$E24:$Z24,MIN(AC$6-$E$3,22))&lt;&gt;""),'Arroz irrigado'!$E24:INDEX('Arroz irrigado'!$E24:$Z24,MIN(AC$6-$E$3,22))),0))-IF($G$2,0,IF((AC$6-$G$3)&lt;1,0,IFERROR(LOOKUP(2,1/('Arroz irrigado'!$E24:INDEX('Arroz irrigado'!$E24:$Z24,MIN(AC$6-$G$3,22))&lt;&gt;""),'Arroz irrigado'!$E24:INDEX('Arroz irrigado'!$E24:$Z24,MIN(AC$6-$G$3,22))),0)))))</f>
        <v>0</v>
      </c>
      <c r="AD26" s="27" t="n">
        <f aca="false">IF(COUNT('Arroz irrigado'!$E24:$Z24)=0,0,MAX(0,IF((AD$6-$E$3)&lt;1,0,IFERROR(LOOKUP(2,1/('Arroz irrigado'!$E24:INDEX('Arroz irrigado'!$E24:$Z24,MIN(AD$6-$E$3,22))&lt;&gt;""),'Arroz irrigado'!$E24:INDEX('Arroz irrigado'!$E24:$Z24,MIN(AD$6-$E$3,22))),0))-IF($G$2,0,IF((AD$6-$G$3)&lt;1,0,IFERROR(LOOKUP(2,1/('Arroz irrigado'!$E24:INDEX('Arroz irrigado'!$E24:$Z24,MIN(AD$6-$G$3,22))&lt;&gt;""),'Arroz irrigado'!$E24:INDEX('Arroz irrigado'!$E24:$Z24,MIN(AD$6-$G$3,22))),0)))))</f>
        <v>0</v>
      </c>
      <c r="AE26" s="27" t="n">
        <f aca="false">IF(COUNT('Arroz irrigado'!$E24:$Z24)=0,0,MAX(0,IF((AE$6-$E$3)&lt;1,0,IFERROR(LOOKUP(2,1/('Arroz irrigado'!$E24:INDEX('Arroz irrigado'!$E24:$Z24,MIN(AE$6-$E$3,22))&lt;&gt;""),'Arroz irrigado'!$E24:INDEX('Arroz irrigado'!$E24:$Z24,MIN(AE$6-$E$3,22))),0))-IF($G$2,0,IF((AE$6-$G$3)&lt;1,0,IFERROR(LOOKUP(2,1/('Arroz irrigado'!$E24:INDEX('Arroz irrigado'!$E24:$Z24,MIN(AE$6-$G$3,22))&lt;&gt;""),'Arroz irrigado'!$E24:INDEX('Arroz irrigado'!$E24:$Z24,MIN(AE$6-$G$3,22))),0)))))</f>
        <v>0</v>
      </c>
      <c r="AF26" s="27" t="n">
        <f aca="false">IF(COUNT('Arroz irrigado'!$E24:$Z24)=0,0,MAX(0,IF((AF$6-$E$3)&lt;1,0,IFERROR(LOOKUP(2,1/('Arroz irrigado'!$E24:INDEX('Arroz irrigado'!$E24:$Z24,MIN(AF$6-$E$3,22))&lt;&gt;""),'Arroz irrigado'!$E24:INDEX('Arroz irrigado'!$E24:$Z24,MIN(AF$6-$E$3,22))),0))-IF($G$2,0,IF((AF$6-$G$3)&lt;1,0,IFERROR(LOOKUP(2,1/('Arroz irrigado'!$E24:INDEX('Arroz irrigado'!$E24:$Z24,MIN(AF$6-$G$3,22))&lt;&gt;""),'Arroz irrigado'!$E24:INDEX('Arroz irrigado'!$E24:$Z24,MIN(AF$6-$G$3,22))),0)))))</f>
        <v>0</v>
      </c>
      <c r="AG26" s="27" t="n">
        <f aca="false">IF(COUNT('Arroz irrigado'!$E24:$Z24)=0,0,MAX(0,IF((AG$6-$E$3)&lt;1,0,IFERROR(LOOKUP(2,1/('Arroz irrigado'!$E24:INDEX('Arroz irrigado'!$E24:$Z24,MIN(AG$6-$E$3,22))&lt;&gt;""),'Arroz irrigado'!$E24:INDEX('Arroz irrigado'!$E24:$Z24,MIN(AG$6-$E$3,22))),0))-IF($G$2,0,IF((AG$6-$G$3)&lt;1,0,IFERROR(LOOKUP(2,1/('Arroz irrigado'!$E24:INDEX('Arroz irrigado'!$E24:$Z24,MIN(AG$6-$G$3,22))&lt;&gt;""),'Arroz irrigado'!$E24:INDEX('Arroz irrigado'!$E24:$Z24,MIN(AG$6-$G$3,22))),0)))))</f>
        <v>0</v>
      </c>
      <c r="AH26" s="27" t="n">
        <f aca="false">IF(COUNT('Arroz irrigado'!$E24:$Z24)=0,0,MAX(0,IF((AH$6-$E$3)&lt;1,0,IFERROR(LOOKUP(2,1/('Arroz irrigado'!$E24:INDEX('Arroz irrigado'!$E24:$Z24,MIN(AH$6-$E$3,22))&lt;&gt;""),'Arroz irrigado'!$E24:INDEX('Arroz irrigado'!$E24:$Z24,MIN(AH$6-$E$3,22))),0))-IF($G$2,0,IF((AH$6-$G$3)&lt;1,0,IFERROR(LOOKUP(2,1/('Arroz irrigado'!$E24:INDEX('Arroz irrigado'!$E24:$Z24,MIN(AH$6-$G$3,22))&lt;&gt;""),'Arroz irrigado'!$E24:INDEX('Arroz irrigado'!$E24:$Z24,MIN(AH$6-$G$3,22))),0)))))</f>
        <v>0</v>
      </c>
      <c r="AI26" s="27" t="n">
        <f aca="false">IF(COUNT('Arroz irrigado'!$E24:$Z24)=0,0,MAX(0,IF((AI$6-$E$3)&lt;1,0,IFERROR(LOOKUP(2,1/('Arroz irrigado'!$E24:INDEX('Arroz irrigado'!$E24:$Z24,MIN(AI$6-$E$3,22))&lt;&gt;""),'Arroz irrigado'!$E24:INDEX('Arroz irrigado'!$E24:$Z24,MIN(AI$6-$E$3,22))),0))-IF($G$2,0,IF((AI$6-$G$3)&lt;1,0,IFERROR(LOOKUP(2,1/('Arroz irrigado'!$E24:INDEX('Arroz irrigado'!$E24:$Z24,MIN(AI$6-$G$3,22))&lt;&gt;""),'Arroz irrigado'!$E24:INDEX('Arroz irrigado'!$E24:$Z24,MIN(AI$6-$G$3,22))),0)))))</f>
        <v>0</v>
      </c>
      <c r="AJ26" s="27" t="n">
        <f aca="false">IF(COUNT('Arroz irrigado'!$E24:$Z24)=0,0,MAX(0,IF((AJ$6-$E$3)&lt;1,0,IFERROR(LOOKUP(2,1/('Arroz irrigado'!$E24:INDEX('Arroz irrigado'!$E24:$Z24,MIN(AJ$6-$E$3,22))&lt;&gt;""),'Arroz irrigado'!$E24:INDEX('Arroz irrigado'!$E24:$Z24,MIN(AJ$6-$E$3,22))),0))-IF($G$2,0,IF((AJ$6-$G$3)&lt;1,0,IFERROR(LOOKUP(2,1/('Arroz irrigado'!$E24:INDEX('Arroz irrigado'!$E24:$Z24,MIN(AJ$6-$G$3,22))&lt;&gt;""),'Arroz irrigado'!$E24:INDEX('Arroz irrigado'!$E24:$Z24,MIN(AJ$6-$G$3,22))),0)))))</f>
        <v>0</v>
      </c>
      <c r="AK26" s="27" t="n">
        <f aca="false">IF(COUNT('Arroz irrigado'!$E24:$Z24)=0,0,MAX(0,IF((AK$6-$E$3)&lt;1,0,IFERROR(LOOKUP(2,1/('Arroz irrigado'!$E24:INDEX('Arroz irrigado'!$E24:$Z24,MIN(AK$6-$E$3,22))&lt;&gt;""),'Arroz irrigado'!$E24:INDEX('Arroz irrigado'!$E24:$Z24,MIN(AK$6-$E$3,22))),0))-IF($G$2,0,IF((AK$6-$G$3)&lt;1,0,IFERROR(LOOKUP(2,1/('Arroz irrigado'!$E24:INDEX('Arroz irrigado'!$E24:$Z24,MIN(AK$6-$G$3,22))&lt;&gt;""),'Arroz irrigado'!$E24:INDEX('Arroz irrigado'!$E24:$Z24,MIN(AK$6-$G$3,22))),0)))))</f>
        <v>0</v>
      </c>
      <c r="AL26" s="27" t="n">
        <f aca="false">IF(COUNT('Arroz irrigado'!$E24:$Z24)=0,0,MAX(0,IF((AL$6-$E$3)&lt;1,0,IFERROR(LOOKUP(2,1/('Arroz irrigado'!$E24:INDEX('Arroz irrigado'!$E24:$Z24,MIN(AL$6-$E$3,22))&lt;&gt;""),'Arroz irrigado'!$E24:INDEX('Arroz irrigado'!$E24:$Z24,MIN(AL$6-$E$3,22))),0))-IF($G$2,0,IF((AL$6-$G$3)&lt;1,0,IFERROR(LOOKUP(2,1/('Arroz irrigado'!$E24:INDEX('Arroz irrigado'!$E24:$Z24,MIN(AL$6-$G$3,22))&lt;&gt;""),'Arroz irrigado'!$E24:INDEX('Arroz irrigado'!$E24:$Z24,MIN(AL$6-$G$3,22))),0)))))</f>
        <v>0</v>
      </c>
      <c r="AM26" s="27" t="n">
        <f aca="false">IF(COUNT('Arroz irrigado'!$E24:$Z24)=0,0,MAX(0,IF((AM$6-$E$3)&lt;1,0,IFERROR(LOOKUP(2,1/('Arroz irrigado'!$E24:INDEX('Arroz irrigado'!$E24:$Z24,MIN(AM$6-$E$3,22))&lt;&gt;""),'Arroz irrigado'!$E24:INDEX('Arroz irrigado'!$E24:$Z24,MIN(AM$6-$E$3,22))),0))-IF($G$2,0,IF((AM$6-$G$3)&lt;1,0,IFERROR(LOOKUP(2,1/('Arroz irrigado'!$E24:INDEX('Arroz irrigado'!$E24:$Z24,MIN(AM$6-$G$3,22))&lt;&gt;""),'Arroz irrigado'!$E24:INDEX('Arroz irrigado'!$E24:$Z24,MIN(AM$6-$G$3,22))),0)))))</f>
        <v>0</v>
      </c>
      <c r="AN26" s="27" t="n">
        <f aca="false">IF(COUNT('Arroz irrigado'!$E24:$Z24)=0,0,MAX(0,IF((AN$6-$E$3)&lt;1,0,IFERROR(LOOKUP(2,1/('Arroz irrigado'!$E24:INDEX('Arroz irrigado'!$E24:$Z24,MIN(AN$6-$E$3,22))&lt;&gt;""),'Arroz irrigado'!$E24:INDEX('Arroz irrigado'!$E24:$Z24,MIN(AN$6-$E$3,22))),0))-IF($G$2,0,IF((AN$6-$G$3)&lt;1,0,IFERROR(LOOKUP(2,1/('Arroz irrigado'!$E24:INDEX('Arroz irrigado'!$E24:$Z24,MIN(AN$6-$G$3,22))&lt;&gt;""),'Arroz irrigado'!$E24:INDEX('Arroz irrigado'!$E24:$Z24,MIN(AN$6-$G$3,22))),0)))))</f>
        <v>0</v>
      </c>
      <c r="AO26" s="27" t="n">
        <f aca="false">IF(COUNT('Arroz irrigado'!$E24:$Z24)=0,0,MAX(0,IF((AO$6-$E$3)&lt;1,0,IFERROR(LOOKUP(2,1/('Arroz irrigado'!$E24:INDEX('Arroz irrigado'!$E24:$Z24,MIN(AO$6-$E$3,22))&lt;&gt;""),'Arroz irrigado'!$E24:INDEX('Arroz irrigado'!$E24:$Z24,MIN(AO$6-$E$3,22))),0))-IF($G$2,0,IF((AO$6-$G$3)&lt;1,0,IFERROR(LOOKUP(2,1/('Arroz irrigado'!$E24:INDEX('Arroz irrigado'!$E24:$Z24,MIN(AO$6-$G$3,22))&lt;&gt;""),'Arroz irrigado'!$E24:INDEX('Arroz irrigado'!$E24:$Z24,MIN(AO$6-$G$3,22))),0)))))</f>
        <v>0</v>
      </c>
      <c r="AP26" s="27" t="n">
        <f aca="false">IF(COUNT('Arroz irrigado'!$E24:$Z24)=0,0,MAX(0,IF((AP$6-$E$3)&lt;1,0,IFERROR(LOOKUP(2,1/('Arroz irrigado'!$E24:INDEX('Arroz irrigado'!$E24:$Z24,MIN(AP$6-$E$3,22))&lt;&gt;""),'Arroz irrigado'!$E24:INDEX('Arroz irrigado'!$E24:$Z24,MIN(AP$6-$E$3,22))),0))-IF($G$2,0,IF((AP$6-$G$3)&lt;1,0,IFERROR(LOOKUP(2,1/('Arroz irrigado'!$E24:INDEX('Arroz irrigado'!$E24:$Z24,MIN(AP$6-$G$3,22))&lt;&gt;""),'Arroz irrigado'!$E24:INDEX('Arroz irrigado'!$E24:$Z24,MIN(AP$6-$G$3,22))),0)))))</f>
        <v>0</v>
      </c>
      <c r="AQ26" s="27" t="n">
        <f aca="false">IF(COUNT('Arroz irrigado'!$E24:$Z24)=0,0,MAX(0,IF((AQ$6-$E$3)&lt;1,0,IFERROR(LOOKUP(2,1/('Arroz irrigado'!$E24:INDEX('Arroz irrigado'!$E24:$Z24,MIN(AQ$6-$E$3,22))&lt;&gt;""),'Arroz irrigado'!$E24:INDEX('Arroz irrigado'!$E24:$Z24,MIN(AQ$6-$E$3,22))),0))-IF($G$2,0,IF((AQ$6-$G$3)&lt;1,0,IFERROR(LOOKUP(2,1/('Arroz irrigado'!$E24:INDEX('Arroz irrigado'!$E24:$Z24,MIN(AQ$6-$G$3,22))&lt;&gt;""),'Arroz irrigado'!$E24:INDEX('Arroz irrigado'!$E24:$Z24,MIN(AQ$6-$G$3,22))),0)))))</f>
        <v>0</v>
      </c>
      <c r="AR26" s="27" t="n">
        <f aca="false">IF(COUNT('Arroz irrigado'!$E24:$Z24)=0,0,MAX(0,IF((AR$6-$E$3)&lt;1,0,IFERROR(LOOKUP(2,1/('Arroz irrigado'!$E24:INDEX('Arroz irrigado'!$E24:$Z24,MIN(AR$6-$E$3,22))&lt;&gt;""),'Arroz irrigado'!$E24:INDEX('Arroz irrigado'!$E24:$Z24,MIN(AR$6-$E$3,22))),0))-IF($G$2,0,IF((AR$6-$G$3)&lt;1,0,IFERROR(LOOKUP(2,1/('Arroz irrigado'!$E24:INDEX('Arroz irrigado'!$E24:$Z24,MIN(AR$6-$G$3,22))&lt;&gt;""),'Arroz irrigado'!$E24:INDEX('Arroz irrigado'!$E24:$Z24,MIN(AR$6-$G$3,22))),0)))))</f>
        <v>0</v>
      </c>
      <c r="AS26" s="27" t="n">
        <f aca="false">IF(COUNT('Arroz irrigado'!$E24:$Z24)=0,0,MAX(0,IF((AS$6-$E$3)&lt;1,0,IFERROR(LOOKUP(2,1/('Arroz irrigado'!$E24:INDEX('Arroz irrigado'!$E24:$Z24,MIN(AS$6-$E$3,22))&lt;&gt;""),'Arroz irrigado'!$E24:INDEX('Arroz irrigado'!$E24:$Z24,MIN(AS$6-$E$3,22))),0))-IF($G$2,0,IF((AS$6-$G$3)&lt;1,0,IFERROR(LOOKUP(2,1/('Arroz irrigado'!$E24:INDEX('Arroz irrigado'!$E24:$Z24,MIN(AS$6-$G$3,22))&lt;&gt;""),'Arroz irrigado'!$E24:INDEX('Arroz irrigado'!$E24:$Z24,MIN(AS$6-$G$3,22))),0)))))</f>
        <v>0</v>
      </c>
      <c r="AT26" s="27" t="n">
        <f aca="false">IF(COUNT('Arroz irrigado'!$E24:$Z24)=0,0,MAX(0,IF((AT$6-$E$3)&lt;1,0,IFERROR(LOOKUP(2,1/('Arroz irrigado'!$E24:INDEX('Arroz irrigado'!$E24:$Z24,MIN(AT$6-$E$3,22))&lt;&gt;""),'Arroz irrigado'!$E24:INDEX('Arroz irrigado'!$E24:$Z24,MIN(AT$6-$E$3,22))),0))-IF($G$2,0,IF((AT$6-$G$3)&lt;1,0,IFERROR(LOOKUP(2,1/('Arroz irrigado'!$E24:INDEX('Arroz irrigado'!$E24:$Z24,MIN(AT$6-$G$3,22))&lt;&gt;""),'Arroz irrigado'!$E24:INDEX('Arroz irrigado'!$E24:$Z24,MIN(AT$6-$G$3,22))),0)))))</f>
        <v>0</v>
      </c>
      <c r="AU26" s="27" t="n">
        <f aca="false">IF(COUNT('Arroz irrigado'!$E24:$Z24)=0,0,MAX(0,IF((AU$6-$E$3)&lt;1,0,IFERROR(LOOKUP(2,1/('Arroz irrigado'!$E24:INDEX('Arroz irrigado'!$E24:$Z24,MIN(AU$6-$E$3,22))&lt;&gt;""),'Arroz irrigado'!$E24:INDEX('Arroz irrigado'!$E24:$Z24,MIN(AU$6-$E$3,22))),0))-IF($G$2,0,IF((AU$6-$G$3)&lt;1,0,IFERROR(LOOKUP(2,1/('Arroz irrigado'!$E24:INDEX('Arroz irrigado'!$E24:$Z24,MIN(AU$6-$G$3,22))&lt;&gt;""),'Arroz irrigado'!$E24:INDEX('Arroz irrigado'!$E24:$Z24,MIN(AU$6-$G$3,22))),0)))))</f>
        <v>0</v>
      </c>
      <c r="AV26" s="27" t="n">
        <f aca="false">IF(COUNT('Arroz irrigado'!$E24:$Z24)=0,0,MAX(0,IF((AV$6-$E$3)&lt;1,0,IFERROR(LOOKUP(2,1/('Arroz irrigado'!$E24:INDEX('Arroz irrigado'!$E24:$Z24,MIN(AV$6-$E$3,22))&lt;&gt;""),'Arroz irrigado'!$E24:INDEX('Arroz irrigado'!$E24:$Z24,MIN(AV$6-$E$3,22))),0))-IF($G$2,0,IF((AV$6-$G$3)&lt;1,0,IFERROR(LOOKUP(2,1/('Arroz irrigado'!$E24:INDEX('Arroz irrigado'!$E24:$Z24,MIN(AV$6-$G$3,22))&lt;&gt;""),'Arroz irrigado'!$E24:INDEX('Arroz irrigado'!$E24:$Z24,MIN(AV$6-$G$3,22))),0)))))</f>
        <v>0</v>
      </c>
      <c r="AW26" s="27" t="n">
        <f aca="false">IF(COUNT('Arroz irrigado'!$E24:$Z24)=0,0,MAX(0,IF((AW$6-$E$3)&lt;1,0,IFERROR(LOOKUP(2,1/('Arroz irrigado'!$E24:INDEX('Arroz irrigado'!$E24:$Z24,MIN(AW$6-$E$3,22))&lt;&gt;""),'Arroz irrigado'!$E24:INDEX('Arroz irrigado'!$E24:$Z24,MIN(AW$6-$E$3,22))),0))-IF($G$2,0,IF((AW$6-$G$3)&lt;1,0,IFERROR(LOOKUP(2,1/('Arroz irrigado'!$E24:INDEX('Arroz irrigado'!$E24:$Z24,MIN(AW$6-$G$3,22))&lt;&gt;""),'Arroz irrigado'!$E24:INDEX('Arroz irrigado'!$E24:$Z24,MIN(AW$6-$G$3,22))),0)))))</f>
        <v>0</v>
      </c>
      <c r="AX26" s="27" t="n">
        <f aca="false">IF(COUNT('Arroz irrigado'!$E24:$Z24)=0,0,MAX(0,IF((AX$6-$E$3)&lt;1,0,IFERROR(LOOKUP(2,1/('Arroz irrigado'!$E24:INDEX('Arroz irrigado'!$E24:$Z24,MIN(AX$6-$E$3,22))&lt;&gt;""),'Arroz irrigado'!$E24:INDEX('Arroz irrigado'!$E24:$Z24,MIN(AX$6-$E$3,22))),0))-IF($G$2,0,IF((AX$6-$G$3)&lt;1,0,IFERROR(LOOKUP(2,1/('Arroz irrigado'!$E24:INDEX('Arroz irrigado'!$E24:$Z24,MIN(AX$6-$G$3,22))&lt;&gt;""),'Arroz irrigado'!$E24:INDEX('Arroz irrigado'!$E24:$Z24,MIN(AX$6-$G$3,22))),0)))))</f>
        <v>0</v>
      </c>
      <c r="AY26" s="27" t="n">
        <f aca="false">IF(COUNT('Arroz irrigado'!$E24:$Z24)=0,0,MAX(0,IF((AY$6-$E$3)&lt;1,0,IFERROR(LOOKUP(2,1/('Arroz irrigado'!$E24:INDEX('Arroz irrigado'!$E24:$Z24,MIN(AY$6-$E$3,22))&lt;&gt;""),'Arroz irrigado'!$E24:INDEX('Arroz irrigado'!$E24:$Z24,MIN(AY$6-$E$3,22))),0))-IF($G$2,0,IF((AY$6-$G$3)&lt;1,0,IFERROR(LOOKUP(2,1/('Arroz irrigado'!$E24:INDEX('Arroz irrigado'!$E24:$Z24,MIN(AY$6-$G$3,22))&lt;&gt;""),'Arroz irrigado'!$E24:INDEX('Arroz irrigado'!$E24:$Z24,MIN(AY$6-$G$3,22))),0)))))</f>
        <v>0</v>
      </c>
      <c r="AZ26" s="27" t="n">
        <f aca="false">IF(COUNT('Arroz irrigado'!$E24:$Z24)=0,0,MAX(0,IF((AZ$6-$E$3)&lt;1,0,IFERROR(LOOKUP(2,1/('Arroz irrigado'!$E24:INDEX('Arroz irrigado'!$E24:$Z24,MIN(AZ$6-$E$3,22))&lt;&gt;""),'Arroz irrigado'!$E24:INDEX('Arroz irrigado'!$E24:$Z24,MIN(AZ$6-$E$3,22))),0))-IF($G$2,0,IF((AZ$6-$G$3)&lt;1,0,IFERROR(LOOKUP(2,1/('Arroz irrigado'!$E24:INDEX('Arroz irrigado'!$E24:$Z24,MIN(AZ$6-$G$3,22))&lt;&gt;""),'Arroz irrigado'!$E24:INDEX('Arroz irrigado'!$E24:$Z24,MIN(AZ$6-$G$3,22))),0)))))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IF(COUNT('Arroz irrigado'!$E25:$Z25)&gt;0,N('Arroz irrigado'!$D25),0)</f>
        <v>0</v>
      </c>
      <c r="E27" s="27" t="n">
        <f aca="false">IF(COUNT('Arroz irrigado'!$E25:$Z25)=0,0,MAX(0,IF((E$6-$E$3)&lt;1,0,IFERROR(LOOKUP(2,1/('Arroz irrigado'!$E25:INDEX('Arroz irrigado'!$E25:$Z25,MIN(E$6-$E$3,22))&lt;&gt;""),'Arroz irrigado'!$E25:INDEX('Arroz irrigado'!$E25:$Z25,MIN(E$6-$E$3,22))),0))-IF($G$2,0,IF((E$6-$G$3)&lt;1,0,IFERROR(LOOKUP(2,1/('Arroz irrigado'!$E25:INDEX('Arroz irrigado'!$E25:$Z25,MIN(E$6-$G$3,22))&lt;&gt;""),'Arroz irrigado'!$E25:INDEX('Arroz irrigado'!$E25:$Z25,MIN(E$6-$G$3,22))),0)))))</f>
        <v>0</v>
      </c>
      <c r="F27" s="27" t="n">
        <f aca="false">IF(COUNT('Arroz irrigado'!$E25:$Z25)=0,0,MAX(0,IF((F$6-$E$3)&lt;1,0,IFERROR(LOOKUP(2,1/('Arroz irrigado'!$E25:INDEX('Arroz irrigado'!$E25:$Z25,MIN(F$6-$E$3,22))&lt;&gt;""),'Arroz irrigado'!$E25:INDEX('Arroz irrigado'!$E25:$Z25,MIN(F$6-$E$3,22))),0))-IF($G$2,0,IF((F$6-$G$3)&lt;1,0,IFERROR(LOOKUP(2,1/('Arroz irrigado'!$E25:INDEX('Arroz irrigado'!$E25:$Z25,MIN(F$6-$G$3,22))&lt;&gt;""),'Arroz irrigado'!$E25:INDEX('Arroz irrigado'!$E25:$Z25,MIN(F$6-$G$3,22))),0)))))</f>
        <v>0</v>
      </c>
      <c r="G27" s="27" t="n">
        <f aca="false">IF(COUNT('Arroz irrigado'!$E25:$Z25)=0,0,MAX(0,IF((G$6-$E$3)&lt;1,0,IFERROR(LOOKUP(2,1/('Arroz irrigado'!$E25:INDEX('Arroz irrigado'!$E25:$Z25,MIN(G$6-$E$3,22))&lt;&gt;""),'Arroz irrigado'!$E25:INDEX('Arroz irrigado'!$E25:$Z25,MIN(G$6-$E$3,22))),0))-IF($G$2,0,IF((G$6-$G$3)&lt;1,0,IFERROR(LOOKUP(2,1/('Arroz irrigado'!$E25:INDEX('Arroz irrigado'!$E25:$Z25,MIN(G$6-$G$3,22))&lt;&gt;""),'Arroz irrigado'!$E25:INDEX('Arroz irrigado'!$E25:$Z25,MIN(G$6-$G$3,22))),0)))))</f>
        <v>0</v>
      </c>
      <c r="H27" s="27" t="n">
        <f aca="false">IF(COUNT('Arroz irrigado'!$E25:$Z25)=0,0,MAX(0,IF((H$6-$E$3)&lt;1,0,IFERROR(LOOKUP(2,1/('Arroz irrigado'!$E25:INDEX('Arroz irrigado'!$E25:$Z25,MIN(H$6-$E$3,22))&lt;&gt;""),'Arroz irrigado'!$E25:INDEX('Arroz irrigado'!$E25:$Z25,MIN(H$6-$E$3,22))),0))-IF($G$2,0,IF((H$6-$G$3)&lt;1,0,IFERROR(LOOKUP(2,1/('Arroz irrigado'!$E25:INDEX('Arroz irrigado'!$E25:$Z25,MIN(H$6-$G$3,22))&lt;&gt;""),'Arroz irrigado'!$E25:INDEX('Arroz irrigado'!$E25:$Z25,MIN(H$6-$G$3,22))),0)))))</f>
        <v>0</v>
      </c>
      <c r="I27" s="27" t="n">
        <f aca="false">IF(COUNT('Arroz irrigado'!$E25:$Z25)=0,0,MAX(0,IF((I$6-$E$3)&lt;1,0,IFERROR(LOOKUP(2,1/('Arroz irrigado'!$E25:INDEX('Arroz irrigado'!$E25:$Z25,MIN(I$6-$E$3,22))&lt;&gt;""),'Arroz irrigado'!$E25:INDEX('Arroz irrigado'!$E25:$Z25,MIN(I$6-$E$3,22))),0))-IF($G$2,0,IF((I$6-$G$3)&lt;1,0,IFERROR(LOOKUP(2,1/('Arroz irrigado'!$E25:INDEX('Arroz irrigado'!$E25:$Z25,MIN(I$6-$G$3,22))&lt;&gt;""),'Arroz irrigado'!$E25:INDEX('Arroz irrigado'!$E25:$Z25,MIN(I$6-$G$3,22))),0)))))</f>
        <v>0</v>
      </c>
      <c r="J27" s="27" t="n">
        <f aca="false">IF(COUNT('Arroz irrigado'!$E25:$Z25)=0,0,MAX(0,IF((J$6-$E$3)&lt;1,0,IFERROR(LOOKUP(2,1/('Arroz irrigado'!$E25:INDEX('Arroz irrigado'!$E25:$Z25,MIN(J$6-$E$3,22))&lt;&gt;""),'Arroz irrigado'!$E25:INDEX('Arroz irrigado'!$E25:$Z25,MIN(J$6-$E$3,22))),0))-IF($G$2,0,IF((J$6-$G$3)&lt;1,0,IFERROR(LOOKUP(2,1/('Arroz irrigado'!$E25:INDEX('Arroz irrigado'!$E25:$Z25,MIN(J$6-$G$3,22))&lt;&gt;""),'Arroz irrigado'!$E25:INDEX('Arroz irrigado'!$E25:$Z25,MIN(J$6-$G$3,22))),0)))))</f>
        <v>0</v>
      </c>
      <c r="K27" s="27" t="n">
        <f aca="false">IF(COUNT('Arroz irrigado'!$E25:$Z25)=0,0,MAX(0,IF((K$6-$E$3)&lt;1,0,IFERROR(LOOKUP(2,1/('Arroz irrigado'!$E25:INDEX('Arroz irrigado'!$E25:$Z25,MIN(K$6-$E$3,22))&lt;&gt;""),'Arroz irrigado'!$E25:INDEX('Arroz irrigado'!$E25:$Z25,MIN(K$6-$E$3,22))),0))-IF($G$2,0,IF((K$6-$G$3)&lt;1,0,IFERROR(LOOKUP(2,1/('Arroz irrigado'!$E25:INDEX('Arroz irrigado'!$E25:$Z25,MIN(K$6-$G$3,22))&lt;&gt;""),'Arroz irrigado'!$E25:INDEX('Arroz irrigado'!$E25:$Z25,MIN(K$6-$G$3,22))),0)))))</f>
        <v>0</v>
      </c>
      <c r="L27" s="27" t="n">
        <f aca="false">IF(COUNT('Arroz irrigado'!$E25:$Z25)=0,0,MAX(0,IF((L$6-$E$3)&lt;1,0,IFERROR(LOOKUP(2,1/('Arroz irrigado'!$E25:INDEX('Arroz irrigado'!$E25:$Z25,MIN(L$6-$E$3,22))&lt;&gt;""),'Arroz irrigado'!$E25:INDEX('Arroz irrigado'!$E25:$Z25,MIN(L$6-$E$3,22))),0))-IF($G$2,0,IF((L$6-$G$3)&lt;1,0,IFERROR(LOOKUP(2,1/('Arroz irrigado'!$E25:INDEX('Arroz irrigado'!$E25:$Z25,MIN(L$6-$G$3,22))&lt;&gt;""),'Arroz irrigado'!$E25:INDEX('Arroz irrigado'!$E25:$Z25,MIN(L$6-$G$3,22))),0)))))</f>
        <v>0</v>
      </c>
      <c r="M27" s="27" t="n">
        <f aca="false">IF(COUNT('Arroz irrigado'!$E25:$Z25)=0,0,MAX(0,IF((M$6-$E$3)&lt;1,0,IFERROR(LOOKUP(2,1/('Arroz irrigado'!$E25:INDEX('Arroz irrigado'!$E25:$Z25,MIN(M$6-$E$3,22))&lt;&gt;""),'Arroz irrigado'!$E25:INDEX('Arroz irrigado'!$E25:$Z25,MIN(M$6-$E$3,22))),0))-IF($G$2,0,IF((M$6-$G$3)&lt;1,0,IFERROR(LOOKUP(2,1/('Arroz irrigado'!$E25:INDEX('Arroz irrigado'!$E25:$Z25,MIN(M$6-$G$3,22))&lt;&gt;""),'Arroz irrigado'!$E25:INDEX('Arroz irrigado'!$E25:$Z25,MIN(M$6-$G$3,22))),0)))))</f>
        <v>0</v>
      </c>
      <c r="N27" s="27" t="n">
        <f aca="false">IF(COUNT('Arroz irrigado'!$E25:$Z25)=0,0,MAX(0,IF((N$6-$E$3)&lt;1,0,IFERROR(LOOKUP(2,1/('Arroz irrigado'!$E25:INDEX('Arroz irrigado'!$E25:$Z25,MIN(N$6-$E$3,22))&lt;&gt;""),'Arroz irrigado'!$E25:INDEX('Arroz irrigado'!$E25:$Z25,MIN(N$6-$E$3,22))),0))-IF($G$2,0,IF((N$6-$G$3)&lt;1,0,IFERROR(LOOKUP(2,1/('Arroz irrigado'!$E25:INDEX('Arroz irrigado'!$E25:$Z25,MIN(N$6-$G$3,22))&lt;&gt;""),'Arroz irrigado'!$E25:INDEX('Arroz irrigado'!$E25:$Z25,MIN(N$6-$G$3,22))),0)))))</f>
        <v>0</v>
      </c>
      <c r="O27" s="27" t="n">
        <f aca="false">IF(COUNT('Arroz irrigado'!$E25:$Z25)=0,0,MAX(0,IF((O$6-$E$3)&lt;1,0,IFERROR(LOOKUP(2,1/('Arroz irrigado'!$E25:INDEX('Arroz irrigado'!$E25:$Z25,MIN(O$6-$E$3,22))&lt;&gt;""),'Arroz irrigado'!$E25:INDEX('Arroz irrigado'!$E25:$Z25,MIN(O$6-$E$3,22))),0))-IF($G$2,0,IF((O$6-$G$3)&lt;1,0,IFERROR(LOOKUP(2,1/('Arroz irrigado'!$E25:INDEX('Arroz irrigado'!$E25:$Z25,MIN(O$6-$G$3,22))&lt;&gt;""),'Arroz irrigado'!$E25:INDEX('Arroz irrigado'!$E25:$Z25,MIN(O$6-$G$3,22))),0)))))</f>
        <v>0</v>
      </c>
      <c r="P27" s="27" t="n">
        <f aca="false">IF(COUNT('Arroz irrigado'!$E25:$Z25)=0,0,MAX(0,IF((P$6-$E$3)&lt;1,0,IFERROR(LOOKUP(2,1/('Arroz irrigado'!$E25:INDEX('Arroz irrigado'!$E25:$Z25,MIN(P$6-$E$3,22))&lt;&gt;""),'Arroz irrigado'!$E25:INDEX('Arroz irrigado'!$E25:$Z25,MIN(P$6-$E$3,22))),0))-IF($G$2,0,IF((P$6-$G$3)&lt;1,0,IFERROR(LOOKUP(2,1/('Arroz irrigado'!$E25:INDEX('Arroz irrigado'!$E25:$Z25,MIN(P$6-$G$3,22))&lt;&gt;""),'Arroz irrigado'!$E25:INDEX('Arroz irrigado'!$E25:$Z25,MIN(P$6-$G$3,22))),0)))))</f>
        <v>0</v>
      </c>
      <c r="Q27" s="27" t="n">
        <f aca="false">IF(COUNT('Arroz irrigado'!$E25:$Z25)=0,0,MAX(0,IF((Q$6-$E$3)&lt;1,0,IFERROR(LOOKUP(2,1/('Arroz irrigado'!$E25:INDEX('Arroz irrigado'!$E25:$Z25,MIN(Q$6-$E$3,22))&lt;&gt;""),'Arroz irrigado'!$E25:INDEX('Arroz irrigado'!$E25:$Z25,MIN(Q$6-$E$3,22))),0))-IF($G$2,0,IF((Q$6-$G$3)&lt;1,0,IFERROR(LOOKUP(2,1/('Arroz irrigado'!$E25:INDEX('Arroz irrigado'!$E25:$Z25,MIN(Q$6-$G$3,22))&lt;&gt;""),'Arroz irrigado'!$E25:INDEX('Arroz irrigado'!$E25:$Z25,MIN(Q$6-$G$3,22))),0)))))</f>
        <v>0</v>
      </c>
      <c r="R27" s="27" t="n">
        <f aca="false">IF(COUNT('Arroz irrigado'!$E25:$Z25)=0,0,MAX(0,IF((R$6-$E$3)&lt;1,0,IFERROR(LOOKUP(2,1/('Arroz irrigado'!$E25:INDEX('Arroz irrigado'!$E25:$Z25,MIN(R$6-$E$3,22))&lt;&gt;""),'Arroz irrigado'!$E25:INDEX('Arroz irrigado'!$E25:$Z25,MIN(R$6-$E$3,22))),0))-IF($G$2,0,IF((R$6-$G$3)&lt;1,0,IFERROR(LOOKUP(2,1/('Arroz irrigado'!$E25:INDEX('Arroz irrigado'!$E25:$Z25,MIN(R$6-$G$3,22))&lt;&gt;""),'Arroz irrigado'!$E25:INDEX('Arroz irrigado'!$E25:$Z25,MIN(R$6-$G$3,22))),0)))))</f>
        <v>0</v>
      </c>
      <c r="S27" s="27" t="n">
        <f aca="false">IF(COUNT('Arroz irrigado'!$E25:$Z25)=0,0,MAX(0,IF((S$6-$E$3)&lt;1,0,IFERROR(LOOKUP(2,1/('Arroz irrigado'!$E25:INDEX('Arroz irrigado'!$E25:$Z25,MIN(S$6-$E$3,22))&lt;&gt;""),'Arroz irrigado'!$E25:INDEX('Arroz irrigado'!$E25:$Z25,MIN(S$6-$E$3,22))),0))-IF($G$2,0,IF((S$6-$G$3)&lt;1,0,IFERROR(LOOKUP(2,1/('Arroz irrigado'!$E25:INDEX('Arroz irrigado'!$E25:$Z25,MIN(S$6-$G$3,22))&lt;&gt;""),'Arroz irrigado'!$E25:INDEX('Arroz irrigado'!$E25:$Z25,MIN(S$6-$G$3,22))),0)))))</f>
        <v>0</v>
      </c>
      <c r="T27" s="27" t="n">
        <f aca="false">IF(COUNT('Arroz irrigado'!$E25:$Z25)=0,0,MAX(0,IF((T$6-$E$3)&lt;1,0,IFERROR(LOOKUP(2,1/('Arroz irrigado'!$E25:INDEX('Arroz irrigado'!$E25:$Z25,MIN(T$6-$E$3,22))&lt;&gt;""),'Arroz irrigado'!$E25:INDEX('Arroz irrigado'!$E25:$Z25,MIN(T$6-$E$3,22))),0))-IF($G$2,0,IF((T$6-$G$3)&lt;1,0,IFERROR(LOOKUP(2,1/('Arroz irrigado'!$E25:INDEX('Arroz irrigado'!$E25:$Z25,MIN(T$6-$G$3,22))&lt;&gt;""),'Arroz irrigado'!$E25:INDEX('Arroz irrigado'!$E25:$Z25,MIN(T$6-$G$3,22))),0)))))</f>
        <v>0</v>
      </c>
      <c r="U27" s="27" t="n">
        <f aca="false">IF(COUNT('Arroz irrigado'!$E25:$Z25)=0,0,MAX(0,IF((U$6-$E$3)&lt;1,0,IFERROR(LOOKUP(2,1/('Arroz irrigado'!$E25:INDEX('Arroz irrigado'!$E25:$Z25,MIN(U$6-$E$3,22))&lt;&gt;""),'Arroz irrigado'!$E25:INDEX('Arroz irrigado'!$E25:$Z25,MIN(U$6-$E$3,22))),0))-IF($G$2,0,IF((U$6-$G$3)&lt;1,0,IFERROR(LOOKUP(2,1/('Arroz irrigado'!$E25:INDEX('Arroz irrigado'!$E25:$Z25,MIN(U$6-$G$3,22))&lt;&gt;""),'Arroz irrigado'!$E25:INDEX('Arroz irrigado'!$E25:$Z25,MIN(U$6-$G$3,22))),0)))))</f>
        <v>0</v>
      </c>
      <c r="V27" s="27" t="n">
        <f aca="false">IF(COUNT('Arroz irrigado'!$E25:$Z25)=0,0,MAX(0,IF((V$6-$E$3)&lt;1,0,IFERROR(LOOKUP(2,1/('Arroz irrigado'!$E25:INDEX('Arroz irrigado'!$E25:$Z25,MIN(V$6-$E$3,22))&lt;&gt;""),'Arroz irrigado'!$E25:INDEX('Arroz irrigado'!$E25:$Z25,MIN(V$6-$E$3,22))),0))-IF($G$2,0,IF((V$6-$G$3)&lt;1,0,IFERROR(LOOKUP(2,1/('Arroz irrigado'!$E25:INDEX('Arroz irrigado'!$E25:$Z25,MIN(V$6-$G$3,22))&lt;&gt;""),'Arroz irrigado'!$E25:INDEX('Arroz irrigado'!$E25:$Z25,MIN(V$6-$G$3,22))),0)))))</f>
        <v>0</v>
      </c>
      <c r="W27" s="27" t="n">
        <f aca="false">IF(COUNT('Arroz irrigado'!$E25:$Z25)=0,0,MAX(0,IF((W$6-$E$3)&lt;1,0,IFERROR(LOOKUP(2,1/('Arroz irrigado'!$E25:INDEX('Arroz irrigado'!$E25:$Z25,MIN(W$6-$E$3,22))&lt;&gt;""),'Arroz irrigado'!$E25:INDEX('Arroz irrigado'!$E25:$Z25,MIN(W$6-$E$3,22))),0))-IF($G$2,0,IF((W$6-$G$3)&lt;1,0,IFERROR(LOOKUP(2,1/('Arroz irrigado'!$E25:INDEX('Arroz irrigado'!$E25:$Z25,MIN(W$6-$G$3,22))&lt;&gt;""),'Arroz irrigado'!$E25:INDEX('Arroz irrigado'!$E25:$Z25,MIN(W$6-$G$3,22))),0)))))</f>
        <v>0</v>
      </c>
      <c r="X27" s="27" t="n">
        <f aca="false">IF(COUNT('Arroz irrigado'!$E25:$Z25)=0,0,MAX(0,IF((X$6-$E$3)&lt;1,0,IFERROR(LOOKUP(2,1/('Arroz irrigado'!$E25:INDEX('Arroz irrigado'!$E25:$Z25,MIN(X$6-$E$3,22))&lt;&gt;""),'Arroz irrigado'!$E25:INDEX('Arroz irrigado'!$E25:$Z25,MIN(X$6-$E$3,22))),0))-IF($G$2,0,IF((X$6-$G$3)&lt;1,0,IFERROR(LOOKUP(2,1/('Arroz irrigado'!$E25:INDEX('Arroz irrigado'!$E25:$Z25,MIN(X$6-$G$3,22))&lt;&gt;""),'Arroz irrigado'!$E25:INDEX('Arroz irrigado'!$E25:$Z25,MIN(X$6-$G$3,22))),0)))))</f>
        <v>0</v>
      </c>
      <c r="Y27" s="27" t="n">
        <f aca="false">IF(COUNT('Arroz irrigado'!$E25:$Z25)=0,0,MAX(0,IF((Y$6-$E$3)&lt;1,0,IFERROR(LOOKUP(2,1/('Arroz irrigado'!$E25:INDEX('Arroz irrigado'!$E25:$Z25,MIN(Y$6-$E$3,22))&lt;&gt;""),'Arroz irrigado'!$E25:INDEX('Arroz irrigado'!$E25:$Z25,MIN(Y$6-$E$3,22))),0))-IF($G$2,0,IF((Y$6-$G$3)&lt;1,0,IFERROR(LOOKUP(2,1/('Arroz irrigado'!$E25:INDEX('Arroz irrigado'!$E25:$Z25,MIN(Y$6-$G$3,22))&lt;&gt;""),'Arroz irrigado'!$E25:INDEX('Arroz irrigado'!$E25:$Z25,MIN(Y$6-$G$3,22))),0)))))</f>
        <v>0</v>
      </c>
      <c r="Z27" s="27" t="n">
        <f aca="false">IF(COUNT('Arroz irrigado'!$E25:$Z25)=0,0,MAX(0,IF((Z$6-$E$3)&lt;1,0,IFERROR(LOOKUP(2,1/('Arroz irrigado'!$E25:INDEX('Arroz irrigado'!$E25:$Z25,MIN(Z$6-$E$3,22))&lt;&gt;""),'Arroz irrigado'!$E25:INDEX('Arroz irrigado'!$E25:$Z25,MIN(Z$6-$E$3,22))),0))-IF($G$2,0,IF((Z$6-$G$3)&lt;1,0,IFERROR(LOOKUP(2,1/('Arroz irrigado'!$E25:INDEX('Arroz irrigado'!$E25:$Z25,MIN(Z$6-$G$3,22))&lt;&gt;""),'Arroz irrigado'!$E25:INDEX('Arroz irrigado'!$E25:$Z25,MIN(Z$6-$G$3,22))),0)))))</f>
        <v>0</v>
      </c>
      <c r="AA27" s="27" t="n">
        <f aca="false">IF(COUNT('Arroz irrigado'!$E25:$Z25)=0,0,MAX(0,IF((AA$6-$E$3)&lt;1,0,IFERROR(LOOKUP(2,1/('Arroz irrigado'!$E25:INDEX('Arroz irrigado'!$E25:$Z25,MIN(AA$6-$E$3,22))&lt;&gt;""),'Arroz irrigado'!$E25:INDEX('Arroz irrigado'!$E25:$Z25,MIN(AA$6-$E$3,22))),0))-IF($G$2,0,IF((AA$6-$G$3)&lt;1,0,IFERROR(LOOKUP(2,1/('Arroz irrigado'!$E25:INDEX('Arroz irrigado'!$E25:$Z25,MIN(AA$6-$G$3,22))&lt;&gt;""),'Arroz irrigado'!$E25:INDEX('Arroz irrigado'!$E25:$Z25,MIN(AA$6-$G$3,22))),0)))))</f>
        <v>0</v>
      </c>
      <c r="AB27" s="27" t="n">
        <f aca="false">IF(COUNT('Arroz irrigado'!$E25:$Z25)=0,0,MAX(0,IF((AB$6-$E$3)&lt;1,0,IFERROR(LOOKUP(2,1/('Arroz irrigado'!$E25:INDEX('Arroz irrigado'!$E25:$Z25,MIN(AB$6-$E$3,22))&lt;&gt;""),'Arroz irrigado'!$E25:INDEX('Arroz irrigado'!$E25:$Z25,MIN(AB$6-$E$3,22))),0))-IF($G$2,0,IF((AB$6-$G$3)&lt;1,0,IFERROR(LOOKUP(2,1/('Arroz irrigado'!$E25:INDEX('Arroz irrigado'!$E25:$Z25,MIN(AB$6-$G$3,22))&lt;&gt;""),'Arroz irrigado'!$E25:INDEX('Arroz irrigado'!$E25:$Z25,MIN(AB$6-$G$3,22))),0)))))</f>
        <v>0</v>
      </c>
      <c r="AC27" s="27" t="n">
        <f aca="false">IF(COUNT('Arroz irrigado'!$E25:$Z25)=0,0,MAX(0,IF((AC$6-$E$3)&lt;1,0,IFERROR(LOOKUP(2,1/('Arroz irrigado'!$E25:INDEX('Arroz irrigado'!$E25:$Z25,MIN(AC$6-$E$3,22))&lt;&gt;""),'Arroz irrigado'!$E25:INDEX('Arroz irrigado'!$E25:$Z25,MIN(AC$6-$E$3,22))),0))-IF($G$2,0,IF((AC$6-$G$3)&lt;1,0,IFERROR(LOOKUP(2,1/('Arroz irrigado'!$E25:INDEX('Arroz irrigado'!$E25:$Z25,MIN(AC$6-$G$3,22))&lt;&gt;""),'Arroz irrigado'!$E25:INDEX('Arroz irrigado'!$E25:$Z25,MIN(AC$6-$G$3,22))),0)))))</f>
        <v>0</v>
      </c>
      <c r="AD27" s="27" t="n">
        <f aca="false">IF(COUNT('Arroz irrigado'!$E25:$Z25)=0,0,MAX(0,IF((AD$6-$E$3)&lt;1,0,IFERROR(LOOKUP(2,1/('Arroz irrigado'!$E25:INDEX('Arroz irrigado'!$E25:$Z25,MIN(AD$6-$E$3,22))&lt;&gt;""),'Arroz irrigado'!$E25:INDEX('Arroz irrigado'!$E25:$Z25,MIN(AD$6-$E$3,22))),0))-IF($G$2,0,IF((AD$6-$G$3)&lt;1,0,IFERROR(LOOKUP(2,1/('Arroz irrigado'!$E25:INDEX('Arroz irrigado'!$E25:$Z25,MIN(AD$6-$G$3,22))&lt;&gt;""),'Arroz irrigado'!$E25:INDEX('Arroz irrigado'!$E25:$Z25,MIN(AD$6-$G$3,22))),0)))))</f>
        <v>0</v>
      </c>
      <c r="AE27" s="27" t="n">
        <f aca="false">IF(COUNT('Arroz irrigado'!$E25:$Z25)=0,0,MAX(0,IF((AE$6-$E$3)&lt;1,0,IFERROR(LOOKUP(2,1/('Arroz irrigado'!$E25:INDEX('Arroz irrigado'!$E25:$Z25,MIN(AE$6-$E$3,22))&lt;&gt;""),'Arroz irrigado'!$E25:INDEX('Arroz irrigado'!$E25:$Z25,MIN(AE$6-$E$3,22))),0))-IF($G$2,0,IF((AE$6-$G$3)&lt;1,0,IFERROR(LOOKUP(2,1/('Arroz irrigado'!$E25:INDEX('Arroz irrigado'!$E25:$Z25,MIN(AE$6-$G$3,22))&lt;&gt;""),'Arroz irrigado'!$E25:INDEX('Arroz irrigado'!$E25:$Z25,MIN(AE$6-$G$3,22))),0)))))</f>
        <v>0</v>
      </c>
      <c r="AF27" s="27" t="n">
        <f aca="false">IF(COUNT('Arroz irrigado'!$E25:$Z25)=0,0,MAX(0,IF((AF$6-$E$3)&lt;1,0,IFERROR(LOOKUP(2,1/('Arroz irrigado'!$E25:INDEX('Arroz irrigado'!$E25:$Z25,MIN(AF$6-$E$3,22))&lt;&gt;""),'Arroz irrigado'!$E25:INDEX('Arroz irrigado'!$E25:$Z25,MIN(AF$6-$E$3,22))),0))-IF($G$2,0,IF((AF$6-$G$3)&lt;1,0,IFERROR(LOOKUP(2,1/('Arroz irrigado'!$E25:INDEX('Arroz irrigado'!$E25:$Z25,MIN(AF$6-$G$3,22))&lt;&gt;""),'Arroz irrigado'!$E25:INDEX('Arroz irrigado'!$E25:$Z25,MIN(AF$6-$G$3,22))),0)))))</f>
        <v>0</v>
      </c>
      <c r="AG27" s="27" t="n">
        <f aca="false">IF(COUNT('Arroz irrigado'!$E25:$Z25)=0,0,MAX(0,IF((AG$6-$E$3)&lt;1,0,IFERROR(LOOKUP(2,1/('Arroz irrigado'!$E25:INDEX('Arroz irrigado'!$E25:$Z25,MIN(AG$6-$E$3,22))&lt;&gt;""),'Arroz irrigado'!$E25:INDEX('Arroz irrigado'!$E25:$Z25,MIN(AG$6-$E$3,22))),0))-IF($G$2,0,IF((AG$6-$G$3)&lt;1,0,IFERROR(LOOKUP(2,1/('Arroz irrigado'!$E25:INDEX('Arroz irrigado'!$E25:$Z25,MIN(AG$6-$G$3,22))&lt;&gt;""),'Arroz irrigado'!$E25:INDEX('Arroz irrigado'!$E25:$Z25,MIN(AG$6-$G$3,22))),0)))))</f>
        <v>0</v>
      </c>
      <c r="AH27" s="27" t="n">
        <f aca="false">IF(COUNT('Arroz irrigado'!$E25:$Z25)=0,0,MAX(0,IF((AH$6-$E$3)&lt;1,0,IFERROR(LOOKUP(2,1/('Arroz irrigado'!$E25:INDEX('Arroz irrigado'!$E25:$Z25,MIN(AH$6-$E$3,22))&lt;&gt;""),'Arroz irrigado'!$E25:INDEX('Arroz irrigado'!$E25:$Z25,MIN(AH$6-$E$3,22))),0))-IF($G$2,0,IF((AH$6-$G$3)&lt;1,0,IFERROR(LOOKUP(2,1/('Arroz irrigado'!$E25:INDEX('Arroz irrigado'!$E25:$Z25,MIN(AH$6-$G$3,22))&lt;&gt;""),'Arroz irrigado'!$E25:INDEX('Arroz irrigado'!$E25:$Z25,MIN(AH$6-$G$3,22))),0)))))</f>
        <v>0</v>
      </c>
      <c r="AI27" s="27" t="n">
        <f aca="false">IF(COUNT('Arroz irrigado'!$E25:$Z25)=0,0,MAX(0,IF((AI$6-$E$3)&lt;1,0,IFERROR(LOOKUP(2,1/('Arroz irrigado'!$E25:INDEX('Arroz irrigado'!$E25:$Z25,MIN(AI$6-$E$3,22))&lt;&gt;""),'Arroz irrigado'!$E25:INDEX('Arroz irrigado'!$E25:$Z25,MIN(AI$6-$E$3,22))),0))-IF($G$2,0,IF((AI$6-$G$3)&lt;1,0,IFERROR(LOOKUP(2,1/('Arroz irrigado'!$E25:INDEX('Arroz irrigado'!$E25:$Z25,MIN(AI$6-$G$3,22))&lt;&gt;""),'Arroz irrigado'!$E25:INDEX('Arroz irrigado'!$E25:$Z25,MIN(AI$6-$G$3,22))),0)))))</f>
        <v>0</v>
      </c>
      <c r="AJ27" s="27" t="n">
        <f aca="false">IF(COUNT('Arroz irrigado'!$E25:$Z25)=0,0,MAX(0,IF((AJ$6-$E$3)&lt;1,0,IFERROR(LOOKUP(2,1/('Arroz irrigado'!$E25:INDEX('Arroz irrigado'!$E25:$Z25,MIN(AJ$6-$E$3,22))&lt;&gt;""),'Arroz irrigado'!$E25:INDEX('Arroz irrigado'!$E25:$Z25,MIN(AJ$6-$E$3,22))),0))-IF($G$2,0,IF((AJ$6-$G$3)&lt;1,0,IFERROR(LOOKUP(2,1/('Arroz irrigado'!$E25:INDEX('Arroz irrigado'!$E25:$Z25,MIN(AJ$6-$G$3,22))&lt;&gt;""),'Arroz irrigado'!$E25:INDEX('Arroz irrigado'!$E25:$Z25,MIN(AJ$6-$G$3,22))),0)))))</f>
        <v>0</v>
      </c>
      <c r="AK27" s="27" t="n">
        <f aca="false">IF(COUNT('Arroz irrigado'!$E25:$Z25)=0,0,MAX(0,IF((AK$6-$E$3)&lt;1,0,IFERROR(LOOKUP(2,1/('Arroz irrigado'!$E25:INDEX('Arroz irrigado'!$E25:$Z25,MIN(AK$6-$E$3,22))&lt;&gt;""),'Arroz irrigado'!$E25:INDEX('Arroz irrigado'!$E25:$Z25,MIN(AK$6-$E$3,22))),0))-IF($G$2,0,IF((AK$6-$G$3)&lt;1,0,IFERROR(LOOKUP(2,1/('Arroz irrigado'!$E25:INDEX('Arroz irrigado'!$E25:$Z25,MIN(AK$6-$G$3,22))&lt;&gt;""),'Arroz irrigado'!$E25:INDEX('Arroz irrigado'!$E25:$Z25,MIN(AK$6-$G$3,22))),0)))))</f>
        <v>0</v>
      </c>
      <c r="AL27" s="27" t="n">
        <f aca="false">IF(COUNT('Arroz irrigado'!$E25:$Z25)=0,0,MAX(0,IF((AL$6-$E$3)&lt;1,0,IFERROR(LOOKUP(2,1/('Arroz irrigado'!$E25:INDEX('Arroz irrigado'!$E25:$Z25,MIN(AL$6-$E$3,22))&lt;&gt;""),'Arroz irrigado'!$E25:INDEX('Arroz irrigado'!$E25:$Z25,MIN(AL$6-$E$3,22))),0))-IF($G$2,0,IF((AL$6-$G$3)&lt;1,0,IFERROR(LOOKUP(2,1/('Arroz irrigado'!$E25:INDEX('Arroz irrigado'!$E25:$Z25,MIN(AL$6-$G$3,22))&lt;&gt;""),'Arroz irrigado'!$E25:INDEX('Arroz irrigado'!$E25:$Z25,MIN(AL$6-$G$3,22))),0)))))</f>
        <v>0</v>
      </c>
      <c r="AM27" s="27" t="n">
        <f aca="false">IF(COUNT('Arroz irrigado'!$E25:$Z25)=0,0,MAX(0,IF((AM$6-$E$3)&lt;1,0,IFERROR(LOOKUP(2,1/('Arroz irrigado'!$E25:INDEX('Arroz irrigado'!$E25:$Z25,MIN(AM$6-$E$3,22))&lt;&gt;""),'Arroz irrigado'!$E25:INDEX('Arroz irrigado'!$E25:$Z25,MIN(AM$6-$E$3,22))),0))-IF($G$2,0,IF((AM$6-$G$3)&lt;1,0,IFERROR(LOOKUP(2,1/('Arroz irrigado'!$E25:INDEX('Arroz irrigado'!$E25:$Z25,MIN(AM$6-$G$3,22))&lt;&gt;""),'Arroz irrigado'!$E25:INDEX('Arroz irrigado'!$E25:$Z25,MIN(AM$6-$G$3,22))),0)))))</f>
        <v>0</v>
      </c>
      <c r="AN27" s="27" t="n">
        <f aca="false">IF(COUNT('Arroz irrigado'!$E25:$Z25)=0,0,MAX(0,IF((AN$6-$E$3)&lt;1,0,IFERROR(LOOKUP(2,1/('Arroz irrigado'!$E25:INDEX('Arroz irrigado'!$E25:$Z25,MIN(AN$6-$E$3,22))&lt;&gt;""),'Arroz irrigado'!$E25:INDEX('Arroz irrigado'!$E25:$Z25,MIN(AN$6-$E$3,22))),0))-IF($G$2,0,IF((AN$6-$G$3)&lt;1,0,IFERROR(LOOKUP(2,1/('Arroz irrigado'!$E25:INDEX('Arroz irrigado'!$E25:$Z25,MIN(AN$6-$G$3,22))&lt;&gt;""),'Arroz irrigado'!$E25:INDEX('Arroz irrigado'!$E25:$Z25,MIN(AN$6-$G$3,22))),0)))))</f>
        <v>0</v>
      </c>
      <c r="AO27" s="27" t="n">
        <f aca="false">IF(COUNT('Arroz irrigado'!$E25:$Z25)=0,0,MAX(0,IF((AO$6-$E$3)&lt;1,0,IFERROR(LOOKUP(2,1/('Arroz irrigado'!$E25:INDEX('Arroz irrigado'!$E25:$Z25,MIN(AO$6-$E$3,22))&lt;&gt;""),'Arroz irrigado'!$E25:INDEX('Arroz irrigado'!$E25:$Z25,MIN(AO$6-$E$3,22))),0))-IF($G$2,0,IF((AO$6-$G$3)&lt;1,0,IFERROR(LOOKUP(2,1/('Arroz irrigado'!$E25:INDEX('Arroz irrigado'!$E25:$Z25,MIN(AO$6-$G$3,22))&lt;&gt;""),'Arroz irrigado'!$E25:INDEX('Arroz irrigado'!$E25:$Z25,MIN(AO$6-$G$3,22))),0)))))</f>
        <v>0</v>
      </c>
      <c r="AP27" s="27" t="n">
        <f aca="false">IF(COUNT('Arroz irrigado'!$E25:$Z25)=0,0,MAX(0,IF((AP$6-$E$3)&lt;1,0,IFERROR(LOOKUP(2,1/('Arroz irrigado'!$E25:INDEX('Arroz irrigado'!$E25:$Z25,MIN(AP$6-$E$3,22))&lt;&gt;""),'Arroz irrigado'!$E25:INDEX('Arroz irrigado'!$E25:$Z25,MIN(AP$6-$E$3,22))),0))-IF($G$2,0,IF((AP$6-$G$3)&lt;1,0,IFERROR(LOOKUP(2,1/('Arroz irrigado'!$E25:INDEX('Arroz irrigado'!$E25:$Z25,MIN(AP$6-$G$3,22))&lt;&gt;""),'Arroz irrigado'!$E25:INDEX('Arroz irrigado'!$E25:$Z25,MIN(AP$6-$G$3,22))),0)))))</f>
        <v>0</v>
      </c>
      <c r="AQ27" s="27" t="n">
        <f aca="false">IF(COUNT('Arroz irrigado'!$E25:$Z25)=0,0,MAX(0,IF((AQ$6-$E$3)&lt;1,0,IFERROR(LOOKUP(2,1/('Arroz irrigado'!$E25:INDEX('Arroz irrigado'!$E25:$Z25,MIN(AQ$6-$E$3,22))&lt;&gt;""),'Arroz irrigado'!$E25:INDEX('Arroz irrigado'!$E25:$Z25,MIN(AQ$6-$E$3,22))),0))-IF($G$2,0,IF((AQ$6-$G$3)&lt;1,0,IFERROR(LOOKUP(2,1/('Arroz irrigado'!$E25:INDEX('Arroz irrigado'!$E25:$Z25,MIN(AQ$6-$G$3,22))&lt;&gt;""),'Arroz irrigado'!$E25:INDEX('Arroz irrigado'!$E25:$Z25,MIN(AQ$6-$G$3,22))),0)))))</f>
        <v>0</v>
      </c>
      <c r="AR27" s="27" t="n">
        <f aca="false">IF(COUNT('Arroz irrigado'!$E25:$Z25)=0,0,MAX(0,IF((AR$6-$E$3)&lt;1,0,IFERROR(LOOKUP(2,1/('Arroz irrigado'!$E25:INDEX('Arroz irrigado'!$E25:$Z25,MIN(AR$6-$E$3,22))&lt;&gt;""),'Arroz irrigado'!$E25:INDEX('Arroz irrigado'!$E25:$Z25,MIN(AR$6-$E$3,22))),0))-IF($G$2,0,IF((AR$6-$G$3)&lt;1,0,IFERROR(LOOKUP(2,1/('Arroz irrigado'!$E25:INDEX('Arroz irrigado'!$E25:$Z25,MIN(AR$6-$G$3,22))&lt;&gt;""),'Arroz irrigado'!$E25:INDEX('Arroz irrigado'!$E25:$Z25,MIN(AR$6-$G$3,22))),0)))))</f>
        <v>0</v>
      </c>
      <c r="AS27" s="27" t="n">
        <f aca="false">IF(COUNT('Arroz irrigado'!$E25:$Z25)=0,0,MAX(0,IF((AS$6-$E$3)&lt;1,0,IFERROR(LOOKUP(2,1/('Arroz irrigado'!$E25:INDEX('Arroz irrigado'!$E25:$Z25,MIN(AS$6-$E$3,22))&lt;&gt;""),'Arroz irrigado'!$E25:INDEX('Arroz irrigado'!$E25:$Z25,MIN(AS$6-$E$3,22))),0))-IF($G$2,0,IF((AS$6-$G$3)&lt;1,0,IFERROR(LOOKUP(2,1/('Arroz irrigado'!$E25:INDEX('Arroz irrigado'!$E25:$Z25,MIN(AS$6-$G$3,22))&lt;&gt;""),'Arroz irrigado'!$E25:INDEX('Arroz irrigado'!$E25:$Z25,MIN(AS$6-$G$3,22))),0)))))</f>
        <v>0</v>
      </c>
      <c r="AT27" s="27" t="n">
        <f aca="false">IF(COUNT('Arroz irrigado'!$E25:$Z25)=0,0,MAX(0,IF((AT$6-$E$3)&lt;1,0,IFERROR(LOOKUP(2,1/('Arroz irrigado'!$E25:INDEX('Arroz irrigado'!$E25:$Z25,MIN(AT$6-$E$3,22))&lt;&gt;""),'Arroz irrigado'!$E25:INDEX('Arroz irrigado'!$E25:$Z25,MIN(AT$6-$E$3,22))),0))-IF($G$2,0,IF((AT$6-$G$3)&lt;1,0,IFERROR(LOOKUP(2,1/('Arroz irrigado'!$E25:INDEX('Arroz irrigado'!$E25:$Z25,MIN(AT$6-$G$3,22))&lt;&gt;""),'Arroz irrigado'!$E25:INDEX('Arroz irrigado'!$E25:$Z25,MIN(AT$6-$G$3,22))),0)))))</f>
        <v>0</v>
      </c>
      <c r="AU27" s="27" t="n">
        <f aca="false">IF(COUNT('Arroz irrigado'!$E25:$Z25)=0,0,MAX(0,IF((AU$6-$E$3)&lt;1,0,IFERROR(LOOKUP(2,1/('Arroz irrigado'!$E25:INDEX('Arroz irrigado'!$E25:$Z25,MIN(AU$6-$E$3,22))&lt;&gt;""),'Arroz irrigado'!$E25:INDEX('Arroz irrigado'!$E25:$Z25,MIN(AU$6-$E$3,22))),0))-IF($G$2,0,IF((AU$6-$G$3)&lt;1,0,IFERROR(LOOKUP(2,1/('Arroz irrigado'!$E25:INDEX('Arroz irrigado'!$E25:$Z25,MIN(AU$6-$G$3,22))&lt;&gt;""),'Arroz irrigado'!$E25:INDEX('Arroz irrigado'!$E25:$Z25,MIN(AU$6-$G$3,22))),0)))))</f>
        <v>0</v>
      </c>
      <c r="AV27" s="27" t="n">
        <f aca="false">IF(COUNT('Arroz irrigado'!$E25:$Z25)=0,0,MAX(0,IF((AV$6-$E$3)&lt;1,0,IFERROR(LOOKUP(2,1/('Arroz irrigado'!$E25:INDEX('Arroz irrigado'!$E25:$Z25,MIN(AV$6-$E$3,22))&lt;&gt;""),'Arroz irrigado'!$E25:INDEX('Arroz irrigado'!$E25:$Z25,MIN(AV$6-$E$3,22))),0))-IF($G$2,0,IF((AV$6-$G$3)&lt;1,0,IFERROR(LOOKUP(2,1/('Arroz irrigado'!$E25:INDEX('Arroz irrigado'!$E25:$Z25,MIN(AV$6-$G$3,22))&lt;&gt;""),'Arroz irrigado'!$E25:INDEX('Arroz irrigado'!$E25:$Z25,MIN(AV$6-$G$3,22))),0)))))</f>
        <v>0</v>
      </c>
      <c r="AW27" s="27" t="n">
        <f aca="false">IF(COUNT('Arroz irrigado'!$E25:$Z25)=0,0,MAX(0,IF((AW$6-$E$3)&lt;1,0,IFERROR(LOOKUP(2,1/('Arroz irrigado'!$E25:INDEX('Arroz irrigado'!$E25:$Z25,MIN(AW$6-$E$3,22))&lt;&gt;""),'Arroz irrigado'!$E25:INDEX('Arroz irrigado'!$E25:$Z25,MIN(AW$6-$E$3,22))),0))-IF($G$2,0,IF((AW$6-$G$3)&lt;1,0,IFERROR(LOOKUP(2,1/('Arroz irrigado'!$E25:INDEX('Arroz irrigado'!$E25:$Z25,MIN(AW$6-$G$3,22))&lt;&gt;""),'Arroz irrigado'!$E25:INDEX('Arroz irrigado'!$E25:$Z25,MIN(AW$6-$G$3,22))),0)))))</f>
        <v>0</v>
      </c>
      <c r="AX27" s="27" t="n">
        <f aca="false">IF(COUNT('Arroz irrigado'!$E25:$Z25)=0,0,MAX(0,IF((AX$6-$E$3)&lt;1,0,IFERROR(LOOKUP(2,1/('Arroz irrigado'!$E25:INDEX('Arroz irrigado'!$E25:$Z25,MIN(AX$6-$E$3,22))&lt;&gt;""),'Arroz irrigado'!$E25:INDEX('Arroz irrigado'!$E25:$Z25,MIN(AX$6-$E$3,22))),0))-IF($G$2,0,IF((AX$6-$G$3)&lt;1,0,IFERROR(LOOKUP(2,1/('Arroz irrigado'!$E25:INDEX('Arroz irrigado'!$E25:$Z25,MIN(AX$6-$G$3,22))&lt;&gt;""),'Arroz irrigado'!$E25:INDEX('Arroz irrigado'!$E25:$Z25,MIN(AX$6-$G$3,22))),0)))))</f>
        <v>0</v>
      </c>
      <c r="AY27" s="27" t="n">
        <f aca="false">IF(COUNT('Arroz irrigado'!$E25:$Z25)=0,0,MAX(0,IF((AY$6-$E$3)&lt;1,0,IFERROR(LOOKUP(2,1/('Arroz irrigado'!$E25:INDEX('Arroz irrigado'!$E25:$Z25,MIN(AY$6-$E$3,22))&lt;&gt;""),'Arroz irrigado'!$E25:INDEX('Arroz irrigado'!$E25:$Z25,MIN(AY$6-$E$3,22))),0))-IF($G$2,0,IF((AY$6-$G$3)&lt;1,0,IFERROR(LOOKUP(2,1/('Arroz irrigado'!$E25:INDEX('Arroz irrigado'!$E25:$Z25,MIN(AY$6-$G$3,22))&lt;&gt;""),'Arroz irrigado'!$E25:INDEX('Arroz irrigado'!$E25:$Z25,MIN(AY$6-$G$3,22))),0)))))</f>
        <v>0</v>
      </c>
      <c r="AZ27" s="27" t="n">
        <f aca="false">IF(COUNT('Arroz irrigado'!$E25:$Z25)=0,0,MAX(0,IF((AZ$6-$E$3)&lt;1,0,IFERROR(LOOKUP(2,1/('Arroz irrigado'!$E25:INDEX('Arroz irrigado'!$E25:$Z25,MIN(AZ$6-$E$3,22))&lt;&gt;""),'Arroz irrigado'!$E25:INDEX('Arroz irrigado'!$E25:$Z25,MIN(AZ$6-$E$3,22))),0))-IF($G$2,0,IF((AZ$6-$G$3)&lt;1,0,IFERROR(LOOKUP(2,1/('Arroz irrigado'!$E25:INDEX('Arroz irrigado'!$E25:$Z25,MIN(AZ$6-$G$3,22))&lt;&gt;""),'Arroz irrigado'!$E25:INDEX('Arroz irrigado'!$E25:$Z25,MIN(AZ$6-$G$3,22))),0)))))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IF(COUNT('Arroz irrigado'!$E26:$Z26)&gt;0,N('Arroz irrigado'!$D26),0)</f>
        <v>0</v>
      </c>
      <c r="E28" s="27" t="n">
        <f aca="false">IF(COUNT('Arroz irrigado'!$E26:$Z26)=0,0,MAX(0,IF((E$6-$E$3)&lt;1,0,IFERROR(LOOKUP(2,1/('Arroz irrigado'!$E26:INDEX('Arroz irrigado'!$E26:$Z26,MIN(E$6-$E$3,22))&lt;&gt;""),'Arroz irrigado'!$E26:INDEX('Arroz irrigado'!$E26:$Z26,MIN(E$6-$E$3,22))),0))-IF($G$2,0,IF((E$6-$G$3)&lt;1,0,IFERROR(LOOKUP(2,1/('Arroz irrigado'!$E26:INDEX('Arroz irrigado'!$E26:$Z26,MIN(E$6-$G$3,22))&lt;&gt;""),'Arroz irrigado'!$E26:INDEX('Arroz irrigado'!$E26:$Z26,MIN(E$6-$G$3,22))),0)))))</f>
        <v>0</v>
      </c>
      <c r="F28" s="27" t="n">
        <f aca="false">IF(COUNT('Arroz irrigado'!$E26:$Z26)=0,0,MAX(0,IF((F$6-$E$3)&lt;1,0,IFERROR(LOOKUP(2,1/('Arroz irrigado'!$E26:INDEX('Arroz irrigado'!$E26:$Z26,MIN(F$6-$E$3,22))&lt;&gt;""),'Arroz irrigado'!$E26:INDEX('Arroz irrigado'!$E26:$Z26,MIN(F$6-$E$3,22))),0))-IF($G$2,0,IF((F$6-$G$3)&lt;1,0,IFERROR(LOOKUP(2,1/('Arroz irrigado'!$E26:INDEX('Arroz irrigado'!$E26:$Z26,MIN(F$6-$G$3,22))&lt;&gt;""),'Arroz irrigado'!$E26:INDEX('Arroz irrigado'!$E26:$Z26,MIN(F$6-$G$3,22))),0)))))</f>
        <v>0</v>
      </c>
      <c r="G28" s="27" t="n">
        <f aca="false">IF(COUNT('Arroz irrigado'!$E26:$Z26)=0,0,MAX(0,IF((G$6-$E$3)&lt;1,0,IFERROR(LOOKUP(2,1/('Arroz irrigado'!$E26:INDEX('Arroz irrigado'!$E26:$Z26,MIN(G$6-$E$3,22))&lt;&gt;""),'Arroz irrigado'!$E26:INDEX('Arroz irrigado'!$E26:$Z26,MIN(G$6-$E$3,22))),0))-IF($G$2,0,IF((G$6-$G$3)&lt;1,0,IFERROR(LOOKUP(2,1/('Arroz irrigado'!$E26:INDEX('Arroz irrigado'!$E26:$Z26,MIN(G$6-$G$3,22))&lt;&gt;""),'Arroz irrigado'!$E26:INDEX('Arroz irrigado'!$E26:$Z26,MIN(G$6-$G$3,22))),0)))))</f>
        <v>0</v>
      </c>
      <c r="H28" s="27" t="n">
        <f aca="false">IF(COUNT('Arroz irrigado'!$E26:$Z26)=0,0,MAX(0,IF((H$6-$E$3)&lt;1,0,IFERROR(LOOKUP(2,1/('Arroz irrigado'!$E26:INDEX('Arroz irrigado'!$E26:$Z26,MIN(H$6-$E$3,22))&lt;&gt;""),'Arroz irrigado'!$E26:INDEX('Arroz irrigado'!$E26:$Z26,MIN(H$6-$E$3,22))),0))-IF($G$2,0,IF((H$6-$G$3)&lt;1,0,IFERROR(LOOKUP(2,1/('Arroz irrigado'!$E26:INDEX('Arroz irrigado'!$E26:$Z26,MIN(H$6-$G$3,22))&lt;&gt;""),'Arroz irrigado'!$E26:INDEX('Arroz irrigado'!$E26:$Z26,MIN(H$6-$G$3,22))),0)))))</f>
        <v>0</v>
      </c>
      <c r="I28" s="27" t="n">
        <f aca="false">IF(COUNT('Arroz irrigado'!$E26:$Z26)=0,0,MAX(0,IF((I$6-$E$3)&lt;1,0,IFERROR(LOOKUP(2,1/('Arroz irrigado'!$E26:INDEX('Arroz irrigado'!$E26:$Z26,MIN(I$6-$E$3,22))&lt;&gt;""),'Arroz irrigado'!$E26:INDEX('Arroz irrigado'!$E26:$Z26,MIN(I$6-$E$3,22))),0))-IF($G$2,0,IF((I$6-$G$3)&lt;1,0,IFERROR(LOOKUP(2,1/('Arroz irrigado'!$E26:INDEX('Arroz irrigado'!$E26:$Z26,MIN(I$6-$G$3,22))&lt;&gt;""),'Arroz irrigado'!$E26:INDEX('Arroz irrigado'!$E26:$Z26,MIN(I$6-$G$3,22))),0)))))</f>
        <v>0</v>
      </c>
      <c r="J28" s="27" t="n">
        <f aca="false">IF(COUNT('Arroz irrigado'!$E26:$Z26)=0,0,MAX(0,IF((J$6-$E$3)&lt;1,0,IFERROR(LOOKUP(2,1/('Arroz irrigado'!$E26:INDEX('Arroz irrigado'!$E26:$Z26,MIN(J$6-$E$3,22))&lt;&gt;""),'Arroz irrigado'!$E26:INDEX('Arroz irrigado'!$E26:$Z26,MIN(J$6-$E$3,22))),0))-IF($G$2,0,IF((J$6-$G$3)&lt;1,0,IFERROR(LOOKUP(2,1/('Arroz irrigado'!$E26:INDEX('Arroz irrigado'!$E26:$Z26,MIN(J$6-$G$3,22))&lt;&gt;""),'Arroz irrigado'!$E26:INDEX('Arroz irrigado'!$E26:$Z26,MIN(J$6-$G$3,22))),0)))))</f>
        <v>0</v>
      </c>
      <c r="K28" s="27" t="n">
        <f aca="false">IF(COUNT('Arroz irrigado'!$E26:$Z26)=0,0,MAX(0,IF((K$6-$E$3)&lt;1,0,IFERROR(LOOKUP(2,1/('Arroz irrigado'!$E26:INDEX('Arroz irrigado'!$E26:$Z26,MIN(K$6-$E$3,22))&lt;&gt;""),'Arroz irrigado'!$E26:INDEX('Arroz irrigado'!$E26:$Z26,MIN(K$6-$E$3,22))),0))-IF($G$2,0,IF((K$6-$G$3)&lt;1,0,IFERROR(LOOKUP(2,1/('Arroz irrigado'!$E26:INDEX('Arroz irrigado'!$E26:$Z26,MIN(K$6-$G$3,22))&lt;&gt;""),'Arroz irrigado'!$E26:INDEX('Arroz irrigado'!$E26:$Z26,MIN(K$6-$G$3,22))),0)))))</f>
        <v>0</v>
      </c>
      <c r="L28" s="27" t="n">
        <f aca="false">IF(COUNT('Arroz irrigado'!$E26:$Z26)=0,0,MAX(0,IF((L$6-$E$3)&lt;1,0,IFERROR(LOOKUP(2,1/('Arroz irrigado'!$E26:INDEX('Arroz irrigado'!$E26:$Z26,MIN(L$6-$E$3,22))&lt;&gt;""),'Arroz irrigado'!$E26:INDEX('Arroz irrigado'!$E26:$Z26,MIN(L$6-$E$3,22))),0))-IF($G$2,0,IF((L$6-$G$3)&lt;1,0,IFERROR(LOOKUP(2,1/('Arroz irrigado'!$E26:INDEX('Arroz irrigado'!$E26:$Z26,MIN(L$6-$G$3,22))&lt;&gt;""),'Arroz irrigado'!$E26:INDEX('Arroz irrigado'!$E26:$Z26,MIN(L$6-$G$3,22))),0)))))</f>
        <v>0</v>
      </c>
      <c r="M28" s="27" t="n">
        <f aca="false">IF(COUNT('Arroz irrigado'!$E26:$Z26)=0,0,MAX(0,IF((M$6-$E$3)&lt;1,0,IFERROR(LOOKUP(2,1/('Arroz irrigado'!$E26:INDEX('Arroz irrigado'!$E26:$Z26,MIN(M$6-$E$3,22))&lt;&gt;""),'Arroz irrigado'!$E26:INDEX('Arroz irrigado'!$E26:$Z26,MIN(M$6-$E$3,22))),0))-IF($G$2,0,IF((M$6-$G$3)&lt;1,0,IFERROR(LOOKUP(2,1/('Arroz irrigado'!$E26:INDEX('Arroz irrigado'!$E26:$Z26,MIN(M$6-$G$3,22))&lt;&gt;""),'Arroz irrigado'!$E26:INDEX('Arroz irrigado'!$E26:$Z26,MIN(M$6-$G$3,22))),0)))))</f>
        <v>0</v>
      </c>
      <c r="N28" s="27" t="n">
        <f aca="false">IF(COUNT('Arroz irrigado'!$E26:$Z26)=0,0,MAX(0,IF((N$6-$E$3)&lt;1,0,IFERROR(LOOKUP(2,1/('Arroz irrigado'!$E26:INDEX('Arroz irrigado'!$E26:$Z26,MIN(N$6-$E$3,22))&lt;&gt;""),'Arroz irrigado'!$E26:INDEX('Arroz irrigado'!$E26:$Z26,MIN(N$6-$E$3,22))),0))-IF($G$2,0,IF((N$6-$G$3)&lt;1,0,IFERROR(LOOKUP(2,1/('Arroz irrigado'!$E26:INDEX('Arroz irrigado'!$E26:$Z26,MIN(N$6-$G$3,22))&lt;&gt;""),'Arroz irrigado'!$E26:INDEX('Arroz irrigado'!$E26:$Z26,MIN(N$6-$G$3,22))),0)))))</f>
        <v>0</v>
      </c>
      <c r="O28" s="27" t="n">
        <f aca="false">IF(COUNT('Arroz irrigado'!$E26:$Z26)=0,0,MAX(0,IF((O$6-$E$3)&lt;1,0,IFERROR(LOOKUP(2,1/('Arroz irrigado'!$E26:INDEX('Arroz irrigado'!$E26:$Z26,MIN(O$6-$E$3,22))&lt;&gt;""),'Arroz irrigado'!$E26:INDEX('Arroz irrigado'!$E26:$Z26,MIN(O$6-$E$3,22))),0))-IF($G$2,0,IF((O$6-$G$3)&lt;1,0,IFERROR(LOOKUP(2,1/('Arroz irrigado'!$E26:INDEX('Arroz irrigado'!$E26:$Z26,MIN(O$6-$G$3,22))&lt;&gt;""),'Arroz irrigado'!$E26:INDEX('Arroz irrigado'!$E26:$Z26,MIN(O$6-$G$3,22))),0)))))</f>
        <v>0</v>
      </c>
      <c r="P28" s="27" t="n">
        <f aca="false">IF(COUNT('Arroz irrigado'!$E26:$Z26)=0,0,MAX(0,IF((P$6-$E$3)&lt;1,0,IFERROR(LOOKUP(2,1/('Arroz irrigado'!$E26:INDEX('Arroz irrigado'!$E26:$Z26,MIN(P$6-$E$3,22))&lt;&gt;""),'Arroz irrigado'!$E26:INDEX('Arroz irrigado'!$E26:$Z26,MIN(P$6-$E$3,22))),0))-IF($G$2,0,IF((P$6-$G$3)&lt;1,0,IFERROR(LOOKUP(2,1/('Arroz irrigado'!$E26:INDEX('Arroz irrigado'!$E26:$Z26,MIN(P$6-$G$3,22))&lt;&gt;""),'Arroz irrigado'!$E26:INDEX('Arroz irrigado'!$E26:$Z26,MIN(P$6-$G$3,22))),0)))))</f>
        <v>0</v>
      </c>
      <c r="Q28" s="27" t="n">
        <f aca="false">IF(COUNT('Arroz irrigado'!$E26:$Z26)=0,0,MAX(0,IF((Q$6-$E$3)&lt;1,0,IFERROR(LOOKUP(2,1/('Arroz irrigado'!$E26:INDEX('Arroz irrigado'!$E26:$Z26,MIN(Q$6-$E$3,22))&lt;&gt;""),'Arroz irrigado'!$E26:INDEX('Arroz irrigado'!$E26:$Z26,MIN(Q$6-$E$3,22))),0))-IF($G$2,0,IF((Q$6-$G$3)&lt;1,0,IFERROR(LOOKUP(2,1/('Arroz irrigado'!$E26:INDEX('Arroz irrigado'!$E26:$Z26,MIN(Q$6-$G$3,22))&lt;&gt;""),'Arroz irrigado'!$E26:INDEX('Arroz irrigado'!$E26:$Z26,MIN(Q$6-$G$3,22))),0)))))</f>
        <v>0</v>
      </c>
      <c r="R28" s="27" t="n">
        <f aca="false">IF(COUNT('Arroz irrigado'!$E26:$Z26)=0,0,MAX(0,IF((R$6-$E$3)&lt;1,0,IFERROR(LOOKUP(2,1/('Arroz irrigado'!$E26:INDEX('Arroz irrigado'!$E26:$Z26,MIN(R$6-$E$3,22))&lt;&gt;""),'Arroz irrigado'!$E26:INDEX('Arroz irrigado'!$E26:$Z26,MIN(R$6-$E$3,22))),0))-IF($G$2,0,IF((R$6-$G$3)&lt;1,0,IFERROR(LOOKUP(2,1/('Arroz irrigado'!$E26:INDEX('Arroz irrigado'!$E26:$Z26,MIN(R$6-$G$3,22))&lt;&gt;""),'Arroz irrigado'!$E26:INDEX('Arroz irrigado'!$E26:$Z26,MIN(R$6-$G$3,22))),0)))))</f>
        <v>0</v>
      </c>
      <c r="S28" s="27" t="n">
        <f aca="false">IF(COUNT('Arroz irrigado'!$E26:$Z26)=0,0,MAX(0,IF((S$6-$E$3)&lt;1,0,IFERROR(LOOKUP(2,1/('Arroz irrigado'!$E26:INDEX('Arroz irrigado'!$E26:$Z26,MIN(S$6-$E$3,22))&lt;&gt;""),'Arroz irrigado'!$E26:INDEX('Arroz irrigado'!$E26:$Z26,MIN(S$6-$E$3,22))),0))-IF($G$2,0,IF((S$6-$G$3)&lt;1,0,IFERROR(LOOKUP(2,1/('Arroz irrigado'!$E26:INDEX('Arroz irrigado'!$E26:$Z26,MIN(S$6-$G$3,22))&lt;&gt;""),'Arroz irrigado'!$E26:INDEX('Arroz irrigado'!$E26:$Z26,MIN(S$6-$G$3,22))),0)))))</f>
        <v>0</v>
      </c>
      <c r="T28" s="27" t="n">
        <f aca="false">IF(COUNT('Arroz irrigado'!$E26:$Z26)=0,0,MAX(0,IF((T$6-$E$3)&lt;1,0,IFERROR(LOOKUP(2,1/('Arroz irrigado'!$E26:INDEX('Arroz irrigado'!$E26:$Z26,MIN(T$6-$E$3,22))&lt;&gt;""),'Arroz irrigado'!$E26:INDEX('Arroz irrigado'!$E26:$Z26,MIN(T$6-$E$3,22))),0))-IF($G$2,0,IF((T$6-$G$3)&lt;1,0,IFERROR(LOOKUP(2,1/('Arroz irrigado'!$E26:INDEX('Arroz irrigado'!$E26:$Z26,MIN(T$6-$G$3,22))&lt;&gt;""),'Arroz irrigado'!$E26:INDEX('Arroz irrigado'!$E26:$Z26,MIN(T$6-$G$3,22))),0)))))</f>
        <v>0</v>
      </c>
      <c r="U28" s="27" t="n">
        <f aca="false">IF(COUNT('Arroz irrigado'!$E26:$Z26)=0,0,MAX(0,IF((U$6-$E$3)&lt;1,0,IFERROR(LOOKUP(2,1/('Arroz irrigado'!$E26:INDEX('Arroz irrigado'!$E26:$Z26,MIN(U$6-$E$3,22))&lt;&gt;""),'Arroz irrigado'!$E26:INDEX('Arroz irrigado'!$E26:$Z26,MIN(U$6-$E$3,22))),0))-IF($G$2,0,IF((U$6-$G$3)&lt;1,0,IFERROR(LOOKUP(2,1/('Arroz irrigado'!$E26:INDEX('Arroz irrigado'!$E26:$Z26,MIN(U$6-$G$3,22))&lt;&gt;""),'Arroz irrigado'!$E26:INDEX('Arroz irrigado'!$E26:$Z26,MIN(U$6-$G$3,22))),0)))))</f>
        <v>0</v>
      </c>
      <c r="V28" s="27" t="n">
        <f aca="false">IF(COUNT('Arroz irrigado'!$E26:$Z26)=0,0,MAX(0,IF((V$6-$E$3)&lt;1,0,IFERROR(LOOKUP(2,1/('Arroz irrigado'!$E26:INDEX('Arroz irrigado'!$E26:$Z26,MIN(V$6-$E$3,22))&lt;&gt;""),'Arroz irrigado'!$E26:INDEX('Arroz irrigado'!$E26:$Z26,MIN(V$6-$E$3,22))),0))-IF($G$2,0,IF((V$6-$G$3)&lt;1,0,IFERROR(LOOKUP(2,1/('Arroz irrigado'!$E26:INDEX('Arroz irrigado'!$E26:$Z26,MIN(V$6-$G$3,22))&lt;&gt;""),'Arroz irrigado'!$E26:INDEX('Arroz irrigado'!$E26:$Z26,MIN(V$6-$G$3,22))),0)))))</f>
        <v>0</v>
      </c>
      <c r="W28" s="27" t="n">
        <f aca="false">IF(COUNT('Arroz irrigado'!$E26:$Z26)=0,0,MAX(0,IF((W$6-$E$3)&lt;1,0,IFERROR(LOOKUP(2,1/('Arroz irrigado'!$E26:INDEX('Arroz irrigado'!$E26:$Z26,MIN(W$6-$E$3,22))&lt;&gt;""),'Arroz irrigado'!$E26:INDEX('Arroz irrigado'!$E26:$Z26,MIN(W$6-$E$3,22))),0))-IF($G$2,0,IF((W$6-$G$3)&lt;1,0,IFERROR(LOOKUP(2,1/('Arroz irrigado'!$E26:INDEX('Arroz irrigado'!$E26:$Z26,MIN(W$6-$G$3,22))&lt;&gt;""),'Arroz irrigado'!$E26:INDEX('Arroz irrigado'!$E26:$Z26,MIN(W$6-$G$3,22))),0)))))</f>
        <v>0</v>
      </c>
      <c r="X28" s="27" t="n">
        <f aca="false">IF(COUNT('Arroz irrigado'!$E26:$Z26)=0,0,MAX(0,IF((X$6-$E$3)&lt;1,0,IFERROR(LOOKUP(2,1/('Arroz irrigado'!$E26:INDEX('Arroz irrigado'!$E26:$Z26,MIN(X$6-$E$3,22))&lt;&gt;""),'Arroz irrigado'!$E26:INDEX('Arroz irrigado'!$E26:$Z26,MIN(X$6-$E$3,22))),0))-IF($G$2,0,IF((X$6-$G$3)&lt;1,0,IFERROR(LOOKUP(2,1/('Arroz irrigado'!$E26:INDEX('Arroz irrigado'!$E26:$Z26,MIN(X$6-$G$3,22))&lt;&gt;""),'Arroz irrigado'!$E26:INDEX('Arroz irrigado'!$E26:$Z26,MIN(X$6-$G$3,22))),0)))))</f>
        <v>0</v>
      </c>
      <c r="Y28" s="27" t="n">
        <f aca="false">IF(COUNT('Arroz irrigado'!$E26:$Z26)=0,0,MAX(0,IF((Y$6-$E$3)&lt;1,0,IFERROR(LOOKUP(2,1/('Arroz irrigado'!$E26:INDEX('Arroz irrigado'!$E26:$Z26,MIN(Y$6-$E$3,22))&lt;&gt;""),'Arroz irrigado'!$E26:INDEX('Arroz irrigado'!$E26:$Z26,MIN(Y$6-$E$3,22))),0))-IF($G$2,0,IF((Y$6-$G$3)&lt;1,0,IFERROR(LOOKUP(2,1/('Arroz irrigado'!$E26:INDEX('Arroz irrigado'!$E26:$Z26,MIN(Y$6-$G$3,22))&lt;&gt;""),'Arroz irrigado'!$E26:INDEX('Arroz irrigado'!$E26:$Z26,MIN(Y$6-$G$3,22))),0)))))</f>
        <v>0</v>
      </c>
      <c r="Z28" s="27" t="n">
        <f aca="false">IF(COUNT('Arroz irrigado'!$E26:$Z26)=0,0,MAX(0,IF((Z$6-$E$3)&lt;1,0,IFERROR(LOOKUP(2,1/('Arroz irrigado'!$E26:INDEX('Arroz irrigado'!$E26:$Z26,MIN(Z$6-$E$3,22))&lt;&gt;""),'Arroz irrigado'!$E26:INDEX('Arroz irrigado'!$E26:$Z26,MIN(Z$6-$E$3,22))),0))-IF($G$2,0,IF((Z$6-$G$3)&lt;1,0,IFERROR(LOOKUP(2,1/('Arroz irrigado'!$E26:INDEX('Arroz irrigado'!$E26:$Z26,MIN(Z$6-$G$3,22))&lt;&gt;""),'Arroz irrigado'!$E26:INDEX('Arroz irrigado'!$E26:$Z26,MIN(Z$6-$G$3,22))),0)))))</f>
        <v>0</v>
      </c>
      <c r="AA28" s="27" t="n">
        <f aca="false">IF(COUNT('Arroz irrigado'!$E26:$Z26)=0,0,MAX(0,IF((AA$6-$E$3)&lt;1,0,IFERROR(LOOKUP(2,1/('Arroz irrigado'!$E26:INDEX('Arroz irrigado'!$E26:$Z26,MIN(AA$6-$E$3,22))&lt;&gt;""),'Arroz irrigado'!$E26:INDEX('Arroz irrigado'!$E26:$Z26,MIN(AA$6-$E$3,22))),0))-IF($G$2,0,IF((AA$6-$G$3)&lt;1,0,IFERROR(LOOKUP(2,1/('Arroz irrigado'!$E26:INDEX('Arroz irrigado'!$E26:$Z26,MIN(AA$6-$G$3,22))&lt;&gt;""),'Arroz irrigado'!$E26:INDEX('Arroz irrigado'!$E26:$Z26,MIN(AA$6-$G$3,22))),0)))))</f>
        <v>0</v>
      </c>
      <c r="AB28" s="27" t="n">
        <f aca="false">IF(COUNT('Arroz irrigado'!$E26:$Z26)=0,0,MAX(0,IF((AB$6-$E$3)&lt;1,0,IFERROR(LOOKUP(2,1/('Arroz irrigado'!$E26:INDEX('Arroz irrigado'!$E26:$Z26,MIN(AB$6-$E$3,22))&lt;&gt;""),'Arroz irrigado'!$E26:INDEX('Arroz irrigado'!$E26:$Z26,MIN(AB$6-$E$3,22))),0))-IF($G$2,0,IF((AB$6-$G$3)&lt;1,0,IFERROR(LOOKUP(2,1/('Arroz irrigado'!$E26:INDEX('Arroz irrigado'!$E26:$Z26,MIN(AB$6-$G$3,22))&lt;&gt;""),'Arroz irrigado'!$E26:INDEX('Arroz irrigado'!$E26:$Z26,MIN(AB$6-$G$3,22))),0)))))</f>
        <v>0</v>
      </c>
      <c r="AC28" s="27" t="n">
        <f aca="false">IF(COUNT('Arroz irrigado'!$E26:$Z26)=0,0,MAX(0,IF((AC$6-$E$3)&lt;1,0,IFERROR(LOOKUP(2,1/('Arroz irrigado'!$E26:INDEX('Arroz irrigado'!$E26:$Z26,MIN(AC$6-$E$3,22))&lt;&gt;""),'Arroz irrigado'!$E26:INDEX('Arroz irrigado'!$E26:$Z26,MIN(AC$6-$E$3,22))),0))-IF($G$2,0,IF((AC$6-$G$3)&lt;1,0,IFERROR(LOOKUP(2,1/('Arroz irrigado'!$E26:INDEX('Arroz irrigado'!$E26:$Z26,MIN(AC$6-$G$3,22))&lt;&gt;""),'Arroz irrigado'!$E26:INDEX('Arroz irrigado'!$E26:$Z26,MIN(AC$6-$G$3,22))),0)))))</f>
        <v>0</v>
      </c>
      <c r="AD28" s="27" t="n">
        <f aca="false">IF(COUNT('Arroz irrigado'!$E26:$Z26)=0,0,MAX(0,IF((AD$6-$E$3)&lt;1,0,IFERROR(LOOKUP(2,1/('Arroz irrigado'!$E26:INDEX('Arroz irrigado'!$E26:$Z26,MIN(AD$6-$E$3,22))&lt;&gt;""),'Arroz irrigado'!$E26:INDEX('Arroz irrigado'!$E26:$Z26,MIN(AD$6-$E$3,22))),0))-IF($G$2,0,IF((AD$6-$G$3)&lt;1,0,IFERROR(LOOKUP(2,1/('Arroz irrigado'!$E26:INDEX('Arroz irrigado'!$E26:$Z26,MIN(AD$6-$G$3,22))&lt;&gt;""),'Arroz irrigado'!$E26:INDEX('Arroz irrigado'!$E26:$Z26,MIN(AD$6-$G$3,22))),0)))))</f>
        <v>0</v>
      </c>
      <c r="AE28" s="27" t="n">
        <f aca="false">IF(COUNT('Arroz irrigado'!$E26:$Z26)=0,0,MAX(0,IF((AE$6-$E$3)&lt;1,0,IFERROR(LOOKUP(2,1/('Arroz irrigado'!$E26:INDEX('Arroz irrigado'!$E26:$Z26,MIN(AE$6-$E$3,22))&lt;&gt;""),'Arroz irrigado'!$E26:INDEX('Arroz irrigado'!$E26:$Z26,MIN(AE$6-$E$3,22))),0))-IF($G$2,0,IF((AE$6-$G$3)&lt;1,0,IFERROR(LOOKUP(2,1/('Arroz irrigado'!$E26:INDEX('Arroz irrigado'!$E26:$Z26,MIN(AE$6-$G$3,22))&lt;&gt;""),'Arroz irrigado'!$E26:INDEX('Arroz irrigado'!$E26:$Z26,MIN(AE$6-$G$3,22))),0)))))</f>
        <v>0</v>
      </c>
      <c r="AF28" s="27" t="n">
        <f aca="false">IF(COUNT('Arroz irrigado'!$E26:$Z26)=0,0,MAX(0,IF((AF$6-$E$3)&lt;1,0,IFERROR(LOOKUP(2,1/('Arroz irrigado'!$E26:INDEX('Arroz irrigado'!$E26:$Z26,MIN(AF$6-$E$3,22))&lt;&gt;""),'Arroz irrigado'!$E26:INDEX('Arroz irrigado'!$E26:$Z26,MIN(AF$6-$E$3,22))),0))-IF($G$2,0,IF((AF$6-$G$3)&lt;1,0,IFERROR(LOOKUP(2,1/('Arroz irrigado'!$E26:INDEX('Arroz irrigado'!$E26:$Z26,MIN(AF$6-$G$3,22))&lt;&gt;""),'Arroz irrigado'!$E26:INDEX('Arroz irrigado'!$E26:$Z26,MIN(AF$6-$G$3,22))),0)))))</f>
        <v>0</v>
      </c>
      <c r="AG28" s="27" t="n">
        <f aca="false">IF(COUNT('Arroz irrigado'!$E26:$Z26)=0,0,MAX(0,IF((AG$6-$E$3)&lt;1,0,IFERROR(LOOKUP(2,1/('Arroz irrigado'!$E26:INDEX('Arroz irrigado'!$E26:$Z26,MIN(AG$6-$E$3,22))&lt;&gt;""),'Arroz irrigado'!$E26:INDEX('Arroz irrigado'!$E26:$Z26,MIN(AG$6-$E$3,22))),0))-IF($G$2,0,IF((AG$6-$G$3)&lt;1,0,IFERROR(LOOKUP(2,1/('Arroz irrigado'!$E26:INDEX('Arroz irrigado'!$E26:$Z26,MIN(AG$6-$G$3,22))&lt;&gt;""),'Arroz irrigado'!$E26:INDEX('Arroz irrigado'!$E26:$Z26,MIN(AG$6-$G$3,22))),0)))))</f>
        <v>0</v>
      </c>
      <c r="AH28" s="27" t="n">
        <f aca="false">IF(COUNT('Arroz irrigado'!$E26:$Z26)=0,0,MAX(0,IF((AH$6-$E$3)&lt;1,0,IFERROR(LOOKUP(2,1/('Arroz irrigado'!$E26:INDEX('Arroz irrigado'!$E26:$Z26,MIN(AH$6-$E$3,22))&lt;&gt;""),'Arroz irrigado'!$E26:INDEX('Arroz irrigado'!$E26:$Z26,MIN(AH$6-$E$3,22))),0))-IF($G$2,0,IF((AH$6-$G$3)&lt;1,0,IFERROR(LOOKUP(2,1/('Arroz irrigado'!$E26:INDEX('Arroz irrigado'!$E26:$Z26,MIN(AH$6-$G$3,22))&lt;&gt;""),'Arroz irrigado'!$E26:INDEX('Arroz irrigado'!$E26:$Z26,MIN(AH$6-$G$3,22))),0)))))</f>
        <v>0</v>
      </c>
      <c r="AI28" s="27" t="n">
        <f aca="false">IF(COUNT('Arroz irrigado'!$E26:$Z26)=0,0,MAX(0,IF((AI$6-$E$3)&lt;1,0,IFERROR(LOOKUP(2,1/('Arroz irrigado'!$E26:INDEX('Arroz irrigado'!$E26:$Z26,MIN(AI$6-$E$3,22))&lt;&gt;""),'Arroz irrigado'!$E26:INDEX('Arroz irrigado'!$E26:$Z26,MIN(AI$6-$E$3,22))),0))-IF($G$2,0,IF((AI$6-$G$3)&lt;1,0,IFERROR(LOOKUP(2,1/('Arroz irrigado'!$E26:INDEX('Arroz irrigado'!$E26:$Z26,MIN(AI$6-$G$3,22))&lt;&gt;""),'Arroz irrigado'!$E26:INDEX('Arroz irrigado'!$E26:$Z26,MIN(AI$6-$G$3,22))),0)))))</f>
        <v>0</v>
      </c>
      <c r="AJ28" s="27" t="n">
        <f aca="false">IF(COUNT('Arroz irrigado'!$E26:$Z26)=0,0,MAX(0,IF((AJ$6-$E$3)&lt;1,0,IFERROR(LOOKUP(2,1/('Arroz irrigado'!$E26:INDEX('Arroz irrigado'!$E26:$Z26,MIN(AJ$6-$E$3,22))&lt;&gt;""),'Arroz irrigado'!$E26:INDEX('Arroz irrigado'!$E26:$Z26,MIN(AJ$6-$E$3,22))),0))-IF($G$2,0,IF((AJ$6-$G$3)&lt;1,0,IFERROR(LOOKUP(2,1/('Arroz irrigado'!$E26:INDEX('Arroz irrigado'!$E26:$Z26,MIN(AJ$6-$G$3,22))&lt;&gt;""),'Arroz irrigado'!$E26:INDEX('Arroz irrigado'!$E26:$Z26,MIN(AJ$6-$G$3,22))),0)))))</f>
        <v>0</v>
      </c>
      <c r="AK28" s="27" t="n">
        <f aca="false">IF(COUNT('Arroz irrigado'!$E26:$Z26)=0,0,MAX(0,IF((AK$6-$E$3)&lt;1,0,IFERROR(LOOKUP(2,1/('Arroz irrigado'!$E26:INDEX('Arroz irrigado'!$E26:$Z26,MIN(AK$6-$E$3,22))&lt;&gt;""),'Arroz irrigado'!$E26:INDEX('Arroz irrigado'!$E26:$Z26,MIN(AK$6-$E$3,22))),0))-IF($G$2,0,IF((AK$6-$G$3)&lt;1,0,IFERROR(LOOKUP(2,1/('Arroz irrigado'!$E26:INDEX('Arroz irrigado'!$E26:$Z26,MIN(AK$6-$G$3,22))&lt;&gt;""),'Arroz irrigado'!$E26:INDEX('Arroz irrigado'!$E26:$Z26,MIN(AK$6-$G$3,22))),0)))))</f>
        <v>0</v>
      </c>
      <c r="AL28" s="27" t="n">
        <f aca="false">IF(COUNT('Arroz irrigado'!$E26:$Z26)=0,0,MAX(0,IF((AL$6-$E$3)&lt;1,0,IFERROR(LOOKUP(2,1/('Arroz irrigado'!$E26:INDEX('Arroz irrigado'!$E26:$Z26,MIN(AL$6-$E$3,22))&lt;&gt;""),'Arroz irrigado'!$E26:INDEX('Arroz irrigado'!$E26:$Z26,MIN(AL$6-$E$3,22))),0))-IF($G$2,0,IF((AL$6-$G$3)&lt;1,0,IFERROR(LOOKUP(2,1/('Arroz irrigado'!$E26:INDEX('Arroz irrigado'!$E26:$Z26,MIN(AL$6-$G$3,22))&lt;&gt;""),'Arroz irrigado'!$E26:INDEX('Arroz irrigado'!$E26:$Z26,MIN(AL$6-$G$3,22))),0)))))</f>
        <v>0</v>
      </c>
      <c r="AM28" s="27" t="n">
        <f aca="false">IF(COUNT('Arroz irrigado'!$E26:$Z26)=0,0,MAX(0,IF((AM$6-$E$3)&lt;1,0,IFERROR(LOOKUP(2,1/('Arroz irrigado'!$E26:INDEX('Arroz irrigado'!$E26:$Z26,MIN(AM$6-$E$3,22))&lt;&gt;""),'Arroz irrigado'!$E26:INDEX('Arroz irrigado'!$E26:$Z26,MIN(AM$6-$E$3,22))),0))-IF($G$2,0,IF((AM$6-$G$3)&lt;1,0,IFERROR(LOOKUP(2,1/('Arroz irrigado'!$E26:INDEX('Arroz irrigado'!$E26:$Z26,MIN(AM$6-$G$3,22))&lt;&gt;""),'Arroz irrigado'!$E26:INDEX('Arroz irrigado'!$E26:$Z26,MIN(AM$6-$G$3,22))),0)))))</f>
        <v>0</v>
      </c>
      <c r="AN28" s="27" t="n">
        <f aca="false">IF(COUNT('Arroz irrigado'!$E26:$Z26)=0,0,MAX(0,IF((AN$6-$E$3)&lt;1,0,IFERROR(LOOKUP(2,1/('Arroz irrigado'!$E26:INDEX('Arroz irrigado'!$E26:$Z26,MIN(AN$6-$E$3,22))&lt;&gt;""),'Arroz irrigado'!$E26:INDEX('Arroz irrigado'!$E26:$Z26,MIN(AN$6-$E$3,22))),0))-IF($G$2,0,IF((AN$6-$G$3)&lt;1,0,IFERROR(LOOKUP(2,1/('Arroz irrigado'!$E26:INDEX('Arroz irrigado'!$E26:$Z26,MIN(AN$6-$G$3,22))&lt;&gt;""),'Arroz irrigado'!$E26:INDEX('Arroz irrigado'!$E26:$Z26,MIN(AN$6-$G$3,22))),0)))))</f>
        <v>0</v>
      </c>
      <c r="AO28" s="27" t="n">
        <f aca="false">IF(COUNT('Arroz irrigado'!$E26:$Z26)=0,0,MAX(0,IF((AO$6-$E$3)&lt;1,0,IFERROR(LOOKUP(2,1/('Arroz irrigado'!$E26:INDEX('Arroz irrigado'!$E26:$Z26,MIN(AO$6-$E$3,22))&lt;&gt;""),'Arroz irrigado'!$E26:INDEX('Arroz irrigado'!$E26:$Z26,MIN(AO$6-$E$3,22))),0))-IF($G$2,0,IF((AO$6-$G$3)&lt;1,0,IFERROR(LOOKUP(2,1/('Arroz irrigado'!$E26:INDEX('Arroz irrigado'!$E26:$Z26,MIN(AO$6-$G$3,22))&lt;&gt;""),'Arroz irrigado'!$E26:INDEX('Arroz irrigado'!$E26:$Z26,MIN(AO$6-$G$3,22))),0)))))</f>
        <v>0</v>
      </c>
      <c r="AP28" s="27" t="n">
        <f aca="false">IF(COUNT('Arroz irrigado'!$E26:$Z26)=0,0,MAX(0,IF((AP$6-$E$3)&lt;1,0,IFERROR(LOOKUP(2,1/('Arroz irrigado'!$E26:INDEX('Arroz irrigado'!$E26:$Z26,MIN(AP$6-$E$3,22))&lt;&gt;""),'Arroz irrigado'!$E26:INDEX('Arroz irrigado'!$E26:$Z26,MIN(AP$6-$E$3,22))),0))-IF($G$2,0,IF((AP$6-$G$3)&lt;1,0,IFERROR(LOOKUP(2,1/('Arroz irrigado'!$E26:INDEX('Arroz irrigado'!$E26:$Z26,MIN(AP$6-$G$3,22))&lt;&gt;""),'Arroz irrigado'!$E26:INDEX('Arroz irrigado'!$E26:$Z26,MIN(AP$6-$G$3,22))),0)))))</f>
        <v>0</v>
      </c>
      <c r="AQ28" s="27" t="n">
        <f aca="false">IF(COUNT('Arroz irrigado'!$E26:$Z26)=0,0,MAX(0,IF((AQ$6-$E$3)&lt;1,0,IFERROR(LOOKUP(2,1/('Arroz irrigado'!$E26:INDEX('Arroz irrigado'!$E26:$Z26,MIN(AQ$6-$E$3,22))&lt;&gt;""),'Arroz irrigado'!$E26:INDEX('Arroz irrigado'!$E26:$Z26,MIN(AQ$6-$E$3,22))),0))-IF($G$2,0,IF((AQ$6-$G$3)&lt;1,0,IFERROR(LOOKUP(2,1/('Arroz irrigado'!$E26:INDEX('Arroz irrigado'!$E26:$Z26,MIN(AQ$6-$G$3,22))&lt;&gt;""),'Arroz irrigado'!$E26:INDEX('Arroz irrigado'!$E26:$Z26,MIN(AQ$6-$G$3,22))),0)))))</f>
        <v>0</v>
      </c>
      <c r="AR28" s="27" t="n">
        <f aca="false">IF(COUNT('Arroz irrigado'!$E26:$Z26)=0,0,MAX(0,IF((AR$6-$E$3)&lt;1,0,IFERROR(LOOKUP(2,1/('Arroz irrigado'!$E26:INDEX('Arroz irrigado'!$E26:$Z26,MIN(AR$6-$E$3,22))&lt;&gt;""),'Arroz irrigado'!$E26:INDEX('Arroz irrigado'!$E26:$Z26,MIN(AR$6-$E$3,22))),0))-IF($G$2,0,IF((AR$6-$G$3)&lt;1,0,IFERROR(LOOKUP(2,1/('Arroz irrigado'!$E26:INDEX('Arroz irrigado'!$E26:$Z26,MIN(AR$6-$G$3,22))&lt;&gt;""),'Arroz irrigado'!$E26:INDEX('Arroz irrigado'!$E26:$Z26,MIN(AR$6-$G$3,22))),0)))))</f>
        <v>0</v>
      </c>
      <c r="AS28" s="27" t="n">
        <f aca="false">IF(COUNT('Arroz irrigado'!$E26:$Z26)=0,0,MAX(0,IF((AS$6-$E$3)&lt;1,0,IFERROR(LOOKUP(2,1/('Arroz irrigado'!$E26:INDEX('Arroz irrigado'!$E26:$Z26,MIN(AS$6-$E$3,22))&lt;&gt;""),'Arroz irrigado'!$E26:INDEX('Arroz irrigado'!$E26:$Z26,MIN(AS$6-$E$3,22))),0))-IF($G$2,0,IF((AS$6-$G$3)&lt;1,0,IFERROR(LOOKUP(2,1/('Arroz irrigado'!$E26:INDEX('Arroz irrigado'!$E26:$Z26,MIN(AS$6-$G$3,22))&lt;&gt;""),'Arroz irrigado'!$E26:INDEX('Arroz irrigado'!$E26:$Z26,MIN(AS$6-$G$3,22))),0)))))</f>
        <v>0</v>
      </c>
      <c r="AT28" s="27" t="n">
        <f aca="false">IF(COUNT('Arroz irrigado'!$E26:$Z26)=0,0,MAX(0,IF((AT$6-$E$3)&lt;1,0,IFERROR(LOOKUP(2,1/('Arroz irrigado'!$E26:INDEX('Arroz irrigado'!$E26:$Z26,MIN(AT$6-$E$3,22))&lt;&gt;""),'Arroz irrigado'!$E26:INDEX('Arroz irrigado'!$E26:$Z26,MIN(AT$6-$E$3,22))),0))-IF($G$2,0,IF((AT$6-$G$3)&lt;1,0,IFERROR(LOOKUP(2,1/('Arroz irrigado'!$E26:INDEX('Arroz irrigado'!$E26:$Z26,MIN(AT$6-$G$3,22))&lt;&gt;""),'Arroz irrigado'!$E26:INDEX('Arroz irrigado'!$E26:$Z26,MIN(AT$6-$G$3,22))),0)))))</f>
        <v>0</v>
      </c>
      <c r="AU28" s="27" t="n">
        <f aca="false">IF(COUNT('Arroz irrigado'!$E26:$Z26)=0,0,MAX(0,IF((AU$6-$E$3)&lt;1,0,IFERROR(LOOKUP(2,1/('Arroz irrigado'!$E26:INDEX('Arroz irrigado'!$E26:$Z26,MIN(AU$6-$E$3,22))&lt;&gt;""),'Arroz irrigado'!$E26:INDEX('Arroz irrigado'!$E26:$Z26,MIN(AU$6-$E$3,22))),0))-IF($G$2,0,IF((AU$6-$G$3)&lt;1,0,IFERROR(LOOKUP(2,1/('Arroz irrigado'!$E26:INDEX('Arroz irrigado'!$E26:$Z26,MIN(AU$6-$G$3,22))&lt;&gt;""),'Arroz irrigado'!$E26:INDEX('Arroz irrigado'!$E26:$Z26,MIN(AU$6-$G$3,22))),0)))))</f>
        <v>0</v>
      </c>
      <c r="AV28" s="27" t="n">
        <f aca="false">IF(COUNT('Arroz irrigado'!$E26:$Z26)=0,0,MAX(0,IF((AV$6-$E$3)&lt;1,0,IFERROR(LOOKUP(2,1/('Arroz irrigado'!$E26:INDEX('Arroz irrigado'!$E26:$Z26,MIN(AV$6-$E$3,22))&lt;&gt;""),'Arroz irrigado'!$E26:INDEX('Arroz irrigado'!$E26:$Z26,MIN(AV$6-$E$3,22))),0))-IF($G$2,0,IF((AV$6-$G$3)&lt;1,0,IFERROR(LOOKUP(2,1/('Arroz irrigado'!$E26:INDEX('Arroz irrigado'!$E26:$Z26,MIN(AV$6-$G$3,22))&lt;&gt;""),'Arroz irrigado'!$E26:INDEX('Arroz irrigado'!$E26:$Z26,MIN(AV$6-$G$3,22))),0)))))</f>
        <v>0</v>
      </c>
      <c r="AW28" s="27" t="n">
        <f aca="false">IF(COUNT('Arroz irrigado'!$E26:$Z26)=0,0,MAX(0,IF((AW$6-$E$3)&lt;1,0,IFERROR(LOOKUP(2,1/('Arroz irrigado'!$E26:INDEX('Arroz irrigado'!$E26:$Z26,MIN(AW$6-$E$3,22))&lt;&gt;""),'Arroz irrigado'!$E26:INDEX('Arroz irrigado'!$E26:$Z26,MIN(AW$6-$E$3,22))),0))-IF($G$2,0,IF((AW$6-$G$3)&lt;1,0,IFERROR(LOOKUP(2,1/('Arroz irrigado'!$E26:INDEX('Arroz irrigado'!$E26:$Z26,MIN(AW$6-$G$3,22))&lt;&gt;""),'Arroz irrigado'!$E26:INDEX('Arroz irrigado'!$E26:$Z26,MIN(AW$6-$G$3,22))),0)))))</f>
        <v>0</v>
      </c>
      <c r="AX28" s="27" t="n">
        <f aca="false">IF(COUNT('Arroz irrigado'!$E26:$Z26)=0,0,MAX(0,IF((AX$6-$E$3)&lt;1,0,IFERROR(LOOKUP(2,1/('Arroz irrigado'!$E26:INDEX('Arroz irrigado'!$E26:$Z26,MIN(AX$6-$E$3,22))&lt;&gt;""),'Arroz irrigado'!$E26:INDEX('Arroz irrigado'!$E26:$Z26,MIN(AX$6-$E$3,22))),0))-IF($G$2,0,IF((AX$6-$G$3)&lt;1,0,IFERROR(LOOKUP(2,1/('Arroz irrigado'!$E26:INDEX('Arroz irrigado'!$E26:$Z26,MIN(AX$6-$G$3,22))&lt;&gt;""),'Arroz irrigado'!$E26:INDEX('Arroz irrigado'!$E26:$Z26,MIN(AX$6-$G$3,22))),0)))))</f>
        <v>0</v>
      </c>
      <c r="AY28" s="27" t="n">
        <f aca="false">IF(COUNT('Arroz irrigado'!$E26:$Z26)=0,0,MAX(0,IF((AY$6-$E$3)&lt;1,0,IFERROR(LOOKUP(2,1/('Arroz irrigado'!$E26:INDEX('Arroz irrigado'!$E26:$Z26,MIN(AY$6-$E$3,22))&lt;&gt;""),'Arroz irrigado'!$E26:INDEX('Arroz irrigado'!$E26:$Z26,MIN(AY$6-$E$3,22))),0))-IF($G$2,0,IF((AY$6-$G$3)&lt;1,0,IFERROR(LOOKUP(2,1/('Arroz irrigado'!$E26:INDEX('Arroz irrigado'!$E26:$Z26,MIN(AY$6-$G$3,22))&lt;&gt;""),'Arroz irrigado'!$E26:INDEX('Arroz irrigado'!$E26:$Z26,MIN(AY$6-$G$3,22))),0)))))</f>
        <v>0</v>
      </c>
      <c r="AZ28" s="27" t="n">
        <f aca="false">IF(COUNT('Arroz irrigado'!$E26:$Z26)=0,0,MAX(0,IF((AZ$6-$E$3)&lt;1,0,IFERROR(LOOKUP(2,1/('Arroz irrigado'!$E26:INDEX('Arroz irrigado'!$E26:$Z26,MIN(AZ$6-$E$3,22))&lt;&gt;""),'Arroz irrigado'!$E26:INDEX('Arroz irrigado'!$E26:$Z26,MIN(AZ$6-$E$3,22))),0))-IF($G$2,0,IF((AZ$6-$G$3)&lt;1,0,IFERROR(LOOKUP(2,1/('Arroz irrigado'!$E26:INDEX('Arroz irrigado'!$E26:$Z26,MIN(AZ$6-$G$3,22))&lt;&gt;""),'Arroz irrigado'!$E26:INDEX('Arroz irrigado'!$E26:$Z26,MIN(AZ$6-$G$3,22))),0)))))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IF(COUNT('Arroz irrigado'!$E27:$Z27)&gt;0,N('Arroz irrigado'!$D27),0)</f>
        <v>0</v>
      </c>
      <c r="E29" s="27" t="n">
        <f aca="false">IF(COUNT('Arroz irrigado'!$E27:$Z27)=0,0,MAX(0,IF((E$6-$E$3)&lt;1,0,IFERROR(LOOKUP(2,1/('Arroz irrigado'!$E27:INDEX('Arroz irrigado'!$E27:$Z27,MIN(E$6-$E$3,22))&lt;&gt;""),'Arroz irrigado'!$E27:INDEX('Arroz irrigado'!$E27:$Z27,MIN(E$6-$E$3,22))),0))-IF($G$2,0,IF((E$6-$G$3)&lt;1,0,IFERROR(LOOKUP(2,1/('Arroz irrigado'!$E27:INDEX('Arroz irrigado'!$E27:$Z27,MIN(E$6-$G$3,22))&lt;&gt;""),'Arroz irrigado'!$E27:INDEX('Arroz irrigado'!$E27:$Z27,MIN(E$6-$G$3,22))),0)))))</f>
        <v>0</v>
      </c>
      <c r="F29" s="27" t="n">
        <f aca="false">IF(COUNT('Arroz irrigado'!$E27:$Z27)=0,0,MAX(0,IF((F$6-$E$3)&lt;1,0,IFERROR(LOOKUP(2,1/('Arroz irrigado'!$E27:INDEX('Arroz irrigado'!$E27:$Z27,MIN(F$6-$E$3,22))&lt;&gt;""),'Arroz irrigado'!$E27:INDEX('Arroz irrigado'!$E27:$Z27,MIN(F$6-$E$3,22))),0))-IF($G$2,0,IF((F$6-$G$3)&lt;1,0,IFERROR(LOOKUP(2,1/('Arroz irrigado'!$E27:INDEX('Arroz irrigado'!$E27:$Z27,MIN(F$6-$G$3,22))&lt;&gt;""),'Arroz irrigado'!$E27:INDEX('Arroz irrigado'!$E27:$Z27,MIN(F$6-$G$3,22))),0)))))</f>
        <v>0</v>
      </c>
      <c r="G29" s="27" t="n">
        <f aca="false">IF(COUNT('Arroz irrigado'!$E27:$Z27)=0,0,MAX(0,IF((G$6-$E$3)&lt;1,0,IFERROR(LOOKUP(2,1/('Arroz irrigado'!$E27:INDEX('Arroz irrigado'!$E27:$Z27,MIN(G$6-$E$3,22))&lt;&gt;""),'Arroz irrigado'!$E27:INDEX('Arroz irrigado'!$E27:$Z27,MIN(G$6-$E$3,22))),0))-IF($G$2,0,IF((G$6-$G$3)&lt;1,0,IFERROR(LOOKUP(2,1/('Arroz irrigado'!$E27:INDEX('Arroz irrigado'!$E27:$Z27,MIN(G$6-$G$3,22))&lt;&gt;""),'Arroz irrigado'!$E27:INDEX('Arroz irrigado'!$E27:$Z27,MIN(G$6-$G$3,22))),0)))))</f>
        <v>0</v>
      </c>
      <c r="H29" s="27" t="n">
        <f aca="false">IF(COUNT('Arroz irrigado'!$E27:$Z27)=0,0,MAX(0,IF((H$6-$E$3)&lt;1,0,IFERROR(LOOKUP(2,1/('Arroz irrigado'!$E27:INDEX('Arroz irrigado'!$E27:$Z27,MIN(H$6-$E$3,22))&lt;&gt;""),'Arroz irrigado'!$E27:INDEX('Arroz irrigado'!$E27:$Z27,MIN(H$6-$E$3,22))),0))-IF($G$2,0,IF((H$6-$G$3)&lt;1,0,IFERROR(LOOKUP(2,1/('Arroz irrigado'!$E27:INDEX('Arroz irrigado'!$E27:$Z27,MIN(H$6-$G$3,22))&lt;&gt;""),'Arroz irrigado'!$E27:INDEX('Arroz irrigado'!$E27:$Z27,MIN(H$6-$G$3,22))),0)))))</f>
        <v>0</v>
      </c>
      <c r="I29" s="27" t="n">
        <f aca="false">IF(COUNT('Arroz irrigado'!$E27:$Z27)=0,0,MAX(0,IF((I$6-$E$3)&lt;1,0,IFERROR(LOOKUP(2,1/('Arroz irrigado'!$E27:INDEX('Arroz irrigado'!$E27:$Z27,MIN(I$6-$E$3,22))&lt;&gt;""),'Arroz irrigado'!$E27:INDEX('Arroz irrigado'!$E27:$Z27,MIN(I$6-$E$3,22))),0))-IF($G$2,0,IF((I$6-$G$3)&lt;1,0,IFERROR(LOOKUP(2,1/('Arroz irrigado'!$E27:INDEX('Arroz irrigado'!$E27:$Z27,MIN(I$6-$G$3,22))&lt;&gt;""),'Arroz irrigado'!$E27:INDEX('Arroz irrigado'!$E27:$Z27,MIN(I$6-$G$3,22))),0)))))</f>
        <v>0</v>
      </c>
      <c r="J29" s="27" t="n">
        <f aca="false">IF(COUNT('Arroz irrigado'!$E27:$Z27)=0,0,MAX(0,IF((J$6-$E$3)&lt;1,0,IFERROR(LOOKUP(2,1/('Arroz irrigado'!$E27:INDEX('Arroz irrigado'!$E27:$Z27,MIN(J$6-$E$3,22))&lt;&gt;""),'Arroz irrigado'!$E27:INDEX('Arroz irrigado'!$E27:$Z27,MIN(J$6-$E$3,22))),0))-IF($G$2,0,IF((J$6-$G$3)&lt;1,0,IFERROR(LOOKUP(2,1/('Arroz irrigado'!$E27:INDEX('Arroz irrigado'!$E27:$Z27,MIN(J$6-$G$3,22))&lt;&gt;""),'Arroz irrigado'!$E27:INDEX('Arroz irrigado'!$E27:$Z27,MIN(J$6-$G$3,22))),0)))))</f>
        <v>0</v>
      </c>
      <c r="K29" s="27" t="n">
        <f aca="false">IF(COUNT('Arroz irrigado'!$E27:$Z27)=0,0,MAX(0,IF((K$6-$E$3)&lt;1,0,IFERROR(LOOKUP(2,1/('Arroz irrigado'!$E27:INDEX('Arroz irrigado'!$E27:$Z27,MIN(K$6-$E$3,22))&lt;&gt;""),'Arroz irrigado'!$E27:INDEX('Arroz irrigado'!$E27:$Z27,MIN(K$6-$E$3,22))),0))-IF($G$2,0,IF((K$6-$G$3)&lt;1,0,IFERROR(LOOKUP(2,1/('Arroz irrigado'!$E27:INDEX('Arroz irrigado'!$E27:$Z27,MIN(K$6-$G$3,22))&lt;&gt;""),'Arroz irrigado'!$E27:INDEX('Arroz irrigado'!$E27:$Z27,MIN(K$6-$G$3,22))),0)))))</f>
        <v>0</v>
      </c>
      <c r="L29" s="27" t="n">
        <f aca="false">IF(COUNT('Arroz irrigado'!$E27:$Z27)=0,0,MAX(0,IF((L$6-$E$3)&lt;1,0,IFERROR(LOOKUP(2,1/('Arroz irrigado'!$E27:INDEX('Arroz irrigado'!$E27:$Z27,MIN(L$6-$E$3,22))&lt;&gt;""),'Arroz irrigado'!$E27:INDEX('Arroz irrigado'!$E27:$Z27,MIN(L$6-$E$3,22))),0))-IF($G$2,0,IF((L$6-$G$3)&lt;1,0,IFERROR(LOOKUP(2,1/('Arroz irrigado'!$E27:INDEX('Arroz irrigado'!$E27:$Z27,MIN(L$6-$G$3,22))&lt;&gt;""),'Arroz irrigado'!$E27:INDEX('Arroz irrigado'!$E27:$Z27,MIN(L$6-$G$3,22))),0)))))</f>
        <v>0</v>
      </c>
      <c r="M29" s="27" t="n">
        <f aca="false">IF(COUNT('Arroz irrigado'!$E27:$Z27)=0,0,MAX(0,IF((M$6-$E$3)&lt;1,0,IFERROR(LOOKUP(2,1/('Arroz irrigado'!$E27:INDEX('Arroz irrigado'!$E27:$Z27,MIN(M$6-$E$3,22))&lt;&gt;""),'Arroz irrigado'!$E27:INDEX('Arroz irrigado'!$E27:$Z27,MIN(M$6-$E$3,22))),0))-IF($G$2,0,IF((M$6-$G$3)&lt;1,0,IFERROR(LOOKUP(2,1/('Arroz irrigado'!$E27:INDEX('Arroz irrigado'!$E27:$Z27,MIN(M$6-$G$3,22))&lt;&gt;""),'Arroz irrigado'!$E27:INDEX('Arroz irrigado'!$E27:$Z27,MIN(M$6-$G$3,22))),0)))))</f>
        <v>0</v>
      </c>
      <c r="N29" s="27" t="n">
        <f aca="false">IF(COUNT('Arroz irrigado'!$E27:$Z27)=0,0,MAX(0,IF((N$6-$E$3)&lt;1,0,IFERROR(LOOKUP(2,1/('Arroz irrigado'!$E27:INDEX('Arroz irrigado'!$E27:$Z27,MIN(N$6-$E$3,22))&lt;&gt;""),'Arroz irrigado'!$E27:INDEX('Arroz irrigado'!$E27:$Z27,MIN(N$6-$E$3,22))),0))-IF($G$2,0,IF((N$6-$G$3)&lt;1,0,IFERROR(LOOKUP(2,1/('Arroz irrigado'!$E27:INDEX('Arroz irrigado'!$E27:$Z27,MIN(N$6-$G$3,22))&lt;&gt;""),'Arroz irrigado'!$E27:INDEX('Arroz irrigado'!$E27:$Z27,MIN(N$6-$G$3,22))),0)))))</f>
        <v>0</v>
      </c>
      <c r="O29" s="27" t="n">
        <f aca="false">IF(COUNT('Arroz irrigado'!$E27:$Z27)=0,0,MAX(0,IF((O$6-$E$3)&lt;1,0,IFERROR(LOOKUP(2,1/('Arroz irrigado'!$E27:INDEX('Arroz irrigado'!$E27:$Z27,MIN(O$6-$E$3,22))&lt;&gt;""),'Arroz irrigado'!$E27:INDEX('Arroz irrigado'!$E27:$Z27,MIN(O$6-$E$3,22))),0))-IF($G$2,0,IF((O$6-$G$3)&lt;1,0,IFERROR(LOOKUP(2,1/('Arroz irrigado'!$E27:INDEX('Arroz irrigado'!$E27:$Z27,MIN(O$6-$G$3,22))&lt;&gt;""),'Arroz irrigado'!$E27:INDEX('Arroz irrigado'!$E27:$Z27,MIN(O$6-$G$3,22))),0)))))</f>
        <v>0</v>
      </c>
      <c r="P29" s="27" t="n">
        <f aca="false">IF(COUNT('Arroz irrigado'!$E27:$Z27)=0,0,MAX(0,IF((P$6-$E$3)&lt;1,0,IFERROR(LOOKUP(2,1/('Arroz irrigado'!$E27:INDEX('Arroz irrigado'!$E27:$Z27,MIN(P$6-$E$3,22))&lt;&gt;""),'Arroz irrigado'!$E27:INDEX('Arroz irrigado'!$E27:$Z27,MIN(P$6-$E$3,22))),0))-IF($G$2,0,IF((P$6-$G$3)&lt;1,0,IFERROR(LOOKUP(2,1/('Arroz irrigado'!$E27:INDEX('Arroz irrigado'!$E27:$Z27,MIN(P$6-$G$3,22))&lt;&gt;""),'Arroz irrigado'!$E27:INDEX('Arroz irrigado'!$E27:$Z27,MIN(P$6-$G$3,22))),0)))))</f>
        <v>0</v>
      </c>
      <c r="Q29" s="27" t="n">
        <f aca="false">IF(COUNT('Arroz irrigado'!$E27:$Z27)=0,0,MAX(0,IF((Q$6-$E$3)&lt;1,0,IFERROR(LOOKUP(2,1/('Arroz irrigado'!$E27:INDEX('Arroz irrigado'!$E27:$Z27,MIN(Q$6-$E$3,22))&lt;&gt;""),'Arroz irrigado'!$E27:INDEX('Arroz irrigado'!$E27:$Z27,MIN(Q$6-$E$3,22))),0))-IF($G$2,0,IF((Q$6-$G$3)&lt;1,0,IFERROR(LOOKUP(2,1/('Arroz irrigado'!$E27:INDEX('Arroz irrigado'!$E27:$Z27,MIN(Q$6-$G$3,22))&lt;&gt;""),'Arroz irrigado'!$E27:INDEX('Arroz irrigado'!$E27:$Z27,MIN(Q$6-$G$3,22))),0)))))</f>
        <v>0</v>
      </c>
      <c r="R29" s="27" t="n">
        <f aca="false">IF(COUNT('Arroz irrigado'!$E27:$Z27)=0,0,MAX(0,IF((R$6-$E$3)&lt;1,0,IFERROR(LOOKUP(2,1/('Arroz irrigado'!$E27:INDEX('Arroz irrigado'!$E27:$Z27,MIN(R$6-$E$3,22))&lt;&gt;""),'Arroz irrigado'!$E27:INDEX('Arroz irrigado'!$E27:$Z27,MIN(R$6-$E$3,22))),0))-IF($G$2,0,IF((R$6-$G$3)&lt;1,0,IFERROR(LOOKUP(2,1/('Arroz irrigado'!$E27:INDEX('Arroz irrigado'!$E27:$Z27,MIN(R$6-$G$3,22))&lt;&gt;""),'Arroz irrigado'!$E27:INDEX('Arroz irrigado'!$E27:$Z27,MIN(R$6-$G$3,22))),0)))))</f>
        <v>0</v>
      </c>
      <c r="S29" s="27" t="n">
        <f aca="false">IF(COUNT('Arroz irrigado'!$E27:$Z27)=0,0,MAX(0,IF((S$6-$E$3)&lt;1,0,IFERROR(LOOKUP(2,1/('Arroz irrigado'!$E27:INDEX('Arroz irrigado'!$E27:$Z27,MIN(S$6-$E$3,22))&lt;&gt;""),'Arroz irrigado'!$E27:INDEX('Arroz irrigado'!$E27:$Z27,MIN(S$6-$E$3,22))),0))-IF($G$2,0,IF((S$6-$G$3)&lt;1,0,IFERROR(LOOKUP(2,1/('Arroz irrigado'!$E27:INDEX('Arroz irrigado'!$E27:$Z27,MIN(S$6-$G$3,22))&lt;&gt;""),'Arroz irrigado'!$E27:INDEX('Arroz irrigado'!$E27:$Z27,MIN(S$6-$G$3,22))),0)))))</f>
        <v>0</v>
      </c>
      <c r="T29" s="27" t="n">
        <f aca="false">IF(COUNT('Arroz irrigado'!$E27:$Z27)=0,0,MAX(0,IF((T$6-$E$3)&lt;1,0,IFERROR(LOOKUP(2,1/('Arroz irrigado'!$E27:INDEX('Arroz irrigado'!$E27:$Z27,MIN(T$6-$E$3,22))&lt;&gt;""),'Arroz irrigado'!$E27:INDEX('Arroz irrigado'!$E27:$Z27,MIN(T$6-$E$3,22))),0))-IF($G$2,0,IF((T$6-$G$3)&lt;1,0,IFERROR(LOOKUP(2,1/('Arroz irrigado'!$E27:INDEX('Arroz irrigado'!$E27:$Z27,MIN(T$6-$G$3,22))&lt;&gt;""),'Arroz irrigado'!$E27:INDEX('Arroz irrigado'!$E27:$Z27,MIN(T$6-$G$3,22))),0)))))</f>
        <v>0</v>
      </c>
      <c r="U29" s="27" t="n">
        <f aca="false">IF(COUNT('Arroz irrigado'!$E27:$Z27)=0,0,MAX(0,IF((U$6-$E$3)&lt;1,0,IFERROR(LOOKUP(2,1/('Arroz irrigado'!$E27:INDEX('Arroz irrigado'!$E27:$Z27,MIN(U$6-$E$3,22))&lt;&gt;""),'Arroz irrigado'!$E27:INDEX('Arroz irrigado'!$E27:$Z27,MIN(U$6-$E$3,22))),0))-IF($G$2,0,IF((U$6-$G$3)&lt;1,0,IFERROR(LOOKUP(2,1/('Arroz irrigado'!$E27:INDEX('Arroz irrigado'!$E27:$Z27,MIN(U$6-$G$3,22))&lt;&gt;""),'Arroz irrigado'!$E27:INDEX('Arroz irrigado'!$E27:$Z27,MIN(U$6-$G$3,22))),0)))))</f>
        <v>0</v>
      </c>
      <c r="V29" s="27" t="n">
        <f aca="false">IF(COUNT('Arroz irrigado'!$E27:$Z27)=0,0,MAX(0,IF((V$6-$E$3)&lt;1,0,IFERROR(LOOKUP(2,1/('Arroz irrigado'!$E27:INDEX('Arroz irrigado'!$E27:$Z27,MIN(V$6-$E$3,22))&lt;&gt;""),'Arroz irrigado'!$E27:INDEX('Arroz irrigado'!$E27:$Z27,MIN(V$6-$E$3,22))),0))-IF($G$2,0,IF((V$6-$G$3)&lt;1,0,IFERROR(LOOKUP(2,1/('Arroz irrigado'!$E27:INDEX('Arroz irrigado'!$E27:$Z27,MIN(V$6-$G$3,22))&lt;&gt;""),'Arroz irrigado'!$E27:INDEX('Arroz irrigado'!$E27:$Z27,MIN(V$6-$G$3,22))),0)))))</f>
        <v>0</v>
      </c>
      <c r="W29" s="27" t="n">
        <f aca="false">IF(COUNT('Arroz irrigado'!$E27:$Z27)=0,0,MAX(0,IF((W$6-$E$3)&lt;1,0,IFERROR(LOOKUP(2,1/('Arroz irrigado'!$E27:INDEX('Arroz irrigado'!$E27:$Z27,MIN(W$6-$E$3,22))&lt;&gt;""),'Arroz irrigado'!$E27:INDEX('Arroz irrigado'!$E27:$Z27,MIN(W$6-$E$3,22))),0))-IF($G$2,0,IF((W$6-$G$3)&lt;1,0,IFERROR(LOOKUP(2,1/('Arroz irrigado'!$E27:INDEX('Arroz irrigado'!$E27:$Z27,MIN(W$6-$G$3,22))&lt;&gt;""),'Arroz irrigado'!$E27:INDEX('Arroz irrigado'!$E27:$Z27,MIN(W$6-$G$3,22))),0)))))</f>
        <v>0</v>
      </c>
      <c r="X29" s="27" t="n">
        <f aca="false">IF(COUNT('Arroz irrigado'!$E27:$Z27)=0,0,MAX(0,IF((X$6-$E$3)&lt;1,0,IFERROR(LOOKUP(2,1/('Arroz irrigado'!$E27:INDEX('Arroz irrigado'!$E27:$Z27,MIN(X$6-$E$3,22))&lt;&gt;""),'Arroz irrigado'!$E27:INDEX('Arroz irrigado'!$E27:$Z27,MIN(X$6-$E$3,22))),0))-IF($G$2,0,IF((X$6-$G$3)&lt;1,0,IFERROR(LOOKUP(2,1/('Arroz irrigado'!$E27:INDEX('Arroz irrigado'!$E27:$Z27,MIN(X$6-$G$3,22))&lt;&gt;""),'Arroz irrigado'!$E27:INDEX('Arroz irrigado'!$E27:$Z27,MIN(X$6-$G$3,22))),0)))))</f>
        <v>0</v>
      </c>
      <c r="Y29" s="27" t="n">
        <f aca="false">IF(COUNT('Arroz irrigado'!$E27:$Z27)=0,0,MAX(0,IF((Y$6-$E$3)&lt;1,0,IFERROR(LOOKUP(2,1/('Arroz irrigado'!$E27:INDEX('Arroz irrigado'!$E27:$Z27,MIN(Y$6-$E$3,22))&lt;&gt;""),'Arroz irrigado'!$E27:INDEX('Arroz irrigado'!$E27:$Z27,MIN(Y$6-$E$3,22))),0))-IF($G$2,0,IF((Y$6-$G$3)&lt;1,0,IFERROR(LOOKUP(2,1/('Arroz irrigado'!$E27:INDEX('Arroz irrigado'!$E27:$Z27,MIN(Y$6-$G$3,22))&lt;&gt;""),'Arroz irrigado'!$E27:INDEX('Arroz irrigado'!$E27:$Z27,MIN(Y$6-$G$3,22))),0)))))</f>
        <v>0</v>
      </c>
      <c r="Z29" s="27" t="n">
        <f aca="false">IF(COUNT('Arroz irrigado'!$E27:$Z27)=0,0,MAX(0,IF((Z$6-$E$3)&lt;1,0,IFERROR(LOOKUP(2,1/('Arroz irrigado'!$E27:INDEX('Arroz irrigado'!$E27:$Z27,MIN(Z$6-$E$3,22))&lt;&gt;""),'Arroz irrigado'!$E27:INDEX('Arroz irrigado'!$E27:$Z27,MIN(Z$6-$E$3,22))),0))-IF($G$2,0,IF((Z$6-$G$3)&lt;1,0,IFERROR(LOOKUP(2,1/('Arroz irrigado'!$E27:INDEX('Arroz irrigado'!$E27:$Z27,MIN(Z$6-$G$3,22))&lt;&gt;""),'Arroz irrigado'!$E27:INDEX('Arroz irrigado'!$E27:$Z27,MIN(Z$6-$G$3,22))),0)))))</f>
        <v>0</v>
      </c>
      <c r="AA29" s="27" t="n">
        <f aca="false">IF(COUNT('Arroz irrigado'!$E27:$Z27)=0,0,MAX(0,IF((AA$6-$E$3)&lt;1,0,IFERROR(LOOKUP(2,1/('Arroz irrigado'!$E27:INDEX('Arroz irrigado'!$E27:$Z27,MIN(AA$6-$E$3,22))&lt;&gt;""),'Arroz irrigado'!$E27:INDEX('Arroz irrigado'!$E27:$Z27,MIN(AA$6-$E$3,22))),0))-IF($G$2,0,IF((AA$6-$G$3)&lt;1,0,IFERROR(LOOKUP(2,1/('Arroz irrigado'!$E27:INDEX('Arroz irrigado'!$E27:$Z27,MIN(AA$6-$G$3,22))&lt;&gt;""),'Arroz irrigado'!$E27:INDEX('Arroz irrigado'!$E27:$Z27,MIN(AA$6-$G$3,22))),0)))))</f>
        <v>0</v>
      </c>
      <c r="AB29" s="27" t="n">
        <f aca="false">IF(COUNT('Arroz irrigado'!$E27:$Z27)=0,0,MAX(0,IF((AB$6-$E$3)&lt;1,0,IFERROR(LOOKUP(2,1/('Arroz irrigado'!$E27:INDEX('Arroz irrigado'!$E27:$Z27,MIN(AB$6-$E$3,22))&lt;&gt;""),'Arroz irrigado'!$E27:INDEX('Arroz irrigado'!$E27:$Z27,MIN(AB$6-$E$3,22))),0))-IF($G$2,0,IF((AB$6-$G$3)&lt;1,0,IFERROR(LOOKUP(2,1/('Arroz irrigado'!$E27:INDEX('Arroz irrigado'!$E27:$Z27,MIN(AB$6-$G$3,22))&lt;&gt;""),'Arroz irrigado'!$E27:INDEX('Arroz irrigado'!$E27:$Z27,MIN(AB$6-$G$3,22))),0)))))</f>
        <v>0</v>
      </c>
      <c r="AC29" s="27" t="n">
        <f aca="false">IF(COUNT('Arroz irrigado'!$E27:$Z27)=0,0,MAX(0,IF((AC$6-$E$3)&lt;1,0,IFERROR(LOOKUP(2,1/('Arroz irrigado'!$E27:INDEX('Arroz irrigado'!$E27:$Z27,MIN(AC$6-$E$3,22))&lt;&gt;""),'Arroz irrigado'!$E27:INDEX('Arroz irrigado'!$E27:$Z27,MIN(AC$6-$E$3,22))),0))-IF($G$2,0,IF((AC$6-$G$3)&lt;1,0,IFERROR(LOOKUP(2,1/('Arroz irrigado'!$E27:INDEX('Arroz irrigado'!$E27:$Z27,MIN(AC$6-$G$3,22))&lt;&gt;""),'Arroz irrigado'!$E27:INDEX('Arroz irrigado'!$E27:$Z27,MIN(AC$6-$G$3,22))),0)))))</f>
        <v>0</v>
      </c>
      <c r="AD29" s="27" t="n">
        <f aca="false">IF(COUNT('Arroz irrigado'!$E27:$Z27)=0,0,MAX(0,IF((AD$6-$E$3)&lt;1,0,IFERROR(LOOKUP(2,1/('Arroz irrigado'!$E27:INDEX('Arroz irrigado'!$E27:$Z27,MIN(AD$6-$E$3,22))&lt;&gt;""),'Arroz irrigado'!$E27:INDEX('Arroz irrigado'!$E27:$Z27,MIN(AD$6-$E$3,22))),0))-IF($G$2,0,IF((AD$6-$G$3)&lt;1,0,IFERROR(LOOKUP(2,1/('Arroz irrigado'!$E27:INDEX('Arroz irrigado'!$E27:$Z27,MIN(AD$6-$G$3,22))&lt;&gt;""),'Arroz irrigado'!$E27:INDEX('Arroz irrigado'!$E27:$Z27,MIN(AD$6-$G$3,22))),0)))))</f>
        <v>0</v>
      </c>
      <c r="AE29" s="27" t="n">
        <f aca="false">IF(COUNT('Arroz irrigado'!$E27:$Z27)=0,0,MAX(0,IF((AE$6-$E$3)&lt;1,0,IFERROR(LOOKUP(2,1/('Arroz irrigado'!$E27:INDEX('Arroz irrigado'!$E27:$Z27,MIN(AE$6-$E$3,22))&lt;&gt;""),'Arroz irrigado'!$E27:INDEX('Arroz irrigado'!$E27:$Z27,MIN(AE$6-$E$3,22))),0))-IF($G$2,0,IF((AE$6-$G$3)&lt;1,0,IFERROR(LOOKUP(2,1/('Arroz irrigado'!$E27:INDEX('Arroz irrigado'!$E27:$Z27,MIN(AE$6-$G$3,22))&lt;&gt;""),'Arroz irrigado'!$E27:INDEX('Arroz irrigado'!$E27:$Z27,MIN(AE$6-$G$3,22))),0)))))</f>
        <v>0</v>
      </c>
      <c r="AF29" s="27" t="n">
        <f aca="false">IF(COUNT('Arroz irrigado'!$E27:$Z27)=0,0,MAX(0,IF((AF$6-$E$3)&lt;1,0,IFERROR(LOOKUP(2,1/('Arroz irrigado'!$E27:INDEX('Arroz irrigado'!$E27:$Z27,MIN(AF$6-$E$3,22))&lt;&gt;""),'Arroz irrigado'!$E27:INDEX('Arroz irrigado'!$E27:$Z27,MIN(AF$6-$E$3,22))),0))-IF($G$2,0,IF((AF$6-$G$3)&lt;1,0,IFERROR(LOOKUP(2,1/('Arroz irrigado'!$E27:INDEX('Arroz irrigado'!$E27:$Z27,MIN(AF$6-$G$3,22))&lt;&gt;""),'Arroz irrigado'!$E27:INDEX('Arroz irrigado'!$E27:$Z27,MIN(AF$6-$G$3,22))),0)))))</f>
        <v>0</v>
      </c>
      <c r="AG29" s="27" t="n">
        <f aca="false">IF(COUNT('Arroz irrigado'!$E27:$Z27)=0,0,MAX(0,IF((AG$6-$E$3)&lt;1,0,IFERROR(LOOKUP(2,1/('Arroz irrigado'!$E27:INDEX('Arroz irrigado'!$E27:$Z27,MIN(AG$6-$E$3,22))&lt;&gt;""),'Arroz irrigado'!$E27:INDEX('Arroz irrigado'!$E27:$Z27,MIN(AG$6-$E$3,22))),0))-IF($G$2,0,IF((AG$6-$G$3)&lt;1,0,IFERROR(LOOKUP(2,1/('Arroz irrigado'!$E27:INDEX('Arroz irrigado'!$E27:$Z27,MIN(AG$6-$G$3,22))&lt;&gt;""),'Arroz irrigado'!$E27:INDEX('Arroz irrigado'!$E27:$Z27,MIN(AG$6-$G$3,22))),0)))))</f>
        <v>0</v>
      </c>
      <c r="AH29" s="27" t="n">
        <f aca="false">IF(COUNT('Arroz irrigado'!$E27:$Z27)=0,0,MAX(0,IF((AH$6-$E$3)&lt;1,0,IFERROR(LOOKUP(2,1/('Arroz irrigado'!$E27:INDEX('Arroz irrigado'!$E27:$Z27,MIN(AH$6-$E$3,22))&lt;&gt;""),'Arroz irrigado'!$E27:INDEX('Arroz irrigado'!$E27:$Z27,MIN(AH$6-$E$3,22))),0))-IF($G$2,0,IF((AH$6-$G$3)&lt;1,0,IFERROR(LOOKUP(2,1/('Arroz irrigado'!$E27:INDEX('Arroz irrigado'!$E27:$Z27,MIN(AH$6-$G$3,22))&lt;&gt;""),'Arroz irrigado'!$E27:INDEX('Arroz irrigado'!$E27:$Z27,MIN(AH$6-$G$3,22))),0)))))</f>
        <v>0</v>
      </c>
      <c r="AI29" s="27" t="n">
        <f aca="false">IF(COUNT('Arroz irrigado'!$E27:$Z27)=0,0,MAX(0,IF((AI$6-$E$3)&lt;1,0,IFERROR(LOOKUP(2,1/('Arroz irrigado'!$E27:INDEX('Arroz irrigado'!$E27:$Z27,MIN(AI$6-$E$3,22))&lt;&gt;""),'Arroz irrigado'!$E27:INDEX('Arroz irrigado'!$E27:$Z27,MIN(AI$6-$E$3,22))),0))-IF($G$2,0,IF((AI$6-$G$3)&lt;1,0,IFERROR(LOOKUP(2,1/('Arroz irrigado'!$E27:INDEX('Arroz irrigado'!$E27:$Z27,MIN(AI$6-$G$3,22))&lt;&gt;""),'Arroz irrigado'!$E27:INDEX('Arroz irrigado'!$E27:$Z27,MIN(AI$6-$G$3,22))),0)))))</f>
        <v>0</v>
      </c>
      <c r="AJ29" s="27" t="n">
        <f aca="false">IF(COUNT('Arroz irrigado'!$E27:$Z27)=0,0,MAX(0,IF((AJ$6-$E$3)&lt;1,0,IFERROR(LOOKUP(2,1/('Arroz irrigado'!$E27:INDEX('Arroz irrigado'!$E27:$Z27,MIN(AJ$6-$E$3,22))&lt;&gt;""),'Arroz irrigado'!$E27:INDEX('Arroz irrigado'!$E27:$Z27,MIN(AJ$6-$E$3,22))),0))-IF($G$2,0,IF((AJ$6-$G$3)&lt;1,0,IFERROR(LOOKUP(2,1/('Arroz irrigado'!$E27:INDEX('Arroz irrigado'!$E27:$Z27,MIN(AJ$6-$G$3,22))&lt;&gt;""),'Arroz irrigado'!$E27:INDEX('Arroz irrigado'!$E27:$Z27,MIN(AJ$6-$G$3,22))),0)))))</f>
        <v>0</v>
      </c>
      <c r="AK29" s="27" t="n">
        <f aca="false">IF(COUNT('Arroz irrigado'!$E27:$Z27)=0,0,MAX(0,IF((AK$6-$E$3)&lt;1,0,IFERROR(LOOKUP(2,1/('Arroz irrigado'!$E27:INDEX('Arroz irrigado'!$E27:$Z27,MIN(AK$6-$E$3,22))&lt;&gt;""),'Arroz irrigado'!$E27:INDEX('Arroz irrigado'!$E27:$Z27,MIN(AK$6-$E$3,22))),0))-IF($G$2,0,IF((AK$6-$G$3)&lt;1,0,IFERROR(LOOKUP(2,1/('Arroz irrigado'!$E27:INDEX('Arroz irrigado'!$E27:$Z27,MIN(AK$6-$G$3,22))&lt;&gt;""),'Arroz irrigado'!$E27:INDEX('Arroz irrigado'!$E27:$Z27,MIN(AK$6-$G$3,22))),0)))))</f>
        <v>0</v>
      </c>
      <c r="AL29" s="27" t="n">
        <f aca="false">IF(COUNT('Arroz irrigado'!$E27:$Z27)=0,0,MAX(0,IF((AL$6-$E$3)&lt;1,0,IFERROR(LOOKUP(2,1/('Arroz irrigado'!$E27:INDEX('Arroz irrigado'!$E27:$Z27,MIN(AL$6-$E$3,22))&lt;&gt;""),'Arroz irrigado'!$E27:INDEX('Arroz irrigado'!$E27:$Z27,MIN(AL$6-$E$3,22))),0))-IF($G$2,0,IF((AL$6-$G$3)&lt;1,0,IFERROR(LOOKUP(2,1/('Arroz irrigado'!$E27:INDEX('Arroz irrigado'!$E27:$Z27,MIN(AL$6-$G$3,22))&lt;&gt;""),'Arroz irrigado'!$E27:INDEX('Arroz irrigado'!$E27:$Z27,MIN(AL$6-$G$3,22))),0)))))</f>
        <v>0</v>
      </c>
      <c r="AM29" s="27" t="n">
        <f aca="false">IF(COUNT('Arroz irrigado'!$E27:$Z27)=0,0,MAX(0,IF((AM$6-$E$3)&lt;1,0,IFERROR(LOOKUP(2,1/('Arroz irrigado'!$E27:INDEX('Arroz irrigado'!$E27:$Z27,MIN(AM$6-$E$3,22))&lt;&gt;""),'Arroz irrigado'!$E27:INDEX('Arroz irrigado'!$E27:$Z27,MIN(AM$6-$E$3,22))),0))-IF($G$2,0,IF((AM$6-$G$3)&lt;1,0,IFERROR(LOOKUP(2,1/('Arroz irrigado'!$E27:INDEX('Arroz irrigado'!$E27:$Z27,MIN(AM$6-$G$3,22))&lt;&gt;""),'Arroz irrigado'!$E27:INDEX('Arroz irrigado'!$E27:$Z27,MIN(AM$6-$G$3,22))),0)))))</f>
        <v>0</v>
      </c>
      <c r="AN29" s="27" t="n">
        <f aca="false">IF(COUNT('Arroz irrigado'!$E27:$Z27)=0,0,MAX(0,IF((AN$6-$E$3)&lt;1,0,IFERROR(LOOKUP(2,1/('Arroz irrigado'!$E27:INDEX('Arroz irrigado'!$E27:$Z27,MIN(AN$6-$E$3,22))&lt;&gt;""),'Arroz irrigado'!$E27:INDEX('Arroz irrigado'!$E27:$Z27,MIN(AN$6-$E$3,22))),0))-IF($G$2,0,IF((AN$6-$G$3)&lt;1,0,IFERROR(LOOKUP(2,1/('Arroz irrigado'!$E27:INDEX('Arroz irrigado'!$E27:$Z27,MIN(AN$6-$G$3,22))&lt;&gt;""),'Arroz irrigado'!$E27:INDEX('Arroz irrigado'!$E27:$Z27,MIN(AN$6-$G$3,22))),0)))))</f>
        <v>0</v>
      </c>
      <c r="AO29" s="27" t="n">
        <f aca="false">IF(COUNT('Arroz irrigado'!$E27:$Z27)=0,0,MAX(0,IF((AO$6-$E$3)&lt;1,0,IFERROR(LOOKUP(2,1/('Arroz irrigado'!$E27:INDEX('Arroz irrigado'!$E27:$Z27,MIN(AO$6-$E$3,22))&lt;&gt;""),'Arroz irrigado'!$E27:INDEX('Arroz irrigado'!$E27:$Z27,MIN(AO$6-$E$3,22))),0))-IF($G$2,0,IF((AO$6-$G$3)&lt;1,0,IFERROR(LOOKUP(2,1/('Arroz irrigado'!$E27:INDEX('Arroz irrigado'!$E27:$Z27,MIN(AO$6-$G$3,22))&lt;&gt;""),'Arroz irrigado'!$E27:INDEX('Arroz irrigado'!$E27:$Z27,MIN(AO$6-$G$3,22))),0)))))</f>
        <v>0</v>
      </c>
      <c r="AP29" s="27" t="n">
        <f aca="false">IF(COUNT('Arroz irrigado'!$E27:$Z27)=0,0,MAX(0,IF((AP$6-$E$3)&lt;1,0,IFERROR(LOOKUP(2,1/('Arroz irrigado'!$E27:INDEX('Arroz irrigado'!$E27:$Z27,MIN(AP$6-$E$3,22))&lt;&gt;""),'Arroz irrigado'!$E27:INDEX('Arroz irrigado'!$E27:$Z27,MIN(AP$6-$E$3,22))),0))-IF($G$2,0,IF((AP$6-$G$3)&lt;1,0,IFERROR(LOOKUP(2,1/('Arroz irrigado'!$E27:INDEX('Arroz irrigado'!$E27:$Z27,MIN(AP$6-$G$3,22))&lt;&gt;""),'Arroz irrigado'!$E27:INDEX('Arroz irrigado'!$E27:$Z27,MIN(AP$6-$G$3,22))),0)))))</f>
        <v>0</v>
      </c>
      <c r="AQ29" s="27" t="n">
        <f aca="false">IF(COUNT('Arroz irrigado'!$E27:$Z27)=0,0,MAX(0,IF((AQ$6-$E$3)&lt;1,0,IFERROR(LOOKUP(2,1/('Arroz irrigado'!$E27:INDEX('Arroz irrigado'!$E27:$Z27,MIN(AQ$6-$E$3,22))&lt;&gt;""),'Arroz irrigado'!$E27:INDEX('Arroz irrigado'!$E27:$Z27,MIN(AQ$6-$E$3,22))),0))-IF($G$2,0,IF((AQ$6-$G$3)&lt;1,0,IFERROR(LOOKUP(2,1/('Arroz irrigado'!$E27:INDEX('Arroz irrigado'!$E27:$Z27,MIN(AQ$6-$G$3,22))&lt;&gt;""),'Arroz irrigado'!$E27:INDEX('Arroz irrigado'!$E27:$Z27,MIN(AQ$6-$G$3,22))),0)))))</f>
        <v>0</v>
      </c>
      <c r="AR29" s="27" t="n">
        <f aca="false">IF(COUNT('Arroz irrigado'!$E27:$Z27)=0,0,MAX(0,IF((AR$6-$E$3)&lt;1,0,IFERROR(LOOKUP(2,1/('Arroz irrigado'!$E27:INDEX('Arroz irrigado'!$E27:$Z27,MIN(AR$6-$E$3,22))&lt;&gt;""),'Arroz irrigado'!$E27:INDEX('Arroz irrigado'!$E27:$Z27,MIN(AR$6-$E$3,22))),0))-IF($G$2,0,IF((AR$6-$G$3)&lt;1,0,IFERROR(LOOKUP(2,1/('Arroz irrigado'!$E27:INDEX('Arroz irrigado'!$E27:$Z27,MIN(AR$6-$G$3,22))&lt;&gt;""),'Arroz irrigado'!$E27:INDEX('Arroz irrigado'!$E27:$Z27,MIN(AR$6-$G$3,22))),0)))))</f>
        <v>0</v>
      </c>
      <c r="AS29" s="27" t="n">
        <f aca="false">IF(COUNT('Arroz irrigado'!$E27:$Z27)=0,0,MAX(0,IF((AS$6-$E$3)&lt;1,0,IFERROR(LOOKUP(2,1/('Arroz irrigado'!$E27:INDEX('Arroz irrigado'!$E27:$Z27,MIN(AS$6-$E$3,22))&lt;&gt;""),'Arroz irrigado'!$E27:INDEX('Arroz irrigado'!$E27:$Z27,MIN(AS$6-$E$3,22))),0))-IF($G$2,0,IF((AS$6-$G$3)&lt;1,0,IFERROR(LOOKUP(2,1/('Arroz irrigado'!$E27:INDEX('Arroz irrigado'!$E27:$Z27,MIN(AS$6-$G$3,22))&lt;&gt;""),'Arroz irrigado'!$E27:INDEX('Arroz irrigado'!$E27:$Z27,MIN(AS$6-$G$3,22))),0)))))</f>
        <v>0</v>
      </c>
      <c r="AT29" s="27" t="n">
        <f aca="false">IF(COUNT('Arroz irrigado'!$E27:$Z27)=0,0,MAX(0,IF((AT$6-$E$3)&lt;1,0,IFERROR(LOOKUP(2,1/('Arroz irrigado'!$E27:INDEX('Arroz irrigado'!$E27:$Z27,MIN(AT$6-$E$3,22))&lt;&gt;""),'Arroz irrigado'!$E27:INDEX('Arroz irrigado'!$E27:$Z27,MIN(AT$6-$E$3,22))),0))-IF($G$2,0,IF((AT$6-$G$3)&lt;1,0,IFERROR(LOOKUP(2,1/('Arroz irrigado'!$E27:INDEX('Arroz irrigado'!$E27:$Z27,MIN(AT$6-$G$3,22))&lt;&gt;""),'Arroz irrigado'!$E27:INDEX('Arroz irrigado'!$E27:$Z27,MIN(AT$6-$G$3,22))),0)))))</f>
        <v>0</v>
      </c>
      <c r="AU29" s="27" t="n">
        <f aca="false">IF(COUNT('Arroz irrigado'!$E27:$Z27)=0,0,MAX(0,IF((AU$6-$E$3)&lt;1,0,IFERROR(LOOKUP(2,1/('Arroz irrigado'!$E27:INDEX('Arroz irrigado'!$E27:$Z27,MIN(AU$6-$E$3,22))&lt;&gt;""),'Arroz irrigado'!$E27:INDEX('Arroz irrigado'!$E27:$Z27,MIN(AU$6-$E$3,22))),0))-IF($G$2,0,IF((AU$6-$G$3)&lt;1,0,IFERROR(LOOKUP(2,1/('Arroz irrigado'!$E27:INDEX('Arroz irrigado'!$E27:$Z27,MIN(AU$6-$G$3,22))&lt;&gt;""),'Arroz irrigado'!$E27:INDEX('Arroz irrigado'!$E27:$Z27,MIN(AU$6-$G$3,22))),0)))))</f>
        <v>0</v>
      </c>
      <c r="AV29" s="27" t="n">
        <f aca="false">IF(COUNT('Arroz irrigado'!$E27:$Z27)=0,0,MAX(0,IF((AV$6-$E$3)&lt;1,0,IFERROR(LOOKUP(2,1/('Arroz irrigado'!$E27:INDEX('Arroz irrigado'!$E27:$Z27,MIN(AV$6-$E$3,22))&lt;&gt;""),'Arroz irrigado'!$E27:INDEX('Arroz irrigado'!$E27:$Z27,MIN(AV$6-$E$3,22))),0))-IF($G$2,0,IF((AV$6-$G$3)&lt;1,0,IFERROR(LOOKUP(2,1/('Arroz irrigado'!$E27:INDEX('Arroz irrigado'!$E27:$Z27,MIN(AV$6-$G$3,22))&lt;&gt;""),'Arroz irrigado'!$E27:INDEX('Arroz irrigado'!$E27:$Z27,MIN(AV$6-$G$3,22))),0)))))</f>
        <v>0</v>
      </c>
      <c r="AW29" s="27" t="n">
        <f aca="false">IF(COUNT('Arroz irrigado'!$E27:$Z27)=0,0,MAX(0,IF((AW$6-$E$3)&lt;1,0,IFERROR(LOOKUP(2,1/('Arroz irrigado'!$E27:INDEX('Arroz irrigado'!$E27:$Z27,MIN(AW$6-$E$3,22))&lt;&gt;""),'Arroz irrigado'!$E27:INDEX('Arroz irrigado'!$E27:$Z27,MIN(AW$6-$E$3,22))),0))-IF($G$2,0,IF((AW$6-$G$3)&lt;1,0,IFERROR(LOOKUP(2,1/('Arroz irrigado'!$E27:INDEX('Arroz irrigado'!$E27:$Z27,MIN(AW$6-$G$3,22))&lt;&gt;""),'Arroz irrigado'!$E27:INDEX('Arroz irrigado'!$E27:$Z27,MIN(AW$6-$G$3,22))),0)))))</f>
        <v>0</v>
      </c>
      <c r="AX29" s="27" t="n">
        <f aca="false">IF(COUNT('Arroz irrigado'!$E27:$Z27)=0,0,MAX(0,IF((AX$6-$E$3)&lt;1,0,IFERROR(LOOKUP(2,1/('Arroz irrigado'!$E27:INDEX('Arroz irrigado'!$E27:$Z27,MIN(AX$6-$E$3,22))&lt;&gt;""),'Arroz irrigado'!$E27:INDEX('Arroz irrigado'!$E27:$Z27,MIN(AX$6-$E$3,22))),0))-IF($G$2,0,IF((AX$6-$G$3)&lt;1,0,IFERROR(LOOKUP(2,1/('Arroz irrigado'!$E27:INDEX('Arroz irrigado'!$E27:$Z27,MIN(AX$6-$G$3,22))&lt;&gt;""),'Arroz irrigado'!$E27:INDEX('Arroz irrigado'!$E27:$Z27,MIN(AX$6-$G$3,22))),0)))))</f>
        <v>0</v>
      </c>
      <c r="AY29" s="27" t="n">
        <f aca="false">IF(COUNT('Arroz irrigado'!$E27:$Z27)=0,0,MAX(0,IF((AY$6-$E$3)&lt;1,0,IFERROR(LOOKUP(2,1/('Arroz irrigado'!$E27:INDEX('Arroz irrigado'!$E27:$Z27,MIN(AY$6-$E$3,22))&lt;&gt;""),'Arroz irrigado'!$E27:INDEX('Arroz irrigado'!$E27:$Z27,MIN(AY$6-$E$3,22))),0))-IF($G$2,0,IF((AY$6-$G$3)&lt;1,0,IFERROR(LOOKUP(2,1/('Arroz irrigado'!$E27:INDEX('Arroz irrigado'!$E27:$Z27,MIN(AY$6-$G$3,22))&lt;&gt;""),'Arroz irrigado'!$E27:INDEX('Arroz irrigado'!$E27:$Z27,MIN(AY$6-$G$3,22))),0)))))</f>
        <v>0</v>
      </c>
      <c r="AZ29" s="27" t="n">
        <f aca="false">IF(COUNT('Arroz irrigado'!$E27:$Z27)=0,0,MAX(0,IF((AZ$6-$E$3)&lt;1,0,IFERROR(LOOKUP(2,1/('Arroz irrigado'!$E27:INDEX('Arroz irrigado'!$E27:$Z27,MIN(AZ$6-$E$3,22))&lt;&gt;""),'Arroz irrigado'!$E27:INDEX('Arroz irrigado'!$E27:$Z27,MIN(AZ$6-$E$3,22))),0))-IF($G$2,0,IF((AZ$6-$G$3)&lt;1,0,IFERROR(LOOKUP(2,1/('Arroz irrigado'!$E27:INDEX('Arroz irrigado'!$E27:$Z27,MIN(AZ$6-$G$3,22))&lt;&gt;""),'Arroz irrigado'!$E27:INDEX('Arroz irrigado'!$E27:$Z27,MIN(AZ$6-$G$3,22))),0)))))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IF(COUNT('Arroz irrigado'!$E28:$Z28)&gt;0,N('Arroz irrigado'!$D28),0)</f>
        <v>0</v>
      </c>
      <c r="E30" s="27" t="n">
        <f aca="false">IF(COUNT('Arroz irrigado'!$E28:$Z28)=0,0,MAX(0,IF((E$6-$E$3)&lt;1,0,IFERROR(LOOKUP(2,1/('Arroz irrigado'!$E28:INDEX('Arroz irrigado'!$E28:$Z28,MIN(E$6-$E$3,22))&lt;&gt;""),'Arroz irrigado'!$E28:INDEX('Arroz irrigado'!$E28:$Z28,MIN(E$6-$E$3,22))),0))-IF($G$2,0,IF((E$6-$G$3)&lt;1,0,IFERROR(LOOKUP(2,1/('Arroz irrigado'!$E28:INDEX('Arroz irrigado'!$E28:$Z28,MIN(E$6-$G$3,22))&lt;&gt;""),'Arroz irrigado'!$E28:INDEX('Arroz irrigado'!$E28:$Z28,MIN(E$6-$G$3,22))),0)))))</f>
        <v>0</v>
      </c>
      <c r="F30" s="27" t="n">
        <f aca="false">IF(COUNT('Arroz irrigado'!$E28:$Z28)=0,0,MAX(0,IF((F$6-$E$3)&lt;1,0,IFERROR(LOOKUP(2,1/('Arroz irrigado'!$E28:INDEX('Arroz irrigado'!$E28:$Z28,MIN(F$6-$E$3,22))&lt;&gt;""),'Arroz irrigado'!$E28:INDEX('Arroz irrigado'!$E28:$Z28,MIN(F$6-$E$3,22))),0))-IF($G$2,0,IF((F$6-$G$3)&lt;1,0,IFERROR(LOOKUP(2,1/('Arroz irrigado'!$E28:INDEX('Arroz irrigado'!$E28:$Z28,MIN(F$6-$G$3,22))&lt;&gt;""),'Arroz irrigado'!$E28:INDEX('Arroz irrigado'!$E28:$Z28,MIN(F$6-$G$3,22))),0)))))</f>
        <v>0</v>
      </c>
      <c r="G30" s="27" t="n">
        <f aca="false">IF(COUNT('Arroz irrigado'!$E28:$Z28)=0,0,MAX(0,IF((G$6-$E$3)&lt;1,0,IFERROR(LOOKUP(2,1/('Arroz irrigado'!$E28:INDEX('Arroz irrigado'!$E28:$Z28,MIN(G$6-$E$3,22))&lt;&gt;""),'Arroz irrigado'!$E28:INDEX('Arroz irrigado'!$E28:$Z28,MIN(G$6-$E$3,22))),0))-IF($G$2,0,IF((G$6-$G$3)&lt;1,0,IFERROR(LOOKUP(2,1/('Arroz irrigado'!$E28:INDEX('Arroz irrigado'!$E28:$Z28,MIN(G$6-$G$3,22))&lt;&gt;""),'Arroz irrigado'!$E28:INDEX('Arroz irrigado'!$E28:$Z28,MIN(G$6-$G$3,22))),0)))))</f>
        <v>0</v>
      </c>
      <c r="H30" s="27" t="n">
        <f aca="false">IF(COUNT('Arroz irrigado'!$E28:$Z28)=0,0,MAX(0,IF((H$6-$E$3)&lt;1,0,IFERROR(LOOKUP(2,1/('Arroz irrigado'!$E28:INDEX('Arroz irrigado'!$E28:$Z28,MIN(H$6-$E$3,22))&lt;&gt;""),'Arroz irrigado'!$E28:INDEX('Arroz irrigado'!$E28:$Z28,MIN(H$6-$E$3,22))),0))-IF($G$2,0,IF((H$6-$G$3)&lt;1,0,IFERROR(LOOKUP(2,1/('Arroz irrigado'!$E28:INDEX('Arroz irrigado'!$E28:$Z28,MIN(H$6-$G$3,22))&lt;&gt;""),'Arroz irrigado'!$E28:INDEX('Arroz irrigado'!$E28:$Z28,MIN(H$6-$G$3,22))),0)))))</f>
        <v>0</v>
      </c>
      <c r="I30" s="27" t="n">
        <f aca="false">IF(COUNT('Arroz irrigado'!$E28:$Z28)=0,0,MAX(0,IF((I$6-$E$3)&lt;1,0,IFERROR(LOOKUP(2,1/('Arroz irrigado'!$E28:INDEX('Arroz irrigado'!$E28:$Z28,MIN(I$6-$E$3,22))&lt;&gt;""),'Arroz irrigado'!$E28:INDEX('Arroz irrigado'!$E28:$Z28,MIN(I$6-$E$3,22))),0))-IF($G$2,0,IF((I$6-$G$3)&lt;1,0,IFERROR(LOOKUP(2,1/('Arroz irrigado'!$E28:INDEX('Arroz irrigado'!$E28:$Z28,MIN(I$6-$G$3,22))&lt;&gt;""),'Arroz irrigado'!$E28:INDEX('Arroz irrigado'!$E28:$Z28,MIN(I$6-$G$3,22))),0)))))</f>
        <v>0</v>
      </c>
      <c r="J30" s="27" t="n">
        <f aca="false">IF(COUNT('Arroz irrigado'!$E28:$Z28)=0,0,MAX(0,IF((J$6-$E$3)&lt;1,0,IFERROR(LOOKUP(2,1/('Arroz irrigado'!$E28:INDEX('Arroz irrigado'!$E28:$Z28,MIN(J$6-$E$3,22))&lt;&gt;""),'Arroz irrigado'!$E28:INDEX('Arroz irrigado'!$E28:$Z28,MIN(J$6-$E$3,22))),0))-IF($G$2,0,IF((J$6-$G$3)&lt;1,0,IFERROR(LOOKUP(2,1/('Arroz irrigado'!$E28:INDEX('Arroz irrigado'!$E28:$Z28,MIN(J$6-$G$3,22))&lt;&gt;""),'Arroz irrigado'!$E28:INDEX('Arroz irrigado'!$E28:$Z28,MIN(J$6-$G$3,22))),0)))))</f>
        <v>0</v>
      </c>
      <c r="K30" s="27" t="n">
        <f aca="false">IF(COUNT('Arroz irrigado'!$E28:$Z28)=0,0,MAX(0,IF((K$6-$E$3)&lt;1,0,IFERROR(LOOKUP(2,1/('Arroz irrigado'!$E28:INDEX('Arroz irrigado'!$E28:$Z28,MIN(K$6-$E$3,22))&lt;&gt;""),'Arroz irrigado'!$E28:INDEX('Arroz irrigado'!$E28:$Z28,MIN(K$6-$E$3,22))),0))-IF($G$2,0,IF((K$6-$G$3)&lt;1,0,IFERROR(LOOKUP(2,1/('Arroz irrigado'!$E28:INDEX('Arroz irrigado'!$E28:$Z28,MIN(K$6-$G$3,22))&lt;&gt;""),'Arroz irrigado'!$E28:INDEX('Arroz irrigado'!$E28:$Z28,MIN(K$6-$G$3,22))),0)))))</f>
        <v>0</v>
      </c>
      <c r="L30" s="27" t="n">
        <f aca="false">IF(COUNT('Arroz irrigado'!$E28:$Z28)=0,0,MAX(0,IF((L$6-$E$3)&lt;1,0,IFERROR(LOOKUP(2,1/('Arroz irrigado'!$E28:INDEX('Arroz irrigado'!$E28:$Z28,MIN(L$6-$E$3,22))&lt;&gt;""),'Arroz irrigado'!$E28:INDEX('Arroz irrigado'!$E28:$Z28,MIN(L$6-$E$3,22))),0))-IF($G$2,0,IF((L$6-$G$3)&lt;1,0,IFERROR(LOOKUP(2,1/('Arroz irrigado'!$E28:INDEX('Arroz irrigado'!$E28:$Z28,MIN(L$6-$G$3,22))&lt;&gt;""),'Arroz irrigado'!$E28:INDEX('Arroz irrigado'!$E28:$Z28,MIN(L$6-$G$3,22))),0)))))</f>
        <v>0</v>
      </c>
      <c r="M30" s="27" t="n">
        <f aca="false">IF(COUNT('Arroz irrigado'!$E28:$Z28)=0,0,MAX(0,IF((M$6-$E$3)&lt;1,0,IFERROR(LOOKUP(2,1/('Arroz irrigado'!$E28:INDEX('Arroz irrigado'!$E28:$Z28,MIN(M$6-$E$3,22))&lt;&gt;""),'Arroz irrigado'!$E28:INDEX('Arroz irrigado'!$E28:$Z28,MIN(M$6-$E$3,22))),0))-IF($G$2,0,IF((M$6-$G$3)&lt;1,0,IFERROR(LOOKUP(2,1/('Arroz irrigado'!$E28:INDEX('Arroz irrigado'!$E28:$Z28,MIN(M$6-$G$3,22))&lt;&gt;""),'Arroz irrigado'!$E28:INDEX('Arroz irrigado'!$E28:$Z28,MIN(M$6-$G$3,22))),0)))))</f>
        <v>0</v>
      </c>
      <c r="N30" s="27" t="n">
        <f aca="false">IF(COUNT('Arroz irrigado'!$E28:$Z28)=0,0,MAX(0,IF((N$6-$E$3)&lt;1,0,IFERROR(LOOKUP(2,1/('Arroz irrigado'!$E28:INDEX('Arroz irrigado'!$E28:$Z28,MIN(N$6-$E$3,22))&lt;&gt;""),'Arroz irrigado'!$E28:INDEX('Arroz irrigado'!$E28:$Z28,MIN(N$6-$E$3,22))),0))-IF($G$2,0,IF((N$6-$G$3)&lt;1,0,IFERROR(LOOKUP(2,1/('Arroz irrigado'!$E28:INDEX('Arroz irrigado'!$E28:$Z28,MIN(N$6-$G$3,22))&lt;&gt;""),'Arroz irrigado'!$E28:INDEX('Arroz irrigado'!$E28:$Z28,MIN(N$6-$G$3,22))),0)))))</f>
        <v>0</v>
      </c>
      <c r="O30" s="27" t="n">
        <f aca="false">IF(COUNT('Arroz irrigado'!$E28:$Z28)=0,0,MAX(0,IF((O$6-$E$3)&lt;1,0,IFERROR(LOOKUP(2,1/('Arroz irrigado'!$E28:INDEX('Arroz irrigado'!$E28:$Z28,MIN(O$6-$E$3,22))&lt;&gt;""),'Arroz irrigado'!$E28:INDEX('Arroz irrigado'!$E28:$Z28,MIN(O$6-$E$3,22))),0))-IF($G$2,0,IF((O$6-$G$3)&lt;1,0,IFERROR(LOOKUP(2,1/('Arroz irrigado'!$E28:INDEX('Arroz irrigado'!$E28:$Z28,MIN(O$6-$G$3,22))&lt;&gt;""),'Arroz irrigado'!$E28:INDEX('Arroz irrigado'!$E28:$Z28,MIN(O$6-$G$3,22))),0)))))</f>
        <v>0</v>
      </c>
      <c r="P30" s="27" t="n">
        <f aca="false">IF(COUNT('Arroz irrigado'!$E28:$Z28)=0,0,MAX(0,IF((P$6-$E$3)&lt;1,0,IFERROR(LOOKUP(2,1/('Arroz irrigado'!$E28:INDEX('Arroz irrigado'!$E28:$Z28,MIN(P$6-$E$3,22))&lt;&gt;""),'Arroz irrigado'!$E28:INDEX('Arroz irrigado'!$E28:$Z28,MIN(P$6-$E$3,22))),0))-IF($G$2,0,IF((P$6-$G$3)&lt;1,0,IFERROR(LOOKUP(2,1/('Arroz irrigado'!$E28:INDEX('Arroz irrigado'!$E28:$Z28,MIN(P$6-$G$3,22))&lt;&gt;""),'Arroz irrigado'!$E28:INDEX('Arroz irrigado'!$E28:$Z28,MIN(P$6-$G$3,22))),0)))))</f>
        <v>0</v>
      </c>
      <c r="Q30" s="27" t="n">
        <f aca="false">IF(COUNT('Arroz irrigado'!$E28:$Z28)=0,0,MAX(0,IF((Q$6-$E$3)&lt;1,0,IFERROR(LOOKUP(2,1/('Arroz irrigado'!$E28:INDEX('Arroz irrigado'!$E28:$Z28,MIN(Q$6-$E$3,22))&lt;&gt;""),'Arroz irrigado'!$E28:INDEX('Arroz irrigado'!$E28:$Z28,MIN(Q$6-$E$3,22))),0))-IF($G$2,0,IF((Q$6-$G$3)&lt;1,0,IFERROR(LOOKUP(2,1/('Arroz irrigado'!$E28:INDEX('Arroz irrigado'!$E28:$Z28,MIN(Q$6-$G$3,22))&lt;&gt;""),'Arroz irrigado'!$E28:INDEX('Arroz irrigado'!$E28:$Z28,MIN(Q$6-$G$3,22))),0)))))</f>
        <v>0</v>
      </c>
      <c r="R30" s="27" t="n">
        <f aca="false">IF(COUNT('Arroz irrigado'!$E28:$Z28)=0,0,MAX(0,IF((R$6-$E$3)&lt;1,0,IFERROR(LOOKUP(2,1/('Arroz irrigado'!$E28:INDEX('Arroz irrigado'!$E28:$Z28,MIN(R$6-$E$3,22))&lt;&gt;""),'Arroz irrigado'!$E28:INDEX('Arroz irrigado'!$E28:$Z28,MIN(R$6-$E$3,22))),0))-IF($G$2,0,IF((R$6-$G$3)&lt;1,0,IFERROR(LOOKUP(2,1/('Arroz irrigado'!$E28:INDEX('Arroz irrigado'!$E28:$Z28,MIN(R$6-$G$3,22))&lt;&gt;""),'Arroz irrigado'!$E28:INDEX('Arroz irrigado'!$E28:$Z28,MIN(R$6-$G$3,22))),0)))))</f>
        <v>0</v>
      </c>
      <c r="S30" s="27" t="n">
        <f aca="false">IF(COUNT('Arroz irrigado'!$E28:$Z28)=0,0,MAX(0,IF((S$6-$E$3)&lt;1,0,IFERROR(LOOKUP(2,1/('Arroz irrigado'!$E28:INDEX('Arroz irrigado'!$E28:$Z28,MIN(S$6-$E$3,22))&lt;&gt;""),'Arroz irrigado'!$E28:INDEX('Arroz irrigado'!$E28:$Z28,MIN(S$6-$E$3,22))),0))-IF($G$2,0,IF((S$6-$G$3)&lt;1,0,IFERROR(LOOKUP(2,1/('Arroz irrigado'!$E28:INDEX('Arroz irrigado'!$E28:$Z28,MIN(S$6-$G$3,22))&lt;&gt;""),'Arroz irrigado'!$E28:INDEX('Arroz irrigado'!$E28:$Z28,MIN(S$6-$G$3,22))),0)))))</f>
        <v>0</v>
      </c>
      <c r="T30" s="27" t="n">
        <f aca="false">IF(COUNT('Arroz irrigado'!$E28:$Z28)=0,0,MAX(0,IF((T$6-$E$3)&lt;1,0,IFERROR(LOOKUP(2,1/('Arroz irrigado'!$E28:INDEX('Arroz irrigado'!$E28:$Z28,MIN(T$6-$E$3,22))&lt;&gt;""),'Arroz irrigado'!$E28:INDEX('Arroz irrigado'!$E28:$Z28,MIN(T$6-$E$3,22))),0))-IF($G$2,0,IF((T$6-$G$3)&lt;1,0,IFERROR(LOOKUP(2,1/('Arroz irrigado'!$E28:INDEX('Arroz irrigado'!$E28:$Z28,MIN(T$6-$G$3,22))&lt;&gt;""),'Arroz irrigado'!$E28:INDEX('Arroz irrigado'!$E28:$Z28,MIN(T$6-$G$3,22))),0)))))</f>
        <v>0</v>
      </c>
      <c r="U30" s="27" t="n">
        <f aca="false">IF(COUNT('Arroz irrigado'!$E28:$Z28)=0,0,MAX(0,IF((U$6-$E$3)&lt;1,0,IFERROR(LOOKUP(2,1/('Arroz irrigado'!$E28:INDEX('Arroz irrigado'!$E28:$Z28,MIN(U$6-$E$3,22))&lt;&gt;""),'Arroz irrigado'!$E28:INDEX('Arroz irrigado'!$E28:$Z28,MIN(U$6-$E$3,22))),0))-IF($G$2,0,IF((U$6-$G$3)&lt;1,0,IFERROR(LOOKUP(2,1/('Arroz irrigado'!$E28:INDEX('Arroz irrigado'!$E28:$Z28,MIN(U$6-$G$3,22))&lt;&gt;""),'Arroz irrigado'!$E28:INDEX('Arroz irrigado'!$E28:$Z28,MIN(U$6-$G$3,22))),0)))))</f>
        <v>0</v>
      </c>
      <c r="V30" s="27" t="n">
        <f aca="false">IF(COUNT('Arroz irrigado'!$E28:$Z28)=0,0,MAX(0,IF((V$6-$E$3)&lt;1,0,IFERROR(LOOKUP(2,1/('Arroz irrigado'!$E28:INDEX('Arroz irrigado'!$E28:$Z28,MIN(V$6-$E$3,22))&lt;&gt;""),'Arroz irrigado'!$E28:INDEX('Arroz irrigado'!$E28:$Z28,MIN(V$6-$E$3,22))),0))-IF($G$2,0,IF((V$6-$G$3)&lt;1,0,IFERROR(LOOKUP(2,1/('Arroz irrigado'!$E28:INDEX('Arroz irrigado'!$E28:$Z28,MIN(V$6-$G$3,22))&lt;&gt;""),'Arroz irrigado'!$E28:INDEX('Arroz irrigado'!$E28:$Z28,MIN(V$6-$G$3,22))),0)))))</f>
        <v>0</v>
      </c>
      <c r="W30" s="27" t="n">
        <f aca="false">IF(COUNT('Arroz irrigado'!$E28:$Z28)=0,0,MAX(0,IF((W$6-$E$3)&lt;1,0,IFERROR(LOOKUP(2,1/('Arroz irrigado'!$E28:INDEX('Arroz irrigado'!$E28:$Z28,MIN(W$6-$E$3,22))&lt;&gt;""),'Arroz irrigado'!$E28:INDEX('Arroz irrigado'!$E28:$Z28,MIN(W$6-$E$3,22))),0))-IF($G$2,0,IF((W$6-$G$3)&lt;1,0,IFERROR(LOOKUP(2,1/('Arroz irrigado'!$E28:INDEX('Arroz irrigado'!$E28:$Z28,MIN(W$6-$G$3,22))&lt;&gt;""),'Arroz irrigado'!$E28:INDEX('Arroz irrigado'!$E28:$Z28,MIN(W$6-$G$3,22))),0)))))</f>
        <v>0</v>
      </c>
      <c r="X30" s="27" t="n">
        <f aca="false">IF(COUNT('Arroz irrigado'!$E28:$Z28)=0,0,MAX(0,IF((X$6-$E$3)&lt;1,0,IFERROR(LOOKUP(2,1/('Arroz irrigado'!$E28:INDEX('Arroz irrigado'!$E28:$Z28,MIN(X$6-$E$3,22))&lt;&gt;""),'Arroz irrigado'!$E28:INDEX('Arroz irrigado'!$E28:$Z28,MIN(X$6-$E$3,22))),0))-IF($G$2,0,IF((X$6-$G$3)&lt;1,0,IFERROR(LOOKUP(2,1/('Arroz irrigado'!$E28:INDEX('Arroz irrigado'!$E28:$Z28,MIN(X$6-$G$3,22))&lt;&gt;""),'Arroz irrigado'!$E28:INDEX('Arroz irrigado'!$E28:$Z28,MIN(X$6-$G$3,22))),0)))))</f>
        <v>0</v>
      </c>
      <c r="Y30" s="27" t="n">
        <f aca="false">IF(COUNT('Arroz irrigado'!$E28:$Z28)=0,0,MAX(0,IF((Y$6-$E$3)&lt;1,0,IFERROR(LOOKUP(2,1/('Arroz irrigado'!$E28:INDEX('Arroz irrigado'!$E28:$Z28,MIN(Y$6-$E$3,22))&lt;&gt;""),'Arroz irrigado'!$E28:INDEX('Arroz irrigado'!$E28:$Z28,MIN(Y$6-$E$3,22))),0))-IF($G$2,0,IF((Y$6-$G$3)&lt;1,0,IFERROR(LOOKUP(2,1/('Arroz irrigado'!$E28:INDEX('Arroz irrigado'!$E28:$Z28,MIN(Y$6-$G$3,22))&lt;&gt;""),'Arroz irrigado'!$E28:INDEX('Arroz irrigado'!$E28:$Z28,MIN(Y$6-$G$3,22))),0)))))</f>
        <v>0</v>
      </c>
      <c r="Z30" s="27" t="n">
        <f aca="false">IF(COUNT('Arroz irrigado'!$E28:$Z28)=0,0,MAX(0,IF((Z$6-$E$3)&lt;1,0,IFERROR(LOOKUP(2,1/('Arroz irrigado'!$E28:INDEX('Arroz irrigado'!$E28:$Z28,MIN(Z$6-$E$3,22))&lt;&gt;""),'Arroz irrigado'!$E28:INDEX('Arroz irrigado'!$E28:$Z28,MIN(Z$6-$E$3,22))),0))-IF($G$2,0,IF((Z$6-$G$3)&lt;1,0,IFERROR(LOOKUP(2,1/('Arroz irrigado'!$E28:INDEX('Arroz irrigado'!$E28:$Z28,MIN(Z$6-$G$3,22))&lt;&gt;""),'Arroz irrigado'!$E28:INDEX('Arroz irrigado'!$E28:$Z28,MIN(Z$6-$G$3,22))),0)))))</f>
        <v>0</v>
      </c>
      <c r="AA30" s="27" t="n">
        <f aca="false">IF(COUNT('Arroz irrigado'!$E28:$Z28)=0,0,MAX(0,IF((AA$6-$E$3)&lt;1,0,IFERROR(LOOKUP(2,1/('Arroz irrigado'!$E28:INDEX('Arroz irrigado'!$E28:$Z28,MIN(AA$6-$E$3,22))&lt;&gt;""),'Arroz irrigado'!$E28:INDEX('Arroz irrigado'!$E28:$Z28,MIN(AA$6-$E$3,22))),0))-IF($G$2,0,IF((AA$6-$G$3)&lt;1,0,IFERROR(LOOKUP(2,1/('Arroz irrigado'!$E28:INDEX('Arroz irrigado'!$E28:$Z28,MIN(AA$6-$G$3,22))&lt;&gt;""),'Arroz irrigado'!$E28:INDEX('Arroz irrigado'!$E28:$Z28,MIN(AA$6-$G$3,22))),0)))))</f>
        <v>0</v>
      </c>
      <c r="AB30" s="27" t="n">
        <f aca="false">IF(COUNT('Arroz irrigado'!$E28:$Z28)=0,0,MAX(0,IF((AB$6-$E$3)&lt;1,0,IFERROR(LOOKUP(2,1/('Arroz irrigado'!$E28:INDEX('Arroz irrigado'!$E28:$Z28,MIN(AB$6-$E$3,22))&lt;&gt;""),'Arroz irrigado'!$E28:INDEX('Arroz irrigado'!$E28:$Z28,MIN(AB$6-$E$3,22))),0))-IF($G$2,0,IF((AB$6-$G$3)&lt;1,0,IFERROR(LOOKUP(2,1/('Arroz irrigado'!$E28:INDEX('Arroz irrigado'!$E28:$Z28,MIN(AB$6-$G$3,22))&lt;&gt;""),'Arroz irrigado'!$E28:INDEX('Arroz irrigado'!$E28:$Z28,MIN(AB$6-$G$3,22))),0)))))</f>
        <v>0</v>
      </c>
      <c r="AC30" s="27" t="n">
        <f aca="false">IF(COUNT('Arroz irrigado'!$E28:$Z28)=0,0,MAX(0,IF((AC$6-$E$3)&lt;1,0,IFERROR(LOOKUP(2,1/('Arroz irrigado'!$E28:INDEX('Arroz irrigado'!$E28:$Z28,MIN(AC$6-$E$3,22))&lt;&gt;""),'Arroz irrigado'!$E28:INDEX('Arroz irrigado'!$E28:$Z28,MIN(AC$6-$E$3,22))),0))-IF($G$2,0,IF((AC$6-$G$3)&lt;1,0,IFERROR(LOOKUP(2,1/('Arroz irrigado'!$E28:INDEX('Arroz irrigado'!$E28:$Z28,MIN(AC$6-$G$3,22))&lt;&gt;""),'Arroz irrigado'!$E28:INDEX('Arroz irrigado'!$E28:$Z28,MIN(AC$6-$G$3,22))),0)))))</f>
        <v>0</v>
      </c>
      <c r="AD30" s="27" t="n">
        <f aca="false">IF(COUNT('Arroz irrigado'!$E28:$Z28)=0,0,MAX(0,IF((AD$6-$E$3)&lt;1,0,IFERROR(LOOKUP(2,1/('Arroz irrigado'!$E28:INDEX('Arroz irrigado'!$E28:$Z28,MIN(AD$6-$E$3,22))&lt;&gt;""),'Arroz irrigado'!$E28:INDEX('Arroz irrigado'!$E28:$Z28,MIN(AD$6-$E$3,22))),0))-IF($G$2,0,IF((AD$6-$G$3)&lt;1,0,IFERROR(LOOKUP(2,1/('Arroz irrigado'!$E28:INDEX('Arroz irrigado'!$E28:$Z28,MIN(AD$6-$G$3,22))&lt;&gt;""),'Arroz irrigado'!$E28:INDEX('Arroz irrigado'!$E28:$Z28,MIN(AD$6-$G$3,22))),0)))))</f>
        <v>0</v>
      </c>
      <c r="AE30" s="27" t="n">
        <f aca="false">IF(COUNT('Arroz irrigado'!$E28:$Z28)=0,0,MAX(0,IF((AE$6-$E$3)&lt;1,0,IFERROR(LOOKUP(2,1/('Arroz irrigado'!$E28:INDEX('Arroz irrigado'!$E28:$Z28,MIN(AE$6-$E$3,22))&lt;&gt;""),'Arroz irrigado'!$E28:INDEX('Arroz irrigado'!$E28:$Z28,MIN(AE$6-$E$3,22))),0))-IF($G$2,0,IF((AE$6-$G$3)&lt;1,0,IFERROR(LOOKUP(2,1/('Arroz irrigado'!$E28:INDEX('Arroz irrigado'!$E28:$Z28,MIN(AE$6-$G$3,22))&lt;&gt;""),'Arroz irrigado'!$E28:INDEX('Arroz irrigado'!$E28:$Z28,MIN(AE$6-$G$3,22))),0)))))</f>
        <v>0</v>
      </c>
      <c r="AF30" s="27" t="n">
        <f aca="false">IF(COUNT('Arroz irrigado'!$E28:$Z28)=0,0,MAX(0,IF((AF$6-$E$3)&lt;1,0,IFERROR(LOOKUP(2,1/('Arroz irrigado'!$E28:INDEX('Arroz irrigado'!$E28:$Z28,MIN(AF$6-$E$3,22))&lt;&gt;""),'Arroz irrigado'!$E28:INDEX('Arroz irrigado'!$E28:$Z28,MIN(AF$6-$E$3,22))),0))-IF($G$2,0,IF((AF$6-$G$3)&lt;1,0,IFERROR(LOOKUP(2,1/('Arroz irrigado'!$E28:INDEX('Arroz irrigado'!$E28:$Z28,MIN(AF$6-$G$3,22))&lt;&gt;""),'Arroz irrigado'!$E28:INDEX('Arroz irrigado'!$E28:$Z28,MIN(AF$6-$G$3,22))),0)))))</f>
        <v>0</v>
      </c>
      <c r="AG30" s="27" t="n">
        <f aca="false">IF(COUNT('Arroz irrigado'!$E28:$Z28)=0,0,MAX(0,IF((AG$6-$E$3)&lt;1,0,IFERROR(LOOKUP(2,1/('Arroz irrigado'!$E28:INDEX('Arroz irrigado'!$E28:$Z28,MIN(AG$6-$E$3,22))&lt;&gt;""),'Arroz irrigado'!$E28:INDEX('Arroz irrigado'!$E28:$Z28,MIN(AG$6-$E$3,22))),0))-IF($G$2,0,IF((AG$6-$G$3)&lt;1,0,IFERROR(LOOKUP(2,1/('Arroz irrigado'!$E28:INDEX('Arroz irrigado'!$E28:$Z28,MIN(AG$6-$G$3,22))&lt;&gt;""),'Arroz irrigado'!$E28:INDEX('Arroz irrigado'!$E28:$Z28,MIN(AG$6-$G$3,22))),0)))))</f>
        <v>0</v>
      </c>
      <c r="AH30" s="27" t="n">
        <f aca="false">IF(COUNT('Arroz irrigado'!$E28:$Z28)=0,0,MAX(0,IF((AH$6-$E$3)&lt;1,0,IFERROR(LOOKUP(2,1/('Arroz irrigado'!$E28:INDEX('Arroz irrigado'!$E28:$Z28,MIN(AH$6-$E$3,22))&lt;&gt;""),'Arroz irrigado'!$E28:INDEX('Arroz irrigado'!$E28:$Z28,MIN(AH$6-$E$3,22))),0))-IF($G$2,0,IF((AH$6-$G$3)&lt;1,0,IFERROR(LOOKUP(2,1/('Arroz irrigado'!$E28:INDEX('Arroz irrigado'!$E28:$Z28,MIN(AH$6-$G$3,22))&lt;&gt;""),'Arroz irrigado'!$E28:INDEX('Arroz irrigado'!$E28:$Z28,MIN(AH$6-$G$3,22))),0)))))</f>
        <v>0</v>
      </c>
      <c r="AI30" s="27" t="n">
        <f aca="false">IF(COUNT('Arroz irrigado'!$E28:$Z28)=0,0,MAX(0,IF((AI$6-$E$3)&lt;1,0,IFERROR(LOOKUP(2,1/('Arroz irrigado'!$E28:INDEX('Arroz irrigado'!$E28:$Z28,MIN(AI$6-$E$3,22))&lt;&gt;""),'Arroz irrigado'!$E28:INDEX('Arroz irrigado'!$E28:$Z28,MIN(AI$6-$E$3,22))),0))-IF($G$2,0,IF((AI$6-$G$3)&lt;1,0,IFERROR(LOOKUP(2,1/('Arroz irrigado'!$E28:INDEX('Arroz irrigado'!$E28:$Z28,MIN(AI$6-$G$3,22))&lt;&gt;""),'Arroz irrigado'!$E28:INDEX('Arroz irrigado'!$E28:$Z28,MIN(AI$6-$G$3,22))),0)))))</f>
        <v>0</v>
      </c>
      <c r="AJ30" s="27" t="n">
        <f aca="false">IF(COUNT('Arroz irrigado'!$E28:$Z28)=0,0,MAX(0,IF((AJ$6-$E$3)&lt;1,0,IFERROR(LOOKUP(2,1/('Arroz irrigado'!$E28:INDEX('Arroz irrigado'!$E28:$Z28,MIN(AJ$6-$E$3,22))&lt;&gt;""),'Arroz irrigado'!$E28:INDEX('Arroz irrigado'!$E28:$Z28,MIN(AJ$6-$E$3,22))),0))-IF($G$2,0,IF((AJ$6-$G$3)&lt;1,0,IFERROR(LOOKUP(2,1/('Arroz irrigado'!$E28:INDEX('Arroz irrigado'!$E28:$Z28,MIN(AJ$6-$G$3,22))&lt;&gt;""),'Arroz irrigado'!$E28:INDEX('Arroz irrigado'!$E28:$Z28,MIN(AJ$6-$G$3,22))),0)))))</f>
        <v>0</v>
      </c>
      <c r="AK30" s="27" t="n">
        <f aca="false">IF(COUNT('Arroz irrigado'!$E28:$Z28)=0,0,MAX(0,IF((AK$6-$E$3)&lt;1,0,IFERROR(LOOKUP(2,1/('Arroz irrigado'!$E28:INDEX('Arroz irrigado'!$E28:$Z28,MIN(AK$6-$E$3,22))&lt;&gt;""),'Arroz irrigado'!$E28:INDEX('Arroz irrigado'!$E28:$Z28,MIN(AK$6-$E$3,22))),0))-IF($G$2,0,IF((AK$6-$G$3)&lt;1,0,IFERROR(LOOKUP(2,1/('Arroz irrigado'!$E28:INDEX('Arroz irrigado'!$E28:$Z28,MIN(AK$6-$G$3,22))&lt;&gt;""),'Arroz irrigado'!$E28:INDEX('Arroz irrigado'!$E28:$Z28,MIN(AK$6-$G$3,22))),0)))))</f>
        <v>0</v>
      </c>
      <c r="AL30" s="27" t="n">
        <f aca="false">IF(COUNT('Arroz irrigado'!$E28:$Z28)=0,0,MAX(0,IF((AL$6-$E$3)&lt;1,0,IFERROR(LOOKUP(2,1/('Arroz irrigado'!$E28:INDEX('Arroz irrigado'!$E28:$Z28,MIN(AL$6-$E$3,22))&lt;&gt;""),'Arroz irrigado'!$E28:INDEX('Arroz irrigado'!$E28:$Z28,MIN(AL$6-$E$3,22))),0))-IF($G$2,0,IF((AL$6-$G$3)&lt;1,0,IFERROR(LOOKUP(2,1/('Arroz irrigado'!$E28:INDEX('Arroz irrigado'!$E28:$Z28,MIN(AL$6-$G$3,22))&lt;&gt;""),'Arroz irrigado'!$E28:INDEX('Arroz irrigado'!$E28:$Z28,MIN(AL$6-$G$3,22))),0)))))</f>
        <v>0</v>
      </c>
      <c r="AM30" s="27" t="n">
        <f aca="false">IF(COUNT('Arroz irrigado'!$E28:$Z28)=0,0,MAX(0,IF((AM$6-$E$3)&lt;1,0,IFERROR(LOOKUP(2,1/('Arroz irrigado'!$E28:INDEX('Arroz irrigado'!$E28:$Z28,MIN(AM$6-$E$3,22))&lt;&gt;""),'Arroz irrigado'!$E28:INDEX('Arroz irrigado'!$E28:$Z28,MIN(AM$6-$E$3,22))),0))-IF($G$2,0,IF((AM$6-$G$3)&lt;1,0,IFERROR(LOOKUP(2,1/('Arroz irrigado'!$E28:INDEX('Arroz irrigado'!$E28:$Z28,MIN(AM$6-$G$3,22))&lt;&gt;""),'Arroz irrigado'!$E28:INDEX('Arroz irrigado'!$E28:$Z28,MIN(AM$6-$G$3,22))),0)))))</f>
        <v>0</v>
      </c>
      <c r="AN30" s="27" t="n">
        <f aca="false">IF(COUNT('Arroz irrigado'!$E28:$Z28)=0,0,MAX(0,IF((AN$6-$E$3)&lt;1,0,IFERROR(LOOKUP(2,1/('Arroz irrigado'!$E28:INDEX('Arroz irrigado'!$E28:$Z28,MIN(AN$6-$E$3,22))&lt;&gt;""),'Arroz irrigado'!$E28:INDEX('Arroz irrigado'!$E28:$Z28,MIN(AN$6-$E$3,22))),0))-IF($G$2,0,IF((AN$6-$G$3)&lt;1,0,IFERROR(LOOKUP(2,1/('Arroz irrigado'!$E28:INDEX('Arroz irrigado'!$E28:$Z28,MIN(AN$6-$G$3,22))&lt;&gt;""),'Arroz irrigado'!$E28:INDEX('Arroz irrigado'!$E28:$Z28,MIN(AN$6-$G$3,22))),0)))))</f>
        <v>0</v>
      </c>
      <c r="AO30" s="27" t="n">
        <f aca="false">IF(COUNT('Arroz irrigado'!$E28:$Z28)=0,0,MAX(0,IF((AO$6-$E$3)&lt;1,0,IFERROR(LOOKUP(2,1/('Arroz irrigado'!$E28:INDEX('Arroz irrigado'!$E28:$Z28,MIN(AO$6-$E$3,22))&lt;&gt;""),'Arroz irrigado'!$E28:INDEX('Arroz irrigado'!$E28:$Z28,MIN(AO$6-$E$3,22))),0))-IF($G$2,0,IF((AO$6-$G$3)&lt;1,0,IFERROR(LOOKUP(2,1/('Arroz irrigado'!$E28:INDEX('Arroz irrigado'!$E28:$Z28,MIN(AO$6-$G$3,22))&lt;&gt;""),'Arroz irrigado'!$E28:INDEX('Arroz irrigado'!$E28:$Z28,MIN(AO$6-$G$3,22))),0)))))</f>
        <v>0</v>
      </c>
      <c r="AP30" s="27" t="n">
        <f aca="false">IF(COUNT('Arroz irrigado'!$E28:$Z28)=0,0,MAX(0,IF((AP$6-$E$3)&lt;1,0,IFERROR(LOOKUP(2,1/('Arroz irrigado'!$E28:INDEX('Arroz irrigado'!$E28:$Z28,MIN(AP$6-$E$3,22))&lt;&gt;""),'Arroz irrigado'!$E28:INDEX('Arroz irrigado'!$E28:$Z28,MIN(AP$6-$E$3,22))),0))-IF($G$2,0,IF((AP$6-$G$3)&lt;1,0,IFERROR(LOOKUP(2,1/('Arroz irrigado'!$E28:INDEX('Arroz irrigado'!$E28:$Z28,MIN(AP$6-$G$3,22))&lt;&gt;""),'Arroz irrigado'!$E28:INDEX('Arroz irrigado'!$E28:$Z28,MIN(AP$6-$G$3,22))),0)))))</f>
        <v>0</v>
      </c>
      <c r="AQ30" s="27" t="n">
        <f aca="false">IF(COUNT('Arroz irrigado'!$E28:$Z28)=0,0,MAX(0,IF((AQ$6-$E$3)&lt;1,0,IFERROR(LOOKUP(2,1/('Arroz irrigado'!$E28:INDEX('Arroz irrigado'!$E28:$Z28,MIN(AQ$6-$E$3,22))&lt;&gt;""),'Arroz irrigado'!$E28:INDEX('Arroz irrigado'!$E28:$Z28,MIN(AQ$6-$E$3,22))),0))-IF($G$2,0,IF((AQ$6-$G$3)&lt;1,0,IFERROR(LOOKUP(2,1/('Arroz irrigado'!$E28:INDEX('Arroz irrigado'!$E28:$Z28,MIN(AQ$6-$G$3,22))&lt;&gt;""),'Arroz irrigado'!$E28:INDEX('Arroz irrigado'!$E28:$Z28,MIN(AQ$6-$G$3,22))),0)))))</f>
        <v>0</v>
      </c>
      <c r="AR30" s="27" t="n">
        <f aca="false">IF(COUNT('Arroz irrigado'!$E28:$Z28)=0,0,MAX(0,IF((AR$6-$E$3)&lt;1,0,IFERROR(LOOKUP(2,1/('Arroz irrigado'!$E28:INDEX('Arroz irrigado'!$E28:$Z28,MIN(AR$6-$E$3,22))&lt;&gt;""),'Arroz irrigado'!$E28:INDEX('Arroz irrigado'!$E28:$Z28,MIN(AR$6-$E$3,22))),0))-IF($G$2,0,IF((AR$6-$G$3)&lt;1,0,IFERROR(LOOKUP(2,1/('Arroz irrigado'!$E28:INDEX('Arroz irrigado'!$E28:$Z28,MIN(AR$6-$G$3,22))&lt;&gt;""),'Arroz irrigado'!$E28:INDEX('Arroz irrigado'!$E28:$Z28,MIN(AR$6-$G$3,22))),0)))))</f>
        <v>0</v>
      </c>
      <c r="AS30" s="27" t="n">
        <f aca="false">IF(COUNT('Arroz irrigado'!$E28:$Z28)=0,0,MAX(0,IF((AS$6-$E$3)&lt;1,0,IFERROR(LOOKUP(2,1/('Arroz irrigado'!$E28:INDEX('Arroz irrigado'!$E28:$Z28,MIN(AS$6-$E$3,22))&lt;&gt;""),'Arroz irrigado'!$E28:INDEX('Arroz irrigado'!$E28:$Z28,MIN(AS$6-$E$3,22))),0))-IF($G$2,0,IF((AS$6-$G$3)&lt;1,0,IFERROR(LOOKUP(2,1/('Arroz irrigado'!$E28:INDEX('Arroz irrigado'!$E28:$Z28,MIN(AS$6-$G$3,22))&lt;&gt;""),'Arroz irrigado'!$E28:INDEX('Arroz irrigado'!$E28:$Z28,MIN(AS$6-$G$3,22))),0)))))</f>
        <v>0</v>
      </c>
      <c r="AT30" s="27" t="n">
        <f aca="false">IF(COUNT('Arroz irrigado'!$E28:$Z28)=0,0,MAX(0,IF((AT$6-$E$3)&lt;1,0,IFERROR(LOOKUP(2,1/('Arroz irrigado'!$E28:INDEX('Arroz irrigado'!$E28:$Z28,MIN(AT$6-$E$3,22))&lt;&gt;""),'Arroz irrigado'!$E28:INDEX('Arroz irrigado'!$E28:$Z28,MIN(AT$6-$E$3,22))),0))-IF($G$2,0,IF((AT$6-$G$3)&lt;1,0,IFERROR(LOOKUP(2,1/('Arroz irrigado'!$E28:INDEX('Arroz irrigado'!$E28:$Z28,MIN(AT$6-$G$3,22))&lt;&gt;""),'Arroz irrigado'!$E28:INDEX('Arroz irrigado'!$E28:$Z28,MIN(AT$6-$G$3,22))),0)))))</f>
        <v>0</v>
      </c>
      <c r="AU30" s="27" t="n">
        <f aca="false">IF(COUNT('Arroz irrigado'!$E28:$Z28)=0,0,MAX(0,IF((AU$6-$E$3)&lt;1,0,IFERROR(LOOKUP(2,1/('Arroz irrigado'!$E28:INDEX('Arroz irrigado'!$E28:$Z28,MIN(AU$6-$E$3,22))&lt;&gt;""),'Arroz irrigado'!$E28:INDEX('Arroz irrigado'!$E28:$Z28,MIN(AU$6-$E$3,22))),0))-IF($G$2,0,IF((AU$6-$G$3)&lt;1,0,IFERROR(LOOKUP(2,1/('Arroz irrigado'!$E28:INDEX('Arroz irrigado'!$E28:$Z28,MIN(AU$6-$G$3,22))&lt;&gt;""),'Arroz irrigado'!$E28:INDEX('Arroz irrigado'!$E28:$Z28,MIN(AU$6-$G$3,22))),0)))))</f>
        <v>0</v>
      </c>
      <c r="AV30" s="27" t="n">
        <f aca="false">IF(COUNT('Arroz irrigado'!$E28:$Z28)=0,0,MAX(0,IF((AV$6-$E$3)&lt;1,0,IFERROR(LOOKUP(2,1/('Arroz irrigado'!$E28:INDEX('Arroz irrigado'!$E28:$Z28,MIN(AV$6-$E$3,22))&lt;&gt;""),'Arroz irrigado'!$E28:INDEX('Arroz irrigado'!$E28:$Z28,MIN(AV$6-$E$3,22))),0))-IF($G$2,0,IF((AV$6-$G$3)&lt;1,0,IFERROR(LOOKUP(2,1/('Arroz irrigado'!$E28:INDEX('Arroz irrigado'!$E28:$Z28,MIN(AV$6-$G$3,22))&lt;&gt;""),'Arroz irrigado'!$E28:INDEX('Arroz irrigado'!$E28:$Z28,MIN(AV$6-$G$3,22))),0)))))</f>
        <v>0</v>
      </c>
      <c r="AW30" s="27" t="n">
        <f aca="false">IF(COUNT('Arroz irrigado'!$E28:$Z28)=0,0,MAX(0,IF((AW$6-$E$3)&lt;1,0,IFERROR(LOOKUP(2,1/('Arroz irrigado'!$E28:INDEX('Arroz irrigado'!$E28:$Z28,MIN(AW$6-$E$3,22))&lt;&gt;""),'Arroz irrigado'!$E28:INDEX('Arroz irrigado'!$E28:$Z28,MIN(AW$6-$E$3,22))),0))-IF($G$2,0,IF((AW$6-$G$3)&lt;1,0,IFERROR(LOOKUP(2,1/('Arroz irrigado'!$E28:INDEX('Arroz irrigado'!$E28:$Z28,MIN(AW$6-$G$3,22))&lt;&gt;""),'Arroz irrigado'!$E28:INDEX('Arroz irrigado'!$E28:$Z28,MIN(AW$6-$G$3,22))),0)))))</f>
        <v>0</v>
      </c>
      <c r="AX30" s="27" t="n">
        <f aca="false">IF(COUNT('Arroz irrigado'!$E28:$Z28)=0,0,MAX(0,IF((AX$6-$E$3)&lt;1,0,IFERROR(LOOKUP(2,1/('Arroz irrigado'!$E28:INDEX('Arroz irrigado'!$E28:$Z28,MIN(AX$6-$E$3,22))&lt;&gt;""),'Arroz irrigado'!$E28:INDEX('Arroz irrigado'!$E28:$Z28,MIN(AX$6-$E$3,22))),0))-IF($G$2,0,IF((AX$6-$G$3)&lt;1,0,IFERROR(LOOKUP(2,1/('Arroz irrigado'!$E28:INDEX('Arroz irrigado'!$E28:$Z28,MIN(AX$6-$G$3,22))&lt;&gt;""),'Arroz irrigado'!$E28:INDEX('Arroz irrigado'!$E28:$Z28,MIN(AX$6-$G$3,22))),0)))))</f>
        <v>0</v>
      </c>
      <c r="AY30" s="27" t="n">
        <f aca="false">IF(COUNT('Arroz irrigado'!$E28:$Z28)=0,0,MAX(0,IF((AY$6-$E$3)&lt;1,0,IFERROR(LOOKUP(2,1/('Arroz irrigado'!$E28:INDEX('Arroz irrigado'!$E28:$Z28,MIN(AY$6-$E$3,22))&lt;&gt;""),'Arroz irrigado'!$E28:INDEX('Arroz irrigado'!$E28:$Z28,MIN(AY$6-$E$3,22))),0))-IF($G$2,0,IF((AY$6-$G$3)&lt;1,0,IFERROR(LOOKUP(2,1/('Arroz irrigado'!$E28:INDEX('Arroz irrigado'!$E28:$Z28,MIN(AY$6-$G$3,22))&lt;&gt;""),'Arroz irrigado'!$E28:INDEX('Arroz irrigado'!$E28:$Z28,MIN(AY$6-$G$3,22))),0)))))</f>
        <v>0</v>
      </c>
      <c r="AZ30" s="27" t="n">
        <f aca="false">IF(COUNT('Arroz irrigado'!$E28:$Z28)=0,0,MAX(0,IF((AZ$6-$E$3)&lt;1,0,IFERROR(LOOKUP(2,1/('Arroz irrigado'!$E28:INDEX('Arroz irrigado'!$E28:$Z28,MIN(AZ$6-$E$3,22))&lt;&gt;""),'Arroz irrigado'!$E28:INDEX('Arroz irrigado'!$E28:$Z28,MIN(AZ$6-$E$3,22))),0))-IF($G$2,0,IF((AZ$6-$G$3)&lt;1,0,IFERROR(LOOKUP(2,1/('Arroz irrigado'!$E28:INDEX('Arroz irrigado'!$E28:$Z28,MIN(AZ$6-$G$3,22))&lt;&gt;""),'Arroz irrigado'!$E28:INDEX('Arroz irrigado'!$E28:$Z28,MIN(AZ$6-$G$3,22))),0)))))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IF(COUNT('Arroz irrigado'!$E29:$Z29)&gt;0,N('Arroz irrigado'!$D29),0)</f>
        <v>0</v>
      </c>
      <c r="E31" s="27" t="n">
        <f aca="false">IF(COUNT('Arroz irrigado'!$E29:$Z29)=0,0,MAX(0,IF((E$6-$E$3)&lt;1,0,IFERROR(LOOKUP(2,1/('Arroz irrigado'!$E29:INDEX('Arroz irrigado'!$E29:$Z29,MIN(E$6-$E$3,22))&lt;&gt;""),'Arroz irrigado'!$E29:INDEX('Arroz irrigado'!$E29:$Z29,MIN(E$6-$E$3,22))),0))-IF($G$2,0,IF((E$6-$G$3)&lt;1,0,IFERROR(LOOKUP(2,1/('Arroz irrigado'!$E29:INDEX('Arroz irrigado'!$E29:$Z29,MIN(E$6-$G$3,22))&lt;&gt;""),'Arroz irrigado'!$E29:INDEX('Arroz irrigado'!$E29:$Z29,MIN(E$6-$G$3,22))),0)))))</f>
        <v>0</v>
      </c>
      <c r="F31" s="27" t="n">
        <f aca="false">IF(COUNT('Arroz irrigado'!$E29:$Z29)=0,0,MAX(0,IF((F$6-$E$3)&lt;1,0,IFERROR(LOOKUP(2,1/('Arroz irrigado'!$E29:INDEX('Arroz irrigado'!$E29:$Z29,MIN(F$6-$E$3,22))&lt;&gt;""),'Arroz irrigado'!$E29:INDEX('Arroz irrigado'!$E29:$Z29,MIN(F$6-$E$3,22))),0))-IF($G$2,0,IF((F$6-$G$3)&lt;1,0,IFERROR(LOOKUP(2,1/('Arroz irrigado'!$E29:INDEX('Arroz irrigado'!$E29:$Z29,MIN(F$6-$G$3,22))&lt;&gt;""),'Arroz irrigado'!$E29:INDEX('Arroz irrigado'!$E29:$Z29,MIN(F$6-$G$3,22))),0)))))</f>
        <v>0</v>
      </c>
      <c r="G31" s="27" t="n">
        <f aca="false">IF(COUNT('Arroz irrigado'!$E29:$Z29)=0,0,MAX(0,IF((G$6-$E$3)&lt;1,0,IFERROR(LOOKUP(2,1/('Arroz irrigado'!$E29:INDEX('Arroz irrigado'!$E29:$Z29,MIN(G$6-$E$3,22))&lt;&gt;""),'Arroz irrigado'!$E29:INDEX('Arroz irrigado'!$E29:$Z29,MIN(G$6-$E$3,22))),0))-IF($G$2,0,IF((G$6-$G$3)&lt;1,0,IFERROR(LOOKUP(2,1/('Arroz irrigado'!$E29:INDEX('Arroz irrigado'!$E29:$Z29,MIN(G$6-$G$3,22))&lt;&gt;""),'Arroz irrigado'!$E29:INDEX('Arroz irrigado'!$E29:$Z29,MIN(G$6-$G$3,22))),0)))))</f>
        <v>0</v>
      </c>
      <c r="H31" s="27" t="n">
        <f aca="false">IF(COUNT('Arroz irrigado'!$E29:$Z29)=0,0,MAX(0,IF((H$6-$E$3)&lt;1,0,IFERROR(LOOKUP(2,1/('Arroz irrigado'!$E29:INDEX('Arroz irrigado'!$E29:$Z29,MIN(H$6-$E$3,22))&lt;&gt;""),'Arroz irrigado'!$E29:INDEX('Arroz irrigado'!$E29:$Z29,MIN(H$6-$E$3,22))),0))-IF($G$2,0,IF((H$6-$G$3)&lt;1,0,IFERROR(LOOKUP(2,1/('Arroz irrigado'!$E29:INDEX('Arroz irrigado'!$E29:$Z29,MIN(H$6-$G$3,22))&lt;&gt;""),'Arroz irrigado'!$E29:INDEX('Arroz irrigado'!$E29:$Z29,MIN(H$6-$G$3,22))),0)))))</f>
        <v>0</v>
      </c>
      <c r="I31" s="27" t="n">
        <f aca="false">IF(COUNT('Arroz irrigado'!$E29:$Z29)=0,0,MAX(0,IF((I$6-$E$3)&lt;1,0,IFERROR(LOOKUP(2,1/('Arroz irrigado'!$E29:INDEX('Arroz irrigado'!$E29:$Z29,MIN(I$6-$E$3,22))&lt;&gt;""),'Arroz irrigado'!$E29:INDEX('Arroz irrigado'!$E29:$Z29,MIN(I$6-$E$3,22))),0))-IF($G$2,0,IF((I$6-$G$3)&lt;1,0,IFERROR(LOOKUP(2,1/('Arroz irrigado'!$E29:INDEX('Arroz irrigado'!$E29:$Z29,MIN(I$6-$G$3,22))&lt;&gt;""),'Arroz irrigado'!$E29:INDEX('Arroz irrigado'!$E29:$Z29,MIN(I$6-$G$3,22))),0)))))</f>
        <v>0</v>
      </c>
      <c r="J31" s="27" t="n">
        <f aca="false">IF(COUNT('Arroz irrigado'!$E29:$Z29)=0,0,MAX(0,IF((J$6-$E$3)&lt;1,0,IFERROR(LOOKUP(2,1/('Arroz irrigado'!$E29:INDEX('Arroz irrigado'!$E29:$Z29,MIN(J$6-$E$3,22))&lt;&gt;""),'Arroz irrigado'!$E29:INDEX('Arroz irrigado'!$E29:$Z29,MIN(J$6-$E$3,22))),0))-IF($G$2,0,IF((J$6-$G$3)&lt;1,0,IFERROR(LOOKUP(2,1/('Arroz irrigado'!$E29:INDEX('Arroz irrigado'!$E29:$Z29,MIN(J$6-$G$3,22))&lt;&gt;""),'Arroz irrigado'!$E29:INDEX('Arroz irrigado'!$E29:$Z29,MIN(J$6-$G$3,22))),0)))))</f>
        <v>0</v>
      </c>
      <c r="K31" s="27" t="n">
        <f aca="false">IF(COUNT('Arroz irrigado'!$E29:$Z29)=0,0,MAX(0,IF((K$6-$E$3)&lt;1,0,IFERROR(LOOKUP(2,1/('Arroz irrigado'!$E29:INDEX('Arroz irrigado'!$E29:$Z29,MIN(K$6-$E$3,22))&lt;&gt;""),'Arroz irrigado'!$E29:INDEX('Arroz irrigado'!$E29:$Z29,MIN(K$6-$E$3,22))),0))-IF($G$2,0,IF((K$6-$G$3)&lt;1,0,IFERROR(LOOKUP(2,1/('Arroz irrigado'!$E29:INDEX('Arroz irrigado'!$E29:$Z29,MIN(K$6-$G$3,22))&lt;&gt;""),'Arroz irrigado'!$E29:INDEX('Arroz irrigado'!$E29:$Z29,MIN(K$6-$G$3,22))),0)))))</f>
        <v>0</v>
      </c>
      <c r="L31" s="27" t="n">
        <f aca="false">IF(COUNT('Arroz irrigado'!$E29:$Z29)=0,0,MAX(0,IF((L$6-$E$3)&lt;1,0,IFERROR(LOOKUP(2,1/('Arroz irrigado'!$E29:INDEX('Arroz irrigado'!$E29:$Z29,MIN(L$6-$E$3,22))&lt;&gt;""),'Arroz irrigado'!$E29:INDEX('Arroz irrigado'!$E29:$Z29,MIN(L$6-$E$3,22))),0))-IF($G$2,0,IF((L$6-$G$3)&lt;1,0,IFERROR(LOOKUP(2,1/('Arroz irrigado'!$E29:INDEX('Arroz irrigado'!$E29:$Z29,MIN(L$6-$G$3,22))&lt;&gt;""),'Arroz irrigado'!$E29:INDEX('Arroz irrigado'!$E29:$Z29,MIN(L$6-$G$3,22))),0)))))</f>
        <v>0</v>
      </c>
      <c r="M31" s="27" t="n">
        <f aca="false">IF(COUNT('Arroz irrigado'!$E29:$Z29)=0,0,MAX(0,IF((M$6-$E$3)&lt;1,0,IFERROR(LOOKUP(2,1/('Arroz irrigado'!$E29:INDEX('Arroz irrigado'!$E29:$Z29,MIN(M$6-$E$3,22))&lt;&gt;""),'Arroz irrigado'!$E29:INDEX('Arroz irrigado'!$E29:$Z29,MIN(M$6-$E$3,22))),0))-IF($G$2,0,IF((M$6-$G$3)&lt;1,0,IFERROR(LOOKUP(2,1/('Arroz irrigado'!$E29:INDEX('Arroz irrigado'!$E29:$Z29,MIN(M$6-$G$3,22))&lt;&gt;""),'Arroz irrigado'!$E29:INDEX('Arroz irrigado'!$E29:$Z29,MIN(M$6-$G$3,22))),0)))))</f>
        <v>0</v>
      </c>
      <c r="N31" s="27" t="n">
        <f aca="false">IF(COUNT('Arroz irrigado'!$E29:$Z29)=0,0,MAX(0,IF((N$6-$E$3)&lt;1,0,IFERROR(LOOKUP(2,1/('Arroz irrigado'!$E29:INDEX('Arroz irrigado'!$E29:$Z29,MIN(N$6-$E$3,22))&lt;&gt;""),'Arroz irrigado'!$E29:INDEX('Arroz irrigado'!$E29:$Z29,MIN(N$6-$E$3,22))),0))-IF($G$2,0,IF((N$6-$G$3)&lt;1,0,IFERROR(LOOKUP(2,1/('Arroz irrigado'!$E29:INDEX('Arroz irrigado'!$E29:$Z29,MIN(N$6-$G$3,22))&lt;&gt;""),'Arroz irrigado'!$E29:INDEX('Arroz irrigado'!$E29:$Z29,MIN(N$6-$G$3,22))),0)))))</f>
        <v>0</v>
      </c>
      <c r="O31" s="27" t="n">
        <f aca="false">IF(COUNT('Arroz irrigado'!$E29:$Z29)=0,0,MAX(0,IF((O$6-$E$3)&lt;1,0,IFERROR(LOOKUP(2,1/('Arroz irrigado'!$E29:INDEX('Arroz irrigado'!$E29:$Z29,MIN(O$6-$E$3,22))&lt;&gt;""),'Arroz irrigado'!$E29:INDEX('Arroz irrigado'!$E29:$Z29,MIN(O$6-$E$3,22))),0))-IF($G$2,0,IF((O$6-$G$3)&lt;1,0,IFERROR(LOOKUP(2,1/('Arroz irrigado'!$E29:INDEX('Arroz irrigado'!$E29:$Z29,MIN(O$6-$G$3,22))&lt;&gt;""),'Arroz irrigado'!$E29:INDEX('Arroz irrigado'!$E29:$Z29,MIN(O$6-$G$3,22))),0)))))</f>
        <v>0</v>
      </c>
      <c r="P31" s="27" t="n">
        <f aca="false">IF(COUNT('Arroz irrigado'!$E29:$Z29)=0,0,MAX(0,IF((P$6-$E$3)&lt;1,0,IFERROR(LOOKUP(2,1/('Arroz irrigado'!$E29:INDEX('Arroz irrigado'!$E29:$Z29,MIN(P$6-$E$3,22))&lt;&gt;""),'Arroz irrigado'!$E29:INDEX('Arroz irrigado'!$E29:$Z29,MIN(P$6-$E$3,22))),0))-IF($G$2,0,IF((P$6-$G$3)&lt;1,0,IFERROR(LOOKUP(2,1/('Arroz irrigado'!$E29:INDEX('Arroz irrigado'!$E29:$Z29,MIN(P$6-$G$3,22))&lt;&gt;""),'Arroz irrigado'!$E29:INDEX('Arroz irrigado'!$E29:$Z29,MIN(P$6-$G$3,22))),0)))))</f>
        <v>0</v>
      </c>
      <c r="Q31" s="27" t="n">
        <f aca="false">IF(COUNT('Arroz irrigado'!$E29:$Z29)=0,0,MAX(0,IF((Q$6-$E$3)&lt;1,0,IFERROR(LOOKUP(2,1/('Arroz irrigado'!$E29:INDEX('Arroz irrigado'!$E29:$Z29,MIN(Q$6-$E$3,22))&lt;&gt;""),'Arroz irrigado'!$E29:INDEX('Arroz irrigado'!$E29:$Z29,MIN(Q$6-$E$3,22))),0))-IF($G$2,0,IF((Q$6-$G$3)&lt;1,0,IFERROR(LOOKUP(2,1/('Arroz irrigado'!$E29:INDEX('Arroz irrigado'!$E29:$Z29,MIN(Q$6-$G$3,22))&lt;&gt;""),'Arroz irrigado'!$E29:INDEX('Arroz irrigado'!$E29:$Z29,MIN(Q$6-$G$3,22))),0)))))</f>
        <v>0</v>
      </c>
      <c r="R31" s="27" t="n">
        <f aca="false">IF(COUNT('Arroz irrigado'!$E29:$Z29)=0,0,MAX(0,IF((R$6-$E$3)&lt;1,0,IFERROR(LOOKUP(2,1/('Arroz irrigado'!$E29:INDEX('Arroz irrigado'!$E29:$Z29,MIN(R$6-$E$3,22))&lt;&gt;""),'Arroz irrigado'!$E29:INDEX('Arroz irrigado'!$E29:$Z29,MIN(R$6-$E$3,22))),0))-IF($G$2,0,IF((R$6-$G$3)&lt;1,0,IFERROR(LOOKUP(2,1/('Arroz irrigado'!$E29:INDEX('Arroz irrigado'!$E29:$Z29,MIN(R$6-$G$3,22))&lt;&gt;""),'Arroz irrigado'!$E29:INDEX('Arroz irrigado'!$E29:$Z29,MIN(R$6-$G$3,22))),0)))))</f>
        <v>0</v>
      </c>
      <c r="S31" s="27" t="n">
        <f aca="false">IF(COUNT('Arroz irrigado'!$E29:$Z29)=0,0,MAX(0,IF((S$6-$E$3)&lt;1,0,IFERROR(LOOKUP(2,1/('Arroz irrigado'!$E29:INDEX('Arroz irrigado'!$E29:$Z29,MIN(S$6-$E$3,22))&lt;&gt;""),'Arroz irrigado'!$E29:INDEX('Arroz irrigado'!$E29:$Z29,MIN(S$6-$E$3,22))),0))-IF($G$2,0,IF((S$6-$G$3)&lt;1,0,IFERROR(LOOKUP(2,1/('Arroz irrigado'!$E29:INDEX('Arroz irrigado'!$E29:$Z29,MIN(S$6-$G$3,22))&lt;&gt;""),'Arroz irrigado'!$E29:INDEX('Arroz irrigado'!$E29:$Z29,MIN(S$6-$G$3,22))),0)))))</f>
        <v>0</v>
      </c>
      <c r="T31" s="27" t="n">
        <f aca="false">IF(COUNT('Arroz irrigado'!$E29:$Z29)=0,0,MAX(0,IF((T$6-$E$3)&lt;1,0,IFERROR(LOOKUP(2,1/('Arroz irrigado'!$E29:INDEX('Arroz irrigado'!$E29:$Z29,MIN(T$6-$E$3,22))&lt;&gt;""),'Arroz irrigado'!$E29:INDEX('Arroz irrigado'!$E29:$Z29,MIN(T$6-$E$3,22))),0))-IF($G$2,0,IF((T$6-$G$3)&lt;1,0,IFERROR(LOOKUP(2,1/('Arroz irrigado'!$E29:INDEX('Arroz irrigado'!$E29:$Z29,MIN(T$6-$G$3,22))&lt;&gt;""),'Arroz irrigado'!$E29:INDEX('Arroz irrigado'!$E29:$Z29,MIN(T$6-$G$3,22))),0)))))</f>
        <v>0</v>
      </c>
      <c r="U31" s="27" t="n">
        <f aca="false">IF(COUNT('Arroz irrigado'!$E29:$Z29)=0,0,MAX(0,IF((U$6-$E$3)&lt;1,0,IFERROR(LOOKUP(2,1/('Arroz irrigado'!$E29:INDEX('Arroz irrigado'!$E29:$Z29,MIN(U$6-$E$3,22))&lt;&gt;""),'Arroz irrigado'!$E29:INDEX('Arroz irrigado'!$E29:$Z29,MIN(U$6-$E$3,22))),0))-IF($G$2,0,IF((U$6-$G$3)&lt;1,0,IFERROR(LOOKUP(2,1/('Arroz irrigado'!$E29:INDEX('Arroz irrigado'!$E29:$Z29,MIN(U$6-$G$3,22))&lt;&gt;""),'Arroz irrigado'!$E29:INDEX('Arroz irrigado'!$E29:$Z29,MIN(U$6-$G$3,22))),0)))))</f>
        <v>0</v>
      </c>
      <c r="V31" s="27" t="n">
        <f aca="false">IF(COUNT('Arroz irrigado'!$E29:$Z29)=0,0,MAX(0,IF((V$6-$E$3)&lt;1,0,IFERROR(LOOKUP(2,1/('Arroz irrigado'!$E29:INDEX('Arroz irrigado'!$E29:$Z29,MIN(V$6-$E$3,22))&lt;&gt;""),'Arroz irrigado'!$E29:INDEX('Arroz irrigado'!$E29:$Z29,MIN(V$6-$E$3,22))),0))-IF($G$2,0,IF((V$6-$G$3)&lt;1,0,IFERROR(LOOKUP(2,1/('Arroz irrigado'!$E29:INDEX('Arroz irrigado'!$E29:$Z29,MIN(V$6-$G$3,22))&lt;&gt;""),'Arroz irrigado'!$E29:INDEX('Arroz irrigado'!$E29:$Z29,MIN(V$6-$G$3,22))),0)))))</f>
        <v>0</v>
      </c>
      <c r="W31" s="27" t="n">
        <f aca="false">IF(COUNT('Arroz irrigado'!$E29:$Z29)=0,0,MAX(0,IF((W$6-$E$3)&lt;1,0,IFERROR(LOOKUP(2,1/('Arroz irrigado'!$E29:INDEX('Arroz irrigado'!$E29:$Z29,MIN(W$6-$E$3,22))&lt;&gt;""),'Arroz irrigado'!$E29:INDEX('Arroz irrigado'!$E29:$Z29,MIN(W$6-$E$3,22))),0))-IF($G$2,0,IF((W$6-$G$3)&lt;1,0,IFERROR(LOOKUP(2,1/('Arroz irrigado'!$E29:INDEX('Arroz irrigado'!$E29:$Z29,MIN(W$6-$G$3,22))&lt;&gt;""),'Arroz irrigado'!$E29:INDEX('Arroz irrigado'!$E29:$Z29,MIN(W$6-$G$3,22))),0)))))</f>
        <v>0</v>
      </c>
      <c r="X31" s="27" t="n">
        <f aca="false">IF(COUNT('Arroz irrigado'!$E29:$Z29)=0,0,MAX(0,IF((X$6-$E$3)&lt;1,0,IFERROR(LOOKUP(2,1/('Arroz irrigado'!$E29:INDEX('Arroz irrigado'!$E29:$Z29,MIN(X$6-$E$3,22))&lt;&gt;""),'Arroz irrigado'!$E29:INDEX('Arroz irrigado'!$E29:$Z29,MIN(X$6-$E$3,22))),0))-IF($G$2,0,IF((X$6-$G$3)&lt;1,0,IFERROR(LOOKUP(2,1/('Arroz irrigado'!$E29:INDEX('Arroz irrigado'!$E29:$Z29,MIN(X$6-$G$3,22))&lt;&gt;""),'Arroz irrigado'!$E29:INDEX('Arroz irrigado'!$E29:$Z29,MIN(X$6-$G$3,22))),0)))))</f>
        <v>0</v>
      </c>
      <c r="Y31" s="27" t="n">
        <f aca="false">IF(COUNT('Arroz irrigado'!$E29:$Z29)=0,0,MAX(0,IF((Y$6-$E$3)&lt;1,0,IFERROR(LOOKUP(2,1/('Arroz irrigado'!$E29:INDEX('Arroz irrigado'!$E29:$Z29,MIN(Y$6-$E$3,22))&lt;&gt;""),'Arroz irrigado'!$E29:INDEX('Arroz irrigado'!$E29:$Z29,MIN(Y$6-$E$3,22))),0))-IF($G$2,0,IF((Y$6-$G$3)&lt;1,0,IFERROR(LOOKUP(2,1/('Arroz irrigado'!$E29:INDEX('Arroz irrigado'!$E29:$Z29,MIN(Y$6-$G$3,22))&lt;&gt;""),'Arroz irrigado'!$E29:INDEX('Arroz irrigado'!$E29:$Z29,MIN(Y$6-$G$3,22))),0)))))</f>
        <v>0</v>
      </c>
      <c r="Z31" s="27" t="n">
        <f aca="false">IF(COUNT('Arroz irrigado'!$E29:$Z29)=0,0,MAX(0,IF((Z$6-$E$3)&lt;1,0,IFERROR(LOOKUP(2,1/('Arroz irrigado'!$E29:INDEX('Arroz irrigado'!$E29:$Z29,MIN(Z$6-$E$3,22))&lt;&gt;""),'Arroz irrigado'!$E29:INDEX('Arroz irrigado'!$E29:$Z29,MIN(Z$6-$E$3,22))),0))-IF($G$2,0,IF((Z$6-$G$3)&lt;1,0,IFERROR(LOOKUP(2,1/('Arroz irrigado'!$E29:INDEX('Arroz irrigado'!$E29:$Z29,MIN(Z$6-$G$3,22))&lt;&gt;""),'Arroz irrigado'!$E29:INDEX('Arroz irrigado'!$E29:$Z29,MIN(Z$6-$G$3,22))),0)))))</f>
        <v>0</v>
      </c>
      <c r="AA31" s="27" t="n">
        <f aca="false">IF(COUNT('Arroz irrigado'!$E29:$Z29)=0,0,MAX(0,IF((AA$6-$E$3)&lt;1,0,IFERROR(LOOKUP(2,1/('Arroz irrigado'!$E29:INDEX('Arroz irrigado'!$E29:$Z29,MIN(AA$6-$E$3,22))&lt;&gt;""),'Arroz irrigado'!$E29:INDEX('Arroz irrigado'!$E29:$Z29,MIN(AA$6-$E$3,22))),0))-IF($G$2,0,IF((AA$6-$G$3)&lt;1,0,IFERROR(LOOKUP(2,1/('Arroz irrigado'!$E29:INDEX('Arroz irrigado'!$E29:$Z29,MIN(AA$6-$G$3,22))&lt;&gt;""),'Arroz irrigado'!$E29:INDEX('Arroz irrigado'!$E29:$Z29,MIN(AA$6-$G$3,22))),0)))))</f>
        <v>0</v>
      </c>
      <c r="AB31" s="27" t="n">
        <f aca="false">IF(COUNT('Arroz irrigado'!$E29:$Z29)=0,0,MAX(0,IF((AB$6-$E$3)&lt;1,0,IFERROR(LOOKUP(2,1/('Arroz irrigado'!$E29:INDEX('Arroz irrigado'!$E29:$Z29,MIN(AB$6-$E$3,22))&lt;&gt;""),'Arroz irrigado'!$E29:INDEX('Arroz irrigado'!$E29:$Z29,MIN(AB$6-$E$3,22))),0))-IF($G$2,0,IF((AB$6-$G$3)&lt;1,0,IFERROR(LOOKUP(2,1/('Arroz irrigado'!$E29:INDEX('Arroz irrigado'!$E29:$Z29,MIN(AB$6-$G$3,22))&lt;&gt;""),'Arroz irrigado'!$E29:INDEX('Arroz irrigado'!$E29:$Z29,MIN(AB$6-$G$3,22))),0)))))</f>
        <v>0</v>
      </c>
      <c r="AC31" s="27" t="n">
        <f aca="false">IF(COUNT('Arroz irrigado'!$E29:$Z29)=0,0,MAX(0,IF((AC$6-$E$3)&lt;1,0,IFERROR(LOOKUP(2,1/('Arroz irrigado'!$E29:INDEX('Arroz irrigado'!$E29:$Z29,MIN(AC$6-$E$3,22))&lt;&gt;""),'Arroz irrigado'!$E29:INDEX('Arroz irrigado'!$E29:$Z29,MIN(AC$6-$E$3,22))),0))-IF($G$2,0,IF((AC$6-$G$3)&lt;1,0,IFERROR(LOOKUP(2,1/('Arroz irrigado'!$E29:INDEX('Arroz irrigado'!$E29:$Z29,MIN(AC$6-$G$3,22))&lt;&gt;""),'Arroz irrigado'!$E29:INDEX('Arroz irrigado'!$E29:$Z29,MIN(AC$6-$G$3,22))),0)))))</f>
        <v>0</v>
      </c>
      <c r="AD31" s="27" t="n">
        <f aca="false">IF(COUNT('Arroz irrigado'!$E29:$Z29)=0,0,MAX(0,IF((AD$6-$E$3)&lt;1,0,IFERROR(LOOKUP(2,1/('Arroz irrigado'!$E29:INDEX('Arroz irrigado'!$E29:$Z29,MIN(AD$6-$E$3,22))&lt;&gt;""),'Arroz irrigado'!$E29:INDEX('Arroz irrigado'!$E29:$Z29,MIN(AD$6-$E$3,22))),0))-IF($G$2,0,IF((AD$6-$G$3)&lt;1,0,IFERROR(LOOKUP(2,1/('Arroz irrigado'!$E29:INDEX('Arroz irrigado'!$E29:$Z29,MIN(AD$6-$G$3,22))&lt;&gt;""),'Arroz irrigado'!$E29:INDEX('Arroz irrigado'!$E29:$Z29,MIN(AD$6-$G$3,22))),0)))))</f>
        <v>0</v>
      </c>
      <c r="AE31" s="27" t="n">
        <f aca="false">IF(COUNT('Arroz irrigado'!$E29:$Z29)=0,0,MAX(0,IF((AE$6-$E$3)&lt;1,0,IFERROR(LOOKUP(2,1/('Arroz irrigado'!$E29:INDEX('Arroz irrigado'!$E29:$Z29,MIN(AE$6-$E$3,22))&lt;&gt;""),'Arroz irrigado'!$E29:INDEX('Arroz irrigado'!$E29:$Z29,MIN(AE$6-$E$3,22))),0))-IF($G$2,0,IF((AE$6-$G$3)&lt;1,0,IFERROR(LOOKUP(2,1/('Arroz irrigado'!$E29:INDEX('Arroz irrigado'!$E29:$Z29,MIN(AE$6-$G$3,22))&lt;&gt;""),'Arroz irrigado'!$E29:INDEX('Arroz irrigado'!$E29:$Z29,MIN(AE$6-$G$3,22))),0)))))</f>
        <v>0</v>
      </c>
      <c r="AF31" s="27" t="n">
        <f aca="false">IF(COUNT('Arroz irrigado'!$E29:$Z29)=0,0,MAX(0,IF((AF$6-$E$3)&lt;1,0,IFERROR(LOOKUP(2,1/('Arroz irrigado'!$E29:INDEX('Arroz irrigado'!$E29:$Z29,MIN(AF$6-$E$3,22))&lt;&gt;""),'Arroz irrigado'!$E29:INDEX('Arroz irrigado'!$E29:$Z29,MIN(AF$6-$E$3,22))),0))-IF($G$2,0,IF((AF$6-$G$3)&lt;1,0,IFERROR(LOOKUP(2,1/('Arroz irrigado'!$E29:INDEX('Arroz irrigado'!$E29:$Z29,MIN(AF$6-$G$3,22))&lt;&gt;""),'Arroz irrigado'!$E29:INDEX('Arroz irrigado'!$E29:$Z29,MIN(AF$6-$G$3,22))),0)))))</f>
        <v>0</v>
      </c>
      <c r="AG31" s="27" t="n">
        <f aca="false">IF(COUNT('Arroz irrigado'!$E29:$Z29)=0,0,MAX(0,IF((AG$6-$E$3)&lt;1,0,IFERROR(LOOKUP(2,1/('Arroz irrigado'!$E29:INDEX('Arroz irrigado'!$E29:$Z29,MIN(AG$6-$E$3,22))&lt;&gt;""),'Arroz irrigado'!$E29:INDEX('Arroz irrigado'!$E29:$Z29,MIN(AG$6-$E$3,22))),0))-IF($G$2,0,IF((AG$6-$G$3)&lt;1,0,IFERROR(LOOKUP(2,1/('Arroz irrigado'!$E29:INDEX('Arroz irrigado'!$E29:$Z29,MIN(AG$6-$G$3,22))&lt;&gt;""),'Arroz irrigado'!$E29:INDEX('Arroz irrigado'!$E29:$Z29,MIN(AG$6-$G$3,22))),0)))))</f>
        <v>0</v>
      </c>
      <c r="AH31" s="27" t="n">
        <f aca="false">IF(COUNT('Arroz irrigado'!$E29:$Z29)=0,0,MAX(0,IF((AH$6-$E$3)&lt;1,0,IFERROR(LOOKUP(2,1/('Arroz irrigado'!$E29:INDEX('Arroz irrigado'!$E29:$Z29,MIN(AH$6-$E$3,22))&lt;&gt;""),'Arroz irrigado'!$E29:INDEX('Arroz irrigado'!$E29:$Z29,MIN(AH$6-$E$3,22))),0))-IF($G$2,0,IF((AH$6-$G$3)&lt;1,0,IFERROR(LOOKUP(2,1/('Arroz irrigado'!$E29:INDEX('Arroz irrigado'!$E29:$Z29,MIN(AH$6-$G$3,22))&lt;&gt;""),'Arroz irrigado'!$E29:INDEX('Arroz irrigado'!$E29:$Z29,MIN(AH$6-$G$3,22))),0)))))</f>
        <v>0</v>
      </c>
      <c r="AI31" s="27" t="n">
        <f aca="false">IF(COUNT('Arroz irrigado'!$E29:$Z29)=0,0,MAX(0,IF((AI$6-$E$3)&lt;1,0,IFERROR(LOOKUP(2,1/('Arroz irrigado'!$E29:INDEX('Arroz irrigado'!$E29:$Z29,MIN(AI$6-$E$3,22))&lt;&gt;""),'Arroz irrigado'!$E29:INDEX('Arroz irrigado'!$E29:$Z29,MIN(AI$6-$E$3,22))),0))-IF($G$2,0,IF((AI$6-$G$3)&lt;1,0,IFERROR(LOOKUP(2,1/('Arroz irrigado'!$E29:INDEX('Arroz irrigado'!$E29:$Z29,MIN(AI$6-$G$3,22))&lt;&gt;""),'Arroz irrigado'!$E29:INDEX('Arroz irrigado'!$E29:$Z29,MIN(AI$6-$G$3,22))),0)))))</f>
        <v>0</v>
      </c>
      <c r="AJ31" s="27" t="n">
        <f aca="false">IF(COUNT('Arroz irrigado'!$E29:$Z29)=0,0,MAX(0,IF((AJ$6-$E$3)&lt;1,0,IFERROR(LOOKUP(2,1/('Arroz irrigado'!$E29:INDEX('Arroz irrigado'!$E29:$Z29,MIN(AJ$6-$E$3,22))&lt;&gt;""),'Arroz irrigado'!$E29:INDEX('Arroz irrigado'!$E29:$Z29,MIN(AJ$6-$E$3,22))),0))-IF($G$2,0,IF((AJ$6-$G$3)&lt;1,0,IFERROR(LOOKUP(2,1/('Arroz irrigado'!$E29:INDEX('Arroz irrigado'!$E29:$Z29,MIN(AJ$6-$G$3,22))&lt;&gt;""),'Arroz irrigado'!$E29:INDEX('Arroz irrigado'!$E29:$Z29,MIN(AJ$6-$G$3,22))),0)))))</f>
        <v>0</v>
      </c>
      <c r="AK31" s="27" t="n">
        <f aca="false">IF(COUNT('Arroz irrigado'!$E29:$Z29)=0,0,MAX(0,IF((AK$6-$E$3)&lt;1,0,IFERROR(LOOKUP(2,1/('Arroz irrigado'!$E29:INDEX('Arroz irrigado'!$E29:$Z29,MIN(AK$6-$E$3,22))&lt;&gt;""),'Arroz irrigado'!$E29:INDEX('Arroz irrigado'!$E29:$Z29,MIN(AK$6-$E$3,22))),0))-IF($G$2,0,IF((AK$6-$G$3)&lt;1,0,IFERROR(LOOKUP(2,1/('Arroz irrigado'!$E29:INDEX('Arroz irrigado'!$E29:$Z29,MIN(AK$6-$G$3,22))&lt;&gt;""),'Arroz irrigado'!$E29:INDEX('Arroz irrigado'!$E29:$Z29,MIN(AK$6-$G$3,22))),0)))))</f>
        <v>0</v>
      </c>
      <c r="AL31" s="27" t="n">
        <f aca="false">IF(COUNT('Arroz irrigado'!$E29:$Z29)=0,0,MAX(0,IF((AL$6-$E$3)&lt;1,0,IFERROR(LOOKUP(2,1/('Arroz irrigado'!$E29:INDEX('Arroz irrigado'!$E29:$Z29,MIN(AL$6-$E$3,22))&lt;&gt;""),'Arroz irrigado'!$E29:INDEX('Arroz irrigado'!$E29:$Z29,MIN(AL$6-$E$3,22))),0))-IF($G$2,0,IF((AL$6-$G$3)&lt;1,0,IFERROR(LOOKUP(2,1/('Arroz irrigado'!$E29:INDEX('Arroz irrigado'!$E29:$Z29,MIN(AL$6-$G$3,22))&lt;&gt;""),'Arroz irrigado'!$E29:INDEX('Arroz irrigado'!$E29:$Z29,MIN(AL$6-$G$3,22))),0)))))</f>
        <v>0</v>
      </c>
      <c r="AM31" s="27" t="n">
        <f aca="false">IF(COUNT('Arroz irrigado'!$E29:$Z29)=0,0,MAX(0,IF((AM$6-$E$3)&lt;1,0,IFERROR(LOOKUP(2,1/('Arroz irrigado'!$E29:INDEX('Arroz irrigado'!$E29:$Z29,MIN(AM$6-$E$3,22))&lt;&gt;""),'Arroz irrigado'!$E29:INDEX('Arroz irrigado'!$E29:$Z29,MIN(AM$6-$E$3,22))),0))-IF($G$2,0,IF((AM$6-$G$3)&lt;1,0,IFERROR(LOOKUP(2,1/('Arroz irrigado'!$E29:INDEX('Arroz irrigado'!$E29:$Z29,MIN(AM$6-$G$3,22))&lt;&gt;""),'Arroz irrigado'!$E29:INDEX('Arroz irrigado'!$E29:$Z29,MIN(AM$6-$G$3,22))),0)))))</f>
        <v>0</v>
      </c>
      <c r="AN31" s="27" t="n">
        <f aca="false">IF(COUNT('Arroz irrigado'!$E29:$Z29)=0,0,MAX(0,IF((AN$6-$E$3)&lt;1,0,IFERROR(LOOKUP(2,1/('Arroz irrigado'!$E29:INDEX('Arroz irrigado'!$E29:$Z29,MIN(AN$6-$E$3,22))&lt;&gt;""),'Arroz irrigado'!$E29:INDEX('Arroz irrigado'!$E29:$Z29,MIN(AN$6-$E$3,22))),0))-IF($G$2,0,IF((AN$6-$G$3)&lt;1,0,IFERROR(LOOKUP(2,1/('Arroz irrigado'!$E29:INDEX('Arroz irrigado'!$E29:$Z29,MIN(AN$6-$G$3,22))&lt;&gt;""),'Arroz irrigado'!$E29:INDEX('Arroz irrigado'!$E29:$Z29,MIN(AN$6-$G$3,22))),0)))))</f>
        <v>0</v>
      </c>
      <c r="AO31" s="27" t="n">
        <f aca="false">IF(COUNT('Arroz irrigado'!$E29:$Z29)=0,0,MAX(0,IF((AO$6-$E$3)&lt;1,0,IFERROR(LOOKUP(2,1/('Arroz irrigado'!$E29:INDEX('Arroz irrigado'!$E29:$Z29,MIN(AO$6-$E$3,22))&lt;&gt;""),'Arroz irrigado'!$E29:INDEX('Arroz irrigado'!$E29:$Z29,MIN(AO$6-$E$3,22))),0))-IF($G$2,0,IF((AO$6-$G$3)&lt;1,0,IFERROR(LOOKUP(2,1/('Arroz irrigado'!$E29:INDEX('Arroz irrigado'!$E29:$Z29,MIN(AO$6-$G$3,22))&lt;&gt;""),'Arroz irrigado'!$E29:INDEX('Arroz irrigado'!$E29:$Z29,MIN(AO$6-$G$3,22))),0)))))</f>
        <v>0</v>
      </c>
      <c r="AP31" s="27" t="n">
        <f aca="false">IF(COUNT('Arroz irrigado'!$E29:$Z29)=0,0,MAX(0,IF((AP$6-$E$3)&lt;1,0,IFERROR(LOOKUP(2,1/('Arroz irrigado'!$E29:INDEX('Arroz irrigado'!$E29:$Z29,MIN(AP$6-$E$3,22))&lt;&gt;""),'Arroz irrigado'!$E29:INDEX('Arroz irrigado'!$E29:$Z29,MIN(AP$6-$E$3,22))),0))-IF($G$2,0,IF((AP$6-$G$3)&lt;1,0,IFERROR(LOOKUP(2,1/('Arroz irrigado'!$E29:INDEX('Arroz irrigado'!$E29:$Z29,MIN(AP$6-$G$3,22))&lt;&gt;""),'Arroz irrigado'!$E29:INDEX('Arroz irrigado'!$E29:$Z29,MIN(AP$6-$G$3,22))),0)))))</f>
        <v>0</v>
      </c>
      <c r="AQ31" s="27" t="n">
        <f aca="false">IF(COUNT('Arroz irrigado'!$E29:$Z29)=0,0,MAX(0,IF((AQ$6-$E$3)&lt;1,0,IFERROR(LOOKUP(2,1/('Arroz irrigado'!$E29:INDEX('Arroz irrigado'!$E29:$Z29,MIN(AQ$6-$E$3,22))&lt;&gt;""),'Arroz irrigado'!$E29:INDEX('Arroz irrigado'!$E29:$Z29,MIN(AQ$6-$E$3,22))),0))-IF($G$2,0,IF((AQ$6-$G$3)&lt;1,0,IFERROR(LOOKUP(2,1/('Arroz irrigado'!$E29:INDEX('Arroz irrigado'!$E29:$Z29,MIN(AQ$6-$G$3,22))&lt;&gt;""),'Arroz irrigado'!$E29:INDEX('Arroz irrigado'!$E29:$Z29,MIN(AQ$6-$G$3,22))),0)))))</f>
        <v>0</v>
      </c>
      <c r="AR31" s="27" t="n">
        <f aca="false">IF(COUNT('Arroz irrigado'!$E29:$Z29)=0,0,MAX(0,IF((AR$6-$E$3)&lt;1,0,IFERROR(LOOKUP(2,1/('Arroz irrigado'!$E29:INDEX('Arroz irrigado'!$E29:$Z29,MIN(AR$6-$E$3,22))&lt;&gt;""),'Arroz irrigado'!$E29:INDEX('Arroz irrigado'!$E29:$Z29,MIN(AR$6-$E$3,22))),0))-IF($G$2,0,IF((AR$6-$G$3)&lt;1,0,IFERROR(LOOKUP(2,1/('Arroz irrigado'!$E29:INDEX('Arroz irrigado'!$E29:$Z29,MIN(AR$6-$G$3,22))&lt;&gt;""),'Arroz irrigado'!$E29:INDEX('Arroz irrigado'!$E29:$Z29,MIN(AR$6-$G$3,22))),0)))))</f>
        <v>0</v>
      </c>
      <c r="AS31" s="27" t="n">
        <f aca="false">IF(COUNT('Arroz irrigado'!$E29:$Z29)=0,0,MAX(0,IF((AS$6-$E$3)&lt;1,0,IFERROR(LOOKUP(2,1/('Arroz irrigado'!$E29:INDEX('Arroz irrigado'!$E29:$Z29,MIN(AS$6-$E$3,22))&lt;&gt;""),'Arroz irrigado'!$E29:INDEX('Arroz irrigado'!$E29:$Z29,MIN(AS$6-$E$3,22))),0))-IF($G$2,0,IF((AS$6-$G$3)&lt;1,0,IFERROR(LOOKUP(2,1/('Arroz irrigado'!$E29:INDEX('Arroz irrigado'!$E29:$Z29,MIN(AS$6-$G$3,22))&lt;&gt;""),'Arroz irrigado'!$E29:INDEX('Arroz irrigado'!$E29:$Z29,MIN(AS$6-$G$3,22))),0)))))</f>
        <v>0</v>
      </c>
      <c r="AT31" s="27" t="n">
        <f aca="false">IF(COUNT('Arroz irrigado'!$E29:$Z29)=0,0,MAX(0,IF((AT$6-$E$3)&lt;1,0,IFERROR(LOOKUP(2,1/('Arroz irrigado'!$E29:INDEX('Arroz irrigado'!$E29:$Z29,MIN(AT$6-$E$3,22))&lt;&gt;""),'Arroz irrigado'!$E29:INDEX('Arroz irrigado'!$E29:$Z29,MIN(AT$6-$E$3,22))),0))-IF($G$2,0,IF((AT$6-$G$3)&lt;1,0,IFERROR(LOOKUP(2,1/('Arroz irrigado'!$E29:INDEX('Arroz irrigado'!$E29:$Z29,MIN(AT$6-$G$3,22))&lt;&gt;""),'Arroz irrigado'!$E29:INDEX('Arroz irrigado'!$E29:$Z29,MIN(AT$6-$G$3,22))),0)))))</f>
        <v>0</v>
      </c>
      <c r="AU31" s="27" t="n">
        <f aca="false">IF(COUNT('Arroz irrigado'!$E29:$Z29)=0,0,MAX(0,IF((AU$6-$E$3)&lt;1,0,IFERROR(LOOKUP(2,1/('Arroz irrigado'!$E29:INDEX('Arroz irrigado'!$E29:$Z29,MIN(AU$6-$E$3,22))&lt;&gt;""),'Arroz irrigado'!$E29:INDEX('Arroz irrigado'!$E29:$Z29,MIN(AU$6-$E$3,22))),0))-IF($G$2,0,IF((AU$6-$G$3)&lt;1,0,IFERROR(LOOKUP(2,1/('Arroz irrigado'!$E29:INDEX('Arroz irrigado'!$E29:$Z29,MIN(AU$6-$G$3,22))&lt;&gt;""),'Arroz irrigado'!$E29:INDEX('Arroz irrigado'!$E29:$Z29,MIN(AU$6-$G$3,22))),0)))))</f>
        <v>0</v>
      </c>
      <c r="AV31" s="27" t="n">
        <f aca="false">IF(COUNT('Arroz irrigado'!$E29:$Z29)=0,0,MAX(0,IF((AV$6-$E$3)&lt;1,0,IFERROR(LOOKUP(2,1/('Arroz irrigado'!$E29:INDEX('Arroz irrigado'!$E29:$Z29,MIN(AV$6-$E$3,22))&lt;&gt;""),'Arroz irrigado'!$E29:INDEX('Arroz irrigado'!$E29:$Z29,MIN(AV$6-$E$3,22))),0))-IF($G$2,0,IF((AV$6-$G$3)&lt;1,0,IFERROR(LOOKUP(2,1/('Arroz irrigado'!$E29:INDEX('Arroz irrigado'!$E29:$Z29,MIN(AV$6-$G$3,22))&lt;&gt;""),'Arroz irrigado'!$E29:INDEX('Arroz irrigado'!$E29:$Z29,MIN(AV$6-$G$3,22))),0)))))</f>
        <v>0</v>
      </c>
      <c r="AW31" s="27" t="n">
        <f aca="false">IF(COUNT('Arroz irrigado'!$E29:$Z29)=0,0,MAX(0,IF((AW$6-$E$3)&lt;1,0,IFERROR(LOOKUP(2,1/('Arroz irrigado'!$E29:INDEX('Arroz irrigado'!$E29:$Z29,MIN(AW$6-$E$3,22))&lt;&gt;""),'Arroz irrigado'!$E29:INDEX('Arroz irrigado'!$E29:$Z29,MIN(AW$6-$E$3,22))),0))-IF($G$2,0,IF((AW$6-$G$3)&lt;1,0,IFERROR(LOOKUP(2,1/('Arroz irrigado'!$E29:INDEX('Arroz irrigado'!$E29:$Z29,MIN(AW$6-$G$3,22))&lt;&gt;""),'Arroz irrigado'!$E29:INDEX('Arroz irrigado'!$E29:$Z29,MIN(AW$6-$G$3,22))),0)))))</f>
        <v>0</v>
      </c>
      <c r="AX31" s="27" t="n">
        <f aca="false">IF(COUNT('Arroz irrigado'!$E29:$Z29)=0,0,MAX(0,IF((AX$6-$E$3)&lt;1,0,IFERROR(LOOKUP(2,1/('Arroz irrigado'!$E29:INDEX('Arroz irrigado'!$E29:$Z29,MIN(AX$6-$E$3,22))&lt;&gt;""),'Arroz irrigado'!$E29:INDEX('Arroz irrigado'!$E29:$Z29,MIN(AX$6-$E$3,22))),0))-IF($G$2,0,IF((AX$6-$G$3)&lt;1,0,IFERROR(LOOKUP(2,1/('Arroz irrigado'!$E29:INDEX('Arroz irrigado'!$E29:$Z29,MIN(AX$6-$G$3,22))&lt;&gt;""),'Arroz irrigado'!$E29:INDEX('Arroz irrigado'!$E29:$Z29,MIN(AX$6-$G$3,22))),0)))))</f>
        <v>0</v>
      </c>
      <c r="AY31" s="27" t="n">
        <f aca="false">IF(COUNT('Arroz irrigado'!$E29:$Z29)=0,0,MAX(0,IF((AY$6-$E$3)&lt;1,0,IFERROR(LOOKUP(2,1/('Arroz irrigado'!$E29:INDEX('Arroz irrigado'!$E29:$Z29,MIN(AY$6-$E$3,22))&lt;&gt;""),'Arroz irrigado'!$E29:INDEX('Arroz irrigado'!$E29:$Z29,MIN(AY$6-$E$3,22))),0))-IF($G$2,0,IF((AY$6-$G$3)&lt;1,0,IFERROR(LOOKUP(2,1/('Arroz irrigado'!$E29:INDEX('Arroz irrigado'!$E29:$Z29,MIN(AY$6-$G$3,22))&lt;&gt;""),'Arroz irrigado'!$E29:INDEX('Arroz irrigado'!$E29:$Z29,MIN(AY$6-$G$3,22))),0)))))</f>
        <v>0</v>
      </c>
      <c r="AZ31" s="27" t="n">
        <f aca="false">IF(COUNT('Arroz irrigado'!$E29:$Z29)=0,0,MAX(0,IF((AZ$6-$E$3)&lt;1,0,IFERROR(LOOKUP(2,1/('Arroz irrigado'!$E29:INDEX('Arroz irrigado'!$E29:$Z29,MIN(AZ$6-$E$3,22))&lt;&gt;""),'Arroz irrigado'!$E29:INDEX('Arroz irrigado'!$E29:$Z29,MIN(AZ$6-$E$3,22))),0))-IF($G$2,0,IF((AZ$6-$G$3)&lt;1,0,IFERROR(LOOKUP(2,1/('Arroz irrigado'!$E29:INDEX('Arroz irrigado'!$E29:$Z29,MIN(AZ$6-$G$3,22))&lt;&gt;""),'Arroz irrigado'!$E29:INDEX('Arroz irrigado'!$E29:$Z29,MIN(AZ$6-$G$3,22))),0)))))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IF(COUNT('Arroz irrigado'!$E30:$Z30)&gt;0,N('Arroz irrigado'!$D30),0)</f>
        <v>0</v>
      </c>
      <c r="E32" s="27" t="n">
        <f aca="false">IF(COUNT('Arroz irrigado'!$E30:$Z30)=0,0,MAX(0,IF((E$6-$E$3)&lt;1,0,IFERROR(LOOKUP(2,1/('Arroz irrigado'!$E30:INDEX('Arroz irrigado'!$E30:$Z30,MIN(E$6-$E$3,22))&lt;&gt;""),'Arroz irrigado'!$E30:INDEX('Arroz irrigado'!$E30:$Z30,MIN(E$6-$E$3,22))),0))-IF($G$2,0,IF((E$6-$G$3)&lt;1,0,IFERROR(LOOKUP(2,1/('Arroz irrigado'!$E30:INDEX('Arroz irrigado'!$E30:$Z30,MIN(E$6-$G$3,22))&lt;&gt;""),'Arroz irrigado'!$E30:INDEX('Arroz irrigado'!$E30:$Z30,MIN(E$6-$G$3,22))),0)))))</f>
        <v>0</v>
      </c>
      <c r="F32" s="27" t="n">
        <f aca="false">IF(COUNT('Arroz irrigado'!$E30:$Z30)=0,0,MAX(0,IF((F$6-$E$3)&lt;1,0,IFERROR(LOOKUP(2,1/('Arroz irrigado'!$E30:INDEX('Arroz irrigado'!$E30:$Z30,MIN(F$6-$E$3,22))&lt;&gt;""),'Arroz irrigado'!$E30:INDEX('Arroz irrigado'!$E30:$Z30,MIN(F$6-$E$3,22))),0))-IF($G$2,0,IF((F$6-$G$3)&lt;1,0,IFERROR(LOOKUP(2,1/('Arroz irrigado'!$E30:INDEX('Arroz irrigado'!$E30:$Z30,MIN(F$6-$G$3,22))&lt;&gt;""),'Arroz irrigado'!$E30:INDEX('Arroz irrigado'!$E30:$Z30,MIN(F$6-$G$3,22))),0)))))</f>
        <v>0</v>
      </c>
      <c r="G32" s="27" t="n">
        <f aca="false">IF(COUNT('Arroz irrigado'!$E30:$Z30)=0,0,MAX(0,IF((G$6-$E$3)&lt;1,0,IFERROR(LOOKUP(2,1/('Arroz irrigado'!$E30:INDEX('Arroz irrigado'!$E30:$Z30,MIN(G$6-$E$3,22))&lt;&gt;""),'Arroz irrigado'!$E30:INDEX('Arroz irrigado'!$E30:$Z30,MIN(G$6-$E$3,22))),0))-IF($G$2,0,IF((G$6-$G$3)&lt;1,0,IFERROR(LOOKUP(2,1/('Arroz irrigado'!$E30:INDEX('Arroz irrigado'!$E30:$Z30,MIN(G$6-$G$3,22))&lt;&gt;""),'Arroz irrigado'!$E30:INDEX('Arroz irrigado'!$E30:$Z30,MIN(G$6-$G$3,22))),0)))))</f>
        <v>0</v>
      </c>
      <c r="H32" s="27" t="n">
        <f aca="false">IF(COUNT('Arroz irrigado'!$E30:$Z30)=0,0,MAX(0,IF((H$6-$E$3)&lt;1,0,IFERROR(LOOKUP(2,1/('Arroz irrigado'!$E30:INDEX('Arroz irrigado'!$E30:$Z30,MIN(H$6-$E$3,22))&lt;&gt;""),'Arroz irrigado'!$E30:INDEX('Arroz irrigado'!$E30:$Z30,MIN(H$6-$E$3,22))),0))-IF($G$2,0,IF((H$6-$G$3)&lt;1,0,IFERROR(LOOKUP(2,1/('Arroz irrigado'!$E30:INDEX('Arroz irrigado'!$E30:$Z30,MIN(H$6-$G$3,22))&lt;&gt;""),'Arroz irrigado'!$E30:INDEX('Arroz irrigado'!$E30:$Z30,MIN(H$6-$G$3,22))),0)))))</f>
        <v>0</v>
      </c>
      <c r="I32" s="27" t="n">
        <f aca="false">IF(COUNT('Arroz irrigado'!$E30:$Z30)=0,0,MAX(0,IF((I$6-$E$3)&lt;1,0,IFERROR(LOOKUP(2,1/('Arroz irrigado'!$E30:INDEX('Arroz irrigado'!$E30:$Z30,MIN(I$6-$E$3,22))&lt;&gt;""),'Arroz irrigado'!$E30:INDEX('Arroz irrigado'!$E30:$Z30,MIN(I$6-$E$3,22))),0))-IF($G$2,0,IF((I$6-$G$3)&lt;1,0,IFERROR(LOOKUP(2,1/('Arroz irrigado'!$E30:INDEX('Arroz irrigado'!$E30:$Z30,MIN(I$6-$G$3,22))&lt;&gt;""),'Arroz irrigado'!$E30:INDEX('Arroz irrigado'!$E30:$Z30,MIN(I$6-$G$3,22))),0)))))</f>
        <v>0</v>
      </c>
      <c r="J32" s="27" t="n">
        <f aca="false">IF(COUNT('Arroz irrigado'!$E30:$Z30)=0,0,MAX(0,IF((J$6-$E$3)&lt;1,0,IFERROR(LOOKUP(2,1/('Arroz irrigado'!$E30:INDEX('Arroz irrigado'!$E30:$Z30,MIN(J$6-$E$3,22))&lt;&gt;""),'Arroz irrigado'!$E30:INDEX('Arroz irrigado'!$E30:$Z30,MIN(J$6-$E$3,22))),0))-IF($G$2,0,IF((J$6-$G$3)&lt;1,0,IFERROR(LOOKUP(2,1/('Arroz irrigado'!$E30:INDEX('Arroz irrigado'!$E30:$Z30,MIN(J$6-$G$3,22))&lt;&gt;""),'Arroz irrigado'!$E30:INDEX('Arroz irrigado'!$E30:$Z30,MIN(J$6-$G$3,22))),0)))))</f>
        <v>0</v>
      </c>
      <c r="K32" s="27" t="n">
        <f aca="false">IF(COUNT('Arroz irrigado'!$E30:$Z30)=0,0,MAX(0,IF((K$6-$E$3)&lt;1,0,IFERROR(LOOKUP(2,1/('Arroz irrigado'!$E30:INDEX('Arroz irrigado'!$E30:$Z30,MIN(K$6-$E$3,22))&lt;&gt;""),'Arroz irrigado'!$E30:INDEX('Arroz irrigado'!$E30:$Z30,MIN(K$6-$E$3,22))),0))-IF($G$2,0,IF((K$6-$G$3)&lt;1,0,IFERROR(LOOKUP(2,1/('Arroz irrigado'!$E30:INDEX('Arroz irrigado'!$E30:$Z30,MIN(K$6-$G$3,22))&lt;&gt;""),'Arroz irrigado'!$E30:INDEX('Arroz irrigado'!$E30:$Z30,MIN(K$6-$G$3,22))),0)))))</f>
        <v>0</v>
      </c>
      <c r="L32" s="27" t="n">
        <f aca="false">IF(COUNT('Arroz irrigado'!$E30:$Z30)=0,0,MAX(0,IF((L$6-$E$3)&lt;1,0,IFERROR(LOOKUP(2,1/('Arroz irrigado'!$E30:INDEX('Arroz irrigado'!$E30:$Z30,MIN(L$6-$E$3,22))&lt;&gt;""),'Arroz irrigado'!$E30:INDEX('Arroz irrigado'!$E30:$Z30,MIN(L$6-$E$3,22))),0))-IF($G$2,0,IF((L$6-$G$3)&lt;1,0,IFERROR(LOOKUP(2,1/('Arroz irrigado'!$E30:INDEX('Arroz irrigado'!$E30:$Z30,MIN(L$6-$G$3,22))&lt;&gt;""),'Arroz irrigado'!$E30:INDEX('Arroz irrigado'!$E30:$Z30,MIN(L$6-$G$3,22))),0)))))</f>
        <v>0</v>
      </c>
      <c r="M32" s="27" t="n">
        <f aca="false">IF(COUNT('Arroz irrigado'!$E30:$Z30)=0,0,MAX(0,IF((M$6-$E$3)&lt;1,0,IFERROR(LOOKUP(2,1/('Arroz irrigado'!$E30:INDEX('Arroz irrigado'!$E30:$Z30,MIN(M$6-$E$3,22))&lt;&gt;""),'Arroz irrigado'!$E30:INDEX('Arroz irrigado'!$E30:$Z30,MIN(M$6-$E$3,22))),0))-IF($G$2,0,IF((M$6-$G$3)&lt;1,0,IFERROR(LOOKUP(2,1/('Arroz irrigado'!$E30:INDEX('Arroz irrigado'!$E30:$Z30,MIN(M$6-$G$3,22))&lt;&gt;""),'Arroz irrigado'!$E30:INDEX('Arroz irrigado'!$E30:$Z30,MIN(M$6-$G$3,22))),0)))))</f>
        <v>0</v>
      </c>
      <c r="N32" s="27" t="n">
        <f aca="false">IF(COUNT('Arroz irrigado'!$E30:$Z30)=0,0,MAX(0,IF((N$6-$E$3)&lt;1,0,IFERROR(LOOKUP(2,1/('Arroz irrigado'!$E30:INDEX('Arroz irrigado'!$E30:$Z30,MIN(N$6-$E$3,22))&lt;&gt;""),'Arroz irrigado'!$E30:INDEX('Arroz irrigado'!$E30:$Z30,MIN(N$6-$E$3,22))),0))-IF($G$2,0,IF((N$6-$G$3)&lt;1,0,IFERROR(LOOKUP(2,1/('Arroz irrigado'!$E30:INDEX('Arroz irrigado'!$E30:$Z30,MIN(N$6-$G$3,22))&lt;&gt;""),'Arroz irrigado'!$E30:INDEX('Arroz irrigado'!$E30:$Z30,MIN(N$6-$G$3,22))),0)))))</f>
        <v>0</v>
      </c>
      <c r="O32" s="27" t="n">
        <f aca="false">IF(COUNT('Arroz irrigado'!$E30:$Z30)=0,0,MAX(0,IF((O$6-$E$3)&lt;1,0,IFERROR(LOOKUP(2,1/('Arroz irrigado'!$E30:INDEX('Arroz irrigado'!$E30:$Z30,MIN(O$6-$E$3,22))&lt;&gt;""),'Arroz irrigado'!$E30:INDEX('Arroz irrigado'!$E30:$Z30,MIN(O$6-$E$3,22))),0))-IF($G$2,0,IF((O$6-$G$3)&lt;1,0,IFERROR(LOOKUP(2,1/('Arroz irrigado'!$E30:INDEX('Arroz irrigado'!$E30:$Z30,MIN(O$6-$G$3,22))&lt;&gt;""),'Arroz irrigado'!$E30:INDEX('Arroz irrigado'!$E30:$Z30,MIN(O$6-$G$3,22))),0)))))</f>
        <v>0</v>
      </c>
      <c r="P32" s="27" t="n">
        <f aca="false">IF(COUNT('Arroz irrigado'!$E30:$Z30)=0,0,MAX(0,IF((P$6-$E$3)&lt;1,0,IFERROR(LOOKUP(2,1/('Arroz irrigado'!$E30:INDEX('Arroz irrigado'!$E30:$Z30,MIN(P$6-$E$3,22))&lt;&gt;""),'Arroz irrigado'!$E30:INDEX('Arroz irrigado'!$E30:$Z30,MIN(P$6-$E$3,22))),0))-IF($G$2,0,IF((P$6-$G$3)&lt;1,0,IFERROR(LOOKUP(2,1/('Arroz irrigado'!$E30:INDEX('Arroz irrigado'!$E30:$Z30,MIN(P$6-$G$3,22))&lt;&gt;""),'Arroz irrigado'!$E30:INDEX('Arroz irrigado'!$E30:$Z30,MIN(P$6-$G$3,22))),0)))))</f>
        <v>0</v>
      </c>
      <c r="Q32" s="27" t="n">
        <f aca="false">IF(COUNT('Arroz irrigado'!$E30:$Z30)=0,0,MAX(0,IF((Q$6-$E$3)&lt;1,0,IFERROR(LOOKUP(2,1/('Arroz irrigado'!$E30:INDEX('Arroz irrigado'!$E30:$Z30,MIN(Q$6-$E$3,22))&lt;&gt;""),'Arroz irrigado'!$E30:INDEX('Arroz irrigado'!$E30:$Z30,MIN(Q$6-$E$3,22))),0))-IF($G$2,0,IF((Q$6-$G$3)&lt;1,0,IFERROR(LOOKUP(2,1/('Arroz irrigado'!$E30:INDEX('Arroz irrigado'!$E30:$Z30,MIN(Q$6-$G$3,22))&lt;&gt;""),'Arroz irrigado'!$E30:INDEX('Arroz irrigado'!$E30:$Z30,MIN(Q$6-$G$3,22))),0)))))</f>
        <v>0</v>
      </c>
      <c r="R32" s="27" t="n">
        <f aca="false">IF(COUNT('Arroz irrigado'!$E30:$Z30)=0,0,MAX(0,IF((R$6-$E$3)&lt;1,0,IFERROR(LOOKUP(2,1/('Arroz irrigado'!$E30:INDEX('Arroz irrigado'!$E30:$Z30,MIN(R$6-$E$3,22))&lt;&gt;""),'Arroz irrigado'!$E30:INDEX('Arroz irrigado'!$E30:$Z30,MIN(R$6-$E$3,22))),0))-IF($G$2,0,IF((R$6-$G$3)&lt;1,0,IFERROR(LOOKUP(2,1/('Arroz irrigado'!$E30:INDEX('Arroz irrigado'!$E30:$Z30,MIN(R$6-$G$3,22))&lt;&gt;""),'Arroz irrigado'!$E30:INDEX('Arroz irrigado'!$E30:$Z30,MIN(R$6-$G$3,22))),0)))))</f>
        <v>0</v>
      </c>
      <c r="S32" s="27" t="n">
        <f aca="false">IF(COUNT('Arroz irrigado'!$E30:$Z30)=0,0,MAX(0,IF((S$6-$E$3)&lt;1,0,IFERROR(LOOKUP(2,1/('Arroz irrigado'!$E30:INDEX('Arroz irrigado'!$E30:$Z30,MIN(S$6-$E$3,22))&lt;&gt;""),'Arroz irrigado'!$E30:INDEX('Arroz irrigado'!$E30:$Z30,MIN(S$6-$E$3,22))),0))-IF($G$2,0,IF((S$6-$G$3)&lt;1,0,IFERROR(LOOKUP(2,1/('Arroz irrigado'!$E30:INDEX('Arroz irrigado'!$E30:$Z30,MIN(S$6-$G$3,22))&lt;&gt;""),'Arroz irrigado'!$E30:INDEX('Arroz irrigado'!$E30:$Z30,MIN(S$6-$G$3,22))),0)))))</f>
        <v>0</v>
      </c>
      <c r="T32" s="27" t="n">
        <f aca="false">IF(COUNT('Arroz irrigado'!$E30:$Z30)=0,0,MAX(0,IF((T$6-$E$3)&lt;1,0,IFERROR(LOOKUP(2,1/('Arroz irrigado'!$E30:INDEX('Arroz irrigado'!$E30:$Z30,MIN(T$6-$E$3,22))&lt;&gt;""),'Arroz irrigado'!$E30:INDEX('Arroz irrigado'!$E30:$Z30,MIN(T$6-$E$3,22))),0))-IF($G$2,0,IF((T$6-$G$3)&lt;1,0,IFERROR(LOOKUP(2,1/('Arroz irrigado'!$E30:INDEX('Arroz irrigado'!$E30:$Z30,MIN(T$6-$G$3,22))&lt;&gt;""),'Arroz irrigado'!$E30:INDEX('Arroz irrigado'!$E30:$Z30,MIN(T$6-$G$3,22))),0)))))</f>
        <v>0</v>
      </c>
      <c r="U32" s="27" t="n">
        <f aca="false">IF(COUNT('Arroz irrigado'!$E30:$Z30)=0,0,MAX(0,IF((U$6-$E$3)&lt;1,0,IFERROR(LOOKUP(2,1/('Arroz irrigado'!$E30:INDEX('Arroz irrigado'!$E30:$Z30,MIN(U$6-$E$3,22))&lt;&gt;""),'Arroz irrigado'!$E30:INDEX('Arroz irrigado'!$E30:$Z30,MIN(U$6-$E$3,22))),0))-IF($G$2,0,IF((U$6-$G$3)&lt;1,0,IFERROR(LOOKUP(2,1/('Arroz irrigado'!$E30:INDEX('Arroz irrigado'!$E30:$Z30,MIN(U$6-$G$3,22))&lt;&gt;""),'Arroz irrigado'!$E30:INDEX('Arroz irrigado'!$E30:$Z30,MIN(U$6-$G$3,22))),0)))))</f>
        <v>0</v>
      </c>
      <c r="V32" s="27" t="n">
        <f aca="false">IF(COUNT('Arroz irrigado'!$E30:$Z30)=0,0,MAX(0,IF((V$6-$E$3)&lt;1,0,IFERROR(LOOKUP(2,1/('Arroz irrigado'!$E30:INDEX('Arroz irrigado'!$E30:$Z30,MIN(V$6-$E$3,22))&lt;&gt;""),'Arroz irrigado'!$E30:INDEX('Arroz irrigado'!$E30:$Z30,MIN(V$6-$E$3,22))),0))-IF($G$2,0,IF((V$6-$G$3)&lt;1,0,IFERROR(LOOKUP(2,1/('Arroz irrigado'!$E30:INDEX('Arroz irrigado'!$E30:$Z30,MIN(V$6-$G$3,22))&lt;&gt;""),'Arroz irrigado'!$E30:INDEX('Arroz irrigado'!$E30:$Z30,MIN(V$6-$G$3,22))),0)))))</f>
        <v>0</v>
      </c>
      <c r="W32" s="27" t="n">
        <f aca="false">IF(COUNT('Arroz irrigado'!$E30:$Z30)=0,0,MAX(0,IF((W$6-$E$3)&lt;1,0,IFERROR(LOOKUP(2,1/('Arroz irrigado'!$E30:INDEX('Arroz irrigado'!$E30:$Z30,MIN(W$6-$E$3,22))&lt;&gt;""),'Arroz irrigado'!$E30:INDEX('Arroz irrigado'!$E30:$Z30,MIN(W$6-$E$3,22))),0))-IF($G$2,0,IF((W$6-$G$3)&lt;1,0,IFERROR(LOOKUP(2,1/('Arroz irrigado'!$E30:INDEX('Arroz irrigado'!$E30:$Z30,MIN(W$6-$G$3,22))&lt;&gt;""),'Arroz irrigado'!$E30:INDEX('Arroz irrigado'!$E30:$Z30,MIN(W$6-$G$3,22))),0)))))</f>
        <v>0</v>
      </c>
      <c r="X32" s="27" t="n">
        <f aca="false">IF(COUNT('Arroz irrigado'!$E30:$Z30)=0,0,MAX(0,IF((X$6-$E$3)&lt;1,0,IFERROR(LOOKUP(2,1/('Arroz irrigado'!$E30:INDEX('Arroz irrigado'!$E30:$Z30,MIN(X$6-$E$3,22))&lt;&gt;""),'Arroz irrigado'!$E30:INDEX('Arroz irrigado'!$E30:$Z30,MIN(X$6-$E$3,22))),0))-IF($G$2,0,IF((X$6-$G$3)&lt;1,0,IFERROR(LOOKUP(2,1/('Arroz irrigado'!$E30:INDEX('Arroz irrigado'!$E30:$Z30,MIN(X$6-$G$3,22))&lt;&gt;""),'Arroz irrigado'!$E30:INDEX('Arroz irrigado'!$E30:$Z30,MIN(X$6-$G$3,22))),0)))))</f>
        <v>0</v>
      </c>
      <c r="Y32" s="27" t="n">
        <f aca="false">IF(COUNT('Arroz irrigado'!$E30:$Z30)=0,0,MAX(0,IF((Y$6-$E$3)&lt;1,0,IFERROR(LOOKUP(2,1/('Arroz irrigado'!$E30:INDEX('Arroz irrigado'!$E30:$Z30,MIN(Y$6-$E$3,22))&lt;&gt;""),'Arroz irrigado'!$E30:INDEX('Arroz irrigado'!$E30:$Z30,MIN(Y$6-$E$3,22))),0))-IF($G$2,0,IF((Y$6-$G$3)&lt;1,0,IFERROR(LOOKUP(2,1/('Arroz irrigado'!$E30:INDEX('Arroz irrigado'!$E30:$Z30,MIN(Y$6-$G$3,22))&lt;&gt;""),'Arroz irrigado'!$E30:INDEX('Arroz irrigado'!$E30:$Z30,MIN(Y$6-$G$3,22))),0)))))</f>
        <v>0</v>
      </c>
      <c r="Z32" s="27" t="n">
        <f aca="false">IF(COUNT('Arroz irrigado'!$E30:$Z30)=0,0,MAX(0,IF((Z$6-$E$3)&lt;1,0,IFERROR(LOOKUP(2,1/('Arroz irrigado'!$E30:INDEX('Arroz irrigado'!$E30:$Z30,MIN(Z$6-$E$3,22))&lt;&gt;""),'Arroz irrigado'!$E30:INDEX('Arroz irrigado'!$E30:$Z30,MIN(Z$6-$E$3,22))),0))-IF($G$2,0,IF((Z$6-$G$3)&lt;1,0,IFERROR(LOOKUP(2,1/('Arroz irrigado'!$E30:INDEX('Arroz irrigado'!$E30:$Z30,MIN(Z$6-$G$3,22))&lt;&gt;""),'Arroz irrigado'!$E30:INDEX('Arroz irrigado'!$E30:$Z30,MIN(Z$6-$G$3,22))),0)))))</f>
        <v>0</v>
      </c>
      <c r="AA32" s="27" t="n">
        <f aca="false">IF(COUNT('Arroz irrigado'!$E30:$Z30)=0,0,MAX(0,IF((AA$6-$E$3)&lt;1,0,IFERROR(LOOKUP(2,1/('Arroz irrigado'!$E30:INDEX('Arroz irrigado'!$E30:$Z30,MIN(AA$6-$E$3,22))&lt;&gt;""),'Arroz irrigado'!$E30:INDEX('Arroz irrigado'!$E30:$Z30,MIN(AA$6-$E$3,22))),0))-IF($G$2,0,IF((AA$6-$G$3)&lt;1,0,IFERROR(LOOKUP(2,1/('Arroz irrigado'!$E30:INDEX('Arroz irrigado'!$E30:$Z30,MIN(AA$6-$G$3,22))&lt;&gt;""),'Arroz irrigado'!$E30:INDEX('Arroz irrigado'!$E30:$Z30,MIN(AA$6-$G$3,22))),0)))))</f>
        <v>0</v>
      </c>
      <c r="AB32" s="27" t="n">
        <f aca="false">IF(COUNT('Arroz irrigado'!$E30:$Z30)=0,0,MAX(0,IF((AB$6-$E$3)&lt;1,0,IFERROR(LOOKUP(2,1/('Arroz irrigado'!$E30:INDEX('Arroz irrigado'!$E30:$Z30,MIN(AB$6-$E$3,22))&lt;&gt;""),'Arroz irrigado'!$E30:INDEX('Arroz irrigado'!$E30:$Z30,MIN(AB$6-$E$3,22))),0))-IF($G$2,0,IF((AB$6-$G$3)&lt;1,0,IFERROR(LOOKUP(2,1/('Arroz irrigado'!$E30:INDEX('Arroz irrigado'!$E30:$Z30,MIN(AB$6-$G$3,22))&lt;&gt;""),'Arroz irrigado'!$E30:INDEX('Arroz irrigado'!$E30:$Z30,MIN(AB$6-$G$3,22))),0)))))</f>
        <v>0</v>
      </c>
      <c r="AC32" s="27" t="n">
        <f aca="false">IF(COUNT('Arroz irrigado'!$E30:$Z30)=0,0,MAX(0,IF((AC$6-$E$3)&lt;1,0,IFERROR(LOOKUP(2,1/('Arroz irrigado'!$E30:INDEX('Arroz irrigado'!$E30:$Z30,MIN(AC$6-$E$3,22))&lt;&gt;""),'Arroz irrigado'!$E30:INDEX('Arroz irrigado'!$E30:$Z30,MIN(AC$6-$E$3,22))),0))-IF($G$2,0,IF((AC$6-$G$3)&lt;1,0,IFERROR(LOOKUP(2,1/('Arroz irrigado'!$E30:INDEX('Arroz irrigado'!$E30:$Z30,MIN(AC$6-$G$3,22))&lt;&gt;""),'Arroz irrigado'!$E30:INDEX('Arroz irrigado'!$E30:$Z30,MIN(AC$6-$G$3,22))),0)))))</f>
        <v>0</v>
      </c>
      <c r="AD32" s="27" t="n">
        <f aca="false">IF(COUNT('Arroz irrigado'!$E30:$Z30)=0,0,MAX(0,IF((AD$6-$E$3)&lt;1,0,IFERROR(LOOKUP(2,1/('Arroz irrigado'!$E30:INDEX('Arroz irrigado'!$E30:$Z30,MIN(AD$6-$E$3,22))&lt;&gt;""),'Arroz irrigado'!$E30:INDEX('Arroz irrigado'!$E30:$Z30,MIN(AD$6-$E$3,22))),0))-IF($G$2,0,IF((AD$6-$G$3)&lt;1,0,IFERROR(LOOKUP(2,1/('Arroz irrigado'!$E30:INDEX('Arroz irrigado'!$E30:$Z30,MIN(AD$6-$G$3,22))&lt;&gt;""),'Arroz irrigado'!$E30:INDEX('Arroz irrigado'!$E30:$Z30,MIN(AD$6-$G$3,22))),0)))))</f>
        <v>0</v>
      </c>
      <c r="AE32" s="27" t="n">
        <f aca="false">IF(COUNT('Arroz irrigado'!$E30:$Z30)=0,0,MAX(0,IF((AE$6-$E$3)&lt;1,0,IFERROR(LOOKUP(2,1/('Arroz irrigado'!$E30:INDEX('Arroz irrigado'!$E30:$Z30,MIN(AE$6-$E$3,22))&lt;&gt;""),'Arroz irrigado'!$E30:INDEX('Arroz irrigado'!$E30:$Z30,MIN(AE$6-$E$3,22))),0))-IF($G$2,0,IF((AE$6-$G$3)&lt;1,0,IFERROR(LOOKUP(2,1/('Arroz irrigado'!$E30:INDEX('Arroz irrigado'!$E30:$Z30,MIN(AE$6-$G$3,22))&lt;&gt;""),'Arroz irrigado'!$E30:INDEX('Arroz irrigado'!$E30:$Z30,MIN(AE$6-$G$3,22))),0)))))</f>
        <v>0</v>
      </c>
      <c r="AF32" s="27" t="n">
        <f aca="false">IF(COUNT('Arroz irrigado'!$E30:$Z30)=0,0,MAX(0,IF((AF$6-$E$3)&lt;1,0,IFERROR(LOOKUP(2,1/('Arroz irrigado'!$E30:INDEX('Arroz irrigado'!$E30:$Z30,MIN(AF$6-$E$3,22))&lt;&gt;""),'Arroz irrigado'!$E30:INDEX('Arroz irrigado'!$E30:$Z30,MIN(AF$6-$E$3,22))),0))-IF($G$2,0,IF((AF$6-$G$3)&lt;1,0,IFERROR(LOOKUP(2,1/('Arroz irrigado'!$E30:INDEX('Arroz irrigado'!$E30:$Z30,MIN(AF$6-$G$3,22))&lt;&gt;""),'Arroz irrigado'!$E30:INDEX('Arroz irrigado'!$E30:$Z30,MIN(AF$6-$G$3,22))),0)))))</f>
        <v>0</v>
      </c>
      <c r="AG32" s="27" t="n">
        <f aca="false">IF(COUNT('Arroz irrigado'!$E30:$Z30)=0,0,MAX(0,IF((AG$6-$E$3)&lt;1,0,IFERROR(LOOKUP(2,1/('Arroz irrigado'!$E30:INDEX('Arroz irrigado'!$E30:$Z30,MIN(AG$6-$E$3,22))&lt;&gt;""),'Arroz irrigado'!$E30:INDEX('Arroz irrigado'!$E30:$Z30,MIN(AG$6-$E$3,22))),0))-IF($G$2,0,IF((AG$6-$G$3)&lt;1,0,IFERROR(LOOKUP(2,1/('Arroz irrigado'!$E30:INDEX('Arroz irrigado'!$E30:$Z30,MIN(AG$6-$G$3,22))&lt;&gt;""),'Arroz irrigado'!$E30:INDEX('Arroz irrigado'!$E30:$Z30,MIN(AG$6-$G$3,22))),0)))))</f>
        <v>0</v>
      </c>
      <c r="AH32" s="27" t="n">
        <f aca="false">IF(COUNT('Arroz irrigado'!$E30:$Z30)=0,0,MAX(0,IF((AH$6-$E$3)&lt;1,0,IFERROR(LOOKUP(2,1/('Arroz irrigado'!$E30:INDEX('Arroz irrigado'!$E30:$Z30,MIN(AH$6-$E$3,22))&lt;&gt;""),'Arroz irrigado'!$E30:INDEX('Arroz irrigado'!$E30:$Z30,MIN(AH$6-$E$3,22))),0))-IF($G$2,0,IF((AH$6-$G$3)&lt;1,0,IFERROR(LOOKUP(2,1/('Arroz irrigado'!$E30:INDEX('Arroz irrigado'!$E30:$Z30,MIN(AH$6-$G$3,22))&lt;&gt;""),'Arroz irrigado'!$E30:INDEX('Arroz irrigado'!$E30:$Z30,MIN(AH$6-$G$3,22))),0)))))</f>
        <v>0</v>
      </c>
      <c r="AI32" s="27" t="n">
        <f aca="false">IF(COUNT('Arroz irrigado'!$E30:$Z30)=0,0,MAX(0,IF((AI$6-$E$3)&lt;1,0,IFERROR(LOOKUP(2,1/('Arroz irrigado'!$E30:INDEX('Arroz irrigado'!$E30:$Z30,MIN(AI$6-$E$3,22))&lt;&gt;""),'Arroz irrigado'!$E30:INDEX('Arroz irrigado'!$E30:$Z30,MIN(AI$6-$E$3,22))),0))-IF($G$2,0,IF((AI$6-$G$3)&lt;1,0,IFERROR(LOOKUP(2,1/('Arroz irrigado'!$E30:INDEX('Arroz irrigado'!$E30:$Z30,MIN(AI$6-$G$3,22))&lt;&gt;""),'Arroz irrigado'!$E30:INDEX('Arroz irrigado'!$E30:$Z30,MIN(AI$6-$G$3,22))),0)))))</f>
        <v>0</v>
      </c>
      <c r="AJ32" s="27" t="n">
        <f aca="false">IF(COUNT('Arroz irrigado'!$E30:$Z30)=0,0,MAX(0,IF((AJ$6-$E$3)&lt;1,0,IFERROR(LOOKUP(2,1/('Arroz irrigado'!$E30:INDEX('Arroz irrigado'!$E30:$Z30,MIN(AJ$6-$E$3,22))&lt;&gt;""),'Arroz irrigado'!$E30:INDEX('Arroz irrigado'!$E30:$Z30,MIN(AJ$6-$E$3,22))),0))-IF($G$2,0,IF((AJ$6-$G$3)&lt;1,0,IFERROR(LOOKUP(2,1/('Arroz irrigado'!$E30:INDEX('Arroz irrigado'!$E30:$Z30,MIN(AJ$6-$G$3,22))&lt;&gt;""),'Arroz irrigado'!$E30:INDEX('Arroz irrigado'!$E30:$Z30,MIN(AJ$6-$G$3,22))),0)))))</f>
        <v>0</v>
      </c>
      <c r="AK32" s="27" t="n">
        <f aca="false">IF(COUNT('Arroz irrigado'!$E30:$Z30)=0,0,MAX(0,IF((AK$6-$E$3)&lt;1,0,IFERROR(LOOKUP(2,1/('Arroz irrigado'!$E30:INDEX('Arroz irrigado'!$E30:$Z30,MIN(AK$6-$E$3,22))&lt;&gt;""),'Arroz irrigado'!$E30:INDEX('Arroz irrigado'!$E30:$Z30,MIN(AK$6-$E$3,22))),0))-IF($G$2,0,IF((AK$6-$G$3)&lt;1,0,IFERROR(LOOKUP(2,1/('Arroz irrigado'!$E30:INDEX('Arroz irrigado'!$E30:$Z30,MIN(AK$6-$G$3,22))&lt;&gt;""),'Arroz irrigado'!$E30:INDEX('Arroz irrigado'!$E30:$Z30,MIN(AK$6-$G$3,22))),0)))))</f>
        <v>0</v>
      </c>
      <c r="AL32" s="27" t="n">
        <f aca="false">IF(COUNT('Arroz irrigado'!$E30:$Z30)=0,0,MAX(0,IF((AL$6-$E$3)&lt;1,0,IFERROR(LOOKUP(2,1/('Arroz irrigado'!$E30:INDEX('Arroz irrigado'!$E30:$Z30,MIN(AL$6-$E$3,22))&lt;&gt;""),'Arroz irrigado'!$E30:INDEX('Arroz irrigado'!$E30:$Z30,MIN(AL$6-$E$3,22))),0))-IF($G$2,0,IF((AL$6-$G$3)&lt;1,0,IFERROR(LOOKUP(2,1/('Arroz irrigado'!$E30:INDEX('Arroz irrigado'!$E30:$Z30,MIN(AL$6-$G$3,22))&lt;&gt;""),'Arroz irrigado'!$E30:INDEX('Arroz irrigado'!$E30:$Z30,MIN(AL$6-$G$3,22))),0)))))</f>
        <v>0</v>
      </c>
      <c r="AM32" s="27" t="n">
        <f aca="false">IF(COUNT('Arroz irrigado'!$E30:$Z30)=0,0,MAX(0,IF((AM$6-$E$3)&lt;1,0,IFERROR(LOOKUP(2,1/('Arroz irrigado'!$E30:INDEX('Arroz irrigado'!$E30:$Z30,MIN(AM$6-$E$3,22))&lt;&gt;""),'Arroz irrigado'!$E30:INDEX('Arroz irrigado'!$E30:$Z30,MIN(AM$6-$E$3,22))),0))-IF($G$2,0,IF((AM$6-$G$3)&lt;1,0,IFERROR(LOOKUP(2,1/('Arroz irrigado'!$E30:INDEX('Arroz irrigado'!$E30:$Z30,MIN(AM$6-$G$3,22))&lt;&gt;""),'Arroz irrigado'!$E30:INDEX('Arroz irrigado'!$E30:$Z30,MIN(AM$6-$G$3,22))),0)))))</f>
        <v>0</v>
      </c>
      <c r="AN32" s="27" t="n">
        <f aca="false">IF(COUNT('Arroz irrigado'!$E30:$Z30)=0,0,MAX(0,IF((AN$6-$E$3)&lt;1,0,IFERROR(LOOKUP(2,1/('Arroz irrigado'!$E30:INDEX('Arroz irrigado'!$E30:$Z30,MIN(AN$6-$E$3,22))&lt;&gt;""),'Arroz irrigado'!$E30:INDEX('Arroz irrigado'!$E30:$Z30,MIN(AN$6-$E$3,22))),0))-IF($G$2,0,IF((AN$6-$G$3)&lt;1,0,IFERROR(LOOKUP(2,1/('Arroz irrigado'!$E30:INDEX('Arroz irrigado'!$E30:$Z30,MIN(AN$6-$G$3,22))&lt;&gt;""),'Arroz irrigado'!$E30:INDEX('Arroz irrigado'!$E30:$Z30,MIN(AN$6-$G$3,22))),0)))))</f>
        <v>0</v>
      </c>
      <c r="AO32" s="27" t="n">
        <f aca="false">IF(COUNT('Arroz irrigado'!$E30:$Z30)=0,0,MAX(0,IF((AO$6-$E$3)&lt;1,0,IFERROR(LOOKUP(2,1/('Arroz irrigado'!$E30:INDEX('Arroz irrigado'!$E30:$Z30,MIN(AO$6-$E$3,22))&lt;&gt;""),'Arroz irrigado'!$E30:INDEX('Arroz irrigado'!$E30:$Z30,MIN(AO$6-$E$3,22))),0))-IF($G$2,0,IF((AO$6-$G$3)&lt;1,0,IFERROR(LOOKUP(2,1/('Arroz irrigado'!$E30:INDEX('Arroz irrigado'!$E30:$Z30,MIN(AO$6-$G$3,22))&lt;&gt;""),'Arroz irrigado'!$E30:INDEX('Arroz irrigado'!$E30:$Z30,MIN(AO$6-$G$3,22))),0)))))</f>
        <v>0</v>
      </c>
      <c r="AP32" s="27" t="n">
        <f aca="false">IF(COUNT('Arroz irrigado'!$E30:$Z30)=0,0,MAX(0,IF((AP$6-$E$3)&lt;1,0,IFERROR(LOOKUP(2,1/('Arroz irrigado'!$E30:INDEX('Arroz irrigado'!$E30:$Z30,MIN(AP$6-$E$3,22))&lt;&gt;""),'Arroz irrigado'!$E30:INDEX('Arroz irrigado'!$E30:$Z30,MIN(AP$6-$E$3,22))),0))-IF($G$2,0,IF((AP$6-$G$3)&lt;1,0,IFERROR(LOOKUP(2,1/('Arroz irrigado'!$E30:INDEX('Arroz irrigado'!$E30:$Z30,MIN(AP$6-$G$3,22))&lt;&gt;""),'Arroz irrigado'!$E30:INDEX('Arroz irrigado'!$E30:$Z30,MIN(AP$6-$G$3,22))),0)))))</f>
        <v>0</v>
      </c>
      <c r="AQ32" s="27" t="n">
        <f aca="false">IF(COUNT('Arroz irrigado'!$E30:$Z30)=0,0,MAX(0,IF((AQ$6-$E$3)&lt;1,0,IFERROR(LOOKUP(2,1/('Arroz irrigado'!$E30:INDEX('Arroz irrigado'!$E30:$Z30,MIN(AQ$6-$E$3,22))&lt;&gt;""),'Arroz irrigado'!$E30:INDEX('Arroz irrigado'!$E30:$Z30,MIN(AQ$6-$E$3,22))),0))-IF($G$2,0,IF((AQ$6-$G$3)&lt;1,0,IFERROR(LOOKUP(2,1/('Arroz irrigado'!$E30:INDEX('Arroz irrigado'!$E30:$Z30,MIN(AQ$6-$G$3,22))&lt;&gt;""),'Arroz irrigado'!$E30:INDEX('Arroz irrigado'!$E30:$Z30,MIN(AQ$6-$G$3,22))),0)))))</f>
        <v>0</v>
      </c>
      <c r="AR32" s="27" t="n">
        <f aca="false">IF(COUNT('Arroz irrigado'!$E30:$Z30)=0,0,MAX(0,IF((AR$6-$E$3)&lt;1,0,IFERROR(LOOKUP(2,1/('Arroz irrigado'!$E30:INDEX('Arroz irrigado'!$E30:$Z30,MIN(AR$6-$E$3,22))&lt;&gt;""),'Arroz irrigado'!$E30:INDEX('Arroz irrigado'!$E30:$Z30,MIN(AR$6-$E$3,22))),0))-IF($G$2,0,IF((AR$6-$G$3)&lt;1,0,IFERROR(LOOKUP(2,1/('Arroz irrigado'!$E30:INDEX('Arroz irrigado'!$E30:$Z30,MIN(AR$6-$G$3,22))&lt;&gt;""),'Arroz irrigado'!$E30:INDEX('Arroz irrigado'!$E30:$Z30,MIN(AR$6-$G$3,22))),0)))))</f>
        <v>0</v>
      </c>
      <c r="AS32" s="27" t="n">
        <f aca="false">IF(COUNT('Arroz irrigado'!$E30:$Z30)=0,0,MAX(0,IF((AS$6-$E$3)&lt;1,0,IFERROR(LOOKUP(2,1/('Arroz irrigado'!$E30:INDEX('Arroz irrigado'!$E30:$Z30,MIN(AS$6-$E$3,22))&lt;&gt;""),'Arroz irrigado'!$E30:INDEX('Arroz irrigado'!$E30:$Z30,MIN(AS$6-$E$3,22))),0))-IF($G$2,0,IF((AS$6-$G$3)&lt;1,0,IFERROR(LOOKUP(2,1/('Arroz irrigado'!$E30:INDEX('Arroz irrigado'!$E30:$Z30,MIN(AS$6-$G$3,22))&lt;&gt;""),'Arroz irrigado'!$E30:INDEX('Arroz irrigado'!$E30:$Z30,MIN(AS$6-$G$3,22))),0)))))</f>
        <v>0</v>
      </c>
      <c r="AT32" s="27" t="n">
        <f aca="false">IF(COUNT('Arroz irrigado'!$E30:$Z30)=0,0,MAX(0,IF((AT$6-$E$3)&lt;1,0,IFERROR(LOOKUP(2,1/('Arroz irrigado'!$E30:INDEX('Arroz irrigado'!$E30:$Z30,MIN(AT$6-$E$3,22))&lt;&gt;""),'Arroz irrigado'!$E30:INDEX('Arroz irrigado'!$E30:$Z30,MIN(AT$6-$E$3,22))),0))-IF($G$2,0,IF((AT$6-$G$3)&lt;1,0,IFERROR(LOOKUP(2,1/('Arroz irrigado'!$E30:INDEX('Arroz irrigado'!$E30:$Z30,MIN(AT$6-$G$3,22))&lt;&gt;""),'Arroz irrigado'!$E30:INDEX('Arroz irrigado'!$E30:$Z30,MIN(AT$6-$G$3,22))),0)))))</f>
        <v>0</v>
      </c>
      <c r="AU32" s="27" t="n">
        <f aca="false">IF(COUNT('Arroz irrigado'!$E30:$Z30)=0,0,MAX(0,IF((AU$6-$E$3)&lt;1,0,IFERROR(LOOKUP(2,1/('Arroz irrigado'!$E30:INDEX('Arroz irrigado'!$E30:$Z30,MIN(AU$6-$E$3,22))&lt;&gt;""),'Arroz irrigado'!$E30:INDEX('Arroz irrigado'!$E30:$Z30,MIN(AU$6-$E$3,22))),0))-IF($G$2,0,IF((AU$6-$G$3)&lt;1,0,IFERROR(LOOKUP(2,1/('Arroz irrigado'!$E30:INDEX('Arroz irrigado'!$E30:$Z30,MIN(AU$6-$G$3,22))&lt;&gt;""),'Arroz irrigado'!$E30:INDEX('Arroz irrigado'!$E30:$Z30,MIN(AU$6-$G$3,22))),0)))))</f>
        <v>0</v>
      </c>
      <c r="AV32" s="27" t="n">
        <f aca="false">IF(COUNT('Arroz irrigado'!$E30:$Z30)=0,0,MAX(0,IF((AV$6-$E$3)&lt;1,0,IFERROR(LOOKUP(2,1/('Arroz irrigado'!$E30:INDEX('Arroz irrigado'!$E30:$Z30,MIN(AV$6-$E$3,22))&lt;&gt;""),'Arroz irrigado'!$E30:INDEX('Arroz irrigado'!$E30:$Z30,MIN(AV$6-$E$3,22))),0))-IF($G$2,0,IF((AV$6-$G$3)&lt;1,0,IFERROR(LOOKUP(2,1/('Arroz irrigado'!$E30:INDEX('Arroz irrigado'!$E30:$Z30,MIN(AV$6-$G$3,22))&lt;&gt;""),'Arroz irrigado'!$E30:INDEX('Arroz irrigado'!$E30:$Z30,MIN(AV$6-$G$3,22))),0)))))</f>
        <v>0</v>
      </c>
      <c r="AW32" s="27" t="n">
        <f aca="false">IF(COUNT('Arroz irrigado'!$E30:$Z30)=0,0,MAX(0,IF((AW$6-$E$3)&lt;1,0,IFERROR(LOOKUP(2,1/('Arroz irrigado'!$E30:INDEX('Arroz irrigado'!$E30:$Z30,MIN(AW$6-$E$3,22))&lt;&gt;""),'Arroz irrigado'!$E30:INDEX('Arroz irrigado'!$E30:$Z30,MIN(AW$6-$E$3,22))),0))-IF($G$2,0,IF((AW$6-$G$3)&lt;1,0,IFERROR(LOOKUP(2,1/('Arroz irrigado'!$E30:INDEX('Arroz irrigado'!$E30:$Z30,MIN(AW$6-$G$3,22))&lt;&gt;""),'Arroz irrigado'!$E30:INDEX('Arroz irrigado'!$E30:$Z30,MIN(AW$6-$G$3,22))),0)))))</f>
        <v>0</v>
      </c>
      <c r="AX32" s="27" t="n">
        <f aca="false">IF(COUNT('Arroz irrigado'!$E30:$Z30)=0,0,MAX(0,IF((AX$6-$E$3)&lt;1,0,IFERROR(LOOKUP(2,1/('Arroz irrigado'!$E30:INDEX('Arroz irrigado'!$E30:$Z30,MIN(AX$6-$E$3,22))&lt;&gt;""),'Arroz irrigado'!$E30:INDEX('Arroz irrigado'!$E30:$Z30,MIN(AX$6-$E$3,22))),0))-IF($G$2,0,IF((AX$6-$G$3)&lt;1,0,IFERROR(LOOKUP(2,1/('Arroz irrigado'!$E30:INDEX('Arroz irrigado'!$E30:$Z30,MIN(AX$6-$G$3,22))&lt;&gt;""),'Arroz irrigado'!$E30:INDEX('Arroz irrigado'!$E30:$Z30,MIN(AX$6-$G$3,22))),0)))))</f>
        <v>0</v>
      </c>
      <c r="AY32" s="27" t="n">
        <f aca="false">IF(COUNT('Arroz irrigado'!$E30:$Z30)=0,0,MAX(0,IF((AY$6-$E$3)&lt;1,0,IFERROR(LOOKUP(2,1/('Arroz irrigado'!$E30:INDEX('Arroz irrigado'!$E30:$Z30,MIN(AY$6-$E$3,22))&lt;&gt;""),'Arroz irrigado'!$E30:INDEX('Arroz irrigado'!$E30:$Z30,MIN(AY$6-$E$3,22))),0))-IF($G$2,0,IF((AY$6-$G$3)&lt;1,0,IFERROR(LOOKUP(2,1/('Arroz irrigado'!$E30:INDEX('Arroz irrigado'!$E30:$Z30,MIN(AY$6-$G$3,22))&lt;&gt;""),'Arroz irrigado'!$E30:INDEX('Arroz irrigado'!$E30:$Z30,MIN(AY$6-$G$3,22))),0)))))</f>
        <v>0</v>
      </c>
      <c r="AZ32" s="27" t="n">
        <f aca="false">IF(COUNT('Arroz irrigado'!$E30:$Z30)=0,0,MAX(0,IF((AZ$6-$E$3)&lt;1,0,IFERROR(LOOKUP(2,1/('Arroz irrigado'!$E30:INDEX('Arroz irrigado'!$E30:$Z30,MIN(AZ$6-$E$3,22))&lt;&gt;""),'Arroz irrigado'!$E30:INDEX('Arroz irrigado'!$E30:$Z30,MIN(AZ$6-$E$3,22))),0))-IF($G$2,0,IF((AZ$6-$G$3)&lt;1,0,IFERROR(LOOKUP(2,1/('Arroz irrigado'!$E30:INDEX('Arroz irrigado'!$E30:$Z30,MIN(AZ$6-$G$3,22))&lt;&gt;""),'Arroz irrigado'!$E30:INDEX('Arroz irrigado'!$E30:$Z30,MIN(AZ$6-$G$3,22))),0)))))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IF(COUNT('Arroz irrigado'!$E31:$Z31)&gt;0,N('Arroz irrigado'!$D31),0)</f>
        <v>0</v>
      </c>
      <c r="E33" s="27" t="n">
        <f aca="false">IF(COUNT('Arroz irrigado'!$E31:$Z31)=0,0,MAX(0,IF((E$6-$E$3)&lt;1,0,IFERROR(LOOKUP(2,1/('Arroz irrigado'!$E31:INDEX('Arroz irrigado'!$E31:$Z31,MIN(E$6-$E$3,22))&lt;&gt;""),'Arroz irrigado'!$E31:INDEX('Arroz irrigado'!$E31:$Z31,MIN(E$6-$E$3,22))),0))-IF($G$2,0,IF((E$6-$G$3)&lt;1,0,IFERROR(LOOKUP(2,1/('Arroz irrigado'!$E31:INDEX('Arroz irrigado'!$E31:$Z31,MIN(E$6-$G$3,22))&lt;&gt;""),'Arroz irrigado'!$E31:INDEX('Arroz irrigado'!$E31:$Z31,MIN(E$6-$G$3,22))),0)))))</f>
        <v>0</v>
      </c>
      <c r="F33" s="27" t="n">
        <f aca="false">IF(COUNT('Arroz irrigado'!$E31:$Z31)=0,0,MAX(0,IF((F$6-$E$3)&lt;1,0,IFERROR(LOOKUP(2,1/('Arroz irrigado'!$E31:INDEX('Arroz irrigado'!$E31:$Z31,MIN(F$6-$E$3,22))&lt;&gt;""),'Arroz irrigado'!$E31:INDEX('Arroz irrigado'!$E31:$Z31,MIN(F$6-$E$3,22))),0))-IF($G$2,0,IF((F$6-$G$3)&lt;1,0,IFERROR(LOOKUP(2,1/('Arroz irrigado'!$E31:INDEX('Arroz irrigado'!$E31:$Z31,MIN(F$6-$G$3,22))&lt;&gt;""),'Arroz irrigado'!$E31:INDEX('Arroz irrigado'!$E31:$Z31,MIN(F$6-$G$3,22))),0)))))</f>
        <v>0</v>
      </c>
      <c r="G33" s="27" t="n">
        <f aca="false">IF(COUNT('Arroz irrigado'!$E31:$Z31)=0,0,MAX(0,IF((G$6-$E$3)&lt;1,0,IFERROR(LOOKUP(2,1/('Arroz irrigado'!$E31:INDEX('Arroz irrigado'!$E31:$Z31,MIN(G$6-$E$3,22))&lt;&gt;""),'Arroz irrigado'!$E31:INDEX('Arroz irrigado'!$E31:$Z31,MIN(G$6-$E$3,22))),0))-IF($G$2,0,IF((G$6-$G$3)&lt;1,0,IFERROR(LOOKUP(2,1/('Arroz irrigado'!$E31:INDEX('Arroz irrigado'!$E31:$Z31,MIN(G$6-$G$3,22))&lt;&gt;""),'Arroz irrigado'!$E31:INDEX('Arroz irrigado'!$E31:$Z31,MIN(G$6-$G$3,22))),0)))))</f>
        <v>0</v>
      </c>
      <c r="H33" s="27" t="n">
        <f aca="false">IF(COUNT('Arroz irrigado'!$E31:$Z31)=0,0,MAX(0,IF((H$6-$E$3)&lt;1,0,IFERROR(LOOKUP(2,1/('Arroz irrigado'!$E31:INDEX('Arroz irrigado'!$E31:$Z31,MIN(H$6-$E$3,22))&lt;&gt;""),'Arroz irrigado'!$E31:INDEX('Arroz irrigado'!$E31:$Z31,MIN(H$6-$E$3,22))),0))-IF($G$2,0,IF((H$6-$G$3)&lt;1,0,IFERROR(LOOKUP(2,1/('Arroz irrigado'!$E31:INDEX('Arroz irrigado'!$E31:$Z31,MIN(H$6-$G$3,22))&lt;&gt;""),'Arroz irrigado'!$E31:INDEX('Arroz irrigado'!$E31:$Z31,MIN(H$6-$G$3,22))),0)))))</f>
        <v>0</v>
      </c>
      <c r="I33" s="27" t="n">
        <f aca="false">IF(COUNT('Arroz irrigado'!$E31:$Z31)=0,0,MAX(0,IF((I$6-$E$3)&lt;1,0,IFERROR(LOOKUP(2,1/('Arroz irrigado'!$E31:INDEX('Arroz irrigado'!$E31:$Z31,MIN(I$6-$E$3,22))&lt;&gt;""),'Arroz irrigado'!$E31:INDEX('Arroz irrigado'!$E31:$Z31,MIN(I$6-$E$3,22))),0))-IF($G$2,0,IF((I$6-$G$3)&lt;1,0,IFERROR(LOOKUP(2,1/('Arroz irrigado'!$E31:INDEX('Arroz irrigado'!$E31:$Z31,MIN(I$6-$G$3,22))&lt;&gt;""),'Arroz irrigado'!$E31:INDEX('Arroz irrigado'!$E31:$Z31,MIN(I$6-$G$3,22))),0)))))</f>
        <v>0</v>
      </c>
      <c r="J33" s="27" t="n">
        <f aca="false">IF(COUNT('Arroz irrigado'!$E31:$Z31)=0,0,MAX(0,IF((J$6-$E$3)&lt;1,0,IFERROR(LOOKUP(2,1/('Arroz irrigado'!$E31:INDEX('Arroz irrigado'!$E31:$Z31,MIN(J$6-$E$3,22))&lt;&gt;""),'Arroz irrigado'!$E31:INDEX('Arroz irrigado'!$E31:$Z31,MIN(J$6-$E$3,22))),0))-IF($G$2,0,IF((J$6-$G$3)&lt;1,0,IFERROR(LOOKUP(2,1/('Arroz irrigado'!$E31:INDEX('Arroz irrigado'!$E31:$Z31,MIN(J$6-$G$3,22))&lt;&gt;""),'Arroz irrigado'!$E31:INDEX('Arroz irrigado'!$E31:$Z31,MIN(J$6-$G$3,22))),0)))))</f>
        <v>0</v>
      </c>
      <c r="K33" s="27" t="n">
        <f aca="false">IF(COUNT('Arroz irrigado'!$E31:$Z31)=0,0,MAX(0,IF((K$6-$E$3)&lt;1,0,IFERROR(LOOKUP(2,1/('Arroz irrigado'!$E31:INDEX('Arroz irrigado'!$E31:$Z31,MIN(K$6-$E$3,22))&lt;&gt;""),'Arroz irrigado'!$E31:INDEX('Arroz irrigado'!$E31:$Z31,MIN(K$6-$E$3,22))),0))-IF($G$2,0,IF((K$6-$G$3)&lt;1,0,IFERROR(LOOKUP(2,1/('Arroz irrigado'!$E31:INDEX('Arroz irrigado'!$E31:$Z31,MIN(K$6-$G$3,22))&lt;&gt;""),'Arroz irrigado'!$E31:INDEX('Arroz irrigado'!$E31:$Z31,MIN(K$6-$G$3,22))),0)))))</f>
        <v>0</v>
      </c>
      <c r="L33" s="27" t="n">
        <f aca="false">IF(COUNT('Arroz irrigado'!$E31:$Z31)=0,0,MAX(0,IF((L$6-$E$3)&lt;1,0,IFERROR(LOOKUP(2,1/('Arroz irrigado'!$E31:INDEX('Arroz irrigado'!$E31:$Z31,MIN(L$6-$E$3,22))&lt;&gt;""),'Arroz irrigado'!$E31:INDEX('Arroz irrigado'!$E31:$Z31,MIN(L$6-$E$3,22))),0))-IF($G$2,0,IF((L$6-$G$3)&lt;1,0,IFERROR(LOOKUP(2,1/('Arroz irrigado'!$E31:INDEX('Arroz irrigado'!$E31:$Z31,MIN(L$6-$G$3,22))&lt;&gt;""),'Arroz irrigado'!$E31:INDEX('Arroz irrigado'!$E31:$Z31,MIN(L$6-$G$3,22))),0)))))</f>
        <v>0</v>
      </c>
      <c r="M33" s="27" t="n">
        <f aca="false">IF(COUNT('Arroz irrigado'!$E31:$Z31)=0,0,MAX(0,IF((M$6-$E$3)&lt;1,0,IFERROR(LOOKUP(2,1/('Arroz irrigado'!$E31:INDEX('Arroz irrigado'!$E31:$Z31,MIN(M$6-$E$3,22))&lt;&gt;""),'Arroz irrigado'!$E31:INDEX('Arroz irrigado'!$E31:$Z31,MIN(M$6-$E$3,22))),0))-IF($G$2,0,IF((M$6-$G$3)&lt;1,0,IFERROR(LOOKUP(2,1/('Arroz irrigado'!$E31:INDEX('Arroz irrigado'!$E31:$Z31,MIN(M$6-$G$3,22))&lt;&gt;""),'Arroz irrigado'!$E31:INDEX('Arroz irrigado'!$E31:$Z31,MIN(M$6-$G$3,22))),0)))))</f>
        <v>0</v>
      </c>
      <c r="N33" s="27" t="n">
        <f aca="false">IF(COUNT('Arroz irrigado'!$E31:$Z31)=0,0,MAX(0,IF((N$6-$E$3)&lt;1,0,IFERROR(LOOKUP(2,1/('Arroz irrigado'!$E31:INDEX('Arroz irrigado'!$E31:$Z31,MIN(N$6-$E$3,22))&lt;&gt;""),'Arroz irrigado'!$E31:INDEX('Arroz irrigado'!$E31:$Z31,MIN(N$6-$E$3,22))),0))-IF($G$2,0,IF((N$6-$G$3)&lt;1,0,IFERROR(LOOKUP(2,1/('Arroz irrigado'!$E31:INDEX('Arroz irrigado'!$E31:$Z31,MIN(N$6-$G$3,22))&lt;&gt;""),'Arroz irrigado'!$E31:INDEX('Arroz irrigado'!$E31:$Z31,MIN(N$6-$G$3,22))),0)))))</f>
        <v>0</v>
      </c>
      <c r="O33" s="27" t="n">
        <f aca="false">IF(COUNT('Arroz irrigado'!$E31:$Z31)=0,0,MAX(0,IF((O$6-$E$3)&lt;1,0,IFERROR(LOOKUP(2,1/('Arroz irrigado'!$E31:INDEX('Arroz irrigado'!$E31:$Z31,MIN(O$6-$E$3,22))&lt;&gt;""),'Arroz irrigado'!$E31:INDEX('Arroz irrigado'!$E31:$Z31,MIN(O$6-$E$3,22))),0))-IF($G$2,0,IF((O$6-$G$3)&lt;1,0,IFERROR(LOOKUP(2,1/('Arroz irrigado'!$E31:INDEX('Arroz irrigado'!$E31:$Z31,MIN(O$6-$G$3,22))&lt;&gt;""),'Arroz irrigado'!$E31:INDEX('Arroz irrigado'!$E31:$Z31,MIN(O$6-$G$3,22))),0)))))</f>
        <v>0</v>
      </c>
      <c r="P33" s="27" t="n">
        <f aca="false">IF(COUNT('Arroz irrigado'!$E31:$Z31)=0,0,MAX(0,IF((P$6-$E$3)&lt;1,0,IFERROR(LOOKUP(2,1/('Arroz irrigado'!$E31:INDEX('Arroz irrigado'!$E31:$Z31,MIN(P$6-$E$3,22))&lt;&gt;""),'Arroz irrigado'!$E31:INDEX('Arroz irrigado'!$E31:$Z31,MIN(P$6-$E$3,22))),0))-IF($G$2,0,IF((P$6-$G$3)&lt;1,0,IFERROR(LOOKUP(2,1/('Arroz irrigado'!$E31:INDEX('Arroz irrigado'!$E31:$Z31,MIN(P$6-$G$3,22))&lt;&gt;""),'Arroz irrigado'!$E31:INDEX('Arroz irrigado'!$E31:$Z31,MIN(P$6-$G$3,22))),0)))))</f>
        <v>0</v>
      </c>
      <c r="Q33" s="27" t="n">
        <f aca="false">IF(COUNT('Arroz irrigado'!$E31:$Z31)=0,0,MAX(0,IF((Q$6-$E$3)&lt;1,0,IFERROR(LOOKUP(2,1/('Arroz irrigado'!$E31:INDEX('Arroz irrigado'!$E31:$Z31,MIN(Q$6-$E$3,22))&lt;&gt;""),'Arroz irrigado'!$E31:INDEX('Arroz irrigado'!$E31:$Z31,MIN(Q$6-$E$3,22))),0))-IF($G$2,0,IF((Q$6-$G$3)&lt;1,0,IFERROR(LOOKUP(2,1/('Arroz irrigado'!$E31:INDEX('Arroz irrigado'!$E31:$Z31,MIN(Q$6-$G$3,22))&lt;&gt;""),'Arroz irrigado'!$E31:INDEX('Arroz irrigado'!$E31:$Z31,MIN(Q$6-$G$3,22))),0)))))</f>
        <v>0</v>
      </c>
      <c r="R33" s="27" t="n">
        <f aca="false">IF(COUNT('Arroz irrigado'!$E31:$Z31)=0,0,MAX(0,IF((R$6-$E$3)&lt;1,0,IFERROR(LOOKUP(2,1/('Arroz irrigado'!$E31:INDEX('Arroz irrigado'!$E31:$Z31,MIN(R$6-$E$3,22))&lt;&gt;""),'Arroz irrigado'!$E31:INDEX('Arroz irrigado'!$E31:$Z31,MIN(R$6-$E$3,22))),0))-IF($G$2,0,IF((R$6-$G$3)&lt;1,0,IFERROR(LOOKUP(2,1/('Arroz irrigado'!$E31:INDEX('Arroz irrigado'!$E31:$Z31,MIN(R$6-$G$3,22))&lt;&gt;""),'Arroz irrigado'!$E31:INDEX('Arroz irrigado'!$E31:$Z31,MIN(R$6-$G$3,22))),0)))))</f>
        <v>0</v>
      </c>
      <c r="S33" s="27" t="n">
        <f aca="false">IF(COUNT('Arroz irrigado'!$E31:$Z31)=0,0,MAX(0,IF((S$6-$E$3)&lt;1,0,IFERROR(LOOKUP(2,1/('Arroz irrigado'!$E31:INDEX('Arroz irrigado'!$E31:$Z31,MIN(S$6-$E$3,22))&lt;&gt;""),'Arroz irrigado'!$E31:INDEX('Arroz irrigado'!$E31:$Z31,MIN(S$6-$E$3,22))),0))-IF($G$2,0,IF((S$6-$G$3)&lt;1,0,IFERROR(LOOKUP(2,1/('Arroz irrigado'!$E31:INDEX('Arroz irrigado'!$E31:$Z31,MIN(S$6-$G$3,22))&lt;&gt;""),'Arroz irrigado'!$E31:INDEX('Arroz irrigado'!$E31:$Z31,MIN(S$6-$G$3,22))),0)))))</f>
        <v>0</v>
      </c>
      <c r="T33" s="27" t="n">
        <f aca="false">IF(COUNT('Arroz irrigado'!$E31:$Z31)=0,0,MAX(0,IF((T$6-$E$3)&lt;1,0,IFERROR(LOOKUP(2,1/('Arroz irrigado'!$E31:INDEX('Arroz irrigado'!$E31:$Z31,MIN(T$6-$E$3,22))&lt;&gt;""),'Arroz irrigado'!$E31:INDEX('Arroz irrigado'!$E31:$Z31,MIN(T$6-$E$3,22))),0))-IF($G$2,0,IF((T$6-$G$3)&lt;1,0,IFERROR(LOOKUP(2,1/('Arroz irrigado'!$E31:INDEX('Arroz irrigado'!$E31:$Z31,MIN(T$6-$G$3,22))&lt;&gt;""),'Arroz irrigado'!$E31:INDEX('Arroz irrigado'!$E31:$Z31,MIN(T$6-$G$3,22))),0)))))</f>
        <v>0</v>
      </c>
      <c r="U33" s="27" t="n">
        <f aca="false">IF(COUNT('Arroz irrigado'!$E31:$Z31)=0,0,MAX(0,IF((U$6-$E$3)&lt;1,0,IFERROR(LOOKUP(2,1/('Arroz irrigado'!$E31:INDEX('Arroz irrigado'!$E31:$Z31,MIN(U$6-$E$3,22))&lt;&gt;""),'Arroz irrigado'!$E31:INDEX('Arroz irrigado'!$E31:$Z31,MIN(U$6-$E$3,22))),0))-IF($G$2,0,IF((U$6-$G$3)&lt;1,0,IFERROR(LOOKUP(2,1/('Arroz irrigado'!$E31:INDEX('Arroz irrigado'!$E31:$Z31,MIN(U$6-$G$3,22))&lt;&gt;""),'Arroz irrigado'!$E31:INDEX('Arroz irrigado'!$E31:$Z31,MIN(U$6-$G$3,22))),0)))))</f>
        <v>0</v>
      </c>
      <c r="V33" s="27" t="n">
        <f aca="false">IF(COUNT('Arroz irrigado'!$E31:$Z31)=0,0,MAX(0,IF((V$6-$E$3)&lt;1,0,IFERROR(LOOKUP(2,1/('Arroz irrigado'!$E31:INDEX('Arroz irrigado'!$E31:$Z31,MIN(V$6-$E$3,22))&lt;&gt;""),'Arroz irrigado'!$E31:INDEX('Arroz irrigado'!$E31:$Z31,MIN(V$6-$E$3,22))),0))-IF($G$2,0,IF((V$6-$G$3)&lt;1,0,IFERROR(LOOKUP(2,1/('Arroz irrigado'!$E31:INDEX('Arroz irrigado'!$E31:$Z31,MIN(V$6-$G$3,22))&lt;&gt;""),'Arroz irrigado'!$E31:INDEX('Arroz irrigado'!$E31:$Z31,MIN(V$6-$G$3,22))),0)))))</f>
        <v>0</v>
      </c>
      <c r="W33" s="27" t="n">
        <f aca="false">IF(COUNT('Arroz irrigado'!$E31:$Z31)=0,0,MAX(0,IF((W$6-$E$3)&lt;1,0,IFERROR(LOOKUP(2,1/('Arroz irrigado'!$E31:INDEX('Arroz irrigado'!$E31:$Z31,MIN(W$6-$E$3,22))&lt;&gt;""),'Arroz irrigado'!$E31:INDEX('Arroz irrigado'!$E31:$Z31,MIN(W$6-$E$3,22))),0))-IF($G$2,0,IF((W$6-$G$3)&lt;1,0,IFERROR(LOOKUP(2,1/('Arroz irrigado'!$E31:INDEX('Arroz irrigado'!$E31:$Z31,MIN(W$6-$G$3,22))&lt;&gt;""),'Arroz irrigado'!$E31:INDEX('Arroz irrigado'!$E31:$Z31,MIN(W$6-$G$3,22))),0)))))</f>
        <v>0</v>
      </c>
      <c r="X33" s="27" t="n">
        <f aca="false">IF(COUNT('Arroz irrigado'!$E31:$Z31)=0,0,MAX(0,IF((X$6-$E$3)&lt;1,0,IFERROR(LOOKUP(2,1/('Arroz irrigado'!$E31:INDEX('Arroz irrigado'!$E31:$Z31,MIN(X$6-$E$3,22))&lt;&gt;""),'Arroz irrigado'!$E31:INDEX('Arroz irrigado'!$E31:$Z31,MIN(X$6-$E$3,22))),0))-IF($G$2,0,IF((X$6-$G$3)&lt;1,0,IFERROR(LOOKUP(2,1/('Arroz irrigado'!$E31:INDEX('Arroz irrigado'!$E31:$Z31,MIN(X$6-$G$3,22))&lt;&gt;""),'Arroz irrigado'!$E31:INDEX('Arroz irrigado'!$E31:$Z31,MIN(X$6-$G$3,22))),0)))))</f>
        <v>0</v>
      </c>
      <c r="Y33" s="27" t="n">
        <f aca="false">IF(COUNT('Arroz irrigado'!$E31:$Z31)=0,0,MAX(0,IF((Y$6-$E$3)&lt;1,0,IFERROR(LOOKUP(2,1/('Arroz irrigado'!$E31:INDEX('Arroz irrigado'!$E31:$Z31,MIN(Y$6-$E$3,22))&lt;&gt;""),'Arroz irrigado'!$E31:INDEX('Arroz irrigado'!$E31:$Z31,MIN(Y$6-$E$3,22))),0))-IF($G$2,0,IF((Y$6-$G$3)&lt;1,0,IFERROR(LOOKUP(2,1/('Arroz irrigado'!$E31:INDEX('Arroz irrigado'!$E31:$Z31,MIN(Y$6-$G$3,22))&lt;&gt;""),'Arroz irrigado'!$E31:INDEX('Arroz irrigado'!$E31:$Z31,MIN(Y$6-$G$3,22))),0)))))</f>
        <v>0</v>
      </c>
      <c r="Z33" s="27" t="n">
        <f aca="false">IF(COUNT('Arroz irrigado'!$E31:$Z31)=0,0,MAX(0,IF((Z$6-$E$3)&lt;1,0,IFERROR(LOOKUP(2,1/('Arroz irrigado'!$E31:INDEX('Arroz irrigado'!$E31:$Z31,MIN(Z$6-$E$3,22))&lt;&gt;""),'Arroz irrigado'!$E31:INDEX('Arroz irrigado'!$E31:$Z31,MIN(Z$6-$E$3,22))),0))-IF($G$2,0,IF((Z$6-$G$3)&lt;1,0,IFERROR(LOOKUP(2,1/('Arroz irrigado'!$E31:INDEX('Arroz irrigado'!$E31:$Z31,MIN(Z$6-$G$3,22))&lt;&gt;""),'Arroz irrigado'!$E31:INDEX('Arroz irrigado'!$E31:$Z31,MIN(Z$6-$G$3,22))),0)))))</f>
        <v>0</v>
      </c>
      <c r="AA33" s="27" t="n">
        <f aca="false">IF(COUNT('Arroz irrigado'!$E31:$Z31)=0,0,MAX(0,IF((AA$6-$E$3)&lt;1,0,IFERROR(LOOKUP(2,1/('Arroz irrigado'!$E31:INDEX('Arroz irrigado'!$E31:$Z31,MIN(AA$6-$E$3,22))&lt;&gt;""),'Arroz irrigado'!$E31:INDEX('Arroz irrigado'!$E31:$Z31,MIN(AA$6-$E$3,22))),0))-IF($G$2,0,IF((AA$6-$G$3)&lt;1,0,IFERROR(LOOKUP(2,1/('Arroz irrigado'!$E31:INDEX('Arroz irrigado'!$E31:$Z31,MIN(AA$6-$G$3,22))&lt;&gt;""),'Arroz irrigado'!$E31:INDEX('Arroz irrigado'!$E31:$Z31,MIN(AA$6-$G$3,22))),0)))))</f>
        <v>0</v>
      </c>
      <c r="AB33" s="27" t="n">
        <f aca="false">IF(COUNT('Arroz irrigado'!$E31:$Z31)=0,0,MAX(0,IF((AB$6-$E$3)&lt;1,0,IFERROR(LOOKUP(2,1/('Arroz irrigado'!$E31:INDEX('Arroz irrigado'!$E31:$Z31,MIN(AB$6-$E$3,22))&lt;&gt;""),'Arroz irrigado'!$E31:INDEX('Arroz irrigado'!$E31:$Z31,MIN(AB$6-$E$3,22))),0))-IF($G$2,0,IF((AB$6-$G$3)&lt;1,0,IFERROR(LOOKUP(2,1/('Arroz irrigado'!$E31:INDEX('Arroz irrigado'!$E31:$Z31,MIN(AB$6-$G$3,22))&lt;&gt;""),'Arroz irrigado'!$E31:INDEX('Arroz irrigado'!$E31:$Z31,MIN(AB$6-$G$3,22))),0)))))</f>
        <v>0</v>
      </c>
      <c r="AC33" s="27" t="n">
        <f aca="false">IF(COUNT('Arroz irrigado'!$E31:$Z31)=0,0,MAX(0,IF((AC$6-$E$3)&lt;1,0,IFERROR(LOOKUP(2,1/('Arroz irrigado'!$E31:INDEX('Arroz irrigado'!$E31:$Z31,MIN(AC$6-$E$3,22))&lt;&gt;""),'Arroz irrigado'!$E31:INDEX('Arroz irrigado'!$E31:$Z31,MIN(AC$6-$E$3,22))),0))-IF($G$2,0,IF((AC$6-$G$3)&lt;1,0,IFERROR(LOOKUP(2,1/('Arroz irrigado'!$E31:INDEX('Arroz irrigado'!$E31:$Z31,MIN(AC$6-$G$3,22))&lt;&gt;""),'Arroz irrigado'!$E31:INDEX('Arroz irrigado'!$E31:$Z31,MIN(AC$6-$G$3,22))),0)))))</f>
        <v>0</v>
      </c>
      <c r="AD33" s="27" t="n">
        <f aca="false">IF(COUNT('Arroz irrigado'!$E31:$Z31)=0,0,MAX(0,IF((AD$6-$E$3)&lt;1,0,IFERROR(LOOKUP(2,1/('Arroz irrigado'!$E31:INDEX('Arroz irrigado'!$E31:$Z31,MIN(AD$6-$E$3,22))&lt;&gt;""),'Arroz irrigado'!$E31:INDEX('Arroz irrigado'!$E31:$Z31,MIN(AD$6-$E$3,22))),0))-IF($G$2,0,IF((AD$6-$G$3)&lt;1,0,IFERROR(LOOKUP(2,1/('Arroz irrigado'!$E31:INDEX('Arroz irrigado'!$E31:$Z31,MIN(AD$6-$G$3,22))&lt;&gt;""),'Arroz irrigado'!$E31:INDEX('Arroz irrigado'!$E31:$Z31,MIN(AD$6-$G$3,22))),0)))))</f>
        <v>0</v>
      </c>
      <c r="AE33" s="27" t="n">
        <f aca="false">IF(COUNT('Arroz irrigado'!$E31:$Z31)=0,0,MAX(0,IF((AE$6-$E$3)&lt;1,0,IFERROR(LOOKUP(2,1/('Arroz irrigado'!$E31:INDEX('Arroz irrigado'!$E31:$Z31,MIN(AE$6-$E$3,22))&lt;&gt;""),'Arroz irrigado'!$E31:INDEX('Arroz irrigado'!$E31:$Z31,MIN(AE$6-$E$3,22))),0))-IF($G$2,0,IF((AE$6-$G$3)&lt;1,0,IFERROR(LOOKUP(2,1/('Arroz irrigado'!$E31:INDEX('Arroz irrigado'!$E31:$Z31,MIN(AE$6-$G$3,22))&lt;&gt;""),'Arroz irrigado'!$E31:INDEX('Arroz irrigado'!$E31:$Z31,MIN(AE$6-$G$3,22))),0)))))</f>
        <v>0</v>
      </c>
      <c r="AF33" s="27" t="n">
        <f aca="false">IF(COUNT('Arroz irrigado'!$E31:$Z31)=0,0,MAX(0,IF((AF$6-$E$3)&lt;1,0,IFERROR(LOOKUP(2,1/('Arroz irrigado'!$E31:INDEX('Arroz irrigado'!$E31:$Z31,MIN(AF$6-$E$3,22))&lt;&gt;""),'Arroz irrigado'!$E31:INDEX('Arroz irrigado'!$E31:$Z31,MIN(AF$6-$E$3,22))),0))-IF($G$2,0,IF((AF$6-$G$3)&lt;1,0,IFERROR(LOOKUP(2,1/('Arroz irrigado'!$E31:INDEX('Arroz irrigado'!$E31:$Z31,MIN(AF$6-$G$3,22))&lt;&gt;""),'Arroz irrigado'!$E31:INDEX('Arroz irrigado'!$E31:$Z31,MIN(AF$6-$G$3,22))),0)))))</f>
        <v>0</v>
      </c>
      <c r="AG33" s="27" t="n">
        <f aca="false">IF(COUNT('Arroz irrigado'!$E31:$Z31)=0,0,MAX(0,IF((AG$6-$E$3)&lt;1,0,IFERROR(LOOKUP(2,1/('Arroz irrigado'!$E31:INDEX('Arroz irrigado'!$E31:$Z31,MIN(AG$6-$E$3,22))&lt;&gt;""),'Arroz irrigado'!$E31:INDEX('Arroz irrigado'!$E31:$Z31,MIN(AG$6-$E$3,22))),0))-IF($G$2,0,IF((AG$6-$G$3)&lt;1,0,IFERROR(LOOKUP(2,1/('Arroz irrigado'!$E31:INDEX('Arroz irrigado'!$E31:$Z31,MIN(AG$6-$G$3,22))&lt;&gt;""),'Arroz irrigado'!$E31:INDEX('Arroz irrigado'!$E31:$Z31,MIN(AG$6-$G$3,22))),0)))))</f>
        <v>0</v>
      </c>
      <c r="AH33" s="27" t="n">
        <f aca="false">IF(COUNT('Arroz irrigado'!$E31:$Z31)=0,0,MAX(0,IF((AH$6-$E$3)&lt;1,0,IFERROR(LOOKUP(2,1/('Arroz irrigado'!$E31:INDEX('Arroz irrigado'!$E31:$Z31,MIN(AH$6-$E$3,22))&lt;&gt;""),'Arroz irrigado'!$E31:INDEX('Arroz irrigado'!$E31:$Z31,MIN(AH$6-$E$3,22))),0))-IF($G$2,0,IF((AH$6-$G$3)&lt;1,0,IFERROR(LOOKUP(2,1/('Arroz irrigado'!$E31:INDEX('Arroz irrigado'!$E31:$Z31,MIN(AH$6-$G$3,22))&lt;&gt;""),'Arroz irrigado'!$E31:INDEX('Arroz irrigado'!$E31:$Z31,MIN(AH$6-$G$3,22))),0)))))</f>
        <v>0</v>
      </c>
      <c r="AI33" s="27" t="n">
        <f aca="false">IF(COUNT('Arroz irrigado'!$E31:$Z31)=0,0,MAX(0,IF((AI$6-$E$3)&lt;1,0,IFERROR(LOOKUP(2,1/('Arroz irrigado'!$E31:INDEX('Arroz irrigado'!$E31:$Z31,MIN(AI$6-$E$3,22))&lt;&gt;""),'Arroz irrigado'!$E31:INDEX('Arroz irrigado'!$E31:$Z31,MIN(AI$6-$E$3,22))),0))-IF($G$2,0,IF((AI$6-$G$3)&lt;1,0,IFERROR(LOOKUP(2,1/('Arroz irrigado'!$E31:INDEX('Arroz irrigado'!$E31:$Z31,MIN(AI$6-$G$3,22))&lt;&gt;""),'Arroz irrigado'!$E31:INDEX('Arroz irrigado'!$E31:$Z31,MIN(AI$6-$G$3,22))),0)))))</f>
        <v>0</v>
      </c>
      <c r="AJ33" s="27" t="n">
        <f aca="false">IF(COUNT('Arroz irrigado'!$E31:$Z31)=0,0,MAX(0,IF((AJ$6-$E$3)&lt;1,0,IFERROR(LOOKUP(2,1/('Arroz irrigado'!$E31:INDEX('Arroz irrigado'!$E31:$Z31,MIN(AJ$6-$E$3,22))&lt;&gt;""),'Arroz irrigado'!$E31:INDEX('Arroz irrigado'!$E31:$Z31,MIN(AJ$6-$E$3,22))),0))-IF($G$2,0,IF((AJ$6-$G$3)&lt;1,0,IFERROR(LOOKUP(2,1/('Arroz irrigado'!$E31:INDEX('Arroz irrigado'!$E31:$Z31,MIN(AJ$6-$G$3,22))&lt;&gt;""),'Arroz irrigado'!$E31:INDEX('Arroz irrigado'!$E31:$Z31,MIN(AJ$6-$G$3,22))),0)))))</f>
        <v>0</v>
      </c>
      <c r="AK33" s="27" t="n">
        <f aca="false">IF(COUNT('Arroz irrigado'!$E31:$Z31)=0,0,MAX(0,IF((AK$6-$E$3)&lt;1,0,IFERROR(LOOKUP(2,1/('Arroz irrigado'!$E31:INDEX('Arroz irrigado'!$E31:$Z31,MIN(AK$6-$E$3,22))&lt;&gt;""),'Arroz irrigado'!$E31:INDEX('Arroz irrigado'!$E31:$Z31,MIN(AK$6-$E$3,22))),0))-IF($G$2,0,IF((AK$6-$G$3)&lt;1,0,IFERROR(LOOKUP(2,1/('Arroz irrigado'!$E31:INDEX('Arroz irrigado'!$E31:$Z31,MIN(AK$6-$G$3,22))&lt;&gt;""),'Arroz irrigado'!$E31:INDEX('Arroz irrigado'!$E31:$Z31,MIN(AK$6-$G$3,22))),0)))))</f>
        <v>0</v>
      </c>
      <c r="AL33" s="27" t="n">
        <f aca="false">IF(COUNT('Arroz irrigado'!$E31:$Z31)=0,0,MAX(0,IF((AL$6-$E$3)&lt;1,0,IFERROR(LOOKUP(2,1/('Arroz irrigado'!$E31:INDEX('Arroz irrigado'!$E31:$Z31,MIN(AL$6-$E$3,22))&lt;&gt;""),'Arroz irrigado'!$E31:INDEX('Arroz irrigado'!$E31:$Z31,MIN(AL$6-$E$3,22))),0))-IF($G$2,0,IF((AL$6-$G$3)&lt;1,0,IFERROR(LOOKUP(2,1/('Arroz irrigado'!$E31:INDEX('Arroz irrigado'!$E31:$Z31,MIN(AL$6-$G$3,22))&lt;&gt;""),'Arroz irrigado'!$E31:INDEX('Arroz irrigado'!$E31:$Z31,MIN(AL$6-$G$3,22))),0)))))</f>
        <v>0</v>
      </c>
      <c r="AM33" s="27" t="n">
        <f aca="false">IF(COUNT('Arroz irrigado'!$E31:$Z31)=0,0,MAX(0,IF((AM$6-$E$3)&lt;1,0,IFERROR(LOOKUP(2,1/('Arroz irrigado'!$E31:INDEX('Arroz irrigado'!$E31:$Z31,MIN(AM$6-$E$3,22))&lt;&gt;""),'Arroz irrigado'!$E31:INDEX('Arroz irrigado'!$E31:$Z31,MIN(AM$6-$E$3,22))),0))-IF($G$2,0,IF((AM$6-$G$3)&lt;1,0,IFERROR(LOOKUP(2,1/('Arroz irrigado'!$E31:INDEX('Arroz irrigado'!$E31:$Z31,MIN(AM$6-$G$3,22))&lt;&gt;""),'Arroz irrigado'!$E31:INDEX('Arroz irrigado'!$E31:$Z31,MIN(AM$6-$G$3,22))),0)))))</f>
        <v>0</v>
      </c>
      <c r="AN33" s="27" t="n">
        <f aca="false">IF(COUNT('Arroz irrigado'!$E31:$Z31)=0,0,MAX(0,IF((AN$6-$E$3)&lt;1,0,IFERROR(LOOKUP(2,1/('Arroz irrigado'!$E31:INDEX('Arroz irrigado'!$E31:$Z31,MIN(AN$6-$E$3,22))&lt;&gt;""),'Arroz irrigado'!$E31:INDEX('Arroz irrigado'!$E31:$Z31,MIN(AN$6-$E$3,22))),0))-IF($G$2,0,IF((AN$6-$G$3)&lt;1,0,IFERROR(LOOKUP(2,1/('Arroz irrigado'!$E31:INDEX('Arroz irrigado'!$E31:$Z31,MIN(AN$6-$G$3,22))&lt;&gt;""),'Arroz irrigado'!$E31:INDEX('Arroz irrigado'!$E31:$Z31,MIN(AN$6-$G$3,22))),0)))))</f>
        <v>0</v>
      </c>
      <c r="AO33" s="27" t="n">
        <f aca="false">IF(COUNT('Arroz irrigado'!$E31:$Z31)=0,0,MAX(0,IF((AO$6-$E$3)&lt;1,0,IFERROR(LOOKUP(2,1/('Arroz irrigado'!$E31:INDEX('Arroz irrigado'!$E31:$Z31,MIN(AO$6-$E$3,22))&lt;&gt;""),'Arroz irrigado'!$E31:INDEX('Arroz irrigado'!$E31:$Z31,MIN(AO$6-$E$3,22))),0))-IF($G$2,0,IF((AO$6-$G$3)&lt;1,0,IFERROR(LOOKUP(2,1/('Arroz irrigado'!$E31:INDEX('Arroz irrigado'!$E31:$Z31,MIN(AO$6-$G$3,22))&lt;&gt;""),'Arroz irrigado'!$E31:INDEX('Arroz irrigado'!$E31:$Z31,MIN(AO$6-$G$3,22))),0)))))</f>
        <v>0</v>
      </c>
      <c r="AP33" s="27" t="n">
        <f aca="false">IF(COUNT('Arroz irrigado'!$E31:$Z31)=0,0,MAX(0,IF((AP$6-$E$3)&lt;1,0,IFERROR(LOOKUP(2,1/('Arroz irrigado'!$E31:INDEX('Arroz irrigado'!$E31:$Z31,MIN(AP$6-$E$3,22))&lt;&gt;""),'Arroz irrigado'!$E31:INDEX('Arroz irrigado'!$E31:$Z31,MIN(AP$6-$E$3,22))),0))-IF($G$2,0,IF((AP$6-$G$3)&lt;1,0,IFERROR(LOOKUP(2,1/('Arroz irrigado'!$E31:INDEX('Arroz irrigado'!$E31:$Z31,MIN(AP$6-$G$3,22))&lt;&gt;""),'Arroz irrigado'!$E31:INDEX('Arroz irrigado'!$E31:$Z31,MIN(AP$6-$G$3,22))),0)))))</f>
        <v>0</v>
      </c>
      <c r="AQ33" s="27" t="n">
        <f aca="false">IF(COUNT('Arroz irrigado'!$E31:$Z31)=0,0,MAX(0,IF((AQ$6-$E$3)&lt;1,0,IFERROR(LOOKUP(2,1/('Arroz irrigado'!$E31:INDEX('Arroz irrigado'!$E31:$Z31,MIN(AQ$6-$E$3,22))&lt;&gt;""),'Arroz irrigado'!$E31:INDEX('Arroz irrigado'!$E31:$Z31,MIN(AQ$6-$E$3,22))),0))-IF($G$2,0,IF((AQ$6-$G$3)&lt;1,0,IFERROR(LOOKUP(2,1/('Arroz irrigado'!$E31:INDEX('Arroz irrigado'!$E31:$Z31,MIN(AQ$6-$G$3,22))&lt;&gt;""),'Arroz irrigado'!$E31:INDEX('Arroz irrigado'!$E31:$Z31,MIN(AQ$6-$G$3,22))),0)))))</f>
        <v>0</v>
      </c>
      <c r="AR33" s="27" t="n">
        <f aca="false">IF(COUNT('Arroz irrigado'!$E31:$Z31)=0,0,MAX(0,IF((AR$6-$E$3)&lt;1,0,IFERROR(LOOKUP(2,1/('Arroz irrigado'!$E31:INDEX('Arroz irrigado'!$E31:$Z31,MIN(AR$6-$E$3,22))&lt;&gt;""),'Arroz irrigado'!$E31:INDEX('Arroz irrigado'!$E31:$Z31,MIN(AR$6-$E$3,22))),0))-IF($G$2,0,IF((AR$6-$G$3)&lt;1,0,IFERROR(LOOKUP(2,1/('Arroz irrigado'!$E31:INDEX('Arroz irrigado'!$E31:$Z31,MIN(AR$6-$G$3,22))&lt;&gt;""),'Arroz irrigado'!$E31:INDEX('Arroz irrigado'!$E31:$Z31,MIN(AR$6-$G$3,22))),0)))))</f>
        <v>0</v>
      </c>
      <c r="AS33" s="27" t="n">
        <f aca="false">IF(COUNT('Arroz irrigado'!$E31:$Z31)=0,0,MAX(0,IF((AS$6-$E$3)&lt;1,0,IFERROR(LOOKUP(2,1/('Arroz irrigado'!$E31:INDEX('Arroz irrigado'!$E31:$Z31,MIN(AS$6-$E$3,22))&lt;&gt;""),'Arroz irrigado'!$E31:INDEX('Arroz irrigado'!$E31:$Z31,MIN(AS$6-$E$3,22))),0))-IF($G$2,0,IF((AS$6-$G$3)&lt;1,0,IFERROR(LOOKUP(2,1/('Arroz irrigado'!$E31:INDEX('Arroz irrigado'!$E31:$Z31,MIN(AS$6-$G$3,22))&lt;&gt;""),'Arroz irrigado'!$E31:INDEX('Arroz irrigado'!$E31:$Z31,MIN(AS$6-$G$3,22))),0)))))</f>
        <v>0</v>
      </c>
      <c r="AT33" s="27" t="n">
        <f aca="false">IF(COUNT('Arroz irrigado'!$E31:$Z31)=0,0,MAX(0,IF((AT$6-$E$3)&lt;1,0,IFERROR(LOOKUP(2,1/('Arroz irrigado'!$E31:INDEX('Arroz irrigado'!$E31:$Z31,MIN(AT$6-$E$3,22))&lt;&gt;""),'Arroz irrigado'!$E31:INDEX('Arroz irrigado'!$E31:$Z31,MIN(AT$6-$E$3,22))),0))-IF($G$2,0,IF((AT$6-$G$3)&lt;1,0,IFERROR(LOOKUP(2,1/('Arroz irrigado'!$E31:INDEX('Arroz irrigado'!$E31:$Z31,MIN(AT$6-$G$3,22))&lt;&gt;""),'Arroz irrigado'!$E31:INDEX('Arroz irrigado'!$E31:$Z31,MIN(AT$6-$G$3,22))),0)))))</f>
        <v>0</v>
      </c>
      <c r="AU33" s="27" t="n">
        <f aca="false">IF(COUNT('Arroz irrigado'!$E31:$Z31)=0,0,MAX(0,IF((AU$6-$E$3)&lt;1,0,IFERROR(LOOKUP(2,1/('Arroz irrigado'!$E31:INDEX('Arroz irrigado'!$E31:$Z31,MIN(AU$6-$E$3,22))&lt;&gt;""),'Arroz irrigado'!$E31:INDEX('Arroz irrigado'!$E31:$Z31,MIN(AU$6-$E$3,22))),0))-IF($G$2,0,IF((AU$6-$G$3)&lt;1,0,IFERROR(LOOKUP(2,1/('Arroz irrigado'!$E31:INDEX('Arroz irrigado'!$E31:$Z31,MIN(AU$6-$G$3,22))&lt;&gt;""),'Arroz irrigado'!$E31:INDEX('Arroz irrigado'!$E31:$Z31,MIN(AU$6-$G$3,22))),0)))))</f>
        <v>0</v>
      </c>
      <c r="AV33" s="27" t="n">
        <f aca="false">IF(COUNT('Arroz irrigado'!$E31:$Z31)=0,0,MAX(0,IF((AV$6-$E$3)&lt;1,0,IFERROR(LOOKUP(2,1/('Arroz irrigado'!$E31:INDEX('Arroz irrigado'!$E31:$Z31,MIN(AV$6-$E$3,22))&lt;&gt;""),'Arroz irrigado'!$E31:INDEX('Arroz irrigado'!$E31:$Z31,MIN(AV$6-$E$3,22))),0))-IF($G$2,0,IF((AV$6-$G$3)&lt;1,0,IFERROR(LOOKUP(2,1/('Arroz irrigado'!$E31:INDEX('Arroz irrigado'!$E31:$Z31,MIN(AV$6-$G$3,22))&lt;&gt;""),'Arroz irrigado'!$E31:INDEX('Arroz irrigado'!$E31:$Z31,MIN(AV$6-$G$3,22))),0)))))</f>
        <v>0</v>
      </c>
      <c r="AW33" s="27" t="n">
        <f aca="false">IF(COUNT('Arroz irrigado'!$E31:$Z31)=0,0,MAX(0,IF((AW$6-$E$3)&lt;1,0,IFERROR(LOOKUP(2,1/('Arroz irrigado'!$E31:INDEX('Arroz irrigado'!$E31:$Z31,MIN(AW$6-$E$3,22))&lt;&gt;""),'Arroz irrigado'!$E31:INDEX('Arroz irrigado'!$E31:$Z31,MIN(AW$6-$E$3,22))),0))-IF($G$2,0,IF((AW$6-$G$3)&lt;1,0,IFERROR(LOOKUP(2,1/('Arroz irrigado'!$E31:INDEX('Arroz irrigado'!$E31:$Z31,MIN(AW$6-$G$3,22))&lt;&gt;""),'Arroz irrigado'!$E31:INDEX('Arroz irrigado'!$E31:$Z31,MIN(AW$6-$G$3,22))),0)))))</f>
        <v>0</v>
      </c>
      <c r="AX33" s="27" t="n">
        <f aca="false">IF(COUNT('Arroz irrigado'!$E31:$Z31)=0,0,MAX(0,IF((AX$6-$E$3)&lt;1,0,IFERROR(LOOKUP(2,1/('Arroz irrigado'!$E31:INDEX('Arroz irrigado'!$E31:$Z31,MIN(AX$6-$E$3,22))&lt;&gt;""),'Arroz irrigado'!$E31:INDEX('Arroz irrigado'!$E31:$Z31,MIN(AX$6-$E$3,22))),0))-IF($G$2,0,IF((AX$6-$G$3)&lt;1,0,IFERROR(LOOKUP(2,1/('Arroz irrigado'!$E31:INDEX('Arroz irrigado'!$E31:$Z31,MIN(AX$6-$G$3,22))&lt;&gt;""),'Arroz irrigado'!$E31:INDEX('Arroz irrigado'!$E31:$Z31,MIN(AX$6-$G$3,22))),0)))))</f>
        <v>0</v>
      </c>
      <c r="AY33" s="27" t="n">
        <f aca="false">IF(COUNT('Arroz irrigado'!$E31:$Z31)=0,0,MAX(0,IF((AY$6-$E$3)&lt;1,0,IFERROR(LOOKUP(2,1/('Arroz irrigado'!$E31:INDEX('Arroz irrigado'!$E31:$Z31,MIN(AY$6-$E$3,22))&lt;&gt;""),'Arroz irrigado'!$E31:INDEX('Arroz irrigado'!$E31:$Z31,MIN(AY$6-$E$3,22))),0))-IF($G$2,0,IF((AY$6-$G$3)&lt;1,0,IFERROR(LOOKUP(2,1/('Arroz irrigado'!$E31:INDEX('Arroz irrigado'!$E31:$Z31,MIN(AY$6-$G$3,22))&lt;&gt;""),'Arroz irrigado'!$E31:INDEX('Arroz irrigado'!$E31:$Z31,MIN(AY$6-$G$3,22))),0)))))</f>
        <v>0</v>
      </c>
      <c r="AZ33" s="27" t="n">
        <f aca="false">IF(COUNT('Arroz irrigado'!$E31:$Z31)=0,0,MAX(0,IF((AZ$6-$E$3)&lt;1,0,IFERROR(LOOKUP(2,1/('Arroz irrigado'!$E31:INDEX('Arroz irrigado'!$E31:$Z31,MIN(AZ$6-$E$3,22))&lt;&gt;""),'Arroz irrigado'!$E31:INDEX('Arroz irrigado'!$E31:$Z31,MIN(AZ$6-$E$3,22))),0))-IF($G$2,0,IF((AZ$6-$G$3)&lt;1,0,IFERROR(LOOKUP(2,1/('Arroz irrigado'!$E31:INDEX('Arroz irrigado'!$E31:$Z31,MIN(AZ$6-$G$3,22))&lt;&gt;""),'Arroz irrigado'!$E31:INDEX('Arroz irrigado'!$E31:$Z31,MIN(AZ$6-$G$3,22))),0)))))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IF(COUNT('Arroz irrigado'!$E32:$Z32)&gt;0,N('Arroz irrigado'!$D32),0)</f>
        <v>0</v>
      </c>
      <c r="E34" s="27" t="n">
        <f aca="false">IF(COUNT('Arroz irrigado'!$E32:$Z32)=0,0,MAX(0,IF((E$6-$E$3)&lt;1,0,IFERROR(LOOKUP(2,1/('Arroz irrigado'!$E32:INDEX('Arroz irrigado'!$E32:$Z32,MIN(E$6-$E$3,22))&lt;&gt;""),'Arroz irrigado'!$E32:INDEX('Arroz irrigado'!$E32:$Z32,MIN(E$6-$E$3,22))),0))-IF($G$2,0,IF((E$6-$G$3)&lt;1,0,IFERROR(LOOKUP(2,1/('Arroz irrigado'!$E32:INDEX('Arroz irrigado'!$E32:$Z32,MIN(E$6-$G$3,22))&lt;&gt;""),'Arroz irrigado'!$E32:INDEX('Arroz irrigado'!$E32:$Z32,MIN(E$6-$G$3,22))),0)))))</f>
        <v>0</v>
      </c>
      <c r="F34" s="27" t="n">
        <f aca="false">IF(COUNT('Arroz irrigado'!$E32:$Z32)=0,0,MAX(0,IF((F$6-$E$3)&lt;1,0,IFERROR(LOOKUP(2,1/('Arroz irrigado'!$E32:INDEX('Arroz irrigado'!$E32:$Z32,MIN(F$6-$E$3,22))&lt;&gt;""),'Arroz irrigado'!$E32:INDEX('Arroz irrigado'!$E32:$Z32,MIN(F$6-$E$3,22))),0))-IF($G$2,0,IF((F$6-$G$3)&lt;1,0,IFERROR(LOOKUP(2,1/('Arroz irrigado'!$E32:INDEX('Arroz irrigado'!$E32:$Z32,MIN(F$6-$G$3,22))&lt;&gt;""),'Arroz irrigado'!$E32:INDEX('Arroz irrigado'!$E32:$Z32,MIN(F$6-$G$3,22))),0)))))</f>
        <v>0</v>
      </c>
      <c r="G34" s="27" t="n">
        <f aca="false">IF(COUNT('Arroz irrigado'!$E32:$Z32)=0,0,MAX(0,IF((G$6-$E$3)&lt;1,0,IFERROR(LOOKUP(2,1/('Arroz irrigado'!$E32:INDEX('Arroz irrigado'!$E32:$Z32,MIN(G$6-$E$3,22))&lt;&gt;""),'Arroz irrigado'!$E32:INDEX('Arroz irrigado'!$E32:$Z32,MIN(G$6-$E$3,22))),0))-IF($G$2,0,IF((G$6-$G$3)&lt;1,0,IFERROR(LOOKUP(2,1/('Arroz irrigado'!$E32:INDEX('Arroz irrigado'!$E32:$Z32,MIN(G$6-$G$3,22))&lt;&gt;""),'Arroz irrigado'!$E32:INDEX('Arroz irrigado'!$E32:$Z32,MIN(G$6-$G$3,22))),0)))))</f>
        <v>0</v>
      </c>
      <c r="H34" s="27" t="n">
        <f aca="false">IF(COUNT('Arroz irrigado'!$E32:$Z32)=0,0,MAX(0,IF((H$6-$E$3)&lt;1,0,IFERROR(LOOKUP(2,1/('Arroz irrigado'!$E32:INDEX('Arroz irrigado'!$E32:$Z32,MIN(H$6-$E$3,22))&lt;&gt;""),'Arroz irrigado'!$E32:INDEX('Arroz irrigado'!$E32:$Z32,MIN(H$6-$E$3,22))),0))-IF($G$2,0,IF((H$6-$G$3)&lt;1,0,IFERROR(LOOKUP(2,1/('Arroz irrigado'!$E32:INDEX('Arroz irrigado'!$E32:$Z32,MIN(H$6-$G$3,22))&lt;&gt;""),'Arroz irrigado'!$E32:INDEX('Arroz irrigado'!$E32:$Z32,MIN(H$6-$G$3,22))),0)))))</f>
        <v>0</v>
      </c>
      <c r="I34" s="27" t="n">
        <f aca="false">IF(COUNT('Arroz irrigado'!$E32:$Z32)=0,0,MAX(0,IF((I$6-$E$3)&lt;1,0,IFERROR(LOOKUP(2,1/('Arroz irrigado'!$E32:INDEX('Arroz irrigado'!$E32:$Z32,MIN(I$6-$E$3,22))&lt;&gt;""),'Arroz irrigado'!$E32:INDEX('Arroz irrigado'!$E32:$Z32,MIN(I$6-$E$3,22))),0))-IF($G$2,0,IF((I$6-$G$3)&lt;1,0,IFERROR(LOOKUP(2,1/('Arroz irrigado'!$E32:INDEX('Arroz irrigado'!$E32:$Z32,MIN(I$6-$G$3,22))&lt;&gt;""),'Arroz irrigado'!$E32:INDEX('Arroz irrigado'!$E32:$Z32,MIN(I$6-$G$3,22))),0)))))</f>
        <v>0</v>
      </c>
      <c r="J34" s="27" t="n">
        <f aca="false">IF(COUNT('Arroz irrigado'!$E32:$Z32)=0,0,MAX(0,IF((J$6-$E$3)&lt;1,0,IFERROR(LOOKUP(2,1/('Arroz irrigado'!$E32:INDEX('Arroz irrigado'!$E32:$Z32,MIN(J$6-$E$3,22))&lt;&gt;""),'Arroz irrigado'!$E32:INDEX('Arroz irrigado'!$E32:$Z32,MIN(J$6-$E$3,22))),0))-IF($G$2,0,IF((J$6-$G$3)&lt;1,0,IFERROR(LOOKUP(2,1/('Arroz irrigado'!$E32:INDEX('Arroz irrigado'!$E32:$Z32,MIN(J$6-$G$3,22))&lt;&gt;""),'Arroz irrigado'!$E32:INDEX('Arroz irrigado'!$E32:$Z32,MIN(J$6-$G$3,22))),0)))))</f>
        <v>0</v>
      </c>
      <c r="K34" s="27" t="n">
        <f aca="false">IF(COUNT('Arroz irrigado'!$E32:$Z32)=0,0,MAX(0,IF((K$6-$E$3)&lt;1,0,IFERROR(LOOKUP(2,1/('Arroz irrigado'!$E32:INDEX('Arroz irrigado'!$E32:$Z32,MIN(K$6-$E$3,22))&lt;&gt;""),'Arroz irrigado'!$E32:INDEX('Arroz irrigado'!$E32:$Z32,MIN(K$6-$E$3,22))),0))-IF($G$2,0,IF((K$6-$G$3)&lt;1,0,IFERROR(LOOKUP(2,1/('Arroz irrigado'!$E32:INDEX('Arroz irrigado'!$E32:$Z32,MIN(K$6-$G$3,22))&lt;&gt;""),'Arroz irrigado'!$E32:INDEX('Arroz irrigado'!$E32:$Z32,MIN(K$6-$G$3,22))),0)))))</f>
        <v>0</v>
      </c>
      <c r="L34" s="27" t="n">
        <f aca="false">IF(COUNT('Arroz irrigado'!$E32:$Z32)=0,0,MAX(0,IF((L$6-$E$3)&lt;1,0,IFERROR(LOOKUP(2,1/('Arroz irrigado'!$E32:INDEX('Arroz irrigado'!$E32:$Z32,MIN(L$6-$E$3,22))&lt;&gt;""),'Arroz irrigado'!$E32:INDEX('Arroz irrigado'!$E32:$Z32,MIN(L$6-$E$3,22))),0))-IF($G$2,0,IF((L$6-$G$3)&lt;1,0,IFERROR(LOOKUP(2,1/('Arroz irrigado'!$E32:INDEX('Arroz irrigado'!$E32:$Z32,MIN(L$6-$G$3,22))&lt;&gt;""),'Arroz irrigado'!$E32:INDEX('Arroz irrigado'!$E32:$Z32,MIN(L$6-$G$3,22))),0)))))</f>
        <v>0</v>
      </c>
      <c r="M34" s="27" t="n">
        <f aca="false">IF(COUNT('Arroz irrigado'!$E32:$Z32)=0,0,MAX(0,IF((M$6-$E$3)&lt;1,0,IFERROR(LOOKUP(2,1/('Arroz irrigado'!$E32:INDEX('Arroz irrigado'!$E32:$Z32,MIN(M$6-$E$3,22))&lt;&gt;""),'Arroz irrigado'!$E32:INDEX('Arroz irrigado'!$E32:$Z32,MIN(M$6-$E$3,22))),0))-IF($G$2,0,IF((M$6-$G$3)&lt;1,0,IFERROR(LOOKUP(2,1/('Arroz irrigado'!$E32:INDEX('Arroz irrigado'!$E32:$Z32,MIN(M$6-$G$3,22))&lt;&gt;""),'Arroz irrigado'!$E32:INDEX('Arroz irrigado'!$E32:$Z32,MIN(M$6-$G$3,22))),0)))))</f>
        <v>0</v>
      </c>
      <c r="N34" s="27" t="n">
        <f aca="false">IF(COUNT('Arroz irrigado'!$E32:$Z32)=0,0,MAX(0,IF((N$6-$E$3)&lt;1,0,IFERROR(LOOKUP(2,1/('Arroz irrigado'!$E32:INDEX('Arroz irrigado'!$E32:$Z32,MIN(N$6-$E$3,22))&lt;&gt;""),'Arroz irrigado'!$E32:INDEX('Arroz irrigado'!$E32:$Z32,MIN(N$6-$E$3,22))),0))-IF($G$2,0,IF((N$6-$G$3)&lt;1,0,IFERROR(LOOKUP(2,1/('Arroz irrigado'!$E32:INDEX('Arroz irrigado'!$E32:$Z32,MIN(N$6-$G$3,22))&lt;&gt;""),'Arroz irrigado'!$E32:INDEX('Arroz irrigado'!$E32:$Z32,MIN(N$6-$G$3,22))),0)))))</f>
        <v>0</v>
      </c>
      <c r="O34" s="27" t="n">
        <f aca="false">IF(COUNT('Arroz irrigado'!$E32:$Z32)=0,0,MAX(0,IF((O$6-$E$3)&lt;1,0,IFERROR(LOOKUP(2,1/('Arroz irrigado'!$E32:INDEX('Arroz irrigado'!$E32:$Z32,MIN(O$6-$E$3,22))&lt;&gt;""),'Arroz irrigado'!$E32:INDEX('Arroz irrigado'!$E32:$Z32,MIN(O$6-$E$3,22))),0))-IF($G$2,0,IF((O$6-$G$3)&lt;1,0,IFERROR(LOOKUP(2,1/('Arroz irrigado'!$E32:INDEX('Arroz irrigado'!$E32:$Z32,MIN(O$6-$G$3,22))&lt;&gt;""),'Arroz irrigado'!$E32:INDEX('Arroz irrigado'!$E32:$Z32,MIN(O$6-$G$3,22))),0)))))</f>
        <v>0</v>
      </c>
      <c r="P34" s="27" t="n">
        <f aca="false">IF(COUNT('Arroz irrigado'!$E32:$Z32)=0,0,MAX(0,IF((P$6-$E$3)&lt;1,0,IFERROR(LOOKUP(2,1/('Arroz irrigado'!$E32:INDEX('Arroz irrigado'!$E32:$Z32,MIN(P$6-$E$3,22))&lt;&gt;""),'Arroz irrigado'!$E32:INDEX('Arroz irrigado'!$E32:$Z32,MIN(P$6-$E$3,22))),0))-IF($G$2,0,IF((P$6-$G$3)&lt;1,0,IFERROR(LOOKUP(2,1/('Arroz irrigado'!$E32:INDEX('Arroz irrigado'!$E32:$Z32,MIN(P$6-$G$3,22))&lt;&gt;""),'Arroz irrigado'!$E32:INDEX('Arroz irrigado'!$E32:$Z32,MIN(P$6-$G$3,22))),0)))))</f>
        <v>0</v>
      </c>
      <c r="Q34" s="27" t="n">
        <f aca="false">IF(COUNT('Arroz irrigado'!$E32:$Z32)=0,0,MAX(0,IF((Q$6-$E$3)&lt;1,0,IFERROR(LOOKUP(2,1/('Arroz irrigado'!$E32:INDEX('Arroz irrigado'!$E32:$Z32,MIN(Q$6-$E$3,22))&lt;&gt;""),'Arroz irrigado'!$E32:INDEX('Arroz irrigado'!$E32:$Z32,MIN(Q$6-$E$3,22))),0))-IF($G$2,0,IF((Q$6-$G$3)&lt;1,0,IFERROR(LOOKUP(2,1/('Arroz irrigado'!$E32:INDEX('Arroz irrigado'!$E32:$Z32,MIN(Q$6-$G$3,22))&lt;&gt;""),'Arroz irrigado'!$E32:INDEX('Arroz irrigado'!$E32:$Z32,MIN(Q$6-$G$3,22))),0)))))</f>
        <v>0</v>
      </c>
      <c r="R34" s="27" t="n">
        <f aca="false">IF(COUNT('Arroz irrigado'!$E32:$Z32)=0,0,MAX(0,IF((R$6-$E$3)&lt;1,0,IFERROR(LOOKUP(2,1/('Arroz irrigado'!$E32:INDEX('Arroz irrigado'!$E32:$Z32,MIN(R$6-$E$3,22))&lt;&gt;""),'Arroz irrigado'!$E32:INDEX('Arroz irrigado'!$E32:$Z32,MIN(R$6-$E$3,22))),0))-IF($G$2,0,IF((R$6-$G$3)&lt;1,0,IFERROR(LOOKUP(2,1/('Arroz irrigado'!$E32:INDEX('Arroz irrigado'!$E32:$Z32,MIN(R$6-$G$3,22))&lt;&gt;""),'Arroz irrigado'!$E32:INDEX('Arroz irrigado'!$E32:$Z32,MIN(R$6-$G$3,22))),0)))))</f>
        <v>0</v>
      </c>
      <c r="S34" s="27" t="n">
        <f aca="false">IF(COUNT('Arroz irrigado'!$E32:$Z32)=0,0,MAX(0,IF((S$6-$E$3)&lt;1,0,IFERROR(LOOKUP(2,1/('Arroz irrigado'!$E32:INDEX('Arroz irrigado'!$E32:$Z32,MIN(S$6-$E$3,22))&lt;&gt;""),'Arroz irrigado'!$E32:INDEX('Arroz irrigado'!$E32:$Z32,MIN(S$6-$E$3,22))),0))-IF($G$2,0,IF((S$6-$G$3)&lt;1,0,IFERROR(LOOKUP(2,1/('Arroz irrigado'!$E32:INDEX('Arroz irrigado'!$E32:$Z32,MIN(S$6-$G$3,22))&lt;&gt;""),'Arroz irrigado'!$E32:INDEX('Arroz irrigado'!$E32:$Z32,MIN(S$6-$G$3,22))),0)))))</f>
        <v>0</v>
      </c>
      <c r="T34" s="27" t="n">
        <f aca="false">IF(COUNT('Arroz irrigado'!$E32:$Z32)=0,0,MAX(0,IF((T$6-$E$3)&lt;1,0,IFERROR(LOOKUP(2,1/('Arroz irrigado'!$E32:INDEX('Arroz irrigado'!$E32:$Z32,MIN(T$6-$E$3,22))&lt;&gt;""),'Arroz irrigado'!$E32:INDEX('Arroz irrigado'!$E32:$Z32,MIN(T$6-$E$3,22))),0))-IF($G$2,0,IF((T$6-$G$3)&lt;1,0,IFERROR(LOOKUP(2,1/('Arroz irrigado'!$E32:INDEX('Arroz irrigado'!$E32:$Z32,MIN(T$6-$G$3,22))&lt;&gt;""),'Arroz irrigado'!$E32:INDEX('Arroz irrigado'!$E32:$Z32,MIN(T$6-$G$3,22))),0)))))</f>
        <v>0</v>
      </c>
      <c r="U34" s="27" t="n">
        <f aca="false">IF(COUNT('Arroz irrigado'!$E32:$Z32)=0,0,MAX(0,IF((U$6-$E$3)&lt;1,0,IFERROR(LOOKUP(2,1/('Arroz irrigado'!$E32:INDEX('Arroz irrigado'!$E32:$Z32,MIN(U$6-$E$3,22))&lt;&gt;""),'Arroz irrigado'!$E32:INDEX('Arroz irrigado'!$E32:$Z32,MIN(U$6-$E$3,22))),0))-IF($G$2,0,IF((U$6-$G$3)&lt;1,0,IFERROR(LOOKUP(2,1/('Arroz irrigado'!$E32:INDEX('Arroz irrigado'!$E32:$Z32,MIN(U$6-$G$3,22))&lt;&gt;""),'Arroz irrigado'!$E32:INDEX('Arroz irrigado'!$E32:$Z32,MIN(U$6-$G$3,22))),0)))))</f>
        <v>0</v>
      </c>
      <c r="V34" s="27" t="n">
        <f aca="false">IF(COUNT('Arroz irrigado'!$E32:$Z32)=0,0,MAX(0,IF((V$6-$E$3)&lt;1,0,IFERROR(LOOKUP(2,1/('Arroz irrigado'!$E32:INDEX('Arroz irrigado'!$E32:$Z32,MIN(V$6-$E$3,22))&lt;&gt;""),'Arroz irrigado'!$E32:INDEX('Arroz irrigado'!$E32:$Z32,MIN(V$6-$E$3,22))),0))-IF($G$2,0,IF((V$6-$G$3)&lt;1,0,IFERROR(LOOKUP(2,1/('Arroz irrigado'!$E32:INDEX('Arroz irrigado'!$E32:$Z32,MIN(V$6-$G$3,22))&lt;&gt;""),'Arroz irrigado'!$E32:INDEX('Arroz irrigado'!$E32:$Z32,MIN(V$6-$G$3,22))),0)))))</f>
        <v>0</v>
      </c>
      <c r="W34" s="27" t="n">
        <f aca="false">IF(COUNT('Arroz irrigado'!$E32:$Z32)=0,0,MAX(0,IF((W$6-$E$3)&lt;1,0,IFERROR(LOOKUP(2,1/('Arroz irrigado'!$E32:INDEX('Arroz irrigado'!$E32:$Z32,MIN(W$6-$E$3,22))&lt;&gt;""),'Arroz irrigado'!$E32:INDEX('Arroz irrigado'!$E32:$Z32,MIN(W$6-$E$3,22))),0))-IF($G$2,0,IF((W$6-$G$3)&lt;1,0,IFERROR(LOOKUP(2,1/('Arroz irrigado'!$E32:INDEX('Arroz irrigado'!$E32:$Z32,MIN(W$6-$G$3,22))&lt;&gt;""),'Arroz irrigado'!$E32:INDEX('Arroz irrigado'!$E32:$Z32,MIN(W$6-$G$3,22))),0)))))</f>
        <v>0</v>
      </c>
      <c r="X34" s="27" t="n">
        <f aca="false">IF(COUNT('Arroz irrigado'!$E32:$Z32)=0,0,MAX(0,IF((X$6-$E$3)&lt;1,0,IFERROR(LOOKUP(2,1/('Arroz irrigado'!$E32:INDEX('Arroz irrigado'!$E32:$Z32,MIN(X$6-$E$3,22))&lt;&gt;""),'Arroz irrigado'!$E32:INDEX('Arroz irrigado'!$E32:$Z32,MIN(X$6-$E$3,22))),0))-IF($G$2,0,IF((X$6-$G$3)&lt;1,0,IFERROR(LOOKUP(2,1/('Arroz irrigado'!$E32:INDEX('Arroz irrigado'!$E32:$Z32,MIN(X$6-$G$3,22))&lt;&gt;""),'Arroz irrigado'!$E32:INDEX('Arroz irrigado'!$E32:$Z32,MIN(X$6-$G$3,22))),0)))))</f>
        <v>0</v>
      </c>
      <c r="Y34" s="27" t="n">
        <f aca="false">IF(COUNT('Arroz irrigado'!$E32:$Z32)=0,0,MAX(0,IF((Y$6-$E$3)&lt;1,0,IFERROR(LOOKUP(2,1/('Arroz irrigado'!$E32:INDEX('Arroz irrigado'!$E32:$Z32,MIN(Y$6-$E$3,22))&lt;&gt;""),'Arroz irrigado'!$E32:INDEX('Arroz irrigado'!$E32:$Z32,MIN(Y$6-$E$3,22))),0))-IF($G$2,0,IF((Y$6-$G$3)&lt;1,0,IFERROR(LOOKUP(2,1/('Arroz irrigado'!$E32:INDEX('Arroz irrigado'!$E32:$Z32,MIN(Y$6-$G$3,22))&lt;&gt;""),'Arroz irrigado'!$E32:INDEX('Arroz irrigado'!$E32:$Z32,MIN(Y$6-$G$3,22))),0)))))</f>
        <v>0</v>
      </c>
      <c r="Z34" s="27" t="n">
        <f aca="false">IF(COUNT('Arroz irrigado'!$E32:$Z32)=0,0,MAX(0,IF((Z$6-$E$3)&lt;1,0,IFERROR(LOOKUP(2,1/('Arroz irrigado'!$E32:INDEX('Arroz irrigado'!$E32:$Z32,MIN(Z$6-$E$3,22))&lt;&gt;""),'Arroz irrigado'!$E32:INDEX('Arroz irrigado'!$E32:$Z32,MIN(Z$6-$E$3,22))),0))-IF($G$2,0,IF((Z$6-$G$3)&lt;1,0,IFERROR(LOOKUP(2,1/('Arroz irrigado'!$E32:INDEX('Arroz irrigado'!$E32:$Z32,MIN(Z$6-$G$3,22))&lt;&gt;""),'Arroz irrigado'!$E32:INDEX('Arroz irrigado'!$E32:$Z32,MIN(Z$6-$G$3,22))),0)))))</f>
        <v>0</v>
      </c>
      <c r="AA34" s="27" t="n">
        <f aca="false">IF(COUNT('Arroz irrigado'!$E32:$Z32)=0,0,MAX(0,IF((AA$6-$E$3)&lt;1,0,IFERROR(LOOKUP(2,1/('Arroz irrigado'!$E32:INDEX('Arroz irrigado'!$E32:$Z32,MIN(AA$6-$E$3,22))&lt;&gt;""),'Arroz irrigado'!$E32:INDEX('Arroz irrigado'!$E32:$Z32,MIN(AA$6-$E$3,22))),0))-IF($G$2,0,IF((AA$6-$G$3)&lt;1,0,IFERROR(LOOKUP(2,1/('Arroz irrigado'!$E32:INDEX('Arroz irrigado'!$E32:$Z32,MIN(AA$6-$G$3,22))&lt;&gt;""),'Arroz irrigado'!$E32:INDEX('Arroz irrigado'!$E32:$Z32,MIN(AA$6-$G$3,22))),0)))))</f>
        <v>0</v>
      </c>
      <c r="AB34" s="27" t="n">
        <f aca="false">IF(COUNT('Arroz irrigado'!$E32:$Z32)=0,0,MAX(0,IF((AB$6-$E$3)&lt;1,0,IFERROR(LOOKUP(2,1/('Arroz irrigado'!$E32:INDEX('Arroz irrigado'!$E32:$Z32,MIN(AB$6-$E$3,22))&lt;&gt;""),'Arroz irrigado'!$E32:INDEX('Arroz irrigado'!$E32:$Z32,MIN(AB$6-$E$3,22))),0))-IF($G$2,0,IF((AB$6-$G$3)&lt;1,0,IFERROR(LOOKUP(2,1/('Arroz irrigado'!$E32:INDEX('Arroz irrigado'!$E32:$Z32,MIN(AB$6-$G$3,22))&lt;&gt;""),'Arroz irrigado'!$E32:INDEX('Arroz irrigado'!$E32:$Z32,MIN(AB$6-$G$3,22))),0)))))</f>
        <v>0</v>
      </c>
      <c r="AC34" s="27" t="n">
        <f aca="false">IF(COUNT('Arroz irrigado'!$E32:$Z32)=0,0,MAX(0,IF((AC$6-$E$3)&lt;1,0,IFERROR(LOOKUP(2,1/('Arroz irrigado'!$E32:INDEX('Arroz irrigado'!$E32:$Z32,MIN(AC$6-$E$3,22))&lt;&gt;""),'Arroz irrigado'!$E32:INDEX('Arroz irrigado'!$E32:$Z32,MIN(AC$6-$E$3,22))),0))-IF($G$2,0,IF((AC$6-$G$3)&lt;1,0,IFERROR(LOOKUP(2,1/('Arroz irrigado'!$E32:INDEX('Arroz irrigado'!$E32:$Z32,MIN(AC$6-$G$3,22))&lt;&gt;""),'Arroz irrigado'!$E32:INDEX('Arroz irrigado'!$E32:$Z32,MIN(AC$6-$G$3,22))),0)))))</f>
        <v>0</v>
      </c>
      <c r="AD34" s="27" t="n">
        <f aca="false">IF(COUNT('Arroz irrigado'!$E32:$Z32)=0,0,MAX(0,IF((AD$6-$E$3)&lt;1,0,IFERROR(LOOKUP(2,1/('Arroz irrigado'!$E32:INDEX('Arroz irrigado'!$E32:$Z32,MIN(AD$6-$E$3,22))&lt;&gt;""),'Arroz irrigado'!$E32:INDEX('Arroz irrigado'!$E32:$Z32,MIN(AD$6-$E$3,22))),0))-IF($G$2,0,IF((AD$6-$G$3)&lt;1,0,IFERROR(LOOKUP(2,1/('Arroz irrigado'!$E32:INDEX('Arroz irrigado'!$E32:$Z32,MIN(AD$6-$G$3,22))&lt;&gt;""),'Arroz irrigado'!$E32:INDEX('Arroz irrigado'!$E32:$Z32,MIN(AD$6-$G$3,22))),0)))))</f>
        <v>0</v>
      </c>
      <c r="AE34" s="27" t="n">
        <f aca="false">IF(COUNT('Arroz irrigado'!$E32:$Z32)=0,0,MAX(0,IF((AE$6-$E$3)&lt;1,0,IFERROR(LOOKUP(2,1/('Arroz irrigado'!$E32:INDEX('Arroz irrigado'!$E32:$Z32,MIN(AE$6-$E$3,22))&lt;&gt;""),'Arroz irrigado'!$E32:INDEX('Arroz irrigado'!$E32:$Z32,MIN(AE$6-$E$3,22))),0))-IF($G$2,0,IF((AE$6-$G$3)&lt;1,0,IFERROR(LOOKUP(2,1/('Arroz irrigado'!$E32:INDEX('Arroz irrigado'!$E32:$Z32,MIN(AE$6-$G$3,22))&lt;&gt;""),'Arroz irrigado'!$E32:INDEX('Arroz irrigado'!$E32:$Z32,MIN(AE$6-$G$3,22))),0)))))</f>
        <v>0</v>
      </c>
      <c r="AF34" s="27" t="n">
        <f aca="false">IF(COUNT('Arroz irrigado'!$E32:$Z32)=0,0,MAX(0,IF((AF$6-$E$3)&lt;1,0,IFERROR(LOOKUP(2,1/('Arroz irrigado'!$E32:INDEX('Arroz irrigado'!$E32:$Z32,MIN(AF$6-$E$3,22))&lt;&gt;""),'Arroz irrigado'!$E32:INDEX('Arroz irrigado'!$E32:$Z32,MIN(AF$6-$E$3,22))),0))-IF($G$2,0,IF((AF$6-$G$3)&lt;1,0,IFERROR(LOOKUP(2,1/('Arroz irrigado'!$E32:INDEX('Arroz irrigado'!$E32:$Z32,MIN(AF$6-$G$3,22))&lt;&gt;""),'Arroz irrigado'!$E32:INDEX('Arroz irrigado'!$E32:$Z32,MIN(AF$6-$G$3,22))),0)))))</f>
        <v>0</v>
      </c>
      <c r="AG34" s="27" t="n">
        <f aca="false">IF(COUNT('Arroz irrigado'!$E32:$Z32)=0,0,MAX(0,IF((AG$6-$E$3)&lt;1,0,IFERROR(LOOKUP(2,1/('Arroz irrigado'!$E32:INDEX('Arroz irrigado'!$E32:$Z32,MIN(AG$6-$E$3,22))&lt;&gt;""),'Arroz irrigado'!$E32:INDEX('Arroz irrigado'!$E32:$Z32,MIN(AG$6-$E$3,22))),0))-IF($G$2,0,IF((AG$6-$G$3)&lt;1,0,IFERROR(LOOKUP(2,1/('Arroz irrigado'!$E32:INDEX('Arroz irrigado'!$E32:$Z32,MIN(AG$6-$G$3,22))&lt;&gt;""),'Arroz irrigado'!$E32:INDEX('Arroz irrigado'!$E32:$Z32,MIN(AG$6-$G$3,22))),0)))))</f>
        <v>0</v>
      </c>
      <c r="AH34" s="27" t="n">
        <f aca="false">IF(COUNT('Arroz irrigado'!$E32:$Z32)=0,0,MAX(0,IF((AH$6-$E$3)&lt;1,0,IFERROR(LOOKUP(2,1/('Arroz irrigado'!$E32:INDEX('Arroz irrigado'!$E32:$Z32,MIN(AH$6-$E$3,22))&lt;&gt;""),'Arroz irrigado'!$E32:INDEX('Arroz irrigado'!$E32:$Z32,MIN(AH$6-$E$3,22))),0))-IF($G$2,0,IF((AH$6-$G$3)&lt;1,0,IFERROR(LOOKUP(2,1/('Arroz irrigado'!$E32:INDEX('Arroz irrigado'!$E32:$Z32,MIN(AH$6-$G$3,22))&lt;&gt;""),'Arroz irrigado'!$E32:INDEX('Arroz irrigado'!$E32:$Z32,MIN(AH$6-$G$3,22))),0)))))</f>
        <v>0</v>
      </c>
      <c r="AI34" s="27" t="n">
        <f aca="false">IF(COUNT('Arroz irrigado'!$E32:$Z32)=0,0,MAX(0,IF((AI$6-$E$3)&lt;1,0,IFERROR(LOOKUP(2,1/('Arroz irrigado'!$E32:INDEX('Arroz irrigado'!$E32:$Z32,MIN(AI$6-$E$3,22))&lt;&gt;""),'Arroz irrigado'!$E32:INDEX('Arroz irrigado'!$E32:$Z32,MIN(AI$6-$E$3,22))),0))-IF($G$2,0,IF((AI$6-$G$3)&lt;1,0,IFERROR(LOOKUP(2,1/('Arroz irrigado'!$E32:INDEX('Arroz irrigado'!$E32:$Z32,MIN(AI$6-$G$3,22))&lt;&gt;""),'Arroz irrigado'!$E32:INDEX('Arroz irrigado'!$E32:$Z32,MIN(AI$6-$G$3,22))),0)))))</f>
        <v>0</v>
      </c>
      <c r="AJ34" s="27" t="n">
        <f aca="false">IF(COUNT('Arroz irrigado'!$E32:$Z32)=0,0,MAX(0,IF((AJ$6-$E$3)&lt;1,0,IFERROR(LOOKUP(2,1/('Arroz irrigado'!$E32:INDEX('Arroz irrigado'!$E32:$Z32,MIN(AJ$6-$E$3,22))&lt;&gt;""),'Arroz irrigado'!$E32:INDEX('Arroz irrigado'!$E32:$Z32,MIN(AJ$6-$E$3,22))),0))-IF($G$2,0,IF((AJ$6-$G$3)&lt;1,0,IFERROR(LOOKUP(2,1/('Arroz irrigado'!$E32:INDEX('Arroz irrigado'!$E32:$Z32,MIN(AJ$6-$G$3,22))&lt;&gt;""),'Arroz irrigado'!$E32:INDEX('Arroz irrigado'!$E32:$Z32,MIN(AJ$6-$G$3,22))),0)))))</f>
        <v>0</v>
      </c>
      <c r="AK34" s="27" t="n">
        <f aca="false">IF(COUNT('Arroz irrigado'!$E32:$Z32)=0,0,MAX(0,IF((AK$6-$E$3)&lt;1,0,IFERROR(LOOKUP(2,1/('Arroz irrigado'!$E32:INDEX('Arroz irrigado'!$E32:$Z32,MIN(AK$6-$E$3,22))&lt;&gt;""),'Arroz irrigado'!$E32:INDEX('Arroz irrigado'!$E32:$Z32,MIN(AK$6-$E$3,22))),0))-IF($G$2,0,IF((AK$6-$G$3)&lt;1,0,IFERROR(LOOKUP(2,1/('Arroz irrigado'!$E32:INDEX('Arroz irrigado'!$E32:$Z32,MIN(AK$6-$G$3,22))&lt;&gt;""),'Arroz irrigado'!$E32:INDEX('Arroz irrigado'!$E32:$Z32,MIN(AK$6-$G$3,22))),0)))))</f>
        <v>0</v>
      </c>
      <c r="AL34" s="27" t="n">
        <f aca="false">IF(COUNT('Arroz irrigado'!$E32:$Z32)=0,0,MAX(0,IF((AL$6-$E$3)&lt;1,0,IFERROR(LOOKUP(2,1/('Arroz irrigado'!$E32:INDEX('Arroz irrigado'!$E32:$Z32,MIN(AL$6-$E$3,22))&lt;&gt;""),'Arroz irrigado'!$E32:INDEX('Arroz irrigado'!$E32:$Z32,MIN(AL$6-$E$3,22))),0))-IF($G$2,0,IF((AL$6-$G$3)&lt;1,0,IFERROR(LOOKUP(2,1/('Arroz irrigado'!$E32:INDEX('Arroz irrigado'!$E32:$Z32,MIN(AL$6-$G$3,22))&lt;&gt;""),'Arroz irrigado'!$E32:INDEX('Arroz irrigado'!$E32:$Z32,MIN(AL$6-$G$3,22))),0)))))</f>
        <v>0</v>
      </c>
      <c r="AM34" s="27" t="n">
        <f aca="false">IF(COUNT('Arroz irrigado'!$E32:$Z32)=0,0,MAX(0,IF((AM$6-$E$3)&lt;1,0,IFERROR(LOOKUP(2,1/('Arroz irrigado'!$E32:INDEX('Arroz irrigado'!$E32:$Z32,MIN(AM$6-$E$3,22))&lt;&gt;""),'Arroz irrigado'!$E32:INDEX('Arroz irrigado'!$E32:$Z32,MIN(AM$6-$E$3,22))),0))-IF($G$2,0,IF((AM$6-$G$3)&lt;1,0,IFERROR(LOOKUP(2,1/('Arroz irrigado'!$E32:INDEX('Arroz irrigado'!$E32:$Z32,MIN(AM$6-$G$3,22))&lt;&gt;""),'Arroz irrigado'!$E32:INDEX('Arroz irrigado'!$E32:$Z32,MIN(AM$6-$G$3,22))),0)))))</f>
        <v>0</v>
      </c>
      <c r="AN34" s="27" t="n">
        <f aca="false">IF(COUNT('Arroz irrigado'!$E32:$Z32)=0,0,MAX(0,IF((AN$6-$E$3)&lt;1,0,IFERROR(LOOKUP(2,1/('Arroz irrigado'!$E32:INDEX('Arroz irrigado'!$E32:$Z32,MIN(AN$6-$E$3,22))&lt;&gt;""),'Arroz irrigado'!$E32:INDEX('Arroz irrigado'!$E32:$Z32,MIN(AN$6-$E$3,22))),0))-IF($G$2,0,IF((AN$6-$G$3)&lt;1,0,IFERROR(LOOKUP(2,1/('Arroz irrigado'!$E32:INDEX('Arroz irrigado'!$E32:$Z32,MIN(AN$6-$G$3,22))&lt;&gt;""),'Arroz irrigado'!$E32:INDEX('Arroz irrigado'!$E32:$Z32,MIN(AN$6-$G$3,22))),0)))))</f>
        <v>0</v>
      </c>
      <c r="AO34" s="27" t="n">
        <f aca="false">IF(COUNT('Arroz irrigado'!$E32:$Z32)=0,0,MAX(0,IF((AO$6-$E$3)&lt;1,0,IFERROR(LOOKUP(2,1/('Arroz irrigado'!$E32:INDEX('Arroz irrigado'!$E32:$Z32,MIN(AO$6-$E$3,22))&lt;&gt;""),'Arroz irrigado'!$E32:INDEX('Arroz irrigado'!$E32:$Z32,MIN(AO$6-$E$3,22))),0))-IF($G$2,0,IF((AO$6-$G$3)&lt;1,0,IFERROR(LOOKUP(2,1/('Arroz irrigado'!$E32:INDEX('Arroz irrigado'!$E32:$Z32,MIN(AO$6-$G$3,22))&lt;&gt;""),'Arroz irrigado'!$E32:INDEX('Arroz irrigado'!$E32:$Z32,MIN(AO$6-$G$3,22))),0)))))</f>
        <v>0</v>
      </c>
      <c r="AP34" s="27" t="n">
        <f aca="false">IF(COUNT('Arroz irrigado'!$E32:$Z32)=0,0,MAX(0,IF((AP$6-$E$3)&lt;1,0,IFERROR(LOOKUP(2,1/('Arroz irrigado'!$E32:INDEX('Arroz irrigado'!$E32:$Z32,MIN(AP$6-$E$3,22))&lt;&gt;""),'Arroz irrigado'!$E32:INDEX('Arroz irrigado'!$E32:$Z32,MIN(AP$6-$E$3,22))),0))-IF($G$2,0,IF((AP$6-$G$3)&lt;1,0,IFERROR(LOOKUP(2,1/('Arroz irrigado'!$E32:INDEX('Arroz irrigado'!$E32:$Z32,MIN(AP$6-$G$3,22))&lt;&gt;""),'Arroz irrigado'!$E32:INDEX('Arroz irrigado'!$E32:$Z32,MIN(AP$6-$G$3,22))),0)))))</f>
        <v>0</v>
      </c>
      <c r="AQ34" s="27" t="n">
        <f aca="false">IF(COUNT('Arroz irrigado'!$E32:$Z32)=0,0,MAX(0,IF((AQ$6-$E$3)&lt;1,0,IFERROR(LOOKUP(2,1/('Arroz irrigado'!$E32:INDEX('Arroz irrigado'!$E32:$Z32,MIN(AQ$6-$E$3,22))&lt;&gt;""),'Arroz irrigado'!$E32:INDEX('Arroz irrigado'!$E32:$Z32,MIN(AQ$6-$E$3,22))),0))-IF($G$2,0,IF((AQ$6-$G$3)&lt;1,0,IFERROR(LOOKUP(2,1/('Arroz irrigado'!$E32:INDEX('Arroz irrigado'!$E32:$Z32,MIN(AQ$6-$G$3,22))&lt;&gt;""),'Arroz irrigado'!$E32:INDEX('Arroz irrigado'!$E32:$Z32,MIN(AQ$6-$G$3,22))),0)))))</f>
        <v>0</v>
      </c>
      <c r="AR34" s="27" t="n">
        <f aca="false">IF(COUNT('Arroz irrigado'!$E32:$Z32)=0,0,MAX(0,IF((AR$6-$E$3)&lt;1,0,IFERROR(LOOKUP(2,1/('Arroz irrigado'!$E32:INDEX('Arroz irrigado'!$E32:$Z32,MIN(AR$6-$E$3,22))&lt;&gt;""),'Arroz irrigado'!$E32:INDEX('Arroz irrigado'!$E32:$Z32,MIN(AR$6-$E$3,22))),0))-IF($G$2,0,IF((AR$6-$G$3)&lt;1,0,IFERROR(LOOKUP(2,1/('Arroz irrigado'!$E32:INDEX('Arroz irrigado'!$E32:$Z32,MIN(AR$6-$G$3,22))&lt;&gt;""),'Arroz irrigado'!$E32:INDEX('Arroz irrigado'!$E32:$Z32,MIN(AR$6-$G$3,22))),0)))))</f>
        <v>0</v>
      </c>
      <c r="AS34" s="27" t="n">
        <f aca="false">IF(COUNT('Arroz irrigado'!$E32:$Z32)=0,0,MAX(0,IF((AS$6-$E$3)&lt;1,0,IFERROR(LOOKUP(2,1/('Arroz irrigado'!$E32:INDEX('Arroz irrigado'!$E32:$Z32,MIN(AS$6-$E$3,22))&lt;&gt;""),'Arroz irrigado'!$E32:INDEX('Arroz irrigado'!$E32:$Z32,MIN(AS$6-$E$3,22))),0))-IF($G$2,0,IF((AS$6-$G$3)&lt;1,0,IFERROR(LOOKUP(2,1/('Arroz irrigado'!$E32:INDEX('Arroz irrigado'!$E32:$Z32,MIN(AS$6-$G$3,22))&lt;&gt;""),'Arroz irrigado'!$E32:INDEX('Arroz irrigado'!$E32:$Z32,MIN(AS$6-$G$3,22))),0)))))</f>
        <v>0</v>
      </c>
      <c r="AT34" s="27" t="n">
        <f aca="false">IF(COUNT('Arroz irrigado'!$E32:$Z32)=0,0,MAX(0,IF((AT$6-$E$3)&lt;1,0,IFERROR(LOOKUP(2,1/('Arroz irrigado'!$E32:INDEX('Arroz irrigado'!$E32:$Z32,MIN(AT$6-$E$3,22))&lt;&gt;""),'Arroz irrigado'!$E32:INDEX('Arroz irrigado'!$E32:$Z32,MIN(AT$6-$E$3,22))),0))-IF($G$2,0,IF((AT$6-$G$3)&lt;1,0,IFERROR(LOOKUP(2,1/('Arroz irrigado'!$E32:INDEX('Arroz irrigado'!$E32:$Z32,MIN(AT$6-$G$3,22))&lt;&gt;""),'Arroz irrigado'!$E32:INDEX('Arroz irrigado'!$E32:$Z32,MIN(AT$6-$G$3,22))),0)))))</f>
        <v>0</v>
      </c>
      <c r="AU34" s="27" t="n">
        <f aca="false">IF(COUNT('Arroz irrigado'!$E32:$Z32)=0,0,MAX(0,IF((AU$6-$E$3)&lt;1,0,IFERROR(LOOKUP(2,1/('Arroz irrigado'!$E32:INDEX('Arroz irrigado'!$E32:$Z32,MIN(AU$6-$E$3,22))&lt;&gt;""),'Arroz irrigado'!$E32:INDEX('Arroz irrigado'!$E32:$Z32,MIN(AU$6-$E$3,22))),0))-IF($G$2,0,IF((AU$6-$G$3)&lt;1,0,IFERROR(LOOKUP(2,1/('Arroz irrigado'!$E32:INDEX('Arroz irrigado'!$E32:$Z32,MIN(AU$6-$G$3,22))&lt;&gt;""),'Arroz irrigado'!$E32:INDEX('Arroz irrigado'!$E32:$Z32,MIN(AU$6-$G$3,22))),0)))))</f>
        <v>0</v>
      </c>
      <c r="AV34" s="27" t="n">
        <f aca="false">IF(COUNT('Arroz irrigado'!$E32:$Z32)=0,0,MAX(0,IF((AV$6-$E$3)&lt;1,0,IFERROR(LOOKUP(2,1/('Arroz irrigado'!$E32:INDEX('Arroz irrigado'!$E32:$Z32,MIN(AV$6-$E$3,22))&lt;&gt;""),'Arroz irrigado'!$E32:INDEX('Arroz irrigado'!$E32:$Z32,MIN(AV$6-$E$3,22))),0))-IF($G$2,0,IF((AV$6-$G$3)&lt;1,0,IFERROR(LOOKUP(2,1/('Arroz irrigado'!$E32:INDEX('Arroz irrigado'!$E32:$Z32,MIN(AV$6-$G$3,22))&lt;&gt;""),'Arroz irrigado'!$E32:INDEX('Arroz irrigado'!$E32:$Z32,MIN(AV$6-$G$3,22))),0)))))</f>
        <v>0</v>
      </c>
      <c r="AW34" s="27" t="n">
        <f aca="false">IF(COUNT('Arroz irrigado'!$E32:$Z32)=0,0,MAX(0,IF((AW$6-$E$3)&lt;1,0,IFERROR(LOOKUP(2,1/('Arroz irrigado'!$E32:INDEX('Arroz irrigado'!$E32:$Z32,MIN(AW$6-$E$3,22))&lt;&gt;""),'Arroz irrigado'!$E32:INDEX('Arroz irrigado'!$E32:$Z32,MIN(AW$6-$E$3,22))),0))-IF($G$2,0,IF((AW$6-$G$3)&lt;1,0,IFERROR(LOOKUP(2,1/('Arroz irrigado'!$E32:INDEX('Arroz irrigado'!$E32:$Z32,MIN(AW$6-$G$3,22))&lt;&gt;""),'Arroz irrigado'!$E32:INDEX('Arroz irrigado'!$E32:$Z32,MIN(AW$6-$G$3,22))),0)))))</f>
        <v>0</v>
      </c>
      <c r="AX34" s="27" t="n">
        <f aca="false">IF(COUNT('Arroz irrigado'!$E32:$Z32)=0,0,MAX(0,IF((AX$6-$E$3)&lt;1,0,IFERROR(LOOKUP(2,1/('Arroz irrigado'!$E32:INDEX('Arroz irrigado'!$E32:$Z32,MIN(AX$6-$E$3,22))&lt;&gt;""),'Arroz irrigado'!$E32:INDEX('Arroz irrigado'!$E32:$Z32,MIN(AX$6-$E$3,22))),0))-IF($G$2,0,IF((AX$6-$G$3)&lt;1,0,IFERROR(LOOKUP(2,1/('Arroz irrigado'!$E32:INDEX('Arroz irrigado'!$E32:$Z32,MIN(AX$6-$G$3,22))&lt;&gt;""),'Arroz irrigado'!$E32:INDEX('Arroz irrigado'!$E32:$Z32,MIN(AX$6-$G$3,22))),0)))))</f>
        <v>0</v>
      </c>
      <c r="AY34" s="27" t="n">
        <f aca="false">IF(COUNT('Arroz irrigado'!$E32:$Z32)=0,0,MAX(0,IF((AY$6-$E$3)&lt;1,0,IFERROR(LOOKUP(2,1/('Arroz irrigado'!$E32:INDEX('Arroz irrigado'!$E32:$Z32,MIN(AY$6-$E$3,22))&lt;&gt;""),'Arroz irrigado'!$E32:INDEX('Arroz irrigado'!$E32:$Z32,MIN(AY$6-$E$3,22))),0))-IF($G$2,0,IF((AY$6-$G$3)&lt;1,0,IFERROR(LOOKUP(2,1/('Arroz irrigado'!$E32:INDEX('Arroz irrigado'!$E32:$Z32,MIN(AY$6-$G$3,22))&lt;&gt;""),'Arroz irrigado'!$E32:INDEX('Arroz irrigado'!$E32:$Z32,MIN(AY$6-$G$3,22))),0)))))</f>
        <v>0</v>
      </c>
      <c r="AZ34" s="27" t="n">
        <f aca="false">IF(COUNT('Arroz irrigado'!$E32:$Z32)=0,0,MAX(0,IF((AZ$6-$E$3)&lt;1,0,IFERROR(LOOKUP(2,1/('Arroz irrigado'!$E32:INDEX('Arroz irrigado'!$E32:$Z32,MIN(AZ$6-$E$3,22))&lt;&gt;""),'Arroz irrigado'!$E32:INDEX('Arroz irrigado'!$E32:$Z32,MIN(AZ$6-$E$3,22))),0))-IF($G$2,0,IF((AZ$6-$G$3)&lt;1,0,IFERROR(LOOKUP(2,1/('Arroz irrigado'!$E32:INDEX('Arroz irrigado'!$E32:$Z32,MIN(AZ$6-$G$3,22))&lt;&gt;""),'Arroz irrigado'!$E32:INDEX('Arroz irrigado'!$E32:$Z32,MIN(AZ$6-$G$3,22))),0)))))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IF(COUNT('Arroz irrigado'!$E33:$Z33)&gt;0,N('Arroz irrigado'!$D33),0)</f>
        <v>0</v>
      </c>
      <c r="E35" s="27" t="n">
        <f aca="false">IF(COUNT('Arroz irrigado'!$E33:$Z33)=0,0,MAX(0,IF((E$6-$E$3)&lt;1,0,IFERROR(LOOKUP(2,1/('Arroz irrigado'!$E33:INDEX('Arroz irrigado'!$E33:$Z33,MIN(E$6-$E$3,22))&lt;&gt;""),'Arroz irrigado'!$E33:INDEX('Arroz irrigado'!$E33:$Z33,MIN(E$6-$E$3,22))),0))-IF($G$2,0,IF((E$6-$G$3)&lt;1,0,IFERROR(LOOKUP(2,1/('Arroz irrigado'!$E33:INDEX('Arroz irrigado'!$E33:$Z33,MIN(E$6-$G$3,22))&lt;&gt;""),'Arroz irrigado'!$E33:INDEX('Arroz irrigado'!$E33:$Z33,MIN(E$6-$G$3,22))),0)))))</f>
        <v>0</v>
      </c>
      <c r="F35" s="27" t="n">
        <f aca="false">IF(COUNT('Arroz irrigado'!$E33:$Z33)=0,0,MAX(0,IF((F$6-$E$3)&lt;1,0,IFERROR(LOOKUP(2,1/('Arroz irrigado'!$E33:INDEX('Arroz irrigado'!$E33:$Z33,MIN(F$6-$E$3,22))&lt;&gt;""),'Arroz irrigado'!$E33:INDEX('Arroz irrigado'!$E33:$Z33,MIN(F$6-$E$3,22))),0))-IF($G$2,0,IF((F$6-$G$3)&lt;1,0,IFERROR(LOOKUP(2,1/('Arroz irrigado'!$E33:INDEX('Arroz irrigado'!$E33:$Z33,MIN(F$6-$G$3,22))&lt;&gt;""),'Arroz irrigado'!$E33:INDEX('Arroz irrigado'!$E33:$Z33,MIN(F$6-$G$3,22))),0)))))</f>
        <v>0</v>
      </c>
      <c r="G35" s="27" t="n">
        <f aca="false">IF(COUNT('Arroz irrigado'!$E33:$Z33)=0,0,MAX(0,IF((G$6-$E$3)&lt;1,0,IFERROR(LOOKUP(2,1/('Arroz irrigado'!$E33:INDEX('Arroz irrigado'!$E33:$Z33,MIN(G$6-$E$3,22))&lt;&gt;""),'Arroz irrigado'!$E33:INDEX('Arroz irrigado'!$E33:$Z33,MIN(G$6-$E$3,22))),0))-IF($G$2,0,IF((G$6-$G$3)&lt;1,0,IFERROR(LOOKUP(2,1/('Arroz irrigado'!$E33:INDEX('Arroz irrigado'!$E33:$Z33,MIN(G$6-$G$3,22))&lt;&gt;""),'Arroz irrigado'!$E33:INDEX('Arroz irrigado'!$E33:$Z33,MIN(G$6-$G$3,22))),0)))))</f>
        <v>0</v>
      </c>
      <c r="H35" s="27" t="n">
        <f aca="false">IF(COUNT('Arroz irrigado'!$E33:$Z33)=0,0,MAX(0,IF((H$6-$E$3)&lt;1,0,IFERROR(LOOKUP(2,1/('Arroz irrigado'!$E33:INDEX('Arroz irrigado'!$E33:$Z33,MIN(H$6-$E$3,22))&lt;&gt;""),'Arroz irrigado'!$E33:INDEX('Arroz irrigado'!$E33:$Z33,MIN(H$6-$E$3,22))),0))-IF($G$2,0,IF((H$6-$G$3)&lt;1,0,IFERROR(LOOKUP(2,1/('Arroz irrigado'!$E33:INDEX('Arroz irrigado'!$E33:$Z33,MIN(H$6-$G$3,22))&lt;&gt;""),'Arroz irrigado'!$E33:INDEX('Arroz irrigado'!$E33:$Z33,MIN(H$6-$G$3,22))),0)))))</f>
        <v>0</v>
      </c>
      <c r="I35" s="27" t="n">
        <f aca="false">IF(COUNT('Arroz irrigado'!$E33:$Z33)=0,0,MAX(0,IF((I$6-$E$3)&lt;1,0,IFERROR(LOOKUP(2,1/('Arroz irrigado'!$E33:INDEX('Arroz irrigado'!$E33:$Z33,MIN(I$6-$E$3,22))&lt;&gt;""),'Arroz irrigado'!$E33:INDEX('Arroz irrigado'!$E33:$Z33,MIN(I$6-$E$3,22))),0))-IF($G$2,0,IF((I$6-$G$3)&lt;1,0,IFERROR(LOOKUP(2,1/('Arroz irrigado'!$E33:INDEX('Arroz irrigado'!$E33:$Z33,MIN(I$6-$G$3,22))&lt;&gt;""),'Arroz irrigado'!$E33:INDEX('Arroz irrigado'!$E33:$Z33,MIN(I$6-$G$3,22))),0)))))</f>
        <v>0</v>
      </c>
      <c r="J35" s="27" t="n">
        <f aca="false">IF(COUNT('Arroz irrigado'!$E33:$Z33)=0,0,MAX(0,IF((J$6-$E$3)&lt;1,0,IFERROR(LOOKUP(2,1/('Arroz irrigado'!$E33:INDEX('Arroz irrigado'!$E33:$Z33,MIN(J$6-$E$3,22))&lt;&gt;""),'Arroz irrigado'!$E33:INDEX('Arroz irrigado'!$E33:$Z33,MIN(J$6-$E$3,22))),0))-IF($G$2,0,IF((J$6-$G$3)&lt;1,0,IFERROR(LOOKUP(2,1/('Arroz irrigado'!$E33:INDEX('Arroz irrigado'!$E33:$Z33,MIN(J$6-$G$3,22))&lt;&gt;""),'Arroz irrigado'!$E33:INDEX('Arroz irrigado'!$E33:$Z33,MIN(J$6-$G$3,22))),0)))))</f>
        <v>0</v>
      </c>
      <c r="K35" s="27" t="n">
        <f aca="false">IF(COUNT('Arroz irrigado'!$E33:$Z33)=0,0,MAX(0,IF((K$6-$E$3)&lt;1,0,IFERROR(LOOKUP(2,1/('Arroz irrigado'!$E33:INDEX('Arroz irrigado'!$E33:$Z33,MIN(K$6-$E$3,22))&lt;&gt;""),'Arroz irrigado'!$E33:INDEX('Arroz irrigado'!$E33:$Z33,MIN(K$6-$E$3,22))),0))-IF($G$2,0,IF((K$6-$G$3)&lt;1,0,IFERROR(LOOKUP(2,1/('Arroz irrigado'!$E33:INDEX('Arroz irrigado'!$E33:$Z33,MIN(K$6-$G$3,22))&lt;&gt;""),'Arroz irrigado'!$E33:INDEX('Arroz irrigado'!$E33:$Z33,MIN(K$6-$G$3,22))),0)))))</f>
        <v>0</v>
      </c>
      <c r="L35" s="27" t="n">
        <f aca="false">IF(COUNT('Arroz irrigado'!$E33:$Z33)=0,0,MAX(0,IF((L$6-$E$3)&lt;1,0,IFERROR(LOOKUP(2,1/('Arroz irrigado'!$E33:INDEX('Arroz irrigado'!$E33:$Z33,MIN(L$6-$E$3,22))&lt;&gt;""),'Arroz irrigado'!$E33:INDEX('Arroz irrigado'!$E33:$Z33,MIN(L$6-$E$3,22))),0))-IF($G$2,0,IF((L$6-$G$3)&lt;1,0,IFERROR(LOOKUP(2,1/('Arroz irrigado'!$E33:INDEX('Arroz irrigado'!$E33:$Z33,MIN(L$6-$G$3,22))&lt;&gt;""),'Arroz irrigado'!$E33:INDEX('Arroz irrigado'!$E33:$Z33,MIN(L$6-$G$3,22))),0)))))</f>
        <v>0</v>
      </c>
      <c r="M35" s="27" t="n">
        <f aca="false">IF(COUNT('Arroz irrigado'!$E33:$Z33)=0,0,MAX(0,IF((M$6-$E$3)&lt;1,0,IFERROR(LOOKUP(2,1/('Arroz irrigado'!$E33:INDEX('Arroz irrigado'!$E33:$Z33,MIN(M$6-$E$3,22))&lt;&gt;""),'Arroz irrigado'!$E33:INDEX('Arroz irrigado'!$E33:$Z33,MIN(M$6-$E$3,22))),0))-IF($G$2,0,IF((M$6-$G$3)&lt;1,0,IFERROR(LOOKUP(2,1/('Arroz irrigado'!$E33:INDEX('Arroz irrigado'!$E33:$Z33,MIN(M$6-$G$3,22))&lt;&gt;""),'Arroz irrigado'!$E33:INDEX('Arroz irrigado'!$E33:$Z33,MIN(M$6-$G$3,22))),0)))))</f>
        <v>0</v>
      </c>
      <c r="N35" s="27" t="n">
        <f aca="false">IF(COUNT('Arroz irrigado'!$E33:$Z33)=0,0,MAX(0,IF((N$6-$E$3)&lt;1,0,IFERROR(LOOKUP(2,1/('Arroz irrigado'!$E33:INDEX('Arroz irrigado'!$E33:$Z33,MIN(N$6-$E$3,22))&lt;&gt;""),'Arroz irrigado'!$E33:INDEX('Arroz irrigado'!$E33:$Z33,MIN(N$6-$E$3,22))),0))-IF($G$2,0,IF((N$6-$G$3)&lt;1,0,IFERROR(LOOKUP(2,1/('Arroz irrigado'!$E33:INDEX('Arroz irrigado'!$E33:$Z33,MIN(N$6-$G$3,22))&lt;&gt;""),'Arroz irrigado'!$E33:INDEX('Arroz irrigado'!$E33:$Z33,MIN(N$6-$G$3,22))),0)))))</f>
        <v>0</v>
      </c>
      <c r="O35" s="27" t="n">
        <f aca="false">IF(COUNT('Arroz irrigado'!$E33:$Z33)=0,0,MAX(0,IF((O$6-$E$3)&lt;1,0,IFERROR(LOOKUP(2,1/('Arroz irrigado'!$E33:INDEX('Arroz irrigado'!$E33:$Z33,MIN(O$6-$E$3,22))&lt;&gt;""),'Arroz irrigado'!$E33:INDEX('Arroz irrigado'!$E33:$Z33,MIN(O$6-$E$3,22))),0))-IF($G$2,0,IF((O$6-$G$3)&lt;1,0,IFERROR(LOOKUP(2,1/('Arroz irrigado'!$E33:INDEX('Arroz irrigado'!$E33:$Z33,MIN(O$6-$G$3,22))&lt;&gt;""),'Arroz irrigado'!$E33:INDEX('Arroz irrigado'!$E33:$Z33,MIN(O$6-$G$3,22))),0)))))</f>
        <v>0</v>
      </c>
      <c r="P35" s="27" t="n">
        <f aca="false">IF(COUNT('Arroz irrigado'!$E33:$Z33)=0,0,MAX(0,IF((P$6-$E$3)&lt;1,0,IFERROR(LOOKUP(2,1/('Arroz irrigado'!$E33:INDEX('Arroz irrigado'!$E33:$Z33,MIN(P$6-$E$3,22))&lt;&gt;""),'Arroz irrigado'!$E33:INDEX('Arroz irrigado'!$E33:$Z33,MIN(P$6-$E$3,22))),0))-IF($G$2,0,IF((P$6-$G$3)&lt;1,0,IFERROR(LOOKUP(2,1/('Arroz irrigado'!$E33:INDEX('Arroz irrigado'!$E33:$Z33,MIN(P$6-$G$3,22))&lt;&gt;""),'Arroz irrigado'!$E33:INDEX('Arroz irrigado'!$E33:$Z33,MIN(P$6-$G$3,22))),0)))))</f>
        <v>0</v>
      </c>
      <c r="Q35" s="27" t="n">
        <f aca="false">IF(COUNT('Arroz irrigado'!$E33:$Z33)=0,0,MAX(0,IF((Q$6-$E$3)&lt;1,0,IFERROR(LOOKUP(2,1/('Arroz irrigado'!$E33:INDEX('Arroz irrigado'!$E33:$Z33,MIN(Q$6-$E$3,22))&lt;&gt;""),'Arroz irrigado'!$E33:INDEX('Arroz irrigado'!$E33:$Z33,MIN(Q$6-$E$3,22))),0))-IF($G$2,0,IF((Q$6-$G$3)&lt;1,0,IFERROR(LOOKUP(2,1/('Arroz irrigado'!$E33:INDEX('Arroz irrigado'!$E33:$Z33,MIN(Q$6-$G$3,22))&lt;&gt;""),'Arroz irrigado'!$E33:INDEX('Arroz irrigado'!$E33:$Z33,MIN(Q$6-$G$3,22))),0)))))</f>
        <v>0</v>
      </c>
      <c r="R35" s="27" t="n">
        <f aca="false">IF(COUNT('Arroz irrigado'!$E33:$Z33)=0,0,MAX(0,IF((R$6-$E$3)&lt;1,0,IFERROR(LOOKUP(2,1/('Arroz irrigado'!$E33:INDEX('Arroz irrigado'!$E33:$Z33,MIN(R$6-$E$3,22))&lt;&gt;""),'Arroz irrigado'!$E33:INDEX('Arroz irrigado'!$E33:$Z33,MIN(R$6-$E$3,22))),0))-IF($G$2,0,IF((R$6-$G$3)&lt;1,0,IFERROR(LOOKUP(2,1/('Arroz irrigado'!$E33:INDEX('Arroz irrigado'!$E33:$Z33,MIN(R$6-$G$3,22))&lt;&gt;""),'Arroz irrigado'!$E33:INDEX('Arroz irrigado'!$E33:$Z33,MIN(R$6-$G$3,22))),0)))))</f>
        <v>0</v>
      </c>
      <c r="S35" s="27" t="n">
        <f aca="false">IF(COUNT('Arroz irrigado'!$E33:$Z33)=0,0,MAX(0,IF((S$6-$E$3)&lt;1,0,IFERROR(LOOKUP(2,1/('Arroz irrigado'!$E33:INDEX('Arroz irrigado'!$E33:$Z33,MIN(S$6-$E$3,22))&lt;&gt;""),'Arroz irrigado'!$E33:INDEX('Arroz irrigado'!$E33:$Z33,MIN(S$6-$E$3,22))),0))-IF($G$2,0,IF((S$6-$G$3)&lt;1,0,IFERROR(LOOKUP(2,1/('Arroz irrigado'!$E33:INDEX('Arroz irrigado'!$E33:$Z33,MIN(S$6-$G$3,22))&lt;&gt;""),'Arroz irrigado'!$E33:INDEX('Arroz irrigado'!$E33:$Z33,MIN(S$6-$G$3,22))),0)))))</f>
        <v>0</v>
      </c>
      <c r="T35" s="27" t="n">
        <f aca="false">IF(COUNT('Arroz irrigado'!$E33:$Z33)=0,0,MAX(0,IF((T$6-$E$3)&lt;1,0,IFERROR(LOOKUP(2,1/('Arroz irrigado'!$E33:INDEX('Arroz irrigado'!$E33:$Z33,MIN(T$6-$E$3,22))&lt;&gt;""),'Arroz irrigado'!$E33:INDEX('Arroz irrigado'!$E33:$Z33,MIN(T$6-$E$3,22))),0))-IF($G$2,0,IF((T$6-$G$3)&lt;1,0,IFERROR(LOOKUP(2,1/('Arroz irrigado'!$E33:INDEX('Arroz irrigado'!$E33:$Z33,MIN(T$6-$G$3,22))&lt;&gt;""),'Arroz irrigado'!$E33:INDEX('Arroz irrigado'!$E33:$Z33,MIN(T$6-$G$3,22))),0)))))</f>
        <v>0</v>
      </c>
      <c r="U35" s="27" t="n">
        <f aca="false">IF(COUNT('Arroz irrigado'!$E33:$Z33)=0,0,MAX(0,IF((U$6-$E$3)&lt;1,0,IFERROR(LOOKUP(2,1/('Arroz irrigado'!$E33:INDEX('Arroz irrigado'!$E33:$Z33,MIN(U$6-$E$3,22))&lt;&gt;""),'Arroz irrigado'!$E33:INDEX('Arroz irrigado'!$E33:$Z33,MIN(U$6-$E$3,22))),0))-IF($G$2,0,IF((U$6-$G$3)&lt;1,0,IFERROR(LOOKUP(2,1/('Arroz irrigado'!$E33:INDEX('Arroz irrigado'!$E33:$Z33,MIN(U$6-$G$3,22))&lt;&gt;""),'Arroz irrigado'!$E33:INDEX('Arroz irrigado'!$E33:$Z33,MIN(U$6-$G$3,22))),0)))))</f>
        <v>0</v>
      </c>
      <c r="V35" s="27" t="n">
        <f aca="false">IF(COUNT('Arroz irrigado'!$E33:$Z33)=0,0,MAX(0,IF((V$6-$E$3)&lt;1,0,IFERROR(LOOKUP(2,1/('Arroz irrigado'!$E33:INDEX('Arroz irrigado'!$E33:$Z33,MIN(V$6-$E$3,22))&lt;&gt;""),'Arroz irrigado'!$E33:INDEX('Arroz irrigado'!$E33:$Z33,MIN(V$6-$E$3,22))),0))-IF($G$2,0,IF((V$6-$G$3)&lt;1,0,IFERROR(LOOKUP(2,1/('Arroz irrigado'!$E33:INDEX('Arroz irrigado'!$E33:$Z33,MIN(V$6-$G$3,22))&lt;&gt;""),'Arroz irrigado'!$E33:INDEX('Arroz irrigado'!$E33:$Z33,MIN(V$6-$G$3,22))),0)))))</f>
        <v>0</v>
      </c>
      <c r="W35" s="27" t="n">
        <f aca="false">IF(COUNT('Arroz irrigado'!$E33:$Z33)=0,0,MAX(0,IF((W$6-$E$3)&lt;1,0,IFERROR(LOOKUP(2,1/('Arroz irrigado'!$E33:INDEX('Arroz irrigado'!$E33:$Z33,MIN(W$6-$E$3,22))&lt;&gt;""),'Arroz irrigado'!$E33:INDEX('Arroz irrigado'!$E33:$Z33,MIN(W$6-$E$3,22))),0))-IF($G$2,0,IF((W$6-$G$3)&lt;1,0,IFERROR(LOOKUP(2,1/('Arroz irrigado'!$E33:INDEX('Arroz irrigado'!$E33:$Z33,MIN(W$6-$G$3,22))&lt;&gt;""),'Arroz irrigado'!$E33:INDEX('Arroz irrigado'!$E33:$Z33,MIN(W$6-$G$3,22))),0)))))</f>
        <v>0</v>
      </c>
      <c r="X35" s="27" t="n">
        <f aca="false">IF(COUNT('Arroz irrigado'!$E33:$Z33)=0,0,MAX(0,IF((X$6-$E$3)&lt;1,0,IFERROR(LOOKUP(2,1/('Arroz irrigado'!$E33:INDEX('Arroz irrigado'!$E33:$Z33,MIN(X$6-$E$3,22))&lt;&gt;""),'Arroz irrigado'!$E33:INDEX('Arroz irrigado'!$E33:$Z33,MIN(X$6-$E$3,22))),0))-IF($G$2,0,IF((X$6-$G$3)&lt;1,0,IFERROR(LOOKUP(2,1/('Arroz irrigado'!$E33:INDEX('Arroz irrigado'!$E33:$Z33,MIN(X$6-$G$3,22))&lt;&gt;""),'Arroz irrigado'!$E33:INDEX('Arroz irrigado'!$E33:$Z33,MIN(X$6-$G$3,22))),0)))))</f>
        <v>0</v>
      </c>
      <c r="Y35" s="27" t="n">
        <f aca="false">IF(COUNT('Arroz irrigado'!$E33:$Z33)=0,0,MAX(0,IF((Y$6-$E$3)&lt;1,0,IFERROR(LOOKUP(2,1/('Arroz irrigado'!$E33:INDEX('Arroz irrigado'!$E33:$Z33,MIN(Y$6-$E$3,22))&lt;&gt;""),'Arroz irrigado'!$E33:INDEX('Arroz irrigado'!$E33:$Z33,MIN(Y$6-$E$3,22))),0))-IF($G$2,0,IF((Y$6-$G$3)&lt;1,0,IFERROR(LOOKUP(2,1/('Arroz irrigado'!$E33:INDEX('Arroz irrigado'!$E33:$Z33,MIN(Y$6-$G$3,22))&lt;&gt;""),'Arroz irrigado'!$E33:INDEX('Arroz irrigado'!$E33:$Z33,MIN(Y$6-$G$3,22))),0)))))</f>
        <v>0</v>
      </c>
      <c r="Z35" s="27" t="n">
        <f aca="false">IF(COUNT('Arroz irrigado'!$E33:$Z33)=0,0,MAX(0,IF((Z$6-$E$3)&lt;1,0,IFERROR(LOOKUP(2,1/('Arroz irrigado'!$E33:INDEX('Arroz irrigado'!$E33:$Z33,MIN(Z$6-$E$3,22))&lt;&gt;""),'Arroz irrigado'!$E33:INDEX('Arroz irrigado'!$E33:$Z33,MIN(Z$6-$E$3,22))),0))-IF($G$2,0,IF((Z$6-$G$3)&lt;1,0,IFERROR(LOOKUP(2,1/('Arroz irrigado'!$E33:INDEX('Arroz irrigado'!$E33:$Z33,MIN(Z$6-$G$3,22))&lt;&gt;""),'Arroz irrigado'!$E33:INDEX('Arroz irrigado'!$E33:$Z33,MIN(Z$6-$G$3,22))),0)))))</f>
        <v>0</v>
      </c>
      <c r="AA35" s="27" t="n">
        <f aca="false">IF(COUNT('Arroz irrigado'!$E33:$Z33)=0,0,MAX(0,IF((AA$6-$E$3)&lt;1,0,IFERROR(LOOKUP(2,1/('Arroz irrigado'!$E33:INDEX('Arroz irrigado'!$E33:$Z33,MIN(AA$6-$E$3,22))&lt;&gt;""),'Arroz irrigado'!$E33:INDEX('Arroz irrigado'!$E33:$Z33,MIN(AA$6-$E$3,22))),0))-IF($G$2,0,IF((AA$6-$G$3)&lt;1,0,IFERROR(LOOKUP(2,1/('Arroz irrigado'!$E33:INDEX('Arroz irrigado'!$E33:$Z33,MIN(AA$6-$G$3,22))&lt;&gt;""),'Arroz irrigado'!$E33:INDEX('Arroz irrigado'!$E33:$Z33,MIN(AA$6-$G$3,22))),0)))))</f>
        <v>0</v>
      </c>
      <c r="AB35" s="27" t="n">
        <f aca="false">IF(COUNT('Arroz irrigado'!$E33:$Z33)=0,0,MAX(0,IF((AB$6-$E$3)&lt;1,0,IFERROR(LOOKUP(2,1/('Arroz irrigado'!$E33:INDEX('Arroz irrigado'!$E33:$Z33,MIN(AB$6-$E$3,22))&lt;&gt;""),'Arroz irrigado'!$E33:INDEX('Arroz irrigado'!$E33:$Z33,MIN(AB$6-$E$3,22))),0))-IF($G$2,0,IF((AB$6-$G$3)&lt;1,0,IFERROR(LOOKUP(2,1/('Arroz irrigado'!$E33:INDEX('Arroz irrigado'!$E33:$Z33,MIN(AB$6-$G$3,22))&lt;&gt;""),'Arroz irrigado'!$E33:INDEX('Arroz irrigado'!$E33:$Z33,MIN(AB$6-$G$3,22))),0)))))</f>
        <v>0</v>
      </c>
      <c r="AC35" s="27" t="n">
        <f aca="false">IF(COUNT('Arroz irrigado'!$E33:$Z33)=0,0,MAX(0,IF((AC$6-$E$3)&lt;1,0,IFERROR(LOOKUP(2,1/('Arroz irrigado'!$E33:INDEX('Arroz irrigado'!$E33:$Z33,MIN(AC$6-$E$3,22))&lt;&gt;""),'Arroz irrigado'!$E33:INDEX('Arroz irrigado'!$E33:$Z33,MIN(AC$6-$E$3,22))),0))-IF($G$2,0,IF((AC$6-$G$3)&lt;1,0,IFERROR(LOOKUP(2,1/('Arroz irrigado'!$E33:INDEX('Arroz irrigado'!$E33:$Z33,MIN(AC$6-$G$3,22))&lt;&gt;""),'Arroz irrigado'!$E33:INDEX('Arroz irrigado'!$E33:$Z33,MIN(AC$6-$G$3,22))),0)))))</f>
        <v>0</v>
      </c>
      <c r="AD35" s="27" t="n">
        <f aca="false">IF(COUNT('Arroz irrigado'!$E33:$Z33)=0,0,MAX(0,IF((AD$6-$E$3)&lt;1,0,IFERROR(LOOKUP(2,1/('Arroz irrigado'!$E33:INDEX('Arroz irrigado'!$E33:$Z33,MIN(AD$6-$E$3,22))&lt;&gt;""),'Arroz irrigado'!$E33:INDEX('Arroz irrigado'!$E33:$Z33,MIN(AD$6-$E$3,22))),0))-IF($G$2,0,IF((AD$6-$G$3)&lt;1,0,IFERROR(LOOKUP(2,1/('Arroz irrigado'!$E33:INDEX('Arroz irrigado'!$E33:$Z33,MIN(AD$6-$G$3,22))&lt;&gt;""),'Arroz irrigado'!$E33:INDEX('Arroz irrigado'!$E33:$Z33,MIN(AD$6-$G$3,22))),0)))))</f>
        <v>0</v>
      </c>
      <c r="AE35" s="27" t="n">
        <f aca="false">IF(COUNT('Arroz irrigado'!$E33:$Z33)=0,0,MAX(0,IF((AE$6-$E$3)&lt;1,0,IFERROR(LOOKUP(2,1/('Arroz irrigado'!$E33:INDEX('Arroz irrigado'!$E33:$Z33,MIN(AE$6-$E$3,22))&lt;&gt;""),'Arroz irrigado'!$E33:INDEX('Arroz irrigado'!$E33:$Z33,MIN(AE$6-$E$3,22))),0))-IF($G$2,0,IF((AE$6-$G$3)&lt;1,0,IFERROR(LOOKUP(2,1/('Arroz irrigado'!$E33:INDEX('Arroz irrigado'!$E33:$Z33,MIN(AE$6-$G$3,22))&lt;&gt;""),'Arroz irrigado'!$E33:INDEX('Arroz irrigado'!$E33:$Z33,MIN(AE$6-$G$3,22))),0)))))</f>
        <v>0</v>
      </c>
      <c r="AF35" s="27" t="n">
        <f aca="false">IF(COUNT('Arroz irrigado'!$E33:$Z33)=0,0,MAX(0,IF((AF$6-$E$3)&lt;1,0,IFERROR(LOOKUP(2,1/('Arroz irrigado'!$E33:INDEX('Arroz irrigado'!$E33:$Z33,MIN(AF$6-$E$3,22))&lt;&gt;""),'Arroz irrigado'!$E33:INDEX('Arroz irrigado'!$E33:$Z33,MIN(AF$6-$E$3,22))),0))-IF($G$2,0,IF((AF$6-$G$3)&lt;1,0,IFERROR(LOOKUP(2,1/('Arroz irrigado'!$E33:INDEX('Arroz irrigado'!$E33:$Z33,MIN(AF$6-$G$3,22))&lt;&gt;""),'Arroz irrigado'!$E33:INDEX('Arroz irrigado'!$E33:$Z33,MIN(AF$6-$G$3,22))),0)))))</f>
        <v>0</v>
      </c>
      <c r="AG35" s="27" t="n">
        <f aca="false">IF(COUNT('Arroz irrigado'!$E33:$Z33)=0,0,MAX(0,IF((AG$6-$E$3)&lt;1,0,IFERROR(LOOKUP(2,1/('Arroz irrigado'!$E33:INDEX('Arroz irrigado'!$E33:$Z33,MIN(AG$6-$E$3,22))&lt;&gt;""),'Arroz irrigado'!$E33:INDEX('Arroz irrigado'!$E33:$Z33,MIN(AG$6-$E$3,22))),0))-IF($G$2,0,IF((AG$6-$G$3)&lt;1,0,IFERROR(LOOKUP(2,1/('Arroz irrigado'!$E33:INDEX('Arroz irrigado'!$E33:$Z33,MIN(AG$6-$G$3,22))&lt;&gt;""),'Arroz irrigado'!$E33:INDEX('Arroz irrigado'!$E33:$Z33,MIN(AG$6-$G$3,22))),0)))))</f>
        <v>0</v>
      </c>
      <c r="AH35" s="27" t="n">
        <f aca="false">IF(COUNT('Arroz irrigado'!$E33:$Z33)=0,0,MAX(0,IF((AH$6-$E$3)&lt;1,0,IFERROR(LOOKUP(2,1/('Arroz irrigado'!$E33:INDEX('Arroz irrigado'!$E33:$Z33,MIN(AH$6-$E$3,22))&lt;&gt;""),'Arroz irrigado'!$E33:INDEX('Arroz irrigado'!$E33:$Z33,MIN(AH$6-$E$3,22))),0))-IF($G$2,0,IF((AH$6-$G$3)&lt;1,0,IFERROR(LOOKUP(2,1/('Arroz irrigado'!$E33:INDEX('Arroz irrigado'!$E33:$Z33,MIN(AH$6-$G$3,22))&lt;&gt;""),'Arroz irrigado'!$E33:INDEX('Arroz irrigado'!$E33:$Z33,MIN(AH$6-$G$3,22))),0)))))</f>
        <v>0</v>
      </c>
      <c r="AI35" s="27" t="n">
        <f aca="false">IF(COUNT('Arroz irrigado'!$E33:$Z33)=0,0,MAX(0,IF((AI$6-$E$3)&lt;1,0,IFERROR(LOOKUP(2,1/('Arroz irrigado'!$E33:INDEX('Arroz irrigado'!$E33:$Z33,MIN(AI$6-$E$3,22))&lt;&gt;""),'Arroz irrigado'!$E33:INDEX('Arroz irrigado'!$E33:$Z33,MIN(AI$6-$E$3,22))),0))-IF($G$2,0,IF((AI$6-$G$3)&lt;1,0,IFERROR(LOOKUP(2,1/('Arroz irrigado'!$E33:INDEX('Arroz irrigado'!$E33:$Z33,MIN(AI$6-$G$3,22))&lt;&gt;""),'Arroz irrigado'!$E33:INDEX('Arroz irrigado'!$E33:$Z33,MIN(AI$6-$G$3,22))),0)))))</f>
        <v>0</v>
      </c>
      <c r="AJ35" s="27" t="n">
        <f aca="false">IF(COUNT('Arroz irrigado'!$E33:$Z33)=0,0,MAX(0,IF((AJ$6-$E$3)&lt;1,0,IFERROR(LOOKUP(2,1/('Arroz irrigado'!$E33:INDEX('Arroz irrigado'!$E33:$Z33,MIN(AJ$6-$E$3,22))&lt;&gt;""),'Arroz irrigado'!$E33:INDEX('Arroz irrigado'!$E33:$Z33,MIN(AJ$6-$E$3,22))),0))-IF($G$2,0,IF((AJ$6-$G$3)&lt;1,0,IFERROR(LOOKUP(2,1/('Arroz irrigado'!$E33:INDEX('Arroz irrigado'!$E33:$Z33,MIN(AJ$6-$G$3,22))&lt;&gt;""),'Arroz irrigado'!$E33:INDEX('Arroz irrigado'!$E33:$Z33,MIN(AJ$6-$G$3,22))),0)))))</f>
        <v>0</v>
      </c>
      <c r="AK35" s="27" t="n">
        <f aca="false">IF(COUNT('Arroz irrigado'!$E33:$Z33)=0,0,MAX(0,IF((AK$6-$E$3)&lt;1,0,IFERROR(LOOKUP(2,1/('Arroz irrigado'!$E33:INDEX('Arroz irrigado'!$E33:$Z33,MIN(AK$6-$E$3,22))&lt;&gt;""),'Arroz irrigado'!$E33:INDEX('Arroz irrigado'!$E33:$Z33,MIN(AK$6-$E$3,22))),0))-IF($G$2,0,IF((AK$6-$G$3)&lt;1,0,IFERROR(LOOKUP(2,1/('Arroz irrigado'!$E33:INDEX('Arroz irrigado'!$E33:$Z33,MIN(AK$6-$G$3,22))&lt;&gt;""),'Arroz irrigado'!$E33:INDEX('Arroz irrigado'!$E33:$Z33,MIN(AK$6-$G$3,22))),0)))))</f>
        <v>0</v>
      </c>
      <c r="AL35" s="27" t="n">
        <f aca="false">IF(COUNT('Arroz irrigado'!$E33:$Z33)=0,0,MAX(0,IF((AL$6-$E$3)&lt;1,0,IFERROR(LOOKUP(2,1/('Arroz irrigado'!$E33:INDEX('Arroz irrigado'!$E33:$Z33,MIN(AL$6-$E$3,22))&lt;&gt;""),'Arroz irrigado'!$E33:INDEX('Arroz irrigado'!$E33:$Z33,MIN(AL$6-$E$3,22))),0))-IF($G$2,0,IF((AL$6-$G$3)&lt;1,0,IFERROR(LOOKUP(2,1/('Arroz irrigado'!$E33:INDEX('Arroz irrigado'!$E33:$Z33,MIN(AL$6-$G$3,22))&lt;&gt;""),'Arroz irrigado'!$E33:INDEX('Arroz irrigado'!$E33:$Z33,MIN(AL$6-$G$3,22))),0)))))</f>
        <v>0</v>
      </c>
      <c r="AM35" s="27" t="n">
        <f aca="false">IF(COUNT('Arroz irrigado'!$E33:$Z33)=0,0,MAX(0,IF((AM$6-$E$3)&lt;1,0,IFERROR(LOOKUP(2,1/('Arroz irrigado'!$E33:INDEX('Arroz irrigado'!$E33:$Z33,MIN(AM$6-$E$3,22))&lt;&gt;""),'Arroz irrigado'!$E33:INDEX('Arroz irrigado'!$E33:$Z33,MIN(AM$6-$E$3,22))),0))-IF($G$2,0,IF((AM$6-$G$3)&lt;1,0,IFERROR(LOOKUP(2,1/('Arroz irrigado'!$E33:INDEX('Arroz irrigado'!$E33:$Z33,MIN(AM$6-$G$3,22))&lt;&gt;""),'Arroz irrigado'!$E33:INDEX('Arroz irrigado'!$E33:$Z33,MIN(AM$6-$G$3,22))),0)))))</f>
        <v>0</v>
      </c>
      <c r="AN35" s="27" t="n">
        <f aca="false">IF(COUNT('Arroz irrigado'!$E33:$Z33)=0,0,MAX(0,IF((AN$6-$E$3)&lt;1,0,IFERROR(LOOKUP(2,1/('Arroz irrigado'!$E33:INDEX('Arroz irrigado'!$E33:$Z33,MIN(AN$6-$E$3,22))&lt;&gt;""),'Arroz irrigado'!$E33:INDEX('Arroz irrigado'!$E33:$Z33,MIN(AN$6-$E$3,22))),0))-IF($G$2,0,IF((AN$6-$G$3)&lt;1,0,IFERROR(LOOKUP(2,1/('Arroz irrigado'!$E33:INDEX('Arroz irrigado'!$E33:$Z33,MIN(AN$6-$G$3,22))&lt;&gt;""),'Arroz irrigado'!$E33:INDEX('Arroz irrigado'!$E33:$Z33,MIN(AN$6-$G$3,22))),0)))))</f>
        <v>0</v>
      </c>
      <c r="AO35" s="27" t="n">
        <f aca="false">IF(COUNT('Arroz irrigado'!$E33:$Z33)=0,0,MAX(0,IF((AO$6-$E$3)&lt;1,0,IFERROR(LOOKUP(2,1/('Arroz irrigado'!$E33:INDEX('Arroz irrigado'!$E33:$Z33,MIN(AO$6-$E$3,22))&lt;&gt;""),'Arroz irrigado'!$E33:INDEX('Arroz irrigado'!$E33:$Z33,MIN(AO$6-$E$3,22))),0))-IF($G$2,0,IF((AO$6-$G$3)&lt;1,0,IFERROR(LOOKUP(2,1/('Arroz irrigado'!$E33:INDEX('Arroz irrigado'!$E33:$Z33,MIN(AO$6-$G$3,22))&lt;&gt;""),'Arroz irrigado'!$E33:INDEX('Arroz irrigado'!$E33:$Z33,MIN(AO$6-$G$3,22))),0)))))</f>
        <v>0</v>
      </c>
      <c r="AP35" s="27" t="n">
        <f aca="false">IF(COUNT('Arroz irrigado'!$E33:$Z33)=0,0,MAX(0,IF((AP$6-$E$3)&lt;1,0,IFERROR(LOOKUP(2,1/('Arroz irrigado'!$E33:INDEX('Arroz irrigado'!$E33:$Z33,MIN(AP$6-$E$3,22))&lt;&gt;""),'Arroz irrigado'!$E33:INDEX('Arroz irrigado'!$E33:$Z33,MIN(AP$6-$E$3,22))),0))-IF($G$2,0,IF((AP$6-$G$3)&lt;1,0,IFERROR(LOOKUP(2,1/('Arroz irrigado'!$E33:INDEX('Arroz irrigado'!$E33:$Z33,MIN(AP$6-$G$3,22))&lt;&gt;""),'Arroz irrigado'!$E33:INDEX('Arroz irrigado'!$E33:$Z33,MIN(AP$6-$G$3,22))),0)))))</f>
        <v>0</v>
      </c>
      <c r="AQ35" s="27" t="n">
        <f aca="false">IF(COUNT('Arroz irrigado'!$E33:$Z33)=0,0,MAX(0,IF((AQ$6-$E$3)&lt;1,0,IFERROR(LOOKUP(2,1/('Arroz irrigado'!$E33:INDEX('Arroz irrigado'!$E33:$Z33,MIN(AQ$6-$E$3,22))&lt;&gt;""),'Arroz irrigado'!$E33:INDEX('Arroz irrigado'!$E33:$Z33,MIN(AQ$6-$E$3,22))),0))-IF($G$2,0,IF((AQ$6-$G$3)&lt;1,0,IFERROR(LOOKUP(2,1/('Arroz irrigado'!$E33:INDEX('Arroz irrigado'!$E33:$Z33,MIN(AQ$6-$G$3,22))&lt;&gt;""),'Arroz irrigado'!$E33:INDEX('Arroz irrigado'!$E33:$Z33,MIN(AQ$6-$G$3,22))),0)))))</f>
        <v>0</v>
      </c>
      <c r="AR35" s="27" t="n">
        <f aca="false">IF(COUNT('Arroz irrigado'!$E33:$Z33)=0,0,MAX(0,IF((AR$6-$E$3)&lt;1,0,IFERROR(LOOKUP(2,1/('Arroz irrigado'!$E33:INDEX('Arroz irrigado'!$E33:$Z33,MIN(AR$6-$E$3,22))&lt;&gt;""),'Arroz irrigado'!$E33:INDEX('Arroz irrigado'!$E33:$Z33,MIN(AR$6-$E$3,22))),0))-IF($G$2,0,IF((AR$6-$G$3)&lt;1,0,IFERROR(LOOKUP(2,1/('Arroz irrigado'!$E33:INDEX('Arroz irrigado'!$E33:$Z33,MIN(AR$6-$G$3,22))&lt;&gt;""),'Arroz irrigado'!$E33:INDEX('Arroz irrigado'!$E33:$Z33,MIN(AR$6-$G$3,22))),0)))))</f>
        <v>0</v>
      </c>
      <c r="AS35" s="27" t="n">
        <f aca="false">IF(COUNT('Arroz irrigado'!$E33:$Z33)=0,0,MAX(0,IF((AS$6-$E$3)&lt;1,0,IFERROR(LOOKUP(2,1/('Arroz irrigado'!$E33:INDEX('Arroz irrigado'!$E33:$Z33,MIN(AS$6-$E$3,22))&lt;&gt;""),'Arroz irrigado'!$E33:INDEX('Arroz irrigado'!$E33:$Z33,MIN(AS$6-$E$3,22))),0))-IF($G$2,0,IF((AS$6-$G$3)&lt;1,0,IFERROR(LOOKUP(2,1/('Arroz irrigado'!$E33:INDEX('Arroz irrigado'!$E33:$Z33,MIN(AS$6-$G$3,22))&lt;&gt;""),'Arroz irrigado'!$E33:INDEX('Arroz irrigado'!$E33:$Z33,MIN(AS$6-$G$3,22))),0)))))</f>
        <v>0</v>
      </c>
      <c r="AT35" s="27" t="n">
        <f aca="false">IF(COUNT('Arroz irrigado'!$E33:$Z33)=0,0,MAX(0,IF((AT$6-$E$3)&lt;1,0,IFERROR(LOOKUP(2,1/('Arroz irrigado'!$E33:INDEX('Arroz irrigado'!$E33:$Z33,MIN(AT$6-$E$3,22))&lt;&gt;""),'Arroz irrigado'!$E33:INDEX('Arroz irrigado'!$E33:$Z33,MIN(AT$6-$E$3,22))),0))-IF($G$2,0,IF((AT$6-$G$3)&lt;1,0,IFERROR(LOOKUP(2,1/('Arroz irrigado'!$E33:INDEX('Arroz irrigado'!$E33:$Z33,MIN(AT$6-$G$3,22))&lt;&gt;""),'Arroz irrigado'!$E33:INDEX('Arroz irrigado'!$E33:$Z33,MIN(AT$6-$G$3,22))),0)))))</f>
        <v>0</v>
      </c>
      <c r="AU35" s="27" t="n">
        <f aca="false">IF(COUNT('Arroz irrigado'!$E33:$Z33)=0,0,MAX(0,IF((AU$6-$E$3)&lt;1,0,IFERROR(LOOKUP(2,1/('Arroz irrigado'!$E33:INDEX('Arroz irrigado'!$E33:$Z33,MIN(AU$6-$E$3,22))&lt;&gt;""),'Arroz irrigado'!$E33:INDEX('Arroz irrigado'!$E33:$Z33,MIN(AU$6-$E$3,22))),0))-IF($G$2,0,IF((AU$6-$G$3)&lt;1,0,IFERROR(LOOKUP(2,1/('Arroz irrigado'!$E33:INDEX('Arroz irrigado'!$E33:$Z33,MIN(AU$6-$G$3,22))&lt;&gt;""),'Arroz irrigado'!$E33:INDEX('Arroz irrigado'!$E33:$Z33,MIN(AU$6-$G$3,22))),0)))))</f>
        <v>0</v>
      </c>
      <c r="AV35" s="27" t="n">
        <f aca="false">IF(COUNT('Arroz irrigado'!$E33:$Z33)=0,0,MAX(0,IF((AV$6-$E$3)&lt;1,0,IFERROR(LOOKUP(2,1/('Arroz irrigado'!$E33:INDEX('Arroz irrigado'!$E33:$Z33,MIN(AV$6-$E$3,22))&lt;&gt;""),'Arroz irrigado'!$E33:INDEX('Arroz irrigado'!$E33:$Z33,MIN(AV$6-$E$3,22))),0))-IF($G$2,0,IF((AV$6-$G$3)&lt;1,0,IFERROR(LOOKUP(2,1/('Arroz irrigado'!$E33:INDEX('Arroz irrigado'!$E33:$Z33,MIN(AV$6-$G$3,22))&lt;&gt;""),'Arroz irrigado'!$E33:INDEX('Arroz irrigado'!$E33:$Z33,MIN(AV$6-$G$3,22))),0)))))</f>
        <v>0</v>
      </c>
      <c r="AW35" s="27" t="n">
        <f aca="false">IF(COUNT('Arroz irrigado'!$E33:$Z33)=0,0,MAX(0,IF((AW$6-$E$3)&lt;1,0,IFERROR(LOOKUP(2,1/('Arroz irrigado'!$E33:INDEX('Arroz irrigado'!$E33:$Z33,MIN(AW$6-$E$3,22))&lt;&gt;""),'Arroz irrigado'!$E33:INDEX('Arroz irrigado'!$E33:$Z33,MIN(AW$6-$E$3,22))),0))-IF($G$2,0,IF((AW$6-$G$3)&lt;1,0,IFERROR(LOOKUP(2,1/('Arroz irrigado'!$E33:INDEX('Arroz irrigado'!$E33:$Z33,MIN(AW$6-$G$3,22))&lt;&gt;""),'Arroz irrigado'!$E33:INDEX('Arroz irrigado'!$E33:$Z33,MIN(AW$6-$G$3,22))),0)))))</f>
        <v>0</v>
      </c>
      <c r="AX35" s="27" t="n">
        <f aca="false">IF(COUNT('Arroz irrigado'!$E33:$Z33)=0,0,MAX(0,IF((AX$6-$E$3)&lt;1,0,IFERROR(LOOKUP(2,1/('Arroz irrigado'!$E33:INDEX('Arroz irrigado'!$E33:$Z33,MIN(AX$6-$E$3,22))&lt;&gt;""),'Arroz irrigado'!$E33:INDEX('Arroz irrigado'!$E33:$Z33,MIN(AX$6-$E$3,22))),0))-IF($G$2,0,IF((AX$6-$G$3)&lt;1,0,IFERROR(LOOKUP(2,1/('Arroz irrigado'!$E33:INDEX('Arroz irrigado'!$E33:$Z33,MIN(AX$6-$G$3,22))&lt;&gt;""),'Arroz irrigado'!$E33:INDEX('Arroz irrigado'!$E33:$Z33,MIN(AX$6-$G$3,22))),0)))))</f>
        <v>0</v>
      </c>
      <c r="AY35" s="27" t="n">
        <f aca="false">IF(COUNT('Arroz irrigado'!$E33:$Z33)=0,0,MAX(0,IF((AY$6-$E$3)&lt;1,0,IFERROR(LOOKUP(2,1/('Arroz irrigado'!$E33:INDEX('Arroz irrigado'!$E33:$Z33,MIN(AY$6-$E$3,22))&lt;&gt;""),'Arroz irrigado'!$E33:INDEX('Arroz irrigado'!$E33:$Z33,MIN(AY$6-$E$3,22))),0))-IF($G$2,0,IF((AY$6-$G$3)&lt;1,0,IFERROR(LOOKUP(2,1/('Arroz irrigado'!$E33:INDEX('Arroz irrigado'!$E33:$Z33,MIN(AY$6-$G$3,22))&lt;&gt;""),'Arroz irrigado'!$E33:INDEX('Arroz irrigado'!$E33:$Z33,MIN(AY$6-$G$3,22))),0)))))</f>
        <v>0</v>
      </c>
      <c r="AZ35" s="27" t="n">
        <f aca="false">IF(COUNT('Arroz irrigado'!$E33:$Z33)=0,0,MAX(0,IF((AZ$6-$E$3)&lt;1,0,IFERROR(LOOKUP(2,1/('Arroz irrigado'!$E33:INDEX('Arroz irrigado'!$E33:$Z33,MIN(AZ$6-$E$3,22))&lt;&gt;""),'Arroz irrigado'!$E33:INDEX('Arroz irrigado'!$E33:$Z33,MIN(AZ$6-$E$3,22))),0))-IF($G$2,0,IF((AZ$6-$G$3)&lt;1,0,IFERROR(LOOKUP(2,1/('Arroz irrigado'!$E33:INDEX('Arroz irrigado'!$E33:$Z33,MIN(AZ$6-$G$3,22))&lt;&gt;""),'Arroz irrigado'!$E33:INDEX('Arroz irrigado'!$E33:$Z33,MIN(AZ$6-$G$3,22))),0)))))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IF(COUNT('Arroz irrigado'!$E34:$Z34)&gt;0,N('Arroz irrigado'!$D34),0)</f>
        <v>0</v>
      </c>
      <c r="E36" s="27" t="n">
        <f aca="false">IF(COUNT('Arroz irrigado'!$E34:$Z34)=0,0,MAX(0,IF((E$6-$E$3)&lt;1,0,IFERROR(LOOKUP(2,1/('Arroz irrigado'!$E34:INDEX('Arroz irrigado'!$E34:$Z34,MIN(E$6-$E$3,22))&lt;&gt;""),'Arroz irrigado'!$E34:INDEX('Arroz irrigado'!$E34:$Z34,MIN(E$6-$E$3,22))),0))-IF($G$2,0,IF((E$6-$G$3)&lt;1,0,IFERROR(LOOKUP(2,1/('Arroz irrigado'!$E34:INDEX('Arroz irrigado'!$E34:$Z34,MIN(E$6-$G$3,22))&lt;&gt;""),'Arroz irrigado'!$E34:INDEX('Arroz irrigado'!$E34:$Z34,MIN(E$6-$G$3,22))),0)))))</f>
        <v>0</v>
      </c>
      <c r="F36" s="27" t="n">
        <f aca="false">IF(COUNT('Arroz irrigado'!$E34:$Z34)=0,0,MAX(0,IF((F$6-$E$3)&lt;1,0,IFERROR(LOOKUP(2,1/('Arroz irrigado'!$E34:INDEX('Arroz irrigado'!$E34:$Z34,MIN(F$6-$E$3,22))&lt;&gt;""),'Arroz irrigado'!$E34:INDEX('Arroz irrigado'!$E34:$Z34,MIN(F$6-$E$3,22))),0))-IF($G$2,0,IF((F$6-$G$3)&lt;1,0,IFERROR(LOOKUP(2,1/('Arroz irrigado'!$E34:INDEX('Arroz irrigado'!$E34:$Z34,MIN(F$6-$G$3,22))&lt;&gt;""),'Arroz irrigado'!$E34:INDEX('Arroz irrigado'!$E34:$Z34,MIN(F$6-$G$3,22))),0)))))</f>
        <v>0</v>
      </c>
      <c r="G36" s="27" t="n">
        <f aca="false">IF(COUNT('Arroz irrigado'!$E34:$Z34)=0,0,MAX(0,IF((G$6-$E$3)&lt;1,0,IFERROR(LOOKUP(2,1/('Arroz irrigado'!$E34:INDEX('Arroz irrigado'!$E34:$Z34,MIN(G$6-$E$3,22))&lt;&gt;""),'Arroz irrigado'!$E34:INDEX('Arroz irrigado'!$E34:$Z34,MIN(G$6-$E$3,22))),0))-IF($G$2,0,IF((G$6-$G$3)&lt;1,0,IFERROR(LOOKUP(2,1/('Arroz irrigado'!$E34:INDEX('Arroz irrigado'!$E34:$Z34,MIN(G$6-$G$3,22))&lt;&gt;""),'Arroz irrigado'!$E34:INDEX('Arroz irrigado'!$E34:$Z34,MIN(G$6-$G$3,22))),0)))))</f>
        <v>0</v>
      </c>
      <c r="H36" s="27" t="n">
        <f aca="false">IF(COUNT('Arroz irrigado'!$E34:$Z34)=0,0,MAX(0,IF((H$6-$E$3)&lt;1,0,IFERROR(LOOKUP(2,1/('Arroz irrigado'!$E34:INDEX('Arroz irrigado'!$E34:$Z34,MIN(H$6-$E$3,22))&lt;&gt;""),'Arroz irrigado'!$E34:INDEX('Arroz irrigado'!$E34:$Z34,MIN(H$6-$E$3,22))),0))-IF($G$2,0,IF((H$6-$G$3)&lt;1,0,IFERROR(LOOKUP(2,1/('Arroz irrigado'!$E34:INDEX('Arroz irrigado'!$E34:$Z34,MIN(H$6-$G$3,22))&lt;&gt;""),'Arroz irrigado'!$E34:INDEX('Arroz irrigado'!$E34:$Z34,MIN(H$6-$G$3,22))),0)))))</f>
        <v>0</v>
      </c>
      <c r="I36" s="27" t="n">
        <f aca="false">IF(COUNT('Arroz irrigado'!$E34:$Z34)=0,0,MAX(0,IF((I$6-$E$3)&lt;1,0,IFERROR(LOOKUP(2,1/('Arroz irrigado'!$E34:INDEX('Arroz irrigado'!$E34:$Z34,MIN(I$6-$E$3,22))&lt;&gt;""),'Arroz irrigado'!$E34:INDEX('Arroz irrigado'!$E34:$Z34,MIN(I$6-$E$3,22))),0))-IF($G$2,0,IF((I$6-$G$3)&lt;1,0,IFERROR(LOOKUP(2,1/('Arroz irrigado'!$E34:INDEX('Arroz irrigado'!$E34:$Z34,MIN(I$6-$G$3,22))&lt;&gt;""),'Arroz irrigado'!$E34:INDEX('Arroz irrigado'!$E34:$Z34,MIN(I$6-$G$3,22))),0)))))</f>
        <v>0</v>
      </c>
      <c r="J36" s="27" t="n">
        <f aca="false">IF(COUNT('Arroz irrigado'!$E34:$Z34)=0,0,MAX(0,IF((J$6-$E$3)&lt;1,0,IFERROR(LOOKUP(2,1/('Arroz irrigado'!$E34:INDEX('Arroz irrigado'!$E34:$Z34,MIN(J$6-$E$3,22))&lt;&gt;""),'Arroz irrigado'!$E34:INDEX('Arroz irrigado'!$E34:$Z34,MIN(J$6-$E$3,22))),0))-IF($G$2,0,IF((J$6-$G$3)&lt;1,0,IFERROR(LOOKUP(2,1/('Arroz irrigado'!$E34:INDEX('Arroz irrigado'!$E34:$Z34,MIN(J$6-$G$3,22))&lt;&gt;""),'Arroz irrigado'!$E34:INDEX('Arroz irrigado'!$E34:$Z34,MIN(J$6-$G$3,22))),0)))))</f>
        <v>0</v>
      </c>
      <c r="K36" s="27" t="n">
        <f aca="false">IF(COUNT('Arroz irrigado'!$E34:$Z34)=0,0,MAX(0,IF((K$6-$E$3)&lt;1,0,IFERROR(LOOKUP(2,1/('Arroz irrigado'!$E34:INDEX('Arroz irrigado'!$E34:$Z34,MIN(K$6-$E$3,22))&lt;&gt;""),'Arroz irrigado'!$E34:INDEX('Arroz irrigado'!$E34:$Z34,MIN(K$6-$E$3,22))),0))-IF($G$2,0,IF((K$6-$G$3)&lt;1,0,IFERROR(LOOKUP(2,1/('Arroz irrigado'!$E34:INDEX('Arroz irrigado'!$E34:$Z34,MIN(K$6-$G$3,22))&lt;&gt;""),'Arroz irrigado'!$E34:INDEX('Arroz irrigado'!$E34:$Z34,MIN(K$6-$G$3,22))),0)))))</f>
        <v>0</v>
      </c>
      <c r="L36" s="27" t="n">
        <f aca="false">IF(COUNT('Arroz irrigado'!$E34:$Z34)=0,0,MAX(0,IF((L$6-$E$3)&lt;1,0,IFERROR(LOOKUP(2,1/('Arroz irrigado'!$E34:INDEX('Arroz irrigado'!$E34:$Z34,MIN(L$6-$E$3,22))&lt;&gt;""),'Arroz irrigado'!$E34:INDEX('Arroz irrigado'!$E34:$Z34,MIN(L$6-$E$3,22))),0))-IF($G$2,0,IF((L$6-$G$3)&lt;1,0,IFERROR(LOOKUP(2,1/('Arroz irrigado'!$E34:INDEX('Arroz irrigado'!$E34:$Z34,MIN(L$6-$G$3,22))&lt;&gt;""),'Arroz irrigado'!$E34:INDEX('Arroz irrigado'!$E34:$Z34,MIN(L$6-$G$3,22))),0)))))</f>
        <v>0</v>
      </c>
      <c r="M36" s="27" t="n">
        <f aca="false">IF(COUNT('Arroz irrigado'!$E34:$Z34)=0,0,MAX(0,IF((M$6-$E$3)&lt;1,0,IFERROR(LOOKUP(2,1/('Arroz irrigado'!$E34:INDEX('Arroz irrigado'!$E34:$Z34,MIN(M$6-$E$3,22))&lt;&gt;""),'Arroz irrigado'!$E34:INDEX('Arroz irrigado'!$E34:$Z34,MIN(M$6-$E$3,22))),0))-IF($G$2,0,IF((M$6-$G$3)&lt;1,0,IFERROR(LOOKUP(2,1/('Arroz irrigado'!$E34:INDEX('Arroz irrigado'!$E34:$Z34,MIN(M$6-$G$3,22))&lt;&gt;""),'Arroz irrigado'!$E34:INDEX('Arroz irrigado'!$E34:$Z34,MIN(M$6-$G$3,22))),0)))))</f>
        <v>0</v>
      </c>
      <c r="N36" s="27" t="n">
        <f aca="false">IF(COUNT('Arroz irrigado'!$E34:$Z34)=0,0,MAX(0,IF((N$6-$E$3)&lt;1,0,IFERROR(LOOKUP(2,1/('Arroz irrigado'!$E34:INDEX('Arroz irrigado'!$E34:$Z34,MIN(N$6-$E$3,22))&lt;&gt;""),'Arroz irrigado'!$E34:INDEX('Arroz irrigado'!$E34:$Z34,MIN(N$6-$E$3,22))),0))-IF($G$2,0,IF((N$6-$G$3)&lt;1,0,IFERROR(LOOKUP(2,1/('Arroz irrigado'!$E34:INDEX('Arroz irrigado'!$E34:$Z34,MIN(N$6-$G$3,22))&lt;&gt;""),'Arroz irrigado'!$E34:INDEX('Arroz irrigado'!$E34:$Z34,MIN(N$6-$G$3,22))),0)))))</f>
        <v>0</v>
      </c>
      <c r="O36" s="27" t="n">
        <f aca="false">IF(COUNT('Arroz irrigado'!$E34:$Z34)=0,0,MAX(0,IF((O$6-$E$3)&lt;1,0,IFERROR(LOOKUP(2,1/('Arroz irrigado'!$E34:INDEX('Arroz irrigado'!$E34:$Z34,MIN(O$6-$E$3,22))&lt;&gt;""),'Arroz irrigado'!$E34:INDEX('Arroz irrigado'!$E34:$Z34,MIN(O$6-$E$3,22))),0))-IF($G$2,0,IF((O$6-$G$3)&lt;1,0,IFERROR(LOOKUP(2,1/('Arroz irrigado'!$E34:INDEX('Arroz irrigado'!$E34:$Z34,MIN(O$6-$G$3,22))&lt;&gt;""),'Arroz irrigado'!$E34:INDEX('Arroz irrigado'!$E34:$Z34,MIN(O$6-$G$3,22))),0)))))</f>
        <v>0</v>
      </c>
      <c r="P36" s="27" t="n">
        <f aca="false">IF(COUNT('Arroz irrigado'!$E34:$Z34)=0,0,MAX(0,IF((P$6-$E$3)&lt;1,0,IFERROR(LOOKUP(2,1/('Arroz irrigado'!$E34:INDEX('Arroz irrigado'!$E34:$Z34,MIN(P$6-$E$3,22))&lt;&gt;""),'Arroz irrigado'!$E34:INDEX('Arroz irrigado'!$E34:$Z34,MIN(P$6-$E$3,22))),0))-IF($G$2,0,IF((P$6-$G$3)&lt;1,0,IFERROR(LOOKUP(2,1/('Arroz irrigado'!$E34:INDEX('Arroz irrigado'!$E34:$Z34,MIN(P$6-$G$3,22))&lt;&gt;""),'Arroz irrigado'!$E34:INDEX('Arroz irrigado'!$E34:$Z34,MIN(P$6-$G$3,22))),0)))))</f>
        <v>0</v>
      </c>
      <c r="Q36" s="27" t="n">
        <f aca="false">IF(COUNT('Arroz irrigado'!$E34:$Z34)=0,0,MAX(0,IF((Q$6-$E$3)&lt;1,0,IFERROR(LOOKUP(2,1/('Arroz irrigado'!$E34:INDEX('Arroz irrigado'!$E34:$Z34,MIN(Q$6-$E$3,22))&lt;&gt;""),'Arroz irrigado'!$E34:INDEX('Arroz irrigado'!$E34:$Z34,MIN(Q$6-$E$3,22))),0))-IF($G$2,0,IF((Q$6-$G$3)&lt;1,0,IFERROR(LOOKUP(2,1/('Arroz irrigado'!$E34:INDEX('Arroz irrigado'!$E34:$Z34,MIN(Q$6-$G$3,22))&lt;&gt;""),'Arroz irrigado'!$E34:INDEX('Arroz irrigado'!$E34:$Z34,MIN(Q$6-$G$3,22))),0)))))</f>
        <v>0</v>
      </c>
      <c r="R36" s="27" t="n">
        <f aca="false">IF(COUNT('Arroz irrigado'!$E34:$Z34)=0,0,MAX(0,IF((R$6-$E$3)&lt;1,0,IFERROR(LOOKUP(2,1/('Arroz irrigado'!$E34:INDEX('Arroz irrigado'!$E34:$Z34,MIN(R$6-$E$3,22))&lt;&gt;""),'Arroz irrigado'!$E34:INDEX('Arroz irrigado'!$E34:$Z34,MIN(R$6-$E$3,22))),0))-IF($G$2,0,IF((R$6-$G$3)&lt;1,0,IFERROR(LOOKUP(2,1/('Arroz irrigado'!$E34:INDEX('Arroz irrigado'!$E34:$Z34,MIN(R$6-$G$3,22))&lt;&gt;""),'Arroz irrigado'!$E34:INDEX('Arroz irrigado'!$E34:$Z34,MIN(R$6-$G$3,22))),0)))))</f>
        <v>0</v>
      </c>
      <c r="S36" s="27" t="n">
        <f aca="false">IF(COUNT('Arroz irrigado'!$E34:$Z34)=0,0,MAX(0,IF((S$6-$E$3)&lt;1,0,IFERROR(LOOKUP(2,1/('Arroz irrigado'!$E34:INDEX('Arroz irrigado'!$E34:$Z34,MIN(S$6-$E$3,22))&lt;&gt;""),'Arroz irrigado'!$E34:INDEX('Arroz irrigado'!$E34:$Z34,MIN(S$6-$E$3,22))),0))-IF($G$2,0,IF((S$6-$G$3)&lt;1,0,IFERROR(LOOKUP(2,1/('Arroz irrigado'!$E34:INDEX('Arroz irrigado'!$E34:$Z34,MIN(S$6-$G$3,22))&lt;&gt;""),'Arroz irrigado'!$E34:INDEX('Arroz irrigado'!$E34:$Z34,MIN(S$6-$G$3,22))),0)))))</f>
        <v>0</v>
      </c>
      <c r="T36" s="27" t="n">
        <f aca="false">IF(COUNT('Arroz irrigado'!$E34:$Z34)=0,0,MAX(0,IF((T$6-$E$3)&lt;1,0,IFERROR(LOOKUP(2,1/('Arroz irrigado'!$E34:INDEX('Arroz irrigado'!$E34:$Z34,MIN(T$6-$E$3,22))&lt;&gt;""),'Arroz irrigado'!$E34:INDEX('Arroz irrigado'!$E34:$Z34,MIN(T$6-$E$3,22))),0))-IF($G$2,0,IF((T$6-$G$3)&lt;1,0,IFERROR(LOOKUP(2,1/('Arroz irrigado'!$E34:INDEX('Arroz irrigado'!$E34:$Z34,MIN(T$6-$G$3,22))&lt;&gt;""),'Arroz irrigado'!$E34:INDEX('Arroz irrigado'!$E34:$Z34,MIN(T$6-$G$3,22))),0)))))</f>
        <v>0</v>
      </c>
      <c r="U36" s="27" t="n">
        <f aca="false">IF(COUNT('Arroz irrigado'!$E34:$Z34)=0,0,MAX(0,IF((U$6-$E$3)&lt;1,0,IFERROR(LOOKUP(2,1/('Arroz irrigado'!$E34:INDEX('Arroz irrigado'!$E34:$Z34,MIN(U$6-$E$3,22))&lt;&gt;""),'Arroz irrigado'!$E34:INDEX('Arroz irrigado'!$E34:$Z34,MIN(U$6-$E$3,22))),0))-IF($G$2,0,IF((U$6-$G$3)&lt;1,0,IFERROR(LOOKUP(2,1/('Arroz irrigado'!$E34:INDEX('Arroz irrigado'!$E34:$Z34,MIN(U$6-$G$3,22))&lt;&gt;""),'Arroz irrigado'!$E34:INDEX('Arroz irrigado'!$E34:$Z34,MIN(U$6-$G$3,22))),0)))))</f>
        <v>0</v>
      </c>
      <c r="V36" s="27" t="n">
        <f aca="false">IF(COUNT('Arroz irrigado'!$E34:$Z34)=0,0,MAX(0,IF((V$6-$E$3)&lt;1,0,IFERROR(LOOKUP(2,1/('Arroz irrigado'!$E34:INDEX('Arroz irrigado'!$E34:$Z34,MIN(V$6-$E$3,22))&lt;&gt;""),'Arroz irrigado'!$E34:INDEX('Arroz irrigado'!$E34:$Z34,MIN(V$6-$E$3,22))),0))-IF($G$2,0,IF((V$6-$G$3)&lt;1,0,IFERROR(LOOKUP(2,1/('Arroz irrigado'!$E34:INDEX('Arroz irrigado'!$E34:$Z34,MIN(V$6-$G$3,22))&lt;&gt;""),'Arroz irrigado'!$E34:INDEX('Arroz irrigado'!$E34:$Z34,MIN(V$6-$G$3,22))),0)))))</f>
        <v>0</v>
      </c>
      <c r="W36" s="27" t="n">
        <f aca="false">IF(COUNT('Arroz irrigado'!$E34:$Z34)=0,0,MAX(0,IF((W$6-$E$3)&lt;1,0,IFERROR(LOOKUP(2,1/('Arroz irrigado'!$E34:INDEX('Arroz irrigado'!$E34:$Z34,MIN(W$6-$E$3,22))&lt;&gt;""),'Arroz irrigado'!$E34:INDEX('Arroz irrigado'!$E34:$Z34,MIN(W$6-$E$3,22))),0))-IF($G$2,0,IF((W$6-$G$3)&lt;1,0,IFERROR(LOOKUP(2,1/('Arroz irrigado'!$E34:INDEX('Arroz irrigado'!$E34:$Z34,MIN(W$6-$G$3,22))&lt;&gt;""),'Arroz irrigado'!$E34:INDEX('Arroz irrigado'!$E34:$Z34,MIN(W$6-$G$3,22))),0)))))</f>
        <v>0</v>
      </c>
      <c r="X36" s="27" t="n">
        <f aca="false">IF(COUNT('Arroz irrigado'!$E34:$Z34)=0,0,MAX(0,IF((X$6-$E$3)&lt;1,0,IFERROR(LOOKUP(2,1/('Arroz irrigado'!$E34:INDEX('Arroz irrigado'!$E34:$Z34,MIN(X$6-$E$3,22))&lt;&gt;""),'Arroz irrigado'!$E34:INDEX('Arroz irrigado'!$E34:$Z34,MIN(X$6-$E$3,22))),0))-IF($G$2,0,IF((X$6-$G$3)&lt;1,0,IFERROR(LOOKUP(2,1/('Arroz irrigado'!$E34:INDEX('Arroz irrigado'!$E34:$Z34,MIN(X$6-$G$3,22))&lt;&gt;""),'Arroz irrigado'!$E34:INDEX('Arroz irrigado'!$E34:$Z34,MIN(X$6-$G$3,22))),0)))))</f>
        <v>0</v>
      </c>
      <c r="Y36" s="27" t="n">
        <f aca="false">IF(COUNT('Arroz irrigado'!$E34:$Z34)=0,0,MAX(0,IF((Y$6-$E$3)&lt;1,0,IFERROR(LOOKUP(2,1/('Arroz irrigado'!$E34:INDEX('Arroz irrigado'!$E34:$Z34,MIN(Y$6-$E$3,22))&lt;&gt;""),'Arroz irrigado'!$E34:INDEX('Arroz irrigado'!$E34:$Z34,MIN(Y$6-$E$3,22))),0))-IF($G$2,0,IF((Y$6-$G$3)&lt;1,0,IFERROR(LOOKUP(2,1/('Arroz irrigado'!$E34:INDEX('Arroz irrigado'!$E34:$Z34,MIN(Y$6-$G$3,22))&lt;&gt;""),'Arroz irrigado'!$E34:INDEX('Arroz irrigado'!$E34:$Z34,MIN(Y$6-$G$3,22))),0)))))</f>
        <v>0</v>
      </c>
      <c r="Z36" s="27" t="n">
        <f aca="false">IF(COUNT('Arroz irrigado'!$E34:$Z34)=0,0,MAX(0,IF((Z$6-$E$3)&lt;1,0,IFERROR(LOOKUP(2,1/('Arroz irrigado'!$E34:INDEX('Arroz irrigado'!$E34:$Z34,MIN(Z$6-$E$3,22))&lt;&gt;""),'Arroz irrigado'!$E34:INDEX('Arroz irrigado'!$E34:$Z34,MIN(Z$6-$E$3,22))),0))-IF($G$2,0,IF((Z$6-$G$3)&lt;1,0,IFERROR(LOOKUP(2,1/('Arroz irrigado'!$E34:INDEX('Arroz irrigado'!$E34:$Z34,MIN(Z$6-$G$3,22))&lt;&gt;""),'Arroz irrigado'!$E34:INDEX('Arroz irrigado'!$E34:$Z34,MIN(Z$6-$G$3,22))),0)))))</f>
        <v>0</v>
      </c>
      <c r="AA36" s="27" t="n">
        <f aca="false">IF(COUNT('Arroz irrigado'!$E34:$Z34)=0,0,MAX(0,IF((AA$6-$E$3)&lt;1,0,IFERROR(LOOKUP(2,1/('Arroz irrigado'!$E34:INDEX('Arroz irrigado'!$E34:$Z34,MIN(AA$6-$E$3,22))&lt;&gt;""),'Arroz irrigado'!$E34:INDEX('Arroz irrigado'!$E34:$Z34,MIN(AA$6-$E$3,22))),0))-IF($G$2,0,IF((AA$6-$G$3)&lt;1,0,IFERROR(LOOKUP(2,1/('Arroz irrigado'!$E34:INDEX('Arroz irrigado'!$E34:$Z34,MIN(AA$6-$G$3,22))&lt;&gt;""),'Arroz irrigado'!$E34:INDEX('Arroz irrigado'!$E34:$Z34,MIN(AA$6-$G$3,22))),0)))))</f>
        <v>0</v>
      </c>
      <c r="AB36" s="27" t="n">
        <f aca="false">IF(COUNT('Arroz irrigado'!$E34:$Z34)=0,0,MAX(0,IF((AB$6-$E$3)&lt;1,0,IFERROR(LOOKUP(2,1/('Arroz irrigado'!$E34:INDEX('Arroz irrigado'!$E34:$Z34,MIN(AB$6-$E$3,22))&lt;&gt;""),'Arroz irrigado'!$E34:INDEX('Arroz irrigado'!$E34:$Z34,MIN(AB$6-$E$3,22))),0))-IF($G$2,0,IF((AB$6-$G$3)&lt;1,0,IFERROR(LOOKUP(2,1/('Arroz irrigado'!$E34:INDEX('Arroz irrigado'!$E34:$Z34,MIN(AB$6-$G$3,22))&lt;&gt;""),'Arroz irrigado'!$E34:INDEX('Arroz irrigado'!$E34:$Z34,MIN(AB$6-$G$3,22))),0)))))</f>
        <v>0</v>
      </c>
      <c r="AC36" s="27" t="n">
        <f aca="false">IF(COUNT('Arroz irrigado'!$E34:$Z34)=0,0,MAX(0,IF((AC$6-$E$3)&lt;1,0,IFERROR(LOOKUP(2,1/('Arroz irrigado'!$E34:INDEX('Arroz irrigado'!$E34:$Z34,MIN(AC$6-$E$3,22))&lt;&gt;""),'Arroz irrigado'!$E34:INDEX('Arroz irrigado'!$E34:$Z34,MIN(AC$6-$E$3,22))),0))-IF($G$2,0,IF((AC$6-$G$3)&lt;1,0,IFERROR(LOOKUP(2,1/('Arroz irrigado'!$E34:INDEX('Arroz irrigado'!$E34:$Z34,MIN(AC$6-$G$3,22))&lt;&gt;""),'Arroz irrigado'!$E34:INDEX('Arroz irrigado'!$E34:$Z34,MIN(AC$6-$G$3,22))),0)))))</f>
        <v>0</v>
      </c>
      <c r="AD36" s="27" t="n">
        <f aca="false">IF(COUNT('Arroz irrigado'!$E34:$Z34)=0,0,MAX(0,IF((AD$6-$E$3)&lt;1,0,IFERROR(LOOKUP(2,1/('Arroz irrigado'!$E34:INDEX('Arroz irrigado'!$E34:$Z34,MIN(AD$6-$E$3,22))&lt;&gt;""),'Arroz irrigado'!$E34:INDEX('Arroz irrigado'!$E34:$Z34,MIN(AD$6-$E$3,22))),0))-IF($G$2,0,IF((AD$6-$G$3)&lt;1,0,IFERROR(LOOKUP(2,1/('Arroz irrigado'!$E34:INDEX('Arroz irrigado'!$E34:$Z34,MIN(AD$6-$G$3,22))&lt;&gt;""),'Arroz irrigado'!$E34:INDEX('Arroz irrigado'!$E34:$Z34,MIN(AD$6-$G$3,22))),0)))))</f>
        <v>0</v>
      </c>
      <c r="AE36" s="27" t="n">
        <f aca="false">IF(COUNT('Arroz irrigado'!$E34:$Z34)=0,0,MAX(0,IF((AE$6-$E$3)&lt;1,0,IFERROR(LOOKUP(2,1/('Arroz irrigado'!$E34:INDEX('Arroz irrigado'!$E34:$Z34,MIN(AE$6-$E$3,22))&lt;&gt;""),'Arroz irrigado'!$E34:INDEX('Arroz irrigado'!$E34:$Z34,MIN(AE$6-$E$3,22))),0))-IF($G$2,0,IF((AE$6-$G$3)&lt;1,0,IFERROR(LOOKUP(2,1/('Arroz irrigado'!$E34:INDEX('Arroz irrigado'!$E34:$Z34,MIN(AE$6-$G$3,22))&lt;&gt;""),'Arroz irrigado'!$E34:INDEX('Arroz irrigado'!$E34:$Z34,MIN(AE$6-$G$3,22))),0)))))</f>
        <v>0</v>
      </c>
      <c r="AF36" s="27" t="n">
        <f aca="false">IF(COUNT('Arroz irrigado'!$E34:$Z34)=0,0,MAX(0,IF((AF$6-$E$3)&lt;1,0,IFERROR(LOOKUP(2,1/('Arroz irrigado'!$E34:INDEX('Arroz irrigado'!$E34:$Z34,MIN(AF$6-$E$3,22))&lt;&gt;""),'Arroz irrigado'!$E34:INDEX('Arroz irrigado'!$E34:$Z34,MIN(AF$6-$E$3,22))),0))-IF($G$2,0,IF((AF$6-$G$3)&lt;1,0,IFERROR(LOOKUP(2,1/('Arroz irrigado'!$E34:INDEX('Arroz irrigado'!$E34:$Z34,MIN(AF$6-$G$3,22))&lt;&gt;""),'Arroz irrigado'!$E34:INDEX('Arroz irrigado'!$E34:$Z34,MIN(AF$6-$G$3,22))),0)))))</f>
        <v>0</v>
      </c>
      <c r="AG36" s="27" t="n">
        <f aca="false">IF(COUNT('Arroz irrigado'!$E34:$Z34)=0,0,MAX(0,IF((AG$6-$E$3)&lt;1,0,IFERROR(LOOKUP(2,1/('Arroz irrigado'!$E34:INDEX('Arroz irrigado'!$E34:$Z34,MIN(AG$6-$E$3,22))&lt;&gt;""),'Arroz irrigado'!$E34:INDEX('Arroz irrigado'!$E34:$Z34,MIN(AG$6-$E$3,22))),0))-IF($G$2,0,IF((AG$6-$G$3)&lt;1,0,IFERROR(LOOKUP(2,1/('Arroz irrigado'!$E34:INDEX('Arroz irrigado'!$E34:$Z34,MIN(AG$6-$G$3,22))&lt;&gt;""),'Arroz irrigado'!$E34:INDEX('Arroz irrigado'!$E34:$Z34,MIN(AG$6-$G$3,22))),0)))))</f>
        <v>0</v>
      </c>
      <c r="AH36" s="27" t="n">
        <f aca="false">IF(COUNT('Arroz irrigado'!$E34:$Z34)=0,0,MAX(0,IF((AH$6-$E$3)&lt;1,0,IFERROR(LOOKUP(2,1/('Arroz irrigado'!$E34:INDEX('Arroz irrigado'!$E34:$Z34,MIN(AH$6-$E$3,22))&lt;&gt;""),'Arroz irrigado'!$E34:INDEX('Arroz irrigado'!$E34:$Z34,MIN(AH$6-$E$3,22))),0))-IF($G$2,0,IF((AH$6-$G$3)&lt;1,0,IFERROR(LOOKUP(2,1/('Arroz irrigado'!$E34:INDEX('Arroz irrigado'!$E34:$Z34,MIN(AH$6-$G$3,22))&lt;&gt;""),'Arroz irrigado'!$E34:INDEX('Arroz irrigado'!$E34:$Z34,MIN(AH$6-$G$3,22))),0)))))</f>
        <v>0</v>
      </c>
      <c r="AI36" s="27" t="n">
        <f aca="false">IF(COUNT('Arroz irrigado'!$E34:$Z34)=0,0,MAX(0,IF((AI$6-$E$3)&lt;1,0,IFERROR(LOOKUP(2,1/('Arroz irrigado'!$E34:INDEX('Arroz irrigado'!$E34:$Z34,MIN(AI$6-$E$3,22))&lt;&gt;""),'Arroz irrigado'!$E34:INDEX('Arroz irrigado'!$E34:$Z34,MIN(AI$6-$E$3,22))),0))-IF($G$2,0,IF((AI$6-$G$3)&lt;1,0,IFERROR(LOOKUP(2,1/('Arroz irrigado'!$E34:INDEX('Arroz irrigado'!$E34:$Z34,MIN(AI$6-$G$3,22))&lt;&gt;""),'Arroz irrigado'!$E34:INDEX('Arroz irrigado'!$E34:$Z34,MIN(AI$6-$G$3,22))),0)))))</f>
        <v>0</v>
      </c>
      <c r="AJ36" s="27" t="n">
        <f aca="false">IF(COUNT('Arroz irrigado'!$E34:$Z34)=0,0,MAX(0,IF((AJ$6-$E$3)&lt;1,0,IFERROR(LOOKUP(2,1/('Arroz irrigado'!$E34:INDEX('Arroz irrigado'!$E34:$Z34,MIN(AJ$6-$E$3,22))&lt;&gt;""),'Arroz irrigado'!$E34:INDEX('Arroz irrigado'!$E34:$Z34,MIN(AJ$6-$E$3,22))),0))-IF($G$2,0,IF((AJ$6-$G$3)&lt;1,0,IFERROR(LOOKUP(2,1/('Arroz irrigado'!$E34:INDEX('Arroz irrigado'!$E34:$Z34,MIN(AJ$6-$G$3,22))&lt;&gt;""),'Arroz irrigado'!$E34:INDEX('Arroz irrigado'!$E34:$Z34,MIN(AJ$6-$G$3,22))),0)))))</f>
        <v>0</v>
      </c>
      <c r="AK36" s="27" t="n">
        <f aca="false">IF(COUNT('Arroz irrigado'!$E34:$Z34)=0,0,MAX(0,IF((AK$6-$E$3)&lt;1,0,IFERROR(LOOKUP(2,1/('Arroz irrigado'!$E34:INDEX('Arroz irrigado'!$E34:$Z34,MIN(AK$6-$E$3,22))&lt;&gt;""),'Arroz irrigado'!$E34:INDEX('Arroz irrigado'!$E34:$Z34,MIN(AK$6-$E$3,22))),0))-IF($G$2,0,IF((AK$6-$G$3)&lt;1,0,IFERROR(LOOKUP(2,1/('Arroz irrigado'!$E34:INDEX('Arroz irrigado'!$E34:$Z34,MIN(AK$6-$G$3,22))&lt;&gt;""),'Arroz irrigado'!$E34:INDEX('Arroz irrigado'!$E34:$Z34,MIN(AK$6-$G$3,22))),0)))))</f>
        <v>0</v>
      </c>
      <c r="AL36" s="27" t="n">
        <f aca="false">IF(COUNT('Arroz irrigado'!$E34:$Z34)=0,0,MAX(0,IF((AL$6-$E$3)&lt;1,0,IFERROR(LOOKUP(2,1/('Arroz irrigado'!$E34:INDEX('Arroz irrigado'!$E34:$Z34,MIN(AL$6-$E$3,22))&lt;&gt;""),'Arroz irrigado'!$E34:INDEX('Arroz irrigado'!$E34:$Z34,MIN(AL$6-$E$3,22))),0))-IF($G$2,0,IF((AL$6-$G$3)&lt;1,0,IFERROR(LOOKUP(2,1/('Arroz irrigado'!$E34:INDEX('Arroz irrigado'!$E34:$Z34,MIN(AL$6-$G$3,22))&lt;&gt;""),'Arroz irrigado'!$E34:INDEX('Arroz irrigado'!$E34:$Z34,MIN(AL$6-$G$3,22))),0)))))</f>
        <v>0</v>
      </c>
      <c r="AM36" s="27" t="n">
        <f aca="false">IF(COUNT('Arroz irrigado'!$E34:$Z34)=0,0,MAX(0,IF((AM$6-$E$3)&lt;1,0,IFERROR(LOOKUP(2,1/('Arroz irrigado'!$E34:INDEX('Arroz irrigado'!$E34:$Z34,MIN(AM$6-$E$3,22))&lt;&gt;""),'Arroz irrigado'!$E34:INDEX('Arroz irrigado'!$E34:$Z34,MIN(AM$6-$E$3,22))),0))-IF($G$2,0,IF((AM$6-$G$3)&lt;1,0,IFERROR(LOOKUP(2,1/('Arroz irrigado'!$E34:INDEX('Arroz irrigado'!$E34:$Z34,MIN(AM$6-$G$3,22))&lt;&gt;""),'Arroz irrigado'!$E34:INDEX('Arroz irrigado'!$E34:$Z34,MIN(AM$6-$G$3,22))),0)))))</f>
        <v>0</v>
      </c>
      <c r="AN36" s="27" t="n">
        <f aca="false">IF(COUNT('Arroz irrigado'!$E34:$Z34)=0,0,MAX(0,IF((AN$6-$E$3)&lt;1,0,IFERROR(LOOKUP(2,1/('Arroz irrigado'!$E34:INDEX('Arroz irrigado'!$E34:$Z34,MIN(AN$6-$E$3,22))&lt;&gt;""),'Arroz irrigado'!$E34:INDEX('Arroz irrigado'!$E34:$Z34,MIN(AN$6-$E$3,22))),0))-IF($G$2,0,IF((AN$6-$G$3)&lt;1,0,IFERROR(LOOKUP(2,1/('Arroz irrigado'!$E34:INDEX('Arroz irrigado'!$E34:$Z34,MIN(AN$6-$G$3,22))&lt;&gt;""),'Arroz irrigado'!$E34:INDEX('Arroz irrigado'!$E34:$Z34,MIN(AN$6-$G$3,22))),0)))))</f>
        <v>0</v>
      </c>
      <c r="AO36" s="27" t="n">
        <f aca="false">IF(COUNT('Arroz irrigado'!$E34:$Z34)=0,0,MAX(0,IF((AO$6-$E$3)&lt;1,0,IFERROR(LOOKUP(2,1/('Arroz irrigado'!$E34:INDEX('Arroz irrigado'!$E34:$Z34,MIN(AO$6-$E$3,22))&lt;&gt;""),'Arroz irrigado'!$E34:INDEX('Arroz irrigado'!$E34:$Z34,MIN(AO$6-$E$3,22))),0))-IF($G$2,0,IF((AO$6-$G$3)&lt;1,0,IFERROR(LOOKUP(2,1/('Arroz irrigado'!$E34:INDEX('Arroz irrigado'!$E34:$Z34,MIN(AO$6-$G$3,22))&lt;&gt;""),'Arroz irrigado'!$E34:INDEX('Arroz irrigado'!$E34:$Z34,MIN(AO$6-$G$3,22))),0)))))</f>
        <v>0</v>
      </c>
      <c r="AP36" s="27" t="n">
        <f aca="false">IF(COUNT('Arroz irrigado'!$E34:$Z34)=0,0,MAX(0,IF((AP$6-$E$3)&lt;1,0,IFERROR(LOOKUP(2,1/('Arroz irrigado'!$E34:INDEX('Arroz irrigado'!$E34:$Z34,MIN(AP$6-$E$3,22))&lt;&gt;""),'Arroz irrigado'!$E34:INDEX('Arroz irrigado'!$E34:$Z34,MIN(AP$6-$E$3,22))),0))-IF($G$2,0,IF((AP$6-$G$3)&lt;1,0,IFERROR(LOOKUP(2,1/('Arroz irrigado'!$E34:INDEX('Arroz irrigado'!$E34:$Z34,MIN(AP$6-$G$3,22))&lt;&gt;""),'Arroz irrigado'!$E34:INDEX('Arroz irrigado'!$E34:$Z34,MIN(AP$6-$G$3,22))),0)))))</f>
        <v>0</v>
      </c>
      <c r="AQ36" s="27" t="n">
        <f aca="false">IF(COUNT('Arroz irrigado'!$E34:$Z34)=0,0,MAX(0,IF((AQ$6-$E$3)&lt;1,0,IFERROR(LOOKUP(2,1/('Arroz irrigado'!$E34:INDEX('Arroz irrigado'!$E34:$Z34,MIN(AQ$6-$E$3,22))&lt;&gt;""),'Arroz irrigado'!$E34:INDEX('Arroz irrigado'!$E34:$Z34,MIN(AQ$6-$E$3,22))),0))-IF($G$2,0,IF((AQ$6-$G$3)&lt;1,0,IFERROR(LOOKUP(2,1/('Arroz irrigado'!$E34:INDEX('Arroz irrigado'!$E34:$Z34,MIN(AQ$6-$G$3,22))&lt;&gt;""),'Arroz irrigado'!$E34:INDEX('Arroz irrigado'!$E34:$Z34,MIN(AQ$6-$G$3,22))),0)))))</f>
        <v>0</v>
      </c>
      <c r="AR36" s="27" t="n">
        <f aca="false">IF(COUNT('Arroz irrigado'!$E34:$Z34)=0,0,MAX(0,IF((AR$6-$E$3)&lt;1,0,IFERROR(LOOKUP(2,1/('Arroz irrigado'!$E34:INDEX('Arroz irrigado'!$E34:$Z34,MIN(AR$6-$E$3,22))&lt;&gt;""),'Arroz irrigado'!$E34:INDEX('Arroz irrigado'!$E34:$Z34,MIN(AR$6-$E$3,22))),0))-IF($G$2,0,IF((AR$6-$G$3)&lt;1,0,IFERROR(LOOKUP(2,1/('Arroz irrigado'!$E34:INDEX('Arroz irrigado'!$E34:$Z34,MIN(AR$6-$G$3,22))&lt;&gt;""),'Arroz irrigado'!$E34:INDEX('Arroz irrigado'!$E34:$Z34,MIN(AR$6-$G$3,22))),0)))))</f>
        <v>0</v>
      </c>
      <c r="AS36" s="27" t="n">
        <f aca="false">IF(COUNT('Arroz irrigado'!$E34:$Z34)=0,0,MAX(0,IF((AS$6-$E$3)&lt;1,0,IFERROR(LOOKUP(2,1/('Arroz irrigado'!$E34:INDEX('Arroz irrigado'!$E34:$Z34,MIN(AS$6-$E$3,22))&lt;&gt;""),'Arroz irrigado'!$E34:INDEX('Arroz irrigado'!$E34:$Z34,MIN(AS$6-$E$3,22))),0))-IF($G$2,0,IF((AS$6-$G$3)&lt;1,0,IFERROR(LOOKUP(2,1/('Arroz irrigado'!$E34:INDEX('Arroz irrigado'!$E34:$Z34,MIN(AS$6-$G$3,22))&lt;&gt;""),'Arroz irrigado'!$E34:INDEX('Arroz irrigado'!$E34:$Z34,MIN(AS$6-$G$3,22))),0)))))</f>
        <v>0</v>
      </c>
      <c r="AT36" s="27" t="n">
        <f aca="false">IF(COUNT('Arroz irrigado'!$E34:$Z34)=0,0,MAX(0,IF((AT$6-$E$3)&lt;1,0,IFERROR(LOOKUP(2,1/('Arroz irrigado'!$E34:INDEX('Arroz irrigado'!$E34:$Z34,MIN(AT$6-$E$3,22))&lt;&gt;""),'Arroz irrigado'!$E34:INDEX('Arroz irrigado'!$E34:$Z34,MIN(AT$6-$E$3,22))),0))-IF($G$2,0,IF((AT$6-$G$3)&lt;1,0,IFERROR(LOOKUP(2,1/('Arroz irrigado'!$E34:INDEX('Arroz irrigado'!$E34:$Z34,MIN(AT$6-$G$3,22))&lt;&gt;""),'Arroz irrigado'!$E34:INDEX('Arroz irrigado'!$E34:$Z34,MIN(AT$6-$G$3,22))),0)))))</f>
        <v>0</v>
      </c>
      <c r="AU36" s="27" t="n">
        <f aca="false">IF(COUNT('Arroz irrigado'!$E34:$Z34)=0,0,MAX(0,IF((AU$6-$E$3)&lt;1,0,IFERROR(LOOKUP(2,1/('Arroz irrigado'!$E34:INDEX('Arroz irrigado'!$E34:$Z34,MIN(AU$6-$E$3,22))&lt;&gt;""),'Arroz irrigado'!$E34:INDEX('Arroz irrigado'!$E34:$Z34,MIN(AU$6-$E$3,22))),0))-IF($G$2,0,IF((AU$6-$G$3)&lt;1,0,IFERROR(LOOKUP(2,1/('Arroz irrigado'!$E34:INDEX('Arroz irrigado'!$E34:$Z34,MIN(AU$6-$G$3,22))&lt;&gt;""),'Arroz irrigado'!$E34:INDEX('Arroz irrigado'!$E34:$Z34,MIN(AU$6-$G$3,22))),0)))))</f>
        <v>0</v>
      </c>
      <c r="AV36" s="27" t="n">
        <f aca="false">IF(COUNT('Arroz irrigado'!$E34:$Z34)=0,0,MAX(0,IF((AV$6-$E$3)&lt;1,0,IFERROR(LOOKUP(2,1/('Arroz irrigado'!$E34:INDEX('Arroz irrigado'!$E34:$Z34,MIN(AV$6-$E$3,22))&lt;&gt;""),'Arroz irrigado'!$E34:INDEX('Arroz irrigado'!$E34:$Z34,MIN(AV$6-$E$3,22))),0))-IF($G$2,0,IF((AV$6-$G$3)&lt;1,0,IFERROR(LOOKUP(2,1/('Arroz irrigado'!$E34:INDEX('Arroz irrigado'!$E34:$Z34,MIN(AV$6-$G$3,22))&lt;&gt;""),'Arroz irrigado'!$E34:INDEX('Arroz irrigado'!$E34:$Z34,MIN(AV$6-$G$3,22))),0)))))</f>
        <v>0</v>
      </c>
      <c r="AW36" s="27" t="n">
        <f aca="false">IF(COUNT('Arroz irrigado'!$E34:$Z34)=0,0,MAX(0,IF((AW$6-$E$3)&lt;1,0,IFERROR(LOOKUP(2,1/('Arroz irrigado'!$E34:INDEX('Arroz irrigado'!$E34:$Z34,MIN(AW$6-$E$3,22))&lt;&gt;""),'Arroz irrigado'!$E34:INDEX('Arroz irrigado'!$E34:$Z34,MIN(AW$6-$E$3,22))),0))-IF($G$2,0,IF((AW$6-$G$3)&lt;1,0,IFERROR(LOOKUP(2,1/('Arroz irrigado'!$E34:INDEX('Arroz irrigado'!$E34:$Z34,MIN(AW$6-$G$3,22))&lt;&gt;""),'Arroz irrigado'!$E34:INDEX('Arroz irrigado'!$E34:$Z34,MIN(AW$6-$G$3,22))),0)))))</f>
        <v>0</v>
      </c>
      <c r="AX36" s="27" t="n">
        <f aca="false">IF(COUNT('Arroz irrigado'!$E34:$Z34)=0,0,MAX(0,IF((AX$6-$E$3)&lt;1,0,IFERROR(LOOKUP(2,1/('Arroz irrigado'!$E34:INDEX('Arroz irrigado'!$E34:$Z34,MIN(AX$6-$E$3,22))&lt;&gt;""),'Arroz irrigado'!$E34:INDEX('Arroz irrigado'!$E34:$Z34,MIN(AX$6-$E$3,22))),0))-IF($G$2,0,IF((AX$6-$G$3)&lt;1,0,IFERROR(LOOKUP(2,1/('Arroz irrigado'!$E34:INDEX('Arroz irrigado'!$E34:$Z34,MIN(AX$6-$G$3,22))&lt;&gt;""),'Arroz irrigado'!$E34:INDEX('Arroz irrigado'!$E34:$Z34,MIN(AX$6-$G$3,22))),0)))))</f>
        <v>0</v>
      </c>
      <c r="AY36" s="27" t="n">
        <f aca="false">IF(COUNT('Arroz irrigado'!$E34:$Z34)=0,0,MAX(0,IF((AY$6-$E$3)&lt;1,0,IFERROR(LOOKUP(2,1/('Arroz irrigado'!$E34:INDEX('Arroz irrigado'!$E34:$Z34,MIN(AY$6-$E$3,22))&lt;&gt;""),'Arroz irrigado'!$E34:INDEX('Arroz irrigado'!$E34:$Z34,MIN(AY$6-$E$3,22))),0))-IF($G$2,0,IF((AY$6-$G$3)&lt;1,0,IFERROR(LOOKUP(2,1/('Arroz irrigado'!$E34:INDEX('Arroz irrigado'!$E34:$Z34,MIN(AY$6-$G$3,22))&lt;&gt;""),'Arroz irrigado'!$E34:INDEX('Arroz irrigado'!$E34:$Z34,MIN(AY$6-$G$3,22))),0)))))</f>
        <v>0</v>
      </c>
      <c r="AZ36" s="27" t="n">
        <f aca="false">IF(COUNT('Arroz irrigado'!$E34:$Z34)=0,0,MAX(0,IF((AZ$6-$E$3)&lt;1,0,IFERROR(LOOKUP(2,1/('Arroz irrigado'!$E34:INDEX('Arroz irrigado'!$E34:$Z34,MIN(AZ$6-$E$3,22))&lt;&gt;""),'Arroz irrigado'!$E34:INDEX('Arroz irrigado'!$E34:$Z34,MIN(AZ$6-$E$3,22))),0))-IF($G$2,0,IF((AZ$6-$G$3)&lt;1,0,IFERROR(LOOKUP(2,1/('Arroz irrigado'!$E34:INDEX('Arroz irrigado'!$E34:$Z34,MIN(AZ$6-$G$3,22))&lt;&gt;""),'Arroz irrigado'!$E34:INDEX('Arroz irrigado'!$E34:$Z34,MIN(AZ$6-$G$3,22))),0)))))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IF(COUNT('Arroz irrigado'!$E35:$Z35)&gt;0,N('Arroz irrigado'!$D35),0)</f>
        <v>0</v>
      </c>
      <c r="E37" s="27" t="n">
        <f aca="false">IF(COUNT('Arroz irrigado'!$E35:$Z35)=0,0,MAX(0,IF((E$6-$E$3)&lt;1,0,IFERROR(LOOKUP(2,1/('Arroz irrigado'!$E35:INDEX('Arroz irrigado'!$E35:$Z35,MIN(E$6-$E$3,22))&lt;&gt;""),'Arroz irrigado'!$E35:INDEX('Arroz irrigado'!$E35:$Z35,MIN(E$6-$E$3,22))),0))-IF($G$2,0,IF((E$6-$G$3)&lt;1,0,IFERROR(LOOKUP(2,1/('Arroz irrigado'!$E35:INDEX('Arroz irrigado'!$E35:$Z35,MIN(E$6-$G$3,22))&lt;&gt;""),'Arroz irrigado'!$E35:INDEX('Arroz irrigado'!$E35:$Z35,MIN(E$6-$G$3,22))),0)))))</f>
        <v>0</v>
      </c>
      <c r="F37" s="27" t="n">
        <f aca="false">IF(COUNT('Arroz irrigado'!$E35:$Z35)=0,0,MAX(0,IF((F$6-$E$3)&lt;1,0,IFERROR(LOOKUP(2,1/('Arroz irrigado'!$E35:INDEX('Arroz irrigado'!$E35:$Z35,MIN(F$6-$E$3,22))&lt;&gt;""),'Arroz irrigado'!$E35:INDEX('Arroz irrigado'!$E35:$Z35,MIN(F$6-$E$3,22))),0))-IF($G$2,0,IF((F$6-$G$3)&lt;1,0,IFERROR(LOOKUP(2,1/('Arroz irrigado'!$E35:INDEX('Arroz irrigado'!$E35:$Z35,MIN(F$6-$G$3,22))&lt;&gt;""),'Arroz irrigado'!$E35:INDEX('Arroz irrigado'!$E35:$Z35,MIN(F$6-$G$3,22))),0)))))</f>
        <v>0</v>
      </c>
      <c r="G37" s="27" t="n">
        <f aca="false">IF(COUNT('Arroz irrigado'!$E35:$Z35)=0,0,MAX(0,IF((G$6-$E$3)&lt;1,0,IFERROR(LOOKUP(2,1/('Arroz irrigado'!$E35:INDEX('Arroz irrigado'!$E35:$Z35,MIN(G$6-$E$3,22))&lt;&gt;""),'Arroz irrigado'!$E35:INDEX('Arroz irrigado'!$E35:$Z35,MIN(G$6-$E$3,22))),0))-IF($G$2,0,IF((G$6-$G$3)&lt;1,0,IFERROR(LOOKUP(2,1/('Arroz irrigado'!$E35:INDEX('Arroz irrigado'!$E35:$Z35,MIN(G$6-$G$3,22))&lt;&gt;""),'Arroz irrigado'!$E35:INDEX('Arroz irrigado'!$E35:$Z35,MIN(G$6-$G$3,22))),0)))))</f>
        <v>0</v>
      </c>
      <c r="H37" s="27" t="n">
        <f aca="false">IF(COUNT('Arroz irrigado'!$E35:$Z35)=0,0,MAX(0,IF((H$6-$E$3)&lt;1,0,IFERROR(LOOKUP(2,1/('Arroz irrigado'!$E35:INDEX('Arroz irrigado'!$E35:$Z35,MIN(H$6-$E$3,22))&lt;&gt;""),'Arroz irrigado'!$E35:INDEX('Arroz irrigado'!$E35:$Z35,MIN(H$6-$E$3,22))),0))-IF($G$2,0,IF((H$6-$G$3)&lt;1,0,IFERROR(LOOKUP(2,1/('Arroz irrigado'!$E35:INDEX('Arroz irrigado'!$E35:$Z35,MIN(H$6-$G$3,22))&lt;&gt;""),'Arroz irrigado'!$E35:INDEX('Arroz irrigado'!$E35:$Z35,MIN(H$6-$G$3,22))),0)))))</f>
        <v>0</v>
      </c>
      <c r="I37" s="27" t="n">
        <f aca="false">IF(COUNT('Arroz irrigado'!$E35:$Z35)=0,0,MAX(0,IF((I$6-$E$3)&lt;1,0,IFERROR(LOOKUP(2,1/('Arroz irrigado'!$E35:INDEX('Arroz irrigado'!$E35:$Z35,MIN(I$6-$E$3,22))&lt;&gt;""),'Arroz irrigado'!$E35:INDEX('Arroz irrigado'!$E35:$Z35,MIN(I$6-$E$3,22))),0))-IF($G$2,0,IF((I$6-$G$3)&lt;1,0,IFERROR(LOOKUP(2,1/('Arroz irrigado'!$E35:INDEX('Arroz irrigado'!$E35:$Z35,MIN(I$6-$G$3,22))&lt;&gt;""),'Arroz irrigado'!$E35:INDEX('Arroz irrigado'!$E35:$Z35,MIN(I$6-$G$3,22))),0)))))</f>
        <v>0</v>
      </c>
      <c r="J37" s="27" t="n">
        <f aca="false">IF(COUNT('Arroz irrigado'!$E35:$Z35)=0,0,MAX(0,IF((J$6-$E$3)&lt;1,0,IFERROR(LOOKUP(2,1/('Arroz irrigado'!$E35:INDEX('Arroz irrigado'!$E35:$Z35,MIN(J$6-$E$3,22))&lt;&gt;""),'Arroz irrigado'!$E35:INDEX('Arroz irrigado'!$E35:$Z35,MIN(J$6-$E$3,22))),0))-IF($G$2,0,IF((J$6-$G$3)&lt;1,0,IFERROR(LOOKUP(2,1/('Arroz irrigado'!$E35:INDEX('Arroz irrigado'!$E35:$Z35,MIN(J$6-$G$3,22))&lt;&gt;""),'Arroz irrigado'!$E35:INDEX('Arroz irrigado'!$E35:$Z35,MIN(J$6-$G$3,22))),0)))))</f>
        <v>0</v>
      </c>
      <c r="K37" s="27" t="n">
        <f aca="false">IF(COUNT('Arroz irrigado'!$E35:$Z35)=0,0,MAX(0,IF((K$6-$E$3)&lt;1,0,IFERROR(LOOKUP(2,1/('Arroz irrigado'!$E35:INDEX('Arroz irrigado'!$E35:$Z35,MIN(K$6-$E$3,22))&lt;&gt;""),'Arroz irrigado'!$E35:INDEX('Arroz irrigado'!$E35:$Z35,MIN(K$6-$E$3,22))),0))-IF($G$2,0,IF((K$6-$G$3)&lt;1,0,IFERROR(LOOKUP(2,1/('Arroz irrigado'!$E35:INDEX('Arroz irrigado'!$E35:$Z35,MIN(K$6-$G$3,22))&lt;&gt;""),'Arroz irrigado'!$E35:INDEX('Arroz irrigado'!$E35:$Z35,MIN(K$6-$G$3,22))),0)))))</f>
        <v>0</v>
      </c>
      <c r="L37" s="27" t="n">
        <f aca="false">IF(COUNT('Arroz irrigado'!$E35:$Z35)=0,0,MAX(0,IF((L$6-$E$3)&lt;1,0,IFERROR(LOOKUP(2,1/('Arroz irrigado'!$E35:INDEX('Arroz irrigado'!$E35:$Z35,MIN(L$6-$E$3,22))&lt;&gt;""),'Arroz irrigado'!$E35:INDEX('Arroz irrigado'!$E35:$Z35,MIN(L$6-$E$3,22))),0))-IF($G$2,0,IF((L$6-$G$3)&lt;1,0,IFERROR(LOOKUP(2,1/('Arroz irrigado'!$E35:INDEX('Arroz irrigado'!$E35:$Z35,MIN(L$6-$G$3,22))&lt;&gt;""),'Arroz irrigado'!$E35:INDEX('Arroz irrigado'!$E35:$Z35,MIN(L$6-$G$3,22))),0)))))</f>
        <v>0</v>
      </c>
      <c r="M37" s="27" t="n">
        <f aca="false">IF(COUNT('Arroz irrigado'!$E35:$Z35)=0,0,MAX(0,IF((M$6-$E$3)&lt;1,0,IFERROR(LOOKUP(2,1/('Arroz irrigado'!$E35:INDEX('Arroz irrigado'!$E35:$Z35,MIN(M$6-$E$3,22))&lt;&gt;""),'Arroz irrigado'!$E35:INDEX('Arroz irrigado'!$E35:$Z35,MIN(M$6-$E$3,22))),0))-IF($G$2,0,IF((M$6-$G$3)&lt;1,0,IFERROR(LOOKUP(2,1/('Arroz irrigado'!$E35:INDEX('Arroz irrigado'!$E35:$Z35,MIN(M$6-$G$3,22))&lt;&gt;""),'Arroz irrigado'!$E35:INDEX('Arroz irrigado'!$E35:$Z35,MIN(M$6-$G$3,22))),0)))))</f>
        <v>0</v>
      </c>
      <c r="N37" s="27" t="n">
        <f aca="false">IF(COUNT('Arroz irrigado'!$E35:$Z35)=0,0,MAX(0,IF((N$6-$E$3)&lt;1,0,IFERROR(LOOKUP(2,1/('Arroz irrigado'!$E35:INDEX('Arroz irrigado'!$E35:$Z35,MIN(N$6-$E$3,22))&lt;&gt;""),'Arroz irrigado'!$E35:INDEX('Arroz irrigado'!$E35:$Z35,MIN(N$6-$E$3,22))),0))-IF($G$2,0,IF((N$6-$G$3)&lt;1,0,IFERROR(LOOKUP(2,1/('Arroz irrigado'!$E35:INDEX('Arroz irrigado'!$E35:$Z35,MIN(N$6-$G$3,22))&lt;&gt;""),'Arroz irrigado'!$E35:INDEX('Arroz irrigado'!$E35:$Z35,MIN(N$6-$G$3,22))),0)))))</f>
        <v>0</v>
      </c>
      <c r="O37" s="27" t="n">
        <f aca="false">IF(COUNT('Arroz irrigado'!$E35:$Z35)=0,0,MAX(0,IF((O$6-$E$3)&lt;1,0,IFERROR(LOOKUP(2,1/('Arroz irrigado'!$E35:INDEX('Arroz irrigado'!$E35:$Z35,MIN(O$6-$E$3,22))&lt;&gt;""),'Arroz irrigado'!$E35:INDEX('Arroz irrigado'!$E35:$Z35,MIN(O$6-$E$3,22))),0))-IF($G$2,0,IF((O$6-$G$3)&lt;1,0,IFERROR(LOOKUP(2,1/('Arroz irrigado'!$E35:INDEX('Arroz irrigado'!$E35:$Z35,MIN(O$6-$G$3,22))&lt;&gt;""),'Arroz irrigado'!$E35:INDEX('Arroz irrigado'!$E35:$Z35,MIN(O$6-$G$3,22))),0)))))</f>
        <v>0</v>
      </c>
      <c r="P37" s="27" t="n">
        <f aca="false">IF(COUNT('Arroz irrigado'!$E35:$Z35)=0,0,MAX(0,IF((P$6-$E$3)&lt;1,0,IFERROR(LOOKUP(2,1/('Arroz irrigado'!$E35:INDEX('Arroz irrigado'!$E35:$Z35,MIN(P$6-$E$3,22))&lt;&gt;""),'Arroz irrigado'!$E35:INDEX('Arroz irrigado'!$E35:$Z35,MIN(P$6-$E$3,22))),0))-IF($G$2,0,IF((P$6-$G$3)&lt;1,0,IFERROR(LOOKUP(2,1/('Arroz irrigado'!$E35:INDEX('Arroz irrigado'!$E35:$Z35,MIN(P$6-$G$3,22))&lt;&gt;""),'Arroz irrigado'!$E35:INDEX('Arroz irrigado'!$E35:$Z35,MIN(P$6-$G$3,22))),0)))))</f>
        <v>0</v>
      </c>
      <c r="Q37" s="27" t="n">
        <f aca="false">IF(COUNT('Arroz irrigado'!$E35:$Z35)=0,0,MAX(0,IF((Q$6-$E$3)&lt;1,0,IFERROR(LOOKUP(2,1/('Arroz irrigado'!$E35:INDEX('Arroz irrigado'!$E35:$Z35,MIN(Q$6-$E$3,22))&lt;&gt;""),'Arroz irrigado'!$E35:INDEX('Arroz irrigado'!$E35:$Z35,MIN(Q$6-$E$3,22))),0))-IF($G$2,0,IF((Q$6-$G$3)&lt;1,0,IFERROR(LOOKUP(2,1/('Arroz irrigado'!$E35:INDEX('Arroz irrigado'!$E35:$Z35,MIN(Q$6-$G$3,22))&lt;&gt;""),'Arroz irrigado'!$E35:INDEX('Arroz irrigado'!$E35:$Z35,MIN(Q$6-$G$3,22))),0)))))</f>
        <v>0</v>
      </c>
      <c r="R37" s="27" t="n">
        <f aca="false">IF(COUNT('Arroz irrigado'!$E35:$Z35)=0,0,MAX(0,IF((R$6-$E$3)&lt;1,0,IFERROR(LOOKUP(2,1/('Arroz irrigado'!$E35:INDEX('Arroz irrigado'!$E35:$Z35,MIN(R$6-$E$3,22))&lt;&gt;""),'Arroz irrigado'!$E35:INDEX('Arroz irrigado'!$E35:$Z35,MIN(R$6-$E$3,22))),0))-IF($G$2,0,IF((R$6-$G$3)&lt;1,0,IFERROR(LOOKUP(2,1/('Arroz irrigado'!$E35:INDEX('Arroz irrigado'!$E35:$Z35,MIN(R$6-$G$3,22))&lt;&gt;""),'Arroz irrigado'!$E35:INDEX('Arroz irrigado'!$E35:$Z35,MIN(R$6-$G$3,22))),0)))))</f>
        <v>0</v>
      </c>
      <c r="S37" s="27" t="n">
        <f aca="false">IF(COUNT('Arroz irrigado'!$E35:$Z35)=0,0,MAX(0,IF((S$6-$E$3)&lt;1,0,IFERROR(LOOKUP(2,1/('Arroz irrigado'!$E35:INDEX('Arroz irrigado'!$E35:$Z35,MIN(S$6-$E$3,22))&lt;&gt;""),'Arroz irrigado'!$E35:INDEX('Arroz irrigado'!$E35:$Z35,MIN(S$6-$E$3,22))),0))-IF($G$2,0,IF((S$6-$G$3)&lt;1,0,IFERROR(LOOKUP(2,1/('Arroz irrigado'!$E35:INDEX('Arroz irrigado'!$E35:$Z35,MIN(S$6-$G$3,22))&lt;&gt;""),'Arroz irrigado'!$E35:INDEX('Arroz irrigado'!$E35:$Z35,MIN(S$6-$G$3,22))),0)))))</f>
        <v>0</v>
      </c>
      <c r="T37" s="27" t="n">
        <f aca="false">IF(COUNT('Arroz irrigado'!$E35:$Z35)=0,0,MAX(0,IF((T$6-$E$3)&lt;1,0,IFERROR(LOOKUP(2,1/('Arroz irrigado'!$E35:INDEX('Arroz irrigado'!$E35:$Z35,MIN(T$6-$E$3,22))&lt;&gt;""),'Arroz irrigado'!$E35:INDEX('Arroz irrigado'!$E35:$Z35,MIN(T$6-$E$3,22))),0))-IF($G$2,0,IF((T$6-$G$3)&lt;1,0,IFERROR(LOOKUP(2,1/('Arroz irrigado'!$E35:INDEX('Arroz irrigado'!$E35:$Z35,MIN(T$6-$G$3,22))&lt;&gt;""),'Arroz irrigado'!$E35:INDEX('Arroz irrigado'!$E35:$Z35,MIN(T$6-$G$3,22))),0)))))</f>
        <v>0</v>
      </c>
      <c r="U37" s="27" t="n">
        <f aca="false">IF(COUNT('Arroz irrigado'!$E35:$Z35)=0,0,MAX(0,IF((U$6-$E$3)&lt;1,0,IFERROR(LOOKUP(2,1/('Arroz irrigado'!$E35:INDEX('Arroz irrigado'!$E35:$Z35,MIN(U$6-$E$3,22))&lt;&gt;""),'Arroz irrigado'!$E35:INDEX('Arroz irrigado'!$E35:$Z35,MIN(U$6-$E$3,22))),0))-IF($G$2,0,IF((U$6-$G$3)&lt;1,0,IFERROR(LOOKUP(2,1/('Arroz irrigado'!$E35:INDEX('Arroz irrigado'!$E35:$Z35,MIN(U$6-$G$3,22))&lt;&gt;""),'Arroz irrigado'!$E35:INDEX('Arroz irrigado'!$E35:$Z35,MIN(U$6-$G$3,22))),0)))))</f>
        <v>0</v>
      </c>
      <c r="V37" s="27" t="n">
        <f aca="false">IF(COUNT('Arroz irrigado'!$E35:$Z35)=0,0,MAX(0,IF((V$6-$E$3)&lt;1,0,IFERROR(LOOKUP(2,1/('Arroz irrigado'!$E35:INDEX('Arroz irrigado'!$E35:$Z35,MIN(V$6-$E$3,22))&lt;&gt;""),'Arroz irrigado'!$E35:INDEX('Arroz irrigado'!$E35:$Z35,MIN(V$6-$E$3,22))),0))-IF($G$2,0,IF((V$6-$G$3)&lt;1,0,IFERROR(LOOKUP(2,1/('Arroz irrigado'!$E35:INDEX('Arroz irrigado'!$E35:$Z35,MIN(V$6-$G$3,22))&lt;&gt;""),'Arroz irrigado'!$E35:INDEX('Arroz irrigado'!$E35:$Z35,MIN(V$6-$G$3,22))),0)))))</f>
        <v>0</v>
      </c>
      <c r="W37" s="27" t="n">
        <f aca="false">IF(COUNT('Arroz irrigado'!$E35:$Z35)=0,0,MAX(0,IF((W$6-$E$3)&lt;1,0,IFERROR(LOOKUP(2,1/('Arroz irrigado'!$E35:INDEX('Arroz irrigado'!$E35:$Z35,MIN(W$6-$E$3,22))&lt;&gt;""),'Arroz irrigado'!$E35:INDEX('Arroz irrigado'!$E35:$Z35,MIN(W$6-$E$3,22))),0))-IF($G$2,0,IF((W$6-$G$3)&lt;1,0,IFERROR(LOOKUP(2,1/('Arroz irrigado'!$E35:INDEX('Arroz irrigado'!$E35:$Z35,MIN(W$6-$G$3,22))&lt;&gt;""),'Arroz irrigado'!$E35:INDEX('Arroz irrigado'!$E35:$Z35,MIN(W$6-$G$3,22))),0)))))</f>
        <v>0</v>
      </c>
      <c r="X37" s="27" t="n">
        <f aca="false">IF(COUNT('Arroz irrigado'!$E35:$Z35)=0,0,MAX(0,IF((X$6-$E$3)&lt;1,0,IFERROR(LOOKUP(2,1/('Arroz irrigado'!$E35:INDEX('Arroz irrigado'!$E35:$Z35,MIN(X$6-$E$3,22))&lt;&gt;""),'Arroz irrigado'!$E35:INDEX('Arroz irrigado'!$E35:$Z35,MIN(X$6-$E$3,22))),0))-IF($G$2,0,IF((X$6-$G$3)&lt;1,0,IFERROR(LOOKUP(2,1/('Arroz irrigado'!$E35:INDEX('Arroz irrigado'!$E35:$Z35,MIN(X$6-$G$3,22))&lt;&gt;""),'Arroz irrigado'!$E35:INDEX('Arroz irrigado'!$E35:$Z35,MIN(X$6-$G$3,22))),0)))))</f>
        <v>0</v>
      </c>
      <c r="Y37" s="27" t="n">
        <f aca="false">IF(COUNT('Arroz irrigado'!$E35:$Z35)=0,0,MAX(0,IF((Y$6-$E$3)&lt;1,0,IFERROR(LOOKUP(2,1/('Arroz irrigado'!$E35:INDEX('Arroz irrigado'!$E35:$Z35,MIN(Y$6-$E$3,22))&lt;&gt;""),'Arroz irrigado'!$E35:INDEX('Arroz irrigado'!$E35:$Z35,MIN(Y$6-$E$3,22))),0))-IF($G$2,0,IF((Y$6-$G$3)&lt;1,0,IFERROR(LOOKUP(2,1/('Arroz irrigado'!$E35:INDEX('Arroz irrigado'!$E35:$Z35,MIN(Y$6-$G$3,22))&lt;&gt;""),'Arroz irrigado'!$E35:INDEX('Arroz irrigado'!$E35:$Z35,MIN(Y$6-$G$3,22))),0)))))</f>
        <v>0</v>
      </c>
      <c r="Z37" s="27" t="n">
        <f aca="false">IF(COUNT('Arroz irrigado'!$E35:$Z35)=0,0,MAX(0,IF((Z$6-$E$3)&lt;1,0,IFERROR(LOOKUP(2,1/('Arroz irrigado'!$E35:INDEX('Arroz irrigado'!$E35:$Z35,MIN(Z$6-$E$3,22))&lt;&gt;""),'Arroz irrigado'!$E35:INDEX('Arroz irrigado'!$E35:$Z35,MIN(Z$6-$E$3,22))),0))-IF($G$2,0,IF((Z$6-$G$3)&lt;1,0,IFERROR(LOOKUP(2,1/('Arroz irrigado'!$E35:INDEX('Arroz irrigado'!$E35:$Z35,MIN(Z$6-$G$3,22))&lt;&gt;""),'Arroz irrigado'!$E35:INDEX('Arroz irrigado'!$E35:$Z35,MIN(Z$6-$G$3,22))),0)))))</f>
        <v>0</v>
      </c>
      <c r="AA37" s="27" t="n">
        <f aca="false">IF(COUNT('Arroz irrigado'!$E35:$Z35)=0,0,MAX(0,IF((AA$6-$E$3)&lt;1,0,IFERROR(LOOKUP(2,1/('Arroz irrigado'!$E35:INDEX('Arroz irrigado'!$E35:$Z35,MIN(AA$6-$E$3,22))&lt;&gt;""),'Arroz irrigado'!$E35:INDEX('Arroz irrigado'!$E35:$Z35,MIN(AA$6-$E$3,22))),0))-IF($G$2,0,IF((AA$6-$G$3)&lt;1,0,IFERROR(LOOKUP(2,1/('Arroz irrigado'!$E35:INDEX('Arroz irrigado'!$E35:$Z35,MIN(AA$6-$G$3,22))&lt;&gt;""),'Arroz irrigado'!$E35:INDEX('Arroz irrigado'!$E35:$Z35,MIN(AA$6-$G$3,22))),0)))))</f>
        <v>0</v>
      </c>
      <c r="AB37" s="27" t="n">
        <f aca="false">IF(COUNT('Arroz irrigado'!$E35:$Z35)=0,0,MAX(0,IF((AB$6-$E$3)&lt;1,0,IFERROR(LOOKUP(2,1/('Arroz irrigado'!$E35:INDEX('Arroz irrigado'!$E35:$Z35,MIN(AB$6-$E$3,22))&lt;&gt;""),'Arroz irrigado'!$E35:INDEX('Arroz irrigado'!$E35:$Z35,MIN(AB$6-$E$3,22))),0))-IF($G$2,0,IF((AB$6-$G$3)&lt;1,0,IFERROR(LOOKUP(2,1/('Arroz irrigado'!$E35:INDEX('Arroz irrigado'!$E35:$Z35,MIN(AB$6-$G$3,22))&lt;&gt;""),'Arroz irrigado'!$E35:INDEX('Arroz irrigado'!$E35:$Z35,MIN(AB$6-$G$3,22))),0)))))</f>
        <v>0</v>
      </c>
      <c r="AC37" s="27" t="n">
        <f aca="false">IF(COUNT('Arroz irrigado'!$E35:$Z35)=0,0,MAX(0,IF((AC$6-$E$3)&lt;1,0,IFERROR(LOOKUP(2,1/('Arroz irrigado'!$E35:INDEX('Arroz irrigado'!$E35:$Z35,MIN(AC$6-$E$3,22))&lt;&gt;""),'Arroz irrigado'!$E35:INDEX('Arroz irrigado'!$E35:$Z35,MIN(AC$6-$E$3,22))),0))-IF($G$2,0,IF((AC$6-$G$3)&lt;1,0,IFERROR(LOOKUP(2,1/('Arroz irrigado'!$E35:INDEX('Arroz irrigado'!$E35:$Z35,MIN(AC$6-$G$3,22))&lt;&gt;""),'Arroz irrigado'!$E35:INDEX('Arroz irrigado'!$E35:$Z35,MIN(AC$6-$G$3,22))),0)))))</f>
        <v>0</v>
      </c>
      <c r="AD37" s="27" t="n">
        <f aca="false">IF(COUNT('Arroz irrigado'!$E35:$Z35)=0,0,MAX(0,IF((AD$6-$E$3)&lt;1,0,IFERROR(LOOKUP(2,1/('Arroz irrigado'!$E35:INDEX('Arroz irrigado'!$E35:$Z35,MIN(AD$6-$E$3,22))&lt;&gt;""),'Arroz irrigado'!$E35:INDEX('Arroz irrigado'!$E35:$Z35,MIN(AD$6-$E$3,22))),0))-IF($G$2,0,IF((AD$6-$G$3)&lt;1,0,IFERROR(LOOKUP(2,1/('Arroz irrigado'!$E35:INDEX('Arroz irrigado'!$E35:$Z35,MIN(AD$6-$G$3,22))&lt;&gt;""),'Arroz irrigado'!$E35:INDEX('Arroz irrigado'!$E35:$Z35,MIN(AD$6-$G$3,22))),0)))))</f>
        <v>0</v>
      </c>
      <c r="AE37" s="27" t="n">
        <f aca="false">IF(COUNT('Arroz irrigado'!$E35:$Z35)=0,0,MAX(0,IF((AE$6-$E$3)&lt;1,0,IFERROR(LOOKUP(2,1/('Arroz irrigado'!$E35:INDEX('Arroz irrigado'!$E35:$Z35,MIN(AE$6-$E$3,22))&lt;&gt;""),'Arroz irrigado'!$E35:INDEX('Arroz irrigado'!$E35:$Z35,MIN(AE$6-$E$3,22))),0))-IF($G$2,0,IF((AE$6-$G$3)&lt;1,0,IFERROR(LOOKUP(2,1/('Arroz irrigado'!$E35:INDEX('Arroz irrigado'!$E35:$Z35,MIN(AE$6-$G$3,22))&lt;&gt;""),'Arroz irrigado'!$E35:INDEX('Arroz irrigado'!$E35:$Z35,MIN(AE$6-$G$3,22))),0)))))</f>
        <v>0</v>
      </c>
      <c r="AF37" s="27" t="n">
        <f aca="false">IF(COUNT('Arroz irrigado'!$E35:$Z35)=0,0,MAX(0,IF((AF$6-$E$3)&lt;1,0,IFERROR(LOOKUP(2,1/('Arroz irrigado'!$E35:INDEX('Arroz irrigado'!$E35:$Z35,MIN(AF$6-$E$3,22))&lt;&gt;""),'Arroz irrigado'!$E35:INDEX('Arroz irrigado'!$E35:$Z35,MIN(AF$6-$E$3,22))),0))-IF($G$2,0,IF((AF$6-$G$3)&lt;1,0,IFERROR(LOOKUP(2,1/('Arroz irrigado'!$E35:INDEX('Arroz irrigado'!$E35:$Z35,MIN(AF$6-$G$3,22))&lt;&gt;""),'Arroz irrigado'!$E35:INDEX('Arroz irrigado'!$E35:$Z35,MIN(AF$6-$G$3,22))),0)))))</f>
        <v>0</v>
      </c>
      <c r="AG37" s="27" t="n">
        <f aca="false">IF(COUNT('Arroz irrigado'!$E35:$Z35)=0,0,MAX(0,IF((AG$6-$E$3)&lt;1,0,IFERROR(LOOKUP(2,1/('Arroz irrigado'!$E35:INDEX('Arroz irrigado'!$E35:$Z35,MIN(AG$6-$E$3,22))&lt;&gt;""),'Arroz irrigado'!$E35:INDEX('Arroz irrigado'!$E35:$Z35,MIN(AG$6-$E$3,22))),0))-IF($G$2,0,IF((AG$6-$G$3)&lt;1,0,IFERROR(LOOKUP(2,1/('Arroz irrigado'!$E35:INDEX('Arroz irrigado'!$E35:$Z35,MIN(AG$6-$G$3,22))&lt;&gt;""),'Arroz irrigado'!$E35:INDEX('Arroz irrigado'!$E35:$Z35,MIN(AG$6-$G$3,22))),0)))))</f>
        <v>0</v>
      </c>
      <c r="AH37" s="27" t="n">
        <f aca="false">IF(COUNT('Arroz irrigado'!$E35:$Z35)=0,0,MAX(0,IF((AH$6-$E$3)&lt;1,0,IFERROR(LOOKUP(2,1/('Arroz irrigado'!$E35:INDEX('Arroz irrigado'!$E35:$Z35,MIN(AH$6-$E$3,22))&lt;&gt;""),'Arroz irrigado'!$E35:INDEX('Arroz irrigado'!$E35:$Z35,MIN(AH$6-$E$3,22))),0))-IF($G$2,0,IF((AH$6-$G$3)&lt;1,0,IFERROR(LOOKUP(2,1/('Arroz irrigado'!$E35:INDEX('Arroz irrigado'!$E35:$Z35,MIN(AH$6-$G$3,22))&lt;&gt;""),'Arroz irrigado'!$E35:INDEX('Arroz irrigado'!$E35:$Z35,MIN(AH$6-$G$3,22))),0)))))</f>
        <v>0</v>
      </c>
      <c r="AI37" s="27" t="n">
        <f aca="false">IF(COUNT('Arroz irrigado'!$E35:$Z35)=0,0,MAX(0,IF((AI$6-$E$3)&lt;1,0,IFERROR(LOOKUP(2,1/('Arroz irrigado'!$E35:INDEX('Arroz irrigado'!$E35:$Z35,MIN(AI$6-$E$3,22))&lt;&gt;""),'Arroz irrigado'!$E35:INDEX('Arroz irrigado'!$E35:$Z35,MIN(AI$6-$E$3,22))),0))-IF($G$2,0,IF((AI$6-$G$3)&lt;1,0,IFERROR(LOOKUP(2,1/('Arroz irrigado'!$E35:INDEX('Arroz irrigado'!$E35:$Z35,MIN(AI$6-$G$3,22))&lt;&gt;""),'Arroz irrigado'!$E35:INDEX('Arroz irrigado'!$E35:$Z35,MIN(AI$6-$G$3,22))),0)))))</f>
        <v>0</v>
      </c>
      <c r="AJ37" s="27" t="n">
        <f aca="false">IF(COUNT('Arroz irrigado'!$E35:$Z35)=0,0,MAX(0,IF((AJ$6-$E$3)&lt;1,0,IFERROR(LOOKUP(2,1/('Arroz irrigado'!$E35:INDEX('Arroz irrigado'!$E35:$Z35,MIN(AJ$6-$E$3,22))&lt;&gt;""),'Arroz irrigado'!$E35:INDEX('Arroz irrigado'!$E35:$Z35,MIN(AJ$6-$E$3,22))),0))-IF($G$2,0,IF((AJ$6-$G$3)&lt;1,0,IFERROR(LOOKUP(2,1/('Arroz irrigado'!$E35:INDEX('Arroz irrigado'!$E35:$Z35,MIN(AJ$6-$G$3,22))&lt;&gt;""),'Arroz irrigado'!$E35:INDEX('Arroz irrigado'!$E35:$Z35,MIN(AJ$6-$G$3,22))),0)))))</f>
        <v>0</v>
      </c>
      <c r="AK37" s="27" t="n">
        <f aca="false">IF(COUNT('Arroz irrigado'!$E35:$Z35)=0,0,MAX(0,IF((AK$6-$E$3)&lt;1,0,IFERROR(LOOKUP(2,1/('Arroz irrigado'!$E35:INDEX('Arroz irrigado'!$E35:$Z35,MIN(AK$6-$E$3,22))&lt;&gt;""),'Arroz irrigado'!$E35:INDEX('Arroz irrigado'!$E35:$Z35,MIN(AK$6-$E$3,22))),0))-IF($G$2,0,IF((AK$6-$G$3)&lt;1,0,IFERROR(LOOKUP(2,1/('Arroz irrigado'!$E35:INDEX('Arroz irrigado'!$E35:$Z35,MIN(AK$6-$G$3,22))&lt;&gt;""),'Arroz irrigado'!$E35:INDEX('Arroz irrigado'!$E35:$Z35,MIN(AK$6-$G$3,22))),0)))))</f>
        <v>0</v>
      </c>
      <c r="AL37" s="27" t="n">
        <f aca="false">IF(COUNT('Arroz irrigado'!$E35:$Z35)=0,0,MAX(0,IF((AL$6-$E$3)&lt;1,0,IFERROR(LOOKUP(2,1/('Arroz irrigado'!$E35:INDEX('Arroz irrigado'!$E35:$Z35,MIN(AL$6-$E$3,22))&lt;&gt;""),'Arroz irrigado'!$E35:INDEX('Arroz irrigado'!$E35:$Z35,MIN(AL$6-$E$3,22))),0))-IF($G$2,0,IF((AL$6-$G$3)&lt;1,0,IFERROR(LOOKUP(2,1/('Arroz irrigado'!$E35:INDEX('Arroz irrigado'!$E35:$Z35,MIN(AL$6-$G$3,22))&lt;&gt;""),'Arroz irrigado'!$E35:INDEX('Arroz irrigado'!$E35:$Z35,MIN(AL$6-$G$3,22))),0)))))</f>
        <v>0</v>
      </c>
      <c r="AM37" s="27" t="n">
        <f aca="false">IF(COUNT('Arroz irrigado'!$E35:$Z35)=0,0,MAX(0,IF((AM$6-$E$3)&lt;1,0,IFERROR(LOOKUP(2,1/('Arroz irrigado'!$E35:INDEX('Arroz irrigado'!$E35:$Z35,MIN(AM$6-$E$3,22))&lt;&gt;""),'Arroz irrigado'!$E35:INDEX('Arroz irrigado'!$E35:$Z35,MIN(AM$6-$E$3,22))),0))-IF($G$2,0,IF((AM$6-$G$3)&lt;1,0,IFERROR(LOOKUP(2,1/('Arroz irrigado'!$E35:INDEX('Arroz irrigado'!$E35:$Z35,MIN(AM$6-$G$3,22))&lt;&gt;""),'Arroz irrigado'!$E35:INDEX('Arroz irrigado'!$E35:$Z35,MIN(AM$6-$G$3,22))),0)))))</f>
        <v>0</v>
      </c>
      <c r="AN37" s="27" t="n">
        <f aca="false">IF(COUNT('Arroz irrigado'!$E35:$Z35)=0,0,MAX(0,IF((AN$6-$E$3)&lt;1,0,IFERROR(LOOKUP(2,1/('Arroz irrigado'!$E35:INDEX('Arroz irrigado'!$E35:$Z35,MIN(AN$6-$E$3,22))&lt;&gt;""),'Arroz irrigado'!$E35:INDEX('Arroz irrigado'!$E35:$Z35,MIN(AN$6-$E$3,22))),0))-IF($G$2,0,IF((AN$6-$G$3)&lt;1,0,IFERROR(LOOKUP(2,1/('Arroz irrigado'!$E35:INDEX('Arroz irrigado'!$E35:$Z35,MIN(AN$6-$G$3,22))&lt;&gt;""),'Arroz irrigado'!$E35:INDEX('Arroz irrigado'!$E35:$Z35,MIN(AN$6-$G$3,22))),0)))))</f>
        <v>0</v>
      </c>
      <c r="AO37" s="27" t="n">
        <f aca="false">IF(COUNT('Arroz irrigado'!$E35:$Z35)=0,0,MAX(0,IF((AO$6-$E$3)&lt;1,0,IFERROR(LOOKUP(2,1/('Arroz irrigado'!$E35:INDEX('Arroz irrigado'!$E35:$Z35,MIN(AO$6-$E$3,22))&lt;&gt;""),'Arroz irrigado'!$E35:INDEX('Arroz irrigado'!$E35:$Z35,MIN(AO$6-$E$3,22))),0))-IF($G$2,0,IF((AO$6-$G$3)&lt;1,0,IFERROR(LOOKUP(2,1/('Arroz irrigado'!$E35:INDEX('Arroz irrigado'!$E35:$Z35,MIN(AO$6-$G$3,22))&lt;&gt;""),'Arroz irrigado'!$E35:INDEX('Arroz irrigado'!$E35:$Z35,MIN(AO$6-$G$3,22))),0)))))</f>
        <v>0</v>
      </c>
      <c r="AP37" s="27" t="n">
        <f aca="false">IF(COUNT('Arroz irrigado'!$E35:$Z35)=0,0,MAX(0,IF((AP$6-$E$3)&lt;1,0,IFERROR(LOOKUP(2,1/('Arroz irrigado'!$E35:INDEX('Arroz irrigado'!$E35:$Z35,MIN(AP$6-$E$3,22))&lt;&gt;""),'Arroz irrigado'!$E35:INDEX('Arroz irrigado'!$E35:$Z35,MIN(AP$6-$E$3,22))),0))-IF($G$2,0,IF((AP$6-$G$3)&lt;1,0,IFERROR(LOOKUP(2,1/('Arroz irrigado'!$E35:INDEX('Arroz irrigado'!$E35:$Z35,MIN(AP$6-$G$3,22))&lt;&gt;""),'Arroz irrigado'!$E35:INDEX('Arroz irrigado'!$E35:$Z35,MIN(AP$6-$G$3,22))),0)))))</f>
        <v>0</v>
      </c>
      <c r="AQ37" s="27" t="n">
        <f aca="false">IF(COUNT('Arroz irrigado'!$E35:$Z35)=0,0,MAX(0,IF((AQ$6-$E$3)&lt;1,0,IFERROR(LOOKUP(2,1/('Arroz irrigado'!$E35:INDEX('Arroz irrigado'!$E35:$Z35,MIN(AQ$6-$E$3,22))&lt;&gt;""),'Arroz irrigado'!$E35:INDEX('Arroz irrigado'!$E35:$Z35,MIN(AQ$6-$E$3,22))),0))-IF($G$2,0,IF((AQ$6-$G$3)&lt;1,0,IFERROR(LOOKUP(2,1/('Arroz irrigado'!$E35:INDEX('Arroz irrigado'!$E35:$Z35,MIN(AQ$6-$G$3,22))&lt;&gt;""),'Arroz irrigado'!$E35:INDEX('Arroz irrigado'!$E35:$Z35,MIN(AQ$6-$G$3,22))),0)))))</f>
        <v>0</v>
      </c>
      <c r="AR37" s="27" t="n">
        <f aca="false">IF(COUNT('Arroz irrigado'!$E35:$Z35)=0,0,MAX(0,IF((AR$6-$E$3)&lt;1,0,IFERROR(LOOKUP(2,1/('Arroz irrigado'!$E35:INDEX('Arroz irrigado'!$E35:$Z35,MIN(AR$6-$E$3,22))&lt;&gt;""),'Arroz irrigado'!$E35:INDEX('Arroz irrigado'!$E35:$Z35,MIN(AR$6-$E$3,22))),0))-IF($G$2,0,IF((AR$6-$G$3)&lt;1,0,IFERROR(LOOKUP(2,1/('Arroz irrigado'!$E35:INDEX('Arroz irrigado'!$E35:$Z35,MIN(AR$6-$G$3,22))&lt;&gt;""),'Arroz irrigado'!$E35:INDEX('Arroz irrigado'!$E35:$Z35,MIN(AR$6-$G$3,22))),0)))))</f>
        <v>0</v>
      </c>
      <c r="AS37" s="27" t="n">
        <f aca="false">IF(COUNT('Arroz irrigado'!$E35:$Z35)=0,0,MAX(0,IF((AS$6-$E$3)&lt;1,0,IFERROR(LOOKUP(2,1/('Arroz irrigado'!$E35:INDEX('Arroz irrigado'!$E35:$Z35,MIN(AS$6-$E$3,22))&lt;&gt;""),'Arroz irrigado'!$E35:INDEX('Arroz irrigado'!$E35:$Z35,MIN(AS$6-$E$3,22))),0))-IF($G$2,0,IF((AS$6-$G$3)&lt;1,0,IFERROR(LOOKUP(2,1/('Arroz irrigado'!$E35:INDEX('Arroz irrigado'!$E35:$Z35,MIN(AS$6-$G$3,22))&lt;&gt;""),'Arroz irrigado'!$E35:INDEX('Arroz irrigado'!$E35:$Z35,MIN(AS$6-$G$3,22))),0)))))</f>
        <v>0</v>
      </c>
      <c r="AT37" s="27" t="n">
        <f aca="false">IF(COUNT('Arroz irrigado'!$E35:$Z35)=0,0,MAX(0,IF((AT$6-$E$3)&lt;1,0,IFERROR(LOOKUP(2,1/('Arroz irrigado'!$E35:INDEX('Arroz irrigado'!$E35:$Z35,MIN(AT$6-$E$3,22))&lt;&gt;""),'Arroz irrigado'!$E35:INDEX('Arroz irrigado'!$E35:$Z35,MIN(AT$6-$E$3,22))),0))-IF($G$2,0,IF((AT$6-$G$3)&lt;1,0,IFERROR(LOOKUP(2,1/('Arroz irrigado'!$E35:INDEX('Arroz irrigado'!$E35:$Z35,MIN(AT$6-$G$3,22))&lt;&gt;""),'Arroz irrigado'!$E35:INDEX('Arroz irrigado'!$E35:$Z35,MIN(AT$6-$G$3,22))),0)))))</f>
        <v>0</v>
      </c>
      <c r="AU37" s="27" t="n">
        <f aca="false">IF(COUNT('Arroz irrigado'!$E35:$Z35)=0,0,MAX(0,IF((AU$6-$E$3)&lt;1,0,IFERROR(LOOKUP(2,1/('Arroz irrigado'!$E35:INDEX('Arroz irrigado'!$E35:$Z35,MIN(AU$6-$E$3,22))&lt;&gt;""),'Arroz irrigado'!$E35:INDEX('Arroz irrigado'!$E35:$Z35,MIN(AU$6-$E$3,22))),0))-IF($G$2,0,IF((AU$6-$G$3)&lt;1,0,IFERROR(LOOKUP(2,1/('Arroz irrigado'!$E35:INDEX('Arroz irrigado'!$E35:$Z35,MIN(AU$6-$G$3,22))&lt;&gt;""),'Arroz irrigado'!$E35:INDEX('Arroz irrigado'!$E35:$Z35,MIN(AU$6-$G$3,22))),0)))))</f>
        <v>0</v>
      </c>
      <c r="AV37" s="27" t="n">
        <f aca="false">IF(COUNT('Arroz irrigado'!$E35:$Z35)=0,0,MAX(0,IF((AV$6-$E$3)&lt;1,0,IFERROR(LOOKUP(2,1/('Arroz irrigado'!$E35:INDEX('Arroz irrigado'!$E35:$Z35,MIN(AV$6-$E$3,22))&lt;&gt;""),'Arroz irrigado'!$E35:INDEX('Arroz irrigado'!$E35:$Z35,MIN(AV$6-$E$3,22))),0))-IF($G$2,0,IF((AV$6-$G$3)&lt;1,0,IFERROR(LOOKUP(2,1/('Arroz irrigado'!$E35:INDEX('Arroz irrigado'!$E35:$Z35,MIN(AV$6-$G$3,22))&lt;&gt;""),'Arroz irrigado'!$E35:INDEX('Arroz irrigado'!$E35:$Z35,MIN(AV$6-$G$3,22))),0)))))</f>
        <v>0</v>
      </c>
      <c r="AW37" s="27" t="n">
        <f aca="false">IF(COUNT('Arroz irrigado'!$E35:$Z35)=0,0,MAX(0,IF((AW$6-$E$3)&lt;1,0,IFERROR(LOOKUP(2,1/('Arroz irrigado'!$E35:INDEX('Arroz irrigado'!$E35:$Z35,MIN(AW$6-$E$3,22))&lt;&gt;""),'Arroz irrigado'!$E35:INDEX('Arroz irrigado'!$E35:$Z35,MIN(AW$6-$E$3,22))),0))-IF($G$2,0,IF((AW$6-$G$3)&lt;1,0,IFERROR(LOOKUP(2,1/('Arroz irrigado'!$E35:INDEX('Arroz irrigado'!$E35:$Z35,MIN(AW$6-$G$3,22))&lt;&gt;""),'Arroz irrigado'!$E35:INDEX('Arroz irrigado'!$E35:$Z35,MIN(AW$6-$G$3,22))),0)))))</f>
        <v>0</v>
      </c>
      <c r="AX37" s="27" t="n">
        <f aca="false">IF(COUNT('Arroz irrigado'!$E35:$Z35)=0,0,MAX(0,IF((AX$6-$E$3)&lt;1,0,IFERROR(LOOKUP(2,1/('Arroz irrigado'!$E35:INDEX('Arroz irrigado'!$E35:$Z35,MIN(AX$6-$E$3,22))&lt;&gt;""),'Arroz irrigado'!$E35:INDEX('Arroz irrigado'!$E35:$Z35,MIN(AX$6-$E$3,22))),0))-IF($G$2,0,IF((AX$6-$G$3)&lt;1,0,IFERROR(LOOKUP(2,1/('Arroz irrigado'!$E35:INDEX('Arroz irrigado'!$E35:$Z35,MIN(AX$6-$G$3,22))&lt;&gt;""),'Arroz irrigado'!$E35:INDEX('Arroz irrigado'!$E35:$Z35,MIN(AX$6-$G$3,22))),0)))))</f>
        <v>0</v>
      </c>
      <c r="AY37" s="27" t="n">
        <f aca="false">IF(COUNT('Arroz irrigado'!$E35:$Z35)=0,0,MAX(0,IF((AY$6-$E$3)&lt;1,0,IFERROR(LOOKUP(2,1/('Arroz irrigado'!$E35:INDEX('Arroz irrigado'!$E35:$Z35,MIN(AY$6-$E$3,22))&lt;&gt;""),'Arroz irrigado'!$E35:INDEX('Arroz irrigado'!$E35:$Z35,MIN(AY$6-$E$3,22))),0))-IF($G$2,0,IF((AY$6-$G$3)&lt;1,0,IFERROR(LOOKUP(2,1/('Arroz irrigado'!$E35:INDEX('Arroz irrigado'!$E35:$Z35,MIN(AY$6-$G$3,22))&lt;&gt;""),'Arroz irrigado'!$E35:INDEX('Arroz irrigado'!$E35:$Z35,MIN(AY$6-$G$3,22))),0)))))</f>
        <v>0</v>
      </c>
      <c r="AZ37" s="27" t="n">
        <f aca="false">IF(COUNT('Arroz irrigado'!$E35:$Z35)=0,0,MAX(0,IF((AZ$6-$E$3)&lt;1,0,IFERROR(LOOKUP(2,1/('Arroz irrigado'!$E35:INDEX('Arroz irrigado'!$E35:$Z35,MIN(AZ$6-$E$3,22))&lt;&gt;""),'Arroz irrigado'!$E35:INDEX('Arroz irrigado'!$E35:$Z35,MIN(AZ$6-$E$3,22))),0))-IF($G$2,0,IF((AZ$6-$G$3)&lt;1,0,IFERROR(LOOKUP(2,1/('Arroz irrigado'!$E35:INDEX('Arroz irrigado'!$E35:$Z35,MIN(AZ$6-$G$3,22))&lt;&gt;""),'Arroz irrigado'!$E35:INDEX('Arroz irrigado'!$E35:$Z35,MIN(AZ$6-$G$3,22))),0)))))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IF(COUNT('Arroz irrigado'!$E36:$Z36)&gt;0,N('Arroz irrigado'!$D36),0)</f>
        <v>0</v>
      </c>
      <c r="E38" s="27" t="n">
        <f aca="false">IF(COUNT('Arroz irrigado'!$E36:$Z36)=0,0,MAX(0,IF((E$6-$E$3)&lt;1,0,IFERROR(LOOKUP(2,1/('Arroz irrigado'!$E36:INDEX('Arroz irrigado'!$E36:$Z36,MIN(E$6-$E$3,22))&lt;&gt;""),'Arroz irrigado'!$E36:INDEX('Arroz irrigado'!$E36:$Z36,MIN(E$6-$E$3,22))),0))-IF($G$2,0,IF((E$6-$G$3)&lt;1,0,IFERROR(LOOKUP(2,1/('Arroz irrigado'!$E36:INDEX('Arroz irrigado'!$E36:$Z36,MIN(E$6-$G$3,22))&lt;&gt;""),'Arroz irrigado'!$E36:INDEX('Arroz irrigado'!$E36:$Z36,MIN(E$6-$G$3,22))),0)))))</f>
        <v>0</v>
      </c>
      <c r="F38" s="27" t="n">
        <f aca="false">IF(COUNT('Arroz irrigado'!$E36:$Z36)=0,0,MAX(0,IF((F$6-$E$3)&lt;1,0,IFERROR(LOOKUP(2,1/('Arroz irrigado'!$E36:INDEX('Arroz irrigado'!$E36:$Z36,MIN(F$6-$E$3,22))&lt;&gt;""),'Arroz irrigado'!$E36:INDEX('Arroz irrigado'!$E36:$Z36,MIN(F$6-$E$3,22))),0))-IF($G$2,0,IF((F$6-$G$3)&lt;1,0,IFERROR(LOOKUP(2,1/('Arroz irrigado'!$E36:INDEX('Arroz irrigado'!$E36:$Z36,MIN(F$6-$G$3,22))&lt;&gt;""),'Arroz irrigado'!$E36:INDEX('Arroz irrigado'!$E36:$Z36,MIN(F$6-$G$3,22))),0)))))</f>
        <v>0</v>
      </c>
      <c r="G38" s="27" t="n">
        <f aca="false">IF(COUNT('Arroz irrigado'!$E36:$Z36)=0,0,MAX(0,IF((G$6-$E$3)&lt;1,0,IFERROR(LOOKUP(2,1/('Arroz irrigado'!$E36:INDEX('Arroz irrigado'!$E36:$Z36,MIN(G$6-$E$3,22))&lt;&gt;""),'Arroz irrigado'!$E36:INDEX('Arroz irrigado'!$E36:$Z36,MIN(G$6-$E$3,22))),0))-IF($G$2,0,IF((G$6-$G$3)&lt;1,0,IFERROR(LOOKUP(2,1/('Arroz irrigado'!$E36:INDEX('Arroz irrigado'!$E36:$Z36,MIN(G$6-$G$3,22))&lt;&gt;""),'Arroz irrigado'!$E36:INDEX('Arroz irrigado'!$E36:$Z36,MIN(G$6-$G$3,22))),0)))))</f>
        <v>0</v>
      </c>
      <c r="H38" s="27" t="n">
        <f aca="false">IF(COUNT('Arroz irrigado'!$E36:$Z36)=0,0,MAX(0,IF((H$6-$E$3)&lt;1,0,IFERROR(LOOKUP(2,1/('Arroz irrigado'!$E36:INDEX('Arroz irrigado'!$E36:$Z36,MIN(H$6-$E$3,22))&lt;&gt;""),'Arroz irrigado'!$E36:INDEX('Arroz irrigado'!$E36:$Z36,MIN(H$6-$E$3,22))),0))-IF($G$2,0,IF((H$6-$G$3)&lt;1,0,IFERROR(LOOKUP(2,1/('Arroz irrigado'!$E36:INDEX('Arroz irrigado'!$E36:$Z36,MIN(H$6-$G$3,22))&lt;&gt;""),'Arroz irrigado'!$E36:INDEX('Arroz irrigado'!$E36:$Z36,MIN(H$6-$G$3,22))),0)))))</f>
        <v>0</v>
      </c>
      <c r="I38" s="27" t="n">
        <f aca="false">IF(COUNT('Arroz irrigado'!$E36:$Z36)=0,0,MAX(0,IF((I$6-$E$3)&lt;1,0,IFERROR(LOOKUP(2,1/('Arroz irrigado'!$E36:INDEX('Arroz irrigado'!$E36:$Z36,MIN(I$6-$E$3,22))&lt;&gt;""),'Arroz irrigado'!$E36:INDEX('Arroz irrigado'!$E36:$Z36,MIN(I$6-$E$3,22))),0))-IF($G$2,0,IF((I$6-$G$3)&lt;1,0,IFERROR(LOOKUP(2,1/('Arroz irrigado'!$E36:INDEX('Arroz irrigado'!$E36:$Z36,MIN(I$6-$G$3,22))&lt;&gt;""),'Arroz irrigado'!$E36:INDEX('Arroz irrigado'!$E36:$Z36,MIN(I$6-$G$3,22))),0)))))</f>
        <v>0</v>
      </c>
      <c r="J38" s="27" t="n">
        <f aca="false">IF(COUNT('Arroz irrigado'!$E36:$Z36)=0,0,MAX(0,IF((J$6-$E$3)&lt;1,0,IFERROR(LOOKUP(2,1/('Arroz irrigado'!$E36:INDEX('Arroz irrigado'!$E36:$Z36,MIN(J$6-$E$3,22))&lt;&gt;""),'Arroz irrigado'!$E36:INDEX('Arroz irrigado'!$E36:$Z36,MIN(J$6-$E$3,22))),0))-IF($G$2,0,IF((J$6-$G$3)&lt;1,0,IFERROR(LOOKUP(2,1/('Arroz irrigado'!$E36:INDEX('Arroz irrigado'!$E36:$Z36,MIN(J$6-$G$3,22))&lt;&gt;""),'Arroz irrigado'!$E36:INDEX('Arroz irrigado'!$E36:$Z36,MIN(J$6-$G$3,22))),0)))))</f>
        <v>0</v>
      </c>
      <c r="K38" s="27" t="n">
        <f aca="false">IF(COUNT('Arroz irrigado'!$E36:$Z36)=0,0,MAX(0,IF((K$6-$E$3)&lt;1,0,IFERROR(LOOKUP(2,1/('Arroz irrigado'!$E36:INDEX('Arroz irrigado'!$E36:$Z36,MIN(K$6-$E$3,22))&lt;&gt;""),'Arroz irrigado'!$E36:INDEX('Arroz irrigado'!$E36:$Z36,MIN(K$6-$E$3,22))),0))-IF($G$2,0,IF((K$6-$G$3)&lt;1,0,IFERROR(LOOKUP(2,1/('Arroz irrigado'!$E36:INDEX('Arroz irrigado'!$E36:$Z36,MIN(K$6-$G$3,22))&lt;&gt;""),'Arroz irrigado'!$E36:INDEX('Arroz irrigado'!$E36:$Z36,MIN(K$6-$G$3,22))),0)))))</f>
        <v>0</v>
      </c>
      <c r="L38" s="27" t="n">
        <f aca="false">IF(COUNT('Arroz irrigado'!$E36:$Z36)=0,0,MAX(0,IF((L$6-$E$3)&lt;1,0,IFERROR(LOOKUP(2,1/('Arroz irrigado'!$E36:INDEX('Arroz irrigado'!$E36:$Z36,MIN(L$6-$E$3,22))&lt;&gt;""),'Arroz irrigado'!$E36:INDEX('Arroz irrigado'!$E36:$Z36,MIN(L$6-$E$3,22))),0))-IF($G$2,0,IF((L$6-$G$3)&lt;1,0,IFERROR(LOOKUP(2,1/('Arroz irrigado'!$E36:INDEX('Arroz irrigado'!$E36:$Z36,MIN(L$6-$G$3,22))&lt;&gt;""),'Arroz irrigado'!$E36:INDEX('Arroz irrigado'!$E36:$Z36,MIN(L$6-$G$3,22))),0)))))</f>
        <v>0</v>
      </c>
      <c r="M38" s="27" t="n">
        <f aca="false">IF(COUNT('Arroz irrigado'!$E36:$Z36)=0,0,MAX(0,IF((M$6-$E$3)&lt;1,0,IFERROR(LOOKUP(2,1/('Arroz irrigado'!$E36:INDEX('Arroz irrigado'!$E36:$Z36,MIN(M$6-$E$3,22))&lt;&gt;""),'Arroz irrigado'!$E36:INDEX('Arroz irrigado'!$E36:$Z36,MIN(M$6-$E$3,22))),0))-IF($G$2,0,IF((M$6-$G$3)&lt;1,0,IFERROR(LOOKUP(2,1/('Arroz irrigado'!$E36:INDEX('Arroz irrigado'!$E36:$Z36,MIN(M$6-$G$3,22))&lt;&gt;""),'Arroz irrigado'!$E36:INDEX('Arroz irrigado'!$E36:$Z36,MIN(M$6-$G$3,22))),0)))))</f>
        <v>0</v>
      </c>
      <c r="N38" s="27" t="n">
        <f aca="false">IF(COUNT('Arroz irrigado'!$E36:$Z36)=0,0,MAX(0,IF((N$6-$E$3)&lt;1,0,IFERROR(LOOKUP(2,1/('Arroz irrigado'!$E36:INDEX('Arroz irrigado'!$E36:$Z36,MIN(N$6-$E$3,22))&lt;&gt;""),'Arroz irrigado'!$E36:INDEX('Arroz irrigado'!$E36:$Z36,MIN(N$6-$E$3,22))),0))-IF($G$2,0,IF((N$6-$G$3)&lt;1,0,IFERROR(LOOKUP(2,1/('Arroz irrigado'!$E36:INDEX('Arroz irrigado'!$E36:$Z36,MIN(N$6-$G$3,22))&lt;&gt;""),'Arroz irrigado'!$E36:INDEX('Arroz irrigado'!$E36:$Z36,MIN(N$6-$G$3,22))),0)))))</f>
        <v>0</v>
      </c>
      <c r="O38" s="27" t="n">
        <f aca="false">IF(COUNT('Arroz irrigado'!$E36:$Z36)=0,0,MAX(0,IF((O$6-$E$3)&lt;1,0,IFERROR(LOOKUP(2,1/('Arroz irrigado'!$E36:INDEX('Arroz irrigado'!$E36:$Z36,MIN(O$6-$E$3,22))&lt;&gt;""),'Arroz irrigado'!$E36:INDEX('Arroz irrigado'!$E36:$Z36,MIN(O$6-$E$3,22))),0))-IF($G$2,0,IF((O$6-$G$3)&lt;1,0,IFERROR(LOOKUP(2,1/('Arroz irrigado'!$E36:INDEX('Arroz irrigado'!$E36:$Z36,MIN(O$6-$G$3,22))&lt;&gt;""),'Arroz irrigado'!$E36:INDEX('Arroz irrigado'!$E36:$Z36,MIN(O$6-$G$3,22))),0)))))</f>
        <v>0</v>
      </c>
      <c r="P38" s="27" t="n">
        <f aca="false">IF(COUNT('Arroz irrigado'!$E36:$Z36)=0,0,MAX(0,IF((P$6-$E$3)&lt;1,0,IFERROR(LOOKUP(2,1/('Arroz irrigado'!$E36:INDEX('Arroz irrigado'!$E36:$Z36,MIN(P$6-$E$3,22))&lt;&gt;""),'Arroz irrigado'!$E36:INDEX('Arroz irrigado'!$E36:$Z36,MIN(P$6-$E$3,22))),0))-IF($G$2,0,IF((P$6-$G$3)&lt;1,0,IFERROR(LOOKUP(2,1/('Arroz irrigado'!$E36:INDEX('Arroz irrigado'!$E36:$Z36,MIN(P$6-$G$3,22))&lt;&gt;""),'Arroz irrigado'!$E36:INDEX('Arroz irrigado'!$E36:$Z36,MIN(P$6-$G$3,22))),0)))))</f>
        <v>0</v>
      </c>
      <c r="Q38" s="27" t="n">
        <f aca="false">IF(COUNT('Arroz irrigado'!$E36:$Z36)=0,0,MAX(0,IF((Q$6-$E$3)&lt;1,0,IFERROR(LOOKUP(2,1/('Arroz irrigado'!$E36:INDEX('Arroz irrigado'!$E36:$Z36,MIN(Q$6-$E$3,22))&lt;&gt;""),'Arroz irrigado'!$E36:INDEX('Arroz irrigado'!$E36:$Z36,MIN(Q$6-$E$3,22))),0))-IF($G$2,0,IF((Q$6-$G$3)&lt;1,0,IFERROR(LOOKUP(2,1/('Arroz irrigado'!$E36:INDEX('Arroz irrigado'!$E36:$Z36,MIN(Q$6-$G$3,22))&lt;&gt;""),'Arroz irrigado'!$E36:INDEX('Arroz irrigado'!$E36:$Z36,MIN(Q$6-$G$3,22))),0)))))</f>
        <v>0</v>
      </c>
      <c r="R38" s="27" t="n">
        <f aca="false">IF(COUNT('Arroz irrigado'!$E36:$Z36)=0,0,MAX(0,IF((R$6-$E$3)&lt;1,0,IFERROR(LOOKUP(2,1/('Arroz irrigado'!$E36:INDEX('Arroz irrigado'!$E36:$Z36,MIN(R$6-$E$3,22))&lt;&gt;""),'Arroz irrigado'!$E36:INDEX('Arroz irrigado'!$E36:$Z36,MIN(R$6-$E$3,22))),0))-IF($G$2,0,IF((R$6-$G$3)&lt;1,0,IFERROR(LOOKUP(2,1/('Arroz irrigado'!$E36:INDEX('Arroz irrigado'!$E36:$Z36,MIN(R$6-$G$3,22))&lt;&gt;""),'Arroz irrigado'!$E36:INDEX('Arroz irrigado'!$E36:$Z36,MIN(R$6-$G$3,22))),0)))))</f>
        <v>0</v>
      </c>
      <c r="S38" s="27" t="n">
        <f aca="false">IF(COUNT('Arroz irrigado'!$E36:$Z36)=0,0,MAX(0,IF((S$6-$E$3)&lt;1,0,IFERROR(LOOKUP(2,1/('Arroz irrigado'!$E36:INDEX('Arroz irrigado'!$E36:$Z36,MIN(S$6-$E$3,22))&lt;&gt;""),'Arroz irrigado'!$E36:INDEX('Arroz irrigado'!$E36:$Z36,MIN(S$6-$E$3,22))),0))-IF($G$2,0,IF((S$6-$G$3)&lt;1,0,IFERROR(LOOKUP(2,1/('Arroz irrigado'!$E36:INDEX('Arroz irrigado'!$E36:$Z36,MIN(S$6-$G$3,22))&lt;&gt;""),'Arroz irrigado'!$E36:INDEX('Arroz irrigado'!$E36:$Z36,MIN(S$6-$G$3,22))),0)))))</f>
        <v>0</v>
      </c>
      <c r="T38" s="27" t="n">
        <f aca="false">IF(COUNT('Arroz irrigado'!$E36:$Z36)=0,0,MAX(0,IF((T$6-$E$3)&lt;1,0,IFERROR(LOOKUP(2,1/('Arroz irrigado'!$E36:INDEX('Arroz irrigado'!$E36:$Z36,MIN(T$6-$E$3,22))&lt;&gt;""),'Arroz irrigado'!$E36:INDEX('Arroz irrigado'!$E36:$Z36,MIN(T$6-$E$3,22))),0))-IF($G$2,0,IF((T$6-$G$3)&lt;1,0,IFERROR(LOOKUP(2,1/('Arroz irrigado'!$E36:INDEX('Arroz irrigado'!$E36:$Z36,MIN(T$6-$G$3,22))&lt;&gt;""),'Arroz irrigado'!$E36:INDEX('Arroz irrigado'!$E36:$Z36,MIN(T$6-$G$3,22))),0)))))</f>
        <v>0</v>
      </c>
      <c r="U38" s="27" t="n">
        <f aca="false">IF(COUNT('Arroz irrigado'!$E36:$Z36)=0,0,MAX(0,IF((U$6-$E$3)&lt;1,0,IFERROR(LOOKUP(2,1/('Arroz irrigado'!$E36:INDEX('Arroz irrigado'!$E36:$Z36,MIN(U$6-$E$3,22))&lt;&gt;""),'Arroz irrigado'!$E36:INDEX('Arroz irrigado'!$E36:$Z36,MIN(U$6-$E$3,22))),0))-IF($G$2,0,IF((U$6-$G$3)&lt;1,0,IFERROR(LOOKUP(2,1/('Arroz irrigado'!$E36:INDEX('Arroz irrigado'!$E36:$Z36,MIN(U$6-$G$3,22))&lt;&gt;""),'Arroz irrigado'!$E36:INDEX('Arroz irrigado'!$E36:$Z36,MIN(U$6-$G$3,22))),0)))))</f>
        <v>0</v>
      </c>
      <c r="V38" s="27" t="n">
        <f aca="false">IF(COUNT('Arroz irrigado'!$E36:$Z36)=0,0,MAX(0,IF((V$6-$E$3)&lt;1,0,IFERROR(LOOKUP(2,1/('Arroz irrigado'!$E36:INDEX('Arroz irrigado'!$E36:$Z36,MIN(V$6-$E$3,22))&lt;&gt;""),'Arroz irrigado'!$E36:INDEX('Arroz irrigado'!$E36:$Z36,MIN(V$6-$E$3,22))),0))-IF($G$2,0,IF((V$6-$G$3)&lt;1,0,IFERROR(LOOKUP(2,1/('Arroz irrigado'!$E36:INDEX('Arroz irrigado'!$E36:$Z36,MIN(V$6-$G$3,22))&lt;&gt;""),'Arroz irrigado'!$E36:INDEX('Arroz irrigado'!$E36:$Z36,MIN(V$6-$G$3,22))),0)))))</f>
        <v>0</v>
      </c>
      <c r="W38" s="27" t="n">
        <f aca="false">IF(COUNT('Arroz irrigado'!$E36:$Z36)=0,0,MAX(0,IF((W$6-$E$3)&lt;1,0,IFERROR(LOOKUP(2,1/('Arroz irrigado'!$E36:INDEX('Arroz irrigado'!$E36:$Z36,MIN(W$6-$E$3,22))&lt;&gt;""),'Arroz irrigado'!$E36:INDEX('Arroz irrigado'!$E36:$Z36,MIN(W$6-$E$3,22))),0))-IF($G$2,0,IF((W$6-$G$3)&lt;1,0,IFERROR(LOOKUP(2,1/('Arroz irrigado'!$E36:INDEX('Arroz irrigado'!$E36:$Z36,MIN(W$6-$G$3,22))&lt;&gt;""),'Arroz irrigado'!$E36:INDEX('Arroz irrigado'!$E36:$Z36,MIN(W$6-$G$3,22))),0)))))</f>
        <v>0</v>
      </c>
      <c r="X38" s="27" t="n">
        <f aca="false">IF(COUNT('Arroz irrigado'!$E36:$Z36)=0,0,MAX(0,IF((X$6-$E$3)&lt;1,0,IFERROR(LOOKUP(2,1/('Arroz irrigado'!$E36:INDEX('Arroz irrigado'!$E36:$Z36,MIN(X$6-$E$3,22))&lt;&gt;""),'Arroz irrigado'!$E36:INDEX('Arroz irrigado'!$E36:$Z36,MIN(X$6-$E$3,22))),0))-IF($G$2,0,IF((X$6-$G$3)&lt;1,0,IFERROR(LOOKUP(2,1/('Arroz irrigado'!$E36:INDEX('Arroz irrigado'!$E36:$Z36,MIN(X$6-$G$3,22))&lt;&gt;""),'Arroz irrigado'!$E36:INDEX('Arroz irrigado'!$E36:$Z36,MIN(X$6-$G$3,22))),0)))))</f>
        <v>0</v>
      </c>
      <c r="Y38" s="27" t="n">
        <f aca="false">IF(COUNT('Arroz irrigado'!$E36:$Z36)=0,0,MAX(0,IF((Y$6-$E$3)&lt;1,0,IFERROR(LOOKUP(2,1/('Arroz irrigado'!$E36:INDEX('Arroz irrigado'!$E36:$Z36,MIN(Y$6-$E$3,22))&lt;&gt;""),'Arroz irrigado'!$E36:INDEX('Arroz irrigado'!$E36:$Z36,MIN(Y$6-$E$3,22))),0))-IF($G$2,0,IF((Y$6-$G$3)&lt;1,0,IFERROR(LOOKUP(2,1/('Arroz irrigado'!$E36:INDEX('Arroz irrigado'!$E36:$Z36,MIN(Y$6-$G$3,22))&lt;&gt;""),'Arroz irrigado'!$E36:INDEX('Arroz irrigado'!$E36:$Z36,MIN(Y$6-$G$3,22))),0)))))</f>
        <v>0</v>
      </c>
      <c r="Z38" s="27" t="n">
        <f aca="false">IF(COUNT('Arroz irrigado'!$E36:$Z36)=0,0,MAX(0,IF((Z$6-$E$3)&lt;1,0,IFERROR(LOOKUP(2,1/('Arroz irrigado'!$E36:INDEX('Arroz irrigado'!$E36:$Z36,MIN(Z$6-$E$3,22))&lt;&gt;""),'Arroz irrigado'!$E36:INDEX('Arroz irrigado'!$E36:$Z36,MIN(Z$6-$E$3,22))),0))-IF($G$2,0,IF((Z$6-$G$3)&lt;1,0,IFERROR(LOOKUP(2,1/('Arroz irrigado'!$E36:INDEX('Arroz irrigado'!$E36:$Z36,MIN(Z$6-$G$3,22))&lt;&gt;""),'Arroz irrigado'!$E36:INDEX('Arroz irrigado'!$E36:$Z36,MIN(Z$6-$G$3,22))),0)))))</f>
        <v>0</v>
      </c>
      <c r="AA38" s="27" t="n">
        <f aca="false">IF(COUNT('Arroz irrigado'!$E36:$Z36)=0,0,MAX(0,IF((AA$6-$E$3)&lt;1,0,IFERROR(LOOKUP(2,1/('Arroz irrigado'!$E36:INDEX('Arroz irrigado'!$E36:$Z36,MIN(AA$6-$E$3,22))&lt;&gt;""),'Arroz irrigado'!$E36:INDEX('Arroz irrigado'!$E36:$Z36,MIN(AA$6-$E$3,22))),0))-IF($G$2,0,IF((AA$6-$G$3)&lt;1,0,IFERROR(LOOKUP(2,1/('Arroz irrigado'!$E36:INDEX('Arroz irrigado'!$E36:$Z36,MIN(AA$6-$G$3,22))&lt;&gt;""),'Arroz irrigado'!$E36:INDEX('Arroz irrigado'!$E36:$Z36,MIN(AA$6-$G$3,22))),0)))))</f>
        <v>0</v>
      </c>
      <c r="AB38" s="27" t="n">
        <f aca="false">IF(COUNT('Arroz irrigado'!$E36:$Z36)=0,0,MAX(0,IF((AB$6-$E$3)&lt;1,0,IFERROR(LOOKUP(2,1/('Arroz irrigado'!$E36:INDEX('Arroz irrigado'!$E36:$Z36,MIN(AB$6-$E$3,22))&lt;&gt;""),'Arroz irrigado'!$E36:INDEX('Arroz irrigado'!$E36:$Z36,MIN(AB$6-$E$3,22))),0))-IF($G$2,0,IF((AB$6-$G$3)&lt;1,0,IFERROR(LOOKUP(2,1/('Arroz irrigado'!$E36:INDEX('Arroz irrigado'!$E36:$Z36,MIN(AB$6-$G$3,22))&lt;&gt;""),'Arroz irrigado'!$E36:INDEX('Arroz irrigado'!$E36:$Z36,MIN(AB$6-$G$3,22))),0)))))</f>
        <v>0</v>
      </c>
      <c r="AC38" s="27" t="n">
        <f aca="false">IF(COUNT('Arroz irrigado'!$E36:$Z36)=0,0,MAX(0,IF((AC$6-$E$3)&lt;1,0,IFERROR(LOOKUP(2,1/('Arroz irrigado'!$E36:INDEX('Arroz irrigado'!$E36:$Z36,MIN(AC$6-$E$3,22))&lt;&gt;""),'Arroz irrigado'!$E36:INDEX('Arroz irrigado'!$E36:$Z36,MIN(AC$6-$E$3,22))),0))-IF($G$2,0,IF((AC$6-$G$3)&lt;1,0,IFERROR(LOOKUP(2,1/('Arroz irrigado'!$E36:INDEX('Arroz irrigado'!$E36:$Z36,MIN(AC$6-$G$3,22))&lt;&gt;""),'Arroz irrigado'!$E36:INDEX('Arroz irrigado'!$E36:$Z36,MIN(AC$6-$G$3,22))),0)))))</f>
        <v>0</v>
      </c>
      <c r="AD38" s="27" t="n">
        <f aca="false">IF(COUNT('Arroz irrigado'!$E36:$Z36)=0,0,MAX(0,IF((AD$6-$E$3)&lt;1,0,IFERROR(LOOKUP(2,1/('Arroz irrigado'!$E36:INDEX('Arroz irrigado'!$E36:$Z36,MIN(AD$6-$E$3,22))&lt;&gt;""),'Arroz irrigado'!$E36:INDEX('Arroz irrigado'!$E36:$Z36,MIN(AD$6-$E$3,22))),0))-IF($G$2,0,IF((AD$6-$G$3)&lt;1,0,IFERROR(LOOKUP(2,1/('Arroz irrigado'!$E36:INDEX('Arroz irrigado'!$E36:$Z36,MIN(AD$6-$G$3,22))&lt;&gt;""),'Arroz irrigado'!$E36:INDEX('Arroz irrigado'!$E36:$Z36,MIN(AD$6-$G$3,22))),0)))))</f>
        <v>0</v>
      </c>
      <c r="AE38" s="27" t="n">
        <f aca="false">IF(COUNT('Arroz irrigado'!$E36:$Z36)=0,0,MAX(0,IF((AE$6-$E$3)&lt;1,0,IFERROR(LOOKUP(2,1/('Arroz irrigado'!$E36:INDEX('Arroz irrigado'!$E36:$Z36,MIN(AE$6-$E$3,22))&lt;&gt;""),'Arroz irrigado'!$E36:INDEX('Arroz irrigado'!$E36:$Z36,MIN(AE$6-$E$3,22))),0))-IF($G$2,0,IF((AE$6-$G$3)&lt;1,0,IFERROR(LOOKUP(2,1/('Arroz irrigado'!$E36:INDEX('Arroz irrigado'!$E36:$Z36,MIN(AE$6-$G$3,22))&lt;&gt;""),'Arroz irrigado'!$E36:INDEX('Arroz irrigado'!$E36:$Z36,MIN(AE$6-$G$3,22))),0)))))</f>
        <v>0</v>
      </c>
      <c r="AF38" s="27" t="n">
        <f aca="false">IF(COUNT('Arroz irrigado'!$E36:$Z36)=0,0,MAX(0,IF((AF$6-$E$3)&lt;1,0,IFERROR(LOOKUP(2,1/('Arroz irrigado'!$E36:INDEX('Arroz irrigado'!$E36:$Z36,MIN(AF$6-$E$3,22))&lt;&gt;""),'Arroz irrigado'!$E36:INDEX('Arroz irrigado'!$E36:$Z36,MIN(AF$6-$E$3,22))),0))-IF($G$2,0,IF((AF$6-$G$3)&lt;1,0,IFERROR(LOOKUP(2,1/('Arroz irrigado'!$E36:INDEX('Arroz irrigado'!$E36:$Z36,MIN(AF$6-$G$3,22))&lt;&gt;""),'Arroz irrigado'!$E36:INDEX('Arroz irrigado'!$E36:$Z36,MIN(AF$6-$G$3,22))),0)))))</f>
        <v>0</v>
      </c>
      <c r="AG38" s="27" t="n">
        <f aca="false">IF(COUNT('Arroz irrigado'!$E36:$Z36)=0,0,MAX(0,IF((AG$6-$E$3)&lt;1,0,IFERROR(LOOKUP(2,1/('Arroz irrigado'!$E36:INDEX('Arroz irrigado'!$E36:$Z36,MIN(AG$6-$E$3,22))&lt;&gt;""),'Arroz irrigado'!$E36:INDEX('Arroz irrigado'!$E36:$Z36,MIN(AG$6-$E$3,22))),0))-IF($G$2,0,IF((AG$6-$G$3)&lt;1,0,IFERROR(LOOKUP(2,1/('Arroz irrigado'!$E36:INDEX('Arroz irrigado'!$E36:$Z36,MIN(AG$6-$G$3,22))&lt;&gt;""),'Arroz irrigado'!$E36:INDEX('Arroz irrigado'!$E36:$Z36,MIN(AG$6-$G$3,22))),0)))))</f>
        <v>0</v>
      </c>
      <c r="AH38" s="27" t="n">
        <f aca="false">IF(COUNT('Arroz irrigado'!$E36:$Z36)=0,0,MAX(0,IF((AH$6-$E$3)&lt;1,0,IFERROR(LOOKUP(2,1/('Arroz irrigado'!$E36:INDEX('Arroz irrigado'!$E36:$Z36,MIN(AH$6-$E$3,22))&lt;&gt;""),'Arroz irrigado'!$E36:INDEX('Arroz irrigado'!$E36:$Z36,MIN(AH$6-$E$3,22))),0))-IF($G$2,0,IF((AH$6-$G$3)&lt;1,0,IFERROR(LOOKUP(2,1/('Arroz irrigado'!$E36:INDEX('Arroz irrigado'!$E36:$Z36,MIN(AH$6-$G$3,22))&lt;&gt;""),'Arroz irrigado'!$E36:INDEX('Arroz irrigado'!$E36:$Z36,MIN(AH$6-$G$3,22))),0)))))</f>
        <v>0</v>
      </c>
      <c r="AI38" s="27" t="n">
        <f aca="false">IF(COUNT('Arroz irrigado'!$E36:$Z36)=0,0,MAX(0,IF((AI$6-$E$3)&lt;1,0,IFERROR(LOOKUP(2,1/('Arroz irrigado'!$E36:INDEX('Arroz irrigado'!$E36:$Z36,MIN(AI$6-$E$3,22))&lt;&gt;""),'Arroz irrigado'!$E36:INDEX('Arroz irrigado'!$E36:$Z36,MIN(AI$6-$E$3,22))),0))-IF($G$2,0,IF((AI$6-$G$3)&lt;1,0,IFERROR(LOOKUP(2,1/('Arroz irrigado'!$E36:INDEX('Arroz irrigado'!$E36:$Z36,MIN(AI$6-$G$3,22))&lt;&gt;""),'Arroz irrigado'!$E36:INDEX('Arroz irrigado'!$E36:$Z36,MIN(AI$6-$G$3,22))),0)))))</f>
        <v>0</v>
      </c>
      <c r="AJ38" s="27" t="n">
        <f aca="false">IF(COUNT('Arroz irrigado'!$E36:$Z36)=0,0,MAX(0,IF((AJ$6-$E$3)&lt;1,0,IFERROR(LOOKUP(2,1/('Arroz irrigado'!$E36:INDEX('Arroz irrigado'!$E36:$Z36,MIN(AJ$6-$E$3,22))&lt;&gt;""),'Arroz irrigado'!$E36:INDEX('Arroz irrigado'!$E36:$Z36,MIN(AJ$6-$E$3,22))),0))-IF($G$2,0,IF((AJ$6-$G$3)&lt;1,0,IFERROR(LOOKUP(2,1/('Arroz irrigado'!$E36:INDEX('Arroz irrigado'!$E36:$Z36,MIN(AJ$6-$G$3,22))&lt;&gt;""),'Arroz irrigado'!$E36:INDEX('Arroz irrigado'!$E36:$Z36,MIN(AJ$6-$G$3,22))),0)))))</f>
        <v>0</v>
      </c>
      <c r="AK38" s="27" t="n">
        <f aca="false">IF(COUNT('Arroz irrigado'!$E36:$Z36)=0,0,MAX(0,IF((AK$6-$E$3)&lt;1,0,IFERROR(LOOKUP(2,1/('Arroz irrigado'!$E36:INDEX('Arroz irrigado'!$E36:$Z36,MIN(AK$6-$E$3,22))&lt;&gt;""),'Arroz irrigado'!$E36:INDEX('Arroz irrigado'!$E36:$Z36,MIN(AK$6-$E$3,22))),0))-IF($G$2,0,IF((AK$6-$G$3)&lt;1,0,IFERROR(LOOKUP(2,1/('Arroz irrigado'!$E36:INDEX('Arroz irrigado'!$E36:$Z36,MIN(AK$6-$G$3,22))&lt;&gt;""),'Arroz irrigado'!$E36:INDEX('Arroz irrigado'!$E36:$Z36,MIN(AK$6-$G$3,22))),0)))))</f>
        <v>0</v>
      </c>
      <c r="AL38" s="27" t="n">
        <f aca="false">IF(COUNT('Arroz irrigado'!$E36:$Z36)=0,0,MAX(0,IF((AL$6-$E$3)&lt;1,0,IFERROR(LOOKUP(2,1/('Arroz irrigado'!$E36:INDEX('Arroz irrigado'!$E36:$Z36,MIN(AL$6-$E$3,22))&lt;&gt;""),'Arroz irrigado'!$E36:INDEX('Arroz irrigado'!$E36:$Z36,MIN(AL$6-$E$3,22))),0))-IF($G$2,0,IF((AL$6-$G$3)&lt;1,0,IFERROR(LOOKUP(2,1/('Arroz irrigado'!$E36:INDEX('Arroz irrigado'!$E36:$Z36,MIN(AL$6-$G$3,22))&lt;&gt;""),'Arroz irrigado'!$E36:INDEX('Arroz irrigado'!$E36:$Z36,MIN(AL$6-$G$3,22))),0)))))</f>
        <v>0</v>
      </c>
      <c r="AM38" s="27" t="n">
        <f aca="false">IF(COUNT('Arroz irrigado'!$E36:$Z36)=0,0,MAX(0,IF((AM$6-$E$3)&lt;1,0,IFERROR(LOOKUP(2,1/('Arroz irrigado'!$E36:INDEX('Arroz irrigado'!$E36:$Z36,MIN(AM$6-$E$3,22))&lt;&gt;""),'Arroz irrigado'!$E36:INDEX('Arroz irrigado'!$E36:$Z36,MIN(AM$6-$E$3,22))),0))-IF($G$2,0,IF((AM$6-$G$3)&lt;1,0,IFERROR(LOOKUP(2,1/('Arroz irrigado'!$E36:INDEX('Arroz irrigado'!$E36:$Z36,MIN(AM$6-$G$3,22))&lt;&gt;""),'Arroz irrigado'!$E36:INDEX('Arroz irrigado'!$E36:$Z36,MIN(AM$6-$G$3,22))),0)))))</f>
        <v>0</v>
      </c>
      <c r="AN38" s="27" t="n">
        <f aca="false">IF(COUNT('Arroz irrigado'!$E36:$Z36)=0,0,MAX(0,IF((AN$6-$E$3)&lt;1,0,IFERROR(LOOKUP(2,1/('Arroz irrigado'!$E36:INDEX('Arroz irrigado'!$E36:$Z36,MIN(AN$6-$E$3,22))&lt;&gt;""),'Arroz irrigado'!$E36:INDEX('Arroz irrigado'!$E36:$Z36,MIN(AN$6-$E$3,22))),0))-IF($G$2,0,IF((AN$6-$G$3)&lt;1,0,IFERROR(LOOKUP(2,1/('Arroz irrigado'!$E36:INDEX('Arroz irrigado'!$E36:$Z36,MIN(AN$6-$G$3,22))&lt;&gt;""),'Arroz irrigado'!$E36:INDEX('Arroz irrigado'!$E36:$Z36,MIN(AN$6-$G$3,22))),0)))))</f>
        <v>0</v>
      </c>
      <c r="AO38" s="27" t="n">
        <f aca="false">IF(COUNT('Arroz irrigado'!$E36:$Z36)=0,0,MAX(0,IF((AO$6-$E$3)&lt;1,0,IFERROR(LOOKUP(2,1/('Arroz irrigado'!$E36:INDEX('Arroz irrigado'!$E36:$Z36,MIN(AO$6-$E$3,22))&lt;&gt;""),'Arroz irrigado'!$E36:INDEX('Arroz irrigado'!$E36:$Z36,MIN(AO$6-$E$3,22))),0))-IF($G$2,0,IF((AO$6-$G$3)&lt;1,0,IFERROR(LOOKUP(2,1/('Arroz irrigado'!$E36:INDEX('Arroz irrigado'!$E36:$Z36,MIN(AO$6-$G$3,22))&lt;&gt;""),'Arroz irrigado'!$E36:INDEX('Arroz irrigado'!$E36:$Z36,MIN(AO$6-$G$3,22))),0)))))</f>
        <v>0</v>
      </c>
      <c r="AP38" s="27" t="n">
        <f aca="false">IF(COUNT('Arroz irrigado'!$E36:$Z36)=0,0,MAX(0,IF((AP$6-$E$3)&lt;1,0,IFERROR(LOOKUP(2,1/('Arroz irrigado'!$E36:INDEX('Arroz irrigado'!$E36:$Z36,MIN(AP$6-$E$3,22))&lt;&gt;""),'Arroz irrigado'!$E36:INDEX('Arroz irrigado'!$E36:$Z36,MIN(AP$6-$E$3,22))),0))-IF($G$2,0,IF((AP$6-$G$3)&lt;1,0,IFERROR(LOOKUP(2,1/('Arroz irrigado'!$E36:INDEX('Arroz irrigado'!$E36:$Z36,MIN(AP$6-$G$3,22))&lt;&gt;""),'Arroz irrigado'!$E36:INDEX('Arroz irrigado'!$E36:$Z36,MIN(AP$6-$G$3,22))),0)))))</f>
        <v>0</v>
      </c>
      <c r="AQ38" s="27" t="n">
        <f aca="false">IF(COUNT('Arroz irrigado'!$E36:$Z36)=0,0,MAX(0,IF((AQ$6-$E$3)&lt;1,0,IFERROR(LOOKUP(2,1/('Arroz irrigado'!$E36:INDEX('Arroz irrigado'!$E36:$Z36,MIN(AQ$6-$E$3,22))&lt;&gt;""),'Arroz irrigado'!$E36:INDEX('Arroz irrigado'!$E36:$Z36,MIN(AQ$6-$E$3,22))),0))-IF($G$2,0,IF((AQ$6-$G$3)&lt;1,0,IFERROR(LOOKUP(2,1/('Arroz irrigado'!$E36:INDEX('Arroz irrigado'!$E36:$Z36,MIN(AQ$6-$G$3,22))&lt;&gt;""),'Arroz irrigado'!$E36:INDEX('Arroz irrigado'!$E36:$Z36,MIN(AQ$6-$G$3,22))),0)))))</f>
        <v>0</v>
      </c>
      <c r="AR38" s="27" t="n">
        <f aca="false">IF(COUNT('Arroz irrigado'!$E36:$Z36)=0,0,MAX(0,IF((AR$6-$E$3)&lt;1,0,IFERROR(LOOKUP(2,1/('Arroz irrigado'!$E36:INDEX('Arroz irrigado'!$E36:$Z36,MIN(AR$6-$E$3,22))&lt;&gt;""),'Arroz irrigado'!$E36:INDEX('Arroz irrigado'!$E36:$Z36,MIN(AR$6-$E$3,22))),0))-IF($G$2,0,IF((AR$6-$G$3)&lt;1,0,IFERROR(LOOKUP(2,1/('Arroz irrigado'!$E36:INDEX('Arroz irrigado'!$E36:$Z36,MIN(AR$6-$G$3,22))&lt;&gt;""),'Arroz irrigado'!$E36:INDEX('Arroz irrigado'!$E36:$Z36,MIN(AR$6-$G$3,22))),0)))))</f>
        <v>0</v>
      </c>
      <c r="AS38" s="27" t="n">
        <f aca="false">IF(COUNT('Arroz irrigado'!$E36:$Z36)=0,0,MAX(0,IF((AS$6-$E$3)&lt;1,0,IFERROR(LOOKUP(2,1/('Arroz irrigado'!$E36:INDEX('Arroz irrigado'!$E36:$Z36,MIN(AS$6-$E$3,22))&lt;&gt;""),'Arroz irrigado'!$E36:INDEX('Arroz irrigado'!$E36:$Z36,MIN(AS$6-$E$3,22))),0))-IF($G$2,0,IF((AS$6-$G$3)&lt;1,0,IFERROR(LOOKUP(2,1/('Arroz irrigado'!$E36:INDEX('Arroz irrigado'!$E36:$Z36,MIN(AS$6-$G$3,22))&lt;&gt;""),'Arroz irrigado'!$E36:INDEX('Arroz irrigado'!$E36:$Z36,MIN(AS$6-$G$3,22))),0)))))</f>
        <v>0</v>
      </c>
      <c r="AT38" s="27" t="n">
        <f aca="false">IF(COUNT('Arroz irrigado'!$E36:$Z36)=0,0,MAX(0,IF((AT$6-$E$3)&lt;1,0,IFERROR(LOOKUP(2,1/('Arroz irrigado'!$E36:INDEX('Arroz irrigado'!$E36:$Z36,MIN(AT$6-$E$3,22))&lt;&gt;""),'Arroz irrigado'!$E36:INDEX('Arroz irrigado'!$E36:$Z36,MIN(AT$6-$E$3,22))),0))-IF($G$2,0,IF((AT$6-$G$3)&lt;1,0,IFERROR(LOOKUP(2,1/('Arroz irrigado'!$E36:INDEX('Arroz irrigado'!$E36:$Z36,MIN(AT$6-$G$3,22))&lt;&gt;""),'Arroz irrigado'!$E36:INDEX('Arroz irrigado'!$E36:$Z36,MIN(AT$6-$G$3,22))),0)))))</f>
        <v>0</v>
      </c>
      <c r="AU38" s="27" t="n">
        <f aca="false">IF(COUNT('Arroz irrigado'!$E36:$Z36)=0,0,MAX(0,IF((AU$6-$E$3)&lt;1,0,IFERROR(LOOKUP(2,1/('Arroz irrigado'!$E36:INDEX('Arroz irrigado'!$E36:$Z36,MIN(AU$6-$E$3,22))&lt;&gt;""),'Arroz irrigado'!$E36:INDEX('Arroz irrigado'!$E36:$Z36,MIN(AU$6-$E$3,22))),0))-IF($G$2,0,IF((AU$6-$G$3)&lt;1,0,IFERROR(LOOKUP(2,1/('Arroz irrigado'!$E36:INDEX('Arroz irrigado'!$E36:$Z36,MIN(AU$6-$G$3,22))&lt;&gt;""),'Arroz irrigado'!$E36:INDEX('Arroz irrigado'!$E36:$Z36,MIN(AU$6-$G$3,22))),0)))))</f>
        <v>0</v>
      </c>
      <c r="AV38" s="27" t="n">
        <f aca="false">IF(COUNT('Arroz irrigado'!$E36:$Z36)=0,0,MAX(0,IF((AV$6-$E$3)&lt;1,0,IFERROR(LOOKUP(2,1/('Arroz irrigado'!$E36:INDEX('Arroz irrigado'!$E36:$Z36,MIN(AV$6-$E$3,22))&lt;&gt;""),'Arroz irrigado'!$E36:INDEX('Arroz irrigado'!$E36:$Z36,MIN(AV$6-$E$3,22))),0))-IF($G$2,0,IF((AV$6-$G$3)&lt;1,0,IFERROR(LOOKUP(2,1/('Arroz irrigado'!$E36:INDEX('Arroz irrigado'!$E36:$Z36,MIN(AV$6-$G$3,22))&lt;&gt;""),'Arroz irrigado'!$E36:INDEX('Arroz irrigado'!$E36:$Z36,MIN(AV$6-$G$3,22))),0)))))</f>
        <v>0</v>
      </c>
      <c r="AW38" s="27" t="n">
        <f aca="false">IF(COUNT('Arroz irrigado'!$E36:$Z36)=0,0,MAX(0,IF((AW$6-$E$3)&lt;1,0,IFERROR(LOOKUP(2,1/('Arroz irrigado'!$E36:INDEX('Arroz irrigado'!$E36:$Z36,MIN(AW$6-$E$3,22))&lt;&gt;""),'Arroz irrigado'!$E36:INDEX('Arroz irrigado'!$E36:$Z36,MIN(AW$6-$E$3,22))),0))-IF($G$2,0,IF((AW$6-$G$3)&lt;1,0,IFERROR(LOOKUP(2,1/('Arroz irrigado'!$E36:INDEX('Arroz irrigado'!$E36:$Z36,MIN(AW$6-$G$3,22))&lt;&gt;""),'Arroz irrigado'!$E36:INDEX('Arroz irrigado'!$E36:$Z36,MIN(AW$6-$G$3,22))),0)))))</f>
        <v>0</v>
      </c>
      <c r="AX38" s="27" t="n">
        <f aca="false">IF(COUNT('Arroz irrigado'!$E36:$Z36)=0,0,MAX(0,IF((AX$6-$E$3)&lt;1,0,IFERROR(LOOKUP(2,1/('Arroz irrigado'!$E36:INDEX('Arroz irrigado'!$E36:$Z36,MIN(AX$6-$E$3,22))&lt;&gt;""),'Arroz irrigado'!$E36:INDEX('Arroz irrigado'!$E36:$Z36,MIN(AX$6-$E$3,22))),0))-IF($G$2,0,IF((AX$6-$G$3)&lt;1,0,IFERROR(LOOKUP(2,1/('Arroz irrigado'!$E36:INDEX('Arroz irrigado'!$E36:$Z36,MIN(AX$6-$G$3,22))&lt;&gt;""),'Arroz irrigado'!$E36:INDEX('Arroz irrigado'!$E36:$Z36,MIN(AX$6-$G$3,22))),0)))))</f>
        <v>0</v>
      </c>
      <c r="AY38" s="27" t="n">
        <f aca="false">IF(COUNT('Arroz irrigado'!$E36:$Z36)=0,0,MAX(0,IF((AY$6-$E$3)&lt;1,0,IFERROR(LOOKUP(2,1/('Arroz irrigado'!$E36:INDEX('Arroz irrigado'!$E36:$Z36,MIN(AY$6-$E$3,22))&lt;&gt;""),'Arroz irrigado'!$E36:INDEX('Arroz irrigado'!$E36:$Z36,MIN(AY$6-$E$3,22))),0))-IF($G$2,0,IF((AY$6-$G$3)&lt;1,0,IFERROR(LOOKUP(2,1/('Arroz irrigado'!$E36:INDEX('Arroz irrigado'!$E36:$Z36,MIN(AY$6-$G$3,22))&lt;&gt;""),'Arroz irrigado'!$E36:INDEX('Arroz irrigado'!$E36:$Z36,MIN(AY$6-$G$3,22))),0)))))</f>
        <v>0</v>
      </c>
      <c r="AZ38" s="27" t="n">
        <f aca="false">IF(COUNT('Arroz irrigado'!$E36:$Z36)=0,0,MAX(0,IF((AZ$6-$E$3)&lt;1,0,IFERROR(LOOKUP(2,1/('Arroz irrigado'!$E36:INDEX('Arroz irrigado'!$E36:$Z36,MIN(AZ$6-$E$3,22))&lt;&gt;""),'Arroz irrigado'!$E36:INDEX('Arroz irrigado'!$E36:$Z36,MIN(AZ$6-$E$3,22))),0))-IF($G$2,0,IF((AZ$6-$G$3)&lt;1,0,IFERROR(LOOKUP(2,1/('Arroz irrigado'!$E36:INDEX('Arroz irrigado'!$E36:$Z36,MIN(AZ$6-$G$3,22))&lt;&gt;""),'Arroz irrigado'!$E36:INDEX('Arroz irrigado'!$E36:$Z36,MIN(AZ$6-$G$3,22))),0)))))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IF(COUNT('Arroz irrigado'!$E37:$Z37)&gt;0,N('Arroz irrigado'!$D37),0)</f>
        <v>0</v>
      </c>
      <c r="E39" s="27" t="n">
        <f aca="false">IF(COUNT('Arroz irrigado'!$E37:$Z37)=0,0,MAX(0,IF((E$6-$E$3)&lt;1,0,IFERROR(LOOKUP(2,1/('Arroz irrigado'!$E37:INDEX('Arroz irrigado'!$E37:$Z37,MIN(E$6-$E$3,22))&lt;&gt;""),'Arroz irrigado'!$E37:INDEX('Arroz irrigado'!$E37:$Z37,MIN(E$6-$E$3,22))),0))-IF($G$2,0,IF((E$6-$G$3)&lt;1,0,IFERROR(LOOKUP(2,1/('Arroz irrigado'!$E37:INDEX('Arroz irrigado'!$E37:$Z37,MIN(E$6-$G$3,22))&lt;&gt;""),'Arroz irrigado'!$E37:INDEX('Arroz irrigado'!$E37:$Z37,MIN(E$6-$G$3,22))),0)))))</f>
        <v>0</v>
      </c>
      <c r="F39" s="27" t="n">
        <f aca="false">IF(COUNT('Arroz irrigado'!$E37:$Z37)=0,0,MAX(0,IF((F$6-$E$3)&lt;1,0,IFERROR(LOOKUP(2,1/('Arroz irrigado'!$E37:INDEX('Arroz irrigado'!$E37:$Z37,MIN(F$6-$E$3,22))&lt;&gt;""),'Arroz irrigado'!$E37:INDEX('Arroz irrigado'!$E37:$Z37,MIN(F$6-$E$3,22))),0))-IF($G$2,0,IF((F$6-$G$3)&lt;1,0,IFERROR(LOOKUP(2,1/('Arroz irrigado'!$E37:INDEX('Arroz irrigado'!$E37:$Z37,MIN(F$6-$G$3,22))&lt;&gt;""),'Arroz irrigado'!$E37:INDEX('Arroz irrigado'!$E37:$Z37,MIN(F$6-$G$3,22))),0)))))</f>
        <v>0</v>
      </c>
      <c r="G39" s="27" t="n">
        <f aca="false">IF(COUNT('Arroz irrigado'!$E37:$Z37)=0,0,MAX(0,IF((G$6-$E$3)&lt;1,0,IFERROR(LOOKUP(2,1/('Arroz irrigado'!$E37:INDEX('Arroz irrigado'!$E37:$Z37,MIN(G$6-$E$3,22))&lt;&gt;""),'Arroz irrigado'!$E37:INDEX('Arroz irrigado'!$E37:$Z37,MIN(G$6-$E$3,22))),0))-IF($G$2,0,IF((G$6-$G$3)&lt;1,0,IFERROR(LOOKUP(2,1/('Arroz irrigado'!$E37:INDEX('Arroz irrigado'!$E37:$Z37,MIN(G$6-$G$3,22))&lt;&gt;""),'Arroz irrigado'!$E37:INDEX('Arroz irrigado'!$E37:$Z37,MIN(G$6-$G$3,22))),0)))))</f>
        <v>0</v>
      </c>
      <c r="H39" s="27" t="n">
        <f aca="false">IF(COUNT('Arroz irrigado'!$E37:$Z37)=0,0,MAX(0,IF((H$6-$E$3)&lt;1,0,IFERROR(LOOKUP(2,1/('Arroz irrigado'!$E37:INDEX('Arroz irrigado'!$E37:$Z37,MIN(H$6-$E$3,22))&lt;&gt;""),'Arroz irrigado'!$E37:INDEX('Arroz irrigado'!$E37:$Z37,MIN(H$6-$E$3,22))),0))-IF($G$2,0,IF((H$6-$G$3)&lt;1,0,IFERROR(LOOKUP(2,1/('Arroz irrigado'!$E37:INDEX('Arroz irrigado'!$E37:$Z37,MIN(H$6-$G$3,22))&lt;&gt;""),'Arroz irrigado'!$E37:INDEX('Arroz irrigado'!$E37:$Z37,MIN(H$6-$G$3,22))),0)))))</f>
        <v>0</v>
      </c>
      <c r="I39" s="27" t="n">
        <f aca="false">IF(COUNT('Arroz irrigado'!$E37:$Z37)=0,0,MAX(0,IF((I$6-$E$3)&lt;1,0,IFERROR(LOOKUP(2,1/('Arroz irrigado'!$E37:INDEX('Arroz irrigado'!$E37:$Z37,MIN(I$6-$E$3,22))&lt;&gt;""),'Arroz irrigado'!$E37:INDEX('Arroz irrigado'!$E37:$Z37,MIN(I$6-$E$3,22))),0))-IF($G$2,0,IF((I$6-$G$3)&lt;1,0,IFERROR(LOOKUP(2,1/('Arroz irrigado'!$E37:INDEX('Arroz irrigado'!$E37:$Z37,MIN(I$6-$G$3,22))&lt;&gt;""),'Arroz irrigado'!$E37:INDEX('Arroz irrigado'!$E37:$Z37,MIN(I$6-$G$3,22))),0)))))</f>
        <v>0</v>
      </c>
      <c r="J39" s="27" t="n">
        <f aca="false">IF(COUNT('Arroz irrigado'!$E37:$Z37)=0,0,MAX(0,IF((J$6-$E$3)&lt;1,0,IFERROR(LOOKUP(2,1/('Arroz irrigado'!$E37:INDEX('Arroz irrigado'!$E37:$Z37,MIN(J$6-$E$3,22))&lt;&gt;""),'Arroz irrigado'!$E37:INDEX('Arroz irrigado'!$E37:$Z37,MIN(J$6-$E$3,22))),0))-IF($G$2,0,IF((J$6-$G$3)&lt;1,0,IFERROR(LOOKUP(2,1/('Arroz irrigado'!$E37:INDEX('Arroz irrigado'!$E37:$Z37,MIN(J$6-$G$3,22))&lt;&gt;""),'Arroz irrigado'!$E37:INDEX('Arroz irrigado'!$E37:$Z37,MIN(J$6-$G$3,22))),0)))))</f>
        <v>0</v>
      </c>
      <c r="K39" s="27" t="n">
        <f aca="false">IF(COUNT('Arroz irrigado'!$E37:$Z37)=0,0,MAX(0,IF((K$6-$E$3)&lt;1,0,IFERROR(LOOKUP(2,1/('Arroz irrigado'!$E37:INDEX('Arroz irrigado'!$E37:$Z37,MIN(K$6-$E$3,22))&lt;&gt;""),'Arroz irrigado'!$E37:INDEX('Arroz irrigado'!$E37:$Z37,MIN(K$6-$E$3,22))),0))-IF($G$2,0,IF((K$6-$G$3)&lt;1,0,IFERROR(LOOKUP(2,1/('Arroz irrigado'!$E37:INDEX('Arroz irrigado'!$E37:$Z37,MIN(K$6-$G$3,22))&lt;&gt;""),'Arroz irrigado'!$E37:INDEX('Arroz irrigado'!$E37:$Z37,MIN(K$6-$G$3,22))),0)))))</f>
        <v>0</v>
      </c>
      <c r="L39" s="27" t="n">
        <f aca="false">IF(COUNT('Arroz irrigado'!$E37:$Z37)=0,0,MAX(0,IF((L$6-$E$3)&lt;1,0,IFERROR(LOOKUP(2,1/('Arroz irrigado'!$E37:INDEX('Arroz irrigado'!$E37:$Z37,MIN(L$6-$E$3,22))&lt;&gt;""),'Arroz irrigado'!$E37:INDEX('Arroz irrigado'!$E37:$Z37,MIN(L$6-$E$3,22))),0))-IF($G$2,0,IF((L$6-$G$3)&lt;1,0,IFERROR(LOOKUP(2,1/('Arroz irrigado'!$E37:INDEX('Arroz irrigado'!$E37:$Z37,MIN(L$6-$G$3,22))&lt;&gt;""),'Arroz irrigado'!$E37:INDEX('Arroz irrigado'!$E37:$Z37,MIN(L$6-$G$3,22))),0)))))</f>
        <v>0</v>
      </c>
      <c r="M39" s="27" t="n">
        <f aca="false">IF(COUNT('Arroz irrigado'!$E37:$Z37)=0,0,MAX(0,IF((M$6-$E$3)&lt;1,0,IFERROR(LOOKUP(2,1/('Arroz irrigado'!$E37:INDEX('Arroz irrigado'!$E37:$Z37,MIN(M$6-$E$3,22))&lt;&gt;""),'Arroz irrigado'!$E37:INDEX('Arroz irrigado'!$E37:$Z37,MIN(M$6-$E$3,22))),0))-IF($G$2,0,IF((M$6-$G$3)&lt;1,0,IFERROR(LOOKUP(2,1/('Arroz irrigado'!$E37:INDEX('Arroz irrigado'!$E37:$Z37,MIN(M$6-$G$3,22))&lt;&gt;""),'Arroz irrigado'!$E37:INDEX('Arroz irrigado'!$E37:$Z37,MIN(M$6-$G$3,22))),0)))))</f>
        <v>0</v>
      </c>
      <c r="N39" s="27" t="n">
        <f aca="false">IF(COUNT('Arroz irrigado'!$E37:$Z37)=0,0,MAX(0,IF((N$6-$E$3)&lt;1,0,IFERROR(LOOKUP(2,1/('Arroz irrigado'!$E37:INDEX('Arroz irrigado'!$E37:$Z37,MIN(N$6-$E$3,22))&lt;&gt;""),'Arroz irrigado'!$E37:INDEX('Arroz irrigado'!$E37:$Z37,MIN(N$6-$E$3,22))),0))-IF($G$2,0,IF((N$6-$G$3)&lt;1,0,IFERROR(LOOKUP(2,1/('Arroz irrigado'!$E37:INDEX('Arroz irrigado'!$E37:$Z37,MIN(N$6-$G$3,22))&lt;&gt;""),'Arroz irrigado'!$E37:INDEX('Arroz irrigado'!$E37:$Z37,MIN(N$6-$G$3,22))),0)))))</f>
        <v>0</v>
      </c>
      <c r="O39" s="27" t="n">
        <f aca="false">IF(COUNT('Arroz irrigado'!$E37:$Z37)=0,0,MAX(0,IF((O$6-$E$3)&lt;1,0,IFERROR(LOOKUP(2,1/('Arroz irrigado'!$E37:INDEX('Arroz irrigado'!$E37:$Z37,MIN(O$6-$E$3,22))&lt;&gt;""),'Arroz irrigado'!$E37:INDEX('Arroz irrigado'!$E37:$Z37,MIN(O$6-$E$3,22))),0))-IF($G$2,0,IF((O$6-$G$3)&lt;1,0,IFERROR(LOOKUP(2,1/('Arroz irrigado'!$E37:INDEX('Arroz irrigado'!$E37:$Z37,MIN(O$6-$G$3,22))&lt;&gt;""),'Arroz irrigado'!$E37:INDEX('Arroz irrigado'!$E37:$Z37,MIN(O$6-$G$3,22))),0)))))</f>
        <v>0</v>
      </c>
      <c r="P39" s="27" t="n">
        <f aca="false">IF(COUNT('Arroz irrigado'!$E37:$Z37)=0,0,MAX(0,IF((P$6-$E$3)&lt;1,0,IFERROR(LOOKUP(2,1/('Arroz irrigado'!$E37:INDEX('Arroz irrigado'!$E37:$Z37,MIN(P$6-$E$3,22))&lt;&gt;""),'Arroz irrigado'!$E37:INDEX('Arroz irrigado'!$E37:$Z37,MIN(P$6-$E$3,22))),0))-IF($G$2,0,IF((P$6-$G$3)&lt;1,0,IFERROR(LOOKUP(2,1/('Arroz irrigado'!$E37:INDEX('Arroz irrigado'!$E37:$Z37,MIN(P$6-$G$3,22))&lt;&gt;""),'Arroz irrigado'!$E37:INDEX('Arroz irrigado'!$E37:$Z37,MIN(P$6-$G$3,22))),0)))))</f>
        <v>0</v>
      </c>
      <c r="Q39" s="27" t="n">
        <f aca="false">IF(COUNT('Arroz irrigado'!$E37:$Z37)=0,0,MAX(0,IF((Q$6-$E$3)&lt;1,0,IFERROR(LOOKUP(2,1/('Arroz irrigado'!$E37:INDEX('Arroz irrigado'!$E37:$Z37,MIN(Q$6-$E$3,22))&lt;&gt;""),'Arroz irrigado'!$E37:INDEX('Arroz irrigado'!$E37:$Z37,MIN(Q$6-$E$3,22))),0))-IF($G$2,0,IF((Q$6-$G$3)&lt;1,0,IFERROR(LOOKUP(2,1/('Arroz irrigado'!$E37:INDEX('Arroz irrigado'!$E37:$Z37,MIN(Q$6-$G$3,22))&lt;&gt;""),'Arroz irrigado'!$E37:INDEX('Arroz irrigado'!$E37:$Z37,MIN(Q$6-$G$3,22))),0)))))</f>
        <v>0</v>
      </c>
      <c r="R39" s="27" t="n">
        <f aca="false">IF(COUNT('Arroz irrigado'!$E37:$Z37)=0,0,MAX(0,IF((R$6-$E$3)&lt;1,0,IFERROR(LOOKUP(2,1/('Arroz irrigado'!$E37:INDEX('Arroz irrigado'!$E37:$Z37,MIN(R$6-$E$3,22))&lt;&gt;""),'Arroz irrigado'!$E37:INDEX('Arroz irrigado'!$E37:$Z37,MIN(R$6-$E$3,22))),0))-IF($G$2,0,IF((R$6-$G$3)&lt;1,0,IFERROR(LOOKUP(2,1/('Arroz irrigado'!$E37:INDEX('Arroz irrigado'!$E37:$Z37,MIN(R$6-$G$3,22))&lt;&gt;""),'Arroz irrigado'!$E37:INDEX('Arroz irrigado'!$E37:$Z37,MIN(R$6-$G$3,22))),0)))))</f>
        <v>0</v>
      </c>
      <c r="S39" s="27" t="n">
        <f aca="false">IF(COUNT('Arroz irrigado'!$E37:$Z37)=0,0,MAX(0,IF((S$6-$E$3)&lt;1,0,IFERROR(LOOKUP(2,1/('Arroz irrigado'!$E37:INDEX('Arroz irrigado'!$E37:$Z37,MIN(S$6-$E$3,22))&lt;&gt;""),'Arroz irrigado'!$E37:INDEX('Arroz irrigado'!$E37:$Z37,MIN(S$6-$E$3,22))),0))-IF($G$2,0,IF((S$6-$G$3)&lt;1,0,IFERROR(LOOKUP(2,1/('Arroz irrigado'!$E37:INDEX('Arroz irrigado'!$E37:$Z37,MIN(S$6-$G$3,22))&lt;&gt;""),'Arroz irrigado'!$E37:INDEX('Arroz irrigado'!$E37:$Z37,MIN(S$6-$G$3,22))),0)))))</f>
        <v>0</v>
      </c>
      <c r="T39" s="27" t="n">
        <f aca="false">IF(COUNT('Arroz irrigado'!$E37:$Z37)=0,0,MAX(0,IF((T$6-$E$3)&lt;1,0,IFERROR(LOOKUP(2,1/('Arroz irrigado'!$E37:INDEX('Arroz irrigado'!$E37:$Z37,MIN(T$6-$E$3,22))&lt;&gt;""),'Arroz irrigado'!$E37:INDEX('Arroz irrigado'!$E37:$Z37,MIN(T$6-$E$3,22))),0))-IF($G$2,0,IF((T$6-$G$3)&lt;1,0,IFERROR(LOOKUP(2,1/('Arroz irrigado'!$E37:INDEX('Arroz irrigado'!$E37:$Z37,MIN(T$6-$G$3,22))&lt;&gt;""),'Arroz irrigado'!$E37:INDEX('Arroz irrigado'!$E37:$Z37,MIN(T$6-$G$3,22))),0)))))</f>
        <v>0</v>
      </c>
      <c r="U39" s="27" t="n">
        <f aca="false">IF(COUNT('Arroz irrigado'!$E37:$Z37)=0,0,MAX(0,IF((U$6-$E$3)&lt;1,0,IFERROR(LOOKUP(2,1/('Arroz irrigado'!$E37:INDEX('Arroz irrigado'!$E37:$Z37,MIN(U$6-$E$3,22))&lt;&gt;""),'Arroz irrigado'!$E37:INDEX('Arroz irrigado'!$E37:$Z37,MIN(U$6-$E$3,22))),0))-IF($G$2,0,IF((U$6-$G$3)&lt;1,0,IFERROR(LOOKUP(2,1/('Arroz irrigado'!$E37:INDEX('Arroz irrigado'!$E37:$Z37,MIN(U$6-$G$3,22))&lt;&gt;""),'Arroz irrigado'!$E37:INDEX('Arroz irrigado'!$E37:$Z37,MIN(U$6-$G$3,22))),0)))))</f>
        <v>0</v>
      </c>
      <c r="V39" s="27" t="n">
        <f aca="false">IF(COUNT('Arroz irrigado'!$E37:$Z37)=0,0,MAX(0,IF((V$6-$E$3)&lt;1,0,IFERROR(LOOKUP(2,1/('Arroz irrigado'!$E37:INDEX('Arroz irrigado'!$E37:$Z37,MIN(V$6-$E$3,22))&lt;&gt;""),'Arroz irrigado'!$E37:INDEX('Arroz irrigado'!$E37:$Z37,MIN(V$6-$E$3,22))),0))-IF($G$2,0,IF((V$6-$G$3)&lt;1,0,IFERROR(LOOKUP(2,1/('Arroz irrigado'!$E37:INDEX('Arroz irrigado'!$E37:$Z37,MIN(V$6-$G$3,22))&lt;&gt;""),'Arroz irrigado'!$E37:INDEX('Arroz irrigado'!$E37:$Z37,MIN(V$6-$G$3,22))),0)))))</f>
        <v>0</v>
      </c>
      <c r="W39" s="27" t="n">
        <f aca="false">IF(COUNT('Arroz irrigado'!$E37:$Z37)=0,0,MAX(0,IF((W$6-$E$3)&lt;1,0,IFERROR(LOOKUP(2,1/('Arroz irrigado'!$E37:INDEX('Arroz irrigado'!$E37:$Z37,MIN(W$6-$E$3,22))&lt;&gt;""),'Arroz irrigado'!$E37:INDEX('Arroz irrigado'!$E37:$Z37,MIN(W$6-$E$3,22))),0))-IF($G$2,0,IF((W$6-$G$3)&lt;1,0,IFERROR(LOOKUP(2,1/('Arroz irrigado'!$E37:INDEX('Arroz irrigado'!$E37:$Z37,MIN(W$6-$G$3,22))&lt;&gt;""),'Arroz irrigado'!$E37:INDEX('Arroz irrigado'!$E37:$Z37,MIN(W$6-$G$3,22))),0)))))</f>
        <v>0</v>
      </c>
      <c r="X39" s="27" t="n">
        <f aca="false">IF(COUNT('Arroz irrigado'!$E37:$Z37)=0,0,MAX(0,IF((X$6-$E$3)&lt;1,0,IFERROR(LOOKUP(2,1/('Arroz irrigado'!$E37:INDEX('Arroz irrigado'!$E37:$Z37,MIN(X$6-$E$3,22))&lt;&gt;""),'Arroz irrigado'!$E37:INDEX('Arroz irrigado'!$E37:$Z37,MIN(X$6-$E$3,22))),0))-IF($G$2,0,IF((X$6-$G$3)&lt;1,0,IFERROR(LOOKUP(2,1/('Arroz irrigado'!$E37:INDEX('Arroz irrigado'!$E37:$Z37,MIN(X$6-$G$3,22))&lt;&gt;""),'Arroz irrigado'!$E37:INDEX('Arroz irrigado'!$E37:$Z37,MIN(X$6-$G$3,22))),0)))))</f>
        <v>0</v>
      </c>
      <c r="Y39" s="27" t="n">
        <f aca="false">IF(COUNT('Arroz irrigado'!$E37:$Z37)=0,0,MAX(0,IF((Y$6-$E$3)&lt;1,0,IFERROR(LOOKUP(2,1/('Arroz irrigado'!$E37:INDEX('Arroz irrigado'!$E37:$Z37,MIN(Y$6-$E$3,22))&lt;&gt;""),'Arroz irrigado'!$E37:INDEX('Arroz irrigado'!$E37:$Z37,MIN(Y$6-$E$3,22))),0))-IF($G$2,0,IF((Y$6-$G$3)&lt;1,0,IFERROR(LOOKUP(2,1/('Arroz irrigado'!$E37:INDEX('Arroz irrigado'!$E37:$Z37,MIN(Y$6-$G$3,22))&lt;&gt;""),'Arroz irrigado'!$E37:INDEX('Arroz irrigado'!$E37:$Z37,MIN(Y$6-$G$3,22))),0)))))</f>
        <v>0</v>
      </c>
      <c r="Z39" s="27" t="n">
        <f aca="false">IF(COUNT('Arroz irrigado'!$E37:$Z37)=0,0,MAX(0,IF((Z$6-$E$3)&lt;1,0,IFERROR(LOOKUP(2,1/('Arroz irrigado'!$E37:INDEX('Arroz irrigado'!$E37:$Z37,MIN(Z$6-$E$3,22))&lt;&gt;""),'Arroz irrigado'!$E37:INDEX('Arroz irrigado'!$E37:$Z37,MIN(Z$6-$E$3,22))),0))-IF($G$2,0,IF((Z$6-$G$3)&lt;1,0,IFERROR(LOOKUP(2,1/('Arroz irrigado'!$E37:INDEX('Arroz irrigado'!$E37:$Z37,MIN(Z$6-$G$3,22))&lt;&gt;""),'Arroz irrigado'!$E37:INDEX('Arroz irrigado'!$E37:$Z37,MIN(Z$6-$G$3,22))),0)))))</f>
        <v>0</v>
      </c>
      <c r="AA39" s="27" t="n">
        <f aca="false">IF(COUNT('Arroz irrigado'!$E37:$Z37)=0,0,MAX(0,IF((AA$6-$E$3)&lt;1,0,IFERROR(LOOKUP(2,1/('Arroz irrigado'!$E37:INDEX('Arroz irrigado'!$E37:$Z37,MIN(AA$6-$E$3,22))&lt;&gt;""),'Arroz irrigado'!$E37:INDEX('Arroz irrigado'!$E37:$Z37,MIN(AA$6-$E$3,22))),0))-IF($G$2,0,IF((AA$6-$G$3)&lt;1,0,IFERROR(LOOKUP(2,1/('Arroz irrigado'!$E37:INDEX('Arroz irrigado'!$E37:$Z37,MIN(AA$6-$G$3,22))&lt;&gt;""),'Arroz irrigado'!$E37:INDEX('Arroz irrigado'!$E37:$Z37,MIN(AA$6-$G$3,22))),0)))))</f>
        <v>0</v>
      </c>
      <c r="AB39" s="27" t="n">
        <f aca="false">IF(COUNT('Arroz irrigado'!$E37:$Z37)=0,0,MAX(0,IF((AB$6-$E$3)&lt;1,0,IFERROR(LOOKUP(2,1/('Arroz irrigado'!$E37:INDEX('Arroz irrigado'!$E37:$Z37,MIN(AB$6-$E$3,22))&lt;&gt;""),'Arroz irrigado'!$E37:INDEX('Arroz irrigado'!$E37:$Z37,MIN(AB$6-$E$3,22))),0))-IF($G$2,0,IF((AB$6-$G$3)&lt;1,0,IFERROR(LOOKUP(2,1/('Arroz irrigado'!$E37:INDEX('Arroz irrigado'!$E37:$Z37,MIN(AB$6-$G$3,22))&lt;&gt;""),'Arroz irrigado'!$E37:INDEX('Arroz irrigado'!$E37:$Z37,MIN(AB$6-$G$3,22))),0)))))</f>
        <v>0</v>
      </c>
      <c r="AC39" s="27" t="n">
        <f aca="false">IF(COUNT('Arroz irrigado'!$E37:$Z37)=0,0,MAX(0,IF((AC$6-$E$3)&lt;1,0,IFERROR(LOOKUP(2,1/('Arroz irrigado'!$E37:INDEX('Arroz irrigado'!$E37:$Z37,MIN(AC$6-$E$3,22))&lt;&gt;""),'Arroz irrigado'!$E37:INDEX('Arroz irrigado'!$E37:$Z37,MIN(AC$6-$E$3,22))),0))-IF($G$2,0,IF((AC$6-$G$3)&lt;1,0,IFERROR(LOOKUP(2,1/('Arroz irrigado'!$E37:INDEX('Arroz irrigado'!$E37:$Z37,MIN(AC$6-$G$3,22))&lt;&gt;""),'Arroz irrigado'!$E37:INDEX('Arroz irrigado'!$E37:$Z37,MIN(AC$6-$G$3,22))),0)))))</f>
        <v>0</v>
      </c>
      <c r="AD39" s="27" t="n">
        <f aca="false">IF(COUNT('Arroz irrigado'!$E37:$Z37)=0,0,MAX(0,IF((AD$6-$E$3)&lt;1,0,IFERROR(LOOKUP(2,1/('Arroz irrigado'!$E37:INDEX('Arroz irrigado'!$E37:$Z37,MIN(AD$6-$E$3,22))&lt;&gt;""),'Arroz irrigado'!$E37:INDEX('Arroz irrigado'!$E37:$Z37,MIN(AD$6-$E$3,22))),0))-IF($G$2,0,IF((AD$6-$G$3)&lt;1,0,IFERROR(LOOKUP(2,1/('Arroz irrigado'!$E37:INDEX('Arroz irrigado'!$E37:$Z37,MIN(AD$6-$G$3,22))&lt;&gt;""),'Arroz irrigado'!$E37:INDEX('Arroz irrigado'!$E37:$Z37,MIN(AD$6-$G$3,22))),0)))))</f>
        <v>0</v>
      </c>
      <c r="AE39" s="27" t="n">
        <f aca="false">IF(COUNT('Arroz irrigado'!$E37:$Z37)=0,0,MAX(0,IF((AE$6-$E$3)&lt;1,0,IFERROR(LOOKUP(2,1/('Arroz irrigado'!$E37:INDEX('Arroz irrigado'!$E37:$Z37,MIN(AE$6-$E$3,22))&lt;&gt;""),'Arroz irrigado'!$E37:INDEX('Arroz irrigado'!$E37:$Z37,MIN(AE$6-$E$3,22))),0))-IF($G$2,0,IF((AE$6-$G$3)&lt;1,0,IFERROR(LOOKUP(2,1/('Arroz irrigado'!$E37:INDEX('Arroz irrigado'!$E37:$Z37,MIN(AE$6-$G$3,22))&lt;&gt;""),'Arroz irrigado'!$E37:INDEX('Arroz irrigado'!$E37:$Z37,MIN(AE$6-$G$3,22))),0)))))</f>
        <v>0</v>
      </c>
      <c r="AF39" s="27" t="n">
        <f aca="false">IF(COUNT('Arroz irrigado'!$E37:$Z37)=0,0,MAX(0,IF((AF$6-$E$3)&lt;1,0,IFERROR(LOOKUP(2,1/('Arroz irrigado'!$E37:INDEX('Arroz irrigado'!$E37:$Z37,MIN(AF$6-$E$3,22))&lt;&gt;""),'Arroz irrigado'!$E37:INDEX('Arroz irrigado'!$E37:$Z37,MIN(AF$6-$E$3,22))),0))-IF($G$2,0,IF((AF$6-$G$3)&lt;1,0,IFERROR(LOOKUP(2,1/('Arroz irrigado'!$E37:INDEX('Arroz irrigado'!$E37:$Z37,MIN(AF$6-$G$3,22))&lt;&gt;""),'Arroz irrigado'!$E37:INDEX('Arroz irrigado'!$E37:$Z37,MIN(AF$6-$G$3,22))),0)))))</f>
        <v>0</v>
      </c>
      <c r="AG39" s="27" t="n">
        <f aca="false">IF(COUNT('Arroz irrigado'!$E37:$Z37)=0,0,MAX(0,IF((AG$6-$E$3)&lt;1,0,IFERROR(LOOKUP(2,1/('Arroz irrigado'!$E37:INDEX('Arroz irrigado'!$E37:$Z37,MIN(AG$6-$E$3,22))&lt;&gt;""),'Arroz irrigado'!$E37:INDEX('Arroz irrigado'!$E37:$Z37,MIN(AG$6-$E$3,22))),0))-IF($G$2,0,IF((AG$6-$G$3)&lt;1,0,IFERROR(LOOKUP(2,1/('Arroz irrigado'!$E37:INDEX('Arroz irrigado'!$E37:$Z37,MIN(AG$6-$G$3,22))&lt;&gt;""),'Arroz irrigado'!$E37:INDEX('Arroz irrigado'!$E37:$Z37,MIN(AG$6-$G$3,22))),0)))))</f>
        <v>0</v>
      </c>
      <c r="AH39" s="27" t="n">
        <f aca="false">IF(COUNT('Arroz irrigado'!$E37:$Z37)=0,0,MAX(0,IF((AH$6-$E$3)&lt;1,0,IFERROR(LOOKUP(2,1/('Arroz irrigado'!$E37:INDEX('Arroz irrigado'!$E37:$Z37,MIN(AH$6-$E$3,22))&lt;&gt;""),'Arroz irrigado'!$E37:INDEX('Arroz irrigado'!$E37:$Z37,MIN(AH$6-$E$3,22))),0))-IF($G$2,0,IF((AH$6-$G$3)&lt;1,0,IFERROR(LOOKUP(2,1/('Arroz irrigado'!$E37:INDEX('Arroz irrigado'!$E37:$Z37,MIN(AH$6-$G$3,22))&lt;&gt;""),'Arroz irrigado'!$E37:INDEX('Arroz irrigado'!$E37:$Z37,MIN(AH$6-$G$3,22))),0)))))</f>
        <v>0</v>
      </c>
      <c r="AI39" s="27" t="n">
        <f aca="false">IF(COUNT('Arroz irrigado'!$E37:$Z37)=0,0,MAX(0,IF((AI$6-$E$3)&lt;1,0,IFERROR(LOOKUP(2,1/('Arroz irrigado'!$E37:INDEX('Arroz irrigado'!$E37:$Z37,MIN(AI$6-$E$3,22))&lt;&gt;""),'Arroz irrigado'!$E37:INDEX('Arroz irrigado'!$E37:$Z37,MIN(AI$6-$E$3,22))),0))-IF($G$2,0,IF((AI$6-$G$3)&lt;1,0,IFERROR(LOOKUP(2,1/('Arroz irrigado'!$E37:INDEX('Arroz irrigado'!$E37:$Z37,MIN(AI$6-$G$3,22))&lt;&gt;""),'Arroz irrigado'!$E37:INDEX('Arroz irrigado'!$E37:$Z37,MIN(AI$6-$G$3,22))),0)))))</f>
        <v>0</v>
      </c>
      <c r="AJ39" s="27" t="n">
        <f aca="false">IF(COUNT('Arroz irrigado'!$E37:$Z37)=0,0,MAX(0,IF((AJ$6-$E$3)&lt;1,0,IFERROR(LOOKUP(2,1/('Arroz irrigado'!$E37:INDEX('Arroz irrigado'!$E37:$Z37,MIN(AJ$6-$E$3,22))&lt;&gt;""),'Arroz irrigado'!$E37:INDEX('Arroz irrigado'!$E37:$Z37,MIN(AJ$6-$E$3,22))),0))-IF($G$2,0,IF((AJ$6-$G$3)&lt;1,0,IFERROR(LOOKUP(2,1/('Arroz irrigado'!$E37:INDEX('Arroz irrigado'!$E37:$Z37,MIN(AJ$6-$G$3,22))&lt;&gt;""),'Arroz irrigado'!$E37:INDEX('Arroz irrigado'!$E37:$Z37,MIN(AJ$6-$G$3,22))),0)))))</f>
        <v>0</v>
      </c>
      <c r="AK39" s="27" t="n">
        <f aca="false">IF(COUNT('Arroz irrigado'!$E37:$Z37)=0,0,MAX(0,IF((AK$6-$E$3)&lt;1,0,IFERROR(LOOKUP(2,1/('Arroz irrigado'!$E37:INDEX('Arroz irrigado'!$E37:$Z37,MIN(AK$6-$E$3,22))&lt;&gt;""),'Arroz irrigado'!$E37:INDEX('Arroz irrigado'!$E37:$Z37,MIN(AK$6-$E$3,22))),0))-IF($G$2,0,IF((AK$6-$G$3)&lt;1,0,IFERROR(LOOKUP(2,1/('Arroz irrigado'!$E37:INDEX('Arroz irrigado'!$E37:$Z37,MIN(AK$6-$G$3,22))&lt;&gt;""),'Arroz irrigado'!$E37:INDEX('Arroz irrigado'!$E37:$Z37,MIN(AK$6-$G$3,22))),0)))))</f>
        <v>0</v>
      </c>
      <c r="AL39" s="27" t="n">
        <f aca="false">IF(COUNT('Arroz irrigado'!$E37:$Z37)=0,0,MAX(0,IF((AL$6-$E$3)&lt;1,0,IFERROR(LOOKUP(2,1/('Arroz irrigado'!$E37:INDEX('Arroz irrigado'!$E37:$Z37,MIN(AL$6-$E$3,22))&lt;&gt;""),'Arroz irrigado'!$E37:INDEX('Arroz irrigado'!$E37:$Z37,MIN(AL$6-$E$3,22))),0))-IF($G$2,0,IF((AL$6-$G$3)&lt;1,0,IFERROR(LOOKUP(2,1/('Arroz irrigado'!$E37:INDEX('Arroz irrigado'!$E37:$Z37,MIN(AL$6-$G$3,22))&lt;&gt;""),'Arroz irrigado'!$E37:INDEX('Arroz irrigado'!$E37:$Z37,MIN(AL$6-$G$3,22))),0)))))</f>
        <v>0</v>
      </c>
      <c r="AM39" s="27" t="n">
        <f aca="false">IF(COUNT('Arroz irrigado'!$E37:$Z37)=0,0,MAX(0,IF((AM$6-$E$3)&lt;1,0,IFERROR(LOOKUP(2,1/('Arroz irrigado'!$E37:INDEX('Arroz irrigado'!$E37:$Z37,MIN(AM$6-$E$3,22))&lt;&gt;""),'Arroz irrigado'!$E37:INDEX('Arroz irrigado'!$E37:$Z37,MIN(AM$6-$E$3,22))),0))-IF($G$2,0,IF((AM$6-$G$3)&lt;1,0,IFERROR(LOOKUP(2,1/('Arroz irrigado'!$E37:INDEX('Arroz irrigado'!$E37:$Z37,MIN(AM$6-$G$3,22))&lt;&gt;""),'Arroz irrigado'!$E37:INDEX('Arroz irrigado'!$E37:$Z37,MIN(AM$6-$G$3,22))),0)))))</f>
        <v>0</v>
      </c>
      <c r="AN39" s="27" t="n">
        <f aca="false">IF(COUNT('Arroz irrigado'!$E37:$Z37)=0,0,MAX(0,IF((AN$6-$E$3)&lt;1,0,IFERROR(LOOKUP(2,1/('Arroz irrigado'!$E37:INDEX('Arroz irrigado'!$E37:$Z37,MIN(AN$6-$E$3,22))&lt;&gt;""),'Arroz irrigado'!$E37:INDEX('Arroz irrigado'!$E37:$Z37,MIN(AN$6-$E$3,22))),0))-IF($G$2,0,IF((AN$6-$G$3)&lt;1,0,IFERROR(LOOKUP(2,1/('Arroz irrigado'!$E37:INDEX('Arroz irrigado'!$E37:$Z37,MIN(AN$6-$G$3,22))&lt;&gt;""),'Arroz irrigado'!$E37:INDEX('Arroz irrigado'!$E37:$Z37,MIN(AN$6-$G$3,22))),0)))))</f>
        <v>0</v>
      </c>
      <c r="AO39" s="27" t="n">
        <f aca="false">IF(COUNT('Arroz irrigado'!$E37:$Z37)=0,0,MAX(0,IF((AO$6-$E$3)&lt;1,0,IFERROR(LOOKUP(2,1/('Arroz irrigado'!$E37:INDEX('Arroz irrigado'!$E37:$Z37,MIN(AO$6-$E$3,22))&lt;&gt;""),'Arroz irrigado'!$E37:INDEX('Arroz irrigado'!$E37:$Z37,MIN(AO$6-$E$3,22))),0))-IF($G$2,0,IF((AO$6-$G$3)&lt;1,0,IFERROR(LOOKUP(2,1/('Arroz irrigado'!$E37:INDEX('Arroz irrigado'!$E37:$Z37,MIN(AO$6-$G$3,22))&lt;&gt;""),'Arroz irrigado'!$E37:INDEX('Arroz irrigado'!$E37:$Z37,MIN(AO$6-$G$3,22))),0)))))</f>
        <v>0</v>
      </c>
      <c r="AP39" s="27" t="n">
        <f aca="false">IF(COUNT('Arroz irrigado'!$E37:$Z37)=0,0,MAX(0,IF((AP$6-$E$3)&lt;1,0,IFERROR(LOOKUP(2,1/('Arroz irrigado'!$E37:INDEX('Arroz irrigado'!$E37:$Z37,MIN(AP$6-$E$3,22))&lt;&gt;""),'Arroz irrigado'!$E37:INDEX('Arroz irrigado'!$E37:$Z37,MIN(AP$6-$E$3,22))),0))-IF($G$2,0,IF((AP$6-$G$3)&lt;1,0,IFERROR(LOOKUP(2,1/('Arroz irrigado'!$E37:INDEX('Arroz irrigado'!$E37:$Z37,MIN(AP$6-$G$3,22))&lt;&gt;""),'Arroz irrigado'!$E37:INDEX('Arroz irrigado'!$E37:$Z37,MIN(AP$6-$G$3,22))),0)))))</f>
        <v>0</v>
      </c>
      <c r="AQ39" s="27" t="n">
        <f aca="false">IF(COUNT('Arroz irrigado'!$E37:$Z37)=0,0,MAX(0,IF((AQ$6-$E$3)&lt;1,0,IFERROR(LOOKUP(2,1/('Arroz irrigado'!$E37:INDEX('Arroz irrigado'!$E37:$Z37,MIN(AQ$6-$E$3,22))&lt;&gt;""),'Arroz irrigado'!$E37:INDEX('Arroz irrigado'!$E37:$Z37,MIN(AQ$6-$E$3,22))),0))-IF($G$2,0,IF((AQ$6-$G$3)&lt;1,0,IFERROR(LOOKUP(2,1/('Arroz irrigado'!$E37:INDEX('Arroz irrigado'!$E37:$Z37,MIN(AQ$6-$G$3,22))&lt;&gt;""),'Arroz irrigado'!$E37:INDEX('Arroz irrigado'!$E37:$Z37,MIN(AQ$6-$G$3,22))),0)))))</f>
        <v>0</v>
      </c>
      <c r="AR39" s="27" t="n">
        <f aca="false">IF(COUNT('Arroz irrigado'!$E37:$Z37)=0,0,MAX(0,IF((AR$6-$E$3)&lt;1,0,IFERROR(LOOKUP(2,1/('Arroz irrigado'!$E37:INDEX('Arroz irrigado'!$E37:$Z37,MIN(AR$6-$E$3,22))&lt;&gt;""),'Arroz irrigado'!$E37:INDEX('Arroz irrigado'!$E37:$Z37,MIN(AR$6-$E$3,22))),0))-IF($G$2,0,IF((AR$6-$G$3)&lt;1,0,IFERROR(LOOKUP(2,1/('Arroz irrigado'!$E37:INDEX('Arroz irrigado'!$E37:$Z37,MIN(AR$6-$G$3,22))&lt;&gt;""),'Arroz irrigado'!$E37:INDEX('Arroz irrigado'!$E37:$Z37,MIN(AR$6-$G$3,22))),0)))))</f>
        <v>0</v>
      </c>
      <c r="AS39" s="27" t="n">
        <f aca="false">IF(COUNT('Arroz irrigado'!$E37:$Z37)=0,0,MAX(0,IF((AS$6-$E$3)&lt;1,0,IFERROR(LOOKUP(2,1/('Arroz irrigado'!$E37:INDEX('Arroz irrigado'!$E37:$Z37,MIN(AS$6-$E$3,22))&lt;&gt;""),'Arroz irrigado'!$E37:INDEX('Arroz irrigado'!$E37:$Z37,MIN(AS$6-$E$3,22))),0))-IF($G$2,0,IF((AS$6-$G$3)&lt;1,0,IFERROR(LOOKUP(2,1/('Arroz irrigado'!$E37:INDEX('Arroz irrigado'!$E37:$Z37,MIN(AS$6-$G$3,22))&lt;&gt;""),'Arroz irrigado'!$E37:INDEX('Arroz irrigado'!$E37:$Z37,MIN(AS$6-$G$3,22))),0)))))</f>
        <v>0</v>
      </c>
      <c r="AT39" s="27" t="n">
        <f aca="false">IF(COUNT('Arroz irrigado'!$E37:$Z37)=0,0,MAX(0,IF((AT$6-$E$3)&lt;1,0,IFERROR(LOOKUP(2,1/('Arroz irrigado'!$E37:INDEX('Arroz irrigado'!$E37:$Z37,MIN(AT$6-$E$3,22))&lt;&gt;""),'Arroz irrigado'!$E37:INDEX('Arroz irrigado'!$E37:$Z37,MIN(AT$6-$E$3,22))),0))-IF($G$2,0,IF((AT$6-$G$3)&lt;1,0,IFERROR(LOOKUP(2,1/('Arroz irrigado'!$E37:INDEX('Arroz irrigado'!$E37:$Z37,MIN(AT$6-$G$3,22))&lt;&gt;""),'Arroz irrigado'!$E37:INDEX('Arroz irrigado'!$E37:$Z37,MIN(AT$6-$G$3,22))),0)))))</f>
        <v>0</v>
      </c>
      <c r="AU39" s="27" t="n">
        <f aca="false">IF(COUNT('Arroz irrigado'!$E37:$Z37)=0,0,MAX(0,IF((AU$6-$E$3)&lt;1,0,IFERROR(LOOKUP(2,1/('Arroz irrigado'!$E37:INDEX('Arroz irrigado'!$E37:$Z37,MIN(AU$6-$E$3,22))&lt;&gt;""),'Arroz irrigado'!$E37:INDEX('Arroz irrigado'!$E37:$Z37,MIN(AU$6-$E$3,22))),0))-IF($G$2,0,IF((AU$6-$G$3)&lt;1,0,IFERROR(LOOKUP(2,1/('Arroz irrigado'!$E37:INDEX('Arroz irrigado'!$E37:$Z37,MIN(AU$6-$G$3,22))&lt;&gt;""),'Arroz irrigado'!$E37:INDEX('Arroz irrigado'!$E37:$Z37,MIN(AU$6-$G$3,22))),0)))))</f>
        <v>0</v>
      </c>
      <c r="AV39" s="27" t="n">
        <f aca="false">IF(COUNT('Arroz irrigado'!$E37:$Z37)=0,0,MAX(0,IF((AV$6-$E$3)&lt;1,0,IFERROR(LOOKUP(2,1/('Arroz irrigado'!$E37:INDEX('Arroz irrigado'!$E37:$Z37,MIN(AV$6-$E$3,22))&lt;&gt;""),'Arroz irrigado'!$E37:INDEX('Arroz irrigado'!$E37:$Z37,MIN(AV$6-$E$3,22))),0))-IF($G$2,0,IF((AV$6-$G$3)&lt;1,0,IFERROR(LOOKUP(2,1/('Arroz irrigado'!$E37:INDEX('Arroz irrigado'!$E37:$Z37,MIN(AV$6-$G$3,22))&lt;&gt;""),'Arroz irrigado'!$E37:INDEX('Arroz irrigado'!$E37:$Z37,MIN(AV$6-$G$3,22))),0)))))</f>
        <v>0</v>
      </c>
      <c r="AW39" s="27" t="n">
        <f aca="false">IF(COUNT('Arroz irrigado'!$E37:$Z37)=0,0,MAX(0,IF((AW$6-$E$3)&lt;1,0,IFERROR(LOOKUP(2,1/('Arroz irrigado'!$E37:INDEX('Arroz irrigado'!$E37:$Z37,MIN(AW$6-$E$3,22))&lt;&gt;""),'Arroz irrigado'!$E37:INDEX('Arroz irrigado'!$E37:$Z37,MIN(AW$6-$E$3,22))),0))-IF($G$2,0,IF((AW$6-$G$3)&lt;1,0,IFERROR(LOOKUP(2,1/('Arroz irrigado'!$E37:INDEX('Arroz irrigado'!$E37:$Z37,MIN(AW$6-$G$3,22))&lt;&gt;""),'Arroz irrigado'!$E37:INDEX('Arroz irrigado'!$E37:$Z37,MIN(AW$6-$G$3,22))),0)))))</f>
        <v>0</v>
      </c>
      <c r="AX39" s="27" t="n">
        <f aca="false">IF(COUNT('Arroz irrigado'!$E37:$Z37)=0,0,MAX(0,IF((AX$6-$E$3)&lt;1,0,IFERROR(LOOKUP(2,1/('Arroz irrigado'!$E37:INDEX('Arroz irrigado'!$E37:$Z37,MIN(AX$6-$E$3,22))&lt;&gt;""),'Arroz irrigado'!$E37:INDEX('Arroz irrigado'!$E37:$Z37,MIN(AX$6-$E$3,22))),0))-IF($G$2,0,IF((AX$6-$G$3)&lt;1,0,IFERROR(LOOKUP(2,1/('Arroz irrigado'!$E37:INDEX('Arroz irrigado'!$E37:$Z37,MIN(AX$6-$G$3,22))&lt;&gt;""),'Arroz irrigado'!$E37:INDEX('Arroz irrigado'!$E37:$Z37,MIN(AX$6-$G$3,22))),0)))))</f>
        <v>0</v>
      </c>
      <c r="AY39" s="27" t="n">
        <f aca="false">IF(COUNT('Arroz irrigado'!$E37:$Z37)=0,0,MAX(0,IF((AY$6-$E$3)&lt;1,0,IFERROR(LOOKUP(2,1/('Arroz irrigado'!$E37:INDEX('Arroz irrigado'!$E37:$Z37,MIN(AY$6-$E$3,22))&lt;&gt;""),'Arroz irrigado'!$E37:INDEX('Arroz irrigado'!$E37:$Z37,MIN(AY$6-$E$3,22))),0))-IF($G$2,0,IF((AY$6-$G$3)&lt;1,0,IFERROR(LOOKUP(2,1/('Arroz irrigado'!$E37:INDEX('Arroz irrigado'!$E37:$Z37,MIN(AY$6-$G$3,22))&lt;&gt;""),'Arroz irrigado'!$E37:INDEX('Arroz irrigado'!$E37:$Z37,MIN(AY$6-$G$3,22))),0)))))</f>
        <v>0</v>
      </c>
      <c r="AZ39" s="27" t="n">
        <f aca="false">IF(COUNT('Arroz irrigado'!$E37:$Z37)=0,0,MAX(0,IF((AZ$6-$E$3)&lt;1,0,IFERROR(LOOKUP(2,1/('Arroz irrigado'!$E37:INDEX('Arroz irrigado'!$E37:$Z37,MIN(AZ$6-$E$3,22))&lt;&gt;""),'Arroz irrigado'!$E37:INDEX('Arroz irrigado'!$E37:$Z37,MIN(AZ$6-$E$3,22))),0))-IF($G$2,0,IF((AZ$6-$G$3)&lt;1,0,IFERROR(LOOKUP(2,1/('Arroz irrigado'!$E37:INDEX('Arroz irrigado'!$E37:$Z37,MIN(AZ$6-$G$3,22))&lt;&gt;""),'Arroz irrigado'!$E37:INDEX('Arroz irrigado'!$E37:$Z37,MIN(AZ$6-$G$3,22))),0)))))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IF(COUNT('Arroz irrigado'!$E38:$Z38)&gt;0,N('Arroz irrigado'!$D38),0)</f>
        <v>0</v>
      </c>
      <c r="E40" s="27" t="n">
        <f aca="false">IF(COUNT('Arroz irrigado'!$E38:$Z38)=0,0,MAX(0,IF((E$6-$E$3)&lt;1,0,IFERROR(LOOKUP(2,1/('Arroz irrigado'!$E38:INDEX('Arroz irrigado'!$E38:$Z38,MIN(E$6-$E$3,22))&lt;&gt;""),'Arroz irrigado'!$E38:INDEX('Arroz irrigado'!$E38:$Z38,MIN(E$6-$E$3,22))),0))-IF($G$2,0,IF((E$6-$G$3)&lt;1,0,IFERROR(LOOKUP(2,1/('Arroz irrigado'!$E38:INDEX('Arroz irrigado'!$E38:$Z38,MIN(E$6-$G$3,22))&lt;&gt;""),'Arroz irrigado'!$E38:INDEX('Arroz irrigado'!$E38:$Z38,MIN(E$6-$G$3,22))),0)))))</f>
        <v>0</v>
      </c>
      <c r="F40" s="27" t="n">
        <f aca="false">IF(COUNT('Arroz irrigado'!$E38:$Z38)=0,0,MAX(0,IF((F$6-$E$3)&lt;1,0,IFERROR(LOOKUP(2,1/('Arroz irrigado'!$E38:INDEX('Arroz irrigado'!$E38:$Z38,MIN(F$6-$E$3,22))&lt;&gt;""),'Arroz irrigado'!$E38:INDEX('Arroz irrigado'!$E38:$Z38,MIN(F$6-$E$3,22))),0))-IF($G$2,0,IF((F$6-$G$3)&lt;1,0,IFERROR(LOOKUP(2,1/('Arroz irrigado'!$E38:INDEX('Arroz irrigado'!$E38:$Z38,MIN(F$6-$G$3,22))&lt;&gt;""),'Arroz irrigado'!$E38:INDEX('Arroz irrigado'!$E38:$Z38,MIN(F$6-$G$3,22))),0)))))</f>
        <v>0</v>
      </c>
      <c r="G40" s="27" t="n">
        <f aca="false">IF(COUNT('Arroz irrigado'!$E38:$Z38)=0,0,MAX(0,IF((G$6-$E$3)&lt;1,0,IFERROR(LOOKUP(2,1/('Arroz irrigado'!$E38:INDEX('Arroz irrigado'!$E38:$Z38,MIN(G$6-$E$3,22))&lt;&gt;""),'Arroz irrigado'!$E38:INDEX('Arroz irrigado'!$E38:$Z38,MIN(G$6-$E$3,22))),0))-IF($G$2,0,IF((G$6-$G$3)&lt;1,0,IFERROR(LOOKUP(2,1/('Arroz irrigado'!$E38:INDEX('Arroz irrigado'!$E38:$Z38,MIN(G$6-$G$3,22))&lt;&gt;""),'Arroz irrigado'!$E38:INDEX('Arroz irrigado'!$E38:$Z38,MIN(G$6-$G$3,22))),0)))))</f>
        <v>0</v>
      </c>
      <c r="H40" s="27" t="n">
        <f aca="false">IF(COUNT('Arroz irrigado'!$E38:$Z38)=0,0,MAX(0,IF((H$6-$E$3)&lt;1,0,IFERROR(LOOKUP(2,1/('Arroz irrigado'!$E38:INDEX('Arroz irrigado'!$E38:$Z38,MIN(H$6-$E$3,22))&lt;&gt;""),'Arroz irrigado'!$E38:INDEX('Arroz irrigado'!$E38:$Z38,MIN(H$6-$E$3,22))),0))-IF($G$2,0,IF((H$6-$G$3)&lt;1,0,IFERROR(LOOKUP(2,1/('Arroz irrigado'!$E38:INDEX('Arroz irrigado'!$E38:$Z38,MIN(H$6-$G$3,22))&lt;&gt;""),'Arroz irrigado'!$E38:INDEX('Arroz irrigado'!$E38:$Z38,MIN(H$6-$G$3,22))),0)))))</f>
        <v>0</v>
      </c>
      <c r="I40" s="27" t="n">
        <f aca="false">IF(COUNT('Arroz irrigado'!$E38:$Z38)=0,0,MAX(0,IF((I$6-$E$3)&lt;1,0,IFERROR(LOOKUP(2,1/('Arroz irrigado'!$E38:INDEX('Arroz irrigado'!$E38:$Z38,MIN(I$6-$E$3,22))&lt;&gt;""),'Arroz irrigado'!$E38:INDEX('Arroz irrigado'!$E38:$Z38,MIN(I$6-$E$3,22))),0))-IF($G$2,0,IF((I$6-$G$3)&lt;1,0,IFERROR(LOOKUP(2,1/('Arroz irrigado'!$E38:INDEX('Arroz irrigado'!$E38:$Z38,MIN(I$6-$G$3,22))&lt;&gt;""),'Arroz irrigado'!$E38:INDEX('Arroz irrigado'!$E38:$Z38,MIN(I$6-$G$3,22))),0)))))</f>
        <v>0</v>
      </c>
      <c r="J40" s="27" t="n">
        <f aca="false">IF(COUNT('Arroz irrigado'!$E38:$Z38)=0,0,MAX(0,IF((J$6-$E$3)&lt;1,0,IFERROR(LOOKUP(2,1/('Arroz irrigado'!$E38:INDEX('Arroz irrigado'!$E38:$Z38,MIN(J$6-$E$3,22))&lt;&gt;""),'Arroz irrigado'!$E38:INDEX('Arroz irrigado'!$E38:$Z38,MIN(J$6-$E$3,22))),0))-IF($G$2,0,IF((J$6-$G$3)&lt;1,0,IFERROR(LOOKUP(2,1/('Arroz irrigado'!$E38:INDEX('Arroz irrigado'!$E38:$Z38,MIN(J$6-$G$3,22))&lt;&gt;""),'Arroz irrigado'!$E38:INDEX('Arroz irrigado'!$E38:$Z38,MIN(J$6-$G$3,22))),0)))))</f>
        <v>0</v>
      </c>
      <c r="K40" s="27" t="n">
        <f aca="false">IF(COUNT('Arroz irrigado'!$E38:$Z38)=0,0,MAX(0,IF((K$6-$E$3)&lt;1,0,IFERROR(LOOKUP(2,1/('Arroz irrigado'!$E38:INDEX('Arroz irrigado'!$E38:$Z38,MIN(K$6-$E$3,22))&lt;&gt;""),'Arroz irrigado'!$E38:INDEX('Arroz irrigado'!$E38:$Z38,MIN(K$6-$E$3,22))),0))-IF($G$2,0,IF((K$6-$G$3)&lt;1,0,IFERROR(LOOKUP(2,1/('Arroz irrigado'!$E38:INDEX('Arroz irrigado'!$E38:$Z38,MIN(K$6-$G$3,22))&lt;&gt;""),'Arroz irrigado'!$E38:INDEX('Arroz irrigado'!$E38:$Z38,MIN(K$6-$G$3,22))),0)))))</f>
        <v>0</v>
      </c>
      <c r="L40" s="27" t="n">
        <f aca="false">IF(COUNT('Arroz irrigado'!$E38:$Z38)=0,0,MAX(0,IF((L$6-$E$3)&lt;1,0,IFERROR(LOOKUP(2,1/('Arroz irrigado'!$E38:INDEX('Arroz irrigado'!$E38:$Z38,MIN(L$6-$E$3,22))&lt;&gt;""),'Arroz irrigado'!$E38:INDEX('Arroz irrigado'!$E38:$Z38,MIN(L$6-$E$3,22))),0))-IF($G$2,0,IF((L$6-$G$3)&lt;1,0,IFERROR(LOOKUP(2,1/('Arroz irrigado'!$E38:INDEX('Arroz irrigado'!$E38:$Z38,MIN(L$6-$G$3,22))&lt;&gt;""),'Arroz irrigado'!$E38:INDEX('Arroz irrigado'!$E38:$Z38,MIN(L$6-$G$3,22))),0)))))</f>
        <v>0</v>
      </c>
      <c r="M40" s="27" t="n">
        <f aca="false">IF(COUNT('Arroz irrigado'!$E38:$Z38)=0,0,MAX(0,IF((M$6-$E$3)&lt;1,0,IFERROR(LOOKUP(2,1/('Arroz irrigado'!$E38:INDEX('Arroz irrigado'!$E38:$Z38,MIN(M$6-$E$3,22))&lt;&gt;""),'Arroz irrigado'!$E38:INDEX('Arroz irrigado'!$E38:$Z38,MIN(M$6-$E$3,22))),0))-IF($G$2,0,IF((M$6-$G$3)&lt;1,0,IFERROR(LOOKUP(2,1/('Arroz irrigado'!$E38:INDEX('Arroz irrigado'!$E38:$Z38,MIN(M$6-$G$3,22))&lt;&gt;""),'Arroz irrigado'!$E38:INDEX('Arroz irrigado'!$E38:$Z38,MIN(M$6-$G$3,22))),0)))))</f>
        <v>0</v>
      </c>
      <c r="N40" s="27" t="n">
        <f aca="false">IF(COUNT('Arroz irrigado'!$E38:$Z38)=0,0,MAX(0,IF((N$6-$E$3)&lt;1,0,IFERROR(LOOKUP(2,1/('Arroz irrigado'!$E38:INDEX('Arroz irrigado'!$E38:$Z38,MIN(N$6-$E$3,22))&lt;&gt;""),'Arroz irrigado'!$E38:INDEX('Arroz irrigado'!$E38:$Z38,MIN(N$6-$E$3,22))),0))-IF($G$2,0,IF((N$6-$G$3)&lt;1,0,IFERROR(LOOKUP(2,1/('Arroz irrigado'!$E38:INDEX('Arroz irrigado'!$E38:$Z38,MIN(N$6-$G$3,22))&lt;&gt;""),'Arroz irrigado'!$E38:INDEX('Arroz irrigado'!$E38:$Z38,MIN(N$6-$G$3,22))),0)))))</f>
        <v>0</v>
      </c>
      <c r="O40" s="27" t="n">
        <f aca="false">IF(COUNT('Arroz irrigado'!$E38:$Z38)=0,0,MAX(0,IF((O$6-$E$3)&lt;1,0,IFERROR(LOOKUP(2,1/('Arroz irrigado'!$E38:INDEX('Arroz irrigado'!$E38:$Z38,MIN(O$6-$E$3,22))&lt;&gt;""),'Arroz irrigado'!$E38:INDEX('Arroz irrigado'!$E38:$Z38,MIN(O$6-$E$3,22))),0))-IF($G$2,0,IF((O$6-$G$3)&lt;1,0,IFERROR(LOOKUP(2,1/('Arroz irrigado'!$E38:INDEX('Arroz irrigado'!$E38:$Z38,MIN(O$6-$G$3,22))&lt;&gt;""),'Arroz irrigado'!$E38:INDEX('Arroz irrigado'!$E38:$Z38,MIN(O$6-$G$3,22))),0)))))</f>
        <v>0</v>
      </c>
      <c r="P40" s="27" t="n">
        <f aca="false">IF(COUNT('Arroz irrigado'!$E38:$Z38)=0,0,MAX(0,IF((P$6-$E$3)&lt;1,0,IFERROR(LOOKUP(2,1/('Arroz irrigado'!$E38:INDEX('Arroz irrigado'!$E38:$Z38,MIN(P$6-$E$3,22))&lt;&gt;""),'Arroz irrigado'!$E38:INDEX('Arroz irrigado'!$E38:$Z38,MIN(P$6-$E$3,22))),0))-IF($G$2,0,IF((P$6-$G$3)&lt;1,0,IFERROR(LOOKUP(2,1/('Arroz irrigado'!$E38:INDEX('Arroz irrigado'!$E38:$Z38,MIN(P$6-$G$3,22))&lt;&gt;""),'Arroz irrigado'!$E38:INDEX('Arroz irrigado'!$E38:$Z38,MIN(P$6-$G$3,22))),0)))))</f>
        <v>0</v>
      </c>
      <c r="Q40" s="27" t="n">
        <f aca="false">IF(COUNT('Arroz irrigado'!$E38:$Z38)=0,0,MAX(0,IF((Q$6-$E$3)&lt;1,0,IFERROR(LOOKUP(2,1/('Arroz irrigado'!$E38:INDEX('Arroz irrigado'!$E38:$Z38,MIN(Q$6-$E$3,22))&lt;&gt;""),'Arroz irrigado'!$E38:INDEX('Arroz irrigado'!$E38:$Z38,MIN(Q$6-$E$3,22))),0))-IF($G$2,0,IF((Q$6-$G$3)&lt;1,0,IFERROR(LOOKUP(2,1/('Arroz irrigado'!$E38:INDEX('Arroz irrigado'!$E38:$Z38,MIN(Q$6-$G$3,22))&lt;&gt;""),'Arroz irrigado'!$E38:INDEX('Arroz irrigado'!$E38:$Z38,MIN(Q$6-$G$3,22))),0)))))</f>
        <v>0</v>
      </c>
      <c r="R40" s="27" t="n">
        <f aca="false">IF(COUNT('Arroz irrigado'!$E38:$Z38)=0,0,MAX(0,IF((R$6-$E$3)&lt;1,0,IFERROR(LOOKUP(2,1/('Arroz irrigado'!$E38:INDEX('Arroz irrigado'!$E38:$Z38,MIN(R$6-$E$3,22))&lt;&gt;""),'Arroz irrigado'!$E38:INDEX('Arroz irrigado'!$E38:$Z38,MIN(R$6-$E$3,22))),0))-IF($G$2,0,IF((R$6-$G$3)&lt;1,0,IFERROR(LOOKUP(2,1/('Arroz irrigado'!$E38:INDEX('Arroz irrigado'!$E38:$Z38,MIN(R$6-$G$3,22))&lt;&gt;""),'Arroz irrigado'!$E38:INDEX('Arroz irrigado'!$E38:$Z38,MIN(R$6-$G$3,22))),0)))))</f>
        <v>0</v>
      </c>
      <c r="S40" s="27" t="n">
        <f aca="false">IF(COUNT('Arroz irrigado'!$E38:$Z38)=0,0,MAX(0,IF((S$6-$E$3)&lt;1,0,IFERROR(LOOKUP(2,1/('Arroz irrigado'!$E38:INDEX('Arroz irrigado'!$E38:$Z38,MIN(S$6-$E$3,22))&lt;&gt;""),'Arroz irrigado'!$E38:INDEX('Arroz irrigado'!$E38:$Z38,MIN(S$6-$E$3,22))),0))-IF($G$2,0,IF((S$6-$G$3)&lt;1,0,IFERROR(LOOKUP(2,1/('Arroz irrigado'!$E38:INDEX('Arroz irrigado'!$E38:$Z38,MIN(S$6-$G$3,22))&lt;&gt;""),'Arroz irrigado'!$E38:INDEX('Arroz irrigado'!$E38:$Z38,MIN(S$6-$G$3,22))),0)))))</f>
        <v>0</v>
      </c>
      <c r="T40" s="27" t="n">
        <f aca="false">IF(COUNT('Arroz irrigado'!$E38:$Z38)=0,0,MAX(0,IF((T$6-$E$3)&lt;1,0,IFERROR(LOOKUP(2,1/('Arroz irrigado'!$E38:INDEX('Arroz irrigado'!$E38:$Z38,MIN(T$6-$E$3,22))&lt;&gt;""),'Arroz irrigado'!$E38:INDEX('Arroz irrigado'!$E38:$Z38,MIN(T$6-$E$3,22))),0))-IF($G$2,0,IF((T$6-$G$3)&lt;1,0,IFERROR(LOOKUP(2,1/('Arroz irrigado'!$E38:INDEX('Arroz irrigado'!$E38:$Z38,MIN(T$6-$G$3,22))&lt;&gt;""),'Arroz irrigado'!$E38:INDEX('Arroz irrigado'!$E38:$Z38,MIN(T$6-$G$3,22))),0)))))</f>
        <v>0</v>
      </c>
      <c r="U40" s="27" t="n">
        <f aca="false">IF(COUNT('Arroz irrigado'!$E38:$Z38)=0,0,MAX(0,IF((U$6-$E$3)&lt;1,0,IFERROR(LOOKUP(2,1/('Arroz irrigado'!$E38:INDEX('Arroz irrigado'!$E38:$Z38,MIN(U$6-$E$3,22))&lt;&gt;""),'Arroz irrigado'!$E38:INDEX('Arroz irrigado'!$E38:$Z38,MIN(U$6-$E$3,22))),0))-IF($G$2,0,IF((U$6-$G$3)&lt;1,0,IFERROR(LOOKUP(2,1/('Arroz irrigado'!$E38:INDEX('Arroz irrigado'!$E38:$Z38,MIN(U$6-$G$3,22))&lt;&gt;""),'Arroz irrigado'!$E38:INDEX('Arroz irrigado'!$E38:$Z38,MIN(U$6-$G$3,22))),0)))))</f>
        <v>0</v>
      </c>
      <c r="V40" s="27" t="n">
        <f aca="false">IF(COUNT('Arroz irrigado'!$E38:$Z38)=0,0,MAX(0,IF((V$6-$E$3)&lt;1,0,IFERROR(LOOKUP(2,1/('Arroz irrigado'!$E38:INDEX('Arroz irrigado'!$E38:$Z38,MIN(V$6-$E$3,22))&lt;&gt;""),'Arroz irrigado'!$E38:INDEX('Arroz irrigado'!$E38:$Z38,MIN(V$6-$E$3,22))),0))-IF($G$2,0,IF((V$6-$G$3)&lt;1,0,IFERROR(LOOKUP(2,1/('Arroz irrigado'!$E38:INDEX('Arroz irrigado'!$E38:$Z38,MIN(V$6-$G$3,22))&lt;&gt;""),'Arroz irrigado'!$E38:INDEX('Arroz irrigado'!$E38:$Z38,MIN(V$6-$G$3,22))),0)))))</f>
        <v>0</v>
      </c>
      <c r="W40" s="27" t="n">
        <f aca="false">IF(COUNT('Arroz irrigado'!$E38:$Z38)=0,0,MAX(0,IF((W$6-$E$3)&lt;1,0,IFERROR(LOOKUP(2,1/('Arroz irrigado'!$E38:INDEX('Arroz irrigado'!$E38:$Z38,MIN(W$6-$E$3,22))&lt;&gt;""),'Arroz irrigado'!$E38:INDEX('Arroz irrigado'!$E38:$Z38,MIN(W$6-$E$3,22))),0))-IF($G$2,0,IF((W$6-$G$3)&lt;1,0,IFERROR(LOOKUP(2,1/('Arroz irrigado'!$E38:INDEX('Arroz irrigado'!$E38:$Z38,MIN(W$6-$G$3,22))&lt;&gt;""),'Arroz irrigado'!$E38:INDEX('Arroz irrigado'!$E38:$Z38,MIN(W$6-$G$3,22))),0)))))</f>
        <v>0</v>
      </c>
      <c r="X40" s="27" t="n">
        <f aca="false">IF(COUNT('Arroz irrigado'!$E38:$Z38)=0,0,MAX(0,IF((X$6-$E$3)&lt;1,0,IFERROR(LOOKUP(2,1/('Arroz irrigado'!$E38:INDEX('Arroz irrigado'!$E38:$Z38,MIN(X$6-$E$3,22))&lt;&gt;""),'Arroz irrigado'!$E38:INDEX('Arroz irrigado'!$E38:$Z38,MIN(X$6-$E$3,22))),0))-IF($G$2,0,IF((X$6-$G$3)&lt;1,0,IFERROR(LOOKUP(2,1/('Arroz irrigado'!$E38:INDEX('Arroz irrigado'!$E38:$Z38,MIN(X$6-$G$3,22))&lt;&gt;""),'Arroz irrigado'!$E38:INDEX('Arroz irrigado'!$E38:$Z38,MIN(X$6-$G$3,22))),0)))))</f>
        <v>0</v>
      </c>
      <c r="Y40" s="27" t="n">
        <f aca="false">IF(COUNT('Arroz irrigado'!$E38:$Z38)=0,0,MAX(0,IF((Y$6-$E$3)&lt;1,0,IFERROR(LOOKUP(2,1/('Arroz irrigado'!$E38:INDEX('Arroz irrigado'!$E38:$Z38,MIN(Y$6-$E$3,22))&lt;&gt;""),'Arroz irrigado'!$E38:INDEX('Arroz irrigado'!$E38:$Z38,MIN(Y$6-$E$3,22))),0))-IF($G$2,0,IF((Y$6-$G$3)&lt;1,0,IFERROR(LOOKUP(2,1/('Arroz irrigado'!$E38:INDEX('Arroz irrigado'!$E38:$Z38,MIN(Y$6-$G$3,22))&lt;&gt;""),'Arroz irrigado'!$E38:INDEX('Arroz irrigado'!$E38:$Z38,MIN(Y$6-$G$3,22))),0)))))</f>
        <v>0</v>
      </c>
      <c r="Z40" s="27" t="n">
        <f aca="false">IF(COUNT('Arroz irrigado'!$E38:$Z38)=0,0,MAX(0,IF((Z$6-$E$3)&lt;1,0,IFERROR(LOOKUP(2,1/('Arroz irrigado'!$E38:INDEX('Arroz irrigado'!$E38:$Z38,MIN(Z$6-$E$3,22))&lt;&gt;""),'Arroz irrigado'!$E38:INDEX('Arroz irrigado'!$E38:$Z38,MIN(Z$6-$E$3,22))),0))-IF($G$2,0,IF((Z$6-$G$3)&lt;1,0,IFERROR(LOOKUP(2,1/('Arroz irrigado'!$E38:INDEX('Arroz irrigado'!$E38:$Z38,MIN(Z$6-$G$3,22))&lt;&gt;""),'Arroz irrigado'!$E38:INDEX('Arroz irrigado'!$E38:$Z38,MIN(Z$6-$G$3,22))),0)))))</f>
        <v>0</v>
      </c>
      <c r="AA40" s="27" t="n">
        <f aca="false">IF(COUNT('Arroz irrigado'!$E38:$Z38)=0,0,MAX(0,IF((AA$6-$E$3)&lt;1,0,IFERROR(LOOKUP(2,1/('Arroz irrigado'!$E38:INDEX('Arroz irrigado'!$E38:$Z38,MIN(AA$6-$E$3,22))&lt;&gt;""),'Arroz irrigado'!$E38:INDEX('Arroz irrigado'!$E38:$Z38,MIN(AA$6-$E$3,22))),0))-IF($G$2,0,IF((AA$6-$G$3)&lt;1,0,IFERROR(LOOKUP(2,1/('Arroz irrigado'!$E38:INDEX('Arroz irrigado'!$E38:$Z38,MIN(AA$6-$G$3,22))&lt;&gt;""),'Arroz irrigado'!$E38:INDEX('Arroz irrigado'!$E38:$Z38,MIN(AA$6-$G$3,22))),0)))))</f>
        <v>0</v>
      </c>
      <c r="AB40" s="27" t="n">
        <f aca="false">IF(COUNT('Arroz irrigado'!$E38:$Z38)=0,0,MAX(0,IF((AB$6-$E$3)&lt;1,0,IFERROR(LOOKUP(2,1/('Arroz irrigado'!$E38:INDEX('Arroz irrigado'!$E38:$Z38,MIN(AB$6-$E$3,22))&lt;&gt;""),'Arroz irrigado'!$E38:INDEX('Arroz irrigado'!$E38:$Z38,MIN(AB$6-$E$3,22))),0))-IF($G$2,0,IF((AB$6-$G$3)&lt;1,0,IFERROR(LOOKUP(2,1/('Arroz irrigado'!$E38:INDEX('Arroz irrigado'!$E38:$Z38,MIN(AB$6-$G$3,22))&lt;&gt;""),'Arroz irrigado'!$E38:INDEX('Arroz irrigado'!$E38:$Z38,MIN(AB$6-$G$3,22))),0)))))</f>
        <v>0</v>
      </c>
      <c r="AC40" s="27" t="n">
        <f aca="false">IF(COUNT('Arroz irrigado'!$E38:$Z38)=0,0,MAX(0,IF((AC$6-$E$3)&lt;1,0,IFERROR(LOOKUP(2,1/('Arroz irrigado'!$E38:INDEX('Arroz irrigado'!$E38:$Z38,MIN(AC$6-$E$3,22))&lt;&gt;""),'Arroz irrigado'!$E38:INDEX('Arroz irrigado'!$E38:$Z38,MIN(AC$6-$E$3,22))),0))-IF($G$2,0,IF((AC$6-$G$3)&lt;1,0,IFERROR(LOOKUP(2,1/('Arroz irrigado'!$E38:INDEX('Arroz irrigado'!$E38:$Z38,MIN(AC$6-$G$3,22))&lt;&gt;""),'Arroz irrigado'!$E38:INDEX('Arroz irrigado'!$E38:$Z38,MIN(AC$6-$G$3,22))),0)))))</f>
        <v>0</v>
      </c>
      <c r="AD40" s="27" t="n">
        <f aca="false">IF(COUNT('Arroz irrigado'!$E38:$Z38)=0,0,MAX(0,IF((AD$6-$E$3)&lt;1,0,IFERROR(LOOKUP(2,1/('Arroz irrigado'!$E38:INDEX('Arroz irrigado'!$E38:$Z38,MIN(AD$6-$E$3,22))&lt;&gt;""),'Arroz irrigado'!$E38:INDEX('Arroz irrigado'!$E38:$Z38,MIN(AD$6-$E$3,22))),0))-IF($G$2,0,IF((AD$6-$G$3)&lt;1,0,IFERROR(LOOKUP(2,1/('Arroz irrigado'!$E38:INDEX('Arroz irrigado'!$E38:$Z38,MIN(AD$6-$G$3,22))&lt;&gt;""),'Arroz irrigado'!$E38:INDEX('Arroz irrigado'!$E38:$Z38,MIN(AD$6-$G$3,22))),0)))))</f>
        <v>0</v>
      </c>
      <c r="AE40" s="27" t="n">
        <f aca="false">IF(COUNT('Arroz irrigado'!$E38:$Z38)=0,0,MAX(0,IF((AE$6-$E$3)&lt;1,0,IFERROR(LOOKUP(2,1/('Arroz irrigado'!$E38:INDEX('Arroz irrigado'!$E38:$Z38,MIN(AE$6-$E$3,22))&lt;&gt;""),'Arroz irrigado'!$E38:INDEX('Arroz irrigado'!$E38:$Z38,MIN(AE$6-$E$3,22))),0))-IF($G$2,0,IF((AE$6-$G$3)&lt;1,0,IFERROR(LOOKUP(2,1/('Arroz irrigado'!$E38:INDEX('Arroz irrigado'!$E38:$Z38,MIN(AE$6-$G$3,22))&lt;&gt;""),'Arroz irrigado'!$E38:INDEX('Arroz irrigado'!$E38:$Z38,MIN(AE$6-$G$3,22))),0)))))</f>
        <v>0</v>
      </c>
      <c r="AF40" s="27" t="n">
        <f aca="false">IF(COUNT('Arroz irrigado'!$E38:$Z38)=0,0,MAX(0,IF((AF$6-$E$3)&lt;1,0,IFERROR(LOOKUP(2,1/('Arroz irrigado'!$E38:INDEX('Arroz irrigado'!$E38:$Z38,MIN(AF$6-$E$3,22))&lt;&gt;""),'Arroz irrigado'!$E38:INDEX('Arroz irrigado'!$E38:$Z38,MIN(AF$6-$E$3,22))),0))-IF($G$2,0,IF((AF$6-$G$3)&lt;1,0,IFERROR(LOOKUP(2,1/('Arroz irrigado'!$E38:INDEX('Arroz irrigado'!$E38:$Z38,MIN(AF$6-$G$3,22))&lt;&gt;""),'Arroz irrigado'!$E38:INDEX('Arroz irrigado'!$E38:$Z38,MIN(AF$6-$G$3,22))),0)))))</f>
        <v>0</v>
      </c>
      <c r="AG40" s="27" t="n">
        <f aca="false">IF(COUNT('Arroz irrigado'!$E38:$Z38)=0,0,MAX(0,IF((AG$6-$E$3)&lt;1,0,IFERROR(LOOKUP(2,1/('Arroz irrigado'!$E38:INDEX('Arroz irrigado'!$E38:$Z38,MIN(AG$6-$E$3,22))&lt;&gt;""),'Arroz irrigado'!$E38:INDEX('Arroz irrigado'!$E38:$Z38,MIN(AG$6-$E$3,22))),0))-IF($G$2,0,IF((AG$6-$G$3)&lt;1,0,IFERROR(LOOKUP(2,1/('Arroz irrigado'!$E38:INDEX('Arroz irrigado'!$E38:$Z38,MIN(AG$6-$G$3,22))&lt;&gt;""),'Arroz irrigado'!$E38:INDEX('Arroz irrigado'!$E38:$Z38,MIN(AG$6-$G$3,22))),0)))))</f>
        <v>0</v>
      </c>
      <c r="AH40" s="27" t="n">
        <f aca="false">IF(COUNT('Arroz irrigado'!$E38:$Z38)=0,0,MAX(0,IF((AH$6-$E$3)&lt;1,0,IFERROR(LOOKUP(2,1/('Arroz irrigado'!$E38:INDEX('Arroz irrigado'!$E38:$Z38,MIN(AH$6-$E$3,22))&lt;&gt;""),'Arroz irrigado'!$E38:INDEX('Arroz irrigado'!$E38:$Z38,MIN(AH$6-$E$3,22))),0))-IF($G$2,0,IF((AH$6-$G$3)&lt;1,0,IFERROR(LOOKUP(2,1/('Arroz irrigado'!$E38:INDEX('Arroz irrigado'!$E38:$Z38,MIN(AH$6-$G$3,22))&lt;&gt;""),'Arroz irrigado'!$E38:INDEX('Arroz irrigado'!$E38:$Z38,MIN(AH$6-$G$3,22))),0)))))</f>
        <v>0</v>
      </c>
      <c r="AI40" s="27" t="n">
        <f aca="false">IF(COUNT('Arroz irrigado'!$E38:$Z38)=0,0,MAX(0,IF((AI$6-$E$3)&lt;1,0,IFERROR(LOOKUP(2,1/('Arroz irrigado'!$E38:INDEX('Arroz irrigado'!$E38:$Z38,MIN(AI$6-$E$3,22))&lt;&gt;""),'Arroz irrigado'!$E38:INDEX('Arroz irrigado'!$E38:$Z38,MIN(AI$6-$E$3,22))),0))-IF($G$2,0,IF((AI$6-$G$3)&lt;1,0,IFERROR(LOOKUP(2,1/('Arroz irrigado'!$E38:INDEX('Arroz irrigado'!$E38:$Z38,MIN(AI$6-$G$3,22))&lt;&gt;""),'Arroz irrigado'!$E38:INDEX('Arroz irrigado'!$E38:$Z38,MIN(AI$6-$G$3,22))),0)))))</f>
        <v>0</v>
      </c>
      <c r="AJ40" s="27" t="n">
        <f aca="false">IF(COUNT('Arroz irrigado'!$E38:$Z38)=0,0,MAX(0,IF((AJ$6-$E$3)&lt;1,0,IFERROR(LOOKUP(2,1/('Arroz irrigado'!$E38:INDEX('Arroz irrigado'!$E38:$Z38,MIN(AJ$6-$E$3,22))&lt;&gt;""),'Arroz irrigado'!$E38:INDEX('Arroz irrigado'!$E38:$Z38,MIN(AJ$6-$E$3,22))),0))-IF($G$2,0,IF((AJ$6-$G$3)&lt;1,0,IFERROR(LOOKUP(2,1/('Arroz irrigado'!$E38:INDEX('Arroz irrigado'!$E38:$Z38,MIN(AJ$6-$G$3,22))&lt;&gt;""),'Arroz irrigado'!$E38:INDEX('Arroz irrigado'!$E38:$Z38,MIN(AJ$6-$G$3,22))),0)))))</f>
        <v>0</v>
      </c>
      <c r="AK40" s="27" t="n">
        <f aca="false">IF(COUNT('Arroz irrigado'!$E38:$Z38)=0,0,MAX(0,IF((AK$6-$E$3)&lt;1,0,IFERROR(LOOKUP(2,1/('Arroz irrigado'!$E38:INDEX('Arroz irrigado'!$E38:$Z38,MIN(AK$6-$E$3,22))&lt;&gt;""),'Arroz irrigado'!$E38:INDEX('Arroz irrigado'!$E38:$Z38,MIN(AK$6-$E$3,22))),0))-IF($G$2,0,IF((AK$6-$G$3)&lt;1,0,IFERROR(LOOKUP(2,1/('Arroz irrigado'!$E38:INDEX('Arroz irrigado'!$E38:$Z38,MIN(AK$6-$G$3,22))&lt;&gt;""),'Arroz irrigado'!$E38:INDEX('Arroz irrigado'!$E38:$Z38,MIN(AK$6-$G$3,22))),0)))))</f>
        <v>0</v>
      </c>
      <c r="AL40" s="27" t="n">
        <f aca="false">IF(COUNT('Arroz irrigado'!$E38:$Z38)=0,0,MAX(0,IF((AL$6-$E$3)&lt;1,0,IFERROR(LOOKUP(2,1/('Arroz irrigado'!$E38:INDEX('Arroz irrigado'!$E38:$Z38,MIN(AL$6-$E$3,22))&lt;&gt;""),'Arroz irrigado'!$E38:INDEX('Arroz irrigado'!$E38:$Z38,MIN(AL$6-$E$3,22))),0))-IF($G$2,0,IF((AL$6-$G$3)&lt;1,0,IFERROR(LOOKUP(2,1/('Arroz irrigado'!$E38:INDEX('Arroz irrigado'!$E38:$Z38,MIN(AL$6-$G$3,22))&lt;&gt;""),'Arroz irrigado'!$E38:INDEX('Arroz irrigado'!$E38:$Z38,MIN(AL$6-$G$3,22))),0)))))</f>
        <v>0</v>
      </c>
      <c r="AM40" s="27" t="n">
        <f aca="false">IF(COUNT('Arroz irrigado'!$E38:$Z38)=0,0,MAX(0,IF((AM$6-$E$3)&lt;1,0,IFERROR(LOOKUP(2,1/('Arroz irrigado'!$E38:INDEX('Arroz irrigado'!$E38:$Z38,MIN(AM$6-$E$3,22))&lt;&gt;""),'Arroz irrigado'!$E38:INDEX('Arroz irrigado'!$E38:$Z38,MIN(AM$6-$E$3,22))),0))-IF($G$2,0,IF((AM$6-$G$3)&lt;1,0,IFERROR(LOOKUP(2,1/('Arroz irrigado'!$E38:INDEX('Arroz irrigado'!$E38:$Z38,MIN(AM$6-$G$3,22))&lt;&gt;""),'Arroz irrigado'!$E38:INDEX('Arroz irrigado'!$E38:$Z38,MIN(AM$6-$G$3,22))),0)))))</f>
        <v>0</v>
      </c>
      <c r="AN40" s="27" t="n">
        <f aca="false">IF(COUNT('Arroz irrigado'!$E38:$Z38)=0,0,MAX(0,IF((AN$6-$E$3)&lt;1,0,IFERROR(LOOKUP(2,1/('Arroz irrigado'!$E38:INDEX('Arroz irrigado'!$E38:$Z38,MIN(AN$6-$E$3,22))&lt;&gt;""),'Arroz irrigado'!$E38:INDEX('Arroz irrigado'!$E38:$Z38,MIN(AN$6-$E$3,22))),0))-IF($G$2,0,IF((AN$6-$G$3)&lt;1,0,IFERROR(LOOKUP(2,1/('Arroz irrigado'!$E38:INDEX('Arroz irrigado'!$E38:$Z38,MIN(AN$6-$G$3,22))&lt;&gt;""),'Arroz irrigado'!$E38:INDEX('Arroz irrigado'!$E38:$Z38,MIN(AN$6-$G$3,22))),0)))))</f>
        <v>0</v>
      </c>
      <c r="AO40" s="27" t="n">
        <f aca="false">IF(COUNT('Arroz irrigado'!$E38:$Z38)=0,0,MAX(0,IF((AO$6-$E$3)&lt;1,0,IFERROR(LOOKUP(2,1/('Arroz irrigado'!$E38:INDEX('Arroz irrigado'!$E38:$Z38,MIN(AO$6-$E$3,22))&lt;&gt;""),'Arroz irrigado'!$E38:INDEX('Arroz irrigado'!$E38:$Z38,MIN(AO$6-$E$3,22))),0))-IF($G$2,0,IF((AO$6-$G$3)&lt;1,0,IFERROR(LOOKUP(2,1/('Arroz irrigado'!$E38:INDEX('Arroz irrigado'!$E38:$Z38,MIN(AO$6-$G$3,22))&lt;&gt;""),'Arroz irrigado'!$E38:INDEX('Arroz irrigado'!$E38:$Z38,MIN(AO$6-$G$3,22))),0)))))</f>
        <v>0</v>
      </c>
      <c r="AP40" s="27" t="n">
        <f aca="false">IF(COUNT('Arroz irrigado'!$E38:$Z38)=0,0,MAX(0,IF((AP$6-$E$3)&lt;1,0,IFERROR(LOOKUP(2,1/('Arroz irrigado'!$E38:INDEX('Arroz irrigado'!$E38:$Z38,MIN(AP$6-$E$3,22))&lt;&gt;""),'Arroz irrigado'!$E38:INDEX('Arroz irrigado'!$E38:$Z38,MIN(AP$6-$E$3,22))),0))-IF($G$2,0,IF((AP$6-$G$3)&lt;1,0,IFERROR(LOOKUP(2,1/('Arroz irrigado'!$E38:INDEX('Arroz irrigado'!$E38:$Z38,MIN(AP$6-$G$3,22))&lt;&gt;""),'Arroz irrigado'!$E38:INDEX('Arroz irrigado'!$E38:$Z38,MIN(AP$6-$G$3,22))),0)))))</f>
        <v>0</v>
      </c>
      <c r="AQ40" s="27" t="n">
        <f aca="false">IF(COUNT('Arroz irrigado'!$E38:$Z38)=0,0,MAX(0,IF((AQ$6-$E$3)&lt;1,0,IFERROR(LOOKUP(2,1/('Arroz irrigado'!$E38:INDEX('Arroz irrigado'!$E38:$Z38,MIN(AQ$6-$E$3,22))&lt;&gt;""),'Arroz irrigado'!$E38:INDEX('Arroz irrigado'!$E38:$Z38,MIN(AQ$6-$E$3,22))),0))-IF($G$2,0,IF((AQ$6-$G$3)&lt;1,0,IFERROR(LOOKUP(2,1/('Arroz irrigado'!$E38:INDEX('Arroz irrigado'!$E38:$Z38,MIN(AQ$6-$G$3,22))&lt;&gt;""),'Arroz irrigado'!$E38:INDEX('Arroz irrigado'!$E38:$Z38,MIN(AQ$6-$G$3,22))),0)))))</f>
        <v>0</v>
      </c>
      <c r="AR40" s="27" t="n">
        <f aca="false">IF(COUNT('Arroz irrigado'!$E38:$Z38)=0,0,MAX(0,IF((AR$6-$E$3)&lt;1,0,IFERROR(LOOKUP(2,1/('Arroz irrigado'!$E38:INDEX('Arroz irrigado'!$E38:$Z38,MIN(AR$6-$E$3,22))&lt;&gt;""),'Arroz irrigado'!$E38:INDEX('Arroz irrigado'!$E38:$Z38,MIN(AR$6-$E$3,22))),0))-IF($G$2,0,IF((AR$6-$G$3)&lt;1,0,IFERROR(LOOKUP(2,1/('Arroz irrigado'!$E38:INDEX('Arroz irrigado'!$E38:$Z38,MIN(AR$6-$G$3,22))&lt;&gt;""),'Arroz irrigado'!$E38:INDEX('Arroz irrigado'!$E38:$Z38,MIN(AR$6-$G$3,22))),0)))))</f>
        <v>0</v>
      </c>
      <c r="AS40" s="27" t="n">
        <f aca="false">IF(COUNT('Arroz irrigado'!$E38:$Z38)=0,0,MAX(0,IF((AS$6-$E$3)&lt;1,0,IFERROR(LOOKUP(2,1/('Arroz irrigado'!$E38:INDEX('Arroz irrigado'!$E38:$Z38,MIN(AS$6-$E$3,22))&lt;&gt;""),'Arroz irrigado'!$E38:INDEX('Arroz irrigado'!$E38:$Z38,MIN(AS$6-$E$3,22))),0))-IF($G$2,0,IF((AS$6-$G$3)&lt;1,0,IFERROR(LOOKUP(2,1/('Arroz irrigado'!$E38:INDEX('Arroz irrigado'!$E38:$Z38,MIN(AS$6-$G$3,22))&lt;&gt;""),'Arroz irrigado'!$E38:INDEX('Arroz irrigado'!$E38:$Z38,MIN(AS$6-$G$3,22))),0)))))</f>
        <v>0</v>
      </c>
      <c r="AT40" s="27" t="n">
        <f aca="false">IF(COUNT('Arroz irrigado'!$E38:$Z38)=0,0,MAX(0,IF((AT$6-$E$3)&lt;1,0,IFERROR(LOOKUP(2,1/('Arroz irrigado'!$E38:INDEX('Arroz irrigado'!$E38:$Z38,MIN(AT$6-$E$3,22))&lt;&gt;""),'Arroz irrigado'!$E38:INDEX('Arroz irrigado'!$E38:$Z38,MIN(AT$6-$E$3,22))),0))-IF($G$2,0,IF((AT$6-$G$3)&lt;1,0,IFERROR(LOOKUP(2,1/('Arroz irrigado'!$E38:INDEX('Arroz irrigado'!$E38:$Z38,MIN(AT$6-$G$3,22))&lt;&gt;""),'Arroz irrigado'!$E38:INDEX('Arroz irrigado'!$E38:$Z38,MIN(AT$6-$G$3,22))),0)))))</f>
        <v>0</v>
      </c>
      <c r="AU40" s="27" t="n">
        <f aca="false">IF(COUNT('Arroz irrigado'!$E38:$Z38)=0,0,MAX(0,IF((AU$6-$E$3)&lt;1,0,IFERROR(LOOKUP(2,1/('Arroz irrigado'!$E38:INDEX('Arroz irrigado'!$E38:$Z38,MIN(AU$6-$E$3,22))&lt;&gt;""),'Arroz irrigado'!$E38:INDEX('Arroz irrigado'!$E38:$Z38,MIN(AU$6-$E$3,22))),0))-IF($G$2,0,IF((AU$6-$G$3)&lt;1,0,IFERROR(LOOKUP(2,1/('Arroz irrigado'!$E38:INDEX('Arroz irrigado'!$E38:$Z38,MIN(AU$6-$G$3,22))&lt;&gt;""),'Arroz irrigado'!$E38:INDEX('Arroz irrigado'!$E38:$Z38,MIN(AU$6-$G$3,22))),0)))))</f>
        <v>0</v>
      </c>
      <c r="AV40" s="27" t="n">
        <f aca="false">IF(COUNT('Arroz irrigado'!$E38:$Z38)=0,0,MAX(0,IF((AV$6-$E$3)&lt;1,0,IFERROR(LOOKUP(2,1/('Arroz irrigado'!$E38:INDEX('Arroz irrigado'!$E38:$Z38,MIN(AV$6-$E$3,22))&lt;&gt;""),'Arroz irrigado'!$E38:INDEX('Arroz irrigado'!$E38:$Z38,MIN(AV$6-$E$3,22))),0))-IF($G$2,0,IF((AV$6-$G$3)&lt;1,0,IFERROR(LOOKUP(2,1/('Arroz irrigado'!$E38:INDEX('Arroz irrigado'!$E38:$Z38,MIN(AV$6-$G$3,22))&lt;&gt;""),'Arroz irrigado'!$E38:INDEX('Arroz irrigado'!$E38:$Z38,MIN(AV$6-$G$3,22))),0)))))</f>
        <v>0</v>
      </c>
      <c r="AW40" s="27" t="n">
        <f aca="false">IF(COUNT('Arroz irrigado'!$E38:$Z38)=0,0,MAX(0,IF((AW$6-$E$3)&lt;1,0,IFERROR(LOOKUP(2,1/('Arroz irrigado'!$E38:INDEX('Arroz irrigado'!$E38:$Z38,MIN(AW$6-$E$3,22))&lt;&gt;""),'Arroz irrigado'!$E38:INDEX('Arroz irrigado'!$E38:$Z38,MIN(AW$6-$E$3,22))),0))-IF($G$2,0,IF((AW$6-$G$3)&lt;1,0,IFERROR(LOOKUP(2,1/('Arroz irrigado'!$E38:INDEX('Arroz irrigado'!$E38:$Z38,MIN(AW$6-$G$3,22))&lt;&gt;""),'Arroz irrigado'!$E38:INDEX('Arroz irrigado'!$E38:$Z38,MIN(AW$6-$G$3,22))),0)))))</f>
        <v>0</v>
      </c>
      <c r="AX40" s="27" t="n">
        <f aca="false">IF(COUNT('Arroz irrigado'!$E38:$Z38)=0,0,MAX(0,IF((AX$6-$E$3)&lt;1,0,IFERROR(LOOKUP(2,1/('Arroz irrigado'!$E38:INDEX('Arroz irrigado'!$E38:$Z38,MIN(AX$6-$E$3,22))&lt;&gt;""),'Arroz irrigado'!$E38:INDEX('Arroz irrigado'!$E38:$Z38,MIN(AX$6-$E$3,22))),0))-IF($G$2,0,IF((AX$6-$G$3)&lt;1,0,IFERROR(LOOKUP(2,1/('Arroz irrigado'!$E38:INDEX('Arroz irrigado'!$E38:$Z38,MIN(AX$6-$G$3,22))&lt;&gt;""),'Arroz irrigado'!$E38:INDEX('Arroz irrigado'!$E38:$Z38,MIN(AX$6-$G$3,22))),0)))))</f>
        <v>0</v>
      </c>
      <c r="AY40" s="27" t="n">
        <f aca="false">IF(COUNT('Arroz irrigado'!$E38:$Z38)=0,0,MAX(0,IF((AY$6-$E$3)&lt;1,0,IFERROR(LOOKUP(2,1/('Arroz irrigado'!$E38:INDEX('Arroz irrigado'!$E38:$Z38,MIN(AY$6-$E$3,22))&lt;&gt;""),'Arroz irrigado'!$E38:INDEX('Arroz irrigado'!$E38:$Z38,MIN(AY$6-$E$3,22))),0))-IF($G$2,0,IF((AY$6-$G$3)&lt;1,0,IFERROR(LOOKUP(2,1/('Arroz irrigado'!$E38:INDEX('Arroz irrigado'!$E38:$Z38,MIN(AY$6-$G$3,22))&lt;&gt;""),'Arroz irrigado'!$E38:INDEX('Arroz irrigado'!$E38:$Z38,MIN(AY$6-$G$3,22))),0)))))</f>
        <v>0</v>
      </c>
      <c r="AZ40" s="27" t="n">
        <f aca="false">IF(COUNT('Arroz irrigado'!$E38:$Z38)=0,0,MAX(0,IF((AZ$6-$E$3)&lt;1,0,IFERROR(LOOKUP(2,1/('Arroz irrigado'!$E38:INDEX('Arroz irrigado'!$E38:$Z38,MIN(AZ$6-$E$3,22))&lt;&gt;""),'Arroz irrigado'!$E38:INDEX('Arroz irrigado'!$E38:$Z38,MIN(AZ$6-$E$3,22))),0))-IF($G$2,0,IF((AZ$6-$G$3)&lt;1,0,IFERROR(LOOKUP(2,1/('Arroz irrigado'!$E38:INDEX('Arroz irrigado'!$E38:$Z38,MIN(AZ$6-$G$3,22))&lt;&gt;""),'Arroz irrigado'!$E38:INDEX('Arroz irrigado'!$E38:$Z38,MIN(AZ$6-$G$3,22))),0)))))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IF(COUNT('Arroz irrigado'!$E39:$Z39)&gt;0,N('Arroz irrigado'!$D39),0)</f>
        <v>0</v>
      </c>
      <c r="E41" s="27" t="n">
        <f aca="false">IF(COUNT('Arroz irrigado'!$E39:$Z39)=0,0,MAX(0,IF((E$6-$E$3)&lt;1,0,IFERROR(LOOKUP(2,1/('Arroz irrigado'!$E39:INDEX('Arroz irrigado'!$E39:$Z39,MIN(E$6-$E$3,22))&lt;&gt;""),'Arroz irrigado'!$E39:INDEX('Arroz irrigado'!$E39:$Z39,MIN(E$6-$E$3,22))),0))-IF($G$2,0,IF((E$6-$G$3)&lt;1,0,IFERROR(LOOKUP(2,1/('Arroz irrigado'!$E39:INDEX('Arroz irrigado'!$E39:$Z39,MIN(E$6-$G$3,22))&lt;&gt;""),'Arroz irrigado'!$E39:INDEX('Arroz irrigado'!$E39:$Z39,MIN(E$6-$G$3,22))),0)))))</f>
        <v>0</v>
      </c>
      <c r="F41" s="27" t="n">
        <f aca="false">IF(COUNT('Arroz irrigado'!$E39:$Z39)=0,0,MAX(0,IF((F$6-$E$3)&lt;1,0,IFERROR(LOOKUP(2,1/('Arroz irrigado'!$E39:INDEX('Arroz irrigado'!$E39:$Z39,MIN(F$6-$E$3,22))&lt;&gt;""),'Arroz irrigado'!$E39:INDEX('Arroz irrigado'!$E39:$Z39,MIN(F$6-$E$3,22))),0))-IF($G$2,0,IF((F$6-$G$3)&lt;1,0,IFERROR(LOOKUP(2,1/('Arroz irrigado'!$E39:INDEX('Arroz irrigado'!$E39:$Z39,MIN(F$6-$G$3,22))&lt;&gt;""),'Arroz irrigado'!$E39:INDEX('Arroz irrigado'!$E39:$Z39,MIN(F$6-$G$3,22))),0)))))</f>
        <v>0</v>
      </c>
      <c r="G41" s="27" t="n">
        <f aca="false">IF(COUNT('Arroz irrigado'!$E39:$Z39)=0,0,MAX(0,IF((G$6-$E$3)&lt;1,0,IFERROR(LOOKUP(2,1/('Arroz irrigado'!$E39:INDEX('Arroz irrigado'!$E39:$Z39,MIN(G$6-$E$3,22))&lt;&gt;""),'Arroz irrigado'!$E39:INDEX('Arroz irrigado'!$E39:$Z39,MIN(G$6-$E$3,22))),0))-IF($G$2,0,IF((G$6-$G$3)&lt;1,0,IFERROR(LOOKUP(2,1/('Arroz irrigado'!$E39:INDEX('Arroz irrigado'!$E39:$Z39,MIN(G$6-$G$3,22))&lt;&gt;""),'Arroz irrigado'!$E39:INDEX('Arroz irrigado'!$E39:$Z39,MIN(G$6-$G$3,22))),0)))))</f>
        <v>0</v>
      </c>
      <c r="H41" s="27" t="n">
        <f aca="false">IF(COUNT('Arroz irrigado'!$E39:$Z39)=0,0,MAX(0,IF((H$6-$E$3)&lt;1,0,IFERROR(LOOKUP(2,1/('Arroz irrigado'!$E39:INDEX('Arroz irrigado'!$E39:$Z39,MIN(H$6-$E$3,22))&lt;&gt;""),'Arroz irrigado'!$E39:INDEX('Arroz irrigado'!$E39:$Z39,MIN(H$6-$E$3,22))),0))-IF($G$2,0,IF((H$6-$G$3)&lt;1,0,IFERROR(LOOKUP(2,1/('Arroz irrigado'!$E39:INDEX('Arroz irrigado'!$E39:$Z39,MIN(H$6-$G$3,22))&lt;&gt;""),'Arroz irrigado'!$E39:INDEX('Arroz irrigado'!$E39:$Z39,MIN(H$6-$G$3,22))),0)))))</f>
        <v>0</v>
      </c>
      <c r="I41" s="27" t="n">
        <f aca="false">IF(COUNT('Arroz irrigado'!$E39:$Z39)=0,0,MAX(0,IF((I$6-$E$3)&lt;1,0,IFERROR(LOOKUP(2,1/('Arroz irrigado'!$E39:INDEX('Arroz irrigado'!$E39:$Z39,MIN(I$6-$E$3,22))&lt;&gt;""),'Arroz irrigado'!$E39:INDEX('Arroz irrigado'!$E39:$Z39,MIN(I$6-$E$3,22))),0))-IF($G$2,0,IF((I$6-$G$3)&lt;1,0,IFERROR(LOOKUP(2,1/('Arroz irrigado'!$E39:INDEX('Arroz irrigado'!$E39:$Z39,MIN(I$6-$G$3,22))&lt;&gt;""),'Arroz irrigado'!$E39:INDEX('Arroz irrigado'!$E39:$Z39,MIN(I$6-$G$3,22))),0)))))</f>
        <v>0</v>
      </c>
      <c r="J41" s="27" t="n">
        <f aca="false">IF(COUNT('Arroz irrigado'!$E39:$Z39)=0,0,MAX(0,IF((J$6-$E$3)&lt;1,0,IFERROR(LOOKUP(2,1/('Arroz irrigado'!$E39:INDEX('Arroz irrigado'!$E39:$Z39,MIN(J$6-$E$3,22))&lt;&gt;""),'Arroz irrigado'!$E39:INDEX('Arroz irrigado'!$E39:$Z39,MIN(J$6-$E$3,22))),0))-IF($G$2,0,IF((J$6-$G$3)&lt;1,0,IFERROR(LOOKUP(2,1/('Arroz irrigado'!$E39:INDEX('Arroz irrigado'!$E39:$Z39,MIN(J$6-$G$3,22))&lt;&gt;""),'Arroz irrigado'!$E39:INDEX('Arroz irrigado'!$E39:$Z39,MIN(J$6-$G$3,22))),0)))))</f>
        <v>0</v>
      </c>
      <c r="K41" s="27" t="n">
        <f aca="false">IF(COUNT('Arroz irrigado'!$E39:$Z39)=0,0,MAX(0,IF((K$6-$E$3)&lt;1,0,IFERROR(LOOKUP(2,1/('Arroz irrigado'!$E39:INDEX('Arroz irrigado'!$E39:$Z39,MIN(K$6-$E$3,22))&lt;&gt;""),'Arroz irrigado'!$E39:INDEX('Arroz irrigado'!$E39:$Z39,MIN(K$6-$E$3,22))),0))-IF($G$2,0,IF((K$6-$G$3)&lt;1,0,IFERROR(LOOKUP(2,1/('Arroz irrigado'!$E39:INDEX('Arroz irrigado'!$E39:$Z39,MIN(K$6-$G$3,22))&lt;&gt;""),'Arroz irrigado'!$E39:INDEX('Arroz irrigado'!$E39:$Z39,MIN(K$6-$G$3,22))),0)))))</f>
        <v>0</v>
      </c>
      <c r="L41" s="27" t="n">
        <f aca="false">IF(COUNT('Arroz irrigado'!$E39:$Z39)=0,0,MAX(0,IF((L$6-$E$3)&lt;1,0,IFERROR(LOOKUP(2,1/('Arroz irrigado'!$E39:INDEX('Arroz irrigado'!$E39:$Z39,MIN(L$6-$E$3,22))&lt;&gt;""),'Arroz irrigado'!$E39:INDEX('Arroz irrigado'!$E39:$Z39,MIN(L$6-$E$3,22))),0))-IF($G$2,0,IF((L$6-$G$3)&lt;1,0,IFERROR(LOOKUP(2,1/('Arroz irrigado'!$E39:INDEX('Arroz irrigado'!$E39:$Z39,MIN(L$6-$G$3,22))&lt;&gt;""),'Arroz irrigado'!$E39:INDEX('Arroz irrigado'!$E39:$Z39,MIN(L$6-$G$3,22))),0)))))</f>
        <v>0</v>
      </c>
      <c r="M41" s="27" t="n">
        <f aca="false">IF(COUNT('Arroz irrigado'!$E39:$Z39)=0,0,MAX(0,IF((M$6-$E$3)&lt;1,0,IFERROR(LOOKUP(2,1/('Arroz irrigado'!$E39:INDEX('Arroz irrigado'!$E39:$Z39,MIN(M$6-$E$3,22))&lt;&gt;""),'Arroz irrigado'!$E39:INDEX('Arroz irrigado'!$E39:$Z39,MIN(M$6-$E$3,22))),0))-IF($G$2,0,IF((M$6-$G$3)&lt;1,0,IFERROR(LOOKUP(2,1/('Arroz irrigado'!$E39:INDEX('Arroz irrigado'!$E39:$Z39,MIN(M$6-$G$3,22))&lt;&gt;""),'Arroz irrigado'!$E39:INDEX('Arroz irrigado'!$E39:$Z39,MIN(M$6-$G$3,22))),0)))))</f>
        <v>0</v>
      </c>
      <c r="N41" s="27" t="n">
        <f aca="false">IF(COUNT('Arroz irrigado'!$E39:$Z39)=0,0,MAX(0,IF((N$6-$E$3)&lt;1,0,IFERROR(LOOKUP(2,1/('Arroz irrigado'!$E39:INDEX('Arroz irrigado'!$E39:$Z39,MIN(N$6-$E$3,22))&lt;&gt;""),'Arroz irrigado'!$E39:INDEX('Arroz irrigado'!$E39:$Z39,MIN(N$6-$E$3,22))),0))-IF($G$2,0,IF((N$6-$G$3)&lt;1,0,IFERROR(LOOKUP(2,1/('Arroz irrigado'!$E39:INDEX('Arroz irrigado'!$E39:$Z39,MIN(N$6-$G$3,22))&lt;&gt;""),'Arroz irrigado'!$E39:INDEX('Arroz irrigado'!$E39:$Z39,MIN(N$6-$G$3,22))),0)))))</f>
        <v>0</v>
      </c>
      <c r="O41" s="27" t="n">
        <f aca="false">IF(COUNT('Arroz irrigado'!$E39:$Z39)=0,0,MAX(0,IF((O$6-$E$3)&lt;1,0,IFERROR(LOOKUP(2,1/('Arroz irrigado'!$E39:INDEX('Arroz irrigado'!$E39:$Z39,MIN(O$6-$E$3,22))&lt;&gt;""),'Arroz irrigado'!$E39:INDEX('Arroz irrigado'!$E39:$Z39,MIN(O$6-$E$3,22))),0))-IF($G$2,0,IF((O$6-$G$3)&lt;1,0,IFERROR(LOOKUP(2,1/('Arroz irrigado'!$E39:INDEX('Arroz irrigado'!$E39:$Z39,MIN(O$6-$G$3,22))&lt;&gt;""),'Arroz irrigado'!$E39:INDEX('Arroz irrigado'!$E39:$Z39,MIN(O$6-$G$3,22))),0)))))</f>
        <v>0</v>
      </c>
      <c r="P41" s="27" t="n">
        <f aca="false">IF(COUNT('Arroz irrigado'!$E39:$Z39)=0,0,MAX(0,IF((P$6-$E$3)&lt;1,0,IFERROR(LOOKUP(2,1/('Arroz irrigado'!$E39:INDEX('Arroz irrigado'!$E39:$Z39,MIN(P$6-$E$3,22))&lt;&gt;""),'Arroz irrigado'!$E39:INDEX('Arroz irrigado'!$E39:$Z39,MIN(P$6-$E$3,22))),0))-IF($G$2,0,IF((P$6-$G$3)&lt;1,0,IFERROR(LOOKUP(2,1/('Arroz irrigado'!$E39:INDEX('Arroz irrigado'!$E39:$Z39,MIN(P$6-$G$3,22))&lt;&gt;""),'Arroz irrigado'!$E39:INDEX('Arroz irrigado'!$E39:$Z39,MIN(P$6-$G$3,22))),0)))))</f>
        <v>0</v>
      </c>
      <c r="Q41" s="27" t="n">
        <f aca="false">IF(COUNT('Arroz irrigado'!$E39:$Z39)=0,0,MAX(0,IF((Q$6-$E$3)&lt;1,0,IFERROR(LOOKUP(2,1/('Arroz irrigado'!$E39:INDEX('Arroz irrigado'!$E39:$Z39,MIN(Q$6-$E$3,22))&lt;&gt;""),'Arroz irrigado'!$E39:INDEX('Arroz irrigado'!$E39:$Z39,MIN(Q$6-$E$3,22))),0))-IF($G$2,0,IF((Q$6-$G$3)&lt;1,0,IFERROR(LOOKUP(2,1/('Arroz irrigado'!$E39:INDEX('Arroz irrigado'!$E39:$Z39,MIN(Q$6-$G$3,22))&lt;&gt;""),'Arroz irrigado'!$E39:INDEX('Arroz irrigado'!$E39:$Z39,MIN(Q$6-$G$3,22))),0)))))</f>
        <v>0</v>
      </c>
      <c r="R41" s="27" t="n">
        <f aca="false">IF(COUNT('Arroz irrigado'!$E39:$Z39)=0,0,MAX(0,IF((R$6-$E$3)&lt;1,0,IFERROR(LOOKUP(2,1/('Arroz irrigado'!$E39:INDEX('Arroz irrigado'!$E39:$Z39,MIN(R$6-$E$3,22))&lt;&gt;""),'Arroz irrigado'!$E39:INDEX('Arroz irrigado'!$E39:$Z39,MIN(R$6-$E$3,22))),0))-IF($G$2,0,IF((R$6-$G$3)&lt;1,0,IFERROR(LOOKUP(2,1/('Arroz irrigado'!$E39:INDEX('Arroz irrigado'!$E39:$Z39,MIN(R$6-$G$3,22))&lt;&gt;""),'Arroz irrigado'!$E39:INDEX('Arroz irrigado'!$E39:$Z39,MIN(R$6-$G$3,22))),0)))))</f>
        <v>0</v>
      </c>
      <c r="S41" s="27" t="n">
        <f aca="false">IF(COUNT('Arroz irrigado'!$E39:$Z39)=0,0,MAX(0,IF((S$6-$E$3)&lt;1,0,IFERROR(LOOKUP(2,1/('Arroz irrigado'!$E39:INDEX('Arroz irrigado'!$E39:$Z39,MIN(S$6-$E$3,22))&lt;&gt;""),'Arroz irrigado'!$E39:INDEX('Arroz irrigado'!$E39:$Z39,MIN(S$6-$E$3,22))),0))-IF($G$2,0,IF((S$6-$G$3)&lt;1,0,IFERROR(LOOKUP(2,1/('Arroz irrigado'!$E39:INDEX('Arroz irrigado'!$E39:$Z39,MIN(S$6-$G$3,22))&lt;&gt;""),'Arroz irrigado'!$E39:INDEX('Arroz irrigado'!$E39:$Z39,MIN(S$6-$G$3,22))),0)))))</f>
        <v>0</v>
      </c>
      <c r="T41" s="27" t="n">
        <f aca="false">IF(COUNT('Arroz irrigado'!$E39:$Z39)=0,0,MAX(0,IF((T$6-$E$3)&lt;1,0,IFERROR(LOOKUP(2,1/('Arroz irrigado'!$E39:INDEX('Arroz irrigado'!$E39:$Z39,MIN(T$6-$E$3,22))&lt;&gt;""),'Arroz irrigado'!$E39:INDEX('Arroz irrigado'!$E39:$Z39,MIN(T$6-$E$3,22))),0))-IF($G$2,0,IF((T$6-$G$3)&lt;1,0,IFERROR(LOOKUP(2,1/('Arroz irrigado'!$E39:INDEX('Arroz irrigado'!$E39:$Z39,MIN(T$6-$G$3,22))&lt;&gt;""),'Arroz irrigado'!$E39:INDEX('Arroz irrigado'!$E39:$Z39,MIN(T$6-$G$3,22))),0)))))</f>
        <v>0</v>
      </c>
      <c r="U41" s="27" t="n">
        <f aca="false">IF(COUNT('Arroz irrigado'!$E39:$Z39)=0,0,MAX(0,IF((U$6-$E$3)&lt;1,0,IFERROR(LOOKUP(2,1/('Arroz irrigado'!$E39:INDEX('Arroz irrigado'!$E39:$Z39,MIN(U$6-$E$3,22))&lt;&gt;""),'Arroz irrigado'!$E39:INDEX('Arroz irrigado'!$E39:$Z39,MIN(U$6-$E$3,22))),0))-IF($G$2,0,IF((U$6-$G$3)&lt;1,0,IFERROR(LOOKUP(2,1/('Arroz irrigado'!$E39:INDEX('Arroz irrigado'!$E39:$Z39,MIN(U$6-$G$3,22))&lt;&gt;""),'Arroz irrigado'!$E39:INDEX('Arroz irrigado'!$E39:$Z39,MIN(U$6-$G$3,22))),0)))))</f>
        <v>0</v>
      </c>
      <c r="V41" s="27" t="n">
        <f aca="false">IF(COUNT('Arroz irrigado'!$E39:$Z39)=0,0,MAX(0,IF((V$6-$E$3)&lt;1,0,IFERROR(LOOKUP(2,1/('Arroz irrigado'!$E39:INDEX('Arroz irrigado'!$E39:$Z39,MIN(V$6-$E$3,22))&lt;&gt;""),'Arroz irrigado'!$E39:INDEX('Arroz irrigado'!$E39:$Z39,MIN(V$6-$E$3,22))),0))-IF($G$2,0,IF((V$6-$G$3)&lt;1,0,IFERROR(LOOKUP(2,1/('Arroz irrigado'!$E39:INDEX('Arroz irrigado'!$E39:$Z39,MIN(V$6-$G$3,22))&lt;&gt;""),'Arroz irrigado'!$E39:INDEX('Arroz irrigado'!$E39:$Z39,MIN(V$6-$G$3,22))),0)))))</f>
        <v>0</v>
      </c>
      <c r="W41" s="27" t="n">
        <f aca="false">IF(COUNT('Arroz irrigado'!$E39:$Z39)=0,0,MAX(0,IF((W$6-$E$3)&lt;1,0,IFERROR(LOOKUP(2,1/('Arroz irrigado'!$E39:INDEX('Arroz irrigado'!$E39:$Z39,MIN(W$6-$E$3,22))&lt;&gt;""),'Arroz irrigado'!$E39:INDEX('Arroz irrigado'!$E39:$Z39,MIN(W$6-$E$3,22))),0))-IF($G$2,0,IF((W$6-$G$3)&lt;1,0,IFERROR(LOOKUP(2,1/('Arroz irrigado'!$E39:INDEX('Arroz irrigado'!$E39:$Z39,MIN(W$6-$G$3,22))&lt;&gt;""),'Arroz irrigado'!$E39:INDEX('Arroz irrigado'!$E39:$Z39,MIN(W$6-$G$3,22))),0)))))</f>
        <v>0</v>
      </c>
      <c r="X41" s="27" t="n">
        <f aca="false">IF(COUNT('Arroz irrigado'!$E39:$Z39)=0,0,MAX(0,IF((X$6-$E$3)&lt;1,0,IFERROR(LOOKUP(2,1/('Arroz irrigado'!$E39:INDEX('Arroz irrigado'!$E39:$Z39,MIN(X$6-$E$3,22))&lt;&gt;""),'Arroz irrigado'!$E39:INDEX('Arroz irrigado'!$E39:$Z39,MIN(X$6-$E$3,22))),0))-IF($G$2,0,IF((X$6-$G$3)&lt;1,0,IFERROR(LOOKUP(2,1/('Arroz irrigado'!$E39:INDEX('Arroz irrigado'!$E39:$Z39,MIN(X$6-$G$3,22))&lt;&gt;""),'Arroz irrigado'!$E39:INDEX('Arroz irrigado'!$E39:$Z39,MIN(X$6-$G$3,22))),0)))))</f>
        <v>0</v>
      </c>
      <c r="Y41" s="27" t="n">
        <f aca="false">IF(COUNT('Arroz irrigado'!$E39:$Z39)=0,0,MAX(0,IF((Y$6-$E$3)&lt;1,0,IFERROR(LOOKUP(2,1/('Arroz irrigado'!$E39:INDEX('Arroz irrigado'!$E39:$Z39,MIN(Y$6-$E$3,22))&lt;&gt;""),'Arroz irrigado'!$E39:INDEX('Arroz irrigado'!$E39:$Z39,MIN(Y$6-$E$3,22))),0))-IF($G$2,0,IF((Y$6-$G$3)&lt;1,0,IFERROR(LOOKUP(2,1/('Arroz irrigado'!$E39:INDEX('Arroz irrigado'!$E39:$Z39,MIN(Y$6-$G$3,22))&lt;&gt;""),'Arroz irrigado'!$E39:INDEX('Arroz irrigado'!$E39:$Z39,MIN(Y$6-$G$3,22))),0)))))</f>
        <v>0</v>
      </c>
      <c r="Z41" s="27" t="n">
        <f aca="false">IF(COUNT('Arroz irrigado'!$E39:$Z39)=0,0,MAX(0,IF((Z$6-$E$3)&lt;1,0,IFERROR(LOOKUP(2,1/('Arroz irrigado'!$E39:INDEX('Arroz irrigado'!$E39:$Z39,MIN(Z$6-$E$3,22))&lt;&gt;""),'Arroz irrigado'!$E39:INDEX('Arroz irrigado'!$E39:$Z39,MIN(Z$6-$E$3,22))),0))-IF($G$2,0,IF((Z$6-$G$3)&lt;1,0,IFERROR(LOOKUP(2,1/('Arroz irrigado'!$E39:INDEX('Arroz irrigado'!$E39:$Z39,MIN(Z$6-$G$3,22))&lt;&gt;""),'Arroz irrigado'!$E39:INDEX('Arroz irrigado'!$E39:$Z39,MIN(Z$6-$G$3,22))),0)))))</f>
        <v>0</v>
      </c>
      <c r="AA41" s="27" t="n">
        <f aca="false">IF(COUNT('Arroz irrigado'!$E39:$Z39)=0,0,MAX(0,IF((AA$6-$E$3)&lt;1,0,IFERROR(LOOKUP(2,1/('Arroz irrigado'!$E39:INDEX('Arroz irrigado'!$E39:$Z39,MIN(AA$6-$E$3,22))&lt;&gt;""),'Arroz irrigado'!$E39:INDEX('Arroz irrigado'!$E39:$Z39,MIN(AA$6-$E$3,22))),0))-IF($G$2,0,IF((AA$6-$G$3)&lt;1,0,IFERROR(LOOKUP(2,1/('Arroz irrigado'!$E39:INDEX('Arroz irrigado'!$E39:$Z39,MIN(AA$6-$G$3,22))&lt;&gt;""),'Arroz irrigado'!$E39:INDEX('Arroz irrigado'!$E39:$Z39,MIN(AA$6-$G$3,22))),0)))))</f>
        <v>0</v>
      </c>
      <c r="AB41" s="27" t="n">
        <f aca="false">IF(COUNT('Arroz irrigado'!$E39:$Z39)=0,0,MAX(0,IF((AB$6-$E$3)&lt;1,0,IFERROR(LOOKUP(2,1/('Arroz irrigado'!$E39:INDEX('Arroz irrigado'!$E39:$Z39,MIN(AB$6-$E$3,22))&lt;&gt;""),'Arroz irrigado'!$E39:INDEX('Arroz irrigado'!$E39:$Z39,MIN(AB$6-$E$3,22))),0))-IF($G$2,0,IF((AB$6-$G$3)&lt;1,0,IFERROR(LOOKUP(2,1/('Arroz irrigado'!$E39:INDEX('Arroz irrigado'!$E39:$Z39,MIN(AB$6-$G$3,22))&lt;&gt;""),'Arroz irrigado'!$E39:INDEX('Arroz irrigado'!$E39:$Z39,MIN(AB$6-$G$3,22))),0)))))</f>
        <v>0</v>
      </c>
      <c r="AC41" s="27" t="n">
        <f aca="false">IF(COUNT('Arroz irrigado'!$E39:$Z39)=0,0,MAX(0,IF((AC$6-$E$3)&lt;1,0,IFERROR(LOOKUP(2,1/('Arroz irrigado'!$E39:INDEX('Arroz irrigado'!$E39:$Z39,MIN(AC$6-$E$3,22))&lt;&gt;""),'Arroz irrigado'!$E39:INDEX('Arroz irrigado'!$E39:$Z39,MIN(AC$6-$E$3,22))),0))-IF($G$2,0,IF((AC$6-$G$3)&lt;1,0,IFERROR(LOOKUP(2,1/('Arroz irrigado'!$E39:INDEX('Arroz irrigado'!$E39:$Z39,MIN(AC$6-$G$3,22))&lt;&gt;""),'Arroz irrigado'!$E39:INDEX('Arroz irrigado'!$E39:$Z39,MIN(AC$6-$G$3,22))),0)))))</f>
        <v>0</v>
      </c>
      <c r="AD41" s="27" t="n">
        <f aca="false">IF(COUNT('Arroz irrigado'!$E39:$Z39)=0,0,MAX(0,IF((AD$6-$E$3)&lt;1,0,IFERROR(LOOKUP(2,1/('Arroz irrigado'!$E39:INDEX('Arroz irrigado'!$E39:$Z39,MIN(AD$6-$E$3,22))&lt;&gt;""),'Arroz irrigado'!$E39:INDEX('Arroz irrigado'!$E39:$Z39,MIN(AD$6-$E$3,22))),0))-IF($G$2,0,IF((AD$6-$G$3)&lt;1,0,IFERROR(LOOKUP(2,1/('Arroz irrigado'!$E39:INDEX('Arroz irrigado'!$E39:$Z39,MIN(AD$6-$G$3,22))&lt;&gt;""),'Arroz irrigado'!$E39:INDEX('Arroz irrigado'!$E39:$Z39,MIN(AD$6-$G$3,22))),0)))))</f>
        <v>0</v>
      </c>
      <c r="AE41" s="27" t="n">
        <f aca="false">IF(COUNT('Arroz irrigado'!$E39:$Z39)=0,0,MAX(0,IF((AE$6-$E$3)&lt;1,0,IFERROR(LOOKUP(2,1/('Arroz irrigado'!$E39:INDEX('Arroz irrigado'!$E39:$Z39,MIN(AE$6-$E$3,22))&lt;&gt;""),'Arroz irrigado'!$E39:INDEX('Arroz irrigado'!$E39:$Z39,MIN(AE$6-$E$3,22))),0))-IF($G$2,0,IF((AE$6-$G$3)&lt;1,0,IFERROR(LOOKUP(2,1/('Arroz irrigado'!$E39:INDEX('Arroz irrigado'!$E39:$Z39,MIN(AE$6-$G$3,22))&lt;&gt;""),'Arroz irrigado'!$E39:INDEX('Arroz irrigado'!$E39:$Z39,MIN(AE$6-$G$3,22))),0)))))</f>
        <v>0</v>
      </c>
      <c r="AF41" s="27" t="n">
        <f aca="false">IF(COUNT('Arroz irrigado'!$E39:$Z39)=0,0,MAX(0,IF((AF$6-$E$3)&lt;1,0,IFERROR(LOOKUP(2,1/('Arroz irrigado'!$E39:INDEX('Arroz irrigado'!$E39:$Z39,MIN(AF$6-$E$3,22))&lt;&gt;""),'Arroz irrigado'!$E39:INDEX('Arroz irrigado'!$E39:$Z39,MIN(AF$6-$E$3,22))),0))-IF($G$2,0,IF((AF$6-$G$3)&lt;1,0,IFERROR(LOOKUP(2,1/('Arroz irrigado'!$E39:INDEX('Arroz irrigado'!$E39:$Z39,MIN(AF$6-$G$3,22))&lt;&gt;""),'Arroz irrigado'!$E39:INDEX('Arroz irrigado'!$E39:$Z39,MIN(AF$6-$G$3,22))),0)))))</f>
        <v>0</v>
      </c>
      <c r="AG41" s="27" t="n">
        <f aca="false">IF(COUNT('Arroz irrigado'!$E39:$Z39)=0,0,MAX(0,IF((AG$6-$E$3)&lt;1,0,IFERROR(LOOKUP(2,1/('Arroz irrigado'!$E39:INDEX('Arroz irrigado'!$E39:$Z39,MIN(AG$6-$E$3,22))&lt;&gt;""),'Arroz irrigado'!$E39:INDEX('Arroz irrigado'!$E39:$Z39,MIN(AG$6-$E$3,22))),0))-IF($G$2,0,IF((AG$6-$G$3)&lt;1,0,IFERROR(LOOKUP(2,1/('Arroz irrigado'!$E39:INDEX('Arroz irrigado'!$E39:$Z39,MIN(AG$6-$G$3,22))&lt;&gt;""),'Arroz irrigado'!$E39:INDEX('Arroz irrigado'!$E39:$Z39,MIN(AG$6-$G$3,22))),0)))))</f>
        <v>0</v>
      </c>
      <c r="AH41" s="27" t="n">
        <f aca="false">IF(COUNT('Arroz irrigado'!$E39:$Z39)=0,0,MAX(0,IF((AH$6-$E$3)&lt;1,0,IFERROR(LOOKUP(2,1/('Arroz irrigado'!$E39:INDEX('Arroz irrigado'!$E39:$Z39,MIN(AH$6-$E$3,22))&lt;&gt;""),'Arroz irrigado'!$E39:INDEX('Arroz irrigado'!$E39:$Z39,MIN(AH$6-$E$3,22))),0))-IF($G$2,0,IF((AH$6-$G$3)&lt;1,0,IFERROR(LOOKUP(2,1/('Arroz irrigado'!$E39:INDEX('Arroz irrigado'!$E39:$Z39,MIN(AH$6-$G$3,22))&lt;&gt;""),'Arroz irrigado'!$E39:INDEX('Arroz irrigado'!$E39:$Z39,MIN(AH$6-$G$3,22))),0)))))</f>
        <v>0</v>
      </c>
      <c r="AI41" s="27" t="n">
        <f aca="false">IF(COUNT('Arroz irrigado'!$E39:$Z39)=0,0,MAX(0,IF((AI$6-$E$3)&lt;1,0,IFERROR(LOOKUP(2,1/('Arroz irrigado'!$E39:INDEX('Arroz irrigado'!$E39:$Z39,MIN(AI$6-$E$3,22))&lt;&gt;""),'Arroz irrigado'!$E39:INDEX('Arroz irrigado'!$E39:$Z39,MIN(AI$6-$E$3,22))),0))-IF($G$2,0,IF((AI$6-$G$3)&lt;1,0,IFERROR(LOOKUP(2,1/('Arroz irrigado'!$E39:INDEX('Arroz irrigado'!$E39:$Z39,MIN(AI$6-$G$3,22))&lt;&gt;""),'Arroz irrigado'!$E39:INDEX('Arroz irrigado'!$E39:$Z39,MIN(AI$6-$G$3,22))),0)))))</f>
        <v>0</v>
      </c>
      <c r="AJ41" s="27" t="n">
        <f aca="false">IF(COUNT('Arroz irrigado'!$E39:$Z39)=0,0,MAX(0,IF((AJ$6-$E$3)&lt;1,0,IFERROR(LOOKUP(2,1/('Arroz irrigado'!$E39:INDEX('Arroz irrigado'!$E39:$Z39,MIN(AJ$6-$E$3,22))&lt;&gt;""),'Arroz irrigado'!$E39:INDEX('Arroz irrigado'!$E39:$Z39,MIN(AJ$6-$E$3,22))),0))-IF($G$2,0,IF((AJ$6-$G$3)&lt;1,0,IFERROR(LOOKUP(2,1/('Arroz irrigado'!$E39:INDEX('Arroz irrigado'!$E39:$Z39,MIN(AJ$6-$G$3,22))&lt;&gt;""),'Arroz irrigado'!$E39:INDEX('Arroz irrigado'!$E39:$Z39,MIN(AJ$6-$G$3,22))),0)))))</f>
        <v>0</v>
      </c>
      <c r="AK41" s="27" t="n">
        <f aca="false">IF(COUNT('Arroz irrigado'!$E39:$Z39)=0,0,MAX(0,IF((AK$6-$E$3)&lt;1,0,IFERROR(LOOKUP(2,1/('Arroz irrigado'!$E39:INDEX('Arroz irrigado'!$E39:$Z39,MIN(AK$6-$E$3,22))&lt;&gt;""),'Arroz irrigado'!$E39:INDEX('Arroz irrigado'!$E39:$Z39,MIN(AK$6-$E$3,22))),0))-IF($G$2,0,IF((AK$6-$G$3)&lt;1,0,IFERROR(LOOKUP(2,1/('Arroz irrigado'!$E39:INDEX('Arroz irrigado'!$E39:$Z39,MIN(AK$6-$G$3,22))&lt;&gt;""),'Arroz irrigado'!$E39:INDEX('Arroz irrigado'!$E39:$Z39,MIN(AK$6-$G$3,22))),0)))))</f>
        <v>0</v>
      </c>
      <c r="AL41" s="27" t="n">
        <f aca="false">IF(COUNT('Arroz irrigado'!$E39:$Z39)=0,0,MAX(0,IF((AL$6-$E$3)&lt;1,0,IFERROR(LOOKUP(2,1/('Arroz irrigado'!$E39:INDEX('Arroz irrigado'!$E39:$Z39,MIN(AL$6-$E$3,22))&lt;&gt;""),'Arroz irrigado'!$E39:INDEX('Arroz irrigado'!$E39:$Z39,MIN(AL$6-$E$3,22))),0))-IF($G$2,0,IF((AL$6-$G$3)&lt;1,0,IFERROR(LOOKUP(2,1/('Arroz irrigado'!$E39:INDEX('Arroz irrigado'!$E39:$Z39,MIN(AL$6-$G$3,22))&lt;&gt;""),'Arroz irrigado'!$E39:INDEX('Arroz irrigado'!$E39:$Z39,MIN(AL$6-$G$3,22))),0)))))</f>
        <v>0</v>
      </c>
      <c r="AM41" s="27" t="n">
        <f aca="false">IF(COUNT('Arroz irrigado'!$E39:$Z39)=0,0,MAX(0,IF((AM$6-$E$3)&lt;1,0,IFERROR(LOOKUP(2,1/('Arroz irrigado'!$E39:INDEX('Arroz irrigado'!$E39:$Z39,MIN(AM$6-$E$3,22))&lt;&gt;""),'Arroz irrigado'!$E39:INDEX('Arroz irrigado'!$E39:$Z39,MIN(AM$6-$E$3,22))),0))-IF($G$2,0,IF((AM$6-$G$3)&lt;1,0,IFERROR(LOOKUP(2,1/('Arroz irrigado'!$E39:INDEX('Arroz irrigado'!$E39:$Z39,MIN(AM$6-$G$3,22))&lt;&gt;""),'Arroz irrigado'!$E39:INDEX('Arroz irrigado'!$E39:$Z39,MIN(AM$6-$G$3,22))),0)))))</f>
        <v>0</v>
      </c>
      <c r="AN41" s="27" t="n">
        <f aca="false">IF(COUNT('Arroz irrigado'!$E39:$Z39)=0,0,MAX(0,IF((AN$6-$E$3)&lt;1,0,IFERROR(LOOKUP(2,1/('Arroz irrigado'!$E39:INDEX('Arroz irrigado'!$E39:$Z39,MIN(AN$6-$E$3,22))&lt;&gt;""),'Arroz irrigado'!$E39:INDEX('Arroz irrigado'!$E39:$Z39,MIN(AN$6-$E$3,22))),0))-IF($G$2,0,IF((AN$6-$G$3)&lt;1,0,IFERROR(LOOKUP(2,1/('Arroz irrigado'!$E39:INDEX('Arroz irrigado'!$E39:$Z39,MIN(AN$6-$G$3,22))&lt;&gt;""),'Arroz irrigado'!$E39:INDEX('Arroz irrigado'!$E39:$Z39,MIN(AN$6-$G$3,22))),0)))))</f>
        <v>0</v>
      </c>
      <c r="AO41" s="27" t="n">
        <f aca="false">IF(COUNT('Arroz irrigado'!$E39:$Z39)=0,0,MAX(0,IF((AO$6-$E$3)&lt;1,0,IFERROR(LOOKUP(2,1/('Arroz irrigado'!$E39:INDEX('Arroz irrigado'!$E39:$Z39,MIN(AO$6-$E$3,22))&lt;&gt;""),'Arroz irrigado'!$E39:INDEX('Arroz irrigado'!$E39:$Z39,MIN(AO$6-$E$3,22))),0))-IF($G$2,0,IF((AO$6-$G$3)&lt;1,0,IFERROR(LOOKUP(2,1/('Arroz irrigado'!$E39:INDEX('Arroz irrigado'!$E39:$Z39,MIN(AO$6-$G$3,22))&lt;&gt;""),'Arroz irrigado'!$E39:INDEX('Arroz irrigado'!$E39:$Z39,MIN(AO$6-$G$3,22))),0)))))</f>
        <v>0</v>
      </c>
      <c r="AP41" s="27" t="n">
        <f aca="false">IF(COUNT('Arroz irrigado'!$E39:$Z39)=0,0,MAX(0,IF((AP$6-$E$3)&lt;1,0,IFERROR(LOOKUP(2,1/('Arroz irrigado'!$E39:INDEX('Arroz irrigado'!$E39:$Z39,MIN(AP$6-$E$3,22))&lt;&gt;""),'Arroz irrigado'!$E39:INDEX('Arroz irrigado'!$E39:$Z39,MIN(AP$6-$E$3,22))),0))-IF($G$2,0,IF((AP$6-$G$3)&lt;1,0,IFERROR(LOOKUP(2,1/('Arroz irrigado'!$E39:INDEX('Arroz irrigado'!$E39:$Z39,MIN(AP$6-$G$3,22))&lt;&gt;""),'Arroz irrigado'!$E39:INDEX('Arroz irrigado'!$E39:$Z39,MIN(AP$6-$G$3,22))),0)))))</f>
        <v>0</v>
      </c>
      <c r="AQ41" s="27" t="n">
        <f aca="false">IF(COUNT('Arroz irrigado'!$E39:$Z39)=0,0,MAX(0,IF((AQ$6-$E$3)&lt;1,0,IFERROR(LOOKUP(2,1/('Arroz irrigado'!$E39:INDEX('Arroz irrigado'!$E39:$Z39,MIN(AQ$6-$E$3,22))&lt;&gt;""),'Arroz irrigado'!$E39:INDEX('Arroz irrigado'!$E39:$Z39,MIN(AQ$6-$E$3,22))),0))-IF($G$2,0,IF((AQ$6-$G$3)&lt;1,0,IFERROR(LOOKUP(2,1/('Arroz irrigado'!$E39:INDEX('Arroz irrigado'!$E39:$Z39,MIN(AQ$6-$G$3,22))&lt;&gt;""),'Arroz irrigado'!$E39:INDEX('Arroz irrigado'!$E39:$Z39,MIN(AQ$6-$G$3,22))),0)))))</f>
        <v>0</v>
      </c>
      <c r="AR41" s="27" t="n">
        <f aca="false">IF(COUNT('Arroz irrigado'!$E39:$Z39)=0,0,MAX(0,IF((AR$6-$E$3)&lt;1,0,IFERROR(LOOKUP(2,1/('Arroz irrigado'!$E39:INDEX('Arroz irrigado'!$E39:$Z39,MIN(AR$6-$E$3,22))&lt;&gt;""),'Arroz irrigado'!$E39:INDEX('Arroz irrigado'!$E39:$Z39,MIN(AR$6-$E$3,22))),0))-IF($G$2,0,IF((AR$6-$G$3)&lt;1,0,IFERROR(LOOKUP(2,1/('Arroz irrigado'!$E39:INDEX('Arroz irrigado'!$E39:$Z39,MIN(AR$6-$G$3,22))&lt;&gt;""),'Arroz irrigado'!$E39:INDEX('Arroz irrigado'!$E39:$Z39,MIN(AR$6-$G$3,22))),0)))))</f>
        <v>0</v>
      </c>
      <c r="AS41" s="27" t="n">
        <f aca="false">IF(COUNT('Arroz irrigado'!$E39:$Z39)=0,0,MAX(0,IF((AS$6-$E$3)&lt;1,0,IFERROR(LOOKUP(2,1/('Arroz irrigado'!$E39:INDEX('Arroz irrigado'!$E39:$Z39,MIN(AS$6-$E$3,22))&lt;&gt;""),'Arroz irrigado'!$E39:INDEX('Arroz irrigado'!$E39:$Z39,MIN(AS$6-$E$3,22))),0))-IF($G$2,0,IF((AS$6-$G$3)&lt;1,0,IFERROR(LOOKUP(2,1/('Arroz irrigado'!$E39:INDEX('Arroz irrigado'!$E39:$Z39,MIN(AS$6-$G$3,22))&lt;&gt;""),'Arroz irrigado'!$E39:INDEX('Arroz irrigado'!$E39:$Z39,MIN(AS$6-$G$3,22))),0)))))</f>
        <v>0</v>
      </c>
      <c r="AT41" s="27" t="n">
        <f aca="false">IF(COUNT('Arroz irrigado'!$E39:$Z39)=0,0,MAX(0,IF((AT$6-$E$3)&lt;1,0,IFERROR(LOOKUP(2,1/('Arroz irrigado'!$E39:INDEX('Arroz irrigado'!$E39:$Z39,MIN(AT$6-$E$3,22))&lt;&gt;""),'Arroz irrigado'!$E39:INDEX('Arroz irrigado'!$E39:$Z39,MIN(AT$6-$E$3,22))),0))-IF($G$2,0,IF((AT$6-$G$3)&lt;1,0,IFERROR(LOOKUP(2,1/('Arroz irrigado'!$E39:INDEX('Arroz irrigado'!$E39:$Z39,MIN(AT$6-$G$3,22))&lt;&gt;""),'Arroz irrigado'!$E39:INDEX('Arroz irrigado'!$E39:$Z39,MIN(AT$6-$G$3,22))),0)))))</f>
        <v>0</v>
      </c>
      <c r="AU41" s="27" t="n">
        <f aca="false">IF(COUNT('Arroz irrigado'!$E39:$Z39)=0,0,MAX(0,IF((AU$6-$E$3)&lt;1,0,IFERROR(LOOKUP(2,1/('Arroz irrigado'!$E39:INDEX('Arroz irrigado'!$E39:$Z39,MIN(AU$6-$E$3,22))&lt;&gt;""),'Arroz irrigado'!$E39:INDEX('Arroz irrigado'!$E39:$Z39,MIN(AU$6-$E$3,22))),0))-IF($G$2,0,IF((AU$6-$G$3)&lt;1,0,IFERROR(LOOKUP(2,1/('Arroz irrigado'!$E39:INDEX('Arroz irrigado'!$E39:$Z39,MIN(AU$6-$G$3,22))&lt;&gt;""),'Arroz irrigado'!$E39:INDEX('Arroz irrigado'!$E39:$Z39,MIN(AU$6-$G$3,22))),0)))))</f>
        <v>0</v>
      </c>
      <c r="AV41" s="27" t="n">
        <f aca="false">IF(COUNT('Arroz irrigado'!$E39:$Z39)=0,0,MAX(0,IF((AV$6-$E$3)&lt;1,0,IFERROR(LOOKUP(2,1/('Arroz irrigado'!$E39:INDEX('Arroz irrigado'!$E39:$Z39,MIN(AV$6-$E$3,22))&lt;&gt;""),'Arroz irrigado'!$E39:INDEX('Arroz irrigado'!$E39:$Z39,MIN(AV$6-$E$3,22))),0))-IF($G$2,0,IF((AV$6-$G$3)&lt;1,0,IFERROR(LOOKUP(2,1/('Arroz irrigado'!$E39:INDEX('Arroz irrigado'!$E39:$Z39,MIN(AV$6-$G$3,22))&lt;&gt;""),'Arroz irrigado'!$E39:INDEX('Arroz irrigado'!$E39:$Z39,MIN(AV$6-$G$3,22))),0)))))</f>
        <v>0</v>
      </c>
      <c r="AW41" s="27" t="n">
        <f aca="false">IF(COUNT('Arroz irrigado'!$E39:$Z39)=0,0,MAX(0,IF((AW$6-$E$3)&lt;1,0,IFERROR(LOOKUP(2,1/('Arroz irrigado'!$E39:INDEX('Arroz irrigado'!$E39:$Z39,MIN(AW$6-$E$3,22))&lt;&gt;""),'Arroz irrigado'!$E39:INDEX('Arroz irrigado'!$E39:$Z39,MIN(AW$6-$E$3,22))),0))-IF($G$2,0,IF((AW$6-$G$3)&lt;1,0,IFERROR(LOOKUP(2,1/('Arroz irrigado'!$E39:INDEX('Arroz irrigado'!$E39:$Z39,MIN(AW$6-$G$3,22))&lt;&gt;""),'Arroz irrigado'!$E39:INDEX('Arroz irrigado'!$E39:$Z39,MIN(AW$6-$G$3,22))),0)))))</f>
        <v>0</v>
      </c>
      <c r="AX41" s="27" t="n">
        <f aca="false">IF(COUNT('Arroz irrigado'!$E39:$Z39)=0,0,MAX(0,IF((AX$6-$E$3)&lt;1,0,IFERROR(LOOKUP(2,1/('Arroz irrigado'!$E39:INDEX('Arroz irrigado'!$E39:$Z39,MIN(AX$6-$E$3,22))&lt;&gt;""),'Arroz irrigado'!$E39:INDEX('Arroz irrigado'!$E39:$Z39,MIN(AX$6-$E$3,22))),0))-IF($G$2,0,IF((AX$6-$G$3)&lt;1,0,IFERROR(LOOKUP(2,1/('Arroz irrigado'!$E39:INDEX('Arroz irrigado'!$E39:$Z39,MIN(AX$6-$G$3,22))&lt;&gt;""),'Arroz irrigado'!$E39:INDEX('Arroz irrigado'!$E39:$Z39,MIN(AX$6-$G$3,22))),0)))))</f>
        <v>0</v>
      </c>
      <c r="AY41" s="27" t="n">
        <f aca="false">IF(COUNT('Arroz irrigado'!$E39:$Z39)=0,0,MAX(0,IF((AY$6-$E$3)&lt;1,0,IFERROR(LOOKUP(2,1/('Arroz irrigado'!$E39:INDEX('Arroz irrigado'!$E39:$Z39,MIN(AY$6-$E$3,22))&lt;&gt;""),'Arroz irrigado'!$E39:INDEX('Arroz irrigado'!$E39:$Z39,MIN(AY$6-$E$3,22))),0))-IF($G$2,0,IF((AY$6-$G$3)&lt;1,0,IFERROR(LOOKUP(2,1/('Arroz irrigado'!$E39:INDEX('Arroz irrigado'!$E39:$Z39,MIN(AY$6-$G$3,22))&lt;&gt;""),'Arroz irrigado'!$E39:INDEX('Arroz irrigado'!$E39:$Z39,MIN(AY$6-$G$3,22))),0)))))</f>
        <v>0</v>
      </c>
      <c r="AZ41" s="27" t="n">
        <f aca="false">IF(COUNT('Arroz irrigado'!$E39:$Z39)=0,0,MAX(0,IF((AZ$6-$E$3)&lt;1,0,IFERROR(LOOKUP(2,1/('Arroz irrigado'!$E39:INDEX('Arroz irrigado'!$E39:$Z39,MIN(AZ$6-$E$3,22))&lt;&gt;""),'Arroz irrigado'!$E39:INDEX('Arroz irrigado'!$E39:$Z39,MIN(AZ$6-$E$3,22))),0))-IF($G$2,0,IF((AZ$6-$G$3)&lt;1,0,IFERROR(LOOKUP(2,1/('Arroz irrigado'!$E39:INDEX('Arroz irrigado'!$E39:$Z39,MIN(AZ$6-$G$3,22))&lt;&gt;""),'Arroz irrigado'!$E39:INDEX('Arroz irrigado'!$E39:$Z39,MIN(AZ$6-$G$3,22))),0)))))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IF(COUNT('Arroz irrigado'!$E40:$Z40)&gt;0,N('Arroz irrigado'!$D40),0)</f>
        <v>0</v>
      </c>
      <c r="E42" s="27" t="n">
        <f aca="false">IF(COUNT('Arroz irrigado'!$E40:$Z40)=0,0,MAX(0,IF((E$6-$E$3)&lt;1,0,IFERROR(LOOKUP(2,1/('Arroz irrigado'!$E40:INDEX('Arroz irrigado'!$E40:$Z40,MIN(E$6-$E$3,22))&lt;&gt;""),'Arroz irrigado'!$E40:INDEX('Arroz irrigado'!$E40:$Z40,MIN(E$6-$E$3,22))),0))-IF($G$2,0,IF((E$6-$G$3)&lt;1,0,IFERROR(LOOKUP(2,1/('Arroz irrigado'!$E40:INDEX('Arroz irrigado'!$E40:$Z40,MIN(E$6-$G$3,22))&lt;&gt;""),'Arroz irrigado'!$E40:INDEX('Arroz irrigado'!$E40:$Z40,MIN(E$6-$G$3,22))),0)))))</f>
        <v>0</v>
      </c>
      <c r="F42" s="27" t="n">
        <f aca="false">IF(COUNT('Arroz irrigado'!$E40:$Z40)=0,0,MAX(0,IF((F$6-$E$3)&lt;1,0,IFERROR(LOOKUP(2,1/('Arroz irrigado'!$E40:INDEX('Arroz irrigado'!$E40:$Z40,MIN(F$6-$E$3,22))&lt;&gt;""),'Arroz irrigado'!$E40:INDEX('Arroz irrigado'!$E40:$Z40,MIN(F$6-$E$3,22))),0))-IF($G$2,0,IF((F$6-$G$3)&lt;1,0,IFERROR(LOOKUP(2,1/('Arroz irrigado'!$E40:INDEX('Arroz irrigado'!$E40:$Z40,MIN(F$6-$G$3,22))&lt;&gt;""),'Arroz irrigado'!$E40:INDEX('Arroz irrigado'!$E40:$Z40,MIN(F$6-$G$3,22))),0)))))</f>
        <v>0</v>
      </c>
      <c r="G42" s="27" t="n">
        <f aca="false">IF(COUNT('Arroz irrigado'!$E40:$Z40)=0,0,MAX(0,IF((G$6-$E$3)&lt;1,0,IFERROR(LOOKUP(2,1/('Arroz irrigado'!$E40:INDEX('Arroz irrigado'!$E40:$Z40,MIN(G$6-$E$3,22))&lt;&gt;""),'Arroz irrigado'!$E40:INDEX('Arroz irrigado'!$E40:$Z40,MIN(G$6-$E$3,22))),0))-IF($G$2,0,IF((G$6-$G$3)&lt;1,0,IFERROR(LOOKUP(2,1/('Arroz irrigado'!$E40:INDEX('Arroz irrigado'!$E40:$Z40,MIN(G$6-$G$3,22))&lt;&gt;""),'Arroz irrigado'!$E40:INDEX('Arroz irrigado'!$E40:$Z40,MIN(G$6-$G$3,22))),0)))))</f>
        <v>0</v>
      </c>
      <c r="H42" s="27" t="n">
        <f aca="false">IF(COUNT('Arroz irrigado'!$E40:$Z40)=0,0,MAX(0,IF((H$6-$E$3)&lt;1,0,IFERROR(LOOKUP(2,1/('Arroz irrigado'!$E40:INDEX('Arroz irrigado'!$E40:$Z40,MIN(H$6-$E$3,22))&lt;&gt;""),'Arroz irrigado'!$E40:INDEX('Arroz irrigado'!$E40:$Z40,MIN(H$6-$E$3,22))),0))-IF($G$2,0,IF((H$6-$G$3)&lt;1,0,IFERROR(LOOKUP(2,1/('Arroz irrigado'!$E40:INDEX('Arroz irrigado'!$E40:$Z40,MIN(H$6-$G$3,22))&lt;&gt;""),'Arroz irrigado'!$E40:INDEX('Arroz irrigado'!$E40:$Z40,MIN(H$6-$G$3,22))),0)))))</f>
        <v>0</v>
      </c>
      <c r="I42" s="27" t="n">
        <f aca="false">IF(COUNT('Arroz irrigado'!$E40:$Z40)=0,0,MAX(0,IF((I$6-$E$3)&lt;1,0,IFERROR(LOOKUP(2,1/('Arroz irrigado'!$E40:INDEX('Arroz irrigado'!$E40:$Z40,MIN(I$6-$E$3,22))&lt;&gt;""),'Arroz irrigado'!$E40:INDEX('Arroz irrigado'!$E40:$Z40,MIN(I$6-$E$3,22))),0))-IF($G$2,0,IF((I$6-$G$3)&lt;1,0,IFERROR(LOOKUP(2,1/('Arroz irrigado'!$E40:INDEX('Arroz irrigado'!$E40:$Z40,MIN(I$6-$G$3,22))&lt;&gt;""),'Arroz irrigado'!$E40:INDEX('Arroz irrigado'!$E40:$Z40,MIN(I$6-$G$3,22))),0)))))</f>
        <v>0</v>
      </c>
      <c r="J42" s="27" t="n">
        <f aca="false">IF(COUNT('Arroz irrigado'!$E40:$Z40)=0,0,MAX(0,IF((J$6-$E$3)&lt;1,0,IFERROR(LOOKUP(2,1/('Arroz irrigado'!$E40:INDEX('Arroz irrigado'!$E40:$Z40,MIN(J$6-$E$3,22))&lt;&gt;""),'Arroz irrigado'!$E40:INDEX('Arroz irrigado'!$E40:$Z40,MIN(J$6-$E$3,22))),0))-IF($G$2,0,IF((J$6-$G$3)&lt;1,0,IFERROR(LOOKUP(2,1/('Arroz irrigado'!$E40:INDEX('Arroz irrigado'!$E40:$Z40,MIN(J$6-$G$3,22))&lt;&gt;""),'Arroz irrigado'!$E40:INDEX('Arroz irrigado'!$E40:$Z40,MIN(J$6-$G$3,22))),0)))))</f>
        <v>0</v>
      </c>
      <c r="K42" s="27" t="n">
        <f aca="false">IF(COUNT('Arroz irrigado'!$E40:$Z40)=0,0,MAX(0,IF((K$6-$E$3)&lt;1,0,IFERROR(LOOKUP(2,1/('Arroz irrigado'!$E40:INDEX('Arroz irrigado'!$E40:$Z40,MIN(K$6-$E$3,22))&lt;&gt;""),'Arroz irrigado'!$E40:INDEX('Arroz irrigado'!$E40:$Z40,MIN(K$6-$E$3,22))),0))-IF($G$2,0,IF((K$6-$G$3)&lt;1,0,IFERROR(LOOKUP(2,1/('Arroz irrigado'!$E40:INDEX('Arroz irrigado'!$E40:$Z40,MIN(K$6-$G$3,22))&lt;&gt;""),'Arroz irrigado'!$E40:INDEX('Arroz irrigado'!$E40:$Z40,MIN(K$6-$G$3,22))),0)))))</f>
        <v>0</v>
      </c>
      <c r="L42" s="27" t="n">
        <f aca="false">IF(COUNT('Arroz irrigado'!$E40:$Z40)=0,0,MAX(0,IF((L$6-$E$3)&lt;1,0,IFERROR(LOOKUP(2,1/('Arroz irrigado'!$E40:INDEX('Arroz irrigado'!$E40:$Z40,MIN(L$6-$E$3,22))&lt;&gt;""),'Arroz irrigado'!$E40:INDEX('Arroz irrigado'!$E40:$Z40,MIN(L$6-$E$3,22))),0))-IF($G$2,0,IF((L$6-$G$3)&lt;1,0,IFERROR(LOOKUP(2,1/('Arroz irrigado'!$E40:INDEX('Arroz irrigado'!$E40:$Z40,MIN(L$6-$G$3,22))&lt;&gt;""),'Arroz irrigado'!$E40:INDEX('Arroz irrigado'!$E40:$Z40,MIN(L$6-$G$3,22))),0)))))</f>
        <v>0</v>
      </c>
      <c r="M42" s="27" t="n">
        <f aca="false">IF(COUNT('Arroz irrigado'!$E40:$Z40)=0,0,MAX(0,IF((M$6-$E$3)&lt;1,0,IFERROR(LOOKUP(2,1/('Arroz irrigado'!$E40:INDEX('Arroz irrigado'!$E40:$Z40,MIN(M$6-$E$3,22))&lt;&gt;""),'Arroz irrigado'!$E40:INDEX('Arroz irrigado'!$E40:$Z40,MIN(M$6-$E$3,22))),0))-IF($G$2,0,IF((M$6-$G$3)&lt;1,0,IFERROR(LOOKUP(2,1/('Arroz irrigado'!$E40:INDEX('Arroz irrigado'!$E40:$Z40,MIN(M$6-$G$3,22))&lt;&gt;""),'Arroz irrigado'!$E40:INDEX('Arroz irrigado'!$E40:$Z40,MIN(M$6-$G$3,22))),0)))))</f>
        <v>0</v>
      </c>
      <c r="N42" s="27" t="n">
        <f aca="false">IF(COUNT('Arroz irrigado'!$E40:$Z40)=0,0,MAX(0,IF((N$6-$E$3)&lt;1,0,IFERROR(LOOKUP(2,1/('Arroz irrigado'!$E40:INDEX('Arroz irrigado'!$E40:$Z40,MIN(N$6-$E$3,22))&lt;&gt;""),'Arroz irrigado'!$E40:INDEX('Arroz irrigado'!$E40:$Z40,MIN(N$6-$E$3,22))),0))-IF($G$2,0,IF((N$6-$G$3)&lt;1,0,IFERROR(LOOKUP(2,1/('Arroz irrigado'!$E40:INDEX('Arroz irrigado'!$E40:$Z40,MIN(N$6-$G$3,22))&lt;&gt;""),'Arroz irrigado'!$E40:INDEX('Arroz irrigado'!$E40:$Z40,MIN(N$6-$G$3,22))),0)))))</f>
        <v>0</v>
      </c>
      <c r="O42" s="27" t="n">
        <f aca="false">IF(COUNT('Arroz irrigado'!$E40:$Z40)=0,0,MAX(0,IF((O$6-$E$3)&lt;1,0,IFERROR(LOOKUP(2,1/('Arroz irrigado'!$E40:INDEX('Arroz irrigado'!$E40:$Z40,MIN(O$6-$E$3,22))&lt;&gt;""),'Arroz irrigado'!$E40:INDEX('Arroz irrigado'!$E40:$Z40,MIN(O$6-$E$3,22))),0))-IF($G$2,0,IF((O$6-$G$3)&lt;1,0,IFERROR(LOOKUP(2,1/('Arroz irrigado'!$E40:INDEX('Arroz irrigado'!$E40:$Z40,MIN(O$6-$G$3,22))&lt;&gt;""),'Arroz irrigado'!$E40:INDEX('Arroz irrigado'!$E40:$Z40,MIN(O$6-$G$3,22))),0)))))</f>
        <v>0</v>
      </c>
      <c r="P42" s="27" t="n">
        <f aca="false">IF(COUNT('Arroz irrigado'!$E40:$Z40)=0,0,MAX(0,IF((P$6-$E$3)&lt;1,0,IFERROR(LOOKUP(2,1/('Arroz irrigado'!$E40:INDEX('Arroz irrigado'!$E40:$Z40,MIN(P$6-$E$3,22))&lt;&gt;""),'Arroz irrigado'!$E40:INDEX('Arroz irrigado'!$E40:$Z40,MIN(P$6-$E$3,22))),0))-IF($G$2,0,IF((P$6-$G$3)&lt;1,0,IFERROR(LOOKUP(2,1/('Arroz irrigado'!$E40:INDEX('Arroz irrigado'!$E40:$Z40,MIN(P$6-$G$3,22))&lt;&gt;""),'Arroz irrigado'!$E40:INDEX('Arroz irrigado'!$E40:$Z40,MIN(P$6-$G$3,22))),0)))))</f>
        <v>0</v>
      </c>
      <c r="Q42" s="27" t="n">
        <f aca="false">IF(COUNT('Arroz irrigado'!$E40:$Z40)=0,0,MAX(0,IF((Q$6-$E$3)&lt;1,0,IFERROR(LOOKUP(2,1/('Arroz irrigado'!$E40:INDEX('Arroz irrigado'!$E40:$Z40,MIN(Q$6-$E$3,22))&lt;&gt;""),'Arroz irrigado'!$E40:INDEX('Arroz irrigado'!$E40:$Z40,MIN(Q$6-$E$3,22))),0))-IF($G$2,0,IF((Q$6-$G$3)&lt;1,0,IFERROR(LOOKUP(2,1/('Arroz irrigado'!$E40:INDEX('Arroz irrigado'!$E40:$Z40,MIN(Q$6-$G$3,22))&lt;&gt;""),'Arroz irrigado'!$E40:INDEX('Arroz irrigado'!$E40:$Z40,MIN(Q$6-$G$3,22))),0)))))</f>
        <v>0</v>
      </c>
      <c r="R42" s="27" t="n">
        <f aca="false">IF(COUNT('Arroz irrigado'!$E40:$Z40)=0,0,MAX(0,IF((R$6-$E$3)&lt;1,0,IFERROR(LOOKUP(2,1/('Arroz irrigado'!$E40:INDEX('Arroz irrigado'!$E40:$Z40,MIN(R$6-$E$3,22))&lt;&gt;""),'Arroz irrigado'!$E40:INDEX('Arroz irrigado'!$E40:$Z40,MIN(R$6-$E$3,22))),0))-IF($G$2,0,IF((R$6-$G$3)&lt;1,0,IFERROR(LOOKUP(2,1/('Arroz irrigado'!$E40:INDEX('Arroz irrigado'!$E40:$Z40,MIN(R$6-$G$3,22))&lt;&gt;""),'Arroz irrigado'!$E40:INDEX('Arroz irrigado'!$E40:$Z40,MIN(R$6-$G$3,22))),0)))))</f>
        <v>0</v>
      </c>
      <c r="S42" s="27" t="n">
        <f aca="false">IF(COUNT('Arroz irrigado'!$E40:$Z40)=0,0,MAX(0,IF((S$6-$E$3)&lt;1,0,IFERROR(LOOKUP(2,1/('Arroz irrigado'!$E40:INDEX('Arroz irrigado'!$E40:$Z40,MIN(S$6-$E$3,22))&lt;&gt;""),'Arroz irrigado'!$E40:INDEX('Arroz irrigado'!$E40:$Z40,MIN(S$6-$E$3,22))),0))-IF($G$2,0,IF((S$6-$G$3)&lt;1,0,IFERROR(LOOKUP(2,1/('Arroz irrigado'!$E40:INDEX('Arroz irrigado'!$E40:$Z40,MIN(S$6-$G$3,22))&lt;&gt;""),'Arroz irrigado'!$E40:INDEX('Arroz irrigado'!$E40:$Z40,MIN(S$6-$G$3,22))),0)))))</f>
        <v>0</v>
      </c>
      <c r="T42" s="27" t="n">
        <f aca="false">IF(COUNT('Arroz irrigado'!$E40:$Z40)=0,0,MAX(0,IF((T$6-$E$3)&lt;1,0,IFERROR(LOOKUP(2,1/('Arroz irrigado'!$E40:INDEX('Arroz irrigado'!$E40:$Z40,MIN(T$6-$E$3,22))&lt;&gt;""),'Arroz irrigado'!$E40:INDEX('Arroz irrigado'!$E40:$Z40,MIN(T$6-$E$3,22))),0))-IF($G$2,0,IF((T$6-$G$3)&lt;1,0,IFERROR(LOOKUP(2,1/('Arroz irrigado'!$E40:INDEX('Arroz irrigado'!$E40:$Z40,MIN(T$6-$G$3,22))&lt;&gt;""),'Arroz irrigado'!$E40:INDEX('Arroz irrigado'!$E40:$Z40,MIN(T$6-$G$3,22))),0)))))</f>
        <v>0</v>
      </c>
      <c r="U42" s="27" t="n">
        <f aca="false">IF(COUNT('Arroz irrigado'!$E40:$Z40)=0,0,MAX(0,IF((U$6-$E$3)&lt;1,0,IFERROR(LOOKUP(2,1/('Arroz irrigado'!$E40:INDEX('Arroz irrigado'!$E40:$Z40,MIN(U$6-$E$3,22))&lt;&gt;""),'Arroz irrigado'!$E40:INDEX('Arroz irrigado'!$E40:$Z40,MIN(U$6-$E$3,22))),0))-IF($G$2,0,IF((U$6-$G$3)&lt;1,0,IFERROR(LOOKUP(2,1/('Arroz irrigado'!$E40:INDEX('Arroz irrigado'!$E40:$Z40,MIN(U$6-$G$3,22))&lt;&gt;""),'Arroz irrigado'!$E40:INDEX('Arroz irrigado'!$E40:$Z40,MIN(U$6-$G$3,22))),0)))))</f>
        <v>0</v>
      </c>
      <c r="V42" s="27" t="n">
        <f aca="false">IF(COUNT('Arroz irrigado'!$E40:$Z40)=0,0,MAX(0,IF((V$6-$E$3)&lt;1,0,IFERROR(LOOKUP(2,1/('Arroz irrigado'!$E40:INDEX('Arroz irrigado'!$E40:$Z40,MIN(V$6-$E$3,22))&lt;&gt;""),'Arroz irrigado'!$E40:INDEX('Arroz irrigado'!$E40:$Z40,MIN(V$6-$E$3,22))),0))-IF($G$2,0,IF((V$6-$G$3)&lt;1,0,IFERROR(LOOKUP(2,1/('Arroz irrigado'!$E40:INDEX('Arroz irrigado'!$E40:$Z40,MIN(V$6-$G$3,22))&lt;&gt;""),'Arroz irrigado'!$E40:INDEX('Arroz irrigado'!$E40:$Z40,MIN(V$6-$G$3,22))),0)))))</f>
        <v>0</v>
      </c>
      <c r="W42" s="27" t="n">
        <f aca="false">IF(COUNT('Arroz irrigado'!$E40:$Z40)=0,0,MAX(0,IF((W$6-$E$3)&lt;1,0,IFERROR(LOOKUP(2,1/('Arroz irrigado'!$E40:INDEX('Arroz irrigado'!$E40:$Z40,MIN(W$6-$E$3,22))&lt;&gt;""),'Arroz irrigado'!$E40:INDEX('Arroz irrigado'!$E40:$Z40,MIN(W$6-$E$3,22))),0))-IF($G$2,0,IF((W$6-$G$3)&lt;1,0,IFERROR(LOOKUP(2,1/('Arroz irrigado'!$E40:INDEX('Arroz irrigado'!$E40:$Z40,MIN(W$6-$G$3,22))&lt;&gt;""),'Arroz irrigado'!$E40:INDEX('Arroz irrigado'!$E40:$Z40,MIN(W$6-$G$3,22))),0)))))</f>
        <v>0</v>
      </c>
      <c r="X42" s="27" t="n">
        <f aca="false">IF(COUNT('Arroz irrigado'!$E40:$Z40)=0,0,MAX(0,IF((X$6-$E$3)&lt;1,0,IFERROR(LOOKUP(2,1/('Arroz irrigado'!$E40:INDEX('Arroz irrigado'!$E40:$Z40,MIN(X$6-$E$3,22))&lt;&gt;""),'Arroz irrigado'!$E40:INDEX('Arroz irrigado'!$E40:$Z40,MIN(X$6-$E$3,22))),0))-IF($G$2,0,IF((X$6-$G$3)&lt;1,0,IFERROR(LOOKUP(2,1/('Arroz irrigado'!$E40:INDEX('Arroz irrigado'!$E40:$Z40,MIN(X$6-$G$3,22))&lt;&gt;""),'Arroz irrigado'!$E40:INDEX('Arroz irrigado'!$E40:$Z40,MIN(X$6-$G$3,22))),0)))))</f>
        <v>0</v>
      </c>
      <c r="Y42" s="27" t="n">
        <f aca="false">IF(COUNT('Arroz irrigado'!$E40:$Z40)=0,0,MAX(0,IF((Y$6-$E$3)&lt;1,0,IFERROR(LOOKUP(2,1/('Arroz irrigado'!$E40:INDEX('Arroz irrigado'!$E40:$Z40,MIN(Y$6-$E$3,22))&lt;&gt;""),'Arroz irrigado'!$E40:INDEX('Arroz irrigado'!$E40:$Z40,MIN(Y$6-$E$3,22))),0))-IF($G$2,0,IF((Y$6-$G$3)&lt;1,0,IFERROR(LOOKUP(2,1/('Arroz irrigado'!$E40:INDEX('Arroz irrigado'!$E40:$Z40,MIN(Y$6-$G$3,22))&lt;&gt;""),'Arroz irrigado'!$E40:INDEX('Arroz irrigado'!$E40:$Z40,MIN(Y$6-$G$3,22))),0)))))</f>
        <v>0</v>
      </c>
      <c r="Z42" s="27" t="n">
        <f aca="false">IF(COUNT('Arroz irrigado'!$E40:$Z40)=0,0,MAX(0,IF((Z$6-$E$3)&lt;1,0,IFERROR(LOOKUP(2,1/('Arroz irrigado'!$E40:INDEX('Arroz irrigado'!$E40:$Z40,MIN(Z$6-$E$3,22))&lt;&gt;""),'Arroz irrigado'!$E40:INDEX('Arroz irrigado'!$E40:$Z40,MIN(Z$6-$E$3,22))),0))-IF($G$2,0,IF((Z$6-$G$3)&lt;1,0,IFERROR(LOOKUP(2,1/('Arroz irrigado'!$E40:INDEX('Arroz irrigado'!$E40:$Z40,MIN(Z$6-$G$3,22))&lt;&gt;""),'Arroz irrigado'!$E40:INDEX('Arroz irrigado'!$E40:$Z40,MIN(Z$6-$G$3,22))),0)))))</f>
        <v>0</v>
      </c>
      <c r="AA42" s="27" t="n">
        <f aca="false">IF(COUNT('Arroz irrigado'!$E40:$Z40)=0,0,MAX(0,IF((AA$6-$E$3)&lt;1,0,IFERROR(LOOKUP(2,1/('Arroz irrigado'!$E40:INDEX('Arroz irrigado'!$E40:$Z40,MIN(AA$6-$E$3,22))&lt;&gt;""),'Arroz irrigado'!$E40:INDEX('Arroz irrigado'!$E40:$Z40,MIN(AA$6-$E$3,22))),0))-IF($G$2,0,IF((AA$6-$G$3)&lt;1,0,IFERROR(LOOKUP(2,1/('Arroz irrigado'!$E40:INDEX('Arroz irrigado'!$E40:$Z40,MIN(AA$6-$G$3,22))&lt;&gt;""),'Arroz irrigado'!$E40:INDEX('Arroz irrigado'!$E40:$Z40,MIN(AA$6-$G$3,22))),0)))))</f>
        <v>0</v>
      </c>
      <c r="AB42" s="27" t="n">
        <f aca="false">IF(COUNT('Arroz irrigado'!$E40:$Z40)=0,0,MAX(0,IF((AB$6-$E$3)&lt;1,0,IFERROR(LOOKUP(2,1/('Arroz irrigado'!$E40:INDEX('Arroz irrigado'!$E40:$Z40,MIN(AB$6-$E$3,22))&lt;&gt;""),'Arroz irrigado'!$E40:INDEX('Arroz irrigado'!$E40:$Z40,MIN(AB$6-$E$3,22))),0))-IF($G$2,0,IF((AB$6-$G$3)&lt;1,0,IFERROR(LOOKUP(2,1/('Arroz irrigado'!$E40:INDEX('Arroz irrigado'!$E40:$Z40,MIN(AB$6-$G$3,22))&lt;&gt;""),'Arroz irrigado'!$E40:INDEX('Arroz irrigado'!$E40:$Z40,MIN(AB$6-$G$3,22))),0)))))</f>
        <v>0</v>
      </c>
      <c r="AC42" s="27" t="n">
        <f aca="false">IF(COUNT('Arroz irrigado'!$E40:$Z40)=0,0,MAX(0,IF((AC$6-$E$3)&lt;1,0,IFERROR(LOOKUP(2,1/('Arroz irrigado'!$E40:INDEX('Arroz irrigado'!$E40:$Z40,MIN(AC$6-$E$3,22))&lt;&gt;""),'Arroz irrigado'!$E40:INDEX('Arroz irrigado'!$E40:$Z40,MIN(AC$6-$E$3,22))),0))-IF($G$2,0,IF((AC$6-$G$3)&lt;1,0,IFERROR(LOOKUP(2,1/('Arroz irrigado'!$E40:INDEX('Arroz irrigado'!$E40:$Z40,MIN(AC$6-$G$3,22))&lt;&gt;""),'Arroz irrigado'!$E40:INDEX('Arroz irrigado'!$E40:$Z40,MIN(AC$6-$G$3,22))),0)))))</f>
        <v>0</v>
      </c>
      <c r="AD42" s="27" t="n">
        <f aca="false">IF(COUNT('Arroz irrigado'!$E40:$Z40)=0,0,MAX(0,IF((AD$6-$E$3)&lt;1,0,IFERROR(LOOKUP(2,1/('Arroz irrigado'!$E40:INDEX('Arroz irrigado'!$E40:$Z40,MIN(AD$6-$E$3,22))&lt;&gt;""),'Arroz irrigado'!$E40:INDEX('Arroz irrigado'!$E40:$Z40,MIN(AD$6-$E$3,22))),0))-IF($G$2,0,IF((AD$6-$G$3)&lt;1,0,IFERROR(LOOKUP(2,1/('Arroz irrigado'!$E40:INDEX('Arroz irrigado'!$E40:$Z40,MIN(AD$6-$G$3,22))&lt;&gt;""),'Arroz irrigado'!$E40:INDEX('Arroz irrigado'!$E40:$Z40,MIN(AD$6-$G$3,22))),0)))))</f>
        <v>0</v>
      </c>
      <c r="AE42" s="27" t="n">
        <f aca="false">IF(COUNT('Arroz irrigado'!$E40:$Z40)=0,0,MAX(0,IF((AE$6-$E$3)&lt;1,0,IFERROR(LOOKUP(2,1/('Arroz irrigado'!$E40:INDEX('Arroz irrigado'!$E40:$Z40,MIN(AE$6-$E$3,22))&lt;&gt;""),'Arroz irrigado'!$E40:INDEX('Arroz irrigado'!$E40:$Z40,MIN(AE$6-$E$3,22))),0))-IF($G$2,0,IF((AE$6-$G$3)&lt;1,0,IFERROR(LOOKUP(2,1/('Arroz irrigado'!$E40:INDEX('Arroz irrigado'!$E40:$Z40,MIN(AE$6-$G$3,22))&lt;&gt;""),'Arroz irrigado'!$E40:INDEX('Arroz irrigado'!$E40:$Z40,MIN(AE$6-$G$3,22))),0)))))</f>
        <v>0</v>
      </c>
      <c r="AF42" s="27" t="n">
        <f aca="false">IF(COUNT('Arroz irrigado'!$E40:$Z40)=0,0,MAX(0,IF((AF$6-$E$3)&lt;1,0,IFERROR(LOOKUP(2,1/('Arroz irrigado'!$E40:INDEX('Arroz irrigado'!$E40:$Z40,MIN(AF$6-$E$3,22))&lt;&gt;""),'Arroz irrigado'!$E40:INDEX('Arroz irrigado'!$E40:$Z40,MIN(AF$6-$E$3,22))),0))-IF($G$2,0,IF((AF$6-$G$3)&lt;1,0,IFERROR(LOOKUP(2,1/('Arroz irrigado'!$E40:INDEX('Arroz irrigado'!$E40:$Z40,MIN(AF$6-$G$3,22))&lt;&gt;""),'Arroz irrigado'!$E40:INDEX('Arroz irrigado'!$E40:$Z40,MIN(AF$6-$G$3,22))),0)))))</f>
        <v>0</v>
      </c>
      <c r="AG42" s="27" t="n">
        <f aca="false">IF(COUNT('Arroz irrigado'!$E40:$Z40)=0,0,MAX(0,IF((AG$6-$E$3)&lt;1,0,IFERROR(LOOKUP(2,1/('Arroz irrigado'!$E40:INDEX('Arroz irrigado'!$E40:$Z40,MIN(AG$6-$E$3,22))&lt;&gt;""),'Arroz irrigado'!$E40:INDEX('Arroz irrigado'!$E40:$Z40,MIN(AG$6-$E$3,22))),0))-IF($G$2,0,IF((AG$6-$G$3)&lt;1,0,IFERROR(LOOKUP(2,1/('Arroz irrigado'!$E40:INDEX('Arroz irrigado'!$E40:$Z40,MIN(AG$6-$G$3,22))&lt;&gt;""),'Arroz irrigado'!$E40:INDEX('Arroz irrigado'!$E40:$Z40,MIN(AG$6-$G$3,22))),0)))))</f>
        <v>0</v>
      </c>
      <c r="AH42" s="27" t="n">
        <f aca="false">IF(COUNT('Arroz irrigado'!$E40:$Z40)=0,0,MAX(0,IF((AH$6-$E$3)&lt;1,0,IFERROR(LOOKUP(2,1/('Arroz irrigado'!$E40:INDEX('Arroz irrigado'!$E40:$Z40,MIN(AH$6-$E$3,22))&lt;&gt;""),'Arroz irrigado'!$E40:INDEX('Arroz irrigado'!$E40:$Z40,MIN(AH$6-$E$3,22))),0))-IF($G$2,0,IF((AH$6-$G$3)&lt;1,0,IFERROR(LOOKUP(2,1/('Arroz irrigado'!$E40:INDEX('Arroz irrigado'!$E40:$Z40,MIN(AH$6-$G$3,22))&lt;&gt;""),'Arroz irrigado'!$E40:INDEX('Arroz irrigado'!$E40:$Z40,MIN(AH$6-$G$3,22))),0)))))</f>
        <v>0</v>
      </c>
      <c r="AI42" s="27" t="n">
        <f aca="false">IF(COUNT('Arroz irrigado'!$E40:$Z40)=0,0,MAX(0,IF((AI$6-$E$3)&lt;1,0,IFERROR(LOOKUP(2,1/('Arroz irrigado'!$E40:INDEX('Arroz irrigado'!$E40:$Z40,MIN(AI$6-$E$3,22))&lt;&gt;""),'Arroz irrigado'!$E40:INDEX('Arroz irrigado'!$E40:$Z40,MIN(AI$6-$E$3,22))),0))-IF($G$2,0,IF((AI$6-$G$3)&lt;1,0,IFERROR(LOOKUP(2,1/('Arroz irrigado'!$E40:INDEX('Arroz irrigado'!$E40:$Z40,MIN(AI$6-$G$3,22))&lt;&gt;""),'Arroz irrigado'!$E40:INDEX('Arroz irrigado'!$E40:$Z40,MIN(AI$6-$G$3,22))),0)))))</f>
        <v>0</v>
      </c>
      <c r="AJ42" s="27" t="n">
        <f aca="false">IF(COUNT('Arroz irrigado'!$E40:$Z40)=0,0,MAX(0,IF((AJ$6-$E$3)&lt;1,0,IFERROR(LOOKUP(2,1/('Arroz irrigado'!$E40:INDEX('Arroz irrigado'!$E40:$Z40,MIN(AJ$6-$E$3,22))&lt;&gt;""),'Arroz irrigado'!$E40:INDEX('Arroz irrigado'!$E40:$Z40,MIN(AJ$6-$E$3,22))),0))-IF($G$2,0,IF((AJ$6-$G$3)&lt;1,0,IFERROR(LOOKUP(2,1/('Arroz irrigado'!$E40:INDEX('Arroz irrigado'!$E40:$Z40,MIN(AJ$6-$G$3,22))&lt;&gt;""),'Arroz irrigado'!$E40:INDEX('Arroz irrigado'!$E40:$Z40,MIN(AJ$6-$G$3,22))),0)))))</f>
        <v>0</v>
      </c>
      <c r="AK42" s="27" t="n">
        <f aca="false">IF(COUNT('Arroz irrigado'!$E40:$Z40)=0,0,MAX(0,IF((AK$6-$E$3)&lt;1,0,IFERROR(LOOKUP(2,1/('Arroz irrigado'!$E40:INDEX('Arroz irrigado'!$E40:$Z40,MIN(AK$6-$E$3,22))&lt;&gt;""),'Arroz irrigado'!$E40:INDEX('Arroz irrigado'!$E40:$Z40,MIN(AK$6-$E$3,22))),0))-IF($G$2,0,IF((AK$6-$G$3)&lt;1,0,IFERROR(LOOKUP(2,1/('Arroz irrigado'!$E40:INDEX('Arroz irrigado'!$E40:$Z40,MIN(AK$6-$G$3,22))&lt;&gt;""),'Arroz irrigado'!$E40:INDEX('Arroz irrigado'!$E40:$Z40,MIN(AK$6-$G$3,22))),0)))))</f>
        <v>0</v>
      </c>
      <c r="AL42" s="27" t="n">
        <f aca="false">IF(COUNT('Arroz irrigado'!$E40:$Z40)=0,0,MAX(0,IF((AL$6-$E$3)&lt;1,0,IFERROR(LOOKUP(2,1/('Arroz irrigado'!$E40:INDEX('Arroz irrigado'!$E40:$Z40,MIN(AL$6-$E$3,22))&lt;&gt;""),'Arroz irrigado'!$E40:INDEX('Arroz irrigado'!$E40:$Z40,MIN(AL$6-$E$3,22))),0))-IF($G$2,0,IF((AL$6-$G$3)&lt;1,0,IFERROR(LOOKUP(2,1/('Arroz irrigado'!$E40:INDEX('Arroz irrigado'!$E40:$Z40,MIN(AL$6-$G$3,22))&lt;&gt;""),'Arroz irrigado'!$E40:INDEX('Arroz irrigado'!$E40:$Z40,MIN(AL$6-$G$3,22))),0)))))</f>
        <v>0</v>
      </c>
      <c r="AM42" s="27" t="n">
        <f aca="false">IF(COUNT('Arroz irrigado'!$E40:$Z40)=0,0,MAX(0,IF((AM$6-$E$3)&lt;1,0,IFERROR(LOOKUP(2,1/('Arroz irrigado'!$E40:INDEX('Arroz irrigado'!$E40:$Z40,MIN(AM$6-$E$3,22))&lt;&gt;""),'Arroz irrigado'!$E40:INDEX('Arroz irrigado'!$E40:$Z40,MIN(AM$6-$E$3,22))),0))-IF($G$2,0,IF((AM$6-$G$3)&lt;1,0,IFERROR(LOOKUP(2,1/('Arroz irrigado'!$E40:INDEX('Arroz irrigado'!$E40:$Z40,MIN(AM$6-$G$3,22))&lt;&gt;""),'Arroz irrigado'!$E40:INDEX('Arroz irrigado'!$E40:$Z40,MIN(AM$6-$G$3,22))),0)))))</f>
        <v>0</v>
      </c>
      <c r="AN42" s="27" t="n">
        <f aca="false">IF(COUNT('Arroz irrigado'!$E40:$Z40)=0,0,MAX(0,IF((AN$6-$E$3)&lt;1,0,IFERROR(LOOKUP(2,1/('Arroz irrigado'!$E40:INDEX('Arroz irrigado'!$E40:$Z40,MIN(AN$6-$E$3,22))&lt;&gt;""),'Arroz irrigado'!$E40:INDEX('Arroz irrigado'!$E40:$Z40,MIN(AN$6-$E$3,22))),0))-IF($G$2,0,IF((AN$6-$G$3)&lt;1,0,IFERROR(LOOKUP(2,1/('Arroz irrigado'!$E40:INDEX('Arroz irrigado'!$E40:$Z40,MIN(AN$6-$G$3,22))&lt;&gt;""),'Arroz irrigado'!$E40:INDEX('Arroz irrigado'!$E40:$Z40,MIN(AN$6-$G$3,22))),0)))))</f>
        <v>0</v>
      </c>
      <c r="AO42" s="27" t="n">
        <f aca="false">IF(COUNT('Arroz irrigado'!$E40:$Z40)=0,0,MAX(0,IF((AO$6-$E$3)&lt;1,0,IFERROR(LOOKUP(2,1/('Arroz irrigado'!$E40:INDEX('Arroz irrigado'!$E40:$Z40,MIN(AO$6-$E$3,22))&lt;&gt;""),'Arroz irrigado'!$E40:INDEX('Arroz irrigado'!$E40:$Z40,MIN(AO$6-$E$3,22))),0))-IF($G$2,0,IF((AO$6-$G$3)&lt;1,0,IFERROR(LOOKUP(2,1/('Arroz irrigado'!$E40:INDEX('Arroz irrigado'!$E40:$Z40,MIN(AO$6-$G$3,22))&lt;&gt;""),'Arroz irrigado'!$E40:INDEX('Arroz irrigado'!$E40:$Z40,MIN(AO$6-$G$3,22))),0)))))</f>
        <v>0</v>
      </c>
      <c r="AP42" s="27" t="n">
        <f aca="false">IF(COUNT('Arroz irrigado'!$E40:$Z40)=0,0,MAX(0,IF((AP$6-$E$3)&lt;1,0,IFERROR(LOOKUP(2,1/('Arroz irrigado'!$E40:INDEX('Arroz irrigado'!$E40:$Z40,MIN(AP$6-$E$3,22))&lt;&gt;""),'Arroz irrigado'!$E40:INDEX('Arroz irrigado'!$E40:$Z40,MIN(AP$6-$E$3,22))),0))-IF($G$2,0,IF((AP$6-$G$3)&lt;1,0,IFERROR(LOOKUP(2,1/('Arroz irrigado'!$E40:INDEX('Arroz irrigado'!$E40:$Z40,MIN(AP$6-$G$3,22))&lt;&gt;""),'Arroz irrigado'!$E40:INDEX('Arroz irrigado'!$E40:$Z40,MIN(AP$6-$G$3,22))),0)))))</f>
        <v>0</v>
      </c>
      <c r="AQ42" s="27" t="n">
        <f aca="false">IF(COUNT('Arroz irrigado'!$E40:$Z40)=0,0,MAX(0,IF((AQ$6-$E$3)&lt;1,0,IFERROR(LOOKUP(2,1/('Arroz irrigado'!$E40:INDEX('Arroz irrigado'!$E40:$Z40,MIN(AQ$6-$E$3,22))&lt;&gt;""),'Arroz irrigado'!$E40:INDEX('Arroz irrigado'!$E40:$Z40,MIN(AQ$6-$E$3,22))),0))-IF($G$2,0,IF((AQ$6-$G$3)&lt;1,0,IFERROR(LOOKUP(2,1/('Arroz irrigado'!$E40:INDEX('Arroz irrigado'!$E40:$Z40,MIN(AQ$6-$G$3,22))&lt;&gt;""),'Arroz irrigado'!$E40:INDEX('Arroz irrigado'!$E40:$Z40,MIN(AQ$6-$G$3,22))),0)))))</f>
        <v>0</v>
      </c>
      <c r="AR42" s="27" t="n">
        <f aca="false">IF(COUNT('Arroz irrigado'!$E40:$Z40)=0,0,MAX(0,IF((AR$6-$E$3)&lt;1,0,IFERROR(LOOKUP(2,1/('Arroz irrigado'!$E40:INDEX('Arroz irrigado'!$E40:$Z40,MIN(AR$6-$E$3,22))&lt;&gt;""),'Arroz irrigado'!$E40:INDEX('Arroz irrigado'!$E40:$Z40,MIN(AR$6-$E$3,22))),0))-IF($G$2,0,IF((AR$6-$G$3)&lt;1,0,IFERROR(LOOKUP(2,1/('Arroz irrigado'!$E40:INDEX('Arroz irrigado'!$E40:$Z40,MIN(AR$6-$G$3,22))&lt;&gt;""),'Arroz irrigado'!$E40:INDEX('Arroz irrigado'!$E40:$Z40,MIN(AR$6-$G$3,22))),0)))))</f>
        <v>0</v>
      </c>
      <c r="AS42" s="27" t="n">
        <f aca="false">IF(COUNT('Arroz irrigado'!$E40:$Z40)=0,0,MAX(0,IF((AS$6-$E$3)&lt;1,0,IFERROR(LOOKUP(2,1/('Arroz irrigado'!$E40:INDEX('Arroz irrigado'!$E40:$Z40,MIN(AS$6-$E$3,22))&lt;&gt;""),'Arroz irrigado'!$E40:INDEX('Arroz irrigado'!$E40:$Z40,MIN(AS$6-$E$3,22))),0))-IF($G$2,0,IF((AS$6-$G$3)&lt;1,0,IFERROR(LOOKUP(2,1/('Arroz irrigado'!$E40:INDEX('Arroz irrigado'!$E40:$Z40,MIN(AS$6-$G$3,22))&lt;&gt;""),'Arroz irrigado'!$E40:INDEX('Arroz irrigado'!$E40:$Z40,MIN(AS$6-$G$3,22))),0)))))</f>
        <v>0</v>
      </c>
      <c r="AT42" s="27" t="n">
        <f aca="false">IF(COUNT('Arroz irrigado'!$E40:$Z40)=0,0,MAX(0,IF((AT$6-$E$3)&lt;1,0,IFERROR(LOOKUP(2,1/('Arroz irrigado'!$E40:INDEX('Arroz irrigado'!$E40:$Z40,MIN(AT$6-$E$3,22))&lt;&gt;""),'Arroz irrigado'!$E40:INDEX('Arroz irrigado'!$E40:$Z40,MIN(AT$6-$E$3,22))),0))-IF($G$2,0,IF((AT$6-$G$3)&lt;1,0,IFERROR(LOOKUP(2,1/('Arroz irrigado'!$E40:INDEX('Arroz irrigado'!$E40:$Z40,MIN(AT$6-$G$3,22))&lt;&gt;""),'Arroz irrigado'!$E40:INDEX('Arroz irrigado'!$E40:$Z40,MIN(AT$6-$G$3,22))),0)))))</f>
        <v>0</v>
      </c>
      <c r="AU42" s="27" t="n">
        <f aca="false">IF(COUNT('Arroz irrigado'!$E40:$Z40)=0,0,MAX(0,IF((AU$6-$E$3)&lt;1,0,IFERROR(LOOKUP(2,1/('Arroz irrigado'!$E40:INDEX('Arroz irrigado'!$E40:$Z40,MIN(AU$6-$E$3,22))&lt;&gt;""),'Arroz irrigado'!$E40:INDEX('Arroz irrigado'!$E40:$Z40,MIN(AU$6-$E$3,22))),0))-IF($G$2,0,IF((AU$6-$G$3)&lt;1,0,IFERROR(LOOKUP(2,1/('Arroz irrigado'!$E40:INDEX('Arroz irrigado'!$E40:$Z40,MIN(AU$6-$G$3,22))&lt;&gt;""),'Arroz irrigado'!$E40:INDEX('Arroz irrigado'!$E40:$Z40,MIN(AU$6-$G$3,22))),0)))))</f>
        <v>0</v>
      </c>
      <c r="AV42" s="27" t="n">
        <f aca="false">IF(COUNT('Arroz irrigado'!$E40:$Z40)=0,0,MAX(0,IF((AV$6-$E$3)&lt;1,0,IFERROR(LOOKUP(2,1/('Arroz irrigado'!$E40:INDEX('Arroz irrigado'!$E40:$Z40,MIN(AV$6-$E$3,22))&lt;&gt;""),'Arroz irrigado'!$E40:INDEX('Arroz irrigado'!$E40:$Z40,MIN(AV$6-$E$3,22))),0))-IF($G$2,0,IF((AV$6-$G$3)&lt;1,0,IFERROR(LOOKUP(2,1/('Arroz irrigado'!$E40:INDEX('Arroz irrigado'!$E40:$Z40,MIN(AV$6-$G$3,22))&lt;&gt;""),'Arroz irrigado'!$E40:INDEX('Arroz irrigado'!$E40:$Z40,MIN(AV$6-$G$3,22))),0)))))</f>
        <v>0</v>
      </c>
      <c r="AW42" s="27" t="n">
        <f aca="false">IF(COUNT('Arroz irrigado'!$E40:$Z40)=0,0,MAX(0,IF((AW$6-$E$3)&lt;1,0,IFERROR(LOOKUP(2,1/('Arroz irrigado'!$E40:INDEX('Arroz irrigado'!$E40:$Z40,MIN(AW$6-$E$3,22))&lt;&gt;""),'Arroz irrigado'!$E40:INDEX('Arroz irrigado'!$E40:$Z40,MIN(AW$6-$E$3,22))),0))-IF($G$2,0,IF((AW$6-$G$3)&lt;1,0,IFERROR(LOOKUP(2,1/('Arroz irrigado'!$E40:INDEX('Arroz irrigado'!$E40:$Z40,MIN(AW$6-$G$3,22))&lt;&gt;""),'Arroz irrigado'!$E40:INDEX('Arroz irrigado'!$E40:$Z40,MIN(AW$6-$G$3,22))),0)))))</f>
        <v>0</v>
      </c>
      <c r="AX42" s="27" t="n">
        <f aca="false">IF(COUNT('Arroz irrigado'!$E40:$Z40)=0,0,MAX(0,IF((AX$6-$E$3)&lt;1,0,IFERROR(LOOKUP(2,1/('Arroz irrigado'!$E40:INDEX('Arroz irrigado'!$E40:$Z40,MIN(AX$6-$E$3,22))&lt;&gt;""),'Arroz irrigado'!$E40:INDEX('Arroz irrigado'!$E40:$Z40,MIN(AX$6-$E$3,22))),0))-IF($G$2,0,IF((AX$6-$G$3)&lt;1,0,IFERROR(LOOKUP(2,1/('Arroz irrigado'!$E40:INDEX('Arroz irrigado'!$E40:$Z40,MIN(AX$6-$G$3,22))&lt;&gt;""),'Arroz irrigado'!$E40:INDEX('Arroz irrigado'!$E40:$Z40,MIN(AX$6-$G$3,22))),0)))))</f>
        <v>0</v>
      </c>
      <c r="AY42" s="27" t="n">
        <f aca="false">IF(COUNT('Arroz irrigado'!$E40:$Z40)=0,0,MAX(0,IF((AY$6-$E$3)&lt;1,0,IFERROR(LOOKUP(2,1/('Arroz irrigado'!$E40:INDEX('Arroz irrigado'!$E40:$Z40,MIN(AY$6-$E$3,22))&lt;&gt;""),'Arroz irrigado'!$E40:INDEX('Arroz irrigado'!$E40:$Z40,MIN(AY$6-$E$3,22))),0))-IF($G$2,0,IF((AY$6-$G$3)&lt;1,0,IFERROR(LOOKUP(2,1/('Arroz irrigado'!$E40:INDEX('Arroz irrigado'!$E40:$Z40,MIN(AY$6-$G$3,22))&lt;&gt;""),'Arroz irrigado'!$E40:INDEX('Arroz irrigado'!$E40:$Z40,MIN(AY$6-$G$3,22))),0)))))</f>
        <v>0</v>
      </c>
      <c r="AZ42" s="27" t="n">
        <f aca="false">IF(COUNT('Arroz irrigado'!$E40:$Z40)=0,0,MAX(0,IF((AZ$6-$E$3)&lt;1,0,IFERROR(LOOKUP(2,1/('Arroz irrigado'!$E40:INDEX('Arroz irrigado'!$E40:$Z40,MIN(AZ$6-$E$3,22))&lt;&gt;""),'Arroz irrigado'!$E40:INDEX('Arroz irrigado'!$E40:$Z40,MIN(AZ$6-$E$3,22))),0))-IF($G$2,0,IF((AZ$6-$G$3)&lt;1,0,IFERROR(LOOKUP(2,1/('Arroz irrigado'!$E40:INDEX('Arroz irrigado'!$E40:$Z40,MIN(AZ$6-$G$3,22))&lt;&gt;""),'Arroz irrigado'!$E40:INDEX('Arroz irrigado'!$E40:$Z40,MIN(AZ$6-$G$3,22))),0)))))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IF(COUNT('Arroz irrigado'!$E41:$Z41)&gt;0,N('Arroz irrigado'!$D41),0)</f>
        <v>0</v>
      </c>
      <c r="E43" s="27" t="n">
        <f aca="false">IF(COUNT('Arroz irrigado'!$E41:$Z41)=0,0,MAX(0,IF((E$6-$E$3)&lt;1,0,IFERROR(LOOKUP(2,1/('Arroz irrigado'!$E41:INDEX('Arroz irrigado'!$E41:$Z41,MIN(E$6-$E$3,22))&lt;&gt;""),'Arroz irrigado'!$E41:INDEX('Arroz irrigado'!$E41:$Z41,MIN(E$6-$E$3,22))),0))-IF($G$2,0,IF((E$6-$G$3)&lt;1,0,IFERROR(LOOKUP(2,1/('Arroz irrigado'!$E41:INDEX('Arroz irrigado'!$E41:$Z41,MIN(E$6-$G$3,22))&lt;&gt;""),'Arroz irrigado'!$E41:INDEX('Arroz irrigado'!$E41:$Z41,MIN(E$6-$G$3,22))),0)))))</f>
        <v>0</v>
      </c>
      <c r="F43" s="27" t="n">
        <f aca="false">IF(COUNT('Arroz irrigado'!$E41:$Z41)=0,0,MAX(0,IF((F$6-$E$3)&lt;1,0,IFERROR(LOOKUP(2,1/('Arroz irrigado'!$E41:INDEX('Arroz irrigado'!$E41:$Z41,MIN(F$6-$E$3,22))&lt;&gt;""),'Arroz irrigado'!$E41:INDEX('Arroz irrigado'!$E41:$Z41,MIN(F$6-$E$3,22))),0))-IF($G$2,0,IF((F$6-$G$3)&lt;1,0,IFERROR(LOOKUP(2,1/('Arroz irrigado'!$E41:INDEX('Arroz irrigado'!$E41:$Z41,MIN(F$6-$G$3,22))&lt;&gt;""),'Arroz irrigado'!$E41:INDEX('Arroz irrigado'!$E41:$Z41,MIN(F$6-$G$3,22))),0)))))</f>
        <v>0</v>
      </c>
      <c r="G43" s="27" t="n">
        <f aca="false">IF(COUNT('Arroz irrigado'!$E41:$Z41)=0,0,MAX(0,IF((G$6-$E$3)&lt;1,0,IFERROR(LOOKUP(2,1/('Arroz irrigado'!$E41:INDEX('Arroz irrigado'!$E41:$Z41,MIN(G$6-$E$3,22))&lt;&gt;""),'Arroz irrigado'!$E41:INDEX('Arroz irrigado'!$E41:$Z41,MIN(G$6-$E$3,22))),0))-IF($G$2,0,IF((G$6-$G$3)&lt;1,0,IFERROR(LOOKUP(2,1/('Arroz irrigado'!$E41:INDEX('Arroz irrigado'!$E41:$Z41,MIN(G$6-$G$3,22))&lt;&gt;""),'Arroz irrigado'!$E41:INDEX('Arroz irrigado'!$E41:$Z41,MIN(G$6-$G$3,22))),0)))))</f>
        <v>0</v>
      </c>
      <c r="H43" s="27" t="n">
        <f aca="false">IF(COUNT('Arroz irrigado'!$E41:$Z41)=0,0,MAX(0,IF((H$6-$E$3)&lt;1,0,IFERROR(LOOKUP(2,1/('Arroz irrigado'!$E41:INDEX('Arroz irrigado'!$E41:$Z41,MIN(H$6-$E$3,22))&lt;&gt;""),'Arroz irrigado'!$E41:INDEX('Arroz irrigado'!$E41:$Z41,MIN(H$6-$E$3,22))),0))-IF($G$2,0,IF((H$6-$G$3)&lt;1,0,IFERROR(LOOKUP(2,1/('Arroz irrigado'!$E41:INDEX('Arroz irrigado'!$E41:$Z41,MIN(H$6-$G$3,22))&lt;&gt;""),'Arroz irrigado'!$E41:INDEX('Arroz irrigado'!$E41:$Z41,MIN(H$6-$G$3,22))),0)))))</f>
        <v>0</v>
      </c>
      <c r="I43" s="27" t="n">
        <f aca="false">IF(COUNT('Arroz irrigado'!$E41:$Z41)=0,0,MAX(0,IF((I$6-$E$3)&lt;1,0,IFERROR(LOOKUP(2,1/('Arroz irrigado'!$E41:INDEX('Arroz irrigado'!$E41:$Z41,MIN(I$6-$E$3,22))&lt;&gt;""),'Arroz irrigado'!$E41:INDEX('Arroz irrigado'!$E41:$Z41,MIN(I$6-$E$3,22))),0))-IF($G$2,0,IF((I$6-$G$3)&lt;1,0,IFERROR(LOOKUP(2,1/('Arroz irrigado'!$E41:INDEX('Arroz irrigado'!$E41:$Z41,MIN(I$6-$G$3,22))&lt;&gt;""),'Arroz irrigado'!$E41:INDEX('Arroz irrigado'!$E41:$Z41,MIN(I$6-$G$3,22))),0)))))</f>
        <v>0</v>
      </c>
      <c r="J43" s="27" t="n">
        <f aca="false">IF(COUNT('Arroz irrigado'!$E41:$Z41)=0,0,MAX(0,IF((J$6-$E$3)&lt;1,0,IFERROR(LOOKUP(2,1/('Arroz irrigado'!$E41:INDEX('Arroz irrigado'!$E41:$Z41,MIN(J$6-$E$3,22))&lt;&gt;""),'Arroz irrigado'!$E41:INDEX('Arroz irrigado'!$E41:$Z41,MIN(J$6-$E$3,22))),0))-IF($G$2,0,IF((J$6-$G$3)&lt;1,0,IFERROR(LOOKUP(2,1/('Arroz irrigado'!$E41:INDEX('Arroz irrigado'!$E41:$Z41,MIN(J$6-$G$3,22))&lt;&gt;""),'Arroz irrigado'!$E41:INDEX('Arroz irrigado'!$E41:$Z41,MIN(J$6-$G$3,22))),0)))))</f>
        <v>0</v>
      </c>
      <c r="K43" s="27" t="n">
        <f aca="false">IF(COUNT('Arroz irrigado'!$E41:$Z41)=0,0,MAX(0,IF((K$6-$E$3)&lt;1,0,IFERROR(LOOKUP(2,1/('Arroz irrigado'!$E41:INDEX('Arroz irrigado'!$E41:$Z41,MIN(K$6-$E$3,22))&lt;&gt;""),'Arroz irrigado'!$E41:INDEX('Arroz irrigado'!$E41:$Z41,MIN(K$6-$E$3,22))),0))-IF($G$2,0,IF((K$6-$G$3)&lt;1,0,IFERROR(LOOKUP(2,1/('Arroz irrigado'!$E41:INDEX('Arroz irrigado'!$E41:$Z41,MIN(K$6-$G$3,22))&lt;&gt;""),'Arroz irrigado'!$E41:INDEX('Arroz irrigado'!$E41:$Z41,MIN(K$6-$G$3,22))),0)))))</f>
        <v>0</v>
      </c>
      <c r="L43" s="27" t="n">
        <f aca="false">IF(COUNT('Arroz irrigado'!$E41:$Z41)=0,0,MAX(0,IF((L$6-$E$3)&lt;1,0,IFERROR(LOOKUP(2,1/('Arroz irrigado'!$E41:INDEX('Arroz irrigado'!$E41:$Z41,MIN(L$6-$E$3,22))&lt;&gt;""),'Arroz irrigado'!$E41:INDEX('Arroz irrigado'!$E41:$Z41,MIN(L$6-$E$3,22))),0))-IF($G$2,0,IF((L$6-$G$3)&lt;1,0,IFERROR(LOOKUP(2,1/('Arroz irrigado'!$E41:INDEX('Arroz irrigado'!$E41:$Z41,MIN(L$6-$G$3,22))&lt;&gt;""),'Arroz irrigado'!$E41:INDEX('Arroz irrigado'!$E41:$Z41,MIN(L$6-$G$3,22))),0)))))</f>
        <v>0</v>
      </c>
      <c r="M43" s="27" t="n">
        <f aca="false">IF(COUNT('Arroz irrigado'!$E41:$Z41)=0,0,MAX(0,IF((M$6-$E$3)&lt;1,0,IFERROR(LOOKUP(2,1/('Arroz irrigado'!$E41:INDEX('Arroz irrigado'!$E41:$Z41,MIN(M$6-$E$3,22))&lt;&gt;""),'Arroz irrigado'!$E41:INDEX('Arroz irrigado'!$E41:$Z41,MIN(M$6-$E$3,22))),0))-IF($G$2,0,IF((M$6-$G$3)&lt;1,0,IFERROR(LOOKUP(2,1/('Arroz irrigado'!$E41:INDEX('Arroz irrigado'!$E41:$Z41,MIN(M$6-$G$3,22))&lt;&gt;""),'Arroz irrigado'!$E41:INDEX('Arroz irrigado'!$E41:$Z41,MIN(M$6-$G$3,22))),0)))))</f>
        <v>0</v>
      </c>
      <c r="N43" s="27" t="n">
        <f aca="false">IF(COUNT('Arroz irrigado'!$E41:$Z41)=0,0,MAX(0,IF((N$6-$E$3)&lt;1,0,IFERROR(LOOKUP(2,1/('Arroz irrigado'!$E41:INDEX('Arroz irrigado'!$E41:$Z41,MIN(N$6-$E$3,22))&lt;&gt;""),'Arroz irrigado'!$E41:INDEX('Arroz irrigado'!$E41:$Z41,MIN(N$6-$E$3,22))),0))-IF($G$2,0,IF((N$6-$G$3)&lt;1,0,IFERROR(LOOKUP(2,1/('Arroz irrigado'!$E41:INDEX('Arroz irrigado'!$E41:$Z41,MIN(N$6-$G$3,22))&lt;&gt;""),'Arroz irrigado'!$E41:INDEX('Arroz irrigado'!$E41:$Z41,MIN(N$6-$G$3,22))),0)))))</f>
        <v>0</v>
      </c>
      <c r="O43" s="27" t="n">
        <f aca="false">IF(COUNT('Arroz irrigado'!$E41:$Z41)=0,0,MAX(0,IF((O$6-$E$3)&lt;1,0,IFERROR(LOOKUP(2,1/('Arroz irrigado'!$E41:INDEX('Arroz irrigado'!$E41:$Z41,MIN(O$6-$E$3,22))&lt;&gt;""),'Arroz irrigado'!$E41:INDEX('Arroz irrigado'!$E41:$Z41,MIN(O$6-$E$3,22))),0))-IF($G$2,0,IF((O$6-$G$3)&lt;1,0,IFERROR(LOOKUP(2,1/('Arroz irrigado'!$E41:INDEX('Arroz irrigado'!$E41:$Z41,MIN(O$6-$G$3,22))&lt;&gt;""),'Arroz irrigado'!$E41:INDEX('Arroz irrigado'!$E41:$Z41,MIN(O$6-$G$3,22))),0)))))</f>
        <v>0</v>
      </c>
      <c r="P43" s="27" t="n">
        <f aca="false">IF(COUNT('Arroz irrigado'!$E41:$Z41)=0,0,MAX(0,IF((P$6-$E$3)&lt;1,0,IFERROR(LOOKUP(2,1/('Arroz irrigado'!$E41:INDEX('Arroz irrigado'!$E41:$Z41,MIN(P$6-$E$3,22))&lt;&gt;""),'Arroz irrigado'!$E41:INDEX('Arroz irrigado'!$E41:$Z41,MIN(P$6-$E$3,22))),0))-IF($G$2,0,IF((P$6-$G$3)&lt;1,0,IFERROR(LOOKUP(2,1/('Arroz irrigado'!$E41:INDEX('Arroz irrigado'!$E41:$Z41,MIN(P$6-$G$3,22))&lt;&gt;""),'Arroz irrigado'!$E41:INDEX('Arroz irrigado'!$E41:$Z41,MIN(P$6-$G$3,22))),0)))))</f>
        <v>0</v>
      </c>
      <c r="Q43" s="27" t="n">
        <f aca="false">IF(COUNT('Arroz irrigado'!$E41:$Z41)=0,0,MAX(0,IF((Q$6-$E$3)&lt;1,0,IFERROR(LOOKUP(2,1/('Arroz irrigado'!$E41:INDEX('Arroz irrigado'!$E41:$Z41,MIN(Q$6-$E$3,22))&lt;&gt;""),'Arroz irrigado'!$E41:INDEX('Arroz irrigado'!$E41:$Z41,MIN(Q$6-$E$3,22))),0))-IF($G$2,0,IF((Q$6-$G$3)&lt;1,0,IFERROR(LOOKUP(2,1/('Arroz irrigado'!$E41:INDEX('Arroz irrigado'!$E41:$Z41,MIN(Q$6-$G$3,22))&lt;&gt;""),'Arroz irrigado'!$E41:INDEX('Arroz irrigado'!$E41:$Z41,MIN(Q$6-$G$3,22))),0)))))</f>
        <v>0</v>
      </c>
      <c r="R43" s="27" t="n">
        <f aca="false">IF(COUNT('Arroz irrigado'!$E41:$Z41)=0,0,MAX(0,IF((R$6-$E$3)&lt;1,0,IFERROR(LOOKUP(2,1/('Arroz irrigado'!$E41:INDEX('Arroz irrigado'!$E41:$Z41,MIN(R$6-$E$3,22))&lt;&gt;""),'Arroz irrigado'!$E41:INDEX('Arroz irrigado'!$E41:$Z41,MIN(R$6-$E$3,22))),0))-IF($G$2,0,IF((R$6-$G$3)&lt;1,0,IFERROR(LOOKUP(2,1/('Arroz irrigado'!$E41:INDEX('Arroz irrigado'!$E41:$Z41,MIN(R$6-$G$3,22))&lt;&gt;""),'Arroz irrigado'!$E41:INDEX('Arroz irrigado'!$E41:$Z41,MIN(R$6-$G$3,22))),0)))))</f>
        <v>0</v>
      </c>
      <c r="S43" s="27" t="n">
        <f aca="false">IF(COUNT('Arroz irrigado'!$E41:$Z41)=0,0,MAX(0,IF((S$6-$E$3)&lt;1,0,IFERROR(LOOKUP(2,1/('Arroz irrigado'!$E41:INDEX('Arroz irrigado'!$E41:$Z41,MIN(S$6-$E$3,22))&lt;&gt;""),'Arroz irrigado'!$E41:INDEX('Arroz irrigado'!$E41:$Z41,MIN(S$6-$E$3,22))),0))-IF($G$2,0,IF((S$6-$G$3)&lt;1,0,IFERROR(LOOKUP(2,1/('Arroz irrigado'!$E41:INDEX('Arroz irrigado'!$E41:$Z41,MIN(S$6-$G$3,22))&lt;&gt;""),'Arroz irrigado'!$E41:INDEX('Arroz irrigado'!$E41:$Z41,MIN(S$6-$G$3,22))),0)))))</f>
        <v>0</v>
      </c>
      <c r="T43" s="27" t="n">
        <f aca="false">IF(COUNT('Arroz irrigado'!$E41:$Z41)=0,0,MAX(0,IF((T$6-$E$3)&lt;1,0,IFERROR(LOOKUP(2,1/('Arroz irrigado'!$E41:INDEX('Arroz irrigado'!$E41:$Z41,MIN(T$6-$E$3,22))&lt;&gt;""),'Arroz irrigado'!$E41:INDEX('Arroz irrigado'!$E41:$Z41,MIN(T$6-$E$3,22))),0))-IF($G$2,0,IF((T$6-$G$3)&lt;1,0,IFERROR(LOOKUP(2,1/('Arroz irrigado'!$E41:INDEX('Arroz irrigado'!$E41:$Z41,MIN(T$6-$G$3,22))&lt;&gt;""),'Arroz irrigado'!$E41:INDEX('Arroz irrigado'!$E41:$Z41,MIN(T$6-$G$3,22))),0)))))</f>
        <v>0</v>
      </c>
      <c r="U43" s="27" t="n">
        <f aca="false">IF(COUNT('Arroz irrigado'!$E41:$Z41)=0,0,MAX(0,IF((U$6-$E$3)&lt;1,0,IFERROR(LOOKUP(2,1/('Arroz irrigado'!$E41:INDEX('Arroz irrigado'!$E41:$Z41,MIN(U$6-$E$3,22))&lt;&gt;""),'Arroz irrigado'!$E41:INDEX('Arroz irrigado'!$E41:$Z41,MIN(U$6-$E$3,22))),0))-IF($G$2,0,IF((U$6-$G$3)&lt;1,0,IFERROR(LOOKUP(2,1/('Arroz irrigado'!$E41:INDEX('Arroz irrigado'!$E41:$Z41,MIN(U$6-$G$3,22))&lt;&gt;""),'Arroz irrigado'!$E41:INDEX('Arroz irrigado'!$E41:$Z41,MIN(U$6-$G$3,22))),0)))))</f>
        <v>0</v>
      </c>
      <c r="V43" s="27" t="n">
        <f aca="false">IF(COUNT('Arroz irrigado'!$E41:$Z41)=0,0,MAX(0,IF((V$6-$E$3)&lt;1,0,IFERROR(LOOKUP(2,1/('Arroz irrigado'!$E41:INDEX('Arroz irrigado'!$E41:$Z41,MIN(V$6-$E$3,22))&lt;&gt;""),'Arroz irrigado'!$E41:INDEX('Arroz irrigado'!$E41:$Z41,MIN(V$6-$E$3,22))),0))-IF($G$2,0,IF((V$6-$G$3)&lt;1,0,IFERROR(LOOKUP(2,1/('Arroz irrigado'!$E41:INDEX('Arroz irrigado'!$E41:$Z41,MIN(V$6-$G$3,22))&lt;&gt;""),'Arroz irrigado'!$E41:INDEX('Arroz irrigado'!$E41:$Z41,MIN(V$6-$G$3,22))),0)))))</f>
        <v>0</v>
      </c>
      <c r="W43" s="27" t="n">
        <f aca="false">IF(COUNT('Arroz irrigado'!$E41:$Z41)=0,0,MAX(0,IF((W$6-$E$3)&lt;1,0,IFERROR(LOOKUP(2,1/('Arroz irrigado'!$E41:INDEX('Arroz irrigado'!$E41:$Z41,MIN(W$6-$E$3,22))&lt;&gt;""),'Arroz irrigado'!$E41:INDEX('Arroz irrigado'!$E41:$Z41,MIN(W$6-$E$3,22))),0))-IF($G$2,0,IF((W$6-$G$3)&lt;1,0,IFERROR(LOOKUP(2,1/('Arroz irrigado'!$E41:INDEX('Arroz irrigado'!$E41:$Z41,MIN(W$6-$G$3,22))&lt;&gt;""),'Arroz irrigado'!$E41:INDEX('Arroz irrigado'!$E41:$Z41,MIN(W$6-$G$3,22))),0)))))</f>
        <v>0</v>
      </c>
      <c r="X43" s="27" t="n">
        <f aca="false">IF(COUNT('Arroz irrigado'!$E41:$Z41)=0,0,MAX(0,IF((X$6-$E$3)&lt;1,0,IFERROR(LOOKUP(2,1/('Arroz irrigado'!$E41:INDEX('Arroz irrigado'!$E41:$Z41,MIN(X$6-$E$3,22))&lt;&gt;""),'Arroz irrigado'!$E41:INDEX('Arroz irrigado'!$E41:$Z41,MIN(X$6-$E$3,22))),0))-IF($G$2,0,IF((X$6-$G$3)&lt;1,0,IFERROR(LOOKUP(2,1/('Arroz irrigado'!$E41:INDEX('Arroz irrigado'!$E41:$Z41,MIN(X$6-$G$3,22))&lt;&gt;""),'Arroz irrigado'!$E41:INDEX('Arroz irrigado'!$E41:$Z41,MIN(X$6-$G$3,22))),0)))))</f>
        <v>0</v>
      </c>
      <c r="Y43" s="27" t="n">
        <f aca="false">IF(COUNT('Arroz irrigado'!$E41:$Z41)=0,0,MAX(0,IF((Y$6-$E$3)&lt;1,0,IFERROR(LOOKUP(2,1/('Arroz irrigado'!$E41:INDEX('Arroz irrigado'!$E41:$Z41,MIN(Y$6-$E$3,22))&lt;&gt;""),'Arroz irrigado'!$E41:INDEX('Arroz irrigado'!$E41:$Z41,MIN(Y$6-$E$3,22))),0))-IF($G$2,0,IF((Y$6-$G$3)&lt;1,0,IFERROR(LOOKUP(2,1/('Arroz irrigado'!$E41:INDEX('Arroz irrigado'!$E41:$Z41,MIN(Y$6-$G$3,22))&lt;&gt;""),'Arroz irrigado'!$E41:INDEX('Arroz irrigado'!$E41:$Z41,MIN(Y$6-$G$3,22))),0)))))</f>
        <v>0</v>
      </c>
      <c r="Z43" s="27" t="n">
        <f aca="false">IF(COUNT('Arroz irrigado'!$E41:$Z41)=0,0,MAX(0,IF((Z$6-$E$3)&lt;1,0,IFERROR(LOOKUP(2,1/('Arroz irrigado'!$E41:INDEX('Arroz irrigado'!$E41:$Z41,MIN(Z$6-$E$3,22))&lt;&gt;""),'Arroz irrigado'!$E41:INDEX('Arroz irrigado'!$E41:$Z41,MIN(Z$6-$E$3,22))),0))-IF($G$2,0,IF((Z$6-$G$3)&lt;1,0,IFERROR(LOOKUP(2,1/('Arroz irrigado'!$E41:INDEX('Arroz irrigado'!$E41:$Z41,MIN(Z$6-$G$3,22))&lt;&gt;""),'Arroz irrigado'!$E41:INDEX('Arroz irrigado'!$E41:$Z41,MIN(Z$6-$G$3,22))),0)))))</f>
        <v>0</v>
      </c>
      <c r="AA43" s="27" t="n">
        <f aca="false">IF(COUNT('Arroz irrigado'!$E41:$Z41)=0,0,MAX(0,IF((AA$6-$E$3)&lt;1,0,IFERROR(LOOKUP(2,1/('Arroz irrigado'!$E41:INDEX('Arroz irrigado'!$E41:$Z41,MIN(AA$6-$E$3,22))&lt;&gt;""),'Arroz irrigado'!$E41:INDEX('Arroz irrigado'!$E41:$Z41,MIN(AA$6-$E$3,22))),0))-IF($G$2,0,IF((AA$6-$G$3)&lt;1,0,IFERROR(LOOKUP(2,1/('Arroz irrigado'!$E41:INDEX('Arroz irrigado'!$E41:$Z41,MIN(AA$6-$G$3,22))&lt;&gt;""),'Arroz irrigado'!$E41:INDEX('Arroz irrigado'!$E41:$Z41,MIN(AA$6-$G$3,22))),0)))))</f>
        <v>0</v>
      </c>
      <c r="AB43" s="27" t="n">
        <f aca="false">IF(COUNT('Arroz irrigado'!$E41:$Z41)=0,0,MAX(0,IF((AB$6-$E$3)&lt;1,0,IFERROR(LOOKUP(2,1/('Arroz irrigado'!$E41:INDEX('Arroz irrigado'!$E41:$Z41,MIN(AB$6-$E$3,22))&lt;&gt;""),'Arroz irrigado'!$E41:INDEX('Arroz irrigado'!$E41:$Z41,MIN(AB$6-$E$3,22))),0))-IF($G$2,0,IF((AB$6-$G$3)&lt;1,0,IFERROR(LOOKUP(2,1/('Arroz irrigado'!$E41:INDEX('Arroz irrigado'!$E41:$Z41,MIN(AB$6-$G$3,22))&lt;&gt;""),'Arroz irrigado'!$E41:INDEX('Arroz irrigado'!$E41:$Z41,MIN(AB$6-$G$3,22))),0)))))</f>
        <v>0</v>
      </c>
      <c r="AC43" s="27" t="n">
        <f aca="false">IF(COUNT('Arroz irrigado'!$E41:$Z41)=0,0,MAX(0,IF((AC$6-$E$3)&lt;1,0,IFERROR(LOOKUP(2,1/('Arroz irrigado'!$E41:INDEX('Arroz irrigado'!$E41:$Z41,MIN(AC$6-$E$3,22))&lt;&gt;""),'Arroz irrigado'!$E41:INDEX('Arroz irrigado'!$E41:$Z41,MIN(AC$6-$E$3,22))),0))-IF($G$2,0,IF((AC$6-$G$3)&lt;1,0,IFERROR(LOOKUP(2,1/('Arroz irrigado'!$E41:INDEX('Arroz irrigado'!$E41:$Z41,MIN(AC$6-$G$3,22))&lt;&gt;""),'Arroz irrigado'!$E41:INDEX('Arroz irrigado'!$E41:$Z41,MIN(AC$6-$G$3,22))),0)))))</f>
        <v>0</v>
      </c>
      <c r="AD43" s="27" t="n">
        <f aca="false">IF(COUNT('Arroz irrigado'!$E41:$Z41)=0,0,MAX(0,IF((AD$6-$E$3)&lt;1,0,IFERROR(LOOKUP(2,1/('Arroz irrigado'!$E41:INDEX('Arroz irrigado'!$E41:$Z41,MIN(AD$6-$E$3,22))&lt;&gt;""),'Arroz irrigado'!$E41:INDEX('Arroz irrigado'!$E41:$Z41,MIN(AD$6-$E$3,22))),0))-IF($G$2,0,IF((AD$6-$G$3)&lt;1,0,IFERROR(LOOKUP(2,1/('Arroz irrigado'!$E41:INDEX('Arroz irrigado'!$E41:$Z41,MIN(AD$6-$G$3,22))&lt;&gt;""),'Arroz irrigado'!$E41:INDEX('Arroz irrigado'!$E41:$Z41,MIN(AD$6-$G$3,22))),0)))))</f>
        <v>0</v>
      </c>
      <c r="AE43" s="27" t="n">
        <f aca="false">IF(COUNT('Arroz irrigado'!$E41:$Z41)=0,0,MAX(0,IF((AE$6-$E$3)&lt;1,0,IFERROR(LOOKUP(2,1/('Arroz irrigado'!$E41:INDEX('Arroz irrigado'!$E41:$Z41,MIN(AE$6-$E$3,22))&lt;&gt;""),'Arroz irrigado'!$E41:INDEX('Arroz irrigado'!$E41:$Z41,MIN(AE$6-$E$3,22))),0))-IF($G$2,0,IF((AE$6-$G$3)&lt;1,0,IFERROR(LOOKUP(2,1/('Arroz irrigado'!$E41:INDEX('Arroz irrigado'!$E41:$Z41,MIN(AE$6-$G$3,22))&lt;&gt;""),'Arroz irrigado'!$E41:INDEX('Arroz irrigado'!$E41:$Z41,MIN(AE$6-$G$3,22))),0)))))</f>
        <v>0</v>
      </c>
      <c r="AF43" s="27" t="n">
        <f aca="false">IF(COUNT('Arroz irrigado'!$E41:$Z41)=0,0,MAX(0,IF((AF$6-$E$3)&lt;1,0,IFERROR(LOOKUP(2,1/('Arroz irrigado'!$E41:INDEX('Arroz irrigado'!$E41:$Z41,MIN(AF$6-$E$3,22))&lt;&gt;""),'Arroz irrigado'!$E41:INDEX('Arroz irrigado'!$E41:$Z41,MIN(AF$6-$E$3,22))),0))-IF($G$2,0,IF((AF$6-$G$3)&lt;1,0,IFERROR(LOOKUP(2,1/('Arroz irrigado'!$E41:INDEX('Arroz irrigado'!$E41:$Z41,MIN(AF$6-$G$3,22))&lt;&gt;""),'Arroz irrigado'!$E41:INDEX('Arroz irrigado'!$E41:$Z41,MIN(AF$6-$G$3,22))),0)))))</f>
        <v>0</v>
      </c>
      <c r="AG43" s="27" t="n">
        <f aca="false">IF(COUNT('Arroz irrigado'!$E41:$Z41)=0,0,MAX(0,IF((AG$6-$E$3)&lt;1,0,IFERROR(LOOKUP(2,1/('Arroz irrigado'!$E41:INDEX('Arroz irrigado'!$E41:$Z41,MIN(AG$6-$E$3,22))&lt;&gt;""),'Arroz irrigado'!$E41:INDEX('Arroz irrigado'!$E41:$Z41,MIN(AG$6-$E$3,22))),0))-IF($G$2,0,IF((AG$6-$G$3)&lt;1,0,IFERROR(LOOKUP(2,1/('Arroz irrigado'!$E41:INDEX('Arroz irrigado'!$E41:$Z41,MIN(AG$6-$G$3,22))&lt;&gt;""),'Arroz irrigado'!$E41:INDEX('Arroz irrigado'!$E41:$Z41,MIN(AG$6-$G$3,22))),0)))))</f>
        <v>0</v>
      </c>
      <c r="AH43" s="27" t="n">
        <f aca="false">IF(COUNT('Arroz irrigado'!$E41:$Z41)=0,0,MAX(0,IF((AH$6-$E$3)&lt;1,0,IFERROR(LOOKUP(2,1/('Arroz irrigado'!$E41:INDEX('Arroz irrigado'!$E41:$Z41,MIN(AH$6-$E$3,22))&lt;&gt;""),'Arroz irrigado'!$E41:INDEX('Arroz irrigado'!$E41:$Z41,MIN(AH$6-$E$3,22))),0))-IF($G$2,0,IF((AH$6-$G$3)&lt;1,0,IFERROR(LOOKUP(2,1/('Arroz irrigado'!$E41:INDEX('Arroz irrigado'!$E41:$Z41,MIN(AH$6-$G$3,22))&lt;&gt;""),'Arroz irrigado'!$E41:INDEX('Arroz irrigado'!$E41:$Z41,MIN(AH$6-$G$3,22))),0)))))</f>
        <v>0</v>
      </c>
      <c r="AI43" s="27" t="n">
        <f aca="false">IF(COUNT('Arroz irrigado'!$E41:$Z41)=0,0,MAX(0,IF((AI$6-$E$3)&lt;1,0,IFERROR(LOOKUP(2,1/('Arroz irrigado'!$E41:INDEX('Arroz irrigado'!$E41:$Z41,MIN(AI$6-$E$3,22))&lt;&gt;""),'Arroz irrigado'!$E41:INDEX('Arroz irrigado'!$E41:$Z41,MIN(AI$6-$E$3,22))),0))-IF($G$2,0,IF((AI$6-$G$3)&lt;1,0,IFERROR(LOOKUP(2,1/('Arroz irrigado'!$E41:INDEX('Arroz irrigado'!$E41:$Z41,MIN(AI$6-$G$3,22))&lt;&gt;""),'Arroz irrigado'!$E41:INDEX('Arroz irrigado'!$E41:$Z41,MIN(AI$6-$G$3,22))),0)))))</f>
        <v>0</v>
      </c>
      <c r="AJ43" s="27" t="n">
        <f aca="false">IF(COUNT('Arroz irrigado'!$E41:$Z41)=0,0,MAX(0,IF((AJ$6-$E$3)&lt;1,0,IFERROR(LOOKUP(2,1/('Arroz irrigado'!$E41:INDEX('Arroz irrigado'!$E41:$Z41,MIN(AJ$6-$E$3,22))&lt;&gt;""),'Arroz irrigado'!$E41:INDEX('Arroz irrigado'!$E41:$Z41,MIN(AJ$6-$E$3,22))),0))-IF($G$2,0,IF((AJ$6-$G$3)&lt;1,0,IFERROR(LOOKUP(2,1/('Arroz irrigado'!$E41:INDEX('Arroz irrigado'!$E41:$Z41,MIN(AJ$6-$G$3,22))&lt;&gt;""),'Arroz irrigado'!$E41:INDEX('Arroz irrigado'!$E41:$Z41,MIN(AJ$6-$G$3,22))),0)))))</f>
        <v>0</v>
      </c>
      <c r="AK43" s="27" t="n">
        <f aca="false">IF(COUNT('Arroz irrigado'!$E41:$Z41)=0,0,MAX(0,IF((AK$6-$E$3)&lt;1,0,IFERROR(LOOKUP(2,1/('Arroz irrigado'!$E41:INDEX('Arroz irrigado'!$E41:$Z41,MIN(AK$6-$E$3,22))&lt;&gt;""),'Arroz irrigado'!$E41:INDEX('Arroz irrigado'!$E41:$Z41,MIN(AK$6-$E$3,22))),0))-IF($G$2,0,IF((AK$6-$G$3)&lt;1,0,IFERROR(LOOKUP(2,1/('Arroz irrigado'!$E41:INDEX('Arroz irrigado'!$E41:$Z41,MIN(AK$6-$G$3,22))&lt;&gt;""),'Arroz irrigado'!$E41:INDEX('Arroz irrigado'!$E41:$Z41,MIN(AK$6-$G$3,22))),0)))))</f>
        <v>0</v>
      </c>
      <c r="AL43" s="27" t="n">
        <f aca="false">IF(COUNT('Arroz irrigado'!$E41:$Z41)=0,0,MAX(0,IF((AL$6-$E$3)&lt;1,0,IFERROR(LOOKUP(2,1/('Arroz irrigado'!$E41:INDEX('Arroz irrigado'!$E41:$Z41,MIN(AL$6-$E$3,22))&lt;&gt;""),'Arroz irrigado'!$E41:INDEX('Arroz irrigado'!$E41:$Z41,MIN(AL$6-$E$3,22))),0))-IF($G$2,0,IF((AL$6-$G$3)&lt;1,0,IFERROR(LOOKUP(2,1/('Arroz irrigado'!$E41:INDEX('Arroz irrigado'!$E41:$Z41,MIN(AL$6-$G$3,22))&lt;&gt;""),'Arroz irrigado'!$E41:INDEX('Arroz irrigado'!$E41:$Z41,MIN(AL$6-$G$3,22))),0)))))</f>
        <v>0</v>
      </c>
      <c r="AM43" s="27" t="n">
        <f aca="false">IF(COUNT('Arroz irrigado'!$E41:$Z41)=0,0,MAX(0,IF((AM$6-$E$3)&lt;1,0,IFERROR(LOOKUP(2,1/('Arroz irrigado'!$E41:INDEX('Arroz irrigado'!$E41:$Z41,MIN(AM$6-$E$3,22))&lt;&gt;""),'Arroz irrigado'!$E41:INDEX('Arroz irrigado'!$E41:$Z41,MIN(AM$6-$E$3,22))),0))-IF($G$2,0,IF((AM$6-$G$3)&lt;1,0,IFERROR(LOOKUP(2,1/('Arroz irrigado'!$E41:INDEX('Arroz irrigado'!$E41:$Z41,MIN(AM$6-$G$3,22))&lt;&gt;""),'Arroz irrigado'!$E41:INDEX('Arroz irrigado'!$E41:$Z41,MIN(AM$6-$G$3,22))),0)))))</f>
        <v>0</v>
      </c>
      <c r="AN43" s="27" t="n">
        <f aca="false">IF(COUNT('Arroz irrigado'!$E41:$Z41)=0,0,MAX(0,IF((AN$6-$E$3)&lt;1,0,IFERROR(LOOKUP(2,1/('Arroz irrigado'!$E41:INDEX('Arroz irrigado'!$E41:$Z41,MIN(AN$6-$E$3,22))&lt;&gt;""),'Arroz irrigado'!$E41:INDEX('Arroz irrigado'!$E41:$Z41,MIN(AN$6-$E$3,22))),0))-IF($G$2,0,IF((AN$6-$G$3)&lt;1,0,IFERROR(LOOKUP(2,1/('Arroz irrigado'!$E41:INDEX('Arroz irrigado'!$E41:$Z41,MIN(AN$6-$G$3,22))&lt;&gt;""),'Arroz irrigado'!$E41:INDEX('Arroz irrigado'!$E41:$Z41,MIN(AN$6-$G$3,22))),0)))))</f>
        <v>0</v>
      </c>
      <c r="AO43" s="27" t="n">
        <f aca="false">IF(COUNT('Arroz irrigado'!$E41:$Z41)=0,0,MAX(0,IF((AO$6-$E$3)&lt;1,0,IFERROR(LOOKUP(2,1/('Arroz irrigado'!$E41:INDEX('Arroz irrigado'!$E41:$Z41,MIN(AO$6-$E$3,22))&lt;&gt;""),'Arroz irrigado'!$E41:INDEX('Arroz irrigado'!$E41:$Z41,MIN(AO$6-$E$3,22))),0))-IF($G$2,0,IF((AO$6-$G$3)&lt;1,0,IFERROR(LOOKUP(2,1/('Arroz irrigado'!$E41:INDEX('Arroz irrigado'!$E41:$Z41,MIN(AO$6-$G$3,22))&lt;&gt;""),'Arroz irrigado'!$E41:INDEX('Arroz irrigado'!$E41:$Z41,MIN(AO$6-$G$3,22))),0)))))</f>
        <v>0</v>
      </c>
      <c r="AP43" s="27" t="n">
        <f aca="false">IF(COUNT('Arroz irrigado'!$E41:$Z41)=0,0,MAX(0,IF((AP$6-$E$3)&lt;1,0,IFERROR(LOOKUP(2,1/('Arroz irrigado'!$E41:INDEX('Arroz irrigado'!$E41:$Z41,MIN(AP$6-$E$3,22))&lt;&gt;""),'Arroz irrigado'!$E41:INDEX('Arroz irrigado'!$E41:$Z41,MIN(AP$6-$E$3,22))),0))-IF($G$2,0,IF((AP$6-$G$3)&lt;1,0,IFERROR(LOOKUP(2,1/('Arroz irrigado'!$E41:INDEX('Arroz irrigado'!$E41:$Z41,MIN(AP$6-$G$3,22))&lt;&gt;""),'Arroz irrigado'!$E41:INDEX('Arroz irrigado'!$E41:$Z41,MIN(AP$6-$G$3,22))),0)))))</f>
        <v>0</v>
      </c>
      <c r="AQ43" s="27" t="n">
        <f aca="false">IF(COUNT('Arroz irrigado'!$E41:$Z41)=0,0,MAX(0,IF((AQ$6-$E$3)&lt;1,0,IFERROR(LOOKUP(2,1/('Arroz irrigado'!$E41:INDEX('Arroz irrigado'!$E41:$Z41,MIN(AQ$6-$E$3,22))&lt;&gt;""),'Arroz irrigado'!$E41:INDEX('Arroz irrigado'!$E41:$Z41,MIN(AQ$6-$E$3,22))),0))-IF($G$2,0,IF((AQ$6-$G$3)&lt;1,0,IFERROR(LOOKUP(2,1/('Arroz irrigado'!$E41:INDEX('Arroz irrigado'!$E41:$Z41,MIN(AQ$6-$G$3,22))&lt;&gt;""),'Arroz irrigado'!$E41:INDEX('Arroz irrigado'!$E41:$Z41,MIN(AQ$6-$G$3,22))),0)))))</f>
        <v>0</v>
      </c>
      <c r="AR43" s="27" t="n">
        <f aca="false">IF(COUNT('Arroz irrigado'!$E41:$Z41)=0,0,MAX(0,IF((AR$6-$E$3)&lt;1,0,IFERROR(LOOKUP(2,1/('Arroz irrigado'!$E41:INDEX('Arroz irrigado'!$E41:$Z41,MIN(AR$6-$E$3,22))&lt;&gt;""),'Arroz irrigado'!$E41:INDEX('Arroz irrigado'!$E41:$Z41,MIN(AR$6-$E$3,22))),0))-IF($G$2,0,IF((AR$6-$G$3)&lt;1,0,IFERROR(LOOKUP(2,1/('Arroz irrigado'!$E41:INDEX('Arroz irrigado'!$E41:$Z41,MIN(AR$6-$G$3,22))&lt;&gt;""),'Arroz irrigado'!$E41:INDEX('Arroz irrigado'!$E41:$Z41,MIN(AR$6-$G$3,22))),0)))))</f>
        <v>0</v>
      </c>
      <c r="AS43" s="27" t="n">
        <f aca="false">IF(COUNT('Arroz irrigado'!$E41:$Z41)=0,0,MAX(0,IF((AS$6-$E$3)&lt;1,0,IFERROR(LOOKUP(2,1/('Arroz irrigado'!$E41:INDEX('Arroz irrigado'!$E41:$Z41,MIN(AS$6-$E$3,22))&lt;&gt;""),'Arroz irrigado'!$E41:INDEX('Arroz irrigado'!$E41:$Z41,MIN(AS$6-$E$3,22))),0))-IF($G$2,0,IF((AS$6-$G$3)&lt;1,0,IFERROR(LOOKUP(2,1/('Arroz irrigado'!$E41:INDEX('Arroz irrigado'!$E41:$Z41,MIN(AS$6-$G$3,22))&lt;&gt;""),'Arroz irrigado'!$E41:INDEX('Arroz irrigado'!$E41:$Z41,MIN(AS$6-$G$3,22))),0)))))</f>
        <v>0</v>
      </c>
      <c r="AT43" s="27" t="n">
        <f aca="false">IF(COUNT('Arroz irrigado'!$E41:$Z41)=0,0,MAX(0,IF((AT$6-$E$3)&lt;1,0,IFERROR(LOOKUP(2,1/('Arroz irrigado'!$E41:INDEX('Arroz irrigado'!$E41:$Z41,MIN(AT$6-$E$3,22))&lt;&gt;""),'Arroz irrigado'!$E41:INDEX('Arroz irrigado'!$E41:$Z41,MIN(AT$6-$E$3,22))),0))-IF($G$2,0,IF((AT$6-$G$3)&lt;1,0,IFERROR(LOOKUP(2,1/('Arroz irrigado'!$E41:INDEX('Arroz irrigado'!$E41:$Z41,MIN(AT$6-$G$3,22))&lt;&gt;""),'Arroz irrigado'!$E41:INDEX('Arroz irrigado'!$E41:$Z41,MIN(AT$6-$G$3,22))),0)))))</f>
        <v>0</v>
      </c>
      <c r="AU43" s="27" t="n">
        <f aca="false">IF(COUNT('Arroz irrigado'!$E41:$Z41)=0,0,MAX(0,IF((AU$6-$E$3)&lt;1,0,IFERROR(LOOKUP(2,1/('Arroz irrigado'!$E41:INDEX('Arroz irrigado'!$E41:$Z41,MIN(AU$6-$E$3,22))&lt;&gt;""),'Arroz irrigado'!$E41:INDEX('Arroz irrigado'!$E41:$Z41,MIN(AU$6-$E$3,22))),0))-IF($G$2,0,IF((AU$6-$G$3)&lt;1,0,IFERROR(LOOKUP(2,1/('Arroz irrigado'!$E41:INDEX('Arroz irrigado'!$E41:$Z41,MIN(AU$6-$G$3,22))&lt;&gt;""),'Arroz irrigado'!$E41:INDEX('Arroz irrigado'!$E41:$Z41,MIN(AU$6-$G$3,22))),0)))))</f>
        <v>0</v>
      </c>
      <c r="AV43" s="27" t="n">
        <f aca="false">IF(COUNT('Arroz irrigado'!$E41:$Z41)=0,0,MAX(0,IF((AV$6-$E$3)&lt;1,0,IFERROR(LOOKUP(2,1/('Arroz irrigado'!$E41:INDEX('Arroz irrigado'!$E41:$Z41,MIN(AV$6-$E$3,22))&lt;&gt;""),'Arroz irrigado'!$E41:INDEX('Arroz irrigado'!$E41:$Z41,MIN(AV$6-$E$3,22))),0))-IF($G$2,0,IF((AV$6-$G$3)&lt;1,0,IFERROR(LOOKUP(2,1/('Arroz irrigado'!$E41:INDEX('Arroz irrigado'!$E41:$Z41,MIN(AV$6-$G$3,22))&lt;&gt;""),'Arroz irrigado'!$E41:INDEX('Arroz irrigado'!$E41:$Z41,MIN(AV$6-$G$3,22))),0)))))</f>
        <v>0</v>
      </c>
      <c r="AW43" s="27" t="n">
        <f aca="false">IF(COUNT('Arroz irrigado'!$E41:$Z41)=0,0,MAX(0,IF((AW$6-$E$3)&lt;1,0,IFERROR(LOOKUP(2,1/('Arroz irrigado'!$E41:INDEX('Arroz irrigado'!$E41:$Z41,MIN(AW$6-$E$3,22))&lt;&gt;""),'Arroz irrigado'!$E41:INDEX('Arroz irrigado'!$E41:$Z41,MIN(AW$6-$E$3,22))),0))-IF($G$2,0,IF((AW$6-$G$3)&lt;1,0,IFERROR(LOOKUP(2,1/('Arroz irrigado'!$E41:INDEX('Arroz irrigado'!$E41:$Z41,MIN(AW$6-$G$3,22))&lt;&gt;""),'Arroz irrigado'!$E41:INDEX('Arroz irrigado'!$E41:$Z41,MIN(AW$6-$G$3,22))),0)))))</f>
        <v>0</v>
      </c>
      <c r="AX43" s="27" t="n">
        <f aca="false">IF(COUNT('Arroz irrigado'!$E41:$Z41)=0,0,MAX(0,IF((AX$6-$E$3)&lt;1,0,IFERROR(LOOKUP(2,1/('Arroz irrigado'!$E41:INDEX('Arroz irrigado'!$E41:$Z41,MIN(AX$6-$E$3,22))&lt;&gt;""),'Arroz irrigado'!$E41:INDEX('Arroz irrigado'!$E41:$Z41,MIN(AX$6-$E$3,22))),0))-IF($G$2,0,IF((AX$6-$G$3)&lt;1,0,IFERROR(LOOKUP(2,1/('Arroz irrigado'!$E41:INDEX('Arroz irrigado'!$E41:$Z41,MIN(AX$6-$G$3,22))&lt;&gt;""),'Arroz irrigado'!$E41:INDEX('Arroz irrigado'!$E41:$Z41,MIN(AX$6-$G$3,22))),0)))))</f>
        <v>0</v>
      </c>
      <c r="AY43" s="27" t="n">
        <f aca="false">IF(COUNT('Arroz irrigado'!$E41:$Z41)=0,0,MAX(0,IF((AY$6-$E$3)&lt;1,0,IFERROR(LOOKUP(2,1/('Arroz irrigado'!$E41:INDEX('Arroz irrigado'!$E41:$Z41,MIN(AY$6-$E$3,22))&lt;&gt;""),'Arroz irrigado'!$E41:INDEX('Arroz irrigado'!$E41:$Z41,MIN(AY$6-$E$3,22))),0))-IF($G$2,0,IF((AY$6-$G$3)&lt;1,0,IFERROR(LOOKUP(2,1/('Arroz irrigado'!$E41:INDEX('Arroz irrigado'!$E41:$Z41,MIN(AY$6-$G$3,22))&lt;&gt;""),'Arroz irrigado'!$E41:INDEX('Arroz irrigado'!$E41:$Z41,MIN(AY$6-$G$3,22))),0)))))</f>
        <v>0</v>
      </c>
      <c r="AZ43" s="27" t="n">
        <f aca="false">IF(COUNT('Arroz irrigado'!$E41:$Z41)=0,0,MAX(0,IF((AZ$6-$E$3)&lt;1,0,IFERROR(LOOKUP(2,1/('Arroz irrigado'!$E41:INDEX('Arroz irrigado'!$E41:$Z41,MIN(AZ$6-$E$3,22))&lt;&gt;""),'Arroz irrigado'!$E41:INDEX('Arroz irrigado'!$E41:$Z41,MIN(AZ$6-$E$3,22))),0))-IF($G$2,0,IF((AZ$6-$G$3)&lt;1,0,IFERROR(LOOKUP(2,1/('Arroz irrigado'!$E41:INDEX('Arroz irrigado'!$E41:$Z41,MIN(AZ$6-$G$3,22))&lt;&gt;""),'Arroz irrigado'!$E41:INDEX('Arroz irrigado'!$E41:$Z41,MIN(AZ$6-$G$3,22))),0)))))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IF(COUNT('Arroz irrigado'!$E42:$Z42)&gt;0,N('Arroz irrigado'!$D42),0)</f>
        <v>0</v>
      </c>
      <c r="E44" s="27" t="n">
        <f aca="false">IF(COUNT('Arroz irrigado'!$E42:$Z42)=0,0,MAX(0,IF((E$6-$E$3)&lt;1,0,IFERROR(LOOKUP(2,1/('Arroz irrigado'!$E42:INDEX('Arroz irrigado'!$E42:$Z42,MIN(E$6-$E$3,22))&lt;&gt;""),'Arroz irrigado'!$E42:INDEX('Arroz irrigado'!$E42:$Z42,MIN(E$6-$E$3,22))),0))-IF($G$2,0,IF((E$6-$G$3)&lt;1,0,IFERROR(LOOKUP(2,1/('Arroz irrigado'!$E42:INDEX('Arroz irrigado'!$E42:$Z42,MIN(E$6-$G$3,22))&lt;&gt;""),'Arroz irrigado'!$E42:INDEX('Arroz irrigado'!$E42:$Z42,MIN(E$6-$G$3,22))),0)))))</f>
        <v>0</v>
      </c>
      <c r="F44" s="27" t="n">
        <f aca="false">IF(COUNT('Arroz irrigado'!$E42:$Z42)=0,0,MAX(0,IF((F$6-$E$3)&lt;1,0,IFERROR(LOOKUP(2,1/('Arroz irrigado'!$E42:INDEX('Arroz irrigado'!$E42:$Z42,MIN(F$6-$E$3,22))&lt;&gt;""),'Arroz irrigado'!$E42:INDEX('Arroz irrigado'!$E42:$Z42,MIN(F$6-$E$3,22))),0))-IF($G$2,0,IF((F$6-$G$3)&lt;1,0,IFERROR(LOOKUP(2,1/('Arroz irrigado'!$E42:INDEX('Arroz irrigado'!$E42:$Z42,MIN(F$6-$G$3,22))&lt;&gt;""),'Arroz irrigado'!$E42:INDEX('Arroz irrigado'!$E42:$Z42,MIN(F$6-$G$3,22))),0)))))</f>
        <v>0</v>
      </c>
      <c r="G44" s="27" t="n">
        <f aca="false">IF(COUNT('Arroz irrigado'!$E42:$Z42)=0,0,MAX(0,IF((G$6-$E$3)&lt;1,0,IFERROR(LOOKUP(2,1/('Arroz irrigado'!$E42:INDEX('Arroz irrigado'!$E42:$Z42,MIN(G$6-$E$3,22))&lt;&gt;""),'Arroz irrigado'!$E42:INDEX('Arroz irrigado'!$E42:$Z42,MIN(G$6-$E$3,22))),0))-IF($G$2,0,IF((G$6-$G$3)&lt;1,0,IFERROR(LOOKUP(2,1/('Arroz irrigado'!$E42:INDEX('Arroz irrigado'!$E42:$Z42,MIN(G$6-$G$3,22))&lt;&gt;""),'Arroz irrigado'!$E42:INDEX('Arroz irrigado'!$E42:$Z42,MIN(G$6-$G$3,22))),0)))))</f>
        <v>0</v>
      </c>
      <c r="H44" s="27" t="n">
        <f aca="false">IF(COUNT('Arroz irrigado'!$E42:$Z42)=0,0,MAX(0,IF((H$6-$E$3)&lt;1,0,IFERROR(LOOKUP(2,1/('Arroz irrigado'!$E42:INDEX('Arroz irrigado'!$E42:$Z42,MIN(H$6-$E$3,22))&lt;&gt;""),'Arroz irrigado'!$E42:INDEX('Arroz irrigado'!$E42:$Z42,MIN(H$6-$E$3,22))),0))-IF($G$2,0,IF((H$6-$G$3)&lt;1,0,IFERROR(LOOKUP(2,1/('Arroz irrigado'!$E42:INDEX('Arroz irrigado'!$E42:$Z42,MIN(H$6-$G$3,22))&lt;&gt;""),'Arroz irrigado'!$E42:INDEX('Arroz irrigado'!$E42:$Z42,MIN(H$6-$G$3,22))),0)))))</f>
        <v>0</v>
      </c>
      <c r="I44" s="27" t="n">
        <f aca="false">IF(COUNT('Arroz irrigado'!$E42:$Z42)=0,0,MAX(0,IF((I$6-$E$3)&lt;1,0,IFERROR(LOOKUP(2,1/('Arroz irrigado'!$E42:INDEX('Arroz irrigado'!$E42:$Z42,MIN(I$6-$E$3,22))&lt;&gt;""),'Arroz irrigado'!$E42:INDEX('Arroz irrigado'!$E42:$Z42,MIN(I$6-$E$3,22))),0))-IF($G$2,0,IF((I$6-$G$3)&lt;1,0,IFERROR(LOOKUP(2,1/('Arroz irrigado'!$E42:INDEX('Arroz irrigado'!$E42:$Z42,MIN(I$6-$G$3,22))&lt;&gt;""),'Arroz irrigado'!$E42:INDEX('Arroz irrigado'!$E42:$Z42,MIN(I$6-$G$3,22))),0)))))</f>
        <v>0</v>
      </c>
      <c r="J44" s="27" t="n">
        <f aca="false">IF(COUNT('Arroz irrigado'!$E42:$Z42)=0,0,MAX(0,IF((J$6-$E$3)&lt;1,0,IFERROR(LOOKUP(2,1/('Arroz irrigado'!$E42:INDEX('Arroz irrigado'!$E42:$Z42,MIN(J$6-$E$3,22))&lt;&gt;""),'Arroz irrigado'!$E42:INDEX('Arroz irrigado'!$E42:$Z42,MIN(J$6-$E$3,22))),0))-IF($G$2,0,IF((J$6-$G$3)&lt;1,0,IFERROR(LOOKUP(2,1/('Arroz irrigado'!$E42:INDEX('Arroz irrigado'!$E42:$Z42,MIN(J$6-$G$3,22))&lt;&gt;""),'Arroz irrigado'!$E42:INDEX('Arroz irrigado'!$E42:$Z42,MIN(J$6-$G$3,22))),0)))))</f>
        <v>0</v>
      </c>
      <c r="K44" s="27" t="n">
        <f aca="false">IF(COUNT('Arroz irrigado'!$E42:$Z42)=0,0,MAX(0,IF((K$6-$E$3)&lt;1,0,IFERROR(LOOKUP(2,1/('Arroz irrigado'!$E42:INDEX('Arroz irrigado'!$E42:$Z42,MIN(K$6-$E$3,22))&lt;&gt;""),'Arroz irrigado'!$E42:INDEX('Arroz irrigado'!$E42:$Z42,MIN(K$6-$E$3,22))),0))-IF($G$2,0,IF((K$6-$G$3)&lt;1,0,IFERROR(LOOKUP(2,1/('Arroz irrigado'!$E42:INDEX('Arroz irrigado'!$E42:$Z42,MIN(K$6-$G$3,22))&lt;&gt;""),'Arroz irrigado'!$E42:INDEX('Arroz irrigado'!$E42:$Z42,MIN(K$6-$G$3,22))),0)))))</f>
        <v>0</v>
      </c>
      <c r="L44" s="27" t="n">
        <f aca="false">IF(COUNT('Arroz irrigado'!$E42:$Z42)=0,0,MAX(0,IF((L$6-$E$3)&lt;1,0,IFERROR(LOOKUP(2,1/('Arroz irrigado'!$E42:INDEX('Arroz irrigado'!$E42:$Z42,MIN(L$6-$E$3,22))&lt;&gt;""),'Arroz irrigado'!$E42:INDEX('Arroz irrigado'!$E42:$Z42,MIN(L$6-$E$3,22))),0))-IF($G$2,0,IF((L$6-$G$3)&lt;1,0,IFERROR(LOOKUP(2,1/('Arroz irrigado'!$E42:INDEX('Arroz irrigado'!$E42:$Z42,MIN(L$6-$G$3,22))&lt;&gt;""),'Arroz irrigado'!$E42:INDEX('Arroz irrigado'!$E42:$Z42,MIN(L$6-$G$3,22))),0)))))</f>
        <v>0</v>
      </c>
      <c r="M44" s="27" t="n">
        <f aca="false">IF(COUNT('Arroz irrigado'!$E42:$Z42)=0,0,MAX(0,IF((M$6-$E$3)&lt;1,0,IFERROR(LOOKUP(2,1/('Arroz irrigado'!$E42:INDEX('Arroz irrigado'!$E42:$Z42,MIN(M$6-$E$3,22))&lt;&gt;""),'Arroz irrigado'!$E42:INDEX('Arroz irrigado'!$E42:$Z42,MIN(M$6-$E$3,22))),0))-IF($G$2,0,IF((M$6-$G$3)&lt;1,0,IFERROR(LOOKUP(2,1/('Arroz irrigado'!$E42:INDEX('Arroz irrigado'!$E42:$Z42,MIN(M$6-$G$3,22))&lt;&gt;""),'Arroz irrigado'!$E42:INDEX('Arroz irrigado'!$E42:$Z42,MIN(M$6-$G$3,22))),0)))))</f>
        <v>0</v>
      </c>
      <c r="N44" s="27" t="n">
        <f aca="false">IF(COUNT('Arroz irrigado'!$E42:$Z42)=0,0,MAX(0,IF((N$6-$E$3)&lt;1,0,IFERROR(LOOKUP(2,1/('Arroz irrigado'!$E42:INDEX('Arroz irrigado'!$E42:$Z42,MIN(N$6-$E$3,22))&lt;&gt;""),'Arroz irrigado'!$E42:INDEX('Arroz irrigado'!$E42:$Z42,MIN(N$6-$E$3,22))),0))-IF($G$2,0,IF((N$6-$G$3)&lt;1,0,IFERROR(LOOKUP(2,1/('Arroz irrigado'!$E42:INDEX('Arroz irrigado'!$E42:$Z42,MIN(N$6-$G$3,22))&lt;&gt;""),'Arroz irrigado'!$E42:INDEX('Arroz irrigado'!$E42:$Z42,MIN(N$6-$G$3,22))),0)))))</f>
        <v>0</v>
      </c>
      <c r="O44" s="27" t="n">
        <f aca="false">IF(COUNT('Arroz irrigado'!$E42:$Z42)=0,0,MAX(0,IF((O$6-$E$3)&lt;1,0,IFERROR(LOOKUP(2,1/('Arroz irrigado'!$E42:INDEX('Arroz irrigado'!$E42:$Z42,MIN(O$6-$E$3,22))&lt;&gt;""),'Arroz irrigado'!$E42:INDEX('Arroz irrigado'!$E42:$Z42,MIN(O$6-$E$3,22))),0))-IF($G$2,0,IF((O$6-$G$3)&lt;1,0,IFERROR(LOOKUP(2,1/('Arroz irrigado'!$E42:INDEX('Arroz irrigado'!$E42:$Z42,MIN(O$6-$G$3,22))&lt;&gt;""),'Arroz irrigado'!$E42:INDEX('Arroz irrigado'!$E42:$Z42,MIN(O$6-$G$3,22))),0)))))</f>
        <v>0</v>
      </c>
      <c r="P44" s="27" t="n">
        <f aca="false">IF(COUNT('Arroz irrigado'!$E42:$Z42)=0,0,MAX(0,IF((P$6-$E$3)&lt;1,0,IFERROR(LOOKUP(2,1/('Arroz irrigado'!$E42:INDEX('Arroz irrigado'!$E42:$Z42,MIN(P$6-$E$3,22))&lt;&gt;""),'Arroz irrigado'!$E42:INDEX('Arroz irrigado'!$E42:$Z42,MIN(P$6-$E$3,22))),0))-IF($G$2,0,IF((P$6-$G$3)&lt;1,0,IFERROR(LOOKUP(2,1/('Arroz irrigado'!$E42:INDEX('Arroz irrigado'!$E42:$Z42,MIN(P$6-$G$3,22))&lt;&gt;""),'Arroz irrigado'!$E42:INDEX('Arroz irrigado'!$E42:$Z42,MIN(P$6-$G$3,22))),0)))))</f>
        <v>0</v>
      </c>
      <c r="Q44" s="27" t="n">
        <f aca="false">IF(COUNT('Arroz irrigado'!$E42:$Z42)=0,0,MAX(0,IF((Q$6-$E$3)&lt;1,0,IFERROR(LOOKUP(2,1/('Arroz irrigado'!$E42:INDEX('Arroz irrigado'!$E42:$Z42,MIN(Q$6-$E$3,22))&lt;&gt;""),'Arroz irrigado'!$E42:INDEX('Arroz irrigado'!$E42:$Z42,MIN(Q$6-$E$3,22))),0))-IF($G$2,0,IF((Q$6-$G$3)&lt;1,0,IFERROR(LOOKUP(2,1/('Arroz irrigado'!$E42:INDEX('Arroz irrigado'!$E42:$Z42,MIN(Q$6-$G$3,22))&lt;&gt;""),'Arroz irrigado'!$E42:INDEX('Arroz irrigado'!$E42:$Z42,MIN(Q$6-$G$3,22))),0)))))</f>
        <v>0</v>
      </c>
      <c r="R44" s="27" t="n">
        <f aca="false">IF(COUNT('Arroz irrigado'!$E42:$Z42)=0,0,MAX(0,IF((R$6-$E$3)&lt;1,0,IFERROR(LOOKUP(2,1/('Arroz irrigado'!$E42:INDEX('Arroz irrigado'!$E42:$Z42,MIN(R$6-$E$3,22))&lt;&gt;""),'Arroz irrigado'!$E42:INDEX('Arroz irrigado'!$E42:$Z42,MIN(R$6-$E$3,22))),0))-IF($G$2,0,IF((R$6-$G$3)&lt;1,0,IFERROR(LOOKUP(2,1/('Arroz irrigado'!$E42:INDEX('Arroz irrigado'!$E42:$Z42,MIN(R$6-$G$3,22))&lt;&gt;""),'Arroz irrigado'!$E42:INDEX('Arroz irrigado'!$E42:$Z42,MIN(R$6-$G$3,22))),0)))))</f>
        <v>0</v>
      </c>
      <c r="S44" s="27" t="n">
        <f aca="false">IF(COUNT('Arroz irrigado'!$E42:$Z42)=0,0,MAX(0,IF((S$6-$E$3)&lt;1,0,IFERROR(LOOKUP(2,1/('Arroz irrigado'!$E42:INDEX('Arroz irrigado'!$E42:$Z42,MIN(S$6-$E$3,22))&lt;&gt;""),'Arroz irrigado'!$E42:INDEX('Arroz irrigado'!$E42:$Z42,MIN(S$6-$E$3,22))),0))-IF($G$2,0,IF((S$6-$G$3)&lt;1,0,IFERROR(LOOKUP(2,1/('Arroz irrigado'!$E42:INDEX('Arroz irrigado'!$E42:$Z42,MIN(S$6-$G$3,22))&lt;&gt;""),'Arroz irrigado'!$E42:INDEX('Arroz irrigado'!$E42:$Z42,MIN(S$6-$G$3,22))),0)))))</f>
        <v>0</v>
      </c>
      <c r="T44" s="27" t="n">
        <f aca="false">IF(COUNT('Arroz irrigado'!$E42:$Z42)=0,0,MAX(0,IF((T$6-$E$3)&lt;1,0,IFERROR(LOOKUP(2,1/('Arroz irrigado'!$E42:INDEX('Arroz irrigado'!$E42:$Z42,MIN(T$6-$E$3,22))&lt;&gt;""),'Arroz irrigado'!$E42:INDEX('Arroz irrigado'!$E42:$Z42,MIN(T$6-$E$3,22))),0))-IF($G$2,0,IF((T$6-$G$3)&lt;1,0,IFERROR(LOOKUP(2,1/('Arroz irrigado'!$E42:INDEX('Arroz irrigado'!$E42:$Z42,MIN(T$6-$G$3,22))&lt;&gt;""),'Arroz irrigado'!$E42:INDEX('Arroz irrigado'!$E42:$Z42,MIN(T$6-$G$3,22))),0)))))</f>
        <v>0</v>
      </c>
      <c r="U44" s="27" t="n">
        <f aca="false">IF(COUNT('Arroz irrigado'!$E42:$Z42)=0,0,MAX(0,IF((U$6-$E$3)&lt;1,0,IFERROR(LOOKUP(2,1/('Arroz irrigado'!$E42:INDEX('Arroz irrigado'!$E42:$Z42,MIN(U$6-$E$3,22))&lt;&gt;""),'Arroz irrigado'!$E42:INDEX('Arroz irrigado'!$E42:$Z42,MIN(U$6-$E$3,22))),0))-IF($G$2,0,IF((U$6-$G$3)&lt;1,0,IFERROR(LOOKUP(2,1/('Arroz irrigado'!$E42:INDEX('Arroz irrigado'!$E42:$Z42,MIN(U$6-$G$3,22))&lt;&gt;""),'Arroz irrigado'!$E42:INDEX('Arroz irrigado'!$E42:$Z42,MIN(U$6-$G$3,22))),0)))))</f>
        <v>0</v>
      </c>
      <c r="V44" s="27" t="n">
        <f aca="false">IF(COUNT('Arroz irrigado'!$E42:$Z42)=0,0,MAX(0,IF((V$6-$E$3)&lt;1,0,IFERROR(LOOKUP(2,1/('Arroz irrigado'!$E42:INDEX('Arroz irrigado'!$E42:$Z42,MIN(V$6-$E$3,22))&lt;&gt;""),'Arroz irrigado'!$E42:INDEX('Arroz irrigado'!$E42:$Z42,MIN(V$6-$E$3,22))),0))-IF($G$2,0,IF((V$6-$G$3)&lt;1,0,IFERROR(LOOKUP(2,1/('Arroz irrigado'!$E42:INDEX('Arroz irrigado'!$E42:$Z42,MIN(V$6-$G$3,22))&lt;&gt;""),'Arroz irrigado'!$E42:INDEX('Arroz irrigado'!$E42:$Z42,MIN(V$6-$G$3,22))),0)))))</f>
        <v>0</v>
      </c>
      <c r="W44" s="27" t="n">
        <f aca="false">IF(COUNT('Arroz irrigado'!$E42:$Z42)=0,0,MAX(0,IF((W$6-$E$3)&lt;1,0,IFERROR(LOOKUP(2,1/('Arroz irrigado'!$E42:INDEX('Arroz irrigado'!$E42:$Z42,MIN(W$6-$E$3,22))&lt;&gt;""),'Arroz irrigado'!$E42:INDEX('Arroz irrigado'!$E42:$Z42,MIN(W$6-$E$3,22))),0))-IF($G$2,0,IF((W$6-$G$3)&lt;1,0,IFERROR(LOOKUP(2,1/('Arroz irrigado'!$E42:INDEX('Arroz irrigado'!$E42:$Z42,MIN(W$6-$G$3,22))&lt;&gt;""),'Arroz irrigado'!$E42:INDEX('Arroz irrigado'!$E42:$Z42,MIN(W$6-$G$3,22))),0)))))</f>
        <v>0</v>
      </c>
      <c r="X44" s="27" t="n">
        <f aca="false">IF(COUNT('Arroz irrigado'!$E42:$Z42)=0,0,MAX(0,IF((X$6-$E$3)&lt;1,0,IFERROR(LOOKUP(2,1/('Arroz irrigado'!$E42:INDEX('Arroz irrigado'!$E42:$Z42,MIN(X$6-$E$3,22))&lt;&gt;""),'Arroz irrigado'!$E42:INDEX('Arroz irrigado'!$E42:$Z42,MIN(X$6-$E$3,22))),0))-IF($G$2,0,IF((X$6-$G$3)&lt;1,0,IFERROR(LOOKUP(2,1/('Arroz irrigado'!$E42:INDEX('Arroz irrigado'!$E42:$Z42,MIN(X$6-$G$3,22))&lt;&gt;""),'Arroz irrigado'!$E42:INDEX('Arroz irrigado'!$E42:$Z42,MIN(X$6-$G$3,22))),0)))))</f>
        <v>0</v>
      </c>
      <c r="Y44" s="27" t="n">
        <f aca="false">IF(COUNT('Arroz irrigado'!$E42:$Z42)=0,0,MAX(0,IF((Y$6-$E$3)&lt;1,0,IFERROR(LOOKUP(2,1/('Arroz irrigado'!$E42:INDEX('Arroz irrigado'!$E42:$Z42,MIN(Y$6-$E$3,22))&lt;&gt;""),'Arroz irrigado'!$E42:INDEX('Arroz irrigado'!$E42:$Z42,MIN(Y$6-$E$3,22))),0))-IF($G$2,0,IF((Y$6-$G$3)&lt;1,0,IFERROR(LOOKUP(2,1/('Arroz irrigado'!$E42:INDEX('Arroz irrigado'!$E42:$Z42,MIN(Y$6-$G$3,22))&lt;&gt;""),'Arroz irrigado'!$E42:INDEX('Arroz irrigado'!$E42:$Z42,MIN(Y$6-$G$3,22))),0)))))</f>
        <v>0</v>
      </c>
      <c r="Z44" s="27" t="n">
        <f aca="false">IF(COUNT('Arroz irrigado'!$E42:$Z42)=0,0,MAX(0,IF((Z$6-$E$3)&lt;1,0,IFERROR(LOOKUP(2,1/('Arroz irrigado'!$E42:INDEX('Arroz irrigado'!$E42:$Z42,MIN(Z$6-$E$3,22))&lt;&gt;""),'Arroz irrigado'!$E42:INDEX('Arroz irrigado'!$E42:$Z42,MIN(Z$6-$E$3,22))),0))-IF($G$2,0,IF((Z$6-$G$3)&lt;1,0,IFERROR(LOOKUP(2,1/('Arroz irrigado'!$E42:INDEX('Arroz irrigado'!$E42:$Z42,MIN(Z$6-$G$3,22))&lt;&gt;""),'Arroz irrigado'!$E42:INDEX('Arroz irrigado'!$E42:$Z42,MIN(Z$6-$G$3,22))),0)))))</f>
        <v>0</v>
      </c>
      <c r="AA44" s="27" t="n">
        <f aca="false">IF(COUNT('Arroz irrigado'!$E42:$Z42)=0,0,MAX(0,IF((AA$6-$E$3)&lt;1,0,IFERROR(LOOKUP(2,1/('Arroz irrigado'!$E42:INDEX('Arroz irrigado'!$E42:$Z42,MIN(AA$6-$E$3,22))&lt;&gt;""),'Arroz irrigado'!$E42:INDEX('Arroz irrigado'!$E42:$Z42,MIN(AA$6-$E$3,22))),0))-IF($G$2,0,IF((AA$6-$G$3)&lt;1,0,IFERROR(LOOKUP(2,1/('Arroz irrigado'!$E42:INDEX('Arroz irrigado'!$E42:$Z42,MIN(AA$6-$G$3,22))&lt;&gt;""),'Arroz irrigado'!$E42:INDEX('Arroz irrigado'!$E42:$Z42,MIN(AA$6-$G$3,22))),0)))))</f>
        <v>0</v>
      </c>
      <c r="AB44" s="27" t="n">
        <f aca="false">IF(COUNT('Arroz irrigado'!$E42:$Z42)=0,0,MAX(0,IF((AB$6-$E$3)&lt;1,0,IFERROR(LOOKUP(2,1/('Arroz irrigado'!$E42:INDEX('Arroz irrigado'!$E42:$Z42,MIN(AB$6-$E$3,22))&lt;&gt;""),'Arroz irrigado'!$E42:INDEX('Arroz irrigado'!$E42:$Z42,MIN(AB$6-$E$3,22))),0))-IF($G$2,0,IF((AB$6-$G$3)&lt;1,0,IFERROR(LOOKUP(2,1/('Arroz irrigado'!$E42:INDEX('Arroz irrigado'!$E42:$Z42,MIN(AB$6-$G$3,22))&lt;&gt;""),'Arroz irrigado'!$E42:INDEX('Arroz irrigado'!$E42:$Z42,MIN(AB$6-$G$3,22))),0)))))</f>
        <v>0</v>
      </c>
      <c r="AC44" s="27" t="n">
        <f aca="false">IF(COUNT('Arroz irrigado'!$E42:$Z42)=0,0,MAX(0,IF((AC$6-$E$3)&lt;1,0,IFERROR(LOOKUP(2,1/('Arroz irrigado'!$E42:INDEX('Arroz irrigado'!$E42:$Z42,MIN(AC$6-$E$3,22))&lt;&gt;""),'Arroz irrigado'!$E42:INDEX('Arroz irrigado'!$E42:$Z42,MIN(AC$6-$E$3,22))),0))-IF($G$2,0,IF((AC$6-$G$3)&lt;1,0,IFERROR(LOOKUP(2,1/('Arroz irrigado'!$E42:INDEX('Arroz irrigado'!$E42:$Z42,MIN(AC$6-$G$3,22))&lt;&gt;""),'Arroz irrigado'!$E42:INDEX('Arroz irrigado'!$E42:$Z42,MIN(AC$6-$G$3,22))),0)))))</f>
        <v>0</v>
      </c>
      <c r="AD44" s="27" t="n">
        <f aca="false">IF(COUNT('Arroz irrigado'!$E42:$Z42)=0,0,MAX(0,IF((AD$6-$E$3)&lt;1,0,IFERROR(LOOKUP(2,1/('Arroz irrigado'!$E42:INDEX('Arroz irrigado'!$E42:$Z42,MIN(AD$6-$E$3,22))&lt;&gt;""),'Arroz irrigado'!$E42:INDEX('Arroz irrigado'!$E42:$Z42,MIN(AD$6-$E$3,22))),0))-IF($G$2,0,IF((AD$6-$G$3)&lt;1,0,IFERROR(LOOKUP(2,1/('Arroz irrigado'!$E42:INDEX('Arroz irrigado'!$E42:$Z42,MIN(AD$6-$G$3,22))&lt;&gt;""),'Arroz irrigado'!$E42:INDEX('Arroz irrigado'!$E42:$Z42,MIN(AD$6-$G$3,22))),0)))))</f>
        <v>0</v>
      </c>
      <c r="AE44" s="27" t="n">
        <f aca="false">IF(COUNT('Arroz irrigado'!$E42:$Z42)=0,0,MAX(0,IF((AE$6-$E$3)&lt;1,0,IFERROR(LOOKUP(2,1/('Arroz irrigado'!$E42:INDEX('Arroz irrigado'!$E42:$Z42,MIN(AE$6-$E$3,22))&lt;&gt;""),'Arroz irrigado'!$E42:INDEX('Arroz irrigado'!$E42:$Z42,MIN(AE$6-$E$3,22))),0))-IF($G$2,0,IF((AE$6-$G$3)&lt;1,0,IFERROR(LOOKUP(2,1/('Arroz irrigado'!$E42:INDEX('Arroz irrigado'!$E42:$Z42,MIN(AE$6-$G$3,22))&lt;&gt;""),'Arroz irrigado'!$E42:INDEX('Arroz irrigado'!$E42:$Z42,MIN(AE$6-$G$3,22))),0)))))</f>
        <v>0</v>
      </c>
      <c r="AF44" s="27" t="n">
        <f aca="false">IF(COUNT('Arroz irrigado'!$E42:$Z42)=0,0,MAX(0,IF((AF$6-$E$3)&lt;1,0,IFERROR(LOOKUP(2,1/('Arroz irrigado'!$E42:INDEX('Arroz irrigado'!$E42:$Z42,MIN(AF$6-$E$3,22))&lt;&gt;""),'Arroz irrigado'!$E42:INDEX('Arroz irrigado'!$E42:$Z42,MIN(AF$6-$E$3,22))),0))-IF($G$2,0,IF((AF$6-$G$3)&lt;1,0,IFERROR(LOOKUP(2,1/('Arroz irrigado'!$E42:INDEX('Arroz irrigado'!$E42:$Z42,MIN(AF$6-$G$3,22))&lt;&gt;""),'Arroz irrigado'!$E42:INDEX('Arroz irrigado'!$E42:$Z42,MIN(AF$6-$G$3,22))),0)))))</f>
        <v>0</v>
      </c>
      <c r="AG44" s="27" t="n">
        <f aca="false">IF(COUNT('Arroz irrigado'!$E42:$Z42)=0,0,MAX(0,IF((AG$6-$E$3)&lt;1,0,IFERROR(LOOKUP(2,1/('Arroz irrigado'!$E42:INDEX('Arroz irrigado'!$E42:$Z42,MIN(AG$6-$E$3,22))&lt;&gt;""),'Arroz irrigado'!$E42:INDEX('Arroz irrigado'!$E42:$Z42,MIN(AG$6-$E$3,22))),0))-IF($G$2,0,IF((AG$6-$G$3)&lt;1,0,IFERROR(LOOKUP(2,1/('Arroz irrigado'!$E42:INDEX('Arroz irrigado'!$E42:$Z42,MIN(AG$6-$G$3,22))&lt;&gt;""),'Arroz irrigado'!$E42:INDEX('Arroz irrigado'!$E42:$Z42,MIN(AG$6-$G$3,22))),0)))))</f>
        <v>0</v>
      </c>
      <c r="AH44" s="27" t="n">
        <f aca="false">IF(COUNT('Arroz irrigado'!$E42:$Z42)=0,0,MAX(0,IF((AH$6-$E$3)&lt;1,0,IFERROR(LOOKUP(2,1/('Arroz irrigado'!$E42:INDEX('Arroz irrigado'!$E42:$Z42,MIN(AH$6-$E$3,22))&lt;&gt;""),'Arroz irrigado'!$E42:INDEX('Arroz irrigado'!$E42:$Z42,MIN(AH$6-$E$3,22))),0))-IF($G$2,0,IF((AH$6-$G$3)&lt;1,0,IFERROR(LOOKUP(2,1/('Arroz irrigado'!$E42:INDEX('Arroz irrigado'!$E42:$Z42,MIN(AH$6-$G$3,22))&lt;&gt;""),'Arroz irrigado'!$E42:INDEX('Arroz irrigado'!$E42:$Z42,MIN(AH$6-$G$3,22))),0)))))</f>
        <v>0</v>
      </c>
      <c r="AI44" s="27" t="n">
        <f aca="false">IF(COUNT('Arroz irrigado'!$E42:$Z42)=0,0,MAX(0,IF((AI$6-$E$3)&lt;1,0,IFERROR(LOOKUP(2,1/('Arroz irrigado'!$E42:INDEX('Arroz irrigado'!$E42:$Z42,MIN(AI$6-$E$3,22))&lt;&gt;""),'Arroz irrigado'!$E42:INDEX('Arroz irrigado'!$E42:$Z42,MIN(AI$6-$E$3,22))),0))-IF($G$2,0,IF((AI$6-$G$3)&lt;1,0,IFERROR(LOOKUP(2,1/('Arroz irrigado'!$E42:INDEX('Arroz irrigado'!$E42:$Z42,MIN(AI$6-$G$3,22))&lt;&gt;""),'Arroz irrigado'!$E42:INDEX('Arroz irrigado'!$E42:$Z42,MIN(AI$6-$G$3,22))),0)))))</f>
        <v>0</v>
      </c>
      <c r="AJ44" s="27" t="n">
        <f aca="false">IF(COUNT('Arroz irrigado'!$E42:$Z42)=0,0,MAX(0,IF((AJ$6-$E$3)&lt;1,0,IFERROR(LOOKUP(2,1/('Arroz irrigado'!$E42:INDEX('Arroz irrigado'!$E42:$Z42,MIN(AJ$6-$E$3,22))&lt;&gt;""),'Arroz irrigado'!$E42:INDEX('Arroz irrigado'!$E42:$Z42,MIN(AJ$6-$E$3,22))),0))-IF($G$2,0,IF((AJ$6-$G$3)&lt;1,0,IFERROR(LOOKUP(2,1/('Arroz irrigado'!$E42:INDEX('Arroz irrigado'!$E42:$Z42,MIN(AJ$6-$G$3,22))&lt;&gt;""),'Arroz irrigado'!$E42:INDEX('Arroz irrigado'!$E42:$Z42,MIN(AJ$6-$G$3,22))),0)))))</f>
        <v>0</v>
      </c>
      <c r="AK44" s="27" t="n">
        <f aca="false">IF(COUNT('Arroz irrigado'!$E42:$Z42)=0,0,MAX(0,IF((AK$6-$E$3)&lt;1,0,IFERROR(LOOKUP(2,1/('Arroz irrigado'!$E42:INDEX('Arroz irrigado'!$E42:$Z42,MIN(AK$6-$E$3,22))&lt;&gt;""),'Arroz irrigado'!$E42:INDEX('Arroz irrigado'!$E42:$Z42,MIN(AK$6-$E$3,22))),0))-IF($G$2,0,IF((AK$6-$G$3)&lt;1,0,IFERROR(LOOKUP(2,1/('Arroz irrigado'!$E42:INDEX('Arroz irrigado'!$E42:$Z42,MIN(AK$6-$G$3,22))&lt;&gt;""),'Arroz irrigado'!$E42:INDEX('Arroz irrigado'!$E42:$Z42,MIN(AK$6-$G$3,22))),0)))))</f>
        <v>0</v>
      </c>
      <c r="AL44" s="27" t="n">
        <f aca="false">IF(COUNT('Arroz irrigado'!$E42:$Z42)=0,0,MAX(0,IF((AL$6-$E$3)&lt;1,0,IFERROR(LOOKUP(2,1/('Arroz irrigado'!$E42:INDEX('Arroz irrigado'!$E42:$Z42,MIN(AL$6-$E$3,22))&lt;&gt;""),'Arroz irrigado'!$E42:INDEX('Arroz irrigado'!$E42:$Z42,MIN(AL$6-$E$3,22))),0))-IF($G$2,0,IF((AL$6-$G$3)&lt;1,0,IFERROR(LOOKUP(2,1/('Arroz irrigado'!$E42:INDEX('Arroz irrigado'!$E42:$Z42,MIN(AL$6-$G$3,22))&lt;&gt;""),'Arroz irrigado'!$E42:INDEX('Arroz irrigado'!$E42:$Z42,MIN(AL$6-$G$3,22))),0)))))</f>
        <v>0</v>
      </c>
      <c r="AM44" s="27" t="n">
        <f aca="false">IF(COUNT('Arroz irrigado'!$E42:$Z42)=0,0,MAX(0,IF((AM$6-$E$3)&lt;1,0,IFERROR(LOOKUP(2,1/('Arroz irrigado'!$E42:INDEX('Arroz irrigado'!$E42:$Z42,MIN(AM$6-$E$3,22))&lt;&gt;""),'Arroz irrigado'!$E42:INDEX('Arroz irrigado'!$E42:$Z42,MIN(AM$6-$E$3,22))),0))-IF($G$2,0,IF((AM$6-$G$3)&lt;1,0,IFERROR(LOOKUP(2,1/('Arroz irrigado'!$E42:INDEX('Arroz irrigado'!$E42:$Z42,MIN(AM$6-$G$3,22))&lt;&gt;""),'Arroz irrigado'!$E42:INDEX('Arroz irrigado'!$E42:$Z42,MIN(AM$6-$G$3,22))),0)))))</f>
        <v>0</v>
      </c>
      <c r="AN44" s="27" t="n">
        <f aca="false">IF(COUNT('Arroz irrigado'!$E42:$Z42)=0,0,MAX(0,IF((AN$6-$E$3)&lt;1,0,IFERROR(LOOKUP(2,1/('Arroz irrigado'!$E42:INDEX('Arroz irrigado'!$E42:$Z42,MIN(AN$6-$E$3,22))&lt;&gt;""),'Arroz irrigado'!$E42:INDEX('Arroz irrigado'!$E42:$Z42,MIN(AN$6-$E$3,22))),0))-IF($G$2,0,IF((AN$6-$G$3)&lt;1,0,IFERROR(LOOKUP(2,1/('Arroz irrigado'!$E42:INDEX('Arroz irrigado'!$E42:$Z42,MIN(AN$6-$G$3,22))&lt;&gt;""),'Arroz irrigado'!$E42:INDEX('Arroz irrigado'!$E42:$Z42,MIN(AN$6-$G$3,22))),0)))))</f>
        <v>0</v>
      </c>
      <c r="AO44" s="27" t="n">
        <f aca="false">IF(COUNT('Arroz irrigado'!$E42:$Z42)=0,0,MAX(0,IF((AO$6-$E$3)&lt;1,0,IFERROR(LOOKUP(2,1/('Arroz irrigado'!$E42:INDEX('Arroz irrigado'!$E42:$Z42,MIN(AO$6-$E$3,22))&lt;&gt;""),'Arroz irrigado'!$E42:INDEX('Arroz irrigado'!$E42:$Z42,MIN(AO$6-$E$3,22))),0))-IF($G$2,0,IF((AO$6-$G$3)&lt;1,0,IFERROR(LOOKUP(2,1/('Arroz irrigado'!$E42:INDEX('Arroz irrigado'!$E42:$Z42,MIN(AO$6-$G$3,22))&lt;&gt;""),'Arroz irrigado'!$E42:INDEX('Arroz irrigado'!$E42:$Z42,MIN(AO$6-$G$3,22))),0)))))</f>
        <v>0</v>
      </c>
      <c r="AP44" s="27" t="n">
        <f aca="false">IF(COUNT('Arroz irrigado'!$E42:$Z42)=0,0,MAX(0,IF((AP$6-$E$3)&lt;1,0,IFERROR(LOOKUP(2,1/('Arroz irrigado'!$E42:INDEX('Arroz irrigado'!$E42:$Z42,MIN(AP$6-$E$3,22))&lt;&gt;""),'Arroz irrigado'!$E42:INDEX('Arroz irrigado'!$E42:$Z42,MIN(AP$6-$E$3,22))),0))-IF($G$2,0,IF((AP$6-$G$3)&lt;1,0,IFERROR(LOOKUP(2,1/('Arroz irrigado'!$E42:INDEX('Arroz irrigado'!$E42:$Z42,MIN(AP$6-$G$3,22))&lt;&gt;""),'Arroz irrigado'!$E42:INDEX('Arroz irrigado'!$E42:$Z42,MIN(AP$6-$G$3,22))),0)))))</f>
        <v>0</v>
      </c>
      <c r="AQ44" s="27" t="n">
        <f aca="false">IF(COUNT('Arroz irrigado'!$E42:$Z42)=0,0,MAX(0,IF((AQ$6-$E$3)&lt;1,0,IFERROR(LOOKUP(2,1/('Arroz irrigado'!$E42:INDEX('Arroz irrigado'!$E42:$Z42,MIN(AQ$6-$E$3,22))&lt;&gt;""),'Arroz irrigado'!$E42:INDEX('Arroz irrigado'!$E42:$Z42,MIN(AQ$6-$E$3,22))),0))-IF($G$2,0,IF((AQ$6-$G$3)&lt;1,0,IFERROR(LOOKUP(2,1/('Arroz irrigado'!$E42:INDEX('Arroz irrigado'!$E42:$Z42,MIN(AQ$6-$G$3,22))&lt;&gt;""),'Arroz irrigado'!$E42:INDEX('Arroz irrigado'!$E42:$Z42,MIN(AQ$6-$G$3,22))),0)))))</f>
        <v>0</v>
      </c>
      <c r="AR44" s="27" t="n">
        <f aca="false">IF(COUNT('Arroz irrigado'!$E42:$Z42)=0,0,MAX(0,IF((AR$6-$E$3)&lt;1,0,IFERROR(LOOKUP(2,1/('Arroz irrigado'!$E42:INDEX('Arroz irrigado'!$E42:$Z42,MIN(AR$6-$E$3,22))&lt;&gt;""),'Arroz irrigado'!$E42:INDEX('Arroz irrigado'!$E42:$Z42,MIN(AR$6-$E$3,22))),0))-IF($G$2,0,IF((AR$6-$G$3)&lt;1,0,IFERROR(LOOKUP(2,1/('Arroz irrigado'!$E42:INDEX('Arroz irrigado'!$E42:$Z42,MIN(AR$6-$G$3,22))&lt;&gt;""),'Arroz irrigado'!$E42:INDEX('Arroz irrigado'!$E42:$Z42,MIN(AR$6-$G$3,22))),0)))))</f>
        <v>0</v>
      </c>
      <c r="AS44" s="27" t="n">
        <f aca="false">IF(COUNT('Arroz irrigado'!$E42:$Z42)=0,0,MAX(0,IF((AS$6-$E$3)&lt;1,0,IFERROR(LOOKUP(2,1/('Arroz irrigado'!$E42:INDEX('Arroz irrigado'!$E42:$Z42,MIN(AS$6-$E$3,22))&lt;&gt;""),'Arroz irrigado'!$E42:INDEX('Arroz irrigado'!$E42:$Z42,MIN(AS$6-$E$3,22))),0))-IF($G$2,0,IF((AS$6-$G$3)&lt;1,0,IFERROR(LOOKUP(2,1/('Arroz irrigado'!$E42:INDEX('Arroz irrigado'!$E42:$Z42,MIN(AS$6-$G$3,22))&lt;&gt;""),'Arroz irrigado'!$E42:INDEX('Arroz irrigado'!$E42:$Z42,MIN(AS$6-$G$3,22))),0)))))</f>
        <v>0</v>
      </c>
      <c r="AT44" s="27" t="n">
        <f aca="false">IF(COUNT('Arroz irrigado'!$E42:$Z42)=0,0,MAX(0,IF((AT$6-$E$3)&lt;1,0,IFERROR(LOOKUP(2,1/('Arroz irrigado'!$E42:INDEX('Arroz irrigado'!$E42:$Z42,MIN(AT$6-$E$3,22))&lt;&gt;""),'Arroz irrigado'!$E42:INDEX('Arroz irrigado'!$E42:$Z42,MIN(AT$6-$E$3,22))),0))-IF($G$2,0,IF((AT$6-$G$3)&lt;1,0,IFERROR(LOOKUP(2,1/('Arroz irrigado'!$E42:INDEX('Arroz irrigado'!$E42:$Z42,MIN(AT$6-$G$3,22))&lt;&gt;""),'Arroz irrigado'!$E42:INDEX('Arroz irrigado'!$E42:$Z42,MIN(AT$6-$G$3,22))),0)))))</f>
        <v>0</v>
      </c>
      <c r="AU44" s="27" t="n">
        <f aca="false">IF(COUNT('Arroz irrigado'!$E42:$Z42)=0,0,MAX(0,IF((AU$6-$E$3)&lt;1,0,IFERROR(LOOKUP(2,1/('Arroz irrigado'!$E42:INDEX('Arroz irrigado'!$E42:$Z42,MIN(AU$6-$E$3,22))&lt;&gt;""),'Arroz irrigado'!$E42:INDEX('Arroz irrigado'!$E42:$Z42,MIN(AU$6-$E$3,22))),0))-IF($G$2,0,IF((AU$6-$G$3)&lt;1,0,IFERROR(LOOKUP(2,1/('Arroz irrigado'!$E42:INDEX('Arroz irrigado'!$E42:$Z42,MIN(AU$6-$G$3,22))&lt;&gt;""),'Arroz irrigado'!$E42:INDEX('Arroz irrigado'!$E42:$Z42,MIN(AU$6-$G$3,22))),0)))))</f>
        <v>0</v>
      </c>
      <c r="AV44" s="27" t="n">
        <f aca="false">IF(COUNT('Arroz irrigado'!$E42:$Z42)=0,0,MAX(0,IF((AV$6-$E$3)&lt;1,0,IFERROR(LOOKUP(2,1/('Arroz irrigado'!$E42:INDEX('Arroz irrigado'!$E42:$Z42,MIN(AV$6-$E$3,22))&lt;&gt;""),'Arroz irrigado'!$E42:INDEX('Arroz irrigado'!$E42:$Z42,MIN(AV$6-$E$3,22))),0))-IF($G$2,0,IF((AV$6-$G$3)&lt;1,0,IFERROR(LOOKUP(2,1/('Arroz irrigado'!$E42:INDEX('Arroz irrigado'!$E42:$Z42,MIN(AV$6-$G$3,22))&lt;&gt;""),'Arroz irrigado'!$E42:INDEX('Arroz irrigado'!$E42:$Z42,MIN(AV$6-$G$3,22))),0)))))</f>
        <v>0</v>
      </c>
      <c r="AW44" s="27" t="n">
        <f aca="false">IF(COUNT('Arroz irrigado'!$E42:$Z42)=0,0,MAX(0,IF((AW$6-$E$3)&lt;1,0,IFERROR(LOOKUP(2,1/('Arroz irrigado'!$E42:INDEX('Arroz irrigado'!$E42:$Z42,MIN(AW$6-$E$3,22))&lt;&gt;""),'Arroz irrigado'!$E42:INDEX('Arroz irrigado'!$E42:$Z42,MIN(AW$6-$E$3,22))),0))-IF($G$2,0,IF((AW$6-$G$3)&lt;1,0,IFERROR(LOOKUP(2,1/('Arroz irrigado'!$E42:INDEX('Arroz irrigado'!$E42:$Z42,MIN(AW$6-$G$3,22))&lt;&gt;""),'Arroz irrigado'!$E42:INDEX('Arroz irrigado'!$E42:$Z42,MIN(AW$6-$G$3,22))),0)))))</f>
        <v>0</v>
      </c>
      <c r="AX44" s="27" t="n">
        <f aca="false">IF(COUNT('Arroz irrigado'!$E42:$Z42)=0,0,MAX(0,IF((AX$6-$E$3)&lt;1,0,IFERROR(LOOKUP(2,1/('Arroz irrigado'!$E42:INDEX('Arroz irrigado'!$E42:$Z42,MIN(AX$6-$E$3,22))&lt;&gt;""),'Arroz irrigado'!$E42:INDEX('Arroz irrigado'!$E42:$Z42,MIN(AX$6-$E$3,22))),0))-IF($G$2,0,IF((AX$6-$G$3)&lt;1,0,IFERROR(LOOKUP(2,1/('Arroz irrigado'!$E42:INDEX('Arroz irrigado'!$E42:$Z42,MIN(AX$6-$G$3,22))&lt;&gt;""),'Arroz irrigado'!$E42:INDEX('Arroz irrigado'!$E42:$Z42,MIN(AX$6-$G$3,22))),0)))))</f>
        <v>0</v>
      </c>
      <c r="AY44" s="27" t="n">
        <f aca="false">IF(COUNT('Arroz irrigado'!$E42:$Z42)=0,0,MAX(0,IF((AY$6-$E$3)&lt;1,0,IFERROR(LOOKUP(2,1/('Arroz irrigado'!$E42:INDEX('Arroz irrigado'!$E42:$Z42,MIN(AY$6-$E$3,22))&lt;&gt;""),'Arroz irrigado'!$E42:INDEX('Arroz irrigado'!$E42:$Z42,MIN(AY$6-$E$3,22))),0))-IF($G$2,0,IF((AY$6-$G$3)&lt;1,0,IFERROR(LOOKUP(2,1/('Arroz irrigado'!$E42:INDEX('Arroz irrigado'!$E42:$Z42,MIN(AY$6-$G$3,22))&lt;&gt;""),'Arroz irrigado'!$E42:INDEX('Arroz irrigado'!$E42:$Z42,MIN(AY$6-$G$3,22))),0)))))</f>
        <v>0</v>
      </c>
      <c r="AZ44" s="27" t="n">
        <f aca="false">IF(COUNT('Arroz irrigado'!$E42:$Z42)=0,0,MAX(0,IF((AZ$6-$E$3)&lt;1,0,IFERROR(LOOKUP(2,1/('Arroz irrigado'!$E42:INDEX('Arroz irrigado'!$E42:$Z42,MIN(AZ$6-$E$3,22))&lt;&gt;""),'Arroz irrigado'!$E42:INDEX('Arroz irrigado'!$E42:$Z42,MIN(AZ$6-$E$3,22))),0))-IF($G$2,0,IF((AZ$6-$G$3)&lt;1,0,IFERROR(LOOKUP(2,1/('Arroz irrigado'!$E42:INDEX('Arroz irrigado'!$E42:$Z42,MIN(AZ$6-$G$3,22))&lt;&gt;""),'Arroz irrigado'!$E42:INDEX('Arroz irrigado'!$E42:$Z42,MIN(AZ$6-$G$3,22))),0)))))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IF(COUNT('Arroz irrigado'!$E43:$Z43)&gt;0,N('Arroz irrigado'!$D43),0)</f>
        <v>0</v>
      </c>
      <c r="E45" s="27" t="n">
        <f aca="false">IF(COUNT('Arroz irrigado'!$E43:$Z43)=0,0,MAX(0,IF((E$6-$E$3)&lt;1,0,IFERROR(LOOKUP(2,1/('Arroz irrigado'!$E43:INDEX('Arroz irrigado'!$E43:$Z43,MIN(E$6-$E$3,22))&lt;&gt;""),'Arroz irrigado'!$E43:INDEX('Arroz irrigado'!$E43:$Z43,MIN(E$6-$E$3,22))),0))-IF($G$2,0,IF((E$6-$G$3)&lt;1,0,IFERROR(LOOKUP(2,1/('Arroz irrigado'!$E43:INDEX('Arroz irrigado'!$E43:$Z43,MIN(E$6-$G$3,22))&lt;&gt;""),'Arroz irrigado'!$E43:INDEX('Arroz irrigado'!$E43:$Z43,MIN(E$6-$G$3,22))),0)))))</f>
        <v>0</v>
      </c>
      <c r="F45" s="27" t="n">
        <f aca="false">IF(COUNT('Arroz irrigado'!$E43:$Z43)=0,0,MAX(0,IF((F$6-$E$3)&lt;1,0,IFERROR(LOOKUP(2,1/('Arroz irrigado'!$E43:INDEX('Arroz irrigado'!$E43:$Z43,MIN(F$6-$E$3,22))&lt;&gt;""),'Arroz irrigado'!$E43:INDEX('Arroz irrigado'!$E43:$Z43,MIN(F$6-$E$3,22))),0))-IF($G$2,0,IF((F$6-$G$3)&lt;1,0,IFERROR(LOOKUP(2,1/('Arroz irrigado'!$E43:INDEX('Arroz irrigado'!$E43:$Z43,MIN(F$6-$G$3,22))&lt;&gt;""),'Arroz irrigado'!$E43:INDEX('Arroz irrigado'!$E43:$Z43,MIN(F$6-$G$3,22))),0)))))</f>
        <v>0</v>
      </c>
      <c r="G45" s="27" t="n">
        <f aca="false">IF(COUNT('Arroz irrigado'!$E43:$Z43)=0,0,MAX(0,IF((G$6-$E$3)&lt;1,0,IFERROR(LOOKUP(2,1/('Arroz irrigado'!$E43:INDEX('Arroz irrigado'!$E43:$Z43,MIN(G$6-$E$3,22))&lt;&gt;""),'Arroz irrigado'!$E43:INDEX('Arroz irrigado'!$E43:$Z43,MIN(G$6-$E$3,22))),0))-IF($G$2,0,IF((G$6-$G$3)&lt;1,0,IFERROR(LOOKUP(2,1/('Arroz irrigado'!$E43:INDEX('Arroz irrigado'!$E43:$Z43,MIN(G$6-$G$3,22))&lt;&gt;""),'Arroz irrigado'!$E43:INDEX('Arroz irrigado'!$E43:$Z43,MIN(G$6-$G$3,22))),0)))))</f>
        <v>0</v>
      </c>
      <c r="H45" s="27" t="n">
        <f aca="false">IF(COUNT('Arroz irrigado'!$E43:$Z43)=0,0,MAX(0,IF((H$6-$E$3)&lt;1,0,IFERROR(LOOKUP(2,1/('Arroz irrigado'!$E43:INDEX('Arroz irrigado'!$E43:$Z43,MIN(H$6-$E$3,22))&lt;&gt;""),'Arroz irrigado'!$E43:INDEX('Arroz irrigado'!$E43:$Z43,MIN(H$6-$E$3,22))),0))-IF($G$2,0,IF((H$6-$G$3)&lt;1,0,IFERROR(LOOKUP(2,1/('Arroz irrigado'!$E43:INDEX('Arroz irrigado'!$E43:$Z43,MIN(H$6-$G$3,22))&lt;&gt;""),'Arroz irrigado'!$E43:INDEX('Arroz irrigado'!$E43:$Z43,MIN(H$6-$G$3,22))),0)))))</f>
        <v>0</v>
      </c>
      <c r="I45" s="27" t="n">
        <f aca="false">IF(COUNT('Arroz irrigado'!$E43:$Z43)=0,0,MAX(0,IF((I$6-$E$3)&lt;1,0,IFERROR(LOOKUP(2,1/('Arroz irrigado'!$E43:INDEX('Arroz irrigado'!$E43:$Z43,MIN(I$6-$E$3,22))&lt;&gt;""),'Arroz irrigado'!$E43:INDEX('Arroz irrigado'!$E43:$Z43,MIN(I$6-$E$3,22))),0))-IF($G$2,0,IF((I$6-$G$3)&lt;1,0,IFERROR(LOOKUP(2,1/('Arroz irrigado'!$E43:INDEX('Arroz irrigado'!$E43:$Z43,MIN(I$6-$G$3,22))&lt;&gt;""),'Arroz irrigado'!$E43:INDEX('Arroz irrigado'!$E43:$Z43,MIN(I$6-$G$3,22))),0)))))</f>
        <v>0</v>
      </c>
      <c r="J45" s="27" t="n">
        <f aca="false">IF(COUNT('Arroz irrigado'!$E43:$Z43)=0,0,MAX(0,IF((J$6-$E$3)&lt;1,0,IFERROR(LOOKUP(2,1/('Arroz irrigado'!$E43:INDEX('Arroz irrigado'!$E43:$Z43,MIN(J$6-$E$3,22))&lt;&gt;""),'Arroz irrigado'!$E43:INDEX('Arroz irrigado'!$E43:$Z43,MIN(J$6-$E$3,22))),0))-IF($G$2,0,IF((J$6-$G$3)&lt;1,0,IFERROR(LOOKUP(2,1/('Arroz irrigado'!$E43:INDEX('Arroz irrigado'!$E43:$Z43,MIN(J$6-$G$3,22))&lt;&gt;""),'Arroz irrigado'!$E43:INDEX('Arroz irrigado'!$E43:$Z43,MIN(J$6-$G$3,22))),0)))))</f>
        <v>0</v>
      </c>
      <c r="K45" s="27" t="n">
        <f aca="false">IF(COUNT('Arroz irrigado'!$E43:$Z43)=0,0,MAX(0,IF((K$6-$E$3)&lt;1,0,IFERROR(LOOKUP(2,1/('Arroz irrigado'!$E43:INDEX('Arroz irrigado'!$E43:$Z43,MIN(K$6-$E$3,22))&lt;&gt;""),'Arroz irrigado'!$E43:INDEX('Arroz irrigado'!$E43:$Z43,MIN(K$6-$E$3,22))),0))-IF($G$2,0,IF((K$6-$G$3)&lt;1,0,IFERROR(LOOKUP(2,1/('Arroz irrigado'!$E43:INDEX('Arroz irrigado'!$E43:$Z43,MIN(K$6-$G$3,22))&lt;&gt;""),'Arroz irrigado'!$E43:INDEX('Arroz irrigado'!$E43:$Z43,MIN(K$6-$G$3,22))),0)))))</f>
        <v>0</v>
      </c>
      <c r="L45" s="27" t="n">
        <f aca="false">IF(COUNT('Arroz irrigado'!$E43:$Z43)=0,0,MAX(0,IF((L$6-$E$3)&lt;1,0,IFERROR(LOOKUP(2,1/('Arroz irrigado'!$E43:INDEX('Arroz irrigado'!$E43:$Z43,MIN(L$6-$E$3,22))&lt;&gt;""),'Arroz irrigado'!$E43:INDEX('Arroz irrigado'!$E43:$Z43,MIN(L$6-$E$3,22))),0))-IF($G$2,0,IF((L$6-$G$3)&lt;1,0,IFERROR(LOOKUP(2,1/('Arroz irrigado'!$E43:INDEX('Arroz irrigado'!$E43:$Z43,MIN(L$6-$G$3,22))&lt;&gt;""),'Arroz irrigado'!$E43:INDEX('Arroz irrigado'!$E43:$Z43,MIN(L$6-$G$3,22))),0)))))</f>
        <v>0</v>
      </c>
      <c r="M45" s="27" t="n">
        <f aca="false">IF(COUNT('Arroz irrigado'!$E43:$Z43)=0,0,MAX(0,IF((M$6-$E$3)&lt;1,0,IFERROR(LOOKUP(2,1/('Arroz irrigado'!$E43:INDEX('Arroz irrigado'!$E43:$Z43,MIN(M$6-$E$3,22))&lt;&gt;""),'Arroz irrigado'!$E43:INDEX('Arroz irrigado'!$E43:$Z43,MIN(M$6-$E$3,22))),0))-IF($G$2,0,IF((M$6-$G$3)&lt;1,0,IFERROR(LOOKUP(2,1/('Arroz irrigado'!$E43:INDEX('Arroz irrigado'!$E43:$Z43,MIN(M$6-$G$3,22))&lt;&gt;""),'Arroz irrigado'!$E43:INDEX('Arroz irrigado'!$E43:$Z43,MIN(M$6-$G$3,22))),0)))))</f>
        <v>0</v>
      </c>
      <c r="N45" s="27" t="n">
        <f aca="false">IF(COUNT('Arroz irrigado'!$E43:$Z43)=0,0,MAX(0,IF((N$6-$E$3)&lt;1,0,IFERROR(LOOKUP(2,1/('Arroz irrigado'!$E43:INDEX('Arroz irrigado'!$E43:$Z43,MIN(N$6-$E$3,22))&lt;&gt;""),'Arroz irrigado'!$E43:INDEX('Arroz irrigado'!$E43:$Z43,MIN(N$6-$E$3,22))),0))-IF($G$2,0,IF((N$6-$G$3)&lt;1,0,IFERROR(LOOKUP(2,1/('Arroz irrigado'!$E43:INDEX('Arroz irrigado'!$E43:$Z43,MIN(N$6-$G$3,22))&lt;&gt;""),'Arroz irrigado'!$E43:INDEX('Arroz irrigado'!$E43:$Z43,MIN(N$6-$G$3,22))),0)))))</f>
        <v>0</v>
      </c>
      <c r="O45" s="27" t="n">
        <f aca="false">IF(COUNT('Arroz irrigado'!$E43:$Z43)=0,0,MAX(0,IF((O$6-$E$3)&lt;1,0,IFERROR(LOOKUP(2,1/('Arroz irrigado'!$E43:INDEX('Arroz irrigado'!$E43:$Z43,MIN(O$6-$E$3,22))&lt;&gt;""),'Arroz irrigado'!$E43:INDEX('Arroz irrigado'!$E43:$Z43,MIN(O$6-$E$3,22))),0))-IF($G$2,0,IF((O$6-$G$3)&lt;1,0,IFERROR(LOOKUP(2,1/('Arroz irrigado'!$E43:INDEX('Arroz irrigado'!$E43:$Z43,MIN(O$6-$G$3,22))&lt;&gt;""),'Arroz irrigado'!$E43:INDEX('Arroz irrigado'!$E43:$Z43,MIN(O$6-$G$3,22))),0)))))</f>
        <v>0</v>
      </c>
      <c r="P45" s="27" t="n">
        <f aca="false">IF(COUNT('Arroz irrigado'!$E43:$Z43)=0,0,MAX(0,IF((P$6-$E$3)&lt;1,0,IFERROR(LOOKUP(2,1/('Arroz irrigado'!$E43:INDEX('Arroz irrigado'!$E43:$Z43,MIN(P$6-$E$3,22))&lt;&gt;""),'Arroz irrigado'!$E43:INDEX('Arroz irrigado'!$E43:$Z43,MIN(P$6-$E$3,22))),0))-IF($G$2,0,IF((P$6-$G$3)&lt;1,0,IFERROR(LOOKUP(2,1/('Arroz irrigado'!$E43:INDEX('Arroz irrigado'!$E43:$Z43,MIN(P$6-$G$3,22))&lt;&gt;""),'Arroz irrigado'!$E43:INDEX('Arroz irrigado'!$E43:$Z43,MIN(P$6-$G$3,22))),0)))))</f>
        <v>0</v>
      </c>
      <c r="Q45" s="27" t="n">
        <f aca="false">IF(COUNT('Arroz irrigado'!$E43:$Z43)=0,0,MAX(0,IF((Q$6-$E$3)&lt;1,0,IFERROR(LOOKUP(2,1/('Arroz irrigado'!$E43:INDEX('Arroz irrigado'!$E43:$Z43,MIN(Q$6-$E$3,22))&lt;&gt;""),'Arroz irrigado'!$E43:INDEX('Arroz irrigado'!$E43:$Z43,MIN(Q$6-$E$3,22))),0))-IF($G$2,0,IF((Q$6-$G$3)&lt;1,0,IFERROR(LOOKUP(2,1/('Arroz irrigado'!$E43:INDEX('Arroz irrigado'!$E43:$Z43,MIN(Q$6-$G$3,22))&lt;&gt;""),'Arroz irrigado'!$E43:INDEX('Arroz irrigado'!$E43:$Z43,MIN(Q$6-$G$3,22))),0)))))</f>
        <v>0</v>
      </c>
      <c r="R45" s="27" t="n">
        <f aca="false">IF(COUNT('Arroz irrigado'!$E43:$Z43)=0,0,MAX(0,IF((R$6-$E$3)&lt;1,0,IFERROR(LOOKUP(2,1/('Arroz irrigado'!$E43:INDEX('Arroz irrigado'!$E43:$Z43,MIN(R$6-$E$3,22))&lt;&gt;""),'Arroz irrigado'!$E43:INDEX('Arroz irrigado'!$E43:$Z43,MIN(R$6-$E$3,22))),0))-IF($G$2,0,IF((R$6-$G$3)&lt;1,0,IFERROR(LOOKUP(2,1/('Arroz irrigado'!$E43:INDEX('Arroz irrigado'!$E43:$Z43,MIN(R$6-$G$3,22))&lt;&gt;""),'Arroz irrigado'!$E43:INDEX('Arroz irrigado'!$E43:$Z43,MIN(R$6-$G$3,22))),0)))))</f>
        <v>0</v>
      </c>
      <c r="S45" s="27" t="n">
        <f aca="false">IF(COUNT('Arroz irrigado'!$E43:$Z43)=0,0,MAX(0,IF((S$6-$E$3)&lt;1,0,IFERROR(LOOKUP(2,1/('Arroz irrigado'!$E43:INDEX('Arroz irrigado'!$E43:$Z43,MIN(S$6-$E$3,22))&lt;&gt;""),'Arroz irrigado'!$E43:INDEX('Arroz irrigado'!$E43:$Z43,MIN(S$6-$E$3,22))),0))-IF($G$2,0,IF((S$6-$G$3)&lt;1,0,IFERROR(LOOKUP(2,1/('Arroz irrigado'!$E43:INDEX('Arroz irrigado'!$E43:$Z43,MIN(S$6-$G$3,22))&lt;&gt;""),'Arroz irrigado'!$E43:INDEX('Arroz irrigado'!$E43:$Z43,MIN(S$6-$G$3,22))),0)))))</f>
        <v>0</v>
      </c>
      <c r="T45" s="27" t="n">
        <f aca="false">IF(COUNT('Arroz irrigado'!$E43:$Z43)=0,0,MAX(0,IF((T$6-$E$3)&lt;1,0,IFERROR(LOOKUP(2,1/('Arroz irrigado'!$E43:INDEX('Arroz irrigado'!$E43:$Z43,MIN(T$6-$E$3,22))&lt;&gt;""),'Arroz irrigado'!$E43:INDEX('Arroz irrigado'!$E43:$Z43,MIN(T$6-$E$3,22))),0))-IF($G$2,0,IF((T$6-$G$3)&lt;1,0,IFERROR(LOOKUP(2,1/('Arroz irrigado'!$E43:INDEX('Arroz irrigado'!$E43:$Z43,MIN(T$6-$G$3,22))&lt;&gt;""),'Arroz irrigado'!$E43:INDEX('Arroz irrigado'!$E43:$Z43,MIN(T$6-$G$3,22))),0)))))</f>
        <v>0</v>
      </c>
      <c r="U45" s="27" t="n">
        <f aca="false">IF(COUNT('Arroz irrigado'!$E43:$Z43)=0,0,MAX(0,IF((U$6-$E$3)&lt;1,0,IFERROR(LOOKUP(2,1/('Arroz irrigado'!$E43:INDEX('Arroz irrigado'!$E43:$Z43,MIN(U$6-$E$3,22))&lt;&gt;""),'Arroz irrigado'!$E43:INDEX('Arroz irrigado'!$E43:$Z43,MIN(U$6-$E$3,22))),0))-IF($G$2,0,IF((U$6-$G$3)&lt;1,0,IFERROR(LOOKUP(2,1/('Arroz irrigado'!$E43:INDEX('Arroz irrigado'!$E43:$Z43,MIN(U$6-$G$3,22))&lt;&gt;""),'Arroz irrigado'!$E43:INDEX('Arroz irrigado'!$E43:$Z43,MIN(U$6-$G$3,22))),0)))))</f>
        <v>0</v>
      </c>
      <c r="V45" s="27" t="n">
        <f aca="false">IF(COUNT('Arroz irrigado'!$E43:$Z43)=0,0,MAX(0,IF((V$6-$E$3)&lt;1,0,IFERROR(LOOKUP(2,1/('Arroz irrigado'!$E43:INDEX('Arroz irrigado'!$E43:$Z43,MIN(V$6-$E$3,22))&lt;&gt;""),'Arroz irrigado'!$E43:INDEX('Arroz irrigado'!$E43:$Z43,MIN(V$6-$E$3,22))),0))-IF($G$2,0,IF((V$6-$G$3)&lt;1,0,IFERROR(LOOKUP(2,1/('Arroz irrigado'!$E43:INDEX('Arroz irrigado'!$E43:$Z43,MIN(V$6-$G$3,22))&lt;&gt;""),'Arroz irrigado'!$E43:INDEX('Arroz irrigado'!$E43:$Z43,MIN(V$6-$G$3,22))),0)))))</f>
        <v>0</v>
      </c>
      <c r="W45" s="27" t="n">
        <f aca="false">IF(COUNT('Arroz irrigado'!$E43:$Z43)=0,0,MAX(0,IF((W$6-$E$3)&lt;1,0,IFERROR(LOOKUP(2,1/('Arroz irrigado'!$E43:INDEX('Arroz irrigado'!$E43:$Z43,MIN(W$6-$E$3,22))&lt;&gt;""),'Arroz irrigado'!$E43:INDEX('Arroz irrigado'!$E43:$Z43,MIN(W$6-$E$3,22))),0))-IF($G$2,0,IF((W$6-$G$3)&lt;1,0,IFERROR(LOOKUP(2,1/('Arroz irrigado'!$E43:INDEX('Arroz irrigado'!$E43:$Z43,MIN(W$6-$G$3,22))&lt;&gt;""),'Arroz irrigado'!$E43:INDEX('Arroz irrigado'!$E43:$Z43,MIN(W$6-$G$3,22))),0)))))</f>
        <v>0</v>
      </c>
      <c r="X45" s="27" t="n">
        <f aca="false">IF(COUNT('Arroz irrigado'!$E43:$Z43)=0,0,MAX(0,IF((X$6-$E$3)&lt;1,0,IFERROR(LOOKUP(2,1/('Arroz irrigado'!$E43:INDEX('Arroz irrigado'!$E43:$Z43,MIN(X$6-$E$3,22))&lt;&gt;""),'Arroz irrigado'!$E43:INDEX('Arroz irrigado'!$E43:$Z43,MIN(X$6-$E$3,22))),0))-IF($G$2,0,IF((X$6-$G$3)&lt;1,0,IFERROR(LOOKUP(2,1/('Arroz irrigado'!$E43:INDEX('Arroz irrigado'!$E43:$Z43,MIN(X$6-$G$3,22))&lt;&gt;""),'Arroz irrigado'!$E43:INDEX('Arroz irrigado'!$E43:$Z43,MIN(X$6-$G$3,22))),0)))))</f>
        <v>0</v>
      </c>
      <c r="Y45" s="27" t="n">
        <f aca="false">IF(COUNT('Arroz irrigado'!$E43:$Z43)=0,0,MAX(0,IF((Y$6-$E$3)&lt;1,0,IFERROR(LOOKUP(2,1/('Arroz irrigado'!$E43:INDEX('Arroz irrigado'!$E43:$Z43,MIN(Y$6-$E$3,22))&lt;&gt;""),'Arroz irrigado'!$E43:INDEX('Arroz irrigado'!$E43:$Z43,MIN(Y$6-$E$3,22))),0))-IF($G$2,0,IF((Y$6-$G$3)&lt;1,0,IFERROR(LOOKUP(2,1/('Arroz irrigado'!$E43:INDEX('Arroz irrigado'!$E43:$Z43,MIN(Y$6-$G$3,22))&lt;&gt;""),'Arroz irrigado'!$E43:INDEX('Arroz irrigado'!$E43:$Z43,MIN(Y$6-$G$3,22))),0)))))</f>
        <v>0</v>
      </c>
      <c r="Z45" s="27" t="n">
        <f aca="false">IF(COUNT('Arroz irrigado'!$E43:$Z43)=0,0,MAX(0,IF((Z$6-$E$3)&lt;1,0,IFERROR(LOOKUP(2,1/('Arroz irrigado'!$E43:INDEX('Arroz irrigado'!$E43:$Z43,MIN(Z$6-$E$3,22))&lt;&gt;""),'Arroz irrigado'!$E43:INDEX('Arroz irrigado'!$E43:$Z43,MIN(Z$6-$E$3,22))),0))-IF($G$2,0,IF((Z$6-$G$3)&lt;1,0,IFERROR(LOOKUP(2,1/('Arroz irrigado'!$E43:INDEX('Arroz irrigado'!$E43:$Z43,MIN(Z$6-$G$3,22))&lt;&gt;""),'Arroz irrigado'!$E43:INDEX('Arroz irrigado'!$E43:$Z43,MIN(Z$6-$G$3,22))),0)))))</f>
        <v>0</v>
      </c>
      <c r="AA45" s="27" t="n">
        <f aca="false">IF(COUNT('Arroz irrigado'!$E43:$Z43)=0,0,MAX(0,IF((AA$6-$E$3)&lt;1,0,IFERROR(LOOKUP(2,1/('Arroz irrigado'!$E43:INDEX('Arroz irrigado'!$E43:$Z43,MIN(AA$6-$E$3,22))&lt;&gt;""),'Arroz irrigado'!$E43:INDEX('Arroz irrigado'!$E43:$Z43,MIN(AA$6-$E$3,22))),0))-IF($G$2,0,IF((AA$6-$G$3)&lt;1,0,IFERROR(LOOKUP(2,1/('Arroz irrigado'!$E43:INDEX('Arroz irrigado'!$E43:$Z43,MIN(AA$6-$G$3,22))&lt;&gt;""),'Arroz irrigado'!$E43:INDEX('Arroz irrigado'!$E43:$Z43,MIN(AA$6-$G$3,22))),0)))))</f>
        <v>0</v>
      </c>
      <c r="AB45" s="27" t="n">
        <f aca="false">IF(COUNT('Arroz irrigado'!$E43:$Z43)=0,0,MAX(0,IF((AB$6-$E$3)&lt;1,0,IFERROR(LOOKUP(2,1/('Arroz irrigado'!$E43:INDEX('Arroz irrigado'!$E43:$Z43,MIN(AB$6-$E$3,22))&lt;&gt;""),'Arroz irrigado'!$E43:INDEX('Arroz irrigado'!$E43:$Z43,MIN(AB$6-$E$3,22))),0))-IF($G$2,0,IF((AB$6-$G$3)&lt;1,0,IFERROR(LOOKUP(2,1/('Arroz irrigado'!$E43:INDEX('Arroz irrigado'!$E43:$Z43,MIN(AB$6-$G$3,22))&lt;&gt;""),'Arroz irrigado'!$E43:INDEX('Arroz irrigado'!$E43:$Z43,MIN(AB$6-$G$3,22))),0)))))</f>
        <v>0</v>
      </c>
      <c r="AC45" s="27" t="n">
        <f aca="false">IF(COUNT('Arroz irrigado'!$E43:$Z43)=0,0,MAX(0,IF((AC$6-$E$3)&lt;1,0,IFERROR(LOOKUP(2,1/('Arroz irrigado'!$E43:INDEX('Arroz irrigado'!$E43:$Z43,MIN(AC$6-$E$3,22))&lt;&gt;""),'Arroz irrigado'!$E43:INDEX('Arroz irrigado'!$E43:$Z43,MIN(AC$6-$E$3,22))),0))-IF($G$2,0,IF((AC$6-$G$3)&lt;1,0,IFERROR(LOOKUP(2,1/('Arroz irrigado'!$E43:INDEX('Arroz irrigado'!$E43:$Z43,MIN(AC$6-$G$3,22))&lt;&gt;""),'Arroz irrigado'!$E43:INDEX('Arroz irrigado'!$E43:$Z43,MIN(AC$6-$G$3,22))),0)))))</f>
        <v>0</v>
      </c>
      <c r="AD45" s="27" t="n">
        <f aca="false">IF(COUNT('Arroz irrigado'!$E43:$Z43)=0,0,MAX(0,IF((AD$6-$E$3)&lt;1,0,IFERROR(LOOKUP(2,1/('Arroz irrigado'!$E43:INDEX('Arroz irrigado'!$E43:$Z43,MIN(AD$6-$E$3,22))&lt;&gt;""),'Arroz irrigado'!$E43:INDEX('Arroz irrigado'!$E43:$Z43,MIN(AD$6-$E$3,22))),0))-IF($G$2,0,IF((AD$6-$G$3)&lt;1,0,IFERROR(LOOKUP(2,1/('Arroz irrigado'!$E43:INDEX('Arroz irrigado'!$E43:$Z43,MIN(AD$6-$G$3,22))&lt;&gt;""),'Arroz irrigado'!$E43:INDEX('Arroz irrigado'!$E43:$Z43,MIN(AD$6-$G$3,22))),0)))))</f>
        <v>0</v>
      </c>
      <c r="AE45" s="27" t="n">
        <f aca="false">IF(COUNT('Arroz irrigado'!$E43:$Z43)=0,0,MAX(0,IF((AE$6-$E$3)&lt;1,0,IFERROR(LOOKUP(2,1/('Arroz irrigado'!$E43:INDEX('Arroz irrigado'!$E43:$Z43,MIN(AE$6-$E$3,22))&lt;&gt;""),'Arroz irrigado'!$E43:INDEX('Arroz irrigado'!$E43:$Z43,MIN(AE$6-$E$3,22))),0))-IF($G$2,0,IF((AE$6-$G$3)&lt;1,0,IFERROR(LOOKUP(2,1/('Arroz irrigado'!$E43:INDEX('Arroz irrigado'!$E43:$Z43,MIN(AE$6-$G$3,22))&lt;&gt;""),'Arroz irrigado'!$E43:INDEX('Arroz irrigado'!$E43:$Z43,MIN(AE$6-$G$3,22))),0)))))</f>
        <v>0</v>
      </c>
      <c r="AF45" s="27" t="n">
        <f aca="false">IF(COUNT('Arroz irrigado'!$E43:$Z43)=0,0,MAX(0,IF((AF$6-$E$3)&lt;1,0,IFERROR(LOOKUP(2,1/('Arroz irrigado'!$E43:INDEX('Arroz irrigado'!$E43:$Z43,MIN(AF$6-$E$3,22))&lt;&gt;""),'Arroz irrigado'!$E43:INDEX('Arroz irrigado'!$E43:$Z43,MIN(AF$6-$E$3,22))),0))-IF($G$2,0,IF((AF$6-$G$3)&lt;1,0,IFERROR(LOOKUP(2,1/('Arroz irrigado'!$E43:INDEX('Arroz irrigado'!$E43:$Z43,MIN(AF$6-$G$3,22))&lt;&gt;""),'Arroz irrigado'!$E43:INDEX('Arroz irrigado'!$E43:$Z43,MIN(AF$6-$G$3,22))),0)))))</f>
        <v>0</v>
      </c>
      <c r="AG45" s="27" t="n">
        <f aca="false">IF(COUNT('Arroz irrigado'!$E43:$Z43)=0,0,MAX(0,IF((AG$6-$E$3)&lt;1,0,IFERROR(LOOKUP(2,1/('Arroz irrigado'!$E43:INDEX('Arroz irrigado'!$E43:$Z43,MIN(AG$6-$E$3,22))&lt;&gt;""),'Arroz irrigado'!$E43:INDEX('Arroz irrigado'!$E43:$Z43,MIN(AG$6-$E$3,22))),0))-IF($G$2,0,IF((AG$6-$G$3)&lt;1,0,IFERROR(LOOKUP(2,1/('Arroz irrigado'!$E43:INDEX('Arroz irrigado'!$E43:$Z43,MIN(AG$6-$G$3,22))&lt;&gt;""),'Arroz irrigado'!$E43:INDEX('Arroz irrigado'!$E43:$Z43,MIN(AG$6-$G$3,22))),0)))))</f>
        <v>0</v>
      </c>
      <c r="AH45" s="27" t="n">
        <f aca="false">IF(COUNT('Arroz irrigado'!$E43:$Z43)=0,0,MAX(0,IF((AH$6-$E$3)&lt;1,0,IFERROR(LOOKUP(2,1/('Arroz irrigado'!$E43:INDEX('Arroz irrigado'!$E43:$Z43,MIN(AH$6-$E$3,22))&lt;&gt;""),'Arroz irrigado'!$E43:INDEX('Arroz irrigado'!$E43:$Z43,MIN(AH$6-$E$3,22))),0))-IF($G$2,0,IF((AH$6-$G$3)&lt;1,0,IFERROR(LOOKUP(2,1/('Arroz irrigado'!$E43:INDEX('Arroz irrigado'!$E43:$Z43,MIN(AH$6-$G$3,22))&lt;&gt;""),'Arroz irrigado'!$E43:INDEX('Arroz irrigado'!$E43:$Z43,MIN(AH$6-$G$3,22))),0)))))</f>
        <v>0</v>
      </c>
      <c r="AI45" s="27" t="n">
        <f aca="false">IF(COUNT('Arroz irrigado'!$E43:$Z43)=0,0,MAX(0,IF((AI$6-$E$3)&lt;1,0,IFERROR(LOOKUP(2,1/('Arroz irrigado'!$E43:INDEX('Arroz irrigado'!$E43:$Z43,MIN(AI$6-$E$3,22))&lt;&gt;""),'Arroz irrigado'!$E43:INDEX('Arroz irrigado'!$E43:$Z43,MIN(AI$6-$E$3,22))),0))-IF($G$2,0,IF((AI$6-$G$3)&lt;1,0,IFERROR(LOOKUP(2,1/('Arroz irrigado'!$E43:INDEX('Arroz irrigado'!$E43:$Z43,MIN(AI$6-$G$3,22))&lt;&gt;""),'Arroz irrigado'!$E43:INDEX('Arroz irrigado'!$E43:$Z43,MIN(AI$6-$G$3,22))),0)))))</f>
        <v>0</v>
      </c>
      <c r="AJ45" s="27" t="n">
        <f aca="false">IF(COUNT('Arroz irrigado'!$E43:$Z43)=0,0,MAX(0,IF((AJ$6-$E$3)&lt;1,0,IFERROR(LOOKUP(2,1/('Arroz irrigado'!$E43:INDEX('Arroz irrigado'!$E43:$Z43,MIN(AJ$6-$E$3,22))&lt;&gt;""),'Arroz irrigado'!$E43:INDEX('Arroz irrigado'!$E43:$Z43,MIN(AJ$6-$E$3,22))),0))-IF($G$2,0,IF((AJ$6-$G$3)&lt;1,0,IFERROR(LOOKUP(2,1/('Arroz irrigado'!$E43:INDEX('Arroz irrigado'!$E43:$Z43,MIN(AJ$6-$G$3,22))&lt;&gt;""),'Arroz irrigado'!$E43:INDEX('Arroz irrigado'!$E43:$Z43,MIN(AJ$6-$G$3,22))),0)))))</f>
        <v>0</v>
      </c>
      <c r="AK45" s="27" t="n">
        <f aca="false">IF(COUNT('Arroz irrigado'!$E43:$Z43)=0,0,MAX(0,IF((AK$6-$E$3)&lt;1,0,IFERROR(LOOKUP(2,1/('Arroz irrigado'!$E43:INDEX('Arroz irrigado'!$E43:$Z43,MIN(AK$6-$E$3,22))&lt;&gt;""),'Arroz irrigado'!$E43:INDEX('Arroz irrigado'!$E43:$Z43,MIN(AK$6-$E$3,22))),0))-IF($G$2,0,IF((AK$6-$G$3)&lt;1,0,IFERROR(LOOKUP(2,1/('Arroz irrigado'!$E43:INDEX('Arroz irrigado'!$E43:$Z43,MIN(AK$6-$G$3,22))&lt;&gt;""),'Arroz irrigado'!$E43:INDEX('Arroz irrigado'!$E43:$Z43,MIN(AK$6-$G$3,22))),0)))))</f>
        <v>0</v>
      </c>
      <c r="AL45" s="27" t="n">
        <f aca="false">IF(COUNT('Arroz irrigado'!$E43:$Z43)=0,0,MAX(0,IF((AL$6-$E$3)&lt;1,0,IFERROR(LOOKUP(2,1/('Arroz irrigado'!$E43:INDEX('Arroz irrigado'!$E43:$Z43,MIN(AL$6-$E$3,22))&lt;&gt;""),'Arroz irrigado'!$E43:INDEX('Arroz irrigado'!$E43:$Z43,MIN(AL$6-$E$3,22))),0))-IF($G$2,0,IF((AL$6-$G$3)&lt;1,0,IFERROR(LOOKUP(2,1/('Arroz irrigado'!$E43:INDEX('Arroz irrigado'!$E43:$Z43,MIN(AL$6-$G$3,22))&lt;&gt;""),'Arroz irrigado'!$E43:INDEX('Arroz irrigado'!$E43:$Z43,MIN(AL$6-$G$3,22))),0)))))</f>
        <v>0</v>
      </c>
      <c r="AM45" s="27" t="n">
        <f aca="false">IF(COUNT('Arroz irrigado'!$E43:$Z43)=0,0,MAX(0,IF((AM$6-$E$3)&lt;1,0,IFERROR(LOOKUP(2,1/('Arroz irrigado'!$E43:INDEX('Arroz irrigado'!$E43:$Z43,MIN(AM$6-$E$3,22))&lt;&gt;""),'Arroz irrigado'!$E43:INDEX('Arroz irrigado'!$E43:$Z43,MIN(AM$6-$E$3,22))),0))-IF($G$2,0,IF((AM$6-$G$3)&lt;1,0,IFERROR(LOOKUP(2,1/('Arroz irrigado'!$E43:INDEX('Arroz irrigado'!$E43:$Z43,MIN(AM$6-$G$3,22))&lt;&gt;""),'Arroz irrigado'!$E43:INDEX('Arroz irrigado'!$E43:$Z43,MIN(AM$6-$G$3,22))),0)))))</f>
        <v>0</v>
      </c>
      <c r="AN45" s="27" t="n">
        <f aca="false">IF(COUNT('Arroz irrigado'!$E43:$Z43)=0,0,MAX(0,IF((AN$6-$E$3)&lt;1,0,IFERROR(LOOKUP(2,1/('Arroz irrigado'!$E43:INDEX('Arroz irrigado'!$E43:$Z43,MIN(AN$6-$E$3,22))&lt;&gt;""),'Arroz irrigado'!$E43:INDEX('Arroz irrigado'!$E43:$Z43,MIN(AN$6-$E$3,22))),0))-IF($G$2,0,IF((AN$6-$G$3)&lt;1,0,IFERROR(LOOKUP(2,1/('Arroz irrigado'!$E43:INDEX('Arroz irrigado'!$E43:$Z43,MIN(AN$6-$G$3,22))&lt;&gt;""),'Arroz irrigado'!$E43:INDEX('Arroz irrigado'!$E43:$Z43,MIN(AN$6-$G$3,22))),0)))))</f>
        <v>0</v>
      </c>
      <c r="AO45" s="27" t="n">
        <f aca="false">IF(COUNT('Arroz irrigado'!$E43:$Z43)=0,0,MAX(0,IF((AO$6-$E$3)&lt;1,0,IFERROR(LOOKUP(2,1/('Arroz irrigado'!$E43:INDEX('Arroz irrigado'!$E43:$Z43,MIN(AO$6-$E$3,22))&lt;&gt;""),'Arroz irrigado'!$E43:INDEX('Arroz irrigado'!$E43:$Z43,MIN(AO$6-$E$3,22))),0))-IF($G$2,0,IF((AO$6-$G$3)&lt;1,0,IFERROR(LOOKUP(2,1/('Arroz irrigado'!$E43:INDEX('Arroz irrigado'!$E43:$Z43,MIN(AO$6-$G$3,22))&lt;&gt;""),'Arroz irrigado'!$E43:INDEX('Arroz irrigado'!$E43:$Z43,MIN(AO$6-$G$3,22))),0)))))</f>
        <v>0</v>
      </c>
      <c r="AP45" s="27" t="n">
        <f aca="false">IF(COUNT('Arroz irrigado'!$E43:$Z43)=0,0,MAX(0,IF((AP$6-$E$3)&lt;1,0,IFERROR(LOOKUP(2,1/('Arroz irrigado'!$E43:INDEX('Arroz irrigado'!$E43:$Z43,MIN(AP$6-$E$3,22))&lt;&gt;""),'Arroz irrigado'!$E43:INDEX('Arroz irrigado'!$E43:$Z43,MIN(AP$6-$E$3,22))),0))-IF($G$2,0,IF((AP$6-$G$3)&lt;1,0,IFERROR(LOOKUP(2,1/('Arroz irrigado'!$E43:INDEX('Arroz irrigado'!$E43:$Z43,MIN(AP$6-$G$3,22))&lt;&gt;""),'Arroz irrigado'!$E43:INDEX('Arroz irrigado'!$E43:$Z43,MIN(AP$6-$G$3,22))),0)))))</f>
        <v>0</v>
      </c>
      <c r="AQ45" s="27" t="n">
        <f aca="false">IF(COUNT('Arroz irrigado'!$E43:$Z43)=0,0,MAX(0,IF((AQ$6-$E$3)&lt;1,0,IFERROR(LOOKUP(2,1/('Arroz irrigado'!$E43:INDEX('Arroz irrigado'!$E43:$Z43,MIN(AQ$6-$E$3,22))&lt;&gt;""),'Arroz irrigado'!$E43:INDEX('Arroz irrigado'!$E43:$Z43,MIN(AQ$6-$E$3,22))),0))-IF($G$2,0,IF((AQ$6-$G$3)&lt;1,0,IFERROR(LOOKUP(2,1/('Arroz irrigado'!$E43:INDEX('Arroz irrigado'!$E43:$Z43,MIN(AQ$6-$G$3,22))&lt;&gt;""),'Arroz irrigado'!$E43:INDEX('Arroz irrigado'!$E43:$Z43,MIN(AQ$6-$G$3,22))),0)))))</f>
        <v>0</v>
      </c>
      <c r="AR45" s="27" t="n">
        <f aca="false">IF(COUNT('Arroz irrigado'!$E43:$Z43)=0,0,MAX(0,IF((AR$6-$E$3)&lt;1,0,IFERROR(LOOKUP(2,1/('Arroz irrigado'!$E43:INDEX('Arroz irrigado'!$E43:$Z43,MIN(AR$6-$E$3,22))&lt;&gt;""),'Arroz irrigado'!$E43:INDEX('Arroz irrigado'!$E43:$Z43,MIN(AR$6-$E$3,22))),0))-IF($G$2,0,IF((AR$6-$G$3)&lt;1,0,IFERROR(LOOKUP(2,1/('Arroz irrigado'!$E43:INDEX('Arroz irrigado'!$E43:$Z43,MIN(AR$6-$G$3,22))&lt;&gt;""),'Arroz irrigado'!$E43:INDEX('Arroz irrigado'!$E43:$Z43,MIN(AR$6-$G$3,22))),0)))))</f>
        <v>0</v>
      </c>
      <c r="AS45" s="27" t="n">
        <f aca="false">IF(COUNT('Arroz irrigado'!$E43:$Z43)=0,0,MAX(0,IF((AS$6-$E$3)&lt;1,0,IFERROR(LOOKUP(2,1/('Arroz irrigado'!$E43:INDEX('Arroz irrigado'!$E43:$Z43,MIN(AS$6-$E$3,22))&lt;&gt;""),'Arroz irrigado'!$E43:INDEX('Arroz irrigado'!$E43:$Z43,MIN(AS$6-$E$3,22))),0))-IF($G$2,0,IF((AS$6-$G$3)&lt;1,0,IFERROR(LOOKUP(2,1/('Arroz irrigado'!$E43:INDEX('Arroz irrigado'!$E43:$Z43,MIN(AS$6-$G$3,22))&lt;&gt;""),'Arroz irrigado'!$E43:INDEX('Arroz irrigado'!$E43:$Z43,MIN(AS$6-$G$3,22))),0)))))</f>
        <v>0</v>
      </c>
      <c r="AT45" s="27" t="n">
        <f aca="false">IF(COUNT('Arroz irrigado'!$E43:$Z43)=0,0,MAX(0,IF((AT$6-$E$3)&lt;1,0,IFERROR(LOOKUP(2,1/('Arroz irrigado'!$E43:INDEX('Arroz irrigado'!$E43:$Z43,MIN(AT$6-$E$3,22))&lt;&gt;""),'Arroz irrigado'!$E43:INDEX('Arroz irrigado'!$E43:$Z43,MIN(AT$6-$E$3,22))),0))-IF($G$2,0,IF((AT$6-$G$3)&lt;1,0,IFERROR(LOOKUP(2,1/('Arroz irrigado'!$E43:INDEX('Arroz irrigado'!$E43:$Z43,MIN(AT$6-$G$3,22))&lt;&gt;""),'Arroz irrigado'!$E43:INDEX('Arroz irrigado'!$E43:$Z43,MIN(AT$6-$G$3,22))),0)))))</f>
        <v>0</v>
      </c>
      <c r="AU45" s="27" t="n">
        <f aca="false">IF(COUNT('Arroz irrigado'!$E43:$Z43)=0,0,MAX(0,IF((AU$6-$E$3)&lt;1,0,IFERROR(LOOKUP(2,1/('Arroz irrigado'!$E43:INDEX('Arroz irrigado'!$E43:$Z43,MIN(AU$6-$E$3,22))&lt;&gt;""),'Arroz irrigado'!$E43:INDEX('Arroz irrigado'!$E43:$Z43,MIN(AU$6-$E$3,22))),0))-IF($G$2,0,IF((AU$6-$G$3)&lt;1,0,IFERROR(LOOKUP(2,1/('Arroz irrigado'!$E43:INDEX('Arroz irrigado'!$E43:$Z43,MIN(AU$6-$G$3,22))&lt;&gt;""),'Arroz irrigado'!$E43:INDEX('Arroz irrigado'!$E43:$Z43,MIN(AU$6-$G$3,22))),0)))))</f>
        <v>0</v>
      </c>
      <c r="AV45" s="27" t="n">
        <f aca="false">IF(COUNT('Arroz irrigado'!$E43:$Z43)=0,0,MAX(0,IF((AV$6-$E$3)&lt;1,0,IFERROR(LOOKUP(2,1/('Arroz irrigado'!$E43:INDEX('Arroz irrigado'!$E43:$Z43,MIN(AV$6-$E$3,22))&lt;&gt;""),'Arroz irrigado'!$E43:INDEX('Arroz irrigado'!$E43:$Z43,MIN(AV$6-$E$3,22))),0))-IF($G$2,0,IF((AV$6-$G$3)&lt;1,0,IFERROR(LOOKUP(2,1/('Arroz irrigado'!$E43:INDEX('Arroz irrigado'!$E43:$Z43,MIN(AV$6-$G$3,22))&lt;&gt;""),'Arroz irrigado'!$E43:INDEX('Arroz irrigado'!$E43:$Z43,MIN(AV$6-$G$3,22))),0)))))</f>
        <v>0</v>
      </c>
      <c r="AW45" s="27" t="n">
        <f aca="false">IF(COUNT('Arroz irrigado'!$E43:$Z43)=0,0,MAX(0,IF((AW$6-$E$3)&lt;1,0,IFERROR(LOOKUP(2,1/('Arroz irrigado'!$E43:INDEX('Arroz irrigado'!$E43:$Z43,MIN(AW$6-$E$3,22))&lt;&gt;""),'Arroz irrigado'!$E43:INDEX('Arroz irrigado'!$E43:$Z43,MIN(AW$6-$E$3,22))),0))-IF($G$2,0,IF((AW$6-$G$3)&lt;1,0,IFERROR(LOOKUP(2,1/('Arroz irrigado'!$E43:INDEX('Arroz irrigado'!$E43:$Z43,MIN(AW$6-$G$3,22))&lt;&gt;""),'Arroz irrigado'!$E43:INDEX('Arroz irrigado'!$E43:$Z43,MIN(AW$6-$G$3,22))),0)))))</f>
        <v>0</v>
      </c>
      <c r="AX45" s="27" t="n">
        <f aca="false">IF(COUNT('Arroz irrigado'!$E43:$Z43)=0,0,MAX(0,IF((AX$6-$E$3)&lt;1,0,IFERROR(LOOKUP(2,1/('Arroz irrigado'!$E43:INDEX('Arroz irrigado'!$E43:$Z43,MIN(AX$6-$E$3,22))&lt;&gt;""),'Arroz irrigado'!$E43:INDEX('Arroz irrigado'!$E43:$Z43,MIN(AX$6-$E$3,22))),0))-IF($G$2,0,IF((AX$6-$G$3)&lt;1,0,IFERROR(LOOKUP(2,1/('Arroz irrigado'!$E43:INDEX('Arroz irrigado'!$E43:$Z43,MIN(AX$6-$G$3,22))&lt;&gt;""),'Arroz irrigado'!$E43:INDEX('Arroz irrigado'!$E43:$Z43,MIN(AX$6-$G$3,22))),0)))))</f>
        <v>0</v>
      </c>
      <c r="AY45" s="27" t="n">
        <f aca="false">IF(COUNT('Arroz irrigado'!$E43:$Z43)=0,0,MAX(0,IF((AY$6-$E$3)&lt;1,0,IFERROR(LOOKUP(2,1/('Arroz irrigado'!$E43:INDEX('Arroz irrigado'!$E43:$Z43,MIN(AY$6-$E$3,22))&lt;&gt;""),'Arroz irrigado'!$E43:INDEX('Arroz irrigado'!$E43:$Z43,MIN(AY$6-$E$3,22))),0))-IF($G$2,0,IF((AY$6-$G$3)&lt;1,0,IFERROR(LOOKUP(2,1/('Arroz irrigado'!$E43:INDEX('Arroz irrigado'!$E43:$Z43,MIN(AY$6-$G$3,22))&lt;&gt;""),'Arroz irrigado'!$E43:INDEX('Arroz irrigado'!$E43:$Z43,MIN(AY$6-$G$3,22))),0)))))</f>
        <v>0</v>
      </c>
      <c r="AZ45" s="27" t="n">
        <f aca="false">IF(COUNT('Arroz irrigado'!$E43:$Z43)=0,0,MAX(0,IF((AZ$6-$E$3)&lt;1,0,IFERROR(LOOKUP(2,1/('Arroz irrigado'!$E43:INDEX('Arroz irrigado'!$E43:$Z43,MIN(AZ$6-$E$3,22))&lt;&gt;""),'Arroz irrigado'!$E43:INDEX('Arroz irrigado'!$E43:$Z43,MIN(AZ$6-$E$3,22))),0))-IF($G$2,0,IF((AZ$6-$G$3)&lt;1,0,IFERROR(LOOKUP(2,1/('Arroz irrigado'!$E43:INDEX('Arroz irrigado'!$E43:$Z43,MIN(AZ$6-$G$3,22))&lt;&gt;""),'Arroz irrigado'!$E43:INDEX('Arroz irrigado'!$E43:$Z43,MIN(AZ$6-$G$3,22))),0)))))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IF(COUNT('Arroz irrigado'!$E44:$Z44)&gt;0,N('Arroz irrigado'!$D44),0)</f>
        <v>0</v>
      </c>
      <c r="E46" s="27" t="n">
        <f aca="false">IF(COUNT('Arroz irrigado'!$E44:$Z44)=0,0,MAX(0,IF((E$6-$E$3)&lt;1,0,IFERROR(LOOKUP(2,1/('Arroz irrigado'!$E44:INDEX('Arroz irrigado'!$E44:$Z44,MIN(E$6-$E$3,22))&lt;&gt;""),'Arroz irrigado'!$E44:INDEX('Arroz irrigado'!$E44:$Z44,MIN(E$6-$E$3,22))),0))-IF($G$2,0,IF((E$6-$G$3)&lt;1,0,IFERROR(LOOKUP(2,1/('Arroz irrigado'!$E44:INDEX('Arroz irrigado'!$E44:$Z44,MIN(E$6-$G$3,22))&lt;&gt;""),'Arroz irrigado'!$E44:INDEX('Arroz irrigado'!$E44:$Z44,MIN(E$6-$G$3,22))),0)))))</f>
        <v>0</v>
      </c>
      <c r="F46" s="27" t="n">
        <f aca="false">IF(COUNT('Arroz irrigado'!$E44:$Z44)=0,0,MAX(0,IF((F$6-$E$3)&lt;1,0,IFERROR(LOOKUP(2,1/('Arroz irrigado'!$E44:INDEX('Arroz irrigado'!$E44:$Z44,MIN(F$6-$E$3,22))&lt;&gt;""),'Arroz irrigado'!$E44:INDEX('Arroz irrigado'!$E44:$Z44,MIN(F$6-$E$3,22))),0))-IF($G$2,0,IF((F$6-$G$3)&lt;1,0,IFERROR(LOOKUP(2,1/('Arroz irrigado'!$E44:INDEX('Arroz irrigado'!$E44:$Z44,MIN(F$6-$G$3,22))&lt;&gt;""),'Arroz irrigado'!$E44:INDEX('Arroz irrigado'!$E44:$Z44,MIN(F$6-$G$3,22))),0)))))</f>
        <v>0</v>
      </c>
      <c r="G46" s="27" t="n">
        <f aca="false">IF(COUNT('Arroz irrigado'!$E44:$Z44)=0,0,MAX(0,IF((G$6-$E$3)&lt;1,0,IFERROR(LOOKUP(2,1/('Arroz irrigado'!$E44:INDEX('Arroz irrigado'!$E44:$Z44,MIN(G$6-$E$3,22))&lt;&gt;""),'Arroz irrigado'!$E44:INDEX('Arroz irrigado'!$E44:$Z44,MIN(G$6-$E$3,22))),0))-IF($G$2,0,IF((G$6-$G$3)&lt;1,0,IFERROR(LOOKUP(2,1/('Arroz irrigado'!$E44:INDEX('Arroz irrigado'!$E44:$Z44,MIN(G$6-$G$3,22))&lt;&gt;""),'Arroz irrigado'!$E44:INDEX('Arroz irrigado'!$E44:$Z44,MIN(G$6-$G$3,22))),0)))))</f>
        <v>0</v>
      </c>
      <c r="H46" s="27" t="n">
        <f aca="false">IF(COUNT('Arroz irrigado'!$E44:$Z44)=0,0,MAX(0,IF((H$6-$E$3)&lt;1,0,IFERROR(LOOKUP(2,1/('Arroz irrigado'!$E44:INDEX('Arroz irrigado'!$E44:$Z44,MIN(H$6-$E$3,22))&lt;&gt;""),'Arroz irrigado'!$E44:INDEX('Arroz irrigado'!$E44:$Z44,MIN(H$6-$E$3,22))),0))-IF($G$2,0,IF((H$6-$G$3)&lt;1,0,IFERROR(LOOKUP(2,1/('Arroz irrigado'!$E44:INDEX('Arroz irrigado'!$E44:$Z44,MIN(H$6-$G$3,22))&lt;&gt;""),'Arroz irrigado'!$E44:INDEX('Arroz irrigado'!$E44:$Z44,MIN(H$6-$G$3,22))),0)))))</f>
        <v>0</v>
      </c>
      <c r="I46" s="27" t="n">
        <f aca="false">IF(COUNT('Arroz irrigado'!$E44:$Z44)=0,0,MAX(0,IF((I$6-$E$3)&lt;1,0,IFERROR(LOOKUP(2,1/('Arroz irrigado'!$E44:INDEX('Arroz irrigado'!$E44:$Z44,MIN(I$6-$E$3,22))&lt;&gt;""),'Arroz irrigado'!$E44:INDEX('Arroz irrigado'!$E44:$Z44,MIN(I$6-$E$3,22))),0))-IF($G$2,0,IF((I$6-$G$3)&lt;1,0,IFERROR(LOOKUP(2,1/('Arroz irrigado'!$E44:INDEX('Arroz irrigado'!$E44:$Z44,MIN(I$6-$G$3,22))&lt;&gt;""),'Arroz irrigado'!$E44:INDEX('Arroz irrigado'!$E44:$Z44,MIN(I$6-$G$3,22))),0)))))</f>
        <v>0</v>
      </c>
      <c r="J46" s="27" t="n">
        <f aca="false">IF(COUNT('Arroz irrigado'!$E44:$Z44)=0,0,MAX(0,IF((J$6-$E$3)&lt;1,0,IFERROR(LOOKUP(2,1/('Arroz irrigado'!$E44:INDEX('Arroz irrigado'!$E44:$Z44,MIN(J$6-$E$3,22))&lt;&gt;""),'Arroz irrigado'!$E44:INDEX('Arroz irrigado'!$E44:$Z44,MIN(J$6-$E$3,22))),0))-IF($G$2,0,IF((J$6-$G$3)&lt;1,0,IFERROR(LOOKUP(2,1/('Arroz irrigado'!$E44:INDEX('Arroz irrigado'!$E44:$Z44,MIN(J$6-$G$3,22))&lt;&gt;""),'Arroz irrigado'!$E44:INDEX('Arroz irrigado'!$E44:$Z44,MIN(J$6-$G$3,22))),0)))))</f>
        <v>0</v>
      </c>
      <c r="K46" s="27" t="n">
        <f aca="false">IF(COUNT('Arroz irrigado'!$E44:$Z44)=0,0,MAX(0,IF((K$6-$E$3)&lt;1,0,IFERROR(LOOKUP(2,1/('Arroz irrigado'!$E44:INDEX('Arroz irrigado'!$E44:$Z44,MIN(K$6-$E$3,22))&lt;&gt;""),'Arroz irrigado'!$E44:INDEX('Arroz irrigado'!$E44:$Z44,MIN(K$6-$E$3,22))),0))-IF($G$2,0,IF((K$6-$G$3)&lt;1,0,IFERROR(LOOKUP(2,1/('Arroz irrigado'!$E44:INDEX('Arroz irrigado'!$E44:$Z44,MIN(K$6-$G$3,22))&lt;&gt;""),'Arroz irrigado'!$E44:INDEX('Arroz irrigado'!$E44:$Z44,MIN(K$6-$G$3,22))),0)))))</f>
        <v>0</v>
      </c>
      <c r="L46" s="27" t="n">
        <f aca="false">IF(COUNT('Arroz irrigado'!$E44:$Z44)=0,0,MAX(0,IF((L$6-$E$3)&lt;1,0,IFERROR(LOOKUP(2,1/('Arroz irrigado'!$E44:INDEX('Arroz irrigado'!$E44:$Z44,MIN(L$6-$E$3,22))&lt;&gt;""),'Arroz irrigado'!$E44:INDEX('Arroz irrigado'!$E44:$Z44,MIN(L$6-$E$3,22))),0))-IF($G$2,0,IF((L$6-$G$3)&lt;1,0,IFERROR(LOOKUP(2,1/('Arroz irrigado'!$E44:INDEX('Arroz irrigado'!$E44:$Z44,MIN(L$6-$G$3,22))&lt;&gt;""),'Arroz irrigado'!$E44:INDEX('Arroz irrigado'!$E44:$Z44,MIN(L$6-$G$3,22))),0)))))</f>
        <v>0</v>
      </c>
      <c r="M46" s="27" t="n">
        <f aca="false">IF(COUNT('Arroz irrigado'!$E44:$Z44)=0,0,MAX(0,IF((M$6-$E$3)&lt;1,0,IFERROR(LOOKUP(2,1/('Arroz irrigado'!$E44:INDEX('Arroz irrigado'!$E44:$Z44,MIN(M$6-$E$3,22))&lt;&gt;""),'Arroz irrigado'!$E44:INDEX('Arroz irrigado'!$E44:$Z44,MIN(M$6-$E$3,22))),0))-IF($G$2,0,IF((M$6-$G$3)&lt;1,0,IFERROR(LOOKUP(2,1/('Arroz irrigado'!$E44:INDEX('Arroz irrigado'!$E44:$Z44,MIN(M$6-$G$3,22))&lt;&gt;""),'Arroz irrigado'!$E44:INDEX('Arroz irrigado'!$E44:$Z44,MIN(M$6-$G$3,22))),0)))))</f>
        <v>0</v>
      </c>
      <c r="N46" s="27" t="n">
        <f aca="false">IF(COUNT('Arroz irrigado'!$E44:$Z44)=0,0,MAX(0,IF((N$6-$E$3)&lt;1,0,IFERROR(LOOKUP(2,1/('Arroz irrigado'!$E44:INDEX('Arroz irrigado'!$E44:$Z44,MIN(N$6-$E$3,22))&lt;&gt;""),'Arroz irrigado'!$E44:INDEX('Arroz irrigado'!$E44:$Z44,MIN(N$6-$E$3,22))),0))-IF($G$2,0,IF((N$6-$G$3)&lt;1,0,IFERROR(LOOKUP(2,1/('Arroz irrigado'!$E44:INDEX('Arroz irrigado'!$E44:$Z44,MIN(N$6-$G$3,22))&lt;&gt;""),'Arroz irrigado'!$E44:INDEX('Arroz irrigado'!$E44:$Z44,MIN(N$6-$G$3,22))),0)))))</f>
        <v>0</v>
      </c>
      <c r="O46" s="27" t="n">
        <f aca="false">IF(COUNT('Arroz irrigado'!$E44:$Z44)=0,0,MAX(0,IF((O$6-$E$3)&lt;1,0,IFERROR(LOOKUP(2,1/('Arroz irrigado'!$E44:INDEX('Arroz irrigado'!$E44:$Z44,MIN(O$6-$E$3,22))&lt;&gt;""),'Arroz irrigado'!$E44:INDEX('Arroz irrigado'!$E44:$Z44,MIN(O$6-$E$3,22))),0))-IF($G$2,0,IF((O$6-$G$3)&lt;1,0,IFERROR(LOOKUP(2,1/('Arroz irrigado'!$E44:INDEX('Arroz irrigado'!$E44:$Z44,MIN(O$6-$G$3,22))&lt;&gt;""),'Arroz irrigado'!$E44:INDEX('Arroz irrigado'!$E44:$Z44,MIN(O$6-$G$3,22))),0)))))</f>
        <v>0</v>
      </c>
      <c r="P46" s="27" t="n">
        <f aca="false">IF(COUNT('Arroz irrigado'!$E44:$Z44)=0,0,MAX(0,IF((P$6-$E$3)&lt;1,0,IFERROR(LOOKUP(2,1/('Arroz irrigado'!$E44:INDEX('Arroz irrigado'!$E44:$Z44,MIN(P$6-$E$3,22))&lt;&gt;""),'Arroz irrigado'!$E44:INDEX('Arroz irrigado'!$E44:$Z44,MIN(P$6-$E$3,22))),0))-IF($G$2,0,IF((P$6-$G$3)&lt;1,0,IFERROR(LOOKUP(2,1/('Arroz irrigado'!$E44:INDEX('Arroz irrigado'!$E44:$Z44,MIN(P$6-$G$3,22))&lt;&gt;""),'Arroz irrigado'!$E44:INDEX('Arroz irrigado'!$E44:$Z44,MIN(P$6-$G$3,22))),0)))))</f>
        <v>0</v>
      </c>
      <c r="Q46" s="27" t="n">
        <f aca="false">IF(COUNT('Arroz irrigado'!$E44:$Z44)=0,0,MAX(0,IF((Q$6-$E$3)&lt;1,0,IFERROR(LOOKUP(2,1/('Arroz irrigado'!$E44:INDEX('Arroz irrigado'!$E44:$Z44,MIN(Q$6-$E$3,22))&lt;&gt;""),'Arroz irrigado'!$E44:INDEX('Arroz irrigado'!$E44:$Z44,MIN(Q$6-$E$3,22))),0))-IF($G$2,0,IF((Q$6-$G$3)&lt;1,0,IFERROR(LOOKUP(2,1/('Arroz irrigado'!$E44:INDEX('Arroz irrigado'!$E44:$Z44,MIN(Q$6-$G$3,22))&lt;&gt;""),'Arroz irrigado'!$E44:INDEX('Arroz irrigado'!$E44:$Z44,MIN(Q$6-$G$3,22))),0)))))</f>
        <v>0</v>
      </c>
      <c r="R46" s="27" t="n">
        <f aca="false">IF(COUNT('Arroz irrigado'!$E44:$Z44)=0,0,MAX(0,IF((R$6-$E$3)&lt;1,0,IFERROR(LOOKUP(2,1/('Arroz irrigado'!$E44:INDEX('Arroz irrigado'!$E44:$Z44,MIN(R$6-$E$3,22))&lt;&gt;""),'Arroz irrigado'!$E44:INDEX('Arroz irrigado'!$E44:$Z44,MIN(R$6-$E$3,22))),0))-IF($G$2,0,IF((R$6-$G$3)&lt;1,0,IFERROR(LOOKUP(2,1/('Arroz irrigado'!$E44:INDEX('Arroz irrigado'!$E44:$Z44,MIN(R$6-$G$3,22))&lt;&gt;""),'Arroz irrigado'!$E44:INDEX('Arroz irrigado'!$E44:$Z44,MIN(R$6-$G$3,22))),0)))))</f>
        <v>0</v>
      </c>
      <c r="S46" s="27" t="n">
        <f aca="false">IF(COUNT('Arroz irrigado'!$E44:$Z44)=0,0,MAX(0,IF((S$6-$E$3)&lt;1,0,IFERROR(LOOKUP(2,1/('Arroz irrigado'!$E44:INDEX('Arroz irrigado'!$E44:$Z44,MIN(S$6-$E$3,22))&lt;&gt;""),'Arroz irrigado'!$E44:INDEX('Arroz irrigado'!$E44:$Z44,MIN(S$6-$E$3,22))),0))-IF($G$2,0,IF((S$6-$G$3)&lt;1,0,IFERROR(LOOKUP(2,1/('Arroz irrigado'!$E44:INDEX('Arroz irrigado'!$E44:$Z44,MIN(S$6-$G$3,22))&lt;&gt;""),'Arroz irrigado'!$E44:INDEX('Arroz irrigado'!$E44:$Z44,MIN(S$6-$G$3,22))),0)))))</f>
        <v>0</v>
      </c>
      <c r="T46" s="27" t="n">
        <f aca="false">IF(COUNT('Arroz irrigado'!$E44:$Z44)=0,0,MAX(0,IF((T$6-$E$3)&lt;1,0,IFERROR(LOOKUP(2,1/('Arroz irrigado'!$E44:INDEX('Arroz irrigado'!$E44:$Z44,MIN(T$6-$E$3,22))&lt;&gt;""),'Arroz irrigado'!$E44:INDEX('Arroz irrigado'!$E44:$Z44,MIN(T$6-$E$3,22))),0))-IF($G$2,0,IF((T$6-$G$3)&lt;1,0,IFERROR(LOOKUP(2,1/('Arroz irrigado'!$E44:INDEX('Arroz irrigado'!$E44:$Z44,MIN(T$6-$G$3,22))&lt;&gt;""),'Arroz irrigado'!$E44:INDEX('Arroz irrigado'!$E44:$Z44,MIN(T$6-$G$3,22))),0)))))</f>
        <v>0</v>
      </c>
      <c r="U46" s="27" t="n">
        <f aca="false">IF(COUNT('Arroz irrigado'!$E44:$Z44)=0,0,MAX(0,IF((U$6-$E$3)&lt;1,0,IFERROR(LOOKUP(2,1/('Arroz irrigado'!$E44:INDEX('Arroz irrigado'!$E44:$Z44,MIN(U$6-$E$3,22))&lt;&gt;""),'Arroz irrigado'!$E44:INDEX('Arroz irrigado'!$E44:$Z44,MIN(U$6-$E$3,22))),0))-IF($G$2,0,IF((U$6-$G$3)&lt;1,0,IFERROR(LOOKUP(2,1/('Arroz irrigado'!$E44:INDEX('Arroz irrigado'!$E44:$Z44,MIN(U$6-$G$3,22))&lt;&gt;""),'Arroz irrigado'!$E44:INDEX('Arroz irrigado'!$E44:$Z44,MIN(U$6-$G$3,22))),0)))))</f>
        <v>0</v>
      </c>
      <c r="V46" s="27" t="n">
        <f aca="false">IF(COUNT('Arroz irrigado'!$E44:$Z44)=0,0,MAX(0,IF((V$6-$E$3)&lt;1,0,IFERROR(LOOKUP(2,1/('Arroz irrigado'!$E44:INDEX('Arroz irrigado'!$E44:$Z44,MIN(V$6-$E$3,22))&lt;&gt;""),'Arroz irrigado'!$E44:INDEX('Arroz irrigado'!$E44:$Z44,MIN(V$6-$E$3,22))),0))-IF($G$2,0,IF((V$6-$G$3)&lt;1,0,IFERROR(LOOKUP(2,1/('Arroz irrigado'!$E44:INDEX('Arroz irrigado'!$E44:$Z44,MIN(V$6-$G$3,22))&lt;&gt;""),'Arroz irrigado'!$E44:INDEX('Arroz irrigado'!$E44:$Z44,MIN(V$6-$G$3,22))),0)))))</f>
        <v>0</v>
      </c>
      <c r="W46" s="27" t="n">
        <f aca="false">IF(COUNT('Arroz irrigado'!$E44:$Z44)=0,0,MAX(0,IF((W$6-$E$3)&lt;1,0,IFERROR(LOOKUP(2,1/('Arroz irrigado'!$E44:INDEX('Arroz irrigado'!$E44:$Z44,MIN(W$6-$E$3,22))&lt;&gt;""),'Arroz irrigado'!$E44:INDEX('Arroz irrigado'!$E44:$Z44,MIN(W$6-$E$3,22))),0))-IF($G$2,0,IF((W$6-$G$3)&lt;1,0,IFERROR(LOOKUP(2,1/('Arroz irrigado'!$E44:INDEX('Arroz irrigado'!$E44:$Z44,MIN(W$6-$G$3,22))&lt;&gt;""),'Arroz irrigado'!$E44:INDEX('Arroz irrigado'!$E44:$Z44,MIN(W$6-$G$3,22))),0)))))</f>
        <v>0</v>
      </c>
      <c r="X46" s="27" t="n">
        <f aca="false">IF(COUNT('Arroz irrigado'!$E44:$Z44)=0,0,MAX(0,IF((X$6-$E$3)&lt;1,0,IFERROR(LOOKUP(2,1/('Arroz irrigado'!$E44:INDEX('Arroz irrigado'!$E44:$Z44,MIN(X$6-$E$3,22))&lt;&gt;""),'Arroz irrigado'!$E44:INDEX('Arroz irrigado'!$E44:$Z44,MIN(X$6-$E$3,22))),0))-IF($G$2,0,IF((X$6-$G$3)&lt;1,0,IFERROR(LOOKUP(2,1/('Arroz irrigado'!$E44:INDEX('Arroz irrigado'!$E44:$Z44,MIN(X$6-$G$3,22))&lt;&gt;""),'Arroz irrigado'!$E44:INDEX('Arroz irrigado'!$E44:$Z44,MIN(X$6-$G$3,22))),0)))))</f>
        <v>0</v>
      </c>
      <c r="Y46" s="27" t="n">
        <f aca="false">IF(COUNT('Arroz irrigado'!$E44:$Z44)=0,0,MAX(0,IF((Y$6-$E$3)&lt;1,0,IFERROR(LOOKUP(2,1/('Arroz irrigado'!$E44:INDEX('Arroz irrigado'!$E44:$Z44,MIN(Y$6-$E$3,22))&lt;&gt;""),'Arroz irrigado'!$E44:INDEX('Arroz irrigado'!$E44:$Z44,MIN(Y$6-$E$3,22))),0))-IF($G$2,0,IF((Y$6-$G$3)&lt;1,0,IFERROR(LOOKUP(2,1/('Arroz irrigado'!$E44:INDEX('Arroz irrigado'!$E44:$Z44,MIN(Y$6-$G$3,22))&lt;&gt;""),'Arroz irrigado'!$E44:INDEX('Arroz irrigado'!$E44:$Z44,MIN(Y$6-$G$3,22))),0)))))</f>
        <v>0</v>
      </c>
      <c r="Z46" s="27" t="n">
        <f aca="false">IF(COUNT('Arroz irrigado'!$E44:$Z44)=0,0,MAX(0,IF((Z$6-$E$3)&lt;1,0,IFERROR(LOOKUP(2,1/('Arroz irrigado'!$E44:INDEX('Arroz irrigado'!$E44:$Z44,MIN(Z$6-$E$3,22))&lt;&gt;""),'Arroz irrigado'!$E44:INDEX('Arroz irrigado'!$E44:$Z44,MIN(Z$6-$E$3,22))),0))-IF($G$2,0,IF((Z$6-$G$3)&lt;1,0,IFERROR(LOOKUP(2,1/('Arroz irrigado'!$E44:INDEX('Arroz irrigado'!$E44:$Z44,MIN(Z$6-$G$3,22))&lt;&gt;""),'Arroz irrigado'!$E44:INDEX('Arroz irrigado'!$E44:$Z44,MIN(Z$6-$G$3,22))),0)))))</f>
        <v>0</v>
      </c>
      <c r="AA46" s="27" t="n">
        <f aca="false">IF(COUNT('Arroz irrigado'!$E44:$Z44)=0,0,MAX(0,IF((AA$6-$E$3)&lt;1,0,IFERROR(LOOKUP(2,1/('Arroz irrigado'!$E44:INDEX('Arroz irrigado'!$E44:$Z44,MIN(AA$6-$E$3,22))&lt;&gt;""),'Arroz irrigado'!$E44:INDEX('Arroz irrigado'!$E44:$Z44,MIN(AA$6-$E$3,22))),0))-IF($G$2,0,IF((AA$6-$G$3)&lt;1,0,IFERROR(LOOKUP(2,1/('Arroz irrigado'!$E44:INDEX('Arroz irrigado'!$E44:$Z44,MIN(AA$6-$G$3,22))&lt;&gt;""),'Arroz irrigado'!$E44:INDEX('Arroz irrigado'!$E44:$Z44,MIN(AA$6-$G$3,22))),0)))))</f>
        <v>0</v>
      </c>
      <c r="AB46" s="27" t="n">
        <f aca="false">IF(COUNT('Arroz irrigado'!$E44:$Z44)=0,0,MAX(0,IF((AB$6-$E$3)&lt;1,0,IFERROR(LOOKUP(2,1/('Arroz irrigado'!$E44:INDEX('Arroz irrigado'!$E44:$Z44,MIN(AB$6-$E$3,22))&lt;&gt;""),'Arroz irrigado'!$E44:INDEX('Arroz irrigado'!$E44:$Z44,MIN(AB$6-$E$3,22))),0))-IF($G$2,0,IF((AB$6-$G$3)&lt;1,0,IFERROR(LOOKUP(2,1/('Arroz irrigado'!$E44:INDEX('Arroz irrigado'!$E44:$Z44,MIN(AB$6-$G$3,22))&lt;&gt;""),'Arroz irrigado'!$E44:INDEX('Arroz irrigado'!$E44:$Z44,MIN(AB$6-$G$3,22))),0)))))</f>
        <v>0</v>
      </c>
      <c r="AC46" s="27" t="n">
        <f aca="false">IF(COUNT('Arroz irrigado'!$E44:$Z44)=0,0,MAX(0,IF((AC$6-$E$3)&lt;1,0,IFERROR(LOOKUP(2,1/('Arroz irrigado'!$E44:INDEX('Arroz irrigado'!$E44:$Z44,MIN(AC$6-$E$3,22))&lt;&gt;""),'Arroz irrigado'!$E44:INDEX('Arroz irrigado'!$E44:$Z44,MIN(AC$6-$E$3,22))),0))-IF($G$2,0,IF((AC$6-$G$3)&lt;1,0,IFERROR(LOOKUP(2,1/('Arroz irrigado'!$E44:INDEX('Arroz irrigado'!$E44:$Z44,MIN(AC$6-$G$3,22))&lt;&gt;""),'Arroz irrigado'!$E44:INDEX('Arroz irrigado'!$E44:$Z44,MIN(AC$6-$G$3,22))),0)))))</f>
        <v>0</v>
      </c>
      <c r="AD46" s="27" t="n">
        <f aca="false">IF(COUNT('Arroz irrigado'!$E44:$Z44)=0,0,MAX(0,IF((AD$6-$E$3)&lt;1,0,IFERROR(LOOKUP(2,1/('Arroz irrigado'!$E44:INDEX('Arroz irrigado'!$E44:$Z44,MIN(AD$6-$E$3,22))&lt;&gt;""),'Arroz irrigado'!$E44:INDEX('Arroz irrigado'!$E44:$Z44,MIN(AD$6-$E$3,22))),0))-IF($G$2,0,IF((AD$6-$G$3)&lt;1,0,IFERROR(LOOKUP(2,1/('Arroz irrigado'!$E44:INDEX('Arroz irrigado'!$E44:$Z44,MIN(AD$6-$G$3,22))&lt;&gt;""),'Arroz irrigado'!$E44:INDEX('Arroz irrigado'!$E44:$Z44,MIN(AD$6-$G$3,22))),0)))))</f>
        <v>0</v>
      </c>
      <c r="AE46" s="27" t="n">
        <f aca="false">IF(COUNT('Arroz irrigado'!$E44:$Z44)=0,0,MAX(0,IF((AE$6-$E$3)&lt;1,0,IFERROR(LOOKUP(2,1/('Arroz irrigado'!$E44:INDEX('Arroz irrigado'!$E44:$Z44,MIN(AE$6-$E$3,22))&lt;&gt;""),'Arroz irrigado'!$E44:INDEX('Arroz irrigado'!$E44:$Z44,MIN(AE$6-$E$3,22))),0))-IF($G$2,0,IF((AE$6-$G$3)&lt;1,0,IFERROR(LOOKUP(2,1/('Arroz irrigado'!$E44:INDEX('Arroz irrigado'!$E44:$Z44,MIN(AE$6-$G$3,22))&lt;&gt;""),'Arroz irrigado'!$E44:INDEX('Arroz irrigado'!$E44:$Z44,MIN(AE$6-$G$3,22))),0)))))</f>
        <v>0</v>
      </c>
      <c r="AF46" s="27" t="n">
        <f aca="false">IF(COUNT('Arroz irrigado'!$E44:$Z44)=0,0,MAX(0,IF((AF$6-$E$3)&lt;1,0,IFERROR(LOOKUP(2,1/('Arroz irrigado'!$E44:INDEX('Arroz irrigado'!$E44:$Z44,MIN(AF$6-$E$3,22))&lt;&gt;""),'Arroz irrigado'!$E44:INDEX('Arroz irrigado'!$E44:$Z44,MIN(AF$6-$E$3,22))),0))-IF($G$2,0,IF((AF$6-$G$3)&lt;1,0,IFERROR(LOOKUP(2,1/('Arroz irrigado'!$E44:INDEX('Arroz irrigado'!$E44:$Z44,MIN(AF$6-$G$3,22))&lt;&gt;""),'Arroz irrigado'!$E44:INDEX('Arroz irrigado'!$E44:$Z44,MIN(AF$6-$G$3,22))),0)))))</f>
        <v>0</v>
      </c>
      <c r="AG46" s="27" t="n">
        <f aca="false">IF(COUNT('Arroz irrigado'!$E44:$Z44)=0,0,MAX(0,IF((AG$6-$E$3)&lt;1,0,IFERROR(LOOKUP(2,1/('Arroz irrigado'!$E44:INDEX('Arroz irrigado'!$E44:$Z44,MIN(AG$6-$E$3,22))&lt;&gt;""),'Arroz irrigado'!$E44:INDEX('Arroz irrigado'!$E44:$Z44,MIN(AG$6-$E$3,22))),0))-IF($G$2,0,IF((AG$6-$G$3)&lt;1,0,IFERROR(LOOKUP(2,1/('Arroz irrigado'!$E44:INDEX('Arroz irrigado'!$E44:$Z44,MIN(AG$6-$G$3,22))&lt;&gt;""),'Arroz irrigado'!$E44:INDEX('Arroz irrigado'!$E44:$Z44,MIN(AG$6-$G$3,22))),0)))))</f>
        <v>0</v>
      </c>
      <c r="AH46" s="27" t="n">
        <f aca="false">IF(COUNT('Arroz irrigado'!$E44:$Z44)=0,0,MAX(0,IF((AH$6-$E$3)&lt;1,0,IFERROR(LOOKUP(2,1/('Arroz irrigado'!$E44:INDEX('Arroz irrigado'!$E44:$Z44,MIN(AH$6-$E$3,22))&lt;&gt;""),'Arroz irrigado'!$E44:INDEX('Arroz irrigado'!$E44:$Z44,MIN(AH$6-$E$3,22))),0))-IF($G$2,0,IF((AH$6-$G$3)&lt;1,0,IFERROR(LOOKUP(2,1/('Arroz irrigado'!$E44:INDEX('Arroz irrigado'!$E44:$Z44,MIN(AH$6-$G$3,22))&lt;&gt;""),'Arroz irrigado'!$E44:INDEX('Arroz irrigado'!$E44:$Z44,MIN(AH$6-$G$3,22))),0)))))</f>
        <v>0</v>
      </c>
      <c r="AI46" s="27" t="n">
        <f aca="false">IF(COUNT('Arroz irrigado'!$E44:$Z44)=0,0,MAX(0,IF((AI$6-$E$3)&lt;1,0,IFERROR(LOOKUP(2,1/('Arroz irrigado'!$E44:INDEX('Arroz irrigado'!$E44:$Z44,MIN(AI$6-$E$3,22))&lt;&gt;""),'Arroz irrigado'!$E44:INDEX('Arroz irrigado'!$E44:$Z44,MIN(AI$6-$E$3,22))),0))-IF($G$2,0,IF((AI$6-$G$3)&lt;1,0,IFERROR(LOOKUP(2,1/('Arroz irrigado'!$E44:INDEX('Arroz irrigado'!$E44:$Z44,MIN(AI$6-$G$3,22))&lt;&gt;""),'Arroz irrigado'!$E44:INDEX('Arroz irrigado'!$E44:$Z44,MIN(AI$6-$G$3,22))),0)))))</f>
        <v>0</v>
      </c>
      <c r="AJ46" s="27" t="n">
        <f aca="false">IF(COUNT('Arroz irrigado'!$E44:$Z44)=0,0,MAX(0,IF((AJ$6-$E$3)&lt;1,0,IFERROR(LOOKUP(2,1/('Arroz irrigado'!$E44:INDEX('Arroz irrigado'!$E44:$Z44,MIN(AJ$6-$E$3,22))&lt;&gt;""),'Arroz irrigado'!$E44:INDEX('Arroz irrigado'!$E44:$Z44,MIN(AJ$6-$E$3,22))),0))-IF($G$2,0,IF((AJ$6-$G$3)&lt;1,0,IFERROR(LOOKUP(2,1/('Arroz irrigado'!$E44:INDEX('Arroz irrigado'!$E44:$Z44,MIN(AJ$6-$G$3,22))&lt;&gt;""),'Arroz irrigado'!$E44:INDEX('Arroz irrigado'!$E44:$Z44,MIN(AJ$6-$G$3,22))),0)))))</f>
        <v>0</v>
      </c>
      <c r="AK46" s="27" t="n">
        <f aca="false">IF(COUNT('Arroz irrigado'!$E44:$Z44)=0,0,MAX(0,IF((AK$6-$E$3)&lt;1,0,IFERROR(LOOKUP(2,1/('Arroz irrigado'!$E44:INDEX('Arroz irrigado'!$E44:$Z44,MIN(AK$6-$E$3,22))&lt;&gt;""),'Arroz irrigado'!$E44:INDEX('Arroz irrigado'!$E44:$Z44,MIN(AK$6-$E$3,22))),0))-IF($G$2,0,IF((AK$6-$G$3)&lt;1,0,IFERROR(LOOKUP(2,1/('Arroz irrigado'!$E44:INDEX('Arroz irrigado'!$E44:$Z44,MIN(AK$6-$G$3,22))&lt;&gt;""),'Arroz irrigado'!$E44:INDEX('Arroz irrigado'!$E44:$Z44,MIN(AK$6-$G$3,22))),0)))))</f>
        <v>0</v>
      </c>
      <c r="AL46" s="27" t="n">
        <f aca="false">IF(COUNT('Arroz irrigado'!$E44:$Z44)=0,0,MAX(0,IF((AL$6-$E$3)&lt;1,0,IFERROR(LOOKUP(2,1/('Arroz irrigado'!$E44:INDEX('Arroz irrigado'!$E44:$Z44,MIN(AL$6-$E$3,22))&lt;&gt;""),'Arroz irrigado'!$E44:INDEX('Arroz irrigado'!$E44:$Z44,MIN(AL$6-$E$3,22))),0))-IF($G$2,0,IF((AL$6-$G$3)&lt;1,0,IFERROR(LOOKUP(2,1/('Arroz irrigado'!$E44:INDEX('Arroz irrigado'!$E44:$Z44,MIN(AL$6-$G$3,22))&lt;&gt;""),'Arroz irrigado'!$E44:INDEX('Arroz irrigado'!$E44:$Z44,MIN(AL$6-$G$3,22))),0)))))</f>
        <v>0</v>
      </c>
      <c r="AM46" s="27" t="n">
        <f aca="false">IF(COUNT('Arroz irrigado'!$E44:$Z44)=0,0,MAX(0,IF((AM$6-$E$3)&lt;1,0,IFERROR(LOOKUP(2,1/('Arroz irrigado'!$E44:INDEX('Arroz irrigado'!$E44:$Z44,MIN(AM$6-$E$3,22))&lt;&gt;""),'Arroz irrigado'!$E44:INDEX('Arroz irrigado'!$E44:$Z44,MIN(AM$6-$E$3,22))),0))-IF($G$2,0,IF((AM$6-$G$3)&lt;1,0,IFERROR(LOOKUP(2,1/('Arroz irrigado'!$E44:INDEX('Arroz irrigado'!$E44:$Z44,MIN(AM$6-$G$3,22))&lt;&gt;""),'Arroz irrigado'!$E44:INDEX('Arroz irrigado'!$E44:$Z44,MIN(AM$6-$G$3,22))),0)))))</f>
        <v>0</v>
      </c>
      <c r="AN46" s="27" t="n">
        <f aca="false">IF(COUNT('Arroz irrigado'!$E44:$Z44)=0,0,MAX(0,IF((AN$6-$E$3)&lt;1,0,IFERROR(LOOKUP(2,1/('Arroz irrigado'!$E44:INDEX('Arroz irrigado'!$E44:$Z44,MIN(AN$6-$E$3,22))&lt;&gt;""),'Arroz irrigado'!$E44:INDEX('Arroz irrigado'!$E44:$Z44,MIN(AN$6-$E$3,22))),0))-IF($G$2,0,IF((AN$6-$G$3)&lt;1,0,IFERROR(LOOKUP(2,1/('Arroz irrigado'!$E44:INDEX('Arroz irrigado'!$E44:$Z44,MIN(AN$6-$G$3,22))&lt;&gt;""),'Arroz irrigado'!$E44:INDEX('Arroz irrigado'!$E44:$Z44,MIN(AN$6-$G$3,22))),0)))))</f>
        <v>0</v>
      </c>
      <c r="AO46" s="27" t="n">
        <f aca="false">IF(COUNT('Arroz irrigado'!$E44:$Z44)=0,0,MAX(0,IF((AO$6-$E$3)&lt;1,0,IFERROR(LOOKUP(2,1/('Arroz irrigado'!$E44:INDEX('Arroz irrigado'!$E44:$Z44,MIN(AO$6-$E$3,22))&lt;&gt;""),'Arroz irrigado'!$E44:INDEX('Arroz irrigado'!$E44:$Z44,MIN(AO$6-$E$3,22))),0))-IF($G$2,0,IF((AO$6-$G$3)&lt;1,0,IFERROR(LOOKUP(2,1/('Arroz irrigado'!$E44:INDEX('Arroz irrigado'!$E44:$Z44,MIN(AO$6-$G$3,22))&lt;&gt;""),'Arroz irrigado'!$E44:INDEX('Arroz irrigado'!$E44:$Z44,MIN(AO$6-$G$3,22))),0)))))</f>
        <v>0</v>
      </c>
      <c r="AP46" s="27" t="n">
        <f aca="false">IF(COUNT('Arroz irrigado'!$E44:$Z44)=0,0,MAX(0,IF((AP$6-$E$3)&lt;1,0,IFERROR(LOOKUP(2,1/('Arroz irrigado'!$E44:INDEX('Arroz irrigado'!$E44:$Z44,MIN(AP$6-$E$3,22))&lt;&gt;""),'Arroz irrigado'!$E44:INDEX('Arroz irrigado'!$E44:$Z44,MIN(AP$6-$E$3,22))),0))-IF($G$2,0,IF((AP$6-$G$3)&lt;1,0,IFERROR(LOOKUP(2,1/('Arroz irrigado'!$E44:INDEX('Arroz irrigado'!$E44:$Z44,MIN(AP$6-$G$3,22))&lt;&gt;""),'Arroz irrigado'!$E44:INDEX('Arroz irrigado'!$E44:$Z44,MIN(AP$6-$G$3,22))),0)))))</f>
        <v>0</v>
      </c>
      <c r="AQ46" s="27" t="n">
        <f aca="false">IF(COUNT('Arroz irrigado'!$E44:$Z44)=0,0,MAX(0,IF((AQ$6-$E$3)&lt;1,0,IFERROR(LOOKUP(2,1/('Arroz irrigado'!$E44:INDEX('Arroz irrigado'!$E44:$Z44,MIN(AQ$6-$E$3,22))&lt;&gt;""),'Arroz irrigado'!$E44:INDEX('Arroz irrigado'!$E44:$Z44,MIN(AQ$6-$E$3,22))),0))-IF($G$2,0,IF((AQ$6-$G$3)&lt;1,0,IFERROR(LOOKUP(2,1/('Arroz irrigado'!$E44:INDEX('Arroz irrigado'!$E44:$Z44,MIN(AQ$6-$G$3,22))&lt;&gt;""),'Arroz irrigado'!$E44:INDEX('Arroz irrigado'!$E44:$Z44,MIN(AQ$6-$G$3,22))),0)))))</f>
        <v>0</v>
      </c>
      <c r="AR46" s="27" t="n">
        <f aca="false">IF(COUNT('Arroz irrigado'!$E44:$Z44)=0,0,MAX(0,IF((AR$6-$E$3)&lt;1,0,IFERROR(LOOKUP(2,1/('Arroz irrigado'!$E44:INDEX('Arroz irrigado'!$E44:$Z44,MIN(AR$6-$E$3,22))&lt;&gt;""),'Arroz irrigado'!$E44:INDEX('Arroz irrigado'!$E44:$Z44,MIN(AR$6-$E$3,22))),0))-IF($G$2,0,IF((AR$6-$G$3)&lt;1,0,IFERROR(LOOKUP(2,1/('Arroz irrigado'!$E44:INDEX('Arroz irrigado'!$E44:$Z44,MIN(AR$6-$G$3,22))&lt;&gt;""),'Arroz irrigado'!$E44:INDEX('Arroz irrigado'!$E44:$Z44,MIN(AR$6-$G$3,22))),0)))))</f>
        <v>0</v>
      </c>
      <c r="AS46" s="27" t="n">
        <f aca="false">IF(COUNT('Arroz irrigado'!$E44:$Z44)=0,0,MAX(0,IF((AS$6-$E$3)&lt;1,0,IFERROR(LOOKUP(2,1/('Arroz irrigado'!$E44:INDEX('Arroz irrigado'!$E44:$Z44,MIN(AS$6-$E$3,22))&lt;&gt;""),'Arroz irrigado'!$E44:INDEX('Arroz irrigado'!$E44:$Z44,MIN(AS$6-$E$3,22))),0))-IF($G$2,0,IF((AS$6-$G$3)&lt;1,0,IFERROR(LOOKUP(2,1/('Arroz irrigado'!$E44:INDEX('Arroz irrigado'!$E44:$Z44,MIN(AS$6-$G$3,22))&lt;&gt;""),'Arroz irrigado'!$E44:INDEX('Arroz irrigado'!$E44:$Z44,MIN(AS$6-$G$3,22))),0)))))</f>
        <v>0</v>
      </c>
      <c r="AT46" s="27" t="n">
        <f aca="false">IF(COUNT('Arroz irrigado'!$E44:$Z44)=0,0,MAX(0,IF((AT$6-$E$3)&lt;1,0,IFERROR(LOOKUP(2,1/('Arroz irrigado'!$E44:INDEX('Arroz irrigado'!$E44:$Z44,MIN(AT$6-$E$3,22))&lt;&gt;""),'Arroz irrigado'!$E44:INDEX('Arroz irrigado'!$E44:$Z44,MIN(AT$6-$E$3,22))),0))-IF($G$2,0,IF((AT$6-$G$3)&lt;1,0,IFERROR(LOOKUP(2,1/('Arroz irrigado'!$E44:INDEX('Arroz irrigado'!$E44:$Z44,MIN(AT$6-$G$3,22))&lt;&gt;""),'Arroz irrigado'!$E44:INDEX('Arroz irrigado'!$E44:$Z44,MIN(AT$6-$G$3,22))),0)))))</f>
        <v>0</v>
      </c>
      <c r="AU46" s="27" t="n">
        <f aca="false">IF(COUNT('Arroz irrigado'!$E44:$Z44)=0,0,MAX(0,IF((AU$6-$E$3)&lt;1,0,IFERROR(LOOKUP(2,1/('Arroz irrigado'!$E44:INDEX('Arroz irrigado'!$E44:$Z44,MIN(AU$6-$E$3,22))&lt;&gt;""),'Arroz irrigado'!$E44:INDEX('Arroz irrigado'!$E44:$Z44,MIN(AU$6-$E$3,22))),0))-IF($G$2,0,IF((AU$6-$G$3)&lt;1,0,IFERROR(LOOKUP(2,1/('Arroz irrigado'!$E44:INDEX('Arroz irrigado'!$E44:$Z44,MIN(AU$6-$G$3,22))&lt;&gt;""),'Arroz irrigado'!$E44:INDEX('Arroz irrigado'!$E44:$Z44,MIN(AU$6-$G$3,22))),0)))))</f>
        <v>0</v>
      </c>
      <c r="AV46" s="27" t="n">
        <f aca="false">IF(COUNT('Arroz irrigado'!$E44:$Z44)=0,0,MAX(0,IF((AV$6-$E$3)&lt;1,0,IFERROR(LOOKUP(2,1/('Arroz irrigado'!$E44:INDEX('Arroz irrigado'!$E44:$Z44,MIN(AV$6-$E$3,22))&lt;&gt;""),'Arroz irrigado'!$E44:INDEX('Arroz irrigado'!$E44:$Z44,MIN(AV$6-$E$3,22))),0))-IF($G$2,0,IF((AV$6-$G$3)&lt;1,0,IFERROR(LOOKUP(2,1/('Arroz irrigado'!$E44:INDEX('Arroz irrigado'!$E44:$Z44,MIN(AV$6-$G$3,22))&lt;&gt;""),'Arroz irrigado'!$E44:INDEX('Arroz irrigado'!$E44:$Z44,MIN(AV$6-$G$3,22))),0)))))</f>
        <v>0</v>
      </c>
      <c r="AW46" s="27" t="n">
        <f aca="false">IF(COUNT('Arroz irrigado'!$E44:$Z44)=0,0,MAX(0,IF((AW$6-$E$3)&lt;1,0,IFERROR(LOOKUP(2,1/('Arroz irrigado'!$E44:INDEX('Arroz irrigado'!$E44:$Z44,MIN(AW$6-$E$3,22))&lt;&gt;""),'Arroz irrigado'!$E44:INDEX('Arroz irrigado'!$E44:$Z44,MIN(AW$6-$E$3,22))),0))-IF($G$2,0,IF((AW$6-$G$3)&lt;1,0,IFERROR(LOOKUP(2,1/('Arroz irrigado'!$E44:INDEX('Arroz irrigado'!$E44:$Z44,MIN(AW$6-$G$3,22))&lt;&gt;""),'Arroz irrigado'!$E44:INDEX('Arroz irrigado'!$E44:$Z44,MIN(AW$6-$G$3,22))),0)))))</f>
        <v>0</v>
      </c>
      <c r="AX46" s="27" t="n">
        <f aca="false">IF(COUNT('Arroz irrigado'!$E44:$Z44)=0,0,MAX(0,IF((AX$6-$E$3)&lt;1,0,IFERROR(LOOKUP(2,1/('Arroz irrigado'!$E44:INDEX('Arroz irrigado'!$E44:$Z44,MIN(AX$6-$E$3,22))&lt;&gt;""),'Arroz irrigado'!$E44:INDEX('Arroz irrigado'!$E44:$Z44,MIN(AX$6-$E$3,22))),0))-IF($G$2,0,IF((AX$6-$G$3)&lt;1,0,IFERROR(LOOKUP(2,1/('Arroz irrigado'!$E44:INDEX('Arroz irrigado'!$E44:$Z44,MIN(AX$6-$G$3,22))&lt;&gt;""),'Arroz irrigado'!$E44:INDEX('Arroz irrigado'!$E44:$Z44,MIN(AX$6-$G$3,22))),0)))))</f>
        <v>0</v>
      </c>
      <c r="AY46" s="27" t="n">
        <f aca="false">IF(COUNT('Arroz irrigado'!$E44:$Z44)=0,0,MAX(0,IF((AY$6-$E$3)&lt;1,0,IFERROR(LOOKUP(2,1/('Arroz irrigado'!$E44:INDEX('Arroz irrigado'!$E44:$Z44,MIN(AY$6-$E$3,22))&lt;&gt;""),'Arroz irrigado'!$E44:INDEX('Arroz irrigado'!$E44:$Z44,MIN(AY$6-$E$3,22))),0))-IF($G$2,0,IF((AY$6-$G$3)&lt;1,0,IFERROR(LOOKUP(2,1/('Arroz irrigado'!$E44:INDEX('Arroz irrigado'!$E44:$Z44,MIN(AY$6-$G$3,22))&lt;&gt;""),'Arroz irrigado'!$E44:INDEX('Arroz irrigado'!$E44:$Z44,MIN(AY$6-$G$3,22))),0)))))</f>
        <v>0</v>
      </c>
      <c r="AZ46" s="27" t="n">
        <f aca="false">IF(COUNT('Arroz irrigado'!$E44:$Z44)=0,0,MAX(0,IF((AZ$6-$E$3)&lt;1,0,IFERROR(LOOKUP(2,1/('Arroz irrigado'!$E44:INDEX('Arroz irrigado'!$E44:$Z44,MIN(AZ$6-$E$3,22))&lt;&gt;""),'Arroz irrigado'!$E44:INDEX('Arroz irrigado'!$E44:$Z44,MIN(AZ$6-$E$3,22))),0))-IF($G$2,0,IF((AZ$6-$G$3)&lt;1,0,IFERROR(LOOKUP(2,1/('Arroz irrigado'!$E44:INDEX('Arroz irrigado'!$E44:$Z44,MIN(AZ$6-$G$3,22))&lt;&gt;""),'Arroz irrigado'!$E44:INDEX('Arroz irrigado'!$E44:$Z44,MIN(AZ$6-$G$3,22))),0)))))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IF(COUNT('Arroz irrigado'!$E45:$Z45)&gt;0,N('Arroz irrigado'!$D45),0)</f>
        <v>0</v>
      </c>
      <c r="E47" s="27" t="n">
        <f aca="false">IF(COUNT('Arroz irrigado'!$E45:$Z45)=0,0,MAX(0,IF((E$6-$E$3)&lt;1,0,IFERROR(LOOKUP(2,1/('Arroz irrigado'!$E45:INDEX('Arroz irrigado'!$E45:$Z45,MIN(E$6-$E$3,22))&lt;&gt;""),'Arroz irrigado'!$E45:INDEX('Arroz irrigado'!$E45:$Z45,MIN(E$6-$E$3,22))),0))-IF($G$2,0,IF((E$6-$G$3)&lt;1,0,IFERROR(LOOKUP(2,1/('Arroz irrigado'!$E45:INDEX('Arroz irrigado'!$E45:$Z45,MIN(E$6-$G$3,22))&lt;&gt;""),'Arroz irrigado'!$E45:INDEX('Arroz irrigado'!$E45:$Z45,MIN(E$6-$G$3,22))),0)))))</f>
        <v>0</v>
      </c>
      <c r="F47" s="27" t="n">
        <f aca="false">IF(COUNT('Arroz irrigado'!$E45:$Z45)=0,0,MAX(0,IF((F$6-$E$3)&lt;1,0,IFERROR(LOOKUP(2,1/('Arroz irrigado'!$E45:INDEX('Arroz irrigado'!$E45:$Z45,MIN(F$6-$E$3,22))&lt;&gt;""),'Arroz irrigado'!$E45:INDEX('Arroz irrigado'!$E45:$Z45,MIN(F$6-$E$3,22))),0))-IF($G$2,0,IF((F$6-$G$3)&lt;1,0,IFERROR(LOOKUP(2,1/('Arroz irrigado'!$E45:INDEX('Arroz irrigado'!$E45:$Z45,MIN(F$6-$G$3,22))&lt;&gt;""),'Arroz irrigado'!$E45:INDEX('Arroz irrigado'!$E45:$Z45,MIN(F$6-$G$3,22))),0)))))</f>
        <v>0</v>
      </c>
      <c r="G47" s="27" t="n">
        <f aca="false">IF(COUNT('Arroz irrigado'!$E45:$Z45)=0,0,MAX(0,IF((G$6-$E$3)&lt;1,0,IFERROR(LOOKUP(2,1/('Arroz irrigado'!$E45:INDEX('Arroz irrigado'!$E45:$Z45,MIN(G$6-$E$3,22))&lt;&gt;""),'Arroz irrigado'!$E45:INDEX('Arroz irrigado'!$E45:$Z45,MIN(G$6-$E$3,22))),0))-IF($G$2,0,IF((G$6-$G$3)&lt;1,0,IFERROR(LOOKUP(2,1/('Arroz irrigado'!$E45:INDEX('Arroz irrigado'!$E45:$Z45,MIN(G$6-$G$3,22))&lt;&gt;""),'Arroz irrigado'!$E45:INDEX('Arroz irrigado'!$E45:$Z45,MIN(G$6-$G$3,22))),0)))))</f>
        <v>0</v>
      </c>
      <c r="H47" s="27" t="n">
        <f aca="false">IF(COUNT('Arroz irrigado'!$E45:$Z45)=0,0,MAX(0,IF((H$6-$E$3)&lt;1,0,IFERROR(LOOKUP(2,1/('Arroz irrigado'!$E45:INDEX('Arroz irrigado'!$E45:$Z45,MIN(H$6-$E$3,22))&lt;&gt;""),'Arroz irrigado'!$E45:INDEX('Arroz irrigado'!$E45:$Z45,MIN(H$6-$E$3,22))),0))-IF($G$2,0,IF((H$6-$G$3)&lt;1,0,IFERROR(LOOKUP(2,1/('Arroz irrigado'!$E45:INDEX('Arroz irrigado'!$E45:$Z45,MIN(H$6-$G$3,22))&lt;&gt;""),'Arroz irrigado'!$E45:INDEX('Arroz irrigado'!$E45:$Z45,MIN(H$6-$G$3,22))),0)))))</f>
        <v>0</v>
      </c>
      <c r="I47" s="27" t="n">
        <f aca="false">IF(COUNT('Arroz irrigado'!$E45:$Z45)=0,0,MAX(0,IF((I$6-$E$3)&lt;1,0,IFERROR(LOOKUP(2,1/('Arroz irrigado'!$E45:INDEX('Arroz irrigado'!$E45:$Z45,MIN(I$6-$E$3,22))&lt;&gt;""),'Arroz irrigado'!$E45:INDEX('Arroz irrigado'!$E45:$Z45,MIN(I$6-$E$3,22))),0))-IF($G$2,0,IF((I$6-$G$3)&lt;1,0,IFERROR(LOOKUP(2,1/('Arroz irrigado'!$E45:INDEX('Arroz irrigado'!$E45:$Z45,MIN(I$6-$G$3,22))&lt;&gt;""),'Arroz irrigado'!$E45:INDEX('Arroz irrigado'!$E45:$Z45,MIN(I$6-$G$3,22))),0)))))</f>
        <v>0</v>
      </c>
      <c r="J47" s="27" t="n">
        <f aca="false">IF(COUNT('Arroz irrigado'!$E45:$Z45)=0,0,MAX(0,IF((J$6-$E$3)&lt;1,0,IFERROR(LOOKUP(2,1/('Arroz irrigado'!$E45:INDEX('Arroz irrigado'!$E45:$Z45,MIN(J$6-$E$3,22))&lt;&gt;""),'Arroz irrigado'!$E45:INDEX('Arroz irrigado'!$E45:$Z45,MIN(J$6-$E$3,22))),0))-IF($G$2,0,IF((J$6-$G$3)&lt;1,0,IFERROR(LOOKUP(2,1/('Arroz irrigado'!$E45:INDEX('Arroz irrigado'!$E45:$Z45,MIN(J$6-$G$3,22))&lt;&gt;""),'Arroz irrigado'!$E45:INDEX('Arroz irrigado'!$E45:$Z45,MIN(J$6-$G$3,22))),0)))))</f>
        <v>0</v>
      </c>
      <c r="K47" s="27" t="n">
        <f aca="false">IF(COUNT('Arroz irrigado'!$E45:$Z45)=0,0,MAX(0,IF((K$6-$E$3)&lt;1,0,IFERROR(LOOKUP(2,1/('Arroz irrigado'!$E45:INDEX('Arroz irrigado'!$E45:$Z45,MIN(K$6-$E$3,22))&lt;&gt;""),'Arroz irrigado'!$E45:INDEX('Arroz irrigado'!$E45:$Z45,MIN(K$6-$E$3,22))),0))-IF($G$2,0,IF((K$6-$G$3)&lt;1,0,IFERROR(LOOKUP(2,1/('Arroz irrigado'!$E45:INDEX('Arroz irrigado'!$E45:$Z45,MIN(K$6-$G$3,22))&lt;&gt;""),'Arroz irrigado'!$E45:INDEX('Arroz irrigado'!$E45:$Z45,MIN(K$6-$G$3,22))),0)))))</f>
        <v>0</v>
      </c>
      <c r="L47" s="27" t="n">
        <f aca="false">IF(COUNT('Arroz irrigado'!$E45:$Z45)=0,0,MAX(0,IF((L$6-$E$3)&lt;1,0,IFERROR(LOOKUP(2,1/('Arroz irrigado'!$E45:INDEX('Arroz irrigado'!$E45:$Z45,MIN(L$6-$E$3,22))&lt;&gt;""),'Arroz irrigado'!$E45:INDEX('Arroz irrigado'!$E45:$Z45,MIN(L$6-$E$3,22))),0))-IF($G$2,0,IF((L$6-$G$3)&lt;1,0,IFERROR(LOOKUP(2,1/('Arroz irrigado'!$E45:INDEX('Arroz irrigado'!$E45:$Z45,MIN(L$6-$G$3,22))&lt;&gt;""),'Arroz irrigado'!$E45:INDEX('Arroz irrigado'!$E45:$Z45,MIN(L$6-$G$3,22))),0)))))</f>
        <v>0</v>
      </c>
      <c r="M47" s="27" t="n">
        <f aca="false">IF(COUNT('Arroz irrigado'!$E45:$Z45)=0,0,MAX(0,IF((M$6-$E$3)&lt;1,0,IFERROR(LOOKUP(2,1/('Arroz irrigado'!$E45:INDEX('Arroz irrigado'!$E45:$Z45,MIN(M$6-$E$3,22))&lt;&gt;""),'Arroz irrigado'!$E45:INDEX('Arroz irrigado'!$E45:$Z45,MIN(M$6-$E$3,22))),0))-IF($G$2,0,IF((M$6-$G$3)&lt;1,0,IFERROR(LOOKUP(2,1/('Arroz irrigado'!$E45:INDEX('Arroz irrigado'!$E45:$Z45,MIN(M$6-$G$3,22))&lt;&gt;""),'Arroz irrigado'!$E45:INDEX('Arroz irrigado'!$E45:$Z45,MIN(M$6-$G$3,22))),0)))))</f>
        <v>0</v>
      </c>
      <c r="N47" s="27" t="n">
        <f aca="false">IF(COUNT('Arroz irrigado'!$E45:$Z45)=0,0,MAX(0,IF((N$6-$E$3)&lt;1,0,IFERROR(LOOKUP(2,1/('Arroz irrigado'!$E45:INDEX('Arroz irrigado'!$E45:$Z45,MIN(N$6-$E$3,22))&lt;&gt;""),'Arroz irrigado'!$E45:INDEX('Arroz irrigado'!$E45:$Z45,MIN(N$6-$E$3,22))),0))-IF($G$2,0,IF((N$6-$G$3)&lt;1,0,IFERROR(LOOKUP(2,1/('Arroz irrigado'!$E45:INDEX('Arroz irrigado'!$E45:$Z45,MIN(N$6-$G$3,22))&lt;&gt;""),'Arroz irrigado'!$E45:INDEX('Arroz irrigado'!$E45:$Z45,MIN(N$6-$G$3,22))),0)))))</f>
        <v>0</v>
      </c>
      <c r="O47" s="27" t="n">
        <f aca="false">IF(COUNT('Arroz irrigado'!$E45:$Z45)=0,0,MAX(0,IF((O$6-$E$3)&lt;1,0,IFERROR(LOOKUP(2,1/('Arroz irrigado'!$E45:INDEX('Arroz irrigado'!$E45:$Z45,MIN(O$6-$E$3,22))&lt;&gt;""),'Arroz irrigado'!$E45:INDEX('Arroz irrigado'!$E45:$Z45,MIN(O$6-$E$3,22))),0))-IF($G$2,0,IF((O$6-$G$3)&lt;1,0,IFERROR(LOOKUP(2,1/('Arroz irrigado'!$E45:INDEX('Arroz irrigado'!$E45:$Z45,MIN(O$6-$G$3,22))&lt;&gt;""),'Arroz irrigado'!$E45:INDEX('Arroz irrigado'!$E45:$Z45,MIN(O$6-$G$3,22))),0)))))</f>
        <v>0</v>
      </c>
      <c r="P47" s="27" t="n">
        <f aca="false">IF(COUNT('Arroz irrigado'!$E45:$Z45)=0,0,MAX(0,IF((P$6-$E$3)&lt;1,0,IFERROR(LOOKUP(2,1/('Arroz irrigado'!$E45:INDEX('Arroz irrigado'!$E45:$Z45,MIN(P$6-$E$3,22))&lt;&gt;""),'Arroz irrigado'!$E45:INDEX('Arroz irrigado'!$E45:$Z45,MIN(P$6-$E$3,22))),0))-IF($G$2,0,IF((P$6-$G$3)&lt;1,0,IFERROR(LOOKUP(2,1/('Arroz irrigado'!$E45:INDEX('Arroz irrigado'!$E45:$Z45,MIN(P$6-$G$3,22))&lt;&gt;""),'Arroz irrigado'!$E45:INDEX('Arroz irrigado'!$E45:$Z45,MIN(P$6-$G$3,22))),0)))))</f>
        <v>0</v>
      </c>
      <c r="Q47" s="27" t="n">
        <f aca="false">IF(COUNT('Arroz irrigado'!$E45:$Z45)=0,0,MAX(0,IF((Q$6-$E$3)&lt;1,0,IFERROR(LOOKUP(2,1/('Arroz irrigado'!$E45:INDEX('Arroz irrigado'!$E45:$Z45,MIN(Q$6-$E$3,22))&lt;&gt;""),'Arroz irrigado'!$E45:INDEX('Arroz irrigado'!$E45:$Z45,MIN(Q$6-$E$3,22))),0))-IF($G$2,0,IF((Q$6-$G$3)&lt;1,0,IFERROR(LOOKUP(2,1/('Arroz irrigado'!$E45:INDEX('Arroz irrigado'!$E45:$Z45,MIN(Q$6-$G$3,22))&lt;&gt;""),'Arroz irrigado'!$E45:INDEX('Arroz irrigado'!$E45:$Z45,MIN(Q$6-$G$3,22))),0)))))</f>
        <v>0</v>
      </c>
      <c r="R47" s="27" t="n">
        <f aca="false">IF(COUNT('Arroz irrigado'!$E45:$Z45)=0,0,MAX(0,IF((R$6-$E$3)&lt;1,0,IFERROR(LOOKUP(2,1/('Arroz irrigado'!$E45:INDEX('Arroz irrigado'!$E45:$Z45,MIN(R$6-$E$3,22))&lt;&gt;""),'Arroz irrigado'!$E45:INDEX('Arroz irrigado'!$E45:$Z45,MIN(R$6-$E$3,22))),0))-IF($G$2,0,IF((R$6-$G$3)&lt;1,0,IFERROR(LOOKUP(2,1/('Arroz irrigado'!$E45:INDEX('Arroz irrigado'!$E45:$Z45,MIN(R$6-$G$3,22))&lt;&gt;""),'Arroz irrigado'!$E45:INDEX('Arroz irrigado'!$E45:$Z45,MIN(R$6-$G$3,22))),0)))))</f>
        <v>0</v>
      </c>
      <c r="S47" s="27" t="n">
        <f aca="false">IF(COUNT('Arroz irrigado'!$E45:$Z45)=0,0,MAX(0,IF((S$6-$E$3)&lt;1,0,IFERROR(LOOKUP(2,1/('Arroz irrigado'!$E45:INDEX('Arroz irrigado'!$E45:$Z45,MIN(S$6-$E$3,22))&lt;&gt;""),'Arroz irrigado'!$E45:INDEX('Arroz irrigado'!$E45:$Z45,MIN(S$6-$E$3,22))),0))-IF($G$2,0,IF((S$6-$G$3)&lt;1,0,IFERROR(LOOKUP(2,1/('Arroz irrigado'!$E45:INDEX('Arroz irrigado'!$E45:$Z45,MIN(S$6-$G$3,22))&lt;&gt;""),'Arroz irrigado'!$E45:INDEX('Arroz irrigado'!$E45:$Z45,MIN(S$6-$G$3,22))),0)))))</f>
        <v>0</v>
      </c>
      <c r="T47" s="27" t="n">
        <f aca="false">IF(COUNT('Arroz irrigado'!$E45:$Z45)=0,0,MAX(0,IF((T$6-$E$3)&lt;1,0,IFERROR(LOOKUP(2,1/('Arroz irrigado'!$E45:INDEX('Arroz irrigado'!$E45:$Z45,MIN(T$6-$E$3,22))&lt;&gt;""),'Arroz irrigado'!$E45:INDEX('Arroz irrigado'!$E45:$Z45,MIN(T$6-$E$3,22))),0))-IF($G$2,0,IF((T$6-$G$3)&lt;1,0,IFERROR(LOOKUP(2,1/('Arroz irrigado'!$E45:INDEX('Arroz irrigado'!$E45:$Z45,MIN(T$6-$G$3,22))&lt;&gt;""),'Arroz irrigado'!$E45:INDEX('Arroz irrigado'!$E45:$Z45,MIN(T$6-$G$3,22))),0)))))</f>
        <v>0</v>
      </c>
      <c r="U47" s="27" t="n">
        <f aca="false">IF(COUNT('Arroz irrigado'!$E45:$Z45)=0,0,MAX(0,IF((U$6-$E$3)&lt;1,0,IFERROR(LOOKUP(2,1/('Arroz irrigado'!$E45:INDEX('Arroz irrigado'!$E45:$Z45,MIN(U$6-$E$3,22))&lt;&gt;""),'Arroz irrigado'!$E45:INDEX('Arroz irrigado'!$E45:$Z45,MIN(U$6-$E$3,22))),0))-IF($G$2,0,IF((U$6-$G$3)&lt;1,0,IFERROR(LOOKUP(2,1/('Arroz irrigado'!$E45:INDEX('Arroz irrigado'!$E45:$Z45,MIN(U$6-$G$3,22))&lt;&gt;""),'Arroz irrigado'!$E45:INDEX('Arroz irrigado'!$E45:$Z45,MIN(U$6-$G$3,22))),0)))))</f>
        <v>0</v>
      </c>
      <c r="V47" s="27" t="n">
        <f aca="false">IF(COUNT('Arroz irrigado'!$E45:$Z45)=0,0,MAX(0,IF((V$6-$E$3)&lt;1,0,IFERROR(LOOKUP(2,1/('Arroz irrigado'!$E45:INDEX('Arroz irrigado'!$E45:$Z45,MIN(V$6-$E$3,22))&lt;&gt;""),'Arroz irrigado'!$E45:INDEX('Arroz irrigado'!$E45:$Z45,MIN(V$6-$E$3,22))),0))-IF($G$2,0,IF((V$6-$G$3)&lt;1,0,IFERROR(LOOKUP(2,1/('Arroz irrigado'!$E45:INDEX('Arroz irrigado'!$E45:$Z45,MIN(V$6-$G$3,22))&lt;&gt;""),'Arroz irrigado'!$E45:INDEX('Arroz irrigado'!$E45:$Z45,MIN(V$6-$G$3,22))),0)))))</f>
        <v>0</v>
      </c>
      <c r="W47" s="27" t="n">
        <f aca="false">IF(COUNT('Arroz irrigado'!$E45:$Z45)=0,0,MAX(0,IF((W$6-$E$3)&lt;1,0,IFERROR(LOOKUP(2,1/('Arroz irrigado'!$E45:INDEX('Arroz irrigado'!$E45:$Z45,MIN(W$6-$E$3,22))&lt;&gt;""),'Arroz irrigado'!$E45:INDEX('Arroz irrigado'!$E45:$Z45,MIN(W$6-$E$3,22))),0))-IF($G$2,0,IF((W$6-$G$3)&lt;1,0,IFERROR(LOOKUP(2,1/('Arroz irrigado'!$E45:INDEX('Arroz irrigado'!$E45:$Z45,MIN(W$6-$G$3,22))&lt;&gt;""),'Arroz irrigado'!$E45:INDEX('Arroz irrigado'!$E45:$Z45,MIN(W$6-$G$3,22))),0)))))</f>
        <v>0</v>
      </c>
      <c r="X47" s="27" t="n">
        <f aca="false">IF(COUNT('Arroz irrigado'!$E45:$Z45)=0,0,MAX(0,IF((X$6-$E$3)&lt;1,0,IFERROR(LOOKUP(2,1/('Arroz irrigado'!$E45:INDEX('Arroz irrigado'!$E45:$Z45,MIN(X$6-$E$3,22))&lt;&gt;""),'Arroz irrigado'!$E45:INDEX('Arroz irrigado'!$E45:$Z45,MIN(X$6-$E$3,22))),0))-IF($G$2,0,IF((X$6-$G$3)&lt;1,0,IFERROR(LOOKUP(2,1/('Arroz irrigado'!$E45:INDEX('Arroz irrigado'!$E45:$Z45,MIN(X$6-$G$3,22))&lt;&gt;""),'Arroz irrigado'!$E45:INDEX('Arroz irrigado'!$E45:$Z45,MIN(X$6-$G$3,22))),0)))))</f>
        <v>0</v>
      </c>
      <c r="Y47" s="27" t="n">
        <f aca="false">IF(COUNT('Arroz irrigado'!$E45:$Z45)=0,0,MAX(0,IF((Y$6-$E$3)&lt;1,0,IFERROR(LOOKUP(2,1/('Arroz irrigado'!$E45:INDEX('Arroz irrigado'!$E45:$Z45,MIN(Y$6-$E$3,22))&lt;&gt;""),'Arroz irrigado'!$E45:INDEX('Arroz irrigado'!$E45:$Z45,MIN(Y$6-$E$3,22))),0))-IF($G$2,0,IF((Y$6-$G$3)&lt;1,0,IFERROR(LOOKUP(2,1/('Arroz irrigado'!$E45:INDEX('Arroz irrigado'!$E45:$Z45,MIN(Y$6-$G$3,22))&lt;&gt;""),'Arroz irrigado'!$E45:INDEX('Arroz irrigado'!$E45:$Z45,MIN(Y$6-$G$3,22))),0)))))</f>
        <v>0</v>
      </c>
      <c r="Z47" s="27" t="n">
        <f aca="false">IF(COUNT('Arroz irrigado'!$E45:$Z45)=0,0,MAX(0,IF((Z$6-$E$3)&lt;1,0,IFERROR(LOOKUP(2,1/('Arroz irrigado'!$E45:INDEX('Arroz irrigado'!$E45:$Z45,MIN(Z$6-$E$3,22))&lt;&gt;""),'Arroz irrigado'!$E45:INDEX('Arroz irrigado'!$E45:$Z45,MIN(Z$6-$E$3,22))),0))-IF($G$2,0,IF((Z$6-$G$3)&lt;1,0,IFERROR(LOOKUP(2,1/('Arroz irrigado'!$E45:INDEX('Arroz irrigado'!$E45:$Z45,MIN(Z$6-$G$3,22))&lt;&gt;""),'Arroz irrigado'!$E45:INDEX('Arroz irrigado'!$E45:$Z45,MIN(Z$6-$G$3,22))),0)))))</f>
        <v>0</v>
      </c>
      <c r="AA47" s="27" t="n">
        <f aca="false">IF(COUNT('Arroz irrigado'!$E45:$Z45)=0,0,MAX(0,IF((AA$6-$E$3)&lt;1,0,IFERROR(LOOKUP(2,1/('Arroz irrigado'!$E45:INDEX('Arroz irrigado'!$E45:$Z45,MIN(AA$6-$E$3,22))&lt;&gt;""),'Arroz irrigado'!$E45:INDEX('Arroz irrigado'!$E45:$Z45,MIN(AA$6-$E$3,22))),0))-IF($G$2,0,IF((AA$6-$G$3)&lt;1,0,IFERROR(LOOKUP(2,1/('Arroz irrigado'!$E45:INDEX('Arroz irrigado'!$E45:$Z45,MIN(AA$6-$G$3,22))&lt;&gt;""),'Arroz irrigado'!$E45:INDEX('Arroz irrigado'!$E45:$Z45,MIN(AA$6-$G$3,22))),0)))))</f>
        <v>0</v>
      </c>
      <c r="AB47" s="27" t="n">
        <f aca="false">IF(COUNT('Arroz irrigado'!$E45:$Z45)=0,0,MAX(0,IF((AB$6-$E$3)&lt;1,0,IFERROR(LOOKUP(2,1/('Arroz irrigado'!$E45:INDEX('Arroz irrigado'!$E45:$Z45,MIN(AB$6-$E$3,22))&lt;&gt;""),'Arroz irrigado'!$E45:INDEX('Arroz irrigado'!$E45:$Z45,MIN(AB$6-$E$3,22))),0))-IF($G$2,0,IF((AB$6-$G$3)&lt;1,0,IFERROR(LOOKUP(2,1/('Arroz irrigado'!$E45:INDEX('Arroz irrigado'!$E45:$Z45,MIN(AB$6-$G$3,22))&lt;&gt;""),'Arroz irrigado'!$E45:INDEX('Arroz irrigado'!$E45:$Z45,MIN(AB$6-$G$3,22))),0)))))</f>
        <v>0</v>
      </c>
      <c r="AC47" s="27" t="n">
        <f aca="false">IF(COUNT('Arroz irrigado'!$E45:$Z45)=0,0,MAX(0,IF((AC$6-$E$3)&lt;1,0,IFERROR(LOOKUP(2,1/('Arroz irrigado'!$E45:INDEX('Arroz irrigado'!$E45:$Z45,MIN(AC$6-$E$3,22))&lt;&gt;""),'Arroz irrigado'!$E45:INDEX('Arroz irrigado'!$E45:$Z45,MIN(AC$6-$E$3,22))),0))-IF($G$2,0,IF((AC$6-$G$3)&lt;1,0,IFERROR(LOOKUP(2,1/('Arroz irrigado'!$E45:INDEX('Arroz irrigado'!$E45:$Z45,MIN(AC$6-$G$3,22))&lt;&gt;""),'Arroz irrigado'!$E45:INDEX('Arroz irrigado'!$E45:$Z45,MIN(AC$6-$G$3,22))),0)))))</f>
        <v>0</v>
      </c>
      <c r="AD47" s="27" t="n">
        <f aca="false">IF(COUNT('Arroz irrigado'!$E45:$Z45)=0,0,MAX(0,IF((AD$6-$E$3)&lt;1,0,IFERROR(LOOKUP(2,1/('Arroz irrigado'!$E45:INDEX('Arroz irrigado'!$E45:$Z45,MIN(AD$6-$E$3,22))&lt;&gt;""),'Arroz irrigado'!$E45:INDEX('Arroz irrigado'!$E45:$Z45,MIN(AD$6-$E$3,22))),0))-IF($G$2,0,IF((AD$6-$G$3)&lt;1,0,IFERROR(LOOKUP(2,1/('Arroz irrigado'!$E45:INDEX('Arroz irrigado'!$E45:$Z45,MIN(AD$6-$G$3,22))&lt;&gt;""),'Arroz irrigado'!$E45:INDEX('Arroz irrigado'!$E45:$Z45,MIN(AD$6-$G$3,22))),0)))))</f>
        <v>0</v>
      </c>
      <c r="AE47" s="27" t="n">
        <f aca="false">IF(COUNT('Arroz irrigado'!$E45:$Z45)=0,0,MAX(0,IF((AE$6-$E$3)&lt;1,0,IFERROR(LOOKUP(2,1/('Arroz irrigado'!$E45:INDEX('Arroz irrigado'!$E45:$Z45,MIN(AE$6-$E$3,22))&lt;&gt;""),'Arroz irrigado'!$E45:INDEX('Arroz irrigado'!$E45:$Z45,MIN(AE$6-$E$3,22))),0))-IF($G$2,0,IF((AE$6-$G$3)&lt;1,0,IFERROR(LOOKUP(2,1/('Arroz irrigado'!$E45:INDEX('Arroz irrigado'!$E45:$Z45,MIN(AE$6-$G$3,22))&lt;&gt;""),'Arroz irrigado'!$E45:INDEX('Arroz irrigado'!$E45:$Z45,MIN(AE$6-$G$3,22))),0)))))</f>
        <v>0</v>
      </c>
      <c r="AF47" s="27" t="n">
        <f aca="false">IF(COUNT('Arroz irrigado'!$E45:$Z45)=0,0,MAX(0,IF((AF$6-$E$3)&lt;1,0,IFERROR(LOOKUP(2,1/('Arroz irrigado'!$E45:INDEX('Arroz irrigado'!$E45:$Z45,MIN(AF$6-$E$3,22))&lt;&gt;""),'Arroz irrigado'!$E45:INDEX('Arroz irrigado'!$E45:$Z45,MIN(AF$6-$E$3,22))),0))-IF($G$2,0,IF((AF$6-$G$3)&lt;1,0,IFERROR(LOOKUP(2,1/('Arroz irrigado'!$E45:INDEX('Arroz irrigado'!$E45:$Z45,MIN(AF$6-$G$3,22))&lt;&gt;""),'Arroz irrigado'!$E45:INDEX('Arroz irrigado'!$E45:$Z45,MIN(AF$6-$G$3,22))),0)))))</f>
        <v>0</v>
      </c>
      <c r="AG47" s="27" t="n">
        <f aca="false">IF(COUNT('Arroz irrigado'!$E45:$Z45)=0,0,MAX(0,IF((AG$6-$E$3)&lt;1,0,IFERROR(LOOKUP(2,1/('Arroz irrigado'!$E45:INDEX('Arroz irrigado'!$E45:$Z45,MIN(AG$6-$E$3,22))&lt;&gt;""),'Arroz irrigado'!$E45:INDEX('Arroz irrigado'!$E45:$Z45,MIN(AG$6-$E$3,22))),0))-IF($G$2,0,IF((AG$6-$G$3)&lt;1,0,IFERROR(LOOKUP(2,1/('Arroz irrigado'!$E45:INDEX('Arroz irrigado'!$E45:$Z45,MIN(AG$6-$G$3,22))&lt;&gt;""),'Arroz irrigado'!$E45:INDEX('Arroz irrigado'!$E45:$Z45,MIN(AG$6-$G$3,22))),0)))))</f>
        <v>0</v>
      </c>
      <c r="AH47" s="27" t="n">
        <f aca="false">IF(COUNT('Arroz irrigado'!$E45:$Z45)=0,0,MAX(0,IF((AH$6-$E$3)&lt;1,0,IFERROR(LOOKUP(2,1/('Arroz irrigado'!$E45:INDEX('Arroz irrigado'!$E45:$Z45,MIN(AH$6-$E$3,22))&lt;&gt;""),'Arroz irrigado'!$E45:INDEX('Arroz irrigado'!$E45:$Z45,MIN(AH$6-$E$3,22))),0))-IF($G$2,0,IF((AH$6-$G$3)&lt;1,0,IFERROR(LOOKUP(2,1/('Arroz irrigado'!$E45:INDEX('Arroz irrigado'!$E45:$Z45,MIN(AH$6-$G$3,22))&lt;&gt;""),'Arroz irrigado'!$E45:INDEX('Arroz irrigado'!$E45:$Z45,MIN(AH$6-$G$3,22))),0)))))</f>
        <v>0</v>
      </c>
      <c r="AI47" s="27" t="n">
        <f aca="false">IF(COUNT('Arroz irrigado'!$E45:$Z45)=0,0,MAX(0,IF((AI$6-$E$3)&lt;1,0,IFERROR(LOOKUP(2,1/('Arroz irrigado'!$E45:INDEX('Arroz irrigado'!$E45:$Z45,MIN(AI$6-$E$3,22))&lt;&gt;""),'Arroz irrigado'!$E45:INDEX('Arroz irrigado'!$E45:$Z45,MIN(AI$6-$E$3,22))),0))-IF($G$2,0,IF((AI$6-$G$3)&lt;1,0,IFERROR(LOOKUP(2,1/('Arroz irrigado'!$E45:INDEX('Arroz irrigado'!$E45:$Z45,MIN(AI$6-$G$3,22))&lt;&gt;""),'Arroz irrigado'!$E45:INDEX('Arroz irrigado'!$E45:$Z45,MIN(AI$6-$G$3,22))),0)))))</f>
        <v>0</v>
      </c>
      <c r="AJ47" s="27" t="n">
        <f aca="false">IF(COUNT('Arroz irrigado'!$E45:$Z45)=0,0,MAX(0,IF((AJ$6-$E$3)&lt;1,0,IFERROR(LOOKUP(2,1/('Arroz irrigado'!$E45:INDEX('Arroz irrigado'!$E45:$Z45,MIN(AJ$6-$E$3,22))&lt;&gt;""),'Arroz irrigado'!$E45:INDEX('Arroz irrigado'!$E45:$Z45,MIN(AJ$6-$E$3,22))),0))-IF($G$2,0,IF((AJ$6-$G$3)&lt;1,0,IFERROR(LOOKUP(2,1/('Arroz irrigado'!$E45:INDEX('Arroz irrigado'!$E45:$Z45,MIN(AJ$6-$G$3,22))&lt;&gt;""),'Arroz irrigado'!$E45:INDEX('Arroz irrigado'!$E45:$Z45,MIN(AJ$6-$G$3,22))),0)))))</f>
        <v>0</v>
      </c>
      <c r="AK47" s="27" t="n">
        <f aca="false">IF(COUNT('Arroz irrigado'!$E45:$Z45)=0,0,MAX(0,IF((AK$6-$E$3)&lt;1,0,IFERROR(LOOKUP(2,1/('Arroz irrigado'!$E45:INDEX('Arroz irrigado'!$E45:$Z45,MIN(AK$6-$E$3,22))&lt;&gt;""),'Arroz irrigado'!$E45:INDEX('Arroz irrigado'!$E45:$Z45,MIN(AK$6-$E$3,22))),0))-IF($G$2,0,IF((AK$6-$G$3)&lt;1,0,IFERROR(LOOKUP(2,1/('Arroz irrigado'!$E45:INDEX('Arroz irrigado'!$E45:$Z45,MIN(AK$6-$G$3,22))&lt;&gt;""),'Arroz irrigado'!$E45:INDEX('Arroz irrigado'!$E45:$Z45,MIN(AK$6-$G$3,22))),0)))))</f>
        <v>0</v>
      </c>
      <c r="AL47" s="27" t="n">
        <f aca="false">IF(COUNT('Arroz irrigado'!$E45:$Z45)=0,0,MAX(0,IF((AL$6-$E$3)&lt;1,0,IFERROR(LOOKUP(2,1/('Arroz irrigado'!$E45:INDEX('Arroz irrigado'!$E45:$Z45,MIN(AL$6-$E$3,22))&lt;&gt;""),'Arroz irrigado'!$E45:INDEX('Arroz irrigado'!$E45:$Z45,MIN(AL$6-$E$3,22))),0))-IF($G$2,0,IF((AL$6-$G$3)&lt;1,0,IFERROR(LOOKUP(2,1/('Arroz irrigado'!$E45:INDEX('Arroz irrigado'!$E45:$Z45,MIN(AL$6-$G$3,22))&lt;&gt;""),'Arroz irrigado'!$E45:INDEX('Arroz irrigado'!$E45:$Z45,MIN(AL$6-$G$3,22))),0)))))</f>
        <v>0</v>
      </c>
      <c r="AM47" s="27" t="n">
        <f aca="false">IF(COUNT('Arroz irrigado'!$E45:$Z45)=0,0,MAX(0,IF((AM$6-$E$3)&lt;1,0,IFERROR(LOOKUP(2,1/('Arroz irrigado'!$E45:INDEX('Arroz irrigado'!$E45:$Z45,MIN(AM$6-$E$3,22))&lt;&gt;""),'Arroz irrigado'!$E45:INDEX('Arroz irrigado'!$E45:$Z45,MIN(AM$6-$E$3,22))),0))-IF($G$2,0,IF((AM$6-$G$3)&lt;1,0,IFERROR(LOOKUP(2,1/('Arroz irrigado'!$E45:INDEX('Arroz irrigado'!$E45:$Z45,MIN(AM$6-$G$3,22))&lt;&gt;""),'Arroz irrigado'!$E45:INDEX('Arroz irrigado'!$E45:$Z45,MIN(AM$6-$G$3,22))),0)))))</f>
        <v>0</v>
      </c>
      <c r="AN47" s="27" t="n">
        <f aca="false">IF(COUNT('Arroz irrigado'!$E45:$Z45)=0,0,MAX(0,IF((AN$6-$E$3)&lt;1,0,IFERROR(LOOKUP(2,1/('Arroz irrigado'!$E45:INDEX('Arroz irrigado'!$E45:$Z45,MIN(AN$6-$E$3,22))&lt;&gt;""),'Arroz irrigado'!$E45:INDEX('Arroz irrigado'!$E45:$Z45,MIN(AN$6-$E$3,22))),0))-IF($G$2,0,IF((AN$6-$G$3)&lt;1,0,IFERROR(LOOKUP(2,1/('Arroz irrigado'!$E45:INDEX('Arroz irrigado'!$E45:$Z45,MIN(AN$6-$G$3,22))&lt;&gt;""),'Arroz irrigado'!$E45:INDEX('Arroz irrigado'!$E45:$Z45,MIN(AN$6-$G$3,22))),0)))))</f>
        <v>0</v>
      </c>
      <c r="AO47" s="27" t="n">
        <f aca="false">IF(COUNT('Arroz irrigado'!$E45:$Z45)=0,0,MAX(0,IF((AO$6-$E$3)&lt;1,0,IFERROR(LOOKUP(2,1/('Arroz irrigado'!$E45:INDEX('Arroz irrigado'!$E45:$Z45,MIN(AO$6-$E$3,22))&lt;&gt;""),'Arroz irrigado'!$E45:INDEX('Arroz irrigado'!$E45:$Z45,MIN(AO$6-$E$3,22))),0))-IF($G$2,0,IF((AO$6-$G$3)&lt;1,0,IFERROR(LOOKUP(2,1/('Arroz irrigado'!$E45:INDEX('Arroz irrigado'!$E45:$Z45,MIN(AO$6-$G$3,22))&lt;&gt;""),'Arroz irrigado'!$E45:INDEX('Arroz irrigado'!$E45:$Z45,MIN(AO$6-$G$3,22))),0)))))</f>
        <v>0</v>
      </c>
      <c r="AP47" s="27" t="n">
        <f aca="false">IF(COUNT('Arroz irrigado'!$E45:$Z45)=0,0,MAX(0,IF((AP$6-$E$3)&lt;1,0,IFERROR(LOOKUP(2,1/('Arroz irrigado'!$E45:INDEX('Arroz irrigado'!$E45:$Z45,MIN(AP$6-$E$3,22))&lt;&gt;""),'Arroz irrigado'!$E45:INDEX('Arroz irrigado'!$E45:$Z45,MIN(AP$6-$E$3,22))),0))-IF($G$2,0,IF((AP$6-$G$3)&lt;1,0,IFERROR(LOOKUP(2,1/('Arroz irrigado'!$E45:INDEX('Arroz irrigado'!$E45:$Z45,MIN(AP$6-$G$3,22))&lt;&gt;""),'Arroz irrigado'!$E45:INDEX('Arroz irrigado'!$E45:$Z45,MIN(AP$6-$G$3,22))),0)))))</f>
        <v>0</v>
      </c>
      <c r="AQ47" s="27" t="n">
        <f aca="false">IF(COUNT('Arroz irrigado'!$E45:$Z45)=0,0,MAX(0,IF((AQ$6-$E$3)&lt;1,0,IFERROR(LOOKUP(2,1/('Arroz irrigado'!$E45:INDEX('Arroz irrigado'!$E45:$Z45,MIN(AQ$6-$E$3,22))&lt;&gt;""),'Arroz irrigado'!$E45:INDEX('Arroz irrigado'!$E45:$Z45,MIN(AQ$6-$E$3,22))),0))-IF($G$2,0,IF((AQ$6-$G$3)&lt;1,0,IFERROR(LOOKUP(2,1/('Arroz irrigado'!$E45:INDEX('Arroz irrigado'!$E45:$Z45,MIN(AQ$6-$G$3,22))&lt;&gt;""),'Arroz irrigado'!$E45:INDEX('Arroz irrigado'!$E45:$Z45,MIN(AQ$6-$G$3,22))),0)))))</f>
        <v>0</v>
      </c>
      <c r="AR47" s="27" t="n">
        <f aca="false">IF(COUNT('Arroz irrigado'!$E45:$Z45)=0,0,MAX(0,IF((AR$6-$E$3)&lt;1,0,IFERROR(LOOKUP(2,1/('Arroz irrigado'!$E45:INDEX('Arroz irrigado'!$E45:$Z45,MIN(AR$6-$E$3,22))&lt;&gt;""),'Arroz irrigado'!$E45:INDEX('Arroz irrigado'!$E45:$Z45,MIN(AR$6-$E$3,22))),0))-IF($G$2,0,IF((AR$6-$G$3)&lt;1,0,IFERROR(LOOKUP(2,1/('Arroz irrigado'!$E45:INDEX('Arroz irrigado'!$E45:$Z45,MIN(AR$6-$G$3,22))&lt;&gt;""),'Arroz irrigado'!$E45:INDEX('Arroz irrigado'!$E45:$Z45,MIN(AR$6-$G$3,22))),0)))))</f>
        <v>0</v>
      </c>
      <c r="AS47" s="27" t="n">
        <f aca="false">IF(COUNT('Arroz irrigado'!$E45:$Z45)=0,0,MAX(0,IF((AS$6-$E$3)&lt;1,0,IFERROR(LOOKUP(2,1/('Arroz irrigado'!$E45:INDEX('Arroz irrigado'!$E45:$Z45,MIN(AS$6-$E$3,22))&lt;&gt;""),'Arroz irrigado'!$E45:INDEX('Arroz irrigado'!$E45:$Z45,MIN(AS$6-$E$3,22))),0))-IF($G$2,0,IF((AS$6-$G$3)&lt;1,0,IFERROR(LOOKUP(2,1/('Arroz irrigado'!$E45:INDEX('Arroz irrigado'!$E45:$Z45,MIN(AS$6-$G$3,22))&lt;&gt;""),'Arroz irrigado'!$E45:INDEX('Arroz irrigado'!$E45:$Z45,MIN(AS$6-$G$3,22))),0)))))</f>
        <v>0</v>
      </c>
      <c r="AT47" s="27" t="n">
        <f aca="false">IF(COUNT('Arroz irrigado'!$E45:$Z45)=0,0,MAX(0,IF((AT$6-$E$3)&lt;1,0,IFERROR(LOOKUP(2,1/('Arroz irrigado'!$E45:INDEX('Arroz irrigado'!$E45:$Z45,MIN(AT$6-$E$3,22))&lt;&gt;""),'Arroz irrigado'!$E45:INDEX('Arroz irrigado'!$E45:$Z45,MIN(AT$6-$E$3,22))),0))-IF($G$2,0,IF((AT$6-$G$3)&lt;1,0,IFERROR(LOOKUP(2,1/('Arroz irrigado'!$E45:INDEX('Arroz irrigado'!$E45:$Z45,MIN(AT$6-$G$3,22))&lt;&gt;""),'Arroz irrigado'!$E45:INDEX('Arroz irrigado'!$E45:$Z45,MIN(AT$6-$G$3,22))),0)))))</f>
        <v>0</v>
      </c>
      <c r="AU47" s="27" t="n">
        <f aca="false">IF(COUNT('Arroz irrigado'!$E45:$Z45)=0,0,MAX(0,IF((AU$6-$E$3)&lt;1,0,IFERROR(LOOKUP(2,1/('Arroz irrigado'!$E45:INDEX('Arroz irrigado'!$E45:$Z45,MIN(AU$6-$E$3,22))&lt;&gt;""),'Arroz irrigado'!$E45:INDEX('Arroz irrigado'!$E45:$Z45,MIN(AU$6-$E$3,22))),0))-IF($G$2,0,IF((AU$6-$G$3)&lt;1,0,IFERROR(LOOKUP(2,1/('Arroz irrigado'!$E45:INDEX('Arroz irrigado'!$E45:$Z45,MIN(AU$6-$G$3,22))&lt;&gt;""),'Arroz irrigado'!$E45:INDEX('Arroz irrigado'!$E45:$Z45,MIN(AU$6-$G$3,22))),0)))))</f>
        <v>0</v>
      </c>
      <c r="AV47" s="27" t="n">
        <f aca="false">IF(COUNT('Arroz irrigado'!$E45:$Z45)=0,0,MAX(0,IF((AV$6-$E$3)&lt;1,0,IFERROR(LOOKUP(2,1/('Arroz irrigado'!$E45:INDEX('Arroz irrigado'!$E45:$Z45,MIN(AV$6-$E$3,22))&lt;&gt;""),'Arroz irrigado'!$E45:INDEX('Arroz irrigado'!$E45:$Z45,MIN(AV$6-$E$3,22))),0))-IF($G$2,0,IF((AV$6-$G$3)&lt;1,0,IFERROR(LOOKUP(2,1/('Arroz irrigado'!$E45:INDEX('Arroz irrigado'!$E45:$Z45,MIN(AV$6-$G$3,22))&lt;&gt;""),'Arroz irrigado'!$E45:INDEX('Arroz irrigado'!$E45:$Z45,MIN(AV$6-$G$3,22))),0)))))</f>
        <v>0</v>
      </c>
      <c r="AW47" s="27" t="n">
        <f aca="false">IF(COUNT('Arroz irrigado'!$E45:$Z45)=0,0,MAX(0,IF((AW$6-$E$3)&lt;1,0,IFERROR(LOOKUP(2,1/('Arroz irrigado'!$E45:INDEX('Arroz irrigado'!$E45:$Z45,MIN(AW$6-$E$3,22))&lt;&gt;""),'Arroz irrigado'!$E45:INDEX('Arroz irrigado'!$E45:$Z45,MIN(AW$6-$E$3,22))),0))-IF($G$2,0,IF((AW$6-$G$3)&lt;1,0,IFERROR(LOOKUP(2,1/('Arroz irrigado'!$E45:INDEX('Arroz irrigado'!$E45:$Z45,MIN(AW$6-$G$3,22))&lt;&gt;""),'Arroz irrigado'!$E45:INDEX('Arroz irrigado'!$E45:$Z45,MIN(AW$6-$G$3,22))),0)))))</f>
        <v>0</v>
      </c>
      <c r="AX47" s="27" t="n">
        <f aca="false">IF(COUNT('Arroz irrigado'!$E45:$Z45)=0,0,MAX(0,IF((AX$6-$E$3)&lt;1,0,IFERROR(LOOKUP(2,1/('Arroz irrigado'!$E45:INDEX('Arroz irrigado'!$E45:$Z45,MIN(AX$6-$E$3,22))&lt;&gt;""),'Arroz irrigado'!$E45:INDEX('Arroz irrigado'!$E45:$Z45,MIN(AX$6-$E$3,22))),0))-IF($G$2,0,IF((AX$6-$G$3)&lt;1,0,IFERROR(LOOKUP(2,1/('Arroz irrigado'!$E45:INDEX('Arroz irrigado'!$E45:$Z45,MIN(AX$6-$G$3,22))&lt;&gt;""),'Arroz irrigado'!$E45:INDEX('Arroz irrigado'!$E45:$Z45,MIN(AX$6-$G$3,22))),0)))))</f>
        <v>0</v>
      </c>
      <c r="AY47" s="27" t="n">
        <f aca="false">IF(COUNT('Arroz irrigado'!$E45:$Z45)=0,0,MAX(0,IF((AY$6-$E$3)&lt;1,0,IFERROR(LOOKUP(2,1/('Arroz irrigado'!$E45:INDEX('Arroz irrigado'!$E45:$Z45,MIN(AY$6-$E$3,22))&lt;&gt;""),'Arroz irrigado'!$E45:INDEX('Arroz irrigado'!$E45:$Z45,MIN(AY$6-$E$3,22))),0))-IF($G$2,0,IF((AY$6-$G$3)&lt;1,0,IFERROR(LOOKUP(2,1/('Arroz irrigado'!$E45:INDEX('Arroz irrigado'!$E45:$Z45,MIN(AY$6-$G$3,22))&lt;&gt;""),'Arroz irrigado'!$E45:INDEX('Arroz irrigado'!$E45:$Z45,MIN(AY$6-$G$3,22))),0)))))</f>
        <v>0</v>
      </c>
      <c r="AZ47" s="27" t="n">
        <f aca="false">IF(COUNT('Arroz irrigado'!$E45:$Z45)=0,0,MAX(0,IF((AZ$6-$E$3)&lt;1,0,IFERROR(LOOKUP(2,1/('Arroz irrigado'!$E45:INDEX('Arroz irrigado'!$E45:$Z45,MIN(AZ$6-$E$3,22))&lt;&gt;""),'Arroz irrigado'!$E45:INDEX('Arroz irrigado'!$E45:$Z45,MIN(AZ$6-$E$3,22))),0))-IF($G$2,0,IF((AZ$6-$G$3)&lt;1,0,IFERROR(LOOKUP(2,1/('Arroz irrigado'!$E45:INDEX('Arroz irrigado'!$E45:$Z45,MIN(AZ$6-$G$3,22))&lt;&gt;""),'Arroz irrigado'!$E45:INDEX('Arroz irrigado'!$E45:$Z45,MIN(AZ$6-$G$3,22))),0)))))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IF(COUNT('Arroz irrigado'!$E46:$Z46)&gt;0,N('Arroz irrigado'!$D46),0)</f>
        <v>0</v>
      </c>
      <c r="E48" s="27" t="n">
        <f aca="false">IF(COUNT('Arroz irrigado'!$E46:$Z46)=0,0,MAX(0,IF((E$6-$E$3)&lt;1,0,IFERROR(LOOKUP(2,1/('Arroz irrigado'!$E46:INDEX('Arroz irrigado'!$E46:$Z46,MIN(E$6-$E$3,22))&lt;&gt;""),'Arroz irrigado'!$E46:INDEX('Arroz irrigado'!$E46:$Z46,MIN(E$6-$E$3,22))),0))-IF($G$2,0,IF((E$6-$G$3)&lt;1,0,IFERROR(LOOKUP(2,1/('Arroz irrigado'!$E46:INDEX('Arroz irrigado'!$E46:$Z46,MIN(E$6-$G$3,22))&lt;&gt;""),'Arroz irrigado'!$E46:INDEX('Arroz irrigado'!$E46:$Z46,MIN(E$6-$G$3,22))),0)))))</f>
        <v>0</v>
      </c>
      <c r="F48" s="27" t="n">
        <f aca="false">IF(COUNT('Arroz irrigado'!$E46:$Z46)=0,0,MAX(0,IF((F$6-$E$3)&lt;1,0,IFERROR(LOOKUP(2,1/('Arroz irrigado'!$E46:INDEX('Arroz irrigado'!$E46:$Z46,MIN(F$6-$E$3,22))&lt;&gt;""),'Arroz irrigado'!$E46:INDEX('Arroz irrigado'!$E46:$Z46,MIN(F$6-$E$3,22))),0))-IF($G$2,0,IF((F$6-$G$3)&lt;1,0,IFERROR(LOOKUP(2,1/('Arroz irrigado'!$E46:INDEX('Arroz irrigado'!$E46:$Z46,MIN(F$6-$G$3,22))&lt;&gt;""),'Arroz irrigado'!$E46:INDEX('Arroz irrigado'!$E46:$Z46,MIN(F$6-$G$3,22))),0)))))</f>
        <v>0</v>
      </c>
      <c r="G48" s="27" t="n">
        <f aca="false">IF(COUNT('Arroz irrigado'!$E46:$Z46)=0,0,MAX(0,IF((G$6-$E$3)&lt;1,0,IFERROR(LOOKUP(2,1/('Arroz irrigado'!$E46:INDEX('Arroz irrigado'!$E46:$Z46,MIN(G$6-$E$3,22))&lt;&gt;""),'Arroz irrigado'!$E46:INDEX('Arroz irrigado'!$E46:$Z46,MIN(G$6-$E$3,22))),0))-IF($G$2,0,IF((G$6-$G$3)&lt;1,0,IFERROR(LOOKUP(2,1/('Arroz irrigado'!$E46:INDEX('Arroz irrigado'!$E46:$Z46,MIN(G$6-$G$3,22))&lt;&gt;""),'Arroz irrigado'!$E46:INDEX('Arroz irrigado'!$E46:$Z46,MIN(G$6-$G$3,22))),0)))))</f>
        <v>0</v>
      </c>
      <c r="H48" s="27" t="n">
        <f aca="false">IF(COUNT('Arroz irrigado'!$E46:$Z46)=0,0,MAX(0,IF((H$6-$E$3)&lt;1,0,IFERROR(LOOKUP(2,1/('Arroz irrigado'!$E46:INDEX('Arroz irrigado'!$E46:$Z46,MIN(H$6-$E$3,22))&lt;&gt;""),'Arroz irrigado'!$E46:INDEX('Arroz irrigado'!$E46:$Z46,MIN(H$6-$E$3,22))),0))-IF($G$2,0,IF((H$6-$G$3)&lt;1,0,IFERROR(LOOKUP(2,1/('Arroz irrigado'!$E46:INDEX('Arroz irrigado'!$E46:$Z46,MIN(H$6-$G$3,22))&lt;&gt;""),'Arroz irrigado'!$E46:INDEX('Arroz irrigado'!$E46:$Z46,MIN(H$6-$G$3,22))),0)))))</f>
        <v>0</v>
      </c>
      <c r="I48" s="27" t="n">
        <f aca="false">IF(COUNT('Arroz irrigado'!$E46:$Z46)=0,0,MAX(0,IF((I$6-$E$3)&lt;1,0,IFERROR(LOOKUP(2,1/('Arroz irrigado'!$E46:INDEX('Arroz irrigado'!$E46:$Z46,MIN(I$6-$E$3,22))&lt;&gt;""),'Arroz irrigado'!$E46:INDEX('Arroz irrigado'!$E46:$Z46,MIN(I$6-$E$3,22))),0))-IF($G$2,0,IF((I$6-$G$3)&lt;1,0,IFERROR(LOOKUP(2,1/('Arroz irrigado'!$E46:INDEX('Arroz irrigado'!$E46:$Z46,MIN(I$6-$G$3,22))&lt;&gt;""),'Arroz irrigado'!$E46:INDEX('Arroz irrigado'!$E46:$Z46,MIN(I$6-$G$3,22))),0)))))</f>
        <v>0</v>
      </c>
      <c r="J48" s="27" t="n">
        <f aca="false">IF(COUNT('Arroz irrigado'!$E46:$Z46)=0,0,MAX(0,IF((J$6-$E$3)&lt;1,0,IFERROR(LOOKUP(2,1/('Arroz irrigado'!$E46:INDEX('Arroz irrigado'!$E46:$Z46,MIN(J$6-$E$3,22))&lt;&gt;""),'Arroz irrigado'!$E46:INDEX('Arroz irrigado'!$E46:$Z46,MIN(J$6-$E$3,22))),0))-IF($G$2,0,IF((J$6-$G$3)&lt;1,0,IFERROR(LOOKUP(2,1/('Arroz irrigado'!$E46:INDEX('Arroz irrigado'!$E46:$Z46,MIN(J$6-$G$3,22))&lt;&gt;""),'Arroz irrigado'!$E46:INDEX('Arroz irrigado'!$E46:$Z46,MIN(J$6-$G$3,22))),0)))))</f>
        <v>0</v>
      </c>
      <c r="K48" s="27" t="n">
        <f aca="false">IF(COUNT('Arroz irrigado'!$E46:$Z46)=0,0,MAX(0,IF((K$6-$E$3)&lt;1,0,IFERROR(LOOKUP(2,1/('Arroz irrigado'!$E46:INDEX('Arroz irrigado'!$E46:$Z46,MIN(K$6-$E$3,22))&lt;&gt;""),'Arroz irrigado'!$E46:INDEX('Arroz irrigado'!$E46:$Z46,MIN(K$6-$E$3,22))),0))-IF($G$2,0,IF((K$6-$G$3)&lt;1,0,IFERROR(LOOKUP(2,1/('Arroz irrigado'!$E46:INDEX('Arroz irrigado'!$E46:$Z46,MIN(K$6-$G$3,22))&lt;&gt;""),'Arroz irrigado'!$E46:INDEX('Arroz irrigado'!$E46:$Z46,MIN(K$6-$G$3,22))),0)))))</f>
        <v>0</v>
      </c>
      <c r="L48" s="27" t="n">
        <f aca="false">IF(COUNT('Arroz irrigado'!$E46:$Z46)=0,0,MAX(0,IF((L$6-$E$3)&lt;1,0,IFERROR(LOOKUP(2,1/('Arroz irrigado'!$E46:INDEX('Arroz irrigado'!$E46:$Z46,MIN(L$6-$E$3,22))&lt;&gt;""),'Arroz irrigado'!$E46:INDEX('Arroz irrigado'!$E46:$Z46,MIN(L$6-$E$3,22))),0))-IF($G$2,0,IF((L$6-$G$3)&lt;1,0,IFERROR(LOOKUP(2,1/('Arroz irrigado'!$E46:INDEX('Arroz irrigado'!$E46:$Z46,MIN(L$6-$G$3,22))&lt;&gt;""),'Arroz irrigado'!$E46:INDEX('Arroz irrigado'!$E46:$Z46,MIN(L$6-$G$3,22))),0)))))</f>
        <v>0</v>
      </c>
      <c r="M48" s="27" t="n">
        <f aca="false">IF(COUNT('Arroz irrigado'!$E46:$Z46)=0,0,MAX(0,IF((M$6-$E$3)&lt;1,0,IFERROR(LOOKUP(2,1/('Arroz irrigado'!$E46:INDEX('Arroz irrigado'!$E46:$Z46,MIN(M$6-$E$3,22))&lt;&gt;""),'Arroz irrigado'!$E46:INDEX('Arroz irrigado'!$E46:$Z46,MIN(M$6-$E$3,22))),0))-IF($G$2,0,IF((M$6-$G$3)&lt;1,0,IFERROR(LOOKUP(2,1/('Arroz irrigado'!$E46:INDEX('Arroz irrigado'!$E46:$Z46,MIN(M$6-$G$3,22))&lt;&gt;""),'Arroz irrigado'!$E46:INDEX('Arroz irrigado'!$E46:$Z46,MIN(M$6-$G$3,22))),0)))))</f>
        <v>0</v>
      </c>
      <c r="N48" s="27" t="n">
        <f aca="false">IF(COUNT('Arroz irrigado'!$E46:$Z46)=0,0,MAX(0,IF((N$6-$E$3)&lt;1,0,IFERROR(LOOKUP(2,1/('Arroz irrigado'!$E46:INDEX('Arroz irrigado'!$E46:$Z46,MIN(N$6-$E$3,22))&lt;&gt;""),'Arroz irrigado'!$E46:INDEX('Arroz irrigado'!$E46:$Z46,MIN(N$6-$E$3,22))),0))-IF($G$2,0,IF((N$6-$G$3)&lt;1,0,IFERROR(LOOKUP(2,1/('Arroz irrigado'!$E46:INDEX('Arroz irrigado'!$E46:$Z46,MIN(N$6-$G$3,22))&lt;&gt;""),'Arroz irrigado'!$E46:INDEX('Arroz irrigado'!$E46:$Z46,MIN(N$6-$G$3,22))),0)))))</f>
        <v>0</v>
      </c>
      <c r="O48" s="27" t="n">
        <f aca="false">IF(COUNT('Arroz irrigado'!$E46:$Z46)=0,0,MAX(0,IF((O$6-$E$3)&lt;1,0,IFERROR(LOOKUP(2,1/('Arroz irrigado'!$E46:INDEX('Arroz irrigado'!$E46:$Z46,MIN(O$6-$E$3,22))&lt;&gt;""),'Arroz irrigado'!$E46:INDEX('Arroz irrigado'!$E46:$Z46,MIN(O$6-$E$3,22))),0))-IF($G$2,0,IF((O$6-$G$3)&lt;1,0,IFERROR(LOOKUP(2,1/('Arroz irrigado'!$E46:INDEX('Arroz irrigado'!$E46:$Z46,MIN(O$6-$G$3,22))&lt;&gt;""),'Arroz irrigado'!$E46:INDEX('Arroz irrigado'!$E46:$Z46,MIN(O$6-$G$3,22))),0)))))</f>
        <v>0</v>
      </c>
      <c r="P48" s="27" t="n">
        <f aca="false">IF(COUNT('Arroz irrigado'!$E46:$Z46)=0,0,MAX(0,IF((P$6-$E$3)&lt;1,0,IFERROR(LOOKUP(2,1/('Arroz irrigado'!$E46:INDEX('Arroz irrigado'!$E46:$Z46,MIN(P$6-$E$3,22))&lt;&gt;""),'Arroz irrigado'!$E46:INDEX('Arroz irrigado'!$E46:$Z46,MIN(P$6-$E$3,22))),0))-IF($G$2,0,IF((P$6-$G$3)&lt;1,0,IFERROR(LOOKUP(2,1/('Arroz irrigado'!$E46:INDEX('Arroz irrigado'!$E46:$Z46,MIN(P$6-$G$3,22))&lt;&gt;""),'Arroz irrigado'!$E46:INDEX('Arroz irrigado'!$E46:$Z46,MIN(P$6-$G$3,22))),0)))))</f>
        <v>0</v>
      </c>
      <c r="Q48" s="27" t="n">
        <f aca="false">IF(COUNT('Arroz irrigado'!$E46:$Z46)=0,0,MAX(0,IF((Q$6-$E$3)&lt;1,0,IFERROR(LOOKUP(2,1/('Arroz irrigado'!$E46:INDEX('Arroz irrigado'!$E46:$Z46,MIN(Q$6-$E$3,22))&lt;&gt;""),'Arroz irrigado'!$E46:INDEX('Arroz irrigado'!$E46:$Z46,MIN(Q$6-$E$3,22))),0))-IF($G$2,0,IF((Q$6-$G$3)&lt;1,0,IFERROR(LOOKUP(2,1/('Arroz irrigado'!$E46:INDEX('Arroz irrigado'!$E46:$Z46,MIN(Q$6-$G$3,22))&lt;&gt;""),'Arroz irrigado'!$E46:INDEX('Arroz irrigado'!$E46:$Z46,MIN(Q$6-$G$3,22))),0)))))</f>
        <v>0</v>
      </c>
      <c r="R48" s="27" t="n">
        <f aca="false">IF(COUNT('Arroz irrigado'!$E46:$Z46)=0,0,MAX(0,IF((R$6-$E$3)&lt;1,0,IFERROR(LOOKUP(2,1/('Arroz irrigado'!$E46:INDEX('Arroz irrigado'!$E46:$Z46,MIN(R$6-$E$3,22))&lt;&gt;""),'Arroz irrigado'!$E46:INDEX('Arroz irrigado'!$E46:$Z46,MIN(R$6-$E$3,22))),0))-IF($G$2,0,IF((R$6-$G$3)&lt;1,0,IFERROR(LOOKUP(2,1/('Arroz irrigado'!$E46:INDEX('Arroz irrigado'!$E46:$Z46,MIN(R$6-$G$3,22))&lt;&gt;""),'Arroz irrigado'!$E46:INDEX('Arroz irrigado'!$E46:$Z46,MIN(R$6-$G$3,22))),0)))))</f>
        <v>0</v>
      </c>
      <c r="S48" s="27" t="n">
        <f aca="false">IF(COUNT('Arroz irrigado'!$E46:$Z46)=0,0,MAX(0,IF((S$6-$E$3)&lt;1,0,IFERROR(LOOKUP(2,1/('Arroz irrigado'!$E46:INDEX('Arroz irrigado'!$E46:$Z46,MIN(S$6-$E$3,22))&lt;&gt;""),'Arroz irrigado'!$E46:INDEX('Arroz irrigado'!$E46:$Z46,MIN(S$6-$E$3,22))),0))-IF($G$2,0,IF((S$6-$G$3)&lt;1,0,IFERROR(LOOKUP(2,1/('Arroz irrigado'!$E46:INDEX('Arroz irrigado'!$E46:$Z46,MIN(S$6-$G$3,22))&lt;&gt;""),'Arroz irrigado'!$E46:INDEX('Arroz irrigado'!$E46:$Z46,MIN(S$6-$G$3,22))),0)))))</f>
        <v>0</v>
      </c>
      <c r="T48" s="27" t="n">
        <f aca="false">IF(COUNT('Arroz irrigado'!$E46:$Z46)=0,0,MAX(0,IF((T$6-$E$3)&lt;1,0,IFERROR(LOOKUP(2,1/('Arroz irrigado'!$E46:INDEX('Arroz irrigado'!$E46:$Z46,MIN(T$6-$E$3,22))&lt;&gt;""),'Arroz irrigado'!$E46:INDEX('Arroz irrigado'!$E46:$Z46,MIN(T$6-$E$3,22))),0))-IF($G$2,0,IF((T$6-$G$3)&lt;1,0,IFERROR(LOOKUP(2,1/('Arroz irrigado'!$E46:INDEX('Arroz irrigado'!$E46:$Z46,MIN(T$6-$G$3,22))&lt;&gt;""),'Arroz irrigado'!$E46:INDEX('Arroz irrigado'!$E46:$Z46,MIN(T$6-$G$3,22))),0)))))</f>
        <v>0</v>
      </c>
      <c r="U48" s="27" t="n">
        <f aca="false">IF(COUNT('Arroz irrigado'!$E46:$Z46)=0,0,MAX(0,IF((U$6-$E$3)&lt;1,0,IFERROR(LOOKUP(2,1/('Arroz irrigado'!$E46:INDEX('Arroz irrigado'!$E46:$Z46,MIN(U$6-$E$3,22))&lt;&gt;""),'Arroz irrigado'!$E46:INDEX('Arroz irrigado'!$E46:$Z46,MIN(U$6-$E$3,22))),0))-IF($G$2,0,IF((U$6-$G$3)&lt;1,0,IFERROR(LOOKUP(2,1/('Arroz irrigado'!$E46:INDEX('Arroz irrigado'!$E46:$Z46,MIN(U$6-$G$3,22))&lt;&gt;""),'Arroz irrigado'!$E46:INDEX('Arroz irrigado'!$E46:$Z46,MIN(U$6-$G$3,22))),0)))))</f>
        <v>0</v>
      </c>
      <c r="V48" s="27" t="n">
        <f aca="false">IF(COUNT('Arroz irrigado'!$E46:$Z46)=0,0,MAX(0,IF((V$6-$E$3)&lt;1,0,IFERROR(LOOKUP(2,1/('Arroz irrigado'!$E46:INDEX('Arroz irrigado'!$E46:$Z46,MIN(V$6-$E$3,22))&lt;&gt;""),'Arroz irrigado'!$E46:INDEX('Arroz irrigado'!$E46:$Z46,MIN(V$6-$E$3,22))),0))-IF($G$2,0,IF((V$6-$G$3)&lt;1,0,IFERROR(LOOKUP(2,1/('Arroz irrigado'!$E46:INDEX('Arroz irrigado'!$E46:$Z46,MIN(V$6-$G$3,22))&lt;&gt;""),'Arroz irrigado'!$E46:INDEX('Arroz irrigado'!$E46:$Z46,MIN(V$6-$G$3,22))),0)))))</f>
        <v>0</v>
      </c>
      <c r="W48" s="27" t="n">
        <f aca="false">IF(COUNT('Arroz irrigado'!$E46:$Z46)=0,0,MAX(0,IF((W$6-$E$3)&lt;1,0,IFERROR(LOOKUP(2,1/('Arroz irrigado'!$E46:INDEX('Arroz irrigado'!$E46:$Z46,MIN(W$6-$E$3,22))&lt;&gt;""),'Arroz irrigado'!$E46:INDEX('Arroz irrigado'!$E46:$Z46,MIN(W$6-$E$3,22))),0))-IF($G$2,0,IF((W$6-$G$3)&lt;1,0,IFERROR(LOOKUP(2,1/('Arroz irrigado'!$E46:INDEX('Arroz irrigado'!$E46:$Z46,MIN(W$6-$G$3,22))&lt;&gt;""),'Arroz irrigado'!$E46:INDEX('Arroz irrigado'!$E46:$Z46,MIN(W$6-$G$3,22))),0)))))</f>
        <v>0</v>
      </c>
      <c r="X48" s="27" t="n">
        <f aca="false">IF(COUNT('Arroz irrigado'!$E46:$Z46)=0,0,MAX(0,IF((X$6-$E$3)&lt;1,0,IFERROR(LOOKUP(2,1/('Arroz irrigado'!$E46:INDEX('Arroz irrigado'!$E46:$Z46,MIN(X$6-$E$3,22))&lt;&gt;""),'Arroz irrigado'!$E46:INDEX('Arroz irrigado'!$E46:$Z46,MIN(X$6-$E$3,22))),0))-IF($G$2,0,IF((X$6-$G$3)&lt;1,0,IFERROR(LOOKUP(2,1/('Arroz irrigado'!$E46:INDEX('Arroz irrigado'!$E46:$Z46,MIN(X$6-$G$3,22))&lt;&gt;""),'Arroz irrigado'!$E46:INDEX('Arroz irrigado'!$E46:$Z46,MIN(X$6-$G$3,22))),0)))))</f>
        <v>0</v>
      </c>
      <c r="Y48" s="27" t="n">
        <f aca="false">IF(COUNT('Arroz irrigado'!$E46:$Z46)=0,0,MAX(0,IF((Y$6-$E$3)&lt;1,0,IFERROR(LOOKUP(2,1/('Arroz irrigado'!$E46:INDEX('Arroz irrigado'!$E46:$Z46,MIN(Y$6-$E$3,22))&lt;&gt;""),'Arroz irrigado'!$E46:INDEX('Arroz irrigado'!$E46:$Z46,MIN(Y$6-$E$3,22))),0))-IF($G$2,0,IF((Y$6-$G$3)&lt;1,0,IFERROR(LOOKUP(2,1/('Arroz irrigado'!$E46:INDEX('Arroz irrigado'!$E46:$Z46,MIN(Y$6-$G$3,22))&lt;&gt;""),'Arroz irrigado'!$E46:INDEX('Arroz irrigado'!$E46:$Z46,MIN(Y$6-$G$3,22))),0)))))</f>
        <v>0</v>
      </c>
      <c r="Z48" s="27" t="n">
        <f aca="false">IF(COUNT('Arroz irrigado'!$E46:$Z46)=0,0,MAX(0,IF((Z$6-$E$3)&lt;1,0,IFERROR(LOOKUP(2,1/('Arroz irrigado'!$E46:INDEX('Arroz irrigado'!$E46:$Z46,MIN(Z$6-$E$3,22))&lt;&gt;""),'Arroz irrigado'!$E46:INDEX('Arroz irrigado'!$E46:$Z46,MIN(Z$6-$E$3,22))),0))-IF($G$2,0,IF((Z$6-$G$3)&lt;1,0,IFERROR(LOOKUP(2,1/('Arroz irrigado'!$E46:INDEX('Arroz irrigado'!$E46:$Z46,MIN(Z$6-$G$3,22))&lt;&gt;""),'Arroz irrigado'!$E46:INDEX('Arroz irrigado'!$E46:$Z46,MIN(Z$6-$G$3,22))),0)))))</f>
        <v>0</v>
      </c>
      <c r="AA48" s="27" t="n">
        <f aca="false">IF(COUNT('Arroz irrigado'!$E46:$Z46)=0,0,MAX(0,IF((AA$6-$E$3)&lt;1,0,IFERROR(LOOKUP(2,1/('Arroz irrigado'!$E46:INDEX('Arroz irrigado'!$E46:$Z46,MIN(AA$6-$E$3,22))&lt;&gt;""),'Arroz irrigado'!$E46:INDEX('Arroz irrigado'!$E46:$Z46,MIN(AA$6-$E$3,22))),0))-IF($G$2,0,IF((AA$6-$G$3)&lt;1,0,IFERROR(LOOKUP(2,1/('Arroz irrigado'!$E46:INDEX('Arroz irrigado'!$E46:$Z46,MIN(AA$6-$G$3,22))&lt;&gt;""),'Arroz irrigado'!$E46:INDEX('Arroz irrigado'!$E46:$Z46,MIN(AA$6-$G$3,22))),0)))))</f>
        <v>0</v>
      </c>
      <c r="AB48" s="27" t="n">
        <f aca="false">IF(COUNT('Arroz irrigado'!$E46:$Z46)=0,0,MAX(0,IF((AB$6-$E$3)&lt;1,0,IFERROR(LOOKUP(2,1/('Arroz irrigado'!$E46:INDEX('Arroz irrigado'!$E46:$Z46,MIN(AB$6-$E$3,22))&lt;&gt;""),'Arroz irrigado'!$E46:INDEX('Arroz irrigado'!$E46:$Z46,MIN(AB$6-$E$3,22))),0))-IF($G$2,0,IF((AB$6-$G$3)&lt;1,0,IFERROR(LOOKUP(2,1/('Arroz irrigado'!$E46:INDEX('Arroz irrigado'!$E46:$Z46,MIN(AB$6-$G$3,22))&lt;&gt;""),'Arroz irrigado'!$E46:INDEX('Arroz irrigado'!$E46:$Z46,MIN(AB$6-$G$3,22))),0)))))</f>
        <v>0</v>
      </c>
      <c r="AC48" s="27" t="n">
        <f aca="false">IF(COUNT('Arroz irrigado'!$E46:$Z46)=0,0,MAX(0,IF((AC$6-$E$3)&lt;1,0,IFERROR(LOOKUP(2,1/('Arroz irrigado'!$E46:INDEX('Arroz irrigado'!$E46:$Z46,MIN(AC$6-$E$3,22))&lt;&gt;""),'Arroz irrigado'!$E46:INDEX('Arroz irrigado'!$E46:$Z46,MIN(AC$6-$E$3,22))),0))-IF($G$2,0,IF((AC$6-$G$3)&lt;1,0,IFERROR(LOOKUP(2,1/('Arroz irrigado'!$E46:INDEX('Arroz irrigado'!$E46:$Z46,MIN(AC$6-$G$3,22))&lt;&gt;""),'Arroz irrigado'!$E46:INDEX('Arroz irrigado'!$E46:$Z46,MIN(AC$6-$G$3,22))),0)))))</f>
        <v>0</v>
      </c>
      <c r="AD48" s="27" t="n">
        <f aca="false">IF(COUNT('Arroz irrigado'!$E46:$Z46)=0,0,MAX(0,IF((AD$6-$E$3)&lt;1,0,IFERROR(LOOKUP(2,1/('Arroz irrigado'!$E46:INDEX('Arroz irrigado'!$E46:$Z46,MIN(AD$6-$E$3,22))&lt;&gt;""),'Arroz irrigado'!$E46:INDEX('Arroz irrigado'!$E46:$Z46,MIN(AD$6-$E$3,22))),0))-IF($G$2,0,IF((AD$6-$G$3)&lt;1,0,IFERROR(LOOKUP(2,1/('Arroz irrigado'!$E46:INDEX('Arroz irrigado'!$E46:$Z46,MIN(AD$6-$G$3,22))&lt;&gt;""),'Arroz irrigado'!$E46:INDEX('Arroz irrigado'!$E46:$Z46,MIN(AD$6-$G$3,22))),0)))))</f>
        <v>0</v>
      </c>
      <c r="AE48" s="27" t="n">
        <f aca="false">IF(COUNT('Arroz irrigado'!$E46:$Z46)=0,0,MAX(0,IF((AE$6-$E$3)&lt;1,0,IFERROR(LOOKUP(2,1/('Arroz irrigado'!$E46:INDEX('Arroz irrigado'!$E46:$Z46,MIN(AE$6-$E$3,22))&lt;&gt;""),'Arroz irrigado'!$E46:INDEX('Arroz irrigado'!$E46:$Z46,MIN(AE$6-$E$3,22))),0))-IF($G$2,0,IF((AE$6-$G$3)&lt;1,0,IFERROR(LOOKUP(2,1/('Arroz irrigado'!$E46:INDEX('Arroz irrigado'!$E46:$Z46,MIN(AE$6-$G$3,22))&lt;&gt;""),'Arroz irrigado'!$E46:INDEX('Arroz irrigado'!$E46:$Z46,MIN(AE$6-$G$3,22))),0)))))</f>
        <v>0</v>
      </c>
      <c r="AF48" s="27" t="n">
        <f aca="false">IF(COUNT('Arroz irrigado'!$E46:$Z46)=0,0,MAX(0,IF((AF$6-$E$3)&lt;1,0,IFERROR(LOOKUP(2,1/('Arroz irrigado'!$E46:INDEX('Arroz irrigado'!$E46:$Z46,MIN(AF$6-$E$3,22))&lt;&gt;""),'Arroz irrigado'!$E46:INDEX('Arroz irrigado'!$E46:$Z46,MIN(AF$6-$E$3,22))),0))-IF($G$2,0,IF((AF$6-$G$3)&lt;1,0,IFERROR(LOOKUP(2,1/('Arroz irrigado'!$E46:INDEX('Arroz irrigado'!$E46:$Z46,MIN(AF$6-$G$3,22))&lt;&gt;""),'Arroz irrigado'!$E46:INDEX('Arroz irrigado'!$E46:$Z46,MIN(AF$6-$G$3,22))),0)))))</f>
        <v>0</v>
      </c>
      <c r="AG48" s="27" t="n">
        <f aca="false">IF(COUNT('Arroz irrigado'!$E46:$Z46)=0,0,MAX(0,IF((AG$6-$E$3)&lt;1,0,IFERROR(LOOKUP(2,1/('Arroz irrigado'!$E46:INDEX('Arroz irrigado'!$E46:$Z46,MIN(AG$6-$E$3,22))&lt;&gt;""),'Arroz irrigado'!$E46:INDEX('Arroz irrigado'!$E46:$Z46,MIN(AG$6-$E$3,22))),0))-IF($G$2,0,IF((AG$6-$G$3)&lt;1,0,IFERROR(LOOKUP(2,1/('Arroz irrigado'!$E46:INDEX('Arroz irrigado'!$E46:$Z46,MIN(AG$6-$G$3,22))&lt;&gt;""),'Arroz irrigado'!$E46:INDEX('Arroz irrigado'!$E46:$Z46,MIN(AG$6-$G$3,22))),0)))))</f>
        <v>0</v>
      </c>
      <c r="AH48" s="27" t="n">
        <f aca="false">IF(COUNT('Arroz irrigado'!$E46:$Z46)=0,0,MAX(0,IF((AH$6-$E$3)&lt;1,0,IFERROR(LOOKUP(2,1/('Arroz irrigado'!$E46:INDEX('Arroz irrigado'!$E46:$Z46,MIN(AH$6-$E$3,22))&lt;&gt;""),'Arroz irrigado'!$E46:INDEX('Arroz irrigado'!$E46:$Z46,MIN(AH$6-$E$3,22))),0))-IF($G$2,0,IF((AH$6-$G$3)&lt;1,0,IFERROR(LOOKUP(2,1/('Arroz irrigado'!$E46:INDEX('Arroz irrigado'!$E46:$Z46,MIN(AH$6-$G$3,22))&lt;&gt;""),'Arroz irrigado'!$E46:INDEX('Arroz irrigado'!$E46:$Z46,MIN(AH$6-$G$3,22))),0)))))</f>
        <v>0</v>
      </c>
      <c r="AI48" s="27" t="n">
        <f aca="false">IF(COUNT('Arroz irrigado'!$E46:$Z46)=0,0,MAX(0,IF((AI$6-$E$3)&lt;1,0,IFERROR(LOOKUP(2,1/('Arroz irrigado'!$E46:INDEX('Arroz irrigado'!$E46:$Z46,MIN(AI$6-$E$3,22))&lt;&gt;""),'Arroz irrigado'!$E46:INDEX('Arroz irrigado'!$E46:$Z46,MIN(AI$6-$E$3,22))),0))-IF($G$2,0,IF((AI$6-$G$3)&lt;1,0,IFERROR(LOOKUP(2,1/('Arroz irrigado'!$E46:INDEX('Arroz irrigado'!$E46:$Z46,MIN(AI$6-$G$3,22))&lt;&gt;""),'Arroz irrigado'!$E46:INDEX('Arroz irrigado'!$E46:$Z46,MIN(AI$6-$G$3,22))),0)))))</f>
        <v>0</v>
      </c>
      <c r="AJ48" s="27" t="n">
        <f aca="false">IF(COUNT('Arroz irrigado'!$E46:$Z46)=0,0,MAX(0,IF((AJ$6-$E$3)&lt;1,0,IFERROR(LOOKUP(2,1/('Arroz irrigado'!$E46:INDEX('Arroz irrigado'!$E46:$Z46,MIN(AJ$6-$E$3,22))&lt;&gt;""),'Arroz irrigado'!$E46:INDEX('Arroz irrigado'!$E46:$Z46,MIN(AJ$6-$E$3,22))),0))-IF($G$2,0,IF((AJ$6-$G$3)&lt;1,0,IFERROR(LOOKUP(2,1/('Arroz irrigado'!$E46:INDEX('Arroz irrigado'!$E46:$Z46,MIN(AJ$6-$G$3,22))&lt;&gt;""),'Arroz irrigado'!$E46:INDEX('Arroz irrigado'!$E46:$Z46,MIN(AJ$6-$G$3,22))),0)))))</f>
        <v>0</v>
      </c>
      <c r="AK48" s="27" t="n">
        <f aca="false">IF(COUNT('Arroz irrigado'!$E46:$Z46)=0,0,MAX(0,IF((AK$6-$E$3)&lt;1,0,IFERROR(LOOKUP(2,1/('Arroz irrigado'!$E46:INDEX('Arroz irrigado'!$E46:$Z46,MIN(AK$6-$E$3,22))&lt;&gt;""),'Arroz irrigado'!$E46:INDEX('Arroz irrigado'!$E46:$Z46,MIN(AK$6-$E$3,22))),0))-IF($G$2,0,IF((AK$6-$G$3)&lt;1,0,IFERROR(LOOKUP(2,1/('Arroz irrigado'!$E46:INDEX('Arroz irrigado'!$E46:$Z46,MIN(AK$6-$G$3,22))&lt;&gt;""),'Arroz irrigado'!$E46:INDEX('Arroz irrigado'!$E46:$Z46,MIN(AK$6-$G$3,22))),0)))))</f>
        <v>0</v>
      </c>
      <c r="AL48" s="27" t="n">
        <f aca="false">IF(COUNT('Arroz irrigado'!$E46:$Z46)=0,0,MAX(0,IF((AL$6-$E$3)&lt;1,0,IFERROR(LOOKUP(2,1/('Arroz irrigado'!$E46:INDEX('Arroz irrigado'!$E46:$Z46,MIN(AL$6-$E$3,22))&lt;&gt;""),'Arroz irrigado'!$E46:INDEX('Arroz irrigado'!$E46:$Z46,MIN(AL$6-$E$3,22))),0))-IF($G$2,0,IF((AL$6-$G$3)&lt;1,0,IFERROR(LOOKUP(2,1/('Arroz irrigado'!$E46:INDEX('Arroz irrigado'!$E46:$Z46,MIN(AL$6-$G$3,22))&lt;&gt;""),'Arroz irrigado'!$E46:INDEX('Arroz irrigado'!$E46:$Z46,MIN(AL$6-$G$3,22))),0)))))</f>
        <v>0</v>
      </c>
      <c r="AM48" s="27" t="n">
        <f aca="false">IF(COUNT('Arroz irrigado'!$E46:$Z46)=0,0,MAX(0,IF((AM$6-$E$3)&lt;1,0,IFERROR(LOOKUP(2,1/('Arroz irrigado'!$E46:INDEX('Arroz irrigado'!$E46:$Z46,MIN(AM$6-$E$3,22))&lt;&gt;""),'Arroz irrigado'!$E46:INDEX('Arroz irrigado'!$E46:$Z46,MIN(AM$6-$E$3,22))),0))-IF($G$2,0,IF((AM$6-$G$3)&lt;1,0,IFERROR(LOOKUP(2,1/('Arroz irrigado'!$E46:INDEX('Arroz irrigado'!$E46:$Z46,MIN(AM$6-$G$3,22))&lt;&gt;""),'Arroz irrigado'!$E46:INDEX('Arroz irrigado'!$E46:$Z46,MIN(AM$6-$G$3,22))),0)))))</f>
        <v>0</v>
      </c>
      <c r="AN48" s="27" t="n">
        <f aca="false">IF(COUNT('Arroz irrigado'!$E46:$Z46)=0,0,MAX(0,IF((AN$6-$E$3)&lt;1,0,IFERROR(LOOKUP(2,1/('Arroz irrigado'!$E46:INDEX('Arroz irrigado'!$E46:$Z46,MIN(AN$6-$E$3,22))&lt;&gt;""),'Arroz irrigado'!$E46:INDEX('Arroz irrigado'!$E46:$Z46,MIN(AN$6-$E$3,22))),0))-IF($G$2,0,IF((AN$6-$G$3)&lt;1,0,IFERROR(LOOKUP(2,1/('Arroz irrigado'!$E46:INDEX('Arroz irrigado'!$E46:$Z46,MIN(AN$6-$G$3,22))&lt;&gt;""),'Arroz irrigado'!$E46:INDEX('Arroz irrigado'!$E46:$Z46,MIN(AN$6-$G$3,22))),0)))))</f>
        <v>0</v>
      </c>
      <c r="AO48" s="27" t="n">
        <f aca="false">IF(COUNT('Arroz irrigado'!$E46:$Z46)=0,0,MAX(0,IF((AO$6-$E$3)&lt;1,0,IFERROR(LOOKUP(2,1/('Arroz irrigado'!$E46:INDEX('Arroz irrigado'!$E46:$Z46,MIN(AO$6-$E$3,22))&lt;&gt;""),'Arroz irrigado'!$E46:INDEX('Arroz irrigado'!$E46:$Z46,MIN(AO$6-$E$3,22))),0))-IF($G$2,0,IF((AO$6-$G$3)&lt;1,0,IFERROR(LOOKUP(2,1/('Arroz irrigado'!$E46:INDEX('Arroz irrigado'!$E46:$Z46,MIN(AO$6-$G$3,22))&lt;&gt;""),'Arroz irrigado'!$E46:INDEX('Arroz irrigado'!$E46:$Z46,MIN(AO$6-$G$3,22))),0)))))</f>
        <v>0</v>
      </c>
      <c r="AP48" s="27" t="n">
        <f aca="false">IF(COUNT('Arroz irrigado'!$E46:$Z46)=0,0,MAX(0,IF((AP$6-$E$3)&lt;1,0,IFERROR(LOOKUP(2,1/('Arroz irrigado'!$E46:INDEX('Arroz irrigado'!$E46:$Z46,MIN(AP$6-$E$3,22))&lt;&gt;""),'Arroz irrigado'!$E46:INDEX('Arroz irrigado'!$E46:$Z46,MIN(AP$6-$E$3,22))),0))-IF($G$2,0,IF((AP$6-$G$3)&lt;1,0,IFERROR(LOOKUP(2,1/('Arroz irrigado'!$E46:INDEX('Arroz irrigado'!$E46:$Z46,MIN(AP$6-$G$3,22))&lt;&gt;""),'Arroz irrigado'!$E46:INDEX('Arroz irrigado'!$E46:$Z46,MIN(AP$6-$G$3,22))),0)))))</f>
        <v>0</v>
      </c>
      <c r="AQ48" s="27" t="n">
        <f aca="false">IF(COUNT('Arroz irrigado'!$E46:$Z46)=0,0,MAX(0,IF((AQ$6-$E$3)&lt;1,0,IFERROR(LOOKUP(2,1/('Arroz irrigado'!$E46:INDEX('Arroz irrigado'!$E46:$Z46,MIN(AQ$6-$E$3,22))&lt;&gt;""),'Arroz irrigado'!$E46:INDEX('Arroz irrigado'!$E46:$Z46,MIN(AQ$6-$E$3,22))),0))-IF($G$2,0,IF((AQ$6-$G$3)&lt;1,0,IFERROR(LOOKUP(2,1/('Arroz irrigado'!$E46:INDEX('Arroz irrigado'!$E46:$Z46,MIN(AQ$6-$G$3,22))&lt;&gt;""),'Arroz irrigado'!$E46:INDEX('Arroz irrigado'!$E46:$Z46,MIN(AQ$6-$G$3,22))),0)))))</f>
        <v>0</v>
      </c>
      <c r="AR48" s="27" t="n">
        <f aca="false">IF(COUNT('Arroz irrigado'!$E46:$Z46)=0,0,MAX(0,IF((AR$6-$E$3)&lt;1,0,IFERROR(LOOKUP(2,1/('Arroz irrigado'!$E46:INDEX('Arroz irrigado'!$E46:$Z46,MIN(AR$6-$E$3,22))&lt;&gt;""),'Arroz irrigado'!$E46:INDEX('Arroz irrigado'!$E46:$Z46,MIN(AR$6-$E$3,22))),0))-IF($G$2,0,IF((AR$6-$G$3)&lt;1,0,IFERROR(LOOKUP(2,1/('Arroz irrigado'!$E46:INDEX('Arroz irrigado'!$E46:$Z46,MIN(AR$6-$G$3,22))&lt;&gt;""),'Arroz irrigado'!$E46:INDEX('Arroz irrigado'!$E46:$Z46,MIN(AR$6-$G$3,22))),0)))))</f>
        <v>0</v>
      </c>
      <c r="AS48" s="27" t="n">
        <f aca="false">IF(COUNT('Arroz irrigado'!$E46:$Z46)=0,0,MAX(0,IF((AS$6-$E$3)&lt;1,0,IFERROR(LOOKUP(2,1/('Arroz irrigado'!$E46:INDEX('Arroz irrigado'!$E46:$Z46,MIN(AS$6-$E$3,22))&lt;&gt;""),'Arroz irrigado'!$E46:INDEX('Arroz irrigado'!$E46:$Z46,MIN(AS$6-$E$3,22))),0))-IF($G$2,0,IF((AS$6-$G$3)&lt;1,0,IFERROR(LOOKUP(2,1/('Arroz irrigado'!$E46:INDEX('Arroz irrigado'!$E46:$Z46,MIN(AS$6-$G$3,22))&lt;&gt;""),'Arroz irrigado'!$E46:INDEX('Arroz irrigado'!$E46:$Z46,MIN(AS$6-$G$3,22))),0)))))</f>
        <v>0</v>
      </c>
      <c r="AT48" s="27" t="n">
        <f aca="false">IF(COUNT('Arroz irrigado'!$E46:$Z46)=0,0,MAX(0,IF((AT$6-$E$3)&lt;1,0,IFERROR(LOOKUP(2,1/('Arroz irrigado'!$E46:INDEX('Arroz irrigado'!$E46:$Z46,MIN(AT$6-$E$3,22))&lt;&gt;""),'Arroz irrigado'!$E46:INDEX('Arroz irrigado'!$E46:$Z46,MIN(AT$6-$E$3,22))),0))-IF($G$2,0,IF((AT$6-$G$3)&lt;1,0,IFERROR(LOOKUP(2,1/('Arroz irrigado'!$E46:INDEX('Arroz irrigado'!$E46:$Z46,MIN(AT$6-$G$3,22))&lt;&gt;""),'Arroz irrigado'!$E46:INDEX('Arroz irrigado'!$E46:$Z46,MIN(AT$6-$G$3,22))),0)))))</f>
        <v>0</v>
      </c>
      <c r="AU48" s="27" t="n">
        <f aca="false">IF(COUNT('Arroz irrigado'!$E46:$Z46)=0,0,MAX(0,IF((AU$6-$E$3)&lt;1,0,IFERROR(LOOKUP(2,1/('Arroz irrigado'!$E46:INDEX('Arroz irrigado'!$E46:$Z46,MIN(AU$6-$E$3,22))&lt;&gt;""),'Arroz irrigado'!$E46:INDEX('Arroz irrigado'!$E46:$Z46,MIN(AU$6-$E$3,22))),0))-IF($G$2,0,IF((AU$6-$G$3)&lt;1,0,IFERROR(LOOKUP(2,1/('Arroz irrigado'!$E46:INDEX('Arroz irrigado'!$E46:$Z46,MIN(AU$6-$G$3,22))&lt;&gt;""),'Arroz irrigado'!$E46:INDEX('Arroz irrigado'!$E46:$Z46,MIN(AU$6-$G$3,22))),0)))))</f>
        <v>0</v>
      </c>
      <c r="AV48" s="27" t="n">
        <f aca="false">IF(COUNT('Arroz irrigado'!$E46:$Z46)=0,0,MAX(0,IF((AV$6-$E$3)&lt;1,0,IFERROR(LOOKUP(2,1/('Arroz irrigado'!$E46:INDEX('Arroz irrigado'!$E46:$Z46,MIN(AV$6-$E$3,22))&lt;&gt;""),'Arroz irrigado'!$E46:INDEX('Arroz irrigado'!$E46:$Z46,MIN(AV$6-$E$3,22))),0))-IF($G$2,0,IF((AV$6-$G$3)&lt;1,0,IFERROR(LOOKUP(2,1/('Arroz irrigado'!$E46:INDEX('Arroz irrigado'!$E46:$Z46,MIN(AV$6-$G$3,22))&lt;&gt;""),'Arroz irrigado'!$E46:INDEX('Arroz irrigado'!$E46:$Z46,MIN(AV$6-$G$3,22))),0)))))</f>
        <v>0</v>
      </c>
      <c r="AW48" s="27" t="n">
        <f aca="false">IF(COUNT('Arroz irrigado'!$E46:$Z46)=0,0,MAX(0,IF((AW$6-$E$3)&lt;1,0,IFERROR(LOOKUP(2,1/('Arroz irrigado'!$E46:INDEX('Arroz irrigado'!$E46:$Z46,MIN(AW$6-$E$3,22))&lt;&gt;""),'Arroz irrigado'!$E46:INDEX('Arroz irrigado'!$E46:$Z46,MIN(AW$6-$E$3,22))),0))-IF($G$2,0,IF((AW$6-$G$3)&lt;1,0,IFERROR(LOOKUP(2,1/('Arroz irrigado'!$E46:INDEX('Arroz irrigado'!$E46:$Z46,MIN(AW$6-$G$3,22))&lt;&gt;""),'Arroz irrigado'!$E46:INDEX('Arroz irrigado'!$E46:$Z46,MIN(AW$6-$G$3,22))),0)))))</f>
        <v>0</v>
      </c>
      <c r="AX48" s="27" t="n">
        <f aca="false">IF(COUNT('Arroz irrigado'!$E46:$Z46)=0,0,MAX(0,IF((AX$6-$E$3)&lt;1,0,IFERROR(LOOKUP(2,1/('Arroz irrigado'!$E46:INDEX('Arroz irrigado'!$E46:$Z46,MIN(AX$6-$E$3,22))&lt;&gt;""),'Arroz irrigado'!$E46:INDEX('Arroz irrigado'!$E46:$Z46,MIN(AX$6-$E$3,22))),0))-IF($G$2,0,IF((AX$6-$G$3)&lt;1,0,IFERROR(LOOKUP(2,1/('Arroz irrigado'!$E46:INDEX('Arroz irrigado'!$E46:$Z46,MIN(AX$6-$G$3,22))&lt;&gt;""),'Arroz irrigado'!$E46:INDEX('Arroz irrigado'!$E46:$Z46,MIN(AX$6-$G$3,22))),0)))))</f>
        <v>0</v>
      </c>
      <c r="AY48" s="27" t="n">
        <f aca="false">IF(COUNT('Arroz irrigado'!$E46:$Z46)=0,0,MAX(0,IF((AY$6-$E$3)&lt;1,0,IFERROR(LOOKUP(2,1/('Arroz irrigado'!$E46:INDEX('Arroz irrigado'!$E46:$Z46,MIN(AY$6-$E$3,22))&lt;&gt;""),'Arroz irrigado'!$E46:INDEX('Arroz irrigado'!$E46:$Z46,MIN(AY$6-$E$3,22))),0))-IF($G$2,0,IF((AY$6-$G$3)&lt;1,0,IFERROR(LOOKUP(2,1/('Arroz irrigado'!$E46:INDEX('Arroz irrigado'!$E46:$Z46,MIN(AY$6-$G$3,22))&lt;&gt;""),'Arroz irrigado'!$E46:INDEX('Arroz irrigado'!$E46:$Z46,MIN(AY$6-$G$3,22))),0)))))</f>
        <v>0</v>
      </c>
      <c r="AZ48" s="27" t="n">
        <f aca="false">IF(COUNT('Arroz irrigado'!$E46:$Z46)=0,0,MAX(0,IF((AZ$6-$E$3)&lt;1,0,IFERROR(LOOKUP(2,1/('Arroz irrigado'!$E46:INDEX('Arroz irrigado'!$E46:$Z46,MIN(AZ$6-$E$3,22))&lt;&gt;""),'Arroz irrigado'!$E46:INDEX('Arroz irrigado'!$E46:$Z46,MIN(AZ$6-$E$3,22))),0))-IF($G$2,0,IF((AZ$6-$G$3)&lt;1,0,IFERROR(LOOKUP(2,1/('Arroz irrigado'!$E46:INDEX('Arroz irrigado'!$E46:$Z46,MIN(AZ$6-$G$3,22))&lt;&gt;""),'Arroz irrigado'!$E46:INDEX('Arroz irrigado'!$E46:$Z46,MIN(AZ$6-$G$3,22))),0)))))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IF(COUNT('Arroz irrigado'!$E47:$Z47)&gt;0,N('Arroz irrigado'!$D47),0)</f>
        <v>0</v>
      </c>
      <c r="E49" s="27" t="n">
        <f aca="false">IF(COUNT('Arroz irrigado'!$E47:$Z47)=0,0,MAX(0,IF((E$6-$E$3)&lt;1,0,IFERROR(LOOKUP(2,1/('Arroz irrigado'!$E47:INDEX('Arroz irrigado'!$E47:$Z47,MIN(E$6-$E$3,22))&lt;&gt;""),'Arroz irrigado'!$E47:INDEX('Arroz irrigado'!$E47:$Z47,MIN(E$6-$E$3,22))),0))-IF($G$2,0,IF((E$6-$G$3)&lt;1,0,IFERROR(LOOKUP(2,1/('Arroz irrigado'!$E47:INDEX('Arroz irrigado'!$E47:$Z47,MIN(E$6-$G$3,22))&lt;&gt;""),'Arroz irrigado'!$E47:INDEX('Arroz irrigado'!$E47:$Z47,MIN(E$6-$G$3,22))),0)))))</f>
        <v>0</v>
      </c>
      <c r="F49" s="27" t="n">
        <f aca="false">IF(COUNT('Arroz irrigado'!$E47:$Z47)=0,0,MAX(0,IF((F$6-$E$3)&lt;1,0,IFERROR(LOOKUP(2,1/('Arroz irrigado'!$E47:INDEX('Arroz irrigado'!$E47:$Z47,MIN(F$6-$E$3,22))&lt;&gt;""),'Arroz irrigado'!$E47:INDEX('Arroz irrigado'!$E47:$Z47,MIN(F$6-$E$3,22))),0))-IF($G$2,0,IF((F$6-$G$3)&lt;1,0,IFERROR(LOOKUP(2,1/('Arroz irrigado'!$E47:INDEX('Arroz irrigado'!$E47:$Z47,MIN(F$6-$G$3,22))&lt;&gt;""),'Arroz irrigado'!$E47:INDEX('Arroz irrigado'!$E47:$Z47,MIN(F$6-$G$3,22))),0)))))</f>
        <v>0</v>
      </c>
      <c r="G49" s="27" t="n">
        <f aca="false">IF(COUNT('Arroz irrigado'!$E47:$Z47)=0,0,MAX(0,IF((G$6-$E$3)&lt;1,0,IFERROR(LOOKUP(2,1/('Arroz irrigado'!$E47:INDEX('Arroz irrigado'!$E47:$Z47,MIN(G$6-$E$3,22))&lt;&gt;""),'Arroz irrigado'!$E47:INDEX('Arroz irrigado'!$E47:$Z47,MIN(G$6-$E$3,22))),0))-IF($G$2,0,IF((G$6-$G$3)&lt;1,0,IFERROR(LOOKUP(2,1/('Arroz irrigado'!$E47:INDEX('Arroz irrigado'!$E47:$Z47,MIN(G$6-$G$3,22))&lt;&gt;""),'Arroz irrigado'!$E47:INDEX('Arroz irrigado'!$E47:$Z47,MIN(G$6-$G$3,22))),0)))))</f>
        <v>0</v>
      </c>
      <c r="H49" s="27" t="n">
        <f aca="false">IF(COUNT('Arroz irrigado'!$E47:$Z47)=0,0,MAX(0,IF((H$6-$E$3)&lt;1,0,IFERROR(LOOKUP(2,1/('Arroz irrigado'!$E47:INDEX('Arroz irrigado'!$E47:$Z47,MIN(H$6-$E$3,22))&lt;&gt;""),'Arroz irrigado'!$E47:INDEX('Arroz irrigado'!$E47:$Z47,MIN(H$6-$E$3,22))),0))-IF($G$2,0,IF((H$6-$G$3)&lt;1,0,IFERROR(LOOKUP(2,1/('Arroz irrigado'!$E47:INDEX('Arroz irrigado'!$E47:$Z47,MIN(H$6-$G$3,22))&lt;&gt;""),'Arroz irrigado'!$E47:INDEX('Arroz irrigado'!$E47:$Z47,MIN(H$6-$G$3,22))),0)))))</f>
        <v>0</v>
      </c>
      <c r="I49" s="27" t="n">
        <f aca="false">IF(COUNT('Arroz irrigado'!$E47:$Z47)=0,0,MAX(0,IF((I$6-$E$3)&lt;1,0,IFERROR(LOOKUP(2,1/('Arroz irrigado'!$E47:INDEX('Arroz irrigado'!$E47:$Z47,MIN(I$6-$E$3,22))&lt;&gt;""),'Arroz irrigado'!$E47:INDEX('Arroz irrigado'!$E47:$Z47,MIN(I$6-$E$3,22))),0))-IF($G$2,0,IF((I$6-$G$3)&lt;1,0,IFERROR(LOOKUP(2,1/('Arroz irrigado'!$E47:INDEX('Arroz irrigado'!$E47:$Z47,MIN(I$6-$G$3,22))&lt;&gt;""),'Arroz irrigado'!$E47:INDEX('Arroz irrigado'!$E47:$Z47,MIN(I$6-$G$3,22))),0)))))</f>
        <v>0</v>
      </c>
      <c r="J49" s="27" t="n">
        <f aca="false">IF(COUNT('Arroz irrigado'!$E47:$Z47)=0,0,MAX(0,IF((J$6-$E$3)&lt;1,0,IFERROR(LOOKUP(2,1/('Arroz irrigado'!$E47:INDEX('Arroz irrigado'!$E47:$Z47,MIN(J$6-$E$3,22))&lt;&gt;""),'Arroz irrigado'!$E47:INDEX('Arroz irrigado'!$E47:$Z47,MIN(J$6-$E$3,22))),0))-IF($G$2,0,IF((J$6-$G$3)&lt;1,0,IFERROR(LOOKUP(2,1/('Arroz irrigado'!$E47:INDEX('Arroz irrigado'!$E47:$Z47,MIN(J$6-$G$3,22))&lt;&gt;""),'Arroz irrigado'!$E47:INDEX('Arroz irrigado'!$E47:$Z47,MIN(J$6-$G$3,22))),0)))))</f>
        <v>0</v>
      </c>
      <c r="K49" s="27" t="n">
        <f aca="false">IF(COUNT('Arroz irrigado'!$E47:$Z47)=0,0,MAX(0,IF((K$6-$E$3)&lt;1,0,IFERROR(LOOKUP(2,1/('Arroz irrigado'!$E47:INDEX('Arroz irrigado'!$E47:$Z47,MIN(K$6-$E$3,22))&lt;&gt;""),'Arroz irrigado'!$E47:INDEX('Arroz irrigado'!$E47:$Z47,MIN(K$6-$E$3,22))),0))-IF($G$2,0,IF((K$6-$G$3)&lt;1,0,IFERROR(LOOKUP(2,1/('Arroz irrigado'!$E47:INDEX('Arroz irrigado'!$E47:$Z47,MIN(K$6-$G$3,22))&lt;&gt;""),'Arroz irrigado'!$E47:INDEX('Arroz irrigado'!$E47:$Z47,MIN(K$6-$G$3,22))),0)))))</f>
        <v>0</v>
      </c>
      <c r="L49" s="27" t="n">
        <f aca="false">IF(COUNT('Arroz irrigado'!$E47:$Z47)=0,0,MAX(0,IF((L$6-$E$3)&lt;1,0,IFERROR(LOOKUP(2,1/('Arroz irrigado'!$E47:INDEX('Arroz irrigado'!$E47:$Z47,MIN(L$6-$E$3,22))&lt;&gt;""),'Arroz irrigado'!$E47:INDEX('Arroz irrigado'!$E47:$Z47,MIN(L$6-$E$3,22))),0))-IF($G$2,0,IF((L$6-$G$3)&lt;1,0,IFERROR(LOOKUP(2,1/('Arroz irrigado'!$E47:INDEX('Arroz irrigado'!$E47:$Z47,MIN(L$6-$G$3,22))&lt;&gt;""),'Arroz irrigado'!$E47:INDEX('Arroz irrigado'!$E47:$Z47,MIN(L$6-$G$3,22))),0)))))</f>
        <v>0</v>
      </c>
      <c r="M49" s="27" t="n">
        <f aca="false">IF(COUNT('Arroz irrigado'!$E47:$Z47)=0,0,MAX(0,IF((M$6-$E$3)&lt;1,0,IFERROR(LOOKUP(2,1/('Arroz irrigado'!$E47:INDEX('Arroz irrigado'!$E47:$Z47,MIN(M$6-$E$3,22))&lt;&gt;""),'Arroz irrigado'!$E47:INDEX('Arroz irrigado'!$E47:$Z47,MIN(M$6-$E$3,22))),0))-IF($G$2,0,IF((M$6-$G$3)&lt;1,0,IFERROR(LOOKUP(2,1/('Arroz irrigado'!$E47:INDEX('Arroz irrigado'!$E47:$Z47,MIN(M$6-$G$3,22))&lt;&gt;""),'Arroz irrigado'!$E47:INDEX('Arroz irrigado'!$E47:$Z47,MIN(M$6-$G$3,22))),0)))))</f>
        <v>0</v>
      </c>
      <c r="N49" s="27" t="n">
        <f aca="false">IF(COUNT('Arroz irrigado'!$E47:$Z47)=0,0,MAX(0,IF((N$6-$E$3)&lt;1,0,IFERROR(LOOKUP(2,1/('Arroz irrigado'!$E47:INDEX('Arroz irrigado'!$E47:$Z47,MIN(N$6-$E$3,22))&lt;&gt;""),'Arroz irrigado'!$E47:INDEX('Arroz irrigado'!$E47:$Z47,MIN(N$6-$E$3,22))),0))-IF($G$2,0,IF((N$6-$G$3)&lt;1,0,IFERROR(LOOKUP(2,1/('Arroz irrigado'!$E47:INDEX('Arroz irrigado'!$E47:$Z47,MIN(N$6-$G$3,22))&lt;&gt;""),'Arroz irrigado'!$E47:INDEX('Arroz irrigado'!$E47:$Z47,MIN(N$6-$G$3,22))),0)))))</f>
        <v>0</v>
      </c>
      <c r="O49" s="27" t="n">
        <f aca="false">IF(COUNT('Arroz irrigado'!$E47:$Z47)=0,0,MAX(0,IF((O$6-$E$3)&lt;1,0,IFERROR(LOOKUP(2,1/('Arroz irrigado'!$E47:INDEX('Arroz irrigado'!$E47:$Z47,MIN(O$6-$E$3,22))&lt;&gt;""),'Arroz irrigado'!$E47:INDEX('Arroz irrigado'!$E47:$Z47,MIN(O$6-$E$3,22))),0))-IF($G$2,0,IF((O$6-$G$3)&lt;1,0,IFERROR(LOOKUP(2,1/('Arroz irrigado'!$E47:INDEX('Arroz irrigado'!$E47:$Z47,MIN(O$6-$G$3,22))&lt;&gt;""),'Arroz irrigado'!$E47:INDEX('Arroz irrigado'!$E47:$Z47,MIN(O$6-$G$3,22))),0)))))</f>
        <v>0</v>
      </c>
      <c r="P49" s="27" t="n">
        <f aca="false">IF(COUNT('Arroz irrigado'!$E47:$Z47)=0,0,MAX(0,IF((P$6-$E$3)&lt;1,0,IFERROR(LOOKUP(2,1/('Arroz irrigado'!$E47:INDEX('Arroz irrigado'!$E47:$Z47,MIN(P$6-$E$3,22))&lt;&gt;""),'Arroz irrigado'!$E47:INDEX('Arroz irrigado'!$E47:$Z47,MIN(P$6-$E$3,22))),0))-IF($G$2,0,IF((P$6-$G$3)&lt;1,0,IFERROR(LOOKUP(2,1/('Arroz irrigado'!$E47:INDEX('Arroz irrigado'!$E47:$Z47,MIN(P$6-$G$3,22))&lt;&gt;""),'Arroz irrigado'!$E47:INDEX('Arroz irrigado'!$E47:$Z47,MIN(P$6-$G$3,22))),0)))))</f>
        <v>0</v>
      </c>
      <c r="Q49" s="27" t="n">
        <f aca="false">IF(COUNT('Arroz irrigado'!$E47:$Z47)=0,0,MAX(0,IF((Q$6-$E$3)&lt;1,0,IFERROR(LOOKUP(2,1/('Arroz irrigado'!$E47:INDEX('Arroz irrigado'!$E47:$Z47,MIN(Q$6-$E$3,22))&lt;&gt;""),'Arroz irrigado'!$E47:INDEX('Arroz irrigado'!$E47:$Z47,MIN(Q$6-$E$3,22))),0))-IF($G$2,0,IF((Q$6-$G$3)&lt;1,0,IFERROR(LOOKUP(2,1/('Arroz irrigado'!$E47:INDEX('Arroz irrigado'!$E47:$Z47,MIN(Q$6-$G$3,22))&lt;&gt;""),'Arroz irrigado'!$E47:INDEX('Arroz irrigado'!$E47:$Z47,MIN(Q$6-$G$3,22))),0)))))</f>
        <v>0</v>
      </c>
      <c r="R49" s="27" t="n">
        <f aca="false">IF(COUNT('Arroz irrigado'!$E47:$Z47)=0,0,MAX(0,IF((R$6-$E$3)&lt;1,0,IFERROR(LOOKUP(2,1/('Arroz irrigado'!$E47:INDEX('Arroz irrigado'!$E47:$Z47,MIN(R$6-$E$3,22))&lt;&gt;""),'Arroz irrigado'!$E47:INDEX('Arroz irrigado'!$E47:$Z47,MIN(R$6-$E$3,22))),0))-IF($G$2,0,IF((R$6-$G$3)&lt;1,0,IFERROR(LOOKUP(2,1/('Arroz irrigado'!$E47:INDEX('Arroz irrigado'!$E47:$Z47,MIN(R$6-$G$3,22))&lt;&gt;""),'Arroz irrigado'!$E47:INDEX('Arroz irrigado'!$E47:$Z47,MIN(R$6-$G$3,22))),0)))))</f>
        <v>0</v>
      </c>
      <c r="S49" s="27" t="n">
        <f aca="false">IF(COUNT('Arroz irrigado'!$E47:$Z47)=0,0,MAX(0,IF((S$6-$E$3)&lt;1,0,IFERROR(LOOKUP(2,1/('Arroz irrigado'!$E47:INDEX('Arroz irrigado'!$E47:$Z47,MIN(S$6-$E$3,22))&lt;&gt;""),'Arroz irrigado'!$E47:INDEX('Arroz irrigado'!$E47:$Z47,MIN(S$6-$E$3,22))),0))-IF($G$2,0,IF((S$6-$G$3)&lt;1,0,IFERROR(LOOKUP(2,1/('Arroz irrigado'!$E47:INDEX('Arroz irrigado'!$E47:$Z47,MIN(S$6-$G$3,22))&lt;&gt;""),'Arroz irrigado'!$E47:INDEX('Arroz irrigado'!$E47:$Z47,MIN(S$6-$G$3,22))),0)))))</f>
        <v>0</v>
      </c>
      <c r="T49" s="27" t="n">
        <f aca="false">IF(COUNT('Arroz irrigado'!$E47:$Z47)=0,0,MAX(0,IF((T$6-$E$3)&lt;1,0,IFERROR(LOOKUP(2,1/('Arroz irrigado'!$E47:INDEX('Arroz irrigado'!$E47:$Z47,MIN(T$6-$E$3,22))&lt;&gt;""),'Arroz irrigado'!$E47:INDEX('Arroz irrigado'!$E47:$Z47,MIN(T$6-$E$3,22))),0))-IF($G$2,0,IF((T$6-$G$3)&lt;1,0,IFERROR(LOOKUP(2,1/('Arroz irrigado'!$E47:INDEX('Arroz irrigado'!$E47:$Z47,MIN(T$6-$G$3,22))&lt;&gt;""),'Arroz irrigado'!$E47:INDEX('Arroz irrigado'!$E47:$Z47,MIN(T$6-$G$3,22))),0)))))</f>
        <v>0</v>
      </c>
      <c r="U49" s="27" t="n">
        <f aca="false">IF(COUNT('Arroz irrigado'!$E47:$Z47)=0,0,MAX(0,IF((U$6-$E$3)&lt;1,0,IFERROR(LOOKUP(2,1/('Arroz irrigado'!$E47:INDEX('Arroz irrigado'!$E47:$Z47,MIN(U$6-$E$3,22))&lt;&gt;""),'Arroz irrigado'!$E47:INDEX('Arroz irrigado'!$E47:$Z47,MIN(U$6-$E$3,22))),0))-IF($G$2,0,IF((U$6-$G$3)&lt;1,0,IFERROR(LOOKUP(2,1/('Arroz irrigado'!$E47:INDEX('Arroz irrigado'!$E47:$Z47,MIN(U$6-$G$3,22))&lt;&gt;""),'Arroz irrigado'!$E47:INDEX('Arroz irrigado'!$E47:$Z47,MIN(U$6-$G$3,22))),0)))))</f>
        <v>0</v>
      </c>
      <c r="V49" s="27" t="n">
        <f aca="false">IF(COUNT('Arroz irrigado'!$E47:$Z47)=0,0,MAX(0,IF((V$6-$E$3)&lt;1,0,IFERROR(LOOKUP(2,1/('Arroz irrigado'!$E47:INDEX('Arroz irrigado'!$E47:$Z47,MIN(V$6-$E$3,22))&lt;&gt;""),'Arroz irrigado'!$E47:INDEX('Arroz irrigado'!$E47:$Z47,MIN(V$6-$E$3,22))),0))-IF($G$2,0,IF((V$6-$G$3)&lt;1,0,IFERROR(LOOKUP(2,1/('Arroz irrigado'!$E47:INDEX('Arroz irrigado'!$E47:$Z47,MIN(V$6-$G$3,22))&lt;&gt;""),'Arroz irrigado'!$E47:INDEX('Arroz irrigado'!$E47:$Z47,MIN(V$6-$G$3,22))),0)))))</f>
        <v>0</v>
      </c>
      <c r="W49" s="27" t="n">
        <f aca="false">IF(COUNT('Arroz irrigado'!$E47:$Z47)=0,0,MAX(0,IF((W$6-$E$3)&lt;1,0,IFERROR(LOOKUP(2,1/('Arroz irrigado'!$E47:INDEX('Arroz irrigado'!$E47:$Z47,MIN(W$6-$E$3,22))&lt;&gt;""),'Arroz irrigado'!$E47:INDEX('Arroz irrigado'!$E47:$Z47,MIN(W$6-$E$3,22))),0))-IF($G$2,0,IF((W$6-$G$3)&lt;1,0,IFERROR(LOOKUP(2,1/('Arroz irrigado'!$E47:INDEX('Arroz irrigado'!$E47:$Z47,MIN(W$6-$G$3,22))&lt;&gt;""),'Arroz irrigado'!$E47:INDEX('Arroz irrigado'!$E47:$Z47,MIN(W$6-$G$3,22))),0)))))</f>
        <v>0</v>
      </c>
      <c r="X49" s="27" t="n">
        <f aca="false">IF(COUNT('Arroz irrigado'!$E47:$Z47)=0,0,MAX(0,IF((X$6-$E$3)&lt;1,0,IFERROR(LOOKUP(2,1/('Arroz irrigado'!$E47:INDEX('Arroz irrigado'!$E47:$Z47,MIN(X$6-$E$3,22))&lt;&gt;""),'Arroz irrigado'!$E47:INDEX('Arroz irrigado'!$E47:$Z47,MIN(X$6-$E$3,22))),0))-IF($G$2,0,IF((X$6-$G$3)&lt;1,0,IFERROR(LOOKUP(2,1/('Arroz irrigado'!$E47:INDEX('Arroz irrigado'!$E47:$Z47,MIN(X$6-$G$3,22))&lt;&gt;""),'Arroz irrigado'!$E47:INDEX('Arroz irrigado'!$E47:$Z47,MIN(X$6-$G$3,22))),0)))))</f>
        <v>0</v>
      </c>
      <c r="Y49" s="27" t="n">
        <f aca="false">IF(COUNT('Arroz irrigado'!$E47:$Z47)=0,0,MAX(0,IF((Y$6-$E$3)&lt;1,0,IFERROR(LOOKUP(2,1/('Arroz irrigado'!$E47:INDEX('Arroz irrigado'!$E47:$Z47,MIN(Y$6-$E$3,22))&lt;&gt;""),'Arroz irrigado'!$E47:INDEX('Arroz irrigado'!$E47:$Z47,MIN(Y$6-$E$3,22))),0))-IF($G$2,0,IF((Y$6-$G$3)&lt;1,0,IFERROR(LOOKUP(2,1/('Arroz irrigado'!$E47:INDEX('Arroz irrigado'!$E47:$Z47,MIN(Y$6-$G$3,22))&lt;&gt;""),'Arroz irrigado'!$E47:INDEX('Arroz irrigado'!$E47:$Z47,MIN(Y$6-$G$3,22))),0)))))</f>
        <v>0</v>
      </c>
      <c r="Z49" s="27" t="n">
        <f aca="false">IF(COUNT('Arroz irrigado'!$E47:$Z47)=0,0,MAX(0,IF((Z$6-$E$3)&lt;1,0,IFERROR(LOOKUP(2,1/('Arroz irrigado'!$E47:INDEX('Arroz irrigado'!$E47:$Z47,MIN(Z$6-$E$3,22))&lt;&gt;""),'Arroz irrigado'!$E47:INDEX('Arroz irrigado'!$E47:$Z47,MIN(Z$6-$E$3,22))),0))-IF($G$2,0,IF((Z$6-$G$3)&lt;1,0,IFERROR(LOOKUP(2,1/('Arroz irrigado'!$E47:INDEX('Arroz irrigado'!$E47:$Z47,MIN(Z$6-$G$3,22))&lt;&gt;""),'Arroz irrigado'!$E47:INDEX('Arroz irrigado'!$E47:$Z47,MIN(Z$6-$G$3,22))),0)))))</f>
        <v>0</v>
      </c>
      <c r="AA49" s="27" t="n">
        <f aca="false">IF(COUNT('Arroz irrigado'!$E47:$Z47)=0,0,MAX(0,IF((AA$6-$E$3)&lt;1,0,IFERROR(LOOKUP(2,1/('Arroz irrigado'!$E47:INDEX('Arroz irrigado'!$E47:$Z47,MIN(AA$6-$E$3,22))&lt;&gt;""),'Arroz irrigado'!$E47:INDEX('Arroz irrigado'!$E47:$Z47,MIN(AA$6-$E$3,22))),0))-IF($G$2,0,IF((AA$6-$G$3)&lt;1,0,IFERROR(LOOKUP(2,1/('Arroz irrigado'!$E47:INDEX('Arroz irrigado'!$E47:$Z47,MIN(AA$6-$G$3,22))&lt;&gt;""),'Arroz irrigado'!$E47:INDEX('Arroz irrigado'!$E47:$Z47,MIN(AA$6-$G$3,22))),0)))))</f>
        <v>0</v>
      </c>
      <c r="AB49" s="27" t="n">
        <f aca="false">IF(COUNT('Arroz irrigado'!$E47:$Z47)=0,0,MAX(0,IF((AB$6-$E$3)&lt;1,0,IFERROR(LOOKUP(2,1/('Arroz irrigado'!$E47:INDEX('Arroz irrigado'!$E47:$Z47,MIN(AB$6-$E$3,22))&lt;&gt;""),'Arroz irrigado'!$E47:INDEX('Arroz irrigado'!$E47:$Z47,MIN(AB$6-$E$3,22))),0))-IF($G$2,0,IF((AB$6-$G$3)&lt;1,0,IFERROR(LOOKUP(2,1/('Arroz irrigado'!$E47:INDEX('Arroz irrigado'!$E47:$Z47,MIN(AB$6-$G$3,22))&lt;&gt;""),'Arroz irrigado'!$E47:INDEX('Arroz irrigado'!$E47:$Z47,MIN(AB$6-$G$3,22))),0)))))</f>
        <v>0</v>
      </c>
      <c r="AC49" s="27" t="n">
        <f aca="false">IF(COUNT('Arroz irrigado'!$E47:$Z47)=0,0,MAX(0,IF((AC$6-$E$3)&lt;1,0,IFERROR(LOOKUP(2,1/('Arroz irrigado'!$E47:INDEX('Arroz irrigado'!$E47:$Z47,MIN(AC$6-$E$3,22))&lt;&gt;""),'Arroz irrigado'!$E47:INDEX('Arroz irrigado'!$E47:$Z47,MIN(AC$6-$E$3,22))),0))-IF($G$2,0,IF((AC$6-$G$3)&lt;1,0,IFERROR(LOOKUP(2,1/('Arroz irrigado'!$E47:INDEX('Arroz irrigado'!$E47:$Z47,MIN(AC$6-$G$3,22))&lt;&gt;""),'Arroz irrigado'!$E47:INDEX('Arroz irrigado'!$E47:$Z47,MIN(AC$6-$G$3,22))),0)))))</f>
        <v>0</v>
      </c>
      <c r="AD49" s="27" t="n">
        <f aca="false">IF(COUNT('Arroz irrigado'!$E47:$Z47)=0,0,MAX(0,IF((AD$6-$E$3)&lt;1,0,IFERROR(LOOKUP(2,1/('Arroz irrigado'!$E47:INDEX('Arroz irrigado'!$E47:$Z47,MIN(AD$6-$E$3,22))&lt;&gt;""),'Arroz irrigado'!$E47:INDEX('Arroz irrigado'!$E47:$Z47,MIN(AD$6-$E$3,22))),0))-IF($G$2,0,IF((AD$6-$G$3)&lt;1,0,IFERROR(LOOKUP(2,1/('Arroz irrigado'!$E47:INDEX('Arroz irrigado'!$E47:$Z47,MIN(AD$6-$G$3,22))&lt;&gt;""),'Arroz irrigado'!$E47:INDEX('Arroz irrigado'!$E47:$Z47,MIN(AD$6-$G$3,22))),0)))))</f>
        <v>0</v>
      </c>
      <c r="AE49" s="27" t="n">
        <f aca="false">IF(COUNT('Arroz irrigado'!$E47:$Z47)=0,0,MAX(0,IF((AE$6-$E$3)&lt;1,0,IFERROR(LOOKUP(2,1/('Arroz irrigado'!$E47:INDEX('Arroz irrigado'!$E47:$Z47,MIN(AE$6-$E$3,22))&lt;&gt;""),'Arroz irrigado'!$E47:INDEX('Arroz irrigado'!$E47:$Z47,MIN(AE$6-$E$3,22))),0))-IF($G$2,0,IF((AE$6-$G$3)&lt;1,0,IFERROR(LOOKUP(2,1/('Arroz irrigado'!$E47:INDEX('Arroz irrigado'!$E47:$Z47,MIN(AE$6-$G$3,22))&lt;&gt;""),'Arroz irrigado'!$E47:INDEX('Arroz irrigado'!$E47:$Z47,MIN(AE$6-$G$3,22))),0)))))</f>
        <v>0</v>
      </c>
      <c r="AF49" s="27" t="n">
        <f aca="false">IF(COUNT('Arroz irrigado'!$E47:$Z47)=0,0,MAX(0,IF((AF$6-$E$3)&lt;1,0,IFERROR(LOOKUP(2,1/('Arroz irrigado'!$E47:INDEX('Arroz irrigado'!$E47:$Z47,MIN(AF$6-$E$3,22))&lt;&gt;""),'Arroz irrigado'!$E47:INDEX('Arroz irrigado'!$E47:$Z47,MIN(AF$6-$E$3,22))),0))-IF($G$2,0,IF((AF$6-$G$3)&lt;1,0,IFERROR(LOOKUP(2,1/('Arroz irrigado'!$E47:INDEX('Arroz irrigado'!$E47:$Z47,MIN(AF$6-$G$3,22))&lt;&gt;""),'Arroz irrigado'!$E47:INDEX('Arroz irrigado'!$E47:$Z47,MIN(AF$6-$G$3,22))),0)))))</f>
        <v>0</v>
      </c>
      <c r="AG49" s="27" t="n">
        <f aca="false">IF(COUNT('Arroz irrigado'!$E47:$Z47)=0,0,MAX(0,IF((AG$6-$E$3)&lt;1,0,IFERROR(LOOKUP(2,1/('Arroz irrigado'!$E47:INDEX('Arroz irrigado'!$E47:$Z47,MIN(AG$6-$E$3,22))&lt;&gt;""),'Arroz irrigado'!$E47:INDEX('Arroz irrigado'!$E47:$Z47,MIN(AG$6-$E$3,22))),0))-IF($G$2,0,IF((AG$6-$G$3)&lt;1,0,IFERROR(LOOKUP(2,1/('Arroz irrigado'!$E47:INDEX('Arroz irrigado'!$E47:$Z47,MIN(AG$6-$G$3,22))&lt;&gt;""),'Arroz irrigado'!$E47:INDEX('Arroz irrigado'!$E47:$Z47,MIN(AG$6-$G$3,22))),0)))))</f>
        <v>0</v>
      </c>
      <c r="AH49" s="27" t="n">
        <f aca="false">IF(COUNT('Arroz irrigado'!$E47:$Z47)=0,0,MAX(0,IF((AH$6-$E$3)&lt;1,0,IFERROR(LOOKUP(2,1/('Arroz irrigado'!$E47:INDEX('Arroz irrigado'!$E47:$Z47,MIN(AH$6-$E$3,22))&lt;&gt;""),'Arroz irrigado'!$E47:INDEX('Arroz irrigado'!$E47:$Z47,MIN(AH$6-$E$3,22))),0))-IF($G$2,0,IF((AH$6-$G$3)&lt;1,0,IFERROR(LOOKUP(2,1/('Arroz irrigado'!$E47:INDEX('Arroz irrigado'!$E47:$Z47,MIN(AH$6-$G$3,22))&lt;&gt;""),'Arroz irrigado'!$E47:INDEX('Arroz irrigado'!$E47:$Z47,MIN(AH$6-$G$3,22))),0)))))</f>
        <v>0</v>
      </c>
      <c r="AI49" s="27" t="n">
        <f aca="false">IF(COUNT('Arroz irrigado'!$E47:$Z47)=0,0,MAX(0,IF((AI$6-$E$3)&lt;1,0,IFERROR(LOOKUP(2,1/('Arroz irrigado'!$E47:INDEX('Arroz irrigado'!$E47:$Z47,MIN(AI$6-$E$3,22))&lt;&gt;""),'Arroz irrigado'!$E47:INDEX('Arroz irrigado'!$E47:$Z47,MIN(AI$6-$E$3,22))),0))-IF($G$2,0,IF((AI$6-$G$3)&lt;1,0,IFERROR(LOOKUP(2,1/('Arroz irrigado'!$E47:INDEX('Arroz irrigado'!$E47:$Z47,MIN(AI$6-$G$3,22))&lt;&gt;""),'Arroz irrigado'!$E47:INDEX('Arroz irrigado'!$E47:$Z47,MIN(AI$6-$G$3,22))),0)))))</f>
        <v>0</v>
      </c>
      <c r="AJ49" s="27" t="n">
        <f aca="false">IF(COUNT('Arroz irrigado'!$E47:$Z47)=0,0,MAX(0,IF((AJ$6-$E$3)&lt;1,0,IFERROR(LOOKUP(2,1/('Arroz irrigado'!$E47:INDEX('Arroz irrigado'!$E47:$Z47,MIN(AJ$6-$E$3,22))&lt;&gt;""),'Arroz irrigado'!$E47:INDEX('Arroz irrigado'!$E47:$Z47,MIN(AJ$6-$E$3,22))),0))-IF($G$2,0,IF((AJ$6-$G$3)&lt;1,0,IFERROR(LOOKUP(2,1/('Arroz irrigado'!$E47:INDEX('Arroz irrigado'!$E47:$Z47,MIN(AJ$6-$G$3,22))&lt;&gt;""),'Arroz irrigado'!$E47:INDEX('Arroz irrigado'!$E47:$Z47,MIN(AJ$6-$G$3,22))),0)))))</f>
        <v>0</v>
      </c>
      <c r="AK49" s="27" t="n">
        <f aca="false">IF(COUNT('Arroz irrigado'!$E47:$Z47)=0,0,MAX(0,IF((AK$6-$E$3)&lt;1,0,IFERROR(LOOKUP(2,1/('Arroz irrigado'!$E47:INDEX('Arroz irrigado'!$E47:$Z47,MIN(AK$6-$E$3,22))&lt;&gt;""),'Arroz irrigado'!$E47:INDEX('Arroz irrigado'!$E47:$Z47,MIN(AK$6-$E$3,22))),0))-IF($G$2,0,IF((AK$6-$G$3)&lt;1,0,IFERROR(LOOKUP(2,1/('Arroz irrigado'!$E47:INDEX('Arroz irrigado'!$E47:$Z47,MIN(AK$6-$G$3,22))&lt;&gt;""),'Arroz irrigado'!$E47:INDEX('Arroz irrigado'!$E47:$Z47,MIN(AK$6-$G$3,22))),0)))))</f>
        <v>0</v>
      </c>
      <c r="AL49" s="27" t="n">
        <f aca="false">IF(COUNT('Arroz irrigado'!$E47:$Z47)=0,0,MAX(0,IF((AL$6-$E$3)&lt;1,0,IFERROR(LOOKUP(2,1/('Arroz irrigado'!$E47:INDEX('Arroz irrigado'!$E47:$Z47,MIN(AL$6-$E$3,22))&lt;&gt;""),'Arroz irrigado'!$E47:INDEX('Arroz irrigado'!$E47:$Z47,MIN(AL$6-$E$3,22))),0))-IF($G$2,0,IF((AL$6-$G$3)&lt;1,0,IFERROR(LOOKUP(2,1/('Arroz irrigado'!$E47:INDEX('Arroz irrigado'!$E47:$Z47,MIN(AL$6-$G$3,22))&lt;&gt;""),'Arroz irrigado'!$E47:INDEX('Arroz irrigado'!$E47:$Z47,MIN(AL$6-$G$3,22))),0)))))</f>
        <v>0</v>
      </c>
      <c r="AM49" s="27" t="n">
        <f aca="false">IF(COUNT('Arroz irrigado'!$E47:$Z47)=0,0,MAX(0,IF((AM$6-$E$3)&lt;1,0,IFERROR(LOOKUP(2,1/('Arroz irrigado'!$E47:INDEX('Arroz irrigado'!$E47:$Z47,MIN(AM$6-$E$3,22))&lt;&gt;""),'Arroz irrigado'!$E47:INDEX('Arroz irrigado'!$E47:$Z47,MIN(AM$6-$E$3,22))),0))-IF($G$2,0,IF((AM$6-$G$3)&lt;1,0,IFERROR(LOOKUP(2,1/('Arroz irrigado'!$E47:INDEX('Arroz irrigado'!$E47:$Z47,MIN(AM$6-$G$3,22))&lt;&gt;""),'Arroz irrigado'!$E47:INDEX('Arroz irrigado'!$E47:$Z47,MIN(AM$6-$G$3,22))),0)))))</f>
        <v>0</v>
      </c>
      <c r="AN49" s="27" t="n">
        <f aca="false">IF(COUNT('Arroz irrigado'!$E47:$Z47)=0,0,MAX(0,IF((AN$6-$E$3)&lt;1,0,IFERROR(LOOKUP(2,1/('Arroz irrigado'!$E47:INDEX('Arroz irrigado'!$E47:$Z47,MIN(AN$6-$E$3,22))&lt;&gt;""),'Arroz irrigado'!$E47:INDEX('Arroz irrigado'!$E47:$Z47,MIN(AN$6-$E$3,22))),0))-IF($G$2,0,IF((AN$6-$G$3)&lt;1,0,IFERROR(LOOKUP(2,1/('Arroz irrigado'!$E47:INDEX('Arroz irrigado'!$E47:$Z47,MIN(AN$6-$G$3,22))&lt;&gt;""),'Arroz irrigado'!$E47:INDEX('Arroz irrigado'!$E47:$Z47,MIN(AN$6-$G$3,22))),0)))))</f>
        <v>0</v>
      </c>
      <c r="AO49" s="27" t="n">
        <f aca="false">IF(COUNT('Arroz irrigado'!$E47:$Z47)=0,0,MAX(0,IF((AO$6-$E$3)&lt;1,0,IFERROR(LOOKUP(2,1/('Arroz irrigado'!$E47:INDEX('Arroz irrigado'!$E47:$Z47,MIN(AO$6-$E$3,22))&lt;&gt;""),'Arroz irrigado'!$E47:INDEX('Arroz irrigado'!$E47:$Z47,MIN(AO$6-$E$3,22))),0))-IF($G$2,0,IF((AO$6-$G$3)&lt;1,0,IFERROR(LOOKUP(2,1/('Arroz irrigado'!$E47:INDEX('Arroz irrigado'!$E47:$Z47,MIN(AO$6-$G$3,22))&lt;&gt;""),'Arroz irrigado'!$E47:INDEX('Arroz irrigado'!$E47:$Z47,MIN(AO$6-$G$3,22))),0)))))</f>
        <v>0</v>
      </c>
      <c r="AP49" s="27" t="n">
        <f aca="false">IF(COUNT('Arroz irrigado'!$E47:$Z47)=0,0,MAX(0,IF((AP$6-$E$3)&lt;1,0,IFERROR(LOOKUP(2,1/('Arroz irrigado'!$E47:INDEX('Arroz irrigado'!$E47:$Z47,MIN(AP$6-$E$3,22))&lt;&gt;""),'Arroz irrigado'!$E47:INDEX('Arroz irrigado'!$E47:$Z47,MIN(AP$6-$E$3,22))),0))-IF($G$2,0,IF((AP$6-$G$3)&lt;1,0,IFERROR(LOOKUP(2,1/('Arroz irrigado'!$E47:INDEX('Arroz irrigado'!$E47:$Z47,MIN(AP$6-$G$3,22))&lt;&gt;""),'Arroz irrigado'!$E47:INDEX('Arroz irrigado'!$E47:$Z47,MIN(AP$6-$G$3,22))),0)))))</f>
        <v>0</v>
      </c>
      <c r="AQ49" s="27" t="n">
        <f aca="false">IF(COUNT('Arroz irrigado'!$E47:$Z47)=0,0,MAX(0,IF((AQ$6-$E$3)&lt;1,0,IFERROR(LOOKUP(2,1/('Arroz irrigado'!$E47:INDEX('Arroz irrigado'!$E47:$Z47,MIN(AQ$6-$E$3,22))&lt;&gt;""),'Arroz irrigado'!$E47:INDEX('Arroz irrigado'!$E47:$Z47,MIN(AQ$6-$E$3,22))),0))-IF($G$2,0,IF((AQ$6-$G$3)&lt;1,0,IFERROR(LOOKUP(2,1/('Arroz irrigado'!$E47:INDEX('Arroz irrigado'!$E47:$Z47,MIN(AQ$6-$G$3,22))&lt;&gt;""),'Arroz irrigado'!$E47:INDEX('Arroz irrigado'!$E47:$Z47,MIN(AQ$6-$G$3,22))),0)))))</f>
        <v>0</v>
      </c>
      <c r="AR49" s="27" t="n">
        <f aca="false">IF(COUNT('Arroz irrigado'!$E47:$Z47)=0,0,MAX(0,IF((AR$6-$E$3)&lt;1,0,IFERROR(LOOKUP(2,1/('Arroz irrigado'!$E47:INDEX('Arroz irrigado'!$E47:$Z47,MIN(AR$6-$E$3,22))&lt;&gt;""),'Arroz irrigado'!$E47:INDEX('Arroz irrigado'!$E47:$Z47,MIN(AR$6-$E$3,22))),0))-IF($G$2,0,IF((AR$6-$G$3)&lt;1,0,IFERROR(LOOKUP(2,1/('Arroz irrigado'!$E47:INDEX('Arroz irrigado'!$E47:$Z47,MIN(AR$6-$G$3,22))&lt;&gt;""),'Arroz irrigado'!$E47:INDEX('Arroz irrigado'!$E47:$Z47,MIN(AR$6-$G$3,22))),0)))))</f>
        <v>0</v>
      </c>
      <c r="AS49" s="27" t="n">
        <f aca="false">IF(COUNT('Arroz irrigado'!$E47:$Z47)=0,0,MAX(0,IF((AS$6-$E$3)&lt;1,0,IFERROR(LOOKUP(2,1/('Arroz irrigado'!$E47:INDEX('Arroz irrigado'!$E47:$Z47,MIN(AS$6-$E$3,22))&lt;&gt;""),'Arroz irrigado'!$E47:INDEX('Arroz irrigado'!$E47:$Z47,MIN(AS$6-$E$3,22))),0))-IF($G$2,0,IF((AS$6-$G$3)&lt;1,0,IFERROR(LOOKUP(2,1/('Arroz irrigado'!$E47:INDEX('Arroz irrigado'!$E47:$Z47,MIN(AS$6-$G$3,22))&lt;&gt;""),'Arroz irrigado'!$E47:INDEX('Arroz irrigado'!$E47:$Z47,MIN(AS$6-$G$3,22))),0)))))</f>
        <v>0</v>
      </c>
      <c r="AT49" s="27" t="n">
        <f aca="false">IF(COUNT('Arroz irrigado'!$E47:$Z47)=0,0,MAX(0,IF((AT$6-$E$3)&lt;1,0,IFERROR(LOOKUP(2,1/('Arroz irrigado'!$E47:INDEX('Arroz irrigado'!$E47:$Z47,MIN(AT$6-$E$3,22))&lt;&gt;""),'Arroz irrigado'!$E47:INDEX('Arroz irrigado'!$E47:$Z47,MIN(AT$6-$E$3,22))),0))-IF($G$2,0,IF((AT$6-$G$3)&lt;1,0,IFERROR(LOOKUP(2,1/('Arroz irrigado'!$E47:INDEX('Arroz irrigado'!$E47:$Z47,MIN(AT$6-$G$3,22))&lt;&gt;""),'Arroz irrigado'!$E47:INDEX('Arroz irrigado'!$E47:$Z47,MIN(AT$6-$G$3,22))),0)))))</f>
        <v>0</v>
      </c>
      <c r="AU49" s="27" t="n">
        <f aca="false">IF(COUNT('Arroz irrigado'!$E47:$Z47)=0,0,MAX(0,IF((AU$6-$E$3)&lt;1,0,IFERROR(LOOKUP(2,1/('Arroz irrigado'!$E47:INDEX('Arroz irrigado'!$E47:$Z47,MIN(AU$6-$E$3,22))&lt;&gt;""),'Arroz irrigado'!$E47:INDEX('Arroz irrigado'!$E47:$Z47,MIN(AU$6-$E$3,22))),0))-IF($G$2,0,IF((AU$6-$G$3)&lt;1,0,IFERROR(LOOKUP(2,1/('Arroz irrigado'!$E47:INDEX('Arroz irrigado'!$E47:$Z47,MIN(AU$6-$G$3,22))&lt;&gt;""),'Arroz irrigado'!$E47:INDEX('Arroz irrigado'!$E47:$Z47,MIN(AU$6-$G$3,22))),0)))))</f>
        <v>0</v>
      </c>
      <c r="AV49" s="27" t="n">
        <f aca="false">IF(COUNT('Arroz irrigado'!$E47:$Z47)=0,0,MAX(0,IF((AV$6-$E$3)&lt;1,0,IFERROR(LOOKUP(2,1/('Arroz irrigado'!$E47:INDEX('Arroz irrigado'!$E47:$Z47,MIN(AV$6-$E$3,22))&lt;&gt;""),'Arroz irrigado'!$E47:INDEX('Arroz irrigado'!$E47:$Z47,MIN(AV$6-$E$3,22))),0))-IF($G$2,0,IF((AV$6-$G$3)&lt;1,0,IFERROR(LOOKUP(2,1/('Arroz irrigado'!$E47:INDEX('Arroz irrigado'!$E47:$Z47,MIN(AV$6-$G$3,22))&lt;&gt;""),'Arroz irrigado'!$E47:INDEX('Arroz irrigado'!$E47:$Z47,MIN(AV$6-$G$3,22))),0)))))</f>
        <v>0</v>
      </c>
      <c r="AW49" s="27" t="n">
        <f aca="false">IF(COUNT('Arroz irrigado'!$E47:$Z47)=0,0,MAX(0,IF((AW$6-$E$3)&lt;1,0,IFERROR(LOOKUP(2,1/('Arroz irrigado'!$E47:INDEX('Arroz irrigado'!$E47:$Z47,MIN(AW$6-$E$3,22))&lt;&gt;""),'Arroz irrigado'!$E47:INDEX('Arroz irrigado'!$E47:$Z47,MIN(AW$6-$E$3,22))),0))-IF($G$2,0,IF((AW$6-$G$3)&lt;1,0,IFERROR(LOOKUP(2,1/('Arroz irrigado'!$E47:INDEX('Arroz irrigado'!$E47:$Z47,MIN(AW$6-$G$3,22))&lt;&gt;""),'Arroz irrigado'!$E47:INDEX('Arroz irrigado'!$E47:$Z47,MIN(AW$6-$G$3,22))),0)))))</f>
        <v>0</v>
      </c>
      <c r="AX49" s="27" t="n">
        <f aca="false">IF(COUNT('Arroz irrigado'!$E47:$Z47)=0,0,MAX(0,IF((AX$6-$E$3)&lt;1,0,IFERROR(LOOKUP(2,1/('Arroz irrigado'!$E47:INDEX('Arroz irrigado'!$E47:$Z47,MIN(AX$6-$E$3,22))&lt;&gt;""),'Arroz irrigado'!$E47:INDEX('Arroz irrigado'!$E47:$Z47,MIN(AX$6-$E$3,22))),0))-IF($G$2,0,IF((AX$6-$G$3)&lt;1,0,IFERROR(LOOKUP(2,1/('Arroz irrigado'!$E47:INDEX('Arroz irrigado'!$E47:$Z47,MIN(AX$6-$G$3,22))&lt;&gt;""),'Arroz irrigado'!$E47:INDEX('Arroz irrigado'!$E47:$Z47,MIN(AX$6-$G$3,22))),0)))))</f>
        <v>0</v>
      </c>
      <c r="AY49" s="27" t="n">
        <f aca="false">IF(COUNT('Arroz irrigado'!$E47:$Z47)=0,0,MAX(0,IF((AY$6-$E$3)&lt;1,0,IFERROR(LOOKUP(2,1/('Arroz irrigado'!$E47:INDEX('Arroz irrigado'!$E47:$Z47,MIN(AY$6-$E$3,22))&lt;&gt;""),'Arroz irrigado'!$E47:INDEX('Arroz irrigado'!$E47:$Z47,MIN(AY$6-$E$3,22))),0))-IF($G$2,0,IF((AY$6-$G$3)&lt;1,0,IFERROR(LOOKUP(2,1/('Arroz irrigado'!$E47:INDEX('Arroz irrigado'!$E47:$Z47,MIN(AY$6-$G$3,22))&lt;&gt;""),'Arroz irrigado'!$E47:INDEX('Arroz irrigado'!$E47:$Z47,MIN(AY$6-$G$3,22))),0)))))</f>
        <v>0</v>
      </c>
      <c r="AZ49" s="27" t="n">
        <f aca="false">IF(COUNT('Arroz irrigado'!$E47:$Z47)=0,0,MAX(0,IF((AZ$6-$E$3)&lt;1,0,IFERROR(LOOKUP(2,1/('Arroz irrigado'!$E47:INDEX('Arroz irrigado'!$E47:$Z47,MIN(AZ$6-$E$3,22))&lt;&gt;""),'Arroz irrigado'!$E47:INDEX('Arroz irrigado'!$E47:$Z47,MIN(AZ$6-$E$3,22))),0))-IF($G$2,0,IF((AZ$6-$G$3)&lt;1,0,IFERROR(LOOKUP(2,1/('Arroz irrigado'!$E47:INDEX('Arroz irrigado'!$E47:$Z47,MIN(AZ$6-$G$3,22))&lt;&gt;""),'Arroz irrigado'!$E47:INDEX('Arroz irrigado'!$E47:$Z47,MIN(AZ$6-$G$3,22))),0)))))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IF(COUNT('Arroz irrigado'!$E48:$Z48)&gt;0,N('Arroz irrigado'!$D48),0)</f>
        <v>0</v>
      </c>
      <c r="E50" s="27" t="n">
        <f aca="false">IF(COUNT('Arroz irrigado'!$E48:$Z48)=0,0,MAX(0,IF((E$6-$E$3)&lt;1,0,IFERROR(LOOKUP(2,1/('Arroz irrigado'!$E48:INDEX('Arroz irrigado'!$E48:$Z48,MIN(E$6-$E$3,22))&lt;&gt;""),'Arroz irrigado'!$E48:INDEX('Arroz irrigado'!$E48:$Z48,MIN(E$6-$E$3,22))),0))-IF($G$2,0,IF((E$6-$G$3)&lt;1,0,IFERROR(LOOKUP(2,1/('Arroz irrigado'!$E48:INDEX('Arroz irrigado'!$E48:$Z48,MIN(E$6-$G$3,22))&lt;&gt;""),'Arroz irrigado'!$E48:INDEX('Arroz irrigado'!$E48:$Z48,MIN(E$6-$G$3,22))),0)))))</f>
        <v>0</v>
      </c>
      <c r="F50" s="27" t="n">
        <f aca="false">IF(COUNT('Arroz irrigado'!$E48:$Z48)=0,0,MAX(0,IF((F$6-$E$3)&lt;1,0,IFERROR(LOOKUP(2,1/('Arroz irrigado'!$E48:INDEX('Arroz irrigado'!$E48:$Z48,MIN(F$6-$E$3,22))&lt;&gt;""),'Arroz irrigado'!$E48:INDEX('Arroz irrigado'!$E48:$Z48,MIN(F$6-$E$3,22))),0))-IF($G$2,0,IF((F$6-$G$3)&lt;1,0,IFERROR(LOOKUP(2,1/('Arroz irrigado'!$E48:INDEX('Arroz irrigado'!$E48:$Z48,MIN(F$6-$G$3,22))&lt;&gt;""),'Arroz irrigado'!$E48:INDEX('Arroz irrigado'!$E48:$Z48,MIN(F$6-$G$3,22))),0)))))</f>
        <v>0</v>
      </c>
      <c r="G50" s="27" t="n">
        <f aca="false">IF(COUNT('Arroz irrigado'!$E48:$Z48)=0,0,MAX(0,IF((G$6-$E$3)&lt;1,0,IFERROR(LOOKUP(2,1/('Arroz irrigado'!$E48:INDEX('Arroz irrigado'!$E48:$Z48,MIN(G$6-$E$3,22))&lt;&gt;""),'Arroz irrigado'!$E48:INDEX('Arroz irrigado'!$E48:$Z48,MIN(G$6-$E$3,22))),0))-IF($G$2,0,IF((G$6-$G$3)&lt;1,0,IFERROR(LOOKUP(2,1/('Arroz irrigado'!$E48:INDEX('Arroz irrigado'!$E48:$Z48,MIN(G$6-$G$3,22))&lt;&gt;""),'Arroz irrigado'!$E48:INDEX('Arroz irrigado'!$E48:$Z48,MIN(G$6-$G$3,22))),0)))))</f>
        <v>0</v>
      </c>
      <c r="H50" s="27" t="n">
        <f aca="false">IF(COUNT('Arroz irrigado'!$E48:$Z48)=0,0,MAX(0,IF((H$6-$E$3)&lt;1,0,IFERROR(LOOKUP(2,1/('Arroz irrigado'!$E48:INDEX('Arroz irrigado'!$E48:$Z48,MIN(H$6-$E$3,22))&lt;&gt;""),'Arroz irrigado'!$E48:INDEX('Arroz irrigado'!$E48:$Z48,MIN(H$6-$E$3,22))),0))-IF($G$2,0,IF((H$6-$G$3)&lt;1,0,IFERROR(LOOKUP(2,1/('Arroz irrigado'!$E48:INDEX('Arroz irrigado'!$E48:$Z48,MIN(H$6-$G$3,22))&lt;&gt;""),'Arroz irrigado'!$E48:INDEX('Arroz irrigado'!$E48:$Z48,MIN(H$6-$G$3,22))),0)))))</f>
        <v>0</v>
      </c>
      <c r="I50" s="27" t="n">
        <f aca="false">IF(COUNT('Arroz irrigado'!$E48:$Z48)=0,0,MAX(0,IF((I$6-$E$3)&lt;1,0,IFERROR(LOOKUP(2,1/('Arroz irrigado'!$E48:INDEX('Arroz irrigado'!$E48:$Z48,MIN(I$6-$E$3,22))&lt;&gt;""),'Arroz irrigado'!$E48:INDEX('Arroz irrigado'!$E48:$Z48,MIN(I$6-$E$3,22))),0))-IF($G$2,0,IF((I$6-$G$3)&lt;1,0,IFERROR(LOOKUP(2,1/('Arroz irrigado'!$E48:INDEX('Arroz irrigado'!$E48:$Z48,MIN(I$6-$G$3,22))&lt;&gt;""),'Arroz irrigado'!$E48:INDEX('Arroz irrigado'!$E48:$Z48,MIN(I$6-$G$3,22))),0)))))</f>
        <v>0</v>
      </c>
      <c r="J50" s="27" t="n">
        <f aca="false">IF(COUNT('Arroz irrigado'!$E48:$Z48)=0,0,MAX(0,IF((J$6-$E$3)&lt;1,0,IFERROR(LOOKUP(2,1/('Arroz irrigado'!$E48:INDEX('Arroz irrigado'!$E48:$Z48,MIN(J$6-$E$3,22))&lt;&gt;""),'Arroz irrigado'!$E48:INDEX('Arroz irrigado'!$E48:$Z48,MIN(J$6-$E$3,22))),0))-IF($G$2,0,IF((J$6-$G$3)&lt;1,0,IFERROR(LOOKUP(2,1/('Arroz irrigado'!$E48:INDEX('Arroz irrigado'!$E48:$Z48,MIN(J$6-$G$3,22))&lt;&gt;""),'Arroz irrigado'!$E48:INDEX('Arroz irrigado'!$E48:$Z48,MIN(J$6-$G$3,22))),0)))))</f>
        <v>0</v>
      </c>
      <c r="K50" s="27" t="n">
        <f aca="false">IF(COUNT('Arroz irrigado'!$E48:$Z48)=0,0,MAX(0,IF((K$6-$E$3)&lt;1,0,IFERROR(LOOKUP(2,1/('Arroz irrigado'!$E48:INDEX('Arroz irrigado'!$E48:$Z48,MIN(K$6-$E$3,22))&lt;&gt;""),'Arroz irrigado'!$E48:INDEX('Arroz irrigado'!$E48:$Z48,MIN(K$6-$E$3,22))),0))-IF($G$2,0,IF((K$6-$G$3)&lt;1,0,IFERROR(LOOKUP(2,1/('Arroz irrigado'!$E48:INDEX('Arroz irrigado'!$E48:$Z48,MIN(K$6-$G$3,22))&lt;&gt;""),'Arroz irrigado'!$E48:INDEX('Arroz irrigado'!$E48:$Z48,MIN(K$6-$G$3,22))),0)))))</f>
        <v>0</v>
      </c>
      <c r="L50" s="27" t="n">
        <f aca="false">IF(COUNT('Arroz irrigado'!$E48:$Z48)=0,0,MAX(0,IF((L$6-$E$3)&lt;1,0,IFERROR(LOOKUP(2,1/('Arroz irrigado'!$E48:INDEX('Arroz irrigado'!$E48:$Z48,MIN(L$6-$E$3,22))&lt;&gt;""),'Arroz irrigado'!$E48:INDEX('Arroz irrigado'!$E48:$Z48,MIN(L$6-$E$3,22))),0))-IF($G$2,0,IF((L$6-$G$3)&lt;1,0,IFERROR(LOOKUP(2,1/('Arroz irrigado'!$E48:INDEX('Arroz irrigado'!$E48:$Z48,MIN(L$6-$G$3,22))&lt;&gt;""),'Arroz irrigado'!$E48:INDEX('Arroz irrigado'!$E48:$Z48,MIN(L$6-$G$3,22))),0)))))</f>
        <v>0</v>
      </c>
      <c r="M50" s="27" t="n">
        <f aca="false">IF(COUNT('Arroz irrigado'!$E48:$Z48)=0,0,MAX(0,IF((M$6-$E$3)&lt;1,0,IFERROR(LOOKUP(2,1/('Arroz irrigado'!$E48:INDEX('Arroz irrigado'!$E48:$Z48,MIN(M$6-$E$3,22))&lt;&gt;""),'Arroz irrigado'!$E48:INDEX('Arroz irrigado'!$E48:$Z48,MIN(M$6-$E$3,22))),0))-IF($G$2,0,IF((M$6-$G$3)&lt;1,0,IFERROR(LOOKUP(2,1/('Arroz irrigado'!$E48:INDEX('Arroz irrigado'!$E48:$Z48,MIN(M$6-$G$3,22))&lt;&gt;""),'Arroz irrigado'!$E48:INDEX('Arroz irrigado'!$E48:$Z48,MIN(M$6-$G$3,22))),0)))))</f>
        <v>0</v>
      </c>
      <c r="N50" s="27" t="n">
        <f aca="false">IF(COUNT('Arroz irrigado'!$E48:$Z48)=0,0,MAX(0,IF((N$6-$E$3)&lt;1,0,IFERROR(LOOKUP(2,1/('Arroz irrigado'!$E48:INDEX('Arroz irrigado'!$E48:$Z48,MIN(N$6-$E$3,22))&lt;&gt;""),'Arroz irrigado'!$E48:INDEX('Arroz irrigado'!$E48:$Z48,MIN(N$6-$E$3,22))),0))-IF($G$2,0,IF((N$6-$G$3)&lt;1,0,IFERROR(LOOKUP(2,1/('Arroz irrigado'!$E48:INDEX('Arroz irrigado'!$E48:$Z48,MIN(N$6-$G$3,22))&lt;&gt;""),'Arroz irrigado'!$E48:INDEX('Arroz irrigado'!$E48:$Z48,MIN(N$6-$G$3,22))),0)))))</f>
        <v>0</v>
      </c>
      <c r="O50" s="27" t="n">
        <f aca="false">IF(COUNT('Arroz irrigado'!$E48:$Z48)=0,0,MAX(0,IF((O$6-$E$3)&lt;1,0,IFERROR(LOOKUP(2,1/('Arroz irrigado'!$E48:INDEX('Arroz irrigado'!$E48:$Z48,MIN(O$6-$E$3,22))&lt;&gt;""),'Arroz irrigado'!$E48:INDEX('Arroz irrigado'!$E48:$Z48,MIN(O$6-$E$3,22))),0))-IF($G$2,0,IF((O$6-$G$3)&lt;1,0,IFERROR(LOOKUP(2,1/('Arroz irrigado'!$E48:INDEX('Arroz irrigado'!$E48:$Z48,MIN(O$6-$G$3,22))&lt;&gt;""),'Arroz irrigado'!$E48:INDEX('Arroz irrigado'!$E48:$Z48,MIN(O$6-$G$3,22))),0)))))</f>
        <v>0</v>
      </c>
      <c r="P50" s="27" t="n">
        <f aca="false">IF(COUNT('Arroz irrigado'!$E48:$Z48)=0,0,MAX(0,IF((P$6-$E$3)&lt;1,0,IFERROR(LOOKUP(2,1/('Arroz irrigado'!$E48:INDEX('Arroz irrigado'!$E48:$Z48,MIN(P$6-$E$3,22))&lt;&gt;""),'Arroz irrigado'!$E48:INDEX('Arroz irrigado'!$E48:$Z48,MIN(P$6-$E$3,22))),0))-IF($G$2,0,IF((P$6-$G$3)&lt;1,0,IFERROR(LOOKUP(2,1/('Arroz irrigado'!$E48:INDEX('Arroz irrigado'!$E48:$Z48,MIN(P$6-$G$3,22))&lt;&gt;""),'Arroz irrigado'!$E48:INDEX('Arroz irrigado'!$E48:$Z48,MIN(P$6-$G$3,22))),0)))))</f>
        <v>0</v>
      </c>
      <c r="Q50" s="27" t="n">
        <f aca="false">IF(COUNT('Arroz irrigado'!$E48:$Z48)=0,0,MAX(0,IF((Q$6-$E$3)&lt;1,0,IFERROR(LOOKUP(2,1/('Arroz irrigado'!$E48:INDEX('Arroz irrigado'!$E48:$Z48,MIN(Q$6-$E$3,22))&lt;&gt;""),'Arroz irrigado'!$E48:INDEX('Arroz irrigado'!$E48:$Z48,MIN(Q$6-$E$3,22))),0))-IF($G$2,0,IF((Q$6-$G$3)&lt;1,0,IFERROR(LOOKUP(2,1/('Arroz irrigado'!$E48:INDEX('Arroz irrigado'!$E48:$Z48,MIN(Q$6-$G$3,22))&lt;&gt;""),'Arroz irrigado'!$E48:INDEX('Arroz irrigado'!$E48:$Z48,MIN(Q$6-$G$3,22))),0)))))</f>
        <v>0</v>
      </c>
      <c r="R50" s="27" t="n">
        <f aca="false">IF(COUNT('Arroz irrigado'!$E48:$Z48)=0,0,MAX(0,IF((R$6-$E$3)&lt;1,0,IFERROR(LOOKUP(2,1/('Arroz irrigado'!$E48:INDEX('Arroz irrigado'!$E48:$Z48,MIN(R$6-$E$3,22))&lt;&gt;""),'Arroz irrigado'!$E48:INDEX('Arroz irrigado'!$E48:$Z48,MIN(R$6-$E$3,22))),0))-IF($G$2,0,IF((R$6-$G$3)&lt;1,0,IFERROR(LOOKUP(2,1/('Arroz irrigado'!$E48:INDEX('Arroz irrigado'!$E48:$Z48,MIN(R$6-$G$3,22))&lt;&gt;""),'Arroz irrigado'!$E48:INDEX('Arroz irrigado'!$E48:$Z48,MIN(R$6-$G$3,22))),0)))))</f>
        <v>0</v>
      </c>
      <c r="S50" s="27" t="n">
        <f aca="false">IF(COUNT('Arroz irrigado'!$E48:$Z48)=0,0,MAX(0,IF((S$6-$E$3)&lt;1,0,IFERROR(LOOKUP(2,1/('Arroz irrigado'!$E48:INDEX('Arroz irrigado'!$E48:$Z48,MIN(S$6-$E$3,22))&lt;&gt;""),'Arroz irrigado'!$E48:INDEX('Arroz irrigado'!$E48:$Z48,MIN(S$6-$E$3,22))),0))-IF($G$2,0,IF((S$6-$G$3)&lt;1,0,IFERROR(LOOKUP(2,1/('Arroz irrigado'!$E48:INDEX('Arroz irrigado'!$E48:$Z48,MIN(S$6-$G$3,22))&lt;&gt;""),'Arroz irrigado'!$E48:INDEX('Arroz irrigado'!$E48:$Z48,MIN(S$6-$G$3,22))),0)))))</f>
        <v>0</v>
      </c>
      <c r="T50" s="27" t="n">
        <f aca="false">IF(COUNT('Arroz irrigado'!$E48:$Z48)=0,0,MAX(0,IF((T$6-$E$3)&lt;1,0,IFERROR(LOOKUP(2,1/('Arroz irrigado'!$E48:INDEX('Arroz irrigado'!$E48:$Z48,MIN(T$6-$E$3,22))&lt;&gt;""),'Arroz irrigado'!$E48:INDEX('Arroz irrigado'!$E48:$Z48,MIN(T$6-$E$3,22))),0))-IF($G$2,0,IF((T$6-$G$3)&lt;1,0,IFERROR(LOOKUP(2,1/('Arroz irrigado'!$E48:INDEX('Arroz irrigado'!$E48:$Z48,MIN(T$6-$G$3,22))&lt;&gt;""),'Arroz irrigado'!$E48:INDEX('Arroz irrigado'!$E48:$Z48,MIN(T$6-$G$3,22))),0)))))</f>
        <v>0</v>
      </c>
      <c r="U50" s="27" t="n">
        <f aca="false">IF(COUNT('Arroz irrigado'!$E48:$Z48)=0,0,MAX(0,IF((U$6-$E$3)&lt;1,0,IFERROR(LOOKUP(2,1/('Arroz irrigado'!$E48:INDEX('Arroz irrigado'!$E48:$Z48,MIN(U$6-$E$3,22))&lt;&gt;""),'Arroz irrigado'!$E48:INDEX('Arroz irrigado'!$E48:$Z48,MIN(U$6-$E$3,22))),0))-IF($G$2,0,IF((U$6-$G$3)&lt;1,0,IFERROR(LOOKUP(2,1/('Arroz irrigado'!$E48:INDEX('Arroz irrigado'!$E48:$Z48,MIN(U$6-$G$3,22))&lt;&gt;""),'Arroz irrigado'!$E48:INDEX('Arroz irrigado'!$E48:$Z48,MIN(U$6-$G$3,22))),0)))))</f>
        <v>0</v>
      </c>
      <c r="V50" s="27" t="n">
        <f aca="false">IF(COUNT('Arroz irrigado'!$E48:$Z48)=0,0,MAX(0,IF((V$6-$E$3)&lt;1,0,IFERROR(LOOKUP(2,1/('Arroz irrigado'!$E48:INDEX('Arroz irrigado'!$E48:$Z48,MIN(V$6-$E$3,22))&lt;&gt;""),'Arroz irrigado'!$E48:INDEX('Arroz irrigado'!$E48:$Z48,MIN(V$6-$E$3,22))),0))-IF($G$2,0,IF((V$6-$G$3)&lt;1,0,IFERROR(LOOKUP(2,1/('Arroz irrigado'!$E48:INDEX('Arroz irrigado'!$E48:$Z48,MIN(V$6-$G$3,22))&lt;&gt;""),'Arroz irrigado'!$E48:INDEX('Arroz irrigado'!$E48:$Z48,MIN(V$6-$G$3,22))),0)))))</f>
        <v>0</v>
      </c>
      <c r="W50" s="27" t="n">
        <f aca="false">IF(COUNT('Arroz irrigado'!$E48:$Z48)=0,0,MAX(0,IF((W$6-$E$3)&lt;1,0,IFERROR(LOOKUP(2,1/('Arroz irrigado'!$E48:INDEX('Arroz irrigado'!$E48:$Z48,MIN(W$6-$E$3,22))&lt;&gt;""),'Arroz irrigado'!$E48:INDEX('Arroz irrigado'!$E48:$Z48,MIN(W$6-$E$3,22))),0))-IF($G$2,0,IF((W$6-$G$3)&lt;1,0,IFERROR(LOOKUP(2,1/('Arroz irrigado'!$E48:INDEX('Arroz irrigado'!$E48:$Z48,MIN(W$6-$G$3,22))&lt;&gt;""),'Arroz irrigado'!$E48:INDEX('Arroz irrigado'!$E48:$Z48,MIN(W$6-$G$3,22))),0)))))</f>
        <v>0</v>
      </c>
      <c r="X50" s="27" t="n">
        <f aca="false">IF(COUNT('Arroz irrigado'!$E48:$Z48)=0,0,MAX(0,IF((X$6-$E$3)&lt;1,0,IFERROR(LOOKUP(2,1/('Arroz irrigado'!$E48:INDEX('Arroz irrigado'!$E48:$Z48,MIN(X$6-$E$3,22))&lt;&gt;""),'Arroz irrigado'!$E48:INDEX('Arroz irrigado'!$E48:$Z48,MIN(X$6-$E$3,22))),0))-IF($G$2,0,IF((X$6-$G$3)&lt;1,0,IFERROR(LOOKUP(2,1/('Arroz irrigado'!$E48:INDEX('Arroz irrigado'!$E48:$Z48,MIN(X$6-$G$3,22))&lt;&gt;""),'Arroz irrigado'!$E48:INDEX('Arroz irrigado'!$E48:$Z48,MIN(X$6-$G$3,22))),0)))))</f>
        <v>0</v>
      </c>
      <c r="Y50" s="27" t="n">
        <f aca="false">IF(COUNT('Arroz irrigado'!$E48:$Z48)=0,0,MAX(0,IF((Y$6-$E$3)&lt;1,0,IFERROR(LOOKUP(2,1/('Arroz irrigado'!$E48:INDEX('Arroz irrigado'!$E48:$Z48,MIN(Y$6-$E$3,22))&lt;&gt;""),'Arroz irrigado'!$E48:INDEX('Arroz irrigado'!$E48:$Z48,MIN(Y$6-$E$3,22))),0))-IF($G$2,0,IF((Y$6-$G$3)&lt;1,0,IFERROR(LOOKUP(2,1/('Arroz irrigado'!$E48:INDEX('Arroz irrigado'!$E48:$Z48,MIN(Y$6-$G$3,22))&lt;&gt;""),'Arroz irrigado'!$E48:INDEX('Arroz irrigado'!$E48:$Z48,MIN(Y$6-$G$3,22))),0)))))</f>
        <v>0</v>
      </c>
      <c r="Z50" s="27" t="n">
        <f aca="false">IF(COUNT('Arroz irrigado'!$E48:$Z48)=0,0,MAX(0,IF((Z$6-$E$3)&lt;1,0,IFERROR(LOOKUP(2,1/('Arroz irrigado'!$E48:INDEX('Arroz irrigado'!$E48:$Z48,MIN(Z$6-$E$3,22))&lt;&gt;""),'Arroz irrigado'!$E48:INDEX('Arroz irrigado'!$E48:$Z48,MIN(Z$6-$E$3,22))),0))-IF($G$2,0,IF((Z$6-$G$3)&lt;1,0,IFERROR(LOOKUP(2,1/('Arroz irrigado'!$E48:INDEX('Arroz irrigado'!$E48:$Z48,MIN(Z$6-$G$3,22))&lt;&gt;""),'Arroz irrigado'!$E48:INDEX('Arroz irrigado'!$E48:$Z48,MIN(Z$6-$G$3,22))),0)))))</f>
        <v>0</v>
      </c>
      <c r="AA50" s="27" t="n">
        <f aca="false">IF(COUNT('Arroz irrigado'!$E48:$Z48)=0,0,MAX(0,IF((AA$6-$E$3)&lt;1,0,IFERROR(LOOKUP(2,1/('Arroz irrigado'!$E48:INDEX('Arroz irrigado'!$E48:$Z48,MIN(AA$6-$E$3,22))&lt;&gt;""),'Arroz irrigado'!$E48:INDEX('Arroz irrigado'!$E48:$Z48,MIN(AA$6-$E$3,22))),0))-IF($G$2,0,IF((AA$6-$G$3)&lt;1,0,IFERROR(LOOKUP(2,1/('Arroz irrigado'!$E48:INDEX('Arroz irrigado'!$E48:$Z48,MIN(AA$6-$G$3,22))&lt;&gt;""),'Arroz irrigado'!$E48:INDEX('Arroz irrigado'!$E48:$Z48,MIN(AA$6-$G$3,22))),0)))))</f>
        <v>0</v>
      </c>
      <c r="AB50" s="27" t="n">
        <f aca="false">IF(COUNT('Arroz irrigado'!$E48:$Z48)=0,0,MAX(0,IF((AB$6-$E$3)&lt;1,0,IFERROR(LOOKUP(2,1/('Arroz irrigado'!$E48:INDEX('Arroz irrigado'!$E48:$Z48,MIN(AB$6-$E$3,22))&lt;&gt;""),'Arroz irrigado'!$E48:INDEX('Arroz irrigado'!$E48:$Z48,MIN(AB$6-$E$3,22))),0))-IF($G$2,0,IF((AB$6-$G$3)&lt;1,0,IFERROR(LOOKUP(2,1/('Arroz irrigado'!$E48:INDEX('Arroz irrigado'!$E48:$Z48,MIN(AB$6-$G$3,22))&lt;&gt;""),'Arroz irrigado'!$E48:INDEX('Arroz irrigado'!$E48:$Z48,MIN(AB$6-$G$3,22))),0)))))</f>
        <v>0</v>
      </c>
      <c r="AC50" s="27" t="n">
        <f aca="false">IF(COUNT('Arroz irrigado'!$E48:$Z48)=0,0,MAX(0,IF((AC$6-$E$3)&lt;1,0,IFERROR(LOOKUP(2,1/('Arroz irrigado'!$E48:INDEX('Arroz irrigado'!$E48:$Z48,MIN(AC$6-$E$3,22))&lt;&gt;""),'Arroz irrigado'!$E48:INDEX('Arroz irrigado'!$E48:$Z48,MIN(AC$6-$E$3,22))),0))-IF($G$2,0,IF((AC$6-$G$3)&lt;1,0,IFERROR(LOOKUP(2,1/('Arroz irrigado'!$E48:INDEX('Arroz irrigado'!$E48:$Z48,MIN(AC$6-$G$3,22))&lt;&gt;""),'Arroz irrigado'!$E48:INDEX('Arroz irrigado'!$E48:$Z48,MIN(AC$6-$G$3,22))),0)))))</f>
        <v>0</v>
      </c>
      <c r="AD50" s="27" t="n">
        <f aca="false">IF(COUNT('Arroz irrigado'!$E48:$Z48)=0,0,MAX(0,IF((AD$6-$E$3)&lt;1,0,IFERROR(LOOKUP(2,1/('Arroz irrigado'!$E48:INDEX('Arroz irrigado'!$E48:$Z48,MIN(AD$6-$E$3,22))&lt;&gt;""),'Arroz irrigado'!$E48:INDEX('Arroz irrigado'!$E48:$Z48,MIN(AD$6-$E$3,22))),0))-IF($G$2,0,IF((AD$6-$G$3)&lt;1,0,IFERROR(LOOKUP(2,1/('Arroz irrigado'!$E48:INDEX('Arroz irrigado'!$E48:$Z48,MIN(AD$6-$G$3,22))&lt;&gt;""),'Arroz irrigado'!$E48:INDEX('Arroz irrigado'!$E48:$Z48,MIN(AD$6-$G$3,22))),0)))))</f>
        <v>0</v>
      </c>
      <c r="AE50" s="27" t="n">
        <f aca="false">IF(COUNT('Arroz irrigado'!$E48:$Z48)=0,0,MAX(0,IF((AE$6-$E$3)&lt;1,0,IFERROR(LOOKUP(2,1/('Arroz irrigado'!$E48:INDEX('Arroz irrigado'!$E48:$Z48,MIN(AE$6-$E$3,22))&lt;&gt;""),'Arroz irrigado'!$E48:INDEX('Arroz irrigado'!$E48:$Z48,MIN(AE$6-$E$3,22))),0))-IF($G$2,0,IF((AE$6-$G$3)&lt;1,0,IFERROR(LOOKUP(2,1/('Arroz irrigado'!$E48:INDEX('Arroz irrigado'!$E48:$Z48,MIN(AE$6-$G$3,22))&lt;&gt;""),'Arroz irrigado'!$E48:INDEX('Arroz irrigado'!$E48:$Z48,MIN(AE$6-$G$3,22))),0)))))</f>
        <v>0</v>
      </c>
      <c r="AF50" s="27" t="n">
        <f aca="false">IF(COUNT('Arroz irrigado'!$E48:$Z48)=0,0,MAX(0,IF((AF$6-$E$3)&lt;1,0,IFERROR(LOOKUP(2,1/('Arroz irrigado'!$E48:INDEX('Arroz irrigado'!$E48:$Z48,MIN(AF$6-$E$3,22))&lt;&gt;""),'Arroz irrigado'!$E48:INDEX('Arroz irrigado'!$E48:$Z48,MIN(AF$6-$E$3,22))),0))-IF($G$2,0,IF((AF$6-$G$3)&lt;1,0,IFERROR(LOOKUP(2,1/('Arroz irrigado'!$E48:INDEX('Arroz irrigado'!$E48:$Z48,MIN(AF$6-$G$3,22))&lt;&gt;""),'Arroz irrigado'!$E48:INDEX('Arroz irrigado'!$E48:$Z48,MIN(AF$6-$G$3,22))),0)))))</f>
        <v>0</v>
      </c>
      <c r="AG50" s="27" t="n">
        <f aca="false">IF(COUNT('Arroz irrigado'!$E48:$Z48)=0,0,MAX(0,IF((AG$6-$E$3)&lt;1,0,IFERROR(LOOKUP(2,1/('Arroz irrigado'!$E48:INDEX('Arroz irrigado'!$E48:$Z48,MIN(AG$6-$E$3,22))&lt;&gt;""),'Arroz irrigado'!$E48:INDEX('Arroz irrigado'!$E48:$Z48,MIN(AG$6-$E$3,22))),0))-IF($G$2,0,IF((AG$6-$G$3)&lt;1,0,IFERROR(LOOKUP(2,1/('Arroz irrigado'!$E48:INDEX('Arroz irrigado'!$E48:$Z48,MIN(AG$6-$G$3,22))&lt;&gt;""),'Arroz irrigado'!$E48:INDEX('Arroz irrigado'!$E48:$Z48,MIN(AG$6-$G$3,22))),0)))))</f>
        <v>0</v>
      </c>
      <c r="AH50" s="27" t="n">
        <f aca="false">IF(COUNT('Arroz irrigado'!$E48:$Z48)=0,0,MAX(0,IF((AH$6-$E$3)&lt;1,0,IFERROR(LOOKUP(2,1/('Arroz irrigado'!$E48:INDEX('Arroz irrigado'!$E48:$Z48,MIN(AH$6-$E$3,22))&lt;&gt;""),'Arroz irrigado'!$E48:INDEX('Arroz irrigado'!$E48:$Z48,MIN(AH$6-$E$3,22))),0))-IF($G$2,0,IF((AH$6-$G$3)&lt;1,0,IFERROR(LOOKUP(2,1/('Arroz irrigado'!$E48:INDEX('Arroz irrigado'!$E48:$Z48,MIN(AH$6-$G$3,22))&lt;&gt;""),'Arroz irrigado'!$E48:INDEX('Arroz irrigado'!$E48:$Z48,MIN(AH$6-$G$3,22))),0)))))</f>
        <v>0</v>
      </c>
      <c r="AI50" s="27" t="n">
        <f aca="false">IF(COUNT('Arroz irrigado'!$E48:$Z48)=0,0,MAX(0,IF((AI$6-$E$3)&lt;1,0,IFERROR(LOOKUP(2,1/('Arroz irrigado'!$E48:INDEX('Arroz irrigado'!$E48:$Z48,MIN(AI$6-$E$3,22))&lt;&gt;""),'Arroz irrigado'!$E48:INDEX('Arroz irrigado'!$E48:$Z48,MIN(AI$6-$E$3,22))),0))-IF($G$2,0,IF((AI$6-$G$3)&lt;1,0,IFERROR(LOOKUP(2,1/('Arroz irrigado'!$E48:INDEX('Arroz irrigado'!$E48:$Z48,MIN(AI$6-$G$3,22))&lt;&gt;""),'Arroz irrigado'!$E48:INDEX('Arroz irrigado'!$E48:$Z48,MIN(AI$6-$G$3,22))),0)))))</f>
        <v>0</v>
      </c>
      <c r="AJ50" s="27" t="n">
        <f aca="false">IF(COUNT('Arroz irrigado'!$E48:$Z48)=0,0,MAX(0,IF((AJ$6-$E$3)&lt;1,0,IFERROR(LOOKUP(2,1/('Arroz irrigado'!$E48:INDEX('Arroz irrigado'!$E48:$Z48,MIN(AJ$6-$E$3,22))&lt;&gt;""),'Arroz irrigado'!$E48:INDEX('Arroz irrigado'!$E48:$Z48,MIN(AJ$6-$E$3,22))),0))-IF($G$2,0,IF((AJ$6-$G$3)&lt;1,0,IFERROR(LOOKUP(2,1/('Arroz irrigado'!$E48:INDEX('Arroz irrigado'!$E48:$Z48,MIN(AJ$6-$G$3,22))&lt;&gt;""),'Arroz irrigado'!$E48:INDEX('Arroz irrigado'!$E48:$Z48,MIN(AJ$6-$G$3,22))),0)))))</f>
        <v>0</v>
      </c>
      <c r="AK50" s="27" t="n">
        <f aca="false">IF(COUNT('Arroz irrigado'!$E48:$Z48)=0,0,MAX(0,IF((AK$6-$E$3)&lt;1,0,IFERROR(LOOKUP(2,1/('Arroz irrigado'!$E48:INDEX('Arroz irrigado'!$E48:$Z48,MIN(AK$6-$E$3,22))&lt;&gt;""),'Arroz irrigado'!$E48:INDEX('Arroz irrigado'!$E48:$Z48,MIN(AK$6-$E$3,22))),0))-IF($G$2,0,IF((AK$6-$G$3)&lt;1,0,IFERROR(LOOKUP(2,1/('Arroz irrigado'!$E48:INDEX('Arroz irrigado'!$E48:$Z48,MIN(AK$6-$G$3,22))&lt;&gt;""),'Arroz irrigado'!$E48:INDEX('Arroz irrigado'!$E48:$Z48,MIN(AK$6-$G$3,22))),0)))))</f>
        <v>0</v>
      </c>
      <c r="AL50" s="27" t="n">
        <f aca="false">IF(COUNT('Arroz irrigado'!$E48:$Z48)=0,0,MAX(0,IF((AL$6-$E$3)&lt;1,0,IFERROR(LOOKUP(2,1/('Arroz irrigado'!$E48:INDEX('Arroz irrigado'!$E48:$Z48,MIN(AL$6-$E$3,22))&lt;&gt;""),'Arroz irrigado'!$E48:INDEX('Arroz irrigado'!$E48:$Z48,MIN(AL$6-$E$3,22))),0))-IF($G$2,0,IF((AL$6-$G$3)&lt;1,0,IFERROR(LOOKUP(2,1/('Arroz irrigado'!$E48:INDEX('Arroz irrigado'!$E48:$Z48,MIN(AL$6-$G$3,22))&lt;&gt;""),'Arroz irrigado'!$E48:INDEX('Arroz irrigado'!$E48:$Z48,MIN(AL$6-$G$3,22))),0)))))</f>
        <v>0</v>
      </c>
      <c r="AM50" s="27" t="n">
        <f aca="false">IF(COUNT('Arroz irrigado'!$E48:$Z48)=0,0,MAX(0,IF((AM$6-$E$3)&lt;1,0,IFERROR(LOOKUP(2,1/('Arroz irrigado'!$E48:INDEX('Arroz irrigado'!$E48:$Z48,MIN(AM$6-$E$3,22))&lt;&gt;""),'Arroz irrigado'!$E48:INDEX('Arroz irrigado'!$E48:$Z48,MIN(AM$6-$E$3,22))),0))-IF($G$2,0,IF((AM$6-$G$3)&lt;1,0,IFERROR(LOOKUP(2,1/('Arroz irrigado'!$E48:INDEX('Arroz irrigado'!$E48:$Z48,MIN(AM$6-$G$3,22))&lt;&gt;""),'Arroz irrigado'!$E48:INDEX('Arroz irrigado'!$E48:$Z48,MIN(AM$6-$G$3,22))),0)))))</f>
        <v>0</v>
      </c>
      <c r="AN50" s="27" t="n">
        <f aca="false">IF(COUNT('Arroz irrigado'!$E48:$Z48)=0,0,MAX(0,IF((AN$6-$E$3)&lt;1,0,IFERROR(LOOKUP(2,1/('Arroz irrigado'!$E48:INDEX('Arroz irrigado'!$E48:$Z48,MIN(AN$6-$E$3,22))&lt;&gt;""),'Arroz irrigado'!$E48:INDEX('Arroz irrigado'!$E48:$Z48,MIN(AN$6-$E$3,22))),0))-IF($G$2,0,IF((AN$6-$G$3)&lt;1,0,IFERROR(LOOKUP(2,1/('Arroz irrigado'!$E48:INDEX('Arroz irrigado'!$E48:$Z48,MIN(AN$6-$G$3,22))&lt;&gt;""),'Arroz irrigado'!$E48:INDEX('Arroz irrigado'!$E48:$Z48,MIN(AN$6-$G$3,22))),0)))))</f>
        <v>0</v>
      </c>
      <c r="AO50" s="27" t="n">
        <f aca="false">IF(COUNT('Arroz irrigado'!$E48:$Z48)=0,0,MAX(0,IF((AO$6-$E$3)&lt;1,0,IFERROR(LOOKUP(2,1/('Arroz irrigado'!$E48:INDEX('Arroz irrigado'!$E48:$Z48,MIN(AO$6-$E$3,22))&lt;&gt;""),'Arroz irrigado'!$E48:INDEX('Arroz irrigado'!$E48:$Z48,MIN(AO$6-$E$3,22))),0))-IF($G$2,0,IF((AO$6-$G$3)&lt;1,0,IFERROR(LOOKUP(2,1/('Arroz irrigado'!$E48:INDEX('Arroz irrigado'!$E48:$Z48,MIN(AO$6-$G$3,22))&lt;&gt;""),'Arroz irrigado'!$E48:INDEX('Arroz irrigado'!$E48:$Z48,MIN(AO$6-$G$3,22))),0)))))</f>
        <v>0</v>
      </c>
      <c r="AP50" s="27" t="n">
        <f aca="false">IF(COUNT('Arroz irrigado'!$E48:$Z48)=0,0,MAX(0,IF((AP$6-$E$3)&lt;1,0,IFERROR(LOOKUP(2,1/('Arroz irrigado'!$E48:INDEX('Arroz irrigado'!$E48:$Z48,MIN(AP$6-$E$3,22))&lt;&gt;""),'Arroz irrigado'!$E48:INDEX('Arroz irrigado'!$E48:$Z48,MIN(AP$6-$E$3,22))),0))-IF($G$2,0,IF((AP$6-$G$3)&lt;1,0,IFERROR(LOOKUP(2,1/('Arroz irrigado'!$E48:INDEX('Arroz irrigado'!$E48:$Z48,MIN(AP$6-$G$3,22))&lt;&gt;""),'Arroz irrigado'!$E48:INDEX('Arroz irrigado'!$E48:$Z48,MIN(AP$6-$G$3,22))),0)))))</f>
        <v>0</v>
      </c>
      <c r="AQ50" s="27" t="n">
        <f aca="false">IF(COUNT('Arroz irrigado'!$E48:$Z48)=0,0,MAX(0,IF((AQ$6-$E$3)&lt;1,0,IFERROR(LOOKUP(2,1/('Arroz irrigado'!$E48:INDEX('Arroz irrigado'!$E48:$Z48,MIN(AQ$6-$E$3,22))&lt;&gt;""),'Arroz irrigado'!$E48:INDEX('Arroz irrigado'!$E48:$Z48,MIN(AQ$6-$E$3,22))),0))-IF($G$2,0,IF((AQ$6-$G$3)&lt;1,0,IFERROR(LOOKUP(2,1/('Arroz irrigado'!$E48:INDEX('Arroz irrigado'!$E48:$Z48,MIN(AQ$6-$G$3,22))&lt;&gt;""),'Arroz irrigado'!$E48:INDEX('Arroz irrigado'!$E48:$Z48,MIN(AQ$6-$G$3,22))),0)))))</f>
        <v>0</v>
      </c>
      <c r="AR50" s="27" t="n">
        <f aca="false">IF(COUNT('Arroz irrigado'!$E48:$Z48)=0,0,MAX(0,IF((AR$6-$E$3)&lt;1,0,IFERROR(LOOKUP(2,1/('Arroz irrigado'!$E48:INDEX('Arroz irrigado'!$E48:$Z48,MIN(AR$6-$E$3,22))&lt;&gt;""),'Arroz irrigado'!$E48:INDEX('Arroz irrigado'!$E48:$Z48,MIN(AR$6-$E$3,22))),0))-IF($G$2,0,IF((AR$6-$G$3)&lt;1,0,IFERROR(LOOKUP(2,1/('Arroz irrigado'!$E48:INDEX('Arroz irrigado'!$E48:$Z48,MIN(AR$6-$G$3,22))&lt;&gt;""),'Arroz irrigado'!$E48:INDEX('Arroz irrigado'!$E48:$Z48,MIN(AR$6-$G$3,22))),0)))))</f>
        <v>0</v>
      </c>
      <c r="AS50" s="27" t="n">
        <f aca="false">IF(COUNT('Arroz irrigado'!$E48:$Z48)=0,0,MAX(0,IF((AS$6-$E$3)&lt;1,0,IFERROR(LOOKUP(2,1/('Arroz irrigado'!$E48:INDEX('Arroz irrigado'!$E48:$Z48,MIN(AS$6-$E$3,22))&lt;&gt;""),'Arroz irrigado'!$E48:INDEX('Arroz irrigado'!$E48:$Z48,MIN(AS$6-$E$3,22))),0))-IF($G$2,0,IF((AS$6-$G$3)&lt;1,0,IFERROR(LOOKUP(2,1/('Arroz irrigado'!$E48:INDEX('Arroz irrigado'!$E48:$Z48,MIN(AS$6-$G$3,22))&lt;&gt;""),'Arroz irrigado'!$E48:INDEX('Arroz irrigado'!$E48:$Z48,MIN(AS$6-$G$3,22))),0)))))</f>
        <v>0</v>
      </c>
      <c r="AT50" s="27" t="n">
        <f aca="false">IF(COUNT('Arroz irrigado'!$E48:$Z48)=0,0,MAX(0,IF((AT$6-$E$3)&lt;1,0,IFERROR(LOOKUP(2,1/('Arroz irrigado'!$E48:INDEX('Arroz irrigado'!$E48:$Z48,MIN(AT$6-$E$3,22))&lt;&gt;""),'Arroz irrigado'!$E48:INDEX('Arroz irrigado'!$E48:$Z48,MIN(AT$6-$E$3,22))),0))-IF($G$2,0,IF((AT$6-$G$3)&lt;1,0,IFERROR(LOOKUP(2,1/('Arroz irrigado'!$E48:INDEX('Arroz irrigado'!$E48:$Z48,MIN(AT$6-$G$3,22))&lt;&gt;""),'Arroz irrigado'!$E48:INDEX('Arroz irrigado'!$E48:$Z48,MIN(AT$6-$G$3,22))),0)))))</f>
        <v>0</v>
      </c>
      <c r="AU50" s="27" t="n">
        <f aca="false">IF(COUNT('Arroz irrigado'!$E48:$Z48)=0,0,MAX(0,IF((AU$6-$E$3)&lt;1,0,IFERROR(LOOKUP(2,1/('Arroz irrigado'!$E48:INDEX('Arroz irrigado'!$E48:$Z48,MIN(AU$6-$E$3,22))&lt;&gt;""),'Arroz irrigado'!$E48:INDEX('Arroz irrigado'!$E48:$Z48,MIN(AU$6-$E$3,22))),0))-IF($G$2,0,IF((AU$6-$G$3)&lt;1,0,IFERROR(LOOKUP(2,1/('Arroz irrigado'!$E48:INDEX('Arroz irrigado'!$E48:$Z48,MIN(AU$6-$G$3,22))&lt;&gt;""),'Arroz irrigado'!$E48:INDEX('Arroz irrigado'!$E48:$Z48,MIN(AU$6-$G$3,22))),0)))))</f>
        <v>0</v>
      </c>
      <c r="AV50" s="27" t="n">
        <f aca="false">IF(COUNT('Arroz irrigado'!$E48:$Z48)=0,0,MAX(0,IF((AV$6-$E$3)&lt;1,0,IFERROR(LOOKUP(2,1/('Arroz irrigado'!$E48:INDEX('Arroz irrigado'!$E48:$Z48,MIN(AV$6-$E$3,22))&lt;&gt;""),'Arroz irrigado'!$E48:INDEX('Arroz irrigado'!$E48:$Z48,MIN(AV$6-$E$3,22))),0))-IF($G$2,0,IF((AV$6-$G$3)&lt;1,0,IFERROR(LOOKUP(2,1/('Arroz irrigado'!$E48:INDEX('Arroz irrigado'!$E48:$Z48,MIN(AV$6-$G$3,22))&lt;&gt;""),'Arroz irrigado'!$E48:INDEX('Arroz irrigado'!$E48:$Z48,MIN(AV$6-$G$3,22))),0)))))</f>
        <v>0</v>
      </c>
      <c r="AW50" s="27" t="n">
        <f aca="false">IF(COUNT('Arroz irrigado'!$E48:$Z48)=0,0,MAX(0,IF((AW$6-$E$3)&lt;1,0,IFERROR(LOOKUP(2,1/('Arroz irrigado'!$E48:INDEX('Arroz irrigado'!$E48:$Z48,MIN(AW$6-$E$3,22))&lt;&gt;""),'Arroz irrigado'!$E48:INDEX('Arroz irrigado'!$E48:$Z48,MIN(AW$6-$E$3,22))),0))-IF($G$2,0,IF((AW$6-$G$3)&lt;1,0,IFERROR(LOOKUP(2,1/('Arroz irrigado'!$E48:INDEX('Arroz irrigado'!$E48:$Z48,MIN(AW$6-$G$3,22))&lt;&gt;""),'Arroz irrigado'!$E48:INDEX('Arroz irrigado'!$E48:$Z48,MIN(AW$6-$G$3,22))),0)))))</f>
        <v>0</v>
      </c>
      <c r="AX50" s="27" t="n">
        <f aca="false">IF(COUNT('Arroz irrigado'!$E48:$Z48)=0,0,MAX(0,IF((AX$6-$E$3)&lt;1,0,IFERROR(LOOKUP(2,1/('Arroz irrigado'!$E48:INDEX('Arroz irrigado'!$E48:$Z48,MIN(AX$6-$E$3,22))&lt;&gt;""),'Arroz irrigado'!$E48:INDEX('Arroz irrigado'!$E48:$Z48,MIN(AX$6-$E$3,22))),0))-IF($G$2,0,IF((AX$6-$G$3)&lt;1,0,IFERROR(LOOKUP(2,1/('Arroz irrigado'!$E48:INDEX('Arroz irrigado'!$E48:$Z48,MIN(AX$6-$G$3,22))&lt;&gt;""),'Arroz irrigado'!$E48:INDEX('Arroz irrigado'!$E48:$Z48,MIN(AX$6-$G$3,22))),0)))))</f>
        <v>0</v>
      </c>
      <c r="AY50" s="27" t="n">
        <f aca="false">IF(COUNT('Arroz irrigado'!$E48:$Z48)=0,0,MAX(0,IF((AY$6-$E$3)&lt;1,0,IFERROR(LOOKUP(2,1/('Arroz irrigado'!$E48:INDEX('Arroz irrigado'!$E48:$Z48,MIN(AY$6-$E$3,22))&lt;&gt;""),'Arroz irrigado'!$E48:INDEX('Arroz irrigado'!$E48:$Z48,MIN(AY$6-$E$3,22))),0))-IF($G$2,0,IF((AY$6-$G$3)&lt;1,0,IFERROR(LOOKUP(2,1/('Arroz irrigado'!$E48:INDEX('Arroz irrigado'!$E48:$Z48,MIN(AY$6-$G$3,22))&lt;&gt;""),'Arroz irrigado'!$E48:INDEX('Arroz irrigado'!$E48:$Z48,MIN(AY$6-$G$3,22))),0)))))</f>
        <v>0</v>
      </c>
      <c r="AZ50" s="27" t="n">
        <f aca="false">IF(COUNT('Arroz irrigado'!$E48:$Z48)=0,0,MAX(0,IF((AZ$6-$E$3)&lt;1,0,IFERROR(LOOKUP(2,1/('Arroz irrigado'!$E48:INDEX('Arroz irrigado'!$E48:$Z48,MIN(AZ$6-$E$3,22))&lt;&gt;""),'Arroz irrigado'!$E48:INDEX('Arroz irrigado'!$E48:$Z48,MIN(AZ$6-$E$3,22))),0))-IF($G$2,0,IF((AZ$6-$G$3)&lt;1,0,IFERROR(LOOKUP(2,1/('Arroz irrigado'!$E48:INDEX('Arroz irrigado'!$E48:$Z48,MIN(AZ$6-$G$3,22))&lt;&gt;""),'Arroz irrigado'!$E48:INDEX('Arroz irrigado'!$E48:$Z48,MIN(AZ$6-$G$3,22))),0)))))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IF(COUNT('Arroz irrigado'!$E49:$Z49)&gt;0,N('Arroz irrigado'!$D49),0)</f>
        <v>0</v>
      </c>
      <c r="E51" s="27" t="n">
        <f aca="false">IF(COUNT('Arroz irrigado'!$E49:$Z49)=0,0,MAX(0,IF((E$6-$E$3)&lt;1,0,IFERROR(LOOKUP(2,1/('Arroz irrigado'!$E49:INDEX('Arroz irrigado'!$E49:$Z49,MIN(E$6-$E$3,22))&lt;&gt;""),'Arroz irrigado'!$E49:INDEX('Arroz irrigado'!$E49:$Z49,MIN(E$6-$E$3,22))),0))-IF($G$2,0,IF((E$6-$G$3)&lt;1,0,IFERROR(LOOKUP(2,1/('Arroz irrigado'!$E49:INDEX('Arroz irrigado'!$E49:$Z49,MIN(E$6-$G$3,22))&lt;&gt;""),'Arroz irrigado'!$E49:INDEX('Arroz irrigado'!$E49:$Z49,MIN(E$6-$G$3,22))),0)))))</f>
        <v>0</v>
      </c>
      <c r="F51" s="27" t="n">
        <f aca="false">IF(COUNT('Arroz irrigado'!$E49:$Z49)=0,0,MAX(0,IF((F$6-$E$3)&lt;1,0,IFERROR(LOOKUP(2,1/('Arroz irrigado'!$E49:INDEX('Arroz irrigado'!$E49:$Z49,MIN(F$6-$E$3,22))&lt;&gt;""),'Arroz irrigado'!$E49:INDEX('Arroz irrigado'!$E49:$Z49,MIN(F$6-$E$3,22))),0))-IF($G$2,0,IF((F$6-$G$3)&lt;1,0,IFERROR(LOOKUP(2,1/('Arroz irrigado'!$E49:INDEX('Arroz irrigado'!$E49:$Z49,MIN(F$6-$G$3,22))&lt;&gt;""),'Arroz irrigado'!$E49:INDEX('Arroz irrigado'!$E49:$Z49,MIN(F$6-$G$3,22))),0)))))</f>
        <v>0</v>
      </c>
      <c r="G51" s="27" t="n">
        <f aca="false">IF(COUNT('Arroz irrigado'!$E49:$Z49)=0,0,MAX(0,IF((G$6-$E$3)&lt;1,0,IFERROR(LOOKUP(2,1/('Arroz irrigado'!$E49:INDEX('Arroz irrigado'!$E49:$Z49,MIN(G$6-$E$3,22))&lt;&gt;""),'Arroz irrigado'!$E49:INDEX('Arroz irrigado'!$E49:$Z49,MIN(G$6-$E$3,22))),0))-IF($G$2,0,IF((G$6-$G$3)&lt;1,0,IFERROR(LOOKUP(2,1/('Arroz irrigado'!$E49:INDEX('Arroz irrigado'!$E49:$Z49,MIN(G$6-$G$3,22))&lt;&gt;""),'Arroz irrigado'!$E49:INDEX('Arroz irrigado'!$E49:$Z49,MIN(G$6-$G$3,22))),0)))))</f>
        <v>0</v>
      </c>
      <c r="H51" s="27" t="n">
        <f aca="false">IF(COUNT('Arroz irrigado'!$E49:$Z49)=0,0,MAX(0,IF((H$6-$E$3)&lt;1,0,IFERROR(LOOKUP(2,1/('Arroz irrigado'!$E49:INDEX('Arroz irrigado'!$E49:$Z49,MIN(H$6-$E$3,22))&lt;&gt;""),'Arroz irrigado'!$E49:INDEX('Arroz irrigado'!$E49:$Z49,MIN(H$6-$E$3,22))),0))-IF($G$2,0,IF((H$6-$G$3)&lt;1,0,IFERROR(LOOKUP(2,1/('Arroz irrigado'!$E49:INDEX('Arroz irrigado'!$E49:$Z49,MIN(H$6-$G$3,22))&lt;&gt;""),'Arroz irrigado'!$E49:INDEX('Arroz irrigado'!$E49:$Z49,MIN(H$6-$G$3,22))),0)))))</f>
        <v>0</v>
      </c>
      <c r="I51" s="27" t="n">
        <f aca="false">IF(COUNT('Arroz irrigado'!$E49:$Z49)=0,0,MAX(0,IF((I$6-$E$3)&lt;1,0,IFERROR(LOOKUP(2,1/('Arroz irrigado'!$E49:INDEX('Arroz irrigado'!$E49:$Z49,MIN(I$6-$E$3,22))&lt;&gt;""),'Arroz irrigado'!$E49:INDEX('Arroz irrigado'!$E49:$Z49,MIN(I$6-$E$3,22))),0))-IF($G$2,0,IF((I$6-$G$3)&lt;1,0,IFERROR(LOOKUP(2,1/('Arroz irrigado'!$E49:INDEX('Arroz irrigado'!$E49:$Z49,MIN(I$6-$G$3,22))&lt;&gt;""),'Arroz irrigado'!$E49:INDEX('Arroz irrigado'!$E49:$Z49,MIN(I$6-$G$3,22))),0)))))</f>
        <v>0</v>
      </c>
      <c r="J51" s="27" t="n">
        <f aca="false">IF(COUNT('Arroz irrigado'!$E49:$Z49)=0,0,MAX(0,IF((J$6-$E$3)&lt;1,0,IFERROR(LOOKUP(2,1/('Arroz irrigado'!$E49:INDEX('Arroz irrigado'!$E49:$Z49,MIN(J$6-$E$3,22))&lt;&gt;""),'Arroz irrigado'!$E49:INDEX('Arroz irrigado'!$E49:$Z49,MIN(J$6-$E$3,22))),0))-IF($G$2,0,IF((J$6-$G$3)&lt;1,0,IFERROR(LOOKUP(2,1/('Arroz irrigado'!$E49:INDEX('Arroz irrigado'!$E49:$Z49,MIN(J$6-$G$3,22))&lt;&gt;""),'Arroz irrigado'!$E49:INDEX('Arroz irrigado'!$E49:$Z49,MIN(J$6-$G$3,22))),0)))))</f>
        <v>0</v>
      </c>
      <c r="K51" s="27" t="n">
        <f aca="false">IF(COUNT('Arroz irrigado'!$E49:$Z49)=0,0,MAX(0,IF((K$6-$E$3)&lt;1,0,IFERROR(LOOKUP(2,1/('Arroz irrigado'!$E49:INDEX('Arroz irrigado'!$E49:$Z49,MIN(K$6-$E$3,22))&lt;&gt;""),'Arroz irrigado'!$E49:INDEX('Arroz irrigado'!$E49:$Z49,MIN(K$6-$E$3,22))),0))-IF($G$2,0,IF((K$6-$G$3)&lt;1,0,IFERROR(LOOKUP(2,1/('Arroz irrigado'!$E49:INDEX('Arroz irrigado'!$E49:$Z49,MIN(K$6-$G$3,22))&lt;&gt;""),'Arroz irrigado'!$E49:INDEX('Arroz irrigado'!$E49:$Z49,MIN(K$6-$G$3,22))),0)))))</f>
        <v>0</v>
      </c>
      <c r="L51" s="27" t="n">
        <f aca="false">IF(COUNT('Arroz irrigado'!$E49:$Z49)=0,0,MAX(0,IF((L$6-$E$3)&lt;1,0,IFERROR(LOOKUP(2,1/('Arroz irrigado'!$E49:INDEX('Arroz irrigado'!$E49:$Z49,MIN(L$6-$E$3,22))&lt;&gt;""),'Arroz irrigado'!$E49:INDEX('Arroz irrigado'!$E49:$Z49,MIN(L$6-$E$3,22))),0))-IF($G$2,0,IF((L$6-$G$3)&lt;1,0,IFERROR(LOOKUP(2,1/('Arroz irrigado'!$E49:INDEX('Arroz irrigado'!$E49:$Z49,MIN(L$6-$G$3,22))&lt;&gt;""),'Arroz irrigado'!$E49:INDEX('Arroz irrigado'!$E49:$Z49,MIN(L$6-$G$3,22))),0)))))</f>
        <v>0</v>
      </c>
      <c r="M51" s="27" t="n">
        <f aca="false">IF(COUNT('Arroz irrigado'!$E49:$Z49)=0,0,MAX(0,IF((M$6-$E$3)&lt;1,0,IFERROR(LOOKUP(2,1/('Arroz irrigado'!$E49:INDEX('Arroz irrigado'!$E49:$Z49,MIN(M$6-$E$3,22))&lt;&gt;""),'Arroz irrigado'!$E49:INDEX('Arroz irrigado'!$E49:$Z49,MIN(M$6-$E$3,22))),0))-IF($G$2,0,IF((M$6-$G$3)&lt;1,0,IFERROR(LOOKUP(2,1/('Arroz irrigado'!$E49:INDEX('Arroz irrigado'!$E49:$Z49,MIN(M$6-$G$3,22))&lt;&gt;""),'Arroz irrigado'!$E49:INDEX('Arroz irrigado'!$E49:$Z49,MIN(M$6-$G$3,22))),0)))))</f>
        <v>0</v>
      </c>
      <c r="N51" s="27" t="n">
        <f aca="false">IF(COUNT('Arroz irrigado'!$E49:$Z49)=0,0,MAX(0,IF((N$6-$E$3)&lt;1,0,IFERROR(LOOKUP(2,1/('Arroz irrigado'!$E49:INDEX('Arroz irrigado'!$E49:$Z49,MIN(N$6-$E$3,22))&lt;&gt;""),'Arroz irrigado'!$E49:INDEX('Arroz irrigado'!$E49:$Z49,MIN(N$6-$E$3,22))),0))-IF($G$2,0,IF((N$6-$G$3)&lt;1,0,IFERROR(LOOKUP(2,1/('Arroz irrigado'!$E49:INDEX('Arroz irrigado'!$E49:$Z49,MIN(N$6-$G$3,22))&lt;&gt;""),'Arroz irrigado'!$E49:INDEX('Arroz irrigado'!$E49:$Z49,MIN(N$6-$G$3,22))),0)))))</f>
        <v>0</v>
      </c>
      <c r="O51" s="27" t="n">
        <f aca="false">IF(COUNT('Arroz irrigado'!$E49:$Z49)=0,0,MAX(0,IF((O$6-$E$3)&lt;1,0,IFERROR(LOOKUP(2,1/('Arroz irrigado'!$E49:INDEX('Arroz irrigado'!$E49:$Z49,MIN(O$6-$E$3,22))&lt;&gt;""),'Arroz irrigado'!$E49:INDEX('Arroz irrigado'!$E49:$Z49,MIN(O$6-$E$3,22))),0))-IF($G$2,0,IF((O$6-$G$3)&lt;1,0,IFERROR(LOOKUP(2,1/('Arroz irrigado'!$E49:INDEX('Arroz irrigado'!$E49:$Z49,MIN(O$6-$G$3,22))&lt;&gt;""),'Arroz irrigado'!$E49:INDEX('Arroz irrigado'!$E49:$Z49,MIN(O$6-$G$3,22))),0)))))</f>
        <v>0</v>
      </c>
      <c r="P51" s="27" t="n">
        <f aca="false">IF(COUNT('Arroz irrigado'!$E49:$Z49)=0,0,MAX(0,IF((P$6-$E$3)&lt;1,0,IFERROR(LOOKUP(2,1/('Arroz irrigado'!$E49:INDEX('Arroz irrigado'!$E49:$Z49,MIN(P$6-$E$3,22))&lt;&gt;""),'Arroz irrigado'!$E49:INDEX('Arroz irrigado'!$E49:$Z49,MIN(P$6-$E$3,22))),0))-IF($G$2,0,IF((P$6-$G$3)&lt;1,0,IFERROR(LOOKUP(2,1/('Arroz irrigado'!$E49:INDEX('Arroz irrigado'!$E49:$Z49,MIN(P$6-$G$3,22))&lt;&gt;""),'Arroz irrigado'!$E49:INDEX('Arroz irrigado'!$E49:$Z49,MIN(P$6-$G$3,22))),0)))))</f>
        <v>0</v>
      </c>
      <c r="Q51" s="27" t="n">
        <f aca="false">IF(COUNT('Arroz irrigado'!$E49:$Z49)=0,0,MAX(0,IF((Q$6-$E$3)&lt;1,0,IFERROR(LOOKUP(2,1/('Arroz irrigado'!$E49:INDEX('Arroz irrigado'!$E49:$Z49,MIN(Q$6-$E$3,22))&lt;&gt;""),'Arroz irrigado'!$E49:INDEX('Arroz irrigado'!$E49:$Z49,MIN(Q$6-$E$3,22))),0))-IF($G$2,0,IF((Q$6-$G$3)&lt;1,0,IFERROR(LOOKUP(2,1/('Arroz irrigado'!$E49:INDEX('Arroz irrigado'!$E49:$Z49,MIN(Q$6-$G$3,22))&lt;&gt;""),'Arroz irrigado'!$E49:INDEX('Arroz irrigado'!$E49:$Z49,MIN(Q$6-$G$3,22))),0)))))</f>
        <v>0</v>
      </c>
      <c r="R51" s="27" t="n">
        <f aca="false">IF(COUNT('Arroz irrigado'!$E49:$Z49)=0,0,MAX(0,IF((R$6-$E$3)&lt;1,0,IFERROR(LOOKUP(2,1/('Arroz irrigado'!$E49:INDEX('Arroz irrigado'!$E49:$Z49,MIN(R$6-$E$3,22))&lt;&gt;""),'Arroz irrigado'!$E49:INDEX('Arroz irrigado'!$E49:$Z49,MIN(R$6-$E$3,22))),0))-IF($G$2,0,IF((R$6-$G$3)&lt;1,0,IFERROR(LOOKUP(2,1/('Arroz irrigado'!$E49:INDEX('Arroz irrigado'!$E49:$Z49,MIN(R$6-$G$3,22))&lt;&gt;""),'Arroz irrigado'!$E49:INDEX('Arroz irrigado'!$E49:$Z49,MIN(R$6-$G$3,22))),0)))))</f>
        <v>0</v>
      </c>
      <c r="S51" s="27" t="n">
        <f aca="false">IF(COUNT('Arroz irrigado'!$E49:$Z49)=0,0,MAX(0,IF((S$6-$E$3)&lt;1,0,IFERROR(LOOKUP(2,1/('Arroz irrigado'!$E49:INDEX('Arroz irrigado'!$E49:$Z49,MIN(S$6-$E$3,22))&lt;&gt;""),'Arroz irrigado'!$E49:INDEX('Arroz irrigado'!$E49:$Z49,MIN(S$6-$E$3,22))),0))-IF($G$2,0,IF((S$6-$G$3)&lt;1,0,IFERROR(LOOKUP(2,1/('Arroz irrigado'!$E49:INDEX('Arroz irrigado'!$E49:$Z49,MIN(S$6-$G$3,22))&lt;&gt;""),'Arroz irrigado'!$E49:INDEX('Arroz irrigado'!$E49:$Z49,MIN(S$6-$G$3,22))),0)))))</f>
        <v>0</v>
      </c>
      <c r="T51" s="27" t="n">
        <f aca="false">IF(COUNT('Arroz irrigado'!$E49:$Z49)=0,0,MAX(0,IF((T$6-$E$3)&lt;1,0,IFERROR(LOOKUP(2,1/('Arroz irrigado'!$E49:INDEX('Arroz irrigado'!$E49:$Z49,MIN(T$6-$E$3,22))&lt;&gt;""),'Arroz irrigado'!$E49:INDEX('Arroz irrigado'!$E49:$Z49,MIN(T$6-$E$3,22))),0))-IF($G$2,0,IF((T$6-$G$3)&lt;1,0,IFERROR(LOOKUP(2,1/('Arroz irrigado'!$E49:INDEX('Arroz irrigado'!$E49:$Z49,MIN(T$6-$G$3,22))&lt;&gt;""),'Arroz irrigado'!$E49:INDEX('Arroz irrigado'!$E49:$Z49,MIN(T$6-$G$3,22))),0)))))</f>
        <v>0</v>
      </c>
      <c r="U51" s="27" t="n">
        <f aca="false">IF(COUNT('Arroz irrigado'!$E49:$Z49)=0,0,MAX(0,IF((U$6-$E$3)&lt;1,0,IFERROR(LOOKUP(2,1/('Arroz irrigado'!$E49:INDEX('Arroz irrigado'!$E49:$Z49,MIN(U$6-$E$3,22))&lt;&gt;""),'Arroz irrigado'!$E49:INDEX('Arroz irrigado'!$E49:$Z49,MIN(U$6-$E$3,22))),0))-IF($G$2,0,IF((U$6-$G$3)&lt;1,0,IFERROR(LOOKUP(2,1/('Arroz irrigado'!$E49:INDEX('Arroz irrigado'!$E49:$Z49,MIN(U$6-$G$3,22))&lt;&gt;""),'Arroz irrigado'!$E49:INDEX('Arroz irrigado'!$E49:$Z49,MIN(U$6-$G$3,22))),0)))))</f>
        <v>0</v>
      </c>
      <c r="V51" s="27" t="n">
        <f aca="false">IF(COUNT('Arroz irrigado'!$E49:$Z49)=0,0,MAX(0,IF((V$6-$E$3)&lt;1,0,IFERROR(LOOKUP(2,1/('Arroz irrigado'!$E49:INDEX('Arroz irrigado'!$E49:$Z49,MIN(V$6-$E$3,22))&lt;&gt;""),'Arroz irrigado'!$E49:INDEX('Arroz irrigado'!$E49:$Z49,MIN(V$6-$E$3,22))),0))-IF($G$2,0,IF((V$6-$G$3)&lt;1,0,IFERROR(LOOKUP(2,1/('Arroz irrigado'!$E49:INDEX('Arroz irrigado'!$E49:$Z49,MIN(V$6-$G$3,22))&lt;&gt;""),'Arroz irrigado'!$E49:INDEX('Arroz irrigado'!$E49:$Z49,MIN(V$6-$G$3,22))),0)))))</f>
        <v>0</v>
      </c>
      <c r="W51" s="27" t="n">
        <f aca="false">IF(COUNT('Arroz irrigado'!$E49:$Z49)=0,0,MAX(0,IF((W$6-$E$3)&lt;1,0,IFERROR(LOOKUP(2,1/('Arroz irrigado'!$E49:INDEX('Arroz irrigado'!$E49:$Z49,MIN(W$6-$E$3,22))&lt;&gt;""),'Arroz irrigado'!$E49:INDEX('Arroz irrigado'!$E49:$Z49,MIN(W$6-$E$3,22))),0))-IF($G$2,0,IF((W$6-$G$3)&lt;1,0,IFERROR(LOOKUP(2,1/('Arroz irrigado'!$E49:INDEX('Arroz irrigado'!$E49:$Z49,MIN(W$6-$G$3,22))&lt;&gt;""),'Arroz irrigado'!$E49:INDEX('Arroz irrigado'!$E49:$Z49,MIN(W$6-$G$3,22))),0)))))</f>
        <v>0</v>
      </c>
      <c r="X51" s="27" t="n">
        <f aca="false">IF(COUNT('Arroz irrigado'!$E49:$Z49)=0,0,MAX(0,IF((X$6-$E$3)&lt;1,0,IFERROR(LOOKUP(2,1/('Arroz irrigado'!$E49:INDEX('Arroz irrigado'!$E49:$Z49,MIN(X$6-$E$3,22))&lt;&gt;""),'Arroz irrigado'!$E49:INDEX('Arroz irrigado'!$E49:$Z49,MIN(X$6-$E$3,22))),0))-IF($G$2,0,IF((X$6-$G$3)&lt;1,0,IFERROR(LOOKUP(2,1/('Arroz irrigado'!$E49:INDEX('Arroz irrigado'!$E49:$Z49,MIN(X$6-$G$3,22))&lt;&gt;""),'Arroz irrigado'!$E49:INDEX('Arroz irrigado'!$E49:$Z49,MIN(X$6-$G$3,22))),0)))))</f>
        <v>0</v>
      </c>
      <c r="Y51" s="27" t="n">
        <f aca="false">IF(COUNT('Arroz irrigado'!$E49:$Z49)=0,0,MAX(0,IF((Y$6-$E$3)&lt;1,0,IFERROR(LOOKUP(2,1/('Arroz irrigado'!$E49:INDEX('Arroz irrigado'!$E49:$Z49,MIN(Y$6-$E$3,22))&lt;&gt;""),'Arroz irrigado'!$E49:INDEX('Arroz irrigado'!$E49:$Z49,MIN(Y$6-$E$3,22))),0))-IF($G$2,0,IF((Y$6-$G$3)&lt;1,0,IFERROR(LOOKUP(2,1/('Arroz irrigado'!$E49:INDEX('Arroz irrigado'!$E49:$Z49,MIN(Y$6-$G$3,22))&lt;&gt;""),'Arroz irrigado'!$E49:INDEX('Arroz irrigado'!$E49:$Z49,MIN(Y$6-$G$3,22))),0)))))</f>
        <v>0</v>
      </c>
      <c r="Z51" s="27" t="n">
        <f aca="false">IF(COUNT('Arroz irrigado'!$E49:$Z49)=0,0,MAX(0,IF((Z$6-$E$3)&lt;1,0,IFERROR(LOOKUP(2,1/('Arroz irrigado'!$E49:INDEX('Arroz irrigado'!$E49:$Z49,MIN(Z$6-$E$3,22))&lt;&gt;""),'Arroz irrigado'!$E49:INDEX('Arroz irrigado'!$E49:$Z49,MIN(Z$6-$E$3,22))),0))-IF($G$2,0,IF((Z$6-$G$3)&lt;1,0,IFERROR(LOOKUP(2,1/('Arroz irrigado'!$E49:INDEX('Arroz irrigado'!$E49:$Z49,MIN(Z$6-$G$3,22))&lt;&gt;""),'Arroz irrigado'!$E49:INDEX('Arroz irrigado'!$E49:$Z49,MIN(Z$6-$G$3,22))),0)))))</f>
        <v>0</v>
      </c>
      <c r="AA51" s="27" t="n">
        <f aca="false">IF(COUNT('Arroz irrigado'!$E49:$Z49)=0,0,MAX(0,IF((AA$6-$E$3)&lt;1,0,IFERROR(LOOKUP(2,1/('Arroz irrigado'!$E49:INDEX('Arroz irrigado'!$E49:$Z49,MIN(AA$6-$E$3,22))&lt;&gt;""),'Arroz irrigado'!$E49:INDEX('Arroz irrigado'!$E49:$Z49,MIN(AA$6-$E$3,22))),0))-IF($G$2,0,IF((AA$6-$G$3)&lt;1,0,IFERROR(LOOKUP(2,1/('Arroz irrigado'!$E49:INDEX('Arroz irrigado'!$E49:$Z49,MIN(AA$6-$G$3,22))&lt;&gt;""),'Arroz irrigado'!$E49:INDEX('Arroz irrigado'!$E49:$Z49,MIN(AA$6-$G$3,22))),0)))))</f>
        <v>0</v>
      </c>
      <c r="AB51" s="27" t="n">
        <f aca="false">IF(COUNT('Arroz irrigado'!$E49:$Z49)=0,0,MAX(0,IF((AB$6-$E$3)&lt;1,0,IFERROR(LOOKUP(2,1/('Arroz irrigado'!$E49:INDEX('Arroz irrigado'!$E49:$Z49,MIN(AB$6-$E$3,22))&lt;&gt;""),'Arroz irrigado'!$E49:INDEX('Arroz irrigado'!$E49:$Z49,MIN(AB$6-$E$3,22))),0))-IF($G$2,0,IF((AB$6-$G$3)&lt;1,0,IFERROR(LOOKUP(2,1/('Arroz irrigado'!$E49:INDEX('Arroz irrigado'!$E49:$Z49,MIN(AB$6-$G$3,22))&lt;&gt;""),'Arroz irrigado'!$E49:INDEX('Arroz irrigado'!$E49:$Z49,MIN(AB$6-$G$3,22))),0)))))</f>
        <v>0</v>
      </c>
      <c r="AC51" s="27" t="n">
        <f aca="false">IF(COUNT('Arroz irrigado'!$E49:$Z49)=0,0,MAX(0,IF((AC$6-$E$3)&lt;1,0,IFERROR(LOOKUP(2,1/('Arroz irrigado'!$E49:INDEX('Arroz irrigado'!$E49:$Z49,MIN(AC$6-$E$3,22))&lt;&gt;""),'Arroz irrigado'!$E49:INDEX('Arroz irrigado'!$E49:$Z49,MIN(AC$6-$E$3,22))),0))-IF($G$2,0,IF((AC$6-$G$3)&lt;1,0,IFERROR(LOOKUP(2,1/('Arroz irrigado'!$E49:INDEX('Arroz irrigado'!$E49:$Z49,MIN(AC$6-$G$3,22))&lt;&gt;""),'Arroz irrigado'!$E49:INDEX('Arroz irrigado'!$E49:$Z49,MIN(AC$6-$G$3,22))),0)))))</f>
        <v>0</v>
      </c>
      <c r="AD51" s="27" t="n">
        <f aca="false">IF(COUNT('Arroz irrigado'!$E49:$Z49)=0,0,MAX(0,IF((AD$6-$E$3)&lt;1,0,IFERROR(LOOKUP(2,1/('Arroz irrigado'!$E49:INDEX('Arroz irrigado'!$E49:$Z49,MIN(AD$6-$E$3,22))&lt;&gt;""),'Arroz irrigado'!$E49:INDEX('Arroz irrigado'!$E49:$Z49,MIN(AD$6-$E$3,22))),0))-IF($G$2,0,IF((AD$6-$G$3)&lt;1,0,IFERROR(LOOKUP(2,1/('Arroz irrigado'!$E49:INDEX('Arroz irrigado'!$E49:$Z49,MIN(AD$6-$G$3,22))&lt;&gt;""),'Arroz irrigado'!$E49:INDEX('Arroz irrigado'!$E49:$Z49,MIN(AD$6-$G$3,22))),0)))))</f>
        <v>0</v>
      </c>
      <c r="AE51" s="27" t="n">
        <f aca="false">IF(COUNT('Arroz irrigado'!$E49:$Z49)=0,0,MAX(0,IF((AE$6-$E$3)&lt;1,0,IFERROR(LOOKUP(2,1/('Arroz irrigado'!$E49:INDEX('Arroz irrigado'!$E49:$Z49,MIN(AE$6-$E$3,22))&lt;&gt;""),'Arroz irrigado'!$E49:INDEX('Arroz irrigado'!$E49:$Z49,MIN(AE$6-$E$3,22))),0))-IF($G$2,0,IF((AE$6-$G$3)&lt;1,0,IFERROR(LOOKUP(2,1/('Arroz irrigado'!$E49:INDEX('Arroz irrigado'!$E49:$Z49,MIN(AE$6-$G$3,22))&lt;&gt;""),'Arroz irrigado'!$E49:INDEX('Arroz irrigado'!$E49:$Z49,MIN(AE$6-$G$3,22))),0)))))</f>
        <v>0</v>
      </c>
      <c r="AF51" s="27" t="n">
        <f aca="false">IF(COUNT('Arroz irrigado'!$E49:$Z49)=0,0,MAX(0,IF((AF$6-$E$3)&lt;1,0,IFERROR(LOOKUP(2,1/('Arroz irrigado'!$E49:INDEX('Arroz irrigado'!$E49:$Z49,MIN(AF$6-$E$3,22))&lt;&gt;""),'Arroz irrigado'!$E49:INDEX('Arroz irrigado'!$E49:$Z49,MIN(AF$6-$E$3,22))),0))-IF($G$2,0,IF((AF$6-$G$3)&lt;1,0,IFERROR(LOOKUP(2,1/('Arroz irrigado'!$E49:INDEX('Arroz irrigado'!$E49:$Z49,MIN(AF$6-$G$3,22))&lt;&gt;""),'Arroz irrigado'!$E49:INDEX('Arroz irrigado'!$E49:$Z49,MIN(AF$6-$G$3,22))),0)))))</f>
        <v>0</v>
      </c>
      <c r="AG51" s="27" t="n">
        <f aca="false">IF(COUNT('Arroz irrigado'!$E49:$Z49)=0,0,MAX(0,IF((AG$6-$E$3)&lt;1,0,IFERROR(LOOKUP(2,1/('Arroz irrigado'!$E49:INDEX('Arroz irrigado'!$E49:$Z49,MIN(AG$6-$E$3,22))&lt;&gt;""),'Arroz irrigado'!$E49:INDEX('Arroz irrigado'!$E49:$Z49,MIN(AG$6-$E$3,22))),0))-IF($G$2,0,IF((AG$6-$G$3)&lt;1,0,IFERROR(LOOKUP(2,1/('Arroz irrigado'!$E49:INDEX('Arroz irrigado'!$E49:$Z49,MIN(AG$6-$G$3,22))&lt;&gt;""),'Arroz irrigado'!$E49:INDEX('Arroz irrigado'!$E49:$Z49,MIN(AG$6-$G$3,22))),0)))))</f>
        <v>0</v>
      </c>
      <c r="AH51" s="27" t="n">
        <f aca="false">IF(COUNT('Arroz irrigado'!$E49:$Z49)=0,0,MAX(0,IF((AH$6-$E$3)&lt;1,0,IFERROR(LOOKUP(2,1/('Arroz irrigado'!$E49:INDEX('Arroz irrigado'!$E49:$Z49,MIN(AH$6-$E$3,22))&lt;&gt;""),'Arroz irrigado'!$E49:INDEX('Arroz irrigado'!$E49:$Z49,MIN(AH$6-$E$3,22))),0))-IF($G$2,0,IF((AH$6-$G$3)&lt;1,0,IFERROR(LOOKUP(2,1/('Arroz irrigado'!$E49:INDEX('Arroz irrigado'!$E49:$Z49,MIN(AH$6-$G$3,22))&lt;&gt;""),'Arroz irrigado'!$E49:INDEX('Arroz irrigado'!$E49:$Z49,MIN(AH$6-$G$3,22))),0)))))</f>
        <v>0</v>
      </c>
      <c r="AI51" s="27" t="n">
        <f aca="false">IF(COUNT('Arroz irrigado'!$E49:$Z49)=0,0,MAX(0,IF((AI$6-$E$3)&lt;1,0,IFERROR(LOOKUP(2,1/('Arroz irrigado'!$E49:INDEX('Arroz irrigado'!$E49:$Z49,MIN(AI$6-$E$3,22))&lt;&gt;""),'Arroz irrigado'!$E49:INDEX('Arroz irrigado'!$E49:$Z49,MIN(AI$6-$E$3,22))),0))-IF($G$2,0,IF((AI$6-$G$3)&lt;1,0,IFERROR(LOOKUP(2,1/('Arroz irrigado'!$E49:INDEX('Arroz irrigado'!$E49:$Z49,MIN(AI$6-$G$3,22))&lt;&gt;""),'Arroz irrigado'!$E49:INDEX('Arroz irrigado'!$E49:$Z49,MIN(AI$6-$G$3,22))),0)))))</f>
        <v>0</v>
      </c>
      <c r="AJ51" s="27" t="n">
        <f aca="false">IF(COUNT('Arroz irrigado'!$E49:$Z49)=0,0,MAX(0,IF((AJ$6-$E$3)&lt;1,0,IFERROR(LOOKUP(2,1/('Arroz irrigado'!$E49:INDEX('Arroz irrigado'!$E49:$Z49,MIN(AJ$6-$E$3,22))&lt;&gt;""),'Arroz irrigado'!$E49:INDEX('Arroz irrigado'!$E49:$Z49,MIN(AJ$6-$E$3,22))),0))-IF($G$2,0,IF((AJ$6-$G$3)&lt;1,0,IFERROR(LOOKUP(2,1/('Arroz irrigado'!$E49:INDEX('Arroz irrigado'!$E49:$Z49,MIN(AJ$6-$G$3,22))&lt;&gt;""),'Arroz irrigado'!$E49:INDEX('Arroz irrigado'!$E49:$Z49,MIN(AJ$6-$G$3,22))),0)))))</f>
        <v>0</v>
      </c>
      <c r="AK51" s="27" t="n">
        <f aca="false">IF(COUNT('Arroz irrigado'!$E49:$Z49)=0,0,MAX(0,IF((AK$6-$E$3)&lt;1,0,IFERROR(LOOKUP(2,1/('Arroz irrigado'!$E49:INDEX('Arroz irrigado'!$E49:$Z49,MIN(AK$6-$E$3,22))&lt;&gt;""),'Arroz irrigado'!$E49:INDEX('Arroz irrigado'!$E49:$Z49,MIN(AK$6-$E$3,22))),0))-IF($G$2,0,IF((AK$6-$G$3)&lt;1,0,IFERROR(LOOKUP(2,1/('Arroz irrigado'!$E49:INDEX('Arroz irrigado'!$E49:$Z49,MIN(AK$6-$G$3,22))&lt;&gt;""),'Arroz irrigado'!$E49:INDEX('Arroz irrigado'!$E49:$Z49,MIN(AK$6-$G$3,22))),0)))))</f>
        <v>0</v>
      </c>
      <c r="AL51" s="27" t="n">
        <f aca="false">IF(COUNT('Arroz irrigado'!$E49:$Z49)=0,0,MAX(0,IF((AL$6-$E$3)&lt;1,0,IFERROR(LOOKUP(2,1/('Arroz irrigado'!$E49:INDEX('Arroz irrigado'!$E49:$Z49,MIN(AL$6-$E$3,22))&lt;&gt;""),'Arroz irrigado'!$E49:INDEX('Arroz irrigado'!$E49:$Z49,MIN(AL$6-$E$3,22))),0))-IF($G$2,0,IF((AL$6-$G$3)&lt;1,0,IFERROR(LOOKUP(2,1/('Arroz irrigado'!$E49:INDEX('Arroz irrigado'!$E49:$Z49,MIN(AL$6-$G$3,22))&lt;&gt;""),'Arroz irrigado'!$E49:INDEX('Arroz irrigado'!$E49:$Z49,MIN(AL$6-$G$3,22))),0)))))</f>
        <v>0</v>
      </c>
      <c r="AM51" s="27" t="n">
        <f aca="false">IF(COUNT('Arroz irrigado'!$E49:$Z49)=0,0,MAX(0,IF((AM$6-$E$3)&lt;1,0,IFERROR(LOOKUP(2,1/('Arroz irrigado'!$E49:INDEX('Arroz irrigado'!$E49:$Z49,MIN(AM$6-$E$3,22))&lt;&gt;""),'Arroz irrigado'!$E49:INDEX('Arroz irrigado'!$E49:$Z49,MIN(AM$6-$E$3,22))),0))-IF($G$2,0,IF((AM$6-$G$3)&lt;1,0,IFERROR(LOOKUP(2,1/('Arroz irrigado'!$E49:INDEX('Arroz irrigado'!$E49:$Z49,MIN(AM$6-$G$3,22))&lt;&gt;""),'Arroz irrigado'!$E49:INDEX('Arroz irrigado'!$E49:$Z49,MIN(AM$6-$G$3,22))),0)))))</f>
        <v>0</v>
      </c>
      <c r="AN51" s="27" t="n">
        <f aca="false">IF(COUNT('Arroz irrigado'!$E49:$Z49)=0,0,MAX(0,IF((AN$6-$E$3)&lt;1,0,IFERROR(LOOKUP(2,1/('Arroz irrigado'!$E49:INDEX('Arroz irrigado'!$E49:$Z49,MIN(AN$6-$E$3,22))&lt;&gt;""),'Arroz irrigado'!$E49:INDEX('Arroz irrigado'!$E49:$Z49,MIN(AN$6-$E$3,22))),0))-IF($G$2,0,IF((AN$6-$G$3)&lt;1,0,IFERROR(LOOKUP(2,1/('Arroz irrigado'!$E49:INDEX('Arroz irrigado'!$E49:$Z49,MIN(AN$6-$G$3,22))&lt;&gt;""),'Arroz irrigado'!$E49:INDEX('Arroz irrigado'!$E49:$Z49,MIN(AN$6-$G$3,22))),0)))))</f>
        <v>0</v>
      </c>
      <c r="AO51" s="27" t="n">
        <f aca="false">IF(COUNT('Arroz irrigado'!$E49:$Z49)=0,0,MAX(0,IF((AO$6-$E$3)&lt;1,0,IFERROR(LOOKUP(2,1/('Arroz irrigado'!$E49:INDEX('Arroz irrigado'!$E49:$Z49,MIN(AO$6-$E$3,22))&lt;&gt;""),'Arroz irrigado'!$E49:INDEX('Arroz irrigado'!$E49:$Z49,MIN(AO$6-$E$3,22))),0))-IF($G$2,0,IF((AO$6-$G$3)&lt;1,0,IFERROR(LOOKUP(2,1/('Arroz irrigado'!$E49:INDEX('Arroz irrigado'!$E49:$Z49,MIN(AO$6-$G$3,22))&lt;&gt;""),'Arroz irrigado'!$E49:INDEX('Arroz irrigado'!$E49:$Z49,MIN(AO$6-$G$3,22))),0)))))</f>
        <v>0</v>
      </c>
      <c r="AP51" s="27" t="n">
        <f aca="false">IF(COUNT('Arroz irrigado'!$E49:$Z49)=0,0,MAX(0,IF((AP$6-$E$3)&lt;1,0,IFERROR(LOOKUP(2,1/('Arroz irrigado'!$E49:INDEX('Arroz irrigado'!$E49:$Z49,MIN(AP$6-$E$3,22))&lt;&gt;""),'Arroz irrigado'!$E49:INDEX('Arroz irrigado'!$E49:$Z49,MIN(AP$6-$E$3,22))),0))-IF($G$2,0,IF((AP$6-$G$3)&lt;1,0,IFERROR(LOOKUP(2,1/('Arroz irrigado'!$E49:INDEX('Arroz irrigado'!$E49:$Z49,MIN(AP$6-$G$3,22))&lt;&gt;""),'Arroz irrigado'!$E49:INDEX('Arroz irrigado'!$E49:$Z49,MIN(AP$6-$G$3,22))),0)))))</f>
        <v>0</v>
      </c>
      <c r="AQ51" s="27" t="n">
        <f aca="false">IF(COUNT('Arroz irrigado'!$E49:$Z49)=0,0,MAX(0,IF((AQ$6-$E$3)&lt;1,0,IFERROR(LOOKUP(2,1/('Arroz irrigado'!$E49:INDEX('Arroz irrigado'!$E49:$Z49,MIN(AQ$6-$E$3,22))&lt;&gt;""),'Arroz irrigado'!$E49:INDEX('Arroz irrigado'!$E49:$Z49,MIN(AQ$6-$E$3,22))),0))-IF($G$2,0,IF((AQ$6-$G$3)&lt;1,0,IFERROR(LOOKUP(2,1/('Arroz irrigado'!$E49:INDEX('Arroz irrigado'!$E49:$Z49,MIN(AQ$6-$G$3,22))&lt;&gt;""),'Arroz irrigado'!$E49:INDEX('Arroz irrigado'!$E49:$Z49,MIN(AQ$6-$G$3,22))),0)))))</f>
        <v>0</v>
      </c>
      <c r="AR51" s="27" t="n">
        <f aca="false">IF(COUNT('Arroz irrigado'!$E49:$Z49)=0,0,MAX(0,IF((AR$6-$E$3)&lt;1,0,IFERROR(LOOKUP(2,1/('Arroz irrigado'!$E49:INDEX('Arroz irrigado'!$E49:$Z49,MIN(AR$6-$E$3,22))&lt;&gt;""),'Arroz irrigado'!$E49:INDEX('Arroz irrigado'!$E49:$Z49,MIN(AR$6-$E$3,22))),0))-IF($G$2,0,IF((AR$6-$G$3)&lt;1,0,IFERROR(LOOKUP(2,1/('Arroz irrigado'!$E49:INDEX('Arroz irrigado'!$E49:$Z49,MIN(AR$6-$G$3,22))&lt;&gt;""),'Arroz irrigado'!$E49:INDEX('Arroz irrigado'!$E49:$Z49,MIN(AR$6-$G$3,22))),0)))))</f>
        <v>0</v>
      </c>
      <c r="AS51" s="27" t="n">
        <f aca="false">IF(COUNT('Arroz irrigado'!$E49:$Z49)=0,0,MAX(0,IF((AS$6-$E$3)&lt;1,0,IFERROR(LOOKUP(2,1/('Arroz irrigado'!$E49:INDEX('Arroz irrigado'!$E49:$Z49,MIN(AS$6-$E$3,22))&lt;&gt;""),'Arroz irrigado'!$E49:INDEX('Arroz irrigado'!$E49:$Z49,MIN(AS$6-$E$3,22))),0))-IF($G$2,0,IF((AS$6-$G$3)&lt;1,0,IFERROR(LOOKUP(2,1/('Arroz irrigado'!$E49:INDEX('Arroz irrigado'!$E49:$Z49,MIN(AS$6-$G$3,22))&lt;&gt;""),'Arroz irrigado'!$E49:INDEX('Arroz irrigado'!$E49:$Z49,MIN(AS$6-$G$3,22))),0)))))</f>
        <v>0</v>
      </c>
      <c r="AT51" s="27" t="n">
        <f aca="false">IF(COUNT('Arroz irrigado'!$E49:$Z49)=0,0,MAX(0,IF((AT$6-$E$3)&lt;1,0,IFERROR(LOOKUP(2,1/('Arroz irrigado'!$E49:INDEX('Arroz irrigado'!$E49:$Z49,MIN(AT$6-$E$3,22))&lt;&gt;""),'Arroz irrigado'!$E49:INDEX('Arroz irrigado'!$E49:$Z49,MIN(AT$6-$E$3,22))),0))-IF($G$2,0,IF((AT$6-$G$3)&lt;1,0,IFERROR(LOOKUP(2,1/('Arroz irrigado'!$E49:INDEX('Arroz irrigado'!$E49:$Z49,MIN(AT$6-$G$3,22))&lt;&gt;""),'Arroz irrigado'!$E49:INDEX('Arroz irrigado'!$E49:$Z49,MIN(AT$6-$G$3,22))),0)))))</f>
        <v>0</v>
      </c>
      <c r="AU51" s="27" t="n">
        <f aca="false">IF(COUNT('Arroz irrigado'!$E49:$Z49)=0,0,MAX(0,IF((AU$6-$E$3)&lt;1,0,IFERROR(LOOKUP(2,1/('Arroz irrigado'!$E49:INDEX('Arroz irrigado'!$E49:$Z49,MIN(AU$6-$E$3,22))&lt;&gt;""),'Arroz irrigado'!$E49:INDEX('Arroz irrigado'!$E49:$Z49,MIN(AU$6-$E$3,22))),0))-IF($G$2,0,IF((AU$6-$G$3)&lt;1,0,IFERROR(LOOKUP(2,1/('Arroz irrigado'!$E49:INDEX('Arroz irrigado'!$E49:$Z49,MIN(AU$6-$G$3,22))&lt;&gt;""),'Arroz irrigado'!$E49:INDEX('Arroz irrigado'!$E49:$Z49,MIN(AU$6-$G$3,22))),0)))))</f>
        <v>0</v>
      </c>
      <c r="AV51" s="27" t="n">
        <f aca="false">IF(COUNT('Arroz irrigado'!$E49:$Z49)=0,0,MAX(0,IF((AV$6-$E$3)&lt;1,0,IFERROR(LOOKUP(2,1/('Arroz irrigado'!$E49:INDEX('Arroz irrigado'!$E49:$Z49,MIN(AV$6-$E$3,22))&lt;&gt;""),'Arroz irrigado'!$E49:INDEX('Arroz irrigado'!$E49:$Z49,MIN(AV$6-$E$3,22))),0))-IF($G$2,0,IF((AV$6-$G$3)&lt;1,0,IFERROR(LOOKUP(2,1/('Arroz irrigado'!$E49:INDEX('Arroz irrigado'!$E49:$Z49,MIN(AV$6-$G$3,22))&lt;&gt;""),'Arroz irrigado'!$E49:INDEX('Arroz irrigado'!$E49:$Z49,MIN(AV$6-$G$3,22))),0)))))</f>
        <v>0</v>
      </c>
      <c r="AW51" s="27" t="n">
        <f aca="false">IF(COUNT('Arroz irrigado'!$E49:$Z49)=0,0,MAX(0,IF((AW$6-$E$3)&lt;1,0,IFERROR(LOOKUP(2,1/('Arroz irrigado'!$E49:INDEX('Arroz irrigado'!$E49:$Z49,MIN(AW$6-$E$3,22))&lt;&gt;""),'Arroz irrigado'!$E49:INDEX('Arroz irrigado'!$E49:$Z49,MIN(AW$6-$E$3,22))),0))-IF($G$2,0,IF((AW$6-$G$3)&lt;1,0,IFERROR(LOOKUP(2,1/('Arroz irrigado'!$E49:INDEX('Arroz irrigado'!$E49:$Z49,MIN(AW$6-$G$3,22))&lt;&gt;""),'Arroz irrigado'!$E49:INDEX('Arroz irrigado'!$E49:$Z49,MIN(AW$6-$G$3,22))),0)))))</f>
        <v>0</v>
      </c>
      <c r="AX51" s="27" t="n">
        <f aca="false">IF(COUNT('Arroz irrigado'!$E49:$Z49)=0,0,MAX(0,IF((AX$6-$E$3)&lt;1,0,IFERROR(LOOKUP(2,1/('Arroz irrigado'!$E49:INDEX('Arroz irrigado'!$E49:$Z49,MIN(AX$6-$E$3,22))&lt;&gt;""),'Arroz irrigado'!$E49:INDEX('Arroz irrigado'!$E49:$Z49,MIN(AX$6-$E$3,22))),0))-IF($G$2,0,IF((AX$6-$G$3)&lt;1,0,IFERROR(LOOKUP(2,1/('Arroz irrigado'!$E49:INDEX('Arroz irrigado'!$E49:$Z49,MIN(AX$6-$G$3,22))&lt;&gt;""),'Arroz irrigado'!$E49:INDEX('Arroz irrigado'!$E49:$Z49,MIN(AX$6-$G$3,22))),0)))))</f>
        <v>0</v>
      </c>
      <c r="AY51" s="27" t="n">
        <f aca="false">IF(COUNT('Arroz irrigado'!$E49:$Z49)=0,0,MAX(0,IF((AY$6-$E$3)&lt;1,0,IFERROR(LOOKUP(2,1/('Arroz irrigado'!$E49:INDEX('Arroz irrigado'!$E49:$Z49,MIN(AY$6-$E$3,22))&lt;&gt;""),'Arroz irrigado'!$E49:INDEX('Arroz irrigado'!$E49:$Z49,MIN(AY$6-$E$3,22))),0))-IF($G$2,0,IF((AY$6-$G$3)&lt;1,0,IFERROR(LOOKUP(2,1/('Arroz irrigado'!$E49:INDEX('Arroz irrigado'!$E49:$Z49,MIN(AY$6-$G$3,22))&lt;&gt;""),'Arroz irrigado'!$E49:INDEX('Arroz irrigado'!$E49:$Z49,MIN(AY$6-$G$3,22))),0)))))</f>
        <v>0</v>
      </c>
      <c r="AZ51" s="27" t="n">
        <f aca="false">IF(COUNT('Arroz irrigado'!$E49:$Z49)=0,0,MAX(0,IF((AZ$6-$E$3)&lt;1,0,IFERROR(LOOKUP(2,1/('Arroz irrigado'!$E49:INDEX('Arroz irrigado'!$E49:$Z49,MIN(AZ$6-$E$3,22))&lt;&gt;""),'Arroz irrigado'!$E49:INDEX('Arroz irrigado'!$E49:$Z49,MIN(AZ$6-$E$3,22))),0))-IF($G$2,0,IF((AZ$6-$G$3)&lt;1,0,IFERROR(LOOKUP(2,1/('Arroz irrigado'!$E49:INDEX('Arroz irrigado'!$E49:$Z49,MIN(AZ$6-$G$3,22))&lt;&gt;""),'Arroz irrigado'!$E49:INDEX('Arroz irrigado'!$E49:$Z49,MIN(AZ$6-$G$3,22))),0)))))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IF(COUNT('Arroz irrigado'!$E50:$Z50)&gt;0,N('Arroz irrigado'!$D50),0)</f>
        <v>0</v>
      </c>
      <c r="E52" s="27" t="n">
        <f aca="false">IF(COUNT('Arroz irrigado'!$E50:$Z50)=0,0,MAX(0,IF((E$6-$E$3)&lt;1,0,IFERROR(LOOKUP(2,1/('Arroz irrigado'!$E50:INDEX('Arroz irrigado'!$E50:$Z50,MIN(E$6-$E$3,22))&lt;&gt;""),'Arroz irrigado'!$E50:INDEX('Arroz irrigado'!$E50:$Z50,MIN(E$6-$E$3,22))),0))-IF($G$2,0,IF((E$6-$G$3)&lt;1,0,IFERROR(LOOKUP(2,1/('Arroz irrigado'!$E50:INDEX('Arroz irrigado'!$E50:$Z50,MIN(E$6-$G$3,22))&lt;&gt;""),'Arroz irrigado'!$E50:INDEX('Arroz irrigado'!$E50:$Z50,MIN(E$6-$G$3,22))),0)))))</f>
        <v>0</v>
      </c>
      <c r="F52" s="27" t="n">
        <f aca="false">IF(COUNT('Arroz irrigado'!$E50:$Z50)=0,0,MAX(0,IF((F$6-$E$3)&lt;1,0,IFERROR(LOOKUP(2,1/('Arroz irrigado'!$E50:INDEX('Arroz irrigado'!$E50:$Z50,MIN(F$6-$E$3,22))&lt;&gt;""),'Arroz irrigado'!$E50:INDEX('Arroz irrigado'!$E50:$Z50,MIN(F$6-$E$3,22))),0))-IF($G$2,0,IF((F$6-$G$3)&lt;1,0,IFERROR(LOOKUP(2,1/('Arroz irrigado'!$E50:INDEX('Arroz irrigado'!$E50:$Z50,MIN(F$6-$G$3,22))&lt;&gt;""),'Arroz irrigado'!$E50:INDEX('Arroz irrigado'!$E50:$Z50,MIN(F$6-$G$3,22))),0)))))</f>
        <v>0</v>
      </c>
      <c r="G52" s="27" t="n">
        <f aca="false">IF(COUNT('Arroz irrigado'!$E50:$Z50)=0,0,MAX(0,IF((G$6-$E$3)&lt;1,0,IFERROR(LOOKUP(2,1/('Arroz irrigado'!$E50:INDEX('Arroz irrigado'!$E50:$Z50,MIN(G$6-$E$3,22))&lt;&gt;""),'Arroz irrigado'!$E50:INDEX('Arroz irrigado'!$E50:$Z50,MIN(G$6-$E$3,22))),0))-IF($G$2,0,IF((G$6-$G$3)&lt;1,0,IFERROR(LOOKUP(2,1/('Arroz irrigado'!$E50:INDEX('Arroz irrigado'!$E50:$Z50,MIN(G$6-$G$3,22))&lt;&gt;""),'Arroz irrigado'!$E50:INDEX('Arroz irrigado'!$E50:$Z50,MIN(G$6-$G$3,22))),0)))))</f>
        <v>0</v>
      </c>
      <c r="H52" s="27" t="n">
        <f aca="false">IF(COUNT('Arroz irrigado'!$E50:$Z50)=0,0,MAX(0,IF((H$6-$E$3)&lt;1,0,IFERROR(LOOKUP(2,1/('Arroz irrigado'!$E50:INDEX('Arroz irrigado'!$E50:$Z50,MIN(H$6-$E$3,22))&lt;&gt;""),'Arroz irrigado'!$E50:INDEX('Arroz irrigado'!$E50:$Z50,MIN(H$6-$E$3,22))),0))-IF($G$2,0,IF((H$6-$G$3)&lt;1,0,IFERROR(LOOKUP(2,1/('Arroz irrigado'!$E50:INDEX('Arroz irrigado'!$E50:$Z50,MIN(H$6-$G$3,22))&lt;&gt;""),'Arroz irrigado'!$E50:INDEX('Arroz irrigado'!$E50:$Z50,MIN(H$6-$G$3,22))),0)))))</f>
        <v>0</v>
      </c>
      <c r="I52" s="27" t="n">
        <f aca="false">IF(COUNT('Arroz irrigado'!$E50:$Z50)=0,0,MAX(0,IF((I$6-$E$3)&lt;1,0,IFERROR(LOOKUP(2,1/('Arroz irrigado'!$E50:INDEX('Arroz irrigado'!$E50:$Z50,MIN(I$6-$E$3,22))&lt;&gt;""),'Arroz irrigado'!$E50:INDEX('Arroz irrigado'!$E50:$Z50,MIN(I$6-$E$3,22))),0))-IF($G$2,0,IF((I$6-$G$3)&lt;1,0,IFERROR(LOOKUP(2,1/('Arroz irrigado'!$E50:INDEX('Arroz irrigado'!$E50:$Z50,MIN(I$6-$G$3,22))&lt;&gt;""),'Arroz irrigado'!$E50:INDEX('Arroz irrigado'!$E50:$Z50,MIN(I$6-$G$3,22))),0)))))</f>
        <v>0</v>
      </c>
      <c r="J52" s="27" t="n">
        <f aca="false">IF(COUNT('Arroz irrigado'!$E50:$Z50)=0,0,MAX(0,IF((J$6-$E$3)&lt;1,0,IFERROR(LOOKUP(2,1/('Arroz irrigado'!$E50:INDEX('Arroz irrigado'!$E50:$Z50,MIN(J$6-$E$3,22))&lt;&gt;""),'Arroz irrigado'!$E50:INDEX('Arroz irrigado'!$E50:$Z50,MIN(J$6-$E$3,22))),0))-IF($G$2,0,IF((J$6-$G$3)&lt;1,0,IFERROR(LOOKUP(2,1/('Arroz irrigado'!$E50:INDEX('Arroz irrigado'!$E50:$Z50,MIN(J$6-$G$3,22))&lt;&gt;""),'Arroz irrigado'!$E50:INDEX('Arroz irrigado'!$E50:$Z50,MIN(J$6-$G$3,22))),0)))))</f>
        <v>0</v>
      </c>
      <c r="K52" s="27" t="n">
        <f aca="false">IF(COUNT('Arroz irrigado'!$E50:$Z50)=0,0,MAX(0,IF((K$6-$E$3)&lt;1,0,IFERROR(LOOKUP(2,1/('Arroz irrigado'!$E50:INDEX('Arroz irrigado'!$E50:$Z50,MIN(K$6-$E$3,22))&lt;&gt;""),'Arroz irrigado'!$E50:INDEX('Arroz irrigado'!$E50:$Z50,MIN(K$6-$E$3,22))),0))-IF($G$2,0,IF((K$6-$G$3)&lt;1,0,IFERROR(LOOKUP(2,1/('Arroz irrigado'!$E50:INDEX('Arroz irrigado'!$E50:$Z50,MIN(K$6-$G$3,22))&lt;&gt;""),'Arroz irrigado'!$E50:INDEX('Arroz irrigado'!$E50:$Z50,MIN(K$6-$G$3,22))),0)))))</f>
        <v>0</v>
      </c>
      <c r="L52" s="27" t="n">
        <f aca="false">IF(COUNT('Arroz irrigado'!$E50:$Z50)=0,0,MAX(0,IF((L$6-$E$3)&lt;1,0,IFERROR(LOOKUP(2,1/('Arroz irrigado'!$E50:INDEX('Arroz irrigado'!$E50:$Z50,MIN(L$6-$E$3,22))&lt;&gt;""),'Arroz irrigado'!$E50:INDEX('Arroz irrigado'!$E50:$Z50,MIN(L$6-$E$3,22))),0))-IF($G$2,0,IF((L$6-$G$3)&lt;1,0,IFERROR(LOOKUP(2,1/('Arroz irrigado'!$E50:INDEX('Arroz irrigado'!$E50:$Z50,MIN(L$6-$G$3,22))&lt;&gt;""),'Arroz irrigado'!$E50:INDEX('Arroz irrigado'!$E50:$Z50,MIN(L$6-$G$3,22))),0)))))</f>
        <v>0</v>
      </c>
      <c r="M52" s="27" t="n">
        <f aca="false">IF(COUNT('Arroz irrigado'!$E50:$Z50)=0,0,MAX(0,IF((M$6-$E$3)&lt;1,0,IFERROR(LOOKUP(2,1/('Arroz irrigado'!$E50:INDEX('Arroz irrigado'!$E50:$Z50,MIN(M$6-$E$3,22))&lt;&gt;""),'Arroz irrigado'!$E50:INDEX('Arroz irrigado'!$E50:$Z50,MIN(M$6-$E$3,22))),0))-IF($G$2,0,IF((M$6-$G$3)&lt;1,0,IFERROR(LOOKUP(2,1/('Arroz irrigado'!$E50:INDEX('Arroz irrigado'!$E50:$Z50,MIN(M$6-$G$3,22))&lt;&gt;""),'Arroz irrigado'!$E50:INDEX('Arroz irrigado'!$E50:$Z50,MIN(M$6-$G$3,22))),0)))))</f>
        <v>0</v>
      </c>
      <c r="N52" s="27" t="n">
        <f aca="false">IF(COUNT('Arroz irrigado'!$E50:$Z50)=0,0,MAX(0,IF((N$6-$E$3)&lt;1,0,IFERROR(LOOKUP(2,1/('Arroz irrigado'!$E50:INDEX('Arroz irrigado'!$E50:$Z50,MIN(N$6-$E$3,22))&lt;&gt;""),'Arroz irrigado'!$E50:INDEX('Arroz irrigado'!$E50:$Z50,MIN(N$6-$E$3,22))),0))-IF($G$2,0,IF((N$6-$G$3)&lt;1,0,IFERROR(LOOKUP(2,1/('Arroz irrigado'!$E50:INDEX('Arroz irrigado'!$E50:$Z50,MIN(N$6-$G$3,22))&lt;&gt;""),'Arroz irrigado'!$E50:INDEX('Arroz irrigado'!$E50:$Z50,MIN(N$6-$G$3,22))),0)))))</f>
        <v>0</v>
      </c>
      <c r="O52" s="27" t="n">
        <f aca="false">IF(COUNT('Arroz irrigado'!$E50:$Z50)=0,0,MAX(0,IF((O$6-$E$3)&lt;1,0,IFERROR(LOOKUP(2,1/('Arroz irrigado'!$E50:INDEX('Arroz irrigado'!$E50:$Z50,MIN(O$6-$E$3,22))&lt;&gt;""),'Arroz irrigado'!$E50:INDEX('Arroz irrigado'!$E50:$Z50,MIN(O$6-$E$3,22))),0))-IF($G$2,0,IF((O$6-$G$3)&lt;1,0,IFERROR(LOOKUP(2,1/('Arroz irrigado'!$E50:INDEX('Arroz irrigado'!$E50:$Z50,MIN(O$6-$G$3,22))&lt;&gt;""),'Arroz irrigado'!$E50:INDEX('Arroz irrigado'!$E50:$Z50,MIN(O$6-$G$3,22))),0)))))</f>
        <v>0</v>
      </c>
      <c r="P52" s="27" t="n">
        <f aca="false">IF(COUNT('Arroz irrigado'!$E50:$Z50)=0,0,MAX(0,IF((P$6-$E$3)&lt;1,0,IFERROR(LOOKUP(2,1/('Arroz irrigado'!$E50:INDEX('Arroz irrigado'!$E50:$Z50,MIN(P$6-$E$3,22))&lt;&gt;""),'Arroz irrigado'!$E50:INDEX('Arroz irrigado'!$E50:$Z50,MIN(P$6-$E$3,22))),0))-IF($G$2,0,IF((P$6-$G$3)&lt;1,0,IFERROR(LOOKUP(2,1/('Arroz irrigado'!$E50:INDEX('Arroz irrigado'!$E50:$Z50,MIN(P$6-$G$3,22))&lt;&gt;""),'Arroz irrigado'!$E50:INDEX('Arroz irrigado'!$E50:$Z50,MIN(P$6-$G$3,22))),0)))))</f>
        <v>0</v>
      </c>
      <c r="Q52" s="27" t="n">
        <f aca="false">IF(COUNT('Arroz irrigado'!$E50:$Z50)=0,0,MAX(0,IF((Q$6-$E$3)&lt;1,0,IFERROR(LOOKUP(2,1/('Arroz irrigado'!$E50:INDEX('Arroz irrigado'!$E50:$Z50,MIN(Q$6-$E$3,22))&lt;&gt;""),'Arroz irrigado'!$E50:INDEX('Arroz irrigado'!$E50:$Z50,MIN(Q$6-$E$3,22))),0))-IF($G$2,0,IF((Q$6-$G$3)&lt;1,0,IFERROR(LOOKUP(2,1/('Arroz irrigado'!$E50:INDEX('Arroz irrigado'!$E50:$Z50,MIN(Q$6-$G$3,22))&lt;&gt;""),'Arroz irrigado'!$E50:INDEX('Arroz irrigado'!$E50:$Z50,MIN(Q$6-$G$3,22))),0)))))</f>
        <v>0</v>
      </c>
      <c r="R52" s="27" t="n">
        <f aca="false">IF(COUNT('Arroz irrigado'!$E50:$Z50)=0,0,MAX(0,IF((R$6-$E$3)&lt;1,0,IFERROR(LOOKUP(2,1/('Arroz irrigado'!$E50:INDEX('Arroz irrigado'!$E50:$Z50,MIN(R$6-$E$3,22))&lt;&gt;""),'Arroz irrigado'!$E50:INDEX('Arroz irrigado'!$E50:$Z50,MIN(R$6-$E$3,22))),0))-IF($G$2,0,IF((R$6-$G$3)&lt;1,0,IFERROR(LOOKUP(2,1/('Arroz irrigado'!$E50:INDEX('Arroz irrigado'!$E50:$Z50,MIN(R$6-$G$3,22))&lt;&gt;""),'Arroz irrigado'!$E50:INDEX('Arroz irrigado'!$E50:$Z50,MIN(R$6-$G$3,22))),0)))))</f>
        <v>0</v>
      </c>
      <c r="S52" s="27" t="n">
        <f aca="false">IF(COUNT('Arroz irrigado'!$E50:$Z50)=0,0,MAX(0,IF((S$6-$E$3)&lt;1,0,IFERROR(LOOKUP(2,1/('Arroz irrigado'!$E50:INDEX('Arroz irrigado'!$E50:$Z50,MIN(S$6-$E$3,22))&lt;&gt;""),'Arroz irrigado'!$E50:INDEX('Arroz irrigado'!$E50:$Z50,MIN(S$6-$E$3,22))),0))-IF($G$2,0,IF((S$6-$G$3)&lt;1,0,IFERROR(LOOKUP(2,1/('Arroz irrigado'!$E50:INDEX('Arroz irrigado'!$E50:$Z50,MIN(S$6-$G$3,22))&lt;&gt;""),'Arroz irrigado'!$E50:INDEX('Arroz irrigado'!$E50:$Z50,MIN(S$6-$G$3,22))),0)))))</f>
        <v>0</v>
      </c>
      <c r="T52" s="27" t="n">
        <f aca="false">IF(COUNT('Arroz irrigado'!$E50:$Z50)=0,0,MAX(0,IF((T$6-$E$3)&lt;1,0,IFERROR(LOOKUP(2,1/('Arroz irrigado'!$E50:INDEX('Arroz irrigado'!$E50:$Z50,MIN(T$6-$E$3,22))&lt;&gt;""),'Arroz irrigado'!$E50:INDEX('Arroz irrigado'!$E50:$Z50,MIN(T$6-$E$3,22))),0))-IF($G$2,0,IF((T$6-$G$3)&lt;1,0,IFERROR(LOOKUP(2,1/('Arroz irrigado'!$E50:INDEX('Arroz irrigado'!$E50:$Z50,MIN(T$6-$G$3,22))&lt;&gt;""),'Arroz irrigado'!$E50:INDEX('Arroz irrigado'!$E50:$Z50,MIN(T$6-$G$3,22))),0)))))</f>
        <v>0</v>
      </c>
      <c r="U52" s="27" t="n">
        <f aca="false">IF(COUNT('Arroz irrigado'!$E50:$Z50)=0,0,MAX(0,IF((U$6-$E$3)&lt;1,0,IFERROR(LOOKUP(2,1/('Arroz irrigado'!$E50:INDEX('Arroz irrigado'!$E50:$Z50,MIN(U$6-$E$3,22))&lt;&gt;""),'Arroz irrigado'!$E50:INDEX('Arroz irrigado'!$E50:$Z50,MIN(U$6-$E$3,22))),0))-IF($G$2,0,IF((U$6-$G$3)&lt;1,0,IFERROR(LOOKUP(2,1/('Arroz irrigado'!$E50:INDEX('Arroz irrigado'!$E50:$Z50,MIN(U$6-$G$3,22))&lt;&gt;""),'Arroz irrigado'!$E50:INDEX('Arroz irrigado'!$E50:$Z50,MIN(U$6-$G$3,22))),0)))))</f>
        <v>0</v>
      </c>
      <c r="V52" s="27" t="n">
        <f aca="false">IF(COUNT('Arroz irrigado'!$E50:$Z50)=0,0,MAX(0,IF((V$6-$E$3)&lt;1,0,IFERROR(LOOKUP(2,1/('Arroz irrigado'!$E50:INDEX('Arroz irrigado'!$E50:$Z50,MIN(V$6-$E$3,22))&lt;&gt;""),'Arroz irrigado'!$E50:INDEX('Arroz irrigado'!$E50:$Z50,MIN(V$6-$E$3,22))),0))-IF($G$2,0,IF((V$6-$G$3)&lt;1,0,IFERROR(LOOKUP(2,1/('Arroz irrigado'!$E50:INDEX('Arroz irrigado'!$E50:$Z50,MIN(V$6-$G$3,22))&lt;&gt;""),'Arroz irrigado'!$E50:INDEX('Arroz irrigado'!$E50:$Z50,MIN(V$6-$G$3,22))),0)))))</f>
        <v>0</v>
      </c>
      <c r="W52" s="27" t="n">
        <f aca="false">IF(COUNT('Arroz irrigado'!$E50:$Z50)=0,0,MAX(0,IF((W$6-$E$3)&lt;1,0,IFERROR(LOOKUP(2,1/('Arroz irrigado'!$E50:INDEX('Arroz irrigado'!$E50:$Z50,MIN(W$6-$E$3,22))&lt;&gt;""),'Arroz irrigado'!$E50:INDEX('Arroz irrigado'!$E50:$Z50,MIN(W$6-$E$3,22))),0))-IF($G$2,0,IF((W$6-$G$3)&lt;1,0,IFERROR(LOOKUP(2,1/('Arroz irrigado'!$E50:INDEX('Arroz irrigado'!$E50:$Z50,MIN(W$6-$G$3,22))&lt;&gt;""),'Arroz irrigado'!$E50:INDEX('Arroz irrigado'!$E50:$Z50,MIN(W$6-$G$3,22))),0)))))</f>
        <v>0</v>
      </c>
      <c r="X52" s="27" t="n">
        <f aca="false">IF(COUNT('Arroz irrigado'!$E50:$Z50)=0,0,MAX(0,IF((X$6-$E$3)&lt;1,0,IFERROR(LOOKUP(2,1/('Arroz irrigado'!$E50:INDEX('Arroz irrigado'!$E50:$Z50,MIN(X$6-$E$3,22))&lt;&gt;""),'Arroz irrigado'!$E50:INDEX('Arroz irrigado'!$E50:$Z50,MIN(X$6-$E$3,22))),0))-IF($G$2,0,IF((X$6-$G$3)&lt;1,0,IFERROR(LOOKUP(2,1/('Arroz irrigado'!$E50:INDEX('Arroz irrigado'!$E50:$Z50,MIN(X$6-$G$3,22))&lt;&gt;""),'Arroz irrigado'!$E50:INDEX('Arroz irrigado'!$E50:$Z50,MIN(X$6-$G$3,22))),0)))))</f>
        <v>0</v>
      </c>
      <c r="Y52" s="27" t="n">
        <f aca="false">IF(COUNT('Arroz irrigado'!$E50:$Z50)=0,0,MAX(0,IF((Y$6-$E$3)&lt;1,0,IFERROR(LOOKUP(2,1/('Arroz irrigado'!$E50:INDEX('Arroz irrigado'!$E50:$Z50,MIN(Y$6-$E$3,22))&lt;&gt;""),'Arroz irrigado'!$E50:INDEX('Arroz irrigado'!$E50:$Z50,MIN(Y$6-$E$3,22))),0))-IF($G$2,0,IF((Y$6-$G$3)&lt;1,0,IFERROR(LOOKUP(2,1/('Arroz irrigado'!$E50:INDEX('Arroz irrigado'!$E50:$Z50,MIN(Y$6-$G$3,22))&lt;&gt;""),'Arroz irrigado'!$E50:INDEX('Arroz irrigado'!$E50:$Z50,MIN(Y$6-$G$3,22))),0)))))</f>
        <v>0</v>
      </c>
      <c r="Z52" s="27" t="n">
        <f aca="false">IF(COUNT('Arroz irrigado'!$E50:$Z50)=0,0,MAX(0,IF((Z$6-$E$3)&lt;1,0,IFERROR(LOOKUP(2,1/('Arroz irrigado'!$E50:INDEX('Arroz irrigado'!$E50:$Z50,MIN(Z$6-$E$3,22))&lt;&gt;""),'Arroz irrigado'!$E50:INDEX('Arroz irrigado'!$E50:$Z50,MIN(Z$6-$E$3,22))),0))-IF($G$2,0,IF((Z$6-$G$3)&lt;1,0,IFERROR(LOOKUP(2,1/('Arroz irrigado'!$E50:INDEX('Arroz irrigado'!$E50:$Z50,MIN(Z$6-$G$3,22))&lt;&gt;""),'Arroz irrigado'!$E50:INDEX('Arroz irrigado'!$E50:$Z50,MIN(Z$6-$G$3,22))),0)))))</f>
        <v>0</v>
      </c>
      <c r="AA52" s="27" t="n">
        <f aca="false">IF(COUNT('Arroz irrigado'!$E50:$Z50)=0,0,MAX(0,IF((AA$6-$E$3)&lt;1,0,IFERROR(LOOKUP(2,1/('Arroz irrigado'!$E50:INDEX('Arroz irrigado'!$E50:$Z50,MIN(AA$6-$E$3,22))&lt;&gt;""),'Arroz irrigado'!$E50:INDEX('Arroz irrigado'!$E50:$Z50,MIN(AA$6-$E$3,22))),0))-IF($G$2,0,IF((AA$6-$G$3)&lt;1,0,IFERROR(LOOKUP(2,1/('Arroz irrigado'!$E50:INDEX('Arroz irrigado'!$E50:$Z50,MIN(AA$6-$G$3,22))&lt;&gt;""),'Arroz irrigado'!$E50:INDEX('Arroz irrigado'!$E50:$Z50,MIN(AA$6-$G$3,22))),0)))))</f>
        <v>0</v>
      </c>
      <c r="AB52" s="27" t="n">
        <f aca="false">IF(COUNT('Arroz irrigado'!$E50:$Z50)=0,0,MAX(0,IF((AB$6-$E$3)&lt;1,0,IFERROR(LOOKUP(2,1/('Arroz irrigado'!$E50:INDEX('Arroz irrigado'!$E50:$Z50,MIN(AB$6-$E$3,22))&lt;&gt;""),'Arroz irrigado'!$E50:INDEX('Arroz irrigado'!$E50:$Z50,MIN(AB$6-$E$3,22))),0))-IF($G$2,0,IF((AB$6-$G$3)&lt;1,0,IFERROR(LOOKUP(2,1/('Arroz irrigado'!$E50:INDEX('Arroz irrigado'!$E50:$Z50,MIN(AB$6-$G$3,22))&lt;&gt;""),'Arroz irrigado'!$E50:INDEX('Arroz irrigado'!$E50:$Z50,MIN(AB$6-$G$3,22))),0)))))</f>
        <v>0</v>
      </c>
      <c r="AC52" s="27" t="n">
        <f aca="false">IF(COUNT('Arroz irrigado'!$E50:$Z50)=0,0,MAX(0,IF((AC$6-$E$3)&lt;1,0,IFERROR(LOOKUP(2,1/('Arroz irrigado'!$E50:INDEX('Arroz irrigado'!$E50:$Z50,MIN(AC$6-$E$3,22))&lt;&gt;""),'Arroz irrigado'!$E50:INDEX('Arroz irrigado'!$E50:$Z50,MIN(AC$6-$E$3,22))),0))-IF($G$2,0,IF((AC$6-$G$3)&lt;1,0,IFERROR(LOOKUP(2,1/('Arroz irrigado'!$E50:INDEX('Arroz irrigado'!$E50:$Z50,MIN(AC$6-$G$3,22))&lt;&gt;""),'Arroz irrigado'!$E50:INDEX('Arroz irrigado'!$E50:$Z50,MIN(AC$6-$G$3,22))),0)))))</f>
        <v>0</v>
      </c>
      <c r="AD52" s="27" t="n">
        <f aca="false">IF(COUNT('Arroz irrigado'!$E50:$Z50)=0,0,MAX(0,IF((AD$6-$E$3)&lt;1,0,IFERROR(LOOKUP(2,1/('Arroz irrigado'!$E50:INDEX('Arroz irrigado'!$E50:$Z50,MIN(AD$6-$E$3,22))&lt;&gt;""),'Arroz irrigado'!$E50:INDEX('Arroz irrigado'!$E50:$Z50,MIN(AD$6-$E$3,22))),0))-IF($G$2,0,IF((AD$6-$G$3)&lt;1,0,IFERROR(LOOKUP(2,1/('Arroz irrigado'!$E50:INDEX('Arroz irrigado'!$E50:$Z50,MIN(AD$6-$G$3,22))&lt;&gt;""),'Arroz irrigado'!$E50:INDEX('Arroz irrigado'!$E50:$Z50,MIN(AD$6-$G$3,22))),0)))))</f>
        <v>0</v>
      </c>
      <c r="AE52" s="27" t="n">
        <f aca="false">IF(COUNT('Arroz irrigado'!$E50:$Z50)=0,0,MAX(0,IF((AE$6-$E$3)&lt;1,0,IFERROR(LOOKUP(2,1/('Arroz irrigado'!$E50:INDEX('Arroz irrigado'!$E50:$Z50,MIN(AE$6-$E$3,22))&lt;&gt;""),'Arroz irrigado'!$E50:INDEX('Arroz irrigado'!$E50:$Z50,MIN(AE$6-$E$3,22))),0))-IF($G$2,0,IF((AE$6-$G$3)&lt;1,0,IFERROR(LOOKUP(2,1/('Arroz irrigado'!$E50:INDEX('Arroz irrigado'!$E50:$Z50,MIN(AE$6-$G$3,22))&lt;&gt;""),'Arroz irrigado'!$E50:INDEX('Arroz irrigado'!$E50:$Z50,MIN(AE$6-$G$3,22))),0)))))</f>
        <v>0</v>
      </c>
      <c r="AF52" s="27" t="n">
        <f aca="false">IF(COUNT('Arroz irrigado'!$E50:$Z50)=0,0,MAX(0,IF((AF$6-$E$3)&lt;1,0,IFERROR(LOOKUP(2,1/('Arroz irrigado'!$E50:INDEX('Arroz irrigado'!$E50:$Z50,MIN(AF$6-$E$3,22))&lt;&gt;""),'Arroz irrigado'!$E50:INDEX('Arroz irrigado'!$E50:$Z50,MIN(AF$6-$E$3,22))),0))-IF($G$2,0,IF((AF$6-$G$3)&lt;1,0,IFERROR(LOOKUP(2,1/('Arroz irrigado'!$E50:INDEX('Arroz irrigado'!$E50:$Z50,MIN(AF$6-$G$3,22))&lt;&gt;""),'Arroz irrigado'!$E50:INDEX('Arroz irrigado'!$E50:$Z50,MIN(AF$6-$G$3,22))),0)))))</f>
        <v>0</v>
      </c>
      <c r="AG52" s="27" t="n">
        <f aca="false">IF(COUNT('Arroz irrigado'!$E50:$Z50)=0,0,MAX(0,IF((AG$6-$E$3)&lt;1,0,IFERROR(LOOKUP(2,1/('Arroz irrigado'!$E50:INDEX('Arroz irrigado'!$E50:$Z50,MIN(AG$6-$E$3,22))&lt;&gt;""),'Arroz irrigado'!$E50:INDEX('Arroz irrigado'!$E50:$Z50,MIN(AG$6-$E$3,22))),0))-IF($G$2,0,IF((AG$6-$G$3)&lt;1,0,IFERROR(LOOKUP(2,1/('Arroz irrigado'!$E50:INDEX('Arroz irrigado'!$E50:$Z50,MIN(AG$6-$G$3,22))&lt;&gt;""),'Arroz irrigado'!$E50:INDEX('Arroz irrigado'!$E50:$Z50,MIN(AG$6-$G$3,22))),0)))))</f>
        <v>0</v>
      </c>
      <c r="AH52" s="27" t="n">
        <f aca="false">IF(COUNT('Arroz irrigado'!$E50:$Z50)=0,0,MAX(0,IF((AH$6-$E$3)&lt;1,0,IFERROR(LOOKUP(2,1/('Arroz irrigado'!$E50:INDEX('Arroz irrigado'!$E50:$Z50,MIN(AH$6-$E$3,22))&lt;&gt;""),'Arroz irrigado'!$E50:INDEX('Arroz irrigado'!$E50:$Z50,MIN(AH$6-$E$3,22))),0))-IF($G$2,0,IF((AH$6-$G$3)&lt;1,0,IFERROR(LOOKUP(2,1/('Arroz irrigado'!$E50:INDEX('Arroz irrigado'!$E50:$Z50,MIN(AH$6-$G$3,22))&lt;&gt;""),'Arroz irrigado'!$E50:INDEX('Arroz irrigado'!$E50:$Z50,MIN(AH$6-$G$3,22))),0)))))</f>
        <v>0</v>
      </c>
      <c r="AI52" s="27" t="n">
        <f aca="false">IF(COUNT('Arroz irrigado'!$E50:$Z50)=0,0,MAX(0,IF((AI$6-$E$3)&lt;1,0,IFERROR(LOOKUP(2,1/('Arroz irrigado'!$E50:INDEX('Arroz irrigado'!$E50:$Z50,MIN(AI$6-$E$3,22))&lt;&gt;""),'Arroz irrigado'!$E50:INDEX('Arroz irrigado'!$E50:$Z50,MIN(AI$6-$E$3,22))),0))-IF($G$2,0,IF((AI$6-$G$3)&lt;1,0,IFERROR(LOOKUP(2,1/('Arroz irrigado'!$E50:INDEX('Arroz irrigado'!$E50:$Z50,MIN(AI$6-$G$3,22))&lt;&gt;""),'Arroz irrigado'!$E50:INDEX('Arroz irrigado'!$E50:$Z50,MIN(AI$6-$G$3,22))),0)))))</f>
        <v>0</v>
      </c>
      <c r="AJ52" s="27" t="n">
        <f aca="false">IF(COUNT('Arroz irrigado'!$E50:$Z50)=0,0,MAX(0,IF((AJ$6-$E$3)&lt;1,0,IFERROR(LOOKUP(2,1/('Arroz irrigado'!$E50:INDEX('Arroz irrigado'!$E50:$Z50,MIN(AJ$6-$E$3,22))&lt;&gt;""),'Arroz irrigado'!$E50:INDEX('Arroz irrigado'!$E50:$Z50,MIN(AJ$6-$E$3,22))),0))-IF($G$2,0,IF((AJ$6-$G$3)&lt;1,0,IFERROR(LOOKUP(2,1/('Arroz irrigado'!$E50:INDEX('Arroz irrigado'!$E50:$Z50,MIN(AJ$6-$G$3,22))&lt;&gt;""),'Arroz irrigado'!$E50:INDEX('Arroz irrigado'!$E50:$Z50,MIN(AJ$6-$G$3,22))),0)))))</f>
        <v>0</v>
      </c>
      <c r="AK52" s="27" t="n">
        <f aca="false">IF(COUNT('Arroz irrigado'!$E50:$Z50)=0,0,MAX(0,IF((AK$6-$E$3)&lt;1,0,IFERROR(LOOKUP(2,1/('Arroz irrigado'!$E50:INDEX('Arroz irrigado'!$E50:$Z50,MIN(AK$6-$E$3,22))&lt;&gt;""),'Arroz irrigado'!$E50:INDEX('Arroz irrigado'!$E50:$Z50,MIN(AK$6-$E$3,22))),0))-IF($G$2,0,IF((AK$6-$G$3)&lt;1,0,IFERROR(LOOKUP(2,1/('Arroz irrigado'!$E50:INDEX('Arroz irrigado'!$E50:$Z50,MIN(AK$6-$G$3,22))&lt;&gt;""),'Arroz irrigado'!$E50:INDEX('Arroz irrigado'!$E50:$Z50,MIN(AK$6-$G$3,22))),0)))))</f>
        <v>0</v>
      </c>
      <c r="AL52" s="27" t="n">
        <f aca="false">IF(COUNT('Arroz irrigado'!$E50:$Z50)=0,0,MAX(0,IF((AL$6-$E$3)&lt;1,0,IFERROR(LOOKUP(2,1/('Arroz irrigado'!$E50:INDEX('Arroz irrigado'!$E50:$Z50,MIN(AL$6-$E$3,22))&lt;&gt;""),'Arroz irrigado'!$E50:INDEX('Arroz irrigado'!$E50:$Z50,MIN(AL$6-$E$3,22))),0))-IF($G$2,0,IF((AL$6-$G$3)&lt;1,0,IFERROR(LOOKUP(2,1/('Arroz irrigado'!$E50:INDEX('Arroz irrigado'!$E50:$Z50,MIN(AL$6-$G$3,22))&lt;&gt;""),'Arroz irrigado'!$E50:INDEX('Arroz irrigado'!$E50:$Z50,MIN(AL$6-$G$3,22))),0)))))</f>
        <v>0</v>
      </c>
      <c r="AM52" s="27" t="n">
        <f aca="false">IF(COUNT('Arroz irrigado'!$E50:$Z50)=0,0,MAX(0,IF((AM$6-$E$3)&lt;1,0,IFERROR(LOOKUP(2,1/('Arroz irrigado'!$E50:INDEX('Arroz irrigado'!$E50:$Z50,MIN(AM$6-$E$3,22))&lt;&gt;""),'Arroz irrigado'!$E50:INDEX('Arroz irrigado'!$E50:$Z50,MIN(AM$6-$E$3,22))),0))-IF($G$2,0,IF((AM$6-$G$3)&lt;1,0,IFERROR(LOOKUP(2,1/('Arroz irrigado'!$E50:INDEX('Arroz irrigado'!$E50:$Z50,MIN(AM$6-$G$3,22))&lt;&gt;""),'Arroz irrigado'!$E50:INDEX('Arroz irrigado'!$E50:$Z50,MIN(AM$6-$G$3,22))),0)))))</f>
        <v>0</v>
      </c>
      <c r="AN52" s="27" t="n">
        <f aca="false">IF(COUNT('Arroz irrigado'!$E50:$Z50)=0,0,MAX(0,IF((AN$6-$E$3)&lt;1,0,IFERROR(LOOKUP(2,1/('Arroz irrigado'!$E50:INDEX('Arroz irrigado'!$E50:$Z50,MIN(AN$6-$E$3,22))&lt;&gt;""),'Arroz irrigado'!$E50:INDEX('Arroz irrigado'!$E50:$Z50,MIN(AN$6-$E$3,22))),0))-IF($G$2,0,IF((AN$6-$G$3)&lt;1,0,IFERROR(LOOKUP(2,1/('Arroz irrigado'!$E50:INDEX('Arroz irrigado'!$E50:$Z50,MIN(AN$6-$G$3,22))&lt;&gt;""),'Arroz irrigado'!$E50:INDEX('Arroz irrigado'!$E50:$Z50,MIN(AN$6-$G$3,22))),0)))))</f>
        <v>0</v>
      </c>
      <c r="AO52" s="27" t="n">
        <f aca="false">IF(COUNT('Arroz irrigado'!$E50:$Z50)=0,0,MAX(0,IF((AO$6-$E$3)&lt;1,0,IFERROR(LOOKUP(2,1/('Arroz irrigado'!$E50:INDEX('Arroz irrigado'!$E50:$Z50,MIN(AO$6-$E$3,22))&lt;&gt;""),'Arroz irrigado'!$E50:INDEX('Arroz irrigado'!$E50:$Z50,MIN(AO$6-$E$3,22))),0))-IF($G$2,0,IF((AO$6-$G$3)&lt;1,0,IFERROR(LOOKUP(2,1/('Arroz irrigado'!$E50:INDEX('Arroz irrigado'!$E50:$Z50,MIN(AO$6-$G$3,22))&lt;&gt;""),'Arroz irrigado'!$E50:INDEX('Arroz irrigado'!$E50:$Z50,MIN(AO$6-$G$3,22))),0)))))</f>
        <v>0</v>
      </c>
      <c r="AP52" s="27" t="n">
        <f aca="false">IF(COUNT('Arroz irrigado'!$E50:$Z50)=0,0,MAX(0,IF((AP$6-$E$3)&lt;1,0,IFERROR(LOOKUP(2,1/('Arroz irrigado'!$E50:INDEX('Arroz irrigado'!$E50:$Z50,MIN(AP$6-$E$3,22))&lt;&gt;""),'Arroz irrigado'!$E50:INDEX('Arroz irrigado'!$E50:$Z50,MIN(AP$6-$E$3,22))),0))-IF($G$2,0,IF((AP$6-$G$3)&lt;1,0,IFERROR(LOOKUP(2,1/('Arroz irrigado'!$E50:INDEX('Arroz irrigado'!$E50:$Z50,MIN(AP$6-$G$3,22))&lt;&gt;""),'Arroz irrigado'!$E50:INDEX('Arroz irrigado'!$E50:$Z50,MIN(AP$6-$G$3,22))),0)))))</f>
        <v>0</v>
      </c>
      <c r="AQ52" s="27" t="n">
        <f aca="false">IF(COUNT('Arroz irrigado'!$E50:$Z50)=0,0,MAX(0,IF((AQ$6-$E$3)&lt;1,0,IFERROR(LOOKUP(2,1/('Arroz irrigado'!$E50:INDEX('Arroz irrigado'!$E50:$Z50,MIN(AQ$6-$E$3,22))&lt;&gt;""),'Arroz irrigado'!$E50:INDEX('Arroz irrigado'!$E50:$Z50,MIN(AQ$6-$E$3,22))),0))-IF($G$2,0,IF((AQ$6-$G$3)&lt;1,0,IFERROR(LOOKUP(2,1/('Arroz irrigado'!$E50:INDEX('Arroz irrigado'!$E50:$Z50,MIN(AQ$6-$G$3,22))&lt;&gt;""),'Arroz irrigado'!$E50:INDEX('Arroz irrigado'!$E50:$Z50,MIN(AQ$6-$G$3,22))),0)))))</f>
        <v>0</v>
      </c>
      <c r="AR52" s="27" t="n">
        <f aca="false">IF(COUNT('Arroz irrigado'!$E50:$Z50)=0,0,MAX(0,IF((AR$6-$E$3)&lt;1,0,IFERROR(LOOKUP(2,1/('Arroz irrigado'!$E50:INDEX('Arroz irrigado'!$E50:$Z50,MIN(AR$6-$E$3,22))&lt;&gt;""),'Arroz irrigado'!$E50:INDEX('Arroz irrigado'!$E50:$Z50,MIN(AR$6-$E$3,22))),0))-IF($G$2,0,IF((AR$6-$G$3)&lt;1,0,IFERROR(LOOKUP(2,1/('Arroz irrigado'!$E50:INDEX('Arroz irrigado'!$E50:$Z50,MIN(AR$6-$G$3,22))&lt;&gt;""),'Arroz irrigado'!$E50:INDEX('Arroz irrigado'!$E50:$Z50,MIN(AR$6-$G$3,22))),0)))))</f>
        <v>0</v>
      </c>
      <c r="AS52" s="27" t="n">
        <f aca="false">IF(COUNT('Arroz irrigado'!$E50:$Z50)=0,0,MAX(0,IF((AS$6-$E$3)&lt;1,0,IFERROR(LOOKUP(2,1/('Arroz irrigado'!$E50:INDEX('Arroz irrigado'!$E50:$Z50,MIN(AS$6-$E$3,22))&lt;&gt;""),'Arroz irrigado'!$E50:INDEX('Arroz irrigado'!$E50:$Z50,MIN(AS$6-$E$3,22))),0))-IF($G$2,0,IF((AS$6-$G$3)&lt;1,0,IFERROR(LOOKUP(2,1/('Arroz irrigado'!$E50:INDEX('Arroz irrigado'!$E50:$Z50,MIN(AS$6-$G$3,22))&lt;&gt;""),'Arroz irrigado'!$E50:INDEX('Arroz irrigado'!$E50:$Z50,MIN(AS$6-$G$3,22))),0)))))</f>
        <v>0</v>
      </c>
      <c r="AT52" s="27" t="n">
        <f aca="false">IF(COUNT('Arroz irrigado'!$E50:$Z50)=0,0,MAX(0,IF((AT$6-$E$3)&lt;1,0,IFERROR(LOOKUP(2,1/('Arroz irrigado'!$E50:INDEX('Arroz irrigado'!$E50:$Z50,MIN(AT$6-$E$3,22))&lt;&gt;""),'Arroz irrigado'!$E50:INDEX('Arroz irrigado'!$E50:$Z50,MIN(AT$6-$E$3,22))),0))-IF($G$2,0,IF((AT$6-$G$3)&lt;1,0,IFERROR(LOOKUP(2,1/('Arroz irrigado'!$E50:INDEX('Arroz irrigado'!$E50:$Z50,MIN(AT$6-$G$3,22))&lt;&gt;""),'Arroz irrigado'!$E50:INDEX('Arroz irrigado'!$E50:$Z50,MIN(AT$6-$G$3,22))),0)))))</f>
        <v>0</v>
      </c>
      <c r="AU52" s="27" t="n">
        <f aca="false">IF(COUNT('Arroz irrigado'!$E50:$Z50)=0,0,MAX(0,IF((AU$6-$E$3)&lt;1,0,IFERROR(LOOKUP(2,1/('Arroz irrigado'!$E50:INDEX('Arroz irrigado'!$E50:$Z50,MIN(AU$6-$E$3,22))&lt;&gt;""),'Arroz irrigado'!$E50:INDEX('Arroz irrigado'!$E50:$Z50,MIN(AU$6-$E$3,22))),0))-IF($G$2,0,IF((AU$6-$G$3)&lt;1,0,IFERROR(LOOKUP(2,1/('Arroz irrigado'!$E50:INDEX('Arroz irrigado'!$E50:$Z50,MIN(AU$6-$G$3,22))&lt;&gt;""),'Arroz irrigado'!$E50:INDEX('Arroz irrigado'!$E50:$Z50,MIN(AU$6-$G$3,22))),0)))))</f>
        <v>0</v>
      </c>
      <c r="AV52" s="27" t="n">
        <f aca="false">IF(COUNT('Arroz irrigado'!$E50:$Z50)=0,0,MAX(0,IF((AV$6-$E$3)&lt;1,0,IFERROR(LOOKUP(2,1/('Arroz irrigado'!$E50:INDEX('Arroz irrigado'!$E50:$Z50,MIN(AV$6-$E$3,22))&lt;&gt;""),'Arroz irrigado'!$E50:INDEX('Arroz irrigado'!$E50:$Z50,MIN(AV$6-$E$3,22))),0))-IF($G$2,0,IF((AV$6-$G$3)&lt;1,0,IFERROR(LOOKUP(2,1/('Arroz irrigado'!$E50:INDEX('Arroz irrigado'!$E50:$Z50,MIN(AV$6-$G$3,22))&lt;&gt;""),'Arroz irrigado'!$E50:INDEX('Arroz irrigado'!$E50:$Z50,MIN(AV$6-$G$3,22))),0)))))</f>
        <v>0</v>
      </c>
      <c r="AW52" s="27" t="n">
        <f aca="false">IF(COUNT('Arroz irrigado'!$E50:$Z50)=0,0,MAX(0,IF((AW$6-$E$3)&lt;1,0,IFERROR(LOOKUP(2,1/('Arroz irrigado'!$E50:INDEX('Arroz irrigado'!$E50:$Z50,MIN(AW$6-$E$3,22))&lt;&gt;""),'Arroz irrigado'!$E50:INDEX('Arroz irrigado'!$E50:$Z50,MIN(AW$6-$E$3,22))),0))-IF($G$2,0,IF((AW$6-$G$3)&lt;1,0,IFERROR(LOOKUP(2,1/('Arroz irrigado'!$E50:INDEX('Arroz irrigado'!$E50:$Z50,MIN(AW$6-$G$3,22))&lt;&gt;""),'Arroz irrigado'!$E50:INDEX('Arroz irrigado'!$E50:$Z50,MIN(AW$6-$G$3,22))),0)))))</f>
        <v>0</v>
      </c>
      <c r="AX52" s="27" t="n">
        <f aca="false">IF(COUNT('Arroz irrigado'!$E50:$Z50)=0,0,MAX(0,IF((AX$6-$E$3)&lt;1,0,IFERROR(LOOKUP(2,1/('Arroz irrigado'!$E50:INDEX('Arroz irrigado'!$E50:$Z50,MIN(AX$6-$E$3,22))&lt;&gt;""),'Arroz irrigado'!$E50:INDEX('Arroz irrigado'!$E50:$Z50,MIN(AX$6-$E$3,22))),0))-IF($G$2,0,IF((AX$6-$G$3)&lt;1,0,IFERROR(LOOKUP(2,1/('Arroz irrigado'!$E50:INDEX('Arroz irrigado'!$E50:$Z50,MIN(AX$6-$G$3,22))&lt;&gt;""),'Arroz irrigado'!$E50:INDEX('Arroz irrigado'!$E50:$Z50,MIN(AX$6-$G$3,22))),0)))))</f>
        <v>0</v>
      </c>
      <c r="AY52" s="27" t="n">
        <f aca="false">IF(COUNT('Arroz irrigado'!$E50:$Z50)=0,0,MAX(0,IF((AY$6-$E$3)&lt;1,0,IFERROR(LOOKUP(2,1/('Arroz irrigado'!$E50:INDEX('Arroz irrigado'!$E50:$Z50,MIN(AY$6-$E$3,22))&lt;&gt;""),'Arroz irrigado'!$E50:INDEX('Arroz irrigado'!$E50:$Z50,MIN(AY$6-$E$3,22))),0))-IF($G$2,0,IF((AY$6-$G$3)&lt;1,0,IFERROR(LOOKUP(2,1/('Arroz irrigado'!$E50:INDEX('Arroz irrigado'!$E50:$Z50,MIN(AY$6-$G$3,22))&lt;&gt;""),'Arroz irrigado'!$E50:INDEX('Arroz irrigado'!$E50:$Z50,MIN(AY$6-$G$3,22))),0)))))</f>
        <v>0</v>
      </c>
      <c r="AZ52" s="27" t="n">
        <f aca="false">IF(COUNT('Arroz irrigado'!$E50:$Z50)=0,0,MAX(0,IF((AZ$6-$E$3)&lt;1,0,IFERROR(LOOKUP(2,1/('Arroz irrigado'!$E50:INDEX('Arroz irrigado'!$E50:$Z50,MIN(AZ$6-$E$3,22))&lt;&gt;""),'Arroz irrigado'!$E50:INDEX('Arroz irrigado'!$E50:$Z50,MIN(AZ$6-$E$3,22))),0))-IF($G$2,0,IF((AZ$6-$G$3)&lt;1,0,IFERROR(LOOKUP(2,1/('Arroz irrigado'!$E50:INDEX('Arroz irrigado'!$E50:$Z50,MIN(AZ$6-$G$3,22))&lt;&gt;""),'Arroz irrigado'!$E50:INDEX('Arroz irrigado'!$E50:$Z50,MIN(AZ$6-$G$3,22))),0)))))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IF(COUNT('Arroz irrigado'!$E51:$Z51)&gt;0,N('Arroz irrigado'!$D51),0)</f>
        <v>0</v>
      </c>
      <c r="E53" s="27" t="n">
        <f aca="false">IF(COUNT('Arroz irrigado'!$E51:$Z51)=0,0,MAX(0,IF((E$6-$E$3)&lt;1,0,IFERROR(LOOKUP(2,1/('Arroz irrigado'!$E51:INDEX('Arroz irrigado'!$E51:$Z51,MIN(E$6-$E$3,22))&lt;&gt;""),'Arroz irrigado'!$E51:INDEX('Arroz irrigado'!$E51:$Z51,MIN(E$6-$E$3,22))),0))-IF($G$2,0,IF((E$6-$G$3)&lt;1,0,IFERROR(LOOKUP(2,1/('Arroz irrigado'!$E51:INDEX('Arroz irrigado'!$E51:$Z51,MIN(E$6-$G$3,22))&lt;&gt;""),'Arroz irrigado'!$E51:INDEX('Arroz irrigado'!$E51:$Z51,MIN(E$6-$G$3,22))),0)))))</f>
        <v>0</v>
      </c>
      <c r="F53" s="27" t="n">
        <f aca="false">IF(COUNT('Arroz irrigado'!$E51:$Z51)=0,0,MAX(0,IF((F$6-$E$3)&lt;1,0,IFERROR(LOOKUP(2,1/('Arroz irrigado'!$E51:INDEX('Arroz irrigado'!$E51:$Z51,MIN(F$6-$E$3,22))&lt;&gt;""),'Arroz irrigado'!$E51:INDEX('Arroz irrigado'!$E51:$Z51,MIN(F$6-$E$3,22))),0))-IF($G$2,0,IF((F$6-$G$3)&lt;1,0,IFERROR(LOOKUP(2,1/('Arroz irrigado'!$E51:INDEX('Arroz irrigado'!$E51:$Z51,MIN(F$6-$G$3,22))&lt;&gt;""),'Arroz irrigado'!$E51:INDEX('Arroz irrigado'!$E51:$Z51,MIN(F$6-$G$3,22))),0)))))</f>
        <v>0</v>
      </c>
      <c r="G53" s="27" t="n">
        <f aca="false">IF(COUNT('Arroz irrigado'!$E51:$Z51)=0,0,MAX(0,IF((G$6-$E$3)&lt;1,0,IFERROR(LOOKUP(2,1/('Arroz irrigado'!$E51:INDEX('Arroz irrigado'!$E51:$Z51,MIN(G$6-$E$3,22))&lt;&gt;""),'Arroz irrigado'!$E51:INDEX('Arroz irrigado'!$E51:$Z51,MIN(G$6-$E$3,22))),0))-IF($G$2,0,IF((G$6-$G$3)&lt;1,0,IFERROR(LOOKUP(2,1/('Arroz irrigado'!$E51:INDEX('Arroz irrigado'!$E51:$Z51,MIN(G$6-$G$3,22))&lt;&gt;""),'Arroz irrigado'!$E51:INDEX('Arroz irrigado'!$E51:$Z51,MIN(G$6-$G$3,22))),0)))))</f>
        <v>0</v>
      </c>
      <c r="H53" s="27" t="n">
        <f aca="false">IF(COUNT('Arroz irrigado'!$E51:$Z51)=0,0,MAX(0,IF((H$6-$E$3)&lt;1,0,IFERROR(LOOKUP(2,1/('Arroz irrigado'!$E51:INDEX('Arroz irrigado'!$E51:$Z51,MIN(H$6-$E$3,22))&lt;&gt;""),'Arroz irrigado'!$E51:INDEX('Arroz irrigado'!$E51:$Z51,MIN(H$6-$E$3,22))),0))-IF($G$2,0,IF((H$6-$G$3)&lt;1,0,IFERROR(LOOKUP(2,1/('Arroz irrigado'!$E51:INDEX('Arroz irrigado'!$E51:$Z51,MIN(H$6-$G$3,22))&lt;&gt;""),'Arroz irrigado'!$E51:INDEX('Arroz irrigado'!$E51:$Z51,MIN(H$6-$G$3,22))),0)))))</f>
        <v>0</v>
      </c>
      <c r="I53" s="27" t="n">
        <f aca="false">IF(COUNT('Arroz irrigado'!$E51:$Z51)=0,0,MAX(0,IF((I$6-$E$3)&lt;1,0,IFERROR(LOOKUP(2,1/('Arroz irrigado'!$E51:INDEX('Arroz irrigado'!$E51:$Z51,MIN(I$6-$E$3,22))&lt;&gt;""),'Arroz irrigado'!$E51:INDEX('Arroz irrigado'!$E51:$Z51,MIN(I$6-$E$3,22))),0))-IF($G$2,0,IF((I$6-$G$3)&lt;1,0,IFERROR(LOOKUP(2,1/('Arroz irrigado'!$E51:INDEX('Arroz irrigado'!$E51:$Z51,MIN(I$6-$G$3,22))&lt;&gt;""),'Arroz irrigado'!$E51:INDEX('Arroz irrigado'!$E51:$Z51,MIN(I$6-$G$3,22))),0)))))</f>
        <v>0</v>
      </c>
      <c r="J53" s="27" t="n">
        <f aca="false">IF(COUNT('Arroz irrigado'!$E51:$Z51)=0,0,MAX(0,IF((J$6-$E$3)&lt;1,0,IFERROR(LOOKUP(2,1/('Arroz irrigado'!$E51:INDEX('Arroz irrigado'!$E51:$Z51,MIN(J$6-$E$3,22))&lt;&gt;""),'Arroz irrigado'!$E51:INDEX('Arroz irrigado'!$E51:$Z51,MIN(J$6-$E$3,22))),0))-IF($G$2,0,IF((J$6-$G$3)&lt;1,0,IFERROR(LOOKUP(2,1/('Arroz irrigado'!$E51:INDEX('Arroz irrigado'!$E51:$Z51,MIN(J$6-$G$3,22))&lt;&gt;""),'Arroz irrigado'!$E51:INDEX('Arroz irrigado'!$E51:$Z51,MIN(J$6-$G$3,22))),0)))))</f>
        <v>0</v>
      </c>
      <c r="K53" s="27" t="n">
        <f aca="false">IF(COUNT('Arroz irrigado'!$E51:$Z51)=0,0,MAX(0,IF((K$6-$E$3)&lt;1,0,IFERROR(LOOKUP(2,1/('Arroz irrigado'!$E51:INDEX('Arroz irrigado'!$E51:$Z51,MIN(K$6-$E$3,22))&lt;&gt;""),'Arroz irrigado'!$E51:INDEX('Arroz irrigado'!$E51:$Z51,MIN(K$6-$E$3,22))),0))-IF($G$2,0,IF((K$6-$G$3)&lt;1,0,IFERROR(LOOKUP(2,1/('Arroz irrigado'!$E51:INDEX('Arroz irrigado'!$E51:$Z51,MIN(K$6-$G$3,22))&lt;&gt;""),'Arroz irrigado'!$E51:INDEX('Arroz irrigado'!$E51:$Z51,MIN(K$6-$G$3,22))),0)))))</f>
        <v>0</v>
      </c>
      <c r="L53" s="27" t="n">
        <f aca="false">IF(COUNT('Arroz irrigado'!$E51:$Z51)=0,0,MAX(0,IF((L$6-$E$3)&lt;1,0,IFERROR(LOOKUP(2,1/('Arroz irrigado'!$E51:INDEX('Arroz irrigado'!$E51:$Z51,MIN(L$6-$E$3,22))&lt;&gt;""),'Arroz irrigado'!$E51:INDEX('Arroz irrigado'!$E51:$Z51,MIN(L$6-$E$3,22))),0))-IF($G$2,0,IF((L$6-$G$3)&lt;1,0,IFERROR(LOOKUP(2,1/('Arroz irrigado'!$E51:INDEX('Arroz irrigado'!$E51:$Z51,MIN(L$6-$G$3,22))&lt;&gt;""),'Arroz irrigado'!$E51:INDEX('Arroz irrigado'!$E51:$Z51,MIN(L$6-$G$3,22))),0)))))</f>
        <v>0</v>
      </c>
      <c r="M53" s="27" t="n">
        <f aca="false">IF(COUNT('Arroz irrigado'!$E51:$Z51)=0,0,MAX(0,IF((M$6-$E$3)&lt;1,0,IFERROR(LOOKUP(2,1/('Arroz irrigado'!$E51:INDEX('Arroz irrigado'!$E51:$Z51,MIN(M$6-$E$3,22))&lt;&gt;""),'Arroz irrigado'!$E51:INDEX('Arroz irrigado'!$E51:$Z51,MIN(M$6-$E$3,22))),0))-IF($G$2,0,IF((M$6-$G$3)&lt;1,0,IFERROR(LOOKUP(2,1/('Arroz irrigado'!$E51:INDEX('Arroz irrigado'!$E51:$Z51,MIN(M$6-$G$3,22))&lt;&gt;""),'Arroz irrigado'!$E51:INDEX('Arroz irrigado'!$E51:$Z51,MIN(M$6-$G$3,22))),0)))))</f>
        <v>0</v>
      </c>
      <c r="N53" s="27" t="n">
        <f aca="false">IF(COUNT('Arroz irrigado'!$E51:$Z51)=0,0,MAX(0,IF((N$6-$E$3)&lt;1,0,IFERROR(LOOKUP(2,1/('Arroz irrigado'!$E51:INDEX('Arroz irrigado'!$E51:$Z51,MIN(N$6-$E$3,22))&lt;&gt;""),'Arroz irrigado'!$E51:INDEX('Arroz irrigado'!$E51:$Z51,MIN(N$6-$E$3,22))),0))-IF($G$2,0,IF((N$6-$G$3)&lt;1,0,IFERROR(LOOKUP(2,1/('Arroz irrigado'!$E51:INDEX('Arroz irrigado'!$E51:$Z51,MIN(N$6-$G$3,22))&lt;&gt;""),'Arroz irrigado'!$E51:INDEX('Arroz irrigado'!$E51:$Z51,MIN(N$6-$G$3,22))),0)))))</f>
        <v>0</v>
      </c>
      <c r="O53" s="27" t="n">
        <f aca="false">IF(COUNT('Arroz irrigado'!$E51:$Z51)=0,0,MAX(0,IF((O$6-$E$3)&lt;1,0,IFERROR(LOOKUP(2,1/('Arroz irrigado'!$E51:INDEX('Arroz irrigado'!$E51:$Z51,MIN(O$6-$E$3,22))&lt;&gt;""),'Arroz irrigado'!$E51:INDEX('Arroz irrigado'!$E51:$Z51,MIN(O$6-$E$3,22))),0))-IF($G$2,0,IF((O$6-$G$3)&lt;1,0,IFERROR(LOOKUP(2,1/('Arroz irrigado'!$E51:INDEX('Arroz irrigado'!$E51:$Z51,MIN(O$6-$G$3,22))&lt;&gt;""),'Arroz irrigado'!$E51:INDEX('Arroz irrigado'!$E51:$Z51,MIN(O$6-$G$3,22))),0)))))</f>
        <v>0</v>
      </c>
      <c r="P53" s="27" t="n">
        <f aca="false">IF(COUNT('Arroz irrigado'!$E51:$Z51)=0,0,MAX(0,IF((P$6-$E$3)&lt;1,0,IFERROR(LOOKUP(2,1/('Arroz irrigado'!$E51:INDEX('Arroz irrigado'!$E51:$Z51,MIN(P$6-$E$3,22))&lt;&gt;""),'Arroz irrigado'!$E51:INDEX('Arroz irrigado'!$E51:$Z51,MIN(P$6-$E$3,22))),0))-IF($G$2,0,IF((P$6-$G$3)&lt;1,0,IFERROR(LOOKUP(2,1/('Arroz irrigado'!$E51:INDEX('Arroz irrigado'!$E51:$Z51,MIN(P$6-$G$3,22))&lt;&gt;""),'Arroz irrigado'!$E51:INDEX('Arroz irrigado'!$E51:$Z51,MIN(P$6-$G$3,22))),0)))))</f>
        <v>0</v>
      </c>
      <c r="Q53" s="27" t="n">
        <f aca="false">IF(COUNT('Arroz irrigado'!$E51:$Z51)=0,0,MAX(0,IF((Q$6-$E$3)&lt;1,0,IFERROR(LOOKUP(2,1/('Arroz irrigado'!$E51:INDEX('Arroz irrigado'!$E51:$Z51,MIN(Q$6-$E$3,22))&lt;&gt;""),'Arroz irrigado'!$E51:INDEX('Arroz irrigado'!$E51:$Z51,MIN(Q$6-$E$3,22))),0))-IF($G$2,0,IF((Q$6-$G$3)&lt;1,0,IFERROR(LOOKUP(2,1/('Arroz irrigado'!$E51:INDEX('Arroz irrigado'!$E51:$Z51,MIN(Q$6-$G$3,22))&lt;&gt;""),'Arroz irrigado'!$E51:INDEX('Arroz irrigado'!$E51:$Z51,MIN(Q$6-$G$3,22))),0)))))</f>
        <v>0</v>
      </c>
      <c r="R53" s="27" t="n">
        <f aca="false">IF(COUNT('Arroz irrigado'!$E51:$Z51)=0,0,MAX(0,IF((R$6-$E$3)&lt;1,0,IFERROR(LOOKUP(2,1/('Arroz irrigado'!$E51:INDEX('Arroz irrigado'!$E51:$Z51,MIN(R$6-$E$3,22))&lt;&gt;""),'Arroz irrigado'!$E51:INDEX('Arroz irrigado'!$E51:$Z51,MIN(R$6-$E$3,22))),0))-IF($G$2,0,IF((R$6-$G$3)&lt;1,0,IFERROR(LOOKUP(2,1/('Arroz irrigado'!$E51:INDEX('Arroz irrigado'!$E51:$Z51,MIN(R$6-$G$3,22))&lt;&gt;""),'Arroz irrigado'!$E51:INDEX('Arroz irrigado'!$E51:$Z51,MIN(R$6-$G$3,22))),0)))))</f>
        <v>0</v>
      </c>
      <c r="S53" s="27" t="n">
        <f aca="false">IF(COUNT('Arroz irrigado'!$E51:$Z51)=0,0,MAX(0,IF((S$6-$E$3)&lt;1,0,IFERROR(LOOKUP(2,1/('Arroz irrigado'!$E51:INDEX('Arroz irrigado'!$E51:$Z51,MIN(S$6-$E$3,22))&lt;&gt;""),'Arroz irrigado'!$E51:INDEX('Arroz irrigado'!$E51:$Z51,MIN(S$6-$E$3,22))),0))-IF($G$2,0,IF((S$6-$G$3)&lt;1,0,IFERROR(LOOKUP(2,1/('Arroz irrigado'!$E51:INDEX('Arroz irrigado'!$E51:$Z51,MIN(S$6-$G$3,22))&lt;&gt;""),'Arroz irrigado'!$E51:INDEX('Arroz irrigado'!$E51:$Z51,MIN(S$6-$G$3,22))),0)))))</f>
        <v>0</v>
      </c>
      <c r="T53" s="27" t="n">
        <f aca="false">IF(COUNT('Arroz irrigado'!$E51:$Z51)=0,0,MAX(0,IF((T$6-$E$3)&lt;1,0,IFERROR(LOOKUP(2,1/('Arroz irrigado'!$E51:INDEX('Arroz irrigado'!$E51:$Z51,MIN(T$6-$E$3,22))&lt;&gt;""),'Arroz irrigado'!$E51:INDEX('Arroz irrigado'!$E51:$Z51,MIN(T$6-$E$3,22))),0))-IF($G$2,0,IF((T$6-$G$3)&lt;1,0,IFERROR(LOOKUP(2,1/('Arroz irrigado'!$E51:INDEX('Arroz irrigado'!$E51:$Z51,MIN(T$6-$G$3,22))&lt;&gt;""),'Arroz irrigado'!$E51:INDEX('Arroz irrigado'!$E51:$Z51,MIN(T$6-$G$3,22))),0)))))</f>
        <v>0</v>
      </c>
      <c r="U53" s="27" t="n">
        <f aca="false">IF(COUNT('Arroz irrigado'!$E51:$Z51)=0,0,MAX(0,IF((U$6-$E$3)&lt;1,0,IFERROR(LOOKUP(2,1/('Arroz irrigado'!$E51:INDEX('Arroz irrigado'!$E51:$Z51,MIN(U$6-$E$3,22))&lt;&gt;""),'Arroz irrigado'!$E51:INDEX('Arroz irrigado'!$E51:$Z51,MIN(U$6-$E$3,22))),0))-IF($G$2,0,IF((U$6-$G$3)&lt;1,0,IFERROR(LOOKUP(2,1/('Arroz irrigado'!$E51:INDEX('Arroz irrigado'!$E51:$Z51,MIN(U$6-$G$3,22))&lt;&gt;""),'Arroz irrigado'!$E51:INDEX('Arroz irrigado'!$E51:$Z51,MIN(U$6-$G$3,22))),0)))))</f>
        <v>0</v>
      </c>
      <c r="V53" s="27" t="n">
        <f aca="false">IF(COUNT('Arroz irrigado'!$E51:$Z51)=0,0,MAX(0,IF((V$6-$E$3)&lt;1,0,IFERROR(LOOKUP(2,1/('Arroz irrigado'!$E51:INDEX('Arroz irrigado'!$E51:$Z51,MIN(V$6-$E$3,22))&lt;&gt;""),'Arroz irrigado'!$E51:INDEX('Arroz irrigado'!$E51:$Z51,MIN(V$6-$E$3,22))),0))-IF($G$2,0,IF((V$6-$G$3)&lt;1,0,IFERROR(LOOKUP(2,1/('Arroz irrigado'!$E51:INDEX('Arroz irrigado'!$E51:$Z51,MIN(V$6-$G$3,22))&lt;&gt;""),'Arroz irrigado'!$E51:INDEX('Arroz irrigado'!$E51:$Z51,MIN(V$6-$G$3,22))),0)))))</f>
        <v>0</v>
      </c>
      <c r="W53" s="27" t="n">
        <f aca="false">IF(COUNT('Arroz irrigado'!$E51:$Z51)=0,0,MAX(0,IF((W$6-$E$3)&lt;1,0,IFERROR(LOOKUP(2,1/('Arroz irrigado'!$E51:INDEX('Arroz irrigado'!$E51:$Z51,MIN(W$6-$E$3,22))&lt;&gt;""),'Arroz irrigado'!$E51:INDEX('Arroz irrigado'!$E51:$Z51,MIN(W$6-$E$3,22))),0))-IF($G$2,0,IF((W$6-$G$3)&lt;1,0,IFERROR(LOOKUP(2,1/('Arroz irrigado'!$E51:INDEX('Arroz irrigado'!$E51:$Z51,MIN(W$6-$G$3,22))&lt;&gt;""),'Arroz irrigado'!$E51:INDEX('Arroz irrigado'!$E51:$Z51,MIN(W$6-$G$3,22))),0)))))</f>
        <v>0</v>
      </c>
      <c r="X53" s="27" t="n">
        <f aca="false">IF(COUNT('Arroz irrigado'!$E51:$Z51)=0,0,MAX(0,IF((X$6-$E$3)&lt;1,0,IFERROR(LOOKUP(2,1/('Arroz irrigado'!$E51:INDEX('Arroz irrigado'!$E51:$Z51,MIN(X$6-$E$3,22))&lt;&gt;""),'Arroz irrigado'!$E51:INDEX('Arroz irrigado'!$E51:$Z51,MIN(X$6-$E$3,22))),0))-IF($G$2,0,IF((X$6-$G$3)&lt;1,0,IFERROR(LOOKUP(2,1/('Arroz irrigado'!$E51:INDEX('Arroz irrigado'!$E51:$Z51,MIN(X$6-$G$3,22))&lt;&gt;""),'Arroz irrigado'!$E51:INDEX('Arroz irrigado'!$E51:$Z51,MIN(X$6-$G$3,22))),0)))))</f>
        <v>0</v>
      </c>
      <c r="Y53" s="27" t="n">
        <f aca="false">IF(COUNT('Arroz irrigado'!$E51:$Z51)=0,0,MAX(0,IF((Y$6-$E$3)&lt;1,0,IFERROR(LOOKUP(2,1/('Arroz irrigado'!$E51:INDEX('Arroz irrigado'!$E51:$Z51,MIN(Y$6-$E$3,22))&lt;&gt;""),'Arroz irrigado'!$E51:INDEX('Arroz irrigado'!$E51:$Z51,MIN(Y$6-$E$3,22))),0))-IF($G$2,0,IF((Y$6-$G$3)&lt;1,0,IFERROR(LOOKUP(2,1/('Arroz irrigado'!$E51:INDEX('Arroz irrigado'!$E51:$Z51,MIN(Y$6-$G$3,22))&lt;&gt;""),'Arroz irrigado'!$E51:INDEX('Arroz irrigado'!$E51:$Z51,MIN(Y$6-$G$3,22))),0)))))</f>
        <v>0</v>
      </c>
      <c r="Z53" s="27" t="n">
        <f aca="false">IF(COUNT('Arroz irrigado'!$E51:$Z51)=0,0,MAX(0,IF((Z$6-$E$3)&lt;1,0,IFERROR(LOOKUP(2,1/('Arroz irrigado'!$E51:INDEX('Arroz irrigado'!$E51:$Z51,MIN(Z$6-$E$3,22))&lt;&gt;""),'Arroz irrigado'!$E51:INDEX('Arroz irrigado'!$E51:$Z51,MIN(Z$6-$E$3,22))),0))-IF($G$2,0,IF((Z$6-$G$3)&lt;1,0,IFERROR(LOOKUP(2,1/('Arroz irrigado'!$E51:INDEX('Arroz irrigado'!$E51:$Z51,MIN(Z$6-$G$3,22))&lt;&gt;""),'Arroz irrigado'!$E51:INDEX('Arroz irrigado'!$E51:$Z51,MIN(Z$6-$G$3,22))),0)))))</f>
        <v>0</v>
      </c>
      <c r="AA53" s="27" t="n">
        <f aca="false">IF(COUNT('Arroz irrigado'!$E51:$Z51)=0,0,MAX(0,IF((AA$6-$E$3)&lt;1,0,IFERROR(LOOKUP(2,1/('Arroz irrigado'!$E51:INDEX('Arroz irrigado'!$E51:$Z51,MIN(AA$6-$E$3,22))&lt;&gt;""),'Arroz irrigado'!$E51:INDEX('Arroz irrigado'!$E51:$Z51,MIN(AA$6-$E$3,22))),0))-IF($G$2,0,IF((AA$6-$G$3)&lt;1,0,IFERROR(LOOKUP(2,1/('Arroz irrigado'!$E51:INDEX('Arroz irrigado'!$E51:$Z51,MIN(AA$6-$G$3,22))&lt;&gt;""),'Arroz irrigado'!$E51:INDEX('Arroz irrigado'!$E51:$Z51,MIN(AA$6-$G$3,22))),0)))))</f>
        <v>0</v>
      </c>
      <c r="AB53" s="27" t="n">
        <f aca="false">IF(COUNT('Arroz irrigado'!$E51:$Z51)=0,0,MAX(0,IF((AB$6-$E$3)&lt;1,0,IFERROR(LOOKUP(2,1/('Arroz irrigado'!$E51:INDEX('Arroz irrigado'!$E51:$Z51,MIN(AB$6-$E$3,22))&lt;&gt;""),'Arroz irrigado'!$E51:INDEX('Arroz irrigado'!$E51:$Z51,MIN(AB$6-$E$3,22))),0))-IF($G$2,0,IF((AB$6-$G$3)&lt;1,0,IFERROR(LOOKUP(2,1/('Arroz irrigado'!$E51:INDEX('Arroz irrigado'!$E51:$Z51,MIN(AB$6-$G$3,22))&lt;&gt;""),'Arroz irrigado'!$E51:INDEX('Arroz irrigado'!$E51:$Z51,MIN(AB$6-$G$3,22))),0)))))</f>
        <v>0</v>
      </c>
      <c r="AC53" s="27" t="n">
        <f aca="false">IF(COUNT('Arroz irrigado'!$E51:$Z51)=0,0,MAX(0,IF((AC$6-$E$3)&lt;1,0,IFERROR(LOOKUP(2,1/('Arroz irrigado'!$E51:INDEX('Arroz irrigado'!$E51:$Z51,MIN(AC$6-$E$3,22))&lt;&gt;""),'Arroz irrigado'!$E51:INDEX('Arroz irrigado'!$E51:$Z51,MIN(AC$6-$E$3,22))),0))-IF($G$2,0,IF((AC$6-$G$3)&lt;1,0,IFERROR(LOOKUP(2,1/('Arroz irrigado'!$E51:INDEX('Arroz irrigado'!$E51:$Z51,MIN(AC$6-$G$3,22))&lt;&gt;""),'Arroz irrigado'!$E51:INDEX('Arroz irrigado'!$E51:$Z51,MIN(AC$6-$G$3,22))),0)))))</f>
        <v>0</v>
      </c>
      <c r="AD53" s="27" t="n">
        <f aca="false">IF(COUNT('Arroz irrigado'!$E51:$Z51)=0,0,MAX(0,IF((AD$6-$E$3)&lt;1,0,IFERROR(LOOKUP(2,1/('Arroz irrigado'!$E51:INDEX('Arroz irrigado'!$E51:$Z51,MIN(AD$6-$E$3,22))&lt;&gt;""),'Arroz irrigado'!$E51:INDEX('Arroz irrigado'!$E51:$Z51,MIN(AD$6-$E$3,22))),0))-IF($G$2,0,IF((AD$6-$G$3)&lt;1,0,IFERROR(LOOKUP(2,1/('Arroz irrigado'!$E51:INDEX('Arroz irrigado'!$E51:$Z51,MIN(AD$6-$G$3,22))&lt;&gt;""),'Arroz irrigado'!$E51:INDEX('Arroz irrigado'!$E51:$Z51,MIN(AD$6-$G$3,22))),0)))))</f>
        <v>0</v>
      </c>
      <c r="AE53" s="27" t="n">
        <f aca="false">IF(COUNT('Arroz irrigado'!$E51:$Z51)=0,0,MAX(0,IF((AE$6-$E$3)&lt;1,0,IFERROR(LOOKUP(2,1/('Arroz irrigado'!$E51:INDEX('Arroz irrigado'!$E51:$Z51,MIN(AE$6-$E$3,22))&lt;&gt;""),'Arroz irrigado'!$E51:INDEX('Arroz irrigado'!$E51:$Z51,MIN(AE$6-$E$3,22))),0))-IF($G$2,0,IF((AE$6-$G$3)&lt;1,0,IFERROR(LOOKUP(2,1/('Arroz irrigado'!$E51:INDEX('Arroz irrigado'!$E51:$Z51,MIN(AE$6-$G$3,22))&lt;&gt;""),'Arroz irrigado'!$E51:INDEX('Arroz irrigado'!$E51:$Z51,MIN(AE$6-$G$3,22))),0)))))</f>
        <v>0</v>
      </c>
      <c r="AF53" s="27" t="n">
        <f aca="false">IF(COUNT('Arroz irrigado'!$E51:$Z51)=0,0,MAX(0,IF((AF$6-$E$3)&lt;1,0,IFERROR(LOOKUP(2,1/('Arroz irrigado'!$E51:INDEX('Arroz irrigado'!$E51:$Z51,MIN(AF$6-$E$3,22))&lt;&gt;""),'Arroz irrigado'!$E51:INDEX('Arroz irrigado'!$E51:$Z51,MIN(AF$6-$E$3,22))),0))-IF($G$2,0,IF((AF$6-$G$3)&lt;1,0,IFERROR(LOOKUP(2,1/('Arroz irrigado'!$E51:INDEX('Arroz irrigado'!$E51:$Z51,MIN(AF$6-$G$3,22))&lt;&gt;""),'Arroz irrigado'!$E51:INDEX('Arroz irrigado'!$E51:$Z51,MIN(AF$6-$G$3,22))),0)))))</f>
        <v>0</v>
      </c>
      <c r="AG53" s="27" t="n">
        <f aca="false">IF(COUNT('Arroz irrigado'!$E51:$Z51)=0,0,MAX(0,IF((AG$6-$E$3)&lt;1,0,IFERROR(LOOKUP(2,1/('Arroz irrigado'!$E51:INDEX('Arroz irrigado'!$E51:$Z51,MIN(AG$6-$E$3,22))&lt;&gt;""),'Arroz irrigado'!$E51:INDEX('Arroz irrigado'!$E51:$Z51,MIN(AG$6-$E$3,22))),0))-IF($G$2,0,IF((AG$6-$G$3)&lt;1,0,IFERROR(LOOKUP(2,1/('Arroz irrigado'!$E51:INDEX('Arroz irrigado'!$E51:$Z51,MIN(AG$6-$G$3,22))&lt;&gt;""),'Arroz irrigado'!$E51:INDEX('Arroz irrigado'!$E51:$Z51,MIN(AG$6-$G$3,22))),0)))))</f>
        <v>0</v>
      </c>
      <c r="AH53" s="27" t="n">
        <f aca="false">IF(COUNT('Arroz irrigado'!$E51:$Z51)=0,0,MAX(0,IF((AH$6-$E$3)&lt;1,0,IFERROR(LOOKUP(2,1/('Arroz irrigado'!$E51:INDEX('Arroz irrigado'!$E51:$Z51,MIN(AH$6-$E$3,22))&lt;&gt;""),'Arroz irrigado'!$E51:INDEX('Arroz irrigado'!$E51:$Z51,MIN(AH$6-$E$3,22))),0))-IF($G$2,0,IF((AH$6-$G$3)&lt;1,0,IFERROR(LOOKUP(2,1/('Arroz irrigado'!$E51:INDEX('Arroz irrigado'!$E51:$Z51,MIN(AH$6-$G$3,22))&lt;&gt;""),'Arroz irrigado'!$E51:INDEX('Arroz irrigado'!$E51:$Z51,MIN(AH$6-$G$3,22))),0)))))</f>
        <v>0</v>
      </c>
      <c r="AI53" s="27" t="n">
        <f aca="false">IF(COUNT('Arroz irrigado'!$E51:$Z51)=0,0,MAX(0,IF((AI$6-$E$3)&lt;1,0,IFERROR(LOOKUP(2,1/('Arroz irrigado'!$E51:INDEX('Arroz irrigado'!$E51:$Z51,MIN(AI$6-$E$3,22))&lt;&gt;""),'Arroz irrigado'!$E51:INDEX('Arroz irrigado'!$E51:$Z51,MIN(AI$6-$E$3,22))),0))-IF($G$2,0,IF((AI$6-$G$3)&lt;1,0,IFERROR(LOOKUP(2,1/('Arroz irrigado'!$E51:INDEX('Arroz irrigado'!$E51:$Z51,MIN(AI$6-$G$3,22))&lt;&gt;""),'Arroz irrigado'!$E51:INDEX('Arroz irrigado'!$E51:$Z51,MIN(AI$6-$G$3,22))),0)))))</f>
        <v>0</v>
      </c>
      <c r="AJ53" s="27" t="n">
        <f aca="false">IF(COUNT('Arroz irrigado'!$E51:$Z51)=0,0,MAX(0,IF((AJ$6-$E$3)&lt;1,0,IFERROR(LOOKUP(2,1/('Arroz irrigado'!$E51:INDEX('Arroz irrigado'!$E51:$Z51,MIN(AJ$6-$E$3,22))&lt;&gt;""),'Arroz irrigado'!$E51:INDEX('Arroz irrigado'!$E51:$Z51,MIN(AJ$6-$E$3,22))),0))-IF($G$2,0,IF((AJ$6-$G$3)&lt;1,0,IFERROR(LOOKUP(2,1/('Arroz irrigado'!$E51:INDEX('Arroz irrigado'!$E51:$Z51,MIN(AJ$6-$G$3,22))&lt;&gt;""),'Arroz irrigado'!$E51:INDEX('Arroz irrigado'!$E51:$Z51,MIN(AJ$6-$G$3,22))),0)))))</f>
        <v>0</v>
      </c>
      <c r="AK53" s="27" t="n">
        <f aca="false">IF(COUNT('Arroz irrigado'!$E51:$Z51)=0,0,MAX(0,IF((AK$6-$E$3)&lt;1,0,IFERROR(LOOKUP(2,1/('Arroz irrigado'!$E51:INDEX('Arroz irrigado'!$E51:$Z51,MIN(AK$6-$E$3,22))&lt;&gt;""),'Arroz irrigado'!$E51:INDEX('Arroz irrigado'!$E51:$Z51,MIN(AK$6-$E$3,22))),0))-IF($G$2,0,IF((AK$6-$G$3)&lt;1,0,IFERROR(LOOKUP(2,1/('Arroz irrigado'!$E51:INDEX('Arroz irrigado'!$E51:$Z51,MIN(AK$6-$G$3,22))&lt;&gt;""),'Arroz irrigado'!$E51:INDEX('Arroz irrigado'!$E51:$Z51,MIN(AK$6-$G$3,22))),0)))))</f>
        <v>0</v>
      </c>
      <c r="AL53" s="27" t="n">
        <f aca="false">IF(COUNT('Arroz irrigado'!$E51:$Z51)=0,0,MAX(0,IF((AL$6-$E$3)&lt;1,0,IFERROR(LOOKUP(2,1/('Arroz irrigado'!$E51:INDEX('Arroz irrigado'!$E51:$Z51,MIN(AL$6-$E$3,22))&lt;&gt;""),'Arroz irrigado'!$E51:INDEX('Arroz irrigado'!$E51:$Z51,MIN(AL$6-$E$3,22))),0))-IF($G$2,0,IF((AL$6-$G$3)&lt;1,0,IFERROR(LOOKUP(2,1/('Arroz irrigado'!$E51:INDEX('Arroz irrigado'!$E51:$Z51,MIN(AL$6-$G$3,22))&lt;&gt;""),'Arroz irrigado'!$E51:INDEX('Arroz irrigado'!$E51:$Z51,MIN(AL$6-$G$3,22))),0)))))</f>
        <v>0</v>
      </c>
      <c r="AM53" s="27" t="n">
        <f aca="false">IF(COUNT('Arroz irrigado'!$E51:$Z51)=0,0,MAX(0,IF((AM$6-$E$3)&lt;1,0,IFERROR(LOOKUP(2,1/('Arroz irrigado'!$E51:INDEX('Arroz irrigado'!$E51:$Z51,MIN(AM$6-$E$3,22))&lt;&gt;""),'Arroz irrigado'!$E51:INDEX('Arroz irrigado'!$E51:$Z51,MIN(AM$6-$E$3,22))),0))-IF($G$2,0,IF((AM$6-$G$3)&lt;1,0,IFERROR(LOOKUP(2,1/('Arroz irrigado'!$E51:INDEX('Arroz irrigado'!$E51:$Z51,MIN(AM$6-$G$3,22))&lt;&gt;""),'Arroz irrigado'!$E51:INDEX('Arroz irrigado'!$E51:$Z51,MIN(AM$6-$G$3,22))),0)))))</f>
        <v>0</v>
      </c>
      <c r="AN53" s="27" t="n">
        <f aca="false">IF(COUNT('Arroz irrigado'!$E51:$Z51)=0,0,MAX(0,IF((AN$6-$E$3)&lt;1,0,IFERROR(LOOKUP(2,1/('Arroz irrigado'!$E51:INDEX('Arroz irrigado'!$E51:$Z51,MIN(AN$6-$E$3,22))&lt;&gt;""),'Arroz irrigado'!$E51:INDEX('Arroz irrigado'!$E51:$Z51,MIN(AN$6-$E$3,22))),0))-IF($G$2,0,IF((AN$6-$G$3)&lt;1,0,IFERROR(LOOKUP(2,1/('Arroz irrigado'!$E51:INDEX('Arroz irrigado'!$E51:$Z51,MIN(AN$6-$G$3,22))&lt;&gt;""),'Arroz irrigado'!$E51:INDEX('Arroz irrigado'!$E51:$Z51,MIN(AN$6-$G$3,22))),0)))))</f>
        <v>0</v>
      </c>
      <c r="AO53" s="27" t="n">
        <f aca="false">IF(COUNT('Arroz irrigado'!$E51:$Z51)=0,0,MAX(0,IF((AO$6-$E$3)&lt;1,0,IFERROR(LOOKUP(2,1/('Arroz irrigado'!$E51:INDEX('Arroz irrigado'!$E51:$Z51,MIN(AO$6-$E$3,22))&lt;&gt;""),'Arroz irrigado'!$E51:INDEX('Arroz irrigado'!$E51:$Z51,MIN(AO$6-$E$3,22))),0))-IF($G$2,0,IF((AO$6-$G$3)&lt;1,0,IFERROR(LOOKUP(2,1/('Arroz irrigado'!$E51:INDEX('Arroz irrigado'!$E51:$Z51,MIN(AO$6-$G$3,22))&lt;&gt;""),'Arroz irrigado'!$E51:INDEX('Arroz irrigado'!$E51:$Z51,MIN(AO$6-$G$3,22))),0)))))</f>
        <v>0</v>
      </c>
      <c r="AP53" s="27" t="n">
        <f aca="false">IF(COUNT('Arroz irrigado'!$E51:$Z51)=0,0,MAX(0,IF((AP$6-$E$3)&lt;1,0,IFERROR(LOOKUP(2,1/('Arroz irrigado'!$E51:INDEX('Arroz irrigado'!$E51:$Z51,MIN(AP$6-$E$3,22))&lt;&gt;""),'Arroz irrigado'!$E51:INDEX('Arroz irrigado'!$E51:$Z51,MIN(AP$6-$E$3,22))),0))-IF($G$2,0,IF((AP$6-$G$3)&lt;1,0,IFERROR(LOOKUP(2,1/('Arroz irrigado'!$E51:INDEX('Arroz irrigado'!$E51:$Z51,MIN(AP$6-$G$3,22))&lt;&gt;""),'Arroz irrigado'!$E51:INDEX('Arroz irrigado'!$E51:$Z51,MIN(AP$6-$G$3,22))),0)))))</f>
        <v>0</v>
      </c>
      <c r="AQ53" s="27" t="n">
        <f aca="false">IF(COUNT('Arroz irrigado'!$E51:$Z51)=0,0,MAX(0,IF((AQ$6-$E$3)&lt;1,0,IFERROR(LOOKUP(2,1/('Arroz irrigado'!$E51:INDEX('Arroz irrigado'!$E51:$Z51,MIN(AQ$6-$E$3,22))&lt;&gt;""),'Arroz irrigado'!$E51:INDEX('Arroz irrigado'!$E51:$Z51,MIN(AQ$6-$E$3,22))),0))-IF($G$2,0,IF((AQ$6-$G$3)&lt;1,0,IFERROR(LOOKUP(2,1/('Arroz irrigado'!$E51:INDEX('Arroz irrigado'!$E51:$Z51,MIN(AQ$6-$G$3,22))&lt;&gt;""),'Arroz irrigado'!$E51:INDEX('Arroz irrigado'!$E51:$Z51,MIN(AQ$6-$G$3,22))),0)))))</f>
        <v>0</v>
      </c>
      <c r="AR53" s="27" t="n">
        <f aca="false">IF(COUNT('Arroz irrigado'!$E51:$Z51)=0,0,MAX(0,IF((AR$6-$E$3)&lt;1,0,IFERROR(LOOKUP(2,1/('Arroz irrigado'!$E51:INDEX('Arroz irrigado'!$E51:$Z51,MIN(AR$6-$E$3,22))&lt;&gt;""),'Arroz irrigado'!$E51:INDEX('Arroz irrigado'!$E51:$Z51,MIN(AR$6-$E$3,22))),0))-IF($G$2,0,IF((AR$6-$G$3)&lt;1,0,IFERROR(LOOKUP(2,1/('Arroz irrigado'!$E51:INDEX('Arroz irrigado'!$E51:$Z51,MIN(AR$6-$G$3,22))&lt;&gt;""),'Arroz irrigado'!$E51:INDEX('Arroz irrigado'!$E51:$Z51,MIN(AR$6-$G$3,22))),0)))))</f>
        <v>0</v>
      </c>
      <c r="AS53" s="27" t="n">
        <f aca="false">IF(COUNT('Arroz irrigado'!$E51:$Z51)=0,0,MAX(0,IF((AS$6-$E$3)&lt;1,0,IFERROR(LOOKUP(2,1/('Arroz irrigado'!$E51:INDEX('Arroz irrigado'!$E51:$Z51,MIN(AS$6-$E$3,22))&lt;&gt;""),'Arroz irrigado'!$E51:INDEX('Arroz irrigado'!$E51:$Z51,MIN(AS$6-$E$3,22))),0))-IF($G$2,0,IF((AS$6-$G$3)&lt;1,0,IFERROR(LOOKUP(2,1/('Arroz irrigado'!$E51:INDEX('Arroz irrigado'!$E51:$Z51,MIN(AS$6-$G$3,22))&lt;&gt;""),'Arroz irrigado'!$E51:INDEX('Arroz irrigado'!$E51:$Z51,MIN(AS$6-$G$3,22))),0)))))</f>
        <v>0</v>
      </c>
      <c r="AT53" s="27" t="n">
        <f aca="false">IF(COUNT('Arroz irrigado'!$E51:$Z51)=0,0,MAX(0,IF((AT$6-$E$3)&lt;1,0,IFERROR(LOOKUP(2,1/('Arroz irrigado'!$E51:INDEX('Arroz irrigado'!$E51:$Z51,MIN(AT$6-$E$3,22))&lt;&gt;""),'Arroz irrigado'!$E51:INDEX('Arroz irrigado'!$E51:$Z51,MIN(AT$6-$E$3,22))),0))-IF($G$2,0,IF((AT$6-$G$3)&lt;1,0,IFERROR(LOOKUP(2,1/('Arroz irrigado'!$E51:INDEX('Arroz irrigado'!$E51:$Z51,MIN(AT$6-$G$3,22))&lt;&gt;""),'Arroz irrigado'!$E51:INDEX('Arroz irrigado'!$E51:$Z51,MIN(AT$6-$G$3,22))),0)))))</f>
        <v>0</v>
      </c>
      <c r="AU53" s="27" t="n">
        <f aca="false">IF(COUNT('Arroz irrigado'!$E51:$Z51)=0,0,MAX(0,IF((AU$6-$E$3)&lt;1,0,IFERROR(LOOKUP(2,1/('Arroz irrigado'!$E51:INDEX('Arroz irrigado'!$E51:$Z51,MIN(AU$6-$E$3,22))&lt;&gt;""),'Arroz irrigado'!$E51:INDEX('Arroz irrigado'!$E51:$Z51,MIN(AU$6-$E$3,22))),0))-IF($G$2,0,IF((AU$6-$G$3)&lt;1,0,IFERROR(LOOKUP(2,1/('Arroz irrigado'!$E51:INDEX('Arroz irrigado'!$E51:$Z51,MIN(AU$6-$G$3,22))&lt;&gt;""),'Arroz irrigado'!$E51:INDEX('Arroz irrigado'!$E51:$Z51,MIN(AU$6-$G$3,22))),0)))))</f>
        <v>0</v>
      </c>
      <c r="AV53" s="27" t="n">
        <f aca="false">IF(COUNT('Arroz irrigado'!$E51:$Z51)=0,0,MAX(0,IF((AV$6-$E$3)&lt;1,0,IFERROR(LOOKUP(2,1/('Arroz irrigado'!$E51:INDEX('Arroz irrigado'!$E51:$Z51,MIN(AV$6-$E$3,22))&lt;&gt;""),'Arroz irrigado'!$E51:INDEX('Arroz irrigado'!$E51:$Z51,MIN(AV$6-$E$3,22))),0))-IF($G$2,0,IF((AV$6-$G$3)&lt;1,0,IFERROR(LOOKUP(2,1/('Arroz irrigado'!$E51:INDEX('Arroz irrigado'!$E51:$Z51,MIN(AV$6-$G$3,22))&lt;&gt;""),'Arroz irrigado'!$E51:INDEX('Arroz irrigado'!$E51:$Z51,MIN(AV$6-$G$3,22))),0)))))</f>
        <v>0</v>
      </c>
      <c r="AW53" s="27" t="n">
        <f aca="false">IF(COUNT('Arroz irrigado'!$E51:$Z51)=0,0,MAX(0,IF((AW$6-$E$3)&lt;1,0,IFERROR(LOOKUP(2,1/('Arroz irrigado'!$E51:INDEX('Arroz irrigado'!$E51:$Z51,MIN(AW$6-$E$3,22))&lt;&gt;""),'Arroz irrigado'!$E51:INDEX('Arroz irrigado'!$E51:$Z51,MIN(AW$6-$E$3,22))),0))-IF($G$2,0,IF((AW$6-$G$3)&lt;1,0,IFERROR(LOOKUP(2,1/('Arroz irrigado'!$E51:INDEX('Arroz irrigado'!$E51:$Z51,MIN(AW$6-$G$3,22))&lt;&gt;""),'Arroz irrigado'!$E51:INDEX('Arroz irrigado'!$E51:$Z51,MIN(AW$6-$G$3,22))),0)))))</f>
        <v>0</v>
      </c>
      <c r="AX53" s="27" t="n">
        <f aca="false">IF(COUNT('Arroz irrigado'!$E51:$Z51)=0,0,MAX(0,IF((AX$6-$E$3)&lt;1,0,IFERROR(LOOKUP(2,1/('Arroz irrigado'!$E51:INDEX('Arroz irrigado'!$E51:$Z51,MIN(AX$6-$E$3,22))&lt;&gt;""),'Arroz irrigado'!$E51:INDEX('Arroz irrigado'!$E51:$Z51,MIN(AX$6-$E$3,22))),0))-IF($G$2,0,IF((AX$6-$G$3)&lt;1,0,IFERROR(LOOKUP(2,1/('Arroz irrigado'!$E51:INDEX('Arroz irrigado'!$E51:$Z51,MIN(AX$6-$G$3,22))&lt;&gt;""),'Arroz irrigado'!$E51:INDEX('Arroz irrigado'!$E51:$Z51,MIN(AX$6-$G$3,22))),0)))))</f>
        <v>0</v>
      </c>
      <c r="AY53" s="27" t="n">
        <f aca="false">IF(COUNT('Arroz irrigado'!$E51:$Z51)=0,0,MAX(0,IF((AY$6-$E$3)&lt;1,0,IFERROR(LOOKUP(2,1/('Arroz irrigado'!$E51:INDEX('Arroz irrigado'!$E51:$Z51,MIN(AY$6-$E$3,22))&lt;&gt;""),'Arroz irrigado'!$E51:INDEX('Arroz irrigado'!$E51:$Z51,MIN(AY$6-$E$3,22))),0))-IF($G$2,0,IF((AY$6-$G$3)&lt;1,0,IFERROR(LOOKUP(2,1/('Arroz irrigado'!$E51:INDEX('Arroz irrigado'!$E51:$Z51,MIN(AY$6-$G$3,22))&lt;&gt;""),'Arroz irrigado'!$E51:INDEX('Arroz irrigado'!$E51:$Z51,MIN(AY$6-$G$3,22))),0)))))</f>
        <v>0</v>
      </c>
      <c r="AZ53" s="27" t="n">
        <f aca="false">IF(COUNT('Arroz irrigado'!$E51:$Z51)=0,0,MAX(0,IF((AZ$6-$E$3)&lt;1,0,IFERROR(LOOKUP(2,1/('Arroz irrigado'!$E51:INDEX('Arroz irrigado'!$E51:$Z51,MIN(AZ$6-$E$3,22))&lt;&gt;""),'Arroz irrigado'!$E51:INDEX('Arroz irrigado'!$E51:$Z51,MIN(AZ$6-$E$3,22))),0))-IF($G$2,0,IF((AZ$6-$G$3)&lt;1,0,IFERROR(LOOKUP(2,1/('Arroz irrigado'!$E51:INDEX('Arroz irrigado'!$E51:$Z51,MIN(AZ$6-$G$3,22))&lt;&gt;""),'Arroz irrigado'!$E51:INDEX('Arroz irrigado'!$E51:$Z51,MIN(AZ$6-$G$3,22))),0)))))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IF(COUNT('Arroz irrigado'!$E52:$Z52)&gt;0,N('Arroz irrigado'!$D52),0)</f>
        <v>0</v>
      </c>
      <c r="E54" s="27" t="n">
        <f aca="false">IF(COUNT('Arroz irrigado'!$E52:$Z52)=0,0,MAX(0,IF((E$6-$E$3)&lt;1,0,IFERROR(LOOKUP(2,1/('Arroz irrigado'!$E52:INDEX('Arroz irrigado'!$E52:$Z52,MIN(E$6-$E$3,22))&lt;&gt;""),'Arroz irrigado'!$E52:INDEX('Arroz irrigado'!$E52:$Z52,MIN(E$6-$E$3,22))),0))-IF($G$2,0,IF((E$6-$G$3)&lt;1,0,IFERROR(LOOKUP(2,1/('Arroz irrigado'!$E52:INDEX('Arroz irrigado'!$E52:$Z52,MIN(E$6-$G$3,22))&lt;&gt;""),'Arroz irrigado'!$E52:INDEX('Arroz irrigado'!$E52:$Z52,MIN(E$6-$G$3,22))),0)))))</f>
        <v>0</v>
      </c>
      <c r="F54" s="27" t="n">
        <f aca="false">IF(COUNT('Arroz irrigado'!$E52:$Z52)=0,0,MAX(0,IF((F$6-$E$3)&lt;1,0,IFERROR(LOOKUP(2,1/('Arroz irrigado'!$E52:INDEX('Arroz irrigado'!$E52:$Z52,MIN(F$6-$E$3,22))&lt;&gt;""),'Arroz irrigado'!$E52:INDEX('Arroz irrigado'!$E52:$Z52,MIN(F$6-$E$3,22))),0))-IF($G$2,0,IF((F$6-$G$3)&lt;1,0,IFERROR(LOOKUP(2,1/('Arroz irrigado'!$E52:INDEX('Arroz irrigado'!$E52:$Z52,MIN(F$6-$G$3,22))&lt;&gt;""),'Arroz irrigado'!$E52:INDEX('Arroz irrigado'!$E52:$Z52,MIN(F$6-$G$3,22))),0)))))</f>
        <v>0</v>
      </c>
      <c r="G54" s="27" t="n">
        <f aca="false">IF(COUNT('Arroz irrigado'!$E52:$Z52)=0,0,MAX(0,IF((G$6-$E$3)&lt;1,0,IFERROR(LOOKUP(2,1/('Arroz irrigado'!$E52:INDEX('Arroz irrigado'!$E52:$Z52,MIN(G$6-$E$3,22))&lt;&gt;""),'Arroz irrigado'!$E52:INDEX('Arroz irrigado'!$E52:$Z52,MIN(G$6-$E$3,22))),0))-IF($G$2,0,IF((G$6-$G$3)&lt;1,0,IFERROR(LOOKUP(2,1/('Arroz irrigado'!$E52:INDEX('Arroz irrigado'!$E52:$Z52,MIN(G$6-$G$3,22))&lt;&gt;""),'Arroz irrigado'!$E52:INDEX('Arroz irrigado'!$E52:$Z52,MIN(G$6-$G$3,22))),0)))))</f>
        <v>0</v>
      </c>
      <c r="H54" s="27" t="n">
        <f aca="false">IF(COUNT('Arroz irrigado'!$E52:$Z52)=0,0,MAX(0,IF((H$6-$E$3)&lt;1,0,IFERROR(LOOKUP(2,1/('Arroz irrigado'!$E52:INDEX('Arroz irrigado'!$E52:$Z52,MIN(H$6-$E$3,22))&lt;&gt;""),'Arroz irrigado'!$E52:INDEX('Arroz irrigado'!$E52:$Z52,MIN(H$6-$E$3,22))),0))-IF($G$2,0,IF((H$6-$G$3)&lt;1,0,IFERROR(LOOKUP(2,1/('Arroz irrigado'!$E52:INDEX('Arroz irrigado'!$E52:$Z52,MIN(H$6-$G$3,22))&lt;&gt;""),'Arroz irrigado'!$E52:INDEX('Arroz irrigado'!$E52:$Z52,MIN(H$6-$G$3,22))),0)))))</f>
        <v>0</v>
      </c>
      <c r="I54" s="27" t="n">
        <f aca="false">IF(COUNT('Arroz irrigado'!$E52:$Z52)=0,0,MAX(0,IF((I$6-$E$3)&lt;1,0,IFERROR(LOOKUP(2,1/('Arroz irrigado'!$E52:INDEX('Arroz irrigado'!$E52:$Z52,MIN(I$6-$E$3,22))&lt;&gt;""),'Arroz irrigado'!$E52:INDEX('Arroz irrigado'!$E52:$Z52,MIN(I$6-$E$3,22))),0))-IF($G$2,0,IF((I$6-$G$3)&lt;1,0,IFERROR(LOOKUP(2,1/('Arroz irrigado'!$E52:INDEX('Arroz irrigado'!$E52:$Z52,MIN(I$6-$G$3,22))&lt;&gt;""),'Arroz irrigado'!$E52:INDEX('Arroz irrigado'!$E52:$Z52,MIN(I$6-$G$3,22))),0)))))</f>
        <v>0</v>
      </c>
      <c r="J54" s="27" t="n">
        <f aca="false">IF(COUNT('Arroz irrigado'!$E52:$Z52)=0,0,MAX(0,IF((J$6-$E$3)&lt;1,0,IFERROR(LOOKUP(2,1/('Arroz irrigado'!$E52:INDEX('Arroz irrigado'!$E52:$Z52,MIN(J$6-$E$3,22))&lt;&gt;""),'Arroz irrigado'!$E52:INDEX('Arroz irrigado'!$E52:$Z52,MIN(J$6-$E$3,22))),0))-IF($G$2,0,IF((J$6-$G$3)&lt;1,0,IFERROR(LOOKUP(2,1/('Arroz irrigado'!$E52:INDEX('Arroz irrigado'!$E52:$Z52,MIN(J$6-$G$3,22))&lt;&gt;""),'Arroz irrigado'!$E52:INDEX('Arroz irrigado'!$E52:$Z52,MIN(J$6-$G$3,22))),0)))))</f>
        <v>0</v>
      </c>
      <c r="K54" s="27" t="n">
        <f aca="false">IF(COUNT('Arroz irrigado'!$E52:$Z52)=0,0,MAX(0,IF((K$6-$E$3)&lt;1,0,IFERROR(LOOKUP(2,1/('Arroz irrigado'!$E52:INDEX('Arroz irrigado'!$E52:$Z52,MIN(K$6-$E$3,22))&lt;&gt;""),'Arroz irrigado'!$E52:INDEX('Arroz irrigado'!$E52:$Z52,MIN(K$6-$E$3,22))),0))-IF($G$2,0,IF((K$6-$G$3)&lt;1,0,IFERROR(LOOKUP(2,1/('Arroz irrigado'!$E52:INDEX('Arroz irrigado'!$E52:$Z52,MIN(K$6-$G$3,22))&lt;&gt;""),'Arroz irrigado'!$E52:INDEX('Arroz irrigado'!$E52:$Z52,MIN(K$6-$G$3,22))),0)))))</f>
        <v>0</v>
      </c>
      <c r="L54" s="27" t="n">
        <f aca="false">IF(COUNT('Arroz irrigado'!$E52:$Z52)=0,0,MAX(0,IF((L$6-$E$3)&lt;1,0,IFERROR(LOOKUP(2,1/('Arroz irrigado'!$E52:INDEX('Arroz irrigado'!$E52:$Z52,MIN(L$6-$E$3,22))&lt;&gt;""),'Arroz irrigado'!$E52:INDEX('Arroz irrigado'!$E52:$Z52,MIN(L$6-$E$3,22))),0))-IF($G$2,0,IF((L$6-$G$3)&lt;1,0,IFERROR(LOOKUP(2,1/('Arroz irrigado'!$E52:INDEX('Arroz irrigado'!$E52:$Z52,MIN(L$6-$G$3,22))&lt;&gt;""),'Arroz irrigado'!$E52:INDEX('Arroz irrigado'!$E52:$Z52,MIN(L$6-$G$3,22))),0)))))</f>
        <v>0</v>
      </c>
      <c r="M54" s="27" t="n">
        <f aca="false">IF(COUNT('Arroz irrigado'!$E52:$Z52)=0,0,MAX(0,IF((M$6-$E$3)&lt;1,0,IFERROR(LOOKUP(2,1/('Arroz irrigado'!$E52:INDEX('Arroz irrigado'!$E52:$Z52,MIN(M$6-$E$3,22))&lt;&gt;""),'Arroz irrigado'!$E52:INDEX('Arroz irrigado'!$E52:$Z52,MIN(M$6-$E$3,22))),0))-IF($G$2,0,IF((M$6-$G$3)&lt;1,0,IFERROR(LOOKUP(2,1/('Arroz irrigado'!$E52:INDEX('Arroz irrigado'!$E52:$Z52,MIN(M$6-$G$3,22))&lt;&gt;""),'Arroz irrigado'!$E52:INDEX('Arroz irrigado'!$E52:$Z52,MIN(M$6-$G$3,22))),0)))))</f>
        <v>0</v>
      </c>
      <c r="N54" s="27" t="n">
        <f aca="false">IF(COUNT('Arroz irrigado'!$E52:$Z52)=0,0,MAX(0,IF((N$6-$E$3)&lt;1,0,IFERROR(LOOKUP(2,1/('Arroz irrigado'!$E52:INDEX('Arroz irrigado'!$E52:$Z52,MIN(N$6-$E$3,22))&lt;&gt;""),'Arroz irrigado'!$E52:INDEX('Arroz irrigado'!$E52:$Z52,MIN(N$6-$E$3,22))),0))-IF($G$2,0,IF((N$6-$G$3)&lt;1,0,IFERROR(LOOKUP(2,1/('Arroz irrigado'!$E52:INDEX('Arroz irrigado'!$E52:$Z52,MIN(N$6-$G$3,22))&lt;&gt;""),'Arroz irrigado'!$E52:INDEX('Arroz irrigado'!$E52:$Z52,MIN(N$6-$G$3,22))),0)))))</f>
        <v>0</v>
      </c>
      <c r="O54" s="27" t="n">
        <f aca="false">IF(COUNT('Arroz irrigado'!$E52:$Z52)=0,0,MAX(0,IF((O$6-$E$3)&lt;1,0,IFERROR(LOOKUP(2,1/('Arroz irrigado'!$E52:INDEX('Arroz irrigado'!$E52:$Z52,MIN(O$6-$E$3,22))&lt;&gt;""),'Arroz irrigado'!$E52:INDEX('Arroz irrigado'!$E52:$Z52,MIN(O$6-$E$3,22))),0))-IF($G$2,0,IF((O$6-$G$3)&lt;1,0,IFERROR(LOOKUP(2,1/('Arroz irrigado'!$E52:INDEX('Arroz irrigado'!$E52:$Z52,MIN(O$6-$G$3,22))&lt;&gt;""),'Arroz irrigado'!$E52:INDEX('Arroz irrigado'!$E52:$Z52,MIN(O$6-$G$3,22))),0)))))</f>
        <v>0</v>
      </c>
      <c r="P54" s="27" t="n">
        <f aca="false">IF(COUNT('Arroz irrigado'!$E52:$Z52)=0,0,MAX(0,IF((P$6-$E$3)&lt;1,0,IFERROR(LOOKUP(2,1/('Arroz irrigado'!$E52:INDEX('Arroz irrigado'!$E52:$Z52,MIN(P$6-$E$3,22))&lt;&gt;""),'Arroz irrigado'!$E52:INDEX('Arroz irrigado'!$E52:$Z52,MIN(P$6-$E$3,22))),0))-IF($G$2,0,IF((P$6-$G$3)&lt;1,0,IFERROR(LOOKUP(2,1/('Arroz irrigado'!$E52:INDEX('Arroz irrigado'!$E52:$Z52,MIN(P$6-$G$3,22))&lt;&gt;""),'Arroz irrigado'!$E52:INDEX('Arroz irrigado'!$E52:$Z52,MIN(P$6-$G$3,22))),0)))))</f>
        <v>0</v>
      </c>
      <c r="Q54" s="27" t="n">
        <f aca="false">IF(COUNT('Arroz irrigado'!$E52:$Z52)=0,0,MAX(0,IF((Q$6-$E$3)&lt;1,0,IFERROR(LOOKUP(2,1/('Arroz irrigado'!$E52:INDEX('Arroz irrigado'!$E52:$Z52,MIN(Q$6-$E$3,22))&lt;&gt;""),'Arroz irrigado'!$E52:INDEX('Arroz irrigado'!$E52:$Z52,MIN(Q$6-$E$3,22))),0))-IF($G$2,0,IF((Q$6-$G$3)&lt;1,0,IFERROR(LOOKUP(2,1/('Arroz irrigado'!$E52:INDEX('Arroz irrigado'!$E52:$Z52,MIN(Q$6-$G$3,22))&lt;&gt;""),'Arroz irrigado'!$E52:INDEX('Arroz irrigado'!$E52:$Z52,MIN(Q$6-$G$3,22))),0)))))</f>
        <v>0</v>
      </c>
      <c r="R54" s="27" t="n">
        <f aca="false">IF(COUNT('Arroz irrigado'!$E52:$Z52)=0,0,MAX(0,IF((R$6-$E$3)&lt;1,0,IFERROR(LOOKUP(2,1/('Arroz irrigado'!$E52:INDEX('Arroz irrigado'!$E52:$Z52,MIN(R$6-$E$3,22))&lt;&gt;""),'Arroz irrigado'!$E52:INDEX('Arroz irrigado'!$E52:$Z52,MIN(R$6-$E$3,22))),0))-IF($G$2,0,IF((R$6-$G$3)&lt;1,0,IFERROR(LOOKUP(2,1/('Arroz irrigado'!$E52:INDEX('Arroz irrigado'!$E52:$Z52,MIN(R$6-$G$3,22))&lt;&gt;""),'Arroz irrigado'!$E52:INDEX('Arroz irrigado'!$E52:$Z52,MIN(R$6-$G$3,22))),0)))))</f>
        <v>0</v>
      </c>
      <c r="S54" s="27" t="n">
        <f aca="false">IF(COUNT('Arroz irrigado'!$E52:$Z52)=0,0,MAX(0,IF((S$6-$E$3)&lt;1,0,IFERROR(LOOKUP(2,1/('Arroz irrigado'!$E52:INDEX('Arroz irrigado'!$E52:$Z52,MIN(S$6-$E$3,22))&lt;&gt;""),'Arroz irrigado'!$E52:INDEX('Arroz irrigado'!$E52:$Z52,MIN(S$6-$E$3,22))),0))-IF($G$2,0,IF((S$6-$G$3)&lt;1,0,IFERROR(LOOKUP(2,1/('Arroz irrigado'!$E52:INDEX('Arroz irrigado'!$E52:$Z52,MIN(S$6-$G$3,22))&lt;&gt;""),'Arroz irrigado'!$E52:INDEX('Arroz irrigado'!$E52:$Z52,MIN(S$6-$G$3,22))),0)))))</f>
        <v>0</v>
      </c>
      <c r="T54" s="27" t="n">
        <f aca="false">IF(COUNT('Arroz irrigado'!$E52:$Z52)=0,0,MAX(0,IF((T$6-$E$3)&lt;1,0,IFERROR(LOOKUP(2,1/('Arroz irrigado'!$E52:INDEX('Arroz irrigado'!$E52:$Z52,MIN(T$6-$E$3,22))&lt;&gt;""),'Arroz irrigado'!$E52:INDEX('Arroz irrigado'!$E52:$Z52,MIN(T$6-$E$3,22))),0))-IF($G$2,0,IF((T$6-$G$3)&lt;1,0,IFERROR(LOOKUP(2,1/('Arroz irrigado'!$E52:INDEX('Arroz irrigado'!$E52:$Z52,MIN(T$6-$G$3,22))&lt;&gt;""),'Arroz irrigado'!$E52:INDEX('Arroz irrigado'!$E52:$Z52,MIN(T$6-$G$3,22))),0)))))</f>
        <v>0</v>
      </c>
      <c r="U54" s="27" t="n">
        <f aca="false">IF(COUNT('Arroz irrigado'!$E52:$Z52)=0,0,MAX(0,IF((U$6-$E$3)&lt;1,0,IFERROR(LOOKUP(2,1/('Arroz irrigado'!$E52:INDEX('Arroz irrigado'!$E52:$Z52,MIN(U$6-$E$3,22))&lt;&gt;""),'Arroz irrigado'!$E52:INDEX('Arroz irrigado'!$E52:$Z52,MIN(U$6-$E$3,22))),0))-IF($G$2,0,IF((U$6-$G$3)&lt;1,0,IFERROR(LOOKUP(2,1/('Arroz irrigado'!$E52:INDEX('Arroz irrigado'!$E52:$Z52,MIN(U$6-$G$3,22))&lt;&gt;""),'Arroz irrigado'!$E52:INDEX('Arroz irrigado'!$E52:$Z52,MIN(U$6-$G$3,22))),0)))))</f>
        <v>0</v>
      </c>
      <c r="V54" s="27" t="n">
        <f aca="false">IF(COUNT('Arroz irrigado'!$E52:$Z52)=0,0,MAX(0,IF((V$6-$E$3)&lt;1,0,IFERROR(LOOKUP(2,1/('Arroz irrigado'!$E52:INDEX('Arroz irrigado'!$E52:$Z52,MIN(V$6-$E$3,22))&lt;&gt;""),'Arroz irrigado'!$E52:INDEX('Arroz irrigado'!$E52:$Z52,MIN(V$6-$E$3,22))),0))-IF($G$2,0,IF((V$6-$G$3)&lt;1,0,IFERROR(LOOKUP(2,1/('Arroz irrigado'!$E52:INDEX('Arroz irrigado'!$E52:$Z52,MIN(V$6-$G$3,22))&lt;&gt;""),'Arroz irrigado'!$E52:INDEX('Arroz irrigado'!$E52:$Z52,MIN(V$6-$G$3,22))),0)))))</f>
        <v>0</v>
      </c>
      <c r="W54" s="27" t="n">
        <f aca="false">IF(COUNT('Arroz irrigado'!$E52:$Z52)=0,0,MAX(0,IF((W$6-$E$3)&lt;1,0,IFERROR(LOOKUP(2,1/('Arroz irrigado'!$E52:INDEX('Arroz irrigado'!$E52:$Z52,MIN(W$6-$E$3,22))&lt;&gt;""),'Arroz irrigado'!$E52:INDEX('Arroz irrigado'!$E52:$Z52,MIN(W$6-$E$3,22))),0))-IF($G$2,0,IF((W$6-$G$3)&lt;1,0,IFERROR(LOOKUP(2,1/('Arroz irrigado'!$E52:INDEX('Arroz irrigado'!$E52:$Z52,MIN(W$6-$G$3,22))&lt;&gt;""),'Arroz irrigado'!$E52:INDEX('Arroz irrigado'!$E52:$Z52,MIN(W$6-$G$3,22))),0)))))</f>
        <v>0</v>
      </c>
      <c r="X54" s="27" t="n">
        <f aca="false">IF(COUNT('Arroz irrigado'!$E52:$Z52)=0,0,MAX(0,IF((X$6-$E$3)&lt;1,0,IFERROR(LOOKUP(2,1/('Arroz irrigado'!$E52:INDEX('Arroz irrigado'!$E52:$Z52,MIN(X$6-$E$3,22))&lt;&gt;""),'Arroz irrigado'!$E52:INDEX('Arroz irrigado'!$E52:$Z52,MIN(X$6-$E$3,22))),0))-IF($G$2,0,IF((X$6-$G$3)&lt;1,0,IFERROR(LOOKUP(2,1/('Arroz irrigado'!$E52:INDEX('Arroz irrigado'!$E52:$Z52,MIN(X$6-$G$3,22))&lt;&gt;""),'Arroz irrigado'!$E52:INDEX('Arroz irrigado'!$E52:$Z52,MIN(X$6-$G$3,22))),0)))))</f>
        <v>0</v>
      </c>
      <c r="Y54" s="27" t="n">
        <f aca="false">IF(COUNT('Arroz irrigado'!$E52:$Z52)=0,0,MAX(0,IF((Y$6-$E$3)&lt;1,0,IFERROR(LOOKUP(2,1/('Arroz irrigado'!$E52:INDEX('Arroz irrigado'!$E52:$Z52,MIN(Y$6-$E$3,22))&lt;&gt;""),'Arroz irrigado'!$E52:INDEX('Arroz irrigado'!$E52:$Z52,MIN(Y$6-$E$3,22))),0))-IF($G$2,0,IF((Y$6-$G$3)&lt;1,0,IFERROR(LOOKUP(2,1/('Arroz irrigado'!$E52:INDEX('Arroz irrigado'!$E52:$Z52,MIN(Y$6-$G$3,22))&lt;&gt;""),'Arroz irrigado'!$E52:INDEX('Arroz irrigado'!$E52:$Z52,MIN(Y$6-$G$3,22))),0)))))</f>
        <v>0</v>
      </c>
      <c r="Z54" s="27" t="n">
        <f aca="false">IF(COUNT('Arroz irrigado'!$E52:$Z52)=0,0,MAX(0,IF((Z$6-$E$3)&lt;1,0,IFERROR(LOOKUP(2,1/('Arroz irrigado'!$E52:INDEX('Arroz irrigado'!$E52:$Z52,MIN(Z$6-$E$3,22))&lt;&gt;""),'Arroz irrigado'!$E52:INDEX('Arroz irrigado'!$E52:$Z52,MIN(Z$6-$E$3,22))),0))-IF($G$2,0,IF((Z$6-$G$3)&lt;1,0,IFERROR(LOOKUP(2,1/('Arroz irrigado'!$E52:INDEX('Arroz irrigado'!$E52:$Z52,MIN(Z$6-$G$3,22))&lt;&gt;""),'Arroz irrigado'!$E52:INDEX('Arroz irrigado'!$E52:$Z52,MIN(Z$6-$G$3,22))),0)))))</f>
        <v>0</v>
      </c>
      <c r="AA54" s="27" t="n">
        <f aca="false">IF(COUNT('Arroz irrigado'!$E52:$Z52)=0,0,MAX(0,IF((AA$6-$E$3)&lt;1,0,IFERROR(LOOKUP(2,1/('Arroz irrigado'!$E52:INDEX('Arroz irrigado'!$E52:$Z52,MIN(AA$6-$E$3,22))&lt;&gt;""),'Arroz irrigado'!$E52:INDEX('Arroz irrigado'!$E52:$Z52,MIN(AA$6-$E$3,22))),0))-IF($G$2,0,IF((AA$6-$G$3)&lt;1,0,IFERROR(LOOKUP(2,1/('Arroz irrigado'!$E52:INDEX('Arroz irrigado'!$E52:$Z52,MIN(AA$6-$G$3,22))&lt;&gt;""),'Arroz irrigado'!$E52:INDEX('Arroz irrigado'!$E52:$Z52,MIN(AA$6-$G$3,22))),0)))))</f>
        <v>0</v>
      </c>
      <c r="AB54" s="27" t="n">
        <f aca="false">IF(COUNT('Arroz irrigado'!$E52:$Z52)=0,0,MAX(0,IF((AB$6-$E$3)&lt;1,0,IFERROR(LOOKUP(2,1/('Arroz irrigado'!$E52:INDEX('Arroz irrigado'!$E52:$Z52,MIN(AB$6-$E$3,22))&lt;&gt;""),'Arroz irrigado'!$E52:INDEX('Arroz irrigado'!$E52:$Z52,MIN(AB$6-$E$3,22))),0))-IF($G$2,0,IF((AB$6-$G$3)&lt;1,0,IFERROR(LOOKUP(2,1/('Arroz irrigado'!$E52:INDEX('Arroz irrigado'!$E52:$Z52,MIN(AB$6-$G$3,22))&lt;&gt;""),'Arroz irrigado'!$E52:INDEX('Arroz irrigado'!$E52:$Z52,MIN(AB$6-$G$3,22))),0)))))</f>
        <v>0</v>
      </c>
      <c r="AC54" s="27" t="n">
        <f aca="false">IF(COUNT('Arroz irrigado'!$E52:$Z52)=0,0,MAX(0,IF((AC$6-$E$3)&lt;1,0,IFERROR(LOOKUP(2,1/('Arroz irrigado'!$E52:INDEX('Arroz irrigado'!$E52:$Z52,MIN(AC$6-$E$3,22))&lt;&gt;""),'Arroz irrigado'!$E52:INDEX('Arroz irrigado'!$E52:$Z52,MIN(AC$6-$E$3,22))),0))-IF($G$2,0,IF((AC$6-$G$3)&lt;1,0,IFERROR(LOOKUP(2,1/('Arroz irrigado'!$E52:INDEX('Arroz irrigado'!$E52:$Z52,MIN(AC$6-$G$3,22))&lt;&gt;""),'Arroz irrigado'!$E52:INDEX('Arroz irrigado'!$E52:$Z52,MIN(AC$6-$G$3,22))),0)))))</f>
        <v>0</v>
      </c>
      <c r="AD54" s="27" t="n">
        <f aca="false">IF(COUNT('Arroz irrigado'!$E52:$Z52)=0,0,MAX(0,IF((AD$6-$E$3)&lt;1,0,IFERROR(LOOKUP(2,1/('Arroz irrigado'!$E52:INDEX('Arroz irrigado'!$E52:$Z52,MIN(AD$6-$E$3,22))&lt;&gt;""),'Arroz irrigado'!$E52:INDEX('Arroz irrigado'!$E52:$Z52,MIN(AD$6-$E$3,22))),0))-IF($G$2,0,IF((AD$6-$G$3)&lt;1,0,IFERROR(LOOKUP(2,1/('Arroz irrigado'!$E52:INDEX('Arroz irrigado'!$E52:$Z52,MIN(AD$6-$G$3,22))&lt;&gt;""),'Arroz irrigado'!$E52:INDEX('Arroz irrigado'!$E52:$Z52,MIN(AD$6-$G$3,22))),0)))))</f>
        <v>0</v>
      </c>
      <c r="AE54" s="27" t="n">
        <f aca="false">IF(COUNT('Arroz irrigado'!$E52:$Z52)=0,0,MAX(0,IF((AE$6-$E$3)&lt;1,0,IFERROR(LOOKUP(2,1/('Arroz irrigado'!$E52:INDEX('Arroz irrigado'!$E52:$Z52,MIN(AE$6-$E$3,22))&lt;&gt;""),'Arroz irrigado'!$E52:INDEX('Arroz irrigado'!$E52:$Z52,MIN(AE$6-$E$3,22))),0))-IF($G$2,0,IF((AE$6-$G$3)&lt;1,0,IFERROR(LOOKUP(2,1/('Arroz irrigado'!$E52:INDEX('Arroz irrigado'!$E52:$Z52,MIN(AE$6-$G$3,22))&lt;&gt;""),'Arroz irrigado'!$E52:INDEX('Arroz irrigado'!$E52:$Z52,MIN(AE$6-$G$3,22))),0)))))</f>
        <v>0</v>
      </c>
      <c r="AF54" s="27" t="n">
        <f aca="false">IF(COUNT('Arroz irrigado'!$E52:$Z52)=0,0,MAX(0,IF((AF$6-$E$3)&lt;1,0,IFERROR(LOOKUP(2,1/('Arroz irrigado'!$E52:INDEX('Arroz irrigado'!$E52:$Z52,MIN(AF$6-$E$3,22))&lt;&gt;""),'Arroz irrigado'!$E52:INDEX('Arroz irrigado'!$E52:$Z52,MIN(AF$6-$E$3,22))),0))-IF($G$2,0,IF((AF$6-$G$3)&lt;1,0,IFERROR(LOOKUP(2,1/('Arroz irrigado'!$E52:INDEX('Arroz irrigado'!$E52:$Z52,MIN(AF$6-$G$3,22))&lt;&gt;""),'Arroz irrigado'!$E52:INDEX('Arroz irrigado'!$E52:$Z52,MIN(AF$6-$G$3,22))),0)))))</f>
        <v>0</v>
      </c>
      <c r="AG54" s="27" t="n">
        <f aca="false">IF(COUNT('Arroz irrigado'!$E52:$Z52)=0,0,MAX(0,IF((AG$6-$E$3)&lt;1,0,IFERROR(LOOKUP(2,1/('Arroz irrigado'!$E52:INDEX('Arroz irrigado'!$E52:$Z52,MIN(AG$6-$E$3,22))&lt;&gt;""),'Arroz irrigado'!$E52:INDEX('Arroz irrigado'!$E52:$Z52,MIN(AG$6-$E$3,22))),0))-IF($G$2,0,IF((AG$6-$G$3)&lt;1,0,IFERROR(LOOKUP(2,1/('Arroz irrigado'!$E52:INDEX('Arroz irrigado'!$E52:$Z52,MIN(AG$6-$G$3,22))&lt;&gt;""),'Arroz irrigado'!$E52:INDEX('Arroz irrigado'!$E52:$Z52,MIN(AG$6-$G$3,22))),0)))))</f>
        <v>0</v>
      </c>
      <c r="AH54" s="27" t="n">
        <f aca="false">IF(COUNT('Arroz irrigado'!$E52:$Z52)=0,0,MAX(0,IF((AH$6-$E$3)&lt;1,0,IFERROR(LOOKUP(2,1/('Arroz irrigado'!$E52:INDEX('Arroz irrigado'!$E52:$Z52,MIN(AH$6-$E$3,22))&lt;&gt;""),'Arroz irrigado'!$E52:INDEX('Arroz irrigado'!$E52:$Z52,MIN(AH$6-$E$3,22))),0))-IF($G$2,0,IF((AH$6-$G$3)&lt;1,0,IFERROR(LOOKUP(2,1/('Arroz irrigado'!$E52:INDEX('Arroz irrigado'!$E52:$Z52,MIN(AH$6-$G$3,22))&lt;&gt;""),'Arroz irrigado'!$E52:INDEX('Arroz irrigado'!$E52:$Z52,MIN(AH$6-$G$3,22))),0)))))</f>
        <v>0</v>
      </c>
      <c r="AI54" s="27" t="n">
        <f aca="false">IF(COUNT('Arroz irrigado'!$E52:$Z52)=0,0,MAX(0,IF((AI$6-$E$3)&lt;1,0,IFERROR(LOOKUP(2,1/('Arroz irrigado'!$E52:INDEX('Arroz irrigado'!$E52:$Z52,MIN(AI$6-$E$3,22))&lt;&gt;""),'Arroz irrigado'!$E52:INDEX('Arroz irrigado'!$E52:$Z52,MIN(AI$6-$E$3,22))),0))-IF($G$2,0,IF((AI$6-$G$3)&lt;1,0,IFERROR(LOOKUP(2,1/('Arroz irrigado'!$E52:INDEX('Arroz irrigado'!$E52:$Z52,MIN(AI$6-$G$3,22))&lt;&gt;""),'Arroz irrigado'!$E52:INDEX('Arroz irrigado'!$E52:$Z52,MIN(AI$6-$G$3,22))),0)))))</f>
        <v>0</v>
      </c>
      <c r="AJ54" s="27" t="n">
        <f aca="false">IF(COUNT('Arroz irrigado'!$E52:$Z52)=0,0,MAX(0,IF((AJ$6-$E$3)&lt;1,0,IFERROR(LOOKUP(2,1/('Arroz irrigado'!$E52:INDEX('Arroz irrigado'!$E52:$Z52,MIN(AJ$6-$E$3,22))&lt;&gt;""),'Arroz irrigado'!$E52:INDEX('Arroz irrigado'!$E52:$Z52,MIN(AJ$6-$E$3,22))),0))-IF($G$2,0,IF((AJ$6-$G$3)&lt;1,0,IFERROR(LOOKUP(2,1/('Arroz irrigado'!$E52:INDEX('Arroz irrigado'!$E52:$Z52,MIN(AJ$6-$G$3,22))&lt;&gt;""),'Arroz irrigado'!$E52:INDEX('Arroz irrigado'!$E52:$Z52,MIN(AJ$6-$G$3,22))),0)))))</f>
        <v>0</v>
      </c>
      <c r="AK54" s="27" t="n">
        <f aca="false">IF(COUNT('Arroz irrigado'!$E52:$Z52)=0,0,MAX(0,IF((AK$6-$E$3)&lt;1,0,IFERROR(LOOKUP(2,1/('Arroz irrigado'!$E52:INDEX('Arroz irrigado'!$E52:$Z52,MIN(AK$6-$E$3,22))&lt;&gt;""),'Arroz irrigado'!$E52:INDEX('Arroz irrigado'!$E52:$Z52,MIN(AK$6-$E$3,22))),0))-IF($G$2,0,IF((AK$6-$G$3)&lt;1,0,IFERROR(LOOKUP(2,1/('Arroz irrigado'!$E52:INDEX('Arroz irrigado'!$E52:$Z52,MIN(AK$6-$G$3,22))&lt;&gt;""),'Arroz irrigado'!$E52:INDEX('Arroz irrigado'!$E52:$Z52,MIN(AK$6-$G$3,22))),0)))))</f>
        <v>0</v>
      </c>
      <c r="AL54" s="27" t="n">
        <f aca="false">IF(COUNT('Arroz irrigado'!$E52:$Z52)=0,0,MAX(0,IF((AL$6-$E$3)&lt;1,0,IFERROR(LOOKUP(2,1/('Arroz irrigado'!$E52:INDEX('Arroz irrigado'!$E52:$Z52,MIN(AL$6-$E$3,22))&lt;&gt;""),'Arroz irrigado'!$E52:INDEX('Arroz irrigado'!$E52:$Z52,MIN(AL$6-$E$3,22))),0))-IF($G$2,0,IF((AL$6-$G$3)&lt;1,0,IFERROR(LOOKUP(2,1/('Arroz irrigado'!$E52:INDEX('Arroz irrigado'!$E52:$Z52,MIN(AL$6-$G$3,22))&lt;&gt;""),'Arroz irrigado'!$E52:INDEX('Arroz irrigado'!$E52:$Z52,MIN(AL$6-$G$3,22))),0)))))</f>
        <v>0</v>
      </c>
      <c r="AM54" s="27" t="n">
        <f aca="false">IF(COUNT('Arroz irrigado'!$E52:$Z52)=0,0,MAX(0,IF((AM$6-$E$3)&lt;1,0,IFERROR(LOOKUP(2,1/('Arroz irrigado'!$E52:INDEX('Arroz irrigado'!$E52:$Z52,MIN(AM$6-$E$3,22))&lt;&gt;""),'Arroz irrigado'!$E52:INDEX('Arroz irrigado'!$E52:$Z52,MIN(AM$6-$E$3,22))),0))-IF($G$2,0,IF((AM$6-$G$3)&lt;1,0,IFERROR(LOOKUP(2,1/('Arroz irrigado'!$E52:INDEX('Arroz irrigado'!$E52:$Z52,MIN(AM$6-$G$3,22))&lt;&gt;""),'Arroz irrigado'!$E52:INDEX('Arroz irrigado'!$E52:$Z52,MIN(AM$6-$G$3,22))),0)))))</f>
        <v>0</v>
      </c>
      <c r="AN54" s="27" t="n">
        <f aca="false">IF(COUNT('Arroz irrigado'!$E52:$Z52)=0,0,MAX(0,IF((AN$6-$E$3)&lt;1,0,IFERROR(LOOKUP(2,1/('Arroz irrigado'!$E52:INDEX('Arroz irrigado'!$E52:$Z52,MIN(AN$6-$E$3,22))&lt;&gt;""),'Arroz irrigado'!$E52:INDEX('Arroz irrigado'!$E52:$Z52,MIN(AN$6-$E$3,22))),0))-IF($G$2,0,IF((AN$6-$G$3)&lt;1,0,IFERROR(LOOKUP(2,1/('Arroz irrigado'!$E52:INDEX('Arroz irrigado'!$E52:$Z52,MIN(AN$6-$G$3,22))&lt;&gt;""),'Arroz irrigado'!$E52:INDEX('Arroz irrigado'!$E52:$Z52,MIN(AN$6-$G$3,22))),0)))))</f>
        <v>0</v>
      </c>
      <c r="AO54" s="27" t="n">
        <f aca="false">IF(COUNT('Arroz irrigado'!$E52:$Z52)=0,0,MAX(0,IF((AO$6-$E$3)&lt;1,0,IFERROR(LOOKUP(2,1/('Arroz irrigado'!$E52:INDEX('Arroz irrigado'!$E52:$Z52,MIN(AO$6-$E$3,22))&lt;&gt;""),'Arroz irrigado'!$E52:INDEX('Arroz irrigado'!$E52:$Z52,MIN(AO$6-$E$3,22))),0))-IF($G$2,0,IF((AO$6-$G$3)&lt;1,0,IFERROR(LOOKUP(2,1/('Arroz irrigado'!$E52:INDEX('Arroz irrigado'!$E52:$Z52,MIN(AO$6-$G$3,22))&lt;&gt;""),'Arroz irrigado'!$E52:INDEX('Arroz irrigado'!$E52:$Z52,MIN(AO$6-$G$3,22))),0)))))</f>
        <v>0</v>
      </c>
      <c r="AP54" s="27" t="n">
        <f aca="false">IF(COUNT('Arroz irrigado'!$E52:$Z52)=0,0,MAX(0,IF((AP$6-$E$3)&lt;1,0,IFERROR(LOOKUP(2,1/('Arroz irrigado'!$E52:INDEX('Arroz irrigado'!$E52:$Z52,MIN(AP$6-$E$3,22))&lt;&gt;""),'Arroz irrigado'!$E52:INDEX('Arroz irrigado'!$E52:$Z52,MIN(AP$6-$E$3,22))),0))-IF($G$2,0,IF((AP$6-$G$3)&lt;1,0,IFERROR(LOOKUP(2,1/('Arroz irrigado'!$E52:INDEX('Arroz irrigado'!$E52:$Z52,MIN(AP$6-$G$3,22))&lt;&gt;""),'Arroz irrigado'!$E52:INDEX('Arroz irrigado'!$E52:$Z52,MIN(AP$6-$G$3,22))),0)))))</f>
        <v>0</v>
      </c>
      <c r="AQ54" s="27" t="n">
        <f aca="false">IF(COUNT('Arroz irrigado'!$E52:$Z52)=0,0,MAX(0,IF((AQ$6-$E$3)&lt;1,0,IFERROR(LOOKUP(2,1/('Arroz irrigado'!$E52:INDEX('Arroz irrigado'!$E52:$Z52,MIN(AQ$6-$E$3,22))&lt;&gt;""),'Arroz irrigado'!$E52:INDEX('Arroz irrigado'!$E52:$Z52,MIN(AQ$6-$E$3,22))),0))-IF($G$2,0,IF((AQ$6-$G$3)&lt;1,0,IFERROR(LOOKUP(2,1/('Arroz irrigado'!$E52:INDEX('Arroz irrigado'!$E52:$Z52,MIN(AQ$6-$G$3,22))&lt;&gt;""),'Arroz irrigado'!$E52:INDEX('Arroz irrigado'!$E52:$Z52,MIN(AQ$6-$G$3,22))),0)))))</f>
        <v>0</v>
      </c>
      <c r="AR54" s="27" t="n">
        <f aca="false">IF(COUNT('Arroz irrigado'!$E52:$Z52)=0,0,MAX(0,IF((AR$6-$E$3)&lt;1,0,IFERROR(LOOKUP(2,1/('Arroz irrigado'!$E52:INDEX('Arroz irrigado'!$E52:$Z52,MIN(AR$6-$E$3,22))&lt;&gt;""),'Arroz irrigado'!$E52:INDEX('Arroz irrigado'!$E52:$Z52,MIN(AR$6-$E$3,22))),0))-IF($G$2,0,IF((AR$6-$G$3)&lt;1,0,IFERROR(LOOKUP(2,1/('Arroz irrigado'!$E52:INDEX('Arroz irrigado'!$E52:$Z52,MIN(AR$6-$G$3,22))&lt;&gt;""),'Arroz irrigado'!$E52:INDEX('Arroz irrigado'!$E52:$Z52,MIN(AR$6-$G$3,22))),0)))))</f>
        <v>0</v>
      </c>
      <c r="AS54" s="27" t="n">
        <f aca="false">IF(COUNT('Arroz irrigado'!$E52:$Z52)=0,0,MAX(0,IF((AS$6-$E$3)&lt;1,0,IFERROR(LOOKUP(2,1/('Arroz irrigado'!$E52:INDEX('Arroz irrigado'!$E52:$Z52,MIN(AS$6-$E$3,22))&lt;&gt;""),'Arroz irrigado'!$E52:INDEX('Arroz irrigado'!$E52:$Z52,MIN(AS$6-$E$3,22))),0))-IF($G$2,0,IF((AS$6-$G$3)&lt;1,0,IFERROR(LOOKUP(2,1/('Arroz irrigado'!$E52:INDEX('Arroz irrigado'!$E52:$Z52,MIN(AS$6-$G$3,22))&lt;&gt;""),'Arroz irrigado'!$E52:INDEX('Arroz irrigado'!$E52:$Z52,MIN(AS$6-$G$3,22))),0)))))</f>
        <v>0</v>
      </c>
      <c r="AT54" s="27" t="n">
        <f aca="false">IF(COUNT('Arroz irrigado'!$E52:$Z52)=0,0,MAX(0,IF((AT$6-$E$3)&lt;1,0,IFERROR(LOOKUP(2,1/('Arroz irrigado'!$E52:INDEX('Arroz irrigado'!$E52:$Z52,MIN(AT$6-$E$3,22))&lt;&gt;""),'Arroz irrigado'!$E52:INDEX('Arroz irrigado'!$E52:$Z52,MIN(AT$6-$E$3,22))),0))-IF($G$2,0,IF((AT$6-$G$3)&lt;1,0,IFERROR(LOOKUP(2,1/('Arroz irrigado'!$E52:INDEX('Arroz irrigado'!$E52:$Z52,MIN(AT$6-$G$3,22))&lt;&gt;""),'Arroz irrigado'!$E52:INDEX('Arroz irrigado'!$E52:$Z52,MIN(AT$6-$G$3,22))),0)))))</f>
        <v>0</v>
      </c>
      <c r="AU54" s="27" t="n">
        <f aca="false">IF(COUNT('Arroz irrigado'!$E52:$Z52)=0,0,MAX(0,IF((AU$6-$E$3)&lt;1,0,IFERROR(LOOKUP(2,1/('Arroz irrigado'!$E52:INDEX('Arroz irrigado'!$E52:$Z52,MIN(AU$6-$E$3,22))&lt;&gt;""),'Arroz irrigado'!$E52:INDEX('Arroz irrigado'!$E52:$Z52,MIN(AU$6-$E$3,22))),0))-IF($G$2,0,IF((AU$6-$G$3)&lt;1,0,IFERROR(LOOKUP(2,1/('Arroz irrigado'!$E52:INDEX('Arroz irrigado'!$E52:$Z52,MIN(AU$6-$G$3,22))&lt;&gt;""),'Arroz irrigado'!$E52:INDEX('Arroz irrigado'!$E52:$Z52,MIN(AU$6-$G$3,22))),0)))))</f>
        <v>0</v>
      </c>
      <c r="AV54" s="27" t="n">
        <f aca="false">IF(COUNT('Arroz irrigado'!$E52:$Z52)=0,0,MAX(0,IF((AV$6-$E$3)&lt;1,0,IFERROR(LOOKUP(2,1/('Arroz irrigado'!$E52:INDEX('Arroz irrigado'!$E52:$Z52,MIN(AV$6-$E$3,22))&lt;&gt;""),'Arroz irrigado'!$E52:INDEX('Arroz irrigado'!$E52:$Z52,MIN(AV$6-$E$3,22))),0))-IF($G$2,0,IF((AV$6-$G$3)&lt;1,0,IFERROR(LOOKUP(2,1/('Arroz irrigado'!$E52:INDEX('Arroz irrigado'!$E52:$Z52,MIN(AV$6-$G$3,22))&lt;&gt;""),'Arroz irrigado'!$E52:INDEX('Arroz irrigado'!$E52:$Z52,MIN(AV$6-$G$3,22))),0)))))</f>
        <v>0</v>
      </c>
      <c r="AW54" s="27" t="n">
        <f aca="false">IF(COUNT('Arroz irrigado'!$E52:$Z52)=0,0,MAX(0,IF((AW$6-$E$3)&lt;1,0,IFERROR(LOOKUP(2,1/('Arroz irrigado'!$E52:INDEX('Arroz irrigado'!$E52:$Z52,MIN(AW$6-$E$3,22))&lt;&gt;""),'Arroz irrigado'!$E52:INDEX('Arroz irrigado'!$E52:$Z52,MIN(AW$6-$E$3,22))),0))-IF($G$2,0,IF((AW$6-$G$3)&lt;1,0,IFERROR(LOOKUP(2,1/('Arroz irrigado'!$E52:INDEX('Arroz irrigado'!$E52:$Z52,MIN(AW$6-$G$3,22))&lt;&gt;""),'Arroz irrigado'!$E52:INDEX('Arroz irrigado'!$E52:$Z52,MIN(AW$6-$G$3,22))),0)))))</f>
        <v>0</v>
      </c>
      <c r="AX54" s="27" t="n">
        <f aca="false">IF(COUNT('Arroz irrigado'!$E52:$Z52)=0,0,MAX(0,IF((AX$6-$E$3)&lt;1,0,IFERROR(LOOKUP(2,1/('Arroz irrigado'!$E52:INDEX('Arroz irrigado'!$E52:$Z52,MIN(AX$6-$E$3,22))&lt;&gt;""),'Arroz irrigado'!$E52:INDEX('Arroz irrigado'!$E52:$Z52,MIN(AX$6-$E$3,22))),0))-IF($G$2,0,IF((AX$6-$G$3)&lt;1,0,IFERROR(LOOKUP(2,1/('Arroz irrigado'!$E52:INDEX('Arroz irrigado'!$E52:$Z52,MIN(AX$6-$G$3,22))&lt;&gt;""),'Arroz irrigado'!$E52:INDEX('Arroz irrigado'!$E52:$Z52,MIN(AX$6-$G$3,22))),0)))))</f>
        <v>0</v>
      </c>
      <c r="AY54" s="27" t="n">
        <f aca="false">IF(COUNT('Arroz irrigado'!$E52:$Z52)=0,0,MAX(0,IF((AY$6-$E$3)&lt;1,0,IFERROR(LOOKUP(2,1/('Arroz irrigado'!$E52:INDEX('Arroz irrigado'!$E52:$Z52,MIN(AY$6-$E$3,22))&lt;&gt;""),'Arroz irrigado'!$E52:INDEX('Arroz irrigado'!$E52:$Z52,MIN(AY$6-$E$3,22))),0))-IF($G$2,0,IF((AY$6-$G$3)&lt;1,0,IFERROR(LOOKUP(2,1/('Arroz irrigado'!$E52:INDEX('Arroz irrigado'!$E52:$Z52,MIN(AY$6-$G$3,22))&lt;&gt;""),'Arroz irrigado'!$E52:INDEX('Arroz irrigado'!$E52:$Z52,MIN(AY$6-$G$3,22))),0)))))</f>
        <v>0</v>
      </c>
      <c r="AZ54" s="27" t="n">
        <f aca="false">IF(COUNT('Arroz irrigado'!$E52:$Z52)=0,0,MAX(0,IF((AZ$6-$E$3)&lt;1,0,IFERROR(LOOKUP(2,1/('Arroz irrigado'!$E52:INDEX('Arroz irrigado'!$E52:$Z52,MIN(AZ$6-$E$3,22))&lt;&gt;""),'Arroz irrigado'!$E52:INDEX('Arroz irrigado'!$E52:$Z52,MIN(AZ$6-$E$3,22))),0))-IF($G$2,0,IF((AZ$6-$G$3)&lt;1,0,IFERROR(LOOKUP(2,1/('Arroz irrigado'!$E52:INDEX('Arroz irrigado'!$E52:$Z52,MIN(AZ$6-$G$3,22))&lt;&gt;""),'Arroz irrigado'!$E52:INDEX('Arroz irrigado'!$E52:$Z52,MIN(AZ$6-$G$3,22))),0)))))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IF(COUNT('Arroz irrigado'!$E53:$Z53)&gt;0,N('Arroz irrigado'!$D53),0)</f>
        <v>0</v>
      </c>
      <c r="E55" s="27" t="n">
        <f aca="false">IF(COUNT('Arroz irrigado'!$E53:$Z53)=0,0,MAX(0,IF((E$6-$E$3)&lt;1,0,IFERROR(LOOKUP(2,1/('Arroz irrigado'!$E53:INDEX('Arroz irrigado'!$E53:$Z53,MIN(E$6-$E$3,22))&lt;&gt;""),'Arroz irrigado'!$E53:INDEX('Arroz irrigado'!$E53:$Z53,MIN(E$6-$E$3,22))),0))-IF($G$2,0,IF((E$6-$G$3)&lt;1,0,IFERROR(LOOKUP(2,1/('Arroz irrigado'!$E53:INDEX('Arroz irrigado'!$E53:$Z53,MIN(E$6-$G$3,22))&lt;&gt;""),'Arroz irrigado'!$E53:INDEX('Arroz irrigado'!$E53:$Z53,MIN(E$6-$G$3,22))),0)))))</f>
        <v>0</v>
      </c>
      <c r="F55" s="27" t="n">
        <f aca="false">IF(COUNT('Arroz irrigado'!$E53:$Z53)=0,0,MAX(0,IF((F$6-$E$3)&lt;1,0,IFERROR(LOOKUP(2,1/('Arroz irrigado'!$E53:INDEX('Arroz irrigado'!$E53:$Z53,MIN(F$6-$E$3,22))&lt;&gt;""),'Arroz irrigado'!$E53:INDEX('Arroz irrigado'!$E53:$Z53,MIN(F$6-$E$3,22))),0))-IF($G$2,0,IF((F$6-$G$3)&lt;1,0,IFERROR(LOOKUP(2,1/('Arroz irrigado'!$E53:INDEX('Arroz irrigado'!$E53:$Z53,MIN(F$6-$G$3,22))&lt;&gt;""),'Arroz irrigado'!$E53:INDEX('Arroz irrigado'!$E53:$Z53,MIN(F$6-$G$3,22))),0)))))</f>
        <v>0</v>
      </c>
      <c r="G55" s="27" t="n">
        <f aca="false">IF(COUNT('Arroz irrigado'!$E53:$Z53)=0,0,MAX(0,IF((G$6-$E$3)&lt;1,0,IFERROR(LOOKUP(2,1/('Arroz irrigado'!$E53:INDEX('Arroz irrigado'!$E53:$Z53,MIN(G$6-$E$3,22))&lt;&gt;""),'Arroz irrigado'!$E53:INDEX('Arroz irrigado'!$E53:$Z53,MIN(G$6-$E$3,22))),0))-IF($G$2,0,IF((G$6-$G$3)&lt;1,0,IFERROR(LOOKUP(2,1/('Arroz irrigado'!$E53:INDEX('Arroz irrigado'!$E53:$Z53,MIN(G$6-$G$3,22))&lt;&gt;""),'Arroz irrigado'!$E53:INDEX('Arroz irrigado'!$E53:$Z53,MIN(G$6-$G$3,22))),0)))))</f>
        <v>0</v>
      </c>
      <c r="H55" s="27" t="n">
        <f aca="false">IF(COUNT('Arroz irrigado'!$E53:$Z53)=0,0,MAX(0,IF((H$6-$E$3)&lt;1,0,IFERROR(LOOKUP(2,1/('Arroz irrigado'!$E53:INDEX('Arroz irrigado'!$E53:$Z53,MIN(H$6-$E$3,22))&lt;&gt;""),'Arroz irrigado'!$E53:INDEX('Arroz irrigado'!$E53:$Z53,MIN(H$6-$E$3,22))),0))-IF($G$2,0,IF((H$6-$G$3)&lt;1,0,IFERROR(LOOKUP(2,1/('Arroz irrigado'!$E53:INDEX('Arroz irrigado'!$E53:$Z53,MIN(H$6-$G$3,22))&lt;&gt;""),'Arroz irrigado'!$E53:INDEX('Arroz irrigado'!$E53:$Z53,MIN(H$6-$G$3,22))),0)))))</f>
        <v>0</v>
      </c>
      <c r="I55" s="27" t="n">
        <f aca="false">IF(COUNT('Arroz irrigado'!$E53:$Z53)=0,0,MAX(0,IF((I$6-$E$3)&lt;1,0,IFERROR(LOOKUP(2,1/('Arroz irrigado'!$E53:INDEX('Arroz irrigado'!$E53:$Z53,MIN(I$6-$E$3,22))&lt;&gt;""),'Arroz irrigado'!$E53:INDEX('Arroz irrigado'!$E53:$Z53,MIN(I$6-$E$3,22))),0))-IF($G$2,0,IF((I$6-$G$3)&lt;1,0,IFERROR(LOOKUP(2,1/('Arroz irrigado'!$E53:INDEX('Arroz irrigado'!$E53:$Z53,MIN(I$6-$G$3,22))&lt;&gt;""),'Arroz irrigado'!$E53:INDEX('Arroz irrigado'!$E53:$Z53,MIN(I$6-$G$3,22))),0)))))</f>
        <v>0</v>
      </c>
      <c r="J55" s="27" t="n">
        <f aca="false">IF(COUNT('Arroz irrigado'!$E53:$Z53)=0,0,MAX(0,IF((J$6-$E$3)&lt;1,0,IFERROR(LOOKUP(2,1/('Arroz irrigado'!$E53:INDEX('Arroz irrigado'!$E53:$Z53,MIN(J$6-$E$3,22))&lt;&gt;""),'Arroz irrigado'!$E53:INDEX('Arroz irrigado'!$E53:$Z53,MIN(J$6-$E$3,22))),0))-IF($G$2,0,IF((J$6-$G$3)&lt;1,0,IFERROR(LOOKUP(2,1/('Arroz irrigado'!$E53:INDEX('Arroz irrigado'!$E53:$Z53,MIN(J$6-$G$3,22))&lt;&gt;""),'Arroz irrigado'!$E53:INDEX('Arroz irrigado'!$E53:$Z53,MIN(J$6-$G$3,22))),0)))))</f>
        <v>0</v>
      </c>
      <c r="K55" s="27" t="n">
        <f aca="false">IF(COUNT('Arroz irrigado'!$E53:$Z53)=0,0,MAX(0,IF((K$6-$E$3)&lt;1,0,IFERROR(LOOKUP(2,1/('Arroz irrigado'!$E53:INDEX('Arroz irrigado'!$E53:$Z53,MIN(K$6-$E$3,22))&lt;&gt;""),'Arroz irrigado'!$E53:INDEX('Arroz irrigado'!$E53:$Z53,MIN(K$6-$E$3,22))),0))-IF($G$2,0,IF((K$6-$G$3)&lt;1,0,IFERROR(LOOKUP(2,1/('Arroz irrigado'!$E53:INDEX('Arroz irrigado'!$E53:$Z53,MIN(K$6-$G$3,22))&lt;&gt;""),'Arroz irrigado'!$E53:INDEX('Arroz irrigado'!$E53:$Z53,MIN(K$6-$G$3,22))),0)))))</f>
        <v>0</v>
      </c>
      <c r="L55" s="27" t="n">
        <f aca="false">IF(COUNT('Arroz irrigado'!$E53:$Z53)=0,0,MAX(0,IF((L$6-$E$3)&lt;1,0,IFERROR(LOOKUP(2,1/('Arroz irrigado'!$E53:INDEX('Arroz irrigado'!$E53:$Z53,MIN(L$6-$E$3,22))&lt;&gt;""),'Arroz irrigado'!$E53:INDEX('Arroz irrigado'!$E53:$Z53,MIN(L$6-$E$3,22))),0))-IF($G$2,0,IF((L$6-$G$3)&lt;1,0,IFERROR(LOOKUP(2,1/('Arroz irrigado'!$E53:INDEX('Arroz irrigado'!$E53:$Z53,MIN(L$6-$G$3,22))&lt;&gt;""),'Arroz irrigado'!$E53:INDEX('Arroz irrigado'!$E53:$Z53,MIN(L$6-$G$3,22))),0)))))</f>
        <v>0</v>
      </c>
      <c r="M55" s="27" t="n">
        <f aca="false">IF(COUNT('Arroz irrigado'!$E53:$Z53)=0,0,MAX(0,IF((M$6-$E$3)&lt;1,0,IFERROR(LOOKUP(2,1/('Arroz irrigado'!$E53:INDEX('Arroz irrigado'!$E53:$Z53,MIN(M$6-$E$3,22))&lt;&gt;""),'Arroz irrigado'!$E53:INDEX('Arroz irrigado'!$E53:$Z53,MIN(M$6-$E$3,22))),0))-IF($G$2,0,IF((M$6-$G$3)&lt;1,0,IFERROR(LOOKUP(2,1/('Arroz irrigado'!$E53:INDEX('Arroz irrigado'!$E53:$Z53,MIN(M$6-$G$3,22))&lt;&gt;""),'Arroz irrigado'!$E53:INDEX('Arroz irrigado'!$E53:$Z53,MIN(M$6-$G$3,22))),0)))))</f>
        <v>0</v>
      </c>
      <c r="N55" s="27" t="n">
        <f aca="false">IF(COUNT('Arroz irrigado'!$E53:$Z53)=0,0,MAX(0,IF((N$6-$E$3)&lt;1,0,IFERROR(LOOKUP(2,1/('Arroz irrigado'!$E53:INDEX('Arroz irrigado'!$E53:$Z53,MIN(N$6-$E$3,22))&lt;&gt;""),'Arroz irrigado'!$E53:INDEX('Arroz irrigado'!$E53:$Z53,MIN(N$6-$E$3,22))),0))-IF($G$2,0,IF((N$6-$G$3)&lt;1,0,IFERROR(LOOKUP(2,1/('Arroz irrigado'!$E53:INDEX('Arroz irrigado'!$E53:$Z53,MIN(N$6-$G$3,22))&lt;&gt;""),'Arroz irrigado'!$E53:INDEX('Arroz irrigado'!$E53:$Z53,MIN(N$6-$G$3,22))),0)))))</f>
        <v>0</v>
      </c>
      <c r="O55" s="27" t="n">
        <f aca="false">IF(COUNT('Arroz irrigado'!$E53:$Z53)=0,0,MAX(0,IF((O$6-$E$3)&lt;1,0,IFERROR(LOOKUP(2,1/('Arroz irrigado'!$E53:INDEX('Arroz irrigado'!$E53:$Z53,MIN(O$6-$E$3,22))&lt;&gt;""),'Arroz irrigado'!$E53:INDEX('Arroz irrigado'!$E53:$Z53,MIN(O$6-$E$3,22))),0))-IF($G$2,0,IF((O$6-$G$3)&lt;1,0,IFERROR(LOOKUP(2,1/('Arroz irrigado'!$E53:INDEX('Arroz irrigado'!$E53:$Z53,MIN(O$6-$G$3,22))&lt;&gt;""),'Arroz irrigado'!$E53:INDEX('Arroz irrigado'!$E53:$Z53,MIN(O$6-$G$3,22))),0)))))</f>
        <v>0</v>
      </c>
      <c r="P55" s="27" t="n">
        <f aca="false">IF(COUNT('Arroz irrigado'!$E53:$Z53)=0,0,MAX(0,IF((P$6-$E$3)&lt;1,0,IFERROR(LOOKUP(2,1/('Arroz irrigado'!$E53:INDEX('Arroz irrigado'!$E53:$Z53,MIN(P$6-$E$3,22))&lt;&gt;""),'Arroz irrigado'!$E53:INDEX('Arroz irrigado'!$E53:$Z53,MIN(P$6-$E$3,22))),0))-IF($G$2,0,IF((P$6-$G$3)&lt;1,0,IFERROR(LOOKUP(2,1/('Arroz irrigado'!$E53:INDEX('Arroz irrigado'!$E53:$Z53,MIN(P$6-$G$3,22))&lt;&gt;""),'Arroz irrigado'!$E53:INDEX('Arroz irrigado'!$E53:$Z53,MIN(P$6-$G$3,22))),0)))))</f>
        <v>0</v>
      </c>
      <c r="Q55" s="27" t="n">
        <f aca="false">IF(COUNT('Arroz irrigado'!$E53:$Z53)=0,0,MAX(0,IF((Q$6-$E$3)&lt;1,0,IFERROR(LOOKUP(2,1/('Arroz irrigado'!$E53:INDEX('Arroz irrigado'!$E53:$Z53,MIN(Q$6-$E$3,22))&lt;&gt;""),'Arroz irrigado'!$E53:INDEX('Arroz irrigado'!$E53:$Z53,MIN(Q$6-$E$3,22))),0))-IF($G$2,0,IF((Q$6-$G$3)&lt;1,0,IFERROR(LOOKUP(2,1/('Arroz irrigado'!$E53:INDEX('Arroz irrigado'!$E53:$Z53,MIN(Q$6-$G$3,22))&lt;&gt;""),'Arroz irrigado'!$E53:INDEX('Arroz irrigado'!$E53:$Z53,MIN(Q$6-$G$3,22))),0)))))</f>
        <v>0</v>
      </c>
      <c r="R55" s="27" t="n">
        <f aca="false">IF(COUNT('Arroz irrigado'!$E53:$Z53)=0,0,MAX(0,IF((R$6-$E$3)&lt;1,0,IFERROR(LOOKUP(2,1/('Arroz irrigado'!$E53:INDEX('Arroz irrigado'!$E53:$Z53,MIN(R$6-$E$3,22))&lt;&gt;""),'Arroz irrigado'!$E53:INDEX('Arroz irrigado'!$E53:$Z53,MIN(R$6-$E$3,22))),0))-IF($G$2,0,IF((R$6-$G$3)&lt;1,0,IFERROR(LOOKUP(2,1/('Arroz irrigado'!$E53:INDEX('Arroz irrigado'!$E53:$Z53,MIN(R$6-$G$3,22))&lt;&gt;""),'Arroz irrigado'!$E53:INDEX('Arroz irrigado'!$E53:$Z53,MIN(R$6-$G$3,22))),0)))))</f>
        <v>0</v>
      </c>
      <c r="S55" s="27" t="n">
        <f aca="false">IF(COUNT('Arroz irrigado'!$E53:$Z53)=0,0,MAX(0,IF((S$6-$E$3)&lt;1,0,IFERROR(LOOKUP(2,1/('Arroz irrigado'!$E53:INDEX('Arroz irrigado'!$E53:$Z53,MIN(S$6-$E$3,22))&lt;&gt;""),'Arroz irrigado'!$E53:INDEX('Arroz irrigado'!$E53:$Z53,MIN(S$6-$E$3,22))),0))-IF($G$2,0,IF((S$6-$G$3)&lt;1,0,IFERROR(LOOKUP(2,1/('Arroz irrigado'!$E53:INDEX('Arroz irrigado'!$E53:$Z53,MIN(S$6-$G$3,22))&lt;&gt;""),'Arroz irrigado'!$E53:INDEX('Arroz irrigado'!$E53:$Z53,MIN(S$6-$G$3,22))),0)))))</f>
        <v>0</v>
      </c>
      <c r="T55" s="27" t="n">
        <f aca="false">IF(COUNT('Arroz irrigado'!$E53:$Z53)=0,0,MAX(0,IF((T$6-$E$3)&lt;1,0,IFERROR(LOOKUP(2,1/('Arroz irrigado'!$E53:INDEX('Arroz irrigado'!$E53:$Z53,MIN(T$6-$E$3,22))&lt;&gt;""),'Arroz irrigado'!$E53:INDEX('Arroz irrigado'!$E53:$Z53,MIN(T$6-$E$3,22))),0))-IF($G$2,0,IF((T$6-$G$3)&lt;1,0,IFERROR(LOOKUP(2,1/('Arroz irrigado'!$E53:INDEX('Arroz irrigado'!$E53:$Z53,MIN(T$6-$G$3,22))&lt;&gt;""),'Arroz irrigado'!$E53:INDEX('Arroz irrigado'!$E53:$Z53,MIN(T$6-$G$3,22))),0)))))</f>
        <v>0</v>
      </c>
      <c r="U55" s="27" t="n">
        <f aca="false">IF(COUNT('Arroz irrigado'!$E53:$Z53)=0,0,MAX(0,IF((U$6-$E$3)&lt;1,0,IFERROR(LOOKUP(2,1/('Arroz irrigado'!$E53:INDEX('Arroz irrigado'!$E53:$Z53,MIN(U$6-$E$3,22))&lt;&gt;""),'Arroz irrigado'!$E53:INDEX('Arroz irrigado'!$E53:$Z53,MIN(U$6-$E$3,22))),0))-IF($G$2,0,IF((U$6-$G$3)&lt;1,0,IFERROR(LOOKUP(2,1/('Arroz irrigado'!$E53:INDEX('Arroz irrigado'!$E53:$Z53,MIN(U$6-$G$3,22))&lt;&gt;""),'Arroz irrigado'!$E53:INDEX('Arroz irrigado'!$E53:$Z53,MIN(U$6-$G$3,22))),0)))))</f>
        <v>0</v>
      </c>
      <c r="V55" s="27" t="n">
        <f aca="false">IF(COUNT('Arroz irrigado'!$E53:$Z53)=0,0,MAX(0,IF((V$6-$E$3)&lt;1,0,IFERROR(LOOKUP(2,1/('Arroz irrigado'!$E53:INDEX('Arroz irrigado'!$E53:$Z53,MIN(V$6-$E$3,22))&lt;&gt;""),'Arroz irrigado'!$E53:INDEX('Arroz irrigado'!$E53:$Z53,MIN(V$6-$E$3,22))),0))-IF($G$2,0,IF((V$6-$G$3)&lt;1,0,IFERROR(LOOKUP(2,1/('Arroz irrigado'!$E53:INDEX('Arroz irrigado'!$E53:$Z53,MIN(V$6-$G$3,22))&lt;&gt;""),'Arroz irrigado'!$E53:INDEX('Arroz irrigado'!$E53:$Z53,MIN(V$6-$G$3,22))),0)))))</f>
        <v>0</v>
      </c>
      <c r="W55" s="27" t="n">
        <f aca="false">IF(COUNT('Arroz irrigado'!$E53:$Z53)=0,0,MAX(0,IF((W$6-$E$3)&lt;1,0,IFERROR(LOOKUP(2,1/('Arroz irrigado'!$E53:INDEX('Arroz irrigado'!$E53:$Z53,MIN(W$6-$E$3,22))&lt;&gt;""),'Arroz irrigado'!$E53:INDEX('Arroz irrigado'!$E53:$Z53,MIN(W$6-$E$3,22))),0))-IF($G$2,0,IF((W$6-$G$3)&lt;1,0,IFERROR(LOOKUP(2,1/('Arroz irrigado'!$E53:INDEX('Arroz irrigado'!$E53:$Z53,MIN(W$6-$G$3,22))&lt;&gt;""),'Arroz irrigado'!$E53:INDEX('Arroz irrigado'!$E53:$Z53,MIN(W$6-$G$3,22))),0)))))</f>
        <v>0</v>
      </c>
      <c r="X55" s="27" t="n">
        <f aca="false">IF(COUNT('Arroz irrigado'!$E53:$Z53)=0,0,MAX(0,IF((X$6-$E$3)&lt;1,0,IFERROR(LOOKUP(2,1/('Arroz irrigado'!$E53:INDEX('Arroz irrigado'!$E53:$Z53,MIN(X$6-$E$3,22))&lt;&gt;""),'Arroz irrigado'!$E53:INDEX('Arroz irrigado'!$E53:$Z53,MIN(X$6-$E$3,22))),0))-IF($G$2,0,IF((X$6-$G$3)&lt;1,0,IFERROR(LOOKUP(2,1/('Arroz irrigado'!$E53:INDEX('Arroz irrigado'!$E53:$Z53,MIN(X$6-$G$3,22))&lt;&gt;""),'Arroz irrigado'!$E53:INDEX('Arroz irrigado'!$E53:$Z53,MIN(X$6-$G$3,22))),0)))))</f>
        <v>0</v>
      </c>
      <c r="Y55" s="27" t="n">
        <f aca="false">IF(COUNT('Arroz irrigado'!$E53:$Z53)=0,0,MAX(0,IF((Y$6-$E$3)&lt;1,0,IFERROR(LOOKUP(2,1/('Arroz irrigado'!$E53:INDEX('Arroz irrigado'!$E53:$Z53,MIN(Y$6-$E$3,22))&lt;&gt;""),'Arroz irrigado'!$E53:INDEX('Arroz irrigado'!$E53:$Z53,MIN(Y$6-$E$3,22))),0))-IF($G$2,0,IF((Y$6-$G$3)&lt;1,0,IFERROR(LOOKUP(2,1/('Arroz irrigado'!$E53:INDEX('Arroz irrigado'!$E53:$Z53,MIN(Y$6-$G$3,22))&lt;&gt;""),'Arroz irrigado'!$E53:INDEX('Arroz irrigado'!$E53:$Z53,MIN(Y$6-$G$3,22))),0)))))</f>
        <v>0</v>
      </c>
      <c r="Z55" s="27" t="n">
        <f aca="false">IF(COUNT('Arroz irrigado'!$E53:$Z53)=0,0,MAX(0,IF((Z$6-$E$3)&lt;1,0,IFERROR(LOOKUP(2,1/('Arroz irrigado'!$E53:INDEX('Arroz irrigado'!$E53:$Z53,MIN(Z$6-$E$3,22))&lt;&gt;""),'Arroz irrigado'!$E53:INDEX('Arroz irrigado'!$E53:$Z53,MIN(Z$6-$E$3,22))),0))-IF($G$2,0,IF((Z$6-$G$3)&lt;1,0,IFERROR(LOOKUP(2,1/('Arroz irrigado'!$E53:INDEX('Arroz irrigado'!$E53:$Z53,MIN(Z$6-$G$3,22))&lt;&gt;""),'Arroz irrigado'!$E53:INDEX('Arroz irrigado'!$E53:$Z53,MIN(Z$6-$G$3,22))),0)))))</f>
        <v>0</v>
      </c>
      <c r="AA55" s="27" t="n">
        <f aca="false">IF(COUNT('Arroz irrigado'!$E53:$Z53)=0,0,MAX(0,IF((AA$6-$E$3)&lt;1,0,IFERROR(LOOKUP(2,1/('Arroz irrigado'!$E53:INDEX('Arroz irrigado'!$E53:$Z53,MIN(AA$6-$E$3,22))&lt;&gt;""),'Arroz irrigado'!$E53:INDEX('Arroz irrigado'!$E53:$Z53,MIN(AA$6-$E$3,22))),0))-IF($G$2,0,IF((AA$6-$G$3)&lt;1,0,IFERROR(LOOKUP(2,1/('Arroz irrigado'!$E53:INDEX('Arroz irrigado'!$E53:$Z53,MIN(AA$6-$G$3,22))&lt;&gt;""),'Arroz irrigado'!$E53:INDEX('Arroz irrigado'!$E53:$Z53,MIN(AA$6-$G$3,22))),0)))))</f>
        <v>0</v>
      </c>
      <c r="AB55" s="27" t="n">
        <f aca="false">IF(COUNT('Arroz irrigado'!$E53:$Z53)=0,0,MAX(0,IF((AB$6-$E$3)&lt;1,0,IFERROR(LOOKUP(2,1/('Arroz irrigado'!$E53:INDEX('Arroz irrigado'!$E53:$Z53,MIN(AB$6-$E$3,22))&lt;&gt;""),'Arroz irrigado'!$E53:INDEX('Arroz irrigado'!$E53:$Z53,MIN(AB$6-$E$3,22))),0))-IF($G$2,0,IF((AB$6-$G$3)&lt;1,0,IFERROR(LOOKUP(2,1/('Arroz irrigado'!$E53:INDEX('Arroz irrigado'!$E53:$Z53,MIN(AB$6-$G$3,22))&lt;&gt;""),'Arroz irrigado'!$E53:INDEX('Arroz irrigado'!$E53:$Z53,MIN(AB$6-$G$3,22))),0)))))</f>
        <v>0</v>
      </c>
      <c r="AC55" s="27" t="n">
        <f aca="false">IF(COUNT('Arroz irrigado'!$E53:$Z53)=0,0,MAX(0,IF((AC$6-$E$3)&lt;1,0,IFERROR(LOOKUP(2,1/('Arroz irrigado'!$E53:INDEX('Arroz irrigado'!$E53:$Z53,MIN(AC$6-$E$3,22))&lt;&gt;""),'Arroz irrigado'!$E53:INDEX('Arroz irrigado'!$E53:$Z53,MIN(AC$6-$E$3,22))),0))-IF($G$2,0,IF((AC$6-$G$3)&lt;1,0,IFERROR(LOOKUP(2,1/('Arroz irrigado'!$E53:INDEX('Arroz irrigado'!$E53:$Z53,MIN(AC$6-$G$3,22))&lt;&gt;""),'Arroz irrigado'!$E53:INDEX('Arroz irrigado'!$E53:$Z53,MIN(AC$6-$G$3,22))),0)))))</f>
        <v>0</v>
      </c>
      <c r="AD55" s="27" t="n">
        <f aca="false">IF(COUNT('Arroz irrigado'!$E53:$Z53)=0,0,MAX(0,IF((AD$6-$E$3)&lt;1,0,IFERROR(LOOKUP(2,1/('Arroz irrigado'!$E53:INDEX('Arroz irrigado'!$E53:$Z53,MIN(AD$6-$E$3,22))&lt;&gt;""),'Arroz irrigado'!$E53:INDEX('Arroz irrigado'!$E53:$Z53,MIN(AD$6-$E$3,22))),0))-IF($G$2,0,IF((AD$6-$G$3)&lt;1,0,IFERROR(LOOKUP(2,1/('Arroz irrigado'!$E53:INDEX('Arroz irrigado'!$E53:$Z53,MIN(AD$6-$G$3,22))&lt;&gt;""),'Arroz irrigado'!$E53:INDEX('Arroz irrigado'!$E53:$Z53,MIN(AD$6-$G$3,22))),0)))))</f>
        <v>0</v>
      </c>
      <c r="AE55" s="27" t="n">
        <f aca="false">IF(COUNT('Arroz irrigado'!$E53:$Z53)=0,0,MAX(0,IF((AE$6-$E$3)&lt;1,0,IFERROR(LOOKUP(2,1/('Arroz irrigado'!$E53:INDEX('Arroz irrigado'!$E53:$Z53,MIN(AE$6-$E$3,22))&lt;&gt;""),'Arroz irrigado'!$E53:INDEX('Arroz irrigado'!$E53:$Z53,MIN(AE$6-$E$3,22))),0))-IF($G$2,0,IF((AE$6-$G$3)&lt;1,0,IFERROR(LOOKUP(2,1/('Arroz irrigado'!$E53:INDEX('Arroz irrigado'!$E53:$Z53,MIN(AE$6-$G$3,22))&lt;&gt;""),'Arroz irrigado'!$E53:INDEX('Arroz irrigado'!$E53:$Z53,MIN(AE$6-$G$3,22))),0)))))</f>
        <v>0</v>
      </c>
      <c r="AF55" s="27" t="n">
        <f aca="false">IF(COUNT('Arroz irrigado'!$E53:$Z53)=0,0,MAX(0,IF((AF$6-$E$3)&lt;1,0,IFERROR(LOOKUP(2,1/('Arroz irrigado'!$E53:INDEX('Arroz irrigado'!$E53:$Z53,MIN(AF$6-$E$3,22))&lt;&gt;""),'Arroz irrigado'!$E53:INDEX('Arroz irrigado'!$E53:$Z53,MIN(AF$6-$E$3,22))),0))-IF($G$2,0,IF((AF$6-$G$3)&lt;1,0,IFERROR(LOOKUP(2,1/('Arroz irrigado'!$E53:INDEX('Arroz irrigado'!$E53:$Z53,MIN(AF$6-$G$3,22))&lt;&gt;""),'Arroz irrigado'!$E53:INDEX('Arroz irrigado'!$E53:$Z53,MIN(AF$6-$G$3,22))),0)))))</f>
        <v>0</v>
      </c>
      <c r="AG55" s="27" t="n">
        <f aca="false">IF(COUNT('Arroz irrigado'!$E53:$Z53)=0,0,MAX(0,IF((AG$6-$E$3)&lt;1,0,IFERROR(LOOKUP(2,1/('Arroz irrigado'!$E53:INDEX('Arroz irrigado'!$E53:$Z53,MIN(AG$6-$E$3,22))&lt;&gt;""),'Arroz irrigado'!$E53:INDEX('Arroz irrigado'!$E53:$Z53,MIN(AG$6-$E$3,22))),0))-IF($G$2,0,IF((AG$6-$G$3)&lt;1,0,IFERROR(LOOKUP(2,1/('Arroz irrigado'!$E53:INDEX('Arroz irrigado'!$E53:$Z53,MIN(AG$6-$G$3,22))&lt;&gt;""),'Arroz irrigado'!$E53:INDEX('Arroz irrigado'!$E53:$Z53,MIN(AG$6-$G$3,22))),0)))))</f>
        <v>0</v>
      </c>
      <c r="AH55" s="27" t="n">
        <f aca="false">IF(COUNT('Arroz irrigado'!$E53:$Z53)=0,0,MAX(0,IF((AH$6-$E$3)&lt;1,0,IFERROR(LOOKUP(2,1/('Arroz irrigado'!$E53:INDEX('Arroz irrigado'!$E53:$Z53,MIN(AH$6-$E$3,22))&lt;&gt;""),'Arroz irrigado'!$E53:INDEX('Arroz irrigado'!$E53:$Z53,MIN(AH$6-$E$3,22))),0))-IF($G$2,0,IF((AH$6-$G$3)&lt;1,0,IFERROR(LOOKUP(2,1/('Arroz irrigado'!$E53:INDEX('Arroz irrigado'!$E53:$Z53,MIN(AH$6-$G$3,22))&lt;&gt;""),'Arroz irrigado'!$E53:INDEX('Arroz irrigado'!$E53:$Z53,MIN(AH$6-$G$3,22))),0)))))</f>
        <v>0</v>
      </c>
      <c r="AI55" s="27" t="n">
        <f aca="false">IF(COUNT('Arroz irrigado'!$E53:$Z53)=0,0,MAX(0,IF((AI$6-$E$3)&lt;1,0,IFERROR(LOOKUP(2,1/('Arroz irrigado'!$E53:INDEX('Arroz irrigado'!$E53:$Z53,MIN(AI$6-$E$3,22))&lt;&gt;""),'Arroz irrigado'!$E53:INDEX('Arroz irrigado'!$E53:$Z53,MIN(AI$6-$E$3,22))),0))-IF($G$2,0,IF((AI$6-$G$3)&lt;1,0,IFERROR(LOOKUP(2,1/('Arroz irrigado'!$E53:INDEX('Arroz irrigado'!$E53:$Z53,MIN(AI$6-$G$3,22))&lt;&gt;""),'Arroz irrigado'!$E53:INDEX('Arroz irrigado'!$E53:$Z53,MIN(AI$6-$G$3,22))),0)))))</f>
        <v>0</v>
      </c>
      <c r="AJ55" s="27" t="n">
        <f aca="false">IF(COUNT('Arroz irrigado'!$E53:$Z53)=0,0,MAX(0,IF((AJ$6-$E$3)&lt;1,0,IFERROR(LOOKUP(2,1/('Arroz irrigado'!$E53:INDEX('Arroz irrigado'!$E53:$Z53,MIN(AJ$6-$E$3,22))&lt;&gt;""),'Arroz irrigado'!$E53:INDEX('Arroz irrigado'!$E53:$Z53,MIN(AJ$6-$E$3,22))),0))-IF($G$2,0,IF((AJ$6-$G$3)&lt;1,0,IFERROR(LOOKUP(2,1/('Arroz irrigado'!$E53:INDEX('Arroz irrigado'!$E53:$Z53,MIN(AJ$6-$G$3,22))&lt;&gt;""),'Arroz irrigado'!$E53:INDEX('Arroz irrigado'!$E53:$Z53,MIN(AJ$6-$G$3,22))),0)))))</f>
        <v>0</v>
      </c>
      <c r="AK55" s="27" t="n">
        <f aca="false">IF(COUNT('Arroz irrigado'!$E53:$Z53)=0,0,MAX(0,IF((AK$6-$E$3)&lt;1,0,IFERROR(LOOKUP(2,1/('Arroz irrigado'!$E53:INDEX('Arroz irrigado'!$E53:$Z53,MIN(AK$6-$E$3,22))&lt;&gt;""),'Arroz irrigado'!$E53:INDEX('Arroz irrigado'!$E53:$Z53,MIN(AK$6-$E$3,22))),0))-IF($G$2,0,IF((AK$6-$G$3)&lt;1,0,IFERROR(LOOKUP(2,1/('Arroz irrigado'!$E53:INDEX('Arroz irrigado'!$E53:$Z53,MIN(AK$6-$G$3,22))&lt;&gt;""),'Arroz irrigado'!$E53:INDEX('Arroz irrigado'!$E53:$Z53,MIN(AK$6-$G$3,22))),0)))))</f>
        <v>0</v>
      </c>
      <c r="AL55" s="27" t="n">
        <f aca="false">IF(COUNT('Arroz irrigado'!$E53:$Z53)=0,0,MAX(0,IF((AL$6-$E$3)&lt;1,0,IFERROR(LOOKUP(2,1/('Arroz irrigado'!$E53:INDEX('Arroz irrigado'!$E53:$Z53,MIN(AL$6-$E$3,22))&lt;&gt;""),'Arroz irrigado'!$E53:INDEX('Arroz irrigado'!$E53:$Z53,MIN(AL$6-$E$3,22))),0))-IF($G$2,0,IF((AL$6-$G$3)&lt;1,0,IFERROR(LOOKUP(2,1/('Arroz irrigado'!$E53:INDEX('Arroz irrigado'!$E53:$Z53,MIN(AL$6-$G$3,22))&lt;&gt;""),'Arroz irrigado'!$E53:INDEX('Arroz irrigado'!$E53:$Z53,MIN(AL$6-$G$3,22))),0)))))</f>
        <v>0</v>
      </c>
      <c r="AM55" s="27" t="n">
        <f aca="false">IF(COUNT('Arroz irrigado'!$E53:$Z53)=0,0,MAX(0,IF((AM$6-$E$3)&lt;1,0,IFERROR(LOOKUP(2,1/('Arroz irrigado'!$E53:INDEX('Arroz irrigado'!$E53:$Z53,MIN(AM$6-$E$3,22))&lt;&gt;""),'Arroz irrigado'!$E53:INDEX('Arroz irrigado'!$E53:$Z53,MIN(AM$6-$E$3,22))),0))-IF($G$2,0,IF((AM$6-$G$3)&lt;1,0,IFERROR(LOOKUP(2,1/('Arroz irrigado'!$E53:INDEX('Arroz irrigado'!$E53:$Z53,MIN(AM$6-$G$3,22))&lt;&gt;""),'Arroz irrigado'!$E53:INDEX('Arroz irrigado'!$E53:$Z53,MIN(AM$6-$G$3,22))),0)))))</f>
        <v>0</v>
      </c>
      <c r="AN55" s="27" t="n">
        <f aca="false">IF(COUNT('Arroz irrigado'!$E53:$Z53)=0,0,MAX(0,IF((AN$6-$E$3)&lt;1,0,IFERROR(LOOKUP(2,1/('Arroz irrigado'!$E53:INDEX('Arroz irrigado'!$E53:$Z53,MIN(AN$6-$E$3,22))&lt;&gt;""),'Arroz irrigado'!$E53:INDEX('Arroz irrigado'!$E53:$Z53,MIN(AN$6-$E$3,22))),0))-IF($G$2,0,IF((AN$6-$G$3)&lt;1,0,IFERROR(LOOKUP(2,1/('Arroz irrigado'!$E53:INDEX('Arroz irrigado'!$E53:$Z53,MIN(AN$6-$G$3,22))&lt;&gt;""),'Arroz irrigado'!$E53:INDEX('Arroz irrigado'!$E53:$Z53,MIN(AN$6-$G$3,22))),0)))))</f>
        <v>0</v>
      </c>
      <c r="AO55" s="27" t="n">
        <f aca="false">IF(COUNT('Arroz irrigado'!$E53:$Z53)=0,0,MAX(0,IF((AO$6-$E$3)&lt;1,0,IFERROR(LOOKUP(2,1/('Arroz irrigado'!$E53:INDEX('Arroz irrigado'!$E53:$Z53,MIN(AO$6-$E$3,22))&lt;&gt;""),'Arroz irrigado'!$E53:INDEX('Arroz irrigado'!$E53:$Z53,MIN(AO$6-$E$3,22))),0))-IF($G$2,0,IF((AO$6-$G$3)&lt;1,0,IFERROR(LOOKUP(2,1/('Arroz irrigado'!$E53:INDEX('Arroz irrigado'!$E53:$Z53,MIN(AO$6-$G$3,22))&lt;&gt;""),'Arroz irrigado'!$E53:INDEX('Arroz irrigado'!$E53:$Z53,MIN(AO$6-$G$3,22))),0)))))</f>
        <v>0</v>
      </c>
      <c r="AP55" s="27" t="n">
        <f aca="false">IF(COUNT('Arroz irrigado'!$E53:$Z53)=0,0,MAX(0,IF((AP$6-$E$3)&lt;1,0,IFERROR(LOOKUP(2,1/('Arroz irrigado'!$E53:INDEX('Arroz irrigado'!$E53:$Z53,MIN(AP$6-$E$3,22))&lt;&gt;""),'Arroz irrigado'!$E53:INDEX('Arroz irrigado'!$E53:$Z53,MIN(AP$6-$E$3,22))),0))-IF($G$2,0,IF((AP$6-$G$3)&lt;1,0,IFERROR(LOOKUP(2,1/('Arroz irrigado'!$E53:INDEX('Arroz irrigado'!$E53:$Z53,MIN(AP$6-$G$3,22))&lt;&gt;""),'Arroz irrigado'!$E53:INDEX('Arroz irrigado'!$E53:$Z53,MIN(AP$6-$G$3,22))),0)))))</f>
        <v>0</v>
      </c>
      <c r="AQ55" s="27" t="n">
        <f aca="false">IF(COUNT('Arroz irrigado'!$E53:$Z53)=0,0,MAX(0,IF((AQ$6-$E$3)&lt;1,0,IFERROR(LOOKUP(2,1/('Arroz irrigado'!$E53:INDEX('Arroz irrigado'!$E53:$Z53,MIN(AQ$6-$E$3,22))&lt;&gt;""),'Arroz irrigado'!$E53:INDEX('Arroz irrigado'!$E53:$Z53,MIN(AQ$6-$E$3,22))),0))-IF($G$2,0,IF((AQ$6-$G$3)&lt;1,0,IFERROR(LOOKUP(2,1/('Arroz irrigado'!$E53:INDEX('Arroz irrigado'!$E53:$Z53,MIN(AQ$6-$G$3,22))&lt;&gt;""),'Arroz irrigado'!$E53:INDEX('Arroz irrigado'!$E53:$Z53,MIN(AQ$6-$G$3,22))),0)))))</f>
        <v>0</v>
      </c>
      <c r="AR55" s="27" t="n">
        <f aca="false">IF(COUNT('Arroz irrigado'!$E53:$Z53)=0,0,MAX(0,IF((AR$6-$E$3)&lt;1,0,IFERROR(LOOKUP(2,1/('Arroz irrigado'!$E53:INDEX('Arroz irrigado'!$E53:$Z53,MIN(AR$6-$E$3,22))&lt;&gt;""),'Arroz irrigado'!$E53:INDEX('Arroz irrigado'!$E53:$Z53,MIN(AR$6-$E$3,22))),0))-IF($G$2,0,IF((AR$6-$G$3)&lt;1,0,IFERROR(LOOKUP(2,1/('Arroz irrigado'!$E53:INDEX('Arroz irrigado'!$E53:$Z53,MIN(AR$6-$G$3,22))&lt;&gt;""),'Arroz irrigado'!$E53:INDEX('Arroz irrigado'!$E53:$Z53,MIN(AR$6-$G$3,22))),0)))))</f>
        <v>0</v>
      </c>
      <c r="AS55" s="27" t="n">
        <f aca="false">IF(COUNT('Arroz irrigado'!$E53:$Z53)=0,0,MAX(0,IF((AS$6-$E$3)&lt;1,0,IFERROR(LOOKUP(2,1/('Arroz irrigado'!$E53:INDEX('Arroz irrigado'!$E53:$Z53,MIN(AS$6-$E$3,22))&lt;&gt;""),'Arroz irrigado'!$E53:INDEX('Arroz irrigado'!$E53:$Z53,MIN(AS$6-$E$3,22))),0))-IF($G$2,0,IF((AS$6-$G$3)&lt;1,0,IFERROR(LOOKUP(2,1/('Arroz irrigado'!$E53:INDEX('Arroz irrigado'!$E53:$Z53,MIN(AS$6-$G$3,22))&lt;&gt;""),'Arroz irrigado'!$E53:INDEX('Arroz irrigado'!$E53:$Z53,MIN(AS$6-$G$3,22))),0)))))</f>
        <v>0</v>
      </c>
      <c r="AT55" s="27" t="n">
        <f aca="false">IF(COUNT('Arroz irrigado'!$E53:$Z53)=0,0,MAX(0,IF((AT$6-$E$3)&lt;1,0,IFERROR(LOOKUP(2,1/('Arroz irrigado'!$E53:INDEX('Arroz irrigado'!$E53:$Z53,MIN(AT$6-$E$3,22))&lt;&gt;""),'Arroz irrigado'!$E53:INDEX('Arroz irrigado'!$E53:$Z53,MIN(AT$6-$E$3,22))),0))-IF($G$2,0,IF((AT$6-$G$3)&lt;1,0,IFERROR(LOOKUP(2,1/('Arroz irrigado'!$E53:INDEX('Arroz irrigado'!$E53:$Z53,MIN(AT$6-$G$3,22))&lt;&gt;""),'Arroz irrigado'!$E53:INDEX('Arroz irrigado'!$E53:$Z53,MIN(AT$6-$G$3,22))),0)))))</f>
        <v>0</v>
      </c>
      <c r="AU55" s="27" t="n">
        <f aca="false">IF(COUNT('Arroz irrigado'!$E53:$Z53)=0,0,MAX(0,IF((AU$6-$E$3)&lt;1,0,IFERROR(LOOKUP(2,1/('Arroz irrigado'!$E53:INDEX('Arroz irrigado'!$E53:$Z53,MIN(AU$6-$E$3,22))&lt;&gt;""),'Arroz irrigado'!$E53:INDEX('Arroz irrigado'!$E53:$Z53,MIN(AU$6-$E$3,22))),0))-IF($G$2,0,IF((AU$6-$G$3)&lt;1,0,IFERROR(LOOKUP(2,1/('Arroz irrigado'!$E53:INDEX('Arroz irrigado'!$E53:$Z53,MIN(AU$6-$G$3,22))&lt;&gt;""),'Arroz irrigado'!$E53:INDEX('Arroz irrigado'!$E53:$Z53,MIN(AU$6-$G$3,22))),0)))))</f>
        <v>0</v>
      </c>
      <c r="AV55" s="27" t="n">
        <f aca="false">IF(COUNT('Arroz irrigado'!$E53:$Z53)=0,0,MAX(0,IF((AV$6-$E$3)&lt;1,0,IFERROR(LOOKUP(2,1/('Arroz irrigado'!$E53:INDEX('Arroz irrigado'!$E53:$Z53,MIN(AV$6-$E$3,22))&lt;&gt;""),'Arroz irrigado'!$E53:INDEX('Arroz irrigado'!$E53:$Z53,MIN(AV$6-$E$3,22))),0))-IF($G$2,0,IF((AV$6-$G$3)&lt;1,0,IFERROR(LOOKUP(2,1/('Arroz irrigado'!$E53:INDEX('Arroz irrigado'!$E53:$Z53,MIN(AV$6-$G$3,22))&lt;&gt;""),'Arroz irrigado'!$E53:INDEX('Arroz irrigado'!$E53:$Z53,MIN(AV$6-$G$3,22))),0)))))</f>
        <v>0</v>
      </c>
      <c r="AW55" s="27" t="n">
        <f aca="false">IF(COUNT('Arroz irrigado'!$E53:$Z53)=0,0,MAX(0,IF((AW$6-$E$3)&lt;1,0,IFERROR(LOOKUP(2,1/('Arroz irrigado'!$E53:INDEX('Arroz irrigado'!$E53:$Z53,MIN(AW$6-$E$3,22))&lt;&gt;""),'Arroz irrigado'!$E53:INDEX('Arroz irrigado'!$E53:$Z53,MIN(AW$6-$E$3,22))),0))-IF($G$2,0,IF((AW$6-$G$3)&lt;1,0,IFERROR(LOOKUP(2,1/('Arroz irrigado'!$E53:INDEX('Arroz irrigado'!$E53:$Z53,MIN(AW$6-$G$3,22))&lt;&gt;""),'Arroz irrigado'!$E53:INDEX('Arroz irrigado'!$E53:$Z53,MIN(AW$6-$G$3,22))),0)))))</f>
        <v>0</v>
      </c>
      <c r="AX55" s="27" t="n">
        <f aca="false">IF(COUNT('Arroz irrigado'!$E53:$Z53)=0,0,MAX(0,IF((AX$6-$E$3)&lt;1,0,IFERROR(LOOKUP(2,1/('Arroz irrigado'!$E53:INDEX('Arroz irrigado'!$E53:$Z53,MIN(AX$6-$E$3,22))&lt;&gt;""),'Arroz irrigado'!$E53:INDEX('Arroz irrigado'!$E53:$Z53,MIN(AX$6-$E$3,22))),0))-IF($G$2,0,IF((AX$6-$G$3)&lt;1,0,IFERROR(LOOKUP(2,1/('Arroz irrigado'!$E53:INDEX('Arroz irrigado'!$E53:$Z53,MIN(AX$6-$G$3,22))&lt;&gt;""),'Arroz irrigado'!$E53:INDEX('Arroz irrigado'!$E53:$Z53,MIN(AX$6-$G$3,22))),0)))))</f>
        <v>0</v>
      </c>
      <c r="AY55" s="27" t="n">
        <f aca="false">IF(COUNT('Arroz irrigado'!$E53:$Z53)=0,0,MAX(0,IF((AY$6-$E$3)&lt;1,0,IFERROR(LOOKUP(2,1/('Arroz irrigado'!$E53:INDEX('Arroz irrigado'!$E53:$Z53,MIN(AY$6-$E$3,22))&lt;&gt;""),'Arroz irrigado'!$E53:INDEX('Arroz irrigado'!$E53:$Z53,MIN(AY$6-$E$3,22))),0))-IF($G$2,0,IF((AY$6-$G$3)&lt;1,0,IFERROR(LOOKUP(2,1/('Arroz irrigado'!$E53:INDEX('Arroz irrigado'!$E53:$Z53,MIN(AY$6-$G$3,22))&lt;&gt;""),'Arroz irrigado'!$E53:INDEX('Arroz irrigado'!$E53:$Z53,MIN(AY$6-$G$3,22))),0)))))</f>
        <v>0</v>
      </c>
      <c r="AZ55" s="27" t="n">
        <f aca="false">IF(COUNT('Arroz irrigado'!$E53:$Z53)=0,0,MAX(0,IF((AZ$6-$E$3)&lt;1,0,IFERROR(LOOKUP(2,1/('Arroz irrigado'!$E53:INDEX('Arroz irrigado'!$E53:$Z53,MIN(AZ$6-$E$3,22))&lt;&gt;""),'Arroz irrigado'!$E53:INDEX('Arroz irrigado'!$E53:$Z53,MIN(AZ$6-$E$3,22))),0))-IF($G$2,0,IF((AZ$6-$G$3)&lt;1,0,IFERROR(LOOKUP(2,1/('Arroz irrigado'!$E53:INDEX('Arroz irrigado'!$E53:$Z53,MIN(AZ$6-$G$3,22))&lt;&gt;""),'Arroz irrigado'!$E53:INDEX('Arroz irrigado'!$E53:$Z53,MIN(AZ$6-$G$3,22))),0)))))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IF(COUNT('Arroz irrigado'!$E54:$Z54)&gt;0,N('Arroz irrigado'!$D54),0)</f>
        <v>0</v>
      </c>
      <c r="E56" s="27" t="n">
        <f aca="false">IF(COUNT('Arroz irrigado'!$E54:$Z54)=0,0,MAX(0,IF((E$6-$E$3)&lt;1,0,IFERROR(LOOKUP(2,1/('Arroz irrigado'!$E54:INDEX('Arroz irrigado'!$E54:$Z54,MIN(E$6-$E$3,22))&lt;&gt;""),'Arroz irrigado'!$E54:INDEX('Arroz irrigado'!$E54:$Z54,MIN(E$6-$E$3,22))),0))-IF($G$2,0,IF((E$6-$G$3)&lt;1,0,IFERROR(LOOKUP(2,1/('Arroz irrigado'!$E54:INDEX('Arroz irrigado'!$E54:$Z54,MIN(E$6-$G$3,22))&lt;&gt;""),'Arroz irrigado'!$E54:INDEX('Arroz irrigado'!$E54:$Z54,MIN(E$6-$G$3,22))),0)))))</f>
        <v>0</v>
      </c>
      <c r="F56" s="27" t="n">
        <f aca="false">IF(COUNT('Arroz irrigado'!$E54:$Z54)=0,0,MAX(0,IF((F$6-$E$3)&lt;1,0,IFERROR(LOOKUP(2,1/('Arroz irrigado'!$E54:INDEX('Arroz irrigado'!$E54:$Z54,MIN(F$6-$E$3,22))&lt;&gt;""),'Arroz irrigado'!$E54:INDEX('Arroz irrigado'!$E54:$Z54,MIN(F$6-$E$3,22))),0))-IF($G$2,0,IF((F$6-$G$3)&lt;1,0,IFERROR(LOOKUP(2,1/('Arroz irrigado'!$E54:INDEX('Arroz irrigado'!$E54:$Z54,MIN(F$6-$G$3,22))&lt;&gt;""),'Arroz irrigado'!$E54:INDEX('Arroz irrigado'!$E54:$Z54,MIN(F$6-$G$3,22))),0)))))</f>
        <v>0</v>
      </c>
      <c r="G56" s="27" t="n">
        <f aca="false">IF(COUNT('Arroz irrigado'!$E54:$Z54)=0,0,MAX(0,IF((G$6-$E$3)&lt;1,0,IFERROR(LOOKUP(2,1/('Arroz irrigado'!$E54:INDEX('Arroz irrigado'!$E54:$Z54,MIN(G$6-$E$3,22))&lt;&gt;""),'Arroz irrigado'!$E54:INDEX('Arroz irrigado'!$E54:$Z54,MIN(G$6-$E$3,22))),0))-IF($G$2,0,IF((G$6-$G$3)&lt;1,0,IFERROR(LOOKUP(2,1/('Arroz irrigado'!$E54:INDEX('Arroz irrigado'!$E54:$Z54,MIN(G$6-$G$3,22))&lt;&gt;""),'Arroz irrigado'!$E54:INDEX('Arroz irrigado'!$E54:$Z54,MIN(G$6-$G$3,22))),0)))))</f>
        <v>0</v>
      </c>
      <c r="H56" s="27" t="n">
        <f aca="false">IF(COUNT('Arroz irrigado'!$E54:$Z54)=0,0,MAX(0,IF((H$6-$E$3)&lt;1,0,IFERROR(LOOKUP(2,1/('Arroz irrigado'!$E54:INDEX('Arroz irrigado'!$E54:$Z54,MIN(H$6-$E$3,22))&lt;&gt;""),'Arroz irrigado'!$E54:INDEX('Arroz irrigado'!$E54:$Z54,MIN(H$6-$E$3,22))),0))-IF($G$2,0,IF((H$6-$G$3)&lt;1,0,IFERROR(LOOKUP(2,1/('Arroz irrigado'!$E54:INDEX('Arroz irrigado'!$E54:$Z54,MIN(H$6-$G$3,22))&lt;&gt;""),'Arroz irrigado'!$E54:INDEX('Arroz irrigado'!$E54:$Z54,MIN(H$6-$G$3,22))),0)))))</f>
        <v>0</v>
      </c>
      <c r="I56" s="27" t="n">
        <f aca="false">IF(COUNT('Arroz irrigado'!$E54:$Z54)=0,0,MAX(0,IF((I$6-$E$3)&lt;1,0,IFERROR(LOOKUP(2,1/('Arroz irrigado'!$E54:INDEX('Arroz irrigado'!$E54:$Z54,MIN(I$6-$E$3,22))&lt;&gt;""),'Arroz irrigado'!$E54:INDEX('Arroz irrigado'!$E54:$Z54,MIN(I$6-$E$3,22))),0))-IF($G$2,0,IF((I$6-$G$3)&lt;1,0,IFERROR(LOOKUP(2,1/('Arroz irrigado'!$E54:INDEX('Arroz irrigado'!$E54:$Z54,MIN(I$6-$G$3,22))&lt;&gt;""),'Arroz irrigado'!$E54:INDEX('Arroz irrigado'!$E54:$Z54,MIN(I$6-$G$3,22))),0)))))</f>
        <v>0</v>
      </c>
      <c r="J56" s="27" t="n">
        <f aca="false">IF(COUNT('Arroz irrigado'!$E54:$Z54)=0,0,MAX(0,IF((J$6-$E$3)&lt;1,0,IFERROR(LOOKUP(2,1/('Arroz irrigado'!$E54:INDEX('Arroz irrigado'!$E54:$Z54,MIN(J$6-$E$3,22))&lt;&gt;""),'Arroz irrigado'!$E54:INDEX('Arroz irrigado'!$E54:$Z54,MIN(J$6-$E$3,22))),0))-IF($G$2,0,IF((J$6-$G$3)&lt;1,0,IFERROR(LOOKUP(2,1/('Arroz irrigado'!$E54:INDEX('Arroz irrigado'!$E54:$Z54,MIN(J$6-$G$3,22))&lt;&gt;""),'Arroz irrigado'!$E54:INDEX('Arroz irrigado'!$E54:$Z54,MIN(J$6-$G$3,22))),0)))))</f>
        <v>0</v>
      </c>
      <c r="K56" s="27" t="n">
        <f aca="false">IF(COUNT('Arroz irrigado'!$E54:$Z54)=0,0,MAX(0,IF((K$6-$E$3)&lt;1,0,IFERROR(LOOKUP(2,1/('Arroz irrigado'!$E54:INDEX('Arroz irrigado'!$E54:$Z54,MIN(K$6-$E$3,22))&lt;&gt;""),'Arroz irrigado'!$E54:INDEX('Arroz irrigado'!$E54:$Z54,MIN(K$6-$E$3,22))),0))-IF($G$2,0,IF((K$6-$G$3)&lt;1,0,IFERROR(LOOKUP(2,1/('Arroz irrigado'!$E54:INDEX('Arroz irrigado'!$E54:$Z54,MIN(K$6-$G$3,22))&lt;&gt;""),'Arroz irrigado'!$E54:INDEX('Arroz irrigado'!$E54:$Z54,MIN(K$6-$G$3,22))),0)))))</f>
        <v>0</v>
      </c>
      <c r="L56" s="27" t="n">
        <f aca="false">IF(COUNT('Arroz irrigado'!$E54:$Z54)=0,0,MAX(0,IF((L$6-$E$3)&lt;1,0,IFERROR(LOOKUP(2,1/('Arroz irrigado'!$E54:INDEX('Arroz irrigado'!$E54:$Z54,MIN(L$6-$E$3,22))&lt;&gt;""),'Arroz irrigado'!$E54:INDEX('Arroz irrigado'!$E54:$Z54,MIN(L$6-$E$3,22))),0))-IF($G$2,0,IF((L$6-$G$3)&lt;1,0,IFERROR(LOOKUP(2,1/('Arroz irrigado'!$E54:INDEX('Arroz irrigado'!$E54:$Z54,MIN(L$6-$G$3,22))&lt;&gt;""),'Arroz irrigado'!$E54:INDEX('Arroz irrigado'!$E54:$Z54,MIN(L$6-$G$3,22))),0)))))</f>
        <v>0</v>
      </c>
      <c r="M56" s="27" t="n">
        <f aca="false">IF(COUNT('Arroz irrigado'!$E54:$Z54)=0,0,MAX(0,IF((M$6-$E$3)&lt;1,0,IFERROR(LOOKUP(2,1/('Arroz irrigado'!$E54:INDEX('Arroz irrigado'!$E54:$Z54,MIN(M$6-$E$3,22))&lt;&gt;""),'Arroz irrigado'!$E54:INDEX('Arroz irrigado'!$E54:$Z54,MIN(M$6-$E$3,22))),0))-IF($G$2,0,IF((M$6-$G$3)&lt;1,0,IFERROR(LOOKUP(2,1/('Arroz irrigado'!$E54:INDEX('Arroz irrigado'!$E54:$Z54,MIN(M$6-$G$3,22))&lt;&gt;""),'Arroz irrigado'!$E54:INDEX('Arroz irrigado'!$E54:$Z54,MIN(M$6-$G$3,22))),0)))))</f>
        <v>0</v>
      </c>
      <c r="N56" s="27" t="n">
        <f aca="false">IF(COUNT('Arroz irrigado'!$E54:$Z54)=0,0,MAX(0,IF((N$6-$E$3)&lt;1,0,IFERROR(LOOKUP(2,1/('Arroz irrigado'!$E54:INDEX('Arroz irrigado'!$E54:$Z54,MIN(N$6-$E$3,22))&lt;&gt;""),'Arroz irrigado'!$E54:INDEX('Arroz irrigado'!$E54:$Z54,MIN(N$6-$E$3,22))),0))-IF($G$2,0,IF((N$6-$G$3)&lt;1,0,IFERROR(LOOKUP(2,1/('Arroz irrigado'!$E54:INDEX('Arroz irrigado'!$E54:$Z54,MIN(N$6-$G$3,22))&lt;&gt;""),'Arroz irrigado'!$E54:INDEX('Arroz irrigado'!$E54:$Z54,MIN(N$6-$G$3,22))),0)))))</f>
        <v>0</v>
      </c>
      <c r="O56" s="27" t="n">
        <f aca="false">IF(COUNT('Arroz irrigado'!$E54:$Z54)=0,0,MAX(0,IF((O$6-$E$3)&lt;1,0,IFERROR(LOOKUP(2,1/('Arroz irrigado'!$E54:INDEX('Arroz irrigado'!$E54:$Z54,MIN(O$6-$E$3,22))&lt;&gt;""),'Arroz irrigado'!$E54:INDEX('Arroz irrigado'!$E54:$Z54,MIN(O$6-$E$3,22))),0))-IF($G$2,0,IF((O$6-$G$3)&lt;1,0,IFERROR(LOOKUP(2,1/('Arroz irrigado'!$E54:INDEX('Arroz irrigado'!$E54:$Z54,MIN(O$6-$G$3,22))&lt;&gt;""),'Arroz irrigado'!$E54:INDEX('Arroz irrigado'!$E54:$Z54,MIN(O$6-$G$3,22))),0)))))</f>
        <v>0</v>
      </c>
      <c r="P56" s="27" t="n">
        <f aca="false">IF(COUNT('Arroz irrigado'!$E54:$Z54)=0,0,MAX(0,IF((P$6-$E$3)&lt;1,0,IFERROR(LOOKUP(2,1/('Arroz irrigado'!$E54:INDEX('Arroz irrigado'!$E54:$Z54,MIN(P$6-$E$3,22))&lt;&gt;""),'Arroz irrigado'!$E54:INDEX('Arroz irrigado'!$E54:$Z54,MIN(P$6-$E$3,22))),0))-IF($G$2,0,IF((P$6-$G$3)&lt;1,0,IFERROR(LOOKUP(2,1/('Arroz irrigado'!$E54:INDEX('Arroz irrigado'!$E54:$Z54,MIN(P$6-$G$3,22))&lt;&gt;""),'Arroz irrigado'!$E54:INDEX('Arroz irrigado'!$E54:$Z54,MIN(P$6-$G$3,22))),0)))))</f>
        <v>0</v>
      </c>
      <c r="Q56" s="27" t="n">
        <f aca="false">IF(COUNT('Arroz irrigado'!$E54:$Z54)=0,0,MAX(0,IF((Q$6-$E$3)&lt;1,0,IFERROR(LOOKUP(2,1/('Arroz irrigado'!$E54:INDEX('Arroz irrigado'!$E54:$Z54,MIN(Q$6-$E$3,22))&lt;&gt;""),'Arroz irrigado'!$E54:INDEX('Arroz irrigado'!$E54:$Z54,MIN(Q$6-$E$3,22))),0))-IF($G$2,0,IF((Q$6-$G$3)&lt;1,0,IFERROR(LOOKUP(2,1/('Arroz irrigado'!$E54:INDEX('Arroz irrigado'!$E54:$Z54,MIN(Q$6-$G$3,22))&lt;&gt;""),'Arroz irrigado'!$E54:INDEX('Arroz irrigado'!$E54:$Z54,MIN(Q$6-$G$3,22))),0)))))</f>
        <v>0</v>
      </c>
      <c r="R56" s="27" t="n">
        <f aca="false">IF(COUNT('Arroz irrigado'!$E54:$Z54)=0,0,MAX(0,IF((R$6-$E$3)&lt;1,0,IFERROR(LOOKUP(2,1/('Arroz irrigado'!$E54:INDEX('Arroz irrigado'!$E54:$Z54,MIN(R$6-$E$3,22))&lt;&gt;""),'Arroz irrigado'!$E54:INDEX('Arroz irrigado'!$E54:$Z54,MIN(R$6-$E$3,22))),0))-IF($G$2,0,IF((R$6-$G$3)&lt;1,0,IFERROR(LOOKUP(2,1/('Arroz irrigado'!$E54:INDEX('Arroz irrigado'!$E54:$Z54,MIN(R$6-$G$3,22))&lt;&gt;""),'Arroz irrigado'!$E54:INDEX('Arroz irrigado'!$E54:$Z54,MIN(R$6-$G$3,22))),0)))))</f>
        <v>0</v>
      </c>
      <c r="S56" s="27" t="n">
        <f aca="false">IF(COUNT('Arroz irrigado'!$E54:$Z54)=0,0,MAX(0,IF((S$6-$E$3)&lt;1,0,IFERROR(LOOKUP(2,1/('Arroz irrigado'!$E54:INDEX('Arroz irrigado'!$E54:$Z54,MIN(S$6-$E$3,22))&lt;&gt;""),'Arroz irrigado'!$E54:INDEX('Arroz irrigado'!$E54:$Z54,MIN(S$6-$E$3,22))),0))-IF($G$2,0,IF((S$6-$G$3)&lt;1,0,IFERROR(LOOKUP(2,1/('Arroz irrigado'!$E54:INDEX('Arroz irrigado'!$E54:$Z54,MIN(S$6-$G$3,22))&lt;&gt;""),'Arroz irrigado'!$E54:INDEX('Arroz irrigado'!$E54:$Z54,MIN(S$6-$G$3,22))),0)))))</f>
        <v>0</v>
      </c>
      <c r="T56" s="27" t="n">
        <f aca="false">IF(COUNT('Arroz irrigado'!$E54:$Z54)=0,0,MAX(0,IF((T$6-$E$3)&lt;1,0,IFERROR(LOOKUP(2,1/('Arroz irrigado'!$E54:INDEX('Arroz irrigado'!$E54:$Z54,MIN(T$6-$E$3,22))&lt;&gt;""),'Arroz irrigado'!$E54:INDEX('Arroz irrigado'!$E54:$Z54,MIN(T$6-$E$3,22))),0))-IF($G$2,0,IF((T$6-$G$3)&lt;1,0,IFERROR(LOOKUP(2,1/('Arroz irrigado'!$E54:INDEX('Arroz irrigado'!$E54:$Z54,MIN(T$6-$G$3,22))&lt;&gt;""),'Arroz irrigado'!$E54:INDEX('Arroz irrigado'!$E54:$Z54,MIN(T$6-$G$3,22))),0)))))</f>
        <v>0</v>
      </c>
      <c r="U56" s="27" t="n">
        <f aca="false">IF(COUNT('Arroz irrigado'!$E54:$Z54)=0,0,MAX(0,IF((U$6-$E$3)&lt;1,0,IFERROR(LOOKUP(2,1/('Arroz irrigado'!$E54:INDEX('Arroz irrigado'!$E54:$Z54,MIN(U$6-$E$3,22))&lt;&gt;""),'Arroz irrigado'!$E54:INDEX('Arroz irrigado'!$E54:$Z54,MIN(U$6-$E$3,22))),0))-IF($G$2,0,IF((U$6-$G$3)&lt;1,0,IFERROR(LOOKUP(2,1/('Arroz irrigado'!$E54:INDEX('Arroz irrigado'!$E54:$Z54,MIN(U$6-$G$3,22))&lt;&gt;""),'Arroz irrigado'!$E54:INDEX('Arroz irrigado'!$E54:$Z54,MIN(U$6-$G$3,22))),0)))))</f>
        <v>0</v>
      </c>
      <c r="V56" s="27" t="n">
        <f aca="false">IF(COUNT('Arroz irrigado'!$E54:$Z54)=0,0,MAX(0,IF((V$6-$E$3)&lt;1,0,IFERROR(LOOKUP(2,1/('Arroz irrigado'!$E54:INDEX('Arroz irrigado'!$E54:$Z54,MIN(V$6-$E$3,22))&lt;&gt;""),'Arroz irrigado'!$E54:INDEX('Arroz irrigado'!$E54:$Z54,MIN(V$6-$E$3,22))),0))-IF($G$2,0,IF((V$6-$G$3)&lt;1,0,IFERROR(LOOKUP(2,1/('Arroz irrigado'!$E54:INDEX('Arroz irrigado'!$E54:$Z54,MIN(V$6-$G$3,22))&lt;&gt;""),'Arroz irrigado'!$E54:INDEX('Arroz irrigado'!$E54:$Z54,MIN(V$6-$G$3,22))),0)))))</f>
        <v>0</v>
      </c>
      <c r="W56" s="27" t="n">
        <f aca="false">IF(COUNT('Arroz irrigado'!$E54:$Z54)=0,0,MAX(0,IF((W$6-$E$3)&lt;1,0,IFERROR(LOOKUP(2,1/('Arroz irrigado'!$E54:INDEX('Arroz irrigado'!$E54:$Z54,MIN(W$6-$E$3,22))&lt;&gt;""),'Arroz irrigado'!$E54:INDEX('Arroz irrigado'!$E54:$Z54,MIN(W$6-$E$3,22))),0))-IF($G$2,0,IF((W$6-$G$3)&lt;1,0,IFERROR(LOOKUP(2,1/('Arroz irrigado'!$E54:INDEX('Arroz irrigado'!$E54:$Z54,MIN(W$6-$G$3,22))&lt;&gt;""),'Arroz irrigado'!$E54:INDEX('Arroz irrigado'!$E54:$Z54,MIN(W$6-$G$3,22))),0)))))</f>
        <v>0</v>
      </c>
      <c r="X56" s="27" t="n">
        <f aca="false">IF(COUNT('Arroz irrigado'!$E54:$Z54)=0,0,MAX(0,IF((X$6-$E$3)&lt;1,0,IFERROR(LOOKUP(2,1/('Arroz irrigado'!$E54:INDEX('Arroz irrigado'!$E54:$Z54,MIN(X$6-$E$3,22))&lt;&gt;""),'Arroz irrigado'!$E54:INDEX('Arroz irrigado'!$E54:$Z54,MIN(X$6-$E$3,22))),0))-IF($G$2,0,IF((X$6-$G$3)&lt;1,0,IFERROR(LOOKUP(2,1/('Arroz irrigado'!$E54:INDEX('Arroz irrigado'!$E54:$Z54,MIN(X$6-$G$3,22))&lt;&gt;""),'Arroz irrigado'!$E54:INDEX('Arroz irrigado'!$E54:$Z54,MIN(X$6-$G$3,22))),0)))))</f>
        <v>0</v>
      </c>
      <c r="Y56" s="27" t="n">
        <f aca="false">IF(COUNT('Arroz irrigado'!$E54:$Z54)=0,0,MAX(0,IF((Y$6-$E$3)&lt;1,0,IFERROR(LOOKUP(2,1/('Arroz irrigado'!$E54:INDEX('Arroz irrigado'!$E54:$Z54,MIN(Y$6-$E$3,22))&lt;&gt;""),'Arroz irrigado'!$E54:INDEX('Arroz irrigado'!$E54:$Z54,MIN(Y$6-$E$3,22))),0))-IF($G$2,0,IF((Y$6-$G$3)&lt;1,0,IFERROR(LOOKUP(2,1/('Arroz irrigado'!$E54:INDEX('Arroz irrigado'!$E54:$Z54,MIN(Y$6-$G$3,22))&lt;&gt;""),'Arroz irrigado'!$E54:INDEX('Arroz irrigado'!$E54:$Z54,MIN(Y$6-$G$3,22))),0)))))</f>
        <v>0</v>
      </c>
      <c r="Z56" s="27" t="n">
        <f aca="false">IF(COUNT('Arroz irrigado'!$E54:$Z54)=0,0,MAX(0,IF((Z$6-$E$3)&lt;1,0,IFERROR(LOOKUP(2,1/('Arroz irrigado'!$E54:INDEX('Arroz irrigado'!$E54:$Z54,MIN(Z$6-$E$3,22))&lt;&gt;""),'Arroz irrigado'!$E54:INDEX('Arroz irrigado'!$E54:$Z54,MIN(Z$6-$E$3,22))),0))-IF($G$2,0,IF((Z$6-$G$3)&lt;1,0,IFERROR(LOOKUP(2,1/('Arroz irrigado'!$E54:INDEX('Arroz irrigado'!$E54:$Z54,MIN(Z$6-$G$3,22))&lt;&gt;""),'Arroz irrigado'!$E54:INDEX('Arroz irrigado'!$E54:$Z54,MIN(Z$6-$G$3,22))),0)))))</f>
        <v>0</v>
      </c>
      <c r="AA56" s="27" t="n">
        <f aca="false">IF(COUNT('Arroz irrigado'!$E54:$Z54)=0,0,MAX(0,IF((AA$6-$E$3)&lt;1,0,IFERROR(LOOKUP(2,1/('Arroz irrigado'!$E54:INDEX('Arroz irrigado'!$E54:$Z54,MIN(AA$6-$E$3,22))&lt;&gt;""),'Arroz irrigado'!$E54:INDEX('Arroz irrigado'!$E54:$Z54,MIN(AA$6-$E$3,22))),0))-IF($G$2,0,IF((AA$6-$G$3)&lt;1,0,IFERROR(LOOKUP(2,1/('Arroz irrigado'!$E54:INDEX('Arroz irrigado'!$E54:$Z54,MIN(AA$6-$G$3,22))&lt;&gt;""),'Arroz irrigado'!$E54:INDEX('Arroz irrigado'!$E54:$Z54,MIN(AA$6-$G$3,22))),0)))))</f>
        <v>0</v>
      </c>
      <c r="AB56" s="27" t="n">
        <f aca="false">IF(COUNT('Arroz irrigado'!$E54:$Z54)=0,0,MAX(0,IF((AB$6-$E$3)&lt;1,0,IFERROR(LOOKUP(2,1/('Arroz irrigado'!$E54:INDEX('Arroz irrigado'!$E54:$Z54,MIN(AB$6-$E$3,22))&lt;&gt;""),'Arroz irrigado'!$E54:INDEX('Arroz irrigado'!$E54:$Z54,MIN(AB$6-$E$3,22))),0))-IF($G$2,0,IF((AB$6-$G$3)&lt;1,0,IFERROR(LOOKUP(2,1/('Arroz irrigado'!$E54:INDEX('Arroz irrigado'!$E54:$Z54,MIN(AB$6-$G$3,22))&lt;&gt;""),'Arroz irrigado'!$E54:INDEX('Arroz irrigado'!$E54:$Z54,MIN(AB$6-$G$3,22))),0)))))</f>
        <v>0</v>
      </c>
      <c r="AC56" s="27" t="n">
        <f aca="false">IF(COUNT('Arroz irrigado'!$E54:$Z54)=0,0,MAX(0,IF((AC$6-$E$3)&lt;1,0,IFERROR(LOOKUP(2,1/('Arroz irrigado'!$E54:INDEX('Arroz irrigado'!$E54:$Z54,MIN(AC$6-$E$3,22))&lt;&gt;""),'Arroz irrigado'!$E54:INDEX('Arroz irrigado'!$E54:$Z54,MIN(AC$6-$E$3,22))),0))-IF($G$2,0,IF((AC$6-$G$3)&lt;1,0,IFERROR(LOOKUP(2,1/('Arroz irrigado'!$E54:INDEX('Arroz irrigado'!$E54:$Z54,MIN(AC$6-$G$3,22))&lt;&gt;""),'Arroz irrigado'!$E54:INDEX('Arroz irrigado'!$E54:$Z54,MIN(AC$6-$G$3,22))),0)))))</f>
        <v>0</v>
      </c>
      <c r="AD56" s="27" t="n">
        <f aca="false">IF(COUNT('Arroz irrigado'!$E54:$Z54)=0,0,MAX(0,IF((AD$6-$E$3)&lt;1,0,IFERROR(LOOKUP(2,1/('Arroz irrigado'!$E54:INDEX('Arroz irrigado'!$E54:$Z54,MIN(AD$6-$E$3,22))&lt;&gt;""),'Arroz irrigado'!$E54:INDEX('Arroz irrigado'!$E54:$Z54,MIN(AD$6-$E$3,22))),0))-IF($G$2,0,IF((AD$6-$G$3)&lt;1,0,IFERROR(LOOKUP(2,1/('Arroz irrigado'!$E54:INDEX('Arroz irrigado'!$E54:$Z54,MIN(AD$6-$G$3,22))&lt;&gt;""),'Arroz irrigado'!$E54:INDEX('Arroz irrigado'!$E54:$Z54,MIN(AD$6-$G$3,22))),0)))))</f>
        <v>0</v>
      </c>
      <c r="AE56" s="27" t="n">
        <f aca="false">IF(COUNT('Arroz irrigado'!$E54:$Z54)=0,0,MAX(0,IF((AE$6-$E$3)&lt;1,0,IFERROR(LOOKUP(2,1/('Arroz irrigado'!$E54:INDEX('Arroz irrigado'!$E54:$Z54,MIN(AE$6-$E$3,22))&lt;&gt;""),'Arroz irrigado'!$E54:INDEX('Arroz irrigado'!$E54:$Z54,MIN(AE$6-$E$3,22))),0))-IF($G$2,0,IF((AE$6-$G$3)&lt;1,0,IFERROR(LOOKUP(2,1/('Arroz irrigado'!$E54:INDEX('Arroz irrigado'!$E54:$Z54,MIN(AE$6-$G$3,22))&lt;&gt;""),'Arroz irrigado'!$E54:INDEX('Arroz irrigado'!$E54:$Z54,MIN(AE$6-$G$3,22))),0)))))</f>
        <v>0</v>
      </c>
      <c r="AF56" s="27" t="n">
        <f aca="false">IF(COUNT('Arroz irrigado'!$E54:$Z54)=0,0,MAX(0,IF((AF$6-$E$3)&lt;1,0,IFERROR(LOOKUP(2,1/('Arroz irrigado'!$E54:INDEX('Arroz irrigado'!$E54:$Z54,MIN(AF$6-$E$3,22))&lt;&gt;""),'Arroz irrigado'!$E54:INDEX('Arroz irrigado'!$E54:$Z54,MIN(AF$6-$E$3,22))),0))-IF($G$2,0,IF((AF$6-$G$3)&lt;1,0,IFERROR(LOOKUP(2,1/('Arroz irrigado'!$E54:INDEX('Arroz irrigado'!$E54:$Z54,MIN(AF$6-$G$3,22))&lt;&gt;""),'Arroz irrigado'!$E54:INDEX('Arroz irrigado'!$E54:$Z54,MIN(AF$6-$G$3,22))),0)))))</f>
        <v>0</v>
      </c>
      <c r="AG56" s="27" t="n">
        <f aca="false">IF(COUNT('Arroz irrigado'!$E54:$Z54)=0,0,MAX(0,IF((AG$6-$E$3)&lt;1,0,IFERROR(LOOKUP(2,1/('Arroz irrigado'!$E54:INDEX('Arroz irrigado'!$E54:$Z54,MIN(AG$6-$E$3,22))&lt;&gt;""),'Arroz irrigado'!$E54:INDEX('Arroz irrigado'!$E54:$Z54,MIN(AG$6-$E$3,22))),0))-IF($G$2,0,IF((AG$6-$G$3)&lt;1,0,IFERROR(LOOKUP(2,1/('Arroz irrigado'!$E54:INDEX('Arroz irrigado'!$E54:$Z54,MIN(AG$6-$G$3,22))&lt;&gt;""),'Arroz irrigado'!$E54:INDEX('Arroz irrigado'!$E54:$Z54,MIN(AG$6-$G$3,22))),0)))))</f>
        <v>0</v>
      </c>
      <c r="AH56" s="27" t="n">
        <f aca="false">IF(COUNT('Arroz irrigado'!$E54:$Z54)=0,0,MAX(0,IF((AH$6-$E$3)&lt;1,0,IFERROR(LOOKUP(2,1/('Arroz irrigado'!$E54:INDEX('Arroz irrigado'!$E54:$Z54,MIN(AH$6-$E$3,22))&lt;&gt;""),'Arroz irrigado'!$E54:INDEX('Arroz irrigado'!$E54:$Z54,MIN(AH$6-$E$3,22))),0))-IF($G$2,0,IF((AH$6-$G$3)&lt;1,0,IFERROR(LOOKUP(2,1/('Arroz irrigado'!$E54:INDEX('Arroz irrigado'!$E54:$Z54,MIN(AH$6-$G$3,22))&lt;&gt;""),'Arroz irrigado'!$E54:INDEX('Arroz irrigado'!$E54:$Z54,MIN(AH$6-$G$3,22))),0)))))</f>
        <v>0</v>
      </c>
      <c r="AI56" s="27" t="n">
        <f aca="false">IF(COUNT('Arroz irrigado'!$E54:$Z54)=0,0,MAX(0,IF((AI$6-$E$3)&lt;1,0,IFERROR(LOOKUP(2,1/('Arroz irrigado'!$E54:INDEX('Arroz irrigado'!$E54:$Z54,MIN(AI$6-$E$3,22))&lt;&gt;""),'Arroz irrigado'!$E54:INDEX('Arroz irrigado'!$E54:$Z54,MIN(AI$6-$E$3,22))),0))-IF($G$2,0,IF((AI$6-$G$3)&lt;1,0,IFERROR(LOOKUP(2,1/('Arroz irrigado'!$E54:INDEX('Arroz irrigado'!$E54:$Z54,MIN(AI$6-$G$3,22))&lt;&gt;""),'Arroz irrigado'!$E54:INDEX('Arroz irrigado'!$E54:$Z54,MIN(AI$6-$G$3,22))),0)))))</f>
        <v>0</v>
      </c>
      <c r="AJ56" s="27" t="n">
        <f aca="false">IF(COUNT('Arroz irrigado'!$E54:$Z54)=0,0,MAX(0,IF((AJ$6-$E$3)&lt;1,0,IFERROR(LOOKUP(2,1/('Arroz irrigado'!$E54:INDEX('Arroz irrigado'!$E54:$Z54,MIN(AJ$6-$E$3,22))&lt;&gt;""),'Arroz irrigado'!$E54:INDEX('Arroz irrigado'!$E54:$Z54,MIN(AJ$6-$E$3,22))),0))-IF($G$2,0,IF((AJ$6-$G$3)&lt;1,0,IFERROR(LOOKUP(2,1/('Arroz irrigado'!$E54:INDEX('Arroz irrigado'!$E54:$Z54,MIN(AJ$6-$G$3,22))&lt;&gt;""),'Arroz irrigado'!$E54:INDEX('Arroz irrigado'!$E54:$Z54,MIN(AJ$6-$G$3,22))),0)))))</f>
        <v>0</v>
      </c>
      <c r="AK56" s="27" t="n">
        <f aca="false">IF(COUNT('Arroz irrigado'!$E54:$Z54)=0,0,MAX(0,IF((AK$6-$E$3)&lt;1,0,IFERROR(LOOKUP(2,1/('Arroz irrigado'!$E54:INDEX('Arroz irrigado'!$E54:$Z54,MIN(AK$6-$E$3,22))&lt;&gt;""),'Arroz irrigado'!$E54:INDEX('Arroz irrigado'!$E54:$Z54,MIN(AK$6-$E$3,22))),0))-IF($G$2,0,IF((AK$6-$G$3)&lt;1,0,IFERROR(LOOKUP(2,1/('Arroz irrigado'!$E54:INDEX('Arroz irrigado'!$E54:$Z54,MIN(AK$6-$G$3,22))&lt;&gt;""),'Arroz irrigado'!$E54:INDEX('Arroz irrigado'!$E54:$Z54,MIN(AK$6-$G$3,22))),0)))))</f>
        <v>0</v>
      </c>
      <c r="AL56" s="27" t="n">
        <f aca="false">IF(COUNT('Arroz irrigado'!$E54:$Z54)=0,0,MAX(0,IF((AL$6-$E$3)&lt;1,0,IFERROR(LOOKUP(2,1/('Arroz irrigado'!$E54:INDEX('Arroz irrigado'!$E54:$Z54,MIN(AL$6-$E$3,22))&lt;&gt;""),'Arroz irrigado'!$E54:INDEX('Arroz irrigado'!$E54:$Z54,MIN(AL$6-$E$3,22))),0))-IF($G$2,0,IF((AL$6-$G$3)&lt;1,0,IFERROR(LOOKUP(2,1/('Arroz irrigado'!$E54:INDEX('Arroz irrigado'!$E54:$Z54,MIN(AL$6-$G$3,22))&lt;&gt;""),'Arroz irrigado'!$E54:INDEX('Arroz irrigado'!$E54:$Z54,MIN(AL$6-$G$3,22))),0)))))</f>
        <v>0</v>
      </c>
      <c r="AM56" s="27" t="n">
        <f aca="false">IF(COUNT('Arroz irrigado'!$E54:$Z54)=0,0,MAX(0,IF((AM$6-$E$3)&lt;1,0,IFERROR(LOOKUP(2,1/('Arroz irrigado'!$E54:INDEX('Arroz irrigado'!$E54:$Z54,MIN(AM$6-$E$3,22))&lt;&gt;""),'Arroz irrigado'!$E54:INDEX('Arroz irrigado'!$E54:$Z54,MIN(AM$6-$E$3,22))),0))-IF($G$2,0,IF((AM$6-$G$3)&lt;1,0,IFERROR(LOOKUP(2,1/('Arroz irrigado'!$E54:INDEX('Arroz irrigado'!$E54:$Z54,MIN(AM$6-$G$3,22))&lt;&gt;""),'Arroz irrigado'!$E54:INDEX('Arroz irrigado'!$E54:$Z54,MIN(AM$6-$G$3,22))),0)))))</f>
        <v>0</v>
      </c>
      <c r="AN56" s="27" t="n">
        <f aca="false">IF(COUNT('Arroz irrigado'!$E54:$Z54)=0,0,MAX(0,IF((AN$6-$E$3)&lt;1,0,IFERROR(LOOKUP(2,1/('Arroz irrigado'!$E54:INDEX('Arroz irrigado'!$E54:$Z54,MIN(AN$6-$E$3,22))&lt;&gt;""),'Arroz irrigado'!$E54:INDEX('Arroz irrigado'!$E54:$Z54,MIN(AN$6-$E$3,22))),0))-IF($G$2,0,IF((AN$6-$G$3)&lt;1,0,IFERROR(LOOKUP(2,1/('Arroz irrigado'!$E54:INDEX('Arroz irrigado'!$E54:$Z54,MIN(AN$6-$G$3,22))&lt;&gt;""),'Arroz irrigado'!$E54:INDEX('Arroz irrigado'!$E54:$Z54,MIN(AN$6-$G$3,22))),0)))))</f>
        <v>0</v>
      </c>
      <c r="AO56" s="27" t="n">
        <f aca="false">IF(COUNT('Arroz irrigado'!$E54:$Z54)=0,0,MAX(0,IF((AO$6-$E$3)&lt;1,0,IFERROR(LOOKUP(2,1/('Arroz irrigado'!$E54:INDEX('Arroz irrigado'!$E54:$Z54,MIN(AO$6-$E$3,22))&lt;&gt;""),'Arroz irrigado'!$E54:INDEX('Arroz irrigado'!$E54:$Z54,MIN(AO$6-$E$3,22))),0))-IF($G$2,0,IF((AO$6-$G$3)&lt;1,0,IFERROR(LOOKUP(2,1/('Arroz irrigado'!$E54:INDEX('Arroz irrigado'!$E54:$Z54,MIN(AO$6-$G$3,22))&lt;&gt;""),'Arroz irrigado'!$E54:INDEX('Arroz irrigado'!$E54:$Z54,MIN(AO$6-$G$3,22))),0)))))</f>
        <v>0</v>
      </c>
      <c r="AP56" s="27" t="n">
        <f aca="false">IF(COUNT('Arroz irrigado'!$E54:$Z54)=0,0,MAX(0,IF((AP$6-$E$3)&lt;1,0,IFERROR(LOOKUP(2,1/('Arroz irrigado'!$E54:INDEX('Arroz irrigado'!$E54:$Z54,MIN(AP$6-$E$3,22))&lt;&gt;""),'Arroz irrigado'!$E54:INDEX('Arroz irrigado'!$E54:$Z54,MIN(AP$6-$E$3,22))),0))-IF($G$2,0,IF((AP$6-$G$3)&lt;1,0,IFERROR(LOOKUP(2,1/('Arroz irrigado'!$E54:INDEX('Arroz irrigado'!$E54:$Z54,MIN(AP$6-$G$3,22))&lt;&gt;""),'Arroz irrigado'!$E54:INDEX('Arroz irrigado'!$E54:$Z54,MIN(AP$6-$G$3,22))),0)))))</f>
        <v>0</v>
      </c>
      <c r="AQ56" s="27" t="n">
        <f aca="false">IF(COUNT('Arroz irrigado'!$E54:$Z54)=0,0,MAX(0,IF((AQ$6-$E$3)&lt;1,0,IFERROR(LOOKUP(2,1/('Arroz irrigado'!$E54:INDEX('Arroz irrigado'!$E54:$Z54,MIN(AQ$6-$E$3,22))&lt;&gt;""),'Arroz irrigado'!$E54:INDEX('Arroz irrigado'!$E54:$Z54,MIN(AQ$6-$E$3,22))),0))-IF($G$2,0,IF((AQ$6-$G$3)&lt;1,0,IFERROR(LOOKUP(2,1/('Arroz irrigado'!$E54:INDEX('Arroz irrigado'!$E54:$Z54,MIN(AQ$6-$G$3,22))&lt;&gt;""),'Arroz irrigado'!$E54:INDEX('Arroz irrigado'!$E54:$Z54,MIN(AQ$6-$G$3,22))),0)))))</f>
        <v>0</v>
      </c>
      <c r="AR56" s="27" t="n">
        <f aca="false">IF(COUNT('Arroz irrigado'!$E54:$Z54)=0,0,MAX(0,IF((AR$6-$E$3)&lt;1,0,IFERROR(LOOKUP(2,1/('Arroz irrigado'!$E54:INDEX('Arroz irrigado'!$E54:$Z54,MIN(AR$6-$E$3,22))&lt;&gt;""),'Arroz irrigado'!$E54:INDEX('Arroz irrigado'!$E54:$Z54,MIN(AR$6-$E$3,22))),0))-IF($G$2,0,IF((AR$6-$G$3)&lt;1,0,IFERROR(LOOKUP(2,1/('Arroz irrigado'!$E54:INDEX('Arroz irrigado'!$E54:$Z54,MIN(AR$6-$G$3,22))&lt;&gt;""),'Arroz irrigado'!$E54:INDEX('Arroz irrigado'!$E54:$Z54,MIN(AR$6-$G$3,22))),0)))))</f>
        <v>0</v>
      </c>
      <c r="AS56" s="27" t="n">
        <f aca="false">IF(COUNT('Arroz irrigado'!$E54:$Z54)=0,0,MAX(0,IF((AS$6-$E$3)&lt;1,0,IFERROR(LOOKUP(2,1/('Arroz irrigado'!$E54:INDEX('Arroz irrigado'!$E54:$Z54,MIN(AS$6-$E$3,22))&lt;&gt;""),'Arroz irrigado'!$E54:INDEX('Arroz irrigado'!$E54:$Z54,MIN(AS$6-$E$3,22))),0))-IF($G$2,0,IF((AS$6-$G$3)&lt;1,0,IFERROR(LOOKUP(2,1/('Arroz irrigado'!$E54:INDEX('Arroz irrigado'!$E54:$Z54,MIN(AS$6-$G$3,22))&lt;&gt;""),'Arroz irrigado'!$E54:INDEX('Arroz irrigado'!$E54:$Z54,MIN(AS$6-$G$3,22))),0)))))</f>
        <v>0</v>
      </c>
      <c r="AT56" s="27" t="n">
        <f aca="false">IF(COUNT('Arroz irrigado'!$E54:$Z54)=0,0,MAX(0,IF((AT$6-$E$3)&lt;1,0,IFERROR(LOOKUP(2,1/('Arroz irrigado'!$E54:INDEX('Arroz irrigado'!$E54:$Z54,MIN(AT$6-$E$3,22))&lt;&gt;""),'Arroz irrigado'!$E54:INDEX('Arroz irrigado'!$E54:$Z54,MIN(AT$6-$E$3,22))),0))-IF($G$2,0,IF((AT$6-$G$3)&lt;1,0,IFERROR(LOOKUP(2,1/('Arroz irrigado'!$E54:INDEX('Arroz irrigado'!$E54:$Z54,MIN(AT$6-$G$3,22))&lt;&gt;""),'Arroz irrigado'!$E54:INDEX('Arroz irrigado'!$E54:$Z54,MIN(AT$6-$G$3,22))),0)))))</f>
        <v>0</v>
      </c>
      <c r="AU56" s="27" t="n">
        <f aca="false">IF(COUNT('Arroz irrigado'!$E54:$Z54)=0,0,MAX(0,IF((AU$6-$E$3)&lt;1,0,IFERROR(LOOKUP(2,1/('Arroz irrigado'!$E54:INDEX('Arroz irrigado'!$E54:$Z54,MIN(AU$6-$E$3,22))&lt;&gt;""),'Arroz irrigado'!$E54:INDEX('Arroz irrigado'!$E54:$Z54,MIN(AU$6-$E$3,22))),0))-IF($G$2,0,IF((AU$6-$G$3)&lt;1,0,IFERROR(LOOKUP(2,1/('Arroz irrigado'!$E54:INDEX('Arroz irrigado'!$E54:$Z54,MIN(AU$6-$G$3,22))&lt;&gt;""),'Arroz irrigado'!$E54:INDEX('Arroz irrigado'!$E54:$Z54,MIN(AU$6-$G$3,22))),0)))))</f>
        <v>0</v>
      </c>
      <c r="AV56" s="27" t="n">
        <f aca="false">IF(COUNT('Arroz irrigado'!$E54:$Z54)=0,0,MAX(0,IF((AV$6-$E$3)&lt;1,0,IFERROR(LOOKUP(2,1/('Arroz irrigado'!$E54:INDEX('Arroz irrigado'!$E54:$Z54,MIN(AV$6-$E$3,22))&lt;&gt;""),'Arroz irrigado'!$E54:INDEX('Arroz irrigado'!$E54:$Z54,MIN(AV$6-$E$3,22))),0))-IF($G$2,0,IF((AV$6-$G$3)&lt;1,0,IFERROR(LOOKUP(2,1/('Arroz irrigado'!$E54:INDEX('Arroz irrigado'!$E54:$Z54,MIN(AV$6-$G$3,22))&lt;&gt;""),'Arroz irrigado'!$E54:INDEX('Arroz irrigado'!$E54:$Z54,MIN(AV$6-$G$3,22))),0)))))</f>
        <v>0</v>
      </c>
      <c r="AW56" s="27" t="n">
        <f aca="false">IF(COUNT('Arroz irrigado'!$E54:$Z54)=0,0,MAX(0,IF((AW$6-$E$3)&lt;1,0,IFERROR(LOOKUP(2,1/('Arroz irrigado'!$E54:INDEX('Arroz irrigado'!$E54:$Z54,MIN(AW$6-$E$3,22))&lt;&gt;""),'Arroz irrigado'!$E54:INDEX('Arroz irrigado'!$E54:$Z54,MIN(AW$6-$E$3,22))),0))-IF($G$2,0,IF((AW$6-$G$3)&lt;1,0,IFERROR(LOOKUP(2,1/('Arroz irrigado'!$E54:INDEX('Arroz irrigado'!$E54:$Z54,MIN(AW$6-$G$3,22))&lt;&gt;""),'Arroz irrigado'!$E54:INDEX('Arroz irrigado'!$E54:$Z54,MIN(AW$6-$G$3,22))),0)))))</f>
        <v>0</v>
      </c>
      <c r="AX56" s="27" t="n">
        <f aca="false">IF(COUNT('Arroz irrigado'!$E54:$Z54)=0,0,MAX(0,IF((AX$6-$E$3)&lt;1,0,IFERROR(LOOKUP(2,1/('Arroz irrigado'!$E54:INDEX('Arroz irrigado'!$E54:$Z54,MIN(AX$6-$E$3,22))&lt;&gt;""),'Arroz irrigado'!$E54:INDEX('Arroz irrigado'!$E54:$Z54,MIN(AX$6-$E$3,22))),0))-IF($G$2,0,IF((AX$6-$G$3)&lt;1,0,IFERROR(LOOKUP(2,1/('Arroz irrigado'!$E54:INDEX('Arroz irrigado'!$E54:$Z54,MIN(AX$6-$G$3,22))&lt;&gt;""),'Arroz irrigado'!$E54:INDEX('Arroz irrigado'!$E54:$Z54,MIN(AX$6-$G$3,22))),0)))))</f>
        <v>0</v>
      </c>
      <c r="AY56" s="27" t="n">
        <f aca="false">IF(COUNT('Arroz irrigado'!$E54:$Z54)=0,0,MAX(0,IF((AY$6-$E$3)&lt;1,0,IFERROR(LOOKUP(2,1/('Arroz irrigado'!$E54:INDEX('Arroz irrigado'!$E54:$Z54,MIN(AY$6-$E$3,22))&lt;&gt;""),'Arroz irrigado'!$E54:INDEX('Arroz irrigado'!$E54:$Z54,MIN(AY$6-$E$3,22))),0))-IF($G$2,0,IF((AY$6-$G$3)&lt;1,0,IFERROR(LOOKUP(2,1/('Arroz irrigado'!$E54:INDEX('Arroz irrigado'!$E54:$Z54,MIN(AY$6-$G$3,22))&lt;&gt;""),'Arroz irrigado'!$E54:INDEX('Arroz irrigado'!$E54:$Z54,MIN(AY$6-$G$3,22))),0)))))</f>
        <v>0</v>
      </c>
      <c r="AZ56" s="27" t="n">
        <f aca="false">IF(COUNT('Arroz irrigado'!$E54:$Z54)=0,0,MAX(0,IF((AZ$6-$E$3)&lt;1,0,IFERROR(LOOKUP(2,1/('Arroz irrigado'!$E54:INDEX('Arroz irrigado'!$E54:$Z54,MIN(AZ$6-$E$3,22))&lt;&gt;""),'Arroz irrigado'!$E54:INDEX('Arroz irrigado'!$E54:$Z54,MIN(AZ$6-$E$3,22))),0))-IF($G$2,0,IF((AZ$6-$G$3)&lt;1,0,IFERROR(LOOKUP(2,1/('Arroz irrigado'!$E54:INDEX('Arroz irrigado'!$E54:$Z54,MIN(AZ$6-$G$3,22))&lt;&gt;""),'Arroz irrigado'!$E54:INDEX('Arroz irrigado'!$E54:$Z54,MIN(AZ$6-$G$3,22))),0)))))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IF(COUNT('Arroz irrigado'!$E55:$Z55)&gt;0,N('Arroz irrigado'!$D55),0)</f>
        <v>0</v>
      </c>
      <c r="E57" s="27" t="n">
        <f aca="false">IF(COUNT('Arroz irrigado'!$E55:$Z55)=0,0,MAX(0,IF((E$6-$E$3)&lt;1,0,IFERROR(LOOKUP(2,1/('Arroz irrigado'!$E55:INDEX('Arroz irrigado'!$E55:$Z55,MIN(E$6-$E$3,22))&lt;&gt;""),'Arroz irrigado'!$E55:INDEX('Arroz irrigado'!$E55:$Z55,MIN(E$6-$E$3,22))),0))-IF($G$2,0,IF((E$6-$G$3)&lt;1,0,IFERROR(LOOKUP(2,1/('Arroz irrigado'!$E55:INDEX('Arroz irrigado'!$E55:$Z55,MIN(E$6-$G$3,22))&lt;&gt;""),'Arroz irrigado'!$E55:INDEX('Arroz irrigado'!$E55:$Z55,MIN(E$6-$G$3,22))),0)))))</f>
        <v>0</v>
      </c>
      <c r="F57" s="27" t="n">
        <f aca="false">IF(COUNT('Arroz irrigado'!$E55:$Z55)=0,0,MAX(0,IF((F$6-$E$3)&lt;1,0,IFERROR(LOOKUP(2,1/('Arroz irrigado'!$E55:INDEX('Arroz irrigado'!$E55:$Z55,MIN(F$6-$E$3,22))&lt;&gt;""),'Arroz irrigado'!$E55:INDEX('Arroz irrigado'!$E55:$Z55,MIN(F$6-$E$3,22))),0))-IF($G$2,0,IF((F$6-$G$3)&lt;1,0,IFERROR(LOOKUP(2,1/('Arroz irrigado'!$E55:INDEX('Arroz irrigado'!$E55:$Z55,MIN(F$6-$G$3,22))&lt;&gt;""),'Arroz irrigado'!$E55:INDEX('Arroz irrigado'!$E55:$Z55,MIN(F$6-$G$3,22))),0)))))</f>
        <v>0</v>
      </c>
      <c r="G57" s="27" t="n">
        <f aca="false">IF(COUNT('Arroz irrigado'!$E55:$Z55)=0,0,MAX(0,IF((G$6-$E$3)&lt;1,0,IFERROR(LOOKUP(2,1/('Arroz irrigado'!$E55:INDEX('Arroz irrigado'!$E55:$Z55,MIN(G$6-$E$3,22))&lt;&gt;""),'Arroz irrigado'!$E55:INDEX('Arroz irrigado'!$E55:$Z55,MIN(G$6-$E$3,22))),0))-IF($G$2,0,IF((G$6-$G$3)&lt;1,0,IFERROR(LOOKUP(2,1/('Arroz irrigado'!$E55:INDEX('Arroz irrigado'!$E55:$Z55,MIN(G$6-$G$3,22))&lt;&gt;""),'Arroz irrigado'!$E55:INDEX('Arroz irrigado'!$E55:$Z55,MIN(G$6-$G$3,22))),0)))))</f>
        <v>0</v>
      </c>
      <c r="H57" s="27" t="n">
        <f aca="false">IF(COUNT('Arroz irrigado'!$E55:$Z55)=0,0,MAX(0,IF((H$6-$E$3)&lt;1,0,IFERROR(LOOKUP(2,1/('Arroz irrigado'!$E55:INDEX('Arroz irrigado'!$E55:$Z55,MIN(H$6-$E$3,22))&lt;&gt;""),'Arroz irrigado'!$E55:INDEX('Arroz irrigado'!$E55:$Z55,MIN(H$6-$E$3,22))),0))-IF($G$2,0,IF((H$6-$G$3)&lt;1,0,IFERROR(LOOKUP(2,1/('Arroz irrigado'!$E55:INDEX('Arroz irrigado'!$E55:$Z55,MIN(H$6-$G$3,22))&lt;&gt;""),'Arroz irrigado'!$E55:INDEX('Arroz irrigado'!$E55:$Z55,MIN(H$6-$G$3,22))),0)))))</f>
        <v>0</v>
      </c>
      <c r="I57" s="27" t="n">
        <f aca="false">IF(COUNT('Arroz irrigado'!$E55:$Z55)=0,0,MAX(0,IF((I$6-$E$3)&lt;1,0,IFERROR(LOOKUP(2,1/('Arroz irrigado'!$E55:INDEX('Arroz irrigado'!$E55:$Z55,MIN(I$6-$E$3,22))&lt;&gt;""),'Arroz irrigado'!$E55:INDEX('Arroz irrigado'!$E55:$Z55,MIN(I$6-$E$3,22))),0))-IF($G$2,0,IF((I$6-$G$3)&lt;1,0,IFERROR(LOOKUP(2,1/('Arroz irrigado'!$E55:INDEX('Arroz irrigado'!$E55:$Z55,MIN(I$6-$G$3,22))&lt;&gt;""),'Arroz irrigado'!$E55:INDEX('Arroz irrigado'!$E55:$Z55,MIN(I$6-$G$3,22))),0)))))</f>
        <v>0</v>
      </c>
      <c r="J57" s="27" t="n">
        <f aca="false">IF(COUNT('Arroz irrigado'!$E55:$Z55)=0,0,MAX(0,IF((J$6-$E$3)&lt;1,0,IFERROR(LOOKUP(2,1/('Arroz irrigado'!$E55:INDEX('Arroz irrigado'!$E55:$Z55,MIN(J$6-$E$3,22))&lt;&gt;""),'Arroz irrigado'!$E55:INDEX('Arroz irrigado'!$E55:$Z55,MIN(J$6-$E$3,22))),0))-IF($G$2,0,IF((J$6-$G$3)&lt;1,0,IFERROR(LOOKUP(2,1/('Arroz irrigado'!$E55:INDEX('Arroz irrigado'!$E55:$Z55,MIN(J$6-$G$3,22))&lt;&gt;""),'Arroz irrigado'!$E55:INDEX('Arroz irrigado'!$E55:$Z55,MIN(J$6-$G$3,22))),0)))))</f>
        <v>0</v>
      </c>
      <c r="K57" s="27" t="n">
        <f aca="false">IF(COUNT('Arroz irrigado'!$E55:$Z55)=0,0,MAX(0,IF((K$6-$E$3)&lt;1,0,IFERROR(LOOKUP(2,1/('Arroz irrigado'!$E55:INDEX('Arroz irrigado'!$E55:$Z55,MIN(K$6-$E$3,22))&lt;&gt;""),'Arroz irrigado'!$E55:INDEX('Arroz irrigado'!$E55:$Z55,MIN(K$6-$E$3,22))),0))-IF($G$2,0,IF((K$6-$G$3)&lt;1,0,IFERROR(LOOKUP(2,1/('Arroz irrigado'!$E55:INDEX('Arroz irrigado'!$E55:$Z55,MIN(K$6-$G$3,22))&lt;&gt;""),'Arroz irrigado'!$E55:INDEX('Arroz irrigado'!$E55:$Z55,MIN(K$6-$G$3,22))),0)))))</f>
        <v>0</v>
      </c>
      <c r="L57" s="27" t="n">
        <f aca="false">IF(COUNT('Arroz irrigado'!$E55:$Z55)=0,0,MAX(0,IF((L$6-$E$3)&lt;1,0,IFERROR(LOOKUP(2,1/('Arroz irrigado'!$E55:INDEX('Arroz irrigado'!$E55:$Z55,MIN(L$6-$E$3,22))&lt;&gt;""),'Arroz irrigado'!$E55:INDEX('Arroz irrigado'!$E55:$Z55,MIN(L$6-$E$3,22))),0))-IF($G$2,0,IF((L$6-$G$3)&lt;1,0,IFERROR(LOOKUP(2,1/('Arroz irrigado'!$E55:INDEX('Arroz irrigado'!$E55:$Z55,MIN(L$6-$G$3,22))&lt;&gt;""),'Arroz irrigado'!$E55:INDEX('Arroz irrigado'!$E55:$Z55,MIN(L$6-$G$3,22))),0)))))</f>
        <v>0</v>
      </c>
      <c r="M57" s="27" t="n">
        <f aca="false">IF(COUNT('Arroz irrigado'!$E55:$Z55)=0,0,MAX(0,IF((M$6-$E$3)&lt;1,0,IFERROR(LOOKUP(2,1/('Arroz irrigado'!$E55:INDEX('Arroz irrigado'!$E55:$Z55,MIN(M$6-$E$3,22))&lt;&gt;""),'Arroz irrigado'!$E55:INDEX('Arroz irrigado'!$E55:$Z55,MIN(M$6-$E$3,22))),0))-IF($G$2,0,IF((M$6-$G$3)&lt;1,0,IFERROR(LOOKUP(2,1/('Arroz irrigado'!$E55:INDEX('Arroz irrigado'!$E55:$Z55,MIN(M$6-$G$3,22))&lt;&gt;""),'Arroz irrigado'!$E55:INDEX('Arroz irrigado'!$E55:$Z55,MIN(M$6-$G$3,22))),0)))))</f>
        <v>0</v>
      </c>
      <c r="N57" s="27" t="n">
        <f aca="false">IF(COUNT('Arroz irrigado'!$E55:$Z55)=0,0,MAX(0,IF((N$6-$E$3)&lt;1,0,IFERROR(LOOKUP(2,1/('Arroz irrigado'!$E55:INDEX('Arroz irrigado'!$E55:$Z55,MIN(N$6-$E$3,22))&lt;&gt;""),'Arroz irrigado'!$E55:INDEX('Arroz irrigado'!$E55:$Z55,MIN(N$6-$E$3,22))),0))-IF($G$2,0,IF((N$6-$G$3)&lt;1,0,IFERROR(LOOKUP(2,1/('Arroz irrigado'!$E55:INDEX('Arroz irrigado'!$E55:$Z55,MIN(N$6-$G$3,22))&lt;&gt;""),'Arroz irrigado'!$E55:INDEX('Arroz irrigado'!$E55:$Z55,MIN(N$6-$G$3,22))),0)))))</f>
        <v>0</v>
      </c>
      <c r="O57" s="27" t="n">
        <f aca="false">IF(COUNT('Arroz irrigado'!$E55:$Z55)=0,0,MAX(0,IF((O$6-$E$3)&lt;1,0,IFERROR(LOOKUP(2,1/('Arroz irrigado'!$E55:INDEX('Arroz irrigado'!$E55:$Z55,MIN(O$6-$E$3,22))&lt;&gt;""),'Arroz irrigado'!$E55:INDEX('Arroz irrigado'!$E55:$Z55,MIN(O$6-$E$3,22))),0))-IF($G$2,0,IF((O$6-$G$3)&lt;1,0,IFERROR(LOOKUP(2,1/('Arroz irrigado'!$E55:INDEX('Arroz irrigado'!$E55:$Z55,MIN(O$6-$G$3,22))&lt;&gt;""),'Arroz irrigado'!$E55:INDEX('Arroz irrigado'!$E55:$Z55,MIN(O$6-$G$3,22))),0)))))</f>
        <v>0</v>
      </c>
      <c r="P57" s="27" t="n">
        <f aca="false">IF(COUNT('Arroz irrigado'!$E55:$Z55)=0,0,MAX(0,IF((P$6-$E$3)&lt;1,0,IFERROR(LOOKUP(2,1/('Arroz irrigado'!$E55:INDEX('Arroz irrigado'!$E55:$Z55,MIN(P$6-$E$3,22))&lt;&gt;""),'Arroz irrigado'!$E55:INDEX('Arroz irrigado'!$E55:$Z55,MIN(P$6-$E$3,22))),0))-IF($G$2,0,IF((P$6-$G$3)&lt;1,0,IFERROR(LOOKUP(2,1/('Arroz irrigado'!$E55:INDEX('Arroz irrigado'!$E55:$Z55,MIN(P$6-$G$3,22))&lt;&gt;""),'Arroz irrigado'!$E55:INDEX('Arroz irrigado'!$E55:$Z55,MIN(P$6-$G$3,22))),0)))))</f>
        <v>0</v>
      </c>
      <c r="Q57" s="27" t="n">
        <f aca="false">IF(COUNT('Arroz irrigado'!$E55:$Z55)=0,0,MAX(0,IF((Q$6-$E$3)&lt;1,0,IFERROR(LOOKUP(2,1/('Arroz irrigado'!$E55:INDEX('Arroz irrigado'!$E55:$Z55,MIN(Q$6-$E$3,22))&lt;&gt;""),'Arroz irrigado'!$E55:INDEX('Arroz irrigado'!$E55:$Z55,MIN(Q$6-$E$3,22))),0))-IF($G$2,0,IF((Q$6-$G$3)&lt;1,0,IFERROR(LOOKUP(2,1/('Arroz irrigado'!$E55:INDEX('Arroz irrigado'!$E55:$Z55,MIN(Q$6-$G$3,22))&lt;&gt;""),'Arroz irrigado'!$E55:INDEX('Arroz irrigado'!$E55:$Z55,MIN(Q$6-$G$3,22))),0)))))</f>
        <v>0</v>
      </c>
      <c r="R57" s="27" t="n">
        <f aca="false">IF(COUNT('Arroz irrigado'!$E55:$Z55)=0,0,MAX(0,IF((R$6-$E$3)&lt;1,0,IFERROR(LOOKUP(2,1/('Arroz irrigado'!$E55:INDEX('Arroz irrigado'!$E55:$Z55,MIN(R$6-$E$3,22))&lt;&gt;""),'Arroz irrigado'!$E55:INDEX('Arroz irrigado'!$E55:$Z55,MIN(R$6-$E$3,22))),0))-IF($G$2,0,IF((R$6-$G$3)&lt;1,0,IFERROR(LOOKUP(2,1/('Arroz irrigado'!$E55:INDEX('Arroz irrigado'!$E55:$Z55,MIN(R$6-$G$3,22))&lt;&gt;""),'Arroz irrigado'!$E55:INDEX('Arroz irrigado'!$E55:$Z55,MIN(R$6-$G$3,22))),0)))))</f>
        <v>0</v>
      </c>
      <c r="S57" s="27" t="n">
        <f aca="false">IF(COUNT('Arroz irrigado'!$E55:$Z55)=0,0,MAX(0,IF((S$6-$E$3)&lt;1,0,IFERROR(LOOKUP(2,1/('Arroz irrigado'!$E55:INDEX('Arroz irrigado'!$E55:$Z55,MIN(S$6-$E$3,22))&lt;&gt;""),'Arroz irrigado'!$E55:INDEX('Arroz irrigado'!$E55:$Z55,MIN(S$6-$E$3,22))),0))-IF($G$2,0,IF((S$6-$G$3)&lt;1,0,IFERROR(LOOKUP(2,1/('Arroz irrigado'!$E55:INDEX('Arroz irrigado'!$E55:$Z55,MIN(S$6-$G$3,22))&lt;&gt;""),'Arroz irrigado'!$E55:INDEX('Arroz irrigado'!$E55:$Z55,MIN(S$6-$G$3,22))),0)))))</f>
        <v>0</v>
      </c>
      <c r="T57" s="27" t="n">
        <f aca="false">IF(COUNT('Arroz irrigado'!$E55:$Z55)=0,0,MAX(0,IF((T$6-$E$3)&lt;1,0,IFERROR(LOOKUP(2,1/('Arroz irrigado'!$E55:INDEX('Arroz irrigado'!$E55:$Z55,MIN(T$6-$E$3,22))&lt;&gt;""),'Arroz irrigado'!$E55:INDEX('Arroz irrigado'!$E55:$Z55,MIN(T$6-$E$3,22))),0))-IF($G$2,0,IF((T$6-$G$3)&lt;1,0,IFERROR(LOOKUP(2,1/('Arroz irrigado'!$E55:INDEX('Arroz irrigado'!$E55:$Z55,MIN(T$6-$G$3,22))&lt;&gt;""),'Arroz irrigado'!$E55:INDEX('Arroz irrigado'!$E55:$Z55,MIN(T$6-$G$3,22))),0)))))</f>
        <v>0</v>
      </c>
      <c r="U57" s="27" t="n">
        <f aca="false">IF(COUNT('Arroz irrigado'!$E55:$Z55)=0,0,MAX(0,IF((U$6-$E$3)&lt;1,0,IFERROR(LOOKUP(2,1/('Arroz irrigado'!$E55:INDEX('Arroz irrigado'!$E55:$Z55,MIN(U$6-$E$3,22))&lt;&gt;""),'Arroz irrigado'!$E55:INDEX('Arroz irrigado'!$E55:$Z55,MIN(U$6-$E$3,22))),0))-IF($G$2,0,IF((U$6-$G$3)&lt;1,0,IFERROR(LOOKUP(2,1/('Arroz irrigado'!$E55:INDEX('Arroz irrigado'!$E55:$Z55,MIN(U$6-$G$3,22))&lt;&gt;""),'Arroz irrigado'!$E55:INDEX('Arroz irrigado'!$E55:$Z55,MIN(U$6-$G$3,22))),0)))))</f>
        <v>0</v>
      </c>
      <c r="V57" s="27" t="n">
        <f aca="false">IF(COUNT('Arroz irrigado'!$E55:$Z55)=0,0,MAX(0,IF((V$6-$E$3)&lt;1,0,IFERROR(LOOKUP(2,1/('Arroz irrigado'!$E55:INDEX('Arroz irrigado'!$E55:$Z55,MIN(V$6-$E$3,22))&lt;&gt;""),'Arroz irrigado'!$E55:INDEX('Arroz irrigado'!$E55:$Z55,MIN(V$6-$E$3,22))),0))-IF($G$2,0,IF((V$6-$G$3)&lt;1,0,IFERROR(LOOKUP(2,1/('Arroz irrigado'!$E55:INDEX('Arroz irrigado'!$E55:$Z55,MIN(V$6-$G$3,22))&lt;&gt;""),'Arroz irrigado'!$E55:INDEX('Arroz irrigado'!$E55:$Z55,MIN(V$6-$G$3,22))),0)))))</f>
        <v>0</v>
      </c>
      <c r="W57" s="27" t="n">
        <f aca="false">IF(COUNT('Arroz irrigado'!$E55:$Z55)=0,0,MAX(0,IF((W$6-$E$3)&lt;1,0,IFERROR(LOOKUP(2,1/('Arroz irrigado'!$E55:INDEX('Arroz irrigado'!$E55:$Z55,MIN(W$6-$E$3,22))&lt;&gt;""),'Arroz irrigado'!$E55:INDEX('Arroz irrigado'!$E55:$Z55,MIN(W$6-$E$3,22))),0))-IF($G$2,0,IF((W$6-$G$3)&lt;1,0,IFERROR(LOOKUP(2,1/('Arroz irrigado'!$E55:INDEX('Arroz irrigado'!$E55:$Z55,MIN(W$6-$G$3,22))&lt;&gt;""),'Arroz irrigado'!$E55:INDEX('Arroz irrigado'!$E55:$Z55,MIN(W$6-$G$3,22))),0)))))</f>
        <v>0</v>
      </c>
      <c r="X57" s="27" t="n">
        <f aca="false">IF(COUNT('Arroz irrigado'!$E55:$Z55)=0,0,MAX(0,IF((X$6-$E$3)&lt;1,0,IFERROR(LOOKUP(2,1/('Arroz irrigado'!$E55:INDEX('Arroz irrigado'!$E55:$Z55,MIN(X$6-$E$3,22))&lt;&gt;""),'Arroz irrigado'!$E55:INDEX('Arroz irrigado'!$E55:$Z55,MIN(X$6-$E$3,22))),0))-IF($G$2,0,IF((X$6-$G$3)&lt;1,0,IFERROR(LOOKUP(2,1/('Arroz irrigado'!$E55:INDEX('Arroz irrigado'!$E55:$Z55,MIN(X$6-$G$3,22))&lt;&gt;""),'Arroz irrigado'!$E55:INDEX('Arroz irrigado'!$E55:$Z55,MIN(X$6-$G$3,22))),0)))))</f>
        <v>0</v>
      </c>
      <c r="Y57" s="27" t="n">
        <f aca="false">IF(COUNT('Arroz irrigado'!$E55:$Z55)=0,0,MAX(0,IF((Y$6-$E$3)&lt;1,0,IFERROR(LOOKUP(2,1/('Arroz irrigado'!$E55:INDEX('Arroz irrigado'!$E55:$Z55,MIN(Y$6-$E$3,22))&lt;&gt;""),'Arroz irrigado'!$E55:INDEX('Arroz irrigado'!$E55:$Z55,MIN(Y$6-$E$3,22))),0))-IF($G$2,0,IF((Y$6-$G$3)&lt;1,0,IFERROR(LOOKUP(2,1/('Arroz irrigado'!$E55:INDEX('Arroz irrigado'!$E55:$Z55,MIN(Y$6-$G$3,22))&lt;&gt;""),'Arroz irrigado'!$E55:INDEX('Arroz irrigado'!$E55:$Z55,MIN(Y$6-$G$3,22))),0)))))</f>
        <v>0</v>
      </c>
      <c r="Z57" s="27" t="n">
        <f aca="false">IF(COUNT('Arroz irrigado'!$E55:$Z55)=0,0,MAX(0,IF((Z$6-$E$3)&lt;1,0,IFERROR(LOOKUP(2,1/('Arroz irrigado'!$E55:INDEX('Arroz irrigado'!$E55:$Z55,MIN(Z$6-$E$3,22))&lt;&gt;""),'Arroz irrigado'!$E55:INDEX('Arroz irrigado'!$E55:$Z55,MIN(Z$6-$E$3,22))),0))-IF($G$2,0,IF((Z$6-$G$3)&lt;1,0,IFERROR(LOOKUP(2,1/('Arroz irrigado'!$E55:INDEX('Arroz irrigado'!$E55:$Z55,MIN(Z$6-$G$3,22))&lt;&gt;""),'Arroz irrigado'!$E55:INDEX('Arroz irrigado'!$E55:$Z55,MIN(Z$6-$G$3,22))),0)))))</f>
        <v>0</v>
      </c>
      <c r="AA57" s="27" t="n">
        <f aca="false">IF(COUNT('Arroz irrigado'!$E55:$Z55)=0,0,MAX(0,IF((AA$6-$E$3)&lt;1,0,IFERROR(LOOKUP(2,1/('Arroz irrigado'!$E55:INDEX('Arroz irrigado'!$E55:$Z55,MIN(AA$6-$E$3,22))&lt;&gt;""),'Arroz irrigado'!$E55:INDEX('Arroz irrigado'!$E55:$Z55,MIN(AA$6-$E$3,22))),0))-IF($G$2,0,IF((AA$6-$G$3)&lt;1,0,IFERROR(LOOKUP(2,1/('Arroz irrigado'!$E55:INDEX('Arroz irrigado'!$E55:$Z55,MIN(AA$6-$G$3,22))&lt;&gt;""),'Arroz irrigado'!$E55:INDEX('Arroz irrigado'!$E55:$Z55,MIN(AA$6-$G$3,22))),0)))))</f>
        <v>0</v>
      </c>
      <c r="AB57" s="27" t="n">
        <f aca="false">IF(COUNT('Arroz irrigado'!$E55:$Z55)=0,0,MAX(0,IF((AB$6-$E$3)&lt;1,0,IFERROR(LOOKUP(2,1/('Arroz irrigado'!$E55:INDEX('Arroz irrigado'!$E55:$Z55,MIN(AB$6-$E$3,22))&lt;&gt;""),'Arroz irrigado'!$E55:INDEX('Arroz irrigado'!$E55:$Z55,MIN(AB$6-$E$3,22))),0))-IF($G$2,0,IF((AB$6-$G$3)&lt;1,0,IFERROR(LOOKUP(2,1/('Arroz irrigado'!$E55:INDEX('Arroz irrigado'!$E55:$Z55,MIN(AB$6-$G$3,22))&lt;&gt;""),'Arroz irrigado'!$E55:INDEX('Arroz irrigado'!$E55:$Z55,MIN(AB$6-$G$3,22))),0)))))</f>
        <v>0</v>
      </c>
      <c r="AC57" s="27" t="n">
        <f aca="false">IF(COUNT('Arroz irrigado'!$E55:$Z55)=0,0,MAX(0,IF((AC$6-$E$3)&lt;1,0,IFERROR(LOOKUP(2,1/('Arroz irrigado'!$E55:INDEX('Arroz irrigado'!$E55:$Z55,MIN(AC$6-$E$3,22))&lt;&gt;""),'Arroz irrigado'!$E55:INDEX('Arroz irrigado'!$E55:$Z55,MIN(AC$6-$E$3,22))),0))-IF($G$2,0,IF((AC$6-$G$3)&lt;1,0,IFERROR(LOOKUP(2,1/('Arroz irrigado'!$E55:INDEX('Arroz irrigado'!$E55:$Z55,MIN(AC$6-$G$3,22))&lt;&gt;""),'Arroz irrigado'!$E55:INDEX('Arroz irrigado'!$E55:$Z55,MIN(AC$6-$G$3,22))),0)))))</f>
        <v>0</v>
      </c>
      <c r="AD57" s="27" t="n">
        <f aca="false">IF(COUNT('Arroz irrigado'!$E55:$Z55)=0,0,MAX(0,IF((AD$6-$E$3)&lt;1,0,IFERROR(LOOKUP(2,1/('Arroz irrigado'!$E55:INDEX('Arroz irrigado'!$E55:$Z55,MIN(AD$6-$E$3,22))&lt;&gt;""),'Arroz irrigado'!$E55:INDEX('Arroz irrigado'!$E55:$Z55,MIN(AD$6-$E$3,22))),0))-IF($G$2,0,IF((AD$6-$G$3)&lt;1,0,IFERROR(LOOKUP(2,1/('Arroz irrigado'!$E55:INDEX('Arroz irrigado'!$E55:$Z55,MIN(AD$6-$G$3,22))&lt;&gt;""),'Arroz irrigado'!$E55:INDEX('Arroz irrigado'!$E55:$Z55,MIN(AD$6-$G$3,22))),0)))))</f>
        <v>0</v>
      </c>
      <c r="AE57" s="27" t="n">
        <f aca="false">IF(COUNT('Arroz irrigado'!$E55:$Z55)=0,0,MAX(0,IF((AE$6-$E$3)&lt;1,0,IFERROR(LOOKUP(2,1/('Arroz irrigado'!$E55:INDEX('Arroz irrigado'!$E55:$Z55,MIN(AE$6-$E$3,22))&lt;&gt;""),'Arroz irrigado'!$E55:INDEX('Arroz irrigado'!$E55:$Z55,MIN(AE$6-$E$3,22))),0))-IF($G$2,0,IF((AE$6-$G$3)&lt;1,0,IFERROR(LOOKUP(2,1/('Arroz irrigado'!$E55:INDEX('Arroz irrigado'!$E55:$Z55,MIN(AE$6-$G$3,22))&lt;&gt;""),'Arroz irrigado'!$E55:INDEX('Arroz irrigado'!$E55:$Z55,MIN(AE$6-$G$3,22))),0)))))</f>
        <v>0</v>
      </c>
      <c r="AF57" s="27" t="n">
        <f aca="false">IF(COUNT('Arroz irrigado'!$E55:$Z55)=0,0,MAX(0,IF((AF$6-$E$3)&lt;1,0,IFERROR(LOOKUP(2,1/('Arroz irrigado'!$E55:INDEX('Arroz irrigado'!$E55:$Z55,MIN(AF$6-$E$3,22))&lt;&gt;""),'Arroz irrigado'!$E55:INDEX('Arroz irrigado'!$E55:$Z55,MIN(AF$6-$E$3,22))),0))-IF($G$2,0,IF((AF$6-$G$3)&lt;1,0,IFERROR(LOOKUP(2,1/('Arroz irrigado'!$E55:INDEX('Arroz irrigado'!$E55:$Z55,MIN(AF$6-$G$3,22))&lt;&gt;""),'Arroz irrigado'!$E55:INDEX('Arroz irrigado'!$E55:$Z55,MIN(AF$6-$G$3,22))),0)))))</f>
        <v>0</v>
      </c>
      <c r="AG57" s="27" t="n">
        <f aca="false">IF(COUNT('Arroz irrigado'!$E55:$Z55)=0,0,MAX(0,IF((AG$6-$E$3)&lt;1,0,IFERROR(LOOKUP(2,1/('Arroz irrigado'!$E55:INDEX('Arroz irrigado'!$E55:$Z55,MIN(AG$6-$E$3,22))&lt;&gt;""),'Arroz irrigado'!$E55:INDEX('Arroz irrigado'!$E55:$Z55,MIN(AG$6-$E$3,22))),0))-IF($G$2,0,IF((AG$6-$G$3)&lt;1,0,IFERROR(LOOKUP(2,1/('Arroz irrigado'!$E55:INDEX('Arroz irrigado'!$E55:$Z55,MIN(AG$6-$G$3,22))&lt;&gt;""),'Arroz irrigado'!$E55:INDEX('Arroz irrigado'!$E55:$Z55,MIN(AG$6-$G$3,22))),0)))))</f>
        <v>0</v>
      </c>
      <c r="AH57" s="27" t="n">
        <f aca="false">IF(COUNT('Arroz irrigado'!$E55:$Z55)=0,0,MAX(0,IF((AH$6-$E$3)&lt;1,0,IFERROR(LOOKUP(2,1/('Arroz irrigado'!$E55:INDEX('Arroz irrigado'!$E55:$Z55,MIN(AH$6-$E$3,22))&lt;&gt;""),'Arroz irrigado'!$E55:INDEX('Arroz irrigado'!$E55:$Z55,MIN(AH$6-$E$3,22))),0))-IF($G$2,0,IF((AH$6-$G$3)&lt;1,0,IFERROR(LOOKUP(2,1/('Arroz irrigado'!$E55:INDEX('Arroz irrigado'!$E55:$Z55,MIN(AH$6-$G$3,22))&lt;&gt;""),'Arroz irrigado'!$E55:INDEX('Arroz irrigado'!$E55:$Z55,MIN(AH$6-$G$3,22))),0)))))</f>
        <v>0</v>
      </c>
      <c r="AI57" s="27" t="n">
        <f aca="false">IF(COUNT('Arroz irrigado'!$E55:$Z55)=0,0,MAX(0,IF((AI$6-$E$3)&lt;1,0,IFERROR(LOOKUP(2,1/('Arroz irrigado'!$E55:INDEX('Arroz irrigado'!$E55:$Z55,MIN(AI$6-$E$3,22))&lt;&gt;""),'Arroz irrigado'!$E55:INDEX('Arroz irrigado'!$E55:$Z55,MIN(AI$6-$E$3,22))),0))-IF($G$2,0,IF((AI$6-$G$3)&lt;1,0,IFERROR(LOOKUP(2,1/('Arroz irrigado'!$E55:INDEX('Arroz irrigado'!$E55:$Z55,MIN(AI$6-$G$3,22))&lt;&gt;""),'Arroz irrigado'!$E55:INDEX('Arroz irrigado'!$E55:$Z55,MIN(AI$6-$G$3,22))),0)))))</f>
        <v>0</v>
      </c>
      <c r="AJ57" s="27" t="n">
        <f aca="false">IF(COUNT('Arroz irrigado'!$E55:$Z55)=0,0,MAX(0,IF((AJ$6-$E$3)&lt;1,0,IFERROR(LOOKUP(2,1/('Arroz irrigado'!$E55:INDEX('Arroz irrigado'!$E55:$Z55,MIN(AJ$6-$E$3,22))&lt;&gt;""),'Arroz irrigado'!$E55:INDEX('Arroz irrigado'!$E55:$Z55,MIN(AJ$6-$E$3,22))),0))-IF($G$2,0,IF((AJ$6-$G$3)&lt;1,0,IFERROR(LOOKUP(2,1/('Arroz irrigado'!$E55:INDEX('Arroz irrigado'!$E55:$Z55,MIN(AJ$6-$G$3,22))&lt;&gt;""),'Arroz irrigado'!$E55:INDEX('Arroz irrigado'!$E55:$Z55,MIN(AJ$6-$G$3,22))),0)))))</f>
        <v>0</v>
      </c>
      <c r="AK57" s="27" t="n">
        <f aca="false">IF(COUNT('Arroz irrigado'!$E55:$Z55)=0,0,MAX(0,IF((AK$6-$E$3)&lt;1,0,IFERROR(LOOKUP(2,1/('Arroz irrigado'!$E55:INDEX('Arroz irrigado'!$E55:$Z55,MIN(AK$6-$E$3,22))&lt;&gt;""),'Arroz irrigado'!$E55:INDEX('Arroz irrigado'!$E55:$Z55,MIN(AK$6-$E$3,22))),0))-IF($G$2,0,IF((AK$6-$G$3)&lt;1,0,IFERROR(LOOKUP(2,1/('Arroz irrigado'!$E55:INDEX('Arroz irrigado'!$E55:$Z55,MIN(AK$6-$G$3,22))&lt;&gt;""),'Arroz irrigado'!$E55:INDEX('Arroz irrigado'!$E55:$Z55,MIN(AK$6-$G$3,22))),0)))))</f>
        <v>0</v>
      </c>
      <c r="AL57" s="27" t="n">
        <f aca="false">IF(COUNT('Arroz irrigado'!$E55:$Z55)=0,0,MAX(0,IF((AL$6-$E$3)&lt;1,0,IFERROR(LOOKUP(2,1/('Arroz irrigado'!$E55:INDEX('Arroz irrigado'!$E55:$Z55,MIN(AL$6-$E$3,22))&lt;&gt;""),'Arroz irrigado'!$E55:INDEX('Arroz irrigado'!$E55:$Z55,MIN(AL$6-$E$3,22))),0))-IF($G$2,0,IF((AL$6-$G$3)&lt;1,0,IFERROR(LOOKUP(2,1/('Arroz irrigado'!$E55:INDEX('Arroz irrigado'!$E55:$Z55,MIN(AL$6-$G$3,22))&lt;&gt;""),'Arroz irrigado'!$E55:INDEX('Arroz irrigado'!$E55:$Z55,MIN(AL$6-$G$3,22))),0)))))</f>
        <v>0</v>
      </c>
      <c r="AM57" s="27" t="n">
        <f aca="false">IF(COUNT('Arroz irrigado'!$E55:$Z55)=0,0,MAX(0,IF((AM$6-$E$3)&lt;1,0,IFERROR(LOOKUP(2,1/('Arroz irrigado'!$E55:INDEX('Arroz irrigado'!$E55:$Z55,MIN(AM$6-$E$3,22))&lt;&gt;""),'Arroz irrigado'!$E55:INDEX('Arroz irrigado'!$E55:$Z55,MIN(AM$6-$E$3,22))),0))-IF($G$2,0,IF((AM$6-$G$3)&lt;1,0,IFERROR(LOOKUP(2,1/('Arroz irrigado'!$E55:INDEX('Arroz irrigado'!$E55:$Z55,MIN(AM$6-$G$3,22))&lt;&gt;""),'Arroz irrigado'!$E55:INDEX('Arroz irrigado'!$E55:$Z55,MIN(AM$6-$G$3,22))),0)))))</f>
        <v>0</v>
      </c>
      <c r="AN57" s="27" t="n">
        <f aca="false">IF(COUNT('Arroz irrigado'!$E55:$Z55)=0,0,MAX(0,IF((AN$6-$E$3)&lt;1,0,IFERROR(LOOKUP(2,1/('Arroz irrigado'!$E55:INDEX('Arroz irrigado'!$E55:$Z55,MIN(AN$6-$E$3,22))&lt;&gt;""),'Arroz irrigado'!$E55:INDEX('Arroz irrigado'!$E55:$Z55,MIN(AN$6-$E$3,22))),0))-IF($G$2,0,IF((AN$6-$G$3)&lt;1,0,IFERROR(LOOKUP(2,1/('Arroz irrigado'!$E55:INDEX('Arroz irrigado'!$E55:$Z55,MIN(AN$6-$G$3,22))&lt;&gt;""),'Arroz irrigado'!$E55:INDEX('Arroz irrigado'!$E55:$Z55,MIN(AN$6-$G$3,22))),0)))))</f>
        <v>0</v>
      </c>
      <c r="AO57" s="27" t="n">
        <f aca="false">IF(COUNT('Arroz irrigado'!$E55:$Z55)=0,0,MAX(0,IF((AO$6-$E$3)&lt;1,0,IFERROR(LOOKUP(2,1/('Arroz irrigado'!$E55:INDEX('Arroz irrigado'!$E55:$Z55,MIN(AO$6-$E$3,22))&lt;&gt;""),'Arroz irrigado'!$E55:INDEX('Arroz irrigado'!$E55:$Z55,MIN(AO$6-$E$3,22))),0))-IF($G$2,0,IF((AO$6-$G$3)&lt;1,0,IFERROR(LOOKUP(2,1/('Arroz irrigado'!$E55:INDEX('Arroz irrigado'!$E55:$Z55,MIN(AO$6-$G$3,22))&lt;&gt;""),'Arroz irrigado'!$E55:INDEX('Arroz irrigado'!$E55:$Z55,MIN(AO$6-$G$3,22))),0)))))</f>
        <v>0</v>
      </c>
      <c r="AP57" s="27" t="n">
        <f aca="false">IF(COUNT('Arroz irrigado'!$E55:$Z55)=0,0,MAX(0,IF((AP$6-$E$3)&lt;1,0,IFERROR(LOOKUP(2,1/('Arroz irrigado'!$E55:INDEX('Arroz irrigado'!$E55:$Z55,MIN(AP$6-$E$3,22))&lt;&gt;""),'Arroz irrigado'!$E55:INDEX('Arroz irrigado'!$E55:$Z55,MIN(AP$6-$E$3,22))),0))-IF($G$2,0,IF((AP$6-$G$3)&lt;1,0,IFERROR(LOOKUP(2,1/('Arroz irrigado'!$E55:INDEX('Arroz irrigado'!$E55:$Z55,MIN(AP$6-$G$3,22))&lt;&gt;""),'Arroz irrigado'!$E55:INDEX('Arroz irrigado'!$E55:$Z55,MIN(AP$6-$G$3,22))),0)))))</f>
        <v>0</v>
      </c>
      <c r="AQ57" s="27" t="n">
        <f aca="false">IF(COUNT('Arroz irrigado'!$E55:$Z55)=0,0,MAX(0,IF((AQ$6-$E$3)&lt;1,0,IFERROR(LOOKUP(2,1/('Arroz irrigado'!$E55:INDEX('Arroz irrigado'!$E55:$Z55,MIN(AQ$6-$E$3,22))&lt;&gt;""),'Arroz irrigado'!$E55:INDEX('Arroz irrigado'!$E55:$Z55,MIN(AQ$6-$E$3,22))),0))-IF($G$2,0,IF((AQ$6-$G$3)&lt;1,0,IFERROR(LOOKUP(2,1/('Arroz irrigado'!$E55:INDEX('Arroz irrigado'!$E55:$Z55,MIN(AQ$6-$G$3,22))&lt;&gt;""),'Arroz irrigado'!$E55:INDEX('Arroz irrigado'!$E55:$Z55,MIN(AQ$6-$G$3,22))),0)))))</f>
        <v>0</v>
      </c>
      <c r="AR57" s="27" t="n">
        <f aca="false">IF(COUNT('Arroz irrigado'!$E55:$Z55)=0,0,MAX(0,IF((AR$6-$E$3)&lt;1,0,IFERROR(LOOKUP(2,1/('Arroz irrigado'!$E55:INDEX('Arroz irrigado'!$E55:$Z55,MIN(AR$6-$E$3,22))&lt;&gt;""),'Arroz irrigado'!$E55:INDEX('Arroz irrigado'!$E55:$Z55,MIN(AR$6-$E$3,22))),0))-IF($G$2,0,IF((AR$6-$G$3)&lt;1,0,IFERROR(LOOKUP(2,1/('Arroz irrigado'!$E55:INDEX('Arroz irrigado'!$E55:$Z55,MIN(AR$6-$G$3,22))&lt;&gt;""),'Arroz irrigado'!$E55:INDEX('Arroz irrigado'!$E55:$Z55,MIN(AR$6-$G$3,22))),0)))))</f>
        <v>0</v>
      </c>
      <c r="AS57" s="27" t="n">
        <f aca="false">IF(COUNT('Arroz irrigado'!$E55:$Z55)=0,0,MAX(0,IF((AS$6-$E$3)&lt;1,0,IFERROR(LOOKUP(2,1/('Arroz irrigado'!$E55:INDEX('Arroz irrigado'!$E55:$Z55,MIN(AS$6-$E$3,22))&lt;&gt;""),'Arroz irrigado'!$E55:INDEX('Arroz irrigado'!$E55:$Z55,MIN(AS$6-$E$3,22))),0))-IF($G$2,0,IF((AS$6-$G$3)&lt;1,0,IFERROR(LOOKUP(2,1/('Arroz irrigado'!$E55:INDEX('Arroz irrigado'!$E55:$Z55,MIN(AS$6-$G$3,22))&lt;&gt;""),'Arroz irrigado'!$E55:INDEX('Arroz irrigado'!$E55:$Z55,MIN(AS$6-$G$3,22))),0)))))</f>
        <v>0</v>
      </c>
      <c r="AT57" s="27" t="n">
        <f aca="false">IF(COUNT('Arroz irrigado'!$E55:$Z55)=0,0,MAX(0,IF((AT$6-$E$3)&lt;1,0,IFERROR(LOOKUP(2,1/('Arroz irrigado'!$E55:INDEX('Arroz irrigado'!$E55:$Z55,MIN(AT$6-$E$3,22))&lt;&gt;""),'Arroz irrigado'!$E55:INDEX('Arroz irrigado'!$E55:$Z55,MIN(AT$6-$E$3,22))),0))-IF($G$2,0,IF((AT$6-$G$3)&lt;1,0,IFERROR(LOOKUP(2,1/('Arroz irrigado'!$E55:INDEX('Arroz irrigado'!$E55:$Z55,MIN(AT$6-$G$3,22))&lt;&gt;""),'Arroz irrigado'!$E55:INDEX('Arroz irrigado'!$E55:$Z55,MIN(AT$6-$G$3,22))),0)))))</f>
        <v>0</v>
      </c>
      <c r="AU57" s="27" t="n">
        <f aca="false">IF(COUNT('Arroz irrigado'!$E55:$Z55)=0,0,MAX(0,IF((AU$6-$E$3)&lt;1,0,IFERROR(LOOKUP(2,1/('Arroz irrigado'!$E55:INDEX('Arroz irrigado'!$E55:$Z55,MIN(AU$6-$E$3,22))&lt;&gt;""),'Arroz irrigado'!$E55:INDEX('Arroz irrigado'!$E55:$Z55,MIN(AU$6-$E$3,22))),0))-IF($G$2,0,IF((AU$6-$G$3)&lt;1,0,IFERROR(LOOKUP(2,1/('Arroz irrigado'!$E55:INDEX('Arroz irrigado'!$E55:$Z55,MIN(AU$6-$G$3,22))&lt;&gt;""),'Arroz irrigado'!$E55:INDEX('Arroz irrigado'!$E55:$Z55,MIN(AU$6-$G$3,22))),0)))))</f>
        <v>0</v>
      </c>
      <c r="AV57" s="27" t="n">
        <f aca="false">IF(COUNT('Arroz irrigado'!$E55:$Z55)=0,0,MAX(0,IF((AV$6-$E$3)&lt;1,0,IFERROR(LOOKUP(2,1/('Arroz irrigado'!$E55:INDEX('Arroz irrigado'!$E55:$Z55,MIN(AV$6-$E$3,22))&lt;&gt;""),'Arroz irrigado'!$E55:INDEX('Arroz irrigado'!$E55:$Z55,MIN(AV$6-$E$3,22))),0))-IF($G$2,0,IF((AV$6-$G$3)&lt;1,0,IFERROR(LOOKUP(2,1/('Arroz irrigado'!$E55:INDEX('Arroz irrigado'!$E55:$Z55,MIN(AV$6-$G$3,22))&lt;&gt;""),'Arroz irrigado'!$E55:INDEX('Arroz irrigado'!$E55:$Z55,MIN(AV$6-$G$3,22))),0)))))</f>
        <v>0</v>
      </c>
      <c r="AW57" s="27" t="n">
        <f aca="false">IF(COUNT('Arroz irrigado'!$E55:$Z55)=0,0,MAX(0,IF((AW$6-$E$3)&lt;1,0,IFERROR(LOOKUP(2,1/('Arroz irrigado'!$E55:INDEX('Arroz irrigado'!$E55:$Z55,MIN(AW$6-$E$3,22))&lt;&gt;""),'Arroz irrigado'!$E55:INDEX('Arroz irrigado'!$E55:$Z55,MIN(AW$6-$E$3,22))),0))-IF($G$2,0,IF((AW$6-$G$3)&lt;1,0,IFERROR(LOOKUP(2,1/('Arroz irrigado'!$E55:INDEX('Arroz irrigado'!$E55:$Z55,MIN(AW$6-$G$3,22))&lt;&gt;""),'Arroz irrigado'!$E55:INDEX('Arroz irrigado'!$E55:$Z55,MIN(AW$6-$G$3,22))),0)))))</f>
        <v>0</v>
      </c>
      <c r="AX57" s="27" t="n">
        <f aca="false">IF(COUNT('Arroz irrigado'!$E55:$Z55)=0,0,MAX(0,IF((AX$6-$E$3)&lt;1,0,IFERROR(LOOKUP(2,1/('Arroz irrigado'!$E55:INDEX('Arroz irrigado'!$E55:$Z55,MIN(AX$6-$E$3,22))&lt;&gt;""),'Arroz irrigado'!$E55:INDEX('Arroz irrigado'!$E55:$Z55,MIN(AX$6-$E$3,22))),0))-IF($G$2,0,IF((AX$6-$G$3)&lt;1,0,IFERROR(LOOKUP(2,1/('Arroz irrigado'!$E55:INDEX('Arroz irrigado'!$E55:$Z55,MIN(AX$6-$G$3,22))&lt;&gt;""),'Arroz irrigado'!$E55:INDEX('Arroz irrigado'!$E55:$Z55,MIN(AX$6-$G$3,22))),0)))))</f>
        <v>0</v>
      </c>
      <c r="AY57" s="27" t="n">
        <f aca="false">IF(COUNT('Arroz irrigado'!$E55:$Z55)=0,0,MAX(0,IF((AY$6-$E$3)&lt;1,0,IFERROR(LOOKUP(2,1/('Arroz irrigado'!$E55:INDEX('Arroz irrigado'!$E55:$Z55,MIN(AY$6-$E$3,22))&lt;&gt;""),'Arroz irrigado'!$E55:INDEX('Arroz irrigado'!$E55:$Z55,MIN(AY$6-$E$3,22))),0))-IF($G$2,0,IF((AY$6-$G$3)&lt;1,0,IFERROR(LOOKUP(2,1/('Arroz irrigado'!$E55:INDEX('Arroz irrigado'!$E55:$Z55,MIN(AY$6-$G$3,22))&lt;&gt;""),'Arroz irrigado'!$E55:INDEX('Arroz irrigado'!$E55:$Z55,MIN(AY$6-$G$3,22))),0)))))</f>
        <v>0</v>
      </c>
      <c r="AZ57" s="27" t="n">
        <f aca="false">IF(COUNT('Arroz irrigado'!$E55:$Z55)=0,0,MAX(0,IF((AZ$6-$E$3)&lt;1,0,IFERROR(LOOKUP(2,1/('Arroz irrigado'!$E55:INDEX('Arroz irrigado'!$E55:$Z55,MIN(AZ$6-$E$3,22))&lt;&gt;""),'Arroz irrigado'!$E55:INDEX('Arroz irrigado'!$E55:$Z55,MIN(AZ$6-$E$3,22))),0))-IF($G$2,0,IF((AZ$6-$G$3)&lt;1,0,IFERROR(LOOKUP(2,1/('Arroz irrigado'!$E55:INDEX('Arroz irrigado'!$E55:$Z55,MIN(AZ$6-$G$3,22))&lt;&gt;""),'Arroz irrigado'!$E55:INDEX('Arroz irrigado'!$E55:$Z55,MIN(AZ$6-$G$3,22))),0)))))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IF(COUNT('Arroz irrigado'!$E56:$Z56)&gt;0,N('Arroz irrigado'!$D56),0)</f>
        <v>0</v>
      </c>
      <c r="E58" s="27" t="n">
        <f aca="false">IF(COUNT('Arroz irrigado'!$E56:$Z56)=0,0,MAX(0,IF((E$6-$E$3)&lt;1,0,IFERROR(LOOKUP(2,1/('Arroz irrigado'!$E56:INDEX('Arroz irrigado'!$E56:$Z56,MIN(E$6-$E$3,22))&lt;&gt;""),'Arroz irrigado'!$E56:INDEX('Arroz irrigado'!$E56:$Z56,MIN(E$6-$E$3,22))),0))-IF($G$2,0,IF((E$6-$G$3)&lt;1,0,IFERROR(LOOKUP(2,1/('Arroz irrigado'!$E56:INDEX('Arroz irrigado'!$E56:$Z56,MIN(E$6-$G$3,22))&lt;&gt;""),'Arroz irrigado'!$E56:INDEX('Arroz irrigado'!$E56:$Z56,MIN(E$6-$G$3,22))),0)))))</f>
        <v>0</v>
      </c>
      <c r="F58" s="27" t="n">
        <f aca="false">IF(COUNT('Arroz irrigado'!$E56:$Z56)=0,0,MAX(0,IF((F$6-$E$3)&lt;1,0,IFERROR(LOOKUP(2,1/('Arroz irrigado'!$E56:INDEX('Arroz irrigado'!$E56:$Z56,MIN(F$6-$E$3,22))&lt;&gt;""),'Arroz irrigado'!$E56:INDEX('Arroz irrigado'!$E56:$Z56,MIN(F$6-$E$3,22))),0))-IF($G$2,0,IF((F$6-$G$3)&lt;1,0,IFERROR(LOOKUP(2,1/('Arroz irrigado'!$E56:INDEX('Arroz irrigado'!$E56:$Z56,MIN(F$6-$G$3,22))&lt;&gt;""),'Arroz irrigado'!$E56:INDEX('Arroz irrigado'!$E56:$Z56,MIN(F$6-$G$3,22))),0)))))</f>
        <v>0</v>
      </c>
      <c r="G58" s="27" t="n">
        <f aca="false">IF(COUNT('Arroz irrigado'!$E56:$Z56)=0,0,MAX(0,IF((G$6-$E$3)&lt;1,0,IFERROR(LOOKUP(2,1/('Arroz irrigado'!$E56:INDEX('Arroz irrigado'!$E56:$Z56,MIN(G$6-$E$3,22))&lt;&gt;""),'Arroz irrigado'!$E56:INDEX('Arroz irrigado'!$E56:$Z56,MIN(G$6-$E$3,22))),0))-IF($G$2,0,IF((G$6-$G$3)&lt;1,0,IFERROR(LOOKUP(2,1/('Arroz irrigado'!$E56:INDEX('Arroz irrigado'!$E56:$Z56,MIN(G$6-$G$3,22))&lt;&gt;""),'Arroz irrigado'!$E56:INDEX('Arroz irrigado'!$E56:$Z56,MIN(G$6-$G$3,22))),0)))))</f>
        <v>0</v>
      </c>
      <c r="H58" s="27" t="n">
        <f aca="false">IF(COUNT('Arroz irrigado'!$E56:$Z56)=0,0,MAX(0,IF((H$6-$E$3)&lt;1,0,IFERROR(LOOKUP(2,1/('Arroz irrigado'!$E56:INDEX('Arroz irrigado'!$E56:$Z56,MIN(H$6-$E$3,22))&lt;&gt;""),'Arroz irrigado'!$E56:INDEX('Arroz irrigado'!$E56:$Z56,MIN(H$6-$E$3,22))),0))-IF($G$2,0,IF((H$6-$G$3)&lt;1,0,IFERROR(LOOKUP(2,1/('Arroz irrigado'!$E56:INDEX('Arroz irrigado'!$E56:$Z56,MIN(H$6-$G$3,22))&lt;&gt;""),'Arroz irrigado'!$E56:INDEX('Arroz irrigado'!$E56:$Z56,MIN(H$6-$G$3,22))),0)))))</f>
        <v>0</v>
      </c>
      <c r="I58" s="27" t="n">
        <f aca="false">IF(COUNT('Arroz irrigado'!$E56:$Z56)=0,0,MAX(0,IF((I$6-$E$3)&lt;1,0,IFERROR(LOOKUP(2,1/('Arroz irrigado'!$E56:INDEX('Arroz irrigado'!$E56:$Z56,MIN(I$6-$E$3,22))&lt;&gt;""),'Arroz irrigado'!$E56:INDEX('Arroz irrigado'!$E56:$Z56,MIN(I$6-$E$3,22))),0))-IF($G$2,0,IF((I$6-$G$3)&lt;1,0,IFERROR(LOOKUP(2,1/('Arroz irrigado'!$E56:INDEX('Arroz irrigado'!$E56:$Z56,MIN(I$6-$G$3,22))&lt;&gt;""),'Arroz irrigado'!$E56:INDEX('Arroz irrigado'!$E56:$Z56,MIN(I$6-$G$3,22))),0)))))</f>
        <v>0</v>
      </c>
      <c r="J58" s="27" t="n">
        <f aca="false">IF(COUNT('Arroz irrigado'!$E56:$Z56)=0,0,MAX(0,IF((J$6-$E$3)&lt;1,0,IFERROR(LOOKUP(2,1/('Arroz irrigado'!$E56:INDEX('Arroz irrigado'!$E56:$Z56,MIN(J$6-$E$3,22))&lt;&gt;""),'Arroz irrigado'!$E56:INDEX('Arroz irrigado'!$E56:$Z56,MIN(J$6-$E$3,22))),0))-IF($G$2,0,IF((J$6-$G$3)&lt;1,0,IFERROR(LOOKUP(2,1/('Arroz irrigado'!$E56:INDEX('Arroz irrigado'!$E56:$Z56,MIN(J$6-$G$3,22))&lt;&gt;""),'Arroz irrigado'!$E56:INDEX('Arroz irrigado'!$E56:$Z56,MIN(J$6-$G$3,22))),0)))))</f>
        <v>0</v>
      </c>
      <c r="K58" s="27" t="n">
        <f aca="false">IF(COUNT('Arroz irrigado'!$E56:$Z56)=0,0,MAX(0,IF((K$6-$E$3)&lt;1,0,IFERROR(LOOKUP(2,1/('Arroz irrigado'!$E56:INDEX('Arroz irrigado'!$E56:$Z56,MIN(K$6-$E$3,22))&lt;&gt;""),'Arroz irrigado'!$E56:INDEX('Arroz irrigado'!$E56:$Z56,MIN(K$6-$E$3,22))),0))-IF($G$2,0,IF((K$6-$G$3)&lt;1,0,IFERROR(LOOKUP(2,1/('Arroz irrigado'!$E56:INDEX('Arroz irrigado'!$E56:$Z56,MIN(K$6-$G$3,22))&lt;&gt;""),'Arroz irrigado'!$E56:INDEX('Arroz irrigado'!$E56:$Z56,MIN(K$6-$G$3,22))),0)))))</f>
        <v>0</v>
      </c>
      <c r="L58" s="27" t="n">
        <f aca="false">IF(COUNT('Arroz irrigado'!$E56:$Z56)=0,0,MAX(0,IF((L$6-$E$3)&lt;1,0,IFERROR(LOOKUP(2,1/('Arroz irrigado'!$E56:INDEX('Arroz irrigado'!$E56:$Z56,MIN(L$6-$E$3,22))&lt;&gt;""),'Arroz irrigado'!$E56:INDEX('Arroz irrigado'!$E56:$Z56,MIN(L$6-$E$3,22))),0))-IF($G$2,0,IF((L$6-$G$3)&lt;1,0,IFERROR(LOOKUP(2,1/('Arroz irrigado'!$E56:INDEX('Arroz irrigado'!$E56:$Z56,MIN(L$6-$G$3,22))&lt;&gt;""),'Arroz irrigado'!$E56:INDEX('Arroz irrigado'!$E56:$Z56,MIN(L$6-$G$3,22))),0)))))</f>
        <v>0</v>
      </c>
      <c r="M58" s="27" t="n">
        <f aca="false">IF(COUNT('Arroz irrigado'!$E56:$Z56)=0,0,MAX(0,IF((M$6-$E$3)&lt;1,0,IFERROR(LOOKUP(2,1/('Arroz irrigado'!$E56:INDEX('Arroz irrigado'!$E56:$Z56,MIN(M$6-$E$3,22))&lt;&gt;""),'Arroz irrigado'!$E56:INDEX('Arroz irrigado'!$E56:$Z56,MIN(M$6-$E$3,22))),0))-IF($G$2,0,IF((M$6-$G$3)&lt;1,0,IFERROR(LOOKUP(2,1/('Arroz irrigado'!$E56:INDEX('Arroz irrigado'!$E56:$Z56,MIN(M$6-$G$3,22))&lt;&gt;""),'Arroz irrigado'!$E56:INDEX('Arroz irrigado'!$E56:$Z56,MIN(M$6-$G$3,22))),0)))))</f>
        <v>0</v>
      </c>
      <c r="N58" s="27" t="n">
        <f aca="false">IF(COUNT('Arroz irrigado'!$E56:$Z56)=0,0,MAX(0,IF((N$6-$E$3)&lt;1,0,IFERROR(LOOKUP(2,1/('Arroz irrigado'!$E56:INDEX('Arroz irrigado'!$E56:$Z56,MIN(N$6-$E$3,22))&lt;&gt;""),'Arroz irrigado'!$E56:INDEX('Arroz irrigado'!$E56:$Z56,MIN(N$6-$E$3,22))),0))-IF($G$2,0,IF((N$6-$G$3)&lt;1,0,IFERROR(LOOKUP(2,1/('Arroz irrigado'!$E56:INDEX('Arroz irrigado'!$E56:$Z56,MIN(N$6-$G$3,22))&lt;&gt;""),'Arroz irrigado'!$E56:INDEX('Arroz irrigado'!$E56:$Z56,MIN(N$6-$G$3,22))),0)))))</f>
        <v>0</v>
      </c>
      <c r="O58" s="27" t="n">
        <f aca="false">IF(COUNT('Arroz irrigado'!$E56:$Z56)=0,0,MAX(0,IF((O$6-$E$3)&lt;1,0,IFERROR(LOOKUP(2,1/('Arroz irrigado'!$E56:INDEX('Arroz irrigado'!$E56:$Z56,MIN(O$6-$E$3,22))&lt;&gt;""),'Arroz irrigado'!$E56:INDEX('Arroz irrigado'!$E56:$Z56,MIN(O$6-$E$3,22))),0))-IF($G$2,0,IF((O$6-$G$3)&lt;1,0,IFERROR(LOOKUP(2,1/('Arroz irrigado'!$E56:INDEX('Arroz irrigado'!$E56:$Z56,MIN(O$6-$G$3,22))&lt;&gt;""),'Arroz irrigado'!$E56:INDEX('Arroz irrigado'!$E56:$Z56,MIN(O$6-$G$3,22))),0)))))</f>
        <v>0</v>
      </c>
      <c r="P58" s="27" t="n">
        <f aca="false">IF(COUNT('Arroz irrigado'!$E56:$Z56)=0,0,MAX(0,IF((P$6-$E$3)&lt;1,0,IFERROR(LOOKUP(2,1/('Arroz irrigado'!$E56:INDEX('Arroz irrigado'!$E56:$Z56,MIN(P$6-$E$3,22))&lt;&gt;""),'Arroz irrigado'!$E56:INDEX('Arroz irrigado'!$E56:$Z56,MIN(P$6-$E$3,22))),0))-IF($G$2,0,IF((P$6-$G$3)&lt;1,0,IFERROR(LOOKUP(2,1/('Arroz irrigado'!$E56:INDEX('Arroz irrigado'!$E56:$Z56,MIN(P$6-$G$3,22))&lt;&gt;""),'Arroz irrigado'!$E56:INDEX('Arroz irrigado'!$E56:$Z56,MIN(P$6-$G$3,22))),0)))))</f>
        <v>0</v>
      </c>
      <c r="Q58" s="27" t="n">
        <f aca="false">IF(COUNT('Arroz irrigado'!$E56:$Z56)=0,0,MAX(0,IF((Q$6-$E$3)&lt;1,0,IFERROR(LOOKUP(2,1/('Arroz irrigado'!$E56:INDEX('Arroz irrigado'!$E56:$Z56,MIN(Q$6-$E$3,22))&lt;&gt;""),'Arroz irrigado'!$E56:INDEX('Arroz irrigado'!$E56:$Z56,MIN(Q$6-$E$3,22))),0))-IF($G$2,0,IF((Q$6-$G$3)&lt;1,0,IFERROR(LOOKUP(2,1/('Arroz irrigado'!$E56:INDEX('Arroz irrigado'!$E56:$Z56,MIN(Q$6-$G$3,22))&lt;&gt;""),'Arroz irrigado'!$E56:INDEX('Arroz irrigado'!$E56:$Z56,MIN(Q$6-$G$3,22))),0)))))</f>
        <v>0</v>
      </c>
      <c r="R58" s="27" t="n">
        <f aca="false">IF(COUNT('Arroz irrigado'!$E56:$Z56)=0,0,MAX(0,IF((R$6-$E$3)&lt;1,0,IFERROR(LOOKUP(2,1/('Arroz irrigado'!$E56:INDEX('Arroz irrigado'!$E56:$Z56,MIN(R$6-$E$3,22))&lt;&gt;""),'Arroz irrigado'!$E56:INDEX('Arroz irrigado'!$E56:$Z56,MIN(R$6-$E$3,22))),0))-IF($G$2,0,IF((R$6-$G$3)&lt;1,0,IFERROR(LOOKUP(2,1/('Arroz irrigado'!$E56:INDEX('Arroz irrigado'!$E56:$Z56,MIN(R$6-$G$3,22))&lt;&gt;""),'Arroz irrigado'!$E56:INDEX('Arroz irrigado'!$E56:$Z56,MIN(R$6-$G$3,22))),0)))))</f>
        <v>0</v>
      </c>
      <c r="S58" s="27" t="n">
        <f aca="false">IF(COUNT('Arroz irrigado'!$E56:$Z56)=0,0,MAX(0,IF((S$6-$E$3)&lt;1,0,IFERROR(LOOKUP(2,1/('Arroz irrigado'!$E56:INDEX('Arroz irrigado'!$E56:$Z56,MIN(S$6-$E$3,22))&lt;&gt;""),'Arroz irrigado'!$E56:INDEX('Arroz irrigado'!$E56:$Z56,MIN(S$6-$E$3,22))),0))-IF($G$2,0,IF((S$6-$G$3)&lt;1,0,IFERROR(LOOKUP(2,1/('Arroz irrigado'!$E56:INDEX('Arroz irrigado'!$E56:$Z56,MIN(S$6-$G$3,22))&lt;&gt;""),'Arroz irrigado'!$E56:INDEX('Arroz irrigado'!$E56:$Z56,MIN(S$6-$G$3,22))),0)))))</f>
        <v>0</v>
      </c>
      <c r="T58" s="27" t="n">
        <f aca="false">IF(COUNT('Arroz irrigado'!$E56:$Z56)=0,0,MAX(0,IF((T$6-$E$3)&lt;1,0,IFERROR(LOOKUP(2,1/('Arroz irrigado'!$E56:INDEX('Arroz irrigado'!$E56:$Z56,MIN(T$6-$E$3,22))&lt;&gt;""),'Arroz irrigado'!$E56:INDEX('Arroz irrigado'!$E56:$Z56,MIN(T$6-$E$3,22))),0))-IF($G$2,0,IF((T$6-$G$3)&lt;1,0,IFERROR(LOOKUP(2,1/('Arroz irrigado'!$E56:INDEX('Arroz irrigado'!$E56:$Z56,MIN(T$6-$G$3,22))&lt;&gt;""),'Arroz irrigado'!$E56:INDEX('Arroz irrigado'!$E56:$Z56,MIN(T$6-$G$3,22))),0)))))</f>
        <v>0</v>
      </c>
      <c r="U58" s="27" t="n">
        <f aca="false">IF(COUNT('Arroz irrigado'!$E56:$Z56)=0,0,MAX(0,IF((U$6-$E$3)&lt;1,0,IFERROR(LOOKUP(2,1/('Arroz irrigado'!$E56:INDEX('Arroz irrigado'!$E56:$Z56,MIN(U$6-$E$3,22))&lt;&gt;""),'Arroz irrigado'!$E56:INDEX('Arroz irrigado'!$E56:$Z56,MIN(U$6-$E$3,22))),0))-IF($G$2,0,IF((U$6-$G$3)&lt;1,0,IFERROR(LOOKUP(2,1/('Arroz irrigado'!$E56:INDEX('Arroz irrigado'!$E56:$Z56,MIN(U$6-$G$3,22))&lt;&gt;""),'Arroz irrigado'!$E56:INDEX('Arroz irrigado'!$E56:$Z56,MIN(U$6-$G$3,22))),0)))))</f>
        <v>0</v>
      </c>
      <c r="V58" s="27" t="n">
        <f aca="false">IF(COUNT('Arroz irrigado'!$E56:$Z56)=0,0,MAX(0,IF((V$6-$E$3)&lt;1,0,IFERROR(LOOKUP(2,1/('Arroz irrigado'!$E56:INDEX('Arroz irrigado'!$E56:$Z56,MIN(V$6-$E$3,22))&lt;&gt;""),'Arroz irrigado'!$E56:INDEX('Arroz irrigado'!$E56:$Z56,MIN(V$6-$E$3,22))),0))-IF($G$2,0,IF((V$6-$G$3)&lt;1,0,IFERROR(LOOKUP(2,1/('Arroz irrigado'!$E56:INDEX('Arroz irrigado'!$E56:$Z56,MIN(V$6-$G$3,22))&lt;&gt;""),'Arroz irrigado'!$E56:INDEX('Arroz irrigado'!$E56:$Z56,MIN(V$6-$G$3,22))),0)))))</f>
        <v>0</v>
      </c>
      <c r="W58" s="27" t="n">
        <f aca="false">IF(COUNT('Arroz irrigado'!$E56:$Z56)=0,0,MAX(0,IF((W$6-$E$3)&lt;1,0,IFERROR(LOOKUP(2,1/('Arroz irrigado'!$E56:INDEX('Arroz irrigado'!$E56:$Z56,MIN(W$6-$E$3,22))&lt;&gt;""),'Arroz irrigado'!$E56:INDEX('Arroz irrigado'!$E56:$Z56,MIN(W$6-$E$3,22))),0))-IF($G$2,0,IF((W$6-$G$3)&lt;1,0,IFERROR(LOOKUP(2,1/('Arroz irrigado'!$E56:INDEX('Arroz irrigado'!$E56:$Z56,MIN(W$6-$G$3,22))&lt;&gt;""),'Arroz irrigado'!$E56:INDEX('Arroz irrigado'!$E56:$Z56,MIN(W$6-$G$3,22))),0)))))</f>
        <v>0</v>
      </c>
      <c r="X58" s="27" t="n">
        <f aca="false">IF(COUNT('Arroz irrigado'!$E56:$Z56)=0,0,MAX(0,IF((X$6-$E$3)&lt;1,0,IFERROR(LOOKUP(2,1/('Arroz irrigado'!$E56:INDEX('Arroz irrigado'!$E56:$Z56,MIN(X$6-$E$3,22))&lt;&gt;""),'Arroz irrigado'!$E56:INDEX('Arroz irrigado'!$E56:$Z56,MIN(X$6-$E$3,22))),0))-IF($G$2,0,IF((X$6-$G$3)&lt;1,0,IFERROR(LOOKUP(2,1/('Arroz irrigado'!$E56:INDEX('Arroz irrigado'!$E56:$Z56,MIN(X$6-$G$3,22))&lt;&gt;""),'Arroz irrigado'!$E56:INDEX('Arroz irrigado'!$E56:$Z56,MIN(X$6-$G$3,22))),0)))))</f>
        <v>0</v>
      </c>
      <c r="Y58" s="27" t="n">
        <f aca="false">IF(COUNT('Arroz irrigado'!$E56:$Z56)=0,0,MAX(0,IF((Y$6-$E$3)&lt;1,0,IFERROR(LOOKUP(2,1/('Arroz irrigado'!$E56:INDEX('Arroz irrigado'!$E56:$Z56,MIN(Y$6-$E$3,22))&lt;&gt;""),'Arroz irrigado'!$E56:INDEX('Arroz irrigado'!$E56:$Z56,MIN(Y$6-$E$3,22))),0))-IF($G$2,0,IF((Y$6-$G$3)&lt;1,0,IFERROR(LOOKUP(2,1/('Arroz irrigado'!$E56:INDEX('Arroz irrigado'!$E56:$Z56,MIN(Y$6-$G$3,22))&lt;&gt;""),'Arroz irrigado'!$E56:INDEX('Arroz irrigado'!$E56:$Z56,MIN(Y$6-$G$3,22))),0)))))</f>
        <v>0</v>
      </c>
      <c r="Z58" s="27" t="n">
        <f aca="false">IF(COUNT('Arroz irrigado'!$E56:$Z56)=0,0,MAX(0,IF((Z$6-$E$3)&lt;1,0,IFERROR(LOOKUP(2,1/('Arroz irrigado'!$E56:INDEX('Arroz irrigado'!$E56:$Z56,MIN(Z$6-$E$3,22))&lt;&gt;""),'Arroz irrigado'!$E56:INDEX('Arroz irrigado'!$E56:$Z56,MIN(Z$6-$E$3,22))),0))-IF($G$2,0,IF((Z$6-$G$3)&lt;1,0,IFERROR(LOOKUP(2,1/('Arroz irrigado'!$E56:INDEX('Arroz irrigado'!$E56:$Z56,MIN(Z$6-$G$3,22))&lt;&gt;""),'Arroz irrigado'!$E56:INDEX('Arroz irrigado'!$E56:$Z56,MIN(Z$6-$G$3,22))),0)))))</f>
        <v>0</v>
      </c>
      <c r="AA58" s="27" t="n">
        <f aca="false">IF(COUNT('Arroz irrigado'!$E56:$Z56)=0,0,MAX(0,IF((AA$6-$E$3)&lt;1,0,IFERROR(LOOKUP(2,1/('Arroz irrigado'!$E56:INDEX('Arroz irrigado'!$E56:$Z56,MIN(AA$6-$E$3,22))&lt;&gt;""),'Arroz irrigado'!$E56:INDEX('Arroz irrigado'!$E56:$Z56,MIN(AA$6-$E$3,22))),0))-IF($G$2,0,IF((AA$6-$G$3)&lt;1,0,IFERROR(LOOKUP(2,1/('Arroz irrigado'!$E56:INDEX('Arroz irrigado'!$E56:$Z56,MIN(AA$6-$G$3,22))&lt;&gt;""),'Arroz irrigado'!$E56:INDEX('Arroz irrigado'!$E56:$Z56,MIN(AA$6-$G$3,22))),0)))))</f>
        <v>0</v>
      </c>
      <c r="AB58" s="27" t="n">
        <f aca="false">IF(COUNT('Arroz irrigado'!$E56:$Z56)=0,0,MAX(0,IF((AB$6-$E$3)&lt;1,0,IFERROR(LOOKUP(2,1/('Arroz irrigado'!$E56:INDEX('Arroz irrigado'!$E56:$Z56,MIN(AB$6-$E$3,22))&lt;&gt;""),'Arroz irrigado'!$E56:INDEX('Arroz irrigado'!$E56:$Z56,MIN(AB$6-$E$3,22))),0))-IF($G$2,0,IF((AB$6-$G$3)&lt;1,0,IFERROR(LOOKUP(2,1/('Arroz irrigado'!$E56:INDEX('Arroz irrigado'!$E56:$Z56,MIN(AB$6-$G$3,22))&lt;&gt;""),'Arroz irrigado'!$E56:INDEX('Arroz irrigado'!$E56:$Z56,MIN(AB$6-$G$3,22))),0)))))</f>
        <v>0</v>
      </c>
      <c r="AC58" s="27" t="n">
        <f aca="false">IF(COUNT('Arroz irrigado'!$E56:$Z56)=0,0,MAX(0,IF((AC$6-$E$3)&lt;1,0,IFERROR(LOOKUP(2,1/('Arroz irrigado'!$E56:INDEX('Arroz irrigado'!$E56:$Z56,MIN(AC$6-$E$3,22))&lt;&gt;""),'Arroz irrigado'!$E56:INDEX('Arroz irrigado'!$E56:$Z56,MIN(AC$6-$E$3,22))),0))-IF($G$2,0,IF((AC$6-$G$3)&lt;1,0,IFERROR(LOOKUP(2,1/('Arroz irrigado'!$E56:INDEX('Arroz irrigado'!$E56:$Z56,MIN(AC$6-$G$3,22))&lt;&gt;""),'Arroz irrigado'!$E56:INDEX('Arroz irrigado'!$E56:$Z56,MIN(AC$6-$G$3,22))),0)))))</f>
        <v>0</v>
      </c>
      <c r="AD58" s="27" t="n">
        <f aca="false">IF(COUNT('Arroz irrigado'!$E56:$Z56)=0,0,MAX(0,IF((AD$6-$E$3)&lt;1,0,IFERROR(LOOKUP(2,1/('Arroz irrigado'!$E56:INDEX('Arroz irrigado'!$E56:$Z56,MIN(AD$6-$E$3,22))&lt;&gt;""),'Arroz irrigado'!$E56:INDEX('Arroz irrigado'!$E56:$Z56,MIN(AD$6-$E$3,22))),0))-IF($G$2,0,IF((AD$6-$G$3)&lt;1,0,IFERROR(LOOKUP(2,1/('Arroz irrigado'!$E56:INDEX('Arroz irrigado'!$E56:$Z56,MIN(AD$6-$G$3,22))&lt;&gt;""),'Arroz irrigado'!$E56:INDEX('Arroz irrigado'!$E56:$Z56,MIN(AD$6-$G$3,22))),0)))))</f>
        <v>0</v>
      </c>
      <c r="AE58" s="27" t="n">
        <f aca="false">IF(COUNT('Arroz irrigado'!$E56:$Z56)=0,0,MAX(0,IF((AE$6-$E$3)&lt;1,0,IFERROR(LOOKUP(2,1/('Arroz irrigado'!$E56:INDEX('Arroz irrigado'!$E56:$Z56,MIN(AE$6-$E$3,22))&lt;&gt;""),'Arroz irrigado'!$E56:INDEX('Arroz irrigado'!$E56:$Z56,MIN(AE$6-$E$3,22))),0))-IF($G$2,0,IF((AE$6-$G$3)&lt;1,0,IFERROR(LOOKUP(2,1/('Arroz irrigado'!$E56:INDEX('Arroz irrigado'!$E56:$Z56,MIN(AE$6-$G$3,22))&lt;&gt;""),'Arroz irrigado'!$E56:INDEX('Arroz irrigado'!$E56:$Z56,MIN(AE$6-$G$3,22))),0)))))</f>
        <v>0</v>
      </c>
      <c r="AF58" s="27" t="n">
        <f aca="false">IF(COUNT('Arroz irrigado'!$E56:$Z56)=0,0,MAX(0,IF((AF$6-$E$3)&lt;1,0,IFERROR(LOOKUP(2,1/('Arroz irrigado'!$E56:INDEX('Arroz irrigado'!$E56:$Z56,MIN(AF$6-$E$3,22))&lt;&gt;""),'Arroz irrigado'!$E56:INDEX('Arroz irrigado'!$E56:$Z56,MIN(AF$6-$E$3,22))),0))-IF($G$2,0,IF((AF$6-$G$3)&lt;1,0,IFERROR(LOOKUP(2,1/('Arroz irrigado'!$E56:INDEX('Arroz irrigado'!$E56:$Z56,MIN(AF$6-$G$3,22))&lt;&gt;""),'Arroz irrigado'!$E56:INDEX('Arroz irrigado'!$E56:$Z56,MIN(AF$6-$G$3,22))),0)))))</f>
        <v>0</v>
      </c>
      <c r="AG58" s="27" t="n">
        <f aca="false">IF(COUNT('Arroz irrigado'!$E56:$Z56)=0,0,MAX(0,IF((AG$6-$E$3)&lt;1,0,IFERROR(LOOKUP(2,1/('Arroz irrigado'!$E56:INDEX('Arroz irrigado'!$E56:$Z56,MIN(AG$6-$E$3,22))&lt;&gt;""),'Arroz irrigado'!$E56:INDEX('Arroz irrigado'!$E56:$Z56,MIN(AG$6-$E$3,22))),0))-IF($G$2,0,IF((AG$6-$G$3)&lt;1,0,IFERROR(LOOKUP(2,1/('Arroz irrigado'!$E56:INDEX('Arroz irrigado'!$E56:$Z56,MIN(AG$6-$G$3,22))&lt;&gt;""),'Arroz irrigado'!$E56:INDEX('Arroz irrigado'!$E56:$Z56,MIN(AG$6-$G$3,22))),0)))))</f>
        <v>0</v>
      </c>
      <c r="AH58" s="27" t="n">
        <f aca="false">IF(COUNT('Arroz irrigado'!$E56:$Z56)=0,0,MAX(0,IF((AH$6-$E$3)&lt;1,0,IFERROR(LOOKUP(2,1/('Arroz irrigado'!$E56:INDEX('Arroz irrigado'!$E56:$Z56,MIN(AH$6-$E$3,22))&lt;&gt;""),'Arroz irrigado'!$E56:INDEX('Arroz irrigado'!$E56:$Z56,MIN(AH$6-$E$3,22))),0))-IF($G$2,0,IF((AH$6-$G$3)&lt;1,0,IFERROR(LOOKUP(2,1/('Arroz irrigado'!$E56:INDEX('Arroz irrigado'!$E56:$Z56,MIN(AH$6-$G$3,22))&lt;&gt;""),'Arroz irrigado'!$E56:INDEX('Arroz irrigado'!$E56:$Z56,MIN(AH$6-$G$3,22))),0)))))</f>
        <v>0</v>
      </c>
      <c r="AI58" s="27" t="n">
        <f aca="false">IF(COUNT('Arroz irrigado'!$E56:$Z56)=0,0,MAX(0,IF((AI$6-$E$3)&lt;1,0,IFERROR(LOOKUP(2,1/('Arroz irrigado'!$E56:INDEX('Arroz irrigado'!$E56:$Z56,MIN(AI$6-$E$3,22))&lt;&gt;""),'Arroz irrigado'!$E56:INDEX('Arroz irrigado'!$E56:$Z56,MIN(AI$6-$E$3,22))),0))-IF($G$2,0,IF((AI$6-$G$3)&lt;1,0,IFERROR(LOOKUP(2,1/('Arroz irrigado'!$E56:INDEX('Arroz irrigado'!$E56:$Z56,MIN(AI$6-$G$3,22))&lt;&gt;""),'Arroz irrigado'!$E56:INDEX('Arroz irrigado'!$E56:$Z56,MIN(AI$6-$G$3,22))),0)))))</f>
        <v>0</v>
      </c>
      <c r="AJ58" s="27" t="n">
        <f aca="false">IF(COUNT('Arroz irrigado'!$E56:$Z56)=0,0,MAX(0,IF((AJ$6-$E$3)&lt;1,0,IFERROR(LOOKUP(2,1/('Arroz irrigado'!$E56:INDEX('Arroz irrigado'!$E56:$Z56,MIN(AJ$6-$E$3,22))&lt;&gt;""),'Arroz irrigado'!$E56:INDEX('Arroz irrigado'!$E56:$Z56,MIN(AJ$6-$E$3,22))),0))-IF($G$2,0,IF((AJ$6-$G$3)&lt;1,0,IFERROR(LOOKUP(2,1/('Arroz irrigado'!$E56:INDEX('Arroz irrigado'!$E56:$Z56,MIN(AJ$6-$G$3,22))&lt;&gt;""),'Arroz irrigado'!$E56:INDEX('Arroz irrigado'!$E56:$Z56,MIN(AJ$6-$G$3,22))),0)))))</f>
        <v>0</v>
      </c>
      <c r="AK58" s="27" t="n">
        <f aca="false">IF(COUNT('Arroz irrigado'!$E56:$Z56)=0,0,MAX(0,IF((AK$6-$E$3)&lt;1,0,IFERROR(LOOKUP(2,1/('Arroz irrigado'!$E56:INDEX('Arroz irrigado'!$E56:$Z56,MIN(AK$6-$E$3,22))&lt;&gt;""),'Arroz irrigado'!$E56:INDEX('Arroz irrigado'!$E56:$Z56,MIN(AK$6-$E$3,22))),0))-IF($G$2,0,IF((AK$6-$G$3)&lt;1,0,IFERROR(LOOKUP(2,1/('Arroz irrigado'!$E56:INDEX('Arroz irrigado'!$E56:$Z56,MIN(AK$6-$G$3,22))&lt;&gt;""),'Arroz irrigado'!$E56:INDEX('Arroz irrigado'!$E56:$Z56,MIN(AK$6-$G$3,22))),0)))))</f>
        <v>0</v>
      </c>
      <c r="AL58" s="27" t="n">
        <f aca="false">IF(COUNT('Arroz irrigado'!$E56:$Z56)=0,0,MAX(0,IF((AL$6-$E$3)&lt;1,0,IFERROR(LOOKUP(2,1/('Arroz irrigado'!$E56:INDEX('Arroz irrigado'!$E56:$Z56,MIN(AL$6-$E$3,22))&lt;&gt;""),'Arroz irrigado'!$E56:INDEX('Arroz irrigado'!$E56:$Z56,MIN(AL$6-$E$3,22))),0))-IF($G$2,0,IF((AL$6-$G$3)&lt;1,0,IFERROR(LOOKUP(2,1/('Arroz irrigado'!$E56:INDEX('Arroz irrigado'!$E56:$Z56,MIN(AL$6-$G$3,22))&lt;&gt;""),'Arroz irrigado'!$E56:INDEX('Arroz irrigado'!$E56:$Z56,MIN(AL$6-$G$3,22))),0)))))</f>
        <v>0</v>
      </c>
      <c r="AM58" s="27" t="n">
        <f aca="false">IF(COUNT('Arroz irrigado'!$E56:$Z56)=0,0,MAX(0,IF((AM$6-$E$3)&lt;1,0,IFERROR(LOOKUP(2,1/('Arroz irrigado'!$E56:INDEX('Arroz irrigado'!$E56:$Z56,MIN(AM$6-$E$3,22))&lt;&gt;""),'Arroz irrigado'!$E56:INDEX('Arroz irrigado'!$E56:$Z56,MIN(AM$6-$E$3,22))),0))-IF($G$2,0,IF((AM$6-$G$3)&lt;1,0,IFERROR(LOOKUP(2,1/('Arroz irrigado'!$E56:INDEX('Arroz irrigado'!$E56:$Z56,MIN(AM$6-$G$3,22))&lt;&gt;""),'Arroz irrigado'!$E56:INDEX('Arroz irrigado'!$E56:$Z56,MIN(AM$6-$G$3,22))),0)))))</f>
        <v>0</v>
      </c>
      <c r="AN58" s="27" t="n">
        <f aca="false">IF(COUNT('Arroz irrigado'!$E56:$Z56)=0,0,MAX(0,IF((AN$6-$E$3)&lt;1,0,IFERROR(LOOKUP(2,1/('Arroz irrigado'!$E56:INDEX('Arroz irrigado'!$E56:$Z56,MIN(AN$6-$E$3,22))&lt;&gt;""),'Arroz irrigado'!$E56:INDEX('Arroz irrigado'!$E56:$Z56,MIN(AN$6-$E$3,22))),0))-IF($G$2,0,IF((AN$6-$G$3)&lt;1,0,IFERROR(LOOKUP(2,1/('Arroz irrigado'!$E56:INDEX('Arroz irrigado'!$E56:$Z56,MIN(AN$6-$G$3,22))&lt;&gt;""),'Arroz irrigado'!$E56:INDEX('Arroz irrigado'!$E56:$Z56,MIN(AN$6-$G$3,22))),0)))))</f>
        <v>0</v>
      </c>
      <c r="AO58" s="27" t="n">
        <f aca="false">IF(COUNT('Arroz irrigado'!$E56:$Z56)=0,0,MAX(0,IF((AO$6-$E$3)&lt;1,0,IFERROR(LOOKUP(2,1/('Arroz irrigado'!$E56:INDEX('Arroz irrigado'!$E56:$Z56,MIN(AO$6-$E$3,22))&lt;&gt;""),'Arroz irrigado'!$E56:INDEX('Arroz irrigado'!$E56:$Z56,MIN(AO$6-$E$3,22))),0))-IF($G$2,0,IF((AO$6-$G$3)&lt;1,0,IFERROR(LOOKUP(2,1/('Arroz irrigado'!$E56:INDEX('Arroz irrigado'!$E56:$Z56,MIN(AO$6-$G$3,22))&lt;&gt;""),'Arroz irrigado'!$E56:INDEX('Arroz irrigado'!$E56:$Z56,MIN(AO$6-$G$3,22))),0)))))</f>
        <v>0</v>
      </c>
      <c r="AP58" s="27" t="n">
        <f aca="false">IF(COUNT('Arroz irrigado'!$E56:$Z56)=0,0,MAX(0,IF((AP$6-$E$3)&lt;1,0,IFERROR(LOOKUP(2,1/('Arroz irrigado'!$E56:INDEX('Arroz irrigado'!$E56:$Z56,MIN(AP$6-$E$3,22))&lt;&gt;""),'Arroz irrigado'!$E56:INDEX('Arroz irrigado'!$E56:$Z56,MIN(AP$6-$E$3,22))),0))-IF($G$2,0,IF((AP$6-$G$3)&lt;1,0,IFERROR(LOOKUP(2,1/('Arroz irrigado'!$E56:INDEX('Arroz irrigado'!$E56:$Z56,MIN(AP$6-$G$3,22))&lt;&gt;""),'Arroz irrigado'!$E56:INDEX('Arroz irrigado'!$E56:$Z56,MIN(AP$6-$G$3,22))),0)))))</f>
        <v>0</v>
      </c>
      <c r="AQ58" s="27" t="n">
        <f aca="false">IF(COUNT('Arroz irrigado'!$E56:$Z56)=0,0,MAX(0,IF((AQ$6-$E$3)&lt;1,0,IFERROR(LOOKUP(2,1/('Arroz irrigado'!$E56:INDEX('Arroz irrigado'!$E56:$Z56,MIN(AQ$6-$E$3,22))&lt;&gt;""),'Arroz irrigado'!$E56:INDEX('Arroz irrigado'!$E56:$Z56,MIN(AQ$6-$E$3,22))),0))-IF($G$2,0,IF((AQ$6-$G$3)&lt;1,0,IFERROR(LOOKUP(2,1/('Arroz irrigado'!$E56:INDEX('Arroz irrigado'!$E56:$Z56,MIN(AQ$6-$G$3,22))&lt;&gt;""),'Arroz irrigado'!$E56:INDEX('Arroz irrigado'!$E56:$Z56,MIN(AQ$6-$G$3,22))),0)))))</f>
        <v>0</v>
      </c>
      <c r="AR58" s="27" t="n">
        <f aca="false">IF(COUNT('Arroz irrigado'!$E56:$Z56)=0,0,MAX(0,IF((AR$6-$E$3)&lt;1,0,IFERROR(LOOKUP(2,1/('Arroz irrigado'!$E56:INDEX('Arroz irrigado'!$E56:$Z56,MIN(AR$6-$E$3,22))&lt;&gt;""),'Arroz irrigado'!$E56:INDEX('Arroz irrigado'!$E56:$Z56,MIN(AR$6-$E$3,22))),0))-IF($G$2,0,IF((AR$6-$G$3)&lt;1,0,IFERROR(LOOKUP(2,1/('Arroz irrigado'!$E56:INDEX('Arroz irrigado'!$E56:$Z56,MIN(AR$6-$G$3,22))&lt;&gt;""),'Arroz irrigado'!$E56:INDEX('Arroz irrigado'!$E56:$Z56,MIN(AR$6-$G$3,22))),0)))))</f>
        <v>0</v>
      </c>
      <c r="AS58" s="27" t="n">
        <f aca="false">IF(COUNT('Arroz irrigado'!$E56:$Z56)=0,0,MAX(0,IF((AS$6-$E$3)&lt;1,0,IFERROR(LOOKUP(2,1/('Arroz irrigado'!$E56:INDEX('Arroz irrigado'!$E56:$Z56,MIN(AS$6-$E$3,22))&lt;&gt;""),'Arroz irrigado'!$E56:INDEX('Arroz irrigado'!$E56:$Z56,MIN(AS$6-$E$3,22))),0))-IF($G$2,0,IF((AS$6-$G$3)&lt;1,0,IFERROR(LOOKUP(2,1/('Arroz irrigado'!$E56:INDEX('Arroz irrigado'!$E56:$Z56,MIN(AS$6-$G$3,22))&lt;&gt;""),'Arroz irrigado'!$E56:INDEX('Arroz irrigado'!$E56:$Z56,MIN(AS$6-$G$3,22))),0)))))</f>
        <v>0</v>
      </c>
      <c r="AT58" s="27" t="n">
        <f aca="false">IF(COUNT('Arroz irrigado'!$E56:$Z56)=0,0,MAX(0,IF((AT$6-$E$3)&lt;1,0,IFERROR(LOOKUP(2,1/('Arroz irrigado'!$E56:INDEX('Arroz irrigado'!$E56:$Z56,MIN(AT$6-$E$3,22))&lt;&gt;""),'Arroz irrigado'!$E56:INDEX('Arroz irrigado'!$E56:$Z56,MIN(AT$6-$E$3,22))),0))-IF($G$2,0,IF((AT$6-$G$3)&lt;1,0,IFERROR(LOOKUP(2,1/('Arroz irrigado'!$E56:INDEX('Arroz irrigado'!$E56:$Z56,MIN(AT$6-$G$3,22))&lt;&gt;""),'Arroz irrigado'!$E56:INDEX('Arroz irrigado'!$E56:$Z56,MIN(AT$6-$G$3,22))),0)))))</f>
        <v>0</v>
      </c>
      <c r="AU58" s="27" t="n">
        <f aca="false">IF(COUNT('Arroz irrigado'!$E56:$Z56)=0,0,MAX(0,IF((AU$6-$E$3)&lt;1,0,IFERROR(LOOKUP(2,1/('Arroz irrigado'!$E56:INDEX('Arroz irrigado'!$E56:$Z56,MIN(AU$6-$E$3,22))&lt;&gt;""),'Arroz irrigado'!$E56:INDEX('Arroz irrigado'!$E56:$Z56,MIN(AU$6-$E$3,22))),0))-IF($G$2,0,IF((AU$6-$G$3)&lt;1,0,IFERROR(LOOKUP(2,1/('Arroz irrigado'!$E56:INDEX('Arroz irrigado'!$E56:$Z56,MIN(AU$6-$G$3,22))&lt;&gt;""),'Arroz irrigado'!$E56:INDEX('Arroz irrigado'!$E56:$Z56,MIN(AU$6-$G$3,22))),0)))))</f>
        <v>0</v>
      </c>
      <c r="AV58" s="27" t="n">
        <f aca="false">IF(COUNT('Arroz irrigado'!$E56:$Z56)=0,0,MAX(0,IF((AV$6-$E$3)&lt;1,0,IFERROR(LOOKUP(2,1/('Arroz irrigado'!$E56:INDEX('Arroz irrigado'!$E56:$Z56,MIN(AV$6-$E$3,22))&lt;&gt;""),'Arroz irrigado'!$E56:INDEX('Arroz irrigado'!$E56:$Z56,MIN(AV$6-$E$3,22))),0))-IF($G$2,0,IF((AV$6-$G$3)&lt;1,0,IFERROR(LOOKUP(2,1/('Arroz irrigado'!$E56:INDEX('Arroz irrigado'!$E56:$Z56,MIN(AV$6-$G$3,22))&lt;&gt;""),'Arroz irrigado'!$E56:INDEX('Arroz irrigado'!$E56:$Z56,MIN(AV$6-$G$3,22))),0)))))</f>
        <v>0</v>
      </c>
      <c r="AW58" s="27" t="n">
        <f aca="false">IF(COUNT('Arroz irrigado'!$E56:$Z56)=0,0,MAX(0,IF((AW$6-$E$3)&lt;1,0,IFERROR(LOOKUP(2,1/('Arroz irrigado'!$E56:INDEX('Arroz irrigado'!$E56:$Z56,MIN(AW$6-$E$3,22))&lt;&gt;""),'Arroz irrigado'!$E56:INDEX('Arroz irrigado'!$E56:$Z56,MIN(AW$6-$E$3,22))),0))-IF($G$2,0,IF((AW$6-$G$3)&lt;1,0,IFERROR(LOOKUP(2,1/('Arroz irrigado'!$E56:INDEX('Arroz irrigado'!$E56:$Z56,MIN(AW$6-$G$3,22))&lt;&gt;""),'Arroz irrigado'!$E56:INDEX('Arroz irrigado'!$E56:$Z56,MIN(AW$6-$G$3,22))),0)))))</f>
        <v>0</v>
      </c>
      <c r="AX58" s="27" t="n">
        <f aca="false">IF(COUNT('Arroz irrigado'!$E56:$Z56)=0,0,MAX(0,IF((AX$6-$E$3)&lt;1,0,IFERROR(LOOKUP(2,1/('Arroz irrigado'!$E56:INDEX('Arroz irrigado'!$E56:$Z56,MIN(AX$6-$E$3,22))&lt;&gt;""),'Arroz irrigado'!$E56:INDEX('Arroz irrigado'!$E56:$Z56,MIN(AX$6-$E$3,22))),0))-IF($G$2,0,IF((AX$6-$G$3)&lt;1,0,IFERROR(LOOKUP(2,1/('Arroz irrigado'!$E56:INDEX('Arroz irrigado'!$E56:$Z56,MIN(AX$6-$G$3,22))&lt;&gt;""),'Arroz irrigado'!$E56:INDEX('Arroz irrigado'!$E56:$Z56,MIN(AX$6-$G$3,22))),0)))))</f>
        <v>0</v>
      </c>
      <c r="AY58" s="27" t="n">
        <f aca="false">IF(COUNT('Arroz irrigado'!$E56:$Z56)=0,0,MAX(0,IF((AY$6-$E$3)&lt;1,0,IFERROR(LOOKUP(2,1/('Arroz irrigado'!$E56:INDEX('Arroz irrigado'!$E56:$Z56,MIN(AY$6-$E$3,22))&lt;&gt;""),'Arroz irrigado'!$E56:INDEX('Arroz irrigado'!$E56:$Z56,MIN(AY$6-$E$3,22))),0))-IF($G$2,0,IF((AY$6-$G$3)&lt;1,0,IFERROR(LOOKUP(2,1/('Arroz irrigado'!$E56:INDEX('Arroz irrigado'!$E56:$Z56,MIN(AY$6-$G$3,22))&lt;&gt;""),'Arroz irrigado'!$E56:INDEX('Arroz irrigado'!$E56:$Z56,MIN(AY$6-$G$3,22))),0)))))</f>
        <v>0</v>
      </c>
      <c r="AZ58" s="27" t="n">
        <f aca="false">IF(COUNT('Arroz irrigado'!$E56:$Z56)=0,0,MAX(0,IF((AZ$6-$E$3)&lt;1,0,IFERROR(LOOKUP(2,1/('Arroz irrigado'!$E56:INDEX('Arroz irrigado'!$E56:$Z56,MIN(AZ$6-$E$3,22))&lt;&gt;""),'Arroz irrigado'!$E56:INDEX('Arroz irrigado'!$E56:$Z56,MIN(AZ$6-$E$3,22))),0))-IF($G$2,0,IF((AZ$6-$G$3)&lt;1,0,IFERROR(LOOKUP(2,1/('Arroz irrigado'!$E56:INDEX('Arroz irrigado'!$E56:$Z56,MIN(AZ$6-$G$3,22))&lt;&gt;""),'Arroz irrigado'!$E56:INDEX('Arroz irrigado'!$E56:$Z56,MIN(AZ$6-$G$3,22))),0)))))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IF(COUNT('Arroz irrigado'!$E57:$Z57)&gt;0,N('Arroz irrigado'!$D57),0)</f>
        <v>0</v>
      </c>
      <c r="E59" s="27" t="n">
        <f aca="false">IF(COUNT('Arroz irrigado'!$E57:$Z57)=0,0,MAX(0,IF((E$6-$E$3)&lt;1,0,IFERROR(LOOKUP(2,1/('Arroz irrigado'!$E57:INDEX('Arroz irrigado'!$E57:$Z57,MIN(E$6-$E$3,22))&lt;&gt;""),'Arroz irrigado'!$E57:INDEX('Arroz irrigado'!$E57:$Z57,MIN(E$6-$E$3,22))),0))-IF($G$2,0,IF((E$6-$G$3)&lt;1,0,IFERROR(LOOKUP(2,1/('Arroz irrigado'!$E57:INDEX('Arroz irrigado'!$E57:$Z57,MIN(E$6-$G$3,22))&lt;&gt;""),'Arroz irrigado'!$E57:INDEX('Arroz irrigado'!$E57:$Z57,MIN(E$6-$G$3,22))),0)))))</f>
        <v>0</v>
      </c>
      <c r="F59" s="27" t="n">
        <f aca="false">IF(COUNT('Arroz irrigado'!$E57:$Z57)=0,0,MAX(0,IF((F$6-$E$3)&lt;1,0,IFERROR(LOOKUP(2,1/('Arroz irrigado'!$E57:INDEX('Arroz irrigado'!$E57:$Z57,MIN(F$6-$E$3,22))&lt;&gt;""),'Arroz irrigado'!$E57:INDEX('Arroz irrigado'!$E57:$Z57,MIN(F$6-$E$3,22))),0))-IF($G$2,0,IF((F$6-$G$3)&lt;1,0,IFERROR(LOOKUP(2,1/('Arroz irrigado'!$E57:INDEX('Arroz irrigado'!$E57:$Z57,MIN(F$6-$G$3,22))&lt;&gt;""),'Arroz irrigado'!$E57:INDEX('Arroz irrigado'!$E57:$Z57,MIN(F$6-$G$3,22))),0)))))</f>
        <v>0</v>
      </c>
      <c r="G59" s="27" t="n">
        <f aca="false">IF(COUNT('Arroz irrigado'!$E57:$Z57)=0,0,MAX(0,IF((G$6-$E$3)&lt;1,0,IFERROR(LOOKUP(2,1/('Arroz irrigado'!$E57:INDEX('Arroz irrigado'!$E57:$Z57,MIN(G$6-$E$3,22))&lt;&gt;""),'Arroz irrigado'!$E57:INDEX('Arroz irrigado'!$E57:$Z57,MIN(G$6-$E$3,22))),0))-IF($G$2,0,IF((G$6-$G$3)&lt;1,0,IFERROR(LOOKUP(2,1/('Arroz irrigado'!$E57:INDEX('Arroz irrigado'!$E57:$Z57,MIN(G$6-$G$3,22))&lt;&gt;""),'Arroz irrigado'!$E57:INDEX('Arroz irrigado'!$E57:$Z57,MIN(G$6-$G$3,22))),0)))))</f>
        <v>0</v>
      </c>
      <c r="H59" s="27" t="n">
        <f aca="false">IF(COUNT('Arroz irrigado'!$E57:$Z57)=0,0,MAX(0,IF((H$6-$E$3)&lt;1,0,IFERROR(LOOKUP(2,1/('Arroz irrigado'!$E57:INDEX('Arroz irrigado'!$E57:$Z57,MIN(H$6-$E$3,22))&lt;&gt;""),'Arroz irrigado'!$E57:INDEX('Arroz irrigado'!$E57:$Z57,MIN(H$6-$E$3,22))),0))-IF($G$2,0,IF((H$6-$G$3)&lt;1,0,IFERROR(LOOKUP(2,1/('Arroz irrigado'!$E57:INDEX('Arroz irrigado'!$E57:$Z57,MIN(H$6-$G$3,22))&lt;&gt;""),'Arroz irrigado'!$E57:INDEX('Arroz irrigado'!$E57:$Z57,MIN(H$6-$G$3,22))),0)))))</f>
        <v>0</v>
      </c>
      <c r="I59" s="27" t="n">
        <f aca="false">IF(COUNT('Arroz irrigado'!$E57:$Z57)=0,0,MAX(0,IF((I$6-$E$3)&lt;1,0,IFERROR(LOOKUP(2,1/('Arroz irrigado'!$E57:INDEX('Arroz irrigado'!$E57:$Z57,MIN(I$6-$E$3,22))&lt;&gt;""),'Arroz irrigado'!$E57:INDEX('Arroz irrigado'!$E57:$Z57,MIN(I$6-$E$3,22))),0))-IF($G$2,0,IF((I$6-$G$3)&lt;1,0,IFERROR(LOOKUP(2,1/('Arroz irrigado'!$E57:INDEX('Arroz irrigado'!$E57:$Z57,MIN(I$6-$G$3,22))&lt;&gt;""),'Arroz irrigado'!$E57:INDEX('Arroz irrigado'!$E57:$Z57,MIN(I$6-$G$3,22))),0)))))</f>
        <v>0</v>
      </c>
      <c r="J59" s="27" t="n">
        <f aca="false">IF(COUNT('Arroz irrigado'!$E57:$Z57)=0,0,MAX(0,IF((J$6-$E$3)&lt;1,0,IFERROR(LOOKUP(2,1/('Arroz irrigado'!$E57:INDEX('Arroz irrigado'!$E57:$Z57,MIN(J$6-$E$3,22))&lt;&gt;""),'Arroz irrigado'!$E57:INDEX('Arroz irrigado'!$E57:$Z57,MIN(J$6-$E$3,22))),0))-IF($G$2,0,IF((J$6-$G$3)&lt;1,0,IFERROR(LOOKUP(2,1/('Arroz irrigado'!$E57:INDEX('Arroz irrigado'!$E57:$Z57,MIN(J$6-$G$3,22))&lt;&gt;""),'Arroz irrigado'!$E57:INDEX('Arroz irrigado'!$E57:$Z57,MIN(J$6-$G$3,22))),0)))))</f>
        <v>0</v>
      </c>
      <c r="K59" s="27" t="n">
        <f aca="false">IF(COUNT('Arroz irrigado'!$E57:$Z57)=0,0,MAX(0,IF((K$6-$E$3)&lt;1,0,IFERROR(LOOKUP(2,1/('Arroz irrigado'!$E57:INDEX('Arroz irrigado'!$E57:$Z57,MIN(K$6-$E$3,22))&lt;&gt;""),'Arroz irrigado'!$E57:INDEX('Arroz irrigado'!$E57:$Z57,MIN(K$6-$E$3,22))),0))-IF($G$2,0,IF((K$6-$G$3)&lt;1,0,IFERROR(LOOKUP(2,1/('Arroz irrigado'!$E57:INDEX('Arroz irrigado'!$E57:$Z57,MIN(K$6-$G$3,22))&lt;&gt;""),'Arroz irrigado'!$E57:INDEX('Arroz irrigado'!$E57:$Z57,MIN(K$6-$G$3,22))),0)))))</f>
        <v>0</v>
      </c>
      <c r="L59" s="27" t="n">
        <f aca="false">IF(COUNT('Arroz irrigado'!$E57:$Z57)=0,0,MAX(0,IF((L$6-$E$3)&lt;1,0,IFERROR(LOOKUP(2,1/('Arroz irrigado'!$E57:INDEX('Arroz irrigado'!$E57:$Z57,MIN(L$6-$E$3,22))&lt;&gt;""),'Arroz irrigado'!$E57:INDEX('Arroz irrigado'!$E57:$Z57,MIN(L$6-$E$3,22))),0))-IF($G$2,0,IF((L$6-$G$3)&lt;1,0,IFERROR(LOOKUP(2,1/('Arroz irrigado'!$E57:INDEX('Arroz irrigado'!$E57:$Z57,MIN(L$6-$G$3,22))&lt;&gt;""),'Arroz irrigado'!$E57:INDEX('Arroz irrigado'!$E57:$Z57,MIN(L$6-$G$3,22))),0)))))</f>
        <v>0</v>
      </c>
      <c r="M59" s="27" t="n">
        <f aca="false">IF(COUNT('Arroz irrigado'!$E57:$Z57)=0,0,MAX(0,IF((M$6-$E$3)&lt;1,0,IFERROR(LOOKUP(2,1/('Arroz irrigado'!$E57:INDEX('Arroz irrigado'!$E57:$Z57,MIN(M$6-$E$3,22))&lt;&gt;""),'Arroz irrigado'!$E57:INDEX('Arroz irrigado'!$E57:$Z57,MIN(M$6-$E$3,22))),0))-IF($G$2,0,IF((M$6-$G$3)&lt;1,0,IFERROR(LOOKUP(2,1/('Arroz irrigado'!$E57:INDEX('Arroz irrigado'!$E57:$Z57,MIN(M$6-$G$3,22))&lt;&gt;""),'Arroz irrigado'!$E57:INDEX('Arroz irrigado'!$E57:$Z57,MIN(M$6-$G$3,22))),0)))))</f>
        <v>0</v>
      </c>
      <c r="N59" s="27" t="n">
        <f aca="false">IF(COUNT('Arroz irrigado'!$E57:$Z57)=0,0,MAX(0,IF((N$6-$E$3)&lt;1,0,IFERROR(LOOKUP(2,1/('Arroz irrigado'!$E57:INDEX('Arroz irrigado'!$E57:$Z57,MIN(N$6-$E$3,22))&lt;&gt;""),'Arroz irrigado'!$E57:INDEX('Arroz irrigado'!$E57:$Z57,MIN(N$6-$E$3,22))),0))-IF($G$2,0,IF((N$6-$G$3)&lt;1,0,IFERROR(LOOKUP(2,1/('Arroz irrigado'!$E57:INDEX('Arroz irrigado'!$E57:$Z57,MIN(N$6-$G$3,22))&lt;&gt;""),'Arroz irrigado'!$E57:INDEX('Arroz irrigado'!$E57:$Z57,MIN(N$6-$G$3,22))),0)))))</f>
        <v>0</v>
      </c>
      <c r="O59" s="27" t="n">
        <f aca="false">IF(COUNT('Arroz irrigado'!$E57:$Z57)=0,0,MAX(0,IF((O$6-$E$3)&lt;1,0,IFERROR(LOOKUP(2,1/('Arroz irrigado'!$E57:INDEX('Arroz irrigado'!$E57:$Z57,MIN(O$6-$E$3,22))&lt;&gt;""),'Arroz irrigado'!$E57:INDEX('Arroz irrigado'!$E57:$Z57,MIN(O$6-$E$3,22))),0))-IF($G$2,0,IF((O$6-$G$3)&lt;1,0,IFERROR(LOOKUP(2,1/('Arroz irrigado'!$E57:INDEX('Arroz irrigado'!$E57:$Z57,MIN(O$6-$G$3,22))&lt;&gt;""),'Arroz irrigado'!$E57:INDEX('Arroz irrigado'!$E57:$Z57,MIN(O$6-$G$3,22))),0)))))</f>
        <v>0</v>
      </c>
      <c r="P59" s="27" t="n">
        <f aca="false">IF(COUNT('Arroz irrigado'!$E57:$Z57)=0,0,MAX(0,IF((P$6-$E$3)&lt;1,0,IFERROR(LOOKUP(2,1/('Arroz irrigado'!$E57:INDEX('Arroz irrigado'!$E57:$Z57,MIN(P$6-$E$3,22))&lt;&gt;""),'Arroz irrigado'!$E57:INDEX('Arroz irrigado'!$E57:$Z57,MIN(P$6-$E$3,22))),0))-IF($G$2,0,IF((P$6-$G$3)&lt;1,0,IFERROR(LOOKUP(2,1/('Arroz irrigado'!$E57:INDEX('Arroz irrigado'!$E57:$Z57,MIN(P$6-$G$3,22))&lt;&gt;""),'Arroz irrigado'!$E57:INDEX('Arroz irrigado'!$E57:$Z57,MIN(P$6-$G$3,22))),0)))))</f>
        <v>0</v>
      </c>
      <c r="Q59" s="27" t="n">
        <f aca="false">IF(COUNT('Arroz irrigado'!$E57:$Z57)=0,0,MAX(0,IF((Q$6-$E$3)&lt;1,0,IFERROR(LOOKUP(2,1/('Arroz irrigado'!$E57:INDEX('Arroz irrigado'!$E57:$Z57,MIN(Q$6-$E$3,22))&lt;&gt;""),'Arroz irrigado'!$E57:INDEX('Arroz irrigado'!$E57:$Z57,MIN(Q$6-$E$3,22))),0))-IF($G$2,0,IF((Q$6-$G$3)&lt;1,0,IFERROR(LOOKUP(2,1/('Arroz irrigado'!$E57:INDEX('Arroz irrigado'!$E57:$Z57,MIN(Q$6-$G$3,22))&lt;&gt;""),'Arroz irrigado'!$E57:INDEX('Arroz irrigado'!$E57:$Z57,MIN(Q$6-$G$3,22))),0)))))</f>
        <v>0</v>
      </c>
      <c r="R59" s="27" t="n">
        <f aca="false">IF(COUNT('Arroz irrigado'!$E57:$Z57)=0,0,MAX(0,IF((R$6-$E$3)&lt;1,0,IFERROR(LOOKUP(2,1/('Arroz irrigado'!$E57:INDEX('Arroz irrigado'!$E57:$Z57,MIN(R$6-$E$3,22))&lt;&gt;""),'Arroz irrigado'!$E57:INDEX('Arroz irrigado'!$E57:$Z57,MIN(R$6-$E$3,22))),0))-IF($G$2,0,IF((R$6-$G$3)&lt;1,0,IFERROR(LOOKUP(2,1/('Arroz irrigado'!$E57:INDEX('Arroz irrigado'!$E57:$Z57,MIN(R$6-$G$3,22))&lt;&gt;""),'Arroz irrigado'!$E57:INDEX('Arroz irrigado'!$E57:$Z57,MIN(R$6-$G$3,22))),0)))))</f>
        <v>0</v>
      </c>
      <c r="S59" s="27" t="n">
        <f aca="false">IF(COUNT('Arroz irrigado'!$E57:$Z57)=0,0,MAX(0,IF((S$6-$E$3)&lt;1,0,IFERROR(LOOKUP(2,1/('Arroz irrigado'!$E57:INDEX('Arroz irrigado'!$E57:$Z57,MIN(S$6-$E$3,22))&lt;&gt;""),'Arroz irrigado'!$E57:INDEX('Arroz irrigado'!$E57:$Z57,MIN(S$6-$E$3,22))),0))-IF($G$2,0,IF((S$6-$G$3)&lt;1,0,IFERROR(LOOKUP(2,1/('Arroz irrigado'!$E57:INDEX('Arroz irrigado'!$E57:$Z57,MIN(S$6-$G$3,22))&lt;&gt;""),'Arroz irrigado'!$E57:INDEX('Arroz irrigado'!$E57:$Z57,MIN(S$6-$G$3,22))),0)))))</f>
        <v>0</v>
      </c>
      <c r="T59" s="27" t="n">
        <f aca="false">IF(COUNT('Arroz irrigado'!$E57:$Z57)=0,0,MAX(0,IF((T$6-$E$3)&lt;1,0,IFERROR(LOOKUP(2,1/('Arroz irrigado'!$E57:INDEX('Arroz irrigado'!$E57:$Z57,MIN(T$6-$E$3,22))&lt;&gt;""),'Arroz irrigado'!$E57:INDEX('Arroz irrigado'!$E57:$Z57,MIN(T$6-$E$3,22))),0))-IF($G$2,0,IF((T$6-$G$3)&lt;1,0,IFERROR(LOOKUP(2,1/('Arroz irrigado'!$E57:INDEX('Arroz irrigado'!$E57:$Z57,MIN(T$6-$G$3,22))&lt;&gt;""),'Arroz irrigado'!$E57:INDEX('Arroz irrigado'!$E57:$Z57,MIN(T$6-$G$3,22))),0)))))</f>
        <v>0</v>
      </c>
      <c r="U59" s="27" t="n">
        <f aca="false">IF(COUNT('Arroz irrigado'!$E57:$Z57)=0,0,MAX(0,IF((U$6-$E$3)&lt;1,0,IFERROR(LOOKUP(2,1/('Arroz irrigado'!$E57:INDEX('Arroz irrigado'!$E57:$Z57,MIN(U$6-$E$3,22))&lt;&gt;""),'Arroz irrigado'!$E57:INDEX('Arroz irrigado'!$E57:$Z57,MIN(U$6-$E$3,22))),0))-IF($G$2,0,IF((U$6-$G$3)&lt;1,0,IFERROR(LOOKUP(2,1/('Arroz irrigado'!$E57:INDEX('Arroz irrigado'!$E57:$Z57,MIN(U$6-$G$3,22))&lt;&gt;""),'Arroz irrigado'!$E57:INDEX('Arroz irrigado'!$E57:$Z57,MIN(U$6-$G$3,22))),0)))))</f>
        <v>0</v>
      </c>
      <c r="V59" s="27" t="n">
        <f aca="false">IF(COUNT('Arroz irrigado'!$E57:$Z57)=0,0,MAX(0,IF((V$6-$E$3)&lt;1,0,IFERROR(LOOKUP(2,1/('Arroz irrigado'!$E57:INDEX('Arroz irrigado'!$E57:$Z57,MIN(V$6-$E$3,22))&lt;&gt;""),'Arroz irrigado'!$E57:INDEX('Arroz irrigado'!$E57:$Z57,MIN(V$6-$E$3,22))),0))-IF($G$2,0,IF((V$6-$G$3)&lt;1,0,IFERROR(LOOKUP(2,1/('Arroz irrigado'!$E57:INDEX('Arroz irrigado'!$E57:$Z57,MIN(V$6-$G$3,22))&lt;&gt;""),'Arroz irrigado'!$E57:INDEX('Arroz irrigado'!$E57:$Z57,MIN(V$6-$G$3,22))),0)))))</f>
        <v>0</v>
      </c>
      <c r="W59" s="27" t="n">
        <f aca="false">IF(COUNT('Arroz irrigado'!$E57:$Z57)=0,0,MAX(0,IF((W$6-$E$3)&lt;1,0,IFERROR(LOOKUP(2,1/('Arroz irrigado'!$E57:INDEX('Arroz irrigado'!$E57:$Z57,MIN(W$6-$E$3,22))&lt;&gt;""),'Arroz irrigado'!$E57:INDEX('Arroz irrigado'!$E57:$Z57,MIN(W$6-$E$3,22))),0))-IF($G$2,0,IF((W$6-$G$3)&lt;1,0,IFERROR(LOOKUP(2,1/('Arroz irrigado'!$E57:INDEX('Arroz irrigado'!$E57:$Z57,MIN(W$6-$G$3,22))&lt;&gt;""),'Arroz irrigado'!$E57:INDEX('Arroz irrigado'!$E57:$Z57,MIN(W$6-$G$3,22))),0)))))</f>
        <v>0</v>
      </c>
      <c r="X59" s="27" t="n">
        <f aca="false">IF(COUNT('Arroz irrigado'!$E57:$Z57)=0,0,MAX(0,IF((X$6-$E$3)&lt;1,0,IFERROR(LOOKUP(2,1/('Arroz irrigado'!$E57:INDEX('Arroz irrigado'!$E57:$Z57,MIN(X$6-$E$3,22))&lt;&gt;""),'Arroz irrigado'!$E57:INDEX('Arroz irrigado'!$E57:$Z57,MIN(X$6-$E$3,22))),0))-IF($G$2,0,IF((X$6-$G$3)&lt;1,0,IFERROR(LOOKUP(2,1/('Arroz irrigado'!$E57:INDEX('Arroz irrigado'!$E57:$Z57,MIN(X$6-$G$3,22))&lt;&gt;""),'Arroz irrigado'!$E57:INDEX('Arroz irrigado'!$E57:$Z57,MIN(X$6-$G$3,22))),0)))))</f>
        <v>0</v>
      </c>
      <c r="Y59" s="27" t="n">
        <f aca="false">IF(COUNT('Arroz irrigado'!$E57:$Z57)=0,0,MAX(0,IF((Y$6-$E$3)&lt;1,0,IFERROR(LOOKUP(2,1/('Arroz irrigado'!$E57:INDEX('Arroz irrigado'!$E57:$Z57,MIN(Y$6-$E$3,22))&lt;&gt;""),'Arroz irrigado'!$E57:INDEX('Arroz irrigado'!$E57:$Z57,MIN(Y$6-$E$3,22))),0))-IF($G$2,0,IF((Y$6-$G$3)&lt;1,0,IFERROR(LOOKUP(2,1/('Arroz irrigado'!$E57:INDEX('Arroz irrigado'!$E57:$Z57,MIN(Y$6-$G$3,22))&lt;&gt;""),'Arroz irrigado'!$E57:INDEX('Arroz irrigado'!$E57:$Z57,MIN(Y$6-$G$3,22))),0)))))</f>
        <v>0</v>
      </c>
      <c r="Z59" s="27" t="n">
        <f aca="false">IF(COUNT('Arroz irrigado'!$E57:$Z57)=0,0,MAX(0,IF((Z$6-$E$3)&lt;1,0,IFERROR(LOOKUP(2,1/('Arroz irrigado'!$E57:INDEX('Arroz irrigado'!$E57:$Z57,MIN(Z$6-$E$3,22))&lt;&gt;""),'Arroz irrigado'!$E57:INDEX('Arroz irrigado'!$E57:$Z57,MIN(Z$6-$E$3,22))),0))-IF($G$2,0,IF((Z$6-$G$3)&lt;1,0,IFERROR(LOOKUP(2,1/('Arroz irrigado'!$E57:INDEX('Arroz irrigado'!$E57:$Z57,MIN(Z$6-$G$3,22))&lt;&gt;""),'Arroz irrigado'!$E57:INDEX('Arroz irrigado'!$E57:$Z57,MIN(Z$6-$G$3,22))),0)))))</f>
        <v>0</v>
      </c>
      <c r="AA59" s="27" t="n">
        <f aca="false">IF(COUNT('Arroz irrigado'!$E57:$Z57)=0,0,MAX(0,IF((AA$6-$E$3)&lt;1,0,IFERROR(LOOKUP(2,1/('Arroz irrigado'!$E57:INDEX('Arroz irrigado'!$E57:$Z57,MIN(AA$6-$E$3,22))&lt;&gt;""),'Arroz irrigado'!$E57:INDEX('Arroz irrigado'!$E57:$Z57,MIN(AA$6-$E$3,22))),0))-IF($G$2,0,IF((AA$6-$G$3)&lt;1,0,IFERROR(LOOKUP(2,1/('Arroz irrigado'!$E57:INDEX('Arroz irrigado'!$E57:$Z57,MIN(AA$6-$G$3,22))&lt;&gt;""),'Arroz irrigado'!$E57:INDEX('Arroz irrigado'!$E57:$Z57,MIN(AA$6-$G$3,22))),0)))))</f>
        <v>0</v>
      </c>
      <c r="AB59" s="27" t="n">
        <f aca="false">IF(COUNT('Arroz irrigado'!$E57:$Z57)=0,0,MAX(0,IF((AB$6-$E$3)&lt;1,0,IFERROR(LOOKUP(2,1/('Arroz irrigado'!$E57:INDEX('Arroz irrigado'!$E57:$Z57,MIN(AB$6-$E$3,22))&lt;&gt;""),'Arroz irrigado'!$E57:INDEX('Arroz irrigado'!$E57:$Z57,MIN(AB$6-$E$3,22))),0))-IF($G$2,0,IF((AB$6-$G$3)&lt;1,0,IFERROR(LOOKUP(2,1/('Arroz irrigado'!$E57:INDEX('Arroz irrigado'!$E57:$Z57,MIN(AB$6-$G$3,22))&lt;&gt;""),'Arroz irrigado'!$E57:INDEX('Arroz irrigado'!$E57:$Z57,MIN(AB$6-$G$3,22))),0)))))</f>
        <v>0</v>
      </c>
      <c r="AC59" s="27" t="n">
        <f aca="false">IF(COUNT('Arroz irrigado'!$E57:$Z57)=0,0,MAX(0,IF((AC$6-$E$3)&lt;1,0,IFERROR(LOOKUP(2,1/('Arroz irrigado'!$E57:INDEX('Arroz irrigado'!$E57:$Z57,MIN(AC$6-$E$3,22))&lt;&gt;""),'Arroz irrigado'!$E57:INDEX('Arroz irrigado'!$E57:$Z57,MIN(AC$6-$E$3,22))),0))-IF($G$2,0,IF((AC$6-$G$3)&lt;1,0,IFERROR(LOOKUP(2,1/('Arroz irrigado'!$E57:INDEX('Arroz irrigado'!$E57:$Z57,MIN(AC$6-$G$3,22))&lt;&gt;""),'Arroz irrigado'!$E57:INDEX('Arroz irrigado'!$E57:$Z57,MIN(AC$6-$G$3,22))),0)))))</f>
        <v>0</v>
      </c>
      <c r="AD59" s="27" t="n">
        <f aca="false">IF(COUNT('Arroz irrigado'!$E57:$Z57)=0,0,MAX(0,IF((AD$6-$E$3)&lt;1,0,IFERROR(LOOKUP(2,1/('Arroz irrigado'!$E57:INDEX('Arroz irrigado'!$E57:$Z57,MIN(AD$6-$E$3,22))&lt;&gt;""),'Arroz irrigado'!$E57:INDEX('Arroz irrigado'!$E57:$Z57,MIN(AD$6-$E$3,22))),0))-IF($G$2,0,IF((AD$6-$G$3)&lt;1,0,IFERROR(LOOKUP(2,1/('Arroz irrigado'!$E57:INDEX('Arroz irrigado'!$E57:$Z57,MIN(AD$6-$G$3,22))&lt;&gt;""),'Arroz irrigado'!$E57:INDEX('Arroz irrigado'!$E57:$Z57,MIN(AD$6-$G$3,22))),0)))))</f>
        <v>0</v>
      </c>
      <c r="AE59" s="27" t="n">
        <f aca="false">IF(COUNT('Arroz irrigado'!$E57:$Z57)=0,0,MAX(0,IF((AE$6-$E$3)&lt;1,0,IFERROR(LOOKUP(2,1/('Arroz irrigado'!$E57:INDEX('Arroz irrigado'!$E57:$Z57,MIN(AE$6-$E$3,22))&lt;&gt;""),'Arroz irrigado'!$E57:INDEX('Arroz irrigado'!$E57:$Z57,MIN(AE$6-$E$3,22))),0))-IF($G$2,0,IF((AE$6-$G$3)&lt;1,0,IFERROR(LOOKUP(2,1/('Arroz irrigado'!$E57:INDEX('Arroz irrigado'!$E57:$Z57,MIN(AE$6-$G$3,22))&lt;&gt;""),'Arroz irrigado'!$E57:INDEX('Arroz irrigado'!$E57:$Z57,MIN(AE$6-$G$3,22))),0)))))</f>
        <v>0</v>
      </c>
      <c r="AF59" s="27" t="n">
        <f aca="false">IF(COUNT('Arroz irrigado'!$E57:$Z57)=0,0,MAX(0,IF((AF$6-$E$3)&lt;1,0,IFERROR(LOOKUP(2,1/('Arroz irrigado'!$E57:INDEX('Arroz irrigado'!$E57:$Z57,MIN(AF$6-$E$3,22))&lt;&gt;""),'Arroz irrigado'!$E57:INDEX('Arroz irrigado'!$E57:$Z57,MIN(AF$6-$E$3,22))),0))-IF($G$2,0,IF((AF$6-$G$3)&lt;1,0,IFERROR(LOOKUP(2,1/('Arroz irrigado'!$E57:INDEX('Arroz irrigado'!$E57:$Z57,MIN(AF$6-$G$3,22))&lt;&gt;""),'Arroz irrigado'!$E57:INDEX('Arroz irrigado'!$E57:$Z57,MIN(AF$6-$G$3,22))),0)))))</f>
        <v>0</v>
      </c>
      <c r="AG59" s="27" t="n">
        <f aca="false">IF(COUNT('Arroz irrigado'!$E57:$Z57)=0,0,MAX(0,IF((AG$6-$E$3)&lt;1,0,IFERROR(LOOKUP(2,1/('Arroz irrigado'!$E57:INDEX('Arroz irrigado'!$E57:$Z57,MIN(AG$6-$E$3,22))&lt;&gt;""),'Arroz irrigado'!$E57:INDEX('Arroz irrigado'!$E57:$Z57,MIN(AG$6-$E$3,22))),0))-IF($G$2,0,IF((AG$6-$G$3)&lt;1,0,IFERROR(LOOKUP(2,1/('Arroz irrigado'!$E57:INDEX('Arroz irrigado'!$E57:$Z57,MIN(AG$6-$G$3,22))&lt;&gt;""),'Arroz irrigado'!$E57:INDEX('Arroz irrigado'!$E57:$Z57,MIN(AG$6-$G$3,22))),0)))))</f>
        <v>0</v>
      </c>
      <c r="AH59" s="27" t="n">
        <f aca="false">IF(COUNT('Arroz irrigado'!$E57:$Z57)=0,0,MAX(0,IF((AH$6-$E$3)&lt;1,0,IFERROR(LOOKUP(2,1/('Arroz irrigado'!$E57:INDEX('Arroz irrigado'!$E57:$Z57,MIN(AH$6-$E$3,22))&lt;&gt;""),'Arroz irrigado'!$E57:INDEX('Arroz irrigado'!$E57:$Z57,MIN(AH$6-$E$3,22))),0))-IF($G$2,0,IF((AH$6-$G$3)&lt;1,0,IFERROR(LOOKUP(2,1/('Arroz irrigado'!$E57:INDEX('Arroz irrigado'!$E57:$Z57,MIN(AH$6-$G$3,22))&lt;&gt;""),'Arroz irrigado'!$E57:INDEX('Arroz irrigado'!$E57:$Z57,MIN(AH$6-$G$3,22))),0)))))</f>
        <v>0</v>
      </c>
      <c r="AI59" s="27" t="n">
        <f aca="false">IF(COUNT('Arroz irrigado'!$E57:$Z57)=0,0,MAX(0,IF((AI$6-$E$3)&lt;1,0,IFERROR(LOOKUP(2,1/('Arroz irrigado'!$E57:INDEX('Arroz irrigado'!$E57:$Z57,MIN(AI$6-$E$3,22))&lt;&gt;""),'Arroz irrigado'!$E57:INDEX('Arroz irrigado'!$E57:$Z57,MIN(AI$6-$E$3,22))),0))-IF($G$2,0,IF((AI$6-$G$3)&lt;1,0,IFERROR(LOOKUP(2,1/('Arroz irrigado'!$E57:INDEX('Arroz irrigado'!$E57:$Z57,MIN(AI$6-$G$3,22))&lt;&gt;""),'Arroz irrigado'!$E57:INDEX('Arroz irrigado'!$E57:$Z57,MIN(AI$6-$G$3,22))),0)))))</f>
        <v>0</v>
      </c>
      <c r="AJ59" s="27" t="n">
        <f aca="false">IF(COUNT('Arroz irrigado'!$E57:$Z57)=0,0,MAX(0,IF((AJ$6-$E$3)&lt;1,0,IFERROR(LOOKUP(2,1/('Arroz irrigado'!$E57:INDEX('Arroz irrigado'!$E57:$Z57,MIN(AJ$6-$E$3,22))&lt;&gt;""),'Arroz irrigado'!$E57:INDEX('Arroz irrigado'!$E57:$Z57,MIN(AJ$6-$E$3,22))),0))-IF($G$2,0,IF((AJ$6-$G$3)&lt;1,0,IFERROR(LOOKUP(2,1/('Arroz irrigado'!$E57:INDEX('Arroz irrigado'!$E57:$Z57,MIN(AJ$6-$G$3,22))&lt;&gt;""),'Arroz irrigado'!$E57:INDEX('Arroz irrigado'!$E57:$Z57,MIN(AJ$6-$G$3,22))),0)))))</f>
        <v>0</v>
      </c>
      <c r="AK59" s="27" t="n">
        <f aca="false">IF(COUNT('Arroz irrigado'!$E57:$Z57)=0,0,MAX(0,IF((AK$6-$E$3)&lt;1,0,IFERROR(LOOKUP(2,1/('Arroz irrigado'!$E57:INDEX('Arroz irrigado'!$E57:$Z57,MIN(AK$6-$E$3,22))&lt;&gt;""),'Arroz irrigado'!$E57:INDEX('Arroz irrigado'!$E57:$Z57,MIN(AK$6-$E$3,22))),0))-IF($G$2,0,IF((AK$6-$G$3)&lt;1,0,IFERROR(LOOKUP(2,1/('Arroz irrigado'!$E57:INDEX('Arroz irrigado'!$E57:$Z57,MIN(AK$6-$G$3,22))&lt;&gt;""),'Arroz irrigado'!$E57:INDEX('Arroz irrigado'!$E57:$Z57,MIN(AK$6-$G$3,22))),0)))))</f>
        <v>0</v>
      </c>
      <c r="AL59" s="27" t="n">
        <f aca="false">IF(COUNT('Arroz irrigado'!$E57:$Z57)=0,0,MAX(0,IF((AL$6-$E$3)&lt;1,0,IFERROR(LOOKUP(2,1/('Arroz irrigado'!$E57:INDEX('Arroz irrigado'!$E57:$Z57,MIN(AL$6-$E$3,22))&lt;&gt;""),'Arroz irrigado'!$E57:INDEX('Arroz irrigado'!$E57:$Z57,MIN(AL$6-$E$3,22))),0))-IF($G$2,0,IF((AL$6-$G$3)&lt;1,0,IFERROR(LOOKUP(2,1/('Arroz irrigado'!$E57:INDEX('Arroz irrigado'!$E57:$Z57,MIN(AL$6-$G$3,22))&lt;&gt;""),'Arroz irrigado'!$E57:INDEX('Arroz irrigado'!$E57:$Z57,MIN(AL$6-$G$3,22))),0)))))</f>
        <v>0</v>
      </c>
      <c r="AM59" s="27" t="n">
        <f aca="false">IF(COUNT('Arroz irrigado'!$E57:$Z57)=0,0,MAX(0,IF((AM$6-$E$3)&lt;1,0,IFERROR(LOOKUP(2,1/('Arroz irrigado'!$E57:INDEX('Arroz irrigado'!$E57:$Z57,MIN(AM$6-$E$3,22))&lt;&gt;""),'Arroz irrigado'!$E57:INDEX('Arroz irrigado'!$E57:$Z57,MIN(AM$6-$E$3,22))),0))-IF($G$2,0,IF((AM$6-$G$3)&lt;1,0,IFERROR(LOOKUP(2,1/('Arroz irrigado'!$E57:INDEX('Arroz irrigado'!$E57:$Z57,MIN(AM$6-$G$3,22))&lt;&gt;""),'Arroz irrigado'!$E57:INDEX('Arroz irrigado'!$E57:$Z57,MIN(AM$6-$G$3,22))),0)))))</f>
        <v>0</v>
      </c>
      <c r="AN59" s="27" t="n">
        <f aca="false">IF(COUNT('Arroz irrigado'!$E57:$Z57)=0,0,MAX(0,IF((AN$6-$E$3)&lt;1,0,IFERROR(LOOKUP(2,1/('Arroz irrigado'!$E57:INDEX('Arroz irrigado'!$E57:$Z57,MIN(AN$6-$E$3,22))&lt;&gt;""),'Arroz irrigado'!$E57:INDEX('Arroz irrigado'!$E57:$Z57,MIN(AN$6-$E$3,22))),0))-IF($G$2,0,IF((AN$6-$G$3)&lt;1,0,IFERROR(LOOKUP(2,1/('Arroz irrigado'!$E57:INDEX('Arroz irrigado'!$E57:$Z57,MIN(AN$6-$G$3,22))&lt;&gt;""),'Arroz irrigado'!$E57:INDEX('Arroz irrigado'!$E57:$Z57,MIN(AN$6-$G$3,22))),0)))))</f>
        <v>0</v>
      </c>
      <c r="AO59" s="27" t="n">
        <f aca="false">IF(COUNT('Arroz irrigado'!$E57:$Z57)=0,0,MAX(0,IF((AO$6-$E$3)&lt;1,0,IFERROR(LOOKUP(2,1/('Arroz irrigado'!$E57:INDEX('Arroz irrigado'!$E57:$Z57,MIN(AO$6-$E$3,22))&lt;&gt;""),'Arroz irrigado'!$E57:INDEX('Arroz irrigado'!$E57:$Z57,MIN(AO$6-$E$3,22))),0))-IF($G$2,0,IF((AO$6-$G$3)&lt;1,0,IFERROR(LOOKUP(2,1/('Arroz irrigado'!$E57:INDEX('Arroz irrigado'!$E57:$Z57,MIN(AO$6-$G$3,22))&lt;&gt;""),'Arroz irrigado'!$E57:INDEX('Arroz irrigado'!$E57:$Z57,MIN(AO$6-$G$3,22))),0)))))</f>
        <v>0</v>
      </c>
      <c r="AP59" s="27" t="n">
        <f aca="false">IF(COUNT('Arroz irrigado'!$E57:$Z57)=0,0,MAX(0,IF((AP$6-$E$3)&lt;1,0,IFERROR(LOOKUP(2,1/('Arroz irrigado'!$E57:INDEX('Arroz irrigado'!$E57:$Z57,MIN(AP$6-$E$3,22))&lt;&gt;""),'Arroz irrigado'!$E57:INDEX('Arroz irrigado'!$E57:$Z57,MIN(AP$6-$E$3,22))),0))-IF($G$2,0,IF((AP$6-$G$3)&lt;1,0,IFERROR(LOOKUP(2,1/('Arroz irrigado'!$E57:INDEX('Arroz irrigado'!$E57:$Z57,MIN(AP$6-$G$3,22))&lt;&gt;""),'Arroz irrigado'!$E57:INDEX('Arroz irrigado'!$E57:$Z57,MIN(AP$6-$G$3,22))),0)))))</f>
        <v>0</v>
      </c>
      <c r="AQ59" s="27" t="n">
        <f aca="false">IF(COUNT('Arroz irrigado'!$E57:$Z57)=0,0,MAX(0,IF((AQ$6-$E$3)&lt;1,0,IFERROR(LOOKUP(2,1/('Arroz irrigado'!$E57:INDEX('Arroz irrigado'!$E57:$Z57,MIN(AQ$6-$E$3,22))&lt;&gt;""),'Arroz irrigado'!$E57:INDEX('Arroz irrigado'!$E57:$Z57,MIN(AQ$6-$E$3,22))),0))-IF($G$2,0,IF((AQ$6-$G$3)&lt;1,0,IFERROR(LOOKUP(2,1/('Arroz irrigado'!$E57:INDEX('Arroz irrigado'!$E57:$Z57,MIN(AQ$6-$G$3,22))&lt;&gt;""),'Arroz irrigado'!$E57:INDEX('Arroz irrigado'!$E57:$Z57,MIN(AQ$6-$G$3,22))),0)))))</f>
        <v>0</v>
      </c>
      <c r="AR59" s="27" t="n">
        <f aca="false">IF(COUNT('Arroz irrigado'!$E57:$Z57)=0,0,MAX(0,IF((AR$6-$E$3)&lt;1,0,IFERROR(LOOKUP(2,1/('Arroz irrigado'!$E57:INDEX('Arroz irrigado'!$E57:$Z57,MIN(AR$6-$E$3,22))&lt;&gt;""),'Arroz irrigado'!$E57:INDEX('Arroz irrigado'!$E57:$Z57,MIN(AR$6-$E$3,22))),0))-IF($G$2,0,IF((AR$6-$G$3)&lt;1,0,IFERROR(LOOKUP(2,1/('Arroz irrigado'!$E57:INDEX('Arroz irrigado'!$E57:$Z57,MIN(AR$6-$G$3,22))&lt;&gt;""),'Arroz irrigado'!$E57:INDEX('Arroz irrigado'!$E57:$Z57,MIN(AR$6-$G$3,22))),0)))))</f>
        <v>0</v>
      </c>
      <c r="AS59" s="27" t="n">
        <f aca="false">IF(COUNT('Arroz irrigado'!$E57:$Z57)=0,0,MAX(0,IF((AS$6-$E$3)&lt;1,0,IFERROR(LOOKUP(2,1/('Arroz irrigado'!$E57:INDEX('Arroz irrigado'!$E57:$Z57,MIN(AS$6-$E$3,22))&lt;&gt;""),'Arroz irrigado'!$E57:INDEX('Arroz irrigado'!$E57:$Z57,MIN(AS$6-$E$3,22))),0))-IF($G$2,0,IF((AS$6-$G$3)&lt;1,0,IFERROR(LOOKUP(2,1/('Arroz irrigado'!$E57:INDEX('Arroz irrigado'!$E57:$Z57,MIN(AS$6-$G$3,22))&lt;&gt;""),'Arroz irrigado'!$E57:INDEX('Arroz irrigado'!$E57:$Z57,MIN(AS$6-$G$3,22))),0)))))</f>
        <v>0</v>
      </c>
      <c r="AT59" s="27" t="n">
        <f aca="false">IF(COUNT('Arroz irrigado'!$E57:$Z57)=0,0,MAX(0,IF((AT$6-$E$3)&lt;1,0,IFERROR(LOOKUP(2,1/('Arroz irrigado'!$E57:INDEX('Arroz irrigado'!$E57:$Z57,MIN(AT$6-$E$3,22))&lt;&gt;""),'Arroz irrigado'!$E57:INDEX('Arroz irrigado'!$E57:$Z57,MIN(AT$6-$E$3,22))),0))-IF($G$2,0,IF((AT$6-$G$3)&lt;1,0,IFERROR(LOOKUP(2,1/('Arroz irrigado'!$E57:INDEX('Arroz irrigado'!$E57:$Z57,MIN(AT$6-$G$3,22))&lt;&gt;""),'Arroz irrigado'!$E57:INDEX('Arroz irrigado'!$E57:$Z57,MIN(AT$6-$G$3,22))),0)))))</f>
        <v>0</v>
      </c>
      <c r="AU59" s="27" t="n">
        <f aca="false">IF(COUNT('Arroz irrigado'!$E57:$Z57)=0,0,MAX(0,IF((AU$6-$E$3)&lt;1,0,IFERROR(LOOKUP(2,1/('Arroz irrigado'!$E57:INDEX('Arroz irrigado'!$E57:$Z57,MIN(AU$6-$E$3,22))&lt;&gt;""),'Arroz irrigado'!$E57:INDEX('Arroz irrigado'!$E57:$Z57,MIN(AU$6-$E$3,22))),0))-IF($G$2,0,IF((AU$6-$G$3)&lt;1,0,IFERROR(LOOKUP(2,1/('Arroz irrigado'!$E57:INDEX('Arroz irrigado'!$E57:$Z57,MIN(AU$6-$G$3,22))&lt;&gt;""),'Arroz irrigado'!$E57:INDEX('Arroz irrigado'!$E57:$Z57,MIN(AU$6-$G$3,22))),0)))))</f>
        <v>0</v>
      </c>
      <c r="AV59" s="27" t="n">
        <f aca="false">IF(COUNT('Arroz irrigado'!$E57:$Z57)=0,0,MAX(0,IF((AV$6-$E$3)&lt;1,0,IFERROR(LOOKUP(2,1/('Arroz irrigado'!$E57:INDEX('Arroz irrigado'!$E57:$Z57,MIN(AV$6-$E$3,22))&lt;&gt;""),'Arroz irrigado'!$E57:INDEX('Arroz irrigado'!$E57:$Z57,MIN(AV$6-$E$3,22))),0))-IF($G$2,0,IF((AV$6-$G$3)&lt;1,0,IFERROR(LOOKUP(2,1/('Arroz irrigado'!$E57:INDEX('Arroz irrigado'!$E57:$Z57,MIN(AV$6-$G$3,22))&lt;&gt;""),'Arroz irrigado'!$E57:INDEX('Arroz irrigado'!$E57:$Z57,MIN(AV$6-$G$3,22))),0)))))</f>
        <v>0</v>
      </c>
      <c r="AW59" s="27" t="n">
        <f aca="false">IF(COUNT('Arroz irrigado'!$E57:$Z57)=0,0,MAX(0,IF((AW$6-$E$3)&lt;1,0,IFERROR(LOOKUP(2,1/('Arroz irrigado'!$E57:INDEX('Arroz irrigado'!$E57:$Z57,MIN(AW$6-$E$3,22))&lt;&gt;""),'Arroz irrigado'!$E57:INDEX('Arroz irrigado'!$E57:$Z57,MIN(AW$6-$E$3,22))),0))-IF($G$2,0,IF((AW$6-$G$3)&lt;1,0,IFERROR(LOOKUP(2,1/('Arroz irrigado'!$E57:INDEX('Arroz irrigado'!$E57:$Z57,MIN(AW$6-$G$3,22))&lt;&gt;""),'Arroz irrigado'!$E57:INDEX('Arroz irrigado'!$E57:$Z57,MIN(AW$6-$G$3,22))),0)))))</f>
        <v>0</v>
      </c>
      <c r="AX59" s="27" t="n">
        <f aca="false">IF(COUNT('Arroz irrigado'!$E57:$Z57)=0,0,MAX(0,IF((AX$6-$E$3)&lt;1,0,IFERROR(LOOKUP(2,1/('Arroz irrigado'!$E57:INDEX('Arroz irrigado'!$E57:$Z57,MIN(AX$6-$E$3,22))&lt;&gt;""),'Arroz irrigado'!$E57:INDEX('Arroz irrigado'!$E57:$Z57,MIN(AX$6-$E$3,22))),0))-IF($G$2,0,IF((AX$6-$G$3)&lt;1,0,IFERROR(LOOKUP(2,1/('Arroz irrigado'!$E57:INDEX('Arroz irrigado'!$E57:$Z57,MIN(AX$6-$G$3,22))&lt;&gt;""),'Arroz irrigado'!$E57:INDEX('Arroz irrigado'!$E57:$Z57,MIN(AX$6-$G$3,22))),0)))))</f>
        <v>0</v>
      </c>
      <c r="AY59" s="27" t="n">
        <f aca="false">IF(COUNT('Arroz irrigado'!$E57:$Z57)=0,0,MAX(0,IF((AY$6-$E$3)&lt;1,0,IFERROR(LOOKUP(2,1/('Arroz irrigado'!$E57:INDEX('Arroz irrigado'!$E57:$Z57,MIN(AY$6-$E$3,22))&lt;&gt;""),'Arroz irrigado'!$E57:INDEX('Arroz irrigado'!$E57:$Z57,MIN(AY$6-$E$3,22))),0))-IF($G$2,0,IF((AY$6-$G$3)&lt;1,0,IFERROR(LOOKUP(2,1/('Arroz irrigado'!$E57:INDEX('Arroz irrigado'!$E57:$Z57,MIN(AY$6-$G$3,22))&lt;&gt;""),'Arroz irrigado'!$E57:INDEX('Arroz irrigado'!$E57:$Z57,MIN(AY$6-$G$3,22))),0)))))</f>
        <v>0</v>
      </c>
      <c r="AZ59" s="27" t="n">
        <f aca="false">IF(COUNT('Arroz irrigado'!$E57:$Z57)=0,0,MAX(0,IF((AZ$6-$E$3)&lt;1,0,IFERROR(LOOKUP(2,1/('Arroz irrigado'!$E57:INDEX('Arroz irrigado'!$E57:$Z57,MIN(AZ$6-$E$3,22))&lt;&gt;""),'Arroz irrigado'!$E57:INDEX('Arroz irrigado'!$E57:$Z57,MIN(AZ$6-$E$3,22))),0))-IF($G$2,0,IF((AZ$6-$G$3)&lt;1,0,IFERROR(LOOKUP(2,1/('Arroz irrigado'!$E57:INDEX('Arroz irrigado'!$E57:$Z57,MIN(AZ$6-$G$3,22))&lt;&gt;""),'Arroz irrigado'!$E57:INDEX('Arroz irrigado'!$E57:$Z57,MIN(AZ$6-$G$3,22))),0)))))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IF(COUNT('Arroz irrigado'!$E58:$Z58)&gt;0,N('Arroz irrigado'!$D58),0)</f>
        <v>0</v>
      </c>
      <c r="E60" s="27" t="n">
        <f aca="false">IF(COUNT('Arroz irrigado'!$E58:$Z58)=0,0,MAX(0,IF((E$6-$E$3)&lt;1,0,IFERROR(LOOKUP(2,1/('Arroz irrigado'!$E58:INDEX('Arroz irrigado'!$E58:$Z58,MIN(E$6-$E$3,22))&lt;&gt;""),'Arroz irrigado'!$E58:INDEX('Arroz irrigado'!$E58:$Z58,MIN(E$6-$E$3,22))),0))-IF($G$2,0,IF((E$6-$G$3)&lt;1,0,IFERROR(LOOKUP(2,1/('Arroz irrigado'!$E58:INDEX('Arroz irrigado'!$E58:$Z58,MIN(E$6-$G$3,22))&lt;&gt;""),'Arroz irrigado'!$E58:INDEX('Arroz irrigado'!$E58:$Z58,MIN(E$6-$G$3,22))),0)))))</f>
        <v>0</v>
      </c>
      <c r="F60" s="27" t="n">
        <f aca="false">IF(COUNT('Arroz irrigado'!$E58:$Z58)=0,0,MAX(0,IF((F$6-$E$3)&lt;1,0,IFERROR(LOOKUP(2,1/('Arroz irrigado'!$E58:INDEX('Arroz irrigado'!$E58:$Z58,MIN(F$6-$E$3,22))&lt;&gt;""),'Arroz irrigado'!$E58:INDEX('Arroz irrigado'!$E58:$Z58,MIN(F$6-$E$3,22))),0))-IF($G$2,0,IF((F$6-$G$3)&lt;1,0,IFERROR(LOOKUP(2,1/('Arroz irrigado'!$E58:INDEX('Arroz irrigado'!$E58:$Z58,MIN(F$6-$G$3,22))&lt;&gt;""),'Arroz irrigado'!$E58:INDEX('Arroz irrigado'!$E58:$Z58,MIN(F$6-$G$3,22))),0)))))</f>
        <v>0</v>
      </c>
      <c r="G60" s="27" t="n">
        <f aca="false">IF(COUNT('Arroz irrigado'!$E58:$Z58)=0,0,MAX(0,IF((G$6-$E$3)&lt;1,0,IFERROR(LOOKUP(2,1/('Arroz irrigado'!$E58:INDEX('Arroz irrigado'!$E58:$Z58,MIN(G$6-$E$3,22))&lt;&gt;""),'Arroz irrigado'!$E58:INDEX('Arroz irrigado'!$E58:$Z58,MIN(G$6-$E$3,22))),0))-IF($G$2,0,IF((G$6-$G$3)&lt;1,0,IFERROR(LOOKUP(2,1/('Arroz irrigado'!$E58:INDEX('Arroz irrigado'!$E58:$Z58,MIN(G$6-$G$3,22))&lt;&gt;""),'Arroz irrigado'!$E58:INDEX('Arroz irrigado'!$E58:$Z58,MIN(G$6-$G$3,22))),0)))))</f>
        <v>0</v>
      </c>
      <c r="H60" s="27" t="n">
        <f aca="false">IF(COUNT('Arroz irrigado'!$E58:$Z58)=0,0,MAX(0,IF((H$6-$E$3)&lt;1,0,IFERROR(LOOKUP(2,1/('Arroz irrigado'!$E58:INDEX('Arroz irrigado'!$E58:$Z58,MIN(H$6-$E$3,22))&lt;&gt;""),'Arroz irrigado'!$E58:INDEX('Arroz irrigado'!$E58:$Z58,MIN(H$6-$E$3,22))),0))-IF($G$2,0,IF((H$6-$G$3)&lt;1,0,IFERROR(LOOKUP(2,1/('Arroz irrigado'!$E58:INDEX('Arroz irrigado'!$E58:$Z58,MIN(H$6-$G$3,22))&lt;&gt;""),'Arroz irrigado'!$E58:INDEX('Arroz irrigado'!$E58:$Z58,MIN(H$6-$G$3,22))),0)))))</f>
        <v>0</v>
      </c>
      <c r="I60" s="27" t="n">
        <f aca="false">IF(COUNT('Arroz irrigado'!$E58:$Z58)=0,0,MAX(0,IF((I$6-$E$3)&lt;1,0,IFERROR(LOOKUP(2,1/('Arroz irrigado'!$E58:INDEX('Arroz irrigado'!$E58:$Z58,MIN(I$6-$E$3,22))&lt;&gt;""),'Arroz irrigado'!$E58:INDEX('Arroz irrigado'!$E58:$Z58,MIN(I$6-$E$3,22))),0))-IF($G$2,0,IF((I$6-$G$3)&lt;1,0,IFERROR(LOOKUP(2,1/('Arroz irrigado'!$E58:INDEX('Arroz irrigado'!$E58:$Z58,MIN(I$6-$G$3,22))&lt;&gt;""),'Arroz irrigado'!$E58:INDEX('Arroz irrigado'!$E58:$Z58,MIN(I$6-$G$3,22))),0)))))</f>
        <v>0</v>
      </c>
      <c r="J60" s="27" t="n">
        <f aca="false">IF(COUNT('Arroz irrigado'!$E58:$Z58)=0,0,MAX(0,IF((J$6-$E$3)&lt;1,0,IFERROR(LOOKUP(2,1/('Arroz irrigado'!$E58:INDEX('Arroz irrigado'!$E58:$Z58,MIN(J$6-$E$3,22))&lt;&gt;""),'Arroz irrigado'!$E58:INDEX('Arroz irrigado'!$E58:$Z58,MIN(J$6-$E$3,22))),0))-IF($G$2,0,IF((J$6-$G$3)&lt;1,0,IFERROR(LOOKUP(2,1/('Arroz irrigado'!$E58:INDEX('Arroz irrigado'!$E58:$Z58,MIN(J$6-$G$3,22))&lt;&gt;""),'Arroz irrigado'!$E58:INDEX('Arroz irrigado'!$E58:$Z58,MIN(J$6-$G$3,22))),0)))))</f>
        <v>0</v>
      </c>
      <c r="K60" s="27" t="n">
        <f aca="false">IF(COUNT('Arroz irrigado'!$E58:$Z58)=0,0,MAX(0,IF((K$6-$E$3)&lt;1,0,IFERROR(LOOKUP(2,1/('Arroz irrigado'!$E58:INDEX('Arroz irrigado'!$E58:$Z58,MIN(K$6-$E$3,22))&lt;&gt;""),'Arroz irrigado'!$E58:INDEX('Arroz irrigado'!$E58:$Z58,MIN(K$6-$E$3,22))),0))-IF($G$2,0,IF((K$6-$G$3)&lt;1,0,IFERROR(LOOKUP(2,1/('Arroz irrigado'!$E58:INDEX('Arroz irrigado'!$E58:$Z58,MIN(K$6-$G$3,22))&lt;&gt;""),'Arroz irrigado'!$E58:INDEX('Arroz irrigado'!$E58:$Z58,MIN(K$6-$G$3,22))),0)))))</f>
        <v>0</v>
      </c>
      <c r="L60" s="27" t="n">
        <f aca="false">IF(COUNT('Arroz irrigado'!$E58:$Z58)=0,0,MAX(0,IF((L$6-$E$3)&lt;1,0,IFERROR(LOOKUP(2,1/('Arroz irrigado'!$E58:INDEX('Arroz irrigado'!$E58:$Z58,MIN(L$6-$E$3,22))&lt;&gt;""),'Arroz irrigado'!$E58:INDEX('Arroz irrigado'!$E58:$Z58,MIN(L$6-$E$3,22))),0))-IF($G$2,0,IF((L$6-$G$3)&lt;1,0,IFERROR(LOOKUP(2,1/('Arroz irrigado'!$E58:INDEX('Arroz irrigado'!$E58:$Z58,MIN(L$6-$G$3,22))&lt;&gt;""),'Arroz irrigado'!$E58:INDEX('Arroz irrigado'!$E58:$Z58,MIN(L$6-$G$3,22))),0)))))</f>
        <v>0</v>
      </c>
      <c r="M60" s="27" t="n">
        <f aca="false">IF(COUNT('Arroz irrigado'!$E58:$Z58)=0,0,MAX(0,IF((M$6-$E$3)&lt;1,0,IFERROR(LOOKUP(2,1/('Arroz irrigado'!$E58:INDEX('Arroz irrigado'!$E58:$Z58,MIN(M$6-$E$3,22))&lt;&gt;""),'Arroz irrigado'!$E58:INDEX('Arroz irrigado'!$E58:$Z58,MIN(M$6-$E$3,22))),0))-IF($G$2,0,IF((M$6-$G$3)&lt;1,0,IFERROR(LOOKUP(2,1/('Arroz irrigado'!$E58:INDEX('Arroz irrigado'!$E58:$Z58,MIN(M$6-$G$3,22))&lt;&gt;""),'Arroz irrigado'!$E58:INDEX('Arroz irrigado'!$E58:$Z58,MIN(M$6-$G$3,22))),0)))))</f>
        <v>0</v>
      </c>
      <c r="N60" s="27" t="n">
        <f aca="false">IF(COUNT('Arroz irrigado'!$E58:$Z58)=0,0,MAX(0,IF((N$6-$E$3)&lt;1,0,IFERROR(LOOKUP(2,1/('Arroz irrigado'!$E58:INDEX('Arroz irrigado'!$E58:$Z58,MIN(N$6-$E$3,22))&lt;&gt;""),'Arroz irrigado'!$E58:INDEX('Arroz irrigado'!$E58:$Z58,MIN(N$6-$E$3,22))),0))-IF($G$2,0,IF((N$6-$G$3)&lt;1,0,IFERROR(LOOKUP(2,1/('Arroz irrigado'!$E58:INDEX('Arroz irrigado'!$E58:$Z58,MIN(N$6-$G$3,22))&lt;&gt;""),'Arroz irrigado'!$E58:INDEX('Arroz irrigado'!$E58:$Z58,MIN(N$6-$G$3,22))),0)))))</f>
        <v>0</v>
      </c>
      <c r="O60" s="27" t="n">
        <f aca="false">IF(COUNT('Arroz irrigado'!$E58:$Z58)=0,0,MAX(0,IF((O$6-$E$3)&lt;1,0,IFERROR(LOOKUP(2,1/('Arroz irrigado'!$E58:INDEX('Arroz irrigado'!$E58:$Z58,MIN(O$6-$E$3,22))&lt;&gt;""),'Arroz irrigado'!$E58:INDEX('Arroz irrigado'!$E58:$Z58,MIN(O$6-$E$3,22))),0))-IF($G$2,0,IF((O$6-$G$3)&lt;1,0,IFERROR(LOOKUP(2,1/('Arroz irrigado'!$E58:INDEX('Arroz irrigado'!$E58:$Z58,MIN(O$6-$G$3,22))&lt;&gt;""),'Arroz irrigado'!$E58:INDEX('Arroz irrigado'!$E58:$Z58,MIN(O$6-$G$3,22))),0)))))</f>
        <v>0</v>
      </c>
      <c r="P60" s="27" t="n">
        <f aca="false">IF(COUNT('Arroz irrigado'!$E58:$Z58)=0,0,MAX(0,IF((P$6-$E$3)&lt;1,0,IFERROR(LOOKUP(2,1/('Arroz irrigado'!$E58:INDEX('Arroz irrigado'!$E58:$Z58,MIN(P$6-$E$3,22))&lt;&gt;""),'Arroz irrigado'!$E58:INDEX('Arroz irrigado'!$E58:$Z58,MIN(P$6-$E$3,22))),0))-IF($G$2,0,IF((P$6-$G$3)&lt;1,0,IFERROR(LOOKUP(2,1/('Arroz irrigado'!$E58:INDEX('Arroz irrigado'!$E58:$Z58,MIN(P$6-$G$3,22))&lt;&gt;""),'Arroz irrigado'!$E58:INDEX('Arroz irrigado'!$E58:$Z58,MIN(P$6-$G$3,22))),0)))))</f>
        <v>0</v>
      </c>
      <c r="Q60" s="27" t="n">
        <f aca="false">IF(COUNT('Arroz irrigado'!$E58:$Z58)=0,0,MAX(0,IF((Q$6-$E$3)&lt;1,0,IFERROR(LOOKUP(2,1/('Arroz irrigado'!$E58:INDEX('Arroz irrigado'!$E58:$Z58,MIN(Q$6-$E$3,22))&lt;&gt;""),'Arroz irrigado'!$E58:INDEX('Arroz irrigado'!$E58:$Z58,MIN(Q$6-$E$3,22))),0))-IF($G$2,0,IF((Q$6-$G$3)&lt;1,0,IFERROR(LOOKUP(2,1/('Arroz irrigado'!$E58:INDEX('Arroz irrigado'!$E58:$Z58,MIN(Q$6-$G$3,22))&lt;&gt;""),'Arroz irrigado'!$E58:INDEX('Arroz irrigado'!$E58:$Z58,MIN(Q$6-$G$3,22))),0)))))</f>
        <v>0</v>
      </c>
      <c r="R60" s="27" t="n">
        <f aca="false">IF(COUNT('Arroz irrigado'!$E58:$Z58)=0,0,MAX(0,IF((R$6-$E$3)&lt;1,0,IFERROR(LOOKUP(2,1/('Arroz irrigado'!$E58:INDEX('Arroz irrigado'!$E58:$Z58,MIN(R$6-$E$3,22))&lt;&gt;""),'Arroz irrigado'!$E58:INDEX('Arroz irrigado'!$E58:$Z58,MIN(R$6-$E$3,22))),0))-IF($G$2,0,IF((R$6-$G$3)&lt;1,0,IFERROR(LOOKUP(2,1/('Arroz irrigado'!$E58:INDEX('Arroz irrigado'!$E58:$Z58,MIN(R$6-$G$3,22))&lt;&gt;""),'Arroz irrigado'!$E58:INDEX('Arroz irrigado'!$E58:$Z58,MIN(R$6-$G$3,22))),0)))))</f>
        <v>0</v>
      </c>
      <c r="S60" s="27" t="n">
        <f aca="false">IF(COUNT('Arroz irrigado'!$E58:$Z58)=0,0,MAX(0,IF((S$6-$E$3)&lt;1,0,IFERROR(LOOKUP(2,1/('Arroz irrigado'!$E58:INDEX('Arroz irrigado'!$E58:$Z58,MIN(S$6-$E$3,22))&lt;&gt;""),'Arroz irrigado'!$E58:INDEX('Arroz irrigado'!$E58:$Z58,MIN(S$6-$E$3,22))),0))-IF($G$2,0,IF((S$6-$G$3)&lt;1,0,IFERROR(LOOKUP(2,1/('Arroz irrigado'!$E58:INDEX('Arroz irrigado'!$E58:$Z58,MIN(S$6-$G$3,22))&lt;&gt;""),'Arroz irrigado'!$E58:INDEX('Arroz irrigado'!$E58:$Z58,MIN(S$6-$G$3,22))),0)))))</f>
        <v>0</v>
      </c>
      <c r="T60" s="27" t="n">
        <f aca="false">IF(COUNT('Arroz irrigado'!$E58:$Z58)=0,0,MAX(0,IF((T$6-$E$3)&lt;1,0,IFERROR(LOOKUP(2,1/('Arroz irrigado'!$E58:INDEX('Arroz irrigado'!$E58:$Z58,MIN(T$6-$E$3,22))&lt;&gt;""),'Arroz irrigado'!$E58:INDEX('Arroz irrigado'!$E58:$Z58,MIN(T$6-$E$3,22))),0))-IF($G$2,0,IF((T$6-$G$3)&lt;1,0,IFERROR(LOOKUP(2,1/('Arroz irrigado'!$E58:INDEX('Arroz irrigado'!$E58:$Z58,MIN(T$6-$G$3,22))&lt;&gt;""),'Arroz irrigado'!$E58:INDEX('Arroz irrigado'!$E58:$Z58,MIN(T$6-$G$3,22))),0)))))</f>
        <v>0</v>
      </c>
      <c r="U60" s="27" t="n">
        <f aca="false">IF(COUNT('Arroz irrigado'!$E58:$Z58)=0,0,MAX(0,IF((U$6-$E$3)&lt;1,0,IFERROR(LOOKUP(2,1/('Arroz irrigado'!$E58:INDEX('Arroz irrigado'!$E58:$Z58,MIN(U$6-$E$3,22))&lt;&gt;""),'Arroz irrigado'!$E58:INDEX('Arroz irrigado'!$E58:$Z58,MIN(U$6-$E$3,22))),0))-IF($G$2,0,IF((U$6-$G$3)&lt;1,0,IFERROR(LOOKUP(2,1/('Arroz irrigado'!$E58:INDEX('Arroz irrigado'!$E58:$Z58,MIN(U$6-$G$3,22))&lt;&gt;""),'Arroz irrigado'!$E58:INDEX('Arroz irrigado'!$E58:$Z58,MIN(U$6-$G$3,22))),0)))))</f>
        <v>0</v>
      </c>
      <c r="V60" s="27" t="n">
        <f aca="false">IF(COUNT('Arroz irrigado'!$E58:$Z58)=0,0,MAX(0,IF((V$6-$E$3)&lt;1,0,IFERROR(LOOKUP(2,1/('Arroz irrigado'!$E58:INDEX('Arroz irrigado'!$E58:$Z58,MIN(V$6-$E$3,22))&lt;&gt;""),'Arroz irrigado'!$E58:INDEX('Arroz irrigado'!$E58:$Z58,MIN(V$6-$E$3,22))),0))-IF($G$2,0,IF((V$6-$G$3)&lt;1,0,IFERROR(LOOKUP(2,1/('Arroz irrigado'!$E58:INDEX('Arroz irrigado'!$E58:$Z58,MIN(V$6-$G$3,22))&lt;&gt;""),'Arroz irrigado'!$E58:INDEX('Arroz irrigado'!$E58:$Z58,MIN(V$6-$G$3,22))),0)))))</f>
        <v>0</v>
      </c>
      <c r="W60" s="27" t="n">
        <f aca="false">IF(COUNT('Arroz irrigado'!$E58:$Z58)=0,0,MAX(0,IF((W$6-$E$3)&lt;1,0,IFERROR(LOOKUP(2,1/('Arroz irrigado'!$E58:INDEX('Arroz irrigado'!$E58:$Z58,MIN(W$6-$E$3,22))&lt;&gt;""),'Arroz irrigado'!$E58:INDEX('Arroz irrigado'!$E58:$Z58,MIN(W$6-$E$3,22))),0))-IF($G$2,0,IF((W$6-$G$3)&lt;1,0,IFERROR(LOOKUP(2,1/('Arroz irrigado'!$E58:INDEX('Arroz irrigado'!$E58:$Z58,MIN(W$6-$G$3,22))&lt;&gt;""),'Arroz irrigado'!$E58:INDEX('Arroz irrigado'!$E58:$Z58,MIN(W$6-$G$3,22))),0)))))</f>
        <v>0</v>
      </c>
      <c r="X60" s="27" t="n">
        <f aca="false">IF(COUNT('Arroz irrigado'!$E58:$Z58)=0,0,MAX(0,IF((X$6-$E$3)&lt;1,0,IFERROR(LOOKUP(2,1/('Arroz irrigado'!$E58:INDEX('Arroz irrigado'!$E58:$Z58,MIN(X$6-$E$3,22))&lt;&gt;""),'Arroz irrigado'!$E58:INDEX('Arroz irrigado'!$E58:$Z58,MIN(X$6-$E$3,22))),0))-IF($G$2,0,IF((X$6-$G$3)&lt;1,0,IFERROR(LOOKUP(2,1/('Arroz irrigado'!$E58:INDEX('Arroz irrigado'!$E58:$Z58,MIN(X$6-$G$3,22))&lt;&gt;""),'Arroz irrigado'!$E58:INDEX('Arroz irrigado'!$E58:$Z58,MIN(X$6-$G$3,22))),0)))))</f>
        <v>0</v>
      </c>
      <c r="Y60" s="27" t="n">
        <f aca="false">IF(COUNT('Arroz irrigado'!$E58:$Z58)=0,0,MAX(0,IF((Y$6-$E$3)&lt;1,0,IFERROR(LOOKUP(2,1/('Arroz irrigado'!$E58:INDEX('Arroz irrigado'!$E58:$Z58,MIN(Y$6-$E$3,22))&lt;&gt;""),'Arroz irrigado'!$E58:INDEX('Arroz irrigado'!$E58:$Z58,MIN(Y$6-$E$3,22))),0))-IF($G$2,0,IF((Y$6-$G$3)&lt;1,0,IFERROR(LOOKUP(2,1/('Arroz irrigado'!$E58:INDEX('Arroz irrigado'!$E58:$Z58,MIN(Y$6-$G$3,22))&lt;&gt;""),'Arroz irrigado'!$E58:INDEX('Arroz irrigado'!$E58:$Z58,MIN(Y$6-$G$3,22))),0)))))</f>
        <v>0</v>
      </c>
      <c r="Z60" s="27" t="n">
        <f aca="false">IF(COUNT('Arroz irrigado'!$E58:$Z58)=0,0,MAX(0,IF((Z$6-$E$3)&lt;1,0,IFERROR(LOOKUP(2,1/('Arroz irrigado'!$E58:INDEX('Arroz irrigado'!$E58:$Z58,MIN(Z$6-$E$3,22))&lt;&gt;""),'Arroz irrigado'!$E58:INDEX('Arroz irrigado'!$E58:$Z58,MIN(Z$6-$E$3,22))),0))-IF($G$2,0,IF((Z$6-$G$3)&lt;1,0,IFERROR(LOOKUP(2,1/('Arroz irrigado'!$E58:INDEX('Arroz irrigado'!$E58:$Z58,MIN(Z$6-$G$3,22))&lt;&gt;""),'Arroz irrigado'!$E58:INDEX('Arroz irrigado'!$E58:$Z58,MIN(Z$6-$G$3,22))),0)))))</f>
        <v>0</v>
      </c>
      <c r="AA60" s="27" t="n">
        <f aca="false">IF(COUNT('Arroz irrigado'!$E58:$Z58)=0,0,MAX(0,IF((AA$6-$E$3)&lt;1,0,IFERROR(LOOKUP(2,1/('Arroz irrigado'!$E58:INDEX('Arroz irrigado'!$E58:$Z58,MIN(AA$6-$E$3,22))&lt;&gt;""),'Arroz irrigado'!$E58:INDEX('Arroz irrigado'!$E58:$Z58,MIN(AA$6-$E$3,22))),0))-IF($G$2,0,IF((AA$6-$G$3)&lt;1,0,IFERROR(LOOKUP(2,1/('Arroz irrigado'!$E58:INDEX('Arroz irrigado'!$E58:$Z58,MIN(AA$6-$G$3,22))&lt;&gt;""),'Arroz irrigado'!$E58:INDEX('Arroz irrigado'!$E58:$Z58,MIN(AA$6-$G$3,22))),0)))))</f>
        <v>0</v>
      </c>
      <c r="AB60" s="27" t="n">
        <f aca="false">IF(COUNT('Arroz irrigado'!$E58:$Z58)=0,0,MAX(0,IF((AB$6-$E$3)&lt;1,0,IFERROR(LOOKUP(2,1/('Arroz irrigado'!$E58:INDEX('Arroz irrigado'!$E58:$Z58,MIN(AB$6-$E$3,22))&lt;&gt;""),'Arroz irrigado'!$E58:INDEX('Arroz irrigado'!$E58:$Z58,MIN(AB$6-$E$3,22))),0))-IF($G$2,0,IF((AB$6-$G$3)&lt;1,0,IFERROR(LOOKUP(2,1/('Arroz irrigado'!$E58:INDEX('Arroz irrigado'!$E58:$Z58,MIN(AB$6-$G$3,22))&lt;&gt;""),'Arroz irrigado'!$E58:INDEX('Arroz irrigado'!$E58:$Z58,MIN(AB$6-$G$3,22))),0)))))</f>
        <v>0</v>
      </c>
      <c r="AC60" s="27" t="n">
        <f aca="false">IF(COUNT('Arroz irrigado'!$E58:$Z58)=0,0,MAX(0,IF((AC$6-$E$3)&lt;1,0,IFERROR(LOOKUP(2,1/('Arroz irrigado'!$E58:INDEX('Arroz irrigado'!$E58:$Z58,MIN(AC$6-$E$3,22))&lt;&gt;""),'Arroz irrigado'!$E58:INDEX('Arroz irrigado'!$E58:$Z58,MIN(AC$6-$E$3,22))),0))-IF($G$2,0,IF((AC$6-$G$3)&lt;1,0,IFERROR(LOOKUP(2,1/('Arroz irrigado'!$E58:INDEX('Arroz irrigado'!$E58:$Z58,MIN(AC$6-$G$3,22))&lt;&gt;""),'Arroz irrigado'!$E58:INDEX('Arroz irrigado'!$E58:$Z58,MIN(AC$6-$G$3,22))),0)))))</f>
        <v>0</v>
      </c>
      <c r="AD60" s="27" t="n">
        <f aca="false">IF(COUNT('Arroz irrigado'!$E58:$Z58)=0,0,MAX(0,IF((AD$6-$E$3)&lt;1,0,IFERROR(LOOKUP(2,1/('Arroz irrigado'!$E58:INDEX('Arroz irrigado'!$E58:$Z58,MIN(AD$6-$E$3,22))&lt;&gt;""),'Arroz irrigado'!$E58:INDEX('Arroz irrigado'!$E58:$Z58,MIN(AD$6-$E$3,22))),0))-IF($G$2,0,IF((AD$6-$G$3)&lt;1,0,IFERROR(LOOKUP(2,1/('Arroz irrigado'!$E58:INDEX('Arroz irrigado'!$E58:$Z58,MIN(AD$6-$G$3,22))&lt;&gt;""),'Arroz irrigado'!$E58:INDEX('Arroz irrigado'!$E58:$Z58,MIN(AD$6-$G$3,22))),0)))))</f>
        <v>0</v>
      </c>
      <c r="AE60" s="27" t="n">
        <f aca="false">IF(COUNT('Arroz irrigado'!$E58:$Z58)=0,0,MAX(0,IF((AE$6-$E$3)&lt;1,0,IFERROR(LOOKUP(2,1/('Arroz irrigado'!$E58:INDEX('Arroz irrigado'!$E58:$Z58,MIN(AE$6-$E$3,22))&lt;&gt;""),'Arroz irrigado'!$E58:INDEX('Arroz irrigado'!$E58:$Z58,MIN(AE$6-$E$3,22))),0))-IF($G$2,0,IF((AE$6-$G$3)&lt;1,0,IFERROR(LOOKUP(2,1/('Arroz irrigado'!$E58:INDEX('Arroz irrigado'!$E58:$Z58,MIN(AE$6-$G$3,22))&lt;&gt;""),'Arroz irrigado'!$E58:INDEX('Arroz irrigado'!$E58:$Z58,MIN(AE$6-$G$3,22))),0)))))</f>
        <v>0</v>
      </c>
      <c r="AF60" s="27" t="n">
        <f aca="false">IF(COUNT('Arroz irrigado'!$E58:$Z58)=0,0,MAX(0,IF((AF$6-$E$3)&lt;1,0,IFERROR(LOOKUP(2,1/('Arroz irrigado'!$E58:INDEX('Arroz irrigado'!$E58:$Z58,MIN(AF$6-$E$3,22))&lt;&gt;""),'Arroz irrigado'!$E58:INDEX('Arroz irrigado'!$E58:$Z58,MIN(AF$6-$E$3,22))),0))-IF($G$2,0,IF((AF$6-$G$3)&lt;1,0,IFERROR(LOOKUP(2,1/('Arroz irrigado'!$E58:INDEX('Arroz irrigado'!$E58:$Z58,MIN(AF$6-$G$3,22))&lt;&gt;""),'Arroz irrigado'!$E58:INDEX('Arroz irrigado'!$E58:$Z58,MIN(AF$6-$G$3,22))),0)))))</f>
        <v>0</v>
      </c>
      <c r="AG60" s="27" t="n">
        <f aca="false">IF(COUNT('Arroz irrigado'!$E58:$Z58)=0,0,MAX(0,IF((AG$6-$E$3)&lt;1,0,IFERROR(LOOKUP(2,1/('Arroz irrigado'!$E58:INDEX('Arroz irrigado'!$E58:$Z58,MIN(AG$6-$E$3,22))&lt;&gt;""),'Arroz irrigado'!$E58:INDEX('Arroz irrigado'!$E58:$Z58,MIN(AG$6-$E$3,22))),0))-IF($G$2,0,IF((AG$6-$G$3)&lt;1,0,IFERROR(LOOKUP(2,1/('Arroz irrigado'!$E58:INDEX('Arroz irrigado'!$E58:$Z58,MIN(AG$6-$G$3,22))&lt;&gt;""),'Arroz irrigado'!$E58:INDEX('Arroz irrigado'!$E58:$Z58,MIN(AG$6-$G$3,22))),0)))))</f>
        <v>0</v>
      </c>
      <c r="AH60" s="27" t="n">
        <f aca="false">IF(COUNT('Arroz irrigado'!$E58:$Z58)=0,0,MAX(0,IF((AH$6-$E$3)&lt;1,0,IFERROR(LOOKUP(2,1/('Arroz irrigado'!$E58:INDEX('Arroz irrigado'!$E58:$Z58,MIN(AH$6-$E$3,22))&lt;&gt;""),'Arroz irrigado'!$E58:INDEX('Arroz irrigado'!$E58:$Z58,MIN(AH$6-$E$3,22))),0))-IF($G$2,0,IF((AH$6-$G$3)&lt;1,0,IFERROR(LOOKUP(2,1/('Arroz irrigado'!$E58:INDEX('Arroz irrigado'!$E58:$Z58,MIN(AH$6-$G$3,22))&lt;&gt;""),'Arroz irrigado'!$E58:INDEX('Arroz irrigado'!$E58:$Z58,MIN(AH$6-$G$3,22))),0)))))</f>
        <v>0</v>
      </c>
      <c r="AI60" s="27" t="n">
        <f aca="false">IF(COUNT('Arroz irrigado'!$E58:$Z58)=0,0,MAX(0,IF((AI$6-$E$3)&lt;1,0,IFERROR(LOOKUP(2,1/('Arroz irrigado'!$E58:INDEX('Arroz irrigado'!$E58:$Z58,MIN(AI$6-$E$3,22))&lt;&gt;""),'Arroz irrigado'!$E58:INDEX('Arroz irrigado'!$E58:$Z58,MIN(AI$6-$E$3,22))),0))-IF($G$2,0,IF((AI$6-$G$3)&lt;1,0,IFERROR(LOOKUP(2,1/('Arroz irrigado'!$E58:INDEX('Arroz irrigado'!$E58:$Z58,MIN(AI$6-$G$3,22))&lt;&gt;""),'Arroz irrigado'!$E58:INDEX('Arroz irrigado'!$E58:$Z58,MIN(AI$6-$G$3,22))),0)))))</f>
        <v>0</v>
      </c>
      <c r="AJ60" s="27" t="n">
        <f aca="false">IF(COUNT('Arroz irrigado'!$E58:$Z58)=0,0,MAX(0,IF((AJ$6-$E$3)&lt;1,0,IFERROR(LOOKUP(2,1/('Arroz irrigado'!$E58:INDEX('Arroz irrigado'!$E58:$Z58,MIN(AJ$6-$E$3,22))&lt;&gt;""),'Arroz irrigado'!$E58:INDEX('Arroz irrigado'!$E58:$Z58,MIN(AJ$6-$E$3,22))),0))-IF($G$2,0,IF((AJ$6-$G$3)&lt;1,0,IFERROR(LOOKUP(2,1/('Arroz irrigado'!$E58:INDEX('Arroz irrigado'!$E58:$Z58,MIN(AJ$6-$G$3,22))&lt;&gt;""),'Arroz irrigado'!$E58:INDEX('Arroz irrigado'!$E58:$Z58,MIN(AJ$6-$G$3,22))),0)))))</f>
        <v>0</v>
      </c>
      <c r="AK60" s="27" t="n">
        <f aca="false">IF(COUNT('Arroz irrigado'!$E58:$Z58)=0,0,MAX(0,IF((AK$6-$E$3)&lt;1,0,IFERROR(LOOKUP(2,1/('Arroz irrigado'!$E58:INDEX('Arroz irrigado'!$E58:$Z58,MIN(AK$6-$E$3,22))&lt;&gt;""),'Arroz irrigado'!$E58:INDEX('Arroz irrigado'!$E58:$Z58,MIN(AK$6-$E$3,22))),0))-IF($G$2,0,IF((AK$6-$G$3)&lt;1,0,IFERROR(LOOKUP(2,1/('Arroz irrigado'!$E58:INDEX('Arroz irrigado'!$E58:$Z58,MIN(AK$6-$G$3,22))&lt;&gt;""),'Arroz irrigado'!$E58:INDEX('Arroz irrigado'!$E58:$Z58,MIN(AK$6-$G$3,22))),0)))))</f>
        <v>0</v>
      </c>
      <c r="AL60" s="27" t="n">
        <f aca="false">IF(COUNT('Arroz irrigado'!$E58:$Z58)=0,0,MAX(0,IF((AL$6-$E$3)&lt;1,0,IFERROR(LOOKUP(2,1/('Arroz irrigado'!$E58:INDEX('Arroz irrigado'!$E58:$Z58,MIN(AL$6-$E$3,22))&lt;&gt;""),'Arroz irrigado'!$E58:INDEX('Arroz irrigado'!$E58:$Z58,MIN(AL$6-$E$3,22))),0))-IF($G$2,0,IF((AL$6-$G$3)&lt;1,0,IFERROR(LOOKUP(2,1/('Arroz irrigado'!$E58:INDEX('Arroz irrigado'!$E58:$Z58,MIN(AL$6-$G$3,22))&lt;&gt;""),'Arroz irrigado'!$E58:INDEX('Arroz irrigado'!$E58:$Z58,MIN(AL$6-$G$3,22))),0)))))</f>
        <v>0</v>
      </c>
      <c r="AM60" s="27" t="n">
        <f aca="false">IF(COUNT('Arroz irrigado'!$E58:$Z58)=0,0,MAX(0,IF((AM$6-$E$3)&lt;1,0,IFERROR(LOOKUP(2,1/('Arroz irrigado'!$E58:INDEX('Arroz irrigado'!$E58:$Z58,MIN(AM$6-$E$3,22))&lt;&gt;""),'Arroz irrigado'!$E58:INDEX('Arroz irrigado'!$E58:$Z58,MIN(AM$6-$E$3,22))),0))-IF($G$2,0,IF((AM$6-$G$3)&lt;1,0,IFERROR(LOOKUP(2,1/('Arroz irrigado'!$E58:INDEX('Arroz irrigado'!$E58:$Z58,MIN(AM$6-$G$3,22))&lt;&gt;""),'Arroz irrigado'!$E58:INDEX('Arroz irrigado'!$E58:$Z58,MIN(AM$6-$G$3,22))),0)))))</f>
        <v>0</v>
      </c>
      <c r="AN60" s="27" t="n">
        <f aca="false">IF(COUNT('Arroz irrigado'!$E58:$Z58)=0,0,MAX(0,IF((AN$6-$E$3)&lt;1,0,IFERROR(LOOKUP(2,1/('Arroz irrigado'!$E58:INDEX('Arroz irrigado'!$E58:$Z58,MIN(AN$6-$E$3,22))&lt;&gt;""),'Arroz irrigado'!$E58:INDEX('Arroz irrigado'!$E58:$Z58,MIN(AN$6-$E$3,22))),0))-IF($G$2,0,IF((AN$6-$G$3)&lt;1,0,IFERROR(LOOKUP(2,1/('Arroz irrigado'!$E58:INDEX('Arroz irrigado'!$E58:$Z58,MIN(AN$6-$G$3,22))&lt;&gt;""),'Arroz irrigado'!$E58:INDEX('Arroz irrigado'!$E58:$Z58,MIN(AN$6-$G$3,22))),0)))))</f>
        <v>0</v>
      </c>
      <c r="AO60" s="27" t="n">
        <f aca="false">IF(COUNT('Arroz irrigado'!$E58:$Z58)=0,0,MAX(0,IF((AO$6-$E$3)&lt;1,0,IFERROR(LOOKUP(2,1/('Arroz irrigado'!$E58:INDEX('Arroz irrigado'!$E58:$Z58,MIN(AO$6-$E$3,22))&lt;&gt;""),'Arroz irrigado'!$E58:INDEX('Arroz irrigado'!$E58:$Z58,MIN(AO$6-$E$3,22))),0))-IF($G$2,0,IF((AO$6-$G$3)&lt;1,0,IFERROR(LOOKUP(2,1/('Arroz irrigado'!$E58:INDEX('Arroz irrigado'!$E58:$Z58,MIN(AO$6-$G$3,22))&lt;&gt;""),'Arroz irrigado'!$E58:INDEX('Arroz irrigado'!$E58:$Z58,MIN(AO$6-$G$3,22))),0)))))</f>
        <v>0</v>
      </c>
      <c r="AP60" s="27" t="n">
        <f aca="false">IF(COUNT('Arroz irrigado'!$E58:$Z58)=0,0,MAX(0,IF((AP$6-$E$3)&lt;1,0,IFERROR(LOOKUP(2,1/('Arroz irrigado'!$E58:INDEX('Arroz irrigado'!$E58:$Z58,MIN(AP$6-$E$3,22))&lt;&gt;""),'Arroz irrigado'!$E58:INDEX('Arroz irrigado'!$E58:$Z58,MIN(AP$6-$E$3,22))),0))-IF($G$2,0,IF((AP$6-$G$3)&lt;1,0,IFERROR(LOOKUP(2,1/('Arroz irrigado'!$E58:INDEX('Arroz irrigado'!$E58:$Z58,MIN(AP$6-$G$3,22))&lt;&gt;""),'Arroz irrigado'!$E58:INDEX('Arroz irrigado'!$E58:$Z58,MIN(AP$6-$G$3,22))),0)))))</f>
        <v>0</v>
      </c>
      <c r="AQ60" s="27" t="n">
        <f aca="false">IF(COUNT('Arroz irrigado'!$E58:$Z58)=0,0,MAX(0,IF((AQ$6-$E$3)&lt;1,0,IFERROR(LOOKUP(2,1/('Arroz irrigado'!$E58:INDEX('Arroz irrigado'!$E58:$Z58,MIN(AQ$6-$E$3,22))&lt;&gt;""),'Arroz irrigado'!$E58:INDEX('Arroz irrigado'!$E58:$Z58,MIN(AQ$6-$E$3,22))),0))-IF($G$2,0,IF((AQ$6-$G$3)&lt;1,0,IFERROR(LOOKUP(2,1/('Arroz irrigado'!$E58:INDEX('Arroz irrigado'!$E58:$Z58,MIN(AQ$6-$G$3,22))&lt;&gt;""),'Arroz irrigado'!$E58:INDEX('Arroz irrigado'!$E58:$Z58,MIN(AQ$6-$G$3,22))),0)))))</f>
        <v>0</v>
      </c>
      <c r="AR60" s="27" t="n">
        <f aca="false">IF(COUNT('Arroz irrigado'!$E58:$Z58)=0,0,MAX(0,IF((AR$6-$E$3)&lt;1,0,IFERROR(LOOKUP(2,1/('Arroz irrigado'!$E58:INDEX('Arroz irrigado'!$E58:$Z58,MIN(AR$6-$E$3,22))&lt;&gt;""),'Arroz irrigado'!$E58:INDEX('Arroz irrigado'!$E58:$Z58,MIN(AR$6-$E$3,22))),0))-IF($G$2,0,IF((AR$6-$G$3)&lt;1,0,IFERROR(LOOKUP(2,1/('Arroz irrigado'!$E58:INDEX('Arroz irrigado'!$E58:$Z58,MIN(AR$6-$G$3,22))&lt;&gt;""),'Arroz irrigado'!$E58:INDEX('Arroz irrigado'!$E58:$Z58,MIN(AR$6-$G$3,22))),0)))))</f>
        <v>0</v>
      </c>
      <c r="AS60" s="27" t="n">
        <f aca="false">IF(COUNT('Arroz irrigado'!$E58:$Z58)=0,0,MAX(0,IF((AS$6-$E$3)&lt;1,0,IFERROR(LOOKUP(2,1/('Arroz irrigado'!$E58:INDEX('Arroz irrigado'!$E58:$Z58,MIN(AS$6-$E$3,22))&lt;&gt;""),'Arroz irrigado'!$E58:INDEX('Arroz irrigado'!$E58:$Z58,MIN(AS$6-$E$3,22))),0))-IF($G$2,0,IF((AS$6-$G$3)&lt;1,0,IFERROR(LOOKUP(2,1/('Arroz irrigado'!$E58:INDEX('Arroz irrigado'!$E58:$Z58,MIN(AS$6-$G$3,22))&lt;&gt;""),'Arroz irrigado'!$E58:INDEX('Arroz irrigado'!$E58:$Z58,MIN(AS$6-$G$3,22))),0)))))</f>
        <v>0</v>
      </c>
      <c r="AT60" s="27" t="n">
        <f aca="false">IF(COUNT('Arroz irrigado'!$E58:$Z58)=0,0,MAX(0,IF((AT$6-$E$3)&lt;1,0,IFERROR(LOOKUP(2,1/('Arroz irrigado'!$E58:INDEX('Arroz irrigado'!$E58:$Z58,MIN(AT$6-$E$3,22))&lt;&gt;""),'Arroz irrigado'!$E58:INDEX('Arroz irrigado'!$E58:$Z58,MIN(AT$6-$E$3,22))),0))-IF($G$2,0,IF((AT$6-$G$3)&lt;1,0,IFERROR(LOOKUP(2,1/('Arroz irrigado'!$E58:INDEX('Arroz irrigado'!$E58:$Z58,MIN(AT$6-$G$3,22))&lt;&gt;""),'Arroz irrigado'!$E58:INDEX('Arroz irrigado'!$E58:$Z58,MIN(AT$6-$G$3,22))),0)))))</f>
        <v>0</v>
      </c>
      <c r="AU60" s="27" t="n">
        <f aca="false">IF(COUNT('Arroz irrigado'!$E58:$Z58)=0,0,MAX(0,IF((AU$6-$E$3)&lt;1,0,IFERROR(LOOKUP(2,1/('Arroz irrigado'!$E58:INDEX('Arroz irrigado'!$E58:$Z58,MIN(AU$6-$E$3,22))&lt;&gt;""),'Arroz irrigado'!$E58:INDEX('Arroz irrigado'!$E58:$Z58,MIN(AU$6-$E$3,22))),0))-IF($G$2,0,IF((AU$6-$G$3)&lt;1,0,IFERROR(LOOKUP(2,1/('Arroz irrigado'!$E58:INDEX('Arroz irrigado'!$E58:$Z58,MIN(AU$6-$G$3,22))&lt;&gt;""),'Arroz irrigado'!$E58:INDEX('Arroz irrigado'!$E58:$Z58,MIN(AU$6-$G$3,22))),0)))))</f>
        <v>0</v>
      </c>
      <c r="AV60" s="27" t="n">
        <f aca="false">IF(COUNT('Arroz irrigado'!$E58:$Z58)=0,0,MAX(0,IF((AV$6-$E$3)&lt;1,0,IFERROR(LOOKUP(2,1/('Arroz irrigado'!$E58:INDEX('Arroz irrigado'!$E58:$Z58,MIN(AV$6-$E$3,22))&lt;&gt;""),'Arroz irrigado'!$E58:INDEX('Arroz irrigado'!$E58:$Z58,MIN(AV$6-$E$3,22))),0))-IF($G$2,0,IF((AV$6-$G$3)&lt;1,0,IFERROR(LOOKUP(2,1/('Arroz irrigado'!$E58:INDEX('Arroz irrigado'!$E58:$Z58,MIN(AV$6-$G$3,22))&lt;&gt;""),'Arroz irrigado'!$E58:INDEX('Arroz irrigado'!$E58:$Z58,MIN(AV$6-$G$3,22))),0)))))</f>
        <v>0</v>
      </c>
      <c r="AW60" s="27" t="n">
        <f aca="false">IF(COUNT('Arroz irrigado'!$E58:$Z58)=0,0,MAX(0,IF((AW$6-$E$3)&lt;1,0,IFERROR(LOOKUP(2,1/('Arroz irrigado'!$E58:INDEX('Arroz irrigado'!$E58:$Z58,MIN(AW$6-$E$3,22))&lt;&gt;""),'Arroz irrigado'!$E58:INDEX('Arroz irrigado'!$E58:$Z58,MIN(AW$6-$E$3,22))),0))-IF($G$2,0,IF((AW$6-$G$3)&lt;1,0,IFERROR(LOOKUP(2,1/('Arroz irrigado'!$E58:INDEX('Arroz irrigado'!$E58:$Z58,MIN(AW$6-$G$3,22))&lt;&gt;""),'Arroz irrigado'!$E58:INDEX('Arroz irrigado'!$E58:$Z58,MIN(AW$6-$G$3,22))),0)))))</f>
        <v>0</v>
      </c>
      <c r="AX60" s="27" t="n">
        <f aca="false">IF(COUNT('Arroz irrigado'!$E58:$Z58)=0,0,MAX(0,IF((AX$6-$E$3)&lt;1,0,IFERROR(LOOKUP(2,1/('Arroz irrigado'!$E58:INDEX('Arroz irrigado'!$E58:$Z58,MIN(AX$6-$E$3,22))&lt;&gt;""),'Arroz irrigado'!$E58:INDEX('Arroz irrigado'!$E58:$Z58,MIN(AX$6-$E$3,22))),0))-IF($G$2,0,IF((AX$6-$G$3)&lt;1,0,IFERROR(LOOKUP(2,1/('Arroz irrigado'!$E58:INDEX('Arroz irrigado'!$E58:$Z58,MIN(AX$6-$G$3,22))&lt;&gt;""),'Arroz irrigado'!$E58:INDEX('Arroz irrigado'!$E58:$Z58,MIN(AX$6-$G$3,22))),0)))))</f>
        <v>0</v>
      </c>
      <c r="AY60" s="27" t="n">
        <f aca="false">IF(COUNT('Arroz irrigado'!$E58:$Z58)=0,0,MAX(0,IF((AY$6-$E$3)&lt;1,0,IFERROR(LOOKUP(2,1/('Arroz irrigado'!$E58:INDEX('Arroz irrigado'!$E58:$Z58,MIN(AY$6-$E$3,22))&lt;&gt;""),'Arroz irrigado'!$E58:INDEX('Arroz irrigado'!$E58:$Z58,MIN(AY$6-$E$3,22))),0))-IF($G$2,0,IF((AY$6-$G$3)&lt;1,0,IFERROR(LOOKUP(2,1/('Arroz irrigado'!$E58:INDEX('Arroz irrigado'!$E58:$Z58,MIN(AY$6-$G$3,22))&lt;&gt;""),'Arroz irrigado'!$E58:INDEX('Arroz irrigado'!$E58:$Z58,MIN(AY$6-$G$3,22))),0)))))</f>
        <v>0</v>
      </c>
      <c r="AZ60" s="27" t="n">
        <f aca="false">IF(COUNT('Arroz irrigado'!$E58:$Z58)=0,0,MAX(0,IF((AZ$6-$E$3)&lt;1,0,IFERROR(LOOKUP(2,1/('Arroz irrigado'!$E58:INDEX('Arroz irrigado'!$E58:$Z58,MIN(AZ$6-$E$3,22))&lt;&gt;""),'Arroz irrigado'!$E58:INDEX('Arroz irrigado'!$E58:$Z58,MIN(AZ$6-$E$3,22))),0))-IF($G$2,0,IF((AZ$6-$G$3)&lt;1,0,IFERROR(LOOKUP(2,1/('Arroz irrigado'!$E58:INDEX('Arroz irrigado'!$E58:$Z58,MIN(AZ$6-$G$3,22))&lt;&gt;""),'Arroz irrigado'!$E58:INDEX('Arroz irrigado'!$E58:$Z58,MIN(AZ$6-$G$3,22))),0)))))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IF(COUNT('Arroz irrigado'!$E59:$Z59)&gt;0,N('Arroz irrigado'!$D59),0)</f>
        <v>0</v>
      </c>
      <c r="E61" s="27" t="n">
        <f aca="false">IF(COUNT('Arroz irrigado'!$E59:$Z59)=0,0,MAX(0,IF((E$6-$E$3)&lt;1,0,IFERROR(LOOKUP(2,1/('Arroz irrigado'!$E59:INDEX('Arroz irrigado'!$E59:$Z59,MIN(E$6-$E$3,22))&lt;&gt;""),'Arroz irrigado'!$E59:INDEX('Arroz irrigado'!$E59:$Z59,MIN(E$6-$E$3,22))),0))-IF($G$2,0,IF((E$6-$G$3)&lt;1,0,IFERROR(LOOKUP(2,1/('Arroz irrigado'!$E59:INDEX('Arroz irrigado'!$E59:$Z59,MIN(E$6-$G$3,22))&lt;&gt;""),'Arroz irrigado'!$E59:INDEX('Arroz irrigado'!$E59:$Z59,MIN(E$6-$G$3,22))),0)))))</f>
        <v>0</v>
      </c>
      <c r="F61" s="27" t="n">
        <f aca="false">IF(COUNT('Arroz irrigado'!$E59:$Z59)=0,0,MAX(0,IF((F$6-$E$3)&lt;1,0,IFERROR(LOOKUP(2,1/('Arroz irrigado'!$E59:INDEX('Arroz irrigado'!$E59:$Z59,MIN(F$6-$E$3,22))&lt;&gt;""),'Arroz irrigado'!$E59:INDEX('Arroz irrigado'!$E59:$Z59,MIN(F$6-$E$3,22))),0))-IF($G$2,0,IF((F$6-$G$3)&lt;1,0,IFERROR(LOOKUP(2,1/('Arroz irrigado'!$E59:INDEX('Arroz irrigado'!$E59:$Z59,MIN(F$6-$G$3,22))&lt;&gt;""),'Arroz irrigado'!$E59:INDEX('Arroz irrigado'!$E59:$Z59,MIN(F$6-$G$3,22))),0)))))</f>
        <v>0</v>
      </c>
      <c r="G61" s="27" t="n">
        <f aca="false">IF(COUNT('Arroz irrigado'!$E59:$Z59)=0,0,MAX(0,IF((G$6-$E$3)&lt;1,0,IFERROR(LOOKUP(2,1/('Arroz irrigado'!$E59:INDEX('Arroz irrigado'!$E59:$Z59,MIN(G$6-$E$3,22))&lt;&gt;""),'Arroz irrigado'!$E59:INDEX('Arroz irrigado'!$E59:$Z59,MIN(G$6-$E$3,22))),0))-IF($G$2,0,IF((G$6-$G$3)&lt;1,0,IFERROR(LOOKUP(2,1/('Arroz irrigado'!$E59:INDEX('Arroz irrigado'!$E59:$Z59,MIN(G$6-$G$3,22))&lt;&gt;""),'Arroz irrigado'!$E59:INDEX('Arroz irrigado'!$E59:$Z59,MIN(G$6-$G$3,22))),0)))))</f>
        <v>0</v>
      </c>
      <c r="H61" s="27" t="n">
        <f aca="false">IF(COUNT('Arroz irrigado'!$E59:$Z59)=0,0,MAX(0,IF((H$6-$E$3)&lt;1,0,IFERROR(LOOKUP(2,1/('Arroz irrigado'!$E59:INDEX('Arroz irrigado'!$E59:$Z59,MIN(H$6-$E$3,22))&lt;&gt;""),'Arroz irrigado'!$E59:INDEX('Arroz irrigado'!$E59:$Z59,MIN(H$6-$E$3,22))),0))-IF($G$2,0,IF((H$6-$G$3)&lt;1,0,IFERROR(LOOKUP(2,1/('Arroz irrigado'!$E59:INDEX('Arroz irrigado'!$E59:$Z59,MIN(H$6-$G$3,22))&lt;&gt;""),'Arroz irrigado'!$E59:INDEX('Arroz irrigado'!$E59:$Z59,MIN(H$6-$G$3,22))),0)))))</f>
        <v>0</v>
      </c>
      <c r="I61" s="27" t="n">
        <f aca="false">IF(COUNT('Arroz irrigado'!$E59:$Z59)=0,0,MAX(0,IF((I$6-$E$3)&lt;1,0,IFERROR(LOOKUP(2,1/('Arroz irrigado'!$E59:INDEX('Arroz irrigado'!$E59:$Z59,MIN(I$6-$E$3,22))&lt;&gt;""),'Arroz irrigado'!$E59:INDEX('Arroz irrigado'!$E59:$Z59,MIN(I$6-$E$3,22))),0))-IF($G$2,0,IF((I$6-$G$3)&lt;1,0,IFERROR(LOOKUP(2,1/('Arroz irrigado'!$E59:INDEX('Arroz irrigado'!$E59:$Z59,MIN(I$6-$G$3,22))&lt;&gt;""),'Arroz irrigado'!$E59:INDEX('Arroz irrigado'!$E59:$Z59,MIN(I$6-$G$3,22))),0)))))</f>
        <v>0</v>
      </c>
      <c r="J61" s="27" t="n">
        <f aca="false">IF(COUNT('Arroz irrigado'!$E59:$Z59)=0,0,MAX(0,IF((J$6-$E$3)&lt;1,0,IFERROR(LOOKUP(2,1/('Arroz irrigado'!$E59:INDEX('Arroz irrigado'!$E59:$Z59,MIN(J$6-$E$3,22))&lt;&gt;""),'Arroz irrigado'!$E59:INDEX('Arroz irrigado'!$E59:$Z59,MIN(J$6-$E$3,22))),0))-IF($G$2,0,IF((J$6-$G$3)&lt;1,0,IFERROR(LOOKUP(2,1/('Arroz irrigado'!$E59:INDEX('Arroz irrigado'!$E59:$Z59,MIN(J$6-$G$3,22))&lt;&gt;""),'Arroz irrigado'!$E59:INDEX('Arroz irrigado'!$E59:$Z59,MIN(J$6-$G$3,22))),0)))))</f>
        <v>0</v>
      </c>
      <c r="K61" s="27" t="n">
        <f aca="false">IF(COUNT('Arroz irrigado'!$E59:$Z59)=0,0,MAX(0,IF((K$6-$E$3)&lt;1,0,IFERROR(LOOKUP(2,1/('Arroz irrigado'!$E59:INDEX('Arroz irrigado'!$E59:$Z59,MIN(K$6-$E$3,22))&lt;&gt;""),'Arroz irrigado'!$E59:INDEX('Arroz irrigado'!$E59:$Z59,MIN(K$6-$E$3,22))),0))-IF($G$2,0,IF((K$6-$G$3)&lt;1,0,IFERROR(LOOKUP(2,1/('Arroz irrigado'!$E59:INDEX('Arroz irrigado'!$E59:$Z59,MIN(K$6-$G$3,22))&lt;&gt;""),'Arroz irrigado'!$E59:INDEX('Arroz irrigado'!$E59:$Z59,MIN(K$6-$G$3,22))),0)))))</f>
        <v>0</v>
      </c>
      <c r="L61" s="27" t="n">
        <f aca="false">IF(COUNT('Arroz irrigado'!$E59:$Z59)=0,0,MAX(0,IF((L$6-$E$3)&lt;1,0,IFERROR(LOOKUP(2,1/('Arroz irrigado'!$E59:INDEX('Arroz irrigado'!$E59:$Z59,MIN(L$6-$E$3,22))&lt;&gt;""),'Arroz irrigado'!$E59:INDEX('Arroz irrigado'!$E59:$Z59,MIN(L$6-$E$3,22))),0))-IF($G$2,0,IF((L$6-$G$3)&lt;1,0,IFERROR(LOOKUP(2,1/('Arroz irrigado'!$E59:INDEX('Arroz irrigado'!$E59:$Z59,MIN(L$6-$G$3,22))&lt;&gt;""),'Arroz irrigado'!$E59:INDEX('Arroz irrigado'!$E59:$Z59,MIN(L$6-$G$3,22))),0)))))</f>
        <v>0</v>
      </c>
      <c r="M61" s="27" t="n">
        <f aca="false">IF(COUNT('Arroz irrigado'!$E59:$Z59)=0,0,MAX(0,IF((M$6-$E$3)&lt;1,0,IFERROR(LOOKUP(2,1/('Arroz irrigado'!$E59:INDEX('Arroz irrigado'!$E59:$Z59,MIN(M$6-$E$3,22))&lt;&gt;""),'Arroz irrigado'!$E59:INDEX('Arroz irrigado'!$E59:$Z59,MIN(M$6-$E$3,22))),0))-IF($G$2,0,IF((M$6-$G$3)&lt;1,0,IFERROR(LOOKUP(2,1/('Arroz irrigado'!$E59:INDEX('Arroz irrigado'!$E59:$Z59,MIN(M$6-$G$3,22))&lt;&gt;""),'Arroz irrigado'!$E59:INDEX('Arroz irrigado'!$E59:$Z59,MIN(M$6-$G$3,22))),0)))))</f>
        <v>0</v>
      </c>
      <c r="N61" s="27" t="n">
        <f aca="false">IF(COUNT('Arroz irrigado'!$E59:$Z59)=0,0,MAX(0,IF((N$6-$E$3)&lt;1,0,IFERROR(LOOKUP(2,1/('Arroz irrigado'!$E59:INDEX('Arroz irrigado'!$E59:$Z59,MIN(N$6-$E$3,22))&lt;&gt;""),'Arroz irrigado'!$E59:INDEX('Arroz irrigado'!$E59:$Z59,MIN(N$6-$E$3,22))),0))-IF($G$2,0,IF((N$6-$G$3)&lt;1,0,IFERROR(LOOKUP(2,1/('Arroz irrigado'!$E59:INDEX('Arroz irrigado'!$E59:$Z59,MIN(N$6-$G$3,22))&lt;&gt;""),'Arroz irrigado'!$E59:INDEX('Arroz irrigado'!$E59:$Z59,MIN(N$6-$G$3,22))),0)))))</f>
        <v>0</v>
      </c>
      <c r="O61" s="27" t="n">
        <f aca="false">IF(COUNT('Arroz irrigado'!$E59:$Z59)=0,0,MAX(0,IF((O$6-$E$3)&lt;1,0,IFERROR(LOOKUP(2,1/('Arroz irrigado'!$E59:INDEX('Arroz irrigado'!$E59:$Z59,MIN(O$6-$E$3,22))&lt;&gt;""),'Arroz irrigado'!$E59:INDEX('Arroz irrigado'!$E59:$Z59,MIN(O$6-$E$3,22))),0))-IF($G$2,0,IF((O$6-$G$3)&lt;1,0,IFERROR(LOOKUP(2,1/('Arroz irrigado'!$E59:INDEX('Arroz irrigado'!$E59:$Z59,MIN(O$6-$G$3,22))&lt;&gt;""),'Arroz irrigado'!$E59:INDEX('Arroz irrigado'!$E59:$Z59,MIN(O$6-$G$3,22))),0)))))</f>
        <v>0</v>
      </c>
      <c r="P61" s="27" t="n">
        <f aca="false">IF(COUNT('Arroz irrigado'!$E59:$Z59)=0,0,MAX(0,IF((P$6-$E$3)&lt;1,0,IFERROR(LOOKUP(2,1/('Arroz irrigado'!$E59:INDEX('Arroz irrigado'!$E59:$Z59,MIN(P$6-$E$3,22))&lt;&gt;""),'Arroz irrigado'!$E59:INDEX('Arroz irrigado'!$E59:$Z59,MIN(P$6-$E$3,22))),0))-IF($G$2,0,IF((P$6-$G$3)&lt;1,0,IFERROR(LOOKUP(2,1/('Arroz irrigado'!$E59:INDEX('Arroz irrigado'!$E59:$Z59,MIN(P$6-$G$3,22))&lt;&gt;""),'Arroz irrigado'!$E59:INDEX('Arroz irrigado'!$E59:$Z59,MIN(P$6-$G$3,22))),0)))))</f>
        <v>0</v>
      </c>
      <c r="Q61" s="27" t="n">
        <f aca="false">IF(COUNT('Arroz irrigado'!$E59:$Z59)=0,0,MAX(0,IF((Q$6-$E$3)&lt;1,0,IFERROR(LOOKUP(2,1/('Arroz irrigado'!$E59:INDEX('Arroz irrigado'!$E59:$Z59,MIN(Q$6-$E$3,22))&lt;&gt;""),'Arroz irrigado'!$E59:INDEX('Arroz irrigado'!$E59:$Z59,MIN(Q$6-$E$3,22))),0))-IF($G$2,0,IF((Q$6-$G$3)&lt;1,0,IFERROR(LOOKUP(2,1/('Arroz irrigado'!$E59:INDEX('Arroz irrigado'!$E59:$Z59,MIN(Q$6-$G$3,22))&lt;&gt;""),'Arroz irrigado'!$E59:INDEX('Arroz irrigado'!$E59:$Z59,MIN(Q$6-$G$3,22))),0)))))</f>
        <v>0</v>
      </c>
      <c r="R61" s="27" t="n">
        <f aca="false">IF(COUNT('Arroz irrigado'!$E59:$Z59)=0,0,MAX(0,IF((R$6-$E$3)&lt;1,0,IFERROR(LOOKUP(2,1/('Arroz irrigado'!$E59:INDEX('Arroz irrigado'!$E59:$Z59,MIN(R$6-$E$3,22))&lt;&gt;""),'Arroz irrigado'!$E59:INDEX('Arroz irrigado'!$E59:$Z59,MIN(R$6-$E$3,22))),0))-IF($G$2,0,IF((R$6-$G$3)&lt;1,0,IFERROR(LOOKUP(2,1/('Arroz irrigado'!$E59:INDEX('Arroz irrigado'!$E59:$Z59,MIN(R$6-$G$3,22))&lt;&gt;""),'Arroz irrigado'!$E59:INDEX('Arroz irrigado'!$E59:$Z59,MIN(R$6-$G$3,22))),0)))))</f>
        <v>0</v>
      </c>
      <c r="S61" s="27" t="n">
        <f aca="false">IF(COUNT('Arroz irrigado'!$E59:$Z59)=0,0,MAX(0,IF((S$6-$E$3)&lt;1,0,IFERROR(LOOKUP(2,1/('Arroz irrigado'!$E59:INDEX('Arroz irrigado'!$E59:$Z59,MIN(S$6-$E$3,22))&lt;&gt;""),'Arroz irrigado'!$E59:INDEX('Arroz irrigado'!$E59:$Z59,MIN(S$6-$E$3,22))),0))-IF($G$2,0,IF((S$6-$G$3)&lt;1,0,IFERROR(LOOKUP(2,1/('Arroz irrigado'!$E59:INDEX('Arroz irrigado'!$E59:$Z59,MIN(S$6-$G$3,22))&lt;&gt;""),'Arroz irrigado'!$E59:INDEX('Arroz irrigado'!$E59:$Z59,MIN(S$6-$G$3,22))),0)))))</f>
        <v>0</v>
      </c>
      <c r="T61" s="27" t="n">
        <f aca="false">IF(COUNT('Arroz irrigado'!$E59:$Z59)=0,0,MAX(0,IF((T$6-$E$3)&lt;1,0,IFERROR(LOOKUP(2,1/('Arroz irrigado'!$E59:INDEX('Arroz irrigado'!$E59:$Z59,MIN(T$6-$E$3,22))&lt;&gt;""),'Arroz irrigado'!$E59:INDEX('Arroz irrigado'!$E59:$Z59,MIN(T$6-$E$3,22))),0))-IF($G$2,0,IF((T$6-$G$3)&lt;1,0,IFERROR(LOOKUP(2,1/('Arroz irrigado'!$E59:INDEX('Arroz irrigado'!$E59:$Z59,MIN(T$6-$G$3,22))&lt;&gt;""),'Arroz irrigado'!$E59:INDEX('Arroz irrigado'!$E59:$Z59,MIN(T$6-$G$3,22))),0)))))</f>
        <v>0</v>
      </c>
      <c r="U61" s="27" t="n">
        <f aca="false">IF(COUNT('Arroz irrigado'!$E59:$Z59)=0,0,MAX(0,IF((U$6-$E$3)&lt;1,0,IFERROR(LOOKUP(2,1/('Arroz irrigado'!$E59:INDEX('Arroz irrigado'!$E59:$Z59,MIN(U$6-$E$3,22))&lt;&gt;""),'Arroz irrigado'!$E59:INDEX('Arroz irrigado'!$E59:$Z59,MIN(U$6-$E$3,22))),0))-IF($G$2,0,IF((U$6-$G$3)&lt;1,0,IFERROR(LOOKUP(2,1/('Arroz irrigado'!$E59:INDEX('Arroz irrigado'!$E59:$Z59,MIN(U$6-$G$3,22))&lt;&gt;""),'Arroz irrigado'!$E59:INDEX('Arroz irrigado'!$E59:$Z59,MIN(U$6-$G$3,22))),0)))))</f>
        <v>0</v>
      </c>
      <c r="V61" s="27" t="n">
        <f aca="false">IF(COUNT('Arroz irrigado'!$E59:$Z59)=0,0,MAX(0,IF((V$6-$E$3)&lt;1,0,IFERROR(LOOKUP(2,1/('Arroz irrigado'!$E59:INDEX('Arroz irrigado'!$E59:$Z59,MIN(V$6-$E$3,22))&lt;&gt;""),'Arroz irrigado'!$E59:INDEX('Arroz irrigado'!$E59:$Z59,MIN(V$6-$E$3,22))),0))-IF($G$2,0,IF((V$6-$G$3)&lt;1,0,IFERROR(LOOKUP(2,1/('Arroz irrigado'!$E59:INDEX('Arroz irrigado'!$E59:$Z59,MIN(V$6-$G$3,22))&lt;&gt;""),'Arroz irrigado'!$E59:INDEX('Arroz irrigado'!$E59:$Z59,MIN(V$6-$G$3,22))),0)))))</f>
        <v>0</v>
      </c>
      <c r="W61" s="27" t="n">
        <f aca="false">IF(COUNT('Arroz irrigado'!$E59:$Z59)=0,0,MAX(0,IF((W$6-$E$3)&lt;1,0,IFERROR(LOOKUP(2,1/('Arroz irrigado'!$E59:INDEX('Arroz irrigado'!$E59:$Z59,MIN(W$6-$E$3,22))&lt;&gt;""),'Arroz irrigado'!$E59:INDEX('Arroz irrigado'!$E59:$Z59,MIN(W$6-$E$3,22))),0))-IF($G$2,0,IF((W$6-$G$3)&lt;1,0,IFERROR(LOOKUP(2,1/('Arroz irrigado'!$E59:INDEX('Arroz irrigado'!$E59:$Z59,MIN(W$6-$G$3,22))&lt;&gt;""),'Arroz irrigado'!$E59:INDEX('Arroz irrigado'!$E59:$Z59,MIN(W$6-$G$3,22))),0)))))</f>
        <v>0</v>
      </c>
      <c r="X61" s="27" t="n">
        <f aca="false">IF(COUNT('Arroz irrigado'!$E59:$Z59)=0,0,MAX(0,IF((X$6-$E$3)&lt;1,0,IFERROR(LOOKUP(2,1/('Arroz irrigado'!$E59:INDEX('Arroz irrigado'!$E59:$Z59,MIN(X$6-$E$3,22))&lt;&gt;""),'Arroz irrigado'!$E59:INDEX('Arroz irrigado'!$E59:$Z59,MIN(X$6-$E$3,22))),0))-IF($G$2,0,IF((X$6-$G$3)&lt;1,0,IFERROR(LOOKUP(2,1/('Arroz irrigado'!$E59:INDEX('Arroz irrigado'!$E59:$Z59,MIN(X$6-$G$3,22))&lt;&gt;""),'Arroz irrigado'!$E59:INDEX('Arroz irrigado'!$E59:$Z59,MIN(X$6-$G$3,22))),0)))))</f>
        <v>0</v>
      </c>
      <c r="Y61" s="27" t="n">
        <f aca="false">IF(COUNT('Arroz irrigado'!$E59:$Z59)=0,0,MAX(0,IF((Y$6-$E$3)&lt;1,0,IFERROR(LOOKUP(2,1/('Arroz irrigado'!$E59:INDEX('Arroz irrigado'!$E59:$Z59,MIN(Y$6-$E$3,22))&lt;&gt;""),'Arroz irrigado'!$E59:INDEX('Arroz irrigado'!$E59:$Z59,MIN(Y$6-$E$3,22))),0))-IF($G$2,0,IF((Y$6-$G$3)&lt;1,0,IFERROR(LOOKUP(2,1/('Arroz irrigado'!$E59:INDEX('Arroz irrigado'!$E59:$Z59,MIN(Y$6-$G$3,22))&lt;&gt;""),'Arroz irrigado'!$E59:INDEX('Arroz irrigado'!$E59:$Z59,MIN(Y$6-$G$3,22))),0)))))</f>
        <v>0</v>
      </c>
      <c r="Z61" s="27" t="n">
        <f aca="false">IF(COUNT('Arroz irrigado'!$E59:$Z59)=0,0,MAX(0,IF((Z$6-$E$3)&lt;1,0,IFERROR(LOOKUP(2,1/('Arroz irrigado'!$E59:INDEX('Arroz irrigado'!$E59:$Z59,MIN(Z$6-$E$3,22))&lt;&gt;""),'Arroz irrigado'!$E59:INDEX('Arroz irrigado'!$E59:$Z59,MIN(Z$6-$E$3,22))),0))-IF($G$2,0,IF((Z$6-$G$3)&lt;1,0,IFERROR(LOOKUP(2,1/('Arroz irrigado'!$E59:INDEX('Arroz irrigado'!$E59:$Z59,MIN(Z$6-$G$3,22))&lt;&gt;""),'Arroz irrigado'!$E59:INDEX('Arroz irrigado'!$E59:$Z59,MIN(Z$6-$G$3,22))),0)))))</f>
        <v>0</v>
      </c>
      <c r="AA61" s="27" t="n">
        <f aca="false">IF(COUNT('Arroz irrigado'!$E59:$Z59)=0,0,MAX(0,IF((AA$6-$E$3)&lt;1,0,IFERROR(LOOKUP(2,1/('Arroz irrigado'!$E59:INDEX('Arroz irrigado'!$E59:$Z59,MIN(AA$6-$E$3,22))&lt;&gt;""),'Arroz irrigado'!$E59:INDEX('Arroz irrigado'!$E59:$Z59,MIN(AA$6-$E$3,22))),0))-IF($G$2,0,IF((AA$6-$G$3)&lt;1,0,IFERROR(LOOKUP(2,1/('Arroz irrigado'!$E59:INDEX('Arroz irrigado'!$E59:$Z59,MIN(AA$6-$G$3,22))&lt;&gt;""),'Arroz irrigado'!$E59:INDEX('Arroz irrigado'!$E59:$Z59,MIN(AA$6-$G$3,22))),0)))))</f>
        <v>0</v>
      </c>
      <c r="AB61" s="27" t="n">
        <f aca="false">IF(COUNT('Arroz irrigado'!$E59:$Z59)=0,0,MAX(0,IF((AB$6-$E$3)&lt;1,0,IFERROR(LOOKUP(2,1/('Arroz irrigado'!$E59:INDEX('Arroz irrigado'!$E59:$Z59,MIN(AB$6-$E$3,22))&lt;&gt;""),'Arroz irrigado'!$E59:INDEX('Arroz irrigado'!$E59:$Z59,MIN(AB$6-$E$3,22))),0))-IF($G$2,0,IF((AB$6-$G$3)&lt;1,0,IFERROR(LOOKUP(2,1/('Arroz irrigado'!$E59:INDEX('Arroz irrigado'!$E59:$Z59,MIN(AB$6-$G$3,22))&lt;&gt;""),'Arroz irrigado'!$E59:INDEX('Arroz irrigado'!$E59:$Z59,MIN(AB$6-$G$3,22))),0)))))</f>
        <v>0</v>
      </c>
      <c r="AC61" s="27" t="n">
        <f aca="false">IF(COUNT('Arroz irrigado'!$E59:$Z59)=0,0,MAX(0,IF((AC$6-$E$3)&lt;1,0,IFERROR(LOOKUP(2,1/('Arroz irrigado'!$E59:INDEX('Arroz irrigado'!$E59:$Z59,MIN(AC$6-$E$3,22))&lt;&gt;""),'Arroz irrigado'!$E59:INDEX('Arroz irrigado'!$E59:$Z59,MIN(AC$6-$E$3,22))),0))-IF($G$2,0,IF((AC$6-$G$3)&lt;1,0,IFERROR(LOOKUP(2,1/('Arroz irrigado'!$E59:INDEX('Arroz irrigado'!$E59:$Z59,MIN(AC$6-$G$3,22))&lt;&gt;""),'Arroz irrigado'!$E59:INDEX('Arroz irrigado'!$E59:$Z59,MIN(AC$6-$G$3,22))),0)))))</f>
        <v>0</v>
      </c>
      <c r="AD61" s="27" t="n">
        <f aca="false">IF(COUNT('Arroz irrigado'!$E59:$Z59)=0,0,MAX(0,IF((AD$6-$E$3)&lt;1,0,IFERROR(LOOKUP(2,1/('Arroz irrigado'!$E59:INDEX('Arroz irrigado'!$E59:$Z59,MIN(AD$6-$E$3,22))&lt;&gt;""),'Arroz irrigado'!$E59:INDEX('Arroz irrigado'!$E59:$Z59,MIN(AD$6-$E$3,22))),0))-IF($G$2,0,IF((AD$6-$G$3)&lt;1,0,IFERROR(LOOKUP(2,1/('Arroz irrigado'!$E59:INDEX('Arroz irrigado'!$E59:$Z59,MIN(AD$6-$G$3,22))&lt;&gt;""),'Arroz irrigado'!$E59:INDEX('Arroz irrigado'!$E59:$Z59,MIN(AD$6-$G$3,22))),0)))))</f>
        <v>0</v>
      </c>
      <c r="AE61" s="27" t="n">
        <f aca="false">IF(COUNT('Arroz irrigado'!$E59:$Z59)=0,0,MAX(0,IF((AE$6-$E$3)&lt;1,0,IFERROR(LOOKUP(2,1/('Arroz irrigado'!$E59:INDEX('Arroz irrigado'!$E59:$Z59,MIN(AE$6-$E$3,22))&lt;&gt;""),'Arroz irrigado'!$E59:INDEX('Arroz irrigado'!$E59:$Z59,MIN(AE$6-$E$3,22))),0))-IF($G$2,0,IF((AE$6-$G$3)&lt;1,0,IFERROR(LOOKUP(2,1/('Arroz irrigado'!$E59:INDEX('Arroz irrigado'!$E59:$Z59,MIN(AE$6-$G$3,22))&lt;&gt;""),'Arroz irrigado'!$E59:INDEX('Arroz irrigado'!$E59:$Z59,MIN(AE$6-$G$3,22))),0)))))</f>
        <v>0</v>
      </c>
      <c r="AF61" s="27" t="n">
        <f aca="false">IF(COUNT('Arroz irrigado'!$E59:$Z59)=0,0,MAX(0,IF((AF$6-$E$3)&lt;1,0,IFERROR(LOOKUP(2,1/('Arroz irrigado'!$E59:INDEX('Arroz irrigado'!$E59:$Z59,MIN(AF$6-$E$3,22))&lt;&gt;""),'Arroz irrigado'!$E59:INDEX('Arroz irrigado'!$E59:$Z59,MIN(AF$6-$E$3,22))),0))-IF($G$2,0,IF((AF$6-$G$3)&lt;1,0,IFERROR(LOOKUP(2,1/('Arroz irrigado'!$E59:INDEX('Arroz irrigado'!$E59:$Z59,MIN(AF$6-$G$3,22))&lt;&gt;""),'Arroz irrigado'!$E59:INDEX('Arroz irrigado'!$E59:$Z59,MIN(AF$6-$G$3,22))),0)))))</f>
        <v>0</v>
      </c>
      <c r="AG61" s="27" t="n">
        <f aca="false">IF(COUNT('Arroz irrigado'!$E59:$Z59)=0,0,MAX(0,IF((AG$6-$E$3)&lt;1,0,IFERROR(LOOKUP(2,1/('Arroz irrigado'!$E59:INDEX('Arroz irrigado'!$E59:$Z59,MIN(AG$6-$E$3,22))&lt;&gt;""),'Arroz irrigado'!$E59:INDEX('Arroz irrigado'!$E59:$Z59,MIN(AG$6-$E$3,22))),0))-IF($G$2,0,IF((AG$6-$G$3)&lt;1,0,IFERROR(LOOKUP(2,1/('Arroz irrigado'!$E59:INDEX('Arroz irrigado'!$E59:$Z59,MIN(AG$6-$G$3,22))&lt;&gt;""),'Arroz irrigado'!$E59:INDEX('Arroz irrigado'!$E59:$Z59,MIN(AG$6-$G$3,22))),0)))))</f>
        <v>0</v>
      </c>
      <c r="AH61" s="27" t="n">
        <f aca="false">IF(COUNT('Arroz irrigado'!$E59:$Z59)=0,0,MAX(0,IF((AH$6-$E$3)&lt;1,0,IFERROR(LOOKUP(2,1/('Arroz irrigado'!$E59:INDEX('Arroz irrigado'!$E59:$Z59,MIN(AH$6-$E$3,22))&lt;&gt;""),'Arroz irrigado'!$E59:INDEX('Arroz irrigado'!$E59:$Z59,MIN(AH$6-$E$3,22))),0))-IF($G$2,0,IF((AH$6-$G$3)&lt;1,0,IFERROR(LOOKUP(2,1/('Arroz irrigado'!$E59:INDEX('Arroz irrigado'!$E59:$Z59,MIN(AH$6-$G$3,22))&lt;&gt;""),'Arroz irrigado'!$E59:INDEX('Arroz irrigado'!$E59:$Z59,MIN(AH$6-$G$3,22))),0)))))</f>
        <v>0</v>
      </c>
      <c r="AI61" s="27" t="n">
        <f aca="false">IF(COUNT('Arroz irrigado'!$E59:$Z59)=0,0,MAX(0,IF((AI$6-$E$3)&lt;1,0,IFERROR(LOOKUP(2,1/('Arroz irrigado'!$E59:INDEX('Arroz irrigado'!$E59:$Z59,MIN(AI$6-$E$3,22))&lt;&gt;""),'Arroz irrigado'!$E59:INDEX('Arroz irrigado'!$E59:$Z59,MIN(AI$6-$E$3,22))),0))-IF($G$2,0,IF((AI$6-$G$3)&lt;1,0,IFERROR(LOOKUP(2,1/('Arroz irrigado'!$E59:INDEX('Arroz irrigado'!$E59:$Z59,MIN(AI$6-$G$3,22))&lt;&gt;""),'Arroz irrigado'!$E59:INDEX('Arroz irrigado'!$E59:$Z59,MIN(AI$6-$G$3,22))),0)))))</f>
        <v>0</v>
      </c>
      <c r="AJ61" s="27" t="n">
        <f aca="false">IF(COUNT('Arroz irrigado'!$E59:$Z59)=0,0,MAX(0,IF((AJ$6-$E$3)&lt;1,0,IFERROR(LOOKUP(2,1/('Arroz irrigado'!$E59:INDEX('Arroz irrigado'!$E59:$Z59,MIN(AJ$6-$E$3,22))&lt;&gt;""),'Arroz irrigado'!$E59:INDEX('Arroz irrigado'!$E59:$Z59,MIN(AJ$6-$E$3,22))),0))-IF($G$2,0,IF((AJ$6-$G$3)&lt;1,0,IFERROR(LOOKUP(2,1/('Arroz irrigado'!$E59:INDEX('Arroz irrigado'!$E59:$Z59,MIN(AJ$6-$G$3,22))&lt;&gt;""),'Arroz irrigado'!$E59:INDEX('Arroz irrigado'!$E59:$Z59,MIN(AJ$6-$G$3,22))),0)))))</f>
        <v>0</v>
      </c>
      <c r="AK61" s="27" t="n">
        <f aca="false">IF(COUNT('Arroz irrigado'!$E59:$Z59)=0,0,MAX(0,IF((AK$6-$E$3)&lt;1,0,IFERROR(LOOKUP(2,1/('Arroz irrigado'!$E59:INDEX('Arroz irrigado'!$E59:$Z59,MIN(AK$6-$E$3,22))&lt;&gt;""),'Arroz irrigado'!$E59:INDEX('Arroz irrigado'!$E59:$Z59,MIN(AK$6-$E$3,22))),0))-IF($G$2,0,IF((AK$6-$G$3)&lt;1,0,IFERROR(LOOKUP(2,1/('Arroz irrigado'!$E59:INDEX('Arroz irrigado'!$E59:$Z59,MIN(AK$6-$G$3,22))&lt;&gt;""),'Arroz irrigado'!$E59:INDEX('Arroz irrigado'!$E59:$Z59,MIN(AK$6-$G$3,22))),0)))))</f>
        <v>0</v>
      </c>
      <c r="AL61" s="27" t="n">
        <f aca="false">IF(COUNT('Arroz irrigado'!$E59:$Z59)=0,0,MAX(0,IF((AL$6-$E$3)&lt;1,0,IFERROR(LOOKUP(2,1/('Arroz irrigado'!$E59:INDEX('Arroz irrigado'!$E59:$Z59,MIN(AL$6-$E$3,22))&lt;&gt;""),'Arroz irrigado'!$E59:INDEX('Arroz irrigado'!$E59:$Z59,MIN(AL$6-$E$3,22))),0))-IF($G$2,0,IF((AL$6-$G$3)&lt;1,0,IFERROR(LOOKUP(2,1/('Arroz irrigado'!$E59:INDEX('Arroz irrigado'!$E59:$Z59,MIN(AL$6-$G$3,22))&lt;&gt;""),'Arroz irrigado'!$E59:INDEX('Arroz irrigado'!$E59:$Z59,MIN(AL$6-$G$3,22))),0)))))</f>
        <v>0</v>
      </c>
      <c r="AM61" s="27" t="n">
        <f aca="false">IF(COUNT('Arroz irrigado'!$E59:$Z59)=0,0,MAX(0,IF((AM$6-$E$3)&lt;1,0,IFERROR(LOOKUP(2,1/('Arroz irrigado'!$E59:INDEX('Arroz irrigado'!$E59:$Z59,MIN(AM$6-$E$3,22))&lt;&gt;""),'Arroz irrigado'!$E59:INDEX('Arroz irrigado'!$E59:$Z59,MIN(AM$6-$E$3,22))),0))-IF($G$2,0,IF((AM$6-$G$3)&lt;1,0,IFERROR(LOOKUP(2,1/('Arroz irrigado'!$E59:INDEX('Arroz irrigado'!$E59:$Z59,MIN(AM$6-$G$3,22))&lt;&gt;""),'Arroz irrigado'!$E59:INDEX('Arroz irrigado'!$E59:$Z59,MIN(AM$6-$G$3,22))),0)))))</f>
        <v>0</v>
      </c>
      <c r="AN61" s="27" t="n">
        <f aca="false">IF(COUNT('Arroz irrigado'!$E59:$Z59)=0,0,MAX(0,IF((AN$6-$E$3)&lt;1,0,IFERROR(LOOKUP(2,1/('Arroz irrigado'!$E59:INDEX('Arroz irrigado'!$E59:$Z59,MIN(AN$6-$E$3,22))&lt;&gt;""),'Arroz irrigado'!$E59:INDEX('Arroz irrigado'!$E59:$Z59,MIN(AN$6-$E$3,22))),0))-IF($G$2,0,IF((AN$6-$G$3)&lt;1,0,IFERROR(LOOKUP(2,1/('Arroz irrigado'!$E59:INDEX('Arroz irrigado'!$E59:$Z59,MIN(AN$6-$G$3,22))&lt;&gt;""),'Arroz irrigado'!$E59:INDEX('Arroz irrigado'!$E59:$Z59,MIN(AN$6-$G$3,22))),0)))))</f>
        <v>0</v>
      </c>
      <c r="AO61" s="27" t="n">
        <f aca="false">IF(COUNT('Arroz irrigado'!$E59:$Z59)=0,0,MAX(0,IF((AO$6-$E$3)&lt;1,0,IFERROR(LOOKUP(2,1/('Arroz irrigado'!$E59:INDEX('Arroz irrigado'!$E59:$Z59,MIN(AO$6-$E$3,22))&lt;&gt;""),'Arroz irrigado'!$E59:INDEX('Arroz irrigado'!$E59:$Z59,MIN(AO$6-$E$3,22))),0))-IF($G$2,0,IF((AO$6-$G$3)&lt;1,0,IFERROR(LOOKUP(2,1/('Arroz irrigado'!$E59:INDEX('Arroz irrigado'!$E59:$Z59,MIN(AO$6-$G$3,22))&lt;&gt;""),'Arroz irrigado'!$E59:INDEX('Arroz irrigado'!$E59:$Z59,MIN(AO$6-$G$3,22))),0)))))</f>
        <v>0</v>
      </c>
      <c r="AP61" s="27" t="n">
        <f aca="false">IF(COUNT('Arroz irrigado'!$E59:$Z59)=0,0,MAX(0,IF((AP$6-$E$3)&lt;1,0,IFERROR(LOOKUP(2,1/('Arroz irrigado'!$E59:INDEX('Arroz irrigado'!$E59:$Z59,MIN(AP$6-$E$3,22))&lt;&gt;""),'Arroz irrigado'!$E59:INDEX('Arroz irrigado'!$E59:$Z59,MIN(AP$6-$E$3,22))),0))-IF($G$2,0,IF((AP$6-$G$3)&lt;1,0,IFERROR(LOOKUP(2,1/('Arroz irrigado'!$E59:INDEX('Arroz irrigado'!$E59:$Z59,MIN(AP$6-$G$3,22))&lt;&gt;""),'Arroz irrigado'!$E59:INDEX('Arroz irrigado'!$E59:$Z59,MIN(AP$6-$G$3,22))),0)))))</f>
        <v>0</v>
      </c>
      <c r="AQ61" s="27" t="n">
        <f aca="false">IF(COUNT('Arroz irrigado'!$E59:$Z59)=0,0,MAX(0,IF((AQ$6-$E$3)&lt;1,0,IFERROR(LOOKUP(2,1/('Arroz irrigado'!$E59:INDEX('Arroz irrigado'!$E59:$Z59,MIN(AQ$6-$E$3,22))&lt;&gt;""),'Arroz irrigado'!$E59:INDEX('Arroz irrigado'!$E59:$Z59,MIN(AQ$6-$E$3,22))),0))-IF($G$2,0,IF((AQ$6-$G$3)&lt;1,0,IFERROR(LOOKUP(2,1/('Arroz irrigado'!$E59:INDEX('Arroz irrigado'!$E59:$Z59,MIN(AQ$6-$G$3,22))&lt;&gt;""),'Arroz irrigado'!$E59:INDEX('Arroz irrigado'!$E59:$Z59,MIN(AQ$6-$G$3,22))),0)))))</f>
        <v>0</v>
      </c>
      <c r="AR61" s="27" t="n">
        <f aca="false">IF(COUNT('Arroz irrigado'!$E59:$Z59)=0,0,MAX(0,IF((AR$6-$E$3)&lt;1,0,IFERROR(LOOKUP(2,1/('Arroz irrigado'!$E59:INDEX('Arroz irrigado'!$E59:$Z59,MIN(AR$6-$E$3,22))&lt;&gt;""),'Arroz irrigado'!$E59:INDEX('Arroz irrigado'!$E59:$Z59,MIN(AR$6-$E$3,22))),0))-IF($G$2,0,IF((AR$6-$G$3)&lt;1,0,IFERROR(LOOKUP(2,1/('Arroz irrigado'!$E59:INDEX('Arroz irrigado'!$E59:$Z59,MIN(AR$6-$G$3,22))&lt;&gt;""),'Arroz irrigado'!$E59:INDEX('Arroz irrigado'!$E59:$Z59,MIN(AR$6-$G$3,22))),0)))))</f>
        <v>0</v>
      </c>
      <c r="AS61" s="27" t="n">
        <f aca="false">IF(COUNT('Arroz irrigado'!$E59:$Z59)=0,0,MAX(0,IF((AS$6-$E$3)&lt;1,0,IFERROR(LOOKUP(2,1/('Arroz irrigado'!$E59:INDEX('Arroz irrigado'!$E59:$Z59,MIN(AS$6-$E$3,22))&lt;&gt;""),'Arroz irrigado'!$E59:INDEX('Arroz irrigado'!$E59:$Z59,MIN(AS$6-$E$3,22))),0))-IF($G$2,0,IF((AS$6-$G$3)&lt;1,0,IFERROR(LOOKUP(2,1/('Arroz irrigado'!$E59:INDEX('Arroz irrigado'!$E59:$Z59,MIN(AS$6-$G$3,22))&lt;&gt;""),'Arroz irrigado'!$E59:INDEX('Arroz irrigado'!$E59:$Z59,MIN(AS$6-$G$3,22))),0)))))</f>
        <v>0</v>
      </c>
      <c r="AT61" s="27" t="n">
        <f aca="false">IF(COUNT('Arroz irrigado'!$E59:$Z59)=0,0,MAX(0,IF((AT$6-$E$3)&lt;1,0,IFERROR(LOOKUP(2,1/('Arroz irrigado'!$E59:INDEX('Arroz irrigado'!$E59:$Z59,MIN(AT$6-$E$3,22))&lt;&gt;""),'Arroz irrigado'!$E59:INDEX('Arroz irrigado'!$E59:$Z59,MIN(AT$6-$E$3,22))),0))-IF($G$2,0,IF((AT$6-$G$3)&lt;1,0,IFERROR(LOOKUP(2,1/('Arroz irrigado'!$E59:INDEX('Arroz irrigado'!$E59:$Z59,MIN(AT$6-$G$3,22))&lt;&gt;""),'Arroz irrigado'!$E59:INDEX('Arroz irrigado'!$E59:$Z59,MIN(AT$6-$G$3,22))),0)))))</f>
        <v>0</v>
      </c>
      <c r="AU61" s="27" t="n">
        <f aca="false">IF(COUNT('Arroz irrigado'!$E59:$Z59)=0,0,MAX(0,IF((AU$6-$E$3)&lt;1,0,IFERROR(LOOKUP(2,1/('Arroz irrigado'!$E59:INDEX('Arroz irrigado'!$E59:$Z59,MIN(AU$6-$E$3,22))&lt;&gt;""),'Arroz irrigado'!$E59:INDEX('Arroz irrigado'!$E59:$Z59,MIN(AU$6-$E$3,22))),0))-IF($G$2,0,IF((AU$6-$G$3)&lt;1,0,IFERROR(LOOKUP(2,1/('Arroz irrigado'!$E59:INDEX('Arroz irrigado'!$E59:$Z59,MIN(AU$6-$G$3,22))&lt;&gt;""),'Arroz irrigado'!$E59:INDEX('Arroz irrigado'!$E59:$Z59,MIN(AU$6-$G$3,22))),0)))))</f>
        <v>0</v>
      </c>
      <c r="AV61" s="27" t="n">
        <f aca="false">IF(COUNT('Arroz irrigado'!$E59:$Z59)=0,0,MAX(0,IF((AV$6-$E$3)&lt;1,0,IFERROR(LOOKUP(2,1/('Arroz irrigado'!$E59:INDEX('Arroz irrigado'!$E59:$Z59,MIN(AV$6-$E$3,22))&lt;&gt;""),'Arroz irrigado'!$E59:INDEX('Arroz irrigado'!$E59:$Z59,MIN(AV$6-$E$3,22))),0))-IF($G$2,0,IF((AV$6-$G$3)&lt;1,0,IFERROR(LOOKUP(2,1/('Arroz irrigado'!$E59:INDEX('Arroz irrigado'!$E59:$Z59,MIN(AV$6-$G$3,22))&lt;&gt;""),'Arroz irrigado'!$E59:INDEX('Arroz irrigado'!$E59:$Z59,MIN(AV$6-$G$3,22))),0)))))</f>
        <v>0</v>
      </c>
      <c r="AW61" s="27" t="n">
        <f aca="false">IF(COUNT('Arroz irrigado'!$E59:$Z59)=0,0,MAX(0,IF((AW$6-$E$3)&lt;1,0,IFERROR(LOOKUP(2,1/('Arroz irrigado'!$E59:INDEX('Arroz irrigado'!$E59:$Z59,MIN(AW$6-$E$3,22))&lt;&gt;""),'Arroz irrigado'!$E59:INDEX('Arroz irrigado'!$E59:$Z59,MIN(AW$6-$E$3,22))),0))-IF($G$2,0,IF((AW$6-$G$3)&lt;1,0,IFERROR(LOOKUP(2,1/('Arroz irrigado'!$E59:INDEX('Arroz irrigado'!$E59:$Z59,MIN(AW$6-$G$3,22))&lt;&gt;""),'Arroz irrigado'!$E59:INDEX('Arroz irrigado'!$E59:$Z59,MIN(AW$6-$G$3,22))),0)))))</f>
        <v>0</v>
      </c>
      <c r="AX61" s="27" t="n">
        <f aca="false">IF(COUNT('Arroz irrigado'!$E59:$Z59)=0,0,MAX(0,IF((AX$6-$E$3)&lt;1,0,IFERROR(LOOKUP(2,1/('Arroz irrigado'!$E59:INDEX('Arroz irrigado'!$E59:$Z59,MIN(AX$6-$E$3,22))&lt;&gt;""),'Arroz irrigado'!$E59:INDEX('Arroz irrigado'!$E59:$Z59,MIN(AX$6-$E$3,22))),0))-IF($G$2,0,IF((AX$6-$G$3)&lt;1,0,IFERROR(LOOKUP(2,1/('Arroz irrigado'!$E59:INDEX('Arroz irrigado'!$E59:$Z59,MIN(AX$6-$G$3,22))&lt;&gt;""),'Arroz irrigado'!$E59:INDEX('Arroz irrigado'!$E59:$Z59,MIN(AX$6-$G$3,22))),0)))))</f>
        <v>0</v>
      </c>
      <c r="AY61" s="27" t="n">
        <f aca="false">IF(COUNT('Arroz irrigado'!$E59:$Z59)=0,0,MAX(0,IF((AY$6-$E$3)&lt;1,0,IFERROR(LOOKUP(2,1/('Arroz irrigado'!$E59:INDEX('Arroz irrigado'!$E59:$Z59,MIN(AY$6-$E$3,22))&lt;&gt;""),'Arroz irrigado'!$E59:INDEX('Arroz irrigado'!$E59:$Z59,MIN(AY$6-$E$3,22))),0))-IF($G$2,0,IF((AY$6-$G$3)&lt;1,0,IFERROR(LOOKUP(2,1/('Arroz irrigado'!$E59:INDEX('Arroz irrigado'!$E59:$Z59,MIN(AY$6-$G$3,22))&lt;&gt;""),'Arroz irrigado'!$E59:INDEX('Arroz irrigado'!$E59:$Z59,MIN(AY$6-$G$3,22))),0)))))</f>
        <v>0</v>
      </c>
      <c r="AZ61" s="27" t="n">
        <f aca="false">IF(COUNT('Arroz irrigado'!$E59:$Z59)=0,0,MAX(0,IF((AZ$6-$E$3)&lt;1,0,IFERROR(LOOKUP(2,1/('Arroz irrigado'!$E59:INDEX('Arroz irrigado'!$E59:$Z59,MIN(AZ$6-$E$3,22))&lt;&gt;""),'Arroz irrigado'!$E59:INDEX('Arroz irrigado'!$E59:$Z59,MIN(AZ$6-$E$3,22))),0))-IF($G$2,0,IF((AZ$6-$G$3)&lt;1,0,IFERROR(LOOKUP(2,1/('Arroz irrigado'!$E59:INDEX('Arroz irrigado'!$E59:$Z59,MIN(AZ$6-$G$3,22))&lt;&gt;""),'Arroz irrigado'!$E59:INDEX('Arroz irrigado'!$E59:$Z59,MIN(AZ$6-$G$3,22))),0)))))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IF(COUNT('Arroz irrigado'!$E60:$Z60)&gt;0,N('Arroz irrigado'!$D60),0)</f>
        <v>0</v>
      </c>
      <c r="E62" s="27" t="n">
        <f aca="false">IF(COUNT('Arroz irrigado'!$E60:$Z60)=0,0,MAX(0,IF((E$6-$E$3)&lt;1,0,IFERROR(LOOKUP(2,1/('Arroz irrigado'!$E60:INDEX('Arroz irrigado'!$E60:$Z60,MIN(E$6-$E$3,22))&lt;&gt;""),'Arroz irrigado'!$E60:INDEX('Arroz irrigado'!$E60:$Z60,MIN(E$6-$E$3,22))),0))-IF($G$2,0,IF((E$6-$G$3)&lt;1,0,IFERROR(LOOKUP(2,1/('Arroz irrigado'!$E60:INDEX('Arroz irrigado'!$E60:$Z60,MIN(E$6-$G$3,22))&lt;&gt;""),'Arroz irrigado'!$E60:INDEX('Arroz irrigado'!$E60:$Z60,MIN(E$6-$G$3,22))),0)))))</f>
        <v>0</v>
      </c>
      <c r="F62" s="27" t="n">
        <f aca="false">IF(COUNT('Arroz irrigado'!$E60:$Z60)=0,0,MAX(0,IF((F$6-$E$3)&lt;1,0,IFERROR(LOOKUP(2,1/('Arroz irrigado'!$E60:INDEX('Arroz irrigado'!$E60:$Z60,MIN(F$6-$E$3,22))&lt;&gt;""),'Arroz irrigado'!$E60:INDEX('Arroz irrigado'!$E60:$Z60,MIN(F$6-$E$3,22))),0))-IF($G$2,0,IF((F$6-$G$3)&lt;1,0,IFERROR(LOOKUP(2,1/('Arroz irrigado'!$E60:INDEX('Arroz irrigado'!$E60:$Z60,MIN(F$6-$G$3,22))&lt;&gt;""),'Arroz irrigado'!$E60:INDEX('Arroz irrigado'!$E60:$Z60,MIN(F$6-$G$3,22))),0)))))</f>
        <v>0</v>
      </c>
      <c r="G62" s="27" t="n">
        <f aca="false">IF(COUNT('Arroz irrigado'!$E60:$Z60)=0,0,MAX(0,IF((G$6-$E$3)&lt;1,0,IFERROR(LOOKUP(2,1/('Arroz irrigado'!$E60:INDEX('Arroz irrigado'!$E60:$Z60,MIN(G$6-$E$3,22))&lt;&gt;""),'Arroz irrigado'!$E60:INDEX('Arroz irrigado'!$E60:$Z60,MIN(G$6-$E$3,22))),0))-IF($G$2,0,IF((G$6-$G$3)&lt;1,0,IFERROR(LOOKUP(2,1/('Arroz irrigado'!$E60:INDEX('Arroz irrigado'!$E60:$Z60,MIN(G$6-$G$3,22))&lt;&gt;""),'Arroz irrigado'!$E60:INDEX('Arroz irrigado'!$E60:$Z60,MIN(G$6-$G$3,22))),0)))))</f>
        <v>0</v>
      </c>
      <c r="H62" s="27" t="n">
        <f aca="false">IF(COUNT('Arroz irrigado'!$E60:$Z60)=0,0,MAX(0,IF((H$6-$E$3)&lt;1,0,IFERROR(LOOKUP(2,1/('Arroz irrigado'!$E60:INDEX('Arroz irrigado'!$E60:$Z60,MIN(H$6-$E$3,22))&lt;&gt;""),'Arroz irrigado'!$E60:INDEX('Arroz irrigado'!$E60:$Z60,MIN(H$6-$E$3,22))),0))-IF($G$2,0,IF((H$6-$G$3)&lt;1,0,IFERROR(LOOKUP(2,1/('Arroz irrigado'!$E60:INDEX('Arroz irrigado'!$E60:$Z60,MIN(H$6-$G$3,22))&lt;&gt;""),'Arroz irrigado'!$E60:INDEX('Arroz irrigado'!$E60:$Z60,MIN(H$6-$G$3,22))),0)))))</f>
        <v>0</v>
      </c>
      <c r="I62" s="27" t="n">
        <f aca="false">IF(COUNT('Arroz irrigado'!$E60:$Z60)=0,0,MAX(0,IF((I$6-$E$3)&lt;1,0,IFERROR(LOOKUP(2,1/('Arroz irrigado'!$E60:INDEX('Arroz irrigado'!$E60:$Z60,MIN(I$6-$E$3,22))&lt;&gt;""),'Arroz irrigado'!$E60:INDEX('Arroz irrigado'!$E60:$Z60,MIN(I$6-$E$3,22))),0))-IF($G$2,0,IF((I$6-$G$3)&lt;1,0,IFERROR(LOOKUP(2,1/('Arroz irrigado'!$E60:INDEX('Arroz irrigado'!$E60:$Z60,MIN(I$6-$G$3,22))&lt;&gt;""),'Arroz irrigado'!$E60:INDEX('Arroz irrigado'!$E60:$Z60,MIN(I$6-$G$3,22))),0)))))</f>
        <v>0</v>
      </c>
      <c r="J62" s="27" t="n">
        <f aca="false">IF(COUNT('Arroz irrigado'!$E60:$Z60)=0,0,MAX(0,IF((J$6-$E$3)&lt;1,0,IFERROR(LOOKUP(2,1/('Arroz irrigado'!$E60:INDEX('Arroz irrigado'!$E60:$Z60,MIN(J$6-$E$3,22))&lt;&gt;""),'Arroz irrigado'!$E60:INDEX('Arroz irrigado'!$E60:$Z60,MIN(J$6-$E$3,22))),0))-IF($G$2,0,IF((J$6-$G$3)&lt;1,0,IFERROR(LOOKUP(2,1/('Arroz irrigado'!$E60:INDEX('Arroz irrigado'!$E60:$Z60,MIN(J$6-$G$3,22))&lt;&gt;""),'Arroz irrigado'!$E60:INDEX('Arroz irrigado'!$E60:$Z60,MIN(J$6-$G$3,22))),0)))))</f>
        <v>0</v>
      </c>
      <c r="K62" s="27" t="n">
        <f aca="false">IF(COUNT('Arroz irrigado'!$E60:$Z60)=0,0,MAX(0,IF((K$6-$E$3)&lt;1,0,IFERROR(LOOKUP(2,1/('Arroz irrigado'!$E60:INDEX('Arroz irrigado'!$E60:$Z60,MIN(K$6-$E$3,22))&lt;&gt;""),'Arroz irrigado'!$E60:INDEX('Arroz irrigado'!$E60:$Z60,MIN(K$6-$E$3,22))),0))-IF($G$2,0,IF((K$6-$G$3)&lt;1,0,IFERROR(LOOKUP(2,1/('Arroz irrigado'!$E60:INDEX('Arroz irrigado'!$E60:$Z60,MIN(K$6-$G$3,22))&lt;&gt;""),'Arroz irrigado'!$E60:INDEX('Arroz irrigado'!$E60:$Z60,MIN(K$6-$G$3,22))),0)))))</f>
        <v>0</v>
      </c>
      <c r="L62" s="27" t="n">
        <f aca="false">IF(COUNT('Arroz irrigado'!$E60:$Z60)=0,0,MAX(0,IF((L$6-$E$3)&lt;1,0,IFERROR(LOOKUP(2,1/('Arroz irrigado'!$E60:INDEX('Arroz irrigado'!$E60:$Z60,MIN(L$6-$E$3,22))&lt;&gt;""),'Arroz irrigado'!$E60:INDEX('Arroz irrigado'!$E60:$Z60,MIN(L$6-$E$3,22))),0))-IF($G$2,0,IF((L$6-$G$3)&lt;1,0,IFERROR(LOOKUP(2,1/('Arroz irrigado'!$E60:INDEX('Arroz irrigado'!$E60:$Z60,MIN(L$6-$G$3,22))&lt;&gt;""),'Arroz irrigado'!$E60:INDEX('Arroz irrigado'!$E60:$Z60,MIN(L$6-$G$3,22))),0)))))</f>
        <v>0</v>
      </c>
      <c r="M62" s="27" t="n">
        <f aca="false">IF(COUNT('Arroz irrigado'!$E60:$Z60)=0,0,MAX(0,IF((M$6-$E$3)&lt;1,0,IFERROR(LOOKUP(2,1/('Arroz irrigado'!$E60:INDEX('Arroz irrigado'!$E60:$Z60,MIN(M$6-$E$3,22))&lt;&gt;""),'Arroz irrigado'!$E60:INDEX('Arroz irrigado'!$E60:$Z60,MIN(M$6-$E$3,22))),0))-IF($G$2,0,IF((M$6-$G$3)&lt;1,0,IFERROR(LOOKUP(2,1/('Arroz irrigado'!$E60:INDEX('Arroz irrigado'!$E60:$Z60,MIN(M$6-$G$3,22))&lt;&gt;""),'Arroz irrigado'!$E60:INDEX('Arroz irrigado'!$E60:$Z60,MIN(M$6-$G$3,22))),0)))))</f>
        <v>0</v>
      </c>
      <c r="N62" s="27" t="n">
        <f aca="false">IF(COUNT('Arroz irrigado'!$E60:$Z60)=0,0,MAX(0,IF((N$6-$E$3)&lt;1,0,IFERROR(LOOKUP(2,1/('Arroz irrigado'!$E60:INDEX('Arroz irrigado'!$E60:$Z60,MIN(N$6-$E$3,22))&lt;&gt;""),'Arroz irrigado'!$E60:INDEX('Arroz irrigado'!$E60:$Z60,MIN(N$6-$E$3,22))),0))-IF($G$2,0,IF((N$6-$G$3)&lt;1,0,IFERROR(LOOKUP(2,1/('Arroz irrigado'!$E60:INDEX('Arroz irrigado'!$E60:$Z60,MIN(N$6-$G$3,22))&lt;&gt;""),'Arroz irrigado'!$E60:INDEX('Arroz irrigado'!$E60:$Z60,MIN(N$6-$G$3,22))),0)))))</f>
        <v>0</v>
      </c>
      <c r="O62" s="27" t="n">
        <f aca="false">IF(COUNT('Arroz irrigado'!$E60:$Z60)=0,0,MAX(0,IF((O$6-$E$3)&lt;1,0,IFERROR(LOOKUP(2,1/('Arroz irrigado'!$E60:INDEX('Arroz irrigado'!$E60:$Z60,MIN(O$6-$E$3,22))&lt;&gt;""),'Arroz irrigado'!$E60:INDEX('Arroz irrigado'!$E60:$Z60,MIN(O$6-$E$3,22))),0))-IF($G$2,0,IF((O$6-$G$3)&lt;1,0,IFERROR(LOOKUP(2,1/('Arroz irrigado'!$E60:INDEX('Arroz irrigado'!$E60:$Z60,MIN(O$6-$G$3,22))&lt;&gt;""),'Arroz irrigado'!$E60:INDEX('Arroz irrigado'!$E60:$Z60,MIN(O$6-$G$3,22))),0)))))</f>
        <v>0</v>
      </c>
      <c r="P62" s="27" t="n">
        <f aca="false">IF(COUNT('Arroz irrigado'!$E60:$Z60)=0,0,MAX(0,IF((P$6-$E$3)&lt;1,0,IFERROR(LOOKUP(2,1/('Arroz irrigado'!$E60:INDEX('Arroz irrigado'!$E60:$Z60,MIN(P$6-$E$3,22))&lt;&gt;""),'Arroz irrigado'!$E60:INDEX('Arroz irrigado'!$E60:$Z60,MIN(P$6-$E$3,22))),0))-IF($G$2,0,IF((P$6-$G$3)&lt;1,0,IFERROR(LOOKUP(2,1/('Arroz irrigado'!$E60:INDEX('Arroz irrigado'!$E60:$Z60,MIN(P$6-$G$3,22))&lt;&gt;""),'Arroz irrigado'!$E60:INDEX('Arroz irrigado'!$E60:$Z60,MIN(P$6-$G$3,22))),0)))))</f>
        <v>0</v>
      </c>
      <c r="Q62" s="27" t="n">
        <f aca="false">IF(COUNT('Arroz irrigado'!$E60:$Z60)=0,0,MAX(0,IF((Q$6-$E$3)&lt;1,0,IFERROR(LOOKUP(2,1/('Arroz irrigado'!$E60:INDEX('Arroz irrigado'!$E60:$Z60,MIN(Q$6-$E$3,22))&lt;&gt;""),'Arroz irrigado'!$E60:INDEX('Arroz irrigado'!$E60:$Z60,MIN(Q$6-$E$3,22))),0))-IF($G$2,0,IF((Q$6-$G$3)&lt;1,0,IFERROR(LOOKUP(2,1/('Arroz irrigado'!$E60:INDEX('Arroz irrigado'!$E60:$Z60,MIN(Q$6-$G$3,22))&lt;&gt;""),'Arroz irrigado'!$E60:INDEX('Arroz irrigado'!$E60:$Z60,MIN(Q$6-$G$3,22))),0)))))</f>
        <v>0</v>
      </c>
      <c r="R62" s="27" t="n">
        <f aca="false">IF(COUNT('Arroz irrigado'!$E60:$Z60)=0,0,MAX(0,IF((R$6-$E$3)&lt;1,0,IFERROR(LOOKUP(2,1/('Arroz irrigado'!$E60:INDEX('Arroz irrigado'!$E60:$Z60,MIN(R$6-$E$3,22))&lt;&gt;""),'Arroz irrigado'!$E60:INDEX('Arroz irrigado'!$E60:$Z60,MIN(R$6-$E$3,22))),0))-IF($G$2,0,IF((R$6-$G$3)&lt;1,0,IFERROR(LOOKUP(2,1/('Arroz irrigado'!$E60:INDEX('Arroz irrigado'!$E60:$Z60,MIN(R$6-$G$3,22))&lt;&gt;""),'Arroz irrigado'!$E60:INDEX('Arroz irrigado'!$E60:$Z60,MIN(R$6-$G$3,22))),0)))))</f>
        <v>0</v>
      </c>
      <c r="S62" s="27" t="n">
        <f aca="false">IF(COUNT('Arroz irrigado'!$E60:$Z60)=0,0,MAX(0,IF((S$6-$E$3)&lt;1,0,IFERROR(LOOKUP(2,1/('Arroz irrigado'!$E60:INDEX('Arroz irrigado'!$E60:$Z60,MIN(S$6-$E$3,22))&lt;&gt;""),'Arroz irrigado'!$E60:INDEX('Arroz irrigado'!$E60:$Z60,MIN(S$6-$E$3,22))),0))-IF($G$2,0,IF((S$6-$G$3)&lt;1,0,IFERROR(LOOKUP(2,1/('Arroz irrigado'!$E60:INDEX('Arroz irrigado'!$E60:$Z60,MIN(S$6-$G$3,22))&lt;&gt;""),'Arroz irrigado'!$E60:INDEX('Arroz irrigado'!$E60:$Z60,MIN(S$6-$G$3,22))),0)))))</f>
        <v>0</v>
      </c>
      <c r="T62" s="27" t="n">
        <f aca="false">IF(COUNT('Arroz irrigado'!$E60:$Z60)=0,0,MAX(0,IF((T$6-$E$3)&lt;1,0,IFERROR(LOOKUP(2,1/('Arroz irrigado'!$E60:INDEX('Arroz irrigado'!$E60:$Z60,MIN(T$6-$E$3,22))&lt;&gt;""),'Arroz irrigado'!$E60:INDEX('Arroz irrigado'!$E60:$Z60,MIN(T$6-$E$3,22))),0))-IF($G$2,0,IF((T$6-$G$3)&lt;1,0,IFERROR(LOOKUP(2,1/('Arroz irrigado'!$E60:INDEX('Arroz irrigado'!$E60:$Z60,MIN(T$6-$G$3,22))&lt;&gt;""),'Arroz irrigado'!$E60:INDEX('Arroz irrigado'!$E60:$Z60,MIN(T$6-$G$3,22))),0)))))</f>
        <v>0</v>
      </c>
      <c r="U62" s="27" t="n">
        <f aca="false">IF(COUNT('Arroz irrigado'!$E60:$Z60)=0,0,MAX(0,IF((U$6-$E$3)&lt;1,0,IFERROR(LOOKUP(2,1/('Arroz irrigado'!$E60:INDEX('Arroz irrigado'!$E60:$Z60,MIN(U$6-$E$3,22))&lt;&gt;""),'Arroz irrigado'!$E60:INDEX('Arroz irrigado'!$E60:$Z60,MIN(U$6-$E$3,22))),0))-IF($G$2,0,IF((U$6-$G$3)&lt;1,0,IFERROR(LOOKUP(2,1/('Arroz irrigado'!$E60:INDEX('Arroz irrigado'!$E60:$Z60,MIN(U$6-$G$3,22))&lt;&gt;""),'Arroz irrigado'!$E60:INDEX('Arroz irrigado'!$E60:$Z60,MIN(U$6-$G$3,22))),0)))))</f>
        <v>0</v>
      </c>
      <c r="V62" s="27" t="n">
        <f aca="false">IF(COUNT('Arroz irrigado'!$E60:$Z60)=0,0,MAX(0,IF((V$6-$E$3)&lt;1,0,IFERROR(LOOKUP(2,1/('Arroz irrigado'!$E60:INDEX('Arroz irrigado'!$E60:$Z60,MIN(V$6-$E$3,22))&lt;&gt;""),'Arroz irrigado'!$E60:INDEX('Arroz irrigado'!$E60:$Z60,MIN(V$6-$E$3,22))),0))-IF($G$2,0,IF((V$6-$G$3)&lt;1,0,IFERROR(LOOKUP(2,1/('Arroz irrigado'!$E60:INDEX('Arroz irrigado'!$E60:$Z60,MIN(V$6-$G$3,22))&lt;&gt;""),'Arroz irrigado'!$E60:INDEX('Arroz irrigado'!$E60:$Z60,MIN(V$6-$G$3,22))),0)))))</f>
        <v>0</v>
      </c>
      <c r="W62" s="27" t="n">
        <f aca="false">IF(COUNT('Arroz irrigado'!$E60:$Z60)=0,0,MAX(0,IF((W$6-$E$3)&lt;1,0,IFERROR(LOOKUP(2,1/('Arroz irrigado'!$E60:INDEX('Arroz irrigado'!$E60:$Z60,MIN(W$6-$E$3,22))&lt;&gt;""),'Arroz irrigado'!$E60:INDEX('Arroz irrigado'!$E60:$Z60,MIN(W$6-$E$3,22))),0))-IF($G$2,0,IF((W$6-$G$3)&lt;1,0,IFERROR(LOOKUP(2,1/('Arroz irrigado'!$E60:INDEX('Arroz irrigado'!$E60:$Z60,MIN(W$6-$G$3,22))&lt;&gt;""),'Arroz irrigado'!$E60:INDEX('Arroz irrigado'!$E60:$Z60,MIN(W$6-$G$3,22))),0)))))</f>
        <v>0</v>
      </c>
      <c r="X62" s="27" t="n">
        <f aca="false">IF(COUNT('Arroz irrigado'!$E60:$Z60)=0,0,MAX(0,IF((X$6-$E$3)&lt;1,0,IFERROR(LOOKUP(2,1/('Arroz irrigado'!$E60:INDEX('Arroz irrigado'!$E60:$Z60,MIN(X$6-$E$3,22))&lt;&gt;""),'Arroz irrigado'!$E60:INDEX('Arroz irrigado'!$E60:$Z60,MIN(X$6-$E$3,22))),0))-IF($G$2,0,IF((X$6-$G$3)&lt;1,0,IFERROR(LOOKUP(2,1/('Arroz irrigado'!$E60:INDEX('Arroz irrigado'!$E60:$Z60,MIN(X$6-$G$3,22))&lt;&gt;""),'Arroz irrigado'!$E60:INDEX('Arroz irrigado'!$E60:$Z60,MIN(X$6-$G$3,22))),0)))))</f>
        <v>0</v>
      </c>
      <c r="Y62" s="27" t="n">
        <f aca="false">IF(COUNT('Arroz irrigado'!$E60:$Z60)=0,0,MAX(0,IF((Y$6-$E$3)&lt;1,0,IFERROR(LOOKUP(2,1/('Arroz irrigado'!$E60:INDEX('Arroz irrigado'!$E60:$Z60,MIN(Y$6-$E$3,22))&lt;&gt;""),'Arroz irrigado'!$E60:INDEX('Arroz irrigado'!$E60:$Z60,MIN(Y$6-$E$3,22))),0))-IF($G$2,0,IF((Y$6-$G$3)&lt;1,0,IFERROR(LOOKUP(2,1/('Arroz irrigado'!$E60:INDEX('Arroz irrigado'!$E60:$Z60,MIN(Y$6-$G$3,22))&lt;&gt;""),'Arroz irrigado'!$E60:INDEX('Arroz irrigado'!$E60:$Z60,MIN(Y$6-$G$3,22))),0)))))</f>
        <v>0</v>
      </c>
      <c r="Z62" s="27" t="n">
        <f aca="false">IF(COUNT('Arroz irrigado'!$E60:$Z60)=0,0,MAX(0,IF((Z$6-$E$3)&lt;1,0,IFERROR(LOOKUP(2,1/('Arroz irrigado'!$E60:INDEX('Arroz irrigado'!$E60:$Z60,MIN(Z$6-$E$3,22))&lt;&gt;""),'Arroz irrigado'!$E60:INDEX('Arroz irrigado'!$E60:$Z60,MIN(Z$6-$E$3,22))),0))-IF($G$2,0,IF((Z$6-$G$3)&lt;1,0,IFERROR(LOOKUP(2,1/('Arroz irrigado'!$E60:INDEX('Arroz irrigado'!$E60:$Z60,MIN(Z$6-$G$3,22))&lt;&gt;""),'Arroz irrigado'!$E60:INDEX('Arroz irrigado'!$E60:$Z60,MIN(Z$6-$G$3,22))),0)))))</f>
        <v>0</v>
      </c>
      <c r="AA62" s="27" t="n">
        <f aca="false">IF(COUNT('Arroz irrigado'!$E60:$Z60)=0,0,MAX(0,IF((AA$6-$E$3)&lt;1,0,IFERROR(LOOKUP(2,1/('Arroz irrigado'!$E60:INDEX('Arroz irrigado'!$E60:$Z60,MIN(AA$6-$E$3,22))&lt;&gt;""),'Arroz irrigado'!$E60:INDEX('Arroz irrigado'!$E60:$Z60,MIN(AA$6-$E$3,22))),0))-IF($G$2,0,IF((AA$6-$G$3)&lt;1,0,IFERROR(LOOKUP(2,1/('Arroz irrigado'!$E60:INDEX('Arroz irrigado'!$E60:$Z60,MIN(AA$6-$G$3,22))&lt;&gt;""),'Arroz irrigado'!$E60:INDEX('Arroz irrigado'!$E60:$Z60,MIN(AA$6-$G$3,22))),0)))))</f>
        <v>0</v>
      </c>
      <c r="AB62" s="27" t="n">
        <f aca="false">IF(COUNT('Arroz irrigado'!$E60:$Z60)=0,0,MAX(0,IF((AB$6-$E$3)&lt;1,0,IFERROR(LOOKUP(2,1/('Arroz irrigado'!$E60:INDEX('Arroz irrigado'!$E60:$Z60,MIN(AB$6-$E$3,22))&lt;&gt;""),'Arroz irrigado'!$E60:INDEX('Arroz irrigado'!$E60:$Z60,MIN(AB$6-$E$3,22))),0))-IF($G$2,0,IF((AB$6-$G$3)&lt;1,0,IFERROR(LOOKUP(2,1/('Arroz irrigado'!$E60:INDEX('Arroz irrigado'!$E60:$Z60,MIN(AB$6-$G$3,22))&lt;&gt;""),'Arroz irrigado'!$E60:INDEX('Arroz irrigado'!$E60:$Z60,MIN(AB$6-$G$3,22))),0)))))</f>
        <v>0</v>
      </c>
      <c r="AC62" s="27" t="n">
        <f aca="false">IF(COUNT('Arroz irrigado'!$E60:$Z60)=0,0,MAX(0,IF((AC$6-$E$3)&lt;1,0,IFERROR(LOOKUP(2,1/('Arroz irrigado'!$E60:INDEX('Arroz irrigado'!$E60:$Z60,MIN(AC$6-$E$3,22))&lt;&gt;""),'Arroz irrigado'!$E60:INDEX('Arroz irrigado'!$E60:$Z60,MIN(AC$6-$E$3,22))),0))-IF($G$2,0,IF((AC$6-$G$3)&lt;1,0,IFERROR(LOOKUP(2,1/('Arroz irrigado'!$E60:INDEX('Arroz irrigado'!$E60:$Z60,MIN(AC$6-$G$3,22))&lt;&gt;""),'Arroz irrigado'!$E60:INDEX('Arroz irrigado'!$E60:$Z60,MIN(AC$6-$G$3,22))),0)))))</f>
        <v>0</v>
      </c>
      <c r="AD62" s="27" t="n">
        <f aca="false">IF(COUNT('Arroz irrigado'!$E60:$Z60)=0,0,MAX(0,IF((AD$6-$E$3)&lt;1,0,IFERROR(LOOKUP(2,1/('Arroz irrigado'!$E60:INDEX('Arroz irrigado'!$E60:$Z60,MIN(AD$6-$E$3,22))&lt;&gt;""),'Arroz irrigado'!$E60:INDEX('Arroz irrigado'!$E60:$Z60,MIN(AD$6-$E$3,22))),0))-IF($G$2,0,IF((AD$6-$G$3)&lt;1,0,IFERROR(LOOKUP(2,1/('Arroz irrigado'!$E60:INDEX('Arroz irrigado'!$E60:$Z60,MIN(AD$6-$G$3,22))&lt;&gt;""),'Arroz irrigado'!$E60:INDEX('Arroz irrigado'!$E60:$Z60,MIN(AD$6-$G$3,22))),0)))))</f>
        <v>0</v>
      </c>
      <c r="AE62" s="27" t="n">
        <f aca="false">IF(COUNT('Arroz irrigado'!$E60:$Z60)=0,0,MAX(0,IF((AE$6-$E$3)&lt;1,0,IFERROR(LOOKUP(2,1/('Arroz irrigado'!$E60:INDEX('Arroz irrigado'!$E60:$Z60,MIN(AE$6-$E$3,22))&lt;&gt;""),'Arroz irrigado'!$E60:INDEX('Arroz irrigado'!$E60:$Z60,MIN(AE$6-$E$3,22))),0))-IF($G$2,0,IF((AE$6-$G$3)&lt;1,0,IFERROR(LOOKUP(2,1/('Arroz irrigado'!$E60:INDEX('Arroz irrigado'!$E60:$Z60,MIN(AE$6-$G$3,22))&lt;&gt;""),'Arroz irrigado'!$E60:INDEX('Arroz irrigado'!$E60:$Z60,MIN(AE$6-$G$3,22))),0)))))</f>
        <v>0</v>
      </c>
      <c r="AF62" s="27" t="n">
        <f aca="false">IF(COUNT('Arroz irrigado'!$E60:$Z60)=0,0,MAX(0,IF((AF$6-$E$3)&lt;1,0,IFERROR(LOOKUP(2,1/('Arroz irrigado'!$E60:INDEX('Arroz irrigado'!$E60:$Z60,MIN(AF$6-$E$3,22))&lt;&gt;""),'Arroz irrigado'!$E60:INDEX('Arroz irrigado'!$E60:$Z60,MIN(AF$6-$E$3,22))),0))-IF($G$2,0,IF((AF$6-$G$3)&lt;1,0,IFERROR(LOOKUP(2,1/('Arroz irrigado'!$E60:INDEX('Arroz irrigado'!$E60:$Z60,MIN(AF$6-$G$3,22))&lt;&gt;""),'Arroz irrigado'!$E60:INDEX('Arroz irrigado'!$E60:$Z60,MIN(AF$6-$G$3,22))),0)))))</f>
        <v>0</v>
      </c>
      <c r="AG62" s="27" t="n">
        <f aca="false">IF(COUNT('Arroz irrigado'!$E60:$Z60)=0,0,MAX(0,IF((AG$6-$E$3)&lt;1,0,IFERROR(LOOKUP(2,1/('Arroz irrigado'!$E60:INDEX('Arroz irrigado'!$E60:$Z60,MIN(AG$6-$E$3,22))&lt;&gt;""),'Arroz irrigado'!$E60:INDEX('Arroz irrigado'!$E60:$Z60,MIN(AG$6-$E$3,22))),0))-IF($G$2,0,IF((AG$6-$G$3)&lt;1,0,IFERROR(LOOKUP(2,1/('Arroz irrigado'!$E60:INDEX('Arroz irrigado'!$E60:$Z60,MIN(AG$6-$G$3,22))&lt;&gt;""),'Arroz irrigado'!$E60:INDEX('Arroz irrigado'!$E60:$Z60,MIN(AG$6-$G$3,22))),0)))))</f>
        <v>0</v>
      </c>
      <c r="AH62" s="27" t="n">
        <f aca="false">IF(COUNT('Arroz irrigado'!$E60:$Z60)=0,0,MAX(0,IF((AH$6-$E$3)&lt;1,0,IFERROR(LOOKUP(2,1/('Arroz irrigado'!$E60:INDEX('Arroz irrigado'!$E60:$Z60,MIN(AH$6-$E$3,22))&lt;&gt;""),'Arroz irrigado'!$E60:INDEX('Arroz irrigado'!$E60:$Z60,MIN(AH$6-$E$3,22))),0))-IF($G$2,0,IF((AH$6-$G$3)&lt;1,0,IFERROR(LOOKUP(2,1/('Arroz irrigado'!$E60:INDEX('Arroz irrigado'!$E60:$Z60,MIN(AH$6-$G$3,22))&lt;&gt;""),'Arroz irrigado'!$E60:INDEX('Arroz irrigado'!$E60:$Z60,MIN(AH$6-$G$3,22))),0)))))</f>
        <v>0</v>
      </c>
      <c r="AI62" s="27" t="n">
        <f aca="false">IF(COUNT('Arroz irrigado'!$E60:$Z60)=0,0,MAX(0,IF((AI$6-$E$3)&lt;1,0,IFERROR(LOOKUP(2,1/('Arroz irrigado'!$E60:INDEX('Arroz irrigado'!$E60:$Z60,MIN(AI$6-$E$3,22))&lt;&gt;""),'Arroz irrigado'!$E60:INDEX('Arroz irrigado'!$E60:$Z60,MIN(AI$6-$E$3,22))),0))-IF($G$2,0,IF((AI$6-$G$3)&lt;1,0,IFERROR(LOOKUP(2,1/('Arroz irrigado'!$E60:INDEX('Arroz irrigado'!$E60:$Z60,MIN(AI$6-$G$3,22))&lt;&gt;""),'Arroz irrigado'!$E60:INDEX('Arroz irrigado'!$E60:$Z60,MIN(AI$6-$G$3,22))),0)))))</f>
        <v>0</v>
      </c>
      <c r="AJ62" s="27" t="n">
        <f aca="false">IF(COUNT('Arroz irrigado'!$E60:$Z60)=0,0,MAX(0,IF((AJ$6-$E$3)&lt;1,0,IFERROR(LOOKUP(2,1/('Arroz irrigado'!$E60:INDEX('Arroz irrigado'!$E60:$Z60,MIN(AJ$6-$E$3,22))&lt;&gt;""),'Arroz irrigado'!$E60:INDEX('Arroz irrigado'!$E60:$Z60,MIN(AJ$6-$E$3,22))),0))-IF($G$2,0,IF((AJ$6-$G$3)&lt;1,0,IFERROR(LOOKUP(2,1/('Arroz irrigado'!$E60:INDEX('Arroz irrigado'!$E60:$Z60,MIN(AJ$6-$G$3,22))&lt;&gt;""),'Arroz irrigado'!$E60:INDEX('Arroz irrigado'!$E60:$Z60,MIN(AJ$6-$G$3,22))),0)))))</f>
        <v>0</v>
      </c>
      <c r="AK62" s="27" t="n">
        <f aca="false">IF(COUNT('Arroz irrigado'!$E60:$Z60)=0,0,MAX(0,IF((AK$6-$E$3)&lt;1,0,IFERROR(LOOKUP(2,1/('Arroz irrigado'!$E60:INDEX('Arroz irrigado'!$E60:$Z60,MIN(AK$6-$E$3,22))&lt;&gt;""),'Arroz irrigado'!$E60:INDEX('Arroz irrigado'!$E60:$Z60,MIN(AK$6-$E$3,22))),0))-IF($G$2,0,IF((AK$6-$G$3)&lt;1,0,IFERROR(LOOKUP(2,1/('Arroz irrigado'!$E60:INDEX('Arroz irrigado'!$E60:$Z60,MIN(AK$6-$G$3,22))&lt;&gt;""),'Arroz irrigado'!$E60:INDEX('Arroz irrigado'!$E60:$Z60,MIN(AK$6-$G$3,22))),0)))))</f>
        <v>0</v>
      </c>
      <c r="AL62" s="27" t="n">
        <f aca="false">IF(COUNT('Arroz irrigado'!$E60:$Z60)=0,0,MAX(0,IF((AL$6-$E$3)&lt;1,0,IFERROR(LOOKUP(2,1/('Arroz irrigado'!$E60:INDEX('Arroz irrigado'!$E60:$Z60,MIN(AL$6-$E$3,22))&lt;&gt;""),'Arroz irrigado'!$E60:INDEX('Arroz irrigado'!$E60:$Z60,MIN(AL$6-$E$3,22))),0))-IF($G$2,0,IF((AL$6-$G$3)&lt;1,0,IFERROR(LOOKUP(2,1/('Arroz irrigado'!$E60:INDEX('Arroz irrigado'!$E60:$Z60,MIN(AL$6-$G$3,22))&lt;&gt;""),'Arroz irrigado'!$E60:INDEX('Arroz irrigado'!$E60:$Z60,MIN(AL$6-$G$3,22))),0)))))</f>
        <v>0</v>
      </c>
      <c r="AM62" s="27" t="n">
        <f aca="false">IF(COUNT('Arroz irrigado'!$E60:$Z60)=0,0,MAX(0,IF((AM$6-$E$3)&lt;1,0,IFERROR(LOOKUP(2,1/('Arroz irrigado'!$E60:INDEX('Arroz irrigado'!$E60:$Z60,MIN(AM$6-$E$3,22))&lt;&gt;""),'Arroz irrigado'!$E60:INDEX('Arroz irrigado'!$E60:$Z60,MIN(AM$6-$E$3,22))),0))-IF($G$2,0,IF((AM$6-$G$3)&lt;1,0,IFERROR(LOOKUP(2,1/('Arroz irrigado'!$E60:INDEX('Arroz irrigado'!$E60:$Z60,MIN(AM$6-$G$3,22))&lt;&gt;""),'Arroz irrigado'!$E60:INDEX('Arroz irrigado'!$E60:$Z60,MIN(AM$6-$G$3,22))),0)))))</f>
        <v>0</v>
      </c>
      <c r="AN62" s="27" t="n">
        <f aca="false">IF(COUNT('Arroz irrigado'!$E60:$Z60)=0,0,MAX(0,IF((AN$6-$E$3)&lt;1,0,IFERROR(LOOKUP(2,1/('Arroz irrigado'!$E60:INDEX('Arroz irrigado'!$E60:$Z60,MIN(AN$6-$E$3,22))&lt;&gt;""),'Arroz irrigado'!$E60:INDEX('Arroz irrigado'!$E60:$Z60,MIN(AN$6-$E$3,22))),0))-IF($G$2,0,IF((AN$6-$G$3)&lt;1,0,IFERROR(LOOKUP(2,1/('Arroz irrigado'!$E60:INDEX('Arroz irrigado'!$E60:$Z60,MIN(AN$6-$G$3,22))&lt;&gt;""),'Arroz irrigado'!$E60:INDEX('Arroz irrigado'!$E60:$Z60,MIN(AN$6-$G$3,22))),0)))))</f>
        <v>0</v>
      </c>
      <c r="AO62" s="27" t="n">
        <f aca="false">IF(COUNT('Arroz irrigado'!$E60:$Z60)=0,0,MAX(0,IF((AO$6-$E$3)&lt;1,0,IFERROR(LOOKUP(2,1/('Arroz irrigado'!$E60:INDEX('Arroz irrigado'!$E60:$Z60,MIN(AO$6-$E$3,22))&lt;&gt;""),'Arroz irrigado'!$E60:INDEX('Arroz irrigado'!$E60:$Z60,MIN(AO$6-$E$3,22))),0))-IF($G$2,0,IF((AO$6-$G$3)&lt;1,0,IFERROR(LOOKUP(2,1/('Arroz irrigado'!$E60:INDEX('Arroz irrigado'!$E60:$Z60,MIN(AO$6-$G$3,22))&lt;&gt;""),'Arroz irrigado'!$E60:INDEX('Arroz irrigado'!$E60:$Z60,MIN(AO$6-$G$3,22))),0)))))</f>
        <v>0</v>
      </c>
      <c r="AP62" s="27" t="n">
        <f aca="false">IF(COUNT('Arroz irrigado'!$E60:$Z60)=0,0,MAX(0,IF((AP$6-$E$3)&lt;1,0,IFERROR(LOOKUP(2,1/('Arroz irrigado'!$E60:INDEX('Arroz irrigado'!$E60:$Z60,MIN(AP$6-$E$3,22))&lt;&gt;""),'Arroz irrigado'!$E60:INDEX('Arroz irrigado'!$E60:$Z60,MIN(AP$6-$E$3,22))),0))-IF($G$2,0,IF((AP$6-$G$3)&lt;1,0,IFERROR(LOOKUP(2,1/('Arroz irrigado'!$E60:INDEX('Arroz irrigado'!$E60:$Z60,MIN(AP$6-$G$3,22))&lt;&gt;""),'Arroz irrigado'!$E60:INDEX('Arroz irrigado'!$E60:$Z60,MIN(AP$6-$G$3,22))),0)))))</f>
        <v>0</v>
      </c>
      <c r="AQ62" s="27" t="n">
        <f aca="false">IF(COUNT('Arroz irrigado'!$E60:$Z60)=0,0,MAX(0,IF((AQ$6-$E$3)&lt;1,0,IFERROR(LOOKUP(2,1/('Arroz irrigado'!$E60:INDEX('Arroz irrigado'!$E60:$Z60,MIN(AQ$6-$E$3,22))&lt;&gt;""),'Arroz irrigado'!$E60:INDEX('Arroz irrigado'!$E60:$Z60,MIN(AQ$6-$E$3,22))),0))-IF($G$2,0,IF((AQ$6-$G$3)&lt;1,0,IFERROR(LOOKUP(2,1/('Arroz irrigado'!$E60:INDEX('Arroz irrigado'!$E60:$Z60,MIN(AQ$6-$G$3,22))&lt;&gt;""),'Arroz irrigado'!$E60:INDEX('Arroz irrigado'!$E60:$Z60,MIN(AQ$6-$G$3,22))),0)))))</f>
        <v>0</v>
      </c>
      <c r="AR62" s="27" t="n">
        <f aca="false">IF(COUNT('Arroz irrigado'!$E60:$Z60)=0,0,MAX(0,IF((AR$6-$E$3)&lt;1,0,IFERROR(LOOKUP(2,1/('Arroz irrigado'!$E60:INDEX('Arroz irrigado'!$E60:$Z60,MIN(AR$6-$E$3,22))&lt;&gt;""),'Arroz irrigado'!$E60:INDEX('Arroz irrigado'!$E60:$Z60,MIN(AR$6-$E$3,22))),0))-IF($G$2,0,IF((AR$6-$G$3)&lt;1,0,IFERROR(LOOKUP(2,1/('Arroz irrigado'!$E60:INDEX('Arroz irrigado'!$E60:$Z60,MIN(AR$6-$G$3,22))&lt;&gt;""),'Arroz irrigado'!$E60:INDEX('Arroz irrigado'!$E60:$Z60,MIN(AR$6-$G$3,22))),0)))))</f>
        <v>0</v>
      </c>
      <c r="AS62" s="27" t="n">
        <f aca="false">IF(COUNT('Arroz irrigado'!$E60:$Z60)=0,0,MAX(0,IF((AS$6-$E$3)&lt;1,0,IFERROR(LOOKUP(2,1/('Arroz irrigado'!$E60:INDEX('Arroz irrigado'!$E60:$Z60,MIN(AS$6-$E$3,22))&lt;&gt;""),'Arroz irrigado'!$E60:INDEX('Arroz irrigado'!$E60:$Z60,MIN(AS$6-$E$3,22))),0))-IF($G$2,0,IF((AS$6-$G$3)&lt;1,0,IFERROR(LOOKUP(2,1/('Arroz irrigado'!$E60:INDEX('Arroz irrigado'!$E60:$Z60,MIN(AS$6-$G$3,22))&lt;&gt;""),'Arroz irrigado'!$E60:INDEX('Arroz irrigado'!$E60:$Z60,MIN(AS$6-$G$3,22))),0)))))</f>
        <v>0</v>
      </c>
      <c r="AT62" s="27" t="n">
        <f aca="false">IF(COUNT('Arroz irrigado'!$E60:$Z60)=0,0,MAX(0,IF((AT$6-$E$3)&lt;1,0,IFERROR(LOOKUP(2,1/('Arroz irrigado'!$E60:INDEX('Arroz irrigado'!$E60:$Z60,MIN(AT$6-$E$3,22))&lt;&gt;""),'Arroz irrigado'!$E60:INDEX('Arroz irrigado'!$E60:$Z60,MIN(AT$6-$E$3,22))),0))-IF($G$2,0,IF((AT$6-$G$3)&lt;1,0,IFERROR(LOOKUP(2,1/('Arroz irrigado'!$E60:INDEX('Arroz irrigado'!$E60:$Z60,MIN(AT$6-$G$3,22))&lt;&gt;""),'Arroz irrigado'!$E60:INDEX('Arroz irrigado'!$E60:$Z60,MIN(AT$6-$G$3,22))),0)))))</f>
        <v>0</v>
      </c>
      <c r="AU62" s="27" t="n">
        <f aca="false">IF(COUNT('Arroz irrigado'!$E60:$Z60)=0,0,MAX(0,IF((AU$6-$E$3)&lt;1,0,IFERROR(LOOKUP(2,1/('Arroz irrigado'!$E60:INDEX('Arroz irrigado'!$E60:$Z60,MIN(AU$6-$E$3,22))&lt;&gt;""),'Arroz irrigado'!$E60:INDEX('Arroz irrigado'!$E60:$Z60,MIN(AU$6-$E$3,22))),0))-IF($G$2,0,IF((AU$6-$G$3)&lt;1,0,IFERROR(LOOKUP(2,1/('Arroz irrigado'!$E60:INDEX('Arroz irrigado'!$E60:$Z60,MIN(AU$6-$G$3,22))&lt;&gt;""),'Arroz irrigado'!$E60:INDEX('Arroz irrigado'!$E60:$Z60,MIN(AU$6-$G$3,22))),0)))))</f>
        <v>0</v>
      </c>
      <c r="AV62" s="27" t="n">
        <f aca="false">IF(COUNT('Arroz irrigado'!$E60:$Z60)=0,0,MAX(0,IF((AV$6-$E$3)&lt;1,0,IFERROR(LOOKUP(2,1/('Arroz irrigado'!$E60:INDEX('Arroz irrigado'!$E60:$Z60,MIN(AV$6-$E$3,22))&lt;&gt;""),'Arroz irrigado'!$E60:INDEX('Arroz irrigado'!$E60:$Z60,MIN(AV$6-$E$3,22))),0))-IF($G$2,0,IF((AV$6-$G$3)&lt;1,0,IFERROR(LOOKUP(2,1/('Arroz irrigado'!$E60:INDEX('Arroz irrigado'!$E60:$Z60,MIN(AV$6-$G$3,22))&lt;&gt;""),'Arroz irrigado'!$E60:INDEX('Arroz irrigado'!$E60:$Z60,MIN(AV$6-$G$3,22))),0)))))</f>
        <v>0</v>
      </c>
      <c r="AW62" s="27" t="n">
        <f aca="false">IF(COUNT('Arroz irrigado'!$E60:$Z60)=0,0,MAX(0,IF((AW$6-$E$3)&lt;1,0,IFERROR(LOOKUP(2,1/('Arroz irrigado'!$E60:INDEX('Arroz irrigado'!$E60:$Z60,MIN(AW$6-$E$3,22))&lt;&gt;""),'Arroz irrigado'!$E60:INDEX('Arroz irrigado'!$E60:$Z60,MIN(AW$6-$E$3,22))),0))-IF($G$2,0,IF((AW$6-$G$3)&lt;1,0,IFERROR(LOOKUP(2,1/('Arroz irrigado'!$E60:INDEX('Arroz irrigado'!$E60:$Z60,MIN(AW$6-$G$3,22))&lt;&gt;""),'Arroz irrigado'!$E60:INDEX('Arroz irrigado'!$E60:$Z60,MIN(AW$6-$G$3,22))),0)))))</f>
        <v>0</v>
      </c>
      <c r="AX62" s="27" t="n">
        <f aca="false">IF(COUNT('Arroz irrigado'!$E60:$Z60)=0,0,MAX(0,IF((AX$6-$E$3)&lt;1,0,IFERROR(LOOKUP(2,1/('Arroz irrigado'!$E60:INDEX('Arroz irrigado'!$E60:$Z60,MIN(AX$6-$E$3,22))&lt;&gt;""),'Arroz irrigado'!$E60:INDEX('Arroz irrigado'!$E60:$Z60,MIN(AX$6-$E$3,22))),0))-IF($G$2,0,IF((AX$6-$G$3)&lt;1,0,IFERROR(LOOKUP(2,1/('Arroz irrigado'!$E60:INDEX('Arroz irrigado'!$E60:$Z60,MIN(AX$6-$G$3,22))&lt;&gt;""),'Arroz irrigado'!$E60:INDEX('Arroz irrigado'!$E60:$Z60,MIN(AX$6-$G$3,22))),0)))))</f>
        <v>0</v>
      </c>
      <c r="AY62" s="27" t="n">
        <f aca="false">IF(COUNT('Arroz irrigado'!$E60:$Z60)=0,0,MAX(0,IF((AY$6-$E$3)&lt;1,0,IFERROR(LOOKUP(2,1/('Arroz irrigado'!$E60:INDEX('Arroz irrigado'!$E60:$Z60,MIN(AY$6-$E$3,22))&lt;&gt;""),'Arroz irrigado'!$E60:INDEX('Arroz irrigado'!$E60:$Z60,MIN(AY$6-$E$3,22))),0))-IF($G$2,0,IF((AY$6-$G$3)&lt;1,0,IFERROR(LOOKUP(2,1/('Arroz irrigado'!$E60:INDEX('Arroz irrigado'!$E60:$Z60,MIN(AY$6-$G$3,22))&lt;&gt;""),'Arroz irrigado'!$E60:INDEX('Arroz irrigado'!$E60:$Z60,MIN(AY$6-$G$3,22))),0)))))</f>
        <v>0</v>
      </c>
      <c r="AZ62" s="27" t="n">
        <f aca="false">IF(COUNT('Arroz irrigado'!$E60:$Z60)=0,0,MAX(0,IF((AZ$6-$E$3)&lt;1,0,IFERROR(LOOKUP(2,1/('Arroz irrigado'!$E60:INDEX('Arroz irrigado'!$E60:$Z60,MIN(AZ$6-$E$3,22))&lt;&gt;""),'Arroz irrigado'!$E60:INDEX('Arroz irrigado'!$E60:$Z60,MIN(AZ$6-$E$3,22))),0))-IF($G$2,0,IF((AZ$6-$G$3)&lt;1,0,IFERROR(LOOKUP(2,1/('Arroz irrigado'!$E60:INDEX('Arroz irrigado'!$E60:$Z60,MIN(AZ$6-$G$3,22))&lt;&gt;""),'Arroz irrigado'!$E60:INDEX('Arroz irrigado'!$E60:$Z60,MIN(AZ$6-$G$3,22))),0)))))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IF(COUNT('Arroz irrigado'!$E61:$Z61)&gt;0,N('Arroz irrigado'!$D61),0)</f>
        <v>0</v>
      </c>
      <c r="E63" s="27" t="n">
        <f aca="false">IF(COUNT('Arroz irrigado'!$E61:$Z61)=0,0,MAX(0,IF((E$6-$E$3)&lt;1,0,IFERROR(LOOKUP(2,1/('Arroz irrigado'!$E61:INDEX('Arroz irrigado'!$E61:$Z61,MIN(E$6-$E$3,22))&lt;&gt;""),'Arroz irrigado'!$E61:INDEX('Arroz irrigado'!$E61:$Z61,MIN(E$6-$E$3,22))),0))-IF($G$2,0,IF((E$6-$G$3)&lt;1,0,IFERROR(LOOKUP(2,1/('Arroz irrigado'!$E61:INDEX('Arroz irrigado'!$E61:$Z61,MIN(E$6-$G$3,22))&lt;&gt;""),'Arroz irrigado'!$E61:INDEX('Arroz irrigado'!$E61:$Z61,MIN(E$6-$G$3,22))),0)))))</f>
        <v>0</v>
      </c>
      <c r="F63" s="27" t="n">
        <f aca="false">IF(COUNT('Arroz irrigado'!$E61:$Z61)=0,0,MAX(0,IF((F$6-$E$3)&lt;1,0,IFERROR(LOOKUP(2,1/('Arroz irrigado'!$E61:INDEX('Arroz irrigado'!$E61:$Z61,MIN(F$6-$E$3,22))&lt;&gt;""),'Arroz irrigado'!$E61:INDEX('Arroz irrigado'!$E61:$Z61,MIN(F$6-$E$3,22))),0))-IF($G$2,0,IF((F$6-$G$3)&lt;1,0,IFERROR(LOOKUP(2,1/('Arroz irrigado'!$E61:INDEX('Arroz irrigado'!$E61:$Z61,MIN(F$6-$G$3,22))&lt;&gt;""),'Arroz irrigado'!$E61:INDEX('Arroz irrigado'!$E61:$Z61,MIN(F$6-$G$3,22))),0)))))</f>
        <v>0</v>
      </c>
      <c r="G63" s="27" t="n">
        <f aca="false">IF(COUNT('Arroz irrigado'!$E61:$Z61)=0,0,MAX(0,IF((G$6-$E$3)&lt;1,0,IFERROR(LOOKUP(2,1/('Arroz irrigado'!$E61:INDEX('Arroz irrigado'!$E61:$Z61,MIN(G$6-$E$3,22))&lt;&gt;""),'Arroz irrigado'!$E61:INDEX('Arroz irrigado'!$E61:$Z61,MIN(G$6-$E$3,22))),0))-IF($G$2,0,IF((G$6-$G$3)&lt;1,0,IFERROR(LOOKUP(2,1/('Arroz irrigado'!$E61:INDEX('Arroz irrigado'!$E61:$Z61,MIN(G$6-$G$3,22))&lt;&gt;""),'Arroz irrigado'!$E61:INDEX('Arroz irrigado'!$E61:$Z61,MIN(G$6-$G$3,22))),0)))))</f>
        <v>0</v>
      </c>
      <c r="H63" s="27" t="n">
        <f aca="false">IF(COUNT('Arroz irrigado'!$E61:$Z61)=0,0,MAX(0,IF((H$6-$E$3)&lt;1,0,IFERROR(LOOKUP(2,1/('Arroz irrigado'!$E61:INDEX('Arroz irrigado'!$E61:$Z61,MIN(H$6-$E$3,22))&lt;&gt;""),'Arroz irrigado'!$E61:INDEX('Arroz irrigado'!$E61:$Z61,MIN(H$6-$E$3,22))),0))-IF($G$2,0,IF((H$6-$G$3)&lt;1,0,IFERROR(LOOKUP(2,1/('Arroz irrigado'!$E61:INDEX('Arroz irrigado'!$E61:$Z61,MIN(H$6-$G$3,22))&lt;&gt;""),'Arroz irrigado'!$E61:INDEX('Arroz irrigado'!$E61:$Z61,MIN(H$6-$G$3,22))),0)))))</f>
        <v>0</v>
      </c>
      <c r="I63" s="27" t="n">
        <f aca="false">IF(COUNT('Arroz irrigado'!$E61:$Z61)=0,0,MAX(0,IF((I$6-$E$3)&lt;1,0,IFERROR(LOOKUP(2,1/('Arroz irrigado'!$E61:INDEX('Arroz irrigado'!$E61:$Z61,MIN(I$6-$E$3,22))&lt;&gt;""),'Arroz irrigado'!$E61:INDEX('Arroz irrigado'!$E61:$Z61,MIN(I$6-$E$3,22))),0))-IF($G$2,0,IF((I$6-$G$3)&lt;1,0,IFERROR(LOOKUP(2,1/('Arroz irrigado'!$E61:INDEX('Arroz irrigado'!$E61:$Z61,MIN(I$6-$G$3,22))&lt;&gt;""),'Arroz irrigado'!$E61:INDEX('Arroz irrigado'!$E61:$Z61,MIN(I$6-$G$3,22))),0)))))</f>
        <v>0</v>
      </c>
      <c r="J63" s="27" t="n">
        <f aca="false">IF(COUNT('Arroz irrigado'!$E61:$Z61)=0,0,MAX(0,IF((J$6-$E$3)&lt;1,0,IFERROR(LOOKUP(2,1/('Arroz irrigado'!$E61:INDEX('Arroz irrigado'!$E61:$Z61,MIN(J$6-$E$3,22))&lt;&gt;""),'Arroz irrigado'!$E61:INDEX('Arroz irrigado'!$E61:$Z61,MIN(J$6-$E$3,22))),0))-IF($G$2,0,IF((J$6-$G$3)&lt;1,0,IFERROR(LOOKUP(2,1/('Arroz irrigado'!$E61:INDEX('Arroz irrigado'!$E61:$Z61,MIN(J$6-$G$3,22))&lt;&gt;""),'Arroz irrigado'!$E61:INDEX('Arroz irrigado'!$E61:$Z61,MIN(J$6-$G$3,22))),0)))))</f>
        <v>0</v>
      </c>
      <c r="K63" s="27" t="n">
        <f aca="false">IF(COUNT('Arroz irrigado'!$E61:$Z61)=0,0,MAX(0,IF((K$6-$E$3)&lt;1,0,IFERROR(LOOKUP(2,1/('Arroz irrigado'!$E61:INDEX('Arroz irrigado'!$E61:$Z61,MIN(K$6-$E$3,22))&lt;&gt;""),'Arroz irrigado'!$E61:INDEX('Arroz irrigado'!$E61:$Z61,MIN(K$6-$E$3,22))),0))-IF($G$2,0,IF((K$6-$G$3)&lt;1,0,IFERROR(LOOKUP(2,1/('Arroz irrigado'!$E61:INDEX('Arroz irrigado'!$E61:$Z61,MIN(K$6-$G$3,22))&lt;&gt;""),'Arroz irrigado'!$E61:INDEX('Arroz irrigado'!$E61:$Z61,MIN(K$6-$G$3,22))),0)))))</f>
        <v>0</v>
      </c>
      <c r="L63" s="27" t="n">
        <f aca="false">IF(COUNT('Arroz irrigado'!$E61:$Z61)=0,0,MAX(0,IF((L$6-$E$3)&lt;1,0,IFERROR(LOOKUP(2,1/('Arroz irrigado'!$E61:INDEX('Arroz irrigado'!$E61:$Z61,MIN(L$6-$E$3,22))&lt;&gt;""),'Arroz irrigado'!$E61:INDEX('Arroz irrigado'!$E61:$Z61,MIN(L$6-$E$3,22))),0))-IF($G$2,0,IF((L$6-$G$3)&lt;1,0,IFERROR(LOOKUP(2,1/('Arroz irrigado'!$E61:INDEX('Arroz irrigado'!$E61:$Z61,MIN(L$6-$G$3,22))&lt;&gt;""),'Arroz irrigado'!$E61:INDEX('Arroz irrigado'!$E61:$Z61,MIN(L$6-$G$3,22))),0)))))</f>
        <v>0</v>
      </c>
      <c r="M63" s="27" t="n">
        <f aca="false">IF(COUNT('Arroz irrigado'!$E61:$Z61)=0,0,MAX(0,IF((M$6-$E$3)&lt;1,0,IFERROR(LOOKUP(2,1/('Arroz irrigado'!$E61:INDEX('Arroz irrigado'!$E61:$Z61,MIN(M$6-$E$3,22))&lt;&gt;""),'Arroz irrigado'!$E61:INDEX('Arroz irrigado'!$E61:$Z61,MIN(M$6-$E$3,22))),0))-IF($G$2,0,IF((M$6-$G$3)&lt;1,0,IFERROR(LOOKUP(2,1/('Arroz irrigado'!$E61:INDEX('Arroz irrigado'!$E61:$Z61,MIN(M$6-$G$3,22))&lt;&gt;""),'Arroz irrigado'!$E61:INDEX('Arroz irrigado'!$E61:$Z61,MIN(M$6-$G$3,22))),0)))))</f>
        <v>0</v>
      </c>
      <c r="N63" s="27" t="n">
        <f aca="false">IF(COUNT('Arroz irrigado'!$E61:$Z61)=0,0,MAX(0,IF((N$6-$E$3)&lt;1,0,IFERROR(LOOKUP(2,1/('Arroz irrigado'!$E61:INDEX('Arroz irrigado'!$E61:$Z61,MIN(N$6-$E$3,22))&lt;&gt;""),'Arroz irrigado'!$E61:INDEX('Arroz irrigado'!$E61:$Z61,MIN(N$6-$E$3,22))),0))-IF($G$2,0,IF((N$6-$G$3)&lt;1,0,IFERROR(LOOKUP(2,1/('Arroz irrigado'!$E61:INDEX('Arroz irrigado'!$E61:$Z61,MIN(N$6-$G$3,22))&lt;&gt;""),'Arroz irrigado'!$E61:INDEX('Arroz irrigado'!$E61:$Z61,MIN(N$6-$G$3,22))),0)))))</f>
        <v>0</v>
      </c>
      <c r="O63" s="27" t="n">
        <f aca="false">IF(COUNT('Arroz irrigado'!$E61:$Z61)=0,0,MAX(0,IF((O$6-$E$3)&lt;1,0,IFERROR(LOOKUP(2,1/('Arroz irrigado'!$E61:INDEX('Arroz irrigado'!$E61:$Z61,MIN(O$6-$E$3,22))&lt;&gt;""),'Arroz irrigado'!$E61:INDEX('Arroz irrigado'!$E61:$Z61,MIN(O$6-$E$3,22))),0))-IF($G$2,0,IF((O$6-$G$3)&lt;1,0,IFERROR(LOOKUP(2,1/('Arroz irrigado'!$E61:INDEX('Arroz irrigado'!$E61:$Z61,MIN(O$6-$G$3,22))&lt;&gt;""),'Arroz irrigado'!$E61:INDEX('Arroz irrigado'!$E61:$Z61,MIN(O$6-$G$3,22))),0)))))</f>
        <v>0</v>
      </c>
      <c r="P63" s="27" t="n">
        <f aca="false">IF(COUNT('Arroz irrigado'!$E61:$Z61)=0,0,MAX(0,IF((P$6-$E$3)&lt;1,0,IFERROR(LOOKUP(2,1/('Arroz irrigado'!$E61:INDEX('Arroz irrigado'!$E61:$Z61,MIN(P$6-$E$3,22))&lt;&gt;""),'Arroz irrigado'!$E61:INDEX('Arroz irrigado'!$E61:$Z61,MIN(P$6-$E$3,22))),0))-IF($G$2,0,IF((P$6-$G$3)&lt;1,0,IFERROR(LOOKUP(2,1/('Arroz irrigado'!$E61:INDEX('Arroz irrigado'!$E61:$Z61,MIN(P$6-$G$3,22))&lt;&gt;""),'Arroz irrigado'!$E61:INDEX('Arroz irrigado'!$E61:$Z61,MIN(P$6-$G$3,22))),0)))))</f>
        <v>0</v>
      </c>
      <c r="Q63" s="27" t="n">
        <f aca="false">IF(COUNT('Arroz irrigado'!$E61:$Z61)=0,0,MAX(0,IF((Q$6-$E$3)&lt;1,0,IFERROR(LOOKUP(2,1/('Arroz irrigado'!$E61:INDEX('Arroz irrigado'!$E61:$Z61,MIN(Q$6-$E$3,22))&lt;&gt;""),'Arroz irrigado'!$E61:INDEX('Arroz irrigado'!$E61:$Z61,MIN(Q$6-$E$3,22))),0))-IF($G$2,0,IF((Q$6-$G$3)&lt;1,0,IFERROR(LOOKUP(2,1/('Arroz irrigado'!$E61:INDEX('Arroz irrigado'!$E61:$Z61,MIN(Q$6-$G$3,22))&lt;&gt;""),'Arroz irrigado'!$E61:INDEX('Arroz irrigado'!$E61:$Z61,MIN(Q$6-$G$3,22))),0)))))</f>
        <v>0</v>
      </c>
      <c r="R63" s="27" t="n">
        <f aca="false">IF(COUNT('Arroz irrigado'!$E61:$Z61)=0,0,MAX(0,IF((R$6-$E$3)&lt;1,0,IFERROR(LOOKUP(2,1/('Arroz irrigado'!$E61:INDEX('Arroz irrigado'!$E61:$Z61,MIN(R$6-$E$3,22))&lt;&gt;""),'Arroz irrigado'!$E61:INDEX('Arroz irrigado'!$E61:$Z61,MIN(R$6-$E$3,22))),0))-IF($G$2,0,IF((R$6-$G$3)&lt;1,0,IFERROR(LOOKUP(2,1/('Arroz irrigado'!$E61:INDEX('Arroz irrigado'!$E61:$Z61,MIN(R$6-$G$3,22))&lt;&gt;""),'Arroz irrigado'!$E61:INDEX('Arroz irrigado'!$E61:$Z61,MIN(R$6-$G$3,22))),0)))))</f>
        <v>0</v>
      </c>
      <c r="S63" s="27" t="n">
        <f aca="false">IF(COUNT('Arroz irrigado'!$E61:$Z61)=0,0,MAX(0,IF((S$6-$E$3)&lt;1,0,IFERROR(LOOKUP(2,1/('Arroz irrigado'!$E61:INDEX('Arroz irrigado'!$E61:$Z61,MIN(S$6-$E$3,22))&lt;&gt;""),'Arroz irrigado'!$E61:INDEX('Arroz irrigado'!$E61:$Z61,MIN(S$6-$E$3,22))),0))-IF($G$2,0,IF((S$6-$G$3)&lt;1,0,IFERROR(LOOKUP(2,1/('Arroz irrigado'!$E61:INDEX('Arroz irrigado'!$E61:$Z61,MIN(S$6-$G$3,22))&lt;&gt;""),'Arroz irrigado'!$E61:INDEX('Arroz irrigado'!$E61:$Z61,MIN(S$6-$G$3,22))),0)))))</f>
        <v>0</v>
      </c>
      <c r="T63" s="27" t="n">
        <f aca="false">IF(COUNT('Arroz irrigado'!$E61:$Z61)=0,0,MAX(0,IF((T$6-$E$3)&lt;1,0,IFERROR(LOOKUP(2,1/('Arroz irrigado'!$E61:INDEX('Arroz irrigado'!$E61:$Z61,MIN(T$6-$E$3,22))&lt;&gt;""),'Arroz irrigado'!$E61:INDEX('Arroz irrigado'!$E61:$Z61,MIN(T$6-$E$3,22))),0))-IF($G$2,0,IF((T$6-$G$3)&lt;1,0,IFERROR(LOOKUP(2,1/('Arroz irrigado'!$E61:INDEX('Arroz irrigado'!$E61:$Z61,MIN(T$6-$G$3,22))&lt;&gt;""),'Arroz irrigado'!$E61:INDEX('Arroz irrigado'!$E61:$Z61,MIN(T$6-$G$3,22))),0)))))</f>
        <v>0</v>
      </c>
      <c r="U63" s="27" t="n">
        <f aca="false">IF(COUNT('Arroz irrigado'!$E61:$Z61)=0,0,MAX(0,IF((U$6-$E$3)&lt;1,0,IFERROR(LOOKUP(2,1/('Arroz irrigado'!$E61:INDEX('Arroz irrigado'!$E61:$Z61,MIN(U$6-$E$3,22))&lt;&gt;""),'Arroz irrigado'!$E61:INDEX('Arroz irrigado'!$E61:$Z61,MIN(U$6-$E$3,22))),0))-IF($G$2,0,IF((U$6-$G$3)&lt;1,0,IFERROR(LOOKUP(2,1/('Arroz irrigado'!$E61:INDEX('Arroz irrigado'!$E61:$Z61,MIN(U$6-$G$3,22))&lt;&gt;""),'Arroz irrigado'!$E61:INDEX('Arroz irrigado'!$E61:$Z61,MIN(U$6-$G$3,22))),0)))))</f>
        <v>0</v>
      </c>
      <c r="V63" s="27" t="n">
        <f aca="false">IF(COUNT('Arroz irrigado'!$E61:$Z61)=0,0,MAX(0,IF((V$6-$E$3)&lt;1,0,IFERROR(LOOKUP(2,1/('Arroz irrigado'!$E61:INDEX('Arroz irrigado'!$E61:$Z61,MIN(V$6-$E$3,22))&lt;&gt;""),'Arroz irrigado'!$E61:INDEX('Arroz irrigado'!$E61:$Z61,MIN(V$6-$E$3,22))),0))-IF($G$2,0,IF((V$6-$G$3)&lt;1,0,IFERROR(LOOKUP(2,1/('Arroz irrigado'!$E61:INDEX('Arroz irrigado'!$E61:$Z61,MIN(V$6-$G$3,22))&lt;&gt;""),'Arroz irrigado'!$E61:INDEX('Arroz irrigado'!$E61:$Z61,MIN(V$6-$G$3,22))),0)))))</f>
        <v>0</v>
      </c>
      <c r="W63" s="27" t="n">
        <f aca="false">IF(COUNT('Arroz irrigado'!$E61:$Z61)=0,0,MAX(0,IF((W$6-$E$3)&lt;1,0,IFERROR(LOOKUP(2,1/('Arroz irrigado'!$E61:INDEX('Arroz irrigado'!$E61:$Z61,MIN(W$6-$E$3,22))&lt;&gt;""),'Arroz irrigado'!$E61:INDEX('Arroz irrigado'!$E61:$Z61,MIN(W$6-$E$3,22))),0))-IF($G$2,0,IF((W$6-$G$3)&lt;1,0,IFERROR(LOOKUP(2,1/('Arroz irrigado'!$E61:INDEX('Arroz irrigado'!$E61:$Z61,MIN(W$6-$G$3,22))&lt;&gt;""),'Arroz irrigado'!$E61:INDEX('Arroz irrigado'!$E61:$Z61,MIN(W$6-$G$3,22))),0)))))</f>
        <v>0</v>
      </c>
      <c r="X63" s="27" t="n">
        <f aca="false">IF(COUNT('Arroz irrigado'!$E61:$Z61)=0,0,MAX(0,IF((X$6-$E$3)&lt;1,0,IFERROR(LOOKUP(2,1/('Arroz irrigado'!$E61:INDEX('Arroz irrigado'!$E61:$Z61,MIN(X$6-$E$3,22))&lt;&gt;""),'Arroz irrigado'!$E61:INDEX('Arroz irrigado'!$E61:$Z61,MIN(X$6-$E$3,22))),0))-IF($G$2,0,IF((X$6-$G$3)&lt;1,0,IFERROR(LOOKUP(2,1/('Arroz irrigado'!$E61:INDEX('Arroz irrigado'!$E61:$Z61,MIN(X$6-$G$3,22))&lt;&gt;""),'Arroz irrigado'!$E61:INDEX('Arroz irrigado'!$E61:$Z61,MIN(X$6-$G$3,22))),0)))))</f>
        <v>0</v>
      </c>
      <c r="Y63" s="27" t="n">
        <f aca="false">IF(COUNT('Arroz irrigado'!$E61:$Z61)=0,0,MAX(0,IF((Y$6-$E$3)&lt;1,0,IFERROR(LOOKUP(2,1/('Arroz irrigado'!$E61:INDEX('Arroz irrigado'!$E61:$Z61,MIN(Y$6-$E$3,22))&lt;&gt;""),'Arroz irrigado'!$E61:INDEX('Arroz irrigado'!$E61:$Z61,MIN(Y$6-$E$3,22))),0))-IF($G$2,0,IF((Y$6-$G$3)&lt;1,0,IFERROR(LOOKUP(2,1/('Arroz irrigado'!$E61:INDEX('Arroz irrigado'!$E61:$Z61,MIN(Y$6-$G$3,22))&lt;&gt;""),'Arroz irrigado'!$E61:INDEX('Arroz irrigado'!$E61:$Z61,MIN(Y$6-$G$3,22))),0)))))</f>
        <v>0</v>
      </c>
      <c r="Z63" s="27" t="n">
        <f aca="false">IF(COUNT('Arroz irrigado'!$E61:$Z61)=0,0,MAX(0,IF((Z$6-$E$3)&lt;1,0,IFERROR(LOOKUP(2,1/('Arroz irrigado'!$E61:INDEX('Arroz irrigado'!$E61:$Z61,MIN(Z$6-$E$3,22))&lt;&gt;""),'Arroz irrigado'!$E61:INDEX('Arroz irrigado'!$E61:$Z61,MIN(Z$6-$E$3,22))),0))-IF($G$2,0,IF((Z$6-$G$3)&lt;1,0,IFERROR(LOOKUP(2,1/('Arroz irrigado'!$E61:INDEX('Arroz irrigado'!$E61:$Z61,MIN(Z$6-$G$3,22))&lt;&gt;""),'Arroz irrigado'!$E61:INDEX('Arroz irrigado'!$E61:$Z61,MIN(Z$6-$G$3,22))),0)))))</f>
        <v>0</v>
      </c>
      <c r="AA63" s="27" t="n">
        <f aca="false">IF(COUNT('Arroz irrigado'!$E61:$Z61)=0,0,MAX(0,IF((AA$6-$E$3)&lt;1,0,IFERROR(LOOKUP(2,1/('Arroz irrigado'!$E61:INDEX('Arroz irrigado'!$E61:$Z61,MIN(AA$6-$E$3,22))&lt;&gt;""),'Arroz irrigado'!$E61:INDEX('Arroz irrigado'!$E61:$Z61,MIN(AA$6-$E$3,22))),0))-IF($G$2,0,IF((AA$6-$G$3)&lt;1,0,IFERROR(LOOKUP(2,1/('Arroz irrigado'!$E61:INDEX('Arroz irrigado'!$E61:$Z61,MIN(AA$6-$G$3,22))&lt;&gt;""),'Arroz irrigado'!$E61:INDEX('Arroz irrigado'!$E61:$Z61,MIN(AA$6-$G$3,22))),0)))))</f>
        <v>0</v>
      </c>
      <c r="AB63" s="27" t="n">
        <f aca="false">IF(COUNT('Arroz irrigado'!$E61:$Z61)=0,0,MAX(0,IF((AB$6-$E$3)&lt;1,0,IFERROR(LOOKUP(2,1/('Arroz irrigado'!$E61:INDEX('Arroz irrigado'!$E61:$Z61,MIN(AB$6-$E$3,22))&lt;&gt;""),'Arroz irrigado'!$E61:INDEX('Arroz irrigado'!$E61:$Z61,MIN(AB$6-$E$3,22))),0))-IF($G$2,0,IF((AB$6-$G$3)&lt;1,0,IFERROR(LOOKUP(2,1/('Arroz irrigado'!$E61:INDEX('Arroz irrigado'!$E61:$Z61,MIN(AB$6-$G$3,22))&lt;&gt;""),'Arroz irrigado'!$E61:INDEX('Arroz irrigado'!$E61:$Z61,MIN(AB$6-$G$3,22))),0)))))</f>
        <v>0</v>
      </c>
      <c r="AC63" s="27" t="n">
        <f aca="false">IF(COUNT('Arroz irrigado'!$E61:$Z61)=0,0,MAX(0,IF((AC$6-$E$3)&lt;1,0,IFERROR(LOOKUP(2,1/('Arroz irrigado'!$E61:INDEX('Arroz irrigado'!$E61:$Z61,MIN(AC$6-$E$3,22))&lt;&gt;""),'Arroz irrigado'!$E61:INDEX('Arroz irrigado'!$E61:$Z61,MIN(AC$6-$E$3,22))),0))-IF($G$2,0,IF((AC$6-$G$3)&lt;1,0,IFERROR(LOOKUP(2,1/('Arroz irrigado'!$E61:INDEX('Arroz irrigado'!$E61:$Z61,MIN(AC$6-$G$3,22))&lt;&gt;""),'Arroz irrigado'!$E61:INDEX('Arroz irrigado'!$E61:$Z61,MIN(AC$6-$G$3,22))),0)))))</f>
        <v>0</v>
      </c>
      <c r="AD63" s="27" t="n">
        <f aca="false">IF(COUNT('Arroz irrigado'!$E61:$Z61)=0,0,MAX(0,IF((AD$6-$E$3)&lt;1,0,IFERROR(LOOKUP(2,1/('Arroz irrigado'!$E61:INDEX('Arroz irrigado'!$E61:$Z61,MIN(AD$6-$E$3,22))&lt;&gt;""),'Arroz irrigado'!$E61:INDEX('Arroz irrigado'!$E61:$Z61,MIN(AD$6-$E$3,22))),0))-IF($G$2,0,IF((AD$6-$G$3)&lt;1,0,IFERROR(LOOKUP(2,1/('Arroz irrigado'!$E61:INDEX('Arroz irrigado'!$E61:$Z61,MIN(AD$6-$G$3,22))&lt;&gt;""),'Arroz irrigado'!$E61:INDEX('Arroz irrigado'!$E61:$Z61,MIN(AD$6-$G$3,22))),0)))))</f>
        <v>0</v>
      </c>
      <c r="AE63" s="27" t="n">
        <f aca="false">IF(COUNT('Arroz irrigado'!$E61:$Z61)=0,0,MAX(0,IF((AE$6-$E$3)&lt;1,0,IFERROR(LOOKUP(2,1/('Arroz irrigado'!$E61:INDEX('Arroz irrigado'!$E61:$Z61,MIN(AE$6-$E$3,22))&lt;&gt;""),'Arroz irrigado'!$E61:INDEX('Arroz irrigado'!$E61:$Z61,MIN(AE$6-$E$3,22))),0))-IF($G$2,0,IF((AE$6-$G$3)&lt;1,0,IFERROR(LOOKUP(2,1/('Arroz irrigado'!$E61:INDEX('Arroz irrigado'!$E61:$Z61,MIN(AE$6-$G$3,22))&lt;&gt;""),'Arroz irrigado'!$E61:INDEX('Arroz irrigado'!$E61:$Z61,MIN(AE$6-$G$3,22))),0)))))</f>
        <v>0</v>
      </c>
      <c r="AF63" s="27" t="n">
        <f aca="false">IF(COUNT('Arroz irrigado'!$E61:$Z61)=0,0,MAX(0,IF((AF$6-$E$3)&lt;1,0,IFERROR(LOOKUP(2,1/('Arroz irrigado'!$E61:INDEX('Arroz irrigado'!$E61:$Z61,MIN(AF$6-$E$3,22))&lt;&gt;""),'Arroz irrigado'!$E61:INDEX('Arroz irrigado'!$E61:$Z61,MIN(AF$6-$E$3,22))),0))-IF($G$2,0,IF((AF$6-$G$3)&lt;1,0,IFERROR(LOOKUP(2,1/('Arroz irrigado'!$E61:INDEX('Arroz irrigado'!$E61:$Z61,MIN(AF$6-$G$3,22))&lt;&gt;""),'Arroz irrigado'!$E61:INDEX('Arroz irrigado'!$E61:$Z61,MIN(AF$6-$G$3,22))),0)))))</f>
        <v>0</v>
      </c>
      <c r="AG63" s="27" t="n">
        <f aca="false">IF(COUNT('Arroz irrigado'!$E61:$Z61)=0,0,MAX(0,IF((AG$6-$E$3)&lt;1,0,IFERROR(LOOKUP(2,1/('Arroz irrigado'!$E61:INDEX('Arroz irrigado'!$E61:$Z61,MIN(AG$6-$E$3,22))&lt;&gt;""),'Arroz irrigado'!$E61:INDEX('Arroz irrigado'!$E61:$Z61,MIN(AG$6-$E$3,22))),0))-IF($G$2,0,IF((AG$6-$G$3)&lt;1,0,IFERROR(LOOKUP(2,1/('Arroz irrigado'!$E61:INDEX('Arroz irrigado'!$E61:$Z61,MIN(AG$6-$G$3,22))&lt;&gt;""),'Arroz irrigado'!$E61:INDEX('Arroz irrigado'!$E61:$Z61,MIN(AG$6-$G$3,22))),0)))))</f>
        <v>0</v>
      </c>
      <c r="AH63" s="27" t="n">
        <f aca="false">IF(COUNT('Arroz irrigado'!$E61:$Z61)=0,0,MAX(0,IF((AH$6-$E$3)&lt;1,0,IFERROR(LOOKUP(2,1/('Arroz irrigado'!$E61:INDEX('Arroz irrigado'!$E61:$Z61,MIN(AH$6-$E$3,22))&lt;&gt;""),'Arroz irrigado'!$E61:INDEX('Arroz irrigado'!$E61:$Z61,MIN(AH$6-$E$3,22))),0))-IF($G$2,0,IF((AH$6-$G$3)&lt;1,0,IFERROR(LOOKUP(2,1/('Arroz irrigado'!$E61:INDEX('Arroz irrigado'!$E61:$Z61,MIN(AH$6-$G$3,22))&lt;&gt;""),'Arroz irrigado'!$E61:INDEX('Arroz irrigado'!$E61:$Z61,MIN(AH$6-$G$3,22))),0)))))</f>
        <v>0</v>
      </c>
      <c r="AI63" s="27" t="n">
        <f aca="false">IF(COUNT('Arroz irrigado'!$E61:$Z61)=0,0,MAX(0,IF((AI$6-$E$3)&lt;1,0,IFERROR(LOOKUP(2,1/('Arroz irrigado'!$E61:INDEX('Arroz irrigado'!$E61:$Z61,MIN(AI$6-$E$3,22))&lt;&gt;""),'Arroz irrigado'!$E61:INDEX('Arroz irrigado'!$E61:$Z61,MIN(AI$6-$E$3,22))),0))-IF($G$2,0,IF((AI$6-$G$3)&lt;1,0,IFERROR(LOOKUP(2,1/('Arroz irrigado'!$E61:INDEX('Arroz irrigado'!$E61:$Z61,MIN(AI$6-$G$3,22))&lt;&gt;""),'Arroz irrigado'!$E61:INDEX('Arroz irrigado'!$E61:$Z61,MIN(AI$6-$G$3,22))),0)))))</f>
        <v>0</v>
      </c>
      <c r="AJ63" s="27" t="n">
        <f aca="false">IF(COUNT('Arroz irrigado'!$E61:$Z61)=0,0,MAX(0,IF((AJ$6-$E$3)&lt;1,0,IFERROR(LOOKUP(2,1/('Arroz irrigado'!$E61:INDEX('Arroz irrigado'!$E61:$Z61,MIN(AJ$6-$E$3,22))&lt;&gt;""),'Arroz irrigado'!$E61:INDEX('Arroz irrigado'!$E61:$Z61,MIN(AJ$6-$E$3,22))),0))-IF($G$2,0,IF((AJ$6-$G$3)&lt;1,0,IFERROR(LOOKUP(2,1/('Arroz irrigado'!$E61:INDEX('Arroz irrigado'!$E61:$Z61,MIN(AJ$6-$G$3,22))&lt;&gt;""),'Arroz irrigado'!$E61:INDEX('Arroz irrigado'!$E61:$Z61,MIN(AJ$6-$G$3,22))),0)))))</f>
        <v>0</v>
      </c>
      <c r="AK63" s="27" t="n">
        <f aca="false">IF(COUNT('Arroz irrigado'!$E61:$Z61)=0,0,MAX(0,IF((AK$6-$E$3)&lt;1,0,IFERROR(LOOKUP(2,1/('Arroz irrigado'!$E61:INDEX('Arroz irrigado'!$E61:$Z61,MIN(AK$6-$E$3,22))&lt;&gt;""),'Arroz irrigado'!$E61:INDEX('Arroz irrigado'!$E61:$Z61,MIN(AK$6-$E$3,22))),0))-IF($G$2,0,IF((AK$6-$G$3)&lt;1,0,IFERROR(LOOKUP(2,1/('Arroz irrigado'!$E61:INDEX('Arroz irrigado'!$E61:$Z61,MIN(AK$6-$G$3,22))&lt;&gt;""),'Arroz irrigado'!$E61:INDEX('Arroz irrigado'!$E61:$Z61,MIN(AK$6-$G$3,22))),0)))))</f>
        <v>0</v>
      </c>
      <c r="AL63" s="27" t="n">
        <f aca="false">IF(COUNT('Arroz irrigado'!$E61:$Z61)=0,0,MAX(0,IF((AL$6-$E$3)&lt;1,0,IFERROR(LOOKUP(2,1/('Arroz irrigado'!$E61:INDEX('Arroz irrigado'!$E61:$Z61,MIN(AL$6-$E$3,22))&lt;&gt;""),'Arroz irrigado'!$E61:INDEX('Arroz irrigado'!$E61:$Z61,MIN(AL$6-$E$3,22))),0))-IF($G$2,0,IF((AL$6-$G$3)&lt;1,0,IFERROR(LOOKUP(2,1/('Arroz irrigado'!$E61:INDEX('Arroz irrigado'!$E61:$Z61,MIN(AL$6-$G$3,22))&lt;&gt;""),'Arroz irrigado'!$E61:INDEX('Arroz irrigado'!$E61:$Z61,MIN(AL$6-$G$3,22))),0)))))</f>
        <v>0</v>
      </c>
      <c r="AM63" s="27" t="n">
        <f aca="false">IF(COUNT('Arroz irrigado'!$E61:$Z61)=0,0,MAX(0,IF((AM$6-$E$3)&lt;1,0,IFERROR(LOOKUP(2,1/('Arroz irrigado'!$E61:INDEX('Arroz irrigado'!$E61:$Z61,MIN(AM$6-$E$3,22))&lt;&gt;""),'Arroz irrigado'!$E61:INDEX('Arroz irrigado'!$E61:$Z61,MIN(AM$6-$E$3,22))),0))-IF($G$2,0,IF((AM$6-$G$3)&lt;1,0,IFERROR(LOOKUP(2,1/('Arroz irrigado'!$E61:INDEX('Arroz irrigado'!$E61:$Z61,MIN(AM$6-$G$3,22))&lt;&gt;""),'Arroz irrigado'!$E61:INDEX('Arroz irrigado'!$E61:$Z61,MIN(AM$6-$G$3,22))),0)))))</f>
        <v>0</v>
      </c>
      <c r="AN63" s="27" t="n">
        <f aca="false">IF(COUNT('Arroz irrigado'!$E61:$Z61)=0,0,MAX(0,IF((AN$6-$E$3)&lt;1,0,IFERROR(LOOKUP(2,1/('Arroz irrigado'!$E61:INDEX('Arroz irrigado'!$E61:$Z61,MIN(AN$6-$E$3,22))&lt;&gt;""),'Arroz irrigado'!$E61:INDEX('Arroz irrigado'!$E61:$Z61,MIN(AN$6-$E$3,22))),0))-IF($G$2,0,IF((AN$6-$G$3)&lt;1,0,IFERROR(LOOKUP(2,1/('Arroz irrigado'!$E61:INDEX('Arroz irrigado'!$E61:$Z61,MIN(AN$6-$G$3,22))&lt;&gt;""),'Arroz irrigado'!$E61:INDEX('Arroz irrigado'!$E61:$Z61,MIN(AN$6-$G$3,22))),0)))))</f>
        <v>0</v>
      </c>
      <c r="AO63" s="27" t="n">
        <f aca="false">IF(COUNT('Arroz irrigado'!$E61:$Z61)=0,0,MAX(0,IF((AO$6-$E$3)&lt;1,0,IFERROR(LOOKUP(2,1/('Arroz irrigado'!$E61:INDEX('Arroz irrigado'!$E61:$Z61,MIN(AO$6-$E$3,22))&lt;&gt;""),'Arroz irrigado'!$E61:INDEX('Arroz irrigado'!$E61:$Z61,MIN(AO$6-$E$3,22))),0))-IF($G$2,0,IF((AO$6-$G$3)&lt;1,0,IFERROR(LOOKUP(2,1/('Arroz irrigado'!$E61:INDEX('Arroz irrigado'!$E61:$Z61,MIN(AO$6-$G$3,22))&lt;&gt;""),'Arroz irrigado'!$E61:INDEX('Arroz irrigado'!$E61:$Z61,MIN(AO$6-$G$3,22))),0)))))</f>
        <v>0</v>
      </c>
      <c r="AP63" s="27" t="n">
        <f aca="false">IF(COUNT('Arroz irrigado'!$E61:$Z61)=0,0,MAX(0,IF((AP$6-$E$3)&lt;1,0,IFERROR(LOOKUP(2,1/('Arroz irrigado'!$E61:INDEX('Arroz irrigado'!$E61:$Z61,MIN(AP$6-$E$3,22))&lt;&gt;""),'Arroz irrigado'!$E61:INDEX('Arroz irrigado'!$E61:$Z61,MIN(AP$6-$E$3,22))),0))-IF($G$2,0,IF((AP$6-$G$3)&lt;1,0,IFERROR(LOOKUP(2,1/('Arroz irrigado'!$E61:INDEX('Arroz irrigado'!$E61:$Z61,MIN(AP$6-$G$3,22))&lt;&gt;""),'Arroz irrigado'!$E61:INDEX('Arroz irrigado'!$E61:$Z61,MIN(AP$6-$G$3,22))),0)))))</f>
        <v>0</v>
      </c>
      <c r="AQ63" s="27" t="n">
        <f aca="false">IF(COUNT('Arroz irrigado'!$E61:$Z61)=0,0,MAX(0,IF((AQ$6-$E$3)&lt;1,0,IFERROR(LOOKUP(2,1/('Arroz irrigado'!$E61:INDEX('Arroz irrigado'!$E61:$Z61,MIN(AQ$6-$E$3,22))&lt;&gt;""),'Arroz irrigado'!$E61:INDEX('Arroz irrigado'!$E61:$Z61,MIN(AQ$6-$E$3,22))),0))-IF($G$2,0,IF((AQ$6-$G$3)&lt;1,0,IFERROR(LOOKUP(2,1/('Arroz irrigado'!$E61:INDEX('Arroz irrigado'!$E61:$Z61,MIN(AQ$6-$G$3,22))&lt;&gt;""),'Arroz irrigado'!$E61:INDEX('Arroz irrigado'!$E61:$Z61,MIN(AQ$6-$G$3,22))),0)))))</f>
        <v>0</v>
      </c>
      <c r="AR63" s="27" t="n">
        <f aca="false">IF(COUNT('Arroz irrigado'!$E61:$Z61)=0,0,MAX(0,IF((AR$6-$E$3)&lt;1,0,IFERROR(LOOKUP(2,1/('Arroz irrigado'!$E61:INDEX('Arroz irrigado'!$E61:$Z61,MIN(AR$6-$E$3,22))&lt;&gt;""),'Arroz irrigado'!$E61:INDEX('Arroz irrigado'!$E61:$Z61,MIN(AR$6-$E$3,22))),0))-IF($G$2,0,IF((AR$6-$G$3)&lt;1,0,IFERROR(LOOKUP(2,1/('Arroz irrigado'!$E61:INDEX('Arroz irrigado'!$E61:$Z61,MIN(AR$6-$G$3,22))&lt;&gt;""),'Arroz irrigado'!$E61:INDEX('Arroz irrigado'!$E61:$Z61,MIN(AR$6-$G$3,22))),0)))))</f>
        <v>0</v>
      </c>
      <c r="AS63" s="27" t="n">
        <f aca="false">IF(COUNT('Arroz irrigado'!$E61:$Z61)=0,0,MAX(0,IF((AS$6-$E$3)&lt;1,0,IFERROR(LOOKUP(2,1/('Arroz irrigado'!$E61:INDEX('Arroz irrigado'!$E61:$Z61,MIN(AS$6-$E$3,22))&lt;&gt;""),'Arroz irrigado'!$E61:INDEX('Arroz irrigado'!$E61:$Z61,MIN(AS$6-$E$3,22))),0))-IF($G$2,0,IF((AS$6-$G$3)&lt;1,0,IFERROR(LOOKUP(2,1/('Arroz irrigado'!$E61:INDEX('Arroz irrigado'!$E61:$Z61,MIN(AS$6-$G$3,22))&lt;&gt;""),'Arroz irrigado'!$E61:INDEX('Arroz irrigado'!$E61:$Z61,MIN(AS$6-$G$3,22))),0)))))</f>
        <v>0</v>
      </c>
      <c r="AT63" s="27" t="n">
        <f aca="false">IF(COUNT('Arroz irrigado'!$E61:$Z61)=0,0,MAX(0,IF((AT$6-$E$3)&lt;1,0,IFERROR(LOOKUP(2,1/('Arroz irrigado'!$E61:INDEX('Arroz irrigado'!$E61:$Z61,MIN(AT$6-$E$3,22))&lt;&gt;""),'Arroz irrigado'!$E61:INDEX('Arroz irrigado'!$E61:$Z61,MIN(AT$6-$E$3,22))),0))-IF($G$2,0,IF((AT$6-$G$3)&lt;1,0,IFERROR(LOOKUP(2,1/('Arroz irrigado'!$E61:INDEX('Arroz irrigado'!$E61:$Z61,MIN(AT$6-$G$3,22))&lt;&gt;""),'Arroz irrigado'!$E61:INDEX('Arroz irrigado'!$E61:$Z61,MIN(AT$6-$G$3,22))),0)))))</f>
        <v>0</v>
      </c>
      <c r="AU63" s="27" t="n">
        <f aca="false">IF(COUNT('Arroz irrigado'!$E61:$Z61)=0,0,MAX(0,IF((AU$6-$E$3)&lt;1,0,IFERROR(LOOKUP(2,1/('Arroz irrigado'!$E61:INDEX('Arroz irrigado'!$E61:$Z61,MIN(AU$6-$E$3,22))&lt;&gt;""),'Arroz irrigado'!$E61:INDEX('Arroz irrigado'!$E61:$Z61,MIN(AU$6-$E$3,22))),0))-IF($G$2,0,IF((AU$6-$G$3)&lt;1,0,IFERROR(LOOKUP(2,1/('Arroz irrigado'!$E61:INDEX('Arroz irrigado'!$E61:$Z61,MIN(AU$6-$G$3,22))&lt;&gt;""),'Arroz irrigado'!$E61:INDEX('Arroz irrigado'!$E61:$Z61,MIN(AU$6-$G$3,22))),0)))))</f>
        <v>0</v>
      </c>
      <c r="AV63" s="27" t="n">
        <f aca="false">IF(COUNT('Arroz irrigado'!$E61:$Z61)=0,0,MAX(0,IF((AV$6-$E$3)&lt;1,0,IFERROR(LOOKUP(2,1/('Arroz irrigado'!$E61:INDEX('Arroz irrigado'!$E61:$Z61,MIN(AV$6-$E$3,22))&lt;&gt;""),'Arroz irrigado'!$E61:INDEX('Arroz irrigado'!$E61:$Z61,MIN(AV$6-$E$3,22))),0))-IF($G$2,0,IF((AV$6-$G$3)&lt;1,0,IFERROR(LOOKUP(2,1/('Arroz irrigado'!$E61:INDEX('Arroz irrigado'!$E61:$Z61,MIN(AV$6-$G$3,22))&lt;&gt;""),'Arroz irrigado'!$E61:INDEX('Arroz irrigado'!$E61:$Z61,MIN(AV$6-$G$3,22))),0)))))</f>
        <v>0</v>
      </c>
      <c r="AW63" s="27" t="n">
        <f aca="false">IF(COUNT('Arroz irrigado'!$E61:$Z61)=0,0,MAX(0,IF((AW$6-$E$3)&lt;1,0,IFERROR(LOOKUP(2,1/('Arroz irrigado'!$E61:INDEX('Arroz irrigado'!$E61:$Z61,MIN(AW$6-$E$3,22))&lt;&gt;""),'Arroz irrigado'!$E61:INDEX('Arroz irrigado'!$E61:$Z61,MIN(AW$6-$E$3,22))),0))-IF($G$2,0,IF((AW$6-$G$3)&lt;1,0,IFERROR(LOOKUP(2,1/('Arroz irrigado'!$E61:INDEX('Arroz irrigado'!$E61:$Z61,MIN(AW$6-$G$3,22))&lt;&gt;""),'Arroz irrigado'!$E61:INDEX('Arroz irrigado'!$E61:$Z61,MIN(AW$6-$G$3,22))),0)))))</f>
        <v>0</v>
      </c>
      <c r="AX63" s="27" t="n">
        <f aca="false">IF(COUNT('Arroz irrigado'!$E61:$Z61)=0,0,MAX(0,IF((AX$6-$E$3)&lt;1,0,IFERROR(LOOKUP(2,1/('Arroz irrigado'!$E61:INDEX('Arroz irrigado'!$E61:$Z61,MIN(AX$6-$E$3,22))&lt;&gt;""),'Arroz irrigado'!$E61:INDEX('Arroz irrigado'!$E61:$Z61,MIN(AX$6-$E$3,22))),0))-IF($G$2,0,IF((AX$6-$G$3)&lt;1,0,IFERROR(LOOKUP(2,1/('Arroz irrigado'!$E61:INDEX('Arroz irrigado'!$E61:$Z61,MIN(AX$6-$G$3,22))&lt;&gt;""),'Arroz irrigado'!$E61:INDEX('Arroz irrigado'!$E61:$Z61,MIN(AX$6-$G$3,22))),0)))))</f>
        <v>0</v>
      </c>
      <c r="AY63" s="27" t="n">
        <f aca="false">IF(COUNT('Arroz irrigado'!$E61:$Z61)=0,0,MAX(0,IF((AY$6-$E$3)&lt;1,0,IFERROR(LOOKUP(2,1/('Arroz irrigado'!$E61:INDEX('Arroz irrigado'!$E61:$Z61,MIN(AY$6-$E$3,22))&lt;&gt;""),'Arroz irrigado'!$E61:INDEX('Arroz irrigado'!$E61:$Z61,MIN(AY$6-$E$3,22))),0))-IF($G$2,0,IF((AY$6-$G$3)&lt;1,0,IFERROR(LOOKUP(2,1/('Arroz irrigado'!$E61:INDEX('Arroz irrigado'!$E61:$Z61,MIN(AY$6-$G$3,22))&lt;&gt;""),'Arroz irrigado'!$E61:INDEX('Arroz irrigado'!$E61:$Z61,MIN(AY$6-$G$3,22))),0)))))</f>
        <v>0</v>
      </c>
      <c r="AZ63" s="27" t="n">
        <f aca="false">IF(COUNT('Arroz irrigado'!$E61:$Z61)=0,0,MAX(0,IF((AZ$6-$E$3)&lt;1,0,IFERROR(LOOKUP(2,1/('Arroz irrigado'!$E61:INDEX('Arroz irrigado'!$E61:$Z61,MIN(AZ$6-$E$3,22))&lt;&gt;""),'Arroz irrigado'!$E61:INDEX('Arroz irrigado'!$E61:$Z61,MIN(AZ$6-$E$3,22))),0))-IF($G$2,0,IF((AZ$6-$G$3)&lt;1,0,IFERROR(LOOKUP(2,1/('Arroz irrigado'!$E61:INDEX('Arroz irrigado'!$E61:$Z61,MIN(AZ$6-$G$3,22))&lt;&gt;""),'Arroz irrigado'!$E61:INDEX('Arroz irrigado'!$E61:$Z61,MIN(AZ$6-$G$3,22))),0)))))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IF(COUNT('Arroz irrigado'!$E62:$Z62)&gt;0,N('Arroz irrigado'!$D62),0)</f>
        <v>0</v>
      </c>
      <c r="E64" s="27" t="n">
        <f aca="false">IF(COUNT('Arroz irrigado'!$E62:$Z62)=0,0,MAX(0,IF((E$6-$E$3)&lt;1,0,IFERROR(LOOKUP(2,1/('Arroz irrigado'!$E62:INDEX('Arroz irrigado'!$E62:$Z62,MIN(E$6-$E$3,22))&lt;&gt;""),'Arroz irrigado'!$E62:INDEX('Arroz irrigado'!$E62:$Z62,MIN(E$6-$E$3,22))),0))-IF($G$2,0,IF((E$6-$G$3)&lt;1,0,IFERROR(LOOKUP(2,1/('Arroz irrigado'!$E62:INDEX('Arroz irrigado'!$E62:$Z62,MIN(E$6-$G$3,22))&lt;&gt;""),'Arroz irrigado'!$E62:INDEX('Arroz irrigado'!$E62:$Z62,MIN(E$6-$G$3,22))),0)))))</f>
        <v>0</v>
      </c>
      <c r="F64" s="27" t="n">
        <f aca="false">IF(COUNT('Arroz irrigado'!$E62:$Z62)=0,0,MAX(0,IF((F$6-$E$3)&lt;1,0,IFERROR(LOOKUP(2,1/('Arroz irrigado'!$E62:INDEX('Arroz irrigado'!$E62:$Z62,MIN(F$6-$E$3,22))&lt;&gt;""),'Arroz irrigado'!$E62:INDEX('Arroz irrigado'!$E62:$Z62,MIN(F$6-$E$3,22))),0))-IF($G$2,0,IF((F$6-$G$3)&lt;1,0,IFERROR(LOOKUP(2,1/('Arroz irrigado'!$E62:INDEX('Arroz irrigado'!$E62:$Z62,MIN(F$6-$G$3,22))&lt;&gt;""),'Arroz irrigado'!$E62:INDEX('Arroz irrigado'!$E62:$Z62,MIN(F$6-$G$3,22))),0)))))</f>
        <v>0</v>
      </c>
      <c r="G64" s="27" t="n">
        <f aca="false">IF(COUNT('Arroz irrigado'!$E62:$Z62)=0,0,MAX(0,IF((G$6-$E$3)&lt;1,0,IFERROR(LOOKUP(2,1/('Arroz irrigado'!$E62:INDEX('Arroz irrigado'!$E62:$Z62,MIN(G$6-$E$3,22))&lt;&gt;""),'Arroz irrigado'!$E62:INDEX('Arroz irrigado'!$E62:$Z62,MIN(G$6-$E$3,22))),0))-IF($G$2,0,IF((G$6-$G$3)&lt;1,0,IFERROR(LOOKUP(2,1/('Arroz irrigado'!$E62:INDEX('Arroz irrigado'!$E62:$Z62,MIN(G$6-$G$3,22))&lt;&gt;""),'Arroz irrigado'!$E62:INDEX('Arroz irrigado'!$E62:$Z62,MIN(G$6-$G$3,22))),0)))))</f>
        <v>0</v>
      </c>
      <c r="H64" s="27" t="n">
        <f aca="false">IF(COUNT('Arroz irrigado'!$E62:$Z62)=0,0,MAX(0,IF((H$6-$E$3)&lt;1,0,IFERROR(LOOKUP(2,1/('Arroz irrigado'!$E62:INDEX('Arroz irrigado'!$E62:$Z62,MIN(H$6-$E$3,22))&lt;&gt;""),'Arroz irrigado'!$E62:INDEX('Arroz irrigado'!$E62:$Z62,MIN(H$6-$E$3,22))),0))-IF($G$2,0,IF((H$6-$G$3)&lt;1,0,IFERROR(LOOKUP(2,1/('Arroz irrigado'!$E62:INDEX('Arroz irrigado'!$E62:$Z62,MIN(H$6-$G$3,22))&lt;&gt;""),'Arroz irrigado'!$E62:INDEX('Arroz irrigado'!$E62:$Z62,MIN(H$6-$G$3,22))),0)))))</f>
        <v>0</v>
      </c>
      <c r="I64" s="27" t="n">
        <f aca="false">IF(COUNT('Arroz irrigado'!$E62:$Z62)=0,0,MAX(0,IF((I$6-$E$3)&lt;1,0,IFERROR(LOOKUP(2,1/('Arroz irrigado'!$E62:INDEX('Arroz irrigado'!$E62:$Z62,MIN(I$6-$E$3,22))&lt;&gt;""),'Arroz irrigado'!$E62:INDEX('Arroz irrigado'!$E62:$Z62,MIN(I$6-$E$3,22))),0))-IF($G$2,0,IF((I$6-$G$3)&lt;1,0,IFERROR(LOOKUP(2,1/('Arroz irrigado'!$E62:INDEX('Arroz irrigado'!$E62:$Z62,MIN(I$6-$G$3,22))&lt;&gt;""),'Arroz irrigado'!$E62:INDEX('Arroz irrigado'!$E62:$Z62,MIN(I$6-$G$3,22))),0)))))</f>
        <v>0</v>
      </c>
      <c r="J64" s="27" t="n">
        <f aca="false">IF(COUNT('Arroz irrigado'!$E62:$Z62)=0,0,MAX(0,IF((J$6-$E$3)&lt;1,0,IFERROR(LOOKUP(2,1/('Arroz irrigado'!$E62:INDEX('Arroz irrigado'!$E62:$Z62,MIN(J$6-$E$3,22))&lt;&gt;""),'Arroz irrigado'!$E62:INDEX('Arroz irrigado'!$E62:$Z62,MIN(J$6-$E$3,22))),0))-IF($G$2,0,IF((J$6-$G$3)&lt;1,0,IFERROR(LOOKUP(2,1/('Arroz irrigado'!$E62:INDEX('Arroz irrigado'!$E62:$Z62,MIN(J$6-$G$3,22))&lt;&gt;""),'Arroz irrigado'!$E62:INDEX('Arroz irrigado'!$E62:$Z62,MIN(J$6-$G$3,22))),0)))))</f>
        <v>0</v>
      </c>
      <c r="K64" s="27" t="n">
        <f aca="false">IF(COUNT('Arroz irrigado'!$E62:$Z62)=0,0,MAX(0,IF((K$6-$E$3)&lt;1,0,IFERROR(LOOKUP(2,1/('Arroz irrigado'!$E62:INDEX('Arroz irrigado'!$E62:$Z62,MIN(K$6-$E$3,22))&lt;&gt;""),'Arroz irrigado'!$E62:INDEX('Arroz irrigado'!$E62:$Z62,MIN(K$6-$E$3,22))),0))-IF($G$2,0,IF((K$6-$G$3)&lt;1,0,IFERROR(LOOKUP(2,1/('Arroz irrigado'!$E62:INDEX('Arroz irrigado'!$E62:$Z62,MIN(K$6-$G$3,22))&lt;&gt;""),'Arroz irrigado'!$E62:INDEX('Arroz irrigado'!$E62:$Z62,MIN(K$6-$G$3,22))),0)))))</f>
        <v>0</v>
      </c>
      <c r="L64" s="27" t="n">
        <f aca="false">IF(COUNT('Arroz irrigado'!$E62:$Z62)=0,0,MAX(0,IF((L$6-$E$3)&lt;1,0,IFERROR(LOOKUP(2,1/('Arroz irrigado'!$E62:INDEX('Arroz irrigado'!$E62:$Z62,MIN(L$6-$E$3,22))&lt;&gt;""),'Arroz irrigado'!$E62:INDEX('Arroz irrigado'!$E62:$Z62,MIN(L$6-$E$3,22))),0))-IF($G$2,0,IF((L$6-$G$3)&lt;1,0,IFERROR(LOOKUP(2,1/('Arroz irrigado'!$E62:INDEX('Arroz irrigado'!$E62:$Z62,MIN(L$6-$G$3,22))&lt;&gt;""),'Arroz irrigado'!$E62:INDEX('Arroz irrigado'!$E62:$Z62,MIN(L$6-$G$3,22))),0)))))</f>
        <v>0</v>
      </c>
      <c r="M64" s="27" t="n">
        <f aca="false">IF(COUNT('Arroz irrigado'!$E62:$Z62)=0,0,MAX(0,IF((M$6-$E$3)&lt;1,0,IFERROR(LOOKUP(2,1/('Arroz irrigado'!$E62:INDEX('Arroz irrigado'!$E62:$Z62,MIN(M$6-$E$3,22))&lt;&gt;""),'Arroz irrigado'!$E62:INDEX('Arroz irrigado'!$E62:$Z62,MIN(M$6-$E$3,22))),0))-IF($G$2,0,IF((M$6-$G$3)&lt;1,0,IFERROR(LOOKUP(2,1/('Arroz irrigado'!$E62:INDEX('Arroz irrigado'!$E62:$Z62,MIN(M$6-$G$3,22))&lt;&gt;""),'Arroz irrigado'!$E62:INDEX('Arroz irrigado'!$E62:$Z62,MIN(M$6-$G$3,22))),0)))))</f>
        <v>0</v>
      </c>
      <c r="N64" s="27" t="n">
        <f aca="false">IF(COUNT('Arroz irrigado'!$E62:$Z62)=0,0,MAX(0,IF((N$6-$E$3)&lt;1,0,IFERROR(LOOKUP(2,1/('Arroz irrigado'!$E62:INDEX('Arroz irrigado'!$E62:$Z62,MIN(N$6-$E$3,22))&lt;&gt;""),'Arroz irrigado'!$E62:INDEX('Arroz irrigado'!$E62:$Z62,MIN(N$6-$E$3,22))),0))-IF($G$2,0,IF((N$6-$G$3)&lt;1,0,IFERROR(LOOKUP(2,1/('Arroz irrigado'!$E62:INDEX('Arroz irrigado'!$E62:$Z62,MIN(N$6-$G$3,22))&lt;&gt;""),'Arroz irrigado'!$E62:INDEX('Arroz irrigado'!$E62:$Z62,MIN(N$6-$G$3,22))),0)))))</f>
        <v>0</v>
      </c>
      <c r="O64" s="27" t="n">
        <f aca="false">IF(COUNT('Arroz irrigado'!$E62:$Z62)=0,0,MAX(0,IF((O$6-$E$3)&lt;1,0,IFERROR(LOOKUP(2,1/('Arroz irrigado'!$E62:INDEX('Arroz irrigado'!$E62:$Z62,MIN(O$6-$E$3,22))&lt;&gt;""),'Arroz irrigado'!$E62:INDEX('Arroz irrigado'!$E62:$Z62,MIN(O$6-$E$3,22))),0))-IF($G$2,0,IF((O$6-$G$3)&lt;1,0,IFERROR(LOOKUP(2,1/('Arroz irrigado'!$E62:INDEX('Arroz irrigado'!$E62:$Z62,MIN(O$6-$G$3,22))&lt;&gt;""),'Arroz irrigado'!$E62:INDEX('Arroz irrigado'!$E62:$Z62,MIN(O$6-$G$3,22))),0)))))</f>
        <v>0</v>
      </c>
      <c r="P64" s="27" t="n">
        <f aca="false">IF(COUNT('Arroz irrigado'!$E62:$Z62)=0,0,MAX(0,IF((P$6-$E$3)&lt;1,0,IFERROR(LOOKUP(2,1/('Arroz irrigado'!$E62:INDEX('Arroz irrigado'!$E62:$Z62,MIN(P$6-$E$3,22))&lt;&gt;""),'Arroz irrigado'!$E62:INDEX('Arroz irrigado'!$E62:$Z62,MIN(P$6-$E$3,22))),0))-IF($G$2,0,IF((P$6-$G$3)&lt;1,0,IFERROR(LOOKUP(2,1/('Arroz irrigado'!$E62:INDEX('Arroz irrigado'!$E62:$Z62,MIN(P$6-$G$3,22))&lt;&gt;""),'Arroz irrigado'!$E62:INDEX('Arroz irrigado'!$E62:$Z62,MIN(P$6-$G$3,22))),0)))))</f>
        <v>0</v>
      </c>
      <c r="Q64" s="27" t="n">
        <f aca="false">IF(COUNT('Arroz irrigado'!$E62:$Z62)=0,0,MAX(0,IF((Q$6-$E$3)&lt;1,0,IFERROR(LOOKUP(2,1/('Arroz irrigado'!$E62:INDEX('Arroz irrigado'!$E62:$Z62,MIN(Q$6-$E$3,22))&lt;&gt;""),'Arroz irrigado'!$E62:INDEX('Arroz irrigado'!$E62:$Z62,MIN(Q$6-$E$3,22))),0))-IF($G$2,0,IF((Q$6-$G$3)&lt;1,0,IFERROR(LOOKUP(2,1/('Arroz irrigado'!$E62:INDEX('Arroz irrigado'!$E62:$Z62,MIN(Q$6-$G$3,22))&lt;&gt;""),'Arroz irrigado'!$E62:INDEX('Arroz irrigado'!$E62:$Z62,MIN(Q$6-$G$3,22))),0)))))</f>
        <v>0</v>
      </c>
      <c r="R64" s="27" t="n">
        <f aca="false">IF(COUNT('Arroz irrigado'!$E62:$Z62)=0,0,MAX(0,IF((R$6-$E$3)&lt;1,0,IFERROR(LOOKUP(2,1/('Arroz irrigado'!$E62:INDEX('Arroz irrigado'!$E62:$Z62,MIN(R$6-$E$3,22))&lt;&gt;""),'Arroz irrigado'!$E62:INDEX('Arroz irrigado'!$E62:$Z62,MIN(R$6-$E$3,22))),0))-IF($G$2,0,IF((R$6-$G$3)&lt;1,0,IFERROR(LOOKUP(2,1/('Arroz irrigado'!$E62:INDEX('Arroz irrigado'!$E62:$Z62,MIN(R$6-$G$3,22))&lt;&gt;""),'Arroz irrigado'!$E62:INDEX('Arroz irrigado'!$E62:$Z62,MIN(R$6-$G$3,22))),0)))))</f>
        <v>0</v>
      </c>
      <c r="S64" s="27" t="n">
        <f aca="false">IF(COUNT('Arroz irrigado'!$E62:$Z62)=0,0,MAX(0,IF((S$6-$E$3)&lt;1,0,IFERROR(LOOKUP(2,1/('Arroz irrigado'!$E62:INDEX('Arroz irrigado'!$E62:$Z62,MIN(S$6-$E$3,22))&lt;&gt;""),'Arroz irrigado'!$E62:INDEX('Arroz irrigado'!$E62:$Z62,MIN(S$6-$E$3,22))),0))-IF($G$2,0,IF((S$6-$G$3)&lt;1,0,IFERROR(LOOKUP(2,1/('Arroz irrigado'!$E62:INDEX('Arroz irrigado'!$E62:$Z62,MIN(S$6-$G$3,22))&lt;&gt;""),'Arroz irrigado'!$E62:INDEX('Arroz irrigado'!$E62:$Z62,MIN(S$6-$G$3,22))),0)))))</f>
        <v>0</v>
      </c>
      <c r="T64" s="27" t="n">
        <f aca="false">IF(COUNT('Arroz irrigado'!$E62:$Z62)=0,0,MAX(0,IF((T$6-$E$3)&lt;1,0,IFERROR(LOOKUP(2,1/('Arroz irrigado'!$E62:INDEX('Arroz irrigado'!$E62:$Z62,MIN(T$6-$E$3,22))&lt;&gt;""),'Arroz irrigado'!$E62:INDEX('Arroz irrigado'!$E62:$Z62,MIN(T$6-$E$3,22))),0))-IF($G$2,0,IF((T$6-$G$3)&lt;1,0,IFERROR(LOOKUP(2,1/('Arroz irrigado'!$E62:INDEX('Arroz irrigado'!$E62:$Z62,MIN(T$6-$G$3,22))&lt;&gt;""),'Arroz irrigado'!$E62:INDEX('Arroz irrigado'!$E62:$Z62,MIN(T$6-$G$3,22))),0)))))</f>
        <v>0</v>
      </c>
      <c r="U64" s="27" t="n">
        <f aca="false">IF(COUNT('Arroz irrigado'!$E62:$Z62)=0,0,MAX(0,IF((U$6-$E$3)&lt;1,0,IFERROR(LOOKUP(2,1/('Arroz irrigado'!$E62:INDEX('Arroz irrigado'!$E62:$Z62,MIN(U$6-$E$3,22))&lt;&gt;""),'Arroz irrigado'!$E62:INDEX('Arroz irrigado'!$E62:$Z62,MIN(U$6-$E$3,22))),0))-IF($G$2,0,IF((U$6-$G$3)&lt;1,0,IFERROR(LOOKUP(2,1/('Arroz irrigado'!$E62:INDEX('Arroz irrigado'!$E62:$Z62,MIN(U$6-$G$3,22))&lt;&gt;""),'Arroz irrigado'!$E62:INDEX('Arroz irrigado'!$E62:$Z62,MIN(U$6-$G$3,22))),0)))))</f>
        <v>0</v>
      </c>
      <c r="V64" s="27" t="n">
        <f aca="false">IF(COUNT('Arroz irrigado'!$E62:$Z62)=0,0,MAX(0,IF((V$6-$E$3)&lt;1,0,IFERROR(LOOKUP(2,1/('Arroz irrigado'!$E62:INDEX('Arroz irrigado'!$E62:$Z62,MIN(V$6-$E$3,22))&lt;&gt;""),'Arroz irrigado'!$E62:INDEX('Arroz irrigado'!$E62:$Z62,MIN(V$6-$E$3,22))),0))-IF($G$2,0,IF((V$6-$G$3)&lt;1,0,IFERROR(LOOKUP(2,1/('Arroz irrigado'!$E62:INDEX('Arroz irrigado'!$E62:$Z62,MIN(V$6-$G$3,22))&lt;&gt;""),'Arroz irrigado'!$E62:INDEX('Arroz irrigado'!$E62:$Z62,MIN(V$6-$G$3,22))),0)))))</f>
        <v>0</v>
      </c>
      <c r="W64" s="27" t="n">
        <f aca="false">IF(COUNT('Arroz irrigado'!$E62:$Z62)=0,0,MAX(0,IF((W$6-$E$3)&lt;1,0,IFERROR(LOOKUP(2,1/('Arroz irrigado'!$E62:INDEX('Arroz irrigado'!$E62:$Z62,MIN(W$6-$E$3,22))&lt;&gt;""),'Arroz irrigado'!$E62:INDEX('Arroz irrigado'!$E62:$Z62,MIN(W$6-$E$3,22))),0))-IF($G$2,0,IF((W$6-$G$3)&lt;1,0,IFERROR(LOOKUP(2,1/('Arroz irrigado'!$E62:INDEX('Arroz irrigado'!$E62:$Z62,MIN(W$6-$G$3,22))&lt;&gt;""),'Arroz irrigado'!$E62:INDEX('Arroz irrigado'!$E62:$Z62,MIN(W$6-$G$3,22))),0)))))</f>
        <v>0</v>
      </c>
      <c r="X64" s="27" t="n">
        <f aca="false">IF(COUNT('Arroz irrigado'!$E62:$Z62)=0,0,MAX(0,IF((X$6-$E$3)&lt;1,0,IFERROR(LOOKUP(2,1/('Arroz irrigado'!$E62:INDEX('Arroz irrigado'!$E62:$Z62,MIN(X$6-$E$3,22))&lt;&gt;""),'Arroz irrigado'!$E62:INDEX('Arroz irrigado'!$E62:$Z62,MIN(X$6-$E$3,22))),0))-IF($G$2,0,IF((X$6-$G$3)&lt;1,0,IFERROR(LOOKUP(2,1/('Arroz irrigado'!$E62:INDEX('Arroz irrigado'!$E62:$Z62,MIN(X$6-$G$3,22))&lt;&gt;""),'Arroz irrigado'!$E62:INDEX('Arroz irrigado'!$E62:$Z62,MIN(X$6-$G$3,22))),0)))))</f>
        <v>0</v>
      </c>
      <c r="Y64" s="27" t="n">
        <f aca="false">IF(COUNT('Arroz irrigado'!$E62:$Z62)=0,0,MAX(0,IF((Y$6-$E$3)&lt;1,0,IFERROR(LOOKUP(2,1/('Arroz irrigado'!$E62:INDEX('Arroz irrigado'!$E62:$Z62,MIN(Y$6-$E$3,22))&lt;&gt;""),'Arroz irrigado'!$E62:INDEX('Arroz irrigado'!$E62:$Z62,MIN(Y$6-$E$3,22))),0))-IF($G$2,0,IF((Y$6-$G$3)&lt;1,0,IFERROR(LOOKUP(2,1/('Arroz irrigado'!$E62:INDEX('Arroz irrigado'!$E62:$Z62,MIN(Y$6-$G$3,22))&lt;&gt;""),'Arroz irrigado'!$E62:INDEX('Arroz irrigado'!$E62:$Z62,MIN(Y$6-$G$3,22))),0)))))</f>
        <v>0</v>
      </c>
      <c r="Z64" s="27" t="n">
        <f aca="false">IF(COUNT('Arroz irrigado'!$E62:$Z62)=0,0,MAX(0,IF((Z$6-$E$3)&lt;1,0,IFERROR(LOOKUP(2,1/('Arroz irrigado'!$E62:INDEX('Arroz irrigado'!$E62:$Z62,MIN(Z$6-$E$3,22))&lt;&gt;""),'Arroz irrigado'!$E62:INDEX('Arroz irrigado'!$E62:$Z62,MIN(Z$6-$E$3,22))),0))-IF($G$2,0,IF((Z$6-$G$3)&lt;1,0,IFERROR(LOOKUP(2,1/('Arroz irrigado'!$E62:INDEX('Arroz irrigado'!$E62:$Z62,MIN(Z$6-$G$3,22))&lt;&gt;""),'Arroz irrigado'!$E62:INDEX('Arroz irrigado'!$E62:$Z62,MIN(Z$6-$G$3,22))),0)))))</f>
        <v>0</v>
      </c>
      <c r="AA64" s="27" t="n">
        <f aca="false">IF(COUNT('Arroz irrigado'!$E62:$Z62)=0,0,MAX(0,IF((AA$6-$E$3)&lt;1,0,IFERROR(LOOKUP(2,1/('Arroz irrigado'!$E62:INDEX('Arroz irrigado'!$E62:$Z62,MIN(AA$6-$E$3,22))&lt;&gt;""),'Arroz irrigado'!$E62:INDEX('Arroz irrigado'!$E62:$Z62,MIN(AA$6-$E$3,22))),0))-IF($G$2,0,IF((AA$6-$G$3)&lt;1,0,IFERROR(LOOKUP(2,1/('Arroz irrigado'!$E62:INDEX('Arroz irrigado'!$E62:$Z62,MIN(AA$6-$G$3,22))&lt;&gt;""),'Arroz irrigado'!$E62:INDEX('Arroz irrigado'!$E62:$Z62,MIN(AA$6-$G$3,22))),0)))))</f>
        <v>0</v>
      </c>
      <c r="AB64" s="27" t="n">
        <f aca="false">IF(COUNT('Arroz irrigado'!$E62:$Z62)=0,0,MAX(0,IF((AB$6-$E$3)&lt;1,0,IFERROR(LOOKUP(2,1/('Arroz irrigado'!$E62:INDEX('Arroz irrigado'!$E62:$Z62,MIN(AB$6-$E$3,22))&lt;&gt;""),'Arroz irrigado'!$E62:INDEX('Arroz irrigado'!$E62:$Z62,MIN(AB$6-$E$3,22))),0))-IF($G$2,0,IF((AB$6-$G$3)&lt;1,0,IFERROR(LOOKUP(2,1/('Arroz irrigado'!$E62:INDEX('Arroz irrigado'!$E62:$Z62,MIN(AB$6-$G$3,22))&lt;&gt;""),'Arroz irrigado'!$E62:INDEX('Arroz irrigado'!$E62:$Z62,MIN(AB$6-$G$3,22))),0)))))</f>
        <v>0</v>
      </c>
      <c r="AC64" s="27" t="n">
        <f aca="false">IF(COUNT('Arroz irrigado'!$E62:$Z62)=0,0,MAX(0,IF((AC$6-$E$3)&lt;1,0,IFERROR(LOOKUP(2,1/('Arroz irrigado'!$E62:INDEX('Arroz irrigado'!$E62:$Z62,MIN(AC$6-$E$3,22))&lt;&gt;""),'Arroz irrigado'!$E62:INDEX('Arroz irrigado'!$E62:$Z62,MIN(AC$6-$E$3,22))),0))-IF($G$2,0,IF((AC$6-$G$3)&lt;1,0,IFERROR(LOOKUP(2,1/('Arroz irrigado'!$E62:INDEX('Arroz irrigado'!$E62:$Z62,MIN(AC$6-$G$3,22))&lt;&gt;""),'Arroz irrigado'!$E62:INDEX('Arroz irrigado'!$E62:$Z62,MIN(AC$6-$G$3,22))),0)))))</f>
        <v>0</v>
      </c>
      <c r="AD64" s="27" t="n">
        <f aca="false">IF(COUNT('Arroz irrigado'!$E62:$Z62)=0,0,MAX(0,IF((AD$6-$E$3)&lt;1,0,IFERROR(LOOKUP(2,1/('Arroz irrigado'!$E62:INDEX('Arroz irrigado'!$E62:$Z62,MIN(AD$6-$E$3,22))&lt;&gt;""),'Arroz irrigado'!$E62:INDEX('Arroz irrigado'!$E62:$Z62,MIN(AD$6-$E$3,22))),0))-IF($G$2,0,IF((AD$6-$G$3)&lt;1,0,IFERROR(LOOKUP(2,1/('Arroz irrigado'!$E62:INDEX('Arroz irrigado'!$E62:$Z62,MIN(AD$6-$G$3,22))&lt;&gt;""),'Arroz irrigado'!$E62:INDEX('Arroz irrigado'!$E62:$Z62,MIN(AD$6-$G$3,22))),0)))))</f>
        <v>0</v>
      </c>
      <c r="AE64" s="27" t="n">
        <f aca="false">IF(COUNT('Arroz irrigado'!$E62:$Z62)=0,0,MAX(0,IF((AE$6-$E$3)&lt;1,0,IFERROR(LOOKUP(2,1/('Arroz irrigado'!$E62:INDEX('Arroz irrigado'!$E62:$Z62,MIN(AE$6-$E$3,22))&lt;&gt;""),'Arroz irrigado'!$E62:INDEX('Arroz irrigado'!$E62:$Z62,MIN(AE$6-$E$3,22))),0))-IF($G$2,0,IF((AE$6-$G$3)&lt;1,0,IFERROR(LOOKUP(2,1/('Arroz irrigado'!$E62:INDEX('Arroz irrigado'!$E62:$Z62,MIN(AE$6-$G$3,22))&lt;&gt;""),'Arroz irrigado'!$E62:INDEX('Arroz irrigado'!$E62:$Z62,MIN(AE$6-$G$3,22))),0)))))</f>
        <v>0</v>
      </c>
      <c r="AF64" s="27" t="n">
        <f aca="false">IF(COUNT('Arroz irrigado'!$E62:$Z62)=0,0,MAX(0,IF((AF$6-$E$3)&lt;1,0,IFERROR(LOOKUP(2,1/('Arroz irrigado'!$E62:INDEX('Arroz irrigado'!$E62:$Z62,MIN(AF$6-$E$3,22))&lt;&gt;""),'Arroz irrigado'!$E62:INDEX('Arroz irrigado'!$E62:$Z62,MIN(AF$6-$E$3,22))),0))-IF($G$2,0,IF((AF$6-$G$3)&lt;1,0,IFERROR(LOOKUP(2,1/('Arroz irrigado'!$E62:INDEX('Arroz irrigado'!$E62:$Z62,MIN(AF$6-$G$3,22))&lt;&gt;""),'Arroz irrigado'!$E62:INDEX('Arroz irrigado'!$E62:$Z62,MIN(AF$6-$G$3,22))),0)))))</f>
        <v>0</v>
      </c>
      <c r="AG64" s="27" t="n">
        <f aca="false">IF(COUNT('Arroz irrigado'!$E62:$Z62)=0,0,MAX(0,IF((AG$6-$E$3)&lt;1,0,IFERROR(LOOKUP(2,1/('Arroz irrigado'!$E62:INDEX('Arroz irrigado'!$E62:$Z62,MIN(AG$6-$E$3,22))&lt;&gt;""),'Arroz irrigado'!$E62:INDEX('Arroz irrigado'!$E62:$Z62,MIN(AG$6-$E$3,22))),0))-IF($G$2,0,IF((AG$6-$G$3)&lt;1,0,IFERROR(LOOKUP(2,1/('Arroz irrigado'!$E62:INDEX('Arroz irrigado'!$E62:$Z62,MIN(AG$6-$G$3,22))&lt;&gt;""),'Arroz irrigado'!$E62:INDEX('Arroz irrigado'!$E62:$Z62,MIN(AG$6-$G$3,22))),0)))))</f>
        <v>0</v>
      </c>
      <c r="AH64" s="27" t="n">
        <f aca="false">IF(COUNT('Arroz irrigado'!$E62:$Z62)=0,0,MAX(0,IF((AH$6-$E$3)&lt;1,0,IFERROR(LOOKUP(2,1/('Arroz irrigado'!$E62:INDEX('Arroz irrigado'!$E62:$Z62,MIN(AH$6-$E$3,22))&lt;&gt;""),'Arroz irrigado'!$E62:INDEX('Arroz irrigado'!$E62:$Z62,MIN(AH$6-$E$3,22))),0))-IF($G$2,0,IF((AH$6-$G$3)&lt;1,0,IFERROR(LOOKUP(2,1/('Arroz irrigado'!$E62:INDEX('Arroz irrigado'!$E62:$Z62,MIN(AH$6-$G$3,22))&lt;&gt;""),'Arroz irrigado'!$E62:INDEX('Arroz irrigado'!$E62:$Z62,MIN(AH$6-$G$3,22))),0)))))</f>
        <v>0</v>
      </c>
      <c r="AI64" s="27" t="n">
        <f aca="false">IF(COUNT('Arroz irrigado'!$E62:$Z62)=0,0,MAX(0,IF((AI$6-$E$3)&lt;1,0,IFERROR(LOOKUP(2,1/('Arroz irrigado'!$E62:INDEX('Arroz irrigado'!$E62:$Z62,MIN(AI$6-$E$3,22))&lt;&gt;""),'Arroz irrigado'!$E62:INDEX('Arroz irrigado'!$E62:$Z62,MIN(AI$6-$E$3,22))),0))-IF($G$2,0,IF((AI$6-$G$3)&lt;1,0,IFERROR(LOOKUP(2,1/('Arroz irrigado'!$E62:INDEX('Arroz irrigado'!$E62:$Z62,MIN(AI$6-$G$3,22))&lt;&gt;""),'Arroz irrigado'!$E62:INDEX('Arroz irrigado'!$E62:$Z62,MIN(AI$6-$G$3,22))),0)))))</f>
        <v>0</v>
      </c>
      <c r="AJ64" s="27" t="n">
        <f aca="false">IF(COUNT('Arroz irrigado'!$E62:$Z62)=0,0,MAX(0,IF((AJ$6-$E$3)&lt;1,0,IFERROR(LOOKUP(2,1/('Arroz irrigado'!$E62:INDEX('Arroz irrigado'!$E62:$Z62,MIN(AJ$6-$E$3,22))&lt;&gt;""),'Arroz irrigado'!$E62:INDEX('Arroz irrigado'!$E62:$Z62,MIN(AJ$6-$E$3,22))),0))-IF($G$2,0,IF((AJ$6-$G$3)&lt;1,0,IFERROR(LOOKUP(2,1/('Arroz irrigado'!$E62:INDEX('Arroz irrigado'!$E62:$Z62,MIN(AJ$6-$G$3,22))&lt;&gt;""),'Arroz irrigado'!$E62:INDEX('Arroz irrigado'!$E62:$Z62,MIN(AJ$6-$G$3,22))),0)))))</f>
        <v>0</v>
      </c>
      <c r="AK64" s="27" t="n">
        <f aca="false">IF(COUNT('Arroz irrigado'!$E62:$Z62)=0,0,MAX(0,IF((AK$6-$E$3)&lt;1,0,IFERROR(LOOKUP(2,1/('Arroz irrigado'!$E62:INDEX('Arroz irrigado'!$E62:$Z62,MIN(AK$6-$E$3,22))&lt;&gt;""),'Arroz irrigado'!$E62:INDEX('Arroz irrigado'!$E62:$Z62,MIN(AK$6-$E$3,22))),0))-IF($G$2,0,IF((AK$6-$G$3)&lt;1,0,IFERROR(LOOKUP(2,1/('Arroz irrigado'!$E62:INDEX('Arroz irrigado'!$E62:$Z62,MIN(AK$6-$G$3,22))&lt;&gt;""),'Arroz irrigado'!$E62:INDEX('Arroz irrigado'!$E62:$Z62,MIN(AK$6-$G$3,22))),0)))))</f>
        <v>0</v>
      </c>
      <c r="AL64" s="27" t="n">
        <f aca="false">IF(COUNT('Arroz irrigado'!$E62:$Z62)=0,0,MAX(0,IF((AL$6-$E$3)&lt;1,0,IFERROR(LOOKUP(2,1/('Arroz irrigado'!$E62:INDEX('Arroz irrigado'!$E62:$Z62,MIN(AL$6-$E$3,22))&lt;&gt;""),'Arroz irrigado'!$E62:INDEX('Arroz irrigado'!$E62:$Z62,MIN(AL$6-$E$3,22))),0))-IF($G$2,0,IF((AL$6-$G$3)&lt;1,0,IFERROR(LOOKUP(2,1/('Arroz irrigado'!$E62:INDEX('Arroz irrigado'!$E62:$Z62,MIN(AL$6-$G$3,22))&lt;&gt;""),'Arroz irrigado'!$E62:INDEX('Arroz irrigado'!$E62:$Z62,MIN(AL$6-$G$3,22))),0)))))</f>
        <v>0</v>
      </c>
      <c r="AM64" s="27" t="n">
        <f aca="false">IF(COUNT('Arroz irrigado'!$E62:$Z62)=0,0,MAX(0,IF((AM$6-$E$3)&lt;1,0,IFERROR(LOOKUP(2,1/('Arroz irrigado'!$E62:INDEX('Arroz irrigado'!$E62:$Z62,MIN(AM$6-$E$3,22))&lt;&gt;""),'Arroz irrigado'!$E62:INDEX('Arroz irrigado'!$E62:$Z62,MIN(AM$6-$E$3,22))),0))-IF($G$2,0,IF((AM$6-$G$3)&lt;1,0,IFERROR(LOOKUP(2,1/('Arroz irrigado'!$E62:INDEX('Arroz irrigado'!$E62:$Z62,MIN(AM$6-$G$3,22))&lt;&gt;""),'Arroz irrigado'!$E62:INDEX('Arroz irrigado'!$E62:$Z62,MIN(AM$6-$G$3,22))),0)))))</f>
        <v>0</v>
      </c>
      <c r="AN64" s="27" t="n">
        <f aca="false">IF(COUNT('Arroz irrigado'!$E62:$Z62)=0,0,MAX(0,IF((AN$6-$E$3)&lt;1,0,IFERROR(LOOKUP(2,1/('Arroz irrigado'!$E62:INDEX('Arroz irrigado'!$E62:$Z62,MIN(AN$6-$E$3,22))&lt;&gt;""),'Arroz irrigado'!$E62:INDEX('Arroz irrigado'!$E62:$Z62,MIN(AN$6-$E$3,22))),0))-IF($G$2,0,IF((AN$6-$G$3)&lt;1,0,IFERROR(LOOKUP(2,1/('Arroz irrigado'!$E62:INDEX('Arroz irrigado'!$E62:$Z62,MIN(AN$6-$G$3,22))&lt;&gt;""),'Arroz irrigado'!$E62:INDEX('Arroz irrigado'!$E62:$Z62,MIN(AN$6-$G$3,22))),0)))))</f>
        <v>0</v>
      </c>
      <c r="AO64" s="27" t="n">
        <f aca="false">IF(COUNT('Arroz irrigado'!$E62:$Z62)=0,0,MAX(0,IF((AO$6-$E$3)&lt;1,0,IFERROR(LOOKUP(2,1/('Arroz irrigado'!$E62:INDEX('Arroz irrigado'!$E62:$Z62,MIN(AO$6-$E$3,22))&lt;&gt;""),'Arroz irrigado'!$E62:INDEX('Arroz irrigado'!$E62:$Z62,MIN(AO$6-$E$3,22))),0))-IF($G$2,0,IF((AO$6-$G$3)&lt;1,0,IFERROR(LOOKUP(2,1/('Arroz irrigado'!$E62:INDEX('Arroz irrigado'!$E62:$Z62,MIN(AO$6-$G$3,22))&lt;&gt;""),'Arroz irrigado'!$E62:INDEX('Arroz irrigado'!$E62:$Z62,MIN(AO$6-$G$3,22))),0)))))</f>
        <v>0</v>
      </c>
      <c r="AP64" s="27" t="n">
        <f aca="false">IF(COUNT('Arroz irrigado'!$E62:$Z62)=0,0,MAX(0,IF((AP$6-$E$3)&lt;1,0,IFERROR(LOOKUP(2,1/('Arroz irrigado'!$E62:INDEX('Arroz irrigado'!$E62:$Z62,MIN(AP$6-$E$3,22))&lt;&gt;""),'Arroz irrigado'!$E62:INDEX('Arroz irrigado'!$E62:$Z62,MIN(AP$6-$E$3,22))),0))-IF($G$2,0,IF((AP$6-$G$3)&lt;1,0,IFERROR(LOOKUP(2,1/('Arroz irrigado'!$E62:INDEX('Arroz irrigado'!$E62:$Z62,MIN(AP$6-$G$3,22))&lt;&gt;""),'Arroz irrigado'!$E62:INDEX('Arroz irrigado'!$E62:$Z62,MIN(AP$6-$G$3,22))),0)))))</f>
        <v>0</v>
      </c>
      <c r="AQ64" s="27" t="n">
        <f aca="false">IF(COUNT('Arroz irrigado'!$E62:$Z62)=0,0,MAX(0,IF((AQ$6-$E$3)&lt;1,0,IFERROR(LOOKUP(2,1/('Arroz irrigado'!$E62:INDEX('Arroz irrigado'!$E62:$Z62,MIN(AQ$6-$E$3,22))&lt;&gt;""),'Arroz irrigado'!$E62:INDEX('Arroz irrigado'!$E62:$Z62,MIN(AQ$6-$E$3,22))),0))-IF($G$2,0,IF((AQ$6-$G$3)&lt;1,0,IFERROR(LOOKUP(2,1/('Arroz irrigado'!$E62:INDEX('Arroz irrigado'!$E62:$Z62,MIN(AQ$6-$G$3,22))&lt;&gt;""),'Arroz irrigado'!$E62:INDEX('Arroz irrigado'!$E62:$Z62,MIN(AQ$6-$G$3,22))),0)))))</f>
        <v>0</v>
      </c>
      <c r="AR64" s="27" t="n">
        <f aca="false">IF(COUNT('Arroz irrigado'!$E62:$Z62)=0,0,MAX(0,IF((AR$6-$E$3)&lt;1,0,IFERROR(LOOKUP(2,1/('Arroz irrigado'!$E62:INDEX('Arroz irrigado'!$E62:$Z62,MIN(AR$6-$E$3,22))&lt;&gt;""),'Arroz irrigado'!$E62:INDEX('Arroz irrigado'!$E62:$Z62,MIN(AR$6-$E$3,22))),0))-IF($G$2,0,IF((AR$6-$G$3)&lt;1,0,IFERROR(LOOKUP(2,1/('Arroz irrigado'!$E62:INDEX('Arroz irrigado'!$E62:$Z62,MIN(AR$6-$G$3,22))&lt;&gt;""),'Arroz irrigado'!$E62:INDEX('Arroz irrigado'!$E62:$Z62,MIN(AR$6-$G$3,22))),0)))))</f>
        <v>0</v>
      </c>
      <c r="AS64" s="27" t="n">
        <f aca="false">IF(COUNT('Arroz irrigado'!$E62:$Z62)=0,0,MAX(0,IF((AS$6-$E$3)&lt;1,0,IFERROR(LOOKUP(2,1/('Arroz irrigado'!$E62:INDEX('Arroz irrigado'!$E62:$Z62,MIN(AS$6-$E$3,22))&lt;&gt;""),'Arroz irrigado'!$E62:INDEX('Arroz irrigado'!$E62:$Z62,MIN(AS$6-$E$3,22))),0))-IF($G$2,0,IF((AS$6-$G$3)&lt;1,0,IFERROR(LOOKUP(2,1/('Arroz irrigado'!$E62:INDEX('Arroz irrigado'!$E62:$Z62,MIN(AS$6-$G$3,22))&lt;&gt;""),'Arroz irrigado'!$E62:INDEX('Arroz irrigado'!$E62:$Z62,MIN(AS$6-$G$3,22))),0)))))</f>
        <v>0</v>
      </c>
      <c r="AT64" s="27" t="n">
        <f aca="false">IF(COUNT('Arroz irrigado'!$E62:$Z62)=0,0,MAX(0,IF((AT$6-$E$3)&lt;1,0,IFERROR(LOOKUP(2,1/('Arroz irrigado'!$E62:INDEX('Arroz irrigado'!$E62:$Z62,MIN(AT$6-$E$3,22))&lt;&gt;""),'Arroz irrigado'!$E62:INDEX('Arroz irrigado'!$E62:$Z62,MIN(AT$6-$E$3,22))),0))-IF($G$2,0,IF((AT$6-$G$3)&lt;1,0,IFERROR(LOOKUP(2,1/('Arroz irrigado'!$E62:INDEX('Arroz irrigado'!$E62:$Z62,MIN(AT$6-$G$3,22))&lt;&gt;""),'Arroz irrigado'!$E62:INDEX('Arroz irrigado'!$E62:$Z62,MIN(AT$6-$G$3,22))),0)))))</f>
        <v>0</v>
      </c>
      <c r="AU64" s="27" t="n">
        <f aca="false">IF(COUNT('Arroz irrigado'!$E62:$Z62)=0,0,MAX(0,IF((AU$6-$E$3)&lt;1,0,IFERROR(LOOKUP(2,1/('Arroz irrigado'!$E62:INDEX('Arroz irrigado'!$E62:$Z62,MIN(AU$6-$E$3,22))&lt;&gt;""),'Arroz irrigado'!$E62:INDEX('Arroz irrigado'!$E62:$Z62,MIN(AU$6-$E$3,22))),0))-IF($G$2,0,IF((AU$6-$G$3)&lt;1,0,IFERROR(LOOKUP(2,1/('Arroz irrigado'!$E62:INDEX('Arroz irrigado'!$E62:$Z62,MIN(AU$6-$G$3,22))&lt;&gt;""),'Arroz irrigado'!$E62:INDEX('Arroz irrigado'!$E62:$Z62,MIN(AU$6-$G$3,22))),0)))))</f>
        <v>0</v>
      </c>
      <c r="AV64" s="27" t="n">
        <f aca="false">IF(COUNT('Arroz irrigado'!$E62:$Z62)=0,0,MAX(0,IF((AV$6-$E$3)&lt;1,0,IFERROR(LOOKUP(2,1/('Arroz irrigado'!$E62:INDEX('Arroz irrigado'!$E62:$Z62,MIN(AV$6-$E$3,22))&lt;&gt;""),'Arroz irrigado'!$E62:INDEX('Arroz irrigado'!$E62:$Z62,MIN(AV$6-$E$3,22))),0))-IF($G$2,0,IF((AV$6-$G$3)&lt;1,0,IFERROR(LOOKUP(2,1/('Arroz irrigado'!$E62:INDEX('Arroz irrigado'!$E62:$Z62,MIN(AV$6-$G$3,22))&lt;&gt;""),'Arroz irrigado'!$E62:INDEX('Arroz irrigado'!$E62:$Z62,MIN(AV$6-$G$3,22))),0)))))</f>
        <v>0</v>
      </c>
      <c r="AW64" s="27" t="n">
        <f aca="false">IF(COUNT('Arroz irrigado'!$E62:$Z62)=0,0,MAX(0,IF((AW$6-$E$3)&lt;1,0,IFERROR(LOOKUP(2,1/('Arroz irrigado'!$E62:INDEX('Arroz irrigado'!$E62:$Z62,MIN(AW$6-$E$3,22))&lt;&gt;""),'Arroz irrigado'!$E62:INDEX('Arroz irrigado'!$E62:$Z62,MIN(AW$6-$E$3,22))),0))-IF($G$2,0,IF((AW$6-$G$3)&lt;1,0,IFERROR(LOOKUP(2,1/('Arroz irrigado'!$E62:INDEX('Arroz irrigado'!$E62:$Z62,MIN(AW$6-$G$3,22))&lt;&gt;""),'Arroz irrigado'!$E62:INDEX('Arroz irrigado'!$E62:$Z62,MIN(AW$6-$G$3,22))),0)))))</f>
        <v>0</v>
      </c>
      <c r="AX64" s="27" t="n">
        <f aca="false">IF(COUNT('Arroz irrigado'!$E62:$Z62)=0,0,MAX(0,IF((AX$6-$E$3)&lt;1,0,IFERROR(LOOKUP(2,1/('Arroz irrigado'!$E62:INDEX('Arroz irrigado'!$E62:$Z62,MIN(AX$6-$E$3,22))&lt;&gt;""),'Arroz irrigado'!$E62:INDEX('Arroz irrigado'!$E62:$Z62,MIN(AX$6-$E$3,22))),0))-IF($G$2,0,IF((AX$6-$G$3)&lt;1,0,IFERROR(LOOKUP(2,1/('Arroz irrigado'!$E62:INDEX('Arroz irrigado'!$E62:$Z62,MIN(AX$6-$G$3,22))&lt;&gt;""),'Arroz irrigado'!$E62:INDEX('Arroz irrigado'!$E62:$Z62,MIN(AX$6-$G$3,22))),0)))))</f>
        <v>0</v>
      </c>
      <c r="AY64" s="27" t="n">
        <f aca="false">IF(COUNT('Arroz irrigado'!$E62:$Z62)=0,0,MAX(0,IF((AY$6-$E$3)&lt;1,0,IFERROR(LOOKUP(2,1/('Arroz irrigado'!$E62:INDEX('Arroz irrigado'!$E62:$Z62,MIN(AY$6-$E$3,22))&lt;&gt;""),'Arroz irrigado'!$E62:INDEX('Arroz irrigado'!$E62:$Z62,MIN(AY$6-$E$3,22))),0))-IF($G$2,0,IF((AY$6-$G$3)&lt;1,0,IFERROR(LOOKUP(2,1/('Arroz irrigado'!$E62:INDEX('Arroz irrigado'!$E62:$Z62,MIN(AY$6-$G$3,22))&lt;&gt;""),'Arroz irrigado'!$E62:INDEX('Arroz irrigado'!$E62:$Z62,MIN(AY$6-$G$3,22))),0)))))</f>
        <v>0</v>
      </c>
      <c r="AZ64" s="27" t="n">
        <f aca="false">IF(COUNT('Arroz irrigado'!$E62:$Z62)=0,0,MAX(0,IF((AZ$6-$E$3)&lt;1,0,IFERROR(LOOKUP(2,1/('Arroz irrigado'!$E62:INDEX('Arroz irrigado'!$E62:$Z62,MIN(AZ$6-$E$3,22))&lt;&gt;""),'Arroz irrigado'!$E62:INDEX('Arroz irrigado'!$E62:$Z62,MIN(AZ$6-$E$3,22))),0))-IF($G$2,0,IF((AZ$6-$G$3)&lt;1,0,IFERROR(LOOKUP(2,1/('Arroz irrigado'!$E62:INDEX('Arroz irrigado'!$E62:$Z62,MIN(AZ$6-$G$3,22))&lt;&gt;""),'Arroz irrigado'!$E62:INDEX('Arroz irrigado'!$E62:$Z62,MIN(AZ$6-$G$3,22))),0)))))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IF(COUNT('Arroz irrigado'!$E63:$Z63)&gt;0,N('Arroz irrigado'!$D63),0)</f>
        <v>0</v>
      </c>
      <c r="E65" s="27" t="n">
        <f aca="false">IF(COUNT('Arroz irrigado'!$E63:$Z63)=0,0,MAX(0,IF((E$6-$E$3)&lt;1,0,IFERROR(LOOKUP(2,1/('Arroz irrigado'!$E63:INDEX('Arroz irrigado'!$E63:$Z63,MIN(E$6-$E$3,22))&lt;&gt;""),'Arroz irrigado'!$E63:INDEX('Arroz irrigado'!$E63:$Z63,MIN(E$6-$E$3,22))),0))-IF($G$2,0,IF((E$6-$G$3)&lt;1,0,IFERROR(LOOKUP(2,1/('Arroz irrigado'!$E63:INDEX('Arroz irrigado'!$E63:$Z63,MIN(E$6-$G$3,22))&lt;&gt;""),'Arroz irrigado'!$E63:INDEX('Arroz irrigado'!$E63:$Z63,MIN(E$6-$G$3,22))),0)))))</f>
        <v>0</v>
      </c>
      <c r="F65" s="27" t="n">
        <f aca="false">IF(COUNT('Arroz irrigado'!$E63:$Z63)=0,0,MAX(0,IF((F$6-$E$3)&lt;1,0,IFERROR(LOOKUP(2,1/('Arroz irrigado'!$E63:INDEX('Arroz irrigado'!$E63:$Z63,MIN(F$6-$E$3,22))&lt;&gt;""),'Arroz irrigado'!$E63:INDEX('Arroz irrigado'!$E63:$Z63,MIN(F$6-$E$3,22))),0))-IF($G$2,0,IF((F$6-$G$3)&lt;1,0,IFERROR(LOOKUP(2,1/('Arroz irrigado'!$E63:INDEX('Arroz irrigado'!$E63:$Z63,MIN(F$6-$G$3,22))&lt;&gt;""),'Arroz irrigado'!$E63:INDEX('Arroz irrigado'!$E63:$Z63,MIN(F$6-$G$3,22))),0)))))</f>
        <v>0</v>
      </c>
      <c r="G65" s="27" t="n">
        <f aca="false">IF(COUNT('Arroz irrigado'!$E63:$Z63)=0,0,MAX(0,IF((G$6-$E$3)&lt;1,0,IFERROR(LOOKUP(2,1/('Arroz irrigado'!$E63:INDEX('Arroz irrigado'!$E63:$Z63,MIN(G$6-$E$3,22))&lt;&gt;""),'Arroz irrigado'!$E63:INDEX('Arroz irrigado'!$E63:$Z63,MIN(G$6-$E$3,22))),0))-IF($G$2,0,IF((G$6-$G$3)&lt;1,0,IFERROR(LOOKUP(2,1/('Arroz irrigado'!$E63:INDEX('Arroz irrigado'!$E63:$Z63,MIN(G$6-$G$3,22))&lt;&gt;""),'Arroz irrigado'!$E63:INDEX('Arroz irrigado'!$E63:$Z63,MIN(G$6-$G$3,22))),0)))))</f>
        <v>0</v>
      </c>
      <c r="H65" s="27" t="n">
        <f aca="false">IF(COUNT('Arroz irrigado'!$E63:$Z63)=0,0,MAX(0,IF((H$6-$E$3)&lt;1,0,IFERROR(LOOKUP(2,1/('Arroz irrigado'!$E63:INDEX('Arroz irrigado'!$E63:$Z63,MIN(H$6-$E$3,22))&lt;&gt;""),'Arroz irrigado'!$E63:INDEX('Arroz irrigado'!$E63:$Z63,MIN(H$6-$E$3,22))),0))-IF($G$2,0,IF((H$6-$G$3)&lt;1,0,IFERROR(LOOKUP(2,1/('Arroz irrigado'!$E63:INDEX('Arroz irrigado'!$E63:$Z63,MIN(H$6-$G$3,22))&lt;&gt;""),'Arroz irrigado'!$E63:INDEX('Arroz irrigado'!$E63:$Z63,MIN(H$6-$G$3,22))),0)))))</f>
        <v>0</v>
      </c>
      <c r="I65" s="27" t="n">
        <f aca="false">IF(COUNT('Arroz irrigado'!$E63:$Z63)=0,0,MAX(0,IF((I$6-$E$3)&lt;1,0,IFERROR(LOOKUP(2,1/('Arroz irrigado'!$E63:INDEX('Arroz irrigado'!$E63:$Z63,MIN(I$6-$E$3,22))&lt;&gt;""),'Arroz irrigado'!$E63:INDEX('Arroz irrigado'!$E63:$Z63,MIN(I$6-$E$3,22))),0))-IF($G$2,0,IF((I$6-$G$3)&lt;1,0,IFERROR(LOOKUP(2,1/('Arroz irrigado'!$E63:INDEX('Arroz irrigado'!$E63:$Z63,MIN(I$6-$G$3,22))&lt;&gt;""),'Arroz irrigado'!$E63:INDEX('Arroz irrigado'!$E63:$Z63,MIN(I$6-$G$3,22))),0)))))</f>
        <v>0</v>
      </c>
      <c r="J65" s="27" t="n">
        <f aca="false">IF(COUNT('Arroz irrigado'!$E63:$Z63)=0,0,MAX(0,IF((J$6-$E$3)&lt;1,0,IFERROR(LOOKUP(2,1/('Arroz irrigado'!$E63:INDEX('Arroz irrigado'!$E63:$Z63,MIN(J$6-$E$3,22))&lt;&gt;""),'Arroz irrigado'!$E63:INDEX('Arroz irrigado'!$E63:$Z63,MIN(J$6-$E$3,22))),0))-IF($G$2,0,IF((J$6-$G$3)&lt;1,0,IFERROR(LOOKUP(2,1/('Arroz irrigado'!$E63:INDEX('Arroz irrigado'!$E63:$Z63,MIN(J$6-$G$3,22))&lt;&gt;""),'Arroz irrigado'!$E63:INDEX('Arroz irrigado'!$E63:$Z63,MIN(J$6-$G$3,22))),0)))))</f>
        <v>0</v>
      </c>
      <c r="K65" s="27" t="n">
        <f aca="false">IF(COUNT('Arroz irrigado'!$E63:$Z63)=0,0,MAX(0,IF((K$6-$E$3)&lt;1,0,IFERROR(LOOKUP(2,1/('Arroz irrigado'!$E63:INDEX('Arroz irrigado'!$E63:$Z63,MIN(K$6-$E$3,22))&lt;&gt;""),'Arroz irrigado'!$E63:INDEX('Arroz irrigado'!$E63:$Z63,MIN(K$6-$E$3,22))),0))-IF($G$2,0,IF((K$6-$G$3)&lt;1,0,IFERROR(LOOKUP(2,1/('Arroz irrigado'!$E63:INDEX('Arroz irrigado'!$E63:$Z63,MIN(K$6-$G$3,22))&lt;&gt;""),'Arroz irrigado'!$E63:INDEX('Arroz irrigado'!$E63:$Z63,MIN(K$6-$G$3,22))),0)))))</f>
        <v>0</v>
      </c>
      <c r="L65" s="27" t="n">
        <f aca="false">IF(COUNT('Arroz irrigado'!$E63:$Z63)=0,0,MAX(0,IF((L$6-$E$3)&lt;1,0,IFERROR(LOOKUP(2,1/('Arroz irrigado'!$E63:INDEX('Arroz irrigado'!$E63:$Z63,MIN(L$6-$E$3,22))&lt;&gt;""),'Arroz irrigado'!$E63:INDEX('Arroz irrigado'!$E63:$Z63,MIN(L$6-$E$3,22))),0))-IF($G$2,0,IF((L$6-$G$3)&lt;1,0,IFERROR(LOOKUP(2,1/('Arroz irrigado'!$E63:INDEX('Arroz irrigado'!$E63:$Z63,MIN(L$6-$G$3,22))&lt;&gt;""),'Arroz irrigado'!$E63:INDEX('Arroz irrigado'!$E63:$Z63,MIN(L$6-$G$3,22))),0)))))</f>
        <v>0</v>
      </c>
      <c r="M65" s="27" t="n">
        <f aca="false">IF(COUNT('Arroz irrigado'!$E63:$Z63)=0,0,MAX(0,IF((M$6-$E$3)&lt;1,0,IFERROR(LOOKUP(2,1/('Arroz irrigado'!$E63:INDEX('Arroz irrigado'!$E63:$Z63,MIN(M$6-$E$3,22))&lt;&gt;""),'Arroz irrigado'!$E63:INDEX('Arroz irrigado'!$E63:$Z63,MIN(M$6-$E$3,22))),0))-IF($G$2,0,IF((M$6-$G$3)&lt;1,0,IFERROR(LOOKUP(2,1/('Arroz irrigado'!$E63:INDEX('Arroz irrigado'!$E63:$Z63,MIN(M$6-$G$3,22))&lt;&gt;""),'Arroz irrigado'!$E63:INDEX('Arroz irrigado'!$E63:$Z63,MIN(M$6-$G$3,22))),0)))))</f>
        <v>0</v>
      </c>
      <c r="N65" s="27" t="n">
        <f aca="false">IF(COUNT('Arroz irrigado'!$E63:$Z63)=0,0,MAX(0,IF((N$6-$E$3)&lt;1,0,IFERROR(LOOKUP(2,1/('Arroz irrigado'!$E63:INDEX('Arroz irrigado'!$E63:$Z63,MIN(N$6-$E$3,22))&lt;&gt;""),'Arroz irrigado'!$E63:INDEX('Arroz irrigado'!$E63:$Z63,MIN(N$6-$E$3,22))),0))-IF($G$2,0,IF((N$6-$G$3)&lt;1,0,IFERROR(LOOKUP(2,1/('Arroz irrigado'!$E63:INDEX('Arroz irrigado'!$E63:$Z63,MIN(N$6-$G$3,22))&lt;&gt;""),'Arroz irrigado'!$E63:INDEX('Arroz irrigado'!$E63:$Z63,MIN(N$6-$G$3,22))),0)))))</f>
        <v>0</v>
      </c>
      <c r="O65" s="27" t="n">
        <f aca="false">IF(COUNT('Arroz irrigado'!$E63:$Z63)=0,0,MAX(0,IF((O$6-$E$3)&lt;1,0,IFERROR(LOOKUP(2,1/('Arroz irrigado'!$E63:INDEX('Arroz irrigado'!$E63:$Z63,MIN(O$6-$E$3,22))&lt;&gt;""),'Arroz irrigado'!$E63:INDEX('Arroz irrigado'!$E63:$Z63,MIN(O$6-$E$3,22))),0))-IF($G$2,0,IF((O$6-$G$3)&lt;1,0,IFERROR(LOOKUP(2,1/('Arroz irrigado'!$E63:INDEX('Arroz irrigado'!$E63:$Z63,MIN(O$6-$G$3,22))&lt;&gt;""),'Arroz irrigado'!$E63:INDEX('Arroz irrigado'!$E63:$Z63,MIN(O$6-$G$3,22))),0)))))</f>
        <v>0</v>
      </c>
      <c r="P65" s="27" t="n">
        <f aca="false">IF(COUNT('Arroz irrigado'!$E63:$Z63)=0,0,MAX(0,IF((P$6-$E$3)&lt;1,0,IFERROR(LOOKUP(2,1/('Arroz irrigado'!$E63:INDEX('Arroz irrigado'!$E63:$Z63,MIN(P$6-$E$3,22))&lt;&gt;""),'Arroz irrigado'!$E63:INDEX('Arroz irrigado'!$E63:$Z63,MIN(P$6-$E$3,22))),0))-IF($G$2,0,IF((P$6-$G$3)&lt;1,0,IFERROR(LOOKUP(2,1/('Arroz irrigado'!$E63:INDEX('Arroz irrigado'!$E63:$Z63,MIN(P$6-$G$3,22))&lt;&gt;""),'Arroz irrigado'!$E63:INDEX('Arroz irrigado'!$E63:$Z63,MIN(P$6-$G$3,22))),0)))))</f>
        <v>0</v>
      </c>
      <c r="Q65" s="27" t="n">
        <f aca="false">IF(COUNT('Arroz irrigado'!$E63:$Z63)=0,0,MAX(0,IF((Q$6-$E$3)&lt;1,0,IFERROR(LOOKUP(2,1/('Arroz irrigado'!$E63:INDEX('Arroz irrigado'!$E63:$Z63,MIN(Q$6-$E$3,22))&lt;&gt;""),'Arroz irrigado'!$E63:INDEX('Arroz irrigado'!$E63:$Z63,MIN(Q$6-$E$3,22))),0))-IF($G$2,0,IF((Q$6-$G$3)&lt;1,0,IFERROR(LOOKUP(2,1/('Arroz irrigado'!$E63:INDEX('Arroz irrigado'!$E63:$Z63,MIN(Q$6-$G$3,22))&lt;&gt;""),'Arroz irrigado'!$E63:INDEX('Arroz irrigado'!$E63:$Z63,MIN(Q$6-$G$3,22))),0)))))</f>
        <v>0</v>
      </c>
      <c r="R65" s="27" t="n">
        <f aca="false">IF(COUNT('Arroz irrigado'!$E63:$Z63)=0,0,MAX(0,IF((R$6-$E$3)&lt;1,0,IFERROR(LOOKUP(2,1/('Arroz irrigado'!$E63:INDEX('Arroz irrigado'!$E63:$Z63,MIN(R$6-$E$3,22))&lt;&gt;""),'Arroz irrigado'!$E63:INDEX('Arroz irrigado'!$E63:$Z63,MIN(R$6-$E$3,22))),0))-IF($G$2,0,IF((R$6-$G$3)&lt;1,0,IFERROR(LOOKUP(2,1/('Arroz irrigado'!$E63:INDEX('Arroz irrigado'!$E63:$Z63,MIN(R$6-$G$3,22))&lt;&gt;""),'Arroz irrigado'!$E63:INDEX('Arroz irrigado'!$E63:$Z63,MIN(R$6-$G$3,22))),0)))))</f>
        <v>0</v>
      </c>
      <c r="S65" s="27" t="n">
        <f aca="false">IF(COUNT('Arroz irrigado'!$E63:$Z63)=0,0,MAX(0,IF((S$6-$E$3)&lt;1,0,IFERROR(LOOKUP(2,1/('Arroz irrigado'!$E63:INDEX('Arroz irrigado'!$E63:$Z63,MIN(S$6-$E$3,22))&lt;&gt;""),'Arroz irrigado'!$E63:INDEX('Arroz irrigado'!$E63:$Z63,MIN(S$6-$E$3,22))),0))-IF($G$2,0,IF((S$6-$G$3)&lt;1,0,IFERROR(LOOKUP(2,1/('Arroz irrigado'!$E63:INDEX('Arroz irrigado'!$E63:$Z63,MIN(S$6-$G$3,22))&lt;&gt;""),'Arroz irrigado'!$E63:INDEX('Arroz irrigado'!$E63:$Z63,MIN(S$6-$G$3,22))),0)))))</f>
        <v>0</v>
      </c>
      <c r="T65" s="27" t="n">
        <f aca="false">IF(COUNT('Arroz irrigado'!$E63:$Z63)=0,0,MAX(0,IF((T$6-$E$3)&lt;1,0,IFERROR(LOOKUP(2,1/('Arroz irrigado'!$E63:INDEX('Arroz irrigado'!$E63:$Z63,MIN(T$6-$E$3,22))&lt;&gt;""),'Arroz irrigado'!$E63:INDEX('Arroz irrigado'!$E63:$Z63,MIN(T$6-$E$3,22))),0))-IF($G$2,0,IF((T$6-$G$3)&lt;1,0,IFERROR(LOOKUP(2,1/('Arroz irrigado'!$E63:INDEX('Arroz irrigado'!$E63:$Z63,MIN(T$6-$G$3,22))&lt;&gt;""),'Arroz irrigado'!$E63:INDEX('Arroz irrigado'!$E63:$Z63,MIN(T$6-$G$3,22))),0)))))</f>
        <v>0</v>
      </c>
      <c r="U65" s="27" t="n">
        <f aca="false">IF(COUNT('Arroz irrigado'!$E63:$Z63)=0,0,MAX(0,IF((U$6-$E$3)&lt;1,0,IFERROR(LOOKUP(2,1/('Arroz irrigado'!$E63:INDEX('Arroz irrigado'!$E63:$Z63,MIN(U$6-$E$3,22))&lt;&gt;""),'Arroz irrigado'!$E63:INDEX('Arroz irrigado'!$E63:$Z63,MIN(U$6-$E$3,22))),0))-IF($G$2,0,IF((U$6-$G$3)&lt;1,0,IFERROR(LOOKUP(2,1/('Arroz irrigado'!$E63:INDEX('Arroz irrigado'!$E63:$Z63,MIN(U$6-$G$3,22))&lt;&gt;""),'Arroz irrigado'!$E63:INDEX('Arroz irrigado'!$E63:$Z63,MIN(U$6-$G$3,22))),0)))))</f>
        <v>0</v>
      </c>
      <c r="V65" s="27" t="n">
        <f aca="false">IF(COUNT('Arroz irrigado'!$E63:$Z63)=0,0,MAX(0,IF((V$6-$E$3)&lt;1,0,IFERROR(LOOKUP(2,1/('Arroz irrigado'!$E63:INDEX('Arroz irrigado'!$E63:$Z63,MIN(V$6-$E$3,22))&lt;&gt;""),'Arroz irrigado'!$E63:INDEX('Arroz irrigado'!$E63:$Z63,MIN(V$6-$E$3,22))),0))-IF($G$2,0,IF((V$6-$G$3)&lt;1,0,IFERROR(LOOKUP(2,1/('Arroz irrigado'!$E63:INDEX('Arroz irrigado'!$E63:$Z63,MIN(V$6-$G$3,22))&lt;&gt;""),'Arroz irrigado'!$E63:INDEX('Arroz irrigado'!$E63:$Z63,MIN(V$6-$G$3,22))),0)))))</f>
        <v>0</v>
      </c>
      <c r="W65" s="27" t="n">
        <f aca="false">IF(COUNT('Arroz irrigado'!$E63:$Z63)=0,0,MAX(0,IF((W$6-$E$3)&lt;1,0,IFERROR(LOOKUP(2,1/('Arroz irrigado'!$E63:INDEX('Arroz irrigado'!$E63:$Z63,MIN(W$6-$E$3,22))&lt;&gt;""),'Arroz irrigado'!$E63:INDEX('Arroz irrigado'!$E63:$Z63,MIN(W$6-$E$3,22))),0))-IF($G$2,0,IF((W$6-$G$3)&lt;1,0,IFERROR(LOOKUP(2,1/('Arroz irrigado'!$E63:INDEX('Arroz irrigado'!$E63:$Z63,MIN(W$6-$G$3,22))&lt;&gt;""),'Arroz irrigado'!$E63:INDEX('Arroz irrigado'!$E63:$Z63,MIN(W$6-$G$3,22))),0)))))</f>
        <v>0</v>
      </c>
      <c r="X65" s="27" t="n">
        <f aca="false">IF(COUNT('Arroz irrigado'!$E63:$Z63)=0,0,MAX(0,IF((X$6-$E$3)&lt;1,0,IFERROR(LOOKUP(2,1/('Arroz irrigado'!$E63:INDEX('Arroz irrigado'!$E63:$Z63,MIN(X$6-$E$3,22))&lt;&gt;""),'Arroz irrigado'!$E63:INDEX('Arroz irrigado'!$E63:$Z63,MIN(X$6-$E$3,22))),0))-IF($G$2,0,IF((X$6-$G$3)&lt;1,0,IFERROR(LOOKUP(2,1/('Arroz irrigado'!$E63:INDEX('Arroz irrigado'!$E63:$Z63,MIN(X$6-$G$3,22))&lt;&gt;""),'Arroz irrigado'!$E63:INDEX('Arroz irrigado'!$E63:$Z63,MIN(X$6-$G$3,22))),0)))))</f>
        <v>0</v>
      </c>
      <c r="Y65" s="27" t="n">
        <f aca="false">IF(COUNT('Arroz irrigado'!$E63:$Z63)=0,0,MAX(0,IF((Y$6-$E$3)&lt;1,0,IFERROR(LOOKUP(2,1/('Arroz irrigado'!$E63:INDEX('Arroz irrigado'!$E63:$Z63,MIN(Y$6-$E$3,22))&lt;&gt;""),'Arroz irrigado'!$E63:INDEX('Arroz irrigado'!$E63:$Z63,MIN(Y$6-$E$3,22))),0))-IF($G$2,0,IF((Y$6-$G$3)&lt;1,0,IFERROR(LOOKUP(2,1/('Arroz irrigado'!$E63:INDEX('Arroz irrigado'!$E63:$Z63,MIN(Y$6-$G$3,22))&lt;&gt;""),'Arroz irrigado'!$E63:INDEX('Arroz irrigado'!$E63:$Z63,MIN(Y$6-$G$3,22))),0)))))</f>
        <v>0</v>
      </c>
      <c r="Z65" s="27" t="n">
        <f aca="false">IF(COUNT('Arroz irrigado'!$E63:$Z63)=0,0,MAX(0,IF((Z$6-$E$3)&lt;1,0,IFERROR(LOOKUP(2,1/('Arroz irrigado'!$E63:INDEX('Arroz irrigado'!$E63:$Z63,MIN(Z$6-$E$3,22))&lt;&gt;""),'Arroz irrigado'!$E63:INDEX('Arroz irrigado'!$E63:$Z63,MIN(Z$6-$E$3,22))),0))-IF($G$2,0,IF((Z$6-$G$3)&lt;1,0,IFERROR(LOOKUP(2,1/('Arroz irrigado'!$E63:INDEX('Arroz irrigado'!$E63:$Z63,MIN(Z$6-$G$3,22))&lt;&gt;""),'Arroz irrigado'!$E63:INDEX('Arroz irrigado'!$E63:$Z63,MIN(Z$6-$G$3,22))),0)))))</f>
        <v>0</v>
      </c>
      <c r="AA65" s="27" t="n">
        <f aca="false">IF(COUNT('Arroz irrigado'!$E63:$Z63)=0,0,MAX(0,IF((AA$6-$E$3)&lt;1,0,IFERROR(LOOKUP(2,1/('Arroz irrigado'!$E63:INDEX('Arroz irrigado'!$E63:$Z63,MIN(AA$6-$E$3,22))&lt;&gt;""),'Arroz irrigado'!$E63:INDEX('Arroz irrigado'!$E63:$Z63,MIN(AA$6-$E$3,22))),0))-IF($G$2,0,IF((AA$6-$G$3)&lt;1,0,IFERROR(LOOKUP(2,1/('Arroz irrigado'!$E63:INDEX('Arroz irrigado'!$E63:$Z63,MIN(AA$6-$G$3,22))&lt;&gt;""),'Arroz irrigado'!$E63:INDEX('Arroz irrigado'!$E63:$Z63,MIN(AA$6-$G$3,22))),0)))))</f>
        <v>0</v>
      </c>
      <c r="AB65" s="27" t="n">
        <f aca="false">IF(COUNT('Arroz irrigado'!$E63:$Z63)=0,0,MAX(0,IF((AB$6-$E$3)&lt;1,0,IFERROR(LOOKUP(2,1/('Arroz irrigado'!$E63:INDEX('Arroz irrigado'!$E63:$Z63,MIN(AB$6-$E$3,22))&lt;&gt;""),'Arroz irrigado'!$E63:INDEX('Arroz irrigado'!$E63:$Z63,MIN(AB$6-$E$3,22))),0))-IF($G$2,0,IF((AB$6-$G$3)&lt;1,0,IFERROR(LOOKUP(2,1/('Arroz irrigado'!$E63:INDEX('Arroz irrigado'!$E63:$Z63,MIN(AB$6-$G$3,22))&lt;&gt;""),'Arroz irrigado'!$E63:INDEX('Arroz irrigado'!$E63:$Z63,MIN(AB$6-$G$3,22))),0)))))</f>
        <v>0</v>
      </c>
      <c r="AC65" s="27" t="n">
        <f aca="false">IF(COUNT('Arroz irrigado'!$E63:$Z63)=0,0,MAX(0,IF((AC$6-$E$3)&lt;1,0,IFERROR(LOOKUP(2,1/('Arroz irrigado'!$E63:INDEX('Arroz irrigado'!$E63:$Z63,MIN(AC$6-$E$3,22))&lt;&gt;""),'Arroz irrigado'!$E63:INDEX('Arroz irrigado'!$E63:$Z63,MIN(AC$6-$E$3,22))),0))-IF($G$2,0,IF((AC$6-$G$3)&lt;1,0,IFERROR(LOOKUP(2,1/('Arroz irrigado'!$E63:INDEX('Arroz irrigado'!$E63:$Z63,MIN(AC$6-$G$3,22))&lt;&gt;""),'Arroz irrigado'!$E63:INDEX('Arroz irrigado'!$E63:$Z63,MIN(AC$6-$G$3,22))),0)))))</f>
        <v>0</v>
      </c>
      <c r="AD65" s="27" t="n">
        <f aca="false">IF(COUNT('Arroz irrigado'!$E63:$Z63)=0,0,MAX(0,IF((AD$6-$E$3)&lt;1,0,IFERROR(LOOKUP(2,1/('Arroz irrigado'!$E63:INDEX('Arroz irrigado'!$E63:$Z63,MIN(AD$6-$E$3,22))&lt;&gt;""),'Arroz irrigado'!$E63:INDEX('Arroz irrigado'!$E63:$Z63,MIN(AD$6-$E$3,22))),0))-IF($G$2,0,IF((AD$6-$G$3)&lt;1,0,IFERROR(LOOKUP(2,1/('Arroz irrigado'!$E63:INDEX('Arroz irrigado'!$E63:$Z63,MIN(AD$6-$G$3,22))&lt;&gt;""),'Arroz irrigado'!$E63:INDEX('Arroz irrigado'!$E63:$Z63,MIN(AD$6-$G$3,22))),0)))))</f>
        <v>0</v>
      </c>
      <c r="AE65" s="27" t="n">
        <f aca="false">IF(COUNT('Arroz irrigado'!$E63:$Z63)=0,0,MAX(0,IF((AE$6-$E$3)&lt;1,0,IFERROR(LOOKUP(2,1/('Arroz irrigado'!$E63:INDEX('Arroz irrigado'!$E63:$Z63,MIN(AE$6-$E$3,22))&lt;&gt;""),'Arroz irrigado'!$E63:INDEX('Arroz irrigado'!$E63:$Z63,MIN(AE$6-$E$3,22))),0))-IF($G$2,0,IF((AE$6-$G$3)&lt;1,0,IFERROR(LOOKUP(2,1/('Arroz irrigado'!$E63:INDEX('Arroz irrigado'!$E63:$Z63,MIN(AE$6-$G$3,22))&lt;&gt;""),'Arroz irrigado'!$E63:INDEX('Arroz irrigado'!$E63:$Z63,MIN(AE$6-$G$3,22))),0)))))</f>
        <v>0</v>
      </c>
      <c r="AF65" s="27" t="n">
        <f aca="false">IF(COUNT('Arroz irrigado'!$E63:$Z63)=0,0,MAX(0,IF((AF$6-$E$3)&lt;1,0,IFERROR(LOOKUP(2,1/('Arroz irrigado'!$E63:INDEX('Arroz irrigado'!$E63:$Z63,MIN(AF$6-$E$3,22))&lt;&gt;""),'Arroz irrigado'!$E63:INDEX('Arroz irrigado'!$E63:$Z63,MIN(AF$6-$E$3,22))),0))-IF($G$2,0,IF((AF$6-$G$3)&lt;1,0,IFERROR(LOOKUP(2,1/('Arroz irrigado'!$E63:INDEX('Arroz irrigado'!$E63:$Z63,MIN(AF$6-$G$3,22))&lt;&gt;""),'Arroz irrigado'!$E63:INDEX('Arroz irrigado'!$E63:$Z63,MIN(AF$6-$G$3,22))),0)))))</f>
        <v>0</v>
      </c>
      <c r="AG65" s="27" t="n">
        <f aca="false">IF(COUNT('Arroz irrigado'!$E63:$Z63)=0,0,MAX(0,IF((AG$6-$E$3)&lt;1,0,IFERROR(LOOKUP(2,1/('Arroz irrigado'!$E63:INDEX('Arroz irrigado'!$E63:$Z63,MIN(AG$6-$E$3,22))&lt;&gt;""),'Arroz irrigado'!$E63:INDEX('Arroz irrigado'!$E63:$Z63,MIN(AG$6-$E$3,22))),0))-IF($G$2,0,IF((AG$6-$G$3)&lt;1,0,IFERROR(LOOKUP(2,1/('Arroz irrigado'!$E63:INDEX('Arroz irrigado'!$E63:$Z63,MIN(AG$6-$G$3,22))&lt;&gt;""),'Arroz irrigado'!$E63:INDEX('Arroz irrigado'!$E63:$Z63,MIN(AG$6-$G$3,22))),0)))))</f>
        <v>0</v>
      </c>
      <c r="AH65" s="27" t="n">
        <f aca="false">IF(COUNT('Arroz irrigado'!$E63:$Z63)=0,0,MAX(0,IF((AH$6-$E$3)&lt;1,0,IFERROR(LOOKUP(2,1/('Arroz irrigado'!$E63:INDEX('Arroz irrigado'!$E63:$Z63,MIN(AH$6-$E$3,22))&lt;&gt;""),'Arroz irrigado'!$E63:INDEX('Arroz irrigado'!$E63:$Z63,MIN(AH$6-$E$3,22))),0))-IF($G$2,0,IF((AH$6-$G$3)&lt;1,0,IFERROR(LOOKUP(2,1/('Arroz irrigado'!$E63:INDEX('Arroz irrigado'!$E63:$Z63,MIN(AH$6-$G$3,22))&lt;&gt;""),'Arroz irrigado'!$E63:INDEX('Arroz irrigado'!$E63:$Z63,MIN(AH$6-$G$3,22))),0)))))</f>
        <v>0</v>
      </c>
      <c r="AI65" s="27" t="n">
        <f aca="false">IF(COUNT('Arroz irrigado'!$E63:$Z63)=0,0,MAX(0,IF((AI$6-$E$3)&lt;1,0,IFERROR(LOOKUP(2,1/('Arroz irrigado'!$E63:INDEX('Arroz irrigado'!$E63:$Z63,MIN(AI$6-$E$3,22))&lt;&gt;""),'Arroz irrigado'!$E63:INDEX('Arroz irrigado'!$E63:$Z63,MIN(AI$6-$E$3,22))),0))-IF($G$2,0,IF((AI$6-$G$3)&lt;1,0,IFERROR(LOOKUP(2,1/('Arroz irrigado'!$E63:INDEX('Arroz irrigado'!$E63:$Z63,MIN(AI$6-$G$3,22))&lt;&gt;""),'Arroz irrigado'!$E63:INDEX('Arroz irrigado'!$E63:$Z63,MIN(AI$6-$G$3,22))),0)))))</f>
        <v>0</v>
      </c>
      <c r="AJ65" s="27" t="n">
        <f aca="false">IF(COUNT('Arroz irrigado'!$E63:$Z63)=0,0,MAX(0,IF((AJ$6-$E$3)&lt;1,0,IFERROR(LOOKUP(2,1/('Arroz irrigado'!$E63:INDEX('Arroz irrigado'!$E63:$Z63,MIN(AJ$6-$E$3,22))&lt;&gt;""),'Arroz irrigado'!$E63:INDEX('Arroz irrigado'!$E63:$Z63,MIN(AJ$6-$E$3,22))),0))-IF($G$2,0,IF((AJ$6-$G$3)&lt;1,0,IFERROR(LOOKUP(2,1/('Arroz irrigado'!$E63:INDEX('Arroz irrigado'!$E63:$Z63,MIN(AJ$6-$G$3,22))&lt;&gt;""),'Arroz irrigado'!$E63:INDEX('Arroz irrigado'!$E63:$Z63,MIN(AJ$6-$G$3,22))),0)))))</f>
        <v>0</v>
      </c>
      <c r="AK65" s="27" t="n">
        <f aca="false">IF(COUNT('Arroz irrigado'!$E63:$Z63)=0,0,MAX(0,IF((AK$6-$E$3)&lt;1,0,IFERROR(LOOKUP(2,1/('Arroz irrigado'!$E63:INDEX('Arroz irrigado'!$E63:$Z63,MIN(AK$6-$E$3,22))&lt;&gt;""),'Arroz irrigado'!$E63:INDEX('Arroz irrigado'!$E63:$Z63,MIN(AK$6-$E$3,22))),0))-IF($G$2,0,IF((AK$6-$G$3)&lt;1,0,IFERROR(LOOKUP(2,1/('Arroz irrigado'!$E63:INDEX('Arroz irrigado'!$E63:$Z63,MIN(AK$6-$G$3,22))&lt;&gt;""),'Arroz irrigado'!$E63:INDEX('Arroz irrigado'!$E63:$Z63,MIN(AK$6-$G$3,22))),0)))))</f>
        <v>0</v>
      </c>
      <c r="AL65" s="27" t="n">
        <f aca="false">IF(COUNT('Arroz irrigado'!$E63:$Z63)=0,0,MAX(0,IF((AL$6-$E$3)&lt;1,0,IFERROR(LOOKUP(2,1/('Arroz irrigado'!$E63:INDEX('Arroz irrigado'!$E63:$Z63,MIN(AL$6-$E$3,22))&lt;&gt;""),'Arroz irrigado'!$E63:INDEX('Arroz irrigado'!$E63:$Z63,MIN(AL$6-$E$3,22))),0))-IF($G$2,0,IF((AL$6-$G$3)&lt;1,0,IFERROR(LOOKUP(2,1/('Arroz irrigado'!$E63:INDEX('Arroz irrigado'!$E63:$Z63,MIN(AL$6-$G$3,22))&lt;&gt;""),'Arroz irrigado'!$E63:INDEX('Arroz irrigado'!$E63:$Z63,MIN(AL$6-$G$3,22))),0)))))</f>
        <v>0</v>
      </c>
      <c r="AM65" s="27" t="n">
        <f aca="false">IF(COUNT('Arroz irrigado'!$E63:$Z63)=0,0,MAX(0,IF((AM$6-$E$3)&lt;1,0,IFERROR(LOOKUP(2,1/('Arroz irrigado'!$E63:INDEX('Arroz irrigado'!$E63:$Z63,MIN(AM$6-$E$3,22))&lt;&gt;""),'Arroz irrigado'!$E63:INDEX('Arroz irrigado'!$E63:$Z63,MIN(AM$6-$E$3,22))),0))-IF($G$2,0,IF((AM$6-$G$3)&lt;1,0,IFERROR(LOOKUP(2,1/('Arroz irrigado'!$E63:INDEX('Arroz irrigado'!$E63:$Z63,MIN(AM$6-$G$3,22))&lt;&gt;""),'Arroz irrigado'!$E63:INDEX('Arroz irrigado'!$E63:$Z63,MIN(AM$6-$G$3,22))),0)))))</f>
        <v>0</v>
      </c>
      <c r="AN65" s="27" t="n">
        <f aca="false">IF(COUNT('Arroz irrigado'!$E63:$Z63)=0,0,MAX(0,IF((AN$6-$E$3)&lt;1,0,IFERROR(LOOKUP(2,1/('Arroz irrigado'!$E63:INDEX('Arroz irrigado'!$E63:$Z63,MIN(AN$6-$E$3,22))&lt;&gt;""),'Arroz irrigado'!$E63:INDEX('Arroz irrigado'!$E63:$Z63,MIN(AN$6-$E$3,22))),0))-IF($G$2,0,IF((AN$6-$G$3)&lt;1,0,IFERROR(LOOKUP(2,1/('Arroz irrigado'!$E63:INDEX('Arroz irrigado'!$E63:$Z63,MIN(AN$6-$G$3,22))&lt;&gt;""),'Arroz irrigado'!$E63:INDEX('Arroz irrigado'!$E63:$Z63,MIN(AN$6-$G$3,22))),0)))))</f>
        <v>0</v>
      </c>
      <c r="AO65" s="27" t="n">
        <f aca="false">IF(COUNT('Arroz irrigado'!$E63:$Z63)=0,0,MAX(0,IF((AO$6-$E$3)&lt;1,0,IFERROR(LOOKUP(2,1/('Arroz irrigado'!$E63:INDEX('Arroz irrigado'!$E63:$Z63,MIN(AO$6-$E$3,22))&lt;&gt;""),'Arroz irrigado'!$E63:INDEX('Arroz irrigado'!$E63:$Z63,MIN(AO$6-$E$3,22))),0))-IF($G$2,0,IF((AO$6-$G$3)&lt;1,0,IFERROR(LOOKUP(2,1/('Arroz irrigado'!$E63:INDEX('Arroz irrigado'!$E63:$Z63,MIN(AO$6-$G$3,22))&lt;&gt;""),'Arroz irrigado'!$E63:INDEX('Arroz irrigado'!$E63:$Z63,MIN(AO$6-$G$3,22))),0)))))</f>
        <v>0</v>
      </c>
      <c r="AP65" s="27" t="n">
        <f aca="false">IF(COUNT('Arroz irrigado'!$E63:$Z63)=0,0,MAX(0,IF((AP$6-$E$3)&lt;1,0,IFERROR(LOOKUP(2,1/('Arroz irrigado'!$E63:INDEX('Arroz irrigado'!$E63:$Z63,MIN(AP$6-$E$3,22))&lt;&gt;""),'Arroz irrigado'!$E63:INDEX('Arroz irrigado'!$E63:$Z63,MIN(AP$6-$E$3,22))),0))-IF($G$2,0,IF((AP$6-$G$3)&lt;1,0,IFERROR(LOOKUP(2,1/('Arroz irrigado'!$E63:INDEX('Arroz irrigado'!$E63:$Z63,MIN(AP$6-$G$3,22))&lt;&gt;""),'Arroz irrigado'!$E63:INDEX('Arroz irrigado'!$E63:$Z63,MIN(AP$6-$G$3,22))),0)))))</f>
        <v>0</v>
      </c>
      <c r="AQ65" s="27" t="n">
        <f aca="false">IF(COUNT('Arroz irrigado'!$E63:$Z63)=0,0,MAX(0,IF((AQ$6-$E$3)&lt;1,0,IFERROR(LOOKUP(2,1/('Arroz irrigado'!$E63:INDEX('Arroz irrigado'!$E63:$Z63,MIN(AQ$6-$E$3,22))&lt;&gt;""),'Arroz irrigado'!$E63:INDEX('Arroz irrigado'!$E63:$Z63,MIN(AQ$6-$E$3,22))),0))-IF($G$2,0,IF((AQ$6-$G$3)&lt;1,0,IFERROR(LOOKUP(2,1/('Arroz irrigado'!$E63:INDEX('Arroz irrigado'!$E63:$Z63,MIN(AQ$6-$G$3,22))&lt;&gt;""),'Arroz irrigado'!$E63:INDEX('Arroz irrigado'!$E63:$Z63,MIN(AQ$6-$G$3,22))),0)))))</f>
        <v>0</v>
      </c>
      <c r="AR65" s="27" t="n">
        <f aca="false">IF(COUNT('Arroz irrigado'!$E63:$Z63)=0,0,MAX(0,IF((AR$6-$E$3)&lt;1,0,IFERROR(LOOKUP(2,1/('Arroz irrigado'!$E63:INDEX('Arroz irrigado'!$E63:$Z63,MIN(AR$6-$E$3,22))&lt;&gt;""),'Arroz irrigado'!$E63:INDEX('Arroz irrigado'!$E63:$Z63,MIN(AR$6-$E$3,22))),0))-IF($G$2,0,IF((AR$6-$G$3)&lt;1,0,IFERROR(LOOKUP(2,1/('Arroz irrigado'!$E63:INDEX('Arroz irrigado'!$E63:$Z63,MIN(AR$6-$G$3,22))&lt;&gt;""),'Arroz irrigado'!$E63:INDEX('Arroz irrigado'!$E63:$Z63,MIN(AR$6-$G$3,22))),0)))))</f>
        <v>0</v>
      </c>
      <c r="AS65" s="27" t="n">
        <f aca="false">IF(COUNT('Arroz irrigado'!$E63:$Z63)=0,0,MAX(0,IF((AS$6-$E$3)&lt;1,0,IFERROR(LOOKUP(2,1/('Arroz irrigado'!$E63:INDEX('Arroz irrigado'!$E63:$Z63,MIN(AS$6-$E$3,22))&lt;&gt;""),'Arroz irrigado'!$E63:INDEX('Arroz irrigado'!$E63:$Z63,MIN(AS$6-$E$3,22))),0))-IF($G$2,0,IF((AS$6-$G$3)&lt;1,0,IFERROR(LOOKUP(2,1/('Arroz irrigado'!$E63:INDEX('Arroz irrigado'!$E63:$Z63,MIN(AS$6-$G$3,22))&lt;&gt;""),'Arroz irrigado'!$E63:INDEX('Arroz irrigado'!$E63:$Z63,MIN(AS$6-$G$3,22))),0)))))</f>
        <v>0</v>
      </c>
      <c r="AT65" s="27" t="n">
        <f aca="false">IF(COUNT('Arroz irrigado'!$E63:$Z63)=0,0,MAX(0,IF((AT$6-$E$3)&lt;1,0,IFERROR(LOOKUP(2,1/('Arroz irrigado'!$E63:INDEX('Arroz irrigado'!$E63:$Z63,MIN(AT$6-$E$3,22))&lt;&gt;""),'Arroz irrigado'!$E63:INDEX('Arroz irrigado'!$E63:$Z63,MIN(AT$6-$E$3,22))),0))-IF($G$2,0,IF((AT$6-$G$3)&lt;1,0,IFERROR(LOOKUP(2,1/('Arroz irrigado'!$E63:INDEX('Arroz irrigado'!$E63:$Z63,MIN(AT$6-$G$3,22))&lt;&gt;""),'Arroz irrigado'!$E63:INDEX('Arroz irrigado'!$E63:$Z63,MIN(AT$6-$G$3,22))),0)))))</f>
        <v>0</v>
      </c>
      <c r="AU65" s="27" t="n">
        <f aca="false">IF(COUNT('Arroz irrigado'!$E63:$Z63)=0,0,MAX(0,IF((AU$6-$E$3)&lt;1,0,IFERROR(LOOKUP(2,1/('Arroz irrigado'!$E63:INDEX('Arroz irrigado'!$E63:$Z63,MIN(AU$6-$E$3,22))&lt;&gt;""),'Arroz irrigado'!$E63:INDEX('Arroz irrigado'!$E63:$Z63,MIN(AU$6-$E$3,22))),0))-IF($G$2,0,IF((AU$6-$G$3)&lt;1,0,IFERROR(LOOKUP(2,1/('Arroz irrigado'!$E63:INDEX('Arroz irrigado'!$E63:$Z63,MIN(AU$6-$G$3,22))&lt;&gt;""),'Arroz irrigado'!$E63:INDEX('Arroz irrigado'!$E63:$Z63,MIN(AU$6-$G$3,22))),0)))))</f>
        <v>0</v>
      </c>
      <c r="AV65" s="27" t="n">
        <f aca="false">IF(COUNT('Arroz irrigado'!$E63:$Z63)=0,0,MAX(0,IF((AV$6-$E$3)&lt;1,0,IFERROR(LOOKUP(2,1/('Arroz irrigado'!$E63:INDEX('Arroz irrigado'!$E63:$Z63,MIN(AV$6-$E$3,22))&lt;&gt;""),'Arroz irrigado'!$E63:INDEX('Arroz irrigado'!$E63:$Z63,MIN(AV$6-$E$3,22))),0))-IF($G$2,0,IF((AV$6-$G$3)&lt;1,0,IFERROR(LOOKUP(2,1/('Arroz irrigado'!$E63:INDEX('Arroz irrigado'!$E63:$Z63,MIN(AV$6-$G$3,22))&lt;&gt;""),'Arroz irrigado'!$E63:INDEX('Arroz irrigado'!$E63:$Z63,MIN(AV$6-$G$3,22))),0)))))</f>
        <v>0</v>
      </c>
      <c r="AW65" s="27" t="n">
        <f aca="false">IF(COUNT('Arroz irrigado'!$E63:$Z63)=0,0,MAX(0,IF((AW$6-$E$3)&lt;1,0,IFERROR(LOOKUP(2,1/('Arroz irrigado'!$E63:INDEX('Arroz irrigado'!$E63:$Z63,MIN(AW$6-$E$3,22))&lt;&gt;""),'Arroz irrigado'!$E63:INDEX('Arroz irrigado'!$E63:$Z63,MIN(AW$6-$E$3,22))),0))-IF($G$2,0,IF((AW$6-$G$3)&lt;1,0,IFERROR(LOOKUP(2,1/('Arroz irrigado'!$E63:INDEX('Arroz irrigado'!$E63:$Z63,MIN(AW$6-$G$3,22))&lt;&gt;""),'Arroz irrigado'!$E63:INDEX('Arroz irrigado'!$E63:$Z63,MIN(AW$6-$G$3,22))),0)))))</f>
        <v>0</v>
      </c>
      <c r="AX65" s="27" t="n">
        <f aca="false">IF(COUNT('Arroz irrigado'!$E63:$Z63)=0,0,MAX(0,IF((AX$6-$E$3)&lt;1,0,IFERROR(LOOKUP(2,1/('Arroz irrigado'!$E63:INDEX('Arroz irrigado'!$E63:$Z63,MIN(AX$6-$E$3,22))&lt;&gt;""),'Arroz irrigado'!$E63:INDEX('Arroz irrigado'!$E63:$Z63,MIN(AX$6-$E$3,22))),0))-IF($G$2,0,IF((AX$6-$G$3)&lt;1,0,IFERROR(LOOKUP(2,1/('Arroz irrigado'!$E63:INDEX('Arroz irrigado'!$E63:$Z63,MIN(AX$6-$G$3,22))&lt;&gt;""),'Arroz irrigado'!$E63:INDEX('Arroz irrigado'!$E63:$Z63,MIN(AX$6-$G$3,22))),0)))))</f>
        <v>0</v>
      </c>
      <c r="AY65" s="27" t="n">
        <f aca="false">IF(COUNT('Arroz irrigado'!$E63:$Z63)=0,0,MAX(0,IF((AY$6-$E$3)&lt;1,0,IFERROR(LOOKUP(2,1/('Arroz irrigado'!$E63:INDEX('Arroz irrigado'!$E63:$Z63,MIN(AY$6-$E$3,22))&lt;&gt;""),'Arroz irrigado'!$E63:INDEX('Arroz irrigado'!$E63:$Z63,MIN(AY$6-$E$3,22))),0))-IF($G$2,0,IF((AY$6-$G$3)&lt;1,0,IFERROR(LOOKUP(2,1/('Arroz irrigado'!$E63:INDEX('Arroz irrigado'!$E63:$Z63,MIN(AY$6-$G$3,22))&lt;&gt;""),'Arroz irrigado'!$E63:INDEX('Arroz irrigado'!$E63:$Z63,MIN(AY$6-$G$3,22))),0)))))</f>
        <v>0</v>
      </c>
      <c r="AZ65" s="27" t="n">
        <f aca="false">IF(COUNT('Arroz irrigado'!$E63:$Z63)=0,0,MAX(0,IF((AZ$6-$E$3)&lt;1,0,IFERROR(LOOKUP(2,1/('Arroz irrigado'!$E63:INDEX('Arroz irrigado'!$E63:$Z63,MIN(AZ$6-$E$3,22))&lt;&gt;""),'Arroz irrigado'!$E63:INDEX('Arroz irrigado'!$E63:$Z63,MIN(AZ$6-$E$3,22))),0))-IF($G$2,0,IF((AZ$6-$G$3)&lt;1,0,IFERROR(LOOKUP(2,1/('Arroz irrigado'!$E63:INDEX('Arroz irrigado'!$E63:$Z63,MIN(AZ$6-$G$3,22))&lt;&gt;""),'Arroz irrigado'!$E63:INDEX('Arroz irrigado'!$E63:$Z63,MIN(AZ$6-$G$3,22))),0)))))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IF(COUNT('Arroz irrigado'!$E64:$Z64)&gt;0,N('Arroz irrigado'!$D64),0)</f>
        <v>0</v>
      </c>
      <c r="E66" s="27" t="n">
        <f aca="false">IF(COUNT('Arroz irrigado'!$E64:$Z64)=0,0,MAX(0,IF((E$6-$E$3)&lt;1,0,IFERROR(LOOKUP(2,1/('Arroz irrigado'!$E64:INDEX('Arroz irrigado'!$E64:$Z64,MIN(E$6-$E$3,22))&lt;&gt;""),'Arroz irrigado'!$E64:INDEX('Arroz irrigado'!$E64:$Z64,MIN(E$6-$E$3,22))),0))-IF($G$2,0,IF((E$6-$G$3)&lt;1,0,IFERROR(LOOKUP(2,1/('Arroz irrigado'!$E64:INDEX('Arroz irrigado'!$E64:$Z64,MIN(E$6-$G$3,22))&lt;&gt;""),'Arroz irrigado'!$E64:INDEX('Arroz irrigado'!$E64:$Z64,MIN(E$6-$G$3,22))),0)))))</f>
        <v>0</v>
      </c>
      <c r="F66" s="27" t="n">
        <f aca="false">IF(COUNT('Arroz irrigado'!$E64:$Z64)=0,0,MAX(0,IF((F$6-$E$3)&lt;1,0,IFERROR(LOOKUP(2,1/('Arroz irrigado'!$E64:INDEX('Arroz irrigado'!$E64:$Z64,MIN(F$6-$E$3,22))&lt;&gt;""),'Arroz irrigado'!$E64:INDEX('Arroz irrigado'!$E64:$Z64,MIN(F$6-$E$3,22))),0))-IF($G$2,0,IF((F$6-$G$3)&lt;1,0,IFERROR(LOOKUP(2,1/('Arroz irrigado'!$E64:INDEX('Arroz irrigado'!$E64:$Z64,MIN(F$6-$G$3,22))&lt;&gt;""),'Arroz irrigado'!$E64:INDEX('Arroz irrigado'!$E64:$Z64,MIN(F$6-$G$3,22))),0)))))</f>
        <v>0</v>
      </c>
      <c r="G66" s="27" t="n">
        <f aca="false">IF(COUNT('Arroz irrigado'!$E64:$Z64)=0,0,MAX(0,IF((G$6-$E$3)&lt;1,0,IFERROR(LOOKUP(2,1/('Arroz irrigado'!$E64:INDEX('Arroz irrigado'!$E64:$Z64,MIN(G$6-$E$3,22))&lt;&gt;""),'Arroz irrigado'!$E64:INDEX('Arroz irrigado'!$E64:$Z64,MIN(G$6-$E$3,22))),0))-IF($G$2,0,IF((G$6-$G$3)&lt;1,0,IFERROR(LOOKUP(2,1/('Arroz irrigado'!$E64:INDEX('Arroz irrigado'!$E64:$Z64,MIN(G$6-$G$3,22))&lt;&gt;""),'Arroz irrigado'!$E64:INDEX('Arroz irrigado'!$E64:$Z64,MIN(G$6-$G$3,22))),0)))))</f>
        <v>0</v>
      </c>
      <c r="H66" s="27" t="n">
        <f aca="false">IF(COUNT('Arroz irrigado'!$E64:$Z64)=0,0,MAX(0,IF((H$6-$E$3)&lt;1,0,IFERROR(LOOKUP(2,1/('Arroz irrigado'!$E64:INDEX('Arroz irrigado'!$E64:$Z64,MIN(H$6-$E$3,22))&lt;&gt;""),'Arroz irrigado'!$E64:INDEX('Arroz irrigado'!$E64:$Z64,MIN(H$6-$E$3,22))),0))-IF($G$2,0,IF((H$6-$G$3)&lt;1,0,IFERROR(LOOKUP(2,1/('Arroz irrigado'!$E64:INDEX('Arroz irrigado'!$E64:$Z64,MIN(H$6-$G$3,22))&lt;&gt;""),'Arroz irrigado'!$E64:INDEX('Arroz irrigado'!$E64:$Z64,MIN(H$6-$G$3,22))),0)))))</f>
        <v>0</v>
      </c>
      <c r="I66" s="27" t="n">
        <f aca="false">IF(COUNT('Arroz irrigado'!$E64:$Z64)=0,0,MAX(0,IF((I$6-$E$3)&lt;1,0,IFERROR(LOOKUP(2,1/('Arroz irrigado'!$E64:INDEX('Arroz irrigado'!$E64:$Z64,MIN(I$6-$E$3,22))&lt;&gt;""),'Arroz irrigado'!$E64:INDEX('Arroz irrigado'!$E64:$Z64,MIN(I$6-$E$3,22))),0))-IF($G$2,0,IF((I$6-$G$3)&lt;1,0,IFERROR(LOOKUP(2,1/('Arroz irrigado'!$E64:INDEX('Arroz irrigado'!$E64:$Z64,MIN(I$6-$G$3,22))&lt;&gt;""),'Arroz irrigado'!$E64:INDEX('Arroz irrigado'!$E64:$Z64,MIN(I$6-$G$3,22))),0)))))</f>
        <v>0</v>
      </c>
      <c r="J66" s="27" t="n">
        <f aca="false">IF(COUNT('Arroz irrigado'!$E64:$Z64)=0,0,MAX(0,IF((J$6-$E$3)&lt;1,0,IFERROR(LOOKUP(2,1/('Arroz irrigado'!$E64:INDEX('Arroz irrigado'!$E64:$Z64,MIN(J$6-$E$3,22))&lt;&gt;""),'Arroz irrigado'!$E64:INDEX('Arroz irrigado'!$E64:$Z64,MIN(J$6-$E$3,22))),0))-IF($G$2,0,IF((J$6-$G$3)&lt;1,0,IFERROR(LOOKUP(2,1/('Arroz irrigado'!$E64:INDEX('Arroz irrigado'!$E64:$Z64,MIN(J$6-$G$3,22))&lt;&gt;""),'Arroz irrigado'!$E64:INDEX('Arroz irrigado'!$E64:$Z64,MIN(J$6-$G$3,22))),0)))))</f>
        <v>0</v>
      </c>
      <c r="K66" s="27" t="n">
        <f aca="false">IF(COUNT('Arroz irrigado'!$E64:$Z64)=0,0,MAX(0,IF((K$6-$E$3)&lt;1,0,IFERROR(LOOKUP(2,1/('Arroz irrigado'!$E64:INDEX('Arroz irrigado'!$E64:$Z64,MIN(K$6-$E$3,22))&lt;&gt;""),'Arroz irrigado'!$E64:INDEX('Arroz irrigado'!$E64:$Z64,MIN(K$6-$E$3,22))),0))-IF($G$2,0,IF((K$6-$G$3)&lt;1,0,IFERROR(LOOKUP(2,1/('Arroz irrigado'!$E64:INDEX('Arroz irrigado'!$E64:$Z64,MIN(K$6-$G$3,22))&lt;&gt;""),'Arroz irrigado'!$E64:INDEX('Arroz irrigado'!$E64:$Z64,MIN(K$6-$G$3,22))),0)))))</f>
        <v>0</v>
      </c>
      <c r="L66" s="27" t="n">
        <f aca="false">IF(COUNT('Arroz irrigado'!$E64:$Z64)=0,0,MAX(0,IF((L$6-$E$3)&lt;1,0,IFERROR(LOOKUP(2,1/('Arroz irrigado'!$E64:INDEX('Arroz irrigado'!$E64:$Z64,MIN(L$6-$E$3,22))&lt;&gt;""),'Arroz irrigado'!$E64:INDEX('Arroz irrigado'!$E64:$Z64,MIN(L$6-$E$3,22))),0))-IF($G$2,0,IF((L$6-$G$3)&lt;1,0,IFERROR(LOOKUP(2,1/('Arroz irrigado'!$E64:INDEX('Arroz irrigado'!$E64:$Z64,MIN(L$6-$G$3,22))&lt;&gt;""),'Arroz irrigado'!$E64:INDEX('Arroz irrigado'!$E64:$Z64,MIN(L$6-$G$3,22))),0)))))</f>
        <v>0</v>
      </c>
      <c r="M66" s="27" t="n">
        <f aca="false">IF(COUNT('Arroz irrigado'!$E64:$Z64)=0,0,MAX(0,IF((M$6-$E$3)&lt;1,0,IFERROR(LOOKUP(2,1/('Arroz irrigado'!$E64:INDEX('Arroz irrigado'!$E64:$Z64,MIN(M$6-$E$3,22))&lt;&gt;""),'Arroz irrigado'!$E64:INDEX('Arroz irrigado'!$E64:$Z64,MIN(M$6-$E$3,22))),0))-IF($G$2,0,IF((M$6-$G$3)&lt;1,0,IFERROR(LOOKUP(2,1/('Arroz irrigado'!$E64:INDEX('Arroz irrigado'!$E64:$Z64,MIN(M$6-$G$3,22))&lt;&gt;""),'Arroz irrigado'!$E64:INDEX('Arroz irrigado'!$E64:$Z64,MIN(M$6-$G$3,22))),0)))))</f>
        <v>0</v>
      </c>
      <c r="N66" s="27" t="n">
        <f aca="false">IF(COUNT('Arroz irrigado'!$E64:$Z64)=0,0,MAX(0,IF((N$6-$E$3)&lt;1,0,IFERROR(LOOKUP(2,1/('Arroz irrigado'!$E64:INDEX('Arroz irrigado'!$E64:$Z64,MIN(N$6-$E$3,22))&lt;&gt;""),'Arroz irrigado'!$E64:INDEX('Arroz irrigado'!$E64:$Z64,MIN(N$6-$E$3,22))),0))-IF($G$2,0,IF((N$6-$G$3)&lt;1,0,IFERROR(LOOKUP(2,1/('Arroz irrigado'!$E64:INDEX('Arroz irrigado'!$E64:$Z64,MIN(N$6-$G$3,22))&lt;&gt;""),'Arroz irrigado'!$E64:INDEX('Arroz irrigado'!$E64:$Z64,MIN(N$6-$G$3,22))),0)))))</f>
        <v>0</v>
      </c>
      <c r="O66" s="27" t="n">
        <f aca="false">IF(COUNT('Arroz irrigado'!$E64:$Z64)=0,0,MAX(0,IF((O$6-$E$3)&lt;1,0,IFERROR(LOOKUP(2,1/('Arroz irrigado'!$E64:INDEX('Arroz irrigado'!$E64:$Z64,MIN(O$6-$E$3,22))&lt;&gt;""),'Arroz irrigado'!$E64:INDEX('Arroz irrigado'!$E64:$Z64,MIN(O$6-$E$3,22))),0))-IF($G$2,0,IF((O$6-$G$3)&lt;1,0,IFERROR(LOOKUP(2,1/('Arroz irrigado'!$E64:INDEX('Arroz irrigado'!$E64:$Z64,MIN(O$6-$G$3,22))&lt;&gt;""),'Arroz irrigado'!$E64:INDEX('Arroz irrigado'!$E64:$Z64,MIN(O$6-$G$3,22))),0)))))</f>
        <v>0</v>
      </c>
      <c r="P66" s="27" t="n">
        <f aca="false">IF(COUNT('Arroz irrigado'!$E64:$Z64)=0,0,MAX(0,IF((P$6-$E$3)&lt;1,0,IFERROR(LOOKUP(2,1/('Arroz irrigado'!$E64:INDEX('Arroz irrigado'!$E64:$Z64,MIN(P$6-$E$3,22))&lt;&gt;""),'Arroz irrigado'!$E64:INDEX('Arroz irrigado'!$E64:$Z64,MIN(P$6-$E$3,22))),0))-IF($G$2,0,IF((P$6-$G$3)&lt;1,0,IFERROR(LOOKUP(2,1/('Arroz irrigado'!$E64:INDEX('Arroz irrigado'!$E64:$Z64,MIN(P$6-$G$3,22))&lt;&gt;""),'Arroz irrigado'!$E64:INDEX('Arroz irrigado'!$E64:$Z64,MIN(P$6-$G$3,22))),0)))))</f>
        <v>0</v>
      </c>
      <c r="Q66" s="27" t="n">
        <f aca="false">IF(COUNT('Arroz irrigado'!$E64:$Z64)=0,0,MAX(0,IF((Q$6-$E$3)&lt;1,0,IFERROR(LOOKUP(2,1/('Arroz irrigado'!$E64:INDEX('Arroz irrigado'!$E64:$Z64,MIN(Q$6-$E$3,22))&lt;&gt;""),'Arroz irrigado'!$E64:INDEX('Arroz irrigado'!$E64:$Z64,MIN(Q$6-$E$3,22))),0))-IF($G$2,0,IF((Q$6-$G$3)&lt;1,0,IFERROR(LOOKUP(2,1/('Arroz irrigado'!$E64:INDEX('Arroz irrigado'!$E64:$Z64,MIN(Q$6-$G$3,22))&lt;&gt;""),'Arroz irrigado'!$E64:INDEX('Arroz irrigado'!$E64:$Z64,MIN(Q$6-$G$3,22))),0)))))</f>
        <v>0</v>
      </c>
      <c r="R66" s="27" t="n">
        <f aca="false">IF(COUNT('Arroz irrigado'!$E64:$Z64)=0,0,MAX(0,IF((R$6-$E$3)&lt;1,0,IFERROR(LOOKUP(2,1/('Arroz irrigado'!$E64:INDEX('Arroz irrigado'!$E64:$Z64,MIN(R$6-$E$3,22))&lt;&gt;""),'Arroz irrigado'!$E64:INDEX('Arroz irrigado'!$E64:$Z64,MIN(R$6-$E$3,22))),0))-IF($G$2,0,IF((R$6-$G$3)&lt;1,0,IFERROR(LOOKUP(2,1/('Arroz irrigado'!$E64:INDEX('Arroz irrigado'!$E64:$Z64,MIN(R$6-$G$3,22))&lt;&gt;""),'Arroz irrigado'!$E64:INDEX('Arroz irrigado'!$E64:$Z64,MIN(R$6-$G$3,22))),0)))))</f>
        <v>0</v>
      </c>
      <c r="S66" s="27" t="n">
        <f aca="false">IF(COUNT('Arroz irrigado'!$E64:$Z64)=0,0,MAX(0,IF((S$6-$E$3)&lt;1,0,IFERROR(LOOKUP(2,1/('Arroz irrigado'!$E64:INDEX('Arroz irrigado'!$E64:$Z64,MIN(S$6-$E$3,22))&lt;&gt;""),'Arroz irrigado'!$E64:INDEX('Arroz irrigado'!$E64:$Z64,MIN(S$6-$E$3,22))),0))-IF($G$2,0,IF((S$6-$G$3)&lt;1,0,IFERROR(LOOKUP(2,1/('Arroz irrigado'!$E64:INDEX('Arroz irrigado'!$E64:$Z64,MIN(S$6-$G$3,22))&lt;&gt;""),'Arroz irrigado'!$E64:INDEX('Arroz irrigado'!$E64:$Z64,MIN(S$6-$G$3,22))),0)))))</f>
        <v>0</v>
      </c>
      <c r="T66" s="27" t="n">
        <f aca="false">IF(COUNT('Arroz irrigado'!$E64:$Z64)=0,0,MAX(0,IF((T$6-$E$3)&lt;1,0,IFERROR(LOOKUP(2,1/('Arroz irrigado'!$E64:INDEX('Arroz irrigado'!$E64:$Z64,MIN(T$6-$E$3,22))&lt;&gt;""),'Arroz irrigado'!$E64:INDEX('Arroz irrigado'!$E64:$Z64,MIN(T$6-$E$3,22))),0))-IF($G$2,0,IF((T$6-$G$3)&lt;1,0,IFERROR(LOOKUP(2,1/('Arroz irrigado'!$E64:INDEX('Arroz irrigado'!$E64:$Z64,MIN(T$6-$G$3,22))&lt;&gt;""),'Arroz irrigado'!$E64:INDEX('Arroz irrigado'!$E64:$Z64,MIN(T$6-$G$3,22))),0)))))</f>
        <v>0</v>
      </c>
      <c r="U66" s="27" t="n">
        <f aca="false">IF(COUNT('Arroz irrigado'!$E64:$Z64)=0,0,MAX(0,IF((U$6-$E$3)&lt;1,0,IFERROR(LOOKUP(2,1/('Arroz irrigado'!$E64:INDEX('Arroz irrigado'!$E64:$Z64,MIN(U$6-$E$3,22))&lt;&gt;""),'Arroz irrigado'!$E64:INDEX('Arroz irrigado'!$E64:$Z64,MIN(U$6-$E$3,22))),0))-IF($G$2,0,IF((U$6-$G$3)&lt;1,0,IFERROR(LOOKUP(2,1/('Arroz irrigado'!$E64:INDEX('Arroz irrigado'!$E64:$Z64,MIN(U$6-$G$3,22))&lt;&gt;""),'Arroz irrigado'!$E64:INDEX('Arroz irrigado'!$E64:$Z64,MIN(U$6-$G$3,22))),0)))))</f>
        <v>0</v>
      </c>
      <c r="V66" s="27" t="n">
        <f aca="false">IF(COUNT('Arroz irrigado'!$E64:$Z64)=0,0,MAX(0,IF((V$6-$E$3)&lt;1,0,IFERROR(LOOKUP(2,1/('Arroz irrigado'!$E64:INDEX('Arroz irrigado'!$E64:$Z64,MIN(V$6-$E$3,22))&lt;&gt;""),'Arroz irrigado'!$E64:INDEX('Arroz irrigado'!$E64:$Z64,MIN(V$6-$E$3,22))),0))-IF($G$2,0,IF((V$6-$G$3)&lt;1,0,IFERROR(LOOKUP(2,1/('Arroz irrigado'!$E64:INDEX('Arroz irrigado'!$E64:$Z64,MIN(V$6-$G$3,22))&lt;&gt;""),'Arroz irrigado'!$E64:INDEX('Arroz irrigado'!$E64:$Z64,MIN(V$6-$G$3,22))),0)))))</f>
        <v>0</v>
      </c>
      <c r="W66" s="27" t="n">
        <f aca="false">IF(COUNT('Arroz irrigado'!$E64:$Z64)=0,0,MAX(0,IF((W$6-$E$3)&lt;1,0,IFERROR(LOOKUP(2,1/('Arroz irrigado'!$E64:INDEX('Arroz irrigado'!$E64:$Z64,MIN(W$6-$E$3,22))&lt;&gt;""),'Arroz irrigado'!$E64:INDEX('Arroz irrigado'!$E64:$Z64,MIN(W$6-$E$3,22))),0))-IF($G$2,0,IF((W$6-$G$3)&lt;1,0,IFERROR(LOOKUP(2,1/('Arroz irrigado'!$E64:INDEX('Arroz irrigado'!$E64:$Z64,MIN(W$6-$G$3,22))&lt;&gt;""),'Arroz irrigado'!$E64:INDEX('Arroz irrigado'!$E64:$Z64,MIN(W$6-$G$3,22))),0)))))</f>
        <v>0</v>
      </c>
      <c r="X66" s="27" t="n">
        <f aca="false">IF(COUNT('Arroz irrigado'!$E64:$Z64)=0,0,MAX(0,IF((X$6-$E$3)&lt;1,0,IFERROR(LOOKUP(2,1/('Arroz irrigado'!$E64:INDEX('Arroz irrigado'!$E64:$Z64,MIN(X$6-$E$3,22))&lt;&gt;""),'Arroz irrigado'!$E64:INDEX('Arroz irrigado'!$E64:$Z64,MIN(X$6-$E$3,22))),0))-IF($G$2,0,IF((X$6-$G$3)&lt;1,0,IFERROR(LOOKUP(2,1/('Arroz irrigado'!$E64:INDEX('Arroz irrigado'!$E64:$Z64,MIN(X$6-$G$3,22))&lt;&gt;""),'Arroz irrigado'!$E64:INDEX('Arroz irrigado'!$E64:$Z64,MIN(X$6-$G$3,22))),0)))))</f>
        <v>0</v>
      </c>
      <c r="Y66" s="27" t="n">
        <f aca="false">IF(COUNT('Arroz irrigado'!$E64:$Z64)=0,0,MAX(0,IF((Y$6-$E$3)&lt;1,0,IFERROR(LOOKUP(2,1/('Arroz irrigado'!$E64:INDEX('Arroz irrigado'!$E64:$Z64,MIN(Y$6-$E$3,22))&lt;&gt;""),'Arroz irrigado'!$E64:INDEX('Arroz irrigado'!$E64:$Z64,MIN(Y$6-$E$3,22))),0))-IF($G$2,0,IF((Y$6-$G$3)&lt;1,0,IFERROR(LOOKUP(2,1/('Arroz irrigado'!$E64:INDEX('Arroz irrigado'!$E64:$Z64,MIN(Y$6-$G$3,22))&lt;&gt;""),'Arroz irrigado'!$E64:INDEX('Arroz irrigado'!$E64:$Z64,MIN(Y$6-$G$3,22))),0)))))</f>
        <v>0</v>
      </c>
      <c r="Z66" s="27" t="n">
        <f aca="false">IF(COUNT('Arroz irrigado'!$E64:$Z64)=0,0,MAX(0,IF((Z$6-$E$3)&lt;1,0,IFERROR(LOOKUP(2,1/('Arroz irrigado'!$E64:INDEX('Arroz irrigado'!$E64:$Z64,MIN(Z$6-$E$3,22))&lt;&gt;""),'Arroz irrigado'!$E64:INDEX('Arroz irrigado'!$E64:$Z64,MIN(Z$6-$E$3,22))),0))-IF($G$2,0,IF((Z$6-$G$3)&lt;1,0,IFERROR(LOOKUP(2,1/('Arroz irrigado'!$E64:INDEX('Arroz irrigado'!$E64:$Z64,MIN(Z$6-$G$3,22))&lt;&gt;""),'Arroz irrigado'!$E64:INDEX('Arroz irrigado'!$E64:$Z64,MIN(Z$6-$G$3,22))),0)))))</f>
        <v>0</v>
      </c>
      <c r="AA66" s="27" t="n">
        <f aca="false">IF(COUNT('Arroz irrigado'!$E64:$Z64)=0,0,MAX(0,IF((AA$6-$E$3)&lt;1,0,IFERROR(LOOKUP(2,1/('Arroz irrigado'!$E64:INDEX('Arroz irrigado'!$E64:$Z64,MIN(AA$6-$E$3,22))&lt;&gt;""),'Arroz irrigado'!$E64:INDEX('Arroz irrigado'!$E64:$Z64,MIN(AA$6-$E$3,22))),0))-IF($G$2,0,IF((AA$6-$G$3)&lt;1,0,IFERROR(LOOKUP(2,1/('Arroz irrigado'!$E64:INDEX('Arroz irrigado'!$E64:$Z64,MIN(AA$6-$G$3,22))&lt;&gt;""),'Arroz irrigado'!$E64:INDEX('Arroz irrigado'!$E64:$Z64,MIN(AA$6-$G$3,22))),0)))))</f>
        <v>0</v>
      </c>
      <c r="AB66" s="27" t="n">
        <f aca="false">IF(COUNT('Arroz irrigado'!$E64:$Z64)=0,0,MAX(0,IF((AB$6-$E$3)&lt;1,0,IFERROR(LOOKUP(2,1/('Arroz irrigado'!$E64:INDEX('Arroz irrigado'!$E64:$Z64,MIN(AB$6-$E$3,22))&lt;&gt;""),'Arroz irrigado'!$E64:INDEX('Arroz irrigado'!$E64:$Z64,MIN(AB$6-$E$3,22))),0))-IF($G$2,0,IF((AB$6-$G$3)&lt;1,0,IFERROR(LOOKUP(2,1/('Arroz irrigado'!$E64:INDEX('Arroz irrigado'!$E64:$Z64,MIN(AB$6-$G$3,22))&lt;&gt;""),'Arroz irrigado'!$E64:INDEX('Arroz irrigado'!$E64:$Z64,MIN(AB$6-$G$3,22))),0)))))</f>
        <v>0</v>
      </c>
      <c r="AC66" s="27" t="n">
        <f aca="false">IF(COUNT('Arroz irrigado'!$E64:$Z64)=0,0,MAX(0,IF((AC$6-$E$3)&lt;1,0,IFERROR(LOOKUP(2,1/('Arroz irrigado'!$E64:INDEX('Arroz irrigado'!$E64:$Z64,MIN(AC$6-$E$3,22))&lt;&gt;""),'Arroz irrigado'!$E64:INDEX('Arroz irrigado'!$E64:$Z64,MIN(AC$6-$E$3,22))),0))-IF($G$2,0,IF((AC$6-$G$3)&lt;1,0,IFERROR(LOOKUP(2,1/('Arroz irrigado'!$E64:INDEX('Arroz irrigado'!$E64:$Z64,MIN(AC$6-$G$3,22))&lt;&gt;""),'Arroz irrigado'!$E64:INDEX('Arroz irrigado'!$E64:$Z64,MIN(AC$6-$G$3,22))),0)))))</f>
        <v>0</v>
      </c>
      <c r="AD66" s="27" t="n">
        <f aca="false">IF(COUNT('Arroz irrigado'!$E64:$Z64)=0,0,MAX(0,IF((AD$6-$E$3)&lt;1,0,IFERROR(LOOKUP(2,1/('Arroz irrigado'!$E64:INDEX('Arroz irrigado'!$E64:$Z64,MIN(AD$6-$E$3,22))&lt;&gt;""),'Arroz irrigado'!$E64:INDEX('Arroz irrigado'!$E64:$Z64,MIN(AD$6-$E$3,22))),0))-IF($G$2,0,IF((AD$6-$G$3)&lt;1,0,IFERROR(LOOKUP(2,1/('Arroz irrigado'!$E64:INDEX('Arroz irrigado'!$E64:$Z64,MIN(AD$6-$G$3,22))&lt;&gt;""),'Arroz irrigado'!$E64:INDEX('Arroz irrigado'!$E64:$Z64,MIN(AD$6-$G$3,22))),0)))))</f>
        <v>0</v>
      </c>
      <c r="AE66" s="27" t="n">
        <f aca="false">IF(COUNT('Arroz irrigado'!$E64:$Z64)=0,0,MAX(0,IF((AE$6-$E$3)&lt;1,0,IFERROR(LOOKUP(2,1/('Arroz irrigado'!$E64:INDEX('Arroz irrigado'!$E64:$Z64,MIN(AE$6-$E$3,22))&lt;&gt;""),'Arroz irrigado'!$E64:INDEX('Arroz irrigado'!$E64:$Z64,MIN(AE$6-$E$3,22))),0))-IF($G$2,0,IF((AE$6-$G$3)&lt;1,0,IFERROR(LOOKUP(2,1/('Arroz irrigado'!$E64:INDEX('Arroz irrigado'!$E64:$Z64,MIN(AE$6-$G$3,22))&lt;&gt;""),'Arroz irrigado'!$E64:INDEX('Arroz irrigado'!$E64:$Z64,MIN(AE$6-$G$3,22))),0)))))</f>
        <v>0</v>
      </c>
      <c r="AF66" s="27" t="n">
        <f aca="false">IF(COUNT('Arroz irrigado'!$E64:$Z64)=0,0,MAX(0,IF((AF$6-$E$3)&lt;1,0,IFERROR(LOOKUP(2,1/('Arroz irrigado'!$E64:INDEX('Arroz irrigado'!$E64:$Z64,MIN(AF$6-$E$3,22))&lt;&gt;""),'Arroz irrigado'!$E64:INDEX('Arroz irrigado'!$E64:$Z64,MIN(AF$6-$E$3,22))),0))-IF($G$2,0,IF((AF$6-$G$3)&lt;1,0,IFERROR(LOOKUP(2,1/('Arroz irrigado'!$E64:INDEX('Arroz irrigado'!$E64:$Z64,MIN(AF$6-$G$3,22))&lt;&gt;""),'Arroz irrigado'!$E64:INDEX('Arroz irrigado'!$E64:$Z64,MIN(AF$6-$G$3,22))),0)))))</f>
        <v>0</v>
      </c>
      <c r="AG66" s="27" t="n">
        <f aca="false">IF(COUNT('Arroz irrigado'!$E64:$Z64)=0,0,MAX(0,IF((AG$6-$E$3)&lt;1,0,IFERROR(LOOKUP(2,1/('Arroz irrigado'!$E64:INDEX('Arroz irrigado'!$E64:$Z64,MIN(AG$6-$E$3,22))&lt;&gt;""),'Arroz irrigado'!$E64:INDEX('Arroz irrigado'!$E64:$Z64,MIN(AG$6-$E$3,22))),0))-IF($G$2,0,IF((AG$6-$G$3)&lt;1,0,IFERROR(LOOKUP(2,1/('Arroz irrigado'!$E64:INDEX('Arroz irrigado'!$E64:$Z64,MIN(AG$6-$G$3,22))&lt;&gt;""),'Arroz irrigado'!$E64:INDEX('Arroz irrigado'!$E64:$Z64,MIN(AG$6-$G$3,22))),0)))))</f>
        <v>0</v>
      </c>
      <c r="AH66" s="27" t="n">
        <f aca="false">IF(COUNT('Arroz irrigado'!$E64:$Z64)=0,0,MAX(0,IF((AH$6-$E$3)&lt;1,0,IFERROR(LOOKUP(2,1/('Arroz irrigado'!$E64:INDEX('Arroz irrigado'!$E64:$Z64,MIN(AH$6-$E$3,22))&lt;&gt;""),'Arroz irrigado'!$E64:INDEX('Arroz irrigado'!$E64:$Z64,MIN(AH$6-$E$3,22))),0))-IF($G$2,0,IF((AH$6-$G$3)&lt;1,0,IFERROR(LOOKUP(2,1/('Arroz irrigado'!$E64:INDEX('Arroz irrigado'!$E64:$Z64,MIN(AH$6-$G$3,22))&lt;&gt;""),'Arroz irrigado'!$E64:INDEX('Arroz irrigado'!$E64:$Z64,MIN(AH$6-$G$3,22))),0)))))</f>
        <v>0</v>
      </c>
      <c r="AI66" s="27" t="n">
        <f aca="false">IF(COUNT('Arroz irrigado'!$E64:$Z64)=0,0,MAX(0,IF((AI$6-$E$3)&lt;1,0,IFERROR(LOOKUP(2,1/('Arroz irrigado'!$E64:INDEX('Arroz irrigado'!$E64:$Z64,MIN(AI$6-$E$3,22))&lt;&gt;""),'Arroz irrigado'!$E64:INDEX('Arroz irrigado'!$E64:$Z64,MIN(AI$6-$E$3,22))),0))-IF($G$2,0,IF((AI$6-$G$3)&lt;1,0,IFERROR(LOOKUP(2,1/('Arroz irrigado'!$E64:INDEX('Arroz irrigado'!$E64:$Z64,MIN(AI$6-$G$3,22))&lt;&gt;""),'Arroz irrigado'!$E64:INDEX('Arroz irrigado'!$E64:$Z64,MIN(AI$6-$G$3,22))),0)))))</f>
        <v>0</v>
      </c>
      <c r="AJ66" s="27" t="n">
        <f aca="false">IF(COUNT('Arroz irrigado'!$E64:$Z64)=0,0,MAX(0,IF((AJ$6-$E$3)&lt;1,0,IFERROR(LOOKUP(2,1/('Arroz irrigado'!$E64:INDEX('Arroz irrigado'!$E64:$Z64,MIN(AJ$6-$E$3,22))&lt;&gt;""),'Arroz irrigado'!$E64:INDEX('Arroz irrigado'!$E64:$Z64,MIN(AJ$6-$E$3,22))),0))-IF($G$2,0,IF((AJ$6-$G$3)&lt;1,0,IFERROR(LOOKUP(2,1/('Arroz irrigado'!$E64:INDEX('Arroz irrigado'!$E64:$Z64,MIN(AJ$6-$G$3,22))&lt;&gt;""),'Arroz irrigado'!$E64:INDEX('Arroz irrigado'!$E64:$Z64,MIN(AJ$6-$G$3,22))),0)))))</f>
        <v>0</v>
      </c>
      <c r="AK66" s="27" t="n">
        <f aca="false">IF(COUNT('Arroz irrigado'!$E64:$Z64)=0,0,MAX(0,IF((AK$6-$E$3)&lt;1,0,IFERROR(LOOKUP(2,1/('Arroz irrigado'!$E64:INDEX('Arroz irrigado'!$E64:$Z64,MIN(AK$6-$E$3,22))&lt;&gt;""),'Arroz irrigado'!$E64:INDEX('Arroz irrigado'!$E64:$Z64,MIN(AK$6-$E$3,22))),0))-IF($G$2,0,IF((AK$6-$G$3)&lt;1,0,IFERROR(LOOKUP(2,1/('Arroz irrigado'!$E64:INDEX('Arroz irrigado'!$E64:$Z64,MIN(AK$6-$G$3,22))&lt;&gt;""),'Arroz irrigado'!$E64:INDEX('Arroz irrigado'!$E64:$Z64,MIN(AK$6-$G$3,22))),0)))))</f>
        <v>0</v>
      </c>
      <c r="AL66" s="27" t="n">
        <f aca="false">IF(COUNT('Arroz irrigado'!$E64:$Z64)=0,0,MAX(0,IF((AL$6-$E$3)&lt;1,0,IFERROR(LOOKUP(2,1/('Arroz irrigado'!$E64:INDEX('Arroz irrigado'!$E64:$Z64,MIN(AL$6-$E$3,22))&lt;&gt;""),'Arroz irrigado'!$E64:INDEX('Arroz irrigado'!$E64:$Z64,MIN(AL$6-$E$3,22))),0))-IF($G$2,0,IF((AL$6-$G$3)&lt;1,0,IFERROR(LOOKUP(2,1/('Arroz irrigado'!$E64:INDEX('Arroz irrigado'!$E64:$Z64,MIN(AL$6-$G$3,22))&lt;&gt;""),'Arroz irrigado'!$E64:INDEX('Arroz irrigado'!$E64:$Z64,MIN(AL$6-$G$3,22))),0)))))</f>
        <v>0</v>
      </c>
      <c r="AM66" s="27" t="n">
        <f aca="false">IF(COUNT('Arroz irrigado'!$E64:$Z64)=0,0,MAX(0,IF((AM$6-$E$3)&lt;1,0,IFERROR(LOOKUP(2,1/('Arroz irrigado'!$E64:INDEX('Arroz irrigado'!$E64:$Z64,MIN(AM$6-$E$3,22))&lt;&gt;""),'Arroz irrigado'!$E64:INDEX('Arroz irrigado'!$E64:$Z64,MIN(AM$6-$E$3,22))),0))-IF($G$2,0,IF((AM$6-$G$3)&lt;1,0,IFERROR(LOOKUP(2,1/('Arroz irrigado'!$E64:INDEX('Arroz irrigado'!$E64:$Z64,MIN(AM$6-$G$3,22))&lt;&gt;""),'Arroz irrigado'!$E64:INDEX('Arroz irrigado'!$E64:$Z64,MIN(AM$6-$G$3,22))),0)))))</f>
        <v>0</v>
      </c>
      <c r="AN66" s="27" t="n">
        <f aca="false">IF(COUNT('Arroz irrigado'!$E64:$Z64)=0,0,MAX(0,IF((AN$6-$E$3)&lt;1,0,IFERROR(LOOKUP(2,1/('Arroz irrigado'!$E64:INDEX('Arroz irrigado'!$E64:$Z64,MIN(AN$6-$E$3,22))&lt;&gt;""),'Arroz irrigado'!$E64:INDEX('Arroz irrigado'!$E64:$Z64,MIN(AN$6-$E$3,22))),0))-IF($G$2,0,IF((AN$6-$G$3)&lt;1,0,IFERROR(LOOKUP(2,1/('Arroz irrigado'!$E64:INDEX('Arroz irrigado'!$E64:$Z64,MIN(AN$6-$G$3,22))&lt;&gt;""),'Arroz irrigado'!$E64:INDEX('Arroz irrigado'!$E64:$Z64,MIN(AN$6-$G$3,22))),0)))))</f>
        <v>0</v>
      </c>
      <c r="AO66" s="27" t="n">
        <f aca="false">IF(COUNT('Arroz irrigado'!$E64:$Z64)=0,0,MAX(0,IF((AO$6-$E$3)&lt;1,0,IFERROR(LOOKUP(2,1/('Arroz irrigado'!$E64:INDEX('Arroz irrigado'!$E64:$Z64,MIN(AO$6-$E$3,22))&lt;&gt;""),'Arroz irrigado'!$E64:INDEX('Arroz irrigado'!$E64:$Z64,MIN(AO$6-$E$3,22))),0))-IF($G$2,0,IF((AO$6-$G$3)&lt;1,0,IFERROR(LOOKUP(2,1/('Arroz irrigado'!$E64:INDEX('Arroz irrigado'!$E64:$Z64,MIN(AO$6-$G$3,22))&lt;&gt;""),'Arroz irrigado'!$E64:INDEX('Arroz irrigado'!$E64:$Z64,MIN(AO$6-$G$3,22))),0)))))</f>
        <v>0</v>
      </c>
      <c r="AP66" s="27" t="n">
        <f aca="false">IF(COUNT('Arroz irrigado'!$E64:$Z64)=0,0,MAX(0,IF((AP$6-$E$3)&lt;1,0,IFERROR(LOOKUP(2,1/('Arroz irrigado'!$E64:INDEX('Arroz irrigado'!$E64:$Z64,MIN(AP$6-$E$3,22))&lt;&gt;""),'Arroz irrigado'!$E64:INDEX('Arroz irrigado'!$E64:$Z64,MIN(AP$6-$E$3,22))),0))-IF($G$2,0,IF((AP$6-$G$3)&lt;1,0,IFERROR(LOOKUP(2,1/('Arroz irrigado'!$E64:INDEX('Arroz irrigado'!$E64:$Z64,MIN(AP$6-$G$3,22))&lt;&gt;""),'Arroz irrigado'!$E64:INDEX('Arroz irrigado'!$E64:$Z64,MIN(AP$6-$G$3,22))),0)))))</f>
        <v>0</v>
      </c>
      <c r="AQ66" s="27" t="n">
        <f aca="false">IF(COUNT('Arroz irrigado'!$E64:$Z64)=0,0,MAX(0,IF((AQ$6-$E$3)&lt;1,0,IFERROR(LOOKUP(2,1/('Arroz irrigado'!$E64:INDEX('Arroz irrigado'!$E64:$Z64,MIN(AQ$6-$E$3,22))&lt;&gt;""),'Arroz irrigado'!$E64:INDEX('Arroz irrigado'!$E64:$Z64,MIN(AQ$6-$E$3,22))),0))-IF($G$2,0,IF((AQ$6-$G$3)&lt;1,0,IFERROR(LOOKUP(2,1/('Arroz irrigado'!$E64:INDEX('Arroz irrigado'!$E64:$Z64,MIN(AQ$6-$G$3,22))&lt;&gt;""),'Arroz irrigado'!$E64:INDEX('Arroz irrigado'!$E64:$Z64,MIN(AQ$6-$G$3,22))),0)))))</f>
        <v>0</v>
      </c>
      <c r="AR66" s="27" t="n">
        <f aca="false">IF(COUNT('Arroz irrigado'!$E64:$Z64)=0,0,MAX(0,IF((AR$6-$E$3)&lt;1,0,IFERROR(LOOKUP(2,1/('Arroz irrigado'!$E64:INDEX('Arroz irrigado'!$E64:$Z64,MIN(AR$6-$E$3,22))&lt;&gt;""),'Arroz irrigado'!$E64:INDEX('Arroz irrigado'!$E64:$Z64,MIN(AR$6-$E$3,22))),0))-IF($G$2,0,IF((AR$6-$G$3)&lt;1,0,IFERROR(LOOKUP(2,1/('Arroz irrigado'!$E64:INDEX('Arroz irrigado'!$E64:$Z64,MIN(AR$6-$G$3,22))&lt;&gt;""),'Arroz irrigado'!$E64:INDEX('Arroz irrigado'!$E64:$Z64,MIN(AR$6-$G$3,22))),0)))))</f>
        <v>0</v>
      </c>
      <c r="AS66" s="27" t="n">
        <f aca="false">IF(COUNT('Arroz irrigado'!$E64:$Z64)=0,0,MAX(0,IF((AS$6-$E$3)&lt;1,0,IFERROR(LOOKUP(2,1/('Arroz irrigado'!$E64:INDEX('Arroz irrigado'!$E64:$Z64,MIN(AS$6-$E$3,22))&lt;&gt;""),'Arroz irrigado'!$E64:INDEX('Arroz irrigado'!$E64:$Z64,MIN(AS$6-$E$3,22))),0))-IF($G$2,0,IF((AS$6-$G$3)&lt;1,0,IFERROR(LOOKUP(2,1/('Arroz irrigado'!$E64:INDEX('Arroz irrigado'!$E64:$Z64,MIN(AS$6-$G$3,22))&lt;&gt;""),'Arroz irrigado'!$E64:INDEX('Arroz irrigado'!$E64:$Z64,MIN(AS$6-$G$3,22))),0)))))</f>
        <v>0</v>
      </c>
      <c r="AT66" s="27" t="n">
        <f aca="false">IF(COUNT('Arroz irrigado'!$E64:$Z64)=0,0,MAX(0,IF((AT$6-$E$3)&lt;1,0,IFERROR(LOOKUP(2,1/('Arroz irrigado'!$E64:INDEX('Arroz irrigado'!$E64:$Z64,MIN(AT$6-$E$3,22))&lt;&gt;""),'Arroz irrigado'!$E64:INDEX('Arroz irrigado'!$E64:$Z64,MIN(AT$6-$E$3,22))),0))-IF($G$2,0,IF((AT$6-$G$3)&lt;1,0,IFERROR(LOOKUP(2,1/('Arroz irrigado'!$E64:INDEX('Arroz irrigado'!$E64:$Z64,MIN(AT$6-$G$3,22))&lt;&gt;""),'Arroz irrigado'!$E64:INDEX('Arroz irrigado'!$E64:$Z64,MIN(AT$6-$G$3,22))),0)))))</f>
        <v>0</v>
      </c>
      <c r="AU66" s="27" t="n">
        <f aca="false">IF(COUNT('Arroz irrigado'!$E64:$Z64)=0,0,MAX(0,IF((AU$6-$E$3)&lt;1,0,IFERROR(LOOKUP(2,1/('Arroz irrigado'!$E64:INDEX('Arroz irrigado'!$E64:$Z64,MIN(AU$6-$E$3,22))&lt;&gt;""),'Arroz irrigado'!$E64:INDEX('Arroz irrigado'!$E64:$Z64,MIN(AU$6-$E$3,22))),0))-IF($G$2,0,IF((AU$6-$G$3)&lt;1,0,IFERROR(LOOKUP(2,1/('Arroz irrigado'!$E64:INDEX('Arroz irrigado'!$E64:$Z64,MIN(AU$6-$G$3,22))&lt;&gt;""),'Arroz irrigado'!$E64:INDEX('Arroz irrigado'!$E64:$Z64,MIN(AU$6-$G$3,22))),0)))))</f>
        <v>0</v>
      </c>
      <c r="AV66" s="27" t="n">
        <f aca="false">IF(COUNT('Arroz irrigado'!$E64:$Z64)=0,0,MAX(0,IF((AV$6-$E$3)&lt;1,0,IFERROR(LOOKUP(2,1/('Arroz irrigado'!$E64:INDEX('Arroz irrigado'!$E64:$Z64,MIN(AV$6-$E$3,22))&lt;&gt;""),'Arroz irrigado'!$E64:INDEX('Arroz irrigado'!$E64:$Z64,MIN(AV$6-$E$3,22))),0))-IF($G$2,0,IF((AV$6-$G$3)&lt;1,0,IFERROR(LOOKUP(2,1/('Arroz irrigado'!$E64:INDEX('Arroz irrigado'!$E64:$Z64,MIN(AV$6-$G$3,22))&lt;&gt;""),'Arroz irrigado'!$E64:INDEX('Arroz irrigado'!$E64:$Z64,MIN(AV$6-$G$3,22))),0)))))</f>
        <v>0</v>
      </c>
      <c r="AW66" s="27" t="n">
        <f aca="false">IF(COUNT('Arroz irrigado'!$E64:$Z64)=0,0,MAX(0,IF((AW$6-$E$3)&lt;1,0,IFERROR(LOOKUP(2,1/('Arroz irrigado'!$E64:INDEX('Arroz irrigado'!$E64:$Z64,MIN(AW$6-$E$3,22))&lt;&gt;""),'Arroz irrigado'!$E64:INDEX('Arroz irrigado'!$E64:$Z64,MIN(AW$6-$E$3,22))),0))-IF($G$2,0,IF((AW$6-$G$3)&lt;1,0,IFERROR(LOOKUP(2,1/('Arroz irrigado'!$E64:INDEX('Arroz irrigado'!$E64:$Z64,MIN(AW$6-$G$3,22))&lt;&gt;""),'Arroz irrigado'!$E64:INDEX('Arroz irrigado'!$E64:$Z64,MIN(AW$6-$G$3,22))),0)))))</f>
        <v>0</v>
      </c>
      <c r="AX66" s="27" t="n">
        <f aca="false">IF(COUNT('Arroz irrigado'!$E64:$Z64)=0,0,MAX(0,IF((AX$6-$E$3)&lt;1,0,IFERROR(LOOKUP(2,1/('Arroz irrigado'!$E64:INDEX('Arroz irrigado'!$E64:$Z64,MIN(AX$6-$E$3,22))&lt;&gt;""),'Arroz irrigado'!$E64:INDEX('Arroz irrigado'!$E64:$Z64,MIN(AX$6-$E$3,22))),0))-IF($G$2,0,IF((AX$6-$G$3)&lt;1,0,IFERROR(LOOKUP(2,1/('Arroz irrigado'!$E64:INDEX('Arroz irrigado'!$E64:$Z64,MIN(AX$6-$G$3,22))&lt;&gt;""),'Arroz irrigado'!$E64:INDEX('Arroz irrigado'!$E64:$Z64,MIN(AX$6-$G$3,22))),0)))))</f>
        <v>0</v>
      </c>
      <c r="AY66" s="27" t="n">
        <f aca="false">IF(COUNT('Arroz irrigado'!$E64:$Z64)=0,0,MAX(0,IF((AY$6-$E$3)&lt;1,0,IFERROR(LOOKUP(2,1/('Arroz irrigado'!$E64:INDEX('Arroz irrigado'!$E64:$Z64,MIN(AY$6-$E$3,22))&lt;&gt;""),'Arroz irrigado'!$E64:INDEX('Arroz irrigado'!$E64:$Z64,MIN(AY$6-$E$3,22))),0))-IF($G$2,0,IF((AY$6-$G$3)&lt;1,0,IFERROR(LOOKUP(2,1/('Arroz irrigado'!$E64:INDEX('Arroz irrigado'!$E64:$Z64,MIN(AY$6-$G$3,22))&lt;&gt;""),'Arroz irrigado'!$E64:INDEX('Arroz irrigado'!$E64:$Z64,MIN(AY$6-$G$3,22))),0)))))</f>
        <v>0</v>
      </c>
      <c r="AZ66" s="27" t="n">
        <f aca="false">IF(COUNT('Arroz irrigado'!$E64:$Z64)=0,0,MAX(0,IF((AZ$6-$E$3)&lt;1,0,IFERROR(LOOKUP(2,1/('Arroz irrigado'!$E64:INDEX('Arroz irrigado'!$E64:$Z64,MIN(AZ$6-$E$3,22))&lt;&gt;""),'Arroz irrigado'!$E64:INDEX('Arroz irrigado'!$E64:$Z64,MIN(AZ$6-$E$3,22))),0))-IF($G$2,0,IF((AZ$6-$G$3)&lt;1,0,IFERROR(LOOKUP(2,1/('Arroz irrigado'!$E64:INDEX('Arroz irrigado'!$E64:$Z64,MIN(AZ$6-$G$3,22))&lt;&gt;""),'Arroz irrigado'!$E64:INDEX('Arroz irrigado'!$E64:$Z64,MIN(AZ$6-$G$3,22))),0)))))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IF(COUNT('Arroz irrigado'!$E65:$Z65)&gt;0,N('Arroz irrigado'!$D65),0)</f>
        <v>0</v>
      </c>
      <c r="E67" s="27" t="n">
        <f aca="false">IF(COUNT('Arroz irrigado'!$E65:$Z65)=0,0,MAX(0,IF((E$6-$E$3)&lt;1,0,IFERROR(LOOKUP(2,1/('Arroz irrigado'!$E65:INDEX('Arroz irrigado'!$E65:$Z65,MIN(E$6-$E$3,22))&lt;&gt;""),'Arroz irrigado'!$E65:INDEX('Arroz irrigado'!$E65:$Z65,MIN(E$6-$E$3,22))),0))-IF($G$2,0,IF((E$6-$G$3)&lt;1,0,IFERROR(LOOKUP(2,1/('Arroz irrigado'!$E65:INDEX('Arroz irrigado'!$E65:$Z65,MIN(E$6-$G$3,22))&lt;&gt;""),'Arroz irrigado'!$E65:INDEX('Arroz irrigado'!$E65:$Z65,MIN(E$6-$G$3,22))),0)))))</f>
        <v>0</v>
      </c>
      <c r="F67" s="27" t="n">
        <f aca="false">IF(COUNT('Arroz irrigado'!$E65:$Z65)=0,0,MAX(0,IF((F$6-$E$3)&lt;1,0,IFERROR(LOOKUP(2,1/('Arroz irrigado'!$E65:INDEX('Arroz irrigado'!$E65:$Z65,MIN(F$6-$E$3,22))&lt;&gt;""),'Arroz irrigado'!$E65:INDEX('Arroz irrigado'!$E65:$Z65,MIN(F$6-$E$3,22))),0))-IF($G$2,0,IF((F$6-$G$3)&lt;1,0,IFERROR(LOOKUP(2,1/('Arroz irrigado'!$E65:INDEX('Arroz irrigado'!$E65:$Z65,MIN(F$6-$G$3,22))&lt;&gt;""),'Arroz irrigado'!$E65:INDEX('Arroz irrigado'!$E65:$Z65,MIN(F$6-$G$3,22))),0)))))</f>
        <v>0</v>
      </c>
      <c r="G67" s="27" t="n">
        <f aca="false">IF(COUNT('Arroz irrigado'!$E65:$Z65)=0,0,MAX(0,IF((G$6-$E$3)&lt;1,0,IFERROR(LOOKUP(2,1/('Arroz irrigado'!$E65:INDEX('Arroz irrigado'!$E65:$Z65,MIN(G$6-$E$3,22))&lt;&gt;""),'Arroz irrigado'!$E65:INDEX('Arroz irrigado'!$E65:$Z65,MIN(G$6-$E$3,22))),0))-IF($G$2,0,IF((G$6-$G$3)&lt;1,0,IFERROR(LOOKUP(2,1/('Arroz irrigado'!$E65:INDEX('Arroz irrigado'!$E65:$Z65,MIN(G$6-$G$3,22))&lt;&gt;""),'Arroz irrigado'!$E65:INDEX('Arroz irrigado'!$E65:$Z65,MIN(G$6-$G$3,22))),0)))))</f>
        <v>0</v>
      </c>
      <c r="H67" s="27" t="n">
        <f aca="false">IF(COUNT('Arroz irrigado'!$E65:$Z65)=0,0,MAX(0,IF((H$6-$E$3)&lt;1,0,IFERROR(LOOKUP(2,1/('Arroz irrigado'!$E65:INDEX('Arroz irrigado'!$E65:$Z65,MIN(H$6-$E$3,22))&lt;&gt;""),'Arroz irrigado'!$E65:INDEX('Arroz irrigado'!$E65:$Z65,MIN(H$6-$E$3,22))),0))-IF($G$2,0,IF((H$6-$G$3)&lt;1,0,IFERROR(LOOKUP(2,1/('Arroz irrigado'!$E65:INDEX('Arroz irrigado'!$E65:$Z65,MIN(H$6-$G$3,22))&lt;&gt;""),'Arroz irrigado'!$E65:INDEX('Arroz irrigado'!$E65:$Z65,MIN(H$6-$G$3,22))),0)))))</f>
        <v>0</v>
      </c>
      <c r="I67" s="27" t="n">
        <f aca="false">IF(COUNT('Arroz irrigado'!$E65:$Z65)=0,0,MAX(0,IF((I$6-$E$3)&lt;1,0,IFERROR(LOOKUP(2,1/('Arroz irrigado'!$E65:INDEX('Arroz irrigado'!$E65:$Z65,MIN(I$6-$E$3,22))&lt;&gt;""),'Arroz irrigado'!$E65:INDEX('Arroz irrigado'!$E65:$Z65,MIN(I$6-$E$3,22))),0))-IF($G$2,0,IF((I$6-$G$3)&lt;1,0,IFERROR(LOOKUP(2,1/('Arroz irrigado'!$E65:INDEX('Arroz irrigado'!$E65:$Z65,MIN(I$6-$G$3,22))&lt;&gt;""),'Arroz irrigado'!$E65:INDEX('Arroz irrigado'!$E65:$Z65,MIN(I$6-$G$3,22))),0)))))</f>
        <v>0</v>
      </c>
      <c r="J67" s="27" t="n">
        <f aca="false">IF(COUNT('Arroz irrigado'!$E65:$Z65)=0,0,MAX(0,IF((J$6-$E$3)&lt;1,0,IFERROR(LOOKUP(2,1/('Arroz irrigado'!$E65:INDEX('Arroz irrigado'!$E65:$Z65,MIN(J$6-$E$3,22))&lt;&gt;""),'Arroz irrigado'!$E65:INDEX('Arroz irrigado'!$E65:$Z65,MIN(J$6-$E$3,22))),0))-IF($G$2,0,IF((J$6-$G$3)&lt;1,0,IFERROR(LOOKUP(2,1/('Arroz irrigado'!$E65:INDEX('Arroz irrigado'!$E65:$Z65,MIN(J$6-$G$3,22))&lt;&gt;""),'Arroz irrigado'!$E65:INDEX('Arroz irrigado'!$E65:$Z65,MIN(J$6-$G$3,22))),0)))))</f>
        <v>0</v>
      </c>
      <c r="K67" s="27" t="n">
        <f aca="false">IF(COUNT('Arroz irrigado'!$E65:$Z65)=0,0,MAX(0,IF((K$6-$E$3)&lt;1,0,IFERROR(LOOKUP(2,1/('Arroz irrigado'!$E65:INDEX('Arroz irrigado'!$E65:$Z65,MIN(K$6-$E$3,22))&lt;&gt;""),'Arroz irrigado'!$E65:INDEX('Arroz irrigado'!$E65:$Z65,MIN(K$6-$E$3,22))),0))-IF($G$2,0,IF((K$6-$G$3)&lt;1,0,IFERROR(LOOKUP(2,1/('Arroz irrigado'!$E65:INDEX('Arroz irrigado'!$E65:$Z65,MIN(K$6-$G$3,22))&lt;&gt;""),'Arroz irrigado'!$E65:INDEX('Arroz irrigado'!$E65:$Z65,MIN(K$6-$G$3,22))),0)))))</f>
        <v>0</v>
      </c>
      <c r="L67" s="27" t="n">
        <f aca="false">IF(COUNT('Arroz irrigado'!$E65:$Z65)=0,0,MAX(0,IF((L$6-$E$3)&lt;1,0,IFERROR(LOOKUP(2,1/('Arroz irrigado'!$E65:INDEX('Arroz irrigado'!$E65:$Z65,MIN(L$6-$E$3,22))&lt;&gt;""),'Arroz irrigado'!$E65:INDEX('Arroz irrigado'!$E65:$Z65,MIN(L$6-$E$3,22))),0))-IF($G$2,0,IF((L$6-$G$3)&lt;1,0,IFERROR(LOOKUP(2,1/('Arroz irrigado'!$E65:INDEX('Arroz irrigado'!$E65:$Z65,MIN(L$6-$G$3,22))&lt;&gt;""),'Arroz irrigado'!$E65:INDEX('Arroz irrigado'!$E65:$Z65,MIN(L$6-$G$3,22))),0)))))</f>
        <v>0</v>
      </c>
      <c r="M67" s="27" t="n">
        <f aca="false">IF(COUNT('Arroz irrigado'!$E65:$Z65)=0,0,MAX(0,IF((M$6-$E$3)&lt;1,0,IFERROR(LOOKUP(2,1/('Arroz irrigado'!$E65:INDEX('Arroz irrigado'!$E65:$Z65,MIN(M$6-$E$3,22))&lt;&gt;""),'Arroz irrigado'!$E65:INDEX('Arroz irrigado'!$E65:$Z65,MIN(M$6-$E$3,22))),0))-IF($G$2,0,IF((M$6-$G$3)&lt;1,0,IFERROR(LOOKUP(2,1/('Arroz irrigado'!$E65:INDEX('Arroz irrigado'!$E65:$Z65,MIN(M$6-$G$3,22))&lt;&gt;""),'Arroz irrigado'!$E65:INDEX('Arroz irrigado'!$E65:$Z65,MIN(M$6-$G$3,22))),0)))))</f>
        <v>0</v>
      </c>
      <c r="N67" s="27" t="n">
        <f aca="false">IF(COUNT('Arroz irrigado'!$E65:$Z65)=0,0,MAX(0,IF((N$6-$E$3)&lt;1,0,IFERROR(LOOKUP(2,1/('Arroz irrigado'!$E65:INDEX('Arroz irrigado'!$E65:$Z65,MIN(N$6-$E$3,22))&lt;&gt;""),'Arroz irrigado'!$E65:INDEX('Arroz irrigado'!$E65:$Z65,MIN(N$6-$E$3,22))),0))-IF($G$2,0,IF((N$6-$G$3)&lt;1,0,IFERROR(LOOKUP(2,1/('Arroz irrigado'!$E65:INDEX('Arroz irrigado'!$E65:$Z65,MIN(N$6-$G$3,22))&lt;&gt;""),'Arroz irrigado'!$E65:INDEX('Arroz irrigado'!$E65:$Z65,MIN(N$6-$G$3,22))),0)))))</f>
        <v>0</v>
      </c>
      <c r="O67" s="27" t="n">
        <f aca="false">IF(COUNT('Arroz irrigado'!$E65:$Z65)=0,0,MAX(0,IF((O$6-$E$3)&lt;1,0,IFERROR(LOOKUP(2,1/('Arroz irrigado'!$E65:INDEX('Arroz irrigado'!$E65:$Z65,MIN(O$6-$E$3,22))&lt;&gt;""),'Arroz irrigado'!$E65:INDEX('Arroz irrigado'!$E65:$Z65,MIN(O$6-$E$3,22))),0))-IF($G$2,0,IF((O$6-$G$3)&lt;1,0,IFERROR(LOOKUP(2,1/('Arroz irrigado'!$E65:INDEX('Arroz irrigado'!$E65:$Z65,MIN(O$6-$G$3,22))&lt;&gt;""),'Arroz irrigado'!$E65:INDEX('Arroz irrigado'!$E65:$Z65,MIN(O$6-$G$3,22))),0)))))</f>
        <v>0</v>
      </c>
      <c r="P67" s="27" t="n">
        <f aca="false">IF(COUNT('Arroz irrigado'!$E65:$Z65)=0,0,MAX(0,IF((P$6-$E$3)&lt;1,0,IFERROR(LOOKUP(2,1/('Arroz irrigado'!$E65:INDEX('Arroz irrigado'!$E65:$Z65,MIN(P$6-$E$3,22))&lt;&gt;""),'Arroz irrigado'!$E65:INDEX('Arroz irrigado'!$E65:$Z65,MIN(P$6-$E$3,22))),0))-IF($G$2,0,IF((P$6-$G$3)&lt;1,0,IFERROR(LOOKUP(2,1/('Arroz irrigado'!$E65:INDEX('Arroz irrigado'!$E65:$Z65,MIN(P$6-$G$3,22))&lt;&gt;""),'Arroz irrigado'!$E65:INDEX('Arroz irrigado'!$E65:$Z65,MIN(P$6-$G$3,22))),0)))))</f>
        <v>0</v>
      </c>
      <c r="Q67" s="27" t="n">
        <f aca="false">IF(COUNT('Arroz irrigado'!$E65:$Z65)=0,0,MAX(0,IF((Q$6-$E$3)&lt;1,0,IFERROR(LOOKUP(2,1/('Arroz irrigado'!$E65:INDEX('Arroz irrigado'!$E65:$Z65,MIN(Q$6-$E$3,22))&lt;&gt;""),'Arroz irrigado'!$E65:INDEX('Arroz irrigado'!$E65:$Z65,MIN(Q$6-$E$3,22))),0))-IF($G$2,0,IF((Q$6-$G$3)&lt;1,0,IFERROR(LOOKUP(2,1/('Arroz irrigado'!$E65:INDEX('Arroz irrigado'!$E65:$Z65,MIN(Q$6-$G$3,22))&lt;&gt;""),'Arroz irrigado'!$E65:INDEX('Arroz irrigado'!$E65:$Z65,MIN(Q$6-$G$3,22))),0)))))</f>
        <v>0</v>
      </c>
      <c r="R67" s="27" t="n">
        <f aca="false">IF(COUNT('Arroz irrigado'!$E65:$Z65)=0,0,MAX(0,IF((R$6-$E$3)&lt;1,0,IFERROR(LOOKUP(2,1/('Arroz irrigado'!$E65:INDEX('Arroz irrigado'!$E65:$Z65,MIN(R$6-$E$3,22))&lt;&gt;""),'Arroz irrigado'!$E65:INDEX('Arroz irrigado'!$E65:$Z65,MIN(R$6-$E$3,22))),0))-IF($G$2,0,IF((R$6-$G$3)&lt;1,0,IFERROR(LOOKUP(2,1/('Arroz irrigado'!$E65:INDEX('Arroz irrigado'!$E65:$Z65,MIN(R$6-$G$3,22))&lt;&gt;""),'Arroz irrigado'!$E65:INDEX('Arroz irrigado'!$E65:$Z65,MIN(R$6-$G$3,22))),0)))))</f>
        <v>0</v>
      </c>
      <c r="S67" s="27" t="n">
        <f aca="false">IF(COUNT('Arroz irrigado'!$E65:$Z65)=0,0,MAX(0,IF((S$6-$E$3)&lt;1,0,IFERROR(LOOKUP(2,1/('Arroz irrigado'!$E65:INDEX('Arroz irrigado'!$E65:$Z65,MIN(S$6-$E$3,22))&lt;&gt;""),'Arroz irrigado'!$E65:INDEX('Arroz irrigado'!$E65:$Z65,MIN(S$6-$E$3,22))),0))-IF($G$2,0,IF((S$6-$G$3)&lt;1,0,IFERROR(LOOKUP(2,1/('Arroz irrigado'!$E65:INDEX('Arroz irrigado'!$E65:$Z65,MIN(S$6-$G$3,22))&lt;&gt;""),'Arroz irrigado'!$E65:INDEX('Arroz irrigado'!$E65:$Z65,MIN(S$6-$G$3,22))),0)))))</f>
        <v>0</v>
      </c>
      <c r="T67" s="27" t="n">
        <f aca="false">IF(COUNT('Arroz irrigado'!$E65:$Z65)=0,0,MAX(0,IF((T$6-$E$3)&lt;1,0,IFERROR(LOOKUP(2,1/('Arroz irrigado'!$E65:INDEX('Arroz irrigado'!$E65:$Z65,MIN(T$6-$E$3,22))&lt;&gt;""),'Arroz irrigado'!$E65:INDEX('Arroz irrigado'!$E65:$Z65,MIN(T$6-$E$3,22))),0))-IF($G$2,0,IF((T$6-$G$3)&lt;1,0,IFERROR(LOOKUP(2,1/('Arroz irrigado'!$E65:INDEX('Arroz irrigado'!$E65:$Z65,MIN(T$6-$G$3,22))&lt;&gt;""),'Arroz irrigado'!$E65:INDEX('Arroz irrigado'!$E65:$Z65,MIN(T$6-$G$3,22))),0)))))</f>
        <v>0</v>
      </c>
      <c r="U67" s="27" t="n">
        <f aca="false">IF(COUNT('Arroz irrigado'!$E65:$Z65)=0,0,MAX(0,IF((U$6-$E$3)&lt;1,0,IFERROR(LOOKUP(2,1/('Arroz irrigado'!$E65:INDEX('Arroz irrigado'!$E65:$Z65,MIN(U$6-$E$3,22))&lt;&gt;""),'Arroz irrigado'!$E65:INDEX('Arroz irrigado'!$E65:$Z65,MIN(U$6-$E$3,22))),0))-IF($G$2,0,IF((U$6-$G$3)&lt;1,0,IFERROR(LOOKUP(2,1/('Arroz irrigado'!$E65:INDEX('Arroz irrigado'!$E65:$Z65,MIN(U$6-$G$3,22))&lt;&gt;""),'Arroz irrigado'!$E65:INDEX('Arroz irrigado'!$E65:$Z65,MIN(U$6-$G$3,22))),0)))))</f>
        <v>0</v>
      </c>
      <c r="V67" s="27" t="n">
        <f aca="false">IF(COUNT('Arroz irrigado'!$E65:$Z65)=0,0,MAX(0,IF((V$6-$E$3)&lt;1,0,IFERROR(LOOKUP(2,1/('Arroz irrigado'!$E65:INDEX('Arroz irrigado'!$E65:$Z65,MIN(V$6-$E$3,22))&lt;&gt;""),'Arroz irrigado'!$E65:INDEX('Arroz irrigado'!$E65:$Z65,MIN(V$6-$E$3,22))),0))-IF($G$2,0,IF((V$6-$G$3)&lt;1,0,IFERROR(LOOKUP(2,1/('Arroz irrigado'!$E65:INDEX('Arroz irrigado'!$E65:$Z65,MIN(V$6-$G$3,22))&lt;&gt;""),'Arroz irrigado'!$E65:INDEX('Arroz irrigado'!$E65:$Z65,MIN(V$6-$G$3,22))),0)))))</f>
        <v>0</v>
      </c>
      <c r="W67" s="27" t="n">
        <f aca="false">IF(COUNT('Arroz irrigado'!$E65:$Z65)=0,0,MAX(0,IF((W$6-$E$3)&lt;1,0,IFERROR(LOOKUP(2,1/('Arroz irrigado'!$E65:INDEX('Arroz irrigado'!$E65:$Z65,MIN(W$6-$E$3,22))&lt;&gt;""),'Arroz irrigado'!$E65:INDEX('Arroz irrigado'!$E65:$Z65,MIN(W$6-$E$3,22))),0))-IF($G$2,0,IF((W$6-$G$3)&lt;1,0,IFERROR(LOOKUP(2,1/('Arroz irrigado'!$E65:INDEX('Arroz irrigado'!$E65:$Z65,MIN(W$6-$G$3,22))&lt;&gt;""),'Arroz irrigado'!$E65:INDEX('Arroz irrigado'!$E65:$Z65,MIN(W$6-$G$3,22))),0)))))</f>
        <v>0</v>
      </c>
      <c r="X67" s="27" t="n">
        <f aca="false">IF(COUNT('Arroz irrigado'!$E65:$Z65)=0,0,MAX(0,IF((X$6-$E$3)&lt;1,0,IFERROR(LOOKUP(2,1/('Arroz irrigado'!$E65:INDEX('Arroz irrigado'!$E65:$Z65,MIN(X$6-$E$3,22))&lt;&gt;""),'Arroz irrigado'!$E65:INDEX('Arroz irrigado'!$E65:$Z65,MIN(X$6-$E$3,22))),0))-IF($G$2,0,IF((X$6-$G$3)&lt;1,0,IFERROR(LOOKUP(2,1/('Arroz irrigado'!$E65:INDEX('Arroz irrigado'!$E65:$Z65,MIN(X$6-$G$3,22))&lt;&gt;""),'Arroz irrigado'!$E65:INDEX('Arroz irrigado'!$E65:$Z65,MIN(X$6-$G$3,22))),0)))))</f>
        <v>0</v>
      </c>
      <c r="Y67" s="27" t="n">
        <f aca="false">IF(COUNT('Arroz irrigado'!$E65:$Z65)=0,0,MAX(0,IF((Y$6-$E$3)&lt;1,0,IFERROR(LOOKUP(2,1/('Arroz irrigado'!$E65:INDEX('Arroz irrigado'!$E65:$Z65,MIN(Y$6-$E$3,22))&lt;&gt;""),'Arroz irrigado'!$E65:INDEX('Arroz irrigado'!$E65:$Z65,MIN(Y$6-$E$3,22))),0))-IF($G$2,0,IF((Y$6-$G$3)&lt;1,0,IFERROR(LOOKUP(2,1/('Arroz irrigado'!$E65:INDEX('Arroz irrigado'!$E65:$Z65,MIN(Y$6-$G$3,22))&lt;&gt;""),'Arroz irrigado'!$E65:INDEX('Arroz irrigado'!$E65:$Z65,MIN(Y$6-$G$3,22))),0)))))</f>
        <v>0</v>
      </c>
      <c r="Z67" s="27" t="n">
        <f aca="false">IF(COUNT('Arroz irrigado'!$E65:$Z65)=0,0,MAX(0,IF((Z$6-$E$3)&lt;1,0,IFERROR(LOOKUP(2,1/('Arroz irrigado'!$E65:INDEX('Arroz irrigado'!$E65:$Z65,MIN(Z$6-$E$3,22))&lt;&gt;""),'Arroz irrigado'!$E65:INDEX('Arroz irrigado'!$E65:$Z65,MIN(Z$6-$E$3,22))),0))-IF($G$2,0,IF((Z$6-$G$3)&lt;1,0,IFERROR(LOOKUP(2,1/('Arroz irrigado'!$E65:INDEX('Arroz irrigado'!$E65:$Z65,MIN(Z$6-$G$3,22))&lt;&gt;""),'Arroz irrigado'!$E65:INDEX('Arroz irrigado'!$E65:$Z65,MIN(Z$6-$G$3,22))),0)))))</f>
        <v>0</v>
      </c>
      <c r="AA67" s="27" t="n">
        <f aca="false">IF(COUNT('Arroz irrigado'!$E65:$Z65)=0,0,MAX(0,IF((AA$6-$E$3)&lt;1,0,IFERROR(LOOKUP(2,1/('Arroz irrigado'!$E65:INDEX('Arroz irrigado'!$E65:$Z65,MIN(AA$6-$E$3,22))&lt;&gt;""),'Arroz irrigado'!$E65:INDEX('Arroz irrigado'!$E65:$Z65,MIN(AA$6-$E$3,22))),0))-IF($G$2,0,IF((AA$6-$G$3)&lt;1,0,IFERROR(LOOKUP(2,1/('Arroz irrigado'!$E65:INDEX('Arroz irrigado'!$E65:$Z65,MIN(AA$6-$G$3,22))&lt;&gt;""),'Arroz irrigado'!$E65:INDEX('Arroz irrigado'!$E65:$Z65,MIN(AA$6-$G$3,22))),0)))))</f>
        <v>0</v>
      </c>
      <c r="AB67" s="27" t="n">
        <f aca="false">IF(COUNT('Arroz irrigado'!$E65:$Z65)=0,0,MAX(0,IF((AB$6-$E$3)&lt;1,0,IFERROR(LOOKUP(2,1/('Arroz irrigado'!$E65:INDEX('Arroz irrigado'!$E65:$Z65,MIN(AB$6-$E$3,22))&lt;&gt;""),'Arroz irrigado'!$E65:INDEX('Arroz irrigado'!$E65:$Z65,MIN(AB$6-$E$3,22))),0))-IF($G$2,0,IF((AB$6-$G$3)&lt;1,0,IFERROR(LOOKUP(2,1/('Arroz irrigado'!$E65:INDEX('Arroz irrigado'!$E65:$Z65,MIN(AB$6-$G$3,22))&lt;&gt;""),'Arroz irrigado'!$E65:INDEX('Arroz irrigado'!$E65:$Z65,MIN(AB$6-$G$3,22))),0)))))</f>
        <v>0</v>
      </c>
      <c r="AC67" s="27" t="n">
        <f aca="false">IF(COUNT('Arroz irrigado'!$E65:$Z65)=0,0,MAX(0,IF((AC$6-$E$3)&lt;1,0,IFERROR(LOOKUP(2,1/('Arroz irrigado'!$E65:INDEX('Arroz irrigado'!$E65:$Z65,MIN(AC$6-$E$3,22))&lt;&gt;""),'Arroz irrigado'!$E65:INDEX('Arroz irrigado'!$E65:$Z65,MIN(AC$6-$E$3,22))),0))-IF($G$2,0,IF((AC$6-$G$3)&lt;1,0,IFERROR(LOOKUP(2,1/('Arroz irrigado'!$E65:INDEX('Arroz irrigado'!$E65:$Z65,MIN(AC$6-$G$3,22))&lt;&gt;""),'Arroz irrigado'!$E65:INDEX('Arroz irrigado'!$E65:$Z65,MIN(AC$6-$G$3,22))),0)))))</f>
        <v>0</v>
      </c>
      <c r="AD67" s="27" t="n">
        <f aca="false">IF(COUNT('Arroz irrigado'!$E65:$Z65)=0,0,MAX(0,IF((AD$6-$E$3)&lt;1,0,IFERROR(LOOKUP(2,1/('Arroz irrigado'!$E65:INDEX('Arroz irrigado'!$E65:$Z65,MIN(AD$6-$E$3,22))&lt;&gt;""),'Arroz irrigado'!$E65:INDEX('Arroz irrigado'!$E65:$Z65,MIN(AD$6-$E$3,22))),0))-IF($G$2,0,IF((AD$6-$G$3)&lt;1,0,IFERROR(LOOKUP(2,1/('Arroz irrigado'!$E65:INDEX('Arroz irrigado'!$E65:$Z65,MIN(AD$6-$G$3,22))&lt;&gt;""),'Arroz irrigado'!$E65:INDEX('Arroz irrigado'!$E65:$Z65,MIN(AD$6-$G$3,22))),0)))))</f>
        <v>0</v>
      </c>
      <c r="AE67" s="27" t="n">
        <f aca="false">IF(COUNT('Arroz irrigado'!$E65:$Z65)=0,0,MAX(0,IF((AE$6-$E$3)&lt;1,0,IFERROR(LOOKUP(2,1/('Arroz irrigado'!$E65:INDEX('Arroz irrigado'!$E65:$Z65,MIN(AE$6-$E$3,22))&lt;&gt;""),'Arroz irrigado'!$E65:INDEX('Arroz irrigado'!$E65:$Z65,MIN(AE$6-$E$3,22))),0))-IF($G$2,0,IF((AE$6-$G$3)&lt;1,0,IFERROR(LOOKUP(2,1/('Arroz irrigado'!$E65:INDEX('Arroz irrigado'!$E65:$Z65,MIN(AE$6-$G$3,22))&lt;&gt;""),'Arroz irrigado'!$E65:INDEX('Arroz irrigado'!$E65:$Z65,MIN(AE$6-$G$3,22))),0)))))</f>
        <v>0</v>
      </c>
      <c r="AF67" s="27" t="n">
        <f aca="false">IF(COUNT('Arroz irrigado'!$E65:$Z65)=0,0,MAX(0,IF((AF$6-$E$3)&lt;1,0,IFERROR(LOOKUP(2,1/('Arroz irrigado'!$E65:INDEX('Arroz irrigado'!$E65:$Z65,MIN(AF$6-$E$3,22))&lt;&gt;""),'Arroz irrigado'!$E65:INDEX('Arroz irrigado'!$E65:$Z65,MIN(AF$6-$E$3,22))),0))-IF($G$2,0,IF((AF$6-$G$3)&lt;1,0,IFERROR(LOOKUP(2,1/('Arroz irrigado'!$E65:INDEX('Arroz irrigado'!$E65:$Z65,MIN(AF$6-$G$3,22))&lt;&gt;""),'Arroz irrigado'!$E65:INDEX('Arroz irrigado'!$E65:$Z65,MIN(AF$6-$G$3,22))),0)))))</f>
        <v>0</v>
      </c>
      <c r="AG67" s="27" t="n">
        <f aca="false">IF(COUNT('Arroz irrigado'!$E65:$Z65)=0,0,MAX(0,IF((AG$6-$E$3)&lt;1,0,IFERROR(LOOKUP(2,1/('Arroz irrigado'!$E65:INDEX('Arroz irrigado'!$E65:$Z65,MIN(AG$6-$E$3,22))&lt;&gt;""),'Arroz irrigado'!$E65:INDEX('Arroz irrigado'!$E65:$Z65,MIN(AG$6-$E$3,22))),0))-IF($G$2,0,IF((AG$6-$G$3)&lt;1,0,IFERROR(LOOKUP(2,1/('Arroz irrigado'!$E65:INDEX('Arroz irrigado'!$E65:$Z65,MIN(AG$6-$G$3,22))&lt;&gt;""),'Arroz irrigado'!$E65:INDEX('Arroz irrigado'!$E65:$Z65,MIN(AG$6-$G$3,22))),0)))))</f>
        <v>0</v>
      </c>
      <c r="AH67" s="27" t="n">
        <f aca="false">IF(COUNT('Arroz irrigado'!$E65:$Z65)=0,0,MAX(0,IF((AH$6-$E$3)&lt;1,0,IFERROR(LOOKUP(2,1/('Arroz irrigado'!$E65:INDEX('Arroz irrigado'!$E65:$Z65,MIN(AH$6-$E$3,22))&lt;&gt;""),'Arroz irrigado'!$E65:INDEX('Arroz irrigado'!$E65:$Z65,MIN(AH$6-$E$3,22))),0))-IF($G$2,0,IF((AH$6-$G$3)&lt;1,0,IFERROR(LOOKUP(2,1/('Arroz irrigado'!$E65:INDEX('Arroz irrigado'!$E65:$Z65,MIN(AH$6-$G$3,22))&lt;&gt;""),'Arroz irrigado'!$E65:INDEX('Arroz irrigado'!$E65:$Z65,MIN(AH$6-$G$3,22))),0)))))</f>
        <v>0</v>
      </c>
      <c r="AI67" s="27" t="n">
        <f aca="false">IF(COUNT('Arroz irrigado'!$E65:$Z65)=0,0,MAX(0,IF((AI$6-$E$3)&lt;1,0,IFERROR(LOOKUP(2,1/('Arroz irrigado'!$E65:INDEX('Arroz irrigado'!$E65:$Z65,MIN(AI$6-$E$3,22))&lt;&gt;""),'Arroz irrigado'!$E65:INDEX('Arroz irrigado'!$E65:$Z65,MIN(AI$6-$E$3,22))),0))-IF($G$2,0,IF((AI$6-$G$3)&lt;1,0,IFERROR(LOOKUP(2,1/('Arroz irrigado'!$E65:INDEX('Arroz irrigado'!$E65:$Z65,MIN(AI$6-$G$3,22))&lt;&gt;""),'Arroz irrigado'!$E65:INDEX('Arroz irrigado'!$E65:$Z65,MIN(AI$6-$G$3,22))),0)))))</f>
        <v>0</v>
      </c>
      <c r="AJ67" s="27" t="n">
        <f aca="false">IF(COUNT('Arroz irrigado'!$E65:$Z65)=0,0,MAX(0,IF((AJ$6-$E$3)&lt;1,0,IFERROR(LOOKUP(2,1/('Arroz irrigado'!$E65:INDEX('Arroz irrigado'!$E65:$Z65,MIN(AJ$6-$E$3,22))&lt;&gt;""),'Arroz irrigado'!$E65:INDEX('Arroz irrigado'!$E65:$Z65,MIN(AJ$6-$E$3,22))),0))-IF($G$2,0,IF((AJ$6-$G$3)&lt;1,0,IFERROR(LOOKUP(2,1/('Arroz irrigado'!$E65:INDEX('Arroz irrigado'!$E65:$Z65,MIN(AJ$6-$G$3,22))&lt;&gt;""),'Arroz irrigado'!$E65:INDEX('Arroz irrigado'!$E65:$Z65,MIN(AJ$6-$G$3,22))),0)))))</f>
        <v>0</v>
      </c>
      <c r="AK67" s="27" t="n">
        <f aca="false">IF(COUNT('Arroz irrigado'!$E65:$Z65)=0,0,MAX(0,IF((AK$6-$E$3)&lt;1,0,IFERROR(LOOKUP(2,1/('Arroz irrigado'!$E65:INDEX('Arroz irrigado'!$E65:$Z65,MIN(AK$6-$E$3,22))&lt;&gt;""),'Arroz irrigado'!$E65:INDEX('Arroz irrigado'!$E65:$Z65,MIN(AK$6-$E$3,22))),0))-IF($G$2,0,IF((AK$6-$G$3)&lt;1,0,IFERROR(LOOKUP(2,1/('Arroz irrigado'!$E65:INDEX('Arroz irrigado'!$E65:$Z65,MIN(AK$6-$G$3,22))&lt;&gt;""),'Arroz irrigado'!$E65:INDEX('Arroz irrigado'!$E65:$Z65,MIN(AK$6-$G$3,22))),0)))))</f>
        <v>0</v>
      </c>
      <c r="AL67" s="27" t="n">
        <f aca="false">IF(COUNT('Arroz irrigado'!$E65:$Z65)=0,0,MAX(0,IF((AL$6-$E$3)&lt;1,0,IFERROR(LOOKUP(2,1/('Arroz irrigado'!$E65:INDEX('Arroz irrigado'!$E65:$Z65,MIN(AL$6-$E$3,22))&lt;&gt;""),'Arroz irrigado'!$E65:INDEX('Arroz irrigado'!$E65:$Z65,MIN(AL$6-$E$3,22))),0))-IF($G$2,0,IF((AL$6-$G$3)&lt;1,0,IFERROR(LOOKUP(2,1/('Arroz irrigado'!$E65:INDEX('Arroz irrigado'!$E65:$Z65,MIN(AL$6-$G$3,22))&lt;&gt;""),'Arroz irrigado'!$E65:INDEX('Arroz irrigado'!$E65:$Z65,MIN(AL$6-$G$3,22))),0)))))</f>
        <v>0</v>
      </c>
      <c r="AM67" s="27" t="n">
        <f aca="false">IF(COUNT('Arroz irrigado'!$E65:$Z65)=0,0,MAX(0,IF((AM$6-$E$3)&lt;1,0,IFERROR(LOOKUP(2,1/('Arroz irrigado'!$E65:INDEX('Arroz irrigado'!$E65:$Z65,MIN(AM$6-$E$3,22))&lt;&gt;""),'Arroz irrigado'!$E65:INDEX('Arroz irrigado'!$E65:$Z65,MIN(AM$6-$E$3,22))),0))-IF($G$2,0,IF((AM$6-$G$3)&lt;1,0,IFERROR(LOOKUP(2,1/('Arroz irrigado'!$E65:INDEX('Arroz irrigado'!$E65:$Z65,MIN(AM$6-$G$3,22))&lt;&gt;""),'Arroz irrigado'!$E65:INDEX('Arroz irrigado'!$E65:$Z65,MIN(AM$6-$G$3,22))),0)))))</f>
        <v>0</v>
      </c>
      <c r="AN67" s="27" t="n">
        <f aca="false">IF(COUNT('Arroz irrigado'!$E65:$Z65)=0,0,MAX(0,IF((AN$6-$E$3)&lt;1,0,IFERROR(LOOKUP(2,1/('Arroz irrigado'!$E65:INDEX('Arroz irrigado'!$E65:$Z65,MIN(AN$6-$E$3,22))&lt;&gt;""),'Arroz irrigado'!$E65:INDEX('Arroz irrigado'!$E65:$Z65,MIN(AN$6-$E$3,22))),0))-IF($G$2,0,IF((AN$6-$G$3)&lt;1,0,IFERROR(LOOKUP(2,1/('Arroz irrigado'!$E65:INDEX('Arroz irrigado'!$E65:$Z65,MIN(AN$6-$G$3,22))&lt;&gt;""),'Arroz irrigado'!$E65:INDEX('Arroz irrigado'!$E65:$Z65,MIN(AN$6-$G$3,22))),0)))))</f>
        <v>0</v>
      </c>
      <c r="AO67" s="27" t="n">
        <f aca="false">IF(COUNT('Arroz irrigado'!$E65:$Z65)=0,0,MAX(0,IF((AO$6-$E$3)&lt;1,0,IFERROR(LOOKUP(2,1/('Arroz irrigado'!$E65:INDEX('Arroz irrigado'!$E65:$Z65,MIN(AO$6-$E$3,22))&lt;&gt;""),'Arroz irrigado'!$E65:INDEX('Arroz irrigado'!$E65:$Z65,MIN(AO$6-$E$3,22))),0))-IF($G$2,0,IF((AO$6-$G$3)&lt;1,0,IFERROR(LOOKUP(2,1/('Arroz irrigado'!$E65:INDEX('Arroz irrigado'!$E65:$Z65,MIN(AO$6-$G$3,22))&lt;&gt;""),'Arroz irrigado'!$E65:INDEX('Arroz irrigado'!$E65:$Z65,MIN(AO$6-$G$3,22))),0)))))</f>
        <v>0</v>
      </c>
      <c r="AP67" s="27" t="n">
        <f aca="false">IF(COUNT('Arroz irrigado'!$E65:$Z65)=0,0,MAX(0,IF((AP$6-$E$3)&lt;1,0,IFERROR(LOOKUP(2,1/('Arroz irrigado'!$E65:INDEX('Arroz irrigado'!$E65:$Z65,MIN(AP$6-$E$3,22))&lt;&gt;""),'Arroz irrigado'!$E65:INDEX('Arroz irrigado'!$E65:$Z65,MIN(AP$6-$E$3,22))),0))-IF($G$2,0,IF((AP$6-$G$3)&lt;1,0,IFERROR(LOOKUP(2,1/('Arroz irrigado'!$E65:INDEX('Arroz irrigado'!$E65:$Z65,MIN(AP$6-$G$3,22))&lt;&gt;""),'Arroz irrigado'!$E65:INDEX('Arroz irrigado'!$E65:$Z65,MIN(AP$6-$G$3,22))),0)))))</f>
        <v>0</v>
      </c>
      <c r="AQ67" s="27" t="n">
        <f aca="false">IF(COUNT('Arroz irrigado'!$E65:$Z65)=0,0,MAX(0,IF((AQ$6-$E$3)&lt;1,0,IFERROR(LOOKUP(2,1/('Arroz irrigado'!$E65:INDEX('Arroz irrigado'!$E65:$Z65,MIN(AQ$6-$E$3,22))&lt;&gt;""),'Arroz irrigado'!$E65:INDEX('Arroz irrigado'!$E65:$Z65,MIN(AQ$6-$E$3,22))),0))-IF($G$2,0,IF((AQ$6-$G$3)&lt;1,0,IFERROR(LOOKUP(2,1/('Arroz irrigado'!$E65:INDEX('Arroz irrigado'!$E65:$Z65,MIN(AQ$6-$G$3,22))&lt;&gt;""),'Arroz irrigado'!$E65:INDEX('Arroz irrigado'!$E65:$Z65,MIN(AQ$6-$G$3,22))),0)))))</f>
        <v>0</v>
      </c>
      <c r="AR67" s="27" t="n">
        <f aca="false">IF(COUNT('Arroz irrigado'!$E65:$Z65)=0,0,MAX(0,IF((AR$6-$E$3)&lt;1,0,IFERROR(LOOKUP(2,1/('Arroz irrigado'!$E65:INDEX('Arroz irrigado'!$E65:$Z65,MIN(AR$6-$E$3,22))&lt;&gt;""),'Arroz irrigado'!$E65:INDEX('Arroz irrigado'!$E65:$Z65,MIN(AR$6-$E$3,22))),0))-IF($G$2,0,IF((AR$6-$G$3)&lt;1,0,IFERROR(LOOKUP(2,1/('Arroz irrigado'!$E65:INDEX('Arroz irrigado'!$E65:$Z65,MIN(AR$6-$G$3,22))&lt;&gt;""),'Arroz irrigado'!$E65:INDEX('Arroz irrigado'!$E65:$Z65,MIN(AR$6-$G$3,22))),0)))))</f>
        <v>0</v>
      </c>
      <c r="AS67" s="27" t="n">
        <f aca="false">IF(COUNT('Arroz irrigado'!$E65:$Z65)=0,0,MAX(0,IF((AS$6-$E$3)&lt;1,0,IFERROR(LOOKUP(2,1/('Arroz irrigado'!$E65:INDEX('Arroz irrigado'!$E65:$Z65,MIN(AS$6-$E$3,22))&lt;&gt;""),'Arroz irrigado'!$E65:INDEX('Arroz irrigado'!$E65:$Z65,MIN(AS$6-$E$3,22))),0))-IF($G$2,0,IF((AS$6-$G$3)&lt;1,0,IFERROR(LOOKUP(2,1/('Arroz irrigado'!$E65:INDEX('Arroz irrigado'!$E65:$Z65,MIN(AS$6-$G$3,22))&lt;&gt;""),'Arroz irrigado'!$E65:INDEX('Arroz irrigado'!$E65:$Z65,MIN(AS$6-$G$3,22))),0)))))</f>
        <v>0</v>
      </c>
      <c r="AT67" s="27" t="n">
        <f aca="false">IF(COUNT('Arroz irrigado'!$E65:$Z65)=0,0,MAX(0,IF((AT$6-$E$3)&lt;1,0,IFERROR(LOOKUP(2,1/('Arroz irrigado'!$E65:INDEX('Arroz irrigado'!$E65:$Z65,MIN(AT$6-$E$3,22))&lt;&gt;""),'Arroz irrigado'!$E65:INDEX('Arroz irrigado'!$E65:$Z65,MIN(AT$6-$E$3,22))),0))-IF($G$2,0,IF((AT$6-$G$3)&lt;1,0,IFERROR(LOOKUP(2,1/('Arroz irrigado'!$E65:INDEX('Arroz irrigado'!$E65:$Z65,MIN(AT$6-$G$3,22))&lt;&gt;""),'Arroz irrigado'!$E65:INDEX('Arroz irrigado'!$E65:$Z65,MIN(AT$6-$G$3,22))),0)))))</f>
        <v>0</v>
      </c>
      <c r="AU67" s="27" t="n">
        <f aca="false">IF(COUNT('Arroz irrigado'!$E65:$Z65)=0,0,MAX(0,IF((AU$6-$E$3)&lt;1,0,IFERROR(LOOKUP(2,1/('Arroz irrigado'!$E65:INDEX('Arroz irrigado'!$E65:$Z65,MIN(AU$6-$E$3,22))&lt;&gt;""),'Arroz irrigado'!$E65:INDEX('Arroz irrigado'!$E65:$Z65,MIN(AU$6-$E$3,22))),0))-IF($G$2,0,IF((AU$6-$G$3)&lt;1,0,IFERROR(LOOKUP(2,1/('Arroz irrigado'!$E65:INDEX('Arroz irrigado'!$E65:$Z65,MIN(AU$6-$G$3,22))&lt;&gt;""),'Arroz irrigado'!$E65:INDEX('Arroz irrigado'!$E65:$Z65,MIN(AU$6-$G$3,22))),0)))))</f>
        <v>0</v>
      </c>
      <c r="AV67" s="27" t="n">
        <f aca="false">IF(COUNT('Arroz irrigado'!$E65:$Z65)=0,0,MAX(0,IF((AV$6-$E$3)&lt;1,0,IFERROR(LOOKUP(2,1/('Arroz irrigado'!$E65:INDEX('Arroz irrigado'!$E65:$Z65,MIN(AV$6-$E$3,22))&lt;&gt;""),'Arroz irrigado'!$E65:INDEX('Arroz irrigado'!$E65:$Z65,MIN(AV$6-$E$3,22))),0))-IF($G$2,0,IF((AV$6-$G$3)&lt;1,0,IFERROR(LOOKUP(2,1/('Arroz irrigado'!$E65:INDEX('Arroz irrigado'!$E65:$Z65,MIN(AV$6-$G$3,22))&lt;&gt;""),'Arroz irrigado'!$E65:INDEX('Arroz irrigado'!$E65:$Z65,MIN(AV$6-$G$3,22))),0)))))</f>
        <v>0</v>
      </c>
      <c r="AW67" s="27" t="n">
        <f aca="false">IF(COUNT('Arroz irrigado'!$E65:$Z65)=0,0,MAX(0,IF((AW$6-$E$3)&lt;1,0,IFERROR(LOOKUP(2,1/('Arroz irrigado'!$E65:INDEX('Arroz irrigado'!$E65:$Z65,MIN(AW$6-$E$3,22))&lt;&gt;""),'Arroz irrigado'!$E65:INDEX('Arroz irrigado'!$E65:$Z65,MIN(AW$6-$E$3,22))),0))-IF($G$2,0,IF((AW$6-$G$3)&lt;1,0,IFERROR(LOOKUP(2,1/('Arroz irrigado'!$E65:INDEX('Arroz irrigado'!$E65:$Z65,MIN(AW$6-$G$3,22))&lt;&gt;""),'Arroz irrigado'!$E65:INDEX('Arroz irrigado'!$E65:$Z65,MIN(AW$6-$G$3,22))),0)))))</f>
        <v>0</v>
      </c>
      <c r="AX67" s="27" t="n">
        <f aca="false">IF(COUNT('Arroz irrigado'!$E65:$Z65)=0,0,MAX(0,IF((AX$6-$E$3)&lt;1,0,IFERROR(LOOKUP(2,1/('Arroz irrigado'!$E65:INDEX('Arroz irrigado'!$E65:$Z65,MIN(AX$6-$E$3,22))&lt;&gt;""),'Arroz irrigado'!$E65:INDEX('Arroz irrigado'!$E65:$Z65,MIN(AX$6-$E$3,22))),0))-IF($G$2,0,IF((AX$6-$G$3)&lt;1,0,IFERROR(LOOKUP(2,1/('Arroz irrigado'!$E65:INDEX('Arroz irrigado'!$E65:$Z65,MIN(AX$6-$G$3,22))&lt;&gt;""),'Arroz irrigado'!$E65:INDEX('Arroz irrigado'!$E65:$Z65,MIN(AX$6-$G$3,22))),0)))))</f>
        <v>0</v>
      </c>
      <c r="AY67" s="27" t="n">
        <f aca="false">IF(COUNT('Arroz irrigado'!$E65:$Z65)=0,0,MAX(0,IF((AY$6-$E$3)&lt;1,0,IFERROR(LOOKUP(2,1/('Arroz irrigado'!$E65:INDEX('Arroz irrigado'!$E65:$Z65,MIN(AY$6-$E$3,22))&lt;&gt;""),'Arroz irrigado'!$E65:INDEX('Arroz irrigado'!$E65:$Z65,MIN(AY$6-$E$3,22))),0))-IF($G$2,0,IF((AY$6-$G$3)&lt;1,0,IFERROR(LOOKUP(2,1/('Arroz irrigado'!$E65:INDEX('Arroz irrigado'!$E65:$Z65,MIN(AY$6-$G$3,22))&lt;&gt;""),'Arroz irrigado'!$E65:INDEX('Arroz irrigado'!$E65:$Z65,MIN(AY$6-$G$3,22))),0)))))</f>
        <v>0</v>
      </c>
      <c r="AZ67" s="27" t="n">
        <f aca="false">IF(COUNT('Arroz irrigado'!$E65:$Z65)=0,0,MAX(0,IF((AZ$6-$E$3)&lt;1,0,IFERROR(LOOKUP(2,1/('Arroz irrigado'!$E65:INDEX('Arroz irrigado'!$E65:$Z65,MIN(AZ$6-$E$3,22))&lt;&gt;""),'Arroz irrigado'!$E65:INDEX('Arroz irrigado'!$E65:$Z65,MIN(AZ$6-$E$3,22))),0))-IF($G$2,0,IF((AZ$6-$G$3)&lt;1,0,IFERROR(LOOKUP(2,1/('Arroz irrigado'!$E65:INDEX('Arroz irrigado'!$E65:$Z65,MIN(AZ$6-$G$3,22))&lt;&gt;""),'Arroz irrigado'!$E65:INDEX('Arroz irrigado'!$E65:$Z65,MIN(AZ$6-$G$3,22))),0)))))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IF(COUNT('Arroz irrigado'!$E66:$Z66)&gt;0,N('Arroz irrigado'!$D66),0)</f>
        <v>0</v>
      </c>
      <c r="E68" s="27" t="n">
        <f aca="false">IF(COUNT('Arroz irrigado'!$E66:$Z66)=0,0,MAX(0,IF((E$6-$E$3)&lt;1,0,IFERROR(LOOKUP(2,1/('Arroz irrigado'!$E66:INDEX('Arroz irrigado'!$E66:$Z66,MIN(E$6-$E$3,22))&lt;&gt;""),'Arroz irrigado'!$E66:INDEX('Arroz irrigado'!$E66:$Z66,MIN(E$6-$E$3,22))),0))-IF($G$2,0,IF((E$6-$G$3)&lt;1,0,IFERROR(LOOKUP(2,1/('Arroz irrigado'!$E66:INDEX('Arroz irrigado'!$E66:$Z66,MIN(E$6-$G$3,22))&lt;&gt;""),'Arroz irrigado'!$E66:INDEX('Arroz irrigado'!$E66:$Z66,MIN(E$6-$G$3,22))),0)))))</f>
        <v>0</v>
      </c>
      <c r="F68" s="27" t="n">
        <f aca="false">IF(COUNT('Arroz irrigado'!$E66:$Z66)=0,0,MAX(0,IF((F$6-$E$3)&lt;1,0,IFERROR(LOOKUP(2,1/('Arroz irrigado'!$E66:INDEX('Arroz irrigado'!$E66:$Z66,MIN(F$6-$E$3,22))&lt;&gt;""),'Arroz irrigado'!$E66:INDEX('Arroz irrigado'!$E66:$Z66,MIN(F$6-$E$3,22))),0))-IF($G$2,0,IF((F$6-$G$3)&lt;1,0,IFERROR(LOOKUP(2,1/('Arroz irrigado'!$E66:INDEX('Arroz irrigado'!$E66:$Z66,MIN(F$6-$G$3,22))&lt;&gt;""),'Arroz irrigado'!$E66:INDEX('Arroz irrigado'!$E66:$Z66,MIN(F$6-$G$3,22))),0)))))</f>
        <v>0</v>
      </c>
      <c r="G68" s="27" t="n">
        <f aca="false">IF(COUNT('Arroz irrigado'!$E66:$Z66)=0,0,MAX(0,IF((G$6-$E$3)&lt;1,0,IFERROR(LOOKUP(2,1/('Arroz irrigado'!$E66:INDEX('Arroz irrigado'!$E66:$Z66,MIN(G$6-$E$3,22))&lt;&gt;""),'Arroz irrigado'!$E66:INDEX('Arroz irrigado'!$E66:$Z66,MIN(G$6-$E$3,22))),0))-IF($G$2,0,IF((G$6-$G$3)&lt;1,0,IFERROR(LOOKUP(2,1/('Arroz irrigado'!$E66:INDEX('Arroz irrigado'!$E66:$Z66,MIN(G$6-$G$3,22))&lt;&gt;""),'Arroz irrigado'!$E66:INDEX('Arroz irrigado'!$E66:$Z66,MIN(G$6-$G$3,22))),0)))))</f>
        <v>0</v>
      </c>
      <c r="H68" s="27" t="n">
        <f aca="false">IF(COUNT('Arroz irrigado'!$E66:$Z66)=0,0,MAX(0,IF((H$6-$E$3)&lt;1,0,IFERROR(LOOKUP(2,1/('Arroz irrigado'!$E66:INDEX('Arroz irrigado'!$E66:$Z66,MIN(H$6-$E$3,22))&lt;&gt;""),'Arroz irrigado'!$E66:INDEX('Arroz irrigado'!$E66:$Z66,MIN(H$6-$E$3,22))),0))-IF($G$2,0,IF((H$6-$G$3)&lt;1,0,IFERROR(LOOKUP(2,1/('Arroz irrigado'!$E66:INDEX('Arroz irrigado'!$E66:$Z66,MIN(H$6-$G$3,22))&lt;&gt;""),'Arroz irrigado'!$E66:INDEX('Arroz irrigado'!$E66:$Z66,MIN(H$6-$G$3,22))),0)))))</f>
        <v>0</v>
      </c>
      <c r="I68" s="27" t="n">
        <f aca="false">IF(COUNT('Arroz irrigado'!$E66:$Z66)=0,0,MAX(0,IF((I$6-$E$3)&lt;1,0,IFERROR(LOOKUP(2,1/('Arroz irrigado'!$E66:INDEX('Arroz irrigado'!$E66:$Z66,MIN(I$6-$E$3,22))&lt;&gt;""),'Arroz irrigado'!$E66:INDEX('Arroz irrigado'!$E66:$Z66,MIN(I$6-$E$3,22))),0))-IF($G$2,0,IF((I$6-$G$3)&lt;1,0,IFERROR(LOOKUP(2,1/('Arroz irrigado'!$E66:INDEX('Arroz irrigado'!$E66:$Z66,MIN(I$6-$G$3,22))&lt;&gt;""),'Arroz irrigado'!$E66:INDEX('Arroz irrigado'!$E66:$Z66,MIN(I$6-$G$3,22))),0)))))</f>
        <v>0</v>
      </c>
      <c r="J68" s="27" t="n">
        <f aca="false">IF(COUNT('Arroz irrigado'!$E66:$Z66)=0,0,MAX(0,IF((J$6-$E$3)&lt;1,0,IFERROR(LOOKUP(2,1/('Arroz irrigado'!$E66:INDEX('Arroz irrigado'!$E66:$Z66,MIN(J$6-$E$3,22))&lt;&gt;""),'Arroz irrigado'!$E66:INDEX('Arroz irrigado'!$E66:$Z66,MIN(J$6-$E$3,22))),0))-IF($G$2,0,IF((J$6-$G$3)&lt;1,0,IFERROR(LOOKUP(2,1/('Arroz irrigado'!$E66:INDEX('Arroz irrigado'!$E66:$Z66,MIN(J$6-$G$3,22))&lt;&gt;""),'Arroz irrigado'!$E66:INDEX('Arroz irrigado'!$E66:$Z66,MIN(J$6-$G$3,22))),0)))))</f>
        <v>0</v>
      </c>
      <c r="K68" s="27" t="n">
        <f aca="false">IF(COUNT('Arroz irrigado'!$E66:$Z66)=0,0,MAX(0,IF((K$6-$E$3)&lt;1,0,IFERROR(LOOKUP(2,1/('Arroz irrigado'!$E66:INDEX('Arroz irrigado'!$E66:$Z66,MIN(K$6-$E$3,22))&lt;&gt;""),'Arroz irrigado'!$E66:INDEX('Arroz irrigado'!$E66:$Z66,MIN(K$6-$E$3,22))),0))-IF($G$2,0,IF((K$6-$G$3)&lt;1,0,IFERROR(LOOKUP(2,1/('Arroz irrigado'!$E66:INDEX('Arroz irrigado'!$E66:$Z66,MIN(K$6-$G$3,22))&lt;&gt;""),'Arroz irrigado'!$E66:INDEX('Arroz irrigado'!$E66:$Z66,MIN(K$6-$G$3,22))),0)))))</f>
        <v>0</v>
      </c>
      <c r="L68" s="27" t="n">
        <f aca="false">IF(COUNT('Arroz irrigado'!$E66:$Z66)=0,0,MAX(0,IF((L$6-$E$3)&lt;1,0,IFERROR(LOOKUP(2,1/('Arroz irrigado'!$E66:INDEX('Arroz irrigado'!$E66:$Z66,MIN(L$6-$E$3,22))&lt;&gt;""),'Arroz irrigado'!$E66:INDEX('Arroz irrigado'!$E66:$Z66,MIN(L$6-$E$3,22))),0))-IF($G$2,0,IF((L$6-$G$3)&lt;1,0,IFERROR(LOOKUP(2,1/('Arroz irrigado'!$E66:INDEX('Arroz irrigado'!$E66:$Z66,MIN(L$6-$G$3,22))&lt;&gt;""),'Arroz irrigado'!$E66:INDEX('Arroz irrigado'!$E66:$Z66,MIN(L$6-$G$3,22))),0)))))</f>
        <v>0</v>
      </c>
      <c r="M68" s="27" t="n">
        <f aca="false">IF(COUNT('Arroz irrigado'!$E66:$Z66)=0,0,MAX(0,IF((M$6-$E$3)&lt;1,0,IFERROR(LOOKUP(2,1/('Arroz irrigado'!$E66:INDEX('Arroz irrigado'!$E66:$Z66,MIN(M$6-$E$3,22))&lt;&gt;""),'Arroz irrigado'!$E66:INDEX('Arroz irrigado'!$E66:$Z66,MIN(M$6-$E$3,22))),0))-IF($G$2,0,IF((M$6-$G$3)&lt;1,0,IFERROR(LOOKUP(2,1/('Arroz irrigado'!$E66:INDEX('Arroz irrigado'!$E66:$Z66,MIN(M$6-$G$3,22))&lt;&gt;""),'Arroz irrigado'!$E66:INDEX('Arroz irrigado'!$E66:$Z66,MIN(M$6-$G$3,22))),0)))))</f>
        <v>0</v>
      </c>
      <c r="N68" s="27" t="n">
        <f aca="false">IF(COUNT('Arroz irrigado'!$E66:$Z66)=0,0,MAX(0,IF((N$6-$E$3)&lt;1,0,IFERROR(LOOKUP(2,1/('Arroz irrigado'!$E66:INDEX('Arroz irrigado'!$E66:$Z66,MIN(N$6-$E$3,22))&lt;&gt;""),'Arroz irrigado'!$E66:INDEX('Arroz irrigado'!$E66:$Z66,MIN(N$6-$E$3,22))),0))-IF($G$2,0,IF((N$6-$G$3)&lt;1,0,IFERROR(LOOKUP(2,1/('Arroz irrigado'!$E66:INDEX('Arroz irrigado'!$E66:$Z66,MIN(N$6-$G$3,22))&lt;&gt;""),'Arroz irrigado'!$E66:INDEX('Arroz irrigado'!$E66:$Z66,MIN(N$6-$G$3,22))),0)))))</f>
        <v>0</v>
      </c>
      <c r="O68" s="27" t="n">
        <f aca="false">IF(COUNT('Arroz irrigado'!$E66:$Z66)=0,0,MAX(0,IF((O$6-$E$3)&lt;1,0,IFERROR(LOOKUP(2,1/('Arroz irrigado'!$E66:INDEX('Arroz irrigado'!$E66:$Z66,MIN(O$6-$E$3,22))&lt;&gt;""),'Arroz irrigado'!$E66:INDEX('Arroz irrigado'!$E66:$Z66,MIN(O$6-$E$3,22))),0))-IF($G$2,0,IF((O$6-$G$3)&lt;1,0,IFERROR(LOOKUP(2,1/('Arroz irrigado'!$E66:INDEX('Arroz irrigado'!$E66:$Z66,MIN(O$6-$G$3,22))&lt;&gt;""),'Arroz irrigado'!$E66:INDEX('Arroz irrigado'!$E66:$Z66,MIN(O$6-$G$3,22))),0)))))</f>
        <v>0</v>
      </c>
      <c r="P68" s="27" t="n">
        <f aca="false">IF(COUNT('Arroz irrigado'!$E66:$Z66)=0,0,MAX(0,IF((P$6-$E$3)&lt;1,0,IFERROR(LOOKUP(2,1/('Arroz irrigado'!$E66:INDEX('Arroz irrigado'!$E66:$Z66,MIN(P$6-$E$3,22))&lt;&gt;""),'Arroz irrigado'!$E66:INDEX('Arroz irrigado'!$E66:$Z66,MIN(P$6-$E$3,22))),0))-IF($G$2,0,IF((P$6-$G$3)&lt;1,0,IFERROR(LOOKUP(2,1/('Arroz irrigado'!$E66:INDEX('Arroz irrigado'!$E66:$Z66,MIN(P$6-$G$3,22))&lt;&gt;""),'Arroz irrigado'!$E66:INDEX('Arroz irrigado'!$E66:$Z66,MIN(P$6-$G$3,22))),0)))))</f>
        <v>0</v>
      </c>
      <c r="Q68" s="27" t="n">
        <f aca="false">IF(COUNT('Arroz irrigado'!$E66:$Z66)=0,0,MAX(0,IF((Q$6-$E$3)&lt;1,0,IFERROR(LOOKUP(2,1/('Arroz irrigado'!$E66:INDEX('Arroz irrigado'!$E66:$Z66,MIN(Q$6-$E$3,22))&lt;&gt;""),'Arroz irrigado'!$E66:INDEX('Arroz irrigado'!$E66:$Z66,MIN(Q$6-$E$3,22))),0))-IF($G$2,0,IF((Q$6-$G$3)&lt;1,0,IFERROR(LOOKUP(2,1/('Arroz irrigado'!$E66:INDEX('Arroz irrigado'!$E66:$Z66,MIN(Q$6-$G$3,22))&lt;&gt;""),'Arroz irrigado'!$E66:INDEX('Arroz irrigado'!$E66:$Z66,MIN(Q$6-$G$3,22))),0)))))</f>
        <v>0</v>
      </c>
      <c r="R68" s="27" t="n">
        <f aca="false">IF(COUNT('Arroz irrigado'!$E66:$Z66)=0,0,MAX(0,IF((R$6-$E$3)&lt;1,0,IFERROR(LOOKUP(2,1/('Arroz irrigado'!$E66:INDEX('Arroz irrigado'!$E66:$Z66,MIN(R$6-$E$3,22))&lt;&gt;""),'Arroz irrigado'!$E66:INDEX('Arroz irrigado'!$E66:$Z66,MIN(R$6-$E$3,22))),0))-IF($G$2,0,IF((R$6-$G$3)&lt;1,0,IFERROR(LOOKUP(2,1/('Arroz irrigado'!$E66:INDEX('Arroz irrigado'!$E66:$Z66,MIN(R$6-$G$3,22))&lt;&gt;""),'Arroz irrigado'!$E66:INDEX('Arroz irrigado'!$E66:$Z66,MIN(R$6-$G$3,22))),0)))))</f>
        <v>0</v>
      </c>
      <c r="S68" s="27" t="n">
        <f aca="false">IF(COUNT('Arroz irrigado'!$E66:$Z66)=0,0,MAX(0,IF((S$6-$E$3)&lt;1,0,IFERROR(LOOKUP(2,1/('Arroz irrigado'!$E66:INDEX('Arroz irrigado'!$E66:$Z66,MIN(S$6-$E$3,22))&lt;&gt;""),'Arroz irrigado'!$E66:INDEX('Arroz irrigado'!$E66:$Z66,MIN(S$6-$E$3,22))),0))-IF($G$2,0,IF((S$6-$G$3)&lt;1,0,IFERROR(LOOKUP(2,1/('Arroz irrigado'!$E66:INDEX('Arroz irrigado'!$E66:$Z66,MIN(S$6-$G$3,22))&lt;&gt;""),'Arroz irrigado'!$E66:INDEX('Arroz irrigado'!$E66:$Z66,MIN(S$6-$G$3,22))),0)))))</f>
        <v>0</v>
      </c>
      <c r="T68" s="27" t="n">
        <f aca="false">IF(COUNT('Arroz irrigado'!$E66:$Z66)=0,0,MAX(0,IF((T$6-$E$3)&lt;1,0,IFERROR(LOOKUP(2,1/('Arroz irrigado'!$E66:INDEX('Arroz irrigado'!$E66:$Z66,MIN(T$6-$E$3,22))&lt;&gt;""),'Arroz irrigado'!$E66:INDEX('Arroz irrigado'!$E66:$Z66,MIN(T$6-$E$3,22))),0))-IF($G$2,0,IF((T$6-$G$3)&lt;1,0,IFERROR(LOOKUP(2,1/('Arroz irrigado'!$E66:INDEX('Arroz irrigado'!$E66:$Z66,MIN(T$6-$G$3,22))&lt;&gt;""),'Arroz irrigado'!$E66:INDEX('Arroz irrigado'!$E66:$Z66,MIN(T$6-$G$3,22))),0)))))</f>
        <v>0</v>
      </c>
      <c r="U68" s="27" t="n">
        <f aca="false">IF(COUNT('Arroz irrigado'!$E66:$Z66)=0,0,MAX(0,IF((U$6-$E$3)&lt;1,0,IFERROR(LOOKUP(2,1/('Arroz irrigado'!$E66:INDEX('Arroz irrigado'!$E66:$Z66,MIN(U$6-$E$3,22))&lt;&gt;""),'Arroz irrigado'!$E66:INDEX('Arroz irrigado'!$E66:$Z66,MIN(U$6-$E$3,22))),0))-IF($G$2,0,IF((U$6-$G$3)&lt;1,0,IFERROR(LOOKUP(2,1/('Arroz irrigado'!$E66:INDEX('Arroz irrigado'!$E66:$Z66,MIN(U$6-$G$3,22))&lt;&gt;""),'Arroz irrigado'!$E66:INDEX('Arroz irrigado'!$E66:$Z66,MIN(U$6-$G$3,22))),0)))))</f>
        <v>0</v>
      </c>
      <c r="V68" s="27" t="n">
        <f aca="false">IF(COUNT('Arroz irrigado'!$E66:$Z66)=0,0,MAX(0,IF((V$6-$E$3)&lt;1,0,IFERROR(LOOKUP(2,1/('Arroz irrigado'!$E66:INDEX('Arroz irrigado'!$E66:$Z66,MIN(V$6-$E$3,22))&lt;&gt;""),'Arroz irrigado'!$E66:INDEX('Arroz irrigado'!$E66:$Z66,MIN(V$6-$E$3,22))),0))-IF($G$2,0,IF((V$6-$G$3)&lt;1,0,IFERROR(LOOKUP(2,1/('Arroz irrigado'!$E66:INDEX('Arroz irrigado'!$E66:$Z66,MIN(V$6-$G$3,22))&lt;&gt;""),'Arroz irrigado'!$E66:INDEX('Arroz irrigado'!$E66:$Z66,MIN(V$6-$G$3,22))),0)))))</f>
        <v>0</v>
      </c>
      <c r="W68" s="27" t="n">
        <f aca="false">IF(COUNT('Arroz irrigado'!$E66:$Z66)=0,0,MAX(0,IF((W$6-$E$3)&lt;1,0,IFERROR(LOOKUP(2,1/('Arroz irrigado'!$E66:INDEX('Arroz irrigado'!$E66:$Z66,MIN(W$6-$E$3,22))&lt;&gt;""),'Arroz irrigado'!$E66:INDEX('Arroz irrigado'!$E66:$Z66,MIN(W$6-$E$3,22))),0))-IF($G$2,0,IF((W$6-$G$3)&lt;1,0,IFERROR(LOOKUP(2,1/('Arroz irrigado'!$E66:INDEX('Arroz irrigado'!$E66:$Z66,MIN(W$6-$G$3,22))&lt;&gt;""),'Arroz irrigado'!$E66:INDEX('Arroz irrigado'!$E66:$Z66,MIN(W$6-$G$3,22))),0)))))</f>
        <v>0</v>
      </c>
      <c r="X68" s="27" t="n">
        <f aca="false">IF(COUNT('Arroz irrigado'!$E66:$Z66)=0,0,MAX(0,IF((X$6-$E$3)&lt;1,0,IFERROR(LOOKUP(2,1/('Arroz irrigado'!$E66:INDEX('Arroz irrigado'!$E66:$Z66,MIN(X$6-$E$3,22))&lt;&gt;""),'Arroz irrigado'!$E66:INDEX('Arroz irrigado'!$E66:$Z66,MIN(X$6-$E$3,22))),0))-IF($G$2,0,IF((X$6-$G$3)&lt;1,0,IFERROR(LOOKUP(2,1/('Arroz irrigado'!$E66:INDEX('Arroz irrigado'!$E66:$Z66,MIN(X$6-$G$3,22))&lt;&gt;""),'Arroz irrigado'!$E66:INDEX('Arroz irrigado'!$E66:$Z66,MIN(X$6-$G$3,22))),0)))))</f>
        <v>0</v>
      </c>
      <c r="Y68" s="27" t="n">
        <f aca="false">IF(COUNT('Arroz irrigado'!$E66:$Z66)=0,0,MAX(0,IF((Y$6-$E$3)&lt;1,0,IFERROR(LOOKUP(2,1/('Arroz irrigado'!$E66:INDEX('Arroz irrigado'!$E66:$Z66,MIN(Y$6-$E$3,22))&lt;&gt;""),'Arroz irrigado'!$E66:INDEX('Arroz irrigado'!$E66:$Z66,MIN(Y$6-$E$3,22))),0))-IF($G$2,0,IF((Y$6-$G$3)&lt;1,0,IFERROR(LOOKUP(2,1/('Arroz irrigado'!$E66:INDEX('Arroz irrigado'!$E66:$Z66,MIN(Y$6-$G$3,22))&lt;&gt;""),'Arroz irrigado'!$E66:INDEX('Arroz irrigado'!$E66:$Z66,MIN(Y$6-$G$3,22))),0)))))</f>
        <v>0</v>
      </c>
      <c r="Z68" s="27" t="n">
        <f aca="false">IF(COUNT('Arroz irrigado'!$E66:$Z66)=0,0,MAX(0,IF((Z$6-$E$3)&lt;1,0,IFERROR(LOOKUP(2,1/('Arroz irrigado'!$E66:INDEX('Arroz irrigado'!$E66:$Z66,MIN(Z$6-$E$3,22))&lt;&gt;""),'Arroz irrigado'!$E66:INDEX('Arroz irrigado'!$E66:$Z66,MIN(Z$6-$E$3,22))),0))-IF($G$2,0,IF((Z$6-$G$3)&lt;1,0,IFERROR(LOOKUP(2,1/('Arroz irrigado'!$E66:INDEX('Arroz irrigado'!$E66:$Z66,MIN(Z$6-$G$3,22))&lt;&gt;""),'Arroz irrigado'!$E66:INDEX('Arroz irrigado'!$E66:$Z66,MIN(Z$6-$G$3,22))),0)))))</f>
        <v>0</v>
      </c>
      <c r="AA68" s="27" t="n">
        <f aca="false">IF(COUNT('Arroz irrigado'!$E66:$Z66)=0,0,MAX(0,IF((AA$6-$E$3)&lt;1,0,IFERROR(LOOKUP(2,1/('Arroz irrigado'!$E66:INDEX('Arroz irrigado'!$E66:$Z66,MIN(AA$6-$E$3,22))&lt;&gt;""),'Arroz irrigado'!$E66:INDEX('Arroz irrigado'!$E66:$Z66,MIN(AA$6-$E$3,22))),0))-IF($G$2,0,IF((AA$6-$G$3)&lt;1,0,IFERROR(LOOKUP(2,1/('Arroz irrigado'!$E66:INDEX('Arroz irrigado'!$E66:$Z66,MIN(AA$6-$G$3,22))&lt;&gt;""),'Arroz irrigado'!$E66:INDEX('Arroz irrigado'!$E66:$Z66,MIN(AA$6-$G$3,22))),0)))))</f>
        <v>0</v>
      </c>
      <c r="AB68" s="27" t="n">
        <f aca="false">IF(COUNT('Arroz irrigado'!$E66:$Z66)=0,0,MAX(0,IF((AB$6-$E$3)&lt;1,0,IFERROR(LOOKUP(2,1/('Arroz irrigado'!$E66:INDEX('Arroz irrigado'!$E66:$Z66,MIN(AB$6-$E$3,22))&lt;&gt;""),'Arroz irrigado'!$E66:INDEX('Arroz irrigado'!$E66:$Z66,MIN(AB$6-$E$3,22))),0))-IF($G$2,0,IF((AB$6-$G$3)&lt;1,0,IFERROR(LOOKUP(2,1/('Arroz irrigado'!$E66:INDEX('Arroz irrigado'!$E66:$Z66,MIN(AB$6-$G$3,22))&lt;&gt;""),'Arroz irrigado'!$E66:INDEX('Arroz irrigado'!$E66:$Z66,MIN(AB$6-$G$3,22))),0)))))</f>
        <v>0</v>
      </c>
      <c r="AC68" s="27" t="n">
        <f aca="false">IF(COUNT('Arroz irrigado'!$E66:$Z66)=0,0,MAX(0,IF((AC$6-$E$3)&lt;1,0,IFERROR(LOOKUP(2,1/('Arroz irrigado'!$E66:INDEX('Arroz irrigado'!$E66:$Z66,MIN(AC$6-$E$3,22))&lt;&gt;""),'Arroz irrigado'!$E66:INDEX('Arroz irrigado'!$E66:$Z66,MIN(AC$6-$E$3,22))),0))-IF($G$2,0,IF((AC$6-$G$3)&lt;1,0,IFERROR(LOOKUP(2,1/('Arroz irrigado'!$E66:INDEX('Arroz irrigado'!$E66:$Z66,MIN(AC$6-$G$3,22))&lt;&gt;""),'Arroz irrigado'!$E66:INDEX('Arroz irrigado'!$E66:$Z66,MIN(AC$6-$G$3,22))),0)))))</f>
        <v>0</v>
      </c>
      <c r="AD68" s="27" t="n">
        <f aca="false">IF(COUNT('Arroz irrigado'!$E66:$Z66)=0,0,MAX(0,IF((AD$6-$E$3)&lt;1,0,IFERROR(LOOKUP(2,1/('Arroz irrigado'!$E66:INDEX('Arroz irrigado'!$E66:$Z66,MIN(AD$6-$E$3,22))&lt;&gt;""),'Arroz irrigado'!$E66:INDEX('Arroz irrigado'!$E66:$Z66,MIN(AD$6-$E$3,22))),0))-IF($G$2,0,IF((AD$6-$G$3)&lt;1,0,IFERROR(LOOKUP(2,1/('Arroz irrigado'!$E66:INDEX('Arroz irrigado'!$E66:$Z66,MIN(AD$6-$G$3,22))&lt;&gt;""),'Arroz irrigado'!$E66:INDEX('Arroz irrigado'!$E66:$Z66,MIN(AD$6-$G$3,22))),0)))))</f>
        <v>0</v>
      </c>
      <c r="AE68" s="27" t="n">
        <f aca="false">IF(COUNT('Arroz irrigado'!$E66:$Z66)=0,0,MAX(0,IF((AE$6-$E$3)&lt;1,0,IFERROR(LOOKUP(2,1/('Arroz irrigado'!$E66:INDEX('Arroz irrigado'!$E66:$Z66,MIN(AE$6-$E$3,22))&lt;&gt;""),'Arroz irrigado'!$E66:INDEX('Arroz irrigado'!$E66:$Z66,MIN(AE$6-$E$3,22))),0))-IF($G$2,0,IF((AE$6-$G$3)&lt;1,0,IFERROR(LOOKUP(2,1/('Arroz irrigado'!$E66:INDEX('Arroz irrigado'!$E66:$Z66,MIN(AE$6-$G$3,22))&lt;&gt;""),'Arroz irrigado'!$E66:INDEX('Arroz irrigado'!$E66:$Z66,MIN(AE$6-$G$3,22))),0)))))</f>
        <v>0</v>
      </c>
      <c r="AF68" s="27" t="n">
        <f aca="false">IF(COUNT('Arroz irrigado'!$E66:$Z66)=0,0,MAX(0,IF((AF$6-$E$3)&lt;1,0,IFERROR(LOOKUP(2,1/('Arroz irrigado'!$E66:INDEX('Arroz irrigado'!$E66:$Z66,MIN(AF$6-$E$3,22))&lt;&gt;""),'Arroz irrigado'!$E66:INDEX('Arroz irrigado'!$E66:$Z66,MIN(AF$6-$E$3,22))),0))-IF($G$2,0,IF((AF$6-$G$3)&lt;1,0,IFERROR(LOOKUP(2,1/('Arroz irrigado'!$E66:INDEX('Arroz irrigado'!$E66:$Z66,MIN(AF$6-$G$3,22))&lt;&gt;""),'Arroz irrigado'!$E66:INDEX('Arroz irrigado'!$E66:$Z66,MIN(AF$6-$G$3,22))),0)))))</f>
        <v>0</v>
      </c>
      <c r="AG68" s="27" t="n">
        <f aca="false">IF(COUNT('Arroz irrigado'!$E66:$Z66)=0,0,MAX(0,IF((AG$6-$E$3)&lt;1,0,IFERROR(LOOKUP(2,1/('Arroz irrigado'!$E66:INDEX('Arroz irrigado'!$E66:$Z66,MIN(AG$6-$E$3,22))&lt;&gt;""),'Arroz irrigado'!$E66:INDEX('Arroz irrigado'!$E66:$Z66,MIN(AG$6-$E$3,22))),0))-IF($G$2,0,IF((AG$6-$G$3)&lt;1,0,IFERROR(LOOKUP(2,1/('Arroz irrigado'!$E66:INDEX('Arroz irrigado'!$E66:$Z66,MIN(AG$6-$G$3,22))&lt;&gt;""),'Arroz irrigado'!$E66:INDEX('Arroz irrigado'!$E66:$Z66,MIN(AG$6-$G$3,22))),0)))))</f>
        <v>0</v>
      </c>
      <c r="AH68" s="27" t="n">
        <f aca="false">IF(COUNT('Arroz irrigado'!$E66:$Z66)=0,0,MAX(0,IF((AH$6-$E$3)&lt;1,0,IFERROR(LOOKUP(2,1/('Arroz irrigado'!$E66:INDEX('Arroz irrigado'!$E66:$Z66,MIN(AH$6-$E$3,22))&lt;&gt;""),'Arroz irrigado'!$E66:INDEX('Arroz irrigado'!$E66:$Z66,MIN(AH$6-$E$3,22))),0))-IF($G$2,0,IF((AH$6-$G$3)&lt;1,0,IFERROR(LOOKUP(2,1/('Arroz irrigado'!$E66:INDEX('Arroz irrigado'!$E66:$Z66,MIN(AH$6-$G$3,22))&lt;&gt;""),'Arroz irrigado'!$E66:INDEX('Arroz irrigado'!$E66:$Z66,MIN(AH$6-$G$3,22))),0)))))</f>
        <v>0</v>
      </c>
      <c r="AI68" s="27" t="n">
        <f aca="false">IF(COUNT('Arroz irrigado'!$E66:$Z66)=0,0,MAX(0,IF((AI$6-$E$3)&lt;1,0,IFERROR(LOOKUP(2,1/('Arroz irrigado'!$E66:INDEX('Arroz irrigado'!$E66:$Z66,MIN(AI$6-$E$3,22))&lt;&gt;""),'Arroz irrigado'!$E66:INDEX('Arroz irrigado'!$E66:$Z66,MIN(AI$6-$E$3,22))),0))-IF($G$2,0,IF((AI$6-$G$3)&lt;1,0,IFERROR(LOOKUP(2,1/('Arroz irrigado'!$E66:INDEX('Arroz irrigado'!$E66:$Z66,MIN(AI$6-$G$3,22))&lt;&gt;""),'Arroz irrigado'!$E66:INDEX('Arroz irrigado'!$E66:$Z66,MIN(AI$6-$G$3,22))),0)))))</f>
        <v>0</v>
      </c>
      <c r="AJ68" s="27" t="n">
        <f aca="false">IF(COUNT('Arroz irrigado'!$E66:$Z66)=0,0,MAX(0,IF((AJ$6-$E$3)&lt;1,0,IFERROR(LOOKUP(2,1/('Arroz irrigado'!$E66:INDEX('Arroz irrigado'!$E66:$Z66,MIN(AJ$6-$E$3,22))&lt;&gt;""),'Arroz irrigado'!$E66:INDEX('Arroz irrigado'!$E66:$Z66,MIN(AJ$6-$E$3,22))),0))-IF($G$2,0,IF((AJ$6-$G$3)&lt;1,0,IFERROR(LOOKUP(2,1/('Arroz irrigado'!$E66:INDEX('Arroz irrigado'!$E66:$Z66,MIN(AJ$6-$G$3,22))&lt;&gt;""),'Arroz irrigado'!$E66:INDEX('Arroz irrigado'!$E66:$Z66,MIN(AJ$6-$G$3,22))),0)))))</f>
        <v>0</v>
      </c>
      <c r="AK68" s="27" t="n">
        <f aca="false">IF(COUNT('Arroz irrigado'!$E66:$Z66)=0,0,MAX(0,IF((AK$6-$E$3)&lt;1,0,IFERROR(LOOKUP(2,1/('Arroz irrigado'!$E66:INDEX('Arroz irrigado'!$E66:$Z66,MIN(AK$6-$E$3,22))&lt;&gt;""),'Arroz irrigado'!$E66:INDEX('Arroz irrigado'!$E66:$Z66,MIN(AK$6-$E$3,22))),0))-IF($G$2,0,IF((AK$6-$G$3)&lt;1,0,IFERROR(LOOKUP(2,1/('Arroz irrigado'!$E66:INDEX('Arroz irrigado'!$E66:$Z66,MIN(AK$6-$G$3,22))&lt;&gt;""),'Arroz irrigado'!$E66:INDEX('Arroz irrigado'!$E66:$Z66,MIN(AK$6-$G$3,22))),0)))))</f>
        <v>0</v>
      </c>
      <c r="AL68" s="27" t="n">
        <f aca="false">IF(COUNT('Arroz irrigado'!$E66:$Z66)=0,0,MAX(0,IF((AL$6-$E$3)&lt;1,0,IFERROR(LOOKUP(2,1/('Arroz irrigado'!$E66:INDEX('Arroz irrigado'!$E66:$Z66,MIN(AL$6-$E$3,22))&lt;&gt;""),'Arroz irrigado'!$E66:INDEX('Arroz irrigado'!$E66:$Z66,MIN(AL$6-$E$3,22))),0))-IF($G$2,0,IF((AL$6-$G$3)&lt;1,0,IFERROR(LOOKUP(2,1/('Arroz irrigado'!$E66:INDEX('Arroz irrigado'!$E66:$Z66,MIN(AL$6-$G$3,22))&lt;&gt;""),'Arroz irrigado'!$E66:INDEX('Arroz irrigado'!$E66:$Z66,MIN(AL$6-$G$3,22))),0)))))</f>
        <v>0</v>
      </c>
      <c r="AM68" s="27" t="n">
        <f aca="false">IF(COUNT('Arroz irrigado'!$E66:$Z66)=0,0,MAX(0,IF((AM$6-$E$3)&lt;1,0,IFERROR(LOOKUP(2,1/('Arroz irrigado'!$E66:INDEX('Arroz irrigado'!$E66:$Z66,MIN(AM$6-$E$3,22))&lt;&gt;""),'Arroz irrigado'!$E66:INDEX('Arroz irrigado'!$E66:$Z66,MIN(AM$6-$E$3,22))),0))-IF($G$2,0,IF((AM$6-$G$3)&lt;1,0,IFERROR(LOOKUP(2,1/('Arroz irrigado'!$E66:INDEX('Arroz irrigado'!$E66:$Z66,MIN(AM$6-$G$3,22))&lt;&gt;""),'Arroz irrigado'!$E66:INDEX('Arroz irrigado'!$E66:$Z66,MIN(AM$6-$G$3,22))),0)))))</f>
        <v>0</v>
      </c>
      <c r="AN68" s="27" t="n">
        <f aca="false">IF(COUNT('Arroz irrigado'!$E66:$Z66)=0,0,MAX(0,IF((AN$6-$E$3)&lt;1,0,IFERROR(LOOKUP(2,1/('Arroz irrigado'!$E66:INDEX('Arroz irrigado'!$E66:$Z66,MIN(AN$6-$E$3,22))&lt;&gt;""),'Arroz irrigado'!$E66:INDEX('Arroz irrigado'!$E66:$Z66,MIN(AN$6-$E$3,22))),0))-IF($G$2,0,IF((AN$6-$G$3)&lt;1,0,IFERROR(LOOKUP(2,1/('Arroz irrigado'!$E66:INDEX('Arroz irrigado'!$E66:$Z66,MIN(AN$6-$G$3,22))&lt;&gt;""),'Arroz irrigado'!$E66:INDEX('Arroz irrigado'!$E66:$Z66,MIN(AN$6-$G$3,22))),0)))))</f>
        <v>0</v>
      </c>
      <c r="AO68" s="27" t="n">
        <f aca="false">IF(COUNT('Arroz irrigado'!$E66:$Z66)=0,0,MAX(0,IF((AO$6-$E$3)&lt;1,0,IFERROR(LOOKUP(2,1/('Arroz irrigado'!$E66:INDEX('Arroz irrigado'!$E66:$Z66,MIN(AO$6-$E$3,22))&lt;&gt;""),'Arroz irrigado'!$E66:INDEX('Arroz irrigado'!$E66:$Z66,MIN(AO$6-$E$3,22))),0))-IF($G$2,0,IF((AO$6-$G$3)&lt;1,0,IFERROR(LOOKUP(2,1/('Arroz irrigado'!$E66:INDEX('Arroz irrigado'!$E66:$Z66,MIN(AO$6-$G$3,22))&lt;&gt;""),'Arroz irrigado'!$E66:INDEX('Arroz irrigado'!$E66:$Z66,MIN(AO$6-$G$3,22))),0)))))</f>
        <v>0</v>
      </c>
      <c r="AP68" s="27" t="n">
        <f aca="false">IF(COUNT('Arroz irrigado'!$E66:$Z66)=0,0,MAX(0,IF((AP$6-$E$3)&lt;1,0,IFERROR(LOOKUP(2,1/('Arroz irrigado'!$E66:INDEX('Arroz irrigado'!$E66:$Z66,MIN(AP$6-$E$3,22))&lt;&gt;""),'Arroz irrigado'!$E66:INDEX('Arroz irrigado'!$E66:$Z66,MIN(AP$6-$E$3,22))),0))-IF($G$2,0,IF((AP$6-$G$3)&lt;1,0,IFERROR(LOOKUP(2,1/('Arroz irrigado'!$E66:INDEX('Arroz irrigado'!$E66:$Z66,MIN(AP$6-$G$3,22))&lt;&gt;""),'Arroz irrigado'!$E66:INDEX('Arroz irrigado'!$E66:$Z66,MIN(AP$6-$G$3,22))),0)))))</f>
        <v>0</v>
      </c>
      <c r="AQ68" s="27" t="n">
        <f aca="false">IF(COUNT('Arroz irrigado'!$E66:$Z66)=0,0,MAX(0,IF((AQ$6-$E$3)&lt;1,0,IFERROR(LOOKUP(2,1/('Arroz irrigado'!$E66:INDEX('Arroz irrigado'!$E66:$Z66,MIN(AQ$6-$E$3,22))&lt;&gt;""),'Arroz irrigado'!$E66:INDEX('Arroz irrigado'!$E66:$Z66,MIN(AQ$6-$E$3,22))),0))-IF($G$2,0,IF((AQ$6-$G$3)&lt;1,0,IFERROR(LOOKUP(2,1/('Arroz irrigado'!$E66:INDEX('Arroz irrigado'!$E66:$Z66,MIN(AQ$6-$G$3,22))&lt;&gt;""),'Arroz irrigado'!$E66:INDEX('Arroz irrigado'!$E66:$Z66,MIN(AQ$6-$G$3,22))),0)))))</f>
        <v>0</v>
      </c>
      <c r="AR68" s="27" t="n">
        <f aca="false">IF(COUNT('Arroz irrigado'!$E66:$Z66)=0,0,MAX(0,IF((AR$6-$E$3)&lt;1,0,IFERROR(LOOKUP(2,1/('Arroz irrigado'!$E66:INDEX('Arroz irrigado'!$E66:$Z66,MIN(AR$6-$E$3,22))&lt;&gt;""),'Arroz irrigado'!$E66:INDEX('Arroz irrigado'!$E66:$Z66,MIN(AR$6-$E$3,22))),0))-IF($G$2,0,IF((AR$6-$G$3)&lt;1,0,IFERROR(LOOKUP(2,1/('Arroz irrigado'!$E66:INDEX('Arroz irrigado'!$E66:$Z66,MIN(AR$6-$G$3,22))&lt;&gt;""),'Arroz irrigado'!$E66:INDEX('Arroz irrigado'!$E66:$Z66,MIN(AR$6-$G$3,22))),0)))))</f>
        <v>0</v>
      </c>
      <c r="AS68" s="27" t="n">
        <f aca="false">IF(COUNT('Arroz irrigado'!$E66:$Z66)=0,0,MAX(0,IF((AS$6-$E$3)&lt;1,0,IFERROR(LOOKUP(2,1/('Arroz irrigado'!$E66:INDEX('Arroz irrigado'!$E66:$Z66,MIN(AS$6-$E$3,22))&lt;&gt;""),'Arroz irrigado'!$E66:INDEX('Arroz irrigado'!$E66:$Z66,MIN(AS$6-$E$3,22))),0))-IF($G$2,0,IF((AS$6-$G$3)&lt;1,0,IFERROR(LOOKUP(2,1/('Arroz irrigado'!$E66:INDEX('Arroz irrigado'!$E66:$Z66,MIN(AS$6-$G$3,22))&lt;&gt;""),'Arroz irrigado'!$E66:INDEX('Arroz irrigado'!$E66:$Z66,MIN(AS$6-$G$3,22))),0)))))</f>
        <v>0</v>
      </c>
      <c r="AT68" s="27" t="n">
        <f aca="false">IF(COUNT('Arroz irrigado'!$E66:$Z66)=0,0,MAX(0,IF((AT$6-$E$3)&lt;1,0,IFERROR(LOOKUP(2,1/('Arroz irrigado'!$E66:INDEX('Arroz irrigado'!$E66:$Z66,MIN(AT$6-$E$3,22))&lt;&gt;""),'Arroz irrigado'!$E66:INDEX('Arroz irrigado'!$E66:$Z66,MIN(AT$6-$E$3,22))),0))-IF($G$2,0,IF((AT$6-$G$3)&lt;1,0,IFERROR(LOOKUP(2,1/('Arroz irrigado'!$E66:INDEX('Arroz irrigado'!$E66:$Z66,MIN(AT$6-$G$3,22))&lt;&gt;""),'Arroz irrigado'!$E66:INDEX('Arroz irrigado'!$E66:$Z66,MIN(AT$6-$G$3,22))),0)))))</f>
        <v>0</v>
      </c>
      <c r="AU68" s="27" t="n">
        <f aca="false">IF(COUNT('Arroz irrigado'!$E66:$Z66)=0,0,MAX(0,IF((AU$6-$E$3)&lt;1,0,IFERROR(LOOKUP(2,1/('Arroz irrigado'!$E66:INDEX('Arroz irrigado'!$E66:$Z66,MIN(AU$6-$E$3,22))&lt;&gt;""),'Arroz irrigado'!$E66:INDEX('Arroz irrigado'!$E66:$Z66,MIN(AU$6-$E$3,22))),0))-IF($G$2,0,IF((AU$6-$G$3)&lt;1,0,IFERROR(LOOKUP(2,1/('Arroz irrigado'!$E66:INDEX('Arroz irrigado'!$E66:$Z66,MIN(AU$6-$G$3,22))&lt;&gt;""),'Arroz irrigado'!$E66:INDEX('Arroz irrigado'!$E66:$Z66,MIN(AU$6-$G$3,22))),0)))))</f>
        <v>0</v>
      </c>
      <c r="AV68" s="27" t="n">
        <f aca="false">IF(COUNT('Arroz irrigado'!$E66:$Z66)=0,0,MAX(0,IF((AV$6-$E$3)&lt;1,0,IFERROR(LOOKUP(2,1/('Arroz irrigado'!$E66:INDEX('Arroz irrigado'!$E66:$Z66,MIN(AV$6-$E$3,22))&lt;&gt;""),'Arroz irrigado'!$E66:INDEX('Arroz irrigado'!$E66:$Z66,MIN(AV$6-$E$3,22))),0))-IF($G$2,0,IF((AV$6-$G$3)&lt;1,0,IFERROR(LOOKUP(2,1/('Arroz irrigado'!$E66:INDEX('Arroz irrigado'!$E66:$Z66,MIN(AV$6-$G$3,22))&lt;&gt;""),'Arroz irrigado'!$E66:INDEX('Arroz irrigado'!$E66:$Z66,MIN(AV$6-$G$3,22))),0)))))</f>
        <v>0</v>
      </c>
      <c r="AW68" s="27" t="n">
        <f aca="false">IF(COUNT('Arroz irrigado'!$E66:$Z66)=0,0,MAX(0,IF((AW$6-$E$3)&lt;1,0,IFERROR(LOOKUP(2,1/('Arroz irrigado'!$E66:INDEX('Arroz irrigado'!$E66:$Z66,MIN(AW$6-$E$3,22))&lt;&gt;""),'Arroz irrigado'!$E66:INDEX('Arroz irrigado'!$E66:$Z66,MIN(AW$6-$E$3,22))),0))-IF($G$2,0,IF((AW$6-$G$3)&lt;1,0,IFERROR(LOOKUP(2,1/('Arroz irrigado'!$E66:INDEX('Arroz irrigado'!$E66:$Z66,MIN(AW$6-$G$3,22))&lt;&gt;""),'Arroz irrigado'!$E66:INDEX('Arroz irrigado'!$E66:$Z66,MIN(AW$6-$G$3,22))),0)))))</f>
        <v>0</v>
      </c>
      <c r="AX68" s="27" t="n">
        <f aca="false">IF(COUNT('Arroz irrigado'!$E66:$Z66)=0,0,MAX(0,IF((AX$6-$E$3)&lt;1,0,IFERROR(LOOKUP(2,1/('Arroz irrigado'!$E66:INDEX('Arroz irrigado'!$E66:$Z66,MIN(AX$6-$E$3,22))&lt;&gt;""),'Arroz irrigado'!$E66:INDEX('Arroz irrigado'!$E66:$Z66,MIN(AX$6-$E$3,22))),0))-IF($G$2,0,IF((AX$6-$G$3)&lt;1,0,IFERROR(LOOKUP(2,1/('Arroz irrigado'!$E66:INDEX('Arroz irrigado'!$E66:$Z66,MIN(AX$6-$G$3,22))&lt;&gt;""),'Arroz irrigado'!$E66:INDEX('Arroz irrigado'!$E66:$Z66,MIN(AX$6-$G$3,22))),0)))))</f>
        <v>0</v>
      </c>
      <c r="AY68" s="27" t="n">
        <f aca="false">IF(COUNT('Arroz irrigado'!$E66:$Z66)=0,0,MAX(0,IF((AY$6-$E$3)&lt;1,0,IFERROR(LOOKUP(2,1/('Arroz irrigado'!$E66:INDEX('Arroz irrigado'!$E66:$Z66,MIN(AY$6-$E$3,22))&lt;&gt;""),'Arroz irrigado'!$E66:INDEX('Arroz irrigado'!$E66:$Z66,MIN(AY$6-$E$3,22))),0))-IF($G$2,0,IF((AY$6-$G$3)&lt;1,0,IFERROR(LOOKUP(2,1/('Arroz irrigado'!$E66:INDEX('Arroz irrigado'!$E66:$Z66,MIN(AY$6-$G$3,22))&lt;&gt;""),'Arroz irrigado'!$E66:INDEX('Arroz irrigado'!$E66:$Z66,MIN(AY$6-$G$3,22))),0)))))</f>
        <v>0</v>
      </c>
      <c r="AZ68" s="27" t="n">
        <f aca="false">IF(COUNT('Arroz irrigado'!$E66:$Z66)=0,0,MAX(0,IF((AZ$6-$E$3)&lt;1,0,IFERROR(LOOKUP(2,1/('Arroz irrigado'!$E66:INDEX('Arroz irrigado'!$E66:$Z66,MIN(AZ$6-$E$3,22))&lt;&gt;""),'Arroz irrigado'!$E66:INDEX('Arroz irrigado'!$E66:$Z66,MIN(AZ$6-$E$3,22))),0))-IF($G$2,0,IF((AZ$6-$G$3)&lt;1,0,IFERROR(LOOKUP(2,1/('Arroz irrigado'!$E66:INDEX('Arroz irrigado'!$E66:$Z66,MIN(AZ$6-$G$3,22))&lt;&gt;""),'Arroz irrigado'!$E66:INDEX('Arroz irrigado'!$E66:$Z66,MIN(AZ$6-$G$3,22))),0)))))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IF(COUNT('Arroz irrigado'!$E67:$Z67)&gt;0,N('Arroz irrigado'!$D67),0)</f>
        <v>0</v>
      </c>
      <c r="E69" s="27" t="n">
        <f aca="false">IF(COUNT('Arroz irrigado'!$E67:$Z67)=0,0,MAX(0,IF((E$6-$E$3)&lt;1,0,IFERROR(LOOKUP(2,1/('Arroz irrigado'!$E67:INDEX('Arroz irrigado'!$E67:$Z67,MIN(E$6-$E$3,22))&lt;&gt;""),'Arroz irrigado'!$E67:INDEX('Arroz irrigado'!$E67:$Z67,MIN(E$6-$E$3,22))),0))-IF($G$2,0,IF((E$6-$G$3)&lt;1,0,IFERROR(LOOKUP(2,1/('Arroz irrigado'!$E67:INDEX('Arroz irrigado'!$E67:$Z67,MIN(E$6-$G$3,22))&lt;&gt;""),'Arroz irrigado'!$E67:INDEX('Arroz irrigado'!$E67:$Z67,MIN(E$6-$G$3,22))),0)))))</f>
        <v>0</v>
      </c>
      <c r="F69" s="27" t="n">
        <f aca="false">IF(COUNT('Arroz irrigado'!$E67:$Z67)=0,0,MAX(0,IF((F$6-$E$3)&lt;1,0,IFERROR(LOOKUP(2,1/('Arroz irrigado'!$E67:INDEX('Arroz irrigado'!$E67:$Z67,MIN(F$6-$E$3,22))&lt;&gt;""),'Arroz irrigado'!$E67:INDEX('Arroz irrigado'!$E67:$Z67,MIN(F$6-$E$3,22))),0))-IF($G$2,0,IF((F$6-$G$3)&lt;1,0,IFERROR(LOOKUP(2,1/('Arroz irrigado'!$E67:INDEX('Arroz irrigado'!$E67:$Z67,MIN(F$6-$G$3,22))&lt;&gt;""),'Arroz irrigado'!$E67:INDEX('Arroz irrigado'!$E67:$Z67,MIN(F$6-$G$3,22))),0)))))</f>
        <v>0</v>
      </c>
      <c r="G69" s="27" t="n">
        <f aca="false">IF(COUNT('Arroz irrigado'!$E67:$Z67)=0,0,MAX(0,IF((G$6-$E$3)&lt;1,0,IFERROR(LOOKUP(2,1/('Arroz irrigado'!$E67:INDEX('Arroz irrigado'!$E67:$Z67,MIN(G$6-$E$3,22))&lt;&gt;""),'Arroz irrigado'!$E67:INDEX('Arroz irrigado'!$E67:$Z67,MIN(G$6-$E$3,22))),0))-IF($G$2,0,IF((G$6-$G$3)&lt;1,0,IFERROR(LOOKUP(2,1/('Arroz irrigado'!$E67:INDEX('Arroz irrigado'!$E67:$Z67,MIN(G$6-$G$3,22))&lt;&gt;""),'Arroz irrigado'!$E67:INDEX('Arroz irrigado'!$E67:$Z67,MIN(G$6-$G$3,22))),0)))))</f>
        <v>0</v>
      </c>
      <c r="H69" s="27" t="n">
        <f aca="false">IF(COUNT('Arroz irrigado'!$E67:$Z67)=0,0,MAX(0,IF((H$6-$E$3)&lt;1,0,IFERROR(LOOKUP(2,1/('Arroz irrigado'!$E67:INDEX('Arroz irrigado'!$E67:$Z67,MIN(H$6-$E$3,22))&lt;&gt;""),'Arroz irrigado'!$E67:INDEX('Arroz irrigado'!$E67:$Z67,MIN(H$6-$E$3,22))),0))-IF($G$2,0,IF((H$6-$G$3)&lt;1,0,IFERROR(LOOKUP(2,1/('Arroz irrigado'!$E67:INDEX('Arroz irrigado'!$E67:$Z67,MIN(H$6-$G$3,22))&lt;&gt;""),'Arroz irrigado'!$E67:INDEX('Arroz irrigado'!$E67:$Z67,MIN(H$6-$G$3,22))),0)))))</f>
        <v>0</v>
      </c>
      <c r="I69" s="27" t="n">
        <f aca="false">IF(COUNT('Arroz irrigado'!$E67:$Z67)=0,0,MAX(0,IF((I$6-$E$3)&lt;1,0,IFERROR(LOOKUP(2,1/('Arroz irrigado'!$E67:INDEX('Arroz irrigado'!$E67:$Z67,MIN(I$6-$E$3,22))&lt;&gt;""),'Arroz irrigado'!$E67:INDEX('Arroz irrigado'!$E67:$Z67,MIN(I$6-$E$3,22))),0))-IF($G$2,0,IF((I$6-$G$3)&lt;1,0,IFERROR(LOOKUP(2,1/('Arroz irrigado'!$E67:INDEX('Arroz irrigado'!$E67:$Z67,MIN(I$6-$G$3,22))&lt;&gt;""),'Arroz irrigado'!$E67:INDEX('Arroz irrigado'!$E67:$Z67,MIN(I$6-$G$3,22))),0)))))</f>
        <v>0</v>
      </c>
      <c r="J69" s="27" t="n">
        <f aca="false">IF(COUNT('Arroz irrigado'!$E67:$Z67)=0,0,MAX(0,IF((J$6-$E$3)&lt;1,0,IFERROR(LOOKUP(2,1/('Arroz irrigado'!$E67:INDEX('Arroz irrigado'!$E67:$Z67,MIN(J$6-$E$3,22))&lt;&gt;""),'Arroz irrigado'!$E67:INDEX('Arroz irrigado'!$E67:$Z67,MIN(J$6-$E$3,22))),0))-IF($G$2,0,IF((J$6-$G$3)&lt;1,0,IFERROR(LOOKUP(2,1/('Arroz irrigado'!$E67:INDEX('Arroz irrigado'!$E67:$Z67,MIN(J$6-$G$3,22))&lt;&gt;""),'Arroz irrigado'!$E67:INDEX('Arroz irrigado'!$E67:$Z67,MIN(J$6-$G$3,22))),0)))))</f>
        <v>0</v>
      </c>
      <c r="K69" s="27" t="n">
        <f aca="false">IF(COUNT('Arroz irrigado'!$E67:$Z67)=0,0,MAX(0,IF((K$6-$E$3)&lt;1,0,IFERROR(LOOKUP(2,1/('Arroz irrigado'!$E67:INDEX('Arroz irrigado'!$E67:$Z67,MIN(K$6-$E$3,22))&lt;&gt;""),'Arroz irrigado'!$E67:INDEX('Arroz irrigado'!$E67:$Z67,MIN(K$6-$E$3,22))),0))-IF($G$2,0,IF((K$6-$G$3)&lt;1,0,IFERROR(LOOKUP(2,1/('Arroz irrigado'!$E67:INDEX('Arroz irrigado'!$E67:$Z67,MIN(K$6-$G$3,22))&lt;&gt;""),'Arroz irrigado'!$E67:INDEX('Arroz irrigado'!$E67:$Z67,MIN(K$6-$G$3,22))),0)))))</f>
        <v>0</v>
      </c>
      <c r="L69" s="27" t="n">
        <f aca="false">IF(COUNT('Arroz irrigado'!$E67:$Z67)=0,0,MAX(0,IF((L$6-$E$3)&lt;1,0,IFERROR(LOOKUP(2,1/('Arroz irrigado'!$E67:INDEX('Arroz irrigado'!$E67:$Z67,MIN(L$6-$E$3,22))&lt;&gt;""),'Arroz irrigado'!$E67:INDEX('Arroz irrigado'!$E67:$Z67,MIN(L$6-$E$3,22))),0))-IF($G$2,0,IF((L$6-$G$3)&lt;1,0,IFERROR(LOOKUP(2,1/('Arroz irrigado'!$E67:INDEX('Arroz irrigado'!$E67:$Z67,MIN(L$6-$G$3,22))&lt;&gt;""),'Arroz irrigado'!$E67:INDEX('Arroz irrigado'!$E67:$Z67,MIN(L$6-$G$3,22))),0)))))</f>
        <v>0</v>
      </c>
      <c r="M69" s="27" t="n">
        <f aca="false">IF(COUNT('Arroz irrigado'!$E67:$Z67)=0,0,MAX(0,IF((M$6-$E$3)&lt;1,0,IFERROR(LOOKUP(2,1/('Arroz irrigado'!$E67:INDEX('Arroz irrigado'!$E67:$Z67,MIN(M$6-$E$3,22))&lt;&gt;""),'Arroz irrigado'!$E67:INDEX('Arroz irrigado'!$E67:$Z67,MIN(M$6-$E$3,22))),0))-IF($G$2,0,IF((M$6-$G$3)&lt;1,0,IFERROR(LOOKUP(2,1/('Arroz irrigado'!$E67:INDEX('Arroz irrigado'!$E67:$Z67,MIN(M$6-$G$3,22))&lt;&gt;""),'Arroz irrigado'!$E67:INDEX('Arroz irrigado'!$E67:$Z67,MIN(M$6-$G$3,22))),0)))))</f>
        <v>0</v>
      </c>
      <c r="N69" s="27" t="n">
        <f aca="false">IF(COUNT('Arroz irrigado'!$E67:$Z67)=0,0,MAX(0,IF((N$6-$E$3)&lt;1,0,IFERROR(LOOKUP(2,1/('Arroz irrigado'!$E67:INDEX('Arroz irrigado'!$E67:$Z67,MIN(N$6-$E$3,22))&lt;&gt;""),'Arroz irrigado'!$E67:INDEX('Arroz irrigado'!$E67:$Z67,MIN(N$6-$E$3,22))),0))-IF($G$2,0,IF((N$6-$G$3)&lt;1,0,IFERROR(LOOKUP(2,1/('Arroz irrigado'!$E67:INDEX('Arroz irrigado'!$E67:$Z67,MIN(N$6-$G$3,22))&lt;&gt;""),'Arroz irrigado'!$E67:INDEX('Arroz irrigado'!$E67:$Z67,MIN(N$6-$G$3,22))),0)))))</f>
        <v>0</v>
      </c>
      <c r="O69" s="27" t="n">
        <f aca="false">IF(COUNT('Arroz irrigado'!$E67:$Z67)=0,0,MAX(0,IF((O$6-$E$3)&lt;1,0,IFERROR(LOOKUP(2,1/('Arroz irrigado'!$E67:INDEX('Arroz irrigado'!$E67:$Z67,MIN(O$6-$E$3,22))&lt;&gt;""),'Arroz irrigado'!$E67:INDEX('Arroz irrigado'!$E67:$Z67,MIN(O$6-$E$3,22))),0))-IF($G$2,0,IF((O$6-$G$3)&lt;1,0,IFERROR(LOOKUP(2,1/('Arroz irrigado'!$E67:INDEX('Arroz irrigado'!$E67:$Z67,MIN(O$6-$G$3,22))&lt;&gt;""),'Arroz irrigado'!$E67:INDEX('Arroz irrigado'!$E67:$Z67,MIN(O$6-$G$3,22))),0)))))</f>
        <v>0</v>
      </c>
      <c r="P69" s="27" t="n">
        <f aca="false">IF(COUNT('Arroz irrigado'!$E67:$Z67)=0,0,MAX(0,IF((P$6-$E$3)&lt;1,0,IFERROR(LOOKUP(2,1/('Arroz irrigado'!$E67:INDEX('Arroz irrigado'!$E67:$Z67,MIN(P$6-$E$3,22))&lt;&gt;""),'Arroz irrigado'!$E67:INDEX('Arroz irrigado'!$E67:$Z67,MIN(P$6-$E$3,22))),0))-IF($G$2,0,IF((P$6-$G$3)&lt;1,0,IFERROR(LOOKUP(2,1/('Arroz irrigado'!$E67:INDEX('Arroz irrigado'!$E67:$Z67,MIN(P$6-$G$3,22))&lt;&gt;""),'Arroz irrigado'!$E67:INDEX('Arroz irrigado'!$E67:$Z67,MIN(P$6-$G$3,22))),0)))))</f>
        <v>0</v>
      </c>
      <c r="Q69" s="27" t="n">
        <f aca="false">IF(COUNT('Arroz irrigado'!$E67:$Z67)=0,0,MAX(0,IF((Q$6-$E$3)&lt;1,0,IFERROR(LOOKUP(2,1/('Arroz irrigado'!$E67:INDEX('Arroz irrigado'!$E67:$Z67,MIN(Q$6-$E$3,22))&lt;&gt;""),'Arroz irrigado'!$E67:INDEX('Arroz irrigado'!$E67:$Z67,MIN(Q$6-$E$3,22))),0))-IF($G$2,0,IF((Q$6-$G$3)&lt;1,0,IFERROR(LOOKUP(2,1/('Arroz irrigado'!$E67:INDEX('Arroz irrigado'!$E67:$Z67,MIN(Q$6-$G$3,22))&lt;&gt;""),'Arroz irrigado'!$E67:INDEX('Arroz irrigado'!$E67:$Z67,MIN(Q$6-$G$3,22))),0)))))</f>
        <v>0</v>
      </c>
      <c r="R69" s="27" t="n">
        <f aca="false">IF(COUNT('Arroz irrigado'!$E67:$Z67)=0,0,MAX(0,IF((R$6-$E$3)&lt;1,0,IFERROR(LOOKUP(2,1/('Arroz irrigado'!$E67:INDEX('Arroz irrigado'!$E67:$Z67,MIN(R$6-$E$3,22))&lt;&gt;""),'Arroz irrigado'!$E67:INDEX('Arroz irrigado'!$E67:$Z67,MIN(R$6-$E$3,22))),0))-IF($G$2,0,IF((R$6-$G$3)&lt;1,0,IFERROR(LOOKUP(2,1/('Arroz irrigado'!$E67:INDEX('Arroz irrigado'!$E67:$Z67,MIN(R$6-$G$3,22))&lt;&gt;""),'Arroz irrigado'!$E67:INDEX('Arroz irrigado'!$E67:$Z67,MIN(R$6-$G$3,22))),0)))))</f>
        <v>0</v>
      </c>
      <c r="S69" s="27" t="n">
        <f aca="false">IF(COUNT('Arroz irrigado'!$E67:$Z67)=0,0,MAX(0,IF((S$6-$E$3)&lt;1,0,IFERROR(LOOKUP(2,1/('Arroz irrigado'!$E67:INDEX('Arroz irrigado'!$E67:$Z67,MIN(S$6-$E$3,22))&lt;&gt;""),'Arroz irrigado'!$E67:INDEX('Arroz irrigado'!$E67:$Z67,MIN(S$6-$E$3,22))),0))-IF($G$2,0,IF((S$6-$G$3)&lt;1,0,IFERROR(LOOKUP(2,1/('Arroz irrigado'!$E67:INDEX('Arroz irrigado'!$E67:$Z67,MIN(S$6-$G$3,22))&lt;&gt;""),'Arroz irrigado'!$E67:INDEX('Arroz irrigado'!$E67:$Z67,MIN(S$6-$G$3,22))),0)))))</f>
        <v>0</v>
      </c>
      <c r="T69" s="27" t="n">
        <f aca="false">IF(COUNT('Arroz irrigado'!$E67:$Z67)=0,0,MAX(0,IF((T$6-$E$3)&lt;1,0,IFERROR(LOOKUP(2,1/('Arroz irrigado'!$E67:INDEX('Arroz irrigado'!$E67:$Z67,MIN(T$6-$E$3,22))&lt;&gt;""),'Arroz irrigado'!$E67:INDEX('Arroz irrigado'!$E67:$Z67,MIN(T$6-$E$3,22))),0))-IF($G$2,0,IF((T$6-$G$3)&lt;1,0,IFERROR(LOOKUP(2,1/('Arroz irrigado'!$E67:INDEX('Arroz irrigado'!$E67:$Z67,MIN(T$6-$G$3,22))&lt;&gt;""),'Arroz irrigado'!$E67:INDEX('Arroz irrigado'!$E67:$Z67,MIN(T$6-$G$3,22))),0)))))</f>
        <v>0</v>
      </c>
      <c r="U69" s="27" t="n">
        <f aca="false">IF(COUNT('Arroz irrigado'!$E67:$Z67)=0,0,MAX(0,IF((U$6-$E$3)&lt;1,0,IFERROR(LOOKUP(2,1/('Arroz irrigado'!$E67:INDEX('Arroz irrigado'!$E67:$Z67,MIN(U$6-$E$3,22))&lt;&gt;""),'Arroz irrigado'!$E67:INDEX('Arroz irrigado'!$E67:$Z67,MIN(U$6-$E$3,22))),0))-IF($G$2,0,IF((U$6-$G$3)&lt;1,0,IFERROR(LOOKUP(2,1/('Arroz irrigado'!$E67:INDEX('Arroz irrigado'!$E67:$Z67,MIN(U$6-$G$3,22))&lt;&gt;""),'Arroz irrigado'!$E67:INDEX('Arroz irrigado'!$E67:$Z67,MIN(U$6-$G$3,22))),0)))))</f>
        <v>0</v>
      </c>
      <c r="V69" s="27" t="n">
        <f aca="false">IF(COUNT('Arroz irrigado'!$E67:$Z67)=0,0,MAX(0,IF((V$6-$E$3)&lt;1,0,IFERROR(LOOKUP(2,1/('Arroz irrigado'!$E67:INDEX('Arroz irrigado'!$E67:$Z67,MIN(V$6-$E$3,22))&lt;&gt;""),'Arroz irrigado'!$E67:INDEX('Arroz irrigado'!$E67:$Z67,MIN(V$6-$E$3,22))),0))-IF($G$2,0,IF((V$6-$G$3)&lt;1,0,IFERROR(LOOKUP(2,1/('Arroz irrigado'!$E67:INDEX('Arroz irrigado'!$E67:$Z67,MIN(V$6-$G$3,22))&lt;&gt;""),'Arroz irrigado'!$E67:INDEX('Arroz irrigado'!$E67:$Z67,MIN(V$6-$G$3,22))),0)))))</f>
        <v>0</v>
      </c>
      <c r="W69" s="27" t="n">
        <f aca="false">IF(COUNT('Arroz irrigado'!$E67:$Z67)=0,0,MAX(0,IF((W$6-$E$3)&lt;1,0,IFERROR(LOOKUP(2,1/('Arroz irrigado'!$E67:INDEX('Arroz irrigado'!$E67:$Z67,MIN(W$6-$E$3,22))&lt;&gt;""),'Arroz irrigado'!$E67:INDEX('Arroz irrigado'!$E67:$Z67,MIN(W$6-$E$3,22))),0))-IF($G$2,0,IF((W$6-$G$3)&lt;1,0,IFERROR(LOOKUP(2,1/('Arroz irrigado'!$E67:INDEX('Arroz irrigado'!$E67:$Z67,MIN(W$6-$G$3,22))&lt;&gt;""),'Arroz irrigado'!$E67:INDEX('Arroz irrigado'!$E67:$Z67,MIN(W$6-$G$3,22))),0)))))</f>
        <v>0</v>
      </c>
      <c r="X69" s="27" t="n">
        <f aca="false">IF(COUNT('Arroz irrigado'!$E67:$Z67)=0,0,MAX(0,IF((X$6-$E$3)&lt;1,0,IFERROR(LOOKUP(2,1/('Arroz irrigado'!$E67:INDEX('Arroz irrigado'!$E67:$Z67,MIN(X$6-$E$3,22))&lt;&gt;""),'Arroz irrigado'!$E67:INDEX('Arroz irrigado'!$E67:$Z67,MIN(X$6-$E$3,22))),0))-IF($G$2,0,IF((X$6-$G$3)&lt;1,0,IFERROR(LOOKUP(2,1/('Arroz irrigado'!$E67:INDEX('Arroz irrigado'!$E67:$Z67,MIN(X$6-$G$3,22))&lt;&gt;""),'Arroz irrigado'!$E67:INDEX('Arroz irrigado'!$E67:$Z67,MIN(X$6-$G$3,22))),0)))))</f>
        <v>0</v>
      </c>
      <c r="Y69" s="27" t="n">
        <f aca="false">IF(COUNT('Arroz irrigado'!$E67:$Z67)=0,0,MAX(0,IF((Y$6-$E$3)&lt;1,0,IFERROR(LOOKUP(2,1/('Arroz irrigado'!$E67:INDEX('Arroz irrigado'!$E67:$Z67,MIN(Y$6-$E$3,22))&lt;&gt;""),'Arroz irrigado'!$E67:INDEX('Arroz irrigado'!$E67:$Z67,MIN(Y$6-$E$3,22))),0))-IF($G$2,0,IF((Y$6-$G$3)&lt;1,0,IFERROR(LOOKUP(2,1/('Arroz irrigado'!$E67:INDEX('Arroz irrigado'!$E67:$Z67,MIN(Y$6-$G$3,22))&lt;&gt;""),'Arroz irrigado'!$E67:INDEX('Arroz irrigado'!$E67:$Z67,MIN(Y$6-$G$3,22))),0)))))</f>
        <v>0</v>
      </c>
      <c r="Z69" s="27" t="n">
        <f aca="false">IF(COUNT('Arroz irrigado'!$E67:$Z67)=0,0,MAX(0,IF((Z$6-$E$3)&lt;1,0,IFERROR(LOOKUP(2,1/('Arroz irrigado'!$E67:INDEX('Arroz irrigado'!$E67:$Z67,MIN(Z$6-$E$3,22))&lt;&gt;""),'Arroz irrigado'!$E67:INDEX('Arroz irrigado'!$E67:$Z67,MIN(Z$6-$E$3,22))),0))-IF($G$2,0,IF((Z$6-$G$3)&lt;1,0,IFERROR(LOOKUP(2,1/('Arroz irrigado'!$E67:INDEX('Arroz irrigado'!$E67:$Z67,MIN(Z$6-$G$3,22))&lt;&gt;""),'Arroz irrigado'!$E67:INDEX('Arroz irrigado'!$E67:$Z67,MIN(Z$6-$G$3,22))),0)))))</f>
        <v>0</v>
      </c>
      <c r="AA69" s="27" t="n">
        <f aca="false">IF(COUNT('Arroz irrigado'!$E67:$Z67)=0,0,MAX(0,IF((AA$6-$E$3)&lt;1,0,IFERROR(LOOKUP(2,1/('Arroz irrigado'!$E67:INDEX('Arroz irrigado'!$E67:$Z67,MIN(AA$6-$E$3,22))&lt;&gt;""),'Arroz irrigado'!$E67:INDEX('Arroz irrigado'!$E67:$Z67,MIN(AA$6-$E$3,22))),0))-IF($G$2,0,IF((AA$6-$G$3)&lt;1,0,IFERROR(LOOKUP(2,1/('Arroz irrigado'!$E67:INDEX('Arroz irrigado'!$E67:$Z67,MIN(AA$6-$G$3,22))&lt;&gt;""),'Arroz irrigado'!$E67:INDEX('Arroz irrigado'!$E67:$Z67,MIN(AA$6-$G$3,22))),0)))))</f>
        <v>0</v>
      </c>
      <c r="AB69" s="27" t="n">
        <f aca="false">IF(COUNT('Arroz irrigado'!$E67:$Z67)=0,0,MAX(0,IF((AB$6-$E$3)&lt;1,0,IFERROR(LOOKUP(2,1/('Arroz irrigado'!$E67:INDEX('Arroz irrigado'!$E67:$Z67,MIN(AB$6-$E$3,22))&lt;&gt;""),'Arroz irrigado'!$E67:INDEX('Arroz irrigado'!$E67:$Z67,MIN(AB$6-$E$3,22))),0))-IF($G$2,0,IF((AB$6-$G$3)&lt;1,0,IFERROR(LOOKUP(2,1/('Arroz irrigado'!$E67:INDEX('Arroz irrigado'!$E67:$Z67,MIN(AB$6-$G$3,22))&lt;&gt;""),'Arroz irrigado'!$E67:INDEX('Arroz irrigado'!$E67:$Z67,MIN(AB$6-$G$3,22))),0)))))</f>
        <v>0</v>
      </c>
      <c r="AC69" s="27" t="n">
        <f aca="false">IF(COUNT('Arroz irrigado'!$E67:$Z67)=0,0,MAX(0,IF((AC$6-$E$3)&lt;1,0,IFERROR(LOOKUP(2,1/('Arroz irrigado'!$E67:INDEX('Arroz irrigado'!$E67:$Z67,MIN(AC$6-$E$3,22))&lt;&gt;""),'Arroz irrigado'!$E67:INDEX('Arroz irrigado'!$E67:$Z67,MIN(AC$6-$E$3,22))),0))-IF($G$2,0,IF((AC$6-$G$3)&lt;1,0,IFERROR(LOOKUP(2,1/('Arroz irrigado'!$E67:INDEX('Arroz irrigado'!$E67:$Z67,MIN(AC$6-$G$3,22))&lt;&gt;""),'Arroz irrigado'!$E67:INDEX('Arroz irrigado'!$E67:$Z67,MIN(AC$6-$G$3,22))),0)))))</f>
        <v>0</v>
      </c>
      <c r="AD69" s="27" t="n">
        <f aca="false">IF(COUNT('Arroz irrigado'!$E67:$Z67)=0,0,MAX(0,IF((AD$6-$E$3)&lt;1,0,IFERROR(LOOKUP(2,1/('Arroz irrigado'!$E67:INDEX('Arroz irrigado'!$E67:$Z67,MIN(AD$6-$E$3,22))&lt;&gt;""),'Arroz irrigado'!$E67:INDEX('Arroz irrigado'!$E67:$Z67,MIN(AD$6-$E$3,22))),0))-IF($G$2,0,IF((AD$6-$G$3)&lt;1,0,IFERROR(LOOKUP(2,1/('Arroz irrigado'!$E67:INDEX('Arroz irrigado'!$E67:$Z67,MIN(AD$6-$G$3,22))&lt;&gt;""),'Arroz irrigado'!$E67:INDEX('Arroz irrigado'!$E67:$Z67,MIN(AD$6-$G$3,22))),0)))))</f>
        <v>0</v>
      </c>
      <c r="AE69" s="27" t="n">
        <f aca="false">IF(COUNT('Arroz irrigado'!$E67:$Z67)=0,0,MAX(0,IF((AE$6-$E$3)&lt;1,0,IFERROR(LOOKUP(2,1/('Arroz irrigado'!$E67:INDEX('Arroz irrigado'!$E67:$Z67,MIN(AE$6-$E$3,22))&lt;&gt;""),'Arroz irrigado'!$E67:INDEX('Arroz irrigado'!$E67:$Z67,MIN(AE$6-$E$3,22))),0))-IF($G$2,0,IF((AE$6-$G$3)&lt;1,0,IFERROR(LOOKUP(2,1/('Arroz irrigado'!$E67:INDEX('Arroz irrigado'!$E67:$Z67,MIN(AE$6-$G$3,22))&lt;&gt;""),'Arroz irrigado'!$E67:INDEX('Arroz irrigado'!$E67:$Z67,MIN(AE$6-$G$3,22))),0)))))</f>
        <v>0</v>
      </c>
      <c r="AF69" s="27" t="n">
        <f aca="false">IF(COUNT('Arroz irrigado'!$E67:$Z67)=0,0,MAX(0,IF((AF$6-$E$3)&lt;1,0,IFERROR(LOOKUP(2,1/('Arroz irrigado'!$E67:INDEX('Arroz irrigado'!$E67:$Z67,MIN(AF$6-$E$3,22))&lt;&gt;""),'Arroz irrigado'!$E67:INDEX('Arroz irrigado'!$E67:$Z67,MIN(AF$6-$E$3,22))),0))-IF($G$2,0,IF((AF$6-$G$3)&lt;1,0,IFERROR(LOOKUP(2,1/('Arroz irrigado'!$E67:INDEX('Arroz irrigado'!$E67:$Z67,MIN(AF$6-$G$3,22))&lt;&gt;""),'Arroz irrigado'!$E67:INDEX('Arroz irrigado'!$E67:$Z67,MIN(AF$6-$G$3,22))),0)))))</f>
        <v>0</v>
      </c>
      <c r="AG69" s="27" t="n">
        <f aca="false">IF(COUNT('Arroz irrigado'!$E67:$Z67)=0,0,MAX(0,IF((AG$6-$E$3)&lt;1,0,IFERROR(LOOKUP(2,1/('Arroz irrigado'!$E67:INDEX('Arroz irrigado'!$E67:$Z67,MIN(AG$6-$E$3,22))&lt;&gt;""),'Arroz irrigado'!$E67:INDEX('Arroz irrigado'!$E67:$Z67,MIN(AG$6-$E$3,22))),0))-IF($G$2,0,IF((AG$6-$G$3)&lt;1,0,IFERROR(LOOKUP(2,1/('Arroz irrigado'!$E67:INDEX('Arroz irrigado'!$E67:$Z67,MIN(AG$6-$G$3,22))&lt;&gt;""),'Arroz irrigado'!$E67:INDEX('Arroz irrigado'!$E67:$Z67,MIN(AG$6-$G$3,22))),0)))))</f>
        <v>0</v>
      </c>
      <c r="AH69" s="27" t="n">
        <f aca="false">IF(COUNT('Arroz irrigado'!$E67:$Z67)=0,0,MAX(0,IF((AH$6-$E$3)&lt;1,0,IFERROR(LOOKUP(2,1/('Arroz irrigado'!$E67:INDEX('Arroz irrigado'!$E67:$Z67,MIN(AH$6-$E$3,22))&lt;&gt;""),'Arroz irrigado'!$E67:INDEX('Arroz irrigado'!$E67:$Z67,MIN(AH$6-$E$3,22))),0))-IF($G$2,0,IF((AH$6-$G$3)&lt;1,0,IFERROR(LOOKUP(2,1/('Arroz irrigado'!$E67:INDEX('Arroz irrigado'!$E67:$Z67,MIN(AH$6-$G$3,22))&lt;&gt;""),'Arroz irrigado'!$E67:INDEX('Arroz irrigado'!$E67:$Z67,MIN(AH$6-$G$3,22))),0)))))</f>
        <v>0</v>
      </c>
      <c r="AI69" s="27" t="n">
        <f aca="false">IF(COUNT('Arroz irrigado'!$E67:$Z67)=0,0,MAX(0,IF((AI$6-$E$3)&lt;1,0,IFERROR(LOOKUP(2,1/('Arroz irrigado'!$E67:INDEX('Arroz irrigado'!$E67:$Z67,MIN(AI$6-$E$3,22))&lt;&gt;""),'Arroz irrigado'!$E67:INDEX('Arroz irrigado'!$E67:$Z67,MIN(AI$6-$E$3,22))),0))-IF($G$2,0,IF((AI$6-$G$3)&lt;1,0,IFERROR(LOOKUP(2,1/('Arroz irrigado'!$E67:INDEX('Arroz irrigado'!$E67:$Z67,MIN(AI$6-$G$3,22))&lt;&gt;""),'Arroz irrigado'!$E67:INDEX('Arroz irrigado'!$E67:$Z67,MIN(AI$6-$G$3,22))),0)))))</f>
        <v>0</v>
      </c>
      <c r="AJ69" s="27" t="n">
        <f aca="false">IF(COUNT('Arroz irrigado'!$E67:$Z67)=0,0,MAX(0,IF((AJ$6-$E$3)&lt;1,0,IFERROR(LOOKUP(2,1/('Arroz irrigado'!$E67:INDEX('Arroz irrigado'!$E67:$Z67,MIN(AJ$6-$E$3,22))&lt;&gt;""),'Arroz irrigado'!$E67:INDEX('Arroz irrigado'!$E67:$Z67,MIN(AJ$6-$E$3,22))),0))-IF($G$2,0,IF((AJ$6-$G$3)&lt;1,0,IFERROR(LOOKUP(2,1/('Arroz irrigado'!$E67:INDEX('Arroz irrigado'!$E67:$Z67,MIN(AJ$6-$G$3,22))&lt;&gt;""),'Arroz irrigado'!$E67:INDEX('Arroz irrigado'!$E67:$Z67,MIN(AJ$6-$G$3,22))),0)))))</f>
        <v>0</v>
      </c>
      <c r="AK69" s="27" t="n">
        <f aca="false">IF(COUNT('Arroz irrigado'!$E67:$Z67)=0,0,MAX(0,IF((AK$6-$E$3)&lt;1,0,IFERROR(LOOKUP(2,1/('Arroz irrigado'!$E67:INDEX('Arroz irrigado'!$E67:$Z67,MIN(AK$6-$E$3,22))&lt;&gt;""),'Arroz irrigado'!$E67:INDEX('Arroz irrigado'!$E67:$Z67,MIN(AK$6-$E$3,22))),0))-IF($G$2,0,IF((AK$6-$G$3)&lt;1,0,IFERROR(LOOKUP(2,1/('Arroz irrigado'!$E67:INDEX('Arroz irrigado'!$E67:$Z67,MIN(AK$6-$G$3,22))&lt;&gt;""),'Arroz irrigado'!$E67:INDEX('Arroz irrigado'!$E67:$Z67,MIN(AK$6-$G$3,22))),0)))))</f>
        <v>0</v>
      </c>
      <c r="AL69" s="27" t="n">
        <f aca="false">IF(COUNT('Arroz irrigado'!$E67:$Z67)=0,0,MAX(0,IF((AL$6-$E$3)&lt;1,0,IFERROR(LOOKUP(2,1/('Arroz irrigado'!$E67:INDEX('Arroz irrigado'!$E67:$Z67,MIN(AL$6-$E$3,22))&lt;&gt;""),'Arroz irrigado'!$E67:INDEX('Arroz irrigado'!$E67:$Z67,MIN(AL$6-$E$3,22))),0))-IF($G$2,0,IF((AL$6-$G$3)&lt;1,0,IFERROR(LOOKUP(2,1/('Arroz irrigado'!$E67:INDEX('Arroz irrigado'!$E67:$Z67,MIN(AL$6-$G$3,22))&lt;&gt;""),'Arroz irrigado'!$E67:INDEX('Arroz irrigado'!$E67:$Z67,MIN(AL$6-$G$3,22))),0)))))</f>
        <v>0</v>
      </c>
      <c r="AM69" s="27" t="n">
        <f aca="false">IF(COUNT('Arroz irrigado'!$E67:$Z67)=0,0,MAX(0,IF((AM$6-$E$3)&lt;1,0,IFERROR(LOOKUP(2,1/('Arroz irrigado'!$E67:INDEX('Arroz irrigado'!$E67:$Z67,MIN(AM$6-$E$3,22))&lt;&gt;""),'Arroz irrigado'!$E67:INDEX('Arroz irrigado'!$E67:$Z67,MIN(AM$6-$E$3,22))),0))-IF($G$2,0,IF((AM$6-$G$3)&lt;1,0,IFERROR(LOOKUP(2,1/('Arroz irrigado'!$E67:INDEX('Arroz irrigado'!$E67:$Z67,MIN(AM$6-$G$3,22))&lt;&gt;""),'Arroz irrigado'!$E67:INDEX('Arroz irrigado'!$E67:$Z67,MIN(AM$6-$G$3,22))),0)))))</f>
        <v>0</v>
      </c>
      <c r="AN69" s="27" t="n">
        <f aca="false">IF(COUNT('Arroz irrigado'!$E67:$Z67)=0,0,MAX(0,IF((AN$6-$E$3)&lt;1,0,IFERROR(LOOKUP(2,1/('Arroz irrigado'!$E67:INDEX('Arroz irrigado'!$E67:$Z67,MIN(AN$6-$E$3,22))&lt;&gt;""),'Arroz irrigado'!$E67:INDEX('Arroz irrigado'!$E67:$Z67,MIN(AN$6-$E$3,22))),0))-IF($G$2,0,IF((AN$6-$G$3)&lt;1,0,IFERROR(LOOKUP(2,1/('Arroz irrigado'!$E67:INDEX('Arroz irrigado'!$E67:$Z67,MIN(AN$6-$G$3,22))&lt;&gt;""),'Arroz irrigado'!$E67:INDEX('Arroz irrigado'!$E67:$Z67,MIN(AN$6-$G$3,22))),0)))))</f>
        <v>0</v>
      </c>
      <c r="AO69" s="27" t="n">
        <f aca="false">IF(COUNT('Arroz irrigado'!$E67:$Z67)=0,0,MAX(0,IF((AO$6-$E$3)&lt;1,0,IFERROR(LOOKUP(2,1/('Arroz irrigado'!$E67:INDEX('Arroz irrigado'!$E67:$Z67,MIN(AO$6-$E$3,22))&lt;&gt;""),'Arroz irrigado'!$E67:INDEX('Arroz irrigado'!$E67:$Z67,MIN(AO$6-$E$3,22))),0))-IF($G$2,0,IF((AO$6-$G$3)&lt;1,0,IFERROR(LOOKUP(2,1/('Arroz irrigado'!$E67:INDEX('Arroz irrigado'!$E67:$Z67,MIN(AO$6-$G$3,22))&lt;&gt;""),'Arroz irrigado'!$E67:INDEX('Arroz irrigado'!$E67:$Z67,MIN(AO$6-$G$3,22))),0)))))</f>
        <v>0</v>
      </c>
      <c r="AP69" s="27" t="n">
        <f aca="false">IF(COUNT('Arroz irrigado'!$E67:$Z67)=0,0,MAX(0,IF((AP$6-$E$3)&lt;1,0,IFERROR(LOOKUP(2,1/('Arroz irrigado'!$E67:INDEX('Arroz irrigado'!$E67:$Z67,MIN(AP$6-$E$3,22))&lt;&gt;""),'Arroz irrigado'!$E67:INDEX('Arroz irrigado'!$E67:$Z67,MIN(AP$6-$E$3,22))),0))-IF($G$2,0,IF((AP$6-$G$3)&lt;1,0,IFERROR(LOOKUP(2,1/('Arroz irrigado'!$E67:INDEX('Arroz irrigado'!$E67:$Z67,MIN(AP$6-$G$3,22))&lt;&gt;""),'Arroz irrigado'!$E67:INDEX('Arroz irrigado'!$E67:$Z67,MIN(AP$6-$G$3,22))),0)))))</f>
        <v>0</v>
      </c>
      <c r="AQ69" s="27" t="n">
        <f aca="false">IF(COUNT('Arroz irrigado'!$E67:$Z67)=0,0,MAX(0,IF((AQ$6-$E$3)&lt;1,0,IFERROR(LOOKUP(2,1/('Arroz irrigado'!$E67:INDEX('Arroz irrigado'!$E67:$Z67,MIN(AQ$6-$E$3,22))&lt;&gt;""),'Arroz irrigado'!$E67:INDEX('Arroz irrigado'!$E67:$Z67,MIN(AQ$6-$E$3,22))),0))-IF($G$2,0,IF((AQ$6-$G$3)&lt;1,0,IFERROR(LOOKUP(2,1/('Arroz irrigado'!$E67:INDEX('Arroz irrigado'!$E67:$Z67,MIN(AQ$6-$G$3,22))&lt;&gt;""),'Arroz irrigado'!$E67:INDEX('Arroz irrigado'!$E67:$Z67,MIN(AQ$6-$G$3,22))),0)))))</f>
        <v>0</v>
      </c>
      <c r="AR69" s="27" t="n">
        <f aca="false">IF(COUNT('Arroz irrigado'!$E67:$Z67)=0,0,MAX(0,IF((AR$6-$E$3)&lt;1,0,IFERROR(LOOKUP(2,1/('Arroz irrigado'!$E67:INDEX('Arroz irrigado'!$E67:$Z67,MIN(AR$6-$E$3,22))&lt;&gt;""),'Arroz irrigado'!$E67:INDEX('Arroz irrigado'!$E67:$Z67,MIN(AR$6-$E$3,22))),0))-IF($G$2,0,IF((AR$6-$G$3)&lt;1,0,IFERROR(LOOKUP(2,1/('Arroz irrigado'!$E67:INDEX('Arroz irrigado'!$E67:$Z67,MIN(AR$6-$G$3,22))&lt;&gt;""),'Arroz irrigado'!$E67:INDEX('Arroz irrigado'!$E67:$Z67,MIN(AR$6-$G$3,22))),0)))))</f>
        <v>0</v>
      </c>
      <c r="AS69" s="27" t="n">
        <f aca="false">IF(COUNT('Arroz irrigado'!$E67:$Z67)=0,0,MAX(0,IF((AS$6-$E$3)&lt;1,0,IFERROR(LOOKUP(2,1/('Arroz irrigado'!$E67:INDEX('Arroz irrigado'!$E67:$Z67,MIN(AS$6-$E$3,22))&lt;&gt;""),'Arroz irrigado'!$E67:INDEX('Arroz irrigado'!$E67:$Z67,MIN(AS$6-$E$3,22))),0))-IF($G$2,0,IF((AS$6-$G$3)&lt;1,0,IFERROR(LOOKUP(2,1/('Arroz irrigado'!$E67:INDEX('Arroz irrigado'!$E67:$Z67,MIN(AS$6-$G$3,22))&lt;&gt;""),'Arroz irrigado'!$E67:INDEX('Arroz irrigado'!$E67:$Z67,MIN(AS$6-$G$3,22))),0)))))</f>
        <v>0</v>
      </c>
      <c r="AT69" s="27" t="n">
        <f aca="false">IF(COUNT('Arroz irrigado'!$E67:$Z67)=0,0,MAX(0,IF((AT$6-$E$3)&lt;1,0,IFERROR(LOOKUP(2,1/('Arroz irrigado'!$E67:INDEX('Arroz irrigado'!$E67:$Z67,MIN(AT$6-$E$3,22))&lt;&gt;""),'Arroz irrigado'!$E67:INDEX('Arroz irrigado'!$E67:$Z67,MIN(AT$6-$E$3,22))),0))-IF($G$2,0,IF((AT$6-$G$3)&lt;1,0,IFERROR(LOOKUP(2,1/('Arroz irrigado'!$E67:INDEX('Arroz irrigado'!$E67:$Z67,MIN(AT$6-$G$3,22))&lt;&gt;""),'Arroz irrigado'!$E67:INDEX('Arroz irrigado'!$E67:$Z67,MIN(AT$6-$G$3,22))),0)))))</f>
        <v>0</v>
      </c>
      <c r="AU69" s="27" t="n">
        <f aca="false">IF(COUNT('Arroz irrigado'!$E67:$Z67)=0,0,MAX(0,IF((AU$6-$E$3)&lt;1,0,IFERROR(LOOKUP(2,1/('Arroz irrigado'!$E67:INDEX('Arroz irrigado'!$E67:$Z67,MIN(AU$6-$E$3,22))&lt;&gt;""),'Arroz irrigado'!$E67:INDEX('Arroz irrigado'!$E67:$Z67,MIN(AU$6-$E$3,22))),0))-IF($G$2,0,IF((AU$6-$G$3)&lt;1,0,IFERROR(LOOKUP(2,1/('Arroz irrigado'!$E67:INDEX('Arroz irrigado'!$E67:$Z67,MIN(AU$6-$G$3,22))&lt;&gt;""),'Arroz irrigado'!$E67:INDEX('Arroz irrigado'!$E67:$Z67,MIN(AU$6-$G$3,22))),0)))))</f>
        <v>0</v>
      </c>
      <c r="AV69" s="27" t="n">
        <f aca="false">IF(COUNT('Arroz irrigado'!$E67:$Z67)=0,0,MAX(0,IF((AV$6-$E$3)&lt;1,0,IFERROR(LOOKUP(2,1/('Arroz irrigado'!$E67:INDEX('Arroz irrigado'!$E67:$Z67,MIN(AV$6-$E$3,22))&lt;&gt;""),'Arroz irrigado'!$E67:INDEX('Arroz irrigado'!$E67:$Z67,MIN(AV$6-$E$3,22))),0))-IF($G$2,0,IF((AV$6-$G$3)&lt;1,0,IFERROR(LOOKUP(2,1/('Arroz irrigado'!$E67:INDEX('Arroz irrigado'!$E67:$Z67,MIN(AV$6-$G$3,22))&lt;&gt;""),'Arroz irrigado'!$E67:INDEX('Arroz irrigado'!$E67:$Z67,MIN(AV$6-$G$3,22))),0)))))</f>
        <v>0</v>
      </c>
      <c r="AW69" s="27" t="n">
        <f aca="false">IF(COUNT('Arroz irrigado'!$E67:$Z67)=0,0,MAX(0,IF((AW$6-$E$3)&lt;1,0,IFERROR(LOOKUP(2,1/('Arroz irrigado'!$E67:INDEX('Arroz irrigado'!$E67:$Z67,MIN(AW$6-$E$3,22))&lt;&gt;""),'Arroz irrigado'!$E67:INDEX('Arroz irrigado'!$E67:$Z67,MIN(AW$6-$E$3,22))),0))-IF($G$2,0,IF((AW$6-$G$3)&lt;1,0,IFERROR(LOOKUP(2,1/('Arroz irrigado'!$E67:INDEX('Arroz irrigado'!$E67:$Z67,MIN(AW$6-$G$3,22))&lt;&gt;""),'Arroz irrigado'!$E67:INDEX('Arroz irrigado'!$E67:$Z67,MIN(AW$6-$G$3,22))),0)))))</f>
        <v>0</v>
      </c>
      <c r="AX69" s="27" t="n">
        <f aca="false">IF(COUNT('Arroz irrigado'!$E67:$Z67)=0,0,MAX(0,IF((AX$6-$E$3)&lt;1,0,IFERROR(LOOKUP(2,1/('Arroz irrigado'!$E67:INDEX('Arroz irrigado'!$E67:$Z67,MIN(AX$6-$E$3,22))&lt;&gt;""),'Arroz irrigado'!$E67:INDEX('Arroz irrigado'!$E67:$Z67,MIN(AX$6-$E$3,22))),0))-IF($G$2,0,IF((AX$6-$G$3)&lt;1,0,IFERROR(LOOKUP(2,1/('Arroz irrigado'!$E67:INDEX('Arroz irrigado'!$E67:$Z67,MIN(AX$6-$G$3,22))&lt;&gt;""),'Arroz irrigado'!$E67:INDEX('Arroz irrigado'!$E67:$Z67,MIN(AX$6-$G$3,22))),0)))))</f>
        <v>0</v>
      </c>
      <c r="AY69" s="27" t="n">
        <f aca="false">IF(COUNT('Arroz irrigado'!$E67:$Z67)=0,0,MAX(0,IF((AY$6-$E$3)&lt;1,0,IFERROR(LOOKUP(2,1/('Arroz irrigado'!$E67:INDEX('Arroz irrigado'!$E67:$Z67,MIN(AY$6-$E$3,22))&lt;&gt;""),'Arroz irrigado'!$E67:INDEX('Arroz irrigado'!$E67:$Z67,MIN(AY$6-$E$3,22))),0))-IF($G$2,0,IF((AY$6-$G$3)&lt;1,0,IFERROR(LOOKUP(2,1/('Arroz irrigado'!$E67:INDEX('Arroz irrigado'!$E67:$Z67,MIN(AY$6-$G$3,22))&lt;&gt;""),'Arroz irrigado'!$E67:INDEX('Arroz irrigado'!$E67:$Z67,MIN(AY$6-$G$3,22))),0)))))</f>
        <v>0</v>
      </c>
      <c r="AZ69" s="27" t="n">
        <f aca="false">IF(COUNT('Arroz irrigado'!$E67:$Z67)=0,0,MAX(0,IF((AZ$6-$E$3)&lt;1,0,IFERROR(LOOKUP(2,1/('Arroz irrigado'!$E67:INDEX('Arroz irrigado'!$E67:$Z67,MIN(AZ$6-$E$3,22))&lt;&gt;""),'Arroz irrigado'!$E67:INDEX('Arroz irrigado'!$E67:$Z67,MIN(AZ$6-$E$3,22))),0))-IF($G$2,0,IF((AZ$6-$G$3)&lt;1,0,IFERROR(LOOKUP(2,1/('Arroz irrigado'!$E67:INDEX('Arroz irrigado'!$E67:$Z67,MIN(AZ$6-$G$3,22))&lt;&gt;""),'Arroz irrigado'!$E67:INDEX('Arroz irrigado'!$E67:$Z67,MIN(AZ$6-$G$3,22))),0)))))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IF(COUNT('Arroz irrigado'!$E68:$Z68)&gt;0,N('Arroz irrigado'!$D68),0)</f>
        <v>0</v>
      </c>
      <c r="E70" s="27" t="n">
        <f aca="false">IF(COUNT('Arroz irrigado'!$E68:$Z68)=0,0,MAX(0,IF((E$6-$E$3)&lt;1,0,IFERROR(LOOKUP(2,1/('Arroz irrigado'!$E68:INDEX('Arroz irrigado'!$E68:$Z68,MIN(E$6-$E$3,22))&lt;&gt;""),'Arroz irrigado'!$E68:INDEX('Arroz irrigado'!$E68:$Z68,MIN(E$6-$E$3,22))),0))-IF($G$2,0,IF((E$6-$G$3)&lt;1,0,IFERROR(LOOKUP(2,1/('Arroz irrigado'!$E68:INDEX('Arroz irrigado'!$E68:$Z68,MIN(E$6-$G$3,22))&lt;&gt;""),'Arroz irrigado'!$E68:INDEX('Arroz irrigado'!$E68:$Z68,MIN(E$6-$G$3,22))),0)))))</f>
        <v>0</v>
      </c>
      <c r="F70" s="27" t="n">
        <f aca="false">IF(COUNT('Arroz irrigado'!$E68:$Z68)=0,0,MAX(0,IF((F$6-$E$3)&lt;1,0,IFERROR(LOOKUP(2,1/('Arroz irrigado'!$E68:INDEX('Arroz irrigado'!$E68:$Z68,MIN(F$6-$E$3,22))&lt;&gt;""),'Arroz irrigado'!$E68:INDEX('Arroz irrigado'!$E68:$Z68,MIN(F$6-$E$3,22))),0))-IF($G$2,0,IF((F$6-$G$3)&lt;1,0,IFERROR(LOOKUP(2,1/('Arroz irrigado'!$E68:INDEX('Arroz irrigado'!$E68:$Z68,MIN(F$6-$G$3,22))&lt;&gt;""),'Arroz irrigado'!$E68:INDEX('Arroz irrigado'!$E68:$Z68,MIN(F$6-$G$3,22))),0)))))</f>
        <v>0</v>
      </c>
      <c r="G70" s="27" t="n">
        <f aca="false">IF(COUNT('Arroz irrigado'!$E68:$Z68)=0,0,MAX(0,IF((G$6-$E$3)&lt;1,0,IFERROR(LOOKUP(2,1/('Arroz irrigado'!$E68:INDEX('Arroz irrigado'!$E68:$Z68,MIN(G$6-$E$3,22))&lt;&gt;""),'Arroz irrigado'!$E68:INDEX('Arroz irrigado'!$E68:$Z68,MIN(G$6-$E$3,22))),0))-IF($G$2,0,IF((G$6-$G$3)&lt;1,0,IFERROR(LOOKUP(2,1/('Arroz irrigado'!$E68:INDEX('Arroz irrigado'!$E68:$Z68,MIN(G$6-$G$3,22))&lt;&gt;""),'Arroz irrigado'!$E68:INDEX('Arroz irrigado'!$E68:$Z68,MIN(G$6-$G$3,22))),0)))))</f>
        <v>0</v>
      </c>
      <c r="H70" s="27" t="n">
        <f aca="false">IF(COUNT('Arroz irrigado'!$E68:$Z68)=0,0,MAX(0,IF((H$6-$E$3)&lt;1,0,IFERROR(LOOKUP(2,1/('Arroz irrigado'!$E68:INDEX('Arroz irrigado'!$E68:$Z68,MIN(H$6-$E$3,22))&lt;&gt;""),'Arroz irrigado'!$E68:INDEX('Arroz irrigado'!$E68:$Z68,MIN(H$6-$E$3,22))),0))-IF($G$2,0,IF((H$6-$G$3)&lt;1,0,IFERROR(LOOKUP(2,1/('Arroz irrigado'!$E68:INDEX('Arroz irrigado'!$E68:$Z68,MIN(H$6-$G$3,22))&lt;&gt;""),'Arroz irrigado'!$E68:INDEX('Arroz irrigado'!$E68:$Z68,MIN(H$6-$G$3,22))),0)))))</f>
        <v>0</v>
      </c>
      <c r="I70" s="27" t="n">
        <f aca="false">IF(COUNT('Arroz irrigado'!$E68:$Z68)=0,0,MAX(0,IF((I$6-$E$3)&lt;1,0,IFERROR(LOOKUP(2,1/('Arroz irrigado'!$E68:INDEX('Arroz irrigado'!$E68:$Z68,MIN(I$6-$E$3,22))&lt;&gt;""),'Arroz irrigado'!$E68:INDEX('Arroz irrigado'!$E68:$Z68,MIN(I$6-$E$3,22))),0))-IF($G$2,0,IF((I$6-$G$3)&lt;1,0,IFERROR(LOOKUP(2,1/('Arroz irrigado'!$E68:INDEX('Arroz irrigado'!$E68:$Z68,MIN(I$6-$G$3,22))&lt;&gt;""),'Arroz irrigado'!$E68:INDEX('Arroz irrigado'!$E68:$Z68,MIN(I$6-$G$3,22))),0)))))</f>
        <v>0</v>
      </c>
      <c r="J70" s="27" t="n">
        <f aca="false">IF(COUNT('Arroz irrigado'!$E68:$Z68)=0,0,MAX(0,IF((J$6-$E$3)&lt;1,0,IFERROR(LOOKUP(2,1/('Arroz irrigado'!$E68:INDEX('Arroz irrigado'!$E68:$Z68,MIN(J$6-$E$3,22))&lt;&gt;""),'Arroz irrigado'!$E68:INDEX('Arroz irrigado'!$E68:$Z68,MIN(J$6-$E$3,22))),0))-IF($G$2,0,IF((J$6-$G$3)&lt;1,0,IFERROR(LOOKUP(2,1/('Arroz irrigado'!$E68:INDEX('Arroz irrigado'!$E68:$Z68,MIN(J$6-$G$3,22))&lt;&gt;""),'Arroz irrigado'!$E68:INDEX('Arroz irrigado'!$E68:$Z68,MIN(J$6-$G$3,22))),0)))))</f>
        <v>0</v>
      </c>
      <c r="K70" s="27" t="n">
        <f aca="false">IF(COUNT('Arroz irrigado'!$E68:$Z68)=0,0,MAX(0,IF((K$6-$E$3)&lt;1,0,IFERROR(LOOKUP(2,1/('Arroz irrigado'!$E68:INDEX('Arroz irrigado'!$E68:$Z68,MIN(K$6-$E$3,22))&lt;&gt;""),'Arroz irrigado'!$E68:INDEX('Arroz irrigado'!$E68:$Z68,MIN(K$6-$E$3,22))),0))-IF($G$2,0,IF((K$6-$G$3)&lt;1,0,IFERROR(LOOKUP(2,1/('Arroz irrigado'!$E68:INDEX('Arroz irrigado'!$E68:$Z68,MIN(K$6-$G$3,22))&lt;&gt;""),'Arroz irrigado'!$E68:INDEX('Arroz irrigado'!$E68:$Z68,MIN(K$6-$G$3,22))),0)))))</f>
        <v>0</v>
      </c>
      <c r="L70" s="27" t="n">
        <f aca="false">IF(COUNT('Arroz irrigado'!$E68:$Z68)=0,0,MAX(0,IF((L$6-$E$3)&lt;1,0,IFERROR(LOOKUP(2,1/('Arroz irrigado'!$E68:INDEX('Arroz irrigado'!$E68:$Z68,MIN(L$6-$E$3,22))&lt;&gt;""),'Arroz irrigado'!$E68:INDEX('Arroz irrigado'!$E68:$Z68,MIN(L$6-$E$3,22))),0))-IF($G$2,0,IF((L$6-$G$3)&lt;1,0,IFERROR(LOOKUP(2,1/('Arroz irrigado'!$E68:INDEX('Arroz irrigado'!$E68:$Z68,MIN(L$6-$G$3,22))&lt;&gt;""),'Arroz irrigado'!$E68:INDEX('Arroz irrigado'!$E68:$Z68,MIN(L$6-$G$3,22))),0)))))</f>
        <v>0</v>
      </c>
      <c r="M70" s="27" t="n">
        <f aca="false">IF(COUNT('Arroz irrigado'!$E68:$Z68)=0,0,MAX(0,IF((M$6-$E$3)&lt;1,0,IFERROR(LOOKUP(2,1/('Arroz irrigado'!$E68:INDEX('Arroz irrigado'!$E68:$Z68,MIN(M$6-$E$3,22))&lt;&gt;""),'Arroz irrigado'!$E68:INDEX('Arroz irrigado'!$E68:$Z68,MIN(M$6-$E$3,22))),0))-IF($G$2,0,IF((M$6-$G$3)&lt;1,0,IFERROR(LOOKUP(2,1/('Arroz irrigado'!$E68:INDEX('Arroz irrigado'!$E68:$Z68,MIN(M$6-$G$3,22))&lt;&gt;""),'Arroz irrigado'!$E68:INDEX('Arroz irrigado'!$E68:$Z68,MIN(M$6-$G$3,22))),0)))))</f>
        <v>0</v>
      </c>
      <c r="N70" s="27" t="n">
        <f aca="false">IF(COUNT('Arroz irrigado'!$E68:$Z68)=0,0,MAX(0,IF((N$6-$E$3)&lt;1,0,IFERROR(LOOKUP(2,1/('Arroz irrigado'!$E68:INDEX('Arroz irrigado'!$E68:$Z68,MIN(N$6-$E$3,22))&lt;&gt;""),'Arroz irrigado'!$E68:INDEX('Arroz irrigado'!$E68:$Z68,MIN(N$6-$E$3,22))),0))-IF($G$2,0,IF((N$6-$G$3)&lt;1,0,IFERROR(LOOKUP(2,1/('Arroz irrigado'!$E68:INDEX('Arroz irrigado'!$E68:$Z68,MIN(N$6-$G$3,22))&lt;&gt;""),'Arroz irrigado'!$E68:INDEX('Arroz irrigado'!$E68:$Z68,MIN(N$6-$G$3,22))),0)))))</f>
        <v>0</v>
      </c>
      <c r="O70" s="27" t="n">
        <f aca="false">IF(COUNT('Arroz irrigado'!$E68:$Z68)=0,0,MAX(0,IF((O$6-$E$3)&lt;1,0,IFERROR(LOOKUP(2,1/('Arroz irrigado'!$E68:INDEX('Arroz irrigado'!$E68:$Z68,MIN(O$6-$E$3,22))&lt;&gt;""),'Arroz irrigado'!$E68:INDEX('Arroz irrigado'!$E68:$Z68,MIN(O$6-$E$3,22))),0))-IF($G$2,0,IF((O$6-$G$3)&lt;1,0,IFERROR(LOOKUP(2,1/('Arroz irrigado'!$E68:INDEX('Arroz irrigado'!$E68:$Z68,MIN(O$6-$G$3,22))&lt;&gt;""),'Arroz irrigado'!$E68:INDEX('Arroz irrigado'!$E68:$Z68,MIN(O$6-$G$3,22))),0)))))</f>
        <v>0</v>
      </c>
      <c r="P70" s="27" t="n">
        <f aca="false">IF(COUNT('Arroz irrigado'!$E68:$Z68)=0,0,MAX(0,IF((P$6-$E$3)&lt;1,0,IFERROR(LOOKUP(2,1/('Arroz irrigado'!$E68:INDEX('Arroz irrigado'!$E68:$Z68,MIN(P$6-$E$3,22))&lt;&gt;""),'Arroz irrigado'!$E68:INDEX('Arroz irrigado'!$E68:$Z68,MIN(P$6-$E$3,22))),0))-IF($G$2,0,IF((P$6-$G$3)&lt;1,0,IFERROR(LOOKUP(2,1/('Arroz irrigado'!$E68:INDEX('Arroz irrigado'!$E68:$Z68,MIN(P$6-$G$3,22))&lt;&gt;""),'Arroz irrigado'!$E68:INDEX('Arroz irrigado'!$E68:$Z68,MIN(P$6-$G$3,22))),0)))))</f>
        <v>0</v>
      </c>
      <c r="Q70" s="27" t="n">
        <f aca="false">IF(COUNT('Arroz irrigado'!$E68:$Z68)=0,0,MAX(0,IF((Q$6-$E$3)&lt;1,0,IFERROR(LOOKUP(2,1/('Arroz irrigado'!$E68:INDEX('Arroz irrigado'!$E68:$Z68,MIN(Q$6-$E$3,22))&lt;&gt;""),'Arroz irrigado'!$E68:INDEX('Arroz irrigado'!$E68:$Z68,MIN(Q$6-$E$3,22))),0))-IF($G$2,0,IF((Q$6-$G$3)&lt;1,0,IFERROR(LOOKUP(2,1/('Arroz irrigado'!$E68:INDEX('Arroz irrigado'!$E68:$Z68,MIN(Q$6-$G$3,22))&lt;&gt;""),'Arroz irrigado'!$E68:INDEX('Arroz irrigado'!$E68:$Z68,MIN(Q$6-$G$3,22))),0)))))</f>
        <v>0</v>
      </c>
      <c r="R70" s="27" t="n">
        <f aca="false">IF(COUNT('Arroz irrigado'!$E68:$Z68)=0,0,MAX(0,IF((R$6-$E$3)&lt;1,0,IFERROR(LOOKUP(2,1/('Arroz irrigado'!$E68:INDEX('Arroz irrigado'!$E68:$Z68,MIN(R$6-$E$3,22))&lt;&gt;""),'Arroz irrigado'!$E68:INDEX('Arroz irrigado'!$E68:$Z68,MIN(R$6-$E$3,22))),0))-IF($G$2,0,IF((R$6-$G$3)&lt;1,0,IFERROR(LOOKUP(2,1/('Arroz irrigado'!$E68:INDEX('Arroz irrigado'!$E68:$Z68,MIN(R$6-$G$3,22))&lt;&gt;""),'Arroz irrigado'!$E68:INDEX('Arroz irrigado'!$E68:$Z68,MIN(R$6-$G$3,22))),0)))))</f>
        <v>0</v>
      </c>
      <c r="S70" s="27" t="n">
        <f aca="false">IF(COUNT('Arroz irrigado'!$E68:$Z68)=0,0,MAX(0,IF((S$6-$E$3)&lt;1,0,IFERROR(LOOKUP(2,1/('Arroz irrigado'!$E68:INDEX('Arroz irrigado'!$E68:$Z68,MIN(S$6-$E$3,22))&lt;&gt;""),'Arroz irrigado'!$E68:INDEX('Arroz irrigado'!$E68:$Z68,MIN(S$6-$E$3,22))),0))-IF($G$2,0,IF((S$6-$G$3)&lt;1,0,IFERROR(LOOKUP(2,1/('Arroz irrigado'!$E68:INDEX('Arroz irrigado'!$E68:$Z68,MIN(S$6-$G$3,22))&lt;&gt;""),'Arroz irrigado'!$E68:INDEX('Arroz irrigado'!$E68:$Z68,MIN(S$6-$G$3,22))),0)))))</f>
        <v>0</v>
      </c>
      <c r="T70" s="27" t="n">
        <f aca="false">IF(COUNT('Arroz irrigado'!$E68:$Z68)=0,0,MAX(0,IF((T$6-$E$3)&lt;1,0,IFERROR(LOOKUP(2,1/('Arroz irrigado'!$E68:INDEX('Arroz irrigado'!$E68:$Z68,MIN(T$6-$E$3,22))&lt;&gt;""),'Arroz irrigado'!$E68:INDEX('Arroz irrigado'!$E68:$Z68,MIN(T$6-$E$3,22))),0))-IF($G$2,0,IF((T$6-$G$3)&lt;1,0,IFERROR(LOOKUP(2,1/('Arroz irrigado'!$E68:INDEX('Arroz irrigado'!$E68:$Z68,MIN(T$6-$G$3,22))&lt;&gt;""),'Arroz irrigado'!$E68:INDEX('Arroz irrigado'!$E68:$Z68,MIN(T$6-$G$3,22))),0)))))</f>
        <v>0</v>
      </c>
      <c r="U70" s="27" t="n">
        <f aca="false">IF(COUNT('Arroz irrigado'!$E68:$Z68)=0,0,MAX(0,IF((U$6-$E$3)&lt;1,0,IFERROR(LOOKUP(2,1/('Arroz irrigado'!$E68:INDEX('Arroz irrigado'!$E68:$Z68,MIN(U$6-$E$3,22))&lt;&gt;""),'Arroz irrigado'!$E68:INDEX('Arroz irrigado'!$E68:$Z68,MIN(U$6-$E$3,22))),0))-IF($G$2,0,IF((U$6-$G$3)&lt;1,0,IFERROR(LOOKUP(2,1/('Arroz irrigado'!$E68:INDEX('Arroz irrigado'!$E68:$Z68,MIN(U$6-$G$3,22))&lt;&gt;""),'Arroz irrigado'!$E68:INDEX('Arroz irrigado'!$E68:$Z68,MIN(U$6-$G$3,22))),0)))))</f>
        <v>0</v>
      </c>
      <c r="V70" s="27" t="n">
        <f aca="false">IF(COUNT('Arroz irrigado'!$E68:$Z68)=0,0,MAX(0,IF((V$6-$E$3)&lt;1,0,IFERROR(LOOKUP(2,1/('Arroz irrigado'!$E68:INDEX('Arroz irrigado'!$E68:$Z68,MIN(V$6-$E$3,22))&lt;&gt;""),'Arroz irrigado'!$E68:INDEX('Arroz irrigado'!$E68:$Z68,MIN(V$6-$E$3,22))),0))-IF($G$2,0,IF((V$6-$G$3)&lt;1,0,IFERROR(LOOKUP(2,1/('Arroz irrigado'!$E68:INDEX('Arroz irrigado'!$E68:$Z68,MIN(V$6-$G$3,22))&lt;&gt;""),'Arroz irrigado'!$E68:INDEX('Arroz irrigado'!$E68:$Z68,MIN(V$6-$G$3,22))),0)))))</f>
        <v>0</v>
      </c>
      <c r="W70" s="27" t="n">
        <f aca="false">IF(COUNT('Arroz irrigado'!$E68:$Z68)=0,0,MAX(0,IF((W$6-$E$3)&lt;1,0,IFERROR(LOOKUP(2,1/('Arroz irrigado'!$E68:INDEX('Arroz irrigado'!$E68:$Z68,MIN(W$6-$E$3,22))&lt;&gt;""),'Arroz irrigado'!$E68:INDEX('Arroz irrigado'!$E68:$Z68,MIN(W$6-$E$3,22))),0))-IF($G$2,0,IF((W$6-$G$3)&lt;1,0,IFERROR(LOOKUP(2,1/('Arroz irrigado'!$E68:INDEX('Arroz irrigado'!$E68:$Z68,MIN(W$6-$G$3,22))&lt;&gt;""),'Arroz irrigado'!$E68:INDEX('Arroz irrigado'!$E68:$Z68,MIN(W$6-$G$3,22))),0)))))</f>
        <v>0</v>
      </c>
      <c r="X70" s="27" t="n">
        <f aca="false">IF(COUNT('Arroz irrigado'!$E68:$Z68)=0,0,MAX(0,IF((X$6-$E$3)&lt;1,0,IFERROR(LOOKUP(2,1/('Arroz irrigado'!$E68:INDEX('Arroz irrigado'!$E68:$Z68,MIN(X$6-$E$3,22))&lt;&gt;""),'Arroz irrigado'!$E68:INDEX('Arroz irrigado'!$E68:$Z68,MIN(X$6-$E$3,22))),0))-IF($G$2,0,IF((X$6-$G$3)&lt;1,0,IFERROR(LOOKUP(2,1/('Arroz irrigado'!$E68:INDEX('Arroz irrigado'!$E68:$Z68,MIN(X$6-$G$3,22))&lt;&gt;""),'Arroz irrigado'!$E68:INDEX('Arroz irrigado'!$E68:$Z68,MIN(X$6-$G$3,22))),0)))))</f>
        <v>0</v>
      </c>
      <c r="Y70" s="27" t="n">
        <f aca="false">IF(COUNT('Arroz irrigado'!$E68:$Z68)=0,0,MAX(0,IF((Y$6-$E$3)&lt;1,0,IFERROR(LOOKUP(2,1/('Arroz irrigado'!$E68:INDEX('Arroz irrigado'!$E68:$Z68,MIN(Y$6-$E$3,22))&lt;&gt;""),'Arroz irrigado'!$E68:INDEX('Arroz irrigado'!$E68:$Z68,MIN(Y$6-$E$3,22))),0))-IF($G$2,0,IF((Y$6-$G$3)&lt;1,0,IFERROR(LOOKUP(2,1/('Arroz irrigado'!$E68:INDEX('Arroz irrigado'!$E68:$Z68,MIN(Y$6-$G$3,22))&lt;&gt;""),'Arroz irrigado'!$E68:INDEX('Arroz irrigado'!$E68:$Z68,MIN(Y$6-$G$3,22))),0)))))</f>
        <v>0</v>
      </c>
      <c r="Z70" s="27" t="n">
        <f aca="false">IF(COUNT('Arroz irrigado'!$E68:$Z68)=0,0,MAX(0,IF((Z$6-$E$3)&lt;1,0,IFERROR(LOOKUP(2,1/('Arroz irrigado'!$E68:INDEX('Arroz irrigado'!$E68:$Z68,MIN(Z$6-$E$3,22))&lt;&gt;""),'Arroz irrigado'!$E68:INDEX('Arroz irrigado'!$E68:$Z68,MIN(Z$6-$E$3,22))),0))-IF($G$2,0,IF((Z$6-$G$3)&lt;1,0,IFERROR(LOOKUP(2,1/('Arroz irrigado'!$E68:INDEX('Arroz irrigado'!$E68:$Z68,MIN(Z$6-$G$3,22))&lt;&gt;""),'Arroz irrigado'!$E68:INDEX('Arroz irrigado'!$E68:$Z68,MIN(Z$6-$G$3,22))),0)))))</f>
        <v>0</v>
      </c>
      <c r="AA70" s="27" t="n">
        <f aca="false">IF(COUNT('Arroz irrigado'!$E68:$Z68)=0,0,MAX(0,IF((AA$6-$E$3)&lt;1,0,IFERROR(LOOKUP(2,1/('Arroz irrigado'!$E68:INDEX('Arroz irrigado'!$E68:$Z68,MIN(AA$6-$E$3,22))&lt;&gt;""),'Arroz irrigado'!$E68:INDEX('Arroz irrigado'!$E68:$Z68,MIN(AA$6-$E$3,22))),0))-IF($G$2,0,IF((AA$6-$G$3)&lt;1,0,IFERROR(LOOKUP(2,1/('Arroz irrigado'!$E68:INDEX('Arroz irrigado'!$E68:$Z68,MIN(AA$6-$G$3,22))&lt;&gt;""),'Arroz irrigado'!$E68:INDEX('Arroz irrigado'!$E68:$Z68,MIN(AA$6-$G$3,22))),0)))))</f>
        <v>0</v>
      </c>
      <c r="AB70" s="27" t="n">
        <f aca="false">IF(COUNT('Arroz irrigado'!$E68:$Z68)=0,0,MAX(0,IF((AB$6-$E$3)&lt;1,0,IFERROR(LOOKUP(2,1/('Arroz irrigado'!$E68:INDEX('Arroz irrigado'!$E68:$Z68,MIN(AB$6-$E$3,22))&lt;&gt;""),'Arroz irrigado'!$E68:INDEX('Arroz irrigado'!$E68:$Z68,MIN(AB$6-$E$3,22))),0))-IF($G$2,0,IF((AB$6-$G$3)&lt;1,0,IFERROR(LOOKUP(2,1/('Arroz irrigado'!$E68:INDEX('Arroz irrigado'!$E68:$Z68,MIN(AB$6-$G$3,22))&lt;&gt;""),'Arroz irrigado'!$E68:INDEX('Arroz irrigado'!$E68:$Z68,MIN(AB$6-$G$3,22))),0)))))</f>
        <v>0</v>
      </c>
      <c r="AC70" s="27" t="n">
        <f aca="false">IF(COUNT('Arroz irrigado'!$E68:$Z68)=0,0,MAX(0,IF((AC$6-$E$3)&lt;1,0,IFERROR(LOOKUP(2,1/('Arroz irrigado'!$E68:INDEX('Arroz irrigado'!$E68:$Z68,MIN(AC$6-$E$3,22))&lt;&gt;""),'Arroz irrigado'!$E68:INDEX('Arroz irrigado'!$E68:$Z68,MIN(AC$6-$E$3,22))),0))-IF($G$2,0,IF((AC$6-$G$3)&lt;1,0,IFERROR(LOOKUP(2,1/('Arroz irrigado'!$E68:INDEX('Arroz irrigado'!$E68:$Z68,MIN(AC$6-$G$3,22))&lt;&gt;""),'Arroz irrigado'!$E68:INDEX('Arroz irrigado'!$E68:$Z68,MIN(AC$6-$G$3,22))),0)))))</f>
        <v>0</v>
      </c>
      <c r="AD70" s="27" t="n">
        <f aca="false">IF(COUNT('Arroz irrigado'!$E68:$Z68)=0,0,MAX(0,IF((AD$6-$E$3)&lt;1,0,IFERROR(LOOKUP(2,1/('Arroz irrigado'!$E68:INDEX('Arroz irrigado'!$E68:$Z68,MIN(AD$6-$E$3,22))&lt;&gt;""),'Arroz irrigado'!$E68:INDEX('Arroz irrigado'!$E68:$Z68,MIN(AD$6-$E$3,22))),0))-IF($G$2,0,IF((AD$6-$G$3)&lt;1,0,IFERROR(LOOKUP(2,1/('Arroz irrigado'!$E68:INDEX('Arroz irrigado'!$E68:$Z68,MIN(AD$6-$G$3,22))&lt;&gt;""),'Arroz irrigado'!$E68:INDEX('Arroz irrigado'!$E68:$Z68,MIN(AD$6-$G$3,22))),0)))))</f>
        <v>0</v>
      </c>
      <c r="AE70" s="27" t="n">
        <f aca="false">IF(COUNT('Arroz irrigado'!$E68:$Z68)=0,0,MAX(0,IF((AE$6-$E$3)&lt;1,0,IFERROR(LOOKUP(2,1/('Arroz irrigado'!$E68:INDEX('Arroz irrigado'!$E68:$Z68,MIN(AE$6-$E$3,22))&lt;&gt;""),'Arroz irrigado'!$E68:INDEX('Arroz irrigado'!$E68:$Z68,MIN(AE$6-$E$3,22))),0))-IF($G$2,0,IF((AE$6-$G$3)&lt;1,0,IFERROR(LOOKUP(2,1/('Arroz irrigado'!$E68:INDEX('Arroz irrigado'!$E68:$Z68,MIN(AE$6-$G$3,22))&lt;&gt;""),'Arroz irrigado'!$E68:INDEX('Arroz irrigado'!$E68:$Z68,MIN(AE$6-$G$3,22))),0)))))</f>
        <v>0</v>
      </c>
      <c r="AF70" s="27" t="n">
        <f aca="false">IF(COUNT('Arroz irrigado'!$E68:$Z68)=0,0,MAX(0,IF((AF$6-$E$3)&lt;1,0,IFERROR(LOOKUP(2,1/('Arroz irrigado'!$E68:INDEX('Arroz irrigado'!$E68:$Z68,MIN(AF$6-$E$3,22))&lt;&gt;""),'Arroz irrigado'!$E68:INDEX('Arroz irrigado'!$E68:$Z68,MIN(AF$6-$E$3,22))),0))-IF($G$2,0,IF((AF$6-$G$3)&lt;1,0,IFERROR(LOOKUP(2,1/('Arroz irrigado'!$E68:INDEX('Arroz irrigado'!$E68:$Z68,MIN(AF$6-$G$3,22))&lt;&gt;""),'Arroz irrigado'!$E68:INDEX('Arroz irrigado'!$E68:$Z68,MIN(AF$6-$G$3,22))),0)))))</f>
        <v>0</v>
      </c>
      <c r="AG70" s="27" t="n">
        <f aca="false">IF(COUNT('Arroz irrigado'!$E68:$Z68)=0,0,MAX(0,IF((AG$6-$E$3)&lt;1,0,IFERROR(LOOKUP(2,1/('Arroz irrigado'!$E68:INDEX('Arroz irrigado'!$E68:$Z68,MIN(AG$6-$E$3,22))&lt;&gt;""),'Arroz irrigado'!$E68:INDEX('Arroz irrigado'!$E68:$Z68,MIN(AG$6-$E$3,22))),0))-IF($G$2,0,IF((AG$6-$G$3)&lt;1,0,IFERROR(LOOKUP(2,1/('Arroz irrigado'!$E68:INDEX('Arroz irrigado'!$E68:$Z68,MIN(AG$6-$G$3,22))&lt;&gt;""),'Arroz irrigado'!$E68:INDEX('Arroz irrigado'!$E68:$Z68,MIN(AG$6-$G$3,22))),0)))))</f>
        <v>0</v>
      </c>
      <c r="AH70" s="27" t="n">
        <f aca="false">IF(COUNT('Arroz irrigado'!$E68:$Z68)=0,0,MAX(0,IF((AH$6-$E$3)&lt;1,0,IFERROR(LOOKUP(2,1/('Arroz irrigado'!$E68:INDEX('Arroz irrigado'!$E68:$Z68,MIN(AH$6-$E$3,22))&lt;&gt;""),'Arroz irrigado'!$E68:INDEX('Arroz irrigado'!$E68:$Z68,MIN(AH$6-$E$3,22))),0))-IF($G$2,0,IF((AH$6-$G$3)&lt;1,0,IFERROR(LOOKUP(2,1/('Arroz irrigado'!$E68:INDEX('Arroz irrigado'!$E68:$Z68,MIN(AH$6-$G$3,22))&lt;&gt;""),'Arroz irrigado'!$E68:INDEX('Arroz irrigado'!$E68:$Z68,MIN(AH$6-$G$3,22))),0)))))</f>
        <v>0</v>
      </c>
      <c r="AI70" s="27" t="n">
        <f aca="false">IF(COUNT('Arroz irrigado'!$E68:$Z68)=0,0,MAX(0,IF((AI$6-$E$3)&lt;1,0,IFERROR(LOOKUP(2,1/('Arroz irrigado'!$E68:INDEX('Arroz irrigado'!$E68:$Z68,MIN(AI$6-$E$3,22))&lt;&gt;""),'Arroz irrigado'!$E68:INDEX('Arroz irrigado'!$E68:$Z68,MIN(AI$6-$E$3,22))),0))-IF($G$2,0,IF((AI$6-$G$3)&lt;1,0,IFERROR(LOOKUP(2,1/('Arroz irrigado'!$E68:INDEX('Arroz irrigado'!$E68:$Z68,MIN(AI$6-$G$3,22))&lt;&gt;""),'Arroz irrigado'!$E68:INDEX('Arroz irrigado'!$E68:$Z68,MIN(AI$6-$G$3,22))),0)))))</f>
        <v>0</v>
      </c>
      <c r="AJ70" s="27" t="n">
        <f aca="false">IF(COUNT('Arroz irrigado'!$E68:$Z68)=0,0,MAX(0,IF((AJ$6-$E$3)&lt;1,0,IFERROR(LOOKUP(2,1/('Arroz irrigado'!$E68:INDEX('Arroz irrigado'!$E68:$Z68,MIN(AJ$6-$E$3,22))&lt;&gt;""),'Arroz irrigado'!$E68:INDEX('Arroz irrigado'!$E68:$Z68,MIN(AJ$6-$E$3,22))),0))-IF($G$2,0,IF((AJ$6-$G$3)&lt;1,0,IFERROR(LOOKUP(2,1/('Arroz irrigado'!$E68:INDEX('Arroz irrigado'!$E68:$Z68,MIN(AJ$6-$G$3,22))&lt;&gt;""),'Arroz irrigado'!$E68:INDEX('Arroz irrigado'!$E68:$Z68,MIN(AJ$6-$G$3,22))),0)))))</f>
        <v>0</v>
      </c>
      <c r="AK70" s="27" t="n">
        <f aca="false">IF(COUNT('Arroz irrigado'!$E68:$Z68)=0,0,MAX(0,IF((AK$6-$E$3)&lt;1,0,IFERROR(LOOKUP(2,1/('Arroz irrigado'!$E68:INDEX('Arroz irrigado'!$E68:$Z68,MIN(AK$6-$E$3,22))&lt;&gt;""),'Arroz irrigado'!$E68:INDEX('Arroz irrigado'!$E68:$Z68,MIN(AK$6-$E$3,22))),0))-IF($G$2,0,IF((AK$6-$G$3)&lt;1,0,IFERROR(LOOKUP(2,1/('Arroz irrigado'!$E68:INDEX('Arroz irrigado'!$E68:$Z68,MIN(AK$6-$G$3,22))&lt;&gt;""),'Arroz irrigado'!$E68:INDEX('Arroz irrigado'!$E68:$Z68,MIN(AK$6-$G$3,22))),0)))))</f>
        <v>0</v>
      </c>
      <c r="AL70" s="27" t="n">
        <f aca="false">IF(COUNT('Arroz irrigado'!$E68:$Z68)=0,0,MAX(0,IF((AL$6-$E$3)&lt;1,0,IFERROR(LOOKUP(2,1/('Arroz irrigado'!$E68:INDEX('Arroz irrigado'!$E68:$Z68,MIN(AL$6-$E$3,22))&lt;&gt;""),'Arroz irrigado'!$E68:INDEX('Arroz irrigado'!$E68:$Z68,MIN(AL$6-$E$3,22))),0))-IF($G$2,0,IF((AL$6-$G$3)&lt;1,0,IFERROR(LOOKUP(2,1/('Arroz irrigado'!$E68:INDEX('Arroz irrigado'!$E68:$Z68,MIN(AL$6-$G$3,22))&lt;&gt;""),'Arroz irrigado'!$E68:INDEX('Arroz irrigado'!$E68:$Z68,MIN(AL$6-$G$3,22))),0)))))</f>
        <v>0</v>
      </c>
      <c r="AM70" s="27" t="n">
        <f aca="false">IF(COUNT('Arroz irrigado'!$E68:$Z68)=0,0,MAX(0,IF((AM$6-$E$3)&lt;1,0,IFERROR(LOOKUP(2,1/('Arroz irrigado'!$E68:INDEX('Arroz irrigado'!$E68:$Z68,MIN(AM$6-$E$3,22))&lt;&gt;""),'Arroz irrigado'!$E68:INDEX('Arroz irrigado'!$E68:$Z68,MIN(AM$6-$E$3,22))),0))-IF($G$2,0,IF((AM$6-$G$3)&lt;1,0,IFERROR(LOOKUP(2,1/('Arroz irrigado'!$E68:INDEX('Arroz irrigado'!$E68:$Z68,MIN(AM$6-$G$3,22))&lt;&gt;""),'Arroz irrigado'!$E68:INDEX('Arroz irrigado'!$E68:$Z68,MIN(AM$6-$G$3,22))),0)))))</f>
        <v>0</v>
      </c>
      <c r="AN70" s="27" t="n">
        <f aca="false">IF(COUNT('Arroz irrigado'!$E68:$Z68)=0,0,MAX(0,IF((AN$6-$E$3)&lt;1,0,IFERROR(LOOKUP(2,1/('Arroz irrigado'!$E68:INDEX('Arroz irrigado'!$E68:$Z68,MIN(AN$6-$E$3,22))&lt;&gt;""),'Arroz irrigado'!$E68:INDEX('Arroz irrigado'!$E68:$Z68,MIN(AN$6-$E$3,22))),0))-IF($G$2,0,IF((AN$6-$G$3)&lt;1,0,IFERROR(LOOKUP(2,1/('Arroz irrigado'!$E68:INDEX('Arroz irrigado'!$E68:$Z68,MIN(AN$6-$G$3,22))&lt;&gt;""),'Arroz irrigado'!$E68:INDEX('Arroz irrigado'!$E68:$Z68,MIN(AN$6-$G$3,22))),0)))))</f>
        <v>0</v>
      </c>
      <c r="AO70" s="27" t="n">
        <f aca="false">IF(COUNT('Arroz irrigado'!$E68:$Z68)=0,0,MAX(0,IF((AO$6-$E$3)&lt;1,0,IFERROR(LOOKUP(2,1/('Arroz irrigado'!$E68:INDEX('Arroz irrigado'!$E68:$Z68,MIN(AO$6-$E$3,22))&lt;&gt;""),'Arroz irrigado'!$E68:INDEX('Arroz irrigado'!$E68:$Z68,MIN(AO$6-$E$3,22))),0))-IF($G$2,0,IF((AO$6-$G$3)&lt;1,0,IFERROR(LOOKUP(2,1/('Arroz irrigado'!$E68:INDEX('Arroz irrigado'!$E68:$Z68,MIN(AO$6-$G$3,22))&lt;&gt;""),'Arroz irrigado'!$E68:INDEX('Arroz irrigado'!$E68:$Z68,MIN(AO$6-$G$3,22))),0)))))</f>
        <v>0</v>
      </c>
      <c r="AP70" s="27" t="n">
        <f aca="false">IF(COUNT('Arroz irrigado'!$E68:$Z68)=0,0,MAX(0,IF((AP$6-$E$3)&lt;1,0,IFERROR(LOOKUP(2,1/('Arroz irrigado'!$E68:INDEX('Arroz irrigado'!$E68:$Z68,MIN(AP$6-$E$3,22))&lt;&gt;""),'Arroz irrigado'!$E68:INDEX('Arroz irrigado'!$E68:$Z68,MIN(AP$6-$E$3,22))),0))-IF($G$2,0,IF((AP$6-$G$3)&lt;1,0,IFERROR(LOOKUP(2,1/('Arroz irrigado'!$E68:INDEX('Arroz irrigado'!$E68:$Z68,MIN(AP$6-$G$3,22))&lt;&gt;""),'Arroz irrigado'!$E68:INDEX('Arroz irrigado'!$E68:$Z68,MIN(AP$6-$G$3,22))),0)))))</f>
        <v>0</v>
      </c>
      <c r="AQ70" s="27" t="n">
        <f aca="false">IF(COUNT('Arroz irrigado'!$E68:$Z68)=0,0,MAX(0,IF((AQ$6-$E$3)&lt;1,0,IFERROR(LOOKUP(2,1/('Arroz irrigado'!$E68:INDEX('Arroz irrigado'!$E68:$Z68,MIN(AQ$6-$E$3,22))&lt;&gt;""),'Arroz irrigado'!$E68:INDEX('Arroz irrigado'!$E68:$Z68,MIN(AQ$6-$E$3,22))),0))-IF($G$2,0,IF((AQ$6-$G$3)&lt;1,0,IFERROR(LOOKUP(2,1/('Arroz irrigado'!$E68:INDEX('Arroz irrigado'!$E68:$Z68,MIN(AQ$6-$G$3,22))&lt;&gt;""),'Arroz irrigado'!$E68:INDEX('Arroz irrigado'!$E68:$Z68,MIN(AQ$6-$G$3,22))),0)))))</f>
        <v>0</v>
      </c>
      <c r="AR70" s="27" t="n">
        <f aca="false">IF(COUNT('Arroz irrigado'!$E68:$Z68)=0,0,MAX(0,IF((AR$6-$E$3)&lt;1,0,IFERROR(LOOKUP(2,1/('Arroz irrigado'!$E68:INDEX('Arroz irrigado'!$E68:$Z68,MIN(AR$6-$E$3,22))&lt;&gt;""),'Arroz irrigado'!$E68:INDEX('Arroz irrigado'!$E68:$Z68,MIN(AR$6-$E$3,22))),0))-IF($G$2,0,IF((AR$6-$G$3)&lt;1,0,IFERROR(LOOKUP(2,1/('Arroz irrigado'!$E68:INDEX('Arroz irrigado'!$E68:$Z68,MIN(AR$6-$G$3,22))&lt;&gt;""),'Arroz irrigado'!$E68:INDEX('Arroz irrigado'!$E68:$Z68,MIN(AR$6-$G$3,22))),0)))))</f>
        <v>0</v>
      </c>
      <c r="AS70" s="27" t="n">
        <f aca="false">IF(COUNT('Arroz irrigado'!$E68:$Z68)=0,0,MAX(0,IF((AS$6-$E$3)&lt;1,0,IFERROR(LOOKUP(2,1/('Arroz irrigado'!$E68:INDEX('Arroz irrigado'!$E68:$Z68,MIN(AS$6-$E$3,22))&lt;&gt;""),'Arroz irrigado'!$E68:INDEX('Arroz irrigado'!$E68:$Z68,MIN(AS$6-$E$3,22))),0))-IF($G$2,0,IF((AS$6-$G$3)&lt;1,0,IFERROR(LOOKUP(2,1/('Arroz irrigado'!$E68:INDEX('Arroz irrigado'!$E68:$Z68,MIN(AS$6-$G$3,22))&lt;&gt;""),'Arroz irrigado'!$E68:INDEX('Arroz irrigado'!$E68:$Z68,MIN(AS$6-$G$3,22))),0)))))</f>
        <v>0</v>
      </c>
      <c r="AT70" s="27" t="n">
        <f aca="false">IF(COUNT('Arroz irrigado'!$E68:$Z68)=0,0,MAX(0,IF((AT$6-$E$3)&lt;1,0,IFERROR(LOOKUP(2,1/('Arroz irrigado'!$E68:INDEX('Arroz irrigado'!$E68:$Z68,MIN(AT$6-$E$3,22))&lt;&gt;""),'Arroz irrigado'!$E68:INDEX('Arroz irrigado'!$E68:$Z68,MIN(AT$6-$E$3,22))),0))-IF($G$2,0,IF((AT$6-$G$3)&lt;1,0,IFERROR(LOOKUP(2,1/('Arroz irrigado'!$E68:INDEX('Arroz irrigado'!$E68:$Z68,MIN(AT$6-$G$3,22))&lt;&gt;""),'Arroz irrigado'!$E68:INDEX('Arroz irrigado'!$E68:$Z68,MIN(AT$6-$G$3,22))),0)))))</f>
        <v>0</v>
      </c>
      <c r="AU70" s="27" t="n">
        <f aca="false">IF(COUNT('Arroz irrigado'!$E68:$Z68)=0,0,MAX(0,IF((AU$6-$E$3)&lt;1,0,IFERROR(LOOKUP(2,1/('Arroz irrigado'!$E68:INDEX('Arroz irrigado'!$E68:$Z68,MIN(AU$6-$E$3,22))&lt;&gt;""),'Arroz irrigado'!$E68:INDEX('Arroz irrigado'!$E68:$Z68,MIN(AU$6-$E$3,22))),0))-IF($G$2,0,IF((AU$6-$G$3)&lt;1,0,IFERROR(LOOKUP(2,1/('Arroz irrigado'!$E68:INDEX('Arroz irrigado'!$E68:$Z68,MIN(AU$6-$G$3,22))&lt;&gt;""),'Arroz irrigado'!$E68:INDEX('Arroz irrigado'!$E68:$Z68,MIN(AU$6-$G$3,22))),0)))))</f>
        <v>0</v>
      </c>
      <c r="AV70" s="27" t="n">
        <f aca="false">IF(COUNT('Arroz irrigado'!$E68:$Z68)=0,0,MAX(0,IF((AV$6-$E$3)&lt;1,0,IFERROR(LOOKUP(2,1/('Arroz irrigado'!$E68:INDEX('Arroz irrigado'!$E68:$Z68,MIN(AV$6-$E$3,22))&lt;&gt;""),'Arroz irrigado'!$E68:INDEX('Arroz irrigado'!$E68:$Z68,MIN(AV$6-$E$3,22))),0))-IF($G$2,0,IF((AV$6-$G$3)&lt;1,0,IFERROR(LOOKUP(2,1/('Arroz irrigado'!$E68:INDEX('Arroz irrigado'!$E68:$Z68,MIN(AV$6-$G$3,22))&lt;&gt;""),'Arroz irrigado'!$E68:INDEX('Arroz irrigado'!$E68:$Z68,MIN(AV$6-$G$3,22))),0)))))</f>
        <v>0</v>
      </c>
      <c r="AW70" s="27" t="n">
        <f aca="false">IF(COUNT('Arroz irrigado'!$E68:$Z68)=0,0,MAX(0,IF((AW$6-$E$3)&lt;1,0,IFERROR(LOOKUP(2,1/('Arroz irrigado'!$E68:INDEX('Arroz irrigado'!$E68:$Z68,MIN(AW$6-$E$3,22))&lt;&gt;""),'Arroz irrigado'!$E68:INDEX('Arroz irrigado'!$E68:$Z68,MIN(AW$6-$E$3,22))),0))-IF($G$2,0,IF((AW$6-$G$3)&lt;1,0,IFERROR(LOOKUP(2,1/('Arroz irrigado'!$E68:INDEX('Arroz irrigado'!$E68:$Z68,MIN(AW$6-$G$3,22))&lt;&gt;""),'Arroz irrigado'!$E68:INDEX('Arroz irrigado'!$E68:$Z68,MIN(AW$6-$G$3,22))),0)))))</f>
        <v>0</v>
      </c>
      <c r="AX70" s="27" t="n">
        <f aca="false">IF(COUNT('Arroz irrigado'!$E68:$Z68)=0,0,MAX(0,IF((AX$6-$E$3)&lt;1,0,IFERROR(LOOKUP(2,1/('Arroz irrigado'!$E68:INDEX('Arroz irrigado'!$E68:$Z68,MIN(AX$6-$E$3,22))&lt;&gt;""),'Arroz irrigado'!$E68:INDEX('Arroz irrigado'!$E68:$Z68,MIN(AX$6-$E$3,22))),0))-IF($G$2,0,IF((AX$6-$G$3)&lt;1,0,IFERROR(LOOKUP(2,1/('Arroz irrigado'!$E68:INDEX('Arroz irrigado'!$E68:$Z68,MIN(AX$6-$G$3,22))&lt;&gt;""),'Arroz irrigado'!$E68:INDEX('Arroz irrigado'!$E68:$Z68,MIN(AX$6-$G$3,22))),0)))))</f>
        <v>0</v>
      </c>
      <c r="AY70" s="27" t="n">
        <f aca="false">IF(COUNT('Arroz irrigado'!$E68:$Z68)=0,0,MAX(0,IF((AY$6-$E$3)&lt;1,0,IFERROR(LOOKUP(2,1/('Arroz irrigado'!$E68:INDEX('Arroz irrigado'!$E68:$Z68,MIN(AY$6-$E$3,22))&lt;&gt;""),'Arroz irrigado'!$E68:INDEX('Arroz irrigado'!$E68:$Z68,MIN(AY$6-$E$3,22))),0))-IF($G$2,0,IF((AY$6-$G$3)&lt;1,0,IFERROR(LOOKUP(2,1/('Arroz irrigado'!$E68:INDEX('Arroz irrigado'!$E68:$Z68,MIN(AY$6-$G$3,22))&lt;&gt;""),'Arroz irrigado'!$E68:INDEX('Arroz irrigado'!$E68:$Z68,MIN(AY$6-$G$3,22))),0)))))</f>
        <v>0</v>
      </c>
      <c r="AZ70" s="27" t="n">
        <f aca="false">IF(COUNT('Arroz irrigado'!$E68:$Z68)=0,0,MAX(0,IF((AZ$6-$E$3)&lt;1,0,IFERROR(LOOKUP(2,1/('Arroz irrigado'!$E68:INDEX('Arroz irrigado'!$E68:$Z68,MIN(AZ$6-$E$3,22))&lt;&gt;""),'Arroz irrigado'!$E68:INDEX('Arroz irrigado'!$E68:$Z68,MIN(AZ$6-$E$3,22))),0))-IF($G$2,0,IF((AZ$6-$G$3)&lt;1,0,IFERROR(LOOKUP(2,1/('Arroz irrigado'!$E68:INDEX('Arroz irrigado'!$E68:$Z68,MIN(AZ$6-$G$3,22))&lt;&gt;""),'Arroz irrigado'!$E68:INDEX('Arroz irrigado'!$E68:$Z68,MIN(AZ$6-$G$3,22))),0)))))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IF(COUNT('Arroz irrigado'!$E69:$Z69)&gt;0,N('Arroz irrigado'!$D69),0)</f>
        <v>0</v>
      </c>
      <c r="E71" s="27" t="n">
        <f aca="false">IF(COUNT('Arroz irrigado'!$E69:$Z69)=0,0,MAX(0,IF((E$6-$E$3)&lt;1,0,IFERROR(LOOKUP(2,1/('Arroz irrigado'!$E69:INDEX('Arroz irrigado'!$E69:$Z69,MIN(E$6-$E$3,22))&lt;&gt;""),'Arroz irrigado'!$E69:INDEX('Arroz irrigado'!$E69:$Z69,MIN(E$6-$E$3,22))),0))-IF($G$2,0,IF((E$6-$G$3)&lt;1,0,IFERROR(LOOKUP(2,1/('Arroz irrigado'!$E69:INDEX('Arroz irrigado'!$E69:$Z69,MIN(E$6-$G$3,22))&lt;&gt;""),'Arroz irrigado'!$E69:INDEX('Arroz irrigado'!$E69:$Z69,MIN(E$6-$G$3,22))),0)))))</f>
        <v>0</v>
      </c>
      <c r="F71" s="27" t="n">
        <f aca="false">IF(COUNT('Arroz irrigado'!$E69:$Z69)=0,0,MAX(0,IF((F$6-$E$3)&lt;1,0,IFERROR(LOOKUP(2,1/('Arroz irrigado'!$E69:INDEX('Arroz irrigado'!$E69:$Z69,MIN(F$6-$E$3,22))&lt;&gt;""),'Arroz irrigado'!$E69:INDEX('Arroz irrigado'!$E69:$Z69,MIN(F$6-$E$3,22))),0))-IF($G$2,0,IF((F$6-$G$3)&lt;1,0,IFERROR(LOOKUP(2,1/('Arroz irrigado'!$E69:INDEX('Arroz irrigado'!$E69:$Z69,MIN(F$6-$G$3,22))&lt;&gt;""),'Arroz irrigado'!$E69:INDEX('Arroz irrigado'!$E69:$Z69,MIN(F$6-$G$3,22))),0)))))</f>
        <v>0</v>
      </c>
      <c r="G71" s="27" t="n">
        <f aca="false">IF(COUNT('Arroz irrigado'!$E69:$Z69)=0,0,MAX(0,IF((G$6-$E$3)&lt;1,0,IFERROR(LOOKUP(2,1/('Arroz irrigado'!$E69:INDEX('Arroz irrigado'!$E69:$Z69,MIN(G$6-$E$3,22))&lt;&gt;""),'Arroz irrigado'!$E69:INDEX('Arroz irrigado'!$E69:$Z69,MIN(G$6-$E$3,22))),0))-IF($G$2,0,IF((G$6-$G$3)&lt;1,0,IFERROR(LOOKUP(2,1/('Arroz irrigado'!$E69:INDEX('Arroz irrigado'!$E69:$Z69,MIN(G$6-$G$3,22))&lt;&gt;""),'Arroz irrigado'!$E69:INDEX('Arroz irrigado'!$E69:$Z69,MIN(G$6-$G$3,22))),0)))))</f>
        <v>0</v>
      </c>
      <c r="H71" s="27" t="n">
        <f aca="false">IF(COUNT('Arroz irrigado'!$E69:$Z69)=0,0,MAX(0,IF((H$6-$E$3)&lt;1,0,IFERROR(LOOKUP(2,1/('Arroz irrigado'!$E69:INDEX('Arroz irrigado'!$E69:$Z69,MIN(H$6-$E$3,22))&lt;&gt;""),'Arroz irrigado'!$E69:INDEX('Arroz irrigado'!$E69:$Z69,MIN(H$6-$E$3,22))),0))-IF($G$2,0,IF((H$6-$G$3)&lt;1,0,IFERROR(LOOKUP(2,1/('Arroz irrigado'!$E69:INDEX('Arroz irrigado'!$E69:$Z69,MIN(H$6-$G$3,22))&lt;&gt;""),'Arroz irrigado'!$E69:INDEX('Arroz irrigado'!$E69:$Z69,MIN(H$6-$G$3,22))),0)))))</f>
        <v>0</v>
      </c>
      <c r="I71" s="27" t="n">
        <f aca="false">IF(COUNT('Arroz irrigado'!$E69:$Z69)=0,0,MAX(0,IF((I$6-$E$3)&lt;1,0,IFERROR(LOOKUP(2,1/('Arroz irrigado'!$E69:INDEX('Arroz irrigado'!$E69:$Z69,MIN(I$6-$E$3,22))&lt;&gt;""),'Arroz irrigado'!$E69:INDEX('Arroz irrigado'!$E69:$Z69,MIN(I$6-$E$3,22))),0))-IF($G$2,0,IF((I$6-$G$3)&lt;1,0,IFERROR(LOOKUP(2,1/('Arroz irrigado'!$E69:INDEX('Arroz irrigado'!$E69:$Z69,MIN(I$6-$G$3,22))&lt;&gt;""),'Arroz irrigado'!$E69:INDEX('Arroz irrigado'!$E69:$Z69,MIN(I$6-$G$3,22))),0)))))</f>
        <v>0</v>
      </c>
      <c r="J71" s="27" t="n">
        <f aca="false">IF(COUNT('Arroz irrigado'!$E69:$Z69)=0,0,MAX(0,IF((J$6-$E$3)&lt;1,0,IFERROR(LOOKUP(2,1/('Arroz irrigado'!$E69:INDEX('Arroz irrigado'!$E69:$Z69,MIN(J$6-$E$3,22))&lt;&gt;""),'Arroz irrigado'!$E69:INDEX('Arroz irrigado'!$E69:$Z69,MIN(J$6-$E$3,22))),0))-IF($G$2,0,IF((J$6-$G$3)&lt;1,0,IFERROR(LOOKUP(2,1/('Arroz irrigado'!$E69:INDEX('Arroz irrigado'!$E69:$Z69,MIN(J$6-$G$3,22))&lt;&gt;""),'Arroz irrigado'!$E69:INDEX('Arroz irrigado'!$E69:$Z69,MIN(J$6-$G$3,22))),0)))))</f>
        <v>0</v>
      </c>
      <c r="K71" s="27" t="n">
        <f aca="false">IF(COUNT('Arroz irrigado'!$E69:$Z69)=0,0,MAX(0,IF((K$6-$E$3)&lt;1,0,IFERROR(LOOKUP(2,1/('Arroz irrigado'!$E69:INDEX('Arroz irrigado'!$E69:$Z69,MIN(K$6-$E$3,22))&lt;&gt;""),'Arroz irrigado'!$E69:INDEX('Arroz irrigado'!$E69:$Z69,MIN(K$6-$E$3,22))),0))-IF($G$2,0,IF((K$6-$G$3)&lt;1,0,IFERROR(LOOKUP(2,1/('Arroz irrigado'!$E69:INDEX('Arroz irrigado'!$E69:$Z69,MIN(K$6-$G$3,22))&lt;&gt;""),'Arroz irrigado'!$E69:INDEX('Arroz irrigado'!$E69:$Z69,MIN(K$6-$G$3,22))),0)))))</f>
        <v>0</v>
      </c>
      <c r="L71" s="27" t="n">
        <f aca="false">IF(COUNT('Arroz irrigado'!$E69:$Z69)=0,0,MAX(0,IF((L$6-$E$3)&lt;1,0,IFERROR(LOOKUP(2,1/('Arroz irrigado'!$E69:INDEX('Arroz irrigado'!$E69:$Z69,MIN(L$6-$E$3,22))&lt;&gt;""),'Arroz irrigado'!$E69:INDEX('Arroz irrigado'!$E69:$Z69,MIN(L$6-$E$3,22))),0))-IF($G$2,0,IF((L$6-$G$3)&lt;1,0,IFERROR(LOOKUP(2,1/('Arroz irrigado'!$E69:INDEX('Arroz irrigado'!$E69:$Z69,MIN(L$6-$G$3,22))&lt;&gt;""),'Arroz irrigado'!$E69:INDEX('Arroz irrigado'!$E69:$Z69,MIN(L$6-$G$3,22))),0)))))</f>
        <v>0</v>
      </c>
      <c r="M71" s="27" t="n">
        <f aca="false">IF(COUNT('Arroz irrigado'!$E69:$Z69)=0,0,MAX(0,IF((M$6-$E$3)&lt;1,0,IFERROR(LOOKUP(2,1/('Arroz irrigado'!$E69:INDEX('Arroz irrigado'!$E69:$Z69,MIN(M$6-$E$3,22))&lt;&gt;""),'Arroz irrigado'!$E69:INDEX('Arroz irrigado'!$E69:$Z69,MIN(M$6-$E$3,22))),0))-IF($G$2,0,IF((M$6-$G$3)&lt;1,0,IFERROR(LOOKUP(2,1/('Arroz irrigado'!$E69:INDEX('Arroz irrigado'!$E69:$Z69,MIN(M$6-$G$3,22))&lt;&gt;""),'Arroz irrigado'!$E69:INDEX('Arroz irrigado'!$E69:$Z69,MIN(M$6-$G$3,22))),0)))))</f>
        <v>0</v>
      </c>
      <c r="N71" s="27" t="n">
        <f aca="false">IF(COUNT('Arroz irrigado'!$E69:$Z69)=0,0,MAX(0,IF((N$6-$E$3)&lt;1,0,IFERROR(LOOKUP(2,1/('Arroz irrigado'!$E69:INDEX('Arroz irrigado'!$E69:$Z69,MIN(N$6-$E$3,22))&lt;&gt;""),'Arroz irrigado'!$E69:INDEX('Arroz irrigado'!$E69:$Z69,MIN(N$6-$E$3,22))),0))-IF($G$2,0,IF((N$6-$G$3)&lt;1,0,IFERROR(LOOKUP(2,1/('Arroz irrigado'!$E69:INDEX('Arroz irrigado'!$E69:$Z69,MIN(N$6-$G$3,22))&lt;&gt;""),'Arroz irrigado'!$E69:INDEX('Arroz irrigado'!$E69:$Z69,MIN(N$6-$G$3,22))),0)))))</f>
        <v>0</v>
      </c>
      <c r="O71" s="27" t="n">
        <f aca="false">IF(COUNT('Arroz irrigado'!$E69:$Z69)=0,0,MAX(0,IF((O$6-$E$3)&lt;1,0,IFERROR(LOOKUP(2,1/('Arroz irrigado'!$E69:INDEX('Arroz irrigado'!$E69:$Z69,MIN(O$6-$E$3,22))&lt;&gt;""),'Arroz irrigado'!$E69:INDEX('Arroz irrigado'!$E69:$Z69,MIN(O$6-$E$3,22))),0))-IF($G$2,0,IF((O$6-$G$3)&lt;1,0,IFERROR(LOOKUP(2,1/('Arroz irrigado'!$E69:INDEX('Arroz irrigado'!$E69:$Z69,MIN(O$6-$G$3,22))&lt;&gt;""),'Arroz irrigado'!$E69:INDEX('Arroz irrigado'!$E69:$Z69,MIN(O$6-$G$3,22))),0)))))</f>
        <v>0</v>
      </c>
      <c r="P71" s="27" t="n">
        <f aca="false">IF(COUNT('Arroz irrigado'!$E69:$Z69)=0,0,MAX(0,IF((P$6-$E$3)&lt;1,0,IFERROR(LOOKUP(2,1/('Arroz irrigado'!$E69:INDEX('Arroz irrigado'!$E69:$Z69,MIN(P$6-$E$3,22))&lt;&gt;""),'Arroz irrigado'!$E69:INDEX('Arroz irrigado'!$E69:$Z69,MIN(P$6-$E$3,22))),0))-IF($G$2,0,IF((P$6-$G$3)&lt;1,0,IFERROR(LOOKUP(2,1/('Arroz irrigado'!$E69:INDEX('Arroz irrigado'!$E69:$Z69,MIN(P$6-$G$3,22))&lt;&gt;""),'Arroz irrigado'!$E69:INDEX('Arroz irrigado'!$E69:$Z69,MIN(P$6-$G$3,22))),0)))))</f>
        <v>0</v>
      </c>
      <c r="Q71" s="27" t="n">
        <f aca="false">IF(COUNT('Arroz irrigado'!$E69:$Z69)=0,0,MAX(0,IF((Q$6-$E$3)&lt;1,0,IFERROR(LOOKUP(2,1/('Arroz irrigado'!$E69:INDEX('Arroz irrigado'!$E69:$Z69,MIN(Q$6-$E$3,22))&lt;&gt;""),'Arroz irrigado'!$E69:INDEX('Arroz irrigado'!$E69:$Z69,MIN(Q$6-$E$3,22))),0))-IF($G$2,0,IF((Q$6-$G$3)&lt;1,0,IFERROR(LOOKUP(2,1/('Arroz irrigado'!$E69:INDEX('Arroz irrigado'!$E69:$Z69,MIN(Q$6-$G$3,22))&lt;&gt;""),'Arroz irrigado'!$E69:INDEX('Arroz irrigado'!$E69:$Z69,MIN(Q$6-$G$3,22))),0)))))</f>
        <v>0</v>
      </c>
      <c r="R71" s="27" t="n">
        <f aca="false">IF(COUNT('Arroz irrigado'!$E69:$Z69)=0,0,MAX(0,IF((R$6-$E$3)&lt;1,0,IFERROR(LOOKUP(2,1/('Arroz irrigado'!$E69:INDEX('Arroz irrigado'!$E69:$Z69,MIN(R$6-$E$3,22))&lt;&gt;""),'Arroz irrigado'!$E69:INDEX('Arroz irrigado'!$E69:$Z69,MIN(R$6-$E$3,22))),0))-IF($G$2,0,IF((R$6-$G$3)&lt;1,0,IFERROR(LOOKUP(2,1/('Arroz irrigado'!$E69:INDEX('Arroz irrigado'!$E69:$Z69,MIN(R$6-$G$3,22))&lt;&gt;""),'Arroz irrigado'!$E69:INDEX('Arroz irrigado'!$E69:$Z69,MIN(R$6-$G$3,22))),0)))))</f>
        <v>0</v>
      </c>
      <c r="S71" s="27" t="n">
        <f aca="false">IF(COUNT('Arroz irrigado'!$E69:$Z69)=0,0,MAX(0,IF((S$6-$E$3)&lt;1,0,IFERROR(LOOKUP(2,1/('Arroz irrigado'!$E69:INDEX('Arroz irrigado'!$E69:$Z69,MIN(S$6-$E$3,22))&lt;&gt;""),'Arroz irrigado'!$E69:INDEX('Arroz irrigado'!$E69:$Z69,MIN(S$6-$E$3,22))),0))-IF($G$2,0,IF((S$6-$G$3)&lt;1,0,IFERROR(LOOKUP(2,1/('Arroz irrigado'!$E69:INDEX('Arroz irrigado'!$E69:$Z69,MIN(S$6-$G$3,22))&lt;&gt;""),'Arroz irrigado'!$E69:INDEX('Arroz irrigado'!$E69:$Z69,MIN(S$6-$G$3,22))),0)))))</f>
        <v>0</v>
      </c>
      <c r="T71" s="27" t="n">
        <f aca="false">IF(COUNT('Arroz irrigado'!$E69:$Z69)=0,0,MAX(0,IF((T$6-$E$3)&lt;1,0,IFERROR(LOOKUP(2,1/('Arroz irrigado'!$E69:INDEX('Arroz irrigado'!$E69:$Z69,MIN(T$6-$E$3,22))&lt;&gt;""),'Arroz irrigado'!$E69:INDEX('Arroz irrigado'!$E69:$Z69,MIN(T$6-$E$3,22))),0))-IF($G$2,0,IF((T$6-$G$3)&lt;1,0,IFERROR(LOOKUP(2,1/('Arroz irrigado'!$E69:INDEX('Arroz irrigado'!$E69:$Z69,MIN(T$6-$G$3,22))&lt;&gt;""),'Arroz irrigado'!$E69:INDEX('Arroz irrigado'!$E69:$Z69,MIN(T$6-$G$3,22))),0)))))</f>
        <v>0</v>
      </c>
      <c r="U71" s="27" t="n">
        <f aca="false">IF(COUNT('Arroz irrigado'!$E69:$Z69)=0,0,MAX(0,IF((U$6-$E$3)&lt;1,0,IFERROR(LOOKUP(2,1/('Arroz irrigado'!$E69:INDEX('Arroz irrigado'!$E69:$Z69,MIN(U$6-$E$3,22))&lt;&gt;""),'Arroz irrigado'!$E69:INDEX('Arroz irrigado'!$E69:$Z69,MIN(U$6-$E$3,22))),0))-IF($G$2,0,IF((U$6-$G$3)&lt;1,0,IFERROR(LOOKUP(2,1/('Arroz irrigado'!$E69:INDEX('Arroz irrigado'!$E69:$Z69,MIN(U$6-$G$3,22))&lt;&gt;""),'Arroz irrigado'!$E69:INDEX('Arroz irrigado'!$E69:$Z69,MIN(U$6-$G$3,22))),0)))))</f>
        <v>0</v>
      </c>
      <c r="V71" s="27" t="n">
        <f aca="false">IF(COUNT('Arroz irrigado'!$E69:$Z69)=0,0,MAX(0,IF((V$6-$E$3)&lt;1,0,IFERROR(LOOKUP(2,1/('Arroz irrigado'!$E69:INDEX('Arroz irrigado'!$E69:$Z69,MIN(V$6-$E$3,22))&lt;&gt;""),'Arroz irrigado'!$E69:INDEX('Arroz irrigado'!$E69:$Z69,MIN(V$6-$E$3,22))),0))-IF($G$2,0,IF((V$6-$G$3)&lt;1,0,IFERROR(LOOKUP(2,1/('Arroz irrigado'!$E69:INDEX('Arroz irrigado'!$E69:$Z69,MIN(V$6-$G$3,22))&lt;&gt;""),'Arroz irrigado'!$E69:INDEX('Arroz irrigado'!$E69:$Z69,MIN(V$6-$G$3,22))),0)))))</f>
        <v>0</v>
      </c>
      <c r="W71" s="27" t="n">
        <f aca="false">IF(COUNT('Arroz irrigado'!$E69:$Z69)=0,0,MAX(0,IF((W$6-$E$3)&lt;1,0,IFERROR(LOOKUP(2,1/('Arroz irrigado'!$E69:INDEX('Arroz irrigado'!$E69:$Z69,MIN(W$6-$E$3,22))&lt;&gt;""),'Arroz irrigado'!$E69:INDEX('Arroz irrigado'!$E69:$Z69,MIN(W$6-$E$3,22))),0))-IF($G$2,0,IF((W$6-$G$3)&lt;1,0,IFERROR(LOOKUP(2,1/('Arroz irrigado'!$E69:INDEX('Arroz irrigado'!$E69:$Z69,MIN(W$6-$G$3,22))&lt;&gt;""),'Arroz irrigado'!$E69:INDEX('Arroz irrigado'!$E69:$Z69,MIN(W$6-$G$3,22))),0)))))</f>
        <v>0</v>
      </c>
      <c r="X71" s="27" t="n">
        <f aca="false">IF(COUNT('Arroz irrigado'!$E69:$Z69)=0,0,MAX(0,IF((X$6-$E$3)&lt;1,0,IFERROR(LOOKUP(2,1/('Arroz irrigado'!$E69:INDEX('Arroz irrigado'!$E69:$Z69,MIN(X$6-$E$3,22))&lt;&gt;""),'Arroz irrigado'!$E69:INDEX('Arroz irrigado'!$E69:$Z69,MIN(X$6-$E$3,22))),0))-IF($G$2,0,IF((X$6-$G$3)&lt;1,0,IFERROR(LOOKUP(2,1/('Arroz irrigado'!$E69:INDEX('Arroz irrigado'!$E69:$Z69,MIN(X$6-$G$3,22))&lt;&gt;""),'Arroz irrigado'!$E69:INDEX('Arroz irrigado'!$E69:$Z69,MIN(X$6-$G$3,22))),0)))))</f>
        <v>0</v>
      </c>
      <c r="Y71" s="27" t="n">
        <f aca="false">IF(COUNT('Arroz irrigado'!$E69:$Z69)=0,0,MAX(0,IF((Y$6-$E$3)&lt;1,0,IFERROR(LOOKUP(2,1/('Arroz irrigado'!$E69:INDEX('Arroz irrigado'!$E69:$Z69,MIN(Y$6-$E$3,22))&lt;&gt;""),'Arroz irrigado'!$E69:INDEX('Arroz irrigado'!$E69:$Z69,MIN(Y$6-$E$3,22))),0))-IF($G$2,0,IF((Y$6-$G$3)&lt;1,0,IFERROR(LOOKUP(2,1/('Arroz irrigado'!$E69:INDEX('Arroz irrigado'!$E69:$Z69,MIN(Y$6-$G$3,22))&lt;&gt;""),'Arroz irrigado'!$E69:INDEX('Arroz irrigado'!$E69:$Z69,MIN(Y$6-$G$3,22))),0)))))</f>
        <v>0</v>
      </c>
      <c r="Z71" s="27" t="n">
        <f aca="false">IF(COUNT('Arroz irrigado'!$E69:$Z69)=0,0,MAX(0,IF((Z$6-$E$3)&lt;1,0,IFERROR(LOOKUP(2,1/('Arroz irrigado'!$E69:INDEX('Arroz irrigado'!$E69:$Z69,MIN(Z$6-$E$3,22))&lt;&gt;""),'Arroz irrigado'!$E69:INDEX('Arroz irrigado'!$E69:$Z69,MIN(Z$6-$E$3,22))),0))-IF($G$2,0,IF((Z$6-$G$3)&lt;1,0,IFERROR(LOOKUP(2,1/('Arroz irrigado'!$E69:INDEX('Arroz irrigado'!$E69:$Z69,MIN(Z$6-$G$3,22))&lt;&gt;""),'Arroz irrigado'!$E69:INDEX('Arroz irrigado'!$E69:$Z69,MIN(Z$6-$G$3,22))),0)))))</f>
        <v>0</v>
      </c>
      <c r="AA71" s="27" t="n">
        <f aca="false">IF(COUNT('Arroz irrigado'!$E69:$Z69)=0,0,MAX(0,IF((AA$6-$E$3)&lt;1,0,IFERROR(LOOKUP(2,1/('Arroz irrigado'!$E69:INDEX('Arroz irrigado'!$E69:$Z69,MIN(AA$6-$E$3,22))&lt;&gt;""),'Arroz irrigado'!$E69:INDEX('Arroz irrigado'!$E69:$Z69,MIN(AA$6-$E$3,22))),0))-IF($G$2,0,IF((AA$6-$G$3)&lt;1,0,IFERROR(LOOKUP(2,1/('Arroz irrigado'!$E69:INDEX('Arroz irrigado'!$E69:$Z69,MIN(AA$6-$G$3,22))&lt;&gt;""),'Arroz irrigado'!$E69:INDEX('Arroz irrigado'!$E69:$Z69,MIN(AA$6-$G$3,22))),0)))))</f>
        <v>0</v>
      </c>
      <c r="AB71" s="27" t="n">
        <f aca="false">IF(COUNT('Arroz irrigado'!$E69:$Z69)=0,0,MAX(0,IF((AB$6-$E$3)&lt;1,0,IFERROR(LOOKUP(2,1/('Arroz irrigado'!$E69:INDEX('Arroz irrigado'!$E69:$Z69,MIN(AB$6-$E$3,22))&lt;&gt;""),'Arroz irrigado'!$E69:INDEX('Arroz irrigado'!$E69:$Z69,MIN(AB$6-$E$3,22))),0))-IF($G$2,0,IF((AB$6-$G$3)&lt;1,0,IFERROR(LOOKUP(2,1/('Arroz irrigado'!$E69:INDEX('Arroz irrigado'!$E69:$Z69,MIN(AB$6-$G$3,22))&lt;&gt;""),'Arroz irrigado'!$E69:INDEX('Arroz irrigado'!$E69:$Z69,MIN(AB$6-$G$3,22))),0)))))</f>
        <v>0</v>
      </c>
      <c r="AC71" s="27" t="n">
        <f aca="false">IF(COUNT('Arroz irrigado'!$E69:$Z69)=0,0,MAX(0,IF((AC$6-$E$3)&lt;1,0,IFERROR(LOOKUP(2,1/('Arroz irrigado'!$E69:INDEX('Arroz irrigado'!$E69:$Z69,MIN(AC$6-$E$3,22))&lt;&gt;""),'Arroz irrigado'!$E69:INDEX('Arroz irrigado'!$E69:$Z69,MIN(AC$6-$E$3,22))),0))-IF($G$2,0,IF((AC$6-$G$3)&lt;1,0,IFERROR(LOOKUP(2,1/('Arroz irrigado'!$E69:INDEX('Arroz irrigado'!$E69:$Z69,MIN(AC$6-$G$3,22))&lt;&gt;""),'Arroz irrigado'!$E69:INDEX('Arroz irrigado'!$E69:$Z69,MIN(AC$6-$G$3,22))),0)))))</f>
        <v>0</v>
      </c>
      <c r="AD71" s="27" t="n">
        <f aca="false">IF(COUNT('Arroz irrigado'!$E69:$Z69)=0,0,MAX(0,IF((AD$6-$E$3)&lt;1,0,IFERROR(LOOKUP(2,1/('Arroz irrigado'!$E69:INDEX('Arroz irrigado'!$E69:$Z69,MIN(AD$6-$E$3,22))&lt;&gt;""),'Arroz irrigado'!$E69:INDEX('Arroz irrigado'!$E69:$Z69,MIN(AD$6-$E$3,22))),0))-IF($G$2,0,IF((AD$6-$G$3)&lt;1,0,IFERROR(LOOKUP(2,1/('Arroz irrigado'!$E69:INDEX('Arroz irrigado'!$E69:$Z69,MIN(AD$6-$G$3,22))&lt;&gt;""),'Arroz irrigado'!$E69:INDEX('Arroz irrigado'!$E69:$Z69,MIN(AD$6-$G$3,22))),0)))))</f>
        <v>0</v>
      </c>
      <c r="AE71" s="27" t="n">
        <f aca="false">IF(COUNT('Arroz irrigado'!$E69:$Z69)=0,0,MAX(0,IF((AE$6-$E$3)&lt;1,0,IFERROR(LOOKUP(2,1/('Arroz irrigado'!$E69:INDEX('Arroz irrigado'!$E69:$Z69,MIN(AE$6-$E$3,22))&lt;&gt;""),'Arroz irrigado'!$E69:INDEX('Arroz irrigado'!$E69:$Z69,MIN(AE$6-$E$3,22))),0))-IF($G$2,0,IF((AE$6-$G$3)&lt;1,0,IFERROR(LOOKUP(2,1/('Arroz irrigado'!$E69:INDEX('Arroz irrigado'!$E69:$Z69,MIN(AE$6-$G$3,22))&lt;&gt;""),'Arroz irrigado'!$E69:INDEX('Arroz irrigado'!$E69:$Z69,MIN(AE$6-$G$3,22))),0)))))</f>
        <v>0</v>
      </c>
      <c r="AF71" s="27" t="n">
        <f aca="false">IF(COUNT('Arroz irrigado'!$E69:$Z69)=0,0,MAX(0,IF((AF$6-$E$3)&lt;1,0,IFERROR(LOOKUP(2,1/('Arroz irrigado'!$E69:INDEX('Arroz irrigado'!$E69:$Z69,MIN(AF$6-$E$3,22))&lt;&gt;""),'Arroz irrigado'!$E69:INDEX('Arroz irrigado'!$E69:$Z69,MIN(AF$6-$E$3,22))),0))-IF($G$2,0,IF((AF$6-$G$3)&lt;1,0,IFERROR(LOOKUP(2,1/('Arroz irrigado'!$E69:INDEX('Arroz irrigado'!$E69:$Z69,MIN(AF$6-$G$3,22))&lt;&gt;""),'Arroz irrigado'!$E69:INDEX('Arroz irrigado'!$E69:$Z69,MIN(AF$6-$G$3,22))),0)))))</f>
        <v>0</v>
      </c>
      <c r="AG71" s="27" t="n">
        <f aca="false">IF(COUNT('Arroz irrigado'!$E69:$Z69)=0,0,MAX(0,IF((AG$6-$E$3)&lt;1,0,IFERROR(LOOKUP(2,1/('Arroz irrigado'!$E69:INDEX('Arroz irrigado'!$E69:$Z69,MIN(AG$6-$E$3,22))&lt;&gt;""),'Arroz irrigado'!$E69:INDEX('Arroz irrigado'!$E69:$Z69,MIN(AG$6-$E$3,22))),0))-IF($G$2,0,IF((AG$6-$G$3)&lt;1,0,IFERROR(LOOKUP(2,1/('Arroz irrigado'!$E69:INDEX('Arroz irrigado'!$E69:$Z69,MIN(AG$6-$G$3,22))&lt;&gt;""),'Arroz irrigado'!$E69:INDEX('Arroz irrigado'!$E69:$Z69,MIN(AG$6-$G$3,22))),0)))))</f>
        <v>0</v>
      </c>
      <c r="AH71" s="27" t="n">
        <f aca="false">IF(COUNT('Arroz irrigado'!$E69:$Z69)=0,0,MAX(0,IF((AH$6-$E$3)&lt;1,0,IFERROR(LOOKUP(2,1/('Arroz irrigado'!$E69:INDEX('Arroz irrigado'!$E69:$Z69,MIN(AH$6-$E$3,22))&lt;&gt;""),'Arroz irrigado'!$E69:INDEX('Arroz irrigado'!$E69:$Z69,MIN(AH$6-$E$3,22))),0))-IF($G$2,0,IF((AH$6-$G$3)&lt;1,0,IFERROR(LOOKUP(2,1/('Arroz irrigado'!$E69:INDEX('Arroz irrigado'!$E69:$Z69,MIN(AH$6-$G$3,22))&lt;&gt;""),'Arroz irrigado'!$E69:INDEX('Arroz irrigado'!$E69:$Z69,MIN(AH$6-$G$3,22))),0)))))</f>
        <v>0</v>
      </c>
      <c r="AI71" s="27" t="n">
        <f aca="false">IF(COUNT('Arroz irrigado'!$E69:$Z69)=0,0,MAX(0,IF((AI$6-$E$3)&lt;1,0,IFERROR(LOOKUP(2,1/('Arroz irrigado'!$E69:INDEX('Arroz irrigado'!$E69:$Z69,MIN(AI$6-$E$3,22))&lt;&gt;""),'Arroz irrigado'!$E69:INDEX('Arroz irrigado'!$E69:$Z69,MIN(AI$6-$E$3,22))),0))-IF($G$2,0,IF((AI$6-$G$3)&lt;1,0,IFERROR(LOOKUP(2,1/('Arroz irrigado'!$E69:INDEX('Arroz irrigado'!$E69:$Z69,MIN(AI$6-$G$3,22))&lt;&gt;""),'Arroz irrigado'!$E69:INDEX('Arroz irrigado'!$E69:$Z69,MIN(AI$6-$G$3,22))),0)))))</f>
        <v>0</v>
      </c>
      <c r="AJ71" s="27" t="n">
        <f aca="false">IF(COUNT('Arroz irrigado'!$E69:$Z69)=0,0,MAX(0,IF((AJ$6-$E$3)&lt;1,0,IFERROR(LOOKUP(2,1/('Arroz irrigado'!$E69:INDEX('Arroz irrigado'!$E69:$Z69,MIN(AJ$6-$E$3,22))&lt;&gt;""),'Arroz irrigado'!$E69:INDEX('Arroz irrigado'!$E69:$Z69,MIN(AJ$6-$E$3,22))),0))-IF($G$2,0,IF((AJ$6-$G$3)&lt;1,0,IFERROR(LOOKUP(2,1/('Arroz irrigado'!$E69:INDEX('Arroz irrigado'!$E69:$Z69,MIN(AJ$6-$G$3,22))&lt;&gt;""),'Arroz irrigado'!$E69:INDEX('Arroz irrigado'!$E69:$Z69,MIN(AJ$6-$G$3,22))),0)))))</f>
        <v>0</v>
      </c>
      <c r="AK71" s="27" t="n">
        <f aca="false">IF(COUNT('Arroz irrigado'!$E69:$Z69)=0,0,MAX(0,IF((AK$6-$E$3)&lt;1,0,IFERROR(LOOKUP(2,1/('Arroz irrigado'!$E69:INDEX('Arroz irrigado'!$E69:$Z69,MIN(AK$6-$E$3,22))&lt;&gt;""),'Arroz irrigado'!$E69:INDEX('Arroz irrigado'!$E69:$Z69,MIN(AK$6-$E$3,22))),0))-IF($G$2,0,IF((AK$6-$G$3)&lt;1,0,IFERROR(LOOKUP(2,1/('Arroz irrigado'!$E69:INDEX('Arroz irrigado'!$E69:$Z69,MIN(AK$6-$G$3,22))&lt;&gt;""),'Arroz irrigado'!$E69:INDEX('Arroz irrigado'!$E69:$Z69,MIN(AK$6-$G$3,22))),0)))))</f>
        <v>0</v>
      </c>
      <c r="AL71" s="27" t="n">
        <f aca="false">IF(COUNT('Arroz irrigado'!$E69:$Z69)=0,0,MAX(0,IF((AL$6-$E$3)&lt;1,0,IFERROR(LOOKUP(2,1/('Arroz irrigado'!$E69:INDEX('Arroz irrigado'!$E69:$Z69,MIN(AL$6-$E$3,22))&lt;&gt;""),'Arroz irrigado'!$E69:INDEX('Arroz irrigado'!$E69:$Z69,MIN(AL$6-$E$3,22))),0))-IF($G$2,0,IF((AL$6-$G$3)&lt;1,0,IFERROR(LOOKUP(2,1/('Arroz irrigado'!$E69:INDEX('Arroz irrigado'!$E69:$Z69,MIN(AL$6-$G$3,22))&lt;&gt;""),'Arroz irrigado'!$E69:INDEX('Arroz irrigado'!$E69:$Z69,MIN(AL$6-$G$3,22))),0)))))</f>
        <v>0</v>
      </c>
      <c r="AM71" s="27" t="n">
        <f aca="false">IF(COUNT('Arroz irrigado'!$E69:$Z69)=0,0,MAX(0,IF((AM$6-$E$3)&lt;1,0,IFERROR(LOOKUP(2,1/('Arroz irrigado'!$E69:INDEX('Arroz irrigado'!$E69:$Z69,MIN(AM$6-$E$3,22))&lt;&gt;""),'Arroz irrigado'!$E69:INDEX('Arroz irrigado'!$E69:$Z69,MIN(AM$6-$E$3,22))),0))-IF($G$2,0,IF((AM$6-$G$3)&lt;1,0,IFERROR(LOOKUP(2,1/('Arroz irrigado'!$E69:INDEX('Arroz irrigado'!$E69:$Z69,MIN(AM$6-$G$3,22))&lt;&gt;""),'Arroz irrigado'!$E69:INDEX('Arroz irrigado'!$E69:$Z69,MIN(AM$6-$G$3,22))),0)))))</f>
        <v>0</v>
      </c>
      <c r="AN71" s="27" t="n">
        <f aca="false">IF(COUNT('Arroz irrigado'!$E69:$Z69)=0,0,MAX(0,IF((AN$6-$E$3)&lt;1,0,IFERROR(LOOKUP(2,1/('Arroz irrigado'!$E69:INDEX('Arroz irrigado'!$E69:$Z69,MIN(AN$6-$E$3,22))&lt;&gt;""),'Arroz irrigado'!$E69:INDEX('Arroz irrigado'!$E69:$Z69,MIN(AN$6-$E$3,22))),0))-IF($G$2,0,IF((AN$6-$G$3)&lt;1,0,IFERROR(LOOKUP(2,1/('Arroz irrigado'!$E69:INDEX('Arroz irrigado'!$E69:$Z69,MIN(AN$6-$G$3,22))&lt;&gt;""),'Arroz irrigado'!$E69:INDEX('Arroz irrigado'!$E69:$Z69,MIN(AN$6-$G$3,22))),0)))))</f>
        <v>0</v>
      </c>
      <c r="AO71" s="27" t="n">
        <f aca="false">IF(COUNT('Arroz irrigado'!$E69:$Z69)=0,0,MAX(0,IF((AO$6-$E$3)&lt;1,0,IFERROR(LOOKUP(2,1/('Arroz irrigado'!$E69:INDEX('Arroz irrigado'!$E69:$Z69,MIN(AO$6-$E$3,22))&lt;&gt;""),'Arroz irrigado'!$E69:INDEX('Arroz irrigado'!$E69:$Z69,MIN(AO$6-$E$3,22))),0))-IF($G$2,0,IF((AO$6-$G$3)&lt;1,0,IFERROR(LOOKUP(2,1/('Arroz irrigado'!$E69:INDEX('Arroz irrigado'!$E69:$Z69,MIN(AO$6-$G$3,22))&lt;&gt;""),'Arroz irrigado'!$E69:INDEX('Arroz irrigado'!$E69:$Z69,MIN(AO$6-$G$3,22))),0)))))</f>
        <v>0</v>
      </c>
      <c r="AP71" s="27" t="n">
        <f aca="false">IF(COUNT('Arroz irrigado'!$E69:$Z69)=0,0,MAX(0,IF((AP$6-$E$3)&lt;1,0,IFERROR(LOOKUP(2,1/('Arroz irrigado'!$E69:INDEX('Arroz irrigado'!$E69:$Z69,MIN(AP$6-$E$3,22))&lt;&gt;""),'Arroz irrigado'!$E69:INDEX('Arroz irrigado'!$E69:$Z69,MIN(AP$6-$E$3,22))),0))-IF($G$2,0,IF((AP$6-$G$3)&lt;1,0,IFERROR(LOOKUP(2,1/('Arroz irrigado'!$E69:INDEX('Arroz irrigado'!$E69:$Z69,MIN(AP$6-$G$3,22))&lt;&gt;""),'Arroz irrigado'!$E69:INDEX('Arroz irrigado'!$E69:$Z69,MIN(AP$6-$G$3,22))),0)))))</f>
        <v>0</v>
      </c>
      <c r="AQ71" s="27" t="n">
        <f aca="false">IF(COUNT('Arroz irrigado'!$E69:$Z69)=0,0,MAX(0,IF((AQ$6-$E$3)&lt;1,0,IFERROR(LOOKUP(2,1/('Arroz irrigado'!$E69:INDEX('Arroz irrigado'!$E69:$Z69,MIN(AQ$6-$E$3,22))&lt;&gt;""),'Arroz irrigado'!$E69:INDEX('Arroz irrigado'!$E69:$Z69,MIN(AQ$6-$E$3,22))),0))-IF($G$2,0,IF((AQ$6-$G$3)&lt;1,0,IFERROR(LOOKUP(2,1/('Arroz irrigado'!$E69:INDEX('Arroz irrigado'!$E69:$Z69,MIN(AQ$6-$G$3,22))&lt;&gt;""),'Arroz irrigado'!$E69:INDEX('Arroz irrigado'!$E69:$Z69,MIN(AQ$6-$G$3,22))),0)))))</f>
        <v>0</v>
      </c>
      <c r="AR71" s="27" t="n">
        <f aca="false">IF(COUNT('Arroz irrigado'!$E69:$Z69)=0,0,MAX(0,IF((AR$6-$E$3)&lt;1,0,IFERROR(LOOKUP(2,1/('Arroz irrigado'!$E69:INDEX('Arroz irrigado'!$E69:$Z69,MIN(AR$6-$E$3,22))&lt;&gt;""),'Arroz irrigado'!$E69:INDEX('Arroz irrigado'!$E69:$Z69,MIN(AR$6-$E$3,22))),0))-IF($G$2,0,IF((AR$6-$G$3)&lt;1,0,IFERROR(LOOKUP(2,1/('Arroz irrigado'!$E69:INDEX('Arroz irrigado'!$E69:$Z69,MIN(AR$6-$G$3,22))&lt;&gt;""),'Arroz irrigado'!$E69:INDEX('Arroz irrigado'!$E69:$Z69,MIN(AR$6-$G$3,22))),0)))))</f>
        <v>0</v>
      </c>
      <c r="AS71" s="27" t="n">
        <f aca="false">IF(COUNT('Arroz irrigado'!$E69:$Z69)=0,0,MAX(0,IF((AS$6-$E$3)&lt;1,0,IFERROR(LOOKUP(2,1/('Arroz irrigado'!$E69:INDEX('Arroz irrigado'!$E69:$Z69,MIN(AS$6-$E$3,22))&lt;&gt;""),'Arroz irrigado'!$E69:INDEX('Arroz irrigado'!$E69:$Z69,MIN(AS$6-$E$3,22))),0))-IF($G$2,0,IF((AS$6-$G$3)&lt;1,0,IFERROR(LOOKUP(2,1/('Arroz irrigado'!$E69:INDEX('Arroz irrigado'!$E69:$Z69,MIN(AS$6-$G$3,22))&lt;&gt;""),'Arroz irrigado'!$E69:INDEX('Arroz irrigado'!$E69:$Z69,MIN(AS$6-$G$3,22))),0)))))</f>
        <v>0</v>
      </c>
      <c r="AT71" s="27" t="n">
        <f aca="false">IF(COUNT('Arroz irrigado'!$E69:$Z69)=0,0,MAX(0,IF((AT$6-$E$3)&lt;1,0,IFERROR(LOOKUP(2,1/('Arroz irrigado'!$E69:INDEX('Arroz irrigado'!$E69:$Z69,MIN(AT$6-$E$3,22))&lt;&gt;""),'Arroz irrigado'!$E69:INDEX('Arroz irrigado'!$E69:$Z69,MIN(AT$6-$E$3,22))),0))-IF($G$2,0,IF((AT$6-$G$3)&lt;1,0,IFERROR(LOOKUP(2,1/('Arroz irrigado'!$E69:INDEX('Arroz irrigado'!$E69:$Z69,MIN(AT$6-$G$3,22))&lt;&gt;""),'Arroz irrigado'!$E69:INDEX('Arroz irrigado'!$E69:$Z69,MIN(AT$6-$G$3,22))),0)))))</f>
        <v>0</v>
      </c>
      <c r="AU71" s="27" t="n">
        <f aca="false">IF(COUNT('Arroz irrigado'!$E69:$Z69)=0,0,MAX(0,IF((AU$6-$E$3)&lt;1,0,IFERROR(LOOKUP(2,1/('Arroz irrigado'!$E69:INDEX('Arroz irrigado'!$E69:$Z69,MIN(AU$6-$E$3,22))&lt;&gt;""),'Arroz irrigado'!$E69:INDEX('Arroz irrigado'!$E69:$Z69,MIN(AU$6-$E$3,22))),0))-IF($G$2,0,IF((AU$6-$G$3)&lt;1,0,IFERROR(LOOKUP(2,1/('Arroz irrigado'!$E69:INDEX('Arroz irrigado'!$E69:$Z69,MIN(AU$6-$G$3,22))&lt;&gt;""),'Arroz irrigado'!$E69:INDEX('Arroz irrigado'!$E69:$Z69,MIN(AU$6-$G$3,22))),0)))))</f>
        <v>0</v>
      </c>
      <c r="AV71" s="27" t="n">
        <f aca="false">IF(COUNT('Arroz irrigado'!$E69:$Z69)=0,0,MAX(0,IF((AV$6-$E$3)&lt;1,0,IFERROR(LOOKUP(2,1/('Arroz irrigado'!$E69:INDEX('Arroz irrigado'!$E69:$Z69,MIN(AV$6-$E$3,22))&lt;&gt;""),'Arroz irrigado'!$E69:INDEX('Arroz irrigado'!$E69:$Z69,MIN(AV$6-$E$3,22))),0))-IF($G$2,0,IF((AV$6-$G$3)&lt;1,0,IFERROR(LOOKUP(2,1/('Arroz irrigado'!$E69:INDEX('Arroz irrigado'!$E69:$Z69,MIN(AV$6-$G$3,22))&lt;&gt;""),'Arroz irrigado'!$E69:INDEX('Arroz irrigado'!$E69:$Z69,MIN(AV$6-$G$3,22))),0)))))</f>
        <v>0</v>
      </c>
      <c r="AW71" s="27" t="n">
        <f aca="false">IF(COUNT('Arroz irrigado'!$E69:$Z69)=0,0,MAX(0,IF((AW$6-$E$3)&lt;1,0,IFERROR(LOOKUP(2,1/('Arroz irrigado'!$E69:INDEX('Arroz irrigado'!$E69:$Z69,MIN(AW$6-$E$3,22))&lt;&gt;""),'Arroz irrigado'!$E69:INDEX('Arroz irrigado'!$E69:$Z69,MIN(AW$6-$E$3,22))),0))-IF($G$2,0,IF((AW$6-$G$3)&lt;1,0,IFERROR(LOOKUP(2,1/('Arroz irrigado'!$E69:INDEX('Arroz irrigado'!$E69:$Z69,MIN(AW$6-$G$3,22))&lt;&gt;""),'Arroz irrigado'!$E69:INDEX('Arroz irrigado'!$E69:$Z69,MIN(AW$6-$G$3,22))),0)))))</f>
        <v>0</v>
      </c>
      <c r="AX71" s="27" t="n">
        <f aca="false">IF(COUNT('Arroz irrigado'!$E69:$Z69)=0,0,MAX(0,IF((AX$6-$E$3)&lt;1,0,IFERROR(LOOKUP(2,1/('Arroz irrigado'!$E69:INDEX('Arroz irrigado'!$E69:$Z69,MIN(AX$6-$E$3,22))&lt;&gt;""),'Arroz irrigado'!$E69:INDEX('Arroz irrigado'!$E69:$Z69,MIN(AX$6-$E$3,22))),0))-IF($G$2,0,IF((AX$6-$G$3)&lt;1,0,IFERROR(LOOKUP(2,1/('Arroz irrigado'!$E69:INDEX('Arroz irrigado'!$E69:$Z69,MIN(AX$6-$G$3,22))&lt;&gt;""),'Arroz irrigado'!$E69:INDEX('Arroz irrigado'!$E69:$Z69,MIN(AX$6-$G$3,22))),0)))))</f>
        <v>0</v>
      </c>
      <c r="AY71" s="27" t="n">
        <f aca="false">IF(COUNT('Arroz irrigado'!$E69:$Z69)=0,0,MAX(0,IF((AY$6-$E$3)&lt;1,0,IFERROR(LOOKUP(2,1/('Arroz irrigado'!$E69:INDEX('Arroz irrigado'!$E69:$Z69,MIN(AY$6-$E$3,22))&lt;&gt;""),'Arroz irrigado'!$E69:INDEX('Arroz irrigado'!$E69:$Z69,MIN(AY$6-$E$3,22))),0))-IF($G$2,0,IF((AY$6-$G$3)&lt;1,0,IFERROR(LOOKUP(2,1/('Arroz irrigado'!$E69:INDEX('Arroz irrigado'!$E69:$Z69,MIN(AY$6-$G$3,22))&lt;&gt;""),'Arroz irrigado'!$E69:INDEX('Arroz irrigado'!$E69:$Z69,MIN(AY$6-$G$3,22))),0)))))</f>
        <v>0</v>
      </c>
      <c r="AZ71" s="27" t="n">
        <f aca="false">IF(COUNT('Arroz irrigado'!$E69:$Z69)=0,0,MAX(0,IF((AZ$6-$E$3)&lt;1,0,IFERROR(LOOKUP(2,1/('Arroz irrigado'!$E69:INDEX('Arroz irrigado'!$E69:$Z69,MIN(AZ$6-$E$3,22))&lt;&gt;""),'Arroz irrigado'!$E69:INDEX('Arroz irrigado'!$E69:$Z69,MIN(AZ$6-$E$3,22))),0))-IF($G$2,0,IF((AZ$6-$G$3)&lt;1,0,IFERROR(LOOKUP(2,1/('Arroz irrigado'!$E69:INDEX('Arroz irrigado'!$E69:$Z69,MIN(AZ$6-$G$3,22))&lt;&gt;""),'Arroz irrigado'!$E69:INDEX('Arroz irrigado'!$E69:$Z69,MIN(AZ$6-$G$3,22))),0)))))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IF(COUNT('Arroz irrigado'!$E70:$Z70)&gt;0,N('Arroz irrigado'!$D70),0)</f>
        <v>0</v>
      </c>
      <c r="E72" s="27" t="n">
        <f aca="false">IF(COUNT('Arroz irrigado'!$E70:$Z70)=0,0,MAX(0,IF((E$6-$E$3)&lt;1,0,IFERROR(LOOKUP(2,1/('Arroz irrigado'!$E70:INDEX('Arroz irrigado'!$E70:$Z70,MIN(E$6-$E$3,22))&lt;&gt;""),'Arroz irrigado'!$E70:INDEX('Arroz irrigado'!$E70:$Z70,MIN(E$6-$E$3,22))),0))-IF($G$2,0,IF((E$6-$G$3)&lt;1,0,IFERROR(LOOKUP(2,1/('Arroz irrigado'!$E70:INDEX('Arroz irrigado'!$E70:$Z70,MIN(E$6-$G$3,22))&lt;&gt;""),'Arroz irrigado'!$E70:INDEX('Arroz irrigado'!$E70:$Z70,MIN(E$6-$G$3,22))),0)))))</f>
        <v>0</v>
      </c>
      <c r="F72" s="27" t="n">
        <f aca="false">IF(COUNT('Arroz irrigado'!$E70:$Z70)=0,0,MAX(0,IF((F$6-$E$3)&lt;1,0,IFERROR(LOOKUP(2,1/('Arroz irrigado'!$E70:INDEX('Arroz irrigado'!$E70:$Z70,MIN(F$6-$E$3,22))&lt;&gt;""),'Arroz irrigado'!$E70:INDEX('Arroz irrigado'!$E70:$Z70,MIN(F$6-$E$3,22))),0))-IF($G$2,0,IF((F$6-$G$3)&lt;1,0,IFERROR(LOOKUP(2,1/('Arroz irrigado'!$E70:INDEX('Arroz irrigado'!$E70:$Z70,MIN(F$6-$G$3,22))&lt;&gt;""),'Arroz irrigado'!$E70:INDEX('Arroz irrigado'!$E70:$Z70,MIN(F$6-$G$3,22))),0)))))</f>
        <v>0</v>
      </c>
      <c r="G72" s="27" t="n">
        <f aca="false">IF(COUNT('Arroz irrigado'!$E70:$Z70)=0,0,MAX(0,IF((G$6-$E$3)&lt;1,0,IFERROR(LOOKUP(2,1/('Arroz irrigado'!$E70:INDEX('Arroz irrigado'!$E70:$Z70,MIN(G$6-$E$3,22))&lt;&gt;""),'Arroz irrigado'!$E70:INDEX('Arroz irrigado'!$E70:$Z70,MIN(G$6-$E$3,22))),0))-IF($G$2,0,IF((G$6-$G$3)&lt;1,0,IFERROR(LOOKUP(2,1/('Arroz irrigado'!$E70:INDEX('Arroz irrigado'!$E70:$Z70,MIN(G$6-$G$3,22))&lt;&gt;""),'Arroz irrigado'!$E70:INDEX('Arroz irrigado'!$E70:$Z70,MIN(G$6-$G$3,22))),0)))))</f>
        <v>0</v>
      </c>
      <c r="H72" s="27" t="n">
        <f aca="false">IF(COUNT('Arroz irrigado'!$E70:$Z70)=0,0,MAX(0,IF((H$6-$E$3)&lt;1,0,IFERROR(LOOKUP(2,1/('Arroz irrigado'!$E70:INDEX('Arroz irrigado'!$E70:$Z70,MIN(H$6-$E$3,22))&lt;&gt;""),'Arroz irrigado'!$E70:INDEX('Arroz irrigado'!$E70:$Z70,MIN(H$6-$E$3,22))),0))-IF($G$2,0,IF((H$6-$G$3)&lt;1,0,IFERROR(LOOKUP(2,1/('Arroz irrigado'!$E70:INDEX('Arroz irrigado'!$E70:$Z70,MIN(H$6-$G$3,22))&lt;&gt;""),'Arroz irrigado'!$E70:INDEX('Arroz irrigado'!$E70:$Z70,MIN(H$6-$G$3,22))),0)))))</f>
        <v>0</v>
      </c>
      <c r="I72" s="27" t="n">
        <f aca="false">IF(COUNT('Arroz irrigado'!$E70:$Z70)=0,0,MAX(0,IF((I$6-$E$3)&lt;1,0,IFERROR(LOOKUP(2,1/('Arroz irrigado'!$E70:INDEX('Arroz irrigado'!$E70:$Z70,MIN(I$6-$E$3,22))&lt;&gt;""),'Arroz irrigado'!$E70:INDEX('Arroz irrigado'!$E70:$Z70,MIN(I$6-$E$3,22))),0))-IF($G$2,0,IF((I$6-$G$3)&lt;1,0,IFERROR(LOOKUP(2,1/('Arroz irrigado'!$E70:INDEX('Arroz irrigado'!$E70:$Z70,MIN(I$6-$G$3,22))&lt;&gt;""),'Arroz irrigado'!$E70:INDEX('Arroz irrigado'!$E70:$Z70,MIN(I$6-$G$3,22))),0)))))</f>
        <v>0</v>
      </c>
      <c r="J72" s="27" t="n">
        <f aca="false">IF(COUNT('Arroz irrigado'!$E70:$Z70)=0,0,MAX(0,IF((J$6-$E$3)&lt;1,0,IFERROR(LOOKUP(2,1/('Arroz irrigado'!$E70:INDEX('Arroz irrigado'!$E70:$Z70,MIN(J$6-$E$3,22))&lt;&gt;""),'Arroz irrigado'!$E70:INDEX('Arroz irrigado'!$E70:$Z70,MIN(J$6-$E$3,22))),0))-IF($G$2,0,IF((J$6-$G$3)&lt;1,0,IFERROR(LOOKUP(2,1/('Arroz irrigado'!$E70:INDEX('Arroz irrigado'!$E70:$Z70,MIN(J$6-$G$3,22))&lt;&gt;""),'Arroz irrigado'!$E70:INDEX('Arroz irrigado'!$E70:$Z70,MIN(J$6-$G$3,22))),0)))))</f>
        <v>0</v>
      </c>
      <c r="K72" s="27" t="n">
        <f aca="false">IF(COUNT('Arroz irrigado'!$E70:$Z70)=0,0,MAX(0,IF((K$6-$E$3)&lt;1,0,IFERROR(LOOKUP(2,1/('Arroz irrigado'!$E70:INDEX('Arroz irrigado'!$E70:$Z70,MIN(K$6-$E$3,22))&lt;&gt;""),'Arroz irrigado'!$E70:INDEX('Arroz irrigado'!$E70:$Z70,MIN(K$6-$E$3,22))),0))-IF($G$2,0,IF((K$6-$G$3)&lt;1,0,IFERROR(LOOKUP(2,1/('Arroz irrigado'!$E70:INDEX('Arroz irrigado'!$E70:$Z70,MIN(K$6-$G$3,22))&lt;&gt;""),'Arroz irrigado'!$E70:INDEX('Arroz irrigado'!$E70:$Z70,MIN(K$6-$G$3,22))),0)))))</f>
        <v>0</v>
      </c>
      <c r="L72" s="27" t="n">
        <f aca="false">IF(COUNT('Arroz irrigado'!$E70:$Z70)=0,0,MAX(0,IF((L$6-$E$3)&lt;1,0,IFERROR(LOOKUP(2,1/('Arroz irrigado'!$E70:INDEX('Arroz irrigado'!$E70:$Z70,MIN(L$6-$E$3,22))&lt;&gt;""),'Arroz irrigado'!$E70:INDEX('Arroz irrigado'!$E70:$Z70,MIN(L$6-$E$3,22))),0))-IF($G$2,0,IF((L$6-$G$3)&lt;1,0,IFERROR(LOOKUP(2,1/('Arroz irrigado'!$E70:INDEX('Arroz irrigado'!$E70:$Z70,MIN(L$6-$G$3,22))&lt;&gt;""),'Arroz irrigado'!$E70:INDEX('Arroz irrigado'!$E70:$Z70,MIN(L$6-$G$3,22))),0)))))</f>
        <v>0</v>
      </c>
      <c r="M72" s="27" t="n">
        <f aca="false">IF(COUNT('Arroz irrigado'!$E70:$Z70)=0,0,MAX(0,IF((M$6-$E$3)&lt;1,0,IFERROR(LOOKUP(2,1/('Arroz irrigado'!$E70:INDEX('Arroz irrigado'!$E70:$Z70,MIN(M$6-$E$3,22))&lt;&gt;""),'Arroz irrigado'!$E70:INDEX('Arroz irrigado'!$E70:$Z70,MIN(M$6-$E$3,22))),0))-IF($G$2,0,IF((M$6-$G$3)&lt;1,0,IFERROR(LOOKUP(2,1/('Arroz irrigado'!$E70:INDEX('Arroz irrigado'!$E70:$Z70,MIN(M$6-$G$3,22))&lt;&gt;""),'Arroz irrigado'!$E70:INDEX('Arroz irrigado'!$E70:$Z70,MIN(M$6-$G$3,22))),0)))))</f>
        <v>0</v>
      </c>
      <c r="N72" s="27" t="n">
        <f aca="false">IF(COUNT('Arroz irrigado'!$E70:$Z70)=0,0,MAX(0,IF((N$6-$E$3)&lt;1,0,IFERROR(LOOKUP(2,1/('Arroz irrigado'!$E70:INDEX('Arroz irrigado'!$E70:$Z70,MIN(N$6-$E$3,22))&lt;&gt;""),'Arroz irrigado'!$E70:INDEX('Arroz irrigado'!$E70:$Z70,MIN(N$6-$E$3,22))),0))-IF($G$2,0,IF((N$6-$G$3)&lt;1,0,IFERROR(LOOKUP(2,1/('Arroz irrigado'!$E70:INDEX('Arroz irrigado'!$E70:$Z70,MIN(N$6-$G$3,22))&lt;&gt;""),'Arroz irrigado'!$E70:INDEX('Arroz irrigado'!$E70:$Z70,MIN(N$6-$G$3,22))),0)))))</f>
        <v>0</v>
      </c>
      <c r="O72" s="27" t="n">
        <f aca="false">IF(COUNT('Arroz irrigado'!$E70:$Z70)=0,0,MAX(0,IF((O$6-$E$3)&lt;1,0,IFERROR(LOOKUP(2,1/('Arroz irrigado'!$E70:INDEX('Arroz irrigado'!$E70:$Z70,MIN(O$6-$E$3,22))&lt;&gt;""),'Arroz irrigado'!$E70:INDEX('Arroz irrigado'!$E70:$Z70,MIN(O$6-$E$3,22))),0))-IF($G$2,0,IF((O$6-$G$3)&lt;1,0,IFERROR(LOOKUP(2,1/('Arroz irrigado'!$E70:INDEX('Arroz irrigado'!$E70:$Z70,MIN(O$6-$G$3,22))&lt;&gt;""),'Arroz irrigado'!$E70:INDEX('Arroz irrigado'!$E70:$Z70,MIN(O$6-$G$3,22))),0)))))</f>
        <v>0</v>
      </c>
      <c r="P72" s="27" t="n">
        <f aca="false">IF(COUNT('Arroz irrigado'!$E70:$Z70)=0,0,MAX(0,IF((P$6-$E$3)&lt;1,0,IFERROR(LOOKUP(2,1/('Arroz irrigado'!$E70:INDEX('Arroz irrigado'!$E70:$Z70,MIN(P$6-$E$3,22))&lt;&gt;""),'Arroz irrigado'!$E70:INDEX('Arroz irrigado'!$E70:$Z70,MIN(P$6-$E$3,22))),0))-IF($G$2,0,IF((P$6-$G$3)&lt;1,0,IFERROR(LOOKUP(2,1/('Arroz irrigado'!$E70:INDEX('Arroz irrigado'!$E70:$Z70,MIN(P$6-$G$3,22))&lt;&gt;""),'Arroz irrigado'!$E70:INDEX('Arroz irrigado'!$E70:$Z70,MIN(P$6-$G$3,22))),0)))))</f>
        <v>0</v>
      </c>
      <c r="Q72" s="27" t="n">
        <f aca="false">IF(COUNT('Arroz irrigado'!$E70:$Z70)=0,0,MAX(0,IF((Q$6-$E$3)&lt;1,0,IFERROR(LOOKUP(2,1/('Arroz irrigado'!$E70:INDEX('Arroz irrigado'!$E70:$Z70,MIN(Q$6-$E$3,22))&lt;&gt;""),'Arroz irrigado'!$E70:INDEX('Arroz irrigado'!$E70:$Z70,MIN(Q$6-$E$3,22))),0))-IF($G$2,0,IF((Q$6-$G$3)&lt;1,0,IFERROR(LOOKUP(2,1/('Arroz irrigado'!$E70:INDEX('Arroz irrigado'!$E70:$Z70,MIN(Q$6-$G$3,22))&lt;&gt;""),'Arroz irrigado'!$E70:INDEX('Arroz irrigado'!$E70:$Z70,MIN(Q$6-$G$3,22))),0)))))</f>
        <v>0</v>
      </c>
      <c r="R72" s="27" t="n">
        <f aca="false">IF(COUNT('Arroz irrigado'!$E70:$Z70)=0,0,MAX(0,IF((R$6-$E$3)&lt;1,0,IFERROR(LOOKUP(2,1/('Arroz irrigado'!$E70:INDEX('Arroz irrigado'!$E70:$Z70,MIN(R$6-$E$3,22))&lt;&gt;""),'Arroz irrigado'!$E70:INDEX('Arroz irrigado'!$E70:$Z70,MIN(R$6-$E$3,22))),0))-IF($G$2,0,IF((R$6-$G$3)&lt;1,0,IFERROR(LOOKUP(2,1/('Arroz irrigado'!$E70:INDEX('Arroz irrigado'!$E70:$Z70,MIN(R$6-$G$3,22))&lt;&gt;""),'Arroz irrigado'!$E70:INDEX('Arroz irrigado'!$E70:$Z70,MIN(R$6-$G$3,22))),0)))))</f>
        <v>0</v>
      </c>
      <c r="S72" s="27" t="n">
        <f aca="false">IF(COUNT('Arroz irrigado'!$E70:$Z70)=0,0,MAX(0,IF((S$6-$E$3)&lt;1,0,IFERROR(LOOKUP(2,1/('Arroz irrigado'!$E70:INDEX('Arroz irrigado'!$E70:$Z70,MIN(S$6-$E$3,22))&lt;&gt;""),'Arroz irrigado'!$E70:INDEX('Arroz irrigado'!$E70:$Z70,MIN(S$6-$E$3,22))),0))-IF($G$2,0,IF((S$6-$G$3)&lt;1,0,IFERROR(LOOKUP(2,1/('Arroz irrigado'!$E70:INDEX('Arroz irrigado'!$E70:$Z70,MIN(S$6-$G$3,22))&lt;&gt;""),'Arroz irrigado'!$E70:INDEX('Arroz irrigado'!$E70:$Z70,MIN(S$6-$G$3,22))),0)))))</f>
        <v>0</v>
      </c>
      <c r="T72" s="27" t="n">
        <f aca="false">IF(COUNT('Arroz irrigado'!$E70:$Z70)=0,0,MAX(0,IF((T$6-$E$3)&lt;1,0,IFERROR(LOOKUP(2,1/('Arroz irrigado'!$E70:INDEX('Arroz irrigado'!$E70:$Z70,MIN(T$6-$E$3,22))&lt;&gt;""),'Arroz irrigado'!$E70:INDEX('Arroz irrigado'!$E70:$Z70,MIN(T$6-$E$3,22))),0))-IF($G$2,0,IF((T$6-$G$3)&lt;1,0,IFERROR(LOOKUP(2,1/('Arroz irrigado'!$E70:INDEX('Arroz irrigado'!$E70:$Z70,MIN(T$6-$G$3,22))&lt;&gt;""),'Arroz irrigado'!$E70:INDEX('Arroz irrigado'!$E70:$Z70,MIN(T$6-$G$3,22))),0)))))</f>
        <v>0</v>
      </c>
      <c r="U72" s="27" t="n">
        <f aca="false">IF(COUNT('Arroz irrigado'!$E70:$Z70)=0,0,MAX(0,IF((U$6-$E$3)&lt;1,0,IFERROR(LOOKUP(2,1/('Arroz irrigado'!$E70:INDEX('Arroz irrigado'!$E70:$Z70,MIN(U$6-$E$3,22))&lt;&gt;""),'Arroz irrigado'!$E70:INDEX('Arroz irrigado'!$E70:$Z70,MIN(U$6-$E$3,22))),0))-IF($G$2,0,IF((U$6-$G$3)&lt;1,0,IFERROR(LOOKUP(2,1/('Arroz irrigado'!$E70:INDEX('Arroz irrigado'!$E70:$Z70,MIN(U$6-$G$3,22))&lt;&gt;""),'Arroz irrigado'!$E70:INDEX('Arroz irrigado'!$E70:$Z70,MIN(U$6-$G$3,22))),0)))))</f>
        <v>0</v>
      </c>
      <c r="V72" s="27" t="n">
        <f aca="false">IF(COUNT('Arroz irrigado'!$E70:$Z70)=0,0,MAX(0,IF((V$6-$E$3)&lt;1,0,IFERROR(LOOKUP(2,1/('Arroz irrigado'!$E70:INDEX('Arroz irrigado'!$E70:$Z70,MIN(V$6-$E$3,22))&lt;&gt;""),'Arroz irrigado'!$E70:INDEX('Arroz irrigado'!$E70:$Z70,MIN(V$6-$E$3,22))),0))-IF($G$2,0,IF((V$6-$G$3)&lt;1,0,IFERROR(LOOKUP(2,1/('Arroz irrigado'!$E70:INDEX('Arroz irrigado'!$E70:$Z70,MIN(V$6-$G$3,22))&lt;&gt;""),'Arroz irrigado'!$E70:INDEX('Arroz irrigado'!$E70:$Z70,MIN(V$6-$G$3,22))),0)))))</f>
        <v>0</v>
      </c>
      <c r="W72" s="27" t="n">
        <f aca="false">IF(COUNT('Arroz irrigado'!$E70:$Z70)=0,0,MAX(0,IF((W$6-$E$3)&lt;1,0,IFERROR(LOOKUP(2,1/('Arroz irrigado'!$E70:INDEX('Arroz irrigado'!$E70:$Z70,MIN(W$6-$E$3,22))&lt;&gt;""),'Arroz irrigado'!$E70:INDEX('Arroz irrigado'!$E70:$Z70,MIN(W$6-$E$3,22))),0))-IF($G$2,0,IF((W$6-$G$3)&lt;1,0,IFERROR(LOOKUP(2,1/('Arroz irrigado'!$E70:INDEX('Arroz irrigado'!$E70:$Z70,MIN(W$6-$G$3,22))&lt;&gt;""),'Arroz irrigado'!$E70:INDEX('Arroz irrigado'!$E70:$Z70,MIN(W$6-$G$3,22))),0)))))</f>
        <v>0</v>
      </c>
      <c r="X72" s="27" t="n">
        <f aca="false">IF(COUNT('Arroz irrigado'!$E70:$Z70)=0,0,MAX(0,IF((X$6-$E$3)&lt;1,0,IFERROR(LOOKUP(2,1/('Arroz irrigado'!$E70:INDEX('Arroz irrigado'!$E70:$Z70,MIN(X$6-$E$3,22))&lt;&gt;""),'Arroz irrigado'!$E70:INDEX('Arroz irrigado'!$E70:$Z70,MIN(X$6-$E$3,22))),0))-IF($G$2,0,IF((X$6-$G$3)&lt;1,0,IFERROR(LOOKUP(2,1/('Arroz irrigado'!$E70:INDEX('Arroz irrigado'!$E70:$Z70,MIN(X$6-$G$3,22))&lt;&gt;""),'Arroz irrigado'!$E70:INDEX('Arroz irrigado'!$E70:$Z70,MIN(X$6-$G$3,22))),0)))))</f>
        <v>0</v>
      </c>
      <c r="Y72" s="27" t="n">
        <f aca="false">IF(COUNT('Arroz irrigado'!$E70:$Z70)=0,0,MAX(0,IF((Y$6-$E$3)&lt;1,0,IFERROR(LOOKUP(2,1/('Arroz irrigado'!$E70:INDEX('Arroz irrigado'!$E70:$Z70,MIN(Y$6-$E$3,22))&lt;&gt;""),'Arroz irrigado'!$E70:INDEX('Arroz irrigado'!$E70:$Z70,MIN(Y$6-$E$3,22))),0))-IF($G$2,0,IF((Y$6-$G$3)&lt;1,0,IFERROR(LOOKUP(2,1/('Arroz irrigado'!$E70:INDEX('Arroz irrigado'!$E70:$Z70,MIN(Y$6-$G$3,22))&lt;&gt;""),'Arroz irrigado'!$E70:INDEX('Arroz irrigado'!$E70:$Z70,MIN(Y$6-$G$3,22))),0)))))</f>
        <v>0</v>
      </c>
      <c r="Z72" s="27" t="n">
        <f aca="false">IF(COUNT('Arroz irrigado'!$E70:$Z70)=0,0,MAX(0,IF((Z$6-$E$3)&lt;1,0,IFERROR(LOOKUP(2,1/('Arroz irrigado'!$E70:INDEX('Arroz irrigado'!$E70:$Z70,MIN(Z$6-$E$3,22))&lt;&gt;""),'Arroz irrigado'!$E70:INDEX('Arroz irrigado'!$E70:$Z70,MIN(Z$6-$E$3,22))),0))-IF($G$2,0,IF((Z$6-$G$3)&lt;1,0,IFERROR(LOOKUP(2,1/('Arroz irrigado'!$E70:INDEX('Arroz irrigado'!$E70:$Z70,MIN(Z$6-$G$3,22))&lt;&gt;""),'Arroz irrigado'!$E70:INDEX('Arroz irrigado'!$E70:$Z70,MIN(Z$6-$G$3,22))),0)))))</f>
        <v>0</v>
      </c>
      <c r="AA72" s="27" t="n">
        <f aca="false">IF(COUNT('Arroz irrigado'!$E70:$Z70)=0,0,MAX(0,IF((AA$6-$E$3)&lt;1,0,IFERROR(LOOKUP(2,1/('Arroz irrigado'!$E70:INDEX('Arroz irrigado'!$E70:$Z70,MIN(AA$6-$E$3,22))&lt;&gt;""),'Arroz irrigado'!$E70:INDEX('Arroz irrigado'!$E70:$Z70,MIN(AA$6-$E$3,22))),0))-IF($G$2,0,IF((AA$6-$G$3)&lt;1,0,IFERROR(LOOKUP(2,1/('Arroz irrigado'!$E70:INDEX('Arroz irrigado'!$E70:$Z70,MIN(AA$6-$G$3,22))&lt;&gt;""),'Arroz irrigado'!$E70:INDEX('Arroz irrigado'!$E70:$Z70,MIN(AA$6-$G$3,22))),0)))))</f>
        <v>0</v>
      </c>
      <c r="AB72" s="27" t="n">
        <f aca="false">IF(COUNT('Arroz irrigado'!$E70:$Z70)=0,0,MAX(0,IF((AB$6-$E$3)&lt;1,0,IFERROR(LOOKUP(2,1/('Arroz irrigado'!$E70:INDEX('Arroz irrigado'!$E70:$Z70,MIN(AB$6-$E$3,22))&lt;&gt;""),'Arroz irrigado'!$E70:INDEX('Arroz irrigado'!$E70:$Z70,MIN(AB$6-$E$3,22))),0))-IF($G$2,0,IF((AB$6-$G$3)&lt;1,0,IFERROR(LOOKUP(2,1/('Arroz irrigado'!$E70:INDEX('Arroz irrigado'!$E70:$Z70,MIN(AB$6-$G$3,22))&lt;&gt;""),'Arroz irrigado'!$E70:INDEX('Arroz irrigado'!$E70:$Z70,MIN(AB$6-$G$3,22))),0)))))</f>
        <v>0</v>
      </c>
      <c r="AC72" s="27" t="n">
        <f aca="false">IF(COUNT('Arroz irrigado'!$E70:$Z70)=0,0,MAX(0,IF((AC$6-$E$3)&lt;1,0,IFERROR(LOOKUP(2,1/('Arroz irrigado'!$E70:INDEX('Arroz irrigado'!$E70:$Z70,MIN(AC$6-$E$3,22))&lt;&gt;""),'Arroz irrigado'!$E70:INDEX('Arroz irrigado'!$E70:$Z70,MIN(AC$6-$E$3,22))),0))-IF($G$2,0,IF((AC$6-$G$3)&lt;1,0,IFERROR(LOOKUP(2,1/('Arroz irrigado'!$E70:INDEX('Arroz irrigado'!$E70:$Z70,MIN(AC$6-$G$3,22))&lt;&gt;""),'Arroz irrigado'!$E70:INDEX('Arroz irrigado'!$E70:$Z70,MIN(AC$6-$G$3,22))),0)))))</f>
        <v>0</v>
      </c>
      <c r="AD72" s="27" t="n">
        <f aca="false">IF(COUNT('Arroz irrigado'!$E70:$Z70)=0,0,MAX(0,IF((AD$6-$E$3)&lt;1,0,IFERROR(LOOKUP(2,1/('Arroz irrigado'!$E70:INDEX('Arroz irrigado'!$E70:$Z70,MIN(AD$6-$E$3,22))&lt;&gt;""),'Arroz irrigado'!$E70:INDEX('Arroz irrigado'!$E70:$Z70,MIN(AD$6-$E$3,22))),0))-IF($G$2,0,IF((AD$6-$G$3)&lt;1,0,IFERROR(LOOKUP(2,1/('Arroz irrigado'!$E70:INDEX('Arroz irrigado'!$E70:$Z70,MIN(AD$6-$G$3,22))&lt;&gt;""),'Arroz irrigado'!$E70:INDEX('Arroz irrigado'!$E70:$Z70,MIN(AD$6-$G$3,22))),0)))))</f>
        <v>0</v>
      </c>
      <c r="AE72" s="27" t="n">
        <f aca="false">IF(COUNT('Arroz irrigado'!$E70:$Z70)=0,0,MAX(0,IF((AE$6-$E$3)&lt;1,0,IFERROR(LOOKUP(2,1/('Arroz irrigado'!$E70:INDEX('Arroz irrigado'!$E70:$Z70,MIN(AE$6-$E$3,22))&lt;&gt;""),'Arroz irrigado'!$E70:INDEX('Arroz irrigado'!$E70:$Z70,MIN(AE$6-$E$3,22))),0))-IF($G$2,0,IF((AE$6-$G$3)&lt;1,0,IFERROR(LOOKUP(2,1/('Arroz irrigado'!$E70:INDEX('Arroz irrigado'!$E70:$Z70,MIN(AE$6-$G$3,22))&lt;&gt;""),'Arroz irrigado'!$E70:INDEX('Arroz irrigado'!$E70:$Z70,MIN(AE$6-$G$3,22))),0)))))</f>
        <v>0</v>
      </c>
      <c r="AF72" s="27" t="n">
        <f aca="false">IF(COUNT('Arroz irrigado'!$E70:$Z70)=0,0,MAX(0,IF((AF$6-$E$3)&lt;1,0,IFERROR(LOOKUP(2,1/('Arroz irrigado'!$E70:INDEX('Arroz irrigado'!$E70:$Z70,MIN(AF$6-$E$3,22))&lt;&gt;""),'Arroz irrigado'!$E70:INDEX('Arroz irrigado'!$E70:$Z70,MIN(AF$6-$E$3,22))),0))-IF($G$2,0,IF((AF$6-$G$3)&lt;1,0,IFERROR(LOOKUP(2,1/('Arroz irrigado'!$E70:INDEX('Arroz irrigado'!$E70:$Z70,MIN(AF$6-$G$3,22))&lt;&gt;""),'Arroz irrigado'!$E70:INDEX('Arroz irrigado'!$E70:$Z70,MIN(AF$6-$G$3,22))),0)))))</f>
        <v>0</v>
      </c>
      <c r="AG72" s="27" t="n">
        <f aca="false">IF(COUNT('Arroz irrigado'!$E70:$Z70)=0,0,MAX(0,IF((AG$6-$E$3)&lt;1,0,IFERROR(LOOKUP(2,1/('Arroz irrigado'!$E70:INDEX('Arroz irrigado'!$E70:$Z70,MIN(AG$6-$E$3,22))&lt;&gt;""),'Arroz irrigado'!$E70:INDEX('Arroz irrigado'!$E70:$Z70,MIN(AG$6-$E$3,22))),0))-IF($G$2,0,IF((AG$6-$G$3)&lt;1,0,IFERROR(LOOKUP(2,1/('Arroz irrigado'!$E70:INDEX('Arroz irrigado'!$E70:$Z70,MIN(AG$6-$G$3,22))&lt;&gt;""),'Arroz irrigado'!$E70:INDEX('Arroz irrigado'!$E70:$Z70,MIN(AG$6-$G$3,22))),0)))))</f>
        <v>0</v>
      </c>
      <c r="AH72" s="27" t="n">
        <f aca="false">IF(COUNT('Arroz irrigado'!$E70:$Z70)=0,0,MAX(0,IF((AH$6-$E$3)&lt;1,0,IFERROR(LOOKUP(2,1/('Arroz irrigado'!$E70:INDEX('Arroz irrigado'!$E70:$Z70,MIN(AH$6-$E$3,22))&lt;&gt;""),'Arroz irrigado'!$E70:INDEX('Arroz irrigado'!$E70:$Z70,MIN(AH$6-$E$3,22))),0))-IF($G$2,0,IF((AH$6-$G$3)&lt;1,0,IFERROR(LOOKUP(2,1/('Arroz irrigado'!$E70:INDEX('Arroz irrigado'!$E70:$Z70,MIN(AH$6-$G$3,22))&lt;&gt;""),'Arroz irrigado'!$E70:INDEX('Arroz irrigado'!$E70:$Z70,MIN(AH$6-$G$3,22))),0)))))</f>
        <v>0</v>
      </c>
      <c r="AI72" s="27" t="n">
        <f aca="false">IF(COUNT('Arroz irrigado'!$E70:$Z70)=0,0,MAX(0,IF((AI$6-$E$3)&lt;1,0,IFERROR(LOOKUP(2,1/('Arroz irrigado'!$E70:INDEX('Arroz irrigado'!$E70:$Z70,MIN(AI$6-$E$3,22))&lt;&gt;""),'Arroz irrigado'!$E70:INDEX('Arroz irrigado'!$E70:$Z70,MIN(AI$6-$E$3,22))),0))-IF($G$2,0,IF((AI$6-$G$3)&lt;1,0,IFERROR(LOOKUP(2,1/('Arroz irrigado'!$E70:INDEX('Arroz irrigado'!$E70:$Z70,MIN(AI$6-$G$3,22))&lt;&gt;""),'Arroz irrigado'!$E70:INDEX('Arroz irrigado'!$E70:$Z70,MIN(AI$6-$G$3,22))),0)))))</f>
        <v>0</v>
      </c>
      <c r="AJ72" s="27" t="n">
        <f aca="false">IF(COUNT('Arroz irrigado'!$E70:$Z70)=0,0,MAX(0,IF((AJ$6-$E$3)&lt;1,0,IFERROR(LOOKUP(2,1/('Arroz irrigado'!$E70:INDEX('Arroz irrigado'!$E70:$Z70,MIN(AJ$6-$E$3,22))&lt;&gt;""),'Arroz irrigado'!$E70:INDEX('Arroz irrigado'!$E70:$Z70,MIN(AJ$6-$E$3,22))),0))-IF($G$2,0,IF((AJ$6-$G$3)&lt;1,0,IFERROR(LOOKUP(2,1/('Arroz irrigado'!$E70:INDEX('Arroz irrigado'!$E70:$Z70,MIN(AJ$6-$G$3,22))&lt;&gt;""),'Arroz irrigado'!$E70:INDEX('Arroz irrigado'!$E70:$Z70,MIN(AJ$6-$G$3,22))),0)))))</f>
        <v>0</v>
      </c>
      <c r="AK72" s="27" t="n">
        <f aca="false">IF(COUNT('Arroz irrigado'!$E70:$Z70)=0,0,MAX(0,IF((AK$6-$E$3)&lt;1,0,IFERROR(LOOKUP(2,1/('Arroz irrigado'!$E70:INDEX('Arroz irrigado'!$E70:$Z70,MIN(AK$6-$E$3,22))&lt;&gt;""),'Arroz irrigado'!$E70:INDEX('Arroz irrigado'!$E70:$Z70,MIN(AK$6-$E$3,22))),0))-IF($G$2,0,IF((AK$6-$G$3)&lt;1,0,IFERROR(LOOKUP(2,1/('Arroz irrigado'!$E70:INDEX('Arroz irrigado'!$E70:$Z70,MIN(AK$6-$G$3,22))&lt;&gt;""),'Arroz irrigado'!$E70:INDEX('Arroz irrigado'!$E70:$Z70,MIN(AK$6-$G$3,22))),0)))))</f>
        <v>0</v>
      </c>
      <c r="AL72" s="27" t="n">
        <f aca="false">IF(COUNT('Arroz irrigado'!$E70:$Z70)=0,0,MAX(0,IF((AL$6-$E$3)&lt;1,0,IFERROR(LOOKUP(2,1/('Arroz irrigado'!$E70:INDEX('Arroz irrigado'!$E70:$Z70,MIN(AL$6-$E$3,22))&lt;&gt;""),'Arroz irrigado'!$E70:INDEX('Arroz irrigado'!$E70:$Z70,MIN(AL$6-$E$3,22))),0))-IF($G$2,0,IF((AL$6-$G$3)&lt;1,0,IFERROR(LOOKUP(2,1/('Arroz irrigado'!$E70:INDEX('Arroz irrigado'!$E70:$Z70,MIN(AL$6-$G$3,22))&lt;&gt;""),'Arroz irrigado'!$E70:INDEX('Arroz irrigado'!$E70:$Z70,MIN(AL$6-$G$3,22))),0)))))</f>
        <v>0</v>
      </c>
      <c r="AM72" s="27" t="n">
        <f aca="false">IF(COUNT('Arroz irrigado'!$E70:$Z70)=0,0,MAX(0,IF((AM$6-$E$3)&lt;1,0,IFERROR(LOOKUP(2,1/('Arroz irrigado'!$E70:INDEX('Arroz irrigado'!$E70:$Z70,MIN(AM$6-$E$3,22))&lt;&gt;""),'Arroz irrigado'!$E70:INDEX('Arroz irrigado'!$E70:$Z70,MIN(AM$6-$E$3,22))),0))-IF($G$2,0,IF((AM$6-$G$3)&lt;1,0,IFERROR(LOOKUP(2,1/('Arroz irrigado'!$E70:INDEX('Arroz irrigado'!$E70:$Z70,MIN(AM$6-$G$3,22))&lt;&gt;""),'Arroz irrigado'!$E70:INDEX('Arroz irrigado'!$E70:$Z70,MIN(AM$6-$G$3,22))),0)))))</f>
        <v>0</v>
      </c>
      <c r="AN72" s="27" t="n">
        <f aca="false">IF(COUNT('Arroz irrigado'!$E70:$Z70)=0,0,MAX(0,IF((AN$6-$E$3)&lt;1,0,IFERROR(LOOKUP(2,1/('Arroz irrigado'!$E70:INDEX('Arroz irrigado'!$E70:$Z70,MIN(AN$6-$E$3,22))&lt;&gt;""),'Arroz irrigado'!$E70:INDEX('Arroz irrigado'!$E70:$Z70,MIN(AN$6-$E$3,22))),0))-IF($G$2,0,IF((AN$6-$G$3)&lt;1,0,IFERROR(LOOKUP(2,1/('Arroz irrigado'!$E70:INDEX('Arroz irrigado'!$E70:$Z70,MIN(AN$6-$G$3,22))&lt;&gt;""),'Arroz irrigado'!$E70:INDEX('Arroz irrigado'!$E70:$Z70,MIN(AN$6-$G$3,22))),0)))))</f>
        <v>0</v>
      </c>
      <c r="AO72" s="27" t="n">
        <f aca="false">IF(COUNT('Arroz irrigado'!$E70:$Z70)=0,0,MAX(0,IF((AO$6-$E$3)&lt;1,0,IFERROR(LOOKUP(2,1/('Arroz irrigado'!$E70:INDEX('Arroz irrigado'!$E70:$Z70,MIN(AO$6-$E$3,22))&lt;&gt;""),'Arroz irrigado'!$E70:INDEX('Arroz irrigado'!$E70:$Z70,MIN(AO$6-$E$3,22))),0))-IF($G$2,0,IF((AO$6-$G$3)&lt;1,0,IFERROR(LOOKUP(2,1/('Arroz irrigado'!$E70:INDEX('Arroz irrigado'!$E70:$Z70,MIN(AO$6-$G$3,22))&lt;&gt;""),'Arroz irrigado'!$E70:INDEX('Arroz irrigado'!$E70:$Z70,MIN(AO$6-$G$3,22))),0)))))</f>
        <v>0</v>
      </c>
      <c r="AP72" s="27" t="n">
        <f aca="false">IF(COUNT('Arroz irrigado'!$E70:$Z70)=0,0,MAX(0,IF((AP$6-$E$3)&lt;1,0,IFERROR(LOOKUP(2,1/('Arroz irrigado'!$E70:INDEX('Arroz irrigado'!$E70:$Z70,MIN(AP$6-$E$3,22))&lt;&gt;""),'Arroz irrigado'!$E70:INDEX('Arroz irrigado'!$E70:$Z70,MIN(AP$6-$E$3,22))),0))-IF($G$2,0,IF((AP$6-$G$3)&lt;1,0,IFERROR(LOOKUP(2,1/('Arroz irrigado'!$E70:INDEX('Arroz irrigado'!$E70:$Z70,MIN(AP$6-$G$3,22))&lt;&gt;""),'Arroz irrigado'!$E70:INDEX('Arroz irrigado'!$E70:$Z70,MIN(AP$6-$G$3,22))),0)))))</f>
        <v>0</v>
      </c>
      <c r="AQ72" s="27" t="n">
        <f aca="false">IF(COUNT('Arroz irrigado'!$E70:$Z70)=0,0,MAX(0,IF((AQ$6-$E$3)&lt;1,0,IFERROR(LOOKUP(2,1/('Arroz irrigado'!$E70:INDEX('Arroz irrigado'!$E70:$Z70,MIN(AQ$6-$E$3,22))&lt;&gt;""),'Arroz irrigado'!$E70:INDEX('Arroz irrigado'!$E70:$Z70,MIN(AQ$6-$E$3,22))),0))-IF($G$2,0,IF((AQ$6-$G$3)&lt;1,0,IFERROR(LOOKUP(2,1/('Arroz irrigado'!$E70:INDEX('Arroz irrigado'!$E70:$Z70,MIN(AQ$6-$G$3,22))&lt;&gt;""),'Arroz irrigado'!$E70:INDEX('Arroz irrigado'!$E70:$Z70,MIN(AQ$6-$G$3,22))),0)))))</f>
        <v>0</v>
      </c>
      <c r="AR72" s="27" t="n">
        <f aca="false">IF(COUNT('Arroz irrigado'!$E70:$Z70)=0,0,MAX(0,IF((AR$6-$E$3)&lt;1,0,IFERROR(LOOKUP(2,1/('Arroz irrigado'!$E70:INDEX('Arroz irrigado'!$E70:$Z70,MIN(AR$6-$E$3,22))&lt;&gt;""),'Arroz irrigado'!$E70:INDEX('Arroz irrigado'!$E70:$Z70,MIN(AR$6-$E$3,22))),0))-IF($G$2,0,IF((AR$6-$G$3)&lt;1,0,IFERROR(LOOKUP(2,1/('Arroz irrigado'!$E70:INDEX('Arroz irrigado'!$E70:$Z70,MIN(AR$6-$G$3,22))&lt;&gt;""),'Arroz irrigado'!$E70:INDEX('Arroz irrigado'!$E70:$Z70,MIN(AR$6-$G$3,22))),0)))))</f>
        <v>0</v>
      </c>
      <c r="AS72" s="27" t="n">
        <f aca="false">IF(COUNT('Arroz irrigado'!$E70:$Z70)=0,0,MAX(0,IF((AS$6-$E$3)&lt;1,0,IFERROR(LOOKUP(2,1/('Arroz irrigado'!$E70:INDEX('Arroz irrigado'!$E70:$Z70,MIN(AS$6-$E$3,22))&lt;&gt;""),'Arroz irrigado'!$E70:INDEX('Arroz irrigado'!$E70:$Z70,MIN(AS$6-$E$3,22))),0))-IF($G$2,0,IF((AS$6-$G$3)&lt;1,0,IFERROR(LOOKUP(2,1/('Arroz irrigado'!$E70:INDEX('Arroz irrigado'!$E70:$Z70,MIN(AS$6-$G$3,22))&lt;&gt;""),'Arroz irrigado'!$E70:INDEX('Arroz irrigado'!$E70:$Z70,MIN(AS$6-$G$3,22))),0)))))</f>
        <v>0</v>
      </c>
      <c r="AT72" s="27" t="n">
        <f aca="false">IF(COUNT('Arroz irrigado'!$E70:$Z70)=0,0,MAX(0,IF((AT$6-$E$3)&lt;1,0,IFERROR(LOOKUP(2,1/('Arroz irrigado'!$E70:INDEX('Arroz irrigado'!$E70:$Z70,MIN(AT$6-$E$3,22))&lt;&gt;""),'Arroz irrigado'!$E70:INDEX('Arroz irrigado'!$E70:$Z70,MIN(AT$6-$E$3,22))),0))-IF($G$2,0,IF((AT$6-$G$3)&lt;1,0,IFERROR(LOOKUP(2,1/('Arroz irrigado'!$E70:INDEX('Arroz irrigado'!$E70:$Z70,MIN(AT$6-$G$3,22))&lt;&gt;""),'Arroz irrigado'!$E70:INDEX('Arroz irrigado'!$E70:$Z70,MIN(AT$6-$G$3,22))),0)))))</f>
        <v>0</v>
      </c>
      <c r="AU72" s="27" t="n">
        <f aca="false">IF(COUNT('Arroz irrigado'!$E70:$Z70)=0,0,MAX(0,IF((AU$6-$E$3)&lt;1,0,IFERROR(LOOKUP(2,1/('Arroz irrigado'!$E70:INDEX('Arroz irrigado'!$E70:$Z70,MIN(AU$6-$E$3,22))&lt;&gt;""),'Arroz irrigado'!$E70:INDEX('Arroz irrigado'!$E70:$Z70,MIN(AU$6-$E$3,22))),0))-IF($G$2,0,IF((AU$6-$G$3)&lt;1,0,IFERROR(LOOKUP(2,1/('Arroz irrigado'!$E70:INDEX('Arroz irrigado'!$E70:$Z70,MIN(AU$6-$G$3,22))&lt;&gt;""),'Arroz irrigado'!$E70:INDEX('Arroz irrigado'!$E70:$Z70,MIN(AU$6-$G$3,22))),0)))))</f>
        <v>0</v>
      </c>
      <c r="AV72" s="27" t="n">
        <f aca="false">IF(COUNT('Arroz irrigado'!$E70:$Z70)=0,0,MAX(0,IF((AV$6-$E$3)&lt;1,0,IFERROR(LOOKUP(2,1/('Arroz irrigado'!$E70:INDEX('Arroz irrigado'!$E70:$Z70,MIN(AV$6-$E$3,22))&lt;&gt;""),'Arroz irrigado'!$E70:INDEX('Arroz irrigado'!$E70:$Z70,MIN(AV$6-$E$3,22))),0))-IF($G$2,0,IF((AV$6-$G$3)&lt;1,0,IFERROR(LOOKUP(2,1/('Arroz irrigado'!$E70:INDEX('Arroz irrigado'!$E70:$Z70,MIN(AV$6-$G$3,22))&lt;&gt;""),'Arroz irrigado'!$E70:INDEX('Arroz irrigado'!$E70:$Z70,MIN(AV$6-$G$3,22))),0)))))</f>
        <v>0</v>
      </c>
      <c r="AW72" s="27" t="n">
        <f aca="false">IF(COUNT('Arroz irrigado'!$E70:$Z70)=0,0,MAX(0,IF((AW$6-$E$3)&lt;1,0,IFERROR(LOOKUP(2,1/('Arroz irrigado'!$E70:INDEX('Arroz irrigado'!$E70:$Z70,MIN(AW$6-$E$3,22))&lt;&gt;""),'Arroz irrigado'!$E70:INDEX('Arroz irrigado'!$E70:$Z70,MIN(AW$6-$E$3,22))),0))-IF($G$2,0,IF((AW$6-$G$3)&lt;1,0,IFERROR(LOOKUP(2,1/('Arroz irrigado'!$E70:INDEX('Arroz irrigado'!$E70:$Z70,MIN(AW$6-$G$3,22))&lt;&gt;""),'Arroz irrigado'!$E70:INDEX('Arroz irrigado'!$E70:$Z70,MIN(AW$6-$G$3,22))),0)))))</f>
        <v>0</v>
      </c>
      <c r="AX72" s="27" t="n">
        <f aca="false">IF(COUNT('Arroz irrigado'!$E70:$Z70)=0,0,MAX(0,IF((AX$6-$E$3)&lt;1,0,IFERROR(LOOKUP(2,1/('Arroz irrigado'!$E70:INDEX('Arroz irrigado'!$E70:$Z70,MIN(AX$6-$E$3,22))&lt;&gt;""),'Arroz irrigado'!$E70:INDEX('Arroz irrigado'!$E70:$Z70,MIN(AX$6-$E$3,22))),0))-IF($G$2,0,IF((AX$6-$G$3)&lt;1,0,IFERROR(LOOKUP(2,1/('Arroz irrigado'!$E70:INDEX('Arroz irrigado'!$E70:$Z70,MIN(AX$6-$G$3,22))&lt;&gt;""),'Arroz irrigado'!$E70:INDEX('Arroz irrigado'!$E70:$Z70,MIN(AX$6-$G$3,22))),0)))))</f>
        <v>0</v>
      </c>
      <c r="AY72" s="27" t="n">
        <f aca="false">IF(COUNT('Arroz irrigado'!$E70:$Z70)=0,0,MAX(0,IF((AY$6-$E$3)&lt;1,0,IFERROR(LOOKUP(2,1/('Arroz irrigado'!$E70:INDEX('Arroz irrigado'!$E70:$Z70,MIN(AY$6-$E$3,22))&lt;&gt;""),'Arroz irrigado'!$E70:INDEX('Arroz irrigado'!$E70:$Z70,MIN(AY$6-$E$3,22))),0))-IF($G$2,0,IF((AY$6-$G$3)&lt;1,0,IFERROR(LOOKUP(2,1/('Arroz irrigado'!$E70:INDEX('Arroz irrigado'!$E70:$Z70,MIN(AY$6-$G$3,22))&lt;&gt;""),'Arroz irrigado'!$E70:INDEX('Arroz irrigado'!$E70:$Z70,MIN(AY$6-$G$3,22))),0)))))</f>
        <v>0</v>
      </c>
      <c r="AZ72" s="27" t="n">
        <f aca="false">IF(COUNT('Arroz irrigado'!$E70:$Z70)=0,0,MAX(0,IF((AZ$6-$E$3)&lt;1,0,IFERROR(LOOKUP(2,1/('Arroz irrigado'!$E70:INDEX('Arroz irrigado'!$E70:$Z70,MIN(AZ$6-$E$3,22))&lt;&gt;""),'Arroz irrigado'!$E70:INDEX('Arroz irrigado'!$E70:$Z70,MIN(AZ$6-$E$3,22))),0))-IF($G$2,0,IF((AZ$6-$G$3)&lt;1,0,IFERROR(LOOKUP(2,1/('Arroz irrigado'!$E70:INDEX('Arroz irrigado'!$E70:$Z70,MIN(AZ$6-$G$3,22))&lt;&gt;""),'Arroz irrigado'!$E70:INDEX('Arroz irrigado'!$E70:$Z70,MIN(AZ$6-$G$3,22))),0)))))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IF(COUNT('Arroz irrigado'!$E71:$Z71)&gt;0,N('Arroz irrigado'!$D71),0)</f>
        <v>0</v>
      </c>
      <c r="E73" s="27" t="n">
        <f aca="false">IF(COUNT('Arroz irrigado'!$E71:$Z71)=0,0,MAX(0,IF((E$6-$E$3)&lt;1,0,IFERROR(LOOKUP(2,1/('Arroz irrigado'!$E71:INDEX('Arroz irrigado'!$E71:$Z71,MIN(E$6-$E$3,22))&lt;&gt;""),'Arroz irrigado'!$E71:INDEX('Arroz irrigado'!$E71:$Z71,MIN(E$6-$E$3,22))),0))-IF($G$2,0,IF((E$6-$G$3)&lt;1,0,IFERROR(LOOKUP(2,1/('Arroz irrigado'!$E71:INDEX('Arroz irrigado'!$E71:$Z71,MIN(E$6-$G$3,22))&lt;&gt;""),'Arroz irrigado'!$E71:INDEX('Arroz irrigado'!$E71:$Z71,MIN(E$6-$G$3,22))),0)))))</f>
        <v>0</v>
      </c>
      <c r="F73" s="27" t="n">
        <f aca="false">IF(COUNT('Arroz irrigado'!$E71:$Z71)=0,0,MAX(0,IF((F$6-$E$3)&lt;1,0,IFERROR(LOOKUP(2,1/('Arroz irrigado'!$E71:INDEX('Arroz irrigado'!$E71:$Z71,MIN(F$6-$E$3,22))&lt;&gt;""),'Arroz irrigado'!$E71:INDEX('Arroz irrigado'!$E71:$Z71,MIN(F$6-$E$3,22))),0))-IF($G$2,0,IF((F$6-$G$3)&lt;1,0,IFERROR(LOOKUP(2,1/('Arroz irrigado'!$E71:INDEX('Arroz irrigado'!$E71:$Z71,MIN(F$6-$G$3,22))&lt;&gt;""),'Arroz irrigado'!$E71:INDEX('Arroz irrigado'!$E71:$Z71,MIN(F$6-$G$3,22))),0)))))</f>
        <v>0</v>
      </c>
      <c r="G73" s="27" t="n">
        <f aca="false">IF(COUNT('Arroz irrigado'!$E71:$Z71)=0,0,MAX(0,IF((G$6-$E$3)&lt;1,0,IFERROR(LOOKUP(2,1/('Arroz irrigado'!$E71:INDEX('Arroz irrigado'!$E71:$Z71,MIN(G$6-$E$3,22))&lt;&gt;""),'Arroz irrigado'!$E71:INDEX('Arroz irrigado'!$E71:$Z71,MIN(G$6-$E$3,22))),0))-IF($G$2,0,IF((G$6-$G$3)&lt;1,0,IFERROR(LOOKUP(2,1/('Arroz irrigado'!$E71:INDEX('Arroz irrigado'!$E71:$Z71,MIN(G$6-$G$3,22))&lt;&gt;""),'Arroz irrigado'!$E71:INDEX('Arroz irrigado'!$E71:$Z71,MIN(G$6-$G$3,22))),0)))))</f>
        <v>0</v>
      </c>
      <c r="H73" s="27" t="n">
        <f aca="false">IF(COUNT('Arroz irrigado'!$E71:$Z71)=0,0,MAX(0,IF((H$6-$E$3)&lt;1,0,IFERROR(LOOKUP(2,1/('Arroz irrigado'!$E71:INDEX('Arroz irrigado'!$E71:$Z71,MIN(H$6-$E$3,22))&lt;&gt;""),'Arroz irrigado'!$E71:INDEX('Arroz irrigado'!$E71:$Z71,MIN(H$6-$E$3,22))),0))-IF($G$2,0,IF((H$6-$G$3)&lt;1,0,IFERROR(LOOKUP(2,1/('Arroz irrigado'!$E71:INDEX('Arroz irrigado'!$E71:$Z71,MIN(H$6-$G$3,22))&lt;&gt;""),'Arroz irrigado'!$E71:INDEX('Arroz irrigado'!$E71:$Z71,MIN(H$6-$G$3,22))),0)))))</f>
        <v>0</v>
      </c>
      <c r="I73" s="27" t="n">
        <f aca="false">IF(COUNT('Arroz irrigado'!$E71:$Z71)=0,0,MAX(0,IF((I$6-$E$3)&lt;1,0,IFERROR(LOOKUP(2,1/('Arroz irrigado'!$E71:INDEX('Arroz irrigado'!$E71:$Z71,MIN(I$6-$E$3,22))&lt;&gt;""),'Arroz irrigado'!$E71:INDEX('Arroz irrigado'!$E71:$Z71,MIN(I$6-$E$3,22))),0))-IF($G$2,0,IF((I$6-$G$3)&lt;1,0,IFERROR(LOOKUP(2,1/('Arroz irrigado'!$E71:INDEX('Arroz irrigado'!$E71:$Z71,MIN(I$6-$G$3,22))&lt;&gt;""),'Arroz irrigado'!$E71:INDEX('Arroz irrigado'!$E71:$Z71,MIN(I$6-$G$3,22))),0)))))</f>
        <v>0</v>
      </c>
      <c r="J73" s="27" t="n">
        <f aca="false">IF(COUNT('Arroz irrigado'!$E71:$Z71)=0,0,MAX(0,IF((J$6-$E$3)&lt;1,0,IFERROR(LOOKUP(2,1/('Arroz irrigado'!$E71:INDEX('Arroz irrigado'!$E71:$Z71,MIN(J$6-$E$3,22))&lt;&gt;""),'Arroz irrigado'!$E71:INDEX('Arroz irrigado'!$E71:$Z71,MIN(J$6-$E$3,22))),0))-IF($G$2,0,IF((J$6-$G$3)&lt;1,0,IFERROR(LOOKUP(2,1/('Arroz irrigado'!$E71:INDEX('Arroz irrigado'!$E71:$Z71,MIN(J$6-$G$3,22))&lt;&gt;""),'Arroz irrigado'!$E71:INDEX('Arroz irrigado'!$E71:$Z71,MIN(J$6-$G$3,22))),0)))))</f>
        <v>0</v>
      </c>
      <c r="K73" s="27" t="n">
        <f aca="false">IF(COUNT('Arroz irrigado'!$E71:$Z71)=0,0,MAX(0,IF((K$6-$E$3)&lt;1,0,IFERROR(LOOKUP(2,1/('Arroz irrigado'!$E71:INDEX('Arroz irrigado'!$E71:$Z71,MIN(K$6-$E$3,22))&lt;&gt;""),'Arroz irrigado'!$E71:INDEX('Arroz irrigado'!$E71:$Z71,MIN(K$6-$E$3,22))),0))-IF($G$2,0,IF((K$6-$G$3)&lt;1,0,IFERROR(LOOKUP(2,1/('Arroz irrigado'!$E71:INDEX('Arroz irrigado'!$E71:$Z71,MIN(K$6-$G$3,22))&lt;&gt;""),'Arroz irrigado'!$E71:INDEX('Arroz irrigado'!$E71:$Z71,MIN(K$6-$G$3,22))),0)))))</f>
        <v>0</v>
      </c>
      <c r="L73" s="27" t="n">
        <f aca="false">IF(COUNT('Arroz irrigado'!$E71:$Z71)=0,0,MAX(0,IF((L$6-$E$3)&lt;1,0,IFERROR(LOOKUP(2,1/('Arroz irrigado'!$E71:INDEX('Arroz irrigado'!$E71:$Z71,MIN(L$6-$E$3,22))&lt;&gt;""),'Arroz irrigado'!$E71:INDEX('Arroz irrigado'!$E71:$Z71,MIN(L$6-$E$3,22))),0))-IF($G$2,0,IF((L$6-$G$3)&lt;1,0,IFERROR(LOOKUP(2,1/('Arroz irrigado'!$E71:INDEX('Arroz irrigado'!$E71:$Z71,MIN(L$6-$G$3,22))&lt;&gt;""),'Arroz irrigado'!$E71:INDEX('Arroz irrigado'!$E71:$Z71,MIN(L$6-$G$3,22))),0)))))</f>
        <v>0</v>
      </c>
      <c r="M73" s="27" t="n">
        <f aca="false">IF(COUNT('Arroz irrigado'!$E71:$Z71)=0,0,MAX(0,IF((M$6-$E$3)&lt;1,0,IFERROR(LOOKUP(2,1/('Arroz irrigado'!$E71:INDEX('Arroz irrigado'!$E71:$Z71,MIN(M$6-$E$3,22))&lt;&gt;""),'Arroz irrigado'!$E71:INDEX('Arroz irrigado'!$E71:$Z71,MIN(M$6-$E$3,22))),0))-IF($G$2,0,IF((M$6-$G$3)&lt;1,0,IFERROR(LOOKUP(2,1/('Arroz irrigado'!$E71:INDEX('Arroz irrigado'!$E71:$Z71,MIN(M$6-$G$3,22))&lt;&gt;""),'Arroz irrigado'!$E71:INDEX('Arroz irrigado'!$E71:$Z71,MIN(M$6-$G$3,22))),0)))))</f>
        <v>0</v>
      </c>
      <c r="N73" s="27" t="n">
        <f aca="false">IF(COUNT('Arroz irrigado'!$E71:$Z71)=0,0,MAX(0,IF((N$6-$E$3)&lt;1,0,IFERROR(LOOKUP(2,1/('Arroz irrigado'!$E71:INDEX('Arroz irrigado'!$E71:$Z71,MIN(N$6-$E$3,22))&lt;&gt;""),'Arroz irrigado'!$E71:INDEX('Arroz irrigado'!$E71:$Z71,MIN(N$6-$E$3,22))),0))-IF($G$2,0,IF((N$6-$G$3)&lt;1,0,IFERROR(LOOKUP(2,1/('Arroz irrigado'!$E71:INDEX('Arroz irrigado'!$E71:$Z71,MIN(N$6-$G$3,22))&lt;&gt;""),'Arroz irrigado'!$E71:INDEX('Arroz irrigado'!$E71:$Z71,MIN(N$6-$G$3,22))),0)))))</f>
        <v>0</v>
      </c>
      <c r="O73" s="27" t="n">
        <f aca="false">IF(COUNT('Arroz irrigado'!$E71:$Z71)=0,0,MAX(0,IF((O$6-$E$3)&lt;1,0,IFERROR(LOOKUP(2,1/('Arroz irrigado'!$E71:INDEX('Arroz irrigado'!$E71:$Z71,MIN(O$6-$E$3,22))&lt;&gt;""),'Arroz irrigado'!$E71:INDEX('Arroz irrigado'!$E71:$Z71,MIN(O$6-$E$3,22))),0))-IF($G$2,0,IF((O$6-$G$3)&lt;1,0,IFERROR(LOOKUP(2,1/('Arroz irrigado'!$E71:INDEX('Arroz irrigado'!$E71:$Z71,MIN(O$6-$G$3,22))&lt;&gt;""),'Arroz irrigado'!$E71:INDEX('Arroz irrigado'!$E71:$Z71,MIN(O$6-$G$3,22))),0)))))</f>
        <v>0</v>
      </c>
      <c r="P73" s="27" t="n">
        <f aca="false">IF(COUNT('Arroz irrigado'!$E71:$Z71)=0,0,MAX(0,IF((P$6-$E$3)&lt;1,0,IFERROR(LOOKUP(2,1/('Arroz irrigado'!$E71:INDEX('Arroz irrigado'!$E71:$Z71,MIN(P$6-$E$3,22))&lt;&gt;""),'Arroz irrigado'!$E71:INDEX('Arroz irrigado'!$E71:$Z71,MIN(P$6-$E$3,22))),0))-IF($G$2,0,IF((P$6-$G$3)&lt;1,0,IFERROR(LOOKUP(2,1/('Arroz irrigado'!$E71:INDEX('Arroz irrigado'!$E71:$Z71,MIN(P$6-$G$3,22))&lt;&gt;""),'Arroz irrigado'!$E71:INDEX('Arroz irrigado'!$E71:$Z71,MIN(P$6-$G$3,22))),0)))))</f>
        <v>0</v>
      </c>
      <c r="Q73" s="27" t="n">
        <f aca="false">IF(COUNT('Arroz irrigado'!$E71:$Z71)=0,0,MAX(0,IF((Q$6-$E$3)&lt;1,0,IFERROR(LOOKUP(2,1/('Arroz irrigado'!$E71:INDEX('Arroz irrigado'!$E71:$Z71,MIN(Q$6-$E$3,22))&lt;&gt;""),'Arroz irrigado'!$E71:INDEX('Arroz irrigado'!$E71:$Z71,MIN(Q$6-$E$3,22))),0))-IF($G$2,0,IF((Q$6-$G$3)&lt;1,0,IFERROR(LOOKUP(2,1/('Arroz irrigado'!$E71:INDEX('Arroz irrigado'!$E71:$Z71,MIN(Q$6-$G$3,22))&lt;&gt;""),'Arroz irrigado'!$E71:INDEX('Arroz irrigado'!$E71:$Z71,MIN(Q$6-$G$3,22))),0)))))</f>
        <v>0</v>
      </c>
      <c r="R73" s="27" t="n">
        <f aca="false">IF(COUNT('Arroz irrigado'!$E71:$Z71)=0,0,MAX(0,IF((R$6-$E$3)&lt;1,0,IFERROR(LOOKUP(2,1/('Arroz irrigado'!$E71:INDEX('Arroz irrigado'!$E71:$Z71,MIN(R$6-$E$3,22))&lt;&gt;""),'Arroz irrigado'!$E71:INDEX('Arroz irrigado'!$E71:$Z71,MIN(R$6-$E$3,22))),0))-IF($G$2,0,IF((R$6-$G$3)&lt;1,0,IFERROR(LOOKUP(2,1/('Arroz irrigado'!$E71:INDEX('Arroz irrigado'!$E71:$Z71,MIN(R$6-$G$3,22))&lt;&gt;""),'Arroz irrigado'!$E71:INDEX('Arroz irrigado'!$E71:$Z71,MIN(R$6-$G$3,22))),0)))))</f>
        <v>0</v>
      </c>
      <c r="S73" s="27" t="n">
        <f aca="false">IF(COUNT('Arroz irrigado'!$E71:$Z71)=0,0,MAX(0,IF((S$6-$E$3)&lt;1,0,IFERROR(LOOKUP(2,1/('Arroz irrigado'!$E71:INDEX('Arroz irrigado'!$E71:$Z71,MIN(S$6-$E$3,22))&lt;&gt;""),'Arroz irrigado'!$E71:INDEX('Arroz irrigado'!$E71:$Z71,MIN(S$6-$E$3,22))),0))-IF($G$2,0,IF((S$6-$G$3)&lt;1,0,IFERROR(LOOKUP(2,1/('Arroz irrigado'!$E71:INDEX('Arroz irrigado'!$E71:$Z71,MIN(S$6-$G$3,22))&lt;&gt;""),'Arroz irrigado'!$E71:INDEX('Arroz irrigado'!$E71:$Z71,MIN(S$6-$G$3,22))),0)))))</f>
        <v>0</v>
      </c>
      <c r="T73" s="27" t="n">
        <f aca="false">IF(COUNT('Arroz irrigado'!$E71:$Z71)=0,0,MAX(0,IF((T$6-$E$3)&lt;1,0,IFERROR(LOOKUP(2,1/('Arroz irrigado'!$E71:INDEX('Arroz irrigado'!$E71:$Z71,MIN(T$6-$E$3,22))&lt;&gt;""),'Arroz irrigado'!$E71:INDEX('Arroz irrigado'!$E71:$Z71,MIN(T$6-$E$3,22))),0))-IF($G$2,0,IF((T$6-$G$3)&lt;1,0,IFERROR(LOOKUP(2,1/('Arroz irrigado'!$E71:INDEX('Arroz irrigado'!$E71:$Z71,MIN(T$6-$G$3,22))&lt;&gt;""),'Arroz irrigado'!$E71:INDEX('Arroz irrigado'!$E71:$Z71,MIN(T$6-$G$3,22))),0)))))</f>
        <v>0</v>
      </c>
      <c r="U73" s="27" t="n">
        <f aca="false">IF(COUNT('Arroz irrigado'!$E71:$Z71)=0,0,MAX(0,IF((U$6-$E$3)&lt;1,0,IFERROR(LOOKUP(2,1/('Arroz irrigado'!$E71:INDEX('Arroz irrigado'!$E71:$Z71,MIN(U$6-$E$3,22))&lt;&gt;""),'Arroz irrigado'!$E71:INDEX('Arroz irrigado'!$E71:$Z71,MIN(U$6-$E$3,22))),0))-IF($G$2,0,IF((U$6-$G$3)&lt;1,0,IFERROR(LOOKUP(2,1/('Arroz irrigado'!$E71:INDEX('Arroz irrigado'!$E71:$Z71,MIN(U$6-$G$3,22))&lt;&gt;""),'Arroz irrigado'!$E71:INDEX('Arroz irrigado'!$E71:$Z71,MIN(U$6-$G$3,22))),0)))))</f>
        <v>0</v>
      </c>
      <c r="V73" s="27" t="n">
        <f aca="false">IF(COUNT('Arroz irrigado'!$E71:$Z71)=0,0,MAX(0,IF((V$6-$E$3)&lt;1,0,IFERROR(LOOKUP(2,1/('Arroz irrigado'!$E71:INDEX('Arroz irrigado'!$E71:$Z71,MIN(V$6-$E$3,22))&lt;&gt;""),'Arroz irrigado'!$E71:INDEX('Arroz irrigado'!$E71:$Z71,MIN(V$6-$E$3,22))),0))-IF($G$2,0,IF((V$6-$G$3)&lt;1,0,IFERROR(LOOKUP(2,1/('Arroz irrigado'!$E71:INDEX('Arroz irrigado'!$E71:$Z71,MIN(V$6-$G$3,22))&lt;&gt;""),'Arroz irrigado'!$E71:INDEX('Arroz irrigado'!$E71:$Z71,MIN(V$6-$G$3,22))),0)))))</f>
        <v>0</v>
      </c>
      <c r="W73" s="27" t="n">
        <f aca="false">IF(COUNT('Arroz irrigado'!$E71:$Z71)=0,0,MAX(0,IF((W$6-$E$3)&lt;1,0,IFERROR(LOOKUP(2,1/('Arroz irrigado'!$E71:INDEX('Arroz irrigado'!$E71:$Z71,MIN(W$6-$E$3,22))&lt;&gt;""),'Arroz irrigado'!$E71:INDEX('Arroz irrigado'!$E71:$Z71,MIN(W$6-$E$3,22))),0))-IF($G$2,0,IF((W$6-$G$3)&lt;1,0,IFERROR(LOOKUP(2,1/('Arroz irrigado'!$E71:INDEX('Arroz irrigado'!$E71:$Z71,MIN(W$6-$G$3,22))&lt;&gt;""),'Arroz irrigado'!$E71:INDEX('Arroz irrigado'!$E71:$Z71,MIN(W$6-$G$3,22))),0)))))</f>
        <v>0</v>
      </c>
      <c r="X73" s="27" t="n">
        <f aca="false">IF(COUNT('Arroz irrigado'!$E71:$Z71)=0,0,MAX(0,IF((X$6-$E$3)&lt;1,0,IFERROR(LOOKUP(2,1/('Arroz irrigado'!$E71:INDEX('Arroz irrigado'!$E71:$Z71,MIN(X$6-$E$3,22))&lt;&gt;""),'Arroz irrigado'!$E71:INDEX('Arroz irrigado'!$E71:$Z71,MIN(X$6-$E$3,22))),0))-IF($G$2,0,IF((X$6-$G$3)&lt;1,0,IFERROR(LOOKUP(2,1/('Arroz irrigado'!$E71:INDEX('Arroz irrigado'!$E71:$Z71,MIN(X$6-$G$3,22))&lt;&gt;""),'Arroz irrigado'!$E71:INDEX('Arroz irrigado'!$E71:$Z71,MIN(X$6-$G$3,22))),0)))))</f>
        <v>0</v>
      </c>
      <c r="Y73" s="27" t="n">
        <f aca="false">IF(COUNT('Arroz irrigado'!$E71:$Z71)=0,0,MAX(0,IF((Y$6-$E$3)&lt;1,0,IFERROR(LOOKUP(2,1/('Arroz irrigado'!$E71:INDEX('Arroz irrigado'!$E71:$Z71,MIN(Y$6-$E$3,22))&lt;&gt;""),'Arroz irrigado'!$E71:INDEX('Arroz irrigado'!$E71:$Z71,MIN(Y$6-$E$3,22))),0))-IF($G$2,0,IF((Y$6-$G$3)&lt;1,0,IFERROR(LOOKUP(2,1/('Arroz irrigado'!$E71:INDEX('Arroz irrigado'!$E71:$Z71,MIN(Y$6-$G$3,22))&lt;&gt;""),'Arroz irrigado'!$E71:INDEX('Arroz irrigado'!$E71:$Z71,MIN(Y$6-$G$3,22))),0)))))</f>
        <v>0</v>
      </c>
      <c r="Z73" s="27" t="n">
        <f aca="false">IF(COUNT('Arroz irrigado'!$E71:$Z71)=0,0,MAX(0,IF((Z$6-$E$3)&lt;1,0,IFERROR(LOOKUP(2,1/('Arroz irrigado'!$E71:INDEX('Arroz irrigado'!$E71:$Z71,MIN(Z$6-$E$3,22))&lt;&gt;""),'Arroz irrigado'!$E71:INDEX('Arroz irrigado'!$E71:$Z71,MIN(Z$6-$E$3,22))),0))-IF($G$2,0,IF((Z$6-$G$3)&lt;1,0,IFERROR(LOOKUP(2,1/('Arroz irrigado'!$E71:INDEX('Arroz irrigado'!$E71:$Z71,MIN(Z$6-$G$3,22))&lt;&gt;""),'Arroz irrigado'!$E71:INDEX('Arroz irrigado'!$E71:$Z71,MIN(Z$6-$G$3,22))),0)))))</f>
        <v>0</v>
      </c>
      <c r="AA73" s="27" t="n">
        <f aca="false">IF(COUNT('Arroz irrigado'!$E71:$Z71)=0,0,MAX(0,IF((AA$6-$E$3)&lt;1,0,IFERROR(LOOKUP(2,1/('Arroz irrigado'!$E71:INDEX('Arroz irrigado'!$E71:$Z71,MIN(AA$6-$E$3,22))&lt;&gt;""),'Arroz irrigado'!$E71:INDEX('Arroz irrigado'!$E71:$Z71,MIN(AA$6-$E$3,22))),0))-IF($G$2,0,IF((AA$6-$G$3)&lt;1,0,IFERROR(LOOKUP(2,1/('Arroz irrigado'!$E71:INDEX('Arroz irrigado'!$E71:$Z71,MIN(AA$6-$G$3,22))&lt;&gt;""),'Arroz irrigado'!$E71:INDEX('Arroz irrigado'!$E71:$Z71,MIN(AA$6-$G$3,22))),0)))))</f>
        <v>0</v>
      </c>
      <c r="AB73" s="27" t="n">
        <f aca="false">IF(COUNT('Arroz irrigado'!$E71:$Z71)=0,0,MAX(0,IF((AB$6-$E$3)&lt;1,0,IFERROR(LOOKUP(2,1/('Arroz irrigado'!$E71:INDEX('Arroz irrigado'!$E71:$Z71,MIN(AB$6-$E$3,22))&lt;&gt;""),'Arroz irrigado'!$E71:INDEX('Arroz irrigado'!$E71:$Z71,MIN(AB$6-$E$3,22))),0))-IF($G$2,0,IF((AB$6-$G$3)&lt;1,0,IFERROR(LOOKUP(2,1/('Arroz irrigado'!$E71:INDEX('Arroz irrigado'!$E71:$Z71,MIN(AB$6-$G$3,22))&lt;&gt;""),'Arroz irrigado'!$E71:INDEX('Arroz irrigado'!$E71:$Z71,MIN(AB$6-$G$3,22))),0)))))</f>
        <v>0</v>
      </c>
      <c r="AC73" s="27" t="n">
        <f aca="false">IF(COUNT('Arroz irrigado'!$E71:$Z71)=0,0,MAX(0,IF((AC$6-$E$3)&lt;1,0,IFERROR(LOOKUP(2,1/('Arroz irrigado'!$E71:INDEX('Arroz irrigado'!$E71:$Z71,MIN(AC$6-$E$3,22))&lt;&gt;""),'Arroz irrigado'!$E71:INDEX('Arroz irrigado'!$E71:$Z71,MIN(AC$6-$E$3,22))),0))-IF($G$2,0,IF((AC$6-$G$3)&lt;1,0,IFERROR(LOOKUP(2,1/('Arroz irrigado'!$E71:INDEX('Arroz irrigado'!$E71:$Z71,MIN(AC$6-$G$3,22))&lt;&gt;""),'Arroz irrigado'!$E71:INDEX('Arroz irrigado'!$E71:$Z71,MIN(AC$6-$G$3,22))),0)))))</f>
        <v>0</v>
      </c>
      <c r="AD73" s="27" t="n">
        <f aca="false">IF(COUNT('Arroz irrigado'!$E71:$Z71)=0,0,MAX(0,IF((AD$6-$E$3)&lt;1,0,IFERROR(LOOKUP(2,1/('Arroz irrigado'!$E71:INDEX('Arroz irrigado'!$E71:$Z71,MIN(AD$6-$E$3,22))&lt;&gt;""),'Arroz irrigado'!$E71:INDEX('Arroz irrigado'!$E71:$Z71,MIN(AD$6-$E$3,22))),0))-IF($G$2,0,IF((AD$6-$G$3)&lt;1,0,IFERROR(LOOKUP(2,1/('Arroz irrigado'!$E71:INDEX('Arroz irrigado'!$E71:$Z71,MIN(AD$6-$G$3,22))&lt;&gt;""),'Arroz irrigado'!$E71:INDEX('Arroz irrigado'!$E71:$Z71,MIN(AD$6-$G$3,22))),0)))))</f>
        <v>0</v>
      </c>
      <c r="AE73" s="27" t="n">
        <f aca="false">IF(COUNT('Arroz irrigado'!$E71:$Z71)=0,0,MAX(0,IF((AE$6-$E$3)&lt;1,0,IFERROR(LOOKUP(2,1/('Arroz irrigado'!$E71:INDEX('Arroz irrigado'!$E71:$Z71,MIN(AE$6-$E$3,22))&lt;&gt;""),'Arroz irrigado'!$E71:INDEX('Arroz irrigado'!$E71:$Z71,MIN(AE$6-$E$3,22))),0))-IF($G$2,0,IF((AE$6-$G$3)&lt;1,0,IFERROR(LOOKUP(2,1/('Arroz irrigado'!$E71:INDEX('Arroz irrigado'!$E71:$Z71,MIN(AE$6-$G$3,22))&lt;&gt;""),'Arroz irrigado'!$E71:INDEX('Arroz irrigado'!$E71:$Z71,MIN(AE$6-$G$3,22))),0)))))</f>
        <v>0</v>
      </c>
      <c r="AF73" s="27" t="n">
        <f aca="false">IF(COUNT('Arroz irrigado'!$E71:$Z71)=0,0,MAX(0,IF((AF$6-$E$3)&lt;1,0,IFERROR(LOOKUP(2,1/('Arroz irrigado'!$E71:INDEX('Arroz irrigado'!$E71:$Z71,MIN(AF$6-$E$3,22))&lt;&gt;""),'Arroz irrigado'!$E71:INDEX('Arroz irrigado'!$E71:$Z71,MIN(AF$6-$E$3,22))),0))-IF($G$2,0,IF((AF$6-$G$3)&lt;1,0,IFERROR(LOOKUP(2,1/('Arroz irrigado'!$E71:INDEX('Arroz irrigado'!$E71:$Z71,MIN(AF$6-$G$3,22))&lt;&gt;""),'Arroz irrigado'!$E71:INDEX('Arroz irrigado'!$E71:$Z71,MIN(AF$6-$G$3,22))),0)))))</f>
        <v>0</v>
      </c>
      <c r="AG73" s="27" t="n">
        <f aca="false">IF(COUNT('Arroz irrigado'!$E71:$Z71)=0,0,MAX(0,IF((AG$6-$E$3)&lt;1,0,IFERROR(LOOKUP(2,1/('Arroz irrigado'!$E71:INDEX('Arroz irrigado'!$E71:$Z71,MIN(AG$6-$E$3,22))&lt;&gt;""),'Arroz irrigado'!$E71:INDEX('Arroz irrigado'!$E71:$Z71,MIN(AG$6-$E$3,22))),0))-IF($G$2,0,IF((AG$6-$G$3)&lt;1,0,IFERROR(LOOKUP(2,1/('Arroz irrigado'!$E71:INDEX('Arroz irrigado'!$E71:$Z71,MIN(AG$6-$G$3,22))&lt;&gt;""),'Arroz irrigado'!$E71:INDEX('Arroz irrigado'!$E71:$Z71,MIN(AG$6-$G$3,22))),0)))))</f>
        <v>0</v>
      </c>
      <c r="AH73" s="27" t="n">
        <f aca="false">IF(COUNT('Arroz irrigado'!$E71:$Z71)=0,0,MAX(0,IF((AH$6-$E$3)&lt;1,0,IFERROR(LOOKUP(2,1/('Arroz irrigado'!$E71:INDEX('Arroz irrigado'!$E71:$Z71,MIN(AH$6-$E$3,22))&lt;&gt;""),'Arroz irrigado'!$E71:INDEX('Arroz irrigado'!$E71:$Z71,MIN(AH$6-$E$3,22))),0))-IF($G$2,0,IF((AH$6-$G$3)&lt;1,0,IFERROR(LOOKUP(2,1/('Arroz irrigado'!$E71:INDEX('Arroz irrigado'!$E71:$Z71,MIN(AH$6-$G$3,22))&lt;&gt;""),'Arroz irrigado'!$E71:INDEX('Arroz irrigado'!$E71:$Z71,MIN(AH$6-$G$3,22))),0)))))</f>
        <v>0</v>
      </c>
      <c r="AI73" s="27" t="n">
        <f aca="false">IF(COUNT('Arroz irrigado'!$E71:$Z71)=0,0,MAX(0,IF((AI$6-$E$3)&lt;1,0,IFERROR(LOOKUP(2,1/('Arroz irrigado'!$E71:INDEX('Arroz irrigado'!$E71:$Z71,MIN(AI$6-$E$3,22))&lt;&gt;""),'Arroz irrigado'!$E71:INDEX('Arroz irrigado'!$E71:$Z71,MIN(AI$6-$E$3,22))),0))-IF($G$2,0,IF((AI$6-$G$3)&lt;1,0,IFERROR(LOOKUP(2,1/('Arroz irrigado'!$E71:INDEX('Arroz irrigado'!$E71:$Z71,MIN(AI$6-$G$3,22))&lt;&gt;""),'Arroz irrigado'!$E71:INDEX('Arroz irrigado'!$E71:$Z71,MIN(AI$6-$G$3,22))),0)))))</f>
        <v>0</v>
      </c>
      <c r="AJ73" s="27" t="n">
        <f aca="false">IF(COUNT('Arroz irrigado'!$E71:$Z71)=0,0,MAX(0,IF((AJ$6-$E$3)&lt;1,0,IFERROR(LOOKUP(2,1/('Arroz irrigado'!$E71:INDEX('Arroz irrigado'!$E71:$Z71,MIN(AJ$6-$E$3,22))&lt;&gt;""),'Arroz irrigado'!$E71:INDEX('Arroz irrigado'!$E71:$Z71,MIN(AJ$6-$E$3,22))),0))-IF($G$2,0,IF((AJ$6-$G$3)&lt;1,0,IFERROR(LOOKUP(2,1/('Arroz irrigado'!$E71:INDEX('Arroz irrigado'!$E71:$Z71,MIN(AJ$6-$G$3,22))&lt;&gt;""),'Arroz irrigado'!$E71:INDEX('Arroz irrigado'!$E71:$Z71,MIN(AJ$6-$G$3,22))),0)))))</f>
        <v>0</v>
      </c>
      <c r="AK73" s="27" t="n">
        <f aca="false">IF(COUNT('Arroz irrigado'!$E71:$Z71)=0,0,MAX(0,IF((AK$6-$E$3)&lt;1,0,IFERROR(LOOKUP(2,1/('Arroz irrigado'!$E71:INDEX('Arroz irrigado'!$E71:$Z71,MIN(AK$6-$E$3,22))&lt;&gt;""),'Arroz irrigado'!$E71:INDEX('Arroz irrigado'!$E71:$Z71,MIN(AK$6-$E$3,22))),0))-IF($G$2,0,IF((AK$6-$G$3)&lt;1,0,IFERROR(LOOKUP(2,1/('Arroz irrigado'!$E71:INDEX('Arroz irrigado'!$E71:$Z71,MIN(AK$6-$G$3,22))&lt;&gt;""),'Arroz irrigado'!$E71:INDEX('Arroz irrigado'!$E71:$Z71,MIN(AK$6-$G$3,22))),0)))))</f>
        <v>0</v>
      </c>
      <c r="AL73" s="27" t="n">
        <f aca="false">IF(COUNT('Arroz irrigado'!$E71:$Z71)=0,0,MAX(0,IF((AL$6-$E$3)&lt;1,0,IFERROR(LOOKUP(2,1/('Arroz irrigado'!$E71:INDEX('Arroz irrigado'!$E71:$Z71,MIN(AL$6-$E$3,22))&lt;&gt;""),'Arroz irrigado'!$E71:INDEX('Arroz irrigado'!$E71:$Z71,MIN(AL$6-$E$3,22))),0))-IF($G$2,0,IF((AL$6-$G$3)&lt;1,0,IFERROR(LOOKUP(2,1/('Arroz irrigado'!$E71:INDEX('Arroz irrigado'!$E71:$Z71,MIN(AL$6-$G$3,22))&lt;&gt;""),'Arroz irrigado'!$E71:INDEX('Arroz irrigado'!$E71:$Z71,MIN(AL$6-$G$3,22))),0)))))</f>
        <v>0</v>
      </c>
      <c r="AM73" s="27" t="n">
        <f aca="false">IF(COUNT('Arroz irrigado'!$E71:$Z71)=0,0,MAX(0,IF((AM$6-$E$3)&lt;1,0,IFERROR(LOOKUP(2,1/('Arroz irrigado'!$E71:INDEX('Arroz irrigado'!$E71:$Z71,MIN(AM$6-$E$3,22))&lt;&gt;""),'Arroz irrigado'!$E71:INDEX('Arroz irrigado'!$E71:$Z71,MIN(AM$6-$E$3,22))),0))-IF($G$2,0,IF((AM$6-$G$3)&lt;1,0,IFERROR(LOOKUP(2,1/('Arroz irrigado'!$E71:INDEX('Arroz irrigado'!$E71:$Z71,MIN(AM$6-$G$3,22))&lt;&gt;""),'Arroz irrigado'!$E71:INDEX('Arroz irrigado'!$E71:$Z71,MIN(AM$6-$G$3,22))),0)))))</f>
        <v>0</v>
      </c>
      <c r="AN73" s="27" t="n">
        <f aca="false">IF(COUNT('Arroz irrigado'!$E71:$Z71)=0,0,MAX(0,IF((AN$6-$E$3)&lt;1,0,IFERROR(LOOKUP(2,1/('Arroz irrigado'!$E71:INDEX('Arroz irrigado'!$E71:$Z71,MIN(AN$6-$E$3,22))&lt;&gt;""),'Arroz irrigado'!$E71:INDEX('Arroz irrigado'!$E71:$Z71,MIN(AN$6-$E$3,22))),0))-IF($G$2,0,IF((AN$6-$G$3)&lt;1,0,IFERROR(LOOKUP(2,1/('Arroz irrigado'!$E71:INDEX('Arroz irrigado'!$E71:$Z71,MIN(AN$6-$G$3,22))&lt;&gt;""),'Arroz irrigado'!$E71:INDEX('Arroz irrigado'!$E71:$Z71,MIN(AN$6-$G$3,22))),0)))))</f>
        <v>0</v>
      </c>
      <c r="AO73" s="27" t="n">
        <f aca="false">IF(COUNT('Arroz irrigado'!$E71:$Z71)=0,0,MAX(0,IF((AO$6-$E$3)&lt;1,0,IFERROR(LOOKUP(2,1/('Arroz irrigado'!$E71:INDEX('Arroz irrigado'!$E71:$Z71,MIN(AO$6-$E$3,22))&lt;&gt;""),'Arroz irrigado'!$E71:INDEX('Arroz irrigado'!$E71:$Z71,MIN(AO$6-$E$3,22))),0))-IF($G$2,0,IF((AO$6-$G$3)&lt;1,0,IFERROR(LOOKUP(2,1/('Arroz irrigado'!$E71:INDEX('Arroz irrigado'!$E71:$Z71,MIN(AO$6-$G$3,22))&lt;&gt;""),'Arroz irrigado'!$E71:INDEX('Arroz irrigado'!$E71:$Z71,MIN(AO$6-$G$3,22))),0)))))</f>
        <v>0</v>
      </c>
      <c r="AP73" s="27" t="n">
        <f aca="false">IF(COUNT('Arroz irrigado'!$E71:$Z71)=0,0,MAX(0,IF((AP$6-$E$3)&lt;1,0,IFERROR(LOOKUP(2,1/('Arroz irrigado'!$E71:INDEX('Arroz irrigado'!$E71:$Z71,MIN(AP$6-$E$3,22))&lt;&gt;""),'Arroz irrigado'!$E71:INDEX('Arroz irrigado'!$E71:$Z71,MIN(AP$6-$E$3,22))),0))-IF($G$2,0,IF((AP$6-$G$3)&lt;1,0,IFERROR(LOOKUP(2,1/('Arroz irrigado'!$E71:INDEX('Arroz irrigado'!$E71:$Z71,MIN(AP$6-$G$3,22))&lt;&gt;""),'Arroz irrigado'!$E71:INDEX('Arroz irrigado'!$E71:$Z71,MIN(AP$6-$G$3,22))),0)))))</f>
        <v>0</v>
      </c>
      <c r="AQ73" s="27" t="n">
        <f aca="false">IF(COUNT('Arroz irrigado'!$E71:$Z71)=0,0,MAX(0,IF((AQ$6-$E$3)&lt;1,0,IFERROR(LOOKUP(2,1/('Arroz irrigado'!$E71:INDEX('Arroz irrigado'!$E71:$Z71,MIN(AQ$6-$E$3,22))&lt;&gt;""),'Arroz irrigado'!$E71:INDEX('Arroz irrigado'!$E71:$Z71,MIN(AQ$6-$E$3,22))),0))-IF($G$2,0,IF((AQ$6-$G$3)&lt;1,0,IFERROR(LOOKUP(2,1/('Arroz irrigado'!$E71:INDEX('Arroz irrigado'!$E71:$Z71,MIN(AQ$6-$G$3,22))&lt;&gt;""),'Arroz irrigado'!$E71:INDEX('Arroz irrigado'!$E71:$Z71,MIN(AQ$6-$G$3,22))),0)))))</f>
        <v>0</v>
      </c>
      <c r="AR73" s="27" t="n">
        <f aca="false">IF(COUNT('Arroz irrigado'!$E71:$Z71)=0,0,MAX(0,IF((AR$6-$E$3)&lt;1,0,IFERROR(LOOKUP(2,1/('Arroz irrigado'!$E71:INDEX('Arroz irrigado'!$E71:$Z71,MIN(AR$6-$E$3,22))&lt;&gt;""),'Arroz irrigado'!$E71:INDEX('Arroz irrigado'!$E71:$Z71,MIN(AR$6-$E$3,22))),0))-IF($G$2,0,IF((AR$6-$G$3)&lt;1,0,IFERROR(LOOKUP(2,1/('Arroz irrigado'!$E71:INDEX('Arroz irrigado'!$E71:$Z71,MIN(AR$6-$G$3,22))&lt;&gt;""),'Arroz irrigado'!$E71:INDEX('Arroz irrigado'!$E71:$Z71,MIN(AR$6-$G$3,22))),0)))))</f>
        <v>0</v>
      </c>
      <c r="AS73" s="27" t="n">
        <f aca="false">IF(COUNT('Arroz irrigado'!$E71:$Z71)=0,0,MAX(0,IF((AS$6-$E$3)&lt;1,0,IFERROR(LOOKUP(2,1/('Arroz irrigado'!$E71:INDEX('Arroz irrigado'!$E71:$Z71,MIN(AS$6-$E$3,22))&lt;&gt;""),'Arroz irrigado'!$E71:INDEX('Arroz irrigado'!$E71:$Z71,MIN(AS$6-$E$3,22))),0))-IF($G$2,0,IF((AS$6-$G$3)&lt;1,0,IFERROR(LOOKUP(2,1/('Arroz irrigado'!$E71:INDEX('Arroz irrigado'!$E71:$Z71,MIN(AS$6-$G$3,22))&lt;&gt;""),'Arroz irrigado'!$E71:INDEX('Arroz irrigado'!$E71:$Z71,MIN(AS$6-$G$3,22))),0)))))</f>
        <v>0</v>
      </c>
      <c r="AT73" s="27" t="n">
        <f aca="false">IF(COUNT('Arroz irrigado'!$E71:$Z71)=0,0,MAX(0,IF((AT$6-$E$3)&lt;1,0,IFERROR(LOOKUP(2,1/('Arroz irrigado'!$E71:INDEX('Arroz irrigado'!$E71:$Z71,MIN(AT$6-$E$3,22))&lt;&gt;""),'Arroz irrigado'!$E71:INDEX('Arroz irrigado'!$E71:$Z71,MIN(AT$6-$E$3,22))),0))-IF($G$2,0,IF((AT$6-$G$3)&lt;1,0,IFERROR(LOOKUP(2,1/('Arroz irrigado'!$E71:INDEX('Arroz irrigado'!$E71:$Z71,MIN(AT$6-$G$3,22))&lt;&gt;""),'Arroz irrigado'!$E71:INDEX('Arroz irrigado'!$E71:$Z71,MIN(AT$6-$G$3,22))),0)))))</f>
        <v>0</v>
      </c>
      <c r="AU73" s="27" t="n">
        <f aca="false">IF(COUNT('Arroz irrigado'!$E71:$Z71)=0,0,MAX(0,IF((AU$6-$E$3)&lt;1,0,IFERROR(LOOKUP(2,1/('Arroz irrigado'!$E71:INDEX('Arroz irrigado'!$E71:$Z71,MIN(AU$6-$E$3,22))&lt;&gt;""),'Arroz irrigado'!$E71:INDEX('Arroz irrigado'!$E71:$Z71,MIN(AU$6-$E$3,22))),0))-IF($G$2,0,IF((AU$6-$G$3)&lt;1,0,IFERROR(LOOKUP(2,1/('Arroz irrigado'!$E71:INDEX('Arroz irrigado'!$E71:$Z71,MIN(AU$6-$G$3,22))&lt;&gt;""),'Arroz irrigado'!$E71:INDEX('Arroz irrigado'!$E71:$Z71,MIN(AU$6-$G$3,22))),0)))))</f>
        <v>0</v>
      </c>
      <c r="AV73" s="27" t="n">
        <f aca="false">IF(COUNT('Arroz irrigado'!$E71:$Z71)=0,0,MAX(0,IF((AV$6-$E$3)&lt;1,0,IFERROR(LOOKUP(2,1/('Arroz irrigado'!$E71:INDEX('Arroz irrigado'!$E71:$Z71,MIN(AV$6-$E$3,22))&lt;&gt;""),'Arroz irrigado'!$E71:INDEX('Arroz irrigado'!$E71:$Z71,MIN(AV$6-$E$3,22))),0))-IF($G$2,0,IF((AV$6-$G$3)&lt;1,0,IFERROR(LOOKUP(2,1/('Arroz irrigado'!$E71:INDEX('Arroz irrigado'!$E71:$Z71,MIN(AV$6-$G$3,22))&lt;&gt;""),'Arroz irrigado'!$E71:INDEX('Arroz irrigado'!$E71:$Z71,MIN(AV$6-$G$3,22))),0)))))</f>
        <v>0</v>
      </c>
      <c r="AW73" s="27" t="n">
        <f aca="false">IF(COUNT('Arroz irrigado'!$E71:$Z71)=0,0,MAX(0,IF((AW$6-$E$3)&lt;1,0,IFERROR(LOOKUP(2,1/('Arroz irrigado'!$E71:INDEX('Arroz irrigado'!$E71:$Z71,MIN(AW$6-$E$3,22))&lt;&gt;""),'Arroz irrigado'!$E71:INDEX('Arroz irrigado'!$E71:$Z71,MIN(AW$6-$E$3,22))),0))-IF($G$2,0,IF((AW$6-$G$3)&lt;1,0,IFERROR(LOOKUP(2,1/('Arroz irrigado'!$E71:INDEX('Arroz irrigado'!$E71:$Z71,MIN(AW$6-$G$3,22))&lt;&gt;""),'Arroz irrigado'!$E71:INDEX('Arroz irrigado'!$E71:$Z71,MIN(AW$6-$G$3,22))),0)))))</f>
        <v>0</v>
      </c>
      <c r="AX73" s="27" t="n">
        <f aca="false">IF(COUNT('Arroz irrigado'!$E71:$Z71)=0,0,MAX(0,IF((AX$6-$E$3)&lt;1,0,IFERROR(LOOKUP(2,1/('Arroz irrigado'!$E71:INDEX('Arroz irrigado'!$E71:$Z71,MIN(AX$6-$E$3,22))&lt;&gt;""),'Arroz irrigado'!$E71:INDEX('Arroz irrigado'!$E71:$Z71,MIN(AX$6-$E$3,22))),0))-IF($G$2,0,IF((AX$6-$G$3)&lt;1,0,IFERROR(LOOKUP(2,1/('Arroz irrigado'!$E71:INDEX('Arroz irrigado'!$E71:$Z71,MIN(AX$6-$G$3,22))&lt;&gt;""),'Arroz irrigado'!$E71:INDEX('Arroz irrigado'!$E71:$Z71,MIN(AX$6-$G$3,22))),0)))))</f>
        <v>0</v>
      </c>
      <c r="AY73" s="27" t="n">
        <f aca="false">IF(COUNT('Arroz irrigado'!$E71:$Z71)=0,0,MAX(0,IF((AY$6-$E$3)&lt;1,0,IFERROR(LOOKUP(2,1/('Arroz irrigado'!$E71:INDEX('Arroz irrigado'!$E71:$Z71,MIN(AY$6-$E$3,22))&lt;&gt;""),'Arroz irrigado'!$E71:INDEX('Arroz irrigado'!$E71:$Z71,MIN(AY$6-$E$3,22))),0))-IF($G$2,0,IF((AY$6-$G$3)&lt;1,0,IFERROR(LOOKUP(2,1/('Arroz irrigado'!$E71:INDEX('Arroz irrigado'!$E71:$Z71,MIN(AY$6-$G$3,22))&lt;&gt;""),'Arroz irrigado'!$E71:INDEX('Arroz irrigado'!$E71:$Z71,MIN(AY$6-$G$3,22))),0)))))</f>
        <v>0</v>
      </c>
      <c r="AZ73" s="27" t="n">
        <f aca="false">IF(COUNT('Arroz irrigado'!$E71:$Z71)=0,0,MAX(0,IF((AZ$6-$E$3)&lt;1,0,IFERROR(LOOKUP(2,1/('Arroz irrigado'!$E71:INDEX('Arroz irrigado'!$E71:$Z71,MIN(AZ$6-$E$3,22))&lt;&gt;""),'Arroz irrigado'!$E71:INDEX('Arroz irrigado'!$E71:$Z71,MIN(AZ$6-$E$3,22))),0))-IF($G$2,0,IF((AZ$6-$G$3)&lt;1,0,IFERROR(LOOKUP(2,1/('Arroz irrigado'!$E71:INDEX('Arroz irrigado'!$E71:$Z71,MIN(AZ$6-$G$3,22))&lt;&gt;""),'Arroz irrigado'!$E71:INDEX('Arroz irrigado'!$E71:$Z71,MIN(AZ$6-$G$3,22))),0)))))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IF(COUNT('Arroz irrigado'!$E72:$Z72)&gt;0,N('Arroz irrigado'!$D72),0)</f>
        <v>0</v>
      </c>
      <c r="E74" s="27" t="n">
        <f aca="false">IF(COUNT('Arroz irrigado'!$E72:$Z72)=0,0,MAX(0,IF((E$6-$E$3)&lt;1,0,IFERROR(LOOKUP(2,1/('Arroz irrigado'!$E72:INDEX('Arroz irrigado'!$E72:$Z72,MIN(E$6-$E$3,22))&lt;&gt;""),'Arroz irrigado'!$E72:INDEX('Arroz irrigado'!$E72:$Z72,MIN(E$6-$E$3,22))),0))-IF($G$2,0,IF((E$6-$G$3)&lt;1,0,IFERROR(LOOKUP(2,1/('Arroz irrigado'!$E72:INDEX('Arroz irrigado'!$E72:$Z72,MIN(E$6-$G$3,22))&lt;&gt;""),'Arroz irrigado'!$E72:INDEX('Arroz irrigado'!$E72:$Z72,MIN(E$6-$G$3,22))),0)))))</f>
        <v>0</v>
      </c>
      <c r="F74" s="27" t="n">
        <f aca="false">IF(COUNT('Arroz irrigado'!$E72:$Z72)=0,0,MAX(0,IF((F$6-$E$3)&lt;1,0,IFERROR(LOOKUP(2,1/('Arroz irrigado'!$E72:INDEX('Arroz irrigado'!$E72:$Z72,MIN(F$6-$E$3,22))&lt;&gt;""),'Arroz irrigado'!$E72:INDEX('Arroz irrigado'!$E72:$Z72,MIN(F$6-$E$3,22))),0))-IF($G$2,0,IF((F$6-$G$3)&lt;1,0,IFERROR(LOOKUP(2,1/('Arroz irrigado'!$E72:INDEX('Arroz irrigado'!$E72:$Z72,MIN(F$6-$G$3,22))&lt;&gt;""),'Arroz irrigado'!$E72:INDEX('Arroz irrigado'!$E72:$Z72,MIN(F$6-$G$3,22))),0)))))</f>
        <v>0</v>
      </c>
      <c r="G74" s="27" t="n">
        <f aca="false">IF(COUNT('Arroz irrigado'!$E72:$Z72)=0,0,MAX(0,IF((G$6-$E$3)&lt;1,0,IFERROR(LOOKUP(2,1/('Arroz irrigado'!$E72:INDEX('Arroz irrigado'!$E72:$Z72,MIN(G$6-$E$3,22))&lt;&gt;""),'Arroz irrigado'!$E72:INDEX('Arroz irrigado'!$E72:$Z72,MIN(G$6-$E$3,22))),0))-IF($G$2,0,IF((G$6-$G$3)&lt;1,0,IFERROR(LOOKUP(2,1/('Arroz irrigado'!$E72:INDEX('Arroz irrigado'!$E72:$Z72,MIN(G$6-$G$3,22))&lt;&gt;""),'Arroz irrigado'!$E72:INDEX('Arroz irrigado'!$E72:$Z72,MIN(G$6-$G$3,22))),0)))))</f>
        <v>0</v>
      </c>
      <c r="H74" s="27" t="n">
        <f aca="false">IF(COUNT('Arroz irrigado'!$E72:$Z72)=0,0,MAX(0,IF((H$6-$E$3)&lt;1,0,IFERROR(LOOKUP(2,1/('Arroz irrigado'!$E72:INDEX('Arroz irrigado'!$E72:$Z72,MIN(H$6-$E$3,22))&lt;&gt;""),'Arroz irrigado'!$E72:INDEX('Arroz irrigado'!$E72:$Z72,MIN(H$6-$E$3,22))),0))-IF($G$2,0,IF((H$6-$G$3)&lt;1,0,IFERROR(LOOKUP(2,1/('Arroz irrigado'!$E72:INDEX('Arroz irrigado'!$E72:$Z72,MIN(H$6-$G$3,22))&lt;&gt;""),'Arroz irrigado'!$E72:INDEX('Arroz irrigado'!$E72:$Z72,MIN(H$6-$G$3,22))),0)))))</f>
        <v>0</v>
      </c>
      <c r="I74" s="27" t="n">
        <f aca="false">IF(COUNT('Arroz irrigado'!$E72:$Z72)=0,0,MAX(0,IF((I$6-$E$3)&lt;1,0,IFERROR(LOOKUP(2,1/('Arroz irrigado'!$E72:INDEX('Arroz irrigado'!$E72:$Z72,MIN(I$6-$E$3,22))&lt;&gt;""),'Arroz irrigado'!$E72:INDEX('Arroz irrigado'!$E72:$Z72,MIN(I$6-$E$3,22))),0))-IF($G$2,0,IF((I$6-$G$3)&lt;1,0,IFERROR(LOOKUP(2,1/('Arroz irrigado'!$E72:INDEX('Arroz irrigado'!$E72:$Z72,MIN(I$6-$G$3,22))&lt;&gt;""),'Arroz irrigado'!$E72:INDEX('Arroz irrigado'!$E72:$Z72,MIN(I$6-$G$3,22))),0)))))</f>
        <v>0</v>
      </c>
      <c r="J74" s="27" t="n">
        <f aca="false">IF(COUNT('Arroz irrigado'!$E72:$Z72)=0,0,MAX(0,IF((J$6-$E$3)&lt;1,0,IFERROR(LOOKUP(2,1/('Arroz irrigado'!$E72:INDEX('Arroz irrigado'!$E72:$Z72,MIN(J$6-$E$3,22))&lt;&gt;""),'Arroz irrigado'!$E72:INDEX('Arroz irrigado'!$E72:$Z72,MIN(J$6-$E$3,22))),0))-IF($G$2,0,IF((J$6-$G$3)&lt;1,0,IFERROR(LOOKUP(2,1/('Arroz irrigado'!$E72:INDEX('Arroz irrigado'!$E72:$Z72,MIN(J$6-$G$3,22))&lt;&gt;""),'Arroz irrigado'!$E72:INDEX('Arroz irrigado'!$E72:$Z72,MIN(J$6-$G$3,22))),0)))))</f>
        <v>0</v>
      </c>
      <c r="K74" s="27" t="n">
        <f aca="false">IF(COUNT('Arroz irrigado'!$E72:$Z72)=0,0,MAX(0,IF((K$6-$E$3)&lt;1,0,IFERROR(LOOKUP(2,1/('Arroz irrigado'!$E72:INDEX('Arroz irrigado'!$E72:$Z72,MIN(K$6-$E$3,22))&lt;&gt;""),'Arroz irrigado'!$E72:INDEX('Arroz irrigado'!$E72:$Z72,MIN(K$6-$E$3,22))),0))-IF($G$2,0,IF((K$6-$G$3)&lt;1,0,IFERROR(LOOKUP(2,1/('Arroz irrigado'!$E72:INDEX('Arroz irrigado'!$E72:$Z72,MIN(K$6-$G$3,22))&lt;&gt;""),'Arroz irrigado'!$E72:INDEX('Arroz irrigado'!$E72:$Z72,MIN(K$6-$G$3,22))),0)))))</f>
        <v>0</v>
      </c>
      <c r="L74" s="27" t="n">
        <f aca="false">IF(COUNT('Arroz irrigado'!$E72:$Z72)=0,0,MAX(0,IF((L$6-$E$3)&lt;1,0,IFERROR(LOOKUP(2,1/('Arroz irrigado'!$E72:INDEX('Arroz irrigado'!$E72:$Z72,MIN(L$6-$E$3,22))&lt;&gt;""),'Arroz irrigado'!$E72:INDEX('Arroz irrigado'!$E72:$Z72,MIN(L$6-$E$3,22))),0))-IF($G$2,0,IF((L$6-$G$3)&lt;1,0,IFERROR(LOOKUP(2,1/('Arroz irrigado'!$E72:INDEX('Arroz irrigado'!$E72:$Z72,MIN(L$6-$G$3,22))&lt;&gt;""),'Arroz irrigado'!$E72:INDEX('Arroz irrigado'!$E72:$Z72,MIN(L$6-$G$3,22))),0)))))</f>
        <v>0</v>
      </c>
      <c r="M74" s="27" t="n">
        <f aca="false">IF(COUNT('Arroz irrigado'!$E72:$Z72)=0,0,MAX(0,IF((M$6-$E$3)&lt;1,0,IFERROR(LOOKUP(2,1/('Arroz irrigado'!$E72:INDEX('Arroz irrigado'!$E72:$Z72,MIN(M$6-$E$3,22))&lt;&gt;""),'Arroz irrigado'!$E72:INDEX('Arroz irrigado'!$E72:$Z72,MIN(M$6-$E$3,22))),0))-IF($G$2,0,IF((M$6-$G$3)&lt;1,0,IFERROR(LOOKUP(2,1/('Arroz irrigado'!$E72:INDEX('Arroz irrigado'!$E72:$Z72,MIN(M$6-$G$3,22))&lt;&gt;""),'Arroz irrigado'!$E72:INDEX('Arroz irrigado'!$E72:$Z72,MIN(M$6-$G$3,22))),0)))))</f>
        <v>0</v>
      </c>
      <c r="N74" s="27" t="n">
        <f aca="false">IF(COUNT('Arroz irrigado'!$E72:$Z72)=0,0,MAX(0,IF((N$6-$E$3)&lt;1,0,IFERROR(LOOKUP(2,1/('Arroz irrigado'!$E72:INDEX('Arroz irrigado'!$E72:$Z72,MIN(N$6-$E$3,22))&lt;&gt;""),'Arroz irrigado'!$E72:INDEX('Arroz irrigado'!$E72:$Z72,MIN(N$6-$E$3,22))),0))-IF($G$2,0,IF((N$6-$G$3)&lt;1,0,IFERROR(LOOKUP(2,1/('Arroz irrigado'!$E72:INDEX('Arroz irrigado'!$E72:$Z72,MIN(N$6-$G$3,22))&lt;&gt;""),'Arroz irrigado'!$E72:INDEX('Arroz irrigado'!$E72:$Z72,MIN(N$6-$G$3,22))),0)))))</f>
        <v>0</v>
      </c>
      <c r="O74" s="27" t="n">
        <f aca="false">IF(COUNT('Arroz irrigado'!$E72:$Z72)=0,0,MAX(0,IF((O$6-$E$3)&lt;1,0,IFERROR(LOOKUP(2,1/('Arroz irrigado'!$E72:INDEX('Arroz irrigado'!$E72:$Z72,MIN(O$6-$E$3,22))&lt;&gt;""),'Arroz irrigado'!$E72:INDEX('Arroz irrigado'!$E72:$Z72,MIN(O$6-$E$3,22))),0))-IF($G$2,0,IF((O$6-$G$3)&lt;1,0,IFERROR(LOOKUP(2,1/('Arroz irrigado'!$E72:INDEX('Arroz irrigado'!$E72:$Z72,MIN(O$6-$G$3,22))&lt;&gt;""),'Arroz irrigado'!$E72:INDEX('Arroz irrigado'!$E72:$Z72,MIN(O$6-$G$3,22))),0)))))</f>
        <v>0</v>
      </c>
      <c r="P74" s="27" t="n">
        <f aca="false">IF(COUNT('Arroz irrigado'!$E72:$Z72)=0,0,MAX(0,IF((P$6-$E$3)&lt;1,0,IFERROR(LOOKUP(2,1/('Arroz irrigado'!$E72:INDEX('Arroz irrigado'!$E72:$Z72,MIN(P$6-$E$3,22))&lt;&gt;""),'Arroz irrigado'!$E72:INDEX('Arroz irrigado'!$E72:$Z72,MIN(P$6-$E$3,22))),0))-IF($G$2,0,IF((P$6-$G$3)&lt;1,0,IFERROR(LOOKUP(2,1/('Arroz irrigado'!$E72:INDEX('Arroz irrigado'!$E72:$Z72,MIN(P$6-$G$3,22))&lt;&gt;""),'Arroz irrigado'!$E72:INDEX('Arroz irrigado'!$E72:$Z72,MIN(P$6-$G$3,22))),0)))))</f>
        <v>0</v>
      </c>
      <c r="Q74" s="27" t="n">
        <f aca="false">IF(COUNT('Arroz irrigado'!$E72:$Z72)=0,0,MAX(0,IF((Q$6-$E$3)&lt;1,0,IFERROR(LOOKUP(2,1/('Arroz irrigado'!$E72:INDEX('Arroz irrigado'!$E72:$Z72,MIN(Q$6-$E$3,22))&lt;&gt;""),'Arroz irrigado'!$E72:INDEX('Arroz irrigado'!$E72:$Z72,MIN(Q$6-$E$3,22))),0))-IF($G$2,0,IF((Q$6-$G$3)&lt;1,0,IFERROR(LOOKUP(2,1/('Arroz irrigado'!$E72:INDEX('Arroz irrigado'!$E72:$Z72,MIN(Q$6-$G$3,22))&lt;&gt;""),'Arroz irrigado'!$E72:INDEX('Arroz irrigado'!$E72:$Z72,MIN(Q$6-$G$3,22))),0)))))</f>
        <v>0</v>
      </c>
      <c r="R74" s="27" t="n">
        <f aca="false">IF(COUNT('Arroz irrigado'!$E72:$Z72)=0,0,MAX(0,IF((R$6-$E$3)&lt;1,0,IFERROR(LOOKUP(2,1/('Arroz irrigado'!$E72:INDEX('Arroz irrigado'!$E72:$Z72,MIN(R$6-$E$3,22))&lt;&gt;""),'Arroz irrigado'!$E72:INDEX('Arroz irrigado'!$E72:$Z72,MIN(R$6-$E$3,22))),0))-IF($G$2,0,IF((R$6-$G$3)&lt;1,0,IFERROR(LOOKUP(2,1/('Arroz irrigado'!$E72:INDEX('Arroz irrigado'!$E72:$Z72,MIN(R$6-$G$3,22))&lt;&gt;""),'Arroz irrigado'!$E72:INDEX('Arroz irrigado'!$E72:$Z72,MIN(R$6-$G$3,22))),0)))))</f>
        <v>0</v>
      </c>
      <c r="S74" s="27" t="n">
        <f aca="false">IF(COUNT('Arroz irrigado'!$E72:$Z72)=0,0,MAX(0,IF((S$6-$E$3)&lt;1,0,IFERROR(LOOKUP(2,1/('Arroz irrigado'!$E72:INDEX('Arroz irrigado'!$E72:$Z72,MIN(S$6-$E$3,22))&lt;&gt;""),'Arroz irrigado'!$E72:INDEX('Arroz irrigado'!$E72:$Z72,MIN(S$6-$E$3,22))),0))-IF($G$2,0,IF((S$6-$G$3)&lt;1,0,IFERROR(LOOKUP(2,1/('Arroz irrigado'!$E72:INDEX('Arroz irrigado'!$E72:$Z72,MIN(S$6-$G$3,22))&lt;&gt;""),'Arroz irrigado'!$E72:INDEX('Arroz irrigado'!$E72:$Z72,MIN(S$6-$G$3,22))),0)))))</f>
        <v>0</v>
      </c>
      <c r="T74" s="27" t="n">
        <f aca="false">IF(COUNT('Arroz irrigado'!$E72:$Z72)=0,0,MAX(0,IF((T$6-$E$3)&lt;1,0,IFERROR(LOOKUP(2,1/('Arroz irrigado'!$E72:INDEX('Arroz irrigado'!$E72:$Z72,MIN(T$6-$E$3,22))&lt;&gt;""),'Arroz irrigado'!$E72:INDEX('Arroz irrigado'!$E72:$Z72,MIN(T$6-$E$3,22))),0))-IF($G$2,0,IF((T$6-$G$3)&lt;1,0,IFERROR(LOOKUP(2,1/('Arroz irrigado'!$E72:INDEX('Arroz irrigado'!$E72:$Z72,MIN(T$6-$G$3,22))&lt;&gt;""),'Arroz irrigado'!$E72:INDEX('Arroz irrigado'!$E72:$Z72,MIN(T$6-$G$3,22))),0)))))</f>
        <v>0</v>
      </c>
      <c r="U74" s="27" t="n">
        <f aca="false">IF(COUNT('Arroz irrigado'!$E72:$Z72)=0,0,MAX(0,IF((U$6-$E$3)&lt;1,0,IFERROR(LOOKUP(2,1/('Arroz irrigado'!$E72:INDEX('Arroz irrigado'!$E72:$Z72,MIN(U$6-$E$3,22))&lt;&gt;""),'Arroz irrigado'!$E72:INDEX('Arroz irrigado'!$E72:$Z72,MIN(U$6-$E$3,22))),0))-IF($G$2,0,IF((U$6-$G$3)&lt;1,0,IFERROR(LOOKUP(2,1/('Arroz irrigado'!$E72:INDEX('Arroz irrigado'!$E72:$Z72,MIN(U$6-$G$3,22))&lt;&gt;""),'Arroz irrigado'!$E72:INDEX('Arroz irrigado'!$E72:$Z72,MIN(U$6-$G$3,22))),0)))))</f>
        <v>0</v>
      </c>
      <c r="V74" s="27" t="n">
        <f aca="false">IF(COUNT('Arroz irrigado'!$E72:$Z72)=0,0,MAX(0,IF((V$6-$E$3)&lt;1,0,IFERROR(LOOKUP(2,1/('Arroz irrigado'!$E72:INDEX('Arroz irrigado'!$E72:$Z72,MIN(V$6-$E$3,22))&lt;&gt;""),'Arroz irrigado'!$E72:INDEX('Arroz irrigado'!$E72:$Z72,MIN(V$6-$E$3,22))),0))-IF($G$2,0,IF((V$6-$G$3)&lt;1,0,IFERROR(LOOKUP(2,1/('Arroz irrigado'!$E72:INDEX('Arroz irrigado'!$E72:$Z72,MIN(V$6-$G$3,22))&lt;&gt;""),'Arroz irrigado'!$E72:INDEX('Arroz irrigado'!$E72:$Z72,MIN(V$6-$G$3,22))),0)))))</f>
        <v>0</v>
      </c>
      <c r="W74" s="27" t="n">
        <f aca="false">IF(COUNT('Arroz irrigado'!$E72:$Z72)=0,0,MAX(0,IF((W$6-$E$3)&lt;1,0,IFERROR(LOOKUP(2,1/('Arroz irrigado'!$E72:INDEX('Arroz irrigado'!$E72:$Z72,MIN(W$6-$E$3,22))&lt;&gt;""),'Arroz irrigado'!$E72:INDEX('Arroz irrigado'!$E72:$Z72,MIN(W$6-$E$3,22))),0))-IF($G$2,0,IF((W$6-$G$3)&lt;1,0,IFERROR(LOOKUP(2,1/('Arroz irrigado'!$E72:INDEX('Arroz irrigado'!$E72:$Z72,MIN(W$6-$G$3,22))&lt;&gt;""),'Arroz irrigado'!$E72:INDEX('Arroz irrigado'!$E72:$Z72,MIN(W$6-$G$3,22))),0)))))</f>
        <v>0</v>
      </c>
      <c r="X74" s="27" t="n">
        <f aca="false">IF(COUNT('Arroz irrigado'!$E72:$Z72)=0,0,MAX(0,IF((X$6-$E$3)&lt;1,0,IFERROR(LOOKUP(2,1/('Arroz irrigado'!$E72:INDEX('Arroz irrigado'!$E72:$Z72,MIN(X$6-$E$3,22))&lt;&gt;""),'Arroz irrigado'!$E72:INDEX('Arroz irrigado'!$E72:$Z72,MIN(X$6-$E$3,22))),0))-IF($G$2,0,IF((X$6-$G$3)&lt;1,0,IFERROR(LOOKUP(2,1/('Arroz irrigado'!$E72:INDEX('Arroz irrigado'!$E72:$Z72,MIN(X$6-$G$3,22))&lt;&gt;""),'Arroz irrigado'!$E72:INDEX('Arroz irrigado'!$E72:$Z72,MIN(X$6-$G$3,22))),0)))))</f>
        <v>0</v>
      </c>
      <c r="Y74" s="27" t="n">
        <f aca="false">IF(COUNT('Arroz irrigado'!$E72:$Z72)=0,0,MAX(0,IF((Y$6-$E$3)&lt;1,0,IFERROR(LOOKUP(2,1/('Arroz irrigado'!$E72:INDEX('Arroz irrigado'!$E72:$Z72,MIN(Y$6-$E$3,22))&lt;&gt;""),'Arroz irrigado'!$E72:INDEX('Arroz irrigado'!$E72:$Z72,MIN(Y$6-$E$3,22))),0))-IF($G$2,0,IF((Y$6-$G$3)&lt;1,0,IFERROR(LOOKUP(2,1/('Arroz irrigado'!$E72:INDEX('Arroz irrigado'!$E72:$Z72,MIN(Y$6-$G$3,22))&lt;&gt;""),'Arroz irrigado'!$E72:INDEX('Arroz irrigado'!$E72:$Z72,MIN(Y$6-$G$3,22))),0)))))</f>
        <v>0</v>
      </c>
      <c r="Z74" s="27" t="n">
        <f aca="false">IF(COUNT('Arroz irrigado'!$E72:$Z72)=0,0,MAX(0,IF((Z$6-$E$3)&lt;1,0,IFERROR(LOOKUP(2,1/('Arroz irrigado'!$E72:INDEX('Arroz irrigado'!$E72:$Z72,MIN(Z$6-$E$3,22))&lt;&gt;""),'Arroz irrigado'!$E72:INDEX('Arroz irrigado'!$E72:$Z72,MIN(Z$6-$E$3,22))),0))-IF($G$2,0,IF((Z$6-$G$3)&lt;1,0,IFERROR(LOOKUP(2,1/('Arroz irrigado'!$E72:INDEX('Arroz irrigado'!$E72:$Z72,MIN(Z$6-$G$3,22))&lt;&gt;""),'Arroz irrigado'!$E72:INDEX('Arroz irrigado'!$E72:$Z72,MIN(Z$6-$G$3,22))),0)))))</f>
        <v>0</v>
      </c>
      <c r="AA74" s="27" t="n">
        <f aca="false">IF(COUNT('Arroz irrigado'!$E72:$Z72)=0,0,MAX(0,IF((AA$6-$E$3)&lt;1,0,IFERROR(LOOKUP(2,1/('Arroz irrigado'!$E72:INDEX('Arroz irrigado'!$E72:$Z72,MIN(AA$6-$E$3,22))&lt;&gt;""),'Arroz irrigado'!$E72:INDEX('Arroz irrigado'!$E72:$Z72,MIN(AA$6-$E$3,22))),0))-IF($G$2,0,IF((AA$6-$G$3)&lt;1,0,IFERROR(LOOKUP(2,1/('Arroz irrigado'!$E72:INDEX('Arroz irrigado'!$E72:$Z72,MIN(AA$6-$G$3,22))&lt;&gt;""),'Arroz irrigado'!$E72:INDEX('Arroz irrigado'!$E72:$Z72,MIN(AA$6-$G$3,22))),0)))))</f>
        <v>0</v>
      </c>
      <c r="AB74" s="27" t="n">
        <f aca="false">IF(COUNT('Arroz irrigado'!$E72:$Z72)=0,0,MAX(0,IF((AB$6-$E$3)&lt;1,0,IFERROR(LOOKUP(2,1/('Arroz irrigado'!$E72:INDEX('Arroz irrigado'!$E72:$Z72,MIN(AB$6-$E$3,22))&lt;&gt;""),'Arroz irrigado'!$E72:INDEX('Arroz irrigado'!$E72:$Z72,MIN(AB$6-$E$3,22))),0))-IF($G$2,0,IF((AB$6-$G$3)&lt;1,0,IFERROR(LOOKUP(2,1/('Arroz irrigado'!$E72:INDEX('Arroz irrigado'!$E72:$Z72,MIN(AB$6-$G$3,22))&lt;&gt;""),'Arroz irrigado'!$E72:INDEX('Arroz irrigado'!$E72:$Z72,MIN(AB$6-$G$3,22))),0)))))</f>
        <v>0</v>
      </c>
      <c r="AC74" s="27" t="n">
        <f aca="false">IF(COUNT('Arroz irrigado'!$E72:$Z72)=0,0,MAX(0,IF((AC$6-$E$3)&lt;1,0,IFERROR(LOOKUP(2,1/('Arroz irrigado'!$E72:INDEX('Arroz irrigado'!$E72:$Z72,MIN(AC$6-$E$3,22))&lt;&gt;""),'Arroz irrigado'!$E72:INDEX('Arroz irrigado'!$E72:$Z72,MIN(AC$6-$E$3,22))),0))-IF($G$2,0,IF((AC$6-$G$3)&lt;1,0,IFERROR(LOOKUP(2,1/('Arroz irrigado'!$E72:INDEX('Arroz irrigado'!$E72:$Z72,MIN(AC$6-$G$3,22))&lt;&gt;""),'Arroz irrigado'!$E72:INDEX('Arroz irrigado'!$E72:$Z72,MIN(AC$6-$G$3,22))),0)))))</f>
        <v>0</v>
      </c>
      <c r="AD74" s="27" t="n">
        <f aca="false">IF(COUNT('Arroz irrigado'!$E72:$Z72)=0,0,MAX(0,IF((AD$6-$E$3)&lt;1,0,IFERROR(LOOKUP(2,1/('Arroz irrigado'!$E72:INDEX('Arroz irrigado'!$E72:$Z72,MIN(AD$6-$E$3,22))&lt;&gt;""),'Arroz irrigado'!$E72:INDEX('Arroz irrigado'!$E72:$Z72,MIN(AD$6-$E$3,22))),0))-IF($G$2,0,IF((AD$6-$G$3)&lt;1,0,IFERROR(LOOKUP(2,1/('Arroz irrigado'!$E72:INDEX('Arroz irrigado'!$E72:$Z72,MIN(AD$6-$G$3,22))&lt;&gt;""),'Arroz irrigado'!$E72:INDEX('Arroz irrigado'!$E72:$Z72,MIN(AD$6-$G$3,22))),0)))))</f>
        <v>0</v>
      </c>
      <c r="AE74" s="27" t="n">
        <f aca="false">IF(COUNT('Arroz irrigado'!$E72:$Z72)=0,0,MAX(0,IF((AE$6-$E$3)&lt;1,0,IFERROR(LOOKUP(2,1/('Arroz irrigado'!$E72:INDEX('Arroz irrigado'!$E72:$Z72,MIN(AE$6-$E$3,22))&lt;&gt;""),'Arroz irrigado'!$E72:INDEX('Arroz irrigado'!$E72:$Z72,MIN(AE$6-$E$3,22))),0))-IF($G$2,0,IF((AE$6-$G$3)&lt;1,0,IFERROR(LOOKUP(2,1/('Arroz irrigado'!$E72:INDEX('Arroz irrigado'!$E72:$Z72,MIN(AE$6-$G$3,22))&lt;&gt;""),'Arroz irrigado'!$E72:INDEX('Arroz irrigado'!$E72:$Z72,MIN(AE$6-$G$3,22))),0)))))</f>
        <v>0</v>
      </c>
      <c r="AF74" s="27" t="n">
        <f aca="false">IF(COUNT('Arroz irrigado'!$E72:$Z72)=0,0,MAX(0,IF((AF$6-$E$3)&lt;1,0,IFERROR(LOOKUP(2,1/('Arroz irrigado'!$E72:INDEX('Arroz irrigado'!$E72:$Z72,MIN(AF$6-$E$3,22))&lt;&gt;""),'Arroz irrigado'!$E72:INDEX('Arroz irrigado'!$E72:$Z72,MIN(AF$6-$E$3,22))),0))-IF($G$2,0,IF((AF$6-$G$3)&lt;1,0,IFERROR(LOOKUP(2,1/('Arroz irrigado'!$E72:INDEX('Arroz irrigado'!$E72:$Z72,MIN(AF$6-$G$3,22))&lt;&gt;""),'Arroz irrigado'!$E72:INDEX('Arroz irrigado'!$E72:$Z72,MIN(AF$6-$G$3,22))),0)))))</f>
        <v>0</v>
      </c>
      <c r="AG74" s="27" t="n">
        <f aca="false">IF(COUNT('Arroz irrigado'!$E72:$Z72)=0,0,MAX(0,IF((AG$6-$E$3)&lt;1,0,IFERROR(LOOKUP(2,1/('Arroz irrigado'!$E72:INDEX('Arroz irrigado'!$E72:$Z72,MIN(AG$6-$E$3,22))&lt;&gt;""),'Arroz irrigado'!$E72:INDEX('Arroz irrigado'!$E72:$Z72,MIN(AG$6-$E$3,22))),0))-IF($G$2,0,IF((AG$6-$G$3)&lt;1,0,IFERROR(LOOKUP(2,1/('Arroz irrigado'!$E72:INDEX('Arroz irrigado'!$E72:$Z72,MIN(AG$6-$G$3,22))&lt;&gt;""),'Arroz irrigado'!$E72:INDEX('Arroz irrigado'!$E72:$Z72,MIN(AG$6-$G$3,22))),0)))))</f>
        <v>0</v>
      </c>
      <c r="AH74" s="27" t="n">
        <f aca="false">IF(COUNT('Arroz irrigado'!$E72:$Z72)=0,0,MAX(0,IF((AH$6-$E$3)&lt;1,0,IFERROR(LOOKUP(2,1/('Arroz irrigado'!$E72:INDEX('Arroz irrigado'!$E72:$Z72,MIN(AH$6-$E$3,22))&lt;&gt;""),'Arroz irrigado'!$E72:INDEX('Arroz irrigado'!$E72:$Z72,MIN(AH$6-$E$3,22))),0))-IF($G$2,0,IF((AH$6-$G$3)&lt;1,0,IFERROR(LOOKUP(2,1/('Arroz irrigado'!$E72:INDEX('Arroz irrigado'!$E72:$Z72,MIN(AH$6-$G$3,22))&lt;&gt;""),'Arroz irrigado'!$E72:INDEX('Arroz irrigado'!$E72:$Z72,MIN(AH$6-$G$3,22))),0)))))</f>
        <v>0</v>
      </c>
      <c r="AI74" s="27" t="n">
        <f aca="false">IF(COUNT('Arroz irrigado'!$E72:$Z72)=0,0,MAX(0,IF((AI$6-$E$3)&lt;1,0,IFERROR(LOOKUP(2,1/('Arroz irrigado'!$E72:INDEX('Arroz irrigado'!$E72:$Z72,MIN(AI$6-$E$3,22))&lt;&gt;""),'Arroz irrigado'!$E72:INDEX('Arroz irrigado'!$E72:$Z72,MIN(AI$6-$E$3,22))),0))-IF($G$2,0,IF((AI$6-$G$3)&lt;1,0,IFERROR(LOOKUP(2,1/('Arroz irrigado'!$E72:INDEX('Arroz irrigado'!$E72:$Z72,MIN(AI$6-$G$3,22))&lt;&gt;""),'Arroz irrigado'!$E72:INDEX('Arroz irrigado'!$E72:$Z72,MIN(AI$6-$G$3,22))),0)))))</f>
        <v>0</v>
      </c>
      <c r="AJ74" s="27" t="n">
        <f aca="false">IF(COUNT('Arroz irrigado'!$E72:$Z72)=0,0,MAX(0,IF((AJ$6-$E$3)&lt;1,0,IFERROR(LOOKUP(2,1/('Arroz irrigado'!$E72:INDEX('Arroz irrigado'!$E72:$Z72,MIN(AJ$6-$E$3,22))&lt;&gt;""),'Arroz irrigado'!$E72:INDEX('Arroz irrigado'!$E72:$Z72,MIN(AJ$6-$E$3,22))),0))-IF($G$2,0,IF((AJ$6-$G$3)&lt;1,0,IFERROR(LOOKUP(2,1/('Arroz irrigado'!$E72:INDEX('Arroz irrigado'!$E72:$Z72,MIN(AJ$6-$G$3,22))&lt;&gt;""),'Arroz irrigado'!$E72:INDEX('Arroz irrigado'!$E72:$Z72,MIN(AJ$6-$G$3,22))),0)))))</f>
        <v>0</v>
      </c>
      <c r="AK74" s="27" t="n">
        <f aca="false">IF(COUNT('Arroz irrigado'!$E72:$Z72)=0,0,MAX(0,IF((AK$6-$E$3)&lt;1,0,IFERROR(LOOKUP(2,1/('Arroz irrigado'!$E72:INDEX('Arroz irrigado'!$E72:$Z72,MIN(AK$6-$E$3,22))&lt;&gt;""),'Arroz irrigado'!$E72:INDEX('Arroz irrigado'!$E72:$Z72,MIN(AK$6-$E$3,22))),0))-IF($G$2,0,IF((AK$6-$G$3)&lt;1,0,IFERROR(LOOKUP(2,1/('Arroz irrigado'!$E72:INDEX('Arroz irrigado'!$E72:$Z72,MIN(AK$6-$G$3,22))&lt;&gt;""),'Arroz irrigado'!$E72:INDEX('Arroz irrigado'!$E72:$Z72,MIN(AK$6-$G$3,22))),0)))))</f>
        <v>0</v>
      </c>
      <c r="AL74" s="27" t="n">
        <f aca="false">IF(COUNT('Arroz irrigado'!$E72:$Z72)=0,0,MAX(0,IF((AL$6-$E$3)&lt;1,0,IFERROR(LOOKUP(2,1/('Arroz irrigado'!$E72:INDEX('Arroz irrigado'!$E72:$Z72,MIN(AL$6-$E$3,22))&lt;&gt;""),'Arroz irrigado'!$E72:INDEX('Arroz irrigado'!$E72:$Z72,MIN(AL$6-$E$3,22))),0))-IF($G$2,0,IF((AL$6-$G$3)&lt;1,0,IFERROR(LOOKUP(2,1/('Arroz irrigado'!$E72:INDEX('Arroz irrigado'!$E72:$Z72,MIN(AL$6-$G$3,22))&lt;&gt;""),'Arroz irrigado'!$E72:INDEX('Arroz irrigado'!$E72:$Z72,MIN(AL$6-$G$3,22))),0)))))</f>
        <v>0</v>
      </c>
      <c r="AM74" s="27" t="n">
        <f aca="false">IF(COUNT('Arroz irrigado'!$E72:$Z72)=0,0,MAX(0,IF((AM$6-$E$3)&lt;1,0,IFERROR(LOOKUP(2,1/('Arroz irrigado'!$E72:INDEX('Arroz irrigado'!$E72:$Z72,MIN(AM$6-$E$3,22))&lt;&gt;""),'Arroz irrigado'!$E72:INDEX('Arroz irrigado'!$E72:$Z72,MIN(AM$6-$E$3,22))),0))-IF($G$2,0,IF((AM$6-$G$3)&lt;1,0,IFERROR(LOOKUP(2,1/('Arroz irrigado'!$E72:INDEX('Arroz irrigado'!$E72:$Z72,MIN(AM$6-$G$3,22))&lt;&gt;""),'Arroz irrigado'!$E72:INDEX('Arroz irrigado'!$E72:$Z72,MIN(AM$6-$G$3,22))),0)))))</f>
        <v>0</v>
      </c>
      <c r="AN74" s="27" t="n">
        <f aca="false">IF(COUNT('Arroz irrigado'!$E72:$Z72)=0,0,MAX(0,IF((AN$6-$E$3)&lt;1,0,IFERROR(LOOKUP(2,1/('Arroz irrigado'!$E72:INDEX('Arroz irrigado'!$E72:$Z72,MIN(AN$6-$E$3,22))&lt;&gt;""),'Arroz irrigado'!$E72:INDEX('Arroz irrigado'!$E72:$Z72,MIN(AN$6-$E$3,22))),0))-IF($G$2,0,IF((AN$6-$G$3)&lt;1,0,IFERROR(LOOKUP(2,1/('Arroz irrigado'!$E72:INDEX('Arroz irrigado'!$E72:$Z72,MIN(AN$6-$G$3,22))&lt;&gt;""),'Arroz irrigado'!$E72:INDEX('Arroz irrigado'!$E72:$Z72,MIN(AN$6-$G$3,22))),0)))))</f>
        <v>0</v>
      </c>
      <c r="AO74" s="27" t="n">
        <f aca="false">IF(COUNT('Arroz irrigado'!$E72:$Z72)=0,0,MAX(0,IF((AO$6-$E$3)&lt;1,0,IFERROR(LOOKUP(2,1/('Arroz irrigado'!$E72:INDEX('Arroz irrigado'!$E72:$Z72,MIN(AO$6-$E$3,22))&lt;&gt;""),'Arroz irrigado'!$E72:INDEX('Arroz irrigado'!$E72:$Z72,MIN(AO$6-$E$3,22))),0))-IF($G$2,0,IF((AO$6-$G$3)&lt;1,0,IFERROR(LOOKUP(2,1/('Arroz irrigado'!$E72:INDEX('Arroz irrigado'!$E72:$Z72,MIN(AO$6-$G$3,22))&lt;&gt;""),'Arroz irrigado'!$E72:INDEX('Arroz irrigado'!$E72:$Z72,MIN(AO$6-$G$3,22))),0)))))</f>
        <v>0</v>
      </c>
      <c r="AP74" s="27" t="n">
        <f aca="false">IF(COUNT('Arroz irrigado'!$E72:$Z72)=0,0,MAX(0,IF((AP$6-$E$3)&lt;1,0,IFERROR(LOOKUP(2,1/('Arroz irrigado'!$E72:INDEX('Arroz irrigado'!$E72:$Z72,MIN(AP$6-$E$3,22))&lt;&gt;""),'Arroz irrigado'!$E72:INDEX('Arroz irrigado'!$E72:$Z72,MIN(AP$6-$E$3,22))),0))-IF($G$2,0,IF((AP$6-$G$3)&lt;1,0,IFERROR(LOOKUP(2,1/('Arroz irrigado'!$E72:INDEX('Arroz irrigado'!$E72:$Z72,MIN(AP$6-$G$3,22))&lt;&gt;""),'Arroz irrigado'!$E72:INDEX('Arroz irrigado'!$E72:$Z72,MIN(AP$6-$G$3,22))),0)))))</f>
        <v>0</v>
      </c>
      <c r="AQ74" s="27" t="n">
        <f aca="false">IF(COUNT('Arroz irrigado'!$E72:$Z72)=0,0,MAX(0,IF((AQ$6-$E$3)&lt;1,0,IFERROR(LOOKUP(2,1/('Arroz irrigado'!$E72:INDEX('Arroz irrigado'!$E72:$Z72,MIN(AQ$6-$E$3,22))&lt;&gt;""),'Arroz irrigado'!$E72:INDEX('Arroz irrigado'!$E72:$Z72,MIN(AQ$6-$E$3,22))),0))-IF($G$2,0,IF((AQ$6-$G$3)&lt;1,0,IFERROR(LOOKUP(2,1/('Arroz irrigado'!$E72:INDEX('Arroz irrigado'!$E72:$Z72,MIN(AQ$6-$G$3,22))&lt;&gt;""),'Arroz irrigado'!$E72:INDEX('Arroz irrigado'!$E72:$Z72,MIN(AQ$6-$G$3,22))),0)))))</f>
        <v>0</v>
      </c>
      <c r="AR74" s="27" t="n">
        <f aca="false">IF(COUNT('Arroz irrigado'!$E72:$Z72)=0,0,MAX(0,IF((AR$6-$E$3)&lt;1,0,IFERROR(LOOKUP(2,1/('Arroz irrigado'!$E72:INDEX('Arroz irrigado'!$E72:$Z72,MIN(AR$6-$E$3,22))&lt;&gt;""),'Arroz irrigado'!$E72:INDEX('Arroz irrigado'!$E72:$Z72,MIN(AR$6-$E$3,22))),0))-IF($G$2,0,IF((AR$6-$G$3)&lt;1,0,IFERROR(LOOKUP(2,1/('Arroz irrigado'!$E72:INDEX('Arroz irrigado'!$E72:$Z72,MIN(AR$6-$G$3,22))&lt;&gt;""),'Arroz irrigado'!$E72:INDEX('Arroz irrigado'!$E72:$Z72,MIN(AR$6-$G$3,22))),0)))))</f>
        <v>0</v>
      </c>
      <c r="AS74" s="27" t="n">
        <f aca="false">IF(COUNT('Arroz irrigado'!$E72:$Z72)=0,0,MAX(0,IF((AS$6-$E$3)&lt;1,0,IFERROR(LOOKUP(2,1/('Arroz irrigado'!$E72:INDEX('Arroz irrigado'!$E72:$Z72,MIN(AS$6-$E$3,22))&lt;&gt;""),'Arroz irrigado'!$E72:INDEX('Arroz irrigado'!$E72:$Z72,MIN(AS$6-$E$3,22))),0))-IF($G$2,0,IF((AS$6-$G$3)&lt;1,0,IFERROR(LOOKUP(2,1/('Arroz irrigado'!$E72:INDEX('Arroz irrigado'!$E72:$Z72,MIN(AS$6-$G$3,22))&lt;&gt;""),'Arroz irrigado'!$E72:INDEX('Arroz irrigado'!$E72:$Z72,MIN(AS$6-$G$3,22))),0)))))</f>
        <v>0</v>
      </c>
      <c r="AT74" s="27" t="n">
        <f aca="false">IF(COUNT('Arroz irrigado'!$E72:$Z72)=0,0,MAX(0,IF((AT$6-$E$3)&lt;1,0,IFERROR(LOOKUP(2,1/('Arroz irrigado'!$E72:INDEX('Arroz irrigado'!$E72:$Z72,MIN(AT$6-$E$3,22))&lt;&gt;""),'Arroz irrigado'!$E72:INDEX('Arroz irrigado'!$E72:$Z72,MIN(AT$6-$E$3,22))),0))-IF($G$2,0,IF((AT$6-$G$3)&lt;1,0,IFERROR(LOOKUP(2,1/('Arroz irrigado'!$E72:INDEX('Arroz irrigado'!$E72:$Z72,MIN(AT$6-$G$3,22))&lt;&gt;""),'Arroz irrigado'!$E72:INDEX('Arroz irrigado'!$E72:$Z72,MIN(AT$6-$G$3,22))),0)))))</f>
        <v>0</v>
      </c>
      <c r="AU74" s="27" t="n">
        <f aca="false">IF(COUNT('Arroz irrigado'!$E72:$Z72)=0,0,MAX(0,IF((AU$6-$E$3)&lt;1,0,IFERROR(LOOKUP(2,1/('Arroz irrigado'!$E72:INDEX('Arroz irrigado'!$E72:$Z72,MIN(AU$6-$E$3,22))&lt;&gt;""),'Arroz irrigado'!$E72:INDEX('Arroz irrigado'!$E72:$Z72,MIN(AU$6-$E$3,22))),0))-IF($G$2,0,IF((AU$6-$G$3)&lt;1,0,IFERROR(LOOKUP(2,1/('Arroz irrigado'!$E72:INDEX('Arroz irrigado'!$E72:$Z72,MIN(AU$6-$G$3,22))&lt;&gt;""),'Arroz irrigado'!$E72:INDEX('Arroz irrigado'!$E72:$Z72,MIN(AU$6-$G$3,22))),0)))))</f>
        <v>0</v>
      </c>
      <c r="AV74" s="27" t="n">
        <f aca="false">IF(COUNT('Arroz irrigado'!$E72:$Z72)=0,0,MAX(0,IF((AV$6-$E$3)&lt;1,0,IFERROR(LOOKUP(2,1/('Arroz irrigado'!$E72:INDEX('Arroz irrigado'!$E72:$Z72,MIN(AV$6-$E$3,22))&lt;&gt;""),'Arroz irrigado'!$E72:INDEX('Arroz irrigado'!$E72:$Z72,MIN(AV$6-$E$3,22))),0))-IF($G$2,0,IF((AV$6-$G$3)&lt;1,0,IFERROR(LOOKUP(2,1/('Arroz irrigado'!$E72:INDEX('Arroz irrigado'!$E72:$Z72,MIN(AV$6-$G$3,22))&lt;&gt;""),'Arroz irrigado'!$E72:INDEX('Arroz irrigado'!$E72:$Z72,MIN(AV$6-$G$3,22))),0)))))</f>
        <v>0</v>
      </c>
      <c r="AW74" s="27" t="n">
        <f aca="false">IF(COUNT('Arroz irrigado'!$E72:$Z72)=0,0,MAX(0,IF((AW$6-$E$3)&lt;1,0,IFERROR(LOOKUP(2,1/('Arroz irrigado'!$E72:INDEX('Arroz irrigado'!$E72:$Z72,MIN(AW$6-$E$3,22))&lt;&gt;""),'Arroz irrigado'!$E72:INDEX('Arroz irrigado'!$E72:$Z72,MIN(AW$6-$E$3,22))),0))-IF($G$2,0,IF((AW$6-$G$3)&lt;1,0,IFERROR(LOOKUP(2,1/('Arroz irrigado'!$E72:INDEX('Arroz irrigado'!$E72:$Z72,MIN(AW$6-$G$3,22))&lt;&gt;""),'Arroz irrigado'!$E72:INDEX('Arroz irrigado'!$E72:$Z72,MIN(AW$6-$G$3,22))),0)))))</f>
        <v>0</v>
      </c>
      <c r="AX74" s="27" t="n">
        <f aca="false">IF(COUNT('Arroz irrigado'!$E72:$Z72)=0,0,MAX(0,IF((AX$6-$E$3)&lt;1,0,IFERROR(LOOKUP(2,1/('Arroz irrigado'!$E72:INDEX('Arroz irrigado'!$E72:$Z72,MIN(AX$6-$E$3,22))&lt;&gt;""),'Arroz irrigado'!$E72:INDEX('Arroz irrigado'!$E72:$Z72,MIN(AX$6-$E$3,22))),0))-IF($G$2,0,IF((AX$6-$G$3)&lt;1,0,IFERROR(LOOKUP(2,1/('Arroz irrigado'!$E72:INDEX('Arroz irrigado'!$E72:$Z72,MIN(AX$6-$G$3,22))&lt;&gt;""),'Arroz irrigado'!$E72:INDEX('Arroz irrigado'!$E72:$Z72,MIN(AX$6-$G$3,22))),0)))))</f>
        <v>0</v>
      </c>
      <c r="AY74" s="27" t="n">
        <f aca="false">IF(COUNT('Arroz irrigado'!$E72:$Z72)=0,0,MAX(0,IF((AY$6-$E$3)&lt;1,0,IFERROR(LOOKUP(2,1/('Arroz irrigado'!$E72:INDEX('Arroz irrigado'!$E72:$Z72,MIN(AY$6-$E$3,22))&lt;&gt;""),'Arroz irrigado'!$E72:INDEX('Arroz irrigado'!$E72:$Z72,MIN(AY$6-$E$3,22))),0))-IF($G$2,0,IF((AY$6-$G$3)&lt;1,0,IFERROR(LOOKUP(2,1/('Arroz irrigado'!$E72:INDEX('Arroz irrigado'!$E72:$Z72,MIN(AY$6-$G$3,22))&lt;&gt;""),'Arroz irrigado'!$E72:INDEX('Arroz irrigado'!$E72:$Z72,MIN(AY$6-$G$3,22))),0)))))</f>
        <v>0</v>
      </c>
      <c r="AZ74" s="27" t="n">
        <f aca="false">IF(COUNT('Arroz irrigado'!$E72:$Z72)=0,0,MAX(0,IF((AZ$6-$E$3)&lt;1,0,IFERROR(LOOKUP(2,1/('Arroz irrigado'!$E72:INDEX('Arroz irrigado'!$E72:$Z72,MIN(AZ$6-$E$3,22))&lt;&gt;""),'Arroz irrigado'!$E72:INDEX('Arroz irrigado'!$E72:$Z72,MIN(AZ$6-$E$3,22))),0))-IF($G$2,0,IF((AZ$6-$G$3)&lt;1,0,IFERROR(LOOKUP(2,1/('Arroz irrigado'!$E72:INDEX('Arroz irrigado'!$E72:$Z72,MIN(AZ$6-$G$3,22))&lt;&gt;""),'Arroz irrigado'!$E72:INDEX('Arroz irrigado'!$E72:$Z72,MIN(AZ$6-$G$3,22))),0)))))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IF(COUNT('Arroz irrigado'!$E73:$Z73)&gt;0,N('Arroz irrigado'!$D73),0)</f>
        <v>0</v>
      </c>
      <c r="E75" s="27" t="n">
        <f aca="false">IF(COUNT('Arroz irrigado'!$E73:$Z73)=0,0,MAX(0,IF((E$6-$E$3)&lt;1,0,IFERROR(LOOKUP(2,1/('Arroz irrigado'!$E73:INDEX('Arroz irrigado'!$E73:$Z73,MIN(E$6-$E$3,22))&lt;&gt;""),'Arroz irrigado'!$E73:INDEX('Arroz irrigado'!$E73:$Z73,MIN(E$6-$E$3,22))),0))-IF($G$2,0,IF((E$6-$G$3)&lt;1,0,IFERROR(LOOKUP(2,1/('Arroz irrigado'!$E73:INDEX('Arroz irrigado'!$E73:$Z73,MIN(E$6-$G$3,22))&lt;&gt;""),'Arroz irrigado'!$E73:INDEX('Arroz irrigado'!$E73:$Z73,MIN(E$6-$G$3,22))),0)))))</f>
        <v>0</v>
      </c>
      <c r="F75" s="27" t="n">
        <f aca="false">IF(COUNT('Arroz irrigado'!$E73:$Z73)=0,0,MAX(0,IF((F$6-$E$3)&lt;1,0,IFERROR(LOOKUP(2,1/('Arroz irrigado'!$E73:INDEX('Arroz irrigado'!$E73:$Z73,MIN(F$6-$E$3,22))&lt;&gt;""),'Arroz irrigado'!$E73:INDEX('Arroz irrigado'!$E73:$Z73,MIN(F$6-$E$3,22))),0))-IF($G$2,0,IF((F$6-$G$3)&lt;1,0,IFERROR(LOOKUP(2,1/('Arroz irrigado'!$E73:INDEX('Arroz irrigado'!$E73:$Z73,MIN(F$6-$G$3,22))&lt;&gt;""),'Arroz irrigado'!$E73:INDEX('Arroz irrigado'!$E73:$Z73,MIN(F$6-$G$3,22))),0)))))</f>
        <v>0</v>
      </c>
      <c r="G75" s="27" t="n">
        <f aca="false">IF(COUNT('Arroz irrigado'!$E73:$Z73)=0,0,MAX(0,IF((G$6-$E$3)&lt;1,0,IFERROR(LOOKUP(2,1/('Arroz irrigado'!$E73:INDEX('Arroz irrigado'!$E73:$Z73,MIN(G$6-$E$3,22))&lt;&gt;""),'Arroz irrigado'!$E73:INDEX('Arroz irrigado'!$E73:$Z73,MIN(G$6-$E$3,22))),0))-IF($G$2,0,IF((G$6-$G$3)&lt;1,0,IFERROR(LOOKUP(2,1/('Arroz irrigado'!$E73:INDEX('Arroz irrigado'!$E73:$Z73,MIN(G$6-$G$3,22))&lt;&gt;""),'Arroz irrigado'!$E73:INDEX('Arroz irrigado'!$E73:$Z73,MIN(G$6-$G$3,22))),0)))))</f>
        <v>0</v>
      </c>
      <c r="H75" s="27" t="n">
        <f aca="false">IF(COUNT('Arroz irrigado'!$E73:$Z73)=0,0,MAX(0,IF((H$6-$E$3)&lt;1,0,IFERROR(LOOKUP(2,1/('Arroz irrigado'!$E73:INDEX('Arroz irrigado'!$E73:$Z73,MIN(H$6-$E$3,22))&lt;&gt;""),'Arroz irrigado'!$E73:INDEX('Arroz irrigado'!$E73:$Z73,MIN(H$6-$E$3,22))),0))-IF($G$2,0,IF((H$6-$G$3)&lt;1,0,IFERROR(LOOKUP(2,1/('Arroz irrigado'!$E73:INDEX('Arroz irrigado'!$E73:$Z73,MIN(H$6-$G$3,22))&lt;&gt;""),'Arroz irrigado'!$E73:INDEX('Arroz irrigado'!$E73:$Z73,MIN(H$6-$G$3,22))),0)))))</f>
        <v>0</v>
      </c>
      <c r="I75" s="27" t="n">
        <f aca="false">IF(COUNT('Arroz irrigado'!$E73:$Z73)=0,0,MAX(0,IF((I$6-$E$3)&lt;1,0,IFERROR(LOOKUP(2,1/('Arroz irrigado'!$E73:INDEX('Arroz irrigado'!$E73:$Z73,MIN(I$6-$E$3,22))&lt;&gt;""),'Arroz irrigado'!$E73:INDEX('Arroz irrigado'!$E73:$Z73,MIN(I$6-$E$3,22))),0))-IF($G$2,0,IF((I$6-$G$3)&lt;1,0,IFERROR(LOOKUP(2,1/('Arroz irrigado'!$E73:INDEX('Arroz irrigado'!$E73:$Z73,MIN(I$6-$G$3,22))&lt;&gt;""),'Arroz irrigado'!$E73:INDEX('Arroz irrigado'!$E73:$Z73,MIN(I$6-$G$3,22))),0)))))</f>
        <v>0</v>
      </c>
      <c r="J75" s="27" t="n">
        <f aca="false">IF(COUNT('Arroz irrigado'!$E73:$Z73)=0,0,MAX(0,IF((J$6-$E$3)&lt;1,0,IFERROR(LOOKUP(2,1/('Arroz irrigado'!$E73:INDEX('Arroz irrigado'!$E73:$Z73,MIN(J$6-$E$3,22))&lt;&gt;""),'Arroz irrigado'!$E73:INDEX('Arroz irrigado'!$E73:$Z73,MIN(J$6-$E$3,22))),0))-IF($G$2,0,IF((J$6-$G$3)&lt;1,0,IFERROR(LOOKUP(2,1/('Arroz irrigado'!$E73:INDEX('Arroz irrigado'!$E73:$Z73,MIN(J$6-$G$3,22))&lt;&gt;""),'Arroz irrigado'!$E73:INDEX('Arroz irrigado'!$E73:$Z73,MIN(J$6-$G$3,22))),0)))))</f>
        <v>0</v>
      </c>
      <c r="K75" s="27" t="n">
        <f aca="false">IF(COUNT('Arroz irrigado'!$E73:$Z73)=0,0,MAX(0,IF((K$6-$E$3)&lt;1,0,IFERROR(LOOKUP(2,1/('Arroz irrigado'!$E73:INDEX('Arroz irrigado'!$E73:$Z73,MIN(K$6-$E$3,22))&lt;&gt;""),'Arroz irrigado'!$E73:INDEX('Arroz irrigado'!$E73:$Z73,MIN(K$6-$E$3,22))),0))-IF($G$2,0,IF((K$6-$G$3)&lt;1,0,IFERROR(LOOKUP(2,1/('Arroz irrigado'!$E73:INDEX('Arroz irrigado'!$E73:$Z73,MIN(K$6-$G$3,22))&lt;&gt;""),'Arroz irrigado'!$E73:INDEX('Arroz irrigado'!$E73:$Z73,MIN(K$6-$G$3,22))),0)))))</f>
        <v>0</v>
      </c>
      <c r="L75" s="27" t="n">
        <f aca="false">IF(COUNT('Arroz irrigado'!$E73:$Z73)=0,0,MAX(0,IF((L$6-$E$3)&lt;1,0,IFERROR(LOOKUP(2,1/('Arroz irrigado'!$E73:INDEX('Arroz irrigado'!$E73:$Z73,MIN(L$6-$E$3,22))&lt;&gt;""),'Arroz irrigado'!$E73:INDEX('Arroz irrigado'!$E73:$Z73,MIN(L$6-$E$3,22))),0))-IF($G$2,0,IF((L$6-$G$3)&lt;1,0,IFERROR(LOOKUP(2,1/('Arroz irrigado'!$E73:INDEX('Arroz irrigado'!$E73:$Z73,MIN(L$6-$G$3,22))&lt;&gt;""),'Arroz irrigado'!$E73:INDEX('Arroz irrigado'!$E73:$Z73,MIN(L$6-$G$3,22))),0)))))</f>
        <v>0</v>
      </c>
      <c r="M75" s="27" t="n">
        <f aca="false">IF(COUNT('Arroz irrigado'!$E73:$Z73)=0,0,MAX(0,IF((M$6-$E$3)&lt;1,0,IFERROR(LOOKUP(2,1/('Arroz irrigado'!$E73:INDEX('Arroz irrigado'!$E73:$Z73,MIN(M$6-$E$3,22))&lt;&gt;""),'Arroz irrigado'!$E73:INDEX('Arroz irrigado'!$E73:$Z73,MIN(M$6-$E$3,22))),0))-IF($G$2,0,IF((M$6-$G$3)&lt;1,0,IFERROR(LOOKUP(2,1/('Arroz irrigado'!$E73:INDEX('Arroz irrigado'!$E73:$Z73,MIN(M$6-$G$3,22))&lt;&gt;""),'Arroz irrigado'!$E73:INDEX('Arroz irrigado'!$E73:$Z73,MIN(M$6-$G$3,22))),0)))))</f>
        <v>0</v>
      </c>
      <c r="N75" s="27" t="n">
        <f aca="false">IF(COUNT('Arroz irrigado'!$E73:$Z73)=0,0,MAX(0,IF((N$6-$E$3)&lt;1,0,IFERROR(LOOKUP(2,1/('Arroz irrigado'!$E73:INDEX('Arroz irrigado'!$E73:$Z73,MIN(N$6-$E$3,22))&lt;&gt;""),'Arroz irrigado'!$E73:INDEX('Arroz irrigado'!$E73:$Z73,MIN(N$6-$E$3,22))),0))-IF($G$2,0,IF((N$6-$G$3)&lt;1,0,IFERROR(LOOKUP(2,1/('Arroz irrigado'!$E73:INDEX('Arroz irrigado'!$E73:$Z73,MIN(N$6-$G$3,22))&lt;&gt;""),'Arroz irrigado'!$E73:INDEX('Arroz irrigado'!$E73:$Z73,MIN(N$6-$G$3,22))),0)))))</f>
        <v>0</v>
      </c>
      <c r="O75" s="27" t="n">
        <f aca="false">IF(COUNT('Arroz irrigado'!$E73:$Z73)=0,0,MAX(0,IF((O$6-$E$3)&lt;1,0,IFERROR(LOOKUP(2,1/('Arroz irrigado'!$E73:INDEX('Arroz irrigado'!$E73:$Z73,MIN(O$6-$E$3,22))&lt;&gt;""),'Arroz irrigado'!$E73:INDEX('Arroz irrigado'!$E73:$Z73,MIN(O$6-$E$3,22))),0))-IF($G$2,0,IF((O$6-$G$3)&lt;1,0,IFERROR(LOOKUP(2,1/('Arroz irrigado'!$E73:INDEX('Arroz irrigado'!$E73:$Z73,MIN(O$6-$G$3,22))&lt;&gt;""),'Arroz irrigado'!$E73:INDEX('Arroz irrigado'!$E73:$Z73,MIN(O$6-$G$3,22))),0)))))</f>
        <v>0</v>
      </c>
      <c r="P75" s="27" t="n">
        <f aca="false">IF(COUNT('Arroz irrigado'!$E73:$Z73)=0,0,MAX(0,IF((P$6-$E$3)&lt;1,0,IFERROR(LOOKUP(2,1/('Arroz irrigado'!$E73:INDEX('Arroz irrigado'!$E73:$Z73,MIN(P$6-$E$3,22))&lt;&gt;""),'Arroz irrigado'!$E73:INDEX('Arroz irrigado'!$E73:$Z73,MIN(P$6-$E$3,22))),0))-IF($G$2,0,IF((P$6-$G$3)&lt;1,0,IFERROR(LOOKUP(2,1/('Arroz irrigado'!$E73:INDEX('Arroz irrigado'!$E73:$Z73,MIN(P$6-$G$3,22))&lt;&gt;""),'Arroz irrigado'!$E73:INDEX('Arroz irrigado'!$E73:$Z73,MIN(P$6-$G$3,22))),0)))))</f>
        <v>0</v>
      </c>
      <c r="Q75" s="27" t="n">
        <f aca="false">IF(COUNT('Arroz irrigado'!$E73:$Z73)=0,0,MAX(0,IF((Q$6-$E$3)&lt;1,0,IFERROR(LOOKUP(2,1/('Arroz irrigado'!$E73:INDEX('Arroz irrigado'!$E73:$Z73,MIN(Q$6-$E$3,22))&lt;&gt;""),'Arroz irrigado'!$E73:INDEX('Arroz irrigado'!$E73:$Z73,MIN(Q$6-$E$3,22))),0))-IF($G$2,0,IF((Q$6-$G$3)&lt;1,0,IFERROR(LOOKUP(2,1/('Arroz irrigado'!$E73:INDEX('Arroz irrigado'!$E73:$Z73,MIN(Q$6-$G$3,22))&lt;&gt;""),'Arroz irrigado'!$E73:INDEX('Arroz irrigado'!$E73:$Z73,MIN(Q$6-$G$3,22))),0)))))</f>
        <v>0</v>
      </c>
      <c r="R75" s="27" t="n">
        <f aca="false">IF(COUNT('Arroz irrigado'!$E73:$Z73)=0,0,MAX(0,IF((R$6-$E$3)&lt;1,0,IFERROR(LOOKUP(2,1/('Arroz irrigado'!$E73:INDEX('Arroz irrigado'!$E73:$Z73,MIN(R$6-$E$3,22))&lt;&gt;""),'Arroz irrigado'!$E73:INDEX('Arroz irrigado'!$E73:$Z73,MIN(R$6-$E$3,22))),0))-IF($G$2,0,IF((R$6-$G$3)&lt;1,0,IFERROR(LOOKUP(2,1/('Arroz irrigado'!$E73:INDEX('Arroz irrigado'!$E73:$Z73,MIN(R$6-$G$3,22))&lt;&gt;""),'Arroz irrigado'!$E73:INDEX('Arroz irrigado'!$E73:$Z73,MIN(R$6-$G$3,22))),0)))))</f>
        <v>0</v>
      </c>
      <c r="S75" s="27" t="n">
        <f aca="false">IF(COUNT('Arroz irrigado'!$E73:$Z73)=0,0,MAX(0,IF((S$6-$E$3)&lt;1,0,IFERROR(LOOKUP(2,1/('Arroz irrigado'!$E73:INDEX('Arroz irrigado'!$E73:$Z73,MIN(S$6-$E$3,22))&lt;&gt;""),'Arroz irrigado'!$E73:INDEX('Arroz irrigado'!$E73:$Z73,MIN(S$6-$E$3,22))),0))-IF($G$2,0,IF((S$6-$G$3)&lt;1,0,IFERROR(LOOKUP(2,1/('Arroz irrigado'!$E73:INDEX('Arroz irrigado'!$E73:$Z73,MIN(S$6-$G$3,22))&lt;&gt;""),'Arroz irrigado'!$E73:INDEX('Arroz irrigado'!$E73:$Z73,MIN(S$6-$G$3,22))),0)))))</f>
        <v>0</v>
      </c>
      <c r="T75" s="27" t="n">
        <f aca="false">IF(COUNT('Arroz irrigado'!$E73:$Z73)=0,0,MAX(0,IF((T$6-$E$3)&lt;1,0,IFERROR(LOOKUP(2,1/('Arroz irrigado'!$E73:INDEX('Arroz irrigado'!$E73:$Z73,MIN(T$6-$E$3,22))&lt;&gt;""),'Arroz irrigado'!$E73:INDEX('Arroz irrigado'!$E73:$Z73,MIN(T$6-$E$3,22))),0))-IF($G$2,0,IF((T$6-$G$3)&lt;1,0,IFERROR(LOOKUP(2,1/('Arroz irrigado'!$E73:INDEX('Arroz irrigado'!$E73:$Z73,MIN(T$6-$G$3,22))&lt;&gt;""),'Arroz irrigado'!$E73:INDEX('Arroz irrigado'!$E73:$Z73,MIN(T$6-$G$3,22))),0)))))</f>
        <v>0</v>
      </c>
      <c r="U75" s="27" t="n">
        <f aca="false">IF(COUNT('Arroz irrigado'!$E73:$Z73)=0,0,MAX(0,IF((U$6-$E$3)&lt;1,0,IFERROR(LOOKUP(2,1/('Arroz irrigado'!$E73:INDEX('Arroz irrigado'!$E73:$Z73,MIN(U$6-$E$3,22))&lt;&gt;""),'Arroz irrigado'!$E73:INDEX('Arroz irrigado'!$E73:$Z73,MIN(U$6-$E$3,22))),0))-IF($G$2,0,IF((U$6-$G$3)&lt;1,0,IFERROR(LOOKUP(2,1/('Arroz irrigado'!$E73:INDEX('Arroz irrigado'!$E73:$Z73,MIN(U$6-$G$3,22))&lt;&gt;""),'Arroz irrigado'!$E73:INDEX('Arroz irrigado'!$E73:$Z73,MIN(U$6-$G$3,22))),0)))))</f>
        <v>0</v>
      </c>
      <c r="V75" s="27" t="n">
        <f aca="false">IF(COUNT('Arroz irrigado'!$E73:$Z73)=0,0,MAX(0,IF((V$6-$E$3)&lt;1,0,IFERROR(LOOKUP(2,1/('Arroz irrigado'!$E73:INDEX('Arroz irrigado'!$E73:$Z73,MIN(V$6-$E$3,22))&lt;&gt;""),'Arroz irrigado'!$E73:INDEX('Arroz irrigado'!$E73:$Z73,MIN(V$6-$E$3,22))),0))-IF($G$2,0,IF((V$6-$G$3)&lt;1,0,IFERROR(LOOKUP(2,1/('Arroz irrigado'!$E73:INDEX('Arroz irrigado'!$E73:$Z73,MIN(V$6-$G$3,22))&lt;&gt;""),'Arroz irrigado'!$E73:INDEX('Arroz irrigado'!$E73:$Z73,MIN(V$6-$G$3,22))),0)))))</f>
        <v>0</v>
      </c>
      <c r="W75" s="27" t="n">
        <f aca="false">IF(COUNT('Arroz irrigado'!$E73:$Z73)=0,0,MAX(0,IF((W$6-$E$3)&lt;1,0,IFERROR(LOOKUP(2,1/('Arroz irrigado'!$E73:INDEX('Arroz irrigado'!$E73:$Z73,MIN(W$6-$E$3,22))&lt;&gt;""),'Arroz irrigado'!$E73:INDEX('Arroz irrigado'!$E73:$Z73,MIN(W$6-$E$3,22))),0))-IF($G$2,0,IF((W$6-$G$3)&lt;1,0,IFERROR(LOOKUP(2,1/('Arroz irrigado'!$E73:INDEX('Arroz irrigado'!$E73:$Z73,MIN(W$6-$G$3,22))&lt;&gt;""),'Arroz irrigado'!$E73:INDEX('Arroz irrigado'!$E73:$Z73,MIN(W$6-$G$3,22))),0)))))</f>
        <v>0</v>
      </c>
      <c r="X75" s="27" t="n">
        <f aca="false">IF(COUNT('Arroz irrigado'!$E73:$Z73)=0,0,MAX(0,IF((X$6-$E$3)&lt;1,0,IFERROR(LOOKUP(2,1/('Arroz irrigado'!$E73:INDEX('Arroz irrigado'!$E73:$Z73,MIN(X$6-$E$3,22))&lt;&gt;""),'Arroz irrigado'!$E73:INDEX('Arroz irrigado'!$E73:$Z73,MIN(X$6-$E$3,22))),0))-IF($G$2,0,IF((X$6-$G$3)&lt;1,0,IFERROR(LOOKUP(2,1/('Arroz irrigado'!$E73:INDEX('Arroz irrigado'!$E73:$Z73,MIN(X$6-$G$3,22))&lt;&gt;""),'Arroz irrigado'!$E73:INDEX('Arroz irrigado'!$E73:$Z73,MIN(X$6-$G$3,22))),0)))))</f>
        <v>0</v>
      </c>
      <c r="Y75" s="27" t="n">
        <f aca="false">IF(COUNT('Arroz irrigado'!$E73:$Z73)=0,0,MAX(0,IF((Y$6-$E$3)&lt;1,0,IFERROR(LOOKUP(2,1/('Arroz irrigado'!$E73:INDEX('Arroz irrigado'!$E73:$Z73,MIN(Y$6-$E$3,22))&lt;&gt;""),'Arroz irrigado'!$E73:INDEX('Arroz irrigado'!$E73:$Z73,MIN(Y$6-$E$3,22))),0))-IF($G$2,0,IF((Y$6-$G$3)&lt;1,0,IFERROR(LOOKUP(2,1/('Arroz irrigado'!$E73:INDEX('Arroz irrigado'!$E73:$Z73,MIN(Y$6-$G$3,22))&lt;&gt;""),'Arroz irrigado'!$E73:INDEX('Arroz irrigado'!$E73:$Z73,MIN(Y$6-$G$3,22))),0)))))</f>
        <v>0</v>
      </c>
      <c r="Z75" s="27" t="n">
        <f aca="false">IF(COUNT('Arroz irrigado'!$E73:$Z73)=0,0,MAX(0,IF((Z$6-$E$3)&lt;1,0,IFERROR(LOOKUP(2,1/('Arroz irrigado'!$E73:INDEX('Arroz irrigado'!$E73:$Z73,MIN(Z$6-$E$3,22))&lt;&gt;""),'Arroz irrigado'!$E73:INDEX('Arroz irrigado'!$E73:$Z73,MIN(Z$6-$E$3,22))),0))-IF($G$2,0,IF((Z$6-$G$3)&lt;1,0,IFERROR(LOOKUP(2,1/('Arroz irrigado'!$E73:INDEX('Arroz irrigado'!$E73:$Z73,MIN(Z$6-$G$3,22))&lt;&gt;""),'Arroz irrigado'!$E73:INDEX('Arroz irrigado'!$E73:$Z73,MIN(Z$6-$G$3,22))),0)))))</f>
        <v>0</v>
      </c>
      <c r="AA75" s="27" t="n">
        <f aca="false">IF(COUNT('Arroz irrigado'!$E73:$Z73)=0,0,MAX(0,IF((AA$6-$E$3)&lt;1,0,IFERROR(LOOKUP(2,1/('Arroz irrigado'!$E73:INDEX('Arroz irrigado'!$E73:$Z73,MIN(AA$6-$E$3,22))&lt;&gt;""),'Arroz irrigado'!$E73:INDEX('Arroz irrigado'!$E73:$Z73,MIN(AA$6-$E$3,22))),0))-IF($G$2,0,IF((AA$6-$G$3)&lt;1,0,IFERROR(LOOKUP(2,1/('Arroz irrigado'!$E73:INDEX('Arroz irrigado'!$E73:$Z73,MIN(AA$6-$G$3,22))&lt;&gt;""),'Arroz irrigado'!$E73:INDEX('Arroz irrigado'!$E73:$Z73,MIN(AA$6-$G$3,22))),0)))))</f>
        <v>0</v>
      </c>
      <c r="AB75" s="27" t="n">
        <f aca="false">IF(COUNT('Arroz irrigado'!$E73:$Z73)=0,0,MAX(0,IF((AB$6-$E$3)&lt;1,0,IFERROR(LOOKUP(2,1/('Arroz irrigado'!$E73:INDEX('Arroz irrigado'!$E73:$Z73,MIN(AB$6-$E$3,22))&lt;&gt;""),'Arroz irrigado'!$E73:INDEX('Arroz irrigado'!$E73:$Z73,MIN(AB$6-$E$3,22))),0))-IF($G$2,0,IF((AB$6-$G$3)&lt;1,0,IFERROR(LOOKUP(2,1/('Arroz irrigado'!$E73:INDEX('Arroz irrigado'!$E73:$Z73,MIN(AB$6-$G$3,22))&lt;&gt;""),'Arroz irrigado'!$E73:INDEX('Arroz irrigado'!$E73:$Z73,MIN(AB$6-$G$3,22))),0)))))</f>
        <v>0</v>
      </c>
      <c r="AC75" s="27" t="n">
        <f aca="false">IF(COUNT('Arroz irrigado'!$E73:$Z73)=0,0,MAX(0,IF((AC$6-$E$3)&lt;1,0,IFERROR(LOOKUP(2,1/('Arroz irrigado'!$E73:INDEX('Arroz irrigado'!$E73:$Z73,MIN(AC$6-$E$3,22))&lt;&gt;""),'Arroz irrigado'!$E73:INDEX('Arroz irrigado'!$E73:$Z73,MIN(AC$6-$E$3,22))),0))-IF($G$2,0,IF((AC$6-$G$3)&lt;1,0,IFERROR(LOOKUP(2,1/('Arroz irrigado'!$E73:INDEX('Arroz irrigado'!$E73:$Z73,MIN(AC$6-$G$3,22))&lt;&gt;""),'Arroz irrigado'!$E73:INDEX('Arroz irrigado'!$E73:$Z73,MIN(AC$6-$G$3,22))),0)))))</f>
        <v>0</v>
      </c>
      <c r="AD75" s="27" t="n">
        <f aca="false">IF(COUNT('Arroz irrigado'!$E73:$Z73)=0,0,MAX(0,IF((AD$6-$E$3)&lt;1,0,IFERROR(LOOKUP(2,1/('Arroz irrigado'!$E73:INDEX('Arroz irrigado'!$E73:$Z73,MIN(AD$6-$E$3,22))&lt;&gt;""),'Arroz irrigado'!$E73:INDEX('Arroz irrigado'!$E73:$Z73,MIN(AD$6-$E$3,22))),0))-IF($G$2,0,IF((AD$6-$G$3)&lt;1,0,IFERROR(LOOKUP(2,1/('Arroz irrigado'!$E73:INDEX('Arroz irrigado'!$E73:$Z73,MIN(AD$6-$G$3,22))&lt;&gt;""),'Arroz irrigado'!$E73:INDEX('Arroz irrigado'!$E73:$Z73,MIN(AD$6-$G$3,22))),0)))))</f>
        <v>0</v>
      </c>
      <c r="AE75" s="27" t="n">
        <f aca="false">IF(COUNT('Arroz irrigado'!$E73:$Z73)=0,0,MAX(0,IF((AE$6-$E$3)&lt;1,0,IFERROR(LOOKUP(2,1/('Arroz irrigado'!$E73:INDEX('Arroz irrigado'!$E73:$Z73,MIN(AE$6-$E$3,22))&lt;&gt;""),'Arroz irrigado'!$E73:INDEX('Arroz irrigado'!$E73:$Z73,MIN(AE$6-$E$3,22))),0))-IF($G$2,0,IF((AE$6-$G$3)&lt;1,0,IFERROR(LOOKUP(2,1/('Arroz irrigado'!$E73:INDEX('Arroz irrigado'!$E73:$Z73,MIN(AE$6-$G$3,22))&lt;&gt;""),'Arroz irrigado'!$E73:INDEX('Arroz irrigado'!$E73:$Z73,MIN(AE$6-$G$3,22))),0)))))</f>
        <v>0</v>
      </c>
      <c r="AF75" s="27" t="n">
        <f aca="false">IF(COUNT('Arroz irrigado'!$E73:$Z73)=0,0,MAX(0,IF((AF$6-$E$3)&lt;1,0,IFERROR(LOOKUP(2,1/('Arroz irrigado'!$E73:INDEX('Arroz irrigado'!$E73:$Z73,MIN(AF$6-$E$3,22))&lt;&gt;""),'Arroz irrigado'!$E73:INDEX('Arroz irrigado'!$E73:$Z73,MIN(AF$6-$E$3,22))),0))-IF($G$2,0,IF((AF$6-$G$3)&lt;1,0,IFERROR(LOOKUP(2,1/('Arroz irrigado'!$E73:INDEX('Arroz irrigado'!$E73:$Z73,MIN(AF$6-$G$3,22))&lt;&gt;""),'Arroz irrigado'!$E73:INDEX('Arroz irrigado'!$E73:$Z73,MIN(AF$6-$G$3,22))),0)))))</f>
        <v>0</v>
      </c>
      <c r="AG75" s="27" t="n">
        <f aca="false">IF(COUNT('Arroz irrigado'!$E73:$Z73)=0,0,MAX(0,IF((AG$6-$E$3)&lt;1,0,IFERROR(LOOKUP(2,1/('Arroz irrigado'!$E73:INDEX('Arroz irrigado'!$E73:$Z73,MIN(AG$6-$E$3,22))&lt;&gt;""),'Arroz irrigado'!$E73:INDEX('Arroz irrigado'!$E73:$Z73,MIN(AG$6-$E$3,22))),0))-IF($G$2,0,IF((AG$6-$G$3)&lt;1,0,IFERROR(LOOKUP(2,1/('Arroz irrigado'!$E73:INDEX('Arroz irrigado'!$E73:$Z73,MIN(AG$6-$G$3,22))&lt;&gt;""),'Arroz irrigado'!$E73:INDEX('Arroz irrigado'!$E73:$Z73,MIN(AG$6-$G$3,22))),0)))))</f>
        <v>0</v>
      </c>
      <c r="AH75" s="27" t="n">
        <f aca="false">IF(COUNT('Arroz irrigado'!$E73:$Z73)=0,0,MAX(0,IF((AH$6-$E$3)&lt;1,0,IFERROR(LOOKUP(2,1/('Arroz irrigado'!$E73:INDEX('Arroz irrigado'!$E73:$Z73,MIN(AH$6-$E$3,22))&lt;&gt;""),'Arroz irrigado'!$E73:INDEX('Arroz irrigado'!$E73:$Z73,MIN(AH$6-$E$3,22))),0))-IF($G$2,0,IF((AH$6-$G$3)&lt;1,0,IFERROR(LOOKUP(2,1/('Arroz irrigado'!$E73:INDEX('Arroz irrigado'!$E73:$Z73,MIN(AH$6-$G$3,22))&lt;&gt;""),'Arroz irrigado'!$E73:INDEX('Arroz irrigado'!$E73:$Z73,MIN(AH$6-$G$3,22))),0)))))</f>
        <v>0</v>
      </c>
      <c r="AI75" s="27" t="n">
        <f aca="false">IF(COUNT('Arroz irrigado'!$E73:$Z73)=0,0,MAX(0,IF((AI$6-$E$3)&lt;1,0,IFERROR(LOOKUP(2,1/('Arroz irrigado'!$E73:INDEX('Arroz irrigado'!$E73:$Z73,MIN(AI$6-$E$3,22))&lt;&gt;""),'Arroz irrigado'!$E73:INDEX('Arroz irrigado'!$E73:$Z73,MIN(AI$6-$E$3,22))),0))-IF($G$2,0,IF((AI$6-$G$3)&lt;1,0,IFERROR(LOOKUP(2,1/('Arroz irrigado'!$E73:INDEX('Arroz irrigado'!$E73:$Z73,MIN(AI$6-$G$3,22))&lt;&gt;""),'Arroz irrigado'!$E73:INDEX('Arroz irrigado'!$E73:$Z73,MIN(AI$6-$G$3,22))),0)))))</f>
        <v>0</v>
      </c>
      <c r="AJ75" s="27" t="n">
        <f aca="false">IF(COUNT('Arroz irrigado'!$E73:$Z73)=0,0,MAX(0,IF((AJ$6-$E$3)&lt;1,0,IFERROR(LOOKUP(2,1/('Arroz irrigado'!$E73:INDEX('Arroz irrigado'!$E73:$Z73,MIN(AJ$6-$E$3,22))&lt;&gt;""),'Arroz irrigado'!$E73:INDEX('Arroz irrigado'!$E73:$Z73,MIN(AJ$6-$E$3,22))),0))-IF($G$2,0,IF((AJ$6-$G$3)&lt;1,0,IFERROR(LOOKUP(2,1/('Arroz irrigado'!$E73:INDEX('Arroz irrigado'!$E73:$Z73,MIN(AJ$6-$G$3,22))&lt;&gt;""),'Arroz irrigado'!$E73:INDEX('Arroz irrigado'!$E73:$Z73,MIN(AJ$6-$G$3,22))),0)))))</f>
        <v>0</v>
      </c>
      <c r="AK75" s="27" t="n">
        <f aca="false">IF(COUNT('Arroz irrigado'!$E73:$Z73)=0,0,MAX(0,IF((AK$6-$E$3)&lt;1,0,IFERROR(LOOKUP(2,1/('Arroz irrigado'!$E73:INDEX('Arroz irrigado'!$E73:$Z73,MIN(AK$6-$E$3,22))&lt;&gt;""),'Arroz irrigado'!$E73:INDEX('Arroz irrigado'!$E73:$Z73,MIN(AK$6-$E$3,22))),0))-IF($G$2,0,IF((AK$6-$G$3)&lt;1,0,IFERROR(LOOKUP(2,1/('Arroz irrigado'!$E73:INDEX('Arroz irrigado'!$E73:$Z73,MIN(AK$6-$G$3,22))&lt;&gt;""),'Arroz irrigado'!$E73:INDEX('Arroz irrigado'!$E73:$Z73,MIN(AK$6-$G$3,22))),0)))))</f>
        <v>0</v>
      </c>
      <c r="AL75" s="27" t="n">
        <f aca="false">IF(COUNT('Arroz irrigado'!$E73:$Z73)=0,0,MAX(0,IF((AL$6-$E$3)&lt;1,0,IFERROR(LOOKUP(2,1/('Arroz irrigado'!$E73:INDEX('Arroz irrigado'!$E73:$Z73,MIN(AL$6-$E$3,22))&lt;&gt;""),'Arroz irrigado'!$E73:INDEX('Arroz irrigado'!$E73:$Z73,MIN(AL$6-$E$3,22))),0))-IF($G$2,0,IF((AL$6-$G$3)&lt;1,0,IFERROR(LOOKUP(2,1/('Arroz irrigado'!$E73:INDEX('Arroz irrigado'!$E73:$Z73,MIN(AL$6-$G$3,22))&lt;&gt;""),'Arroz irrigado'!$E73:INDEX('Arroz irrigado'!$E73:$Z73,MIN(AL$6-$G$3,22))),0)))))</f>
        <v>0</v>
      </c>
      <c r="AM75" s="27" t="n">
        <f aca="false">IF(COUNT('Arroz irrigado'!$E73:$Z73)=0,0,MAX(0,IF((AM$6-$E$3)&lt;1,0,IFERROR(LOOKUP(2,1/('Arroz irrigado'!$E73:INDEX('Arroz irrigado'!$E73:$Z73,MIN(AM$6-$E$3,22))&lt;&gt;""),'Arroz irrigado'!$E73:INDEX('Arroz irrigado'!$E73:$Z73,MIN(AM$6-$E$3,22))),0))-IF($G$2,0,IF((AM$6-$G$3)&lt;1,0,IFERROR(LOOKUP(2,1/('Arroz irrigado'!$E73:INDEX('Arroz irrigado'!$E73:$Z73,MIN(AM$6-$G$3,22))&lt;&gt;""),'Arroz irrigado'!$E73:INDEX('Arroz irrigado'!$E73:$Z73,MIN(AM$6-$G$3,22))),0)))))</f>
        <v>0</v>
      </c>
      <c r="AN75" s="27" t="n">
        <f aca="false">IF(COUNT('Arroz irrigado'!$E73:$Z73)=0,0,MAX(0,IF((AN$6-$E$3)&lt;1,0,IFERROR(LOOKUP(2,1/('Arroz irrigado'!$E73:INDEX('Arroz irrigado'!$E73:$Z73,MIN(AN$6-$E$3,22))&lt;&gt;""),'Arroz irrigado'!$E73:INDEX('Arroz irrigado'!$E73:$Z73,MIN(AN$6-$E$3,22))),0))-IF($G$2,0,IF((AN$6-$G$3)&lt;1,0,IFERROR(LOOKUP(2,1/('Arroz irrigado'!$E73:INDEX('Arroz irrigado'!$E73:$Z73,MIN(AN$6-$G$3,22))&lt;&gt;""),'Arroz irrigado'!$E73:INDEX('Arroz irrigado'!$E73:$Z73,MIN(AN$6-$G$3,22))),0)))))</f>
        <v>0</v>
      </c>
      <c r="AO75" s="27" t="n">
        <f aca="false">IF(COUNT('Arroz irrigado'!$E73:$Z73)=0,0,MAX(0,IF((AO$6-$E$3)&lt;1,0,IFERROR(LOOKUP(2,1/('Arroz irrigado'!$E73:INDEX('Arroz irrigado'!$E73:$Z73,MIN(AO$6-$E$3,22))&lt;&gt;""),'Arroz irrigado'!$E73:INDEX('Arroz irrigado'!$E73:$Z73,MIN(AO$6-$E$3,22))),0))-IF($G$2,0,IF((AO$6-$G$3)&lt;1,0,IFERROR(LOOKUP(2,1/('Arroz irrigado'!$E73:INDEX('Arroz irrigado'!$E73:$Z73,MIN(AO$6-$G$3,22))&lt;&gt;""),'Arroz irrigado'!$E73:INDEX('Arroz irrigado'!$E73:$Z73,MIN(AO$6-$G$3,22))),0)))))</f>
        <v>0</v>
      </c>
      <c r="AP75" s="27" t="n">
        <f aca="false">IF(COUNT('Arroz irrigado'!$E73:$Z73)=0,0,MAX(0,IF((AP$6-$E$3)&lt;1,0,IFERROR(LOOKUP(2,1/('Arroz irrigado'!$E73:INDEX('Arroz irrigado'!$E73:$Z73,MIN(AP$6-$E$3,22))&lt;&gt;""),'Arroz irrigado'!$E73:INDEX('Arroz irrigado'!$E73:$Z73,MIN(AP$6-$E$3,22))),0))-IF($G$2,0,IF((AP$6-$G$3)&lt;1,0,IFERROR(LOOKUP(2,1/('Arroz irrigado'!$E73:INDEX('Arroz irrigado'!$E73:$Z73,MIN(AP$6-$G$3,22))&lt;&gt;""),'Arroz irrigado'!$E73:INDEX('Arroz irrigado'!$E73:$Z73,MIN(AP$6-$G$3,22))),0)))))</f>
        <v>0</v>
      </c>
      <c r="AQ75" s="27" t="n">
        <f aca="false">IF(COUNT('Arroz irrigado'!$E73:$Z73)=0,0,MAX(0,IF((AQ$6-$E$3)&lt;1,0,IFERROR(LOOKUP(2,1/('Arroz irrigado'!$E73:INDEX('Arroz irrigado'!$E73:$Z73,MIN(AQ$6-$E$3,22))&lt;&gt;""),'Arroz irrigado'!$E73:INDEX('Arroz irrigado'!$E73:$Z73,MIN(AQ$6-$E$3,22))),0))-IF($G$2,0,IF((AQ$6-$G$3)&lt;1,0,IFERROR(LOOKUP(2,1/('Arroz irrigado'!$E73:INDEX('Arroz irrigado'!$E73:$Z73,MIN(AQ$6-$G$3,22))&lt;&gt;""),'Arroz irrigado'!$E73:INDEX('Arroz irrigado'!$E73:$Z73,MIN(AQ$6-$G$3,22))),0)))))</f>
        <v>0</v>
      </c>
      <c r="AR75" s="27" t="n">
        <f aca="false">IF(COUNT('Arroz irrigado'!$E73:$Z73)=0,0,MAX(0,IF((AR$6-$E$3)&lt;1,0,IFERROR(LOOKUP(2,1/('Arroz irrigado'!$E73:INDEX('Arroz irrigado'!$E73:$Z73,MIN(AR$6-$E$3,22))&lt;&gt;""),'Arroz irrigado'!$E73:INDEX('Arroz irrigado'!$E73:$Z73,MIN(AR$6-$E$3,22))),0))-IF($G$2,0,IF((AR$6-$G$3)&lt;1,0,IFERROR(LOOKUP(2,1/('Arroz irrigado'!$E73:INDEX('Arroz irrigado'!$E73:$Z73,MIN(AR$6-$G$3,22))&lt;&gt;""),'Arroz irrigado'!$E73:INDEX('Arroz irrigado'!$E73:$Z73,MIN(AR$6-$G$3,22))),0)))))</f>
        <v>0</v>
      </c>
      <c r="AS75" s="27" t="n">
        <f aca="false">IF(COUNT('Arroz irrigado'!$E73:$Z73)=0,0,MAX(0,IF((AS$6-$E$3)&lt;1,0,IFERROR(LOOKUP(2,1/('Arroz irrigado'!$E73:INDEX('Arroz irrigado'!$E73:$Z73,MIN(AS$6-$E$3,22))&lt;&gt;""),'Arroz irrigado'!$E73:INDEX('Arroz irrigado'!$E73:$Z73,MIN(AS$6-$E$3,22))),0))-IF($G$2,0,IF((AS$6-$G$3)&lt;1,0,IFERROR(LOOKUP(2,1/('Arroz irrigado'!$E73:INDEX('Arroz irrigado'!$E73:$Z73,MIN(AS$6-$G$3,22))&lt;&gt;""),'Arroz irrigado'!$E73:INDEX('Arroz irrigado'!$E73:$Z73,MIN(AS$6-$G$3,22))),0)))))</f>
        <v>0</v>
      </c>
      <c r="AT75" s="27" t="n">
        <f aca="false">IF(COUNT('Arroz irrigado'!$E73:$Z73)=0,0,MAX(0,IF((AT$6-$E$3)&lt;1,0,IFERROR(LOOKUP(2,1/('Arroz irrigado'!$E73:INDEX('Arroz irrigado'!$E73:$Z73,MIN(AT$6-$E$3,22))&lt;&gt;""),'Arroz irrigado'!$E73:INDEX('Arroz irrigado'!$E73:$Z73,MIN(AT$6-$E$3,22))),0))-IF($G$2,0,IF((AT$6-$G$3)&lt;1,0,IFERROR(LOOKUP(2,1/('Arroz irrigado'!$E73:INDEX('Arroz irrigado'!$E73:$Z73,MIN(AT$6-$G$3,22))&lt;&gt;""),'Arroz irrigado'!$E73:INDEX('Arroz irrigado'!$E73:$Z73,MIN(AT$6-$G$3,22))),0)))))</f>
        <v>0</v>
      </c>
      <c r="AU75" s="27" t="n">
        <f aca="false">IF(COUNT('Arroz irrigado'!$E73:$Z73)=0,0,MAX(0,IF((AU$6-$E$3)&lt;1,0,IFERROR(LOOKUP(2,1/('Arroz irrigado'!$E73:INDEX('Arroz irrigado'!$E73:$Z73,MIN(AU$6-$E$3,22))&lt;&gt;""),'Arroz irrigado'!$E73:INDEX('Arroz irrigado'!$E73:$Z73,MIN(AU$6-$E$3,22))),0))-IF($G$2,0,IF((AU$6-$G$3)&lt;1,0,IFERROR(LOOKUP(2,1/('Arroz irrigado'!$E73:INDEX('Arroz irrigado'!$E73:$Z73,MIN(AU$6-$G$3,22))&lt;&gt;""),'Arroz irrigado'!$E73:INDEX('Arroz irrigado'!$E73:$Z73,MIN(AU$6-$G$3,22))),0)))))</f>
        <v>0</v>
      </c>
      <c r="AV75" s="27" t="n">
        <f aca="false">IF(COUNT('Arroz irrigado'!$E73:$Z73)=0,0,MAX(0,IF((AV$6-$E$3)&lt;1,0,IFERROR(LOOKUP(2,1/('Arroz irrigado'!$E73:INDEX('Arroz irrigado'!$E73:$Z73,MIN(AV$6-$E$3,22))&lt;&gt;""),'Arroz irrigado'!$E73:INDEX('Arroz irrigado'!$E73:$Z73,MIN(AV$6-$E$3,22))),0))-IF($G$2,0,IF((AV$6-$G$3)&lt;1,0,IFERROR(LOOKUP(2,1/('Arroz irrigado'!$E73:INDEX('Arroz irrigado'!$E73:$Z73,MIN(AV$6-$G$3,22))&lt;&gt;""),'Arroz irrigado'!$E73:INDEX('Arroz irrigado'!$E73:$Z73,MIN(AV$6-$G$3,22))),0)))))</f>
        <v>0</v>
      </c>
      <c r="AW75" s="27" t="n">
        <f aca="false">IF(COUNT('Arroz irrigado'!$E73:$Z73)=0,0,MAX(0,IF((AW$6-$E$3)&lt;1,0,IFERROR(LOOKUP(2,1/('Arroz irrigado'!$E73:INDEX('Arroz irrigado'!$E73:$Z73,MIN(AW$6-$E$3,22))&lt;&gt;""),'Arroz irrigado'!$E73:INDEX('Arroz irrigado'!$E73:$Z73,MIN(AW$6-$E$3,22))),0))-IF($G$2,0,IF((AW$6-$G$3)&lt;1,0,IFERROR(LOOKUP(2,1/('Arroz irrigado'!$E73:INDEX('Arroz irrigado'!$E73:$Z73,MIN(AW$6-$G$3,22))&lt;&gt;""),'Arroz irrigado'!$E73:INDEX('Arroz irrigado'!$E73:$Z73,MIN(AW$6-$G$3,22))),0)))))</f>
        <v>0</v>
      </c>
      <c r="AX75" s="27" t="n">
        <f aca="false">IF(COUNT('Arroz irrigado'!$E73:$Z73)=0,0,MAX(0,IF((AX$6-$E$3)&lt;1,0,IFERROR(LOOKUP(2,1/('Arroz irrigado'!$E73:INDEX('Arroz irrigado'!$E73:$Z73,MIN(AX$6-$E$3,22))&lt;&gt;""),'Arroz irrigado'!$E73:INDEX('Arroz irrigado'!$E73:$Z73,MIN(AX$6-$E$3,22))),0))-IF($G$2,0,IF((AX$6-$G$3)&lt;1,0,IFERROR(LOOKUP(2,1/('Arroz irrigado'!$E73:INDEX('Arroz irrigado'!$E73:$Z73,MIN(AX$6-$G$3,22))&lt;&gt;""),'Arroz irrigado'!$E73:INDEX('Arroz irrigado'!$E73:$Z73,MIN(AX$6-$G$3,22))),0)))))</f>
        <v>0</v>
      </c>
      <c r="AY75" s="27" t="n">
        <f aca="false">IF(COUNT('Arroz irrigado'!$E73:$Z73)=0,0,MAX(0,IF((AY$6-$E$3)&lt;1,0,IFERROR(LOOKUP(2,1/('Arroz irrigado'!$E73:INDEX('Arroz irrigado'!$E73:$Z73,MIN(AY$6-$E$3,22))&lt;&gt;""),'Arroz irrigado'!$E73:INDEX('Arroz irrigado'!$E73:$Z73,MIN(AY$6-$E$3,22))),0))-IF($G$2,0,IF((AY$6-$G$3)&lt;1,0,IFERROR(LOOKUP(2,1/('Arroz irrigado'!$E73:INDEX('Arroz irrigado'!$E73:$Z73,MIN(AY$6-$G$3,22))&lt;&gt;""),'Arroz irrigado'!$E73:INDEX('Arroz irrigado'!$E73:$Z73,MIN(AY$6-$G$3,22))),0)))))</f>
        <v>0</v>
      </c>
      <c r="AZ75" s="27" t="n">
        <f aca="false">IF(COUNT('Arroz irrigado'!$E73:$Z73)=0,0,MAX(0,IF((AZ$6-$E$3)&lt;1,0,IFERROR(LOOKUP(2,1/('Arroz irrigado'!$E73:INDEX('Arroz irrigado'!$E73:$Z73,MIN(AZ$6-$E$3,22))&lt;&gt;""),'Arroz irrigado'!$E73:INDEX('Arroz irrigado'!$E73:$Z73,MIN(AZ$6-$E$3,22))),0))-IF($G$2,0,IF((AZ$6-$G$3)&lt;1,0,IFERROR(LOOKUP(2,1/('Arroz irrigado'!$E73:INDEX('Arroz irrigado'!$E73:$Z73,MIN(AZ$6-$G$3,22))&lt;&gt;""),'Arroz irrigado'!$E73:INDEX('Arroz irrigado'!$E73:$Z73,MIN(AZ$6-$G$3,22))),0)))))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IF(COUNT('Arroz irrigado'!$E74:$Z74)&gt;0,N('Arroz irrigado'!$D74),0)</f>
        <v>0</v>
      </c>
      <c r="E76" s="27" t="n">
        <f aca="false">IF(COUNT('Arroz irrigado'!$E74:$Z74)=0,0,MAX(0,IF((E$6-$E$3)&lt;1,0,IFERROR(LOOKUP(2,1/('Arroz irrigado'!$E74:INDEX('Arroz irrigado'!$E74:$Z74,MIN(E$6-$E$3,22))&lt;&gt;""),'Arroz irrigado'!$E74:INDEX('Arroz irrigado'!$E74:$Z74,MIN(E$6-$E$3,22))),0))-IF($G$2,0,IF((E$6-$G$3)&lt;1,0,IFERROR(LOOKUP(2,1/('Arroz irrigado'!$E74:INDEX('Arroz irrigado'!$E74:$Z74,MIN(E$6-$G$3,22))&lt;&gt;""),'Arroz irrigado'!$E74:INDEX('Arroz irrigado'!$E74:$Z74,MIN(E$6-$G$3,22))),0)))))</f>
        <v>0</v>
      </c>
      <c r="F76" s="27" t="n">
        <f aca="false">IF(COUNT('Arroz irrigado'!$E74:$Z74)=0,0,MAX(0,IF((F$6-$E$3)&lt;1,0,IFERROR(LOOKUP(2,1/('Arroz irrigado'!$E74:INDEX('Arroz irrigado'!$E74:$Z74,MIN(F$6-$E$3,22))&lt;&gt;""),'Arroz irrigado'!$E74:INDEX('Arroz irrigado'!$E74:$Z74,MIN(F$6-$E$3,22))),0))-IF($G$2,0,IF((F$6-$G$3)&lt;1,0,IFERROR(LOOKUP(2,1/('Arroz irrigado'!$E74:INDEX('Arroz irrigado'!$E74:$Z74,MIN(F$6-$G$3,22))&lt;&gt;""),'Arroz irrigado'!$E74:INDEX('Arroz irrigado'!$E74:$Z74,MIN(F$6-$G$3,22))),0)))))</f>
        <v>0</v>
      </c>
      <c r="G76" s="27" t="n">
        <f aca="false">IF(COUNT('Arroz irrigado'!$E74:$Z74)=0,0,MAX(0,IF((G$6-$E$3)&lt;1,0,IFERROR(LOOKUP(2,1/('Arroz irrigado'!$E74:INDEX('Arroz irrigado'!$E74:$Z74,MIN(G$6-$E$3,22))&lt;&gt;""),'Arroz irrigado'!$E74:INDEX('Arroz irrigado'!$E74:$Z74,MIN(G$6-$E$3,22))),0))-IF($G$2,0,IF((G$6-$G$3)&lt;1,0,IFERROR(LOOKUP(2,1/('Arroz irrigado'!$E74:INDEX('Arroz irrigado'!$E74:$Z74,MIN(G$6-$G$3,22))&lt;&gt;""),'Arroz irrigado'!$E74:INDEX('Arroz irrigado'!$E74:$Z74,MIN(G$6-$G$3,22))),0)))))</f>
        <v>0</v>
      </c>
      <c r="H76" s="27" t="n">
        <f aca="false">IF(COUNT('Arroz irrigado'!$E74:$Z74)=0,0,MAX(0,IF((H$6-$E$3)&lt;1,0,IFERROR(LOOKUP(2,1/('Arroz irrigado'!$E74:INDEX('Arroz irrigado'!$E74:$Z74,MIN(H$6-$E$3,22))&lt;&gt;""),'Arroz irrigado'!$E74:INDEX('Arroz irrigado'!$E74:$Z74,MIN(H$6-$E$3,22))),0))-IF($G$2,0,IF((H$6-$G$3)&lt;1,0,IFERROR(LOOKUP(2,1/('Arroz irrigado'!$E74:INDEX('Arroz irrigado'!$E74:$Z74,MIN(H$6-$G$3,22))&lt;&gt;""),'Arroz irrigado'!$E74:INDEX('Arroz irrigado'!$E74:$Z74,MIN(H$6-$G$3,22))),0)))))</f>
        <v>0</v>
      </c>
      <c r="I76" s="27" t="n">
        <f aca="false">IF(COUNT('Arroz irrigado'!$E74:$Z74)=0,0,MAX(0,IF((I$6-$E$3)&lt;1,0,IFERROR(LOOKUP(2,1/('Arroz irrigado'!$E74:INDEX('Arroz irrigado'!$E74:$Z74,MIN(I$6-$E$3,22))&lt;&gt;""),'Arroz irrigado'!$E74:INDEX('Arroz irrigado'!$E74:$Z74,MIN(I$6-$E$3,22))),0))-IF($G$2,0,IF((I$6-$G$3)&lt;1,0,IFERROR(LOOKUP(2,1/('Arroz irrigado'!$E74:INDEX('Arroz irrigado'!$E74:$Z74,MIN(I$6-$G$3,22))&lt;&gt;""),'Arroz irrigado'!$E74:INDEX('Arroz irrigado'!$E74:$Z74,MIN(I$6-$G$3,22))),0)))))</f>
        <v>0</v>
      </c>
      <c r="J76" s="27" t="n">
        <f aca="false">IF(COUNT('Arroz irrigado'!$E74:$Z74)=0,0,MAX(0,IF((J$6-$E$3)&lt;1,0,IFERROR(LOOKUP(2,1/('Arroz irrigado'!$E74:INDEX('Arroz irrigado'!$E74:$Z74,MIN(J$6-$E$3,22))&lt;&gt;""),'Arroz irrigado'!$E74:INDEX('Arroz irrigado'!$E74:$Z74,MIN(J$6-$E$3,22))),0))-IF($G$2,0,IF((J$6-$G$3)&lt;1,0,IFERROR(LOOKUP(2,1/('Arroz irrigado'!$E74:INDEX('Arroz irrigado'!$E74:$Z74,MIN(J$6-$G$3,22))&lt;&gt;""),'Arroz irrigado'!$E74:INDEX('Arroz irrigado'!$E74:$Z74,MIN(J$6-$G$3,22))),0)))))</f>
        <v>0</v>
      </c>
      <c r="K76" s="27" t="n">
        <f aca="false">IF(COUNT('Arroz irrigado'!$E74:$Z74)=0,0,MAX(0,IF((K$6-$E$3)&lt;1,0,IFERROR(LOOKUP(2,1/('Arroz irrigado'!$E74:INDEX('Arroz irrigado'!$E74:$Z74,MIN(K$6-$E$3,22))&lt;&gt;""),'Arroz irrigado'!$E74:INDEX('Arroz irrigado'!$E74:$Z74,MIN(K$6-$E$3,22))),0))-IF($G$2,0,IF((K$6-$G$3)&lt;1,0,IFERROR(LOOKUP(2,1/('Arroz irrigado'!$E74:INDEX('Arroz irrigado'!$E74:$Z74,MIN(K$6-$G$3,22))&lt;&gt;""),'Arroz irrigado'!$E74:INDEX('Arroz irrigado'!$E74:$Z74,MIN(K$6-$G$3,22))),0)))))</f>
        <v>0</v>
      </c>
      <c r="L76" s="27" t="n">
        <f aca="false">IF(COUNT('Arroz irrigado'!$E74:$Z74)=0,0,MAX(0,IF((L$6-$E$3)&lt;1,0,IFERROR(LOOKUP(2,1/('Arroz irrigado'!$E74:INDEX('Arroz irrigado'!$E74:$Z74,MIN(L$6-$E$3,22))&lt;&gt;""),'Arroz irrigado'!$E74:INDEX('Arroz irrigado'!$E74:$Z74,MIN(L$6-$E$3,22))),0))-IF($G$2,0,IF((L$6-$G$3)&lt;1,0,IFERROR(LOOKUP(2,1/('Arroz irrigado'!$E74:INDEX('Arroz irrigado'!$E74:$Z74,MIN(L$6-$G$3,22))&lt;&gt;""),'Arroz irrigado'!$E74:INDEX('Arroz irrigado'!$E74:$Z74,MIN(L$6-$G$3,22))),0)))))</f>
        <v>0</v>
      </c>
      <c r="M76" s="27" t="n">
        <f aca="false">IF(COUNT('Arroz irrigado'!$E74:$Z74)=0,0,MAX(0,IF((M$6-$E$3)&lt;1,0,IFERROR(LOOKUP(2,1/('Arroz irrigado'!$E74:INDEX('Arroz irrigado'!$E74:$Z74,MIN(M$6-$E$3,22))&lt;&gt;""),'Arroz irrigado'!$E74:INDEX('Arroz irrigado'!$E74:$Z74,MIN(M$6-$E$3,22))),0))-IF($G$2,0,IF((M$6-$G$3)&lt;1,0,IFERROR(LOOKUP(2,1/('Arroz irrigado'!$E74:INDEX('Arroz irrigado'!$E74:$Z74,MIN(M$6-$G$3,22))&lt;&gt;""),'Arroz irrigado'!$E74:INDEX('Arroz irrigado'!$E74:$Z74,MIN(M$6-$G$3,22))),0)))))</f>
        <v>0</v>
      </c>
      <c r="N76" s="27" t="n">
        <f aca="false">IF(COUNT('Arroz irrigado'!$E74:$Z74)=0,0,MAX(0,IF((N$6-$E$3)&lt;1,0,IFERROR(LOOKUP(2,1/('Arroz irrigado'!$E74:INDEX('Arroz irrigado'!$E74:$Z74,MIN(N$6-$E$3,22))&lt;&gt;""),'Arroz irrigado'!$E74:INDEX('Arroz irrigado'!$E74:$Z74,MIN(N$6-$E$3,22))),0))-IF($G$2,0,IF((N$6-$G$3)&lt;1,0,IFERROR(LOOKUP(2,1/('Arroz irrigado'!$E74:INDEX('Arroz irrigado'!$E74:$Z74,MIN(N$6-$G$3,22))&lt;&gt;""),'Arroz irrigado'!$E74:INDEX('Arroz irrigado'!$E74:$Z74,MIN(N$6-$G$3,22))),0)))))</f>
        <v>0</v>
      </c>
      <c r="O76" s="27" t="n">
        <f aca="false">IF(COUNT('Arroz irrigado'!$E74:$Z74)=0,0,MAX(0,IF((O$6-$E$3)&lt;1,0,IFERROR(LOOKUP(2,1/('Arroz irrigado'!$E74:INDEX('Arroz irrigado'!$E74:$Z74,MIN(O$6-$E$3,22))&lt;&gt;""),'Arroz irrigado'!$E74:INDEX('Arroz irrigado'!$E74:$Z74,MIN(O$6-$E$3,22))),0))-IF($G$2,0,IF((O$6-$G$3)&lt;1,0,IFERROR(LOOKUP(2,1/('Arroz irrigado'!$E74:INDEX('Arroz irrigado'!$E74:$Z74,MIN(O$6-$G$3,22))&lt;&gt;""),'Arroz irrigado'!$E74:INDEX('Arroz irrigado'!$E74:$Z74,MIN(O$6-$G$3,22))),0)))))</f>
        <v>0</v>
      </c>
      <c r="P76" s="27" t="n">
        <f aca="false">IF(COUNT('Arroz irrigado'!$E74:$Z74)=0,0,MAX(0,IF((P$6-$E$3)&lt;1,0,IFERROR(LOOKUP(2,1/('Arroz irrigado'!$E74:INDEX('Arroz irrigado'!$E74:$Z74,MIN(P$6-$E$3,22))&lt;&gt;""),'Arroz irrigado'!$E74:INDEX('Arroz irrigado'!$E74:$Z74,MIN(P$6-$E$3,22))),0))-IF($G$2,0,IF((P$6-$G$3)&lt;1,0,IFERROR(LOOKUP(2,1/('Arroz irrigado'!$E74:INDEX('Arroz irrigado'!$E74:$Z74,MIN(P$6-$G$3,22))&lt;&gt;""),'Arroz irrigado'!$E74:INDEX('Arroz irrigado'!$E74:$Z74,MIN(P$6-$G$3,22))),0)))))</f>
        <v>0</v>
      </c>
      <c r="Q76" s="27" t="n">
        <f aca="false">IF(COUNT('Arroz irrigado'!$E74:$Z74)=0,0,MAX(0,IF((Q$6-$E$3)&lt;1,0,IFERROR(LOOKUP(2,1/('Arroz irrigado'!$E74:INDEX('Arroz irrigado'!$E74:$Z74,MIN(Q$6-$E$3,22))&lt;&gt;""),'Arroz irrigado'!$E74:INDEX('Arroz irrigado'!$E74:$Z74,MIN(Q$6-$E$3,22))),0))-IF($G$2,0,IF((Q$6-$G$3)&lt;1,0,IFERROR(LOOKUP(2,1/('Arroz irrigado'!$E74:INDEX('Arroz irrigado'!$E74:$Z74,MIN(Q$6-$G$3,22))&lt;&gt;""),'Arroz irrigado'!$E74:INDEX('Arroz irrigado'!$E74:$Z74,MIN(Q$6-$G$3,22))),0)))))</f>
        <v>0</v>
      </c>
      <c r="R76" s="27" t="n">
        <f aca="false">IF(COUNT('Arroz irrigado'!$E74:$Z74)=0,0,MAX(0,IF((R$6-$E$3)&lt;1,0,IFERROR(LOOKUP(2,1/('Arroz irrigado'!$E74:INDEX('Arroz irrigado'!$E74:$Z74,MIN(R$6-$E$3,22))&lt;&gt;""),'Arroz irrigado'!$E74:INDEX('Arroz irrigado'!$E74:$Z74,MIN(R$6-$E$3,22))),0))-IF($G$2,0,IF((R$6-$G$3)&lt;1,0,IFERROR(LOOKUP(2,1/('Arroz irrigado'!$E74:INDEX('Arroz irrigado'!$E74:$Z74,MIN(R$6-$G$3,22))&lt;&gt;""),'Arroz irrigado'!$E74:INDEX('Arroz irrigado'!$E74:$Z74,MIN(R$6-$G$3,22))),0)))))</f>
        <v>0</v>
      </c>
      <c r="S76" s="27" t="n">
        <f aca="false">IF(COUNT('Arroz irrigado'!$E74:$Z74)=0,0,MAX(0,IF((S$6-$E$3)&lt;1,0,IFERROR(LOOKUP(2,1/('Arroz irrigado'!$E74:INDEX('Arroz irrigado'!$E74:$Z74,MIN(S$6-$E$3,22))&lt;&gt;""),'Arroz irrigado'!$E74:INDEX('Arroz irrigado'!$E74:$Z74,MIN(S$6-$E$3,22))),0))-IF($G$2,0,IF((S$6-$G$3)&lt;1,0,IFERROR(LOOKUP(2,1/('Arroz irrigado'!$E74:INDEX('Arroz irrigado'!$E74:$Z74,MIN(S$6-$G$3,22))&lt;&gt;""),'Arroz irrigado'!$E74:INDEX('Arroz irrigado'!$E74:$Z74,MIN(S$6-$G$3,22))),0)))))</f>
        <v>0</v>
      </c>
      <c r="T76" s="27" t="n">
        <f aca="false">IF(COUNT('Arroz irrigado'!$E74:$Z74)=0,0,MAX(0,IF((T$6-$E$3)&lt;1,0,IFERROR(LOOKUP(2,1/('Arroz irrigado'!$E74:INDEX('Arroz irrigado'!$E74:$Z74,MIN(T$6-$E$3,22))&lt;&gt;""),'Arroz irrigado'!$E74:INDEX('Arroz irrigado'!$E74:$Z74,MIN(T$6-$E$3,22))),0))-IF($G$2,0,IF((T$6-$G$3)&lt;1,0,IFERROR(LOOKUP(2,1/('Arroz irrigado'!$E74:INDEX('Arroz irrigado'!$E74:$Z74,MIN(T$6-$G$3,22))&lt;&gt;""),'Arroz irrigado'!$E74:INDEX('Arroz irrigado'!$E74:$Z74,MIN(T$6-$G$3,22))),0)))))</f>
        <v>0</v>
      </c>
      <c r="U76" s="27" t="n">
        <f aca="false">IF(COUNT('Arroz irrigado'!$E74:$Z74)=0,0,MAX(0,IF((U$6-$E$3)&lt;1,0,IFERROR(LOOKUP(2,1/('Arroz irrigado'!$E74:INDEX('Arroz irrigado'!$E74:$Z74,MIN(U$6-$E$3,22))&lt;&gt;""),'Arroz irrigado'!$E74:INDEX('Arroz irrigado'!$E74:$Z74,MIN(U$6-$E$3,22))),0))-IF($G$2,0,IF((U$6-$G$3)&lt;1,0,IFERROR(LOOKUP(2,1/('Arroz irrigado'!$E74:INDEX('Arroz irrigado'!$E74:$Z74,MIN(U$6-$G$3,22))&lt;&gt;""),'Arroz irrigado'!$E74:INDEX('Arroz irrigado'!$E74:$Z74,MIN(U$6-$G$3,22))),0)))))</f>
        <v>0</v>
      </c>
      <c r="V76" s="27" t="n">
        <f aca="false">IF(COUNT('Arroz irrigado'!$E74:$Z74)=0,0,MAX(0,IF((V$6-$E$3)&lt;1,0,IFERROR(LOOKUP(2,1/('Arroz irrigado'!$E74:INDEX('Arroz irrigado'!$E74:$Z74,MIN(V$6-$E$3,22))&lt;&gt;""),'Arroz irrigado'!$E74:INDEX('Arroz irrigado'!$E74:$Z74,MIN(V$6-$E$3,22))),0))-IF($G$2,0,IF((V$6-$G$3)&lt;1,0,IFERROR(LOOKUP(2,1/('Arroz irrigado'!$E74:INDEX('Arroz irrigado'!$E74:$Z74,MIN(V$6-$G$3,22))&lt;&gt;""),'Arroz irrigado'!$E74:INDEX('Arroz irrigado'!$E74:$Z74,MIN(V$6-$G$3,22))),0)))))</f>
        <v>0</v>
      </c>
      <c r="W76" s="27" t="n">
        <f aca="false">IF(COUNT('Arroz irrigado'!$E74:$Z74)=0,0,MAX(0,IF((W$6-$E$3)&lt;1,0,IFERROR(LOOKUP(2,1/('Arroz irrigado'!$E74:INDEX('Arroz irrigado'!$E74:$Z74,MIN(W$6-$E$3,22))&lt;&gt;""),'Arroz irrigado'!$E74:INDEX('Arroz irrigado'!$E74:$Z74,MIN(W$6-$E$3,22))),0))-IF($G$2,0,IF((W$6-$G$3)&lt;1,0,IFERROR(LOOKUP(2,1/('Arroz irrigado'!$E74:INDEX('Arroz irrigado'!$E74:$Z74,MIN(W$6-$G$3,22))&lt;&gt;""),'Arroz irrigado'!$E74:INDEX('Arroz irrigado'!$E74:$Z74,MIN(W$6-$G$3,22))),0)))))</f>
        <v>0</v>
      </c>
      <c r="X76" s="27" t="n">
        <f aca="false">IF(COUNT('Arroz irrigado'!$E74:$Z74)=0,0,MAX(0,IF((X$6-$E$3)&lt;1,0,IFERROR(LOOKUP(2,1/('Arroz irrigado'!$E74:INDEX('Arroz irrigado'!$E74:$Z74,MIN(X$6-$E$3,22))&lt;&gt;""),'Arroz irrigado'!$E74:INDEX('Arroz irrigado'!$E74:$Z74,MIN(X$6-$E$3,22))),0))-IF($G$2,0,IF((X$6-$G$3)&lt;1,0,IFERROR(LOOKUP(2,1/('Arroz irrigado'!$E74:INDEX('Arroz irrigado'!$E74:$Z74,MIN(X$6-$G$3,22))&lt;&gt;""),'Arroz irrigado'!$E74:INDEX('Arroz irrigado'!$E74:$Z74,MIN(X$6-$G$3,22))),0)))))</f>
        <v>0</v>
      </c>
      <c r="Y76" s="27" t="n">
        <f aca="false">IF(COUNT('Arroz irrigado'!$E74:$Z74)=0,0,MAX(0,IF((Y$6-$E$3)&lt;1,0,IFERROR(LOOKUP(2,1/('Arroz irrigado'!$E74:INDEX('Arroz irrigado'!$E74:$Z74,MIN(Y$6-$E$3,22))&lt;&gt;""),'Arroz irrigado'!$E74:INDEX('Arroz irrigado'!$E74:$Z74,MIN(Y$6-$E$3,22))),0))-IF($G$2,0,IF((Y$6-$G$3)&lt;1,0,IFERROR(LOOKUP(2,1/('Arroz irrigado'!$E74:INDEX('Arroz irrigado'!$E74:$Z74,MIN(Y$6-$G$3,22))&lt;&gt;""),'Arroz irrigado'!$E74:INDEX('Arroz irrigado'!$E74:$Z74,MIN(Y$6-$G$3,22))),0)))))</f>
        <v>0</v>
      </c>
      <c r="Z76" s="27" t="n">
        <f aca="false">IF(COUNT('Arroz irrigado'!$E74:$Z74)=0,0,MAX(0,IF((Z$6-$E$3)&lt;1,0,IFERROR(LOOKUP(2,1/('Arroz irrigado'!$E74:INDEX('Arroz irrigado'!$E74:$Z74,MIN(Z$6-$E$3,22))&lt;&gt;""),'Arroz irrigado'!$E74:INDEX('Arroz irrigado'!$E74:$Z74,MIN(Z$6-$E$3,22))),0))-IF($G$2,0,IF((Z$6-$G$3)&lt;1,0,IFERROR(LOOKUP(2,1/('Arroz irrigado'!$E74:INDEX('Arroz irrigado'!$E74:$Z74,MIN(Z$6-$G$3,22))&lt;&gt;""),'Arroz irrigado'!$E74:INDEX('Arroz irrigado'!$E74:$Z74,MIN(Z$6-$G$3,22))),0)))))</f>
        <v>0</v>
      </c>
      <c r="AA76" s="27" t="n">
        <f aca="false">IF(COUNT('Arroz irrigado'!$E74:$Z74)=0,0,MAX(0,IF((AA$6-$E$3)&lt;1,0,IFERROR(LOOKUP(2,1/('Arroz irrigado'!$E74:INDEX('Arroz irrigado'!$E74:$Z74,MIN(AA$6-$E$3,22))&lt;&gt;""),'Arroz irrigado'!$E74:INDEX('Arroz irrigado'!$E74:$Z74,MIN(AA$6-$E$3,22))),0))-IF($G$2,0,IF((AA$6-$G$3)&lt;1,0,IFERROR(LOOKUP(2,1/('Arroz irrigado'!$E74:INDEX('Arroz irrigado'!$E74:$Z74,MIN(AA$6-$G$3,22))&lt;&gt;""),'Arroz irrigado'!$E74:INDEX('Arroz irrigado'!$E74:$Z74,MIN(AA$6-$G$3,22))),0)))))</f>
        <v>0</v>
      </c>
      <c r="AB76" s="27" t="n">
        <f aca="false">IF(COUNT('Arroz irrigado'!$E74:$Z74)=0,0,MAX(0,IF((AB$6-$E$3)&lt;1,0,IFERROR(LOOKUP(2,1/('Arroz irrigado'!$E74:INDEX('Arroz irrigado'!$E74:$Z74,MIN(AB$6-$E$3,22))&lt;&gt;""),'Arroz irrigado'!$E74:INDEX('Arroz irrigado'!$E74:$Z74,MIN(AB$6-$E$3,22))),0))-IF($G$2,0,IF((AB$6-$G$3)&lt;1,0,IFERROR(LOOKUP(2,1/('Arroz irrigado'!$E74:INDEX('Arroz irrigado'!$E74:$Z74,MIN(AB$6-$G$3,22))&lt;&gt;""),'Arroz irrigado'!$E74:INDEX('Arroz irrigado'!$E74:$Z74,MIN(AB$6-$G$3,22))),0)))))</f>
        <v>0</v>
      </c>
      <c r="AC76" s="27" t="n">
        <f aca="false">IF(COUNT('Arroz irrigado'!$E74:$Z74)=0,0,MAX(0,IF((AC$6-$E$3)&lt;1,0,IFERROR(LOOKUP(2,1/('Arroz irrigado'!$E74:INDEX('Arroz irrigado'!$E74:$Z74,MIN(AC$6-$E$3,22))&lt;&gt;""),'Arroz irrigado'!$E74:INDEX('Arroz irrigado'!$E74:$Z74,MIN(AC$6-$E$3,22))),0))-IF($G$2,0,IF((AC$6-$G$3)&lt;1,0,IFERROR(LOOKUP(2,1/('Arroz irrigado'!$E74:INDEX('Arroz irrigado'!$E74:$Z74,MIN(AC$6-$G$3,22))&lt;&gt;""),'Arroz irrigado'!$E74:INDEX('Arroz irrigado'!$E74:$Z74,MIN(AC$6-$G$3,22))),0)))))</f>
        <v>0</v>
      </c>
      <c r="AD76" s="27" t="n">
        <f aca="false">IF(COUNT('Arroz irrigado'!$E74:$Z74)=0,0,MAX(0,IF((AD$6-$E$3)&lt;1,0,IFERROR(LOOKUP(2,1/('Arroz irrigado'!$E74:INDEX('Arroz irrigado'!$E74:$Z74,MIN(AD$6-$E$3,22))&lt;&gt;""),'Arroz irrigado'!$E74:INDEX('Arroz irrigado'!$E74:$Z74,MIN(AD$6-$E$3,22))),0))-IF($G$2,0,IF((AD$6-$G$3)&lt;1,0,IFERROR(LOOKUP(2,1/('Arroz irrigado'!$E74:INDEX('Arroz irrigado'!$E74:$Z74,MIN(AD$6-$G$3,22))&lt;&gt;""),'Arroz irrigado'!$E74:INDEX('Arroz irrigado'!$E74:$Z74,MIN(AD$6-$G$3,22))),0)))))</f>
        <v>0</v>
      </c>
      <c r="AE76" s="27" t="n">
        <f aca="false">IF(COUNT('Arroz irrigado'!$E74:$Z74)=0,0,MAX(0,IF((AE$6-$E$3)&lt;1,0,IFERROR(LOOKUP(2,1/('Arroz irrigado'!$E74:INDEX('Arroz irrigado'!$E74:$Z74,MIN(AE$6-$E$3,22))&lt;&gt;""),'Arroz irrigado'!$E74:INDEX('Arroz irrigado'!$E74:$Z74,MIN(AE$6-$E$3,22))),0))-IF($G$2,0,IF((AE$6-$G$3)&lt;1,0,IFERROR(LOOKUP(2,1/('Arroz irrigado'!$E74:INDEX('Arroz irrigado'!$E74:$Z74,MIN(AE$6-$G$3,22))&lt;&gt;""),'Arroz irrigado'!$E74:INDEX('Arroz irrigado'!$E74:$Z74,MIN(AE$6-$G$3,22))),0)))))</f>
        <v>0</v>
      </c>
      <c r="AF76" s="27" t="n">
        <f aca="false">IF(COUNT('Arroz irrigado'!$E74:$Z74)=0,0,MAX(0,IF((AF$6-$E$3)&lt;1,0,IFERROR(LOOKUP(2,1/('Arroz irrigado'!$E74:INDEX('Arroz irrigado'!$E74:$Z74,MIN(AF$6-$E$3,22))&lt;&gt;""),'Arroz irrigado'!$E74:INDEX('Arroz irrigado'!$E74:$Z74,MIN(AF$6-$E$3,22))),0))-IF($G$2,0,IF((AF$6-$G$3)&lt;1,0,IFERROR(LOOKUP(2,1/('Arroz irrigado'!$E74:INDEX('Arroz irrigado'!$E74:$Z74,MIN(AF$6-$G$3,22))&lt;&gt;""),'Arroz irrigado'!$E74:INDEX('Arroz irrigado'!$E74:$Z74,MIN(AF$6-$G$3,22))),0)))))</f>
        <v>0</v>
      </c>
      <c r="AG76" s="27" t="n">
        <f aca="false">IF(COUNT('Arroz irrigado'!$E74:$Z74)=0,0,MAX(0,IF((AG$6-$E$3)&lt;1,0,IFERROR(LOOKUP(2,1/('Arroz irrigado'!$E74:INDEX('Arroz irrigado'!$E74:$Z74,MIN(AG$6-$E$3,22))&lt;&gt;""),'Arroz irrigado'!$E74:INDEX('Arroz irrigado'!$E74:$Z74,MIN(AG$6-$E$3,22))),0))-IF($G$2,0,IF((AG$6-$G$3)&lt;1,0,IFERROR(LOOKUP(2,1/('Arroz irrigado'!$E74:INDEX('Arroz irrigado'!$E74:$Z74,MIN(AG$6-$G$3,22))&lt;&gt;""),'Arroz irrigado'!$E74:INDEX('Arroz irrigado'!$E74:$Z74,MIN(AG$6-$G$3,22))),0)))))</f>
        <v>0</v>
      </c>
      <c r="AH76" s="27" t="n">
        <f aca="false">IF(COUNT('Arroz irrigado'!$E74:$Z74)=0,0,MAX(0,IF((AH$6-$E$3)&lt;1,0,IFERROR(LOOKUP(2,1/('Arroz irrigado'!$E74:INDEX('Arroz irrigado'!$E74:$Z74,MIN(AH$6-$E$3,22))&lt;&gt;""),'Arroz irrigado'!$E74:INDEX('Arroz irrigado'!$E74:$Z74,MIN(AH$6-$E$3,22))),0))-IF($G$2,0,IF((AH$6-$G$3)&lt;1,0,IFERROR(LOOKUP(2,1/('Arroz irrigado'!$E74:INDEX('Arroz irrigado'!$E74:$Z74,MIN(AH$6-$G$3,22))&lt;&gt;""),'Arroz irrigado'!$E74:INDEX('Arroz irrigado'!$E74:$Z74,MIN(AH$6-$G$3,22))),0)))))</f>
        <v>0</v>
      </c>
      <c r="AI76" s="27" t="n">
        <f aca="false">IF(COUNT('Arroz irrigado'!$E74:$Z74)=0,0,MAX(0,IF((AI$6-$E$3)&lt;1,0,IFERROR(LOOKUP(2,1/('Arroz irrigado'!$E74:INDEX('Arroz irrigado'!$E74:$Z74,MIN(AI$6-$E$3,22))&lt;&gt;""),'Arroz irrigado'!$E74:INDEX('Arroz irrigado'!$E74:$Z74,MIN(AI$6-$E$3,22))),0))-IF($G$2,0,IF((AI$6-$G$3)&lt;1,0,IFERROR(LOOKUP(2,1/('Arroz irrigado'!$E74:INDEX('Arroz irrigado'!$E74:$Z74,MIN(AI$6-$G$3,22))&lt;&gt;""),'Arroz irrigado'!$E74:INDEX('Arroz irrigado'!$E74:$Z74,MIN(AI$6-$G$3,22))),0)))))</f>
        <v>0</v>
      </c>
      <c r="AJ76" s="27" t="n">
        <f aca="false">IF(COUNT('Arroz irrigado'!$E74:$Z74)=0,0,MAX(0,IF((AJ$6-$E$3)&lt;1,0,IFERROR(LOOKUP(2,1/('Arroz irrigado'!$E74:INDEX('Arroz irrigado'!$E74:$Z74,MIN(AJ$6-$E$3,22))&lt;&gt;""),'Arroz irrigado'!$E74:INDEX('Arroz irrigado'!$E74:$Z74,MIN(AJ$6-$E$3,22))),0))-IF($G$2,0,IF((AJ$6-$G$3)&lt;1,0,IFERROR(LOOKUP(2,1/('Arroz irrigado'!$E74:INDEX('Arroz irrigado'!$E74:$Z74,MIN(AJ$6-$G$3,22))&lt;&gt;""),'Arroz irrigado'!$E74:INDEX('Arroz irrigado'!$E74:$Z74,MIN(AJ$6-$G$3,22))),0)))))</f>
        <v>0</v>
      </c>
      <c r="AK76" s="27" t="n">
        <f aca="false">IF(COUNT('Arroz irrigado'!$E74:$Z74)=0,0,MAX(0,IF((AK$6-$E$3)&lt;1,0,IFERROR(LOOKUP(2,1/('Arroz irrigado'!$E74:INDEX('Arroz irrigado'!$E74:$Z74,MIN(AK$6-$E$3,22))&lt;&gt;""),'Arroz irrigado'!$E74:INDEX('Arroz irrigado'!$E74:$Z74,MIN(AK$6-$E$3,22))),0))-IF($G$2,0,IF((AK$6-$G$3)&lt;1,0,IFERROR(LOOKUP(2,1/('Arroz irrigado'!$E74:INDEX('Arroz irrigado'!$E74:$Z74,MIN(AK$6-$G$3,22))&lt;&gt;""),'Arroz irrigado'!$E74:INDEX('Arroz irrigado'!$E74:$Z74,MIN(AK$6-$G$3,22))),0)))))</f>
        <v>0</v>
      </c>
      <c r="AL76" s="27" t="n">
        <f aca="false">IF(COUNT('Arroz irrigado'!$E74:$Z74)=0,0,MAX(0,IF((AL$6-$E$3)&lt;1,0,IFERROR(LOOKUP(2,1/('Arroz irrigado'!$E74:INDEX('Arroz irrigado'!$E74:$Z74,MIN(AL$6-$E$3,22))&lt;&gt;""),'Arroz irrigado'!$E74:INDEX('Arroz irrigado'!$E74:$Z74,MIN(AL$6-$E$3,22))),0))-IF($G$2,0,IF((AL$6-$G$3)&lt;1,0,IFERROR(LOOKUP(2,1/('Arroz irrigado'!$E74:INDEX('Arroz irrigado'!$E74:$Z74,MIN(AL$6-$G$3,22))&lt;&gt;""),'Arroz irrigado'!$E74:INDEX('Arroz irrigado'!$E74:$Z74,MIN(AL$6-$G$3,22))),0)))))</f>
        <v>0</v>
      </c>
      <c r="AM76" s="27" t="n">
        <f aca="false">IF(COUNT('Arroz irrigado'!$E74:$Z74)=0,0,MAX(0,IF((AM$6-$E$3)&lt;1,0,IFERROR(LOOKUP(2,1/('Arroz irrigado'!$E74:INDEX('Arroz irrigado'!$E74:$Z74,MIN(AM$6-$E$3,22))&lt;&gt;""),'Arroz irrigado'!$E74:INDEX('Arroz irrigado'!$E74:$Z74,MIN(AM$6-$E$3,22))),0))-IF($G$2,0,IF((AM$6-$G$3)&lt;1,0,IFERROR(LOOKUP(2,1/('Arroz irrigado'!$E74:INDEX('Arroz irrigado'!$E74:$Z74,MIN(AM$6-$G$3,22))&lt;&gt;""),'Arroz irrigado'!$E74:INDEX('Arroz irrigado'!$E74:$Z74,MIN(AM$6-$G$3,22))),0)))))</f>
        <v>0</v>
      </c>
      <c r="AN76" s="27" t="n">
        <f aca="false">IF(COUNT('Arroz irrigado'!$E74:$Z74)=0,0,MAX(0,IF((AN$6-$E$3)&lt;1,0,IFERROR(LOOKUP(2,1/('Arroz irrigado'!$E74:INDEX('Arroz irrigado'!$E74:$Z74,MIN(AN$6-$E$3,22))&lt;&gt;""),'Arroz irrigado'!$E74:INDEX('Arroz irrigado'!$E74:$Z74,MIN(AN$6-$E$3,22))),0))-IF($G$2,0,IF((AN$6-$G$3)&lt;1,0,IFERROR(LOOKUP(2,1/('Arroz irrigado'!$E74:INDEX('Arroz irrigado'!$E74:$Z74,MIN(AN$6-$G$3,22))&lt;&gt;""),'Arroz irrigado'!$E74:INDEX('Arroz irrigado'!$E74:$Z74,MIN(AN$6-$G$3,22))),0)))))</f>
        <v>0</v>
      </c>
      <c r="AO76" s="27" t="n">
        <f aca="false">IF(COUNT('Arroz irrigado'!$E74:$Z74)=0,0,MAX(0,IF((AO$6-$E$3)&lt;1,0,IFERROR(LOOKUP(2,1/('Arroz irrigado'!$E74:INDEX('Arroz irrigado'!$E74:$Z74,MIN(AO$6-$E$3,22))&lt;&gt;""),'Arroz irrigado'!$E74:INDEX('Arroz irrigado'!$E74:$Z74,MIN(AO$6-$E$3,22))),0))-IF($G$2,0,IF((AO$6-$G$3)&lt;1,0,IFERROR(LOOKUP(2,1/('Arroz irrigado'!$E74:INDEX('Arroz irrigado'!$E74:$Z74,MIN(AO$6-$G$3,22))&lt;&gt;""),'Arroz irrigado'!$E74:INDEX('Arroz irrigado'!$E74:$Z74,MIN(AO$6-$G$3,22))),0)))))</f>
        <v>0</v>
      </c>
      <c r="AP76" s="27" t="n">
        <f aca="false">IF(COUNT('Arroz irrigado'!$E74:$Z74)=0,0,MAX(0,IF((AP$6-$E$3)&lt;1,0,IFERROR(LOOKUP(2,1/('Arroz irrigado'!$E74:INDEX('Arroz irrigado'!$E74:$Z74,MIN(AP$6-$E$3,22))&lt;&gt;""),'Arroz irrigado'!$E74:INDEX('Arroz irrigado'!$E74:$Z74,MIN(AP$6-$E$3,22))),0))-IF($G$2,0,IF((AP$6-$G$3)&lt;1,0,IFERROR(LOOKUP(2,1/('Arroz irrigado'!$E74:INDEX('Arroz irrigado'!$E74:$Z74,MIN(AP$6-$G$3,22))&lt;&gt;""),'Arroz irrigado'!$E74:INDEX('Arroz irrigado'!$E74:$Z74,MIN(AP$6-$G$3,22))),0)))))</f>
        <v>0</v>
      </c>
      <c r="AQ76" s="27" t="n">
        <f aca="false">IF(COUNT('Arroz irrigado'!$E74:$Z74)=0,0,MAX(0,IF((AQ$6-$E$3)&lt;1,0,IFERROR(LOOKUP(2,1/('Arroz irrigado'!$E74:INDEX('Arroz irrigado'!$E74:$Z74,MIN(AQ$6-$E$3,22))&lt;&gt;""),'Arroz irrigado'!$E74:INDEX('Arroz irrigado'!$E74:$Z74,MIN(AQ$6-$E$3,22))),0))-IF($G$2,0,IF((AQ$6-$G$3)&lt;1,0,IFERROR(LOOKUP(2,1/('Arroz irrigado'!$E74:INDEX('Arroz irrigado'!$E74:$Z74,MIN(AQ$6-$G$3,22))&lt;&gt;""),'Arroz irrigado'!$E74:INDEX('Arroz irrigado'!$E74:$Z74,MIN(AQ$6-$G$3,22))),0)))))</f>
        <v>0</v>
      </c>
      <c r="AR76" s="27" t="n">
        <f aca="false">IF(COUNT('Arroz irrigado'!$E74:$Z74)=0,0,MAX(0,IF((AR$6-$E$3)&lt;1,0,IFERROR(LOOKUP(2,1/('Arroz irrigado'!$E74:INDEX('Arroz irrigado'!$E74:$Z74,MIN(AR$6-$E$3,22))&lt;&gt;""),'Arroz irrigado'!$E74:INDEX('Arroz irrigado'!$E74:$Z74,MIN(AR$6-$E$3,22))),0))-IF($G$2,0,IF((AR$6-$G$3)&lt;1,0,IFERROR(LOOKUP(2,1/('Arroz irrigado'!$E74:INDEX('Arroz irrigado'!$E74:$Z74,MIN(AR$6-$G$3,22))&lt;&gt;""),'Arroz irrigado'!$E74:INDEX('Arroz irrigado'!$E74:$Z74,MIN(AR$6-$G$3,22))),0)))))</f>
        <v>0</v>
      </c>
      <c r="AS76" s="27" t="n">
        <f aca="false">IF(COUNT('Arroz irrigado'!$E74:$Z74)=0,0,MAX(0,IF((AS$6-$E$3)&lt;1,0,IFERROR(LOOKUP(2,1/('Arroz irrigado'!$E74:INDEX('Arroz irrigado'!$E74:$Z74,MIN(AS$6-$E$3,22))&lt;&gt;""),'Arroz irrigado'!$E74:INDEX('Arroz irrigado'!$E74:$Z74,MIN(AS$6-$E$3,22))),0))-IF($G$2,0,IF((AS$6-$G$3)&lt;1,0,IFERROR(LOOKUP(2,1/('Arroz irrigado'!$E74:INDEX('Arroz irrigado'!$E74:$Z74,MIN(AS$6-$G$3,22))&lt;&gt;""),'Arroz irrigado'!$E74:INDEX('Arroz irrigado'!$E74:$Z74,MIN(AS$6-$G$3,22))),0)))))</f>
        <v>0</v>
      </c>
      <c r="AT76" s="27" t="n">
        <f aca="false">IF(COUNT('Arroz irrigado'!$E74:$Z74)=0,0,MAX(0,IF((AT$6-$E$3)&lt;1,0,IFERROR(LOOKUP(2,1/('Arroz irrigado'!$E74:INDEX('Arroz irrigado'!$E74:$Z74,MIN(AT$6-$E$3,22))&lt;&gt;""),'Arroz irrigado'!$E74:INDEX('Arroz irrigado'!$E74:$Z74,MIN(AT$6-$E$3,22))),0))-IF($G$2,0,IF((AT$6-$G$3)&lt;1,0,IFERROR(LOOKUP(2,1/('Arroz irrigado'!$E74:INDEX('Arroz irrigado'!$E74:$Z74,MIN(AT$6-$G$3,22))&lt;&gt;""),'Arroz irrigado'!$E74:INDEX('Arroz irrigado'!$E74:$Z74,MIN(AT$6-$G$3,22))),0)))))</f>
        <v>0</v>
      </c>
      <c r="AU76" s="27" t="n">
        <f aca="false">IF(COUNT('Arroz irrigado'!$E74:$Z74)=0,0,MAX(0,IF((AU$6-$E$3)&lt;1,0,IFERROR(LOOKUP(2,1/('Arroz irrigado'!$E74:INDEX('Arroz irrigado'!$E74:$Z74,MIN(AU$6-$E$3,22))&lt;&gt;""),'Arroz irrigado'!$E74:INDEX('Arroz irrigado'!$E74:$Z74,MIN(AU$6-$E$3,22))),0))-IF($G$2,0,IF((AU$6-$G$3)&lt;1,0,IFERROR(LOOKUP(2,1/('Arroz irrigado'!$E74:INDEX('Arroz irrigado'!$E74:$Z74,MIN(AU$6-$G$3,22))&lt;&gt;""),'Arroz irrigado'!$E74:INDEX('Arroz irrigado'!$E74:$Z74,MIN(AU$6-$G$3,22))),0)))))</f>
        <v>0</v>
      </c>
      <c r="AV76" s="27" t="n">
        <f aca="false">IF(COUNT('Arroz irrigado'!$E74:$Z74)=0,0,MAX(0,IF((AV$6-$E$3)&lt;1,0,IFERROR(LOOKUP(2,1/('Arroz irrigado'!$E74:INDEX('Arroz irrigado'!$E74:$Z74,MIN(AV$6-$E$3,22))&lt;&gt;""),'Arroz irrigado'!$E74:INDEX('Arroz irrigado'!$E74:$Z74,MIN(AV$6-$E$3,22))),0))-IF($G$2,0,IF((AV$6-$G$3)&lt;1,0,IFERROR(LOOKUP(2,1/('Arroz irrigado'!$E74:INDEX('Arroz irrigado'!$E74:$Z74,MIN(AV$6-$G$3,22))&lt;&gt;""),'Arroz irrigado'!$E74:INDEX('Arroz irrigado'!$E74:$Z74,MIN(AV$6-$G$3,22))),0)))))</f>
        <v>0</v>
      </c>
      <c r="AW76" s="27" t="n">
        <f aca="false">IF(COUNT('Arroz irrigado'!$E74:$Z74)=0,0,MAX(0,IF((AW$6-$E$3)&lt;1,0,IFERROR(LOOKUP(2,1/('Arroz irrigado'!$E74:INDEX('Arroz irrigado'!$E74:$Z74,MIN(AW$6-$E$3,22))&lt;&gt;""),'Arroz irrigado'!$E74:INDEX('Arroz irrigado'!$E74:$Z74,MIN(AW$6-$E$3,22))),0))-IF($G$2,0,IF((AW$6-$G$3)&lt;1,0,IFERROR(LOOKUP(2,1/('Arroz irrigado'!$E74:INDEX('Arroz irrigado'!$E74:$Z74,MIN(AW$6-$G$3,22))&lt;&gt;""),'Arroz irrigado'!$E74:INDEX('Arroz irrigado'!$E74:$Z74,MIN(AW$6-$G$3,22))),0)))))</f>
        <v>0</v>
      </c>
      <c r="AX76" s="27" t="n">
        <f aca="false">IF(COUNT('Arroz irrigado'!$E74:$Z74)=0,0,MAX(0,IF((AX$6-$E$3)&lt;1,0,IFERROR(LOOKUP(2,1/('Arroz irrigado'!$E74:INDEX('Arroz irrigado'!$E74:$Z74,MIN(AX$6-$E$3,22))&lt;&gt;""),'Arroz irrigado'!$E74:INDEX('Arroz irrigado'!$E74:$Z74,MIN(AX$6-$E$3,22))),0))-IF($G$2,0,IF((AX$6-$G$3)&lt;1,0,IFERROR(LOOKUP(2,1/('Arroz irrigado'!$E74:INDEX('Arroz irrigado'!$E74:$Z74,MIN(AX$6-$G$3,22))&lt;&gt;""),'Arroz irrigado'!$E74:INDEX('Arroz irrigado'!$E74:$Z74,MIN(AX$6-$G$3,22))),0)))))</f>
        <v>0</v>
      </c>
      <c r="AY76" s="27" t="n">
        <f aca="false">IF(COUNT('Arroz irrigado'!$E74:$Z74)=0,0,MAX(0,IF((AY$6-$E$3)&lt;1,0,IFERROR(LOOKUP(2,1/('Arroz irrigado'!$E74:INDEX('Arroz irrigado'!$E74:$Z74,MIN(AY$6-$E$3,22))&lt;&gt;""),'Arroz irrigado'!$E74:INDEX('Arroz irrigado'!$E74:$Z74,MIN(AY$6-$E$3,22))),0))-IF($G$2,0,IF((AY$6-$G$3)&lt;1,0,IFERROR(LOOKUP(2,1/('Arroz irrigado'!$E74:INDEX('Arroz irrigado'!$E74:$Z74,MIN(AY$6-$G$3,22))&lt;&gt;""),'Arroz irrigado'!$E74:INDEX('Arroz irrigado'!$E74:$Z74,MIN(AY$6-$G$3,22))),0)))))</f>
        <v>0</v>
      </c>
      <c r="AZ76" s="27" t="n">
        <f aca="false">IF(COUNT('Arroz irrigado'!$E74:$Z74)=0,0,MAX(0,IF((AZ$6-$E$3)&lt;1,0,IFERROR(LOOKUP(2,1/('Arroz irrigado'!$E74:INDEX('Arroz irrigado'!$E74:$Z74,MIN(AZ$6-$E$3,22))&lt;&gt;""),'Arroz irrigado'!$E74:INDEX('Arroz irrigado'!$E74:$Z74,MIN(AZ$6-$E$3,22))),0))-IF($G$2,0,IF((AZ$6-$G$3)&lt;1,0,IFERROR(LOOKUP(2,1/('Arroz irrigado'!$E74:INDEX('Arroz irrigado'!$E74:$Z74,MIN(AZ$6-$G$3,22))&lt;&gt;""),'Arroz irrigado'!$E74:INDEX('Arroz irrigado'!$E74:$Z74,MIN(AZ$6-$G$3,22))),0)))))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IF(COUNT('Arroz irrigado'!$E75:$Z75)&gt;0,N('Arroz irrigado'!$D75),0)</f>
        <v>0</v>
      </c>
      <c r="E77" s="27" t="n">
        <f aca="false">IF(COUNT('Arroz irrigado'!$E75:$Z75)=0,0,MAX(0,IF((E$6-$E$3)&lt;1,0,IFERROR(LOOKUP(2,1/('Arroz irrigado'!$E75:INDEX('Arroz irrigado'!$E75:$Z75,MIN(E$6-$E$3,22))&lt;&gt;""),'Arroz irrigado'!$E75:INDEX('Arroz irrigado'!$E75:$Z75,MIN(E$6-$E$3,22))),0))-IF($G$2,0,IF((E$6-$G$3)&lt;1,0,IFERROR(LOOKUP(2,1/('Arroz irrigado'!$E75:INDEX('Arroz irrigado'!$E75:$Z75,MIN(E$6-$G$3,22))&lt;&gt;""),'Arroz irrigado'!$E75:INDEX('Arroz irrigado'!$E75:$Z75,MIN(E$6-$G$3,22))),0)))))</f>
        <v>0</v>
      </c>
      <c r="F77" s="27" t="n">
        <f aca="false">IF(COUNT('Arroz irrigado'!$E75:$Z75)=0,0,MAX(0,IF((F$6-$E$3)&lt;1,0,IFERROR(LOOKUP(2,1/('Arroz irrigado'!$E75:INDEX('Arroz irrigado'!$E75:$Z75,MIN(F$6-$E$3,22))&lt;&gt;""),'Arroz irrigado'!$E75:INDEX('Arroz irrigado'!$E75:$Z75,MIN(F$6-$E$3,22))),0))-IF($G$2,0,IF((F$6-$G$3)&lt;1,0,IFERROR(LOOKUP(2,1/('Arroz irrigado'!$E75:INDEX('Arroz irrigado'!$E75:$Z75,MIN(F$6-$G$3,22))&lt;&gt;""),'Arroz irrigado'!$E75:INDEX('Arroz irrigado'!$E75:$Z75,MIN(F$6-$G$3,22))),0)))))</f>
        <v>0</v>
      </c>
      <c r="G77" s="27" t="n">
        <f aca="false">IF(COUNT('Arroz irrigado'!$E75:$Z75)=0,0,MAX(0,IF((G$6-$E$3)&lt;1,0,IFERROR(LOOKUP(2,1/('Arroz irrigado'!$E75:INDEX('Arroz irrigado'!$E75:$Z75,MIN(G$6-$E$3,22))&lt;&gt;""),'Arroz irrigado'!$E75:INDEX('Arroz irrigado'!$E75:$Z75,MIN(G$6-$E$3,22))),0))-IF($G$2,0,IF((G$6-$G$3)&lt;1,0,IFERROR(LOOKUP(2,1/('Arroz irrigado'!$E75:INDEX('Arroz irrigado'!$E75:$Z75,MIN(G$6-$G$3,22))&lt;&gt;""),'Arroz irrigado'!$E75:INDEX('Arroz irrigado'!$E75:$Z75,MIN(G$6-$G$3,22))),0)))))</f>
        <v>0</v>
      </c>
      <c r="H77" s="27" t="n">
        <f aca="false">IF(COUNT('Arroz irrigado'!$E75:$Z75)=0,0,MAX(0,IF((H$6-$E$3)&lt;1,0,IFERROR(LOOKUP(2,1/('Arroz irrigado'!$E75:INDEX('Arroz irrigado'!$E75:$Z75,MIN(H$6-$E$3,22))&lt;&gt;""),'Arroz irrigado'!$E75:INDEX('Arroz irrigado'!$E75:$Z75,MIN(H$6-$E$3,22))),0))-IF($G$2,0,IF((H$6-$G$3)&lt;1,0,IFERROR(LOOKUP(2,1/('Arroz irrigado'!$E75:INDEX('Arroz irrigado'!$E75:$Z75,MIN(H$6-$G$3,22))&lt;&gt;""),'Arroz irrigado'!$E75:INDEX('Arroz irrigado'!$E75:$Z75,MIN(H$6-$G$3,22))),0)))))</f>
        <v>0</v>
      </c>
      <c r="I77" s="27" t="n">
        <f aca="false">IF(COUNT('Arroz irrigado'!$E75:$Z75)=0,0,MAX(0,IF((I$6-$E$3)&lt;1,0,IFERROR(LOOKUP(2,1/('Arroz irrigado'!$E75:INDEX('Arroz irrigado'!$E75:$Z75,MIN(I$6-$E$3,22))&lt;&gt;""),'Arroz irrigado'!$E75:INDEX('Arroz irrigado'!$E75:$Z75,MIN(I$6-$E$3,22))),0))-IF($G$2,0,IF((I$6-$G$3)&lt;1,0,IFERROR(LOOKUP(2,1/('Arroz irrigado'!$E75:INDEX('Arroz irrigado'!$E75:$Z75,MIN(I$6-$G$3,22))&lt;&gt;""),'Arroz irrigado'!$E75:INDEX('Arroz irrigado'!$E75:$Z75,MIN(I$6-$G$3,22))),0)))))</f>
        <v>0</v>
      </c>
      <c r="J77" s="27" t="n">
        <f aca="false">IF(COUNT('Arroz irrigado'!$E75:$Z75)=0,0,MAX(0,IF((J$6-$E$3)&lt;1,0,IFERROR(LOOKUP(2,1/('Arroz irrigado'!$E75:INDEX('Arroz irrigado'!$E75:$Z75,MIN(J$6-$E$3,22))&lt;&gt;""),'Arroz irrigado'!$E75:INDEX('Arroz irrigado'!$E75:$Z75,MIN(J$6-$E$3,22))),0))-IF($G$2,0,IF((J$6-$G$3)&lt;1,0,IFERROR(LOOKUP(2,1/('Arroz irrigado'!$E75:INDEX('Arroz irrigado'!$E75:$Z75,MIN(J$6-$G$3,22))&lt;&gt;""),'Arroz irrigado'!$E75:INDEX('Arroz irrigado'!$E75:$Z75,MIN(J$6-$G$3,22))),0)))))</f>
        <v>0</v>
      </c>
      <c r="K77" s="27" t="n">
        <f aca="false">IF(COUNT('Arroz irrigado'!$E75:$Z75)=0,0,MAX(0,IF((K$6-$E$3)&lt;1,0,IFERROR(LOOKUP(2,1/('Arroz irrigado'!$E75:INDEX('Arroz irrigado'!$E75:$Z75,MIN(K$6-$E$3,22))&lt;&gt;""),'Arroz irrigado'!$E75:INDEX('Arroz irrigado'!$E75:$Z75,MIN(K$6-$E$3,22))),0))-IF($G$2,0,IF((K$6-$G$3)&lt;1,0,IFERROR(LOOKUP(2,1/('Arroz irrigado'!$E75:INDEX('Arroz irrigado'!$E75:$Z75,MIN(K$6-$G$3,22))&lt;&gt;""),'Arroz irrigado'!$E75:INDEX('Arroz irrigado'!$E75:$Z75,MIN(K$6-$G$3,22))),0)))))</f>
        <v>0</v>
      </c>
      <c r="L77" s="27" t="n">
        <f aca="false">IF(COUNT('Arroz irrigado'!$E75:$Z75)=0,0,MAX(0,IF((L$6-$E$3)&lt;1,0,IFERROR(LOOKUP(2,1/('Arroz irrigado'!$E75:INDEX('Arroz irrigado'!$E75:$Z75,MIN(L$6-$E$3,22))&lt;&gt;""),'Arroz irrigado'!$E75:INDEX('Arroz irrigado'!$E75:$Z75,MIN(L$6-$E$3,22))),0))-IF($G$2,0,IF((L$6-$G$3)&lt;1,0,IFERROR(LOOKUP(2,1/('Arroz irrigado'!$E75:INDEX('Arroz irrigado'!$E75:$Z75,MIN(L$6-$G$3,22))&lt;&gt;""),'Arroz irrigado'!$E75:INDEX('Arroz irrigado'!$E75:$Z75,MIN(L$6-$G$3,22))),0)))))</f>
        <v>0</v>
      </c>
      <c r="M77" s="27" t="n">
        <f aca="false">IF(COUNT('Arroz irrigado'!$E75:$Z75)=0,0,MAX(0,IF((M$6-$E$3)&lt;1,0,IFERROR(LOOKUP(2,1/('Arroz irrigado'!$E75:INDEX('Arroz irrigado'!$E75:$Z75,MIN(M$6-$E$3,22))&lt;&gt;""),'Arroz irrigado'!$E75:INDEX('Arroz irrigado'!$E75:$Z75,MIN(M$6-$E$3,22))),0))-IF($G$2,0,IF((M$6-$G$3)&lt;1,0,IFERROR(LOOKUP(2,1/('Arroz irrigado'!$E75:INDEX('Arroz irrigado'!$E75:$Z75,MIN(M$6-$G$3,22))&lt;&gt;""),'Arroz irrigado'!$E75:INDEX('Arroz irrigado'!$E75:$Z75,MIN(M$6-$G$3,22))),0)))))</f>
        <v>0</v>
      </c>
      <c r="N77" s="27" t="n">
        <f aca="false">IF(COUNT('Arroz irrigado'!$E75:$Z75)=0,0,MAX(0,IF((N$6-$E$3)&lt;1,0,IFERROR(LOOKUP(2,1/('Arroz irrigado'!$E75:INDEX('Arroz irrigado'!$E75:$Z75,MIN(N$6-$E$3,22))&lt;&gt;""),'Arroz irrigado'!$E75:INDEX('Arroz irrigado'!$E75:$Z75,MIN(N$6-$E$3,22))),0))-IF($G$2,0,IF((N$6-$G$3)&lt;1,0,IFERROR(LOOKUP(2,1/('Arroz irrigado'!$E75:INDEX('Arroz irrigado'!$E75:$Z75,MIN(N$6-$G$3,22))&lt;&gt;""),'Arroz irrigado'!$E75:INDEX('Arroz irrigado'!$E75:$Z75,MIN(N$6-$G$3,22))),0)))))</f>
        <v>0</v>
      </c>
      <c r="O77" s="27" t="n">
        <f aca="false">IF(COUNT('Arroz irrigado'!$E75:$Z75)=0,0,MAX(0,IF((O$6-$E$3)&lt;1,0,IFERROR(LOOKUP(2,1/('Arroz irrigado'!$E75:INDEX('Arroz irrigado'!$E75:$Z75,MIN(O$6-$E$3,22))&lt;&gt;""),'Arroz irrigado'!$E75:INDEX('Arroz irrigado'!$E75:$Z75,MIN(O$6-$E$3,22))),0))-IF($G$2,0,IF((O$6-$G$3)&lt;1,0,IFERROR(LOOKUP(2,1/('Arroz irrigado'!$E75:INDEX('Arroz irrigado'!$E75:$Z75,MIN(O$6-$G$3,22))&lt;&gt;""),'Arroz irrigado'!$E75:INDEX('Arroz irrigado'!$E75:$Z75,MIN(O$6-$G$3,22))),0)))))</f>
        <v>0</v>
      </c>
      <c r="P77" s="27" t="n">
        <f aca="false">IF(COUNT('Arroz irrigado'!$E75:$Z75)=0,0,MAX(0,IF((P$6-$E$3)&lt;1,0,IFERROR(LOOKUP(2,1/('Arroz irrigado'!$E75:INDEX('Arroz irrigado'!$E75:$Z75,MIN(P$6-$E$3,22))&lt;&gt;""),'Arroz irrigado'!$E75:INDEX('Arroz irrigado'!$E75:$Z75,MIN(P$6-$E$3,22))),0))-IF($G$2,0,IF((P$6-$G$3)&lt;1,0,IFERROR(LOOKUP(2,1/('Arroz irrigado'!$E75:INDEX('Arroz irrigado'!$E75:$Z75,MIN(P$6-$G$3,22))&lt;&gt;""),'Arroz irrigado'!$E75:INDEX('Arroz irrigado'!$E75:$Z75,MIN(P$6-$G$3,22))),0)))))</f>
        <v>0</v>
      </c>
      <c r="Q77" s="27" t="n">
        <f aca="false">IF(COUNT('Arroz irrigado'!$E75:$Z75)=0,0,MAX(0,IF((Q$6-$E$3)&lt;1,0,IFERROR(LOOKUP(2,1/('Arroz irrigado'!$E75:INDEX('Arroz irrigado'!$E75:$Z75,MIN(Q$6-$E$3,22))&lt;&gt;""),'Arroz irrigado'!$E75:INDEX('Arroz irrigado'!$E75:$Z75,MIN(Q$6-$E$3,22))),0))-IF($G$2,0,IF((Q$6-$G$3)&lt;1,0,IFERROR(LOOKUP(2,1/('Arroz irrigado'!$E75:INDEX('Arroz irrigado'!$E75:$Z75,MIN(Q$6-$G$3,22))&lt;&gt;""),'Arroz irrigado'!$E75:INDEX('Arroz irrigado'!$E75:$Z75,MIN(Q$6-$G$3,22))),0)))))</f>
        <v>0</v>
      </c>
      <c r="R77" s="27" t="n">
        <f aca="false">IF(COUNT('Arroz irrigado'!$E75:$Z75)=0,0,MAX(0,IF((R$6-$E$3)&lt;1,0,IFERROR(LOOKUP(2,1/('Arroz irrigado'!$E75:INDEX('Arroz irrigado'!$E75:$Z75,MIN(R$6-$E$3,22))&lt;&gt;""),'Arroz irrigado'!$E75:INDEX('Arroz irrigado'!$E75:$Z75,MIN(R$6-$E$3,22))),0))-IF($G$2,0,IF((R$6-$G$3)&lt;1,0,IFERROR(LOOKUP(2,1/('Arroz irrigado'!$E75:INDEX('Arroz irrigado'!$E75:$Z75,MIN(R$6-$G$3,22))&lt;&gt;""),'Arroz irrigado'!$E75:INDEX('Arroz irrigado'!$E75:$Z75,MIN(R$6-$G$3,22))),0)))))</f>
        <v>0</v>
      </c>
      <c r="S77" s="27" t="n">
        <f aca="false">IF(COUNT('Arroz irrigado'!$E75:$Z75)=0,0,MAX(0,IF((S$6-$E$3)&lt;1,0,IFERROR(LOOKUP(2,1/('Arroz irrigado'!$E75:INDEX('Arroz irrigado'!$E75:$Z75,MIN(S$6-$E$3,22))&lt;&gt;""),'Arroz irrigado'!$E75:INDEX('Arroz irrigado'!$E75:$Z75,MIN(S$6-$E$3,22))),0))-IF($G$2,0,IF((S$6-$G$3)&lt;1,0,IFERROR(LOOKUP(2,1/('Arroz irrigado'!$E75:INDEX('Arroz irrigado'!$E75:$Z75,MIN(S$6-$G$3,22))&lt;&gt;""),'Arroz irrigado'!$E75:INDEX('Arroz irrigado'!$E75:$Z75,MIN(S$6-$G$3,22))),0)))))</f>
        <v>0</v>
      </c>
      <c r="T77" s="27" t="n">
        <f aca="false">IF(COUNT('Arroz irrigado'!$E75:$Z75)=0,0,MAX(0,IF((T$6-$E$3)&lt;1,0,IFERROR(LOOKUP(2,1/('Arroz irrigado'!$E75:INDEX('Arroz irrigado'!$E75:$Z75,MIN(T$6-$E$3,22))&lt;&gt;""),'Arroz irrigado'!$E75:INDEX('Arroz irrigado'!$E75:$Z75,MIN(T$6-$E$3,22))),0))-IF($G$2,0,IF((T$6-$G$3)&lt;1,0,IFERROR(LOOKUP(2,1/('Arroz irrigado'!$E75:INDEX('Arroz irrigado'!$E75:$Z75,MIN(T$6-$G$3,22))&lt;&gt;""),'Arroz irrigado'!$E75:INDEX('Arroz irrigado'!$E75:$Z75,MIN(T$6-$G$3,22))),0)))))</f>
        <v>0</v>
      </c>
      <c r="U77" s="27" t="n">
        <f aca="false">IF(COUNT('Arroz irrigado'!$E75:$Z75)=0,0,MAX(0,IF((U$6-$E$3)&lt;1,0,IFERROR(LOOKUP(2,1/('Arroz irrigado'!$E75:INDEX('Arroz irrigado'!$E75:$Z75,MIN(U$6-$E$3,22))&lt;&gt;""),'Arroz irrigado'!$E75:INDEX('Arroz irrigado'!$E75:$Z75,MIN(U$6-$E$3,22))),0))-IF($G$2,0,IF((U$6-$G$3)&lt;1,0,IFERROR(LOOKUP(2,1/('Arroz irrigado'!$E75:INDEX('Arroz irrigado'!$E75:$Z75,MIN(U$6-$G$3,22))&lt;&gt;""),'Arroz irrigado'!$E75:INDEX('Arroz irrigado'!$E75:$Z75,MIN(U$6-$G$3,22))),0)))))</f>
        <v>0</v>
      </c>
      <c r="V77" s="27" t="n">
        <f aca="false">IF(COUNT('Arroz irrigado'!$E75:$Z75)=0,0,MAX(0,IF((V$6-$E$3)&lt;1,0,IFERROR(LOOKUP(2,1/('Arroz irrigado'!$E75:INDEX('Arroz irrigado'!$E75:$Z75,MIN(V$6-$E$3,22))&lt;&gt;""),'Arroz irrigado'!$E75:INDEX('Arroz irrigado'!$E75:$Z75,MIN(V$6-$E$3,22))),0))-IF($G$2,0,IF((V$6-$G$3)&lt;1,0,IFERROR(LOOKUP(2,1/('Arroz irrigado'!$E75:INDEX('Arroz irrigado'!$E75:$Z75,MIN(V$6-$G$3,22))&lt;&gt;""),'Arroz irrigado'!$E75:INDEX('Arroz irrigado'!$E75:$Z75,MIN(V$6-$G$3,22))),0)))))</f>
        <v>0</v>
      </c>
      <c r="W77" s="27" t="n">
        <f aca="false">IF(COUNT('Arroz irrigado'!$E75:$Z75)=0,0,MAX(0,IF((W$6-$E$3)&lt;1,0,IFERROR(LOOKUP(2,1/('Arroz irrigado'!$E75:INDEX('Arroz irrigado'!$E75:$Z75,MIN(W$6-$E$3,22))&lt;&gt;""),'Arroz irrigado'!$E75:INDEX('Arroz irrigado'!$E75:$Z75,MIN(W$6-$E$3,22))),0))-IF($G$2,0,IF((W$6-$G$3)&lt;1,0,IFERROR(LOOKUP(2,1/('Arroz irrigado'!$E75:INDEX('Arroz irrigado'!$E75:$Z75,MIN(W$6-$G$3,22))&lt;&gt;""),'Arroz irrigado'!$E75:INDEX('Arroz irrigado'!$E75:$Z75,MIN(W$6-$G$3,22))),0)))))</f>
        <v>0</v>
      </c>
      <c r="X77" s="27" t="n">
        <f aca="false">IF(COUNT('Arroz irrigado'!$E75:$Z75)=0,0,MAX(0,IF((X$6-$E$3)&lt;1,0,IFERROR(LOOKUP(2,1/('Arroz irrigado'!$E75:INDEX('Arroz irrigado'!$E75:$Z75,MIN(X$6-$E$3,22))&lt;&gt;""),'Arroz irrigado'!$E75:INDEX('Arroz irrigado'!$E75:$Z75,MIN(X$6-$E$3,22))),0))-IF($G$2,0,IF((X$6-$G$3)&lt;1,0,IFERROR(LOOKUP(2,1/('Arroz irrigado'!$E75:INDEX('Arroz irrigado'!$E75:$Z75,MIN(X$6-$G$3,22))&lt;&gt;""),'Arroz irrigado'!$E75:INDEX('Arroz irrigado'!$E75:$Z75,MIN(X$6-$G$3,22))),0)))))</f>
        <v>0</v>
      </c>
      <c r="Y77" s="27" t="n">
        <f aca="false">IF(COUNT('Arroz irrigado'!$E75:$Z75)=0,0,MAX(0,IF((Y$6-$E$3)&lt;1,0,IFERROR(LOOKUP(2,1/('Arroz irrigado'!$E75:INDEX('Arroz irrigado'!$E75:$Z75,MIN(Y$6-$E$3,22))&lt;&gt;""),'Arroz irrigado'!$E75:INDEX('Arroz irrigado'!$E75:$Z75,MIN(Y$6-$E$3,22))),0))-IF($G$2,0,IF((Y$6-$G$3)&lt;1,0,IFERROR(LOOKUP(2,1/('Arroz irrigado'!$E75:INDEX('Arroz irrigado'!$E75:$Z75,MIN(Y$6-$G$3,22))&lt;&gt;""),'Arroz irrigado'!$E75:INDEX('Arroz irrigado'!$E75:$Z75,MIN(Y$6-$G$3,22))),0)))))</f>
        <v>0</v>
      </c>
      <c r="Z77" s="27" t="n">
        <f aca="false">IF(COUNT('Arroz irrigado'!$E75:$Z75)=0,0,MAX(0,IF((Z$6-$E$3)&lt;1,0,IFERROR(LOOKUP(2,1/('Arroz irrigado'!$E75:INDEX('Arroz irrigado'!$E75:$Z75,MIN(Z$6-$E$3,22))&lt;&gt;""),'Arroz irrigado'!$E75:INDEX('Arroz irrigado'!$E75:$Z75,MIN(Z$6-$E$3,22))),0))-IF($G$2,0,IF((Z$6-$G$3)&lt;1,0,IFERROR(LOOKUP(2,1/('Arroz irrigado'!$E75:INDEX('Arroz irrigado'!$E75:$Z75,MIN(Z$6-$G$3,22))&lt;&gt;""),'Arroz irrigado'!$E75:INDEX('Arroz irrigado'!$E75:$Z75,MIN(Z$6-$G$3,22))),0)))))</f>
        <v>0</v>
      </c>
      <c r="AA77" s="27" t="n">
        <f aca="false">IF(COUNT('Arroz irrigado'!$E75:$Z75)=0,0,MAX(0,IF((AA$6-$E$3)&lt;1,0,IFERROR(LOOKUP(2,1/('Arroz irrigado'!$E75:INDEX('Arroz irrigado'!$E75:$Z75,MIN(AA$6-$E$3,22))&lt;&gt;""),'Arroz irrigado'!$E75:INDEX('Arroz irrigado'!$E75:$Z75,MIN(AA$6-$E$3,22))),0))-IF($G$2,0,IF((AA$6-$G$3)&lt;1,0,IFERROR(LOOKUP(2,1/('Arroz irrigado'!$E75:INDEX('Arroz irrigado'!$E75:$Z75,MIN(AA$6-$G$3,22))&lt;&gt;""),'Arroz irrigado'!$E75:INDEX('Arroz irrigado'!$E75:$Z75,MIN(AA$6-$G$3,22))),0)))))</f>
        <v>0</v>
      </c>
      <c r="AB77" s="27" t="n">
        <f aca="false">IF(COUNT('Arroz irrigado'!$E75:$Z75)=0,0,MAX(0,IF((AB$6-$E$3)&lt;1,0,IFERROR(LOOKUP(2,1/('Arroz irrigado'!$E75:INDEX('Arroz irrigado'!$E75:$Z75,MIN(AB$6-$E$3,22))&lt;&gt;""),'Arroz irrigado'!$E75:INDEX('Arroz irrigado'!$E75:$Z75,MIN(AB$6-$E$3,22))),0))-IF($G$2,0,IF((AB$6-$G$3)&lt;1,0,IFERROR(LOOKUP(2,1/('Arroz irrigado'!$E75:INDEX('Arroz irrigado'!$E75:$Z75,MIN(AB$6-$G$3,22))&lt;&gt;""),'Arroz irrigado'!$E75:INDEX('Arroz irrigado'!$E75:$Z75,MIN(AB$6-$G$3,22))),0)))))</f>
        <v>0</v>
      </c>
      <c r="AC77" s="27" t="n">
        <f aca="false">IF(COUNT('Arroz irrigado'!$E75:$Z75)=0,0,MAX(0,IF((AC$6-$E$3)&lt;1,0,IFERROR(LOOKUP(2,1/('Arroz irrigado'!$E75:INDEX('Arroz irrigado'!$E75:$Z75,MIN(AC$6-$E$3,22))&lt;&gt;""),'Arroz irrigado'!$E75:INDEX('Arroz irrigado'!$E75:$Z75,MIN(AC$6-$E$3,22))),0))-IF($G$2,0,IF((AC$6-$G$3)&lt;1,0,IFERROR(LOOKUP(2,1/('Arroz irrigado'!$E75:INDEX('Arroz irrigado'!$E75:$Z75,MIN(AC$6-$G$3,22))&lt;&gt;""),'Arroz irrigado'!$E75:INDEX('Arroz irrigado'!$E75:$Z75,MIN(AC$6-$G$3,22))),0)))))</f>
        <v>0</v>
      </c>
      <c r="AD77" s="27" t="n">
        <f aca="false">IF(COUNT('Arroz irrigado'!$E75:$Z75)=0,0,MAX(0,IF((AD$6-$E$3)&lt;1,0,IFERROR(LOOKUP(2,1/('Arroz irrigado'!$E75:INDEX('Arroz irrigado'!$E75:$Z75,MIN(AD$6-$E$3,22))&lt;&gt;""),'Arroz irrigado'!$E75:INDEX('Arroz irrigado'!$E75:$Z75,MIN(AD$6-$E$3,22))),0))-IF($G$2,0,IF((AD$6-$G$3)&lt;1,0,IFERROR(LOOKUP(2,1/('Arroz irrigado'!$E75:INDEX('Arroz irrigado'!$E75:$Z75,MIN(AD$6-$G$3,22))&lt;&gt;""),'Arroz irrigado'!$E75:INDEX('Arroz irrigado'!$E75:$Z75,MIN(AD$6-$G$3,22))),0)))))</f>
        <v>0</v>
      </c>
      <c r="AE77" s="27" t="n">
        <f aca="false">IF(COUNT('Arroz irrigado'!$E75:$Z75)=0,0,MAX(0,IF((AE$6-$E$3)&lt;1,0,IFERROR(LOOKUP(2,1/('Arroz irrigado'!$E75:INDEX('Arroz irrigado'!$E75:$Z75,MIN(AE$6-$E$3,22))&lt;&gt;""),'Arroz irrigado'!$E75:INDEX('Arroz irrigado'!$E75:$Z75,MIN(AE$6-$E$3,22))),0))-IF($G$2,0,IF((AE$6-$G$3)&lt;1,0,IFERROR(LOOKUP(2,1/('Arroz irrigado'!$E75:INDEX('Arroz irrigado'!$E75:$Z75,MIN(AE$6-$G$3,22))&lt;&gt;""),'Arroz irrigado'!$E75:INDEX('Arroz irrigado'!$E75:$Z75,MIN(AE$6-$G$3,22))),0)))))</f>
        <v>0</v>
      </c>
      <c r="AF77" s="27" t="n">
        <f aca="false">IF(COUNT('Arroz irrigado'!$E75:$Z75)=0,0,MAX(0,IF((AF$6-$E$3)&lt;1,0,IFERROR(LOOKUP(2,1/('Arroz irrigado'!$E75:INDEX('Arroz irrigado'!$E75:$Z75,MIN(AF$6-$E$3,22))&lt;&gt;""),'Arroz irrigado'!$E75:INDEX('Arroz irrigado'!$E75:$Z75,MIN(AF$6-$E$3,22))),0))-IF($G$2,0,IF((AF$6-$G$3)&lt;1,0,IFERROR(LOOKUP(2,1/('Arroz irrigado'!$E75:INDEX('Arroz irrigado'!$E75:$Z75,MIN(AF$6-$G$3,22))&lt;&gt;""),'Arroz irrigado'!$E75:INDEX('Arroz irrigado'!$E75:$Z75,MIN(AF$6-$G$3,22))),0)))))</f>
        <v>0</v>
      </c>
      <c r="AG77" s="27" t="n">
        <f aca="false">IF(COUNT('Arroz irrigado'!$E75:$Z75)=0,0,MAX(0,IF((AG$6-$E$3)&lt;1,0,IFERROR(LOOKUP(2,1/('Arroz irrigado'!$E75:INDEX('Arroz irrigado'!$E75:$Z75,MIN(AG$6-$E$3,22))&lt;&gt;""),'Arroz irrigado'!$E75:INDEX('Arroz irrigado'!$E75:$Z75,MIN(AG$6-$E$3,22))),0))-IF($G$2,0,IF((AG$6-$G$3)&lt;1,0,IFERROR(LOOKUP(2,1/('Arroz irrigado'!$E75:INDEX('Arroz irrigado'!$E75:$Z75,MIN(AG$6-$G$3,22))&lt;&gt;""),'Arroz irrigado'!$E75:INDEX('Arroz irrigado'!$E75:$Z75,MIN(AG$6-$G$3,22))),0)))))</f>
        <v>0</v>
      </c>
      <c r="AH77" s="27" t="n">
        <f aca="false">IF(COUNT('Arroz irrigado'!$E75:$Z75)=0,0,MAX(0,IF((AH$6-$E$3)&lt;1,0,IFERROR(LOOKUP(2,1/('Arroz irrigado'!$E75:INDEX('Arroz irrigado'!$E75:$Z75,MIN(AH$6-$E$3,22))&lt;&gt;""),'Arroz irrigado'!$E75:INDEX('Arroz irrigado'!$E75:$Z75,MIN(AH$6-$E$3,22))),0))-IF($G$2,0,IF((AH$6-$G$3)&lt;1,0,IFERROR(LOOKUP(2,1/('Arroz irrigado'!$E75:INDEX('Arroz irrigado'!$E75:$Z75,MIN(AH$6-$G$3,22))&lt;&gt;""),'Arroz irrigado'!$E75:INDEX('Arroz irrigado'!$E75:$Z75,MIN(AH$6-$G$3,22))),0)))))</f>
        <v>0</v>
      </c>
      <c r="AI77" s="27" t="n">
        <f aca="false">IF(COUNT('Arroz irrigado'!$E75:$Z75)=0,0,MAX(0,IF((AI$6-$E$3)&lt;1,0,IFERROR(LOOKUP(2,1/('Arroz irrigado'!$E75:INDEX('Arroz irrigado'!$E75:$Z75,MIN(AI$6-$E$3,22))&lt;&gt;""),'Arroz irrigado'!$E75:INDEX('Arroz irrigado'!$E75:$Z75,MIN(AI$6-$E$3,22))),0))-IF($G$2,0,IF((AI$6-$G$3)&lt;1,0,IFERROR(LOOKUP(2,1/('Arroz irrigado'!$E75:INDEX('Arroz irrigado'!$E75:$Z75,MIN(AI$6-$G$3,22))&lt;&gt;""),'Arroz irrigado'!$E75:INDEX('Arroz irrigado'!$E75:$Z75,MIN(AI$6-$G$3,22))),0)))))</f>
        <v>0</v>
      </c>
      <c r="AJ77" s="27" t="n">
        <f aca="false">IF(COUNT('Arroz irrigado'!$E75:$Z75)=0,0,MAX(0,IF((AJ$6-$E$3)&lt;1,0,IFERROR(LOOKUP(2,1/('Arroz irrigado'!$E75:INDEX('Arroz irrigado'!$E75:$Z75,MIN(AJ$6-$E$3,22))&lt;&gt;""),'Arroz irrigado'!$E75:INDEX('Arroz irrigado'!$E75:$Z75,MIN(AJ$6-$E$3,22))),0))-IF($G$2,0,IF((AJ$6-$G$3)&lt;1,0,IFERROR(LOOKUP(2,1/('Arroz irrigado'!$E75:INDEX('Arroz irrigado'!$E75:$Z75,MIN(AJ$6-$G$3,22))&lt;&gt;""),'Arroz irrigado'!$E75:INDEX('Arroz irrigado'!$E75:$Z75,MIN(AJ$6-$G$3,22))),0)))))</f>
        <v>0</v>
      </c>
      <c r="AK77" s="27" t="n">
        <f aca="false">IF(COUNT('Arroz irrigado'!$E75:$Z75)=0,0,MAX(0,IF((AK$6-$E$3)&lt;1,0,IFERROR(LOOKUP(2,1/('Arroz irrigado'!$E75:INDEX('Arroz irrigado'!$E75:$Z75,MIN(AK$6-$E$3,22))&lt;&gt;""),'Arroz irrigado'!$E75:INDEX('Arroz irrigado'!$E75:$Z75,MIN(AK$6-$E$3,22))),0))-IF($G$2,0,IF((AK$6-$G$3)&lt;1,0,IFERROR(LOOKUP(2,1/('Arroz irrigado'!$E75:INDEX('Arroz irrigado'!$E75:$Z75,MIN(AK$6-$G$3,22))&lt;&gt;""),'Arroz irrigado'!$E75:INDEX('Arroz irrigado'!$E75:$Z75,MIN(AK$6-$G$3,22))),0)))))</f>
        <v>0</v>
      </c>
      <c r="AL77" s="27" t="n">
        <f aca="false">IF(COUNT('Arroz irrigado'!$E75:$Z75)=0,0,MAX(0,IF((AL$6-$E$3)&lt;1,0,IFERROR(LOOKUP(2,1/('Arroz irrigado'!$E75:INDEX('Arroz irrigado'!$E75:$Z75,MIN(AL$6-$E$3,22))&lt;&gt;""),'Arroz irrigado'!$E75:INDEX('Arroz irrigado'!$E75:$Z75,MIN(AL$6-$E$3,22))),0))-IF($G$2,0,IF((AL$6-$G$3)&lt;1,0,IFERROR(LOOKUP(2,1/('Arroz irrigado'!$E75:INDEX('Arroz irrigado'!$E75:$Z75,MIN(AL$6-$G$3,22))&lt;&gt;""),'Arroz irrigado'!$E75:INDEX('Arroz irrigado'!$E75:$Z75,MIN(AL$6-$G$3,22))),0)))))</f>
        <v>0</v>
      </c>
      <c r="AM77" s="27" t="n">
        <f aca="false">IF(COUNT('Arroz irrigado'!$E75:$Z75)=0,0,MAX(0,IF((AM$6-$E$3)&lt;1,0,IFERROR(LOOKUP(2,1/('Arroz irrigado'!$E75:INDEX('Arroz irrigado'!$E75:$Z75,MIN(AM$6-$E$3,22))&lt;&gt;""),'Arroz irrigado'!$E75:INDEX('Arroz irrigado'!$E75:$Z75,MIN(AM$6-$E$3,22))),0))-IF($G$2,0,IF((AM$6-$G$3)&lt;1,0,IFERROR(LOOKUP(2,1/('Arroz irrigado'!$E75:INDEX('Arroz irrigado'!$E75:$Z75,MIN(AM$6-$G$3,22))&lt;&gt;""),'Arroz irrigado'!$E75:INDEX('Arroz irrigado'!$E75:$Z75,MIN(AM$6-$G$3,22))),0)))))</f>
        <v>0</v>
      </c>
      <c r="AN77" s="27" t="n">
        <f aca="false">IF(COUNT('Arroz irrigado'!$E75:$Z75)=0,0,MAX(0,IF((AN$6-$E$3)&lt;1,0,IFERROR(LOOKUP(2,1/('Arroz irrigado'!$E75:INDEX('Arroz irrigado'!$E75:$Z75,MIN(AN$6-$E$3,22))&lt;&gt;""),'Arroz irrigado'!$E75:INDEX('Arroz irrigado'!$E75:$Z75,MIN(AN$6-$E$3,22))),0))-IF($G$2,0,IF((AN$6-$G$3)&lt;1,0,IFERROR(LOOKUP(2,1/('Arroz irrigado'!$E75:INDEX('Arroz irrigado'!$E75:$Z75,MIN(AN$6-$G$3,22))&lt;&gt;""),'Arroz irrigado'!$E75:INDEX('Arroz irrigado'!$E75:$Z75,MIN(AN$6-$G$3,22))),0)))))</f>
        <v>0</v>
      </c>
      <c r="AO77" s="27" t="n">
        <f aca="false">IF(COUNT('Arroz irrigado'!$E75:$Z75)=0,0,MAX(0,IF((AO$6-$E$3)&lt;1,0,IFERROR(LOOKUP(2,1/('Arroz irrigado'!$E75:INDEX('Arroz irrigado'!$E75:$Z75,MIN(AO$6-$E$3,22))&lt;&gt;""),'Arroz irrigado'!$E75:INDEX('Arroz irrigado'!$E75:$Z75,MIN(AO$6-$E$3,22))),0))-IF($G$2,0,IF((AO$6-$G$3)&lt;1,0,IFERROR(LOOKUP(2,1/('Arroz irrigado'!$E75:INDEX('Arroz irrigado'!$E75:$Z75,MIN(AO$6-$G$3,22))&lt;&gt;""),'Arroz irrigado'!$E75:INDEX('Arroz irrigado'!$E75:$Z75,MIN(AO$6-$G$3,22))),0)))))</f>
        <v>0</v>
      </c>
      <c r="AP77" s="27" t="n">
        <f aca="false">IF(COUNT('Arroz irrigado'!$E75:$Z75)=0,0,MAX(0,IF((AP$6-$E$3)&lt;1,0,IFERROR(LOOKUP(2,1/('Arroz irrigado'!$E75:INDEX('Arroz irrigado'!$E75:$Z75,MIN(AP$6-$E$3,22))&lt;&gt;""),'Arroz irrigado'!$E75:INDEX('Arroz irrigado'!$E75:$Z75,MIN(AP$6-$E$3,22))),0))-IF($G$2,0,IF((AP$6-$G$3)&lt;1,0,IFERROR(LOOKUP(2,1/('Arroz irrigado'!$E75:INDEX('Arroz irrigado'!$E75:$Z75,MIN(AP$6-$G$3,22))&lt;&gt;""),'Arroz irrigado'!$E75:INDEX('Arroz irrigado'!$E75:$Z75,MIN(AP$6-$G$3,22))),0)))))</f>
        <v>0</v>
      </c>
      <c r="AQ77" s="27" t="n">
        <f aca="false">IF(COUNT('Arroz irrigado'!$E75:$Z75)=0,0,MAX(0,IF((AQ$6-$E$3)&lt;1,0,IFERROR(LOOKUP(2,1/('Arroz irrigado'!$E75:INDEX('Arroz irrigado'!$E75:$Z75,MIN(AQ$6-$E$3,22))&lt;&gt;""),'Arroz irrigado'!$E75:INDEX('Arroz irrigado'!$E75:$Z75,MIN(AQ$6-$E$3,22))),0))-IF($G$2,0,IF((AQ$6-$G$3)&lt;1,0,IFERROR(LOOKUP(2,1/('Arroz irrigado'!$E75:INDEX('Arroz irrigado'!$E75:$Z75,MIN(AQ$6-$G$3,22))&lt;&gt;""),'Arroz irrigado'!$E75:INDEX('Arroz irrigado'!$E75:$Z75,MIN(AQ$6-$G$3,22))),0)))))</f>
        <v>0</v>
      </c>
      <c r="AR77" s="27" t="n">
        <f aca="false">IF(COUNT('Arroz irrigado'!$E75:$Z75)=0,0,MAX(0,IF((AR$6-$E$3)&lt;1,0,IFERROR(LOOKUP(2,1/('Arroz irrigado'!$E75:INDEX('Arroz irrigado'!$E75:$Z75,MIN(AR$6-$E$3,22))&lt;&gt;""),'Arroz irrigado'!$E75:INDEX('Arroz irrigado'!$E75:$Z75,MIN(AR$6-$E$3,22))),0))-IF($G$2,0,IF((AR$6-$G$3)&lt;1,0,IFERROR(LOOKUP(2,1/('Arroz irrigado'!$E75:INDEX('Arroz irrigado'!$E75:$Z75,MIN(AR$6-$G$3,22))&lt;&gt;""),'Arroz irrigado'!$E75:INDEX('Arroz irrigado'!$E75:$Z75,MIN(AR$6-$G$3,22))),0)))))</f>
        <v>0</v>
      </c>
      <c r="AS77" s="27" t="n">
        <f aca="false">IF(COUNT('Arroz irrigado'!$E75:$Z75)=0,0,MAX(0,IF((AS$6-$E$3)&lt;1,0,IFERROR(LOOKUP(2,1/('Arroz irrigado'!$E75:INDEX('Arroz irrigado'!$E75:$Z75,MIN(AS$6-$E$3,22))&lt;&gt;""),'Arroz irrigado'!$E75:INDEX('Arroz irrigado'!$E75:$Z75,MIN(AS$6-$E$3,22))),0))-IF($G$2,0,IF((AS$6-$G$3)&lt;1,0,IFERROR(LOOKUP(2,1/('Arroz irrigado'!$E75:INDEX('Arroz irrigado'!$E75:$Z75,MIN(AS$6-$G$3,22))&lt;&gt;""),'Arroz irrigado'!$E75:INDEX('Arroz irrigado'!$E75:$Z75,MIN(AS$6-$G$3,22))),0)))))</f>
        <v>0</v>
      </c>
      <c r="AT77" s="27" t="n">
        <f aca="false">IF(COUNT('Arroz irrigado'!$E75:$Z75)=0,0,MAX(0,IF((AT$6-$E$3)&lt;1,0,IFERROR(LOOKUP(2,1/('Arroz irrigado'!$E75:INDEX('Arroz irrigado'!$E75:$Z75,MIN(AT$6-$E$3,22))&lt;&gt;""),'Arroz irrigado'!$E75:INDEX('Arroz irrigado'!$E75:$Z75,MIN(AT$6-$E$3,22))),0))-IF($G$2,0,IF((AT$6-$G$3)&lt;1,0,IFERROR(LOOKUP(2,1/('Arroz irrigado'!$E75:INDEX('Arroz irrigado'!$E75:$Z75,MIN(AT$6-$G$3,22))&lt;&gt;""),'Arroz irrigado'!$E75:INDEX('Arroz irrigado'!$E75:$Z75,MIN(AT$6-$G$3,22))),0)))))</f>
        <v>0</v>
      </c>
      <c r="AU77" s="27" t="n">
        <f aca="false">IF(COUNT('Arroz irrigado'!$E75:$Z75)=0,0,MAX(0,IF((AU$6-$E$3)&lt;1,0,IFERROR(LOOKUP(2,1/('Arroz irrigado'!$E75:INDEX('Arroz irrigado'!$E75:$Z75,MIN(AU$6-$E$3,22))&lt;&gt;""),'Arroz irrigado'!$E75:INDEX('Arroz irrigado'!$E75:$Z75,MIN(AU$6-$E$3,22))),0))-IF($G$2,0,IF((AU$6-$G$3)&lt;1,0,IFERROR(LOOKUP(2,1/('Arroz irrigado'!$E75:INDEX('Arroz irrigado'!$E75:$Z75,MIN(AU$6-$G$3,22))&lt;&gt;""),'Arroz irrigado'!$E75:INDEX('Arroz irrigado'!$E75:$Z75,MIN(AU$6-$G$3,22))),0)))))</f>
        <v>0</v>
      </c>
      <c r="AV77" s="27" t="n">
        <f aca="false">IF(COUNT('Arroz irrigado'!$E75:$Z75)=0,0,MAX(0,IF((AV$6-$E$3)&lt;1,0,IFERROR(LOOKUP(2,1/('Arroz irrigado'!$E75:INDEX('Arroz irrigado'!$E75:$Z75,MIN(AV$6-$E$3,22))&lt;&gt;""),'Arroz irrigado'!$E75:INDEX('Arroz irrigado'!$E75:$Z75,MIN(AV$6-$E$3,22))),0))-IF($G$2,0,IF((AV$6-$G$3)&lt;1,0,IFERROR(LOOKUP(2,1/('Arroz irrigado'!$E75:INDEX('Arroz irrigado'!$E75:$Z75,MIN(AV$6-$G$3,22))&lt;&gt;""),'Arroz irrigado'!$E75:INDEX('Arroz irrigado'!$E75:$Z75,MIN(AV$6-$G$3,22))),0)))))</f>
        <v>0</v>
      </c>
      <c r="AW77" s="27" t="n">
        <f aca="false">IF(COUNT('Arroz irrigado'!$E75:$Z75)=0,0,MAX(0,IF((AW$6-$E$3)&lt;1,0,IFERROR(LOOKUP(2,1/('Arroz irrigado'!$E75:INDEX('Arroz irrigado'!$E75:$Z75,MIN(AW$6-$E$3,22))&lt;&gt;""),'Arroz irrigado'!$E75:INDEX('Arroz irrigado'!$E75:$Z75,MIN(AW$6-$E$3,22))),0))-IF($G$2,0,IF((AW$6-$G$3)&lt;1,0,IFERROR(LOOKUP(2,1/('Arroz irrigado'!$E75:INDEX('Arroz irrigado'!$E75:$Z75,MIN(AW$6-$G$3,22))&lt;&gt;""),'Arroz irrigado'!$E75:INDEX('Arroz irrigado'!$E75:$Z75,MIN(AW$6-$G$3,22))),0)))))</f>
        <v>0</v>
      </c>
      <c r="AX77" s="27" t="n">
        <f aca="false">IF(COUNT('Arroz irrigado'!$E75:$Z75)=0,0,MAX(0,IF((AX$6-$E$3)&lt;1,0,IFERROR(LOOKUP(2,1/('Arroz irrigado'!$E75:INDEX('Arroz irrigado'!$E75:$Z75,MIN(AX$6-$E$3,22))&lt;&gt;""),'Arroz irrigado'!$E75:INDEX('Arroz irrigado'!$E75:$Z75,MIN(AX$6-$E$3,22))),0))-IF($G$2,0,IF((AX$6-$G$3)&lt;1,0,IFERROR(LOOKUP(2,1/('Arroz irrigado'!$E75:INDEX('Arroz irrigado'!$E75:$Z75,MIN(AX$6-$G$3,22))&lt;&gt;""),'Arroz irrigado'!$E75:INDEX('Arroz irrigado'!$E75:$Z75,MIN(AX$6-$G$3,22))),0)))))</f>
        <v>0</v>
      </c>
      <c r="AY77" s="27" t="n">
        <f aca="false">IF(COUNT('Arroz irrigado'!$E75:$Z75)=0,0,MAX(0,IF((AY$6-$E$3)&lt;1,0,IFERROR(LOOKUP(2,1/('Arroz irrigado'!$E75:INDEX('Arroz irrigado'!$E75:$Z75,MIN(AY$6-$E$3,22))&lt;&gt;""),'Arroz irrigado'!$E75:INDEX('Arroz irrigado'!$E75:$Z75,MIN(AY$6-$E$3,22))),0))-IF($G$2,0,IF((AY$6-$G$3)&lt;1,0,IFERROR(LOOKUP(2,1/('Arroz irrigado'!$E75:INDEX('Arroz irrigado'!$E75:$Z75,MIN(AY$6-$G$3,22))&lt;&gt;""),'Arroz irrigado'!$E75:INDEX('Arroz irrigado'!$E75:$Z75,MIN(AY$6-$G$3,22))),0)))))</f>
        <v>0</v>
      </c>
      <c r="AZ77" s="27" t="n">
        <f aca="false">IF(COUNT('Arroz irrigado'!$E75:$Z75)=0,0,MAX(0,IF((AZ$6-$E$3)&lt;1,0,IFERROR(LOOKUP(2,1/('Arroz irrigado'!$E75:INDEX('Arroz irrigado'!$E75:$Z75,MIN(AZ$6-$E$3,22))&lt;&gt;""),'Arroz irrigado'!$E75:INDEX('Arroz irrigado'!$E75:$Z75,MIN(AZ$6-$E$3,22))),0))-IF($G$2,0,IF((AZ$6-$G$3)&lt;1,0,IFERROR(LOOKUP(2,1/('Arroz irrigado'!$E75:INDEX('Arroz irrigado'!$E75:$Z75,MIN(AZ$6-$G$3,22))&lt;&gt;""),'Arroz irrigado'!$E75:INDEX('Arroz irrigado'!$E75:$Z75,MIN(AZ$6-$G$3,22))),0)))))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IF(COUNT('Arroz irrigado'!$E76:$Z76)&gt;0,N('Arroz irrigado'!$D76),0)</f>
        <v>0</v>
      </c>
      <c r="E78" s="27" t="n">
        <f aca="false">IF(COUNT('Arroz irrigado'!$E76:$Z76)=0,0,MAX(0,IF((E$6-$E$3)&lt;1,0,IFERROR(LOOKUP(2,1/('Arroz irrigado'!$E76:INDEX('Arroz irrigado'!$E76:$Z76,MIN(E$6-$E$3,22))&lt;&gt;""),'Arroz irrigado'!$E76:INDEX('Arroz irrigado'!$E76:$Z76,MIN(E$6-$E$3,22))),0))-IF($G$2,0,IF((E$6-$G$3)&lt;1,0,IFERROR(LOOKUP(2,1/('Arroz irrigado'!$E76:INDEX('Arroz irrigado'!$E76:$Z76,MIN(E$6-$G$3,22))&lt;&gt;""),'Arroz irrigado'!$E76:INDEX('Arroz irrigado'!$E76:$Z76,MIN(E$6-$G$3,22))),0)))))</f>
        <v>0</v>
      </c>
      <c r="F78" s="27" t="n">
        <f aca="false">IF(COUNT('Arroz irrigado'!$E76:$Z76)=0,0,MAX(0,IF((F$6-$E$3)&lt;1,0,IFERROR(LOOKUP(2,1/('Arroz irrigado'!$E76:INDEX('Arroz irrigado'!$E76:$Z76,MIN(F$6-$E$3,22))&lt;&gt;""),'Arroz irrigado'!$E76:INDEX('Arroz irrigado'!$E76:$Z76,MIN(F$6-$E$3,22))),0))-IF($G$2,0,IF((F$6-$G$3)&lt;1,0,IFERROR(LOOKUP(2,1/('Arroz irrigado'!$E76:INDEX('Arroz irrigado'!$E76:$Z76,MIN(F$6-$G$3,22))&lt;&gt;""),'Arroz irrigado'!$E76:INDEX('Arroz irrigado'!$E76:$Z76,MIN(F$6-$G$3,22))),0)))))</f>
        <v>0</v>
      </c>
      <c r="G78" s="27" t="n">
        <f aca="false">IF(COUNT('Arroz irrigado'!$E76:$Z76)=0,0,MAX(0,IF((G$6-$E$3)&lt;1,0,IFERROR(LOOKUP(2,1/('Arroz irrigado'!$E76:INDEX('Arroz irrigado'!$E76:$Z76,MIN(G$6-$E$3,22))&lt;&gt;""),'Arroz irrigado'!$E76:INDEX('Arroz irrigado'!$E76:$Z76,MIN(G$6-$E$3,22))),0))-IF($G$2,0,IF((G$6-$G$3)&lt;1,0,IFERROR(LOOKUP(2,1/('Arroz irrigado'!$E76:INDEX('Arroz irrigado'!$E76:$Z76,MIN(G$6-$G$3,22))&lt;&gt;""),'Arroz irrigado'!$E76:INDEX('Arroz irrigado'!$E76:$Z76,MIN(G$6-$G$3,22))),0)))))</f>
        <v>0</v>
      </c>
      <c r="H78" s="27" t="n">
        <f aca="false">IF(COUNT('Arroz irrigado'!$E76:$Z76)=0,0,MAX(0,IF((H$6-$E$3)&lt;1,0,IFERROR(LOOKUP(2,1/('Arroz irrigado'!$E76:INDEX('Arroz irrigado'!$E76:$Z76,MIN(H$6-$E$3,22))&lt;&gt;""),'Arroz irrigado'!$E76:INDEX('Arroz irrigado'!$E76:$Z76,MIN(H$6-$E$3,22))),0))-IF($G$2,0,IF((H$6-$G$3)&lt;1,0,IFERROR(LOOKUP(2,1/('Arroz irrigado'!$E76:INDEX('Arroz irrigado'!$E76:$Z76,MIN(H$6-$G$3,22))&lt;&gt;""),'Arroz irrigado'!$E76:INDEX('Arroz irrigado'!$E76:$Z76,MIN(H$6-$G$3,22))),0)))))</f>
        <v>0</v>
      </c>
      <c r="I78" s="27" t="n">
        <f aca="false">IF(COUNT('Arroz irrigado'!$E76:$Z76)=0,0,MAX(0,IF((I$6-$E$3)&lt;1,0,IFERROR(LOOKUP(2,1/('Arroz irrigado'!$E76:INDEX('Arroz irrigado'!$E76:$Z76,MIN(I$6-$E$3,22))&lt;&gt;""),'Arroz irrigado'!$E76:INDEX('Arroz irrigado'!$E76:$Z76,MIN(I$6-$E$3,22))),0))-IF($G$2,0,IF((I$6-$G$3)&lt;1,0,IFERROR(LOOKUP(2,1/('Arroz irrigado'!$E76:INDEX('Arroz irrigado'!$E76:$Z76,MIN(I$6-$G$3,22))&lt;&gt;""),'Arroz irrigado'!$E76:INDEX('Arroz irrigado'!$E76:$Z76,MIN(I$6-$G$3,22))),0)))))</f>
        <v>0</v>
      </c>
      <c r="J78" s="27" t="n">
        <f aca="false">IF(COUNT('Arroz irrigado'!$E76:$Z76)=0,0,MAX(0,IF((J$6-$E$3)&lt;1,0,IFERROR(LOOKUP(2,1/('Arroz irrigado'!$E76:INDEX('Arroz irrigado'!$E76:$Z76,MIN(J$6-$E$3,22))&lt;&gt;""),'Arroz irrigado'!$E76:INDEX('Arroz irrigado'!$E76:$Z76,MIN(J$6-$E$3,22))),0))-IF($G$2,0,IF((J$6-$G$3)&lt;1,0,IFERROR(LOOKUP(2,1/('Arroz irrigado'!$E76:INDEX('Arroz irrigado'!$E76:$Z76,MIN(J$6-$G$3,22))&lt;&gt;""),'Arroz irrigado'!$E76:INDEX('Arroz irrigado'!$E76:$Z76,MIN(J$6-$G$3,22))),0)))))</f>
        <v>0</v>
      </c>
      <c r="K78" s="27" t="n">
        <f aca="false">IF(COUNT('Arroz irrigado'!$E76:$Z76)=0,0,MAX(0,IF((K$6-$E$3)&lt;1,0,IFERROR(LOOKUP(2,1/('Arroz irrigado'!$E76:INDEX('Arroz irrigado'!$E76:$Z76,MIN(K$6-$E$3,22))&lt;&gt;""),'Arroz irrigado'!$E76:INDEX('Arroz irrigado'!$E76:$Z76,MIN(K$6-$E$3,22))),0))-IF($G$2,0,IF((K$6-$G$3)&lt;1,0,IFERROR(LOOKUP(2,1/('Arroz irrigado'!$E76:INDEX('Arroz irrigado'!$E76:$Z76,MIN(K$6-$G$3,22))&lt;&gt;""),'Arroz irrigado'!$E76:INDEX('Arroz irrigado'!$E76:$Z76,MIN(K$6-$G$3,22))),0)))))</f>
        <v>0</v>
      </c>
      <c r="L78" s="27" t="n">
        <f aca="false">IF(COUNT('Arroz irrigado'!$E76:$Z76)=0,0,MAX(0,IF((L$6-$E$3)&lt;1,0,IFERROR(LOOKUP(2,1/('Arroz irrigado'!$E76:INDEX('Arroz irrigado'!$E76:$Z76,MIN(L$6-$E$3,22))&lt;&gt;""),'Arroz irrigado'!$E76:INDEX('Arroz irrigado'!$E76:$Z76,MIN(L$6-$E$3,22))),0))-IF($G$2,0,IF((L$6-$G$3)&lt;1,0,IFERROR(LOOKUP(2,1/('Arroz irrigado'!$E76:INDEX('Arroz irrigado'!$E76:$Z76,MIN(L$6-$G$3,22))&lt;&gt;""),'Arroz irrigado'!$E76:INDEX('Arroz irrigado'!$E76:$Z76,MIN(L$6-$G$3,22))),0)))))</f>
        <v>0</v>
      </c>
      <c r="M78" s="27" t="n">
        <f aca="false">IF(COUNT('Arroz irrigado'!$E76:$Z76)=0,0,MAX(0,IF((M$6-$E$3)&lt;1,0,IFERROR(LOOKUP(2,1/('Arroz irrigado'!$E76:INDEX('Arroz irrigado'!$E76:$Z76,MIN(M$6-$E$3,22))&lt;&gt;""),'Arroz irrigado'!$E76:INDEX('Arroz irrigado'!$E76:$Z76,MIN(M$6-$E$3,22))),0))-IF($G$2,0,IF((M$6-$G$3)&lt;1,0,IFERROR(LOOKUP(2,1/('Arroz irrigado'!$E76:INDEX('Arroz irrigado'!$E76:$Z76,MIN(M$6-$G$3,22))&lt;&gt;""),'Arroz irrigado'!$E76:INDEX('Arroz irrigado'!$E76:$Z76,MIN(M$6-$G$3,22))),0)))))</f>
        <v>0</v>
      </c>
      <c r="N78" s="27" t="n">
        <f aca="false">IF(COUNT('Arroz irrigado'!$E76:$Z76)=0,0,MAX(0,IF((N$6-$E$3)&lt;1,0,IFERROR(LOOKUP(2,1/('Arroz irrigado'!$E76:INDEX('Arroz irrigado'!$E76:$Z76,MIN(N$6-$E$3,22))&lt;&gt;""),'Arroz irrigado'!$E76:INDEX('Arroz irrigado'!$E76:$Z76,MIN(N$6-$E$3,22))),0))-IF($G$2,0,IF((N$6-$G$3)&lt;1,0,IFERROR(LOOKUP(2,1/('Arroz irrigado'!$E76:INDEX('Arroz irrigado'!$E76:$Z76,MIN(N$6-$G$3,22))&lt;&gt;""),'Arroz irrigado'!$E76:INDEX('Arroz irrigado'!$E76:$Z76,MIN(N$6-$G$3,22))),0)))))</f>
        <v>0</v>
      </c>
      <c r="O78" s="27" t="n">
        <f aca="false">IF(COUNT('Arroz irrigado'!$E76:$Z76)=0,0,MAX(0,IF((O$6-$E$3)&lt;1,0,IFERROR(LOOKUP(2,1/('Arroz irrigado'!$E76:INDEX('Arroz irrigado'!$E76:$Z76,MIN(O$6-$E$3,22))&lt;&gt;""),'Arroz irrigado'!$E76:INDEX('Arroz irrigado'!$E76:$Z76,MIN(O$6-$E$3,22))),0))-IF($G$2,0,IF((O$6-$G$3)&lt;1,0,IFERROR(LOOKUP(2,1/('Arroz irrigado'!$E76:INDEX('Arroz irrigado'!$E76:$Z76,MIN(O$6-$G$3,22))&lt;&gt;""),'Arroz irrigado'!$E76:INDEX('Arroz irrigado'!$E76:$Z76,MIN(O$6-$G$3,22))),0)))))</f>
        <v>0</v>
      </c>
      <c r="P78" s="27" t="n">
        <f aca="false">IF(COUNT('Arroz irrigado'!$E76:$Z76)=0,0,MAX(0,IF((P$6-$E$3)&lt;1,0,IFERROR(LOOKUP(2,1/('Arroz irrigado'!$E76:INDEX('Arroz irrigado'!$E76:$Z76,MIN(P$6-$E$3,22))&lt;&gt;""),'Arroz irrigado'!$E76:INDEX('Arroz irrigado'!$E76:$Z76,MIN(P$6-$E$3,22))),0))-IF($G$2,0,IF((P$6-$G$3)&lt;1,0,IFERROR(LOOKUP(2,1/('Arroz irrigado'!$E76:INDEX('Arroz irrigado'!$E76:$Z76,MIN(P$6-$G$3,22))&lt;&gt;""),'Arroz irrigado'!$E76:INDEX('Arroz irrigado'!$E76:$Z76,MIN(P$6-$G$3,22))),0)))))</f>
        <v>0</v>
      </c>
      <c r="Q78" s="27" t="n">
        <f aca="false">IF(COUNT('Arroz irrigado'!$E76:$Z76)=0,0,MAX(0,IF((Q$6-$E$3)&lt;1,0,IFERROR(LOOKUP(2,1/('Arroz irrigado'!$E76:INDEX('Arroz irrigado'!$E76:$Z76,MIN(Q$6-$E$3,22))&lt;&gt;""),'Arroz irrigado'!$E76:INDEX('Arroz irrigado'!$E76:$Z76,MIN(Q$6-$E$3,22))),0))-IF($G$2,0,IF((Q$6-$G$3)&lt;1,0,IFERROR(LOOKUP(2,1/('Arroz irrigado'!$E76:INDEX('Arroz irrigado'!$E76:$Z76,MIN(Q$6-$G$3,22))&lt;&gt;""),'Arroz irrigado'!$E76:INDEX('Arroz irrigado'!$E76:$Z76,MIN(Q$6-$G$3,22))),0)))))</f>
        <v>0</v>
      </c>
      <c r="R78" s="27" t="n">
        <f aca="false">IF(COUNT('Arroz irrigado'!$E76:$Z76)=0,0,MAX(0,IF((R$6-$E$3)&lt;1,0,IFERROR(LOOKUP(2,1/('Arroz irrigado'!$E76:INDEX('Arroz irrigado'!$E76:$Z76,MIN(R$6-$E$3,22))&lt;&gt;""),'Arroz irrigado'!$E76:INDEX('Arroz irrigado'!$E76:$Z76,MIN(R$6-$E$3,22))),0))-IF($G$2,0,IF((R$6-$G$3)&lt;1,0,IFERROR(LOOKUP(2,1/('Arroz irrigado'!$E76:INDEX('Arroz irrigado'!$E76:$Z76,MIN(R$6-$G$3,22))&lt;&gt;""),'Arroz irrigado'!$E76:INDEX('Arroz irrigado'!$E76:$Z76,MIN(R$6-$G$3,22))),0)))))</f>
        <v>0</v>
      </c>
      <c r="S78" s="27" t="n">
        <f aca="false">IF(COUNT('Arroz irrigado'!$E76:$Z76)=0,0,MAX(0,IF((S$6-$E$3)&lt;1,0,IFERROR(LOOKUP(2,1/('Arroz irrigado'!$E76:INDEX('Arroz irrigado'!$E76:$Z76,MIN(S$6-$E$3,22))&lt;&gt;""),'Arroz irrigado'!$E76:INDEX('Arroz irrigado'!$E76:$Z76,MIN(S$6-$E$3,22))),0))-IF($G$2,0,IF((S$6-$G$3)&lt;1,0,IFERROR(LOOKUP(2,1/('Arroz irrigado'!$E76:INDEX('Arroz irrigado'!$E76:$Z76,MIN(S$6-$G$3,22))&lt;&gt;""),'Arroz irrigado'!$E76:INDEX('Arroz irrigado'!$E76:$Z76,MIN(S$6-$G$3,22))),0)))))</f>
        <v>0</v>
      </c>
      <c r="T78" s="27" t="n">
        <f aca="false">IF(COUNT('Arroz irrigado'!$E76:$Z76)=0,0,MAX(0,IF((T$6-$E$3)&lt;1,0,IFERROR(LOOKUP(2,1/('Arroz irrigado'!$E76:INDEX('Arroz irrigado'!$E76:$Z76,MIN(T$6-$E$3,22))&lt;&gt;""),'Arroz irrigado'!$E76:INDEX('Arroz irrigado'!$E76:$Z76,MIN(T$6-$E$3,22))),0))-IF($G$2,0,IF((T$6-$G$3)&lt;1,0,IFERROR(LOOKUP(2,1/('Arroz irrigado'!$E76:INDEX('Arroz irrigado'!$E76:$Z76,MIN(T$6-$G$3,22))&lt;&gt;""),'Arroz irrigado'!$E76:INDEX('Arroz irrigado'!$E76:$Z76,MIN(T$6-$G$3,22))),0)))))</f>
        <v>0</v>
      </c>
      <c r="U78" s="27" t="n">
        <f aca="false">IF(COUNT('Arroz irrigado'!$E76:$Z76)=0,0,MAX(0,IF((U$6-$E$3)&lt;1,0,IFERROR(LOOKUP(2,1/('Arroz irrigado'!$E76:INDEX('Arroz irrigado'!$E76:$Z76,MIN(U$6-$E$3,22))&lt;&gt;""),'Arroz irrigado'!$E76:INDEX('Arroz irrigado'!$E76:$Z76,MIN(U$6-$E$3,22))),0))-IF($G$2,0,IF((U$6-$G$3)&lt;1,0,IFERROR(LOOKUP(2,1/('Arroz irrigado'!$E76:INDEX('Arroz irrigado'!$E76:$Z76,MIN(U$6-$G$3,22))&lt;&gt;""),'Arroz irrigado'!$E76:INDEX('Arroz irrigado'!$E76:$Z76,MIN(U$6-$G$3,22))),0)))))</f>
        <v>0</v>
      </c>
      <c r="V78" s="27" t="n">
        <f aca="false">IF(COUNT('Arroz irrigado'!$E76:$Z76)=0,0,MAX(0,IF((V$6-$E$3)&lt;1,0,IFERROR(LOOKUP(2,1/('Arroz irrigado'!$E76:INDEX('Arroz irrigado'!$E76:$Z76,MIN(V$6-$E$3,22))&lt;&gt;""),'Arroz irrigado'!$E76:INDEX('Arroz irrigado'!$E76:$Z76,MIN(V$6-$E$3,22))),0))-IF($G$2,0,IF((V$6-$G$3)&lt;1,0,IFERROR(LOOKUP(2,1/('Arroz irrigado'!$E76:INDEX('Arroz irrigado'!$E76:$Z76,MIN(V$6-$G$3,22))&lt;&gt;""),'Arroz irrigado'!$E76:INDEX('Arroz irrigado'!$E76:$Z76,MIN(V$6-$G$3,22))),0)))))</f>
        <v>0</v>
      </c>
      <c r="W78" s="27" t="n">
        <f aca="false">IF(COUNT('Arroz irrigado'!$E76:$Z76)=0,0,MAX(0,IF((W$6-$E$3)&lt;1,0,IFERROR(LOOKUP(2,1/('Arroz irrigado'!$E76:INDEX('Arroz irrigado'!$E76:$Z76,MIN(W$6-$E$3,22))&lt;&gt;""),'Arroz irrigado'!$E76:INDEX('Arroz irrigado'!$E76:$Z76,MIN(W$6-$E$3,22))),0))-IF($G$2,0,IF((W$6-$G$3)&lt;1,0,IFERROR(LOOKUP(2,1/('Arroz irrigado'!$E76:INDEX('Arroz irrigado'!$E76:$Z76,MIN(W$6-$G$3,22))&lt;&gt;""),'Arroz irrigado'!$E76:INDEX('Arroz irrigado'!$E76:$Z76,MIN(W$6-$G$3,22))),0)))))</f>
        <v>0</v>
      </c>
      <c r="X78" s="27" t="n">
        <f aca="false">IF(COUNT('Arroz irrigado'!$E76:$Z76)=0,0,MAX(0,IF((X$6-$E$3)&lt;1,0,IFERROR(LOOKUP(2,1/('Arroz irrigado'!$E76:INDEX('Arroz irrigado'!$E76:$Z76,MIN(X$6-$E$3,22))&lt;&gt;""),'Arroz irrigado'!$E76:INDEX('Arroz irrigado'!$E76:$Z76,MIN(X$6-$E$3,22))),0))-IF($G$2,0,IF((X$6-$G$3)&lt;1,0,IFERROR(LOOKUP(2,1/('Arroz irrigado'!$E76:INDEX('Arroz irrigado'!$E76:$Z76,MIN(X$6-$G$3,22))&lt;&gt;""),'Arroz irrigado'!$E76:INDEX('Arroz irrigado'!$E76:$Z76,MIN(X$6-$G$3,22))),0)))))</f>
        <v>0</v>
      </c>
      <c r="Y78" s="27" t="n">
        <f aca="false">IF(COUNT('Arroz irrigado'!$E76:$Z76)=0,0,MAX(0,IF((Y$6-$E$3)&lt;1,0,IFERROR(LOOKUP(2,1/('Arroz irrigado'!$E76:INDEX('Arroz irrigado'!$E76:$Z76,MIN(Y$6-$E$3,22))&lt;&gt;""),'Arroz irrigado'!$E76:INDEX('Arroz irrigado'!$E76:$Z76,MIN(Y$6-$E$3,22))),0))-IF($G$2,0,IF((Y$6-$G$3)&lt;1,0,IFERROR(LOOKUP(2,1/('Arroz irrigado'!$E76:INDEX('Arroz irrigado'!$E76:$Z76,MIN(Y$6-$G$3,22))&lt;&gt;""),'Arroz irrigado'!$E76:INDEX('Arroz irrigado'!$E76:$Z76,MIN(Y$6-$G$3,22))),0)))))</f>
        <v>0</v>
      </c>
      <c r="Z78" s="27" t="n">
        <f aca="false">IF(COUNT('Arroz irrigado'!$E76:$Z76)=0,0,MAX(0,IF((Z$6-$E$3)&lt;1,0,IFERROR(LOOKUP(2,1/('Arroz irrigado'!$E76:INDEX('Arroz irrigado'!$E76:$Z76,MIN(Z$6-$E$3,22))&lt;&gt;""),'Arroz irrigado'!$E76:INDEX('Arroz irrigado'!$E76:$Z76,MIN(Z$6-$E$3,22))),0))-IF($G$2,0,IF((Z$6-$G$3)&lt;1,0,IFERROR(LOOKUP(2,1/('Arroz irrigado'!$E76:INDEX('Arroz irrigado'!$E76:$Z76,MIN(Z$6-$G$3,22))&lt;&gt;""),'Arroz irrigado'!$E76:INDEX('Arroz irrigado'!$E76:$Z76,MIN(Z$6-$G$3,22))),0)))))</f>
        <v>0</v>
      </c>
      <c r="AA78" s="27" t="n">
        <f aca="false">IF(COUNT('Arroz irrigado'!$E76:$Z76)=0,0,MAX(0,IF((AA$6-$E$3)&lt;1,0,IFERROR(LOOKUP(2,1/('Arroz irrigado'!$E76:INDEX('Arroz irrigado'!$E76:$Z76,MIN(AA$6-$E$3,22))&lt;&gt;""),'Arroz irrigado'!$E76:INDEX('Arroz irrigado'!$E76:$Z76,MIN(AA$6-$E$3,22))),0))-IF($G$2,0,IF((AA$6-$G$3)&lt;1,0,IFERROR(LOOKUP(2,1/('Arroz irrigado'!$E76:INDEX('Arroz irrigado'!$E76:$Z76,MIN(AA$6-$G$3,22))&lt;&gt;""),'Arroz irrigado'!$E76:INDEX('Arroz irrigado'!$E76:$Z76,MIN(AA$6-$G$3,22))),0)))))</f>
        <v>0</v>
      </c>
      <c r="AB78" s="27" t="n">
        <f aca="false">IF(COUNT('Arroz irrigado'!$E76:$Z76)=0,0,MAX(0,IF((AB$6-$E$3)&lt;1,0,IFERROR(LOOKUP(2,1/('Arroz irrigado'!$E76:INDEX('Arroz irrigado'!$E76:$Z76,MIN(AB$6-$E$3,22))&lt;&gt;""),'Arroz irrigado'!$E76:INDEX('Arroz irrigado'!$E76:$Z76,MIN(AB$6-$E$3,22))),0))-IF($G$2,0,IF((AB$6-$G$3)&lt;1,0,IFERROR(LOOKUP(2,1/('Arroz irrigado'!$E76:INDEX('Arroz irrigado'!$E76:$Z76,MIN(AB$6-$G$3,22))&lt;&gt;""),'Arroz irrigado'!$E76:INDEX('Arroz irrigado'!$E76:$Z76,MIN(AB$6-$G$3,22))),0)))))</f>
        <v>0</v>
      </c>
      <c r="AC78" s="27" t="n">
        <f aca="false">IF(COUNT('Arroz irrigado'!$E76:$Z76)=0,0,MAX(0,IF((AC$6-$E$3)&lt;1,0,IFERROR(LOOKUP(2,1/('Arroz irrigado'!$E76:INDEX('Arroz irrigado'!$E76:$Z76,MIN(AC$6-$E$3,22))&lt;&gt;""),'Arroz irrigado'!$E76:INDEX('Arroz irrigado'!$E76:$Z76,MIN(AC$6-$E$3,22))),0))-IF($G$2,0,IF((AC$6-$G$3)&lt;1,0,IFERROR(LOOKUP(2,1/('Arroz irrigado'!$E76:INDEX('Arroz irrigado'!$E76:$Z76,MIN(AC$6-$G$3,22))&lt;&gt;""),'Arroz irrigado'!$E76:INDEX('Arroz irrigado'!$E76:$Z76,MIN(AC$6-$G$3,22))),0)))))</f>
        <v>0</v>
      </c>
      <c r="AD78" s="27" t="n">
        <f aca="false">IF(COUNT('Arroz irrigado'!$E76:$Z76)=0,0,MAX(0,IF((AD$6-$E$3)&lt;1,0,IFERROR(LOOKUP(2,1/('Arroz irrigado'!$E76:INDEX('Arroz irrigado'!$E76:$Z76,MIN(AD$6-$E$3,22))&lt;&gt;""),'Arroz irrigado'!$E76:INDEX('Arroz irrigado'!$E76:$Z76,MIN(AD$6-$E$3,22))),0))-IF($G$2,0,IF((AD$6-$G$3)&lt;1,0,IFERROR(LOOKUP(2,1/('Arroz irrigado'!$E76:INDEX('Arroz irrigado'!$E76:$Z76,MIN(AD$6-$G$3,22))&lt;&gt;""),'Arroz irrigado'!$E76:INDEX('Arroz irrigado'!$E76:$Z76,MIN(AD$6-$G$3,22))),0)))))</f>
        <v>0</v>
      </c>
      <c r="AE78" s="27" t="n">
        <f aca="false">IF(COUNT('Arroz irrigado'!$E76:$Z76)=0,0,MAX(0,IF((AE$6-$E$3)&lt;1,0,IFERROR(LOOKUP(2,1/('Arroz irrigado'!$E76:INDEX('Arroz irrigado'!$E76:$Z76,MIN(AE$6-$E$3,22))&lt;&gt;""),'Arroz irrigado'!$E76:INDEX('Arroz irrigado'!$E76:$Z76,MIN(AE$6-$E$3,22))),0))-IF($G$2,0,IF((AE$6-$G$3)&lt;1,0,IFERROR(LOOKUP(2,1/('Arroz irrigado'!$E76:INDEX('Arroz irrigado'!$E76:$Z76,MIN(AE$6-$G$3,22))&lt;&gt;""),'Arroz irrigado'!$E76:INDEX('Arroz irrigado'!$E76:$Z76,MIN(AE$6-$G$3,22))),0)))))</f>
        <v>0</v>
      </c>
      <c r="AF78" s="27" t="n">
        <f aca="false">IF(COUNT('Arroz irrigado'!$E76:$Z76)=0,0,MAX(0,IF((AF$6-$E$3)&lt;1,0,IFERROR(LOOKUP(2,1/('Arroz irrigado'!$E76:INDEX('Arroz irrigado'!$E76:$Z76,MIN(AF$6-$E$3,22))&lt;&gt;""),'Arroz irrigado'!$E76:INDEX('Arroz irrigado'!$E76:$Z76,MIN(AF$6-$E$3,22))),0))-IF($G$2,0,IF((AF$6-$G$3)&lt;1,0,IFERROR(LOOKUP(2,1/('Arroz irrigado'!$E76:INDEX('Arroz irrigado'!$E76:$Z76,MIN(AF$6-$G$3,22))&lt;&gt;""),'Arroz irrigado'!$E76:INDEX('Arroz irrigado'!$E76:$Z76,MIN(AF$6-$G$3,22))),0)))))</f>
        <v>0</v>
      </c>
      <c r="AG78" s="27" t="n">
        <f aca="false">IF(COUNT('Arroz irrigado'!$E76:$Z76)=0,0,MAX(0,IF((AG$6-$E$3)&lt;1,0,IFERROR(LOOKUP(2,1/('Arroz irrigado'!$E76:INDEX('Arroz irrigado'!$E76:$Z76,MIN(AG$6-$E$3,22))&lt;&gt;""),'Arroz irrigado'!$E76:INDEX('Arroz irrigado'!$E76:$Z76,MIN(AG$6-$E$3,22))),0))-IF($G$2,0,IF((AG$6-$G$3)&lt;1,0,IFERROR(LOOKUP(2,1/('Arroz irrigado'!$E76:INDEX('Arroz irrigado'!$E76:$Z76,MIN(AG$6-$G$3,22))&lt;&gt;""),'Arroz irrigado'!$E76:INDEX('Arroz irrigado'!$E76:$Z76,MIN(AG$6-$G$3,22))),0)))))</f>
        <v>0</v>
      </c>
      <c r="AH78" s="27" t="n">
        <f aca="false">IF(COUNT('Arroz irrigado'!$E76:$Z76)=0,0,MAX(0,IF((AH$6-$E$3)&lt;1,0,IFERROR(LOOKUP(2,1/('Arroz irrigado'!$E76:INDEX('Arroz irrigado'!$E76:$Z76,MIN(AH$6-$E$3,22))&lt;&gt;""),'Arroz irrigado'!$E76:INDEX('Arroz irrigado'!$E76:$Z76,MIN(AH$6-$E$3,22))),0))-IF($G$2,0,IF((AH$6-$G$3)&lt;1,0,IFERROR(LOOKUP(2,1/('Arroz irrigado'!$E76:INDEX('Arroz irrigado'!$E76:$Z76,MIN(AH$6-$G$3,22))&lt;&gt;""),'Arroz irrigado'!$E76:INDEX('Arroz irrigado'!$E76:$Z76,MIN(AH$6-$G$3,22))),0)))))</f>
        <v>0</v>
      </c>
      <c r="AI78" s="27" t="n">
        <f aca="false">IF(COUNT('Arroz irrigado'!$E76:$Z76)=0,0,MAX(0,IF((AI$6-$E$3)&lt;1,0,IFERROR(LOOKUP(2,1/('Arroz irrigado'!$E76:INDEX('Arroz irrigado'!$E76:$Z76,MIN(AI$6-$E$3,22))&lt;&gt;""),'Arroz irrigado'!$E76:INDEX('Arroz irrigado'!$E76:$Z76,MIN(AI$6-$E$3,22))),0))-IF($G$2,0,IF((AI$6-$G$3)&lt;1,0,IFERROR(LOOKUP(2,1/('Arroz irrigado'!$E76:INDEX('Arroz irrigado'!$E76:$Z76,MIN(AI$6-$G$3,22))&lt;&gt;""),'Arroz irrigado'!$E76:INDEX('Arroz irrigado'!$E76:$Z76,MIN(AI$6-$G$3,22))),0)))))</f>
        <v>0</v>
      </c>
      <c r="AJ78" s="27" t="n">
        <f aca="false">IF(COUNT('Arroz irrigado'!$E76:$Z76)=0,0,MAX(0,IF((AJ$6-$E$3)&lt;1,0,IFERROR(LOOKUP(2,1/('Arroz irrigado'!$E76:INDEX('Arroz irrigado'!$E76:$Z76,MIN(AJ$6-$E$3,22))&lt;&gt;""),'Arroz irrigado'!$E76:INDEX('Arroz irrigado'!$E76:$Z76,MIN(AJ$6-$E$3,22))),0))-IF($G$2,0,IF((AJ$6-$G$3)&lt;1,0,IFERROR(LOOKUP(2,1/('Arroz irrigado'!$E76:INDEX('Arroz irrigado'!$E76:$Z76,MIN(AJ$6-$G$3,22))&lt;&gt;""),'Arroz irrigado'!$E76:INDEX('Arroz irrigado'!$E76:$Z76,MIN(AJ$6-$G$3,22))),0)))))</f>
        <v>0</v>
      </c>
      <c r="AK78" s="27" t="n">
        <f aca="false">IF(COUNT('Arroz irrigado'!$E76:$Z76)=0,0,MAX(0,IF((AK$6-$E$3)&lt;1,0,IFERROR(LOOKUP(2,1/('Arroz irrigado'!$E76:INDEX('Arroz irrigado'!$E76:$Z76,MIN(AK$6-$E$3,22))&lt;&gt;""),'Arroz irrigado'!$E76:INDEX('Arroz irrigado'!$E76:$Z76,MIN(AK$6-$E$3,22))),0))-IF($G$2,0,IF((AK$6-$G$3)&lt;1,0,IFERROR(LOOKUP(2,1/('Arroz irrigado'!$E76:INDEX('Arroz irrigado'!$E76:$Z76,MIN(AK$6-$G$3,22))&lt;&gt;""),'Arroz irrigado'!$E76:INDEX('Arroz irrigado'!$E76:$Z76,MIN(AK$6-$G$3,22))),0)))))</f>
        <v>0</v>
      </c>
      <c r="AL78" s="27" t="n">
        <f aca="false">IF(COUNT('Arroz irrigado'!$E76:$Z76)=0,0,MAX(0,IF((AL$6-$E$3)&lt;1,0,IFERROR(LOOKUP(2,1/('Arroz irrigado'!$E76:INDEX('Arroz irrigado'!$E76:$Z76,MIN(AL$6-$E$3,22))&lt;&gt;""),'Arroz irrigado'!$E76:INDEX('Arroz irrigado'!$E76:$Z76,MIN(AL$6-$E$3,22))),0))-IF($G$2,0,IF((AL$6-$G$3)&lt;1,0,IFERROR(LOOKUP(2,1/('Arroz irrigado'!$E76:INDEX('Arroz irrigado'!$E76:$Z76,MIN(AL$6-$G$3,22))&lt;&gt;""),'Arroz irrigado'!$E76:INDEX('Arroz irrigado'!$E76:$Z76,MIN(AL$6-$G$3,22))),0)))))</f>
        <v>0</v>
      </c>
      <c r="AM78" s="27" t="n">
        <f aca="false">IF(COUNT('Arroz irrigado'!$E76:$Z76)=0,0,MAX(0,IF((AM$6-$E$3)&lt;1,0,IFERROR(LOOKUP(2,1/('Arroz irrigado'!$E76:INDEX('Arroz irrigado'!$E76:$Z76,MIN(AM$6-$E$3,22))&lt;&gt;""),'Arroz irrigado'!$E76:INDEX('Arroz irrigado'!$E76:$Z76,MIN(AM$6-$E$3,22))),0))-IF($G$2,0,IF((AM$6-$G$3)&lt;1,0,IFERROR(LOOKUP(2,1/('Arroz irrigado'!$E76:INDEX('Arroz irrigado'!$E76:$Z76,MIN(AM$6-$G$3,22))&lt;&gt;""),'Arroz irrigado'!$E76:INDEX('Arroz irrigado'!$E76:$Z76,MIN(AM$6-$G$3,22))),0)))))</f>
        <v>0</v>
      </c>
      <c r="AN78" s="27" t="n">
        <f aca="false">IF(COUNT('Arroz irrigado'!$E76:$Z76)=0,0,MAX(0,IF((AN$6-$E$3)&lt;1,0,IFERROR(LOOKUP(2,1/('Arroz irrigado'!$E76:INDEX('Arroz irrigado'!$E76:$Z76,MIN(AN$6-$E$3,22))&lt;&gt;""),'Arroz irrigado'!$E76:INDEX('Arroz irrigado'!$E76:$Z76,MIN(AN$6-$E$3,22))),0))-IF($G$2,0,IF((AN$6-$G$3)&lt;1,0,IFERROR(LOOKUP(2,1/('Arroz irrigado'!$E76:INDEX('Arroz irrigado'!$E76:$Z76,MIN(AN$6-$G$3,22))&lt;&gt;""),'Arroz irrigado'!$E76:INDEX('Arroz irrigado'!$E76:$Z76,MIN(AN$6-$G$3,22))),0)))))</f>
        <v>0</v>
      </c>
      <c r="AO78" s="27" t="n">
        <f aca="false">IF(COUNT('Arroz irrigado'!$E76:$Z76)=0,0,MAX(0,IF((AO$6-$E$3)&lt;1,0,IFERROR(LOOKUP(2,1/('Arroz irrigado'!$E76:INDEX('Arroz irrigado'!$E76:$Z76,MIN(AO$6-$E$3,22))&lt;&gt;""),'Arroz irrigado'!$E76:INDEX('Arroz irrigado'!$E76:$Z76,MIN(AO$6-$E$3,22))),0))-IF($G$2,0,IF((AO$6-$G$3)&lt;1,0,IFERROR(LOOKUP(2,1/('Arroz irrigado'!$E76:INDEX('Arroz irrigado'!$E76:$Z76,MIN(AO$6-$G$3,22))&lt;&gt;""),'Arroz irrigado'!$E76:INDEX('Arroz irrigado'!$E76:$Z76,MIN(AO$6-$G$3,22))),0)))))</f>
        <v>0</v>
      </c>
      <c r="AP78" s="27" t="n">
        <f aca="false">IF(COUNT('Arroz irrigado'!$E76:$Z76)=0,0,MAX(0,IF((AP$6-$E$3)&lt;1,0,IFERROR(LOOKUP(2,1/('Arroz irrigado'!$E76:INDEX('Arroz irrigado'!$E76:$Z76,MIN(AP$6-$E$3,22))&lt;&gt;""),'Arroz irrigado'!$E76:INDEX('Arroz irrigado'!$E76:$Z76,MIN(AP$6-$E$3,22))),0))-IF($G$2,0,IF((AP$6-$G$3)&lt;1,0,IFERROR(LOOKUP(2,1/('Arroz irrigado'!$E76:INDEX('Arroz irrigado'!$E76:$Z76,MIN(AP$6-$G$3,22))&lt;&gt;""),'Arroz irrigado'!$E76:INDEX('Arroz irrigado'!$E76:$Z76,MIN(AP$6-$G$3,22))),0)))))</f>
        <v>0</v>
      </c>
      <c r="AQ78" s="27" t="n">
        <f aca="false">IF(COUNT('Arroz irrigado'!$E76:$Z76)=0,0,MAX(0,IF((AQ$6-$E$3)&lt;1,0,IFERROR(LOOKUP(2,1/('Arroz irrigado'!$E76:INDEX('Arroz irrigado'!$E76:$Z76,MIN(AQ$6-$E$3,22))&lt;&gt;""),'Arroz irrigado'!$E76:INDEX('Arroz irrigado'!$E76:$Z76,MIN(AQ$6-$E$3,22))),0))-IF($G$2,0,IF((AQ$6-$G$3)&lt;1,0,IFERROR(LOOKUP(2,1/('Arroz irrigado'!$E76:INDEX('Arroz irrigado'!$E76:$Z76,MIN(AQ$6-$G$3,22))&lt;&gt;""),'Arroz irrigado'!$E76:INDEX('Arroz irrigado'!$E76:$Z76,MIN(AQ$6-$G$3,22))),0)))))</f>
        <v>0</v>
      </c>
      <c r="AR78" s="27" t="n">
        <f aca="false">IF(COUNT('Arroz irrigado'!$E76:$Z76)=0,0,MAX(0,IF((AR$6-$E$3)&lt;1,0,IFERROR(LOOKUP(2,1/('Arroz irrigado'!$E76:INDEX('Arroz irrigado'!$E76:$Z76,MIN(AR$6-$E$3,22))&lt;&gt;""),'Arroz irrigado'!$E76:INDEX('Arroz irrigado'!$E76:$Z76,MIN(AR$6-$E$3,22))),0))-IF($G$2,0,IF((AR$6-$G$3)&lt;1,0,IFERROR(LOOKUP(2,1/('Arroz irrigado'!$E76:INDEX('Arroz irrigado'!$E76:$Z76,MIN(AR$6-$G$3,22))&lt;&gt;""),'Arroz irrigado'!$E76:INDEX('Arroz irrigado'!$E76:$Z76,MIN(AR$6-$G$3,22))),0)))))</f>
        <v>0</v>
      </c>
      <c r="AS78" s="27" t="n">
        <f aca="false">IF(COUNT('Arroz irrigado'!$E76:$Z76)=0,0,MAX(0,IF((AS$6-$E$3)&lt;1,0,IFERROR(LOOKUP(2,1/('Arroz irrigado'!$E76:INDEX('Arroz irrigado'!$E76:$Z76,MIN(AS$6-$E$3,22))&lt;&gt;""),'Arroz irrigado'!$E76:INDEX('Arroz irrigado'!$E76:$Z76,MIN(AS$6-$E$3,22))),0))-IF($G$2,0,IF((AS$6-$G$3)&lt;1,0,IFERROR(LOOKUP(2,1/('Arroz irrigado'!$E76:INDEX('Arroz irrigado'!$E76:$Z76,MIN(AS$6-$G$3,22))&lt;&gt;""),'Arroz irrigado'!$E76:INDEX('Arroz irrigado'!$E76:$Z76,MIN(AS$6-$G$3,22))),0)))))</f>
        <v>0</v>
      </c>
      <c r="AT78" s="27" t="n">
        <f aca="false">IF(COUNT('Arroz irrigado'!$E76:$Z76)=0,0,MAX(0,IF((AT$6-$E$3)&lt;1,0,IFERROR(LOOKUP(2,1/('Arroz irrigado'!$E76:INDEX('Arroz irrigado'!$E76:$Z76,MIN(AT$6-$E$3,22))&lt;&gt;""),'Arroz irrigado'!$E76:INDEX('Arroz irrigado'!$E76:$Z76,MIN(AT$6-$E$3,22))),0))-IF($G$2,0,IF((AT$6-$G$3)&lt;1,0,IFERROR(LOOKUP(2,1/('Arroz irrigado'!$E76:INDEX('Arroz irrigado'!$E76:$Z76,MIN(AT$6-$G$3,22))&lt;&gt;""),'Arroz irrigado'!$E76:INDEX('Arroz irrigado'!$E76:$Z76,MIN(AT$6-$G$3,22))),0)))))</f>
        <v>0</v>
      </c>
      <c r="AU78" s="27" t="n">
        <f aca="false">IF(COUNT('Arroz irrigado'!$E76:$Z76)=0,0,MAX(0,IF((AU$6-$E$3)&lt;1,0,IFERROR(LOOKUP(2,1/('Arroz irrigado'!$E76:INDEX('Arroz irrigado'!$E76:$Z76,MIN(AU$6-$E$3,22))&lt;&gt;""),'Arroz irrigado'!$E76:INDEX('Arroz irrigado'!$E76:$Z76,MIN(AU$6-$E$3,22))),0))-IF($G$2,0,IF((AU$6-$G$3)&lt;1,0,IFERROR(LOOKUP(2,1/('Arroz irrigado'!$E76:INDEX('Arroz irrigado'!$E76:$Z76,MIN(AU$6-$G$3,22))&lt;&gt;""),'Arroz irrigado'!$E76:INDEX('Arroz irrigado'!$E76:$Z76,MIN(AU$6-$G$3,22))),0)))))</f>
        <v>0</v>
      </c>
      <c r="AV78" s="27" t="n">
        <f aca="false">IF(COUNT('Arroz irrigado'!$E76:$Z76)=0,0,MAX(0,IF((AV$6-$E$3)&lt;1,0,IFERROR(LOOKUP(2,1/('Arroz irrigado'!$E76:INDEX('Arroz irrigado'!$E76:$Z76,MIN(AV$6-$E$3,22))&lt;&gt;""),'Arroz irrigado'!$E76:INDEX('Arroz irrigado'!$E76:$Z76,MIN(AV$6-$E$3,22))),0))-IF($G$2,0,IF((AV$6-$G$3)&lt;1,0,IFERROR(LOOKUP(2,1/('Arroz irrigado'!$E76:INDEX('Arroz irrigado'!$E76:$Z76,MIN(AV$6-$G$3,22))&lt;&gt;""),'Arroz irrigado'!$E76:INDEX('Arroz irrigado'!$E76:$Z76,MIN(AV$6-$G$3,22))),0)))))</f>
        <v>0</v>
      </c>
      <c r="AW78" s="27" t="n">
        <f aca="false">IF(COUNT('Arroz irrigado'!$E76:$Z76)=0,0,MAX(0,IF((AW$6-$E$3)&lt;1,0,IFERROR(LOOKUP(2,1/('Arroz irrigado'!$E76:INDEX('Arroz irrigado'!$E76:$Z76,MIN(AW$6-$E$3,22))&lt;&gt;""),'Arroz irrigado'!$E76:INDEX('Arroz irrigado'!$E76:$Z76,MIN(AW$6-$E$3,22))),0))-IF($G$2,0,IF((AW$6-$G$3)&lt;1,0,IFERROR(LOOKUP(2,1/('Arroz irrigado'!$E76:INDEX('Arroz irrigado'!$E76:$Z76,MIN(AW$6-$G$3,22))&lt;&gt;""),'Arroz irrigado'!$E76:INDEX('Arroz irrigado'!$E76:$Z76,MIN(AW$6-$G$3,22))),0)))))</f>
        <v>0</v>
      </c>
      <c r="AX78" s="27" t="n">
        <f aca="false">IF(COUNT('Arroz irrigado'!$E76:$Z76)=0,0,MAX(0,IF((AX$6-$E$3)&lt;1,0,IFERROR(LOOKUP(2,1/('Arroz irrigado'!$E76:INDEX('Arroz irrigado'!$E76:$Z76,MIN(AX$6-$E$3,22))&lt;&gt;""),'Arroz irrigado'!$E76:INDEX('Arroz irrigado'!$E76:$Z76,MIN(AX$6-$E$3,22))),0))-IF($G$2,0,IF((AX$6-$G$3)&lt;1,0,IFERROR(LOOKUP(2,1/('Arroz irrigado'!$E76:INDEX('Arroz irrigado'!$E76:$Z76,MIN(AX$6-$G$3,22))&lt;&gt;""),'Arroz irrigado'!$E76:INDEX('Arroz irrigado'!$E76:$Z76,MIN(AX$6-$G$3,22))),0)))))</f>
        <v>0</v>
      </c>
      <c r="AY78" s="27" t="n">
        <f aca="false">IF(COUNT('Arroz irrigado'!$E76:$Z76)=0,0,MAX(0,IF((AY$6-$E$3)&lt;1,0,IFERROR(LOOKUP(2,1/('Arroz irrigado'!$E76:INDEX('Arroz irrigado'!$E76:$Z76,MIN(AY$6-$E$3,22))&lt;&gt;""),'Arroz irrigado'!$E76:INDEX('Arroz irrigado'!$E76:$Z76,MIN(AY$6-$E$3,22))),0))-IF($G$2,0,IF((AY$6-$G$3)&lt;1,0,IFERROR(LOOKUP(2,1/('Arroz irrigado'!$E76:INDEX('Arroz irrigado'!$E76:$Z76,MIN(AY$6-$G$3,22))&lt;&gt;""),'Arroz irrigado'!$E76:INDEX('Arroz irrigado'!$E76:$Z76,MIN(AY$6-$G$3,22))),0)))))</f>
        <v>0</v>
      </c>
      <c r="AZ78" s="27" t="n">
        <f aca="false">IF(COUNT('Arroz irrigado'!$E76:$Z76)=0,0,MAX(0,IF((AZ$6-$E$3)&lt;1,0,IFERROR(LOOKUP(2,1/('Arroz irrigado'!$E76:INDEX('Arroz irrigado'!$E76:$Z76,MIN(AZ$6-$E$3,22))&lt;&gt;""),'Arroz irrigado'!$E76:INDEX('Arroz irrigado'!$E76:$Z76,MIN(AZ$6-$E$3,22))),0))-IF($G$2,0,IF((AZ$6-$G$3)&lt;1,0,IFERROR(LOOKUP(2,1/('Arroz irrigado'!$E76:INDEX('Arroz irrigado'!$E76:$Z76,MIN(AZ$6-$G$3,22))&lt;&gt;""),'Arroz irrigado'!$E76:INDEX('Arroz irrigado'!$E76:$Z76,MIN(AZ$6-$G$3,22))),0)))))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IF(COUNT('Arroz irrigado'!$E77:$Z77)&gt;0,N('Arroz irrigado'!$D77),0)</f>
        <v>0</v>
      </c>
      <c r="E79" s="27" t="n">
        <f aca="false">IF(COUNT('Arroz irrigado'!$E77:$Z77)=0,0,MAX(0,IF((E$6-$E$3)&lt;1,0,IFERROR(LOOKUP(2,1/('Arroz irrigado'!$E77:INDEX('Arroz irrigado'!$E77:$Z77,MIN(E$6-$E$3,22))&lt;&gt;""),'Arroz irrigado'!$E77:INDEX('Arroz irrigado'!$E77:$Z77,MIN(E$6-$E$3,22))),0))-IF($G$2,0,IF((E$6-$G$3)&lt;1,0,IFERROR(LOOKUP(2,1/('Arroz irrigado'!$E77:INDEX('Arroz irrigado'!$E77:$Z77,MIN(E$6-$G$3,22))&lt;&gt;""),'Arroz irrigado'!$E77:INDEX('Arroz irrigado'!$E77:$Z77,MIN(E$6-$G$3,22))),0)))))</f>
        <v>0</v>
      </c>
      <c r="F79" s="27" t="n">
        <f aca="false">IF(COUNT('Arroz irrigado'!$E77:$Z77)=0,0,MAX(0,IF((F$6-$E$3)&lt;1,0,IFERROR(LOOKUP(2,1/('Arroz irrigado'!$E77:INDEX('Arroz irrigado'!$E77:$Z77,MIN(F$6-$E$3,22))&lt;&gt;""),'Arroz irrigado'!$E77:INDEX('Arroz irrigado'!$E77:$Z77,MIN(F$6-$E$3,22))),0))-IF($G$2,0,IF((F$6-$G$3)&lt;1,0,IFERROR(LOOKUP(2,1/('Arroz irrigado'!$E77:INDEX('Arroz irrigado'!$E77:$Z77,MIN(F$6-$G$3,22))&lt;&gt;""),'Arroz irrigado'!$E77:INDEX('Arroz irrigado'!$E77:$Z77,MIN(F$6-$G$3,22))),0)))))</f>
        <v>0</v>
      </c>
      <c r="G79" s="27" t="n">
        <f aca="false">IF(COUNT('Arroz irrigado'!$E77:$Z77)=0,0,MAX(0,IF((G$6-$E$3)&lt;1,0,IFERROR(LOOKUP(2,1/('Arroz irrigado'!$E77:INDEX('Arroz irrigado'!$E77:$Z77,MIN(G$6-$E$3,22))&lt;&gt;""),'Arroz irrigado'!$E77:INDEX('Arroz irrigado'!$E77:$Z77,MIN(G$6-$E$3,22))),0))-IF($G$2,0,IF((G$6-$G$3)&lt;1,0,IFERROR(LOOKUP(2,1/('Arroz irrigado'!$E77:INDEX('Arroz irrigado'!$E77:$Z77,MIN(G$6-$G$3,22))&lt;&gt;""),'Arroz irrigado'!$E77:INDEX('Arroz irrigado'!$E77:$Z77,MIN(G$6-$G$3,22))),0)))))</f>
        <v>0</v>
      </c>
      <c r="H79" s="27" t="n">
        <f aca="false">IF(COUNT('Arroz irrigado'!$E77:$Z77)=0,0,MAX(0,IF((H$6-$E$3)&lt;1,0,IFERROR(LOOKUP(2,1/('Arroz irrigado'!$E77:INDEX('Arroz irrigado'!$E77:$Z77,MIN(H$6-$E$3,22))&lt;&gt;""),'Arroz irrigado'!$E77:INDEX('Arroz irrigado'!$E77:$Z77,MIN(H$6-$E$3,22))),0))-IF($G$2,0,IF((H$6-$G$3)&lt;1,0,IFERROR(LOOKUP(2,1/('Arroz irrigado'!$E77:INDEX('Arroz irrigado'!$E77:$Z77,MIN(H$6-$G$3,22))&lt;&gt;""),'Arroz irrigado'!$E77:INDEX('Arroz irrigado'!$E77:$Z77,MIN(H$6-$G$3,22))),0)))))</f>
        <v>0</v>
      </c>
      <c r="I79" s="27" t="n">
        <f aca="false">IF(COUNT('Arroz irrigado'!$E77:$Z77)=0,0,MAX(0,IF((I$6-$E$3)&lt;1,0,IFERROR(LOOKUP(2,1/('Arroz irrigado'!$E77:INDEX('Arroz irrigado'!$E77:$Z77,MIN(I$6-$E$3,22))&lt;&gt;""),'Arroz irrigado'!$E77:INDEX('Arroz irrigado'!$E77:$Z77,MIN(I$6-$E$3,22))),0))-IF($G$2,0,IF((I$6-$G$3)&lt;1,0,IFERROR(LOOKUP(2,1/('Arroz irrigado'!$E77:INDEX('Arroz irrigado'!$E77:$Z77,MIN(I$6-$G$3,22))&lt;&gt;""),'Arroz irrigado'!$E77:INDEX('Arroz irrigado'!$E77:$Z77,MIN(I$6-$G$3,22))),0)))))</f>
        <v>0</v>
      </c>
      <c r="J79" s="27" t="n">
        <f aca="false">IF(COUNT('Arroz irrigado'!$E77:$Z77)=0,0,MAX(0,IF((J$6-$E$3)&lt;1,0,IFERROR(LOOKUP(2,1/('Arroz irrigado'!$E77:INDEX('Arroz irrigado'!$E77:$Z77,MIN(J$6-$E$3,22))&lt;&gt;""),'Arroz irrigado'!$E77:INDEX('Arroz irrigado'!$E77:$Z77,MIN(J$6-$E$3,22))),0))-IF($G$2,0,IF((J$6-$G$3)&lt;1,0,IFERROR(LOOKUP(2,1/('Arroz irrigado'!$E77:INDEX('Arroz irrigado'!$E77:$Z77,MIN(J$6-$G$3,22))&lt;&gt;""),'Arroz irrigado'!$E77:INDEX('Arroz irrigado'!$E77:$Z77,MIN(J$6-$G$3,22))),0)))))</f>
        <v>0</v>
      </c>
      <c r="K79" s="27" t="n">
        <f aca="false">IF(COUNT('Arroz irrigado'!$E77:$Z77)=0,0,MAX(0,IF((K$6-$E$3)&lt;1,0,IFERROR(LOOKUP(2,1/('Arroz irrigado'!$E77:INDEX('Arroz irrigado'!$E77:$Z77,MIN(K$6-$E$3,22))&lt;&gt;""),'Arroz irrigado'!$E77:INDEX('Arroz irrigado'!$E77:$Z77,MIN(K$6-$E$3,22))),0))-IF($G$2,0,IF((K$6-$G$3)&lt;1,0,IFERROR(LOOKUP(2,1/('Arroz irrigado'!$E77:INDEX('Arroz irrigado'!$E77:$Z77,MIN(K$6-$G$3,22))&lt;&gt;""),'Arroz irrigado'!$E77:INDEX('Arroz irrigado'!$E77:$Z77,MIN(K$6-$G$3,22))),0)))))</f>
        <v>0</v>
      </c>
      <c r="L79" s="27" t="n">
        <f aca="false">IF(COUNT('Arroz irrigado'!$E77:$Z77)=0,0,MAX(0,IF((L$6-$E$3)&lt;1,0,IFERROR(LOOKUP(2,1/('Arroz irrigado'!$E77:INDEX('Arroz irrigado'!$E77:$Z77,MIN(L$6-$E$3,22))&lt;&gt;""),'Arroz irrigado'!$E77:INDEX('Arroz irrigado'!$E77:$Z77,MIN(L$6-$E$3,22))),0))-IF($G$2,0,IF((L$6-$G$3)&lt;1,0,IFERROR(LOOKUP(2,1/('Arroz irrigado'!$E77:INDEX('Arroz irrigado'!$E77:$Z77,MIN(L$6-$G$3,22))&lt;&gt;""),'Arroz irrigado'!$E77:INDEX('Arroz irrigado'!$E77:$Z77,MIN(L$6-$G$3,22))),0)))))</f>
        <v>0</v>
      </c>
      <c r="M79" s="27" t="n">
        <f aca="false">IF(COUNT('Arroz irrigado'!$E77:$Z77)=0,0,MAX(0,IF((M$6-$E$3)&lt;1,0,IFERROR(LOOKUP(2,1/('Arroz irrigado'!$E77:INDEX('Arroz irrigado'!$E77:$Z77,MIN(M$6-$E$3,22))&lt;&gt;""),'Arroz irrigado'!$E77:INDEX('Arroz irrigado'!$E77:$Z77,MIN(M$6-$E$3,22))),0))-IF($G$2,0,IF((M$6-$G$3)&lt;1,0,IFERROR(LOOKUP(2,1/('Arroz irrigado'!$E77:INDEX('Arroz irrigado'!$E77:$Z77,MIN(M$6-$G$3,22))&lt;&gt;""),'Arroz irrigado'!$E77:INDEX('Arroz irrigado'!$E77:$Z77,MIN(M$6-$G$3,22))),0)))))</f>
        <v>0</v>
      </c>
      <c r="N79" s="27" t="n">
        <f aca="false">IF(COUNT('Arroz irrigado'!$E77:$Z77)=0,0,MAX(0,IF((N$6-$E$3)&lt;1,0,IFERROR(LOOKUP(2,1/('Arroz irrigado'!$E77:INDEX('Arroz irrigado'!$E77:$Z77,MIN(N$6-$E$3,22))&lt;&gt;""),'Arroz irrigado'!$E77:INDEX('Arroz irrigado'!$E77:$Z77,MIN(N$6-$E$3,22))),0))-IF($G$2,0,IF((N$6-$G$3)&lt;1,0,IFERROR(LOOKUP(2,1/('Arroz irrigado'!$E77:INDEX('Arroz irrigado'!$E77:$Z77,MIN(N$6-$G$3,22))&lt;&gt;""),'Arroz irrigado'!$E77:INDEX('Arroz irrigado'!$E77:$Z77,MIN(N$6-$G$3,22))),0)))))</f>
        <v>0</v>
      </c>
      <c r="O79" s="27" t="n">
        <f aca="false">IF(COUNT('Arroz irrigado'!$E77:$Z77)=0,0,MAX(0,IF((O$6-$E$3)&lt;1,0,IFERROR(LOOKUP(2,1/('Arroz irrigado'!$E77:INDEX('Arroz irrigado'!$E77:$Z77,MIN(O$6-$E$3,22))&lt;&gt;""),'Arroz irrigado'!$E77:INDEX('Arroz irrigado'!$E77:$Z77,MIN(O$6-$E$3,22))),0))-IF($G$2,0,IF((O$6-$G$3)&lt;1,0,IFERROR(LOOKUP(2,1/('Arroz irrigado'!$E77:INDEX('Arroz irrigado'!$E77:$Z77,MIN(O$6-$G$3,22))&lt;&gt;""),'Arroz irrigado'!$E77:INDEX('Arroz irrigado'!$E77:$Z77,MIN(O$6-$G$3,22))),0)))))</f>
        <v>0</v>
      </c>
      <c r="P79" s="27" t="n">
        <f aca="false">IF(COUNT('Arroz irrigado'!$E77:$Z77)=0,0,MAX(0,IF((P$6-$E$3)&lt;1,0,IFERROR(LOOKUP(2,1/('Arroz irrigado'!$E77:INDEX('Arroz irrigado'!$E77:$Z77,MIN(P$6-$E$3,22))&lt;&gt;""),'Arroz irrigado'!$E77:INDEX('Arroz irrigado'!$E77:$Z77,MIN(P$6-$E$3,22))),0))-IF($G$2,0,IF((P$6-$G$3)&lt;1,0,IFERROR(LOOKUP(2,1/('Arroz irrigado'!$E77:INDEX('Arroz irrigado'!$E77:$Z77,MIN(P$6-$G$3,22))&lt;&gt;""),'Arroz irrigado'!$E77:INDEX('Arroz irrigado'!$E77:$Z77,MIN(P$6-$G$3,22))),0)))))</f>
        <v>0</v>
      </c>
      <c r="Q79" s="27" t="n">
        <f aca="false">IF(COUNT('Arroz irrigado'!$E77:$Z77)=0,0,MAX(0,IF((Q$6-$E$3)&lt;1,0,IFERROR(LOOKUP(2,1/('Arroz irrigado'!$E77:INDEX('Arroz irrigado'!$E77:$Z77,MIN(Q$6-$E$3,22))&lt;&gt;""),'Arroz irrigado'!$E77:INDEX('Arroz irrigado'!$E77:$Z77,MIN(Q$6-$E$3,22))),0))-IF($G$2,0,IF((Q$6-$G$3)&lt;1,0,IFERROR(LOOKUP(2,1/('Arroz irrigado'!$E77:INDEX('Arroz irrigado'!$E77:$Z77,MIN(Q$6-$G$3,22))&lt;&gt;""),'Arroz irrigado'!$E77:INDEX('Arroz irrigado'!$E77:$Z77,MIN(Q$6-$G$3,22))),0)))))</f>
        <v>0</v>
      </c>
      <c r="R79" s="27" t="n">
        <f aca="false">IF(COUNT('Arroz irrigado'!$E77:$Z77)=0,0,MAX(0,IF((R$6-$E$3)&lt;1,0,IFERROR(LOOKUP(2,1/('Arroz irrigado'!$E77:INDEX('Arroz irrigado'!$E77:$Z77,MIN(R$6-$E$3,22))&lt;&gt;""),'Arroz irrigado'!$E77:INDEX('Arroz irrigado'!$E77:$Z77,MIN(R$6-$E$3,22))),0))-IF($G$2,0,IF((R$6-$G$3)&lt;1,0,IFERROR(LOOKUP(2,1/('Arroz irrigado'!$E77:INDEX('Arroz irrigado'!$E77:$Z77,MIN(R$6-$G$3,22))&lt;&gt;""),'Arroz irrigado'!$E77:INDEX('Arroz irrigado'!$E77:$Z77,MIN(R$6-$G$3,22))),0)))))</f>
        <v>0</v>
      </c>
      <c r="S79" s="27" t="n">
        <f aca="false">IF(COUNT('Arroz irrigado'!$E77:$Z77)=0,0,MAX(0,IF((S$6-$E$3)&lt;1,0,IFERROR(LOOKUP(2,1/('Arroz irrigado'!$E77:INDEX('Arroz irrigado'!$E77:$Z77,MIN(S$6-$E$3,22))&lt;&gt;""),'Arroz irrigado'!$E77:INDEX('Arroz irrigado'!$E77:$Z77,MIN(S$6-$E$3,22))),0))-IF($G$2,0,IF((S$6-$G$3)&lt;1,0,IFERROR(LOOKUP(2,1/('Arroz irrigado'!$E77:INDEX('Arroz irrigado'!$E77:$Z77,MIN(S$6-$G$3,22))&lt;&gt;""),'Arroz irrigado'!$E77:INDEX('Arroz irrigado'!$E77:$Z77,MIN(S$6-$G$3,22))),0)))))</f>
        <v>0</v>
      </c>
      <c r="T79" s="27" t="n">
        <f aca="false">IF(COUNT('Arroz irrigado'!$E77:$Z77)=0,0,MAX(0,IF((T$6-$E$3)&lt;1,0,IFERROR(LOOKUP(2,1/('Arroz irrigado'!$E77:INDEX('Arroz irrigado'!$E77:$Z77,MIN(T$6-$E$3,22))&lt;&gt;""),'Arroz irrigado'!$E77:INDEX('Arroz irrigado'!$E77:$Z77,MIN(T$6-$E$3,22))),0))-IF($G$2,0,IF((T$6-$G$3)&lt;1,0,IFERROR(LOOKUP(2,1/('Arroz irrigado'!$E77:INDEX('Arroz irrigado'!$E77:$Z77,MIN(T$6-$G$3,22))&lt;&gt;""),'Arroz irrigado'!$E77:INDEX('Arroz irrigado'!$E77:$Z77,MIN(T$6-$G$3,22))),0)))))</f>
        <v>0</v>
      </c>
      <c r="U79" s="27" t="n">
        <f aca="false">IF(COUNT('Arroz irrigado'!$E77:$Z77)=0,0,MAX(0,IF((U$6-$E$3)&lt;1,0,IFERROR(LOOKUP(2,1/('Arroz irrigado'!$E77:INDEX('Arroz irrigado'!$E77:$Z77,MIN(U$6-$E$3,22))&lt;&gt;""),'Arroz irrigado'!$E77:INDEX('Arroz irrigado'!$E77:$Z77,MIN(U$6-$E$3,22))),0))-IF($G$2,0,IF((U$6-$G$3)&lt;1,0,IFERROR(LOOKUP(2,1/('Arroz irrigado'!$E77:INDEX('Arroz irrigado'!$E77:$Z77,MIN(U$6-$G$3,22))&lt;&gt;""),'Arroz irrigado'!$E77:INDEX('Arroz irrigado'!$E77:$Z77,MIN(U$6-$G$3,22))),0)))))</f>
        <v>0</v>
      </c>
      <c r="V79" s="27" t="n">
        <f aca="false">IF(COUNT('Arroz irrigado'!$E77:$Z77)=0,0,MAX(0,IF((V$6-$E$3)&lt;1,0,IFERROR(LOOKUP(2,1/('Arroz irrigado'!$E77:INDEX('Arroz irrigado'!$E77:$Z77,MIN(V$6-$E$3,22))&lt;&gt;""),'Arroz irrigado'!$E77:INDEX('Arroz irrigado'!$E77:$Z77,MIN(V$6-$E$3,22))),0))-IF($G$2,0,IF((V$6-$G$3)&lt;1,0,IFERROR(LOOKUP(2,1/('Arroz irrigado'!$E77:INDEX('Arroz irrigado'!$E77:$Z77,MIN(V$6-$G$3,22))&lt;&gt;""),'Arroz irrigado'!$E77:INDEX('Arroz irrigado'!$E77:$Z77,MIN(V$6-$G$3,22))),0)))))</f>
        <v>0</v>
      </c>
      <c r="W79" s="27" t="n">
        <f aca="false">IF(COUNT('Arroz irrigado'!$E77:$Z77)=0,0,MAX(0,IF((W$6-$E$3)&lt;1,0,IFERROR(LOOKUP(2,1/('Arroz irrigado'!$E77:INDEX('Arroz irrigado'!$E77:$Z77,MIN(W$6-$E$3,22))&lt;&gt;""),'Arroz irrigado'!$E77:INDEX('Arroz irrigado'!$E77:$Z77,MIN(W$6-$E$3,22))),0))-IF($G$2,0,IF((W$6-$G$3)&lt;1,0,IFERROR(LOOKUP(2,1/('Arroz irrigado'!$E77:INDEX('Arroz irrigado'!$E77:$Z77,MIN(W$6-$G$3,22))&lt;&gt;""),'Arroz irrigado'!$E77:INDEX('Arroz irrigado'!$E77:$Z77,MIN(W$6-$G$3,22))),0)))))</f>
        <v>0</v>
      </c>
      <c r="X79" s="27" t="n">
        <f aca="false">IF(COUNT('Arroz irrigado'!$E77:$Z77)=0,0,MAX(0,IF((X$6-$E$3)&lt;1,0,IFERROR(LOOKUP(2,1/('Arroz irrigado'!$E77:INDEX('Arroz irrigado'!$E77:$Z77,MIN(X$6-$E$3,22))&lt;&gt;""),'Arroz irrigado'!$E77:INDEX('Arroz irrigado'!$E77:$Z77,MIN(X$6-$E$3,22))),0))-IF($G$2,0,IF((X$6-$G$3)&lt;1,0,IFERROR(LOOKUP(2,1/('Arroz irrigado'!$E77:INDEX('Arroz irrigado'!$E77:$Z77,MIN(X$6-$G$3,22))&lt;&gt;""),'Arroz irrigado'!$E77:INDEX('Arroz irrigado'!$E77:$Z77,MIN(X$6-$G$3,22))),0)))))</f>
        <v>0</v>
      </c>
      <c r="Y79" s="27" t="n">
        <f aca="false">IF(COUNT('Arroz irrigado'!$E77:$Z77)=0,0,MAX(0,IF((Y$6-$E$3)&lt;1,0,IFERROR(LOOKUP(2,1/('Arroz irrigado'!$E77:INDEX('Arroz irrigado'!$E77:$Z77,MIN(Y$6-$E$3,22))&lt;&gt;""),'Arroz irrigado'!$E77:INDEX('Arroz irrigado'!$E77:$Z77,MIN(Y$6-$E$3,22))),0))-IF($G$2,0,IF((Y$6-$G$3)&lt;1,0,IFERROR(LOOKUP(2,1/('Arroz irrigado'!$E77:INDEX('Arroz irrigado'!$E77:$Z77,MIN(Y$6-$G$3,22))&lt;&gt;""),'Arroz irrigado'!$E77:INDEX('Arroz irrigado'!$E77:$Z77,MIN(Y$6-$G$3,22))),0)))))</f>
        <v>0</v>
      </c>
      <c r="Z79" s="27" t="n">
        <f aca="false">IF(COUNT('Arroz irrigado'!$E77:$Z77)=0,0,MAX(0,IF((Z$6-$E$3)&lt;1,0,IFERROR(LOOKUP(2,1/('Arroz irrigado'!$E77:INDEX('Arroz irrigado'!$E77:$Z77,MIN(Z$6-$E$3,22))&lt;&gt;""),'Arroz irrigado'!$E77:INDEX('Arroz irrigado'!$E77:$Z77,MIN(Z$6-$E$3,22))),0))-IF($G$2,0,IF((Z$6-$G$3)&lt;1,0,IFERROR(LOOKUP(2,1/('Arroz irrigado'!$E77:INDEX('Arroz irrigado'!$E77:$Z77,MIN(Z$6-$G$3,22))&lt;&gt;""),'Arroz irrigado'!$E77:INDEX('Arroz irrigado'!$E77:$Z77,MIN(Z$6-$G$3,22))),0)))))</f>
        <v>0</v>
      </c>
      <c r="AA79" s="27" t="n">
        <f aca="false">IF(COUNT('Arroz irrigado'!$E77:$Z77)=0,0,MAX(0,IF((AA$6-$E$3)&lt;1,0,IFERROR(LOOKUP(2,1/('Arroz irrigado'!$E77:INDEX('Arroz irrigado'!$E77:$Z77,MIN(AA$6-$E$3,22))&lt;&gt;""),'Arroz irrigado'!$E77:INDEX('Arroz irrigado'!$E77:$Z77,MIN(AA$6-$E$3,22))),0))-IF($G$2,0,IF((AA$6-$G$3)&lt;1,0,IFERROR(LOOKUP(2,1/('Arroz irrigado'!$E77:INDEX('Arroz irrigado'!$E77:$Z77,MIN(AA$6-$G$3,22))&lt;&gt;""),'Arroz irrigado'!$E77:INDEX('Arroz irrigado'!$E77:$Z77,MIN(AA$6-$G$3,22))),0)))))</f>
        <v>0</v>
      </c>
      <c r="AB79" s="27" t="n">
        <f aca="false">IF(COUNT('Arroz irrigado'!$E77:$Z77)=0,0,MAX(0,IF((AB$6-$E$3)&lt;1,0,IFERROR(LOOKUP(2,1/('Arroz irrigado'!$E77:INDEX('Arroz irrigado'!$E77:$Z77,MIN(AB$6-$E$3,22))&lt;&gt;""),'Arroz irrigado'!$E77:INDEX('Arroz irrigado'!$E77:$Z77,MIN(AB$6-$E$3,22))),0))-IF($G$2,0,IF((AB$6-$G$3)&lt;1,0,IFERROR(LOOKUP(2,1/('Arroz irrigado'!$E77:INDEX('Arroz irrigado'!$E77:$Z77,MIN(AB$6-$G$3,22))&lt;&gt;""),'Arroz irrigado'!$E77:INDEX('Arroz irrigado'!$E77:$Z77,MIN(AB$6-$G$3,22))),0)))))</f>
        <v>0</v>
      </c>
      <c r="AC79" s="27" t="n">
        <f aca="false">IF(COUNT('Arroz irrigado'!$E77:$Z77)=0,0,MAX(0,IF((AC$6-$E$3)&lt;1,0,IFERROR(LOOKUP(2,1/('Arroz irrigado'!$E77:INDEX('Arroz irrigado'!$E77:$Z77,MIN(AC$6-$E$3,22))&lt;&gt;""),'Arroz irrigado'!$E77:INDEX('Arroz irrigado'!$E77:$Z77,MIN(AC$6-$E$3,22))),0))-IF($G$2,0,IF((AC$6-$G$3)&lt;1,0,IFERROR(LOOKUP(2,1/('Arroz irrigado'!$E77:INDEX('Arroz irrigado'!$E77:$Z77,MIN(AC$6-$G$3,22))&lt;&gt;""),'Arroz irrigado'!$E77:INDEX('Arroz irrigado'!$E77:$Z77,MIN(AC$6-$G$3,22))),0)))))</f>
        <v>0</v>
      </c>
      <c r="AD79" s="27" t="n">
        <f aca="false">IF(COUNT('Arroz irrigado'!$E77:$Z77)=0,0,MAX(0,IF((AD$6-$E$3)&lt;1,0,IFERROR(LOOKUP(2,1/('Arroz irrigado'!$E77:INDEX('Arroz irrigado'!$E77:$Z77,MIN(AD$6-$E$3,22))&lt;&gt;""),'Arroz irrigado'!$E77:INDEX('Arroz irrigado'!$E77:$Z77,MIN(AD$6-$E$3,22))),0))-IF($G$2,0,IF((AD$6-$G$3)&lt;1,0,IFERROR(LOOKUP(2,1/('Arroz irrigado'!$E77:INDEX('Arroz irrigado'!$E77:$Z77,MIN(AD$6-$G$3,22))&lt;&gt;""),'Arroz irrigado'!$E77:INDEX('Arroz irrigado'!$E77:$Z77,MIN(AD$6-$G$3,22))),0)))))</f>
        <v>0</v>
      </c>
      <c r="AE79" s="27" t="n">
        <f aca="false">IF(COUNT('Arroz irrigado'!$E77:$Z77)=0,0,MAX(0,IF((AE$6-$E$3)&lt;1,0,IFERROR(LOOKUP(2,1/('Arroz irrigado'!$E77:INDEX('Arroz irrigado'!$E77:$Z77,MIN(AE$6-$E$3,22))&lt;&gt;""),'Arroz irrigado'!$E77:INDEX('Arroz irrigado'!$E77:$Z77,MIN(AE$6-$E$3,22))),0))-IF($G$2,0,IF((AE$6-$G$3)&lt;1,0,IFERROR(LOOKUP(2,1/('Arroz irrigado'!$E77:INDEX('Arroz irrigado'!$E77:$Z77,MIN(AE$6-$G$3,22))&lt;&gt;""),'Arroz irrigado'!$E77:INDEX('Arroz irrigado'!$E77:$Z77,MIN(AE$6-$G$3,22))),0)))))</f>
        <v>0</v>
      </c>
      <c r="AF79" s="27" t="n">
        <f aca="false">IF(COUNT('Arroz irrigado'!$E77:$Z77)=0,0,MAX(0,IF((AF$6-$E$3)&lt;1,0,IFERROR(LOOKUP(2,1/('Arroz irrigado'!$E77:INDEX('Arroz irrigado'!$E77:$Z77,MIN(AF$6-$E$3,22))&lt;&gt;""),'Arroz irrigado'!$E77:INDEX('Arroz irrigado'!$E77:$Z77,MIN(AF$6-$E$3,22))),0))-IF($G$2,0,IF((AF$6-$G$3)&lt;1,0,IFERROR(LOOKUP(2,1/('Arroz irrigado'!$E77:INDEX('Arroz irrigado'!$E77:$Z77,MIN(AF$6-$G$3,22))&lt;&gt;""),'Arroz irrigado'!$E77:INDEX('Arroz irrigado'!$E77:$Z77,MIN(AF$6-$G$3,22))),0)))))</f>
        <v>0</v>
      </c>
      <c r="AG79" s="27" t="n">
        <f aca="false">IF(COUNT('Arroz irrigado'!$E77:$Z77)=0,0,MAX(0,IF((AG$6-$E$3)&lt;1,0,IFERROR(LOOKUP(2,1/('Arroz irrigado'!$E77:INDEX('Arroz irrigado'!$E77:$Z77,MIN(AG$6-$E$3,22))&lt;&gt;""),'Arroz irrigado'!$E77:INDEX('Arroz irrigado'!$E77:$Z77,MIN(AG$6-$E$3,22))),0))-IF($G$2,0,IF((AG$6-$G$3)&lt;1,0,IFERROR(LOOKUP(2,1/('Arroz irrigado'!$E77:INDEX('Arroz irrigado'!$E77:$Z77,MIN(AG$6-$G$3,22))&lt;&gt;""),'Arroz irrigado'!$E77:INDEX('Arroz irrigado'!$E77:$Z77,MIN(AG$6-$G$3,22))),0)))))</f>
        <v>0</v>
      </c>
      <c r="AH79" s="27" t="n">
        <f aca="false">IF(COUNT('Arroz irrigado'!$E77:$Z77)=0,0,MAX(0,IF((AH$6-$E$3)&lt;1,0,IFERROR(LOOKUP(2,1/('Arroz irrigado'!$E77:INDEX('Arroz irrigado'!$E77:$Z77,MIN(AH$6-$E$3,22))&lt;&gt;""),'Arroz irrigado'!$E77:INDEX('Arroz irrigado'!$E77:$Z77,MIN(AH$6-$E$3,22))),0))-IF($G$2,0,IF((AH$6-$G$3)&lt;1,0,IFERROR(LOOKUP(2,1/('Arroz irrigado'!$E77:INDEX('Arroz irrigado'!$E77:$Z77,MIN(AH$6-$G$3,22))&lt;&gt;""),'Arroz irrigado'!$E77:INDEX('Arroz irrigado'!$E77:$Z77,MIN(AH$6-$G$3,22))),0)))))</f>
        <v>0</v>
      </c>
      <c r="AI79" s="27" t="n">
        <f aca="false">IF(COUNT('Arroz irrigado'!$E77:$Z77)=0,0,MAX(0,IF((AI$6-$E$3)&lt;1,0,IFERROR(LOOKUP(2,1/('Arroz irrigado'!$E77:INDEX('Arroz irrigado'!$E77:$Z77,MIN(AI$6-$E$3,22))&lt;&gt;""),'Arroz irrigado'!$E77:INDEX('Arroz irrigado'!$E77:$Z77,MIN(AI$6-$E$3,22))),0))-IF($G$2,0,IF((AI$6-$G$3)&lt;1,0,IFERROR(LOOKUP(2,1/('Arroz irrigado'!$E77:INDEX('Arroz irrigado'!$E77:$Z77,MIN(AI$6-$G$3,22))&lt;&gt;""),'Arroz irrigado'!$E77:INDEX('Arroz irrigado'!$E77:$Z77,MIN(AI$6-$G$3,22))),0)))))</f>
        <v>0</v>
      </c>
      <c r="AJ79" s="27" t="n">
        <f aca="false">IF(COUNT('Arroz irrigado'!$E77:$Z77)=0,0,MAX(0,IF((AJ$6-$E$3)&lt;1,0,IFERROR(LOOKUP(2,1/('Arroz irrigado'!$E77:INDEX('Arroz irrigado'!$E77:$Z77,MIN(AJ$6-$E$3,22))&lt;&gt;""),'Arroz irrigado'!$E77:INDEX('Arroz irrigado'!$E77:$Z77,MIN(AJ$6-$E$3,22))),0))-IF($G$2,0,IF((AJ$6-$G$3)&lt;1,0,IFERROR(LOOKUP(2,1/('Arroz irrigado'!$E77:INDEX('Arroz irrigado'!$E77:$Z77,MIN(AJ$6-$G$3,22))&lt;&gt;""),'Arroz irrigado'!$E77:INDEX('Arroz irrigado'!$E77:$Z77,MIN(AJ$6-$G$3,22))),0)))))</f>
        <v>0</v>
      </c>
      <c r="AK79" s="27" t="n">
        <f aca="false">IF(COUNT('Arroz irrigado'!$E77:$Z77)=0,0,MAX(0,IF((AK$6-$E$3)&lt;1,0,IFERROR(LOOKUP(2,1/('Arroz irrigado'!$E77:INDEX('Arroz irrigado'!$E77:$Z77,MIN(AK$6-$E$3,22))&lt;&gt;""),'Arroz irrigado'!$E77:INDEX('Arroz irrigado'!$E77:$Z77,MIN(AK$6-$E$3,22))),0))-IF($G$2,0,IF((AK$6-$G$3)&lt;1,0,IFERROR(LOOKUP(2,1/('Arroz irrigado'!$E77:INDEX('Arroz irrigado'!$E77:$Z77,MIN(AK$6-$G$3,22))&lt;&gt;""),'Arroz irrigado'!$E77:INDEX('Arroz irrigado'!$E77:$Z77,MIN(AK$6-$G$3,22))),0)))))</f>
        <v>0</v>
      </c>
      <c r="AL79" s="27" t="n">
        <f aca="false">IF(COUNT('Arroz irrigado'!$E77:$Z77)=0,0,MAX(0,IF((AL$6-$E$3)&lt;1,0,IFERROR(LOOKUP(2,1/('Arroz irrigado'!$E77:INDEX('Arroz irrigado'!$E77:$Z77,MIN(AL$6-$E$3,22))&lt;&gt;""),'Arroz irrigado'!$E77:INDEX('Arroz irrigado'!$E77:$Z77,MIN(AL$6-$E$3,22))),0))-IF($G$2,0,IF((AL$6-$G$3)&lt;1,0,IFERROR(LOOKUP(2,1/('Arroz irrigado'!$E77:INDEX('Arroz irrigado'!$E77:$Z77,MIN(AL$6-$G$3,22))&lt;&gt;""),'Arroz irrigado'!$E77:INDEX('Arroz irrigado'!$E77:$Z77,MIN(AL$6-$G$3,22))),0)))))</f>
        <v>0</v>
      </c>
      <c r="AM79" s="27" t="n">
        <f aca="false">IF(COUNT('Arroz irrigado'!$E77:$Z77)=0,0,MAX(0,IF((AM$6-$E$3)&lt;1,0,IFERROR(LOOKUP(2,1/('Arroz irrigado'!$E77:INDEX('Arroz irrigado'!$E77:$Z77,MIN(AM$6-$E$3,22))&lt;&gt;""),'Arroz irrigado'!$E77:INDEX('Arroz irrigado'!$E77:$Z77,MIN(AM$6-$E$3,22))),0))-IF($G$2,0,IF((AM$6-$G$3)&lt;1,0,IFERROR(LOOKUP(2,1/('Arroz irrigado'!$E77:INDEX('Arroz irrigado'!$E77:$Z77,MIN(AM$6-$G$3,22))&lt;&gt;""),'Arroz irrigado'!$E77:INDEX('Arroz irrigado'!$E77:$Z77,MIN(AM$6-$G$3,22))),0)))))</f>
        <v>0</v>
      </c>
      <c r="AN79" s="27" t="n">
        <f aca="false">IF(COUNT('Arroz irrigado'!$E77:$Z77)=0,0,MAX(0,IF((AN$6-$E$3)&lt;1,0,IFERROR(LOOKUP(2,1/('Arroz irrigado'!$E77:INDEX('Arroz irrigado'!$E77:$Z77,MIN(AN$6-$E$3,22))&lt;&gt;""),'Arroz irrigado'!$E77:INDEX('Arroz irrigado'!$E77:$Z77,MIN(AN$6-$E$3,22))),0))-IF($G$2,0,IF((AN$6-$G$3)&lt;1,0,IFERROR(LOOKUP(2,1/('Arroz irrigado'!$E77:INDEX('Arroz irrigado'!$E77:$Z77,MIN(AN$6-$G$3,22))&lt;&gt;""),'Arroz irrigado'!$E77:INDEX('Arroz irrigado'!$E77:$Z77,MIN(AN$6-$G$3,22))),0)))))</f>
        <v>0</v>
      </c>
      <c r="AO79" s="27" t="n">
        <f aca="false">IF(COUNT('Arroz irrigado'!$E77:$Z77)=0,0,MAX(0,IF((AO$6-$E$3)&lt;1,0,IFERROR(LOOKUP(2,1/('Arroz irrigado'!$E77:INDEX('Arroz irrigado'!$E77:$Z77,MIN(AO$6-$E$3,22))&lt;&gt;""),'Arroz irrigado'!$E77:INDEX('Arroz irrigado'!$E77:$Z77,MIN(AO$6-$E$3,22))),0))-IF($G$2,0,IF((AO$6-$G$3)&lt;1,0,IFERROR(LOOKUP(2,1/('Arroz irrigado'!$E77:INDEX('Arroz irrigado'!$E77:$Z77,MIN(AO$6-$G$3,22))&lt;&gt;""),'Arroz irrigado'!$E77:INDEX('Arroz irrigado'!$E77:$Z77,MIN(AO$6-$G$3,22))),0)))))</f>
        <v>0</v>
      </c>
      <c r="AP79" s="27" t="n">
        <f aca="false">IF(COUNT('Arroz irrigado'!$E77:$Z77)=0,0,MAX(0,IF((AP$6-$E$3)&lt;1,0,IFERROR(LOOKUP(2,1/('Arroz irrigado'!$E77:INDEX('Arroz irrigado'!$E77:$Z77,MIN(AP$6-$E$3,22))&lt;&gt;""),'Arroz irrigado'!$E77:INDEX('Arroz irrigado'!$E77:$Z77,MIN(AP$6-$E$3,22))),0))-IF($G$2,0,IF((AP$6-$G$3)&lt;1,0,IFERROR(LOOKUP(2,1/('Arroz irrigado'!$E77:INDEX('Arroz irrigado'!$E77:$Z77,MIN(AP$6-$G$3,22))&lt;&gt;""),'Arroz irrigado'!$E77:INDEX('Arroz irrigado'!$E77:$Z77,MIN(AP$6-$G$3,22))),0)))))</f>
        <v>0</v>
      </c>
      <c r="AQ79" s="27" t="n">
        <f aca="false">IF(COUNT('Arroz irrigado'!$E77:$Z77)=0,0,MAX(0,IF((AQ$6-$E$3)&lt;1,0,IFERROR(LOOKUP(2,1/('Arroz irrigado'!$E77:INDEX('Arroz irrigado'!$E77:$Z77,MIN(AQ$6-$E$3,22))&lt;&gt;""),'Arroz irrigado'!$E77:INDEX('Arroz irrigado'!$E77:$Z77,MIN(AQ$6-$E$3,22))),0))-IF($G$2,0,IF((AQ$6-$G$3)&lt;1,0,IFERROR(LOOKUP(2,1/('Arroz irrigado'!$E77:INDEX('Arroz irrigado'!$E77:$Z77,MIN(AQ$6-$G$3,22))&lt;&gt;""),'Arroz irrigado'!$E77:INDEX('Arroz irrigado'!$E77:$Z77,MIN(AQ$6-$G$3,22))),0)))))</f>
        <v>0</v>
      </c>
      <c r="AR79" s="27" t="n">
        <f aca="false">IF(COUNT('Arroz irrigado'!$E77:$Z77)=0,0,MAX(0,IF((AR$6-$E$3)&lt;1,0,IFERROR(LOOKUP(2,1/('Arroz irrigado'!$E77:INDEX('Arroz irrigado'!$E77:$Z77,MIN(AR$6-$E$3,22))&lt;&gt;""),'Arroz irrigado'!$E77:INDEX('Arroz irrigado'!$E77:$Z77,MIN(AR$6-$E$3,22))),0))-IF($G$2,0,IF((AR$6-$G$3)&lt;1,0,IFERROR(LOOKUP(2,1/('Arroz irrigado'!$E77:INDEX('Arroz irrigado'!$E77:$Z77,MIN(AR$6-$G$3,22))&lt;&gt;""),'Arroz irrigado'!$E77:INDEX('Arroz irrigado'!$E77:$Z77,MIN(AR$6-$G$3,22))),0)))))</f>
        <v>0</v>
      </c>
      <c r="AS79" s="27" t="n">
        <f aca="false">IF(COUNT('Arroz irrigado'!$E77:$Z77)=0,0,MAX(0,IF((AS$6-$E$3)&lt;1,0,IFERROR(LOOKUP(2,1/('Arroz irrigado'!$E77:INDEX('Arroz irrigado'!$E77:$Z77,MIN(AS$6-$E$3,22))&lt;&gt;""),'Arroz irrigado'!$E77:INDEX('Arroz irrigado'!$E77:$Z77,MIN(AS$6-$E$3,22))),0))-IF($G$2,0,IF((AS$6-$G$3)&lt;1,0,IFERROR(LOOKUP(2,1/('Arroz irrigado'!$E77:INDEX('Arroz irrigado'!$E77:$Z77,MIN(AS$6-$G$3,22))&lt;&gt;""),'Arroz irrigado'!$E77:INDEX('Arroz irrigado'!$E77:$Z77,MIN(AS$6-$G$3,22))),0)))))</f>
        <v>0</v>
      </c>
      <c r="AT79" s="27" t="n">
        <f aca="false">IF(COUNT('Arroz irrigado'!$E77:$Z77)=0,0,MAX(0,IF((AT$6-$E$3)&lt;1,0,IFERROR(LOOKUP(2,1/('Arroz irrigado'!$E77:INDEX('Arroz irrigado'!$E77:$Z77,MIN(AT$6-$E$3,22))&lt;&gt;""),'Arroz irrigado'!$E77:INDEX('Arroz irrigado'!$E77:$Z77,MIN(AT$6-$E$3,22))),0))-IF($G$2,0,IF((AT$6-$G$3)&lt;1,0,IFERROR(LOOKUP(2,1/('Arroz irrigado'!$E77:INDEX('Arroz irrigado'!$E77:$Z77,MIN(AT$6-$G$3,22))&lt;&gt;""),'Arroz irrigado'!$E77:INDEX('Arroz irrigado'!$E77:$Z77,MIN(AT$6-$G$3,22))),0)))))</f>
        <v>0</v>
      </c>
      <c r="AU79" s="27" t="n">
        <f aca="false">IF(COUNT('Arroz irrigado'!$E77:$Z77)=0,0,MAX(0,IF((AU$6-$E$3)&lt;1,0,IFERROR(LOOKUP(2,1/('Arroz irrigado'!$E77:INDEX('Arroz irrigado'!$E77:$Z77,MIN(AU$6-$E$3,22))&lt;&gt;""),'Arroz irrigado'!$E77:INDEX('Arroz irrigado'!$E77:$Z77,MIN(AU$6-$E$3,22))),0))-IF($G$2,0,IF((AU$6-$G$3)&lt;1,0,IFERROR(LOOKUP(2,1/('Arroz irrigado'!$E77:INDEX('Arroz irrigado'!$E77:$Z77,MIN(AU$6-$G$3,22))&lt;&gt;""),'Arroz irrigado'!$E77:INDEX('Arroz irrigado'!$E77:$Z77,MIN(AU$6-$G$3,22))),0)))))</f>
        <v>0</v>
      </c>
      <c r="AV79" s="27" t="n">
        <f aca="false">IF(COUNT('Arroz irrigado'!$E77:$Z77)=0,0,MAX(0,IF((AV$6-$E$3)&lt;1,0,IFERROR(LOOKUP(2,1/('Arroz irrigado'!$E77:INDEX('Arroz irrigado'!$E77:$Z77,MIN(AV$6-$E$3,22))&lt;&gt;""),'Arroz irrigado'!$E77:INDEX('Arroz irrigado'!$E77:$Z77,MIN(AV$6-$E$3,22))),0))-IF($G$2,0,IF((AV$6-$G$3)&lt;1,0,IFERROR(LOOKUP(2,1/('Arroz irrigado'!$E77:INDEX('Arroz irrigado'!$E77:$Z77,MIN(AV$6-$G$3,22))&lt;&gt;""),'Arroz irrigado'!$E77:INDEX('Arroz irrigado'!$E77:$Z77,MIN(AV$6-$G$3,22))),0)))))</f>
        <v>0</v>
      </c>
      <c r="AW79" s="27" t="n">
        <f aca="false">IF(COUNT('Arroz irrigado'!$E77:$Z77)=0,0,MAX(0,IF((AW$6-$E$3)&lt;1,0,IFERROR(LOOKUP(2,1/('Arroz irrigado'!$E77:INDEX('Arroz irrigado'!$E77:$Z77,MIN(AW$6-$E$3,22))&lt;&gt;""),'Arroz irrigado'!$E77:INDEX('Arroz irrigado'!$E77:$Z77,MIN(AW$6-$E$3,22))),0))-IF($G$2,0,IF((AW$6-$G$3)&lt;1,0,IFERROR(LOOKUP(2,1/('Arroz irrigado'!$E77:INDEX('Arroz irrigado'!$E77:$Z77,MIN(AW$6-$G$3,22))&lt;&gt;""),'Arroz irrigado'!$E77:INDEX('Arroz irrigado'!$E77:$Z77,MIN(AW$6-$G$3,22))),0)))))</f>
        <v>0</v>
      </c>
      <c r="AX79" s="27" t="n">
        <f aca="false">IF(COUNT('Arroz irrigado'!$E77:$Z77)=0,0,MAX(0,IF((AX$6-$E$3)&lt;1,0,IFERROR(LOOKUP(2,1/('Arroz irrigado'!$E77:INDEX('Arroz irrigado'!$E77:$Z77,MIN(AX$6-$E$3,22))&lt;&gt;""),'Arroz irrigado'!$E77:INDEX('Arroz irrigado'!$E77:$Z77,MIN(AX$6-$E$3,22))),0))-IF($G$2,0,IF((AX$6-$G$3)&lt;1,0,IFERROR(LOOKUP(2,1/('Arroz irrigado'!$E77:INDEX('Arroz irrigado'!$E77:$Z77,MIN(AX$6-$G$3,22))&lt;&gt;""),'Arroz irrigado'!$E77:INDEX('Arroz irrigado'!$E77:$Z77,MIN(AX$6-$G$3,22))),0)))))</f>
        <v>0</v>
      </c>
      <c r="AY79" s="27" t="n">
        <f aca="false">IF(COUNT('Arroz irrigado'!$E77:$Z77)=0,0,MAX(0,IF((AY$6-$E$3)&lt;1,0,IFERROR(LOOKUP(2,1/('Arroz irrigado'!$E77:INDEX('Arroz irrigado'!$E77:$Z77,MIN(AY$6-$E$3,22))&lt;&gt;""),'Arroz irrigado'!$E77:INDEX('Arroz irrigado'!$E77:$Z77,MIN(AY$6-$E$3,22))),0))-IF($G$2,0,IF((AY$6-$G$3)&lt;1,0,IFERROR(LOOKUP(2,1/('Arroz irrigado'!$E77:INDEX('Arroz irrigado'!$E77:$Z77,MIN(AY$6-$G$3,22))&lt;&gt;""),'Arroz irrigado'!$E77:INDEX('Arroz irrigado'!$E77:$Z77,MIN(AY$6-$G$3,22))),0)))))</f>
        <v>0</v>
      </c>
      <c r="AZ79" s="27" t="n">
        <f aca="false">IF(COUNT('Arroz irrigado'!$E77:$Z77)=0,0,MAX(0,IF((AZ$6-$E$3)&lt;1,0,IFERROR(LOOKUP(2,1/('Arroz irrigado'!$E77:INDEX('Arroz irrigado'!$E77:$Z77,MIN(AZ$6-$E$3,22))&lt;&gt;""),'Arroz irrigado'!$E77:INDEX('Arroz irrigado'!$E77:$Z77,MIN(AZ$6-$E$3,22))),0))-IF($G$2,0,IF((AZ$6-$G$3)&lt;1,0,IFERROR(LOOKUP(2,1/('Arroz irrigado'!$E77:INDEX('Arroz irrigado'!$E77:$Z77,MIN(AZ$6-$G$3,22))&lt;&gt;""),'Arroz irrigado'!$E77:INDEX('Arroz irrigado'!$E77:$Z77,MIN(AZ$6-$G$3,22))),0)))))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IF(COUNT('Arroz irrigado'!$E78:$Z78)&gt;0,N('Arroz irrigado'!$D78),0)</f>
        <v>0</v>
      </c>
      <c r="E80" s="27" t="n">
        <f aca="false">IF(COUNT('Arroz irrigado'!$E78:$Z78)=0,0,MAX(0,IF((E$6-$E$3)&lt;1,0,IFERROR(LOOKUP(2,1/('Arroz irrigado'!$E78:INDEX('Arroz irrigado'!$E78:$Z78,MIN(E$6-$E$3,22))&lt;&gt;""),'Arroz irrigado'!$E78:INDEX('Arroz irrigado'!$E78:$Z78,MIN(E$6-$E$3,22))),0))-IF($G$2,0,IF((E$6-$G$3)&lt;1,0,IFERROR(LOOKUP(2,1/('Arroz irrigado'!$E78:INDEX('Arroz irrigado'!$E78:$Z78,MIN(E$6-$G$3,22))&lt;&gt;""),'Arroz irrigado'!$E78:INDEX('Arroz irrigado'!$E78:$Z78,MIN(E$6-$G$3,22))),0)))))</f>
        <v>0</v>
      </c>
      <c r="F80" s="27" t="n">
        <f aca="false">IF(COUNT('Arroz irrigado'!$E78:$Z78)=0,0,MAX(0,IF((F$6-$E$3)&lt;1,0,IFERROR(LOOKUP(2,1/('Arroz irrigado'!$E78:INDEX('Arroz irrigado'!$E78:$Z78,MIN(F$6-$E$3,22))&lt;&gt;""),'Arroz irrigado'!$E78:INDEX('Arroz irrigado'!$E78:$Z78,MIN(F$6-$E$3,22))),0))-IF($G$2,0,IF((F$6-$G$3)&lt;1,0,IFERROR(LOOKUP(2,1/('Arroz irrigado'!$E78:INDEX('Arroz irrigado'!$E78:$Z78,MIN(F$6-$G$3,22))&lt;&gt;""),'Arroz irrigado'!$E78:INDEX('Arroz irrigado'!$E78:$Z78,MIN(F$6-$G$3,22))),0)))))</f>
        <v>0</v>
      </c>
      <c r="G80" s="27" t="n">
        <f aca="false">IF(COUNT('Arroz irrigado'!$E78:$Z78)=0,0,MAX(0,IF((G$6-$E$3)&lt;1,0,IFERROR(LOOKUP(2,1/('Arroz irrigado'!$E78:INDEX('Arroz irrigado'!$E78:$Z78,MIN(G$6-$E$3,22))&lt;&gt;""),'Arroz irrigado'!$E78:INDEX('Arroz irrigado'!$E78:$Z78,MIN(G$6-$E$3,22))),0))-IF($G$2,0,IF((G$6-$G$3)&lt;1,0,IFERROR(LOOKUP(2,1/('Arroz irrigado'!$E78:INDEX('Arroz irrigado'!$E78:$Z78,MIN(G$6-$G$3,22))&lt;&gt;""),'Arroz irrigado'!$E78:INDEX('Arroz irrigado'!$E78:$Z78,MIN(G$6-$G$3,22))),0)))))</f>
        <v>0</v>
      </c>
      <c r="H80" s="27" t="n">
        <f aca="false">IF(COUNT('Arroz irrigado'!$E78:$Z78)=0,0,MAX(0,IF((H$6-$E$3)&lt;1,0,IFERROR(LOOKUP(2,1/('Arroz irrigado'!$E78:INDEX('Arroz irrigado'!$E78:$Z78,MIN(H$6-$E$3,22))&lt;&gt;""),'Arroz irrigado'!$E78:INDEX('Arroz irrigado'!$E78:$Z78,MIN(H$6-$E$3,22))),0))-IF($G$2,0,IF((H$6-$G$3)&lt;1,0,IFERROR(LOOKUP(2,1/('Arroz irrigado'!$E78:INDEX('Arroz irrigado'!$E78:$Z78,MIN(H$6-$G$3,22))&lt;&gt;""),'Arroz irrigado'!$E78:INDEX('Arroz irrigado'!$E78:$Z78,MIN(H$6-$G$3,22))),0)))))</f>
        <v>0</v>
      </c>
      <c r="I80" s="27" t="n">
        <f aca="false">IF(COUNT('Arroz irrigado'!$E78:$Z78)=0,0,MAX(0,IF((I$6-$E$3)&lt;1,0,IFERROR(LOOKUP(2,1/('Arroz irrigado'!$E78:INDEX('Arroz irrigado'!$E78:$Z78,MIN(I$6-$E$3,22))&lt;&gt;""),'Arroz irrigado'!$E78:INDEX('Arroz irrigado'!$E78:$Z78,MIN(I$6-$E$3,22))),0))-IF($G$2,0,IF((I$6-$G$3)&lt;1,0,IFERROR(LOOKUP(2,1/('Arroz irrigado'!$E78:INDEX('Arroz irrigado'!$E78:$Z78,MIN(I$6-$G$3,22))&lt;&gt;""),'Arroz irrigado'!$E78:INDEX('Arroz irrigado'!$E78:$Z78,MIN(I$6-$G$3,22))),0)))))</f>
        <v>0</v>
      </c>
      <c r="J80" s="27" t="n">
        <f aca="false">IF(COUNT('Arroz irrigado'!$E78:$Z78)=0,0,MAX(0,IF((J$6-$E$3)&lt;1,0,IFERROR(LOOKUP(2,1/('Arroz irrigado'!$E78:INDEX('Arroz irrigado'!$E78:$Z78,MIN(J$6-$E$3,22))&lt;&gt;""),'Arroz irrigado'!$E78:INDEX('Arroz irrigado'!$E78:$Z78,MIN(J$6-$E$3,22))),0))-IF($G$2,0,IF((J$6-$G$3)&lt;1,0,IFERROR(LOOKUP(2,1/('Arroz irrigado'!$E78:INDEX('Arroz irrigado'!$E78:$Z78,MIN(J$6-$G$3,22))&lt;&gt;""),'Arroz irrigado'!$E78:INDEX('Arroz irrigado'!$E78:$Z78,MIN(J$6-$G$3,22))),0)))))</f>
        <v>0</v>
      </c>
      <c r="K80" s="27" t="n">
        <f aca="false">IF(COUNT('Arroz irrigado'!$E78:$Z78)=0,0,MAX(0,IF((K$6-$E$3)&lt;1,0,IFERROR(LOOKUP(2,1/('Arroz irrigado'!$E78:INDEX('Arroz irrigado'!$E78:$Z78,MIN(K$6-$E$3,22))&lt;&gt;""),'Arroz irrigado'!$E78:INDEX('Arroz irrigado'!$E78:$Z78,MIN(K$6-$E$3,22))),0))-IF($G$2,0,IF((K$6-$G$3)&lt;1,0,IFERROR(LOOKUP(2,1/('Arroz irrigado'!$E78:INDEX('Arroz irrigado'!$E78:$Z78,MIN(K$6-$G$3,22))&lt;&gt;""),'Arroz irrigado'!$E78:INDEX('Arroz irrigado'!$E78:$Z78,MIN(K$6-$G$3,22))),0)))))</f>
        <v>0</v>
      </c>
      <c r="L80" s="27" t="n">
        <f aca="false">IF(COUNT('Arroz irrigado'!$E78:$Z78)=0,0,MAX(0,IF((L$6-$E$3)&lt;1,0,IFERROR(LOOKUP(2,1/('Arroz irrigado'!$E78:INDEX('Arroz irrigado'!$E78:$Z78,MIN(L$6-$E$3,22))&lt;&gt;""),'Arroz irrigado'!$E78:INDEX('Arroz irrigado'!$E78:$Z78,MIN(L$6-$E$3,22))),0))-IF($G$2,0,IF((L$6-$G$3)&lt;1,0,IFERROR(LOOKUP(2,1/('Arroz irrigado'!$E78:INDEX('Arroz irrigado'!$E78:$Z78,MIN(L$6-$G$3,22))&lt;&gt;""),'Arroz irrigado'!$E78:INDEX('Arroz irrigado'!$E78:$Z78,MIN(L$6-$G$3,22))),0)))))</f>
        <v>0</v>
      </c>
      <c r="M80" s="27" t="n">
        <f aca="false">IF(COUNT('Arroz irrigado'!$E78:$Z78)=0,0,MAX(0,IF((M$6-$E$3)&lt;1,0,IFERROR(LOOKUP(2,1/('Arroz irrigado'!$E78:INDEX('Arroz irrigado'!$E78:$Z78,MIN(M$6-$E$3,22))&lt;&gt;""),'Arroz irrigado'!$E78:INDEX('Arroz irrigado'!$E78:$Z78,MIN(M$6-$E$3,22))),0))-IF($G$2,0,IF((M$6-$G$3)&lt;1,0,IFERROR(LOOKUP(2,1/('Arroz irrigado'!$E78:INDEX('Arroz irrigado'!$E78:$Z78,MIN(M$6-$G$3,22))&lt;&gt;""),'Arroz irrigado'!$E78:INDEX('Arroz irrigado'!$E78:$Z78,MIN(M$6-$G$3,22))),0)))))</f>
        <v>0</v>
      </c>
      <c r="N80" s="27" t="n">
        <f aca="false">IF(COUNT('Arroz irrigado'!$E78:$Z78)=0,0,MAX(0,IF((N$6-$E$3)&lt;1,0,IFERROR(LOOKUP(2,1/('Arroz irrigado'!$E78:INDEX('Arroz irrigado'!$E78:$Z78,MIN(N$6-$E$3,22))&lt;&gt;""),'Arroz irrigado'!$E78:INDEX('Arroz irrigado'!$E78:$Z78,MIN(N$6-$E$3,22))),0))-IF($G$2,0,IF((N$6-$G$3)&lt;1,0,IFERROR(LOOKUP(2,1/('Arroz irrigado'!$E78:INDEX('Arroz irrigado'!$E78:$Z78,MIN(N$6-$G$3,22))&lt;&gt;""),'Arroz irrigado'!$E78:INDEX('Arroz irrigado'!$E78:$Z78,MIN(N$6-$G$3,22))),0)))))</f>
        <v>0</v>
      </c>
      <c r="O80" s="27" t="n">
        <f aca="false">IF(COUNT('Arroz irrigado'!$E78:$Z78)=0,0,MAX(0,IF((O$6-$E$3)&lt;1,0,IFERROR(LOOKUP(2,1/('Arroz irrigado'!$E78:INDEX('Arroz irrigado'!$E78:$Z78,MIN(O$6-$E$3,22))&lt;&gt;""),'Arroz irrigado'!$E78:INDEX('Arroz irrigado'!$E78:$Z78,MIN(O$6-$E$3,22))),0))-IF($G$2,0,IF((O$6-$G$3)&lt;1,0,IFERROR(LOOKUP(2,1/('Arroz irrigado'!$E78:INDEX('Arroz irrigado'!$E78:$Z78,MIN(O$6-$G$3,22))&lt;&gt;""),'Arroz irrigado'!$E78:INDEX('Arroz irrigado'!$E78:$Z78,MIN(O$6-$G$3,22))),0)))))</f>
        <v>0</v>
      </c>
      <c r="P80" s="27" t="n">
        <f aca="false">IF(COUNT('Arroz irrigado'!$E78:$Z78)=0,0,MAX(0,IF((P$6-$E$3)&lt;1,0,IFERROR(LOOKUP(2,1/('Arroz irrigado'!$E78:INDEX('Arroz irrigado'!$E78:$Z78,MIN(P$6-$E$3,22))&lt;&gt;""),'Arroz irrigado'!$E78:INDEX('Arroz irrigado'!$E78:$Z78,MIN(P$6-$E$3,22))),0))-IF($G$2,0,IF((P$6-$G$3)&lt;1,0,IFERROR(LOOKUP(2,1/('Arroz irrigado'!$E78:INDEX('Arroz irrigado'!$E78:$Z78,MIN(P$6-$G$3,22))&lt;&gt;""),'Arroz irrigado'!$E78:INDEX('Arroz irrigado'!$E78:$Z78,MIN(P$6-$G$3,22))),0)))))</f>
        <v>0</v>
      </c>
      <c r="Q80" s="27" t="n">
        <f aca="false">IF(COUNT('Arroz irrigado'!$E78:$Z78)=0,0,MAX(0,IF((Q$6-$E$3)&lt;1,0,IFERROR(LOOKUP(2,1/('Arroz irrigado'!$E78:INDEX('Arroz irrigado'!$E78:$Z78,MIN(Q$6-$E$3,22))&lt;&gt;""),'Arroz irrigado'!$E78:INDEX('Arroz irrigado'!$E78:$Z78,MIN(Q$6-$E$3,22))),0))-IF($G$2,0,IF((Q$6-$G$3)&lt;1,0,IFERROR(LOOKUP(2,1/('Arroz irrigado'!$E78:INDEX('Arroz irrigado'!$E78:$Z78,MIN(Q$6-$G$3,22))&lt;&gt;""),'Arroz irrigado'!$E78:INDEX('Arroz irrigado'!$E78:$Z78,MIN(Q$6-$G$3,22))),0)))))</f>
        <v>0</v>
      </c>
      <c r="R80" s="27" t="n">
        <f aca="false">IF(COUNT('Arroz irrigado'!$E78:$Z78)=0,0,MAX(0,IF((R$6-$E$3)&lt;1,0,IFERROR(LOOKUP(2,1/('Arroz irrigado'!$E78:INDEX('Arroz irrigado'!$E78:$Z78,MIN(R$6-$E$3,22))&lt;&gt;""),'Arroz irrigado'!$E78:INDEX('Arroz irrigado'!$E78:$Z78,MIN(R$6-$E$3,22))),0))-IF($G$2,0,IF((R$6-$G$3)&lt;1,0,IFERROR(LOOKUP(2,1/('Arroz irrigado'!$E78:INDEX('Arroz irrigado'!$E78:$Z78,MIN(R$6-$G$3,22))&lt;&gt;""),'Arroz irrigado'!$E78:INDEX('Arroz irrigado'!$E78:$Z78,MIN(R$6-$G$3,22))),0)))))</f>
        <v>0</v>
      </c>
      <c r="S80" s="27" t="n">
        <f aca="false">IF(COUNT('Arroz irrigado'!$E78:$Z78)=0,0,MAX(0,IF((S$6-$E$3)&lt;1,0,IFERROR(LOOKUP(2,1/('Arroz irrigado'!$E78:INDEX('Arroz irrigado'!$E78:$Z78,MIN(S$6-$E$3,22))&lt;&gt;""),'Arroz irrigado'!$E78:INDEX('Arroz irrigado'!$E78:$Z78,MIN(S$6-$E$3,22))),0))-IF($G$2,0,IF((S$6-$G$3)&lt;1,0,IFERROR(LOOKUP(2,1/('Arroz irrigado'!$E78:INDEX('Arroz irrigado'!$E78:$Z78,MIN(S$6-$G$3,22))&lt;&gt;""),'Arroz irrigado'!$E78:INDEX('Arroz irrigado'!$E78:$Z78,MIN(S$6-$G$3,22))),0)))))</f>
        <v>0</v>
      </c>
      <c r="T80" s="27" t="n">
        <f aca="false">IF(COUNT('Arroz irrigado'!$E78:$Z78)=0,0,MAX(0,IF((T$6-$E$3)&lt;1,0,IFERROR(LOOKUP(2,1/('Arroz irrigado'!$E78:INDEX('Arroz irrigado'!$E78:$Z78,MIN(T$6-$E$3,22))&lt;&gt;""),'Arroz irrigado'!$E78:INDEX('Arroz irrigado'!$E78:$Z78,MIN(T$6-$E$3,22))),0))-IF($G$2,0,IF((T$6-$G$3)&lt;1,0,IFERROR(LOOKUP(2,1/('Arroz irrigado'!$E78:INDEX('Arroz irrigado'!$E78:$Z78,MIN(T$6-$G$3,22))&lt;&gt;""),'Arroz irrigado'!$E78:INDEX('Arroz irrigado'!$E78:$Z78,MIN(T$6-$G$3,22))),0)))))</f>
        <v>0</v>
      </c>
      <c r="U80" s="27" t="n">
        <f aca="false">IF(COUNT('Arroz irrigado'!$E78:$Z78)=0,0,MAX(0,IF((U$6-$E$3)&lt;1,0,IFERROR(LOOKUP(2,1/('Arroz irrigado'!$E78:INDEX('Arroz irrigado'!$E78:$Z78,MIN(U$6-$E$3,22))&lt;&gt;""),'Arroz irrigado'!$E78:INDEX('Arroz irrigado'!$E78:$Z78,MIN(U$6-$E$3,22))),0))-IF($G$2,0,IF((U$6-$G$3)&lt;1,0,IFERROR(LOOKUP(2,1/('Arroz irrigado'!$E78:INDEX('Arroz irrigado'!$E78:$Z78,MIN(U$6-$G$3,22))&lt;&gt;""),'Arroz irrigado'!$E78:INDEX('Arroz irrigado'!$E78:$Z78,MIN(U$6-$G$3,22))),0)))))</f>
        <v>0</v>
      </c>
      <c r="V80" s="27" t="n">
        <f aca="false">IF(COUNT('Arroz irrigado'!$E78:$Z78)=0,0,MAX(0,IF((V$6-$E$3)&lt;1,0,IFERROR(LOOKUP(2,1/('Arroz irrigado'!$E78:INDEX('Arroz irrigado'!$E78:$Z78,MIN(V$6-$E$3,22))&lt;&gt;""),'Arroz irrigado'!$E78:INDEX('Arroz irrigado'!$E78:$Z78,MIN(V$6-$E$3,22))),0))-IF($G$2,0,IF((V$6-$G$3)&lt;1,0,IFERROR(LOOKUP(2,1/('Arroz irrigado'!$E78:INDEX('Arroz irrigado'!$E78:$Z78,MIN(V$6-$G$3,22))&lt;&gt;""),'Arroz irrigado'!$E78:INDEX('Arroz irrigado'!$E78:$Z78,MIN(V$6-$G$3,22))),0)))))</f>
        <v>0</v>
      </c>
      <c r="W80" s="27" t="n">
        <f aca="false">IF(COUNT('Arroz irrigado'!$E78:$Z78)=0,0,MAX(0,IF((W$6-$E$3)&lt;1,0,IFERROR(LOOKUP(2,1/('Arroz irrigado'!$E78:INDEX('Arroz irrigado'!$E78:$Z78,MIN(W$6-$E$3,22))&lt;&gt;""),'Arroz irrigado'!$E78:INDEX('Arroz irrigado'!$E78:$Z78,MIN(W$6-$E$3,22))),0))-IF($G$2,0,IF((W$6-$G$3)&lt;1,0,IFERROR(LOOKUP(2,1/('Arroz irrigado'!$E78:INDEX('Arroz irrigado'!$E78:$Z78,MIN(W$6-$G$3,22))&lt;&gt;""),'Arroz irrigado'!$E78:INDEX('Arroz irrigado'!$E78:$Z78,MIN(W$6-$G$3,22))),0)))))</f>
        <v>0</v>
      </c>
      <c r="X80" s="27" t="n">
        <f aca="false">IF(COUNT('Arroz irrigado'!$E78:$Z78)=0,0,MAX(0,IF((X$6-$E$3)&lt;1,0,IFERROR(LOOKUP(2,1/('Arroz irrigado'!$E78:INDEX('Arroz irrigado'!$E78:$Z78,MIN(X$6-$E$3,22))&lt;&gt;""),'Arroz irrigado'!$E78:INDEX('Arroz irrigado'!$E78:$Z78,MIN(X$6-$E$3,22))),0))-IF($G$2,0,IF((X$6-$G$3)&lt;1,0,IFERROR(LOOKUP(2,1/('Arroz irrigado'!$E78:INDEX('Arroz irrigado'!$E78:$Z78,MIN(X$6-$G$3,22))&lt;&gt;""),'Arroz irrigado'!$E78:INDEX('Arroz irrigado'!$E78:$Z78,MIN(X$6-$G$3,22))),0)))))</f>
        <v>0</v>
      </c>
      <c r="Y80" s="27" t="n">
        <f aca="false">IF(COUNT('Arroz irrigado'!$E78:$Z78)=0,0,MAX(0,IF((Y$6-$E$3)&lt;1,0,IFERROR(LOOKUP(2,1/('Arroz irrigado'!$E78:INDEX('Arroz irrigado'!$E78:$Z78,MIN(Y$6-$E$3,22))&lt;&gt;""),'Arroz irrigado'!$E78:INDEX('Arroz irrigado'!$E78:$Z78,MIN(Y$6-$E$3,22))),0))-IF($G$2,0,IF((Y$6-$G$3)&lt;1,0,IFERROR(LOOKUP(2,1/('Arroz irrigado'!$E78:INDEX('Arroz irrigado'!$E78:$Z78,MIN(Y$6-$G$3,22))&lt;&gt;""),'Arroz irrigado'!$E78:INDEX('Arroz irrigado'!$E78:$Z78,MIN(Y$6-$G$3,22))),0)))))</f>
        <v>0</v>
      </c>
      <c r="Z80" s="27" t="n">
        <f aca="false">IF(COUNT('Arroz irrigado'!$E78:$Z78)=0,0,MAX(0,IF((Z$6-$E$3)&lt;1,0,IFERROR(LOOKUP(2,1/('Arroz irrigado'!$E78:INDEX('Arroz irrigado'!$E78:$Z78,MIN(Z$6-$E$3,22))&lt;&gt;""),'Arroz irrigado'!$E78:INDEX('Arroz irrigado'!$E78:$Z78,MIN(Z$6-$E$3,22))),0))-IF($G$2,0,IF((Z$6-$G$3)&lt;1,0,IFERROR(LOOKUP(2,1/('Arroz irrigado'!$E78:INDEX('Arroz irrigado'!$E78:$Z78,MIN(Z$6-$G$3,22))&lt;&gt;""),'Arroz irrigado'!$E78:INDEX('Arroz irrigado'!$E78:$Z78,MIN(Z$6-$G$3,22))),0)))))</f>
        <v>0</v>
      </c>
      <c r="AA80" s="27" t="n">
        <f aca="false">IF(COUNT('Arroz irrigado'!$E78:$Z78)=0,0,MAX(0,IF((AA$6-$E$3)&lt;1,0,IFERROR(LOOKUP(2,1/('Arroz irrigado'!$E78:INDEX('Arroz irrigado'!$E78:$Z78,MIN(AA$6-$E$3,22))&lt;&gt;""),'Arroz irrigado'!$E78:INDEX('Arroz irrigado'!$E78:$Z78,MIN(AA$6-$E$3,22))),0))-IF($G$2,0,IF((AA$6-$G$3)&lt;1,0,IFERROR(LOOKUP(2,1/('Arroz irrigado'!$E78:INDEX('Arroz irrigado'!$E78:$Z78,MIN(AA$6-$G$3,22))&lt;&gt;""),'Arroz irrigado'!$E78:INDEX('Arroz irrigado'!$E78:$Z78,MIN(AA$6-$G$3,22))),0)))))</f>
        <v>0</v>
      </c>
      <c r="AB80" s="27" t="n">
        <f aca="false">IF(COUNT('Arroz irrigado'!$E78:$Z78)=0,0,MAX(0,IF((AB$6-$E$3)&lt;1,0,IFERROR(LOOKUP(2,1/('Arroz irrigado'!$E78:INDEX('Arroz irrigado'!$E78:$Z78,MIN(AB$6-$E$3,22))&lt;&gt;""),'Arroz irrigado'!$E78:INDEX('Arroz irrigado'!$E78:$Z78,MIN(AB$6-$E$3,22))),0))-IF($G$2,0,IF((AB$6-$G$3)&lt;1,0,IFERROR(LOOKUP(2,1/('Arroz irrigado'!$E78:INDEX('Arroz irrigado'!$E78:$Z78,MIN(AB$6-$G$3,22))&lt;&gt;""),'Arroz irrigado'!$E78:INDEX('Arroz irrigado'!$E78:$Z78,MIN(AB$6-$G$3,22))),0)))))</f>
        <v>0</v>
      </c>
      <c r="AC80" s="27" t="n">
        <f aca="false">IF(COUNT('Arroz irrigado'!$E78:$Z78)=0,0,MAX(0,IF((AC$6-$E$3)&lt;1,0,IFERROR(LOOKUP(2,1/('Arroz irrigado'!$E78:INDEX('Arroz irrigado'!$E78:$Z78,MIN(AC$6-$E$3,22))&lt;&gt;""),'Arroz irrigado'!$E78:INDEX('Arroz irrigado'!$E78:$Z78,MIN(AC$6-$E$3,22))),0))-IF($G$2,0,IF((AC$6-$G$3)&lt;1,0,IFERROR(LOOKUP(2,1/('Arroz irrigado'!$E78:INDEX('Arroz irrigado'!$E78:$Z78,MIN(AC$6-$G$3,22))&lt;&gt;""),'Arroz irrigado'!$E78:INDEX('Arroz irrigado'!$E78:$Z78,MIN(AC$6-$G$3,22))),0)))))</f>
        <v>0</v>
      </c>
      <c r="AD80" s="27" t="n">
        <f aca="false">IF(COUNT('Arroz irrigado'!$E78:$Z78)=0,0,MAX(0,IF((AD$6-$E$3)&lt;1,0,IFERROR(LOOKUP(2,1/('Arroz irrigado'!$E78:INDEX('Arroz irrigado'!$E78:$Z78,MIN(AD$6-$E$3,22))&lt;&gt;""),'Arroz irrigado'!$E78:INDEX('Arroz irrigado'!$E78:$Z78,MIN(AD$6-$E$3,22))),0))-IF($G$2,0,IF((AD$6-$G$3)&lt;1,0,IFERROR(LOOKUP(2,1/('Arroz irrigado'!$E78:INDEX('Arroz irrigado'!$E78:$Z78,MIN(AD$6-$G$3,22))&lt;&gt;""),'Arroz irrigado'!$E78:INDEX('Arroz irrigado'!$E78:$Z78,MIN(AD$6-$G$3,22))),0)))))</f>
        <v>0</v>
      </c>
      <c r="AE80" s="27" t="n">
        <f aca="false">IF(COUNT('Arroz irrigado'!$E78:$Z78)=0,0,MAX(0,IF((AE$6-$E$3)&lt;1,0,IFERROR(LOOKUP(2,1/('Arroz irrigado'!$E78:INDEX('Arroz irrigado'!$E78:$Z78,MIN(AE$6-$E$3,22))&lt;&gt;""),'Arroz irrigado'!$E78:INDEX('Arroz irrigado'!$E78:$Z78,MIN(AE$6-$E$3,22))),0))-IF($G$2,0,IF((AE$6-$G$3)&lt;1,0,IFERROR(LOOKUP(2,1/('Arroz irrigado'!$E78:INDEX('Arroz irrigado'!$E78:$Z78,MIN(AE$6-$G$3,22))&lt;&gt;""),'Arroz irrigado'!$E78:INDEX('Arroz irrigado'!$E78:$Z78,MIN(AE$6-$G$3,22))),0)))))</f>
        <v>0</v>
      </c>
      <c r="AF80" s="27" t="n">
        <f aca="false">IF(COUNT('Arroz irrigado'!$E78:$Z78)=0,0,MAX(0,IF((AF$6-$E$3)&lt;1,0,IFERROR(LOOKUP(2,1/('Arroz irrigado'!$E78:INDEX('Arroz irrigado'!$E78:$Z78,MIN(AF$6-$E$3,22))&lt;&gt;""),'Arroz irrigado'!$E78:INDEX('Arroz irrigado'!$E78:$Z78,MIN(AF$6-$E$3,22))),0))-IF($G$2,0,IF((AF$6-$G$3)&lt;1,0,IFERROR(LOOKUP(2,1/('Arroz irrigado'!$E78:INDEX('Arroz irrigado'!$E78:$Z78,MIN(AF$6-$G$3,22))&lt;&gt;""),'Arroz irrigado'!$E78:INDEX('Arroz irrigado'!$E78:$Z78,MIN(AF$6-$G$3,22))),0)))))</f>
        <v>0</v>
      </c>
      <c r="AG80" s="27" t="n">
        <f aca="false">IF(COUNT('Arroz irrigado'!$E78:$Z78)=0,0,MAX(0,IF((AG$6-$E$3)&lt;1,0,IFERROR(LOOKUP(2,1/('Arroz irrigado'!$E78:INDEX('Arroz irrigado'!$E78:$Z78,MIN(AG$6-$E$3,22))&lt;&gt;""),'Arroz irrigado'!$E78:INDEX('Arroz irrigado'!$E78:$Z78,MIN(AG$6-$E$3,22))),0))-IF($G$2,0,IF((AG$6-$G$3)&lt;1,0,IFERROR(LOOKUP(2,1/('Arroz irrigado'!$E78:INDEX('Arroz irrigado'!$E78:$Z78,MIN(AG$6-$G$3,22))&lt;&gt;""),'Arroz irrigado'!$E78:INDEX('Arroz irrigado'!$E78:$Z78,MIN(AG$6-$G$3,22))),0)))))</f>
        <v>0</v>
      </c>
      <c r="AH80" s="27" t="n">
        <f aca="false">IF(COUNT('Arroz irrigado'!$E78:$Z78)=0,0,MAX(0,IF((AH$6-$E$3)&lt;1,0,IFERROR(LOOKUP(2,1/('Arroz irrigado'!$E78:INDEX('Arroz irrigado'!$E78:$Z78,MIN(AH$6-$E$3,22))&lt;&gt;""),'Arroz irrigado'!$E78:INDEX('Arroz irrigado'!$E78:$Z78,MIN(AH$6-$E$3,22))),0))-IF($G$2,0,IF((AH$6-$G$3)&lt;1,0,IFERROR(LOOKUP(2,1/('Arroz irrigado'!$E78:INDEX('Arroz irrigado'!$E78:$Z78,MIN(AH$6-$G$3,22))&lt;&gt;""),'Arroz irrigado'!$E78:INDEX('Arroz irrigado'!$E78:$Z78,MIN(AH$6-$G$3,22))),0)))))</f>
        <v>0</v>
      </c>
      <c r="AI80" s="27" t="n">
        <f aca="false">IF(COUNT('Arroz irrigado'!$E78:$Z78)=0,0,MAX(0,IF((AI$6-$E$3)&lt;1,0,IFERROR(LOOKUP(2,1/('Arroz irrigado'!$E78:INDEX('Arroz irrigado'!$E78:$Z78,MIN(AI$6-$E$3,22))&lt;&gt;""),'Arroz irrigado'!$E78:INDEX('Arroz irrigado'!$E78:$Z78,MIN(AI$6-$E$3,22))),0))-IF($G$2,0,IF((AI$6-$G$3)&lt;1,0,IFERROR(LOOKUP(2,1/('Arroz irrigado'!$E78:INDEX('Arroz irrigado'!$E78:$Z78,MIN(AI$6-$G$3,22))&lt;&gt;""),'Arroz irrigado'!$E78:INDEX('Arroz irrigado'!$E78:$Z78,MIN(AI$6-$G$3,22))),0)))))</f>
        <v>0</v>
      </c>
      <c r="AJ80" s="27" t="n">
        <f aca="false">IF(COUNT('Arroz irrigado'!$E78:$Z78)=0,0,MAX(0,IF((AJ$6-$E$3)&lt;1,0,IFERROR(LOOKUP(2,1/('Arroz irrigado'!$E78:INDEX('Arroz irrigado'!$E78:$Z78,MIN(AJ$6-$E$3,22))&lt;&gt;""),'Arroz irrigado'!$E78:INDEX('Arroz irrigado'!$E78:$Z78,MIN(AJ$6-$E$3,22))),0))-IF($G$2,0,IF((AJ$6-$G$3)&lt;1,0,IFERROR(LOOKUP(2,1/('Arroz irrigado'!$E78:INDEX('Arroz irrigado'!$E78:$Z78,MIN(AJ$6-$G$3,22))&lt;&gt;""),'Arroz irrigado'!$E78:INDEX('Arroz irrigado'!$E78:$Z78,MIN(AJ$6-$G$3,22))),0)))))</f>
        <v>0</v>
      </c>
      <c r="AK80" s="27" t="n">
        <f aca="false">IF(COUNT('Arroz irrigado'!$E78:$Z78)=0,0,MAX(0,IF((AK$6-$E$3)&lt;1,0,IFERROR(LOOKUP(2,1/('Arroz irrigado'!$E78:INDEX('Arroz irrigado'!$E78:$Z78,MIN(AK$6-$E$3,22))&lt;&gt;""),'Arroz irrigado'!$E78:INDEX('Arroz irrigado'!$E78:$Z78,MIN(AK$6-$E$3,22))),0))-IF($G$2,0,IF((AK$6-$G$3)&lt;1,0,IFERROR(LOOKUP(2,1/('Arroz irrigado'!$E78:INDEX('Arroz irrigado'!$E78:$Z78,MIN(AK$6-$G$3,22))&lt;&gt;""),'Arroz irrigado'!$E78:INDEX('Arroz irrigado'!$E78:$Z78,MIN(AK$6-$G$3,22))),0)))))</f>
        <v>0</v>
      </c>
      <c r="AL80" s="27" t="n">
        <f aca="false">IF(COUNT('Arroz irrigado'!$E78:$Z78)=0,0,MAX(0,IF((AL$6-$E$3)&lt;1,0,IFERROR(LOOKUP(2,1/('Arroz irrigado'!$E78:INDEX('Arroz irrigado'!$E78:$Z78,MIN(AL$6-$E$3,22))&lt;&gt;""),'Arroz irrigado'!$E78:INDEX('Arroz irrigado'!$E78:$Z78,MIN(AL$6-$E$3,22))),0))-IF($G$2,0,IF((AL$6-$G$3)&lt;1,0,IFERROR(LOOKUP(2,1/('Arroz irrigado'!$E78:INDEX('Arroz irrigado'!$E78:$Z78,MIN(AL$6-$G$3,22))&lt;&gt;""),'Arroz irrigado'!$E78:INDEX('Arroz irrigado'!$E78:$Z78,MIN(AL$6-$G$3,22))),0)))))</f>
        <v>0</v>
      </c>
      <c r="AM80" s="27" t="n">
        <f aca="false">IF(COUNT('Arroz irrigado'!$E78:$Z78)=0,0,MAX(0,IF((AM$6-$E$3)&lt;1,0,IFERROR(LOOKUP(2,1/('Arroz irrigado'!$E78:INDEX('Arroz irrigado'!$E78:$Z78,MIN(AM$6-$E$3,22))&lt;&gt;""),'Arroz irrigado'!$E78:INDEX('Arroz irrigado'!$E78:$Z78,MIN(AM$6-$E$3,22))),0))-IF($G$2,0,IF((AM$6-$G$3)&lt;1,0,IFERROR(LOOKUP(2,1/('Arroz irrigado'!$E78:INDEX('Arroz irrigado'!$E78:$Z78,MIN(AM$6-$G$3,22))&lt;&gt;""),'Arroz irrigado'!$E78:INDEX('Arroz irrigado'!$E78:$Z78,MIN(AM$6-$G$3,22))),0)))))</f>
        <v>0</v>
      </c>
      <c r="AN80" s="27" t="n">
        <f aca="false">IF(COUNT('Arroz irrigado'!$E78:$Z78)=0,0,MAX(0,IF((AN$6-$E$3)&lt;1,0,IFERROR(LOOKUP(2,1/('Arroz irrigado'!$E78:INDEX('Arroz irrigado'!$E78:$Z78,MIN(AN$6-$E$3,22))&lt;&gt;""),'Arroz irrigado'!$E78:INDEX('Arroz irrigado'!$E78:$Z78,MIN(AN$6-$E$3,22))),0))-IF($G$2,0,IF((AN$6-$G$3)&lt;1,0,IFERROR(LOOKUP(2,1/('Arroz irrigado'!$E78:INDEX('Arroz irrigado'!$E78:$Z78,MIN(AN$6-$G$3,22))&lt;&gt;""),'Arroz irrigado'!$E78:INDEX('Arroz irrigado'!$E78:$Z78,MIN(AN$6-$G$3,22))),0)))))</f>
        <v>0</v>
      </c>
      <c r="AO80" s="27" t="n">
        <f aca="false">IF(COUNT('Arroz irrigado'!$E78:$Z78)=0,0,MAX(0,IF((AO$6-$E$3)&lt;1,0,IFERROR(LOOKUP(2,1/('Arroz irrigado'!$E78:INDEX('Arroz irrigado'!$E78:$Z78,MIN(AO$6-$E$3,22))&lt;&gt;""),'Arroz irrigado'!$E78:INDEX('Arroz irrigado'!$E78:$Z78,MIN(AO$6-$E$3,22))),0))-IF($G$2,0,IF((AO$6-$G$3)&lt;1,0,IFERROR(LOOKUP(2,1/('Arroz irrigado'!$E78:INDEX('Arroz irrigado'!$E78:$Z78,MIN(AO$6-$G$3,22))&lt;&gt;""),'Arroz irrigado'!$E78:INDEX('Arroz irrigado'!$E78:$Z78,MIN(AO$6-$G$3,22))),0)))))</f>
        <v>0</v>
      </c>
      <c r="AP80" s="27" t="n">
        <f aca="false">IF(COUNT('Arroz irrigado'!$E78:$Z78)=0,0,MAX(0,IF((AP$6-$E$3)&lt;1,0,IFERROR(LOOKUP(2,1/('Arroz irrigado'!$E78:INDEX('Arroz irrigado'!$E78:$Z78,MIN(AP$6-$E$3,22))&lt;&gt;""),'Arroz irrigado'!$E78:INDEX('Arroz irrigado'!$E78:$Z78,MIN(AP$6-$E$3,22))),0))-IF($G$2,0,IF((AP$6-$G$3)&lt;1,0,IFERROR(LOOKUP(2,1/('Arroz irrigado'!$E78:INDEX('Arroz irrigado'!$E78:$Z78,MIN(AP$6-$G$3,22))&lt;&gt;""),'Arroz irrigado'!$E78:INDEX('Arroz irrigado'!$E78:$Z78,MIN(AP$6-$G$3,22))),0)))))</f>
        <v>0</v>
      </c>
      <c r="AQ80" s="27" t="n">
        <f aca="false">IF(COUNT('Arroz irrigado'!$E78:$Z78)=0,0,MAX(0,IF((AQ$6-$E$3)&lt;1,0,IFERROR(LOOKUP(2,1/('Arroz irrigado'!$E78:INDEX('Arroz irrigado'!$E78:$Z78,MIN(AQ$6-$E$3,22))&lt;&gt;""),'Arroz irrigado'!$E78:INDEX('Arroz irrigado'!$E78:$Z78,MIN(AQ$6-$E$3,22))),0))-IF($G$2,0,IF((AQ$6-$G$3)&lt;1,0,IFERROR(LOOKUP(2,1/('Arroz irrigado'!$E78:INDEX('Arroz irrigado'!$E78:$Z78,MIN(AQ$6-$G$3,22))&lt;&gt;""),'Arroz irrigado'!$E78:INDEX('Arroz irrigado'!$E78:$Z78,MIN(AQ$6-$G$3,22))),0)))))</f>
        <v>0</v>
      </c>
      <c r="AR80" s="27" t="n">
        <f aca="false">IF(COUNT('Arroz irrigado'!$E78:$Z78)=0,0,MAX(0,IF((AR$6-$E$3)&lt;1,0,IFERROR(LOOKUP(2,1/('Arroz irrigado'!$E78:INDEX('Arroz irrigado'!$E78:$Z78,MIN(AR$6-$E$3,22))&lt;&gt;""),'Arroz irrigado'!$E78:INDEX('Arroz irrigado'!$E78:$Z78,MIN(AR$6-$E$3,22))),0))-IF($G$2,0,IF((AR$6-$G$3)&lt;1,0,IFERROR(LOOKUP(2,1/('Arroz irrigado'!$E78:INDEX('Arroz irrigado'!$E78:$Z78,MIN(AR$6-$G$3,22))&lt;&gt;""),'Arroz irrigado'!$E78:INDEX('Arroz irrigado'!$E78:$Z78,MIN(AR$6-$G$3,22))),0)))))</f>
        <v>0</v>
      </c>
      <c r="AS80" s="27" t="n">
        <f aca="false">IF(COUNT('Arroz irrigado'!$E78:$Z78)=0,0,MAX(0,IF((AS$6-$E$3)&lt;1,0,IFERROR(LOOKUP(2,1/('Arroz irrigado'!$E78:INDEX('Arroz irrigado'!$E78:$Z78,MIN(AS$6-$E$3,22))&lt;&gt;""),'Arroz irrigado'!$E78:INDEX('Arroz irrigado'!$E78:$Z78,MIN(AS$6-$E$3,22))),0))-IF($G$2,0,IF((AS$6-$G$3)&lt;1,0,IFERROR(LOOKUP(2,1/('Arroz irrigado'!$E78:INDEX('Arroz irrigado'!$E78:$Z78,MIN(AS$6-$G$3,22))&lt;&gt;""),'Arroz irrigado'!$E78:INDEX('Arroz irrigado'!$E78:$Z78,MIN(AS$6-$G$3,22))),0)))))</f>
        <v>0</v>
      </c>
      <c r="AT80" s="27" t="n">
        <f aca="false">IF(COUNT('Arroz irrigado'!$E78:$Z78)=0,0,MAX(0,IF((AT$6-$E$3)&lt;1,0,IFERROR(LOOKUP(2,1/('Arroz irrigado'!$E78:INDEX('Arroz irrigado'!$E78:$Z78,MIN(AT$6-$E$3,22))&lt;&gt;""),'Arroz irrigado'!$E78:INDEX('Arroz irrigado'!$E78:$Z78,MIN(AT$6-$E$3,22))),0))-IF($G$2,0,IF((AT$6-$G$3)&lt;1,0,IFERROR(LOOKUP(2,1/('Arroz irrigado'!$E78:INDEX('Arroz irrigado'!$E78:$Z78,MIN(AT$6-$G$3,22))&lt;&gt;""),'Arroz irrigado'!$E78:INDEX('Arroz irrigado'!$E78:$Z78,MIN(AT$6-$G$3,22))),0)))))</f>
        <v>0</v>
      </c>
      <c r="AU80" s="27" t="n">
        <f aca="false">IF(COUNT('Arroz irrigado'!$E78:$Z78)=0,0,MAX(0,IF((AU$6-$E$3)&lt;1,0,IFERROR(LOOKUP(2,1/('Arroz irrigado'!$E78:INDEX('Arroz irrigado'!$E78:$Z78,MIN(AU$6-$E$3,22))&lt;&gt;""),'Arroz irrigado'!$E78:INDEX('Arroz irrigado'!$E78:$Z78,MIN(AU$6-$E$3,22))),0))-IF($G$2,0,IF((AU$6-$G$3)&lt;1,0,IFERROR(LOOKUP(2,1/('Arroz irrigado'!$E78:INDEX('Arroz irrigado'!$E78:$Z78,MIN(AU$6-$G$3,22))&lt;&gt;""),'Arroz irrigado'!$E78:INDEX('Arroz irrigado'!$E78:$Z78,MIN(AU$6-$G$3,22))),0)))))</f>
        <v>0</v>
      </c>
      <c r="AV80" s="27" t="n">
        <f aca="false">IF(COUNT('Arroz irrigado'!$E78:$Z78)=0,0,MAX(0,IF((AV$6-$E$3)&lt;1,0,IFERROR(LOOKUP(2,1/('Arroz irrigado'!$E78:INDEX('Arroz irrigado'!$E78:$Z78,MIN(AV$6-$E$3,22))&lt;&gt;""),'Arroz irrigado'!$E78:INDEX('Arroz irrigado'!$E78:$Z78,MIN(AV$6-$E$3,22))),0))-IF($G$2,0,IF((AV$6-$G$3)&lt;1,0,IFERROR(LOOKUP(2,1/('Arroz irrigado'!$E78:INDEX('Arroz irrigado'!$E78:$Z78,MIN(AV$6-$G$3,22))&lt;&gt;""),'Arroz irrigado'!$E78:INDEX('Arroz irrigado'!$E78:$Z78,MIN(AV$6-$G$3,22))),0)))))</f>
        <v>0</v>
      </c>
      <c r="AW80" s="27" t="n">
        <f aca="false">IF(COUNT('Arroz irrigado'!$E78:$Z78)=0,0,MAX(0,IF((AW$6-$E$3)&lt;1,0,IFERROR(LOOKUP(2,1/('Arroz irrigado'!$E78:INDEX('Arroz irrigado'!$E78:$Z78,MIN(AW$6-$E$3,22))&lt;&gt;""),'Arroz irrigado'!$E78:INDEX('Arroz irrigado'!$E78:$Z78,MIN(AW$6-$E$3,22))),0))-IF($G$2,0,IF((AW$6-$G$3)&lt;1,0,IFERROR(LOOKUP(2,1/('Arroz irrigado'!$E78:INDEX('Arroz irrigado'!$E78:$Z78,MIN(AW$6-$G$3,22))&lt;&gt;""),'Arroz irrigado'!$E78:INDEX('Arroz irrigado'!$E78:$Z78,MIN(AW$6-$G$3,22))),0)))))</f>
        <v>0</v>
      </c>
      <c r="AX80" s="27" t="n">
        <f aca="false">IF(COUNT('Arroz irrigado'!$E78:$Z78)=0,0,MAX(0,IF((AX$6-$E$3)&lt;1,0,IFERROR(LOOKUP(2,1/('Arroz irrigado'!$E78:INDEX('Arroz irrigado'!$E78:$Z78,MIN(AX$6-$E$3,22))&lt;&gt;""),'Arroz irrigado'!$E78:INDEX('Arroz irrigado'!$E78:$Z78,MIN(AX$6-$E$3,22))),0))-IF($G$2,0,IF((AX$6-$G$3)&lt;1,0,IFERROR(LOOKUP(2,1/('Arroz irrigado'!$E78:INDEX('Arroz irrigado'!$E78:$Z78,MIN(AX$6-$G$3,22))&lt;&gt;""),'Arroz irrigado'!$E78:INDEX('Arroz irrigado'!$E78:$Z78,MIN(AX$6-$G$3,22))),0)))))</f>
        <v>0</v>
      </c>
      <c r="AY80" s="27" t="n">
        <f aca="false">IF(COUNT('Arroz irrigado'!$E78:$Z78)=0,0,MAX(0,IF((AY$6-$E$3)&lt;1,0,IFERROR(LOOKUP(2,1/('Arroz irrigado'!$E78:INDEX('Arroz irrigado'!$E78:$Z78,MIN(AY$6-$E$3,22))&lt;&gt;""),'Arroz irrigado'!$E78:INDEX('Arroz irrigado'!$E78:$Z78,MIN(AY$6-$E$3,22))),0))-IF($G$2,0,IF((AY$6-$G$3)&lt;1,0,IFERROR(LOOKUP(2,1/('Arroz irrigado'!$E78:INDEX('Arroz irrigado'!$E78:$Z78,MIN(AY$6-$G$3,22))&lt;&gt;""),'Arroz irrigado'!$E78:INDEX('Arroz irrigado'!$E78:$Z78,MIN(AY$6-$G$3,22))),0)))))</f>
        <v>0</v>
      </c>
      <c r="AZ80" s="27" t="n">
        <f aca="false">IF(COUNT('Arroz irrigado'!$E78:$Z78)=0,0,MAX(0,IF((AZ$6-$E$3)&lt;1,0,IFERROR(LOOKUP(2,1/('Arroz irrigado'!$E78:INDEX('Arroz irrigado'!$E78:$Z78,MIN(AZ$6-$E$3,22))&lt;&gt;""),'Arroz irrigado'!$E78:INDEX('Arroz irrigado'!$E78:$Z78,MIN(AZ$6-$E$3,22))),0))-IF($G$2,0,IF((AZ$6-$G$3)&lt;1,0,IFERROR(LOOKUP(2,1/('Arroz irrigado'!$E78:INDEX('Arroz irrigado'!$E78:$Z78,MIN(AZ$6-$G$3,22))&lt;&gt;""),'Arroz irrigado'!$E78:INDEX('Arroz irrigado'!$E78:$Z78,MIN(AZ$6-$G$3,22))),0)))))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IF(COUNT('Arroz irrigado'!$E79:$Z79)&gt;0,N('Arroz irrigado'!$D79),0)</f>
        <v>0</v>
      </c>
      <c r="E81" s="27" t="n">
        <f aca="false">IF(COUNT('Arroz irrigado'!$E79:$Z79)=0,0,MAX(0,IF((E$6-$E$3)&lt;1,0,IFERROR(LOOKUP(2,1/('Arroz irrigado'!$E79:INDEX('Arroz irrigado'!$E79:$Z79,MIN(E$6-$E$3,22))&lt;&gt;""),'Arroz irrigado'!$E79:INDEX('Arroz irrigado'!$E79:$Z79,MIN(E$6-$E$3,22))),0))-IF($G$2,0,IF((E$6-$G$3)&lt;1,0,IFERROR(LOOKUP(2,1/('Arroz irrigado'!$E79:INDEX('Arroz irrigado'!$E79:$Z79,MIN(E$6-$G$3,22))&lt;&gt;""),'Arroz irrigado'!$E79:INDEX('Arroz irrigado'!$E79:$Z79,MIN(E$6-$G$3,22))),0)))))</f>
        <v>0</v>
      </c>
      <c r="F81" s="27" t="n">
        <f aca="false">IF(COUNT('Arroz irrigado'!$E79:$Z79)=0,0,MAX(0,IF((F$6-$E$3)&lt;1,0,IFERROR(LOOKUP(2,1/('Arroz irrigado'!$E79:INDEX('Arroz irrigado'!$E79:$Z79,MIN(F$6-$E$3,22))&lt;&gt;""),'Arroz irrigado'!$E79:INDEX('Arroz irrigado'!$E79:$Z79,MIN(F$6-$E$3,22))),0))-IF($G$2,0,IF((F$6-$G$3)&lt;1,0,IFERROR(LOOKUP(2,1/('Arroz irrigado'!$E79:INDEX('Arroz irrigado'!$E79:$Z79,MIN(F$6-$G$3,22))&lt;&gt;""),'Arroz irrigado'!$E79:INDEX('Arroz irrigado'!$E79:$Z79,MIN(F$6-$G$3,22))),0)))))</f>
        <v>0</v>
      </c>
      <c r="G81" s="27" t="n">
        <f aca="false">IF(COUNT('Arroz irrigado'!$E79:$Z79)=0,0,MAX(0,IF((G$6-$E$3)&lt;1,0,IFERROR(LOOKUP(2,1/('Arroz irrigado'!$E79:INDEX('Arroz irrigado'!$E79:$Z79,MIN(G$6-$E$3,22))&lt;&gt;""),'Arroz irrigado'!$E79:INDEX('Arroz irrigado'!$E79:$Z79,MIN(G$6-$E$3,22))),0))-IF($G$2,0,IF((G$6-$G$3)&lt;1,0,IFERROR(LOOKUP(2,1/('Arroz irrigado'!$E79:INDEX('Arroz irrigado'!$E79:$Z79,MIN(G$6-$G$3,22))&lt;&gt;""),'Arroz irrigado'!$E79:INDEX('Arroz irrigado'!$E79:$Z79,MIN(G$6-$G$3,22))),0)))))</f>
        <v>0</v>
      </c>
      <c r="H81" s="27" t="n">
        <f aca="false">IF(COUNT('Arroz irrigado'!$E79:$Z79)=0,0,MAX(0,IF((H$6-$E$3)&lt;1,0,IFERROR(LOOKUP(2,1/('Arroz irrigado'!$E79:INDEX('Arroz irrigado'!$E79:$Z79,MIN(H$6-$E$3,22))&lt;&gt;""),'Arroz irrigado'!$E79:INDEX('Arroz irrigado'!$E79:$Z79,MIN(H$6-$E$3,22))),0))-IF($G$2,0,IF((H$6-$G$3)&lt;1,0,IFERROR(LOOKUP(2,1/('Arroz irrigado'!$E79:INDEX('Arroz irrigado'!$E79:$Z79,MIN(H$6-$G$3,22))&lt;&gt;""),'Arroz irrigado'!$E79:INDEX('Arroz irrigado'!$E79:$Z79,MIN(H$6-$G$3,22))),0)))))</f>
        <v>0</v>
      </c>
      <c r="I81" s="27" t="n">
        <f aca="false">IF(COUNT('Arroz irrigado'!$E79:$Z79)=0,0,MAX(0,IF((I$6-$E$3)&lt;1,0,IFERROR(LOOKUP(2,1/('Arroz irrigado'!$E79:INDEX('Arroz irrigado'!$E79:$Z79,MIN(I$6-$E$3,22))&lt;&gt;""),'Arroz irrigado'!$E79:INDEX('Arroz irrigado'!$E79:$Z79,MIN(I$6-$E$3,22))),0))-IF($G$2,0,IF((I$6-$G$3)&lt;1,0,IFERROR(LOOKUP(2,1/('Arroz irrigado'!$E79:INDEX('Arroz irrigado'!$E79:$Z79,MIN(I$6-$G$3,22))&lt;&gt;""),'Arroz irrigado'!$E79:INDEX('Arroz irrigado'!$E79:$Z79,MIN(I$6-$G$3,22))),0)))))</f>
        <v>0</v>
      </c>
      <c r="J81" s="27" t="n">
        <f aca="false">IF(COUNT('Arroz irrigado'!$E79:$Z79)=0,0,MAX(0,IF((J$6-$E$3)&lt;1,0,IFERROR(LOOKUP(2,1/('Arroz irrigado'!$E79:INDEX('Arroz irrigado'!$E79:$Z79,MIN(J$6-$E$3,22))&lt;&gt;""),'Arroz irrigado'!$E79:INDEX('Arroz irrigado'!$E79:$Z79,MIN(J$6-$E$3,22))),0))-IF($G$2,0,IF((J$6-$G$3)&lt;1,0,IFERROR(LOOKUP(2,1/('Arroz irrigado'!$E79:INDEX('Arroz irrigado'!$E79:$Z79,MIN(J$6-$G$3,22))&lt;&gt;""),'Arroz irrigado'!$E79:INDEX('Arroz irrigado'!$E79:$Z79,MIN(J$6-$G$3,22))),0)))))</f>
        <v>0</v>
      </c>
      <c r="K81" s="27" t="n">
        <f aca="false">IF(COUNT('Arroz irrigado'!$E79:$Z79)=0,0,MAX(0,IF((K$6-$E$3)&lt;1,0,IFERROR(LOOKUP(2,1/('Arroz irrigado'!$E79:INDEX('Arroz irrigado'!$E79:$Z79,MIN(K$6-$E$3,22))&lt;&gt;""),'Arroz irrigado'!$E79:INDEX('Arroz irrigado'!$E79:$Z79,MIN(K$6-$E$3,22))),0))-IF($G$2,0,IF((K$6-$G$3)&lt;1,0,IFERROR(LOOKUP(2,1/('Arroz irrigado'!$E79:INDEX('Arroz irrigado'!$E79:$Z79,MIN(K$6-$G$3,22))&lt;&gt;""),'Arroz irrigado'!$E79:INDEX('Arroz irrigado'!$E79:$Z79,MIN(K$6-$G$3,22))),0)))))</f>
        <v>0</v>
      </c>
      <c r="L81" s="27" t="n">
        <f aca="false">IF(COUNT('Arroz irrigado'!$E79:$Z79)=0,0,MAX(0,IF((L$6-$E$3)&lt;1,0,IFERROR(LOOKUP(2,1/('Arroz irrigado'!$E79:INDEX('Arroz irrigado'!$E79:$Z79,MIN(L$6-$E$3,22))&lt;&gt;""),'Arroz irrigado'!$E79:INDEX('Arroz irrigado'!$E79:$Z79,MIN(L$6-$E$3,22))),0))-IF($G$2,0,IF((L$6-$G$3)&lt;1,0,IFERROR(LOOKUP(2,1/('Arroz irrigado'!$E79:INDEX('Arroz irrigado'!$E79:$Z79,MIN(L$6-$G$3,22))&lt;&gt;""),'Arroz irrigado'!$E79:INDEX('Arroz irrigado'!$E79:$Z79,MIN(L$6-$G$3,22))),0)))))</f>
        <v>0</v>
      </c>
      <c r="M81" s="27" t="n">
        <f aca="false">IF(COUNT('Arroz irrigado'!$E79:$Z79)=0,0,MAX(0,IF((M$6-$E$3)&lt;1,0,IFERROR(LOOKUP(2,1/('Arroz irrigado'!$E79:INDEX('Arroz irrigado'!$E79:$Z79,MIN(M$6-$E$3,22))&lt;&gt;""),'Arroz irrigado'!$E79:INDEX('Arroz irrigado'!$E79:$Z79,MIN(M$6-$E$3,22))),0))-IF($G$2,0,IF((M$6-$G$3)&lt;1,0,IFERROR(LOOKUP(2,1/('Arroz irrigado'!$E79:INDEX('Arroz irrigado'!$E79:$Z79,MIN(M$6-$G$3,22))&lt;&gt;""),'Arroz irrigado'!$E79:INDEX('Arroz irrigado'!$E79:$Z79,MIN(M$6-$G$3,22))),0)))))</f>
        <v>0</v>
      </c>
      <c r="N81" s="27" t="n">
        <f aca="false">IF(COUNT('Arroz irrigado'!$E79:$Z79)=0,0,MAX(0,IF((N$6-$E$3)&lt;1,0,IFERROR(LOOKUP(2,1/('Arroz irrigado'!$E79:INDEX('Arroz irrigado'!$E79:$Z79,MIN(N$6-$E$3,22))&lt;&gt;""),'Arroz irrigado'!$E79:INDEX('Arroz irrigado'!$E79:$Z79,MIN(N$6-$E$3,22))),0))-IF($G$2,0,IF((N$6-$G$3)&lt;1,0,IFERROR(LOOKUP(2,1/('Arroz irrigado'!$E79:INDEX('Arroz irrigado'!$E79:$Z79,MIN(N$6-$G$3,22))&lt;&gt;""),'Arroz irrigado'!$E79:INDEX('Arroz irrigado'!$E79:$Z79,MIN(N$6-$G$3,22))),0)))))</f>
        <v>0</v>
      </c>
      <c r="O81" s="27" t="n">
        <f aca="false">IF(COUNT('Arroz irrigado'!$E79:$Z79)=0,0,MAX(0,IF((O$6-$E$3)&lt;1,0,IFERROR(LOOKUP(2,1/('Arroz irrigado'!$E79:INDEX('Arroz irrigado'!$E79:$Z79,MIN(O$6-$E$3,22))&lt;&gt;""),'Arroz irrigado'!$E79:INDEX('Arroz irrigado'!$E79:$Z79,MIN(O$6-$E$3,22))),0))-IF($G$2,0,IF((O$6-$G$3)&lt;1,0,IFERROR(LOOKUP(2,1/('Arroz irrigado'!$E79:INDEX('Arroz irrigado'!$E79:$Z79,MIN(O$6-$G$3,22))&lt;&gt;""),'Arroz irrigado'!$E79:INDEX('Arroz irrigado'!$E79:$Z79,MIN(O$6-$G$3,22))),0)))))</f>
        <v>0</v>
      </c>
      <c r="P81" s="27" t="n">
        <f aca="false">IF(COUNT('Arroz irrigado'!$E79:$Z79)=0,0,MAX(0,IF((P$6-$E$3)&lt;1,0,IFERROR(LOOKUP(2,1/('Arroz irrigado'!$E79:INDEX('Arroz irrigado'!$E79:$Z79,MIN(P$6-$E$3,22))&lt;&gt;""),'Arroz irrigado'!$E79:INDEX('Arroz irrigado'!$E79:$Z79,MIN(P$6-$E$3,22))),0))-IF($G$2,0,IF((P$6-$G$3)&lt;1,0,IFERROR(LOOKUP(2,1/('Arroz irrigado'!$E79:INDEX('Arroz irrigado'!$E79:$Z79,MIN(P$6-$G$3,22))&lt;&gt;""),'Arroz irrigado'!$E79:INDEX('Arroz irrigado'!$E79:$Z79,MIN(P$6-$G$3,22))),0)))))</f>
        <v>0</v>
      </c>
      <c r="Q81" s="27" t="n">
        <f aca="false">IF(COUNT('Arroz irrigado'!$E79:$Z79)=0,0,MAX(0,IF((Q$6-$E$3)&lt;1,0,IFERROR(LOOKUP(2,1/('Arroz irrigado'!$E79:INDEX('Arroz irrigado'!$E79:$Z79,MIN(Q$6-$E$3,22))&lt;&gt;""),'Arroz irrigado'!$E79:INDEX('Arroz irrigado'!$E79:$Z79,MIN(Q$6-$E$3,22))),0))-IF($G$2,0,IF((Q$6-$G$3)&lt;1,0,IFERROR(LOOKUP(2,1/('Arroz irrigado'!$E79:INDEX('Arroz irrigado'!$E79:$Z79,MIN(Q$6-$G$3,22))&lt;&gt;""),'Arroz irrigado'!$E79:INDEX('Arroz irrigado'!$E79:$Z79,MIN(Q$6-$G$3,22))),0)))))</f>
        <v>0</v>
      </c>
      <c r="R81" s="27" t="n">
        <f aca="false">IF(COUNT('Arroz irrigado'!$E79:$Z79)=0,0,MAX(0,IF((R$6-$E$3)&lt;1,0,IFERROR(LOOKUP(2,1/('Arroz irrigado'!$E79:INDEX('Arroz irrigado'!$E79:$Z79,MIN(R$6-$E$3,22))&lt;&gt;""),'Arroz irrigado'!$E79:INDEX('Arroz irrigado'!$E79:$Z79,MIN(R$6-$E$3,22))),0))-IF($G$2,0,IF((R$6-$G$3)&lt;1,0,IFERROR(LOOKUP(2,1/('Arroz irrigado'!$E79:INDEX('Arroz irrigado'!$E79:$Z79,MIN(R$6-$G$3,22))&lt;&gt;""),'Arroz irrigado'!$E79:INDEX('Arroz irrigado'!$E79:$Z79,MIN(R$6-$G$3,22))),0)))))</f>
        <v>0</v>
      </c>
      <c r="S81" s="27" t="n">
        <f aca="false">IF(COUNT('Arroz irrigado'!$E79:$Z79)=0,0,MAX(0,IF((S$6-$E$3)&lt;1,0,IFERROR(LOOKUP(2,1/('Arroz irrigado'!$E79:INDEX('Arroz irrigado'!$E79:$Z79,MIN(S$6-$E$3,22))&lt;&gt;""),'Arroz irrigado'!$E79:INDEX('Arroz irrigado'!$E79:$Z79,MIN(S$6-$E$3,22))),0))-IF($G$2,0,IF((S$6-$G$3)&lt;1,0,IFERROR(LOOKUP(2,1/('Arroz irrigado'!$E79:INDEX('Arroz irrigado'!$E79:$Z79,MIN(S$6-$G$3,22))&lt;&gt;""),'Arroz irrigado'!$E79:INDEX('Arroz irrigado'!$E79:$Z79,MIN(S$6-$G$3,22))),0)))))</f>
        <v>0</v>
      </c>
      <c r="T81" s="27" t="n">
        <f aca="false">IF(COUNT('Arroz irrigado'!$E79:$Z79)=0,0,MAX(0,IF((T$6-$E$3)&lt;1,0,IFERROR(LOOKUP(2,1/('Arroz irrigado'!$E79:INDEX('Arroz irrigado'!$E79:$Z79,MIN(T$6-$E$3,22))&lt;&gt;""),'Arroz irrigado'!$E79:INDEX('Arroz irrigado'!$E79:$Z79,MIN(T$6-$E$3,22))),0))-IF($G$2,0,IF((T$6-$G$3)&lt;1,0,IFERROR(LOOKUP(2,1/('Arroz irrigado'!$E79:INDEX('Arroz irrigado'!$E79:$Z79,MIN(T$6-$G$3,22))&lt;&gt;""),'Arroz irrigado'!$E79:INDEX('Arroz irrigado'!$E79:$Z79,MIN(T$6-$G$3,22))),0)))))</f>
        <v>0</v>
      </c>
      <c r="U81" s="27" t="n">
        <f aca="false">IF(COUNT('Arroz irrigado'!$E79:$Z79)=0,0,MAX(0,IF((U$6-$E$3)&lt;1,0,IFERROR(LOOKUP(2,1/('Arroz irrigado'!$E79:INDEX('Arroz irrigado'!$E79:$Z79,MIN(U$6-$E$3,22))&lt;&gt;""),'Arroz irrigado'!$E79:INDEX('Arroz irrigado'!$E79:$Z79,MIN(U$6-$E$3,22))),0))-IF($G$2,0,IF((U$6-$G$3)&lt;1,0,IFERROR(LOOKUP(2,1/('Arroz irrigado'!$E79:INDEX('Arroz irrigado'!$E79:$Z79,MIN(U$6-$G$3,22))&lt;&gt;""),'Arroz irrigado'!$E79:INDEX('Arroz irrigado'!$E79:$Z79,MIN(U$6-$G$3,22))),0)))))</f>
        <v>0</v>
      </c>
      <c r="V81" s="27" t="n">
        <f aca="false">IF(COUNT('Arroz irrigado'!$E79:$Z79)=0,0,MAX(0,IF((V$6-$E$3)&lt;1,0,IFERROR(LOOKUP(2,1/('Arroz irrigado'!$E79:INDEX('Arroz irrigado'!$E79:$Z79,MIN(V$6-$E$3,22))&lt;&gt;""),'Arroz irrigado'!$E79:INDEX('Arroz irrigado'!$E79:$Z79,MIN(V$6-$E$3,22))),0))-IF($G$2,0,IF((V$6-$G$3)&lt;1,0,IFERROR(LOOKUP(2,1/('Arroz irrigado'!$E79:INDEX('Arroz irrigado'!$E79:$Z79,MIN(V$6-$G$3,22))&lt;&gt;""),'Arroz irrigado'!$E79:INDEX('Arroz irrigado'!$E79:$Z79,MIN(V$6-$G$3,22))),0)))))</f>
        <v>0</v>
      </c>
      <c r="W81" s="27" t="n">
        <f aca="false">IF(COUNT('Arroz irrigado'!$E79:$Z79)=0,0,MAX(0,IF((W$6-$E$3)&lt;1,0,IFERROR(LOOKUP(2,1/('Arroz irrigado'!$E79:INDEX('Arroz irrigado'!$E79:$Z79,MIN(W$6-$E$3,22))&lt;&gt;""),'Arroz irrigado'!$E79:INDEX('Arroz irrigado'!$E79:$Z79,MIN(W$6-$E$3,22))),0))-IF($G$2,0,IF((W$6-$G$3)&lt;1,0,IFERROR(LOOKUP(2,1/('Arroz irrigado'!$E79:INDEX('Arroz irrigado'!$E79:$Z79,MIN(W$6-$G$3,22))&lt;&gt;""),'Arroz irrigado'!$E79:INDEX('Arroz irrigado'!$E79:$Z79,MIN(W$6-$G$3,22))),0)))))</f>
        <v>0</v>
      </c>
      <c r="X81" s="27" t="n">
        <f aca="false">IF(COUNT('Arroz irrigado'!$E79:$Z79)=0,0,MAX(0,IF((X$6-$E$3)&lt;1,0,IFERROR(LOOKUP(2,1/('Arroz irrigado'!$E79:INDEX('Arroz irrigado'!$E79:$Z79,MIN(X$6-$E$3,22))&lt;&gt;""),'Arroz irrigado'!$E79:INDEX('Arroz irrigado'!$E79:$Z79,MIN(X$6-$E$3,22))),0))-IF($G$2,0,IF((X$6-$G$3)&lt;1,0,IFERROR(LOOKUP(2,1/('Arroz irrigado'!$E79:INDEX('Arroz irrigado'!$E79:$Z79,MIN(X$6-$G$3,22))&lt;&gt;""),'Arroz irrigado'!$E79:INDEX('Arroz irrigado'!$E79:$Z79,MIN(X$6-$G$3,22))),0)))))</f>
        <v>0</v>
      </c>
      <c r="Y81" s="27" t="n">
        <f aca="false">IF(COUNT('Arroz irrigado'!$E79:$Z79)=0,0,MAX(0,IF((Y$6-$E$3)&lt;1,0,IFERROR(LOOKUP(2,1/('Arroz irrigado'!$E79:INDEX('Arroz irrigado'!$E79:$Z79,MIN(Y$6-$E$3,22))&lt;&gt;""),'Arroz irrigado'!$E79:INDEX('Arroz irrigado'!$E79:$Z79,MIN(Y$6-$E$3,22))),0))-IF($G$2,0,IF((Y$6-$G$3)&lt;1,0,IFERROR(LOOKUP(2,1/('Arroz irrigado'!$E79:INDEX('Arroz irrigado'!$E79:$Z79,MIN(Y$6-$G$3,22))&lt;&gt;""),'Arroz irrigado'!$E79:INDEX('Arroz irrigado'!$E79:$Z79,MIN(Y$6-$G$3,22))),0)))))</f>
        <v>0</v>
      </c>
      <c r="Z81" s="27" t="n">
        <f aca="false">IF(COUNT('Arroz irrigado'!$E79:$Z79)=0,0,MAX(0,IF((Z$6-$E$3)&lt;1,0,IFERROR(LOOKUP(2,1/('Arroz irrigado'!$E79:INDEX('Arroz irrigado'!$E79:$Z79,MIN(Z$6-$E$3,22))&lt;&gt;""),'Arroz irrigado'!$E79:INDEX('Arroz irrigado'!$E79:$Z79,MIN(Z$6-$E$3,22))),0))-IF($G$2,0,IF((Z$6-$G$3)&lt;1,0,IFERROR(LOOKUP(2,1/('Arroz irrigado'!$E79:INDEX('Arroz irrigado'!$E79:$Z79,MIN(Z$6-$G$3,22))&lt;&gt;""),'Arroz irrigado'!$E79:INDEX('Arroz irrigado'!$E79:$Z79,MIN(Z$6-$G$3,22))),0)))))</f>
        <v>0</v>
      </c>
      <c r="AA81" s="27" t="n">
        <f aca="false">IF(COUNT('Arroz irrigado'!$E79:$Z79)=0,0,MAX(0,IF((AA$6-$E$3)&lt;1,0,IFERROR(LOOKUP(2,1/('Arroz irrigado'!$E79:INDEX('Arroz irrigado'!$E79:$Z79,MIN(AA$6-$E$3,22))&lt;&gt;""),'Arroz irrigado'!$E79:INDEX('Arroz irrigado'!$E79:$Z79,MIN(AA$6-$E$3,22))),0))-IF($G$2,0,IF((AA$6-$G$3)&lt;1,0,IFERROR(LOOKUP(2,1/('Arroz irrigado'!$E79:INDEX('Arroz irrigado'!$E79:$Z79,MIN(AA$6-$G$3,22))&lt;&gt;""),'Arroz irrigado'!$E79:INDEX('Arroz irrigado'!$E79:$Z79,MIN(AA$6-$G$3,22))),0)))))</f>
        <v>0</v>
      </c>
      <c r="AB81" s="27" t="n">
        <f aca="false">IF(COUNT('Arroz irrigado'!$E79:$Z79)=0,0,MAX(0,IF((AB$6-$E$3)&lt;1,0,IFERROR(LOOKUP(2,1/('Arroz irrigado'!$E79:INDEX('Arroz irrigado'!$E79:$Z79,MIN(AB$6-$E$3,22))&lt;&gt;""),'Arroz irrigado'!$E79:INDEX('Arroz irrigado'!$E79:$Z79,MIN(AB$6-$E$3,22))),0))-IF($G$2,0,IF((AB$6-$G$3)&lt;1,0,IFERROR(LOOKUP(2,1/('Arroz irrigado'!$E79:INDEX('Arroz irrigado'!$E79:$Z79,MIN(AB$6-$G$3,22))&lt;&gt;""),'Arroz irrigado'!$E79:INDEX('Arroz irrigado'!$E79:$Z79,MIN(AB$6-$G$3,22))),0)))))</f>
        <v>0</v>
      </c>
      <c r="AC81" s="27" t="n">
        <f aca="false">IF(COUNT('Arroz irrigado'!$E79:$Z79)=0,0,MAX(0,IF((AC$6-$E$3)&lt;1,0,IFERROR(LOOKUP(2,1/('Arroz irrigado'!$E79:INDEX('Arroz irrigado'!$E79:$Z79,MIN(AC$6-$E$3,22))&lt;&gt;""),'Arroz irrigado'!$E79:INDEX('Arroz irrigado'!$E79:$Z79,MIN(AC$6-$E$3,22))),0))-IF($G$2,0,IF((AC$6-$G$3)&lt;1,0,IFERROR(LOOKUP(2,1/('Arroz irrigado'!$E79:INDEX('Arroz irrigado'!$E79:$Z79,MIN(AC$6-$G$3,22))&lt;&gt;""),'Arroz irrigado'!$E79:INDEX('Arroz irrigado'!$E79:$Z79,MIN(AC$6-$G$3,22))),0)))))</f>
        <v>0</v>
      </c>
      <c r="AD81" s="27" t="n">
        <f aca="false">IF(COUNT('Arroz irrigado'!$E79:$Z79)=0,0,MAX(0,IF((AD$6-$E$3)&lt;1,0,IFERROR(LOOKUP(2,1/('Arroz irrigado'!$E79:INDEX('Arroz irrigado'!$E79:$Z79,MIN(AD$6-$E$3,22))&lt;&gt;""),'Arroz irrigado'!$E79:INDEX('Arroz irrigado'!$E79:$Z79,MIN(AD$6-$E$3,22))),0))-IF($G$2,0,IF((AD$6-$G$3)&lt;1,0,IFERROR(LOOKUP(2,1/('Arroz irrigado'!$E79:INDEX('Arroz irrigado'!$E79:$Z79,MIN(AD$6-$G$3,22))&lt;&gt;""),'Arroz irrigado'!$E79:INDEX('Arroz irrigado'!$E79:$Z79,MIN(AD$6-$G$3,22))),0)))))</f>
        <v>0</v>
      </c>
      <c r="AE81" s="27" t="n">
        <f aca="false">IF(COUNT('Arroz irrigado'!$E79:$Z79)=0,0,MAX(0,IF((AE$6-$E$3)&lt;1,0,IFERROR(LOOKUP(2,1/('Arroz irrigado'!$E79:INDEX('Arroz irrigado'!$E79:$Z79,MIN(AE$6-$E$3,22))&lt;&gt;""),'Arroz irrigado'!$E79:INDEX('Arroz irrigado'!$E79:$Z79,MIN(AE$6-$E$3,22))),0))-IF($G$2,0,IF((AE$6-$G$3)&lt;1,0,IFERROR(LOOKUP(2,1/('Arroz irrigado'!$E79:INDEX('Arroz irrigado'!$E79:$Z79,MIN(AE$6-$G$3,22))&lt;&gt;""),'Arroz irrigado'!$E79:INDEX('Arroz irrigado'!$E79:$Z79,MIN(AE$6-$G$3,22))),0)))))</f>
        <v>0</v>
      </c>
      <c r="AF81" s="27" t="n">
        <f aca="false">IF(COUNT('Arroz irrigado'!$E79:$Z79)=0,0,MAX(0,IF((AF$6-$E$3)&lt;1,0,IFERROR(LOOKUP(2,1/('Arroz irrigado'!$E79:INDEX('Arroz irrigado'!$E79:$Z79,MIN(AF$6-$E$3,22))&lt;&gt;""),'Arroz irrigado'!$E79:INDEX('Arroz irrigado'!$E79:$Z79,MIN(AF$6-$E$3,22))),0))-IF($G$2,0,IF((AF$6-$G$3)&lt;1,0,IFERROR(LOOKUP(2,1/('Arroz irrigado'!$E79:INDEX('Arroz irrigado'!$E79:$Z79,MIN(AF$6-$G$3,22))&lt;&gt;""),'Arroz irrigado'!$E79:INDEX('Arroz irrigado'!$E79:$Z79,MIN(AF$6-$G$3,22))),0)))))</f>
        <v>0</v>
      </c>
      <c r="AG81" s="27" t="n">
        <f aca="false">IF(COUNT('Arroz irrigado'!$E79:$Z79)=0,0,MAX(0,IF((AG$6-$E$3)&lt;1,0,IFERROR(LOOKUP(2,1/('Arroz irrigado'!$E79:INDEX('Arroz irrigado'!$E79:$Z79,MIN(AG$6-$E$3,22))&lt;&gt;""),'Arroz irrigado'!$E79:INDEX('Arroz irrigado'!$E79:$Z79,MIN(AG$6-$E$3,22))),0))-IF($G$2,0,IF((AG$6-$G$3)&lt;1,0,IFERROR(LOOKUP(2,1/('Arroz irrigado'!$E79:INDEX('Arroz irrigado'!$E79:$Z79,MIN(AG$6-$G$3,22))&lt;&gt;""),'Arroz irrigado'!$E79:INDEX('Arroz irrigado'!$E79:$Z79,MIN(AG$6-$G$3,22))),0)))))</f>
        <v>0</v>
      </c>
      <c r="AH81" s="27" t="n">
        <f aca="false">IF(COUNT('Arroz irrigado'!$E79:$Z79)=0,0,MAX(0,IF((AH$6-$E$3)&lt;1,0,IFERROR(LOOKUP(2,1/('Arroz irrigado'!$E79:INDEX('Arroz irrigado'!$E79:$Z79,MIN(AH$6-$E$3,22))&lt;&gt;""),'Arroz irrigado'!$E79:INDEX('Arroz irrigado'!$E79:$Z79,MIN(AH$6-$E$3,22))),0))-IF($G$2,0,IF((AH$6-$G$3)&lt;1,0,IFERROR(LOOKUP(2,1/('Arroz irrigado'!$E79:INDEX('Arroz irrigado'!$E79:$Z79,MIN(AH$6-$G$3,22))&lt;&gt;""),'Arroz irrigado'!$E79:INDEX('Arroz irrigado'!$E79:$Z79,MIN(AH$6-$G$3,22))),0)))))</f>
        <v>0</v>
      </c>
      <c r="AI81" s="27" t="n">
        <f aca="false">IF(COUNT('Arroz irrigado'!$E79:$Z79)=0,0,MAX(0,IF((AI$6-$E$3)&lt;1,0,IFERROR(LOOKUP(2,1/('Arroz irrigado'!$E79:INDEX('Arroz irrigado'!$E79:$Z79,MIN(AI$6-$E$3,22))&lt;&gt;""),'Arroz irrigado'!$E79:INDEX('Arroz irrigado'!$E79:$Z79,MIN(AI$6-$E$3,22))),0))-IF($G$2,0,IF((AI$6-$G$3)&lt;1,0,IFERROR(LOOKUP(2,1/('Arroz irrigado'!$E79:INDEX('Arroz irrigado'!$E79:$Z79,MIN(AI$6-$G$3,22))&lt;&gt;""),'Arroz irrigado'!$E79:INDEX('Arroz irrigado'!$E79:$Z79,MIN(AI$6-$G$3,22))),0)))))</f>
        <v>0</v>
      </c>
      <c r="AJ81" s="27" t="n">
        <f aca="false">IF(COUNT('Arroz irrigado'!$E79:$Z79)=0,0,MAX(0,IF((AJ$6-$E$3)&lt;1,0,IFERROR(LOOKUP(2,1/('Arroz irrigado'!$E79:INDEX('Arroz irrigado'!$E79:$Z79,MIN(AJ$6-$E$3,22))&lt;&gt;""),'Arroz irrigado'!$E79:INDEX('Arroz irrigado'!$E79:$Z79,MIN(AJ$6-$E$3,22))),0))-IF($G$2,0,IF((AJ$6-$G$3)&lt;1,0,IFERROR(LOOKUP(2,1/('Arroz irrigado'!$E79:INDEX('Arroz irrigado'!$E79:$Z79,MIN(AJ$6-$G$3,22))&lt;&gt;""),'Arroz irrigado'!$E79:INDEX('Arroz irrigado'!$E79:$Z79,MIN(AJ$6-$G$3,22))),0)))))</f>
        <v>0</v>
      </c>
      <c r="AK81" s="27" t="n">
        <f aca="false">IF(COUNT('Arroz irrigado'!$E79:$Z79)=0,0,MAX(0,IF((AK$6-$E$3)&lt;1,0,IFERROR(LOOKUP(2,1/('Arroz irrigado'!$E79:INDEX('Arroz irrigado'!$E79:$Z79,MIN(AK$6-$E$3,22))&lt;&gt;""),'Arroz irrigado'!$E79:INDEX('Arroz irrigado'!$E79:$Z79,MIN(AK$6-$E$3,22))),0))-IF($G$2,0,IF((AK$6-$G$3)&lt;1,0,IFERROR(LOOKUP(2,1/('Arroz irrigado'!$E79:INDEX('Arroz irrigado'!$E79:$Z79,MIN(AK$6-$G$3,22))&lt;&gt;""),'Arroz irrigado'!$E79:INDEX('Arroz irrigado'!$E79:$Z79,MIN(AK$6-$G$3,22))),0)))))</f>
        <v>0</v>
      </c>
      <c r="AL81" s="27" t="n">
        <f aca="false">IF(COUNT('Arroz irrigado'!$E79:$Z79)=0,0,MAX(0,IF((AL$6-$E$3)&lt;1,0,IFERROR(LOOKUP(2,1/('Arroz irrigado'!$E79:INDEX('Arroz irrigado'!$E79:$Z79,MIN(AL$6-$E$3,22))&lt;&gt;""),'Arroz irrigado'!$E79:INDEX('Arroz irrigado'!$E79:$Z79,MIN(AL$6-$E$3,22))),0))-IF($G$2,0,IF((AL$6-$G$3)&lt;1,0,IFERROR(LOOKUP(2,1/('Arroz irrigado'!$E79:INDEX('Arroz irrigado'!$E79:$Z79,MIN(AL$6-$G$3,22))&lt;&gt;""),'Arroz irrigado'!$E79:INDEX('Arroz irrigado'!$E79:$Z79,MIN(AL$6-$G$3,22))),0)))))</f>
        <v>0</v>
      </c>
      <c r="AM81" s="27" t="n">
        <f aca="false">IF(COUNT('Arroz irrigado'!$E79:$Z79)=0,0,MAX(0,IF((AM$6-$E$3)&lt;1,0,IFERROR(LOOKUP(2,1/('Arroz irrigado'!$E79:INDEX('Arroz irrigado'!$E79:$Z79,MIN(AM$6-$E$3,22))&lt;&gt;""),'Arroz irrigado'!$E79:INDEX('Arroz irrigado'!$E79:$Z79,MIN(AM$6-$E$3,22))),0))-IF($G$2,0,IF((AM$6-$G$3)&lt;1,0,IFERROR(LOOKUP(2,1/('Arroz irrigado'!$E79:INDEX('Arroz irrigado'!$E79:$Z79,MIN(AM$6-$G$3,22))&lt;&gt;""),'Arroz irrigado'!$E79:INDEX('Arroz irrigado'!$E79:$Z79,MIN(AM$6-$G$3,22))),0)))))</f>
        <v>0</v>
      </c>
      <c r="AN81" s="27" t="n">
        <f aca="false">IF(COUNT('Arroz irrigado'!$E79:$Z79)=0,0,MAX(0,IF((AN$6-$E$3)&lt;1,0,IFERROR(LOOKUP(2,1/('Arroz irrigado'!$E79:INDEX('Arroz irrigado'!$E79:$Z79,MIN(AN$6-$E$3,22))&lt;&gt;""),'Arroz irrigado'!$E79:INDEX('Arroz irrigado'!$E79:$Z79,MIN(AN$6-$E$3,22))),0))-IF($G$2,0,IF((AN$6-$G$3)&lt;1,0,IFERROR(LOOKUP(2,1/('Arroz irrigado'!$E79:INDEX('Arroz irrigado'!$E79:$Z79,MIN(AN$6-$G$3,22))&lt;&gt;""),'Arroz irrigado'!$E79:INDEX('Arroz irrigado'!$E79:$Z79,MIN(AN$6-$G$3,22))),0)))))</f>
        <v>0</v>
      </c>
      <c r="AO81" s="27" t="n">
        <f aca="false">IF(COUNT('Arroz irrigado'!$E79:$Z79)=0,0,MAX(0,IF((AO$6-$E$3)&lt;1,0,IFERROR(LOOKUP(2,1/('Arroz irrigado'!$E79:INDEX('Arroz irrigado'!$E79:$Z79,MIN(AO$6-$E$3,22))&lt;&gt;""),'Arroz irrigado'!$E79:INDEX('Arroz irrigado'!$E79:$Z79,MIN(AO$6-$E$3,22))),0))-IF($G$2,0,IF((AO$6-$G$3)&lt;1,0,IFERROR(LOOKUP(2,1/('Arroz irrigado'!$E79:INDEX('Arroz irrigado'!$E79:$Z79,MIN(AO$6-$G$3,22))&lt;&gt;""),'Arroz irrigado'!$E79:INDEX('Arroz irrigado'!$E79:$Z79,MIN(AO$6-$G$3,22))),0)))))</f>
        <v>0</v>
      </c>
      <c r="AP81" s="27" t="n">
        <f aca="false">IF(COUNT('Arroz irrigado'!$E79:$Z79)=0,0,MAX(0,IF((AP$6-$E$3)&lt;1,0,IFERROR(LOOKUP(2,1/('Arroz irrigado'!$E79:INDEX('Arroz irrigado'!$E79:$Z79,MIN(AP$6-$E$3,22))&lt;&gt;""),'Arroz irrigado'!$E79:INDEX('Arroz irrigado'!$E79:$Z79,MIN(AP$6-$E$3,22))),0))-IF($G$2,0,IF((AP$6-$G$3)&lt;1,0,IFERROR(LOOKUP(2,1/('Arroz irrigado'!$E79:INDEX('Arroz irrigado'!$E79:$Z79,MIN(AP$6-$G$3,22))&lt;&gt;""),'Arroz irrigado'!$E79:INDEX('Arroz irrigado'!$E79:$Z79,MIN(AP$6-$G$3,22))),0)))))</f>
        <v>0</v>
      </c>
      <c r="AQ81" s="27" t="n">
        <f aca="false">IF(COUNT('Arroz irrigado'!$E79:$Z79)=0,0,MAX(0,IF((AQ$6-$E$3)&lt;1,0,IFERROR(LOOKUP(2,1/('Arroz irrigado'!$E79:INDEX('Arroz irrigado'!$E79:$Z79,MIN(AQ$6-$E$3,22))&lt;&gt;""),'Arroz irrigado'!$E79:INDEX('Arroz irrigado'!$E79:$Z79,MIN(AQ$6-$E$3,22))),0))-IF($G$2,0,IF((AQ$6-$G$3)&lt;1,0,IFERROR(LOOKUP(2,1/('Arroz irrigado'!$E79:INDEX('Arroz irrigado'!$E79:$Z79,MIN(AQ$6-$G$3,22))&lt;&gt;""),'Arroz irrigado'!$E79:INDEX('Arroz irrigado'!$E79:$Z79,MIN(AQ$6-$G$3,22))),0)))))</f>
        <v>0</v>
      </c>
      <c r="AR81" s="27" t="n">
        <f aca="false">IF(COUNT('Arroz irrigado'!$E79:$Z79)=0,0,MAX(0,IF((AR$6-$E$3)&lt;1,0,IFERROR(LOOKUP(2,1/('Arroz irrigado'!$E79:INDEX('Arroz irrigado'!$E79:$Z79,MIN(AR$6-$E$3,22))&lt;&gt;""),'Arroz irrigado'!$E79:INDEX('Arroz irrigado'!$E79:$Z79,MIN(AR$6-$E$3,22))),0))-IF($G$2,0,IF((AR$6-$G$3)&lt;1,0,IFERROR(LOOKUP(2,1/('Arroz irrigado'!$E79:INDEX('Arroz irrigado'!$E79:$Z79,MIN(AR$6-$G$3,22))&lt;&gt;""),'Arroz irrigado'!$E79:INDEX('Arroz irrigado'!$E79:$Z79,MIN(AR$6-$G$3,22))),0)))))</f>
        <v>0</v>
      </c>
      <c r="AS81" s="27" t="n">
        <f aca="false">IF(COUNT('Arroz irrigado'!$E79:$Z79)=0,0,MAX(0,IF((AS$6-$E$3)&lt;1,0,IFERROR(LOOKUP(2,1/('Arroz irrigado'!$E79:INDEX('Arroz irrigado'!$E79:$Z79,MIN(AS$6-$E$3,22))&lt;&gt;""),'Arroz irrigado'!$E79:INDEX('Arroz irrigado'!$E79:$Z79,MIN(AS$6-$E$3,22))),0))-IF($G$2,0,IF((AS$6-$G$3)&lt;1,0,IFERROR(LOOKUP(2,1/('Arroz irrigado'!$E79:INDEX('Arroz irrigado'!$E79:$Z79,MIN(AS$6-$G$3,22))&lt;&gt;""),'Arroz irrigado'!$E79:INDEX('Arroz irrigado'!$E79:$Z79,MIN(AS$6-$G$3,22))),0)))))</f>
        <v>0</v>
      </c>
      <c r="AT81" s="27" t="n">
        <f aca="false">IF(COUNT('Arroz irrigado'!$E79:$Z79)=0,0,MAX(0,IF((AT$6-$E$3)&lt;1,0,IFERROR(LOOKUP(2,1/('Arroz irrigado'!$E79:INDEX('Arroz irrigado'!$E79:$Z79,MIN(AT$6-$E$3,22))&lt;&gt;""),'Arroz irrigado'!$E79:INDEX('Arroz irrigado'!$E79:$Z79,MIN(AT$6-$E$3,22))),0))-IF($G$2,0,IF((AT$6-$G$3)&lt;1,0,IFERROR(LOOKUP(2,1/('Arroz irrigado'!$E79:INDEX('Arroz irrigado'!$E79:$Z79,MIN(AT$6-$G$3,22))&lt;&gt;""),'Arroz irrigado'!$E79:INDEX('Arroz irrigado'!$E79:$Z79,MIN(AT$6-$G$3,22))),0)))))</f>
        <v>0</v>
      </c>
      <c r="AU81" s="27" t="n">
        <f aca="false">IF(COUNT('Arroz irrigado'!$E79:$Z79)=0,0,MAX(0,IF((AU$6-$E$3)&lt;1,0,IFERROR(LOOKUP(2,1/('Arroz irrigado'!$E79:INDEX('Arroz irrigado'!$E79:$Z79,MIN(AU$6-$E$3,22))&lt;&gt;""),'Arroz irrigado'!$E79:INDEX('Arroz irrigado'!$E79:$Z79,MIN(AU$6-$E$3,22))),0))-IF($G$2,0,IF((AU$6-$G$3)&lt;1,0,IFERROR(LOOKUP(2,1/('Arroz irrigado'!$E79:INDEX('Arroz irrigado'!$E79:$Z79,MIN(AU$6-$G$3,22))&lt;&gt;""),'Arroz irrigado'!$E79:INDEX('Arroz irrigado'!$E79:$Z79,MIN(AU$6-$G$3,22))),0)))))</f>
        <v>0</v>
      </c>
      <c r="AV81" s="27" t="n">
        <f aca="false">IF(COUNT('Arroz irrigado'!$E79:$Z79)=0,0,MAX(0,IF((AV$6-$E$3)&lt;1,0,IFERROR(LOOKUP(2,1/('Arroz irrigado'!$E79:INDEX('Arroz irrigado'!$E79:$Z79,MIN(AV$6-$E$3,22))&lt;&gt;""),'Arroz irrigado'!$E79:INDEX('Arroz irrigado'!$E79:$Z79,MIN(AV$6-$E$3,22))),0))-IF($G$2,0,IF((AV$6-$G$3)&lt;1,0,IFERROR(LOOKUP(2,1/('Arroz irrigado'!$E79:INDEX('Arroz irrigado'!$E79:$Z79,MIN(AV$6-$G$3,22))&lt;&gt;""),'Arroz irrigado'!$E79:INDEX('Arroz irrigado'!$E79:$Z79,MIN(AV$6-$G$3,22))),0)))))</f>
        <v>0</v>
      </c>
      <c r="AW81" s="27" t="n">
        <f aca="false">IF(COUNT('Arroz irrigado'!$E79:$Z79)=0,0,MAX(0,IF((AW$6-$E$3)&lt;1,0,IFERROR(LOOKUP(2,1/('Arroz irrigado'!$E79:INDEX('Arroz irrigado'!$E79:$Z79,MIN(AW$6-$E$3,22))&lt;&gt;""),'Arroz irrigado'!$E79:INDEX('Arroz irrigado'!$E79:$Z79,MIN(AW$6-$E$3,22))),0))-IF($G$2,0,IF((AW$6-$G$3)&lt;1,0,IFERROR(LOOKUP(2,1/('Arroz irrigado'!$E79:INDEX('Arroz irrigado'!$E79:$Z79,MIN(AW$6-$G$3,22))&lt;&gt;""),'Arroz irrigado'!$E79:INDEX('Arroz irrigado'!$E79:$Z79,MIN(AW$6-$G$3,22))),0)))))</f>
        <v>0</v>
      </c>
      <c r="AX81" s="27" t="n">
        <f aca="false">IF(COUNT('Arroz irrigado'!$E79:$Z79)=0,0,MAX(0,IF((AX$6-$E$3)&lt;1,0,IFERROR(LOOKUP(2,1/('Arroz irrigado'!$E79:INDEX('Arroz irrigado'!$E79:$Z79,MIN(AX$6-$E$3,22))&lt;&gt;""),'Arroz irrigado'!$E79:INDEX('Arroz irrigado'!$E79:$Z79,MIN(AX$6-$E$3,22))),0))-IF($G$2,0,IF((AX$6-$G$3)&lt;1,0,IFERROR(LOOKUP(2,1/('Arroz irrigado'!$E79:INDEX('Arroz irrigado'!$E79:$Z79,MIN(AX$6-$G$3,22))&lt;&gt;""),'Arroz irrigado'!$E79:INDEX('Arroz irrigado'!$E79:$Z79,MIN(AX$6-$G$3,22))),0)))))</f>
        <v>0</v>
      </c>
      <c r="AY81" s="27" t="n">
        <f aca="false">IF(COUNT('Arroz irrigado'!$E79:$Z79)=0,0,MAX(0,IF((AY$6-$E$3)&lt;1,0,IFERROR(LOOKUP(2,1/('Arroz irrigado'!$E79:INDEX('Arroz irrigado'!$E79:$Z79,MIN(AY$6-$E$3,22))&lt;&gt;""),'Arroz irrigado'!$E79:INDEX('Arroz irrigado'!$E79:$Z79,MIN(AY$6-$E$3,22))),0))-IF($G$2,0,IF((AY$6-$G$3)&lt;1,0,IFERROR(LOOKUP(2,1/('Arroz irrigado'!$E79:INDEX('Arroz irrigado'!$E79:$Z79,MIN(AY$6-$G$3,22))&lt;&gt;""),'Arroz irrigado'!$E79:INDEX('Arroz irrigado'!$E79:$Z79,MIN(AY$6-$G$3,22))),0)))))</f>
        <v>0</v>
      </c>
      <c r="AZ81" s="27" t="n">
        <f aca="false">IF(COUNT('Arroz irrigado'!$E79:$Z79)=0,0,MAX(0,IF((AZ$6-$E$3)&lt;1,0,IFERROR(LOOKUP(2,1/('Arroz irrigado'!$E79:INDEX('Arroz irrigado'!$E79:$Z79,MIN(AZ$6-$E$3,22))&lt;&gt;""),'Arroz irrigado'!$E79:INDEX('Arroz irrigado'!$E79:$Z79,MIN(AZ$6-$E$3,22))),0))-IF($G$2,0,IF((AZ$6-$G$3)&lt;1,0,IFERROR(LOOKUP(2,1/('Arroz irrigado'!$E79:INDEX('Arroz irrigado'!$E79:$Z79,MIN(AZ$6-$G$3,22))&lt;&gt;""),'Arroz irrigado'!$E79:INDEX('Arroz irrigado'!$E79:$Z79,MIN(AZ$6-$G$3,22))),0)))))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IF(COUNT('Arroz irrigado'!$E80:$Z80)&gt;0,N('Arroz irrigado'!$D80),0)</f>
        <v>0</v>
      </c>
      <c r="E82" s="27" t="n">
        <f aca="false">IF(COUNT('Arroz irrigado'!$E80:$Z80)=0,0,MAX(0,IF((E$6-$E$3)&lt;1,0,IFERROR(LOOKUP(2,1/('Arroz irrigado'!$E80:INDEX('Arroz irrigado'!$E80:$Z80,MIN(E$6-$E$3,22))&lt;&gt;""),'Arroz irrigado'!$E80:INDEX('Arroz irrigado'!$E80:$Z80,MIN(E$6-$E$3,22))),0))-IF($G$2,0,IF((E$6-$G$3)&lt;1,0,IFERROR(LOOKUP(2,1/('Arroz irrigado'!$E80:INDEX('Arroz irrigado'!$E80:$Z80,MIN(E$6-$G$3,22))&lt;&gt;""),'Arroz irrigado'!$E80:INDEX('Arroz irrigado'!$E80:$Z80,MIN(E$6-$G$3,22))),0)))))</f>
        <v>0</v>
      </c>
      <c r="F82" s="27" t="n">
        <f aca="false">IF(COUNT('Arroz irrigado'!$E80:$Z80)=0,0,MAX(0,IF((F$6-$E$3)&lt;1,0,IFERROR(LOOKUP(2,1/('Arroz irrigado'!$E80:INDEX('Arroz irrigado'!$E80:$Z80,MIN(F$6-$E$3,22))&lt;&gt;""),'Arroz irrigado'!$E80:INDEX('Arroz irrigado'!$E80:$Z80,MIN(F$6-$E$3,22))),0))-IF($G$2,0,IF((F$6-$G$3)&lt;1,0,IFERROR(LOOKUP(2,1/('Arroz irrigado'!$E80:INDEX('Arroz irrigado'!$E80:$Z80,MIN(F$6-$G$3,22))&lt;&gt;""),'Arroz irrigado'!$E80:INDEX('Arroz irrigado'!$E80:$Z80,MIN(F$6-$G$3,22))),0)))))</f>
        <v>0</v>
      </c>
      <c r="G82" s="27" t="n">
        <f aca="false">IF(COUNT('Arroz irrigado'!$E80:$Z80)=0,0,MAX(0,IF((G$6-$E$3)&lt;1,0,IFERROR(LOOKUP(2,1/('Arroz irrigado'!$E80:INDEX('Arroz irrigado'!$E80:$Z80,MIN(G$6-$E$3,22))&lt;&gt;""),'Arroz irrigado'!$E80:INDEX('Arroz irrigado'!$E80:$Z80,MIN(G$6-$E$3,22))),0))-IF($G$2,0,IF((G$6-$G$3)&lt;1,0,IFERROR(LOOKUP(2,1/('Arroz irrigado'!$E80:INDEX('Arroz irrigado'!$E80:$Z80,MIN(G$6-$G$3,22))&lt;&gt;""),'Arroz irrigado'!$E80:INDEX('Arroz irrigado'!$E80:$Z80,MIN(G$6-$G$3,22))),0)))))</f>
        <v>0</v>
      </c>
      <c r="H82" s="27" t="n">
        <f aca="false">IF(COUNT('Arroz irrigado'!$E80:$Z80)=0,0,MAX(0,IF((H$6-$E$3)&lt;1,0,IFERROR(LOOKUP(2,1/('Arroz irrigado'!$E80:INDEX('Arroz irrigado'!$E80:$Z80,MIN(H$6-$E$3,22))&lt;&gt;""),'Arroz irrigado'!$E80:INDEX('Arroz irrigado'!$E80:$Z80,MIN(H$6-$E$3,22))),0))-IF($G$2,0,IF((H$6-$G$3)&lt;1,0,IFERROR(LOOKUP(2,1/('Arroz irrigado'!$E80:INDEX('Arroz irrigado'!$E80:$Z80,MIN(H$6-$G$3,22))&lt;&gt;""),'Arroz irrigado'!$E80:INDEX('Arroz irrigado'!$E80:$Z80,MIN(H$6-$G$3,22))),0)))))</f>
        <v>0</v>
      </c>
      <c r="I82" s="27" t="n">
        <f aca="false">IF(COUNT('Arroz irrigado'!$E80:$Z80)=0,0,MAX(0,IF((I$6-$E$3)&lt;1,0,IFERROR(LOOKUP(2,1/('Arroz irrigado'!$E80:INDEX('Arroz irrigado'!$E80:$Z80,MIN(I$6-$E$3,22))&lt;&gt;""),'Arroz irrigado'!$E80:INDEX('Arroz irrigado'!$E80:$Z80,MIN(I$6-$E$3,22))),0))-IF($G$2,0,IF((I$6-$G$3)&lt;1,0,IFERROR(LOOKUP(2,1/('Arroz irrigado'!$E80:INDEX('Arroz irrigado'!$E80:$Z80,MIN(I$6-$G$3,22))&lt;&gt;""),'Arroz irrigado'!$E80:INDEX('Arroz irrigado'!$E80:$Z80,MIN(I$6-$G$3,22))),0)))))</f>
        <v>0</v>
      </c>
      <c r="J82" s="27" t="n">
        <f aca="false">IF(COUNT('Arroz irrigado'!$E80:$Z80)=0,0,MAX(0,IF((J$6-$E$3)&lt;1,0,IFERROR(LOOKUP(2,1/('Arroz irrigado'!$E80:INDEX('Arroz irrigado'!$E80:$Z80,MIN(J$6-$E$3,22))&lt;&gt;""),'Arroz irrigado'!$E80:INDEX('Arroz irrigado'!$E80:$Z80,MIN(J$6-$E$3,22))),0))-IF($G$2,0,IF((J$6-$G$3)&lt;1,0,IFERROR(LOOKUP(2,1/('Arroz irrigado'!$E80:INDEX('Arroz irrigado'!$E80:$Z80,MIN(J$6-$G$3,22))&lt;&gt;""),'Arroz irrigado'!$E80:INDEX('Arroz irrigado'!$E80:$Z80,MIN(J$6-$G$3,22))),0)))))</f>
        <v>0</v>
      </c>
      <c r="K82" s="27" t="n">
        <f aca="false">IF(COUNT('Arroz irrigado'!$E80:$Z80)=0,0,MAX(0,IF((K$6-$E$3)&lt;1,0,IFERROR(LOOKUP(2,1/('Arroz irrigado'!$E80:INDEX('Arroz irrigado'!$E80:$Z80,MIN(K$6-$E$3,22))&lt;&gt;""),'Arroz irrigado'!$E80:INDEX('Arroz irrigado'!$E80:$Z80,MIN(K$6-$E$3,22))),0))-IF($G$2,0,IF((K$6-$G$3)&lt;1,0,IFERROR(LOOKUP(2,1/('Arroz irrigado'!$E80:INDEX('Arroz irrigado'!$E80:$Z80,MIN(K$6-$G$3,22))&lt;&gt;""),'Arroz irrigado'!$E80:INDEX('Arroz irrigado'!$E80:$Z80,MIN(K$6-$G$3,22))),0)))))</f>
        <v>0</v>
      </c>
      <c r="L82" s="27" t="n">
        <f aca="false">IF(COUNT('Arroz irrigado'!$E80:$Z80)=0,0,MAX(0,IF((L$6-$E$3)&lt;1,0,IFERROR(LOOKUP(2,1/('Arroz irrigado'!$E80:INDEX('Arroz irrigado'!$E80:$Z80,MIN(L$6-$E$3,22))&lt;&gt;""),'Arroz irrigado'!$E80:INDEX('Arroz irrigado'!$E80:$Z80,MIN(L$6-$E$3,22))),0))-IF($G$2,0,IF((L$6-$G$3)&lt;1,0,IFERROR(LOOKUP(2,1/('Arroz irrigado'!$E80:INDEX('Arroz irrigado'!$E80:$Z80,MIN(L$6-$G$3,22))&lt;&gt;""),'Arroz irrigado'!$E80:INDEX('Arroz irrigado'!$E80:$Z80,MIN(L$6-$G$3,22))),0)))))</f>
        <v>0</v>
      </c>
      <c r="M82" s="27" t="n">
        <f aca="false">IF(COUNT('Arroz irrigado'!$E80:$Z80)=0,0,MAX(0,IF((M$6-$E$3)&lt;1,0,IFERROR(LOOKUP(2,1/('Arroz irrigado'!$E80:INDEX('Arroz irrigado'!$E80:$Z80,MIN(M$6-$E$3,22))&lt;&gt;""),'Arroz irrigado'!$E80:INDEX('Arroz irrigado'!$E80:$Z80,MIN(M$6-$E$3,22))),0))-IF($G$2,0,IF((M$6-$G$3)&lt;1,0,IFERROR(LOOKUP(2,1/('Arroz irrigado'!$E80:INDEX('Arroz irrigado'!$E80:$Z80,MIN(M$6-$G$3,22))&lt;&gt;""),'Arroz irrigado'!$E80:INDEX('Arroz irrigado'!$E80:$Z80,MIN(M$6-$G$3,22))),0)))))</f>
        <v>0</v>
      </c>
      <c r="N82" s="27" t="n">
        <f aca="false">IF(COUNT('Arroz irrigado'!$E80:$Z80)=0,0,MAX(0,IF((N$6-$E$3)&lt;1,0,IFERROR(LOOKUP(2,1/('Arroz irrigado'!$E80:INDEX('Arroz irrigado'!$E80:$Z80,MIN(N$6-$E$3,22))&lt;&gt;""),'Arroz irrigado'!$E80:INDEX('Arroz irrigado'!$E80:$Z80,MIN(N$6-$E$3,22))),0))-IF($G$2,0,IF((N$6-$G$3)&lt;1,0,IFERROR(LOOKUP(2,1/('Arroz irrigado'!$E80:INDEX('Arroz irrigado'!$E80:$Z80,MIN(N$6-$G$3,22))&lt;&gt;""),'Arroz irrigado'!$E80:INDEX('Arroz irrigado'!$E80:$Z80,MIN(N$6-$G$3,22))),0)))))</f>
        <v>0</v>
      </c>
      <c r="O82" s="27" t="n">
        <f aca="false">IF(COUNT('Arroz irrigado'!$E80:$Z80)=0,0,MAX(0,IF((O$6-$E$3)&lt;1,0,IFERROR(LOOKUP(2,1/('Arroz irrigado'!$E80:INDEX('Arroz irrigado'!$E80:$Z80,MIN(O$6-$E$3,22))&lt;&gt;""),'Arroz irrigado'!$E80:INDEX('Arroz irrigado'!$E80:$Z80,MIN(O$6-$E$3,22))),0))-IF($G$2,0,IF((O$6-$G$3)&lt;1,0,IFERROR(LOOKUP(2,1/('Arroz irrigado'!$E80:INDEX('Arroz irrigado'!$E80:$Z80,MIN(O$6-$G$3,22))&lt;&gt;""),'Arroz irrigado'!$E80:INDEX('Arroz irrigado'!$E80:$Z80,MIN(O$6-$G$3,22))),0)))))</f>
        <v>0</v>
      </c>
      <c r="P82" s="27" t="n">
        <f aca="false">IF(COUNT('Arroz irrigado'!$E80:$Z80)=0,0,MAX(0,IF((P$6-$E$3)&lt;1,0,IFERROR(LOOKUP(2,1/('Arroz irrigado'!$E80:INDEX('Arroz irrigado'!$E80:$Z80,MIN(P$6-$E$3,22))&lt;&gt;""),'Arroz irrigado'!$E80:INDEX('Arroz irrigado'!$E80:$Z80,MIN(P$6-$E$3,22))),0))-IF($G$2,0,IF((P$6-$G$3)&lt;1,0,IFERROR(LOOKUP(2,1/('Arroz irrigado'!$E80:INDEX('Arroz irrigado'!$E80:$Z80,MIN(P$6-$G$3,22))&lt;&gt;""),'Arroz irrigado'!$E80:INDEX('Arroz irrigado'!$E80:$Z80,MIN(P$6-$G$3,22))),0)))))</f>
        <v>0</v>
      </c>
      <c r="Q82" s="27" t="n">
        <f aca="false">IF(COUNT('Arroz irrigado'!$E80:$Z80)=0,0,MAX(0,IF((Q$6-$E$3)&lt;1,0,IFERROR(LOOKUP(2,1/('Arroz irrigado'!$E80:INDEX('Arroz irrigado'!$E80:$Z80,MIN(Q$6-$E$3,22))&lt;&gt;""),'Arroz irrigado'!$E80:INDEX('Arroz irrigado'!$E80:$Z80,MIN(Q$6-$E$3,22))),0))-IF($G$2,0,IF((Q$6-$G$3)&lt;1,0,IFERROR(LOOKUP(2,1/('Arroz irrigado'!$E80:INDEX('Arroz irrigado'!$E80:$Z80,MIN(Q$6-$G$3,22))&lt;&gt;""),'Arroz irrigado'!$E80:INDEX('Arroz irrigado'!$E80:$Z80,MIN(Q$6-$G$3,22))),0)))))</f>
        <v>0</v>
      </c>
      <c r="R82" s="27" t="n">
        <f aca="false">IF(COUNT('Arroz irrigado'!$E80:$Z80)=0,0,MAX(0,IF((R$6-$E$3)&lt;1,0,IFERROR(LOOKUP(2,1/('Arroz irrigado'!$E80:INDEX('Arroz irrigado'!$E80:$Z80,MIN(R$6-$E$3,22))&lt;&gt;""),'Arroz irrigado'!$E80:INDEX('Arroz irrigado'!$E80:$Z80,MIN(R$6-$E$3,22))),0))-IF($G$2,0,IF((R$6-$G$3)&lt;1,0,IFERROR(LOOKUP(2,1/('Arroz irrigado'!$E80:INDEX('Arroz irrigado'!$E80:$Z80,MIN(R$6-$G$3,22))&lt;&gt;""),'Arroz irrigado'!$E80:INDEX('Arroz irrigado'!$E80:$Z80,MIN(R$6-$G$3,22))),0)))))</f>
        <v>0</v>
      </c>
      <c r="S82" s="27" t="n">
        <f aca="false">IF(COUNT('Arroz irrigado'!$E80:$Z80)=0,0,MAX(0,IF((S$6-$E$3)&lt;1,0,IFERROR(LOOKUP(2,1/('Arroz irrigado'!$E80:INDEX('Arroz irrigado'!$E80:$Z80,MIN(S$6-$E$3,22))&lt;&gt;""),'Arroz irrigado'!$E80:INDEX('Arroz irrigado'!$E80:$Z80,MIN(S$6-$E$3,22))),0))-IF($G$2,0,IF((S$6-$G$3)&lt;1,0,IFERROR(LOOKUP(2,1/('Arroz irrigado'!$E80:INDEX('Arroz irrigado'!$E80:$Z80,MIN(S$6-$G$3,22))&lt;&gt;""),'Arroz irrigado'!$E80:INDEX('Arroz irrigado'!$E80:$Z80,MIN(S$6-$G$3,22))),0)))))</f>
        <v>0</v>
      </c>
      <c r="T82" s="27" t="n">
        <f aca="false">IF(COUNT('Arroz irrigado'!$E80:$Z80)=0,0,MAX(0,IF((T$6-$E$3)&lt;1,0,IFERROR(LOOKUP(2,1/('Arroz irrigado'!$E80:INDEX('Arroz irrigado'!$E80:$Z80,MIN(T$6-$E$3,22))&lt;&gt;""),'Arroz irrigado'!$E80:INDEX('Arroz irrigado'!$E80:$Z80,MIN(T$6-$E$3,22))),0))-IF($G$2,0,IF((T$6-$G$3)&lt;1,0,IFERROR(LOOKUP(2,1/('Arroz irrigado'!$E80:INDEX('Arroz irrigado'!$E80:$Z80,MIN(T$6-$G$3,22))&lt;&gt;""),'Arroz irrigado'!$E80:INDEX('Arroz irrigado'!$E80:$Z80,MIN(T$6-$G$3,22))),0)))))</f>
        <v>0</v>
      </c>
      <c r="U82" s="27" t="n">
        <f aca="false">IF(COUNT('Arroz irrigado'!$E80:$Z80)=0,0,MAX(0,IF((U$6-$E$3)&lt;1,0,IFERROR(LOOKUP(2,1/('Arroz irrigado'!$E80:INDEX('Arroz irrigado'!$E80:$Z80,MIN(U$6-$E$3,22))&lt;&gt;""),'Arroz irrigado'!$E80:INDEX('Arroz irrigado'!$E80:$Z80,MIN(U$6-$E$3,22))),0))-IF($G$2,0,IF((U$6-$G$3)&lt;1,0,IFERROR(LOOKUP(2,1/('Arroz irrigado'!$E80:INDEX('Arroz irrigado'!$E80:$Z80,MIN(U$6-$G$3,22))&lt;&gt;""),'Arroz irrigado'!$E80:INDEX('Arroz irrigado'!$E80:$Z80,MIN(U$6-$G$3,22))),0)))))</f>
        <v>0</v>
      </c>
      <c r="V82" s="27" t="n">
        <f aca="false">IF(COUNT('Arroz irrigado'!$E80:$Z80)=0,0,MAX(0,IF((V$6-$E$3)&lt;1,0,IFERROR(LOOKUP(2,1/('Arroz irrigado'!$E80:INDEX('Arroz irrigado'!$E80:$Z80,MIN(V$6-$E$3,22))&lt;&gt;""),'Arroz irrigado'!$E80:INDEX('Arroz irrigado'!$E80:$Z80,MIN(V$6-$E$3,22))),0))-IF($G$2,0,IF((V$6-$G$3)&lt;1,0,IFERROR(LOOKUP(2,1/('Arroz irrigado'!$E80:INDEX('Arroz irrigado'!$E80:$Z80,MIN(V$6-$G$3,22))&lt;&gt;""),'Arroz irrigado'!$E80:INDEX('Arroz irrigado'!$E80:$Z80,MIN(V$6-$G$3,22))),0)))))</f>
        <v>0</v>
      </c>
      <c r="W82" s="27" t="n">
        <f aca="false">IF(COUNT('Arroz irrigado'!$E80:$Z80)=0,0,MAX(0,IF((W$6-$E$3)&lt;1,0,IFERROR(LOOKUP(2,1/('Arroz irrigado'!$E80:INDEX('Arroz irrigado'!$E80:$Z80,MIN(W$6-$E$3,22))&lt;&gt;""),'Arroz irrigado'!$E80:INDEX('Arroz irrigado'!$E80:$Z80,MIN(W$6-$E$3,22))),0))-IF($G$2,0,IF((W$6-$G$3)&lt;1,0,IFERROR(LOOKUP(2,1/('Arroz irrigado'!$E80:INDEX('Arroz irrigado'!$E80:$Z80,MIN(W$6-$G$3,22))&lt;&gt;""),'Arroz irrigado'!$E80:INDEX('Arroz irrigado'!$E80:$Z80,MIN(W$6-$G$3,22))),0)))))</f>
        <v>0</v>
      </c>
      <c r="X82" s="27" t="n">
        <f aca="false">IF(COUNT('Arroz irrigado'!$E80:$Z80)=0,0,MAX(0,IF((X$6-$E$3)&lt;1,0,IFERROR(LOOKUP(2,1/('Arroz irrigado'!$E80:INDEX('Arroz irrigado'!$E80:$Z80,MIN(X$6-$E$3,22))&lt;&gt;""),'Arroz irrigado'!$E80:INDEX('Arroz irrigado'!$E80:$Z80,MIN(X$6-$E$3,22))),0))-IF($G$2,0,IF((X$6-$G$3)&lt;1,0,IFERROR(LOOKUP(2,1/('Arroz irrigado'!$E80:INDEX('Arroz irrigado'!$E80:$Z80,MIN(X$6-$G$3,22))&lt;&gt;""),'Arroz irrigado'!$E80:INDEX('Arroz irrigado'!$E80:$Z80,MIN(X$6-$G$3,22))),0)))))</f>
        <v>0</v>
      </c>
      <c r="Y82" s="27" t="n">
        <f aca="false">IF(COUNT('Arroz irrigado'!$E80:$Z80)=0,0,MAX(0,IF((Y$6-$E$3)&lt;1,0,IFERROR(LOOKUP(2,1/('Arroz irrigado'!$E80:INDEX('Arroz irrigado'!$E80:$Z80,MIN(Y$6-$E$3,22))&lt;&gt;""),'Arroz irrigado'!$E80:INDEX('Arroz irrigado'!$E80:$Z80,MIN(Y$6-$E$3,22))),0))-IF($G$2,0,IF((Y$6-$G$3)&lt;1,0,IFERROR(LOOKUP(2,1/('Arroz irrigado'!$E80:INDEX('Arroz irrigado'!$E80:$Z80,MIN(Y$6-$G$3,22))&lt;&gt;""),'Arroz irrigado'!$E80:INDEX('Arroz irrigado'!$E80:$Z80,MIN(Y$6-$G$3,22))),0)))))</f>
        <v>0</v>
      </c>
      <c r="Z82" s="27" t="n">
        <f aca="false">IF(COUNT('Arroz irrigado'!$E80:$Z80)=0,0,MAX(0,IF((Z$6-$E$3)&lt;1,0,IFERROR(LOOKUP(2,1/('Arroz irrigado'!$E80:INDEX('Arroz irrigado'!$E80:$Z80,MIN(Z$6-$E$3,22))&lt;&gt;""),'Arroz irrigado'!$E80:INDEX('Arroz irrigado'!$E80:$Z80,MIN(Z$6-$E$3,22))),0))-IF($G$2,0,IF((Z$6-$G$3)&lt;1,0,IFERROR(LOOKUP(2,1/('Arroz irrigado'!$E80:INDEX('Arroz irrigado'!$E80:$Z80,MIN(Z$6-$G$3,22))&lt;&gt;""),'Arroz irrigado'!$E80:INDEX('Arroz irrigado'!$E80:$Z80,MIN(Z$6-$G$3,22))),0)))))</f>
        <v>0</v>
      </c>
      <c r="AA82" s="27" t="n">
        <f aca="false">IF(COUNT('Arroz irrigado'!$E80:$Z80)=0,0,MAX(0,IF((AA$6-$E$3)&lt;1,0,IFERROR(LOOKUP(2,1/('Arroz irrigado'!$E80:INDEX('Arroz irrigado'!$E80:$Z80,MIN(AA$6-$E$3,22))&lt;&gt;""),'Arroz irrigado'!$E80:INDEX('Arroz irrigado'!$E80:$Z80,MIN(AA$6-$E$3,22))),0))-IF($G$2,0,IF((AA$6-$G$3)&lt;1,0,IFERROR(LOOKUP(2,1/('Arroz irrigado'!$E80:INDEX('Arroz irrigado'!$E80:$Z80,MIN(AA$6-$G$3,22))&lt;&gt;""),'Arroz irrigado'!$E80:INDEX('Arroz irrigado'!$E80:$Z80,MIN(AA$6-$G$3,22))),0)))))</f>
        <v>0</v>
      </c>
      <c r="AB82" s="27" t="n">
        <f aca="false">IF(COUNT('Arroz irrigado'!$E80:$Z80)=0,0,MAX(0,IF((AB$6-$E$3)&lt;1,0,IFERROR(LOOKUP(2,1/('Arroz irrigado'!$E80:INDEX('Arroz irrigado'!$E80:$Z80,MIN(AB$6-$E$3,22))&lt;&gt;""),'Arroz irrigado'!$E80:INDEX('Arroz irrigado'!$E80:$Z80,MIN(AB$6-$E$3,22))),0))-IF($G$2,0,IF((AB$6-$G$3)&lt;1,0,IFERROR(LOOKUP(2,1/('Arroz irrigado'!$E80:INDEX('Arroz irrigado'!$E80:$Z80,MIN(AB$6-$G$3,22))&lt;&gt;""),'Arroz irrigado'!$E80:INDEX('Arroz irrigado'!$E80:$Z80,MIN(AB$6-$G$3,22))),0)))))</f>
        <v>0</v>
      </c>
      <c r="AC82" s="27" t="n">
        <f aca="false">IF(COUNT('Arroz irrigado'!$E80:$Z80)=0,0,MAX(0,IF((AC$6-$E$3)&lt;1,0,IFERROR(LOOKUP(2,1/('Arroz irrigado'!$E80:INDEX('Arroz irrigado'!$E80:$Z80,MIN(AC$6-$E$3,22))&lt;&gt;""),'Arroz irrigado'!$E80:INDEX('Arroz irrigado'!$E80:$Z80,MIN(AC$6-$E$3,22))),0))-IF($G$2,0,IF((AC$6-$G$3)&lt;1,0,IFERROR(LOOKUP(2,1/('Arroz irrigado'!$E80:INDEX('Arroz irrigado'!$E80:$Z80,MIN(AC$6-$G$3,22))&lt;&gt;""),'Arroz irrigado'!$E80:INDEX('Arroz irrigado'!$E80:$Z80,MIN(AC$6-$G$3,22))),0)))))</f>
        <v>0</v>
      </c>
      <c r="AD82" s="27" t="n">
        <f aca="false">IF(COUNT('Arroz irrigado'!$E80:$Z80)=0,0,MAX(0,IF((AD$6-$E$3)&lt;1,0,IFERROR(LOOKUP(2,1/('Arroz irrigado'!$E80:INDEX('Arroz irrigado'!$E80:$Z80,MIN(AD$6-$E$3,22))&lt;&gt;""),'Arroz irrigado'!$E80:INDEX('Arroz irrigado'!$E80:$Z80,MIN(AD$6-$E$3,22))),0))-IF($G$2,0,IF((AD$6-$G$3)&lt;1,0,IFERROR(LOOKUP(2,1/('Arroz irrigado'!$E80:INDEX('Arroz irrigado'!$E80:$Z80,MIN(AD$6-$G$3,22))&lt;&gt;""),'Arroz irrigado'!$E80:INDEX('Arroz irrigado'!$E80:$Z80,MIN(AD$6-$G$3,22))),0)))))</f>
        <v>0</v>
      </c>
      <c r="AE82" s="27" t="n">
        <f aca="false">IF(COUNT('Arroz irrigado'!$E80:$Z80)=0,0,MAX(0,IF((AE$6-$E$3)&lt;1,0,IFERROR(LOOKUP(2,1/('Arroz irrigado'!$E80:INDEX('Arroz irrigado'!$E80:$Z80,MIN(AE$6-$E$3,22))&lt;&gt;""),'Arroz irrigado'!$E80:INDEX('Arroz irrigado'!$E80:$Z80,MIN(AE$6-$E$3,22))),0))-IF($G$2,0,IF((AE$6-$G$3)&lt;1,0,IFERROR(LOOKUP(2,1/('Arroz irrigado'!$E80:INDEX('Arroz irrigado'!$E80:$Z80,MIN(AE$6-$G$3,22))&lt;&gt;""),'Arroz irrigado'!$E80:INDEX('Arroz irrigado'!$E80:$Z80,MIN(AE$6-$G$3,22))),0)))))</f>
        <v>0</v>
      </c>
      <c r="AF82" s="27" t="n">
        <f aca="false">IF(COUNT('Arroz irrigado'!$E80:$Z80)=0,0,MAX(0,IF((AF$6-$E$3)&lt;1,0,IFERROR(LOOKUP(2,1/('Arroz irrigado'!$E80:INDEX('Arroz irrigado'!$E80:$Z80,MIN(AF$6-$E$3,22))&lt;&gt;""),'Arroz irrigado'!$E80:INDEX('Arroz irrigado'!$E80:$Z80,MIN(AF$6-$E$3,22))),0))-IF($G$2,0,IF((AF$6-$G$3)&lt;1,0,IFERROR(LOOKUP(2,1/('Arroz irrigado'!$E80:INDEX('Arroz irrigado'!$E80:$Z80,MIN(AF$6-$G$3,22))&lt;&gt;""),'Arroz irrigado'!$E80:INDEX('Arroz irrigado'!$E80:$Z80,MIN(AF$6-$G$3,22))),0)))))</f>
        <v>0</v>
      </c>
      <c r="AG82" s="27" t="n">
        <f aca="false">IF(COUNT('Arroz irrigado'!$E80:$Z80)=0,0,MAX(0,IF((AG$6-$E$3)&lt;1,0,IFERROR(LOOKUP(2,1/('Arroz irrigado'!$E80:INDEX('Arroz irrigado'!$E80:$Z80,MIN(AG$6-$E$3,22))&lt;&gt;""),'Arroz irrigado'!$E80:INDEX('Arroz irrigado'!$E80:$Z80,MIN(AG$6-$E$3,22))),0))-IF($G$2,0,IF((AG$6-$G$3)&lt;1,0,IFERROR(LOOKUP(2,1/('Arroz irrigado'!$E80:INDEX('Arroz irrigado'!$E80:$Z80,MIN(AG$6-$G$3,22))&lt;&gt;""),'Arroz irrigado'!$E80:INDEX('Arroz irrigado'!$E80:$Z80,MIN(AG$6-$G$3,22))),0)))))</f>
        <v>0</v>
      </c>
      <c r="AH82" s="27" t="n">
        <f aca="false">IF(COUNT('Arroz irrigado'!$E80:$Z80)=0,0,MAX(0,IF((AH$6-$E$3)&lt;1,0,IFERROR(LOOKUP(2,1/('Arroz irrigado'!$E80:INDEX('Arroz irrigado'!$E80:$Z80,MIN(AH$6-$E$3,22))&lt;&gt;""),'Arroz irrigado'!$E80:INDEX('Arroz irrigado'!$E80:$Z80,MIN(AH$6-$E$3,22))),0))-IF($G$2,0,IF((AH$6-$G$3)&lt;1,0,IFERROR(LOOKUP(2,1/('Arroz irrigado'!$E80:INDEX('Arroz irrigado'!$E80:$Z80,MIN(AH$6-$G$3,22))&lt;&gt;""),'Arroz irrigado'!$E80:INDEX('Arroz irrigado'!$E80:$Z80,MIN(AH$6-$G$3,22))),0)))))</f>
        <v>0</v>
      </c>
      <c r="AI82" s="27" t="n">
        <f aca="false">IF(COUNT('Arroz irrigado'!$E80:$Z80)=0,0,MAX(0,IF((AI$6-$E$3)&lt;1,0,IFERROR(LOOKUP(2,1/('Arroz irrigado'!$E80:INDEX('Arroz irrigado'!$E80:$Z80,MIN(AI$6-$E$3,22))&lt;&gt;""),'Arroz irrigado'!$E80:INDEX('Arroz irrigado'!$E80:$Z80,MIN(AI$6-$E$3,22))),0))-IF($G$2,0,IF((AI$6-$G$3)&lt;1,0,IFERROR(LOOKUP(2,1/('Arroz irrigado'!$E80:INDEX('Arroz irrigado'!$E80:$Z80,MIN(AI$6-$G$3,22))&lt;&gt;""),'Arroz irrigado'!$E80:INDEX('Arroz irrigado'!$E80:$Z80,MIN(AI$6-$G$3,22))),0)))))</f>
        <v>0</v>
      </c>
      <c r="AJ82" s="27" t="n">
        <f aca="false">IF(COUNT('Arroz irrigado'!$E80:$Z80)=0,0,MAX(0,IF((AJ$6-$E$3)&lt;1,0,IFERROR(LOOKUP(2,1/('Arroz irrigado'!$E80:INDEX('Arroz irrigado'!$E80:$Z80,MIN(AJ$6-$E$3,22))&lt;&gt;""),'Arroz irrigado'!$E80:INDEX('Arroz irrigado'!$E80:$Z80,MIN(AJ$6-$E$3,22))),0))-IF($G$2,0,IF((AJ$6-$G$3)&lt;1,0,IFERROR(LOOKUP(2,1/('Arroz irrigado'!$E80:INDEX('Arroz irrigado'!$E80:$Z80,MIN(AJ$6-$G$3,22))&lt;&gt;""),'Arroz irrigado'!$E80:INDEX('Arroz irrigado'!$E80:$Z80,MIN(AJ$6-$G$3,22))),0)))))</f>
        <v>0</v>
      </c>
      <c r="AK82" s="27" t="n">
        <f aca="false">IF(COUNT('Arroz irrigado'!$E80:$Z80)=0,0,MAX(0,IF((AK$6-$E$3)&lt;1,0,IFERROR(LOOKUP(2,1/('Arroz irrigado'!$E80:INDEX('Arroz irrigado'!$E80:$Z80,MIN(AK$6-$E$3,22))&lt;&gt;""),'Arroz irrigado'!$E80:INDEX('Arroz irrigado'!$E80:$Z80,MIN(AK$6-$E$3,22))),0))-IF($G$2,0,IF((AK$6-$G$3)&lt;1,0,IFERROR(LOOKUP(2,1/('Arroz irrigado'!$E80:INDEX('Arroz irrigado'!$E80:$Z80,MIN(AK$6-$G$3,22))&lt;&gt;""),'Arroz irrigado'!$E80:INDEX('Arroz irrigado'!$E80:$Z80,MIN(AK$6-$G$3,22))),0)))))</f>
        <v>0</v>
      </c>
      <c r="AL82" s="27" t="n">
        <f aca="false">IF(COUNT('Arroz irrigado'!$E80:$Z80)=0,0,MAX(0,IF((AL$6-$E$3)&lt;1,0,IFERROR(LOOKUP(2,1/('Arroz irrigado'!$E80:INDEX('Arroz irrigado'!$E80:$Z80,MIN(AL$6-$E$3,22))&lt;&gt;""),'Arroz irrigado'!$E80:INDEX('Arroz irrigado'!$E80:$Z80,MIN(AL$6-$E$3,22))),0))-IF($G$2,0,IF((AL$6-$G$3)&lt;1,0,IFERROR(LOOKUP(2,1/('Arroz irrigado'!$E80:INDEX('Arroz irrigado'!$E80:$Z80,MIN(AL$6-$G$3,22))&lt;&gt;""),'Arroz irrigado'!$E80:INDEX('Arroz irrigado'!$E80:$Z80,MIN(AL$6-$G$3,22))),0)))))</f>
        <v>0</v>
      </c>
      <c r="AM82" s="27" t="n">
        <f aca="false">IF(COUNT('Arroz irrigado'!$E80:$Z80)=0,0,MAX(0,IF((AM$6-$E$3)&lt;1,0,IFERROR(LOOKUP(2,1/('Arroz irrigado'!$E80:INDEX('Arroz irrigado'!$E80:$Z80,MIN(AM$6-$E$3,22))&lt;&gt;""),'Arroz irrigado'!$E80:INDEX('Arroz irrigado'!$E80:$Z80,MIN(AM$6-$E$3,22))),0))-IF($G$2,0,IF((AM$6-$G$3)&lt;1,0,IFERROR(LOOKUP(2,1/('Arroz irrigado'!$E80:INDEX('Arroz irrigado'!$E80:$Z80,MIN(AM$6-$G$3,22))&lt;&gt;""),'Arroz irrigado'!$E80:INDEX('Arroz irrigado'!$E80:$Z80,MIN(AM$6-$G$3,22))),0)))))</f>
        <v>0</v>
      </c>
      <c r="AN82" s="27" t="n">
        <f aca="false">IF(COUNT('Arroz irrigado'!$E80:$Z80)=0,0,MAX(0,IF((AN$6-$E$3)&lt;1,0,IFERROR(LOOKUP(2,1/('Arroz irrigado'!$E80:INDEX('Arroz irrigado'!$E80:$Z80,MIN(AN$6-$E$3,22))&lt;&gt;""),'Arroz irrigado'!$E80:INDEX('Arroz irrigado'!$E80:$Z80,MIN(AN$6-$E$3,22))),0))-IF($G$2,0,IF((AN$6-$G$3)&lt;1,0,IFERROR(LOOKUP(2,1/('Arroz irrigado'!$E80:INDEX('Arroz irrigado'!$E80:$Z80,MIN(AN$6-$G$3,22))&lt;&gt;""),'Arroz irrigado'!$E80:INDEX('Arroz irrigado'!$E80:$Z80,MIN(AN$6-$G$3,22))),0)))))</f>
        <v>0</v>
      </c>
      <c r="AO82" s="27" t="n">
        <f aca="false">IF(COUNT('Arroz irrigado'!$E80:$Z80)=0,0,MAX(0,IF((AO$6-$E$3)&lt;1,0,IFERROR(LOOKUP(2,1/('Arroz irrigado'!$E80:INDEX('Arroz irrigado'!$E80:$Z80,MIN(AO$6-$E$3,22))&lt;&gt;""),'Arroz irrigado'!$E80:INDEX('Arroz irrigado'!$E80:$Z80,MIN(AO$6-$E$3,22))),0))-IF($G$2,0,IF((AO$6-$G$3)&lt;1,0,IFERROR(LOOKUP(2,1/('Arroz irrigado'!$E80:INDEX('Arroz irrigado'!$E80:$Z80,MIN(AO$6-$G$3,22))&lt;&gt;""),'Arroz irrigado'!$E80:INDEX('Arroz irrigado'!$E80:$Z80,MIN(AO$6-$G$3,22))),0)))))</f>
        <v>0</v>
      </c>
      <c r="AP82" s="27" t="n">
        <f aca="false">IF(COUNT('Arroz irrigado'!$E80:$Z80)=0,0,MAX(0,IF((AP$6-$E$3)&lt;1,0,IFERROR(LOOKUP(2,1/('Arroz irrigado'!$E80:INDEX('Arroz irrigado'!$E80:$Z80,MIN(AP$6-$E$3,22))&lt;&gt;""),'Arroz irrigado'!$E80:INDEX('Arroz irrigado'!$E80:$Z80,MIN(AP$6-$E$3,22))),0))-IF($G$2,0,IF((AP$6-$G$3)&lt;1,0,IFERROR(LOOKUP(2,1/('Arroz irrigado'!$E80:INDEX('Arroz irrigado'!$E80:$Z80,MIN(AP$6-$G$3,22))&lt;&gt;""),'Arroz irrigado'!$E80:INDEX('Arroz irrigado'!$E80:$Z80,MIN(AP$6-$G$3,22))),0)))))</f>
        <v>0</v>
      </c>
      <c r="AQ82" s="27" t="n">
        <f aca="false">IF(COUNT('Arroz irrigado'!$E80:$Z80)=0,0,MAX(0,IF((AQ$6-$E$3)&lt;1,0,IFERROR(LOOKUP(2,1/('Arroz irrigado'!$E80:INDEX('Arroz irrigado'!$E80:$Z80,MIN(AQ$6-$E$3,22))&lt;&gt;""),'Arroz irrigado'!$E80:INDEX('Arroz irrigado'!$E80:$Z80,MIN(AQ$6-$E$3,22))),0))-IF($G$2,0,IF((AQ$6-$G$3)&lt;1,0,IFERROR(LOOKUP(2,1/('Arroz irrigado'!$E80:INDEX('Arroz irrigado'!$E80:$Z80,MIN(AQ$6-$G$3,22))&lt;&gt;""),'Arroz irrigado'!$E80:INDEX('Arroz irrigado'!$E80:$Z80,MIN(AQ$6-$G$3,22))),0)))))</f>
        <v>0</v>
      </c>
      <c r="AR82" s="27" t="n">
        <f aca="false">IF(COUNT('Arroz irrigado'!$E80:$Z80)=0,0,MAX(0,IF((AR$6-$E$3)&lt;1,0,IFERROR(LOOKUP(2,1/('Arroz irrigado'!$E80:INDEX('Arroz irrigado'!$E80:$Z80,MIN(AR$6-$E$3,22))&lt;&gt;""),'Arroz irrigado'!$E80:INDEX('Arroz irrigado'!$E80:$Z80,MIN(AR$6-$E$3,22))),0))-IF($G$2,0,IF((AR$6-$G$3)&lt;1,0,IFERROR(LOOKUP(2,1/('Arroz irrigado'!$E80:INDEX('Arroz irrigado'!$E80:$Z80,MIN(AR$6-$G$3,22))&lt;&gt;""),'Arroz irrigado'!$E80:INDEX('Arroz irrigado'!$E80:$Z80,MIN(AR$6-$G$3,22))),0)))))</f>
        <v>0</v>
      </c>
      <c r="AS82" s="27" t="n">
        <f aca="false">IF(COUNT('Arroz irrigado'!$E80:$Z80)=0,0,MAX(0,IF((AS$6-$E$3)&lt;1,0,IFERROR(LOOKUP(2,1/('Arroz irrigado'!$E80:INDEX('Arroz irrigado'!$E80:$Z80,MIN(AS$6-$E$3,22))&lt;&gt;""),'Arroz irrigado'!$E80:INDEX('Arroz irrigado'!$E80:$Z80,MIN(AS$6-$E$3,22))),0))-IF($G$2,0,IF((AS$6-$G$3)&lt;1,0,IFERROR(LOOKUP(2,1/('Arroz irrigado'!$E80:INDEX('Arroz irrigado'!$E80:$Z80,MIN(AS$6-$G$3,22))&lt;&gt;""),'Arroz irrigado'!$E80:INDEX('Arroz irrigado'!$E80:$Z80,MIN(AS$6-$G$3,22))),0)))))</f>
        <v>0</v>
      </c>
      <c r="AT82" s="27" t="n">
        <f aca="false">IF(COUNT('Arroz irrigado'!$E80:$Z80)=0,0,MAX(0,IF((AT$6-$E$3)&lt;1,0,IFERROR(LOOKUP(2,1/('Arroz irrigado'!$E80:INDEX('Arroz irrigado'!$E80:$Z80,MIN(AT$6-$E$3,22))&lt;&gt;""),'Arroz irrigado'!$E80:INDEX('Arroz irrigado'!$E80:$Z80,MIN(AT$6-$E$3,22))),0))-IF($G$2,0,IF((AT$6-$G$3)&lt;1,0,IFERROR(LOOKUP(2,1/('Arroz irrigado'!$E80:INDEX('Arroz irrigado'!$E80:$Z80,MIN(AT$6-$G$3,22))&lt;&gt;""),'Arroz irrigado'!$E80:INDEX('Arroz irrigado'!$E80:$Z80,MIN(AT$6-$G$3,22))),0)))))</f>
        <v>0</v>
      </c>
      <c r="AU82" s="27" t="n">
        <f aca="false">IF(COUNT('Arroz irrigado'!$E80:$Z80)=0,0,MAX(0,IF((AU$6-$E$3)&lt;1,0,IFERROR(LOOKUP(2,1/('Arroz irrigado'!$E80:INDEX('Arroz irrigado'!$E80:$Z80,MIN(AU$6-$E$3,22))&lt;&gt;""),'Arroz irrigado'!$E80:INDEX('Arroz irrigado'!$E80:$Z80,MIN(AU$6-$E$3,22))),0))-IF($G$2,0,IF((AU$6-$G$3)&lt;1,0,IFERROR(LOOKUP(2,1/('Arroz irrigado'!$E80:INDEX('Arroz irrigado'!$E80:$Z80,MIN(AU$6-$G$3,22))&lt;&gt;""),'Arroz irrigado'!$E80:INDEX('Arroz irrigado'!$E80:$Z80,MIN(AU$6-$G$3,22))),0)))))</f>
        <v>0</v>
      </c>
      <c r="AV82" s="27" t="n">
        <f aca="false">IF(COUNT('Arroz irrigado'!$E80:$Z80)=0,0,MAX(0,IF((AV$6-$E$3)&lt;1,0,IFERROR(LOOKUP(2,1/('Arroz irrigado'!$E80:INDEX('Arroz irrigado'!$E80:$Z80,MIN(AV$6-$E$3,22))&lt;&gt;""),'Arroz irrigado'!$E80:INDEX('Arroz irrigado'!$E80:$Z80,MIN(AV$6-$E$3,22))),0))-IF($G$2,0,IF((AV$6-$G$3)&lt;1,0,IFERROR(LOOKUP(2,1/('Arroz irrigado'!$E80:INDEX('Arroz irrigado'!$E80:$Z80,MIN(AV$6-$G$3,22))&lt;&gt;""),'Arroz irrigado'!$E80:INDEX('Arroz irrigado'!$E80:$Z80,MIN(AV$6-$G$3,22))),0)))))</f>
        <v>0</v>
      </c>
      <c r="AW82" s="27" t="n">
        <f aca="false">IF(COUNT('Arroz irrigado'!$E80:$Z80)=0,0,MAX(0,IF((AW$6-$E$3)&lt;1,0,IFERROR(LOOKUP(2,1/('Arroz irrigado'!$E80:INDEX('Arroz irrigado'!$E80:$Z80,MIN(AW$6-$E$3,22))&lt;&gt;""),'Arroz irrigado'!$E80:INDEX('Arroz irrigado'!$E80:$Z80,MIN(AW$6-$E$3,22))),0))-IF($G$2,0,IF((AW$6-$G$3)&lt;1,0,IFERROR(LOOKUP(2,1/('Arroz irrigado'!$E80:INDEX('Arroz irrigado'!$E80:$Z80,MIN(AW$6-$G$3,22))&lt;&gt;""),'Arroz irrigado'!$E80:INDEX('Arroz irrigado'!$E80:$Z80,MIN(AW$6-$G$3,22))),0)))))</f>
        <v>0</v>
      </c>
      <c r="AX82" s="27" t="n">
        <f aca="false">IF(COUNT('Arroz irrigado'!$E80:$Z80)=0,0,MAX(0,IF((AX$6-$E$3)&lt;1,0,IFERROR(LOOKUP(2,1/('Arroz irrigado'!$E80:INDEX('Arroz irrigado'!$E80:$Z80,MIN(AX$6-$E$3,22))&lt;&gt;""),'Arroz irrigado'!$E80:INDEX('Arroz irrigado'!$E80:$Z80,MIN(AX$6-$E$3,22))),0))-IF($G$2,0,IF((AX$6-$G$3)&lt;1,0,IFERROR(LOOKUP(2,1/('Arroz irrigado'!$E80:INDEX('Arroz irrigado'!$E80:$Z80,MIN(AX$6-$G$3,22))&lt;&gt;""),'Arroz irrigado'!$E80:INDEX('Arroz irrigado'!$E80:$Z80,MIN(AX$6-$G$3,22))),0)))))</f>
        <v>0</v>
      </c>
      <c r="AY82" s="27" t="n">
        <f aca="false">IF(COUNT('Arroz irrigado'!$E80:$Z80)=0,0,MAX(0,IF((AY$6-$E$3)&lt;1,0,IFERROR(LOOKUP(2,1/('Arroz irrigado'!$E80:INDEX('Arroz irrigado'!$E80:$Z80,MIN(AY$6-$E$3,22))&lt;&gt;""),'Arroz irrigado'!$E80:INDEX('Arroz irrigado'!$E80:$Z80,MIN(AY$6-$E$3,22))),0))-IF($G$2,0,IF((AY$6-$G$3)&lt;1,0,IFERROR(LOOKUP(2,1/('Arroz irrigado'!$E80:INDEX('Arroz irrigado'!$E80:$Z80,MIN(AY$6-$G$3,22))&lt;&gt;""),'Arroz irrigado'!$E80:INDEX('Arroz irrigado'!$E80:$Z80,MIN(AY$6-$G$3,22))),0)))))</f>
        <v>0</v>
      </c>
      <c r="AZ82" s="27" t="n">
        <f aca="false">IF(COUNT('Arroz irrigado'!$E80:$Z80)=0,0,MAX(0,IF((AZ$6-$E$3)&lt;1,0,IFERROR(LOOKUP(2,1/('Arroz irrigado'!$E80:INDEX('Arroz irrigado'!$E80:$Z80,MIN(AZ$6-$E$3,22))&lt;&gt;""),'Arroz irrigado'!$E80:INDEX('Arroz irrigado'!$E80:$Z80,MIN(AZ$6-$E$3,22))),0))-IF($G$2,0,IF((AZ$6-$G$3)&lt;1,0,IFERROR(LOOKUP(2,1/('Arroz irrigado'!$E80:INDEX('Arroz irrigado'!$E80:$Z80,MIN(AZ$6-$G$3,22))&lt;&gt;""),'Arroz irrigado'!$E80:INDEX('Arroz irrigado'!$E80:$Z80,MIN(AZ$6-$G$3,22))),0)))))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IF(COUNT('Arroz irrigado'!$E81:$Z81)&gt;0,N('Arroz irrigado'!$D81),0)</f>
        <v>0</v>
      </c>
      <c r="E83" s="27" t="n">
        <f aca="false">IF(COUNT('Arroz irrigado'!$E81:$Z81)=0,0,MAX(0,IF((E$6-$E$3)&lt;1,0,IFERROR(LOOKUP(2,1/('Arroz irrigado'!$E81:INDEX('Arroz irrigado'!$E81:$Z81,MIN(E$6-$E$3,22))&lt;&gt;""),'Arroz irrigado'!$E81:INDEX('Arroz irrigado'!$E81:$Z81,MIN(E$6-$E$3,22))),0))-IF($G$2,0,IF((E$6-$G$3)&lt;1,0,IFERROR(LOOKUP(2,1/('Arroz irrigado'!$E81:INDEX('Arroz irrigado'!$E81:$Z81,MIN(E$6-$G$3,22))&lt;&gt;""),'Arroz irrigado'!$E81:INDEX('Arroz irrigado'!$E81:$Z81,MIN(E$6-$G$3,22))),0)))))</f>
        <v>0</v>
      </c>
      <c r="F83" s="27" t="n">
        <f aca="false">IF(COUNT('Arroz irrigado'!$E81:$Z81)=0,0,MAX(0,IF((F$6-$E$3)&lt;1,0,IFERROR(LOOKUP(2,1/('Arroz irrigado'!$E81:INDEX('Arroz irrigado'!$E81:$Z81,MIN(F$6-$E$3,22))&lt;&gt;""),'Arroz irrigado'!$E81:INDEX('Arroz irrigado'!$E81:$Z81,MIN(F$6-$E$3,22))),0))-IF($G$2,0,IF((F$6-$G$3)&lt;1,0,IFERROR(LOOKUP(2,1/('Arroz irrigado'!$E81:INDEX('Arroz irrigado'!$E81:$Z81,MIN(F$6-$G$3,22))&lt;&gt;""),'Arroz irrigado'!$E81:INDEX('Arroz irrigado'!$E81:$Z81,MIN(F$6-$G$3,22))),0)))))</f>
        <v>0</v>
      </c>
      <c r="G83" s="27" t="n">
        <f aca="false">IF(COUNT('Arroz irrigado'!$E81:$Z81)=0,0,MAX(0,IF((G$6-$E$3)&lt;1,0,IFERROR(LOOKUP(2,1/('Arroz irrigado'!$E81:INDEX('Arroz irrigado'!$E81:$Z81,MIN(G$6-$E$3,22))&lt;&gt;""),'Arroz irrigado'!$E81:INDEX('Arroz irrigado'!$E81:$Z81,MIN(G$6-$E$3,22))),0))-IF($G$2,0,IF((G$6-$G$3)&lt;1,0,IFERROR(LOOKUP(2,1/('Arroz irrigado'!$E81:INDEX('Arroz irrigado'!$E81:$Z81,MIN(G$6-$G$3,22))&lt;&gt;""),'Arroz irrigado'!$E81:INDEX('Arroz irrigado'!$E81:$Z81,MIN(G$6-$G$3,22))),0)))))</f>
        <v>0</v>
      </c>
      <c r="H83" s="27" t="n">
        <f aca="false">IF(COUNT('Arroz irrigado'!$E81:$Z81)=0,0,MAX(0,IF((H$6-$E$3)&lt;1,0,IFERROR(LOOKUP(2,1/('Arroz irrigado'!$E81:INDEX('Arroz irrigado'!$E81:$Z81,MIN(H$6-$E$3,22))&lt;&gt;""),'Arroz irrigado'!$E81:INDEX('Arroz irrigado'!$E81:$Z81,MIN(H$6-$E$3,22))),0))-IF($G$2,0,IF((H$6-$G$3)&lt;1,0,IFERROR(LOOKUP(2,1/('Arroz irrigado'!$E81:INDEX('Arroz irrigado'!$E81:$Z81,MIN(H$6-$G$3,22))&lt;&gt;""),'Arroz irrigado'!$E81:INDEX('Arroz irrigado'!$E81:$Z81,MIN(H$6-$G$3,22))),0)))))</f>
        <v>0</v>
      </c>
      <c r="I83" s="27" t="n">
        <f aca="false">IF(COUNT('Arroz irrigado'!$E81:$Z81)=0,0,MAX(0,IF((I$6-$E$3)&lt;1,0,IFERROR(LOOKUP(2,1/('Arroz irrigado'!$E81:INDEX('Arroz irrigado'!$E81:$Z81,MIN(I$6-$E$3,22))&lt;&gt;""),'Arroz irrigado'!$E81:INDEX('Arroz irrigado'!$E81:$Z81,MIN(I$6-$E$3,22))),0))-IF($G$2,0,IF((I$6-$G$3)&lt;1,0,IFERROR(LOOKUP(2,1/('Arroz irrigado'!$E81:INDEX('Arroz irrigado'!$E81:$Z81,MIN(I$6-$G$3,22))&lt;&gt;""),'Arroz irrigado'!$E81:INDEX('Arroz irrigado'!$E81:$Z81,MIN(I$6-$G$3,22))),0)))))</f>
        <v>0</v>
      </c>
      <c r="J83" s="27" t="n">
        <f aca="false">IF(COUNT('Arroz irrigado'!$E81:$Z81)=0,0,MAX(0,IF((J$6-$E$3)&lt;1,0,IFERROR(LOOKUP(2,1/('Arroz irrigado'!$E81:INDEX('Arroz irrigado'!$E81:$Z81,MIN(J$6-$E$3,22))&lt;&gt;""),'Arroz irrigado'!$E81:INDEX('Arroz irrigado'!$E81:$Z81,MIN(J$6-$E$3,22))),0))-IF($G$2,0,IF((J$6-$G$3)&lt;1,0,IFERROR(LOOKUP(2,1/('Arroz irrigado'!$E81:INDEX('Arroz irrigado'!$E81:$Z81,MIN(J$6-$G$3,22))&lt;&gt;""),'Arroz irrigado'!$E81:INDEX('Arroz irrigado'!$E81:$Z81,MIN(J$6-$G$3,22))),0)))))</f>
        <v>0</v>
      </c>
      <c r="K83" s="27" t="n">
        <f aca="false">IF(COUNT('Arroz irrigado'!$E81:$Z81)=0,0,MAX(0,IF((K$6-$E$3)&lt;1,0,IFERROR(LOOKUP(2,1/('Arroz irrigado'!$E81:INDEX('Arroz irrigado'!$E81:$Z81,MIN(K$6-$E$3,22))&lt;&gt;""),'Arroz irrigado'!$E81:INDEX('Arroz irrigado'!$E81:$Z81,MIN(K$6-$E$3,22))),0))-IF($G$2,0,IF((K$6-$G$3)&lt;1,0,IFERROR(LOOKUP(2,1/('Arroz irrigado'!$E81:INDEX('Arroz irrigado'!$E81:$Z81,MIN(K$6-$G$3,22))&lt;&gt;""),'Arroz irrigado'!$E81:INDEX('Arroz irrigado'!$E81:$Z81,MIN(K$6-$G$3,22))),0)))))</f>
        <v>0</v>
      </c>
      <c r="L83" s="27" t="n">
        <f aca="false">IF(COUNT('Arroz irrigado'!$E81:$Z81)=0,0,MAX(0,IF((L$6-$E$3)&lt;1,0,IFERROR(LOOKUP(2,1/('Arroz irrigado'!$E81:INDEX('Arroz irrigado'!$E81:$Z81,MIN(L$6-$E$3,22))&lt;&gt;""),'Arroz irrigado'!$E81:INDEX('Arroz irrigado'!$E81:$Z81,MIN(L$6-$E$3,22))),0))-IF($G$2,0,IF((L$6-$G$3)&lt;1,0,IFERROR(LOOKUP(2,1/('Arroz irrigado'!$E81:INDEX('Arroz irrigado'!$E81:$Z81,MIN(L$6-$G$3,22))&lt;&gt;""),'Arroz irrigado'!$E81:INDEX('Arroz irrigado'!$E81:$Z81,MIN(L$6-$G$3,22))),0)))))</f>
        <v>0</v>
      </c>
      <c r="M83" s="27" t="n">
        <f aca="false">IF(COUNT('Arroz irrigado'!$E81:$Z81)=0,0,MAX(0,IF((M$6-$E$3)&lt;1,0,IFERROR(LOOKUP(2,1/('Arroz irrigado'!$E81:INDEX('Arroz irrigado'!$E81:$Z81,MIN(M$6-$E$3,22))&lt;&gt;""),'Arroz irrigado'!$E81:INDEX('Arroz irrigado'!$E81:$Z81,MIN(M$6-$E$3,22))),0))-IF($G$2,0,IF((M$6-$G$3)&lt;1,0,IFERROR(LOOKUP(2,1/('Arroz irrigado'!$E81:INDEX('Arroz irrigado'!$E81:$Z81,MIN(M$6-$G$3,22))&lt;&gt;""),'Arroz irrigado'!$E81:INDEX('Arroz irrigado'!$E81:$Z81,MIN(M$6-$G$3,22))),0)))))</f>
        <v>0</v>
      </c>
      <c r="N83" s="27" t="n">
        <f aca="false">IF(COUNT('Arroz irrigado'!$E81:$Z81)=0,0,MAX(0,IF((N$6-$E$3)&lt;1,0,IFERROR(LOOKUP(2,1/('Arroz irrigado'!$E81:INDEX('Arroz irrigado'!$E81:$Z81,MIN(N$6-$E$3,22))&lt;&gt;""),'Arroz irrigado'!$E81:INDEX('Arroz irrigado'!$E81:$Z81,MIN(N$6-$E$3,22))),0))-IF($G$2,0,IF((N$6-$G$3)&lt;1,0,IFERROR(LOOKUP(2,1/('Arroz irrigado'!$E81:INDEX('Arroz irrigado'!$E81:$Z81,MIN(N$6-$G$3,22))&lt;&gt;""),'Arroz irrigado'!$E81:INDEX('Arroz irrigado'!$E81:$Z81,MIN(N$6-$G$3,22))),0)))))</f>
        <v>0</v>
      </c>
      <c r="O83" s="27" t="n">
        <f aca="false">IF(COUNT('Arroz irrigado'!$E81:$Z81)=0,0,MAX(0,IF((O$6-$E$3)&lt;1,0,IFERROR(LOOKUP(2,1/('Arroz irrigado'!$E81:INDEX('Arroz irrigado'!$E81:$Z81,MIN(O$6-$E$3,22))&lt;&gt;""),'Arroz irrigado'!$E81:INDEX('Arroz irrigado'!$E81:$Z81,MIN(O$6-$E$3,22))),0))-IF($G$2,0,IF((O$6-$G$3)&lt;1,0,IFERROR(LOOKUP(2,1/('Arroz irrigado'!$E81:INDEX('Arroz irrigado'!$E81:$Z81,MIN(O$6-$G$3,22))&lt;&gt;""),'Arroz irrigado'!$E81:INDEX('Arroz irrigado'!$E81:$Z81,MIN(O$6-$G$3,22))),0)))))</f>
        <v>0</v>
      </c>
      <c r="P83" s="27" t="n">
        <f aca="false">IF(COUNT('Arroz irrigado'!$E81:$Z81)=0,0,MAX(0,IF((P$6-$E$3)&lt;1,0,IFERROR(LOOKUP(2,1/('Arroz irrigado'!$E81:INDEX('Arroz irrigado'!$E81:$Z81,MIN(P$6-$E$3,22))&lt;&gt;""),'Arroz irrigado'!$E81:INDEX('Arroz irrigado'!$E81:$Z81,MIN(P$6-$E$3,22))),0))-IF($G$2,0,IF((P$6-$G$3)&lt;1,0,IFERROR(LOOKUP(2,1/('Arroz irrigado'!$E81:INDEX('Arroz irrigado'!$E81:$Z81,MIN(P$6-$G$3,22))&lt;&gt;""),'Arroz irrigado'!$E81:INDEX('Arroz irrigado'!$E81:$Z81,MIN(P$6-$G$3,22))),0)))))</f>
        <v>0</v>
      </c>
      <c r="Q83" s="27" t="n">
        <f aca="false">IF(COUNT('Arroz irrigado'!$E81:$Z81)=0,0,MAX(0,IF((Q$6-$E$3)&lt;1,0,IFERROR(LOOKUP(2,1/('Arroz irrigado'!$E81:INDEX('Arroz irrigado'!$E81:$Z81,MIN(Q$6-$E$3,22))&lt;&gt;""),'Arroz irrigado'!$E81:INDEX('Arroz irrigado'!$E81:$Z81,MIN(Q$6-$E$3,22))),0))-IF($G$2,0,IF((Q$6-$G$3)&lt;1,0,IFERROR(LOOKUP(2,1/('Arroz irrigado'!$E81:INDEX('Arroz irrigado'!$E81:$Z81,MIN(Q$6-$G$3,22))&lt;&gt;""),'Arroz irrigado'!$E81:INDEX('Arroz irrigado'!$E81:$Z81,MIN(Q$6-$G$3,22))),0)))))</f>
        <v>0</v>
      </c>
      <c r="R83" s="27" t="n">
        <f aca="false">IF(COUNT('Arroz irrigado'!$E81:$Z81)=0,0,MAX(0,IF((R$6-$E$3)&lt;1,0,IFERROR(LOOKUP(2,1/('Arroz irrigado'!$E81:INDEX('Arroz irrigado'!$E81:$Z81,MIN(R$6-$E$3,22))&lt;&gt;""),'Arroz irrigado'!$E81:INDEX('Arroz irrigado'!$E81:$Z81,MIN(R$6-$E$3,22))),0))-IF($G$2,0,IF((R$6-$G$3)&lt;1,0,IFERROR(LOOKUP(2,1/('Arroz irrigado'!$E81:INDEX('Arroz irrigado'!$E81:$Z81,MIN(R$6-$G$3,22))&lt;&gt;""),'Arroz irrigado'!$E81:INDEX('Arroz irrigado'!$E81:$Z81,MIN(R$6-$G$3,22))),0)))))</f>
        <v>0</v>
      </c>
      <c r="S83" s="27" t="n">
        <f aca="false">IF(COUNT('Arroz irrigado'!$E81:$Z81)=0,0,MAX(0,IF((S$6-$E$3)&lt;1,0,IFERROR(LOOKUP(2,1/('Arroz irrigado'!$E81:INDEX('Arroz irrigado'!$E81:$Z81,MIN(S$6-$E$3,22))&lt;&gt;""),'Arroz irrigado'!$E81:INDEX('Arroz irrigado'!$E81:$Z81,MIN(S$6-$E$3,22))),0))-IF($G$2,0,IF((S$6-$G$3)&lt;1,0,IFERROR(LOOKUP(2,1/('Arroz irrigado'!$E81:INDEX('Arroz irrigado'!$E81:$Z81,MIN(S$6-$G$3,22))&lt;&gt;""),'Arroz irrigado'!$E81:INDEX('Arroz irrigado'!$E81:$Z81,MIN(S$6-$G$3,22))),0)))))</f>
        <v>0</v>
      </c>
      <c r="T83" s="27" t="n">
        <f aca="false">IF(COUNT('Arroz irrigado'!$E81:$Z81)=0,0,MAX(0,IF((T$6-$E$3)&lt;1,0,IFERROR(LOOKUP(2,1/('Arroz irrigado'!$E81:INDEX('Arroz irrigado'!$E81:$Z81,MIN(T$6-$E$3,22))&lt;&gt;""),'Arroz irrigado'!$E81:INDEX('Arroz irrigado'!$E81:$Z81,MIN(T$6-$E$3,22))),0))-IF($G$2,0,IF((T$6-$G$3)&lt;1,0,IFERROR(LOOKUP(2,1/('Arroz irrigado'!$E81:INDEX('Arroz irrigado'!$E81:$Z81,MIN(T$6-$G$3,22))&lt;&gt;""),'Arroz irrigado'!$E81:INDEX('Arroz irrigado'!$E81:$Z81,MIN(T$6-$G$3,22))),0)))))</f>
        <v>0</v>
      </c>
      <c r="U83" s="27" t="n">
        <f aca="false">IF(COUNT('Arroz irrigado'!$E81:$Z81)=0,0,MAX(0,IF((U$6-$E$3)&lt;1,0,IFERROR(LOOKUP(2,1/('Arroz irrigado'!$E81:INDEX('Arroz irrigado'!$E81:$Z81,MIN(U$6-$E$3,22))&lt;&gt;""),'Arroz irrigado'!$E81:INDEX('Arroz irrigado'!$E81:$Z81,MIN(U$6-$E$3,22))),0))-IF($G$2,0,IF((U$6-$G$3)&lt;1,0,IFERROR(LOOKUP(2,1/('Arroz irrigado'!$E81:INDEX('Arroz irrigado'!$E81:$Z81,MIN(U$6-$G$3,22))&lt;&gt;""),'Arroz irrigado'!$E81:INDEX('Arroz irrigado'!$E81:$Z81,MIN(U$6-$G$3,22))),0)))))</f>
        <v>0</v>
      </c>
      <c r="V83" s="27" t="n">
        <f aca="false">IF(COUNT('Arroz irrigado'!$E81:$Z81)=0,0,MAX(0,IF((V$6-$E$3)&lt;1,0,IFERROR(LOOKUP(2,1/('Arroz irrigado'!$E81:INDEX('Arroz irrigado'!$E81:$Z81,MIN(V$6-$E$3,22))&lt;&gt;""),'Arroz irrigado'!$E81:INDEX('Arroz irrigado'!$E81:$Z81,MIN(V$6-$E$3,22))),0))-IF($G$2,0,IF((V$6-$G$3)&lt;1,0,IFERROR(LOOKUP(2,1/('Arroz irrigado'!$E81:INDEX('Arroz irrigado'!$E81:$Z81,MIN(V$6-$G$3,22))&lt;&gt;""),'Arroz irrigado'!$E81:INDEX('Arroz irrigado'!$E81:$Z81,MIN(V$6-$G$3,22))),0)))))</f>
        <v>0</v>
      </c>
      <c r="W83" s="27" t="n">
        <f aca="false">IF(COUNT('Arroz irrigado'!$E81:$Z81)=0,0,MAX(0,IF((W$6-$E$3)&lt;1,0,IFERROR(LOOKUP(2,1/('Arroz irrigado'!$E81:INDEX('Arroz irrigado'!$E81:$Z81,MIN(W$6-$E$3,22))&lt;&gt;""),'Arroz irrigado'!$E81:INDEX('Arroz irrigado'!$E81:$Z81,MIN(W$6-$E$3,22))),0))-IF($G$2,0,IF((W$6-$G$3)&lt;1,0,IFERROR(LOOKUP(2,1/('Arroz irrigado'!$E81:INDEX('Arroz irrigado'!$E81:$Z81,MIN(W$6-$G$3,22))&lt;&gt;""),'Arroz irrigado'!$E81:INDEX('Arroz irrigado'!$E81:$Z81,MIN(W$6-$G$3,22))),0)))))</f>
        <v>0</v>
      </c>
      <c r="X83" s="27" t="n">
        <f aca="false">IF(COUNT('Arroz irrigado'!$E81:$Z81)=0,0,MAX(0,IF((X$6-$E$3)&lt;1,0,IFERROR(LOOKUP(2,1/('Arroz irrigado'!$E81:INDEX('Arroz irrigado'!$E81:$Z81,MIN(X$6-$E$3,22))&lt;&gt;""),'Arroz irrigado'!$E81:INDEX('Arroz irrigado'!$E81:$Z81,MIN(X$6-$E$3,22))),0))-IF($G$2,0,IF((X$6-$G$3)&lt;1,0,IFERROR(LOOKUP(2,1/('Arroz irrigado'!$E81:INDEX('Arroz irrigado'!$E81:$Z81,MIN(X$6-$G$3,22))&lt;&gt;""),'Arroz irrigado'!$E81:INDEX('Arroz irrigado'!$E81:$Z81,MIN(X$6-$G$3,22))),0)))))</f>
        <v>0</v>
      </c>
      <c r="Y83" s="27" t="n">
        <f aca="false">IF(COUNT('Arroz irrigado'!$E81:$Z81)=0,0,MAX(0,IF((Y$6-$E$3)&lt;1,0,IFERROR(LOOKUP(2,1/('Arroz irrigado'!$E81:INDEX('Arroz irrigado'!$E81:$Z81,MIN(Y$6-$E$3,22))&lt;&gt;""),'Arroz irrigado'!$E81:INDEX('Arroz irrigado'!$E81:$Z81,MIN(Y$6-$E$3,22))),0))-IF($G$2,0,IF((Y$6-$G$3)&lt;1,0,IFERROR(LOOKUP(2,1/('Arroz irrigado'!$E81:INDEX('Arroz irrigado'!$E81:$Z81,MIN(Y$6-$G$3,22))&lt;&gt;""),'Arroz irrigado'!$E81:INDEX('Arroz irrigado'!$E81:$Z81,MIN(Y$6-$G$3,22))),0)))))</f>
        <v>0</v>
      </c>
      <c r="Z83" s="27" t="n">
        <f aca="false">IF(COUNT('Arroz irrigado'!$E81:$Z81)=0,0,MAX(0,IF((Z$6-$E$3)&lt;1,0,IFERROR(LOOKUP(2,1/('Arroz irrigado'!$E81:INDEX('Arroz irrigado'!$E81:$Z81,MIN(Z$6-$E$3,22))&lt;&gt;""),'Arroz irrigado'!$E81:INDEX('Arroz irrigado'!$E81:$Z81,MIN(Z$6-$E$3,22))),0))-IF($G$2,0,IF((Z$6-$G$3)&lt;1,0,IFERROR(LOOKUP(2,1/('Arroz irrigado'!$E81:INDEX('Arroz irrigado'!$E81:$Z81,MIN(Z$6-$G$3,22))&lt;&gt;""),'Arroz irrigado'!$E81:INDEX('Arroz irrigado'!$E81:$Z81,MIN(Z$6-$G$3,22))),0)))))</f>
        <v>0</v>
      </c>
      <c r="AA83" s="27" t="n">
        <f aca="false">IF(COUNT('Arroz irrigado'!$E81:$Z81)=0,0,MAX(0,IF((AA$6-$E$3)&lt;1,0,IFERROR(LOOKUP(2,1/('Arroz irrigado'!$E81:INDEX('Arroz irrigado'!$E81:$Z81,MIN(AA$6-$E$3,22))&lt;&gt;""),'Arroz irrigado'!$E81:INDEX('Arroz irrigado'!$E81:$Z81,MIN(AA$6-$E$3,22))),0))-IF($G$2,0,IF((AA$6-$G$3)&lt;1,0,IFERROR(LOOKUP(2,1/('Arroz irrigado'!$E81:INDEX('Arroz irrigado'!$E81:$Z81,MIN(AA$6-$G$3,22))&lt;&gt;""),'Arroz irrigado'!$E81:INDEX('Arroz irrigado'!$E81:$Z81,MIN(AA$6-$G$3,22))),0)))))</f>
        <v>0</v>
      </c>
      <c r="AB83" s="27" t="n">
        <f aca="false">IF(COUNT('Arroz irrigado'!$E81:$Z81)=0,0,MAX(0,IF((AB$6-$E$3)&lt;1,0,IFERROR(LOOKUP(2,1/('Arroz irrigado'!$E81:INDEX('Arroz irrigado'!$E81:$Z81,MIN(AB$6-$E$3,22))&lt;&gt;""),'Arroz irrigado'!$E81:INDEX('Arroz irrigado'!$E81:$Z81,MIN(AB$6-$E$3,22))),0))-IF($G$2,0,IF((AB$6-$G$3)&lt;1,0,IFERROR(LOOKUP(2,1/('Arroz irrigado'!$E81:INDEX('Arroz irrigado'!$E81:$Z81,MIN(AB$6-$G$3,22))&lt;&gt;""),'Arroz irrigado'!$E81:INDEX('Arroz irrigado'!$E81:$Z81,MIN(AB$6-$G$3,22))),0)))))</f>
        <v>0</v>
      </c>
      <c r="AC83" s="27" t="n">
        <f aca="false">IF(COUNT('Arroz irrigado'!$E81:$Z81)=0,0,MAX(0,IF((AC$6-$E$3)&lt;1,0,IFERROR(LOOKUP(2,1/('Arroz irrigado'!$E81:INDEX('Arroz irrigado'!$E81:$Z81,MIN(AC$6-$E$3,22))&lt;&gt;""),'Arroz irrigado'!$E81:INDEX('Arroz irrigado'!$E81:$Z81,MIN(AC$6-$E$3,22))),0))-IF($G$2,0,IF((AC$6-$G$3)&lt;1,0,IFERROR(LOOKUP(2,1/('Arroz irrigado'!$E81:INDEX('Arroz irrigado'!$E81:$Z81,MIN(AC$6-$G$3,22))&lt;&gt;""),'Arroz irrigado'!$E81:INDEX('Arroz irrigado'!$E81:$Z81,MIN(AC$6-$G$3,22))),0)))))</f>
        <v>0</v>
      </c>
      <c r="AD83" s="27" t="n">
        <f aca="false">IF(COUNT('Arroz irrigado'!$E81:$Z81)=0,0,MAX(0,IF((AD$6-$E$3)&lt;1,0,IFERROR(LOOKUP(2,1/('Arroz irrigado'!$E81:INDEX('Arroz irrigado'!$E81:$Z81,MIN(AD$6-$E$3,22))&lt;&gt;""),'Arroz irrigado'!$E81:INDEX('Arroz irrigado'!$E81:$Z81,MIN(AD$6-$E$3,22))),0))-IF($G$2,0,IF((AD$6-$G$3)&lt;1,0,IFERROR(LOOKUP(2,1/('Arroz irrigado'!$E81:INDEX('Arroz irrigado'!$E81:$Z81,MIN(AD$6-$G$3,22))&lt;&gt;""),'Arroz irrigado'!$E81:INDEX('Arroz irrigado'!$E81:$Z81,MIN(AD$6-$G$3,22))),0)))))</f>
        <v>0</v>
      </c>
      <c r="AE83" s="27" t="n">
        <f aca="false">IF(COUNT('Arroz irrigado'!$E81:$Z81)=0,0,MAX(0,IF((AE$6-$E$3)&lt;1,0,IFERROR(LOOKUP(2,1/('Arroz irrigado'!$E81:INDEX('Arroz irrigado'!$E81:$Z81,MIN(AE$6-$E$3,22))&lt;&gt;""),'Arroz irrigado'!$E81:INDEX('Arroz irrigado'!$E81:$Z81,MIN(AE$6-$E$3,22))),0))-IF($G$2,0,IF((AE$6-$G$3)&lt;1,0,IFERROR(LOOKUP(2,1/('Arroz irrigado'!$E81:INDEX('Arroz irrigado'!$E81:$Z81,MIN(AE$6-$G$3,22))&lt;&gt;""),'Arroz irrigado'!$E81:INDEX('Arroz irrigado'!$E81:$Z81,MIN(AE$6-$G$3,22))),0)))))</f>
        <v>0</v>
      </c>
      <c r="AF83" s="27" t="n">
        <f aca="false">IF(COUNT('Arroz irrigado'!$E81:$Z81)=0,0,MAX(0,IF((AF$6-$E$3)&lt;1,0,IFERROR(LOOKUP(2,1/('Arroz irrigado'!$E81:INDEX('Arroz irrigado'!$E81:$Z81,MIN(AF$6-$E$3,22))&lt;&gt;""),'Arroz irrigado'!$E81:INDEX('Arroz irrigado'!$E81:$Z81,MIN(AF$6-$E$3,22))),0))-IF($G$2,0,IF((AF$6-$G$3)&lt;1,0,IFERROR(LOOKUP(2,1/('Arroz irrigado'!$E81:INDEX('Arroz irrigado'!$E81:$Z81,MIN(AF$6-$G$3,22))&lt;&gt;""),'Arroz irrigado'!$E81:INDEX('Arroz irrigado'!$E81:$Z81,MIN(AF$6-$G$3,22))),0)))))</f>
        <v>0</v>
      </c>
      <c r="AG83" s="27" t="n">
        <f aca="false">IF(COUNT('Arroz irrigado'!$E81:$Z81)=0,0,MAX(0,IF((AG$6-$E$3)&lt;1,0,IFERROR(LOOKUP(2,1/('Arroz irrigado'!$E81:INDEX('Arroz irrigado'!$E81:$Z81,MIN(AG$6-$E$3,22))&lt;&gt;""),'Arroz irrigado'!$E81:INDEX('Arroz irrigado'!$E81:$Z81,MIN(AG$6-$E$3,22))),0))-IF($G$2,0,IF((AG$6-$G$3)&lt;1,0,IFERROR(LOOKUP(2,1/('Arroz irrigado'!$E81:INDEX('Arroz irrigado'!$E81:$Z81,MIN(AG$6-$G$3,22))&lt;&gt;""),'Arroz irrigado'!$E81:INDEX('Arroz irrigado'!$E81:$Z81,MIN(AG$6-$G$3,22))),0)))))</f>
        <v>0</v>
      </c>
      <c r="AH83" s="27" t="n">
        <f aca="false">IF(COUNT('Arroz irrigado'!$E81:$Z81)=0,0,MAX(0,IF((AH$6-$E$3)&lt;1,0,IFERROR(LOOKUP(2,1/('Arroz irrigado'!$E81:INDEX('Arroz irrigado'!$E81:$Z81,MIN(AH$6-$E$3,22))&lt;&gt;""),'Arroz irrigado'!$E81:INDEX('Arroz irrigado'!$E81:$Z81,MIN(AH$6-$E$3,22))),0))-IF($G$2,0,IF((AH$6-$G$3)&lt;1,0,IFERROR(LOOKUP(2,1/('Arroz irrigado'!$E81:INDEX('Arroz irrigado'!$E81:$Z81,MIN(AH$6-$G$3,22))&lt;&gt;""),'Arroz irrigado'!$E81:INDEX('Arroz irrigado'!$E81:$Z81,MIN(AH$6-$G$3,22))),0)))))</f>
        <v>0</v>
      </c>
      <c r="AI83" s="27" t="n">
        <f aca="false">IF(COUNT('Arroz irrigado'!$E81:$Z81)=0,0,MAX(0,IF((AI$6-$E$3)&lt;1,0,IFERROR(LOOKUP(2,1/('Arroz irrigado'!$E81:INDEX('Arroz irrigado'!$E81:$Z81,MIN(AI$6-$E$3,22))&lt;&gt;""),'Arroz irrigado'!$E81:INDEX('Arroz irrigado'!$E81:$Z81,MIN(AI$6-$E$3,22))),0))-IF($G$2,0,IF((AI$6-$G$3)&lt;1,0,IFERROR(LOOKUP(2,1/('Arroz irrigado'!$E81:INDEX('Arroz irrigado'!$E81:$Z81,MIN(AI$6-$G$3,22))&lt;&gt;""),'Arroz irrigado'!$E81:INDEX('Arroz irrigado'!$E81:$Z81,MIN(AI$6-$G$3,22))),0)))))</f>
        <v>0</v>
      </c>
      <c r="AJ83" s="27" t="n">
        <f aca="false">IF(COUNT('Arroz irrigado'!$E81:$Z81)=0,0,MAX(0,IF((AJ$6-$E$3)&lt;1,0,IFERROR(LOOKUP(2,1/('Arroz irrigado'!$E81:INDEX('Arroz irrigado'!$E81:$Z81,MIN(AJ$6-$E$3,22))&lt;&gt;""),'Arroz irrigado'!$E81:INDEX('Arroz irrigado'!$E81:$Z81,MIN(AJ$6-$E$3,22))),0))-IF($G$2,0,IF((AJ$6-$G$3)&lt;1,0,IFERROR(LOOKUP(2,1/('Arroz irrigado'!$E81:INDEX('Arroz irrigado'!$E81:$Z81,MIN(AJ$6-$G$3,22))&lt;&gt;""),'Arroz irrigado'!$E81:INDEX('Arroz irrigado'!$E81:$Z81,MIN(AJ$6-$G$3,22))),0)))))</f>
        <v>0</v>
      </c>
      <c r="AK83" s="27" t="n">
        <f aca="false">IF(COUNT('Arroz irrigado'!$E81:$Z81)=0,0,MAX(0,IF((AK$6-$E$3)&lt;1,0,IFERROR(LOOKUP(2,1/('Arroz irrigado'!$E81:INDEX('Arroz irrigado'!$E81:$Z81,MIN(AK$6-$E$3,22))&lt;&gt;""),'Arroz irrigado'!$E81:INDEX('Arroz irrigado'!$E81:$Z81,MIN(AK$6-$E$3,22))),0))-IF($G$2,0,IF((AK$6-$G$3)&lt;1,0,IFERROR(LOOKUP(2,1/('Arroz irrigado'!$E81:INDEX('Arroz irrigado'!$E81:$Z81,MIN(AK$6-$G$3,22))&lt;&gt;""),'Arroz irrigado'!$E81:INDEX('Arroz irrigado'!$E81:$Z81,MIN(AK$6-$G$3,22))),0)))))</f>
        <v>0</v>
      </c>
      <c r="AL83" s="27" t="n">
        <f aca="false">IF(COUNT('Arroz irrigado'!$E81:$Z81)=0,0,MAX(0,IF((AL$6-$E$3)&lt;1,0,IFERROR(LOOKUP(2,1/('Arroz irrigado'!$E81:INDEX('Arroz irrigado'!$E81:$Z81,MIN(AL$6-$E$3,22))&lt;&gt;""),'Arroz irrigado'!$E81:INDEX('Arroz irrigado'!$E81:$Z81,MIN(AL$6-$E$3,22))),0))-IF($G$2,0,IF((AL$6-$G$3)&lt;1,0,IFERROR(LOOKUP(2,1/('Arroz irrigado'!$E81:INDEX('Arroz irrigado'!$E81:$Z81,MIN(AL$6-$G$3,22))&lt;&gt;""),'Arroz irrigado'!$E81:INDEX('Arroz irrigado'!$E81:$Z81,MIN(AL$6-$G$3,22))),0)))))</f>
        <v>0</v>
      </c>
      <c r="AM83" s="27" t="n">
        <f aca="false">IF(COUNT('Arroz irrigado'!$E81:$Z81)=0,0,MAX(0,IF((AM$6-$E$3)&lt;1,0,IFERROR(LOOKUP(2,1/('Arroz irrigado'!$E81:INDEX('Arroz irrigado'!$E81:$Z81,MIN(AM$6-$E$3,22))&lt;&gt;""),'Arroz irrigado'!$E81:INDEX('Arroz irrigado'!$E81:$Z81,MIN(AM$6-$E$3,22))),0))-IF($G$2,0,IF((AM$6-$G$3)&lt;1,0,IFERROR(LOOKUP(2,1/('Arroz irrigado'!$E81:INDEX('Arroz irrigado'!$E81:$Z81,MIN(AM$6-$G$3,22))&lt;&gt;""),'Arroz irrigado'!$E81:INDEX('Arroz irrigado'!$E81:$Z81,MIN(AM$6-$G$3,22))),0)))))</f>
        <v>0</v>
      </c>
      <c r="AN83" s="27" t="n">
        <f aca="false">IF(COUNT('Arroz irrigado'!$E81:$Z81)=0,0,MAX(0,IF((AN$6-$E$3)&lt;1,0,IFERROR(LOOKUP(2,1/('Arroz irrigado'!$E81:INDEX('Arroz irrigado'!$E81:$Z81,MIN(AN$6-$E$3,22))&lt;&gt;""),'Arroz irrigado'!$E81:INDEX('Arroz irrigado'!$E81:$Z81,MIN(AN$6-$E$3,22))),0))-IF($G$2,0,IF((AN$6-$G$3)&lt;1,0,IFERROR(LOOKUP(2,1/('Arroz irrigado'!$E81:INDEX('Arroz irrigado'!$E81:$Z81,MIN(AN$6-$G$3,22))&lt;&gt;""),'Arroz irrigado'!$E81:INDEX('Arroz irrigado'!$E81:$Z81,MIN(AN$6-$G$3,22))),0)))))</f>
        <v>0</v>
      </c>
      <c r="AO83" s="27" t="n">
        <f aca="false">IF(COUNT('Arroz irrigado'!$E81:$Z81)=0,0,MAX(0,IF((AO$6-$E$3)&lt;1,0,IFERROR(LOOKUP(2,1/('Arroz irrigado'!$E81:INDEX('Arroz irrigado'!$E81:$Z81,MIN(AO$6-$E$3,22))&lt;&gt;""),'Arroz irrigado'!$E81:INDEX('Arroz irrigado'!$E81:$Z81,MIN(AO$6-$E$3,22))),0))-IF($G$2,0,IF((AO$6-$G$3)&lt;1,0,IFERROR(LOOKUP(2,1/('Arroz irrigado'!$E81:INDEX('Arroz irrigado'!$E81:$Z81,MIN(AO$6-$G$3,22))&lt;&gt;""),'Arroz irrigado'!$E81:INDEX('Arroz irrigado'!$E81:$Z81,MIN(AO$6-$G$3,22))),0)))))</f>
        <v>0</v>
      </c>
      <c r="AP83" s="27" t="n">
        <f aca="false">IF(COUNT('Arroz irrigado'!$E81:$Z81)=0,0,MAX(0,IF((AP$6-$E$3)&lt;1,0,IFERROR(LOOKUP(2,1/('Arroz irrigado'!$E81:INDEX('Arroz irrigado'!$E81:$Z81,MIN(AP$6-$E$3,22))&lt;&gt;""),'Arroz irrigado'!$E81:INDEX('Arroz irrigado'!$E81:$Z81,MIN(AP$6-$E$3,22))),0))-IF($G$2,0,IF((AP$6-$G$3)&lt;1,0,IFERROR(LOOKUP(2,1/('Arroz irrigado'!$E81:INDEX('Arroz irrigado'!$E81:$Z81,MIN(AP$6-$G$3,22))&lt;&gt;""),'Arroz irrigado'!$E81:INDEX('Arroz irrigado'!$E81:$Z81,MIN(AP$6-$G$3,22))),0)))))</f>
        <v>0</v>
      </c>
      <c r="AQ83" s="27" t="n">
        <f aca="false">IF(COUNT('Arroz irrigado'!$E81:$Z81)=0,0,MAX(0,IF((AQ$6-$E$3)&lt;1,0,IFERROR(LOOKUP(2,1/('Arroz irrigado'!$E81:INDEX('Arroz irrigado'!$E81:$Z81,MIN(AQ$6-$E$3,22))&lt;&gt;""),'Arroz irrigado'!$E81:INDEX('Arroz irrigado'!$E81:$Z81,MIN(AQ$6-$E$3,22))),0))-IF($G$2,0,IF((AQ$6-$G$3)&lt;1,0,IFERROR(LOOKUP(2,1/('Arroz irrigado'!$E81:INDEX('Arroz irrigado'!$E81:$Z81,MIN(AQ$6-$G$3,22))&lt;&gt;""),'Arroz irrigado'!$E81:INDEX('Arroz irrigado'!$E81:$Z81,MIN(AQ$6-$G$3,22))),0)))))</f>
        <v>0</v>
      </c>
      <c r="AR83" s="27" t="n">
        <f aca="false">IF(COUNT('Arroz irrigado'!$E81:$Z81)=0,0,MAX(0,IF((AR$6-$E$3)&lt;1,0,IFERROR(LOOKUP(2,1/('Arroz irrigado'!$E81:INDEX('Arroz irrigado'!$E81:$Z81,MIN(AR$6-$E$3,22))&lt;&gt;""),'Arroz irrigado'!$E81:INDEX('Arroz irrigado'!$E81:$Z81,MIN(AR$6-$E$3,22))),0))-IF($G$2,0,IF((AR$6-$G$3)&lt;1,0,IFERROR(LOOKUP(2,1/('Arroz irrigado'!$E81:INDEX('Arroz irrigado'!$E81:$Z81,MIN(AR$6-$G$3,22))&lt;&gt;""),'Arroz irrigado'!$E81:INDEX('Arroz irrigado'!$E81:$Z81,MIN(AR$6-$G$3,22))),0)))))</f>
        <v>0</v>
      </c>
      <c r="AS83" s="27" t="n">
        <f aca="false">IF(COUNT('Arroz irrigado'!$E81:$Z81)=0,0,MAX(0,IF((AS$6-$E$3)&lt;1,0,IFERROR(LOOKUP(2,1/('Arroz irrigado'!$E81:INDEX('Arroz irrigado'!$E81:$Z81,MIN(AS$6-$E$3,22))&lt;&gt;""),'Arroz irrigado'!$E81:INDEX('Arroz irrigado'!$E81:$Z81,MIN(AS$6-$E$3,22))),0))-IF($G$2,0,IF((AS$6-$G$3)&lt;1,0,IFERROR(LOOKUP(2,1/('Arroz irrigado'!$E81:INDEX('Arroz irrigado'!$E81:$Z81,MIN(AS$6-$G$3,22))&lt;&gt;""),'Arroz irrigado'!$E81:INDEX('Arroz irrigado'!$E81:$Z81,MIN(AS$6-$G$3,22))),0)))))</f>
        <v>0</v>
      </c>
      <c r="AT83" s="27" t="n">
        <f aca="false">IF(COUNT('Arroz irrigado'!$E81:$Z81)=0,0,MAX(0,IF((AT$6-$E$3)&lt;1,0,IFERROR(LOOKUP(2,1/('Arroz irrigado'!$E81:INDEX('Arroz irrigado'!$E81:$Z81,MIN(AT$6-$E$3,22))&lt;&gt;""),'Arroz irrigado'!$E81:INDEX('Arroz irrigado'!$E81:$Z81,MIN(AT$6-$E$3,22))),0))-IF($G$2,0,IF((AT$6-$G$3)&lt;1,0,IFERROR(LOOKUP(2,1/('Arroz irrigado'!$E81:INDEX('Arroz irrigado'!$E81:$Z81,MIN(AT$6-$G$3,22))&lt;&gt;""),'Arroz irrigado'!$E81:INDEX('Arroz irrigado'!$E81:$Z81,MIN(AT$6-$G$3,22))),0)))))</f>
        <v>0</v>
      </c>
      <c r="AU83" s="27" t="n">
        <f aca="false">IF(COUNT('Arroz irrigado'!$E81:$Z81)=0,0,MAX(0,IF((AU$6-$E$3)&lt;1,0,IFERROR(LOOKUP(2,1/('Arroz irrigado'!$E81:INDEX('Arroz irrigado'!$E81:$Z81,MIN(AU$6-$E$3,22))&lt;&gt;""),'Arroz irrigado'!$E81:INDEX('Arroz irrigado'!$E81:$Z81,MIN(AU$6-$E$3,22))),0))-IF($G$2,0,IF((AU$6-$G$3)&lt;1,0,IFERROR(LOOKUP(2,1/('Arroz irrigado'!$E81:INDEX('Arroz irrigado'!$E81:$Z81,MIN(AU$6-$G$3,22))&lt;&gt;""),'Arroz irrigado'!$E81:INDEX('Arroz irrigado'!$E81:$Z81,MIN(AU$6-$G$3,22))),0)))))</f>
        <v>0</v>
      </c>
      <c r="AV83" s="27" t="n">
        <f aca="false">IF(COUNT('Arroz irrigado'!$E81:$Z81)=0,0,MAX(0,IF((AV$6-$E$3)&lt;1,0,IFERROR(LOOKUP(2,1/('Arroz irrigado'!$E81:INDEX('Arroz irrigado'!$E81:$Z81,MIN(AV$6-$E$3,22))&lt;&gt;""),'Arroz irrigado'!$E81:INDEX('Arroz irrigado'!$E81:$Z81,MIN(AV$6-$E$3,22))),0))-IF($G$2,0,IF((AV$6-$G$3)&lt;1,0,IFERROR(LOOKUP(2,1/('Arroz irrigado'!$E81:INDEX('Arroz irrigado'!$E81:$Z81,MIN(AV$6-$G$3,22))&lt;&gt;""),'Arroz irrigado'!$E81:INDEX('Arroz irrigado'!$E81:$Z81,MIN(AV$6-$G$3,22))),0)))))</f>
        <v>0</v>
      </c>
      <c r="AW83" s="27" t="n">
        <f aca="false">IF(COUNT('Arroz irrigado'!$E81:$Z81)=0,0,MAX(0,IF((AW$6-$E$3)&lt;1,0,IFERROR(LOOKUP(2,1/('Arroz irrigado'!$E81:INDEX('Arroz irrigado'!$E81:$Z81,MIN(AW$6-$E$3,22))&lt;&gt;""),'Arroz irrigado'!$E81:INDEX('Arroz irrigado'!$E81:$Z81,MIN(AW$6-$E$3,22))),0))-IF($G$2,0,IF((AW$6-$G$3)&lt;1,0,IFERROR(LOOKUP(2,1/('Arroz irrigado'!$E81:INDEX('Arroz irrigado'!$E81:$Z81,MIN(AW$6-$G$3,22))&lt;&gt;""),'Arroz irrigado'!$E81:INDEX('Arroz irrigado'!$E81:$Z81,MIN(AW$6-$G$3,22))),0)))))</f>
        <v>0</v>
      </c>
      <c r="AX83" s="27" t="n">
        <f aca="false">IF(COUNT('Arroz irrigado'!$E81:$Z81)=0,0,MAX(0,IF((AX$6-$E$3)&lt;1,0,IFERROR(LOOKUP(2,1/('Arroz irrigado'!$E81:INDEX('Arroz irrigado'!$E81:$Z81,MIN(AX$6-$E$3,22))&lt;&gt;""),'Arroz irrigado'!$E81:INDEX('Arroz irrigado'!$E81:$Z81,MIN(AX$6-$E$3,22))),0))-IF($G$2,0,IF((AX$6-$G$3)&lt;1,0,IFERROR(LOOKUP(2,1/('Arroz irrigado'!$E81:INDEX('Arroz irrigado'!$E81:$Z81,MIN(AX$6-$G$3,22))&lt;&gt;""),'Arroz irrigado'!$E81:INDEX('Arroz irrigado'!$E81:$Z81,MIN(AX$6-$G$3,22))),0)))))</f>
        <v>0</v>
      </c>
      <c r="AY83" s="27" t="n">
        <f aca="false">IF(COUNT('Arroz irrigado'!$E81:$Z81)=0,0,MAX(0,IF((AY$6-$E$3)&lt;1,0,IFERROR(LOOKUP(2,1/('Arroz irrigado'!$E81:INDEX('Arroz irrigado'!$E81:$Z81,MIN(AY$6-$E$3,22))&lt;&gt;""),'Arroz irrigado'!$E81:INDEX('Arroz irrigado'!$E81:$Z81,MIN(AY$6-$E$3,22))),0))-IF($G$2,0,IF((AY$6-$G$3)&lt;1,0,IFERROR(LOOKUP(2,1/('Arroz irrigado'!$E81:INDEX('Arroz irrigado'!$E81:$Z81,MIN(AY$6-$G$3,22))&lt;&gt;""),'Arroz irrigado'!$E81:INDEX('Arroz irrigado'!$E81:$Z81,MIN(AY$6-$G$3,22))),0)))))</f>
        <v>0</v>
      </c>
      <c r="AZ83" s="27" t="n">
        <f aca="false">IF(COUNT('Arroz irrigado'!$E81:$Z81)=0,0,MAX(0,IF((AZ$6-$E$3)&lt;1,0,IFERROR(LOOKUP(2,1/('Arroz irrigado'!$E81:INDEX('Arroz irrigado'!$E81:$Z81,MIN(AZ$6-$E$3,22))&lt;&gt;""),'Arroz irrigado'!$E81:INDEX('Arroz irrigado'!$E81:$Z81,MIN(AZ$6-$E$3,22))),0))-IF($G$2,0,IF((AZ$6-$G$3)&lt;1,0,IFERROR(LOOKUP(2,1/('Arroz irrigado'!$E81:INDEX('Arroz irrigado'!$E81:$Z81,MIN(AZ$6-$G$3,22))&lt;&gt;""),'Arroz irrigado'!$E81:INDEX('Arroz irrigado'!$E81:$Z81,MIN(AZ$6-$G$3,22))),0)))))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IF(COUNT('Arroz irrigado'!$E82:$Z82)&gt;0,N('Arroz irrigado'!$D82),0)</f>
        <v>0</v>
      </c>
      <c r="E84" s="27" t="n">
        <f aca="false">IF(COUNT('Arroz irrigado'!$E82:$Z82)=0,0,MAX(0,IF((E$6-$E$3)&lt;1,0,IFERROR(LOOKUP(2,1/('Arroz irrigado'!$E82:INDEX('Arroz irrigado'!$E82:$Z82,MIN(E$6-$E$3,22))&lt;&gt;""),'Arroz irrigado'!$E82:INDEX('Arroz irrigado'!$E82:$Z82,MIN(E$6-$E$3,22))),0))-IF($G$2,0,IF((E$6-$G$3)&lt;1,0,IFERROR(LOOKUP(2,1/('Arroz irrigado'!$E82:INDEX('Arroz irrigado'!$E82:$Z82,MIN(E$6-$G$3,22))&lt;&gt;""),'Arroz irrigado'!$E82:INDEX('Arroz irrigado'!$E82:$Z82,MIN(E$6-$G$3,22))),0)))))</f>
        <v>0</v>
      </c>
      <c r="F84" s="27" t="n">
        <f aca="false">IF(COUNT('Arroz irrigado'!$E82:$Z82)=0,0,MAX(0,IF((F$6-$E$3)&lt;1,0,IFERROR(LOOKUP(2,1/('Arroz irrigado'!$E82:INDEX('Arroz irrigado'!$E82:$Z82,MIN(F$6-$E$3,22))&lt;&gt;""),'Arroz irrigado'!$E82:INDEX('Arroz irrigado'!$E82:$Z82,MIN(F$6-$E$3,22))),0))-IF($G$2,0,IF((F$6-$G$3)&lt;1,0,IFERROR(LOOKUP(2,1/('Arroz irrigado'!$E82:INDEX('Arroz irrigado'!$E82:$Z82,MIN(F$6-$G$3,22))&lt;&gt;""),'Arroz irrigado'!$E82:INDEX('Arroz irrigado'!$E82:$Z82,MIN(F$6-$G$3,22))),0)))))</f>
        <v>0</v>
      </c>
      <c r="G84" s="27" t="n">
        <f aca="false">IF(COUNT('Arroz irrigado'!$E82:$Z82)=0,0,MAX(0,IF((G$6-$E$3)&lt;1,0,IFERROR(LOOKUP(2,1/('Arroz irrigado'!$E82:INDEX('Arroz irrigado'!$E82:$Z82,MIN(G$6-$E$3,22))&lt;&gt;""),'Arroz irrigado'!$E82:INDEX('Arroz irrigado'!$E82:$Z82,MIN(G$6-$E$3,22))),0))-IF($G$2,0,IF((G$6-$G$3)&lt;1,0,IFERROR(LOOKUP(2,1/('Arroz irrigado'!$E82:INDEX('Arroz irrigado'!$E82:$Z82,MIN(G$6-$G$3,22))&lt;&gt;""),'Arroz irrigado'!$E82:INDEX('Arroz irrigado'!$E82:$Z82,MIN(G$6-$G$3,22))),0)))))</f>
        <v>0</v>
      </c>
      <c r="H84" s="27" t="n">
        <f aca="false">IF(COUNT('Arroz irrigado'!$E82:$Z82)=0,0,MAX(0,IF((H$6-$E$3)&lt;1,0,IFERROR(LOOKUP(2,1/('Arroz irrigado'!$E82:INDEX('Arroz irrigado'!$E82:$Z82,MIN(H$6-$E$3,22))&lt;&gt;""),'Arroz irrigado'!$E82:INDEX('Arroz irrigado'!$E82:$Z82,MIN(H$6-$E$3,22))),0))-IF($G$2,0,IF((H$6-$G$3)&lt;1,0,IFERROR(LOOKUP(2,1/('Arroz irrigado'!$E82:INDEX('Arroz irrigado'!$E82:$Z82,MIN(H$6-$G$3,22))&lt;&gt;""),'Arroz irrigado'!$E82:INDEX('Arroz irrigado'!$E82:$Z82,MIN(H$6-$G$3,22))),0)))))</f>
        <v>0</v>
      </c>
      <c r="I84" s="27" t="n">
        <f aca="false">IF(COUNT('Arroz irrigado'!$E82:$Z82)=0,0,MAX(0,IF((I$6-$E$3)&lt;1,0,IFERROR(LOOKUP(2,1/('Arroz irrigado'!$E82:INDEX('Arroz irrigado'!$E82:$Z82,MIN(I$6-$E$3,22))&lt;&gt;""),'Arroz irrigado'!$E82:INDEX('Arroz irrigado'!$E82:$Z82,MIN(I$6-$E$3,22))),0))-IF($G$2,0,IF((I$6-$G$3)&lt;1,0,IFERROR(LOOKUP(2,1/('Arroz irrigado'!$E82:INDEX('Arroz irrigado'!$E82:$Z82,MIN(I$6-$G$3,22))&lt;&gt;""),'Arroz irrigado'!$E82:INDEX('Arroz irrigado'!$E82:$Z82,MIN(I$6-$G$3,22))),0)))))</f>
        <v>0</v>
      </c>
      <c r="J84" s="27" t="n">
        <f aca="false">IF(COUNT('Arroz irrigado'!$E82:$Z82)=0,0,MAX(0,IF((J$6-$E$3)&lt;1,0,IFERROR(LOOKUP(2,1/('Arroz irrigado'!$E82:INDEX('Arroz irrigado'!$E82:$Z82,MIN(J$6-$E$3,22))&lt;&gt;""),'Arroz irrigado'!$E82:INDEX('Arroz irrigado'!$E82:$Z82,MIN(J$6-$E$3,22))),0))-IF($G$2,0,IF((J$6-$G$3)&lt;1,0,IFERROR(LOOKUP(2,1/('Arroz irrigado'!$E82:INDEX('Arroz irrigado'!$E82:$Z82,MIN(J$6-$G$3,22))&lt;&gt;""),'Arroz irrigado'!$E82:INDEX('Arroz irrigado'!$E82:$Z82,MIN(J$6-$G$3,22))),0)))))</f>
        <v>0</v>
      </c>
      <c r="K84" s="27" t="n">
        <f aca="false">IF(COUNT('Arroz irrigado'!$E82:$Z82)=0,0,MAX(0,IF((K$6-$E$3)&lt;1,0,IFERROR(LOOKUP(2,1/('Arroz irrigado'!$E82:INDEX('Arroz irrigado'!$E82:$Z82,MIN(K$6-$E$3,22))&lt;&gt;""),'Arroz irrigado'!$E82:INDEX('Arroz irrigado'!$E82:$Z82,MIN(K$6-$E$3,22))),0))-IF($G$2,0,IF((K$6-$G$3)&lt;1,0,IFERROR(LOOKUP(2,1/('Arroz irrigado'!$E82:INDEX('Arroz irrigado'!$E82:$Z82,MIN(K$6-$G$3,22))&lt;&gt;""),'Arroz irrigado'!$E82:INDEX('Arroz irrigado'!$E82:$Z82,MIN(K$6-$G$3,22))),0)))))</f>
        <v>0</v>
      </c>
      <c r="L84" s="27" t="n">
        <f aca="false">IF(COUNT('Arroz irrigado'!$E82:$Z82)=0,0,MAX(0,IF((L$6-$E$3)&lt;1,0,IFERROR(LOOKUP(2,1/('Arroz irrigado'!$E82:INDEX('Arroz irrigado'!$E82:$Z82,MIN(L$6-$E$3,22))&lt;&gt;""),'Arroz irrigado'!$E82:INDEX('Arroz irrigado'!$E82:$Z82,MIN(L$6-$E$3,22))),0))-IF($G$2,0,IF((L$6-$G$3)&lt;1,0,IFERROR(LOOKUP(2,1/('Arroz irrigado'!$E82:INDEX('Arroz irrigado'!$E82:$Z82,MIN(L$6-$G$3,22))&lt;&gt;""),'Arroz irrigado'!$E82:INDEX('Arroz irrigado'!$E82:$Z82,MIN(L$6-$G$3,22))),0)))))</f>
        <v>0</v>
      </c>
      <c r="M84" s="27" t="n">
        <f aca="false">IF(COUNT('Arroz irrigado'!$E82:$Z82)=0,0,MAX(0,IF((M$6-$E$3)&lt;1,0,IFERROR(LOOKUP(2,1/('Arroz irrigado'!$E82:INDEX('Arroz irrigado'!$E82:$Z82,MIN(M$6-$E$3,22))&lt;&gt;""),'Arroz irrigado'!$E82:INDEX('Arroz irrigado'!$E82:$Z82,MIN(M$6-$E$3,22))),0))-IF($G$2,0,IF((M$6-$G$3)&lt;1,0,IFERROR(LOOKUP(2,1/('Arroz irrigado'!$E82:INDEX('Arroz irrigado'!$E82:$Z82,MIN(M$6-$G$3,22))&lt;&gt;""),'Arroz irrigado'!$E82:INDEX('Arroz irrigado'!$E82:$Z82,MIN(M$6-$G$3,22))),0)))))</f>
        <v>0</v>
      </c>
      <c r="N84" s="27" t="n">
        <f aca="false">IF(COUNT('Arroz irrigado'!$E82:$Z82)=0,0,MAX(0,IF((N$6-$E$3)&lt;1,0,IFERROR(LOOKUP(2,1/('Arroz irrigado'!$E82:INDEX('Arroz irrigado'!$E82:$Z82,MIN(N$6-$E$3,22))&lt;&gt;""),'Arroz irrigado'!$E82:INDEX('Arroz irrigado'!$E82:$Z82,MIN(N$6-$E$3,22))),0))-IF($G$2,0,IF((N$6-$G$3)&lt;1,0,IFERROR(LOOKUP(2,1/('Arroz irrigado'!$E82:INDEX('Arroz irrigado'!$E82:$Z82,MIN(N$6-$G$3,22))&lt;&gt;""),'Arroz irrigado'!$E82:INDEX('Arroz irrigado'!$E82:$Z82,MIN(N$6-$G$3,22))),0)))))</f>
        <v>0</v>
      </c>
      <c r="O84" s="27" t="n">
        <f aca="false">IF(COUNT('Arroz irrigado'!$E82:$Z82)=0,0,MAX(0,IF((O$6-$E$3)&lt;1,0,IFERROR(LOOKUP(2,1/('Arroz irrigado'!$E82:INDEX('Arroz irrigado'!$E82:$Z82,MIN(O$6-$E$3,22))&lt;&gt;""),'Arroz irrigado'!$E82:INDEX('Arroz irrigado'!$E82:$Z82,MIN(O$6-$E$3,22))),0))-IF($G$2,0,IF((O$6-$G$3)&lt;1,0,IFERROR(LOOKUP(2,1/('Arroz irrigado'!$E82:INDEX('Arroz irrigado'!$E82:$Z82,MIN(O$6-$G$3,22))&lt;&gt;""),'Arroz irrigado'!$E82:INDEX('Arroz irrigado'!$E82:$Z82,MIN(O$6-$G$3,22))),0)))))</f>
        <v>0</v>
      </c>
      <c r="P84" s="27" t="n">
        <f aca="false">IF(COUNT('Arroz irrigado'!$E82:$Z82)=0,0,MAX(0,IF((P$6-$E$3)&lt;1,0,IFERROR(LOOKUP(2,1/('Arroz irrigado'!$E82:INDEX('Arroz irrigado'!$E82:$Z82,MIN(P$6-$E$3,22))&lt;&gt;""),'Arroz irrigado'!$E82:INDEX('Arroz irrigado'!$E82:$Z82,MIN(P$6-$E$3,22))),0))-IF($G$2,0,IF((P$6-$G$3)&lt;1,0,IFERROR(LOOKUP(2,1/('Arroz irrigado'!$E82:INDEX('Arroz irrigado'!$E82:$Z82,MIN(P$6-$G$3,22))&lt;&gt;""),'Arroz irrigado'!$E82:INDEX('Arroz irrigado'!$E82:$Z82,MIN(P$6-$G$3,22))),0)))))</f>
        <v>0</v>
      </c>
      <c r="Q84" s="27" t="n">
        <f aca="false">IF(COUNT('Arroz irrigado'!$E82:$Z82)=0,0,MAX(0,IF((Q$6-$E$3)&lt;1,0,IFERROR(LOOKUP(2,1/('Arroz irrigado'!$E82:INDEX('Arroz irrigado'!$E82:$Z82,MIN(Q$6-$E$3,22))&lt;&gt;""),'Arroz irrigado'!$E82:INDEX('Arroz irrigado'!$E82:$Z82,MIN(Q$6-$E$3,22))),0))-IF($G$2,0,IF((Q$6-$G$3)&lt;1,0,IFERROR(LOOKUP(2,1/('Arroz irrigado'!$E82:INDEX('Arroz irrigado'!$E82:$Z82,MIN(Q$6-$G$3,22))&lt;&gt;""),'Arroz irrigado'!$E82:INDEX('Arroz irrigado'!$E82:$Z82,MIN(Q$6-$G$3,22))),0)))))</f>
        <v>0</v>
      </c>
      <c r="R84" s="27" t="n">
        <f aca="false">IF(COUNT('Arroz irrigado'!$E82:$Z82)=0,0,MAX(0,IF((R$6-$E$3)&lt;1,0,IFERROR(LOOKUP(2,1/('Arroz irrigado'!$E82:INDEX('Arroz irrigado'!$E82:$Z82,MIN(R$6-$E$3,22))&lt;&gt;""),'Arroz irrigado'!$E82:INDEX('Arroz irrigado'!$E82:$Z82,MIN(R$6-$E$3,22))),0))-IF($G$2,0,IF((R$6-$G$3)&lt;1,0,IFERROR(LOOKUP(2,1/('Arroz irrigado'!$E82:INDEX('Arroz irrigado'!$E82:$Z82,MIN(R$6-$G$3,22))&lt;&gt;""),'Arroz irrigado'!$E82:INDEX('Arroz irrigado'!$E82:$Z82,MIN(R$6-$G$3,22))),0)))))</f>
        <v>0</v>
      </c>
      <c r="S84" s="27" t="n">
        <f aca="false">IF(COUNT('Arroz irrigado'!$E82:$Z82)=0,0,MAX(0,IF((S$6-$E$3)&lt;1,0,IFERROR(LOOKUP(2,1/('Arroz irrigado'!$E82:INDEX('Arroz irrigado'!$E82:$Z82,MIN(S$6-$E$3,22))&lt;&gt;""),'Arroz irrigado'!$E82:INDEX('Arroz irrigado'!$E82:$Z82,MIN(S$6-$E$3,22))),0))-IF($G$2,0,IF((S$6-$G$3)&lt;1,0,IFERROR(LOOKUP(2,1/('Arroz irrigado'!$E82:INDEX('Arroz irrigado'!$E82:$Z82,MIN(S$6-$G$3,22))&lt;&gt;""),'Arroz irrigado'!$E82:INDEX('Arroz irrigado'!$E82:$Z82,MIN(S$6-$G$3,22))),0)))))</f>
        <v>0</v>
      </c>
      <c r="T84" s="27" t="n">
        <f aca="false">IF(COUNT('Arroz irrigado'!$E82:$Z82)=0,0,MAX(0,IF((T$6-$E$3)&lt;1,0,IFERROR(LOOKUP(2,1/('Arroz irrigado'!$E82:INDEX('Arroz irrigado'!$E82:$Z82,MIN(T$6-$E$3,22))&lt;&gt;""),'Arroz irrigado'!$E82:INDEX('Arroz irrigado'!$E82:$Z82,MIN(T$6-$E$3,22))),0))-IF($G$2,0,IF((T$6-$G$3)&lt;1,0,IFERROR(LOOKUP(2,1/('Arroz irrigado'!$E82:INDEX('Arroz irrigado'!$E82:$Z82,MIN(T$6-$G$3,22))&lt;&gt;""),'Arroz irrigado'!$E82:INDEX('Arroz irrigado'!$E82:$Z82,MIN(T$6-$G$3,22))),0)))))</f>
        <v>0</v>
      </c>
      <c r="U84" s="27" t="n">
        <f aca="false">IF(COUNT('Arroz irrigado'!$E82:$Z82)=0,0,MAX(0,IF((U$6-$E$3)&lt;1,0,IFERROR(LOOKUP(2,1/('Arroz irrigado'!$E82:INDEX('Arroz irrigado'!$E82:$Z82,MIN(U$6-$E$3,22))&lt;&gt;""),'Arroz irrigado'!$E82:INDEX('Arroz irrigado'!$E82:$Z82,MIN(U$6-$E$3,22))),0))-IF($G$2,0,IF((U$6-$G$3)&lt;1,0,IFERROR(LOOKUP(2,1/('Arroz irrigado'!$E82:INDEX('Arroz irrigado'!$E82:$Z82,MIN(U$6-$G$3,22))&lt;&gt;""),'Arroz irrigado'!$E82:INDEX('Arroz irrigado'!$E82:$Z82,MIN(U$6-$G$3,22))),0)))))</f>
        <v>0</v>
      </c>
      <c r="V84" s="27" t="n">
        <f aca="false">IF(COUNT('Arroz irrigado'!$E82:$Z82)=0,0,MAX(0,IF((V$6-$E$3)&lt;1,0,IFERROR(LOOKUP(2,1/('Arroz irrigado'!$E82:INDEX('Arroz irrigado'!$E82:$Z82,MIN(V$6-$E$3,22))&lt;&gt;""),'Arroz irrigado'!$E82:INDEX('Arroz irrigado'!$E82:$Z82,MIN(V$6-$E$3,22))),0))-IF($G$2,0,IF((V$6-$G$3)&lt;1,0,IFERROR(LOOKUP(2,1/('Arroz irrigado'!$E82:INDEX('Arroz irrigado'!$E82:$Z82,MIN(V$6-$G$3,22))&lt;&gt;""),'Arroz irrigado'!$E82:INDEX('Arroz irrigado'!$E82:$Z82,MIN(V$6-$G$3,22))),0)))))</f>
        <v>0</v>
      </c>
      <c r="W84" s="27" t="n">
        <f aca="false">IF(COUNT('Arroz irrigado'!$E82:$Z82)=0,0,MAX(0,IF((W$6-$E$3)&lt;1,0,IFERROR(LOOKUP(2,1/('Arroz irrigado'!$E82:INDEX('Arroz irrigado'!$E82:$Z82,MIN(W$6-$E$3,22))&lt;&gt;""),'Arroz irrigado'!$E82:INDEX('Arroz irrigado'!$E82:$Z82,MIN(W$6-$E$3,22))),0))-IF($G$2,0,IF((W$6-$G$3)&lt;1,0,IFERROR(LOOKUP(2,1/('Arroz irrigado'!$E82:INDEX('Arroz irrigado'!$E82:$Z82,MIN(W$6-$G$3,22))&lt;&gt;""),'Arroz irrigado'!$E82:INDEX('Arroz irrigado'!$E82:$Z82,MIN(W$6-$G$3,22))),0)))))</f>
        <v>0</v>
      </c>
      <c r="X84" s="27" t="n">
        <f aca="false">IF(COUNT('Arroz irrigado'!$E82:$Z82)=0,0,MAX(0,IF((X$6-$E$3)&lt;1,0,IFERROR(LOOKUP(2,1/('Arroz irrigado'!$E82:INDEX('Arroz irrigado'!$E82:$Z82,MIN(X$6-$E$3,22))&lt;&gt;""),'Arroz irrigado'!$E82:INDEX('Arroz irrigado'!$E82:$Z82,MIN(X$6-$E$3,22))),0))-IF($G$2,0,IF((X$6-$G$3)&lt;1,0,IFERROR(LOOKUP(2,1/('Arroz irrigado'!$E82:INDEX('Arroz irrigado'!$E82:$Z82,MIN(X$6-$G$3,22))&lt;&gt;""),'Arroz irrigado'!$E82:INDEX('Arroz irrigado'!$E82:$Z82,MIN(X$6-$G$3,22))),0)))))</f>
        <v>0</v>
      </c>
      <c r="Y84" s="27" t="n">
        <f aca="false">IF(COUNT('Arroz irrigado'!$E82:$Z82)=0,0,MAX(0,IF((Y$6-$E$3)&lt;1,0,IFERROR(LOOKUP(2,1/('Arroz irrigado'!$E82:INDEX('Arroz irrigado'!$E82:$Z82,MIN(Y$6-$E$3,22))&lt;&gt;""),'Arroz irrigado'!$E82:INDEX('Arroz irrigado'!$E82:$Z82,MIN(Y$6-$E$3,22))),0))-IF($G$2,0,IF((Y$6-$G$3)&lt;1,0,IFERROR(LOOKUP(2,1/('Arroz irrigado'!$E82:INDEX('Arroz irrigado'!$E82:$Z82,MIN(Y$6-$G$3,22))&lt;&gt;""),'Arroz irrigado'!$E82:INDEX('Arroz irrigado'!$E82:$Z82,MIN(Y$6-$G$3,22))),0)))))</f>
        <v>0</v>
      </c>
      <c r="Z84" s="27" t="n">
        <f aca="false">IF(COUNT('Arroz irrigado'!$E82:$Z82)=0,0,MAX(0,IF((Z$6-$E$3)&lt;1,0,IFERROR(LOOKUP(2,1/('Arroz irrigado'!$E82:INDEX('Arroz irrigado'!$E82:$Z82,MIN(Z$6-$E$3,22))&lt;&gt;""),'Arroz irrigado'!$E82:INDEX('Arroz irrigado'!$E82:$Z82,MIN(Z$6-$E$3,22))),0))-IF($G$2,0,IF((Z$6-$G$3)&lt;1,0,IFERROR(LOOKUP(2,1/('Arroz irrigado'!$E82:INDEX('Arroz irrigado'!$E82:$Z82,MIN(Z$6-$G$3,22))&lt;&gt;""),'Arroz irrigado'!$E82:INDEX('Arroz irrigado'!$E82:$Z82,MIN(Z$6-$G$3,22))),0)))))</f>
        <v>0</v>
      </c>
      <c r="AA84" s="27" t="n">
        <f aca="false">IF(COUNT('Arroz irrigado'!$E82:$Z82)=0,0,MAX(0,IF((AA$6-$E$3)&lt;1,0,IFERROR(LOOKUP(2,1/('Arroz irrigado'!$E82:INDEX('Arroz irrigado'!$E82:$Z82,MIN(AA$6-$E$3,22))&lt;&gt;""),'Arroz irrigado'!$E82:INDEX('Arroz irrigado'!$E82:$Z82,MIN(AA$6-$E$3,22))),0))-IF($G$2,0,IF((AA$6-$G$3)&lt;1,0,IFERROR(LOOKUP(2,1/('Arroz irrigado'!$E82:INDEX('Arroz irrigado'!$E82:$Z82,MIN(AA$6-$G$3,22))&lt;&gt;""),'Arroz irrigado'!$E82:INDEX('Arroz irrigado'!$E82:$Z82,MIN(AA$6-$G$3,22))),0)))))</f>
        <v>0</v>
      </c>
      <c r="AB84" s="27" t="n">
        <f aca="false">IF(COUNT('Arroz irrigado'!$E82:$Z82)=0,0,MAX(0,IF((AB$6-$E$3)&lt;1,0,IFERROR(LOOKUP(2,1/('Arroz irrigado'!$E82:INDEX('Arroz irrigado'!$E82:$Z82,MIN(AB$6-$E$3,22))&lt;&gt;""),'Arroz irrigado'!$E82:INDEX('Arroz irrigado'!$E82:$Z82,MIN(AB$6-$E$3,22))),0))-IF($G$2,0,IF((AB$6-$G$3)&lt;1,0,IFERROR(LOOKUP(2,1/('Arroz irrigado'!$E82:INDEX('Arroz irrigado'!$E82:$Z82,MIN(AB$6-$G$3,22))&lt;&gt;""),'Arroz irrigado'!$E82:INDEX('Arroz irrigado'!$E82:$Z82,MIN(AB$6-$G$3,22))),0)))))</f>
        <v>0</v>
      </c>
      <c r="AC84" s="27" t="n">
        <f aca="false">IF(COUNT('Arroz irrigado'!$E82:$Z82)=0,0,MAX(0,IF((AC$6-$E$3)&lt;1,0,IFERROR(LOOKUP(2,1/('Arroz irrigado'!$E82:INDEX('Arroz irrigado'!$E82:$Z82,MIN(AC$6-$E$3,22))&lt;&gt;""),'Arroz irrigado'!$E82:INDEX('Arroz irrigado'!$E82:$Z82,MIN(AC$6-$E$3,22))),0))-IF($G$2,0,IF((AC$6-$G$3)&lt;1,0,IFERROR(LOOKUP(2,1/('Arroz irrigado'!$E82:INDEX('Arroz irrigado'!$E82:$Z82,MIN(AC$6-$G$3,22))&lt;&gt;""),'Arroz irrigado'!$E82:INDEX('Arroz irrigado'!$E82:$Z82,MIN(AC$6-$G$3,22))),0)))))</f>
        <v>0</v>
      </c>
      <c r="AD84" s="27" t="n">
        <f aca="false">IF(COUNT('Arroz irrigado'!$E82:$Z82)=0,0,MAX(0,IF((AD$6-$E$3)&lt;1,0,IFERROR(LOOKUP(2,1/('Arroz irrigado'!$E82:INDEX('Arroz irrigado'!$E82:$Z82,MIN(AD$6-$E$3,22))&lt;&gt;""),'Arroz irrigado'!$E82:INDEX('Arroz irrigado'!$E82:$Z82,MIN(AD$6-$E$3,22))),0))-IF($G$2,0,IF((AD$6-$G$3)&lt;1,0,IFERROR(LOOKUP(2,1/('Arroz irrigado'!$E82:INDEX('Arroz irrigado'!$E82:$Z82,MIN(AD$6-$G$3,22))&lt;&gt;""),'Arroz irrigado'!$E82:INDEX('Arroz irrigado'!$E82:$Z82,MIN(AD$6-$G$3,22))),0)))))</f>
        <v>0</v>
      </c>
      <c r="AE84" s="27" t="n">
        <f aca="false">IF(COUNT('Arroz irrigado'!$E82:$Z82)=0,0,MAX(0,IF((AE$6-$E$3)&lt;1,0,IFERROR(LOOKUP(2,1/('Arroz irrigado'!$E82:INDEX('Arroz irrigado'!$E82:$Z82,MIN(AE$6-$E$3,22))&lt;&gt;""),'Arroz irrigado'!$E82:INDEX('Arroz irrigado'!$E82:$Z82,MIN(AE$6-$E$3,22))),0))-IF($G$2,0,IF((AE$6-$G$3)&lt;1,0,IFERROR(LOOKUP(2,1/('Arroz irrigado'!$E82:INDEX('Arroz irrigado'!$E82:$Z82,MIN(AE$6-$G$3,22))&lt;&gt;""),'Arroz irrigado'!$E82:INDEX('Arroz irrigado'!$E82:$Z82,MIN(AE$6-$G$3,22))),0)))))</f>
        <v>0</v>
      </c>
      <c r="AF84" s="27" t="n">
        <f aca="false">IF(COUNT('Arroz irrigado'!$E82:$Z82)=0,0,MAX(0,IF((AF$6-$E$3)&lt;1,0,IFERROR(LOOKUP(2,1/('Arroz irrigado'!$E82:INDEX('Arroz irrigado'!$E82:$Z82,MIN(AF$6-$E$3,22))&lt;&gt;""),'Arroz irrigado'!$E82:INDEX('Arroz irrigado'!$E82:$Z82,MIN(AF$6-$E$3,22))),0))-IF($G$2,0,IF((AF$6-$G$3)&lt;1,0,IFERROR(LOOKUP(2,1/('Arroz irrigado'!$E82:INDEX('Arroz irrigado'!$E82:$Z82,MIN(AF$6-$G$3,22))&lt;&gt;""),'Arroz irrigado'!$E82:INDEX('Arroz irrigado'!$E82:$Z82,MIN(AF$6-$G$3,22))),0)))))</f>
        <v>0</v>
      </c>
      <c r="AG84" s="27" t="n">
        <f aca="false">IF(COUNT('Arroz irrigado'!$E82:$Z82)=0,0,MAX(0,IF((AG$6-$E$3)&lt;1,0,IFERROR(LOOKUP(2,1/('Arroz irrigado'!$E82:INDEX('Arroz irrigado'!$E82:$Z82,MIN(AG$6-$E$3,22))&lt;&gt;""),'Arroz irrigado'!$E82:INDEX('Arroz irrigado'!$E82:$Z82,MIN(AG$6-$E$3,22))),0))-IF($G$2,0,IF((AG$6-$G$3)&lt;1,0,IFERROR(LOOKUP(2,1/('Arroz irrigado'!$E82:INDEX('Arroz irrigado'!$E82:$Z82,MIN(AG$6-$G$3,22))&lt;&gt;""),'Arroz irrigado'!$E82:INDEX('Arroz irrigado'!$E82:$Z82,MIN(AG$6-$G$3,22))),0)))))</f>
        <v>0</v>
      </c>
      <c r="AH84" s="27" t="n">
        <f aca="false">IF(COUNT('Arroz irrigado'!$E82:$Z82)=0,0,MAX(0,IF((AH$6-$E$3)&lt;1,0,IFERROR(LOOKUP(2,1/('Arroz irrigado'!$E82:INDEX('Arroz irrigado'!$E82:$Z82,MIN(AH$6-$E$3,22))&lt;&gt;""),'Arroz irrigado'!$E82:INDEX('Arroz irrigado'!$E82:$Z82,MIN(AH$6-$E$3,22))),0))-IF($G$2,0,IF((AH$6-$G$3)&lt;1,0,IFERROR(LOOKUP(2,1/('Arroz irrigado'!$E82:INDEX('Arroz irrigado'!$E82:$Z82,MIN(AH$6-$G$3,22))&lt;&gt;""),'Arroz irrigado'!$E82:INDEX('Arroz irrigado'!$E82:$Z82,MIN(AH$6-$G$3,22))),0)))))</f>
        <v>0</v>
      </c>
      <c r="AI84" s="27" t="n">
        <f aca="false">IF(COUNT('Arroz irrigado'!$E82:$Z82)=0,0,MAX(0,IF((AI$6-$E$3)&lt;1,0,IFERROR(LOOKUP(2,1/('Arroz irrigado'!$E82:INDEX('Arroz irrigado'!$E82:$Z82,MIN(AI$6-$E$3,22))&lt;&gt;""),'Arroz irrigado'!$E82:INDEX('Arroz irrigado'!$E82:$Z82,MIN(AI$6-$E$3,22))),0))-IF($G$2,0,IF((AI$6-$G$3)&lt;1,0,IFERROR(LOOKUP(2,1/('Arroz irrigado'!$E82:INDEX('Arroz irrigado'!$E82:$Z82,MIN(AI$6-$G$3,22))&lt;&gt;""),'Arroz irrigado'!$E82:INDEX('Arroz irrigado'!$E82:$Z82,MIN(AI$6-$G$3,22))),0)))))</f>
        <v>0</v>
      </c>
      <c r="AJ84" s="27" t="n">
        <f aca="false">IF(COUNT('Arroz irrigado'!$E82:$Z82)=0,0,MAX(0,IF((AJ$6-$E$3)&lt;1,0,IFERROR(LOOKUP(2,1/('Arroz irrigado'!$E82:INDEX('Arroz irrigado'!$E82:$Z82,MIN(AJ$6-$E$3,22))&lt;&gt;""),'Arroz irrigado'!$E82:INDEX('Arroz irrigado'!$E82:$Z82,MIN(AJ$6-$E$3,22))),0))-IF($G$2,0,IF((AJ$6-$G$3)&lt;1,0,IFERROR(LOOKUP(2,1/('Arroz irrigado'!$E82:INDEX('Arroz irrigado'!$E82:$Z82,MIN(AJ$6-$G$3,22))&lt;&gt;""),'Arroz irrigado'!$E82:INDEX('Arroz irrigado'!$E82:$Z82,MIN(AJ$6-$G$3,22))),0)))))</f>
        <v>0</v>
      </c>
      <c r="AK84" s="27" t="n">
        <f aca="false">IF(COUNT('Arroz irrigado'!$E82:$Z82)=0,0,MAX(0,IF((AK$6-$E$3)&lt;1,0,IFERROR(LOOKUP(2,1/('Arroz irrigado'!$E82:INDEX('Arroz irrigado'!$E82:$Z82,MIN(AK$6-$E$3,22))&lt;&gt;""),'Arroz irrigado'!$E82:INDEX('Arroz irrigado'!$E82:$Z82,MIN(AK$6-$E$3,22))),0))-IF($G$2,0,IF((AK$6-$G$3)&lt;1,0,IFERROR(LOOKUP(2,1/('Arroz irrigado'!$E82:INDEX('Arroz irrigado'!$E82:$Z82,MIN(AK$6-$G$3,22))&lt;&gt;""),'Arroz irrigado'!$E82:INDEX('Arroz irrigado'!$E82:$Z82,MIN(AK$6-$G$3,22))),0)))))</f>
        <v>0</v>
      </c>
      <c r="AL84" s="27" t="n">
        <f aca="false">IF(COUNT('Arroz irrigado'!$E82:$Z82)=0,0,MAX(0,IF((AL$6-$E$3)&lt;1,0,IFERROR(LOOKUP(2,1/('Arroz irrigado'!$E82:INDEX('Arroz irrigado'!$E82:$Z82,MIN(AL$6-$E$3,22))&lt;&gt;""),'Arroz irrigado'!$E82:INDEX('Arroz irrigado'!$E82:$Z82,MIN(AL$6-$E$3,22))),0))-IF($G$2,0,IF((AL$6-$G$3)&lt;1,0,IFERROR(LOOKUP(2,1/('Arroz irrigado'!$E82:INDEX('Arroz irrigado'!$E82:$Z82,MIN(AL$6-$G$3,22))&lt;&gt;""),'Arroz irrigado'!$E82:INDEX('Arroz irrigado'!$E82:$Z82,MIN(AL$6-$G$3,22))),0)))))</f>
        <v>0</v>
      </c>
      <c r="AM84" s="27" t="n">
        <f aca="false">IF(COUNT('Arroz irrigado'!$E82:$Z82)=0,0,MAX(0,IF((AM$6-$E$3)&lt;1,0,IFERROR(LOOKUP(2,1/('Arroz irrigado'!$E82:INDEX('Arroz irrigado'!$E82:$Z82,MIN(AM$6-$E$3,22))&lt;&gt;""),'Arroz irrigado'!$E82:INDEX('Arroz irrigado'!$E82:$Z82,MIN(AM$6-$E$3,22))),0))-IF($G$2,0,IF((AM$6-$G$3)&lt;1,0,IFERROR(LOOKUP(2,1/('Arroz irrigado'!$E82:INDEX('Arroz irrigado'!$E82:$Z82,MIN(AM$6-$G$3,22))&lt;&gt;""),'Arroz irrigado'!$E82:INDEX('Arroz irrigado'!$E82:$Z82,MIN(AM$6-$G$3,22))),0)))))</f>
        <v>0</v>
      </c>
      <c r="AN84" s="27" t="n">
        <f aca="false">IF(COUNT('Arroz irrigado'!$E82:$Z82)=0,0,MAX(0,IF((AN$6-$E$3)&lt;1,0,IFERROR(LOOKUP(2,1/('Arroz irrigado'!$E82:INDEX('Arroz irrigado'!$E82:$Z82,MIN(AN$6-$E$3,22))&lt;&gt;""),'Arroz irrigado'!$E82:INDEX('Arroz irrigado'!$E82:$Z82,MIN(AN$6-$E$3,22))),0))-IF($G$2,0,IF((AN$6-$G$3)&lt;1,0,IFERROR(LOOKUP(2,1/('Arroz irrigado'!$E82:INDEX('Arroz irrigado'!$E82:$Z82,MIN(AN$6-$G$3,22))&lt;&gt;""),'Arroz irrigado'!$E82:INDEX('Arroz irrigado'!$E82:$Z82,MIN(AN$6-$G$3,22))),0)))))</f>
        <v>0</v>
      </c>
      <c r="AO84" s="27" t="n">
        <f aca="false">IF(COUNT('Arroz irrigado'!$E82:$Z82)=0,0,MAX(0,IF((AO$6-$E$3)&lt;1,0,IFERROR(LOOKUP(2,1/('Arroz irrigado'!$E82:INDEX('Arroz irrigado'!$E82:$Z82,MIN(AO$6-$E$3,22))&lt;&gt;""),'Arroz irrigado'!$E82:INDEX('Arroz irrigado'!$E82:$Z82,MIN(AO$6-$E$3,22))),0))-IF($G$2,0,IF((AO$6-$G$3)&lt;1,0,IFERROR(LOOKUP(2,1/('Arroz irrigado'!$E82:INDEX('Arroz irrigado'!$E82:$Z82,MIN(AO$6-$G$3,22))&lt;&gt;""),'Arroz irrigado'!$E82:INDEX('Arroz irrigado'!$E82:$Z82,MIN(AO$6-$G$3,22))),0)))))</f>
        <v>0</v>
      </c>
      <c r="AP84" s="27" t="n">
        <f aca="false">IF(COUNT('Arroz irrigado'!$E82:$Z82)=0,0,MAX(0,IF((AP$6-$E$3)&lt;1,0,IFERROR(LOOKUP(2,1/('Arroz irrigado'!$E82:INDEX('Arroz irrigado'!$E82:$Z82,MIN(AP$6-$E$3,22))&lt;&gt;""),'Arroz irrigado'!$E82:INDEX('Arroz irrigado'!$E82:$Z82,MIN(AP$6-$E$3,22))),0))-IF($G$2,0,IF((AP$6-$G$3)&lt;1,0,IFERROR(LOOKUP(2,1/('Arroz irrigado'!$E82:INDEX('Arroz irrigado'!$E82:$Z82,MIN(AP$6-$G$3,22))&lt;&gt;""),'Arroz irrigado'!$E82:INDEX('Arroz irrigado'!$E82:$Z82,MIN(AP$6-$G$3,22))),0)))))</f>
        <v>0</v>
      </c>
      <c r="AQ84" s="27" t="n">
        <f aca="false">IF(COUNT('Arroz irrigado'!$E82:$Z82)=0,0,MAX(0,IF((AQ$6-$E$3)&lt;1,0,IFERROR(LOOKUP(2,1/('Arroz irrigado'!$E82:INDEX('Arroz irrigado'!$E82:$Z82,MIN(AQ$6-$E$3,22))&lt;&gt;""),'Arroz irrigado'!$E82:INDEX('Arroz irrigado'!$E82:$Z82,MIN(AQ$6-$E$3,22))),0))-IF($G$2,0,IF((AQ$6-$G$3)&lt;1,0,IFERROR(LOOKUP(2,1/('Arroz irrigado'!$E82:INDEX('Arroz irrigado'!$E82:$Z82,MIN(AQ$6-$G$3,22))&lt;&gt;""),'Arroz irrigado'!$E82:INDEX('Arroz irrigado'!$E82:$Z82,MIN(AQ$6-$G$3,22))),0)))))</f>
        <v>0</v>
      </c>
      <c r="AR84" s="27" t="n">
        <f aca="false">IF(COUNT('Arroz irrigado'!$E82:$Z82)=0,0,MAX(0,IF((AR$6-$E$3)&lt;1,0,IFERROR(LOOKUP(2,1/('Arroz irrigado'!$E82:INDEX('Arroz irrigado'!$E82:$Z82,MIN(AR$6-$E$3,22))&lt;&gt;""),'Arroz irrigado'!$E82:INDEX('Arroz irrigado'!$E82:$Z82,MIN(AR$6-$E$3,22))),0))-IF($G$2,0,IF((AR$6-$G$3)&lt;1,0,IFERROR(LOOKUP(2,1/('Arroz irrigado'!$E82:INDEX('Arroz irrigado'!$E82:$Z82,MIN(AR$6-$G$3,22))&lt;&gt;""),'Arroz irrigado'!$E82:INDEX('Arroz irrigado'!$E82:$Z82,MIN(AR$6-$G$3,22))),0)))))</f>
        <v>0</v>
      </c>
      <c r="AS84" s="27" t="n">
        <f aca="false">IF(COUNT('Arroz irrigado'!$E82:$Z82)=0,0,MAX(0,IF((AS$6-$E$3)&lt;1,0,IFERROR(LOOKUP(2,1/('Arroz irrigado'!$E82:INDEX('Arroz irrigado'!$E82:$Z82,MIN(AS$6-$E$3,22))&lt;&gt;""),'Arroz irrigado'!$E82:INDEX('Arroz irrigado'!$E82:$Z82,MIN(AS$6-$E$3,22))),0))-IF($G$2,0,IF((AS$6-$G$3)&lt;1,0,IFERROR(LOOKUP(2,1/('Arroz irrigado'!$E82:INDEX('Arroz irrigado'!$E82:$Z82,MIN(AS$6-$G$3,22))&lt;&gt;""),'Arroz irrigado'!$E82:INDEX('Arroz irrigado'!$E82:$Z82,MIN(AS$6-$G$3,22))),0)))))</f>
        <v>0</v>
      </c>
      <c r="AT84" s="27" t="n">
        <f aca="false">IF(COUNT('Arroz irrigado'!$E82:$Z82)=0,0,MAX(0,IF((AT$6-$E$3)&lt;1,0,IFERROR(LOOKUP(2,1/('Arroz irrigado'!$E82:INDEX('Arroz irrigado'!$E82:$Z82,MIN(AT$6-$E$3,22))&lt;&gt;""),'Arroz irrigado'!$E82:INDEX('Arroz irrigado'!$E82:$Z82,MIN(AT$6-$E$3,22))),0))-IF($G$2,0,IF((AT$6-$G$3)&lt;1,0,IFERROR(LOOKUP(2,1/('Arroz irrigado'!$E82:INDEX('Arroz irrigado'!$E82:$Z82,MIN(AT$6-$G$3,22))&lt;&gt;""),'Arroz irrigado'!$E82:INDEX('Arroz irrigado'!$E82:$Z82,MIN(AT$6-$G$3,22))),0)))))</f>
        <v>0</v>
      </c>
      <c r="AU84" s="27" t="n">
        <f aca="false">IF(COUNT('Arroz irrigado'!$E82:$Z82)=0,0,MAX(0,IF((AU$6-$E$3)&lt;1,0,IFERROR(LOOKUP(2,1/('Arroz irrigado'!$E82:INDEX('Arroz irrigado'!$E82:$Z82,MIN(AU$6-$E$3,22))&lt;&gt;""),'Arroz irrigado'!$E82:INDEX('Arroz irrigado'!$E82:$Z82,MIN(AU$6-$E$3,22))),0))-IF($G$2,0,IF((AU$6-$G$3)&lt;1,0,IFERROR(LOOKUP(2,1/('Arroz irrigado'!$E82:INDEX('Arroz irrigado'!$E82:$Z82,MIN(AU$6-$G$3,22))&lt;&gt;""),'Arroz irrigado'!$E82:INDEX('Arroz irrigado'!$E82:$Z82,MIN(AU$6-$G$3,22))),0)))))</f>
        <v>0</v>
      </c>
      <c r="AV84" s="27" t="n">
        <f aca="false">IF(COUNT('Arroz irrigado'!$E82:$Z82)=0,0,MAX(0,IF((AV$6-$E$3)&lt;1,0,IFERROR(LOOKUP(2,1/('Arroz irrigado'!$E82:INDEX('Arroz irrigado'!$E82:$Z82,MIN(AV$6-$E$3,22))&lt;&gt;""),'Arroz irrigado'!$E82:INDEX('Arroz irrigado'!$E82:$Z82,MIN(AV$6-$E$3,22))),0))-IF($G$2,0,IF((AV$6-$G$3)&lt;1,0,IFERROR(LOOKUP(2,1/('Arroz irrigado'!$E82:INDEX('Arroz irrigado'!$E82:$Z82,MIN(AV$6-$G$3,22))&lt;&gt;""),'Arroz irrigado'!$E82:INDEX('Arroz irrigado'!$E82:$Z82,MIN(AV$6-$G$3,22))),0)))))</f>
        <v>0</v>
      </c>
      <c r="AW84" s="27" t="n">
        <f aca="false">IF(COUNT('Arroz irrigado'!$E82:$Z82)=0,0,MAX(0,IF((AW$6-$E$3)&lt;1,0,IFERROR(LOOKUP(2,1/('Arroz irrigado'!$E82:INDEX('Arroz irrigado'!$E82:$Z82,MIN(AW$6-$E$3,22))&lt;&gt;""),'Arroz irrigado'!$E82:INDEX('Arroz irrigado'!$E82:$Z82,MIN(AW$6-$E$3,22))),0))-IF($G$2,0,IF((AW$6-$G$3)&lt;1,0,IFERROR(LOOKUP(2,1/('Arroz irrigado'!$E82:INDEX('Arroz irrigado'!$E82:$Z82,MIN(AW$6-$G$3,22))&lt;&gt;""),'Arroz irrigado'!$E82:INDEX('Arroz irrigado'!$E82:$Z82,MIN(AW$6-$G$3,22))),0)))))</f>
        <v>0</v>
      </c>
      <c r="AX84" s="27" t="n">
        <f aca="false">IF(COUNT('Arroz irrigado'!$E82:$Z82)=0,0,MAX(0,IF((AX$6-$E$3)&lt;1,0,IFERROR(LOOKUP(2,1/('Arroz irrigado'!$E82:INDEX('Arroz irrigado'!$E82:$Z82,MIN(AX$6-$E$3,22))&lt;&gt;""),'Arroz irrigado'!$E82:INDEX('Arroz irrigado'!$E82:$Z82,MIN(AX$6-$E$3,22))),0))-IF($G$2,0,IF((AX$6-$G$3)&lt;1,0,IFERROR(LOOKUP(2,1/('Arroz irrigado'!$E82:INDEX('Arroz irrigado'!$E82:$Z82,MIN(AX$6-$G$3,22))&lt;&gt;""),'Arroz irrigado'!$E82:INDEX('Arroz irrigado'!$E82:$Z82,MIN(AX$6-$G$3,22))),0)))))</f>
        <v>0</v>
      </c>
      <c r="AY84" s="27" t="n">
        <f aca="false">IF(COUNT('Arroz irrigado'!$E82:$Z82)=0,0,MAX(0,IF((AY$6-$E$3)&lt;1,0,IFERROR(LOOKUP(2,1/('Arroz irrigado'!$E82:INDEX('Arroz irrigado'!$E82:$Z82,MIN(AY$6-$E$3,22))&lt;&gt;""),'Arroz irrigado'!$E82:INDEX('Arroz irrigado'!$E82:$Z82,MIN(AY$6-$E$3,22))),0))-IF($G$2,0,IF((AY$6-$G$3)&lt;1,0,IFERROR(LOOKUP(2,1/('Arroz irrigado'!$E82:INDEX('Arroz irrigado'!$E82:$Z82,MIN(AY$6-$G$3,22))&lt;&gt;""),'Arroz irrigado'!$E82:INDEX('Arroz irrigado'!$E82:$Z82,MIN(AY$6-$G$3,22))),0)))))</f>
        <v>0</v>
      </c>
      <c r="AZ84" s="27" t="n">
        <f aca="false">IF(COUNT('Arroz irrigado'!$E82:$Z82)=0,0,MAX(0,IF((AZ$6-$E$3)&lt;1,0,IFERROR(LOOKUP(2,1/('Arroz irrigado'!$E82:INDEX('Arroz irrigado'!$E82:$Z82,MIN(AZ$6-$E$3,22))&lt;&gt;""),'Arroz irrigado'!$E82:INDEX('Arroz irrigado'!$E82:$Z82,MIN(AZ$6-$E$3,22))),0))-IF($G$2,0,IF((AZ$6-$G$3)&lt;1,0,IFERROR(LOOKUP(2,1/('Arroz irrigado'!$E82:INDEX('Arroz irrigado'!$E82:$Z82,MIN(AZ$6-$G$3,22))&lt;&gt;""),'Arroz irrigado'!$E82:INDEX('Arroz irrigado'!$E82:$Z82,MIN(AZ$6-$G$3,22))),0)))))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IF(COUNT('Arroz irrigado'!$E83:$Z83)&gt;0,N('Arroz irrigado'!$D83),0)</f>
        <v>0</v>
      </c>
      <c r="E85" s="27" t="n">
        <f aca="false">IF(COUNT('Arroz irrigado'!$E83:$Z83)=0,0,MAX(0,IF((E$6-$E$3)&lt;1,0,IFERROR(LOOKUP(2,1/('Arroz irrigado'!$E83:INDEX('Arroz irrigado'!$E83:$Z83,MIN(E$6-$E$3,22))&lt;&gt;""),'Arroz irrigado'!$E83:INDEX('Arroz irrigado'!$E83:$Z83,MIN(E$6-$E$3,22))),0))-IF($G$2,0,IF((E$6-$G$3)&lt;1,0,IFERROR(LOOKUP(2,1/('Arroz irrigado'!$E83:INDEX('Arroz irrigado'!$E83:$Z83,MIN(E$6-$G$3,22))&lt;&gt;""),'Arroz irrigado'!$E83:INDEX('Arroz irrigado'!$E83:$Z83,MIN(E$6-$G$3,22))),0)))))</f>
        <v>0</v>
      </c>
      <c r="F85" s="27" t="n">
        <f aca="false">IF(COUNT('Arroz irrigado'!$E83:$Z83)=0,0,MAX(0,IF((F$6-$E$3)&lt;1,0,IFERROR(LOOKUP(2,1/('Arroz irrigado'!$E83:INDEX('Arroz irrigado'!$E83:$Z83,MIN(F$6-$E$3,22))&lt;&gt;""),'Arroz irrigado'!$E83:INDEX('Arroz irrigado'!$E83:$Z83,MIN(F$6-$E$3,22))),0))-IF($G$2,0,IF((F$6-$G$3)&lt;1,0,IFERROR(LOOKUP(2,1/('Arroz irrigado'!$E83:INDEX('Arroz irrigado'!$E83:$Z83,MIN(F$6-$G$3,22))&lt;&gt;""),'Arroz irrigado'!$E83:INDEX('Arroz irrigado'!$E83:$Z83,MIN(F$6-$G$3,22))),0)))))</f>
        <v>0</v>
      </c>
      <c r="G85" s="27" t="n">
        <f aca="false">IF(COUNT('Arroz irrigado'!$E83:$Z83)=0,0,MAX(0,IF((G$6-$E$3)&lt;1,0,IFERROR(LOOKUP(2,1/('Arroz irrigado'!$E83:INDEX('Arroz irrigado'!$E83:$Z83,MIN(G$6-$E$3,22))&lt;&gt;""),'Arroz irrigado'!$E83:INDEX('Arroz irrigado'!$E83:$Z83,MIN(G$6-$E$3,22))),0))-IF($G$2,0,IF((G$6-$G$3)&lt;1,0,IFERROR(LOOKUP(2,1/('Arroz irrigado'!$E83:INDEX('Arroz irrigado'!$E83:$Z83,MIN(G$6-$G$3,22))&lt;&gt;""),'Arroz irrigado'!$E83:INDEX('Arroz irrigado'!$E83:$Z83,MIN(G$6-$G$3,22))),0)))))</f>
        <v>0</v>
      </c>
      <c r="H85" s="27" t="n">
        <f aca="false">IF(COUNT('Arroz irrigado'!$E83:$Z83)=0,0,MAX(0,IF((H$6-$E$3)&lt;1,0,IFERROR(LOOKUP(2,1/('Arroz irrigado'!$E83:INDEX('Arroz irrigado'!$E83:$Z83,MIN(H$6-$E$3,22))&lt;&gt;""),'Arroz irrigado'!$E83:INDEX('Arroz irrigado'!$E83:$Z83,MIN(H$6-$E$3,22))),0))-IF($G$2,0,IF((H$6-$G$3)&lt;1,0,IFERROR(LOOKUP(2,1/('Arroz irrigado'!$E83:INDEX('Arroz irrigado'!$E83:$Z83,MIN(H$6-$G$3,22))&lt;&gt;""),'Arroz irrigado'!$E83:INDEX('Arroz irrigado'!$E83:$Z83,MIN(H$6-$G$3,22))),0)))))</f>
        <v>0</v>
      </c>
      <c r="I85" s="27" t="n">
        <f aca="false">IF(COUNT('Arroz irrigado'!$E83:$Z83)=0,0,MAX(0,IF((I$6-$E$3)&lt;1,0,IFERROR(LOOKUP(2,1/('Arroz irrigado'!$E83:INDEX('Arroz irrigado'!$E83:$Z83,MIN(I$6-$E$3,22))&lt;&gt;""),'Arroz irrigado'!$E83:INDEX('Arroz irrigado'!$E83:$Z83,MIN(I$6-$E$3,22))),0))-IF($G$2,0,IF((I$6-$G$3)&lt;1,0,IFERROR(LOOKUP(2,1/('Arroz irrigado'!$E83:INDEX('Arroz irrigado'!$E83:$Z83,MIN(I$6-$G$3,22))&lt;&gt;""),'Arroz irrigado'!$E83:INDEX('Arroz irrigado'!$E83:$Z83,MIN(I$6-$G$3,22))),0)))))</f>
        <v>0</v>
      </c>
      <c r="J85" s="27" t="n">
        <f aca="false">IF(COUNT('Arroz irrigado'!$E83:$Z83)=0,0,MAX(0,IF((J$6-$E$3)&lt;1,0,IFERROR(LOOKUP(2,1/('Arroz irrigado'!$E83:INDEX('Arroz irrigado'!$E83:$Z83,MIN(J$6-$E$3,22))&lt;&gt;""),'Arroz irrigado'!$E83:INDEX('Arroz irrigado'!$E83:$Z83,MIN(J$6-$E$3,22))),0))-IF($G$2,0,IF((J$6-$G$3)&lt;1,0,IFERROR(LOOKUP(2,1/('Arroz irrigado'!$E83:INDEX('Arroz irrigado'!$E83:$Z83,MIN(J$6-$G$3,22))&lt;&gt;""),'Arroz irrigado'!$E83:INDEX('Arroz irrigado'!$E83:$Z83,MIN(J$6-$G$3,22))),0)))))</f>
        <v>0</v>
      </c>
      <c r="K85" s="27" t="n">
        <f aca="false">IF(COUNT('Arroz irrigado'!$E83:$Z83)=0,0,MAX(0,IF((K$6-$E$3)&lt;1,0,IFERROR(LOOKUP(2,1/('Arroz irrigado'!$E83:INDEX('Arroz irrigado'!$E83:$Z83,MIN(K$6-$E$3,22))&lt;&gt;""),'Arroz irrigado'!$E83:INDEX('Arroz irrigado'!$E83:$Z83,MIN(K$6-$E$3,22))),0))-IF($G$2,0,IF((K$6-$G$3)&lt;1,0,IFERROR(LOOKUP(2,1/('Arroz irrigado'!$E83:INDEX('Arroz irrigado'!$E83:$Z83,MIN(K$6-$G$3,22))&lt;&gt;""),'Arroz irrigado'!$E83:INDEX('Arroz irrigado'!$E83:$Z83,MIN(K$6-$G$3,22))),0)))))</f>
        <v>0</v>
      </c>
      <c r="L85" s="27" t="n">
        <f aca="false">IF(COUNT('Arroz irrigado'!$E83:$Z83)=0,0,MAX(0,IF((L$6-$E$3)&lt;1,0,IFERROR(LOOKUP(2,1/('Arroz irrigado'!$E83:INDEX('Arroz irrigado'!$E83:$Z83,MIN(L$6-$E$3,22))&lt;&gt;""),'Arroz irrigado'!$E83:INDEX('Arroz irrigado'!$E83:$Z83,MIN(L$6-$E$3,22))),0))-IF($G$2,0,IF((L$6-$G$3)&lt;1,0,IFERROR(LOOKUP(2,1/('Arroz irrigado'!$E83:INDEX('Arroz irrigado'!$E83:$Z83,MIN(L$6-$G$3,22))&lt;&gt;""),'Arroz irrigado'!$E83:INDEX('Arroz irrigado'!$E83:$Z83,MIN(L$6-$G$3,22))),0)))))</f>
        <v>0</v>
      </c>
      <c r="M85" s="27" t="n">
        <f aca="false">IF(COUNT('Arroz irrigado'!$E83:$Z83)=0,0,MAX(0,IF((M$6-$E$3)&lt;1,0,IFERROR(LOOKUP(2,1/('Arroz irrigado'!$E83:INDEX('Arroz irrigado'!$E83:$Z83,MIN(M$6-$E$3,22))&lt;&gt;""),'Arroz irrigado'!$E83:INDEX('Arroz irrigado'!$E83:$Z83,MIN(M$6-$E$3,22))),0))-IF($G$2,0,IF((M$6-$G$3)&lt;1,0,IFERROR(LOOKUP(2,1/('Arroz irrigado'!$E83:INDEX('Arroz irrigado'!$E83:$Z83,MIN(M$6-$G$3,22))&lt;&gt;""),'Arroz irrigado'!$E83:INDEX('Arroz irrigado'!$E83:$Z83,MIN(M$6-$G$3,22))),0)))))</f>
        <v>0</v>
      </c>
      <c r="N85" s="27" t="n">
        <f aca="false">IF(COUNT('Arroz irrigado'!$E83:$Z83)=0,0,MAX(0,IF((N$6-$E$3)&lt;1,0,IFERROR(LOOKUP(2,1/('Arroz irrigado'!$E83:INDEX('Arroz irrigado'!$E83:$Z83,MIN(N$6-$E$3,22))&lt;&gt;""),'Arroz irrigado'!$E83:INDEX('Arroz irrigado'!$E83:$Z83,MIN(N$6-$E$3,22))),0))-IF($G$2,0,IF((N$6-$G$3)&lt;1,0,IFERROR(LOOKUP(2,1/('Arroz irrigado'!$E83:INDEX('Arroz irrigado'!$E83:$Z83,MIN(N$6-$G$3,22))&lt;&gt;""),'Arroz irrigado'!$E83:INDEX('Arroz irrigado'!$E83:$Z83,MIN(N$6-$G$3,22))),0)))))</f>
        <v>0</v>
      </c>
      <c r="O85" s="27" t="n">
        <f aca="false">IF(COUNT('Arroz irrigado'!$E83:$Z83)=0,0,MAX(0,IF((O$6-$E$3)&lt;1,0,IFERROR(LOOKUP(2,1/('Arroz irrigado'!$E83:INDEX('Arroz irrigado'!$E83:$Z83,MIN(O$6-$E$3,22))&lt;&gt;""),'Arroz irrigado'!$E83:INDEX('Arroz irrigado'!$E83:$Z83,MIN(O$6-$E$3,22))),0))-IF($G$2,0,IF((O$6-$G$3)&lt;1,0,IFERROR(LOOKUP(2,1/('Arroz irrigado'!$E83:INDEX('Arroz irrigado'!$E83:$Z83,MIN(O$6-$G$3,22))&lt;&gt;""),'Arroz irrigado'!$E83:INDEX('Arroz irrigado'!$E83:$Z83,MIN(O$6-$G$3,22))),0)))))</f>
        <v>0</v>
      </c>
      <c r="P85" s="27" t="n">
        <f aca="false">IF(COUNT('Arroz irrigado'!$E83:$Z83)=0,0,MAX(0,IF((P$6-$E$3)&lt;1,0,IFERROR(LOOKUP(2,1/('Arroz irrigado'!$E83:INDEX('Arroz irrigado'!$E83:$Z83,MIN(P$6-$E$3,22))&lt;&gt;""),'Arroz irrigado'!$E83:INDEX('Arroz irrigado'!$E83:$Z83,MIN(P$6-$E$3,22))),0))-IF($G$2,0,IF((P$6-$G$3)&lt;1,0,IFERROR(LOOKUP(2,1/('Arroz irrigado'!$E83:INDEX('Arroz irrigado'!$E83:$Z83,MIN(P$6-$G$3,22))&lt;&gt;""),'Arroz irrigado'!$E83:INDEX('Arroz irrigado'!$E83:$Z83,MIN(P$6-$G$3,22))),0)))))</f>
        <v>0</v>
      </c>
      <c r="Q85" s="27" t="n">
        <f aca="false">IF(COUNT('Arroz irrigado'!$E83:$Z83)=0,0,MAX(0,IF((Q$6-$E$3)&lt;1,0,IFERROR(LOOKUP(2,1/('Arroz irrigado'!$E83:INDEX('Arroz irrigado'!$E83:$Z83,MIN(Q$6-$E$3,22))&lt;&gt;""),'Arroz irrigado'!$E83:INDEX('Arroz irrigado'!$E83:$Z83,MIN(Q$6-$E$3,22))),0))-IF($G$2,0,IF((Q$6-$G$3)&lt;1,0,IFERROR(LOOKUP(2,1/('Arroz irrigado'!$E83:INDEX('Arroz irrigado'!$E83:$Z83,MIN(Q$6-$G$3,22))&lt;&gt;""),'Arroz irrigado'!$E83:INDEX('Arroz irrigado'!$E83:$Z83,MIN(Q$6-$G$3,22))),0)))))</f>
        <v>0</v>
      </c>
      <c r="R85" s="27" t="n">
        <f aca="false">IF(COUNT('Arroz irrigado'!$E83:$Z83)=0,0,MAX(0,IF((R$6-$E$3)&lt;1,0,IFERROR(LOOKUP(2,1/('Arroz irrigado'!$E83:INDEX('Arroz irrigado'!$E83:$Z83,MIN(R$6-$E$3,22))&lt;&gt;""),'Arroz irrigado'!$E83:INDEX('Arroz irrigado'!$E83:$Z83,MIN(R$6-$E$3,22))),0))-IF($G$2,0,IF((R$6-$G$3)&lt;1,0,IFERROR(LOOKUP(2,1/('Arroz irrigado'!$E83:INDEX('Arroz irrigado'!$E83:$Z83,MIN(R$6-$G$3,22))&lt;&gt;""),'Arroz irrigado'!$E83:INDEX('Arroz irrigado'!$E83:$Z83,MIN(R$6-$G$3,22))),0)))))</f>
        <v>0</v>
      </c>
      <c r="S85" s="27" t="n">
        <f aca="false">IF(COUNT('Arroz irrigado'!$E83:$Z83)=0,0,MAX(0,IF((S$6-$E$3)&lt;1,0,IFERROR(LOOKUP(2,1/('Arroz irrigado'!$E83:INDEX('Arroz irrigado'!$E83:$Z83,MIN(S$6-$E$3,22))&lt;&gt;""),'Arroz irrigado'!$E83:INDEX('Arroz irrigado'!$E83:$Z83,MIN(S$6-$E$3,22))),0))-IF($G$2,0,IF((S$6-$G$3)&lt;1,0,IFERROR(LOOKUP(2,1/('Arroz irrigado'!$E83:INDEX('Arroz irrigado'!$E83:$Z83,MIN(S$6-$G$3,22))&lt;&gt;""),'Arroz irrigado'!$E83:INDEX('Arroz irrigado'!$E83:$Z83,MIN(S$6-$G$3,22))),0)))))</f>
        <v>0</v>
      </c>
      <c r="T85" s="27" t="n">
        <f aca="false">IF(COUNT('Arroz irrigado'!$E83:$Z83)=0,0,MAX(0,IF((T$6-$E$3)&lt;1,0,IFERROR(LOOKUP(2,1/('Arroz irrigado'!$E83:INDEX('Arroz irrigado'!$E83:$Z83,MIN(T$6-$E$3,22))&lt;&gt;""),'Arroz irrigado'!$E83:INDEX('Arroz irrigado'!$E83:$Z83,MIN(T$6-$E$3,22))),0))-IF($G$2,0,IF((T$6-$G$3)&lt;1,0,IFERROR(LOOKUP(2,1/('Arroz irrigado'!$E83:INDEX('Arroz irrigado'!$E83:$Z83,MIN(T$6-$G$3,22))&lt;&gt;""),'Arroz irrigado'!$E83:INDEX('Arroz irrigado'!$E83:$Z83,MIN(T$6-$G$3,22))),0)))))</f>
        <v>0</v>
      </c>
      <c r="U85" s="27" t="n">
        <f aca="false">IF(COUNT('Arroz irrigado'!$E83:$Z83)=0,0,MAX(0,IF((U$6-$E$3)&lt;1,0,IFERROR(LOOKUP(2,1/('Arroz irrigado'!$E83:INDEX('Arroz irrigado'!$E83:$Z83,MIN(U$6-$E$3,22))&lt;&gt;""),'Arroz irrigado'!$E83:INDEX('Arroz irrigado'!$E83:$Z83,MIN(U$6-$E$3,22))),0))-IF($G$2,0,IF((U$6-$G$3)&lt;1,0,IFERROR(LOOKUP(2,1/('Arroz irrigado'!$E83:INDEX('Arroz irrigado'!$E83:$Z83,MIN(U$6-$G$3,22))&lt;&gt;""),'Arroz irrigado'!$E83:INDEX('Arroz irrigado'!$E83:$Z83,MIN(U$6-$G$3,22))),0)))))</f>
        <v>0</v>
      </c>
      <c r="V85" s="27" t="n">
        <f aca="false">IF(COUNT('Arroz irrigado'!$E83:$Z83)=0,0,MAX(0,IF((V$6-$E$3)&lt;1,0,IFERROR(LOOKUP(2,1/('Arroz irrigado'!$E83:INDEX('Arroz irrigado'!$E83:$Z83,MIN(V$6-$E$3,22))&lt;&gt;""),'Arroz irrigado'!$E83:INDEX('Arroz irrigado'!$E83:$Z83,MIN(V$6-$E$3,22))),0))-IF($G$2,0,IF((V$6-$G$3)&lt;1,0,IFERROR(LOOKUP(2,1/('Arroz irrigado'!$E83:INDEX('Arroz irrigado'!$E83:$Z83,MIN(V$6-$G$3,22))&lt;&gt;""),'Arroz irrigado'!$E83:INDEX('Arroz irrigado'!$E83:$Z83,MIN(V$6-$G$3,22))),0)))))</f>
        <v>0</v>
      </c>
      <c r="W85" s="27" t="n">
        <f aca="false">IF(COUNT('Arroz irrigado'!$E83:$Z83)=0,0,MAX(0,IF((W$6-$E$3)&lt;1,0,IFERROR(LOOKUP(2,1/('Arroz irrigado'!$E83:INDEX('Arroz irrigado'!$E83:$Z83,MIN(W$6-$E$3,22))&lt;&gt;""),'Arroz irrigado'!$E83:INDEX('Arroz irrigado'!$E83:$Z83,MIN(W$6-$E$3,22))),0))-IF($G$2,0,IF((W$6-$G$3)&lt;1,0,IFERROR(LOOKUP(2,1/('Arroz irrigado'!$E83:INDEX('Arroz irrigado'!$E83:$Z83,MIN(W$6-$G$3,22))&lt;&gt;""),'Arroz irrigado'!$E83:INDEX('Arroz irrigado'!$E83:$Z83,MIN(W$6-$G$3,22))),0)))))</f>
        <v>0</v>
      </c>
      <c r="X85" s="27" t="n">
        <f aca="false">IF(COUNT('Arroz irrigado'!$E83:$Z83)=0,0,MAX(0,IF((X$6-$E$3)&lt;1,0,IFERROR(LOOKUP(2,1/('Arroz irrigado'!$E83:INDEX('Arroz irrigado'!$E83:$Z83,MIN(X$6-$E$3,22))&lt;&gt;""),'Arroz irrigado'!$E83:INDEX('Arroz irrigado'!$E83:$Z83,MIN(X$6-$E$3,22))),0))-IF($G$2,0,IF((X$6-$G$3)&lt;1,0,IFERROR(LOOKUP(2,1/('Arroz irrigado'!$E83:INDEX('Arroz irrigado'!$E83:$Z83,MIN(X$6-$G$3,22))&lt;&gt;""),'Arroz irrigado'!$E83:INDEX('Arroz irrigado'!$E83:$Z83,MIN(X$6-$G$3,22))),0)))))</f>
        <v>0</v>
      </c>
      <c r="Y85" s="27" t="n">
        <f aca="false">IF(COUNT('Arroz irrigado'!$E83:$Z83)=0,0,MAX(0,IF((Y$6-$E$3)&lt;1,0,IFERROR(LOOKUP(2,1/('Arroz irrigado'!$E83:INDEX('Arroz irrigado'!$E83:$Z83,MIN(Y$6-$E$3,22))&lt;&gt;""),'Arroz irrigado'!$E83:INDEX('Arroz irrigado'!$E83:$Z83,MIN(Y$6-$E$3,22))),0))-IF($G$2,0,IF((Y$6-$G$3)&lt;1,0,IFERROR(LOOKUP(2,1/('Arroz irrigado'!$E83:INDEX('Arroz irrigado'!$E83:$Z83,MIN(Y$6-$G$3,22))&lt;&gt;""),'Arroz irrigado'!$E83:INDEX('Arroz irrigado'!$E83:$Z83,MIN(Y$6-$G$3,22))),0)))))</f>
        <v>0</v>
      </c>
      <c r="Z85" s="27" t="n">
        <f aca="false">IF(COUNT('Arroz irrigado'!$E83:$Z83)=0,0,MAX(0,IF((Z$6-$E$3)&lt;1,0,IFERROR(LOOKUP(2,1/('Arroz irrigado'!$E83:INDEX('Arroz irrigado'!$E83:$Z83,MIN(Z$6-$E$3,22))&lt;&gt;""),'Arroz irrigado'!$E83:INDEX('Arroz irrigado'!$E83:$Z83,MIN(Z$6-$E$3,22))),0))-IF($G$2,0,IF((Z$6-$G$3)&lt;1,0,IFERROR(LOOKUP(2,1/('Arroz irrigado'!$E83:INDEX('Arroz irrigado'!$E83:$Z83,MIN(Z$6-$G$3,22))&lt;&gt;""),'Arroz irrigado'!$E83:INDEX('Arroz irrigado'!$E83:$Z83,MIN(Z$6-$G$3,22))),0)))))</f>
        <v>0</v>
      </c>
      <c r="AA85" s="27" t="n">
        <f aca="false">IF(COUNT('Arroz irrigado'!$E83:$Z83)=0,0,MAX(0,IF((AA$6-$E$3)&lt;1,0,IFERROR(LOOKUP(2,1/('Arroz irrigado'!$E83:INDEX('Arroz irrigado'!$E83:$Z83,MIN(AA$6-$E$3,22))&lt;&gt;""),'Arroz irrigado'!$E83:INDEX('Arroz irrigado'!$E83:$Z83,MIN(AA$6-$E$3,22))),0))-IF($G$2,0,IF((AA$6-$G$3)&lt;1,0,IFERROR(LOOKUP(2,1/('Arroz irrigado'!$E83:INDEX('Arroz irrigado'!$E83:$Z83,MIN(AA$6-$G$3,22))&lt;&gt;""),'Arroz irrigado'!$E83:INDEX('Arroz irrigado'!$E83:$Z83,MIN(AA$6-$G$3,22))),0)))))</f>
        <v>0</v>
      </c>
      <c r="AB85" s="27" t="n">
        <f aca="false">IF(COUNT('Arroz irrigado'!$E83:$Z83)=0,0,MAX(0,IF((AB$6-$E$3)&lt;1,0,IFERROR(LOOKUP(2,1/('Arroz irrigado'!$E83:INDEX('Arroz irrigado'!$E83:$Z83,MIN(AB$6-$E$3,22))&lt;&gt;""),'Arroz irrigado'!$E83:INDEX('Arroz irrigado'!$E83:$Z83,MIN(AB$6-$E$3,22))),0))-IF($G$2,0,IF((AB$6-$G$3)&lt;1,0,IFERROR(LOOKUP(2,1/('Arroz irrigado'!$E83:INDEX('Arroz irrigado'!$E83:$Z83,MIN(AB$6-$G$3,22))&lt;&gt;""),'Arroz irrigado'!$E83:INDEX('Arroz irrigado'!$E83:$Z83,MIN(AB$6-$G$3,22))),0)))))</f>
        <v>0</v>
      </c>
      <c r="AC85" s="27" t="n">
        <f aca="false">IF(COUNT('Arroz irrigado'!$E83:$Z83)=0,0,MAX(0,IF((AC$6-$E$3)&lt;1,0,IFERROR(LOOKUP(2,1/('Arroz irrigado'!$E83:INDEX('Arroz irrigado'!$E83:$Z83,MIN(AC$6-$E$3,22))&lt;&gt;""),'Arroz irrigado'!$E83:INDEX('Arroz irrigado'!$E83:$Z83,MIN(AC$6-$E$3,22))),0))-IF($G$2,0,IF((AC$6-$G$3)&lt;1,0,IFERROR(LOOKUP(2,1/('Arroz irrigado'!$E83:INDEX('Arroz irrigado'!$E83:$Z83,MIN(AC$6-$G$3,22))&lt;&gt;""),'Arroz irrigado'!$E83:INDEX('Arroz irrigado'!$E83:$Z83,MIN(AC$6-$G$3,22))),0)))))</f>
        <v>0</v>
      </c>
      <c r="AD85" s="27" t="n">
        <f aca="false">IF(COUNT('Arroz irrigado'!$E83:$Z83)=0,0,MAX(0,IF((AD$6-$E$3)&lt;1,0,IFERROR(LOOKUP(2,1/('Arroz irrigado'!$E83:INDEX('Arroz irrigado'!$E83:$Z83,MIN(AD$6-$E$3,22))&lt;&gt;""),'Arroz irrigado'!$E83:INDEX('Arroz irrigado'!$E83:$Z83,MIN(AD$6-$E$3,22))),0))-IF($G$2,0,IF((AD$6-$G$3)&lt;1,0,IFERROR(LOOKUP(2,1/('Arroz irrigado'!$E83:INDEX('Arroz irrigado'!$E83:$Z83,MIN(AD$6-$G$3,22))&lt;&gt;""),'Arroz irrigado'!$E83:INDEX('Arroz irrigado'!$E83:$Z83,MIN(AD$6-$G$3,22))),0)))))</f>
        <v>0</v>
      </c>
      <c r="AE85" s="27" t="n">
        <f aca="false">IF(COUNT('Arroz irrigado'!$E83:$Z83)=0,0,MAX(0,IF((AE$6-$E$3)&lt;1,0,IFERROR(LOOKUP(2,1/('Arroz irrigado'!$E83:INDEX('Arroz irrigado'!$E83:$Z83,MIN(AE$6-$E$3,22))&lt;&gt;""),'Arroz irrigado'!$E83:INDEX('Arroz irrigado'!$E83:$Z83,MIN(AE$6-$E$3,22))),0))-IF($G$2,0,IF((AE$6-$G$3)&lt;1,0,IFERROR(LOOKUP(2,1/('Arroz irrigado'!$E83:INDEX('Arroz irrigado'!$E83:$Z83,MIN(AE$6-$G$3,22))&lt;&gt;""),'Arroz irrigado'!$E83:INDEX('Arroz irrigado'!$E83:$Z83,MIN(AE$6-$G$3,22))),0)))))</f>
        <v>0</v>
      </c>
      <c r="AF85" s="27" t="n">
        <f aca="false">IF(COUNT('Arroz irrigado'!$E83:$Z83)=0,0,MAX(0,IF((AF$6-$E$3)&lt;1,0,IFERROR(LOOKUP(2,1/('Arroz irrigado'!$E83:INDEX('Arroz irrigado'!$E83:$Z83,MIN(AF$6-$E$3,22))&lt;&gt;""),'Arroz irrigado'!$E83:INDEX('Arroz irrigado'!$E83:$Z83,MIN(AF$6-$E$3,22))),0))-IF($G$2,0,IF((AF$6-$G$3)&lt;1,0,IFERROR(LOOKUP(2,1/('Arroz irrigado'!$E83:INDEX('Arroz irrigado'!$E83:$Z83,MIN(AF$6-$G$3,22))&lt;&gt;""),'Arroz irrigado'!$E83:INDEX('Arroz irrigado'!$E83:$Z83,MIN(AF$6-$G$3,22))),0)))))</f>
        <v>0</v>
      </c>
      <c r="AG85" s="27" t="n">
        <f aca="false">IF(COUNT('Arroz irrigado'!$E83:$Z83)=0,0,MAX(0,IF((AG$6-$E$3)&lt;1,0,IFERROR(LOOKUP(2,1/('Arroz irrigado'!$E83:INDEX('Arroz irrigado'!$E83:$Z83,MIN(AG$6-$E$3,22))&lt;&gt;""),'Arroz irrigado'!$E83:INDEX('Arroz irrigado'!$E83:$Z83,MIN(AG$6-$E$3,22))),0))-IF($G$2,0,IF((AG$6-$G$3)&lt;1,0,IFERROR(LOOKUP(2,1/('Arroz irrigado'!$E83:INDEX('Arroz irrigado'!$E83:$Z83,MIN(AG$6-$G$3,22))&lt;&gt;""),'Arroz irrigado'!$E83:INDEX('Arroz irrigado'!$E83:$Z83,MIN(AG$6-$G$3,22))),0)))))</f>
        <v>0</v>
      </c>
      <c r="AH85" s="27" t="n">
        <f aca="false">IF(COUNT('Arroz irrigado'!$E83:$Z83)=0,0,MAX(0,IF((AH$6-$E$3)&lt;1,0,IFERROR(LOOKUP(2,1/('Arroz irrigado'!$E83:INDEX('Arroz irrigado'!$E83:$Z83,MIN(AH$6-$E$3,22))&lt;&gt;""),'Arroz irrigado'!$E83:INDEX('Arroz irrigado'!$E83:$Z83,MIN(AH$6-$E$3,22))),0))-IF($G$2,0,IF((AH$6-$G$3)&lt;1,0,IFERROR(LOOKUP(2,1/('Arroz irrigado'!$E83:INDEX('Arroz irrigado'!$E83:$Z83,MIN(AH$6-$G$3,22))&lt;&gt;""),'Arroz irrigado'!$E83:INDEX('Arroz irrigado'!$E83:$Z83,MIN(AH$6-$G$3,22))),0)))))</f>
        <v>0</v>
      </c>
      <c r="AI85" s="27" t="n">
        <f aca="false">IF(COUNT('Arroz irrigado'!$E83:$Z83)=0,0,MAX(0,IF((AI$6-$E$3)&lt;1,0,IFERROR(LOOKUP(2,1/('Arroz irrigado'!$E83:INDEX('Arroz irrigado'!$E83:$Z83,MIN(AI$6-$E$3,22))&lt;&gt;""),'Arroz irrigado'!$E83:INDEX('Arroz irrigado'!$E83:$Z83,MIN(AI$6-$E$3,22))),0))-IF($G$2,0,IF((AI$6-$G$3)&lt;1,0,IFERROR(LOOKUP(2,1/('Arroz irrigado'!$E83:INDEX('Arroz irrigado'!$E83:$Z83,MIN(AI$6-$G$3,22))&lt;&gt;""),'Arroz irrigado'!$E83:INDEX('Arroz irrigado'!$E83:$Z83,MIN(AI$6-$G$3,22))),0)))))</f>
        <v>0</v>
      </c>
      <c r="AJ85" s="27" t="n">
        <f aca="false">IF(COUNT('Arroz irrigado'!$E83:$Z83)=0,0,MAX(0,IF((AJ$6-$E$3)&lt;1,0,IFERROR(LOOKUP(2,1/('Arroz irrigado'!$E83:INDEX('Arroz irrigado'!$E83:$Z83,MIN(AJ$6-$E$3,22))&lt;&gt;""),'Arroz irrigado'!$E83:INDEX('Arroz irrigado'!$E83:$Z83,MIN(AJ$6-$E$3,22))),0))-IF($G$2,0,IF((AJ$6-$G$3)&lt;1,0,IFERROR(LOOKUP(2,1/('Arroz irrigado'!$E83:INDEX('Arroz irrigado'!$E83:$Z83,MIN(AJ$6-$G$3,22))&lt;&gt;""),'Arroz irrigado'!$E83:INDEX('Arroz irrigado'!$E83:$Z83,MIN(AJ$6-$G$3,22))),0)))))</f>
        <v>0</v>
      </c>
      <c r="AK85" s="27" t="n">
        <f aca="false">IF(COUNT('Arroz irrigado'!$E83:$Z83)=0,0,MAX(0,IF((AK$6-$E$3)&lt;1,0,IFERROR(LOOKUP(2,1/('Arroz irrigado'!$E83:INDEX('Arroz irrigado'!$E83:$Z83,MIN(AK$6-$E$3,22))&lt;&gt;""),'Arroz irrigado'!$E83:INDEX('Arroz irrigado'!$E83:$Z83,MIN(AK$6-$E$3,22))),0))-IF($G$2,0,IF((AK$6-$G$3)&lt;1,0,IFERROR(LOOKUP(2,1/('Arroz irrigado'!$E83:INDEX('Arroz irrigado'!$E83:$Z83,MIN(AK$6-$G$3,22))&lt;&gt;""),'Arroz irrigado'!$E83:INDEX('Arroz irrigado'!$E83:$Z83,MIN(AK$6-$G$3,22))),0)))))</f>
        <v>0</v>
      </c>
      <c r="AL85" s="27" t="n">
        <f aca="false">IF(COUNT('Arroz irrigado'!$E83:$Z83)=0,0,MAX(0,IF((AL$6-$E$3)&lt;1,0,IFERROR(LOOKUP(2,1/('Arroz irrigado'!$E83:INDEX('Arroz irrigado'!$E83:$Z83,MIN(AL$6-$E$3,22))&lt;&gt;""),'Arroz irrigado'!$E83:INDEX('Arroz irrigado'!$E83:$Z83,MIN(AL$6-$E$3,22))),0))-IF($G$2,0,IF((AL$6-$G$3)&lt;1,0,IFERROR(LOOKUP(2,1/('Arroz irrigado'!$E83:INDEX('Arroz irrigado'!$E83:$Z83,MIN(AL$6-$G$3,22))&lt;&gt;""),'Arroz irrigado'!$E83:INDEX('Arroz irrigado'!$E83:$Z83,MIN(AL$6-$G$3,22))),0)))))</f>
        <v>0</v>
      </c>
      <c r="AM85" s="27" t="n">
        <f aca="false">IF(COUNT('Arroz irrigado'!$E83:$Z83)=0,0,MAX(0,IF((AM$6-$E$3)&lt;1,0,IFERROR(LOOKUP(2,1/('Arroz irrigado'!$E83:INDEX('Arroz irrigado'!$E83:$Z83,MIN(AM$6-$E$3,22))&lt;&gt;""),'Arroz irrigado'!$E83:INDEX('Arroz irrigado'!$E83:$Z83,MIN(AM$6-$E$3,22))),0))-IF($G$2,0,IF((AM$6-$G$3)&lt;1,0,IFERROR(LOOKUP(2,1/('Arroz irrigado'!$E83:INDEX('Arroz irrigado'!$E83:$Z83,MIN(AM$6-$G$3,22))&lt;&gt;""),'Arroz irrigado'!$E83:INDEX('Arroz irrigado'!$E83:$Z83,MIN(AM$6-$G$3,22))),0)))))</f>
        <v>0</v>
      </c>
      <c r="AN85" s="27" t="n">
        <f aca="false">IF(COUNT('Arroz irrigado'!$E83:$Z83)=0,0,MAX(0,IF((AN$6-$E$3)&lt;1,0,IFERROR(LOOKUP(2,1/('Arroz irrigado'!$E83:INDEX('Arroz irrigado'!$E83:$Z83,MIN(AN$6-$E$3,22))&lt;&gt;""),'Arroz irrigado'!$E83:INDEX('Arroz irrigado'!$E83:$Z83,MIN(AN$6-$E$3,22))),0))-IF($G$2,0,IF((AN$6-$G$3)&lt;1,0,IFERROR(LOOKUP(2,1/('Arroz irrigado'!$E83:INDEX('Arroz irrigado'!$E83:$Z83,MIN(AN$6-$G$3,22))&lt;&gt;""),'Arroz irrigado'!$E83:INDEX('Arroz irrigado'!$E83:$Z83,MIN(AN$6-$G$3,22))),0)))))</f>
        <v>0</v>
      </c>
      <c r="AO85" s="27" t="n">
        <f aca="false">IF(COUNT('Arroz irrigado'!$E83:$Z83)=0,0,MAX(0,IF((AO$6-$E$3)&lt;1,0,IFERROR(LOOKUP(2,1/('Arroz irrigado'!$E83:INDEX('Arroz irrigado'!$E83:$Z83,MIN(AO$6-$E$3,22))&lt;&gt;""),'Arroz irrigado'!$E83:INDEX('Arroz irrigado'!$E83:$Z83,MIN(AO$6-$E$3,22))),0))-IF($G$2,0,IF((AO$6-$G$3)&lt;1,0,IFERROR(LOOKUP(2,1/('Arroz irrigado'!$E83:INDEX('Arroz irrigado'!$E83:$Z83,MIN(AO$6-$G$3,22))&lt;&gt;""),'Arroz irrigado'!$E83:INDEX('Arroz irrigado'!$E83:$Z83,MIN(AO$6-$G$3,22))),0)))))</f>
        <v>0</v>
      </c>
      <c r="AP85" s="27" t="n">
        <f aca="false">IF(COUNT('Arroz irrigado'!$E83:$Z83)=0,0,MAX(0,IF((AP$6-$E$3)&lt;1,0,IFERROR(LOOKUP(2,1/('Arroz irrigado'!$E83:INDEX('Arroz irrigado'!$E83:$Z83,MIN(AP$6-$E$3,22))&lt;&gt;""),'Arroz irrigado'!$E83:INDEX('Arroz irrigado'!$E83:$Z83,MIN(AP$6-$E$3,22))),0))-IF($G$2,0,IF((AP$6-$G$3)&lt;1,0,IFERROR(LOOKUP(2,1/('Arroz irrigado'!$E83:INDEX('Arroz irrigado'!$E83:$Z83,MIN(AP$6-$G$3,22))&lt;&gt;""),'Arroz irrigado'!$E83:INDEX('Arroz irrigado'!$E83:$Z83,MIN(AP$6-$G$3,22))),0)))))</f>
        <v>0</v>
      </c>
      <c r="AQ85" s="27" t="n">
        <f aca="false">IF(COUNT('Arroz irrigado'!$E83:$Z83)=0,0,MAX(0,IF((AQ$6-$E$3)&lt;1,0,IFERROR(LOOKUP(2,1/('Arroz irrigado'!$E83:INDEX('Arroz irrigado'!$E83:$Z83,MIN(AQ$6-$E$3,22))&lt;&gt;""),'Arroz irrigado'!$E83:INDEX('Arroz irrigado'!$E83:$Z83,MIN(AQ$6-$E$3,22))),0))-IF($G$2,0,IF((AQ$6-$G$3)&lt;1,0,IFERROR(LOOKUP(2,1/('Arroz irrigado'!$E83:INDEX('Arroz irrigado'!$E83:$Z83,MIN(AQ$6-$G$3,22))&lt;&gt;""),'Arroz irrigado'!$E83:INDEX('Arroz irrigado'!$E83:$Z83,MIN(AQ$6-$G$3,22))),0)))))</f>
        <v>0</v>
      </c>
      <c r="AR85" s="27" t="n">
        <f aca="false">IF(COUNT('Arroz irrigado'!$E83:$Z83)=0,0,MAX(0,IF((AR$6-$E$3)&lt;1,0,IFERROR(LOOKUP(2,1/('Arroz irrigado'!$E83:INDEX('Arroz irrigado'!$E83:$Z83,MIN(AR$6-$E$3,22))&lt;&gt;""),'Arroz irrigado'!$E83:INDEX('Arroz irrigado'!$E83:$Z83,MIN(AR$6-$E$3,22))),0))-IF($G$2,0,IF((AR$6-$G$3)&lt;1,0,IFERROR(LOOKUP(2,1/('Arroz irrigado'!$E83:INDEX('Arroz irrigado'!$E83:$Z83,MIN(AR$6-$G$3,22))&lt;&gt;""),'Arroz irrigado'!$E83:INDEX('Arroz irrigado'!$E83:$Z83,MIN(AR$6-$G$3,22))),0)))))</f>
        <v>0</v>
      </c>
      <c r="AS85" s="27" t="n">
        <f aca="false">IF(COUNT('Arroz irrigado'!$E83:$Z83)=0,0,MAX(0,IF((AS$6-$E$3)&lt;1,0,IFERROR(LOOKUP(2,1/('Arroz irrigado'!$E83:INDEX('Arroz irrigado'!$E83:$Z83,MIN(AS$6-$E$3,22))&lt;&gt;""),'Arroz irrigado'!$E83:INDEX('Arroz irrigado'!$E83:$Z83,MIN(AS$6-$E$3,22))),0))-IF($G$2,0,IF((AS$6-$G$3)&lt;1,0,IFERROR(LOOKUP(2,1/('Arroz irrigado'!$E83:INDEX('Arroz irrigado'!$E83:$Z83,MIN(AS$6-$G$3,22))&lt;&gt;""),'Arroz irrigado'!$E83:INDEX('Arroz irrigado'!$E83:$Z83,MIN(AS$6-$G$3,22))),0)))))</f>
        <v>0</v>
      </c>
      <c r="AT85" s="27" t="n">
        <f aca="false">IF(COUNT('Arroz irrigado'!$E83:$Z83)=0,0,MAX(0,IF((AT$6-$E$3)&lt;1,0,IFERROR(LOOKUP(2,1/('Arroz irrigado'!$E83:INDEX('Arroz irrigado'!$E83:$Z83,MIN(AT$6-$E$3,22))&lt;&gt;""),'Arroz irrigado'!$E83:INDEX('Arroz irrigado'!$E83:$Z83,MIN(AT$6-$E$3,22))),0))-IF($G$2,0,IF((AT$6-$G$3)&lt;1,0,IFERROR(LOOKUP(2,1/('Arroz irrigado'!$E83:INDEX('Arroz irrigado'!$E83:$Z83,MIN(AT$6-$G$3,22))&lt;&gt;""),'Arroz irrigado'!$E83:INDEX('Arroz irrigado'!$E83:$Z83,MIN(AT$6-$G$3,22))),0)))))</f>
        <v>0</v>
      </c>
      <c r="AU85" s="27" t="n">
        <f aca="false">IF(COUNT('Arroz irrigado'!$E83:$Z83)=0,0,MAX(0,IF((AU$6-$E$3)&lt;1,0,IFERROR(LOOKUP(2,1/('Arroz irrigado'!$E83:INDEX('Arroz irrigado'!$E83:$Z83,MIN(AU$6-$E$3,22))&lt;&gt;""),'Arroz irrigado'!$E83:INDEX('Arroz irrigado'!$E83:$Z83,MIN(AU$6-$E$3,22))),0))-IF($G$2,0,IF((AU$6-$G$3)&lt;1,0,IFERROR(LOOKUP(2,1/('Arroz irrigado'!$E83:INDEX('Arroz irrigado'!$E83:$Z83,MIN(AU$6-$G$3,22))&lt;&gt;""),'Arroz irrigado'!$E83:INDEX('Arroz irrigado'!$E83:$Z83,MIN(AU$6-$G$3,22))),0)))))</f>
        <v>0</v>
      </c>
      <c r="AV85" s="27" t="n">
        <f aca="false">IF(COUNT('Arroz irrigado'!$E83:$Z83)=0,0,MAX(0,IF((AV$6-$E$3)&lt;1,0,IFERROR(LOOKUP(2,1/('Arroz irrigado'!$E83:INDEX('Arroz irrigado'!$E83:$Z83,MIN(AV$6-$E$3,22))&lt;&gt;""),'Arroz irrigado'!$E83:INDEX('Arroz irrigado'!$E83:$Z83,MIN(AV$6-$E$3,22))),0))-IF($G$2,0,IF((AV$6-$G$3)&lt;1,0,IFERROR(LOOKUP(2,1/('Arroz irrigado'!$E83:INDEX('Arroz irrigado'!$E83:$Z83,MIN(AV$6-$G$3,22))&lt;&gt;""),'Arroz irrigado'!$E83:INDEX('Arroz irrigado'!$E83:$Z83,MIN(AV$6-$G$3,22))),0)))))</f>
        <v>0</v>
      </c>
      <c r="AW85" s="27" t="n">
        <f aca="false">IF(COUNT('Arroz irrigado'!$E83:$Z83)=0,0,MAX(0,IF((AW$6-$E$3)&lt;1,0,IFERROR(LOOKUP(2,1/('Arroz irrigado'!$E83:INDEX('Arroz irrigado'!$E83:$Z83,MIN(AW$6-$E$3,22))&lt;&gt;""),'Arroz irrigado'!$E83:INDEX('Arroz irrigado'!$E83:$Z83,MIN(AW$6-$E$3,22))),0))-IF($G$2,0,IF((AW$6-$G$3)&lt;1,0,IFERROR(LOOKUP(2,1/('Arroz irrigado'!$E83:INDEX('Arroz irrigado'!$E83:$Z83,MIN(AW$6-$G$3,22))&lt;&gt;""),'Arroz irrigado'!$E83:INDEX('Arroz irrigado'!$E83:$Z83,MIN(AW$6-$G$3,22))),0)))))</f>
        <v>0</v>
      </c>
      <c r="AX85" s="27" t="n">
        <f aca="false">IF(COUNT('Arroz irrigado'!$E83:$Z83)=0,0,MAX(0,IF((AX$6-$E$3)&lt;1,0,IFERROR(LOOKUP(2,1/('Arroz irrigado'!$E83:INDEX('Arroz irrigado'!$E83:$Z83,MIN(AX$6-$E$3,22))&lt;&gt;""),'Arroz irrigado'!$E83:INDEX('Arroz irrigado'!$E83:$Z83,MIN(AX$6-$E$3,22))),0))-IF($G$2,0,IF((AX$6-$G$3)&lt;1,0,IFERROR(LOOKUP(2,1/('Arroz irrigado'!$E83:INDEX('Arroz irrigado'!$E83:$Z83,MIN(AX$6-$G$3,22))&lt;&gt;""),'Arroz irrigado'!$E83:INDEX('Arroz irrigado'!$E83:$Z83,MIN(AX$6-$G$3,22))),0)))))</f>
        <v>0</v>
      </c>
      <c r="AY85" s="27" t="n">
        <f aca="false">IF(COUNT('Arroz irrigado'!$E83:$Z83)=0,0,MAX(0,IF((AY$6-$E$3)&lt;1,0,IFERROR(LOOKUP(2,1/('Arroz irrigado'!$E83:INDEX('Arroz irrigado'!$E83:$Z83,MIN(AY$6-$E$3,22))&lt;&gt;""),'Arroz irrigado'!$E83:INDEX('Arroz irrigado'!$E83:$Z83,MIN(AY$6-$E$3,22))),0))-IF($G$2,0,IF((AY$6-$G$3)&lt;1,0,IFERROR(LOOKUP(2,1/('Arroz irrigado'!$E83:INDEX('Arroz irrigado'!$E83:$Z83,MIN(AY$6-$G$3,22))&lt;&gt;""),'Arroz irrigado'!$E83:INDEX('Arroz irrigado'!$E83:$Z83,MIN(AY$6-$G$3,22))),0)))))</f>
        <v>0</v>
      </c>
      <c r="AZ85" s="27" t="n">
        <f aca="false">IF(COUNT('Arroz irrigado'!$E83:$Z83)=0,0,MAX(0,IF((AZ$6-$E$3)&lt;1,0,IFERROR(LOOKUP(2,1/('Arroz irrigado'!$E83:INDEX('Arroz irrigado'!$E83:$Z83,MIN(AZ$6-$E$3,22))&lt;&gt;""),'Arroz irrigado'!$E83:INDEX('Arroz irrigado'!$E83:$Z83,MIN(AZ$6-$E$3,22))),0))-IF($G$2,0,IF((AZ$6-$G$3)&lt;1,0,IFERROR(LOOKUP(2,1/('Arroz irrigado'!$E83:INDEX('Arroz irrigado'!$E83:$Z83,MIN(AZ$6-$G$3,22))&lt;&gt;""),'Arroz irrigado'!$E83:INDEX('Arroz irrigado'!$E83:$Z83,MIN(AZ$6-$G$3,22))),0)))))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IF(COUNT('Arroz irrigado'!$E84:$Z84)&gt;0,N('Arroz irrigado'!$D84),0)</f>
        <v>0</v>
      </c>
      <c r="E86" s="27" t="n">
        <f aca="false">IF(COUNT('Arroz irrigado'!$E84:$Z84)=0,0,MAX(0,IF((E$6-$E$3)&lt;1,0,IFERROR(LOOKUP(2,1/('Arroz irrigado'!$E84:INDEX('Arroz irrigado'!$E84:$Z84,MIN(E$6-$E$3,22))&lt;&gt;""),'Arroz irrigado'!$E84:INDEX('Arroz irrigado'!$E84:$Z84,MIN(E$6-$E$3,22))),0))-IF($G$2,0,IF((E$6-$G$3)&lt;1,0,IFERROR(LOOKUP(2,1/('Arroz irrigado'!$E84:INDEX('Arroz irrigado'!$E84:$Z84,MIN(E$6-$G$3,22))&lt;&gt;""),'Arroz irrigado'!$E84:INDEX('Arroz irrigado'!$E84:$Z84,MIN(E$6-$G$3,22))),0)))))</f>
        <v>0</v>
      </c>
      <c r="F86" s="27" t="n">
        <f aca="false">IF(COUNT('Arroz irrigado'!$E84:$Z84)=0,0,MAX(0,IF((F$6-$E$3)&lt;1,0,IFERROR(LOOKUP(2,1/('Arroz irrigado'!$E84:INDEX('Arroz irrigado'!$E84:$Z84,MIN(F$6-$E$3,22))&lt;&gt;""),'Arroz irrigado'!$E84:INDEX('Arroz irrigado'!$E84:$Z84,MIN(F$6-$E$3,22))),0))-IF($G$2,0,IF((F$6-$G$3)&lt;1,0,IFERROR(LOOKUP(2,1/('Arroz irrigado'!$E84:INDEX('Arroz irrigado'!$E84:$Z84,MIN(F$6-$G$3,22))&lt;&gt;""),'Arroz irrigado'!$E84:INDEX('Arroz irrigado'!$E84:$Z84,MIN(F$6-$G$3,22))),0)))))</f>
        <v>0</v>
      </c>
      <c r="G86" s="27" t="n">
        <f aca="false">IF(COUNT('Arroz irrigado'!$E84:$Z84)=0,0,MAX(0,IF((G$6-$E$3)&lt;1,0,IFERROR(LOOKUP(2,1/('Arroz irrigado'!$E84:INDEX('Arroz irrigado'!$E84:$Z84,MIN(G$6-$E$3,22))&lt;&gt;""),'Arroz irrigado'!$E84:INDEX('Arroz irrigado'!$E84:$Z84,MIN(G$6-$E$3,22))),0))-IF($G$2,0,IF((G$6-$G$3)&lt;1,0,IFERROR(LOOKUP(2,1/('Arroz irrigado'!$E84:INDEX('Arroz irrigado'!$E84:$Z84,MIN(G$6-$G$3,22))&lt;&gt;""),'Arroz irrigado'!$E84:INDEX('Arroz irrigado'!$E84:$Z84,MIN(G$6-$G$3,22))),0)))))</f>
        <v>0</v>
      </c>
      <c r="H86" s="27" t="n">
        <f aca="false">IF(COUNT('Arroz irrigado'!$E84:$Z84)=0,0,MAX(0,IF((H$6-$E$3)&lt;1,0,IFERROR(LOOKUP(2,1/('Arroz irrigado'!$E84:INDEX('Arroz irrigado'!$E84:$Z84,MIN(H$6-$E$3,22))&lt;&gt;""),'Arroz irrigado'!$E84:INDEX('Arroz irrigado'!$E84:$Z84,MIN(H$6-$E$3,22))),0))-IF($G$2,0,IF((H$6-$G$3)&lt;1,0,IFERROR(LOOKUP(2,1/('Arroz irrigado'!$E84:INDEX('Arroz irrigado'!$E84:$Z84,MIN(H$6-$G$3,22))&lt;&gt;""),'Arroz irrigado'!$E84:INDEX('Arroz irrigado'!$E84:$Z84,MIN(H$6-$G$3,22))),0)))))</f>
        <v>0</v>
      </c>
      <c r="I86" s="27" t="n">
        <f aca="false">IF(COUNT('Arroz irrigado'!$E84:$Z84)=0,0,MAX(0,IF((I$6-$E$3)&lt;1,0,IFERROR(LOOKUP(2,1/('Arroz irrigado'!$E84:INDEX('Arroz irrigado'!$E84:$Z84,MIN(I$6-$E$3,22))&lt;&gt;""),'Arroz irrigado'!$E84:INDEX('Arroz irrigado'!$E84:$Z84,MIN(I$6-$E$3,22))),0))-IF($G$2,0,IF((I$6-$G$3)&lt;1,0,IFERROR(LOOKUP(2,1/('Arroz irrigado'!$E84:INDEX('Arroz irrigado'!$E84:$Z84,MIN(I$6-$G$3,22))&lt;&gt;""),'Arroz irrigado'!$E84:INDEX('Arroz irrigado'!$E84:$Z84,MIN(I$6-$G$3,22))),0)))))</f>
        <v>0</v>
      </c>
      <c r="J86" s="27" t="n">
        <f aca="false">IF(COUNT('Arroz irrigado'!$E84:$Z84)=0,0,MAX(0,IF((J$6-$E$3)&lt;1,0,IFERROR(LOOKUP(2,1/('Arroz irrigado'!$E84:INDEX('Arroz irrigado'!$E84:$Z84,MIN(J$6-$E$3,22))&lt;&gt;""),'Arroz irrigado'!$E84:INDEX('Arroz irrigado'!$E84:$Z84,MIN(J$6-$E$3,22))),0))-IF($G$2,0,IF((J$6-$G$3)&lt;1,0,IFERROR(LOOKUP(2,1/('Arroz irrigado'!$E84:INDEX('Arroz irrigado'!$E84:$Z84,MIN(J$6-$G$3,22))&lt;&gt;""),'Arroz irrigado'!$E84:INDEX('Arroz irrigado'!$E84:$Z84,MIN(J$6-$G$3,22))),0)))))</f>
        <v>0</v>
      </c>
      <c r="K86" s="27" t="n">
        <f aca="false">IF(COUNT('Arroz irrigado'!$E84:$Z84)=0,0,MAX(0,IF((K$6-$E$3)&lt;1,0,IFERROR(LOOKUP(2,1/('Arroz irrigado'!$E84:INDEX('Arroz irrigado'!$E84:$Z84,MIN(K$6-$E$3,22))&lt;&gt;""),'Arroz irrigado'!$E84:INDEX('Arroz irrigado'!$E84:$Z84,MIN(K$6-$E$3,22))),0))-IF($G$2,0,IF((K$6-$G$3)&lt;1,0,IFERROR(LOOKUP(2,1/('Arroz irrigado'!$E84:INDEX('Arroz irrigado'!$E84:$Z84,MIN(K$6-$G$3,22))&lt;&gt;""),'Arroz irrigado'!$E84:INDEX('Arroz irrigado'!$E84:$Z84,MIN(K$6-$G$3,22))),0)))))</f>
        <v>0</v>
      </c>
      <c r="L86" s="27" t="n">
        <f aca="false">IF(COUNT('Arroz irrigado'!$E84:$Z84)=0,0,MAX(0,IF((L$6-$E$3)&lt;1,0,IFERROR(LOOKUP(2,1/('Arroz irrigado'!$E84:INDEX('Arroz irrigado'!$E84:$Z84,MIN(L$6-$E$3,22))&lt;&gt;""),'Arroz irrigado'!$E84:INDEX('Arroz irrigado'!$E84:$Z84,MIN(L$6-$E$3,22))),0))-IF($G$2,0,IF((L$6-$G$3)&lt;1,0,IFERROR(LOOKUP(2,1/('Arroz irrigado'!$E84:INDEX('Arroz irrigado'!$E84:$Z84,MIN(L$6-$G$3,22))&lt;&gt;""),'Arroz irrigado'!$E84:INDEX('Arroz irrigado'!$E84:$Z84,MIN(L$6-$G$3,22))),0)))))</f>
        <v>0</v>
      </c>
      <c r="M86" s="27" t="n">
        <f aca="false">IF(COUNT('Arroz irrigado'!$E84:$Z84)=0,0,MAX(0,IF((M$6-$E$3)&lt;1,0,IFERROR(LOOKUP(2,1/('Arroz irrigado'!$E84:INDEX('Arroz irrigado'!$E84:$Z84,MIN(M$6-$E$3,22))&lt;&gt;""),'Arroz irrigado'!$E84:INDEX('Arroz irrigado'!$E84:$Z84,MIN(M$6-$E$3,22))),0))-IF($G$2,0,IF((M$6-$G$3)&lt;1,0,IFERROR(LOOKUP(2,1/('Arroz irrigado'!$E84:INDEX('Arroz irrigado'!$E84:$Z84,MIN(M$6-$G$3,22))&lt;&gt;""),'Arroz irrigado'!$E84:INDEX('Arroz irrigado'!$E84:$Z84,MIN(M$6-$G$3,22))),0)))))</f>
        <v>0</v>
      </c>
      <c r="N86" s="27" t="n">
        <f aca="false">IF(COUNT('Arroz irrigado'!$E84:$Z84)=0,0,MAX(0,IF((N$6-$E$3)&lt;1,0,IFERROR(LOOKUP(2,1/('Arroz irrigado'!$E84:INDEX('Arroz irrigado'!$E84:$Z84,MIN(N$6-$E$3,22))&lt;&gt;""),'Arroz irrigado'!$E84:INDEX('Arroz irrigado'!$E84:$Z84,MIN(N$6-$E$3,22))),0))-IF($G$2,0,IF((N$6-$G$3)&lt;1,0,IFERROR(LOOKUP(2,1/('Arroz irrigado'!$E84:INDEX('Arroz irrigado'!$E84:$Z84,MIN(N$6-$G$3,22))&lt;&gt;""),'Arroz irrigado'!$E84:INDEX('Arroz irrigado'!$E84:$Z84,MIN(N$6-$G$3,22))),0)))))</f>
        <v>0</v>
      </c>
      <c r="O86" s="27" t="n">
        <f aca="false">IF(COUNT('Arroz irrigado'!$E84:$Z84)=0,0,MAX(0,IF((O$6-$E$3)&lt;1,0,IFERROR(LOOKUP(2,1/('Arroz irrigado'!$E84:INDEX('Arroz irrigado'!$E84:$Z84,MIN(O$6-$E$3,22))&lt;&gt;""),'Arroz irrigado'!$E84:INDEX('Arroz irrigado'!$E84:$Z84,MIN(O$6-$E$3,22))),0))-IF($G$2,0,IF((O$6-$G$3)&lt;1,0,IFERROR(LOOKUP(2,1/('Arroz irrigado'!$E84:INDEX('Arroz irrigado'!$E84:$Z84,MIN(O$6-$G$3,22))&lt;&gt;""),'Arroz irrigado'!$E84:INDEX('Arroz irrigado'!$E84:$Z84,MIN(O$6-$G$3,22))),0)))))</f>
        <v>0</v>
      </c>
      <c r="P86" s="27" t="n">
        <f aca="false">IF(COUNT('Arroz irrigado'!$E84:$Z84)=0,0,MAX(0,IF((P$6-$E$3)&lt;1,0,IFERROR(LOOKUP(2,1/('Arroz irrigado'!$E84:INDEX('Arroz irrigado'!$E84:$Z84,MIN(P$6-$E$3,22))&lt;&gt;""),'Arroz irrigado'!$E84:INDEX('Arroz irrigado'!$E84:$Z84,MIN(P$6-$E$3,22))),0))-IF($G$2,0,IF((P$6-$G$3)&lt;1,0,IFERROR(LOOKUP(2,1/('Arroz irrigado'!$E84:INDEX('Arroz irrigado'!$E84:$Z84,MIN(P$6-$G$3,22))&lt;&gt;""),'Arroz irrigado'!$E84:INDEX('Arroz irrigado'!$E84:$Z84,MIN(P$6-$G$3,22))),0)))))</f>
        <v>0</v>
      </c>
      <c r="Q86" s="27" t="n">
        <f aca="false">IF(COUNT('Arroz irrigado'!$E84:$Z84)=0,0,MAX(0,IF((Q$6-$E$3)&lt;1,0,IFERROR(LOOKUP(2,1/('Arroz irrigado'!$E84:INDEX('Arroz irrigado'!$E84:$Z84,MIN(Q$6-$E$3,22))&lt;&gt;""),'Arroz irrigado'!$E84:INDEX('Arroz irrigado'!$E84:$Z84,MIN(Q$6-$E$3,22))),0))-IF($G$2,0,IF((Q$6-$G$3)&lt;1,0,IFERROR(LOOKUP(2,1/('Arroz irrigado'!$E84:INDEX('Arroz irrigado'!$E84:$Z84,MIN(Q$6-$G$3,22))&lt;&gt;""),'Arroz irrigado'!$E84:INDEX('Arroz irrigado'!$E84:$Z84,MIN(Q$6-$G$3,22))),0)))))</f>
        <v>0</v>
      </c>
      <c r="R86" s="27" t="n">
        <f aca="false">IF(COUNT('Arroz irrigado'!$E84:$Z84)=0,0,MAX(0,IF((R$6-$E$3)&lt;1,0,IFERROR(LOOKUP(2,1/('Arroz irrigado'!$E84:INDEX('Arroz irrigado'!$E84:$Z84,MIN(R$6-$E$3,22))&lt;&gt;""),'Arroz irrigado'!$E84:INDEX('Arroz irrigado'!$E84:$Z84,MIN(R$6-$E$3,22))),0))-IF($G$2,0,IF((R$6-$G$3)&lt;1,0,IFERROR(LOOKUP(2,1/('Arroz irrigado'!$E84:INDEX('Arroz irrigado'!$E84:$Z84,MIN(R$6-$G$3,22))&lt;&gt;""),'Arroz irrigado'!$E84:INDEX('Arroz irrigado'!$E84:$Z84,MIN(R$6-$G$3,22))),0)))))</f>
        <v>0</v>
      </c>
      <c r="S86" s="27" t="n">
        <f aca="false">IF(COUNT('Arroz irrigado'!$E84:$Z84)=0,0,MAX(0,IF((S$6-$E$3)&lt;1,0,IFERROR(LOOKUP(2,1/('Arroz irrigado'!$E84:INDEX('Arroz irrigado'!$E84:$Z84,MIN(S$6-$E$3,22))&lt;&gt;""),'Arroz irrigado'!$E84:INDEX('Arroz irrigado'!$E84:$Z84,MIN(S$6-$E$3,22))),0))-IF($G$2,0,IF((S$6-$G$3)&lt;1,0,IFERROR(LOOKUP(2,1/('Arroz irrigado'!$E84:INDEX('Arroz irrigado'!$E84:$Z84,MIN(S$6-$G$3,22))&lt;&gt;""),'Arroz irrigado'!$E84:INDEX('Arroz irrigado'!$E84:$Z84,MIN(S$6-$G$3,22))),0)))))</f>
        <v>0</v>
      </c>
      <c r="T86" s="27" t="n">
        <f aca="false">IF(COUNT('Arroz irrigado'!$E84:$Z84)=0,0,MAX(0,IF((T$6-$E$3)&lt;1,0,IFERROR(LOOKUP(2,1/('Arroz irrigado'!$E84:INDEX('Arroz irrigado'!$E84:$Z84,MIN(T$6-$E$3,22))&lt;&gt;""),'Arroz irrigado'!$E84:INDEX('Arroz irrigado'!$E84:$Z84,MIN(T$6-$E$3,22))),0))-IF($G$2,0,IF((T$6-$G$3)&lt;1,0,IFERROR(LOOKUP(2,1/('Arroz irrigado'!$E84:INDEX('Arroz irrigado'!$E84:$Z84,MIN(T$6-$G$3,22))&lt;&gt;""),'Arroz irrigado'!$E84:INDEX('Arroz irrigado'!$E84:$Z84,MIN(T$6-$G$3,22))),0)))))</f>
        <v>0</v>
      </c>
      <c r="U86" s="27" t="n">
        <f aca="false">IF(COUNT('Arroz irrigado'!$E84:$Z84)=0,0,MAX(0,IF((U$6-$E$3)&lt;1,0,IFERROR(LOOKUP(2,1/('Arroz irrigado'!$E84:INDEX('Arroz irrigado'!$E84:$Z84,MIN(U$6-$E$3,22))&lt;&gt;""),'Arroz irrigado'!$E84:INDEX('Arroz irrigado'!$E84:$Z84,MIN(U$6-$E$3,22))),0))-IF($G$2,0,IF((U$6-$G$3)&lt;1,0,IFERROR(LOOKUP(2,1/('Arroz irrigado'!$E84:INDEX('Arroz irrigado'!$E84:$Z84,MIN(U$6-$G$3,22))&lt;&gt;""),'Arroz irrigado'!$E84:INDEX('Arroz irrigado'!$E84:$Z84,MIN(U$6-$G$3,22))),0)))))</f>
        <v>0</v>
      </c>
      <c r="V86" s="27" t="n">
        <f aca="false">IF(COUNT('Arroz irrigado'!$E84:$Z84)=0,0,MAX(0,IF((V$6-$E$3)&lt;1,0,IFERROR(LOOKUP(2,1/('Arroz irrigado'!$E84:INDEX('Arroz irrigado'!$E84:$Z84,MIN(V$6-$E$3,22))&lt;&gt;""),'Arroz irrigado'!$E84:INDEX('Arroz irrigado'!$E84:$Z84,MIN(V$6-$E$3,22))),0))-IF($G$2,0,IF((V$6-$G$3)&lt;1,0,IFERROR(LOOKUP(2,1/('Arroz irrigado'!$E84:INDEX('Arroz irrigado'!$E84:$Z84,MIN(V$6-$G$3,22))&lt;&gt;""),'Arroz irrigado'!$E84:INDEX('Arroz irrigado'!$E84:$Z84,MIN(V$6-$G$3,22))),0)))))</f>
        <v>0</v>
      </c>
      <c r="W86" s="27" t="n">
        <f aca="false">IF(COUNT('Arroz irrigado'!$E84:$Z84)=0,0,MAX(0,IF((W$6-$E$3)&lt;1,0,IFERROR(LOOKUP(2,1/('Arroz irrigado'!$E84:INDEX('Arroz irrigado'!$E84:$Z84,MIN(W$6-$E$3,22))&lt;&gt;""),'Arroz irrigado'!$E84:INDEX('Arroz irrigado'!$E84:$Z84,MIN(W$6-$E$3,22))),0))-IF($G$2,0,IF((W$6-$G$3)&lt;1,0,IFERROR(LOOKUP(2,1/('Arroz irrigado'!$E84:INDEX('Arroz irrigado'!$E84:$Z84,MIN(W$6-$G$3,22))&lt;&gt;""),'Arroz irrigado'!$E84:INDEX('Arroz irrigado'!$E84:$Z84,MIN(W$6-$G$3,22))),0)))))</f>
        <v>0</v>
      </c>
      <c r="X86" s="27" t="n">
        <f aca="false">IF(COUNT('Arroz irrigado'!$E84:$Z84)=0,0,MAX(0,IF((X$6-$E$3)&lt;1,0,IFERROR(LOOKUP(2,1/('Arroz irrigado'!$E84:INDEX('Arroz irrigado'!$E84:$Z84,MIN(X$6-$E$3,22))&lt;&gt;""),'Arroz irrigado'!$E84:INDEX('Arroz irrigado'!$E84:$Z84,MIN(X$6-$E$3,22))),0))-IF($G$2,0,IF((X$6-$G$3)&lt;1,0,IFERROR(LOOKUP(2,1/('Arroz irrigado'!$E84:INDEX('Arroz irrigado'!$E84:$Z84,MIN(X$6-$G$3,22))&lt;&gt;""),'Arroz irrigado'!$E84:INDEX('Arroz irrigado'!$E84:$Z84,MIN(X$6-$G$3,22))),0)))))</f>
        <v>0</v>
      </c>
      <c r="Y86" s="27" t="n">
        <f aca="false">IF(COUNT('Arroz irrigado'!$E84:$Z84)=0,0,MAX(0,IF((Y$6-$E$3)&lt;1,0,IFERROR(LOOKUP(2,1/('Arroz irrigado'!$E84:INDEX('Arroz irrigado'!$E84:$Z84,MIN(Y$6-$E$3,22))&lt;&gt;""),'Arroz irrigado'!$E84:INDEX('Arroz irrigado'!$E84:$Z84,MIN(Y$6-$E$3,22))),0))-IF($G$2,0,IF((Y$6-$G$3)&lt;1,0,IFERROR(LOOKUP(2,1/('Arroz irrigado'!$E84:INDEX('Arroz irrigado'!$E84:$Z84,MIN(Y$6-$G$3,22))&lt;&gt;""),'Arroz irrigado'!$E84:INDEX('Arroz irrigado'!$E84:$Z84,MIN(Y$6-$G$3,22))),0)))))</f>
        <v>0</v>
      </c>
      <c r="Z86" s="27" t="n">
        <f aca="false">IF(COUNT('Arroz irrigado'!$E84:$Z84)=0,0,MAX(0,IF((Z$6-$E$3)&lt;1,0,IFERROR(LOOKUP(2,1/('Arroz irrigado'!$E84:INDEX('Arroz irrigado'!$E84:$Z84,MIN(Z$6-$E$3,22))&lt;&gt;""),'Arroz irrigado'!$E84:INDEX('Arroz irrigado'!$E84:$Z84,MIN(Z$6-$E$3,22))),0))-IF($G$2,0,IF((Z$6-$G$3)&lt;1,0,IFERROR(LOOKUP(2,1/('Arroz irrigado'!$E84:INDEX('Arroz irrigado'!$E84:$Z84,MIN(Z$6-$G$3,22))&lt;&gt;""),'Arroz irrigado'!$E84:INDEX('Arroz irrigado'!$E84:$Z84,MIN(Z$6-$G$3,22))),0)))))</f>
        <v>0</v>
      </c>
      <c r="AA86" s="27" t="n">
        <f aca="false">IF(COUNT('Arroz irrigado'!$E84:$Z84)=0,0,MAX(0,IF((AA$6-$E$3)&lt;1,0,IFERROR(LOOKUP(2,1/('Arroz irrigado'!$E84:INDEX('Arroz irrigado'!$E84:$Z84,MIN(AA$6-$E$3,22))&lt;&gt;""),'Arroz irrigado'!$E84:INDEX('Arroz irrigado'!$E84:$Z84,MIN(AA$6-$E$3,22))),0))-IF($G$2,0,IF((AA$6-$G$3)&lt;1,0,IFERROR(LOOKUP(2,1/('Arroz irrigado'!$E84:INDEX('Arroz irrigado'!$E84:$Z84,MIN(AA$6-$G$3,22))&lt;&gt;""),'Arroz irrigado'!$E84:INDEX('Arroz irrigado'!$E84:$Z84,MIN(AA$6-$G$3,22))),0)))))</f>
        <v>0</v>
      </c>
      <c r="AB86" s="27" t="n">
        <f aca="false">IF(COUNT('Arroz irrigado'!$E84:$Z84)=0,0,MAX(0,IF((AB$6-$E$3)&lt;1,0,IFERROR(LOOKUP(2,1/('Arroz irrigado'!$E84:INDEX('Arroz irrigado'!$E84:$Z84,MIN(AB$6-$E$3,22))&lt;&gt;""),'Arroz irrigado'!$E84:INDEX('Arroz irrigado'!$E84:$Z84,MIN(AB$6-$E$3,22))),0))-IF($G$2,0,IF((AB$6-$G$3)&lt;1,0,IFERROR(LOOKUP(2,1/('Arroz irrigado'!$E84:INDEX('Arroz irrigado'!$E84:$Z84,MIN(AB$6-$G$3,22))&lt;&gt;""),'Arroz irrigado'!$E84:INDEX('Arroz irrigado'!$E84:$Z84,MIN(AB$6-$G$3,22))),0)))))</f>
        <v>0</v>
      </c>
      <c r="AC86" s="27" t="n">
        <f aca="false">IF(COUNT('Arroz irrigado'!$E84:$Z84)=0,0,MAX(0,IF((AC$6-$E$3)&lt;1,0,IFERROR(LOOKUP(2,1/('Arroz irrigado'!$E84:INDEX('Arroz irrigado'!$E84:$Z84,MIN(AC$6-$E$3,22))&lt;&gt;""),'Arroz irrigado'!$E84:INDEX('Arroz irrigado'!$E84:$Z84,MIN(AC$6-$E$3,22))),0))-IF($G$2,0,IF((AC$6-$G$3)&lt;1,0,IFERROR(LOOKUP(2,1/('Arroz irrigado'!$E84:INDEX('Arroz irrigado'!$E84:$Z84,MIN(AC$6-$G$3,22))&lt;&gt;""),'Arroz irrigado'!$E84:INDEX('Arroz irrigado'!$E84:$Z84,MIN(AC$6-$G$3,22))),0)))))</f>
        <v>0</v>
      </c>
      <c r="AD86" s="27" t="n">
        <f aca="false">IF(COUNT('Arroz irrigado'!$E84:$Z84)=0,0,MAX(0,IF((AD$6-$E$3)&lt;1,0,IFERROR(LOOKUP(2,1/('Arroz irrigado'!$E84:INDEX('Arroz irrigado'!$E84:$Z84,MIN(AD$6-$E$3,22))&lt;&gt;""),'Arroz irrigado'!$E84:INDEX('Arroz irrigado'!$E84:$Z84,MIN(AD$6-$E$3,22))),0))-IF($G$2,0,IF((AD$6-$G$3)&lt;1,0,IFERROR(LOOKUP(2,1/('Arroz irrigado'!$E84:INDEX('Arroz irrigado'!$E84:$Z84,MIN(AD$6-$G$3,22))&lt;&gt;""),'Arroz irrigado'!$E84:INDEX('Arroz irrigado'!$E84:$Z84,MIN(AD$6-$G$3,22))),0)))))</f>
        <v>0</v>
      </c>
      <c r="AE86" s="27" t="n">
        <f aca="false">IF(COUNT('Arroz irrigado'!$E84:$Z84)=0,0,MAX(0,IF((AE$6-$E$3)&lt;1,0,IFERROR(LOOKUP(2,1/('Arroz irrigado'!$E84:INDEX('Arroz irrigado'!$E84:$Z84,MIN(AE$6-$E$3,22))&lt;&gt;""),'Arroz irrigado'!$E84:INDEX('Arroz irrigado'!$E84:$Z84,MIN(AE$6-$E$3,22))),0))-IF($G$2,0,IF((AE$6-$G$3)&lt;1,0,IFERROR(LOOKUP(2,1/('Arroz irrigado'!$E84:INDEX('Arroz irrigado'!$E84:$Z84,MIN(AE$6-$G$3,22))&lt;&gt;""),'Arroz irrigado'!$E84:INDEX('Arroz irrigado'!$E84:$Z84,MIN(AE$6-$G$3,22))),0)))))</f>
        <v>0</v>
      </c>
      <c r="AF86" s="27" t="n">
        <f aca="false">IF(COUNT('Arroz irrigado'!$E84:$Z84)=0,0,MAX(0,IF((AF$6-$E$3)&lt;1,0,IFERROR(LOOKUP(2,1/('Arroz irrigado'!$E84:INDEX('Arroz irrigado'!$E84:$Z84,MIN(AF$6-$E$3,22))&lt;&gt;""),'Arroz irrigado'!$E84:INDEX('Arroz irrigado'!$E84:$Z84,MIN(AF$6-$E$3,22))),0))-IF($G$2,0,IF((AF$6-$G$3)&lt;1,0,IFERROR(LOOKUP(2,1/('Arroz irrigado'!$E84:INDEX('Arroz irrigado'!$E84:$Z84,MIN(AF$6-$G$3,22))&lt;&gt;""),'Arroz irrigado'!$E84:INDEX('Arroz irrigado'!$E84:$Z84,MIN(AF$6-$G$3,22))),0)))))</f>
        <v>0</v>
      </c>
      <c r="AG86" s="27" t="n">
        <f aca="false">IF(COUNT('Arroz irrigado'!$E84:$Z84)=0,0,MAX(0,IF((AG$6-$E$3)&lt;1,0,IFERROR(LOOKUP(2,1/('Arroz irrigado'!$E84:INDEX('Arroz irrigado'!$E84:$Z84,MIN(AG$6-$E$3,22))&lt;&gt;""),'Arroz irrigado'!$E84:INDEX('Arroz irrigado'!$E84:$Z84,MIN(AG$6-$E$3,22))),0))-IF($G$2,0,IF((AG$6-$G$3)&lt;1,0,IFERROR(LOOKUP(2,1/('Arroz irrigado'!$E84:INDEX('Arroz irrigado'!$E84:$Z84,MIN(AG$6-$G$3,22))&lt;&gt;""),'Arroz irrigado'!$E84:INDEX('Arroz irrigado'!$E84:$Z84,MIN(AG$6-$G$3,22))),0)))))</f>
        <v>0</v>
      </c>
      <c r="AH86" s="27" t="n">
        <f aca="false">IF(COUNT('Arroz irrigado'!$E84:$Z84)=0,0,MAX(0,IF((AH$6-$E$3)&lt;1,0,IFERROR(LOOKUP(2,1/('Arroz irrigado'!$E84:INDEX('Arroz irrigado'!$E84:$Z84,MIN(AH$6-$E$3,22))&lt;&gt;""),'Arroz irrigado'!$E84:INDEX('Arroz irrigado'!$E84:$Z84,MIN(AH$6-$E$3,22))),0))-IF($G$2,0,IF((AH$6-$G$3)&lt;1,0,IFERROR(LOOKUP(2,1/('Arroz irrigado'!$E84:INDEX('Arroz irrigado'!$E84:$Z84,MIN(AH$6-$G$3,22))&lt;&gt;""),'Arroz irrigado'!$E84:INDEX('Arroz irrigado'!$E84:$Z84,MIN(AH$6-$G$3,22))),0)))))</f>
        <v>0</v>
      </c>
      <c r="AI86" s="27" t="n">
        <f aca="false">IF(COUNT('Arroz irrigado'!$E84:$Z84)=0,0,MAX(0,IF((AI$6-$E$3)&lt;1,0,IFERROR(LOOKUP(2,1/('Arroz irrigado'!$E84:INDEX('Arroz irrigado'!$E84:$Z84,MIN(AI$6-$E$3,22))&lt;&gt;""),'Arroz irrigado'!$E84:INDEX('Arroz irrigado'!$E84:$Z84,MIN(AI$6-$E$3,22))),0))-IF($G$2,0,IF((AI$6-$G$3)&lt;1,0,IFERROR(LOOKUP(2,1/('Arroz irrigado'!$E84:INDEX('Arroz irrigado'!$E84:$Z84,MIN(AI$6-$G$3,22))&lt;&gt;""),'Arroz irrigado'!$E84:INDEX('Arroz irrigado'!$E84:$Z84,MIN(AI$6-$G$3,22))),0)))))</f>
        <v>0</v>
      </c>
      <c r="AJ86" s="27" t="n">
        <f aca="false">IF(COUNT('Arroz irrigado'!$E84:$Z84)=0,0,MAX(0,IF((AJ$6-$E$3)&lt;1,0,IFERROR(LOOKUP(2,1/('Arroz irrigado'!$E84:INDEX('Arroz irrigado'!$E84:$Z84,MIN(AJ$6-$E$3,22))&lt;&gt;""),'Arroz irrigado'!$E84:INDEX('Arroz irrigado'!$E84:$Z84,MIN(AJ$6-$E$3,22))),0))-IF($G$2,0,IF((AJ$6-$G$3)&lt;1,0,IFERROR(LOOKUP(2,1/('Arroz irrigado'!$E84:INDEX('Arroz irrigado'!$E84:$Z84,MIN(AJ$6-$G$3,22))&lt;&gt;""),'Arroz irrigado'!$E84:INDEX('Arroz irrigado'!$E84:$Z84,MIN(AJ$6-$G$3,22))),0)))))</f>
        <v>0</v>
      </c>
      <c r="AK86" s="27" t="n">
        <f aca="false">IF(COUNT('Arroz irrigado'!$E84:$Z84)=0,0,MAX(0,IF((AK$6-$E$3)&lt;1,0,IFERROR(LOOKUP(2,1/('Arroz irrigado'!$E84:INDEX('Arroz irrigado'!$E84:$Z84,MIN(AK$6-$E$3,22))&lt;&gt;""),'Arroz irrigado'!$E84:INDEX('Arroz irrigado'!$E84:$Z84,MIN(AK$6-$E$3,22))),0))-IF($G$2,0,IF((AK$6-$G$3)&lt;1,0,IFERROR(LOOKUP(2,1/('Arroz irrigado'!$E84:INDEX('Arroz irrigado'!$E84:$Z84,MIN(AK$6-$G$3,22))&lt;&gt;""),'Arroz irrigado'!$E84:INDEX('Arroz irrigado'!$E84:$Z84,MIN(AK$6-$G$3,22))),0)))))</f>
        <v>0</v>
      </c>
      <c r="AL86" s="27" t="n">
        <f aca="false">IF(COUNT('Arroz irrigado'!$E84:$Z84)=0,0,MAX(0,IF((AL$6-$E$3)&lt;1,0,IFERROR(LOOKUP(2,1/('Arroz irrigado'!$E84:INDEX('Arroz irrigado'!$E84:$Z84,MIN(AL$6-$E$3,22))&lt;&gt;""),'Arroz irrigado'!$E84:INDEX('Arroz irrigado'!$E84:$Z84,MIN(AL$6-$E$3,22))),0))-IF($G$2,0,IF((AL$6-$G$3)&lt;1,0,IFERROR(LOOKUP(2,1/('Arroz irrigado'!$E84:INDEX('Arroz irrigado'!$E84:$Z84,MIN(AL$6-$G$3,22))&lt;&gt;""),'Arroz irrigado'!$E84:INDEX('Arroz irrigado'!$E84:$Z84,MIN(AL$6-$G$3,22))),0)))))</f>
        <v>0</v>
      </c>
      <c r="AM86" s="27" t="n">
        <f aca="false">IF(COUNT('Arroz irrigado'!$E84:$Z84)=0,0,MAX(0,IF((AM$6-$E$3)&lt;1,0,IFERROR(LOOKUP(2,1/('Arroz irrigado'!$E84:INDEX('Arroz irrigado'!$E84:$Z84,MIN(AM$6-$E$3,22))&lt;&gt;""),'Arroz irrigado'!$E84:INDEX('Arroz irrigado'!$E84:$Z84,MIN(AM$6-$E$3,22))),0))-IF($G$2,0,IF((AM$6-$G$3)&lt;1,0,IFERROR(LOOKUP(2,1/('Arroz irrigado'!$E84:INDEX('Arroz irrigado'!$E84:$Z84,MIN(AM$6-$G$3,22))&lt;&gt;""),'Arroz irrigado'!$E84:INDEX('Arroz irrigado'!$E84:$Z84,MIN(AM$6-$G$3,22))),0)))))</f>
        <v>0</v>
      </c>
      <c r="AN86" s="27" t="n">
        <f aca="false">IF(COUNT('Arroz irrigado'!$E84:$Z84)=0,0,MAX(0,IF((AN$6-$E$3)&lt;1,0,IFERROR(LOOKUP(2,1/('Arroz irrigado'!$E84:INDEX('Arroz irrigado'!$E84:$Z84,MIN(AN$6-$E$3,22))&lt;&gt;""),'Arroz irrigado'!$E84:INDEX('Arroz irrigado'!$E84:$Z84,MIN(AN$6-$E$3,22))),0))-IF($G$2,0,IF((AN$6-$G$3)&lt;1,0,IFERROR(LOOKUP(2,1/('Arroz irrigado'!$E84:INDEX('Arroz irrigado'!$E84:$Z84,MIN(AN$6-$G$3,22))&lt;&gt;""),'Arroz irrigado'!$E84:INDEX('Arroz irrigado'!$E84:$Z84,MIN(AN$6-$G$3,22))),0)))))</f>
        <v>0</v>
      </c>
      <c r="AO86" s="27" t="n">
        <f aca="false">IF(COUNT('Arroz irrigado'!$E84:$Z84)=0,0,MAX(0,IF((AO$6-$E$3)&lt;1,0,IFERROR(LOOKUP(2,1/('Arroz irrigado'!$E84:INDEX('Arroz irrigado'!$E84:$Z84,MIN(AO$6-$E$3,22))&lt;&gt;""),'Arroz irrigado'!$E84:INDEX('Arroz irrigado'!$E84:$Z84,MIN(AO$6-$E$3,22))),0))-IF($G$2,0,IF((AO$6-$G$3)&lt;1,0,IFERROR(LOOKUP(2,1/('Arroz irrigado'!$E84:INDEX('Arroz irrigado'!$E84:$Z84,MIN(AO$6-$G$3,22))&lt;&gt;""),'Arroz irrigado'!$E84:INDEX('Arroz irrigado'!$E84:$Z84,MIN(AO$6-$G$3,22))),0)))))</f>
        <v>0</v>
      </c>
      <c r="AP86" s="27" t="n">
        <f aca="false">IF(COUNT('Arroz irrigado'!$E84:$Z84)=0,0,MAX(0,IF((AP$6-$E$3)&lt;1,0,IFERROR(LOOKUP(2,1/('Arroz irrigado'!$E84:INDEX('Arroz irrigado'!$E84:$Z84,MIN(AP$6-$E$3,22))&lt;&gt;""),'Arroz irrigado'!$E84:INDEX('Arroz irrigado'!$E84:$Z84,MIN(AP$6-$E$3,22))),0))-IF($G$2,0,IF((AP$6-$G$3)&lt;1,0,IFERROR(LOOKUP(2,1/('Arroz irrigado'!$E84:INDEX('Arroz irrigado'!$E84:$Z84,MIN(AP$6-$G$3,22))&lt;&gt;""),'Arroz irrigado'!$E84:INDEX('Arroz irrigado'!$E84:$Z84,MIN(AP$6-$G$3,22))),0)))))</f>
        <v>0</v>
      </c>
      <c r="AQ86" s="27" t="n">
        <f aca="false">IF(COUNT('Arroz irrigado'!$E84:$Z84)=0,0,MAX(0,IF((AQ$6-$E$3)&lt;1,0,IFERROR(LOOKUP(2,1/('Arroz irrigado'!$E84:INDEX('Arroz irrigado'!$E84:$Z84,MIN(AQ$6-$E$3,22))&lt;&gt;""),'Arroz irrigado'!$E84:INDEX('Arroz irrigado'!$E84:$Z84,MIN(AQ$6-$E$3,22))),0))-IF($G$2,0,IF((AQ$6-$G$3)&lt;1,0,IFERROR(LOOKUP(2,1/('Arroz irrigado'!$E84:INDEX('Arroz irrigado'!$E84:$Z84,MIN(AQ$6-$G$3,22))&lt;&gt;""),'Arroz irrigado'!$E84:INDEX('Arroz irrigado'!$E84:$Z84,MIN(AQ$6-$G$3,22))),0)))))</f>
        <v>0</v>
      </c>
      <c r="AR86" s="27" t="n">
        <f aca="false">IF(COUNT('Arroz irrigado'!$E84:$Z84)=0,0,MAX(0,IF((AR$6-$E$3)&lt;1,0,IFERROR(LOOKUP(2,1/('Arroz irrigado'!$E84:INDEX('Arroz irrigado'!$E84:$Z84,MIN(AR$6-$E$3,22))&lt;&gt;""),'Arroz irrigado'!$E84:INDEX('Arroz irrigado'!$E84:$Z84,MIN(AR$6-$E$3,22))),0))-IF($G$2,0,IF((AR$6-$G$3)&lt;1,0,IFERROR(LOOKUP(2,1/('Arroz irrigado'!$E84:INDEX('Arroz irrigado'!$E84:$Z84,MIN(AR$6-$G$3,22))&lt;&gt;""),'Arroz irrigado'!$E84:INDEX('Arroz irrigado'!$E84:$Z84,MIN(AR$6-$G$3,22))),0)))))</f>
        <v>0</v>
      </c>
      <c r="AS86" s="27" t="n">
        <f aca="false">IF(COUNT('Arroz irrigado'!$E84:$Z84)=0,0,MAX(0,IF((AS$6-$E$3)&lt;1,0,IFERROR(LOOKUP(2,1/('Arroz irrigado'!$E84:INDEX('Arroz irrigado'!$E84:$Z84,MIN(AS$6-$E$3,22))&lt;&gt;""),'Arroz irrigado'!$E84:INDEX('Arroz irrigado'!$E84:$Z84,MIN(AS$6-$E$3,22))),0))-IF($G$2,0,IF((AS$6-$G$3)&lt;1,0,IFERROR(LOOKUP(2,1/('Arroz irrigado'!$E84:INDEX('Arroz irrigado'!$E84:$Z84,MIN(AS$6-$G$3,22))&lt;&gt;""),'Arroz irrigado'!$E84:INDEX('Arroz irrigado'!$E84:$Z84,MIN(AS$6-$G$3,22))),0)))))</f>
        <v>0</v>
      </c>
      <c r="AT86" s="27" t="n">
        <f aca="false">IF(COUNT('Arroz irrigado'!$E84:$Z84)=0,0,MAX(0,IF((AT$6-$E$3)&lt;1,0,IFERROR(LOOKUP(2,1/('Arroz irrigado'!$E84:INDEX('Arroz irrigado'!$E84:$Z84,MIN(AT$6-$E$3,22))&lt;&gt;""),'Arroz irrigado'!$E84:INDEX('Arroz irrigado'!$E84:$Z84,MIN(AT$6-$E$3,22))),0))-IF($G$2,0,IF((AT$6-$G$3)&lt;1,0,IFERROR(LOOKUP(2,1/('Arroz irrigado'!$E84:INDEX('Arroz irrigado'!$E84:$Z84,MIN(AT$6-$G$3,22))&lt;&gt;""),'Arroz irrigado'!$E84:INDEX('Arroz irrigado'!$E84:$Z84,MIN(AT$6-$G$3,22))),0)))))</f>
        <v>0</v>
      </c>
      <c r="AU86" s="27" t="n">
        <f aca="false">IF(COUNT('Arroz irrigado'!$E84:$Z84)=0,0,MAX(0,IF((AU$6-$E$3)&lt;1,0,IFERROR(LOOKUP(2,1/('Arroz irrigado'!$E84:INDEX('Arroz irrigado'!$E84:$Z84,MIN(AU$6-$E$3,22))&lt;&gt;""),'Arroz irrigado'!$E84:INDEX('Arroz irrigado'!$E84:$Z84,MIN(AU$6-$E$3,22))),0))-IF($G$2,0,IF((AU$6-$G$3)&lt;1,0,IFERROR(LOOKUP(2,1/('Arroz irrigado'!$E84:INDEX('Arroz irrigado'!$E84:$Z84,MIN(AU$6-$G$3,22))&lt;&gt;""),'Arroz irrigado'!$E84:INDEX('Arroz irrigado'!$E84:$Z84,MIN(AU$6-$G$3,22))),0)))))</f>
        <v>0</v>
      </c>
      <c r="AV86" s="27" t="n">
        <f aca="false">IF(COUNT('Arroz irrigado'!$E84:$Z84)=0,0,MAX(0,IF((AV$6-$E$3)&lt;1,0,IFERROR(LOOKUP(2,1/('Arroz irrigado'!$E84:INDEX('Arroz irrigado'!$E84:$Z84,MIN(AV$6-$E$3,22))&lt;&gt;""),'Arroz irrigado'!$E84:INDEX('Arroz irrigado'!$E84:$Z84,MIN(AV$6-$E$3,22))),0))-IF($G$2,0,IF((AV$6-$G$3)&lt;1,0,IFERROR(LOOKUP(2,1/('Arroz irrigado'!$E84:INDEX('Arroz irrigado'!$E84:$Z84,MIN(AV$6-$G$3,22))&lt;&gt;""),'Arroz irrigado'!$E84:INDEX('Arroz irrigado'!$E84:$Z84,MIN(AV$6-$G$3,22))),0)))))</f>
        <v>0</v>
      </c>
      <c r="AW86" s="27" t="n">
        <f aca="false">IF(COUNT('Arroz irrigado'!$E84:$Z84)=0,0,MAX(0,IF((AW$6-$E$3)&lt;1,0,IFERROR(LOOKUP(2,1/('Arroz irrigado'!$E84:INDEX('Arroz irrigado'!$E84:$Z84,MIN(AW$6-$E$3,22))&lt;&gt;""),'Arroz irrigado'!$E84:INDEX('Arroz irrigado'!$E84:$Z84,MIN(AW$6-$E$3,22))),0))-IF($G$2,0,IF((AW$6-$G$3)&lt;1,0,IFERROR(LOOKUP(2,1/('Arroz irrigado'!$E84:INDEX('Arroz irrigado'!$E84:$Z84,MIN(AW$6-$G$3,22))&lt;&gt;""),'Arroz irrigado'!$E84:INDEX('Arroz irrigado'!$E84:$Z84,MIN(AW$6-$G$3,22))),0)))))</f>
        <v>0</v>
      </c>
      <c r="AX86" s="27" t="n">
        <f aca="false">IF(COUNT('Arroz irrigado'!$E84:$Z84)=0,0,MAX(0,IF((AX$6-$E$3)&lt;1,0,IFERROR(LOOKUP(2,1/('Arroz irrigado'!$E84:INDEX('Arroz irrigado'!$E84:$Z84,MIN(AX$6-$E$3,22))&lt;&gt;""),'Arroz irrigado'!$E84:INDEX('Arroz irrigado'!$E84:$Z84,MIN(AX$6-$E$3,22))),0))-IF($G$2,0,IF((AX$6-$G$3)&lt;1,0,IFERROR(LOOKUP(2,1/('Arroz irrigado'!$E84:INDEX('Arroz irrigado'!$E84:$Z84,MIN(AX$6-$G$3,22))&lt;&gt;""),'Arroz irrigado'!$E84:INDEX('Arroz irrigado'!$E84:$Z84,MIN(AX$6-$G$3,22))),0)))))</f>
        <v>0</v>
      </c>
      <c r="AY86" s="27" t="n">
        <f aca="false">IF(COUNT('Arroz irrigado'!$E84:$Z84)=0,0,MAX(0,IF((AY$6-$E$3)&lt;1,0,IFERROR(LOOKUP(2,1/('Arroz irrigado'!$E84:INDEX('Arroz irrigado'!$E84:$Z84,MIN(AY$6-$E$3,22))&lt;&gt;""),'Arroz irrigado'!$E84:INDEX('Arroz irrigado'!$E84:$Z84,MIN(AY$6-$E$3,22))),0))-IF($G$2,0,IF((AY$6-$G$3)&lt;1,0,IFERROR(LOOKUP(2,1/('Arroz irrigado'!$E84:INDEX('Arroz irrigado'!$E84:$Z84,MIN(AY$6-$G$3,22))&lt;&gt;""),'Arroz irrigado'!$E84:INDEX('Arroz irrigado'!$E84:$Z84,MIN(AY$6-$G$3,22))),0)))))</f>
        <v>0</v>
      </c>
      <c r="AZ86" s="27" t="n">
        <f aca="false">IF(COUNT('Arroz irrigado'!$E84:$Z84)=0,0,MAX(0,IF((AZ$6-$E$3)&lt;1,0,IFERROR(LOOKUP(2,1/('Arroz irrigado'!$E84:INDEX('Arroz irrigado'!$E84:$Z84,MIN(AZ$6-$E$3,22))&lt;&gt;""),'Arroz irrigado'!$E84:INDEX('Arroz irrigado'!$E84:$Z84,MIN(AZ$6-$E$3,22))),0))-IF($G$2,0,IF((AZ$6-$G$3)&lt;1,0,IFERROR(LOOKUP(2,1/('Arroz irrigado'!$E84:INDEX('Arroz irrigado'!$E84:$Z84,MIN(AZ$6-$G$3,22))&lt;&gt;""),'Arroz irrigado'!$E84:INDEX('Arroz irrigado'!$E84:$Z84,MIN(AZ$6-$G$3,22))),0)))))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Parâmetros!$C$39:$C$45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310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Parâmetros!$J$10</f>
        <v>46270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46270</v>
      </c>
      <c r="F5" s="17" t="n">
        <f aca="false">$B$3+7</f>
        <v>46277</v>
      </c>
      <c r="G5" s="17" t="n">
        <f aca="false">$B$3+14</f>
        <v>46284</v>
      </c>
      <c r="H5" s="17" t="n">
        <f aca="false">$B$3+21</f>
        <v>46291</v>
      </c>
      <c r="I5" s="17" t="n">
        <f aca="false">$B$3+28</f>
        <v>46298</v>
      </c>
      <c r="J5" s="17" t="n">
        <f aca="false">$B$3+35</f>
        <v>46305</v>
      </c>
      <c r="K5" s="17" t="n">
        <f aca="false">$B$3+42</f>
        <v>46312</v>
      </c>
      <c r="L5" s="17" t="n">
        <f aca="false">$B$3+49</f>
        <v>46319</v>
      </c>
      <c r="M5" s="17" t="n">
        <f aca="false">$B$3+56</f>
        <v>46326</v>
      </c>
      <c r="N5" s="17" t="n">
        <f aca="false">$B$3+63</f>
        <v>46333</v>
      </c>
      <c r="O5" s="17" t="n">
        <f aca="false">$B$3+70</f>
        <v>46340</v>
      </c>
      <c r="P5" s="17" t="n">
        <f aca="false">$B$3+77</f>
        <v>46347</v>
      </c>
      <c r="Q5" s="17" t="n">
        <f aca="false">$B$3+84</f>
        <v>46354</v>
      </c>
      <c r="R5" s="17" t="n">
        <f aca="false">$B$3+91</f>
        <v>46361</v>
      </c>
      <c r="S5" s="17" t="n">
        <f aca="false">$B$3+98</f>
        <v>46368</v>
      </c>
      <c r="T5" s="17" t="n">
        <f aca="false">$B$3+105</f>
        <v>46375</v>
      </c>
      <c r="U5" s="17" t="n">
        <f aca="false">$B$3+112</f>
        <v>46382</v>
      </c>
      <c r="V5" s="17" t="n">
        <f aca="false">$B$3+119</f>
        <v>46389</v>
      </c>
      <c r="W5" s="17" t="n">
        <f aca="false">$B$3+126</f>
        <v>46396</v>
      </c>
      <c r="X5" s="17" t="n">
        <f aca="false">$B$3+133</f>
        <v>46403</v>
      </c>
      <c r="Y5" s="17" t="n">
        <f aca="false">$B$3+140</f>
        <v>46410</v>
      </c>
      <c r="Z5" s="17" t="n">
        <f aca="false">$B$3+147</f>
        <v>46417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311</v>
      </c>
    </row>
    <row r="2" customFormat="false" ht="15" hidden="false" customHeight="false" outlineLevel="0" collapsed="false">
      <c r="D2" s="21" t="s">
        <v>293</v>
      </c>
      <c r="E2" s="21" t="n">
        <f aca="false">MATCH("Feijão 1ª safra|"&amp;$B$3,Parâmetros!$G$4:$G$83,0)+3</f>
        <v>49</v>
      </c>
      <c r="F2" s="21" t="s">
        <v>294</v>
      </c>
      <c r="G2" s="22" t="b">
        <f aca="false">INDEX(Parâmetros!$A$1:$A$84,$E$2+1)&lt;&gt;"Feijão 1ª safra"</f>
        <v>0</v>
      </c>
    </row>
    <row r="3" customFormat="false" ht="15" hidden="false" customHeight="false" outlineLevel="0" collapsed="false">
      <c r="A3" s="13" t="s">
        <v>295</v>
      </c>
      <c r="B3" s="9" t="s">
        <v>84</v>
      </c>
      <c r="D3" s="21" t="s">
        <v>296</v>
      </c>
      <c r="E3" s="21" t="n">
        <f aca="false">ROUND(INDEX(Parâmetros!$D$1:$D$83,$E$2)/7,0)</f>
        <v>5</v>
      </c>
      <c r="F3" s="21" t="s">
        <v>297</v>
      </c>
      <c r="G3" s="21" t="n">
        <f aca="false">IF($G$2,999,ROUND(INDEX(Parâmetros!$D$1:$D$84,$E$2+1)/7,0))</f>
        <v>6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Seca e calor causam abortamento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'Feijão 1ª safra'!$B$3+0</f>
        <v>46270</v>
      </c>
      <c r="F7" s="17" t="n">
        <f aca="false">'Feijão 1ª safra'!$B$3+7</f>
        <v>46277</v>
      </c>
      <c r="G7" s="17" t="n">
        <f aca="false">'Feijão 1ª safra'!$B$3+14</f>
        <v>46284</v>
      </c>
      <c r="H7" s="17" t="n">
        <f aca="false">'Feijão 1ª safra'!$B$3+21</f>
        <v>46291</v>
      </c>
      <c r="I7" s="17" t="n">
        <f aca="false">'Feijão 1ª safra'!$B$3+28</f>
        <v>46298</v>
      </c>
      <c r="J7" s="17" t="n">
        <f aca="false">'Feijão 1ª safra'!$B$3+35</f>
        <v>46305</v>
      </c>
      <c r="K7" s="17" t="n">
        <f aca="false">'Feijão 1ª safra'!$B$3+42</f>
        <v>46312</v>
      </c>
      <c r="L7" s="17" t="n">
        <f aca="false">'Feijão 1ª safra'!$B$3+49</f>
        <v>46319</v>
      </c>
      <c r="M7" s="17" t="n">
        <f aca="false">'Feijão 1ª safra'!$B$3+56</f>
        <v>46326</v>
      </c>
      <c r="N7" s="17" t="n">
        <f aca="false">'Feijão 1ª safra'!$B$3+63</f>
        <v>46333</v>
      </c>
      <c r="O7" s="17" t="n">
        <f aca="false">'Feijão 1ª safra'!$B$3+70</f>
        <v>46340</v>
      </c>
      <c r="P7" s="17" t="n">
        <f aca="false">'Feijão 1ª safra'!$B$3+77</f>
        <v>46347</v>
      </c>
      <c r="Q7" s="17" t="n">
        <f aca="false">'Feijão 1ª safra'!$B$3+84</f>
        <v>46354</v>
      </c>
      <c r="R7" s="17" t="n">
        <f aca="false">'Feijão 1ª safra'!$B$3+91</f>
        <v>46361</v>
      </c>
      <c r="S7" s="17" t="n">
        <f aca="false">'Feijão 1ª safra'!$B$3+98</f>
        <v>46368</v>
      </c>
      <c r="T7" s="17" t="n">
        <f aca="false">'Feijão 1ª safra'!$B$3+105</f>
        <v>46375</v>
      </c>
      <c r="U7" s="17" t="n">
        <f aca="false">'Feijão 1ª safra'!$B$3+112</f>
        <v>46382</v>
      </c>
      <c r="V7" s="17" t="n">
        <f aca="false">'Feijão 1ª safra'!$B$3+119</f>
        <v>46389</v>
      </c>
      <c r="W7" s="17" t="n">
        <f aca="false">'Feijão 1ª safra'!$B$3+126</f>
        <v>46396</v>
      </c>
      <c r="X7" s="17" t="n">
        <f aca="false">'Feijão 1ª safra'!$B$3+133</f>
        <v>46403</v>
      </c>
      <c r="Y7" s="17" t="n">
        <f aca="false">'Feijão 1ª safra'!$B$3+140</f>
        <v>46410</v>
      </c>
      <c r="Z7" s="17" t="n">
        <f aca="false">'Feijão 1ª safra'!$B$3+147</f>
        <v>46417</v>
      </c>
      <c r="AA7" s="17" t="n">
        <f aca="false">'Feijão 1ª safra'!$B$3+154</f>
        <v>46424</v>
      </c>
      <c r="AB7" s="17" t="n">
        <f aca="false">'Feijão 1ª safra'!$B$3+161</f>
        <v>46431</v>
      </c>
      <c r="AC7" s="17" t="n">
        <f aca="false">'Feijão 1ª safra'!$B$3+168</f>
        <v>46438</v>
      </c>
      <c r="AD7" s="17" t="n">
        <f aca="false">'Feijão 1ª safra'!$B$3+175</f>
        <v>46445</v>
      </c>
      <c r="AE7" s="17" t="n">
        <f aca="false">'Feijão 1ª safra'!$B$3+182</f>
        <v>46452</v>
      </c>
      <c r="AF7" s="17" t="n">
        <f aca="false">'Feijão 1ª safra'!$B$3+189</f>
        <v>46459</v>
      </c>
      <c r="AG7" s="17" t="n">
        <f aca="false">'Feijão 1ª safra'!$B$3+196</f>
        <v>46466</v>
      </c>
      <c r="AH7" s="17" t="n">
        <f aca="false">'Feijão 1ª safra'!$B$3+203</f>
        <v>46473</v>
      </c>
      <c r="AI7" s="17" t="n">
        <f aca="false">'Feijão 1ª safra'!$B$3+210</f>
        <v>46480</v>
      </c>
      <c r="AJ7" s="17" t="n">
        <f aca="false">'Feijão 1ª safra'!$B$3+217</f>
        <v>46487</v>
      </c>
      <c r="AK7" s="17" t="n">
        <f aca="false">'Feijão 1ª safra'!$B$3+224</f>
        <v>46494</v>
      </c>
      <c r="AL7" s="17" t="n">
        <f aca="false">'Feijão 1ª safra'!$B$3+231</f>
        <v>46501</v>
      </c>
      <c r="AM7" s="17" t="n">
        <f aca="false">'Feijão 1ª safra'!$B$3+238</f>
        <v>46508</v>
      </c>
      <c r="AN7" s="17" t="n">
        <f aca="false">'Feijão 1ª safra'!$B$3+245</f>
        <v>46515</v>
      </c>
      <c r="AO7" s="17" t="n">
        <f aca="false">'Feijão 1ª safra'!$B$3+252</f>
        <v>46522</v>
      </c>
      <c r="AP7" s="17" t="n">
        <f aca="false">'Feijão 1ª safra'!$B$3+259</f>
        <v>46529</v>
      </c>
      <c r="AQ7" s="17" t="n">
        <f aca="false">'Feijão 1ª safra'!$B$3+266</f>
        <v>46536</v>
      </c>
      <c r="AR7" s="17" t="n">
        <f aca="false">'Feijão 1ª safra'!$B$3+273</f>
        <v>46543</v>
      </c>
      <c r="AS7" s="17" t="n">
        <f aca="false">'Feijão 1ª safra'!$B$3+280</f>
        <v>46550</v>
      </c>
      <c r="AT7" s="17" t="n">
        <f aca="false">'Feijão 1ª safra'!$B$3+287</f>
        <v>46557</v>
      </c>
      <c r="AU7" s="17" t="n">
        <f aca="false">'Feijão 1ª safra'!$B$3+294</f>
        <v>46564</v>
      </c>
      <c r="AV7" s="17" t="n">
        <f aca="false">'Feijão 1ª safra'!$B$3+301</f>
        <v>46571</v>
      </c>
      <c r="AW7" s="17" t="n">
        <f aca="false">'Feijão 1ª safra'!$B$3+308</f>
        <v>46578</v>
      </c>
      <c r="AX7" s="17" t="n">
        <f aca="false">'Feijão 1ª safra'!$B$3+315</f>
        <v>46585</v>
      </c>
      <c r="AY7" s="17" t="n">
        <f aca="false">'Feijão 1ª safra'!$B$3+322</f>
        <v>46592</v>
      </c>
      <c r="AZ7" s="17" t="n">
        <f aca="false">'Feijão 1ª safra'!$B$3+329</f>
        <v>46599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IF(COUNT('Feijão 1ª safra'!$E6:$Z6)&gt;0,N('Feijão 1ª safra'!$D6),0)</f>
        <v>0</v>
      </c>
      <c r="E8" s="27" t="n">
        <f aca="false">IF(COUNT('Feijão 1ª safra'!$E6:$Z6)=0,0,MAX(0,IF((E$6-$E$3)&lt;1,0,IFERROR(LOOKUP(2,1/('Feijão 1ª safra'!$E6:INDEX('Feijão 1ª safra'!$E6:$Z6,MIN(E$6-$E$3,22))&lt;&gt;""),'Feijão 1ª safra'!$E6:INDEX('Feijão 1ª safra'!$E6:$Z6,MIN(E$6-$E$3,22))),0))-IF($G$2,0,IF((E$6-$G$3)&lt;1,0,IFERROR(LOOKUP(2,1/('Feijão 1ª safra'!$E6:INDEX('Feijão 1ª safra'!$E6:$Z6,MIN(E$6-$G$3,22))&lt;&gt;""),'Feijão 1ª safra'!$E6:INDEX('Feijão 1ª safra'!$E6:$Z6,MIN(E$6-$G$3,22))),0)))))</f>
        <v>0</v>
      </c>
      <c r="F8" s="27" t="n">
        <f aca="false">IF(COUNT('Feijão 1ª safra'!$E6:$Z6)=0,0,MAX(0,IF((F$6-$E$3)&lt;1,0,IFERROR(LOOKUP(2,1/('Feijão 1ª safra'!$E6:INDEX('Feijão 1ª safra'!$E6:$Z6,MIN(F$6-$E$3,22))&lt;&gt;""),'Feijão 1ª safra'!$E6:INDEX('Feijão 1ª safra'!$E6:$Z6,MIN(F$6-$E$3,22))),0))-IF($G$2,0,IF((F$6-$G$3)&lt;1,0,IFERROR(LOOKUP(2,1/('Feijão 1ª safra'!$E6:INDEX('Feijão 1ª safra'!$E6:$Z6,MIN(F$6-$G$3,22))&lt;&gt;""),'Feijão 1ª safra'!$E6:INDEX('Feijão 1ª safra'!$E6:$Z6,MIN(F$6-$G$3,22))),0)))))</f>
        <v>0</v>
      </c>
      <c r="G8" s="27" t="n">
        <f aca="false">IF(COUNT('Feijão 1ª safra'!$E6:$Z6)=0,0,MAX(0,IF((G$6-$E$3)&lt;1,0,IFERROR(LOOKUP(2,1/('Feijão 1ª safra'!$E6:INDEX('Feijão 1ª safra'!$E6:$Z6,MIN(G$6-$E$3,22))&lt;&gt;""),'Feijão 1ª safra'!$E6:INDEX('Feijão 1ª safra'!$E6:$Z6,MIN(G$6-$E$3,22))),0))-IF($G$2,0,IF((G$6-$G$3)&lt;1,0,IFERROR(LOOKUP(2,1/('Feijão 1ª safra'!$E6:INDEX('Feijão 1ª safra'!$E6:$Z6,MIN(G$6-$G$3,22))&lt;&gt;""),'Feijão 1ª safra'!$E6:INDEX('Feijão 1ª safra'!$E6:$Z6,MIN(G$6-$G$3,22))),0)))))</f>
        <v>0</v>
      </c>
      <c r="H8" s="27" t="n">
        <f aca="false">IF(COUNT('Feijão 1ª safra'!$E6:$Z6)=0,0,MAX(0,IF((H$6-$E$3)&lt;1,0,IFERROR(LOOKUP(2,1/('Feijão 1ª safra'!$E6:INDEX('Feijão 1ª safra'!$E6:$Z6,MIN(H$6-$E$3,22))&lt;&gt;""),'Feijão 1ª safra'!$E6:INDEX('Feijão 1ª safra'!$E6:$Z6,MIN(H$6-$E$3,22))),0))-IF($G$2,0,IF((H$6-$G$3)&lt;1,0,IFERROR(LOOKUP(2,1/('Feijão 1ª safra'!$E6:INDEX('Feijão 1ª safra'!$E6:$Z6,MIN(H$6-$G$3,22))&lt;&gt;""),'Feijão 1ª safra'!$E6:INDEX('Feijão 1ª safra'!$E6:$Z6,MIN(H$6-$G$3,22))),0)))))</f>
        <v>0</v>
      </c>
      <c r="I8" s="27" t="n">
        <f aca="false">IF(COUNT('Feijão 1ª safra'!$E6:$Z6)=0,0,MAX(0,IF((I$6-$E$3)&lt;1,0,IFERROR(LOOKUP(2,1/('Feijão 1ª safra'!$E6:INDEX('Feijão 1ª safra'!$E6:$Z6,MIN(I$6-$E$3,22))&lt;&gt;""),'Feijão 1ª safra'!$E6:INDEX('Feijão 1ª safra'!$E6:$Z6,MIN(I$6-$E$3,22))),0))-IF($G$2,0,IF((I$6-$G$3)&lt;1,0,IFERROR(LOOKUP(2,1/('Feijão 1ª safra'!$E6:INDEX('Feijão 1ª safra'!$E6:$Z6,MIN(I$6-$G$3,22))&lt;&gt;""),'Feijão 1ª safra'!$E6:INDEX('Feijão 1ª safra'!$E6:$Z6,MIN(I$6-$G$3,22))),0)))))</f>
        <v>0</v>
      </c>
      <c r="J8" s="27" t="n">
        <f aca="false">IF(COUNT('Feijão 1ª safra'!$E6:$Z6)=0,0,MAX(0,IF((J$6-$E$3)&lt;1,0,IFERROR(LOOKUP(2,1/('Feijão 1ª safra'!$E6:INDEX('Feijão 1ª safra'!$E6:$Z6,MIN(J$6-$E$3,22))&lt;&gt;""),'Feijão 1ª safra'!$E6:INDEX('Feijão 1ª safra'!$E6:$Z6,MIN(J$6-$E$3,22))),0))-IF($G$2,0,IF((J$6-$G$3)&lt;1,0,IFERROR(LOOKUP(2,1/('Feijão 1ª safra'!$E6:INDEX('Feijão 1ª safra'!$E6:$Z6,MIN(J$6-$G$3,22))&lt;&gt;""),'Feijão 1ª safra'!$E6:INDEX('Feijão 1ª safra'!$E6:$Z6,MIN(J$6-$G$3,22))),0)))))</f>
        <v>0</v>
      </c>
      <c r="K8" s="27" t="n">
        <f aca="false">IF(COUNT('Feijão 1ª safra'!$E6:$Z6)=0,0,MAX(0,IF((K$6-$E$3)&lt;1,0,IFERROR(LOOKUP(2,1/('Feijão 1ª safra'!$E6:INDEX('Feijão 1ª safra'!$E6:$Z6,MIN(K$6-$E$3,22))&lt;&gt;""),'Feijão 1ª safra'!$E6:INDEX('Feijão 1ª safra'!$E6:$Z6,MIN(K$6-$E$3,22))),0))-IF($G$2,0,IF((K$6-$G$3)&lt;1,0,IFERROR(LOOKUP(2,1/('Feijão 1ª safra'!$E6:INDEX('Feijão 1ª safra'!$E6:$Z6,MIN(K$6-$G$3,22))&lt;&gt;""),'Feijão 1ª safra'!$E6:INDEX('Feijão 1ª safra'!$E6:$Z6,MIN(K$6-$G$3,22))),0)))))</f>
        <v>0</v>
      </c>
      <c r="L8" s="27" t="n">
        <f aca="false">IF(COUNT('Feijão 1ª safra'!$E6:$Z6)=0,0,MAX(0,IF((L$6-$E$3)&lt;1,0,IFERROR(LOOKUP(2,1/('Feijão 1ª safra'!$E6:INDEX('Feijão 1ª safra'!$E6:$Z6,MIN(L$6-$E$3,22))&lt;&gt;""),'Feijão 1ª safra'!$E6:INDEX('Feijão 1ª safra'!$E6:$Z6,MIN(L$6-$E$3,22))),0))-IF($G$2,0,IF((L$6-$G$3)&lt;1,0,IFERROR(LOOKUP(2,1/('Feijão 1ª safra'!$E6:INDEX('Feijão 1ª safra'!$E6:$Z6,MIN(L$6-$G$3,22))&lt;&gt;""),'Feijão 1ª safra'!$E6:INDEX('Feijão 1ª safra'!$E6:$Z6,MIN(L$6-$G$3,22))),0)))))</f>
        <v>0</v>
      </c>
      <c r="M8" s="27" t="n">
        <f aca="false">IF(COUNT('Feijão 1ª safra'!$E6:$Z6)=0,0,MAX(0,IF((M$6-$E$3)&lt;1,0,IFERROR(LOOKUP(2,1/('Feijão 1ª safra'!$E6:INDEX('Feijão 1ª safra'!$E6:$Z6,MIN(M$6-$E$3,22))&lt;&gt;""),'Feijão 1ª safra'!$E6:INDEX('Feijão 1ª safra'!$E6:$Z6,MIN(M$6-$E$3,22))),0))-IF($G$2,0,IF((M$6-$G$3)&lt;1,0,IFERROR(LOOKUP(2,1/('Feijão 1ª safra'!$E6:INDEX('Feijão 1ª safra'!$E6:$Z6,MIN(M$6-$G$3,22))&lt;&gt;""),'Feijão 1ª safra'!$E6:INDEX('Feijão 1ª safra'!$E6:$Z6,MIN(M$6-$G$3,22))),0)))))</f>
        <v>0</v>
      </c>
      <c r="N8" s="27" t="n">
        <f aca="false">IF(COUNT('Feijão 1ª safra'!$E6:$Z6)=0,0,MAX(0,IF((N$6-$E$3)&lt;1,0,IFERROR(LOOKUP(2,1/('Feijão 1ª safra'!$E6:INDEX('Feijão 1ª safra'!$E6:$Z6,MIN(N$6-$E$3,22))&lt;&gt;""),'Feijão 1ª safra'!$E6:INDEX('Feijão 1ª safra'!$E6:$Z6,MIN(N$6-$E$3,22))),0))-IF($G$2,0,IF((N$6-$G$3)&lt;1,0,IFERROR(LOOKUP(2,1/('Feijão 1ª safra'!$E6:INDEX('Feijão 1ª safra'!$E6:$Z6,MIN(N$6-$G$3,22))&lt;&gt;""),'Feijão 1ª safra'!$E6:INDEX('Feijão 1ª safra'!$E6:$Z6,MIN(N$6-$G$3,22))),0)))))</f>
        <v>0</v>
      </c>
      <c r="O8" s="27" t="n">
        <f aca="false">IF(COUNT('Feijão 1ª safra'!$E6:$Z6)=0,0,MAX(0,IF((O$6-$E$3)&lt;1,0,IFERROR(LOOKUP(2,1/('Feijão 1ª safra'!$E6:INDEX('Feijão 1ª safra'!$E6:$Z6,MIN(O$6-$E$3,22))&lt;&gt;""),'Feijão 1ª safra'!$E6:INDEX('Feijão 1ª safra'!$E6:$Z6,MIN(O$6-$E$3,22))),0))-IF($G$2,0,IF((O$6-$G$3)&lt;1,0,IFERROR(LOOKUP(2,1/('Feijão 1ª safra'!$E6:INDEX('Feijão 1ª safra'!$E6:$Z6,MIN(O$6-$G$3,22))&lt;&gt;""),'Feijão 1ª safra'!$E6:INDEX('Feijão 1ª safra'!$E6:$Z6,MIN(O$6-$G$3,22))),0)))))</f>
        <v>0</v>
      </c>
      <c r="P8" s="27" t="n">
        <f aca="false">IF(COUNT('Feijão 1ª safra'!$E6:$Z6)=0,0,MAX(0,IF((P$6-$E$3)&lt;1,0,IFERROR(LOOKUP(2,1/('Feijão 1ª safra'!$E6:INDEX('Feijão 1ª safra'!$E6:$Z6,MIN(P$6-$E$3,22))&lt;&gt;""),'Feijão 1ª safra'!$E6:INDEX('Feijão 1ª safra'!$E6:$Z6,MIN(P$6-$E$3,22))),0))-IF($G$2,0,IF((P$6-$G$3)&lt;1,0,IFERROR(LOOKUP(2,1/('Feijão 1ª safra'!$E6:INDEX('Feijão 1ª safra'!$E6:$Z6,MIN(P$6-$G$3,22))&lt;&gt;""),'Feijão 1ª safra'!$E6:INDEX('Feijão 1ª safra'!$E6:$Z6,MIN(P$6-$G$3,22))),0)))))</f>
        <v>0</v>
      </c>
      <c r="Q8" s="27" t="n">
        <f aca="false">IF(COUNT('Feijão 1ª safra'!$E6:$Z6)=0,0,MAX(0,IF((Q$6-$E$3)&lt;1,0,IFERROR(LOOKUP(2,1/('Feijão 1ª safra'!$E6:INDEX('Feijão 1ª safra'!$E6:$Z6,MIN(Q$6-$E$3,22))&lt;&gt;""),'Feijão 1ª safra'!$E6:INDEX('Feijão 1ª safra'!$E6:$Z6,MIN(Q$6-$E$3,22))),0))-IF($G$2,0,IF((Q$6-$G$3)&lt;1,0,IFERROR(LOOKUP(2,1/('Feijão 1ª safra'!$E6:INDEX('Feijão 1ª safra'!$E6:$Z6,MIN(Q$6-$G$3,22))&lt;&gt;""),'Feijão 1ª safra'!$E6:INDEX('Feijão 1ª safra'!$E6:$Z6,MIN(Q$6-$G$3,22))),0)))))</f>
        <v>0</v>
      </c>
      <c r="R8" s="27" t="n">
        <f aca="false">IF(COUNT('Feijão 1ª safra'!$E6:$Z6)=0,0,MAX(0,IF((R$6-$E$3)&lt;1,0,IFERROR(LOOKUP(2,1/('Feijão 1ª safra'!$E6:INDEX('Feijão 1ª safra'!$E6:$Z6,MIN(R$6-$E$3,22))&lt;&gt;""),'Feijão 1ª safra'!$E6:INDEX('Feijão 1ª safra'!$E6:$Z6,MIN(R$6-$E$3,22))),0))-IF($G$2,0,IF((R$6-$G$3)&lt;1,0,IFERROR(LOOKUP(2,1/('Feijão 1ª safra'!$E6:INDEX('Feijão 1ª safra'!$E6:$Z6,MIN(R$6-$G$3,22))&lt;&gt;""),'Feijão 1ª safra'!$E6:INDEX('Feijão 1ª safra'!$E6:$Z6,MIN(R$6-$G$3,22))),0)))))</f>
        <v>0</v>
      </c>
      <c r="S8" s="27" t="n">
        <f aca="false">IF(COUNT('Feijão 1ª safra'!$E6:$Z6)=0,0,MAX(0,IF((S$6-$E$3)&lt;1,0,IFERROR(LOOKUP(2,1/('Feijão 1ª safra'!$E6:INDEX('Feijão 1ª safra'!$E6:$Z6,MIN(S$6-$E$3,22))&lt;&gt;""),'Feijão 1ª safra'!$E6:INDEX('Feijão 1ª safra'!$E6:$Z6,MIN(S$6-$E$3,22))),0))-IF($G$2,0,IF((S$6-$G$3)&lt;1,0,IFERROR(LOOKUP(2,1/('Feijão 1ª safra'!$E6:INDEX('Feijão 1ª safra'!$E6:$Z6,MIN(S$6-$G$3,22))&lt;&gt;""),'Feijão 1ª safra'!$E6:INDEX('Feijão 1ª safra'!$E6:$Z6,MIN(S$6-$G$3,22))),0)))))</f>
        <v>0</v>
      </c>
      <c r="T8" s="27" t="n">
        <f aca="false">IF(COUNT('Feijão 1ª safra'!$E6:$Z6)=0,0,MAX(0,IF((T$6-$E$3)&lt;1,0,IFERROR(LOOKUP(2,1/('Feijão 1ª safra'!$E6:INDEX('Feijão 1ª safra'!$E6:$Z6,MIN(T$6-$E$3,22))&lt;&gt;""),'Feijão 1ª safra'!$E6:INDEX('Feijão 1ª safra'!$E6:$Z6,MIN(T$6-$E$3,22))),0))-IF($G$2,0,IF((T$6-$G$3)&lt;1,0,IFERROR(LOOKUP(2,1/('Feijão 1ª safra'!$E6:INDEX('Feijão 1ª safra'!$E6:$Z6,MIN(T$6-$G$3,22))&lt;&gt;""),'Feijão 1ª safra'!$E6:INDEX('Feijão 1ª safra'!$E6:$Z6,MIN(T$6-$G$3,22))),0)))))</f>
        <v>0</v>
      </c>
      <c r="U8" s="27" t="n">
        <f aca="false">IF(COUNT('Feijão 1ª safra'!$E6:$Z6)=0,0,MAX(0,IF((U$6-$E$3)&lt;1,0,IFERROR(LOOKUP(2,1/('Feijão 1ª safra'!$E6:INDEX('Feijão 1ª safra'!$E6:$Z6,MIN(U$6-$E$3,22))&lt;&gt;""),'Feijão 1ª safra'!$E6:INDEX('Feijão 1ª safra'!$E6:$Z6,MIN(U$6-$E$3,22))),0))-IF($G$2,0,IF((U$6-$G$3)&lt;1,0,IFERROR(LOOKUP(2,1/('Feijão 1ª safra'!$E6:INDEX('Feijão 1ª safra'!$E6:$Z6,MIN(U$6-$G$3,22))&lt;&gt;""),'Feijão 1ª safra'!$E6:INDEX('Feijão 1ª safra'!$E6:$Z6,MIN(U$6-$G$3,22))),0)))))</f>
        <v>0</v>
      </c>
      <c r="V8" s="27" t="n">
        <f aca="false">IF(COUNT('Feijão 1ª safra'!$E6:$Z6)=0,0,MAX(0,IF((V$6-$E$3)&lt;1,0,IFERROR(LOOKUP(2,1/('Feijão 1ª safra'!$E6:INDEX('Feijão 1ª safra'!$E6:$Z6,MIN(V$6-$E$3,22))&lt;&gt;""),'Feijão 1ª safra'!$E6:INDEX('Feijão 1ª safra'!$E6:$Z6,MIN(V$6-$E$3,22))),0))-IF($G$2,0,IF((V$6-$G$3)&lt;1,0,IFERROR(LOOKUP(2,1/('Feijão 1ª safra'!$E6:INDEX('Feijão 1ª safra'!$E6:$Z6,MIN(V$6-$G$3,22))&lt;&gt;""),'Feijão 1ª safra'!$E6:INDEX('Feijão 1ª safra'!$E6:$Z6,MIN(V$6-$G$3,22))),0)))))</f>
        <v>0</v>
      </c>
      <c r="W8" s="27" t="n">
        <f aca="false">IF(COUNT('Feijão 1ª safra'!$E6:$Z6)=0,0,MAX(0,IF((W$6-$E$3)&lt;1,0,IFERROR(LOOKUP(2,1/('Feijão 1ª safra'!$E6:INDEX('Feijão 1ª safra'!$E6:$Z6,MIN(W$6-$E$3,22))&lt;&gt;""),'Feijão 1ª safra'!$E6:INDEX('Feijão 1ª safra'!$E6:$Z6,MIN(W$6-$E$3,22))),0))-IF($G$2,0,IF((W$6-$G$3)&lt;1,0,IFERROR(LOOKUP(2,1/('Feijão 1ª safra'!$E6:INDEX('Feijão 1ª safra'!$E6:$Z6,MIN(W$6-$G$3,22))&lt;&gt;""),'Feijão 1ª safra'!$E6:INDEX('Feijão 1ª safra'!$E6:$Z6,MIN(W$6-$G$3,22))),0)))))</f>
        <v>0</v>
      </c>
      <c r="X8" s="27" t="n">
        <f aca="false">IF(COUNT('Feijão 1ª safra'!$E6:$Z6)=0,0,MAX(0,IF((X$6-$E$3)&lt;1,0,IFERROR(LOOKUP(2,1/('Feijão 1ª safra'!$E6:INDEX('Feijão 1ª safra'!$E6:$Z6,MIN(X$6-$E$3,22))&lt;&gt;""),'Feijão 1ª safra'!$E6:INDEX('Feijão 1ª safra'!$E6:$Z6,MIN(X$6-$E$3,22))),0))-IF($G$2,0,IF((X$6-$G$3)&lt;1,0,IFERROR(LOOKUP(2,1/('Feijão 1ª safra'!$E6:INDEX('Feijão 1ª safra'!$E6:$Z6,MIN(X$6-$G$3,22))&lt;&gt;""),'Feijão 1ª safra'!$E6:INDEX('Feijão 1ª safra'!$E6:$Z6,MIN(X$6-$G$3,22))),0)))))</f>
        <v>0</v>
      </c>
      <c r="Y8" s="27" t="n">
        <f aca="false">IF(COUNT('Feijão 1ª safra'!$E6:$Z6)=0,0,MAX(0,IF((Y$6-$E$3)&lt;1,0,IFERROR(LOOKUP(2,1/('Feijão 1ª safra'!$E6:INDEX('Feijão 1ª safra'!$E6:$Z6,MIN(Y$6-$E$3,22))&lt;&gt;""),'Feijão 1ª safra'!$E6:INDEX('Feijão 1ª safra'!$E6:$Z6,MIN(Y$6-$E$3,22))),0))-IF($G$2,0,IF((Y$6-$G$3)&lt;1,0,IFERROR(LOOKUP(2,1/('Feijão 1ª safra'!$E6:INDEX('Feijão 1ª safra'!$E6:$Z6,MIN(Y$6-$G$3,22))&lt;&gt;""),'Feijão 1ª safra'!$E6:INDEX('Feijão 1ª safra'!$E6:$Z6,MIN(Y$6-$G$3,22))),0)))))</f>
        <v>0</v>
      </c>
      <c r="Z8" s="27" t="n">
        <f aca="false">IF(COUNT('Feijão 1ª safra'!$E6:$Z6)=0,0,MAX(0,IF((Z$6-$E$3)&lt;1,0,IFERROR(LOOKUP(2,1/('Feijão 1ª safra'!$E6:INDEX('Feijão 1ª safra'!$E6:$Z6,MIN(Z$6-$E$3,22))&lt;&gt;""),'Feijão 1ª safra'!$E6:INDEX('Feijão 1ª safra'!$E6:$Z6,MIN(Z$6-$E$3,22))),0))-IF($G$2,0,IF((Z$6-$G$3)&lt;1,0,IFERROR(LOOKUP(2,1/('Feijão 1ª safra'!$E6:INDEX('Feijão 1ª safra'!$E6:$Z6,MIN(Z$6-$G$3,22))&lt;&gt;""),'Feijão 1ª safra'!$E6:INDEX('Feijão 1ª safra'!$E6:$Z6,MIN(Z$6-$G$3,22))),0)))))</f>
        <v>0</v>
      </c>
      <c r="AA8" s="27" t="n">
        <f aca="false">IF(COUNT('Feijão 1ª safra'!$E6:$Z6)=0,0,MAX(0,IF((AA$6-$E$3)&lt;1,0,IFERROR(LOOKUP(2,1/('Feijão 1ª safra'!$E6:INDEX('Feijão 1ª safra'!$E6:$Z6,MIN(AA$6-$E$3,22))&lt;&gt;""),'Feijão 1ª safra'!$E6:INDEX('Feijão 1ª safra'!$E6:$Z6,MIN(AA$6-$E$3,22))),0))-IF($G$2,0,IF((AA$6-$G$3)&lt;1,0,IFERROR(LOOKUP(2,1/('Feijão 1ª safra'!$E6:INDEX('Feijão 1ª safra'!$E6:$Z6,MIN(AA$6-$G$3,22))&lt;&gt;""),'Feijão 1ª safra'!$E6:INDEX('Feijão 1ª safra'!$E6:$Z6,MIN(AA$6-$G$3,22))),0)))))</f>
        <v>0</v>
      </c>
      <c r="AB8" s="27" t="n">
        <f aca="false">IF(COUNT('Feijão 1ª safra'!$E6:$Z6)=0,0,MAX(0,IF((AB$6-$E$3)&lt;1,0,IFERROR(LOOKUP(2,1/('Feijão 1ª safra'!$E6:INDEX('Feijão 1ª safra'!$E6:$Z6,MIN(AB$6-$E$3,22))&lt;&gt;""),'Feijão 1ª safra'!$E6:INDEX('Feijão 1ª safra'!$E6:$Z6,MIN(AB$6-$E$3,22))),0))-IF($G$2,0,IF((AB$6-$G$3)&lt;1,0,IFERROR(LOOKUP(2,1/('Feijão 1ª safra'!$E6:INDEX('Feijão 1ª safra'!$E6:$Z6,MIN(AB$6-$G$3,22))&lt;&gt;""),'Feijão 1ª safra'!$E6:INDEX('Feijão 1ª safra'!$E6:$Z6,MIN(AB$6-$G$3,22))),0)))))</f>
        <v>0</v>
      </c>
      <c r="AC8" s="27" t="n">
        <f aca="false">IF(COUNT('Feijão 1ª safra'!$E6:$Z6)=0,0,MAX(0,IF((AC$6-$E$3)&lt;1,0,IFERROR(LOOKUP(2,1/('Feijão 1ª safra'!$E6:INDEX('Feijão 1ª safra'!$E6:$Z6,MIN(AC$6-$E$3,22))&lt;&gt;""),'Feijão 1ª safra'!$E6:INDEX('Feijão 1ª safra'!$E6:$Z6,MIN(AC$6-$E$3,22))),0))-IF($G$2,0,IF((AC$6-$G$3)&lt;1,0,IFERROR(LOOKUP(2,1/('Feijão 1ª safra'!$E6:INDEX('Feijão 1ª safra'!$E6:$Z6,MIN(AC$6-$G$3,22))&lt;&gt;""),'Feijão 1ª safra'!$E6:INDEX('Feijão 1ª safra'!$E6:$Z6,MIN(AC$6-$G$3,22))),0)))))</f>
        <v>0</v>
      </c>
      <c r="AD8" s="27" t="n">
        <f aca="false">IF(COUNT('Feijão 1ª safra'!$E6:$Z6)=0,0,MAX(0,IF((AD$6-$E$3)&lt;1,0,IFERROR(LOOKUP(2,1/('Feijão 1ª safra'!$E6:INDEX('Feijão 1ª safra'!$E6:$Z6,MIN(AD$6-$E$3,22))&lt;&gt;""),'Feijão 1ª safra'!$E6:INDEX('Feijão 1ª safra'!$E6:$Z6,MIN(AD$6-$E$3,22))),0))-IF($G$2,0,IF((AD$6-$G$3)&lt;1,0,IFERROR(LOOKUP(2,1/('Feijão 1ª safra'!$E6:INDEX('Feijão 1ª safra'!$E6:$Z6,MIN(AD$6-$G$3,22))&lt;&gt;""),'Feijão 1ª safra'!$E6:INDEX('Feijão 1ª safra'!$E6:$Z6,MIN(AD$6-$G$3,22))),0)))))</f>
        <v>0</v>
      </c>
      <c r="AE8" s="27" t="n">
        <f aca="false">IF(COUNT('Feijão 1ª safra'!$E6:$Z6)=0,0,MAX(0,IF((AE$6-$E$3)&lt;1,0,IFERROR(LOOKUP(2,1/('Feijão 1ª safra'!$E6:INDEX('Feijão 1ª safra'!$E6:$Z6,MIN(AE$6-$E$3,22))&lt;&gt;""),'Feijão 1ª safra'!$E6:INDEX('Feijão 1ª safra'!$E6:$Z6,MIN(AE$6-$E$3,22))),0))-IF($G$2,0,IF((AE$6-$G$3)&lt;1,0,IFERROR(LOOKUP(2,1/('Feijão 1ª safra'!$E6:INDEX('Feijão 1ª safra'!$E6:$Z6,MIN(AE$6-$G$3,22))&lt;&gt;""),'Feijão 1ª safra'!$E6:INDEX('Feijão 1ª safra'!$E6:$Z6,MIN(AE$6-$G$3,22))),0)))))</f>
        <v>0</v>
      </c>
      <c r="AF8" s="27" t="n">
        <f aca="false">IF(COUNT('Feijão 1ª safra'!$E6:$Z6)=0,0,MAX(0,IF((AF$6-$E$3)&lt;1,0,IFERROR(LOOKUP(2,1/('Feijão 1ª safra'!$E6:INDEX('Feijão 1ª safra'!$E6:$Z6,MIN(AF$6-$E$3,22))&lt;&gt;""),'Feijão 1ª safra'!$E6:INDEX('Feijão 1ª safra'!$E6:$Z6,MIN(AF$6-$E$3,22))),0))-IF($G$2,0,IF((AF$6-$G$3)&lt;1,0,IFERROR(LOOKUP(2,1/('Feijão 1ª safra'!$E6:INDEX('Feijão 1ª safra'!$E6:$Z6,MIN(AF$6-$G$3,22))&lt;&gt;""),'Feijão 1ª safra'!$E6:INDEX('Feijão 1ª safra'!$E6:$Z6,MIN(AF$6-$G$3,22))),0)))))</f>
        <v>0</v>
      </c>
      <c r="AG8" s="27" t="n">
        <f aca="false">IF(COUNT('Feijão 1ª safra'!$E6:$Z6)=0,0,MAX(0,IF((AG$6-$E$3)&lt;1,0,IFERROR(LOOKUP(2,1/('Feijão 1ª safra'!$E6:INDEX('Feijão 1ª safra'!$E6:$Z6,MIN(AG$6-$E$3,22))&lt;&gt;""),'Feijão 1ª safra'!$E6:INDEX('Feijão 1ª safra'!$E6:$Z6,MIN(AG$6-$E$3,22))),0))-IF($G$2,0,IF((AG$6-$G$3)&lt;1,0,IFERROR(LOOKUP(2,1/('Feijão 1ª safra'!$E6:INDEX('Feijão 1ª safra'!$E6:$Z6,MIN(AG$6-$G$3,22))&lt;&gt;""),'Feijão 1ª safra'!$E6:INDEX('Feijão 1ª safra'!$E6:$Z6,MIN(AG$6-$G$3,22))),0)))))</f>
        <v>0</v>
      </c>
      <c r="AH8" s="27" t="n">
        <f aca="false">IF(COUNT('Feijão 1ª safra'!$E6:$Z6)=0,0,MAX(0,IF((AH$6-$E$3)&lt;1,0,IFERROR(LOOKUP(2,1/('Feijão 1ª safra'!$E6:INDEX('Feijão 1ª safra'!$E6:$Z6,MIN(AH$6-$E$3,22))&lt;&gt;""),'Feijão 1ª safra'!$E6:INDEX('Feijão 1ª safra'!$E6:$Z6,MIN(AH$6-$E$3,22))),0))-IF($G$2,0,IF((AH$6-$G$3)&lt;1,0,IFERROR(LOOKUP(2,1/('Feijão 1ª safra'!$E6:INDEX('Feijão 1ª safra'!$E6:$Z6,MIN(AH$6-$G$3,22))&lt;&gt;""),'Feijão 1ª safra'!$E6:INDEX('Feijão 1ª safra'!$E6:$Z6,MIN(AH$6-$G$3,22))),0)))))</f>
        <v>0</v>
      </c>
      <c r="AI8" s="27" t="n">
        <f aca="false">IF(COUNT('Feijão 1ª safra'!$E6:$Z6)=0,0,MAX(0,IF((AI$6-$E$3)&lt;1,0,IFERROR(LOOKUP(2,1/('Feijão 1ª safra'!$E6:INDEX('Feijão 1ª safra'!$E6:$Z6,MIN(AI$6-$E$3,22))&lt;&gt;""),'Feijão 1ª safra'!$E6:INDEX('Feijão 1ª safra'!$E6:$Z6,MIN(AI$6-$E$3,22))),0))-IF($G$2,0,IF((AI$6-$G$3)&lt;1,0,IFERROR(LOOKUP(2,1/('Feijão 1ª safra'!$E6:INDEX('Feijão 1ª safra'!$E6:$Z6,MIN(AI$6-$G$3,22))&lt;&gt;""),'Feijão 1ª safra'!$E6:INDEX('Feijão 1ª safra'!$E6:$Z6,MIN(AI$6-$G$3,22))),0)))))</f>
        <v>0</v>
      </c>
      <c r="AJ8" s="27" t="n">
        <f aca="false">IF(COUNT('Feijão 1ª safra'!$E6:$Z6)=0,0,MAX(0,IF((AJ$6-$E$3)&lt;1,0,IFERROR(LOOKUP(2,1/('Feijão 1ª safra'!$E6:INDEX('Feijão 1ª safra'!$E6:$Z6,MIN(AJ$6-$E$3,22))&lt;&gt;""),'Feijão 1ª safra'!$E6:INDEX('Feijão 1ª safra'!$E6:$Z6,MIN(AJ$6-$E$3,22))),0))-IF($G$2,0,IF((AJ$6-$G$3)&lt;1,0,IFERROR(LOOKUP(2,1/('Feijão 1ª safra'!$E6:INDEX('Feijão 1ª safra'!$E6:$Z6,MIN(AJ$6-$G$3,22))&lt;&gt;""),'Feijão 1ª safra'!$E6:INDEX('Feijão 1ª safra'!$E6:$Z6,MIN(AJ$6-$G$3,22))),0)))))</f>
        <v>0</v>
      </c>
      <c r="AK8" s="27" t="n">
        <f aca="false">IF(COUNT('Feijão 1ª safra'!$E6:$Z6)=0,0,MAX(0,IF((AK$6-$E$3)&lt;1,0,IFERROR(LOOKUP(2,1/('Feijão 1ª safra'!$E6:INDEX('Feijão 1ª safra'!$E6:$Z6,MIN(AK$6-$E$3,22))&lt;&gt;""),'Feijão 1ª safra'!$E6:INDEX('Feijão 1ª safra'!$E6:$Z6,MIN(AK$6-$E$3,22))),0))-IF($G$2,0,IF((AK$6-$G$3)&lt;1,0,IFERROR(LOOKUP(2,1/('Feijão 1ª safra'!$E6:INDEX('Feijão 1ª safra'!$E6:$Z6,MIN(AK$6-$G$3,22))&lt;&gt;""),'Feijão 1ª safra'!$E6:INDEX('Feijão 1ª safra'!$E6:$Z6,MIN(AK$6-$G$3,22))),0)))))</f>
        <v>0</v>
      </c>
      <c r="AL8" s="27" t="n">
        <f aca="false">IF(COUNT('Feijão 1ª safra'!$E6:$Z6)=0,0,MAX(0,IF((AL$6-$E$3)&lt;1,0,IFERROR(LOOKUP(2,1/('Feijão 1ª safra'!$E6:INDEX('Feijão 1ª safra'!$E6:$Z6,MIN(AL$6-$E$3,22))&lt;&gt;""),'Feijão 1ª safra'!$E6:INDEX('Feijão 1ª safra'!$E6:$Z6,MIN(AL$6-$E$3,22))),0))-IF($G$2,0,IF((AL$6-$G$3)&lt;1,0,IFERROR(LOOKUP(2,1/('Feijão 1ª safra'!$E6:INDEX('Feijão 1ª safra'!$E6:$Z6,MIN(AL$6-$G$3,22))&lt;&gt;""),'Feijão 1ª safra'!$E6:INDEX('Feijão 1ª safra'!$E6:$Z6,MIN(AL$6-$G$3,22))),0)))))</f>
        <v>0</v>
      </c>
      <c r="AM8" s="27" t="n">
        <f aca="false">IF(COUNT('Feijão 1ª safra'!$E6:$Z6)=0,0,MAX(0,IF((AM$6-$E$3)&lt;1,0,IFERROR(LOOKUP(2,1/('Feijão 1ª safra'!$E6:INDEX('Feijão 1ª safra'!$E6:$Z6,MIN(AM$6-$E$3,22))&lt;&gt;""),'Feijão 1ª safra'!$E6:INDEX('Feijão 1ª safra'!$E6:$Z6,MIN(AM$6-$E$3,22))),0))-IF($G$2,0,IF((AM$6-$G$3)&lt;1,0,IFERROR(LOOKUP(2,1/('Feijão 1ª safra'!$E6:INDEX('Feijão 1ª safra'!$E6:$Z6,MIN(AM$6-$G$3,22))&lt;&gt;""),'Feijão 1ª safra'!$E6:INDEX('Feijão 1ª safra'!$E6:$Z6,MIN(AM$6-$G$3,22))),0)))))</f>
        <v>0</v>
      </c>
      <c r="AN8" s="27" t="n">
        <f aca="false">IF(COUNT('Feijão 1ª safra'!$E6:$Z6)=0,0,MAX(0,IF((AN$6-$E$3)&lt;1,0,IFERROR(LOOKUP(2,1/('Feijão 1ª safra'!$E6:INDEX('Feijão 1ª safra'!$E6:$Z6,MIN(AN$6-$E$3,22))&lt;&gt;""),'Feijão 1ª safra'!$E6:INDEX('Feijão 1ª safra'!$E6:$Z6,MIN(AN$6-$E$3,22))),0))-IF($G$2,0,IF((AN$6-$G$3)&lt;1,0,IFERROR(LOOKUP(2,1/('Feijão 1ª safra'!$E6:INDEX('Feijão 1ª safra'!$E6:$Z6,MIN(AN$6-$G$3,22))&lt;&gt;""),'Feijão 1ª safra'!$E6:INDEX('Feijão 1ª safra'!$E6:$Z6,MIN(AN$6-$G$3,22))),0)))))</f>
        <v>0</v>
      </c>
      <c r="AO8" s="27" t="n">
        <f aca="false">IF(COUNT('Feijão 1ª safra'!$E6:$Z6)=0,0,MAX(0,IF((AO$6-$E$3)&lt;1,0,IFERROR(LOOKUP(2,1/('Feijão 1ª safra'!$E6:INDEX('Feijão 1ª safra'!$E6:$Z6,MIN(AO$6-$E$3,22))&lt;&gt;""),'Feijão 1ª safra'!$E6:INDEX('Feijão 1ª safra'!$E6:$Z6,MIN(AO$6-$E$3,22))),0))-IF($G$2,0,IF((AO$6-$G$3)&lt;1,0,IFERROR(LOOKUP(2,1/('Feijão 1ª safra'!$E6:INDEX('Feijão 1ª safra'!$E6:$Z6,MIN(AO$6-$G$3,22))&lt;&gt;""),'Feijão 1ª safra'!$E6:INDEX('Feijão 1ª safra'!$E6:$Z6,MIN(AO$6-$G$3,22))),0)))))</f>
        <v>0</v>
      </c>
      <c r="AP8" s="27" t="n">
        <f aca="false">IF(COUNT('Feijão 1ª safra'!$E6:$Z6)=0,0,MAX(0,IF((AP$6-$E$3)&lt;1,0,IFERROR(LOOKUP(2,1/('Feijão 1ª safra'!$E6:INDEX('Feijão 1ª safra'!$E6:$Z6,MIN(AP$6-$E$3,22))&lt;&gt;""),'Feijão 1ª safra'!$E6:INDEX('Feijão 1ª safra'!$E6:$Z6,MIN(AP$6-$E$3,22))),0))-IF($G$2,0,IF((AP$6-$G$3)&lt;1,0,IFERROR(LOOKUP(2,1/('Feijão 1ª safra'!$E6:INDEX('Feijão 1ª safra'!$E6:$Z6,MIN(AP$6-$G$3,22))&lt;&gt;""),'Feijão 1ª safra'!$E6:INDEX('Feijão 1ª safra'!$E6:$Z6,MIN(AP$6-$G$3,22))),0)))))</f>
        <v>0</v>
      </c>
      <c r="AQ8" s="27" t="n">
        <f aca="false">IF(COUNT('Feijão 1ª safra'!$E6:$Z6)=0,0,MAX(0,IF((AQ$6-$E$3)&lt;1,0,IFERROR(LOOKUP(2,1/('Feijão 1ª safra'!$E6:INDEX('Feijão 1ª safra'!$E6:$Z6,MIN(AQ$6-$E$3,22))&lt;&gt;""),'Feijão 1ª safra'!$E6:INDEX('Feijão 1ª safra'!$E6:$Z6,MIN(AQ$6-$E$3,22))),0))-IF($G$2,0,IF((AQ$6-$G$3)&lt;1,0,IFERROR(LOOKUP(2,1/('Feijão 1ª safra'!$E6:INDEX('Feijão 1ª safra'!$E6:$Z6,MIN(AQ$6-$G$3,22))&lt;&gt;""),'Feijão 1ª safra'!$E6:INDEX('Feijão 1ª safra'!$E6:$Z6,MIN(AQ$6-$G$3,22))),0)))))</f>
        <v>0</v>
      </c>
      <c r="AR8" s="27" t="n">
        <f aca="false">IF(COUNT('Feijão 1ª safra'!$E6:$Z6)=0,0,MAX(0,IF((AR$6-$E$3)&lt;1,0,IFERROR(LOOKUP(2,1/('Feijão 1ª safra'!$E6:INDEX('Feijão 1ª safra'!$E6:$Z6,MIN(AR$6-$E$3,22))&lt;&gt;""),'Feijão 1ª safra'!$E6:INDEX('Feijão 1ª safra'!$E6:$Z6,MIN(AR$6-$E$3,22))),0))-IF($G$2,0,IF((AR$6-$G$3)&lt;1,0,IFERROR(LOOKUP(2,1/('Feijão 1ª safra'!$E6:INDEX('Feijão 1ª safra'!$E6:$Z6,MIN(AR$6-$G$3,22))&lt;&gt;""),'Feijão 1ª safra'!$E6:INDEX('Feijão 1ª safra'!$E6:$Z6,MIN(AR$6-$G$3,22))),0)))))</f>
        <v>0</v>
      </c>
      <c r="AS8" s="27" t="n">
        <f aca="false">IF(COUNT('Feijão 1ª safra'!$E6:$Z6)=0,0,MAX(0,IF((AS$6-$E$3)&lt;1,0,IFERROR(LOOKUP(2,1/('Feijão 1ª safra'!$E6:INDEX('Feijão 1ª safra'!$E6:$Z6,MIN(AS$6-$E$3,22))&lt;&gt;""),'Feijão 1ª safra'!$E6:INDEX('Feijão 1ª safra'!$E6:$Z6,MIN(AS$6-$E$3,22))),0))-IF($G$2,0,IF((AS$6-$G$3)&lt;1,0,IFERROR(LOOKUP(2,1/('Feijão 1ª safra'!$E6:INDEX('Feijão 1ª safra'!$E6:$Z6,MIN(AS$6-$G$3,22))&lt;&gt;""),'Feijão 1ª safra'!$E6:INDEX('Feijão 1ª safra'!$E6:$Z6,MIN(AS$6-$G$3,22))),0)))))</f>
        <v>0</v>
      </c>
      <c r="AT8" s="27" t="n">
        <f aca="false">IF(COUNT('Feijão 1ª safra'!$E6:$Z6)=0,0,MAX(0,IF((AT$6-$E$3)&lt;1,0,IFERROR(LOOKUP(2,1/('Feijão 1ª safra'!$E6:INDEX('Feijão 1ª safra'!$E6:$Z6,MIN(AT$6-$E$3,22))&lt;&gt;""),'Feijão 1ª safra'!$E6:INDEX('Feijão 1ª safra'!$E6:$Z6,MIN(AT$6-$E$3,22))),0))-IF($G$2,0,IF((AT$6-$G$3)&lt;1,0,IFERROR(LOOKUP(2,1/('Feijão 1ª safra'!$E6:INDEX('Feijão 1ª safra'!$E6:$Z6,MIN(AT$6-$G$3,22))&lt;&gt;""),'Feijão 1ª safra'!$E6:INDEX('Feijão 1ª safra'!$E6:$Z6,MIN(AT$6-$G$3,22))),0)))))</f>
        <v>0</v>
      </c>
      <c r="AU8" s="27" t="n">
        <f aca="false">IF(COUNT('Feijão 1ª safra'!$E6:$Z6)=0,0,MAX(0,IF((AU$6-$E$3)&lt;1,0,IFERROR(LOOKUP(2,1/('Feijão 1ª safra'!$E6:INDEX('Feijão 1ª safra'!$E6:$Z6,MIN(AU$6-$E$3,22))&lt;&gt;""),'Feijão 1ª safra'!$E6:INDEX('Feijão 1ª safra'!$E6:$Z6,MIN(AU$6-$E$3,22))),0))-IF($G$2,0,IF((AU$6-$G$3)&lt;1,0,IFERROR(LOOKUP(2,1/('Feijão 1ª safra'!$E6:INDEX('Feijão 1ª safra'!$E6:$Z6,MIN(AU$6-$G$3,22))&lt;&gt;""),'Feijão 1ª safra'!$E6:INDEX('Feijão 1ª safra'!$E6:$Z6,MIN(AU$6-$G$3,22))),0)))))</f>
        <v>0</v>
      </c>
      <c r="AV8" s="27" t="n">
        <f aca="false">IF(COUNT('Feijão 1ª safra'!$E6:$Z6)=0,0,MAX(0,IF((AV$6-$E$3)&lt;1,0,IFERROR(LOOKUP(2,1/('Feijão 1ª safra'!$E6:INDEX('Feijão 1ª safra'!$E6:$Z6,MIN(AV$6-$E$3,22))&lt;&gt;""),'Feijão 1ª safra'!$E6:INDEX('Feijão 1ª safra'!$E6:$Z6,MIN(AV$6-$E$3,22))),0))-IF($G$2,0,IF((AV$6-$G$3)&lt;1,0,IFERROR(LOOKUP(2,1/('Feijão 1ª safra'!$E6:INDEX('Feijão 1ª safra'!$E6:$Z6,MIN(AV$6-$G$3,22))&lt;&gt;""),'Feijão 1ª safra'!$E6:INDEX('Feijão 1ª safra'!$E6:$Z6,MIN(AV$6-$G$3,22))),0)))))</f>
        <v>0</v>
      </c>
      <c r="AW8" s="27" t="n">
        <f aca="false">IF(COUNT('Feijão 1ª safra'!$E6:$Z6)=0,0,MAX(0,IF((AW$6-$E$3)&lt;1,0,IFERROR(LOOKUP(2,1/('Feijão 1ª safra'!$E6:INDEX('Feijão 1ª safra'!$E6:$Z6,MIN(AW$6-$E$3,22))&lt;&gt;""),'Feijão 1ª safra'!$E6:INDEX('Feijão 1ª safra'!$E6:$Z6,MIN(AW$6-$E$3,22))),0))-IF($G$2,0,IF((AW$6-$G$3)&lt;1,0,IFERROR(LOOKUP(2,1/('Feijão 1ª safra'!$E6:INDEX('Feijão 1ª safra'!$E6:$Z6,MIN(AW$6-$G$3,22))&lt;&gt;""),'Feijão 1ª safra'!$E6:INDEX('Feijão 1ª safra'!$E6:$Z6,MIN(AW$6-$G$3,22))),0)))))</f>
        <v>0</v>
      </c>
      <c r="AX8" s="27" t="n">
        <f aca="false">IF(COUNT('Feijão 1ª safra'!$E6:$Z6)=0,0,MAX(0,IF((AX$6-$E$3)&lt;1,0,IFERROR(LOOKUP(2,1/('Feijão 1ª safra'!$E6:INDEX('Feijão 1ª safra'!$E6:$Z6,MIN(AX$6-$E$3,22))&lt;&gt;""),'Feijão 1ª safra'!$E6:INDEX('Feijão 1ª safra'!$E6:$Z6,MIN(AX$6-$E$3,22))),0))-IF($G$2,0,IF((AX$6-$G$3)&lt;1,0,IFERROR(LOOKUP(2,1/('Feijão 1ª safra'!$E6:INDEX('Feijão 1ª safra'!$E6:$Z6,MIN(AX$6-$G$3,22))&lt;&gt;""),'Feijão 1ª safra'!$E6:INDEX('Feijão 1ª safra'!$E6:$Z6,MIN(AX$6-$G$3,22))),0)))))</f>
        <v>0</v>
      </c>
      <c r="AY8" s="27" t="n">
        <f aca="false">IF(COUNT('Feijão 1ª safra'!$E6:$Z6)=0,0,MAX(0,IF((AY$6-$E$3)&lt;1,0,IFERROR(LOOKUP(2,1/('Feijão 1ª safra'!$E6:INDEX('Feijão 1ª safra'!$E6:$Z6,MIN(AY$6-$E$3,22))&lt;&gt;""),'Feijão 1ª safra'!$E6:INDEX('Feijão 1ª safra'!$E6:$Z6,MIN(AY$6-$E$3,22))),0))-IF($G$2,0,IF((AY$6-$G$3)&lt;1,0,IFERROR(LOOKUP(2,1/('Feijão 1ª safra'!$E6:INDEX('Feijão 1ª safra'!$E6:$Z6,MIN(AY$6-$G$3,22))&lt;&gt;""),'Feijão 1ª safra'!$E6:INDEX('Feijão 1ª safra'!$E6:$Z6,MIN(AY$6-$G$3,22))),0)))))</f>
        <v>0</v>
      </c>
      <c r="AZ8" s="27" t="n">
        <f aca="false">IF(COUNT('Feijão 1ª safra'!$E6:$Z6)=0,0,MAX(0,IF((AZ$6-$E$3)&lt;1,0,IFERROR(LOOKUP(2,1/('Feijão 1ª safra'!$E6:INDEX('Feijão 1ª safra'!$E6:$Z6,MIN(AZ$6-$E$3,22))&lt;&gt;""),'Feijão 1ª safra'!$E6:INDEX('Feijão 1ª safra'!$E6:$Z6,MIN(AZ$6-$E$3,22))),0))-IF($G$2,0,IF((AZ$6-$G$3)&lt;1,0,IFERROR(LOOKUP(2,1/('Feijão 1ª safra'!$E6:INDEX('Feijão 1ª safra'!$E6:$Z6,MIN(AZ$6-$G$3,22))&lt;&gt;""),'Feijão 1ª safra'!$E6:INDEX('Feijão 1ª safra'!$E6:$Z6,MIN(AZ$6-$G$3,22))),0)))))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IF(COUNT('Feijão 1ª safra'!$E7:$Z7)&gt;0,N('Feijão 1ª safra'!$D7),0)</f>
        <v>0</v>
      </c>
      <c r="E9" s="27" t="n">
        <f aca="false">IF(COUNT('Feijão 1ª safra'!$E7:$Z7)=0,0,MAX(0,IF((E$6-$E$3)&lt;1,0,IFERROR(LOOKUP(2,1/('Feijão 1ª safra'!$E7:INDEX('Feijão 1ª safra'!$E7:$Z7,MIN(E$6-$E$3,22))&lt;&gt;""),'Feijão 1ª safra'!$E7:INDEX('Feijão 1ª safra'!$E7:$Z7,MIN(E$6-$E$3,22))),0))-IF($G$2,0,IF((E$6-$G$3)&lt;1,0,IFERROR(LOOKUP(2,1/('Feijão 1ª safra'!$E7:INDEX('Feijão 1ª safra'!$E7:$Z7,MIN(E$6-$G$3,22))&lt;&gt;""),'Feijão 1ª safra'!$E7:INDEX('Feijão 1ª safra'!$E7:$Z7,MIN(E$6-$G$3,22))),0)))))</f>
        <v>0</v>
      </c>
      <c r="F9" s="27" t="n">
        <f aca="false">IF(COUNT('Feijão 1ª safra'!$E7:$Z7)=0,0,MAX(0,IF((F$6-$E$3)&lt;1,0,IFERROR(LOOKUP(2,1/('Feijão 1ª safra'!$E7:INDEX('Feijão 1ª safra'!$E7:$Z7,MIN(F$6-$E$3,22))&lt;&gt;""),'Feijão 1ª safra'!$E7:INDEX('Feijão 1ª safra'!$E7:$Z7,MIN(F$6-$E$3,22))),0))-IF($G$2,0,IF((F$6-$G$3)&lt;1,0,IFERROR(LOOKUP(2,1/('Feijão 1ª safra'!$E7:INDEX('Feijão 1ª safra'!$E7:$Z7,MIN(F$6-$G$3,22))&lt;&gt;""),'Feijão 1ª safra'!$E7:INDEX('Feijão 1ª safra'!$E7:$Z7,MIN(F$6-$G$3,22))),0)))))</f>
        <v>0</v>
      </c>
      <c r="G9" s="27" t="n">
        <f aca="false">IF(COUNT('Feijão 1ª safra'!$E7:$Z7)=0,0,MAX(0,IF((G$6-$E$3)&lt;1,0,IFERROR(LOOKUP(2,1/('Feijão 1ª safra'!$E7:INDEX('Feijão 1ª safra'!$E7:$Z7,MIN(G$6-$E$3,22))&lt;&gt;""),'Feijão 1ª safra'!$E7:INDEX('Feijão 1ª safra'!$E7:$Z7,MIN(G$6-$E$3,22))),0))-IF($G$2,0,IF((G$6-$G$3)&lt;1,0,IFERROR(LOOKUP(2,1/('Feijão 1ª safra'!$E7:INDEX('Feijão 1ª safra'!$E7:$Z7,MIN(G$6-$G$3,22))&lt;&gt;""),'Feijão 1ª safra'!$E7:INDEX('Feijão 1ª safra'!$E7:$Z7,MIN(G$6-$G$3,22))),0)))))</f>
        <v>0</v>
      </c>
      <c r="H9" s="27" t="n">
        <f aca="false">IF(COUNT('Feijão 1ª safra'!$E7:$Z7)=0,0,MAX(0,IF((H$6-$E$3)&lt;1,0,IFERROR(LOOKUP(2,1/('Feijão 1ª safra'!$E7:INDEX('Feijão 1ª safra'!$E7:$Z7,MIN(H$6-$E$3,22))&lt;&gt;""),'Feijão 1ª safra'!$E7:INDEX('Feijão 1ª safra'!$E7:$Z7,MIN(H$6-$E$3,22))),0))-IF($G$2,0,IF((H$6-$G$3)&lt;1,0,IFERROR(LOOKUP(2,1/('Feijão 1ª safra'!$E7:INDEX('Feijão 1ª safra'!$E7:$Z7,MIN(H$6-$G$3,22))&lt;&gt;""),'Feijão 1ª safra'!$E7:INDEX('Feijão 1ª safra'!$E7:$Z7,MIN(H$6-$G$3,22))),0)))))</f>
        <v>0</v>
      </c>
      <c r="I9" s="27" t="n">
        <f aca="false">IF(COUNT('Feijão 1ª safra'!$E7:$Z7)=0,0,MAX(0,IF((I$6-$E$3)&lt;1,0,IFERROR(LOOKUP(2,1/('Feijão 1ª safra'!$E7:INDEX('Feijão 1ª safra'!$E7:$Z7,MIN(I$6-$E$3,22))&lt;&gt;""),'Feijão 1ª safra'!$E7:INDEX('Feijão 1ª safra'!$E7:$Z7,MIN(I$6-$E$3,22))),0))-IF($G$2,0,IF((I$6-$G$3)&lt;1,0,IFERROR(LOOKUP(2,1/('Feijão 1ª safra'!$E7:INDEX('Feijão 1ª safra'!$E7:$Z7,MIN(I$6-$G$3,22))&lt;&gt;""),'Feijão 1ª safra'!$E7:INDEX('Feijão 1ª safra'!$E7:$Z7,MIN(I$6-$G$3,22))),0)))))</f>
        <v>0</v>
      </c>
      <c r="J9" s="27" t="n">
        <f aca="false">IF(COUNT('Feijão 1ª safra'!$E7:$Z7)=0,0,MAX(0,IF((J$6-$E$3)&lt;1,0,IFERROR(LOOKUP(2,1/('Feijão 1ª safra'!$E7:INDEX('Feijão 1ª safra'!$E7:$Z7,MIN(J$6-$E$3,22))&lt;&gt;""),'Feijão 1ª safra'!$E7:INDEX('Feijão 1ª safra'!$E7:$Z7,MIN(J$6-$E$3,22))),0))-IF($G$2,0,IF((J$6-$G$3)&lt;1,0,IFERROR(LOOKUP(2,1/('Feijão 1ª safra'!$E7:INDEX('Feijão 1ª safra'!$E7:$Z7,MIN(J$6-$G$3,22))&lt;&gt;""),'Feijão 1ª safra'!$E7:INDEX('Feijão 1ª safra'!$E7:$Z7,MIN(J$6-$G$3,22))),0)))))</f>
        <v>0</v>
      </c>
      <c r="K9" s="27" t="n">
        <f aca="false">IF(COUNT('Feijão 1ª safra'!$E7:$Z7)=0,0,MAX(0,IF((K$6-$E$3)&lt;1,0,IFERROR(LOOKUP(2,1/('Feijão 1ª safra'!$E7:INDEX('Feijão 1ª safra'!$E7:$Z7,MIN(K$6-$E$3,22))&lt;&gt;""),'Feijão 1ª safra'!$E7:INDEX('Feijão 1ª safra'!$E7:$Z7,MIN(K$6-$E$3,22))),0))-IF($G$2,0,IF((K$6-$G$3)&lt;1,0,IFERROR(LOOKUP(2,1/('Feijão 1ª safra'!$E7:INDEX('Feijão 1ª safra'!$E7:$Z7,MIN(K$6-$G$3,22))&lt;&gt;""),'Feijão 1ª safra'!$E7:INDEX('Feijão 1ª safra'!$E7:$Z7,MIN(K$6-$G$3,22))),0)))))</f>
        <v>0</v>
      </c>
      <c r="L9" s="27" t="n">
        <f aca="false">IF(COUNT('Feijão 1ª safra'!$E7:$Z7)=0,0,MAX(0,IF((L$6-$E$3)&lt;1,0,IFERROR(LOOKUP(2,1/('Feijão 1ª safra'!$E7:INDEX('Feijão 1ª safra'!$E7:$Z7,MIN(L$6-$E$3,22))&lt;&gt;""),'Feijão 1ª safra'!$E7:INDEX('Feijão 1ª safra'!$E7:$Z7,MIN(L$6-$E$3,22))),0))-IF($G$2,0,IF((L$6-$G$3)&lt;1,0,IFERROR(LOOKUP(2,1/('Feijão 1ª safra'!$E7:INDEX('Feijão 1ª safra'!$E7:$Z7,MIN(L$6-$G$3,22))&lt;&gt;""),'Feijão 1ª safra'!$E7:INDEX('Feijão 1ª safra'!$E7:$Z7,MIN(L$6-$G$3,22))),0)))))</f>
        <v>0</v>
      </c>
      <c r="M9" s="27" t="n">
        <f aca="false">IF(COUNT('Feijão 1ª safra'!$E7:$Z7)=0,0,MAX(0,IF((M$6-$E$3)&lt;1,0,IFERROR(LOOKUP(2,1/('Feijão 1ª safra'!$E7:INDEX('Feijão 1ª safra'!$E7:$Z7,MIN(M$6-$E$3,22))&lt;&gt;""),'Feijão 1ª safra'!$E7:INDEX('Feijão 1ª safra'!$E7:$Z7,MIN(M$6-$E$3,22))),0))-IF($G$2,0,IF((M$6-$G$3)&lt;1,0,IFERROR(LOOKUP(2,1/('Feijão 1ª safra'!$E7:INDEX('Feijão 1ª safra'!$E7:$Z7,MIN(M$6-$G$3,22))&lt;&gt;""),'Feijão 1ª safra'!$E7:INDEX('Feijão 1ª safra'!$E7:$Z7,MIN(M$6-$G$3,22))),0)))))</f>
        <v>0</v>
      </c>
      <c r="N9" s="27" t="n">
        <f aca="false">IF(COUNT('Feijão 1ª safra'!$E7:$Z7)=0,0,MAX(0,IF((N$6-$E$3)&lt;1,0,IFERROR(LOOKUP(2,1/('Feijão 1ª safra'!$E7:INDEX('Feijão 1ª safra'!$E7:$Z7,MIN(N$6-$E$3,22))&lt;&gt;""),'Feijão 1ª safra'!$E7:INDEX('Feijão 1ª safra'!$E7:$Z7,MIN(N$6-$E$3,22))),0))-IF($G$2,0,IF((N$6-$G$3)&lt;1,0,IFERROR(LOOKUP(2,1/('Feijão 1ª safra'!$E7:INDEX('Feijão 1ª safra'!$E7:$Z7,MIN(N$6-$G$3,22))&lt;&gt;""),'Feijão 1ª safra'!$E7:INDEX('Feijão 1ª safra'!$E7:$Z7,MIN(N$6-$G$3,22))),0)))))</f>
        <v>0</v>
      </c>
      <c r="O9" s="27" t="n">
        <f aca="false">IF(COUNT('Feijão 1ª safra'!$E7:$Z7)=0,0,MAX(0,IF((O$6-$E$3)&lt;1,0,IFERROR(LOOKUP(2,1/('Feijão 1ª safra'!$E7:INDEX('Feijão 1ª safra'!$E7:$Z7,MIN(O$6-$E$3,22))&lt;&gt;""),'Feijão 1ª safra'!$E7:INDEX('Feijão 1ª safra'!$E7:$Z7,MIN(O$6-$E$3,22))),0))-IF($G$2,0,IF((O$6-$G$3)&lt;1,0,IFERROR(LOOKUP(2,1/('Feijão 1ª safra'!$E7:INDEX('Feijão 1ª safra'!$E7:$Z7,MIN(O$6-$G$3,22))&lt;&gt;""),'Feijão 1ª safra'!$E7:INDEX('Feijão 1ª safra'!$E7:$Z7,MIN(O$6-$G$3,22))),0)))))</f>
        <v>0</v>
      </c>
      <c r="P9" s="27" t="n">
        <f aca="false">IF(COUNT('Feijão 1ª safra'!$E7:$Z7)=0,0,MAX(0,IF((P$6-$E$3)&lt;1,0,IFERROR(LOOKUP(2,1/('Feijão 1ª safra'!$E7:INDEX('Feijão 1ª safra'!$E7:$Z7,MIN(P$6-$E$3,22))&lt;&gt;""),'Feijão 1ª safra'!$E7:INDEX('Feijão 1ª safra'!$E7:$Z7,MIN(P$6-$E$3,22))),0))-IF($G$2,0,IF((P$6-$G$3)&lt;1,0,IFERROR(LOOKUP(2,1/('Feijão 1ª safra'!$E7:INDEX('Feijão 1ª safra'!$E7:$Z7,MIN(P$6-$G$3,22))&lt;&gt;""),'Feijão 1ª safra'!$E7:INDEX('Feijão 1ª safra'!$E7:$Z7,MIN(P$6-$G$3,22))),0)))))</f>
        <v>0</v>
      </c>
      <c r="Q9" s="27" t="n">
        <f aca="false">IF(COUNT('Feijão 1ª safra'!$E7:$Z7)=0,0,MAX(0,IF((Q$6-$E$3)&lt;1,0,IFERROR(LOOKUP(2,1/('Feijão 1ª safra'!$E7:INDEX('Feijão 1ª safra'!$E7:$Z7,MIN(Q$6-$E$3,22))&lt;&gt;""),'Feijão 1ª safra'!$E7:INDEX('Feijão 1ª safra'!$E7:$Z7,MIN(Q$6-$E$3,22))),0))-IF($G$2,0,IF((Q$6-$G$3)&lt;1,0,IFERROR(LOOKUP(2,1/('Feijão 1ª safra'!$E7:INDEX('Feijão 1ª safra'!$E7:$Z7,MIN(Q$6-$G$3,22))&lt;&gt;""),'Feijão 1ª safra'!$E7:INDEX('Feijão 1ª safra'!$E7:$Z7,MIN(Q$6-$G$3,22))),0)))))</f>
        <v>0</v>
      </c>
      <c r="R9" s="27" t="n">
        <f aca="false">IF(COUNT('Feijão 1ª safra'!$E7:$Z7)=0,0,MAX(0,IF((R$6-$E$3)&lt;1,0,IFERROR(LOOKUP(2,1/('Feijão 1ª safra'!$E7:INDEX('Feijão 1ª safra'!$E7:$Z7,MIN(R$6-$E$3,22))&lt;&gt;""),'Feijão 1ª safra'!$E7:INDEX('Feijão 1ª safra'!$E7:$Z7,MIN(R$6-$E$3,22))),0))-IF($G$2,0,IF((R$6-$G$3)&lt;1,0,IFERROR(LOOKUP(2,1/('Feijão 1ª safra'!$E7:INDEX('Feijão 1ª safra'!$E7:$Z7,MIN(R$6-$G$3,22))&lt;&gt;""),'Feijão 1ª safra'!$E7:INDEX('Feijão 1ª safra'!$E7:$Z7,MIN(R$6-$G$3,22))),0)))))</f>
        <v>0</v>
      </c>
      <c r="S9" s="27" t="n">
        <f aca="false">IF(COUNT('Feijão 1ª safra'!$E7:$Z7)=0,0,MAX(0,IF((S$6-$E$3)&lt;1,0,IFERROR(LOOKUP(2,1/('Feijão 1ª safra'!$E7:INDEX('Feijão 1ª safra'!$E7:$Z7,MIN(S$6-$E$3,22))&lt;&gt;""),'Feijão 1ª safra'!$E7:INDEX('Feijão 1ª safra'!$E7:$Z7,MIN(S$6-$E$3,22))),0))-IF($G$2,0,IF((S$6-$G$3)&lt;1,0,IFERROR(LOOKUP(2,1/('Feijão 1ª safra'!$E7:INDEX('Feijão 1ª safra'!$E7:$Z7,MIN(S$6-$G$3,22))&lt;&gt;""),'Feijão 1ª safra'!$E7:INDEX('Feijão 1ª safra'!$E7:$Z7,MIN(S$6-$G$3,22))),0)))))</f>
        <v>0</v>
      </c>
      <c r="T9" s="27" t="n">
        <f aca="false">IF(COUNT('Feijão 1ª safra'!$E7:$Z7)=0,0,MAX(0,IF((T$6-$E$3)&lt;1,0,IFERROR(LOOKUP(2,1/('Feijão 1ª safra'!$E7:INDEX('Feijão 1ª safra'!$E7:$Z7,MIN(T$6-$E$3,22))&lt;&gt;""),'Feijão 1ª safra'!$E7:INDEX('Feijão 1ª safra'!$E7:$Z7,MIN(T$6-$E$3,22))),0))-IF($G$2,0,IF((T$6-$G$3)&lt;1,0,IFERROR(LOOKUP(2,1/('Feijão 1ª safra'!$E7:INDEX('Feijão 1ª safra'!$E7:$Z7,MIN(T$6-$G$3,22))&lt;&gt;""),'Feijão 1ª safra'!$E7:INDEX('Feijão 1ª safra'!$E7:$Z7,MIN(T$6-$G$3,22))),0)))))</f>
        <v>0</v>
      </c>
      <c r="U9" s="27" t="n">
        <f aca="false">IF(COUNT('Feijão 1ª safra'!$E7:$Z7)=0,0,MAX(0,IF((U$6-$E$3)&lt;1,0,IFERROR(LOOKUP(2,1/('Feijão 1ª safra'!$E7:INDEX('Feijão 1ª safra'!$E7:$Z7,MIN(U$6-$E$3,22))&lt;&gt;""),'Feijão 1ª safra'!$E7:INDEX('Feijão 1ª safra'!$E7:$Z7,MIN(U$6-$E$3,22))),0))-IF($G$2,0,IF((U$6-$G$3)&lt;1,0,IFERROR(LOOKUP(2,1/('Feijão 1ª safra'!$E7:INDEX('Feijão 1ª safra'!$E7:$Z7,MIN(U$6-$G$3,22))&lt;&gt;""),'Feijão 1ª safra'!$E7:INDEX('Feijão 1ª safra'!$E7:$Z7,MIN(U$6-$G$3,22))),0)))))</f>
        <v>0</v>
      </c>
      <c r="V9" s="27" t="n">
        <f aca="false">IF(COUNT('Feijão 1ª safra'!$E7:$Z7)=0,0,MAX(0,IF((V$6-$E$3)&lt;1,0,IFERROR(LOOKUP(2,1/('Feijão 1ª safra'!$E7:INDEX('Feijão 1ª safra'!$E7:$Z7,MIN(V$6-$E$3,22))&lt;&gt;""),'Feijão 1ª safra'!$E7:INDEX('Feijão 1ª safra'!$E7:$Z7,MIN(V$6-$E$3,22))),0))-IF($G$2,0,IF((V$6-$G$3)&lt;1,0,IFERROR(LOOKUP(2,1/('Feijão 1ª safra'!$E7:INDEX('Feijão 1ª safra'!$E7:$Z7,MIN(V$6-$G$3,22))&lt;&gt;""),'Feijão 1ª safra'!$E7:INDEX('Feijão 1ª safra'!$E7:$Z7,MIN(V$6-$G$3,22))),0)))))</f>
        <v>0</v>
      </c>
      <c r="W9" s="27" t="n">
        <f aca="false">IF(COUNT('Feijão 1ª safra'!$E7:$Z7)=0,0,MAX(0,IF((W$6-$E$3)&lt;1,0,IFERROR(LOOKUP(2,1/('Feijão 1ª safra'!$E7:INDEX('Feijão 1ª safra'!$E7:$Z7,MIN(W$6-$E$3,22))&lt;&gt;""),'Feijão 1ª safra'!$E7:INDEX('Feijão 1ª safra'!$E7:$Z7,MIN(W$6-$E$3,22))),0))-IF($G$2,0,IF((W$6-$G$3)&lt;1,0,IFERROR(LOOKUP(2,1/('Feijão 1ª safra'!$E7:INDEX('Feijão 1ª safra'!$E7:$Z7,MIN(W$6-$G$3,22))&lt;&gt;""),'Feijão 1ª safra'!$E7:INDEX('Feijão 1ª safra'!$E7:$Z7,MIN(W$6-$G$3,22))),0)))))</f>
        <v>0</v>
      </c>
      <c r="X9" s="27" t="n">
        <f aca="false">IF(COUNT('Feijão 1ª safra'!$E7:$Z7)=0,0,MAX(0,IF((X$6-$E$3)&lt;1,0,IFERROR(LOOKUP(2,1/('Feijão 1ª safra'!$E7:INDEX('Feijão 1ª safra'!$E7:$Z7,MIN(X$6-$E$3,22))&lt;&gt;""),'Feijão 1ª safra'!$E7:INDEX('Feijão 1ª safra'!$E7:$Z7,MIN(X$6-$E$3,22))),0))-IF($G$2,0,IF((X$6-$G$3)&lt;1,0,IFERROR(LOOKUP(2,1/('Feijão 1ª safra'!$E7:INDEX('Feijão 1ª safra'!$E7:$Z7,MIN(X$6-$G$3,22))&lt;&gt;""),'Feijão 1ª safra'!$E7:INDEX('Feijão 1ª safra'!$E7:$Z7,MIN(X$6-$G$3,22))),0)))))</f>
        <v>0</v>
      </c>
      <c r="Y9" s="27" t="n">
        <f aca="false">IF(COUNT('Feijão 1ª safra'!$E7:$Z7)=0,0,MAX(0,IF((Y$6-$E$3)&lt;1,0,IFERROR(LOOKUP(2,1/('Feijão 1ª safra'!$E7:INDEX('Feijão 1ª safra'!$E7:$Z7,MIN(Y$6-$E$3,22))&lt;&gt;""),'Feijão 1ª safra'!$E7:INDEX('Feijão 1ª safra'!$E7:$Z7,MIN(Y$6-$E$3,22))),0))-IF($G$2,0,IF((Y$6-$G$3)&lt;1,0,IFERROR(LOOKUP(2,1/('Feijão 1ª safra'!$E7:INDEX('Feijão 1ª safra'!$E7:$Z7,MIN(Y$6-$G$3,22))&lt;&gt;""),'Feijão 1ª safra'!$E7:INDEX('Feijão 1ª safra'!$E7:$Z7,MIN(Y$6-$G$3,22))),0)))))</f>
        <v>0</v>
      </c>
      <c r="Z9" s="27" t="n">
        <f aca="false">IF(COUNT('Feijão 1ª safra'!$E7:$Z7)=0,0,MAX(0,IF((Z$6-$E$3)&lt;1,0,IFERROR(LOOKUP(2,1/('Feijão 1ª safra'!$E7:INDEX('Feijão 1ª safra'!$E7:$Z7,MIN(Z$6-$E$3,22))&lt;&gt;""),'Feijão 1ª safra'!$E7:INDEX('Feijão 1ª safra'!$E7:$Z7,MIN(Z$6-$E$3,22))),0))-IF($G$2,0,IF((Z$6-$G$3)&lt;1,0,IFERROR(LOOKUP(2,1/('Feijão 1ª safra'!$E7:INDEX('Feijão 1ª safra'!$E7:$Z7,MIN(Z$6-$G$3,22))&lt;&gt;""),'Feijão 1ª safra'!$E7:INDEX('Feijão 1ª safra'!$E7:$Z7,MIN(Z$6-$G$3,22))),0)))))</f>
        <v>0</v>
      </c>
      <c r="AA9" s="27" t="n">
        <f aca="false">IF(COUNT('Feijão 1ª safra'!$E7:$Z7)=0,0,MAX(0,IF((AA$6-$E$3)&lt;1,0,IFERROR(LOOKUP(2,1/('Feijão 1ª safra'!$E7:INDEX('Feijão 1ª safra'!$E7:$Z7,MIN(AA$6-$E$3,22))&lt;&gt;""),'Feijão 1ª safra'!$E7:INDEX('Feijão 1ª safra'!$E7:$Z7,MIN(AA$6-$E$3,22))),0))-IF($G$2,0,IF((AA$6-$G$3)&lt;1,0,IFERROR(LOOKUP(2,1/('Feijão 1ª safra'!$E7:INDEX('Feijão 1ª safra'!$E7:$Z7,MIN(AA$6-$G$3,22))&lt;&gt;""),'Feijão 1ª safra'!$E7:INDEX('Feijão 1ª safra'!$E7:$Z7,MIN(AA$6-$G$3,22))),0)))))</f>
        <v>0</v>
      </c>
      <c r="AB9" s="27" t="n">
        <f aca="false">IF(COUNT('Feijão 1ª safra'!$E7:$Z7)=0,0,MAX(0,IF((AB$6-$E$3)&lt;1,0,IFERROR(LOOKUP(2,1/('Feijão 1ª safra'!$E7:INDEX('Feijão 1ª safra'!$E7:$Z7,MIN(AB$6-$E$3,22))&lt;&gt;""),'Feijão 1ª safra'!$E7:INDEX('Feijão 1ª safra'!$E7:$Z7,MIN(AB$6-$E$3,22))),0))-IF($G$2,0,IF((AB$6-$G$3)&lt;1,0,IFERROR(LOOKUP(2,1/('Feijão 1ª safra'!$E7:INDEX('Feijão 1ª safra'!$E7:$Z7,MIN(AB$6-$G$3,22))&lt;&gt;""),'Feijão 1ª safra'!$E7:INDEX('Feijão 1ª safra'!$E7:$Z7,MIN(AB$6-$G$3,22))),0)))))</f>
        <v>0</v>
      </c>
      <c r="AC9" s="27" t="n">
        <f aca="false">IF(COUNT('Feijão 1ª safra'!$E7:$Z7)=0,0,MAX(0,IF((AC$6-$E$3)&lt;1,0,IFERROR(LOOKUP(2,1/('Feijão 1ª safra'!$E7:INDEX('Feijão 1ª safra'!$E7:$Z7,MIN(AC$6-$E$3,22))&lt;&gt;""),'Feijão 1ª safra'!$E7:INDEX('Feijão 1ª safra'!$E7:$Z7,MIN(AC$6-$E$3,22))),0))-IF($G$2,0,IF((AC$6-$G$3)&lt;1,0,IFERROR(LOOKUP(2,1/('Feijão 1ª safra'!$E7:INDEX('Feijão 1ª safra'!$E7:$Z7,MIN(AC$6-$G$3,22))&lt;&gt;""),'Feijão 1ª safra'!$E7:INDEX('Feijão 1ª safra'!$E7:$Z7,MIN(AC$6-$G$3,22))),0)))))</f>
        <v>0</v>
      </c>
      <c r="AD9" s="27" t="n">
        <f aca="false">IF(COUNT('Feijão 1ª safra'!$E7:$Z7)=0,0,MAX(0,IF((AD$6-$E$3)&lt;1,0,IFERROR(LOOKUP(2,1/('Feijão 1ª safra'!$E7:INDEX('Feijão 1ª safra'!$E7:$Z7,MIN(AD$6-$E$3,22))&lt;&gt;""),'Feijão 1ª safra'!$E7:INDEX('Feijão 1ª safra'!$E7:$Z7,MIN(AD$6-$E$3,22))),0))-IF($G$2,0,IF((AD$6-$G$3)&lt;1,0,IFERROR(LOOKUP(2,1/('Feijão 1ª safra'!$E7:INDEX('Feijão 1ª safra'!$E7:$Z7,MIN(AD$6-$G$3,22))&lt;&gt;""),'Feijão 1ª safra'!$E7:INDEX('Feijão 1ª safra'!$E7:$Z7,MIN(AD$6-$G$3,22))),0)))))</f>
        <v>0</v>
      </c>
      <c r="AE9" s="27" t="n">
        <f aca="false">IF(COUNT('Feijão 1ª safra'!$E7:$Z7)=0,0,MAX(0,IF((AE$6-$E$3)&lt;1,0,IFERROR(LOOKUP(2,1/('Feijão 1ª safra'!$E7:INDEX('Feijão 1ª safra'!$E7:$Z7,MIN(AE$6-$E$3,22))&lt;&gt;""),'Feijão 1ª safra'!$E7:INDEX('Feijão 1ª safra'!$E7:$Z7,MIN(AE$6-$E$3,22))),0))-IF($G$2,0,IF((AE$6-$G$3)&lt;1,0,IFERROR(LOOKUP(2,1/('Feijão 1ª safra'!$E7:INDEX('Feijão 1ª safra'!$E7:$Z7,MIN(AE$6-$G$3,22))&lt;&gt;""),'Feijão 1ª safra'!$E7:INDEX('Feijão 1ª safra'!$E7:$Z7,MIN(AE$6-$G$3,22))),0)))))</f>
        <v>0</v>
      </c>
      <c r="AF9" s="27" t="n">
        <f aca="false">IF(COUNT('Feijão 1ª safra'!$E7:$Z7)=0,0,MAX(0,IF((AF$6-$E$3)&lt;1,0,IFERROR(LOOKUP(2,1/('Feijão 1ª safra'!$E7:INDEX('Feijão 1ª safra'!$E7:$Z7,MIN(AF$6-$E$3,22))&lt;&gt;""),'Feijão 1ª safra'!$E7:INDEX('Feijão 1ª safra'!$E7:$Z7,MIN(AF$6-$E$3,22))),0))-IF($G$2,0,IF((AF$6-$G$3)&lt;1,0,IFERROR(LOOKUP(2,1/('Feijão 1ª safra'!$E7:INDEX('Feijão 1ª safra'!$E7:$Z7,MIN(AF$6-$G$3,22))&lt;&gt;""),'Feijão 1ª safra'!$E7:INDEX('Feijão 1ª safra'!$E7:$Z7,MIN(AF$6-$G$3,22))),0)))))</f>
        <v>0</v>
      </c>
      <c r="AG9" s="27" t="n">
        <f aca="false">IF(COUNT('Feijão 1ª safra'!$E7:$Z7)=0,0,MAX(0,IF((AG$6-$E$3)&lt;1,0,IFERROR(LOOKUP(2,1/('Feijão 1ª safra'!$E7:INDEX('Feijão 1ª safra'!$E7:$Z7,MIN(AG$6-$E$3,22))&lt;&gt;""),'Feijão 1ª safra'!$E7:INDEX('Feijão 1ª safra'!$E7:$Z7,MIN(AG$6-$E$3,22))),0))-IF($G$2,0,IF((AG$6-$G$3)&lt;1,0,IFERROR(LOOKUP(2,1/('Feijão 1ª safra'!$E7:INDEX('Feijão 1ª safra'!$E7:$Z7,MIN(AG$6-$G$3,22))&lt;&gt;""),'Feijão 1ª safra'!$E7:INDEX('Feijão 1ª safra'!$E7:$Z7,MIN(AG$6-$G$3,22))),0)))))</f>
        <v>0</v>
      </c>
      <c r="AH9" s="27" t="n">
        <f aca="false">IF(COUNT('Feijão 1ª safra'!$E7:$Z7)=0,0,MAX(0,IF((AH$6-$E$3)&lt;1,0,IFERROR(LOOKUP(2,1/('Feijão 1ª safra'!$E7:INDEX('Feijão 1ª safra'!$E7:$Z7,MIN(AH$6-$E$3,22))&lt;&gt;""),'Feijão 1ª safra'!$E7:INDEX('Feijão 1ª safra'!$E7:$Z7,MIN(AH$6-$E$3,22))),0))-IF($G$2,0,IF((AH$6-$G$3)&lt;1,0,IFERROR(LOOKUP(2,1/('Feijão 1ª safra'!$E7:INDEX('Feijão 1ª safra'!$E7:$Z7,MIN(AH$6-$G$3,22))&lt;&gt;""),'Feijão 1ª safra'!$E7:INDEX('Feijão 1ª safra'!$E7:$Z7,MIN(AH$6-$G$3,22))),0)))))</f>
        <v>0</v>
      </c>
      <c r="AI9" s="27" t="n">
        <f aca="false">IF(COUNT('Feijão 1ª safra'!$E7:$Z7)=0,0,MAX(0,IF((AI$6-$E$3)&lt;1,0,IFERROR(LOOKUP(2,1/('Feijão 1ª safra'!$E7:INDEX('Feijão 1ª safra'!$E7:$Z7,MIN(AI$6-$E$3,22))&lt;&gt;""),'Feijão 1ª safra'!$E7:INDEX('Feijão 1ª safra'!$E7:$Z7,MIN(AI$6-$E$3,22))),0))-IF($G$2,0,IF((AI$6-$G$3)&lt;1,0,IFERROR(LOOKUP(2,1/('Feijão 1ª safra'!$E7:INDEX('Feijão 1ª safra'!$E7:$Z7,MIN(AI$6-$G$3,22))&lt;&gt;""),'Feijão 1ª safra'!$E7:INDEX('Feijão 1ª safra'!$E7:$Z7,MIN(AI$6-$G$3,22))),0)))))</f>
        <v>0</v>
      </c>
      <c r="AJ9" s="27" t="n">
        <f aca="false">IF(COUNT('Feijão 1ª safra'!$E7:$Z7)=0,0,MAX(0,IF((AJ$6-$E$3)&lt;1,0,IFERROR(LOOKUP(2,1/('Feijão 1ª safra'!$E7:INDEX('Feijão 1ª safra'!$E7:$Z7,MIN(AJ$6-$E$3,22))&lt;&gt;""),'Feijão 1ª safra'!$E7:INDEX('Feijão 1ª safra'!$E7:$Z7,MIN(AJ$6-$E$3,22))),0))-IF($G$2,0,IF((AJ$6-$G$3)&lt;1,0,IFERROR(LOOKUP(2,1/('Feijão 1ª safra'!$E7:INDEX('Feijão 1ª safra'!$E7:$Z7,MIN(AJ$6-$G$3,22))&lt;&gt;""),'Feijão 1ª safra'!$E7:INDEX('Feijão 1ª safra'!$E7:$Z7,MIN(AJ$6-$G$3,22))),0)))))</f>
        <v>0</v>
      </c>
      <c r="AK9" s="27" t="n">
        <f aca="false">IF(COUNT('Feijão 1ª safra'!$E7:$Z7)=0,0,MAX(0,IF((AK$6-$E$3)&lt;1,0,IFERROR(LOOKUP(2,1/('Feijão 1ª safra'!$E7:INDEX('Feijão 1ª safra'!$E7:$Z7,MIN(AK$6-$E$3,22))&lt;&gt;""),'Feijão 1ª safra'!$E7:INDEX('Feijão 1ª safra'!$E7:$Z7,MIN(AK$6-$E$3,22))),0))-IF($G$2,0,IF((AK$6-$G$3)&lt;1,0,IFERROR(LOOKUP(2,1/('Feijão 1ª safra'!$E7:INDEX('Feijão 1ª safra'!$E7:$Z7,MIN(AK$6-$G$3,22))&lt;&gt;""),'Feijão 1ª safra'!$E7:INDEX('Feijão 1ª safra'!$E7:$Z7,MIN(AK$6-$G$3,22))),0)))))</f>
        <v>0</v>
      </c>
      <c r="AL9" s="27" t="n">
        <f aca="false">IF(COUNT('Feijão 1ª safra'!$E7:$Z7)=0,0,MAX(0,IF((AL$6-$E$3)&lt;1,0,IFERROR(LOOKUP(2,1/('Feijão 1ª safra'!$E7:INDEX('Feijão 1ª safra'!$E7:$Z7,MIN(AL$6-$E$3,22))&lt;&gt;""),'Feijão 1ª safra'!$E7:INDEX('Feijão 1ª safra'!$E7:$Z7,MIN(AL$6-$E$3,22))),0))-IF($G$2,0,IF((AL$6-$G$3)&lt;1,0,IFERROR(LOOKUP(2,1/('Feijão 1ª safra'!$E7:INDEX('Feijão 1ª safra'!$E7:$Z7,MIN(AL$6-$G$3,22))&lt;&gt;""),'Feijão 1ª safra'!$E7:INDEX('Feijão 1ª safra'!$E7:$Z7,MIN(AL$6-$G$3,22))),0)))))</f>
        <v>0</v>
      </c>
      <c r="AM9" s="27" t="n">
        <f aca="false">IF(COUNT('Feijão 1ª safra'!$E7:$Z7)=0,0,MAX(0,IF((AM$6-$E$3)&lt;1,0,IFERROR(LOOKUP(2,1/('Feijão 1ª safra'!$E7:INDEX('Feijão 1ª safra'!$E7:$Z7,MIN(AM$6-$E$3,22))&lt;&gt;""),'Feijão 1ª safra'!$E7:INDEX('Feijão 1ª safra'!$E7:$Z7,MIN(AM$6-$E$3,22))),0))-IF($G$2,0,IF((AM$6-$G$3)&lt;1,0,IFERROR(LOOKUP(2,1/('Feijão 1ª safra'!$E7:INDEX('Feijão 1ª safra'!$E7:$Z7,MIN(AM$6-$G$3,22))&lt;&gt;""),'Feijão 1ª safra'!$E7:INDEX('Feijão 1ª safra'!$E7:$Z7,MIN(AM$6-$G$3,22))),0)))))</f>
        <v>0</v>
      </c>
      <c r="AN9" s="27" t="n">
        <f aca="false">IF(COUNT('Feijão 1ª safra'!$E7:$Z7)=0,0,MAX(0,IF((AN$6-$E$3)&lt;1,0,IFERROR(LOOKUP(2,1/('Feijão 1ª safra'!$E7:INDEX('Feijão 1ª safra'!$E7:$Z7,MIN(AN$6-$E$3,22))&lt;&gt;""),'Feijão 1ª safra'!$E7:INDEX('Feijão 1ª safra'!$E7:$Z7,MIN(AN$6-$E$3,22))),0))-IF($G$2,0,IF((AN$6-$G$3)&lt;1,0,IFERROR(LOOKUP(2,1/('Feijão 1ª safra'!$E7:INDEX('Feijão 1ª safra'!$E7:$Z7,MIN(AN$6-$G$3,22))&lt;&gt;""),'Feijão 1ª safra'!$E7:INDEX('Feijão 1ª safra'!$E7:$Z7,MIN(AN$6-$G$3,22))),0)))))</f>
        <v>0</v>
      </c>
      <c r="AO9" s="27" t="n">
        <f aca="false">IF(COUNT('Feijão 1ª safra'!$E7:$Z7)=0,0,MAX(0,IF((AO$6-$E$3)&lt;1,0,IFERROR(LOOKUP(2,1/('Feijão 1ª safra'!$E7:INDEX('Feijão 1ª safra'!$E7:$Z7,MIN(AO$6-$E$3,22))&lt;&gt;""),'Feijão 1ª safra'!$E7:INDEX('Feijão 1ª safra'!$E7:$Z7,MIN(AO$6-$E$3,22))),0))-IF($G$2,0,IF((AO$6-$G$3)&lt;1,0,IFERROR(LOOKUP(2,1/('Feijão 1ª safra'!$E7:INDEX('Feijão 1ª safra'!$E7:$Z7,MIN(AO$6-$G$3,22))&lt;&gt;""),'Feijão 1ª safra'!$E7:INDEX('Feijão 1ª safra'!$E7:$Z7,MIN(AO$6-$G$3,22))),0)))))</f>
        <v>0</v>
      </c>
      <c r="AP9" s="27" t="n">
        <f aca="false">IF(COUNT('Feijão 1ª safra'!$E7:$Z7)=0,0,MAX(0,IF((AP$6-$E$3)&lt;1,0,IFERROR(LOOKUP(2,1/('Feijão 1ª safra'!$E7:INDEX('Feijão 1ª safra'!$E7:$Z7,MIN(AP$6-$E$3,22))&lt;&gt;""),'Feijão 1ª safra'!$E7:INDEX('Feijão 1ª safra'!$E7:$Z7,MIN(AP$6-$E$3,22))),0))-IF($G$2,0,IF((AP$6-$G$3)&lt;1,0,IFERROR(LOOKUP(2,1/('Feijão 1ª safra'!$E7:INDEX('Feijão 1ª safra'!$E7:$Z7,MIN(AP$6-$G$3,22))&lt;&gt;""),'Feijão 1ª safra'!$E7:INDEX('Feijão 1ª safra'!$E7:$Z7,MIN(AP$6-$G$3,22))),0)))))</f>
        <v>0</v>
      </c>
      <c r="AQ9" s="27" t="n">
        <f aca="false">IF(COUNT('Feijão 1ª safra'!$E7:$Z7)=0,0,MAX(0,IF((AQ$6-$E$3)&lt;1,0,IFERROR(LOOKUP(2,1/('Feijão 1ª safra'!$E7:INDEX('Feijão 1ª safra'!$E7:$Z7,MIN(AQ$6-$E$3,22))&lt;&gt;""),'Feijão 1ª safra'!$E7:INDEX('Feijão 1ª safra'!$E7:$Z7,MIN(AQ$6-$E$3,22))),0))-IF($G$2,0,IF((AQ$6-$G$3)&lt;1,0,IFERROR(LOOKUP(2,1/('Feijão 1ª safra'!$E7:INDEX('Feijão 1ª safra'!$E7:$Z7,MIN(AQ$6-$G$3,22))&lt;&gt;""),'Feijão 1ª safra'!$E7:INDEX('Feijão 1ª safra'!$E7:$Z7,MIN(AQ$6-$G$3,22))),0)))))</f>
        <v>0</v>
      </c>
      <c r="AR9" s="27" t="n">
        <f aca="false">IF(COUNT('Feijão 1ª safra'!$E7:$Z7)=0,0,MAX(0,IF((AR$6-$E$3)&lt;1,0,IFERROR(LOOKUP(2,1/('Feijão 1ª safra'!$E7:INDEX('Feijão 1ª safra'!$E7:$Z7,MIN(AR$6-$E$3,22))&lt;&gt;""),'Feijão 1ª safra'!$E7:INDEX('Feijão 1ª safra'!$E7:$Z7,MIN(AR$6-$E$3,22))),0))-IF($G$2,0,IF((AR$6-$G$3)&lt;1,0,IFERROR(LOOKUP(2,1/('Feijão 1ª safra'!$E7:INDEX('Feijão 1ª safra'!$E7:$Z7,MIN(AR$6-$G$3,22))&lt;&gt;""),'Feijão 1ª safra'!$E7:INDEX('Feijão 1ª safra'!$E7:$Z7,MIN(AR$6-$G$3,22))),0)))))</f>
        <v>0</v>
      </c>
      <c r="AS9" s="27" t="n">
        <f aca="false">IF(COUNT('Feijão 1ª safra'!$E7:$Z7)=0,0,MAX(0,IF((AS$6-$E$3)&lt;1,0,IFERROR(LOOKUP(2,1/('Feijão 1ª safra'!$E7:INDEX('Feijão 1ª safra'!$E7:$Z7,MIN(AS$6-$E$3,22))&lt;&gt;""),'Feijão 1ª safra'!$E7:INDEX('Feijão 1ª safra'!$E7:$Z7,MIN(AS$6-$E$3,22))),0))-IF($G$2,0,IF((AS$6-$G$3)&lt;1,0,IFERROR(LOOKUP(2,1/('Feijão 1ª safra'!$E7:INDEX('Feijão 1ª safra'!$E7:$Z7,MIN(AS$6-$G$3,22))&lt;&gt;""),'Feijão 1ª safra'!$E7:INDEX('Feijão 1ª safra'!$E7:$Z7,MIN(AS$6-$G$3,22))),0)))))</f>
        <v>0</v>
      </c>
      <c r="AT9" s="27" t="n">
        <f aca="false">IF(COUNT('Feijão 1ª safra'!$E7:$Z7)=0,0,MAX(0,IF((AT$6-$E$3)&lt;1,0,IFERROR(LOOKUP(2,1/('Feijão 1ª safra'!$E7:INDEX('Feijão 1ª safra'!$E7:$Z7,MIN(AT$6-$E$3,22))&lt;&gt;""),'Feijão 1ª safra'!$E7:INDEX('Feijão 1ª safra'!$E7:$Z7,MIN(AT$6-$E$3,22))),0))-IF($G$2,0,IF((AT$6-$G$3)&lt;1,0,IFERROR(LOOKUP(2,1/('Feijão 1ª safra'!$E7:INDEX('Feijão 1ª safra'!$E7:$Z7,MIN(AT$6-$G$3,22))&lt;&gt;""),'Feijão 1ª safra'!$E7:INDEX('Feijão 1ª safra'!$E7:$Z7,MIN(AT$6-$G$3,22))),0)))))</f>
        <v>0</v>
      </c>
      <c r="AU9" s="27" t="n">
        <f aca="false">IF(COUNT('Feijão 1ª safra'!$E7:$Z7)=0,0,MAX(0,IF((AU$6-$E$3)&lt;1,0,IFERROR(LOOKUP(2,1/('Feijão 1ª safra'!$E7:INDEX('Feijão 1ª safra'!$E7:$Z7,MIN(AU$6-$E$3,22))&lt;&gt;""),'Feijão 1ª safra'!$E7:INDEX('Feijão 1ª safra'!$E7:$Z7,MIN(AU$6-$E$3,22))),0))-IF($G$2,0,IF((AU$6-$G$3)&lt;1,0,IFERROR(LOOKUP(2,1/('Feijão 1ª safra'!$E7:INDEX('Feijão 1ª safra'!$E7:$Z7,MIN(AU$6-$G$3,22))&lt;&gt;""),'Feijão 1ª safra'!$E7:INDEX('Feijão 1ª safra'!$E7:$Z7,MIN(AU$6-$G$3,22))),0)))))</f>
        <v>0</v>
      </c>
      <c r="AV9" s="27" t="n">
        <f aca="false">IF(COUNT('Feijão 1ª safra'!$E7:$Z7)=0,0,MAX(0,IF((AV$6-$E$3)&lt;1,0,IFERROR(LOOKUP(2,1/('Feijão 1ª safra'!$E7:INDEX('Feijão 1ª safra'!$E7:$Z7,MIN(AV$6-$E$3,22))&lt;&gt;""),'Feijão 1ª safra'!$E7:INDEX('Feijão 1ª safra'!$E7:$Z7,MIN(AV$6-$E$3,22))),0))-IF($G$2,0,IF((AV$6-$G$3)&lt;1,0,IFERROR(LOOKUP(2,1/('Feijão 1ª safra'!$E7:INDEX('Feijão 1ª safra'!$E7:$Z7,MIN(AV$6-$G$3,22))&lt;&gt;""),'Feijão 1ª safra'!$E7:INDEX('Feijão 1ª safra'!$E7:$Z7,MIN(AV$6-$G$3,22))),0)))))</f>
        <v>0</v>
      </c>
      <c r="AW9" s="27" t="n">
        <f aca="false">IF(COUNT('Feijão 1ª safra'!$E7:$Z7)=0,0,MAX(0,IF((AW$6-$E$3)&lt;1,0,IFERROR(LOOKUP(2,1/('Feijão 1ª safra'!$E7:INDEX('Feijão 1ª safra'!$E7:$Z7,MIN(AW$6-$E$3,22))&lt;&gt;""),'Feijão 1ª safra'!$E7:INDEX('Feijão 1ª safra'!$E7:$Z7,MIN(AW$6-$E$3,22))),0))-IF($G$2,0,IF((AW$6-$G$3)&lt;1,0,IFERROR(LOOKUP(2,1/('Feijão 1ª safra'!$E7:INDEX('Feijão 1ª safra'!$E7:$Z7,MIN(AW$6-$G$3,22))&lt;&gt;""),'Feijão 1ª safra'!$E7:INDEX('Feijão 1ª safra'!$E7:$Z7,MIN(AW$6-$G$3,22))),0)))))</f>
        <v>0</v>
      </c>
      <c r="AX9" s="27" t="n">
        <f aca="false">IF(COUNT('Feijão 1ª safra'!$E7:$Z7)=0,0,MAX(0,IF((AX$6-$E$3)&lt;1,0,IFERROR(LOOKUP(2,1/('Feijão 1ª safra'!$E7:INDEX('Feijão 1ª safra'!$E7:$Z7,MIN(AX$6-$E$3,22))&lt;&gt;""),'Feijão 1ª safra'!$E7:INDEX('Feijão 1ª safra'!$E7:$Z7,MIN(AX$6-$E$3,22))),0))-IF($G$2,0,IF((AX$6-$G$3)&lt;1,0,IFERROR(LOOKUP(2,1/('Feijão 1ª safra'!$E7:INDEX('Feijão 1ª safra'!$E7:$Z7,MIN(AX$6-$G$3,22))&lt;&gt;""),'Feijão 1ª safra'!$E7:INDEX('Feijão 1ª safra'!$E7:$Z7,MIN(AX$6-$G$3,22))),0)))))</f>
        <v>0</v>
      </c>
      <c r="AY9" s="27" t="n">
        <f aca="false">IF(COUNT('Feijão 1ª safra'!$E7:$Z7)=0,0,MAX(0,IF((AY$6-$E$3)&lt;1,0,IFERROR(LOOKUP(2,1/('Feijão 1ª safra'!$E7:INDEX('Feijão 1ª safra'!$E7:$Z7,MIN(AY$6-$E$3,22))&lt;&gt;""),'Feijão 1ª safra'!$E7:INDEX('Feijão 1ª safra'!$E7:$Z7,MIN(AY$6-$E$3,22))),0))-IF($G$2,0,IF((AY$6-$G$3)&lt;1,0,IFERROR(LOOKUP(2,1/('Feijão 1ª safra'!$E7:INDEX('Feijão 1ª safra'!$E7:$Z7,MIN(AY$6-$G$3,22))&lt;&gt;""),'Feijão 1ª safra'!$E7:INDEX('Feijão 1ª safra'!$E7:$Z7,MIN(AY$6-$G$3,22))),0)))))</f>
        <v>0</v>
      </c>
      <c r="AZ9" s="27" t="n">
        <f aca="false">IF(COUNT('Feijão 1ª safra'!$E7:$Z7)=0,0,MAX(0,IF((AZ$6-$E$3)&lt;1,0,IFERROR(LOOKUP(2,1/('Feijão 1ª safra'!$E7:INDEX('Feijão 1ª safra'!$E7:$Z7,MIN(AZ$6-$E$3,22))&lt;&gt;""),'Feijão 1ª safra'!$E7:INDEX('Feijão 1ª safra'!$E7:$Z7,MIN(AZ$6-$E$3,22))),0))-IF($G$2,0,IF((AZ$6-$G$3)&lt;1,0,IFERROR(LOOKUP(2,1/('Feijão 1ª safra'!$E7:INDEX('Feijão 1ª safra'!$E7:$Z7,MIN(AZ$6-$G$3,22))&lt;&gt;""),'Feijão 1ª safra'!$E7:INDEX('Feijão 1ª safra'!$E7:$Z7,MIN(AZ$6-$G$3,22))),0)))))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IF(COUNT('Feijão 1ª safra'!$E8:$Z8)&gt;0,N('Feijão 1ª safra'!$D8),0)</f>
        <v>0</v>
      </c>
      <c r="E10" s="27" t="n">
        <f aca="false">IF(COUNT('Feijão 1ª safra'!$E8:$Z8)=0,0,MAX(0,IF((E$6-$E$3)&lt;1,0,IFERROR(LOOKUP(2,1/('Feijão 1ª safra'!$E8:INDEX('Feijão 1ª safra'!$E8:$Z8,MIN(E$6-$E$3,22))&lt;&gt;""),'Feijão 1ª safra'!$E8:INDEX('Feijão 1ª safra'!$E8:$Z8,MIN(E$6-$E$3,22))),0))-IF($G$2,0,IF((E$6-$G$3)&lt;1,0,IFERROR(LOOKUP(2,1/('Feijão 1ª safra'!$E8:INDEX('Feijão 1ª safra'!$E8:$Z8,MIN(E$6-$G$3,22))&lt;&gt;""),'Feijão 1ª safra'!$E8:INDEX('Feijão 1ª safra'!$E8:$Z8,MIN(E$6-$G$3,22))),0)))))</f>
        <v>0</v>
      </c>
      <c r="F10" s="27" t="n">
        <f aca="false">IF(COUNT('Feijão 1ª safra'!$E8:$Z8)=0,0,MAX(0,IF((F$6-$E$3)&lt;1,0,IFERROR(LOOKUP(2,1/('Feijão 1ª safra'!$E8:INDEX('Feijão 1ª safra'!$E8:$Z8,MIN(F$6-$E$3,22))&lt;&gt;""),'Feijão 1ª safra'!$E8:INDEX('Feijão 1ª safra'!$E8:$Z8,MIN(F$6-$E$3,22))),0))-IF($G$2,0,IF((F$6-$G$3)&lt;1,0,IFERROR(LOOKUP(2,1/('Feijão 1ª safra'!$E8:INDEX('Feijão 1ª safra'!$E8:$Z8,MIN(F$6-$G$3,22))&lt;&gt;""),'Feijão 1ª safra'!$E8:INDEX('Feijão 1ª safra'!$E8:$Z8,MIN(F$6-$G$3,22))),0)))))</f>
        <v>0</v>
      </c>
      <c r="G10" s="27" t="n">
        <f aca="false">IF(COUNT('Feijão 1ª safra'!$E8:$Z8)=0,0,MAX(0,IF((G$6-$E$3)&lt;1,0,IFERROR(LOOKUP(2,1/('Feijão 1ª safra'!$E8:INDEX('Feijão 1ª safra'!$E8:$Z8,MIN(G$6-$E$3,22))&lt;&gt;""),'Feijão 1ª safra'!$E8:INDEX('Feijão 1ª safra'!$E8:$Z8,MIN(G$6-$E$3,22))),0))-IF($G$2,0,IF((G$6-$G$3)&lt;1,0,IFERROR(LOOKUP(2,1/('Feijão 1ª safra'!$E8:INDEX('Feijão 1ª safra'!$E8:$Z8,MIN(G$6-$G$3,22))&lt;&gt;""),'Feijão 1ª safra'!$E8:INDEX('Feijão 1ª safra'!$E8:$Z8,MIN(G$6-$G$3,22))),0)))))</f>
        <v>0</v>
      </c>
      <c r="H10" s="27" t="n">
        <f aca="false">IF(COUNT('Feijão 1ª safra'!$E8:$Z8)=0,0,MAX(0,IF((H$6-$E$3)&lt;1,0,IFERROR(LOOKUP(2,1/('Feijão 1ª safra'!$E8:INDEX('Feijão 1ª safra'!$E8:$Z8,MIN(H$6-$E$3,22))&lt;&gt;""),'Feijão 1ª safra'!$E8:INDEX('Feijão 1ª safra'!$E8:$Z8,MIN(H$6-$E$3,22))),0))-IF($G$2,0,IF((H$6-$G$3)&lt;1,0,IFERROR(LOOKUP(2,1/('Feijão 1ª safra'!$E8:INDEX('Feijão 1ª safra'!$E8:$Z8,MIN(H$6-$G$3,22))&lt;&gt;""),'Feijão 1ª safra'!$E8:INDEX('Feijão 1ª safra'!$E8:$Z8,MIN(H$6-$G$3,22))),0)))))</f>
        <v>0</v>
      </c>
      <c r="I10" s="27" t="n">
        <f aca="false">IF(COUNT('Feijão 1ª safra'!$E8:$Z8)=0,0,MAX(0,IF((I$6-$E$3)&lt;1,0,IFERROR(LOOKUP(2,1/('Feijão 1ª safra'!$E8:INDEX('Feijão 1ª safra'!$E8:$Z8,MIN(I$6-$E$3,22))&lt;&gt;""),'Feijão 1ª safra'!$E8:INDEX('Feijão 1ª safra'!$E8:$Z8,MIN(I$6-$E$3,22))),0))-IF($G$2,0,IF((I$6-$G$3)&lt;1,0,IFERROR(LOOKUP(2,1/('Feijão 1ª safra'!$E8:INDEX('Feijão 1ª safra'!$E8:$Z8,MIN(I$6-$G$3,22))&lt;&gt;""),'Feijão 1ª safra'!$E8:INDEX('Feijão 1ª safra'!$E8:$Z8,MIN(I$6-$G$3,22))),0)))))</f>
        <v>0</v>
      </c>
      <c r="J10" s="27" t="n">
        <f aca="false">IF(COUNT('Feijão 1ª safra'!$E8:$Z8)=0,0,MAX(0,IF((J$6-$E$3)&lt;1,0,IFERROR(LOOKUP(2,1/('Feijão 1ª safra'!$E8:INDEX('Feijão 1ª safra'!$E8:$Z8,MIN(J$6-$E$3,22))&lt;&gt;""),'Feijão 1ª safra'!$E8:INDEX('Feijão 1ª safra'!$E8:$Z8,MIN(J$6-$E$3,22))),0))-IF($G$2,0,IF((J$6-$G$3)&lt;1,0,IFERROR(LOOKUP(2,1/('Feijão 1ª safra'!$E8:INDEX('Feijão 1ª safra'!$E8:$Z8,MIN(J$6-$G$3,22))&lt;&gt;""),'Feijão 1ª safra'!$E8:INDEX('Feijão 1ª safra'!$E8:$Z8,MIN(J$6-$G$3,22))),0)))))</f>
        <v>0</v>
      </c>
      <c r="K10" s="27" t="n">
        <f aca="false">IF(COUNT('Feijão 1ª safra'!$E8:$Z8)=0,0,MAX(0,IF((K$6-$E$3)&lt;1,0,IFERROR(LOOKUP(2,1/('Feijão 1ª safra'!$E8:INDEX('Feijão 1ª safra'!$E8:$Z8,MIN(K$6-$E$3,22))&lt;&gt;""),'Feijão 1ª safra'!$E8:INDEX('Feijão 1ª safra'!$E8:$Z8,MIN(K$6-$E$3,22))),0))-IF($G$2,0,IF((K$6-$G$3)&lt;1,0,IFERROR(LOOKUP(2,1/('Feijão 1ª safra'!$E8:INDEX('Feijão 1ª safra'!$E8:$Z8,MIN(K$6-$G$3,22))&lt;&gt;""),'Feijão 1ª safra'!$E8:INDEX('Feijão 1ª safra'!$E8:$Z8,MIN(K$6-$G$3,22))),0)))))</f>
        <v>0</v>
      </c>
      <c r="L10" s="27" t="n">
        <f aca="false">IF(COUNT('Feijão 1ª safra'!$E8:$Z8)=0,0,MAX(0,IF((L$6-$E$3)&lt;1,0,IFERROR(LOOKUP(2,1/('Feijão 1ª safra'!$E8:INDEX('Feijão 1ª safra'!$E8:$Z8,MIN(L$6-$E$3,22))&lt;&gt;""),'Feijão 1ª safra'!$E8:INDEX('Feijão 1ª safra'!$E8:$Z8,MIN(L$6-$E$3,22))),0))-IF($G$2,0,IF((L$6-$G$3)&lt;1,0,IFERROR(LOOKUP(2,1/('Feijão 1ª safra'!$E8:INDEX('Feijão 1ª safra'!$E8:$Z8,MIN(L$6-$G$3,22))&lt;&gt;""),'Feijão 1ª safra'!$E8:INDEX('Feijão 1ª safra'!$E8:$Z8,MIN(L$6-$G$3,22))),0)))))</f>
        <v>0</v>
      </c>
      <c r="M10" s="27" t="n">
        <f aca="false">IF(COUNT('Feijão 1ª safra'!$E8:$Z8)=0,0,MAX(0,IF((M$6-$E$3)&lt;1,0,IFERROR(LOOKUP(2,1/('Feijão 1ª safra'!$E8:INDEX('Feijão 1ª safra'!$E8:$Z8,MIN(M$6-$E$3,22))&lt;&gt;""),'Feijão 1ª safra'!$E8:INDEX('Feijão 1ª safra'!$E8:$Z8,MIN(M$6-$E$3,22))),0))-IF($G$2,0,IF((M$6-$G$3)&lt;1,0,IFERROR(LOOKUP(2,1/('Feijão 1ª safra'!$E8:INDEX('Feijão 1ª safra'!$E8:$Z8,MIN(M$6-$G$3,22))&lt;&gt;""),'Feijão 1ª safra'!$E8:INDEX('Feijão 1ª safra'!$E8:$Z8,MIN(M$6-$G$3,22))),0)))))</f>
        <v>0</v>
      </c>
      <c r="N10" s="27" t="n">
        <f aca="false">IF(COUNT('Feijão 1ª safra'!$E8:$Z8)=0,0,MAX(0,IF((N$6-$E$3)&lt;1,0,IFERROR(LOOKUP(2,1/('Feijão 1ª safra'!$E8:INDEX('Feijão 1ª safra'!$E8:$Z8,MIN(N$6-$E$3,22))&lt;&gt;""),'Feijão 1ª safra'!$E8:INDEX('Feijão 1ª safra'!$E8:$Z8,MIN(N$6-$E$3,22))),0))-IF($G$2,0,IF((N$6-$G$3)&lt;1,0,IFERROR(LOOKUP(2,1/('Feijão 1ª safra'!$E8:INDEX('Feijão 1ª safra'!$E8:$Z8,MIN(N$6-$G$3,22))&lt;&gt;""),'Feijão 1ª safra'!$E8:INDEX('Feijão 1ª safra'!$E8:$Z8,MIN(N$6-$G$3,22))),0)))))</f>
        <v>0</v>
      </c>
      <c r="O10" s="27" t="n">
        <f aca="false">IF(COUNT('Feijão 1ª safra'!$E8:$Z8)=0,0,MAX(0,IF((O$6-$E$3)&lt;1,0,IFERROR(LOOKUP(2,1/('Feijão 1ª safra'!$E8:INDEX('Feijão 1ª safra'!$E8:$Z8,MIN(O$6-$E$3,22))&lt;&gt;""),'Feijão 1ª safra'!$E8:INDEX('Feijão 1ª safra'!$E8:$Z8,MIN(O$6-$E$3,22))),0))-IF($G$2,0,IF((O$6-$G$3)&lt;1,0,IFERROR(LOOKUP(2,1/('Feijão 1ª safra'!$E8:INDEX('Feijão 1ª safra'!$E8:$Z8,MIN(O$6-$G$3,22))&lt;&gt;""),'Feijão 1ª safra'!$E8:INDEX('Feijão 1ª safra'!$E8:$Z8,MIN(O$6-$G$3,22))),0)))))</f>
        <v>0</v>
      </c>
      <c r="P10" s="27" t="n">
        <f aca="false">IF(COUNT('Feijão 1ª safra'!$E8:$Z8)=0,0,MAX(0,IF((P$6-$E$3)&lt;1,0,IFERROR(LOOKUP(2,1/('Feijão 1ª safra'!$E8:INDEX('Feijão 1ª safra'!$E8:$Z8,MIN(P$6-$E$3,22))&lt;&gt;""),'Feijão 1ª safra'!$E8:INDEX('Feijão 1ª safra'!$E8:$Z8,MIN(P$6-$E$3,22))),0))-IF($G$2,0,IF((P$6-$G$3)&lt;1,0,IFERROR(LOOKUP(2,1/('Feijão 1ª safra'!$E8:INDEX('Feijão 1ª safra'!$E8:$Z8,MIN(P$6-$G$3,22))&lt;&gt;""),'Feijão 1ª safra'!$E8:INDEX('Feijão 1ª safra'!$E8:$Z8,MIN(P$6-$G$3,22))),0)))))</f>
        <v>0</v>
      </c>
      <c r="Q10" s="27" t="n">
        <f aca="false">IF(COUNT('Feijão 1ª safra'!$E8:$Z8)=0,0,MAX(0,IF((Q$6-$E$3)&lt;1,0,IFERROR(LOOKUP(2,1/('Feijão 1ª safra'!$E8:INDEX('Feijão 1ª safra'!$E8:$Z8,MIN(Q$6-$E$3,22))&lt;&gt;""),'Feijão 1ª safra'!$E8:INDEX('Feijão 1ª safra'!$E8:$Z8,MIN(Q$6-$E$3,22))),0))-IF($G$2,0,IF((Q$6-$G$3)&lt;1,0,IFERROR(LOOKUP(2,1/('Feijão 1ª safra'!$E8:INDEX('Feijão 1ª safra'!$E8:$Z8,MIN(Q$6-$G$3,22))&lt;&gt;""),'Feijão 1ª safra'!$E8:INDEX('Feijão 1ª safra'!$E8:$Z8,MIN(Q$6-$G$3,22))),0)))))</f>
        <v>0</v>
      </c>
      <c r="R10" s="27" t="n">
        <f aca="false">IF(COUNT('Feijão 1ª safra'!$E8:$Z8)=0,0,MAX(0,IF((R$6-$E$3)&lt;1,0,IFERROR(LOOKUP(2,1/('Feijão 1ª safra'!$E8:INDEX('Feijão 1ª safra'!$E8:$Z8,MIN(R$6-$E$3,22))&lt;&gt;""),'Feijão 1ª safra'!$E8:INDEX('Feijão 1ª safra'!$E8:$Z8,MIN(R$6-$E$3,22))),0))-IF($G$2,0,IF((R$6-$G$3)&lt;1,0,IFERROR(LOOKUP(2,1/('Feijão 1ª safra'!$E8:INDEX('Feijão 1ª safra'!$E8:$Z8,MIN(R$6-$G$3,22))&lt;&gt;""),'Feijão 1ª safra'!$E8:INDEX('Feijão 1ª safra'!$E8:$Z8,MIN(R$6-$G$3,22))),0)))))</f>
        <v>0</v>
      </c>
      <c r="S10" s="27" t="n">
        <f aca="false">IF(COUNT('Feijão 1ª safra'!$E8:$Z8)=0,0,MAX(0,IF((S$6-$E$3)&lt;1,0,IFERROR(LOOKUP(2,1/('Feijão 1ª safra'!$E8:INDEX('Feijão 1ª safra'!$E8:$Z8,MIN(S$6-$E$3,22))&lt;&gt;""),'Feijão 1ª safra'!$E8:INDEX('Feijão 1ª safra'!$E8:$Z8,MIN(S$6-$E$3,22))),0))-IF($G$2,0,IF((S$6-$G$3)&lt;1,0,IFERROR(LOOKUP(2,1/('Feijão 1ª safra'!$E8:INDEX('Feijão 1ª safra'!$E8:$Z8,MIN(S$6-$G$3,22))&lt;&gt;""),'Feijão 1ª safra'!$E8:INDEX('Feijão 1ª safra'!$E8:$Z8,MIN(S$6-$G$3,22))),0)))))</f>
        <v>0</v>
      </c>
      <c r="T10" s="27" t="n">
        <f aca="false">IF(COUNT('Feijão 1ª safra'!$E8:$Z8)=0,0,MAX(0,IF((T$6-$E$3)&lt;1,0,IFERROR(LOOKUP(2,1/('Feijão 1ª safra'!$E8:INDEX('Feijão 1ª safra'!$E8:$Z8,MIN(T$6-$E$3,22))&lt;&gt;""),'Feijão 1ª safra'!$E8:INDEX('Feijão 1ª safra'!$E8:$Z8,MIN(T$6-$E$3,22))),0))-IF($G$2,0,IF((T$6-$G$3)&lt;1,0,IFERROR(LOOKUP(2,1/('Feijão 1ª safra'!$E8:INDEX('Feijão 1ª safra'!$E8:$Z8,MIN(T$6-$G$3,22))&lt;&gt;""),'Feijão 1ª safra'!$E8:INDEX('Feijão 1ª safra'!$E8:$Z8,MIN(T$6-$G$3,22))),0)))))</f>
        <v>0</v>
      </c>
      <c r="U10" s="27" t="n">
        <f aca="false">IF(COUNT('Feijão 1ª safra'!$E8:$Z8)=0,0,MAX(0,IF((U$6-$E$3)&lt;1,0,IFERROR(LOOKUP(2,1/('Feijão 1ª safra'!$E8:INDEX('Feijão 1ª safra'!$E8:$Z8,MIN(U$6-$E$3,22))&lt;&gt;""),'Feijão 1ª safra'!$E8:INDEX('Feijão 1ª safra'!$E8:$Z8,MIN(U$6-$E$3,22))),0))-IF($G$2,0,IF((U$6-$G$3)&lt;1,0,IFERROR(LOOKUP(2,1/('Feijão 1ª safra'!$E8:INDEX('Feijão 1ª safra'!$E8:$Z8,MIN(U$6-$G$3,22))&lt;&gt;""),'Feijão 1ª safra'!$E8:INDEX('Feijão 1ª safra'!$E8:$Z8,MIN(U$6-$G$3,22))),0)))))</f>
        <v>0</v>
      </c>
      <c r="V10" s="27" t="n">
        <f aca="false">IF(COUNT('Feijão 1ª safra'!$E8:$Z8)=0,0,MAX(0,IF((V$6-$E$3)&lt;1,0,IFERROR(LOOKUP(2,1/('Feijão 1ª safra'!$E8:INDEX('Feijão 1ª safra'!$E8:$Z8,MIN(V$6-$E$3,22))&lt;&gt;""),'Feijão 1ª safra'!$E8:INDEX('Feijão 1ª safra'!$E8:$Z8,MIN(V$6-$E$3,22))),0))-IF($G$2,0,IF((V$6-$G$3)&lt;1,0,IFERROR(LOOKUP(2,1/('Feijão 1ª safra'!$E8:INDEX('Feijão 1ª safra'!$E8:$Z8,MIN(V$6-$G$3,22))&lt;&gt;""),'Feijão 1ª safra'!$E8:INDEX('Feijão 1ª safra'!$E8:$Z8,MIN(V$6-$G$3,22))),0)))))</f>
        <v>0</v>
      </c>
      <c r="W10" s="27" t="n">
        <f aca="false">IF(COUNT('Feijão 1ª safra'!$E8:$Z8)=0,0,MAX(0,IF((W$6-$E$3)&lt;1,0,IFERROR(LOOKUP(2,1/('Feijão 1ª safra'!$E8:INDEX('Feijão 1ª safra'!$E8:$Z8,MIN(W$6-$E$3,22))&lt;&gt;""),'Feijão 1ª safra'!$E8:INDEX('Feijão 1ª safra'!$E8:$Z8,MIN(W$6-$E$3,22))),0))-IF($G$2,0,IF((W$6-$G$3)&lt;1,0,IFERROR(LOOKUP(2,1/('Feijão 1ª safra'!$E8:INDEX('Feijão 1ª safra'!$E8:$Z8,MIN(W$6-$G$3,22))&lt;&gt;""),'Feijão 1ª safra'!$E8:INDEX('Feijão 1ª safra'!$E8:$Z8,MIN(W$6-$G$3,22))),0)))))</f>
        <v>0</v>
      </c>
      <c r="X10" s="27" t="n">
        <f aca="false">IF(COUNT('Feijão 1ª safra'!$E8:$Z8)=0,0,MAX(0,IF((X$6-$E$3)&lt;1,0,IFERROR(LOOKUP(2,1/('Feijão 1ª safra'!$E8:INDEX('Feijão 1ª safra'!$E8:$Z8,MIN(X$6-$E$3,22))&lt;&gt;""),'Feijão 1ª safra'!$E8:INDEX('Feijão 1ª safra'!$E8:$Z8,MIN(X$6-$E$3,22))),0))-IF($G$2,0,IF((X$6-$G$3)&lt;1,0,IFERROR(LOOKUP(2,1/('Feijão 1ª safra'!$E8:INDEX('Feijão 1ª safra'!$E8:$Z8,MIN(X$6-$G$3,22))&lt;&gt;""),'Feijão 1ª safra'!$E8:INDEX('Feijão 1ª safra'!$E8:$Z8,MIN(X$6-$G$3,22))),0)))))</f>
        <v>0</v>
      </c>
      <c r="Y10" s="27" t="n">
        <f aca="false">IF(COUNT('Feijão 1ª safra'!$E8:$Z8)=0,0,MAX(0,IF((Y$6-$E$3)&lt;1,0,IFERROR(LOOKUP(2,1/('Feijão 1ª safra'!$E8:INDEX('Feijão 1ª safra'!$E8:$Z8,MIN(Y$6-$E$3,22))&lt;&gt;""),'Feijão 1ª safra'!$E8:INDEX('Feijão 1ª safra'!$E8:$Z8,MIN(Y$6-$E$3,22))),0))-IF($G$2,0,IF((Y$6-$G$3)&lt;1,0,IFERROR(LOOKUP(2,1/('Feijão 1ª safra'!$E8:INDEX('Feijão 1ª safra'!$E8:$Z8,MIN(Y$6-$G$3,22))&lt;&gt;""),'Feijão 1ª safra'!$E8:INDEX('Feijão 1ª safra'!$E8:$Z8,MIN(Y$6-$G$3,22))),0)))))</f>
        <v>0</v>
      </c>
      <c r="Z10" s="27" t="n">
        <f aca="false">IF(COUNT('Feijão 1ª safra'!$E8:$Z8)=0,0,MAX(0,IF((Z$6-$E$3)&lt;1,0,IFERROR(LOOKUP(2,1/('Feijão 1ª safra'!$E8:INDEX('Feijão 1ª safra'!$E8:$Z8,MIN(Z$6-$E$3,22))&lt;&gt;""),'Feijão 1ª safra'!$E8:INDEX('Feijão 1ª safra'!$E8:$Z8,MIN(Z$6-$E$3,22))),0))-IF($G$2,0,IF((Z$6-$G$3)&lt;1,0,IFERROR(LOOKUP(2,1/('Feijão 1ª safra'!$E8:INDEX('Feijão 1ª safra'!$E8:$Z8,MIN(Z$6-$G$3,22))&lt;&gt;""),'Feijão 1ª safra'!$E8:INDEX('Feijão 1ª safra'!$E8:$Z8,MIN(Z$6-$G$3,22))),0)))))</f>
        <v>0</v>
      </c>
      <c r="AA10" s="27" t="n">
        <f aca="false">IF(COUNT('Feijão 1ª safra'!$E8:$Z8)=0,0,MAX(0,IF((AA$6-$E$3)&lt;1,0,IFERROR(LOOKUP(2,1/('Feijão 1ª safra'!$E8:INDEX('Feijão 1ª safra'!$E8:$Z8,MIN(AA$6-$E$3,22))&lt;&gt;""),'Feijão 1ª safra'!$E8:INDEX('Feijão 1ª safra'!$E8:$Z8,MIN(AA$6-$E$3,22))),0))-IF($G$2,0,IF((AA$6-$G$3)&lt;1,0,IFERROR(LOOKUP(2,1/('Feijão 1ª safra'!$E8:INDEX('Feijão 1ª safra'!$E8:$Z8,MIN(AA$6-$G$3,22))&lt;&gt;""),'Feijão 1ª safra'!$E8:INDEX('Feijão 1ª safra'!$E8:$Z8,MIN(AA$6-$G$3,22))),0)))))</f>
        <v>0</v>
      </c>
      <c r="AB10" s="27" t="n">
        <f aca="false">IF(COUNT('Feijão 1ª safra'!$E8:$Z8)=0,0,MAX(0,IF((AB$6-$E$3)&lt;1,0,IFERROR(LOOKUP(2,1/('Feijão 1ª safra'!$E8:INDEX('Feijão 1ª safra'!$E8:$Z8,MIN(AB$6-$E$3,22))&lt;&gt;""),'Feijão 1ª safra'!$E8:INDEX('Feijão 1ª safra'!$E8:$Z8,MIN(AB$6-$E$3,22))),0))-IF($G$2,0,IF((AB$6-$G$3)&lt;1,0,IFERROR(LOOKUP(2,1/('Feijão 1ª safra'!$E8:INDEX('Feijão 1ª safra'!$E8:$Z8,MIN(AB$6-$G$3,22))&lt;&gt;""),'Feijão 1ª safra'!$E8:INDEX('Feijão 1ª safra'!$E8:$Z8,MIN(AB$6-$G$3,22))),0)))))</f>
        <v>0</v>
      </c>
      <c r="AC10" s="27" t="n">
        <f aca="false">IF(COUNT('Feijão 1ª safra'!$E8:$Z8)=0,0,MAX(0,IF((AC$6-$E$3)&lt;1,0,IFERROR(LOOKUP(2,1/('Feijão 1ª safra'!$E8:INDEX('Feijão 1ª safra'!$E8:$Z8,MIN(AC$6-$E$3,22))&lt;&gt;""),'Feijão 1ª safra'!$E8:INDEX('Feijão 1ª safra'!$E8:$Z8,MIN(AC$6-$E$3,22))),0))-IF($G$2,0,IF((AC$6-$G$3)&lt;1,0,IFERROR(LOOKUP(2,1/('Feijão 1ª safra'!$E8:INDEX('Feijão 1ª safra'!$E8:$Z8,MIN(AC$6-$G$3,22))&lt;&gt;""),'Feijão 1ª safra'!$E8:INDEX('Feijão 1ª safra'!$E8:$Z8,MIN(AC$6-$G$3,22))),0)))))</f>
        <v>0</v>
      </c>
      <c r="AD10" s="27" t="n">
        <f aca="false">IF(COUNT('Feijão 1ª safra'!$E8:$Z8)=0,0,MAX(0,IF((AD$6-$E$3)&lt;1,0,IFERROR(LOOKUP(2,1/('Feijão 1ª safra'!$E8:INDEX('Feijão 1ª safra'!$E8:$Z8,MIN(AD$6-$E$3,22))&lt;&gt;""),'Feijão 1ª safra'!$E8:INDEX('Feijão 1ª safra'!$E8:$Z8,MIN(AD$6-$E$3,22))),0))-IF($G$2,0,IF((AD$6-$G$3)&lt;1,0,IFERROR(LOOKUP(2,1/('Feijão 1ª safra'!$E8:INDEX('Feijão 1ª safra'!$E8:$Z8,MIN(AD$6-$G$3,22))&lt;&gt;""),'Feijão 1ª safra'!$E8:INDEX('Feijão 1ª safra'!$E8:$Z8,MIN(AD$6-$G$3,22))),0)))))</f>
        <v>0</v>
      </c>
      <c r="AE10" s="27" t="n">
        <f aca="false">IF(COUNT('Feijão 1ª safra'!$E8:$Z8)=0,0,MAX(0,IF((AE$6-$E$3)&lt;1,0,IFERROR(LOOKUP(2,1/('Feijão 1ª safra'!$E8:INDEX('Feijão 1ª safra'!$E8:$Z8,MIN(AE$6-$E$3,22))&lt;&gt;""),'Feijão 1ª safra'!$E8:INDEX('Feijão 1ª safra'!$E8:$Z8,MIN(AE$6-$E$3,22))),0))-IF($G$2,0,IF((AE$6-$G$3)&lt;1,0,IFERROR(LOOKUP(2,1/('Feijão 1ª safra'!$E8:INDEX('Feijão 1ª safra'!$E8:$Z8,MIN(AE$6-$G$3,22))&lt;&gt;""),'Feijão 1ª safra'!$E8:INDEX('Feijão 1ª safra'!$E8:$Z8,MIN(AE$6-$G$3,22))),0)))))</f>
        <v>0</v>
      </c>
      <c r="AF10" s="27" t="n">
        <f aca="false">IF(COUNT('Feijão 1ª safra'!$E8:$Z8)=0,0,MAX(0,IF((AF$6-$E$3)&lt;1,0,IFERROR(LOOKUP(2,1/('Feijão 1ª safra'!$E8:INDEX('Feijão 1ª safra'!$E8:$Z8,MIN(AF$6-$E$3,22))&lt;&gt;""),'Feijão 1ª safra'!$E8:INDEX('Feijão 1ª safra'!$E8:$Z8,MIN(AF$6-$E$3,22))),0))-IF($G$2,0,IF((AF$6-$G$3)&lt;1,0,IFERROR(LOOKUP(2,1/('Feijão 1ª safra'!$E8:INDEX('Feijão 1ª safra'!$E8:$Z8,MIN(AF$6-$G$3,22))&lt;&gt;""),'Feijão 1ª safra'!$E8:INDEX('Feijão 1ª safra'!$E8:$Z8,MIN(AF$6-$G$3,22))),0)))))</f>
        <v>0</v>
      </c>
      <c r="AG10" s="27" t="n">
        <f aca="false">IF(COUNT('Feijão 1ª safra'!$E8:$Z8)=0,0,MAX(0,IF((AG$6-$E$3)&lt;1,0,IFERROR(LOOKUP(2,1/('Feijão 1ª safra'!$E8:INDEX('Feijão 1ª safra'!$E8:$Z8,MIN(AG$6-$E$3,22))&lt;&gt;""),'Feijão 1ª safra'!$E8:INDEX('Feijão 1ª safra'!$E8:$Z8,MIN(AG$6-$E$3,22))),0))-IF($G$2,0,IF((AG$6-$G$3)&lt;1,0,IFERROR(LOOKUP(2,1/('Feijão 1ª safra'!$E8:INDEX('Feijão 1ª safra'!$E8:$Z8,MIN(AG$6-$G$3,22))&lt;&gt;""),'Feijão 1ª safra'!$E8:INDEX('Feijão 1ª safra'!$E8:$Z8,MIN(AG$6-$G$3,22))),0)))))</f>
        <v>0</v>
      </c>
      <c r="AH10" s="27" t="n">
        <f aca="false">IF(COUNT('Feijão 1ª safra'!$E8:$Z8)=0,0,MAX(0,IF((AH$6-$E$3)&lt;1,0,IFERROR(LOOKUP(2,1/('Feijão 1ª safra'!$E8:INDEX('Feijão 1ª safra'!$E8:$Z8,MIN(AH$6-$E$3,22))&lt;&gt;""),'Feijão 1ª safra'!$E8:INDEX('Feijão 1ª safra'!$E8:$Z8,MIN(AH$6-$E$3,22))),0))-IF($G$2,0,IF((AH$6-$G$3)&lt;1,0,IFERROR(LOOKUP(2,1/('Feijão 1ª safra'!$E8:INDEX('Feijão 1ª safra'!$E8:$Z8,MIN(AH$6-$G$3,22))&lt;&gt;""),'Feijão 1ª safra'!$E8:INDEX('Feijão 1ª safra'!$E8:$Z8,MIN(AH$6-$G$3,22))),0)))))</f>
        <v>0</v>
      </c>
      <c r="AI10" s="27" t="n">
        <f aca="false">IF(COUNT('Feijão 1ª safra'!$E8:$Z8)=0,0,MAX(0,IF((AI$6-$E$3)&lt;1,0,IFERROR(LOOKUP(2,1/('Feijão 1ª safra'!$E8:INDEX('Feijão 1ª safra'!$E8:$Z8,MIN(AI$6-$E$3,22))&lt;&gt;""),'Feijão 1ª safra'!$E8:INDEX('Feijão 1ª safra'!$E8:$Z8,MIN(AI$6-$E$3,22))),0))-IF($G$2,0,IF((AI$6-$G$3)&lt;1,0,IFERROR(LOOKUP(2,1/('Feijão 1ª safra'!$E8:INDEX('Feijão 1ª safra'!$E8:$Z8,MIN(AI$6-$G$3,22))&lt;&gt;""),'Feijão 1ª safra'!$E8:INDEX('Feijão 1ª safra'!$E8:$Z8,MIN(AI$6-$G$3,22))),0)))))</f>
        <v>0</v>
      </c>
      <c r="AJ10" s="27" t="n">
        <f aca="false">IF(COUNT('Feijão 1ª safra'!$E8:$Z8)=0,0,MAX(0,IF((AJ$6-$E$3)&lt;1,0,IFERROR(LOOKUP(2,1/('Feijão 1ª safra'!$E8:INDEX('Feijão 1ª safra'!$E8:$Z8,MIN(AJ$6-$E$3,22))&lt;&gt;""),'Feijão 1ª safra'!$E8:INDEX('Feijão 1ª safra'!$E8:$Z8,MIN(AJ$6-$E$3,22))),0))-IF($G$2,0,IF((AJ$6-$G$3)&lt;1,0,IFERROR(LOOKUP(2,1/('Feijão 1ª safra'!$E8:INDEX('Feijão 1ª safra'!$E8:$Z8,MIN(AJ$6-$G$3,22))&lt;&gt;""),'Feijão 1ª safra'!$E8:INDEX('Feijão 1ª safra'!$E8:$Z8,MIN(AJ$6-$G$3,22))),0)))))</f>
        <v>0</v>
      </c>
      <c r="AK10" s="27" t="n">
        <f aca="false">IF(COUNT('Feijão 1ª safra'!$E8:$Z8)=0,0,MAX(0,IF((AK$6-$E$3)&lt;1,0,IFERROR(LOOKUP(2,1/('Feijão 1ª safra'!$E8:INDEX('Feijão 1ª safra'!$E8:$Z8,MIN(AK$6-$E$3,22))&lt;&gt;""),'Feijão 1ª safra'!$E8:INDEX('Feijão 1ª safra'!$E8:$Z8,MIN(AK$6-$E$3,22))),0))-IF($G$2,0,IF((AK$6-$G$3)&lt;1,0,IFERROR(LOOKUP(2,1/('Feijão 1ª safra'!$E8:INDEX('Feijão 1ª safra'!$E8:$Z8,MIN(AK$6-$G$3,22))&lt;&gt;""),'Feijão 1ª safra'!$E8:INDEX('Feijão 1ª safra'!$E8:$Z8,MIN(AK$6-$G$3,22))),0)))))</f>
        <v>0</v>
      </c>
      <c r="AL10" s="27" t="n">
        <f aca="false">IF(COUNT('Feijão 1ª safra'!$E8:$Z8)=0,0,MAX(0,IF((AL$6-$E$3)&lt;1,0,IFERROR(LOOKUP(2,1/('Feijão 1ª safra'!$E8:INDEX('Feijão 1ª safra'!$E8:$Z8,MIN(AL$6-$E$3,22))&lt;&gt;""),'Feijão 1ª safra'!$E8:INDEX('Feijão 1ª safra'!$E8:$Z8,MIN(AL$6-$E$3,22))),0))-IF($G$2,0,IF((AL$6-$G$3)&lt;1,0,IFERROR(LOOKUP(2,1/('Feijão 1ª safra'!$E8:INDEX('Feijão 1ª safra'!$E8:$Z8,MIN(AL$6-$G$3,22))&lt;&gt;""),'Feijão 1ª safra'!$E8:INDEX('Feijão 1ª safra'!$E8:$Z8,MIN(AL$6-$G$3,22))),0)))))</f>
        <v>0</v>
      </c>
      <c r="AM10" s="27" t="n">
        <f aca="false">IF(COUNT('Feijão 1ª safra'!$E8:$Z8)=0,0,MAX(0,IF((AM$6-$E$3)&lt;1,0,IFERROR(LOOKUP(2,1/('Feijão 1ª safra'!$E8:INDEX('Feijão 1ª safra'!$E8:$Z8,MIN(AM$6-$E$3,22))&lt;&gt;""),'Feijão 1ª safra'!$E8:INDEX('Feijão 1ª safra'!$E8:$Z8,MIN(AM$6-$E$3,22))),0))-IF($G$2,0,IF((AM$6-$G$3)&lt;1,0,IFERROR(LOOKUP(2,1/('Feijão 1ª safra'!$E8:INDEX('Feijão 1ª safra'!$E8:$Z8,MIN(AM$6-$G$3,22))&lt;&gt;""),'Feijão 1ª safra'!$E8:INDEX('Feijão 1ª safra'!$E8:$Z8,MIN(AM$6-$G$3,22))),0)))))</f>
        <v>0</v>
      </c>
      <c r="AN10" s="27" t="n">
        <f aca="false">IF(COUNT('Feijão 1ª safra'!$E8:$Z8)=0,0,MAX(0,IF((AN$6-$E$3)&lt;1,0,IFERROR(LOOKUP(2,1/('Feijão 1ª safra'!$E8:INDEX('Feijão 1ª safra'!$E8:$Z8,MIN(AN$6-$E$3,22))&lt;&gt;""),'Feijão 1ª safra'!$E8:INDEX('Feijão 1ª safra'!$E8:$Z8,MIN(AN$6-$E$3,22))),0))-IF($G$2,0,IF((AN$6-$G$3)&lt;1,0,IFERROR(LOOKUP(2,1/('Feijão 1ª safra'!$E8:INDEX('Feijão 1ª safra'!$E8:$Z8,MIN(AN$6-$G$3,22))&lt;&gt;""),'Feijão 1ª safra'!$E8:INDEX('Feijão 1ª safra'!$E8:$Z8,MIN(AN$6-$G$3,22))),0)))))</f>
        <v>0</v>
      </c>
      <c r="AO10" s="27" t="n">
        <f aca="false">IF(COUNT('Feijão 1ª safra'!$E8:$Z8)=0,0,MAX(0,IF((AO$6-$E$3)&lt;1,0,IFERROR(LOOKUP(2,1/('Feijão 1ª safra'!$E8:INDEX('Feijão 1ª safra'!$E8:$Z8,MIN(AO$6-$E$3,22))&lt;&gt;""),'Feijão 1ª safra'!$E8:INDEX('Feijão 1ª safra'!$E8:$Z8,MIN(AO$6-$E$3,22))),0))-IF($G$2,0,IF((AO$6-$G$3)&lt;1,0,IFERROR(LOOKUP(2,1/('Feijão 1ª safra'!$E8:INDEX('Feijão 1ª safra'!$E8:$Z8,MIN(AO$6-$G$3,22))&lt;&gt;""),'Feijão 1ª safra'!$E8:INDEX('Feijão 1ª safra'!$E8:$Z8,MIN(AO$6-$G$3,22))),0)))))</f>
        <v>0</v>
      </c>
      <c r="AP10" s="27" t="n">
        <f aca="false">IF(COUNT('Feijão 1ª safra'!$E8:$Z8)=0,0,MAX(0,IF((AP$6-$E$3)&lt;1,0,IFERROR(LOOKUP(2,1/('Feijão 1ª safra'!$E8:INDEX('Feijão 1ª safra'!$E8:$Z8,MIN(AP$6-$E$3,22))&lt;&gt;""),'Feijão 1ª safra'!$E8:INDEX('Feijão 1ª safra'!$E8:$Z8,MIN(AP$6-$E$3,22))),0))-IF($G$2,0,IF((AP$6-$G$3)&lt;1,0,IFERROR(LOOKUP(2,1/('Feijão 1ª safra'!$E8:INDEX('Feijão 1ª safra'!$E8:$Z8,MIN(AP$6-$G$3,22))&lt;&gt;""),'Feijão 1ª safra'!$E8:INDEX('Feijão 1ª safra'!$E8:$Z8,MIN(AP$6-$G$3,22))),0)))))</f>
        <v>0</v>
      </c>
      <c r="AQ10" s="27" t="n">
        <f aca="false">IF(COUNT('Feijão 1ª safra'!$E8:$Z8)=0,0,MAX(0,IF((AQ$6-$E$3)&lt;1,0,IFERROR(LOOKUP(2,1/('Feijão 1ª safra'!$E8:INDEX('Feijão 1ª safra'!$E8:$Z8,MIN(AQ$6-$E$3,22))&lt;&gt;""),'Feijão 1ª safra'!$E8:INDEX('Feijão 1ª safra'!$E8:$Z8,MIN(AQ$6-$E$3,22))),0))-IF($G$2,0,IF((AQ$6-$G$3)&lt;1,0,IFERROR(LOOKUP(2,1/('Feijão 1ª safra'!$E8:INDEX('Feijão 1ª safra'!$E8:$Z8,MIN(AQ$6-$G$3,22))&lt;&gt;""),'Feijão 1ª safra'!$E8:INDEX('Feijão 1ª safra'!$E8:$Z8,MIN(AQ$6-$G$3,22))),0)))))</f>
        <v>0</v>
      </c>
      <c r="AR10" s="27" t="n">
        <f aca="false">IF(COUNT('Feijão 1ª safra'!$E8:$Z8)=0,0,MAX(0,IF((AR$6-$E$3)&lt;1,0,IFERROR(LOOKUP(2,1/('Feijão 1ª safra'!$E8:INDEX('Feijão 1ª safra'!$E8:$Z8,MIN(AR$6-$E$3,22))&lt;&gt;""),'Feijão 1ª safra'!$E8:INDEX('Feijão 1ª safra'!$E8:$Z8,MIN(AR$6-$E$3,22))),0))-IF($G$2,0,IF((AR$6-$G$3)&lt;1,0,IFERROR(LOOKUP(2,1/('Feijão 1ª safra'!$E8:INDEX('Feijão 1ª safra'!$E8:$Z8,MIN(AR$6-$G$3,22))&lt;&gt;""),'Feijão 1ª safra'!$E8:INDEX('Feijão 1ª safra'!$E8:$Z8,MIN(AR$6-$G$3,22))),0)))))</f>
        <v>0</v>
      </c>
      <c r="AS10" s="27" t="n">
        <f aca="false">IF(COUNT('Feijão 1ª safra'!$E8:$Z8)=0,0,MAX(0,IF((AS$6-$E$3)&lt;1,0,IFERROR(LOOKUP(2,1/('Feijão 1ª safra'!$E8:INDEX('Feijão 1ª safra'!$E8:$Z8,MIN(AS$6-$E$3,22))&lt;&gt;""),'Feijão 1ª safra'!$E8:INDEX('Feijão 1ª safra'!$E8:$Z8,MIN(AS$6-$E$3,22))),0))-IF($G$2,0,IF((AS$6-$G$3)&lt;1,0,IFERROR(LOOKUP(2,1/('Feijão 1ª safra'!$E8:INDEX('Feijão 1ª safra'!$E8:$Z8,MIN(AS$6-$G$3,22))&lt;&gt;""),'Feijão 1ª safra'!$E8:INDEX('Feijão 1ª safra'!$E8:$Z8,MIN(AS$6-$G$3,22))),0)))))</f>
        <v>0</v>
      </c>
      <c r="AT10" s="27" t="n">
        <f aca="false">IF(COUNT('Feijão 1ª safra'!$E8:$Z8)=0,0,MAX(0,IF((AT$6-$E$3)&lt;1,0,IFERROR(LOOKUP(2,1/('Feijão 1ª safra'!$E8:INDEX('Feijão 1ª safra'!$E8:$Z8,MIN(AT$6-$E$3,22))&lt;&gt;""),'Feijão 1ª safra'!$E8:INDEX('Feijão 1ª safra'!$E8:$Z8,MIN(AT$6-$E$3,22))),0))-IF($G$2,0,IF((AT$6-$G$3)&lt;1,0,IFERROR(LOOKUP(2,1/('Feijão 1ª safra'!$E8:INDEX('Feijão 1ª safra'!$E8:$Z8,MIN(AT$6-$G$3,22))&lt;&gt;""),'Feijão 1ª safra'!$E8:INDEX('Feijão 1ª safra'!$E8:$Z8,MIN(AT$6-$G$3,22))),0)))))</f>
        <v>0</v>
      </c>
      <c r="AU10" s="27" t="n">
        <f aca="false">IF(COUNT('Feijão 1ª safra'!$E8:$Z8)=0,0,MAX(0,IF((AU$6-$E$3)&lt;1,0,IFERROR(LOOKUP(2,1/('Feijão 1ª safra'!$E8:INDEX('Feijão 1ª safra'!$E8:$Z8,MIN(AU$6-$E$3,22))&lt;&gt;""),'Feijão 1ª safra'!$E8:INDEX('Feijão 1ª safra'!$E8:$Z8,MIN(AU$6-$E$3,22))),0))-IF($G$2,0,IF((AU$6-$G$3)&lt;1,0,IFERROR(LOOKUP(2,1/('Feijão 1ª safra'!$E8:INDEX('Feijão 1ª safra'!$E8:$Z8,MIN(AU$6-$G$3,22))&lt;&gt;""),'Feijão 1ª safra'!$E8:INDEX('Feijão 1ª safra'!$E8:$Z8,MIN(AU$6-$G$3,22))),0)))))</f>
        <v>0</v>
      </c>
      <c r="AV10" s="27" t="n">
        <f aca="false">IF(COUNT('Feijão 1ª safra'!$E8:$Z8)=0,0,MAX(0,IF((AV$6-$E$3)&lt;1,0,IFERROR(LOOKUP(2,1/('Feijão 1ª safra'!$E8:INDEX('Feijão 1ª safra'!$E8:$Z8,MIN(AV$6-$E$3,22))&lt;&gt;""),'Feijão 1ª safra'!$E8:INDEX('Feijão 1ª safra'!$E8:$Z8,MIN(AV$6-$E$3,22))),0))-IF($G$2,0,IF((AV$6-$G$3)&lt;1,0,IFERROR(LOOKUP(2,1/('Feijão 1ª safra'!$E8:INDEX('Feijão 1ª safra'!$E8:$Z8,MIN(AV$6-$G$3,22))&lt;&gt;""),'Feijão 1ª safra'!$E8:INDEX('Feijão 1ª safra'!$E8:$Z8,MIN(AV$6-$G$3,22))),0)))))</f>
        <v>0</v>
      </c>
      <c r="AW10" s="27" t="n">
        <f aca="false">IF(COUNT('Feijão 1ª safra'!$E8:$Z8)=0,0,MAX(0,IF((AW$6-$E$3)&lt;1,0,IFERROR(LOOKUP(2,1/('Feijão 1ª safra'!$E8:INDEX('Feijão 1ª safra'!$E8:$Z8,MIN(AW$6-$E$3,22))&lt;&gt;""),'Feijão 1ª safra'!$E8:INDEX('Feijão 1ª safra'!$E8:$Z8,MIN(AW$6-$E$3,22))),0))-IF($G$2,0,IF((AW$6-$G$3)&lt;1,0,IFERROR(LOOKUP(2,1/('Feijão 1ª safra'!$E8:INDEX('Feijão 1ª safra'!$E8:$Z8,MIN(AW$6-$G$3,22))&lt;&gt;""),'Feijão 1ª safra'!$E8:INDEX('Feijão 1ª safra'!$E8:$Z8,MIN(AW$6-$G$3,22))),0)))))</f>
        <v>0</v>
      </c>
      <c r="AX10" s="27" t="n">
        <f aca="false">IF(COUNT('Feijão 1ª safra'!$E8:$Z8)=0,0,MAX(0,IF((AX$6-$E$3)&lt;1,0,IFERROR(LOOKUP(2,1/('Feijão 1ª safra'!$E8:INDEX('Feijão 1ª safra'!$E8:$Z8,MIN(AX$6-$E$3,22))&lt;&gt;""),'Feijão 1ª safra'!$E8:INDEX('Feijão 1ª safra'!$E8:$Z8,MIN(AX$6-$E$3,22))),0))-IF($G$2,0,IF((AX$6-$G$3)&lt;1,0,IFERROR(LOOKUP(2,1/('Feijão 1ª safra'!$E8:INDEX('Feijão 1ª safra'!$E8:$Z8,MIN(AX$6-$G$3,22))&lt;&gt;""),'Feijão 1ª safra'!$E8:INDEX('Feijão 1ª safra'!$E8:$Z8,MIN(AX$6-$G$3,22))),0)))))</f>
        <v>0</v>
      </c>
      <c r="AY10" s="27" t="n">
        <f aca="false">IF(COUNT('Feijão 1ª safra'!$E8:$Z8)=0,0,MAX(0,IF((AY$6-$E$3)&lt;1,0,IFERROR(LOOKUP(2,1/('Feijão 1ª safra'!$E8:INDEX('Feijão 1ª safra'!$E8:$Z8,MIN(AY$6-$E$3,22))&lt;&gt;""),'Feijão 1ª safra'!$E8:INDEX('Feijão 1ª safra'!$E8:$Z8,MIN(AY$6-$E$3,22))),0))-IF($G$2,0,IF((AY$6-$G$3)&lt;1,0,IFERROR(LOOKUP(2,1/('Feijão 1ª safra'!$E8:INDEX('Feijão 1ª safra'!$E8:$Z8,MIN(AY$6-$G$3,22))&lt;&gt;""),'Feijão 1ª safra'!$E8:INDEX('Feijão 1ª safra'!$E8:$Z8,MIN(AY$6-$G$3,22))),0)))))</f>
        <v>0</v>
      </c>
      <c r="AZ10" s="27" t="n">
        <f aca="false">IF(COUNT('Feijão 1ª safra'!$E8:$Z8)=0,0,MAX(0,IF((AZ$6-$E$3)&lt;1,0,IFERROR(LOOKUP(2,1/('Feijão 1ª safra'!$E8:INDEX('Feijão 1ª safra'!$E8:$Z8,MIN(AZ$6-$E$3,22))&lt;&gt;""),'Feijão 1ª safra'!$E8:INDEX('Feijão 1ª safra'!$E8:$Z8,MIN(AZ$6-$E$3,22))),0))-IF($G$2,0,IF((AZ$6-$G$3)&lt;1,0,IFERROR(LOOKUP(2,1/('Feijão 1ª safra'!$E8:INDEX('Feijão 1ª safra'!$E8:$Z8,MIN(AZ$6-$G$3,22))&lt;&gt;""),'Feijão 1ª safra'!$E8:INDEX('Feijão 1ª safra'!$E8:$Z8,MIN(AZ$6-$G$3,22))),0)))))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IF(COUNT('Feijão 1ª safra'!$E9:$Z9)&gt;0,N('Feijão 1ª safra'!$D9),0)</f>
        <v>0</v>
      </c>
      <c r="E11" s="27" t="n">
        <f aca="false">IF(COUNT('Feijão 1ª safra'!$E9:$Z9)=0,0,MAX(0,IF((E$6-$E$3)&lt;1,0,IFERROR(LOOKUP(2,1/('Feijão 1ª safra'!$E9:INDEX('Feijão 1ª safra'!$E9:$Z9,MIN(E$6-$E$3,22))&lt;&gt;""),'Feijão 1ª safra'!$E9:INDEX('Feijão 1ª safra'!$E9:$Z9,MIN(E$6-$E$3,22))),0))-IF($G$2,0,IF((E$6-$G$3)&lt;1,0,IFERROR(LOOKUP(2,1/('Feijão 1ª safra'!$E9:INDEX('Feijão 1ª safra'!$E9:$Z9,MIN(E$6-$G$3,22))&lt;&gt;""),'Feijão 1ª safra'!$E9:INDEX('Feijão 1ª safra'!$E9:$Z9,MIN(E$6-$G$3,22))),0)))))</f>
        <v>0</v>
      </c>
      <c r="F11" s="27" t="n">
        <f aca="false">IF(COUNT('Feijão 1ª safra'!$E9:$Z9)=0,0,MAX(0,IF((F$6-$E$3)&lt;1,0,IFERROR(LOOKUP(2,1/('Feijão 1ª safra'!$E9:INDEX('Feijão 1ª safra'!$E9:$Z9,MIN(F$6-$E$3,22))&lt;&gt;""),'Feijão 1ª safra'!$E9:INDEX('Feijão 1ª safra'!$E9:$Z9,MIN(F$6-$E$3,22))),0))-IF($G$2,0,IF((F$6-$G$3)&lt;1,0,IFERROR(LOOKUP(2,1/('Feijão 1ª safra'!$E9:INDEX('Feijão 1ª safra'!$E9:$Z9,MIN(F$6-$G$3,22))&lt;&gt;""),'Feijão 1ª safra'!$E9:INDEX('Feijão 1ª safra'!$E9:$Z9,MIN(F$6-$G$3,22))),0)))))</f>
        <v>0</v>
      </c>
      <c r="G11" s="27" t="n">
        <f aca="false">IF(COUNT('Feijão 1ª safra'!$E9:$Z9)=0,0,MAX(0,IF((G$6-$E$3)&lt;1,0,IFERROR(LOOKUP(2,1/('Feijão 1ª safra'!$E9:INDEX('Feijão 1ª safra'!$E9:$Z9,MIN(G$6-$E$3,22))&lt;&gt;""),'Feijão 1ª safra'!$E9:INDEX('Feijão 1ª safra'!$E9:$Z9,MIN(G$6-$E$3,22))),0))-IF($G$2,0,IF((G$6-$G$3)&lt;1,0,IFERROR(LOOKUP(2,1/('Feijão 1ª safra'!$E9:INDEX('Feijão 1ª safra'!$E9:$Z9,MIN(G$6-$G$3,22))&lt;&gt;""),'Feijão 1ª safra'!$E9:INDEX('Feijão 1ª safra'!$E9:$Z9,MIN(G$6-$G$3,22))),0)))))</f>
        <v>0</v>
      </c>
      <c r="H11" s="27" t="n">
        <f aca="false">IF(COUNT('Feijão 1ª safra'!$E9:$Z9)=0,0,MAX(0,IF((H$6-$E$3)&lt;1,0,IFERROR(LOOKUP(2,1/('Feijão 1ª safra'!$E9:INDEX('Feijão 1ª safra'!$E9:$Z9,MIN(H$6-$E$3,22))&lt;&gt;""),'Feijão 1ª safra'!$E9:INDEX('Feijão 1ª safra'!$E9:$Z9,MIN(H$6-$E$3,22))),0))-IF($G$2,0,IF((H$6-$G$3)&lt;1,0,IFERROR(LOOKUP(2,1/('Feijão 1ª safra'!$E9:INDEX('Feijão 1ª safra'!$E9:$Z9,MIN(H$6-$G$3,22))&lt;&gt;""),'Feijão 1ª safra'!$E9:INDEX('Feijão 1ª safra'!$E9:$Z9,MIN(H$6-$G$3,22))),0)))))</f>
        <v>0</v>
      </c>
      <c r="I11" s="27" t="n">
        <f aca="false">IF(COUNT('Feijão 1ª safra'!$E9:$Z9)=0,0,MAX(0,IF((I$6-$E$3)&lt;1,0,IFERROR(LOOKUP(2,1/('Feijão 1ª safra'!$E9:INDEX('Feijão 1ª safra'!$E9:$Z9,MIN(I$6-$E$3,22))&lt;&gt;""),'Feijão 1ª safra'!$E9:INDEX('Feijão 1ª safra'!$E9:$Z9,MIN(I$6-$E$3,22))),0))-IF($G$2,0,IF((I$6-$G$3)&lt;1,0,IFERROR(LOOKUP(2,1/('Feijão 1ª safra'!$E9:INDEX('Feijão 1ª safra'!$E9:$Z9,MIN(I$6-$G$3,22))&lt;&gt;""),'Feijão 1ª safra'!$E9:INDEX('Feijão 1ª safra'!$E9:$Z9,MIN(I$6-$G$3,22))),0)))))</f>
        <v>0</v>
      </c>
      <c r="J11" s="27" t="n">
        <f aca="false">IF(COUNT('Feijão 1ª safra'!$E9:$Z9)=0,0,MAX(0,IF((J$6-$E$3)&lt;1,0,IFERROR(LOOKUP(2,1/('Feijão 1ª safra'!$E9:INDEX('Feijão 1ª safra'!$E9:$Z9,MIN(J$6-$E$3,22))&lt;&gt;""),'Feijão 1ª safra'!$E9:INDEX('Feijão 1ª safra'!$E9:$Z9,MIN(J$6-$E$3,22))),0))-IF($G$2,0,IF((J$6-$G$3)&lt;1,0,IFERROR(LOOKUP(2,1/('Feijão 1ª safra'!$E9:INDEX('Feijão 1ª safra'!$E9:$Z9,MIN(J$6-$G$3,22))&lt;&gt;""),'Feijão 1ª safra'!$E9:INDEX('Feijão 1ª safra'!$E9:$Z9,MIN(J$6-$G$3,22))),0)))))</f>
        <v>0</v>
      </c>
      <c r="K11" s="27" t="n">
        <f aca="false">IF(COUNT('Feijão 1ª safra'!$E9:$Z9)=0,0,MAX(0,IF((K$6-$E$3)&lt;1,0,IFERROR(LOOKUP(2,1/('Feijão 1ª safra'!$E9:INDEX('Feijão 1ª safra'!$E9:$Z9,MIN(K$6-$E$3,22))&lt;&gt;""),'Feijão 1ª safra'!$E9:INDEX('Feijão 1ª safra'!$E9:$Z9,MIN(K$6-$E$3,22))),0))-IF($G$2,0,IF((K$6-$G$3)&lt;1,0,IFERROR(LOOKUP(2,1/('Feijão 1ª safra'!$E9:INDEX('Feijão 1ª safra'!$E9:$Z9,MIN(K$6-$G$3,22))&lt;&gt;""),'Feijão 1ª safra'!$E9:INDEX('Feijão 1ª safra'!$E9:$Z9,MIN(K$6-$G$3,22))),0)))))</f>
        <v>0</v>
      </c>
      <c r="L11" s="27" t="n">
        <f aca="false">IF(COUNT('Feijão 1ª safra'!$E9:$Z9)=0,0,MAX(0,IF((L$6-$E$3)&lt;1,0,IFERROR(LOOKUP(2,1/('Feijão 1ª safra'!$E9:INDEX('Feijão 1ª safra'!$E9:$Z9,MIN(L$6-$E$3,22))&lt;&gt;""),'Feijão 1ª safra'!$E9:INDEX('Feijão 1ª safra'!$E9:$Z9,MIN(L$6-$E$3,22))),0))-IF($G$2,0,IF((L$6-$G$3)&lt;1,0,IFERROR(LOOKUP(2,1/('Feijão 1ª safra'!$E9:INDEX('Feijão 1ª safra'!$E9:$Z9,MIN(L$6-$G$3,22))&lt;&gt;""),'Feijão 1ª safra'!$E9:INDEX('Feijão 1ª safra'!$E9:$Z9,MIN(L$6-$G$3,22))),0)))))</f>
        <v>0</v>
      </c>
      <c r="M11" s="27" t="n">
        <f aca="false">IF(COUNT('Feijão 1ª safra'!$E9:$Z9)=0,0,MAX(0,IF((M$6-$E$3)&lt;1,0,IFERROR(LOOKUP(2,1/('Feijão 1ª safra'!$E9:INDEX('Feijão 1ª safra'!$E9:$Z9,MIN(M$6-$E$3,22))&lt;&gt;""),'Feijão 1ª safra'!$E9:INDEX('Feijão 1ª safra'!$E9:$Z9,MIN(M$6-$E$3,22))),0))-IF($G$2,0,IF((M$6-$G$3)&lt;1,0,IFERROR(LOOKUP(2,1/('Feijão 1ª safra'!$E9:INDEX('Feijão 1ª safra'!$E9:$Z9,MIN(M$6-$G$3,22))&lt;&gt;""),'Feijão 1ª safra'!$E9:INDEX('Feijão 1ª safra'!$E9:$Z9,MIN(M$6-$G$3,22))),0)))))</f>
        <v>0</v>
      </c>
      <c r="N11" s="27" t="n">
        <f aca="false">IF(COUNT('Feijão 1ª safra'!$E9:$Z9)=0,0,MAX(0,IF((N$6-$E$3)&lt;1,0,IFERROR(LOOKUP(2,1/('Feijão 1ª safra'!$E9:INDEX('Feijão 1ª safra'!$E9:$Z9,MIN(N$6-$E$3,22))&lt;&gt;""),'Feijão 1ª safra'!$E9:INDEX('Feijão 1ª safra'!$E9:$Z9,MIN(N$6-$E$3,22))),0))-IF($G$2,0,IF((N$6-$G$3)&lt;1,0,IFERROR(LOOKUP(2,1/('Feijão 1ª safra'!$E9:INDEX('Feijão 1ª safra'!$E9:$Z9,MIN(N$6-$G$3,22))&lt;&gt;""),'Feijão 1ª safra'!$E9:INDEX('Feijão 1ª safra'!$E9:$Z9,MIN(N$6-$G$3,22))),0)))))</f>
        <v>0</v>
      </c>
      <c r="O11" s="27" t="n">
        <f aca="false">IF(COUNT('Feijão 1ª safra'!$E9:$Z9)=0,0,MAX(0,IF((O$6-$E$3)&lt;1,0,IFERROR(LOOKUP(2,1/('Feijão 1ª safra'!$E9:INDEX('Feijão 1ª safra'!$E9:$Z9,MIN(O$6-$E$3,22))&lt;&gt;""),'Feijão 1ª safra'!$E9:INDEX('Feijão 1ª safra'!$E9:$Z9,MIN(O$6-$E$3,22))),0))-IF($G$2,0,IF((O$6-$G$3)&lt;1,0,IFERROR(LOOKUP(2,1/('Feijão 1ª safra'!$E9:INDEX('Feijão 1ª safra'!$E9:$Z9,MIN(O$6-$G$3,22))&lt;&gt;""),'Feijão 1ª safra'!$E9:INDEX('Feijão 1ª safra'!$E9:$Z9,MIN(O$6-$G$3,22))),0)))))</f>
        <v>0</v>
      </c>
      <c r="P11" s="27" t="n">
        <f aca="false">IF(COUNT('Feijão 1ª safra'!$E9:$Z9)=0,0,MAX(0,IF((P$6-$E$3)&lt;1,0,IFERROR(LOOKUP(2,1/('Feijão 1ª safra'!$E9:INDEX('Feijão 1ª safra'!$E9:$Z9,MIN(P$6-$E$3,22))&lt;&gt;""),'Feijão 1ª safra'!$E9:INDEX('Feijão 1ª safra'!$E9:$Z9,MIN(P$6-$E$3,22))),0))-IF($G$2,0,IF((P$6-$G$3)&lt;1,0,IFERROR(LOOKUP(2,1/('Feijão 1ª safra'!$E9:INDEX('Feijão 1ª safra'!$E9:$Z9,MIN(P$6-$G$3,22))&lt;&gt;""),'Feijão 1ª safra'!$E9:INDEX('Feijão 1ª safra'!$E9:$Z9,MIN(P$6-$G$3,22))),0)))))</f>
        <v>0</v>
      </c>
      <c r="Q11" s="27" t="n">
        <f aca="false">IF(COUNT('Feijão 1ª safra'!$E9:$Z9)=0,0,MAX(0,IF((Q$6-$E$3)&lt;1,0,IFERROR(LOOKUP(2,1/('Feijão 1ª safra'!$E9:INDEX('Feijão 1ª safra'!$E9:$Z9,MIN(Q$6-$E$3,22))&lt;&gt;""),'Feijão 1ª safra'!$E9:INDEX('Feijão 1ª safra'!$E9:$Z9,MIN(Q$6-$E$3,22))),0))-IF($G$2,0,IF((Q$6-$G$3)&lt;1,0,IFERROR(LOOKUP(2,1/('Feijão 1ª safra'!$E9:INDEX('Feijão 1ª safra'!$E9:$Z9,MIN(Q$6-$G$3,22))&lt;&gt;""),'Feijão 1ª safra'!$E9:INDEX('Feijão 1ª safra'!$E9:$Z9,MIN(Q$6-$G$3,22))),0)))))</f>
        <v>0</v>
      </c>
      <c r="R11" s="27" t="n">
        <f aca="false">IF(COUNT('Feijão 1ª safra'!$E9:$Z9)=0,0,MAX(0,IF((R$6-$E$3)&lt;1,0,IFERROR(LOOKUP(2,1/('Feijão 1ª safra'!$E9:INDEX('Feijão 1ª safra'!$E9:$Z9,MIN(R$6-$E$3,22))&lt;&gt;""),'Feijão 1ª safra'!$E9:INDEX('Feijão 1ª safra'!$E9:$Z9,MIN(R$6-$E$3,22))),0))-IF($G$2,0,IF((R$6-$G$3)&lt;1,0,IFERROR(LOOKUP(2,1/('Feijão 1ª safra'!$E9:INDEX('Feijão 1ª safra'!$E9:$Z9,MIN(R$6-$G$3,22))&lt;&gt;""),'Feijão 1ª safra'!$E9:INDEX('Feijão 1ª safra'!$E9:$Z9,MIN(R$6-$G$3,22))),0)))))</f>
        <v>0</v>
      </c>
      <c r="S11" s="27" t="n">
        <f aca="false">IF(COUNT('Feijão 1ª safra'!$E9:$Z9)=0,0,MAX(0,IF((S$6-$E$3)&lt;1,0,IFERROR(LOOKUP(2,1/('Feijão 1ª safra'!$E9:INDEX('Feijão 1ª safra'!$E9:$Z9,MIN(S$6-$E$3,22))&lt;&gt;""),'Feijão 1ª safra'!$E9:INDEX('Feijão 1ª safra'!$E9:$Z9,MIN(S$6-$E$3,22))),0))-IF($G$2,0,IF((S$6-$G$3)&lt;1,0,IFERROR(LOOKUP(2,1/('Feijão 1ª safra'!$E9:INDEX('Feijão 1ª safra'!$E9:$Z9,MIN(S$6-$G$3,22))&lt;&gt;""),'Feijão 1ª safra'!$E9:INDEX('Feijão 1ª safra'!$E9:$Z9,MIN(S$6-$G$3,22))),0)))))</f>
        <v>0</v>
      </c>
      <c r="T11" s="27" t="n">
        <f aca="false">IF(COUNT('Feijão 1ª safra'!$E9:$Z9)=0,0,MAX(0,IF((T$6-$E$3)&lt;1,0,IFERROR(LOOKUP(2,1/('Feijão 1ª safra'!$E9:INDEX('Feijão 1ª safra'!$E9:$Z9,MIN(T$6-$E$3,22))&lt;&gt;""),'Feijão 1ª safra'!$E9:INDEX('Feijão 1ª safra'!$E9:$Z9,MIN(T$6-$E$3,22))),0))-IF($G$2,0,IF((T$6-$G$3)&lt;1,0,IFERROR(LOOKUP(2,1/('Feijão 1ª safra'!$E9:INDEX('Feijão 1ª safra'!$E9:$Z9,MIN(T$6-$G$3,22))&lt;&gt;""),'Feijão 1ª safra'!$E9:INDEX('Feijão 1ª safra'!$E9:$Z9,MIN(T$6-$G$3,22))),0)))))</f>
        <v>0</v>
      </c>
      <c r="U11" s="27" t="n">
        <f aca="false">IF(COUNT('Feijão 1ª safra'!$E9:$Z9)=0,0,MAX(0,IF((U$6-$E$3)&lt;1,0,IFERROR(LOOKUP(2,1/('Feijão 1ª safra'!$E9:INDEX('Feijão 1ª safra'!$E9:$Z9,MIN(U$6-$E$3,22))&lt;&gt;""),'Feijão 1ª safra'!$E9:INDEX('Feijão 1ª safra'!$E9:$Z9,MIN(U$6-$E$3,22))),0))-IF($G$2,0,IF((U$6-$G$3)&lt;1,0,IFERROR(LOOKUP(2,1/('Feijão 1ª safra'!$E9:INDEX('Feijão 1ª safra'!$E9:$Z9,MIN(U$6-$G$3,22))&lt;&gt;""),'Feijão 1ª safra'!$E9:INDEX('Feijão 1ª safra'!$E9:$Z9,MIN(U$6-$G$3,22))),0)))))</f>
        <v>0</v>
      </c>
      <c r="V11" s="27" t="n">
        <f aca="false">IF(COUNT('Feijão 1ª safra'!$E9:$Z9)=0,0,MAX(0,IF((V$6-$E$3)&lt;1,0,IFERROR(LOOKUP(2,1/('Feijão 1ª safra'!$E9:INDEX('Feijão 1ª safra'!$E9:$Z9,MIN(V$6-$E$3,22))&lt;&gt;""),'Feijão 1ª safra'!$E9:INDEX('Feijão 1ª safra'!$E9:$Z9,MIN(V$6-$E$3,22))),0))-IF($G$2,0,IF((V$6-$G$3)&lt;1,0,IFERROR(LOOKUP(2,1/('Feijão 1ª safra'!$E9:INDEX('Feijão 1ª safra'!$E9:$Z9,MIN(V$6-$G$3,22))&lt;&gt;""),'Feijão 1ª safra'!$E9:INDEX('Feijão 1ª safra'!$E9:$Z9,MIN(V$6-$G$3,22))),0)))))</f>
        <v>0</v>
      </c>
      <c r="W11" s="27" t="n">
        <f aca="false">IF(COUNT('Feijão 1ª safra'!$E9:$Z9)=0,0,MAX(0,IF((W$6-$E$3)&lt;1,0,IFERROR(LOOKUP(2,1/('Feijão 1ª safra'!$E9:INDEX('Feijão 1ª safra'!$E9:$Z9,MIN(W$6-$E$3,22))&lt;&gt;""),'Feijão 1ª safra'!$E9:INDEX('Feijão 1ª safra'!$E9:$Z9,MIN(W$6-$E$3,22))),0))-IF($G$2,0,IF((W$6-$G$3)&lt;1,0,IFERROR(LOOKUP(2,1/('Feijão 1ª safra'!$E9:INDEX('Feijão 1ª safra'!$E9:$Z9,MIN(W$6-$G$3,22))&lt;&gt;""),'Feijão 1ª safra'!$E9:INDEX('Feijão 1ª safra'!$E9:$Z9,MIN(W$6-$G$3,22))),0)))))</f>
        <v>0</v>
      </c>
      <c r="X11" s="27" t="n">
        <f aca="false">IF(COUNT('Feijão 1ª safra'!$E9:$Z9)=0,0,MAX(0,IF((X$6-$E$3)&lt;1,0,IFERROR(LOOKUP(2,1/('Feijão 1ª safra'!$E9:INDEX('Feijão 1ª safra'!$E9:$Z9,MIN(X$6-$E$3,22))&lt;&gt;""),'Feijão 1ª safra'!$E9:INDEX('Feijão 1ª safra'!$E9:$Z9,MIN(X$6-$E$3,22))),0))-IF($G$2,0,IF((X$6-$G$3)&lt;1,0,IFERROR(LOOKUP(2,1/('Feijão 1ª safra'!$E9:INDEX('Feijão 1ª safra'!$E9:$Z9,MIN(X$6-$G$3,22))&lt;&gt;""),'Feijão 1ª safra'!$E9:INDEX('Feijão 1ª safra'!$E9:$Z9,MIN(X$6-$G$3,22))),0)))))</f>
        <v>0</v>
      </c>
      <c r="Y11" s="27" t="n">
        <f aca="false">IF(COUNT('Feijão 1ª safra'!$E9:$Z9)=0,0,MAX(0,IF((Y$6-$E$3)&lt;1,0,IFERROR(LOOKUP(2,1/('Feijão 1ª safra'!$E9:INDEX('Feijão 1ª safra'!$E9:$Z9,MIN(Y$6-$E$3,22))&lt;&gt;""),'Feijão 1ª safra'!$E9:INDEX('Feijão 1ª safra'!$E9:$Z9,MIN(Y$6-$E$3,22))),0))-IF($G$2,0,IF((Y$6-$G$3)&lt;1,0,IFERROR(LOOKUP(2,1/('Feijão 1ª safra'!$E9:INDEX('Feijão 1ª safra'!$E9:$Z9,MIN(Y$6-$G$3,22))&lt;&gt;""),'Feijão 1ª safra'!$E9:INDEX('Feijão 1ª safra'!$E9:$Z9,MIN(Y$6-$G$3,22))),0)))))</f>
        <v>0</v>
      </c>
      <c r="Z11" s="27" t="n">
        <f aca="false">IF(COUNT('Feijão 1ª safra'!$E9:$Z9)=0,0,MAX(0,IF((Z$6-$E$3)&lt;1,0,IFERROR(LOOKUP(2,1/('Feijão 1ª safra'!$E9:INDEX('Feijão 1ª safra'!$E9:$Z9,MIN(Z$6-$E$3,22))&lt;&gt;""),'Feijão 1ª safra'!$E9:INDEX('Feijão 1ª safra'!$E9:$Z9,MIN(Z$6-$E$3,22))),0))-IF($G$2,0,IF((Z$6-$G$3)&lt;1,0,IFERROR(LOOKUP(2,1/('Feijão 1ª safra'!$E9:INDEX('Feijão 1ª safra'!$E9:$Z9,MIN(Z$6-$G$3,22))&lt;&gt;""),'Feijão 1ª safra'!$E9:INDEX('Feijão 1ª safra'!$E9:$Z9,MIN(Z$6-$G$3,22))),0)))))</f>
        <v>0</v>
      </c>
      <c r="AA11" s="27" t="n">
        <f aca="false">IF(COUNT('Feijão 1ª safra'!$E9:$Z9)=0,0,MAX(0,IF((AA$6-$E$3)&lt;1,0,IFERROR(LOOKUP(2,1/('Feijão 1ª safra'!$E9:INDEX('Feijão 1ª safra'!$E9:$Z9,MIN(AA$6-$E$3,22))&lt;&gt;""),'Feijão 1ª safra'!$E9:INDEX('Feijão 1ª safra'!$E9:$Z9,MIN(AA$6-$E$3,22))),0))-IF($G$2,0,IF((AA$6-$G$3)&lt;1,0,IFERROR(LOOKUP(2,1/('Feijão 1ª safra'!$E9:INDEX('Feijão 1ª safra'!$E9:$Z9,MIN(AA$6-$G$3,22))&lt;&gt;""),'Feijão 1ª safra'!$E9:INDEX('Feijão 1ª safra'!$E9:$Z9,MIN(AA$6-$G$3,22))),0)))))</f>
        <v>0</v>
      </c>
      <c r="AB11" s="27" t="n">
        <f aca="false">IF(COUNT('Feijão 1ª safra'!$E9:$Z9)=0,0,MAX(0,IF((AB$6-$E$3)&lt;1,0,IFERROR(LOOKUP(2,1/('Feijão 1ª safra'!$E9:INDEX('Feijão 1ª safra'!$E9:$Z9,MIN(AB$6-$E$3,22))&lt;&gt;""),'Feijão 1ª safra'!$E9:INDEX('Feijão 1ª safra'!$E9:$Z9,MIN(AB$6-$E$3,22))),0))-IF($G$2,0,IF((AB$6-$G$3)&lt;1,0,IFERROR(LOOKUP(2,1/('Feijão 1ª safra'!$E9:INDEX('Feijão 1ª safra'!$E9:$Z9,MIN(AB$6-$G$3,22))&lt;&gt;""),'Feijão 1ª safra'!$E9:INDEX('Feijão 1ª safra'!$E9:$Z9,MIN(AB$6-$G$3,22))),0)))))</f>
        <v>0</v>
      </c>
      <c r="AC11" s="27" t="n">
        <f aca="false">IF(COUNT('Feijão 1ª safra'!$E9:$Z9)=0,0,MAX(0,IF((AC$6-$E$3)&lt;1,0,IFERROR(LOOKUP(2,1/('Feijão 1ª safra'!$E9:INDEX('Feijão 1ª safra'!$E9:$Z9,MIN(AC$6-$E$3,22))&lt;&gt;""),'Feijão 1ª safra'!$E9:INDEX('Feijão 1ª safra'!$E9:$Z9,MIN(AC$6-$E$3,22))),0))-IF($G$2,0,IF((AC$6-$G$3)&lt;1,0,IFERROR(LOOKUP(2,1/('Feijão 1ª safra'!$E9:INDEX('Feijão 1ª safra'!$E9:$Z9,MIN(AC$6-$G$3,22))&lt;&gt;""),'Feijão 1ª safra'!$E9:INDEX('Feijão 1ª safra'!$E9:$Z9,MIN(AC$6-$G$3,22))),0)))))</f>
        <v>0</v>
      </c>
      <c r="AD11" s="27" t="n">
        <f aca="false">IF(COUNT('Feijão 1ª safra'!$E9:$Z9)=0,0,MAX(0,IF((AD$6-$E$3)&lt;1,0,IFERROR(LOOKUP(2,1/('Feijão 1ª safra'!$E9:INDEX('Feijão 1ª safra'!$E9:$Z9,MIN(AD$6-$E$3,22))&lt;&gt;""),'Feijão 1ª safra'!$E9:INDEX('Feijão 1ª safra'!$E9:$Z9,MIN(AD$6-$E$3,22))),0))-IF($G$2,0,IF((AD$6-$G$3)&lt;1,0,IFERROR(LOOKUP(2,1/('Feijão 1ª safra'!$E9:INDEX('Feijão 1ª safra'!$E9:$Z9,MIN(AD$6-$G$3,22))&lt;&gt;""),'Feijão 1ª safra'!$E9:INDEX('Feijão 1ª safra'!$E9:$Z9,MIN(AD$6-$G$3,22))),0)))))</f>
        <v>0</v>
      </c>
      <c r="AE11" s="27" t="n">
        <f aca="false">IF(COUNT('Feijão 1ª safra'!$E9:$Z9)=0,0,MAX(0,IF((AE$6-$E$3)&lt;1,0,IFERROR(LOOKUP(2,1/('Feijão 1ª safra'!$E9:INDEX('Feijão 1ª safra'!$E9:$Z9,MIN(AE$6-$E$3,22))&lt;&gt;""),'Feijão 1ª safra'!$E9:INDEX('Feijão 1ª safra'!$E9:$Z9,MIN(AE$6-$E$3,22))),0))-IF($G$2,0,IF((AE$6-$G$3)&lt;1,0,IFERROR(LOOKUP(2,1/('Feijão 1ª safra'!$E9:INDEX('Feijão 1ª safra'!$E9:$Z9,MIN(AE$6-$G$3,22))&lt;&gt;""),'Feijão 1ª safra'!$E9:INDEX('Feijão 1ª safra'!$E9:$Z9,MIN(AE$6-$G$3,22))),0)))))</f>
        <v>0</v>
      </c>
      <c r="AF11" s="27" t="n">
        <f aca="false">IF(COUNT('Feijão 1ª safra'!$E9:$Z9)=0,0,MAX(0,IF((AF$6-$E$3)&lt;1,0,IFERROR(LOOKUP(2,1/('Feijão 1ª safra'!$E9:INDEX('Feijão 1ª safra'!$E9:$Z9,MIN(AF$6-$E$3,22))&lt;&gt;""),'Feijão 1ª safra'!$E9:INDEX('Feijão 1ª safra'!$E9:$Z9,MIN(AF$6-$E$3,22))),0))-IF($G$2,0,IF((AF$6-$G$3)&lt;1,0,IFERROR(LOOKUP(2,1/('Feijão 1ª safra'!$E9:INDEX('Feijão 1ª safra'!$E9:$Z9,MIN(AF$6-$G$3,22))&lt;&gt;""),'Feijão 1ª safra'!$E9:INDEX('Feijão 1ª safra'!$E9:$Z9,MIN(AF$6-$G$3,22))),0)))))</f>
        <v>0</v>
      </c>
      <c r="AG11" s="27" t="n">
        <f aca="false">IF(COUNT('Feijão 1ª safra'!$E9:$Z9)=0,0,MAX(0,IF((AG$6-$E$3)&lt;1,0,IFERROR(LOOKUP(2,1/('Feijão 1ª safra'!$E9:INDEX('Feijão 1ª safra'!$E9:$Z9,MIN(AG$6-$E$3,22))&lt;&gt;""),'Feijão 1ª safra'!$E9:INDEX('Feijão 1ª safra'!$E9:$Z9,MIN(AG$6-$E$3,22))),0))-IF($G$2,0,IF((AG$6-$G$3)&lt;1,0,IFERROR(LOOKUP(2,1/('Feijão 1ª safra'!$E9:INDEX('Feijão 1ª safra'!$E9:$Z9,MIN(AG$6-$G$3,22))&lt;&gt;""),'Feijão 1ª safra'!$E9:INDEX('Feijão 1ª safra'!$E9:$Z9,MIN(AG$6-$G$3,22))),0)))))</f>
        <v>0</v>
      </c>
      <c r="AH11" s="27" t="n">
        <f aca="false">IF(COUNT('Feijão 1ª safra'!$E9:$Z9)=0,0,MAX(0,IF((AH$6-$E$3)&lt;1,0,IFERROR(LOOKUP(2,1/('Feijão 1ª safra'!$E9:INDEX('Feijão 1ª safra'!$E9:$Z9,MIN(AH$6-$E$3,22))&lt;&gt;""),'Feijão 1ª safra'!$E9:INDEX('Feijão 1ª safra'!$E9:$Z9,MIN(AH$6-$E$3,22))),0))-IF($G$2,0,IF((AH$6-$G$3)&lt;1,0,IFERROR(LOOKUP(2,1/('Feijão 1ª safra'!$E9:INDEX('Feijão 1ª safra'!$E9:$Z9,MIN(AH$6-$G$3,22))&lt;&gt;""),'Feijão 1ª safra'!$E9:INDEX('Feijão 1ª safra'!$E9:$Z9,MIN(AH$6-$G$3,22))),0)))))</f>
        <v>0</v>
      </c>
      <c r="AI11" s="27" t="n">
        <f aca="false">IF(COUNT('Feijão 1ª safra'!$E9:$Z9)=0,0,MAX(0,IF((AI$6-$E$3)&lt;1,0,IFERROR(LOOKUP(2,1/('Feijão 1ª safra'!$E9:INDEX('Feijão 1ª safra'!$E9:$Z9,MIN(AI$6-$E$3,22))&lt;&gt;""),'Feijão 1ª safra'!$E9:INDEX('Feijão 1ª safra'!$E9:$Z9,MIN(AI$6-$E$3,22))),0))-IF($G$2,0,IF((AI$6-$G$3)&lt;1,0,IFERROR(LOOKUP(2,1/('Feijão 1ª safra'!$E9:INDEX('Feijão 1ª safra'!$E9:$Z9,MIN(AI$6-$G$3,22))&lt;&gt;""),'Feijão 1ª safra'!$E9:INDEX('Feijão 1ª safra'!$E9:$Z9,MIN(AI$6-$G$3,22))),0)))))</f>
        <v>0</v>
      </c>
      <c r="AJ11" s="27" t="n">
        <f aca="false">IF(COUNT('Feijão 1ª safra'!$E9:$Z9)=0,0,MAX(0,IF((AJ$6-$E$3)&lt;1,0,IFERROR(LOOKUP(2,1/('Feijão 1ª safra'!$E9:INDEX('Feijão 1ª safra'!$E9:$Z9,MIN(AJ$6-$E$3,22))&lt;&gt;""),'Feijão 1ª safra'!$E9:INDEX('Feijão 1ª safra'!$E9:$Z9,MIN(AJ$6-$E$3,22))),0))-IF($G$2,0,IF((AJ$6-$G$3)&lt;1,0,IFERROR(LOOKUP(2,1/('Feijão 1ª safra'!$E9:INDEX('Feijão 1ª safra'!$E9:$Z9,MIN(AJ$6-$G$3,22))&lt;&gt;""),'Feijão 1ª safra'!$E9:INDEX('Feijão 1ª safra'!$E9:$Z9,MIN(AJ$6-$G$3,22))),0)))))</f>
        <v>0</v>
      </c>
      <c r="AK11" s="27" t="n">
        <f aca="false">IF(COUNT('Feijão 1ª safra'!$E9:$Z9)=0,0,MAX(0,IF((AK$6-$E$3)&lt;1,0,IFERROR(LOOKUP(2,1/('Feijão 1ª safra'!$E9:INDEX('Feijão 1ª safra'!$E9:$Z9,MIN(AK$6-$E$3,22))&lt;&gt;""),'Feijão 1ª safra'!$E9:INDEX('Feijão 1ª safra'!$E9:$Z9,MIN(AK$6-$E$3,22))),0))-IF($G$2,0,IF((AK$6-$G$3)&lt;1,0,IFERROR(LOOKUP(2,1/('Feijão 1ª safra'!$E9:INDEX('Feijão 1ª safra'!$E9:$Z9,MIN(AK$6-$G$3,22))&lt;&gt;""),'Feijão 1ª safra'!$E9:INDEX('Feijão 1ª safra'!$E9:$Z9,MIN(AK$6-$G$3,22))),0)))))</f>
        <v>0</v>
      </c>
      <c r="AL11" s="27" t="n">
        <f aca="false">IF(COUNT('Feijão 1ª safra'!$E9:$Z9)=0,0,MAX(0,IF((AL$6-$E$3)&lt;1,0,IFERROR(LOOKUP(2,1/('Feijão 1ª safra'!$E9:INDEX('Feijão 1ª safra'!$E9:$Z9,MIN(AL$6-$E$3,22))&lt;&gt;""),'Feijão 1ª safra'!$E9:INDEX('Feijão 1ª safra'!$E9:$Z9,MIN(AL$6-$E$3,22))),0))-IF($G$2,0,IF((AL$6-$G$3)&lt;1,0,IFERROR(LOOKUP(2,1/('Feijão 1ª safra'!$E9:INDEX('Feijão 1ª safra'!$E9:$Z9,MIN(AL$6-$G$3,22))&lt;&gt;""),'Feijão 1ª safra'!$E9:INDEX('Feijão 1ª safra'!$E9:$Z9,MIN(AL$6-$G$3,22))),0)))))</f>
        <v>0</v>
      </c>
      <c r="AM11" s="27" t="n">
        <f aca="false">IF(COUNT('Feijão 1ª safra'!$E9:$Z9)=0,0,MAX(0,IF((AM$6-$E$3)&lt;1,0,IFERROR(LOOKUP(2,1/('Feijão 1ª safra'!$E9:INDEX('Feijão 1ª safra'!$E9:$Z9,MIN(AM$6-$E$3,22))&lt;&gt;""),'Feijão 1ª safra'!$E9:INDEX('Feijão 1ª safra'!$E9:$Z9,MIN(AM$6-$E$3,22))),0))-IF($G$2,0,IF((AM$6-$G$3)&lt;1,0,IFERROR(LOOKUP(2,1/('Feijão 1ª safra'!$E9:INDEX('Feijão 1ª safra'!$E9:$Z9,MIN(AM$6-$G$3,22))&lt;&gt;""),'Feijão 1ª safra'!$E9:INDEX('Feijão 1ª safra'!$E9:$Z9,MIN(AM$6-$G$3,22))),0)))))</f>
        <v>0</v>
      </c>
      <c r="AN11" s="27" t="n">
        <f aca="false">IF(COUNT('Feijão 1ª safra'!$E9:$Z9)=0,0,MAX(0,IF((AN$6-$E$3)&lt;1,0,IFERROR(LOOKUP(2,1/('Feijão 1ª safra'!$E9:INDEX('Feijão 1ª safra'!$E9:$Z9,MIN(AN$6-$E$3,22))&lt;&gt;""),'Feijão 1ª safra'!$E9:INDEX('Feijão 1ª safra'!$E9:$Z9,MIN(AN$6-$E$3,22))),0))-IF($G$2,0,IF((AN$6-$G$3)&lt;1,0,IFERROR(LOOKUP(2,1/('Feijão 1ª safra'!$E9:INDEX('Feijão 1ª safra'!$E9:$Z9,MIN(AN$6-$G$3,22))&lt;&gt;""),'Feijão 1ª safra'!$E9:INDEX('Feijão 1ª safra'!$E9:$Z9,MIN(AN$6-$G$3,22))),0)))))</f>
        <v>0</v>
      </c>
      <c r="AO11" s="27" t="n">
        <f aca="false">IF(COUNT('Feijão 1ª safra'!$E9:$Z9)=0,0,MAX(0,IF((AO$6-$E$3)&lt;1,0,IFERROR(LOOKUP(2,1/('Feijão 1ª safra'!$E9:INDEX('Feijão 1ª safra'!$E9:$Z9,MIN(AO$6-$E$3,22))&lt;&gt;""),'Feijão 1ª safra'!$E9:INDEX('Feijão 1ª safra'!$E9:$Z9,MIN(AO$6-$E$3,22))),0))-IF($G$2,0,IF((AO$6-$G$3)&lt;1,0,IFERROR(LOOKUP(2,1/('Feijão 1ª safra'!$E9:INDEX('Feijão 1ª safra'!$E9:$Z9,MIN(AO$6-$G$3,22))&lt;&gt;""),'Feijão 1ª safra'!$E9:INDEX('Feijão 1ª safra'!$E9:$Z9,MIN(AO$6-$G$3,22))),0)))))</f>
        <v>0</v>
      </c>
      <c r="AP11" s="27" t="n">
        <f aca="false">IF(COUNT('Feijão 1ª safra'!$E9:$Z9)=0,0,MAX(0,IF((AP$6-$E$3)&lt;1,0,IFERROR(LOOKUP(2,1/('Feijão 1ª safra'!$E9:INDEX('Feijão 1ª safra'!$E9:$Z9,MIN(AP$6-$E$3,22))&lt;&gt;""),'Feijão 1ª safra'!$E9:INDEX('Feijão 1ª safra'!$E9:$Z9,MIN(AP$6-$E$3,22))),0))-IF($G$2,0,IF((AP$6-$G$3)&lt;1,0,IFERROR(LOOKUP(2,1/('Feijão 1ª safra'!$E9:INDEX('Feijão 1ª safra'!$E9:$Z9,MIN(AP$6-$G$3,22))&lt;&gt;""),'Feijão 1ª safra'!$E9:INDEX('Feijão 1ª safra'!$E9:$Z9,MIN(AP$6-$G$3,22))),0)))))</f>
        <v>0</v>
      </c>
      <c r="AQ11" s="27" t="n">
        <f aca="false">IF(COUNT('Feijão 1ª safra'!$E9:$Z9)=0,0,MAX(0,IF((AQ$6-$E$3)&lt;1,0,IFERROR(LOOKUP(2,1/('Feijão 1ª safra'!$E9:INDEX('Feijão 1ª safra'!$E9:$Z9,MIN(AQ$6-$E$3,22))&lt;&gt;""),'Feijão 1ª safra'!$E9:INDEX('Feijão 1ª safra'!$E9:$Z9,MIN(AQ$6-$E$3,22))),0))-IF($G$2,0,IF((AQ$6-$G$3)&lt;1,0,IFERROR(LOOKUP(2,1/('Feijão 1ª safra'!$E9:INDEX('Feijão 1ª safra'!$E9:$Z9,MIN(AQ$6-$G$3,22))&lt;&gt;""),'Feijão 1ª safra'!$E9:INDEX('Feijão 1ª safra'!$E9:$Z9,MIN(AQ$6-$G$3,22))),0)))))</f>
        <v>0</v>
      </c>
      <c r="AR11" s="27" t="n">
        <f aca="false">IF(COUNT('Feijão 1ª safra'!$E9:$Z9)=0,0,MAX(0,IF((AR$6-$E$3)&lt;1,0,IFERROR(LOOKUP(2,1/('Feijão 1ª safra'!$E9:INDEX('Feijão 1ª safra'!$E9:$Z9,MIN(AR$6-$E$3,22))&lt;&gt;""),'Feijão 1ª safra'!$E9:INDEX('Feijão 1ª safra'!$E9:$Z9,MIN(AR$6-$E$3,22))),0))-IF($G$2,0,IF((AR$6-$G$3)&lt;1,0,IFERROR(LOOKUP(2,1/('Feijão 1ª safra'!$E9:INDEX('Feijão 1ª safra'!$E9:$Z9,MIN(AR$6-$G$3,22))&lt;&gt;""),'Feijão 1ª safra'!$E9:INDEX('Feijão 1ª safra'!$E9:$Z9,MIN(AR$6-$G$3,22))),0)))))</f>
        <v>0</v>
      </c>
      <c r="AS11" s="27" t="n">
        <f aca="false">IF(COUNT('Feijão 1ª safra'!$E9:$Z9)=0,0,MAX(0,IF((AS$6-$E$3)&lt;1,0,IFERROR(LOOKUP(2,1/('Feijão 1ª safra'!$E9:INDEX('Feijão 1ª safra'!$E9:$Z9,MIN(AS$6-$E$3,22))&lt;&gt;""),'Feijão 1ª safra'!$E9:INDEX('Feijão 1ª safra'!$E9:$Z9,MIN(AS$6-$E$3,22))),0))-IF($G$2,0,IF((AS$6-$G$3)&lt;1,0,IFERROR(LOOKUP(2,1/('Feijão 1ª safra'!$E9:INDEX('Feijão 1ª safra'!$E9:$Z9,MIN(AS$6-$G$3,22))&lt;&gt;""),'Feijão 1ª safra'!$E9:INDEX('Feijão 1ª safra'!$E9:$Z9,MIN(AS$6-$G$3,22))),0)))))</f>
        <v>0</v>
      </c>
      <c r="AT11" s="27" t="n">
        <f aca="false">IF(COUNT('Feijão 1ª safra'!$E9:$Z9)=0,0,MAX(0,IF((AT$6-$E$3)&lt;1,0,IFERROR(LOOKUP(2,1/('Feijão 1ª safra'!$E9:INDEX('Feijão 1ª safra'!$E9:$Z9,MIN(AT$6-$E$3,22))&lt;&gt;""),'Feijão 1ª safra'!$E9:INDEX('Feijão 1ª safra'!$E9:$Z9,MIN(AT$6-$E$3,22))),0))-IF($G$2,0,IF((AT$6-$G$3)&lt;1,0,IFERROR(LOOKUP(2,1/('Feijão 1ª safra'!$E9:INDEX('Feijão 1ª safra'!$E9:$Z9,MIN(AT$6-$G$3,22))&lt;&gt;""),'Feijão 1ª safra'!$E9:INDEX('Feijão 1ª safra'!$E9:$Z9,MIN(AT$6-$G$3,22))),0)))))</f>
        <v>0</v>
      </c>
      <c r="AU11" s="27" t="n">
        <f aca="false">IF(COUNT('Feijão 1ª safra'!$E9:$Z9)=0,0,MAX(0,IF((AU$6-$E$3)&lt;1,0,IFERROR(LOOKUP(2,1/('Feijão 1ª safra'!$E9:INDEX('Feijão 1ª safra'!$E9:$Z9,MIN(AU$6-$E$3,22))&lt;&gt;""),'Feijão 1ª safra'!$E9:INDEX('Feijão 1ª safra'!$E9:$Z9,MIN(AU$6-$E$3,22))),0))-IF($G$2,0,IF((AU$6-$G$3)&lt;1,0,IFERROR(LOOKUP(2,1/('Feijão 1ª safra'!$E9:INDEX('Feijão 1ª safra'!$E9:$Z9,MIN(AU$6-$G$3,22))&lt;&gt;""),'Feijão 1ª safra'!$E9:INDEX('Feijão 1ª safra'!$E9:$Z9,MIN(AU$6-$G$3,22))),0)))))</f>
        <v>0</v>
      </c>
      <c r="AV11" s="27" t="n">
        <f aca="false">IF(COUNT('Feijão 1ª safra'!$E9:$Z9)=0,0,MAX(0,IF((AV$6-$E$3)&lt;1,0,IFERROR(LOOKUP(2,1/('Feijão 1ª safra'!$E9:INDEX('Feijão 1ª safra'!$E9:$Z9,MIN(AV$6-$E$3,22))&lt;&gt;""),'Feijão 1ª safra'!$E9:INDEX('Feijão 1ª safra'!$E9:$Z9,MIN(AV$6-$E$3,22))),0))-IF($G$2,0,IF((AV$6-$G$3)&lt;1,0,IFERROR(LOOKUP(2,1/('Feijão 1ª safra'!$E9:INDEX('Feijão 1ª safra'!$E9:$Z9,MIN(AV$6-$G$3,22))&lt;&gt;""),'Feijão 1ª safra'!$E9:INDEX('Feijão 1ª safra'!$E9:$Z9,MIN(AV$6-$G$3,22))),0)))))</f>
        <v>0</v>
      </c>
      <c r="AW11" s="27" t="n">
        <f aca="false">IF(COUNT('Feijão 1ª safra'!$E9:$Z9)=0,0,MAX(0,IF((AW$6-$E$3)&lt;1,0,IFERROR(LOOKUP(2,1/('Feijão 1ª safra'!$E9:INDEX('Feijão 1ª safra'!$E9:$Z9,MIN(AW$6-$E$3,22))&lt;&gt;""),'Feijão 1ª safra'!$E9:INDEX('Feijão 1ª safra'!$E9:$Z9,MIN(AW$6-$E$3,22))),0))-IF($G$2,0,IF((AW$6-$G$3)&lt;1,0,IFERROR(LOOKUP(2,1/('Feijão 1ª safra'!$E9:INDEX('Feijão 1ª safra'!$E9:$Z9,MIN(AW$6-$G$3,22))&lt;&gt;""),'Feijão 1ª safra'!$E9:INDEX('Feijão 1ª safra'!$E9:$Z9,MIN(AW$6-$G$3,22))),0)))))</f>
        <v>0</v>
      </c>
      <c r="AX11" s="27" t="n">
        <f aca="false">IF(COUNT('Feijão 1ª safra'!$E9:$Z9)=0,0,MAX(0,IF((AX$6-$E$3)&lt;1,0,IFERROR(LOOKUP(2,1/('Feijão 1ª safra'!$E9:INDEX('Feijão 1ª safra'!$E9:$Z9,MIN(AX$6-$E$3,22))&lt;&gt;""),'Feijão 1ª safra'!$E9:INDEX('Feijão 1ª safra'!$E9:$Z9,MIN(AX$6-$E$3,22))),0))-IF($G$2,0,IF((AX$6-$G$3)&lt;1,0,IFERROR(LOOKUP(2,1/('Feijão 1ª safra'!$E9:INDEX('Feijão 1ª safra'!$E9:$Z9,MIN(AX$6-$G$3,22))&lt;&gt;""),'Feijão 1ª safra'!$E9:INDEX('Feijão 1ª safra'!$E9:$Z9,MIN(AX$6-$G$3,22))),0)))))</f>
        <v>0</v>
      </c>
      <c r="AY11" s="27" t="n">
        <f aca="false">IF(COUNT('Feijão 1ª safra'!$E9:$Z9)=0,0,MAX(0,IF((AY$6-$E$3)&lt;1,0,IFERROR(LOOKUP(2,1/('Feijão 1ª safra'!$E9:INDEX('Feijão 1ª safra'!$E9:$Z9,MIN(AY$6-$E$3,22))&lt;&gt;""),'Feijão 1ª safra'!$E9:INDEX('Feijão 1ª safra'!$E9:$Z9,MIN(AY$6-$E$3,22))),0))-IF($G$2,0,IF((AY$6-$G$3)&lt;1,0,IFERROR(LOOKUP(2,1/('Feijão 1ª safra'!$E9:INDEX('Feijão 1ª safra'!$E9:$Z9,MIN(AY$6-$G$3,22))&lt;&gt;""),'Feijão 1ª safra'!$E9:INDEX('Feijão 1ª safra'!$E9:$Z9,MIN(AY$6-$G$3,22))),0)))))</f>
        <v>0</v>
      </c>
      <c r="AZ11" s="27" t="n">
        <f aca="false">IF(COUNT('Feijão 1ª safra'!$E9:$Z9)=0,0,MAX(0,IF((AZ$6-$E$3)&lt;1,0,IFERROR(LOOKUP(2,1/('Feijão 1ª safra'!$E9:INDEX('Feijão 1ª safra'!$E9:$Z9,MIN(AZ$6-$E$3,22))&lt;&gt;""),'Feijão 1ª safra'!$E9:INDEX('Feijão 1ª safra'!$E9:$Z9,MIN(AZ$6-$E$3,22))),0))-IF($G$2,0,IF((AZ$6-$G$3)&lt;1,0,IFERROR(LOOKUP(2,1/('Feijão 1ª safra'!$E9:INDEX('Feijão 1ª safra'!$E9:$Z9,MIN(AZ$6-$G$3,22))&lt;&gt;""),'Feijão 1ª safra'!$E9:INDEX('Feijão 1ª safra'!$E9:$Z9,MIN(AZ$6-$G$3,22))),0)))))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IF(COUNT('Feijão 1ª safra'!$E10:$Z10)&gt;0,N('Feijão 1ª safra'!$D10),0)</f>
        <v>0</v>
      </c>
      <c r="E12" s="27" t="n">
        <f aca="false">IF(COUNT('Feijão 1ª safra'!$E10:$Z10)=0,0,MAX(0,IF((E$6-$E$3)&lt;1,0,IFERROR(LOOKUP(2,1/('Feijão 1ª safra'!$E10:INDEX('Feijão 1ª safra'!$E10:$Z10,MIN(E$6-$E$3,22))&lt;&gt;""),'Feijão 1ª safra'!$E10:INDEX('Feijão 1ª safra'!$E10:$Z10,MIN(E$6-$E$3,22))),0))-IF($G$2,0,IF((E$6-$G$3)&lt;1,0,IFERROR(LOOKUP(2,1/('Feijão 1ª safra'!$E10:INDEX('Feijão 1ª safra'!$E10:$Z10,MIN(E$6-$G$3,22))&lt;&gt;""),'Feijão 1ª safra'!$E10:INDEX('Feijão 1ª safra'!$E10:$Z10,MIN(E$6-$G$3,22))),0)))))</f>
        <v>0</v>
      </c>
      <c r="F12" s="27" t="n">
        <f aca="false">IF(COUNT('Feijão 1ª safra'!$E10:$Z10)=0,0,MAX(0,IF((F$6-$E$3)&lt;1,0,IFERROR(LOOKUP(2,1/('Feijão 1ª safra'!$E10:INDEX('Feijão 1ª safra'!$E10:$Z10,MIN(F$6-$E$3,22))&lt;&gt;""),'Feijão 1ª safra'!$E10:INDEX('Feijão 1ª safra'!$E10:$Z10,MIN(F$6-$E$3,22))),0))-IF($G$2,0,IF((F$6-$G$3)&lt;1,0,IFERROR(LOOKUP(2,1/('Feijão 1ª safra'!$E10:INDEX('Feijão 1ª safra'!$E10:$Z10,MIN(F$6-$G$3,22))&lt;&gt;""),'Feijão 1ª safra'!$E10:INDEX('Feijão 1ª safra'!$E10:$Z10,MIN(F$6-$G$3,22))),0)))))</f>
        <v>0</v>
      </c>
      <c r="G12" s="27" t="n">
        <f aca="false">IF(COUNT('Feijão 1ª safra'!$E10:$Z10)=0,0,MAX(0,IF((G$6-$E$3)&lt;1,0,IFERROR(LOOKUP(2,1/('Feijão 1ª safra'!$E10:INDEX('Feijão 1ª safra'!$E10:$Z10,MIN(G$6-$E$3,22))&lt;&gt;""),'Feijão 1ª safra'!$E10:INDEX('Feijão 1ª safra'!$E10:$Z10,MIN(G$6-$E$3,22))),0))-IF($G$2,0,IF((G$6-$G$3)&lt;1,0,IFERROR(LOOKUP(2,1/('Feijão 1ª safra'!$E10:INDEX('Feijão 1ª safra'!$E10:$Z10,MIN(G$6-$G$3,22))&lt;&gt;""),'Feijão 1ª safra'!$E10:INDEX('Feijão 1ª safra'!$E10:$Z10,MIN(G$6-$G$3,22))),0)))))</f>
        <v>0</v>
      </c>
      <c r="H12" s="27" t="n">
        <f aca="false">IF(COUNT('Feijão 1ª safra'!$E10:$Z10)=0,0,MAX(0,IF((H$6-$E$3)&lt;1,0,IFERROR(LOOKUP(2,1/('Feijão 1ª safra'!$E10:INDEX('Feijão 1ª safra'!$E10:$Z10,MIN(H$6-$E$3,22))&lt;&gt;""),'Feijão 1ª safra'!$E10:INDEX('Feijão 1ª safra'!$E10:$Z10,MIN(H$6-$E$3,22))),0))-IF($G$2,0,IF((H$6-$G$3)&lt;1,0,IFERROR(LOOKUP(2,1/('Feijão 1ª safra'!$E10:INDEX('Feijão 1ª safra'!$E10:$Z10,MIN(H$6-$G$3,22))&lt;&gt;""),'Feijão 1ª safra'!$E10:INDEX('Feijão 1ª safra'!$E10:$Z10,MIN(H$6-$G$3,22))),0)))))</f>
        <v>0</v>
      </c>
      <c r="I12" s="27" t="n">
        <f aca="false">IF(COUNT('Feijão 1ª safra'!$E10:$Z10)=0,0,MAX(0,IF((I$6-$E$3)&lt;1,0,IFERROR(LOOKUP(2,1/('Feijão 1ª safra'!$E10:INDEX('Feijão 1ª safra'!$E10:$Z10,MIN(I$6-$E$3,22))&lt;&gt;""),'Feijão 1ª safra'!$E10:INDEX('Feijão 1ª safra'!$E10:$Z10,MIN(I$6-$E$3,22))),0))-IF($G$2,0,IF((I$6-$G$3)&lt;1,0,IFERROR(LOOKUP(2,1/('Feijão 1ª safra'!$E10:INDEX('Feijão 1ª safra'!$E10:$Z10,MIN(I$6-$G$3,22))&lt;&gt;""),'Feijão 1ª safra'!$E10:INDEX('Feijão 1ª safra'!$E10:$Z10,MIN(I$6-$G$3,22))),0)))))</f>
        <v>0</v>
      </c>
      <c r="J12" s="27" t="n">
        <f aca="false">IF(COUNT('Feijão 1ª safra'!$E10:$Z10)=0,0,MAX(0,IF((J$6-$E$3)&lt;1,0,IFERROR(LOOKUP(2,1/('Feijão 1ª safra'!$E10:INDEX('Feijão 1ª safra'!$E10:$Z10,MIN(J$6-$E$3,22))&lt;&gt;""),'Feijão 1ª safra'!$E10:INDEX('Feijão 1ª safra'!$E10:$Z10,MIN(J$6-$E$3,22))),0))-IF($G$2,0,IF((J$6-$G$3)&lt;1,0,IFERROR(LOOKUP(2,1/('Feijão 1ª safra'!$E10:INDEX('Feijão 1ª safra'!$E10:$Z10,MIN(J$6-$G$3,22))&lt;&gt;""),'Feijão 1ª safra'!$E10:INDEX('Feijão 1ª safra'!$E10:$Z10,MIN(J$6-$G$3,22))),0)))))</f>
        <v>0</v>
      </c>
      <c r="K12" s="27" t="n">
        <f aca="false">IF(COUNT('Feijão 1ª safra'!$E10:$Z10)=0,0,MAX(0,IF((K$6-$E$3)&lt;1,0,IFERROR(LOOKUP(2,1/('Feijão 1ª safra'!$E10:INDEX('Feijão 1ª safra'!$E10:$Z10,MIN(K$6-$E$3,22))&lt;&gt;""),'Feijão 1ª safra'!$E10:INDEX('Feijão 1ª safra'!$E10:$Z10,MIN(K$6-$E$3,22))),0))-IF($G$2,0,IF((K$6-$G$3)&lt;1,0,IFERROR(LOOKUP(2,1/('Feijão 1ª safra'!$E10:INDEX('Feijão 1ª safra'!$E10:$Z10,MIN(K$6-$G$3,22))&lt;&gt;""),'Feijão 1ª safra'!$E10:INDEX('Feijão 1ª safra'!$E10:$Z10,MIN(K$6-$G$3,22))),0)))))</f>
        <v>0</v>
      </c>
      <c r="L12" s="27" t="n">
        <f aca="false">IF(COUNT('Feijão 1ª safra'!$E10:$Z10)=0,0,MAX(0,IF((L$6-$E$3)&lt;1,0,IFERROR(LOOKUP(2,1/('Feijão 1ª safra'!$E10:INDEX('Feijão 1ª safra'!$E10:$Z10,MIN(L$6-$E$3,22))&lt;&gt;""),'Feijão 1ª safra'!$E10:INDEX('Feijão 1ª safra'!$E10:$Z10,MIN(L$6-$E$3,22))),0))-IF($G$2,0,IF((L$6-$G$3)&lt;1,0,IFERROR(LOOKUP(2,1/('Feijão 1ª safra'!$E10:INDEX('Feijão 1ª safra'!$E10:$Z10,MIN(L$6-$G$3,22))&lt;&gt;""),'Feijão 1ª safra'!$E10:INDEX('Feijão 1ª safra'!$E10:$Z10,MIN(L$6-$G$3,22))),0)))))</f>
        <v>0</v>
      </c>
      <c r="M12" s="27" t="n">
        <f aca="false">IF(COUNT('Feijão 1ª safra'!$E10:$Z10)=0,0,MAX(0,IF((M$6-$E$3)&lt;1,0,IFERROR(LOOKUP(2,1/('Feijão 1ª safra'!$E10:INDEX('Feijão 1ª safra'!$E10:$Z10,MIN(M$6-$E$3,22))&lt;&gt;""),'Feijão 1ª safra'!$E10:INDEX('Feijão 1ª safra'!$E10:$Z10,MIN(M$6-$E$3,22))),0))-IF($G$2,0,IF((M$6-$G$3)&lt;1,0,IFERROR(LOOKUP(2,1/('Feijão 1ª safra'!$E10:INDEX('Feijão 1ª safra'!$E10:$Z10,MIN(M$6-$G$3,22))&lt;&gt;""),'Feijão 1ª safra'!$E10:INDEX('Feijão 1ª safra'!$E10:$Z10,MIN(M$6-$G$3,22))),0)))))</f>
        <v>0</v>
      </c>
      <c r="N12" s="27" t="n">
        <f aca="false">IF(COUNT('Feijão 1ª safra'!$E10:$Z10)=0,0,MAX(0,IF((N$6-$E$3)&lt;1,0,IFERROR(LOOKUP(2,1/('Feijão 1ª safra'!$E10:INDEX('Feijão 1ª safra'!$E10:$Z10,MIN(N$6-$E$3,22))&lt;&gt;""),'Feijão 1ª safra'!$E10:INDEX('Feijão 1ª safra'!$E10:$Z10,MIN(N$6-$E$3,22))),0))-IF($G$2,0,IF((N$6-$G$3)&lt;1,0,IFERROR(LOOKUP(2,1/('Feijão 1ª safra'!$E10:INDEX('Feijão 1ª safra'!$E10:$Z10,MIN(N$6-$G$3,22))&lt;&gt;""),'Feijão 1ª safra'!$E10:INDEX('Feijão 1ª safra'!$E10:$Z10,MIN(N$6-$G$3,22))),0)))))</f>
        <v>0</v>
      </c>
      <c r="O12" s="27" t="n">
        <f aca="false">IF(COUNT('Feijão 1ª safra'!$E10:$Z10)=0,0,MAX(0,IF((O$6-$E$3)&lt;1,0,IFERROR(LOOKUP(2,1/('Feijão 1ª safra'!$E10:INDEX('Feijão 1ª safra'!$E10:$Z10,MIN(O$6-$E$3,22))&lt;&gt;""),'Feijão 1ª safra'!$E10:INDEX('Feijão 1ª safra'!$E10:$Z10,MIN(O$6-$E$3,22))),0))-IF($G$2,0,IF((O$6-$G$3)&lt;1,0,IFERROR(LOOKUP(2,1/('Feijão 1ª safra'!$E10:INDEX('Feijão 1ª safra'!$E10:$Z10,MIN(O$6-$G$3,22))&lt;&gt;""),'Feijão 1ª safra'!$E10:INDEX('Feijão 1ª safra'!$E10:$Z10,MIN(O$6-$G$3,22))),0)))))</f>
        <v>0</v>
      </c>
      <c r="P12" s="27" t="n">
        <f aca="false">IF(COUNT('Feijão 1ª safra'!$E10:$Z10)=0,0,MAX(0,IF((P$6-$E$3)&lt;1,0,IFERROR(LOOKUP(2,1/('Feijão 1ª safra'!$E10:INDEX('Feijão 1ª safra'!$E10:$Z10,MIN(P$6-$E$3,22))&lt;&gt;""),'Feijão 1ª safra'!$E10:INDEX('Feijão 1ª safra'!$E10:$Z10,MIN(P$6-$E$3,22))),0))-IF($G$2,0,IF((P$6-$G$3)&lt;1,0,IFERROR(LOOKUP(2,1/('Feijão 1ª safra'!$E10:INDEX('Feijão 1ª safra'!$E10:$Z10,MIN(P$6-$G$3,22))&lt;&gt;""),'Feijão 1ª safra'!$E10:INDEX('Feijão 1ª safra'!$E10:$Z10,MIN(P$6-$G$3,22))),0)))))</f>
        <v>0</v>
      </c>
      <c r="Q12" s="27" t="n">
        <f aca="false">IF(COUNT('Feijão 1ª safra'!$E10:$Z10)=0,0,MAX(0,IF((Q$6-$E$3)&lt;1,0,IFERROR(LOOKUP(2,1/('Feijão 1ª safra'!$E10:INDEX('Feijão 1ª safra'!$E10:$Z10,MIN(Q$6-$E$3,22))&lt;&gt;""),'Feijão 1ª safra'!$E10:INDEX('Feijão 1ª safra'!$E10:$Z10,MIN(Q$6-$E$3,22))),0))-IF($G$2,0,IF((Q$6-$G$3)&lt;1,0,IFERROR(LOOKUP(2,1/('Feijão 1ª safra'!$E10:INDEX('Feijão 1ª safra'!$E10:$Z10,MIN(Q$6-$G$3,22))&lt;&gt;""),'Feijão 1ª safra'!$E10:INDEX('Feijão 1ª safra'!$E10:$Z10,MIN(Q$6-$G$3,22))),0)))))</f>
        <v>0</v>
      </c>
      <c r="R12" s="27" t="n">
        <f aca="false">IF(COUNT('Feijão 1ª safra'!$E10:$Z10)=0,0,MAX(0,IF((R$6-$E$3)&lt;1,0,IFERROR(LOOKUP(2,1/('Feijão 1ª safra'!$E10:INDEX('Feijão 1ª safra'!$E10:$Z10,MIN(R$6-$E$3,22))&lt;&gt;""),'Feijão 1ª safra'!$E10:INDEX('Feijão 1ª safra'!$E10:$Z10,MIN(R$6-$E$3,22))),0))-IF($G$2,0,IF((R$6-$G$3)&lt;1,0,IFERROR(LOOKUP(2,1/('Feijão 1ª safra'!$E10:INDEX('Feijão 1ª safra'!$E10:$Z10,MIN(R$6-$G$3,22))&lt;&gt;""),'Feijão 1ª safra'!$E10:INDEX('Feijão 1ª safra'!$E10:$Z10,MIN(R$6-$G$3,22))),0)))))</f>
        <v>0</v>
      </c>
      <c r="S12" s="27" t="n">
        <f aca="false">IF(COUNT('Feijão 1ª safra'!$E10:$Z10)=0,0,MAX(0,IF((S$6-$E$3)&lt;1,0,IFERROR(LOOKUP(2,1/('Feijão 1ª safra'!$E10:INDEX('Feijão 1ª safra'!$E10:$Z10,MIN(S$6-$E$3,22))&lt;&gt;""),'Feijão 1ª safra'!$E10:INDEX('Feijão 1ª safra'!$E10:$Z10,MIN(S$6-$E$3,22))),0))-IF($G$2,0,IF((S$6-$G$3)&lt;1,0,IFERROR(LOOKUP(2,1/('Feijão 1ª safra'!$E10:INDEX('Feijão 1ª safra'!$E10:$Z10,MIN(S$6-$G$3,22))&lt;&gt;""),'Feijão 1ª safra'!$E10:INDEX('Feijão 1ª safra'!$E10:$Z10,MIN(S$6-$G$3,22))),0)))))</f>
        <v>0</v>
      </c>
      <c r="T12" s="27" t="n">
        <f aca="false">IF(COUNT('Feijão 1ª safra'!$E10:$Z10)=0,0,MAX(0,IF((T$6-$E$3)&lt;1,0,IFERROR(LOOKUP(2,1/('Feijão 1ª safra'!$E10:INDEX('Feijão 1ª safra'!$E10:$Z10,MIN(T$6-$E$3,22))&lt;&gt;""),'Feijão 1ª safra'!$E10:INDEX('Feijão 1ª safra'!$E10:$Z10,MIN(T$6-$E$3,22))),0))-IF($G$2,0,IF((T$6-$G$3)&lt;1,0,IFERROR(LOOKUP(2,1/('Feijão 1ª safra'!$E10:INDEX('Feijão 1ª safra'!$E10:$Z10,MIN(T$6-$G$3,22))&lt;&gt;""),'Feijão 1ª safra'!$E10:INDEX('Feijão 1ª safra'!$E10:$Z10,MIN(T$6-$G$3,22))),0)))))</f>
        <v>0</v>
      </c>
      <c r="U12" s="27" t="n">
        <f aca="false">IF(COUNT('Feijão 1ª safra'!$E10:$Z10)=0,0,MAX(0,IF((U$6-$E$3)&lt;1,0,IFERROR(LOOKUP(2,1/('Feijão 1ª safra'!$E10:INDEX('Feijão 1ª safra'!$E10:$Z10,MIN(U$6-$E$3,22))&lt;&gt;""),'Feijão 1ª safra'!$E10:INDEX('Feijão 1ª safra'!$E10:$Z10,MIN(U$6-$E$3,22))),0))-IF($G$2,0,IF((U$6-$G$3)&lt;1,0,IFERROR(LOOKUP(2,1/('Feijão 1ª safra'!$E10:INDEX('Feijão 1ª safra'!$E10:$Z10,MIN(U$6-$G$3,22))&lt;&gt;""),'Feijão 1ª safra'!$E10:INDEX('Feijão 1ª safra'!$E10:$Z10,MIN(U$6-$G$3,22))),0)))))</f>
        <v>0</v>
      </c>
      <c r="V12" s="27" t="n">
        <f aca="false">IF(COUNT('Feijão 1ª safra'!$E10:$Z10)=0,0,MAX(0,IF((V$6-$E$3)&lt;1,0,IFERROR(LOOKUP(2,1/('Feijão 1ª safra'!$E10:INDEX('Feijão 1ª safra'!$E10:$Z10,MIN(V$6-$E$3,22))&lt;&gt;""),'Feijão 1ª safra'!$E10:INDEX('Feijão 1ª safra'!$E10:$Z10,MIN(V$6-$E$3,22))),0))-IF($G$2,0,IF((V$6-$G$3)&lt;1,0,IFERROR(LOOKUP(2,1/('Feijão 1ª safra'!$E10:INDEX('Feijão 1ª safra'!$E10:$Z10,MIN(V$6-$G$3,22))&lt;&gt;""),'Feijão 1ª safra'!$E10:INDEX('Feijão 1ª safra'!$E10:$Z10,MIN(V$6-$G$3,22))),0)))))</f>
        <v>0</v>
      </c>
      <c r="W12" s="27" t="n">
        <f aca="false">IF(COUNT('Feijão 1ª safra'!$E10:$Z10)=0,0,MAX(0,IF((W$6-$E$3)&lt;1,0,IFERROR(LOOKUP(2,1/('Feijão 1ª safra'!$E10:INDEX('Feijão 1ª safra'!$E10:$Z10,MIN(W$6-$E$3,22))&lt;&gt;""),'Feijão 1ª safra'!$E10:INDEX('Feijão 1ª safra'!$E10:$Z10,MIN(W$6-$E$3,22))),0))-IF($G$2,0,IF((W$6-$G$3)&lt;1,0,IFERROR(LOOKUP(2,1/('Feijão 1ª safra'!$E10:INDEX('Feijão 1ª safra'!$E10:$Z10,MIN(W$6-$G$3,22))&lt;&gt;""),'Feijão 1ª safra'!$E10:INDEX('Feijão 1ª safra'!$E10:$Z10,MIN(W$6-$G$3,22))),0)))))</f>
        <v>0</v>
      </c>
      <c r="X12" s="27" t="n">
        <f aca="false">IF(COUNT('Feijão 1ª safra'!$E10:$Z10)=0,0,MAX(0,IF((X$6-$E$3)&lt;1,0,IFERROR(LOOKUP(2,1/('Feijão 1ª safra'!$E10:INDEX('Feijão 1ª safra'!$E10:$Z10,MIN(X$6-$E$3,22))&lt;&gt;""),'Feijão 1ª safra'!$E10:INDEX('Feijão 1ª safra'!$E10:$Z10,MIN(X$6-$E$3,22))),0))-IF($G$2,0,IF((X$6-$G$3)&lt;1,0,IFERROR(LOOKUP(2,1/('Feijão 1ª safra'!$E10:INDEX('Feijão 1ª safra'!$E10:$Z10,MIN(X$6-$G$3,22))&lt;&gt;""),'Feijão 1ª safra'!$E10:INDEX('Feijão 1ª safra'!$E10:$Z10,MIN(X$6-$G$3,22))),0)))))</f>
        <v>0</v>
      </c>
      <c r="Y12" s="27" t="n">
        <f aca="false">IF(COUNT('Feijão 1ª safra'!$E10:$Z10)=0,0,MAX(0,IF((Y$6-$E$3)&lt;1,0,IFERROR(LOOKUP(2,1/('Feijão 1ª safra'!$E10:INDEX('Feijão 1ª safra'!$E10:$Z10,MIN(Y$6-$E$3,22))&lt;&gt;""),'Feijão 1ª safra'!$E10:INDEX('Feijão 1ª safra'!$E10:$Z10,MIN(Y$6-$E$3,22))),0))-IF($G$2,0,IF((Y$6-$G$3)&lt;1,0,IFERROR(LOOKUP(2,1/('Feijão 1ª safra'!$E10:INDEX('Feijão 1ª safra'!$E10:$Z10,MIN(Y$6-$G$3,22))&lt;&gt;""),'Feijão 1ª safra'!$E10:INDEX('Feijão 1ª safra'!$E10:$Z10,MIN(Y$6-$G$3,22))),0)))))</f>
        <v>0</v>
      </c>
      <c r="Z12" s="27" t="n">
        <f aca="false">IF(COUNT('Feijão 1ª safra'!$E10:$Z10)=0,0,MAX(0,IF((Z$6-$E$3)&lt;1,0,IFERROR(LOOKUP(2,1/('Feijão 1ª safra'!$E10:INDEX('Feijão 1ª safra'!$E10:$Z10,MIN(Z$6-$E$3,22))&lt;&gt;""),'Feijão 1ª safra'!$E10:INDEX('Feijão 1ª safra'!$E10:$Z10,MIN(Z$6-$E$3,22))),0))-IF($G$2,0,IF((Z$6-$G$3)&lt;1,0,IFERROR(LOOKUP(2,1/('Feijão 1ª safra'!$E10:INDEX('Feijão 1ª safra'!$E10:$Z10,MIN(Z$6-$G$3,22))&lt;&gt;""),'Feijão 1ª safra'!$E10:INDEX('Feijão 1ª safra'!$E10:$Z10,MIN(Z$6-$G$3,22))),0)))))</f>
        <v>0</v>
      </c>
      <c r="AA12" s="27" t="n">
        <f aca="false">IF(COUNT('Feijão 1ª safra'!$E10:$Z10)=0,0,MAX(0,IF((AA$6-$E$3)&lt;1,0,IFERROR(LOOKUP(2,1/('Feijão 1ª safra'!$E10:INDEX('Feijão 1ª safra'!$E10:$Z10,MIN(AA$6-$E$3,22))&lt;&gt;""),'Feijão 1ª safra'!$E10:INDEX('Feijão 1ª safra'!$E10:$Z10,MIN(AA$6-$E$3,22))),0))-IF($G$2,0,IF((AA$6-$G$3)&lt;1,0,IFERROR(LOOKUP(2,1/('Feijão 1ª safra'!$E10:INDEX('Feijão 1ª safra'!$E10:$Z10,MIN(AA$6-$G$3,22))&lt;&gt;""),'Feijão 1ª safra'!$E10:INDEX('Feijão 1ª safra'!$E10:$Z10,MIN(AA$6-$G$3,22))),0)))))</f>
        <v>0</v>
      </c>
      <c r="AB12" s="27" t="n">
        <f aca="false">IF(COUNT('Feijão 1ª safra'!$E10:$Z10)=0,0,MAX(0,IF((AB$6-$E$3)&lt;1,0,IFERROR(LOOKUP(2,1/('Feijão 1ª safra'!$E10:INDEX('Feijão 1ª safra'!$E10:$Z10,MIN(AB$6-$E$3,22))&lt;&gt;""),'Feijão 1ª safra'!$E10:INDEX('Feijão 1ª safra'!$E10:$Z10,MIN(AB$6-$E$3,22))),0))-IF($G$2,0,IF((AB$6-$G$3)&lt;1,0,IFERROR(LOOKUP(2,1/('Feijão 1ª safra'!$E10:INDEX('Feijão 1ª safra'!$E10:$Z10,MIN(AB$6-$G$3,22))&lt;&gt;""),'Feijão 1ª safra'!$E10:INDEX('Feijão 1ª safra'!$E10:$Z10,MIN(AB$6-$G$3,22))),0)))))</f>
        <v>0</v>
      </c>
      <c r="AC12" s="27" t="n">
        <f aca="false">IF(COUNT('Feijão 1ª safra'!$E10:$Z10)=0,0,MAX(0,IF((AC$6-$E$3)&lt;1,0,IFERROR(LOOKUP(2,1/('Feijão 1ª safra'!$E10:INDEX('Feijão 1ª safra'!$E10:$Z10,MIN(AC$6-$E$3,22))&lt;&gt;""),'Feijão 1ª safra'!$E10:INDEX('Feijão 1ª safra'!$E10:$Z10,MIN(AC$6-$E$3,22))),0))-IF($G$2,0,IF((AC$6-$G$3)&lt;1,0,IFERROR(LOOKUP(2,1/('Feijão 1ª safra'!$E10:INDEX('Feijão 1ª safra'!$E10:$Z10,MIN(AC$6-$G$3,22))&lt;&gt;""),'Feijão 1ª safra'!$E10:INDEX('Feijão 1ª safra'!$E10:$Z10,MIN(AC$6-$G$3,22))),0)))))</f>
        <v>0</v>
      </c>
      <c r="AD12" s="27" t="n">
        <f aca="false">IF(COUNT('Feijão 1ª safra'!$E10:$Z10)=0,0,MAX(0,IF((AD$6-$E$3)&lt;1,0,IFERROR(LOOKUP(2,1/('Feijão 1ª safra'!$E10:INDEX('Feijão 1ª safra'!$E10:$Z10,MIN(AD$6-$E$3,22))&lt;&gt;""),'Feijão 1ª safra'!$E10:INDEX('Feijão 1ª safra'!$E10:$Z10,MIN(AD$6-$E$3,22))),0))-IF($G$2,0,IF((AD$6-$G$3)&lt;1,0,IFERROR(LOOKUP(2,1/('Feijão 1ª safra'!$E10:INDEX('Feijão 1ª safra'!$E10:$Z10,MIN(AD$6-$G$3,22))&lt;&gt;""),'Feijão 1ª safra'!$E10:INDEX('Feijão 1ª safra'!$E10:$Z10,MIN(AD$6-$G$3,22))),0)))))</f>
        <v>0</v>
      </c>
      <c r="AE12" s="27" t="n">
        <f aca="false">IF(COUNT('Feijão 1ª safra'!$E10:$Z10)=0,0,MAX(0,IF((AE$6-$E$3)&lt;1,0,IFERROR(LOOKUP(2,1/('Feijão 1ª safra'!$E10:INDEX('Feijão 1ª safra'!$E10:$Z10,MIN(AE$6-$E$3,22))&lt;&gt;""),'Feijão 1ª safra'!$E10:INDEX('Feijão 1ª safra'!$E10:$Z10,MIN(AE$6-$E$3,22))),0))-IF($G$2,0,IF((AE$6-$G$3)&lt;1,0,IFERROR(LOOKUP(2,1/('Feijão 1ª safra'!$E10:INDEX('Feijão 1ª safra'!$E10:$Z10,MIN(AE$6-$G$3,22))&lt;&gt;""),'Feijão 1ª safra'!$E10:INDEX('Feijão 1ª safra'!$E10:$Z10,MIN(AE$6-$G$3,22))),0)))))</f>
        <v>0</v>
      </c>
      <c r="AF12" s="27" t="n">
        <f aca="false">IF(COUNT('Feijão 1ª safra'!$E10:$Z10)=0,0,MAX(0,IF((AF$6-$E$3)&lt;1,0,IFERROR(LOOKUP(2,1/('Feijão 1ª safra'!$E10:INDEX('Feijão 1ª safra'!$E10:$Z10,MIN(AF$6-$E$3,22))&lt;&gt;""),'Feijão 1ª safra'!$E10:INDEX('Feijão 1ª safra'!$E10:$Z10,MIN(AF$6-$E$3,22))),0))-IF($G$2,0,IF((AF$6-$G$3)&lt;1,0,IFERROR(LOOKUP(2,1/('Feijão 1ª safra'!$E10:INDEX('Feijão 1ª safra'!$E10:$Z10,MIN(AF$6-$G$3,22))&lt;&gt;""),'Feijão 1ª safra'!$E10:INDEX('Feijão 1ª safra'!$E10:$Z10,MIN(AF$6-$G$3,22))),0)))))</f>
        <v>0</v>
      </c>
      <c r="AG12" s="27" t="n">
        <f aca="false">IF(COUNT('Feijão 1ª safra'!$E10:$Z10)=0,0,MAX(0,IF((AG$6-$E$3)&lt;1,0,IFERROR(LOOKUP(2,1/('Feijão 1ª safra'!$E10:INDEX('Feijão 1ª safra'!$E10:$Z10,MIN(AG$6-$E$3,22))&lt;&gt;""),'Feijão 1ª safra'!$E10:INDEX('Feijão 1ª safra'!$E10:$Z10,MIN(AG$6-$E$3,22))),0))-IF($G$2,0,IF((AG$6-$G$3)&lt;1,0,IFERROR(LOOKUP(2,1/('Feijão 1ª safra'!$E10:INDEX('Feijão 1ª safra'!$E10:$Z10,MIN(AG$6-$G$3,22))&lt;&gt;""),'Feijão 1ª safra'!$E10:INDEX('Feijão 1ª safra'!$E10:$Z10,MIN(AG$6-$G$3,22))),0)))))</f>
        <v>0</v>
      </c>
      <c r="AH12" s="27" t="n">
        <f aca="false">IF(COUNT('Feijão 1ª safra'!$E10:$Z10)=0,0,MAX(0,IF((AH$6-$E$3)&lt;1,0,IFERROR(LOOKUP(2,1/('Feijão 1ª safra'!$E10:INDEX('Feijão 1ª safra'!$E10:$Z10,MIN(AH$6-$E$3,22))&lt;&gt;""),'Feijão 1ª safra'!$E10:INDEX('Feijão 1ª safra'!$E10:$Z10,MIN(AH$6-$E$3,22))),0))-IF($G$2,0,IF((AH$6-$G$3)&lt;1,0,IFERROR(LOOKUP(2,1/('Feijão 1ª safra'!$E10:INDEX('Feijão 1ª safra'!$E10:$Z10,MIN(AH$6-$G$3,22))&lt;&gt;""),'Feijão 1ª safra'!$E10:INDEX('Feijão 1ª safra'!$E10:$Z10,MIN(AH$6-$G$3,22))),0)))))</f>
        <v>0</v>
      </c>
      <c r="AI12" s="27" t="n">
        <f aca="false">IF(COUNT('Feijão 1ª safra'!$E10:$Z10)=0,0,MAX(0,IF((AI$6-$E$3)&lt;1,0,IFERROR(LOOKUP(2,1/('Feijão 1ª safra'!$E10:INDEX('Feijão 1ª safra'!$E10:$Z10,MIN(AI$6-$E$3,22))&lt;&gt;""),'Feijão 1ª safra'!$E10:INDEX('Feijão 1ª safra'!$E10:$Z10,MIN(AI$6-$E$3,22))),0))-IF($G$2,0,IF((AI$6-$G$3)&lt;1,0,IFERROR(LOOKUP(2,1/('Feijão 1ª safra'!$E10:INDEX('Feijão 1ª safra'!$E10:$Z10,MIN(AI$6-$G$3,22))&lt;&gt;""),'Feijão 1ª safra'!$E10:INDEX('Feijão 1ª safra'!$E10:$Z10,MIN(AI$6-$G$3,22))),0)))))</f>
        <v>0</v>
      </c>
      <c r="AJ12" s="27" t="n">
        <f aca="false">IF(COUNT('Feijão 1ª safra'!$E10:$Z10)=0,0,MAX(0,IF((AJ$6-$E$3)&lt;1,0,IFERROR(LOOKUP(2,1/('Feijão 1ª safra'!$E10:INDEX('Feijão 1ª safra'!$E10:$Z10,MIN(AJ$6-$E$3,22))&lt;&gt;""),'Feijão 1ª safra'!$E10:INDEX('Feijão 1ª safra'!$E10:$Z10,MIN(AJ$6-$E$3,22))),0))-IF($G$2,0,IF((AJ$6-$G$3)&lt;1,0,IFERROR(LOOKUP(2,1/('Feijão 1ª safra'!$E10:INDEX('Feijão 1ª safra'!$E10:$Z10,MIN(AJ$6-$G$3,22))&lt;&gt;""),'Feijão 1ª safra'!$E10:INDEX('Feijão 1ª safra'!$E10:$Z10,MIN(AJ$6-$G$3,22))),0)))))</f>
        <v>0</v>
      </c>
      <c r="AK12" s="27" t="n">
        <f aca="false">IF(COUNT('Feijão 1ª safra'!$E10:$Z10)=0,0,MAX(0,IF((AK$6-$E$3)&lt;1,0,IFERROR(LOOKUP(2,1/('Feijão 1ª safra'!$E10:INDEX('Feijão 1ª safra'!$E10:$Z10,MIN(AK$6-$E$3,22))&lt;&gt;""),'Feijão 1ª safra'!$E10:INDEX('Feijão 1ª safra'!$E10:$Z10,MIN(AK$6-$E$3,22))),0))-IF($G$2,0,IF((AK$6-$G$3)&lt;1,0,IFERROR(LOOKUP(2,1/('Feijão 1ª safra'!$E10:INDEX('Feijão 1ª safra'!$E10:$Z10,MIN(AK$6-$G$3,22))&lt;&gt;""),'Feijão 1ª safra'!$E10:INDEX('Feijão 1ª safra'!$E10:$Z10,MIN(AK$6-$G$3,22))),0)))))</f>
        <v>0</v>
      </c>
      <c r="AL12" s="27" t="n">
        <f aca="false">IF(COUNT('Feijão 1ª safra'!$E10:$Z10)=0,0,MAX(0,IF((AL$6-$E$3)&lt;1,0,IFERROR(LOOKUP(2,1/('Feijão 1ª safra'!$E10:INDEX('Feijão 1ª safra'!$E10:$Z10,MIN(AL$6-$E$3,22))&lt;&gt;""),'Feijão 1ª safra'!$E10:INDEX('Feijão 1ª safra'!$E10:$Z10,MIN(AL$6-$E$3,22))),0))-IF($G$2,0,IF((AL$6-$G$3)&lt;1,0,IFERROR(LOOKUP(2,1/('Feijão 1ª safra'!$E10:INDEX('Feijão 1ª safra'!$E10:$Z10,MIN(AL$6-$G$3,22))&lt;&gt;""),'Feijão 1ª safra'!$E10:INDEX('Feijão 1ª safra'!$E10:$Z10,MIN(AL$6-$G$3,22))),0)))))</f>
        <v>0</v>
      </c>
      <c r="AM12" s="27" t="n">
        <f aca="false">IF(COUNT('Feijão 1ª safra'!$E10:$Z10)=0,0,MAX(0,IF((AM$6-$E$3)&lt;1,0,IFERROR(LOOKUP(2,1/('Feijão 1ª safra'!$E10:INDEX('Feijão 1ª safra'!$E10:$Z10,MIN(AM$6-$E$3,22))&lt;&gt;""),'Feijão 1ª safra'!$E10:INDEX('Feijão 1ª safra'!$E10:$Z10,MIN(AM$6-$E$3,22))),0))-IF($G$2,0,IF((AM$6-$G$3)&lt;1,0,IFERROR(LOOKUP(2,1/('Feijão 1ª safra'!$E10:INDEX('Feijão 1ª safra'!$E10:$Z10,MIN(AM$6-$G$3,22))&lt;&gt;""),'Feijão 1ª safra'!$E10:INDEX('Feijão 1ª safra'!$E10:$Z10,MIN(AM$6-$G$3,22))),0)))))</f>
        <v>0</v>
      </c>
      <c r="AN12" s="27" t="n">
        <f aca="false">IF(COUNT('Feijão 1ª safra'!$E10:$Z10)=0,0,MAX(0,IF((AN$6-$E$3)&lt;1,0,IFERROR(LOOKUP(2,1/('Feijão 1ª safra'!$E10:INDEX('Feijão 1ª safra'!$E10:$Z10,MIN(AN$6-$E$3,22))&lt;&gt;""),'Feijão 1ª safra'!$E10:INDEX('Feijão 1ª safra'!$E10:$Z10,MIN(AN$6-$E$3,22))),0))-IF($G$2,0,IF((AN$6-$G$3)&lt;1,0,IFERROR(LOOKUP(2,1/('Feijão 1ª safra'!$E10:INDEX('Feijão 1ª safra'!$E10:$Z10,MIN(AN$6-$G$3,22))&lt;&gt;""),'Feijão 1ª safra'!$E10:INDEX('Feijão 1ª safra'!$E10:$Z10,MIN(AN$6-$G$3,22))),0)))))</f>
        <v>0</v>
      </c>
      <c r="AO12" s="27" t="n">
        <f aca="false">IF(COUNT('Feijão 1ª safra'!$E10:$Z10)=0,0,MAX(0,IF((AO$6-$E$3)&lt;1,0,IFERROR(LOOKUP(2,1/('Feijão 1ª safra'!$E10:INDEX('Feijão 1ª safra'!$E10:$Z10,MIN(AO$6-$E$3,22))&lt;&gt;""),'Feijão 1ª safra'!$E10:INDEX('Feijão 1ª safra'!$E10:$Z10,MIN(AO$6-$E$3,22))),0))-IF($G$2,0,IF((AO$6-$G$3)&lt;1,0,IFERROR(LOOKUP(2,1/('Feijão 1ª safra'!$E10:INDEX('Feijão 1ª safra'!$E10:$Z10,MIN(AO$6-$G$3,22))&lt;&gt;""),'Feijão 1ª safra'!$E10:INDEX('Feijão 1ª safra'!$E10:$Z10,MIN(AO$6-$G$3,22))),0)))))</f>
        <v>0</v>
      </c>
      <c r="AP12" s="27" t="n">
        <f aca="false">IF(COUNT('Feijão 1ª safra'!$E10:$Z10)=0,0,MAX(0,IF((AP$6-$E$3)&lt;1,0,IFERROR(LOOKUP(2,1/('Feijão 1ª safra'!$E10:INDEX('Feijão 1ª safra'!$E10:$Z10,MIN(AP$6-$E$3,22))&lt;&gt;""),'Feijão 1ª safra'!$E10:INDEX('Feijão 1ª safra'!$E10:$Z10,MIN(AP$6-$E$3,22))),0))-IF($G$2,0,IF((AP$6-$G$3)&lt;1,0,IFERROR(LOOKUP(2,1/('Feijão 1ª safra'!$E10:INDEX('Feijão 1ª safra'!$E10:$Z10,MIN(AP$6-$G$3,22))&lt;&gt;""),'Feijão 1ª safra'!$E10:INDEX('Feijão 1ª safra'!$E10:$Z10,MIN(AP$6-$G$3,22))),0)))))</f>
        <v>0</v>
      </c>
      <c r="AQ12" s="27" t="n">
        <f aca="false">IF(COUNT('Feijão 1ª safra'!$E10:$Z10)=0,0,MAX(0,IF((AQ$6-$E$3)&lt;1,0,IFERROR(LOOKUP(2,1/('Feijão 1ª safra'!$E10:INDEX('Feijão 1ª safra'!$E10:$Z10,MIN(AQ$6-$E$3,22))&lt;&gt;""),'Feijão 1ª safra'!$E10:INDEX('Feijão 1ª safra'!$E10:$Z10,MIN(AQ$6-$E$3,22))),0))-IF($G$2,0,IF((AQ$6-$G$3)&lt;1,0,IFERROR(LOOKUP(2,1/('Feijão 1ª safra'!$E10:INDEX('Feijão 1ª safra'!$E10:$Z10,MIN(AQ$6-$G$3,22))&lt;&gt;""),'Feijão 1ª safra'!$E10:INDEX('Feijão 1ª safra'!$E10:$Z10,MIN(AQ$6-$G$3,22))),0)))))</f>
        <v>0</v>
      </c>
      <c r="AR12" s="27" t="n">
        <f aca="false">IF(COUNT('Feijão 1ª safra'!$E10:$Z10)=0,0,MAX(0,IF((AR$6-$E$3)&lt;1,0,IFERROR(LOOKUP(2,1/('Feijão 1ª safra'!$E10:INDEX('Feijão 1ª safra'!$E10:$Z10,MIN(AR$6-$E$3,22))&lt;&gt;""),'Feijão 1ª safra'!$E10:INDEX('Feijão 1ª safra'!$E10:$Z10,MIN(AR$6-$E$3,22))),0))-IF($G$2,0,IF((AR$6-$G$3)&lt;1,0,IFERROR(LOOKUP(2,1/('Feijão 1ª safra'!$E10:INDEX('Feijão 1ª safra'!$E10:$Z10,MIN(AR$6-$G$3,22))&lt;&gt;""),'Feijão 1ª safra'!$E10:INDEX('Feijão 1ª safra'!$E10:$Z10,MIN(AR$6-$G$3,22))),0)))))</f>
        <v>0</v>
      </c>
      <c r="AS12" s="27" t="n">
        <f aca="false">IF(COUNT('Feijão 1ª safra'!$E10:$Z10)=0,0,MAX(0,IF((AS$6-$E$3)&lt;1,0,IFERROR(LOOKUP(2,1/('Feijão 1ª safra'!$E10:INDEX('Feijão 1ª safra'!$E10:$Z10,MIN(AS$6-$E$3,22))&lt;&gt;""),'Feijão 1ª safra'!$E10:INDEX('Feijão 1ª safra'!$E10:$Z10,MIN(AS$6-$E$3,22))),0))-IF($G$2,0,IF((AS$6-$G$3)&lt;1,0,IFERROR(LOOKUP(2,1/('Feijão 1ª safra'!$E10:INDEX('Feijão 1ª safra'!$E10:$Z10,MIN(AS$6-$G$3,22))&lt;&gt;""),'Feijão 1ª safra'!$E10:INDEX('Feijão 1ª safra'!$E10:$Z10,MIN(AS$6-$G$3,22))),0)))))</f>
        <v>0</v>
      </c>
      <c r="AT12" s="27" t="n">
        <f aca="false">IF(COUNT('Feijão 1ª safra'!$E10:$Z10)=0,0,MAX(0,IF((AT$6-$E$3)&lt;1,0,IFERROR(LOOKUP(2,1/('Feijão 1ª safra'!$E10:INDEX('Feijão 1ª safra'!$E10:$Z10,MIN(AT$6-$E$3,22))&lt;&gt;""),'Feijão 1ª safra'!$E10:INDEX('Feijão 1ª safra'!$E10:$Z10,MIN(AT$6-$E$3,22))),0))-IF($G$2,0,IF((AT$6-$G$3)&lt;1,0,IFERROR(LOOKUP(2,1/('Feijão 1ª safra'!$E10:INDEX('Feijão 1ª safra'!$E10:$Z10,MIN(AT$6-$G$3,22))&lt;&gt;""),'Feijão 1ª safra'!$E10:INDEX('Feijão 1ª safra'!$E10:$Z10,MIN(AT$6-$G$3,22))),0)))))</f>
        <v>0</v>
      </c>
      <c r="AU12" s="27" t="n">
        <f aca="false">IF(COUNT('Feijão 1ª safra'!$E10:$Z10)=0,0,MAX(0,IF((AU$6-$E$3)&lt;1,0,IFERROR(LOOKUP(2,1/('Feijão 1ª safra'!$E10:INDEX('Feijão 1ª safra'!$E10:$Z10,MIN(AU$6-$E$3,22))&lt;&gt;""),'Feijão 1ª safra'!$E10:INDEX('Feijão 1ª safra'!$E10:$Z10,MIN(AU$6-$E$3,22))),0))-IF($G$2,0,IF((AU$6-$G$3)&lt;1,0,IFERROR(LOOKUP(2,1/('Feijão 1ª safra'!$E10:INDEX('Feijão 1ª safra'!$E10:$Z10,MIN(AU$6-$G$3,22))&lt;&gt;""),'Feijão 1ª safra'!$E10:INDEX('Feijão 1ª safra'!$E10:$Z10,MIN(AU$6-$G$3,22))),0)))))</f>
        <v>0</v>
      </c>
      <c r="AV12" s="27" t="n">
        <f aca="false">IF(COUNT('Feijão 1ª safra'!$E10:$Z10)=0,0,MAX(0,IF((AV$6-$E$3)&lt;1,0,IFERROR(LOOKUP(2,1/('Feijão 1ª safra'!$E10:INDEX('Feijão 1ª safra'!$E10:$Z10,MIN(AV$6-$E$3,22))&lt;&gt;""),'Feijão 1ª safra'!$E10:INDEX('Feijão 1ª safra'!$E10:$Z10,MIN(AV$6-$E$3,22))),0))-IF($G$2,0,IF((AV$6-$G$3)&lt;1,0,IFERROR(LOOKUP(2,1/('Feijão 1ª safra'!$E10:INDEX('Feijão 1ª safra'!$E10:$Z10,MIN(AV$6-$G$3,22))&lt;&gt;""),'Feijão 1ª safra'!$E10:INDEX('Feijão 1ª safra'!$E10:$Z10,MIN(AV$6-$G$3,22))),0)))))</f>
        <v>0</v>
      </c>
      <c r="AW12" s="27" t="n">
        <f aca="false">IF(COUNT('Feijão 1ª safra'!$E10:$Z10)=0,0,MAX(0,IF((AW$6-$E$3)&lt;1,0,IFERROR(LOOKUP(2,1/('Feijão 1ª safra'!$E10:INDEX('Feijão 1ª safra'!$E10:$Z10,MIN(AW$6-$E$3,22))&lt;&gt;""),'Feijão 1ª safra'!$E10:INDEX('Feijão 1ª safra'!$E10:$Z10,MIN(AW$6-$E$3,22))),0))-IF($G$2,0,IF((AW$6-$G$3)&lt;1,0,IFERROR(LOOKUP(2,1/('Feijão 1ª safra'!$E10:INDEX('Feijão 1ª safra'!$E10:$Z10,MIN(AW$6-$G$3,22))&lt;&gt;""),'Feijão 1ª safra'!$E10:INDEX('Feijão 1ª safra'!$E10:$Z10,MIN(AW$6-$G$3,22))),0)))))</f>
        <v>0</v>
      </c>
      <c r="AX12" s="27" t="n">
        <f aca="false">IF(COUNT('Feijão 1ª safra'!$E10:$Z10)=0,0,MAX(0,IF((AX$6-$E$3)&lt;1,0,IFERROR(LOOKUP(2,1/('Feijão 1ª safra'!$E10:INDEX('Feijão 1ª safra'!$E10:$Z10,MIN(AX$6-$E$3,22))&lt;&gt;""),'Feijão 1ª safra'!$E10:INDEX('Feijão 1ª safra'!$E10:$Z10,MIN(AX$6-$E$3,22))),0))-IF($G$2,0,IF((AX$6-$G$3)&lt;1,0,IFERROR(LOOKUP(2,1/('Feijão 1ª safra'!$E10:INDEX('Feijão 1ª safra'!$E10:$Z10,MIN(AX$6-$G$3,22))&lt;&gt;""),'Feijão 1ª safra'!$E10:INDEX('Feijão 1ª safra'!$E10:$Z10,MIN(AX$6-$G$3,22))),0)))))</f>
        <v>0</v>
      </c>
      <c r="AY12" s="27" t="n">
        <f aca="false">IF(COUNT('Feijão 1ª safra'!$E10:$Z10)=0,0,MAX(0,IF((AY$6-$E$3)&lt;1,0,IFERROR(LOOKUP(2,1/('Feijão 1ª safra'!$E10:INDEX('Feijão 1ª safra'!$E10:$Z10,MIN(AY$6-$E$3,22))&lt;&gt;""),'Feijão 1ª safra'!$E10:INDEX('Feijão 1ª safra'!$E10:$Z10,MIN(AY$6-$E$3,22))),0))-IF($G$2,0,IF((AY$6-$G$3)&lt;1,0,IFERROR(LOOKUP(2,1/('Feijão 1ª safra'!$E10:INDEX('Feijão 1ª safra'!$E10:$Z10,MIN(AY$6-$G$3,22))&lt;&gt;""),'Feijão 1ª safra'!$E10:INDEX('Feijão 1ª safra'!$E10:$Z10,MIN(AY$6-$G$3,22))),0)))))</f>
        <v>0</v>
      </c>
      <c r="AZ12" s="27" t="n">
        <f aca="false">IF(COUNT('Feijão 1ª safra'!$E10:$Z10)=0,0,MAX(0,IF((AZ$6-$E$3)&lt;1,0,IFERROR(LOOKUP(2,1/('Feijão 1ª safra'!$E10:INDEX('Feijão 1ª safra'!$E10:$Z10,MIN(AZ$6-$E$3,22))&lt;&gt;""),'Feijão 1ª safra'!$E10:INDEX('Feijão 1ª safra'!$E10:$Z10,MIN(AZ$6-$E$3,22))),0))-IF($G$2,0,IF((AZ$6-$G$3)&lt;1,0,IFERROR(LOOKUP(2,1/('Feijão 1ª safra'!$E10:INDEX('Feijão 1ª safra'!$E10:$Z10,MIN(AZ$6-$G$3,22))&lt;&gt;""),'Feijão 1ª safra'!$E10:INDEX('Feijão 1ª safra'!$E10:$Z10,MIN(AZ$6-$G$3,22))),0)))))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IF(COUNT('Feijão 1ª safra'!$E11:$Z11)&gt;0,N('Feijão 1ª safra'!$D11),0)</f>
        <v>0</v>
      </c>
      <c r="E13" s="27" t="n">
        <f aca="false">IF(COUNT('Feijão 1ª safra'!$E11:$Z11)=0,0,MAX(0,IF((E$6-$E$3)&lt;1,0,IFERROR(LOOKUP(2,1/('Feijão 1ª safra'!$E11:INDEX('Feijão 1ª safra'!$E11:$Z11,MIN(E$6-$E$3,22))&lt;&gt;""),'Feijão 1ª safra'!$E11:INDEX('Feijão 1ª safra'!$E11:$Z11,MIN(E$6-$E$3,22))),0))-IF($G$2,0,IF((E$6-$G$3)&lt;1,0,IFERROR(LOOKUP(2,1/('Feijão 1ª safra'!$E11:INDEX('Feijão 1ª safra'!$E11:$Z11,MIN(E$6-$G$3,22))&lt;&gt;""),'Feijão 1ª safra'!$E11:INDEX('Feijão 1ª safra'!$E11:$Z11,MIN(E$6-$G$3,22))),0)))))</f>
        <v>0</v>
      </c>
      <c r="F13" s="27" t="n">
        <f aca="false">IF(COUNT('Feijão 1ª safra'!$E11:$Z11)=0,0,MAX(0,IF((F$6-$E$3)&lt;1,0,IFERROR(LOOKUP(2,1/('Feijão 1ª safra'!$E11:INDEX('Feijão 1ª safra'!$E11:$Z11,MIN(F$6-$E$3,22))&lt;&gt;""),'Feijão 1ª safra'!$E11:INDEX('Feijão 1ª safra'!$E11:$Z11,MIN(F$6-$E$3,22))),0))-IF($G$2,0,IF((F$6-$G$3)&lt;1,0,IFERROR(LOOKUP(2,1/('Feijão 1ª safra'!$E11:INDEX('Feijão 1ª safra'!$E11:$Z11,MIN(F$6-$G$3,22))&lt;&gt;""),'Feijão 1ª safra'!$E11:INDEX('Feijão 1ª safra'!$E11:$Z11,MIN(F$6-$G$3,22))),0)))))</f>
        <v>0</v>
      </c>
      <c r="G13" s="27" t="n">
        <f aca="false">IF(COUNT('Feijão 1ª safra'!$E11:$Z11)=0,0,MAX(0,IF((G$6-$E$3)&lt;1,0,IFERROR(LOOKUP(2,1/('Feijão 1ª safra'!$E11:INDEX('Feijão 1ª safra'!$E11:$Z11,MIN(G$6-$E$3,22))&lt;&gt;""),'Feijão 1ª safra'!$E11:INDEX('Feijão 1ª safra'!$E11:$Z11,MIN(G$6-$E$3,22))),0))-IF($G$2,0,IF((G$6-$G$3)&lt;1,0,IFERROR(LOOKUP(2,1/('Feijão 1ª safra'!$E11:INDEX('Feijão 1ª safra'!$E11:$Z11,MIN(G$6-$G$3,22))&lt;&gt;""),'Feijão 1ª safra'!$E11:INDEX('Feijão 1ª safra'!$E11:$Z11,MIN(G$6-$G$3,22))),0)))))</f>
        <v>0</v>
      </c>
      <c r="H13" s="27" t="n">
        <f aca="false">IF(COUNT('Feijão 1ª safra'!$E11:$Z11)=0,0,MAX(0,IF((H$6-$E$3)&lt;1,0,IFERROR(LOOKUP(2,1/('Feijão 1ª safra'!$E11:INDEX('Feijão 1ª safra'!$E11:$Z11,MIN(H$6-$E$3,22))&lt;&gt;""),'Feijão 1ª safra'!$E11:INDEX('Feijão 1ª safra'!$E11:$Z11,MIN(H$6-$E$3,22))),0))-IF($G$2,0,IF((H$6-$G$3)&lt;1,0,IFERROR(LOOKUP(2,1/('Feijão 1ª safra'!$E11:INDEX('Feijão 1ª safra'!$E11:$Z11,MIN(H$6-$G$3,22))&lt;&gt;""),'Feijão 1ª safra'!$E11:INDEX('Feijão 1ª safra'!$E11:$Z11,MIN(H$6-$G$3,22))),0)))))</f>
        <v>0</v>
      </c>
      <c r="I13" s="27" t="n">
        <f aca="false">IF(COUNT('Feijão 1ª safra'!$E11:$Z11)=0,0,MAX(0,IF((I$6-$E$3)&lt;1,0,IFERROR(LOOKUP(2,1/('Feijão 1ª safra'!$E11:INDEX('Feijão 1ª safra'!$E11:$Z11,MIN(I$6-$E$3,22))&lt;&gt;""),'Feijão 1ª safra'!$E11:INDEX('Feijão 1ª safra'!$E11:$Z11,MIN(I$6-$E$3,22))),0))-IF($G$2,0,IF((I$6-$G$3)&lt;1,0,IFERROR(LOOKUP(2,1/('Feijão 1ª safra'!$E11:INDEX('Feijão 1ª safra'!$E11:$Z11,MIN(I$6-$G$3,22))&lt;&gt;""),'Feijão 1ª safra'!$E11:INDEX('Feijão 1ª safra'!$E11:$Z11,MIN(I$6-$G$3,22))),0)))))</f>
        <v>0</v>
      </c>
      <c r="J13" s="27" t="n">
        <f aca="false">IF(COUNT('Feijão 1ª safra'!$E11:$Z11)=0,0,MAX(0,IF((J$6-$E$3)&lt;1,0,IFERROR(LOOKUP(2,1/('Feijão 1ª safra'!$E11:INDEX('Feijão 1ª safra'!$E11:$Z11,MIN(J$6-$E$3,22))&lt;&gt;""),'Feijão 1ª safra'!$E11:INDEX('Feijão 1ª safra'!$E11:$Z11,MIN(J$6-$E$3,22))),0))-IF($G$2,0,IF((J$6-$G$3)&lt;1,0,IFERROR(LOOKUP(2,1/('Feijão 1ª safra'!$E11:INDEX('Feijão 1ª safra'!$E11:$Z11,MIN(J$6-$G$3,22))&lt;&gt;""),'Feijão 1ª safra'!$E11:INDEX('Feijão 1ª safra'!$E11:$Z11,MIN(J$6-$G$3,22))),0)))))</f>
        <v>0</v>
      </c>
      <c r="K13" s="27" t="n">
        <f aca="false">IF(COUNT('Feijão 1ª safra'!$E11:$Z11)=0,0,MAX(0,IF((K$6-$E$3)&lt;1,0,IFERROR(LOOKUP(2,1/('Feijão 1ª safra'!$E11:INDEX('Feijão 1ª safra'!$E11:$Z11,MIN(K$6-$E$3,22))&lt;&gt;""),'Feijão 1ª safra'!$E11:INDEX('Feijão 1ª safra'!$E11:$Z11,MIN(K$6-$E$3,22))),0))-IF($G$2,0,IF((K$6-$G$3)&lt;1,0,IFERROR(LOOKUP(2,1/('Feijão 1ª safra'!$E11:INDEX('Feijão 1ª safra'!$E11:$Z11,MIN(K$6-$G$3,22))&lt;&gt;""),'Feijão 1ª safra'!$E11:INDEX('Feijão 1ª safra'!$E11:$Z11,MIN(K$6-$G$3,22))),0)))))</f>
        <v>0</v>
      </c>
      <c r="L13" s="27" t="n">
        <f aca="false">IF(COUNT('Feijão 1ª safra'!$E11:$Z11)=0,0,MAX(0,IF((L$6-$E$3)&lt;1,0,IFERROR(LOOKUP(2,1/('Feijão 1ª safra'!$E11:INDEX('Feijão 1ª safra'!$E11:$Z11,MIN(L$6-$E$3,22))&lt;&gt;""),'Feijão 1ª safra'!$E11:INDEX('Feijão 1ª safra'!$E11:$Z11,MIN(L$6-$E$3,22))),0))-IF($G$2,0,IF((L$6-$G$3)&lt;1,0,IFERROR(LOOKUP(2,1/('Feijão 1ª safra'!$E11:INDEX('Feijão 1ª safra'!$E11:$Z11,MIN(L$6-$G$3,22))&lt;&gt;""),'Feijão 1ª safra'!$E11:INDEX('Feijão 1ª safra'!$E11:$Z11,MIN(L$6-$G$3,22))),0)))))</f>
        <v>0</v>
      </c>
      <c r="M13" s="27" t="n">
        <f aca="false">IF(COUNT('Feijão 1ª safra'!$E11:$Z11)=0,0,MAX(0,IF((M$6-$E$3)&lt;1,0,IFERROR(LOOKUP(2,1/('Feijão 1ª safra'!$E11:INDEX('Feijão 1ª safra'!$E11:$Z11,MIN(M$6-$E$3,22))&lt;&gt;""),'Feijão 1ª safra'!$E11:INDEX('Feijão 1ª safra'!$E11:$Z11,MIN(M$6-$E$3,22))),0))-IF($G$2,0,IF((M$6-$G$3)&lt;1,0,IFERROR(LOOKUP(2,1/('Feijão 1ª safra'!$E11:INDEX('Feijão 1ª safra'!$E11:$Z11,MIN(M$6-$G$3,22))&lt;&gt;""),'Feijão 1ª safra'!$E11:INDEX('Feijão 1ª safra'!$E11:$Z11,MIN(M$6-$G$3,22))),0)))))</f>
        <v>0</v>
      </c>
      <c r="N13" s="27" t="n">
        <f aca="false">IF(COUNT('Feijão 1ª safra'!$E11:$Z11)=0,0,MAX(0,IF((N$6-$E$3)&lt;1,0,IFERROR(LOOKUP(2,1/('Feijão 1ª safra'!$E11:INDEX('Feijão 1ª safra'!$E11:$Z11,MIN(N$6-$E$3,22))&lt;&gt;""),'Feijão 1ª safra'!$E11:INDEX('Feijão 1ª safra'!$E11:$Z11,MIN(N$6-$E$3,22))),0))-IF($G$2,0,IF((N$6-$G$3)&lt;1,0,IFERROR(LOOKUP(2,1/('Feijão 1ª safra'!$E11:INDEX('Feijão 1ª safra'!$E11:$Z11,MIN(N$6-$G$3,22))&lt;&gt;""),'Feijão 1ª safra'!$E11:INDEX('Feijão 1ª safra'!$E11:$Z11,MIN(N$6-$G$3,22))),0)))))</f>
        <v>0</v>
      </c>
      <c r="O13" s="27" t="n">
        <f aca="false">IF(COUNT('Feijão 1ª safra'!$E11:$Z11)=0,0,MAX(0,IF((O$6-$E$3)&lt;1,0,IFERROR(LOOKUP(2,1/('Feijão 1ª safra'!$E11:INDEX('Feijão 1ª safra'!$E11:$Z11,MIN(O$6-$E$3,22))&lt;&gt;""),'Feijão 1ª safra'!$E11:INDEX('Feijão 1ª safra'!$E11:$Z11,MIN(O$6-$E$3,22))),0))-IF($G$2,0,IF((O$6-$G$3)&lt;1,0,IFERROR(LOOKUP(2,1/('Feijão 1ª safra'!$E11:INDEX('Feijão 1ª safra'!$E11:$Z11,MIN(O$6-$G$3,22))&lt;&gt;""),'Feijão 1ª safra'!$E11:INDEX('Feijão 1ª safra'!$E11:$Z11,MIN(O$6-$G$3,22))),0)))))</f>
        <v>0</v>
      </c>
      <c r="P13" s="27" t="n">
        <f aca="false">IF(COUNT('Feijão 1ª safra'!$E11:$Z11)=0,0,MAX(0,IF((P$6-$E$3)&lt;1,0,IFERROR(LOOKUP(2,1/('Feijão 1ª safra'!$E11:INDEX('Feijão 1ª safra'!$E11:$Z11,MIN(P$6-$E$3,22))&lt;&gt;""),'Feijão 1ª safra'!$E11:INDEX('Feijão 1ª safra'!$E11:$Z11,MIN(P$6-$E$3,22))),0))-IF($G$2,0,IF((P$6-$G$3)&lt;1,0,IFERROR(LOOKUP(2,1/('Feijão 1ª safra'!$E11:INDEX('Feijão 1ª safra'!$E11:$Z11,MIN(P$6-$G$3,22))&lt;&gt;""),'Feijão 1ª safra'!$E11:INDEX('Feijão 1ª safra'!$E11:$Z11,MIN(P$6-$G$3,22))),0)))))</f>
        <v>0</v>
      </c>
      <c r="Q13" s="27" t="n">
        <f aca="false">IF(COUNT('Feijão 1ª safra'!$E11:$Z11)=0,0,MAX(0,IF((Q$6-$E$3)&lt;1,0,IFERROR(LOOKUP(2,1/('Feijão 1ª safra'!$E11:INDEX('Feijão 1ª safra'!$E11:$Z11,MIN(Q$6-$E$3,22))&lt;&gt;""),'Feijão 1ª safra'!$E11:INDEX('Feijão 1ª safra'!$E11:$Z11,MIN(Q$6-$E$3,22))),0))-IF($G$2,0,IF((Q$6-$G$3)&lt;1,0,IFERROR(LOOKUP(2,1/('Feijão 1ª safra'!$E11:INDEX('Feijão 1ª safra'!$E11:$Z11,MIN(Q$6-$G$3,22))&lt;&gt;""),'Feijão 1ª safra'!$E11:INDEX('Feijão 1ª safra'!$E11:$Z11,MIN(Q$6-$G$3,22))),0)))))</f>
        <v>0</v>
      </c>
      <c r="R13" s="27" t="n">
        <f aca="false">IF(COUNT('Feijão 1ª safra'!$E11:$Z11)=0,0,MAX(0,IF((R$6-$E$3)&lt;1,0,IFERROR(LOOKUP(2,1/('Feijão 1ª safra'!$E11:INDEX('Feijão 1ª safra'!$E11:$Z11,MIN(R$6-$E$3,22))&lt;&gt;""),'Feijão 1ª safra'!$E11:INDEX('Feijão 1ª safra'!$E11:$Z11,MIN(R$6-$E$3,22))),0))-IF($G$2,0,IF((R$6-$G$3)&lt;1,0,IFERROR(LOOKUP(2,1/('Feijão 1ª safra'!$E11:INDEX('Feijão 1ª safra'!$E11:$Z11,MIN(R$6-$G$3,22))&lt;&gt;""),'Feijão 1ª safra'!$E11:INDEX('Feijão 1ª safra'!$E11:$Z11,MIN(R$6-$G$3,22))),0)))))</f>
        <v>0</v>
      </c>
      <c r="S13" s="27" t="n">
        <f aca="false">IF(COUNT('Feijão 1ª safra'!$E11:$Z11)=0,0,MAX(0,IF((S$6-$E$3)&lt;1,0,IFERROR(LOOKUP(2,1/('Feijão 1ª safra'!$E11:INDEX('Feijão 1ª safra'!$E11:$Z11,MIN(S$6-$E$3,22))&lt;&gt;""),'Feijão 1ª safra'!$E11:INDEX('Feijão 1ª safra'!$E11:$Z11,MIN(S$6-$E$3,22))),0))-IF($G$2,0,IF((S$6-$G$3)&lt;1,0,IFERROR(LOOKUP(2,1/('Feijão 1ª safra'!$E11:INDEX('Feijão 1ª safra'!$E11:$Z11,MIN(S$6-$G$3,22))&lt;&gt;""),'Feijão 1ª safra'!$E11:INDEX('Feijão 1ª safra'!$E11:$Z11,MIN(S$6-$G$3,22))),0)))))</f>
        <v>0</v>
      </c>
      <c r="T13" s="27" t="n">
        <f aca="false">IF(COUNT('Feijão 1ª safra'!$E11:$Z11)=0,0,MAX(0,IF((T$6-$E$3)&lt;1,0,IFERROR(LOOKUP(2,1/('Feijão 1ª safra'!$E11:INDEX('Feijão 1ª safra'!$E11:$Z11,MIN(T$6-$E$3,22))&lt;&gt;""),'Feijão 1ª safra'!$E11:INDEX('Feijão 1ª safra'!$E11:$Z11,MIN(T$6-$E$3,22))),0))-IF($G$2,0,IF((T$6-$G$3)&lt;1,0,IFERROR(LOOKUP(2,1/('Feijão 1ª safra'!$E11:INDEX('Feijão 1ª safra'!$E11:$Z11,MIN(T$6-$G$3,22))&lt;&gt;""),'Feijão 1ª safra'!$E11:INDEX('Feijão 1ª safra'!$E11:$Z11,MIN(T$6-$G$3,22))),0)))))</f>
        <v>0</v>
      </c>
      <c r="U13" s="27" t="n">
        <f aca="false">IF(COUNT('Feijão 1ª safra'!$E11:$Z11)=0,0,MAX(0,IF((U$6-$E$3)&lt;1,0,IFERROR(LOOKUP(2,1/('Feijão 1ª safra'!$E11:INDEX('Feijão 1ª safra'!$E11:$Z11,MIN(U$6-$E$3,22))&lt;&gt;""),'Feijão 1ª safra'!$E11:INDEX('Feijão 1ª safra'!$E11:$Z11,MIN(U$6-$E$3,22))),0))-IF($G$2,0,IF((U$6-$G$3)&lt;1,0,IFERROR(LOOKUP(2,1/('Feijão 1ª safra'!$E11:INDEX('Feijão 1ª safra'!$E11:$Z11,MIN(U$6-$G$3,22))&lt;&gt;""),'Feijão 1ª safra'!$E11:INDEX('Feijão 1ª safra'!$E11:$Z11,MIN(U$6-$G$3,22))),0)))))</f>
        <v>0</v>
      </c>
      <c r="V13" s="27" t="n">
        <f aca="false">IF(COUNT('Feijão 1ª safra'!$E11:$Z11)=0,0,MAX(0,IF((V$6-$E$3)&lt;1,0,IFERROR(LOOKUP(2,1/('Feijão 1ª safra'!$E11:INDEX('Feijão 1ª safra'!$E11:$Z11,MIN(V$6-$E$3,22))&lt;&gt;""),'Feijão 1ª safra'!$E11:INDEX('Feijão 1ª safra'!$E11:$Z11,MIN(V$6-$E$3,22))),0))-IF($G$2,0,IF((V$6-$G$3)&lt;1,0,IFERROR(LOOKUP(2,1/('Feijão 1ª safra'!$E11:INDEX('Feijão 1ª safra'!$E11:$Z11,MIN(V$6-$G$3,22))&lt;&gt;""),'Feijão 1ª safra'!$E11:INDEX('Feijão 1ª safra'!$E11:$Z11,MIN(V$6-$G$3,22))),0)))))</f>
        <v>0</v>
      </c>
      <c r="W13" s="27" t="n">
        <f aca="false">IF(COUNT('Feijão 1ª safra'!$E11:$Z11)=0,0,MAX(0,IF((W$6-$E$3)&lt;1,0,IFERROR(LOOKUP(2,1/('Feijão 1ª safra'!$E11:INDEX('Feijão 1ª safra'!$E11:$Z11,MIN(W$6-$E$3,22))&lt;&gt;""),'Feijão 1ª safra'!$E11:INDEX('Feijão 1ª safra'!$E11:$Z11,MIN(W$6-$E$3,22))),0))-IF($G$2,0,IF((W$6-$G$3)&lt;1,0,IFERROR(LOOKUP(2,1/('Feijão 1ª safra'!$E11:INDEX('Feijão 1ª safra'!$E11:$Z11,MIN(W$6-$G$3,22))&lt;&gt;""),'Feijão 1ª safra'!$E11:INDEX('Feijão 1ª safra'!$E11:$Z11,MIN(W$6-$G$3,22))),0)))))</f>
        <v>0</v>
      </c>
      <c r="X13" s="27" t="n">
        <f aca="false">IF(COUNT('Feijão 1ª safra'!$E11:$Z11)=0,0,MAX(0,IF((X$6-$E$3)&lt;1,0,IFERROR(LOOKUP(2,1/('Feijão 1ª safra'!$E11:INDEX('Feijão 1ª safra'!$E11:$Z11,MIN(X$6-$E$3,22))&lt;&gt;""),'Feijão 1ª safra'!$E11:INDEX('Feijão 1ª safra'!$E11:$Z11,MIN(X$6-$E$3,22))),0))-IF($G$2,0,IF((X$6-$G$3)&lt;1,0,IFERROR(LOOKUP(2,1/('Feijão 1ª safra'!$E11:INDEX('Feijão 1ª safra'!$E11:$Z11,MIN(X$6-$G$3,22))&lt;&gt;""),'Feijão 1ª safra'!$E11:INDEX('Feijão 1ª safra'!$E11:$Z11,MIN(X$6-$G$3,22))),0)))))</f>
        <v>0</v>
      </c>
      <c r="Y13" s="27" t="n">
        <f aca="false">IF(COUNT('Feijão 1ª safra'!$E11:$Z11)=0,0,MAX(0,IF((Y$6-$E$3)&lt;1,0,IFERROR(LOOKUP(2,1/('Feijão 1ª safra'!$E11:INDEX('Feijão 1ª safra'!$E11:$Z11,MIN(Y$6-$E$3,22))&lt;&gt;""),'Feijão 1ª safra'!$E11:INDEX('Feijão 1ª safra'!$E11:$Z11,MIN(Y$6-$E$3,22))),0))-IF($G$2,0,IF((Y$6-$G$3)&lt;1,0,IFERROR(LOOKUP(2,1/('Feijão 1ª safra'!$E11:INDEX('Feijão 1ª safra'!$E11:$Z11,MIN(Y$6-$G$3,22))&lt;&gt;""),'Feijão 1ª safra'!$E11:INDEX('Feijão 1ª safra'!$E11:$Z11,MIN(Y$6-$G$3,22))),0)))))</f>
        <v>0</v>
      </c>
      <c r="Z13" s="27" t="n">
        <f aca="false">IF(COUNT('Feijão 1ª safra'!$E11:$Z11)=0,0,MAX(0,IF((Z$6-$E$3)&lt;1,0,IFERROR(LOOKUP(2,1/('Feijão 1ª safra'!$E11:INDEX('Feijão 1ª safra'!$E11:$Z11,MIN(Z$6-$E$3,22))&lt;&gt;""),'Feijão 1ª safra'!$E11:INDEX('Feijão 1ª safra'!$E11:$Z11,MIN(Z$6-$E$3,22))),0))-IF($G$2,0,IF((Z$6-$G$3)&lt;1,0,IFERROR(LOOKUP(2,1/('Feijão 1ª safra'!$E11:INDEX('Feijão 1ª safra'!$E11:$Z11,MIN(Z$6-$G$3,22))&lt;&gt;""),'Feijão 1ª safra'!$E11:INDEX('Feijão 1ª safra'!$E11:$Z11,MIN(Z$6-$G$3,22))),0)))))</f>
        <v>0</v>
      </c>
      <c r="AA13" s="27" t="n">
        <f aca="false">IF(COUNT('Feijão 1ª safra'!$E11:$Z11)=0,0,MAX(0,IF((AA$6-$E$3)&lt;1,0,IFERROR(LOOKUP(2,1/('Feijão 1ª safra'!$E11:INDEX('Feijão 1ª safra'!$E11:$Z11,MIN(AA$6-$E$3,22))&lt;&gt;""),'Feijão 1ª safra'!$E11:INDEX('Feijão 1ª safra'!$E11:$Z11,MIN(AA$6-$E$3,22))),0))-IF($G$2,0,IF((AA$6-$G$3)&lt;1,0,IFERROR(LOOKUP(2,1/('Feijão 1ª safra'!$E11:INDEX('Feijão 1ª safra'!$E11:$Z11,MIN(AA$6-$G$3,22))&lt;&gt;""),'Feijão 1ª safra'!$E11:INDEX('Feijão 1ª safra'!$E11:$Z11,MIN(AA$6-$G$3,22))),0)))))</f>
        <v>0</v>
      </c>
      <c r="AB13" s="27" t="n">
        <f aca="false">IF(COUNT('Feijão 1ª safra'!$E11:$Z11)=0,0,MAX(0,IF((AB$6-$E$3)&lt;1,0,IFERROR(LOOKUP(2,1/('Feijão 1ª safra'!$E11:INDEX('Feijão 1ª safra'!$E11:$Z11,MIN(AB$6-$E$3,22))&lt;&gt;""),'Feijão 1ª safra'!$E11:INDEX('Feijão 1ª safra'!$E11:$Z11,MIN(AB$6-$E$3,22))),0))-IF($G$2,0,IF((AB$6-$G$3)&lt;1,0,IFERROR(LOOKUP(2,1/('Feijão 1ª safra'!$E11:INDEX('Feijão 1ª safra'!$E11:$Z11,MIN(AB$6-$G$3,22))&lt;&gt;""),'Feijão 1ª safra'!$E11:INDEX('Feijão 1ª safra'!$E11:$Z11,MIN(AB$6-$G$3,22))),0)))))</f>
        <v>0</v>
      </c>
      <c r="AC13" s="27" t="n">
        <f aca="false">IF(COUNT('Feijão 1ª safra'!$E11:$Z11)=0,0,MAX(0,IF((AC$6-$E$3)&lt;1,0,IFERROR(LOOKUP(2,1/('Feijão 1ª safra'!$E11:INDEX('Feijão 1ª safra'!$E11:$Z11,MIN(AC$6-$E$3,22))&lt;&gt;""),'Feijão 1ª safra'!$E11:INDEX('Feijão 1ª safra'!$E11:$Z11,MIN(AC$6-$E$3,22))),0))-IF($G$2,0,IF((AC$6-$G$3)&lt;1,0,IFERROR(LOOKUP(2,1/('Feijão 1ª safra'!$E11:INDEX('Feijão 1ª safra'!$E11:$Z11,MIN(AC$6-$G$3,22))&lt;&gt;""),'Feijão 1ª safra'!$E11:INDEX('Feijão 1ª safra'!$E11:$Z11,MIN(AC$6-$G$3,22))),0)))))</f>
        <v>0</v>
      </c>
      <c r="AD13" s="27" t="n">
        <f aca="false">IF(COUNT('Feijão 1ª safra'!$E11:$Z11)=0,0,MAX(0,IF((AD$6-$E$3)&lt;1,0,IFERROR(LOOKUP(2,1/('Feijão 1ª safra'!$E11:INDEX('Feijão 1ª safra'!$E11:$Z11,MIN(AD$6-$E$3,22))&lt;&gt;""),'Feijão 1ª safra'!$E11:INDEX('Feijão 1ª safra'!$E11:$Z11,MIN(AD$6-$E$3,22))),0))-IF($G$2,0,IF((AD$6-$G$3)&lt;1,0,IFERROR(LOOKUP(2,1/('Feijão 1ª safra'!$E11:INDEX('Feijão 1ª safra'!$E11:$Z11,MIN(AD$6-$G$3,22))&lt;&gt;""),'Feijão 1ª safra'!$E11:INDEX('Feijão 1ª safra'!$E11:$Z11,MIN(AD$6-$G$3,22))),0)))))</f>
        <v>0</v>
      </c>
      <c r="AE13" s="27" t="n">
        <f aca="false">IF(COUNT('Feijão 1ª safra'!$E11:$Z11)=0,0,MAX(0,IF((AE$6-$E$3)&lt;1,0,IFERROR(LOOKUP(2,1/('Feijão 1ª safra'!$E11:INDEX('Feijão 1ª safra'!$E11:$Z11,MIN(AE$6-$E$3,22))&lt;&gt;""),'Feijão 1ª safra'!$E11:INDEX('Feijão 1ª safra'!$E11:$Z11,MIN(AE$6-$E$3,22))),0))-IF($G$2,0,IF((AE$6-$G$3)&lt;1,0,IFERROR(LOOKUP(2,1/('Feijão 1ª safra'!$E11:INDEX('Feijão 1ª safra'!$E11:$Z11,MIN(AE$6-$G$3,22))&lt;&gt;""),'Feijão 1ª safra'!$E11:INDEX('Feijão 1ª safra'!$E11:$Z11,MIN(AE$6-$G$3,22))),0)))))</f>
        <v>0</v>
      </c>
      <c r="AF13" s="27" t="n">
        <f aca="false">IF(COUNT('Feijão 1ª safra'!$E11:$Z11)=0,0,MAX(0,IF((AF$6-$E$3)&lt;1,0,IFERROR(LOOKUP(2,1/('Feijão 1ª safra'!$E11:INDEX('Feijão 1ª safra'!$E11:$Z11,MIN(AF$6-$E$3,22))&lt;&gt;""),'Feijão 1ª safra'!$E11:INDEX('Feijão 1ª safra'!$E11:$Z11,MIN(AF$6-$E$3,22))),0))-IF($G$2,0,IF((AF$6-$G$3)&lt;1,0,IFERROR(LOOKUP(2,1/('Feijão 1ª safra'!$E11:INDEX('Feijão 1ª safra'!$E11:$Z11,MIN(AF$6-$G$3,22))&lt;&gt;""),'Feijão 1ª safra'!$E11:INDEX('Feijão 1ª safra'!$E11:$Z11,MIN(AF$6-$G$3,22))),0)))))</f>
        <v>0</v>
      </c>
      <c r="AG13" s="27" t="n">
        <f aca="false">IF(COUNT('Feijão 1ª safra'!$E11:$Z11)=0,0,MAX(0,IF((AG$6-$E$3)&lt;1,0,IFERROR(LOOKUP(2,1/('Feijão 1ª safra'!$E11:INDEX('Feijão 1ª safra'!$E11:$Z11,MIN(AG$6-$E$3,22))&lt;&gt;""),'Feijão 1ª safra'!$E11:INDEX('Feijão 1ª safra'!$E11:$Z11,MIN(AG$6-$E$3,22))),0))-IF($G$2,0,IF((AG$6-$G$3)&lt;1,0,IFERROR(LOOKUP(2,1/('Feijão 1ª safra'!$E11:INDEX('Feijão 1ª safra'!$E11:$Z11,MIN(AG$6-$G$3,22))&lt;&gt;""),'Feijão 1ª safra'!$E11:INDEX('Feijão 1ª safra'!$E11:$Z11,MIN(AG$6-$G$3,22))),0)))))</f>
        <v>0</v>
      </c>
      <c r="AH13" s="27" t="n">
        <f aca="false">IF(COUNT('Feijão 1ª safra'!$E11:$Z11)=0,0,MAX(0,IF((AH$6-$E$3)&lt;1,0,IFERROR(LOOKUP(2,1/('Feijão 1ª safra'!$E11:INDEX('Feijão 1ª safra'!$E11:$Z11,MIN(AH$6-$E$3,22))&lt;&gt;""),'Feijão 1ª safra'!$E11:INDEX('Feijão 1ª safra'!$E11:$Z11,MIN(AH$6-$E$3,22))),0))-IF($G$2,0,IF((AH$6-$G$3)&lt;1,0,IFERROR(LOOKUP(2,1/('Feijão 1ª safra'!$E11:INDEX('Feijão 1ª safra'!$E11:$Z11,MIN(AH$6-$G$3,22))&lt;&gt;""),'Feijão 1ª safra'!$E11:INDEX('Feijão 1ª safra'!$E11:$Z11,MIN(AH$6-$G$3,22))),0)))))</f>
        <v>0</v>
      </c>
      <c r="AI13" s="27" t="n">
        <f aca="false">IF(COUNT('Feijão 1ª safra'!$E11:$Z11)=0,0,MAX(0,IF((AI$6-$E$3)&lt;1,0,IFERROR(LOOKUP(2,1/('Feijão 1ª safra'!$E11:INDEX('Feijão 1ª safra'!$E11:$Z11,MIN(AI$6-$E$3,22))&lt;&gt;""),'Feijão 1ª safra'!$E11:INDEX('Feijão 1ª safra'!$E11:$Z11,MIN(AI$6-$E$3,22))),0))-IF($G$2,0,IF((AI$6-$G$3)&lt;1,0,IFERROR(LOOKUP(2,1/('Feijão 1ª safra'!$E11:INDEX('Feijão 1ª safra'!$E11:$Z11,MIN(AI$6-$G$3,22))&lt;&gt;""),'Feijão 1ª safra'!$E11:INDEX('Feijão 1ª safra'!$E11:$Z11,MIN(AI$6-$G$3,22))),0)))))</f>
        <v>0</v>
      </c>
      <c r="AJ13" s="27" t="n">
        <f aca="false">IF(COUNT('Feijão 1ª safra'!$E11:$Z11)=0,0,MAX(0,IF((AJ$6-$E$3)&lt;1,0,IFERROR(LOOKUP(2,1/('Feijão 1ª safra'!$E11:INDEX('Feijão 1ª safra'!$E11:$Z11,MIN(AJ$6-$E$3,22))&lt;&gt;""),'Feijão 1ª safra'!$E11:INDEX('Feijão 1ª safra'!$E11:$Z11,MIN(AJ$6-$E$3,22))),0))-IF($G$2,0,IF((AJ$6-$G$3)&lt;1,0,IFERROR(LOOKUP(2,1/('Feijão 1ª safra'!$E11:INDEX('Feijão 1ª safra'!$E11:$Z11,MIN(AJ$6-$G$3,22))&lt;&gt;""),'Feijão 1ª safra'!$E11:INDEX('Feijão 1ª safra'!$E11:$Z11,MIN(AJ$6-$G$3,22))),0)))))</f>
        <v>0</v>
      </c>
      <c r="AK13" s="27" t="n">
        <f aca="false">IF(COUNT('Feijão 1ª safra'!$E11:$Z11)=0,0,MAX(0,IF((AK$6-$E$3)&lt;1,0,IFERROR(LOOKUP(2,1/('Feijão 1ª safra'!$E11:INDEX('Feijão 1ª safra'!$E11:$Z11,MIN(AK$6-$E$3,22))&lt;&gt;""),'Feijão 1ª safra'!$E11:INDEX('Feijão 1ª safra'!$E11:$Z11,MIN(AK$6-$E$3,22))),0))-IF($G$2,0,IF((AK$6-$G$3)&lt;1,0,IFERROR(LOOKUP(2,1/('Feijão 1ª safra'!$E11:INDEX('Feijão 1ª safra'!$E11:$Z11,MIN(AK$6-$G$3,22))&lt;&gt;""),'Feijão 1ª safra'!$E11:INDEX('Feijão 1ª safra'!$E11:$Z11,MIN(AK$6-$G$3,22))),0)))))</f>
        <v>0</v>
      </c>
      <c r="AL13" s="27" t="n">
        <f aca="false">IF(COUNT('Feijão 1ª safra'!$E11:$Z11)=0,0,MAX(0,IF((AL$6-$E$3)&lt;1,0,IFERROR(LOOKUP(2,1/('Feijão 1ª safra'!$E11:INDEX('Feijão 1ª safra'!$E11:$Z11,MIN(AL$6-$E$3,22))&lt;&gt;""),'Feijão 1ª safra'!$E11:INDEX('Feijão 1ª safra'!$E11:$Z11,MIN(AL$6-$E$3,22))),0))-IF($G$2,0,IF((AL$6-$G$3)&lt;1,0,IFERROR(LOOKUP(2,1/('Feijão 1ª safra'!$E11:INDEX('Feijão 1ª safra'!$E11:$Z11,MIN(AL$6-$G$3,22))&lt;&gt;""),'Feijão 1ª safra'!$E11:INDEX('Feijão 1ª safra'!$E11:$Z11,MIN(AL$6-$G$3,22))),0)))))</f>
        <v>0</v>
      </c>
      <c r="AM13" s="27" t="n">
        <f aca="false">IF(COUNT('Feijão 1ª safra'!$E11:$Z11)=0,0,MAX(0,IF((AM$6-$E$3)&lt;1,0,IFERROR(LOOKUP(2,1/('Feijão 1ª safra'!$E11:INDEX('Feijão 1ª safra'!$E11:$Z11,MIN(AM$6-$E$3,22))&lt;&gt;""),'Feijão 1ª safra'!$E11:INDEX('Feijão 1ª safra'!$E11:$Z11,MIN(AM$6-$E$3,22))),0))-IF($G$2,0,IF((AM$6-$G$3)&lt;1,0,IFERROR(LOOKUP(2,1/('Feijão 1ª safra'!$E11:INDEX('Feijão 1ª safra'!$E11:$Z11,MIN(AM$6-$G$3,22))&lt;&gt;""),'Feijão 1ª safra'!$E11:INDEX('Feijão 1ª safra'!$E11:$Z11,MIN(AM$6-$G$3,22))),0)))))</f>
        <v>0</v>
      </c>
      <c r="AN13" s="27" t="n">
        <f aca="false">IF(COUNT('Feijão 1ª safra'!$E11:$Z11)=0,0,MAX(0,IF((AN$6-$E$3)&lt;1,0,IFERROR(LOOKUP(2,1/('Feijão 1ª safra'!$E11:INDEX('Feijão 1ª safra'!$E11:$Z11,MIN(AN$6-$E$3,22))&lt;&gt;""),'Feijão 1ª safra'!$E11:INDEX('Feijão 1ª safra'!$E11:$Z11,MIN(AN$6-$E$3,22))),0))-IF($G$2,0,IF((AN$6-$G$3)&lt;1,0,IFERROR(LOOKUP(2,1/('Feijão 1ª safra'!$E11:INDEX('Feijão 1ª safra'!$E11:$Z11,MIN(AN$6-$G$3,22))&lt;&gt;""),'Feijão 1ª safra'!$E11:INDEX('Feijão 1ª safra'!$E11:$Z11,MIN(AN$6-$G$3,22))),0)))))</f>
        <v>0</v>
      </c>
      <c r="AO13" s="27" t="n">
        <f aca="false">IF(COUNT('Feijão 1ª safra'!$E11:$Z11)=0,0,MAX(0,IF((AO$6-$E$3)&lt;1,0,IFERROR(LOOKUP(2,1/('Feijão 1ª safra'!$E11:INDEX('Feijão 1ª safra'!$E11:$Z11,MIN(AO$6-$E$3,22))&lt;&gt;""),'Feijão 1ª safra'!$E11:INDEX('Feijão 1ª safra'!$E11:$Z11,MIN(AO$6-$E$3,22))),0))-IF($G$2,0,IF((AO$6-$G$3)&lt;1,0,IFERROR(LOOKUP(2,1/('Feijão 1ª safra'!$E11:INDEX('Feijão 1ª safra'!$E11:$Z11,MIN(AO$6-$G$3,22))&lt;&gt;""),'Feijão 1ª safra'!$E11:INDEX('Feijão 1ª safra'!$E11:$Z11,MIN(AO$6-$G$3,22))),0)))))</f>
        <v>0</v>
      </c>
      <c r="AP13" s="27" t="n">
        <f aca="false">IF(COUNT('Feijão 1ª safra'!$E11:$Z11)=0,0,MAX(0,IF((AP$6-$E$3)&lt;1,0,IFERROR(LOOKUP(2,1/('Feijão 1ª safra'!$E11:INDEX('Feijão 1ª safra'!$E11:$Z11,MIN(AP$6-$E$3,22))&lt;&gt;""),'Feijão 1ª safra'!$E11:INDEX('Feijão 1ª safra'!$E11:$Z11,MIN(AP$6-$E$3,22))),0))-IF($G$2,0,IF((AP$6-$G$3)&lt;1,0,IFERROR(LOOKUP(2,1/('Feijão 1ª safra'!$E11:INDEX('Feijão 1ª safra'!$E11:$Z11,MIN(AP$6-$G$3,22))&lt;&gt;""),'Feijão 1ª safra'!$E11:INDEX('Feijão 1ª safra'!$E11:$Z11,MIN(AP$6-$G$3,22))),0)))))</f>
        <v>0</v>
      </c>
      <c r="AQ13" s="27" t="n">
        <f aca="false">IF(COUNT('Feijão 1ª safra'!$E11:$Z11)=0,0,MAX(0,IF((AQ$6-$E$3)&lt;1,0,IFERROR(LOOKUP(2,1/('Feijão 1ª safra'!$E11:INDEX('Feijão 1ª safra'!$E11:$Z11,MIN(AQ$6-$E$3,22))&lt;&gt;""),'Feijão 1ª safra'!$E11:INDEX('Feijão 1ª safra'!$E11:$Z11,MIN(AQ$6-$E$3,22))),0))-IF($G$2,0,IF((AQ$6-$G$3)&lt;1,0,IFERROR(LOOKUP(2,1/('Feijão 1ª safra'!$E11:INDEX('Feijão 1ª safra'!$E11:$Z11,MIN(AQ$6-$G$3,22))&lt;&gt;""),'Feijão 1ª safra'!$E11:INDEX('Feijão 1ª safra'!$E11:$Z11,MIN(AQ$6-$G$3,22))),0)))))</f>
        <v>0</v>
      </c>
      <c r="AR13" s="27" t="n">
        <f aca="false">IF(COUNT('Feijão 1ª safra'!$E11:$Z11)=0,0,MAX(0,IF((AR$6-$E$3)&lt;1,0,IFERROR(LOOKUP(2,1/('Feijão 1ª safra'!$E11:INDEX('Feijão 1ª safra'!$E11:$Z11,MIN(AR$6-$E$3,22))&lt;&gt;""),'Feijão 1ª safra'!$E11:INDEX('Feijão 1ª safra'!$E11:$Z11,MIN(AR$6-$E$3,22))),0))-IF($G$2,0,IF((AR$6-$G$3)&lt;1,0,IFERROR(LOOKUP(2,1/('Feijão 1ª safra'!$E11:INDEX('Feijão 1ª safra'!$E11:$Z11,MIN(AR$6-$G$3,22))&lt;&gt;""),'Feijão 1ª safra'!$E11:INDEX('Feijão 1ª safra'!$E11:$Z11,MIN(AR$6-$G$3,22))),0)))))</f>
        <v>0</v>
      </c>
      <c r="AS13" s="27" t="n">
        <f aca="false">IF(COUNT('Feijão 1ª safra'!$E11:$Z11)=0,0,MAX(0,IF((AS$6-$E$3)&lt;1,0,IFERROR(LOOKUP(2,1/('Feijão 1ª safra'!$E11:INDEX('Feijão 1ª safra'!$E11:$Z11,MIN(AS$6-$E$3,22))&lt;&gt;""),'Feijão 1ª safra'!$E11:INDEX('Feijão 1ª safra'!$E11:$Z11,MIN(AS$6-$E$3,22))),0))-IF($G$2,0,IF((AS$6-$G$3)&lt;1,0,IFERROR(LOOKUP(2,1/('Feijão 1ª safra'!$E11:INDEX('Feijão 1ª safra'!$E11:$Z11,MIN(AS$6-$G$3,22))&lt;&gt;""),'Feijão 1ª safra'!$E11:INDEX('Feijão 1ª safra'!$E11:$Z11,MIN(AS$6-$G$3,22))),0)))))</f>
        <v>0</v>
      </c>
      <c r="AT13" s="27" t="n">
        <f aca="false">IF(COUNT('Feijão 1ª safra'!$E11:$Z11)=0,0,MAX(0,IF((AT$6-$E$3)&lt;1,0,IFERROR(LOOKUP(2,1/('Feijão 1ª safra'!$E11:INDEX('Feijão 1ª safra'!$E11:$Z11,MIN(AT$6-$E$3,22))&lt;&gt;""),'Feijão 1ª safra'!$E11:INDEX('Feijão 1ª safra'!$E11:$Z11,MIN(AT$6-$E$3,22))),0))-IF($G$2,0,IF((AT$6-$G$3)&lt;1,0,IFERROR(LOOKUP(2,1/('Feijão 1ª safra'!$E11:INDEX('Feijão 1ª safra'!$E11:$Z11,MIN(AT$6-$G$3,22))&lt;&gt;""),'Feijão 1ª safra'!$E11:INDEX('Feijão 1ª safra'!$E11:$Z11,MIN(AT$6-$G$3,22))),0)))))</f>
        <v>0</v>
      </c>
      <c r="AU13" s="27" t="n">
        <f aca="false">IF(COUNT('Feijão 1ª safra'!$E11:$Z11)=0,0,MAX(0,IF((AU$6-$E$3)&lt;1,0,IFERROR(LOOKUP(2,1/('Feijão 1ª safra'!$E11:INDEX('Feijão 1ª safra'!$E11:$Z11,MIN(AU$6-$E$3,22))&lt;&gt;""),'Feijão 1ª safra'!$E11:INDEX('Feijão 1ª safra'!$E11:$Z11,MIN(AU$6-$E$3,22))),0))-IF($G$2,0,IF((AU$6-$G$3)&lt;1,0,IFERROR(LOOKUP(2,1/('Feijão 1ª safra'!$E11:INDEX('Feijão 1ª safra'!$E11:$Z11,MIN(AU$6-$G$3,22))&lt;&gt;""),'Feijão 1ª safra'!$E11:INDEX('Feijão 1ª safra'!$E11:$Z11,MIN(AU$6-$G$3,22))),0)))))</f>
        <v>0</v>
      </c>
      <c r="AV13" s="27" t="n">
        <f aca="false">IF(COUNT('Feijão 1ª safra'!$E11:$Z11)=0,0,MAX(0,IF((AV$6-$E$3)&lt;1,0,IFERROR(LOOKUP(2,1/('Feijão 1ª safra'!$E11:INDEX('Feijão 1ª safra'!$E11:$Z11,MIN(AV$6-$E$3,22))&lt;&gt;""),'Feijão 1ª safra'!$E11:INDEX('Feijão 1ª safra'!$E11:$Z11,MIN(AV$6-$E$3,22))),0))-IF($G$2,0,IF((AV$6-$G$3)&lt;1,0,IFERROR(LOOKUP(2,1/('Feijão 1ª safra'!$E11:INDEX('Feijão 1ª safra'!$E11:$Z11,MIN(AV$6-$G$3,22))&lt;&gt;""),'Feijão 1ª safra'!$E11:INDEX('Feijão 1ª safra'!$E11:$Z11,MIN(AV$6-$G$3,22))),0)))))</f>
        <v>0</v>
      </c>
      <c r="AW13" s="27" t="n">
        <f aca="false">IF(COUNT('Feijão 1ª safra'!$E11:$Z11)=0,0,MAX(0,IF((AW$6-$E$3)&lt;1,0,IFERROR(LOOKUP(2,1/('Feijão 1ª safra'!$E11:INDEX('Feijão 1ª safra'!$E11:$Z11,MIN(AW$6-$E$3,22))&lt;&gt;""),'Feijão 1ª safra'!$E11:INDEX('Feijão 1ª safra'!$E11:$Z11,MIN(AW$6-$E$3,22))),0))-IF($G$2,0,IF((AW$6-$G$3)&lt;1,0,IFERROR(LOOKUP(2,1/('Feijão 1ª safra'!$E11:INDEX('Feijão 1ª safra'!$E11:$Z11,MIN(AW$6-$G$3,22))&lt;&gt;""),'Feijão 1ª safra'!$E11:INDEX('Feijão 1ª safra'!$E11:$Z11,MIN(AW$6-$G$3,22))),0)))))</f>
        <v>0</v>
      </c>
      <c r="AX13" s="27" t="n">
        <f aca="false">IF(COUNT('Feijão 1ª safra'!$E11:$Z11)=0,0,MAX(0,IF((AX$6-$E$3)&lt;1,0,IFERROR(LOOKUP(2,1/('Feijão 1ª safra'!$E11:INDEX('Feijão 1ª safra'!$E11:$Z11,MIN(AX$6-$E$3,22))&lt;&gt;""),'Feijão 1ª safra'!$E11:INDEX('Feijão 1ª safra'!$E11:$Z11,MIN(AX$6-$E$3,22))),0))-IF($G$2,0,IF((AX$6-$G$3)&lt;1,0,IFERROR(LOOKUP(2,1/('Feijão 1ª safra'!$E11:INDEX('Feijão 1ª safra'!$E11:$Z11,MIN(AX$6-$G$3,22))&lt;&gt;""),'Feijão 1ª safra'!$E11:INDEX('Feijão 1ª safra'!$E11:$Z11,MIN(AX$6-$G$3,22))),0)))))</f>
        <v>0</v>
      </c>
      <c r="AY13" s="27" t="n">
        <f aca="false">IF(COUNT('Feijão 1ª safra'!$E11:$Z11)=0,0,MAX(0,IF((AY$6-$E$3)&lt;1,0,IFERROR(LOOKUP(2,1/('Feijão 1ª safra'!$E11:INDEX('Feijão 1ª safra'!$E11:$Z11,MIN(AY$6-$E$3,22))&lt;&gt;""),'Feijão 1ª safra'!$E11:INDEX('Feijão 1ª safra'!$E11:$Z11,MIN(AY$6-$E$3,22))),0))-IF($G$2,0,IF((AY$6-$G$3)&lt;1,0,IFERROR(LOOKUP(2,1/('Feijão 1ª safra'!$E11:INDEX('Feijão 1ª safra'!$E11:$Z11,MIN(AY$6-$G$3,22))&lt;&gt;""),'Feijão 1ª safra'!$E11:INDEX('Feijão 1ª safra'!$E11:$Z11,MIN(AY$6-$G$3,22))),0)))))</f>
        <v>0</v>
      </c>
      <c r="AZ13" s="27" t="n">
        <f aca="false">IF(COUNT('Feijão 1ª safra'!$E11:$Z11)=0,0,MAX(0,IF((AZ$6-$E$3)&lt;1,0,IFERROR(LOOKUP(2,1/('Feijão 1ª safra'!$E11:INDEX('Feijão 1ª safra'!$E11:$Z11,MIN(AZ$6-$E$3,22))&lt;&gt;""),'Feijão 1ª safra'!$E11:INDEX('Feijão 1ª safra'!$E11:$Z11,MIN(AZ$6-$E$3,22))),0))-IF($G$2,0,IF((AZ$6-$G$3)&lt;1,0,IFERROR(LOOKUP(2,1/('Feijão 1ª safra'!$E11:INDEX('Feijão 1ª safra'!$E11:$Z11,MIN(AZ$6-$G$3,22))&lt;&gt;""),'Feijão 1ª safra'!$E11:INDEX('Feijão 1ª safra'!$E11:$Z11,MIN(AZ$6-$G$3,22))),0)))))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IF(COUNT('Feijão 1ª safra'!$E12:$Z12)&gt;0,N('Feijão 1ª safra'!$D12),0)</f>
        <v>0</v>
      </c>
      <c r="E14" s="27" t="n">
        <f aca="false">IF(COUNT('Feijão 1ª safra'!$E12:$Z12)=0,0,MAX(0,IF((E$6-$E$3)&lt;1,0,IFERROR(LOOKUP(2,1/('Feijão 1ª safra'!$E12:INDEX('Feijão 1ª safra'!$E12:$Z12,MIN(E$6-$E$3,22))&lt;&gt;""),'Feijão 1ª safra'!$E12:INDEX('Feijão 1ª safra'!$E12:$Z12,MIN(E$6-$E$3,22))),0))-IF($G$2,0,IF((E$6-$G$3)&lt;1,0,IFERROR(LOOKUP(2,1/('Feijão 1ª safra'!$E12:INDEX('Feijão 1ª safra'!$E12:$Z12,MIN(E$6-$G$3,22))&lt;&gt;""),'Feijão 1ª safra'!$E12:INDEX('Feijão 1ª safra'!$E12:$Z12,MIN(E$6-$G$3,22))),0)))))</f>
        <v>0</v>
      </c>
      <c r="F14" s="27" t="n">
        <f aca="false">IF(COUNT('Feijão 1ª safra'!$E12:$Z12)=0,0,MAX(0,IF((F$6-$E$3)&lt;1,0,IFERROR(LOOKUP(2,1/('Feijão 1ª safra'!$E12:INDEX('Feijão 1ª safra'!$E12:$Z12,MIN(F$6-$E$3,22))&lt;&gt;""),'Feijão 1ª safra'!$E12:INDEX('Feijão 1ª safra'!$E12:$Z12,MIN(F$6-$E$3,22))),0))-IF($G$2,0,IF((F$6-$G$3)&lt;1,0,IFERROR(LOOKUP(2,1/('Feijão 1ª safra'!$E12:INDEX('Feijão 1ª safra'!$E12:$Z12,MIN(F$6-$G$3,22))&lt;&gt;""),'Feijão 1ª safra'!$E12:INDEX('Feijão 1ª safra'!$E12:$Z12,MIN(F$6-$G$3,22))),0)))))</f>
        <v>0</v>
      </c>
      <c r="G14" s="27" t="n">
        <f aca="false">IF(COUNT('Feijão 1ª safra'!$E12:$Z12)=0,0,MAX(0,IF((G$6-$E$3)&lt;1,0,IFERROR(LOOKUP(2,1/('Feijão 1ª safra'!$E12:INDEX('Feijão 1ª safra'!$E12:$Z12,MIN(G$6-$E$3,22))&lt;&gt;""),'Feijão 1ª safra'!$E12:INDEX('Feijão 1ª safra'!$E12:$Z12,MIN(G$6-$E$3,22))),0))-IF($G$2,0,IF((G$6-$G$3)&lt;1,0,IFERROR(LOOKUP(2,1/('Feijão 1ª safra'!$E12:INDEX('Feijão 1ª safra'!$E12:$Z12,MIN(G$6-$G$3,22))&lt;&gt;""),'Feijão 1ª safra'!$E12:INDEX('Feijão 1ª safra'!$E12:$Z12,MIN(G$6-$G$3,22))),0)))))</f>
        <v>0</v>
      </c>
      <c r="H14" s="27" t="n">
        <f aca="false">IF(COUNT('Feijão 1ª safra'!$E12:$Z12)=0,0,MAX(0,IF((H$6-$E$3)&lt;1,0,IFERROR(LOOKUP(2,1/('Feijão 1ª safra'!$E12:INDEX('Feijão 1ª safra'!$E12:$Z12,MIN(H$6-$E$3,22))&lt;&gt;""),'Feijão 1ª safra'!$E12:INDEX('Feijão 1ª safra'!$E12:$Z12,MIN(H$6-$E$3,22))),0))-IF($G$2,0,IF((H$6-$G$3)&lt;1,0,IFERROR(LOOKUP(2,1/('Feijão 1ª safra'!$E12:INDEX('Feijão 1ª safra'!$E12:$Z12,MIN(H$6-$G$3,22))&lt;&gt;""),'Feijão 1ª safra'!$E12:INDEX('Feijão 1ª safra'!$E12:$Z12,MIN(H$6-$G$3,22))),0)))))</f>
        <v>0</v>
      </c>
      <c r="I14" s="27" t="n">
        <f aca="false">IF(COUNT('Feijão 1ª safra'!$E12:$Z12)=0,0,MAX(0,IF((I$6-$E$3)&lt;1,0,IFERROR(LOOKUP(2,1/('Feijão 1ª safra'!$E12:INDEX('Feijão 1ª safra'!$E12:$Z12,MIN(I$6-$E$3,22))&lt;&gt;""),'Feijão 1ª safra'!$E12:INDEX('Feijão 1ª safra'!$E12:$Z12,MIN(I$6-$E$3,22))),0))-IF($G$2,0,IF((I$6-$G$3)&lt;1,0,IFERROR(LOOKUP(2,1/('Feijão 1ª safra'!$E12:INDEX('Feijão 1ª safra'!$E12:$Z12,MIN(I$6-$G$3,22))&lt;&gt;""),'Feijão 1ª safra'!$E12:INDEX('Feijão 1ª safra'!$E12:$Z12,MIN(I$6-$G$3,22))),0)))))</f>
        <v>0</v>
      </c>
      <c r="J14" s="27" t="n">
        <f aca="false">IF(COUNT('Feijão 1ª safra'!$E12:$Z12)=0,0,MAX(0,IF((J$6-$E$3)&lt;1,0,IFERROR(LOOKUP(2,1/('Feijão 1ª safra'!$E12:INDEX('Feijão 1ª safra'!$E12:$Z12,MIN(J$6-$E$3,22))&lt;&gt;""),'Feijão 1ª safra'!$E12:INDEX('Feijão 1ª safra'!$E12:$Z12,MIN(J$6-$E$3,22))),0))-IF($G$2,0,IF((J$6-$G$3)&lt;1,0,IFERROR(LOOKUP(2,1/('Feijão 1ª safra'!$E12:INDEX('Feijão 1ª safra'!$E12:$Z12,MIN(J$6-$G$3,22))&lt;&gt;""),'Feijão 1ª safra'!$E12:INDEX('Feijão 1ª safra'!$E12:$Z12,MIN(J$6-$G$3,22))),0)))))</f>
        <v>0</v>
      </c>
      <c r="K14" s="27" t="n">
        <f aca="false">IF(COUNT('Feijão 1ª safra'!$E12:$Z12)=0,0,MAX(0,IF((K$6-$E$3)&lt;1,0,IFERROR(LOOKUP(2,1/('Feijão 1ª safra'!$E12:INDEX('Feijão 1ª safra'!$E12:$Z12,MIN(K$6-$E$3,22))&lt;&gt;""),'Feijão 1ª safra'!$E12:INDEX('Feijão 1ª safra'!$E12:$Z12,MIN(K$6-$E$3,22))),0))-IF($G$2,0,IF((K$6-$G$3)&lt;1,0,IFERROR(LOOKUP(2,1/('Feijão 1ª safra'!$E12:INDEX('Feijão 1ª safra'!$E12:$Z12,MIN(K$6-$G$3,22))&lt;&gt;""),'Feijão 1ª safra'!$E12:INDEX('Feijão 1ª safra'!$E12:$Z12,MIN(K$6-$G$3,22))),0)))))</f>
        <v>0</v>
      </c>
      <c r="L14" s="27" t="n">
        <f aca="false">IF(COUNT('Feijão 1ª safra'!$E12:$Z12)=0,0,MAX(0,IF((L$6-$E$3)&lt;1,0,IFERROR(LOOKUP(2,1/('Feijão 1ª safra'!$E12:INDEX('Feijão 1ª safra'!$E12:$Z12,MIN(L$6-$E$3,22))&lt;&gt;""),'Feijão 1ª safra'!$E12:INDEX('Feijão 1ª safra'!$E12:$Z12,MIN(L$6-$E$3,22))),0))-IF($G$2,0,IF((L$6-$G$3)&lt;1,0,IFERROR(LOOKUP(2,1/('Feijão 1ª safra'!$E12:INDEX('Feijão 1ª safra'!$E12:$Z12,MIN(L$6-$G$3,22))&lt;&gt;""),'Feijão 1ª safra'!$E12:INDEX('Feijão 1ª safra'!$E12:$Z12,MIN(L$6-$G$3,22))),0)))))</f>
        <v>0</v>
      </c>
      <c r="M14" s="27" t="n">
        <f aca="false">IF(COUNT('Feijão 1ª safra'!$E12:$Z12)=0,0,MAX(0,IF((M$6-$E$3)&lt;1,0,IFERROR(LOOKUP(2,1/('Feijão 1ª safra'!$E12:INDEX('Feijão 1ª safra'!$E12:$Z12,MIN(M$6-$E$3,22))&lt;&gt;""),'Feijão 1ª safra'!$E12:INDEX('Feijão 1ª safra'!$E12:$Z12,MIN(M$6-$E$3,22))),0))-IF($G$2,0,IF((M$6-$G$3)&lt;1,0,IFERROR(LOOKUP(2,1/('Feijão 1ª safra'!$E12:INDEX('Feijão 1ª safra'!$E12:$Z12,MIN(M$6-$G$3,22))&lt;&gt;""),'Feijão 1ª safra'!$E12:INDEX('Feijão 1ª safra'!$E12:$Z12,MIN(M$6-$G$3,22))),0)))))</f>
        <v>0</v>
      </c>
      <c r="N14" s="27" t="n">
        <f aca="false">IF(COUNT('Feijão 1ª safra'!$E12:$Z12)=0,0,MAX(0,IF((N$6-$E$3)&lt;1,0,IFERROR(LOOKUP(2,1/('Feijão 1ª safra'!$E12:INDEX('Feijão 1ª safra'!$E12:$Z12,MIN(N$6-$E$3,22))&lt;&gt;""),'Feijão 1ª safra'!$E12:INDEX('Feijão 1ª safra'!$E12:$Z12,MIN(N$6-$E$3,22))),0))-IF($G$2,0,IF((N$6-$G$3)&lt;1,0,IFERROR(LOOKUP(2,1/('Feijão 1ª safra'!$E12:INDEX('Feijão 1ª safra'!$E12:$Z12,MIN(N$6-$G$3,22))&lt;&gt;""),'Feijão 1ª safra'!$E12:INDEX('Feijão 1ª safra'!$E12:$Z12,MIN(N$6-$G$3,22))),0)))))</f>
        <v>0</v>
      </c>
      <c r="O14" s="27" t="n">
        <f aca="false">IF(COUNT('Feijão 1ª safra'!$E12:$Z12)=0,0,MAX(0,IF((O$6-$E$3)&lt;1,0,IFERROR(LOOKUP(2,1/('Feijão 1ª safra'!$E12:INDEX('Feijão 1ª safra'!$E12:$Z12,MIN(O$6-$E$3,22))&lt;&gt;""),'Feijão 1ª safra'!$E12:INDEX('Feijão 1ª safra'!$E12:$Z12,MIN(O$6-$E$3,22))),0))-IF($G$2,0,IF((O$6-$G$3)&lt;1,0,IFERROR(LOOKUP(2,1/('Feijão 1ª safra'!$E12:INDEX('Feijão 1ª safra'!$E12:$Z12,MIN(O$6-$G$3,22))&lt;&gt;""),'Feijão 1ª safra'!$E12:INDEX('Feijão 1ª safra'!$E12:$Z12,MIN(O$6-$G$3,22))),0)))))</f>
        <v>0</v>
      </c>
      <c r="P14" s="27" t="n">
        <f aca="false">IF(COUNT('Feijão 1ª safra'!$E12:$Z12)=0,0,MAX(0,IF((P$6-$E$3)&lt;1,0,IFERROR(LOOKUP(2,1/('Feijão 1ª safra'!$E12:INDEX('Feijão 1ª safra'!$E12:$Z12,MIN(P$6-$E$3,22))&lt;&gt;""),'Feijão 1ª safra'!$E12:INDEX('Feijão 1ª safra'!$E12:$Z12,MIN(P$6-$E$3,22))),0))-IF($G$2,0,IF((P$6-$G$3)&lt;1,0,IFERROR(LOOKUP(2,1/('Feijão 1ª safra'!$E12:INDEX('Feijão 1ª safra'!$E12:$Z12,MIN(P$6-$G$3,22))&lt;&gt;""),'Feijão 1ª safra'!$E12:INDEX('Feijão 1ª safra'!$E12:$Z12,MIN(P$6-$G$3,22))),0)))))</f>
        <v>0</v>
      </c>
      <c r="Q14" s="27" t="n">
        <f aca="false">IF(COUNT('Feijão 1ª safra'!$E12:$Z12)=0,0,MAX(0,IF((Q$6-$E$3)&lt;1,0,IFERROR(LOOKUP(2,1/('Feijão 1ª safra'!$E12:INDEX('Feijão 1ª safra'!$E12:$Z12,MIN(Q$6-$E$3,22))&lt;&gt;""),'Feijão 1ª safra'!$E12:INDEX('Feijão 1ª safra'!$E12:$Z12,MIN(Q$6-$E$3,22))),0))-IF($G$2,0,IF((Q$6-$G$3)&lt;1,0,IFERROR(LOOKUP(2,1/('Feijão 1ª safra'!$E12:INDEX('Feijão 1ª safra'!$E12:$Z12,MIN(Q$6-$G$3,22))&lt;&gt;""),'Feijão 1ª safra'!$E12:INDEX('Feijão 1ª safra'!$E12:$Z12,MIN(Q$6-$G$3,22))),0)))))</f>
        <v>0</v>
      </c>
      <c r="R14" s="27" t="n">
        <f aca="false">IF(COUNT('Feijão 1ª safra'!$E12:$Z12)=0,0,MAX(0,IF((R$6-$E$3)&lt;1,0,IFERROR(LOOKUP(2,1/('Feijão 1ª safra'!$E12:INDEX('Feijão 1ª safra'!$E12:$Z12,MIN(R$6-$E$3,22))&lt;&gt;""),'Feijão 1ª safra'!$E12:INDEX('Feijão 1ª safra'!$E12:$Z12,MIN(R$6-$E$3,22))),0))-IF($G$2,0,IF((R$6-$G$3)&lt;1,0,IFERROR(LOOKUP(2,1/('Feijão 1ª safra'!$E12:INDEX('Feijão 1ª safra'!$E12:$Z12,MIN(R$6-$G$3,22))&lt;&gt;""),'Feijão 1ª safra'!$E12:INDEX('Feijão 1ª safra'!$E12:$Z12,MIN(R$6-$G$3,22))),0)))))</f>
        <v>0</v>
      </c>
      <c r="S14" s="27" t="n">
        <f aca="false">IF(COUNT('Feijão 1ª safra'!$E12:$Z12)=0,0,MAX(0,IF((S$6-$E$3)&lt;1,0,IFERROR(LOOKUP(2,1/('Feijão 1ª safra'!$E12:INDEX('Feijão 1ª safra'!$E12:$Z12,MIN(S$6-$E$3,22))&lt;&gt;""),'Feijão 1ª safra'!$E12:INDEX('Feijão 1ª safra'!$E12:$Z12,MIN(S$6-$E$3,22))),0))-IF($G$2,0,IF((S$6-$G$3)&lt;1,0,IFERROR(LOOKUP(2,1/('Feijão 1ª safra'!$E12:INDEX('Feijão 1ª safra'!$E12:$Z12,MIN(S$6-$G$3,22))&lt;&gt;""),'Feijão 1ª safra'!$E12:INDEX('Feijão 1ª safra'!$E12:$Z12,MIN(S$6-$G$3,22))),0)))))</f>
        <v>0</v>
      </c>
      <c r="T14" s="27" t="n">
        <f aca="false">IF(COUNT('Feijão 1ª safra'!$E12:$Z12)=0,0,MAX(0,IF((T$6-$E$3)&lt;1,0,IFERROR(LOOKUP(2,1/('Feijão 1ª safra'!$E12:INDEX('Feijão 1ª safra'!$E12:$Z12,MIN(T$6-$E$3,22))&lt;&gt;""),'Feijão 1ª safra'!$E12:INDEX('Feijão 1ª safra'!$E12:$Z12,MIN(T$6-$E$3,22))),0))-IF($G$2,0,IF((T$6-$G$3)&lt;1,0,IFERROR(LOOKUP(2,1/('Feijão 1ª safra'!$E12:INDEX('Feijão 1ª safra'!$E12:$Z12,MIN(T$6-$G$3,22))&lt;&gt;""),'Feijão 1ª safra'!$E12:INDEX('Feijão 1ª safra'!$E12:$Z12,MIN(T$6-$G$3,22))),0)))))</f>
        <v>0</v>
      </c>
      <c r="U14" s="27" t="n">
        <f aca="false">IF(COUNT('Feijão 1ª safra'!$E12:$Z12)=0,0,MAX(0,IF((U$6-$E$3)&lt;1,0,IFERROR(LOOKUP(2,1/('Feijão 1ª safra'!$E12:INDEX('Feijão 1ª safra'!$E12:$Z12,MIN(U$6-$E$3,22))&lt;&gt;""),'Feijão 1ª safra'!$E12:INDEX('Feijão 1ª safra'!$E12:$Z12,MIN(U$6-$E$3,22))),0))-IF($G$2,0,IF((U$6-$G$3)&lt;1,0,IFERROR(LOOKUP(2,1/('Feijão 1ª safra'!$E12:INDEX('Feijão 1ª safra'!$E12:$Z12,MIN(U$6-$G$3,22))&lt;&gt;""),'Feijão 1ª safra'!$E12:INDEX('Feijão 1ª safra'!$E12:$Z12,MIN(U$6-$G$3,22))),0)))))</f>
        <v>0</v>
      </c>
      <c r="V14" s="27" t="n">
        <f aca="false">IF(COUNT('Feijão 1ª safra'!$E12:$Z12)=0,0,MAX(0,IF((V$6-$E$3)&lt;1,0,IFERROR(LOOKUP(2,1/('Feijão 1ª safra'!$E12:INDEX('Feijão 1ª safra'!$E12:$Z12,MIN(V$6-$E$3,22))&lt;&gt;""),'Feijão 1ª safra'!$E12:INDEX('Feijão 1ª safra'!$E12:$Z12,MIN(V$6-$E$3,22))),0))-IF($G$2,0,IF((V$6-$G$3)&lt;1,0,IFERROR(LOOKUP(2,1/('Feijão 1ª safra'!$E12:INDEX('Feijão 1ª safra'!$E12:$Z12,MIN(V$6-$G$3,22))&lt;&gt;""),'Feijão 1ª safra'!$E12:INDEX('Feijão 1ª safra'!$E12:$Z12,MIN(V$6-$G$3,22))),0)))))</f>
        <v>0</v>
      </c>
      <c r="W14" s="27" t="n">
        <f aca="false">IF(COUNT('Feijão 1ª safra'!$E12:$Z12)=0,0,MAX(0,IF((W$6-$E$3)&lt;1,0,IFERROR(LOOKUP(2,1/('Feijão 1ª safra'!$E12:INDEX('Feijão 1ª safra'!$E12:$Z12,MIN(W$6-$E$3,22))&lt;&gt;""),'Feijão 1ª safra'!$E12:INDEX('Feijão 1ª safra'!$E12:$Z12,MIN(W$6-$E$3,22))),0))-IF($G$2,0,IF((W$6-$G$3)&lt;1,0,IFERROR(LOOKUP(2,1/('Feijão 1ª safra'!$E12:INDEX('Feijão 1ª safra'!$E12:$Z12,MIN(W$6-$G$3,22))&lt;&gt;""),'Feijão 1ª safra'!$E12:INDEX('Feijão 1ª safra'!$E12:$Z12,MIN(W$6-$G$3,22))),0)))))</f>
        <v>0</v>
      </c>
      <c r="X14" s="27" t="n">
        <f aca="false">IF(COUNT('Feijão 1ª safra'!$E12:$Z12)=0,0,MAX(0,IF((X$6-$E$3)&lt;1,0,IFERROR(LOOKUP(2,1/('Feijão 1ª safra'!$E12:INDEX('Feijão 1ª safra'!$E12:$Z12,MIN(X$6-$E$3,22))&lt;&gt;""),'Feijão 1ª safra'!$E12:INDEX('Feijão 1ª safra'!$E12:$Z12,MIN(X$6-$E$3,22))),0))-IF($G$2,0,IF((X$6-$G$3)&lt;1,0,IFERROR(LOOKUP(2,1/('Feijão 1ª safra'!$E12:INDEX('Feijão 1ª safra'!$E12:$Z12,MIN(X$6-$G$3,22))&lt;&gt;""),'Feijão 1ª safra'!$E12:INDEX('Feijão 1ª safra'!$E12:$Z12,MIN(X$6-$G$3,22))),0)))))</f>
        <v>0</v>
      </c>
      <c r="Y14" s="27" t="n">
        <f aca="false">IF(COUNT('Feijão 1ª safra'!$E12:$Z12)=0,0,MAX(0,IF((Y$6-$E$3)&lt;1,0,IFERROR(LOOKUP(2,1/('Feijão 1ª safra'!$E12:INDEX('Feijão 1ª safra'!$E12:$Z12,MIN(Y$6-$E$3,22))&lt;&gt;""),'Feijão 1ª safra'!$E12:INDEX('Feijão 1ª safra'!$E12:$Z12,MIN(Y$6-$E$3,22))),0))-IF($G$2,0,IF((Y$6-$G$3)&lt;1,0,IFERROR(LOOKUP(2,1/('Feijão 1ª safra'!$E12:INDEX('Feijão 1ª safra'!$E12:$Z12,MIN(Y$6-$G$3,22))&lt;&gt;""),'Feijão 1ª safra'!$E12:INDEX('Feijão 1ª safra'!$E12:$Z12,MIN(Y$6-$G$3,22))),0)))))</f>
        <v>0</v>
      </c>
      <c r="Z14" s="27" t="n">
        <f aca="false">IF(COUNT('Feijão 1ª safra'!$E12:$Z12)=0,0,MAX(0,IF((Z$6-$E$3)&lt;1,0,IFERROR(LOOKUP(2,1/('Feijão 1ª safra'!$E12:INDEX('Feijão 1ª safra'!$E12:$Z12,MIN(Z$6-$E$3,22))&lt;&gt;""),'Feijão 1ª safra'!$E12:INDEX('Feijão 1ª safra'!$E12:$Z12,MIN(Z$6-$E$3,22))),0))-IF($G$2,0,IF((Z$6-$G$3)&lt;1,0,IFERROR(LOOKUP(2,1/('Feijão 1ª safra'!$E12:INDEX('Feijão 1ª safra'!$E12:$Z12,MIN(Z$6-$G$3,22))&lt;&gt;""),'Feijão 1ª safra'!$E12:INDEX('Feijão 1ª safra'!$E12:$Z12,MIN(Z$6-$G$3,22))),0)))))</f>
        <v>0</v>
      </c>
      <c r="AA14" s="27" t="n">
        <f aca="false">IF(COUNT('Feijão 1ª safra'!$E12:$Z12)=0,0,MAX(0,IF((AA$6-$E$3)&lt;1,0,IFERROR(LOOKUP(2,1/('Feijão 1ª safra'!$E12:INDEX('Feijão 1ª safra'!$E12:$Z12,MIN(AA$6-$E$3,22))&lt;&gt;""),'Feijão 1ª safra'!$E12:INDEX('Feijão 1ª safra'!$E12:$Z12,MIN(AA$6-$E$3,22))),0))-IF($G$2,0,IF((AA$6-$G$3)&lt;1,0,IFERROR(LOOKUP(2,1/('Feijão 1ª safra'!$E12:INDEX('Feijão 1ª safra'!$E12:$Z12,MIN(AA$6-$G$3,22))&lt;&gt;""),'Feijão 1ª safra'!$E12:INDEX('Feijão 1ª safra'!$E12:$Z12,MIN(AA$6-$G$3,22))),0)))))</f>
        <v>0</v>
      </c>
      <c r="AB14" s="27" t="n">
        <f aca="false">IF(COUNT('Feijão 1ª safra'!$E12:$Z12)=0,0,MAX(0,IF((AB$6-$E$3)&lt;1,0,IFERROR(LOOKUP(2,1/('Feijão 1ª safra'!$E12:INDEX('Feijão 1ª safra'!$E12:$Z12,MIN(AB$6-$E$3,22))&lt;&gt;""),'Feijão 1ª safra'!$E12:INDEX('Feijão 1ª safra'!$E12:$Z12,MIN(AB$6-$E$3,22))),0))-IF($G$2,0,IF((AB$6-$G$3)&lt;1,0,IFERROR(LOOKUP(2,1/('Feijão 1ª safra'!$E12:INDEX('Feijão 1ª safra'!$E12:$Z12,MIN(AB$6-$G$3,22))&lt;&gt;""),'Feijão 1ª safra'!$E12:INDEX('Feijão 1ª safra'!$E12:$Z12,MIN(AB$6-$G$3,22))),0)))))</f>
        <v>0</v>
      </c>
      <c r="AC14" s="27" t="n">
        <f aca="false">IF(COUNT('Feijão 1ª safra'!$E12:$Z12)=0,0,MAX(0,IF((AC$6-$E$3)&lt;1,0,IFERROR(LOOKUP(2,1/('Feijão 1ª safra'!$E12:INDEX('Feijão 1ª safra'!$E12:$Z12,MIN(AC$6-$E$3,22))&lt;&gt;""),'Feijão 1ª safra'!$E12:INDEX('Feijão 1ª safra'!$E12:$Z12,MIN(AC$6-$E$3,22))),0))-IF($G$2,0,IF((AC$6-$G$3)&lt;1,0,IFERROR(LOOKUP(2,1/('Feijão 1ª safra'!$E12:INDEX('Feijão 1ª safra'!$E12:$Z12,MIN(AC$6-$G$3,22))&lt;&gt;""),'Feijão 1ª safra'!$E12:INDEX('Feijão 1ª safra'!$E12:$Z12,MIN(AC$6-$G$3,22))),0)))))</f>
        <v>0</v>
      </c>
      <c r="AD14" s="27" t="n">
        <f aca="false">IF(COUNT('Feijão 1ª safra'!$E12:$Z12)=0,0,MAX(0,IF((AD$6-$E$3)&lt;1,0,IFERROR(LOOKUP(2,1/('Feijão 1ª safra'!$E12:INDEX('Feijão 1ª safra'!$E12:$Z12,MIN(AD$6-$E$3,22))&lt;&gt;""),'Feijão 1ª safra'!$E12:INDEX('Feijão 1ª safra'!$E12:$Z12,MIN(AD$6-$E$3,22))),0))-IF($G$2,0,IF((AD$6-$G$3)&lt;1,0,IFERROR(LOOKUP(2,1/('Feijão 1ª safra'!$E12:INDEX('Feijão 1ª safra'!$E12:$Z12,MIN(AD$6-$G$3,22))&lt;&gt;""),'Feijão 1ª safra'!$E12:INDEX('Feijão 1ª safra'!$E12:$Z12,MIN(AD$6-$G$3,22))),0)))))</f>
        <v>0</v>
      </c>
      <c r="AE14" s="27" t="n">
        <f aca="false">IF(COUNT('Feijão 1ª safra'!$E12:$Z12)=0,0,MAX(0,IF((AE$6-$E$3)&lt;1,0,IFERROR(LOOKUP(2,1/('Feijão 1ª safra'!$E12:INDEX('Feijão 1ª safra'!$E12:$Z12,MIN(AE$6-$E$3,22))&lt;&gt;""),'Feijão 1ª safra'!$E12:INDEX('Feijão 1ª safra'!$E12:$Z12,MIN(AE$6-$E$3,22))),0))-IF($G$2,0,IF((AE$6-$G$3)&lt;1,0,IFERROR(LOOKUP(2,1/('Feijão 1ª safra'!$E12:INDEX('Feijão 1ª safra'!$E12:$Z12,MIN(AE$6-$G$3,22))&lt;&gt;""),'Feijão 1ª safra'!$E12:INDEX('Feijão 1ª safra'!$E12:$Z12,MIN(AE$6-$G$3,22))),0)))))</f>
        <v>0</v>
      </c>
      <c r="AF14" s="27" t="n">
        <f aca="false">IF(COUNT('Feijão 1ª safra'!$E12:$Z12)=0,0,MAX(0,IF((AF$6-$E$3)&lt;1,0,IFERROR(LOOKUP(2,1/('Feijão 1ª safra'!$E12:INDEX('Feijão 1ª safra'!$E12:$Z12,MIN(AF$6-$E$3,22))&lt;&gt;""),'Feijão 1ª safra'!$E12:INDEX('Feijão 1ª safra'!$E12:$Z12,MIN(AF$6-$E$3,22))),0))-IF($G$2,0,IF((AF$6-$G$3)&lt;1,0,IFERROR(LOOKUP(2,1/('Feijão 1ª safra'!$E12:INDEX('Feijão 1ª safra'!$E12:$Z12,MIN(AF$6-$G$3,22))&lt;&gt;""),'Feijão 1ª safra'!$E12:INDEX('Feijão 1ª safra'!$E12:$Z12,MIN(AF$6-$G$3,22))),0)))))</f>
        <v>0</v>
      </c>
      <c r="AG14" s="27" t="n">
        <f aca="false">IF(COUNT('Feijão 1ª safra'!$E12:$Z12)=0,0,MAX(0,IF((AG$6-$E$3)&lt;1,0,IFERROR(LOOKUP(2,1/('Feijão 1ª safra'!$E12:INDEX('Feijão 1ª safra'!$E12:$Z12,MIN(AG$6-$E$3,22))&lt;&gt;""),'Feijão 1ª safra'!$E12:INDEX('Feijão 1ª safra'!$E12:$Z12,MIN(AG$6-$E$3,22))),0))-IF($G$2,0,IF((AG$6-$G$3)&lt;1,0,IFERROR(LOOKUP(2,1/('Feijão 1ª safra'!$E12:INDEX('Feijão 1ª safra'!$E12:$Z12,MIN(AG$6-$G$3,22))&lt;&gt;""),'Feijão 1ª safra'!$E12:INDEX('Feijão 1ª safra'!$E12:$Z12,MIN(AG$6-$G$3,22))),0)))))</f>
        <v>0</v>
      </c>
      <c r="AH14" s="27" t="n">
        <f aca="false">IF(COUNT('Feijão 1ª safra'!$E12:$Z12)=0,0,MAX(0,IF((AH$6-$E$3)&lt;1,0,IFERROR(LOOKUP(2,1/('Feijão 1ª safra'!$E12:INDEX('Feijão 1ª safra'!$E12:$Z12,MIN(AH$6-$E$3,22))&lt;&gt;""),'Feijão 1ª safra'!$E12:INDEX('Feijão 1ª safra'!$E12:$Z12,MIN(AH$6-$E$3,22))),0))-IF($G$2,0,IF((AH$6-$G$3)&lt;1,0,IFERROR(LOOKUP(2,1/('Feijão 1ª safra'!$E12:INDEX('Feijão 1ª safra'!$E12:$Z12,MIN(AH$6-$G$3,22))&lt;&gt;""),'Feijão 1ª safra'!$E12:INDEX('Feijão 1ª safra'!$E12:$Z12,MIN(AH$6-$G$3,22))),0)))))</f>
        <v>0</v>
      </c>
      <c r="AI14" s="27" t="n">
        <f aca="false">IF(COUNT('Feijão 1ª safra'!$E12:$Z12)=0,0,MAX(0,IF((AI$6-$E$3)&lt;1,0,IFERROR(LOOKUP(2,1/('Feijão 1ª safra'!$E12:INDEX('Feijão 1ª safra'!$E12:$Z12,MIN(AI$6-$E$3,22))&lt;&gt;""),'Feijão 1ª safra'!$E12:INDEX('Feijão 1ª safra'!$E12:$Z12,MIN(AI$6-$E$3,22))),0))-IF($G$2,0,IF((AI$6-$G$3)&lt;1,0,IFERROR(LOOKUP(2,1/('Feijão 1ª safra'!$E12:INDEX('Feijão 1ª safra'!$E12:$Z12,MIN(AI$6-$G$3,22))&lt;&gt;""),'Feijão 1ª safra'!$E12:INDEX('Feijão 1ª safra'!$E12:$Z12,MIN(AI$6-$G$3,22))),0)))))</f>
        <v>0</v>
      </c>
      <c r="AJ14" s="27" t="n">
        <f aca="false">IF(COUNT('Feijão 1ª safra'!$E12:$Z12)=0,0,MAX(0,IF((AJ$6-$E$3)&lt;1,0,IFERROR(LOOKUP(2,1/('Feijão 1ª safra'!$E12:INDEX('Feijão 1ª safra'!$E12:$Z12,MIN(AJ$6-$E$3,22))&lt;&gt;""),'Feijão 1ª safra'!$E12:INDEX('Feijão 1ª safra'!$E12:$Z12,MIN(AJ$6-$E$3,22))),0))-IF($G$2,0,IF((AJ$6-$G$3)&lt;1,0,IFERROR(LOOKUP(2,1/('Feijão 1ª safra'!$E12:INDEX('Feijão 1ª safra'!$E12:$Z12,MIN(AJ$6-$G$3,22))&lt;&gt;""),'Feijão 1ª safra'!$E12:INDEX('Feijão 1ª safra'!$E12:$Z12,MIN(AJ$6-$G$3,22))),0)))))</f>
        <v>0</v>
      </c>
      <c r="AK14" s="27" t="n">
        <f aca="false">IF(COUNT('Feijão 1ª safra'!$E12:$Z12)=0,0,MAX(0,IF((AK$6-$E$3)&lt;1,0,IFERROR(LOOKUP(2,1/('Feijão 1ª safra'!$E12:INDEX('Feijão 1ª safra'!$E12:$Z12,MIN(AK$6-$E$3,22))&lt;&gt;""),'Feijão 1ª safra'!$E12:INDEX('Feijão 1ª safra'!$E12:$Z12,MIN(AK$6-$E$3,22))),0))-IF($G$2,0,IF((AK$6-$G$3)&lt;1,0,IFERROR(LOOKUP(2,1/('Feijão 1ª safra'!$E12:INDEX('Feijão 1ª safra'!$E12:$Z12,MIN(AK$6-$G$3,22))&lt;&gt;""),'Feijão 1ª safra'!$E12:INDEX('Feijão 1ª safra'!$E12:$Z12,MIN(AK$6-$G$3,22))),0)))))</f>
        <v>0</v>
      </c>
      <c r="AL14" s="27" t="n">
        <f aca="false">IF(COUNT('Feijão 1ª safra'!$E12:$Z12)=0,0,MAX(0,IF((AL$6-$E$3)&lt;1,0,IFERROR(LOOKUP(2,1/('Feijão 1ª safra'!$E12:INDEX('Feijão 1ª safra'!$E12:$Z12,MIN(AL$6-$E$3,22))&lt;&gt;""),'Feijão 1ª safra'!$E12:INDEX('Feijão 1ª safra'!$E12:$Z12,MIN(AL$6-$E$3,22))),0))-IF($G$2,0,IF((AL$6-$G$3)&lt;1,0,IFERROR(LOOKUP(2,1/('Feijão 1ª safra'!$E12:INDEX('Feijão 1ª safra'!$E12:$Z12,MIN(AL$6-$G$3,22))&lt;&gt;""),'Feijão 1ª safra'!$E12:INDEX('Feijão 1ª safra'!$E12:$Z12,MIN(AL$6-$G$3,22))),0)))))</f>
        <v>0</v>
      </c>
      <c r="AM14" s="27" t="n">
        <f aca="false">IF(COUNT('Feijão 1ª safra'!$E12:$Z12)=0,0,MAX(0,IF((AM$6-$E$3)&lt;1,0,IFERROR(LOOKUP(2,1/('Feijão 1ª safra'!$E12:INDEX('Feijão 1ª safra'!$E12:$Z12,MIN(AM$6-$E$3,22))&lt;&gt;""),'Feijão 1ª safra'!$E12:INDEX('Feijão 1ª safra'!$E12:$Z12,MIN(AM$6-$E$3,22))),0))-IF($G$2,0,IF((AM$6-$G$3)&lt;1,0,IFERROR(LOOKUP(2,1/('Feijão 1ª safra'!$E12:INDEX('Feijão 1ª safra'!$E12:$Z12,MIN(AM$6-$G$3,22))&lt;&gt;""),'Feijão 1ª safra'!$E12:INDEX('Feijão 1ª safra'!$E12:$Z12,MIN(AM$6-$G$3,22))),0)))))</f>
        <v>0</v>
      </c>
      <c r="AN14" s="27" t="n">
        <f aca="false">IF(COUNT('Feijão 1ª safra'!$E12:$Z12)=0,0,MAX(0,IF((AN$6-$E$3)&lt;1,0,IFERROR(LOOKUP(2,1/('Feijão 1ª safra'!$E12:INDEX('Feijão 1ª safra'!$E12:$Z12,MIN(AN$6-$E$3,22))&lt;&gt;""),'Feijão 1ª safra'!$E12:INDEX('Feijão 1ª safra'!$E12:$Z12,MIN(AN$6-$E$3,22))),0))-IF($G$2,0,IF((AN$6-$G$3)&lt;1,0,IFERROR(LOOKUP(2,1/('Feijão 1ª safra'!$E12:INDEX('Feijão 1ª safra'!$E12:$Z12,MIN(AN$6-$G$3,22))&lt;&gt;""),'Feijão 1ª safra'!$E12:INDEX('Feijão 1ª safra'!$E12:$Z12,MIN(AN$6-$G$3,22))),0)))))</f>
        <v>0</v>
      </c>
      <c r="AO14" s="27" t="n">
        <f aca="false">IF(COUNT('Feijão 1ª safra'!$E12:$Z12)=0,0,MAX(0,IF((AO$6-$E$3)&lt;1,0,IFERROR(LOOKUP(2,1/('Feijão 1ª safra'!$E12:INDEX('Feijão 1ª safra'!$E12:$Z12,MIN(AO$6-$E$3,22))&lt;&gt;""),'Feijão 1ª safra'!$E12:INDEX('Feijão 1ª safra'!$E12:$Z12,MIN(AO$6-$E$3,22))),0))-IF($G$2,0,IF((AO$6-$G$3)&lt;1,0,IFERROR(LOOKUP(2,1/('Feijão 1ª safra'!$E12:INDEX('Feijão 1ª safra'!$E12:$Z12,MIN(AO$6-$G$3,22))&lt;&gt;""),'Feijão 1ª safra'!$E12:INDEX('Feijão 1ª safra'!$E12:$Z12,MIN(AO$6-$G$3,22))),0)))))</f>
        <v>0</v>
      </c>
      <c r="AP14" s="27" t="n">
        <f aca="false">IF(COUNT('Feijão 1ª safra'!$E12:$Z12)=0,0,MAX(0,IF((AP$6-$E$3)&lt;1,0,IFERROR(LOOKUP(2,1/('Feijão 1ª safra'!$E12:INDEX('Feijão 1ª safra'!$E12:$Z12,MIN(AP$6-$E$3,22))&lt;&gt;""),'Feijão 1ª safra'!$E12:INDEX('Feijão 1ª safra'!$E12:$Z12,MIN(AP$6-$E$3,22))),0))-IF($G$2,0,IF((AP$6-$G$3)&lt;1,0,IFERROR(LOOKUP(2,1/('Feijão 1ª safra'!$E12:INDEX('Feijão 1ª safra'!$E12:$Z12,MIN(AP$6-$G$3,22))&lt;&gt;""),'Feijão 1ª safra'!$E12:INDEX('Feijão 1ª safra'!$E12:$Z12,MIN(AP$6-$G$3,22))),0)))))</f>
        <v>0</v>
      </c>
      <c r="AQ14" s="27" t="n">
        <f aca="false">IF(COUNT('Feijão 1ª safra'!$E12:$Z12)=0,0,MAX(0,IF((AQ$6-$E$3)&lt;1,0,IFERROR(LOOKUP(2,1/('Feijão 1ª safra'!$E12:INDEX('Feijão 1ª safra'!$E12:$Z12,MIN(AQ$6-$E$3,22))&lt;&gt;""),'Feijão 1ª safra'!$E12:INDEX('Feijão 1ª safra'!$E12:$Z12,MIN(AQ$6-$E$3,22))),0))-IF($G$2,0,IF((AQ$6-$G$3)&lt;1,0,IFERROR(LOOKUP(2,1/('Feijão 1ª safra'!$E12:INDEX('Feijão 1ª safra'!$E12:$Z12,MIN(AQ$6-$G$3,22))&lt;&gt;""),'Feijão 1ª safra'!$E12:INDEX('Feijão 1ª safra'!$E12:$Z12,MIN(AQ$6-$G$3,22))),0)))))</f>
        <v>0</v>
      </c>
      <c r="AR14" s="27" t="n">
        <f aca="false">IF(COUNT('Feijão 1ª safra'!$E12:$Z12)=0,0,MAX(0,IF((AR$6-$E$3)&lt;1,0,IFERROR(LOOKUP(2,1/('Feijão 1ª safra'!$E12:INDEX('Feijão 1ª safra'!$E12:$Z12,MIN(AR$6-$E$3,22))&lt;&gt;""),'Feijão 1ª safra'!$E12:INDEX('Feijão 1ª safra'!$E12:$Z12,MIN(AR$6-$E$3,22))),0))-IF($G$2,0,IF((AR$6-$G$3)&lt;1,0,IFERROR(LOOKUP(2,1/('Feijão 1ª safra'!$E12:INDEX('Feijão 1ª safra'!$E12:$Z12,MIN(AR$6-$G$3,22))&lt;&gt;""),'Feijão 1ª safra'!$E12:INDEX('Feijão 1ª safra'!$E12:$Z12,MIN(AR$6-$G$3,22))),0)))))</f>
        <v>0</v>
      </c>
      <c r="AS14" s="27" t="n">
        <f aca="false">IF(COUNT('Feijão 1ª safra'!$E12:$Z12)=0,0,MAX(0,IF((AS$6-$E$3)&lt;1,0,IFERROR(LOOKUP(2,1/('Feijão 1ª safra'!$E12:INDEX('Feijão 1ª safra'!$E12:$Z12,MIN(AS$6-$E$3,22))&lt;&gt;""),'Feijão 1ª safra'!$E12:INDEX('Feijão 1ª safra'!$E12:$Z12,MIN(AS$6-$E$3,22))),0))-IF($G$2,0,IF((AS$6-$G$3)&lt;1,0,IFERROR(LOOKUP(2,1/('Feijão 1ª safra'!$E12:INDEX('Feijão 1ª safra'!$E12:$Z12,MIN(AS$6-$G$3,22))&lt;&gt;""),'Feijão 1ª safra'!$E12:INDEX('Feijão 1ª safra'!$E12:$Z12,MIN(AS$6-$G$3,22))),0)))))</f>
        <v>0</v>
      </c>
      <c r="AT14" s="27" t="n">
        <f aca="false">IF(COUNT('Feijão 1ª safra'!$E12:$Z12)=0,0,MAX(0,IF((AT$6-$E$3)&lt;1,0,IFERROR(LOOKUP(2,1/('Feijão 1ª safra'!$E12:INDEX('Feijão 1ª safra'!$E12:$Z12,MIN(AT$6-$E$3,22))&lt;&gt;""),'Feijão 1ª safra'!$E12:INDEX('Feijão 1ª safra'!$E12:$Z12,MIN(AT$6-$E$3,22))),0))-IF($G$2,0,IF((AT$6-$G$3)&lt;1,0,IFERROR(LOOKUP(2,1/('Feijão 1ª safra'!$E12:INDEX('Feijão 1ª safra'!$E12:$Z12,MIN(AT$6-$G$3,22))&lt;&gt;""),'Feijão 1ª safra'!$E12:INDEX('Feijão 1ª safra'!$E12:$Z12,MIN(AT$6-$G$3,22))),0)))))</f>
        <v>0</v>
      </c>
      <c r="AU14" s="27" t="n">
        <f aca="false">IF(COUNT('Feijão 1ª safra'!$E12:$Z12)=0,0,MAX(0,IF((AU$6-$E$3)&lt;1,0,IFERROR(LOOKUP(2,1/('Feijão 1ª safra'!$E12:INDEX('Feijão 1ª safra'!$E12:$Z12,MIN(AU$6-$E$3,22))&lt;&gt;""),'Feijão 1ª safra'!$E12:INDEX('Feijão 1ª safra'!$E12:$Z12,MIN(AU$6-$E$3,22))),0))-IF($G$2,0,IF((AU$6-$G$3)&lt;1,0,IFERROR(LOOKUP(2,1/('Feijão 1ª safra'!$E12:INDEX('Feijão 1ª safra'!$E12:$Z12,MIN(AU$6-$G$3,22))&lt;&gt;""),'Feijão 1ª safra'!$E12:INDEX('Feijão 1ª safra'!$E12:$Z12,MIN(AU$6-$G$3,22))),0)))))</f>
        <v>0</v>
      </c>
      <c r="AV14" s="27" t="n">
        <f aca="false">IF(COUNT('Feijão 1ª safra'!$E12:$Z12)=0,0,MAX(0,IF((AV$6-$E$3)&lt;1,0,IFERROR(LOOKUP(2,1/('Feijão 1ª safra'!$E12:INDEX('Feijão 1ª safra'!$E12:$Z12,MIN(AV$6-$E$3,22))&lt;&gt;""),'Feijão 1ª safra'!$E12:INDEX('Feijão 1ª safra'!$E12:$Z12,MIN(AV$6-$E$3,22))),0))-IF($G$2,0,IF((AV$6-$G$3)&lt;1,0,IFERROR(LOOKUP(2,1/('Feijão 1ª safra'!$E12:INDEX('Feijão 1ª safra'!$E12:$Z12,MIN(AV$6-$G$3,22))&lt;&gt;""),'Feijão 1ª safra'!$E12:INDEX('Feijão 1ª safra'!$E12:$Z12,MIN(AV$6-$G$3,22))),0)))))</f>
        <v>0</v>
      </c>
      <c r="AW14" s="27" t="n">
        <f aca="false">IF(COUNT('Feijão 1ª safra'!$E12:$Z12)=0,0,MAX(0,IF((AW$6-$E$3)&lt;1,0,IFERROR(LOOKUP(2,1/('Feijão 1ª safra'!$E12:INDEX('Feijão 1ª safra'!$E12:$Z12,MIN(AW$6-$E$3,22))&lt;&gt;""),'Feijão 1ª safra'!$E12:INDEX('Feijão 1ª safra'!$E12:$Z12,MIN(AW$6-$E$3,22))),0))-IF($G$2,0,IF((AW$6-$G$3)&lt;1,0,IFERROR(LOOKUP(2,1/('Feijão 1ª safra'!$E12:INDEX('Feijão 1ª safra'!$E12:$Z12,MIN(AW$6-$G$3,22))&lt;&gt;""),'Feijão 1ª safra'!$E12:INDEX('Feijão 1ª safra'!$E12:$Z12,MIN(AW$6-$G$3,22))),0)))))</f>
        <v>0</v>
      </c>
      <c r="AX14" s="27" t="n">
        <f aca="false">IF(COUNT('Feijão 1ª safra'!$E12:$Z12)=0,0,MAX(0,IF((AX$6-$E$3)&lt;1,0,IFERROR(LOOKUP(2,1/('Feijão 1ª safra'!$E12:INDEX('Feijão 1ª safra'!$E12:$Z12,MIN(AX$6-$E$3,22))&lt;&gt;""),'Feijão 1ª safra'!$E12:INDEX('Feijão 1ª safra'!$E12:$Z12,MIN(AX$6-$E$3,22))),0))-IF($G$2,0,IF((AX$6-$G$3)&lt;1,0,IFERROR(LOOKUP(2,1/('Feijão 1ª safra'!$E12:INDEX('Feijão 1ª safra'!$E12:$Z12,MIN(AX$6-$G$3,22))&lt;&gt;""),'Feijão 1ª safra'!$E12:INDEX('Feijão 1ª safra'!$E12:$Z12,MIN(AX$6-$G$3,22))),0)))))</f>
        <v>0</v>
      </c>
      <c r="AY14" s="27" t="n">
        <f aca="false">IF(COUNT('Feijão 1ª safra'!$E12:$Z12)=0,0,MAX(0,IF((AY$6-$E$3)&lt;1,0,IFERROR(LOOKUP(2,1/('Feijão 1ª safra'!$E12:INDEX('Feijão 1ª safra'!$E12:$Z12,MIN(AY$6-$E$3,22))&lt;&gt;""),'Feijão 1ª safra'!$E12:INDEX('Feijão 1ª safra'!$E12:$Z12,MIN(AY$6-$E$3,22))),0))-IF($G$2,0,IF((AY$6-$G$3)&lt;1,0,IFERROR(LOOKUP(2,1/('Feijão 1ª safra'!$E12:INDEX('Feijão 1ª safra'!$E12:$Z12,MIN(AY$6-$G$3,22))&lt;&gt;""),'Feijão 1ª safra'!$E12:INDEX('Feijão 1ª safra'!$E12:$Z12,MIN(AY$6-$G$3,22))),0)))))</f>
        <v>0</v>
      </c>
      <c r="AZ14" s="27" t="n">
        <f aca="false">IF(COUNT('Feijão 1ª safra'!$E12:$Z12)=0,0,MAX(0,IF((AZ$6-$E$3)&lt;1,0,IFERROR(LOOKUP(2,1/('Feijão 1ª safra'!$E12:INDEX('Feijão 1ª safra'!$E12:$Z12,MIN(AZ$6-$E$3,22))&lt;&gt;""),'Feijão 1ª safra'!$E12:INDEX('Feijão 1ª safra'!$E12:$Z12,MIN(AZ$6-$E$3,22))),0))-IF($G$2,0,IF((AZ$6-$G$3)&lt;1,0,IFERROR(LOOKUP(2,1/('Feijão 1ª safra'!$E12:INDEX('Feijão 1ª safra'!$E12:$Z12,MIN(AZ$6-$G$3,22))&lt;&gt;""),'Feijão 1ª safra'!$E12:INDEX('Feijão 1ª safra'!$E12:$Z12,MIN(AZ$6-$G$3,22))),0)))))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IF(COUNT('Feijão 1ª safra'!$E13:$Z13)&gt;0,N('Feijão 1ª safra'!$D13),0)</f>
        <v>0</v>
      </c>
      <c r="E15" s="27" t="n">
        <f aca="false">IF(COUNT('Feijão 1ª safra'!$E13:$Z13)=0,0,MAX(0,IF((E$6-$E$3)&lt;1,0,IFERROR(LOOKUP(2,1/('Feijão 1ª safra'!$E13:INDEX('Feijão 1ª safra'!$E13:$Z13,MIN(E$6-$E$3,22))&lt;&gt;""),'Feijão 1ª safra'!$E13:INDEX('Feijão 1ª safra'!$E13:$Z13,MIN(E$6-$E$3,22))),0))-IF($G$2,0,IF((E$6-$G$3)&lt;1,0,IFERROR(LOOKUP(2,1/('Feijão 1ª safra'!$E13:INDEX('Feijão 1ª safra'!$E13:$Z13,MIN(E$6-$G$3,22))&lt;&gt;""),'Feijão 1ª safra'!$E13:INDEX('Feijão 1ª safra'!$E13:$Z13,MIN(E$6-$G$3,22))),0)))))</f>
        <v>0</v>
      </c>
      <c r="F15" s="27" t="n">
        <f aca="false">IF(COUNT('Feijão 1ª safra'!$E13:$Z13)=0,0,MAX(0,IF((F$6-$E$3)&lt;1,0,IFERROR(LOOKUP(2,1/('Feijão 1ª safra'!$E13:INDEX('Feijão 1ª safra'!$E13:$Z13,MIN(F$6-$E$3,22))&lt;&gt;""),'Feijão 1ª safra'!$E13:INDEX('Feijão 1ª safra'!$E13:$Z13,MIN(F$6-$E$3,22))),0))-IF($G$2,0,IF((F$6-$G$3)&lt;1,0,IFERROR(LOOKUP(2,1/('Feijão 1ª safra'!$E13:INDEX('Feijão 1ª safra'!$E13:$Z13,MIN(F$6-$G$3,22))&lt;&gt;""),'Feijão 1ª safra'!$E13:INDEX('Feijão 1ª safra'!$E13:$Z13,MIN(F$6-$G$3,22))),0)))))</f>
        <v>0</v>
      </c>
      <c r="G15" s="27" t="n">
        <f aca="false">IF(COUNT('Feijão 1ª safra'!$E13:$Z13)=0,0,MAX(0,IF((G$6-$E$3)&lt;1,0,IFERROR(LOOKUP(2,1/('Feijão 1ª safra'!$E13:INDEX('Feijão 1ª safra'!$E13:$Z13,MIN(G$6-$E$3,22))&lt;&gt;""),'Feijão 1ª safra'!$E13:INDEX('Feijão 1ª safra'!$E13:$Z13,MIN(G$6-$E$3,22))),0))-IF($G$2,0,IF((G$6-$G$3)&lt;1,0,IFERROR(LOOKUP(2,1/('Feijão 1ª safra'!$E13:INDEX('Feijão 1ª safra'!$E13:$Z13,MIN(G$6-$G$3,22))&lt;&gt;""),'Feijão 1ª safra'!$E13:INDEX('Feijão 1ª safra'!$E13:$Z13,MIN(G$6-$G$3,22))),0)))))</f>
        <v>0</v>
      </c>
      <c r="H15" s="27" t="n">
        <f aca="false">IF(COUNT('Feijão 1ª safra'!$E13:$Z13)=0,0,MAX(0,IF((H$6-$E$3)&lt;1,0,IFERROR(LOOKUP(2,1/('Feijão 1ª safra'!$E13:INDEX('Feijão 1ª safra'!$E13:$Z13,MIN(H$6-$E$3,22))&lt;&gt;""),'Feijão 1ª safra'!$E13:INDEX('Feijão 1ª safra'!$E13:$Z13,MIN(H$6-$E$3,22))),0))-IF($G$2,0,IF((H$6-$G$3)&lt;1,0,IFERROR(LOOKUP(2,1/('Feijão 1ª safra'!$E13:INDEX('Feijão 1ª safra'!$E13:$Z13,MIN(H$6-$G$3,22))&lt;&gt;""),'Feijão 1ª safra'!$E13:INDEX('Feijão 1ª safra'!$E13:$Z13,MIN(H$6-$G$3,22))),0)))))</f>
        <v>0</v>
      </c>
      <c r="I15" s="27" t="n">
        <f aca="false">IF(COUNT('Feijão 1ª safra'!$E13:$Z13)=0,0,MAX(0,IF((I$6-$E$3)&lt;1,0,IFERROR(LOOKUP(2,1/('Feijão 1ª safra'!$E13:INDEX('Feijão 1ª safra'!$E13:$Z13,MIN(I$6-$E$3,22))&lt;&gt;""),'Feijão 1ª safra'!$E13:INDEX('Feijão 1ª safra'!$E13:$Z13,MIN(I$6-$E$3,22))),0))-IF($G$2,0,IF((I$6-$G$3)&lt;1,0,IFERROR(LOOKUP(2,1/('Feijão 1ª safra'!$E13:INDEX('Feijão 1ª safra'!$E13:$Z13,MIN(I$6-$G$3,22))&lt;&gt;""),'Feijão 1ª safra'!$E13:INDEX('Feijão 1ª safra'!$E13:$Z13,MIN(I$6-$G$3,22))),0)))))</f>
        <v>0</v>
      </c>
      <c r="J15" s="27" t="n">
        <f aca="false">IF(COUNT('Feijão 1ª safra'!$E13:$Z13)=0,0,MAX(0,IF((J$6-$E$3)&lt;1,0,IFERROR(LOOKUP(2,1/('Feijão 1ª safra'!$E13:INDEX('Feijão 1ª safra'!$E13:$Z13,MIN(J$6-$E$3,22))&lt;&gt;""),'Feijão 1ª safra'!$E13:INDEX('Feijão 1ª safra'!$E13:$Z13,MIN(J$6-$E$3,22))),0))-IF($G$2,0,IF((J$6-$G$3)&lt;1,0,IFERROR(LOOKUP(2,1/('Feijão 1ª safra'!$E13:INDEX('Feijão 1ª safra'!$E13:$Z13,MIN(J$6-$G$3,22))&lt;&gt;""),'Feijão 1ª safra'!$E13:INDEX('Feijão 1ª safra'!$E13:$Z13,MIN(J$6-$G$3,22))),0)))))</f>
        <v>0</v>
      </c>
      <c r="K15" s="27" t="n">
        <f aca="false">IF(COUNT('Feijão 1ª safra'!$E13:$Z13)=0,0,MAX(0,IF((K$6-$E$3)&lt;1,0,IFERROR(LOOKUP(2,1/('Feijão 1ª safra'!$E13:INDEX('Feijão 1ª safra'!$E13:$Z13,MIN(K$6-$E$3,22))&lt;&gt;""),'Feijão 1ª safra'!$E13:INDEX('Feijão 1ª safra'!$E13:$Z13,MIN(K$6-$E$3,22))),0))-IF($G$2,0,IF((K$6-$G$3)&lt;1,0,IFERROR(LOOKUP(2,1/('Feijão 1ª safra'!$E13:INDEX('Feijão 1ª safra'!$E13:$Z13,MIN(K$6-$G$3,22))&lt;&gt;""),'Feijão 1ª safra'!$E13:INDEX('Feijão 1ª safra'!$E13:$Z13,MIN(K$6-$G$3,22))),0)))))</f>
        <v>0</v>
      </c>
      <c r="L15" s="27" t="n">
        <f aca="false">IF(COUNT('Feijão 1ª safra'!$E13:$Z13)=0,0,MAX(0,IF((L$6-$E$3)&lt;1,0,IFERROR(LOOKUP(2,1/('Feijão 1ª safra'!$E13:INDEX('Feijão 1ª safra'!$E13:$Z13,MIN(L$6-$E$3,22))&lt;&gt;""),'Feijão 1ª safra'!$E13:INDEX('Feijão 1ª safra'!$E13:$Z13,MIN(L$6-$E$3,22))),0))-IF($G$2,0,IF((L$6-$G$3)&lt;1,0,IFERROR(LOOKUP(2,1/('Feijão 1ª safra'!$E13:INDEX('Feijão 1ª safra'!$E13:$Z13,MIN(L$6-$G$3,22))&lt;&gt;""),'Feijão 1ª safra'!$E13:INDEX('Feijão 1ª safra'!$E13:$Z13,MIN(L$6-$G$3,22))),0)))))</f>
        <v>0</v>
      </c>
      <c r="M15" s="27" t="n">
        <f aca="false">IF(COUNT('Feijão 1ª safra'!$E13:$Z13)=0,0,MAX(0,IF((M$6-$E$3)&lt;1,0,IFERROR(LOOKUP(2,1/('Feijão 1ª safra'!$E13:INDEX('Feijão 1ª safra'!$E13:$Z13,MIN(M$6-$E$3,22))&lt;&gt;""),'Feijão 1ª safra'!$E13:INDEX('Feijão 1ª safra'!$E13:$Z13,MIN(M$6-$E$3,22))),0))-IF($G$2,0,IF((M$6-$G$3)&lt;1,0,IFERROR(LOOKUP(2,1/('Feijão 1ª safra'!$E13:INDEX('Feijão 1ª safra'!$E13:$Z13,MIN(M$6-$G$3,22))&lt;&gt;""),'Feijão 1ª safra'!$E13:INDEX('Feijão 1ª safra'!$E13:$Z13,MIN(M$6-$G$3,22))),0)))))</f>
        <v>0</v>
      </c>
      <c r="N15" s="27" t="n">
        <f aca="false">IF(COUNT('Feijão 1ª safra'!$E13:$Z13)=0,0,MAX(0,IF((N$6-$E$3)&lt;1,0,IFERROR(LOOKUP(2,1/('Feijão 1ª safra'!$E13:INDEX('Feijão 1ª safra'!$E13:$Z13,MIN(N$6-$E$3,22))&lt;&gt;""),'Feijão 1ª safra'!$E13:INDEX('Feijão 1ª safra'!$E13:$Z13,MIN(N$6-$E$3,22))),0))-IF($G$2,0,IF((N$6-$G$3)&lt;1,0,IFERROR(LOOKUP(2,1/('Feijão 1ª safra'!$E13:INDEX('Feijão 1ª safra'!$E13:$Z13,MIN(N$6-$G$3,22))&lt;&gt;""),'Feijão 1ª safra'!$E13:INDEX('Feijão 1ª safra'!$E13:$Z13,MIN(N$6-$G$3,22))),0)))))</f>
        <v>0</v>
      </c>
      <c r="O15" s="27" t="n">
        <f aca="false">IF(COUNT('Feijão 1ª safra'!$E13:$Z13)=0,0,MAX(0,IF((O$6-$E$3)&lt;1,0,IFERROR(LOOKUP(2,1/('Feijão 1ª safra'!$E13:INDEX('Feijão 1ª safra'!$E13:$Z13,MIN(O$6-$E$3,22))&lt;&gt;""),'Feijão 1ª safra'!$E13:INDEX('Feijão 1ª safra'!$E13:$Z13,MIN(O$6-$E$3,22))),0))-IF($G$2,0,IF((O$6-$G$3)&lt;1,0,IFERROR(LOOKUP(2,1/('Feijão 1ª safra'!$E13:INDEX('Feijão 1ª safra'!$E13:$Z13,MIN(O$6-$G$3,22))&lt;&gt;""),'Feijão 1ª safra'!$E13:INDEX('Feijão 1ª safra'!$E13:$Z13,MIN(O$6-$G$3,22))),0)))))</f>
        <v>0</v>
      </c>
      <c r="P15" s="27" t="n">
        <f aca="false">IF(COUNT('Feijão 1ª safra'!$E13:$Z13)=0,0,MAX(0,IF((P$6-$E$3)&lt;1,0,IFERROR(LOOKUP(2,1/('Feijão 1ª safra'!$E13:INDEX('Feijão 1ª safra'!$E13:$Z13,MIN(P$6-$E$3,22))&lt;&gt;""),'Feijão 1ª safra'!$E13:INDEX('Feijão 1ª safra'!$E13:$Z13,MIN(P$6-$E$3,22))),0))-IF($G$2,0,IF((P$6-$G$3)&lt;1,0,IFERROR(LOOKUP(2,1/('Feijão 1ª safra'!$E13:INDEX('Feijão 1ª safra'!$E13:$Z13,MIN(P$6-$G$3,22))&lt;&gt;""),'Feijão 1ª safra'!$E13:INDEX('Feijão 1ª safra'!$E13:$Z13,MIN(P$6-$G$3,22))),0)))))</f>
        <v>0</v>
      </c>
      <c r="Q15" s="27" t="n">
        <f aca="false">IF(COUNT('Feijão 1ª safra'!$E13:$Z13)=0,0,MAX(0,IF((Q$6-$E$3)&lt;1,0,IFERROR(LOOKUP(2,1/('Feijão 1ª safra'!$E13:INDEX('Feijão 1ª safra'!$E13:$Z13,MIN(Q$6-$E$3,22))&lt;&gt;""),'Feijão 1ª safra'!$E13:INDEX('Feijão 1ª safra'!$E13:$Z13,MIN(Q$6-$E$3,22))),0))-IF($G$2,0,IF((Q$6-$G$3)&lt;1,0,IFERROR(LOOKUP(2,1/('Feijão 1ª safra'!$E13:INDEX('Feijão 1ª safra'!$E13:$Z13,MIN(Q$6-$G$3,22))&lt;&gt;""),'Feijão 1ª safra'!$E13:INDEX('Feijão 1ª safra'!$E13:$Z13,MIN(Q$6-$G$3,22))),0)))))</f>
        <v>0</v>
      </c>
      <c r="R15" s="27" t="n">
        <f aca="false">IF(COUNT('Feijão 1ª safra'!$E13:$Z13)=0,0,MAX(0,IF((R$6-$E$3)&lt;1,0,IFERROR(LOOKUP(2,1/('Feijão 1ª safra'!$E13:INDEX('Feijão 1ª safra'!$E13:$Z13,MIN(R$6-$E$3,22))&lt;&gt;""),'Feijão 1ª safra'!$E13:INDEX('Feijão 1ª safra'!$E13:$Z13,MIN(R$6-$E$3,22))),0))-IF($G$2,0,IF((R$6-$G$3)&lt;1,0,IFERROR(LOOKUP(2,1/('Feijão 1ª safra'!$E13:INDEX('Feijão 1ª safra'!$E13:$Z13,MIN(R$6-$G$3,22))&lt;&gt;""),'Feijão 1ª safra'!$E13:INDEX('Feijão 1ª safra'!$E13:$Z13,MIN(R$6-$G$3,22))),0)))))</f>
        <v>0</v>
      </c>
      <c r="S15" s="27" t="n">
        <f aca="false">IF(COUNT('Feijão 1ª safra'!$E13:$Z13)=0,0,MAX(0,IF((S$6-$E$3)&lt;1,0,IFERROR(LOOKUP(2,1/('Feijão 1ª safra'!$E13:INDEX('Feijão 1ª safra'!$E13:$Z13,MIN(S$6-$E$3,22))&lt;&gt;""),'Feijão 1ª safra'!$E13:INDEX('Feijão 1ª safra'!$E13:$Z13,MIN(S$6-$E$3,22))),0))-IF($G$2,0,IF((S$6-$G$3)&lt;1,0,IFERROR(LOOKUP(2,1/('Feijão 1ª safra'!$E13:INDEX('Feijão 1ª safra'!$E13:$Z13,MIN(S$6-$G$3,22))&lt;&gt;""),'Feijão 1ª safra'!$E13:INDEX('Feijão 1ª safra'!$E13:$Z13,MIN(S$6-$G$3,22))),0)))))</f>
        <v>0</v>
      </c>
      <c r="T15" s="27" t="n">
        <f aca="false">IF(COUNT('Feijão 1ª safra'!$E13:$Z13)=0,0,MAX(0,IF((T$6-$E$3)&lt;1,0,IFERROR(LOOKUP(2,1/('Feijão 1ª safra'!$E13:INDEX('Feijão 1ª safra'!$E13:$Z13,MIN(T$6-$E$3,22))&lt;&gt;""),'Feijão 1ª safra'!$E13:INDEX('Feijão 1ª safra'!$E13:$Z13,MIN(T$6-$E$3,22))),0))-IF($G$2,0,IF((T$6-$G$3)&lt;1,0,IFERROR(LOOKUP(2,1/('Feijão 1ª safra'!$E13:INDEX('Feijão 1ª safra'!$E13:$Z13,MIN(T$6-$G$3,22))&lt;&gt;""),'Feijão 1ª safra'!$E13:INDEX('Feijão 1ª safra'!$E13:$Z13,MIN(T$6-$G$3,22))),0)))))</f>
        <v>0</v>
      </c>
      <c r="U15" s="27" t="n">
        <f aca="false">IF(COUNT('Feijão 1ª safra'!$E13:$Z13)=0,0,MAX(0,IF((U$6-$E$3)&lt;1,0,IFERROR(LOOKUP(2,1/('Feijão 1ª safra'!$E13:INDEX('Feijão 1ª safra'!$E13:$Z13,MIN(U$6-$E$3,22))&lt;&gt;""),'Feijão 1ª safra'!$E13:INDEX('Feijão 1ª safra'!$E13:$Z13,MIN(U$6-$E$3,22))),0))-IF($G$2,0,IF((U$6-$G$3)&lt;1,0,IFERROR(LOOKUP(2,1/('Feijão 1ª safra'!$E13:INDEX('Feijão 1ª safra'!$E13:$Z13,MIN(U$6-$G$3,22))&lt;&gt;""),'Feijão 1ª safra'!$E13:INDEX('Feijão 1ª safra'!$E13:$Z13,MIN(U$6-$G$3,22))),0)))))</f>
        <v>0</v>
      </c>
      <c r="V15" s="27" t="n">
        <f aca="false">IF(COUNT('Feijão 1ª safra'!$E13:$Z13)=0,0,MAX(0,IF((V$6-$E$3)&lt;1,0,IFERROR(LOOKUP(2,1/('Feijão 1ª safra'!$E13:INDEX('Feijão 1ª safra'!$E13:$Z13,MIN(V$6-$E$3,22))&lt;&gt;""),'Feijão 1ª safra'!$E13:INDEX('Feijão 1ª safra'!$E13:$Z13,MIN(V$6-$E$3,22))),0))-IF($G$2,0,IF((V$6-$G$3)&lt;1,0,IFERROR(LOOKUP(2,1/('Feijão 1ª safra'!$E13:INDEX('Feijão 1ª safra'!$E13:$Z13,MIN(V$6-$G$3,22))&lt;&gt;""),'Feijão 1ª safra'!$E13:INDEX('Feijão 1ª safra'!$E13:$Z13,MIN(V$6-$G$3,22))),0)))))</f>
        <v>0</v>
      </c>
      <c r="W15" s="27" t="n">
        <f aca="false">IF(COUNT('Feijão 1ª safra'!$E13:$Z13)=0,0,MAX(0,IF((W$6-$E$3)&lt;1,0,IFERROR(LOOKUP(2,1/('Feijão 1ª safra'!$E13:INDEX('Feijão 1ª safra'!$E13:$Z13,MIN(W$6-$E$3,22))&lt;&gt;""),'Feijão 1ª safra'!$E13:INDEX('Feijão 1ª safra'!$E13:$Z13,MIN(W$6-$E$3,22))),0))-IF($G$2,0,IF((W$6-$G$3)&lt;1,0,IFERROR(LOOKUP(2,1/('Feijão 1ª safra'!$E13:INDEX('Feijão 1ª safra'!$E13:$Z13,MIN(W$6-$G$3,22))&lt;&gt;""),'Feijão 1ª safra'!$E13:INDEX('Feijão 1ª safra'!$E13:$Z13,MIN(W$6-$G$3,22))),0)))))</f>
        <v>0</v>
      </c>
      <c r="X15" s="27" t="n">
        <f aca="false">IF(COUNT('Feijão 1ª safra'!$E13:$Z13)=0,0,MAX(0,IF((X$6-$E$3)&lt;1,0,IFERROR(LOOKUP(2,1/('Feijão 1ª safra'!$E13:INDEX('Feijão 1ª safra'!$E13:$Z13,MIN(X$6-$E$3,22))&lt;&gt;""),'Feijão 1ª safra'!$E13:INDEX('Feijão 1ª safra'!$E13:$Z13,MIN(X$6-$E$3,22))),0))-IF($G$2,0,IF((X$6-$G$3)&lt;1,0,IFERROR(LOOKUP(2,1/('Feijão 1ª safra'!$E13:INDEX('Feijão 1ª safra'!$E13:$Z13,MIN(X$6-$G$3,22))&lt;&gt;""),'Feijão 1ª safra'!$E13:INDEX('Feijão 1ª safra'!$E13:$Z13,MIN(X$6-$G$3,22))),0)))))</f>
        <v>0</v>
      </c>
      <c r="Y15" s="27" t="n">
        <f aca="false">IF(COUNT('Feijão 1ª safra'!$E13:$Z13)=0,0,MAX(0,IF((Y$6-$E$3)&lt;1,0,IFERROR(LOOKUP(2,1/('Feijão 1ª safra'!$E13:INDEX('Feijão 1ª safra'!$E13:$Z13,MIN(Y$6-$E$3,22))&lt;&gt;""),'Feijão 1ª safra'!$E13:INDEX('Feijão 1ª safra'!$E13:$Z13,MIN(Y$6-$E$3,22))),0))-IF($G$2,0,IF((Y$6-$G$3)&lt;1,0,IFERROR(LOOKUP(2,1/('Feijão 1ª safra'!$E13:INDEX('Feijão 1ª safra'!$E13:$Z13,MIN(Y$6-$G$3,22))&lt;&gt;""),'Feijão 1ª safra'!$E13:INDEX('Feijão 1ª safra'!$E13:$Z13,MIN(Y$6-$G$3,22))),0)))))</f>
        <v>0</v>
      </c>
      <c r="Z15" s="27" t="n">
        <f aca="false">IF(COUNT('Feijão 1ª safra'!$E13:$Z13)=0,0,MAX(0,IF((Z$6-$E$3)&lt;1,0,IFERROR(LOOKUP(2,1/('Feijão 1ª safra'!$E13:INDEX('Feijão 1ª safra'!$E13:$Z13,MIN(Z$6-$E$3,22))&lt;&gt;""),'Feijão 1ª safra'!$E13:INDEX('Feijão 1ª safra'!$E13:$Z13,MIN(Z$6-$E$3,22))),0))-IF($G$2,0,IF((Z$6-$G$3)&lt;1,0,IFERROR(LOOKUP(2,1/('Feijão 1ª safra'!$E13:INDEX('Feijão 1ª safra'!$E13:$Z13,MIN(Z$6-$G$3,22))&lt;&gt;""),'Feijão 1ª safra'!$E13:INDEX('Feijão 1ª safra'!$E13:$Z13,MIN(Z$6-$G$3,22))),0)))))</f>
        <v>0</v>
      </c>
      <c r="AA15" s="27" t="n">
        <f aca="false">IF(COUNT('Feijão 1ª safra'!$E13:$Z13)=0,0,MAX(0,IF((AA$6-$E$3)&lt;1,0,IFERROR(LOOKUP(2,1/('Feijão 1ª safra'!$E13:INDEX('Feijão 1ª safra'!$E13:$Z13,MIN(AA$6-$E$3,22))&lt;&gt;""),'Feijão 1ª safra'!$E13:INDEX('Feijão 1ª safra'!$E13:$Z13,MIN(AA$6-$E$3,22))),0))-IF($G$2,0,IF((AA$6-$G$3)&lt;1,0,IFERROR(LOOKUP(2,1/('Feijão 1ª safra'!$E13:INDEX('Feijão 1ª safra'!$E13:$Z13,MIN(AA$6-$G$3,22))&lt;&gt;""),'Feijão 1ª safra'!$E13:INDEX('Feijão 1ª safra'!$E13:$Z13,MIN(AA$6-$G$3,22))),0)))))</f>
        <v>0</v>
      </c>
      <c r="AB15" s="27" t="n">
        <f aca="false">IF(COUNT('Feijão 1ª safra'!$E13:$Z13)=0,0,MAX(0,IF((AB$6-$E$3)&lt;1,0,IFERROR(LOOKUP(2,1/('Feijão 1ª safra'!$E13:INDEX('Feijão 1ª safra'!$E13:$Z13,MIN(AB$6-$E$3,22))&lt;&gt;""),'Feijão 1ª safra'!$E13:INDEX('Feijão 1ª safra'!$E13:$Z13,MIN(AB$6-$E$3,22))),0))-IF($G$2,0,IF((AB$6-$G$3)&lt;1,0,IFERROR(LOOKUP(2,1/('Feijão 1ª safra'!$E13:INDEX('Feijão 1ª safra'!$E13:$Z13,MIN(AB$6-$G$3,22))&lt;&gt;""),'Feijão 1ª safra'!$E13:INDEX('Feijão 1ª safra'!$E13:$Z13,MIN(AB$6-$G$3,22))),0)))))</f>
        <v>0</v>
      </c>
      <c r="AC15" s="27" t="n">
        <f aca="false">IF(COUNT('Feijão 1ª safra'!$E13:$Z13)=0,0,MAX(0,IF((AC$6-$E$3)&lt;1,0,IFERROR(LOOKUP(2,1/('Feijão 1ª safra'!$E13:INDEX('Feijão 1ª safra'!$E13:$Z13,MIN(AC$6-$E$3,22))&lt;&gt;""),'Feijão 1ª safra'!$E13:INDEX('Feijão 1ª safra'!$E13:$Z13,MIN(AC$6-$E$3,22))),0))-IF($G$2,0,IF((AC$6-$G$3)&lt;1,0,IFERROR(LOOKUP(2,1/('Feijão 1ª safra'!$E13:INDEX('Feijão 1ª safra'!$E13:$Z13,MIN(AC$6-$G$3,22))&lt;&gt;""),'Feijão 1ª safra'!$E13:INDEX('Feijão 1ª safra'!$E13:$Z13,MIN(AC$6-$G$3,22))),0)))))</f>
        <v>0</v>
      </c>
      <c r="AD15" s="27" t="n">
        <f aca="false">IF(COUNT('Feijão 1ª safra'!$E13:$Z13)=0,0,MAX(0,IF((AD$6-$E$3)&lt;1,0,IFERROR(LOOKUP(2,1/('Feijão 1ª safra'!$E13:INDEX('Feijão 1ª safra'!$E13:$Z13,MIN(AD$6-$E$3,22))&lt;&gt;""),'Feijão 1ª safra'!$E13:INDEX('Feijão 1ª safra'!$E13:$Z13,MIN(AD$6-$E$3,22))),0))-IF($G$2,0,IF((AD$6-$G$3)&lt;1,0,IFERROR(LOOKUP(2,1/('Feijão 1ª safra'!$E13:INDEX('Feijão 1ª safra'!$E13:$Z13,MIN(AD$6-$G$3,22))&lt;&gt;""),'Feijão 1ª safra'!$E13:INDEX('Feijão 1ª safra'!$E13:$Z13,MIN(AD$6-$G$3,22))),0)))))</f>
        <v>0</v>
      </c>
      <c r="AE15" s="27" t="n">
        <f aca="false">IF(COUNT('Feijão 1ª safra'!$E13:$Z13)=0,0,MAX(0,IF((AE$6-$E$3)&lt;1,0,IFERROR(LOOKUP(2,1/('Feijão 1ª safra'!$E13:INDEX('Feijão 1ª safra'!$E13:$Z13,MIN(AE$6-$E$3,22))&lt;&gt;""),'Feijão 1ª safra'!$E13:INDEX('Feijão 1ª safra'!$E13:$Z13,MIN(AE$6-$E$3,22))),0))-IF($G$2,0,IF((AE$6-$G$3)&lt;1,0,IFERROR(LOOKUP(2,1/('Feijão 1ª safra'!$E13:INDEX('Feijão 1ª safra'!$E13:$Z13,MIN(AE$6-$G$3,22))&lt;&gt;""),'Feijão 1ª safra'!$E13:INDEX('Feijão 1ª safra'!$E13:$Z13,MIN(AE$6-$G$3,22))),0)))))</f>
        <v>0</v>
      </c>
      <c r="AF15" s="27" t="n">
        <f aca="false">IF(COUNT('Feijão 1ª safra'!$E13:$Z13)=0,0,MAX(0,IF((AF$6-$E$3)&lt;1,0,IFERROR(LOOKUP(2,1/('Feijão 1ª safra'!$E13:INDEX('Feijão 1ª safra'!$E13:$Z13,MIN(AF$6-$E$3,22))&lt;&gt;""),'Feijão 1ª safra'!$E13:INDEX('Feijão 1ª safra'!$E13:$Z13,MIN(AF$6-$E$3,22))),0))-IF($G$2,0,IF((AF$6-$G$3)&lt;1,0,IFERROR(LOOKUP(2,1/('Feijão 1ª safra'!$E13:INDEX('Feijão 1ª safra'!$E13:$Z13,MIN(AF$6-$G$3,22))&lt;&gt;""),'Feijão 1ª safra'!$E13:INDEX('Feijão 1ª safra'!$E13:$Z13,MIN(AF$6-$G$3,22))),0)))))</f>
        <v>0</v>
      </c>
      <c r="AG15" s="27" t="n">
        <f aca="false">IF(COUNT('Feijão 1ª safra'!$E13:$Z13)=0,0,MAX(0,IF((AG$6-$E$3)&lt;1,0,IFERROR(LOOKUP(2,1/('Feijão 1ª safra'!$E13:INDEX('Feijão 1ª safra'!$E13:$Z13,MIN(AG$6-$E$3,22))&lt;&gt;""),'Feijão 1ª safra'!$E13:INDEX('Feijão 1ª safra'!$E13:$Z13,MIN(AG$6-$E$3,22))),0))-IF($G$2,0,IF((AG$6-$G$3)&lt;1,0,IFERROR(LOOKUP(2,1/('Feijão 1ª safra'!$E13:INDEX('Feijão 1ª safra'!$E13:$Z13,MIN(AG$6-$G$3,22))&lt;&gt;""),'Feijão 1ª safra'!$E13:INDEX('Feijão 1ª safra'!$E13:$Z13,MIN(AG$6-$G$3,22))),0)))))</f>
        <v>0</v>
      </c>
      <c r="AH15" s="27" t="n">
        <f aca="false">IF(COUNT('Feijão 1ª safra'!$E13:$Z13)=0,0,MAX(0,IF((AH$6-$E$3)&lt;1,0,IFERROR(LOOKUP(2,1/('Feijão 1ª safra'!$E13:INDEX('Feijão 1ª safra'!$E13:$Z13,MIN(AH$6-$E$3,22))&lt;&gt;""),'Feijão 1ª safra'!$E13:INDEX('Feijão 1ª safra'!$E13:$Z13,MIN(AH$6-$E$3,22))),0))-IF($G$2,0,IF((AH$6-$G$3)&lt;1,0,IFERROR(LOOKUP(2,1/('Feijão 1ª safra'!$E13:INDEX('Feijão 1ª safra'!$E13:$Z13,MIN(AH$6-$G$3,22))&lt;&gt;""),'Feijão 1ª safra'!$E13:INDEX('Feijão 1ª safra'!$E13:$Z13,MIN(AH$6-$G$3,22))),0)))))</f>
        <v>0</v>
      </c>
      <c r="AI15" s="27" t="n">
        <f aca="false">IF(COUNT('Feijão 1ª safra'!$E13:$Z13)=0,0,MAX(0,IF((AI$6-$E$3)&lt;1,0,IFERROR(LOOKUP(2,1/('Feijão 1ª safra'!$E13:INDEX('Feijão 1ª safra'!$E13:$Z13,MIN(AI$6-$E$3,22))&lt;&gt;""),'Feijão 1ª safra'!$E13:INDEX('Feijão 1ª safra'!$E13:$Z13,MIN(AI$6-$E$3,22))),0))-IF($G$2,0,IF((AI$6-$G$3)&lt;1,0,IFERROR(LOOKUP(2,1/('Feijão 1ª safra'!$E13:INDEX('Feijão 1ª safra'!$E13:$Z13,MIN(AI$6-$G$3,22))&lt;&gt;""),'Feijão 1ª safra'!$E13:INDEX('Feijão 1ª safra'!$E13:$Z13,MIN(AI$6-$G$3,22))),0)))))</f>
        <v>0</v>
      </c>
      <c r="AJ15" s="27" t="n">
        <f aca="false">IF(COUNT('Feijão 1ª safra'!$E13:$Z13)=0,0,MAX(0,IF((AJ$6-$E$3)&lt;1,0,IFERROR(LOOKUP(2,1/('Feijão 1ª safra'!$E13:INDEX('Feijão 1ª safra'!$E13:$Z13,MIN(AJ$6-$E$3,22))&lt;&gt;""),'Feijão 1ª safra'!$E13:INDEX('Feijão 1ª safra'!$E13:$Z13,MIN(AJ$6-$E$3,22))),0))-IF($G$2,0,IF((AJ$6-$G$3)&lt;1,0,IFERROR(LOOKUP(2,1/('Feijão 1ª safra'!$E13:INDEX('Feijão 1ª safra'!$E13:$Z13,MIN(AJ$6-$G$3,22))&lt;&gt;""),'Feijão 1ª safra'!$E13:INDEX('Feijão 1ª safra'!$E13:$Z13,MIN(AJ$6-$G$3,22))),0)))))</f>
        <v>0</v>
      </c>
      <c r="AK15" s="27" t="n">
        <f aca="false">IF(COUNT('Feijão 1ª safra'!$E13:$Z13)=0,0,MAX(0,IF((AK$6-$E$3)&lt;1,0,IFERROR(LOOKUP(2,1/('Feijão 1ª safra'!$E13:INDEX('Feijão 1ª safra'!$E13:$Z13,MIN(AK$6-$E$3,22))&lt;&gt;""),'Feijão 1ª safra'!$E13:INDEX('Feijão 1ª safra'!$E13:$Z13,MIN(AK$6-$E$3,22))),0))-IF($G$2,0,IF((AK$6-$G$3)&lt;1,0,IFERROR(LOOKUP(2,1/('Feijão 1ª safra'!$E13:INDEX('Feijão 1ª safra'!$E13:$Z13,MIN(AK$6-$G$3,22))&lt;&gt;""),'Feijão 1ª safra'!$E13:INDEX('Feijão 1ª safra'!$E13:$Z13,MIN(AK$6-$G$3,22))),0)))))</f>
        <v>0</v>
      </c>
      <c r="AL15" s="27" t="n">
        <f aca="false">IF(COUNT('Feijão 1ª safra'!$E13:$Z13)=0,0,MAX(0,IF((AL$6-$E$3)&lt;1,0,IFERROR(LOOKUP(2,1/('Feijão 1ª safra'!$E13:INDEX('Feijão 1ª safra'!$E13:$Z13,MIN(AL$6-$E$3,22))&lt;&gt;""),'Feijão 1ª safra'!$E13:INDEX('Feijão 1ª safra'!$E13:$Z13,MIN(AL$6-$E$3,22))),0))-IF($G$2,0,IF((AL$6-$G$3)&lt;1,0,IFERROR(LOOKUP(2,1/('Feijão 1ª safra'!$E13:INDEX('Feijão 1ª safra'!$E13:$Z13,MIN(AL$6-$G$3,22))&lt;&gt;""),'Feijão 1ª safra'!$E13:INDEX('Feijão 1ª safra'!$E13:$Z13,MIN(AL$6-$G$3,22))),0)))))</f>
        <v>0</v>
      </c>
      <c r="AM15" s="27" t="n">
        <f aca="false">IF(COUNT('Feijão 1ª safra'!$E13:$Z13)=0,0,MAX(0,IF((AM$6-$E$3)&lt;1,0,IFERROR(LOOKUP(2,1/('Feijão 1ª safra'!$E13:INDEX('Feijão 1ª safra'!$E13:$Z13,MIN(AM$6-$E$3,22))&lt;&gt;""),'Feijão 1ª safra'!$E13:INDEX('Feijão 1ª safra'!$E13:$Z13,MIN(AM$6-$E$3,22))),0))-IF($G$2,0,IF((AM$6-$G$3)&lt;1,0,IFERROR(LOOKUP(2,1/('Feijão 1ª safra'!$E13:INDEX('Feijão 1ª safra'!$E13:$Z13,MIN(AM$6-$G$3,22))&lt;&gt;""),'Feijão 1ª safra'!$E13:INDEX('Feijão 1ª safra'!$E13:$Z13,MIN(AM$6-$G$3,22))),0)))))</f>
        <v>0</v>
      </c>
      <c r="AN15" s="27" t="n">
        <f aca="false">IF(COUNT('Feijão 1ª safra'!$E13:$Z13)=0,0,MAX(0,IF((AN$6-$E$3)&lt;1,0,IFERROR(LOOKUP(2,1/('Feijão 1ª safra'!$E13:INDEX('Feijão 1ª safra'!$E13:$Z13,MIN(AN$6-$E$3,22))&lt;&gt;""),'Feijão 1ª safra'!$E13:INDEX('Feijão 1ª safra'!$E13:$Z13,MIN(AN$6-$E$3,22))),0))-IF($G$2,0,IF((AN$6-$G$3)&lt;1,0,IFERROR(LOOKUP(2,1/('Feijão 1ª safra'!$E13:INDEX('Feijão 1ª safra'!$E13:$Z13,MIN(AN$6-$G$3,22))&lt;&gt;""),'Feijão 1ª safra'!$E13:INDEX('Feijão 1ª safra'!$E13:$Z13,MIN(AN$6-$G$3,22))),0)))))</f>
        <v>0</v>
      </c>
      <c r="AO15" s="27" t="n">
        <f aca="false">IF(COUNT('Feijão 1ª safra'!$E13:$Z13)=0,0,MAX(0,IF((AO$6-$E$3)&lt;1,0,IFERROR(LOOKUP(2,1/('Feijão 1ª safra'!$E13:INDEX('Feijão 1ª safra'!$E13:$Z13,MIN(AO$6-$E$3,22))&lt;&gt;""),'Feijão 1ª safra'!$E13:INDEX('Feijão 1ª safra'!$E13:$Z13,MIN(AO$6-$E$3,22))),0))-IF($G$2,0,IF((AO$6-$G$3)&lt;1,0,IFERROR(LOOKUP(2,1/('Feijão 1ª safra'!$E13:INDEX('Feijão 1ª safra'!$E13:$Z13,MIN(AO$6-$G$3,22))&lt;&gt;""),'Feijão 1ª safra'!$E13:INDEX('Feijão 1ª safra'!$E13:$Z13,MIN(AO$6-$G$3,22))),0)))))</f>
        <v>0</v>
      </c>
      <c r="AP15" s="27" t="n">
        <f aca="false">IF(COUNT('Feijão 1ª safra'!$E13:$Z13)=0,0,MAX(0,IF((AP$6-$E$3)&lt;1,0,IFERROR(LOOKUP(2,1/('Feijão 1ª safra'!$E13:INDEX('Feijão 1ª safra'!$E13:$Z13,MIN(AP$6-$E$3,22))&lt;&gt;""),'Feijão 1ª safra'!$E13:INDEX('Feijão 1ª safra'!$E13:$Z13,MIN(AP$6-$E$3,22))),0))-IF($G$2,0,IF((AP$6-$G$3)&lt;1,0,IFERROR(LOOKUP(2,1/('Feijão 1ª safra'!$E13:INDEX('Feijão 1ª safra'!$E13:$Z13,MIN(AP$6-$G$3,22))&lt;&gt;""),'Feijão 1ª safra'!$E13:INDEX('Feijão 1ª safra'!$E13:$Z13,MIN(AP$6-$G$3,22))),0)))))</f>
        <v>0</v>
      </c>
      <c r="AQ15" s="27" t="n">
        <f aca="false">IF(COUNT('Feijão 1ª safra'!$E13:$Z13)=0,0,MAX(0,IF((AQ$6-$E$3)&lt;1,0,IFERROR(LOOKUP(2,1/('Feijão 1ª safra'!$E13:INDEX('Feijão 1ª safra'!$E13:$Z13,MIN(AQ$6-$E$3,22))&lt;&gt;""),'Feijão 1ª safra'!$E13:INDEX('Feijão 1ª safra'!$E13:$Z13,MIN(AQ$6-$E$3,22))),0))-IF($G$2,0,IF((AQ$6-$G$3)&lt;1,0,IFERROR(LOOKUP(2,1/('Feijão 1ª safra'!$E13:INDEX('Feijão 1ª safra'!$E13:$Z13,MIN(AQ$6-$G$3,22))&lt;&gt;""),'Feijão 1ª safra'!$E13:INDEX('Feijão 1ª safra'!$E13:$Z13,MIN(AQ$6-$G$3,22))),0)))))</f>
        <v>0</v>
      </c>
      <c r="AR15" s="27" t="n">
        <f aca="false">IF(COUNT('Feijão 1ª safra'!$E13:$Z13)=0,0,MAX(0,IF((AR$6-$E$3)&lt;1,0,IFERROR(LOOKUP(2,1/('Feijão 1ª safra'!$E13:INDEX('Feijão 1ª safra'!$E13:$Z13,MIN(AR$6-$E$3,22))&lt;&gt;""),'Feijão 1ª safra'!$E13:INDEX('Feijão 1ª safra'!$E13:$Z13,MIN(AR$6-$E$3,22))),0))-IF($G$2,0,IF((AR$6-$G$3)&lt;1,0,IFERROR(LOOKUP(2,1/('Feijão 1ª safra'!$E13:INDEX('Feijão 1ª safra'!$E13:$Z13,MIN(AR$6-$G$3,22))&lt;&gt;""),'Feijão 1ª safra'!$E13:INDEX('Feijão 1ª safra'!$E13:$Z13,MIN(AR$6-$G$3,22))),0)))))</f>
        <v>0</v>
      </c>
      <c r="AS15" s="27" t="n">
        <f aca="false">IF(COUNT('Feijão 1ª safra'!$E13:$Z13)=0,0,MAX(0,IF((AS$6-$E$3)&lt;1,0,IFERROR(LOOKUP(2,1/('Feijão 1ª safra'!$E13:INDEX('Feijão 1ª safra'!$E13:$Z13,MIN(AS$6-$E$3,22))&lt;&gt;""),'Feijão 1ª safra'!$E13:INDEX('Feijão 1ª safra'!$E13:$Z13,MIN(AS$6-$E$3,22))),0))-IF($G$2,0,IF((AS$6-$G$3)&lt;1,0,IFERROR(LOOKUP(2,1/('Feijão 1ª safra'!$E13:INDEX('Feijão 1ª safra'!$E13:$Z13,MIN(AS$6-$G$3,22))&lt;&gt;""),'Feijão 1ª safra'!$E13:INDEX('Feijão 1ª safra'!$E13:$Z13,MIN(AS$6-$G$3,22))),0)))))</f>
        <v>0</v>
      </c>
      <c r="AT15" s="27" t="n">
        <f aca="false">IF(COUNT('Feijão 1ª safra'!$E13:$Z13)=0,0,MAX(0,IF((AT$6-$E$3)&lt;1,0,IFERROR(LOOKUP(2,1/('Feijão 1ª safra'!$E13:INDEX('Feijão 1ª safra'!$E13:$Z13,MIN(AT$6-$E$3,22))&lt;&gt;""),'Feijão 1ª safra'!$E13:INDEX('Feijão 1ª safra'!$E13:$Z13,MIN(AT$6-$E$3,22))),0))-IF($G$2,0,IF((AT$6-$G$3)&lt;1,0,IFERROR(LOOKUP(2,1/('Feijão 1ª safra'!$E13:INDEX('Feijão 1ª safra'!$E13:$Z13,MIN(AT$6-$G$3,22))&lt;&gt;""),'Feijão 1ª safra'!$E13:INDEX('Feijão 1ª safra'!$E13:$Z13,MIN(AT$6-$G$3,22))),0)))))</f>
        <v>0</v>
      </c>
      <c r="AU15" s="27" t="n">
        <f aca="false">IF(COUNT('Feijão 1ª safra'!$E13:$Z13)=0,0,MAX(0,IF((AU$6-$E$3)&lt;1,0,IFERROR(LOOKUP(2,1/('Feijão 1ª safra'!$E13:INDEX('Feijão 1ª safra'!$E13:$Z13,MIN(AU$6-$E$3,22))&lt;&gt;""),'Feijão 1ª safra'!$E13:INDEX('Feijão 1ª safra'!$E13:$Z13,MIN(AU$6-$E$3,22))),0))-IF($G$2,0,IF((AU$6-$G$3)&lt;1,0,IFERROR(LOOKUP(2,1/('Feijão 1ª safra'!$E13:INDEX('Feijão 1ª safra'!$E13:$Z13,MIN(AU$6-$G$3,22))&lt;&gt;""),'Feijão 1ª safra'!$E13:INDEX('Feijão 1ª safra'!$E13:$Z13,MIN(AU$6-$G$3,22))),0)))))</f>
        <v>0</v>
      </c>
      <c r="AV15" s="27" t="n">
        <f aca="false">IF(COUNT('Feijão 1ª safra'!$E13:$Z13)=0,0,MAX(0,IF((AV$6-$E$3)&lt;1,0,IFERROR(LOOKUP(2,1/('Feijão 1ª safra'!$E13:INDEX('Feijão 1ª safra'!$E13:$Z13,MIN(AV$6-$E$3,22))&lt;&gt;""),'Feijão 1ª safra'!$E13:INDEX('Feijão 1ª safra'!$E13:$Z13,MIN(AV$6-$E$3,22))),0))-IF($G$2,0,IF((AV$6-$G$3)&lt;1,0,IFERROR(LOOKUP(2,1/('Feijão 1ª safra'!$E13:INDEX('Feijão 1ª safra'!$E13:$Z13,MIN(AV$6-$G$3,22))&lt;&gt;""),'Feijão 1ª safra'!$E13:INDEX('Feijão 1ª safra'!$E13:$Z13,MIN(AV$6-$G$3,22))),0)))))</f>
        <v>0</v>
      </c>
      <c r="AW15" s="27" t="n">
        <f aca="false">IF(COUNT('Feijão 1ª safra'!$E13:$Z13)=0,0,MAX(0,IF((AW$6-$E$3)&lt;1,0,IFERROR(LOOKUP(2,1/('Feijão 1ª safra'!$E13:INDEX('Feijão 1ª safra'!$E13:$Z13,MIN(AW$6-$E$3,22))&lt;&gt;""),'Feijão 1ª safra'!$E13:INDEX('Feijão 1ª safra'!$E13:$Z13,MIN(AW$6-$E$3,22))),0))-IF($G$2,0,IF((AW$6-$G$3)&lt;1,0,IFERROR(LOOKUP(2,1/('Feijão 1ª safra'!$E13:INDEX('Feijão 1ª safra'!$E13:$Z13,MIN(AW$6-$G$3,22))&lt;&gt;""),'Feijão 1ª safra'!$E13:INDEX('Feijão 1ª safra'!$E13:$Z13,MIN(AW$6-$G$3,22))),0)))))</f>
        <v>0</v>
      </c>
      <c r="AX15" s="27" t="n">
        <f aca="false">IF(COUNT('Feijão 1ª safra'!$E13:$Z13)=0,0,MAX(0,IF((AX$6-$E$3)&lt;1,0,IFERROR(LOOKUP(2,1/('Feijão 1ª safra'!$E13:INDEX('Feijão 1ª safra'!$E13:$Z13,MIN(AX$6-$E$3,22))&lt;&gt;""),'Feijão 1ª safra'!$E13:INDEX('Feijão 1ª safra'!$E13:$Z13,MIN(AX$6-$E$3,22))),0))-IF($G$2,0,IF((AX$6-$G$3)&lt;1,0,IFERROR(LOOKUP(2,1/('Feijão 1ª safra'!$E13:INDEX('Feijão 1ª safra'!$E13:$Z13,MIN(AX$6-$G$3,22))&lt;&gt;""),'Feijão 1ª safra'!$E13:INDEX('Feijão 1ª safra'!$E13:$Z13,MIN(AX$6-$G$3,22))),0)))))</f>
        <v>0</v>
      </c>
      <c r="AY15" s="27" t="n">
        <f aca="false">IF(COUNT('Feijão 1ª safra'!$E13:$Z13)=0,0,MAX(0,IF((AY$6-$E$3)&lt;1,0,IFERROR(LOOKUP(2,1/('Feijão 1ª safra'!$E13:INDEX('Feijão 1ª safra'!$E13:$Z13,MIN(AY$6-$E$3,22))&lt;&gt;""),'Feijão 1ª safra'!$E13:INDEX('Feijão 1ª safra'!$E13:$Z13,MIN(AY$6-$E$3,22))),0))-IF($G$2,0,IF((AY$6-$G$3)&lt;1,0,IFERROR(LOOKUP(2,1/('Feijão 1ª safra'!$E13:INDEX('Feijão 1ª safra'!$E13:$Z13,MIN(AY$6-$G$3,22))&lt;&gt;""),'Feijão 1ª safra'!$E13:INDEX('Feijão 1ª safra'!$E13:$Z13,MIN(AY$6-$G$3,22))),0)))))</f>
        <v>0</v>
      </c>
      <c r="AZ15" s="27" t="n">
        <f aca="false">IF(COUNT('Feijão 1ª safra'!$E13:$Z13)=0,0,MAX(0,IF((AZ$6-$E$3)&lt;1,0,IFERROR(LOOKUP(2,1/('Feijão 1ª safra'!$E13:INDEX('Feijão 1ª safra'!$E13:$Z13,MIN(AZ$6-$E$3,22))&lt;&gt;""),'Feijão 1ª safra'!$E13:INDEX('Feijão 1ª safra'!$E13:$Z13,MIN(AZ$6-$E$3,22))),0))-IF($G$2,0,IF((AZ$6-$G$3)&lt;1,0,IFERROR(LOOKUP(2,1/('Feijão 1ª safra'!$E13:INDEX('Feijão 1ª safra'!$E13:$Z13,MIN(AZ$6-$G$3,22))&lt;&gt;""),'Feijão 1ª safra'!$E13:INDEX('Feijão 1ª safra'!$E13:$Z13,MIN(AZ$6-$G$3,22))),0)))))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IF(COUNT('Feijão 1ª safra'!$E14:$Z14)&gt;0,N('Feijão 1ª safra'!$D14),0)</f>
        <v>0</v>
      </c>
      <c r="E16" s="27" t="n">
        <f aca="false">IF(COUNT('Feijão 1ª safra'!$E14:$Z14)=0,0,MAX(0,IF((E$6-$E$3)&lt;1,0,IFERROR(LOOKUP(2,1/('Feijão 1ª safra'!$E14:INDEX('Feijão 1ª safra'!$E14:$Z14,MIN(E$6-$E$3,22))&lt;&gt;""),'Feijão 1ª safra'!$E14:INDEX('Feijão 1ª safra'!$E14:$Z14,MIN(E$6-$E$3,22))),0))-IF($G$2,0,IF((E$6-$G$3)&lt;1,0,IFERROR(LOOKUP(2,1/('Feijão 1ª safra'!$E14:INDEX('Feijão 1ª safra'!$E14:$Z14,MIN(E$6-$G$3,22))&lt;&gt;""),'Feijão 1ª safra'!$E14:INDEX('Feijão 1ª safra'!$E14:$Z14,MIN(E$6-$G$3,22))),0)))))</f>
        <v>0</v>
      </c>
      <c r="F16" s="27" t="n">
        <f aca="false">IF(COUNT('Feijão 1ª safra'!$E14:$Z14)=0,0,MAX(0,IF((F$6-$E$3)&lt;1,0,IFERROR(LOOKUP(2,1/('Feijão 1ª safra'!$E14:INDEX('Feijão 1ª safra'!$E14:$Z14,MIN(F$6-$E$3,22))&lt;&gt;""),'Feijão 1ª safra'!$E14:INDEX('Feijão 1ª safra'!$E14:$Z14,MIN(F$6-$E$3,22))),0))-IF($G$2,0,IF((F$6-$G$3)&lt;1,0,IFERROR(LOOKUP(2,1/('Feijão 1ª safra'!$E14:INDEX('Feijão 1ª safra'!$E14:$Z14,MIN(F$6-$G$3,22))&lt;&gt;""),'Feijão 1ª safra'!$E14:INDEX('Feijão 1ª safra'!$E14:$Z14,MIN(F$6-$G$3,22))),0)))))</f>
        <v>0</v>
      </c>
      <c r="G16" s="27" t="n">
        <f aca="false">IF(COUNT('Feijão 1ª safra'!$E14:$Z14)=0,0,MAX(0,IF((G$6-$E$3)&lt;1,0,IFERROR(LOOKUP(2,1/('Feijão 1ª safra'!$E14:INDEX('Feijão 1ª safra'!$E14:$Z14,MIN(G$6-$E$3,22))&lt;&gt;""),'Feijão 1ª safra'!$E14:INDEX('Feijão 1ª safra'!$E14:$Z14,MIN(G$6-$E$3,22))),0))-IF($G$2,0,IF((G$6-$G$3)&lt;1,0,IFERROR(LOOKUP(2,1/('Feijão 1ª safra'!$E14:INDEX('Feijão 1ª safra'!$E14:$Z14,MIN(G$6-$G$3,22))&lt;&gt;""),'Feijão 1ª safra'!$E14:INDEX('Feijão 1ª safra'!$E14:$Z14,MIN(G$6-$G$3,22))),0)))))</f>
        <v>0</v>
      </c>
      <c r="H16" s="27" t="n">
        <f aca="false">IF(COUNT('Feijão 1ª safra'!$E14:$Z14)=0,0,MAX(0,IF((H$6-$E$3)&lt;1,0,IFERROR(LOOKUP(2,1/('Feijão 1ª safra'!$E14:INDEX('Feijão 1ª safra'!$E14:$Z14,MIN(H$6-$E$3,22))&lt;&gt;""),'Feijão 1ª safra'!$E14:INDEX('Feijão 1ª safra'!$E14:$Z14,MIN(H$6-$E$3,22))),0))-IF($G$2,0,IF((H$6-$G$3)&lt;1,0,IFERROR(LOOKUP(2,1/('Feijão 1ª safra'!$E14:INDEX('Feijão 1ª safra'!$E14:$Z14,MIN(H$6-$G$3,22))&lt;&gt;""),'Feijão 1ª safra'!$E14:INDEX('Feijão 1ª safra'!$E14:$Z14,MIN(H$6-$G$3,22))),0)))))</f>
        <v>0</v>
      </c>
      <c r="I16" s="27" t="n">
        <f aca="false">IF(COUNT('Feijão 1ª safra'!$E14:$Z14)=0,0,MAX(0,IF((I$6-$E$3)&lt;1,0,IFERROR(LOOKUP(2,1/('Feijão 1ª safra'!$E14:INDEX('Feijão 1ª safra'!$E14:$Z14,MIN(I$6-$E$3,22))&lt;&gt;""),'Feijão 1ª safra'!$E14:INDEX('Feijão 1ª safra'!$E14:$Z14,MIN(I$6-$E$3,22))),0))-IF($G$2,0,IF((I$6-$G$3)&lt;1,0,IFERROR(LOOKUP(2,1/('Feijão 1ª safra'!$E14:INDEX('Feijão 1ª safra'!$E14:$Z14,MIN(I$6-$G$3,22))&lt;&gt;""),'Feijão 1ª safra'!$E14:INDEX('Feijão 1ª safra'!$E14:$Z14,MIN(I$6-$G$3,22))),0)))))</f>
        <v>0</v>
      </c>
      <c r="J16" s="27" t="n">
        <f aca="false">IF(COUNT('Feijão 1ª safra'!$E14:$Z14)=0,0,MAX(0,IF((J$6-$E$3)&lt;1,0,IFERROR(LOOKUP(2,1/('Feijão 1ª safra'!$E14:INDEX('Feijão 1ª safra'!$E14:$Z14,MIN(J$6-$E$3,22))&lt;&gt;""),'Feijão 1ª safra'!$E14:INDEX('Feijão 1ª safra'!$E14:$Z14,MIN(J$6-$E$3,22))),0))-IF($G$2,0,IF((J$6-$G$3)&lt;1,0,IFERROR(LOOKUP(2,1/('Feijão 1ª safra'!$E14:INDEX('Feijão 1ª safra'!$E14:$Z14,MIN(J$6-$G$3,22))&lt;&gt;""),'Feijão 1ª safra'!$E14:INDEX('Feijão 1ª safra'!$E14:$Z14,MIN(J$6-$G$3,22))),0)))))</f>
        <v>0</v>
      </c>
      <c r="K16" s="27" t="n">
        <f aca="false">IF(COUNT('Feijão 1ª safra'!$E14:$Z14)=0,0,MAX(0,IF((K$6-$E$3)&lt;1,0,IFERROR(LOOKUP(2,1/('Feijão 1ª safra'!$E14:INDEX('Feijão 1ª safra'!$E14:$Z14,MIN(K$6-$E$3,22))&lt;&gt;""),'Feijão 1ª safra'!$E14:INDEX('Feijão 1ª safra'!$E14:$Z14,MIN(K$6-$E$3,22))),0))-IF($G$2,0,IF((K$6-$G$3)&lt;1,0,IFERROR(LOOKUP(2,1/('Feijão 1ª safra'!$E14:INDEX('Feijão 1ª safra'!$E14:$Z14,MIN(K$6-$G$3,22))&lt;&gt;""),'Feijão 1ª safra'!$E14:INDEX('Feijão 1ª safra'!$E14:$Z14,MIN(K$6-$G$3,22))),0)))))</f>
        <v>0</v>
      </c>
      <c r="L16" s="27" t="n">
        <f aca="false">IF(COUNT('Feijão 1ª safra'!$E14:$Z14)=0,0,MAX(0,IF((L$6-$E$3)&lt;1,0,IFERROR(LOOKUP(2,1/('Feijão 1ª safra'!$E14:INDEX('Feijão 1ª safra'!$E14:$Z14,MIN(L$6-$E$3,22))&lt;&gt;""),'Feijão 1ª safra'!$E14:INDEX('Feijão 1ª safra'!$E14:$Z14,MIN(L$6-$E$3,22))),0))-IF($G$2,0,IF((L$6-$G$3)&lt;1,0,IFERROR(LOOKUP(2,1/('Feijão 1ª safra'!$E14:INDEX('Feijão 1ª safra'!$E14:$Z14,MIN(L$6-$G$3,22))&lt;&gt;""),'Feijão 1ª safra'!$E14:INDEX('Feijão 1ª safra'!$E14:$Z14,MIN(L$6-$G$3,22))),0)))))</f>
        <v>0</v>
      </c>
      <c r="M16" s="27" t="n">
        <f aca="false">IF(COUNT('Feijão 1ª safra'!$E14:$Z14)=0,0,MAX(0,IF((M$6-$E$3)&lt;1,0,IFERROR(LOOKUP(2,1/('Feijão 1ª safra'!$E14:INDEX('Feijão 1ª safra'!$E14:$Z14,MIN(M$6-$E$3,22))&lt;&gt;""),'Feijão 1ª safra'!$E14:INDEX('Feijão 1ª safra'!$E14:$Z14,MIN(M$6-$E$3,22))),0))-IF($G$2,0,IF((M$6-$G$3)&lt;1,0,IFERROR(LOOKUP(2,1/('Feijão 1ª safra'!$E14:INDEX('Feijão 1ª safra'!$E14:$Z14,MIN(M$6-$G$3,22))&lt;&gt;""),'Feijão 1ª safra'!$E14:INDEX('Feijão 1ª safra'!$E14:$Z14,MIN(M$6-$G$3,22))),0)))))</f>
        <v>0</v>
      </c>
      <c r="N16" s="27" t="n">
        <f aca="false">IF(COUNT('Feijão 1ª safra'!$E14:$Z14)=0,0,MAX(0,IF((N$6-$E$3)&lt;1,0,IFERROR(LOOKUP(2,1/('Feijão 1ª safra'!$E14:INDEX('Feijão 1ª safra'!$E14:$Z14,MIN(N$6-$E$3,22))&lt;&gt;""),'Feijão 1ª safra'!$E14:INDEX('Feijão 1ª safra'!$E14:$Z14,MIN(N$6-$E$3,22))),0))-IF($G$2,0,IF((N$6-$G$3)&lt;1,0,IFERROR(LOOKUP(2,1/('Feijão 1ª safra'!$E14:INDEX('Feijão 1ª safra'!$E14:$Z14,MIN(N$6-$G$3,22))&lt;&gt;""),'Feijão 1ª safra'!$E14:INDEX('Feijão 1ª safra'!$E14:$Z14,MIN(N$6-$G$3,22))),0)))))</f>
        <v>0</v>
      </c>
      <c r="O16" s="27" t="n">
        <f aca="false">IF(COUNT('Feijão 1ª safra'!$E14:$Z14)=0,0,MAX(0,IF((O$6-$E$3)&lt;1,0,IFERROR(LOOKUP(2,1/('Feijão 1ª safra'!$E14:INDEX('Feijão 1ª safra'!$E14:$Z14,MIN(O$6-$E$3,22))&lt;&gt;""),'Feijão 1ª safra'!$E14:INDEX('Feijão 1ª safra'!$E14:$Z14,MIN(O$6-$E$3,22))),0))-IF($G$2,0,IF((O$6-$G$3)&lt;1,0,IFERROR(LOOKUP(2,1/('Feijão 1ª safra'!$E14:INDEX('Feijão 1ª safra'!$E14:$Z14,MIN(O$6-$G$3,22))&lt;&gt;""),'Feijão 1ª safra'!$E14:INDEX('Feijão 1ª safra'!$E14:$Z14,MIN(O$6-$G$3,22))),0)))))</f>
        <v>0</v>
      </c>
      <c r="P16" s="27" t="n">
        <f aca="false">IF(COUNT('Feijão 1ª safra'!$E14:$Z14)=0,0,MAX(0,IF((P$6-$E$3)&lt;1,0,IFERROR(LOOKUP(2,1/('Feijão 1ª safra'!$E14:INDEX('Feijão 1ª safra'!$E14:$Z14,MIN(P$6-$E$3,22))&lt;&gt;""),'Feijão 1ª safra'!$E14:INDEX('Feijão 1ª safra'!$E14:$Z14,MIN(P$6-$E$3,22))),0))-IF($G$2,0,IF((P$6-$G$3)&lt;1,0,IFERROR(LOOKUP(2,1/('Feijão 1ª safra'!$E14:INDEX('Feijão 1ª safra'!$E14:$Z14,MIN(P$6-$G$3,22))&lt;&gt;""),'Feijão 1ª safra'!$E14:INDEX('Feijão 1ª safra'!$E14:$Z14,MIN(P$6-$G$3,22))),0)))))</f>
        <v>0</v>
      </c>
      <c r="Q16" s="27" t="n">
        <f aca="false">IF(COUNT('Feijão 1ª safra'!$E14:$Z14)=0,0,MAX(0,IF((Q$6-$E$3)&lt;1,0,IFERROR(LOOKUP(2,1/('Feijão 1ª safra'!$E14:INDEX('Feijão 1ª safra'!$E14:$Z14,MIN(Q$6-$E$3,22))&lt;&gt;""),'Feijão 1ª safra'!$E14:INDEX('Feijão 1ª safra'!$E14:$Z14,MIN(Q$6-$E$3,22))),0))-IF($G$2,0,IF((Q$6-$G$3)&lt;1,0,IFERROR(LOOKUP(2,1/('Feijão 1ª safra'!$E14:INDEX('Feijão 1ª safra'!$E14:$Z14,MIN(Q$6-$G$3,22))&lt;&gt;""),'Feijão 1ª safra'!$E14:INDEX('Feijão 1ª safra'!$E14:$Z14,MIN(Q$6-$G$3,22))),0)))))</f>
        <v>0</v>
      </c>
      <c r="R16" s="27" t="n">
        <f aca="false">IF(COUNT('Feijão 1ª safra'!$E14:$Z14)=0,0,MAX(0,IF((R$6-$E$3)&lt;1,0,IFERROR(LOOKUP(2,1/('Feijão 1ª safra'!$E14:INDEX('Feijão 1ª safra'!$E14:$Z14,MIN(R$6-$E$3,22))&lt;&gt;""),'Feijão 1ª safra'!$E14:INDEX('Feijão 1ª safra'!$E14:$Z14,MIN(R$6-$E$3,22))),0))-IF($G$2,0,IF((R$6-$G$3)&lt;1,0,IFERROR(LOOKUP(2,1/('Feijão 1ª safra'!$E14:INDEX('Feijão 1ª safra'!$E14:$Z14,MIN(R$6-$G$3,22))&lt;&gt;""),'Feijão 1ª safra'!$E14:INDEX('Feijão 1ª safra'!$E14:$Z14,MIN(R$6-$G$3,22))),0)))))</f>
        <v>0</v>
      </c>
      <c r="S16" s="27" t="n">
        <f aca="false">IF(COUNT('Feijão 1ª safra'!$E14:$Z14)=0,0,MAX(0,IF((S$6-$E$3)&lt;1,0,IFERROR(LOOKUP(2,1/('Feijão 1ª safra'!$E14:INDEX('Feijão 1ª safra'!$E14:$Z14,MIN(S$6-$E$3,22))&lt;&gt;""),'Feijão 1ª safra'!$E14:INDEX('Feijão 1ª safra'!$E14:$Z14,MIN(S$6-$E$3,22))),0))-IF($G$2,0,IF((S$6-$G$3)&lt;1,0,IFERROR(LOOKUP(2,1/('Feijão 1ª safra'!$E14:INDEX('Feijão 1ª safra'!$E14:$Z14,MIN(S$6-$G$3,22))&lt;&gt;""),'Feijão 1ª safra'!$E14:INDEX('Feijão 1ª safra'!$E14:$Z14,MIN(S$6-$G$3,22))),0)))))</f>
        <v>0</v>
      </c>
      <c r="T16" s="27" t="n">
        <f aca="false">IF(COUNT('Feijão 1ª safra'!$E14:$Z14)=0,0,MAX(0,IF((T$6-$E$3)&lt;1,0,IFERROR(LOOKUP(2,1/('Feijão 1ª safra'!$E14:INDEX('Feijão 1ª safra'!$E14:$Z14,MIN(T$6-$E$3,22))&lt;&gt;""),'Feijão 1ª safra'!$E14:INDEX('Feijão 1ª safra'!$E14:$Z14,MIN(T$6-$E$3,22))),0))-IF($G$2,0,IF((T$6-$G$3)&lt;1,0,IFERROR(LOOKUP(2,1/('Feijão 1ª safra'!$E14:INDEX('Feijão 1ª safra'!$E14:$Z14,MIN(T$6-$G$3,22))&lt;&gt;""),'Feijão 1ª safra'!$E14:INDEX('Feijão 1ª safra'!$E14:$Z14,MIN(T$6-$G$3,22))),0)))))</f>
        <v>0</v>
      </c>
      <c r="U16" s="27" t="n">
        <f aca="false">IF(COUNT('Feijão 1ª safra'!$E14:$Z14)=0,0,MAX(0,IF((U$6-$E$3)&lt;1,0,IFERROR(LOOKUP(2,1/('Feijão 1ª safra'!$E14:INDEX('Feijão 1ª safra'!$E14:$Z14,MIN(U$6-$E$3,22))&lt;&gt;""),'Feijão 1ª safra'!$E14:INDEX('Feijão 1ª safra'!$E14:$Z14,MIN(U$6-$E$3,22))),0))-IF($G$2,0,IF((U$6-$G$3)&lt;1,0,IFERROR(LOOKUP(2,1/('Feijão 1ª safra'!$E14:INDEX('Feijão 1ª safra'!$E14:$Z14,MIN(U$6-$G$3,22))&lt;&gt;""),'Feijão 1ª safra'!$E14:INDEX('Feijão 1ª safra'!$E14:$Z14,MIN(U$6-$G$3,22))),0)))))</f>
        <v>0</v>
      </c>
      <c r="V16" s="27" t="n">
        <f aca="false">IF(COUNT('Feijão 1ª safra'!$E14:$Z14)=0,0,MAX(0,IF((V$6-$E$3)&lt;1,0,IFERROR(LOOKUP(2,1/('Feijão 1ª safra'!$E14:INDEX('Feijão 1ª safra'!$E14:$Z14,MIN(V$6-$E$3,22))&lt;&gt;""),'Feijão 1ª safra'!$E14:INDEX('Feijão 1ª safra'!$E14:$Z14,MIN(V$6-$E$3,22))),0))-IF($G$2,0,IF((V$6-$G$3)&lt;1,0,IFERROR(LOOKUP(2,1/('Feijão 1ª safra'!$E14:INDEX('Feijão 1ª safra'!$E14:$Z14,MIN(V$6-$G$3,22))&lt;&gt;""),'Feijão 1ª safra'!$E14:INDEX('Feijão 1ª safra'!$E14:$Z14,MIN(V$6-$G$3,22))),0)))))</f>
        <v>0</v>
      </c>
      <c r="W16" s="27" t="n">
        <f aca="false">IF(COUNT('Feijão 1ª safra'!$E14:$Z14)=0,0,MAX(0,IF((W$6-$E$3)&lt;1,0,IFERROR(LOOKUP(2,1/('Feijão 1ª safra'!$E14:INDEX('Feijão 1ª safra'!$E14:$Z14,MIN(W$6-$E$3,22))&lt;&gt;""),'Feijão 1ª safra'!$E14:INDEX('Feijão 1ª safra'!$E14:$Z14,MIN(W$6-$E$3,22))),0))-IF($G$2,0,IF((W$6-$G$3)&lt;1,0,IFERROR(LOOKUP(2,1/('Feijão 1ª safra'!$E14:INDEX('Feijão 1ª safra'!$E14:$Z14,MIN(W$6-$G$3,22))&lt;&gt;""),'Feijão 1ª safra'!$E14:INDEX('Feijão 1ª safra'!$E14:$Z14,MIN(W$6-$G$3,22))),0)))))</f>
        <v>0</v>
      </c>
      <c r="X16" s="27" t="n">
        <f aca="false">IF(COUNT('Feijão 1ª safra'!$E14:$Z14)=0,0,MAX(0,IF((X$6-$E$3)&lt;1,0,IFERROR(LOOKUP(2,1/('Feijão 1ª safra'!$E14:INDEX('Feijão 1ª safra'!$E14:$Z14,MIN(X$6-$E$3,22))&lt;&gt;""),'Feijão 1ª safra'!$E14:INDEX('Feijão 1ª safra'!$E14:$Z14,MIN(X$6-$E$3,22))),0))-IF($G$2,0,IF((X$6-$G$3)&lt;1,0,IFERROR(LOOKUP(2,1/('Feijão 1ª safra'!$E14:INDEX('Feijão 1ª safra'!$E14:$Z14,MIN(X$6-$G$3,22))&lt;&gt;""),'Feijão 1ª safra'!$E14:INDEX('Feijão 1ª safra'!$E14:$Z14,MIN(X$6-$G$3,22))),0)))))</f>
        <v>0</v>
      </c>
      <c r="Y16" s="27" t="n">
        <f aca="false">IF(COUNT('Feijão 1ª safra'!$E14:$Z14)=0,0,MAX(0,IF((Y$6-$E$3)&lt;1,0,IFERROR(LOOKUP(2,1/('Feijão 1ª safra'!$E14:INDEX('Feijão 1ª safra'!$E14:$Z14,MIN(Y$6-$E$3,22))&lt;&gt;""),'Feijão 1ª safra'!$E14:INDEX('Feijão 1ª safra'!$E14:$Z14,MIN(Y$6-$E$3,22))),0))-IF($G$2,0,IF((Y$6-$G$3)&lt;1,0,IFERROR(LOOKUP(2,1/('Feijão 1ª safra'!$E14:INDEX('Feijão 1ª safra'!$E14:$Z14,MIN(Y$6-$G$3,22))&lt;&gt;""),'Feijão 1ª safra'!$E14:INDEX('Feijão 1ª safra'!$E14:$Z14,MIN(Y$6-$G$3,22))),0)))))</f>
        <v>0</v>
      </c>
      <c r="Z16" s="27" t="n">
        <f aca="false">IF(COUNT('Feijão 1ª safra'!$E14:$Z14)=0,0,MAX(0,IF((Z$6-$E$3)&lt;1,0,IFERROR(LOOKUP(2,1/('Feijão 1ª safra'!$E14:INDEX('Feijão 1ª safra'!$E14:$Z14,MIN(Z$6-$E$3,22))&lt;&gt;""),'Feijão 1ª safra'!$E14:INDEX('Feijão 1ª safra'!$E14:$Z14,MIN(Z$6-$E$3,22))),0))-IF($G$2,0,IF((Z$6-$G$3)&lt;1,0,IFERROR(LOOKUP(2,1/('Feijão 1ª safra'!$E14:INDEX('Feijão 1ª safra'!$E14:$Z14,MIN(Z$6-$G$3,22))&lt;&gt;""),'Feijão 1ª safra'!$E14:INDEX('Feijão 1ª safra'!$E14:$Z14,MIN(Z$6-$G$3,22))),0)))))</f>
        <v>0</v>
      </c>
      <c r="AA16" s="27" t="n">
        <f aca="false">IF(COUNT('Feijão 1ª safra'!$E14:$Z14)=0,0,MAX(0,IF((AA$6-$E$3)&lt;1,0,IFERROR(LOOKUP(2,1/('Feijão 1ª safra'!$E14:INDEX('Feijão 1ª safra'!$E14:$Z14,MIN(AA$6-$E$3,22))&lt;&gt;""),'Feijão 1ª safra'!$E14:INDEX('Feijão 1ª safra'!$E14:$Z14,MIN(AA$6-$E$3,22))),0))-IF($G$2,0,IF((AA$6-$G$3)&lt;1,0,IFERROR(LOOKUP(2,1/('Feijão 1ª safra'!$E14:INDEX('Feijão 1ª safra'!$E14:$Z14,MIN(AA$6-$G$3,22))&lt;&gt;""),'Feijão 1ª safra'!$E14:INDEX('Feijão 1ª safra'!$E14:$Z14,MIN(AA$6-$G$3,22))),0)))))</f>
        <v>0</v>
      </c>
      <c r="AB16" s="27" t="n">
        <f aca="false">IF(COUNT('Feijão 1ª safra'!$E14:$Z14)=0,0,MAX(0,IF((AB$6-$E$3)&lt;1,0,IFERROR(LOOKUP(2,1/('Feijão 1ª safra'!$E14:INDEX('Feijão 1ª safra'!$E14:$Z14,MIN(AB$6-$E$3,22))&lt;&gt;""),'Feijão 1ª safra'!$E14:INDEX('Feijão 1ª safra'!$E14:$Z14,MIN(AB$6-$E$3,22))),0))-IF($G$2,0,IF((AB$6-$G$3)&lt;1,0,IFERROR(LOOKUP(2,1/('Feijão 1ª safra'!$E14:INDEX('Feijão 1ª safra'!$E14:$Z14,MIN(AB$6-$G$3,22))&lt;&gt;""),'Feijão 1ª safra'!$E14:INDEX('Feijão 1ª safra'!$E14:$Z14,MIN(AB$6-$G$3,22))),0)))))</f>
        <v>0</v>
      </c>
      <c r="AC16" s="27" t="n">
        <f aca="false">IF(COUNT('Feijão 1ª safra'!$E14:$Z14)=0,0,MAX(0,IF((AC$6-$E$3)&lt;1,0,IFERROR(LOOKUP(2,1/('Feijão 1ª safra'!$E14:INDEX('Feijão 1ª safra'!$E14:$Z14,MIN(AC$6-$E$3,22))&lt;&gt;""),'Feijão 1ª safra'!$E14:INDEX('Feijão 1ª safra'!$E14:$Z14,MIN(AC$6-$E$3,22))),0))-IF($G$2,0,IF((AC$6-$G$3)&lt;1,0,IFERROR(LOOKUP(2,1/('Feijão 1ª safra'!$E14:INDEX('Feijão 1ª safra'!$E14:$Z14,MIN(AC$6-$G$3,22))&lt;&gt;""),'Feijão 1ª safra'!$E14:INDEX('Feijão 1ª safra'!$E14:$Z14,MIN(AC$6-$G$3,22))),0)))))</f>
        <v>0</v>
      </c>
      <c r="AD16" s="27" t="n">
        <f aca="false">IF(COUNT('Feijão 1ª safra'!$E14:$Z14)=0,0,MAX(0,IF((AD$6-$E$3)&lt;1,0,IFERROR(LOOKUP(2,1/('Feijão 1ª safra'!$E14:INDEX('Feijão 1ª safra'!$E14:$Z14,MIN(AD$6-$E$3,22))&lt;&gt;""),'Feijão 1ª safra'!$E14:INDEX('Feijão 1ª safra'!$E14:$Z14,MIN(AD$6-$E$3,22))),0))-IF($G$2,0,IF((AD$6-$G$3)&lt;1,0,IFERROR(LOOKUP(2,1/('Feijão 1ª safra'!$E14:INDEX('Feijão 1ª safra'!$E14:$Z14,MIN(AD$6-$G$3,22))&lt;&gt;""),'Feijão 1ª safra'!$E14:INDEX('Feijão 1ª safra'!$E14:$Z14,MIN(AD$6-$G$3,22))),0)))))</f>
        <v>0</v>
      </c>
      <c r="AE16" s="27" t="n">
        <f aca="false">IF(COUNT('Feijão 1ª safra'!$E14:$Z14)=0,0,MAX(0,IF((AE$6-$E$3)&lt;1,0,IFERROR(LOOKUP(2,1/('Feijão 1ª safra'!$E14:INDEX('Feijão 1ª safra'!$E14:$Z14,MIN(AE$6-$E$3,22))&lt;&gt;""),'Feijão 1ª safra'!$E14:INDEX('Feijão 1ª safra'!$E14:$Z14,MIN(AE$6-$E$3,22))),0))-IF($G$2,0,IF((AE$6-$G$3)&lt;1,0,IFERROR(LOOKUP(2,1/('Feijão 1ª safra'!$E14:INDEX('Feijão 1ª safra'!$E14:$Z14,MIN(AE$6-$G$3,22))&lt;&gt;""),'Feijão 1ª safra'!$E14:INDEX('Feijão 1ª safra'!$E14:$Z14,MIN(AE$6-$G$3,22))),0)))))</f>
        <v>0</v>
      </c>
      <c r="AF16" s="27" t="n">
        <f aca="false">IF(COUNT('Feijão 1ª safra'!$E14:$Z14)=0,0,MAX(0,IF((AF$6-$E$3)&lt;1,0,IFERROR(LOOKUP(2,1/('Feijão 1ª safra'!$E14:INDEX('Feijão 1ª safra'!$E14:$Z14,MIN(AF$6-$E$3,22))&lt;&gt;""),'Feijão 1ª safra'!$E14:INDEX('Feijão 1ª safra'!$E14:$Z14,MIN(AF$6-$E$3,22))),0))-IF($G$2,0,IF((AF$6-$G$3)&lt;1,0,IFERROR(LOOKUP(2,1/('Feijão 1ª safra'!$E14:INDEX('Feijão 1ª safra'!$E14:$Z14,MIN(AF$6-$G$3,22))&lt;&gt;""),'Feijão 1ª safra'!$E14:INDEX('Feijão 1ª safra'!$E14:$Z14,MIN(AF$6-$G$3,22))),0)))))</f>
        <v>0</v>
      </c>
      <c r="AG16" s="27" t="n">
        <f aca="false">IF(COUNT('Feijão 1ª safra'!$E14:$Z14)=0,0,MAX(0,IF((AG$6-$E$3)&lt;1,0,IFERROR(LOOKUP(2,1/('Feijão 1ª safra'!$E14:INDEX('Feijão 1ª safra'!$E14:$Z14,MIN(AG$6-$E$3,22))&lt;&gt;""),'Feijão 1ª safra'!$E14:INDEX('Feijão 1ª safra'!$E14:$Z14,MIN(AG$6-$E$3,22))),0))-IF($G$2,0,IF((AG$6-$G$3)&lt;1,0,IFERROR(LOOKUP(2,1/('Feijão 1ª safra'!$E14:INDEX('Feijão 1ª safra'!$E14:$Z14,MIN(AG$6-$G$3,22))&lt;&gt;""),'Feijão 1ª safra'!$E14:INDEX('Feijão 1ª safra'!$E14:$Z14,MIN(AG$6-$G$3,22))),0)))))</f>
        <v>0</v>
      </c>
      <c r="AH16" s="27" t="n">
        <f aca="false">IF(COUNT('Feijão 1ª safra'!$E14:$Z14)=0,0,MAX(0,IF((AH$6-$E$3)&lt;1,0,IFERROR(LOOKUP(2,1/('Feijão 1ª safra'!$E14:INDEX('Feijão 1ª safra'!$E14:$Z14,MIN(AH$6-$E$3,22))&lt;&gt;""),'Feijão 1ª safra'!$E14:INDEX('Feijão 1ª safra'!$E14:$Z14,MIN(AH$6-$E$3,22))),0))-IF($G$2,0,IF((AH$6-$G$3)&lt;1,0,IFERROR(LOOKUP(2,1/('Feijão 1ª safra'!$E14:INDEX('Feijão 1ª safra'!$E14:$Z14,MIN(AH$6-$G$3,22))&lt;&gt;""),'Feijão 1ª safra'!$E14:INDEX('Feijão 1ª safra'!$E14:$Z14,MIN(AH$6-$G$3,22))),0)))))</f>
        <v>0</v>
      </c>
      <c r="AI16" s="27" t="n">
        <f aca="false">IF(COUNT('Feijão 1ª safra'!$E14:$Z14)=0,0,MAX(0,IF((AI$6-$E$3)&lt;1,0,IFERROR(LOOKUP(2,1/('Feijão 1ª safra'!$E14:INDEX('Feijão 1ª safra'!$E14:$Z14,MIN(AI$6-$E$3,22))&lt;&gt;""),'Feijão 1ª safra'!$E14:INDEX('Feijão 1ª safra'!$E14:$Z14,MIN(AI$6-$E$3,22))),0))-IF($G$2,0,IF((AI$6-$G$3)&lt;1,0,IFERROR(LOOKUP(2,1/('Feijão 1ª safra'!$E14:INDEX('Feijão 1ª safra'!$E14:$Z14,MIN(AI$6-$G$3,22))&lt;&gt;""),'Feijão 1ª safra'!$E14:INDEX('Feijão 1ª safra'!$E14:$Z14,MIN(AI$6-$G$3,22))),0)))))</f>
        <v>0</v>
      </c>
      <c r="AJ16" s="27" t="n">
        <f aca="false">IF(COUNT('Feijão 1ª safra'!$E14:$Z14)=0,0,MAX(0,IF((AJ$6-$E$3)&lt;1,0,IFERROR(LOOKUP(2,1/('Feijão 1ª safra'!$E14:INDEX('Feijão 1ª safra'!$E14:$Z14,MIN(AJ$6-$E$3,22))&lt;&gt;""),'Feijão 1ª safra'!$E14:INDEX('Feijão 1ª safra'!$E14:$Z14,MIN(AJ$6-$E$3,22))),0))-IF($G$2,0,IF((AJ$6-$G$3)&lt;1,0,IFERROR(LOOKUP(2,1/('Feijão 1ª safra'!$E14:INDEX('Feijão 1ª safra'!$E14:$Z14,MIN(AJ$6-$G$3,22))&lt;&gt;""),'Feijão 1ª safra'!$E14:INDEX('Feijão 1ª safra'!$E14:$Z14,MIN(AJ$6-$G$3,22))),0)))))</f>
        <v>0</v>
      </c>
      <c r="AK16" s="27" t="n">
        <f aca="false">IF(COUNT('Feijão 1ª safra'!$E14:$Z14)=0,0,MAX(0,IF((AK$6-$E$3)&lt;1,0,IFERROR(LOOKUP(2,1/('Feijão 1ª safra'!$E14:INDEX('Feijão 1ª safra'!$E14:$Z14,MIN(AK$6-$E$3,22))&lt;&gt;""),'Feijão 1ª safra'!$E14:INDEX('Feijão 1ª safra'!$E14:$Z14,MIN(AK$6-$E$3,22))),0))-IF($G$2,0,IF((AK$6-$G$3)&lt;1,0,IFERROR(LOOKUP(2,1/('Feijão 1ª safra'!$E14:INDEX('Feijão 1ª safra'!$E14:$Z14,MIN(AK$6-$G$3,22))&lt;&gt;""),'Feijão 1ª safra'!$E14:INDEX('Feijão 1ª safra'!$E14:$Z14,MIN(AK$6-$G$3,22))),0)))))</f>
        <v>0</v>
      </c>
      <c r="AL16" s="27" t="n">
        <f aca="false">IF(COUNT('Feijão 1ª safra'!$E14:$Z14)=0,0,MAX(0,IF((AL$6-$E$3)&lt;1,0,IFERROR(LOOKUP(2,1/('Feijão 1ª safra'!$E14:INDEX('Feijão 1ª safra'!$E14:$Z14,MIN(AL$6-$E$3,22))&lt;&gt;""),'Feijão 1ª safra'!$E14:INDEX('Feijão 1ª safra'!$E14:$Z14,MIN(AL$6-$E$3,22))),0))-IF($G$2,0,IF((AL$6-$G$3)&lt;1,0,IFERROR(LOOKUP(2,1/('Feijão 1ª safra'!$E14:INDEX('Feijão 1ª safra'!$E14:$Z14,MIN(AL$6-$G$3,22))&lt;&gt;""),'Feijão 1ª safra'!$E14:INDEX('Feijão 1ª safra'!$E14:$Z14,MIN(AL$6-$G$3,22))),0)))))</f>
        <v>0</v>
      </c>
      <c r="AM16" s="27" t="n">
        <f aca="false">IF(COUNT('Feijão 1ª safra'!$E14:$Z14)=0,0,MAX(0,IF((AM$6-$E$3)&lt;1,0,IFERROR(LOOKUP(2,1/('Feijão 1ª safra'!$E14:INDEX('Feijão 1ª safra'!$E14:$Z14,MIN(AM$6-$E$3,22))&lt;&gt;""),'Feijão 1ª safra'!$E14:INDEX('Feijão 1ª safra'!$E14:$Z14,MIN(AM$6-$E$3,22))),0))-IF($G$2,0,IF((AM$6-$G$3)&lt;1,0,IFERROR(LOOKUP(2,1/('Feijão 1ª safra'!$E14:INDEX('Feijão 1ª safra'!$E14:$Z14,MIN(AM$6-$G$3,22))&lt;&gt;""),'Feijão 1ª safra'!$E14:INDEX('Feijão 1ª safra'!$E14:$Z14,MIN(AM$6-$G$3,22))),0)))))</f>
        <v>0</v>
      </c>
      <c r="AN16" s="27" t="n">
        <f aca="false">IF(COUNT('Feijão 1ª safra'!$E14:$Z14)=0,0,MAX(0,IF((AN$6-$E$3)&lt;1,0,IFERROR(LOOKUP(2,1/('Feijão 1ª safra'!$E14:INDEX('Feijão 1ª safra'!$E14:$Z14,MIN(AN$6-$E$3,22))&lt;&gt;""),'Feijão 1ª safra'!$E14:INDEX('Feijão 1ª safra'!$E14:$Z14,MIN(AN$6-$E$3,22))),0))-IF($G$2,0,IF((AN$6-$G$3)&lt;1,0,IFERROR(LOOKUP(2,1/('Feijão 1ª safra'!$E14:INDEX('Feijão 1ª safra'!$E14:$Z14,MIN(AN$6-$G$3,22))&lt;&gt;""),'Feijão 1ª safra'!$E14:INDEX('Feijão 1ª safra'!$E14:$Z14,MIN(AN$6-$G$3,22))),0)))))</f>
        <v>0</v>
      </c>
      <c r="AO16" s="27" t="n">
        <f aca="false">IF(COUNT('Feijão 1ª safra'!$E14:$Z14)=0,0,MAX(0,IF((AO$6-$E$3)&lt;1,0,IFERROR(LOOKUP(2,1/('Feijão 1ª safra'!$E14:INDEX('Feijão 1ª safra'!$E14:$Z14,MIN(AO$6-$E$3,22))&lt;&gt;""),'Feijão 1ª safra'!$E14:INDEX('Feijão 1ª safra'!$E14:$Z14,MIN(AO$6-$E$3,22))),0))-IF($G$2,0,IF((AO$6-$G$3)&lt;1,0,IFERROR(LOOKUP(2,1/('Feijão 1ª safra'!$E14:INDEX('Feijão 1ª safra'!$E14:$Z14,MIN(AO$6-$G$3,22))&lt;&gt;""),'Feijão 1ª safra'!$E14:INDEX('Feijão 1ª safra'!$E14:$Z14,MIN(AO$6-$G$3,22))),0)))))</f>
        <v>0</v>
      </c>
      <c r="AP16" s="27" t="n">
        <f aca="false">IF(COUNT('Feijão 1ª safra'!$E14:$Z14)=0,0,MAX(0,IF((AP$6-$E$3)&lt;1,0,IFERROR(LOOKUP(2,1/('Feijão 1ª safra'!$E14:INDEX('Feijão 1ª safra'!$E14:$Z14,MIN(AP$6-$E$3,22))&lt;&gt;""),'Feijão 1ª safra'!$E14:INDEX('Feijão 1ª safra'!$E14:$Z14,MIN(AP$6-$E$3,22))),0))-IF($G$2,0,IF((AP$6-$G$3)&lt;1,0,IFERROR(LOOKUP(2,1/('Feijão 1ª safra'!$E14:INDEX('Feijão 1ª safra'!$E14:$Z14,MIN(AP$6-$G$3,22))&lt;&gt;""),'Feijão 1ª safra'!$E14:INDEX('Feijão 1ª safra'!$E14:$Z14,MIN(AP$6-$G$3,22))),0)))))</f>
        <v>0</v>
      </c>
      <c r="AQ16" s="27" t="n">
        <f aca="false">IF(COUNT('Feijão 1ª safra'!$E14:$Z14)=0,0,MAX(0,IF((AQ$6-$E$3)&lt;1,0,IFERROR(LOOKUP(2,1/('Feijão 1ª safra'!$E14:INDEX('Feijão 1ª safra'!$E14:$Z14,MIN(AQ$6-$E$3,22))&lt;&gt;""),'Feijão 1ª safra'!$E14:INDEX('Feijão 1ª safra'!$E14:$Z14,MIN(AQ$6-$E$3,22))),0))-IF($G$2,0,IF((AQ$6-$G$3)&lt;1,0,IFERROR(LOOKUP(2,1/('Feijão 1ª safra'!$E14:INDEX('Feijão 1ª safra'!$E14:$Z14,MIN(AQ$6-$G$3,22))&lt;&gt;""),'Feijão 1ª safra'!$E14:INDEX('Feijão 1ª safra'!$E14:$Z14,MIN(AQ$6-$G$3,22))),0)))))</f>
        <v>0</v>
      </c>
      <c r="AR16" s="27" t="n">
        <f aca="false">IF(COUNT('Feijão 1ª safra'!$E14:$Z14)=0,0,MAX(0,IF((AR$6-$E$3)&lt;1,0,IFERROR(LOOKUP(2,1/('Feijão 1ª safra'!$E14:INDEX('Feijão 1ª safra'!$E14:$Z14,MIN(AR$6-$E$3,22))&lt;&gt;""),'Feijão 1ª safra'!$E14:INDEX('Feijão 1ª safra'!$E14:$Z14,MIN(AR$6-$E$3,22))),0))-IF($G$2,0,IF((AR$6-$G$3)&lt;1,0,IFERROR(LOOKUP(2,1/('Feijão 1ª safra'!$E14:INDEX('Feijão 1ª safra'!$E14:$Z14,MIN(AR$6-$G$3,22))&lt;&gt;""),'Feijão 1ª safra'!$E14:INDEX('Feijão 1ª safra'!$E14:$Z14,MIN(AR$6-$G$3,22))),0)))))</f>
        <v>0</v>
      </c>
      <c r="AS16" s="27" t="n">
        <f aca="false">IF(COUNT('Feijão 1ª safra'!$E14:$Z14)=0,0,MAX(0,IF((AS$6-$E$3)&lt;1,0,IFERROR(LOOKUP(2,1/('Feijão 1ª safra'!$E14:INDEX('Feijão 1ª safra'!$E14:$Z14,MIN(AS$6-$E$3,22))&lt;&gt;""),'Feijão 1ª safra'!$E14:INDEX('Feijão 1ª safra'!$E14:$Z14,MIN(AS$6-$E$3,22))),0))-IF($G$2,0,IF((AS$6-$G$3)&lt;1,0,IFERROR(LOOKUP(2,1/('Feijão 1ª safra'!$E14:INDEX('Feijão 1ª safra'!$E14:$Z14,MIN(AS$6-$G$3,22))&lt;&gt;""),'Feijão 1ª safra'!$E14:INDEX('Feijão 1ª safra'!$E14:$Z14,MIN(AS$6-$G$3,22))),0)))))</f>
        <v>0</v>
      </c>
      <c r="AT16" s="27" t="n">
        <f aca="false">IF(COUNT('Feijão 1ª safra'!$E14:$Z14)=0,0,MAX(0,IF((AT$6-$E$3)&lt;1,0,IFERROR(LOOKUP(2,1/('Feijão 1ª safra'!$E14:INDEX('Feijão 1ª safra'!$E14:$Z14,MIN(AT$6-$E$3,22))&lt;&gt;""),'Feijão 1ª safra'!$E14:INDEX('Feijão 1ª safra'!$E14:$Z14,MIN(AT$6-$E$3,22))),0))-IF($G$2,0,IF((AT$6-$G$3)&lt;1,0,IFERROR(LOOKUP(2,1/('Feijão 1ª safra'!$E14:INDEX('Feijão 1ª safra'!$E14:$Z14,MIN(AT$6-$G$3,22))&lt;&gt;""),'Feijão 1ª safra'!$E14:INDEX('Feijão 1ª safra'!$E14:$Z14,MIN(AT$6-$G$3,22))),0)))))</f>
        <v>0</v>
      </c>
      <c r="AU16" s="27" t="n">
        <f aca="false">IF(COUNT('Feijão 1ª safra'!$E14:$Z14)=0,0,MAX(0,IF((AU$6-$E$3)&lt;1,0,IFERROR(LOOKUP(2,1/('Feijão 1ª safra'!$E14:INDEX('Feijão 1ª safra'!$E14:$Z14,MIN(AU$6-$E$3,22))&lt;&gt;""),'Feijão 1ª safra'!$E14:INDEX('Feijão 1ª safra'!$E14:$Z14,MIN(AU$6-$E$3,22))),0))-IF($G$2,0,IF((AU$6-$G$3)&lt;1,0,IFERROR(LOOKUP(2,1/('Feijão 1ª safra'!$E14:INDEX('Feijão 1ª safra'!$E14:$Z14,MIN(AU$6-$G$3,22))&lt;&gt;""),'Feijão 1ª safra'!$E14:INDEX('Feijão 1ª safra'!$E14:$Z14,MIN(AU$6-$G$3,22))),0)))))</f>
        <v>0</v>
      </c>
      <c r="AV16" s="27" t="n">
        <f aca="false">IF(COUNT('Feijão 1ª safra'!$E14:$Z14)=0,0,MAX(0,IF((AV$6-$E$3)&lt;1,0,IFERROR(LOOKUP(2,1/('Feijão 1ª safra'!$E14:INDEX('Feijão 1ª safra'!$E14:$Z14,MIN(AV$6-$E$3,22))&lt;&gt;""),'Feijão 1ª safra'!$E14:INDEX('Feijão 1ª safra'!$E14:$Z14,MIN(AV$6-$E$3,22))),0))-IF($G$2,0,IF((AV$6-$G$3)&lt;1,0,IFERROR(LOOKUP(2,1/('Feijão 1ª safra'!$E14:INDEX('Feijão 1ª safra'!$E14:$Z14,MIN(AV$6-$G$3,22))&lt;&gt;""),'Feijão 1ª safra'!$E14:INDEX('Feijão 1ª safra'!$E14:$Z14,MIN(AV$6-$G$3,22))),0)))))</f>
        <v>0</v>
      </c>
      <c r="AW16" s="27" t="n">
        <f aca="false">IF(COUNT('Feijão 1ª safra'!$E14:$Z14)=0,0,MAX(0,IF((AW$6-$E$3)&lt;1,0,IFERROR(LOOKUP(2,1/('Feijão 1ª safra'!$E14:INDEX('Feijão 1ª safra'!$E14:$Z14,MIN(AW$6-$E$3,22))&lt;&gt;""),'Feijão 1ª safra'!$E14:INDEX('Feijão 1ª safra'!$E14:$Z14,MIN(AW$6-$E$3,22))),0))-IF($G$2,0,IF((AW$6-$G$3)&lt;1,0,IFERROR(LOOKUP(2,1/('Feijão 1ª safra'!$E14:INDEX('Feijão 1ª safra'!$E14:$Z14,MIN(AW$6-$G$3,22))&lt;&gt;""),'Feijão 1ª safra'!$E14:INDEX('Feijão 1ª safra'!$E14:$Z14,MIN(AW$6-$G$3,22))),0)))))</f>
        <v>0</v>
      </c>
      <c r="AX16" s="27" t="n">
        <f aca="false">IF(COUNT('Feijão 1ª safra'!$E14:$Z14)=0,0,MAX(0,IF((AX$6-$E$3)&lt;1,0,IFERROR(LOOKUP(2,1/('Feijão 1ª safra'!$E14:INDEX('Feijão 1ª safra'!$E14:$Z14,MIN(AX$6-$E$3,22))&lt;&gt;""),'Feijão 1ª safra'!$E14:INDEX('Feijão 1ª safra'!$E14:$Z14,MIN(AX$6-$E$3,22))),0))-IF($G$2,0,IF((AX$6-$G$3)&lt;1,0,IFERROR(LOOKUP(2,1/('Feijão 1ª safra'!$E14:INDEX('Feijão 1ª safra'!$E14:$Z14,MIN(AX$6-$G$3,22))&lt;&gt;""),'Feijão 1ª safra'!$E14:INDEX('Feijão 1ª safra'!$E14:$Z14,MIN(AX$6-$G$3,22))),0)))))</f>
        <v>0</v>
      </c>
      <c r="AY16" s="27" t="n">
        <f aca="false">IF(COUNT('Feijão 1ª safra'!$E14:$Z14)=0,0,MAX(0,IF((AY$6-$E$3)&lt;1,0,IFERROR(LOOKUP(2,1/('Feijão 1ª safra'!$E14:INDEX('Feijão 1ª safra'!$E14:$Z14,MIN(AY$6-$E$3,22))&lt;&gt;""),'Feijão 1ª safra'!$E14:INDEX('Feijão 1ª safra'!$E14:$Z14,MIN(AY$6-$E$3,22))),0))-IF($G$2,0,IF((AY$6-$G$3)&lt;1,0,IFERROR(LOOKUP(2,1/('Feijão 1ª safra'!$E14:INDEX('Feijão 1ª safra'!$E14:$Z14,MIN(AY$6-$G$3,22))&lt;&gt;""),'Feijão 1ª safra'!$E14:INDEX('Feijão 1ª safra'!$E14:$Z14,MIN(AY$6-$G$3,22))),0)))))</f>
        <v>0</v>
      </c>
      <c r="AZ16" s="27" t="n">
        <f aca="false">IF(COUNT('Feijão 1ª safra'!$E14:$Z14)=0,0,MAX(0,IF((AZ$6-$E$3)&lt;1,0,IFERROR(LOOKUP(2,1/('Feijão 1ª safra'!$E14:INDEX('Feijão 1ª safra'!$E14:$Z14,MIN(AZ$6-$E$3,22))&lt;&gt;""),'Feijão 1ª safra'!$E14:INDEX('Feijão 1ª safra'!$E14:$Z14,MIN(AZ$6-$E$3,22))),0))-IF($G$2,0,IF((AZ$6-$G$3)&lt;1,0,IFERROR(LOOKUP(2,1/('Feijão 1ª safra'!$E14:INDEX('Feijão 1ª safra'!$E14:$Z14,MIN(AZ$6-$G$3,22))&lt;&gt;""),'Feijão 1ª safra'!$E14:INDEX('Feijão 1ª safra'!$E14:$Z14,MIN(AZ$6-$G$3,22))),0)))))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IF(COUNT('Feijão 1ª safra'!$E15:$Z15)&gt;0,N('Feijão 1ª safra'!$D15),0)</f>
        <v>0</v>
      </c>
      <c r="E17" s="27" t="n">
        <f aca="false">IF(COUNT('Feijão 1ª safra'!$E15:$Z15)=0,0,MAX(0,IF((E$6-$E$3)&lt;1,0,IFERROR(LOOKUP(2,1/('Feijão 1ª safra'!$E15:INDEX('Feijão 1ª safra'!$E15:$Z15,MIN(E$6-$E$3,22))&lt;&gt;""),'Feijão 1ª safra'!$E15:INDEX('Feijão 1ª safra'!$E15:$Z15,MIN(E$6-$E$3,22))),0))-IF($G$2,0,IF((E$6-$G$3)&lt;1,0,IFERROR(LOOKUP(2,1/('Feijão 1ª safra'!$E15:INDEX('Feijão 1ª safra'!$E15:$Z15,MIN(E$6-$G$3,22))&lt;&gt;""),'Feijão 1ª safra'!$E15:INDEX('Feijão 1ª safra'!$E15:$Z15,MIN(E$6-$G$3,22))),0)))))</f>
        <v>0</v>
      </c>
      <c r="F17" s="27" t="n">
        <f aca="false">IF(COUNT('Feijão 1ª safra'!$E15:$Z15)=0,0,MAX(0,IF((F$6-$E$3)&lt;1,0,IFERROR(LOOKUP(2,1/('Feijão 1ª safra'!$E15:INDEX('Feijão 1ª safra'!$E15:$Z15,MIN(F$6-$E$3,22))&lt;&gt;""),'Feijão 1ª safra'!$E15:INDEX('Feijão 1ª safra'!$E15:$Z15,MIN(F$6-$E$3,22))),0))-IF($G$2,0,IF((F$6-$G$3)&lt;1,0,IFERROR(LOOKUP(2,1/('Feijão 1ª safra'!$E15:INDEX('Feijão 1ª safra'!$E15:$Z15,MIN(F$6-$G$3,22))&lt;&gt;""),'Feijão 1ª safra'!$E15:INDEX('Feijão 1ª safra'!$E15:$Z15,MIN(F$6-$G$3,22))),0)))))</f>
        <v>0</v>
      </c>
      <c r="G17" s="27" t="n">
        <f aca="false">IF(COUNT('Feijão 1ª safra'!$E15:$Z15)=0,0,MAX(0,IF((G$6-$E$3)&lt;1,0,IFERROR(LOOKUP(2,1/('Feijão 1ª safra'!$E15:INDEX('Feijão 1ª safra'!$E15:$Z15,MIN(G$6-$E$3,22))&lt;&gt;""),'Feijão 1ª safra'!$E15:INDEX('Feijão 1ª safra'!$E15:$Z15,MIN(G$6-$E$3,22))),0))-IF($G$2,0,IF((G$6-$G$3)&lt;1,0,IFERROR(LOOKUP(2,1/('Feijão 1ª safra'!$E15:INDEX('Feijão 1ª safra'!$E15:$Z15,MIN(G$6-$G$3,22))&lt;&gt;""),'Feijão 1ª safra'!$E15:INDEX('Feijão 1ª safra'!$E15:$Z15,MIN(G$6-$G$3,22))),0)))))</f>
        <v>0</v>
      </c>
      <c r="H17" s="27" t="n">
        <f aca="false">IF(COUNT('Feijão 1ª safra'!$E15:$Z15)=0,0,MAX(0,IF((H$6-$E$3)&lt;1,0,IFERROR(LOOKUP(2,1/('Feijão 1ª safra'!$E15:INDEX('Feijão 1ª safra'!$E15:$Z15,MIN(H$6-$E$3,22))&lt;&gt;""),'Feijão 1ª safra'!$E15:INDEX('Feijão 1ª safra'!$E15:$Z15,MIN(H$6-$E$3,22))),0))-IF($G$2,0,IF((H$6-$G$3)&lt;1,0,IFERROR(LOOKUP(2,1/('Feijão 1ª safra'!$E15:INDEX('Feijão 1ª safra'!$E15:$Z15,MIN(H$6-$G$3,22))&lt;&gt;""),'Feijão 1ª safra'!$E15:INDEX('Feijão 1ª safra'!$E15:$Z15,MIN(H$6-$G$3,22))),0)))))</f>
        <v>0</v>
      </c>
      <c r="I17" s="27" t="n">
        <f aca="false">IF(COUNT('Feijão 1ª safra'!$E15:$Z15)=0,0,MAX(0,IF((I$6-$E$3)&lt;1,0,IFERROR(LOOKUP(2,1/('Feijão 1ª safra'!$E15:INDEX('Feijão 1ª safra'!$E15:$Z15,MIN(I$6-$E$3,22))&lt;&gt;""),'Feijão 1ª safra'!$E15:INDEX('Feijão 1ª safra'!$E15:$Z15,MIN(I$6-$E$3,22))),0))-IF($G$2,0,IF((I$6-$G$3)&lt;1,0,IFERROR(LOOKUP(2,1/('Feijão 1ª safra'!$E15:INDEX('Feijão 1ª safra'!$E15:$Z15,MIN(I$6-$G$3,22))&lt;&gt;""),'Feijão 1ª safra'!$E15:INDEX('Feijão 1ª safra'!$E15:$Z15,MIN(I$6-$G$3,22))),0)))))</f>
        <v>0</v>
      </c>
      <c r="J17" s="27" t="n">
        <f aca="false">IF(COUNT('Feijão 1ª safra'!$E15:$Z15)=0,0,MAX(0,IF((J$6-$E$3)&lt;1,0,IFERROR(LOOKUP(2,1/('Feijão 1ª safra'!$E15:INDEX('Feijão 1ª safra'!$E15:$Z15,MIN(J$6-$E$3,22))&lt;&gt;""),'Feijão 1ª safra'!$E15:INDEX('Feijão 1ª safra'!$E15:$Z15,MIN(J$6-$E$3,22))),0))-IF($G$2,0,IF((J$6-$G$3)&lt;1,0,IFERROR(LOOKUP(2,1/('Feijão 1ª safra'!$E15:INDEX('Feijão 1ª safra'!$E15:$Z15,MIN(J$6-$G$3,22))&lt;&gt;""),'Feijão 1ª safra'!$E15:INDEX('Feijão 1ª safra'!$E15:$Z15,MIN(J$6-$G$3,22))),0)))))</f>
        <v>0</v>
      </c>
      <c r="K17" s="27" t="n">
        <f aca="false">IF(COUNT('Feijão 1ª safra'!$E15:$Z15)=0,0,MAX(0,IF((K$6-$E$3)&lt;1,0,IFERROR(LOOKUP(2,1/('Feijão 1ª safra'!$E15:INDEX('Feijão 1ª safra'!$E15:$Z15,MIN(K$6-$E$3,22))&lt;&gt;""),'Feijão 1ª safra'!$E15:INDEX('Feijão 1ª safra'!$E15:$Z15,MIN(K$6-$E$3,22))),0))-IF($G$2,0,IF((K$6-$G$3)&lt;1,0,IFERROR(LOOKUP(2,1/('Feijão 1ª safra'!$E15:INDEX('Feijão 1ª safra'!$E15:$Z15,MIN(K$6-$G$3,22))&lt;&gt;""),'Feijão 1ª safra'!$E15:INDEX('Feijão 1ª safra'!$E15:$Z15,MIN(K$6-$G$3,22))),0)))))</f>
        <v>0</v>
      </c>
      <c r="L17" s="27" t="n">
        <f aca="false">IF(COUNT('Feijão 1ª safra'!$E15:$Z15)=0,0,MAX(0,IF((L$6-$E$3)&lt;1,0,IFERROR(LOOKUP(2,1/('Feijão 1ª safra'!$E15:INDEX('Feijão 1ª safra'!$E15:$Z15,MIN(L$6-$E$3,22))&lt;&gt;""),'Feijão 1ª safra'!$E15:INDEX('Feijão 1ª safra'!$E15:$Z15,MIN(L$6-$E$3,22))),0))-IF($G$2,0,IF((L$6-$G$3)&lt;1,0,IFERROR(LOOKUP(2,1/('Feijão 1ª safra'!$E15:INDEX('Feijão 1ª safra'!$E15:$Z15,MIN(L$6-$G$3,22))&lt;&gt;""),'Feijão 1ª safra'!$E15:INDEX('Feijão 1ª safra'!$E15:$Z15,MIN(L$6-$G$3,22))),0)))))</f>
        <v>0</v>
      </c>
      <c r="M17" s="27" t="n">
        <f aca="false">IF(COUNT('Feijão 1ª safra'!$E15:$Z15)=0,0,MAX(0,IF((M$6-$E$3)&lt;1,0,IFERROR(LOOKUP(2,1/('Feijão 1ª safra'!$E15:INDEX('Feijão 1ª safra'!$E15:$Z15,MIN(M$6-$E$3,22))&lt;&gt;""),'Feijão 1ª safra'!$E15:INDEX('Feijão 1ª safra'!$E15:$Z15,MIN(M$6-$E$3,22))),0))-IF($G$2,0,IF((M$6-$G$3)&lt;1,0,IFERROR(LOOKUP(2,1/('Feijão 1ª safra'!$E15:INDEX('Feijão 1ª safra'!$E15:$Z15,MIN(M$6-$G$3,22))&lt;&gt;""),'Feijão 1ª safra'!$E15:INDEX('Feijão 1ª safra'!$E15:$Z15,MIN(M$6-$G$3,22))),0)))))</f>
        <v>0</v>
      </c>
      <c r="N17" s="27" t="n">
        <f aca="false">IF(COUNT('Feijão 1ª safra'!$E15:$Z15)=0,0,MAX(0,IF((N$6-$E$3)&lt;1,0,IFERROR(LOOKUP(2,1/('Feijão 1ª safra'!$E15:INDEX('Feijão 1ª safra'!$E15:$Z15,MIN(N$6-$E$3,22))&lt;&gt;""),'Feijão 1ª safra'!$E15:INDEX('Feijão 1ª safra'!$E15:$Z15,MIN(N$6-$E$3,22))),0))-IF($G$2,0,IF((N$6-$G$3)&lt;1,0,IFERROR(LOOKUP(2,1/('Feijão 1ª safra'!$E15:INDEX('Feijão 1ª safra'!$E15:$Z15,MIN(N$6-$G$3,22))&lt;&gt;""),'Feijão 1ª safra'!$E15:INDEX('Feijão 1ª safra'!$E15:$Z15,MIN(N$6-$G$3,22))),0)))))</f>
        <v>0</v>
      </c>
      <c r="O17" s="27" t="n">
        <f aca="false">IF(COUNT('Feijão 1ª safra'!$E15:$Z15)=0,0,MAX(0,IF((O$6-$E$3)&lt;1,0,IFERROR(LOOKUP(2,1/('Feijão 1ª safra'!$E15:INDEX('Feijão 1ª safra'!$E15:$Z15,MIN(O$6-$E$3,22))&lt;&gt;""),'Feijão 1ª safra'!$E15:INDEX('Feijão 1ª safra'!$E15:$Z15,MIN(O$6-$E$3,22))),0))-IF($G$2,0,IF((O$6-$G$3)&lt;1,0,IFERROR(LOOKUP(2,1/('Feijão 1ª safra'!$E15:INDEX('Feijão 1ª safra'!$E15:$Z15,MIN(O$6-$G$3,22))&lt;&gt;""),'Feijão 1ª safra'!$E15:INDEX('Feijão 1ª safra'!$E15:$Z15,MIN(O$6-$G$3,22))),0)))))</f>
        <v>0</v>
      </c>
      <c r="P17" s="27" t="n">
        <f aca="false">IF(COUNT('Feijão 1ª safra'!$E15:$Z15)=0,0,MAX(0,IF((P$6-$E$3)&lt;1,0,IFERROR(LOOKUP(2,1/('Feijão 1ª safra'!$E15:INDEX('Feijão 1ª safra'!$E15:$Z15,MIN(P$6-$E$3,22))&lt;&gt;""),'Feijão 1ª safra'!$E15:INDEX('Feijão 1ª safra'!$E15:$Z15,MIN(P$6-$E$3,22))),0))-IF($G$2,0,IF((P$6-$G$3)&lt;1,0,IFERROR(LOOKUP(2,1/('Feijão 1ª safra'!$E15:INDEX('Feijão 1ª safra'!$E15:$Z15,MIN(P$6-$G$3,22))&lt;&gt;""),'Feijão 1ª safra'!$E15:INDEX('Feijão 1ª safra'!$E15:$Z15,MIN(P$6-$G$3,22))),0)))))</f>
        <v>0</v>
      </c>
      <c r="Q17" s="27" t="n">
        <f aca="false">IF(COUNT('Feijão 1ª safra'!$E15:$Z15)=0,0,MAX(0,IF((Q$6-$E$3)&lt;1,0,IFERROR(LOOKUP(2,1/('Feijão 1ª safra'!$E15:INDEX('Feijão 1ª safra'!$E15:$Z15,MIN(Q$6-$E$3,22))&lt;&gt;""),'Feijão 1ª safra'!$E15:INDEX('Feijão 1ª safra'!$E15:$Z15,MIN(Q$6-$E$3,22))),0))-IF($G$2,0,IF((Q$6-$G$3)&lt;1,0,IFERROR(LOOKUP(2,1/('Feijão 1ª safra'!$E15:INDEX('Feijão 1ª safra'!$E15:$Z15,MIN(Q$6-$G$3,22))&lt;&gt;""),'Feijão 1ª safra'!$E15:INDEX('Feijão 1ª safra'!$E15:$Z15,MIN(Q$6-$G$3,22))),0)))))</f>
        <v>0</v>
      </c>
      <c r="R17" s="27" t="n">
        <f aca="false">IF(COUNT('Feijão 1ª safra'!$E15:$Z15)=0,0,MAX(0,IF((R$6-$E$3)&lt;1,0,IFERROR(LOOKUP(2,1/('Feijão 1ª safra'!$E15:INDEX('Feijão 1ª safra'!$E15:$Z15,MIN(R$6-$E$3,22))&lt;&gt;""),'Feijão 1ª safra'!$E15:INDEX('Feijão 1ª safra'!$E15:$Z15,MIN(R$6-$E$3,22))),0))-IF($G$2,0,IF((R$6-$G$3)&lt;1,0,IFERROR(LOOKUP(2,1/('Feijão 1ª safra'!$E15:INDEX('Feijão 1ª safra'!$E15:$Z15,MIN(R$6-$G$3,22))&lt;&gt;""),'Feijão 1ª safra'!$E15:INDEX('Feijão 1ª safra'!$E15:$Z15,MIN(R$6-$G$3,22))),0)))))</f>
        <v>0</v>
      </c>
      <c r="S17" s="27" t="n">
        <f aca="false">IF(COUNT('Feijão 1ª safra'!$E15:$Z15)=0,0,MAX(0,IF((S$6-$E$3)&lt;1,0,IFERROR(LOOKUP(2,1/('Feijão 1ª safra'!$E15:INDEX('Feijão 1ª safra'!$E15:$Z15,MIN(S$6-$E$3,22))&lt;&gt;""),'Feijão 1ª safra'!$E15:INDEX('Feijão 1ª safra'!$E15:$Z15,MIN(S$6-$E$3,22))),0))-IF($G$2,0,IF((S$6-$G$3)&lt;1,0,IFERROR(LOOKUP(2,1/('Feijão 1ª safra'!$E15:INDEX('Feijão 1ª safra'!$E15:$Z15,MIN(S$6-$G$3,22))&lt;&gt;""),'Feijão 1ª safra'!$E15:INDEX('Feijão 1ª safra'!$E15:$Z15,MIN(S$6-$G$3,22))),0)))))</f>
        <v>0</v>
      </c>
      <c r="T17" s="27" t="n">
        <f aca="false">IF(COUNT('Feijão 1ª safra'!$E15:$Z15)=0,0,MAX(0,IF((T$6-$E$3)&lt;1,0,IFERROR(LOOKUP(2,1/('Feijão 1ª safra'!$E15:INDEX('Feijão 1ª safra'!$E15:$Z15,MIN(T$6-$E$3,22))&lt;&gt;""),'Feijão 1ª safra'!$E15:INDEX('Feijão 1ª safra'!$E15:$Z15,MIN(T$6-$E$3,22))),0))-IF($G$2,0,IF((T$6-$G$3)&lt;1,0,IFERROR(LOOKUP(2,1/('Feijão 1ª safra'!$E15:INDEX('Feijão 1ª safra'!$E15:$Z15,MIN(T$6-$G$3,22))&lt;&gt;""),'Feijão 1ª safra'!$E15:INDEX('Feijão 1ª safra'!$E15:$Z15,MIN(T$6-$G$3,22))),0)))))</f>
        <v>0</v>
      </c>
      <c r="U17" s="27" t="n">
        <f aca="false">IF(COUNT('Feijão 1ª safra'!$E15:$Z15)=0,0,MAX(0,IF((U$6-$E$3)&lt;1,0,IFERROR(LOOKUP(2,1/('Feijão 1ª safra'!$E15:INDEX('Feijão 1ª safra'!$E15:$Z15,MIN(U$6-$E$3,22))&lt;&gt;""),'Feijão 1ª safra'!$E15:INDEX('Feijão 1ª safra'!$E15:$Z15,MIN(U$6-$E$3,22))),0))-IF($G$2,0,IF((U$6-$G$3)&lt;1,0,IFERROR(LOOKUP(2,1/('Feijão 1ª safra'!$E15:INDEX('Feijão 1ª safra'!$E15:$Z15,MIN(U$6-$G$3,22))&lt;&gt;""),'Feijão 1ª safra'!$E15:INDEX('Feijão 1ª safra'!$E15:$Z15,MIN(U$6-$G$3,22))),0)))))</f>
        <v>0</v>
      </c>
      <c r="V17" s="27" t="n">
        <f aca="false">IF(COUNT('Feijão 1ª safra'!$E15:$Z15)=0,0,MAX(0,IF((V$6-$E$3)&lt;1,0,IFERROR(LOOKUP(2,1/('Feijão 1ª safra'!$E15:INDEX('Feijão 1ª safra'!$E15:$Z15,MIN(V$6-$E$3,22))&lt;&gt;""),'Feijão 1ª safra'!$E15:INDEX('Feijão 1ª safra'!$E15:$Z15,MIN(V$6-$E$3,22))),0))-IF($G$2,0,IF((V$6-$G$3)&lt;1,0,IFERROR(LOOKUP(2,1/('Feijão 1ª safra'!$E15:INDEX('Feijão 1ª safra'!$E15:$Z15,MIN(V$6-$G$3,22))&lt;&gt;""),'Feijão 1ª safra'!$E15:INDEX('Feijão 1ª safra'!$E15:$Z15,MIN(V$6-$G$3,22))),0)))))</f>
        <v>0</v>
      </c>
      <c r="W17" s="27" t="n">
        <f aca="false">IF(COUNT('Feijão 1ª safra'!$E15:$Z15)=0,0,MAX(0,IF((W$6-$E$3)&lt;1,0,IFERROR(LOOKUP(2,1/('Feijão 1ª safra'!$E15:INDEX('Feijão 1ª safra'!$E15:$Z15,MIN(W$6-$E$3,22))&lt;&gt;""),'Feijão 1ª safra'!$E15:INDEX('Feijão 1ª safra'!$E15:$Z15,MIN(W$6-$E$3,22))),0))-IF($G$2,0,IF((W$6-$G$3)&lt;1,0,IFERROR(LOOKUP(2,1/('Feijão 1ª safra'!$E15:INDEX('Feijão 1ª safra'!$E15:$Z15,MIN(W$6-$G$3,22))&lt;&gt;""),'Feijão 1ª safra'!$E15:INDEX('Feijão 1ª safra'!$E15:$Z15,MIN(W$6-$G$3,22))),0)))))</f>
        <v>0</v>
      </c>
      <c r="X17" s="27" t="n">
        <f aca="false">IF(COUNT('Feijão 1ª safra'!$E15:$Z15)=0,0,MAX(0,IF((X$6-$E$3)&lt;1,0,IFERROR(LOOKUP(2,1/('Feijão 1ª safra'!$E15:INDEX('Feijão 1ª safra'!$E15:$Z15,MIN(X$6-$E$3,22))&lt;&gt;""),'Feijão 1ª safra'!$E15:INDEX('Feijão 1ª safra'!$E15:$Z15,MIN(X$6-$E$3,22))),0))-IF($G$2,0,IF((X$6-$G$3)&lt;1,0,IFERROR(LOOKUP(2,1/('Feijão 1ª safra'!$E15:INDEX('Feijão 1ª safra'!$E15:$Z15,MIN(X$6-$G$3,22))&lt;&gt;""),'Feijão 1ª safra'!$E15:INDEX('Feijão 1ª safra'!$E15:$Z15,MIN(X$6-$G$3,22))),0)))))</f>
        <v>0</v>
      </c>
      <c r="Y17" s="27" t="n">
        <f aca="false">IF(COUNT('Feijão 1ª safra'!$E15:$Z15)=0,0,MAX(0,IF((Y$6-$E$3)&lt;1,0,IFERROR(LOOKUP(2,1/('Feijão 1ª safra'!$E15:INDEX('Feijão 1ª safra'!$E15:$Z15,MIN(Y$6-$E$3,22))&lt;&gt;""),'Feijão 1ª safra'!$E15:INDEX('Feijão 1ª safra'!$E15:$Z15,MIN(Y$6-$E$3,22))),0))-IF($G$2,0,IF((Y$6-$G$3)&lt;1,0,IFERROR(LOOKUP(2,1/('Feijão 1ª safra'!$E15:INDEX('Feijão 1ª safra'!$E15:$Z15,MIN(Y$6-$G$3,22))&lt;&gt;""),'Feijão 1ª safra'!$E15:INDEX('Feijão 1ª safra'!$E15:$Z15,MIN(Y$6-$G$3,22))),0)))))</f>
        <v>0</v>
      </c>
      <c r="Z17" s="27" t="n">
        <f aca="false">IF(COUNT('Feijão 1ª safra'!$E15:$Z15)=0,0,MAX(0,IF((Z$6-$E$3)&lt;1,0,IFERROR(LOOKUP(2,1/('Feijão 1ª safra'!$E15:INDEX('Feijão 1ª safra'!$E15:$Z15,MIN(Z$6-$E$3,22))&lt;&gt;""),'Feijão 1ª safra'!$E15:INDEX('Feijão 1ª safra'!$E15:$Z15,MIN(Z$6-$E$3,22))),0))-IF($G$2,0,IF((Z$6-$G$3)&lt;1,0,IFERROR(LOOKUP(2,1/('Feijão 1ª safra'!$E15:INDEX('Feijão 1ª safra'!$E15:$Z15,MIN(Z$6-$G$3,22))&lt;&gt;""),'Feijão 1ª safra'!$E15:INDEX('Feijão 1ª safra'!$E15:$Z15,MIN(Z$6-$G$3,22))),0)))))</f>
        <v>0</v>
      </c>
      <c r="AA17" s="27" t="n">
        <f aca="false">IF(COUNT('Feijão 1ª safra'!$E15:$Z15)=0,0,MAX(0,IF((AA$6-$E$3)&lt;1,0,IFERROR(LOOKUP(2,1/('Feijão 1ª safra'!$E15:INDEX('Feijão 1ª safra'!$E15:$Z15,MIN(AA$6-$E$3,22))&lt;&gt;""),'Feijão 1ª safra'!$E15:INDEX('Feijão 1ª safra'!$E15:$Z15,MIN(AA$6-$E$3,22))),0))-IF($G$2,0,IF((AA$6-$G$3)&lt;1,0,IFERROR(LOOKUP(2,1/('Feijão 1ª safra'!$E15:INDEX('Feijão 1ª safra'!$E15:$Z15,MIN(AA$6-$G$3,22))&lt;&gt;""),'Feijão 1ª safra'!$E15:INDEX('Feijão 1ª safra'!$E15:$Z15,MIN(AA$6-$G$3,22))),0)))))</f>
        <v>0</v>
      </c>
      <c r="AB17" s="27" t="n">
        <f aca="false">IF(COUNT('Feijão 1ª safra'!$E15:$Z15)=0,0,MAX(0,IF((AB$6-$E$3)&lt;1,0,IFERROR(LOOKUP(2,1/('Feijão 1ª safra'!$E15:INDEX('Feijão 1ª safra'!$E15:$Z15,MIN(AB$6-$E$3,22))&lt;&gt;""),'Feijão 1ª safra'!$E15:INDEX('Feijão 1ª safra'!$E15:$Z15,MIN(AB$6-$E$3,22))),0))-IF($G$2,0,IF((AB$6-$G$3)&lt;1,0,IFERROR(LOOKUP(2,1/('Feijão 1ª safra'!$E15:INDEX('Feijão 1ª safra'!$E15:$Z15,MIN(AB$6-$G$3,22))&lt;&gt;""),'Feijão 1ª safra'!$E15:INDEX('Feijão 1ª safra'!$E15:$Z15,MIN(AB$6-$G$3,22))),0)))))</f>
        <v>0</v>
      </c>
      <c r="AC17" s="27" t="n">
        <f aca="false">IF(COUNT('Feijão 1ª safra'!$E15:$Z15)=0,0,MAX(0,IF((AC$6-$E$3)&lt;1,0,IFERROR(LOOKUP(2,1/('Feijão 1ª safra'!$E15:INDEX('Feijão 1ª safra'!$E15:$Z15,MIN(AC$6-$E$3,22))&lt;&gt;""),'Feijão 1ª safra'!$E15:INDEX('Feijão 1ª safra'!$E15:$Z15,MIN(AC$6-$E$3,22))),0))-IF($G$2,0,IF((AC$6-$G$3)&lt;1,0,IFERROR(LOOKUP(2,1/('Feijão 1ª safra'!$E15:INDEX('Feijão 1ª safra'!$E15:$Z15,MIN(AC$6-$G$3,22))&lt;&gt;""),'Feijão 1ª safra'!$E15:INDEX('Feijão 1ª safra'!$E15:$Z15,MIN(AC$6-$G$3,22))),0)))))</f>
        <v>0</v>
      </c>
      <c r="AD17" s="27" t="n">
        <f aca="false">IF(COUNT('Feijão 1ª safra'!$E15:$Z15)=0,0,MAX(0,IF((AD$6-$E$3)&lt;1,0,IFERROR(LOOKUP(2,1/('Feijão 1ª safra'!$E15:INDEX('Feijão 1ª safra'!$E15:$Z15,MIN(AD$6-$E$3,22))&lt;&gt;""),'Feijão 1ª safra'!$E15:INDEX('Feijão 1ª safra'!$E15:$Z15,MIN(AD$6-$E$3,22))),0))-IF($G$2,0,IF((AD$6-$G$3)&lt;1,0,IFERROR(LOOKUP(2,1/('Feijão 1ª safra'!$E15:INDEX('Feijão 1ª safra'!$E15:$Z15,MIN(AD$6-$G$3,22))&lt;&gt;""),'Feijão 1ª safra'!$E15:INDEX('Feijão 1ª safra'!$E15:$Z15,MIN(AD$6-$G$3,22))),0)))))</f>
        <v>0</v>
      </c>
      <c r="AE17" s="27" t="n">
        <f aca="false">IF(COUNT('Feijão 1ª safra'!$E15:$Z15)=0,0,MAX(0,IF((AE$6-$E$3)&lt;1,0,IFERROR(LOOKUP(2,1/('Feijão 1ª safra'!$E15:INDEX('Feijão 1ª safra'!$E15:$Z15,MIN(AE$6-$E$3,22))&lt;&gt;""),'Feijão 1ª safra'!$E15:INDEX('Feijão 1ª safra'!$E15:$Z15,MIN(AE$6-$E$3,22))),0))-IF($G$2,0,IF((AE$6-$G$3)&lt;1,0,IFERROR(LOOKUP(2,1/('Feijão 1ª safra'!$E15:INDEX('Feijão 1ª safra'!$E15:$Z15,MIN(AE$6-$G$3,22))&lt;&gt;""),'Feijão 1ª safra'!$E15:INDEX('Feijão 1ª safra'!$E15:$Z15,MIN(AE$6-$G$3,22))),0)))))</f>
        <v>0</v>
      </c>
      <c r="AF17" s="27" t="n">
        <f aca="false">IF(COUNT('Feijão 1ª safra'!$E15:$Z15)=0,0,MAX(0,IF((AF$6-$E$3)&lt;1,0,IFERROR(LOOKUP(2,1/('Feijão 1ª safra'!$E15:INDEX('Feijão 1ª safra'!$E15:$Z15,MIN(AF$6-$E$3,22))&lt;&gt;""),'Feijão 1ª safra'!$E15:INDEX('Feijão 1ª safra'!$E15:$Z15,MIN(AF$6-$E$3,22))),0))-IF($G$2,0,IF((AF$6-$G$3)&lt;1,0,IFERROR(LOOKUP(2,1/('Feijão 1ª safra'!$E15:INDEX('Feijão 1ª safra'!$E15:$Z15,MIN(AF$6-$G$3,22))&lt;&gt;""),'Feijão 1ª safra'!$E15:INDEX('Feijão 1ª safra'!$E15:$Z15,MIN(AF$6-$G$3,22))),0)))))</f>
        <v>0</v>
      </c>
      <c r="AG17" s="27" t="n">
        <f aca="false">IF(COUNT('Feijão 1ª safra'!$E15:$Z15)=0,0,MAX(0,IF((AG$6-$E$3)&lt;1,0,IFERROR(LOOKUP(2,1/('Feijão 1ª safra'!$E15:INDEX('Feijão 1ª safra'!$E15:$Z15,MIN(AG$6-$E$3,22))&lt;&gt;""),'Feijão 1ª safra'!$E15:INDEX('Feijão 1ª safra'!$E15:$Z15,MIN(AG$6-$E$3,22))),0))-IF($G$2,0,IF((AG$6-$G$3)&lt;1,0,IFERROR(LOOKUP(2,1/('Feijão 1ª safra'!$E15:INDEX('Feijão 1ª safra'!$E15:$Z15,MIN(AG$6-$G$3,22))&lt;&gt;""),'Feijão 1ª safra'!$E15:INDEX('Feijão 1ª safra'!$E15:$Z15,MIN(AG$6-$G$3,22))),0)))))</f>
        <v>0</v>
      </c>
      <c r="AH17" s="27" t="n">
        <f aca="false">IF(COUNT('Feijão 1ª safra'!$E15:$Z15)=0,0,MAX(0,IF((AH$6-$E$3)&lt;1,0,IFERROR(LOOKUP(2,1/('Feijão 1ª safra'!$E15:INDEX('Feijão 1ª safra'!$E15:$Z15,MIN(AH$6-$E$3,22))&lt;&gt;""),'Feijão 1ª safra'!$E15:INDEX('Feijão 1ª safra'!$E15:$Z15,MIN(AH$6-$E$3,22))),0))-IF($G$2,0,IF((AH$6-$G$3)&lt;1,0,IFERROR(LOOKUP(2,1/('Feijão 1ª safra'!$E15:INDEX('Feijão 1ª safra'!$E15:$Z15,MIN(AH$6-$G$3,22))&lt;&gt;""),'Feijão 1ª safra'!$E15:INDEX('Feijão 1ª safra'!$E15:$Z15,MIN(AH$6-$G$3,22))),0)))))</f>
        <v>0</v>
      </c>
      <c r="AI17" s="27" t="n">
        <f aca="false">IF(COUNT('Feijão 1ª safra'!$E15:$Z15)=0,0,MAX(0,IF((AI$6-$E$3)&lt;1,0,IFERROR(LOOKUP(2,1/('Feijão 1ª safra'!$E15:INDEX('Feijão 1ª safra'!$E15:$Z15,MIN(AI$6-$E$3,22))&lt;&gt;""),'Feijão 1ª safra'!$E15:INDEX('Feijão 1ª safra'!$E15:$Z15,MIN(AI$6-$E$3,22))),0))-IF($G$2,0,IF((AI$6-$G$3)&lt;1,0,IFERROR(LOOKUP(2,1/('Feijão 1ª safra'!$E15:INDEX('Feijão 1ª safra'!$E15:$Z15,MIN(AI$6-$G$3,22))&lt;&gt;""),'Feijão 1ª safra'!$E15:INDEX('Feijão 1ª safra'!$E15:$Z15,MIN(AI$6-$G$3,22))),0)))))</f>
        <v>0</v>
      </c>
      <c r="AJ17" s="27" t="n">
        <f aca="false">IF(COUNT('Feijão 1ª safra'!$E15:$Z15)=0,0,MAX(0,IF((AJ$6-$E$3)&lt;1,0,IFERROR(LOOKUP(2,1/('Feijão 1ª safra'!$E15:INDEX('Feijão 1ª safra'!$E15:$Z15,MIN(AJ$6-$E$3,22))&lt;&gt;""),'Feijão 1ª safra'!$E15:INDEX('Feijão 1ª safra'!$E15:$Z15,MIN(AJ$6-$E$3,22))),0))-IF($G$2,0,IF((AJ$6-$G$3)&lt;1,0,IFERROR(LOOKUP(2,1/('Feijão 1ª safra'!$E15:INDEX('Feijão 1ª safra'!$E15:$Z15,MIN(AJ$6-$G$3,22))&lt;&gt;""),'Feijão 1ª safra'!$E15:INDEX('Feijão 1ª safra'!$E15:$Z15,MIN(AJ$6-$G$3,22))),0)))))</f>
        <v>0</v>
      </c>
      <c r="AK17" s="27" t="n">
        <f aca="false">IF(COUNT('Feijão 1ª safra'!$E15:$Z15)=0,0,MAX(0,IF((AK$6-$E$3)&lt;1,0,IFERROR(LOOKUP(2,1/('Feijão 1ª safra'!$E15:INDEX('Feijão 1ª safra'!$E15:$Z15,MIN(AK$6-$E$3,22))&lt;&gt;""),'Feijão 1ª safra'!$E15:INDEX('Feijão 1ª safra'!$E15:$Z15,MIN(AK$6-$E$3,22))),0))-IF($G$2,0,IF((AK$6-$G$3)&lt;1,0,IFERROR(LOOKUP(2,1/('Feijão 1ª safra'!$E15:INDEX('Feijão 1ª safra'!$E15:$Z15,MIN(AK$6-$G$3,22))&lt;&gt;""),'Feijão 1ª safra'!$E15:INDEX('Feijão 1ª safra'!$E15:$Z15,MIN(AK$6-$G$3,22))),0)))))</f>
        <v>0</v>
      </c>
      <c r="AL17" s="27" t="n">
        <f aca="false">IF(COUNT('Feijão 1ª safra'!$E15:$Z15)=0,0,MAX(0,IF((AL$6-$E$3)&lt;1,0,IFERROR(LOOKUP(2,1/('Feijão 1ª safra'!$E15:INDEX('Feijão 1ª safra'!$E15:$Z15,MIN(AL$6-$E$3,22))&lt;&gt;""),'Feijão 1ª safra'!$E15:INDEX('Feijão 1ª safra'!$E15:$Z15,MIN(AL$6-$E$3,22))),0))-IF($G$2,0,IF((AL$6-$G$3)&lt;1,0,IFERROR(LOOKUP(2,1/('Feijão 1ª safra'!$E15:INDEX('Feijão 1ª safra'!$E15:$Z15,MIN(AL$6-$G$3,22))&lt;&gt;""),'Feijão 1ª safra'!$E15:INDEX('Feijão 1ª safra'!$E15:$Z15,MIN(AL$6-$G$3,22))),0)))))</f>
        <v>0</v>
      </c>
      <c r="AM17" s="27" t="n">
        <f aca="false">IF(COUNT('Feijão 1ª safra'!$E15:$Z15)=0,0,MAX(0,IF((AM$6-$E$3)&lt;1,0,IFERROR(LOOKUP(2,1/('Feijão 1ª safra'!$E15:INDEX('Feijão 1ª safra'!$E15:$Z15,MIN(AM$6-$E$3,22))&lt;&gt;""),'Feijão 1ª safra'!$E15:INDEX('Feijão 1ª safra'!$E15:$Z15,MIN(AM$6-$E$3,22))),0))-IF($G$2,0,IF((AM$6-$G$3)&lt;1,0,IFERROR(LOOKUP(2,1/('Feijão 1ª safra'!$E15:INDEX('Feijão 1ª safra'!$E15:$Z15,MIN(AM$6-$G$3,22))&lt;&gt;""),'Feijão 1ª safra'!$E15:INDEX('Feijão 1ª safra'!$E15:$Z15,MIN(AM$6-$G$3,22))),0)))))</f>
        <v>0</v>
      </c>
      <c r="AN17" s="27" t="n">
        <f aca="false">IF(COUNT('Feijão 1ª safra'!$E15:$Z15)=0,0,MAX(0,IF((AN$6-$E$3)&lt;1,0,IFERROR(LOOKUP(2,1/('Feijão 1ª safra'!$E15:INDEX('Feijão 1ª safra'!$E15:$Z15,MIN(AN$6-$E$3,22))&lt;&gt;""),'Feijão 1ª safra'!$E15:INDEX('Feijão 1ª safra'!$E15:$Z15,MIN(AN$6-$E$3,22))),0))-IF($G$2,0,IF((AN$6-$G$3)&lt;1,0,IFERROR(LOOKUP(2,1/('Feijão 1ª safra'!$E15:INDEX('Feijão 1ª safra'!$E15:$Z15,MIN(AN$6-$G$3,22))&lt;&gt;""),'Feijão 1ª safra'!$E15:INDEX('Feijão 1ª safra'!$E15:$Z15,MIN(AN$6-$G$3,22))),0)))))</f>
        <v>0</v>
      </c>
      <c r="AO17" s="27" t="n">
        <f aca="false">IF(COUNT('Feijão 1ª safra'!$E15:$Z15)=0,0,MAX(0,IF((AO$6-$E$3)&lt;1,0,IFERROR(LOOKUP(2,1/('Feijão 1ª safra'!$E15:INDEX('Feijão 1ª safra'!$E15:$Z15,MIN(AO$6-$E$3,22))&lt;&gt;""),'Feijão 1ª safra'!$E15:INDEX('Feijão 1ª safra'!$E15:$Z15,MIN(AO$6-$E$3,22))),0))-IF($G$2,0,IF((AO$6-$G$3)&lt;1,0,IFERROR(LOOKUP(2,1/('Feijão 1ª safra'!$E15:INDEX('Feijão 1ª safra'!$E15:$Z15,MIN(AO$6-$G$3,22))&lt;&gt;""),'Feijão 1ª safra'!$E15:INDEX('Feijão 1ª safra'!$E15:$Z15,MIN(AO$6-$G$3,22))),0)))))</f>
        <v>0</v>
      </c>
      <c r="AP17" s="27" t="n">
        <f aca="false">IF(COUNT('Feijão 1ª safra'!$E15:$Z15)=0,0,MAX(0,IF((AP$6-$E$3)&lt;1,0,IFERROR(LOOKUP(2,1/('Feijão 1ª safra'!$E15:INDEX('Feijão 1ª safra'!$E15:$Z15,MIN(AP$6-$E$3,22))&lt;&gt;""),'Feijão 1ª safra'!$E15:INDEX('Feijão 1ª safra'!$E15:$Z15,MIN(AP$6-$E$3,22))),0))-IF($G$2,0,IF((AP$6-$G$3)&lt;1,0,IFERROR(LOOKUP(2,1/('Feijão 1ª safra'!$E15:INDEX('Feijão 1ª safra'!$E15:$Z15,MIN(AP$6-$G$3,22))&lt;&gt;""),'Feijão 1ª safra'!$E15:INDEX('Feijão 1ª safra'!$E15:$Z15,MIN(AP$6-$G$3,22))),0)))))</f>
        <v>0</v>
      </c>
      <c r="AQ17" s="27" t="n">
        <f aca="false">IF(COUNT('Feijão 1ª safra'!$E15:$Z15)=0,0,MAX(0,IF((AQ$6-$E$3)&lt;1,0,IFERROR(LOOKUP(2,1/('Feijão 1ª safra'!$E15:INDEX('Feijão 1ª safra'!$E15:$Z15,MIN(AQ$6-$E$3,22))&lt;&gt;""),'Feijão 1ª safra'!$E15:INDEX('Feijão 1ª safra'!$E15:$Z15,MIN(AQ$6-$E$3,22))),0))-IF($G$2,0,IF((AQ$6-$G$3)&lt;1,0,IFERROR(LOOKUP(2,1/('Feijão 1ª safra'!$E15:INDEX('Feijão 1ª safra'!$E15:$Z15,MIN(AQ$6-$G$3,22))&lt;&gt;""),'Feijão 1ª safra'!$E15:INDEX('Feijão 1ª safra'!$E15:$Z15,MIN(AQ$6-$G$3,22))),0)))))</f>
        <v>0</v>
      </c>
      <c r="AR17" s="27" t="n">
        <f aca="false">IF(COUNT('Feijão 1ª safra'!$E15:$Z15)=0,0,MAX(0,IF((AR$6-$E$3)&lt;1,0,IFERROR(LOOKUP(2,1/('Feijão 1ª safra'!$E15:INDEX('Feijão 1ª safra'!$E15:$Z15,MIN(AR$6-$E$3,22))&lt;&gt;""),'Feijão 1ª safra'!$E15:INDEX('Feijão 1ª safra'!$E15:$Z15,MIN(AR$6-$E$3,22))),0))-IF($G$2,0,IF((AR$6-$G$3)&lt;1,0,IFERROR(LOOKUP(2,1/('Feijão 1ª safra'!$E15:INDEX('Feijão 1ª safra'!$E15:$Z15,MIN(AR$6-$G$3,22))&lt;&gt;""),'Feijão 1ª safra'!$E15:INDEX('Feijão 1ª safra'!$E15:$Z15,MIN(AR$6-$G$3,22))),0)))))</f>
        <v>0</v>
      </c>
      <c r="AS17" s="27" t="n">
        <f aca="false">IF(COUNT('Feijão 1ª safra'!$E15:$Z15)=0,0,MAX(0,IF((AS$6-$E$3)&lt;1,0,IFERROR(LOOKUP(2,1/('Feijão 1ª safra'!$E15:INDEX('Feijão 1ª safra'!$E15:$Z15,MIN(AS$6-$E$3,22))&lt;&gt;""),'Feijão 1ª safra'!$E15:INDEX('Feijão 1ª safra'!$E15:$Z15,MIN(AS$6-$E$3,22))),0))-IF($G$2,0,IF((AS$6-$G$3)&lt;1,0,IFERROR(LOOKUP(2,1/('Feijão 1ª safra'!$E15:INDEX('Feijão 1ª safra'!$E15:$Z15,MIN(AS$6-$G$3,22))&lt;&gt;""),'Feijão 1ª safra'!$E15:INDEX('Feijão 1ª safra'!$E15:$Z15,MIN(AS$6-$G$3,22))),0)))))</f>
        <v>0</v>
      </c>
      <c r="AT17" s="27" t="n">
        <f aca="false">IF(COUNT('Feijão 1ª safra'!$E15:$Z15)=0,0,MAX(0,IF((AT$6-$E$3)&lt;1,0,IFERROR(LOOKUP(2,1/('Feijão 1ª safra'!$E15:INDEX('Feijão 1ª safra'!$E15:$Z15,MIN(AT$6-$E$3,22))&lt;&gt;""),'Feijão 1ª safra'!$E15:INDEX('Feijão 1ª safra'!$E15:$Z15,MIN(AT$6-$E$3,22))),0))-IF($G$2,0,IF((AT$6-$G$3)&lt;1,0,IFERROR(LOOKUP(2,1/('Feijão 1ª safra'!$E15:INDEX('Feijão 1ª safra'!$E15:$Z15,MIN(AT$6-$G$3,22))&lt;&gt;""),'Feijão 1ª safra'!$E15:INDEX('Feijão 1ª safra'!$E15:$Z15,MIN(AT$6-$G$3,22))),0)))))</f>
        <v>0</v>
      </c>
      <c r="AU17" s="27" t="n">
        <f aca="false">IF(COUNT('Feijão 1ª safra'!$E15:$Z15)=0,0,MAX(0,IF((AU$6-$E$3)&lt;1,0,IFERROR(LOOKUP(2,1/('Feijão 1ª safra'!$E15:INDEX('Feijão 1ª safra'!$E15:$Z15,MIN(AU$6-$E$3,22))&lt;&gt;""),'Feijão 1ª safra'!$E15:INDEX('Feijão 1ª safra'!$E15:$Z15,MIN(AU$6-$E$3,22))),0))-IF($G$2,0,IF((AU$6-$G$3)&lt;1,0,IFERROR(LOOKUP(2,1/('Feijão 1ª safra'!$E15:INDEX('Feijão 1ª safra'!$E15:$Z15,MIN(AU$6-$G$3,22))&lt;&gt;""),'Feijão 1ª safra'!$E15:INDEX('Feijão 1ª safra'!$E15:$Z15,MIN(AU$6-$G$3,22))),0)))))</f>
        <v>0</v>
      </c>
      <c r="AV17" s="27" t="n">
        <f aca="false">IF(COUNT('Feijão 1ª safra'!$E15:$Z15)=0,0,MAX(0,IF((AV$6-$E$3)&lt;1,0,IFERROR(LOOKUP(2,1/('Feijão 1ª safra'!$E15:INDEX('Feijão 1ª safra'!$E15:$Z15,MIN(AV$6-$E$3,22))&lt;&gt;""),'Feijão 1ª safra'!$E15:INDEX('Feijão 1ª safra'!$E15:$Z15,MIN(AV$6-$E$3,22))),0))-IF($G$2,0,IF((AV$6-$G$3)&lt;1,0,IFERROR(LOOKUP(2,1/('Feijão 1ª safra'!$E15:INDEX('Feijão 1ª safra'!$E15:$Z15,MIN(AV$6-$G$3,22))&lt;&gt;""),'Feijão 1ª safra'!$E15:INDEX('Feijão 1ª safra'!$E15:$Z15,MIN(AV$6-$G$3,22))),0)))))</f>
        <v>0</v>
      </c>
      <c r="AW17" s="27" t="n">
        <f aca="false">IF(COUNT('Feijão 1ª safra'!$E15:$Z15)=0,0,MAX(0,IF((AW$6-$E$3)&lt;1,0,IFERROR(LOOKUP(2,1/('Feijão 1ª safra'!$E15:INDEX('Feijão 1ª safra'!$E15:$Z15,MIN(AW$6-$E$3,22))&lt;&gt;""),'Feijão 1ª safra'!$E15:INDEX('Feijão 1ª safra'!$E15:$Z15,MIN(AW$6-$E$3,22))),0))-IF($G$2,0,IF((AW$6-$G$3)&lt;1,0,IFERROR(LOOKUP(2,1/('Feijão 1ª safra'!$E15:INDEX('Feijão 1ª safra'!$E15:$Z15,MIN(AW$6-$G$3,22))&lt;&gt;""),'Feijão 1ª safra'!$E15:INDEX('Feijão 1ª safra'!$E15:$Z15,MIN(AW$6-$G$3,22))),0)))))</f>
        <v>0</v>
      </c>
      <c r="AX17" s="27" t="n">
        <f aca="false">IF(COUNT('Feijão 1ª safra'!$E15:$Z15)=0,0,MAX(0,IF((AX$6-$E$3)&lt;1,0,IFERROR(LOOKUP(2,1/('Feijão 1ª safra'!$E15:INDEX('Feijão 1ª safra'!$E15:$Z15,MIN(AX$6-$E$3,22))&lt;&gt;""),'Feijão 1ª safra'!$E15:INDEX('Feijão 1ª safra'!$E15:$Z15,MIN(AX$6-$E$3,22))),0))-IF($G$2,0,IF((AX$6-$G$3)&lt;1,0,IFERROR(LOOKUP(2,1/('Feijão 1ª safra'!$E15:INDEX('Feijão 1ª safra'!$E15:$Z15,MIN(AX$6-$G$3,22))&lt;&gt;""),'Feijão 1ª safra'!$E15:INDEX('Feijão 1ª safra'!$E15:$Z15,MIN(AX$6-$G$3,22))),0)))))</f>
        <v>0</v>
      </c>
      <c r="AY17" s="27" t="n">
        <f aca="false">IF(COUNT('Feijão 1ª safra'!$E15:$Z15)=0,0,MAX(0,IF((AY$6-$E$3)&lt;1,0,IFERROR(LOOKUP(2,1/('Feijão 1ª safra'!$E15:INDEX('Feijão 1ª safra'!$E15:$Z15,MIN(AY$6-$E$3,22))&lt;&gt;""),'Feijão 1ª safra'!$E15:INDEX('Feijão 1ª safra'!$E15:$Z15,MIN(AY$6-$E$3,22))),0))-IF($G$2,0,IF((AY$6-$G$3)&lt;1,0,IFERROR(LOOKUP(2,1/('Feijão 1ª safra'!$E15:INDEX('Feijão 1ª safra'!$E15:$Z15,MIN(AY$6-$G$3,22))&lt;&gt;""),'Feijão 1ª safra'!$E15:INDEX('Feijão 1ª safra'!$E15:$Z15,MIN(AY$6-$G$3,22))),0)))))</f>
        <v>0</v>
      </c>
      <c r="AZ17" s="27" t="n">
        <f aca="false">IF(COUNT('Feijão 1ª safra'!$E15:$Z15)=0,0,MAX(0,IF((AZ$6-$E$3)&lt;1,0,IFERROR(LOOKUP(2,1/('Feijão 1ª safra'!$E15:INDEX('Feijão 1ª safra'!$E15:$Z15,MIN(AZ$6-$E$3,22))&lt;&gt;""),'Feijão 1ª safra'!$E15:INDEX('Feijão 1ª safra'!$E15:$Z15,MIN(AZ$6-$E$3,22))),0))-IF($G$2,0,IF((AZ$6-$G$3)&lt;1,0,IFERROR(LOOKUP(2,1/('Feijão 1ª safra'!$E15:INDEX('Feijão 1ª safra'!$E15:$Z15,MIN(AZ$6-$G$3,22))&lt;&gt;""),'Feijão 1ª safra'!$E15:INDEX('Feijão 1ª safra'!$E15:$Z15,MIN(AZ$6-$G$3,22))),0)))))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IF(COUNT('Feijão 1ª safra'!$E16:$Z16)&gt;0,N('Feijão 1ª safra'!$D16),0)</f>
        <v>0</v>
      </c>
      <c r="E18" s="27" t="n">
        <f aca="false">IF(COUNT('Feijão 1ª safra'!$E16:$Z16)=0,0,MAX(0,IF((E$6-$E$3)&lt;1,0,IFERROR(LOOKUP(2,1/('Feijão 1ª safra'!$E16:INDEX('Feijão 1ª safra'!$E16:$Z16,MIN(E$6-$E$3,22))&lt;&gt;""),'Feijão 1ª safra'!$E16:INDEX('Feijão 1ª safra'!$E16:$Z16,MIN(E$6-$E$3,22))),0))-IF($G$2,0,IF((E$6-$G$3)&lt;1,0,IFERROR(LOOKUP(2,1/('Feijão 1ª safra'!$E16:INDEX('Feijão 1ª safra'!$E16:$Z16,MIN(E$6-$G$3,22))&lt;&gt;""),'Feijão 1ª safra'!$E16:INDEX('Feijão 1ª safra'!$E16:$Z16,MIN(E$6-$G$3,22))),0)))))</f>
        <v>0</v>
      </c>
      <c r="F18" s="27" t="n">
        <f aca="false">IF(COUNT('Feijão 1ª safra'!$E16:$Z16)=0,0,MAX(0,IF((F$6-$E$3)&lt;1,0,IFERROR(LOOKUP(2,1/('Feijão 1ª safra'!$E16:INDEX('Feijão 1ª safra'!$E16:$Z16,MIN(F$6-$E$3,22))&lt;&gt;""),'Feijão 1ª safra'!$E16:INDEX('Feijão 1ª safra'!$E16:$Z16,MIN(F$6-$E$3,22))),0))-IF($G$2,0,IF((F$6-$G$3)&lt;1,0,IFERROR(LOOKUP(2,1/('Feijão 1ª safra'!$E16:INDEX('Feijão 1ª safra'!$E16:$Z16,MIN(F$6-$G$3,22))&lt;&gt;""),'Feijão 1ª safra'!$E16:INDEX('Feijão 1ª safra'!$E16:$Z16,MIN(F$6-$G$3,22))),0)))))</f>
        <v>0</v>
      </c>
      <c r="G18" s="27" t="n">
        <f aca="false">IF(COUNT('Feijão 1ª safra'!$E16:$Z16)=0,0,MAX(0,IF((G$6-$E$3)&lt;1,0,IFERROR(LOOKUP(2,1/('Feijão 1ª safra'!$E16:INDEX('Feijão 1ª safra'!$E16:$Z16,MIN(G$6-$E$3,22))&lt;&gt;""),'Feijão 1ª safra'!$E16:INDEX('Feijão 1ª safra'!$E16:$Z16,MIN(G$6-$E$3,22))),0))-IF($G$2,0,IF((G$6-$G$3)&lt;1,0,IFERROR(LOOKUP(2,1/('Feijão 1ª safra'!$E16:INDEX('Feijão 1ª safra'!$E16:$Z16,MIN(G$6-$G$3,22))&lt;&gt;""),'Feijão 1ª safra'!$E16:INDEX('Feijão 1ª safra'!$E16:$Z16,MIN(G$6-$G$3,22))),0)))))</f>
        <v>0</v>
      </c>
      <c r="H18" s="27" t="n">
        <f aca="false">IF(COUNT('Feijão 1ª safra'!$E16:$Z16)=0,0,MAX(0,IF((H$6-$E$3)&lt;1,0,IFERROR(LOOKUP(2,1/('Feijão 1ª safra'!$E16:INDEX('Feijão 1ª safra'!$E16:$Z16,MIN(H$6-$E$3,22))&lt;&gt;""),'Feijão 1ª safra'!$E16:INDEX('Feijão 1ª safra'!$E16:$Z16,MIN(H$6-$E$3,22))),0))-IF($G$2,0,IF((H$6-$G$3)&lt;1,0,IFERROR(LOOKUP(2,1/('Feijão 1ª safra'!$E16:INDEX('Feijão 1ª safra'!$E16:$Z16,MIN(H$6-$G$3,22))&lt;&gt;""),'Feijão 1ª safra'!$E16:INDEX('Feijão 1ª safra'!$E16:$Z16,MIN(H$6-$G$3,22))),0)))))</f>
        <v>0</v>
      </c>
      <c r="I18" s="27" t="n">
        <f aca="false">IF(COUNT('Feijão 1ª safra'!$E16:$Z16)=0,0,MAX(0,IF((I$6-$E$3)&lt;1,0,IFERROR(LOOKUP(2,1/('Feijão 1ª safra'!$E16:INDEX('Feijão 1ª safra'!$E16:$Z16,MIN(I$6-$E$3,22))&lt;&gt;""),'Feijão 1ª safra'!$E16:INDEX('Feijão 1ª safra'!$E16:$Z16,MIN(I$6-$E$3,22))),0))-IF($G$2,0,IF((I$6-$G$3)&lt;1,0,IFERROR(LOOKUP(2,1/('Feijão 1ª safra'!$E16:INDEX('Feijão 1ª safra'!$E16:$Z16,MIN(I$6-$G$3,22))&lt;&gt;""),'Feijão 1ª safra'!$E16:INDEX('Feijão 1ª safra'!$E16:$Z16,MIN(I$6-$G$3,22))),0)))))</f>
        <v>0</v>
      </c>
      <c r="J18" s="27" t="n">
        <f aca="false">IF(COUNT('Feijão 1ª safra'!$E16:$Z16)=0,0,MAX(0,IF((J$6-$E$3)&lt;1,0,IFERROR(LOOKUP(2,1/('Feijão 1ª safra'!$E16:INDEX('Feijão 1ª safra'!$E16:$Z16,MIN(J$6-$E$3,22))&lt;&gt;""),'Feijão 1ª safra'!$E16:INDEX('Feijão 1ª safra'!$E16:$Z16,MIN(J$6-$E$3,22))),0))-IF($G$2,0,IF((J$6-$G$3)&lt;1,0,IFERROR(LOOKUP(2,1/('Feijão 1ª safra'!$E16:INDEX('Feijão 1ª safra'!$E16:$Z16,MIN(J$6-$G$3,22))&lt;&gt;""),'Feijão 1ª safra'!$E16:INDEX('Feijão 1ª safra'!$E16:$Z16,MIN(J$6-$G$3,22))),0)))))</f>
        <v>0</v>
      </c>
      <c r="K18" s="27" t="n">
        <f aca="false">IF(COUNT('Feijão 1ª safra'!$E16:$Z16)=0,0,MAX(0,IF((K$6-$E$3)&lt;1,0,IFERROR(LOOKUP(2,1/('Feijão 1ª safra'!$E16:INDEX('Feijão 1ª safra'!$E16:$Z16,MIN(K$6-$E$3,22))&lt;&gt;""),'Feijão 1ª safra'!$E16:INDEX('Feijão 1ª safra'!$E16:$Z16,MIN(K$6-$E$3,22))),0))-IF($G$2,0,IF((K$6-$G$3)&lt;1,0,IFERROR(LOOKUP(2,1/('Feijão 1ª safra'!$E16:INDEX('Feijão 1ª safra'!$E16:$Z16,MIN(K$6-$G$3,22))&lt;&gt;""),'Feijão 1ª safra'!$E16:INDEX('Feijão 1ª safra'!$E16:$Z16,MIN(K$6-$G$3,22))),0)))))</f>
        <v>0</v>
      </c>
      <c r="L18" s="27" t="n">
        <f aca="false">IF(COUNT('Feijão 1ª safra'!$E16:$Z16)=0,0,MAX(0,IF((L$6-$E$3)&lt;1,0,IFERROR(LOOKUP(2,1/('Feijão 1ª safra'!$E16:INDEX('Feijão 1ª safra'!$E16:$Z16,MIN(L$6-$E$3,22))&lt;&gt;""),'Feijão 1ª safra'!$E16:INDEX('Feijão 1ª safra'!$E16:$Z16,MIN(L$6-$E$3,22))),0))-IF($G$2,0,IF((L$6-$G$3)&lt;1,0,IFERROR(LOOKUP(2,1/('Feijão 1ª safra'!$E16:INDEX('Feijão 1ª safra'!$E16:$Z16,MIN(L$6-$G$3,22))&lt;&gt;""),'Feijão 1ª safra'!$E16:INDEX('Feijão 1ª safra'!$E16:$Z16,MIN(L$6-$G$3,22))),0)))))</f>
        <v>0</v>
      </c>
      <c r="M18" s="27" t="n">
        <f aca="false">IF(COUNT('Feijão 1ª safra'!$E16:$Z16)=0,0,MAX(0,IF((M$6-$E$3)&lt;1,0,IFERROR(LOOKUP(2,1/('Feijão 1ª safra'!$E16:INDEX('Feijão 1ª safra'!$E16:$Z16,MIN(M$6-$E$3,22))&lt;&gt;""),'Feijão 1ª safra'!$E16:INDEX('Feijão 1ª safra'!$E16:$Z16,MIN(M$6-$E$3,22))),0))-IF($G$2,0,IF((M$6-$G$3)&lt;1,0,IFERROR(LOOKUP(2,1/('Feijão 1ª safra'!$E16:INDEX('Feijão 1ª safra'!$E16:$Z16,MIN(M$6-$G$3,22))&lt;&gt;""),'Feijão 1ª safra'!$E16:INDEX('Feijão 1ª safra'!$E16:$Z16,MIN(M$6-$G$3,22))),0)))))</f>
        <v>0</v>
      </c>
      <c r="N18" s="27" t="n">
        <f aca="false">IF(COUNT('Feijão 1ª safra'!$E16:$Z16)=0,0,MAX(0,IF((N$6-$E$3)&lt;1,0,IFERROR(LOOKUP(2,1/('Feijão 1ª safra'!$E16:INDEX('Feijão 1ª safra'!$E16:$Z16,MIN(N$6-$E$3,22))&lt;&gt;""),'Feijão 1ª safra'!$E16:INDEX('Feijão 1ª safra'!$E16:$Z16,MIN(N$6-$E$3,22))),0))-IF($G$2,0,IF((N$6-$G$3)&lt;1,0,IFERROR(LOOKUP(2,1/('Feijão 1ª safra'!$E16:INDEX('Feijão 1ª safra'!$E16:$Z16,MIN(N$6-$G$3,22))&lt;&gt;""),'Feijão 1ª safra'!$E16:INDEX('Feijão 1ª safra'!$E16:$Z16,MIN(N$6-$G$3,22))),0)))))</f>
        <v>0</v>
      </c>
      <c r="O18" s="27" t="n">
        <f aca="false">IF(COUNT('Feijão 1ª safra'!$E16:$Z16)=0,0,MAX(0,IF((O$6-$E$3)&lt;1,0,IFERROR(LOOKUP(2,1/('Feijão 1ª safra'!$E16:INDEX('Feijão 1ª safra'!$E16:$Z16,MIN(O$6-$E$3,22))&lt;&gt;""),'Feijão 1ª safra'!$E16:INDEX('Feijão 1ª safra'!$E16:$Z16,MIN(O$6-$E$3,22))),0))-IF($G$2,0,IF((O$6-$G$3)&lt;1,0,IFERROR(LOOKUP(2,1/('Feijão 1ª safra'!$E16:INDEX('Feijão 1ª safra'!$E16:$Z16,MIN(O$6-$G$3,22))&lt;&gt;""),'Feijão 1ª safra'!$E16:INDEX('Feijão 1ª safra'!$E16:$Z16,MIN(O$6-$G$3,22))),0)))))</f>
        <v>0</v>
      </c>
      <c r="P18" s="27" t="n">
        <f aca="false">IF(COUNT('Feijão 1ª safra'!$E16:$Z16)=0,0,MAX(0,IF((P$6-$E$3)&lt;1,0,IFERROR(LOOKUP(2,1/('Feijão 1ª safra'!$E16:INDEX('Feijão 1ª safra'!$E16:$Z16,MIN(P$6-$E$3,22))&lt;&gt;""),'Feijão 1ª safra'!$E16:INDEX('Feijão 1ª safra'!$E16:$Z16,MIN(P$6-$E$3,22))),0))-IF($G$2,0,IF((P$6-$G$3)&lt;1,0,IFERROR(LOOKUP(2,1/('Feijão 1ª safra'!$E16:INDEX('Feijão 1ª safra'!$E16:$Z16,MIN(P$6-$G$3,22))&lt;&gt;""),'Feijão 1ª safra'!$E16:INDEX('Feijão 1ª safra'!$E16:$Z16,MIN(P$6-$G$3,22))),0)))))</f>
        <v>0</v>
      </c>
      <c r="Q18" s="27" t="n">
        <f aca="false">IF(COUNT('Feijão 1ª safra'!$E16:$Z16)=0,0,MAX(0,IF((Q$6-$E$3)&lt;1,0,IFERROR(LOOKUP(2,1/('Feijão 1ª safra'!$E16:INDEX('Feijão 1ª safra'!$E16:$Z16,MIN(Q$6-$E$3,22))&lt;&gt;""),'Feijão 1ª safra'!$E16:INDEX('Feijão 1ª safra'!$E16:$Z16,MIN(Q$6-$E$3,22))),0))-IF($G$2,0,IF((Q$6-$G$3)&lt;1,0,IFERROR(LOOKUP(2,1/('Feijão 1ª safra'!$E16:INDEX('Feijão 1ª safra'!$E16:$Z16,MIN(Q$6-$G$3,22))&lt;&gt;""),'Feijão 1ª safra'!$E16:INDEX('Feijão 1ª safra'!$E16:$Z16,MIN(Q$6-$G$3,22))),0)))))</f>
        <v>0</v>
      </c>
      <c r="R18" s="27" t="n">
        <f aca="false">IF(COUNT('Feijão 1ª safra'!$E16:$Z16)=0,0,MAX(0,IF((R$6-$E$3)&lt;1,0,IFERROR(LOOKUP(2,1/('Feijão 1ª safra'!$E16:INDEX('Feijão 1ª safra'!$E16:$Z16,MIN(R$6-$E$3,22))&lt;&gt;""),'Feijão 1ª safra'!$E16:INDEX('Feijão 1ª safra'!$E16:$Z16,MIN(R$6-$E$3,22))),0))-IF($G$2,0,IF((R$6-$G$3)&lt;1,0,IFERROR(LOOKUP(2,1/('Feijão 1ª safra'!$E16:INDEX('Feijão 1ª safra'!$E16:$Z16,MIN(R$6-$G$3,22))&lt;&gt;""),'Feijão 1ª safra'!$E16:INDEX('Feijão 1ª safra'!$E16:$Z16,MIN(R$6-$G$3,22))),0)))))</f>
        <v>0</v>
      </c>
      <c r="S18" s="27" t="n">
        <f aca="false">IF(COUNT('Feijão 1ª safra'!$E16:$Z16)=0,0,MAX(0,IF((S$6-$E$3)&lt;1,0,IFERROR(LOOKUP(2,1/('Feijão 1ª safra'!$E16:INDEX('Feijão 1ª safra'!$E16:$Z16,MIN(S$6-$E$3,22))&lt;&gt;""),'Feijão 1ª safra'!$E16:INDEX('Feijão 1ª safra'!$E16:$Z16,MIN(S$6-$E$3,22))),0))-IF($G$2,0,IF((S$6-$G$3)&lt;1,0,IFERROR(LOOKUP(2,1/('Feijão 1ª safra'!$E16:INDEX('Feijão 1ª safra'!$E16:$Z16,MIN(S$6-$G$3,22))&lt;&gt;""),'Feijão 1ª safra'!$E16:INDEX('Feijão 1ª safra'!$E16:$Z16,MIN(S$6-$G$3,22))),0)))))</f>
        <v>0</v>
      </c>
      <c r="T18" s="27" t="n">
        <f aca="false">IF(COUNT('Feijão 1ª safra'!$E16:$Z16)=0,0,MAX(0,IF((T$6-$E$3)&lt;1,0,IFERROR(LOOKUP(2,1/('Feijão 1ª safra'!$E16:INDEX('Feijão 1ª safra'!$E16:$Z16,MIN(T$6-$E$3,22))&lt;&gt;""),'Feijão 1ª safra'!$E16:INDEX('Feijão 1ª safra'!$E16:$Z16,MIN(T$6-$E$3,22))),0))-IF($G$2,0,IF((T$6-$G$3)&lt;1,0,IFERROR(LOOKUP(2,1/('Feijão 1ª safra'!$E16:INDEX('Feijão 1ª safra'!$E16:$Z16,MIN(T$6-$G$3,22))&lt;&gt;""),'Feijão 1ª safra'!$E16:INDEX('Feijão 1ª safra'!$E16:$Z16,MIN(T$6-$G$3,22))),0)))))</f>
        <v>0</v>
      </c>
      <c r="U18" s="27" t="n">
        <f aca="false">IF(COUNT('Feijão 1ª safra'!$E16:$Z16)=0,0,MAX(0,IF((U$6-$E$3)&lt;1,0,IFERROR(LOOKUP(2,1/('Feijão 1ª safra'!$E16:INDEX('Feijão 1ª safra'!$E16:$Z16,MIN(U$6-$E$3,22))&lt;&gt;""),'Feijão 1ª safra'!$E16:INDEX('Feijão 1ª safra'!$E16:$Z16,MIN(U$6-$E$3,22))),0))-IF($G$2,0,IF((U$6-$G$3)&lt;1,0,IFERROR(LOOKUP(2,1/('Feijão 1ª safra'!$E16:INDEX('Feijão 1ª safra'!$E16:$Z16,MIN(U$6-$G$3,22))&lt;&gt;""),'Feijão 1ª safra'!$E16:INDEX('Feijão 1ª safra'!$E16:$Z16,MIN(U$6-$G$3,22))),0)))))</f>
        <v>0</v>
      </c>
      <c r="V18" s="27" t="n">
        <f aca="false">IF(COUNT('Feijão 1ª safra'!$E16:$Z16)=0,0,MAX(0,IF((V$6-$E$3)&lt;1,0,IFERROR(LOOKUP(2,1/('Feijão 1ª safra'!$E16:INDEX('Feijão 1ª safra'!$E16:$Z16,MIN(V$6-$E$3,22))&lt;&gt;""),'Feijão 1ª safra'!$E16:INDEX('Feijão 1ª safra'!$E16:$Z16,MIN(V$6-$E$3,22))),0))-IF($G$2,0,IF((V$6-$G$3)&lt;1,0,IFERROR(LOOKUP(2,1/('Feijão 1ª safra'!$E16:INDEX('Feijão 1ª safra'!$E16:$Z16,MIN(V$6-$G$3,22))&lt;&gt;""),'Feijão 1ª safra'!$E16:INDEX('Feijão 1ª safra'!$E16:$Z16,MIN(V$6-$G$3,22))),0)))))</f>
        <v>0</v>
      </c>
      <c r="W18" s="27" t="n">
        <f aca="false">IF(COUNT('Feijão 1ª safra'!$E16:$Z16)=0,0,MAX(0,IF((W$6-$E$3)&lt;1,0,IFERROR(LOOKUP(2,1/('Feijão 1ª safra'!$E16:INDEX('Feijão 1ª safra'!$E16:$Z16,MIN(W$6-$E$3,22))&lt;&gt;""),'Feijão 1ª safra'!$E16:INDEX('Feijão 1ª safra'!$E16:$Z16,MIN(W$6-$E$3,22))),0))-IF($G$2,0,IF((W$6-$G$3)&lt;1,0,IFERROR(LOOKUP(2,1/('Feijão 1ª safra'!$E16:INDEX('Feijão 1ª safra'!$E16:$Z16,MIN(W$6-$G$3,22))&lt;&gt;""),'Feijão 1ª safra'!$E16:INDEX('Feijão 1ª safra'!$E16:$Z16,MIN(W$6-$G$3,22))),0)))))</f>
        <v>0</v>
      </c>
      <c r="X18" s="27" t="n">
        <f aca="false">IF(COUNT('Feijão 1ª safra'!$E16:$Z16)=0,0,MAX(0,IF((X$6-$E$3)&lt;1,0,IFERROR(LOOKUP(2,1/('Feijão 1ª safra'!$E16:INDEX('Feijão 1ª safra'!$E16:$Z16,MIN(X$6-$E$3,22))&lt;&gt;""),'Feijão 1ª safra'!$E16:INDEX('Feijão 1ª safra'!$E16:$Z16,MIN(X$6-$E$3,22))),0))-IF($G$2,0,IF((X$6-$G$3)&lt;1,0,IFERROR(LOOKUP(2,1/('Feijão 1ª safra'!$E16:INDEX('Feijão 1ª safra'!$E16:$Z16,MIN(X$6-$G$3,22))&lt;&gt;""),'Feijão 1ª safra'!$E16:INDEX('Feijão 1ª safra'!$E16:$Z16,MIN(X$6-$G$3,22))),0)))))</f>
        <v>0</v>
      </c>
      <c r="Y18" s="27" t="n">
        <f aca="false">IF(COUNT('Feijão 1ª safra'!$E16:$Z16)=0,0,MAX(0,IF((Y$6-$E$3)&lt;1,0,IFERROR(LOOKUP(2,1/('Feijão 1ª safra'!$E16:INDEX('Feijão 1ª safra'!$E16:$Z16,MIN(Y$6-$E$3,22))&lt;&gt;""),'Feijão 1ª safra'!$E16:INDEX('Feijão 1ª safra'!$E16:$Z16,MIN(Y$6-$E$3,22))),0))-IF($G$2,0,IF((Y$6-$G$3)&lt;1,0,IFERROR(LOOKUP(2,1/('Feijão 1ª safra'!$E16:INDEX('Feijão 1ª safra'!$E16:$Z16,MIN(Y$6-$G$3,22))&lt;&gt;""),'Feijão 1ª safra'!$E16:INDEX('Feijão 1ª safra'!$E16:$Z16,MIN(Y$6-$G$3,22))),0)))))</f>
        <v>0</v>
      </c>
      <c r="Z18" s="27" t="n">
        <f aca="false">IF(COUNT('Feijão 1ª safra'!$E16:$Z16)=0,0,MAX(0,IF((Z$6-$E$3)&lt;1,0,IFERROR(LOOKUP(2,1/('Feijão 1ª safra'!$E16:INDEX('Feijão 1ª safra'!$E16:$Z16,MIN(Z$6-$E$3,22))&lt;&gt;""),'Feijão 1ª safra'!$E16:INDEX('Feijão 1ª safra'!$E16:$Z16,MIN(Z$6-$E$3,22))),0))-IF($G$2,0,IF((Z$6-$G$3)&lt;1,0,IFERROR(LOOKUP(2,1/('Feijão 1ª safra'!$E16:INDEX('Feijão 1ª safra'!$E16:$Z16,MIN(Z$6-$G$3,22))&lt;&gt;""),'Feijão 1ª safra'!$E16:INDEX('Feijão 1ª safra'!$E16:$Z16,MIN(Z$6-$G$3,22))),0)))))</f>
        <v>0</v>
      </c>
      <c r="AA18" s="27" t="n">
        <f aca="false">IF(COUNT('Feijão 1ª safra'!$E16:$Z16)=0,0,MAX(0,IF((AA$6-$E$3)&lt;1,0,IFERROR(LOOKUP(2,1/('Feijão 1ª safra'!$E16:INDEX('Feijão 1ª safra'!$E16:$Z16,MIN(AA$6-$E$3,22))&lt;&gt;""),'Feijão 1ª safra'!$E16:INDEX('Feijão 1ª safra'!$E16:$Z16,MIN(AA$6-$E$3,22))),0))-IF($G$2,0,IF((AA$6-$G$3)&lt;1,0,IFERROR(LOOKUP(2,1/('Feijão 1ª safra'!$E16:INDEX('Feijão 1ª safra'!$E16:$Z16,MIN(AA$6-$G$3,22))&lt;&gt;""),'Feijão 1ª safra'!$E16:INDEX('Feijão 1ª safra'!$E16:$Z16,MIN(AA$6-$G$3,22))),0)))))</f>
        <v>0</v>
      </c>
      <c r="AB18" s="27" t="n">
        <f aca="false">IF(COUNT('Feijão 1ª safra'!$E16:$Z16)=0,0,MAX(0,IF((AB$6-$E$3)&lt;1,0,IFERROR(LOOKUP(2,1/('Feijão 1ª safra'!$E16:INDEX('Feijão 1ª safra'!$E16:$Z16,MIN(AB$6-$E$3,22))&lt;&gt;""),'Feijão 1ª safra'!$E16:INDEX('Feijão 1ª safra'!$E16:$Z16,MIN(AB$6-$E$3,22))),0))-IF($G$2,0,IF((AB$6-$G$3)&lt;1,0,IFERROR(LOOKUP(2,1/('Feijão 1ª safra'!$E16:INDEX('Feijão 1ª safra'!$E16:$Z16,MIN(AB$6-$G$3,22))&lt;&gt;""),'Feijão 1ª safra'!$E16:INDEX('Feijão 1ª safra'!$E16:$Z16,MIN(AB$6-$G$3,22))),0)))))</f>
        <v>0</v>
      </c>
      <c r="AC18" s="27" t="n">
        <f aca="false">IF(COUNT('Feijão 1ª safra'!$E16:$Z16)=0,0,MAX(0,IF((AC$6-$E$3)&lt;1,0,IFERROR(LOOKUP(2,1/('Feijão 1ª safra'!$E16:INDEX('Feijão 1ª safra'!$E16:$Z16,MIN(AC$6-$E$3,22))&lt;&gt;""),'Feijão 1ª safra'!$E16:INDEX('Feijão 1ª safra'!$E16:$Z16,MIN(AC$6-$E$3,22))),0))-IF($G$2,0,IF((AC$6-$G$3)&lt;1,0,IFERROR(LOOKUP(2,1/('Feijão 1ª safra'!$E16:INDEX('Feijão 1ª safra'!$E16:$Z16,MIN(AC$6-$G$3,22))&lt;&gt;""),'Feijão 1ª safra'!$E16:INDEX('Feijão 1ª safra'!$E16:$Z16,MIN(AC$6-$G$3,22))),0)))))</f>
        <v>0</v>
      </c>
      <c r="AD18" s="27" t="n">
        <f aca="false">IF(COUNT('Feijão 1ª safra'!$E16:$Z16)=0,0,MAX(0,IF((AD$6-$E$3)&lt;1,0,IFERROR(LOOKUP(2,1/('Feijão 1ª safra'!$E16:INDEX('Feijão 1ª safra'!$E16:$Z16,MIN(AD$6-$E$3,22))&lt;&gt;""),'Feijão 1ª safra'!$E16:INDEX('Feijão 1ª safra'!$E16:$Z16,MIN(AD$6-$E$3,22))),0))-IF($G$2,0,IF((AD$6-$G$3)&lt;1,0,IFERROR(LOOKUP(2,1/('Feijão 1ª safra'!$E16:INDEX('Feijão 1ª safra'!$E16:$Z16,MIN(AD$6-$G$3,22))&lt;&gt;""),'Feijão 1ª safra'!$E16:INDEX('Feijão 1ª safra'!$E16:$Z16,MIN(AD$6-$G$3,22))),0)))))</f>
        <v>0</v>
      </c>
      <c r="AE18" s="27" t="n">
        <f aca="false">IF(COUNT('Feijão 1ª safra'!$E16:$Z16)=0,0,MAX(0,IF((AE$6-$E$3)&lt;1,0,IFERROR(LOOKUP(2,1/('Feijão 1ª safra'!$E16:INDEX('Feijão 1ª safra'!$E16:$Z16,MIN(AE$6-$E$3,22))&lt;&gt;""),'Feijão 1ª safra'!$E16:INDEX('Feijão 1ª safra'!$E16:$Z16,MIN(AE$6-$E$3,22))),0))-IF($G$2,0,IF((AE$6-$G$3)&lt;1,0,IFERROR(LOOKUP(2,1/('Feijão 1ª safra'!$E16:INDEX('Feijão 1ª safra'!$E16:$Z16,MIN(AE$6-$G$3,22))&lt;&gt;""),'Feijão 1ª safra'!$E16:INDEX('Feijão 1ª safra'!$E16:$Z16,MIN(AE$6-$G$3,22))),0)))))</f>
        <v>0</v>
      </c>
      <c r="AF18" s="27" t="n">
        <f aca="false">IF(COUNT('Feijão 1ª safra'!$E16:$Z16)=0,0,MAX(0,IF((AF$6-$E$3)&lt;1,0,IFERROR(LOOKUP(2,1/('Feijão 1ª safra'!$E16:INDEX('Feijão 1ª safra'!$E16:$Z16,MIN(AF$6-$E$3,22))&lt;&gt;""),'Feijão 1ª safra'!$E16:INDEX('Feijão 1ª safra'!$E16:$Z16,MIN(AF$6-$E$3,22))),0))-IF($G$2,0,IF((AF$6-$G$3)&lt;1,0,IFERROR(LOOKUP(2,1/('Feijão 1ª safra'!$E16:INDEX('Feijão 1ª safra'!$E16:$Z16,MIN(AF$6-$G$3,22))&lt;&gt;""),'Feijão 1ª safra'!$E16:INDEX('Feijão 1ª safra'!$E16:$Z16,MIN(AF$6-$G$3,22))),0)))))</f>
        <v>0</v>
      </c>
      <c r="AG18" s="27" t="n">
        <f aca="false">IF(COUNT('Feijão 1ª safra'!$E16:$Z16)=0,0,MAX(0,IF((AG$6-$E$3)&lt;1,0,IFERROR(LOOKUP(2,1/('Feijão 1ª safra'!$E16:INDEX('Feijão 1ª safra'!$E16:$Z16,MIN(AG$6-$E$3,22))&lt;&gt;""),'Feijão 1ª safra'!$E16:INDEX('Feijão 1ª safra'!$E16:$Z16,MIN(AG$6-$E$3,22))),0))-IF($G$2,0,IF((AG$6-$G$3)&lt;1,0,IFERROR(LOOKUP(2,1/('Feijão 1ª safra'!$E16:INDEX('Feijão 1ª safra'!$E16:$Z16,MIN(AG$6-$G$3,22))&lt;&gt;""),'Feijão 1ª safra'!$E16:INDEX('Feijão 1ª safra'!$E16:$Z16,MIN(AG$6-$G$3,22))),0)))))</f>
        <v>0</v>
      </c>
      <c r="AH18" s="27" t="n">
        <f aca="false">IF(COUNT('Feijão 1ª safra'!$E16:$Z16)=0,0,MAX(0,IF((AH$6-$E$3)&lt;1,0,IFERROR(LOOKUP(2,1/('Feijão 1ª safra'!$E16:INDEX('Feijão 1ª safra'!$E16:$Z16,MIN(AH$6-$E$3,22))&lt;&gt;""),'Feijão 1ª safra'!$E16:INDEX('Feijão 1ª safra'!$E16:$Z16,MIN(AH$6-$E$3,22))),0))-IF($G$2,0,IF((AH$6-$G$3)&lt;1,0,IFERROR(LOOKUP(2,1/('Feijão 1ª safra'!$E16:INDEX('Feijão 1ª safra'!$E16:$Z16,MIN(AH$6-$G$3,22))&lt;&gt;""),'Feijão 1ª safra'!$E16:INDEX('Feijão 1ª safra'!$E16:$Z16,MIN(AH$6-$G$3,22))),0)))))</f>
        <v>0</v>
      </c>
      <c r="AI18" s="27" t="n">
        <f aca="false">IF(COUNT('Feijão 1ª safra'!$E16:$Z16)=0,0,MAX(0,IF((AI$6-$E$3)&lt;1,0,IFERROR(LOOKUP(2,1/('Feijão 1ª safra'!$E16:INDEX('Feijão 1ª safra'!$E16:$Z16,MIN(AI$6-$E$3,22))&lt;&gt;""),'Feijão 1ª safra'!$E16:INDEX('Feijão 1ª safra'!$E16:$Z16,MIN(AI$6-$E$3,22))),0))-IF($G$2,0,IF((AI$6-$G$3)&lt;1,0,IFERROR(LOOKUP(2,1/('Feijão 1ª safra'!$E16:INDEX('Feijão 1ª safra'!$E16:$Z16,MIN(AI$6-$G$3,22))&lt;&gt;""),'Feijão 1ª safra'!$E16:INDEX('Feijão 1ª safra'!$E16:$Z16,MIN(AI$6-$G$3,22))),0)))))</f>
        <v>0</v>
      </c>
      <c r="AJ18" s="27" t="n">
        <f aca="false">IF(COUNT('Feijão 1ª safra'!$E16:$Z16)=0,0,MAX(0,IF((AJ$6-$E$3)&lt;1,0,IFERROR(LOOKUP(2,1/('Feijão 1ª safra'!$E16:INDEX('Feijão 1ª safra'!$E16:$Z16,MIN(AJ$6-$E$3,22))&lt;&gt;""),'Feijão 1ª safra'!$E16:INDEX('Feijão 1ª safra'!$E16:$Z16,MIN(AJ$6-$E$3,22))),0))-IF($G$2,0,IF((AJ$6-$G$3)&lt;1,0,IFERROR(LOOKUP(2,1/('Feijão 1ª safra'!$E16:INDEX('Feijão 1ª safra'!$E16:$Z16,MIN(AJ$6-$G$3,22))&lt;&gt;""),'Feijão 1ª safra'!$E16:INDEX('Feijão 1ª safra'!$E16:$Z16,MIN(AJ$6-$G$3,22))),0)))))</f>
        <v>0</v>
      </c>
      <c r="AK18" s="27" t="n">
        <f aca="false">IF(COUNT('Feijão 1ª safra'!$E16:$Z16)=0,0,MAX(0,IF((AK$6-$E$3)&lt;1,0,IFERROR(LOOKUP(2,1/('Feijão 1ª safra'!$E16:INDEX('Feijão 1ª safra'!$E16:$Z16,MIN(AK$6-$E$3,22))&lt;&gt;""),'Feijão 1ª safra'!$E16:INDEX('Feijão 1ª safra'!$E16:$Z16,MIN(AK$6-$E$3,22))),0))-IF($G$2,0,IF((AK$6-$G$3)&lt;1,0,IFERROR(LOOKUP(2,1/('Feijão 1ª safra'!$E16:INDEX('Feijão 1ª safra'!$E16:$Z16,MIN(AK$6-$G$3,22))&lt;&gt;""),'Feijão 1ª safra'!$E16:INDEX('Feijão 1ª safra'!$E16:$Z16,MIN(AK$6-$G$3,22))),0)))))</f>
        <v>0</v>
      </c>
      <c r="AL18" s="27" t="n">
        <f aca="false">IF(COUNT('Feijão 1ª safra'!$E16:$Z16)=0,0,MAX(0,IF((AL$6-$E$3)&lt;1,0,IFERROR(LOOKUP(2,1/('Feijão 1ª safra'!$E16:INDEX('Feijão 1ª safra'!$E16:$Z16,MIN(AL$6-$E$3,22))&lt;&gt;""),'Feijão 1ª safra'!$E16:INDEX('Feijão 1ª safra'!$E16:$Z16,MIN(AL$6-$E$3,22))),0))-IF($G$2,0,IF((AL$6-$G$3)&lt;1,0,IFERROR(LOOKUP(2,1/('Feijão 1ª safra'!$E16:INDEX('Feijão 1ª safra'!$E16:$Z16,MIN(AL$6-$G$3,22))&lt;&gt;""),'Feijão 1ª safra'!$E16:INDEX('Feijão 1ª safra'!$E16:$Z16,MIN(AL$6-$G$3,22))),0)))))</f>
        <v>0</v>
      </c>
      <c r="AM18" s="27" t="n">
        <f aca="false">IF(COUNT('Feijão 1ª safra'!$E16:$Z16)=0,0,MAX(0,IF((AM$6-$E$3)&lt;1,0,IFERROR(LOOKUP(2,1/('Feijão 1ª safra'!$E16:INDEX('Feijão 1ª safra'!$E16:$Z16,MIN(AM$6-$E$3,22))&lt;&gt;""),'Feijão 1ª safra'!$E16:INDEX('Feijão 1ª safra'!$E16:$Z16,MIN(AM$6-$E$3,22))),0))-IF($G$2,0,IF((AM$6-$G$3)&lt;1,0,IFERROR(LOOKUP(2,1/('Feijão 1ª safra'!$E16:INDEX('Feijão 1ª safra'!$E16:$Z16,MIN(AM$6-$G$3,22))&lt;&gt;""),'Feijão 1ª safra'!$E16:INDEX('Feijão 1ª safra'!$E16:$Z16,MIN(AM$6-$G$3,22))),0)))))</f>
        <v>0</v>
      </c>
      <c r="AN18" s="27" t="n">
        <f aca="false">IF(COUNT('Feijão 1ª safra'!$E16:$Z16)=0,0,MAX(0,IF((AN$6-$E$3)&lt;1,0,IFERROR(LOOKUP(2,1/('Feijão 1ª safra'!$E16:INDEX('Feijão 1ª safra'!$E16:$Z16,MIN(AN$6-$E$3,22))&lt;&gt;""),'Feijão 1ª safra'!$E16:INDEX('Feijão 1ª safra'!$E16:$Z16,MIN(AN$6-$E$3,22))),0))-IF($G$2,0,IF((AN$6-$G$3)&lt;1,0,IFERROR(LOOKUP(2,1/('Feijão 1ª safra'!$E16:INDEX('Feijão 1ª safra'!$E16:$Z16,MIN(AN$6-$G$3,22))&lt;&gt;""),'Feijão 1ª safra'!$E16:INDEX('Feijão 1ª safra'!$E16:$Z16,MIN(AN$6-$G$3,22))),0)))))</f>
        <v>0</v>
      </c>
      <c r="AO18" s="27" t="n">
        <f aca="false">IF(COUNT('Feijão 1ª safra'!$E16:$Z16)=0,0,MAX(0,IF((AO$6-$E$3)&lt;1,0,IFERROR(LOOKUP(2,1/('Feijão 1ª safra'!$E16:INDEX('Feijão 1ª safra'!$E16:$Z16,MIN(AO$6-$E$3,22))&lt;&gt;""),'Feijão 1ª safra'!$E16:INDEX('Feijão 1ª safra'!$E16:$Z16,MIN(AO$6-$E$3,22))),0))-IF($G$2,0,IF((AO$6-$G$3)&lt;1,0,IFERROR(LOOKUP(2,1/('Feijão 1ª safra'!$E16:INDEX('Feijão 1ª safra'!$E16:$Z16,MIN(AO$6-$G$3,22))&lt;&gt;""),'Feijão 1ª safra'!$E16:INDEX('Feijão 1ª safra'!$E16:$Z16,MIN(AO$6-$G$3,22))),0)))))</f>
        <v>0</v>
      </c>
      <c r="AP18" s="27" t="n">
        <f aca="false">IF(COUNT('Feijão 1ª safra'!$E16:$Z16)=0,0,MAX(0,IF((AP$6-$E$3)&lt;1,0,IFERROR(LOOKUP(2,1/('Feijão 1ª safra'!$E16:INDEX('Feijão 1ª safra'!$E16:$Z16,MIN(AP$6-$E$3,22))&lt;&gt;""),'Feijão 1ª safra'!$E16:INDEX('Feijão 1ª safra'!$E16:$Z16,MIN(AP$6-$E$3,22))),0))-IF($G$2,0,IF((AP$6-$G$3)&lt;1,0,IFERROR(LOOKUP(2,1/('Feijão 1ª safra'!$E16:INDEX('Feijão 1ª safra'!$E16:$Z16,MIN(AP$6-$G$3,22))&lt;&gt;""),'Feijão 1ª safra'!$E16:INDEX('Feijão 1ª safra'!$E16:$Z16,MIN(AP$6-$G$3,22))),0)))))</f>
        <v>0</v>
      </c>
      <c r="AQ18" s="27" t="n">
        <f aca="false">IF(COUNT('Feijão 1ª safra'!$E16:$Z16)=0,0,MAX(0,IF((AQ$6-$E$3)&lt;1,0,IFERROR(LOOKUP(2,1/('Feijão 1ª safra'!$E16:INDEX('Feijão 1ª safra'!$E16:$Z16,MIN(AQ$6-$E$3,22))&lt;&gt;""),'Feijão 1ª safra'!$E16:INDEX('Feijão 1ª safra'!$E16:$Z16,MIN(AQ$6-$E$3,22))),0))-IF($G$2,0,IF((AQ$6-$G$3)&lt;1,0,IFERROR(LOOKUP(2,1/('Feijão 1ª safra'!$E16:INDEX('Feijão 1ª safra'!$E16:$Z16,MIN(AQ$6-$G$3,22))&lt;&gt;""),'Feijão 1ª safra'!$E16:INDEX('Feijão 1ª safra'!$E16:$Z16,MIN(AQ$6-$G$3,22))),0)))))</f>
        <v>0</v>
      </c>
      <c r="AR18" s="27" t="n">
        <f aca="false">IF(COUNT('Feijão 1ª safra'!$E16:$Z16)=0,0,MAX(0,IF((AR$6-$E$3)&lt;1,0,IFERROR(LOOKUP(2,1/('Feijão 1ª safra'!$E16:INDEX('Feijão 1ª safra'!$E16:$Z16,MIN(AR$6-$E$3,22))&lt;&gt;""),'Feijão 1ª safra'!$E16:INDEX('Feijão 1ª safra'!$E16:$Z16,MIN(AR$6-$E$3,22))),0))-IF($G$2,0,IF((AR$6-$G$3)&lt;1,0,IFERROR(LOOKUP(2,1/('Feijão 1ª safra'!$E16:INDEX('Feijão 1ª safra'!$E16:$Z16,MIN(AR$6-$G$3,22))&lt;&gt;""),'Feijão 1ª safra'!$E16:INDEX('Feijão 1ª safra'!$E16:$Z16,MIN(AR$6-$G$3,22))),0)))))</f>
        <v>0</v>
      </c>
      <c r="AS18" s="27" t="n">
        <f aca="false">IF(COUNT('Feijão 1ª safra'!$E16:$Z16)=0,0,MAX(0,IF((AS$6-$E$3)&lt;1,0,IFERROR(LOOKUP(2,1/('Feijão 1ª safra'!$E16:INDEX('Feijão 1ª safra'!$E16:$Z16,MIN(AS$6-$E$3,22))&lt;&gt;""),'Feijão 1ª safra'!$E16:INDEX('Feijão 1ª safra'!$E16:$Z16,MIN(AS$6-$E$3,22))),0))-IF($G$2,0,IF((AS$6-$G$3)&lt;1,0,IFERROR(LOOKUP(2,1/('Feijão 1ª safra'!$E16:INDEX('Feijão 1ª safra'!$E16:$Z16,MIN(AS$6-$G$3,22))&lt;&gt;""),'Feijão 1ª safra'!$E16:INDEX('Feijão 1ª safra'!$E16:$Z16,MIN(AS$6-$G$3,22))),0)))))</f>
        <v>0</v>
      </c>
      <c r="AT18" s="27" t="n">
        <f aca="false">IF(COUNT('Feijão 1ª safra'!$E16:$Z16)=0,0,MAX(0,IF((AT$6-$E$3)&lt;1,0,IFERROR(LOOKUP(2,1/('Feijão 1ª safra'!$E16:INDEX('Feijão 1ª safra'!$E16:$Z16,MIN(AT$6-$E$3,22))&lt;&gt;""),'Feijão 1ª safra'!$E16:INDEX('Feijão 1ª safra'!$E16:$Z16,MIN(AT$6-$E$3,22))),0))-IF($G$2,0,IF((AT$6-$G$3)&lt;1,0,IFERROR(LOOKUP(2,1/('Feijão 1ª safra'!$E16:INDEX('Feijão 1ª safra'!$E16:$Z16,MIN(AT$6-$G$3,22))&lt;&gt;""),'Feijão 1ª safra'!$E16:INDEX('Feijão 1ª safra'!$E16:$Z16,MIN(AT$6-$G$3,22))),0)))))</f>
        <v>0</v>
      </c>
      <c r="AU18" s="27" t="n">
        <f aca="false">IF(COUNT('Feijão 1ª safra'!$E16:$Z16)=0,0,MAX(0,IF((AU$6-$E$3)&lt;1,0,IFERROR(LOOKUP(2,1/('Feijão 1ª safra'!$E16:INDEX('Feijão 1ª safra'!$E16:$Z16,MIN(AU$6-$E$3,22))&lt;&gt;""),'Feijão 1ª safra'!$E16:INDEX('Feijão 1ª safra'!$E16:$Z16,MIN(AU$6-$E$3,22))),0))-IF($G$2,0,IF((AU$6-$G$3)&lt;1,0,IFERROR(LOOKUP(2,1/('Feijão 1ª safra'!$E16:INDEX('Feijão 1ª safra'!$E16:$Z16,MIN(AU$6-$G$3,22))&lt;&gt;""),'Feijão 1ª safra'!$E16:INDEX('Feijão 1ª safra'!$E16:$Z16,MIN(AU$6-$G$3,22))),0)))))</f>
        <v>0</v>
      </c>
      <c r="AV18" s="27" t="n">
        <f aca="false">IF(COUNT('Feijão 1ª safra'!$E16:$Z16)=0,0,MAX(0,IF((AV$6-$E$3)&lt;1,0,IFERROR(LOOKUP(2,1/('Feijão 1ª safra'!$E16:INDEX('Feijão 1ª safra'!$E16:$Z16,MIN(AV$6-$E$3,22))&lt;&gt;""),'Feijão 1ª safra'!$E16:INDEX('Feijão 1ª safra'!$E16:$Z16,MIN(AV$6-$E$3,22))),0))-IF($G$2,0,IF((AV$6-$G$3)&lt;1,0,IFERROR(LOOKUP(2,1/('Feijão 1ª safra'!$E16:INDEX('Feijão 1ª safra'!$E16:$Z16,MIN(AV$6-$G$3,22))&lt;&gt;""),'Feijão 1ª safra'!$E16:INDEX('Feijão 1ª safra'!$E16:$Z16,MIN(AV$6-$G$3,22))),0)))))</f>
        <v>0</v>
      </c>
      <c r="AW18" s="27" t="n">
        <f aca="false">IF(COUNT('Feijão 1ª safra'!$E16:$Z16)=0,0,MAX(0,IF((AW$6-$E$3)&lt;1,0,IFERROR(LOOKUP(2,1/('Feijão 1ª safra'!$E16:INDEX('Feijão 1ª safra'!$E16:$Z16,MIN(AW$6-$E$3,22))&lt;&gt;""),'Feijão 1ª safra'!$E16:INDEX('Feijão 1ª safra'!$E16:$Z16,MIN(AW$6-$E$3,22))),0))-IF($G$2,0,IF((AW$6-$G$3)&lt;1,0,IFERROR(LOOKUP(2,1/('Feijão 1ª safra'!$E16:INDEX('Feijão 1ª safra'!$E16:$Z16,MIN(AW$6-$G$3,22))&lt;&gt;""),'Feijão 1ª safra'!$E16:INDEX('Feijão 1ª safra'!$E16:$Z16,MIN(AW$6-$G$3,22))),0)))))</f>
        <v>0</v>
      </c>
      <c r="AX18" s="27" t="n">
        <f aca="false">IF(COUNT('Feijão 1ª safra'!$E16:$Z16)=0,0,MAX(0,IF((AX$6-$E$3)&lt;1,0,IFERROR(LOOKUP(2,1/('Feijão 1ª safra'!$E16:INDEX('Feijão 1ª safra'!$E16:$Z16,MIN(AX$6-$E$3,22))&lt;&gt;""),'Feijão 1ª safra'!$E16:INDEX('Feijão 1ª safra'!$E16:$Z16,MIN(AX$6-$E$3,22))),0))-IF($G$2,0,IF((AX$6-$G$3)&lt;1,0,IFERROR(LOOKUP(2,1/('Feijão 1ª safra'!$E16:INDEX('Feijão 1ª safra'!$E16:$Z16,MIN(AX$6-$G$3,22))&lt;&gt;""),'Feijão 1ª safra'!$E16:INDEX('Feijão 1ª safra'!$E16:$Z16,MIN(AX$6-$G$3,22))),0)))))</f>
        <v>0</v>
      </c>
      <c r="AY18" s="27" t="n">
        <f aca="false">IF(COUNT('Feijão 1ª safra'!$E16:$Z16)=0,0,MAX(0,IF((AY$6-$E$3)&lt;1,0,IFERROR(LOOKUP(2,1/('Feijão 1ª safra'!$E16:INDEX('Feijão 1ª safra'!$E16:$Z16,MIN(AY$6-$E$3,22))&lt;&gt;""),'Feijão 1ª safra'!$E16:INDEX('Feijão 1ª safra'!$E16:$Z16,MIN(AY$6-$E$3,22))),0))-IF($G$2,0,IF((AY$6-$G$3)&lt;1,0,IFERROR(LOOKUP(2,1/('Feijão 1ª safra'!$E16:INDEX('Feijão 1ª safra'!$E16:$Z16,MIN(AY$6-$G$3,22))&lt;&gt;""),'Feijão 1ª safra'!$E16:INDEX('Feijão 1ª safra'!$E16:$Z16,MIN(AY$6-$G$3,22))),0)))))</f>
        <v>0</v>
      </c>
      <c r="AZ18" s="27" t="n">
        <f aca="false">IF(COUNT('Feijão 1ª safra'!$E16:$Z16)=0,0,MAX(0,IF((AZ$6-$E$3)&lt;1,0,IFERROR(LOOKUP(2,1/('Feijão 1ª safra'!$E16:INDEX('Feijão 1ª safra'!$E16:$Z16,MIN(AZ$6-$E$3,22))&lt;&gt;""),'Feijão 1ª safra'!$E16:INDEX('Feijão 1ª safra'!$E16:$Z16,MIN(AZ$6-$E$3,22))),0))-IF($G$2,0,IF((AZ$6-$G$3)&lt;1,0,IFERROR(LOOKUP(2,1/('Feijão 1ª safra'!$E16:INDEX('Feijão 1ª safra'!$E16:$Z16,MIN(AZ$6-$G$3,22))&lt;&gt;""),'Feijão 1ª safra'!$E16:INDEX('Feijão 1ª safra'!$E16:$Z16,MIN(AZ$6-$G$3,22))),0)))))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IF(COUNT('Feijão 1ª safra'!$E17:$Z17)&gt;0,N('Feijão 1ª safra'!$D17),0)</f>
        <v>0</v>
      </c>
      <c r="E19" s="27" t="n">
        <f aca="false">IF(COUNT('Feijão 1ª safra'!$E17:$Z17)=0,0,MAX(0,IF((E$6-$E$3)&lt;1,0,IFERROR(LOOKUP(2,1/('Feijão 1ª safra'!$E17:INDEX('Feijão 1ª safra'!$E17:$Z17,MIN(E$6-$E$3,22))&lt;&gt;""),'Feijão 1ª safra'!$E17:INDEX('Feijão 1ª safra'!$E17:$Z17,MIN(E$6-$E$3,22))),0))-IF($G$2,0,IF((E$6-$G$3)&lt;1,0,IFERROR(LOOKUP(2,1/('Feijão 1ª safra'!$E17:INDEX('Feijão 1ª safra'!$E17:$Z17,MIN(E$6-$G$3,22))&lt;&gt;""),'Feijão 1ª safra'!$E17:INDEX('Feijão 1ª safra'!$E17:$Z17,MIN(E$6-$G$3,22))),0)))))</f>
        <v>0</v>
      </c>
      <c r="F19" s="27" t="n">
        <f aca="false">IF(COUNT('Feijão 1ª safra'!$E17:$Z17)=0,0,MAX(0,IF((F$6-$E$3)&lt;1,0,IFERROR(LOOKUP(2,1/('Feijão 1ª safra'!$E17:INDEX('Feijão 1ª safra'!$E17:$Z17,MIN(F$6-$E$3,22))&lt;&gt;""),'Feijão 1ª safra'!$E17:INDEX('Feijão 1ª safra'!$E17:$Z17,MIN(F$6-$E$3,22))),0))-IF($G$2,0,IF((F$6-$G$3)&lt;1,0,IFERROR(LOOKUP(2,1/('Feijão 1ª safra'!$E17:INDEX('Feijão 1ª safra'!$E17:$Z17,MIN(F$6-$G$3,22))&lt;&gt;""),'Feijão 1ª safra'!$E17:INDEX('Feijão 1ª safra'!$E17:$Z17,MIN(F$6-$G$3,22))),0)))))</f>
        <v>0</v>
      </c>
      <c r="G19" s="27" t="n">
        <f aca="false">IF(COUNT('Feijão 1ª safra'!$E17:$Z17)=0,0,MAX(0,IF((G$6-$E$3)&lt;1,0,IFERROR(LOOKUP(2,1/('Feijão 1ª safra'!$E17:INDEX('Feijão 1ª safra'!$E17:$Z17,MIN(G$6-$E$3,22))&lt;&gt;""),'Feijão 1ª safra'!$E17:INDEX('Feijão 1ª safra'!$E17:$Z17,MIN(G$6-$E$3,22))),0))-IF($G$2,0,IF((G$6-$G$3)&lt;1,0,IFERROR(LOOKUP(2,1/('Feijão 1ª safra'!$E17:INDEX('Feijão 1ª safra'!$E17:$Z17,MIN(G$6-$G$3,22))&lt;&gt;""),'Feijão 1ª safra'!$E17:INDEX('Feijão 1ª safra'!$E17:$Z17,MIN(G$6-$G$3,22))),0)))))</f>
        <v>0</v>
      </c>
      <c r="H19" s="27" t="n">
        <f aca="false">IF(COUNT('Feijão 1ª safra'!$E17:$Z17)=0,0,MAX(0,IF((H$6-$E$3)&lt;1,0,IFERROR(LOOKUP(2,1/('Feijão 1ª safra'!$E17:INDEX('Feijão 1ª safra'!$E17:$Z17,MIN(H$6-$E$3,22))&lt;&gt;""),'Feijão 1ª safra'!$E17:INDEX('Feijão 1ª safra'!$E17:$Z17,MIN(H$6-$E$3,22))),0))-IF($G$2,0,IF((H$6-$G$3)&lt;1,0,IFERROR(LOOKUP(2,1/('Feijão 1ª safra'!$E17:INDEX('Feijão 1ª safra'!$E17:$Z17,MIN(H$6-$G$3,22))&lt;&gt;""),'Feijão 1ª safra'!$E17:INDEX('Feijão 1ª safra'!$E17:$Z17,MIN(H$6-$G$3,22))),0)))))</f>
        <v>0</v>
      </c>
      <c r="I19" s="27" t="n">
        <f aca="false">IF(COUNT('Feijão 1ª safra'!$E17:$Z17)=0,0,MAX(0,IF((I$6-$E$3)&lt;1,0,IFERROR(LOOKUP(2,1/('Feijão 1ª safra'!$E17:INDEX('Feijão 1ª safra'!$E17:$Z17,MIN(I$6-$E$3,22))&lt;&gt;""),'Feijão 1ª safra'!$E17:INDEX('Feijão 1ª safra'!$E17:$Z17,MIN(I$6-$E$3,22))),0))-IF($G$2,0,IF((I$6-$G$3)&lt;1,0,IFERROR(LOOKUP(2,1/('Feijão 1ª safra'!$E17:INDEX('Feijão 1ª safra'!$E17:$Z17,MIN(I$6-$G$3,22))&lt;&gt;""),'Feijão 1ª safra'!$E17:INDEX('Feijão 1ª safra'!$E17:$Z17,MIN(I$6-$G$3,22))),0)))))</f>
        <v>0</v>
      </c>
      <c r="J19" s="27" t="n">
        <f aca="false">IF(COUNT('Feijão 1ª safra'!$E17:$Z17)=0,0,MAX(0,IF((J$6-$E$3)&lt;1,0,IFERROR(LOOKUP(2,1/('Feijão 1ª safra'!$E17:INDEX('Feijão 1ª safra'!$E17:$Z17,MIN(J$6-$E$3,22))&lt;&gt;""),'Feijão 1ª safra'!$E17:INDEX('Feijão 1ª safra'!$E17:$Z17,MIN(J$6-$E$3,22))),0))-IF($G$2,0,IF((J$6-$G$3)&lt;1,0,IFERROR(LOOKUP(2,1/('Feijão 1ª safra'!$E17:INDEX('Feijão 1ª safra'!$E17:$Z17,MIN(J$6-$G$3,22))&lt;&gt;""),'Feijão 1ª safra'!$E17:INDEX('Feijão 1ª safra'!$E17:$Z17,MIN(J$6-$G$3,22))),0)))))</f>
        <v>0</v>
      </c>
      <c r="K19" s="27" t="n">
        <f aca="false">IF(COUNT('Feijão 1ª safra'!$E17:$Z17)=0,0,MAX(0,IF((K$6-$E$3)&lt;1,0,IFERROR(LOOKUP(2,1/('Feijão 1ª safra'!$E17:INDEX('Feijão 1ª safra'!$E17:$Z17,MIN(K$6-$E$3,22))&lt;&gt;""),'Feijão 1ª safra'!$E17:INDEX('Feijão 1ª safra'!$E17:$Z17,MIN(K$6-$E$3,22))),0))-IF($G$2,0,IF((K$6-$G$3)&lt;1,0,IFERROR(LOOKUP(2,1/('Feijão 1ª safra'!$E17:INDEX('Feijão 1ª safra'!$E17:$Z17,MIN(K$6-$G$3,22))&lt;&gt;""),'Feijão 1ª safra'!$E17:INDEX('Feijão 1ª safra'!$E17:$Z17,MIN(K$6-$G$3,22))),0)))))</f>
        <v>0</v>
      </c>
      <c r="L19" s="27" t="n">
        <f aca="false">IF(COUNT('Feijão 1ª safra'!$E17:$Z17)=0,0,MAX(0,IF((L$6-$E$3)&lt;1,0,IFERROR(LOOKUP(2,1/('Feijão 1ª safra'!$E17:INDEX('Feijão 1ª safra'!$E17:$Z17,MIN(L$6-$E$3,22))&lt;&gt;""),'Feijão 1ª safra'!$E17:INDEX('Feijão 1ª safra'!$E17:$Z17,MIN(L$6-$E$3,22))),0))-IF($G$2,0,IF((L$6-$G$3)&lt;1,0,IFERROR(LOOKUP(2,1/('Feijão 1ª safra'!$E17:INDEX('Feijão 1ª safra'!$E17:$Z17,MIN(L$6-$G$3,22))&lt;&gt;""),'Feijão 1ª safra'!$E17:INDEX('Feijão 1ª safra'!$E17:$Z17,MIN(L$6-$G$3,22))),0)))))</f>
        <v>0</v>
      </c>
      <c r="M19" s="27" t="n">
        <f aca="false">IF(COUNT('Feijão 1ª safra'!$E17:$Z17)=0,0,MAX(0,IF((M$6-$E$3)&lt;1,0,IFERROR(LOOKUP(2,1/('Feijão 1ª safra'!$E17:INDEX('Feijão 1ª safra'!$E17:$Z17,MIN(M$6-$E$3,22))&lt;&gt;""),'Feijão 1ª safra'!$E17:INDEX('Feijão 1ª safra'!$E17:$Z17,MIN(M$6-$E$3,22))),0))-IF($G$2,0,IF((M$6-$G$3)&lt;1,0,IFERROR(LOOKUP(2,1/('Feijão 1ª safra'!$E17:INDEX('Feijão 1ª safra'!$E17:$Z17,MIN(M$6-$G$3,22))&lt;&gt;""),'Feijão 1ª safra'!$E17:INDEX('Feijão 1ª safra'!$E17:$Z17,MIN(M$6-$G$3,22))),0)))))</f>
        <v>0</v>
      </c>
      <c r="N19" s="27" t="n">
        <f aca="false">IF(COUNT('Feijão 1ª safra'!$E17:$Z17)=0,0,MAX(0,IF((N$6-$E$3)&lt;1,0,IFERROR(LOOKUP(2,1/('Feijão 1ª safra'!$E17:INDEX('Feijão 1ª safra'!$E17:$Z17,MIN(N$6-$E$3,22))&lt;&gt;""),'Feijão 1ª safra'!$E17:INDEX('Feijão 1ª safra'!$E17:$Z17,MIN(N$6-$E$3,22))),0))-IF($G$2,0,IF((N$6-$G$3)&lt;1,0,IFERROR(LOOKUP(2,1/('Feijão 1ª safra'!$E17:INDEX('Feijão 1ª safra'!$E17:$Z17,MIN(N$6-$G$3,22))&lt;&gt;""),'Feijão 1ª safra'!$E17:INDEX('Feijão 1ª safra'!$E17:$Z17,MIN(N$6-$G$3,22))),0)))))</f>
        <v>0</v>
      </c>
      <c r="O19" s="27" t="n">
        <f aca="false">IF(COUNT('Feijão 1ª safra'!$E17:$Z17)=0,0,MAX(0,IF((O$6-$E$3)&lt;1,0,IFERROR(LOOKUP(2,1/('Feijão 1ª safra'!$E17:INDEX('Feijão 1ª safra'!$E17:$Z17,MIN(O$6-$E$3,22))&lt;&gt;""),'Feijão 1ª safra'!$E17:INDEX('Feijão 1ª safra'!$E17:$Z17,MIN(O$6-$E$3,22))),0))-IF($G$2,0,IF((O$6-$G$3)&lt;1,0,IFERROR(LOOKUP(2,1/('Feijão 1ª safra'!$E17:INDEX('Feijão 1ª safra'!$E17:$Z17,MIN(O$6-$G$3,22))&lt;&gt;""),'Feijão 1ª safra'!$E17:INDEX('Feijão 1ª safra'!$E17:$Z17,MIN(O$6-$G$3,22))),0)))))</f>
        <v>0</v>
      </c>
      <c r="P19" s="27" t="n">
        <f aca="false">IF(COUNT('Feijão 1ª safra'!$E17:$Z17)=0,0,MAX(0,IF((P$6-$E$3)&lt;1,0,IFERROR(LOOKUP(2,1/('Feijão 1ª safra'!$E17:INDEX('Feijão 1ª safra'!$E17:$Z17,MIN(P$6-$E$3,22))&lt;&gt;""),'Feijão 1ª safra'!$E17:INDEX('Feijão 1ª safra'!$E17:$Z17,MIN(P$6-$E$3,22))),0))-IF($G$2,0,IF((P$6-$G$3)&lt;1,0,IFERROR(LOOKUP(2,1/('Feijão 1ª safra'!$E17:INDEX('Feijão 1ª safra'!$E17:$Z17,MIN(P$6-$G$3,22))&lt;&gt;""),'Feijão 1ª safra'!$E17:INDEX('Feijão 1ª safra'!$E17:$Z17,MIN(P$6-$G$3,22))),0)))))</f>
        <v>0</v>
      </c>
      <c r="Q19" s="27" t="n">
        <f aca="false">IF(COUNT('Feijão 1ª safra'!$E17:$Z17)=0,0,MAX(0,IF((Q$6-$E$3)&lt;1,0,IFERROR(LOOKUP(2,1/('Feijão 1ª safra'!$E17:INDEX('Feijão 1ª safra'!$E17:$Z17,MIN(Q$6-$E$3,22))&lt;&gt;""),'Feijão 1ª safra'!$E17:INDEX('Feijão 1ª safra'!$E17:$Z17,MIN(Q$6-$E$3,22))),0))-IF($G$2,0,IF((Q$6-$G$3)&lt;1,0,IFERROR(LOOKUP(2,1/('Feijão 1ª safra'!$E17:INDEX('Feijão 1ª safra'!$E17:$Z17,MIN(Q$6-$G$3,22))&lt;&gt;""),'Feijão 1ª safra'!$E17:INDEX('Feijão 1ª safra'!$E17:$Z17,MIN(Q$6-$G$3,22))),0)))))</f>
        <v>0</v>
      </c>
      <c r="R19" s="27" t="n">
        <f aca="false">IF(COUNT('Feijão 1ª safra'!$E17:$Z17)=0,0,MAX(0,IF((R$6-$E$3)&lt;1,0,IFERROR(LOOKUP(2,1/('Feijão 1ª safra'!$E17:INDEX('Feijão 1ª safra'!$E17:$Z17,MIN(R$6-$E$3,22))&lt;&gt;""),'Feijão 1ª safra'!$E17:INDEX('Feijão 1ª safra'!$E17:$Z17,MIN(R$6-$E$3,22))),0))-IF($G$2,0,IF((R$6-$G$3)&lt;1,0,IFERROR(LOOKUP(2,1/('Feijão 1ª safra'!$E17:INDEX('Feijão 1ª safra'!$E17:$Z17,MIN(R$6-$G$3,22))&lt;&gt;""),'Feijão 1ª safra'!$E17:INDEX('Feijão 1ª safra'!$E17:$Z17,MIN(R$6-$G$3,22))),0)))))</f>
        <v>0</v>
      </c>
      <c r="S19" s="27" t="n">
        <f aca="false">IF(COUNT('Feijão 1ª safra'!$E17:$Z17)=0,0,MAX(0,IF((S$6-$E$3)&lt;1,0,IFERROR(LOOKUP(2,1/('Feijão 1ª safra'!$E17:INDEX('Feijão 1ª safra'!$E17:$Z17,MIN(S$6-$E$3,22))&lt;&gt;""),'Feijão 1ª safra'!$E17:INDEX('Feijão 1ª safra'!$E17:$Z17,MIN(S$6-$E$3,22))),0))-IF($G$2,0,IF((S$6-$G$3)&lt;1,0,IFERROR(LOOKUP(2,1/('Feijão 1ª safra'!$E17:INDEX('Feijão 1ª safra'!$E17:$Z17,MIN(S$6-$G$3,22))&lt;&gt;""),'Feijão 1ª safra'!$E17:INDEX('Feijão 1ª safra'!$E17:$Z17,MIN(S$6-$G$3,22))),0)))))</f>
        <v>0</v>
      </c>
      <c r="T19" s="27" t="n">
        <f aca="false">IF(COUNT('Feijão 1ª safra'!$E17:$Z17)=0,0,MAX(0,IF((T$6-$E$3)&lt;1,0,IFERROR(LOOKUP(2,1/('Feijão 1ª safra'!$E17:INDEX('Feijão 1ª safra'!$E17:$Z17,MIN(T$6-$E$3,22))&lt;&gt;""),'Feijão 1ª safra'!$E17:INDEX('Feijão 1ª safra'!$E17:$Z17,MIN(T$6-$E$3,22))),0))-IF($G$2,0,IF((T$6-$G$3)&lt;1,0,IFERROR(LOOKUP(2,1/('Feijão 1ª safra'!$E17:INDEX('Feijão 1ª safra'!$E17:$Z17,MIN(T$6-$G$3,22))&lt;&gt;""),'Feijão 1ª safra'!$E17:INDEX('Feijão 1ª safra'!$E17:$Z17,MIN(T$6-$G$3,22))),0)))))</f>
        <v>0</v>
      </c>
      <c r="U19" s="27" t="n">
        <f aca="false">IF(COUNT('Feijão 1ª safra'!$E17:$Z17)=0,0,MAX(0,IF((U$6-$E$3)&lt;1,0,IFERROR(LOOKUP(2,1/('Feijão 1ª safra'!$E17:INDEX('Feijão 1ª safra'!$E17:$Z17,MIN(U$6-$E$3,22))&lt;&gt;""),'Feijão 1ª safra'!$E17:INDEX('Feijão 1ª safra'!$E17:$Z17,MIN(U$6-$E$3,22))),0))-IF($G$2,0,IF((U$6-$G$3)&lt;1,0,IFERROR(LOOKUP(2,1/('Feijão 1ª safra'!$E17:INDEX('Feijão 1ª safra'!$E17:$Z17,MIN(U$6-$G$3,22))&lt;&gt;""),'Feijão 1ª safra'!$E17:INDEX('Feijão 1ª safra'!$E17:$Z17,MIN(U$6-$G$3,22))),0)))))</f>
        <v>0</v>
      </c>
      <c r="V19" s="27" t="n">
        <f aca="false">IF(COUNT('Feijão 1ª safra'!$E17:$Z17)=0,0,MAX(0,IF((V$6-$E$3)&lt;1,0,IFERROR(LOOKUP(2,1/('Feijão 1ª safra'!$E17:INDEX('Feijão 1ª safra'!$E17:$Z17,MIN(V$6-$E$3,22))&lt;&gt;""),'Feijão 1ª safra'!$E17:INDEX('Feijão 1ª safra'!$E17:$Z17,MIN(V$6-$E$3,22))),0))-IF($G$2,0,IF((V$6-$G$3)&lt;1,0,IFERROR(LOOKUP(2,1/('Feijão 1ª safra'!$E17:INDEX('Feijão 1ª safra'!$E17:$Z17,MIN(V$6-$G$3,22))&lt;&gt;""),'Feijão 1ª safra'!$E17:INDEX('Feijão 1ª safra'!$E17:$Z17,MIN(V$6-$G$3,22))),0)))))</f>
        <v>0</v>
      </c>
      <c r="W19" s="27" t="n">
        <f aca="false">IF(COUNT('Feijão 1ª safra'!$E17:$Z17)=0,0,MAX(0,IF((W$6-$E$3)&lt;1,0,IFERROR(LOOKUP(2,1/('Feijão 1ª safra'!$E17:INDEX('Feijão 1ª safra'!$E17:$Z17,MIN(W$6-$E$3,22))&lt;&gt;""),'Feijão 1ª safra'!$E17:INDEX('Feijão 1ª safra'!$E17:$Z17,MIN(W$6-$E$3,22))),0))-IF($G$2,0,IF((W$6-$G$3)&lt;1,0,IFERROR(LOOKUP(2,1/('Feijão 1ª safra'!$E17:INDEX('Feijão 1ª safra'!$E17:$Z17,MIN(W$6-$G$3,22))&lt;&gt;""),'Feijão 1ª safra'!$E17:INDEX('Feijão 1ª safra'!$E17:$Z17,MIN(W$6-$G$3,22))),0)))))</f>
        <v>0</v>
      </c>
      <c r="X19" s="27" t="n">
        <f aca="false">IF(COUNT('Feijão 1ª safra'!$E17:$Z17)=0,0,MAX(0,IF((X$6-$E$3)&lt;1,0,IFERROR(LOOKUP(2,1/('Feijão 1ª safra'!$E17:INDEX('Feijão 1ª safra'!$E17:$Z17,MIN(X$6-$E$3,22))&lt;&gt;""),'Feijão 1ª safra'!$E17:INDEX('Feijão 1ª safra'!$E17:$Z17,MIN(X$6-$E$3,22))),0))-IF($G$2,0,IF((X$6-$G$3)&lt;1,0,IFERROR(LOOKUP(2,1/('Feijão 1ª safra'!$E17:INDEX('Feijão 1ª safra'!$E17:$Z17,MIN(X$6-$G$3,22))&lt;&gt;""),'Feijão 1ª safra'!$E17:INDEX('Feijão 1ª safra'!$E17:$Z17,MIN(X$6-$G$3,22))),0)))))</f>
        <v>0</v>
      </c>
      <c r="Y19" s="27" t="n">
        <f aca="false">IF(COUNT('Feijão 1ª safra'!$E17:$Z17)=0,0,MAX(0,IF((Y$6-$E$3)&lt;1,0,IFERROR(LOOKUP(2,1/('Feijão 1ª safra'!$E17:INDEX('Feijão 1ª safra'!$E17:$Z17,MIN(Y$6-$E$3,22))&lt;&gt;""),'Feijão 1ª safra'!$E17:INDEX('Feijão 1ª safra'!$E17:$Z17,MIN(Y$6-$E$3,22))),0))-IF($G$2,0,IF((Y$6-$G$3)&lt;1,0,IFERROR(LOOKUP(2,1/('Feijão 1ª safra'!$E17:INDEX('Feijão 1ª safra'!$E17:$Z17,MIN(Y$6-$G$3,22))&lt;&gt;""),'Feijão 1ª safra'!$E17:INDEX('Feijão 1ª safra'!$E17:$Z17,MIN(Y$6-$G$3,22))),0)))))</f>
        <v>0</v>
      </c>
      <c r="Z19" s="27" t="n">
        <f aca="false">IF(COUNT('Feijão 1ª safra'!$E17:$Z17)=0,0,MAX(0,IF((Z$6-$E$3)&lt;1,0,IFERROR(LOOKUP(2,1/('Feijão 1ª safra'!$E17:INDEX('Feijão 1ª safra'!$E17:$Z17,MIN(Z$6-$E$3,22))&lt;&gt;""),'Feijão 1ª safra'!$E17:INDEX('Feijão 1ª safra'!$E17:$Z17,MIN(Z$6-$E$3,22))),0))-IF($G$2,0,IF((Z$6-$G$3)&lt;1,0,IFERROR(LOOKUP(2,1/('Feijão 1ª safra'!$E17:INDEX('Feijão 1ª safra'!$E17:$Z17,MIN(Z$6-$G$3,22))&lt;&gt;""),'Feijão 1ª safra'!$E17:INDEX('Feijão 1ª safra'!$E17:$Z17,MIN(Z$6-$G$3,22))),0)))))</f>
        <v>0</v>
      </c>
      <c r="AA19" s="27" t="n">
        <f aca="false">IF(COUNT('Feijão 1ª safra'!$E17:$Z17)=0,0,MAX(0,IF((AA$6-$E$3)&lt;1,0,IFERROR(LOOKUP(2,1/('Feijão 1ª safra'!$E17:INDEX('Feijão 1ª safra'!$E17:$Z17,MIN(AA$6-$E$3,22))&lt;&gt;""),'Feijão 1ª safra'!$E17:INDEX('Feijão 1ª safra'!$E17:$Z17,MIN(AA$6-$E$3,22))),0))-IF($G$2,0,IF((AA$6-$G$3)&lt;1,0,IFERROR(LOOKUP(2,1/('Feijão 1ª safra'!$E17:INDEX('Feijão 1ª safra'!$E17:$Z17,MIN(AA$6-$G$3,22))&lt;&gt;""),'Feijão 1ª safra'!$E17:INDEX('Feijão 1ª safra'!$E17:$Z17,MIN(AA$6-$G$3,22))),0)))))</f>
        <v>0</v>
      </c>
      <c r="AB19" s="27" t="n">
        <f aca="false">IF(COUNT('Feijão 1ª safra'!$E17:$Z17)=0,0,MAX(0,IF((AB$6-$E$3)&lt;1,0,IFERROR(LOOKUP(2,1/('Feijão 1ª safra'!$E17:INDEX('Feijão 1ª safra'!$E17:$Z17,MIN(AB$6-$E$3,22))&lt;&gt;""),'Feijão 1ª safra'!$E17:INDEX('Feijão 1ª safra'!$E17:$Z17,MIN(AB$6-$E$3,22))),0))-IF($G$2,0,IF((AB$6-$G$3)&lt;1,0,IFERROR(LOOKUP(2,1/('Feijão 1ª safra'!$E17:INDEX('Feijão 1ª safra'!$E17:$Z17,MIN(AB$6-$G$3,22))&lt;&gt;""),'Feijão 1ª safra'!$E17:INDEX('Feijão 1ª safra'!$E17:$Z17,MIN(AB$6-$G$3,22))),0)))))</f>
        <v>0</v>
      </c>
      <c r="AC19" s="27" t="n">
        <f aca="false">IF(COUNT('Feijão 1ª safra'!$E17:$Z17)=0,0,MAX(0,IF((AC$6-$E$3)&lt;1,0,IFERROR(LOOKUP(2,1/('Feijão 1ª safra'!$E17:INDEX('Feijão 1ª safra'!$E17:$Z17,MIN(AC$6-$E$3,22))&lt;&gt;""),'Feijão 1ª safra'!$E17:INDEX('Feijão 1ª safra'!$E17:$Z17,MIN(AC$6-$E$3,22))),0))-IF($G$2,0,IF((AC$6-$G$3)&lt;1,0,IFERROR(LOOKUP(2,1/('Feijão 1ª safra'!$E17:INDEX('Feijão 1ª safra'!$E17:$Z17,MIN(AC$6-$G$3,22))&lt;&gt;""),'Feijão 1ª safra'!$E17:INDEX('Feijão 1ª safra'!$E17:$Z17,MIN(AC$6-$G$3,22))),0)))))</f>
        <v>0</v>
      </c>
      <c r="AD19" s="27" t="n">
        <f aca="false">IF(COUNT('Feijão 1ª safra'!$E17:$Z17)=0,0,MAX(0,IF((AD$6-$E$3)&lt;1,0,IFERROR(LOOKUP(2,1/('Feijão 1ª safra'!$E17:INDEX('Feijão 1ª safra'!$E17:$Z17,MIN(AD$6-$E$3,22))&lt;&gt;""),'Feijão 1ª safra'!$E17:INDEX('Feijão 1ª safra'!$E17:$Z17,MIN(AD$6-$E$3,22))),0))-IF($G$2,0,IF((AD$6-$G$3)&lt;1,0,IFERROR(LOOKUP(2,1/('Feijão 1ª safra'!$E17:INDEX('Feijão 1ª safra'!$E17:$Z17,MIN(AD$6-$G$3,22))&lt;&gt;""),'Feijão 1ª safra'!$E17:INDEX('Feijão 1ª safra'!$E17:$Z17,MIN(AD$6-$G$3,22))),0)))))</f>
        <v>0</v>
      </c>
      <c r="AE19" s="27" t="n">
        <f aca="false">IF(COUNT('Feijão 1ª safra'!$E17:$Z17)=0,0,MAX(0,IF((AE$6-$E$3)&lt;1,0,IFERROR(LOOKUP(2,1/('Feijão 1ª safra'!$E17:INDEX('Feijão 1ª safra'!$E17:$Z17,MIN(AE$6-$E$3,22))&lt;&gt;""),'Feijão 1ª safra'!$E17:INDEX('Feijão 1ª safra'!$E17:$Z17,MIN(AE$6-$E$3,22))),0))-IF($G$2,0,IF((AE$6-$G$3)&lt;1,0,IFERROR(LOOKUP(2,1/('Feijão 1ª safra'!$E17:INDEX('Feijão 1ª safra'!$E17:$Z17,MIN(AE$6-$G$3,22))&lt;&gt;""),'Feijão 1ª safra'!$E17:INDEX('Feijão 1ª safra'!$E17:$Z17,MIN(AE$6-$G$3,22))),0)))))</f>
        <v>0</v>
      </c>
      <c r="AF19" s="27" t="n">
        <f aca="false">IF(COUNT('Feijão 1ª safra'!$E17:$Z17)=0,0,MAX(0,IF((AF$6-$E$3)&lt;1,0,IFERROR(LOOKUP(2,1/('Feijão 1ª safra'!$E17:INDEX('Feijão 1ª safra'!$E17:$Z17,MIN(AF$6-$E$3,22))&lt;&gt;""),'Feijão 1ª safra'!$E17:INDEX('Feijão 1ª safra'!$E17:$Z17,MIN(AF$6-$E$3,22))),0))-IF($G$2,0,IF((AF$6-$G$3)&lt;1,0,IFERROR(LOOKUP(2,1/('Feijão 1ª safra'!$E17:INDEX('Feijão 1ª safra'!$E17:$Z17,MIN(AF$6-$G$3,22))&lt;&gt;""),'Feijão 1ª safra'!$E17:INDEX('Feijão 1ª safra'!$E17:$Z17,MIN(AF$6-$G$3,22))),0)))))</f>
        <v>0</v>
      </c>
      <c r="AG19" s="27" t="n">
        <f aca="false">IF(COUNT('Feijão 1ª safra'!$E17:$Z17)=0,0,MAX(0,IF((AG$6-$E$3)&lt;1,0,IFERROR(LOOKUP(2,1/('Feijão 1ª safra'!$E17:INDEX('Feijão 1ª safra'!$E17:$Z17,MIN(AG$6-$E$3,22))&lt;&gt;""),'Feijão 1ª safra'!$E17:INDEX('Feijão 1ª safra'!$E17:$Z17,MIN(AG$6-$E$3,22))),0))-IF($G$2,0,IF((AG$6-$G$3)&lt;1,0,IFERROR(LOOKUP(2,1/('Feijão 1ª safra'!$E17:INDEX('Feijão 1ª safra'!$E17:$Z17,MIN(AG$6-$G$3,22))&lt;&gt;""),'Feijão 1ª safra'!$E17:INDEX('Feijão 1ª safra'!$E17:$Z17,MIN(AG$6-$G$3,22))),0)))))</f>
        <v>0</v>
      </c>
      <c r="AH19" s="27" t="n">
        <f aca="false">IF(COUNT('Feijão 1ª safra'!$E17:$Z17)=0,0,MAX(0,IF((AH$6-$E$3)&lt;1,0,IFERROR(LOOKUP(2,1/('Feijão 1ª safra'!$E17:INDEX('Feijão 1ª safra'!$E17:$Z17,MIN(AH$6-$E$3,22))&lt;&gt;""),'Feijão 1ª safra'!$E17:INDEX('Feijão 1ª safra'!$E17:$Z17,MIN(AH$6-$E$3,22))),0))-IF($G$2,0,IF((AH$6-$G$3)&lt;1,0,IFERROR(LOOKUP(2,1/('Feijão 1ª safra'!$E17:INDEX('Feijão 1ª safra'!$E17:$Z17,MIN(AH$6-$G$3,22))&lt;&gt;""),'Feijão 1ª safra'!$E17:INDEX('Feijão 1ª safra'!$E17:$Z17,MIN(AH$6-$G$3,22))),0)))))</f>
        <v>0</v>
      </c>
      <c r="AI19" s="27" t="n">
        <f aca="false">IF(COUNT('Feijão 1ª safra'!$E17:$Z17)=0,0,MAX(0,IF((AI$6-$E$3)&lt;1,0,IFERROR(LOOKUP(2,1/('Feijão 1ª safra'!$E17:INDEX('Feijão 1ª safra'!$E17:$Z17,MIN(AI$6-$E$3,22))&lt;&gt;""),'Feijão 1ª safra'!$E17:INDEX('Feijão 1ª safra'!$E17:$Z17,MIN(AI$6-$E$3,22))),0))-IF($G$2,0,IF((AI$6-$G$3)&lt;1,0,IFERROR(LOOKUP(2,1/('Feijão 1ª safra'!$E17:INDEX('Feijão 1ª safra'!$E17:$Z17,MIN(AI$6-$G$3,22))&lt;&gt;""),'Feijão 1ª safra'!$E17:INDEX('Feijão 1ª safra'!$E17:$Z17,MIN(AI$6-$G$3,22))),0)))))</f>
        <v>0</v>
      </c>
      <c r="AJ19" s="27" t="n">
        <f aca="false">IF(COUNT('Feijão 1ª safra'!$E17:$Z17)=0,0,MAX(0,IF((AJ$6-$E$3)&lt;1,0,IFERROR(LOOKUP(2,1/('Feijão 1ª safra'!$E17:INDEX('Feijão 1ª safra'!$E17:$Z17,MIN(AJ$6-$E$3,22))&lt;&gt;""),'Feijão 1ª safra'!$E17:INDEX('Feijão 1ª safra'!$E17:$Z17,MIN(AJ$6-$E$3,22))),0))-IF($G$2,0,IF((AJ$6-$G$3)&lt;1,0,IFERROR(LOOKUP(2,1/('Feijão 1ª safra'!$E17:INDEX('Feijão 1ª safra'!$E17:$Z17,MIN(AJ$6-$G$3,22))&lt;&gt;""),'Feijão 1ª safra'!$E17:INDEX('Feijão 1ª safra'!$E17:$Z17,MIN(AJ$6-$G$3,22))),0)))))</f>
        <v>0</v>
      </c>
      <c r="AK19" s="27" t="n">
        <f aca="false">IF(COUNT('Feijão 1ª safra'!$E17:$Z17)=0,0,MAX(0,IF((AK$6-$E$3)&lt;1,0,IFERROR(LOOKUP(2,1/('Feijão 1ª safra'!$E17:INDEX('Feijão 1ª safra'!$E17:$Z17,MIN(AK$6-$E$3,22))&lt;&gt;""),'Feijão 1ª safra'!$E17:INDEX('Feijão 1ª safra'!$E17:$Z17,MIN(AK$6-$E$3,22))),0))-IF($G$2,0,IF((AK$6-$G$3)&lt;1,0,IFERROR(LOOKUP(2,1/('Feijão 1ª safra'!$E17:INDEX('Feijão 1ª safra'!$E17:$Z17,MIN(AK$6-$G$3,22))&lt;&gt;""),'Feijão 1ª safra'!$E17:INDEX('Feijão 1ª safra'!$E17:$Z17,MIN(AK$6-$G$3,22))),0)))))</f>
        <v>0</v>
      </c>
      <c r="AL19" s="27" t="n">
        <f aca="false">IF(COUNT('Feijão 1ª safra'!$E17:$Z17)=0,0,MAX(0,IF((AL$6-$E$3)&lt;1,0,IFERROR(LOOKUP(2,1/('Feijão 1ª safra'!$E17:INDEX('Feijão 1ª safra'!$E17:$Z17,MIN(AL$6-$E$3,22))&lt;&gt;""),'Feijão 1ª safra'!$E17:INDEX('Feijão 1ª safra'!$E17:$Z17,MIN(AL$6-$E$3,22))),0))-IF($G$2,0,IF((AL$6-$G$3)&lt;1,0,IFERROR(LOOKUP(2,1/('Feijão 1ª safra'!$E17:INDEX('Feijão 1ª safra'!$E17:$Z17,MIN(AL$6-$G$3,22))&lt;&gt;""),'Feijão 1ª safra'!$E17:INDEX('Feijão 1ª safra'!$E17:$Z17,MIN(AL$6-$G$3,22))),0)))))</f>
        <v>0</v>
      </c>
      <c r="AM19" s="27" t="n">
        <f aca="false">IF(COUNT('Feijão 1ª safra'!$E17:$Z17)=0,0,MAX(0,IF((AM$6-$E$3)&lt;1,0,IFERROR(LOOKUP(2,1/('Feijão 1ª safra'!$E17:INDEX('Feijão 1ª safra'!$E17:$Z17,MIN(AM$6-$E$3,22))&lt;&gt;""),'Feijão 1ª safra'!$E17:INDEX('Feijão 1ª safra'!$E17:$Z17,MIN(AM$6-$E$3,22))),0))-IF($G$2,0,IF((AM$6-$G$3)&lt;1,0,IFERROR(LOOKUP(2,1/('Feijão 1ª safra'!$E17:INDEX('Feijão 1ª safra'!$E17:$Z17,MIN(AM$6-$G$3,22))&lt;&gt;""),'Feijão 1ª safra'!$E17:INDEX('Feijão 1ª safra'!$E17:$Z17,MIN(AM$6-$G$3,22))),0)))))</f>
        <v>0</v>
      </c>
      <c r="AN19" s="27" t="n">
        <f aca="false">IF(COUNT('Feijão 1ª safra'!$E17:$Z17)=0,0,MAX(0,IF((AN$6-$E$3)&lt;1,0,IFERROR(LOOKUP(2,1/('Feijão 1ª safra'!$E17:INDEX('Feijão 1ª safra'!$E17:$Z17,MIN(AN$6-$E$3,22))&lt;&gt;""),'Feijão 1ª safra'!$E17:INDEX('Feijão 1ª safra'!$E17:$Z17,MIN(AN$6-$E$3,22))),0))-IF($G$2,0,IF((AN$6-$G$3)&lt;1,0,IFERROR(LOOKUP(2,1/('Feijão 1ª safra'!$E17:INDEX('Feijão 1ª safra'!$E17:$Z17,MIN(AN$6-$G$3,22))&lt;&gt;""),'Feijão 1ª safra'!$E17:INDEX('Feijão 1ª safra'!$E17:$Z17,MIN(AN$6-$G$3,22))),0)))))</f>
        <v>0</v>
      </c>
      <c r="AO19" s="27" t="n">
        <f aca="false">IF(COUNT('Feijão 1ª safra'!$E17:$Z17)=0,0,MAX(0,IF((AO$6-$E$3)&lt;1,0,IFERROR(LOOKUP(2,1/('Feijão 1ª safra'!$E17:INDEX('Feijão 1ª safra'!$E17:$Z17,MIN(AO$6-$E$3,22))&lt;&gt;""),'Feijão 1ª safra'!$E17:INDEX('Feijão 1ª safra'!$E17:$Z17,MIN(AO$6-$E$3,22))),0))-IF($G$2,0,IF((AO$6-$G$3)&lt;1,0,IFERROR(LOOKUP(2,1/('Feijão 1ª safra'!$E17:INDEX('Feijão 1ª safra'!$E17:$Z17,MIN(AO$6-$G$3,22))&lt;&gt;""),'Feijão 1ª safra'!$E17:INDEX('Feijão 1ª safra'!$E17:$Z17,MIN(AO$6-$G$3,22))),0)))))</f>
        <v>0</v>
      </c>
      <c r="AP19" s="27" t="n">
        <f aca="false">IF(COUNT('Feijão 1ª safra'!$E17:$Z17)=0,0,MAX(0,IF((AP$6-$E$3)&lt;1,0,IFERROR(LOOKUP(2,1/('Feijão 1ª safra'!$E17:INDEX('Feijão 1ª safra'!$E17:$Z17,MIN(AP$6-$E$3,22))&lt;&gt;""),'Feijão 1ª safra'!$E17:INDEX('Feijão 1ª safra'!$E17:$Z17,MIN(AP$6-$E$3,22))),0))-IF($G$2,0,IF((AP$6-$G$3)&lt;1,0,IFERROR(LOOKUP(2,1/('Feijão 1ª safra'!$E17:INDEX('Feijão 1ª safra'!$E17:$Z17,MIN(AP$6-$G$3,22))&lt;&gt;""),'Feijão 1ª safra'!$E17:INDEX('Feijão 1ª safra'!$E17:$Z17,MIN(AP$6-$G$3,22))),0)))))</f>
        <v>0</v>
      </c>
      <c r="AQ19" s="27" t="n">
        <f aca="false">IF(COUNT('Feijão 1ª safra'!$E17:$Z17)=0,0,MAX(0,IF((AQ$6-$E$3)&lt;1,0,IFERROR(LOOKUP(2,1/('Feijão 1ª safra'!$E17:INDEX('Feijão 1ª safra'!$E17:$Z17,MIN(AQ$6-$E$3,22))&lt;&gt;""),'Feijão 1ª safra'!$E17:INDEX('Feijão 1ª safra'!$E17:$Z17,MIN(AQ$6-$E$3,22))),0))-IF($G$2,0,IF((AQ$6-$G$3)&lt;1,0,IFERROR(LOOKUP(2,1/('Feijão 1ª safra'!$E17:INDEX('Feijão 1ª safra'!$E17:$Z17,MIN(AQ$6-$G$3,22))&lt;&gt;""),'Feijão 1ª safra'!$E17:INDEX('Feijão 1ª safra'!$E17:$Z17,MIN(AQ$6-$G$3,22))),0)))))</f>
        <v>0</v>
      </c>
      <c r="AR19" s="27" t="n">
        <f aca="false">IF(COUNT('Feijão 1ª safra'!$E17:$Z17)=0,0,MAX(0,IF((AR$6-$E$3)&lt;1,0,IFERROR(LOOKUP(2,1/('Feijão 1ª safra'!$E17:INDEX('Feijão 1ª safra'!$E17:$Z17,MIN(AR$6-$E$3,22))&lt;&gt;""),'Feijão 1ª safra'!$E17:INDEX('Feijão 1ª safra'!$E17:$Z17,MIN(AR$6-$E$3,22))),0))-IF($G$2,0,IF((AR$6-$G$3)&lt;1,0,IFERROR(LOOKUP(2,1/('Feijão 1ª safra'!$E17:INDEX('Feijão 1ª safra'!$E17:$Z17,MIN(AR$6-$G$3,22))&lt;&gt;""),'Feijão 1ª safra'!$E17:INDEX('Feijão 1ª safra'!$E17:$Z17,MIN(AR$6-$G$3,22))),0)))))</f>
        <v>0</v>
      </c>
      <c r="AS19" s="27" t="n">
        <f aca="false">IF(COUNT('Feijão 1ª safra'!$E17:$Z17)=0,0,MAX(0,IF((AS$6-$E$3)&lt;1,0,IFERROR(LOOKUP(2,1/('Feijão 1ª safra'!$E17:INDEX('Feijão 1ª safra'!$E17:$Z17,MIN(AS$6-$E$3,22))&lt;&gt;""),'Feijão 1ª safra'!$E17:INDEX('Feijão 1ª safra'!$E17:$Z17,MIN(AS$6-$E$3,22))),0))-IF($G$2,0,IF((AS$6-$G$3)&lt;1,0,IFERROR(LOOKUP(2,1/('Feijão 1ª safra'!$E17:INDEX('Feijão 1ª safra'!$E17:$Z17,MIN(AS$6-$G$3,22))&lt;&gt;""),'Feijão 1ª safra'!$E17:INDEX('Feijão 1ª safra'!$E17:$Z17,MIN(AS$6-$G$3,22))),0)))))</f>
        <v>0</v>
      </c>
      <c r="AT19" s="27" t="n">
        <f aca="false">IF(COUNT('Feijão 1ª safra'!$E17:$Z17)=0,0,MAX(0,IF((AT$6-$E$3)&lt;1,0,IFERROR(LOOKUP(2,1/('Feijão 1ª safra'!$E17:INDEX('Feijão 1ª safra'!$E17:$Z17,MIN(AT$6-$E$3,22))&lt;&gt;""),'Feijão 1ª safra'!$E17:INDEX('Feijão 1ª safra'!$E17:$Z17,MIN(AT$6-$E$3,22))),0))-IF($G$2,0,IF((AT$6-$G$3)&lt;1,0,IFERROR(LOOKUP(2,1/('Feijão 1ª safra'!$E17:INDEX('Feijão 1ª safra'!$E17:$Z17,MIN(AT$6-$G$3,22))&lt;&gt;""),'Feijão 1ª safra'!$E17:INDEX('Feijão 1ª safra'!$E17:$Z17,MIN(AT$6-$G$3,22))),0)))))</f>
        <v>0</v>
      </c>
      <c r="AU19" s="27" t="n">
        <f aca="false">IF(COUNT('Feijão 1ª safra'!$E17:$Z17)=0,0,MAX(0,IF((AU$6-$E$3)&lt;1,0,IFERROR(LOOKUP(2,1/('Feijão 1ª safra'!$E17:INDEX('Feijão 1ª safra'!$E17:$Z17,MIN(AU$6-$E$3,22))&lt;&gt;""),'Feijão 1ª safra'!$E17:INDEX('Feijão 1ª safra'!$E17:$Z17,MIN(AU$6-$E$3,22))),0))-IF($G$2,0,IF((AU$6-$G$3)&lt;1,0,IFERROR(LOOKUP(2,1/('Feijão 1ª safra'!$E17:INDEX('Feijão 1ª safra'!$E17:$Z17,MIN(AU$6-$G$3,22))&lt;&gt;""),'Feijão 1ª safra'!$E17:INDEX('Feijão 1ª safra'!$E17:$Z17,MIN(AU$6-$G$3,22))),0)))))</f>
        <v>0</v>
      </c>
      <c r="AV19" s="27" t="n">
        <f aca="false">IF(COUNT('Feijão 1ª safra'!$E17:$Z17)=0,0,MAX(0,IF((AV$6-$E$3)&lt;1,0,IFERROR(LOOKUP(2,1/('Feijão 1ª safra'!$E17:INDEX('Feijão 1ª safra'!$E17:$Z17,MIN(AV$6-$E$3,22))&lt;&gt;""),'Feijão 1ª safra'!$E17:INDEX('Feijão 1ª safra'!$E17:$Z17,MIN(AV$6-$E$3,22))),0))-IF($G$2,0,IF((AV$6-$G$3)&lt;1,0,IFERROR(LOOKUP(2,1/('Feijão 1ª safra'!$E17:INDEX('Feijão 1ª safra'!$E17:$Z17,MIN(AV$6-$G$3,22))&lt;&gt;""),'Feijão 1ª safra'!$E17:INDEX('Feijão 1ª safra'!$E17:$Z17,MIN(AV$6-$G$3,22))),0)))))</f>
        <v>0</v>
      </c>
      <c r="AW19" s="27" t="n">
        <f aca="false">IF(COUNT('Feijão 1ª safra'!$E17:$Z17)=0,0,MAX(0,IF((AW$6-$E$3)&lt;1,0,IFERROR(LOOKUP(2,1/('Feijão 1ª safra'!$E17:INDEX('Feijão 1ª safra'!$E17:$Z17,MIN(AW$6-$E$3,22))&lt;&gt;""),'Feijão 1ª safra'!$E17:INDEX('Feijão 1ª safra'!$E17:$Z17,MIN(AW$6-$E$3,22))),0))-IF($G$2,0,IF((AW$6-$G$3)&lt;1,0,IFERROR(LOOKUP(2,1/('Feijão 1ª safra'!$E17:INDEX('Feijão 1ª safra'!$E17:$Z17,MIN(AW$6-$G$3,22))&lt;&gt;""),'Feijão 1ª safra'!$E17:INDEX('Feijão 1ª safra'!$E17:$Z17,MIN(AW$6-$G$3,22))),0)))))</f>
        <v>0</v>
      </c>
      <c r="AX19" s="27" t="n">
        <f aca="false">IF(COUNT('Feijão 1ª safra'!$E17:$Z17)=0,0,MAX(0,IF((AX$6-$E$3)&lt;1,0,IFERROR(LOOKUP(2,1/('Feijão 1ª safra'!$E17:INDEX('Feijão 1ª safra'!$E17:$Z17,MIN(AX$6-$E$3,22))&lt;&gt;""),'Feijão 1ª safra'!$E17:INDEX('Feijão 1ª safra'!$E17:$Z17,MIN(AX$6-$E$3,22))),0))-IF($G$2,0,IF((AX$6-$G$3)&lt;1,0,IFERROR(LOOKUP(2,1/('Feijão 1ª safra'!$E17:INDEX('Feijão 1ª safra'!$E17:$Z17,MIN(AX$6-$G$3,22))&lt;&gt;""),'Feijão 1ª safra'!$E17:INDEX('Feijão 1ª safra'!$E17:$Z17,MIN(AX$6-$G$3,22))),0)))))</f>
        <v>0</v>
      </c>
      <c r="AY19" s="27" t="n">
        <f aca="false">IF(COUNT('Feijão 1ª safra'!$E17:$Z17)=0,0,MAX(0,IF((AY$6-$E$3)&lt;1,0,IFERROR(LOOKUP(2,1/('Feijão 1ª safra'!$E17:INDEX('Feijão 1ª safra'!$E17:$Z17,MIN(AY$6-$E$3,22))&lt;&gt;""),'Feijão 1ª safra'!$E17:INDEX('Feijão 1ª safra'!$E17:$Z17,MIN(AY$6-$E$3,22))),0))-IF($G$2,0,IF((AY$6-$G$3)&lt;1,0,IFERROR(LOOKUP(2,1/('Feijão 1ª safra'!$E17:INDEX('Feijão 1ª safra'!$E17:$Z17,MIN(AY$6-$G$3,22))&lt;&gt;""),'Feijão 1ª safra'!$E17:INDEX('Feijão 1ª safra'!$E17:$Z17,MIN(AY$6-$G$3,22))),0)))))</f>
        <v>0</v>
      </c>
      <c r="AZ19" s="27" t="n">
        <f aca="false">IF(COUNT('Feijão 1ª safra'!$E17:$Z17)=0,0,MAX(0,IF((AZ$6-$E$3)&lt;1,0,IFERROR(LOOKUP(2,1/('Feijão 1ª safra'!$E17:INDEX('Feijão 1ª safra'!$E17:$Z17,MIN(AZ$6-$E$3,22))&lt;&gt;""),'Feijão 1ª safra'!$E17:INDEX('Feijão 1ª safra'!$E17:$Z17,MIN(AZ$6-$E$3,22))),0))-IF($G$2,0,IF((AZ$6-$G$3)&lt;1,0,IFERROR(LOOKUP(2,1/('Feijão 1ª safra'!$E17:INDEX('Feijão 1ª safra'!$E17:$Z17,MIN(AZ$6-$G$3,22))&lt;&gt;""),'Feijão 1ª safra'!$E17:INDEX('Feijão 1ª safra'!$E17:$Z17,MIN(AZ$6-$G$3,22))),0)))))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IF(COUNT('Feijão 1ª safra'!$E18:$Z18)&gt;0,N('Feijão 1ª safra'!$D18),0)</f>
        <v>0</v>
      </c>
      <c r="E20" s="27" t="n">
        <f aca="false">IF(COUNT('Feijão 1ª safra'!$E18:$Z18)=0,0,MAX(0,IF((E$6-$E$3)&lt;1,0,IFERROR(LOOKUP(2,1/('Feijão 1ª safra'!$E18:INDEX('Feijão 1ª safra'!$E18:$Z18,MIN(E$6-$E$3,22))&lt;&gt;""),'Feijão 1ª safra'!$E18:INDEX('Feijão 1ª safra'!$E18:$Z18,MIN(E$6-$E$3,22))),0))-IF($G$2,0,IF((E$6-$G$3)&lt;1,0,IFERROR(LOOKUP(2,1/('Feijão 1ª safra'!$E18:INDEX('Feijão 1ª safra'!$E18:$Z18,MIN(E$6-$G$3,22))&lt;&gt;""),'Feijão 1ª safra'!$E18:INDEX('Feijão 1ª safra'!$E18:$Z18,MIN(E$6-$G$3,22))),0)))))</f>
        <v>0</v>
      </c>
      <c r="F20" s="27" t="n">
        <f aca="false">IF(COUNT('Feijão 1ª safra'!$E18:$Z18)=0,0,MAX(0,IF((F$6-$E$3)&lt;1,0,IFERROR(LOOKUP(2,1/('Feijão 1ª safra'!$E18:INDEX('Feijão 1ª safra'!$E18:$Z18,MIN(F$6-$E$3,22))&lt;&gt;""),'Feijão 1ª safra'!$E18:INDEX('Feijão 1ª safra'!$E18:$Z18,MIN(F$6-$E$3,22))),0))-IF($G$2,0,IF((F$6-$G$3)&lt;1,0,IFERROR(LOOKUP(2,1/('Feijão 1ª safra'!$E18:INDEX('Feijão 1ª safra'!$E18:$Z18,MIN(F$6-$G$3,22))&lt;&gt;""),'Feijão 1ª safra'!$E18:INDEX('Feijão 1ª safra'!$E18:$Z18,MIN(F$6-$G$3,22))),0)))))</f>
        <v>0</v>
      </c>
      <c r="G20" s="27" t="n">
        <f aca="false">IF(COUNT('Feijão 1ª safra'!$E18:$Z18)=0,0,MAX(0,IF((G$6-$E$3)&lt;1,0,IFERROR(LOOKUP(2,1/('Feijão 1ª safra'!$E18:INDEX('Feijão 1ª safra'!$E18:$Z18,MIN(G$6-$E$3,22))&lt;&gt;""),'Feijão 1ª safra'!$E18:INDEX('Feijão 1ª safra'!$E18:$Z18,MIN(G$6-$E$3,22))),0))-IF($G$2,0,IF((G$6-$G$3)&lt;1,0,IFERROR(LOOKUP(2,1/('Feijão 1ª safra'!$E18:INDEX('Feijão 1ª safra'!$E18:$Z18,MIN(G$6-$G$3,22))&lt;&gt;""),'Feijão 1ª safra'!$E18:INDEX('Feijão 1ª safra'!$E18:$Z18,MIN(G$6-$G$3,22))),0)))))</f>
        <v>0</v>
      </c>
      <c r="H20" s="27" t="n">
        <f aca="false">IF(COUNT('Feijão 1ª safra'!$E18:$Z18)=0,0,MAX(0,IF((H$6-$E$3)&lt;1,0,IFERROR(LOOKUP(2,1/('Feijão 1ª safra'!$E18:INDEX('Feijão 1ª safra'!$E18:$Z18,MIN(H$6-$E$3,22))&lt;&gt;""),'Feijão 1ª safra'!$E18:INDEX('Feijão 1ª safra'!$E18:$Z18,MIN(H$6-$E$3,22))),0))-IF($G$2,0,IF((H$6-$G$3)&lt;1,0,IFERROR(LOOKUP(2,1/('Feijão 1ª safra'!$E18:INDEX('Feijão 1ª safra'!$E18:$Z18,MIN(H$6-$G$3,22))&lt;&gt;""),'Feijão 1ª safra'!$E18:INDEX('Feijão 1ª safra'!$E18:$Z18,MIN(H$6-$G$3,22))),0)))))</f>
        <v>0</v>
      </c>
      <c r="I20" s="27" t="n">
        <f aca="false">IF(COUNT('Feijão 1ª safra'!$E18:$Z18)=0,0,MAX(0,IF((I$6-$E$3)&lt;1,0,IFERROR(LOOKUP(2,1/('Feijão 1ª safra'!$E18:INDEX('Feijão 1ª safra'!$E18:$Z18,MIN(I$6-$E$3,22))&lt;&gt;""),'Feijão 1ª safra'!$E18:INDEX('Feijão 1ª safra'!$E18:$Z18,MIN(I$6-$E$3,22))),0))-IF($G$2,0,IF((I$6-$G$3)&lt;1,0,IFERROR(LOOKUP(2,1/('Feijão 1ª safra'!$E18:INDEX('Feijão 1ª safra'!$E18:$Z18,MIN(I$6-$G$3,22))&lt;&gt;""),'Feijão 1ª safra'!$E18:INDEX('Feijão 1ª safra'!$E18:$Z18,MIN(I$6-$G$3,22))),0)))))</f>
        <v>0</v>
      </c>
      <c r="J20" s="27" t="n">
        <f aca="false">IF(COUNT('Feijão 1ª safra'!$E18:$Z18)=0,0,MAX(0,IF((J$6-$E$3)&lt;1,0,IFERROR(LOOKUP(2,1/('Feijão 1ª safra'!$E18:INDEX('Feijão 1ª safra'!$E18:$Z18,MIN(J$6-$E$3,22))&lt;&gt;""),'Feijão 1ª safra'!$E18:INDEX('Feijão 1ª safra'!$E18:$Z18,MIN(J$6-$E$3,22))),0))-IF($G$2,0,IF((J$6-$G$3)&lt;1,0,IFERROR(LOOKUP(2,1/('Feijão 1ª safra'!$E18:INDEX('Feijão 1ª safra'!$E18:$Z18,MIN(J$6-$G$3,22))&lt;&gt;""),'Feijão 1ª safra'!$E18:INDEX('Feijão 1ª safra'!$E18:$Z18,MIN(J$6-$G$3,22))),0)))))</f>
        <v>0</v>
      </c>
      <c r="K20" s="27" t="n">
        <f aca="false">IF(COUNT('Feijão 1ª safra'!$E18:$Z18)=0,0,MAX(0,IF((K$6-$E$3)&lt;1,0,IFERROR(LOOKUP(2,1/('Feijão 1ª safra'!$E18:INDEX('Feijão 1ª safra'!$E18:$Z18,MIN(K$6-$E$3,22))&lt;&gt;""),'Feijão 1ª safra'!$E18:INDEX('Feijão 1ª safra'!$E18:$Z18,MIN(K$6-$E$3,22))),0))-IF($G$2,0,IF((K$6-$G$3)&lt;1,0,IFERROR(LOOKUP(2,1/('Feijão 1ª safra'!$E18:INDEX('Feijão 1ª safra'!$E18:$Z18,MIN(K$6-$G$3,22))&lt;&gt;""),'Feijão 1ª safra'!$E18:INDEX('Feijão 1ª safra'!$E18:$Z18,MIN(K$6-$G$3,22))),0)))))</f>
        <v>0</v>
      </c>
      <c r="L20" s="27" t="n">
        <f aca="false">IF(COUNT('Feijão 1ª safra'!$E18:$Z18)=0,0,MAX(0,IF((L$6-$E$3)&lt;1,0,IFERROR(LOOKUP(2,1/('Feijão 1ª safra'!$E18:INDEX('Feijão 1ª safra'!$E18:$Z18,MIN(L$6-$E$3,22))&lt;&gt;""),'Feijão 1ª safra'!$E18:INDEX('Feijão 1ª safra'!$E18:$Z18,MIN(L$6-$E$3,22))),0))-IF($G$2,0,IF((L$6-$G$3)&lt;1,0,IFERROR(LOOKUP(2,1/('Feijão 1ª safra'!$E18:INDEX('Feijão 1ª safra'!$E18:$Z18,MIN(L$6-$G$3,22))&lt;&gt;""),'Feijão 1ª safra'!$E18:INDEX('Feijão 1ª safra'!$E18:$Z18,MIN(L$6-$G$3,22))),0)))))</f>
        <v>0</v>
      </c>
      <c r="M20" s="27" t="n">
        <f aca="false">IF(COUNT('Feijão 1ª safra'!$E18:$Z18)=0,0,MAX(0,IF((M$6-$E$3)&lt;1,0,IFERROR(LOOKUP(2,1/('Feijão 1ª safra'!$E18:INDEX('Feijão 1ª safra'!$E18:$Z18,MIN(M$6-$E$3,22))&lt;&gt;""),'Feijão 1ª safra'!$E18:INDEX('Feijão 1ª safra'!$E18:$Z18,MIN(M$6-$E$3,22))),0))-IF($G$2,0,IF((M$6-$G$3)&lt;1,0,IFERROR(LOOKUP(2,1/('Feijão 1ª safra'!$E18:INDEX('Feijão 1ª safra'!$E18:$Z18,MIN(M$6-$G$3,22))&lt;&gt;""),'Feijão 1ª safra'!$E18:INDEX('Feijão 1ª safra'!$E18:$Z18,MIN(M$6-$G$3,22))),0)))))</f>
        <v>0</v>
      </c>
      <c r="N20" s="27" t="n">
        <f aca="false">IF(COUNT('Feijão 1ª safra'!$E18:$Z18)=0,0,MAX(0,IF((N$6-$E$3)&lt;1,0,IFERROR(LOOKUP(2,1/('Feijão 1ª safra'!$E18:INDEX('Feijão 1ª safra'!$E18:$Z18,MIN(N$6-$E$3,22))&lt;&gt;""),'Feijão 1ª safra'!$E18:INDEX('Feijão 1ª safra'!$E18:$Z18,MIN(N$6-$E$3,22))),0))-IF($G$2,0,IF((N$6-$G$3)&lt;1,0,IFERROR(LOOKUP(2,1/('Feijão 1ª safra'!$E18:INDEX('Feijão 1ª safra'!$E18:$Z18,MIN(N$6-$G$3,22))&lt;&gt;""),'Feijão 1ª safra'!$E18:INDEX('Feijão 1ª safra'!$E18:$Z18,MIN(N$6-$G$3,22))),0)))))</f>
        <v>0</v>
      </c>
      <c r="O20" s="27" t="n">
        <f aca="false">IF(COUNT('Feijão 1ª safra'!$E18:$Z18)=0,0,MAX(0,IF((O$6-$E$3)&lt;1,0,IFERROR(LOOKUP(2,1/('Feijão 1ª safra'!$E18:INDEX('Feijão 1ª safra'!$E18:$Z18,MIN(O$6-$E$3,22))&lt;&gt;""),'Feijão 1ª safra'!$E18:INDEX('Feijão 1ª safra'!$E18:$Z18,MIN(O$6-$E$3,22))),0))-IF($G$2,0,IF((O$6-$G$3)&lt;1,0,IFERROR(LOOKUP(2,1/('Feijão 1ª safra'!$E18:INDEX('Feijão 1ª safra'!$E18:$Z18,MIN(O$6-$G$3,22))&lt;&gt;""),'Feijão 1ª safra'!$E18:INDEX('Feijão 1ª safra'!$E18:$Z18,MIN(O$6-$G$3,22))),0)))))</f>
        <v>0</v>
      </c>
      <c r="P20" s="27" t="n">
        <f aca="false">IF(COUNT('Feijão 1ª safra'!$E18:$Z18)=0,0,MAX(0,IF((P$6-$E$3)&lt;1,0,IFERROR(LOOKUP(2,1/('Feijão 1ª safra'!$E18:INDEX('Feijão 1ª safra'!$E18:$Z18,MIN(P$6-$E$3,22))&lt;&gt;""),'Feijão 1ª safra'!$E18:INDEX('Feijão 1ª safra'!$E18:$Z18,MIN(P$6-$E$3,22))),0))-IF($G$2,0,IF((P$6-$G$3)&lt;1,0,IFERROR(LOOKUP(2,1/('Feijão 1ª safra'!$E18:INDEX('Feijão 1ª safra'!$E18:$Z18,MIN(P$6-$G$3,22))&lt;&gt;""),'Feijão 1ª safra'!$E18:INDEX('Feijão 1ª safra'!$E18:$Z18,MIN(P$6-$G$3,22))),0)))))</f>
        <v>0</v>
      </c>
      <c r="Q20" s="27" t="n">
        <f aca="false">IF(COUNT('Feijão 1ª safra'!$E18:$Z18)=0,0,MAX(0,IF((Q$6-$E$3)&lt;1,0,IFERROR(LOOKUP(2,1/('Feijão 1ª safra'!$E18:INDEX('Feijão 1ª safra'!$E18:$Z18,MIN(Q$6-$E$3,22))&lt;&gt;""),'Feijão 1ª safra'!$E18:INDEX('Feijão 1ª safra'!$E18:$Z18,MIN(Q$6-$E$3,22))),0))-IF($G$2,0,IF((Q$6-$G$3)&lt;1,0,IFERROR(LOOKUP(2,1/('Feijão 1ª safra'!$E18:INDEX('Feijão 1ª safra'!$E18:$Z18,MIN(Q$6-$G$3,22))&lt;&gt;""),'Feijão 1ª safra'!$E18:INDEX('Feijão 1ª safra'!$E18:$Z18,MIN(Q$6-$G$3,22))),0)))))</f>
        <v>0</v>
      </c>
      <c r="R20" s="27" t="n">
        <f aca="false">IF(COUNT('Feijão 1ª safra'!$E18:$Z18)=0,0,MAX(0,IF((R$6-$E$3)&lt;1,0,IFERROR(LOOKUP(2,1/('Feijão 1ª safra'!$E18:INDEX('Feijão 1ª safra'!$E18:$Z18,MIN(R$6-$E$3,22))&lt;&gt;""),'Feijão 1ª safra'!$E18:INDEX('Feijão 1ª safra'!$E18:$Z18,MIN(R$6-$E$3,22))),0))-IF($G$2,0,IF((R$6-$G$3)&lt;1,0,IFERROR(LOOKUP(2,1/('Feijão 1ª safra'!$E18:INDEX('Feijão 1ª safra'!$E18:$Z18,MIN(R$6-$G$3,22))&lt;&gt;""),'Feijão 1ª safra'!$E18:INDEX('Feijão 1ª safra'!$E18:$Z18,MIN(R$6-$G$3,22))),0)))))</f>
        <v>0</v>
      </c>
      <c r="S20" s="27" t="n">
        <f aca="false">IF(COUNT('Feijão 1ª safra'!$E18:$Z18)=0,0,MAX(0,IF((S$6-$E$3)&lt;1,0,IFERROR(LOOKUP(2,1/('Feijão 1ª safra'!$E18:INDEX('Feijão 1ª safra'!$E18:$Z18,MIN(S$6-$E$3,22))&lt;&gt;""),'Feijão 1ª safra'!$E18:INDEX('Feijão 1ª safra'!$E18:$Z18,MIN(S$6-$E$3,22))),0))-IF($G$2,0,IF((S$6-$G$3)&lt;1,0,IFERROR(LOOKUP(2,1/('Feijão 1ª safra'!$E18:INDEX('Feijão 1ª safra'!$E18:$Z18,MIN(S$6-$G$3,22))&lt;&gt;""),'Feijão 1ª safra'!$E18:INDEX('Feijão 1ª safra'!$E18:$Z18,MIN(S$6-$G$3,22))),0)))))</f>
        <v>0</v>
      </c>
      <c r="T20" s="27" t="n">
        <f aca="false">IF(COUNT('Feijão 1ª safra'!$E18:$Z18)=0,0,MAX(0,IF((T$6-$E$3)&lt;1,0,IFERROR(LOOKUP(2,1/('Feijão 1ª safra'!$E18:INDEX('Feijão 1ª safra'!$E18:$Z18,MIN(T$6-$E$3,22))&lt;&gt;""),'Feijão 1ª safra'!$E18:INDEX('Feijão 1ª safra'!$E18:$Z18,MIN(T$6-$E$3,22))),0))-IF($G$2,0,IF((T$6-$G$3)&lt;1,0,IFERROR(LOOKUP(2,1/('Feijão 1ª safra'!$E18:INDEX('Feijão 1ª safra'!$E18:$Z18,MIN(T$6-$G$3,22))&lt;&gt;""),'Feijão 1ª safra'!$E18:INDEX('Feijão 1ª safra'!$E18:$Z18,MIN(T$6-$G$3,22))),0)))))</f>
        <v>0</v>
      </c>
      <c r="U20" s="27" t="n">
        <f aca="false">IF(COUNT('Feijão 1ª safra'!$E18:$Z18)=0,0,MAX(0,IF((U$6-$E$3)&lt;1,0,IFERROR(LOOKUP(2,1/('Feijão 1ª safra'!$E18:INDEX('Feijão 1ª safra'!$E18:$Z18,MIN(U$6-$E$3,22))&lt;&gt;""),'Feijão 1ª safra'!$E18:INDEX('Feijão 1ª safra'!$E18:$Z18,MIN(U$6-$E$3,22))),0))-IF($G$2,0,IF((U$6-$G$3)&lt;1,0,IFERROR(LOOKUP(2,1/('Feijão 1ª safra'!$E18:INDEX('Feijão 1ª safra'!$E18:$Z18,MIN(U$6-$G$3,22))&lt;&gt;""),'Feijão 1ª safra'!$E18:INDEX('Feijão 1ª safra'!$E18:$Z18,MIN(U$6-$G$3,22))),0)))))</f>
        <v>0</v>
      </c>
      <c r="V20" s="27" t="n">
        <f aca="false">IF(COUNT('Feijão 1ª safra'!$E18:$Z18)=0,0,MAX(0,IF((V$6-$E$3)&lt;1,0,IFERROR(LOOKUP(2,1/('Feijão 1ª safra'!$E18:INDEX('Feijão 1ª safra'!$E18:$Z18,MIN(V$6-$E$3,22))&lt;&gt;""),'Feijão 1ª safra'!$E18:INDEX('Feijão 1ª safra'!$E18:$Z18,MIN(V$6-$E$3,22))),0))-IF($G$2,0,IF((V$6-$G$3)&lt;1,0,IFERROR(LOOKUP(2,1/('Feijão 1ª safra'!$E18:INDEX('Feijão 1ª safra'!$E18:$Z18,MIN(V$6-$G$3,22))&lt;&gt;""),'Feijão 1ª safra'!$E18:INDEX('Feijão 1ª safra'!$E18:$Z18,MIN(V$6-$G$3,22))),0)))))</f>
        <v>0</v>
      </c>
      <c r="W20" s="27" t="n">
        <f aca="false">IF(COUNT('Feijão 1ª safra'!$E18:$Z18)=0,0,MAX(0,IF((W$6-$E$3)&lt;1,0,IFERROR(LOOKUP(2,1/('Feijão 1ª safra'!$E18:INDEX('Feijão 1ª safra'!$E18:$Z18,MIN(W$6-$E$3,22))&lt;&gt;""),'Feijão 1ª safra'!$E18:INDEX('Feijão 1ª safra'!$E18:$Z18,MIN(W$6-$E$3,22))),0))-IF($G$2,0,IF((W$6-$G$3)&lt;1,0,IFERROR(LOOKUP(2,1/('Feijão 1ª safra'!$E18:INDEX('Feijão 1ª safra'!$E18:$Z18,MIN(W$6-$G$3,22))&lt;&gt;""),'Feijão 1ª safra'!$E18:INDEX('Feijão 1ª safra'!$E18:$Z18,MIN(W$6-$G$3,22))),0)))))</f>
        <v>0</v>
      </c>
      <c r="X20" s="27" t="n">
        <f aca="false">IF(COUNT('Feijão 1ª safra'!$E18:$Z18)=0,0,MAX(0,IF((X$6-$E$3)&lt;1,0,IFERROR(LOOKUP(2,1/('Feijão 1ª safra'!$E18:INDEX('Feijão 1ª safra'!$E18:$Z18,MIN(X$6-$E$3,22))&lt;&gt;""),'Feijão 1ª safra'!$E18:INDEX('Feijão 1ª safra'!$E18:$Z18,MIN(X$6-$E$3,22))),0))-IF($G$2,0,IF((X$6-$G$3)&lt;1,0,IFERROR(LOOKUP(2,1/('Feijão 1ª safra'!$E18:INDEX('Feijão 1ª safra'!$E18:$Z18,MIN(X$6-$G$3,22))&lt;&gt;""),'Feijão 1ª safra'!$E18:INDEX('Feijão 1ª safra'!$E18:$Z18,MIN(X$6-$G$3,22))),0)))))</f>
        <v>0</v>
      </c>
      <c r="Y20" s="27" t="n">
        <f aca="false">IF(COUNT('Feijão 1ª safra'!$E18:$Z18)=0,0,MAX(0,IF((Y$6-$E$3)&lt;1,0,IFERROR(LOOKUP(2,1/('Feijão 1ª safra'!$E18:INDEX('Feijão 1ª safra'!$E18:$Z18,MIN(Y$6-$E$3,22))&lt;&gt;""),'Feijão 1ª safra'!$E18:INDEX('Feijão 1ª safra'!$E18:$Z18,MIN(Y$6-$E$3,22))),0))-IF($G$2,0,IF((Y$6-$G$3)&lt;1,0,IFERROR(LOOKUP(2,1/('Feijão 1ª safra'!$E18:INDEX('Feijão 1ª safra'!$E18:$Z18,MIN(Y$6-$G$3,22))&lt;&gt;""),'Feijão 1ª safra'!$E18:INDEX('Feijão 1ª safra'!$E18:$Z18,MIN(Y$6-$G$3,22))),0)))))</f>
        <v>0</v>
      </c>
      <c r="Z20" s="27" t="n">
        <f aca="false">IF(COUNT('Feijão 1ª safra'!$E18:$Z18)=0,0,MAX(0,IF((Z$6-$E$3)&lt;1,0,IFERROR(LOOKUP(2,1/('Feijão 1ª safra'!$E18:INDEX('Feijão 1ª safra'!$E18:$Z18,MIN(Z$6-$E$3,22))&lt;&gt;""),'Feijão 1ª safra'!$E18:INDEX('Feijão 1ª safra'!$E18:$Z18,MIN(Z$6-$E$3,22))),0))-IF($G$2,0,IF((Z$6-$G$3)&lt;1,0,IFERROR(LOOKUP(2,1/('Feijão 1ª safra'!$E18:INDEX('Feijão 1ª safra'!$E18:$Z18,MIN(Z$6-$G$3,22))&lt;&gt;""),'Feijão 1ª safra'!$E18:INDEX('Feijão 1ª safra'!$E18:$Z18,MIN(Z$6-$G$3,22))),0)))))</f>
        <v>0</v>
      </c>
      <c r="AA20" s="27" t="n">
        <f aca="false">IF(COUNT('Feijão 1ª safra'!$E18:$Z18)=0,0,MAX(0,IF((AA$6-$E$3)&lt;1,0,IFERROR(LOOKUP(2,1/('Feijão 1ª safra'!$E18:INDEX('Feijão 1ª safra'!$E18:$Z18,MIN(AA$6-$E$3,22))&lt;&gt;""),'Feijão 1ª safra'!$E18:INDEX('Feijão 1ª safra'!$E18:$Z18,MIN(AA$6-$E$3,22))),0))-IF($G$2,0,IF((AA$6-$G$3)&lt;1,0,IFERROR(LOOKUP(2,1/('Feijão 1ª safra'!$E18:INDEX('Feijão 1ª safra'!$E18:$Z18,MIN(AA$6-$G$3,22))&lt;&gt;""),'Feijão 1ª safra'!$E18:INDEX('Feijão 1ª safra'!$E18:$Z18,MIN(AA$6-$G$3,22))),0)))))</f>
        <v>0</v>
      </c>
      <c r="AB20" s="27" t="n">
        <f aca="false">IF(COUNT('Feijão 1ª safra'!$E18:$Z18)=0,0,MAX(0,IF((AB$6-$E$3)&lt;1,0,IFERROR(LOOKUP(2,1/('Feijão 1ª safra'!$E18:INDEX('Feijão 1ª safra'!$E18:$Z18,MIN(AB$6-$E$3,22))&lt;&gt;""),'Feijão 1ª safra'!$E18:INDEX('Feijão 1ª safra'!$E18:$Z18,MIN(AB$6-$E$3,22))),0))-IF($G$2,0,IF((AB$6-$G$3)&lt;1,0,IFERROR(LOOKUP(2,1/('Feijão 1ª safra'!$E18:INDEX('Feijão 1ª safra'!$E18:$Z18,MIN(AB$6-$G$3,22))&lt;&gt;""),'Feijão 1ª safra'!$E18:INDEX('Feijão 1ª safra'!$E18:$Z18,MIN(AB$6-$G$3,22))),0)))))</f>
        <v>0</v>
      </c>
      <c r="AC20" s="27" t="n">
        <f aca="false">IF(COUNT('Feijão 1ª safra'!$E18:$Z18)=0,0,MAX(0,IF((AC$6-$E$3)&lt;1,0,IFERROR(LOOKUP(2,1/('Feijão 1ª safra'!$E18:INDEX('Feijão 1ª safra'!$E18:$Z18,MIN(AC$6-$E$3,22))&lt;&gt;""),'Feijão 1ª safra'!$E18:INDEX('Feijão 1ª safra'!$E18:$Z18,MIN(AC$6-$E$3,22))),0))-IF($G$2,0,IF((AC$6-$G$3)&lt;1,0,IFERROR(LOOKUP(2,1/('Feijão 1ª safra'!$E18:INDEX('Feijão 1ª safra'!$E18:$Z18,MIN(AC$6-$G$3,22))&lt;&gt;""),'Feijão 1ª safra'!$E18:INDEX('Feijão 1ª safra'!$E18:$Z18,MIN(AC$6-$G$3,22))),0)))))</f>
        <v>0</v>
      </c>
      <c r="AD20" s="27" t="n">
        <f aca="false">IF(COUNT('Feijão 1ª safra'!$E18:$Z18)=0,0,MAX(0,IF((AD$6-$E$3)&lt;1,0,IFERROR(LOOKUP(2,1/('Feijão 1ª safra'!$E18:INDEX('Feijão 1ª safra'!$E18:$Z18,MIN(AD$6-$E$3,22))&lt;&gt;""),'Feijão 1ª safra'!$E18:INDEX('Feijão 1ª safra'!$E18:$Z18,MIN(AD$6-$E$3,22))),0))-IF($G$2,0,IF((AD$6-$G$3)&lt;1,0,IFERROR(LOOKUP(2,1/('Feijão 1ª safra'!$E18:INDEX('Feijão 1ª safra'!$E18:$Z18,MIN(AD$6-$G$3,22))&lt;&gt;""),'Feijão 1ª safra'!$E18:INDEX('Feijão 1ª safra'!$E18:$Z18,MIN(AD$6-$G$3,22))),0)))))</f>
        <v>0</v>
      </c>
      <c r="AE20" s="27" t="n">
        <f aca="false">IF(COUNT('Feijão 1ª safra'!$E18:$Z18)=0,0,MAX(0,IF((AE$6-$E$3)&lt;1,0,IFERROR(LOOKUP(2,1/('Feijão 1ª safra'!$E18:INDEX('Feijão 1ª safra'!$E18:$Z18,MIN(AE$6-$E$3,22))&lt;&gt;""),'Feijão 1ª safra'!$E18:INDEX('Feijão 1ª safra'!$E18:$Z18,MIN(AE$6-$E$3,22))),0))-IF($G$2,0,IF((AE$6-$G$3)&lt;1,0,IFERROR(LOOKUP(2,1/('Feijão 1ª safra'!$E18:INDEX('Feijão 1ª safra'!$E18:$Z18,MIN(AE$6-$G$3,22))&lt;&gt;""),'Feijão 1ª safra'!$E18:INDEX('Feijão 1ª safra'!$E18:$Z18,MIN(AE$6-$G$3,22))),0)))))</f>
        <v>0</v>
      </c>
      <c r="AF20" s="27" t="n">
        <f aca="false">IF(COUNT('Feijão 1ª safra'!$E18:$Z18)=0,0,MAX(0,IF((AF$6-$E$3)&lt;1,0,IFERROR(LOOKUP(2,1/('Feijão 1ª safra'!$E18:INDEX('Feijão 1ª safra'!$E18:$Z18,MIN(AF$6-$E$3,22))&lt;&gt;""),'Feijão 1ª safra'!$E18:INDEX('Feijão 1ª safra'!$E18:$Z18,MIN(AF$6-$E$3,22))),0))-IF($G$2,0,IF((AF$6-$G$3)&lt;1,0,IFERROR(LOOKUP(2,1/('Feijão 1ª safra'!$E18:INDEX('Feijão 1ª safra'!$E18:$Z18,MIN(AF$6-$G$3,22))&lt;&gt;""),'Feijão 1ª safra'!$E18:INDEX('Feijão 1ª safra'!$E18:$Z18,MIN(AF$6-$G$3,22))),0)))))</f>
        <v>0</v>
      </c>
      <c r="AG20" s="27" t="n">
        <f aca="false">IF(COUNT('Feijão 1ª safra'!$E18:$Z18)=0,0,MAX(0,IF((AG$6-$E$3)&lt;1,0,IFERROR(LOOKUP(2,1/('Feijão 1ª safra'!$E18:INDEX('Feijão 1ª safra'!$E18:$Z18,MIN(AG$6-$E$3,22))&lt;&gt;""),'Feijão 1ª safra'!$E18:INDEX('Feijão 1ª safra'!$E18:$Z18,MIN(AG$6-$E$3,22))),0))-IF($G$2,0,IF((AG$6-$G$3)&lt;1,0,IFERROR(LOOKUP(2,1/('Feijão 1ª safra'!$E18:INDEX('Feijão 1ª safra'!$E18:$Z18,MIN(AG$6-$G$3,22))&lt;&gt;""),'Feijão 1ª safra'!$E18:INDEX('Feijão 1ª safra'!$E18:$Z18,MIN(AG$6-$G$3,22))),0)))))</f>
        <v>0</v>
      </c>
      <c r="AH20" s="27" t="n">
        <f aca="false">IF(COUNT('Feijão 1ª safra'!$E18:$Z18)=0,0,MAX(0,IF((AH$6-$E$3)&lt;1,0,IFERROR(LOOKUP(2,1/('Feijão 1ª safra'!$E18:INDEX('Feijão 1ª safra'!$E18:$Z18,MIN(AH$6-$E$3,22))&lt;&gt;""),'Feijão 1ª safra'!$E18:INDEX('Feijão 1ª safra'!$E18:$Z18,MIN(AH$6-$E$3,22))),0))-IF($G$2,0,IF((AH$6-$G$3)&lt;1,0,IFERROR(LOOKUP(2,1/('Feijão 1ª safra'!$E18:INDEX('Feijão 1ª safra'!$E18:$Z18,MIN(AH$6-$G$3,22))&lt;&gt;""),'Feijão 1ª safra'!$E18:INDEX('Feijão 1ª safra'!$E18:$Z18,MIN(AH$6-$G$3,22))),0)))))</f>
        <v>0</v>
      </c>
      <c r="AI20" s="27" t="n">
        <f aca="false">IF(COUNT('Feijão 1ª safra'!$E18:$Z18)=0,0,MAX(0,IF((AI$6-$E$3)&lt;1,0,IFERROR(LOOKUP(2,1/('Feijão 1ª safra'!$E18:INDEX('Feijão 1ª safra'!$E18:$Z18,MIN(AI$6-$E$3,22))&lt;&gt;""),'Feijão 1ª safra'!$E18:INDEX('Feijão 1ª safra'!$E18:$Z18,MIN(AI$6-$E$3,22))),0))-IF($G$2,0,IF((AI$6-$G$3)&lt;1,0,IFERROR(LOOKUP(2,1/('Feijão 1ª safra'!$E18:INDEX('Feijão 1ª safra'!$E18:$Z18,MIN(AI$6-$G$3,22))&lt;&gt;""),'Feijão 1ª safra'!$E18:INDEX('Feijão 1ª safra'!$E18:$Z18,MIN(AI$6-$G$3,22))),0)))))</f>
        <v>0</v>
      </c>
      <c r="AJ20" s="27" t="n">
        <f aca="false">IF(COUNT('Feijão 1ª safra'!$E18:$Z18)=0,0,MAX(0,IF((AJ$6-$E$3)&lt;1,0,IFERROR(LOOKUP(2,1/('Feijão 1ª safra'!$E18:INDEX('Feijão 1ª safra'!$E18:$Z18,MIN(AJ$6-$E$3,22))&lt;&gt;""),'Feijão 1ª safra'!$E18:INDEX('Feijão 1ª safra'!$E18:$Z18,MIN(AJ$6-$E$3,22))),0))-IF($G$2,0,IF((AJ$6-$G$3)&lt;1,0,IFERROR(LOOKUP(2,1/('Feijão 1ª safra'!$E18:INDEX('Feijão 1ª safra'!$E18:$Z18,MIN(AJ$6-$G$3,22))&lt;&gt;""),'Feijão 1ª safra'!$E18:INDEX('Feijão 1ª safra'!$E18:$Z18,MIN(AJ$6-$G$3,22))),0)))))</f>
        <v>0</v>
      </c>
      <c r="AK20" s="27" t="n">
        <f aca="false">IF(COUNT('Feijão 1ª safra'!$E18:$Z18)=0,0,MAX(0,IF((AK$6-$E$3)&lt;1,0,IFERROR(LOOKUP(2,1/('Feijão 1ª safra'!$E18:INDEX('Feijão 1ª safra'!$E18:$Z18,MIN(AK$6-$E$3,22))&lt;&gt;""),'Feijão 1ª safra'!$E18:INDEX('Feijão 1ª safra'!$E18:$Z18,MIN(AK$6-$E$3,22))),0))-IF($G$2,0,IF((AK$6-$G$3)&lt;1,0,IFERROR(LOOKUP(2,1/('Feijão 1ª safra'!$E18:INDEX('Feijão 1ª safra'!$E18:$Z18,MIN(AK$6-$G$3,22))&lt;&gt;""),'Feijão 1ª safra'!$E18:INDEX('Feijão 1ª safra'!$E18:$Z18,MIN(AK$6-$G$3,22))),0)))))</f>
        <v>0</v>
      </c>
      <c r="AL20" s="27" t="n">
        <f aca="false">IF(COUNT('Feijão 1ª safra'!$E18:$Z18)=0,0,MAX(0,IF((AL$6-$E$3)&lt;1,0,IFERROR(LOOKUP(2,1/('Feijão 1ª safra'!$E18:INDEX('Feijão 1ª safra'!$E18:$Z18,MIN(AL$6-$E$3,22))&lt;&gt;""),'Feijão 1ª safra'!$E18:INDEX('Feijão 1ª safra'!$E18:$Z18,MIN(AL$6-$E$3,22))),0))-IF($G$2,0,IF((AL$6-$G$3)&lt;1,0,IFERROR(LOOKUP(2,1/('Feijão 1ª safra'!$E18:INDEX('Feijão 1ª safra'!$E18:$Z18,MIN(AL$6-$G$3,22))&lt;&gt;""),'Feijão 1ª safra'!$E18:INDEX('Feijão 1ª safra'!$E18:$Z18,MIN(AL$6-$G$3,22))),0)))))</f>
        <v>0</v>
      </c>
      <c r="AM20" s="27" t="n">
        <f aca="false">IF(COUNT('Feijão 1ª safra'!$E18:$Z18)=0,0,MAX(0,IF((AM$6-$E$3)&lt;1,0,IFERROR(LOOKUP(2,1/('Feijão 1ª safra'!$E18:INDEX('Feijão 1ª safra'!$E18:$Z18,MIN(AM$6-$E$3,22))&lt;&gt;""),'Feijão 1ª safra'!$E18:INDEX('Feijão 1ª safra'!$E18:$Z18,MIN(AM$6-$E$3,22))),0))-IF($G$2,0,IF((AM$6-$G$3)&lt;1,0,IFERROR(LOOKUP(2,1/('Feijão 1ª safra'!$E18:INDEX('Feijão 1ª safra'!$E18:$Z18,MIN(AM$6-$G$3,22))&lt;&gt;""),'Feijão 1ª safra'!$E18:INDEX('Feijão 1ª safra'!$E18:$Z18,MIN(AM$6-$G$3,22))),0)))))</f>
        <v>0</v>
      </c>
      <c r="AN20" s="27" t="n">
        <f aca="false">IF(COUNT('Feijão 1ª safra'!$E18:$Z18)=0,0,MAX(0,IF((AN$6-$E$3)&lt;1,0,IFERROR(LOOKUP(2,1/('Feijão 1ª safra'!$E18:INDEX('Feijão 1ª safra'!$E18:$Z18,MIN(AN$6-$E$3,22))&lt;&gt;""),'Feijão 1ª safra'!$E18:INDEX('Feijão 1ª safra'!$E18:$Z18,MIN(AN$6-$E$3,22))),0))-IF($G$2,0,IF((AN$6-$G$3)&lt;1,0,IFERROR(LOOKUP(2,1/('Feijão 1ª safra'!$E18:INDEX('Feijão 1ª safra'!$E18:$Z18,MIN(AN$6-$G$3,22))&lt;&gt;""),'Feijão 1ª safra'!$E18:INDEX('Feijão 1ª safra'!$E18:$Z18,MIN(AN$6-$G$3,22))),0)))))</f>
        <v>0</v>
      </c>
      <c r="AO20" s="27" t="n">
        <f aca="false">IF(COUNT('Feijão 1ª safra'!$E18:$Z18)=0,0,MAX(0,IF((AO$6-$E$3)&lt;1,0,IFERROR(LOOKUP(2,1/('Feijão 1ª safra'!$E18:INDEX('Feijão 1ª safra'!$E18:$Z18,MIN(AO$6-$E$3,22))&lt;&gt;""),'Feijão 1ª safra'!$E18:INDEX('Feijão 1ª safra'!$E18:$Z18,MIN(AO$6-$E$3,22))),0))-IF($G$2,0,IF((AO$6-$G$3)&lt;1,0,IFERROR(LOOKUP(2,1/('Feijão 1ª safra'!$E18:INDEX('Feijão 1ª safra'!$E18:$Z18,MIN(AO$6-$G$3,22))&lt;&gt;""),'Feijão 1ª safra'!$E18:INDEX('Feijão 1ª safra'!$E18:$Z18,MIN(AO$6-$G$3,22))),0)))))</f>
        <v>0</v>
      </c>
      <c r="AP20" s="27" t="n">
        <f aca="false">IF(COUNT('Feijão 1ª safra'!$E18:$Z18)=0,0,MAX(0,IF((AP$6-$E$3)&lt;1,0,IFERROR(LOOKUP(2,1/('Feijão 1ª safra'!$E18:INDEX('Feijão 1ª safra'!$E18:$Z18,MIN(AP$6-$E$3,22))&lt;&gt;""),'Feijão 1ª safra'!$E18:INDEX('Feijão 1ª safra'!$E18:$Z18,MIN(AP$6-$E$3,22))),0))-IF($G$2,0,IF((AP$6-$G$3)&lt;1,0,IFERROR(LOOKUP(2,1/('Feijão 1ª safra'!$E18:INDEX('Feijão 1ª safra'!$E18:$Z18,MIN(AP$6-$G$3,22))&lt;&gt;""),'Feijão 1ª safra'!$E18:INDEX('Feijão 1ª safra'!$E18:$Z18,MIN(AP$6-$G$3,22))),0)))))</f>
        <v>0</v>
      </c>
      <c r="AQ20" s="27" t="n">
        <f aca="false">IF(COUNT('Feijão 1ª safra'!$E18:$Z18)=0,0,MAX(0,IF((AQ$6-$E$3)&lt;1,0,IFERROR(LOOKUP(2,1/('Feijão 1ª safra'!$E18:INDEX('Feijão 1ª safra'!$E18:$Z18,MIN(AQ$6-$E$3,22))&lt;&gt;""),'Feijão 1ª safra'!$E18:INDEX('Feijão 1ª safra'!$E18:$Z18,MIN(AQ$6-$E$3,22))),0))-IF($G$2,0,IF((AQ$6-$G$3)&lt;1,0,IFERROR(LOOKUP(2,1/('Feijão 1ª safra'!$E18:INDEX('Feijão 1ª safra'!$E18:$Z18,MIN(AQ$6-$G$3,22))&lt;&gt;""),'Feijão 1ª safra'!$E18:INDEX('Feijão 1ª safra'!$E18:$Z18,MIN(AQ$6-$G$3,22))),0)))))</f>
        <v>0</v>
      </c>
      <c r="AR20" s="27" t="n">
        <f aca="false">IF(COUNT('Feijão 1ª safra'!$E18:$Z18)=0,0,MAX(0,IF((AR$6-$E$3)&lt;1,0,IFERROR(LOOKUP(2,1/('Feijão 1ª safra'!$E18:INDEX('Feijão 1ª safra'!$E18:$Z18,MIN(AR$6-$E$3,22))&lt;&gt;""),'Feijão 1ª safra'!$E18:INDEX('Feijão 1ª safra'!$E18:$Z18,MIN(AR$6-$E$3,22))),0))-IF($G$2,0,IF((AR$6-$G$3)&lt;1,0,IFERROR(LOOKUP(2,1/('Feijão 1ª safra'!$E18:INDEX('Feijão 1ª safra'!$E18:$Z18,MIN(AR$6-$G$3,22))&lt;&gt;""),'Feijão 1ª safra'!$E18:INDEX('Feijão 1ª safra'!$E18:$Z18,MIN(AR$6-$G$3,22))),0)))))</f>
        <v>0</v>
      </c>
      <c r="AS20" s="27" t="n">
        <f aca="false">IF(COUNT('Feijão 1ª safra'!$E18:$Z18)=0,0,MAX(0,IF((AS$6-$E$3)&lt;1,0,IFERROR(LOOKUP(2,1/('Feijão 1ª safra'!$E18:INDEX('Feijão 1ª safra'!$E18:$Z18,MIN(AS$6-$E$3,22))&lt;&gt;""),'Feijão 1ª safra'!$E18:INDEX('Feijão 1ª safra'!$E18:$Z18,MIN(AS$6-$E$3,22))),0))-IF($G$2,0,IF((AS$6-$G$3)&lt;1,0,IFERROR(LOOKUP(2,1/('Feijão 1ª safra'!$E18:INDEX('Feijão 1ª safra'!$E18:$Z18,MIN(AS$6-$G$3,22))&lt;&gt;""),'Feijão 1ª safra'!$E18:INDEX('Feijão 1ª safra'!$E18:$Z18,MIN(AS$6-$G$3,22))),0)))))</f>
        <v>0</v>
      </c>
      <c r="AT20" s="27" t="n">
        <f aca="false">IF(COUNT('Feijão 1ª safra'!$E18:$Z18)=0,0,MAX(0,IF((AT$6-$E$3)&lt;1,0,IFERROR(LOOKUP(2,1/('Feijão 1ª safra'!$E18:INDEX('Feijão 1ª safra'!$E18:$Z18,MIN(AT$6-$E$3,22))&lt;&gt;""),'Feijão 1ª safra'!$E18:INDEX('Feijão 1ª safra'!$E18:$Z18,MIN(AT$6-$E$3,22))),0))-IF($G$2,0,IF((AT$6-$G$3)&lt;1,0,IFERROR(LOOKUP(2,1/('Feijão 1ª safra'!$E18:INDEX('Feijão 1ª safra'!$E18:$Z18,MIN(AT$6-$G$3,22))&lt;&gt;""),'Feijão 1ª safra'!$E18:INDEX('Feijão 1ª safra'!$E18:$Z18,MIN(AT$6-$G$3,22))),0)))))</f>
        <v>0</v>
      </c>
      <c r="AU20" s="27" t="n">
        <f aca="false">IF(COUNT('Feijão 1ª safra'!$E18:$Z18)=0,0,MAX(0,IF((AU$6-$E$3)&lt;1,0,IFERROR(LOOKUP(2,1/('Feijão 1ª safra'!$E18:INDEX('Feijão 1ª safra'!$E18:$Z18,MIN(AU$6-$E$3,22))&lt;&gt;""),'Feijão 1ª safra'!$E18:INDEX('Feijão 1ª safra'!$E18:$Z18,MIN(AU$6-$E$3,22))),0))-IF($G$2,0,IF((AU$6-$G$3)&lt;1,0,IFERROR(LOOKUP(2,1/('Feijão 1ª safra'!$E18:INDEX('Feijão 1ª safra'!$E18:$Z18,MIN(AU$6-$G$3,22))&lt;&gt;""),'Feijão 1ª safra'!$E18:INDEX('Feijão 1ª safra'!$E18:$Z18,MIN(AU$6-$G$3,22))),0)))))</f>
        <v>0</v>
      </c>
      <c r="AV20" s="27" t="n">
        <f aca="false">IF(COUNT('Feijão 1ª safra'!$E18:$Z18)=0,0,MAX(0,IF((AV$6-$E$3)&lt;1,0,IFERROR(LOOKUP(2,1/('Feijão 1ª safra'!$E18:INDEX('Feijão 1ª safra'!$E18:$Z18,MIN(AV$6-$E$3,22))&lt;&gt;""),'Feijão 1ª safra'!$E18:INDEX('Feijão 1ª safra'!$E18:$Z18,MIN(AV$6-$E$3,22))),0))-IF($G$2,0,IF((AV$6-$G$3)&lt;1,0,IFERROR(LOOKUP(2,1/('Feijão 1ª safra'!$E18:INDEX('Feijão 1ª safra'!$E18:$Z18,MIN(AV$6-$G$3,22))&lt;&gt;""),'Feijão 1ª safra'!$E18:INDEX('Feijão 1ª safra'!$E18:$Z18,MIN(AV$6-$G$3,22))),0)))))</f>
        <v>0</v>
      </c>
      <c r="AW20" s="27" t="n">
        <f aca="false">IF(COUNT('Feijão 1ª safra'!$E18:$Z18)=0,0,MAX(0,IF((AW$6-$E$3)&lt;1,0,IFERROR(LOOKUP(2,1/('Feijão 1ª safra'!$E18:INDEX('Feijão 1ª safra'!$E18:$Z18,MIN(AW$6-$E$3,22))&lt;&gt;""),'Feijão 1ª safra'!$E18:INDEX('Feijão 1ª safra'!$E18:$Z18,MIN(AW$6-$E$3,22))),0))-IF($G$2,0,IF((AW$6-$G$3)&lt;1,0,IFERROR(LOOKUP(2,1/('Feijão 1ª safra'!$E18:INDEX('Feijão 1ª safra'!$E18:$Z18,MIN(AW$6-$G$3,22))&lt;&gt;""),'Feijão 1ª safra'!$E18:INDEX('Feijão 1ª safra'!$E18:$Z18,MIN(AW$6-$G$3,22))),0)))))</f>
        <v>0</v>
      </c>
      <c r="AX20" s="27" t="n">
        <f aca="false">IF(COUNT('Feijão 1ª safra'!$E18:$Z18)=0,0,MAX(0,IF((AX$6-$E$3)&lt;1,0,IFERROR(LOOKUP(2,1/('Feijão 1ª safra'!$E18:INDEX('Feijão 1ª safra'!$E18:$Z18,MIN(AX$6-$E$3,22))&lt;&gt;""),'Feijão 1ª safra'!$E18:INDEX('Feijão 1ª safra'!$E18:$Z18,MIN(AX$6-$E$3,22))),0))-IF($G$2,0,IF((AX$6-$G$3)&lt;1,0,IFERROR(LOOKUP(2,1/('Feijão 1ª safra'!$E18:INDEX('Feijão 1ª safra'!$E18:$Z18,MIN(AX$6-$G$3,22))&lt;&gt;""),'Feijão 1ª safra'!$E18:INDEX('Feijão 1ª safra'!$E18:$Z18,MIN(AX$6-$G$3,22))),0)))))</f>
        <v>0</v>
      </c>
      <c r="AY20" s="27" t="n">
        <f aca="false">IF(COUNT('Feijão 1ª safra'!$E18:$Z18)=0,0,MAX(0,IF((AY$6-$E$3)&lt;1,0,IFERROR(LOOKUP(2,1/('Feijão 1ª safra'!$E18:INDEX('Feijão 1ª safra'!$E18:$Z18,MIN(AY$6-$E$3,22))&lt;&gt;""),'Feijão 1ª safra'!$E18:INDEX('Feijão 1ª safra'!$E18:$Z18,MIN(AY$6-$E$3,22))),0))-IF($G$2,0,IF((AY$6-$G$3)&lt;1,0,IFERROR(LOOKUP(2,1/('Feijão 1ª safra'!$E18:INDEX('Feijão 1ª safra'!$E18:$Z18,MIN(AY$6-$G$3,22))&lt;&gt;""),'Feijão 1ª safra'!$E18:INDEX('Feijão 1ª safra'!$E18:$Z18,MIN(AY$6-$G$3,22))),0)))))</f>
        <v>0</v>
      </c>
      <c r="AZ20" s="27" t="n">
        <f aca="false">IF(COUNT('Feijão 1ª safra'!$E18:$Z18)=0,0,MAX(0,IF((AZ$6-$E$3)&lt;1,0,IFERROR(LOOKUP(2,1/('Feijão 1ª safra'!$E18:INDEX('Feijão 1ª safra'!$E18:$Z18,MIN(AZ$6-$E$3,22))&lt;&gt;""),'Feijão 1ª safra'!$E18:INDEX('Feijão 1ª safra'!$E18:$Z18,MIN(AZ$6-$E$3,22))),0))-IF($G$2,0,IF((AZ$6-$G$3)&lt;1,0,IFERROR(LOOKUP(2,1/('Feijão 1ª safra'!$E18:INDEX('Feijão 1ª safra'!$E18:$Z18,MIN(AZ$6-$G$3,22))&lt;&gt;""),'Feijão 1ª safra'!$E18:INDEX('Feijão 1ª safra'!$E18:$Z18,MIN(AZ$6-$G$3,22))),0)))))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IF(COUNT('Feijão 1ª safra'!$E19:$Z19)&gt;0,N('Feijão 1ª safra'!$D19),0)</f>
        <v>0</v>
      </c>
      <c r="E21" s="27" t="n">
        <f aca="false">IF(COUNT('Feijão 1ª safra'!$E19:$Z19)=0,0,MAX(0,IF((E$6-$E$3)&lt;1,0,IFERROR(LOOKUP(2,1/('Feijão 1ª safra'!$E19:INDEX('Feijão 1ª safra'!$E19:$Z19,MIN(E$6-$E$3,22))&lt;&gt;""),'Feijão 1ª safra'!$E19:INDEX('Feijão 1ª safra'!$E19:$Z19,MIN(E$6-$E$3,22))),0))-IF($G$2,0,IF((E$6-$G$3)&lt;1,0,IFERROR(LOOKUP(2,1/('Feijão 1ª safra'!$E19:INDEX('Feijão 1ª safra'!$E19:$Z19,MIN(E$6-$G$3,22))&lt;&gt;""),'Feijão 1ª safra'!$E19:INDEX('Feijão 1ª safra'!$E19:$Z19,MIN(E$6-$G$3,22))),0)))))</f>
        <v>0</v>
      </c>
      <c r="F21" s="27" t="n">
        <f aca="false">IF(COUNT('Feijão 1ª safra'!$E19:$Z19)=0,0,MAX(0,IF((F$6-$E$3)&lt;1,0,IFERROR(LOOKUP(2,1/('Feijão 1ª safra'!$E19:INDEX('Feijão 1ª safra'!$E19:$Z19,MIN(F$6-$E$3,22))&lt;&gt;""),'Feijão 1ª safra'!$E19:INDEX('Feijão 1ª safra'!$E19:$Z19,MIN(F$6-$E$3,22))),0))-IF($G$2,0,IF((F$6-$G$3)&lt;1,0,IFERROR(LOOKUP(2,1/('Feijão 1ª safra'!$E19:INDEX('Feijão 1ª safra'!$E19:$Z19,MIN(F$6-$G$3,22))&lt;&gt;""),'Feijão 1ª safra'!$E19:INDEX('Feijão 1ª safra'!$E19:$Z19,MIN(F$6-$G$3,22))),0)))))</f>
        <v>0</v>
      </c>
      <c r="G21" s="27" t="n">
        <f aca="false">IF(COUNT('Feijão 1ª safra'!$E19:$Z19)=0,0,MAX(0,IF((G$6-$E$3)&lt;1,0,IFERROR(LOOKUP(2,1/('Feijão 1ª safra'!$E19:INDEX('Feijão 1ª safra'!$E19:$Z19,MIN(G$6-$E$3,22))&lt;&gt;""),'Feijão 1ª safra'!$E19:INDEX('Feijão 1ª safra'!$E19:$Z19,MIN(G$6-$E$3,22))),0))-IF($G$2,0,IF((G$6-$G$3)&lt;1,0,IFERROR(LOOKUP(2,1/('Feijão 1ª safra'!$E19:INDEX('Feijão 1ª safra'!$E19:$Z19,MIN(G$6-$G$3,22))&lt;&gt;""),'Feijão 1ª safra'!$E19:INDEX('Feijão 1ª safra'!$E19:$Z19,MIN(G$6-$G$3,22))),0)))))</f>
        <v>0</v>
      </c>
      <c r="H21" s="27" t="n">
        <f aca="false">IF(COUNT('Feijão 1ª safra'!$E19:$Z19)=0,0,MAX(0,IF((H$6-$E$3)&lt;1,0,IFERROR(LOOKUP(2,1/('Feijão 1ª safra'!$E19:INDEX('Feijão 1ª safra'!$E19:$Z19,MIN(H$6-$E$3,22))&lt;&gt;""),'Feijão 1ª safra'!$E19:INDEX('Feijão 1ª safra'!$E19:$Z19,MIN(H$6-$E$3,22))),0))-IF($G$2,0,IF((H$6-$G$3)&lt;1,0,IFERROR(LOOKUP(2,1/('Feijão 1ª safra'!$E19:INDEX('Feijão 1ª safra'!$E19:$Z19,MIN(H$6-$G$3,22))&lt;&gt;""),'Feijão 1ª safra'!$E19:INDEX('Feijão 1ª safra'!$E19:$Z19,MIN(H$6-$G$3,22))),0)))))</f>
        <v>0</v>
      </c>
      <c r="I21" s="27" t="n">
        <f aca="false">IF(COUNT('Feijão 1ª safra'!$E19:$Z19)=0,0,MAX(0,IF((I$6-$E$3)&lt;1,0,IFERROR(LOOKUP(2,1/('Feijão 1ª safra'!$E19:INDEX('Feijão 1ª safra'!$E19:$Z19,MIN(I$6-$E$3,22))&lt;&gt;""),'Feijão 1ª safra'!$E19:INDEX('Feijão 1ª safra'!$E19:$Z19,MIN(I$6-$E$3,22))),0))-IF($G$2,0,IF((I$6-$G$3)&lt;1,0,IFERROR(LOOKUP(2,1/('Feijão 1ª safra'!$E19:INDEX('Feijão 1ª safra'!$E19:$Z19,MIN(I$6-$G$3,22))&lt;&gt;""),'Feijão 1ª safra'!$E19:INDEX('Feijão 1ª safra'!$E19:$Z19,MIN(I$6-$G$3,22))),0)))))</f>
        <v>0</v>
      </c>
      <c r="J21" s="27" t="n">
        <f aca="false">IF(COUNT('Feijão 1ª safra'!$E19:$Z19)=0,0,MAX(0,IF((J$6-$E$3)&lt;1,0,IFERROR(LOOKUP(2,1/('Feijão 1ª safra'!$E19:INDEX('Feijão 1ª safra'!$E19:$Z19,MIN(J$6-$E$3,22))&lt;&gt;""),'Feijão 1ª safra'!$E19:INDEX('Feijão 1ª safra'!$E19:$Z19,MIN(J$6-$E$3,22))),0))-IF($G$2,0,IF((J$6-$G$3)&lt;1,0,IFERROR(LOOKUP(2,1/('Feijão 1ª safra'!$E19:INDEX('Feijão 1ª safra'!$E19:$Z19,MIN(J$6-$G$3,22))&lt;&gt;""),'Feijão 1ª safra'!$E19:INDEX('Feijão 1ª safra'!$E19:$Z19,MIN(J$6-$G$3,22))),0)))))</f>
        <v>0</v>
      </c>
      <c r="K21" s="27" t="n">
        <f aca="false">IF(COUNT('Feijão 1ª safra'!$E19:$Z19)=0,0,MAX(0,IF((K$6-$E$3)&lt;1,0,IFERROR(LOOKUP(2,1/('Feijão 1ª safra'!$E19:INDEX('Feijão 1ª safra'!$E19:$Z19,MIN(K$6-$E$3,22))&lt;&gt;""),'Feijão 1ª safra'!$E19:INDEX('Feijão 1ª safra'!$E19:$Z19,MIN(K$6-$E$3,22))),0))-IF($G$2,0,IF((K$6-$G$3)&lt;1,0,IFERROR(LOOKUP(2,1/('Feijão 1ª safra'!$E19:INDEX('Feijão 1ª safra'!$E19:$Z19,MIN(K$6-$G$3,22))&lt;&gt;""),'Feijão 1ª safra'!$E19:INDEX('Feijão 1ª safra'!$E19:$Z19,MIN(K$6-$G$3,22))),0)))))</f>
        <v>0</v>
      </c>
      <c r="L21" s="27" t="n">
        <f aca="false">IF(COUNT('Feijão 1ª safra'!$E19:$Z19)=0,0,MAX(0,IF((L$6-$E$3)&lt;1,0,IFERROR(LOOKUP(2,1/('Feijão 1ª safra'!$E19:INDEX('Feijão 1ª safra'!$E19:$Z19,MIN(L$6-$E$3,22))&lt;&gt;""),'Feijão 1ª safra'!$E19:INDEX('Feijão 1ª safra'!$E19:$Z19,MIN(L$6-$E$3,22))),0))-IF($G$2,0,IF((L$6-$G$3)&lt;1,0,IFERROR(LOOKUP(2,1/('Feijão 1ª safra'!$E19:INDEX('Feijão 1ª safra'!$E19:$Z19,MIN(L$6-$G$3,22))&lt;&gt;""),'Feijão 1ª safra'!$E19:INDEX('Feijão 1ª safra'!$E19:$Z19,MIN(L$6-$G$3,22))),0)))))</f>
        <v>0</v>
      </c>
      <c r="M21" s="27" t="n">
        <f aca="false">IF(COUNT('Feijão 1ª safra'!$E19:$Z19)=0,0,MAX(0,IF((M$6-$E$3)&lt;1,0,IFERROR(LOOKUP(2,1/('Feijão 1ª safra'!$E19:INDEX('Feijão 1ª safra'!$E19:$Z19,MIN(M$6-$E$3,22))&lt;&gt;""),'Feijão 1ª safra'!$E19:INDEX('Feijão 1ª safra'!$E19:$Z19,MIN(M$6-$E$3,22))),0))-IF($G$2,0,IF((M$6-$G$3)&lt;1,0,IFERROR(LOOKUP(2,1/('Feijão 1ª safra'!$E19:INDEX('Feijão 1ª safra'!$E19:$Z19,MIN(M$6-$G$3,22))&lt;&gt;""),'Feijão 1ª safra'!$E19:INDEX('Feijão 1ª safra'!$E19:$Z19,MIN(M$6-$G$3,22))),0)))))</f>
        <v>0</v>
      </c>
      <c r="N21" s="27" t="n">
        <f aca="false">IF(COUNT('Feijão 1ª safra'!$E19:$Z19)=0,0,MAX(0,IF((N$6-$E$3)&lt;1,0,IFERROR(LOOKUP(2,1/('Feijão 1ª safra'!$E19:INDEX('Feijão 1ª safra'!$E19:$Z19,MIN(N$6-$E$3,22))&lt;&gt;""),'Feijão 1ª safra'!$E19:INDEX('Feijão 1ª safra'!$E19:$Z19,MIN(N$6-$E$3,22))),0))-IF($G$2,0,IF((N$6-$G$3)&lt;1,0,IFERROR(LOOKUP(2,1/('Feijão 1ª safra'!$E19:INDEX('Feijão 1ª safra'!$E19:$Z19,MIN(N$6-$G$3,22))&lt;&gt;""),'Feijão 1ª safra'!$E19:INDEX('Feijão 1ª safra'!$E19:$Z19,MIN(N$6-$G$3,22))),0)))))</f>
        <v>0</v>
      </c>
      <c r="O21" s="27" t="n">
        <f aca="false">IF(COUNT('Feijão 1ª safra'!$E19:$Z19)=0,0,MAX(0,IF((O$6-$E$3)&lt;1,0,IFERROR(LOOKUP(2,1/('Feijão 1ª safra'!$E19:INDEX('Feijão 1ª safra'!$E19:$Z19,MIN(O$6-$E$3,22))&lt;&gt;""),'Feijão 1ª safra'!$E19:INDEX('Feijão 1ª safra'!$E19:$Z19,MIN(O$6-$E$3,22))),0))-IF($G$2,0,IF((O$6-$G$3)&lt;1,0,IFERROR(LOOKUP(2,1/('Feijão 1ª safra'!$E19:INDEX('Feijão 1ª safra'!$E19:$Z19,MIN(O$6-$G$3,22))&lt;&gt;""),'Feijão 1ª safra'!$E19:INDEX('Feijão 1ª safra'!$E19:$Z19,MIN(O$6-$G$3,22))),0)))))</f>
        <v>0</v>
      </c>
      <c r="P21" s="27" t="n">
        <f aca="false">IF(COUNT('Feijão 1ª safra'!$E19:$Z19)=0,0,MAX(0,IF((P$6-$E$3)&lt;1,0,IFERROR(LOOKUP(2,1/('Feijão 1ª safra'!$E19:INDEX('Feijão 1ª safra'!$E19:$Z19,MIN(P$6-$E$3,22))&lt;&gt;""),'Feijão 1ª safra'!$E19:INDEX('Feijão 1ª safra'!$E19:$Z19,MIN(P$6-$E$3,22))),0))-IF($G$2,0,IF((P$6-$G$3)&lt;1,0,IFERROR(LOOKUP(2,1/('Feijão 1ª safra'!$E19:INDEX('Feijão 1ª safra'!$E19:$Z19,MIN(P$6-$G$3,22))&lt;&gt;""),'Feijão 1ª safra'!$E19:INDEX('Feijão 1ª safra'!$E19:$Z19,MIN(P$6-$G$3,22))),0)))))</f>
        <v>0</v>
      </c>
      <c r="Q21" s="27" t="n">
        <f aca="false">IF(COUNT('Feijão 1ª safra'!$E19:$Z19)=0,0,MAX(0,IF((Q$6-$E$3)&lt;1,0,IFERROR(LOOKUP(2,1/('Feijão 1ª safra'!$E19:INDEX('Feijão 1ª safra'!$E19:$Z19,MIN(Q$6-$E$3,22))&lt;&gt;""),'Feijão 1ª safra'!$E19:INDEX('Feijão 1ª safra'!$E19:$Z19,MIN(Q$6-$E$3,22))),0))-IF($G$2,0,IF((Q$6-$G$3)&lt;1,0,IFERROR(LOOKUP(2,1/('Feijão 1ª safra'!$E19:INDEX('Feijão 1ª safra'!$E19:$Z19,MIN(Q$6-$G$3,22))&lt;&gt;""),'Feijão 1ª safra'!$E19:INDEX('Feijão 1ª safra'!$E19:$Z19,MIN(Q$6-$G$3,22))),0)))))</f>
        <v>0</v>
      </c>
      <c r="R21" s="27" t="n">
        <f aca="false">IF(COUNT('Feijão 1ª safra'!$E19:$Z19)=0,0,MAX(0,IF((R$6-$E$3)&lt;1,0,IFERROR(LOOKUP(2,1/('Feijão 1ª safra'!$E19:INDEX('Feijão 1ª safra'!$E19:$Z19,MIN(R$6-$E$3,22))&lt;&gt;""),'Feijão 1ª safra'!$E19:INDEX('Feijão 1ª safra'!$E19:$Z19,MIN(R$6-$E$3,22))),0))-IF($G$2,0,IF((R$6-$G$3)&lt;1,0,IFERROR(LOOKUP(2,1/('Feijão 1ª safra'!$E19:INDEX('Feijão 1ª safra'!$E19:$Z19,MIN(R$6-$G$3,22))&lt;&gt;""),'Feijão 1ª safra'!$E19:INDEX('Feijão 1ª safra'!$E19:$Z19,MIN(R$6-$G$3,22))),0)))))</f>
        <v>0</v>
      </c>
      <c r="S21" s="27" t="n">
        <f aca="false">IF(COUNT('Feijão 1ª safra'!$E19:$Z19)=0,0,MAX(0,IF((S$6-$E$3)&lt;1,0,IFERROR(LOOKUP(2,1/('Feijão 1ª safra'!$E19:INDEX('Feijão 1ª safra'!$E19:$Z19,MIN(S$6-$E$3,22))&lt;&gt;""),'Feijão 1ª safra'!$E19:INDEX('Feijão 1ª safra'!$E19:$Z19,MIN(S$6-$E$3,22))),0))-IF($G$2,0,IF((S$6-$G$3)&lt;1,0,IFERROR(LOOKUP(2,1/('Feijão 1ª safra'!$E19:INDEX('Feijão 1ª safra'!$E19:$Z19,MIN(S$6-$G$3,22))&lt;&gt;""),'Feijão 1ª safra'!$E19:INDEX('Feijão 1ª safra'!$E19:$Z19,MIN(S$6-$G$3,22))),0)))))</f>
        <v>0</v>
      </c>
      <c r="T21" s="27" t="n">
        <f aca="false">IF(COUNT('Feijão 1ª safra'!$E19:$Z19)=0,0,MAX(0,IF((T$6-$E$3)&lt;1,0,IFERROR(LOOKUP(2,1/('Feijão 1ª safra'!$E19:INDEX('Feijão 1ª safra'!$E19:$Z19,MIN(T$6-$E$3,22))&lt;&gt;""),'Feijão 1ª safra'!$E19:INDEX('Feijão 1ª safra'!$E19:$Z19,MIN(T$6-$E$3,22))),0))-IF($G$2,0,IF((T$6-$G$3)&lt;1,0,IFERROR(LOOKUP(2,1/('Feijão 1ª safra'!$E19:INDEX('Feijão 1ª safra'!$E19:$Z19,MIN(T$6-$G$3,22))&lt;&gt;""),'Feijão 1ª safra'!$E19:INDEX('Feijão 1ª safra'!$E19:$Z19,MIN(T$6-$G$3,22))),0)))))</f>
        <v>0</v>
      </c>
      <c r="U21" s="27" t="n">
        <f aca="false">IF(COUNT('Feijão 1ª safra'!$E19:$Z19)=0,0,MAX(0,IF((U$6-$E$3)&lt;1,0,IFERROR(LOOKUP(2,1/('Feijão 1ª safra'!$E19:INDEX('Feijão 1ª safra'!$E19:$Z19,MIN(U$6-$E$3,22))&lt;&gt;""),'Feijão 1ª safra'!$E19:INDEX('Feijão 1ª safra'!$E19:$Z19,MIN(U$6-$E$3,22))),0))-IF($G$2,0,IF((U$6-$G$3)&lt;1,0,IFERROR(LOOKUP(2,1/('Feijão 1ª safra'!$E19:INDEX('Feijão 1ª safra'!$E19:$Z19,MIN(U$6-$G$3,22))&lt;&gt;""),'Feijão 1ª safra'!$E19:INDEX('Feijão 1ª safra'!$E19:$Z19,MIN(U$6-$G$3,22))),0)))))</f>
        <v>0</v>
      </c>
      <c r="V21" s="27" t="n">
        <f aca="false">IF(COUNT('Feijão 1ª safra'!$E19:$Z19)=0,0,MAX(0,IF((V$6-$E$3)&lt;1,0,IFERROR(LOOKUP(2,1/('Feijão 1ª safra'!$E19:INDEX('Feijão 1ª safra'!$E19:$Z19,MIN(V$6-$E$3,22))&lt;&gt;""),'Feijão 1ª safra'!$E19:INDEX('Feijão 1ª safra'!$E19:$Z19,MIN(V$6-$E$3,22))),0))-IF($G$2,0,IF((V$6-$G$3)&lt;1,0,IFERROR(LOOKUP(2,1/('Feijão 1ª safra'!$E19:INDEX('Feijão 1ª safra'!$E19:$Z19,MIN(V$6-$G$3,22))&lt;&gt;""),'Feijão 1ª safra'!$E19:INDEX('Feijão 1ª safra'!$E19:$Z19,MIN(V$6-$G$3,22))),0)))))</f>
        <v>0</v>
      </c>
      <c r="W21" s="27" t="n">
        <f aca="false">IF(COUNT('Feijão 1ª safra'!$E19:$Z19)=0,0,MAX(0,IF((W$6-$E$3)&lt;1,0,IFERROR(LOOKUP(2,1/('Feijão 1ª safra'!$E19:INDEX('Feijão 1ª safra'!$E19:$Z19,MIN(W$6-$E$3,22))&lt;&gt;""),'Feijão 1ª safra'!$E19:INDEX('Feijão 1ª safra'!$E19:$Z19,MIN(W$6-$E$3,22))),0))-IF($G$2,0,IF((W$6-$G$3)&lt;1,0,IFERROR(LOOKUP(2,1/('Feijão 1ª safra'!$E19:INDEX('Feijão 1ª safra'!$E19:$Z19,MIN(W$6-$G$3,22))&lt;&gt;""),'Feijão 1ª safra'!$E19:INDEX('Feijão 1ª safra'!$E19:$Z19,MIN(W$6-$G$3,22))),0)))))</f>
        <v>0</v>
      </c>
      <c r="X21" s="27" t="n">
        <f aca="false">IF(COUNT('Feijão 1ª safra'!$E19:$Z19)=0,0,MAX(0,IF((X$6-$E$3)&lt;1,0,IFERROR(LOOKUP(2,1/('Feijão 1ª safra'!$E19:INDEX('Feijão 1ª safra'!$E19:$Z19,MIN(X$6-$E$3,22))&lt;&gt;""),'Feijão 1ª safra'!$E19:INDEX('Feijão 1ª safra'!$E19:$Z19,MIN(X$6-$E$3,22))),0))-IF($G$2,0,IF((X$6-$G$3)&lt;1,0,IFERROR(LOOKUP(2,1/('Feijão 1ª safra'!$E19:INDEX('Feijão 1ª safra'!$E19:$Z19,MIN(X$6-$G$3,22))&lt;&gt;""),'Feijão 1ª safra'!$E19:INDEX('Feijão 1ª safra'!$E19:$Z19,MIN(X$6-$G$3,22))),0)))))</f>
        <v>0</v>
      </c>
      <c r="Y21" s="27" t="n">
        <f aca="false">IF(COUNT('Feijão 1ª safra'!$E19:$Z19)=0,0,MAX(0,IF((Y$6-$E$3)&lt;1,0,IFERROR(LOOKUP(2,1/('Feijão 1ª safra'!$E19:INDEX('Feijão 1ª safra'!$E19:$Z19,MIN(Y$6-$E$3,22))&lt;&gt;""),'Feijão 1ª safra'!$E19:INDEX('Feijão 1ª safra'!$E19:$Z19,MIN(Y$6-$E$3,22))),0))-IF($G$2,0,IF((Y$6-$G$3)&lt;1,0,IFERROR(LOOKUP(2,1/('Feijão 1ª safra'!$E19:INDEX('Feijão 1ª safra'!$E19:$Z19,MIN(Y$6-$G$3,22))&lt;&gt;""),'Feijão 1ª safra'!$E19:INDEX('Feijão 1ª safra'!$E19:$Z19,MIN(Y$6-$G$3,22))),0)))))</f>
        <v>0</v>
      </c>
      <c r="Z21" s="27" t="n">
        <f aca="false">IF(COUNT('Feijão 1ª safra'!$E19:$Z19)=0,0,MAX(0,IF((Z$6-$E$3)&lt;1,0,IFERROR(LOOKUP(2,1/('Feijão 1ª safra'!$E19:INDEX('Feijão 1ª safra'!$E19:$Z19,MIN(Z$6-$E$3,22))&lt;&gt;""),'Feijão 1ª safra'!$E19:INDEX('Feijão 1ª safra'!$E19:$Z19,MIN(Z$6-$E$3,22))),0))-IF($G$2,0,IF((Z$6-$G$3)&lt;1,0,IFERROR(LOOKUP(2,1/('Feijão 1ª safra'!$E19:INDEX('Feijão 1ª safra'!$E19:$Z19,MIN(Z$6-$G$3,22))&lt;&gt;""),'Feijão 1ª safra'!$E19:INDEX('Feijão 1ª safra'!$E19:$Z19,MIN(Z$6-$G$3,22))),0)))))</f>
        <v>0</v>
      </c>
      <c r="AA21" s="27" t="n">
        <f aca="false">IF(COUNT('Feijão 1ª safra'!$E19:$Z19)=0,0,MAX(0,IF((AA$6-$E$3)&lt;1,0,IFERROR(LOOKUP(2,1/('Feijão 1ª safra'!$E19:INDEX('Feijão 1ª safra'!$E19:$Z19,MIN(AA$6-$E$3,22))&lt;&gt;""),'Feijão 1ª safra'!$E19:INDEX('Feijão 1ª safra'!$E19:$Z19,MIN(AA$6-$E$3,22))),0))-IF($G$2,0,IF((AA$6-$G$3)&lt;1,0,IFERROR(LOOKUP(2,1/('Feijão 1ª safra'!$E19:INDEX('Feijão 1ª safra'!$E19:$Z19,MIN(AA$6-$G$3,22))&lt;&gt;""),'Feijão 1ª safra'!$E19:INDEX('Feijão 1ª safra'!$E19:$Z19,MIN(AA$6-$G$3,22))),0)))))</f>
        <v>0</v>
      </c>
      <c r="AB21" s="27" t="n">
        <f aca="false">IF(COUNT('Feijão 1ª safra'!$E19:$Z19)=0,0,MAX(0,IF((AB$6-$E$3)&lt;1,0,IFERROR(LOOKUP(2,1/('Feijão 1ª safra'!$E19:INDEX('Feijão 1ª safra'!$E19:$Z19,MIN(AB$6-$E$3,22))&lt;&gt;""),'Feijão 1ª safra'!$E19:INDEX('Feijão 1ª safra'!$E19:$Z19,MIN(AB$6-$E$3,22))),0))-IF($G$2,0,IF((AB$6-$G$3)&lt;1,0,IFERROR(LOOKUP(2,1/('Feijão 1ª safra'!$E19:INDEX('Feijão 1ª safra'!$E19:$Z19,MIN(AB$6-$G$3,22))&lt;&gt;""),'Feijão 1ª safra'!$E19:INDEX('Feijão 1ª safra'!$E19:$Z19,MIN(AB$6-$G$3,22))),0)))))</f>
        <v>0</v>
      </c>
      <c r="AC21" s="27" t="n">
        <f aca="false">IF(COUNT('Feijão 1ª safra'!$E19:$Z19)=0,0,MAX(0,IF((AC$6-$E$3)&lt;1,0,IFERROR(LOOKUP(2,1/('Feijão 1ª safra'!$E19:INDEX('Feijão 1ª safra'!$E19:$Z19,MIN(AC$6-$E$3,22))&lt;&gt;""),'Feijão 1ª safra'!$E19:INDEX('Feijão 1ª safra'!$E19:$Z19,MIN(AC$6-$E$3,22))),0))-IF($G$2,0,IF((AC$6-$G$3)&lt;1,0,IFERROR(LOOKUP(2,1/('Feijão 1ª safra'!$E19:INDEX('Feijão 1ª safra'!$E19:$Z19,MIN(AC$6-$G$3,22))&lt;&gt;""),'Feijão 1ª safra'!$E19:INDEX('Feijão 1ª safra'!$E19:$Z19,MIN(AC$6-$G$3,22))),0)))))</f>
        <v>0</v>
      </c>
      <c r="AD21" s="27" t="n">
        <f aca="false">IF(COUNT('Feijão 1ª safra'!$E19:$Z19)=0,0,MAX(0,IF((AD$6-$E$3)&lt;1,0,IFERROR(LOOKUP(2,1/('Feijão 1ª safra'!$E19:INDEX('Feijão 1ª safra'!$E19:$Z19,MIN(AD$6-$E$3,22))&lt;&gt;""),'Feijão 1ª safra'!$E19:INDEX('Feijão 1ª safra'!$E19:$Z19,MIN(AD$6-$E$3,22))),0))-IF($G$2,0,IF((AD$6-$G$3)&lt;1,0,IFERROR(LOOKUP(2,1/('Feijão 1ª safra'!$E19:INDEX('Feijão 1ª safra'!$E19:$Z19,MIN(AD$6-$G$3,22))&lt;&gt;""),'Feijão 1ª safra'!$E19:INDEX('Feijão 1ª safra'!$E19:$Z19,MIN(AD$6-$G$3,22))),0)))))</f>
        <v>0</v>
      </c>
      <c r="AE21" s="27" t="n">
        <f aca="false">IF(COUNT('Feijão 1ª safra'!$E19:$Z19)=0,0,MAX(0,IF((AE$6-$E$3)&lt;1,0,IFERROR(LOOKUP(2,1/('Feijão 1ª safra'!$E19:INDEX('Feijão 1ª safra'!$E19:$Z19,MIN(AE$6-$E$3,22))&lt;&gt;""),'Feijão 1ª safra'!$E19:INDEX('Feijão 1ª safra'!$E19:$Z19,MIN(AE$6-$E$3,22))),0))-IF($G$2,0,IF((AE$6-$G$3)&lt;1,0,IFERROR(LOOKUP(2,1/('Feijão 1ª safra'!$E19:INDEX('Feijão 1ª safra'!$E19:$Z19,MIN(AE$6-$G$3,22))&lt;&gt;""),'Feijão 1ª safra'!$E19:INDEX('Feijão 1ª safra'!$E19:$Z19,MIN(AE$6-$G$3,22))),0)))))</f>
        <v>0</v>
      </c>
      <c r="AF21" s="27" t="n">
        <f aca="false">IF(COUNT('Feijão 1ª safra'!$E19:$Z19)=0,0,MAX(0,IF((AF$6-$E$3)&lt;1,0,IFERROR(LOOKUP(2,1/('Feijão 1ª safra'!$E19:INDEX('Feijão 1ª safra'!$E19:$Z19,MIN(AF$6-$E$3,22))&lt;&gt;""),'Feijão 1ª safra'!$E19:INDEX('Feijão 1ª safra'!$E19:$Z19,MIN(AF$6-$E$3,22))),0))-IF($G$2,0,IF((AF$6-$G$3)&lt;1,0,IFERROR(LOOKUP(2,1/('Feijão 1ª safra'!$E19:INDEX('Feijão 1ª safra'!$E19:$Z19,MIN(AF$6-$G$3,22))&lt;&gt;""),'Feijão 1ª safra'!$E19:INDEX('Feijão 1ª safra'!$E19:$Z19,MIN(AF$6-$G$3,22))),0)))))</f>
        <v>0</v>
      </c>
      <c r="AG21" s="27" t="n">
        <f aca="false">IF(COUNT('Feijão 1ª safra'!$E19:$Z19)=0,0,MAX(0,IF((AG$6-$E$3)&lt;1,0,IFERROR(LOOKUP(2,1/('Feijão 1ª safra'!$E19:INDEX('Feijão 1ª safra'!$E19:$Z19,MIN(AG$6-$E$3,22))&lt;&gt;""),'Feijão 1ª safra'!$E19:INDEX('Feijão 1ª safra'!$E19:$Z19,MIN(AG$6-$E$3,22))),0))-IF($G$2,0,IF((AG$6-$G$3)&lt;1,0,IFERROR(LOOKUP(2,1/('Feijão 1ª safra'!$E19:INDEX('Feijão 1ª safra'!$E19:$Z19,MIN(AG$6-$G$3,22))&lt;&gt;""),'Feijão 1ª safra'!$E19:INDEX('Feijão 1ª safra'!$E19:$Z19,MIN(AG$6-$G$3,22))),0)))))</f>
        <v>0</v>
      </c>
      <c r="AH21" s="27" t="n">
        <f aca="false">IF(COUNT('Feijão 1ª safra'!$E19:$Z19)=0,0,MAX(0,IF((AH$6-$E$3)&lt;1,0,IFERROR(LOOKUP(2,1/('Feijão 1ª safra'!$E19:INDEX('Feijão 1ª safra'!$E19:$Z19,MIN(AH$6-$E$3,22))&lt;&gt;""),'Feijão 1ª safra'!$E19:INDEX('Feijão 1ª safra'!$E19:$Z19,MIN(AH$6-$E$3,22))),0))-IF($G$2,0,IF((AH$6-$G$3)&lt;1,0,IFERROR(LOOKUP(2,1/('Feijão 1ª safra'!$E19:INDEX('Feijão 1ª safra'!$E19:$Z19,MIN(AH$6-$G$3,22))&lt;&gt;""),'Feijão 1ª safra'!$E19:INDEX('Feijão 1ª safra'!$E19:$Z19,MIN(AH$6-$G$3,22))),0)))))</f>
        <v>0</v>
      </c>
      <c r="AI21" s="27" t="n">
        <f aca="false">IF(COUNT('Feijão 1ª safra'!$E19:$Z19)=0,0,MAX(0,IF((AI$6-$E$3)&lt;1,0,IFERROR(LOOKUP(2,1/('Feijão 1ª safra'!$E19:INDEX('Feijão 1ª safra'!$E19:$Z19,MIN(AI$6-$E$3,22))&lt;&gt;""),'Feijão 1ª safra'!$E19:INDEX('Feijão 1ª safra'!$E19:$Z19,MIN(AI$6-$E$3,22))),0))-IF($G$2,0,IF((AI$6-$G$3)&lt;1,0,IFERROR(LOOKUP(2,1/('Feijão 1ª safra'!$E19:INDEX('Feijão 1ª safra'!$E19:$Z19,MIN(AI$6-$G$3,22))&lt;&gt;""),'Feijão 1ª safra'!$E19:INDEX('Feijão 1ª safra'!$E19:$Z19,MIN(AI$6-$G$3,22))),0)))))</f>
        <v>0</v>
      </c>
      <c r="AJ21" s="27" t="n">
        <f aca="false">IF(COUNT('Feijão 1ª safra'!$E19:$Z19)=0,0,MAX(0,IF((AJ$6-$E$3)&lt;1,0,IFERROR(LOOKUP(2,1/('Feijão 1ª safra'!$E19:INDEX('Feijão 1ª safra'!$E19:$Z19,MIN(AJ$6-$E$3,22))&lt;&gt;""),'Feijão 1ª safra'!$E19:INDEX('Feijão 1ª safra'!$E19:$Z19,MIN(AJ$6-$E$3,22))),0))-IF($G$2,0,IF((AJ$6-$G$3)&lt;1,0,IFERROR(LOOKUP(2,1/('Feijão 1ª safra'!$E19:INDEX('Feijão 1ª safra'!$E19:$Z19,MIN(AJ$6-$G$3,22))&lt;&gt;""),'Feijão 1ª safra'!$E19:INDEX('Feijão 1ª safra'!$E19:$Z19,MIN(AJ$6-$G$3,22))),0)))))</f>
        <v>0</v>
      </c>
      <c r="AK21" s="27" t="n">
        <f aca="false">IF(COUNT('Feijão 1ª safra'!$E19:$Z19)=0,0,MAX(0,IF((AK$6-$E$3)&lt;1,0,IFERROR(LOOKUP(2,1/('Feijão 1ª safra'!$E19:INDEX('Feijão 1ª safra'!$E19:$Z19,MIN(AK$6-$E$3,22))&lt;&gt;""),'Feijão 1ª safra'!$E19:INDEX('Feijão 1ª safra'!$E19:$Z19,MIN(AK$6-$E$3,22))),0))-IF($G$2,0,IF((AK$6-$G$3)&lt;1,0,IFERROR(LOOKUP(2,1/('Feijão 1ª safra'!$E19:INDEX('Feijão 1ª safra'!$E19:$Z19,MIN(AK$6-$G$3,22))&lt;&gt;""),'Feijão 1ª safra'!$E19:INDEX('Feijão 1ª safra'!$E19:$Z19,MIN(AK$6-$G$3,22))),0)))))</f>
        <v>0</v>
      </c>
      <c r="AL21" s="27" t="n">
        <f aca="false">IF(COUNT('Feijão 1ª safra'!$E19:$Z19)=0,0,MAX(0,IF((AL$6-$E$3)&lt;1,0,IFERROR(LOOKUP(2,1/('Feijão 1ª safra'!$E19:INDEX('Feijão 1ª safra'!$E19:$Z19,MIN(AL$6-$E$3,22))&lt;&gt;""),'Feijão 1ª safra'!$E19:INDEX('Feijão 1ª safra'!$E19:$Z19,MIN(AL$6-$E$3,22))),0))-IF($G$2,0,IF((AL$6-$G$3)&lt;1,0,IFERROR(LOOKUP(2,1/('Feijão 1ª safra'!$E19:INDEX('Feijão 1ª safra'!$E19:$Z19,MIN(AL$6-$G$3,22))&lt;&gt;""),'Feijão 1ª safra'!$E19:INDEX('Feijão 1ª safra'!$E19:$Z19,MIN(AL$6-$G$3,22))),0)))))</f>
        <v>0</v>
      </c>
      <c r="AM21" s="27" t="n">
        <f aca="false">IF(COUNT('Feijão 1ª safra'!$E19:$Z19)=0,0,MAX(0,IF((AM$6-$E$3)&lt;1,0,IFERROR(LOOKUP(2,1/('Feijão 1ª safra'!$E19:INDEX('Feijão 1ª safra'!$E19:$Z19,MIN(AM$6-$E$3,22))&lt;&gt;""),'Feijão 1ª safra'!$E19:INDEX('Feijão 1ª safra'!$E19:$Z19,MIN(AM$6-$E$3,22))),0))-IF($G$2,0,IF((AM$6-$G$3)&lt;1,0,IFERROR(LOOKUP(2,1/('Feijão 1ª safra'!$E19:INDEX('Feijão 1ª safra'!$E19:$Z19,MIN(AM$6-$G$3,22))&lt;&gt;""),'Feijão 1ª safra'!$E19:INDEX('Feijão 1ª safra'!$E19:$Z19,MIN(AM$6-$G$3,22))),0)))))</f>
        <v>0</v>
      </c>
      <c r="AN21" s="27" t="n">
        <f aca="false">IF(COUNT('Feijão 1ª safra'!$E19:$Z19)=0,0,MAX(0,IF((AN$6-$E$3)&lt;1,0,IFERROR(LOOKUP(2,1/('Feijão 1ª safra'!$E19:INDEX('Feijão 1ª safra'!$E19:$Z19,MIN(AN$6-$E$3,22))&lt;&gt;""),'Feijão 1ª safra'!$E19:INDEX('Feijão 1ª safra'!$E19:$Z19,MIN(AN$6-$E$3,22))),0))-IF($G$2,0,IF((AN$6-$G$3)&lt;1,0,IFERROR(LOOKUP(2,1/('Feijão 1ª safra'!$E19:INDEX('Feijão 1ª safra'!$E19:$Z19,MIN(AN$6-$G$3,22))&lt;&gt;""),'Feijão 1ª safra'!$E19:INDEX('Feijão 1ª safra'!$E19:$Z19,MIN(AN$6-$G$3,22))),0)))))</f>
        <v>0</v>
      </c>
      <c r="AO21" s="27" t="n">
        <f aca="false">IF(COUNT('Feijão 1ª safra'!$E19:$Z19)=0,0,MAX(0,IF((AO$6-$E$3)&lt;1,0,IFERROR(LOOKUP(2,1/('Feijão 1ª safra'!$E19:INDEX('Feijão 1ª safra'!$E19:$Z19,MIN(AO$6-$E$3,22))&lt;&gt;""),'Feijão 1ª safra'!$E19:INDEX('Feijão 1ª safra'!$E19:$Z19,MIN(AO$6-$E$3,22))),0))-IF($G$2,0,IF((AO$6-$G$3)&lt;1,0,IFERROR(LOOKUP(2,1/('Feijão 1ª safra'!$E19:INDEX('Feijão 1ª safra'!$E19:$Z19,MIN(AO$6-$G$3,22))&lt;&gt;""),'Feijão 1ª safra'!$E19:INDEX('Feijão 1ª safra'!$E19:$Z19,MIN(AO$6-$G$3,22))),0)))))</f>
        <v>0</v>
      </c>
      <c r="AP21" s="27" t="n">
        <f aca="false">IF(COUNT('Feijão 1ª safra'!$E19:$Z19)=0,0,MAX(0,IF((AP$6-$E$3)&lt;1,0,IFERROR(LOOKUP(2,1/('Feijão 1ª safra'!$E19:INDEX('Feijão 1ª safra'!$E19:$Z19,MIN(AP$6-$E$3,22))&lt;&gt;""),'Feijão 1ª safra'!$E19:INDEX('Feijão 1ª safra'!$E19:$Z19,MIN(AP$6-$E$3,22))),0))-IF($G$2,0,IF((AP$6-$G$3)&lt;1,0,IFERROR(LOOKUP(2,1/('Feijão 1ª safra'!$E19:INDEX('Feijão 1ª safra'!$E19:$Z19,MIN(AP$6-$G$3,22))&lt;&gt;""),'Feijão 1ª safra'!$E19:INDEX('Feijão 1ª safra'!$E19:$Z19,MIN(AP$6-$G$3,22))),0)))))</f>
        <v>0</v>
      </c>
      <c r="AQ21" s="27" t="n">
        <f aca="false">IF(COUNT('Feijão 1ª safra'!$E19:$Z19)=0,0,MAX(0,IF((AQ$6-$E$3)&lt;1,0,IFERROR(LOOKUP(2,1/('Feijão 1ª safra'!$E19:INDEX('Feijão 1ª safra'!$E19:$Z19,MIN(AQ$6-$E$3,22))&lt;&gt;""),'Feijão 1ª safra'!$E19:INDEX('Feijão 1ª safra'!$E19:$Z19,MIN(AQ$6-$E$3,22))),0))-IF($G$2,0,IF((AQ$6-$G$3)&lt;1,0,IFERROR(LOOKUP(2,1/('Feijão 1ª safra'!$E19:INDEX('Feijão 1ª safra'!$E19:$Z19,MIN(AQ$6-$G$3,22))&lt;&gt;""),'Feijão 1ª safra'!$E19:INDEX('Feijão 1ª safra'!$E19:$Z19,MIN(AQ$6-$G$3,22))),0)))))</f>
        <v>0</v>
      </c>
      <c r="AR21" s="27" t="n">
        <f aca="false">IF(COUNT('Feijão 1ª safra'!$E19:$Z19)=0,0,MAX(0,IF((AR$6-$E$3)&lt;1,0,IFERROR(LOOKUP(2,1/('Feijão 1ª safra'!$E19:INDEX('Feijão 1ª safra'!$E19:$Z19,MIN(AR$6-$E$3,22))&lt;&gt;""),'Feijão 1ª safra'!$E19:INDEX('Feijão 1ª safra'!$E19:$Z19,MIN(AR$6-$E$3,22))),0))-IF($G$2,0,IF((AR$6-$G$3)&lt;1,0,IFERROR(LOOKUP(2,1/('Feijão 1ª safra'!$E19:INDEX('Feijão 1ª safra'!$E19:$Z19,MIN(AR$6-$G$3,22))&lt;&gt;""),'Feijão 1ª safra'!$E19:INDEX('Feijão 1ª safra'!$E19:$Z19,MIN(AR$6-$G$3,22))),0)))))</f>
        <v>0</v>
      </c>
      <c r="AS21" s="27" t="n">
        <f aca="false">IF(COUNT('Feijão 1ª safra'!$E19:$Z19)=0,0,MAX(0,IF((AS$6-$E$3)&lt;1,0,IFERROR(LOOKUP(2,1/('Feijão 1ª safra'!$E19:INDEX('Feijão 1ª safra'!$E19:$Z19,MIN(AS$6-$E$3,22))&lt;&gt;""),'Feijão 1ª safra'!$E19:INDEX('Feijão 1ª safra'!$E19:$Z19,MIN(AS$6-$E$3,22))),0))-IF($G$2,0,IF((AS$6-$G$3)&lt;1,0,IFERROR(LOOKUP(2,1/('Feijão 1ª safra'!$E19:INDEX('Feijão 1ª safra'!$E19:$Z19,MIN(AS$6-$G$3,22))&lt;&gt;""),'Feijão 1ª safra'!$E19:INDEX('Feijão 1ª safra'!$E19:$Z19,MIN(AS$6-$G$3,22))),0)))))</f>
        <v>0</v>
      </c>
      <c r="AT21" s="27" t="n">
        <f aca="false">IF(COUNT('Feijão 1ª safra'!$E19:$Z19)=0,0,MAX(0,IF((AT$6-$E$3)&lt;1,0,IFERROR(LOOKUP(2,1/('Feijão 1ª safra'!$E19:INDEX('Feijão 1ª safra'!$E19:$Z19,MIN(AT$6-$E$3,22))&lt;&gt;""),'Feijão 1ª safra'!$E19:INDEX('Feijão 1ª safra'!$E19:$Z19,MIN(AT$6-$E$3,22))),0))-IF($G$2,0,IF((AT$6-$G$3)&lt;1,0,IFERROR(LOOKUP(2,1/('Feijão 1ª safra'!$E19:INDEX('Feijão 1ª safra'!$E19:$Z19,MIN(AT$6-$G$3,22))&lt;&gt;""),'Feijão 1ª safra'!$E19:INDEX('Feijão 1ª safra'!$E19:$Z19,MIN(AT$6-$G$3,22))),0)))))</f>
        <v>0</v>
      </c>
      <c r="AU21" s="27" t="n">
        <f aca="false">IF(COUNT('Feijão 1ª safra'!$E19:$Z19)=0,0,MAX(0,IF((AU$6-$E$3)&lt;1,0,IFERROR(LOOKUP(2,1/('Feijão 1ª safra'!$E19:INDEX('Feijão 1ª safra'!$E19:$Z19,MIN(AU$6-$E$3,22))&lt;&gt;""),'Feijão 1ª safra'!$E19:INDEX('Feijão 1ª safra'!$E19:$Z19,MIN(AU$6-$E$3,22))),0))-IF($G$2,0,IF((AU$6-$G$3)&lt;1,0,IFERROR(LOOKUP(2,1/('Feijão 1ª safra'!$E19:INDEX('Feijão 1ª safra'!$E19:$Z19,MIN(AU$6-$G$3,22))&lt;&gt;""),'Feijão 1ª safra'!$E19:INDEX('Feijão 1ª safra'!$E19:$Z19,MIN(AU$6-$G$3,22))),0)))))</f>
        <v>0</v>
      </c>
      <c r="AV21" s="27" t="n">
        <f aca="false">IF(COUNT('Feijão 1ª safra'!$E19:$Z19)=0,0,MAX(0,IF((AV$6-$E$3)&lt;1,0,IFERROR(LOOKUP(2,1/('Feijão 1ª safra'!$E19:INDEX('Feijão 1ª safra'!$E19:$Z19,MIN(AV$6-$E$3,22))&lt;&gt;""),'Feijão 1ª safra'!$E19:INDEX('Feijão 1ª safra'!$E19:$Z19,MIN(AV$6-$E$3,22))),0))-IF($G$2,0,IF((AV$6-$G$3)&lt;1,0,IFERROR(LOOKUP(2,1/('Feijão 1ª safra'!$E19:INDEX('Feijão 1ª safra'!$E19:$Z19,MIN(AV$6-$G$3,22))&lt;&gt;""),'Feijão 1ª safra'!$E19:INDEX('Feijão 1ª safra'!$E19:$Z19,MIN(AV$6-$G$3,22))),0)))))</f>
        <v>0</v>
      </c>
      <c r="AW21" s="27" t="n">
        <f aca="false">IF(COUNT('Feijão 1ª safra'!$E19:$Z19)=0,0,MAX(0,IF((AW$6-$E$3)&lt;1,0,IFERROR(LOOKUP(2,1/('Feijão 1ª safra'!$E19:INDEX('Feijão 1ª safra'!$E19:$Z19,MIN(AW$6-$E$3,22))&lt;&gt;""),'Feijão 1ª safra'!$E19:INDEX('Feijão 1ª safra'!$E19:$Z19,MIN(AW$6-$E$3,22))),0))-IF($G$2,0,IF((AW$6-$G$3)&lt;1,0,IFERROR(LOOKUP(2,1/('Feijão 1ª safra'!$E19:INDEX('Feijão 1ª safra'!$E19:$Z19,MIN(AW$6-$G$3,22))&lt;&gt;""),'Feijão 1ª safra'!$E19:INDEX('Feijão 1ª safra'!$E19:$Z19,MIN(AW$6-$G$3,22))),0)))))</f>
        <v>0</v>
      </c>
      <c r="AX21" s="27" t="n">
        <f aca="false">IF(COUNT('Feijão 1ª safra'!$E19:$Z19)=0,0,MAX(0,IF((AX$6-$E$3)&lt;1,0,IFERROR(LOOKUP(2,1/('Feijão 1ª safra'!$E19:INDEX('Feijão 1ª safra'!$E19:$Z19,MIN(AX$6-$E$3,22))&lt;&gt;""),'Feijão 1ª safra'!$E19:INDEX('Feijão 1ª safra'!$E19:$Z19,MIN(AX$6-$E$3,22))),0))-IF($G$2,0,IF((AX$6-$G$3)&lt;1,0,IFERROR(LOOKUP(2,1/('Feijão 1ª safra'!$E19:INDEX('Feijão 1ª safra'!$E19:$Z19,MIN(AX$6-$G$3,22))&lt;&gt;""),'Feijão 1ª safra'!$E19:INDEX('Feijão 1ª safra'!$E19:$Z19,MIN(AX$6-$G$3,22))),0)))))</f>
        <v>0</v>
      </c>
      <c r="AY21" s="27" t="n">
        <f aca="false">IF(COUNT('Feijão 1ª safra'!$E19:$Z19)=0,0,MAX(0,IF((AY$6-$E$3)&lt;1,0,IFERROR(LOOKUP(2,1/('Feijão 1ª safra'!$E19:INDEX('Feijão 1ª safra'!$E19:$Z19,MIN(AY$6-$E$3,22))&lt;&gt;""),'Feijão 1ª safra'!$E19:INDEX('Feijão 1ª safra'!$E19:$Z19,MIN(AY$6-$E$3,22))),0))-IF($G$2,0,IF((AY$6-$G$3)&lt;1,0,IFERROR(LOOKUP(2,1/('Feijão 1ª safra'!$E19:INDEX('Feijão 1ª safra'!$E19:$Z19,MIN(AY$6-$G$3,22))&lt;&gt;""),'Feijão 1ª safra'!$E19:INDEX('Feijão 1ª safra'!$E19:$Z19,MIN(AY$6-$G$3,22))),0)))))</f>
        <v>0</v>
      </c>
      <c r="AZ21" s="27" t="n">
        <f aca="false">IF(COUNT('Feijão 1ª safra'!$E19:$Z19)=0,0,MAX(0,IF((AZ$6-$E$3)&lt;1,0,IFERROR(LOOKUP(2,1/('Feijão 1ª safra'!$E19:INDEX('Feijão 1ª safra'!$E19:$Z19,MIN(AZ$6-$E$3,22))&lt;&gt;""),'Feijão 1ª safra'!$E19:INDEX('Feijão 1ª safra'!$E19:$Z19,MIN(AZ$6-$E$3,22))),0))-IF($G$2,0,IF((AZ$6-$G$3)&lt;1,0,IFERROR(LOOKUP(2,1/('Feijão 1ª safra'!$E19:INDEX('Feijão 1ª safra'!$E19:$Z19,MIN(AZ$6-$G$3,22))&lt;&gt;""),'Feijão 1ª safra'!$E19:INDEX('Feijão 1ª safra'!$E19:$Z19,MIN(AZ$6-$G$3,22))),0)))))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IF(COUNT('Feijão 1ª safra'!$E20:$Z20)&gt;0,N('Feijão 1ª safra'!$D20),0)</f>
        <v>0</v>
      </c>
      <c r="E22" s="27" t="n">
        <f aca="false">IF(COUNT('Feijão 1ª safra'!$E20:$Z20)=0,0,MAX(0,IF((E$6-$E$3)&lt;1,0,IFERROR(LOOKUP(2,1/('Feijão 1ª safra'!$E20:INDEX('Feijão 1ª safra'!$E20:$Z20,MIN(E$6-$E$3,22))&lt;&gt;""),'Feijão 1ª safra'!$E20:INDEX('Feijão 1ª safra'!$E20:$Z20,MIN(E$6-$E$3,22))),0))-IF($G$2,0,IF((E$6-$G$3)&lt;1,0,IFERROR(LOOKUP(2,1/('Feijão 1ª safra'!$E20:INDEX('Feijão 1ª safra'!$E20:$Z20,MIN(E$6-$G$3,22))&lt;&gt;""),'Feijão 1ª safra'!$E20:INDEX('Feijão 1ª safra'!$E20:$Z20,MIN(E$6-$G$3,22))),0)))))</f>
        <v>0</v>
      </c>
      <c r="F22" s="27" t="n">
        <f aca="false">IF(COUNT('Feijão 1ª safra'!$E20:$Z20)=0,0,MAX(0,IF((F$6-$E$3)&lt;1,0,IFERROR(LOOKUP(2,1/('Feijão 1ª safra'!$E20:INDEX('Feijão 1ª safra'!$E20:$Z20,MIN(F$6-$E$3,22))&lt;&gt;""),'Feijão 1ª safra'!$E20:INDEX('Feijão 1ª safra'!$E20:$Z20,MIN(F$6-$E$3,22))),0))-IF($G$2,0,IF((F$6-$G$3)&lt;1,0,IFERROR(LOOKUP(2,1/('Feijão 1ª safra'!$E20:INDEX('Feijão 1ª safra'!$E20:$Z20,MIN(F$6-$G$3,22))&lt;&gt;""),'Feijão 1ª safra'!$E20:INDEX('Feijão 1ª safra'!$E20:$Z20,MIN(F$6-$G$3,22))),0)))))</f>
        <v>0</v>
      </c>
      <c r="G22" s="27" t="n">
        <f aca="false">IF(COUNT('Feijão 1ª safra'!$E20:$Z20)=0,0,MAX(0,IF((G$6-$E$3)&lt;1,0,IFERROR(LOOKUP(2,1/('Feijão 1ª safra'!$E20:INDEX('Feijão 1ª safra'!$E20:$Z20,MIN(G$6-$E$3,22))&lt;&gt;""),'Feijão 1ª safra'!$E20:INDEX('Feijão 1ª safra'!$E20:$Z20,MIN(G$6-$E$3,22))),0))-IF($G$2,0,IF((G$6-$G$3)&lt;1,0,IFERROR(LOOKUP(2,1/('Feijão 1ª safra'!$E20:INDEX('Feijão 1ª safra'!$E20:$Z20,MIN(G$6-$G$3,22))&lt;&gt;""),'Feijão 1ª safra'!$E20:INDEX('Feijão 1ª safra'!$E20:$Z20,MIN(G$6-$G$3,22))),0)))))</f>
        <v>0</v>
      </c>
      <c r="H22" s="27" t="n">
        <f aca="false">IF(COUNT('Feijão 1ª safra'!$E20:$Z20)=0,0,MAX(0,IF((H$6-$E$3)&lt;1,0,IFERROR(LOOKUP(2,1/('Feijão 1ª safra'!$E20:INDEX('Feijão 1ª safra'!$E20:$Z20,MIN(H$6-$E$3,22))&lt;&gt;""),'Feijão 1ª safra'!$E20:INDEX('Feijão 1ª safra'!$E20:$Z20,MIN(H$6-$E$3,22))),0))-IF($G$2,0,IF((H$6-$G$3)&lt;1,0,IFERROR(LOOKUP(2,1/('Feijão 1ª safra'!$E20:INDEX('Feijão 1ª safra'!$E20:$Z20,MIN(H$6-$G$3,22))&lt;&gt;""),'Feijão 1ª safra'!$E20:INDEX('Feijão 1ª safra'!$E20:$Z20,MIN(H$6-$G$3,22))),0)))))</f>
        <v>0</v>
      </c>
      <c r="I22" s="27" t="n">
        <f aca="false">IF(COUNT('Feijão 1ª safra'!$E20:$Z20)=0,0,MAX(0,IF((I$6-$E$3)&lt;1,0,IFERROR(LOOKUP(2,1/('Feijão 1ª safra'!$E20:INDEX('Feijão 1ª safra'!$E20:$Z20,MIN(I$6-$E$3,22))&lt;&gt;""),'Feijão 1ª safra'!$E20:INDEX('Feijão 1ª safra'!$E20:$Z20,MIN(I$6-$E$3,22))),0))-IF($G$2,0,IF((I$6-$G$3)&lt;1,0,IFERROR(LOOKUP(2,1/('Feijão 1ª safra'!$E20:INDEX('Feijão 1ª safra'!$E20:$Z20,MIN(I$6-$G$3,22))&lt;&gt;""),'Feijão 1ª safra'!$E20:INDEX('Feijão 1ª safra'!$E20:$Z20,MIN(I$6-$G$3,22))),0)))))</f>
        <v>0</v>
      </c>
      <c r="J22" s="27" t="n">
        <f aca="false">IF(COUNT('Feijão 1ª safra'!$E20:$Z20)=0,0,MAX(0,IF((J$6-$E$3)&lt;1,0,IFERROR(LOOKUP(2,1/('Feijão 1ª safra'!$E20:INDEX('Feijão 1ª safra'!$E20:$Z20,MIN(J$6-$E$3,22))&lt;&gt;""),'Feijão 1ª safra'!$E20:INDEX('Feijão 1ª safra'!$E20:$Z20,MIN(J$6-$E$3,22))),0))-IF($G$2,0,IF((J$6-$G$3)&lt;1,0,IFERROR(LOOKUP(2,1/('Feijão 1ª safra'!$E20:INDEX('Feijão 1ª safra'!$E20:$Z20,MIN(J$6-$G$3,22))&lt;&gt;""),'Feijão 1ª safra'!$E20:INDEX('Feijão 1ª safra'!$E20:$Z20,MIN(J$6-$G$3,22))),0)))))</f>
        <v>0</v>
      </c>
      <c r="K22" s="27" t="n">
        <f aca="false">IF(COUNT('Feijão 1ª safra'!$E20:$Z20)=0,0,MAX(0,IF((K$6-$E$3)&lt;1,0,IFERROR(LOOKUP(2,1/('Feijão 1ª safra'!$E20:INDEX('Feijão 1ª safra'!$E20:$Z20,MIN(K$6-$E$3,22))&lt;&gt;""),'Feijão 1ª safra'!$E20:INDEX('Feijão 1ª safra'!$E20:$Z20,MIN(K$6-$E$3,22))),0))-IF($G$2,0,IF((K$6-$G$3)&lt;1,0,IFERROR(LOOKUP(2,1/('Feijão 1ª safra'!$E20:INDEX('Feijão 1ª safra'!$E20:$Z20,MIN(K$6-$G$3,22))&lt;&gt;""),'Feijão 1ª safra'!$E20:INDEX('Feijão 1ª safra'!$E20:$Z20,MIN(K$6-$G$3,22))),0)))))</f>
        <v>0</v>
      </c>
      <c r="L22" s="27" t="n">
        <f aca="false">IF(COUNT('Feijão 1ª safra'!$E20:$Z20)=0,0,MAX(0,IF((L$6-$E$3)&lt;1,0,IFERROR(LOOKUP(2,1/('Feijão 1ª safra'!$E20:INDEX('Feijão 1ª safra'!$E20:$Z20,MIN(L$6-$E$3,22))&lt;&gt;""),'Feijão 1ª safra'!$E20:INDEX('Feijão 1ª safra'!$E20:$Z20,MIN(L$6-$E$3,22))),0))-IF($G$2,0,IF((L$6-$G$3)&lt;1,0,IFERROR(LOOKUP(2,1/('Feijão 1ª safra'!$E20:INDEX('Feijão 1ª safra'!$E20:$Z20,MIN(L$6-$G$3,22))&lt;&gt;""),'Feijão 1ª safra'!$E20:INDEX('Feijão 1ª safra'!$E20:$Z20,MIN(L$6-$G$3,22))),0)))))</f>
        <v>0</v>
      </c>
      <c r="M22" s="27" t="n">
        <f aca="false">IF(COUNT('Feijão 1ª safra'!$E20:$Z20)=0,0,MAX(0,IF((M$6-$E$3)&lt;1,0,IFERROR(LOOKUP(2,1/('Feijão 1ª safra'!$E20:INDEX('Feijão 1ª safra'!$E20:$Z20,MIN(M$6-$E$3,22))&lt;&gt;""),'Feijão 1ª safra'!$E20:INDEX('Feijão 1ª safra'!$E20:$Z20,MIN(M$6-$E$3,22))),0))-IF($G$2,0,IF((M$6-$G$3)&lt;1,0,IFERROR(LOOKUP(2,1/('Feijão 1ª safra'!$E20:INDEX('Feijão 1ª safra'!$E20:$Z20,MIN(M$6-$G$3,22))&lt;&gt;""),'Feijão 1ª safra'!$E20:INDEX('Feijão 1ª safra'!$E20:$Z20,MIN(M$6-$G$3,22))),0)))))</f>
        <v>0</v>
      </c>
      <c r="N22" s="27" t="n">
        <f aca="false">IF(COUNT('Feijão 1ª safra'!$E20:$Z20)=0,0,MAX(0,IF((N$6-$E$3)&lt;1,0,IFERROR(LOOKUP(2,1/('Feijão 1ª safra'!$E20:INDEX('Feijão 1ª safra'!$E20:$Z20,MIN(N$6-$E$3,22))&lt;&gt;""),'Feijão 1ª safra'!$E20:INDEX('Feijão 1ª safra'!$E20:$Z20,MIN(N$6-$E$3,22))),0))-IF($G$2,0,IF((N$6-$G$3)&lt;1,0,IFERROR(LOOKUP(2,1/('Feijão 1ª safra'!$E20:INDEX('Feijão 1ª safra'!$E20:$Z20,MIN(N$6-$G$3,22))&lt;&gt;""),'Feijão 1ª safra'!$E20:INDEX('Feijão 1ª safra'!$E20:$Z20,MIN(N$6-$G$3,22))),0)))))</f>
        <v>0</v>
      </c>
      <c r="O22" s="27" t="n">
        <f aca="false">IF(COUNT('Feijão 1ª safra'!$E20:$Z20)=0,0,MAX(0,IF((O$6-$E$3)&lt;1,0,IFERROR(LOOKUP(2,1/('Feijão 1ª safra'!$E20:INDEX('Feijão 1ª safra'!$E20:$Z20,MIN(O$6-$E$3,22))&lt;&gt;""),'Feijão 1ª safra'!$E20:INDEX('Feijão 1ª safra'!$E20:$Z20,MIN(O$6-$E$3,22))),0))-IF($G$2,0,IF((O$6-$G$3)&lt;1,0,IFERROR(LOOKUP(2,1/('Feijão 1ª safra'!$E20:INDEX('Feijão 1ª safra'!$E20:$Z20,MIN(O$6-$G$3,22))&lt;&gt;""),'Feijão 1ª safra'!$E20:INDEX('Feijão 1ª safra'!$E20:$Z20,MIN(O$6-$G$3,22))),0)))))</f>
        <v>0</v>
      </c>
      <c r="P22" s="27" t="n">
        <f aca="false">IF(COUNT('Feijão 1ª safra'!$E20:$Z20)=0,0,MAX(0,IF((P$6-$E$3)&lt;1,0,IFERROR(LOOKUP(2,1/('Feijão 1ª safra'!$E20:INDEX('Feijão 1ª safra'!$E20:$Z20,MIN(P$6-$E$3,22))&lt;&gt;""),'Feijão 1ª safra'!$E20:INDEX('Feijão 1ª safra'!$E20:$Z20,MIN(P$6-$E$3,22))),0))-IF($G$2,0,IF((P$6-$G$3)&lt;1,0,IFERROR(LOOKUP(2,1/('Feijão 1ª safra'!$E20:INDEX('Feijão 1ª safra'!$E20:$Z20,MIN(P$6-$G$3,22))&lt;&gt;""),'Feijão 1ª safra'!$E20:INDEX('Feijão 1ª safra'!$E20:$Z20,MIN(P$6-$G$3,22))),0)))))</f>
        <v>0</v>
      </c>
      <c r="Q22" s="27" t="n">
        <f aca="false">IF(COUNT('Feijão 1ª safra'!$E20:$Z20)=0,0,MAX(0,IF((Q$6-$E$3)&lt;1,0,IFERROR(LOOKUP(2,1/('Feijão 1ª safra'!$E20:INDEX('Feijão 1ª safra'!$E20:$Z20,MIN(Q$6-$E$3,22))&lt;&gt;""),'Feijão 1ª safra'!$E20:INDEX('Feijão 1ª safra'!$E20:$Z20,MIN(Q$6-$E$3,22))),0))-IF($G$2,0,IF((Q$6-$G$3)&lt;1,0,IFERROR(LOOKUP(2,1/('Feijão 1ª safra'!$E20:INDEX('Feijão 1ª safra'!$E20:$Z20,MIN(Q$6-$G$3,22))&lt;&gt;""),'Feijão 1ª safra'!$E20:INDEX('Feijão 1ª safra'!$E20:$Z20,MIN(Q$6-$G$3,22))),0)))))</f>
        <v>0</v>
      </c>
      <c r="R22" s="27" t="n">
        <f aca="false">IF(COUNT('Feijão 1ª safra'!$E20:$Z20)=0,0,MAX(0,IF((R$6-$E$3)&lt;1,0,IFERROR(LOOKUP(2,1/('Feijão 1ª safra'!$E20:INDEX('Feijão 1ª safra'!$E20:$Z20,MIN(R$6-$E$3,22))&lt;&gt;""),'Feijão 1ª safra'!$E20:INDEX('Feijão 1ª safra'!$E20:$Z20,MIN(R$6-$E$3,22))),0))-IF($G$2,0,IF((R$6-$G$3)&lt;1,0,IFERROR(LOOKUP(2,1/('Feijão 1ª safra'!$E20:INDEX('Feijão 1ª safra'!$E20:$Z20,MIN(R$6-$G$3,22))&lt;&gt;""),'Feijão 1ª safra'!$E20:INDEX('Feijão 1ª safra'!$E20:$Z20,MIN(R$6-$G$3,22))),0)))))</f>
        <v>0</v>
      </c>
      <c r="S22" s="27" t="n">
        <f aca="false">IF(COUNT('Feijão 1ª safra'!$E20:$Z20)=0,0,MAX(0,IF((S$6-$E$3)&lt;1,0,IFERROR(LOOKUP(2,1/('Feijão 1ª safra'!$E20:INDEX('Feijão 1ª safra'!$E20:$Z20,MIN(S$6-$E$3,22))&lt;&gt;""),'Feijão 1ª safra'!$E20:INDEX('Feijão 1ª safra'!$E20:$Z20,MIN(S$6-$E$3,22))),0))-IF($G$2,0,IF((S$6-$G$3)&lt;1,0,IFERROR(LOOKUP(2,1/('Feijão 1ª safra'!$E20:INDEX('Feijão 1ª safra'!$E20:$Z20,MIN(S$6-$G$3,22))&lt;&gt;""),'Feijão 1ª safra'!$E20:INDEX('Feijão 1ª safra'!$E20:$Z20,MIN(S$6-$G$3,22))),0)))))</f>
        <v>0</v>
      </c>
      <c r="T22" s="27" t="n">
        <f aca="false">IF(COUNT('Feijão 1ª safra'!$E20:$Z20)=0,0,MAX(0,IF((T$6-$E$3)&lt;1,0,IFERROR(LOOKUP(2,1/('Feijão 1ª safra'!$E20:INDEX('Feijão 1ª safra'!$E20:$Z20,MIN(T$6-$E$3,22))&lt;&gt;""),'Feijão 1ª safra'!$E20:INDEX('Feijão 1ª safra'!$E20:$Z20,MIN(T$6-$E$3,22))),0))-IF($G$2,0,IF((T$6-$G$3)&lt;1,0,IFERROR(LOOKUP(2,1/('Feijão 1ª safra'!$E20:INDEX('Feijão 1ª safra'!$E20:$Z20,MIN(T$6-$G$3,22))&lt;&gt;""),'Feijão 1ª safra'!$E20:INDEX('Feijão 1ª safra'!$E20:$Z20,MIN(T$6-$G$3,22))),0)))))</f>
        <v>0</v>
      </c>
      <c r="U22" s="27" t="n">
        <f aca="false">IF(COUNT('Feijão 1ª safra'!$E20:$Z20)=0,0,MAX(0,IF((U$6-$E$3)&lt;1,0,IFERROR(LOOKUP(2,1/('Feijão 1ª safra'!$E20:INDEX('Feijão 1ª safra'!$E20:$Z20,MIN(U$6-$E$3,22))&lt;&gt;""),'Feijão 1ª safra'!$E20:INDEX('Feijão 1ª safra'!$E20:$Z20,MIN(U$6-$E$3,22))),0))-IF($G$2,0,IF((U$6-$G$3)&lt;1,0,IFERROR(LOOKUP(2,1/('Feijão 1ª safra'!$E20:INDEX('Feijão 1ª safra'!$E20:$Z20,MIN(U$6-$G$3,22))&lt;&gt;""),'Feijão 1ª safra'!$E20:INDEX('Feijão 1ª safra'!$E20:$Z20,MIN(U$6-$G$3,22))),0)))))</f>
        <v>0</v>
      </c>
      <c r="V22" s="27" t="n">
        <f aca="false">IF(COUNT('Feijão 1ª safra'!$E20:$Z20)=0,0,MAX(0,IF((V$6-$E$3)&lt;1,0,IFERROR(LOOKUP(2,1/('Feijão 1ª safra'!$E20:INDEX('Feijão 1ª safra'!$E20:$Z20,MIN(V$6-$E$3,22))&lt;&gt;""),'Feijão 1ª safra'!$E20:INDEX('Feijão 1ª safra'!$E20:$Z20,MIN(V$6-$E$3,22))),0))-IF($G$2,0,IF((V$6-$G$3)&lt;1,0,IFERROR(LOOKUP(2,1/('Feijão 1ª safra'!$E20:INDEX('Feijão 1ª safra'!$E20:$Z20,MIN(V$6-$G$3,22))&lt;&gt;""),'Feijão 1ª safra'!$E20:INDEX('Feijão 1ª safra'!$E20:$Z20,MIN(V$6-$G$3,22))),0)))))</f>
        <v>0</v>
      </c>
      <c r="W22" s="27" t="n">
        <f aca="false">IF(COUNT('Feijão 1ª safra'!$E20:$Z20)=0,0,MAX(0,IF((W$6-$E$3)&lt;1,0,IFERROR(LOOKUP(2,1/('Feijão 1ª safra'!$E20:INDEX('Feijão 1ª safra'!$E20:$Z20,MIN(W$6-$E$3,22))&lt;&gt;""),'Feijão 1ª safra'!$E20:INDEX('Feijão 1ª safra'!$E20:$Z20,MIN(W$6-$E$3,22))),0))-IF($G$2,0,IF((W$6-$G$3)&lt;1,0,IFERROR(LOOKUP(2,1/('Feijão 1ª safra'!$E20:INDEX('Feijão 1ª safra'!$E20:$Z20,MIN(W$6-$G$3,22))&lt;&gt;""),'Feijão 1ª safra'!$E20:INDEX('Feijão 1ª safra'!$E20:$Z20,MIN(W$6-$G$3,22))),0)))))</f>
        <v>0</v>
      </c>
      <c r="X22" s="27" t="n">
        <f aca="false">IF(COUNT('Feijão 1ª safra'!$E20:$Z20)=0,0,MAX(0,IF((X$6-$E$3)&lt;1,0,IFERROR(LOOKUP(2,1/('Feijão 1ª safra'!$E20:INDEX('Feijão 1ª safra'!$E20:$Z20,MIN(X$6-$E$3,22))&lt;&gt;""),'Feijão 1ª safra'!$E20:INDEX('Feijão 1ª safra'!$E20:$Z20,MIN(X$6-$E$3,22))),0))-IF($G$2,0,IF((X$6-$G$3)&lt;1,0,IFERROR(LOOKUP(2,1/('Feijão 1ª safra'!$E20:INDEX('Feijão 1ª safra'!$E20:$Z20,MIN(X$6-$G$3,22))&lt;&gt;""),'Feijão 1ª safra'!$E20:INDEX('Feijão 1ª safra'!$E20:$Z20,MIN(X$6-$G$3,22))),0)))))</f>
        <v>0</v>
      </c>
      <c r="Y22" s="27" t="n">
        <f aca="false">IF(COUNT('Feijão 1ª safra'!$E20:$Z20)=0,0,MAX(0,IF((Y$6-$E$3)&lt;1,0,IFERROR(LOOKUP(2,1/('Feijão 1ª safra'!$E20:INDEX('Feijão 1ª safra'!$E20:$Z20,MIN(Y$6-$E$3,22))&lt;&gt;""),'Feijão 1ª safra'!$E20:INDEX('Feijão 1ª safra'!$E20:$Z20,MIN(Y$6-$E$3,22))),0))-IF($G$2,0,IF((Y$6-$G$3)&lt;1,0,IFERROR(LOOKUP(2,1/('Feijão 1ª safra'!$E20:INDEX('Feijão 1ª safra'!$E20:$Z20,MIN(Y$6-$G$3,22))&lt;&gt;""),'Feijão 1ª safra'!$E20:INDEX('Feijão 1ª safra'!$E20:$Z20,MIN(Y$6-$G$3,22))),0)))))</f>
        <v>0</v>
      </c>
      <c r="Z22" s="27" t="n">
        <f aca="false">IF(COUNT('Feijão 1ª safra'!$E20:$Z20)=0,0,MAX(0,IF((Z$6-$E$3)&lt;1,0,IFERROR(LOOKUP(2,1/('Feijão 1ª safra'!$E20:INDEX('Feijão 1ª safra'!$E20:$Z20,MIN(Z$6-$E$3,22))&lt;&gt;""),'Feijão 1ª safra'!$E20:INDEX('Feijão 1ª safra'!$E20:$Z20,MIN(Z$6-$E$3,22))),0))-IF($G$2,0,IF((Z$6-$G$3)&lt;1,0,IFERROR(LOOKUP(2,1/('Feijão 1ª safra'!$E20:INDEX('Feijão 1ª safra'!$E20:$Z20,MIN(Z$6-$G$3,22))&lt;&gt;""),'Feijão 1ª safra'!$E20:INDEX('Feijão 1ª safra'!$E20:$Z20,MIN(Z$6-$G$3,22))),0)))))</f>
        <v>0</v>
      </c>
      <c r="AA22" s="27" t="n">
        <f aca="false">IF(COUNT('Feijão 1ª safra'!$E20:$Z20)=0,0,MAX(0,IF((AA$6-$E$3)&lt;1,0,IFERROR(LOOKUP(2,1/('Feijão 1ª safra'!$E20:INDEX('Feijão 1ª safra'!$E20:$Z20,MIN(AA$6-$E$3,22))&lt;&gt;""),'Feijão 1ª safra'!$E20:INDEX('Feijão 1ª safra'!$E20:$Z20,MIN(AA$6-$E$3,22))),0))-IF($G$2,0,IF((AA$6-$G$3)&lt;1,0,IFERROR(LOOKUP(2,1/('Feijão 1ª safra'!$E20:INDEX('Feijão 1ª safra'!$E20:$Z20,MIN(AA$6-$G$3,22))&lt;&gt;""),'Feijão 1ª safra'!$E20:INDEX('Feijão 1ª safra'!$E20:$Z20,MIN(AA$6-$G$3,22))),0)))))</f>
        <v>0</v>
      </c>
      <c r="AB22" s="27" t="n">
        <f aca="false">IF(COUNT('Feijão 1ª safra'!$E20:$Z20)=0,0,MAX(0,IF((AB$6-$E$3)&lt;1,0,IFERROR(LOOKUP(2,1/('Feijão 1ª safra'!$E20:INDEX('Feijão 1ª safra'!$E20:$Z20,MIN(AB$6-$E$3,22))&lt;&gt;""),'Feijão 1ª safra'!$E20:INDEX('Feijão 1ª safra'!$E20:$Z20,MIN(AB$6-$E$3,22))),0))-IF($G$2,0,IF((AB$6-$G$3)&lt;1,0,IFERROR(LOOKUP(2,1/('Feijão 1ª safra'!$E20:INDEX('Feijão 1ª safra'!$E20:$Z20,MIN(AB$6-$G$3,22))&lt;&gt;""),'Feijão 1ª safra'!$E20:INDEX('Feijão 1ª safra'!$E20:$Z20,MIN(AB$6-$G$3,22))),0)))))</f>
        <v>0</v>
      </c>
      <c r="AC22" s="27" t="n">
        <f aca="false">IF(COUNT('Feijão 1ª safra'!$E20:$Z20)=0,0,MAX(0,IF((AC$6-$E$3)&lt;1,0,IFERROR(LOOKUP(2,1/('Feijão 1ª safra'!$E20:INDEX('Feijão 1ª safra'!$E20:$Z20,MIN(AC$6-$E$3,22))&lt;&gt;""),'Feijão 1ª safra'!$E20:INDEX('Feijão 1ª safra'!$E20:$Z20,MIN(AC$6-$E$3,22))),0))-IF($G$2,0,IF((AC$6-$G$3)&lt;1,0,IFERROR(LOOKUP(2,1/('Feijão 1ª safra'!$E20:INDEX('Feijão 1ª safra'!$E20:$Z20,MIN(AC$6-$G$3,22))&lt;&gt;""),'Feijão 1ª safra'!$E20:INDEX('Feijão 1ª safra'!$E20:$Z20,MIN(AC$6-$G$3,22))),0)))))</f>
        <v>0</v>
      </c>
      <c r="AD22" s="27" t="n">
        <f aca="false">IF(COUNT('Feijão 1ª safra'!$E20:$Z20)=0,0,MAX(0,IF((AD$6-$E$3)&lt;1,0,IFERROR(LOOKUP(2,1/('Feijão 1ª safra'!$E20:INDEX('Feijão 1ª safra'!$E20:$Z20,MIN(AD$6-$E$3,22))&lt;&gt;""),'Feijão 1ª safra'!$E20:INDEX('Feijão 1ª safra'!$E20:$Z20,MIN(AD$6-$E$3,22))),0))-IF($G$2,0,IF((AD$6-$G$3)&lt;1,0,IFERROR(LOOKUP(2,1/('Feijão 1ª safra'!$E20:INDEX('Feijão 1ª safra'!$E20:$Z20,MIN(AD$6-$G$3,22))&lt;&gt;""),'Feijão 1ª safra'!$E20:INDEX('Feijão 1ª safra'!$E20:$Z20,MIN(AD$6-$G$3,22))),0)))))</f>
        <v>0</v>
      </c>
      <c r="AE22" s="27" t="n">
        <f aca="false">IF(COUNT('Feijão 1ª safra'!$E20:$Z20)=0,0,MAX(0,IF((AE$6-$E$3)&lt;1,0,IFERROR(LOOKUP(2,1/('Feijão 1ª safra'!$E20:INDEX('Feijão 1ª safra'!$E20:$Z20,MIN(AE$6-$E$3,22))&lt;&gt;""),'Feijão 1ª safra'!$E20:INDEX('Feijão 1ª safra'!$E20:$Z20,MIN(AE$6-$E$3,22))),0))-IF($G$2,0,IF((AE$6-$G$3)&lt;1,0,IFERROR(LOOKUP(2,1/('Feijão 1ª safra'!$E20:INDEX('Feijão 1ª safra'!$E20:$Z20,MIN(AE$6-$G$3,22))&lt;&gt;""),'Feijão 1ª safra'!$E20:INDEX('Feijão 1ª safra'!$E20:$Z20,MIN(AE$6-$G$3,22))),0)))))</f>
        <v>0</v>
      </c>
      <c r="AF22" s="27" t="n">
        <f aca="false">IF(COUNT('Feijão 1ª safra'!$E20:$Z20)=0,0,MAX(0,IF((AF$6-$E$3)&lt;1,0,IFERROR(LOOKUP(2,1/('Feijão 1ª safra'!$E20:INDEX('Feijão 1ª safra'!$E20:$Z20,MIN(AF$6-$E$3,22))&lt;&gt;""),'Feijão 1ª safra'!$E20:INDEX('Feijão 1ª safra'!$E20:$Z20,MIN(AF$6-$E$3,22))),0))-IF($G$2,0,IF((AF$6-$G$3)&lt;1,0,IFERROR(LOOKUP(2,1/('Feijão 1ª safra'!$E20:INDEX('Feijão 1ª safra'!$E20:$Z20,MIN(AF$6-$G$3,22))&lt;&gt;""),'Feijão 1ª safra'!$E20:INDEX('Feijão 1ª safra'!$E20:$Z20,MIN(AF$6-$G$3,22))),0)))))</f>
        <v>0</v>
      </c>
      <c r="AG22" s="27" t="n">
        <f aca="false">IF(COUNT('Feijão 1ª safra'!$E20:$Z20)=0,0,MAX(0,IF((AG$6-$E$3)&lt;1,0,IFERROR(LOOKUP(2,1/('Feijão 1ª safra'!$E20:INDEX('Feijão 1ª safra'!$E20:$Z20,MIN(AG$6-$E$3,22))&lt;&gt;""),'Feijão 1ª safra'!$E20:INDEX('Feijão 1ª safra'!$E20:$Z20,MIN(AG$6-$E$3,22))),0))-IF($G$2,0,IF((AG$6-$G$3)&lt;1,0,IFERROR(LOOKUP(2,1/('Feijão 1ª safra'!$E20:INDEX('Feijão 1ª safra'!$E20:$Z20,MIN(AG$6-$G$3,22))&lt;&gt;""),'Feijão 1ª safra'!$E20:INDEX('Feijão 1ª safra'!$E20:$Z20,MIN(AG$6-$G$3,22))),0)))))</f>
        <v>0</v>
      </c>
      <c r="AH22" s="27" t="n">
        <f aca="false">IF(COUNT('Feijão 1ª safra'!$E20:$Z20)=0,0,MAX(0,IF((AH$6-$E$3)&lt;1,0,IFERROR(LOOKUP(2,1/('Feijão 1ª safra'!$E20:INDEX('Feijão 1ª safra'!$E20:$Z20,MIN(AH$6-$E$3,22))&lt;&gt;""),'Feijão 1ª safra'!$E20:INDEX('Feijão 1ª safra'!$E20:$Z20,MIN(AH$6-$E$3,22))),0))-IF($G$2,0,IF((AH$6-$G$3)&lt;1,0,IFERROR(LOOKUP(2,1/('Feijão 1ª safra'!$E20:INDEX('Feijão 1ª safra'!$E20:$Z20,MIN(AH$6-$G$3,22))&lt;&gt;""),'Feijão 1ª safra'!$E20:INDEX('Feijão 1ª safra'!$E20:$Z20,MIN(AH$6-$G$3,22))),0)))))</f>
        <v>0</v>
      </c>
      <c r="AI22" s="27" t="n">
        <f aca="false">IF(COUNT('Feijão 1ª safra'!$E20:$Z20)=0,0,MAX(0,IF((AI$6-$E$3)&lt;1,0,IFERROR(LOOKUP(2,1/('Feijão 1ª safra'!$E20:INDEX('Feijão 1ª safra'!$E20:$Z20,MIN(AI$6-$E$3,22))&lt;&gt;""),'Feijão 1ª safra'!$E20:INDEX('Feijão 1ª safra'!$E20:$Z20,MIN(AI$6-$E$3,22))),0))-IF($G$2,0,IF((AI$6-$G$3)&lt;1,0,IFERROR(LOOKUP(2,1/('Feijão 1ª safra'!$E20:INDEX('Feijão 1ª safra'!$E20:$Z20,MIN(AI$6-$G$3,22))&lt;&gt;""),'Feijão 1ª safra'!$E20:INDEX('Feijão 1ª safra'!$E20:$Z20,MIN(AI$6-$G$3,22))),0)))))</f>
        <v>0</v>
      </c>
      <c r="AJ22" s="27" t="n">
        <f aca="false">IF(COUNT('Feijão 1ª safra'!$E20:$Z20)=0,0,MAX(0,IF((AJ$6-$E$3)&lt;1,0,IFERROR(LOOKUP(2,1/('Feijão 1ª safra'!$E20:INDEX('Feijão 1ª safra'!$E20:$Z20,MIN(AJ$6-$E$3,22))&lt;&gt;""),'Feijão 1ª safra'!$E20:INDEX('Feijão 1ª safra'!$E20:$Z20,MIN(AJ$6-$E$3,22))),0))-IF($G$2,0,IF((AJ$6-$G$3)&lt;1,0,IFERROR(LOOKUP(2,1/('Feijão 1ª safra'!$E20:INDEX('Feijão 1ª safra'!$E20:$Z20,MIN(AJ$6-$G$3,22))&lt;&gt;""),'Feijão 1ª safra'!$E20:INDEX('Feijão 1ª safra'!$E20:$Z20,MIN(AJ$6-$G$3,22))),0)))))</f>
        <v>0</v>
      </c>
      <c r="AK22" s="27" t="n">
        <f aca="false">IF(COUNT('Feijão 1ª safra'!$E20:$Z20)=0,0,MAX(0,IF((AK$6-$E$3)&lt;1,0,IFERROR(LOOKUP(2,1/('Feijão 1ª safra'!$E20:INDEX('Feijão 1ª safra'!$E20:$Z20,MIN(AK$6-$E$3,22))&lt;&gt;""),'Feijão 1ª safra'!$E20:INDEX('Feijão 1ª safra'!$E20:$Z20,MIN(AK$6-$E$3,22))),0))-IF($G$2,0,IF((AK$6-$G$3)&lt;1,0,IFERROR(LOOKUP(2,1/('Feijão 1ª safra'!$E20:INDEX('Feijão 1ª safra'!$E20:$Z20,MIN(AK$6-$G$3,22))&lt;&gt;""),'Feijão 1ª safra'!$E20:INDEX('Feijão 1ª safra'!$E20:$Z20,MIN(AK$6-$G$3,22))),0)))))</f>
        <v>0</v>
      </c>
      <c r="AL22" s="27" t="n">
        <f aca="false">IF(COUNT('Feijão 1ª safra'!$E20:$Z20)=0,0,MAX(0,IF((AL$6-$E$3)&lt;1,0,IFERROR(LOOKUP(2,1/('Feijão 1ª safra'!$E20:INDEX('Feijão 1ª safra'!$E20:$Z20,MIN(AL$6-$E$3,22))&lt;&gt;""),'Feijão 1ª safra'!$E20:INDEX('Feijão 1ª safra'!$E20:$Z20,MIN(AL$6-$E$3,22))),0))-IF($G$2,0,IF((AL$6-$G$3)&lt;1,0,IFERROR(LOOKUP(2,1/('Feijão 1ª safra'!$E20:INDEX('Feijão 1ª safra'!$E20:$Z20,MIN(AL$6-$G$3,22))&lt;&gt;""),'Feijão 1ª safra'!$E20:INDEX('Feijão 1ª safra'!$E20:$Z20,MIN(AL$6-$G$3,22))),0)))))</f>
        <v>0</v>
      </c>
      <c r="AM22" s="27" t="n">
        <f aca="false">IF(COUNT('Feijão 1ª safra'!$E20:$Z20)=0,0,MAX(0,IF((AM$6-$E$3)&lt;1,0,IFERROR(LOOKUP(2,1/('Feijão 1ª safra'!$E20:INDEX('Feijão 1ª safra'!$E20:$Z20,MIN(AM$6-$E$3,22))&lt;&gt;""),'Feijão 1ª safra'!$E20:INDEX('Feijão 1ª safra'!$E20:$Z20,MIN(AM$6-$E$3,22))),0))-IF($G$2,0,IF((AM$6-$G$3)&lt;1,0,IFERROR(LOOKUP(2,1/('Feijão 1ª safra'!$E20:INDEX('Feijão 1ª safra'!$E20:$Z20,MIN(AM$6-$G$3,22))&lt;&gt;""),'Feijão 1ª safra'!$E20:INDEX('Feijão 1ª safra'!$E20:$Z20,MIN(AM$6-$G$3,22))),0)))))</f>
        <v>0</v>
      </c>
      <c r="AN22" s="27" t="n">
        <f aca="false">IF(COUNT('Feijão 1ª safra'!$E20:$Z20)=0,0,MAX(0,IF((AN$6-$E$3)&lt;1,0,IFERROR(LOOKUP(2,1/('Feijão 1ª safra'!$E20:INDEX('Feijão 1ª safra'!$E20:$Z20,MIN(AN$6-$E$3,22))&lt;&gt;""),'Feijão 1ª safra'!$E20:INDEX('Feijão 1ª safra'!$E20:$Z20,MIN(AN$6-$E$3,22))),0))-IF($G$2,0,IF((AN$6-$G$3)&lt;1,0,IFERROR(LOOKUP(2,1/('Feijão 1ª safra'!$E20:INDEX('Feijão 1ª safra'!$E20:$Z20,MIN(AN$6-$G$3,22))&lt;&gt;""),'Feijão 1ª safra'!$E20:INDEX('Feijão 1ª safra'!$E20:$Z20,MIN(AN$6-$G$3,22))),0)))))</f>
        <v>0</v>
      </c>
      <c r="AO22" s="27" t="n">
        <f aca="false">IF(COUNT('Feijão 1ª safra'!$E20:$Z20)=0,0,MAX(0,IF((AO$6-$E$3)&lt;1,0,IFERROR(LOOKUP(2,1/('Feijão 1ª safra'!$E20:INDEX('Feijão 1ª safra'!$E20:$Z20,MIN(AO$6-$E$3,22))&lt;&gt;""),'Feijão 1ª safra'!$E20:INDEX('Feijão 1ª safra'!$E20:$Z20,MIN(AO$6-$E$3,22))),0))-IF($G$2,0,IF((AO$6-$G$3)&lt;1,0,IFERROR(LOOKUP(2,1/('Feijão 1ª safra'!$E20:INDEX('Feijão 1ª safra'!$E20:$Z20,MIN(AO$6-$G$3,22))&lt;&gt;""),'Feijão 1ª safra'!$E20:INDEX('Feijão 1ª safra'!$E20:$Z20,MIN(AO$6-$G$3,22))),0)))))</f>
        <v>0</v>
      </c>
      <c r="AP22" s="27" t="n">
        <f aca="false">IF(COUNT('Feijão 1ª safra'!$E20:$Z20)=0,0,MAX(0,IF((AP$6-$E$3)&lt;1,0,IFERROR(LOOKUP(2,1/('Feijão 1ª safra'!$E20:INDEX('Feijão 1ª safra'!$E20:$Z20,MIN(AP$6-$E$3,22))&lt;&gt;""),'Feijão 1ª safra'!$E20:INDEX('Feijão 1ª safra'!$E20:$Z20,MIN(AP$6-$E$3,22))),0))-IF($G$2,0,IF((AP$6-$G$3)&lt;1,0,IFERROR(LOOKUP(2,1/('Feijão 1ª safra'!$E20:INDEX('Feijão 1ª safra'!$E20:$Z20,MIN(AP$6-$G$3,22))&lt;&gt;""),'Feijão 1ª safra'!$E20:INDEX('Feijão 1ª safra'!$E20:$Z20,MIN(AP$6-$G$3,22))),0)))))</f>
        <v>0</v>
      </c>
      <c r="AQ22" s="27" t="n">
        <f aca="false">IF(COUNT('Feijão 1ª safra'!$E20:$Z20)=0,0,MAX(0,IF((AQ$6-$E$3)&lt;1,0,IFERROR(LOOKUP(2,1/('Feijão 1ª safra'!$E20:INDEX('Feijão 1ª safra'!$E20:$Z20,MIN(AQ$6-$E$3,22))&lt;&gt;""),'Feijão 1ª safra'!$E20:INDEX('Feijão 1ª safra'!$E20:$Z20,MIN(AQ$6-$E$3,22))),0))-IF($G$2,0,IF((AQ$6-$G$3)&lt;1,0,IFERROR(LOOKUP(2,1/('Feijão 1ª safra'!$E20:INDEX('Feijão 1ª safra'!$E20:$Z20,MIN(AQ$6-$G$3,22))&lt;&gt;""),'Feijão 1ª safra'!$E20:INDEX('Feijão 1ª safra'!$E20:$Z20,MIN(AQ$6-$G$3,22))),0)))))</f>
        <v>0</v>
      </c>
      <c r="AR22" s="27" t="n">
        <f aca="false">IF(COUNT('Feijão 1ª safra'!$E20:$Z20)=0,0,MAX(0,IF((AR$6-$E$3)&lt;1,0,IFERROR(LOOKUP(2,1/('Feijão 1ª safra'!$E20:INDEX('Feijão 1ª safra'!$E20:$Z20,MIN(AR$6-$E$3,22))&lt;&gt;""),'Feijão 1ª safra'!$E20:INDEX('Feijão 1ª safra'!$E20:$Z20,MIN(AR$6-$E$3,22))),0))-IF($G$2,0,IF((AR$6-$G$3)&lt;1,0,IFERROR(LOOKUP(2,1/('Feijão 1ª safra'!$E20:INDEX('Feijão 1ª safra'!$E20:$Z20,MIN(AR$6-$G$3,22))&lt;&gt;""),'Feijão 1ª safra'!$E20:INDEX('Feijão 1ª safra'!$E20:$Z20,MIN(AR$6-$G$3,22))),0)))))</f>
        <v>0</v>
      </c>
      <c r="AS22" s="27" t="n">
        <f aca="false">IF(COUNT('Feijão 1ª safra'!$E20:$Z20)=0,0,MAX(0,IF((AS$6-$E$3)&lt;1,0,IFERROR(LOOKUP(2,1/('Feijão 1ª safra'!$E20:INDEX('Feijão 1ª safra'!$E20:$Z20,MIN(AS$6-$E$3,22))&lt;&gt;""),'Feijão 1ª safra'!$E20:INDEX('Feijão 1ª safra'!$E20:$Z20,MIN(AS$6-$E$3,22))),0))-IF($G$2,0,IF((AS$6-$G$3)&lt;1,0,IFERROR(LOOKUP(2,1/('Feijão 1ª safra'!$E20:INDEX('Feijão 1ª safra'!$E20:$Z20,MIN(AS$6-$G$3,22))&lt;&gt;""),'Feijão 1ª safra'!$E20:INDEX('Feijão 1ª safra'!$E20:$Z20,MIN(AS$6-$G$3,22))),0)))))</f>
        <v>0</v>
      </c>
      <c r="AT22" s="27" t="n">
        <f aca="false">IF(COUNT('Feijão 1ª safra'!$E20:$Z20)=0,0,MAX(0,IF((AT$6-$E$3)&lt;1,0,IFERROR(LOOKUP(2,1/('Feijão 1ª safra'!$E20:INDEX('Feijão 1ª safra'!$E20:$Z20,MIN(AT$6-$E$3,22))&lt;&gt;""),'Feijão 1ª safra'!$E20:INDEX('Feijão 1ª safra'!$E20:$Z20,MIN(AT$6-$E$3,22))),0))-IF($G$2,0,IF((AT$6-$G$3)&lt;1,0,IFERROR(LOOKUP(2,1/('Feijão 1ª safra'!$E20:INDEX('Feijão 1ª safra'!$E20:$Z20,MIN(AT$6-$G$3,22))&lt;&gt;""),'Feijão 1ª safra'!$E20:INDEX('Feijão 1ª safra'!$E20:$Z20,MIN(AT$6-$G$3,22))),0)))))</f>
        <v>0</v>
      </c>
      <c r="AU22" s="27" t="n">
        <f aca="false">IF(COUNT('Feijão 1ª safra'!$E20:$Z20)=0,0,MAX(0,IF((AU$6-$E$3)&lt;1,0,IFERROR(LOOKUP(2,1/('Feijão 1ª safra'!$E20:INDEX('Feijão 1ª safra'!$E20:$Z20,MIN(AU$6-$E$3,22))&lt;&gt;""),'Feijão 1ª safra'!$E20:INDEX('Feijão 1ª safra'!$E20:$Z20,MIN(AU$6-$E$3,22))),0))-IF($G$2,0,IF((AU$6-$G$3)&lt;1,0,IFERROR(LOOKUP(2,1/('Feijão 1ª safra'!$E20:INDEX('Feijão 1ª safra'!$E20:$Z20,MIN(AU$6-$G$3,22))&lt;&gt;""),'Feijão 1ª safra'!$E20:INDEX('Feijão 1ª safra'!$E20:$Z20,MIN(AU$6-$G$3,22))),0)))))</f>
        <v>0</v>
      </c>
      <c r="AV22" s="27" t="n">
        <f aca="false">IF(COUNT('Feijão 1ª safra'!$E20:$Z20)=0,0,MAX(0,IF((AV$6-$E$3)&lt;1,0,IFERROR(LOOKUP(2,1/('Feijão 1ª safra'!$E20:INDEX('Feijão 1ª safra'!$E20:$Z20,MIN(AV$6-$E$3,22))&lt;&gt;""),'Feijão 1ª safra'!$E20:INDEX('Feijão 1ª safra'!$E20:$Z20,MIN(AV$6-$E$3,22))),0))-IF($G$2,0,IF((AV$6-$G$3)&lt;1,0,IFERROR(LOOKUP(2,1/('Feijão 1ª safra'!$E20:INDEX('Feijão 1ª safra'!$E20:$Z20,MIN(AV$6-$G$3,22))&lt;&gt;""),'Feijão 1ª safra'!$E20:INDEX('Feijão 1ª safra'!$E20:$Z20,MIN(AV$6-$G$3,22))),0)))))</f>
        <v>0</v>
      </c>
      <c r="AW22" s="27" t="n">
        <f aca="false">IF(COUNT('Feijão 1ª safra'!$E20:$Z20)=0,0,MAX(0,IF((AW$6-$E$3)&lt;1,0,IFERROR(LOOKUP(2,1/('Feijão 1ª safra'!$E20:INDEX('Feijão 1ª safra'!$E20:$Z20,MIN(AW$6-$E$3,22))&lt;&gt;""),'Feijão 1ª safra'!$E20:INDEX('Feijão 1ª safra'!$E20:$Z20,MIN(AW$6-$E$3,22))),0))-IF($G$2,0,IF((AW$6-$G$3)&lt;1,0,IFERROR(LOOKUP(2,1/('Feijão 1ª safra'!$E20:INDEX('Feijão 1ª safra'!$E20:$Z20,MIN(AW$6-$G$3,22))&lt;&gt;""),'Feijão 1ª safra'!$E20:INDEX('Feijão 1ª safra'!$E20:$Z20,MIN(AW$6-$G$3,22))),0)))))</f>
        <v>0</v>
      </c>
      <c r="AX22" s="27" t="n">
        <f aca="false">IF(COUNT('Feijão 1ª safra'!$E20:$Z20)=0,0,MAX(0,IF((AX$6-$E$3)&lt;1,0,IFERROR(LOOKUP(2,1/('Feijão 1ª safra'!$E20:INDEX('Feijão 1ª safra'!$E20:$Z20,MIN(AX$6-$E$3,22))&lt;&gt;""),'Feijão 1ª safra'!$E20:INDEX('Feijão 1ª safra'!$E20:$Z20,MIN(AX$6-$E$3,22))),0))-IF($G$2,0,IF((AX$6-$G$3)&lt;1,0,IFERROR(LOOKUP(2,1/('Feijão 1ª safra'!$E20:INDEX('Feijão 1ª safra'!$E20:$Z20,MIN(AX$6-$G$3,22))&lt;&gt;""),'Feijão 1ª safra'!$E20:INDEX('Feijão 1ª safra'!$E20:$Z20,MIN(AX$6-$G$3,22))),0)))))</f>
        <v>0</v>
      </c>
      <c r="AY22" s="27" t="n">
        <f aca="false">IF(COUNT('Feijão 1ª safra'!$E20:$Z20)=0,0,MAX(0,IF((AY$6-$E$3)&lt;1,0,IFERROR(LOOKUP(2,1/('Feijão 1ª safra'!$E20:INDEX('Feijão 1ª safra'!$E20:$Z20,MIN(AY$6-$E$3,22))&lt;&gt;""),'Feijão 1ª safra'!$E20:INDEX('Feijão 1ª safra'!$E20:$Z20,MIN(AY$6-$E$3,22))),0))-IF($G$2,0,IF((AY$6-$G$3)&lt;1,0,IFERROR(LOOKUP(2,1/('Feijão 1ª safra'!$E20:INDEX('Feijão 1ª safra'!$E20:$Z20,MIN(AY$6-$G$3,22))&lt;&gt;""),'Feijão 1ª safra'!$E20:INDEX('Feijão 1ª safra'!$E20:$Z20,MIN(AY$6-$G$3,22))),0)))))</f>
        <v>0</v>
      </c>
      <c r="AZ22" s="27" t="n">
        <f aca="false">IF(COUNT('Feijão 1ª safra'!$E20:$Z20)=0,0,MAX(0,IF((AZ$6-$E$3)&lt;1,0,IFERROR(LOOKUP(2,1/('Feijão 1ª safra'!$E20:INDEX('Feijão 1ª safra'!$E20:$Z20,MIN(AZ$6-$E$3,22))&lt;&gt;""),'Feijão 1ª safra'!$E20:INDEX('Feijão 1ª safra'!$E20:$Z20,MIN(AZ$6-$E$3,22))),0))-IF($G$2,0,IF((AZ$6-$G$3)&lt;1,0,IFERROR(LOOKUP(2,1/('Feijão 1ª safra'!$E20:INDEX('Feijão 1ª safra'!$E20:$Z20,MIN(AZ$6-$G$3,22))&lt;&gt;""),'Feijão 1ª safra'!$E20:INDEX('Feijão 1ª safra'!$E20:$Z20,MIN(AZ$6-$G$3,22))),0)))))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IF(COUNT('Feijão 1ª safra'!$E21:$Z21)&gt;0,N('Feijão 1ª safra'!$D21),0)</f>
        <v>0</v>
      </c>
      <c r="E23" s="27" t="n">
        <f aca="false">IF(COUNT('Feijão 1ª safra'!$E21:$Z21)=0,0,MAX(0,IF((E$6-$E$3)&lt;1,0,IFERROR(LOOKUP(2,1/('Feijão 1ª safra'!$E21:INDEX('Feijão 1ª safra'!$E21:$Z21,MIN(E$6-$E$3,22))&lt;&gt;""),'Feijão 1ª safra'!$E21:INDEX('Feijão 1ª safra'!$E21:$Z21,MIN(E$6-$E$3,22))),0))-IF($G$2,0,IF((E$6-$G$3)&lt;1,0,IFERROR(LOOKUP(2,1/('Feijão 1ª safra'!$E21:INDEX('Feijão 1ª safra'!$E21:$Z21,MIN(E$6-$G$3,22))&lt;&gt;""),'Feijão 1ª safra'!$E21:INDEX('Feijão 1ª safra'!$E21:$Z21,MIN(E$6-$G$3,22))),0)))))</f>
        <v>0</v>
      </c>
      <c r="F23" s="27" t="n">
        <f aca="false">IF(COUNT('Feijão 1ª safra'!$E21:$Z21)=0,0,MAX(0,IF((F$6-$E$3)&lt;1,0,IFERROR(LOOKUP(2,1/('Feijão 1ª safra'!$E21:INDEX('Feijão 1ª safra'!$E21:$Z21,MIN(F$6-$E$3,22))&lt;&gt;""),'Feijão 1ª safra'!$E21:INDEX('Feijão 1ª safra'!$E21:$Z21,MIN(F$6-$E$3,22))),0))-IF($G$2,0,IF((F$6-$G$3)&lt;1,0,IFERROR(LOOKUP(2,1/('Feijão 1ª safra'!$E21:INDEX('Feijão 1ª safra'!$E21:$Z21,MIN(F$6-$G$3,22))&lt;&gt;""),'Feijão 1ª safra'!$E21:INDEX('Feijão 1ª safra'!$E21:$Z21,MIN(F$6-$G$3,22))),0)))))</f>
        <v>0</v>
      </c>
      <c r="G23" s="27" t="n">
        <f aca="false">IF(COUNT('Feijão 1ª safra'!$E21:$Z21)=0,0,MAX(0,IF((G$6-$E$3)&lt;1,0,IFERROR(LOOKUP(2,1/('Feijão 1ª safra'!$E21:INDEX('Feijão 1ª safra'!$E21:$Z21,MIN(G$6-$E$3,22))&lt;&gt;""),'Feijão 1ª safra'!$E21:INDEX('Feijão 1ª safra'!$E21:$Z21,MIN(G$6-$E$3,22))),0))-IF($G$2,0,IF((G$6-$G$3)&lt;1,0,IFERROR(LOOKUP(2,1/('Feijão 1ª safra'!$E21:INDEX('Feijão 1ª safra'!$E21:$Z21,MIN(G$6-$G$3,22))&lt;&gt;""),'Feijão 1ª safra'!$E21:INDEX('Feijão 1ª safra'!$E21:$Z21,MIN(G$6-$G$3,22))),0)))))</f>
        <v>0</v>
      </c>
      <c r="H23" s="27" t="n">
        <f aca="false">IF(COUNT('Feijão 1ª safra'!$E21:$Z21)=0,0,MAX(0,IF((H$6-$E$3)&lt;1,0,IFERROR(LOOKUP(2,1/('Feijão 1ª safra'!$E21:INDEX('Feijão 1ª safra'!$E21:$Z21,MIN(H$6-$E$3,22))&lt;&gt;""),'Feijão 1ª safra'!$E21:INDEX('Feijão 1ª safra'!$E21:$Z21,MIN(H$6-$E$3,22))),0))-IF($G$2,0,IF((H$6-$G$3)&lt;1,0,IFERROR(LOOKUP(2,1/('Feijão 1ª safra'!$E21:INDEX('Feijão 1ª safra'!$E21:$Z21,MIN(H$6-$G$3,22))&lt;&gt;""),'Feijão 1ª safra'!$E21:INDEX('Feijão 1ª safra'!$E21:$Z21,MIN(H$6-$G$3,22))),0)))))</f>
        <v>0</v>
      </c>
      <c r="I23" s="27" t="n">
        <f aca="false">IF(COUNT('Feijão 1ª safra'!$E21:$Z21)=0,0,MAX(0,IF((I$6-$E$3)&lt;1,0,IFERROR(LOOKUP(2,1/('Feijão 1ª safra'!$E21:INDEX('Feijão 1ª safra'!$E21:$Z21,MIN(I$6-$E$3,22))&lt;&gt;""),'Feijão 1ª safra'!$E21:INDEX('Feijão 1ª safra'!$E21:$Z21,MIN(I$6-$E$3,22))),0))-IF($G$2,0,IF((I$6-$G$3)&lt;1,0,IFERROR(LOOKUP(2,1/('Feijão 1ª safra'!$E21:INDEX('Feijão 1ª safra'!$E21:$Z21,MIN(I$6-$G$3,22))&lt;&gt;""),'Feijão 1ª safra'!$E21:INDEX('Feijão 1ª safra'!$E21:$Z21,MIN(I$6-$G$3,22))),0)))))</f>
        <v>0</v>
      </c>
      <c r="J23" s="27" t="n">
        <f aca="false">IF(COUNT('Feijão 1ª safra'!$E21:$Z21)=0,0,MAX(0,IF((J$6-$E$3)&lt;1,0,IFERROR(LOOKUP(2,1/('Feijão 1ª safra'!$E21:INDEX('Feijão 1ª safra'!$E21:$Z21,MIN(J$6-$E$3,22))&lt;&gt;""),'Feijão 1ª safra'!$E21:INDEX('Feijão 1ª safra'!$E21:$Z21,MIN(J$6-$E$3,22))),0))-IF($G$2,0,IF((J$6-$G$3)&lt;1,0,IFERROR(LOOKUP(2,1/('Feijão 1ª safra'!$E21:INDEX('Feijão 1ª safra'!$E21:$Z21,MIN(J$6-$G$3,22))&lt;&gt;""),'Feijão 1ª safra'!$E21:INDEX('Feijão 1ª safra'!$E21:$Z21,MIN(J$6-$G$3,22))),0)))))</f>
        <v>0</v>
      </c>
      <c r="K23" s="27" t="n">
        <f aca="false">IF(COUNT('Feijão 1ª safra'!$E21:$Z21)=0,0,MAX(0,IF((K$6-$E$3)&lt;1,0,IFERROR(LOOKUP(2,1/('Feijão 1ª safra'!$E21:INDEX('Feijão 1ª safra'!$E21:$Z21,MIN(K$6-$E$3,22))&lt;&gt;""),'Feijão 1ª safra'!$E21:INDEX('Feijão 1ª safra'!$E21:$Z21,MIN(K$6-$E$3,22))),0))-IF($G$2,0,IF((K$6-$G$3)&lt;1,0,IFERROR(LOOKUP(2,1/('Feijão 1ª safra'!$E21:INDEX('Feijão 1ª safra'!$E21:$Z21,MIN(K$6-$G$3,22))&lt;&gt;""),'Feijão 1ª safra'!$E21:INDEX('Feijão 1ª safra'!$E21:$Z21,MIN(K$6-$G$3,22))),0)))))</f>
        <v>0</v>
      </c>
      <c r="L23" s="27" t="n">
        <f aca="false">IF(COUNT('Feijão 1ª safra'!$E21:$Z21)=0,0,MAX(0,IF((L$6-$E$3)&lt;1,0,IFERROR(LOOKUP(2,1/('Feijão 1ª safra'!$E21:INDEX('Feijão 1ª safra'!$E21:$Z21,MIN(L$6-$E$3,22))&lt;&gt;""),'Feijão 1ª safra'!$E21:INDEX('Feijão 1ª safra'!$E21:$Z21,MIN(L$6-$E$3,22))),0))-IF($G$2,0,IF((L$6-$G$3)&lt;1,0,IFERROR(LOOKUP(2,1/('Feijão 1ª safra'!$E21:INDEX('Feijão 1ª safra'!$E21:$Z21,MIN(L$6-$G$3,22))&lt;&gt;""),'Feijão 1ª safra'!$E21:INDEX('Feijão 1ª safra'!$E21:$Z21,MIN(L$6-$G$3,22))),0)))))</f>
        <v>0</v>
      </c>
      <c r="M23" s="27" t="n">
        <f aca="false">IF(COUNT('Feijão 1ª safra'!$E21:$Z21)=0,0,MAX(0,IF((M$6-$E$3)&lt;1,0,IFERROR(LOOKUP(2,1/('Feijão 1ª safra'!$E21:INDEX('Feijão 1ª safra'!$E21:$Z21,MIN(M$6-$E$3,22))&lt;&gt;""),'Feijão 1ª safra'!$E21:INDEX('Feijão 1ª safra'!$E21:$Z21,MIN(M$6-$E$3,22))),0))-IF($G$2,0,IF((M$6-$G$3)&lt;1,0,IFERROR(LOOKUP(2,1/('Feijão 1ª safra'!$E21:INDEX('Feijão 1ª safra'!$E21:$Z21,MIN(M$6-$G$3,22))&lt;&gt;""),'Feijão 1ª safra'!$E21:INDEX('Feijão 1ª safra'!$E21:$Z21,MIN(M$6-$G$3,22))),0)))))</f>
        <v>0</v>
      </c>
      <c r="N23" s="27" t="n">
        <f aca="false">IF(COUNT('Feijão 1ª safra'!$E21:$Z21)=0,0,MAX(0,IF((N$6-$E$3)&lt;1,0,IFERROR(LOOKUP(2,1/('Feijão 1ª safra'!$E21:INDEX('Feijão 1ª safra'!$E21:$Z21,MIN(N$6-$E$3,22))&lt;&gt;""),'Feijão 1ª safra'!$E21:INDEX('Feijão 1ª safra'!$E21:$Z21,MIN(N$6-$E$3,22))),0))-IF($G$2,0,IF((N$6-$G$3)&lt;1,0,IFERROR(LOOKUP(2,1/('Feijão 1ª safra'!$E21:INDEX('Feijão 1ª safra'!$E21:$Z21,MIN(N$6-$G$3,22))&lt;&gt;""),'Feijão 1ª safra'!$E21:INDEX('Feijão 1ª safra'!$E21:$Z21,MIN(N$6-$G$3,22))),0)))))</f>
        <v>0</v>
      </c>
      <c r="O23" s="27" t="n">
        <f aca="false">IF(COUNT('Feijão 1ª safra'!$E21:$Z21)=0,0,MAX(0,IF((O$6-$E$3)&lt;1,0,IFERROR(LOOKUP(2,1/('Feijão 1ª safra'!$E21:INDEX('Feijão 1ª safra'!$E21:$Z21,MIN(O$6-$E$3,22))&lt;&gt;""),'Feijão 1ª safra'!$E21:INDEX('Feijão 1ª safra'!$E21:$Z21,MIN(O$6-$E$3,22))),0))-IF($G$2,0,IF((O$6-$G$3)&lt;1,0,IFERROR(LOOKUP(2,1/('Feijão 1ª safra'!$E21:INDEX('Feijão 1ª safra'!$E21:$Z21,MIN(O$6-$G$3,22))&lt;&gt;""),'Feijão 1ª safra'!$E21:INDEX('Feijão 1ª safra'!$E21:$Z21,MIN(O$6-$G$3,22))),0)))))</f>
        <v>0</v>
      </c>
      <c r="P23" s="27" t="n">
        <f aca="false">IF(COUNT('Feijão 1ª safra'!$E21:$Z21)=0,0,MAX(0,IF((P$6-$E$3)&lt;1,0,IFERROR(LOOKUP(2,1/('Feijão 1ª safra'!$E21:INDEX('Feijão 1ª safra'!$E21:$Z21,MIN(P$6-$E$3,22))&lt;&gt;""),'Feijão 1ª safra'!$E21:INDEX('Feijão 1ª safra'!$E21:$Z21,MIN(P$6-$E$3,22))),0))-IF($G$2,0,IF((P$6-$G$3)&lt;1,0,IFERROR(LOOKUP(2,1/('Feijão 1ª safra'!$E21:INDEX('Feijão 1ª safra'!$E21:$Z21,MIN(P$6-$G$3,22))&lt;&gt;""),'Feijão 1ª safra'!$E21:INDEX('Feijão 1ª safra'!$E21:$Z21,MIN(P$6-$G$3,22))),0)))))</f>
        <v>0</v>
      </c>
      <c r="Q23" s="27" t="n">
        <f aca="false">IF(COUNT('Feijão 1ª safra'!$E21:$Z21)=0,0,MAX(0,IF((Q$6-$E$3)&lt;1,0,IFERROR(LOOKUP(2,1/('Feijão 1ª safra'!$E21:INDEX('Feijão 1ª safra'!$E21:$Z21,MIN(Q$6-$E$3,22))&lt;&gt;""),'Feijão 1ª safra'!$E21:INDEX('Feijão 1ª safra'!$E21:$Z21,MIN(Q$6-$E$3,22))),0))-IF($G$2,0,IF((Q$6-$G$3)&lt;1,0,IFERROR(LOOKUP(2,1/('Feijão 1ª safra'!$E21:INDEX('Feijão 1ª safra'!$E21:$Z21,MIN(Q$6-$G$3,22))&lt;&gt;""),'Feijão 1ª safra'!$E21:INDEX('Feijão 1ª safra'!$E21:$Z21,MIN(Q$6-$G$3,22))),0)))))</f>
        <v>0</v>
      </c>
      <c r="R23" s="27" t="n">
        <f aca="false">IF(COUNT('Feijão 1ª safra'!$E21:$Z21)=0,0,MAX(0,IF((R$6-$E$3)&lt;1,0,IFERROR(LOOKUP(2,1/('Feijão 1ª safra'!$E21:INDEX('Feijão 1ª safra'!$E21:$Z21,MIN(R$6-$E$3,22))&lt;&gt;""),'Feijão 1ª safra'!$E21:INDEX('Feijão 1ª safra'!$E21:$Z21,MIN(R$6-$E$3,22))),0))-IF($G$2,0,IF((R$6-$G$3)&lt;1,0,IFERROR(LOOKUP(2,1/('Feijão 1ª safra'!$E21:INDEX('Feijão 1ª safra'!$E21:$Z21,MIN(R$6-$G$3,22))&lt;&gt;""),'Feijão 1ª safra'!$E21:INDEX('Feijão 1ª safra'!$E21:$Z21,MIN(R$6-$G$3,22))),0)))))</f>
        <v>0</v>
      </c>
      <c r="S23" s="27" t="n">
        <f aca="false">IF(COUNT('Feijão 1ª safra'!$E21:$Z21)=0,0,MAX(0,IF((S$6-$E$3)&lt;1,0,IFERROR(LOOKUP(2,1/('Feijão 1ª safra'!$E21:INDEX('Feijão 1ª safra'!$E21:$Z21,MIN(S$6-$E$3,22))&lt;&gt;""),'Feijão 1ª safra'!$E21:INDEX('Feijão 1ª safra'!$E21:$Z21,MIN(S$6-$E$3,22))),0))-IF($G$2,0,IF((S$6-$G$3)&lt;1,0,IFERROR(LOOKUP(2,1/('Feijão 1ª safra'!$E21:INDEX('Feijão 1ª safra'!$E21:$Z21,MIN(S$6-$G$3,22))&lt;&gt;""),'Feijão 1ª safra'!$E21:INDEX('Feijão 1ª safra'!$E21:$Z21,MIN(S$6-$G$3,22))),0)))))</f>
        <v>0</v>
      </c>
      <c r="T23" s="27" t="n">
        <f aca="false">IF(COUNT('Feijão 1ª safra'!$E21:$Z21)=0,0,MAX(0,IF((T$6-$E$3)&lt;1,0,IFERROR(LOOKUP(2,1/('Feijão 1ª safra'!$E21:INDEX('Feijão 1ª safra'!$E21:$Z21,MIN(T$6-$E$3,22))&lt;&gt;""),'Feijão 1ª safra'!$E21:INDEX('Feijão 1ª safra'!$E21:$Z21,MIN(T$6-$E$3,22))),0))-IF($G$2,0,IF((T$6-$G$3)&lt;1,0,IFERROR(LOOKUP(2,1/('Feijão 1ª safra'!$E21:INDEX('Feijão 1ª safra'!$E21:$Z21,MIN(T$6-$G$3,22))&lt;&gt;""),'Feijão 1ª safra'!$E21:INDEX('Feijão 1ª safra'!$E21:$Z21,MIN(T$6-$G$3,22))),0)))))</f>
        <v>0</v>
      </c>
      <c r="U23" s="27" t="n">
        <f aca="false">IF(COUNT('Feijão 1ª safra'!$E21:$Z21)=0,0,MAX(0,IF((U$6-$E$3)&lt;1,0,IFERROR(LOOKUP(2,1/('Feijão 1ª safra'!$E21:INDEX('Feijão 1ª safra'!$E21:$Z21,MIN(U$6-$E$3,22))&lt;&gt;""),'Feijão 1ª safra'!$E21:INDEX('Feijão 1ª safra'!$E21:$Z21,MIN(U$6-$E$3,22))),0))-IF($G$2,0,IF((U$6-$G$3)&lt;1,0,IFERROR(LOOKUP(2,1/('Feijão 1ª safra'!$E21:INDEX('Feijão 1ª safra'!$E21:$Z21,MIN(U$6-$G$3,22))&lt;&gt;""),'Feijão 1ª safra'!$E21:INDEX('Feijão 1ª safra'!$E21:$Z21,MIN(U$6-$G$3,22))),0)))))</f>
        <v>0</v>
      </c>
      <c r="V23" s="27" t="n">
        <f aca="false">IF(COUNT('Feijão 1ª safra'!$E21:$Z21)=0,0,MAX(0,IF((V$6-$E$3)&lt;1,0,IFERROR(LOOKUP(2,1/('Feijão 1ª safra'!$E21:INDEX('Feijão 1ª safra'!$E21:$Z21,MIN(V$6-$E$3,22))&lt;&gt;""),'Feijão 1ª safra'!$E21:INDEX('Feijão 1ª safra'!$E21:$Z21,MIN(V$6-$E$3,22))),0))-IF($G$2,0,IF((V$6-$G$3)&lt;1,0,IFERROR(LOOKUP(2,1/('Feijão 1ª safra'!$E21:INDEX('Feijão 1ª safra'!$E21:$Z21,MIN(V$6-$G$3,22))&lt;&gt;""),'Feijão 1ª safra'!$E21:INDEX('Feijão 1ª safra'!$E21:$Z21,MIN(V$6-$G$3,22))),0)))))</f>
        <v>0</v>
      </c>
      <c r="W23" s="27" t="n">
        <f aca="false">IF(COUNT('Feijão 1ª safra'!$E21:$Z21)=0,0,MAX(0,IF((W$6-$E$3)&lt;1,0,IFERROR(LOOKUP(2,1/('Feijão 1ª safra'!$E21:INDEX('Feijão 1ª safra'!$E21:$Z21,MIN(W$6-$E$3,22))&lt;&gt;""),'Feijão 1ª safra'!$E21:INDEX('Feijão 1ª safra'!$E21:$Z21,MIN(W$6-$E$3,22))),0))-IF($G$2,0,IF((W$6-$G$3)&lt;1,0,IFERROR(LOOKUP(2,1/('Feijão 1ª safra'!$E21:INDEX('Feijão 1ª safra'!$E21:$Z21,MIN(W$6-$G$3,22))&lt;&gt;""),'Feijão 1ª safra'!$E21:INDEX('Feijão 1ª safra'!$E21:$Z21,MIN(W$6-$G$3,22))),0)))))</f>
        <v>0</v>
      </c>
      <c r="X23" s="27" t="n">
        <f aca="false">IF(COUNT('Feijão 1ª safra'!$E21:$Z21)=0,0,MAX(0,IF((X$6-$E$3)&lt;1,0,IFERROR(LOOKUP(2,1/('Feijão 1ª safra'!$E21:INDEX('Feijão 1ª safra'!$E21:$Z21,MIN(X$6-$E$3,22))&lt;&gt;""),'Feijão 1ª safra'!$E21:INDEX('Feijão 1ª safra'!$E21:$Z21,MIN(X$6-$E$3,22))),0))-IF($G$2,0,IF((X$6-$G$3)&lt;1,0,IFERROR(LOOKUP(2,1/('Feijão 1ª safra'!$E21:INDEX('Feijão 1ª safra'!$E21:$Z21,MIN(X$6-$G$3,22))&lt;&gt;""),'Feijão 1ª safra'!$E21:INDEX('Feijão 1ª safra'!$E21:$Z21,MIN(X$6-$G$3,22))),0)))))</f>
        <v>0</v>
      </c>
      <c r="Y23" s="27" t="n">
        <f aca="false">IF(COUNT('Feijão 1ª safra'!$E21:$Z21)=0,0,MAX(0,IF((Y$6-$E$3)&lt;1,0,IFERROR(LOOKUP(2,1/('Feijão 1ª safra'!$E21:INDEX('Feijão 1ª safra'!$E21:$Z21,MIN(Y$6-$E$3,22))&lt;&gt;""),'Feijão 1ª safra'!$E21:INDEX('Feijão 1ª safra'!$E21:$Z21,MIN(Y$6-$E$3,22))),0))-IF($G$2,0,IF((Y$6-$G$3)&lt;1,0,IFERROR(LOOKUP(2,1/('Feijão 1ª safra'!$E21:INDEX('Feijão 1ª safra'!$E21:$Z21,MIN(Y$6-$G$3,22))&lt;&gt;""),'Feijão 1ª safra'!$E21:INDEX('Feijão 1ª safra'!$E21:$Z21,MIN(Y$6-$G$3,22))),0)))))</f>
        <v>0</v>
      </c>
      <c r="Z23" s="27" t="n">
        <f aca="false">IF(COUNT('Feijão 1ª safra'!$E21:$Z21)=0,0,MAX(0,IF((Z$6-$E$3)&lt;1,0,IFERROR(LOOKUP(2,1/('Feijão 1ª safra'!$E21:INDEX('Feijão 1ª safra'!$E21:$Z21,MIN(Z$6-$E$3,22))&lt;&gt;""),'Feijão 1ª safra'!$E21:INDEX('Feijão 1ª safra'!$E21:$Z21,MIN(Z$6-$E$3,22))),0))-IF($G$2,0,IF((Z$6-$G$3)&lt;1,0,IFERROR(LOOKUP(2,1/('Feijão 1ª safra'!$E21:INDEX('Feijão 1ª safra'!$E21:$Z21,MIN(Z$6-$G$3,22))&lt;&gt;""),'Feijão 1ª safra'!$E21:INDEX('Feijão 1ª safra'!$E21:$Z21,MIN(Z$6-$G$3,22))),0)))))</f>
        <v>0</v>
      </c>
      <c r="AA23" s="27" t="n">
        <f aca="false">IF(COUNT('Feijão 1ª safra'!$E21:$Z21)=0,0,MAX(0,IF((AA$6-$E$3)&lt;1,0,IFERROR(LOOKUP(2,1/('Feijão 1ª safra'!$E21:INDEX('Feijão 1ª safra'!$E21:$Z21,MIN(AA$6-$E$3,22))&lt;&gt;""),'Feijão 1ª safra'!$E21:INDEX('Feijão 1ª safra'!$E21:$Z21,MIN(AA$6-$E$3,22))),0))-IF($G$2,0,IF((AA$6-$G$3)&lt;1,0,IFERROR(LOOKUP(2,1/('Feijão 1ª safra'!$E21:INDEX('Feijão 1ª safra'!$E21:$Z21,MIN(AA$6-$G$3,22))&lt;&gt;""),'Feijão 1ª safra'!$E21:INDEX('Feijão 1ª safra'!$E21:$Z21,MIN(AA$6-$G$3,22))),0)))))</f>
        <v>0</v>
      </c>
      <c r="AB23" s="27" t="n">
        <f aca="false">IF(COUNT('Feijão 1ª safra'!$E21:$Z21)=0,0,MAX(0,IF((AB$6-$E$3)&lt;1,0,IFERROR(LOOKUP(2,1/('Feijão 1ª safra'!$E21:INDEX('Feijão 1ª safra'!$E21:$Z21,MIN(AB$6-$E$3,22))&lt;&gt;""),'Feijão 1ª safra'!$E21:INDEX('Feijão 1ª safra'!$E21:$Z21,MIN(AB$6-$E$3,22))),0))-IF($G$2,0,IF((AB$6-$G$3)&lt;1,0,IFERROR(LOOKUP(2,1/('Feijão 1ª safra'!$E21:INDEX('Feijão 1ª safra'!$E21:$Z21,MIN(AB$6-$G$3,22))&lt;&gt;""),'Feijão 1ª safra'!$E21:INDEX('Feijão 1ª safra'!$E21:$Z21,MIN(AB$6-$G$3,22))),0)))))</f>
        <v>0</v>
      </c>
      <c r="AC23" s="27" t="n">
        <f aca="false">IF(COUNT('Feijão 1ª safra'!$E21:$Z21)=0,0,MAX(0,IF((AC$6-$E$3)&lt;1,0,IFERROR(LOOKUP(2,1/('Feijão 1ª safra'!$E21:INDEX('Feijão 1ª safra'!$E21:$Z21,MIN(AC$6-$E$3,22))&lt;&gt;""),'Feijão 1ª safra'!$E21:INDEX('Feijão 1ª safra'!$E21:$Z21,MIN(AC$6-$E$3,22))),0))-IF($G$2,0,IF((AC$6-$G$3)&lt;1,0,IFERROR(LOOKUP(2,1/('Feijão 1ª safra'!$E21:INDEX('Feijão 1ª safra'!$E21:$Z21,MIN(AC$6-$G$3,22))&lt;&gt;""),'Feijão 1ª safra'!$E21:INDEX('Feijão 1ª safra'!$E21:$Z21,MIN(AC$6-$G$3,22))),0)))))</f>
        <v>0</v>
      </c>
      <c r="AD23" s="27" t="n">
        <f aca="false">IF(COUNT('Feijão 1ª safra'!$E21:$Z21)=0,0,MAX(0,IF((AD$6-$E$3)&lt;1,0,IFERROR(LOOKUP(2,1/('Feijão 1ª safra'!$E21:INDEX('Feijão 1ª safra'!$E21:$Z21,MIN(AD$6-$E$3,22))&lt;&gt;""),'Feijão 1ª safra'!$E21:INDEX('Feijão 1ª safra'!$E21:$Z21,MIN(AD$6-$E$3,22))),0))-IF($G$2,0,IF((AD$6-$G$3)&lt;1,0,IFERROR(LOOKUP(2,1/('Feijão 1ª safra'!$E21:INDEX('Feijão 1ª safra'!$E21:$Z21,MIN(AD$6-$G$3,22))&lt;&gt;""),'Feijão 1ª safra'!$E21:INDEX('Feijão 1ª safra'!$E21:$Z21,MIN(AD$6-$G$3,22))),0)))))</f>
        <v>0</v>
      </c>
      <c r="AE23" s="27" t="n">
        <f aca="false">IF(COUNT('Feijão 1ª safra'!$E21:$Z21)=0,0,MAX(0,IF((AE$6-$E$3)&lt;1,0,IFERROR(LOOKUP(2,1/('Feijão 1ª safra'!$E21:INDEX('Feijão 1ª safra'!$E21:$Z21,MIN(AE$6-$E$3,22))&lt;&gt;""),'Feijão 1ª safra'!$E21:INDEX('Feijão 1ª safra'!$E21:$Z21,MIN(AE$6-$E$3,22))),0))-IF($G$2,0,IF((AE$6-$G$3)&lt;1,0,IFERROR(LOOKUP(2,1/('Feijão 1ª safra'!$E21:INDEX('Feijão 1ª safra'!$E21:$Z21,MIN(AE$6-$G$3,22))&lt;&gt;""),'Feijão 1ª safra'!$E21:INDEX('Feijão 1ª safra'!$E21:$Z21,MIN(AE$6-$G$3,22))),0)))))</f>
        <v>0</v>
      </c>
      <c r="AF23" s="27" t="n">
        <f aca="false">IF(COUNT('Feijão 1ª safra'!$E21:$Z21)=0,0,MAX(0,IF((AF$6-$E$3)&lt;1,0,IFERROR(LOOKUP(2,1/('Feijão 1ª safra'!$E21:INDEX('Feijão 1ª safra'!$E21:$Z21,MIN(AF$6-$E$3,22))&lt;&gt;""),'Feijão 1ª safra'!$E21:INDEX('Feijão 1ª safra'!$E21:$Z21,MIN(AF$6-$E$3,22))),0))-IF($G$2,0,IF((AF$6-$G$3)&lt;1,0,IFERROR(LOOKUP(2,1/('Feijão 1ª safra'!$E21:INDEX('Feijão 1ª safra'!$E21:$Z21,MIN(AF$6-$G$3,22))&lt;&gt;""),'Feijão 1ª safra'!$E21:INDEX('Feijão 1ª safra'!$E21:$Z21,MIN(AF$6-$G$3,22))),0)))))</f>
        <v>0</v>
      </c>
      <c r="AG23" s="27" t="n">
        <f aca="false">IF(COUNT('Feijão 1ª safra'!$E21:$Z21)=0,0,MAX(0,IF((AG$6-$E$3)&lt;1,0,IFERROR(LOOKUP(2,1/('Feijão 1ª safra'!$E21:INDEX('Feijão 1ª safra'!$E21:$Z21,MIN(AG$6-$E$3,22))&lt;&gt;""),'Feijão 1ª safra'!$E21:INDEX('Feijão 1ª safra'!$E21:$Z21,MIN(AG$6-$E$3,22))),0))-IF($G$2,0,IF((AG$6-$G$3)&lt;1,0,IFERROR(LOOKUP(2,1/('Feijão 1ª safra'!$E21:INDEX('Feijão 1ª safra'!$E21:$Z21,MIN(AG$6-$G$3,22))&lt;&gt;""),'Feijão 1ª safra'!$E21:INDEX('Feijão 1ª safra'!$E21:$Z21,MIN(AG$6-$G$3,22))),0)))))</f>
        <v>0</v>
      </c>
      <c r="AH23" s="27" t="n">
        <f aca="false">IF(COUNT('Feijão 1ª safra'!$E21:$Z21)=0,0,MAX(0,IF((AH$6-$E$3)&lt;1,0,IFERROR(LOOKUP(2,1/('Feijão 1ª safra'!$E21:INDEX('Feijão 1ª safra'!$E21:$Z21,MIN(AH$6-$E$3,22))&lt;&gt;""),'Feijão 1ª safra'!$E21:INDEX('Feijão 1ª safra'!$E21:$Z21,MIN(AH$6-$E$3,22))),0))-IF($G$2,0,IF((AH$6-$G$3)&lt;1,0,IFERROR(LOOKUP(2,1/('Feijão 1ª safra'!$E21:INDEX('Feijão 1ª safra'!$E21:$Z21,MIN(AH$6-$G$3,22))&lt;&gt;""),'Feijão 1ª safra'!$E21:INDEX('Feijão 1ª safra'!$E21:$Z21,MIN(AH$6-$G$3,22))),0)))))</f>
        <v>0</v>
      </c>
      <c r="AI23" s="27" t="n">
        <f aca="false">IF(COUNT('Feijão 1ª safra'!$E21:$Z21)=0,0,MAX(0,IF((AI$6-$E$3)&lt;1,0,IFERROR(LOOKUP(2,1/('Feijão 1ª safra'!$E21:INDEX('Feijão 1ª safra'!$E21:$Z21,MIN(AI$6-$E$3,22))&lt;&gt;""),'Feijão 1ª safra'!$E21:INDEX('Feijão 1ª safra'!$E21:$Z21,MIN(AI$6-$E$3,22))),0))-IF($G$2,0,IF((AI$6-$G$3)&lt;1,0,IFERROR(LOOKUP(2,1/('Feijão 1ª safra'!$E21:INDEX('Feijão 1ª safra'!$E21:$Z21,MIN(AI$6-$G$3,22))&lt;&gt;""),'Feijão 1ª safra'!$E21:INDEX('Feijão 1ª safra'!$E21:$Z21,MIN(AI$6-$G$3,22))),0)))))</f>
        <v>0</v>
      </c>
      <c r="AJ23" s="27" t="n">
        <f aca="false">IF(COUNT('Feijão 1ª safra'!$E21:$Z21)=0,0,MAX(0,IF((AJ$6-$E$3)&lt;1,0,IFERROR(LOOKUP(2,1/('Feijão 1ª safra'!$E21:INDEX('Feijão 1ª safra'!$E21:$Z21,MIN(AJ$6-$E$3,22))&lt;&gt;""),'Feijão 1ª safra'!$E21:INDEX('Feijão 1ª safra'!$E21:$Z21,MIN(AJ$6-$E$3,22))),0))-IF($G$2,0,IF((AJ$6-$G$3)&lt;1,0,IFERROR(LOOKUP(2,1/('Feijão 1ª safra'!$E21:INDEX('Feijão 1ª safra'!$E21:$Z21,MIN(AJ$6-$G$3,22))&lt;&gt;""),'Feijão 1ª safra'!$E21:INDEX('Feijão 1ª safra'!$E21:$Z21,MIN(AJ$6-$G$3,22))),0)))))</f>
        <v>0</v>
      </c>
      <c r="AK23" s="27" t="n">
        <f aca="false">IF(COUNT('Feijão 1ª safra'!$E21:$Z21)=0,0,MAX(0,IF((AK$6-$E$3)&lt;1,0,IFERROR(LOOKUP(2,1/('Feijão 1ª safra'!$E21:INDEX('Feijão 1ª safra'!$E21:$Z21,MIN(AK$6-$E$3,22))&lt;&gt;""),'Feijão 1ª safra'!$E21:INDEX('Feijão 1ª safra'!$E21:$Z21,MIN(AK$6-$E$3,22))),0))-IF($G$2,0,IF((AK$6-$G$3)&lt;1,0,IFERROR(LOOKUP(2,1/('Feijão 1ª safra'!$E21:INDEX('Feijão 1ª safra'!$E21:$Z21,MIN(AK$6-$G$3,22))&lt;&gt;""),'Feijão 1ª safra'!$E21:INDEX('Feijão 1ª safra'!$E21:$Z21,MIN(AK$6-$G$3,22))),0)))))</f>
        <v>0</v>
      </c>
      <c r="AL23" s="27" t="n">
        <f aca="false">IF(COUNT('Feijão 1ª safra'!$E21:$Z21)=0,0,MAX(0,IF((AL$6-$E$3)&lt;1,0,IFERROR(LOOKUP(2,1/('Feijão 1ª safra'!$E21:INDEX('Feijão 1ª safra'!$E21:$Z21,MIN(AL$6-$E$3,22))&lt;&gt;""),'Feijão 1ª safra'!$E21:INDEX('Feijão 1ª safra'!$E21:$Z21,MIN(AL$6-$E$3,22))),0))-IF($G$2,0,IF((AL$6-$G$3)&lt;1,0,IFERROR(LOOKUP(2,1/('Feijão 1ª safra'!$E21:INDEX('Feijão 1ª safra'!$E21:$Z21,MIN(AL$6-$G$3,22))&lt;&gt;""),'Feijão 1ª safra'!$E21:INDEX('Feijão 1ª safra'!$E21:$Z21,MIN(AL$6-$G$3,22))),0)))))</f>
        <v>0</v>
      </c>
      <c r="AM23" s="27" t="n">
        <f aca="false">IF(COUNT('Feijão 1ª safra'!$E21:$Z21)=0,0,MAX(0,IF((AM$6-$E$3)&lt;1,0,IFERROR(LOOKUP(2,1/('Feijão 1ª safra'!$E21:INDEX('Feijão 1ª safra'!$E21:$Z21,MIN(AM$6-$E$3,22))&lt;&gt;""),'Feijão 1ª safra'!$E21:INDEX('Feijão 1ª safra'!$E21:$Z21,MIN(AM$6-$E$3,22))),0))-IF($G$2,0,IF((AM$6-$G$3)&lt;1,0,IFERROR(LOOKUP(2,1/('Feijão 1ª safra'!$E21:INDEX('Feijão 1ª safra'!$E21:$Z21,MIN(AM$6-$G$3,22))&lt;&gt;""),'Feijão 1ª safra'!$E21:INDEX('Feijão 1ª safra'!$E21:$Z21,MIN(AM$6-$G$3,22))),0)))))</f>
        <v>0</v>
      </c>
      <c r="AN23" s="27" t="n">
        <f aca="false">IF(COUNT('Feijão 1ª safra'!$E21:$Z21)=0,0,MAX(0,IF((AN$6-$E$3)&lt;1,0,IFERROR(LOOKUP(2,1/('Feijão 1ª safra'!$E21:INDEX('Feijão 1ª safra'!$E21:$Z21,MIN(AN$6-$E$3,22))&lt;&gt;""),'Feijão 1ª safra'!$E21:INDEX('Feijão 1ª safra'!$E21:$Z21,MIN(AN$6-$E$3,22))),0))-IF($G$2,0,IF((AN$6-$G$3)&lt;1,0,IFERROR(LOOKUP(2,1/('Feijão 1ª safra'!$E21:INDEX('Feijão 1ª safra'!$E21:$Z21,MIN(AN$6-$G$3,22))&lt;&gt;""),'Feijão 1ª safra'!$E21:INDEX('Feijão 1ª safra'!$E21:$Z21,MIN(AN$6-$G$3,22))),0)))))</f>
        <v>0</v>
      </c>
      <c r="AO23" s="27" t="n">
        <f aca="false">IF(COUNT('Feijão 1ª safra'!$E21:$Z21)=0,0,MAX(0,IF((AO$6-$E$3)&lt;1,0,IFERROR(LOOKUP(2,1/('Feijão 1ª safra'!$E21:INDEX('Feijão 1ª safra'!$E21:$Z21,MIN(AO$6-$E$3,22))&lt;&gt;""),'Feijão 1ª safra'!$E21:INDEX('Feijão 1ª safra'!$E21:$Z21,MIN(AO$6-$E$3,22))),0))-IF($G$2,0,IF((AO$6-$G$3)&lt;1,0,IFERROR(LOOKUP(2,1/('Feijão 1ª safra'!$E21:INDEX('Feijão 1ª safra'!$E21:$Z21,MIN(AO$6-$G$3,22))&lt;&gt;""),'Feijão 1ª safra'!$E21:INDEX('Feijão 1ª safra'!$E21:$Z21,MIN(AO$6-$G$3,22))),0)))))</f>
        <v>0</v>
      </c>
      <c r="AP23" s="27" t="n">
        <f aca="false">IF(COUNT('Feijão 1ª safra'!$E21:$Z21)=0,0,MAX(0,IF((AP$6-$E$3)&lt;1,0,IFERROR(LOOKUP(2,1/('Feijão 1ª safra'!$E21:INDEX('Feijão 1ª safra'!$E21:$Z21,MIN(AP$6-$E$3,22))&lt;&gt;""),'Feijão 1ª safra'!$E21:INDEX('Feijão 1ª safra'!$E21:$Z21,MIN(AP$6-$E$3,22))),0))-IF($G$2,0,IF((AP$6-$G$3)&lt;1,0,IFERROR(LOOKUP(2,1/('Feijão 1ª safra'!$E21:INDEX('Feijão 1ª safra'!$E21:$Z21,MIN(AP$6-$G$3,22))&lt;&gt;""),'Feijão 1ª safra'!$E21:INDEX('Feijão 1ª safra'!$E21:$Z21,MIN(AP$6-$G$3,22))),0)))))</f>
        <v>0</v>
      </c>
      <c r="AQ23" s="27" t="n">
        <f aca="false">IF(COUNT('Feijão 1ª safra'!$E21:$Z21)=0,0,MAX(0,IF((AQ$6-$E$3)&lt;1,0,IFERROR(LOOKUP(2,1/('Feijão 1ª safra'!$E21:INDEX('Feijão 1ª safra'!$E21:$Z21,MIN(AQ$6-$E$3,22))&lt;&gt;""),'Feijão 1ª safra'!$E21:INDEX('Feijão 1ª safra'!$E21:$Z21,MIN(AQ$6-$E$3,22))),0))-IF($G$2,0,IF((AQ$6-$G$3)&lt;1,0,IFERROR(LOOKUP(2,1/('Feijão 1ª safra'!$E21:INDEX('Feijão 1ª safra'!$E21:$Z21,MIN(AQ$6-$G$3,22))&lt;&gt;""),'Feijão 1ª safra'!$E21:INDEX('Feijão 1ª safra'!$E21:$Z21,MIN(AQ$6-$G$3,22))),0)))))</f>
        <v>0</v>
      </c>
      <c r="AR23" s="27" t="n">
        <f aca="false">IF(COUNT('Feijão 1ª safra'!$E21:$Z21)=0,0,MAX(0,IF((AR$6-$E$3)&lt;1,0,IFERROR(LOOKUP(2,1/('Feijão 1ª safra'!$E21:INDEX('Feijão 1ª safra'!$E21:$Z21,MIN(AR$6-$E$3,22))&lt;&gt;""),'Feijão 1ª safra'!$E21:INDEX('Feijão 1ª safra'!$E21:$Z21,MIN(AR$6-$E$3,22))),0))-IF($G$2,0,IF((AR$6-$G$3)&lt;1,0,IFERROR(LOOKUP(2,1/('Feijão 1ª safra'!$E21:INDEX('Feijão 1ª safra'!$E21:$Z21,MIN(AR$6-$G$3,22))&lt;&gt;""),'Feijão 1ª safra'!$E21:INDEX('Feijão 1ª safra'!$E21:$Z21,MIN(AR$6-$G$3,22))),0)))))</f>
        <v>0</v>
      </c>
      <c r="AS23" s="27" t="n">
        <f aca="false">IF(COUNT('Feijão 1ª safra'!$E21:$Z21)=0,0,MAX(0,IF((AS$6-$E$3)&lt;1,0,IFERROR(LOOKUP(2,1/('Feijão 1ª safra'!$E21:INDEX('Feijão 1ª safra'!$E21:$Z21,MIN(AS$6-$E$3,22))&lt;&gt;""),'Feijão 1ª safra'!$E21:INDEX('Feijão 1ª safra'!$E21:$Z21,MIN(AS$6-$E$3,22))),0))-IF($G$2,0,IF((AS$6-$G$3)&lt;1,0,IFERROR(LOOKUP(2,1/('Feijão 1ª safra'!$E21:INDEX('Feijão 1ª safra'!$E21:$Z21,MIN(AS$6-$G$3,22))&lt;&gt;""),'Feijão 1ª safra'!$E21:INDEX('Feijão 1ª safra'!$E21:$Z21,MIN(AS$6-$G$3,22))),0)))))</f>
        <v>0</v>
      </c>
      <c r="AT23" s="27" t="n">
        <f aca="false">IF(COUNT('Feijão 1ª safra'!$E21:$Z21)=0,0,MAX(0,IF((AT$6-$E$3)&lt;1,0,IFERROR(LOOKUP(2,1/('Feijão 1ª safra'!$E21:INDEX('Feijão 1ª safra'!$E21:$Z21,MIN(AT$6-$E$3,22))&lt;&gt;""),'Feijão 1ª safra'!$E21:INDEX('Feijão 1ª safra'!$E21:$Z21,MIN(AT$6-$E$3,22))),0))-IF($G$2,0,IF((AT$6-$G$3)&lt;1,0,IFERROR(LOOKUP(2,1/('Feijão 1ª safra'!$E21:INDEX('Feijão 1ª safra'!$E21:$Z21,MIN(AT$6-$G$3,22))&lt;&gt;""),'Feijão 1ª safra'!$E21:INDEX('Feijão 1ª safra'!$E21:$Z21,MIN(AT$6-$G$3,22))),0)))))</f>
        <v>0</v>
      </c>
      <c r="AU23" s="27" t="n">
        <f aca="false">IF(COUNT('Feijão 1ª safra'!$E21:$Z21)=0,0,MAX(0,IF((AU$6-$E$3)&lt;1,0,IFERROR(LOOKUP(2,1/('Feijão 1ª safra'!$E21:INDEX('Feijão 1ª safra'!$E21:$Z21,MIN(AU$6-$E$3,22))&lt;&gt;""),'Feijão 1ª safra'!$E21:INDEX('Feijão 1ª safra'!$E21:$Z21,MIN(AU$6-$E$3,22))),0))-IF($G$2,0,IF((AU$6-$G$3)&lt;1,0,IFERROR(LOOKUP(2,1/('Feijão 1ª safra'!$E21:INDEX('Feijão 1ª safra'!$E21:$Z21,MIN(AU$6-$G$3,22))&lt;&gt;""),'Feijão 1ª safra'!$E21:INDEX('Feijão 1ª safra'!$E21:$Z21,MIN(AU$6-$G$3,22))),0)))))</f>
        <v>0</v>
      </c>
      <c r="AV23" s="27" t="n">
        <f aca="false">IF(COUNT('Feijão 1ª safra'!$E21:$Z21)=0,0,MAX(0,IF((AV$6-$E$3)&lt;1,0,IFERROR(LOOKUP(2,1/('Feijão 1ª safra'!$E21:INDEX('Feijão 1ª safra'!$E21:$Z21,MIN(AV$6-$E$3,22))&lt;&gt;""),'Feijão 1ª safra'!$E21:INDEX('Feijão 1ª safra'!$E21:$Z21,MIN(AV$6-$E$3,22))),0))-IF($G$2,0,IF((AV$6-$G$3)&lt;1,0,IFERROR(LOOKUP(2,1/('Feijão 1ª safra'!$E21:INDEX('Feijão 1ª safra'!$E21:$Z21,MIN(AV$6-$G$3,22))&lt;&gt;""),'Feijão 1ª safra'!$E21:INDEX('Feijão 1ª safra'!$E21:$Z21,MIN(AV$6-$G$3,22))),0)))))</f>
        <v>0</v>
      </c>
      <c r="AW23" s="27" t="n">
        <f aca="false">IF(COUNT('Feijão 1ª safra'!$E21:$Z21)=0,0,MAX(0,IF((AW$6-$E$3)&lt;1,0,IFERROR(LOOKUP(2,1/('Feijão 1ª safra'!$E21:INDEX('Feijão 1ª safra'!$E21:$Z21,MIN(AW$6-$E$3,22))&lt;&gt;""),'Feijão 1ª safra'!$E21:INDEX('Feijão 1ª safra'!$E21:$Z21,MIN(AW$6-$E$3,22))),0))-IF($G$2,0,IF((AW$6-$G$3)&lt;1,0,IFERROR(LOOKUP(2,1/('Feijão 1ª safra'!$E21:INDEX('Feijão 1ª safra'!$E21:$Z21,MIN(AW$6-$G$3,22))&lt;&gt;""),'Feijão 1ª safra'!$E21:INDEX('Feijão 1ª safra'!$E21:$Z21,MIN(AW$6-$G$3,22))),0)))))</f>
        <v>0</v>
      </c>
      <c r="AX23" s="27" t="n">
        <f aca="false">IF(COUNT('Feijão 1ª safra'!$E21:$Z21)=0,0,MAX(0,IF((AX$6-$E$3)&lt;1,0,IFERROR(LOOKUP(2,1/('Feijão 1ª safra'!$E21:INDEX('Feijão 1ª safra'!$E21:$Z21,MIN(AX$6-$E$3,22))&lt;&gt;""),'Feijão 1ª safra'!$E21:INDEX('Feijão 1ª safra'!$E21:$Z21,MIN(AX$6-$E$3,22))),0))-IF($G$2,0,IF((AX$6-$G$3)&lt;1,0,IFERROR(LOOKUP(2,1/('Feijão 1ª safra'!$E21:INDEX('Feijão 1ª safra'!$E21:$Z21,MIN(AX$6-$G$3,22))&lt;&gt;""),'Feijão 1ª safra'!$E21:INDEX('Feijão 1ª safra'!$E21:$Z21,MIN(AX$6-$G$3,22))),0)))))</f>
        <v>0</v>
      </c>
      <c r="AY23" s="27" t="n">
        <f aca="false">IF(COUNT('Feijão 1ª safra'!$E21:$Z21)=0,0,MAX(0,IF((AY$6-$E$3)&lt;1,0,IFERROR(LOOKUP(2,1/('Feijão 1ª safra'!$E21:INDEX('Feijão 1ª safra'!$E21:$Z21,MIN(AY$6-$E$3,22))&lt;&gt;""),'Feijão 1ª safra'!$E21:INDEX('Feijão 1ª safra'!$E21:$Z21,MIN(AY$6-$E$3,22))),0))-IF($G$2,0,IF((AY$6-$G$3)&lt;1,0,IFERROR(LOOKUP(2,1/('Feijão 1ª safra'!$E21:INDEX('Feijão 1ª safra'!$E21:$Z21,MIN(AY$6-$G$3,22))&lt;&gt;""),'Feijão 1ª safra'!$E21:INDEX('Feijão 1ª safra'!$E21:$Z21,MIN(AY$6-$G$3,22))),0)))))</f>
        <v>0</v>
      </c>
      <c r="AZ23" s="27" t="n">
        <f aca="false">IF(COUNT('Feijão 1ª safra'!$E21:$Z21)=0,0,MAX(0,IF((AZ$6-$E$3)&lt;1,0,IFERROR(LOOKUP(2,1/('Feijão 1ª safra'!$E21:INDEX('Feijão 1ª safra'!$E21:$Z21,MIN(AZ$6-$E$3,22))&lt;&gt;""),'Feijão 1ª safra'!$E21:INDEX('Feijão 1ª safra'!$E21:$Z21,MIN(AZ$6-$E$3,22))),0))-IF($G$2,0,IF((AZ$6-$G$3)&lt;1,0,IFERROR(LOOKUP(2,1/('Feijão 1ª safra'!$E21:INDEX('Feijão 1ª safra'!$E21:$Z21,MIN(AZ$6-$G$3,22))&lt;&gt;""),'Feijão 1ª safra'!$E21:INDEX('Feijão 1ª safra'!$E21:$Z21,MIN(AZ$6-$G$3,22))),0)))))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IF(COUNT('Feijão 1ª safra'!$E22:$Z22)&gt;0,N('Feijão 1ª safra'!$D22),0)</f>
        <v>0</v>
      </c>
      <c r="E24" s="27" t="n">
        <f aca="false">IF(COUNT('Feijão 1ª safra'!$E22:$Z22)=0,0,MAX(0,IF((E$6-$E$3)&lt;1,0,IFERROR(LOOKUP(2,1/('Feijão 1ª safra'!$E22:INDEX('Feijão 1ª safra'!$E22:$Z22,MIN(E$6-$E$3,22))&lt;&gt;""),'Feijão 1ª safra'!$E22:INDEX('Feijão 1ª safra'!$E22:$Z22,MIN(E$6-$E$3,22))),0))-IF($G$2,0,IF((E$6-$G$3)&lt;1,0,IFERROR(LOOKUP(2,1/('Feijão 1ª safra'!$E22:INDEX('Feijão 1ª safra'!$E22:$Z22,MIN(E$6-$G$3,22))&lt;&gt;""),'Feijão 1ª safra'!$E22:INDEX('Feijão 1ª safra'!$E22:$Z22,MIN(E$6-$G$3,22))),0)))))</f>
        <v>0</v>
      </c>
      <c r="F24" s="27" t="n">
        <f aca="false">IF(COUNT('Feijão 1ª safra'!$E22:$Z22)=0,0,MAX(0,IF((F$6-$E$3)&lt;1,0,IFERROR(LOOKUP(2,1/('Feijão 1ª safra'!$E22:INDEX('Feijão 1ª safra'!$E22:$Z22,MIN(F$6-$E$3,22))&lt;&gt;""),'Feijão 1ª safra'!$E22:INDEX('Feijão 1ª safra'!$E22:$Z22,MIN(F$6-$E$3,22))),0))-IF($G$2,0,IF((F$6-$G$3)&lt;1,0,IFERROR(LOOKUP(2,1/('Feijão 1ª safra'!$E22:INDEX('Feijão 1ª safra'!$E22:$Z22,MIN(F$6-$G$3,22))&lt;&gt;""),'Feijão 1ª safra'!$E22:INDEX('Feijão 1ª safra'!$E22:$Z22,MIN(F$6-$G$3,22))),0)))))</f>
        <v>0</v>
      </c>
      <c r="G24" s="27" t="n">
        <f aca="false">IF(COUNT('Feijão 1ª safra'!$E22:$Z22)=0,0,MAX(0,IF((G$6-$E$3)&lt;1,0,IFERROR(LOOKUP(2,1/('Feijão 1ª safra'!$E22:INDEX('Feijão 1ª safra'!$E22:$Z22,MIN(G$6-$E$3,22))&lt;&gt;""),'Feijão 1ª safra'!$E22:INDEX('Feijão 1ª safra'!$E22:$Z22,MIN(G$6-$E$3,22))),0))-IF($G$2,0,IF((G$6-$G$3)&lt;1,0,IFERROR(LOOKUP(2,1/('Feijão 1ª safra'!$E22:INDEX('Feijão 1ª safra'!$E22:$Z22,MIN(G$6-$G$3,22))&lt;&gt;""),'Feijão 1ª safra'!$E22:INDEX('Feijão 1ª safra'!$E22:$Z22,MIN(G$6-$G$3,22))),0)))))</f>
        <v>0</v>
      </c>
      <c r="H24" s="27" t="n">
        <f aca="false">IF(COUNT('Feijão 1ª safra'!$E22:$Z22)=0,0,MAX(0,IF((H$6-$E$3)&lt;1,0,IFERROR(LOOKUP(2,1/('Feijão 1ª safra'!$E22:INDEX('Feijão 1ª safra'!$E22:$Z22,MIN(H$6-$E$3,22))&lt;&gt;""),'Feijão 1ª safra'!$E22:INDEX('Feijão 1ª safra'!$E22:$Z22,MIN(H$6-$E$3,22))),0))-IF($G$2,0,IF((H$6-$G$3)&lt;1,0,IFERROR(LOOKUP(2,1/('Feijão 1ª safra'!$E22:INDEX('Feijão 1ª safra'!$E22:$Z22,MIN(H$6-$G$3,22))&lt;&gt;""),'Feijão 1ª safra'!$E22:INDEX('Feijão 1ª safra'!$E22:$Z22,MIN(H$6-$G$3,22))),0)))))</f>
        <v>0</v>
      </c>
      <c r="I24" s="27" t="n">
        <f aca="false">IF(COUNT('Feijão 1ª safra'!$E22:$Z22)=0,0,MAX(0,IF((I$6-$E$3)&lt;1,0,IFERROR(LOOKUP(2,1/('Feijão 1ª safra'!$E22:INDEX('Feijão 1ª safra'!$E22:$Z22,MIN(I$6-$E$3,22))&lt;&gt;""),'Feijão 1ª safra'!$E22:INDEX('Feijão 1ª safra'!$E22:$Z22,MIN(I$6-$E$3,22))),0))-IF($G$2,0,IF((I$6-$G$3)&lt;1,0,IFERROR(LOOKUP(2,1/('Feijão 1ª safra'!$E22:INDEX('Feijão 1ª safra'!$E22:$Z22,MIN(I$6-$G$3,22))&lt;&gt;""),'Feijão 1ª safra'!$E22:INDEX('Feijão 1ª safra'!$E22:$Z22,MIN(I$6-$G$3,22))),0)))))</f>
        <v>0</v>
      </c>
      <c r="J24" s="27" t="n">
        <f aca="false">IF(COUNT('Feijão 1ª safra'!$E22:$Z22)=0,0,MAX(0,IF((J$6-$E$3)&lt;1,0,IFERROR(LOOKUP(2,1/('Feijão 1ª safra'!$E22:INDEX('Feijão 1ª safra'!$E22:$Z22,MIN(J$6-$E$3,22))&lt;&gt;""),'Feijão 1ª safra'!$E22:INDEX('Feijão 1ª safra'!$E22:$Z22,MIN(J$6-$E$3,22))),0))-IF($G$2,0,IF((J$6-$G$3)&lt;1,0,IFERROR(LOOKUP(2,1/('Feijão 1ª safra'!$E22:INDEX('Feijão 1ª safra'!$E22:$Z22,MIN(J$6-$G$3,22))&lt;&gt;""),'Feijão 1ª safra'!$E22:INDEX('Feijão 1ª safra'!$E22:$Z22,MIN(J$6-$G$3,22))),0)))))</f>
        <v>0</v>
      </c>
      <c r="K24" s="27" t="n">
        <f aca="false">IF(COUNT('Feijão 1ª safra'!$E22:$Z22)=0,0,MAX(0,IF((K$6-$E$3)&lt;1,0,IFERROR(LOOKUP(2,1/('Feijão 1ª safra'!$E22:INDEX('Feijão 1ª safra'!$E22:$Z22,MIN(K$6-$E$3,22))&lt;&gt;""),'Feijão 1ª safra'!$E22:INDEX('Feijão 1ª safra'!$E22:$Z22,MIN(K$6-$E$3,22))),0))-IF($G$2,0,IF((K$6-$G$3)&lt;1,0,IFERROR(LOOKUP(2,1/('Feijão 1ª safra'!$E22:INDEX('Feijão 1ª safra'!$E22:$Z22,MIN(K$6-$G$3,22))&lt;&gt;""),'Feijão 1ª safra'!$E22:INDEX('Feijão 1ª safra'!$E22:$Z22,MIN(K$6-$G$3,22))),0)))))</f>
        <v>0</v>
      </c>
      <c r="L24" s="27" t="n">
        <f aca="false">IF(COUNT('Feijão 1ª safra'!$E22:$Z22)=0,0,MAX(0,IF((L$6-$E$3)&lt;1,0,IFERROR(LOOKUP(2,1/('Feijão 1ª safra'!$E22:INDEX('Feijão 1ª safra'!$E22:$Z22,MIN(L$6-$E$3,22))&lt;&gt;""),'Feijão 1ª safra'!$E22:INDEX('Feijão 1ª safra'!$E22:$Z22,MIN(L$6-$E$3,22))),0))-IF($G$2,0,IF((L$6-$G$3)&lt;1,0,IFERROR(LOOKUP(2,1/('Feijão 1ª safra'!$E22:INDEX('Feijão 1ª safra'!$E22:$Z22,MIN(L$6-$G$3,22))&lt;&gt;""),'Feijão 1ª safra'!$E22:INDEX('Feijão 1ª safra'!$E22:$Z22,MIN(L$6-$G$3,22))),0)))))</f>
        <v>0</v>
      </c>
      <c r="M24" s="27" t="n">
        <f aca="false">IF(COUNT('Feijão 1ª safra'!$E22:$Z22)=0,0,MAX(0,IF((M$6-$E$3)&lt;1,0,IFERROR(LOOKUP(2,1/('Feijão 1ª safra'!$E22:INDEX('Feijão 1ª safra'!$E22:$Z22,MIN(M$6-$E$3,22))&lt;&gt;""),'Feijão 1ª safra'!$E22:INDEX('Feijão 1ª safra'!$E22:$Z22,MIN(M$6-$E$3,22))),0))-IF($G$2,0,IF((M$6-$G$3)&lt;1,0,IFERROR(LOOKUP(2,1/('Feijão 1ª safra'!$E22:INDEX('Feijão 1ª safra'!$E22:$Z22,MIN(M$6-$G$3,22))&lt;&gt;""),'Feijão 1ª safra'!$E22:INDEX('Feijão 1ª safra'!$E22:$Z22,MIN(M$6-$G$3,22))),0)))))</f>
        <v>0</v>
      </c>
      <c r="N24" s="27" t="n">
        <f aca="false">IF(COUNT('Feijão 1ª safra'!$E22:$Z22)=0,0,MAX(0,IF((N$6-$E$3)&lt;1,0,IFERROR(LOOKUP(2,1/('Feijão 1ª safra'!$E22:INDEX('Feijão 1ª safra'!$E22:$Z22,MIN(N$6-$E$3,22))&lt;&gt;""),'Feijão 1ª safra'!$E22:INDEX('Feijão 1ª safra'!$E22:$Z22,MIN(N$6-$E$3,22))),0))-IF($G$2,0,IF((N$6-$G$3)&lt;1,0,IFERROR(LOOKUP(2,1/('Feijão 1ª safra'!$E22:INDEX('Feijão 1ª safra'!$E22:$Z22,MIN(N$6-$G$3,22))&lt;&gt;""),'Feijão 1ª safra'!$E22:INDEX('Feijão 1ª safra'!$E22:$Z22,MIN(N$6-$G$3,22))),0)))))</f>
        <v>0</v>
      </c>
      <c r="O24" s="27" t="n">
        <f aca="false">IF(COUNT('Feijão 1ª safra'!$E22:$Z22)=0,0,MAX(0,IF((O$6-$E$3)&lt;1,0,IFERROR(LOOKUP(2,1/('Feijão 1ª safra'!$E22:INDEX('Feijão 1ª safra'!$E22:$Z22,MIN(O$6-$E$3,22))&lt;&gt;""),'Feijão 1ª safra'!$E22:INDEX('Feijão 1ª safra'!$E22:$Z22,MIN(O$6-$E$3,22))),0))-IF($G$2,0,IF((O$6-$G$3)&lt;1,0,IFERROR(LOOKUP(2,1/('Feijão 1ª safra'!$E22:INDEX('Feijão 1ª safra'!$E22:$Z22,MIN(O$6-$G$3,22))&lt;&gt;""),'Feijão 1ª safra'!$E22:INDEX('Feijão 1ª safra'!$E22:$Z22,MIN(O$6-$G$3,22))),0)))))</f>
        <v>0</v>
      </c>
      <c r="P24" s="27" t="n">
        <f aca="false">IF(COUNT('Feijão 1ª safra'!$E22:$Z22)=0,0,MAX(0,IF((P$6-$E$3)&lt;1,0,IFERROR(LOOKUP(2,1/('Feijão 1ª safra'!$E22:INDEX('Feijão 1ª safra'!$E22:$Z22,MIN(P$6-$E$3,22))&lt;&gt;""),'Feijão 1ª safra'!$E22:INDEX('Feijão 1ª safra'!$E22:$Z22,MIN(P$6-$E$3,22))),0))-IF($G$2,0,IF((P$6-$G$3)&lt;1,0,IFERROR(LOOKUP(2,1/('Feijão 1ª safra'!$E22:INDEX('Feijão 1ª safra'!$E22:$Z22,MIN(P$6-$G$3,22))&lt;&gt;""),'Feijão 1ª safra'!$E22:INDEX('Feijão 1ª safra'!$E22:$Z22,MIN(P$6-$G$3,22))),0)))))</f>
        <v>0</v>
      </c>
      <c r="Q24" s="27" t="n">
        <f aca="false">IF(COUNT('Feijão 1ª safra'!$E22:$Z22)=0,0,MAX(0,IF((Q$6-$E$3)&lt;1,0,IFERROR(LOOKUP(2,1/('Feijão 1ª safra'!$E22:INDEX('Feijão 1ª safra'!$E22:$Z22,MIN(Q$6-$E$3,22))&lt;&gt;""),'Feijão 1ª safra'!$E22:INDEX('Feijão 1ª safra'!$E22:$Z22,MIN(Q$6-$E$3,22))),0))-IF($G$2,0,IF((Q$6-$G$3)&lt;1,0,IFERROR(LOOKUP(2,1/('Feijão 1ª safra'!$E22:INDEX('Feijão 1ª safra'!$E22:$Z22,MIN(Q$6-$G$3,22))&lt;&gt;""),'Feijão 1ª safra'!$E22:INDEX('Feijão 1ª safra'!$E22:$Z22,MIN(Q$6-$G$3,22))),0)))))</f>
        <v>0</v>
      </c>
      <c r="R24" s="27" t="n">
        <f aca="false">IF(COUNT('Feijão 1ª safra'!$E22:$Z22)=0,0,MAX(0,IF((R$6-$E$3)&lt;1,0,IFERROR(LOOKUP(2,1/('Feijão 1ª safra'!$E22:INDEX('Feijão 1ª safra'!$E22:$Z22,MIN(R$6-$E$3,22))&lt;&gt;""),'Feijão 1ª safra'!$E22:INDEX('Feijão 1ª safra'!$E22:$Z22,MIN(R$6-$E$3,22))),0))-IF($G$2,0,IF((R$6-$G$3)&lt;1,0,IFERROR(LOOKUP(2,1/('Feijão 1ª safra'!$E22:INDEX('Feijão 1ª safra'!$E22:$Z22,MIN(R$6-$G$3,22))&lt;&gt;""),'Feijão 1ª safra'!$E22:INDEX('Feijão 1ª safra'!$E22:$Z22,MIN(R$6-$G$3,22))),0)))))</f>
        <v>0</v>
      </c>
      <c r="S24" s="27" t="n">
        <f aca="false">IF(COUNT('Feijão 1ª safra'!$E22:$Z22)=0,0,MAX(0,IF((S$6-$E$3)&lt;1,0,IFERROR(LOOKUP(2,1/('Feijão 1ª safra'!$E22:INDEX('Feijão 1ª safra'!$E22:$Z22,MIN(S$6-$E$3,22))&lt;&gt;""),'Feijão 1ª safra'!$E22:INDEX('Feijão 1ª safra'!$E22:$Z22,MIN(S$6-$E$3,22))),0))-IF($G$2,0,IF((S$6-$G$3)&lt;1,0,IFERROR(LOOKUP(2,1/('Feijão 1ª safra'!$E22:INDEX('Feijão 1ª safra'!$E22:$Z22,MIN(S$6-$G$3,22))&lt;&gt;""),'Feijão 1ª safra'!$E22:INDEX('Feijão 1ª safra'!$E22:$Z22,MIN(S$6-$G$3,22))),0)))))</f>
        <v>0</v>
      </c>
      <c r="T24" s="27" t="n">
        <f aca="false">IF(COUNT('Feijão 1ª safra'!$E22:$Z22)=0,0,MAX(0,IF((T$6-$E$3)&lt;1,0,IFERROR(LOOKUP(2,1/('Feijão 1ª safra'!$E22:INDEX('Feijão 1ª safra'!$E22:$Z22,MIN(T$6-$E$3,22))&lt;&gt;""),'Feijão 1ª safra'!$E22:INDEX('Feijão 1ª safra'!$E22:$Z22,MIN(T$6-$E$3,22))),0))-IF($G$2,0,IF((T$6-$G$3)&lt;1,0,IFERROR(LOOKUP(2,1/('Feijão 1ª safra'!$E22:INDEX('Feijão 1ª safra'!$E22:$Z22,MIN(T$6-$G$3,22))&lt;&gt;""),'Feijão 1ª safra'!$E22:INDEX('Feijão 1ª safra'!$E22:$Z22,MIN(T$6-$G$3,22))),0)))))</f>
        <v>0</v>
      </c>
      <c r="U24" s="27" t="n">
        <f aca="false">IF(COUNT('Feijão 1ª safra'!$E22:$Z22)=0,0,MAX(0,IF((U$6-$E$3)&lt;1,0,IFERROR(LOOKUP(2,1/('Feijão 1ª safra'!$E22:INDEX('Feijão 1ª safra'!$E22:$Z22,MIN(U$6-$E$3,22))&lt;&gt;""),'Feijão 1ª safra'!$E22:INDEX('Feijão 1ª safra'!$E22:$Z22,MIN(U$6-$E$3,22))),0))-IF($G$2,0,IF((U$6-$G$3)&lt;1,0,IFERROR(LOOKUP(2,1/('Feijão 1ª safra'!$E22:INDEX('Feijão 1ª safra'!$E22:$Z22,MIN(U$6-$G$3,22))&lt;&gt;""),'Feijão 1ª safra'!$E22:INDEX('Feijão 1ª safra'!$E22:$Z22,MIN(U$6-$G$3,22))),0)))))</f>
        <v>0</v>
      </c>
      <c r="V24" s="27" t="n">
        <f aca="false">IF(COUNT('Feijão 1ª safra'!$E22:$Z22)=0,0,MAX(0,IF((V$6-$E$3)&lt;1,0,IFERROR(LOOKUP(2,1/('Feijão 1ª safra'!$E22:INDEX('Feijão 1ª safra'!$E22:$Z22,MIN(V$6-$E$3,22))&lt;&gt;""),'Feijão 1ª safra'!$E22:INDEX('Feijão 1ª safra'!$E22:$Z22,MIN(V$6-$E$3,22))),0))-IF($G$2,0,IF((V$6-$G$3)&lt;1,0,IFERROR(LOOKUP(2,1/('Feijão 1ª safra'!$E22:INDEX('Feijão 1ª safra'!$E22:$Z22,MIN(V$6-$G$3,22))&lt;&gt;""),'Feijão 1ª safra'!$E22:INDEX('Feijão 1ª safra'!$E22:$Z22,MIN(V$6-$G$3,22))),0)))))</f>
        <v>0</v>
      </c>
      <c r="W24" s="27" t="n">
        <f aca="false">IF(COUNT('Feijão 1ª safra'!$E22:$Z22)=0,0,MAX(0,IF((W$6-$E$3)&lt;1,0,IFERROR(LOOKUP(2,1/('Feijão 1ª safra'!$E22:INDEX('Feijão 1ª safra'!$E22:$Z22,MIN(W$6-$E$3,22))&lt;&gt;""),'Feijão 1ª safra'!$E22:INDEX('Feijão 1ª safra'!$E22:$Z22,MIN(W$6-$E$3,22))),0))-IF($G$2,0,IF((W$6-$G$3)&lt;1,0,IFERROR(LOOKUP(2,1/('Feijão 1ª safra'!$E22:INDEX('Feijão 1ª safra'!$E22:$Z22,MIN(W$6-$G$3,22))&lt;&gt;""),'Feijão 1ª safra'!$E22:INDEX('Feijão 1ª safra'!$E22:$Z22,MIN(W$6-$G$3,22))),0)))))</f>
        <v>0</v>
      </c>
      <c r="X24" s="27" t="n">
        <f aca="false">IF(COUNT('Feijão 1ª safra'!$E22:$Z22)=0,0,MAX(0,IF((X$6-$E$3)&lt;1,0,IFERROR(LOOKUP(2,1/('Feijão 1ª safra'!$E22:INDEX('Feijão 1ª safra'!$E22:$Z22,MIN(X$6-$E$3,22))&lt;&gt;""),'Feijão 1ª safra'!$E22:INDEX('Feijão 1ª safra'!$E22:$Z22,MIN(X$6-$E$3,22))),0))-IF($G$2,0,IF((X$6-$G$3)&lt;1,0,IFERROR(LOOKUP(2,1/('Feijão 1ª safra'!$E22:INDEX('Feijão 1ª safra'!$E22:$Z22,MIN(X$6-$G$3,22))&lt;&gt;""),'Feijão 1ª safra'!$E22:INDEX('Feijão 1ª safra'!$E22:$Z22,MIN(X$6-$G$3,22))),0)))))</f>
        <v>0</v>
      </c>
      <c r="Y24" s="27" t="n">
        <f aca="false">IF(COUNT('Feijão 1ª safra'!$E22:$Z22)=0,0,MAX(0,IF((Y$6-$E$3)&lt;1,0,IFERROR(LOOKUP(2,1/('Feijão 1ª safra'!$E22:INDEX('Feijão 1ª safra'!$E22:$Z22,MIN(Y$6-$E$3,22))&lt;&gt;""),'Feijão 1ª safra'!$E22:INDEX('Feijão 1ª safra'!$E22:$Z22,MIN(Y$6-$E$3,22))),0))-IF($G$2,0,IF((Y$6-$G$3)&lt;1,0,IFERROR(LOOKUP(2,1/('Feijão 1ª safra'!$E22:INDEX('Feijão 1ª safra'!$E22:$Z22,MIN(Y$6-$G$3,22))&lt;&gt;""),'Feijão 1ª safra'!$E22:INDEX('Feijão 1ª safra'!$E22:$Z22,MIN(Y$6-$G$3,22))),0)))))</f>
        <v>0</v>
      </c>
      <c r="Z24" s="27" t="n">
        <f aca="false">IF(COUNT('Feijão 1ª safra'!$E22:$Z22)=0,0,MAX(0,IF((Z$6-$E$3)&lt;1,0,IFERROR(LOOKUP(2,1/('Feijão 1ª safra'!$E22:INDEX('Feijão 1ª safra'!$E22:$Z22,MIN(Z$6-$E$3,22))&lt;&gt;""),'Feijão 1ª safra'!$E22:INDEX('Feijão 1ª safra'!$E22:$Z22,MIN(Z$6-$E$3,22))),0))-IF($G$2,0,IF((Z$6-$G$3)&lt;1,0,IFERROR(LOOKUP(2,1/('Feijão 1ª safra'!$E22:INDEX('Feijão 1ª safra'!$E22:$Z22,MIN(Z$6-$G$3,22))&lt;&gt;""),'Feijão 1ª safra'!$E22:INDEX('Feijão 1ª safra'!$E22:$Z22,MIN(Z$6-$G$3,22))),0)))))</f>
        <v>0</v>
      </c>
      <c r="AA24" s="27" t="n">
        <f aca="false">IF(COUNT('Feijão 1ª safra'!$E22:$Z22)=0,0,MAX(0,IF((AA$6-$E$3)&lt;1,0,IFERROR(LOOKUP(2,1/('Feijão 1ª safra'!$E22:INDEX('Feijão 1ª safra'!$E22:$Z22,MIN(AA$6-$E$3,22))&lt;&gt;""),'Feijão 1ª safra'!$E22:INDEX('Feijão 1ª safra'!$E22:$Z22,MIN(AA$6-$E$3,22))),0))-IF($G$2,0,IF((AA$6-$G$3)&lt;1,0,IFERROR(LOOKUP(2,1/('Feijão 1ª safra'!$E22:INDEX('Feijão 1ª safra'!$E22:$Z22,MIN(AA$6-$G$3,22))&lt;&gt;""),'Feijão 1ª safra'!$E22:INDEX('Feijão 1ª safra'!$E22:$Z22,MIN(AA$6-$G$3,22))),0)))))</f>
        <v>0</v>
      </c>
      <c r="AB24" s="27" t="n">
        <f aca="false">IF(COUNT('Feijão 1ª safra'!$E22:$Z22)=0,0,MAX(0,IF((AB$6-$E$3)&lt;1,0,IFERROR(LOOKUP(2,1/('Feijão 1ª safra'!$E22:INDEX('Feijão 1ª safra'!$E22:$Z22,MIN(AB$6-$E$3,22))&lt;&gt;""),'Feijão 1ª safra'!$E22:INDEX('Feijão 1ª safra'!$E22:$Z22,MIN(AB$6-$E$3,22))),0))-IF($G$2,0,IF((AB$6-$G$3)&lt;1,0,IFERROR(LOOKUP(2,1/('Feijão 1ª safra'!$E22:INDEX('Feijão 1ª safra'!$E22:$Z22,MIN(AB$6-$G$3,22))&lt;&gt;""),'Feijão 1ª safra'!$E22:INDEX('Feijão 1ª safra'!$E22:$Z22,MIN(AB$6-$G$3,22))),0)))))</f>
        <v>0</v>
      </c>
      <c r="AC24" s="27" t="n">
        <f aca="false">IF(COUNT('Feijão 1ª safra'!$E22:$Z22)=0,0,MAX(0,IF((AC$6-$E$3)&lt;1,0,IFERROR(LOOKUP(2,1/('Feijão 1ª safra'!$E22:INDEX('Feijão 1ª safra'!$E22:$Z22,MIN(AC$6-$E$3,22))&lt;&gt;""),'Feijão 1ª safra'!$E22:INDEX('Feijão 1ª safra'!$E22:$Z22,MIN(AC$6-$E$3,22))),0))-IF($G$2,0,IF((AC$6-$G$3)&lt;1,0,IFERROR(LOOKUP(2,1/('Feijão 1ª safra'!$E22:INDEX('Feijão 1ª safra'!$E22:$Z22,MIN(AC$6-$G$3,22))&lt;&gt;""),'Feijão 1ª safra'!$E22:INDEX('Feijão 1ª safra'!$E22:$Z22,MIN(AC$6-$G$3,22))),0)))))</f>
        <v>0</v>
      </c>
      <c r="AD24" s="27" t="n">
        <f aca="false">IF(COUNT('Feijão 1ª safra'!$E22:$Z22)=0,0,MAX(0,IF((AD$6-$E$3)&lt;1,0,IFERROR(LOOKUP(2,1/('Feijão 1ª safra'!$E22:INDEX('Feijão 1ª safra'!$E22:$Z22,MIN(AD$6-$E$3,22))&lt;&gt;""),'Feijão 1ª safra'!$E22:INDEX('Feijão 1ª safra'!$E22:$Z22,MIN(AD$6-$E$3,22))),0))-IF($G$2,0,IF((AD$6-$G$3)&lt;1,0,IFERROR(LOOKUP(2,1/('Feijão 1ª safra'!$E22:INDEX('Feijão 1ª safra'!$E22:$Z22,MIN(AD$6-$G$3,22))&lt;&gt;""),'Feijão 1ª safra'!$E22:INDEX('Feijão 1ª safra'!$E22:$Z22,MIN(AD$6-$G$3,22))),0)))))</f>
        <v>0</v>
      </c>
      <c r="AE24" s="27" t="n">
        <f aca="false">IF(COUNT('Feijão 1ª safra'!$E22:$Z22)=0,0,MAX(0,IF((AE$6-$E$3)&lt;1,0,IFERROR(LOOKUP(2,1/('Feijão 1ª safra'!$E22:INDEX('Feijão 1ª safra'!$E22:$Z22,MIN(AE$6-$E$3,22))&lt;&gt;""),'Feijão 1ª safra'!$E22:INDEX('Feijão 1ª safra'!$E22:$Z22,MIN(AE$6-$E$3,22))),0))-IF($G$2,0,IF((AE$6-$G$3)&lt;1,0,IFERROR(LOOKUP(2,1/('Feijão 1ª safra'!$E22:INDEX('Feijão 1ª safra'!$E22:$Z22,MIN(AE$6-$G$3,22))&lt;&gt;""),'Feijão 1ª safra'!$E22:INDEX('Feijão 1ª safra'!$E22:$Z22,MIN(AE$6-$G$3,22))),0)))))</f>
        <v>0</v>
      </c>
      <c r="AF24" s="27" t="n">
        <f aca="false">IF(COUNT('Feijão 1ª safra'!$E22:$Z22)=0,0,MAX(0,IF((AF$6-$E$3)&lt;1,0,IFERROR(LOOKUP(2,1/('Feijão 1ª safra'!$E22:INDEX('Feijão 1ª safra'!$E22:$Z22,MIN(AF$6-$E$3,22))&lt;&gt;""),'Feijão 1ª safra'!$E22:INDEX('Feijão 1ª safra'!$E22:$Z22,MIN(AF$6-$E$3,22))),0))-IF($G$2,0,IF((AF$6-$G$3)&lt;1,0,IFERROR(LOOKUP(2,1/('Feijão 1ª safra'!$E22:INDEX('Feijão 1ª safra'!$E22:$Z22,MIN(AF$6-$G$3,22))&lt;&gt;""),'Feijão 1ª safra'!$E22:INDEX('Feijão 1ª safra'!$E22:$Z22,MIN(AF$6-$G$3,22))),0)))))</f>
        <v>0</v>
      </c>
      <c r="AG24" s="27" t="n">
        <f aca="false">IF(COUNT('Feijão 1ª safra'!$E22:$Z22)=0,0,MAX(0,IF((AG$6-$E$3)&lt;1,0,IFERROR(LOOKUP(2,1/('Feijão 1ª safra'!$E22:INDEX('Feijão 1ª safra'!$E22:$Z22,MIN(AG$6-$E$3,22))&lt;&gt;""),'Feijão 1ª safra'!$E22:INDEX('Feijão 1ª safra'!$E22:$Z22,MIN(AG$6-$E$3,22))),0))-IF($G$2,0,IF((AG$6-$G$3)&lt;1,0,IFERROR(LOOKUP(2,1/('Feijão 1ª safra'!$E22:INDEX('Feijão 1ª safra'!$E22:$Z22,MIN(AG$6-$G$3,22))&lt;&gt;""),'Feijão 1ª safra'!$E22:INDEX('Feijão 1ª safra'!$E22:$Z22,MIN(AG$6-$G$3,22))),0)))))</f>
        <v>0</v>
      </c>
      <c r="AH24" s="27" t="n">
        <f aca="false">IF(COUNT('Feijão 1ª safra'!$E22:$Z22)=0,0,MAX(0,IF((AH$6-$E$3)&lt;1,0,IFERROR(LOOKUP(2,1/('Feijão 1ª safra'!$E22:INDEX('Feijão 1ª safra'!$E22:$Z22,MIN(AH$6-$E$3,22))&lt;&gt;""),'Feijão 1ª safra'!$E22:INDEX('Feijão 1ª safra'!$E22:$Z22,MIN(AH$6-$E$3,22))),0))-IF($G$2,0,IF((AH$6-$G$3)&lt;1,0,IFERROR(LOOKUP(2,1/('Feijão 1ª safra'!$E22:INDEX('Feijão 1ª safra'!$E22:$Z22,MIN(AH$6-$G$3,22))&lt;&gt;""),'Feijão 1ª safra'!$E22:INDEX('Feijão 1ª safra'!$E22:$Z22,MIN(AH$6-$G$3,22))),0)))))</f>
        <v>0</v>
      </c>
      <c r="AI24" s="27" t="n">
        <f aca="false">IF(COUNT('Feijão 1ª safra'!$E22:$Z22)=0,0,MAX(0,IF((AI$6-$E$3)&lt;1,0,IFERROR(LOOKUP(2,1/('Feijão 1ª safra'!$E22:INDEX('Feijão 1ª safra'!$E22:$Z22,MIN(AI$6-$E$3,22))&lt;&gt;""),'Feijão 1ª safra'!$E22:INDEX('Feijão 1ª safra'!$E22:$Z22,MIN(AI$6-$E$3,22))),0))-IF($G$2,0,IF((AI$6-$G$3)&lt;1,0,IFERROR(LOOKUP(2,1/('Feijão 1ª safra'!$E22:INDEX('Feijão 1ª safra'!$E22:$Z22,MIN(AI$6-$G$3,22))&lt;&gt;""),'Feijão 1ª safra'!$E22:INDEX('Feijão 1ª safra'!$E22:$Z22,MIN(AI$6-$G$3,22))),0)))))</f>
        <v>0</v>
      </c>
      <c r="AJ24" s="27" t="n">
        <f aca="false">IF(COUNT('Feijão 1ª safra'!$E22:$Z22)=0,0,MAX(0,IF((AJ$6-$E$3)&lt;1,0,IFERROR(LOOKUP(2,1/('Feijão 1ª safra'!$E22:INDEX('Feijão 1ª safra'!$E22:$Z22,MIN(AJ$6-$E$3,22))&lt;&gt;""),'Feijão 1ª safra'!$E22:INDEX('Feijão 1ª safra'!$E22:$Z22,MIN(AJ$6-$E$3,22))),0))-IF($G$2,0,IF((AJ$6-$G$3)&lt;1,0,IFERROR(LOOKUP(2,1/('Feijão 1ª safra'!$E22:INDEX('Feijão 1ª safra'!$E22:$Z22,MIN(AJ$6-$G$3,22))&lt;&gt;""),'Feijão 1ª safra'!$E22:INDEX('Feijão 1ª safra'!$E22:$Z22,MIN(AJ$6-$G$3,22))),0)))))</f>
        <v>0</v>
      </c>
      <c r="AK24" s="27" t="n">
        <f aca="false">IF(COUNT('Feijão 1ª safra'!$E22:$Z22)=0,0,MAX(0,IF((AK$6-$E$3)&lt;1,0,IFERROR(LOOKUP(2,1/('Feijão 1ª safra'!$E22:INDEX('Feijão 1ª safra'!$E22:$Z22,MIN(AK$6-$E$3,22))&lt;&gt;""),'Feijão 1ª safra'!$E22:INDEX('Feijão 1ª safra'!$E22:$Z22,MIN(AK$6-$E$3,22))),0))-IF($G$2,0,IF((AK$6-$G$3)&lt;1,0,IFERROR(LOOKUP(2,1/('Feijão 1ª safra'!$E22:INDEX('Feijão 1ª safra'!$E22:$Z22,MIN(AK$6-$G$3,22))&lt;&gt;""),'Feijão 1ª safra'!$E22:INDEX('Feijão 1ª safra'!$E22:$Z22,MIN(AK$6-$G$3,22))),0)))))</f>
        <v>0</v>
      </c>
      <c r="AL24" s="27" t="n">
        <f aca="false">IF(COUNT('Feijão 1ª safra'!$E22:$Z22)=0,0,MAX(0,IF((AL$6-$E$3)&lt;1,0,IFERROR(LOOKUP(2,1/('Feijão 1ª safra'!$E22:INDEX('Feijão 1ª safra'!$E22:$Z22,MIN(AL$6-$E$3,22))&lt;&gt;""),'Feijão 1ª safra'!$E22:INDEX('Feijão 1ª safra'!$E22:$Z22,MIN(AL$6-$E$3,22))),0))-IF($G$2,0,IF((AL$6-$G$3)&lt;1,0,IFERROR(LOOKUP(2,1/('Feijão 1ª safra'!$E22:INDEX('Feijão 1ª safra'!$E22:$Z22,MIN(AL$6-$G$3,22))&lt;&gt;""),'Feijão 1ª safra'!$E22:INDEX('Feijão 1ª safra'!$E22:$Z22,MIN(AL$6-$G$3,22))),0)))))</f>
        <v>0</v>
      </c>
      <c r="AM24" s="27" t="n">
        <f aca="false">IF(COUNT('Feijão 1ª safra'!$E22:$Z22)=0,0,MAX(0,IF((AM$6-$E$3)&lt;1,0,IFERROR(LOOKUP(2,1/('Feijão 1ª safra'!$E22:INDEX('Feijão 1ª safra'!$E22:$Z22,MIN(AM$6-$E$3,22))&lt;&gt;""),'Feijão 1ª safra'!$E22:INDEX('Feijão 1ª safra'!$E22:$Z22,MIN(AM$6-$E$3,22))),0))-IF($G$2,0,IF((AM$6-$G$3)&lt;1,0,IFERROR(LOOKUP(2,1/('Feijão 1ª safra'!$E22:INDEX('Feijão 1ª safra'!$E22:$Z22,MIN(AM$6-$G$3,22))&lt;&gt;""),'Feijão 1ª safra'!$E22:INDEX('Feijão 1ª safra'!$E22:$Z22,MIN(AM$6-$G$3,22))),0)))))</f>
        <v>0</v>
      </c>
      <c r="AN24" s="27" t="n">
        <f aca="false">IF(COUNT('Feijão 1ª safra'!$E22:$Z22)=0,0,MAX(0,IF((AN$6-$E$3)&lt;1,0,IFERROR(LOOKUP(2,1/('Feijão 1ª safra'!$E22:INDEX('Feijão 1ª safra'!$E22:$Z22,MIN(AN$6-$E$3,22))&lt;&gt;""),'Feijão 1ª safra'!$E22:INDEX('Feijão 1ª safra'!$E22:$Z22,MIN(AN$6-$E$3,22))),0))-IF($G$2,0,IF((AN$6-$G$3)&lt;1,0,IFERROR(LOOKUP(2,1/('Feijão 1ª safra'!$E22:INDEX('Feijão 1ª safra'!$E22:$Z22,MIN(AN$6-$G$3,22))&lt;&gt;""),'Feijão 1ª safra'!$E22:INDEX('Feijão 1ª safra'!$E22:$Z22,MIN(AN$6-$G$3,22))),0)))))</f>
        <v>0</v>
      </c>
      <c r="AO24" s="27" t="n">
        <f aca="false">IF(COUNT('Feijão 1ª safra'!$E22:$Z22)=0,0,MAX(0,IF((AO$6-$E$3)&lt;1,0,IFERROR(LOOKUP(2,1/('Feijão 1ª safra'!$E22:INDEX('Feijão 1ª safra'!$E22:$Z22,MIN(AO$6-$E$3,22))&lt;&gt;""),'Feijão 1ª safra'!$E22:INDEX('Feijão 1ª safra'!$E22:$Z22,MIN(AO$6-$E$3,22))),0))-IF($G$2,0,IF((AO$6-$G$3)&lt;1,0,IFERROR(LOOKUP(2,1/('Feijão 1ª safra'!$E22:INDEX('Feijão 1ª safra'!$E22:$Z22,MIN(AO$6-$G$3,22))&lt;&gt;""),'Feijão 1ª safra'!$E22:INDEX('Feijão 1ª safra'!$E22:$Z22,MIN(AO$6-$G$3,22))),0)))))</f>
        <v>0</v>
      </c>
      <c r="AP24" s="27" t="n">
        <f aca="false">IF(COUNT('Feijão 1ª safra'!$E22:$Z22)=0,0,MAX(0,IF((AP$6-$E$3)&lt;1,0,IFERROR(LOOKUP(2,1/('Feijão 1ª safra'!$E22:INDEX('Feijão 1ª safra'!$E22:$Z22,MIN(AP$6-$E$3,22))&lt;&gt;""),'Feijão 1ª safra'!$E22:INDEX('Feijão 1ª safra'!$E22:$Z22,MIN(AP$6-$E$3,22))),0))-IF($G$2,0,IF((AP$6-$G$3)&lt;1,0,IFERROR(LOOKUP(2,1/('Feijão 1ª safra'!$E22:INDEX('Feijão 1ª safra'!$E22:$Z22,MIN(AP$6-$G$3,22))&lt;&gt;""),'Feijão 1ª safra'!$E22:INDEX('Feijão 1ª safra'!$E22:$Z22,MIN(AP$6-$G$3,22))),0)))))</f>
        <v>0</v>
      </c>
      <c r="AQ24" s="27" t="n">
        <f aca="false">IF(COUNT('Feijão 1ª safra'!$E22:$Z22)=0,0,MAX(0,IF((AQ$6-$E$3)&lt;1,0,IFERROR(LOOKUP(2,1/('Feijão 1ª safra'!$E22:INDEX('Feijão 1ª safra'!$E22:$Z22,MIN(AQ$6-$E$3,22))&lt;&gt;""),'Feijão 1ª safra'!$E22:INDEX('Feijão 1ª safra'!$E22:$Z22,MIN(AQ$6-$E$3,22))),0))-IF($G$2,0,IF((AQ$6-$G$3)&lt;1,0,IFERROR(LOOKUP(2,1/('Feijão 1ª safra'!$E22:INDEX('Feijão 1ª safra'!$E22:$Z22,MIN(AQ$6-$G$3,22))&lt;&gt;""),'Feijão 1ª safra'!$E22:INDEX('Feijão 1ª safra'!$E22:$Z22,MIN(AQ$6-$G$3,22))),0)))))</f>
        <v>0</v>
      </c>
      <c r="AR24" s="27" t="n">
        <f aca="false">IF(COUNT('Feijão 1ª safra'!$E22:$Z22)=0,0,MAX(0,IF((AR$6-$E$3)&lt;1,0,IFERROR(LOOKUP(2,1/('Feijão 1ª safra'!$E22:INDEX('Feijão 1ª safra'!$E22:$Z22,MIN(AR$6-$E$3,22))&lt;&gt;""),'Feijão 1ª safra'!$E22:INDEX('Feijão 1ª safra'!$E22:$Z22,MIN(AR$6-$E$3,22))),0))-IF($G$2,0,IF((AR$6-$G$3)&lt;1,0,IFERROR(LOOKUP(2,1/('Feijão 1ª safra'!$E22:INDEX('Feijão 1ª safra'!$E22:$Z22,MIN(AR$6-$G$3,22))&lt;&gt;""),'Feijão 1ª safra'!$E22:INDEX('Feijão 1ª safra'!$E22:$Z22,MIN(AR$6-$G$3,22))),0)))))</f>
        <v>0</v>
      </c>
      <c r="AS24" s="27" t="n">
        <f aca="false">IF(COUNT('Feijão 1ª safra'!$E22:$Z22)=0,0,MAX(0,IF((AS$6-$E$3)&lt;1,0,IFERROR(LOOKUP(2,1/('Feijão 1ª safra'!$E22:INDEX('Feijão 1ª safra'!$E22:$Z22,MIN(AS$6-$E$3,22))&lt;&gt;""),'Feijão 1ª safra'!$E22:INDEX('Feijão 1ª safra'!$E22:$Z22,MIN(AS$6-$E$3,22))),0))-IF($G$2,0,IF((AS$6-$G$3)&lt;1,0,IFERROR(LOOKUP(2,1/('Feijão 1ª safra'!$E22:INDEX('Feijão 1ª safra'!$E22:$Z22,MIN(AS$6-$G$3,22))&lt;&gt;""),'Feijão 1ª safra'!$E22:INDEX('Feijão 1ª safra'!$E22:$Z22,MIN(AS$6-$G$3,22))),0)))))</f>
        <v>0</v>
      </c>
      <c r="AT24" s="27" t="n">
        <f aca="false">IF(COUNT('Feijão 1ª safra'!$E22:$Z22)=0,0,MAX(0,IF((AT$6-$E$3)&lt;1,0,IFERROR(LOOKUP(2,1/('Feijão 1ª safra'!$E22:INDEX('Feijão 1ª safra'!$E22:$Z22,MIN(AT$6-$E$3,22))&lt;&gt;""),'Feijão 1ª safra'!$E22:INDEX('Feijão 1ª safra'!$E22:$Z22,MIN(AT$6-$E$3,22))),0))-IF($G$2,0,IF((AT$6-$G$3)&lt;1,0,IFERROR(LOOKUP(2,1/('Feijão 1ª safra'!$E22:INDEX('Feijão 1ª safra'!$E22:$Z22,MIN(AT$6-$G$3,22))&lt;&gt;""),'Feijão 1ª safra'!$E22:INDEX('Feijão 1ª safra'!$E22:$Z22,MIN(AT$6-$G$3,22))),0)))))</f>
        <v>0</v>
      </c>
      <c r="AU24" s="27" t="n">
        <f aca="false">IF(COUNT('Feijão 1ª safra'!$E22:$Z22)=0,0,MAX(0,IF((AU$6-$E$3)&lt;1,0,IFERROR(LOOKUP(2,1/('Feijão 1ª safra'!$E22:INDEX('Feijão 1ª safra'!$E22:$Z22,MIN(AU$6-$E$3,22))&lt;&gt;""),'Feijão 1ª safra'!$E22:INDEX('Feijão 1ª safra'!$E22:$Z22,MIN(AU$6-$E$3,22))),0))-IF($G$2,0,IF((AU$6-$G$3)&lt;1,0,IFERROR(LOOKUP(2,1/('Feijão 1ª safra'!$E22:INDEX('Feijão 1ª safra'!$E22:$Z22,MIN(AU$6-$G$3,22))&lt;&gt;""),'Feijão 1ª safra'!$E22:INDEX('Feijão 1ª safra'!$E22:$Z22,MIN(AU$6-$G$3,22))),0)))))</f>
        <v>0</v>
      </c>
      <c r="AV24" s="27" t="n">
        <f aca="false">IF(COUNT('Feijão 1ª safra'!$E22:$Z22)=0,0,MAX(0,IF((AV$6-$E$3)&lt;1,0,IFERROR(LOOKUP(2,1/('Feijão 1ª safra'!$E22:INDEX('Feijão 1ª safra'!$E22:$Z22,MIN(AV$6-$E$3,22))&lt;&gt;""),'Feijão 1ª safra'!$E22:INDEX('Feijão 1ª safra'!$E22:$Z22,MIN(AV$6-$E$3,22))),0))-IF($G$2,0,IF((AV$6-$G$3)&lt;1,0,IFERROR(LOOKUP(2,1/('Feijão 1ª safra'!$E22:INDEX('Feijão 1ª safra'!$E22:$Z22,MIN(AV$6-$G$3,22))&lt;&gt;""),'Feijão 1ª safra'!$E22:INDEX('Feijão 1ª safra'!$E22:$Z22,MIN(AV$6-$G$3,22))),0)))))</f>
        <v>0</v>
      </c>
      <c r="AW24" s="27" t="n">
        <f aca="false">IF(COUNT('Feijão 1ª safra'!$E22:$Z22)=0,0,MAX(0,IF((AW$6-$E$3)&lt;1,0,IFERROR(LOOKUP(2,1/('Feijão 1ª safra'!$E22:INDEX('Feijão 1ª safra'!$E22:$Z22,MIN(AW$6-$E$3,22))&lt;&gt;""),'Feijão 1ª safra'!$E22:INDEX('Feijão 1ª safra'!$E22:$Z22,MIN(AW$6-$E$3,22))),0))-IF($G$2,0,IF((AW$6-$G$3)&lt;1,0,IFERROR(LOOKUP(2,1/('Feijão 1ª safra'!$E22:INDEX('Feijão 1ª safra'!$E22:$Z22,MIN(AW$6-$G$3,22))&lt;&gt;""),'Feijão 1ª safra'!$E22:INDEX('Feijão 1ª safra'!$E22:$Z22,MIN(AW$6-$G$3,22))),0)))))</f>
        <v>0</v>
      </c>
      <c r="AX24" s="27" t="n">
        <f aca="false">IF(COUNT('Feijão 1ª safra'!$E22:$Z22)=0,0,MAX(0,IF((AX$6-$E$3)&lt;1,0,IFERROR(LOOKUP(2,1/('Feijão 1ª safra'!$E22:INDEX('Feijão 1ª safra'!$E22:$Z22,MIN(AX$6-$E$3,22))&lt;&gt;""),'Feijão 1ª safra'!$E22:INDEX('Feijão 1ª safra'!$E22:$Z22,MIN(AX$6-$E$3,22))),0))-IF($G$2,0,IF((AX$6-$G$3)&lt;1,0,IFERROR(LOOKUP(2,1/('Feijão 1ª safra'!$E22:INDEX('Feijão 1ª safra'!$E22:$Z22,MIN(AX$6-$G$3,22))&lt;&gt;""),'Feijão 1ª safra'!$E22:INDEX('Feijão 1ª safra'!$E22:$Z22,MIN(AX$6-$G$3,22))),0)))))</f>
        <v>0</v>
      </c>
      <c r="AY24" s="27" t="n">
        <f aca="false">IF(COUNT('Feijão 1ª safra'!$E22:$Z22)=0,0,MAX(0,IF((AY$6-$E$3)&lt;1,0,IFERROR(LOOKUP(2,1/('Feijão 1ª safra'!$E22:INDEX('Feijão 1ª safra'!$E22:$Z22,MIN(AY$6-$E$3,22))&lt;&gt;""),'Feijão 1ª safra'!$E22:INDEX('Feijão 1ª safra'!$E22:$Z22,MIN(AY$6-$E$3,22))),0))-IF($G$2,0,IF((AY$6-$G$3)&lt;1,0,IFERROR(LOOKUP(2,1/('Feijão 1ª safra'!$E22:INDEX('Feijão 1ª safra'!$E22:$Z22,MIN(AY$6-$G$3,22))&lt;&gt;""),'Feijão 1ª safra'!$E22:INDEX('Feijão 1ª safra'!$E22:$Z22,MIN(AY$6-$G$3,22))),0)))))</f>
        <v>0</v>
      </c>
      <c r="AZ24" s="27" t="n">
        <f aca="false">IF(COUNT('Feijão 1ª safra'!$E22:$Z22)=0,0,MAX(0,IF((AZ$6-$E$3)&lt;1,0,IFERROR(LOOKUP(2,1/('Feijão 1ª safra'!$E22:INDEX('Feijão 1ª safra'!$E22:$Z22,MIN(AZ$6-$E$3,22))&lt;&gt;""),'Feijão 1ª safra'!$E22:INDEX('Feijão 1ª safra'!$E22:$Z22,MIN(AZ$6-$E$3,22))),0))-IF($G$2,0,IF((AZ$6-$G$3)&lt;1,0,IFERROR(LOOKUP(2,1/('Feijão 1ª safra'!$E22:INDEX('Feijão 1ª safra'!$E22:$Z22,MIN(AZ$6-$G$3,22))&lt;&gt;""),'Feijão 1ª safra'!$E22:INDEX('Feijão 1ª safra'!$E22:$Z22,MIN(AZ$6-$G$3,22))),0)))))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IF(COUNT('Feijão 1ª safra'!$E23:$Z23)&gt;0,N('Feijão 1ª safra'!$D23),0)</f>
        <v>0</v>
      </c>
      <c r="E25" s="27" t="n">
        <f aca="false">IF(COUNT('Feijão 1ª safra'!$E23:$Z23)=0,0,MAX(0,IF((E$6-$E$3)&lt;1,0,IFERROR(LOOKUP(2,1/('Feijão 1ª safra'!$E23:INDEX('Feijão 1ª safra'!$E23:$Z23,MIN(E$6-$E$3,22))&lt;&gt;""),'Feijão 1ª safra'!$E23:INDEX('Feijão 1ª safra'!$E23:$Z23,MIN(E$6-$E$3,22))),0))-IF($G$2,0,IF((E$6-$G$3)&lt;1,0,IFERROR(LOOKUP(2,1/('Feijão 1ª safra'!$E23:INDEX('Feijão 1ª safra'!$E23:$Z23,MIN(E$6-$G$3,22))&lt;&gt;""),'Feijão 1ª safra'!$E23:INDEX('Feijão 1ª safra'!$E23:$Z23,MIN(E$6-$G$3,22))),0)))))</f>
        <v>0</v>
      </c>
      <c r="F25" s="27" t="n">
        <f aca="false">IF(COUNT('Feijão 1ª safra'!$E23:$Z23)=0,0,MAX(0,IF((F$6-$E$3)&lt;1,0,IFERROR(LOOKUP(2,1/('Feijão 1ª safra'!$E23:INDEX('Feijão 1ª safra'!$E23:$Z23,MIN(F$6-$E$3,22))&lt;&gt;""),'Feijão 1ª safra'!$E23:INDEX('Feijão 1ª safra'!$E23:$Z23,MIN(F$6-$E$3,22))),0))-IF($G$2,0,IF((F$6-$G$3)&lt;1,0,IFERROR(LOOKUP(2,1/('Feijão 1ª safra'!$E23:INDEX('Feijão 1ª safra'!$E23:$Z23,MIN(F$6-$G$3,22))&lt;&gt;""),'Feijão 1ª safra'!$E23:INDEX('Feijão 1ª safra'!$E23:$Z23,MIN(F$6-$G$3,22))),0)))))</f>
        <v>0</v>
      </c>
      <c r="G25" s="27" t="n">
        <f aca="false">IF(COUNT('Feijão 1ª safra'!$E23:$Z23)=0,0,MAX(0,IF((G$6-$E$3)&lt;1,0,IFERROR(LOOKUP(2,1/('Feijão 1ª safra'!$E23:INDEX('Feijão 1ª safra'!$E23:$Z23,MIN(G$6-$E$3,22))&lt;&gt;""),'Feijão 1ª safra'!$E23:INDEX('Feijão 1ª safra'!$E23:$Z23,MIN(G$6-$E$3,22))),0))-IF($G$2,0,IF((G$6-$G$3)&lt;1,0,IFERROR(LOOKUP(2,1/('Feijão 1ª safra'!$E23:INDEX('Feijão 1ª safra'!$E23:$Z23,MIN(G$6-$G$3,22))&lt;&gt;""),'Feijão 1ª safra'!$E23:INDEX('Feijão 1ª safra'!$E23:$Z23,MIN(G$6-$G$3,22))),0)))))</f>
        <v>0</v>
      </c>
      <c r="H25" s="27" t="n">
        <f aca="false">IF(COUNT('Feijão 1ª safra'!$E23:$Z23)=0,0,MAX(0,IF((H$6-$E$3)&lt;1,0,IFERROR(LOOKUP(2,1/('Feijão 1ª safra'!$E23:INDEX('Feijão 1ª safra'!$E23:$Z23,MIN(H$6-$E$3,22))&lt;&gt;""),'Feijão 1ª safra'!$E23:INDEX('Feijão 1ª safra'!$E23:$Z23,MIN(H$6-$E$3,22))),0))-IF($G$2,0,IF((H$6-$G$3)&lt;1,0,IFERROR(LOOKUP(2,1/('Feijão 1ª safra'!$E23:INDEX('Feijão 1ª safra'!$E23:$Z23,MIN(H$6-$G$3,22))&lt;&gt;""),'Feijão 1ª safra'!$E23:INDEX('Feijão 1ª safra'!$E23:$Z23,MIN(H$6-$G$3,22))),0)))))</f>
        <v>0</v>
      </c>
      <c r="I25" s="27" t="n">
        <f aca="false">IF(COUNT('Feijão 1ª safra'!$E23:$Z23)=0,0,MAX(0,IF((I$6-$E$3)&lt;1,0,IFERROR(LOOKUP(2,1/('Feijão 1ª safra'!$E23:INDEX('Feijão 1ª safra'!$E23:$Z23,MIN(I$6-$E$3,22))&lt;&gt;""),'Feijão 1ª safra'!$E23:INDEX('Feijão 1ª safra'!$E23:$Z23,MIN(I$6-$E$3,22))),0))-IF($G$2,0,IF((I$6-$G$3)&lt;1,0,IFERROR(LOOKUP(2,1/('Feijão 1ª safra'!$E23:INDEX('Feijão 1ª safra'!$E23:$Z23,MIN(I$6-$G$3,22))&lt;&gt;""),'Feijão 1ª safra'!$E23:INDEX('Feijão 1ª safra'!$E23:$Z23,MIN(I$6-$G$3,22))),0)))))</f>
        <v>0</v>
      </c>
      <c r="J25" s="27" t="n">
        <f aca="false">IF(COUNT('Feijão 1ª safra'!$E23:$Z23)=0,0,MAX(0,IF((J$6-$E$3)&lt;1,0,IFERROR(LOOKUP(2,1/('Feijão 1ª safra'!$E23:INDEX('Feijão 1ª safra'!$E23:$Z23,MIN(J$6-$E$3,22))&lt;&gt;""),'Feijão 1ª safra'!$E23:INDEX('Feijão 1ª safra'!$E23:$Z23,MIN(J$6-$E$3,22))),0))-IF($G$2,0,IF((J$6-$G$3)&lt;1,0,IFERROR(LOOKUP(2,1/('Feijão 1ª safra'!$E23:INDEX('Feijão 1ª safra'!$E23:$Z23,MIN(J$6-$G$3,22))&lt;&gt;""),'Feijão 1ª safra'!$E23:INDEX('Feijão 1ª safra'!$E23:$Z23,MIN(J$6-$G$3,22))),0)))))</f>
        <v>0</v>
      </c>
      <c r="K25" s="27" t="n">
        <f aca="false">IF(COUNT('Feijão 1ª safra'!$E23:$Z23)=0,0,MAX(0,IF((K$6-$E$3)&lt;1,0,IFERROR(LOOKUP(2,1/('Feijão 1ª safra'!$E23:INDEX('Feijão 1ª safra'!$E23:$Z23,MIN(K$6-$E$3,22))&lt;&gt;""),'Feijão 1ª safra'!$E23:INDEX('Feijão 1ª safra'!$E23:$Z23,MIN(K$6-$E$3,22))),0))-IF($G$2,0,IF((K$6-$G$3)&lt;1,0,IFERROR(LOOKUP(2,1/('Feijão 1ª safra'!$E23:INDEX('Feijão 1ª safra'!$E23:$Z23,MIN(K$6-$G$3,22))&lt;&gt;""),'Feijão 1ª safra'!$E23:INDEX('Feijão 1ª safra'!$E23:$Z23,MIN(K$6-$G$3,22))),0)))))</f>
        <v>0</v>
      </c>
      <c r="L25" s="27" t="n">
        <f aca="false">IF(COUNT('Feijão 1ª safra'!$E23:$Z23)=0,0,MAX(0,IF((L$6-$E$3)&lt;1,0,IFERROR(LOOKUP(2,1/('Feijão 1ª safra'!$E23:INDEX('Feijão 1ª safra'!$E23:$Z23,MIN(L$6-$E$3,22))&lt;&gt;""),'Feijão 1ª safra'!$E23:INDEX('Feijão 1ª safra'!$E23:$Z23,MIN(L$6-$E$3,22))),0))-IF($G$2,0,IF((L$6-$G$3)&lt;1,0,IFERROR(LOOKUP(2,1/('Feijão 1ª safra'!$E23:INDEX('Feijão 1ª safra'!$E23:$Z23,MIN(L$6-$G$3,22))&lt;&gt;""),'Feijão 1ª safra'!$E23:INDEX('Feijão 1ª safra'!$E23:$Z23,MIN(L$6-$G$3,22))),0)))))</f>
        <v>0</v>
      </c>
      <c r="M25" s="27" t="n">
        <f aca="false">IF(COUNT('Feijão 1ª safra'!$E23:$Z23)=0,0,MAX(0,IF((M$6-$E$3)&lt;1,0,IFERROR(LOOKUP(2,1/('Feijão 1ª safra'!$E23:INDEX('Feijão 1ª safra'!$E23:$Z23,MIN(M$6-$E$3,22))&lt;&gt;""),'Feijão 1ª safra'!$E23:INDEX('Feijão 1ª safra'!$E23:$Z23,MIN(M$6-$E$3,22))),0))-IF($G$2,0,IF((M$6-$G$3)&lt;1,0,IFERROR(LOOKUP(2,1/('Feijão 1ª safra'!$E23:INDEX('Feijão 1ª safra'!$E23:$Z23,MIN(M$6-$G$3,22))&lt;&gt;""),'Feijão 1ª safra'!$E23:INDEX('Feijão 1ª safra'!$E23:$Z23,MIN(M$6-$G$3,22))),0)))))</f>
        <v>0</v>
      </c>
      <c r="N25" s="27" t="n">
        <f aca="false">IF(COUNT('Feijão 1ª safra'!$E23:$Z23)=0,0,MAX(0,IF((N$6-$E$3)&lt;1,0,IFERROR(LOOKUP(2,1/('Feijão 1ª safra'!$E23:INDEX('Feijão 1ª safra'!$E23:$Z23,MIN(N$6-$E$3,22))&lt;&gt;""),'Feijão 1ª safra'!$E23:INDEX('Feijão 1ª safra'!$E23:$Z23,MIN(N$6-$E$3,22))),0))-IF($G$2,0,IF((N$6-$G$3)&lt;1,0,IFERROR(LOOKUP(2,1/('Feijão 1ª safra'!$E23:INDEX('Feijão 1ª safra'!$E23:$Z23,MIN(N$6-$G$3,22))&lt;&gt;""),'Feijão 1ª safra'!$E23:INDEX('Feijão 1ª safra'!$E23:$Z23,MIN(N$6-$G$3,22))),0)))))</f>
        <v>0</v>
      </c>
      <c r="O25" s="27" t="n">
        <f aca="false">IF(COUNT('Feijão 1ª safra'!$E23:$Z23)=0,0,MAX(0,IF((O$6-$E$3)&lt;1,0,IFERROR(LOOKUP(2,1/('Feijão 1ª safra'!$E23:INDEX('Feijão 1ª safra'!$E23:$Z23,MIN(O$6-$E$3,22))&lt;&gt;""),'Feijão 1ª safra'!$E23:INDEX('Feijão 1ª safra'!$E23:$Z23,MIN(O$6-$E$3,22))),0))-IF($G$2,0,IF((O$6-$G$3)&lt;1,0,IFERROR(LOOKUP(2,1/('Feijão 1ª safra'!$E23:INDEX('Feijão 1ª safra'!$E23:$Z23,MIN(O$6-$G$3,22))&lt;&gt;""),'Feijão 1ª safra'!$E23:INDEX('Feijão 1ª safra'!$E23:$Z23,MIN(O$6-$G$3,22))),0)))))</f>
        <v>0</v>
      </c>
      <c r="P25" s="27" t="n">
        <f aca="false">IF(COUNT('Feijão 1ª safra'!$E23:$Z23)=0,0,MAX(0,IF((P$6-$E$3)&lt;1,0,IFERROR(LOOKUP(2,1/('Feijão 1ª safra'!$E23:INDEX('Feijão 1ª safra'!$E23:$Z23,MIN(P$6-$E$3,22))&lt;&gt;""),'Feijão 1ª safra'!$E23:INDEX('Feijão 1ª safra'!$E23:$Z23,MIN(P$6-$E$3,22))),0))-IF($G$2,0,IF((P$6-$G$3)&lt;1,0,IFERROR(LOOKUP(2,1/('Feijão 1ª safra'!$E23:INDEX('Feijão 1ª safra'!$E23:$Z23,MIN(P$6-$G$3,22))&lt;&gt;""),'Feijão 1ª safra'!$E23:INDEX('Feijão 1ª safra'!$E23:$Z23,MIN(P$6-$G$3,22))),0)))))</f>
        <v>0</v>
      </c>
      <c r="Q25" s="27" t="n">
        <f aca="false">IF(COUNT('Feijão 1ª safra'!$E23:$Z23)=0,0,MAX(0,IF((Q$6-$E$3)&lt;1,0,IFERROR(LOOKUP(2,1/('Feijão 1ª safra'!$E23:INDEX('Feijão 1ª safra'!$E23:$Z23,MIN(Q$6-$E$3,22))&lt;&gt;""),'Feijão 1ª safra'!$E23:INDEX('Feijão 1ª safra'!$E23:$Z23,MIN(Q$6-$E$3,22))),0))-IF($G$2,0,IF((Q$6-$G$3)&lt;1,0,IFERROR(LOOKUP(2,1/('Feijão 1ª safra'!$E23:INDEX('Feijão 1ª safra'!$E23:$Z23,MIN(Q$6-$G$3,22))&lt;&gt;""),'Feijão 1ª safra'!$E23:INDEX('Feijão 1ª safra'!$E23:$Z23,MIN(Q$6-$G$3,22))),0)))))</f>
        <v>0</v>
      </c>
      <c r="R25" s="27" t="n">
        <f aca="false">IF(COUNT('Feijão 1ª safra'!$E23:$Z23)=0,0,MAX(0,IF((R$6-$E$3)&lt;1,0,IFERROR(LOOKUP(2,1/('Feijão 1ª safra'!$E23:INDEX('Feijão 1ª safra'!$E23:$Z23,MIN(R$6-$E$3,22))&lt;&gt;""),'Feijão 1ª safra'!$E23:INDEX('Feijão 1ª safra'!$E23:$Z23,MIN(R$6-$E$3,22))),0))-IF($G$2,0,IF((R$6-$G$3)&lt;1,0,IFERROR(LOOKUP(2,1/('Feijão 1ª safra'!$E23:INDEX('Feijão 1ª safra'!$E23:$Z23,MIN(R$6-$G$3,22))&lt;&gt;""),'Feijão 1ª safra'!$E23:INDEX('Feijão 1ª safra'!$E23:$Z23,MIN(R$6-$G$3,22))),0)))))</f>
        <v>0</v>
      </c>
      <c r="S25" s="27" t="n">
        <f aca="false">IF(COUNT('Feijão 1ª safra'!$E23:$Z23)=0,0,MAX(0,IF((S$6-$E$3)&lt;1,0,IFERROR(LOOKUP(2,1/('Feijão 1ª safra'!$E23:INDEX('Feijão 1ª safra'!$E23:$Z23,MIN(S$6-$E$3,22))&lt;&gt;""),'Feijão 1ª safra'!$E23:INDEX('Feijão 1ª safra'!$E23:$Z23,MIN(S$6-$E$3,22))),0))-IF($G$2,0,IF((S$6-$G$3)&lt;1,0,IFERROR(LOOKUP(2,1/('Feijão 1ª safra'!$E23:INDEX('Feijão 1ª safra'!$E23:$Z23,MIN(S$6-$G$3,22))&lt;&gt;""),'Feijão 1ª safra'!$E23:INDEX('Feijão 1ª safra'!$E23:$Z23,MIN(S$6-$G$3,22))),0)))))</f>
        <v>0</v>
      </c>
      <c r="T25" s="27" t="n">
        <f aca="false">IF(COUNT('Feijão 1ª safra'!$E23:$Z23)=0,0,MAX(0,IF((T$6-$E$3)&lt;1,0,IFERROR(LOOKUP(2,1/('Feijão 1ª safra'!$E23:INDEX('Feijão 1ª safra'!$E23:$Z23,MIN(T$6-$E$3,22))&lt;&gt;""),'Feijão 1ª safra'!$E23:INDEX('Feijão 1ª safra'!$E23:$Z23,MIN(T$6-$E$3,22))),0))-IF($G$2,0,IF((T$6-$G$3)&lt;1,0,IFERROR(LOOKUP(2,1/('Feijão 1ª safra'!$E23:INDEX('Feijão 1ª safra'!$E23:$Z23,MIN(T$6-$G$3,22))&lt;&gt;""),'Feijão 1ª safra'!$E23:INDEX('Feijão 1ª safra'!$E23:$Z23,MIN(T$6-$G$3,22))),0)))))</f>
        <v>0</v>
      </c>
      <c r="U25" s="27" t="n">
        <f aca="false">IF(COUNT('Feijão 1ª safra'!$E23:$Z23)=0,0,MAX(0,IF((U$6-$E$3)&lt;1,0,IFERROR(LOOKUP(2,1/('Feijão 1ª safra'!$E23:INDEX('Feijão 1ª safra'!$E23:$Z23,MIN(U$6-$E$3,22))&lt;&gt;""),'Feijão 1ª safra'!$E23:INDEX('Feijão 1ª safra'!$E23:$Z23,MIN(U$6-$E$3,22))),0))-IF($G$2,0,IF((U$6-$G$3)&lt;1,0,IFERROR(LOOKUP(2,1/('Feijão 1ª safra'!$E23:INDEX('Feijão 1ª safra'!$E23:$Z23,MIN(U$6-$G$3,22))&lt;&gt;""),'Feijão 1ª safra'!$E23:INDEX('Feijão 1ª safra'!$E23:$Z23,MIN(U$6-$G$3,22))),0)))))</f>
        <v>0</v>
      </c>
      <c r="V25" s="27" t="n">
        <f aca="false">IF(COUNT('Feijão 1ª safra'!$E23:$Z23)=0,0,MAX(0,IF((V$6-$E$3)&lt;1,0,IFERROR(LOOKUP(2,1/('Feijão 1ª safra'!$E23:INDEX('Feijão 1ª safra'!$E23:$Z23,MIN(V$6-$E$3,22))&lt;&gt;""),'Feijão 1ª safra'!$E23:INDEX('Feijão 1ª safra'!$E23:$Z23,MIN(V$6-$E$3,22))),0))-IF($G$2,0,IF((V$6-$G$3)&lt;1,0,IFERROR(LOOKUP(2,1/('Feijão 1ª safra'!$E23:INDEX('Feijão 1ª safra'!$E23:$Z23,MIN(V$6-$G$3,22))&lt;&gt;""),'Feijão 1ª safra'!$E23:INDEX('Feijão 1ª safra'!$E23:$Z23,MIN(V$6-$G$3,22))),0)))))</f>
        <v>0</v>
      </c>
      <c r="W25" s="27" t="n">
        <f aca="false">IF(COUNT('Feijão 1ª safra'!$E23:$Z23)=0,0,MAX(0,IF((W$6-$E$3)&lt;1,0,IFERROR(LOOKUP(2,1/('Feijão 1ª safra'!$E23:INDEX('Feijão 1ª safra'!$E23:$Z23,MIN(W$6-$E$3,22))&lt;&gt;""),'Feijão 1ª safra'!$E23:INDEX('Feijão 1ª safra'!$E23:$Z23,MIN(W$6-$E$3,22))),0))-IF($G$2,0,IF((W$6-$G$3)&lt;1,0,IFERROR(LOOKUP(2,1/('Feijão 1ª safra'!$E23:INDEX('Feijão 1ª safra'!$E23:$Z23,MIN(W$6-$G$3,22))&lt;&gt;""),'Feijão 1ª safra'!$E23:INDEX('Feijão 1ª safra'!$E23:$Z23,MIN(W$6-$G$3,22))),0)))))</f>
        <v>0</v>
      </c>
      <c r="X25" s="27" t="n">
        <f aca="false">IF(COUNT('Feijão 1ª safra'!$E23:$Z23)=0,0,MAX(0,IF((X$6-$E$3)&lt;1,0,IFERROR(LOOKUP(2,1/('Feijão 1ª safra'!$E23:INDEX('Feijão 1ª safra'!$E23:$Z23,MIN(X$6-$E$3,22))&lt;&gt;""),'Feijão 1ª safra'!$E23:INDEX('Feijão 1ª safra'!$E23:$Z23,MIN(X$6-$E$3,22))),0))-IF($G$2,0,IF((X$6-$G$3)&lt;1,0,IFERROR(LOOKUP(2,1/('Feijão 1ª safra'!$E23:INDEX('Feijão 1ª safra'!$E23:$Z23,MIN(X$6-$G$3,22))&lt;&gt;""),'Feijão 1ª safra'!$E23:INDEX('Feijão 1ª safra'!$E23:$Z23,MIN(X$6-$G$3,22))),0)))))</f>
        <v>0</v>
      </c>
      <c r="Y25" s="27" t="n">
        <f aca="false">IF(COUNT('Feijão 1ª safra'!$E23:$Z23)=0,0,MAX(0,IF((Y$6-$E$3)&lt;1,0,IFERROR(LOOKUP(2,1/('Feijão 1ª safra'!$E23:INDEX('Feijão 1ª safra'!$E23:$Z23,MIN(Y$6-$E$3,22))&lt;&gt;""),'Feijão 1ª safra'!$E23:INDEX('Feijão 1ª safra'!$E23:$Z23,MIN(Y$6-$E$3,22))),0))-IF($G$2,0,IF((Y$6-$G$3)&lt;1,0,IFERROR(LOOKUP(2,1/('Feijão 1ª safra'!$E23:INDEX('Feijão 1ª safra'!$E23:$Z23,MIN(Y$6-$G$3,22))&lt;&gt;""),'Feijão 1ª safra'!$E23:INDEX('Feijão 1ª safra'!$E23:$Z23,MIN(Y$6-$G$3,22))),0)))))</f>
        <v>0</v>
      </c>
      <c r="Z25" s="27" t="n">
        <f aca="false">IF(COUNT('Feijão 1ª safra'!$E23:$Z23)=0,0,MAX(0,IF((Z$6-$E$3)&lt;1,0,IFERROR(LOOKUP(2,1/('Feijão 1ª safra'!$E23:INDEX('Feijão 1ª safra'!$E23:$Z23,MIN(Z$6-$E$3,22))&lt;&gt;""),'Feijão 1ª safra'!$E23:INDEX('Feijão 1ª safra'!$E23:$Z23,MIN(Z$6-$E$3,22))),0))-IF($G$2,0,IF((Z$6-$G$3)&lt;1,0,IFERROR(LOOKUP(2,1/('Feijão 1ª safra'!$E23:INDEX('Feijão 1ª safra'!$E23:$Z23,MIN(Z$6-$G$3,22))&lt;&gt;""),'Feijão 1ª safra'!$E23:INDEX('Feijão 1ª safra'!$E23:$Z23,MIN(Z$6-$G$3,22))),0)))))</f>
        <v>0</v>
      </c>
      <c r="AA25" s="27" t="n">
        <f aca="false">IF(COUNT('Feijão 1ª safra'!$E23:$Z23)=0,0,MAX(0,IF((AA$6-$E$3)&lt;1,0,IFERROR(LOOKUP(2,1/('Feijão 1ª safra'!$E23:INDEX('Feijão 1ª safra'!$E23:$Z23,MIN(AA$6-$E$3,22))&lt;&gt;""),'Feijão 1ª safra'!$E23:INDEX('Feijão 1ª safra'!$E23:$Z23,MIN(AA$6-$E$3,22))),0))-IF($G$2,0,IF((AA$6-$G$3)&lt;1,0,IFERROR(LOOKUP(2,1/('Feijão 1ª safra'!$E23:INDEX('Feijão 1ª safra'!$E23:$Z23,MIN(AA$6-$G$3,22))&lt;&gt;""),'Feijão 1ª safra'!$E23:INDEX('Feijão 1ª safra'!$E23:$Z23,MIN(AA$6-$G$3,22))),0)))))</f>
        <v>0</v>
      </c>
      <c r="AB25" s="27" t="n">
        <f aca="false">IF(COUNT('Feijão 1ª safra'!$E23:$Z23)=0,0,MAX(0,IF((AB$6-$E$3)&lt;1,0,IFERROR(LOOKUP(2,1/('Feijão 1ª safra'!$E23:INDEX('Feijão 1ª safra'!$E23:$Z23,MIN(AB$6-$E$3,22))&lt;&gt;""),'Feijão 1ª safra'!$E23:INDEX('Feijão 1ª safra'!$E23:$Z23,MIN(AB$6-$E$3,22))),0))-IF($G$2,0,IF((AB$6-$G$3)&lt;1,0,IFERROR(LOOKUP(2,1/('Feijão 1ª safra'!$E23:INDEX('Feijão 1ª safra'!$E23:$Z23,MIN(AB$6-$G$3,22))&lt;&gt;""),'Feijão 1ª safra'!$E23:INDEX('Feijão 1ª safra'!$E23:$Z23,MIN(AB$6-$G$3,22))),0)))))</f>
        <v>0</v>
      </c>
      <c r="AC25" s="27" t="n">
        <f aca="false">IF(COUNT('Feijão 1ª safra'!$E23:$Z23)=0,0,MAX(0,IF((AC$6-$E$3)&lt;1,0,IFERROR(LOOKUP(2,1/('Feijão 1ª safra'!$E23:INDEX('Feijão 1ª safra'!$E23:$Z23,MIN(AC$6-$E$3,22))&lt;&gt;""),'Feijão 1ª safra'!$E23:INDEX('Feijão 1ª safra'!$E23:$Z23,MIN(AC$6-$E$3,22))),0))-IF($G$2,0,IF((AC$6-$G$3)&lt;1,0,IFERROR(LOOKUP(2,1/('Feijão 1ª safra'!$E23:INDEX('Feijão 1ª safra'!$E23:$Z23,MIN(AC$6-$G$3,22))&lt;&gt;""),'Feijão 1ª safra'!$E23:INDEX('Feijão 1ª safra'!$E23:$Z23,MIN(AC$6-$G$3,22))),0)))))</f>
        <v>0</v>
      </c>
      <c r="AD25" s="27" t="n">
        <f aca="false">IF(COUNT('Feijão 1ª safra'!$E23:$Z23)=0,0,MAX(0,IF((AD$6-$E$3)&lt;1,0,IFERROR(LOOKUP(2,1/('Feijão 1ª safra'!$E23:INDEX('Feijão 1ª safra'!$E23:$Z23,MIN(AD$6-$E$3,22))&lt;&gt;""),'Feijão 1ª safra'!$E23:INDEX('Feijão 1ª safra'!$E23:$Z23,MIN(AD$6-$E$3,22))),0))-IF($G$2,0,IF((AD$6-$G$3)&lt;1,0,IFERROR(LOOKUP(2,1/('Feijão 1ª safra'!$E23:INDEX('Feijão 1ª safra'!$E23:$Z23,MIN(AD$6-$G$3,22))&lt;&gt;""),'Feijão 1ª safra'!$E23:INDEX('Feijão 1ª safra'!$E23:$Z23,MIN(AD$6-$G$3,22))),0)))))</f>
        <v>0</v>
      </c>
      <c r="AE25" s="27" t="n">
        <f aca="false">IF(COUNT('Feijão 1ª safra'!$E23:$Z23)=0,0,MAX(0,IF((AE$6-$E$3)&lt;1,0,IFERROR(LOOKUP(2,1/('Feijão 1ª safra'!$E23:INDEX('Feijão 1ª safra'!$E23:$Z23,MIN(AE$6-$E$3,22))&lt;&gt;""),'Feijão 1ª safra'!$E23:INDEX('Feijão 1ª safra'!$E23:$Z23,MIN(AE$6-$E$3,22))),0))-IF($G$2,0,IF((AE$6-$G$3)&lt;1,0,IFERROR(LOOKUP(2,1/('Feijão 1ª safra'!$E23:INDEX('Feijão 1ª safra'!$E23:$Z23,MIN(AE$6-$G$3,22))&lt;&gt;""),'Feijão 1ª safra'!$E23:INDEX('Feijão 1ª safra'!$E23:$Z23,MIN(AE$6-$G$3,22))),0)))))</f>
        <v>0</v>
      </c>
      <c r="AF25" s="27" t="n">
        <f aca="false">IF(COUNT('Feijão 1ª safra'!$E23:$Z23)=0,0,MAX(0,IF((AF$6-$E$3)&lt;1,0,IFERROR(LOOKUP(2,1/('Feijão 1ª safra'!$E23:INDEX('Feijão 1ª safra'!$E23:$Z23,MIN(AF$6-$E$3,22))&lt;&gt;""),'Feijão 1ª safra'!$E23:INDEX('Feijão 1ª safra'!$E23:$Z23,MIN(AF$6-$E$3,22))),0))-IF($G$2,0,IF((AF$6-$G$3)&lt;1,0,IFERROR(LOOKUP(2,1/('Feijão 1ª safra'!$E23:INDEX('Feijão 1ª safra'!$E23:$Z23,MIN(AF$6-$G$3,22))&lt;&gt;""),'Feijão 1ª safra'!$E23:INDEX('Feijão 1ª safra'!$E23:$Z23,MIN(AF$6-$G$3,22))),0)))))</f>
        <v>0</v>
      </c>
      <c r="AG25" s="27" t="n">
        <f aca="false">IF(COUNT('Feijão 1ª safra'!$E23:$Z23)=0,0,MAX(0,IF((AG$6-$E$3)&lt;1,0,IFERROR(LOOKUP(2,1/('Feijão 1ª safra'!$E23:INDEX('Feijão 1ª safra'!$E23:$Z23,MIN(AG$6-$E$3,22))&lt;&gt;""),'Feijão 1ª safra'!$E23:INDEX('Feijão 1ª safra'!$E23:$Z23,MIN(AG$6-$E$3,22))),0))-IF($G$2,0,IF((AG$6-$G$3)&lt;1,0,IFERROR(LOOKUP(2,1/('Feijão 1ª safra'!$E23:INDEX('Feijão 1ª safra'!$E23:$Z23,MIN(AG$6-$G$3,22))&lt;&gt;""),'Feijão 1ª safra'!$E23:INDEX('Feijão 1ª safra'!$E23:$Z23,MIN(AG$6-$G$3,22))),0)))))</f>
        <v>0</v>
      </c>
      <c r="AH25" s="27" t="n">
        <f aca="false">IF(COUNT('Feijão 1ª safra'!$E23:$Z23)=0,0,MAX(0,IF((AH$6-$E$3)&lt;1,0,IFERROR(LOOKUP(2,1/('Feijão 1ª safra'!$E23:INDEX('Feijão 1ª safra'!$E23:$Z23,MIN(AH$6-$E$3,22))&lt;&gt;""),'Feijão 1ª safra'!$E23:INDEX('Feijão 1ª safra'!$E23:$Z23,MIN(AH$6-$E$3,22))),0))-IF($G$2,0,IF((AH$6-$G$3)&lt;1,0,IFERROR(LOOKUP(2,1/('Feijão 1ª safra'!$E23:INDEX('Feijão 1ª safra'!$E23:$Z23,MIN(AH$6-$G$3,22))&lt;&gt;""),'Feijão 1ª safra'!$E23:INDEX('Feijão 1ª safra'!$E23:$Z23,MIN(AH$6-$G$3,22))),0)))))</f>
        <v>0</v>
      </c>
      <c r="AI25" s="27" t="n">
        <f aca="false">IF(COUNT('Feijão 1ª safra'!$E23:$Z23)=0,0,MAX(0,IF((AI$6-$E$3)&lt;1,0,IFERROR(LOOKUP(2,1/('Feijão 1ª safra'!$E23:INDEX('Feijão 1ª safra'!$E23:$Z23,MIN(AI$6-$E$3,22))&lt;&gt;""),'Feijão 1ª safra'!$E23:INDEX('Feijão 1ª safra'!$E23:$Z23,MIN(AI$6-$E$3,22))),0))-IF($G$2,0,IF((AI$6-$G$3)&lt;1,0,IFERROR(LOOKUP(2,1/('Feijão 1ª safra'!$E23:INDEX('Feijão 1ª safra'!$E23:$Z23,MIN(AI$6-$G$3,22))&lt;&gt;""),'Feijão 1ª safra'!$E23:INDEX('Feijão 1ª safra'!$E23:$Z23,MIN(AI$6-$G$3,22))),0)))))</f>
        <v>0</v>
      </c>
      <c r="AJ25" s="27" t="n">
        <f aca="false">IF(COUNT('Feijão 1ª safra'!$E23:$Z23)=0,0,MAX(0,IF((AJ$6-$E$3)&lt;1,0,IFERROR(LOOKUP(2,1/('Feijão 1ª safra'!$E23:INDEX('Feijão 1ª safra'!$E23:$Z23,MIN(AJ$6-$E$3,22))&lt;&gt;""),'Feijão 1ª safra'!$E23:INDEX('Feijão 1ª safra'!$E23:$Z23,MIN(AJ$6-$E$3,22))),0))-IF($G$2,0,IF((AJ$6-$G$3)&lt;1,0,IFERROR(LOOKUP(2,1/('Feijão 1ª safra'!$E23:INDEX('Feijão 1ª safra'!$E23:$Z23,MIN(AJ$6-$G$3,22))&lt;&gt;""),'Feijão 1ª safra'!$E23:INDEX('Feijão 1ª safra'!$E23:$Z23,MIN(AJ$6-$G$3,22))),0)))))</f>
        <v>0</v>
      </c>
      <c r="AK25" s="27" t="n">
        <f aca="false">IF(COUNT('Feijão 1ª safra'!$E23:$Z23)=0,0,MAX(0,IF((AK$6-$E$3)&lt;1,0,IFERROR(LOOKUP(2,1/('Feijão 1ª safra'!$E23:INDEX('Feijão 1ª safra'!$E23:$Z23,MIN(AK$6-$E$3,22))&lt;&gt;""),'Feijão 1ª safra'!$E23:INDEX('Feijão 1ª safra'!$E23:$Z23,MIN(AK$6-$E$3,22))),0))-IF($G$2,0,IF((AK$6-$G$3)&lt;1,0,IFERROR(LOOKUP(2,1/('Feijão 1ª safra'!$E23:INDEX('Feijão 1ª safra'!$E23:$Z23,MIN(AK$6-$G$3,22))&lt;&gt;""),'Feijão 1ª safra'!$E23:INDEX('Feijão 1ª safra'!$E23:$Z23,MIN(AK$6-$G$3,22))),0)))))</f>
        <v>0</v>
      </c>
      <c r="AL25" s="27" t="n">
        <f aca="false">IF(COUNT('Feijão 1ª safra'!$E23:$Z23)=0,0,MAX(0,IF((AL$6-$E$3)&lt;1,0,IFERROR(LOOKUP(2,1/('Feijão 1ª safra'!$E23:INDEX('Feijão 1ª safra'!$E23:$Z23,MIN(AL$6-$E$3,22))&lt;&gt;""),'Feijão 1ª safra'!$E23:INDEX('Feijão 1ª safra'!$E23:$Z23,MIN(AL$6-$E$3,22))),0))-IF($G$2,0,IF((AL$6-$G$3)&lt;1,0,IFERROR(LOOKUP(2,1/('Feijão 1ª safra'!$E23:INDEX('Feijão 1ª safra'!$E23:$Z23,MIN(AL$6-$G$3,22))&lt;&gt;""),'Feijão 1ª safra'!$E23:INDEX('Feijão 1ª safra'!$E23:$Z23,MIN(AL$6-$G$3,22))),0)))))</f>
        <v>0</v>
      </c>
      <c r="AM25" s="27" t="n">
        <f aca="false">IF(COUNT('Feijão 1ª safra'!$E23:$Z23)=0,0,MAX(0,IF((AM$6-$E$3)&lt;1,0,IFERROR(LOOKUP(2,1/('Feijão 1ª safra'!$E23:INDEX('Feijão 1ª safra'!$E23:$Z23,MIN(AM$6-$E$3,22))&lt;&gt;""),'Feijão 1ª safra'!$E23:INDEX('Feijão 1ª safra'!$E23:$Z23,MIN(AM$6-$E$3,22))),0))-IF($G$2,0,IF((AM$6-$G$3)&lt;1,0,IFERROR(LOOKUP(2,1/('Feijão 1ª safra'!$E23:INDEX('Feijão 1ª safra'!$E23:$Z23,MIN(AM$6-$G$3,22))&lt;&gt;""),'Feijão 1ª safra'!$E23:INDEX('Feijão 1ª safra'!$E23:$Z23,MIN(AM$6-$G$3,22))),0)))))</f>
        <v>0</v>
      </c>
      <c r="AN25" s="27" t="n">
        <f aca="false">IF(COUNT('Feijão 1ª safra'!$E23:$Z23)=0,0,MAX(0,IF((AN$6-$E$3)&lt;1,0,IFERROR(LOOKUP(2,1/('Feijão 1ª safra'!$E23:INDEX('Feijão 1ª safra'!$E23:$Z23,MIN(AN$6-$E$3,22))&lt;&gt;""),'Feijão 1ª safra'!$E23:INDEX('Feijão 1ª safra'!$E23:$Z23,MIN(AN$6-$E$3,22))),0))-IF($G$2,0,IF((AN$6-$G$3)&lt;1,0,IFERROR(LOOKUP(2,1/('Feijão 1ª safra'!$E23:INDEX('Feijão 1ª safra'!$E23:$Z23,MIN(AN$6-$G$3,22))&lt;&gt;""),'Feijão 1ª safra'!$E23:INDEX('Feijão 1ª safra'!$E23:$Z23,MIN(AN$6-$G$3,22))),0)))))</f>
        <v>0</v>
      </c>
      <c r="AO25" s="27" t="n">
        <f aca="false">IF(COUNT('Feijão 1ª safra'!$E23:$Z23)=0,0,MAX(0,IF((AO$6-$E$3)&lt;1,0,IFERROR(LOOKUP(2,1/('Feijão 1ª safra'!$E23:INDEX('Feijão 1ª safra'!$E23:$Z23,MIN(AO$6-$E$3,22))&lt;&gt;""),'Feijão 1ª safra'!$E23:INDEX('Feijão 1ª safra'!$E23:$Z23,MIN(AO$6-$E$3,22))),0))-IF($G$2,0,IF((AO$6-$G$3)&lt;1,0,IFERROR(LOOKUP(2,1/('Feijão 1ª safra'!$E23:INDEX('Feijão 1ª safra'!$E23:$Z23,MIN(AO$6-$G$3,22))&lt;&gt;""),'Feijão 1ª safra'!$E23:INDEX('Feijão 1ª safra'!$E23:$Z23,MIN(AO$6-$G$3,22))),0)))))</f>
        <v>0</v>
      </c>
      <c r="AP25" s="27" t="n">
        <f aca="false">IF(COUNT('Feijão 1ª safra'!$E23:$Z23)=0,0,MAX(0,IF((AP$6-$E$3)&lt;1,0,IFERROR(LOOKUP(2,1/('Feijão 1ª safra'!$E23:INDEX('Feijão 1ª safra'!$E23:$Z23,MIN(AP$6-$E$3,22))&lt;&gt;""),'Feijão 1ª safra'!$E23:INDEX('Feijão 1ª safra'!$E23:$Z23,MIN(AP$6-$E$3,22))),0))-IF($G$2,0,IF((AP$6-$G$3)&lt;1,0,IFERROR(LOOKUP(2,1/('Feijão 1ª safra'!$E23:INDEX('Feijão 1ª safra'!$E23:$Z23,MIN(AP$6-$G$3,22))&lt;&gt;""),'Feijão 1ª safra'!$E23:INDEX('Feijão 1ª safra'!$E23:$Z23,MIN(AP$6-$G$3,22))),0)))))</f>
        <v>0</v>
      </c>
      <c r="AQ25" s="27" t="n">
        <f aca="false">IF(COUNT('Feijão 1ª safra'!$E23:$Z23)=0,0,MAX(0,IF((AQ$6-$E$3)&lt;1,0,IFERROR(LOOKUP(2,1/('Feijão 1ª safra'!$E23:INDEX('Feijão 1ª safra'!$E23:$Z23,MIN(AQ$6-$E$3,22))&lt;&gt;""),'Feijão 1ª safra'!$E23:INDEX('Feijão 1ª safra'!$E23:$Z23,MIN(AQ$6-$E$3,22))),0))-IF($G$2,0,IF((AQ$6-$G$3)&lt;1,0,IFERROR(LOOKUP(2,1/('Feijão 1ª safra'!$E23:INDEX('Feijão 1ª safra'!$E23:$Z23,MIN(AQ$6-$G$3,22))&lt;&gt;""),'Feijão 1ª safra'!$E23:INDEX('Feijão 1ª safra'!$E23:$Z23,MIN(AQ$6-$G$3,22))),0)))))</f>
        <v>0</v>
      </c>
      <c r="AR25" s="27" t="n">
        <f aca="false">IF(COUNT('Feijão 1ª safra'!$E23:$Z23)=0,0,MAX(0,IF((AR$6-$E$3)&lt;1,0,IFERROR(LOOKUP(2,1/('Feijão 1ª safra'!$E23:INDEX('Feijão 1ª safra'!$E23:$Z23,MIN(AR$6-$E$3,22))&lt;&gt;""),'Feijão 1ª safra'!$E23:INDEX('Feijão 1ª safra'!$E23:$Z23,MIN(AR$6-$E$3,22))),0))-IF($G$2,0,IF((AR$6-$G$3)&lt;1,0,IFERROR(LOOKUP(2,1/('Feijão 1ª safra'!$E23:INDEX('Feijão 1ª safra'!$E23:$Z23,MIN(AR$6-$G$3,22))&lt;&gt;""),'Feijão 1ª safra'!$E23:INDEX('Feijão 1ª safra'!$E23:$Z23,MIN(AR$6-$G$3,22))),0)))))</f>
        <v>0</v>
      </c>
      <c r="AS25" s="27" t="n">
        <f aca="false">IF(COUNT('Feijão 1ª safra'!$E23:$Z23)=0,0,MAX(0,IF((AS$6-$E$3)&lt;1,0,IFERROR(LOOKUP(2,1/('Feijão 1ª safra'!$E23:INDEX('Feijão 1ª safra'!$E23:$Z23,MIN(AS$6-$E$3,22))&lt;&gt;""),'Feijão 1ª safra'!$E23:INDEX('Feijão 1ª safra'!$E23:$Z23,MIN(AS$6-$E$3,22))),0))-IF($G$2,0,IF((AS$6-$G$3)&lt;1,0,IFERROR(LOOKUP(2,1/('Feijão 1ª safra'!$E23:INDEX('Feijão 1ª safra'!$E23:$Z23,MIN(AS$6-$G$3,22))&lt;&gt;""),'Feijão 1ª safra'!$E23:INDEX('Feijão 1ª safra'!$E23:$Z23,MIN(AS$6-$G$3,22))),0)))))</f>
        <v>0</v>
      </c>
      <c r="AT25" s="27" t="n">
        <f aca="false">IF(COUNT('Feijão 1ª safra'!$E23:$Z23)=0,0,MAX(0,IF((AT$6-$E$3)&lt;1,0,IFERROR(LOOKUP(2,1/('Feijão 1ª safra'!$E23:INDEX('Feijão 1ª safra'!$E23:$Z23,MIN(AT$6-$E$3,22))&lt;&gt;""),'Feijão 1ª safra'!$E23:INDEX('Feijão 1ª safra'!$E23:$Z23,MIN(AT$6-$E$3,22))),0))-IF($G$2,0,IF((AT$6-$G$3)&lt;1,0,IFERROR(LOOKUP(2,1/('Feijão 1ª safra'!$E23:INDEX('Feijão 1ª safra'!$E23:$Z23,MIN(AT$6-$G$3,22))&lt;&gt;""),'Feijão 1ª safra'!$E23:INDEX('Feijão 1ª safra'!$E23:$Z23,MIN(AT$6-$G$3,22))),0)))))</f>
        <v>0</v>
      </c>
      <c r="AU25" s="27" t="n">
        <f aca="false">IF(COUNT('Feijão 1ª safra'!$E23:$Z23)=0,0,MAX(0,IF((AU$6-$E$3)&lt;1,0,IFERROR(LOOKUP(2,1/('Feijão 1ª safra'!$E23:INDEX('Feijão 1ª safra'!$E23:$Z23,MIN(AU$6-$E$3,22))&lt;&gt;""),'Feijão 1ª safra'!$E23:INDEX('Feijão 1ª safra'!$E23:$Z23,MIN(AU$6-$E$3,22))),0))-IF($G$2,0,IF((AU$6-$G$3)&lt;1,0,IFERROR(LOOKUP(2,1/('Feijão 1ª safra'!$E23:INDEX('Feijão 1ª safra'!$E23:$Z23,MIN(AU$6-$G$3,22))&lt;&gt;""),'Feijão 1ª safra'!$E23:INDEX('Feijão 1ª safra'!$E23:$Z23,MIN(AU$6-$G$3,22))),0)))))</f>
        <v>0</v>
      </c>
      <c r="AV25" s="27" t="n">
        <f aca="false">IF(COUNT('Feijão 1ª safra'!$E23:$Z23)=0,0,MAX(0,IF((AV$6-$E$3)&lt;1,0,IFERROR(LOOKUP(2,1/('Feijão 1ª safra'!$E23:INDEX('Feijão 1ª safra'!$E23:$Z23,MIN(AV$6-$E$3,22))&lt;&gt;""),'Feijão 1ª safra'!$E23:INDEX('Feijão 1ª safra'!$E23:$Z23,MIN(AV$6-$E$3,22))),0))-IF($G$2,0,IF((AV$6-$G$3)&lt;1,0,IFERROR(LOOKUP(2,1/('Feijão 1ª safra'!$E23:INDEX('Feijão 1ª safra'!$E23:$Z23,MIN(AV$6-$G$3,22))&lt;&gt;""),'Feijão 1ª safra'!$E23:INDEX('Feijão 1ª safra'!$E23:$Z23,MIN(AV$6-$G$3,22))),0)))))</f>
        <v>0</v>
      </c>
      <c r="AW25" s="27" t="n">
        <f aca="false">IF(COUNT('Feijão 1ª safra'!$E23:$Z23)=0,0,MAX(0,IF((AW$6-$E$3)&lt;1,0,IFERROR(LOOKUP(2,1/('Feijão 1ª safra'!$E23:INDEX('Feijão 1ª safra'!$E23:$Z23,MIN(AW$6-$E$3,22))&lt;&gt;""),'Feijão 1ª safra'!$E23:INDEX('Feijão 1ª safra'!$E23:$Z23,MIN(AW$6-$E$3,22))),0))-IF($G$2,0,IF((AW$6-$G$3)&lt;1,0,IFERROR(LOOKUP(2,1/('Feijão 1ª safra'!$E23:INDEX('Feijão 1ª safra'!$E23:$Z23,MIN(AW$6-$G$3,22))&lt;&gt;""),'Feijão 1ª safra'!$E23:INDEX('Feijão 1ª safra'!$E23:$Z23,MIN(AW$6-$G$3,22))),0)))))</f>
        <v>0</v>
      </c>
      <c r="AX25" s="27" t="n">
        <f aca="false">IF(COUNT('Feijão 1ª safra'!$E23:$Z23)=0,0,MAX(0,IF((AX$6-$E$3)&lt;1,0,IFERROR(LOOKUP(2,1/('Feijão 1ª safra'!$E23:INDEX('Feijão 1ª safra'!$E23:$Z23,MIN(AX$6-$E$3,22))&lt;&gt;""),'Feijão 1ª safra'!$E23:INDEX('Feijão 1ª safra'!$E23:$Z23,MIN(AX$6-$E$3,22))),0))-IF($G$2,0,IF((AX$6-$G$3)&lt;1,0,IFERROR(LOOKUP(2,1/('Feijão 1ª safra'!$E23:INDEX('Feijão 1ª safra'!$E23:$Z23,MIN(AX$6-$G$3,22))&lt;&gt;""),'Feijão 1ª safra'!$E23:INDEX('Feijão 1ª safra'!$E23:$Z23,MIN(AX$6-$G$3,22))),0)))))</f>
        <v>0</v>
      </c>
      <c r="AY25" s="27" t="n">
        <f aca="false">IF(COUNT('Feijão 1ª safra'!$E23:$Z23)=0,0,MAX(0,IF((AY$6-$E$3)&lt;1,0,IFERROR(LOOKUP(2,1/('Feijão 1ª safra'!$E23:INDEX('Feijão 1ª safra'!$E23:$Z23,MIN(AY$6-$E$3,22))&lt;&gt;""),'Feijão 1ª safra'!$E23:INDEX('Feijão 1ª safra'!$E23:$Z23,MIN(AY$6-$E$3,22))),0))-IF($G$2,0,IF((AY$6-$G$3)&lt;1,0,IFERROR(LOOKUP(2,1/('Feijão 1ª safra'!$E23:INDEX('Feijão 1ª safra'!$E23:$Z23,MIN(AY$6-$G$3,22))&lt;&gt;""),'Feijão 1ª safra'!$E23:INDEX('Feijão 1ª safra'!$E23:$Z23,MIN(AY$6-$G$3,22))),0)))))</f>
        <v>0</v>
      </c>
      <c r="AZ25" s="27" t="n">
        <f aca="false">IF(COUNT('Feijão 1ª safra'!$E23:$Z23)=0,0,MAX(0,IF((AZ$6-$E$3)&lt;1,0,IFERROR(LOOKUP(2,1/('Feijão 1ª safra'!$E23:INDEX('Feijão 1ª safra'!$E23:$Z23,MIN(AZ$6-$E$3,22))&lt;&gt;""),'Feijão 1ª safra'!$E23:INDEX('Feijão 1ª safra'!$E23:$Z23,MIN(AZ$6-$E$3,22))),0))-IF($G$2,0,IF((AZ$6-$G$3)&lt;1,0,IFERROR(LOOKUP(2,1/('Feijão 1ª safra'!$E23:INDEX('Feijão 1ª safra'!$E23:$Z23,MIN(AZ$6-$G$3,22))&lt;&gt;""),'Feijão 1ª safra'!$E23:INDEX('Feijão 1ª safra'!$E23:$Z23,MIN(AZ$6-$G$3,22))),0)))))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IF(COUNT('Feijão 1ª safra'!$E24:$Z24)&gt;0,N('Feijão 1ª safra'!$D24),0)</f>
        <v>0</v>
      </c>
      <c r="E26" s="27" t="n">
        <f aca="false">IF(COUNT('Feijão 1ª safra'!$E24:$Z24)=0,0,MAX(0,IF((E$6-$E$3)&lt;1,0,IFERROR(LOOKUP(2,1/('Feijão 1ª safra'!$E24:INDEX('Feijão 1ª safra'!$E24:$Z24,MIN(E$6-$E$3,22))&lt;&gt;""),'Feijão 1ª safra'!$E24:INDEX('Feijão 1ª safra'!$E24:$Z24,MIN(E$6-$E$3,22))),0))-IF($G$2,0,IF((E$6-$G$3)&lt;1,0,IFERROR(LOOKUP(2,1/('Feijão 1ª safra'!$E24:INDEX('Feijão 1ª safra'!$E24:$Z24,MIN(E$6-$G$3,22))&lt;&gt;""),'Feijão 1ª safra'!$E24:INDEX('Feijão 1ª safra'!$E24:$Z24,MIN(E$6-$G$3,22))),0)))))</f>
        <v>0</v>
      </c>
      <c r="F26" s="27" t="n">
        <f aca="false">IF(COUNT('Feijão 1ª safra'!$E24:$Z24)=0,0,MAX(0,IF((F$6-$E$3)&lt;1,0,IFERROR(LOOKUP(2,1/('Feijão 1ª safra'!$E24:INDEX('Feijão 1ª safra'!$E24:$Z24,MIN(F$6-$E$3,22))&lt;&gt;""),'Feijão 1ª safra'!$E24:INDEX('Feijão 1ª safra'!$E24:$Z24,MIN(F$6-$E$3,22))),0))-IF($G$2,0,IF((F$6-$G$3)&lt;1,0,IFERROR(LOOKUP(2,1/('Feijão 1ª safra'!$E24:INDEX('Feijão 1ª safra'!$E24:$Z24,MIN(F$6-$G$3,22))&lt;&gt;""),'Feijão 1ª safra'!$E24:INDEX('Feijão 1ª safra'!$E24:$Z24,MIN(F$6-$G$3,22))),0)))))</f>
        <v>0</v>
      </c>
      <c r="G26" s="27" t="n">
        <f aca="false">IF(COUNT('Feijão 1ª safra'!$E24:$Z24)=0,0,MAX(0,IF((G$6-$E$3)&lt;1,0,IFERROR(LOOKUP(2,1/('Feijão 1ª safra'!$E24:INDEX('Feijão 1ª safra'!$E24:$Z24,MIN(G$6-$E$3,22))&lt;&gt;""),'Feijão 1ª safra'!$E24:INDEX('Feijão 1ª safra'!$E24:$Z24,MIN(G$6-$E$3,22))),0))-IF($G$2,0,IF((G$6-$G$3)&lt;1,0,IFERROR(LOOKUP(2,1/('Feijão 1ª safra'!$E24:INDEX('Feijão 1ª safra'!$E24:$Z24,MIN(G$6-$G$3,22))&lt;&gt;""),'Feijão 1ª safra'!$E24:INDEX('Feijão 1ª safra'!$E24:$Z24,MIN(G$6-$G$3,22))),0)))))</f>
        <v>0</v>
      </c>
      <c r="H26" s="27" t="n">
        <f aca="false">IF(COUNT('Feijão 1ª safra'!$E24:$Z24)=0,0,MAX(0,IF((H$6-$E$3)&lt;1,0,IFERROR(LOOKUP(2,1/('Feijão 1ª safra'!$E24:INDEX('Feijão 1ª safra'!$E24:$Z24,MIN(H$6-$E$3,22))&lt;&gt;""),'Feijão 1ª safra'!$E24:INDEX('Feijão 1ª safra'!$E24:$Z24,MIN(H$6-$E$3,22))),0))-IF($G$2,0,IF((H$6-$G$3)&lt;1,0,IFERROR(LOOKUP(2,1/('Feijão 1ª safra'!$E24:INDEX('Feijão 1ª safra'!$E24:$Z24,MIN(H$6-$G$3,22))&lt;&gt;""),'Feijão 1ª safra'!$E24:INDEX('Feijão 1ª safra'!$E24:$Z24,MIN(H$6-$G$3,22))),0)))))</f>
        <v>0</v>
      </c>
      <c r="I26" s="27" t="n">
        <f aca="false">IF(COUNT('Feijão 1ª safra'!$E24:$Z24)=0,0,MAX(0,IF((I$6-$E$3)&lt;1,0,IFERROR(LOOKUP(2,1/('Feijão 1ª safra'!$E24:INDEX('Feijão 1ª safra'!$E24:$Z24,MIN(I$6-$E$3,22))&lt;&gt;""),'Feijão 1ª safra'!$E24:INDEX('Feijão 1ª safra'!$E24:$Z24,MIN(I$6-$E$3,22))),0))-IF($G$2,0,IF((I$6-$G$3)&lt;1,0,IFERROR(LOOKUP(2,1/('Feijão 1ª safra'!$E24:INDEX('Feijão 1ª safra'!$E24:$Z24,MIN(I$6-$G$3,22))&lt;&gt;""),'Feijão 1ª safra'!$E24:INDEX('Feijão 1ª safra'!$E24:$Z24,MIN(I$6-$G$3,22))),0)))))</f>
        <v>0</v>
      </c>
      <c r="J26" s="27" t="n">
        <f aca="false">IF(COUNT('Feijão 1ª safra'!$E24:$Z24)=0,0,MAX(0,IF((J$6-$E$3)&lt;1,0,IFERROR(LOOKUP(2,1/('Feijão 1ª safra'!$E24:INDEX('Feijão 1ª safra'!$E24:$Z24,MIN(J$6-$E$3,22))&lt;&gt;""),'Feijão 1ª safra'!$E24:INDEX('Feijão 1ª safra'!$E24:$Z24,MIN(J$6-$E$3,22))),0))-IF($G$2,0,IF((J$6-$G$3)&lt;1,0,IFERROR(LOOKUP(2,1/('Feijão 1ª safra'!$E24:INDEX('Feijão 1ª safra'!$E24:$Z24,MIN(J$6-$G$3,22))&lt;&gt;""),'Feijão 1ª safra'!$E24:INDEX('Feijão 1ª safra'!$E24:$Z24,MIN(J$6-$G$3,22))),0)))))</f>
        <v>0</v>
      </c>
      <c r="K26" s="27" t="n">
        <f aca="false">IF(COUNT('Feijão 1ª safra'!$E24:$Z24)=0,0,MAX(0,IF((K$6-$E$3)&lt;1,0,IFERROR(LOOKUP(2,1/('Feijão 1ª safra'!$E24:INDEX('Feijão 1ª safra'!$E24:$Z24,MIN(K$6-$E$3,22))&lt;&gt;""),'Feijão 1ª safra'!$E24:INDEX('Feijão 1ª safra'!$E24:$Z24,MIN(K$6-$E$3,22))),0))-IF($G$2,0,IF((K$6-$G$3)&lt;1,0,IFERROR(LOOKUP(2,1/('Feijão 1ª safra'!$E24:INDEX('Feijão 1ª safra'!$E24:$Z24,MIN(K$6-$G$3,22))&lt;&gt;""),'Feijão 1ª safra'!$E24:INDEX('Feijão 1ª safra'!$E24:$Z24,MIN(K$6-$G$3,22))),0)))))</f>
        <v>0</v>
      </c>
      <c r="L26" s="27" t="n">
        <f aca="false">IF(COUNT('Feijão 1ª safra'!$E24:$Z24)=0,0,MAX(0,IF((L$6-$E$3)&lt;1,0,IFERROR(LOOKUP(2,1/('Feijão 1ª safra'!$E24:INDEX('Feijão 1ª safra'!$E24:$Z24,MIN(L$6-$E$3,22))&lt;&gt;""),'Feijão 1ª safra'!$E24:INDEX('Feijão 1ª safra'!$E24:$Z24,MIN(L$6-$E$3,22))),0))-IF($G$2,0,IF((L$6-$G$3)&lt;1,0,IFERROR(LOOKUP(2,1/('Feijão 1ª safra'!$E24:INDEX('Feijão 1ª safra'!$E24:$Z24,MIN(L$6-$G$3,22))&lt;&gt;""),'Feijão 1ª safra'!$E24:INDEX('Feijão 1ª safra'!$E24:$Z24,MIN(L$6-$G$3,22))),0)))))</f>
        <v>0</v>
      </c>
      <c r="M26" s="27" t="n">
        <f aca="false">IF(COUNT('Feijão 1ª safra'!$E24:$Z24)=0,0,MAX(0,IF((M$6-$E$3)&lt;1,0,IFERROR(LOOKUP(2,1/('Feijão 1ª safra'!$E24:INDEX('Feijão 1ª safra'!$E24:$Z24,MIN(M$6-$E$3,22))&lt;&gt;""),'Feijão 1ª safra'!$E24:INDEX('Feijão 1ª safra'!$E24:$Z24,MIN(M$6-$E$3,22))),0))-IF($G$2,0,IF((M$6-$G$3)&lt;1,0,IFERROR(LOOKUP(2,1/('Feijão 1ª safra'!$E24:INDEX('Feijão 1ª safra'!$E24:$Z24,MIN(M$6-$G$3,22))&lt;&gt;""),'Feijão 1ª safra'!$E24:INDEX('Feijão 1ª safra'!$E24:$Z24,MIN(M$6-$G$3,22))),0)))))</f>
        <v>0</v>
      </c>
      <c r="N26" s="27" t="n">
        <f aca="false">IF(COUNT('Feijão 1ª safra'!$E24:$Z24)=0,0,MAX(0,IF((N$6-$E$3)&lt;1,0,IFERROR(LOOKUP(2,1/('Feijão 1ª safra'!$E24:INDEX('Feijão 1ª safra'!$E24:$Z24,MIN(N$6-$E$3,22))&lt;&gt;""),'Feijão 1ª safra'!$E24:INDEX('Feijão 1ª safra'!$E24:$Z24,MIN(N$6-$E$3,22))),0))-IF($G$2,0,IF((N$6-$G$3)&lt;1,0,IFERROR(LOOKUP(2,1/('Feijão 1ª safra'!$E24:INDEX('Feijão 1ª safra'!$E24:$Z24,MIN(N$6-$G$3,22))&lt;&gt;""),'Feijão 1ª safra'!$E24:INDEX('Feijão 1ª safra'!$E24:$Z24,MIN(N$6-$G$3,22))),0)))))</f>
        <v>0</v>
      </c>
      <c r="O26" s="27" t="n">
        <f aca="false">IF(COUNT('Feijão 1ª safra'!$E24:$Z24)=0,0,MAX(0,IF((O$6-$E$3)&lt;1,0,IFERROR(LOOKUP(2,1/('Feijão 1ª safra'!$E24:INDEX('Feijão 1ª safra'!$E24:$Z24,MIN(O$6-$E$3,22))&lt;&gt;""),'Feijão 1ª safra'!$E24:INDEX('Feijão 1ª safra'!$E24:$Z24,MIN(O$6-$E$3,22))),0))-IF($G$2,0,IF((O$6-$G$3)&lt;1,0,IFERROR(LOOKUP(2,1/('Feijão 1ª safra'!$E24:INDEX('Feijão 1ª safra'!$E24:$Z24,MIN(O$6-$G$3,22))&lt;&gt;""),'Feijão 1ª safra'!$E24:INDEX('Feijão 1ª safra'!$E24:$Z24,MIN(O$6-$G$3,22))),0)))))</f>
        <v>0</v>
      </c>
      <c r="P26" s="27" t="n">
        <f aca="false">IF(COUNT('Feijão 1ª safra'!$E24:$Z24)=0,0,MAX(0,IF((P$6-$E$3)&lt;1,0,IFERROR(LOOKUP(2,1/('Feijão 1ª safra'!$E24:INDEX('Feijão 1ª safra'!$E24:$Z24,MIN(P$6-$E$3,22))&lt;&gt;""),'Feijão 1ª safra'!$E24:INDEX('Feijão 1ª safra'!$E24:$Z24,MIN(P$6-$E$3,22))),0))-IF($G$2,0,IF((P$6-$G$3)&lt;1,0,IFERROR(LOOKUP(2,1/('Feijão 1ª safra'!$E24:INDEX('Feijão 1ª safra'!$E24:$Z24,MIN(P$6-$G$3,22))&lt;&gt;""),'Feijão 1ª safra'!$E24:INDEX('Feijão 1ª safra'!$E24:$Z24,MIN(P$6-$G$3,22))),0)))))</f>
        <v>0</v>
      </c>
      <c r="Q26" s="27" t="n">
        <f aca="false">IF(COUNT('Feijão 1ª safra'!$E24:$Z24)=0,0,MAX(0,IF((Q$6-$E$3)&lt;1,0,IFERROR(LOOKUP(2,1/('Feijão 1ª safra'!$E24:INDEX('Feijão 1ª safra'!$E24:$Z24,MIN(Q$6-$E$3,22))&lt;&gt;""),'Feijão 1ª safra'!$E24:INDEX('Feijão 1ª safra'!$E24:$Z24,MIN(Q$6-$E$3,22))),0))-IF($G$2,0,IF((Q$6-$G$3)&lt;1,0,IFERROR(LOOKUP(2,1/('Feijão 1ª safra'!$E24:INDEX('Feijão 1ª safra'!$E24:$Z24,MIN(Q$6-$G$3,22))&lt;&gt;""),'Feijão 1ª safra'!$E24:INDEX('Feijão 1ª safra'!$E24:$Z24,MIN(Q$6-$G$3,22))),0)))))</f>
        <v>0</v>
      </c>
      <c r="R26" s="27" t="n">
        <f aca="false">IF(COUNT('Feijão 1ª safra'!$E24:$Z24)=0,0,MAX(0,IF((R$6-$E$3)&lt;1,0,IFERROR(LOOKUP(2,1/('Feijão 1ª safra'!$E24:INDEX('Feijão 1ª safra'!$E24:$Z24,MIN(R$6-$E$3,22))&lt;&gt;""),'Feijão 1ª safra'!$E24:INDEX('Feijão 1ª safra'!$E24:$Z24,MIN(R$6-$E$3,22))),0))-IF($G$2,0,IF((R$6-$G$3)&lt;1,0,IFERROR(LOOKUP(2,1/('Feijão 1ª safra'!$E24:INDEX('Feijão 1ª safra'!$E24:$Z24,MIN(R$6-$G$3,22))&lt;&gt;""),'Feijão 1ª safra'!$E24:INDEX('Feijão 1ª safra'!$E24:$Z24,MIN(R$6-$G$3,22))),0)))))</f>
        <v>0</v>
      </c>
      <c r="S26" s="27" t="n">
        <f aca="false">IF(COUNT('Feijão 1ª safra'!$E24:$Z24)=0,0,MAX(0,IF((S$6-$E$3)&lt;1,0,IFERROR(LOOKUP(2,1/('Feijão 1ª safra'!$E24:INDEX('Feijão 1ª safra'!$E24:$Z24,MIN(S$6-$E$3,22))&lt;&gt;""),'Feijão 1ª safra'!$E24:INDEX('Feijão 1ª safra'!$E24:$Z24,MIN(S$6-$E$3,22))),0))-IF($G$2,0,IF((S$6-$G$3)&lt;1,0,IFERROR(LOOKUP(2,1/('Feijão 1ª safra'!$E24:INDEX('Feijão 1ª safra'!$E24:$Z24,MIN(S$6-$G$3,22))&lt;&gt;""),'Feijão 1ª safra'!$E24:INDEX('Feijão 1ª safra'!$E24:$Z24,MIN(S$6-$G$3,22))),0)))))</f>
        <v>0</v>
      </c>
      <c r="T26" s="27" t="n">
        <f aca="false">IF(COUNT('Feijão 1ª safra'!$E24:$Z24)=0,0,MAX(0,IF((T$6-$E$3)&lt;1,0,IFERROR(LOOKUP(2,1/('Feijão 1ª safra'!$E24:INDEX('Feijão 1ª safra'!$E24:$Z24,MIN(T$6-$E$3,22))&lt;&gt;""),'Feijão 1ª safra'!$E24:INDEX('Feijão 1ª safra'!$E24:$Z24,MIN(T$6-$E$3,22))),0))-IF($G$2,0,IF((T$6-$G$3)&lt;1,0,IFERROR(LOOKUP(2,1/('Feijão 1ª safra'!$E24:INDEX('Feijão 1ª safra'!$E24:$Z24,MIN(T$6-$G$3,22))&lt;&gt;""),'Feijão 1ª safra'!$E24:INDEX('Feijão 1ª safra'!$E24:$Z24,MIN(T$6-$G$3,22))),0)))))</f>
        <v>0</v>
      </c>
      <c r="U26" s="27" t="n">
        <f aca="false">IF(COUNT('Feijão 1ª safra'!$E24:$Z24)=0,0,MAX(0,IF((U$6-$E$3)&lt;1,0,IFERROR(LOOKUP(2,1/('Feijão 1ª safra'!$E24:INDEX('Feijão 1ª safra'!$E24:$Z24,MIN(U$6-$E$3,22))&lt;&gt;""),'Feijão 1ª safra'!$E24:INDEX('Feijão 1ª safra'!$E24:$Z24,MIN(U$6-$E$3,22))),0))-IF($G$2,0,IF((U$6-$G$3)&lt;1,0,IFERROR(LOOKUP(2,1/('Feijão 1ª safra'!$E24:INDEX('Feijão 1ª safra'!$E24:$Z24,MIN(U$6-$G$3,22))&lt;&gt;""),'Feijão 1ª safra'!$E24:INDEX('Feijão 1ª safra'!$E24:$Z24,MIN(U$6-$G$3,22))),0)))))</f>
        <v>0</v>
      </c>
      <c r="V26" s="27" t="n">
        <f aca="false">IF(COUNT('Feijão 1ª safra'!$E24:$Z24)=0,0,MAX(0,IF((V$6-$E$3)&lt;1,0,IFERROR(LOOKUP(2,1/('Feijão 1ª safra'!$E24:INDEX('Feijão 1ª safra'!$E24:$Z24,MIN(V$6-$E$3,22))&lt;&gt;""),'Feijão 1ª safra'!$E24:INDEX('Feijão 1ª safra'!$E24:$Z24,MIN(V$6-$E$3,22))),0))-IF($G$2,0,IF((V$6-$G$3)&lt;1,0,IFERROR(LOOKUP(2,1/('Feijão 1ª safra'!$E24:INDEX('Feijão 1ª safra'!$E24:$Z24,MIN(V$6-$G$3,22))&lt;&gt;""),'Feijão 1ª safra'!$E24:INDEX('Feijão 1ª safra'!$E24:$Z24,MIN(V$6-$G$3,22))),0)))))</f>
        <v>0</v>
      </c>
      <c r="W26" s="27" t="n">
        <f aca="false">IF(COUNT('Feijão 1ª safra'!$E24:$Z24)=0,0,MAX(0,IF((W$6-$E$3)&lt;1,0,IFERROR(LOOKUP(2,1/('Feijão 1ª safra'!$E24:INDEX('Feijão 1ª safra'!$E24:$Z24,MIN(W$6-$E$3,22))&lt;&gt;""),'Feijão 1ª safra'!$E24:INDEX('Feijão 1ª safra'!$E24:$Z24,MIN(W$6-$E$3,22))),0))-IF($G$2,0,IF((W$6-$G$3)&lt;1,0,IFERROR(LOOKUP(2,1/('Feijão 1ª safra'!$E24:INDEX('Feijão 1ª safra'!$E24:$Z24,MIN(W$6-$G$3,22))&lt;&gt;""),'Feijão 1ª safra'!$E24:INDEX('Feijão 1ª safra'!$E24:$Z24,MIN(W$6-$G$3,22))),0)))))</f>
        <v>0</v>
      </c>
      <c r="X26" s="27" t="n">
        <f aca="false">IF(COUNT('Feijão 1ª safra'!$E24:$Z24)=0,0,MAX(0,IF((X$6-$E$3)&lt;1,0,IFERROR(LOOKUP(2,1/('Feijão 1ª safra'!$E24:INDEX('Feijão 1ª safra'!$E24:$Z24,MIN(X$6-$E$3,22))&lt;&gt;""),'Feijão 1ª safra'!$E24:INDEX('Feijão 1ª safra'!$E24:$Z24,MIN(X$6-$E$3,22))),0))-IF($G$2,0,IF((X$6-$G$3)&lt;1,0,IFERROR(LOOKUP(2,1/('Feijão 1ª safra'!$E24:INDEX('Feijão 1ª safra'!$E24:$Z24,MIN(X$6-$G$3,22))&lt;&gt;""),'Feijão 1ª safra'!$E24:INDEX('Feijão 1ª safra'!$E24:$Z24,MIN(X$6-$G$3,22))),0)))))</f>
        <v>0</v>
      </c>
      <c r="Y26" s="27" t="n">
        <f aca="false">IF(COUNT('Feijão 1ª safra'!$E24:$Z24)=0,0,MAX(0,IF((Y$6-$E$3)&lt;1,0,IFERROR(LOOKUP(2,1/('Feijão 1ª safra'!$E24:INDEX('Feijão 1ª safra'!$E24:$Z24,MIN(Y$6-$E$3,22))&lt;&gt;""),'Feijão 1ª safra'!$E24:INDEX('Feijão 1ª safra'!$E24:$Z24,MIN(Y$6-$E$3,22))),0))-IF($G$2,0,IF((Y$6-$G$3)&lt;1,0,IFERROR(LOOKUP(2,1/('Feijão 1ª safra'!$E24:INDEX('Feijão 1ª safra'!$E24:$Z24,MIN(Y$6-$G$3,22))&lt;&gt;""),'Feijão 1ª safra'!$E24:INDEX('Feijão 1ª safra'!$E24:$Z24,MIN(Y$6-$G$3,22))),0)))))</f>
        <v>0</v>
      </c>
      <c r="Z26" s="27" t="n">
        <f aca="false">IF(COUNT('Feijão 1ª safra'!$E24:$Z24)=0,0,MAX(0,IF((Z$6-$E$3)&lt;1,0,IFERROR(LOOKUP(2,1/('Feijão 1ª safra'!$E24:INDEX('Feijão 1ª safra'!$E24:$Z24,MIN(Z$6-$E$3,22))&lt;&gt;""),'Feijão 1ª safra'!$E24:INDEX('Feijão 1ª safra'!$E24:$Z24,MIN(Z$6-$E$3,22))),0))-IF($G$2,0,IF((Z$6-$G$3)&lt;1,0,IFERROR(LOOKUP(2,1/('Feijão 1ª safra'!$E24:INDEX('Feijão 1ª safra'!$E24:$Z24,MIN(Z$6-$G$3,22))&lt;&gt;""),'Feijão 1ª safra'!$E24:INDEX('Feijão 1ª safra'!$E24:$Z24,MIN(Z$6-$G$3,22))),0)))))</f>
        <v>0</v>
      </c>
      <c r="AA26" s="27" t="n">
        <f aca="false">IF(COUNT('Feijão 1ª safra'!$E24:$Z24)=0,0,MAX(0,IF((AA$6-$E$3)&lt;1,0,IFERROR(LOOKUP(2,1/('Feijão 1ª safra'!$E24:INDEX('Feijão 1ª safra'!$E24:$Z24,MIN(AA$6-$E$3,22))&lt;&gt;""),'Feijão 1ª safra'!$E24:INDEX('Feijão 1ª safra'!$E24:$Z24,MIN(AA$6-$E$3,22))),0))-IF($G$2,0,IF((AA$6-$G$3)&lt;1,0,IFERROR(LOOKUP(2,1/('Feijão 1ª safra'!$E24:INDEX('Feijão 1ª safra'!$E24:$Z24,MIN(AA$6-$G$3,22))&lt;&gt;""),'Feijão 1ª safra'!$E24:INDEX('Feijão 1ª safra'!$E24:$Z24,MIN(AA$6-$G$3,22))),0)))))</f>
        <v>0</v>
      </c>
      <c r="AB26" s="27" t="n">
        <f aca="false">IF(COUNT('Feijão 1ª safra'!$E24:$Z24)=0,0,MAX(0,IF((AB$6-$E$3)&lt;1,0,IFERROR(LOOKUP(2,1/('Feijão 1ª safra'!$E24:INDEX('Feijão 1ª safra'!$E24:$Z24,MIN(AB$6-$E$3,22))&lt;&gt;""),'Feijão 1ª safra'!$E24:INDEX('Feijão 1ª safra'!$E24:$Z24,MIN(AB$6-$E$3,22))),0))-IF($G$2,0,IF((AB$6-$G$3)&lt;1,0,IFERROR(LOOKUP(2,1/('Feijão 1ª safra'!$E24:INDEX('Feijão 1ª safra'!$E24:$Z24,MIN(AB$6-$G$3,22))&lt;&gt;""),'Feijão 1ª safra'!$E24:INDEX('Feijão 1ª safra'!$E24:$Z24,MIN(AB$6-$G$3,22))),0)))))</f>
        <v>0</v>
      </c>
      <c r="AC26" s="27" t="n">
        <f aca="false">IF(COUNT('Feijão 1ª safra'!$E24:$Z24)=0,0,MAX(0,IF((AC$6-$E$3)&lt;1,0,IFERROR(LOOKUP(2,1/('Feijão 1ª safra'!$E24:INDEX('Feijão 1ª safra'!$E24:$Z24,MIN(AC$6-$E$3,22))&lt;&gt;""),'Feijão 1ª safra'!$E24:INDEX('Feijão 1ª safra'!$E24:$Z24,MIN(AC$6-$E$3,22))),0))-IF($G$2,0,IF((AC$6-$G$3)&lt;1,0,IFERROR(LOOKUP(2,1/('Feijão 1ª safra'!$E24:INDEX('Feijão 1ª safra'!$E24:$Z24,MIN(AC$6-$G$3,22))&lt;&gt;""),'Feijão 1ª safra'!$E24:INDEX('Feijão 1ª safra'!$E24:$Z24,MIN(AC$6-$G$3,22))),0)))))</f>
        <v>0</v>
      </c>
      <c r="AD26" s="27" t="n">
        <f aca="false">IF(COUNT('Feijão 1ª safra'!$E24:$Z24)=0,0,MAX(0,IF((AD$6-$E$3)&lt;1,0,IFERROR(LOOKUP(2,1/('Feijão 1ª safra'!$E24:INDEX('Feijão 1ª safra'!$E24:$Z24,MIN(AD$6-$E$3,22))&lt;&gt;""),'Feijão 1ª safra'!$E24:INDEX('Feijão 1ª safra'!$E24:$Z24,MIN(AD$6-$E$3,22))),0))-IF($G$2,0,IF((AD$6-$G$3)&lt;1,0,IFERROR(LOOKUP(2,1/('Feijão 1ª safra'!$E24:INDEX('Feijão 1ª safra'!$E24:$Z24,MIN(AD$6-$G$3,22))&lt;&gt;""),'Feijão 1ª safra'!$E24:INDEX('Feijão 1ª safra'!$E24:$Z24,MIN(AD$6-$G$3,22))),0)))))</f>
        <v>0</v>
      </c>
      <c r="AE26" s="27" t="n">
        <f aca="false">IF(COUNT('Feijão 1ª safra'!$E24:$Z24)=0,0,MAX(0,IF((AE$6-$E$3)&lt;1,0,IFERROR(LOOKUP(2,1/('Feijão 1ª safra'!$E24:INDEX('Feijão 1ª safra'!$E24:$Z24,MIN(AE$6-$E$3,22))&lt;&gt;""),'Feijão 1ª safra'!$E24:INDEX('Feijão 1ª safra'!$E24:$Z24,MIN(AE$6-$E$3,22))),0))-IF($G$2,0,IF((AE$6-$G$3)&lt;1,0,IFERROR(LOOKUP(2,1/('Feijão 1ª safra'!$E24:INDEX('Feijão 1ª safra'!$E24:$Z24,MIN(AE$6-$G$3,22))&lt;&gt;""),'Feijão 1ª safra'!$E24:INDEX('Feijão 1ª safra'!$E24:$Z24,MIN(AE$6-$G$3,22))),0)))))</f>
        <v>0</v>
      </c>
      <c r="AF26" s="27" t="n">
        <f aca="false">IF(COUNT('Feijão 1ª safra'!$E24:$Z24)=0,0,MAX(0,IF((AF$6-$E$3)&lt;1,0,IFERROR(LOOKUP(2,1/('Feijão 1ª safra'!$E24:INDEX('Feijão 1ª safra'!$E24:$Z24,MIN(AF$6-$E$3,22))&lt;&gt;""),'Feijão 1ª safra'!$E24:INDEX('Feijão 1ª safra'!$E24:$Z24,MIN(AF$6-$E$3,22))),0))-IF($G$2,0,IF((AF$6-$G$3)&lt;1,0,IFERROR(LOOKUP(2,1/('Feijão 1ª safra'!$E24:INDEX('Feijão 1ª safra'!$E24:$Z24,MIN(AF$6-$G$3,22))&lt;&gt;""),'Feijão 1ª safra'!$E24:INDEX('Feijão 1ª safra'!$E24:$Z24,MIN(AF$6-$G$3,22))),0)))))</f>
        <v>0</v>
      </c>
      <c r="AG26" s="27" t="n">
        <f aca="false">IF(COUNT('Feijão 1ª safra'!$E24:$Z24)=0,0,MAX(0,IF((AG$6-$E$3)&lt;1,0,IFERROR(LOOKUP(2,1/('Feijão 1ª safra'!$E24:INDEX('Feijão 1ª safra'!$E24:$Z24,MIN(AG$6-$E$3,22))&lt;&gt;""),'Feijão 1ª safra'!$E24:INDEX('Feijão 1ª safra'!$E24:$Z24,MIN(AG$6-$E$3,22))),0))-IF($G$2,0,IF((AG$6-$G$3)&lt;1,0,IFERROR(LOOKUP(2,1/('Feijão 1ª safra'!$E24:INDEX('Feijão 1ª safra'!$E24:$Z24,MIN(AG$6-$G$3,22))&lt;&gt;""),'Feijão 1ª safra'!$E24:INDEX('Feijão 1ª safra'!$E24:$Z24,MIN(AG$6-$G$3,22))),0)))))</f>
        <v>0</v>
      </c>
      <c r="AH26" s="27" t="n">
        <f aca="false">IF(COUNT('Feijão 1ª safra'!$E24:$Z24)=0,0,MAX(0,IF((AH$6-$E$3)&lt;1,0,IFERROR(LOOKUP(2,1/('Feijão 1ª safra'!$E24:INDEX('Feijão 1ª safra'!$E24:$Z24,MIN(AH$6-$E$3,22))&lt;&gt;""),'Feijão 1ª safra'!$E24:INDEX('Feijão 1ª safra'!$E24:$Z24,MIN(AH$6-$E$3,22))),0))-IF($G$2,0,IF((AH$6-$G$3)&lt;1,0,IFERROR(LOOKUP(2,1/('Feijão 1ª safra'!$E24:INDEX('Feijão 1ª safra'!$E24:$Z24,MIN(AH$6-$G$3,22))&lt;&gt;""),'Feijão 1ª safra'!$E24:INDEX('Feijão 1ª safra'!$E24:$Z24,MIN(AH$6-$G$3,22))),0)))))</f>
        <v>0</v>
      </c>
      <c r="AI26" s="27" t="n">
        <f aca="false">IF(COUNT('Feijão 1ª safra'!$E24:$Z24)=0,0,MAX(0,IF((AI$6-$E$3)&lt;1,0,IFERROR(LOOKUP(2,1/('Feijão 1ª safra'!$E24:INDEX('Feijão 1ª safra'!$E24:$Z24,MIN(AI$6-$E$3,22))&lt;&gt;""),'Feijão 1ª safra'!$E24:INDEX('Feijão 1ª safra'!$E24:$Z24,MIN(AI$6-$E$3,22))),0))-IF($G$2,0,IF((AI$6-$G$3)&lt;1,0,IFERROR(LOOKUP(2,1/('Feijão 1ª safra'!$E24:INDEX('Feijão 1ª safra'!$E24:$Z24,MIN(AI$6-$G$3,22))&lt;&gt;""),'Feijão 1ª safra'!$E24:INDEX('Feijão 1ª safra'!$E24:$Z24,MIN(AI$6-$G$3,22))),0)))))</f>
        <v>0</v>
      </c>
      <c r="AJ26" s="27" t="n">
        <f aca="false">IF(COUNT('Feijão 1ª safra'!$E24:$Z24)=0,0,MAX(0,IF((AJ$6-$E$3)&lt;1,0,IFERROR(LOOKUP(2,1/('Feijão 1ª safra'!$E24:INDEX('Feijão 1ª safra'!$E24:$Z24,MIN(AJ$6-$E$3,22))&lt;&gt;""),'Feijão 1ª safra'!$E24:INDEX('Feijão 1ª safra'!$E24:$Z24,MIN(AJ$6-$E$3,22))),0))-IF($G$2,0,IF((AJ$6-$G$3)&lt;1,0,IFERROR(LOOKUP(2,1/('Feijão 1ª safra'!$E24:INDEX('Feijão 1ª safra'!$E24:$Z24,MIN(AJ$6-$G$3,22))&lt;&gt;""),'Feijão 1ª safra'!$E24:INDEX('Feijão 1ª safra'!$E24:$Z24,MIN(AJ$6-$G$3,22))),0)))))</f>
        <v>0</v>
      </c>
      <c r="AK26" s="27" t="n">
        <f aca="false">IF(COUNT('Feijão 1ª safra'!$E24:$Z24)=0,0,MAX(0,IF((AK$6-$E$3)&lt;1,0,IFERROR(LOOKUP(2,1/('Feijão 1ª safra'!$E24:INDEX('Feijão 1ª safra'!$E24:$Z24,MIN(AK$6-$E$3,22))&lt;&gt;""),'Feijão 1ª safra'!$E24:INDEX('Feijão 1ª safra'!$E24:$Z24,MIN(AK$6-$E$3,22))),0))-IF($G$2,0,IF((AK$6-$G$3)&lt;1,0,IFERROR(LOOKUP(2,1/('Feijão 1ª safra'!$E24:INDEX('Feijão 1ª safra'!$E24:$Z24,MIN(AK$6-$G$3,22))&lt;&gt;""),'Feijão 1ª safra'!$E24:INDEX('Feijão 1ª safra'!$E24:$Z24,MIN(AK$6-$G$3,22))),0)))))</f>
        <v>0</v>
      </c>
      <c r="AL26" s="27" t="n">
        <f aca="false">IF(COUNT('Feijão 1ª safra'!$E24:$Z24)=0,0,MAX(0,IF((AL$6-$E$3)&lt;1,0,IFERROR(LOOKUP(2,1/('Feijão 1ª safra'!$E24:INDEX('Feijão 1ª safra'!$E24:$Z24,MIN(AL$6-$E$3,22))&lt;&gt;""),'Feijão 1ª safra'!$E24:INDEX('Feijão 1ª safra'!$E24:$Z24,MIN(AL$6-$E$3,22))),0))-IF($G$2,0,IF((AL$6-$G$3)&lt;1,0,IFERROR(LOOKUP(2,1/('Feijão 1ª safra'!$E24:INDEX('Feijão 1ª safra'!$E24:$Z24,MIN(AL$6-$G$3,22))&lt;&gt;""),'Feijão 1ª safra'!$E24:INDEX('Feijão 1ª safra'!$E24:$Z24,MIN(AL$6-$G$3,22))),0)))))</f>
        <v>0</v>
      </c>
      <c r="AM26" s="27" t="n">
        <f aca="false">IF(COUNT('Feijão 1ª safra'!$E24:$Z24)=0,0,MAX(0,IF((AM$6-$E$3)&lt;1,0,IFERROR(LOOKUP(2,1/('Feijão 1ª safra'!$E24:INDEX('Feijão 1ª safra'!$E24:$Z24,MIN(AM$6-$E$3,22))&lt;&gt;""),'Feijão 1ª safra'!$E24:INDEX('Feijão 1ª safra'!$E24:$Z24,MIN(AM$6-$E$3,22))),0))-IF($G$2,0,IF((AM$6-$G$3)&lt;1,0,IFERROR(LOOKUP(2,1/('Feijão 1ª safra'!$E24:INDEX('Feijão 1ª safra'!$E24:$Z24,MIN(AM$6-$G$3,22))&lt;&gt;""),'Feijão 1ª safra'!$E24:INDEX('Feijão 1ª safra'!$E24:$Z24,MIN(AM$6-$G$3,22))),0)))))</f>
        <v>0</v>
      </c>
      <c r="AN26" s="27" t="n">
        <f aca="false">IF(COUNT('Feijão 1ª safra'!$E24:$Z24)=0,0,MAX(0,IF((AN$6-$E$3)&lt;1,0,IFERROR(LOOKUP(2,1/('Feijão 1ª safra'!$E24:INDEX('Feijão 1ª safra'!$E24:$Z24,MIN(AN$6-$E$3,22))&lt;&gt;""),'Feijão 1ª safra'!$E24:INDEX('Feijão 1ª safra'!$E24:$Z24,MIN(AN$6-$E$3,22))),0))-IF($G$2,0,IF((AN$6-$G$3)&lt;1,0,IFERROR(LOOKUP(2,1/('Feijão 1ª safra'!$E24:INDEX('Feijão 1ª safra'!$E24:$Z24,MIN(AN$6-$G$3,22))&lt;&gt;""),'Feijão 1ª safra'!$E24:INDEX('Feijão 1ª safra'!$E24:$Z24,MIN(AN$6-$G$3,22))),0)))))</f>
        <v>0</v>
      </c>
      <c r="AO26" s="27" t="n">
        <f aca="false">IF(COUNT('Feijão 1ª safra'!$E24:$Z24)=0,0,MAX(0,IF((AO$6-$E$3)&lt;1,0,IFERROR(LOOKUP(2,1/('Feijão 1ª safra'!$E24:INDEX('Feijão 1ª safra'!$E24:$Z24,MIN(AO$6-$E$3,22))&lt;&gt;""),'Feijão 1ª safra'!$E24:INDEX('Feijão 1ª safra'!$E24:$Z24,MIN(AO$6-$E$3,22))),0))-IF($G$2,0,IF((AO$6-$G$3)&lt;1,0,IFERROR(LOOKUP(2,1/('Feijão 1ª safra'!$E24:INDEX('Feijão 1ª safra'!$E24:$Z24,MIN(AO$6-$G$3,22))&lt;&gt;""),'Feijão 1ª safra'!$E24:INDEX('Feijão 1ª safra'!$E24:$Z24,MIN(AO$6-$G$3,22))),0)))))</f>
        <v>0</v>
      </c>
      <c r="AP26" s="27" t="n">
        <f aca="false">IF(COUNT('Feijão 1ª safra'!$E24:$Z24)=0,0,MAX(0,IF((AP$6-$E$3)&lt;1,0,IFERROR(LOOKUP(2,1/('Feijão 1ª safra'!$E24:INDEX('Feijão 1ª safra'!$E24:$Z24,MIN(AP$6-$E$3,22))&lt;&gt;""),'Feijão 1ª safra'!$E24:INDEX('Feijão 1ª safra'!$E24:$Z24,MIN(AP$6-$E$3,22))),0))-IF($G$2,0,IF((AP$6-$G$3)&lt;1,0,IFERROR(LOOKUP(2,1/('Feijão 1ª safra'!$E24:INDEX('Feijão 1ª safra'!$E24:$Z24,MIN(AP$6-$G$3,22))&lt;&gt;""),'Feijão 1ª safra'!$E24:INDEX('Feijão 1ª safra'!$E24:$Z24,MIN(AP$6-$G$3,22))),0)))))</f>
        <v>0</v>
      </c>
      <c r="AQ26" s="27" t="n">
        <f aca="false">IF(COUNT('Feijão 1ª safra'!$E24:$Z24)=0,0,MAX(0,IF((AQ$6-$E$3)&lt;1,0,IFERROR(LOOKUP(2,1/('Feijão 1ª safra'!$E24:INDEX('Feijão 1ª safra'!$E24:$Z24,MIN(AQ$6-$E$3,22))&lt;&gt;""),'Feijão 1ª safra'!$E24:INDEX('Feijão 1ª safra'!$E24:$Z24,MIN(AQ$6-$E$3,22))),0))-IF($G$2,0,IF((AQ$6-$G$3)&lt;1,0,IFERROR(LOOKUP(2,1/('Feijão 1ª safra'!$E24:INDEX('Feijão 1ª safra'!$E24:$Z24,MIN(AQ$6-$G$3,22))&lt;&gt;""),'Feijão 1ª safra'!$E24:INDEX('Feijão 1ª safra'!$E24:$Z24,MIN(AQ$6-$G$3,22))),0)))))</f>
        <v>0</v>
      </c>
      <c r="AR26" s="27" t="n">
        <f aca="false">IF(COUNT('Feijão 1ª safra'!$E24:$Z24)=0,0,MAX(0,IF((AR$6-$E$3)&lt;1,0,IFERROR(LOOKUP(2,1/('Feijão 1ª safra'!$E24:INDEX('Feijão 1ª safra'!$E24:$Z24,MIN(AR$6-$E$3,22))&lt;&gt;""),'Feijão 1ª safra'!$E24:INDEX('Feijão 1ª safra'!$E24:$Z24,MIN(AR$6-$E$3,22))),0))-IF($G$2,0,IF((AR$6-$G$3)&lt;1,0,IFERROR(LOOKUP(2,1/('Feijão 1ª safra'!$E24:INDEX('Feijão 1ª safra'!$E24:$Z24,MIN(AR$6-$G$3,22))&lt;&gt;""),'Feijão 1ª safra'!$E24:INDEX('Feijão 1ª safra'!$E24:$Z24,MIN(AR$6-$G$3,22))),0)))))</f>
        <v>0</v>
      </c>
      <c r="AS26" s="27" t="n">
        <f aca="false">IF(COUNT('Feijão 1ª safra'!$E24:$Z24)=0,0,MAX(0,IF((AS$6-$E$3)&lt;1,0,IFERROR(LOOKUP(2,1/('Feijão 1ª safra'!$E24:INDEX('Feijão 1ª safra'!$E24:$Z24,MIN(AS$6-$E$3,22))&lt;&gt;""),'Feijão 1ª safra'!$E24:INDEX('Feijão 1ª safra'!$E24:$Z24,MIN(AS$6-$E$3,22))),0))-IF($G$2,0,IF((AS$6-$G$3)&lt;1,0,IFERROR(LOOKUP(2,1/('Feijão 1ª safra'!$E24:INDEX('Feijão 1ª safra'!$E24:$Z24,MIN(AS$6-$G$3,22))&lt;&gt;""),'Feijão 1ª safra'!$E24:INDEX('Feijão 1ª safra'!$E24:$Z24,MIN(AS$6-$G$3,22))),0)))))</f>
        <v>0</v>
      </c>
      <c r="AT26" s="27" t="n">
        <f aca="false">IF(COUNT('Feijão 1ª safra'!$E24:$Z24)=0,0,MAX(0,IF((AT$6-$E$3)&lt;1,0,IFERROR(LOOKUP(2,1/('Feijão 1ª safra'!$E24:INDEX('Feijão 1ª safra'!$E24:$Z24,MIN(AT$6-$E$3,22))&lt;&gt;""),'Feijão 1ª safra'!$E24:INDEX('Feijão 1ª safra'!$E24:$Z24,MIN(AT$6-$E$3,22))),0))-IF($G$2,0,IF((AT$6-$G$3)&lt;1,0,IFERROR(LOOKUP(2,1/('Feijão 1ª safra'!$E24:INDEX('Feijão 1ª safra'!$E24:$Z24,MIN(AT$6-$G$3,22))&lt;&gt;""),'Feijão 1ª safra'!$E24:INDEX('Feijão 1ª safra'!$E24:$Z24,MIN(AT$6-$G$3,22))),0)))))</f>
        <v>0</v>
      </c>
      <c r="AU26" s="27" t="n">
        <f aca="false">IF(COUNT('Feijão 1ª safra'!$E24:$Z24)=0,0,MAX(0,IF((AU$6-$E$3)&lt;1,0,IFERROR(LOOKUP(2,1/('Feijão 1ª safra'!$E24:INDEX('Feijão 1ª safra'!$E24:$Z24,MIN(AU$6-$E$3,22))&lt;&gt;""),'Feijão 1ª safra'!$E24:INDEX('Feijão 1ª safra'!$E24:$Z24,MIN(AU$6-$E$3,22))),0))-IF($G$2,0,IF((AU$6-$G$3)&lt;1,0,IFERROR(LOOKUP(2,1/('Feijão 1ª safra'!$E24:INDEX('Feijão 1ª safra'!$E24:$Z24,MIN(AU$6-$G$3,22))&lt;&gt;""),'Feijão 1ª safra'!$E24:INDEX('Feijão 1ª safra'!$E24:$Z24,MIN(AU$6-$G$3,22))),0)))))</f>
        <v>0</v>
      </c>
      <c r="AV26" s="27" t="n">
        <f aca="false">IF(COUNT('Feijão 1ª safra'!$E24:$Z24)=0,0,MAX(0,IF((AV$6-$E$3)&lt;1,0,IFERROR(LOOKUP(2,1/('Feijão 1ª safra'!$E24:INDEX('Feijão 1ª safra'!$E24:$Z24,MIN(AV$6-$E$3,22))&lt;&gt;""),'Feijão 1ª safra'!$E24:INDEX('Feijão 1ª safra'!$E24:$Z24,MIN(AV$6-$E$3,22))),0))-IF($G$2,0,IF((AV$6-$G$3)&lt;1,0,IFERROR(LOOKUP(2,1/('Feijão 1ª safra'!$E24:INDEX('Feijão 1ª safra'!$E24:$Z24,MIN(AV$6-$G$3,22))&lt;&gt;""),'Feijão 1ª safra'!$E24:INDEX('Feijão 1ª safra'!$E24:$Z24,MIN(AV$6-$G$3,22))),0)))))</f>
        <v>0</v>
      </c>
      <c r="AW26" s="27" t="n">
        <f aca="false">IF(COUNT('Feijão 1ª safra'!$E24:$Z24)=0,0,MAX(0,IF((AW$6-$E$3)&lt;1,0,IFERROR(LOOKUP(2,1/('Feijão 1ª safra'!$E24:INDEX('Feijão 1ª safra'!$E24:$Z24,MIN(AW$6-$E$3,22))&lt;&gt;""),'Feijão 1ª safra'!$E24:INDEX('Feijão 1ª safra'!$E24:$Z24,MIN(AW$6-$E$3,22))),0))-IF($G$2,0,IF((AW$6-$G$3)&lt;1,0,IFERROR(LOOKUP(2,1/('Feijão 1ª safra'!$E24:INDEX('Feijão 1ª safra'!$E24:$Z24,MIN(AW$6-$G$3,22))&lt;&gt;""),'Feijão 1ª safra'!$E24:INDEX('Feijão 1ª safra'!$E24:$Z24,MIN(AW$6-$G$3,22))),0)))))</f>
        <v>0</v>
      </c>
      <c r="AX26" s="27" t="n">
        <f aca="false">IF(COUNT('Feijão 1ª safra'!$E24:$Z24)=0,0,MAX(0,IF((AX$6-$E$3)&lt;1,0,IFERROR(LOOKUP(2,1/('Feijão 1ª safra'!$E24:INDEX('Feijão 1ª safra'!$E24:$Z24,MIN(AX$6-$E$3,22))&lt;&gt;""),'Feijão 1ª safra'!$E24:INDEX('Feijão 1ª safra'!$E24:$Z24,MIN(AX$6-$E$3,22))),0))-IF($G$2,0,IF((AX$6-$G$3)&lt;1,0,IFERROR(LOOKUP(2,1/('Feijão 1ª safra'!$E24:INDEX('Feijão 1ª safra'!$E24:$Z24,MIN(AX$6-$G$3,22))&lt;&gt;""),'Feijão 1ª safra'!$E24:INDEX('Feijão 1ª safra'!$E24:$Z24,MIN(AX$6-$G$3,22))),0)))))</f>
        <v>0</v>
      </c>
      <c r="AY26" s="27" t="n">
        <f aca="false">IF(COUNT('Feijão 1ª safra'!$E24:$Z24)=0,0,MAX(0,IF((AY$6-$E$3)&lt;1,0,IFERROR(LOOKUP(2,1/('Feijão 1ª safra'!$E24:INDEX('Feijão 1ª safra'!$E24:$Z24,MIN(AY$6-$E$3,22))&lt;&gt;""),'Feijão 1ª safra'!$E24:INDEX('Feijão 1ª safra'!$E24:$Z24,MIN(AY$6-$E$3,22))),0))-IF($G$2,0,IF((AY$6-$G$3)&lt;1,0,IFERROR(LOOKUP(2,1/('Feijão 1ª safra'!$E24:INDEX('Feijão 1ª safra'!$E24:$Z24,MIN(AY$6-$G$3,22))&lt;&gt;""),'Feijão 1ª safra'!$E24:INDEX('Feijão 1ª safra'!$E24:$Z24,MIN(AY$6-$G$3,22))),0)))))</f>
        <v>0</v>
      </c>
      <c r="AZ26" s="27" t="n">
        <f aca="false">IF(COUNT('Feijão 1ª safra'!$E24:$Z24)=0,0,MAX(0,IF((AZ$6-$E$3)&lt;1,0,IFERROR(LOOKUP(2,1/('Feijão 1ª safra'!$E24:INDEX('Feijão 1ª safra'!$E24:$Z24,MIN(AZ$6-$E$3,22))&lt;&gt;""),'Feijão 1ª safra'!$E24:INDEX('Feijão 1ª safra'!$E24:$Z24,MIN(AZ$6-$E$3,22))),0))-IF($G$2,0,IF((AZ$6-$G$3)&lt;1,0,IFERROR(LOOKUP(2,1/('Feijão 1ª safra'!$E24:INDEX('Feijão 1ª safra'!$E24:$Z24,MIN(AZ$6-$G$3,22))&lt;&gt;""),'Feijão 1ª safra'!$E24:INDEX('Feijão 1ª safra'!$E24:$Z24,MIN(AZ$6-$G$3,22))),0)))))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IF(COUNT('Feijão 1ª safra'!$E25:$Z25)&gt;0,N('Feijão 1ª safra'!$D25),0)</f>
        <v>0</v>
      </c>
      <c r="E27" s="27" t="n">
        <f aca="false">IF(COUNT('Feijão 1ª safra'!$E25:$Z25)=0,0,MAX(0,IF((E$6-$E$3)&lt;1,0,IFERROR(LOOKUP(2,1/('Feijão 1ª safra'!$E25:INDEX('Feijão 1ª safra'!$E25:$Z25,MIN(E$6-$E$3,22))&lt;&gt;""),'Feijão 1ª safra'!$E25:INDEX('Feijão 1ª safra'!$E25:$Z25,MIN(E$6-$E$3,22))),0))-IF($G$2,0,IF((E$6-$G$3)&lt;1,0,IFERROR(LOOKUP(2,1/('Feijão 1ª safra'!$E25:INDEX('Feijão 1ª safra'!$E25:$Z25,MIN(E$6-$G$3,22))&lt;&gt;""),'Feijão 1ª safra'!$E25:INDEX('Feijão 1ª safra'!$E25:$Z25,MIN(E$6-$G$3,22))),0)))))</f>
        <v>0</v>
      </c>
      <c r="F27" s="27" t="n">
        <f aca="false">IF(COUNT('Feijão 1ª safra'!$E25:$Z25)=0,0,MAX(0,IF((F$6-$E$3)&lt;1,0,IFERROR(LOOKUP(2,1/('Feijão 1ª safra'!$E25:INDEX('Feijão 1ª safra'!$E25:$Z25,MIN(F$6-$E$3,22))&lt;&gt;""),'Feijão 1ª safra'!$E25:INDEX('Feijão 1ª safra'!$E25:$Z25,MIN(F$6-$E$3,22))),0))-IF($G$2,0,IF((F$6-$G$3)&lt;1,0,IFERROR(LOOKUP(2,1/('Feijão 1ª safra'!$E25:INDEX('Feijão 1ª safra'!$E25:$Z25,MIN(F$6-$G$3,22))&lt;&gt;""),'Feijão 1ª safra'!$E25:INDEX('Feijão 1ª safra'!$E25:$Z25,MIN(F$6-$G$3,22))),0)))))</f>
        <v>0</v>
      </c>
      <c r="G27" s="27" t="n">
        <f aca="false">IF(COUNT('Feijão 1ª safra'!$E25:$Z25)=0,0,MAX(0,IF((G$6-$E$3)&lt;1,0,IFERROR(LOOKUP(2,1/('Feijão 1ª safra'!$E25:INDEX('Feijão 1ª safra'!$E25:$Z25,MIN(G$6-$E$3,22))&lt;&gt;""),'Feijão 1ª safra'!$E25:INDEX('Feijão 1ª safra'!$E25:$Z25,MIN(G$6-$E$3,22))),0))-IF($G$2,0,IF((G$6-$G$3)&lt;1,0,IFERROR(LOOKUP(2,1/('Feijão 1ª safra'!$E25:INDEX('Feijão 1ª safra'!$E25:$Z25,MIN(G$6-$G$3,22))&lt;&gt;""),'Feijão 1ª safra'!$E25:INDEX('Feijão 1ª safra'!$E25:$Z25,MIN(G$6-$G$3,22))),0)))))</f>
        <v>0</v>
      </c>
      <c r="H27" s="27" t="n">
        <f aca="false">IF(COUNT('Feijão 1ª safra'!$E25:$Z25)=0,0,MAX(0,IF((H$6-$E$3)&lt;1,0,IFERROR(LOOKUP(2,1/('Feijão 1ª safra'!$E25:INDEX('Feijão 1ª safra'!$E25:$Z25,MIN(H$6-$E$3,22))&lt;&gt;""),'Feijão 1ª safra'!$E25:INDEX('Feijão 1ª safra'!$E25:$Z25,MIN(H$6-$E$3,22))),0))-IF($G$2,0,IF((H$6-$G$3)&lt;1,0,IFERROR(LOOKUP(2,1/('Feijão 1ª safra'!$E25:INDEX('Feijão 1ª safra'!$E25:$Z25,MIN(H$6-$G$3,22))&lt;&gt;""),'Feijão 1ª safra'!$E25:INDEX('Feijão 1ª safra'!$E25:$Z25,MIN(H$6-$G$3,22))),0)))))</f>
        <v>0</v>
      </c>
      <c r="I27" s="27" t="n">
        <f aca="false">IF(COUNT('Feijão 1ª safra'!$E25:$Z25)=0,0,MAX(0,IF((I$6-$E$3)&lt;1,0,IFERROR(LOOKUP(2,1/('Feijão 1ª safra'!$E25:INDEX('Feijão 1ª safra'!$E25:$Z25,MIN(I$6-$E$3,22))&lt;&gt;""),'Feijão 1ª safra'!$E25:INDEX('Feijão 1ª safra'!$E25:$Z25,MIN(I$6-$E$3,22))),0))-IF($G$2,0,IF((I$6-$G$3)&lt;1,0,IFERROR(LOOKUP(2,1/('Feijão 1ª safra'!$E25:INDEX('Feijão 1ª safra'!$E25:$Z25,MIN(I$6-$G$3,22))&lt;&gt;""),'Feijão 1ª safra'!$E25:INDEX('Feijão 1ª safra'!$E25:$Z25,MIN(I$6-$G$3,22))),0)))))</f>
        <v>0</v>
      </c>
      <c r="J27" s="27" t="n">
        <f aca="false">IF(COUNT('Feijão 1ª safra'!$E25:$Z25)=0,0,MAX(0,IF((J$6-$E$3)&lt;1,0,IFERROR(LOOKUP(2,1/('Feijão 1ª safra'!$E25:INDEX('Feijão 1ª safra'!$E25:$Z25,MIN(J$6-$E$3,22))&lt;&gt;""),'Feijão 1ª safra'!$E25:INDEX('Feijão 1ª safra'!$E25:$Z25,MIN(J$6-$E$3,22))),0))-IF($G$2,0,IF((J$6-$G$3)&lt;1,0,IFERROR(LOOKUP(2,1/('Feijão 1ª safra'!$E25:INDEX('Feijão 1ª safra'!$E25:$Z25,MIN(J$6-$G$3,22))&lt;&gt;""),'Feijão 1ª safra'!$E25:INDEX('Feijão 1ª safra'!$E25:$Z25,MIN(J$6-$G$3,22))),0)))))</f>
        <v>0</v>
      </c>
      <c r="K27" s="27" t="n">
        <f aca="false">IF(COUNT('Feijão 1ª safra'!$E25:$Z25)=0,0,MAX(0,IF((K$6-$E$3)&lt;1,0,IFERROR(LOOKUP(2,1/('Feijão 1ª safra'!$E25:INDEX('Feijão 1ª safra'!$E25:$Z25,MIN(K$6-$E$3,22))&lt;&gt;""),'Feijão 1ª safra'!$E25:INDEX('Feijão 1ª safra'!$E25:$Z25,MIN(K$6-$E$3,22))),0))-IF($G$2,0,IF((K$6-$G$3)&lt;1,0,IFERROR(LOOKUP(2,1/('Feijão 1ª safra'!$E25:INDEX('Feijão 1ª safra'!$E25:$Z25,MIN(K$6-$G$3,22))&lt;&gt;""),'Feijão 1ª safra'!$E25:INDEX('Feijão 1ª safra'!$E25:$Z25,MIN(K$6-$G$3,22))),0)))))</f>
        <v>0</v>
      </c>
      <c r="L27" s="27" t="n">
        <f aca="false">IF(COUNT('Feijão 1ª safra'!$E25:$Z25)=0,0,MAX(0,IF((L$6-$E$3)&lt;1,0,IFERROR(LOOKUP(2,1/('Feijão 1ª safra'!$E25:INDEX('Feijão 1ª safra'!$E25:$Z25,MIN(L$6-$E$3,22))&lt;&gt;""),'Feijão 1ª safra'!$E25:INDEX('Feijão 1ª safra'!$E25:$Z25,MIN(L$6-$E$3,22))),0))-IF($G$2,0,IF((L$6-$G$3)&lt;1,0,IFERROR(LOOKUP(2,1/('Feijão 1ª safra'!$E25:INDEX('Feijão 1ª safra'!$E25:$Z25,MIN(L$6-$G$3,22))&lt;&gt;""),'Feijão 1ª safra'!$E25:INDEX('Feijão 1ª safra'!$E25:$Z25,MIN(L$6-$G$3,22))),0)))))</f>
        <v>0</v>
      </c>
      <c r="M27" s="27" t="n">
        <f aca="false">IF(COUNT('Feijão 1ª safra'!$E25:$Z25)=0,0,MAX(0,IF((M$6-$E$3)&lt;1,0,IFERROR(LOOKUP(2,1/('Feijão 1ª safra'!$E25:INDEX('Feijão 1ª safra'!$E25:$Z25,MIN(M$6-$E$3,22))&lt;&gt;""),'Feijão 1ª safra'!$E25:INDEX('Feijão 1ª safra'!$E25:$Z25,MIN(M$6-$E$3,22))),0))-IF($G$2,0,IF((M$6-$G$3)&lt;1,0,IFERROR(LOOKUP(2,1/('Feijão 1ª safra'!$E25:INDEX('Feijão 1ª safra'!$E25:$Z25,MIN(M$6-$G$3,22))&lt;&gt;""),'Feijão 1ª safra'!$E25:INDEX('Feijão 1ª safra'!$E25:$Z25,MIN(M$6-$G$3,22))),0)))))</f>
        <v>0</v>
      </c>
      <c r="N27" s="27" t="n">
        <f aca="false">IF(COUNT('Feijão 1ª safra'!$E25:$Z25)=0,0,MAX(0,IF((N$6-$E$3)&lt;1,0,IFERROR(LOOKUP(2,1/('Feijão 1ª safra'!$E25:INDEX('Feijão 1ª safra'!$E25:$Z25,MIN(N$6-$E$3,22))&lt;&gt;""),'Feijão 1ª safra'!$E25:INDEX('Feijão 1ª safra'!$E25:$Z25,MIN(N$6-$E$3,22))),0))-IF($G$2,0,IF((N$6-$G$3)&lt;1,0,IFERROR(LOOKUP(2,1/('Feijão 1ª safra'!$E25:INDEX('Feijão 1ª safra'!$E25:$Z25,MIN(N$6-$G$3,22))&lt;&gt;""),'Feijão 1ª safra'!$E25:INDEX('Feijão 1ª safra'!$E25:$Z25,MIN(N$6-$G$3,22))),0)))))</f>
        <v>0</v>
      </c>
      <c r="O27" s="27" t="n">
        <f aca="false">IF(COUNT('Feijão 1ª safra'!$E25:$Z25)=0,0,MAX(0,IF((O$6-$E$3)&lt;1,0,IFERROR(LOOKUP(2,1/('Feijão 1ª safra'!$E25:INDEX('Feijão 1ª safra'!$E25:$Z25,MIN(O$6-$E$3,22))&lt;&gt;""),'Feijão 1ª safra'!$E25:INDEX('Feijão 1ª safra'!$E25:$Z25,MIN(O$6-$E$3,22))),0))-IF($G$2,0,IF((O$6-$G$3)&lt;1,0,IFERROR(LOOKUP(2,1/('Feijão 1ª safra'!$E25:INDEX('Feijão 1ª safra'!$E25:$Z25,MIN(O$6-$G$3,22))&lt;&gt;""),'Feijão 1ª safra'!$E25:INDEX('Feijão 1ª safra'!$E25:$Z25,MIN(O$6-$G$3,22))),0)))))</f>
        <v>0</v>
      </c>
      <c r="P27" s="27" t="n">
        <f aca="false">IF(COUNT('Feijão 1ª safra'!$E25:$Z25)=0,0,MAX(0,IF((P$6-$E$3)&lt;1,0,IFERROR(LOOKUP(2,1/('Feijão 1ª safra'!$E25:INDEX('Feijão 1ª safra'!$E25:$Z25,MIN(P$6-$E$3,22))&lt;&gt;""),'Feijão 1ª safra'!$E25:INDEX('Feijão 1ª safra'!$E25:$Z25,MIN(P$6-$E$3,22))),0))-IF($G$2,0,IF((P$6-$G$3)&lt;1,0,IFERROR(LOOKUP(2,1/('Feijão 1ª safra'!$E25:INDEX('Feijão 1ª safra'!$E25:$Z25,MIN(P$6-$G$3,22))&lt;&gt;""),'Feijão 1ª safra'!$E25:INDEX('Feijão 1ª safra'!$E25:$Z25,MIN(P$6-$G$3,22))),0)))))</f>
        <v>0</v>
      </c>
      <c r="Q27" s="27" t="n">
        <f aca="false">IF(COUNT('Feijão 1ª safra'!$E25:$Z25)=0,0,MAX(0,IF((Q$6-$E$3)&lt;1,0,IFERROR(LOOKUP(2,1/('Feijão 1ª safra'!$E25:INDEX('Feijão 1ª safra'!$E25:$Z25,MIN(Q$6-$E$3,22))&lt;&gt;""),'Feijão 1ª safra'!$E25:INDEX('Feijão 1ª safra'!$E25:$Z25,MIN(Q$6-$E$3,22))),0))-IF($G$2,0,IF((Q$6-$G$3)&lt;1,0,IFERROR(LOOKUP(2,1/('Feijão 1ª safra'!$E25:INDEX('Feijão 1ª safra'!$E25:$Z25,MIN(Q$6-$G$3,22))&lt;&gt;""),'Feijão 1ª safra'!$E25:INDEX('Feijão 1ª safra'!$E25:$Z25,MIN(Q$6-$G$3,22))),0)))))</f>
        <v>0</v>
      </c>
      <c r="R27" s="27" t="n">
        <f aca="false">IF(COUNT('Feijão 1ª safra'!$E25:$Z25)=0,0,MAX(0,IF((R$6-$E$3)&lt;1,0,IFERROR(LOOKUP(2,1/('Feijão 1ª safra'!$E25:INDEX('Feijão 1ª safra'!$E25:$Z25,MIN(R$6-$E$3,22))&lt;&gt;""),'Feijão 1ª safra'!$E25:INDEX('Feijão 1ª safra'!$E25:$Z25,MIN(R$6-$E$3,22))),0))-IF($G$2,0,IF((R$6-$G$3)&lt;1,0,IFERROR(LOOKUP(2,1/('Feijão 1ª safra'!$E25:INDEX('Feijão 1ª safra'!$E25:$Z25,MIN(R$6-$G$3,22))&lt;&gt;""),'Feijão 1ª safra'!$E25:INDEX('Feijão 1ª safra'!$E25:$Z25,MIN(R$6-$G$3,22))),0)))))</f>
        <v>0</v>
      </c>
      <c r="S27" s="27" t="n">
        <f aca="false">IF(COUNT('Feijão 1ª safra'!$E25:$Z25)=0,0,MAX(0,IF((S$6-$E$3)&lt;1,0,IFERROR(LOOKUP(2,1/('Feijão 1ª safra'!$E25:INDEX('Feijão 1ª safra'!$E25:$Z25,MIN(S$6-$E$3,22))&lt;&gt;""),'Feijão 1ª safra'!$E25:INDEX('Feijão 1ª safra'!$E25:$Z25,MIN(S$6-$E$3,22))),0))-IF($G$2,0,IF((S$6-$G$3)&lt;1,0,IFERROR(LOOKUP(2,1/('Feijão 1ª safra'!$E25:INDEX('Feijão 1ª safra'!$E25:$Z25,MIN(S$6-$G$3,22))&lt;&gt;""),'Feijão 1ª safra'!$E25:INDEX('Feijão 1ª safra'!$E25:$Z25,MIN(S$6-$G$3,22))),0)))))</f>
        <v>0</v>
      </c>
      <c r="T27" s="27" t="n">
        <f aca="false">IF(COUNT('Feijão 1ª safra'!$E25:$Z25)=0,0,MAX(0,IF((T$6-$E$3)&lt;1,0,IFERROR(LOOKUP(2,1/('Feijão 1ª safra'!$E25:INDEX('Feijão 1ª safra'!$E25:$Z25,MIN(T$6-$E$3,22))&lt;&gt;""),'Feijão 1ª safra'!$E25:INDEX('Feijão 1ª safra'!$E25:$Z25,MIN(T$6-$E$3,22))),0))-IF($G$2,0,IF((T$6-$G$3)&lt;1,0,IFERROR(LOOKUP(2,1/('Feijão 1ª safra'!$E25:INDEX('Feijão 1ª safra'!$E25:$Z25,MIN(T$6-$G$3,22))&lt;&gt;""),'Feijão 1ª safra'!$E25:INDEX('Feijão 1ª safra'!$E25:$Z25,MIN(T$6-$G$3,22))),0)))))</f>
        <v>0</v>
      </c>
      <c r="U27" s="27" t="n">
        <f aca="false">IF(COUNT('Feijão 1ª safra'!$E25:$Z25)=0,0,MAX(0,IF((U$6-$E$3)&lt;1,0,IFERROR(LOOKUP(2,1/('Feijão 1ª safra'!$E25:INDEX('Feijão 1ª safra'!$E25:$Z25,MIN(U$6-$E$3,22))&lt;&gt;""),'Feijão 1ª safra'!$E25:INDEX('Feijão 1ª safra'!$E25:$Z25,MIN(U$6-$E$3,22))),0))-IF($G$2,0,IF((U$6-$G$3)&lt;1,0,IFERROR(LOOKUP(2,1/('Feijão 1ª safra'!$E25:INDEX('Feijão 1ª safra'!$E25:$Z25,MIN(U$6-$G$3,22))&lt;&gt;""),'Feijão 1ª safra'!$E25:INDEX('Feijão 1ª safra'!$E25:$Z25,MIN(U$6-$G$3,22))),0)))))</f>
        <v>0</v>
      </c>
      <c r="V27" s="27" t="n">
        <f aca="false">IF(COUNT('Feijão 1ª safra'!$E25:$Z25)=0,0,MAX(0,IF((V$6-$E$3)&lt;1,0,IFERROR(LOOKUP(2,1/('Feijão 1ª safra'!$E25:INDEX('Feijão 1ª safra'!$E25:$Z25,MIN(V$6-$E$3,22))&lt;&gt;""),'Feijão 1ª safra'!$E25:INDEX('Feijão 1ª safra'!$E25:$Z25,MIN(V$6-$E$3,22))),0))-IF($G$2,0,IF((V$6-$G$3)&lt;1,0,IFERROR(LOOKUP(2,1/('Feijão 1ª safra'!$E25:INDEX('Feijão 1ª safra'!$E25:$Z25,MIN(V$6-$G$3,22))&lt;&gt;""),'Feijão 1ª safra'!$E25:INDEX('Feijão 1ª safra'!$E25:$Z25,MIN(V$6-$G$3,22))),0)))))</f>
        <v>0</v>
      </c>
      <c r="W27" s="27" t="n">
        <f aca="false">IF(COUNT('Feijão 1ª safra'!$E25:$Z25)=0,0,MAX(0,IF((W$6-$E$3)&lt;1,0,IFERROR(LOOKUP(2,1/('Feijão 1ª safra'!$E25:INDEX('Feijão 1ª safra'!$E25:$Z25,MIN(W$6-$E$3,22))&lt;&gt;""),'Feijão 1ª safra'!$E25:INDEX('Feijão 1ª safra'!$E25:$Z25,MIN(W$6-$E$3,22))),0))-IF($G$2,0,IF((W$6-$G$3)&lt;1,0,IFERROR(LOOKUP(2,1/('Feijão 1ª safra'!$E25:INDEX('Feijão 1ª safra'!$E25:$Z25,MIN(W$6-$G$3,22))&lt;&gt;""),'Feijão 1ª safra'!$E25:INDEX('Feijão 1ª safra'!$E25:$Z25,MIN(W$6-$G$3,22))),0)))))</f>
        <v>0</v>
      </c>
      <c r="X27" s="27" t="n">
        <f aca="false">IF(COUNT('Feijão 1ª safra'!$E25:$Z25)=0,0,MAX(0,IF((X$6-$E$3)&lt;1,0,IFERROR(LOOKUP(2,1/('Feijão 1ª safra'!$E25:INDEX('Feijão 1ª safra'!$E25:$Z25,MIN(X$6-$E$3,22))&lt;&gt;""),'Feijão 1ª safra'!$E25:INDEX('Feijão 1ª safra'!$E25:$Z25,MIN(X$6-$E$3,22))),0))-IF($G$2,0,IF((X$6-$G$3)&lt;1,0,IFERROR(LOOKUP(2,1/('Feijão 1ª safra'!$E25:INDEX('Feijão 1ª safra'!$E25:$Z25,MIN(X$6-$G$3,22))&lt;&gt;""),'Feijão 1ª safra'!$E25:INDEX('Feijão 1ª safra'!$E25:$Z25,MIN(X$6-$G$3,22))),0)))))</f>
        <v>0</v>
      </c>
      <c r="Y27" s="27" t="n">
        <f aca="false">IF(COUNT('Feijão 1ª safra'!$E25:$Z25)=0,0,MAX(0,IF((Y$6-$E$3)&lt;1,0,IFERROR(LOOKUP(2,1/('Feijão 1ª safra'!$E25:INDEX('Feijão 1ª safra'!$E25:$Z25,MIN(Y$6-$E$3,22))&lt;&gt;""),'Feijão 1ª safra'!$E25:INDEX('Feijão 1ª safra'!$E25:$Z25,MIN(Y$6-$E$3,22))),0))-IF($G$2,0,IF((Y$6-$G$3)&lt;1,0,IFERROR(LOOKUP(2,1/('Feijão 1ª safra'!$E25:INDEX('Feijão 1ª safra'!$E25:$Z25,MIN(Y$6-$G$3,22))&lt;&gt;""),'Feijão 1ª safra'!$E25:INDEX('Feijão 1ª safra'!$E25:$Z25,MIN(Y$6-$G$3,22))),0)))))</f>
        <v>0</v>
      </c>
      <c r="Z27" s="27" t="n">
        <f aca="false">IF(COUNT('Feijão 1ª safra'!$E25:$Z25)=0,0,MAX(0,IF((Z$6-$E$3)&lt;1,0,IFERROR(LOOKUP(2,1/('Feijão 1ª safra'!$E25:INDEX('Feijão 1ª safra'!$E25:$Z25,MIN(Z$6-$E$3,22))&lt;&gt;""),'Feijão 1ª safra'!$E25:INDEX('Feijão 1ª safra'!$E25:$Z25,MIN(Z$6-$E$3,22))),0))-IF($G$2,0,IF((Z$6-$G$3)&lt;1,0,IFERROR(LOOKUP(2,1/('Feijão 1ª safra'!$E25:INDEX('Feijão 1ª safra'!$E25:$Z25,MIN(Z$6-$G$3,22))&lt;&gt;""),'Feijão 1ª safra'!$E25:INDEX('Feijão 1ª safra'!$E25:$Z25,MIN(Z$6-$G$3,22))),0)))))</f>
        <v>0</v>
      </c>
      <c r="AA27" s="27" t="n">
        <f aca="false">IF(COUNT('Feijão 1ª safra'!$E25:$Z25)=0,0,MAX(0,IF((AA$6-$E$3)&lt;1,0,IFERROR(LOOKUP(2,1/('Feijão 1ª safra'!$E25:INDEX('Feijão 1ª safra'!$E25:$Z25,MIN(AA$6-$E$3,22))&lt;&gt;""),'Feijão 1ª safra'!$E25:INDEX('Feijão 1ª safra'!$E25:$Z25,MIN(AA$6-$E$3,22))),0))-IF($G$2,0,IF((AA$6-$G$3)&lt;1,0,IFERROR(LOOKUP(2,1/('Feijão 1ª safra'!$E25:INDEX('Feijão 1ª safra'!$E25:$Z25,MIN(AA$6-$G$3,22))&lt;&gt;""),'Feijão 1ª safra'!$E25:INDEX('Feijão 1ª safra'!$E25:$Z25,MIN(AA$6-$G$3,22))),0)))))</f>
        <v>0</v>
      </c>
      <c r="AB27" s="27" t="n">
        <f aca="false">IF(COUNT('Feijão 1ª safra'!$E25:$Z25)=0,0,MAX(0,IF((AB$6-$E$3)&lt;1,0,IFERROR(LOOKUP(2,1/('Feijão 1ª safra'!$E25:INDEX('Feijão 1ª safra'!$E25:$Z25,MIN(AB$6-$E$3,22))&lt;&gt;""),'Feijão 1ª safra'!$E25:INDEX('Feijão 1ª safra'!$E25:$Z25,MIN(AB$6-$E$3,22))),0))-IF($G$2,0,IF((AB$6-$G$3)&lt;1,0,IFERROR(LOOKUP(2,1/('Feijão 1ª safra'!$E25:INDEX('Feijão 1ª safra'!$E25:$Z25,MIN(AB$6-$G$3,22))&lt;&gt;""),'Feijão 1ª safra'!$E25:INDEX('Feijão 1ª safra'!$E25:$Z25,MIN(AB$6-$G$3,22))),0)))))</f>
        <v>0</v>
      </c>
      <c r="AC27" s="27" t="n">
        <f aca="false">IF(COUNT('Feijão 1ª safra'!$E25:$Z25)=0,0,MAX(0,IF((AC$6-$E$3)&lt;1,0,IFERROR(LOOKUP(2,1/('Feijão 1ª safra'!$E25:INDEX('Feijão 1ª safra'!$E25:$Z25,MIN(AC$6-$E$3,22))&lt;&gt;""),'Feijão 1ª safra'!$E25:INDEX('Feijão 1ª safra'!$E25:$Z25,MIN(AC$6-$E$3,22))),0))-IF($G$2,0,IF((AC$6-$G$3)&lt;1,0,IFERROR(LOOKUP(2,1/('Feijão 1ª safra'!$E25:INDEX('Feijão 1ª safra'!$E25:$Z25,MIN(AC$6-$G$3,22))&lt;&gt;""),'Feijão 1ª safra'!$E25:INDEX('Feijão 1ª safra'!$E25:$Z25,MIN(AC$6-$G$3,22))),0)))))</f>
        <v>0</v>
      </c>
      <c r="AD27" s="27" t="n">
        <f aca="false">IF(COUNT('Feijão 1ª safra'!$E25:$Z25)=0,0,MAX(0,IF((AD$6-$E$3)&lt;1,0,IFERROR(LOOKUP(2,1/('Feijão 1ª safra'!$E25:INDEX('Feijão 1ª safra'!$E25:$Z25,MIN(AD$6-$E$3,22))&lt;&gt;""),'Feijão 1ª safra'!$E25:INDEX('Feijão 1ª safra'!$E25:$Z25,MIN(AD$6-$E$3,22))),0))-IF($G$2,0,IF((AD$6-$G$3)&lt;1,0,IFERROR(LOOKUP(2,1/('Feijão 1ª safra'!$E25:INDEX('Feijão 1ª safra'!$E25:$Z25,MIN(AD$6-$G$3,22))&lt;&gt;""),'Feijão 1ª safra'!$E25:INDEX('Feijão 1ª safra'!$E25:$Z25,MIN(AD$6-$G$3,22))),0)))))</f>
        <v>0</v>
      </c>
      <c r="AE27" s="27" t="n">
        <f aca="false">IF(COUNT('Feijão 1ª safra'!$E25:$Z25)=0,0,MAX(0,IF((AE$6-$E$3)&lt;1,0,IFERROR(LOOKUP(2,1/('Feijão 1ª safra'!$E25:INDEX('Feijão 1ª safra'!$E25:$Z25,MIN(AE$6-$E$3,22))&lt;&gt;""),'Feijão 1ª safra'!$E25:INDEX('Feijão 1ª safra'!$E25:$Z25,MIN(AE$6-$E$3,22))),0))-IF($G$2,0,IF((AE$6-$G$3)&lt;1,0,IFERROR(LOOKUP(2,1/('Feijão 1ª safra'!$E25:INDEX('Feijão 1ª safra'!$E25:$Z25,MIN(AE$6-$G$3,22))&lt;&gt;""),'Feijão 1ª safra'!$E25:INDEX('Feijão 1ª safra'!$E25:$Z25,MIN(AE$6-$G$3,22))),0)))))</f>
        <v>0</v>
      </c>
      <c r="AF27" s="27" t="n">
        <f aca="false">IF(COUNT('Feijão 1ª safra'!$E25:$Z25)=0,0,MAX(0,IF((AF$6-$E$3)&lt;1,0,IFERROR(LOOKUP(2,1/('Feijão 1ª safra'!$E25:INDEX('Feijão 1ª safra'!$E25:$Z25,MIN(AF$6-$E$3,22))&lt;&gt;""),'Feijão 1ª safra'!$E25:INDEX('Feijão 1ª safra'!$E25:$Z25,MIN(AF$6-$E$3,22))),0))-IF($G$2,0,IF((AF$6-$G$3)&lt;1,0,IFERROR(LOOKUP(2,1/('Feijão 1ª safra'!$E25:INDEX('Feijão 1ª safra'!$E25:$Z25,MIN(AF$6-$G$3,22))&lt;&gt;""),'Feijão 1ª safra'!$E25:INDEX('Feijão 1ª safra'!$E25:$Z25,MIN(AF$6-$G$3,22))),0)))))</f>
        <v>0</v>
      </c>
      <c r="AG27" s="27" t="n">
        <f aca="false">IF(COUNT('Feijão 1ª safra'!$E25:$Z25)=0,0,MAX(0,IF((AG$6-$E$3)&lt;1,0,IFERROR(LOOKUP(2,1/('Feijão 1ª safra'!$E25:INDEX('Feijão 1ª safra'!$E25:$Z25,MIN(AG$6-$E$3,22))&lt;&gt;""),'Feijão 1ª safra'!$E25:INDEX('Feijão 1ª safra'!$E25:$Z25,MIN(AG$6-$E$3,22))),0))-IF($G$2,0,IF((AG$6-$G$3)&lt;1,0,IFERROR(LOOKUP(2,1/('Feijão 1ª safra'!$E25:INDEX('Feijão 1ª safra'!$E25:$Z25,MIN(AG$6-$G$3,22))&lt;&gt;""),'Feijão 1ª safra'!$E25:INDEX('Feijão 1ª safra'!$E25:$Z25,MIN(AG$6-$G$3,22))),0)))))</f>
        <v>0</v>
      </c>
      <c r="AH27" s="27" t="n">
        <f aca="false">IF(COUNT('Feijão 1ª safra'!$E25:$Z25)=0,0,MAX(0,IF((AH$6-$E$3)&lt;1,0,IFERROR(LOOKUP(2,1/('Feijão 1ª safra'!$E25:INDEX('Feijão 1ª safra'!$E25:$Z25,MIN(AH$6-$E$3,22))&lt;&gt;""),'Feijão 1ª safra'!$E25:INDEX('Feijão 1ª safra'!$E25:$Z25,MIN(AH$6-$E$3,22))),0))-IF($G$2,0,IF((AH$6-$G$3)&lt;1,0,IFERROR(LOOKUP(2,1/('Feijão 1ª safra'!$E25:INDEX('Feijão 1ª safra'!$E25:$Z25,MIN(AH$6-$G$3,22))&lt;&gt;""),'Feijão 1ª safra'!$E25:INDEX('Feijão 1ª safra'!$E25:$Z25,MIN(AH$6-$G$3,22))),0)))))</f>
        <v>0</v>
      </c>
      <c r="AI27" s="27" t="n">
        <f aca="false">IF(COUNT('Feijão 1ª safra'!$E25:$Z25)=0,0,MAX(0,IF((AI$6-$E$3)&lt;1,0,IFERROR(LOOKUP(2,1/('Feijão 1ª safra'!$E25:INDEX('Feijão 1ª safra'!$E25:$Z25,MIN(AI$6-$E$3,22))&lt;&gt;""),'Feijão 1ª safra'!$E25:INDEX('Feijão 1ª safra'!$E25:$Z25,MIN(AI$6-$E$3,22))),0))-IF($G$2,0,IF((AI$6-$G$3)&lt;1,0,IFERROR(LOOKUP(2,1/('Feijão 1ª safra'!$E25:INDEX('Feijão 1ª safra'!$E25:$Z25,MIN(AI$6-$G$3,22))&lt;&gt;""),'Feijão 1ª safra'!$E25:INDEX('Feijão 1ª safra'!$E25:$Z25,MIN(AI$6-$G$3,22))),0)))))</f>
        <v>0</v>
      </c>
      <c r="AJ27" s="27" t="n">
        <f aca="false">IF(COUNT('Feijão 1ª safra'!$E25:$Z25)=0,0,MAX(0,IF((AJ$6-$E$3)&lt;1,0,IFERROR(LOOKUP(2,1/('Feijão 1ª safra'!$E25:INDEX('Feijão 1ª safra'!$E25:$Z25,MIN(AJ$6-$E$3,22))&lt;&gt;""),'Feijão 1ª safra'!$E25:INDEX('Feijão 1ª safra'!$E25:$Z25,MIN(AJ$6-$E$3,22))),0))-IF($G$2,0,IF((AJ$6-$G$3)&lt;1,0,IFERROR(LOOKUP(2,1/('Feijão 1ª safra'!$E25:INDEX('Feijão 1ª safra'!$E25:$Z25,MIN(AJ$6-$G$3,22))&lt;&gt;""),'Feijão 1ª safra'!$E25:INDEX('Feijão 1ª safra'!$E25:$Z25,MIN(AJ$6-$G$3,22))),0)))))</f>
        <v>0</v>
      </c>
      <c r="AK27" s="27" t="n">
        <f aca="false">IF(COUNT('Feijão 1ª safra'!$E25:$Z25)=0,0,MAX(0,IF((AK$6-$E$3)&lt;1,0,IFERROR(LOOKUP(2,1/('Feijão 1ª safra'!$E25:INDEX('Feijão 1ª safra'!$E25:$Z25,MIN(AK$6-$E$3,22))&lt;&gt;""),'Feijão 1ª safra'!$E25:INDEX('Feijão 1ª safra'!$E25:$Z25,MIN(AK$6-$E$3,22))),0))-IF($G$2,0,IF((AK$6-$G$3)&lt;1,0,IFERROR(LOOKUP(2,1/('Feijão 1ª safra'!$E25:INDEX('Feijão 1ª safra'!$E25:$Z25,MIN(AK$6-$G$3,22))&lt;&gt;""),'Feijão 1ª safra'!$E25:INDEX('Feijão 1ª safra'!$E25:$Z25,MIN(AK$6-$G$3,22))),0)))))</f>
        <v>0</v>
      </c>
      <c r="AL27" s="27" t="n">
        <f aca="false">IF(COUNT('Feijão 1ª safra'!$E25:$Z25)=0,0,MAX(0,IF((AL$6-$E$3)&lt;1,0,IFERROR(LOOKUP(2,1/('Feijão 1ª safra'!$E25:INDEX('Feijão 1ª safra'!$E25:$Z25,MIN(AL$6-$E$3,22))&lt;&gt;""),'Feijão 1ª safra'!$E25:INDEX('Feijão 1ª safra'!$E25:$Z25,MIN(AL$6-$E$3,22))),0))-IF($G$2,0,IF((AL$6-$G$3)&lt;1,0,IFERROR(LOOKUP(2,1/('Feijão 1ª safra'!$E25:INDEX('Feijão 1ª safra'!$E25:$Z25,MIN(AL$6-$G$3,22))&lt;&gt;""),'Feijão 1ª safra'!$E25:INDEX('Feijão 1ª safra'!$E25:$Z25,MIN(AL$6-$G$3,22))),0)))))</f>
        <v>0</v>
      </c>
      <c r="AM27" s="27" t="n">
        <f aca="false">IF(COUNT('Feijão 1ª safra'!$E25:$Z25)=0,0,MAX(0,IF((AM$6-$E$3)&lt;1,0,IFERROR(LOOKUP(2,1/('Feijão 1ª safra'!$E25:INDEX('Feijão 1ª safra'!$E25:$Z25,MIN(AM$6-$E$3,22))&lt;&gt;""),'Feijão 1ª safra'!$E25:INDEX('Feijão 1ª safra'!$E25:$Z25,MIN(AM$6-$E$3,22))),0))-IF($G$2,0,IF((AM$6-$G$3)&lt;1,0,IFERROR(LOOKUP(2,1/('Feijão 1ª safra'!$E25:INDEX('Feijão 1ª safra'!$E25:$Z25,MIN(AM$6-$G$3,22))&lt;&gt;""),'Feijão 1ª safra'!$E25:INDEX('Feijão 1ª safra'!$E25:$Z25,MIN(AM$6-$G$3,22))),0)))))</f>
        <v>0</v>
      </c>
      <c r="AN27" s="27" t="n">
        <f aca="false">IF(COUNT('Feijão 1ª safra'!$E25:$Z25)=0,0,MAX(0,IF((AN$6-$E$3)&lt;1,0,IFERROR(LOOKUP(2,1/('Feijão 1ª safra'!$E25:INDEX('Feijão 1ª safra'!$E25:$Z25,MIN(AN$6-$E$3,22))&lt;&gt;""),'Feijão 1ª safra'!$E25:INDEX('Feijão 1ª safra'!$E25:$Z25,MIN(AN$6-$E$3,22))),0))-IF($G$2,0,IF((AN$6-$G$3)&lt;1,0,IFERROR(LOOKUP(2,1/('Feijão 1ª safra'!$E25:INDEX('Feijão 1ª safra'!$E25:$Z25,MIN(AN$6-$G$3,22))&lt;&gt;""),'Feijão 1ª safra'!$E25:INDEX('Feijão 1ª safra'!$E25:$Z25,MIN(AN$6-$G$3,22))),0)))))</f>
        <v>0</v>
      </c>
      <c r="AO27" s="27" t="n">
        <f aca="false">IF(COUNT('Feijão 1ª safra'!$E25:$Z25)=0,0,MAX(0,IF((AO$6-$E$3)&lt;1,0,IFERROR(LOOKUP(2,1/('Feijão 1ª safra'!$E25:INDEX('Feijão 1ª safra'!$E25:$Z25,MIN(AO$6-$E$3,22))&lt;&gt;""),'Feijão 1ª safra'!$E25:INDEX('Feijão 1ª safra'!$E25:$Z25,MIN(AO$6-$E$3,22))),0))-IF($G$2,0,IF((AO$6-$G$3)&lt;1,0,IFERROR(LOOKUP(2,1/('Feijão 1ª safra'!$E25:INDEX('Feijão 1ª safra'!$E25:$Z25,MIN(AO$6-$G$3,22))&lt;&gt;""),'Feijão 1ª safra'!$E25:INDEX('Feijão 1ª safra'!$E25:$Z25,MIN(AO$6-$G$3,22))),0)))))</f>
        <v>0</v>
      </c>
      <c r="AP27" s="27" t="n">
        <f aca="false">IF(COUNT('Feijão 1ª safra'!$E25:$Z25)=0,0,MAX(0,IF((AP$6-$E$3)&lt;1,0,IFERROR(LOOKUP(2,1/('Feijão 1ª safra'!$E25:INDEX('Feijão 1ª safra'!$E25:$Z25,MIN(AP$6-$E$3,22))&lt;&gt;""),'Feijão 1ª safra'!$E25:INDEX('Feijão 1ª safra'!$E25:$Z25,MIN(AP$6-$E$3,22))),0))-IF($G$2,0,IF((AP$6-$G$3)&lt;1,0,IFERROR(LOOKUP(2,1/('Feijão 1ª safra'!$E25:INDEX('Feijão 1ª safra'!$E25:$Z25,MIN(AP$6-$G$3,22))&lt;&gt;""),'Feijão 1ª safra'!$E25:INDEX('Feijão 1ª safra'!$E25:$Z25,MIN(AP$6-$G$3,22))),0)))))</f>
        <v>0</v>
      </c>
      <c r="AQ27" s="27" t="n">
        <f aca="false">IF(COUNT('Feijão 1ª safra'!$E25:$Z25)=0,0,MAX(0,IF((AQ$6-$E$3)&lt;1,0,IFERROR(LOOKUP(2,1/('Feijão 1ª safra'!$E25:INDEX('Feijão 1ª safra'!$E25:$Z25,MIN(AQ$6-$E$3,22))&lt;&gt;""),'Feijão 1ª safra'!$E25:INDEX('Feijão 1ª safra'!$E25:$Z25,MIN(AQ$6-$E$3,22))),0))-IF($G$2,0,IF((AQ$6-$G$3)&lt;1,0,IFERROR(LOOKUP(2,1/('Feijão 1ª safra'!$E25:INDEX('Feijão 1ª safra'!$E25:$Z25,MIN(AQ$6-$G$3,22))&lt;&gt;""),'Feijão 1ª safra'!$E25:INDEX('Feijão 1ª safra'!$E25:$Z25,MIN(AQ$6-$G$3,22))),0)))))</f>
        <v>0</v>
      </c>
      <c r="AR27" s="27" t="n">
        <f aca="false">IF(COUNT('Feijão 1ª safra'!$E25:$Z25)=0,0,MAX(0,IF((AR$6-$E$3)&lt;1,0,IFERROR(LOOKUP(2,1/('Feijão 1ª safra'!$E25:INDEX('Feijão 1ª safra'!$E25:$Z25,MIN(AR$6-$E$3,22))&lt;&gt;""),'Feijão 1ª safra'!$E25:INDEX('Feijão 1ª safra'!$E25:$Z25,MIN(AR$6-$E$3,22))),0))-IF($G$2,0,IF((AR$6-$G$3)&lt;1,0,IFERROR(LOOKUP(2,1/('Feijão 1ª safra'!$E25:INDEX('Feijão 1ª safra'!$E25:$Z25,MIN(AR$6-$G$3,22))&lt;&gt;""),'Feijão 1ª safra'!$E25:INDEX('Feijão 1ª safra'!$E25:$Z25,MIN(AR$6-$G$3,22))),0)))))</f>
        <v>0</v>
      </c>
      <c r="AS27" s="27" t="n">
        <f aca="false">IF(COUNT('Feijão 1ª safra'!$E25:$Z25)=0,0,MAX(0,IF((AS$6-$E$3)&lt;1,0,IFERROR(LOOKUP(2,1/('Feijão 1ª safra'!$E25:INDEX('Feijão 1ª safra'!$E25:$Z25,MIN(AS$6-$E$3,22))&lt;&gt;""),'Feijão 1ª safra'!$E25:INDEX('Feijão 1ª safra'!$E25:$Z25,MIN(AS$6-$E$3,22))),0))-IF($G$2,0,IF((AS$6-$G$3)&lt;1,0,IFERROR(LOOKUP(2,1/('Feijão 1ª safra'!$E25:INDEX('Feijão 1ª safra'!$E25:$Z25,MIN(AS$6-$G$3,22))&lt;&gt;""),'Feijão 1ª safra'!$E25:INDEX('Feijão 1ª safra'!$E25:$Z25,MIN(AS$6-$G$3,22))),0)))))</f>
        <v>0</v>
      </c>
      <c r="AT27" s="27" t="n">
        <f aca="false">IF(COUNT('Feijão 1ª safra'!$E25:$Z25)=0,0,MAX(0,IF((AT$6-$E$3)&lt;1,0,IFERROR(LOOKUP(2,1/('Feijão 1ª safra'!$E25:INDEX('Feijão 1ª safra'!$E25:$Z25,MIN(AT$6-$E$3,22))&lt;&gt;""),'Feijão 1ª safra'!$E25:INDEX('Feijão 1ª safra'!$E25:$Z25,MIN(AT$6-$E$3,22))),0))-IF($G$2,0,IF((AT$6-$G$3)&lt;1,0,IFERROR(LOOKUP(2,1/('Feijão 1ª safra'!$E25:INDEX('Feijão 1ª safra'!$E25:$Z25,MIN(AT$6-$G$3,22))&lt;&gt;""),'Feijão 1ª safra'!$E25:INDEX('Feijão 1ª safra'!$E25:$Z25,MIN(AT$6-$G$3,22))),0)))))</f>
        <v>0</v>
      </c>
      <c r="AU27" s="27" t="n">
        <f aca="false">IF(COUNT('Feijão 1ª safra'!$E25:$Z25)=0,0,MAX(0,IF((AU$6-$E$3)&lt;1,0,IFERROR(LOOKUP(2,1/('Feijão 1ª safra'!$E25:INDEX('Feijão 1ª safra'!$E25:$Z25,MIN(AU$6-$E$3,22))&lt;&gt;""),'Feijão 1ª safra'!$E25:INDEX('Feijão 1ª safra'!$E25:$Z25,MIN(AU$6-$E$3,22))),0))-IF($G$2,0,IF((AU$6-$G$3)&lt;1,0,IFERROR(LOOKUP(2,1/('Feijão 1ª safra'!$E25:INDEX('Feijão 1ª safra'!$E25:$Z25,MIN(AU$6-$G$3,22))&lt;&gt;""),'Feijão 1ª safra'!$E25:INDEX('Feijão 1ª safra'!$E25:$Z25,MIN(AU$6-$G$3,22))),0)))))</f>
        <v>0</v>
      </c>
      <c r="AV27" s="27" t="n">
        <f aca="false">IF(COUNT('Feijão 1ª safra'!$E25:$Z25)=0,0,MAX(0,IF((AV$6-$E$3)&lt;1,0,IFERROR(LOOKUP(2,1/('Feijão 1ª safra'!$E25:INDEX('Feijão 1ª safra'!$E25:$Z25,MIN(AV$6-$E$3,22))&lt;&gt;""),'Feijão 1ª safra'!$E25:INDEX('Feijão 1ª safra'!$E25:$Z25,MIN(AV$6-$E$3,22))),0))-IF($G$2,0,IF((AV$6-$G$3)&lt;1,0,IFERROR(LOOKUP(2,1/('Feijão 1ª safra'!$E25:INDEX('Feijão 1ª safra'!$E25:$Z25,MIN(AV$6-$G$3,22))&lt;&gt;""),'Feijão 1ª safra'!$E25:INDEX('Feijão 1ª safra'!$E25:$Z25,MIN(AV$6-$G$3,22))),0)))))</f>
        <v>0</v>
      </c>
      <c r="AW27" s="27" t="n">
        <f aca="false">IF(COUNT('Feijão 1ª safra'!$E25:$Z25)=0,0,MAX(0,IF((AW$6-$E$3)&lt;1,0,IFERROR(LOOKUP(2,1/('Feijão 1ª safra'!$E25:INDEX('Feijão 1ª safra'!$E25:$Z25,MIN(AW$6-$E$3,22))&lt;&gt;""),'Feijão 1ª safra'!$E25:INDEX('Feijão 1ª safra'!$E25:$Z25,MIN(AW$6-$E$3,22))),0))-IF($G$2,0,IF((AW$6-$G$3)&lt;1,0,IFERROR(LOOKUP(2,1/('Feijão 1ª safra'!$E25:INDEX('Feijão 1ª safra'!$E25:$Z25,MIN(AW$6-$G$3,22))&lt;&gt;""),'Feijão 1ª safra'!$E25:INDEX('Feijão 1ª safra'!$E25:$Z25,MIN(AW$6-$G$3,22))),0)))))</f>
        <v>0</v>
      </c>
      <c r="AX27" s="27" t="n">
        <f aca="false">IF(COUNT('Feijão 1ª safra'!$E25:$Z25)=0,0,MAX(0,IF((AX$6-$E$3)&lt;1,0,IFERROR(LOOKUP(2,1/('Feijão 1ª safra'!$E25:INDEX('Feijão 1ª safra'!$E25:$Z25,MIN(AX$6-$E$3,22))&lt;&gt;""),'Feijão 1ª safra'!$E25:INDEX('Feijão 1ª safra'!$E25:$Z25,MIN(AX$6-$E$3,22))),0))-IF($G$2,0,IF((AX$6-$G$3)&lt;1,0,IFERROR(LOOKUP(2,1/('Feijão 1ª safra'!$E25:INDEX('Feijão 1ª safra'!$E25:$Z25,MIN(AX$6-$G$3,22))&lt;&gt;""),'Feijão 1ª safra'!$E25:INDEX('Feijão 1ª safra'!$E25:$Z25,MIN(AX$6-$G$3,22))),0)))))</f>
        <v>0</v>
      </c>
      <c r="AY27" s="27" t="n">
        <f aca="false">IF(COUNT('Feijão 1ª safra'!$E25:$Z25)=0,0,MAX(0,IF((AY$6-$E$3)&lt;1,0,IFERROR(LOOKUP(2,1/('Feijão 1ª safra'!$E25:INDEX('Feijão 1ª safra'!$E25:$Z25,MIN(AY$6-$E$3,22))&lt;&gt;""),'Feijão 1ª safra'!$E25:INDEX('Feijão 1ª safra'!$E25:$Z25,MIN(AY$6-$E$3,22))),0))-IF($G$2,0,IF((AY$6-$G$3)&lt;1,0,IFERROR(LOOKUP(2,1/('Feijão 1ª safra'!$E25:INDEX('Feijão 1ª safra'!$E25:$Z25,MIN(AY$6-$G$3,22))&lt;&gt;""),'Feijão 1ª safra'!$E25:INDEX('Feijão 1ª safra'!$E25:$Z25,MIN(AY$6-$G$3,22))),0)))))</f>
        <v>0</v>
      </c>
      <c r="AZ27" s="27" t="n">
        <f aca="false">IF(COUNT('Feijão 1ª safra'!$E25:$Z25)=0,0,MAX(0,IF((AZ$6-$E$3)&lt;1,0,IFERROR(LOOKUP(2,1/('Feijão 1ª safra'!$E25:INDEX('Feijão 1ª safra'!$E25:$Z25,MIN(AZ$6-$E$3,22))&lt;&gt;""),'Feijão 1ª safra'!$E25:INDEX('Feijão 1ª safra'!$E25:$Z25,MIN(AZ$6-$E$3,22))),0))-IF($G$2,0,IF((AZ$6-$G$3)&lt;1,0,IFERROR(LOOKUP(2,1/('Feijão 1ª safra'!$E25:INDEX('Feijão 1ª safra'!$E25:$Z25,MIN(AZ$6-$G$3,22))&lt;&gt;""),'Feijão 1ª safra'!$E25:INDEX('Feijão 1ª safra'!$E25:$Z25,MIN(AZ$6-$G$3,22))),0)))))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IF(COUNT('Feijão 1ª safra'!$E26:$Z26)&gt;0,N('Feijão 1ª safra'!$D26),0)</f>
        <v>0</v>
      </c>
      <c r="E28" s="27" t="n">
        <f aca="false">IF(COUNT('Feijão 1ª safra'!$E26:$Z26)=0,0,MAX(0,IF((E$6-$E$3)&lt;1,0,IFERROR(LOOKUP(2,1/('Feijão 1ª safra'!$E26:INDEX('Feijão 1ª safra'!$E26:$Z26,MIN(E$6-$E$3,22))&lt;&gt;""),'Feijão 1ª safra'!$E26:INDEX('Feijão 1ª safra'!$E26:$Z26,MIN(E$6-$E$3,22))),0))-IF($G$2,0,IF((E$6-$G$3)&lt;1,0,IFERROR(LOOKUP(2,1/('Feijão 1ª safra'!$E26:INDEX('Feijão 1ª safra'!$E26:$Z26,MIN(E$6-$G$3,22))&lt;&gt;""),'Feijão 1ª safra'!$E26:INDEX('Feijão 1ª safra'!$E26:$Z26,MIN(E$6-$G$3,22))),0)))))</f>
        <v>0</v>
      </c>
      <c r="F28" s="27" t="n">
        <f aca="false">IF(COUNT('Feijão 1ª safra'!$E26:$Z26)=0,0,MAX(0,IF((F$6-$E$3)&lt;1,0,IFERROR(LOOKUP(2,1/('Feijão 1ª safra'!$E26:INDEX('Feijão 1ª safra'!$E26:$Z26,MIN(F$6-$E$3,22))&lt;&gt;""),'Feijão 1ª safra'!$E26:INDEX('Feijão 1ª safra'!$E26:$Z26,MIN(F$6-$E$3,22))),0))-IF($G$2,0,IF((F$6-$G$3)&lt;1,0,IFERROR(LOOKUP(2,1/('Feijão 1ª safra'!$E26:INDEX('Feijão 1ª safra'!$E26:$Z26,MIN(F$6-$G$3,22))&lt;&gt;""),'Feijão 1ª safra'!$E26:INDEX('Feijão 1ª safra'!$E26:$Z26,MIN(F$6-$G$3,22))),0)))))</f>
        <v>0</v>
      </c>
      <c r="G28" s="27" t="n">
        <f aca="false">IF(COUNT('Feijão 1ª safra'!$E26:$Z26)=0,0,MAX(0,IF((G$6-$E$3)&lt;1,0,IFERROR(LOOKUP(2,1/('Feijão 1ª safra'!$E26:INDEX('Feijão 1ª safra'!$E26:$Z26,MIN(G$6-$E$3,22))&lt;&gt;""),'Feijão 1ª safra'!$E26:INDEX('Feijão 1ª safra'!$E26:$Z26,MIN(G$6-$E$3,22))),0))-IF($G$2,0,IF((G$6-$G$3)&lt;1,0,IFERROR(LOOKUP(2,1/('Feijão 1ª safra'!$E26:INDEX('Feijão 1ª safra'!$E26:$Z26,MIN(G$6-$G$3,22))&lt;&gt;""),'Feijão 1ª safra'!$E26:INDEX('Feijão 1ª safra'!$E26:$Z26,MIN(G$6-$G$3,22))),0)))))</f>
        <v>0</v>
      </c>
      <c r="H28" s="27" t="n">
        <f aca="false">IF(COUNT('Feijão 1ª safra'!$E26:$Z26)=0,0,MAX(0,IF((H$6-$E$3)&lt;1,0,IFERROR(LOOKUP(2,1/('Feijão 1ª safra'!$E26:INDEX('Feijão 1ª safra'!$E26:$Z26,MIN(H$6-$E$3,22))&lt;&gt;""),'Feijão 1ª safra'!$E26:INDEX('Feijão 1ª safra'!$E26:$Z26,MIN(H$6-$E$3,22))),0))-IF($G$2,0,IF((H$6-$G$3)&lt;1,0,IFERROR(LOOKUP(2,1/('Feijão 1ª safra'!$E26:INDEX('Feijão 1ª safra'!$E26:$Z26,MIN(H$6-$G$3,22))&lt;&gt;""),'Feijão 1ª safra'!$E26:INDEX('Feijão 1ª safra'!$E26:$Z26,MIN(H$6-$G$3,22))),0)))))</f>
        <v>0</v>
      </c>
      <c r="I28" s="27" t="n">
        <f aca="false">IF(COUNT('Feijão 1ª safra'!$E26:$Z26)=0,0,MAX(0,IF((I$6-$E$3)&lt;1,0,IFERROR(LOOKUP(2,1/('Feijão 1ª safra'!$E26:INDEX('Feijão 1ª safra'!$E26:$Z26,MIN(I$6-$E$3,22))&lt;&gt;""),'Feijão 1ª safra'!$E26:INDEX('Feijão 1ª safra'!$E26:$Z26,MIN(I$6-$E$3,22))),0))-IF($G$2,0,IF((I$6-$G$3)&lt;1,0,IFERROR(LOOKUP(2,1/('Feijão 1ª safra'!$E26:INDEX('Feijão 1ª safra'!$E26:$Z26,MIN(I$6-$G$3,22))&lt;&gt;""),'Feijão 1ª safra'!$E26:INDEX('Feijão 1ª safra'!$E26:$Z26,MIN(I$6-$G$3,22))),0)))))</f>
        <v>0</v>
      </c>
      <c r="J28" s="27" t="n">
        <f aca="false">IF(COUNT('Feijão 1ª safra'!$E26:$Z26)=0,0,MAX(0,IF((J$6-$E$3)&lt;1,0,IFERROR(LOOKUP(2,1/('Feijão 1ª safra'!$E26:INDEX('Feijão 1ª safra'!$E26:$Z26,MIN(J$6-$E$3,22))&lt;&gt;""),'Feijão 1ª safra'!$E26:INDEX('Feijão 1ª safra'!$E26:$Z26,MIN(J$6-$E$3,22))),0))-IF($G$2,0,IF((J$6-$G$3)&lt;1,0,IFERROR(LOOKUP(2,1/('Feijão 1ª safra'!$E26:INDEX('Feijão 1ª safra'!$E26:$Z26,MIN(J$6-$G$3,22))&lt;&gt;""),'Feijão 1ª safra'!$E26:INDEX('Feijão 1ª safra'!$E26:$Z26,MIN(J$6-$G$3,22))),0)))))</f>
        <v>0</v>
      </c>
      <c r="K28" s="27" t="n">
        <f aca="false">IF(COUNT('Feijão 1ª safra'!$E26:$Z26)=0,0,MAX(0,IF((K$6-$E$3)&lt;1,0,IFERROR(LOOKUP(2,1/('Feijão 1ª safra'!$E26:INDEX('Feijão 1ª safra'!$E26:$Z26,MIN(K$6-$E$3,22))&lt;&gt;""),'Feijão 1ª safra'!$E26:INDEX('Feijão 1ª safra'!$E26:$Z26,MIN(K$6-$E$3,22))),0))-IF($G$2,0,IF((K$6-$G$3)&lt;1,0,IFERROR(LOOKUP(2,1/('Feijão 1ª safra'!$E26:INDEX('Feijão 1ª safra'!$E26:$Z26,MIN(K$6-$G$3,22))&lt;&gt;""),'Feijão 1ª safra'!$E26:INDEX('Feijão 1ª safra'!$E26:$Z26,MIN(K$6-$G$3,22))),0)))))</f>
        <v>0</v>
      </c>
      <c r="L28" s="27" t="n">
        <f aca="false">IF(COUNT('Feijão 1ª safra'!$E26:$Z26)=0,0,MAX(0,IF((L$6-$E$3)&lt;1,0,IFERROR(LOOKUP(2,1/('Feijão 1ª safra'!$E26:INDEX('Feijão 1ª safra'!$E26:$Z26,MIN(L$6-$E$3,22))&lt;&gt;""),'Feijão 1ª safra'!$E26:INDEX('Feijão 1ª safra'!$E26:$Z26,MIN(L$6-$E$3,22))),0))-IF($G$2,0,IF((L$6-$G$3)&lt;1,0,IFERROR(LOOKUP(2,1/('Feijão 1ª safra'!$E26:INDEX('Feijão 1ª safra'!$E26:$Z26,MIN(L$6-$G$3,22))&lt;&gt;""),'Feijão 1ª safra'!$E26:INDEX('Feijão 1ª safra'!$E26:$Z26,MIN(L$6-$G$3,22))),0)))))</f>
        <v>0</v>
      </c>
      <c r="M28" s="27" t="n">
        <f aca="false">IF(COUNT('Feijão 1ª safra'!$E26:$Z26)=0,0,MAX(0,IF((M$6-$E$3)&lt;1,0,IFERROR(LOOKUP(2,1/('Feijão 1ª safra'!$E26:INDEX('Feijão 1ª safra'!$E26:$Z26,MIN(M$6-$E$3,22))&lt;&gt;""),'Feijão 1ª safra'!$E26:INDEX('Feijão 1ª safra'!$E26:$Z26,MIN(M$6-$E$3,22))),0))-IF($G$2,0,IF((M$6-$G$3)&lt;1,0,IFERROR(LOOKUP(2,1/('Feijão 1ª safra'!$E26:INDEX('Feijão 1ª safra'!$E26:$Z26,MIN(M$6-$G$3,22))&lt;&gt;""),'Feijão 1ª safra'!$E26:INDEX('Feijão 1ª safra'!$E26:$Z26,MIN(M$6-$G$3,22))),0)))))</f>
        <v>0</v>
      </c>
      <c r="N28" s="27" t="n">
        <f aca="false">IF(COUNT('Feijão 1ª safra'!$E26:$Z26)=0,0,MAX(0,IF((N$6-$E$3)&lt;1,0,IFERROR(LOOKUP(2,1/('Feijão 1ª safra'!$E26:INDEX('Feijão 1ª safra'!$E26:$Z26,MIN(N$6-$E$3,22))&lt;&gt;""),'Feijão 1ª safra'!$E26:INDEX('Feijão 1ª safra'!$E26:$Z26,MIN(N$6-$E$3,22))),0))-IF($G$2,0,IF((N$6-$G$3)&lt;1,0,IFERROR(LOOKUP(2,1/('Feijão 1ª safra'!$E26:INDEX('Feijão 1ª safra'!$E26:$Z26,MIN(N$6-$G$3,22))&lt;&gt;""),'Feijão 1ª safra'!$E26:INDEX('Feijão 1ª safra'!$E26:$Z26,MIN(N$6-$G$3,22))),0)))))</f>
        <v>0</v>
      </c>
      <c r="O28" s="27" t="n">
        <f aca="false">IF(COUNT('Feijão 1ª safra'!$E26:$Z26)=0,0,MAX(0,IF((O$6-$E$3)&lt;1,0,IFERROR(LOOKUP(2,1/('Feijão 1ª safra'!$E26:INDEX('Feijão 1ª safra'!$E26:$Z26,MIN(O$6-$E$3,22))&lt;&gt;""),'Feijão 1ª safra'!$E26:INDEX('Feijão 1ª safra'!$E26:$Z26,MIN(O$6-$E$3,22))),0))-IF($G$2,0,IF((O$6-$G$3)&lt;1,0,IFERROR(LOOKUP(2,1/('Feijão 1ª safra'!$E26:INDEX('Feijão 1ª safra'!$E26:$Z26,MIN(O$6-$G$3,22))&lt;&gt;""),'Feijão 1ª safra'!$E26:INDEX('Feijão 1ª safra'!$E26:$Z26,MIN(O$6-$G$3,22))),0)))))</f>
        <v>0</v>
      </c>
      <c r="P28" s="27" t="n">
        <f aca="false">IF(COUNT('Feijão 1ª safra'!$E26:$Z26)=0,0,MAX(0,IF((P$6-$E$3)&lt;1,0,IFERROR(LOOKUP(2,1/('Feijão 1ª safra'!$E26:INDEX('Feijão 1ª safra'!$E26:$Z26,MIN(P$6-$E$3,22))&lt;&gt;""),'Feijão 1ª safra'!$E26:INDEX('Feijão 1ª safra'!$E26:$Z26,MIN(P$6-$E$3,22))),0))-IF($G$2,0,IF((P$6-$G$3)&lt;1,0,IFERROR(LOOKUP(2,1/('Feijão 1ª safra'!$E26:INDEX('Feijão 1ª safra'!$E26:$Z26,MIN(P$6-$G$3,22))&lt;&gt;""),'Feijão 1ª safra'!$E26:INDEX('Feijão 1ª safra'!$E26:$Z26,MIN(P$6-$G$3,22))),0)))))</f>
        <v>0</v>
      </c>
      <c r="Q28" s="27" t="n">
        <f aca="false">IF(COUNT('Feijão 1ª safra'!$E26:$Z26)=0,0,MAX(0,IF((Q$6-$E$3)&lt;1,0,IFERROR(LOOKUP(2,1/('Feijão 1ª safra'!$E26:INDEX('Feijão 1ª safra'!$E26:$Z26,MIN(Q$6-$E$3,22))&lt;&gt;""),'Feijão 1ª safra'!$E26:INDEX('Feijão 1ª safra'!$E26:$Z26,MIN(Q$6-$E$3,22))),0))-IF($G$2,0,IF((Q$6-$G$3)&lt;1,0,IFERROR(LOOKUP(2,1/('Feijão 1ª safra'!$E26:INDEX('Feijão 1ª safra'!$E26:$Z26,MIN(Q$6-$G$3,22))&lt;&gt;""),'Feijão 1ª safra'!$E26:INDEX('Feijão 1ª safra'!$E26:$Z26,MIN(Q$6-$G$3,22))),0)))))</f>
        <v>0</v>
      </c>
      <c r="R28" s="27" t="n">
        <f aca="false">IF(COUNT('Feijão 1ª safra'!$E26:$Z26)=0,0,MAX(0,IF((R$6-$E$3)&lt;1,0,IFERROR(LOOKUP(2,1/('Feijão 1ª safra'!$E26:INDEX('Feijão 1ª safra'!$E26:$Z26,MIN(R$6-$E$3,22))&lt;&gt;""),'Feijão 1ª safra'!$E26:INDEX('Feijão 1ª safra'!$E26:$Z26,MIN(R$6-$E$3,22))),0))-IF($G$2,0,IF((R$6-$G$3)&lt;1,0,IFERROR(LOOKUP(2,1/('Feijão 1ª safra'!$E26:INDEX('Feijão 1ª safra'!$E26:$Z26,MIN(R$6-$G$3,22))&lt;&gt;""),'Feijão 1ª safra'!$E26:INDEX('Feijão 1ª safra'!$E26:$Z26,MIN(R$6-$G$3,22))),0)))))</f>
        <v>0</v>
      </c>
      <c r="S28" s="27" t="n">
        <f aca="false">IF(COUNT('Feijão 1ª safra'!$E26:$Z26)=0,0,MAX(0,IF((S$6-$E$3)&lt;1,0,IFERROR(LOOKUP(2,1/('Feijão 1ª safra'!$E26:INDEX('Feijão 1ª safra'!$E26:$Z26,MIN(S$6-$E$3,22))&lt;&gt;""),'Feijão 1ª safra'!$E26:INDEX('Feijão 1ª safra'!$E26:$Z26,MIN(S$6-$E$3,22))),0))-IF($G$2,0,IF((S$6-$G$3)&lt;1,0,IFERROR(LOOKUP(2,1/('Feijão 1ª safra'!$E26:INDEX('Feijão 1ª safra'!$E26:$Z26,MIN(S$6-$G$3,22))&lt;&gt;""),'Feijão 1ª safra'!$E26:INDEX('Feijão 1ª safra'!$E26:$Z26,MIN(S$6-$G$3,22))),0)))))</f>
        <v>0</v>
      </c>
      <c r="T28" s="27" t="n">
        <f aca="false">IF(COUNT('Feijão 1ª safra'!$E26:$Z26)=0,0,MAX(0,IF((T$6-$E$3)&lt;1,0,IFERROR(LOOKUP(2,1/('Feijão 1ª safra'!$E26:INDEX('Feijão 1ª safra'!$E26:$Z26,MIN(T$6-$E$3,22))&lt;&gt;""),'Feijão 1ª safra'!$E26:INDEX('Feijão 1ª safra'!$E26:$Z26,MIN(T$6-$E$3,22))),0))-IF($G$2,0,IF((T$6-$G$3)&lt;1,0,IFERROR(LOOKUP(2,1/('Feijão 1ª safra'!$E26:INDEX('Feijão 1ª safra'!$E26:$Z26,MIN(T$6-$G$3,22))&lt;&gt;""),'Feijão 1ª safra'!$E26:INDEX('Feijão 1ª safra'!$E26:$Z26,MIN(T$6-$G$3,22))),0)))))</f>
        <v>0</v>
      </c>
      <c r="U28" s="27" t="n">
        <f aca="false">IF(COUNT('Feijão 1ª safra'!$E26:$Z26)=0,0,MAX(0,IF((U$6-$E$3)&lt;1,0,IFERROR(LOOKUP(2,1/('Feijão 1ª safra'!$E26:INDEX('Feijão 1ª safra'!$E26:$Z26,MIN(U$6-$E$3,22))&lt;&gt;""),'Feijão 1ª safra'!$E26:INDEX('Feijão 1ª safra'!$E26:$Z26,MIN(U$6-$E$3,22))),0))-IF($G$2,0,IF((U$6-$G$3)&lt;1,0,IFERROR(LOOKUP(2,1/('Feijão 1ª safra'!$E26:INDEX('Feijão 1ª safra'!$E26:$Z26,MIN(U$6-$G$3,22))&lt;&gt;""),'Feijão 1ª safra'!$E26:INDEX('Feijão 1ª safra'!$E26:$Z26,MIN(U$6-$G$3,22))),0)))))</f>
        <v>0</v>
      </c>
      <c r="V28" s="27" t="n">
        <f aca="false">IF(COUNT('Feijão 1ª safra'!$E26:$Z26)=0,0,MAX(0,IF((V$6-$E$3)&lt;1,0,IFERROR(LOOKUP(2,1/('Feijão 1ª safra'!$E26:INDEX('Feijão 1ª safra'!$E26:$Z26,MIN(V$6-$E$3,22))&lt;&gt;""),'Feijão 1ª safra'!$E26:INDEX('Feijão 1ª safra'!$E26:$Z26,MIN(V$6-$E$3,22))),0))-IF($G$2,0,IF((V$6-$G$3)&lt;1,0,IFERROR(LOOKUP(2,1/('Feijão 1ª safra'!$E26:INDEX('Feijão 1ª safra'!$E26:$Z26,MIN(V$6-$G$3,22))&lt;&gt;""),'Feijão 1ª safra'!$E26:INDEX('Feijão 1ª safra'!$E26:$Z26,MIN(V$6-$G$3,22))),0)))))</f>
        <v>0</v>
      </c>
      <c r="W28" s="27" t="n">
        <f aca="false">IF(COUNT('Feijão 1ª safra'!$E26:$Z26)=0,0,MAX(0,IF((W$6-$E$3)&lt;1,0,IFERROR(LOOKUP(2,1/('Feijão 1ª safra'!$E26:INDEX('Feijão 1ª safra'!$E26:$Z26,MIN(W$6-$E$3,22))&lt;&gt;""),'Feijão 1ª safra'!$E26:INDEX('Feijão 1ª safra'!$E26:$Z26,MIN(W$6-$E$3,22))),0))-IF($G$2,0,IF((W$6-$G$3)&lt;1,0,IFERROR(LOOKUP(2,1/('Feijão 1ª safra'!$E26:INDEX('Feijão 1ª safra'!$E26:$Z26,MIN(W$6-$G$3,22))&lt;&gt;""),'Feijão 1ª safra'!$E26:INDEX('Feijão 1ª safra'!$E26:$Z26,MIN(W$6-$G$3,22))),0)))))</f>
        <v>0</v>
      </c>
      <c r="X28" s="27" t="n">
        <f aca="false">IF(COUNT('Feijão 1ª safra'!$E26:$Z26)=0,0,MAX(0,IF((X$6-$E$3)&lt;1,0,IFERROR(LOOKUP(2,1/('Feijão 1ª safra'!$E26:INDEX('Feijão 1ª safra'!$E26:$Z26,MIN(X$6-$E$3,22))&lt;&gt;""),'Feijão 1ª safra'!$E26:INDEX('Feijão 1ª safra'!$E26:$Z26,MIN(X$6-$E$3,22))),0))-IF($G$2,0,IF((X$6-$G$3)&lt;1,0,IFERROR(LOOKUP(2,1/('Feijão 1ª safra'!$E26:INDEX('Feijão 1ª safra'!$E26:$Z26,MIN(X$6-$G$3,22))&lt;&gt;""),'Feijão 1ª safra'!$E26:INDEX('Feijão 1ª safra'!$E26:$Z26,MIN(X$6-$G$3,22))),0)))))</f>
        <v>0</v>
      </c>
      <c r="Y28" s="27" t="n">
        <f aca="false">IF(COUNT('Feijão 1ª safra'!$E26:$Z26)=0,0,MAX(0,IF((Y$6-$E$3)&lt;1,0,IFERROR(LOOKUP(2,1/('Feijão 1ª safra'!$E26:INDEX('Feijão 1ª safra'!$E26:$Z26,MIN(Y$6-$E$3,22))&lt;&gt;""),'Feijão 1ª safra'!$E26:INDEX('Feijão 1ª safra'!$E26:$Z26,MIN(Y$6-$E$3,22))),0))-IF($G$2,0,IF((Y$6-$G$3)&lt;1,0,IFERROR(LOOKUP(2,1/('Feijão 1ª safra'!$E26:INDEX('Feijão 1ª safra'!$E26:$Z26,MIN(Y$6-$G$3,22))&lt;&gt;""),'Feijão 1ª safra'!$E26:INDEX('Feijão 1ª safra'!$E26:$Z26,MIN(Y$6-$G$3,22))),0)))))</f>
        <v>0</v>
      </c>
      <c r="Z28" s="27" t="n">
        <f aca="false">IF(COUNT('Feijão 1ª safra'!$E26:$Z26)=0,0,MAX(0,IF((Z$6-$E$3)&lt;1,0,IFERROR(LOOKUP(2,1/('Feijão 1ª safra'!$E26:INDEX('Feijão 1ª safra'!$E26:$Z26,MIN(Z$6-$E$3,22))&lt;&gt;""),'Feijão 1ª safra'!$E26:INDEX('Feijão 1ª safra'!$E26:$Z26,MIN(Z$6-$E$3,22))),0))-IF($G$2,0,IF((Z$6-$G$3)&lt;1,0,IFERROR(LOOKUP(2,1/('Feijão 1ª safra'!$E26:INDEX('Feijão 1ª safra'!$E26:$Z26,MIN(Z$6-$G$3,22))&lt;&gt;""),'Feijão 1ª safra'!$E26:INDEX('Feijão 1ª safra'!$E26:$Z26,MIN(Z$6-$G$3,22))),0)))))</f>
        <v>0</v>
      </c>
      <c r="AA28" s="27" t="n">
        <f aca="false">IF(COUNT('Feijão 1ª safra'!$E26:$Z26)=0,0,MAX(0,IF((AA$6-$E$3)&lt;1,0,IFERROR(LOOKUP(2,1/('Feijão 1ª safra'!$E26:INDEX('Feijão 1ª safra'!$E26:$Z26,MIN(AA$6-$E$3,22))&lt;&gt;""),'Feijão 1ª safra'!$E26:INDEX('Feijão 1ª safra'!$E26:$Z26,MIN(AA$6-$E$3,22))),0))-IF($G$2,0,IF((AA$6-$G$3)&lt;1,0,IFERROR(LOOKUP(2,1/('Feijão 1ª safra'!$E26:INDEX('Feijão 1ª safra'!$E26:$Z26,MIN(AA$6-$G$3,22))&lt;&gt;""),'Feijão 1ª safra'!$E26:INDEX('Feijão 1ª safra'!$E26:$Z26,MIN(AA$6-$G$3,22))),0)))))</f>
        <v>0</v>
      </c>
      <c r="AB28" s="27" t="n">
        <f aca="false">IF(COUNT('Feijão 1ª safra'!$E26:$Z26)=0,0,MAX(0,IF((AB$6-$E$3)&lt;1,0,IFERROR(LOOKUP(2,1/('Feijão 1ª safra'!$E26:INDEX('Feijão 1ª safra'!$E26:$Z26,MIN(AB$6-$E$3,22))&lt;&gt;""),'Feijão 1ª safra'!$E26:INDEX('Feijão 1ª safra'!$E26:$Z26,MIN(AB$6-$E$3,22))),0))-IF($G$2,0,IF((AB$6-$G$3)&lt;1,0,IFERROR(LOOKUP(2,1/('Feijão 1ª safra'!$E26:INDEX('Feijão 1ª safra'!$E26:$Z26,MIN(AB$6-$G$3,22))&lt;&gt;""),'Feijão 1ª safra'!$E26:INDEX('Feijão 1ª safra'!$E26:$Z26,MIN(AB$6-$G$3,22))),0)))))</f>
        <v>0</v>
      </c>
      <c r="AC28" s="27" t="n">
        <f aca="false">IF(COUNT('Feijão 1ª safra'!$E26:$Z26)=0,0,MAX(0,IF((AC$6-$E$3)&lt;1,0,IFERROR(LOOKUP(2,1/('Feijão 1ª safra'!$E26:INDEX('Feijão 1ª safra'!$E26:$Z26,MIN(AC$6-$E$3,22))&lt;&gt;""),'Feijão 1ª safra'!$E26:INDEX('Feijão 1ª safra'!$E26:$Z26,MIN(AC$6-$E$3,22))),0))-IF($G$2,0,IF((AC$6-$G$3)&lt;1,0,IFERROR(LOOKUP(2,1/('Feijão 1ª safra'!$E26:INDEX('Feijão 1ª safra'!$E26:$Z26,MIN(AC$6-$G$3,22))&lt;&gt;""),'Feijão 1ª safra'!$E26:INDEX('Feijão 1ª safra'!$E26:$Z26,MIN(AC$6-$G$3,22))),0)))))</f>
        <v>0</v>
      </c>
      <c r="AD28" s="27" t="n">
        <f aca="false">IF(COUNT('Feijão 1ª safra'!$E26:$Z26)=0,0,MAX(0,IF((AD$6-$E$3)&lt;1,0,IFERROR(LOOKUP(2,1/('Feijão 1ª safra'!$E26:INDEX('Feijão 1ª safra'!$E26:$Z26,MIN(AD$6-$E$3,22))&lt;&gt;""),'Feijão 1ª safra'!$E26:INDEX('Feijão 1ª safra'!$E26:$Z26,MIN(AD$6-$E$3,22))),0))-IF($G$2,0,IF((AD$6-$G$3)&lt;1,0,IFERROR(LOOKUP(2,1/('Feijão 1ª safra'!$E26:INDEX('Feijão 1ª safra'!$E26:$Z26,MIN(AD$6-$G$3,22))&lt;&gt;""),'Feijão 1ª safra'!$E26:INDEX('Feijão 1ª safra'!$E26:$Z26,MIN(AD$6-$G$3,22))),0)))))</f>
        <v>0</v>
      </c>
      <c r="AE28" s="27" t="n">
        <f aca="false">IF(COUNT('Feijão 1ª safra'!$E26:$Z26)=0,0,MAX(0,IF((AE$6-$E$3)&lt;1,0,IFERROR(LOOKUP(2,1/('Feijão 1ª safra'!$E26:INDEX('Feijão 1ª safra'!$E26:$Z26,MIN(AE$6-$E$3,22))&lt;&gt;""),'Feijão 1ª safra'!$E26:INDEX('Feijão 1ª safra'!$E26:$Z26,MIN(AE$6-$E$3,22))),0))-IF($G$2,0,IF((AE$6-$G$3)&lt;1,0,IFERROR(LOOKUP(2,1/('Feijão 1ª safra'!$E26:INDEX('Feijão 1ª safra'!$E26:$Z26,MIN(AE$6-$G$3,22))&lt;&gt;""),'Feijão 1ª safra'!$E26:INDEX('Feijão 1ª safra'!$E26:$Z26,MIN(AE$6-$G$3,22))),0)))))</f>
        <v>0</v>
      </c>
      <c r="AF28" s="27" t="n">
        <f aca="false">IF(COUNT('Feijão 1ª safra'!$E26:$Z26)=0,0,MAX(0,IF((AF$6-$E$3)&lt;1,0,IFERROR(LOOKUP(2,1/('Feijão 1ª safra'!$E26:INDEX('Feijão 1ª safra'!$E26:$Z26,MIN(AF$6-$E$3,22))&lt;&gt;""),'Feijão 1ª safra'!$E26:INDEX('Feijão 1ª safra'!$E26:$Z26,MIN(AF$6-$E$3,22))),0))-IF($G$2,0,IF((AF$6-$G$3)&lt;1,0,IFERROR(LOOKUP(2,1/('Feijão 1ª safra'!$E26:INDEX('Feijão 1ª safra'!$E26:$Z26,MIN(AF$6-$G$3,22))&lt;&gt;""),'Feijão 1ª safra'!$E26:INDEX('Feijão 1ª safra'!$E26:$Z26,MIN(AF$6-$G$3,22))),0)))))</f>
        <v>0</v>
      </c>
      <c r="AG28" s="27" t="n">
        <f aca="false">IF(COUNT('Feijão 1ª safra'!$E26:$Z26)=0,0,MAX(0,IF((AG$6-$E$3)&lt;1,0,IFERROR(LOOKUP(2,1/('Feijão 1ª safra'!$E26:INDEX('Feijão 1ª safra'!$E26:$Z26,MIN(AG$6-$E$3,22))&lt;&gt;""),'Feijão 1ª safra'!$E26:INDEX('Feijão 1ª safra'!$E26:$Z26,MIN(AG$6-$E$3,22))),0))-IF($G$2,0,IF((AG$6-$G$3)&lt;1,0,IFERROR(LOOKUP(2,1/('Feijão 1ª safra'!$E26:INDEX('Feijão 1ª safra'!$E26:$Z26,MIN(AG$6-$G$3,22))&lt;&gt;""),'Feijão 1ª safra'!$E26:INDEX('Feijão 1ª safra'!$E26:$Z26,MIN(AG$6-$G$3,22))),0)))))</f>
        <v>0</v>
      </c>
      <c r="AH28" s="27" t="n">
        <f aca="false">IF(COUNT('Feijão 1ª safra'!$E26:$Z26)=0,0,MAX(0,IF((AH$6-$E$3)&lt;1,0,IFERROR(LOOKUP(2,1/('Feijão 1ª safra'!$E26:INDEX('Feijão 1ª safra'!$E26:$Z26,MIN(AH$6-$E$3,22))&lt;&gt;""),'Feijão 1ª safra'!$E26:INDEX('Feijão 1ª safra'!$E26:$Z26,MIN(AH$6-$E$3,22))),0))-IF($G$2,0,IF((AH$6-$G$3)&lt;1,0,IFERROR(LOOKUP(2,1/('Feijão 1ª safra'!$E26:INDEX('Feijão 1ª safra'!$E26:$Z26,MIN(AH$6-$G$3,22))&lt;&gt;""),'Feijão 1ª safra'!$E26:INDEX('Feijão 1ª safra'!$E26:$Z26,MIN(AH$6-$G$3,22))),0)))))</f>
        <v>0</v>
      </c>
      <c r="AI28" s="27" t="n">
        <f aca="false">IF(COUNT('Feijão 1ª safra'!$E26:$Z26)=0,0,MAX(0,IF((AI$6-$E$3)&lt;1,0,IFERROR(LOOKUP(2,1/('Feijão 1ª safra'!$E26:INDEX('Feijão 1ª safra'!$E26:$Z26,MIN(AI$6-$E$3,22))&lt;&gt;""),'Feijão 1ª safra'!$E26:INDEX('Feijão 1ª safra'!$E26:$Z26,MIN(AI$6-$E$3,22))),0))-IF($G$2,0,IF((AI$6-$G$3)&lt;1,0,IFERROR(LOOKUP(2,1/('Feijão 1ª safra'!$E26:INDEX('Feijão 1ª safra'!$E26:$Z26,MIN(AI$6-$G$3,22))&lt;&gt;""),'Feijão 1ª safra'!$E26:INDEX('Feijão 1ª safra'!$E26:$Z26,MIN(AI$6-$G$3,22))),0)))))</f>
        <v>0</v>
      </c>
      <c r="AJ28" s="27" t="n">
        <f aca="false">IF(COUNT('Feijão 1ª safra'!$E26:$Z26)=0,0,MAX(0,IF((AJ$6-$E$3)&lt;1,0,IFERROR(LOOKUP(2,1/('Feijão 1ª safra'!$E26:INDEX('Feijão 1ª safra'!$E26:$Z26,MIN(AJ$6-$E$3,22))&lt;&gt;""),'Feijão 1ª safra'!$E26:INDEX('Feijão 1ª safra'!$E26:$Z26,MIN(AJ$6-$E$3,22))),0))-IF($G$2,0,IF((AJ$6-$G$3)&lt;1,0,IFERROR(LOOKUP(2,1/('Feijão 1ª safra'!$E26:INDEX('Feijão 1ª safra'!$E26:$Z26,MIN(AJ$6-$G$3,22))&lt;&gt;""),'Feijão 1ª safra'!$E26:INDEX('Feijão 1ª safra'!$E26:$Z26,MIN(AJ$6-$G$3,22))),0)))))</f>
        <v>0</v>
      </c>
      <c r="AK28" s="27" t="n">
        <f aca="false">IF(COUNT('Feijão 1ª safra'!$E26:$Z26)=0,0,MAX(0,IF((AK$6-$E$3)&lt;1,0,IFERROR(LOOKUP(2,1/('Feijão 1ª safra'!$E26:INDEX('Feijão 1ª safra'!$E26:$Z26,MIN(AK$6-$E$3,22))&lt;&gt;""),'Feijão 1ª safra'!$E26:INDEX('Feijão 1ª safra'!$E26:$Z26,MIN(AK$6-$E$3,22))),0))-IF($G$2,0,IF((AK$6-$G$3)&lt;1,0,IFERROR(LOOKUP(2,1/('Feijão 1ª safra'!$E26:INDEX('Feijão 1ª safra'!$E26:$Z26,MIN(AK$6-$G$3,22))&lt;&gt;""),'Feijão 1ª safra'!$E26:INDEX('Feijão 1ª safra'!$E26:$Z26,MIN(AK$6-$G$3,22))),0)))))</f>
        <v>0</v>
      </c>
      <c r="AL28" s="27" t="n">
        <f aca="false">IF(COUNT('Feijão 1ª safra'!$E26:$Z26)=0,0,MAX(0,IF((AL$6-$E$3)&lt;1,0,IFERROR(LOOKUP(2,1/('Feijão 1ª safra'!$E26:INDEX('Feijão 1ª safra'!$E26:$Z26,MIN(AL$6-$E$3,22))&lt;&gt;""),'Feijão 1ª safra'!$E26:INDEX('Feijão 1ª safra'!$E26:$Z26,MIN(AL$6-$E$3,22))),0))-IF($G$2,0,IF((AL$6-$G$3)&lt;1,0,IFERROR(LOOKUP(2,1/('Feijão 1ª safra'!$E26:INDEX('Feijão 1ª safra'!$E26:$Z26,MIN(AL$6-$G$3,22))&lt;&gt;""),'Feijão 1ª safra'!$E26:INDEX('Feijão 1ª safra'!$E26:$Z26,MIN(AL$6-$G$3,22))),0)))))</f>
        <v>0</v>
      </c>
      <c r="AM28" s="27" t="n">
        <f aca="false">IF(COUNT('Feijão 1ª safra'!$E26:$Z26)=0,0,MAX(0,IF((AM$6-$E$3)&lt;1,0,IFERROR(LOOKUP(2,1/('Feijão 1ª safra'!$E26:INDEX('Feijão 1ª safra'!$E26:$Z26,MIN(AM$6-$E$3,22))&lt;&gt;""),'Feijão 1ª safra'!$E26:INDEX('Feijão 1ª safra'!$E26:$Z26,MIN(AM$6-$E$3,22))),0))-IF($G$2,0,IF((AM$6-$G$3)&lt;1,0,IFERROR(LOOKUP(2,1/('Feijão 1ª safra'!$E26:INDEX('Feijão 1ª safra'!$E26:$Z26,MIN(AM$6-$G$3,22))&lt;&gt;""),'Feijão 1ª safra'!$E26:INDEX('Feijão 1ª safra'!$E26:$Z26,MIN(AM$6-$G$3,22))),0)))))</f>
        <v>0</v>
      </c>
      <c r="AN28" s="27" t="n">
        <f aca="false">IF(COUNT('Feijão 1ª safra'!$E26:$Z26)=0,0,MAX(0,IF((AN$6-$E$3)&lt;1,0,IFERROR(LOOKUP(2,1/('Feijão 1ª safra'!$E26:INDEX('Feijão 1ª safra'!$E26:$Z26,MIN(AN$6-$E$3,22))&lt;&gt;""),'Feijão 1ª safra'!$E26:INDEX('Feijão 1ª safra'!$E26:$Z26,MIN(AN$6-$E$3,22))),0))-IF($G$2,0,IF((AN$6-$G$3)&lt;1,0,IFERROR(LOOKUP(2,1/('Feijão 1ª safra'!$E26:INDEX('Feijão 1ª safra'!$E26:$Z26,MIN(AN$6-$G$3,22))&lt;&gt;""),'Feijão 1ª safra'!$E26:INDEX('Feijão 1ª safra'!$E26:$Z26,MIN(AN$6-$G$3,22))),0)))))</f>
        <v>0</v>
      </c>
      <c r="AO28" s="27" t="n">
        <f aca="false">IF(COUNT('Feijão 1ª safra'!$E26:$Z26)=0,0,MAX(0,IF((AO$6-$E$3)&lt;1,0,IFERROR(LOOKUP(2,1/('Feijão 1ª safra'!$E26:INDEX('Feijão 1ª safra'!$E26:$Z26,MIN(AO$6-$E$3,22))&lt;&gt;""),'Feijão 1ª safra'!$E26:INDEX('Feijão 1ª safra'!$E26:$Z26,MIN(AO$6-$E$3,22))),0))-IF($G$2,0,IF((AO$6-$G$3)&lt;1,0,IFERROR(LOOKUP(2,1/('Feijão 1ª safra'!$E26:INDEX('Feijão 1ª safra'!$E26:$Z26,MIN(AO$6-$G$3,22))&lt;&gt;""),'Feijão 1ª safra'!$E26:INDEX('Feijão 1ª safra'!$E26:$Z26,MIN(AO$6-$G$3,22))),0)))))</f>
        <v>0</v>
      </c>
      <c r="AP28" s="27" t="n">
        <f aca="false">IF(COUNT('Feijão 1ª safra'!$E26:$Z26)=0,0,MAX(0,IF((AP$6-$E$3)&lt;1,0,IFERROR(LOOKUP(2,1/('Feijão 1ª safra'!$E26:INDEX('Feijão 1ª safra'!$E26:$Z26,MIN(AP$6-$E$3,22))&lt;&gt;""),'Feijão 1ª safra'!$E26:INDEX('Feijão 1ª safra'!$E26:$Z26,MIN(AP$6-$E$3,22))),0))-IF($G$2,0,IF((AP$6-$G$3)&lt;1,0,IFERROR(LOOKUP(2,1/('Feijão 1ª safra'!$E26:INDEX('Feijão 1ª safra'!$E26:$Z26,MIN(AP$6-$G$3,22))&lt;&gt;""),'Feijão 1ª safra'!$E26:INDEX('Feijão 1ª safra'!$E26:$Z26,MIN(AP$6-$G$3,22))),0)))))</f>
        <v>0</v>
      </c>
      <c r="AQ28" s="27" t="n">
        <f aca="false">IF(COUNT('Feijão 1ª safra'!$E26:$Z26)=0,0,MAX(0,IF((AQ$6-$E$3)&lt;1,0,IFERROR(LOOKUP(2,1/('Feijão 1ª safra'!$E26:INDEX('Feijão 1ª safra'!$E26:$Z26,MIN(AQ$6-$E$3,22))&lt;&gt;""),'Feijão 1ª safra'!$E26:INDEX('Feijão 1ª safra'!$E26:$Z26,MIN(AQ$6-$E$3,22))),0))-IF($G$2,0,IF((AQ$6-$G$3)&lt;1,0,IFERROR(LOOKUP(2,1/('Feijão 1ª safra'!$E26:INDEX('Feijão 1ª safra'!$E26:$Z26,MIN(AQ$6-$G$3,22))&lt;&gt;""),'Feijão 1ª safra'!$E26:INDEX('Feijão 1ª safra'!$E26:$Z26,MIN(AQ$6-$G$3,22))),0)))))</f>
        <v>0</v>
      </c>
      <c r="AR28" s="27" t="n">
        <f aca="false">IF(COUNT('Feijão 1ª safra'!$E26:$Z26)=0,0,MAX(0,IF((AR$6-$E$3)&lt;1,0,IFERROR(LOOKUP(2,1/('Feijão 1ª safra'!$E26:INDEX('Feijão 1ª safra'!$E26:$Z26,MIN(AR$6-$E$3,22))&lt;&gt;""),'Feijão 1ª safra'!$E26:INDEX('Feijão 1ª safra'!$E26:$Z26,MIN(AR$6-$E$3,22))),0))-IF($G$2,0,IF((AR$6-$G$3)&lt;1,0,IFERROR(LOOKUP(2,1/('Feijão 1ª safra'!$E26:INDEX('Feijão 1ª safra'!$E26:$Z26,MIN(AR$6-$G$3,22))&lt;&gt;""),'Feijão 1ª safra'!$E26:INDEX('Feijão 1ª safra'!$E26:$Z26,MIN(AR$6-$G$3,22))),0)))))</f>
        <v>0</v>
      </c>
      <c r="AS28" s="27" t="n">
        <f aca="false">IF(COUNT('Feijão 1ª safra'!$E26:$Z26)=0,0,MAX(0,IF((AS$6-$E$3)&lt;1,0,IFERROR(LOOKUP(2,1/('Feijão 1ª safra'!$E26:INDEX('Feijão 1ª safra'!$E26:$Z26,MIN(AS$6-$E$3,22))&lt;&gt;""),'Feijão 1ª safra'!$E26:INDEX('Feijão 1ª safra'!$E26:$Z26,MIN(AS$6-$E$3,22))),0))-IF($G$2,0,IF((AS$6-$G$3)&lt;1,0,IFERROR(LOOKUP(2,1/('Feijão 1ª safra'!$E26:INDEX('Feijão 1ª safra'!$E26:$Z26,MIN(AS$6-$G$3,22))&lt;&gt;""),'Feijão 1ª safra'!$E26:INDEX('Feijão 1ª safra'!$E26:$Z26,MIN(AS$6-$G$3,22))),0)))))</f>
        <v>0</v>
      </c>
      <c r="AT28" s="27" t="n">
        <f aca="false">IF(COUNT('Feijão 1ª safra'!$E26:$Z26)=0,0,MAX(0,IF((AT$6-$E$3)&lt;1,0,IFERROR(LOOKUP(2,1/('Feijão 1ª safra'!$E26:INDEX('Feijão 1ª safra'!$E26:$Z26,MIN(AT$6-$E$3,22))&lt;&gt;""),'Feijão 1ª safra'!$E26:INDEX('Feijão 1ª safra'!$E26:$Z26,MIN(AT$6-$E$3,22))),0))-IF($G$2,0,IF((AT$6-$G$3)&lt;1,0,IFERROR(LOOKUP(2,1/('Feijão 1ª safra'!$E26:INDEX('Feijão 1ª safra'!$E26:$Z26,MIN(AT$6-$G$3,22))&lt;&gt;""),'Feijão 1ª safra'!$E26:INDEX('Feijão 1ª safra'!$E26:$Z26,MIN(AT$6-$G$3,22))),0)))))</f>
        <v>0</v>
      </c>
      <c r="AU28" s="27" t="n">
        <f aca="false">IF(COUNT('Feijão 1ª safra'!$E26:$Z26)=0,0,MAX(0,IF((AU$6-$E$3)&lt;1,0,IFERROR(LOOKUP(2,1/('Feijão 1ª safra'!$E26:INDEX('Feijão 1ª safra'!$E26:$Z26,MIN(AU$6-$E$3,22))&lt;&gt;""),'Feijão 1ª safra'!$E26:INDEX('Feijão 1ª safra'!$E26:$Z26,MIN(AU$6-$E$3,22))),0))-IF($G$2,0,IF((AU$6-$G$3)&lt;1,0,IFERROR(LOOKUP(2,1/('Feijão 1ª safra'!$E26:INDEX('Feijão 1ª safra'!$E26:$Z26,MIN(AU$6-$G$3,22))&lt;&gt;""),'Feijão 1ª safra'!$E26:INDEX('Feijão 1ª safra'!$E26:$Z26,MIN(AU$6-$G$3,22))),0)))))</f>
        <v>0</v>
      </c>
      <c r="AV28" s="27" t="n">
        <f aca="false">IF(COUNT('Feijão 1ª safra'!$E26:$Z26)=0,0,MAX(0,IF((AV$6-$E$3)&lt;1,0,IFERROR(LOOKUP(2,1/('Feijão 1ª safra'!$E26:INDEX('Feijão 1ª safra'!$E26:$Z26,MIN(AV$6-$E$3,22))&lt;&gt;""),'Feijão 1ª safra'!$E26:INDEX('Feijão 1ª safra'!$E26:$Z26,MIN(AV$6-$E$3,22))),0))-IF($G$2,0,IF((AV$6-$G$3)&lt;1,0,IFERROR(LOOKUP(2,1/('Feijão 1ª safra'!$E26:INDEX('Feijão 1ª safra'!$E26:$Z26,MIN(AV$6-$G$3,22))&lt;&gt;""),'Feijão 1ª safra'!$E26:INDEX('Feijão 1ª safra'!$E26:$Z26,MIN(AV$6-$G$3,22))),0)))))</f>
        <v>0</v>
      </c>
      <c r="AW28" s="27" t="n">
        <f aca="false">IF(COUNT('Feijão 1ª safra'!$E26:$Z26)=0,0,MAX(0,IF((AW$6-$E$3)&lt;1,0,IFERROR(LOOKUP(2,1/('Feijão 1ª safra'!$E26:INDEX('Feijão 1ª safra'!$E26:$Z26,MIN(AW$6-$E$3,22))&lt;&gt;""),'Feijão 1ª safra'!$E26:INDEX('Feijão 1ª safra'!$E26:$Z26,MIN(AW$6-$E$3,22))),0))-IF($G$2,0,IF((AW$6-$G$3)&lt;1,0,IFERROR(LOOKUP(2,1/('Feijão 1ª safra'!$E26:INDEX('Feijão 1ª safra'!$E26:$Z26,MIN(AW$6-$G$3,22))&lt;&gt;""),'Feijão 1ª safra'!$E26:INDEX('Feijão 1ª safra'!$E26:$Z26,MIN(AW$6-$G$3,22))),0)))))</f>
        <v>0</v>
      </c>
      <c r="AX28" s="27" t="n">
        <f aca="false">IF(COUNT('Feijão 1ª safra'!$E26:$Z26)=0,0,MAX(0,IF((AX$6-$E$3)&lt;1,0,IFERROR(LOOKUP(2,1/('Feijão 1ª safra'!$E26:INDEX('Feijão 1ª safra'!$E26:$Z26,MIN(AX$6-$E$3,22))&lt;&gt;""),'Feijão 1ª safra'!$E26:INDEX('Feijão 1ª safra'!$E26:$Z26,MIN(AX$6-$E$3,22))),0))-IF($G$2,0,IF((AX$6-$G$3)&lt;1,0,IFERROR(LOOKUP(2,1/('Feijão 1ª safra'!$E26:INDEX('Feijão 1ª safra'!$E26:$Z26,MIN(AX$6-$G$3,22))&lt;&gt;""),'Feijão 1ª safra'!$E26:INDEX('Feijão 1ª safra'!$E26:$Z26,MIN(AX$6-$G$3,22))),0)))))</f>
        <v>0</v>
      </c>
      <c r="AY28" s="27" t="n">
        <f aca="false">IF(COUNT('Feijão 1ª safra'!$E26:$Z26)=0,0,MAX(0,IF((AY$6-$E$3)&lt;1,0,IFERROR(LOOKUP(2,1/('Feijão 1ª safra'!$E26:INDEX('Feijão 1ª safra'!$E26:$Z26,MIN(AY$6-$E$3,22))&lt;&gt;""),'Feijão 1ª safra'!$E26:INDEX('Feijão 1ª safra'!$E26:$Z26,MIN(AY$6-$E$3,22))),0))-IF($G$2,0,IF((AY$6-$G$3)&lt;1,0,IFERROR(LOOKUP(2,1/('Feijão 1ª safra'!$E26:INDEX('Feijão 1ª safra'!$E26:$Z26,MIN(AY$6-$G$3,22))&lt;&gt;""),'Feijão 1ª safra'!$E26:INDEX('Feijão 1ª safra'!$E26:$Z26,MIN(AY$6-$G$3,22))),0)))))</f>
        <v>0</v>
      </c>
      <c r="AZ28" s="27" t="n">
        <f aca="false">IF(COUNT('Feijão 1ª safra'!$E26:$Z26)=0,0,MAX(0,IF((AZ$6-$E$3)&lt;1,0,IFERROR(LOOKUP(2,1/('Feijão 1ª safra'!$E26:INDEX('Feijão 1ª safra'!$E26:$Z26,MIN(AZ$6-$E$3,22))&lt;&gt;""),'Feijão 1ª safra'!$E26:INDEX('Feijão 1ª safra'!$E26:$Z26,MIN(AZ$6-$E$3,22))),0))-IF($G$2,0,IF((AZ$6-$G$3)&lt;1,0,IFERROR(LOOKUP(2,1/('Feijão 1ª safra'!$E26:INDEX('Feijão 1ª safra'!$E26:$Z26,MIN(AZ$6-$G$3,22))&lt;&gt;""),'Feijão 1ª safra'!$E26:INDEX('Feijão 1ª safra'!$E26:$Z26,MIN(AZ$6-$G$3,22))),0)))))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IF(COUNT('Feijão 1ª safra'!$E27:$Z27)&gt;0,N('Feijão 1ª safra'!$D27),0)</f>
        <v>0</v>
      </c>
      <c r="E29" s="27" t="n">
        <f aca="false">IF(COUNT('Feijão 1ª safra'!$E27:$Z27)=0,0,MAX(0,IF((E$6-$E$3)&lt;1,0,IFERROR(LOOKUP(2,1/('Feijão 1ª safra'!$E27:INDEX('Feijão 1ª safra'!$E27:$Z27,MIN(E$6-$E$3,22))&lt;&gt;""),'Feijão 1ª safra'!$E27:INDEX('Feijão 1ª safra'!$E27:$Z27,MIN(E$6-$E$3,22))),0))-IF($G$2,0,IF((E$6-$G$3)&lt;1,0,IFERROR(LOOKUP(2,1/('Feijão 1ª safra'!$E27:INDEX('Feijão 1ª safra'!$E27:$Z27,MIN(E$6-$G$3,22))&lt;&gt;""),'Feijão 1ª safra'!$E27:INDEX('Feijão 1ª safra'!$E27:$Z27,MIN(E$6-$G$3,22))),0)))))</f>
        <v>0</v>
      </c>
      <c r="F29" s="27" t="n">
        <f aca="false">IF(COUNT('Feijão 1ª safra'!$E27:$Z27)=0,0,MAX(0,IF((F$6-$E$3)&lt;1,0,IFERROR(LOOKUP(2,1/('Feijão 1ª safra'!$E27:INDEX('Feijão 1ª safra'!$E27:$Z27,MIN(F$6-$E$3,22))&lt;&gt;""),'Feijão 1ª safra'!$E27:INDEX('Feijão 1ª safra'!$E27:$Z27,MIN(F$6-$E$3,22))),0))-IF($G$2,0,IF((F$6-$G$3)&lt;1,0,IFERROR(LOOKUP(2,1/('Feijão 1ª safra'!$E27:INDEX('Feijão 1ª safra'!$E27:$Z27,MIN(F$6-$G$3,22))&lt;&gt;""),'Feijão 1ª safra'!$E27:INDEX('Feijão 1ª safra'!$E27:$Z27,MIN(F$6-$G$3,22))),0)))))</f>
        <v>0</v>
      </c>
      <c r="G29" s="27" t="n">
        <f aca="false">IF(COUNT('Feijão 1ª safra'!$E27:$Z27)=0,0,MAX(0,IF((G$6-$E$3)&lt;1,0,IFERROR(LOOKUP(2,1/('Feijão 1ª safra'!$E27:INDEX('Feijão 1ª safra'!$E27:$Z27,MIN(G$6-$E$3,22))&lt;&gt;""),'Feijão 1ª safra'!$E27:INDEX('Feijão 1ª safra'!$E27:$Z27,MIN(G$6-$E$3,22))),0))-IF($G$2,0,IF((G$6-$G$3)&lt;1,0,IFERROR(LOOKUP(2,1/('Feijão 1ª safra'!$E27:INDEX('Feijão 1ª safra'!$E27:$Z27,MIN(G$6-$G$3,22))&lt;&gt;""),'Feijão 1ª safra'!$E27:INDEX('Feijão 1ª safra'!$E27:$Z27,MIN(G$6-$G$3,22))),0)))))</f>
        <v>0</v>
      </c>
      <c r="H29" s="27" t="n">
        <f aca="false">IF(COUNT('Feijão 1ª safra'!$E27:$Z27)=0,0,MAX(0,IF((H$6-$E$3)&lt;1,0,IFERROR(LOOKUP(2,1/('Feijão 1ª safra'!$E27:INDEX('Feijão 1ª safra'!$E27:$Z27,MIN(H$6-$E$3,22))&lt;&gt;""),'Feijão 1ª safra'!$E27:INDEX('Feijão 1ª safra'!$E27:$Z27,MIN(H$6-$E$3,22))),0))-IF($G$2,0,IF((H$6-$G$3)&lt;1,0,IFERROR(LOOKUP(2,1/('Feijão 1ª safra'!$E27:INDEX('Feijão 1ª safra'!$E27:$Z27,MIN(H$6-$G$3,22))&lt;&gt;""),'Feijão 1ª safra'!$E27:INDEX('Feijão 1ª safra'!$E27:$Z27,MIN(H$6-$G$3,22))),0)))))</f>
        <v>0</v>
      </c>
      <c r="I29" s="27" t="n">
        <f aca="false">IF(COUNT('Feijão 1ª safra'!$E27:$Z27)=0,0,MAX(0,IF((I$6-$E$3)&lt;1,0,IFERROR(LOOKUP(2,1/('Feijão 1ª safra'!$E27:INDEX('Feijão 1ª safra'!$E27:$Z27,MIN(I$6-$E$3,22))&lt;&gt;""),'Feijão 1ª safra'!$E27:INDEX('Feijão 1ª safra'!$E27:$Z27,MIN(I$6-$E$3,22))),0))-IF($G$2,0,IF((I$6-$G$3)&lt;1,0,IFERROR(LOOKUP(2,1/('Feijão 1ª safra'!$E27:INDEX('Feijão 1ª safra'!$E27:$Z27,MIN(I$6-$G$3,22))&lt;&gt;""),'Feijão 1ª safra'!$E27:INDEX('Feijão 1ª safra'!$E27:$Z27,MIN(I$6-$G$3,22))),0)))))</f>
        <v>0</v>
      </c>
      <c r="J29" s="27" t="n">
        <f aca="false">IF(COUNT('Feijão 1ª safra'!$E27:$Z27)=0,0,MAX(0,IF((J$6-$E$3)&lt;1,0,IFERROR(LOOKUP(2,1/('Feijão 1ª safra'!$E27:INDEX('Feijão 1ª safra'!$E27:$Z27,MIN(J$6-$E$3,22))&lt;&gt;""),'Feijão 1ª safra'!$E27:INDEX('Feijão 1ª safra'!$E27:$Z27,MIN(J$6-$E$3,22))),0))-IF($G$2,0,IF((J$6-$G$3)&lt;1,0,IFERROR(LOOKUP(2,1/('Feijão 1ª safra'!$E27:INDEX('Feijão 1ª safra'!$E27:$Z27,MIN(J$6-$G$3,22))&lt;&gt;""),'Feijão 1ª safra'!$E27:INDEX('Feijão 1ª safra'!$E27:$Z27,MIN(J$6-$G$3,22))),0)))))</f>
        <v>0</v>
      </c>
      <c r="K29" s="27" t="n">
        <f aca="false">IF(COUNT('Feijão 1ª safra'!$E27:$Z27)=0,0,MAX(0,IF((K$6-$E$3)&lt;1,0,IFERROR(LOOKUP(2,1/('Feijão 1ª safra'!$E27:INDEX('Feijão 1ª safra'!$E27:$Z27,MIN(K$6-$E$3,22))&lt;&gt;""),'Feijão 1ª safra'!$E27:INDEX('Feijão 1ª safra'!$E27:$Z27,MIN(K$6-$E$3,22))),0))-IF($G$2,0,IF((K$6-$G$3)&lt;1,0,IFERROR(LOOKUP(2,1/('Feijão 1ª safra'!$E27:INDEX('Feijão 1ª safra'!$E27:$Z27,MIN(K$6-$G$3,22))&lt;&gt;""),'Feijão 1ª safra'!$E27:INDEX('Feijão 1ª safra'!$E27:$Z27,MIN(K$6-$G$3,22))),0)))))</f>
        <v>0</v>
      </c>
      <c r="L29" s="27" t="n">
        <f aca="false">IF(COUNT('Feijão 1ª safra'!$E27:$Z27)=0,0,MAX(0,IF((L$6-$E$3)&lt;1,0,IFERROR(LOOKUP(2,1/('Feijão 1ª safra'!$E27:INDEX('Feijão 1ª safra'!$E27:$Z27,MIN(L$6-$E$3,22))&lt;&gt;""),'Feijão 1ª safra'!$E27:INDEX('Feijão 1ª safra'!$E27:$Z27,MIN(L$6-$E$3,22))),0))-IF($G$2,0,IF((L$6-$G$3)&lt;1,0,IFERROR(LOOKUP(2,1/('Feijão 1ª safra'!$E27:INDEX('Feijão 1ª safra'!$E27:$Z27,MIN(L$6-$G$3,22))&lt;&gt;""),'Feijão 1ª safra'!$E27:INDEX('Feijão 1ª safra'!$E27:$Z27,MIN(L$6-$G$3,22))),0)))))</f>
        <v>0</v>
      </c>
      <c r="M29" s="27" t="n">
        <f aca="false">IF(COUNT('Feijão 1ª safra'!$E27:$Z27)=0,0,MAX(0,IF((M$6-$E$3)&lt;1,0,IFERROR(LOOKUP(2,1/('Feijão 1ª safra'!$E27:INDEX('Feijão 1ª safra'!$E27:$Z27,MIN(M$6-$E$3,22))&lt;&gt;""),'Feijão 1ª safra'!$E27:INDEX('Feijão 1ª safra'!$E27:$Z27,MIN(M$6-$E$3,22))),0))-IF($G$2,0,IF((M$6-$G$3)&lt;1,0,IFERROR(LOOKUP(2,1/('Feijão 1ª safra'!$E27:INDEX('Feijão 1ª safra'!$E27:$Z27,MIN(M$6-$G$3,22))&lt;&gt;""),'Feijão 1ª safra'!$E27:INDEX('Feijão 1ª safra'!$E27:$Z27,MIN(M$6-$G$3,22))),0)))))</f>
        <v>0</v>
      </c>
      <c r="N29" s="27" t="n">
        <f aca="false">IF(COUNT('Feijão 1ª safra'!$E27:$Z27)=0,0,MAX(0,IF((N$6-$E$3)&lt;1,0,IFERROR(LOOKUP(2,1/('Feijão 1ª safra'!$E27:INDEX('Feijão 1ª safra'!$E27:$Z27,MIN(N$6-$E$3,22))&lt;&gt;""),'Feijão 1ª safra'!$E27:INDEX('Feijão 1ª safra'!$E27:$Z27,MIN(N$6-$E$3,22))),0))-IF($G$2,0,IF((N$6-$G$3)&lt;1,0,IFERROR(LOOKUP(2,1/('Feijão 1ª safra'!$E27:INDEX('Feijão 1ª safra'!$E27:$Z27,MIN(N$6-$G$3,22))&lt;&gt;""),'Feijão 1ª safra'!$E27:INDEX('Feijão 1ª safra'!$E27:$Z27,MIN(N$6-$G$3,22))),0)))))</f>
        <v>0</v>
      </c>
      <c r="O29" s="27" t="n">
        <f aca="false">IF(COUNT('Feijão 1ª safra'!$E27:$Z27)=0,0,MAX(0,IF((O$6-$E$3)&lt;1,0,IFERROR(LOOKUP(2,1/('Feijão 1ª safra'!$E27:INDEX('Feijão 1ª safra'!$E27:$Z27,MIN(O$6-$E$3,22))&lt;&gt;""),'Feijão 1ª safra'!$E27:INDEX('Feijão 1ª safra'!$E27:$Z27,MIN(O$6-$E$3,22))),0))-IF($G$2,0,IF((O$6-$G$3)&lt;1,0,IFERROR(LOOKUP(2,1/('Feijão 1ª safra'!$E27:INDEX('Feijão 1ª safra'!$E27:$Z27,MIN(O$6-$G$3,22))&lt;&gt;""),'Feijão 1ª safra'!$E27:INDEX('Feijão 1ª safra'!$E27:$Z27,MIN(O$6-$G$3,22))),0)))))</f>
        <v>0</v>
      </c>
      <c r="P29" s="27" t="n">
        <f aca="false">IF(COUNT('Feijão 1ª safra'!$E27:$Z27)=0,0,MAX(0,IF((P$6-$E$3)&lt;1,0,IFERROR(LOOKUP(2,1/('Feijão 1ª safra'!$E27:INDEX('Feijão 1ª safra'!$E27:$Z27,MIN(P$6-$E$3,22))&lt;&gt;""),'Feijão 1ª safra'!$E27:INDEX('Feijão 1ª safra'!$E27:$Z27,MIN(P$6-$E$3,22))),0))-IF($G$2,0,IF((P$6-$G$3)&lt;1,0,IFERROR(LOOKUP(2,1/('Feijão 1ª safra'!$E27:INDEX('Feijão 1ª safra'!$E27:$Z27,MIN(P$6-$G$3,22))&lt;&gt;""),'Feijão 1ª safra'!$E27:INDEX('Feijão 1ª safra'!$E27:$Z27,MIN(P$6-$G$3,22))),0)))))</f>
        <v>0</v>
      </c>
      <c r="Q29" s="27" t="n">
        <f aca="false">IF(COUNT('Feijão 1ª safra'!$E27:$Z27)=0,0,MAX(0,IF((Q$6-$E$3)&lt;1,0,IFERROR(LOOKUP(2,1/('Feijão 1ª safra'!$E27:INDEX('Feijão 1ª safra'!$E27:$Z27,MIN(Q$6-$E$3,22))&lt;&gt;""),'Feijão 1ª safra'!$E27:INDEX('Feijão 1ª safra'!$E27:$Z27,MIN(Q$6-$E$3,22))),0))-IF($G$2,0,IF((Q$6-$G$3)&lt;1,0,IFERROR(LOOKUP(2,1/('Feijão 1ª safra'!$E27:INDEX('Feijão 1ª safra'!$E27:$Z27,MIN(Q$6-$G$3,22))&lt;&gt;""),'Feijão 1ª safra'!$E27:INDEX('Feijão 1ª safra'!$E27:$Z27,MIN(Q$6-$G$3,22))),0)))))</f>
        <v>0</v>
      </c>
      <c r="R29" s="27" t="n">
        <f aca="false">IF(COUNT('Feijão 1ª safra'!$E27:$Z27)=0,0,MAX(0,IF((R$6-$E$3)&lt;1,0,IFERROR(LOOKUP(2,1/('Feijão 1ª safra'!$E27:INDEX('Feijão 1ª safra'!$E27:$Z27,MIN(R$6-$E$3,22))&lt;&gt;""),'Feijão 1ª safra'!$E27:INDEX('Feijão 1ª safra'!$E27:$Z27,MIN(R$6-$E$3,22))),0))-IF($G$2,0,IF((R$6-$G$3)&lt;1,0,IFERROR(LOOKUP(2,1/('Feijão 1ª safra'!$E27:INDEX('Feijão 1ª safra'!$E27:$Z27,MIN(R$6-$G$3,22))&lt;&gt;""),'Feijão 1ª safra'!$E27:INDEX('Feijão 1ª safra'!$E27:$Z27,MIN(R$6-$G$3,22))),0)))))</f>
        <v>0</v>
      </c>
      <c r="S29" s="27" t="n">
        <f aca="false">IF(COUNT('Feijão 1ª safra'!$E27:$Z27)=0,0,MAX(0,IF((S$6-$E$3)&lt;1,0,IFERROR(LOOKUP(2,1/('Feijão 1ª safra'!$E27:INDEX('Feijão 1ª safra'!$E27:$Z27,MIN(S$6-$E$3,22))&lt;&gt;""),'Feijão 1ª safra'!$E27:INDEX('Feijão 1ª safra'!$E27:$Z27,MIN(S$6-$E$3,22))),0))-IF($G$2,0,IF((S$6-$G$3)&lt;1,0,IFERROR(LOOKUP(2,1/('Feijão 1ª safra'!$E27:INDEX('Feijão 1ª safra'!$E27:$Z27,MIN(S$6-$G$3,22))&lt;&gt;""),'Feijão 1ª safra'!$E27:INDEX('Feijão 1ª safra'!$E27:$Z27,MIN(S$6-$G$3,22))),0)))))</f>
        <v>0</v>
      </c>
      <c r="T29" s="27" t="n">
        <f aca="false">IF(COUNT('Feijão 1ª safra'!$E27:$Z27)=0,0,MAX(0,IF((T$6-$E$3)&lt;1,0,IFERROR(LOOKUP(2,1/('Feijão 1ª safra'!$E27:INDEX('Feijão 1ª safra'!$E27:$Z27,MIN(T$6-$E$3,22))&lt;&gt;""),'Feijão 1ª safra'!$E27:INDEX('Feijão 1ª safra'!$E27:$Z27,MIN(T$6-$E$3,22))),0))-IF($G$2,0,IF((T$6-$G$3)&lt;1,0,IFERROR(LOOKUP(2,1/('Feijão 1ª safra'!$E27:INDEX('Feijão 1ª safra'!$E27:$Z27,MIN(T$6-$G$3,22))&lt;&gt;""),'Feijão 1ª safra'!$E27:INDEX('Feijão 1ª safra'!$E27:$Z27,MIN(T$6-$G$3,22))),0)))))</f>
        <v>0</v>
      </c>
      <c r="U29" s="27" t="n">
        <f aca="false">IF(COUNT('Feijão 1ª safra'!$E27:$Z27)=0,0,MAX(0,IF((U$6-$E$3)&lt;1,0,IFERROR(LOOKUP(2,1/('Feijão 1ª safra'!$E27:INDEX('Feijão 1ª safra'!$E27:$Z27,MIN(U$6-$E$3,22))&lt;&gt;""),'Feijão 1ª safra'!$E27:INDEX('Feijão 1ª safra'!$E27:$Z27,MIN(U$6-$E$3,22))),0))-IF($G$2,0,IF((U$6-$G$3)&lt;1,0,IFERROR(LOOKUP(2,1/('Feijão 1ª safra'!$E27:INDEX('Feijão 1ª safra'!$E27:$Z27,MIN(U$6-$G$3,22))&lt;&gt;""),'Feijão 1ª safra'!$E27:INDEX('Feijão 1ª safra'!$E27:$Z27,MIN(U$6-$G$3,22))),0)))))</f>
        <v>0</v>
      </c>
      <c r="V29" s="27" t="n">
        <f aca="false">IF(COUNT('Feijão 1ª safra'!$E27:$Z27)=0,0,MAX(0,IF((V$6-$E$3)&lt;1,0,IFERROR(LOOKUP(2,1/('Feijão 1ª safra'!$E27:INDEX('Feijão 1ª safra'!$E27:$Z27,MIN(V$6-$E$3,22))&lt;&gt;""),'Feijão 1ª safra'!$E27:INDEX('Feijão 1ª safra'!$E27:$Z27,MIN(V$6-$E$3,22))),0))-IF($G$2,0,IF((V$6-$G$3)&lt;1,0,IFERROR(LOOKUP(2,1/('Feijão 1ª safra'!$E27:INDEX('Feijão 1ª safra'!$E27:$Z27,MIN(V$6-$G$3,22))&lt;&gt;""),'Feijão 1ª safra'!$E27:INDEX('Feijão 1ª safra'!$E27:$Z27,MIN(V$6-$G$3,22))),0)))))</f>
        <v>0</v>
      </c>
      <c r="W29" s="27" t="n">
        <f aca="false">IF(COUNT('Feijão 1ª safra'!$E27:$Z27)=0,0,MAX(0,IF((W$6-$E$3)&lt;1,0,IFERROR(LOOKUP(2,1/('Feijão 1ª safra'!$E27:INDEX('Feijão 1ª safra'!$E27:$Z27,MIN(W$6-$E$3,22))&lt;&gt;""),'Feijão 1ª safra'!$E27:INDEX('Feijão 1ª safra'!$E27:$Z27,MIN(W$6-$E$3,22))),0))-IF($G$2,0,IF((W$6-$G$3)&lt;1,0,IFERROR(LOOKUP(2,1/('Feijão 1ª safra'!$E27:INDEX('Feijão 1ª safra'!$E27:$Z27,MIN(W$6-$G$3,22))&lt;&gt;""),'Feijão 1ª safra'!$E27:INDEX('Feijão 1ª safra'!$E27:$Z27,MIN(W$6-$G$3,22))),0)))))</f>
        <v>0</v>
      </c>
      <c r="X29" s="27" t="n">
        <f aca="false">IF(COUNT('Feijão 1ª safra'!$E27:$Z27)=0,0,MAX(0,IF((X$6-$E$3)&lt;1,0,IFERROR(LOOKUP(2,1/('Feijão 1ª safra'!$E27:INDEX('Feijão 1ª safra'!$E27:$Z27,MIN(X$6-$E$3,22))&lt;&gt;""),'Feijão 1ª safra'!$E27:INDEX('Feijão 1ª safra'!$E27:$Z27,MIN(X$6-$E$3,22))),0))-IF($G$2,0,IF((X$6-$G$3)&lt;1,0,IFERROR(LOOKUP(2,1/('Feijão 1ª safra'!$E27:INDEX('Feijão 1ª safra'!$E27:$Z27,MIN(X$6-$G$3,22))&lt;&gt;""),'Feijão 1ª safra'!$E27:INDEX('Feijão 1ª safra'!$E27:$Z27,MIN(X$6-$G$3,22))),0)))))</f>
        <v>0</v>
      </c>
      <c r="Y29" s="27" t="n">
        <f aca="false">IF(COUNT('Feijão 1ª safra'!$E27:$Z27)=0,0,MAX(0,IF((Y$6-$E$3)&lt;1,0,IFERROR(LOOKUP(2,1/('Feijão 1ª safra'!$E27:INDEX('Feijão 1ª safra'!$E27:$Z27,MIN(Y$6-$E$3,22))&lt;&gt;""),'Feijão 1ª safra'!$E27:INDEX('Feijão 1ª safra'!$E27:$Z27,MIN(Y$6-$E$3,22))),0))-IF($G$2,0,IF((Y$6-$G$3)&lt;1,0,IFERROR(LOOKUP(2,1/('Feijão 1ª safra'!$E27:INDEX('Feijão 1ª safra'!$E27:$Z27,MIN(Y$6-$G$3,22))&lt;&gt;""),'Feijão 1ª safra'!$E27:INDEX('Feijão 1ª safra'!$E27:$Z27,MIN(Y$6-$G$3,22))),0)))))</f>
        <v>0</v>
      </c>
      <c r="Z29" s="27" t="n">
        <f aca="false">IF(COUNT('Feijão 1ª safra'!$E27:$Z27)=0,0,MAX(0,IF((Z$6-$E$3)&lt;1,0,IFERROR(LOOKUP(2,1/('Feijão 1ª safra'!$E27:INDEX('Feijão 1ª safra'!$E27:$Z27,MIN(Z$6-$E$3,22))&lt;&gt;""),'Feijão 1ª safra'!$E27:INDEX('Feijão 1ª safra'!$E27:$Z27,MIN(Z$6-$E$3,22))),0))-IF($G$2,0,IF((Z$6-$G$3)&lt;1,0,IFERROR(LOOKUP(2,1/('Feijão 1ª safra'!$E27:INDEX('Feijão 1ª safra'!$E27:$Z27,MIN(Z$6-$G$3,22))&lt;&gt;""),'Feijão 1ª safra'!$E27:INDEX('Feijão 1ª safra'!$E27:$Z27,MIN(Z$6-$G$3,22))),0)))))</f>
        <v>0</v>
      </c>
      <c r="AA29" s="27" t="n">
        <f aca="false">IF(COUNT('Feijão 1ª safra'!$E27:$Z27)=0,0,MAX(0,IF((AA$6-$E$3)&lt;1,0,IFERROR(LOOKUP(2,1/('Feijão 1ª safra'!$E27:INDEX('Feijão 1ª safra'!$E27:$Z27,MIN(AA$6-$E$3,22))&lt;&gt;""),'Feijão 1ª safra'!$E27:INDEX('Feijão 1ª safra'!$E27:$Z27,MIN(AA$6-$E$3,22))),0))-IF($G$2,0,IF((AA$6-$G$3)&lt;1,0,IFERROR(LOOKUP(2,1/('Feijão 1ª safra'!$E27:INDEX('Feijão 1ª safra'!$E27:$Z27,MIN(AA$6-$G$3,22))&lt;&gt;""),'Feijão 1ª safra'!$E27:INDEX('Feijão 1ª safra'!$E27:$Z27,MIN(AA$6-$G$3,22))),0)))))</f>
        <v>0</v>
      </c>
      <c r="AB29" s="27" t="n">
        <f aca="false">IF(COUNT('Feijão 1ª safra'!$E27:$Z27)=0,0,MAX(0,IF((AB$6-$E$3)&lt;1,0,IFERROR(LOOKUP(2,1/('Feijão 1ª safra'!$E27:INDEX('Feijão 1ª safra'!$E27:$Z27,MIN(AB$6-$E$3,22))&lt;&gt;""),'Feijão 1ª safra'!$E27:INDEX('Feijão 1ª safra'!$E27:$Z27,MIN(AB$6-$E$3,22))),0))-IF($G$2,0,IF((AB$6-$G$3)&lt;1,0,IFERROR(LOOKUP(2,1/('Feijão 1ª safra'!$E27:INDEX('Feijão 1ª safra'!$E27:$Z27,MIN(AB$6-$G$3,22))&lt;&gt;""),'Feijão 1ª safra'!$E27:INDEX('Feijão 1ª safra'!$E27:$Z27,MIN(AB$6-$G$3,22))),0)))))</f>
        <v>0</v>
      </c>
      <c r="AC29" s="27" t="n">
        <f aca="false">IF(COUNT('Feijão 1ª safra'!$E27:$Z27)=0,0,MAX(0,IF((AC$6-$E$3)&lt;1,0,IFERROR(LOOKUP(2,1/('Feijão 1ª safra'!$E27:INDEX('Feijão 1ª safra'!$E27:$Z27,MIN(AC$6-$E$3,22))&lt;&gt;""),'Feijão 1ª safra'!$E27:INDEX('Feijão 1ª safra'!$E27:$Z27,MIN(AC$6-$E$3,22))),0))-IF($G$2,0,IF((AC$6-$G$3)&lt;1,0,IFERROR(LOOKUP(2,1/('Feijão 1ª safra'!$E27:INDEX('Feijão 1ª safra'!$E27:$Z27,MIN(AC$6-$G$3,22))&lt;&gt;""),'Feijão 1ª safra'!$E27:INDEX('Feijão 1ª safra'!$E27:$Z27,MIN(AC$6-$G$3,22))),0)))))</f>
        <v>0</v>
      </c>
      <c r="AD29" s="27" t="n">
        <f aca="false">IF(COUNT('Feijão 1ª safra'!$E27:$Z27)=0,0,MAX(0,IF((AD$6-$E$3)&lt;1,0,IFERROR(LOOKUP(2,1/('Feijão 1ª safra'!$E27:INDEX('Feijão 1ª safra'!$E27:$Z27,MIN(AD$6-$E$3,22))&lt;&gt;""),'Feijão 1ª safra'!$E27:INDEX('Feijão 1ª safra'!$E27:$Z27,MIN(AD$6-$E$3,22))),0))-IF($G$2,0,IF((AD$6-$G$3)&lt;1,0,IFERROR(LOOKUP(2,1/('Feijão 1ª safra'!$E27:INDEX('Feijão 1ª safra'!$E27:$Z27,MIN(AD$6-$G$3,22))&lt;&gt;""),'Feijão 1ª safra'!$E27:INDEX('Feijão 1ª safra'!$E27:$Z27,MIN(AD$6-$G$3,22))),0)))))</f>
        <v>0</v>
      </c>
      <c r="AE29" s="27" t="n">
        <f aca="false">IF(COUNT('Feijão 1ª safra'!$E27:$Z27)=0,0,MAX(0,IF((AE$6-$E$3)&lt;1,0,IFERROR(LOOKUP(2,1/('Feijão 1ª safra'!$E27:INDEX('Feijão 1ª safra'!$E27:$Z27,MIN(AE$6-$E$3,22))&lt;&gt;""),'Feijão 1ª safra'!$E27:INDEX('Feijão 1ª safra'!$E27:$Z27,MIN(AE$6-$E$3,22))),0))-IF($G$2,0,IF((AE$6-$G$3)&lt;1,0,IFERROR(LOOKUP(2,1/('Feijão 1ª safra'!$E27:INDEX('Feijão 1ª safra'!$E27:$Z27,MIN(AE$6-$G$3,22))&lt;&gt;""),'Feijão 1ª safra'!$E27:INDEX('Feijão 1ª safra'!$E27:$Z27,MIN(AE$6-$G$3,22))),0)))))</f>
        <v>0</v>
      </c>
      <c r="AF29" s="27" t="n">
        <f aca="false">IF(COUNT('Feijão 1ª safra'!$E27:$Z27)=0,0,MAX(0,IF((AF$6-$E$3)&lt;1,0,IFERROR(LOOKUP(2,1/('Feijão 1ª safra'!$E27:INDEX('Feijão 1ª safra'!$E27:$Z27,MIN(AF$6-$E$3,22))&lt;&gt;""),'Feijão 1ª safra'!$E27:INDEX('Feijão 1ª safra'!$E27:$Z27,MIN(AF$6-$E$3,22))),0))-IF($G$2,0,IF((AF$6-$G$3)&lt;1,0,IFERROR(LOOKUP(2,1/('Feijão 1ª safra'!$E27:INDEX('Feijão 1ª safra'!$E27:$Z27,MIN(AF$6-$G$3,22))&lt;&gt;""),'Feijão 1ª safra'!$E27:INDEX('Feijão 1ª safra'!$E27:$Z27,MIN(AF$6-$G$3,22))),0)))))</f>
        <v>0</v>
      </c>
      <c r="AG29" s="27" t="n">
        <f aca="false">IF(COUNT('Feijão 1ª safra'!$E27:$Z27)=0,0,MAX(0,IF((AG$6-$E$3)&lt;1,0,IFERROR(LOOKUP(2,1/('Feijão 1ª safra'!$E27:INDEX('Feijão 1ª safra'!$E27:$Z27,MIN(AG$6-$E$3,22))&lt;&gt;""),'Feijão 1ª safra'!$E27:INDEX('Feijão 1ª safra'!$E27:$Z27,MIN(AG$6-$E$3,22))),0))-IF($G$2,0,IF((AG$6-$G$3)&lt;1,0,IFERROR(LOOKUP(2,1/('Feijão 1ª safra'!$E27:INDEX('Feijão 1ª safra'!$E27:$Z27,MIN(AG$6-$G$3,22))&lt;&gt;""),'Feijão 1ª safra'!$E27:INDEX('Feijão 1ª safra'!$E27:$Z27,MIN(AG$6-$G$3,22))),0)))))</f>
        <v>0</v>
      </c>
      <c r="AH29" s="27" t="n">
        <f aca="false">IF(COUNT('Feijão 1ª safra'!$E27:$Z27)=0,0,MAX(0,IF((AH$6-$E$3)&lt;1,0,IFERROR(LOOKUP(2,1/('Feijão 1ª safra'!$E27:INDEX('Feijão 1ª safra'!$E27:$Z27,MIN(AH$6-$E$3,22))&lt;&gt;""),'Feijão 1ª safra'!$E27:INDEX('Feijão 1ª safra'!$E27:$Z27,MIN(AH$6-$E$3,22))),0))-IF($G$2,0,IF((AH$6-$G$3)&lt;1,0,IFERROR(LOOKUP(2,1/('Feijão 1ª safra'!$E27:INDEX('Feijão 1ª safra'!$E27:$Z27,MIN(AH$6-$G$3,22))&lt;&gt;""),'Feijão 1ª safra'!$E27:INDEX('Feijão 1ª safra'!$E27:$Z27,MIN(AH$6-$G$3,22))),0)))))</f>
        <v>0</v>
      </c>
      <c r="AI29" s="27" t="n">
        <f aca="false">IF(COUNT('Feijão 1ª safra'!$E27:$Z27)=0,0,MAX(0,IF((AI$6-$E$3)&lt;1,0,IFERROR(LOOKUP(2,1/('Feijão 1ª safra'!$E27:INDEX('Feijão 1ª safra'!$E27:$Z27,MIN(AI$6-$E$3,22))&lt;&gt;""),'Feijão 1ª safra'!$E27:INDEX('Feijão 1ª safra'!$E27:$Z27,MIN(AI$6-$E$3,22))),0))-IF($G$2,0,IF((AI$6-$G$3)&lt;1,0,IFERROR(LOOKUP(2,1/('Feijão 1ª safra'!$E27:INDEX('Feijão 1ª safra'!$E27:$Z27,MIN(AI$6-$G$3,22))&lt;&gt;""),'Feijão 1ª safra'!$E27:INDEX('Feijão 1ª safra'!$E27:$Z27,MIN(AI$6-$G$3,22))),0)))))</f>
        <v>0</v>
      </c>
      <c r="AJ29" s="27" t="n">
        <f aca="false">IF(COUNT('Feijão 1ª safra'!$E27:$Z27)=0,0,MAX(0,IF((AJ$6-$E$3)&lt;1,0,IFERROR(LOOKUP(2,1/('Feijão 1ª safra'!$E27:INDEX('Feijão 1ª safra'!$E27:$Z27,MIN(AJ$6-$E$3,22))&lt;&gt;""),'Feijão 1ª safra'!$E27:INDEX('Feijão 1ª safra'!$E27:$Z27,MIN(AJ$6-$E$3,22))),0))-IF($G$2,0,IF((AJ$6-$G$3)&lt;1,0,IFERROR(LOOKUP(2,1/('Feijão 1ª safra'!$E27:INDEX('Feijão 1ª safra'!$E27:$Z27,MIN(AJ$6-$G$3,22))&lt;&gt;""),'Feijão 1ª safra'!$E27:INDEX('Feijão 1ª safra'!$E27:$Z27,MIN(AJ$6-$G$3,22))),0)))))</f>
        <v>0</v>
      </c>
      <c r="AK29" s="27" t="n">
        <f aca="false">IF(COUNT('Feijão 1ª safra'!$E27:$Z27)=0,0,MAX(0,IF((AK$6-$E$3)&lt;1,0,IFERROR(LOOKUP(2,1/('Feijão 1ª safra'!$E27:INDEX('Feijão 1ª safra'!$E27:$Z27,MIN(AK$6-$E$3,22))&lt;&gt;""),'Feijão 1ª safra'!$E27:INDEX('Feijão 1ª safra'!$E27:$Z27,MIN(AK$6-$E$3,22))),0))-IF($G$2,0,IF((AK$6-$G$3)&lt;1,0,IFERROR(LOOKUP(2,1/('Feijão 1ª safra'!$E27:INDEX('Feijão 1ª safra'!$E27:$Z27,MIN(AK$6-$G$3,22))&lt;&gt;""),'Feijão 1ª safra'!$E27:INDEX('Feijão 1ª safra'!$E27:$Z27,MIN(AK$6-$G$3,22))),0)))))</f>
        <v>0</v>
      </c>
      <c r="AL29" s="27" t="n">
        <f aca="false">IF(COUNT('Feijão 1ª safra'!$E27:$Z27)=0,0,MAX(0,IF((AL$6-$E$3)&lt;1,0,IFERROR(LOOKUP(2,1/('Feijão 1ª safra'!$E27:INDEX('Feijão 1ª safra'!$E27:$Z27,MIN(AL$6-$E$3,22))&lt;&gt;""),'Feijão 1ª safra'!$E27:INDEX('Feijão 1ª safra'!$E27:$Z27,MIN(AL$6-$E$3,22))),0))-IF($G$2,0,IF((AL$6-$G$3)&lt;1,0,IFERROR(LOOKUP(2,1/('Feijão 1ª safra'!$E27:INDEX('Feijão 1ª safra'!$E27:$Z27,MIN(AL$6-$G$3,22))&lt;&gt;""),'Feijão 1ª safra'!$E27:INDEX('Feijão 1ª safra'!$E27:$Z27,MIN(AL$6-$G$3,22))),0)))))</f>
        <v>0</v>
      </c>
      <c r="AM29" s="27" t="n">
        <f aca="false">IF(COUNT('Feijão 1ª safra'!$E27:$Z27)=0,0,MAX(0,IF((AM$6-$E$3)&lt;1,0,IFERROR(LOOKUP(2,1/('Feijão 1ª safra'!$E27:INDEX('Feijão 1ª safra'!$E27:$Z27,MIN(AM$6-$E$3,22))&lt;&gt;""),'Feijão 1ª safra'!$E27:INDEX('Feijão 1ª safra'!$E27:$Z27,MIN(AM$6-$E$3,22))),0))-IF($G$2,0,IF((AM$6-$G$3)&lt;1,0,IFERROR(LOOKUP(2,1/('Feijão 1ª safra'!$E27:INDEX('Feijão 1ª safra'!$E27:$Z27,MIN(AM$6-$G$3,22))&lt;&gt;""),'Feijão 1ª safra'!$E27:INDEX('Feijão 1ª safra'!$E27:$Z27,MIN(AM$6-$G$3,22))),0)))))</f>
        <v>0</v>
      </c>
      <c r="AN29" s="27" t="n">
        <f aca="false">IF(COUNT('Feijão 1ª safra'!$E27:$Z27)=0,0,MAX(0,IF((AN$6-$E$3)&lt;1,0,IFERROR(LOOKUP(2,1/('Feijão 1ª safra'!$E27:INDEX('Feijão 1ª safra'!$E27:$Z27,MIN(AN$6-$E$3,22))&lt;&gt;""),'Feijão 1ª safra'!$E27:INDEX('Feijão 1ª safra'!$E27:$Z27,MIN(AN$6-$E$3,22))),0))-IF($G$2,0,IF((AN$6-$G$3)&lt;1,0,IFERROR(LOOKUP(2,1/('Feijão 1ª safra'!$E27:INDEX('Feijão 1ª safra'!$E27:$Z27,MIN(AN$6-$G$3,22))&lt;&gt;""),'Feijão 1ª safra'!$E27:INDEX('Feijão 1ª safra'!$E27:$Z27,MIN(AN$6-$G$3,22))),0)))))</f>
        <v>0</v>
      </c>
      <c r="AO29" s="27" t="n">
        <f aca="false">IF(COUNT('Feijão 1ª safra'!$E27:$Z27)=0,0,MAX(0,IF((AO$6-$E$3)&lt;1,0,IFERROR(LOOKUP(2,1/('Feijão 1ª safra'!$E27:INDEX('Feijão 1ª safra'!$E27:$Z27,MIN(AO$6-$E$3,22))&lt;&gt;""),'Feijão 1ª safra'!$E27:INDEX('Feijão 1ª safra'!$E27:$Z27,MIN(AO$6-$E$3,22))),0))-IF($G$2,0,IF((AO$6-$G$3)&lt;1,0,IFERROR(LOOKUP(2,1/('Feijão 1ª safra'!$E27:INDEX('Feijão 1ª safra'!$E27:$Z27,MIN(AO$6-$G$3,22))&lt;&gt;""),'Feijão 1ª safra'!$E27:INDEX('Feijão 1ª safra'!$E27:$Z27,MIN(AO$6-$G$3,22))),0)))))</f>
        <v>0</v>
      </c>
      <c r="AP29" s="27" t="n">
        <f aca="false">IF(COUNT('Feijão 1ª safra'!$E27:$Z27)=0,0,MAX(0,IF((AP$6-$E$3)&lt;1,0,IFERROR(LOOKUP(2,1/('Feijão 1ª safra'!$E27:INDEX('Feijão 1ª safra'!$E27:$Z27,MIN(AP$6-$E$3,22))&lt;&gt;""),'Feijão 1ª safra'!$E27:INDEX('Feijão 1ª safra'!$E27:$Z27,MIN(AP$6-$E$3,22))),0))-IF($G$2,0,IF((AP$6-$G$3)&lt;1,0,IFERROR(LOOKUP(2,1/('Feijão 1ª safra'!$E27:INDEX('Feijão 1ª safra'!$E27:$Z27,MIN(AP$6-$G$3,22))&lt;&gt;""),'Feijão 1ª safra'!$E27:INDEX('Feijão 1ª safra'!$E27:$Z27,MIN(AP$6-$G$3,22))),0)))))</f>
        <v>0</v>
      </c>
      <c r="AQ29" s="27" t="n">
        <f aca="false">IF(COUNT('Feijão 1ª safra'!$E27:$Z27)=0,0,MAX(0,IF((AQ$6-$E$3)&lt;1,0,IFERROR(LOOKUP(2,1/('Feijão 1ª safra'!$E27:INDEX('Feijão 1ª safra'!$E27:$Z27,MIN(AQ$6-$E$3,22))&lt;&gt;""),'Feijão 1ª safra'!$E27:INDEX('Feijão 1ª safra'!$E27:$Z27,MIN(AQ$6-$E$3,22))),0))-IF($G$2,0,IF((AQ$6-$G$3)&lt;1,0,IFERROR(LOOKUP(2,1/('Feijão 1ª safra'!$E27:INDEX('Feijão 1ª safra'!$E27:$Z27,MIN(AQ$6-$G$3,22))&lt;&gt;""),'Feijão 1ª safra'!$E27:INDEX('Feijão 1ª safra'!$E27:$Z27,MIN(AQ$6-$G$3,22))),0)))))</f>
        <v>0</v>
      </c>
      <c r="AR29" s="27" t="n">
        <f aca="false">IF(COUNT('Feijão 1ª safra'!$E27:$Z27)=0,0,MAX(0,IF((AR$6-$E$3)&lt;1,0,IFERROR(LOOKUP(2,1/('Feijão 1ª safra'!$E27:INDEX('Feijão 1ª safra'!$E27:$Z27,MIN(AR$6-$E$3,22))&lt;&gt;""),'Feijão 1ª safra'!$E27:INDEX('Feijão 1ª safra'!$E27:$Z27,MIN(AR$6-$E$3,22))),0))-IF($G$2,0,IF((AR$6-$G$3)&lt;1,0,IFERROR(LOOKUP(2,1/('Feijão 1ª safra'!$E27:INDEX('Feijão 1ª safra'!$E27:$Z27,MIN(AR$6-$G$3,22))&lt;&gt;""),'Feijão 1ª safra'!$E27:INDEX('Feijão 1ª safra'!$E27:$Z27,MIN(AR$6-$G$3,22))),0)))))</f>
        <v>0</v>
      </c>
      <c r="AS29" s="27" t="n">
        <f aca="false">IF(COUNT('Feijão 1ª safra'!$E27:$Z27)=0,0,MAX(0,IF((AS$6-$E$3)&lt;1,0,IFERROR(LOOKUP(2,1/('Feijão 1ª safra'!$E27:INDEX('Feijão 1ª safra'!$E27:$Z27,MIN(AS$6-$E$3,22))&lt;&gt;""),'Feijão 1ª safra'!$E27:INDEX('Feijão 1ª safra'!$E27:$Z27,MIN(AS$6-$E$3,22))),0))-IF($G$2,0,IF((AS$6-$G$3)&lt;1,0,IFERROR(LOOKUP(2,1/('Feijão 1ª safra'!$E27:INDEX('Feijão 1ª safra'!$E27:$Z27,MIN(AS$6-$G$3,22))&lt;&gt;""),'Feijão 1ª safra'!$E27:INDEX('Feijão 1ª safra'!$E27:$Z27,MIN(AS$6-$G$3,22))),0)))))</f>
        <v>0</v>
      </c>
      <c r="AT29" s="27" t="n">
        <f aca="false">IF(COUNT('Feijão 1ª safra'!$E27:$Z27)=0,0,MAX(0,IF((AT$6-$E$3)&lt;1,0,IFERROR(LOOKUP(2,1/('Feijão 1ª safra'!$E27:INDEX('Feijão 1ª safra'!$E27:$Z27,MIN(AT$6-$E$3,22))&lt;&gt;""),'Feijão 1ª safra'!$E27:INDEX('Feijão 1ª safra'!$E27:$Z27,MIN(AT$6-$E$3,22))),0))-IF($G$2,0,IF((AT$6-$G$3)&lt;1,0,IFERROR(LOOKUP(2,1/('Feijão 1ª safra'!$E27:INDEX('Feijão 1ª safra'!$E27:$Z27,MIN(AT$6-$G$3,22))&lt;&gt;""),'Feijão 1ª safra'!$E27:INDEX('Feijão 1ª safra'!$E27:$Z27,MIN(AT$6-$G$3,22))),0)))))</f>
        <v>0</v>
      </c>
      <c r="AU29" s="27" t="n">
        <f aca="false">IF(COUNT('Feijão 1ª safra'!$E27:$Z27)=0,0,MAX(0,IF((AU$6-$E$3)&lt;1,0,IFERROR(LOOKUP(2,1/('Feijão 1ª safra'!$E27:INDEX('Feijão 1ª safra'!$E27:$Z27,MIN(AU$6-$E$3,22))&lt;&gt;""),'Feijão 1ª safra'!$E27:INDEX('Feijão 1ª safra'!$E27:$Z27,MIN(AU$6-$E$3,22))),0))-IF($G$2,0,IF((AU$6-$G$3)&lt;1,0,IFERROR(LOOKUP(2,1/('Feijão 1ª safra'!$E27:INDEX('Feijão 1ª safra'!$E27:$Z27,MIN(AU$6-$G$3,22))&lt;&gt;""),'Feijão 1ª safra'!$E27:INDEX('Feijão 1ª safra'!$E27:$Z27,MIN(AU$6-$G$3,22))),0)))))</f>
        <v>0</v>
      </c>
      <c r="AV29" s="27" t="n">
        <f aca="false">IF(COUNT('Feijão 1ª safra'!$E27:$Z27)=0,0,MAX(0,IF((AV$6-$E$3)&lt;1,0,IFERROR(LOOKUP(2,1/('Feijão 1ª safra'!$E27:INDEX('Feijão 1ª safra'!$E27:$Z27,MIN(AV$6-$E$3,22))&lt;&gt;""),'Feijão 1ª safra'!$E27:INDEX('Feijão 1ª safra'!$E27:$Z27,MIN(AV$6-$E$3,22))),0))-IF($G$2,0,IF((AV$6-$G$3)&lt;1,0,IFERROR(LOOKUP(2,1/('Feijão 1ª safra'!$E27:INDEX('Feijão 1ª safra'!$E27:$Z27,MIN(AV$6-$G$3,22))&lt;&gt;""),'Feijão 1ª safra'!$E27:INDEX('Feijão 1ª safra'!$E27:$Z27,MIN(AV$6-$G$3,22))),0)))))</f>
        <v>0</v>
      </c>
      <c r="AW29" s="27" t="n">
        <f aca="false">IF(COUNT('Feijão 1ª safra'!$E27:$Z27)=0,0,MAX(0,IF((AW$6-$E$3)&lt;1,0,IFERROR(LOOKUP(2,1/('Feijão 1ª safra'!$E27:INDEX('Feijão 1ª safra'!$E27:$Z27,MIN(AW$6-$E$3,22))&lt;&gt;""),'Feijão 1ª safra'!$E27:INDEX('Feijão 1ª safra'!$E27:$Z27,MIN(AW$6-$E$3,22))),0))-IF($G$2,0,IF((AW$6-$G$3)&lt;1,0,IFERROR(LOOKUP(2,1/('Feijão 1ª safra'!$E27:INDEX('Feijão 1ª safra'!$E27:$Z27,MIN(AW$6-$G$3,22))&lt;&gt;""),'Feijão 1ª safra'!$E27:INDEX('Feijão 1ª safra'!$E27:$Z27,MIN(AW$6-$G$3,22))),0)))))</f>
        <v>0</v>
      </c>
      <c r="AX29" s="27" t="n">
        <f aca="false">IF(COUNT('Feijão 1ª safra'!$E27:$Z27)=0,0,MAX(0,IF((AX$6-$E$3)&lt;1,0,IFERROR(LOOKUP(2,1/('Feijão 1ª safra'!$E27:INDEX('Feijão 1ª safra'!$E27:$Z27,MIN(AX$6-$E$3,22))&lt;&gt;""),'Feijão 1ª safra'!$E27:INDEX('Feijão 1ª safra'!$E27:$Z27,MIN(AX$6-$E$3,22))),0))-IF($G$2,0,IF((AX$6-$G$3)&lt;1,0,IFERROR(LOOKUP(2,1/('Feijão 1ª safra'!$E27:INDEX('Feijão 1ª safra'!$E27:$Z27,MIN(AX$6-$G$3,22))&lt;&gt;""),'Feijão 1ª safra'!$E27:INDEX('Feijão 1ª safra'!$E27:$Z27,MIN(AX$6-$G$3,22))),0)))))</f>
        <v>0</v>
      </c>
      <c r="AY29" s="27" t="n">
        <f aca="false">IF(COUNT('Feijão 1ª safra'!$E27:$Z27)=0,0,MAX(0,IF((AY$6-$E$3)&lt;1,0,IFERROR(LOOKUP(2,1/('Feijão 1ª safra'!$E27:INDEX('Feijão 1ª safra'!$E27:$Z27,MIN(AY$6-$E$3,22))&lt;&gt;""),'Feijão 1ª safra'!$E27:INDEX('Feijão 1ª safra'!$E27:$Z27,MIN(AY$6-$E$3,22))),0))-IF($G$2,0,IF((AY$6-$G$3)&lt;1,0,IFERROR(LOOKUP(2,1/('Feijão 1ª safra'!$E27:INDEX('Feijão 1ª safra'!$E27:$Z27,MIN(AY$6-$G$3,22))&lt;&gt;""),'Feijão 1ª safra'!$E27:INDEX('Feijão 1ª safra'!$E27:$Z27,MIN(AY$6-$G$3,22))),0)))))</f>
        <v>0</v>
      </c>
      <c r="AZ29" s="27" t="n">
        <f aca="false">IF(COUNT('Feijão 1ª safra'!$E27:$Z27)=0,0,MAX(0,IF((AZ$6-$E$3)&lt;1,0,IFERROR(LOOKUP(2,1/('Feijão 1ª safra'!$E27:INDEX('Feijão 1ª safra'!$E27:$Z27,MIN(AZ$6-$E$3,22))&lt;&gt;""),'Feijão 1ª safra'!$E27:INDEX('Feijão 1ª safra'!$E27:$Z27,MIN(AZ$6-$E$3,22))),0))-IF($G$2,0,IF((AZ$6-$G$3)&lt;1,0,IFERROR(LOOKUP(2,1/('Feijão 1ª safra'!$E27:INDEX('Feijão 1ª safra'!$E27:$Z27,MIN(AZ$6-$G$3,22))&lt;&gt;""),'Feijão 1ª safra'!$E27:INDEX('Feijão 1ª safra'!$E27:$Z27,MIN(AZ$6-$G$3,22))),0)))))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IF(COUNT('Feijão 1ª safra'!$E28:$Z28)&gt;0,N('Feijão 1ª safra'!$D28),0)</f>
        <v>0</v>
      </c>
      <c r="E30" s="27" t="n">
        <f aca="false">IF(COUNT('Feijão 1ª safra'!$E28:$Z28)=0,0,MAX(0,IF((E$6-$E$3)&lt;1,0,IFERROR(LOOKUP(2,1/('Feijão 1ª safra'!$E28:INDEX('Feijão 1ª safra'!$E28:$Z28,MIN(E$6-$E$3,22))&lt;&gt;""),'Feijão 1ª safra'!$E28:INDEX('Feijão 1ª safra'!$E28:$Z28,MIN(E$6-$E$3,22))),0))-IF($G$2,0,IF((E$6-$G$3)&lt;1,0,IFERROR(LOOKUP(2,1/('Feijão 1ª safra'!$E28:INDEX('Feijão 1ª safra'!$E28:$Z28,MIN(E$6-$G$3,22))&lt;&gt;""),'Feijão 1ª safra'!$E28:INDEX('Feijão 1ª safra'!$E28:$Z28,MIN(E$6-$G$3,22))),0)))))</f>
        <v>0</v>
      </c>
      <c r="F30" s="27" t="n">
        <f aca="false">IF(COUNT('Feijão 1ª safra'!$E28:$Z28)=0,0,MAX(0,IF((F$6-$E$3)&lt;1,0,IFERROR(LOOKUP(2,1/('Feijão 1ª safra'!$E28:INDEX('Feijão 1ª safra'!$E28:$Z28,MIN(F$6-$E$3,22))&lt;&gt;""),'Feijão 1ª safra'!$E28:INDEX('Feijão 1ª safra'!$E28:$Z28,MIN(F$6-$E$3,22))),0))-IF($G$2,0,IF((F$6-$G$3)&lt;1,0,IFERROR(LOOKUP(2,1/('Feijão 1ª safra'!$E28:INDEX('Feijão 1ª safra'!$E28:$Z28,MIN(F$6-$G$3,22))&lt;&gt;""),'Feijão 1ª safra'!$E28:INDEX('Feijão 1ª safra'!$E28:$Z28,MIN(F$6-$G$3,22))),0)))))</f>
        <v>0</v>
      </c>
      <c r="G30" s="27" t="n">
        <f aca="false">IF(COUNT('Feijão 1ª safra'!$E28:$Z28)=0,0,MAX(0,IF((G$6-$E$3)&lt;1,0,IFERROR(LOOKUP(2,1/('Feijão 1ª safra'!$E28:INDEX('Feijão 1ª safra'!$E28:$Z28,MIN(G$6-$E$3,22))&lt;&gt;""),'Feijão 1ª safra'!$E28:INDEX('Feijão 1ª safra'!$E28:$Z28,MIN(G$6-$E$3,22))),0))-IF($G$2,0,IF((G$6-$G$3)&lt;1,0,IFERROR(LOOKUP(2,1/('Feijão 1ª safra'!$E28:INDEX('Feijão 1ª safra'!$E28:$Z28,MIN(G$6-$G$3,22))&lt;&gt;""),'Feijão 1ª safra'!$E28:INDEX('Feijão 1ª safra'!$E28:$Z28,MIN(G$6-$G$3,22))),0)))))</f>
        <v>0</v>
      </c>
      <c r="H30" s="27" t="n">
        <f aca="false">IF(COUNT('Feijão 1ª safra'!$E28:$Z28)=0,0,MAX(0,IF((H$6-$E$3)&lt;1,0,IFERROR(LOOKUP(2,1/('Feijão 1ª safra'!$E28:INDEX('Feijão 1ª safra'!$E28:$Z28,MIN(H$6-$E$3,22))&lt;&gt;""),'Feijão 1ª safra'!$E28:INDEX('Feijão 1ª safra'!$E28:$Z28,MIN(H$6-$E$3,22))),0))-IF($G$2,0,IF((H$6-$G$3)&lt;1,0,IFERROR(LOOKUP(2,1/('Feijão 1ª safra'!$E28:INDEX('Feijão 1ª safra'!$E28:$Z28,MIN(H$6-$G$3,22))&lt;&gt;""),'Feijão 1ª safra'!$E28:INDEX('Feijão 1ª safra'!$E28:$Z28,MIN(H$6-$G$3,22))),0)))))</f>
        <v>0</v>
      </c>
      <c r="I30" s="27" t="n">
        <f aca="false">IF(COUNT('Feijão 1ª safra'!$E28:$Z28)=0,0,MAX(0,IF((I$6-$E$3)&lt;1,0,IFERROR(LOOKUP(2,1/('Feijão 1ª safra'!$E28:INDEX('Feijão 1ª safra'!$E28:$Z28,MIN(I$6-$E$3,22))&lt;&gt;""),'Feijão 1ª safra'!$E28:INDEX('Feijão 1ª safra'!$E28:$Z28,MIN(I$6-$E$3,22))),0))-IF($G$2,0,IF((I$6-$G$3)&lt;1,0,IFERROR(LOOKUP(2,1/('Feijão 1ª safra'!$E28:INDEX('Feijão 1ª safra'!$E28:$Z28,MIN(I$6-$G$3,22))&lt;&gt;""),'Feijão 1ª safra'!$E28:INDEX('Feijão 1ª safra'!$E28:$Z28,MIN(I$6-$G$3,22))),0)))))</f>
        <v>0</v>
      </c>
      <c r="J30" s="27" t="n">
        <f aca="false">IF(COUNT('Feijão 1ª safra'!$E28:$Z28)=0,0,MAX(0,IF((J$6-$E$3)&lt;1,0,IFERROR(LOOKUP(2,1/('Feijão 1ª safra'!$E28:INDEX('Feijão 1ª safra'!$E28:$Z28,MIN(J$6-$E$3,22))&lt;&gt;""),'Feijão 1ª safra'!$E28:INDEX('Feijão 1ª safra'!$E28:$Z28,MIN(J$6-$E$3,22))),0))-IF($G$2,0,IF((J$6-$G$3)&lt;1,0,IFERROR(LOOKUP(2,1/('Feijão 1ª safra'!$E28:INDEX('Feijão 1ª safra'!$E28:$Z28,MIN(J$6-$G$3,22))&lt;&gt;""),'Feijão 1ª safra'!$E28:INDEX('Feijão 1ª safra'!$E28:$Z28,MIN(J$6-$G$3,22))),0)))))</f>
        <v>0</v>
      </c>
      <c r="K30" s="27" t="n">
        <f aca="false">IF(COUNT('Feijão 1ª safra'!$E28:$Z28)=0,0,MAX(0,IF((K$6-$E$3)&lt;1,0,IFERROR(LOOKUP(2,1/('Feijão 1ª safra'!$E28:INDEX('Feijão 1ª safra'!$E28:$Z28,MIN(K$6-$E$3,22))&lt;&gt;""),'Feijão 1ª safra'!$E28:INDEX('Feijão 1ª safra'!$E28:$Z28,MIN(K$6-$E$3,22))),0))-IF($G$2,0,IF((K$6-$G$3)&lt;1,0,IFERROR(LOOKUP(2,1/('Feijão 1ª safra'!$E28:INDEX('Feijão 1ª safra'!$E28:$Z28,MIN(K$6-$G$3,22))&lt;&gt;""),'Feijão 1ª safra'!$E28:INDEX('Feijão 1ª safra'!$E28:$Z28,MIN(K$6-$G$3,22))),0)))))</f>
        <v>0</v>
      </c>
      <c r="L30" s="27" t="n">
        <f aca="false">IF(COUNT('Feijão 1ª safra'!$E28:$Z28)=0,0,MAX(0,IF((L$6-$E$3)&lt;1,0,IFERROR(LOOKUP(2,1/('Feijão 1ª safra'!$E28:INDEX('Feijão 1ª safra'!$E28:$Z28,MIN(L$6-$E$3,22))&lt;&gt;""),'Feijão 1ª safra'!$E28:INDEX('Feijão 1ª safra'!$E28:$Z28,MIN(L$6-$E$3,22))),0))-IF($G$2,0,IF((L$6-$G$3)&lt;1,0,IFERROR(LOOKUP(2,1/('Feijão 1ª safra'!$E28:INDEX('Feijão 1ª safra'!$E28:$Z28,MIN(L$6-$G$3,22))&lt;&gt;""),'Feijão 1ª safra'!$E28:INDEX('Feijão 1ª safra'!$E28:$Z28,MIN(L$6-$G$3,22))),0)))))</f>
        <v>0</v>
      </c>
      <c r="M30" s="27" t="n">
        <f aca="false">IF(COUNT('Feijão 1ª safra'!$E28:$Z28)=0,0,MAX(0,IF((M$6-$E$3)&lt;1,0,IFERROR(LOOKUP(2,1/('Feijão 1ª safra'!$E28:INDEX('Feijão 1ª safra'!$E28:$Z28,MIN(M$6-$E$3,22))&lt;&gt;""),'Feijão 1ª safra'!$E28:INDEX('Feijão 1ª safra'!$E28:$Z28,MIN(M$6-$E$3,22))),0))-IF($G$2,0,IF((M$6-$G$3)&lt;1,0,IFERROR(LOOKUP(2,1/('Feijão 1ª safra'!$E28:INDEX('Feijão 1ª safra'!$E28:$Z28,MIN(M$6-$G$3,22))&lt;&gt;""),'Feijão 1ª safra'!$E28:INDEX('Feijão 1ª safra'!$E28:$Z28,MIN(M$6-$G$3,22))),0)))))</f>
        <v>0</v>
      </c>
      <c r="N30" s="27" t="n">
        <f aca="false">IF(COUNT('Feijão 1ª safra'!$E28:$Z28)=0,0,MAX(0,IF((N$6-$E$3)&lt;1,0,IFERROR(LOOKUP(2,1/('Feijão 1ª safra'!$E28:INDEX('Feijão 1ª safra'!$E28:$Z28,MIN(N$6-$E$3,22))&lt;&gt;""),'Feijão 1ª safra'!$E28:INDEX('Feijão 1ª safra'!$E28:$Z28,MIN(N$6-$E$3,22))),0))-IF($G$2,0,IF((N$6-$G$3)&lt;1,0,IFERROR(LOOKUP(2,1/('Feijão 1ª safra'!$E28:INDEX('Feijão 1ª safra'!$E28:$Z28,MIN(N$6-$G$3,22))&lt;&gt;""),'Feijão 1ª safra'!$E28:INDEX('Feijão 1ª safra'!$E28:$Z28,MIN(N$6-$G$3,22))),0)))))</f>
        <v>0</v>
      </c>
      <c r="O30" s="27" t="n">
        <f aca="false">IF(COUNT('Feijão 1ª safra'!$E28:$Z28)=0,0,MAX(0,IF((O$6-$E$3)&lt;1,0,IFERROR(LOOKUP(2,1/('Feijão 1ª safra'!$E28:INDEX('Feijão 1ª safra'!$E28:$Z28,MIN(O$6-$E$3,22))&lt;&gt;""),'Feijão 1ª safra'!$E28:INDEX('Feijão 1ª safra'!$E28:$Z28,MIN(O$6-$E$3,22))),0))-IF($G$2,0,IF((O$6-$G$3)&lt;1,0,IFERROR(LOOKUP(2,1/('Feijão 1ª safra'!$E28:INDEX('Feijão 1ª safra'!$E28:$Z28,MIN(O$6-$G$3,22))&lt;&gt;""),'Feijão 1ª safra'!$E28:INDEX('Feijão 1ª safra'!$E28:$Z28,MIN(O$6-$G$3,22))),0)))))</f>
        <v>0</v>
      </c>
      <c r="P30" s="27" t="n">
        <f aca="false">IF(COUNT('Feijão 1ª safra'!$E28:$Z28)=0,0,MAX(0,IF((P$6-$E$3)&lt;1,0,IFERROR(LOOKUP(2,1/('Feijão 1ª safra'!$E28:INDEX('Feijão 1ª safra'!$E28:$Z28,MIN(P$6-$E$3,22))&lt;&gt;""),'Feijão 1ª safra'!$E28:INDEX('Feijão 1ª safra'!$E28:$Z28,MIN(P$6-$E$3,22))),0))-IF($G$2,0,IF((P$6-$G$3)&lt;1,0,IFERROR(LOOKUP(2,1/('Feijão 1ª safra'!$E28:INDEX('Feijão 1ª safra'!$E28:$Z28,MIN(P$6-$G$3,22))&lt;&gt;""),'Feijão 1ª safra'!$E28:INDEX('Feijão 1ª safra'!$E28:$Z28,MIN(P$6-$G$3,22))),0)))))</f>
        <v>0</v>
      </c>
      <c r="Q30" s="27" t="n">
        <f aca="false">IF(COUNT('Feijão 1ª safra'!$E28:$Z28)=0,0,MAX(0,IF((Q$6-$E$3)&lt;1,0,IFERROR(LOOKUP(2,1/('Feijão 1ª safra'!$E28:INDEX('Feijão 1ª safra'!$E28:$Z28,MIN(Q$6-$E$3,22))&lt;&gt;""),'Feijão 1ª safra'!$E28:INDEX('Feijão 1ª safra'!$E28:$Z28,MIN(Q$6-$E$3,22))),0))-IF($G$2,0,IF((Q$6-$G$3)&lt;1,0,IFERROR(LOOKUP(2,1/('Feijão 1ª safra'!$E28:INDEX('Feijão 1ª safra'!$E28:$Z28,MIN(Q$6-$G$3,22))&lt;&gt;""),'Feijão 1ª safra'!$E28:INDEX('Feijão 1ª safra'!$E28:$Z28,MIN(Q$6-$G$3,22))),0)))))</f>
        <v>0</v>
      </c>
      <c r="R30" s="27" t="n">
        <f aca="false">IF(COUNT('Feijão 1ª safra'!$E28:$Z28)=0,0,MAX(0,IF((R$6-$E$3)&lt;1,0,IFERROR(LOOKUP(2,1/('Feijão 1ª safra'!$E28:INDEX('Feijão 1ª safra'!$E28:$Z28,MIN(R$6-$E$3,22))&lt;&gt;""),'Feijão 1ª safra'!$E28:INDEX('Feijão 1ª safra'!$E28:$Z28,MIN(R$6-$E$3,22))),0))-IF($G$2,0,IF((R$6-$G$3)&lt;1,0,IFERROR(LOOKUP(2,1/('Feijão 1ª safra'!$E28:INDEX('Feijão 1ª safra'!$E28:$Z28,MIN(R$6-$G$3,22))&lt;&gt;""),'Feijão 1ª safra'!$E28:INDEX('Feijão 1ª safra'!$E28:$Z28,MIN(R$6-$G$3,22))),0)))))</f>
        <v>0</v>
      </c>
      <c r="S30" s="27" t="n">
        <f aca="false">IF(COUNT('Feijão 1ª safra'!$E28:$Z28)=0,0,MAX(0,IF((S$6-$E$3)&lt;1,0,IFERROR(LOOKUP(2,1/('Feijão 1ª safra'!$E28:INDEX('Feijão 1ª safra'!$E28:$Z28,MIN(S$6-$E$3,22))&lt;&gt;""),'Feijão 1ª safra'!$E28:INDEX('Feijão 1ª safra'!$E28:$Z28,MIN(S$6-$E$3,22))),0))-IF($G$2,0,IF((S$6-$G$3)&lt;1,0,IFERROR(LOOKUP(2,1/('Feijão 1ª safra'!$E28:INDEX('Feijão 1ª safra'!$E28:$Z28,MIN(S$6-$G$3,22))&lt;&gt;""),'Feijão 1ª safra'!$E28:INDEX('Feijão 1ª safra'!$E28:$Z28,MIN(S$6-$G$3,22))),0)))))</f>
        <v>0</v>
      </c>
      <c r="T30" s="27" t="n">
        <f aca="false">IF(COUNT('Feijão 1ª safra'!$E28:$Z28)=0,0,MAX(0,IF((T$6-$E$3)&lt;1,0,IFERROR(LOOKUP(2,1/('Feijão 1ª safra'!$E28:INDEX('Feijão 1ª safra'!$E28:$Z28,MIN(T$6-$E$3,22))&lt;&gt;""),'Feijão 1ª safra'!$E28:INDEX('Feijão 1ª safra'!$E28:$Z28,MIN(T$6-$E$3,22))),0))-IF($G$2,0,IF((T$6-$G$3)&lt;1,0,IFERROR(LOOKUP(2,1/('Feijão 1ª safra'!$E28:INDEX('Feijão 1ª safra'!$E28:$Z28,MIN(T$6-$G$3,22))&lt;&gt;""),'Feijão 1ª safra'!$E28:INDEX('Feijão 1ª safra'!$E28:$Z28,MIN(T$6-$G$3,22))),0)))))</f>
        <v>0</v>
      </c>
      <c r="U30" s="27" t="n">
        <f aca="false">IF(COUNT('Feijão 1ª safra'!$E28:$Z28)=0,0,MAX(0,IF((U$6-$E$3)&lt;1,0,IFERROR(LOOKUP(2,1/('Feijão 1ª safra'!$E28:INDEX('Feijão 1ª safra'!$E28:$Z28,MIN(U$6-$E$3,22))&lt;&gt;""),'Feijão 1ª safra'!$E28:INDEX('Feijão 1ª safra'!$E28:$Z28,MIN(U$6-$E$3,22))),0))-IF($G$2,0,IF((U$6-$G$3)&lt;1,0,IFERROR(LOOKUP(2,1/('Feijão 1ª safra'!$E28:INDEX('Feijão 1ª safra'!$E28:$Z28,MIN(U$6-$G$3,22))&lt;&gt;""),'Feijão 1ª safra'!$E28:INDEX('Feijão 1ª safra'!$E28:$Z28,MIN(U$6-$G$3,22))),0)))))</f>
        <v>0</v>
      </c>
      <c r="V30" s="27" t="n">
        <f aca="false">IF(COUNT('Feijão 1ª safra'!$E28:$Z28)=0,0,MAX(0,IF((V$6-$E$3)&lt;1,0,IFERROR(LOOKUP(2,1/('Feijão 1ª safra'!$E28:INDEX('Feijão 1ª safra'!$E28:$Z28,MIN(V$6-$E$3,22))&lt;&gt;""),'Feijão 1ª safra'!$E28:INDEX('Feijão 1ª safra'!$E28:$Z28,MIN(V$6-$E$3,22))),0))-IF($G$2,0,IF((V$6-$G$3)&lt;1,0,IFERROR(LOOKUP(2,1/('Feijão 1ª safra'!$E28:INDEX('Feijão 1ª safra'!$E28:$Z28,MIN(V$6-$G$3,22))&lt;&gt;""),'Feijão 1ª safra'!$E28:INDEX('Feijão 1ª safra'!$E28:$Z28,MIN(V$6-$G$3,22))),0)))))</f>
        <v>0</v>
      </c>
      <c r="W30" s="27" t="n">
        <f aca="false">IF(COUNT('Feijão 1ª safra'!$E28:$Z28)=0,0,MAX(0,IF((W$6-$E$3)&lt;1,0,IFERROR(LOOKUP(2,1/('Feijão 1ª safra'!$E28:INDEX('Feijão 1ª safra'!$E28:$Z28,MIN(W$6-$E$3,22))&lt;&gt;""),'Feijão 1ª safra'!$E28:INDEX('Feijão 1ª safra'!$E28:$Z28,MIN(W$6-$E$3,22))),0))-IF($G$2,0,IF((W$6-$G$3)&lt;1,0,IFERROR(LOOKUP(2,1/('Feijão 1ª safra'!$E28:INDEX('Feijão 1ª safra'!$E28:$Z28,MIN(W$6-$G$3,22))&lt;&gt;""),'Feijão 1ª safra'!$E28:INDEX('Feijão 1ª safra'!$E28:$Z28,MIN(W$6-$G$3,22))),0)))))</f>
        <v>0</v>
      </c>
      <c r="X30" s="27" t="n">
        <f aca="false">IF(COUNT('Feijão 1ª safra'!$E28:$Z28)=0,0,MAX(0,IF((X$6-$E$3)&lt;1,0,IFERROR(LOOKUP(2,1/('Feijão 1ª safra'!$E28:INDEX('Feijão 1ª safra'!$E28:$Z28,MIN(X$6-$E$3,22))&lt;&gt;""),'Feijão 1ª safra'!$E28:INDEX('Feijão 1ª safra'!$E28:$Z28,MIN(X$6-$E$3,22))),0))-IF($G$2,0,IF((X$6-$G$3)&lt;1,0,IFERROR(LOOKUP(2,1/('Feijão 1ª safra'!$E28:INDEX('Feijão 1ª safra'!$E28:$Z28,MIN(X$6-$G$3,22))&lt;&gt;""),'Feijão 1ª safra'!$E28:INDEX('Feijão 1ª safra'!$E28:$Z28,MIN(X$6-$G$3,22))),0)))))</f>
        <v>0</v>
      </c>
      <c r="Y30" s="27" t="n">
        <f aca="false">IF(COUNT('Feijão 1ª safra'!$E28:$Z28)=0,0,MAX(0,IF((Y$6-$E$3)&lt;1,0,IFERROR(LOOKUP(2,1/('Feijão 1ª safra'!$E28:INDEX('Feijão 1ª safra'!$E28:$Z28,MIN(Y$6-$E$3,22))&lt;&gt;""),'Feijão 1ª safra'!$E28:INDEX('Feijão 1ª safra'!$E28:$Z28,MIN(Y$6-$E$3,22))),0))-IF($G$2,0,IF((Y$6-$G$3)&lt;1,0,IFERROR(LOOKUP(2,1/('Feijão 1ª safra'!$E28:INDEX('Feijão 1ª safra'!$E28:$Z28,MIN(Y$6-$G$3,22))&lt;&gt;""),'Feijão 1ª safra'!$E28:INDEX('Feijão 1ª safra'!$E28:$Z28,MIN(Y$6-$G$3,22))),0)))))</f>
        <v>0</v>
      </c>
      <c r="Z30" s="27" t="n">
        <f aca="false">IF(COUNT('Feijão 1ª safra'!$E28:$Z28)=0,0,MAX(0,IF((Z$6-$E$3)&lt;1,0,IFERROR(LOOKUP(2,1/('Feijão 1ª safra'!$E28:INDEX('Feijão 1ª safra'!$E28:$Z28,MIN(Z$6-$E$3,22))&lt;&gt;""),'Feijão 1ª safra'!$E28:INDEX('Feijão 1ª safra'!$E28:$Z28,MIN(Z$6-$E$3,22))),0))-IF($G$2,0,IF((Z$6-$G$3)&lt;1,0,IFERROR(LOOKUP(2,1/('Feijão 1ª safra'!$E28:INDEX('Feijão 1ª safra'!$E28:$Z28,MIN(Z$6-$G$3,22))&lt;&gt;""),'Feijão 1ª safra'!$E28:INDEX('Feijão 1ª safra'!$E28:$Z28,MIN(Z$6-$G$3,22))),0)))))</f>
        <v>0</v>
      </c>
      <c r="AA30" s="27" t="n">
        <f aca="false">IF(COUNT('Feijão 1ª safra'!$E28:$Z28)=0,0,MAX(0,IF((AA$6-$E$3)&lt;1,0,IFERROR(LOOKUP(2,1/('Feijão 1ª safra'!$E28:INDEX('Feijão 1ª safra'!$E28:$Z28,MIN(AA$6-$E$3,22))&lt;&gt;""),'Feijão 1ª safra'!$E28:INDEX('Feijão 1ª safra'!$E28:$Z28,MIN(AA$6-$E$3,22))),0))-IF($G$2,0,IF((AA$6-$G$3)&lt;1,0,IFERROR(LOOKUP(2,1/('Feijão 1ª safra'!$E28:INDEX('Feijão 1ª safra'!$E28:$Z28,MIN(AA$6-$G$3,22))&lt;&gt;""),'Feijão 1ª safra'!$E28:INDEX('Feijão 1ª safra'!$E28:$Z28,MIN(AA$6-$G$3,22))),0)))))</f>
        <v>0</v>
      </c>
      <c r="AB30" s="27" t="n">
        <f aca="false">IF(COUNT('Feijão 1ª safra'!$E28:$Z28)=0,0,MAX(0,IF((AB$6-$E$3)&lt;1,0,IFERROR(LOOKUP(2,1/('Feijão 1ª safra'!$E28:INDEX('Feijão 1ª safra'!$E28:$Z28,MIN(AB$6-$E$3,22))&lt;&gt;""),'Feijão 1ª safra'!$E28:INDEX('Feijão 1ª safra'!$E28:$Z28,MIN(AB$6-$E$3,22))),0))-IF($G$2,0,IF((AB$6-$G$3)&lt;1,0,IFERROR(LOOKUP(2,1/('Feijão 1ª safra'!$E28:INDEX('Feijão 1ª safra'!$E28:$Z28,MIN(AB$6-$G$3,22))&lt;&gt;""),'Feijão 1ª safra'!$E28:INDEX('Feijão 1ª safra'!$E28:$Z28,MIN(AB$6-$G$3,22))),0)))))</f>
        <v>0</v>
      </c>
      <c r="AC30" s="27" t="n">
        <f aca="false">IF(COUNT('Feijão 1ª safra'!$E28:$Z28)=0,0,MAX(0,IF((AC$6-$E$3)&lt;1,0,IFERROR(LOOKUP(2,1/('Feijão 1ª safra'!$E28:INDEX('Feijão 1ª safra'!$E28:$Z28,MIN(AC$6-$E$3,22))&lt;&gt;""),'Feijão 1ª safra'!$E28:INDEX('Feijão 1ª safra'!$E28:$Z28,MIN(AC$6-$E$3,22))),0))-IF($G$2,0,IF((AC$6-$G$3)&lt;1,0,IFERROR(LOOKUP(2,1/('Feijão 1ª safra'!$E28:INDEX('Feijão 1ª safra'!$E28:$Z28,MIN(AC$6-$G$3,22))&lt;&gt;""),'Feijão 1ª safra'!$E28:INDEX('Feijão 1ª safra'!$E28:$Z28,MIN(AC$6-$G$3,22))),0)))))</f>
        <v>0</v>
      </c>
      <c r="AD30" s="27" t="n">
        <f aca="false">IF(COUNT('Feijão 1ª safra'!$E28:$Z28)=0,0,MAX(0,IF((AD$6-$E$3)&lt;1,0,IFERROR(LOOKUP(2,1/('Feijão 1ª safra'!$E28:INDEX('Feijão 1ª safra'!$E28:$Z28,MIN(AD$6-$E$3,22))&lt;&gt;""),'Feijão 1ª safra'!$E28:INDEX('Feijão 1ª safra'!$E28:$Z28,MIN(AD$6-$E$3,22))),0))-IF($G$2,0,IF((AD$6-$G$3)&lt;1,0,IFERROR(LOOKUP(2,1/('Feijão 1ª safra'!$E28:INDEX('Feijão 1ª safra'!$E28:$Z28,MIN(AD$6-$G$3,22))&lt;&gt;""),'Feijão 1ª safra'!$E28:INDEX('Feijão 1ª safra'!$E28:$Z28,MIN(AD$6-$G$3,22))),0)))))</f>
        <v>0</v>
      </c>
      <c r="AE30" s="27" t="n">
        <f aca="false">IF(COUNT('Feijão 1ª safra'!$E28:$Z28)=0,0,MAX(0,IF((AE$6-$E$3)&lt;1,0,IFERROR(LOOKUP(2,1/('Feijão 1ª safra'!$E28:INDEX('Feijão 1ª safra'!$E28:$Z28,MIN(AE$6-$E$3,22))&lt;&gt;""),'Feijão 1ª safra'!$E28:INDEX('Feijão 1ª safra'!$E28:$Z28,MIN(AE$6-$E$3,22))),0))-IF($G$2,0,IF((AE$6-$G$3)&lt;1,0,IFERROR(LOOKUP(2,1/('Feijão 1ª safra'!$E28:INDEX('Feijão 1ª safra'!$E28:$Z28,MIN(AE$6-$G$3,22))&lt;&gt;""),'Feijão 1ª safra'!$E28:INDEX('Feijão 1ª safra'!$E28:$Z28,MIN(AE$6-$G$3,22))),0)))))</f>
        <v>0</v>
      </c>
      <c r="AF30" s="27" t="n">
        <f aca="false">IF(COUNT('Feijão 1ª safra'!$E28:$Z28)=0,0,MAX(0,IF((AF$6-$E$3)&lt;1,0,IFERROR(LOOKUP(2,1/('Feijão 1ª safra'!$E28:INDEX('Feijão 1ª safra'!$E28:$Z28,MIN(AF$6-$E$3,22))&lt;&gt;""),'Feijão 1ª safra'!$E28:INDEX('Feijão 1ª safra'!$E28:$Z28,MIN(AF$6-$E$3,22))),0))-IF($G$2,0,IF((AF$6-$G$3)&lt;1,0,IFERROR(LOOKUP(2,1/('Feijão 1ª safra'!$E28:INDEX('Feijão 1ª safra'!$E28:$Z28,MIN(AF$6-$G$3,22))&lt;&gt;""),'Feijão 1ª safra'!$E28:INDEX('Feijão 1ª safra'!$E28:$Z28,MIN(AF$6-$G$3,22))),0)))))</f>
        <v>0</v>
      </c>
      <c r="AG30" s="27" t="n">
        <f aca="false">IF(COUNT('Feijão 1ª safra'!$E28:$Z28)=0,0,MAX(0,IF((AG$6-$E$3)&lt;1,0,IFERROR(LOOKUP(2,1/('Feijão 1ª safra'!$E28:INDEX('Feijão 1ª safra'!$E28:$Z28,MIN(AG$6-$E$3,22))&lt;&gt;""),'Feijão 1ª safra'!$E28:INDEX('Feijão 1ª safra'!$E28:$Z28,MIN(AG$6-$E$3,22))),0))-IF($G$2,0,IF((AG$6-$G$3)&lt;1,0,IFERROR(LOOKUP(2,1/('Feijão 1ª safra'!$E28:INDEX('Feijão 1ª safra'!$E28:$Z28,MIN(AG$6-$G$3,22))&lt;&gt;""),'Feijão 1ª safra'!$E28:INDEX('Feijão 1ª safra'!$E28:$Z28,MIN(AG$6-$G$3,22))),0)))))</f>
        <v>0</v>
      </c>
      <c r="AH30" s="27" t="n">
        <f aca="false">IF(COUNT('Feijão 1ª safra'!$E28:$Z28)=0,0,MAX(0,IF((AH$6-$E$3)&lt;1,0,IFERROR(LOOKUP(2,1/('Feijão 1ª safra'!$E28:INDEX('Feijão 1ª safra'!$E28:$Z28,MIN(AH$6-$E$3,22))&lt;&gt;""),'Feijão 1ª safra'!$E28:INDEX('Feijão 1ª safra'!$E28:$Z28,MIN(AH$6-$E$3,22))),0))-IF($G$2,0,IF((AH$6-$G$3)&lt;1,0,IFERROR(LOOKUP(2,1/('Feijão 1ª safra'!$E28:INDEX('Feijão 1ª safra'!$E28:$Z28,MIN(AH$6-$G$3,22))&lt;&gt;""),'Feijão 1ª safra'!$E28:INDEX('Feijão 1ª safra'!$E28:$Z28,MIN(AH$6-$G$3,22))),0)))))</f>
        <v>0</v>
      </c>
      <c r="AI30" s="27" t="n">
        <f aca="false">IF(COUNT('Feijão 1ª safra'!$E28:$Z28)=0,0,MAX(0,IF((AI$6-$E$3)&lt;1,0,IFERROR(LOOKUP(2,1/('Feijão 1ª safra'!$E28:INDEX('Feijão 1ª safra'!$E28:$Z28,MIN(AI$6-$E$3,22))&lt;&gt;""),'Feijão 1ª safra'!$E28:INDEX('Feijão 1ª safra'!$E28:$Z28,MIN(AI$6-$E$3,22))),0))-IF($G$2,0,IF((AI$6-$G$3)&lt;1,0,IFERROR(LOOKUP(2,1/('Feijão 1ª safra'!$E28:INDEX('Feijão 1ª safra'!$E28:$Z28,MIN(AI$6-$G$3,22))&lt;&gt;""),'Feijão 1ª safra'!$E28:INDEX('Feijão 1ª safra'!$E28:$Z28,MIN(AI$6-$G$3,22))),0)))))</f>
        <v>0</v>
      </c>
      <c r="AJ30" s="27" t="n">
        <f aca="false">IF(COUNT('Feijão 1ª safra'!$E28:$Z28)=0,0,MAX(0,IF((AJ$6-$E$3)&lt;1,0,IFERROR(LOOKUP(2,1/('Feijão 1ª safra'!$E28:INDEX('Feijão 1ª safra'!$E28:$Z28,MIN(AJ$6-$E$3,22))&lt;&gt;""),'Feijão 1ª safra'!$E28:INDEX('Feijão 1ª safra'!$E28:$Z28,MIN(AJ$6-$E$3,22))),0))-IF($G$2,0,IF((AJ$6-$G$3)&lt;1,0,IFERROR(LOOKUP(2,1/('Feijão 1ª safra'!$E28:INDEX('Feijão 1ª safra'!$E28:$Z28,MIN(AJ$6-$G$3,22))&lt;&gt;""),'Feijão 1ª safra'!$E28:INDEX('Feijão 1ª safra'!$E28:$Z28,MIN(AJ$6-$G$3,22))),0)))))</f>
        <v>0</v>
      </c>
      <c r="AK30" s="27" t="n">
        <f aca="false">IF(COUNT('Feijão 1ª safra'!$E28:$Z28)=0,0,MAX(0,IF((AK$6-$E$3)&lt;1,0,IFERROR(LOOKUP(2,1/('Feijão 1ª safra'!$E28:INDEX('Feijão 1ª safra'!$E28:$Z28,MIN(AK$6-$E$3,22))&lt;&gt;""),'Feijão 1ª safra'!$E28:INDEX('Feijão 1ª safra'!$E28:$Z28,MIN(AK$6-$E$3,22))),0))-IF($G$2,0,IF((AK$6-$G$3)&lt;1,0,IFERROR(LOOKUP(2,1/('Feijão 1ª safra'!$E28:INDEX('Feijão 1ª safra'!$E28:$Z28,MIN(AK$6-$G$3,22))&lt;&gt;""),'Feijão 1ª safra'!$E28:INDEX('Feijão 1ª safra'!$E28:$Z28,MIN(AK$6-$G$3,22))),0)))))</f>
        <v>0</v>
      </c>
      <c r="AL30" s="27" t="n">
        <f aca="false">IF(COUNT('Feijão 1ª safra'!$E28:$Z28)=0,0,MAX(0,IF((AL$6-$E$3)&lt;1,0,IFERROR(LOOKUP(2,1/('Feijão 1ª safra'!$E28:INDEX('Feijão 1ª safra'!$E28:$Z28,MIN(AL$6-$E$3,22))&lt;&gt;""),'Feijão 1ª safra'!$E28:INDEX('Feijão 1ª safra'!$E28:$Z28,MIN(AL$6-$E$3,22))),0))-IF($G$2,0,IF((AL$6-$G$3)&lt;1,0,IFERROR(LOOKUP(2,1/('Feijão 1ª safra'!$E28:INDEX('Feijão 1ª safra'!$E28:$Z28,MIN(AL$6-$G$3,22))&lt;&gt;""),'Feijão 1ª safra'!$E28:INDEX('Feijão 1ª safra'!$E28:$Z28,MIN(AL$6-$G$3,22))),0)))))</f>
        <v>0</v>
      </c>
      <c r="AM30" s="27" t="n">
        <f aca="false">IF(COUNT('Feijão 1ª safra'!$E28:$Z28)=0,0,MAX(0,IF((AM$6-$E$3)&lt;1,0,IFERROR(LOOKUP(2,1/('Feijão 1ª safra'!$E28:INDEX('Feijão 1ª safra'!$E28:$Z28,MIN(AM$6-$E$3,22))&lt;&gt;""),'Feijão 1ª safra'!$E28:INDEX('Feijão 1ª safra'!$E28:$Z28,MIN(AM$6-$E$3,22))),0))-IF($G$2,0,IF((AM$6-$G$3)&lt;1,0,IFERROR(LOOKUP(2,1/('Feijão 1ª safra'!$E28:INDEX('Feijão 1ª safra'!$E28:$Z28,MIN(AM$6-$G$3,22))&lt;&gt;""),'Feijão 1ª safra'!$E28:INDEX('Feijão 1ª safra'!$E28:$Z28,MIN(AM$6-$G$3,22))),0)))))</f>
        <v>0</v>
      </c>
      <c r="AN30" s="27" t="n">
        <f aca="false">IF(COUNT('Feijão 1ª safra'!$E28:$Z28)=0,0,MAX(0,IF((AN$6-$E$3)&lt;1,0,IFERROR(LOOKUP(2,1/('Feijão 1ª safra'!$E28:INDEX('Feijão 1ª safra'!$E28:$Z28,MIN(AN$6-$E$3,22))&lt;&gt;""),'Feijão 1ª safra'!$E28:INDEX('Feijão 1ª safra'!$E28:$Z28,MIN(AN$6-$E$3,22))),0))-IF($G$2,0,IF((AN$6-$G$3)&lt;1,0,IFERROR(LOOKUP(2,1/('Feijão 1ª safra'!$E28:INDEX('Feijão 1ª safra'!$E28:$Z28,MIN(AN$6-$G$3,22))&lt;&gt;""),'Feijão 1ª safra'!$E28:INDEX('Feijão 1ª safra'!$E28:$Z28,MIN(AN$6-$G$3,22))),0)))))</f>
        <v>0</v>
      </c>
      <c r="AO30" s="27" t="n">
        <f aca="false">IF(COUNT('Feijão 1ª safra'!$E28:$Z28)=0,0,MAX(0,IF((AO$6-$E$3)&lt;1,0,IFERROR(LOOKUP(2,1/('Feijão 1ª safra'!$E28:INDEX('Feijão 1ª safra'!$E28:$Z28,MIN(AO$6-$E$3,22))&lt;&gt;""),'Feijão 1ª safra'!$E28:INDEX('Feijão 1ª safra'!$E28:$Z28,MIN(AO$6-$E$3,22))),0))-IF($G$2,0,IF((AO$6-$G$3)&lt;1,0,IFERROR(LOOKUP(2,1/('Feijão 1ª safra'!$E28:INDEX('Feijão 1ª safra'!$E28:$Z28,MIN(AO$6-$G$3,22))&lt;&gt;""),'Feijão 1ª safra'!$E28:INDEX('Feijão 1ª safra'!$E28:$Z28,MIN(AO$6-$G$3,22))),0)))))</f>
        <v>0</v>
      </c>
      <c r="AP30" s="27" t="n">
        <f aca="false">IF(COUNT('Feijão 1ª safra'!$E28:$Z28)=0,0,MAX(0,IF((AP$6-$E$3)&lt;1,0,IFERROR(LOOKUP(2,1/('Feijão 1ª safra'!$E28:INDEX('Feijão 1ª safra'!$E28:$Z28,MIN(AP$6-$E$3,22))&lt;&gt;""),'Feijão 1ª safra'!$E28:INDEX('Feijão 1ª safra'!$E28:$Z28,MIN(AP$6-$E$3,22))),0))-IF($G$2,0,IF((AP$6-$G$3)&lt;1,0,IFERROR(LOOKUP(2,1/('Feijão 1ª safra'!$E28:INDEX('Feijão 1ª safra'!$E28:$Z28,MIN(AP$6-$G$3,22))&lt;&gt;""),'Feijão 1ª safra'!$E28:INDEX('Feijão 1ª safra'!$E28:$Z28,MIN(AP$6-$G$3,22))),0)))))</f>
        <v>0</v>
      </c>
      <c r="AQ30" s="27" t="n">
        <f aca="false">IF(COUNT('Feijão 1ª safra'!$E28:$Z28)=0,0,MAX(0,IF((AQ$6-$E$3)&lt;1,0,IFERROR(LOOKUP(2,1/('Feijão 1ª safra'!$E28:INDEX('Feijão 1ª safra'!$E28:$Z28,MIN(AQ$6-$E$3,22))&lt;&gt;""),'Feijão 1ª safra'!$E28:INDEX('Feijão 1ª safra'!$E28:$Z28,MIN(AQ$6-$E$3,22))),0))-IF($G$2,0,IF((AQ$6-$G$3)&lt;1,0,IFERROR(LOOKUP(2,1/('Feijão 1ª safra'!$E28:INDEX('Feijão 1ª safra'!$E28:$Z28,MIN(AQ$6-$G$3,22))&lt;&gt;""),'Feijão 1ª safra'!$E28:INDEX('Feijão 1ª safra'!$E28:$Z28,MIN(AQ$6-$G$3,22))),0)))))</f>
        <v>0</v>
      </c>
      <c r="AR30" s="27" t="n">
        <f aca="false">IF(COUNT('Feijão 1ª safra'!$E28:$Z28)=0,0,MAX(0,IF((AR$6-$E$3)&lt;1,0,IFERROR(LOOKUP(2,1/('Feijão 1ª safra'!$E28:INDEX('Feijão 1ª safra'!$E28:$Z28,MIN(AR$6-$E$3,22))&lt;&gt;""),'Feijão 1ª safra'!$E28:INDEX('Feijão 1ª safra'!$E28:$Z28,MIN(AR$6-$E$3,22))),0))-IF($G$2,0,IF((AR$6-$G$3)&lt;1,0,IFERROR(LOOKUP(2,1/('Feijão 1ª safra'!$E28:INDEX('Feijão 1ª safra'!$E28:$Z28,MIN(AR$6-$G$3,22))&lt;&gt;""),'Feijão 1ª safra'!$E28:INDEX('Feijão 1ª safra'!$E28:$Z28,MIN(AR$6-$G$3,22))),0)))))</f>
        <v>0</v>
      </c>
      <c r="AS30" s="27" t="n">
        <f aca="false">IF(COUNT('Feijão 1ª safra'!$E28:$Z28)=0,0,MAX(0,IF((AS$6-$E$3)&lt;1,0,IFERROR(LOOKUP(2,1/('Feijão 1ª safra'!$E28:INDEX('Feijão 1ª safra'!$E28:$Z28,MIN(AS$6-$E$3,22))&lt;&gt;""),'Feijão 1ª safra'!$E28:INDEX('Feijão 1ª safra'!$E28:$Z28,MIN(AS$6-$E$3,22))),0))-IF($G$2,0,IF((AS$6-$G$3)&lt;1,0,IFERROR(LOOKUP(2,1/('Feijão 1ª safra'!$E28:INDEX('Feijão 1ª safra'!$E28:$Z28,MIN(AS$6-$G$3,22))&lt;&gt;""),'Feijão 1ª safra'!$E28:INDEX('Feijão 1ª safra'!$E28:$Z28,MIN(AS$6-$G$3,22))),0)))))</f>
        <v>0</v>
      </c>
      <c r="AT30" s="27" t="n">
        <f aca="false">IF(COUNT('Feijão 1ª safra'!$E28:$Z28)=0,0,MAX(0,IF((AT$6-$E$3)&lt;1,0,IFERROR(LOOKUP(2,1/('Feijão 1ª safra'!$E28:INDEX('Feijão 1ª safra'!$E28:$Z28,MIN(AT$6-$E$3,22))&lt;&gt;""),'Feijão 1ª safra'!$E28:INDEX('Feijão 1ª safra'!$E28:$Z28,MIN(AT$6-$E$3,22))),0))-IF($G$2,0,IF((AT$6-$G$3)&lt;1,0,IFERROR(LOOKUP(2,1/('Feijão 1ª safra'!$E28:INDEX('Feijão 1ª safra'!$E28:$Z28,MIN(AT$6-$G$3,22))&lt;&gt;""),'Feijão 1ª safra'!$E28:INDEX('Feijão 1ª safra'!$E28:$Z28,MIN(AT$6-$G$3,22))),0)))))</f>
        <v>0</v>
      </c>
      <c r="AU30" s="27" t="n">
        <f aca="false">IF(COUNT('Feijão 1ª safra'!$E28:$Z28)=0,0,MAX(0,IF((AU$6-$E$3)&lt;1,0,IFERROR(LOOKUP(2,1/('Feijão 1ª safra'!$E28:INDEX('Feijão 1ª safra'!$E28:$Z28,MIN(AU$6-$E$3,22))&lt;&gt;""),'Feijão 1ª safra'!$E28:INDEX('Feijão 1ª safra'!$E28:$Z28,MIN(AU$6-$E$3,22))),0))-IF($G$2,0,IF((AU$6-$G$3)&lt;1,0,IFERROR(LOOKUP(2,1/('Feijão 1ª safra'!$E28:INDEX('Feijão 1ª safra'!$E28:$Z28,MIN(AU$6-$G$3,22))&lt;&gt;""),'Feijão 1ª safra'!$E28:INDEX('Feijão 1ª safra'!$E28:$Z28,MIN(AU$6-$G$3,22))),0)))))</f>
        <v>0</v>
      </c>
      <c r="AV30" s="27" t="n">
        <f aca="false">IF(COUNT('Feijão 1ª safra'!$E28:$Z28)=0,0,MAX(0,IF((AV$6-$E$3)&lt;1,0,IFERROR(LOOKUP(2,1/('Feijão 1ª safra'!$E28:INDEX('Feijão 1ª safra'!$E28:$Z28,MIN(AV$6-$E$3,22))&lt;&gt;""),'Feijão 1ª safra'!$E28:INDEX('Feijão 1ª safra'!$E28:$Z28,MIN(AV$6-$E$3,22))),0))-IF($G$2,0,IF((AV$6-$G$3)&lt;1,0,IFERROR(LOOKUP(2,1/('Feijão 1ª safra'!$E28:INDEX('Feijão 1ª safra'!$E28:$Z28,MIN(AV$6-$G$3,22))&lt;&gt;""),'Feijão 1ª safra'!$E28:INDEX('Feijão 1ª safra'!$E28:$Z28,MIN(AV$6-$G$3,22))),0)))))</f>
        <v>0</v>
      </c>
      <c r="AW30" s="27" t="n">
        <f aca="false">IF(COUNT('Feijão 1ª safra'!$E28:$Z28)=0,0,MAX(0,IF((AW$6-$E$3)&lt;1,0,IFERROR(LOOKUP(2,1/('Feijão 1ª safra'!$E28:INDEX('Feijão 1ª safra'!$E28:$Z28,MIN(AW$6-$E$3,22))&lt;&gt;""),'Feijão 1ª safra'!$E28:INDEX('Feijão 1ª safra'!$E28:$Z28,MIN(AW$6-$E$3,22))),0))-IF($G$2,0,IF((AW$6-$G$3)&lt;1,0,IFERROR(LOOKUP(2,1/('Feijão 1ª safra'!$E28:INDEX('Feijão 1ª safra'!$E28:$Z28,MIN(AW$6-$G$3,22))&lt;&gt;""),'Feijão 1ª safra'!$E28:INDEX('Feijão 1ª safra'!$E28:$Z28,MIN(AW$6-$G$3,22))),0)))))</f>
        <v>0</v>
      </c>
      <c r="AX30" s="27" t="n">
        <f aca="false">IF(COUNT('Feijão 1ª safra'!$E28:$Z28)=0,0,MAX(0,IF((AX$6-$E$3)&lt;1,0,IFERROR(LOOKUP(2,1/('Feijão 1ª safra'!$E28:INDEX('Feijão 1ª safra'!$E28:$Z28,MIN(AX$6-$E$3,22))&lt;&gt;""),'Feijão 1ª safra'!$E28:INDEX('Feijão 1ª safra'!$E28:$Z28,MIN(AX$6-$E$3,22))),0))-IF($G$2,0,IF((AX$6-$G$3)&lt;1,0,IFERROR(LOOKUP(2,1/('Feijão 1ª safra'!$E28:INDEX('Feijão 1ª safra'!$E28:$Z28,MIN(AX$6-$G$3,22))&lt;&gt;""),'Feijão 1ª safra'!$E28:INDEX('Feijão 1ª safra'!$E28:$Z28,MIN(AX$6-$G$3,22))),0)))))</f>
        <v>0</v>
      </c>
      <c r="AY30" s="27" t="n">
        <f aca="false">IF(COUNT('Feijão 1ª safra'!$E28:$Z28)=0,0,MAX(0,IF((AY$6-$E$3)&lt;1,0,IFERROR(LOOKUP(2,1/('Feijão 1ª safra'!$E28:INDEX('Feijão 1ª safra'!$E28:$Z28,MIN(AY$6-$E$3,22))&lt;&gt;""),'Feijão 1ª safra'!$E28:INDEX('Feijão 1ª safra'!$E28:$Z28,MIN(AY$6-$E$3,22))),0))-IF($G$2,0,IF((AY$6-$G$3)&lt;1,0,IFERROR(LOOKUP(2,1/('Feijão 1ª safra'!$E28:INDEX('Feijão 1ª safra'!$E28:$Z28,MIN(AY$6-$G$3,22))&lt;&gt;""),'Feijão 1ª safra'!$E28:INDEX('Feijão 1ª safra'!$E28:$Z28,MIN(AY$6-$G$3,22))),0)))))</f>
        <v>0</v>
      </c>
      <c r="AZ30" s="27" t="n">
        <f aca="false">IF(COUNT('Feijão 1ª safra'!$E28:$Z28)=0,0,MAX(0,IF((AZ$6-$E$3)&lt;1,0,IFERROR(LOOKUP(2,1/('Feijão 1ª safra'!$E28:INDEX('Feijão 1ª safra'!$E28:$Z28,MIN(AZ$6-$E$3,22))&lt;&gt;""),'Feijão 1ª safra'!$E28:INDEX('Feijão 1ª safra'!$E28:$Z28,MIN(AZ$6-$E$3,22))),0))-IF($G$2,0,IF((AZ$6-$G$3)&lt;1,0,IFERROR(LOOKUP(2,1/('Feijão 1ª safra'!$E28:INDEX('Feijão 1ª safra'!$E28:$Z28,MIN(AZ$6-$G$3,22))&lt;&gt;""),'Feijão 1ª safra'!$E28:INDEX('Feijão 1ª safra'!$E28:$Z28,MIN(AZ$6-$G$3,22))),0)))))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IF(COUNT('Feijão 1ª safra'!$E29:$Z29)&gt;0,N('Feijão 1ª safra'!$D29),0)</f>
        <v>0</v>
      </c>
      <c r="E31" s="27" t="n">
        <f aca="false">IF(COUNT('Feijão 1ª safra'!$E29:$Z29)=0,0,MAX(0,IF((E$6-$E$3)&lt;1,0,IFERROR(LOOKUP(2,1/('Feijão 1ª safra'!$E29:INDEX('Feijão 1ª safra'!$E29:$Z29,MIN(E$6-$E$3,22))&lt;&gt;""),'Feijão 1ª safra'!$E29:INDEX('Feijão 1ª safra'!$E29:$Z29,MIN(E$6-$E$3,22))),0))-IF($G$2,0,IF((E$6-$G$3)&lt;1,0,IFERROR(LOOKUP(2,1/('Feijão 1ª safra'!$E29:INDEX('Feijão 1ª safra'!$E29:$Z29,MIN(E$6-$G$3,22))&lt;&gt;""),'Feijão 1ª safra'!$E29:INDEX('Feijão 1ª safra'!$E29:$Z29,MIN(E$6-$G$3,22))),0)))))</f>
        <v>0</v>
      </c>
      <c r="F31" s="27" t="n">
        <f aca="false">IF(COUNT('Feijão 1ª safra'!$E29:$Z29)=0,0,MAX(0,IF((F$6-$E$3)&lt;1,0,IFERROR(LOOKUP(2,1/('Feijão 1ª safra'!$E29:INDEX('Feijão 1ª safra'!$E29:$Z29,MIN(F$6-$E$3,22))&lt;&gt;""),'Feijão 1ª safra'!$E29:INDEX('Feijão 1ª safra'!$E29:$Z29,MIN(F$6-$E$3,22))),0))-IF($G$2,0,IF((F$6-$G$3)&lt;1,0,IFERROR(LOOKUP(2,1/('Feijão 1ª safra'!$E29:INDEX('Feijão 1ª safra'!$E29:$Z29,MIN(F$6-$G$3,22))&lt;&gt;""),'Feijão 1ª safra'!$E29:INDEX('Feijão 1ª safra'!$E29:$Z29,MIN(F$6-$G$3,22))),0)))))</f>
        <v>0</v>
      </c>
      <c r="G31" s="27" t="n">
        <f aca="false">IF(COUNT('Feijão 1ª safra'!$E29:$Z29)=0,0,MAX(0,IF((G$6-$E$3)&lt;1,0,IFERROR(LOOKUP(2,1/('Feijão 1ª safra'!$E29:INDEX('Feijão 1ª safra'!$E29:$Z29,MIN(G$6-$E$3,22))&lt;&gt;""),'Feijão 1ª safra'!$E29:INDEX('Feijão 1ª safra'!$E29:$Z29,MIN(G$6-$E$3,22))),0))-IF($G$2,0,IF((G$6-$G$3)&lt;1,0,IFERROR(LOOKUP(2,1/('Feijão 1ª safra'!$E29:INDEX('Feijão 1ª safra'!$E29:$Z29,MIN(G$6-$G$3,22))&lt;&gt;""),'Feijão 1ª safra'!$E29:INDEX('Feijão 1ª safra'!$E29:$Z29,MIN(G$6-$G$3,22))),0)))))</f>
        <v>0</v>
      </c>
      <c r="H31" s="27" t="n">
        <f aca="false">IF(COUNT('Feijão 1ª safra'!$E29:$Z29)=0,0,MAX(0,IF((H$6-$E$3)&lt;1,0,IFERROR(LOOKUP(2,1/('Feijão 1ª safra'!$E29:INDEX('Feijão 1ª safra'!$E29:$Z29,MIN(H$6-$E$3,22))&lt;&gt;""),'Feijão 1ª safra'!$E29:INDEX('Feijão 1ª safra'!$E29:$Z29,MIN(H$6-$E$3,22))),0))-IF($G$2,0,IF((H$6-$G$3)&lt;1,0,IFERROR(LOOKUP(2,1/('Feijão 1ª safra'!$E29:INDEX('Feijão 1ª safra'!$E29:$Z29,MIN(H$6-$G$3,22))&lt;&gt;""),'Feijão 1ª safra'!$E29:INDEX('Feijão 1ª safra'!$E29:$Z29,MIN(H$6-$G$3,22))),0)))))</f>
        <v>0</v>
      </c>
      <c r="I31" s="27" t="n">
        <f aca="false">IF(COUNT('Feijão 1ª safra'!$E29:$Z29)=0,0,MAX(0,IF((I$6-$E$3)&lt;1,0,IFERROR(LOOKUP(2,1/('Feijão 1ª safra'!$E29:INDEX('Feijão 1ª safra'!$E29:$Z29,MIN(I$6-$E$3,22))&lt;&gt;""),'Feijão 1ª safra'!$E29:INDEX('Feijão 1ª safra'!$E29:$Z29,MIN(I$6-$E$3,22))),0))-IF($G$2,0,IF((I$6-$G$3)&lt;1,0,IFERROR(LOOKUP(2,1/('Feijão 1ª safra'!$E29:INDEX('Feijão 1ª safra'!$E29:$Z29,MIN(I$6-$G$3,22))&lt;&gt;""),'Feijão 1ª safra'!$E29:INDEX('Feijão 1ª safra'!$E29:$Z29,MIN(I$6-$G$3,22))),0)))))</f>
        <v>0</v>
      </c>
      <c r="J31" s="27" t="n">
        <f aca="false">IF(COUNT('Feijão 1ª safra'!$E29:$Z29)=0,0,MAX(0,IF((J$6-$E$3)&lt;1,0,IFERROR(LOOKUP(2,1/('Feijão 1ª safra'!$E29:INDEX('Feijão 1ª safra'!$E29:$Z29,MIN(J$6-$E$3,22))&lt;&gt;""),'Feijão 1ª safra'!$E29:INDEX('Feijão 1ª safra'!$E29:$Z29,MIN(J$6-$E$3,22))),0))-IF($G$2,0,IF((J$6-$G$3)&lt;1,0,IFERROR(LOOKUP(2,1/('Feijão 1ª safra'!$E29:INDEX('Feijão 1ª safra'!$E29:$Z29,MIN(J$6-$G$3,22))&lt;&gt;""),'Feijão 1ª safra'!$E29:INDEX('Feijão 1ª safra'!$E29:$Z29,MIN(J$6-$G$3,22))),0)))))</f>
        <v>0</v>
      </c>
      <c r="K31" s="27" t="n">
        <f aca="false">IF(COUNT('Feijão 1ª safra'!$E29:$Z29)=0,0,MAX(0,IF((K$6-$E$3)&lt;1,0,IFERROR(LOOKUP(2,1/('Feijão 1ª safra'!$E29:INDEX('Feijão 1ª safra'!$E29:$Z29,MIN(K$6-$E$3,22))&lt;&gt;""),'Feijão 1ª safra'!$E29:INDEX('Feijão 1ª safra'!$E29:$Z29,MIN(K$6-$E$3,22))),0))-IF($G$2,0,IF((K$6-$G$3)&lt;1,0,IFERROR(LOOKUP(2,1/('Feijão 1ª safra'!$E29:INDEX('Feijão 1ª safra'!$E29:$Z29,MIN(K$6-$G$3,22))&lt;&gt;""),'Feijão 1ª safra'!$E29:INDEX('Feijão 1ª safra'!$E29:$Z29,MIN(K$6-$G$3,22))),0)))))</f>
        <v>0</v>
      </c>
      <c r="L31" s="27" t="n">
        <f aca="false">IF(COUNT('Feijão 1ª safra'!$E29:$Z29)=0,0,MAX(0,IF((L$6-$E$3)&lt;1,0,IFERROR(LOOKUP(2,1/('Feijão 1ª safra'!$E29:INDEX('Feijão 1ª safra'!$E29:$Z29,MIN(L$6-$E$3,22))&lt;&gt;""),'Feijão 1ª safra'!$E29:INDEX('Feijão 1ª safra'!$E29:$Z29,MIN(L$6-$E$3,22))),0))-IF($G$2,0,IF((L$6-$G$3)&lt;1,0,IFERROR(LOOKUP(2,1/('Feijão 1ª safra'!$E29:INDEX('Feijão 1ª safra'!$E29:$Z29,MIN(L$6-$G$3,22))&lt;&gt;""),'Feijão 1ª safra'!$E29:INDEX('Feijão 1ª safra'!$E29:$Z29,MIN(L$6-$G$3,22))),0)))))</f>
        <v>0</v>
      </c>
      <c r="M31" s="27" t="n">
        <f aca="false">IF(COUNT('Feijão 1ª safra'!$E29:$Z29)=0,0,MAX(0,IF((M$6-$E$3)&lt;1,0,IFERROR(LOOKUP(2,1/('Feijão 1ª safra'!$E29:INDEX('Feijão 1ª safra'!$E29:$Z29,MIN(M$6-$E$3,22))&lt;&gt;""),'Feijão 1ª safra'!$E29:INDEX('Feijão 1ª safra'!$E29:$Z29,MIN(M$6-$E$3,22))),0))-IF($G$2,0,IF((M$6-$G$3)&lt;1,0,IFERROR(LOOKUP(2,1/('Feijão 1ª safra'!$E29:INDEX('Feijão 1ª safra'!$E29:$Z29,MIN(M$6-$G$3,22))&lt;&gt;""),'Feijão 1ª safra'!$E29:INDEX('Feijão 1ª safra'!$E29:$Z29,MIN(M$6-$G$3,22))),0)))))</f>
        <v>0</v>
      </c>
      <c r="N31" s="27" t="n">
        <f aca="false">IF(COUNT('Feijão 1ª safra'!$E29:$Z29)=0,0,MAX(0,IF((N$6-$E$3)&lt;1,0,IFERROR(LOOKUP(2,1/('Feijão 1ª safra'!$E29:INDEX('Feijão 1ª safra'!$E29:$Z29,MIN(N$6-$E$3,22))&lt;&gt;""),'Feijão 1ª safra'!$E29:INDEX('Feijão 1ª safra'!$E29:$Z29,MIN(N$6-$E$3,22))),0))-IF($G$2,0,IF((N$6-$G$3)&lt;1,0,IFERROR(LOOKUP(2,1/('Feijão 1ª safra'!$E29:INDEX('Feijão 1ª safra'!$E29:$Z29,MIN(N$6-$G$3,22))&lt;&gt;""),'Feijão 1ª safra'!$E29:INDEX('Feijão 1ª safra'!$E29:$Z29,MIN(N$6-$G$3,22))),0)))))</f>
        <v>0</v>
      </c>
      <c r="O31" s="27" t="n">
        <f aca="false">IF(COUNT('Feijão 1ª safra'!$E29:$Z29)=0,0,MAX(0,IF((O$6-$E$3)&lt;1,0,IFERROR(LOOKUP(2,1/('Feijão 1ª safra'!$E29:INDEX('Feijão 1ª safra'!$E29:$Z29,MIN(O$6-$E$3,22))&lt;&gt;""),'Feijão 1ª safra'!$E29:INDEX('Feijão 1ª safra'!$E29:$Z29,MIN(O$6-$E$3,22))),0))-IF($G$2,0,IF((O$6-$G$3)&lt;1,0,IFERROR(LOOKUP(2,1/('Feijão 1ª safra'!$E29:INDEX('Feijão 1ª safra'!$E29:$Z29,MIN(O$6-$G$3,22))&lt;&gt;""),'Feijão 1ª safra'!$E29:INDEX('Feijão 1ª safra'!$E29:$Z29,MIN(O$6-$G$3,22))),0)))))</f>
        <v>0</v>
      </c>
      <c r="P31" s="27" t="n">
        <f aca="false">IF(COUNT('Feijão 1ª safra'!$E29:$Z29)=0,0,MAX(0,IF((P$6-$E$3)&lt;1,0,IFERROR(LOOKUP(2,1/('Feijão 1ª safra'!$E29:INDEX('Feijão 1ª safra'!$E29:$Z29,MIN(P$6-$E$3,22))&lt;&gt;""),'Feijão 1ª safra'!$E29:INDEX('Feijão 1ª safra'!$E29:$Z29,MIN(P$6-$E$3,22))),0))-IF($G$2,0,IF((P$6-$G$3)&lt;1,0,IFERROR(LOOKUP(2,1/('Feijão 1ª safra'!$E29:INDEX('Feijão 1ª safra'!$E29:$Z29,MIN(P$6-$G$3,22))&lt;&gt;""),'Feijão 1ª safra'!$E29:INDEX('Feijão 1ª safra'!$E29:$Z29,MIN(P$6-$G$3,22))),0)))))</f>
        <v>0</v>
      </c>
      <c r="Q31" s="27" t="n">
        <f aca="false">IF(COUNT('Feijão 1ª safra'!$E29:$Z29)=0,0,MAX(0,IF((Q$6-$E$3)&lt;1,0,IFERROR(LOOKUP(2,1/('Feijão 1ª safra'!$E29:INDEX('Feijão 1ª safra'!$E29:$Z29,MIN(Q$6-$E$3,22))&lt;&gt;""),'Feijão 1ª safra'!$E29:INDEX('Feijão 1ª safra'!$E29:$Z29,MIN(Q$6-$E$3,22))),0))-IF($G$2,0,IF((Q$6-$G$3)&lt;1,0,IFERROR(LOOKUP(2,1/('Feijão 1ª safra'!$E29:INDEX('Feijão 1ª safra'!$E29:$Z29,MIN(Q$6-$G$3,22))&lt;&gt;""),'Feijão 1ª safra'!$E29:INDEX('Feijão 1ª safra'!$E29:$Z29,MIN(Q$6-$G$3,22))),0)))))</f>
        <v>0</v>
      </c>
      <c r="R31" s="27" t="n">
        <f aca="false">IF(COUNT('Feijão 1ª safra'!$E29:$Z29)=0,0,MAX(0,IF((R$6-$E$3)&lt;1,0,IFERROR(LOOKUP(2,1/('Feijão 1ª safra'!$E29:INDEX('Feijão 1ª safra'!$E29:$Z29,MIN(R$6-$E$3,22))&lt;&gt;""),'Feijão 1ª safra'!$E29:INDEX('Feijão 1ª safra'!$E29:$Z29,MIN(R$6-$E$3,22))),0))-IF($G$2,0,IF((R$6-$G$3)&lt;1,0,IFERROR(LOOKUP(2,1/('Feijão 1ª safra'!$E29:INDEX('Feijão 1ª safra'!$E29:$Z29,MIN(R$6-$G$3,22))&lt;&gt;""),'Feijão 1ª safra'!$E29:INDEX('Feijão 1ª safra'!$E29:$Z29,MIN(R$6-$G$3,22))),0)))))</f>
        <v>0</v>
      </c>
      <c r="S31" s="27" t="n">
        <f aca="false">IF(COUNT('Feijão 1ª safra'!$E29:$Z29)=0,0,MAX(0,IF((S$6-$E$3)&lt;1,0,IFERROR(LOOKUP(2,1/('Feijão 1ª safra'!$E29:INDEX('Feijão 1ª safra'!$E29:$Z29,MIN(S$6-$E$3,22))&lt;&gt;""),'Feijão 1ª safra'!$E29:INDEX('Feijão 1ª safra'!$E29:$Z29,MIN(S$6-$E$3,22))),0))-IF($G$2,0,IF((S$6-$G$3)&lt;1,0,IFERROR(LOOKUP(2,1/('Feijão 1ª safra'!$E29:INDEX('Feijão 1ª safra'!$E29:$Z29,MIN(S$6-$G$3,22))&lt;&gt;""),'Feijão 1ª safra'!$E29:INDEX('Feijão 1ª safra'!$E29:$Z29,MIN(S$6-$G$3,22))),0)))))</f>
        <v>0</v>
      </c>
      <c r="T31" s="27" t="n">
        <f aca="false">IF(COUNT('Feijão 1ª safra'!$E29:$Z29)=0,0,MAX(0,IF((T$6-$E$3)&lt;1,0,IFERROR(LOOKUP(2,1/('Feijão 1ª safra'!$E29:INDEX('Feijão 1ª safra'!$E29:$Z29,MIN(T$6-$E$3,22))&lt;&gt;""),'Feijão 1ª safra'!$E29:INDEX('Feijão 1ª safra'!$E29:$Z29,MIN(T$6-$E$3,22))),0))-IF($G$2,0,IF((T$6-$G$3)&lt;1,0,IFERROR(LOOKUP(2,1/('Feijão 1ª safra'!$E29:INDEX('Feijão 1ª safra'!$E29:$Z29,MIN(T$6-$G$3,22))&lt;&gt;""),'Feijão 1ª safra'!$E29:INDEX('Feijão 1ª safra'!$E29:$Z29,MIN(T$6-$G$3,22))),0)))))</f>
        <v>0</v>
      </c>
      <c r="U31" s="27" t="n">
        <f aca="false">IF(COUNT('Feijão 1ª safra'!$E29:$Z29)=0,0,MAX(0,IF((U$6-$E$3)&lt;1,0,IFERROR(LOOKUP(2,1/('Feijão 1ª safra'!$E29:INDEX('Feijão 1ª safra'!$E29:$Z29,MIN(U$6-$E$3,22))&lt;&gt;""),'Feijão 1ª safra'!$E29:INDEX('Feijão 1ª safra'!$E29:$Z29,MIN(U$6-$E$3,22))),0))-IF($G$2,0,IF((U$6-$G$3)&lt;1,0,IFERROR(LOOKUP(2,1/('Feijão 1ª safra'!$E29:INDEX('Feijão 1ª safra'!$E29:$Z29,MIN(U$6-$G$3,22))&lt;&gt;""),'Feijão 1ª safra'!$E29:INDEX('Feijão 1ª safra'!$E29:$Z29,MIN(U$6-$G$3,22))),0)))))</f>
        <v>0</v>
      </c>
      <c r="V31" s="27" t="n">
        <f aca="false">IF(COUNT('Feijão 1ª safra'!$E29:$Z29)=0,0,MAX(0,IF((V$6-$E$3)&lt;1,0,IFERROR(LOOKUP(2,1/('Feijão 1ª safra'!$E29:INDEX('Feijão 1ª safra'!$E29:$Z29,MIN(V$6-$E$3,22))&lt;&gt;""),'Feijão 1ª safra'!$E29:INDEX('Feijão 1ª safra'!$E29:$Z29,MIN(V$6-$E$3,22))),0))-IF($G$2,0,IF((V$6-$G$3)&lt;1,0,IFERROR(LOOKUP(2,1/('Feijão 1ª safra'!$E29:INDEX('Feijão 1ª safra'!$E29:$Z29,MIN(V$6-$G$3,22))&lt;&gt;""),'Feijão 1ª safra'!$E29:INDEX('Feijão 1ª safra'!$E29:$Z29,MIN(V$6-$G$3,22))),0)))))</f>
        <v>0</v>
      </c>
      <c r="W31" s="27" t="n">
        <f aca="false">IF(COUNT('Feijão 1ª safra'!$E29:$Z29)=0,0,MAX(0,IF((W$6-$E$3)&lt;1,0,IFERROR(LOOKUP(2,1/('Feijão 1ª safra'!$E29:INDEX('Feijão 1ª safra'!$E29:$Z29,MIN(W$6-$E$3,22))&lt;&gt;""),'Feijão 1ª safra'!$E29:INDEX('Feijão 1ª safra'!$E29:$Z29,MIN(W$6-$E$3,22))),0))-IF($G$2,0,IF((W$6-$G$3)&lt;1,0,IFERROR(LOOKUP(2,1/('Feijão 1ª safra'!$E29:INDEX('Feijão 1ª safra'!$E29:$Z29,MIN(W$6-$G$3,22))&lt;&gt;""),'Feijão 1ª safra'!$E29:INDEX('Feijão 1ª safra'!$E29:$Z29,MIN(W$6-$G$3,22))),0)))))</f>
        <v>0</v>
      </c>
      <c r="X31" s="27" t="n">
        <f aca="false">IF(COUNT('Feijão 1ª safra'!$E29:$Z29)=0,0,MAX(0,IF((X$6-$E$3)&lt;1,0,IFERROR(LOOKUP(2,1/('Feijão 1ª safra'!$E29:INDEX('Feijão 1ª safra'!$E29:$Z29,MIN(X$6-$E$3,22))&lt;&gt;""),'Feijão 1ª safra'!$E29:INDEX('Feijão 1ª safra'!$E29:$Z29,MIN(X$6-$E$3,22))),0))-IF($G$2,0,IF((X$6-$G$3)&lt;1,0,IFERROR(LOOKUP(2,1/('Feijão 1ª safra'!$E29:INDEX('Feijão 1ª safra'!$E29:$Z29,MIN(X$6-$G$3,22))&lt;&gt;""),'Feijão 1ª safra'!$E29:INDEX('Feijão 1ª safra'!$E29:$Z29,MIN(X$6-$G$3,22))),0)))))</f>
        <v>0</v>
      </c>
      <c r="Y31" s="27" t="n">
        <f aca="false">IF(COUNT('Feijão 1ª safra'!$E29:$Z29)=0,0,MAX(0,IF((Y$6-$E$3)&lt;1,0,IFERROR(LOOKUP(2,1/('Feijão 1ª safra'!$E29:INDEX('Feijão 1ª safra'!$E29:$Z29,MIN(Y$6-$E$3,22))&lt;&gt;""),'Feijão 1ª safra'!$E29:INDEX('Feijão 1ª safra'!$E29:$Z29,MIN(Y$6-$E$3,22))),0))-IF($G$2,0,IF((Y$6-$G$3)&lt;1,0,IFERROR(LOOKUP(2,1/('Feijão 1ª safra'!$E29:INDEX('Feijão 1ª safra'!$E29:$Z29,MIN(Y$6-$G$3,22))&lt;&gt;""),'Feijão 1ª safra'!$E29:INDEX('Feijão 1ª safra'!$E29:$Z29,MIN(Y$6-$G$3,22))),0)))))</f>
        <v>0</v>
      </c>
      <c r="Z31" s="27" t="n">
        <f aca="false">IF(COUNT('Feijão 1ª safra'!$E29:$Z29)=0,0,MAX(0,IF((Z$6-$E$3)&lt;1,0,IFERROR(LOOKUP(2,1/('Feijão 1ª safra'!$E29:INDEX('Feijão 1ª safra'!$E29:$Z29,MIN(Z$6-$E$3,22))&lt;&gt;""),'Feijão 1ª safra'!$E29:INDEX('Feijão 1ª safra'!$E29:$Z29,MIN(Z$6-$E$3,22))),0))-IF($G$2,0,IF((Z$6-$G$3)&lt;1,0,IFERROR(LOOKUP(2,1/('Feijão 1ª safra'!$E29:INDEX('Feijão 1ª safra'!$E29:$Z29,MIN(Z$6-$G$3,22))&lt;&gt;""),'Feijão 1ª safra'!$E29:INDEX('Feijão 1ª safra'!$E29:$Z29,MIN(Z$6-$G$3,22))),0)))))</f>
        <v>0</v>
      </c>
      <c r="AA31" s="27" t="n">
        <f aca="false">IF(COUNT('Feijão 1ª safra'!$E29:$Z29)=0,0,MAX(0,IF((AA$6-$E$3)&lt;1,0,IFERROR(LOOKUP(2,1/('Feijão 1ª safra'!$E29:INDEX('Feijão 1ª safra'!$E29:$Z29,MIN(AA$6-$E$3,22))&lt;&gt;""),'Feijão 1ª safra'!$E29:INDEX('Feijão 1ª safra'!$E29:$Z29,MIN(AA$6-$E$3,22))),0))-IF($G$2,0,IF((AA$6-$G$3)&lt;1,0,IFERROR(LOOKUP(2,1/('Feijão 1ª safra'!$E29:INDEX('Feijão 1ª safra'!$E29:$Z29,MIN(AA$6-$G$3,22))&lt;&gt;""),'Feijão 1ª safra'!$E29:INDEX('Feijão 1ª safra'!$E29:$Z29,MIN(AA$6-$G$3,22))),0)))))</f>
        <v>0</v>
      </c>
      <c r="AB31" s="27" t="n">
        <f aca="false">IF(COUNT('Feijão 1ª safra'!$E29:$Z29)=0,0,MAX(0,IF((AB$6-$E$3)&lt;1,0,IFERROR(LOOKUP(2,1/('Feijão 1ª safra'!$E29:INDEX('Feijão 1ª safra'!$E29:$Z29,MIN(AB$6-$E$3,22))&lt;&gt;""),'Feijão 1ª safra'!$E29:INDEX('Feijão 1ª safra'!$E29:$Z29,MIN(AB$6-$E$3,22))),0))-IF($G$2,0,IF((AB$6-$G$3)&lt;1,0,IFERROR(LOOKUP(2,1/('Feijão 1ª safra'!$E29:INDEX('Feijão 1ª safra'!$E29:$Z29,MIN(AB$6-$G$3,22))&lt;&gt;""),'Feijão 1ª safra'!$E29:INDEX('Feijão 1ª safra'!$E29:$Z29,MIN(AB$6-$G$3,22))),0)))))</f>
        <v>0</v>
      </c>
      <c r="AC31" s="27" t="n">
        <f aca="false">IF(COUNT('Feijão 1ª safra'!$E29:$Z29)=0,0,MAX(0,IF((AC$6-$E$3)&lt;1,0,IFERROR(LOOKUP(2,1/('Feijão 1ª safra'!$E29:INDEX('Feijão 1ª safra'!$E29:$Z29,MIN(AC$6-$E$3,22))&lt;&gt;""),'Feijão 1ª safra'!$E29:INDEX('Feijão 1ª safra'!$E29:$Z29,MIN(AC$6-$E$3,22))),0))-IF($G$2,0,IF((AC$6-$G$3)&lt;1,0,IFERROR(LOOKUP(2,1/('Feijão 1ª safra'!$E29:INDEX('Feijão 1ª safra'!$E29:$Z29,MIN(AC$6-$G$3,22))&lt;&gt;""),'Feijão 1ª safra'!$E29:INDEX('Feijão 1ª safra'!$E29:$Z29,MIN(AC$6-$G$3,22))),0)))))</f>
        <v>0</v>
      </c>
      <c r="AD31" s="27" t="n">
        <f aca="false">IF(COUNT('Feijão 1ª safra'!$E29:$Z29)=0,0,MAX(0,IF((AD$6-$E$3)&lt;1,0,IFERROR(LOOKUP(2,1/('Feijão 1ª safra'!$E29:INDEX('Feijão 1ª safra'!$E29:$Z29,MIN(AD$6-$E$3,22))&lt;&gt;""),'Feijão 1ª safra'!$E29:INDEX('Feijão 1ª safra'!$E29:$Z29,MIN(AD$6-$E$3,22))),0))-IF($G$2,0,IF((AD$6-$G$3)&lt;1,0,IFERROR(LOOKUP(2,1/('Feijão 1ª safra'!$E29:INDEX('Feijão 1ª safra'!$E29:$Z29,MIN(AD$6-$G$3,22))&lt;&gt;""),'Feijão 1ª safra'!$E29:INDEX('Feijão 1ª safra'!$E29:$Z29,MIN(AD$6-$G$3,22))),0)))))</f>
        <v>0</v>
      </c>
      <c r="AE31" s="27" t="n">
        <f aca="false">IF(COUNT('Feijão 1ª safra'!$E29:$Z29)=0,0,MAX(0,IF((AE$6-$E$3)&lt;1,0,IFERROR(LOOKUP(2,1/('Feijão 1ª safra'!$E29:INDEX('Feijão 1ª safra'!$E29:$Z29,MIN(AE$6-$E$3,22))&lt;&gt;""),'Feijão 1ª safra'!$E29:INDEX('Feijão 1ª safra'!$E29:$Z29,MIN(AE$6-$E$3,22))),0))-IF($G$2,0,IF((AE$6-$G$3)&lt;1,0,IFERROR(LOOKUP(2,1/('Feijão 1ª safra'!$E29:INDEX('Feijão 1ª safra'!$E29:$Z29,MIN(AE$6-$G$3,22))&lt;&gt;""),'Feijão 1ª safra'!$E29:INDEX('Feijão 1ª safra'!$E29:$Z29,MIN(AE$6-$G$3,22))),0)))))</f>
        <v>0</v>
      </c>
      <c r="AF31" s="27" t="n">
        <f aca="false">IF(COUNT('Feijão 1ª safra'!$E29:$Z29)=0,0,MAX(0,IF((AF$6-$E$3)&lt;1,0,IFERROR(LOOKUP(2,1/('Feijão 1ª safra'!$E29:INDEX('Feijão 1ª safra'!$E29:$Z29,MIN(AF$6-$E$3,22))&lt;&gt;""),'Feijão 1ª safra'!$E29:INDEX('Feijão 1ª safra'!$E29:$Z29,MIN(AF$6-$E$3,22))),0))-IF($G$2,0,IF((AF$6-$G$3)&lt;1,0,IFERROR(LOOKUP(2,1/('Feijão 1ª safra'!$E29:INDEX('Feijão 1ª safra'!$E29:$Z29,MIN(AF$6-$G$3,22))&lt;&gt;""),'Feijão 1ª safra'!$E29:INDEX('Feijão 1ª safra'!$E29:$Z29,MIN(AF$6-$G$3,22))),0)))))</f>
        <v>0</v>
      </c>
      <c r="AG31" s="27" t="n">
        <f aca="false">IF(COUNT('Feijão 1ª safra'!$E29:$Z29)=0,0,MAX(0,IF((AG$6-$E$3)&lt;1,0,IFERROR(LOOKUP(2,1/('Feijão 1ª safra'!$E29:INDEX('Feijão 1ª safra'!$E29:$Z29,MIN(AG$6-$E$3,22))&lt;&gt;""),'Feijão 1ª safra'!$E29:INDEX('Feijão 1ª safra'!$E29:$Z29,MIN(AG$6-$E$3,22))),0))-IF($G$2,0,IF((AG$6-$G$3)&lt;1,0,IFERROR(LOOKUP(2,1/('Feijão 1ª safra'!$E29:INDEX('Feijão 1ª safra'!$E29:$Z29,MIN(AG$6-$G$3,22))&lt;&gt;""),'Feijão 1ª safra'!$E29:INDEX('Feijão 1ª safra'!$E29:$Z29,MIN(AG$6-$G$3,22))),0)))))</f>
        <v>0</v>
      </c>
      <c r="AH31" s="27" t="n">
        <f aca="false">IF(COUNT('Feijão 1ª safra'!$E29:$Z29)=0,0,MAX(0,IF((AH$6-$E$3)&lt;1,0,IFERROR(LOOKUP(2,1/('Feijão 1ª safra'!$E29:INDEX('Feijão 1ª safra'!$E29:$Z29,MIN(AH$6-$E$3,22))&lt;&gt;""),'Feijão 1ª safra'!$E29:INDEX('Feijão 1ª safra'!$E29:$Z29,MIN(AH$6-$E$3,22))),0))-IF($G$2,0,IF((AH$6-$G$3)&lt;1,0,IFERROR(LOOKUP(2,1/('Feijão 1ª safra'!$E29:INDEX('Feijão 1ª safra'!$E29:$Z29,MIN(AH$6-$G$3,22))&lt;&gt;""),'Feijão 1ª safra'!$E29:INDEX('Feijão 1ª safra'!$E29:$Z29,MIN(AH$6-$G$3,22))),0)))))</f>
        <v>0</v>
      </c>
      <c r="AI31" s="27" t="n">
        <f aca="false">IF(COUNT('Feijão 1ª safra'!$E29:$Z29)=0,0,MAX(0,IF((AI$6-$E$3)&lt;1,0,IFERROR(LOOKUP(2,1/('Feijão 1ª safra'!$E29:INDEX('Feijão 1ª safra'!$E29:$Z29,MIN(AI$6-$E$3,22))&lt;&gt;""),'Feijão 1ª safra'!$E29:INDEX('Feijão 1ª safra'!$E29:$Z29,MIN(AI$6-$E$3,22))),0))-IF($G$2,0,IF((AI$6-$G$3)&lt;1,0,IFERROR(LOOKUP(2,1/('Feijão 1ª safra'!$E29:INDEX('Feijão 1ª safra'!$E29:$Z29,MIN(AI$6-$G$3,22))&lt;&gt;""),'Feijão 1ª safra'!$E29:INDEX('Feijão 1ª safra'!$E29:$Z29,MIN(AI$6-$G$3,22))),0)))))</f>
        <v>0</v>
      </c>
      <c r="AJ31" s="27" t="n">
        <f aca="false">IF(COUNT('Feijão 1ª safra'!$E29:$Z29)=0,0,MAX(0,IF((AJ$6-$E$3)&lt;1,0,IFERROR(LOOKUP(2,1/('Feijão 1ª safra'!$E29:INDEX('Feijão 1ª safra'!$E29:$Z29,MIN(AJ$6-$E$3,22))&lt;&gt;""),'Feijão 1ª safra'!$E29:INDEX('Feijão 1ª safra'!$E29:$Z29,MIN(AJ$6-$E$3,22))),0))-IF($G$2,0,IF((AJ$6-$G$3)&lt;1,0,IFERROR(LOOKUP(2,1/('Feijão 1ª safra'!$E29:INDEX('Feijão 1ª safra'!$E29:$Z29,MIN(AJ$6-$G$3,22))&lt;&gt;""),'Feijão 1ª safra'!$E29:INDEX('Feijão 1ª safra'!$E29:$Z29,MIN(AJ$6-$G$3,22))),0)))))</f>
        <v>0</v>
      </c>
      <c r="AK31" s="27" t="n">
        <f aca="false">IF(COUNT('Feijão 1ª safra'!$E29:$Z29)=0,0,MAX(0,IF((AK$6-$E$3)&lt;1,0,IFERROR(LOOKUP(2,1/('Feijão 1ª safra'!$E29:INDEX('Feijão 1ª safra'!$E29:$Z29,MIN(AK$6-$E$3,22))&lt;&gt;""),'Feijão 1ª safra'!$E29:INDEX('Feijão 1ª safra'!$E29:$Z29,MIN(AK$6-$E$3,22))),0))-IF($G$2,0,IF((AK$6-$G$3)&lt;1,0,IFERROR(LOOKUP(2,1/('Feijão 1ª safra'!$E29:INDEX('Feijão 1ª safra'!$E29:$Z29,MIN(AK$6-$G$3,22))&lt;&gt;""),'Feijão 1ª safra'!$E29:INDEX('Feijão 1ª safra'!$E29:$Z29,MIN(AK$6-$G$3,22))),0)))))</f>
        <v>0</v>
      </c>
      <c r="AL31" s="27" t="n">
        <f aca="false">IF(COUNT('Feijão 1ª safra'!$E29:$Z29)=0,0,MAX(0,IF((AL$6-$E$3)&lt;1,0,IFERROR(LOOKUP(2,1/('Feijão 1ª safra'!$E29:INDEX('Feijão 1ª safra'!$E29:$Z29,MIN(AL$6-$E$3,22))&lt;&gt;""),'Feijão 1ª safra'!$E29:INDEX('Feijão 1ª safra'!$E29:$Z29,MIN(AL$6-$E$3,22))),0))-IF($G$2,0,IF((AL$6-$G$3)&lt;1,0,IFERROR(LOOKUP(2,1/('Feijão 1ª safra'!$E29:INDEX('Feijão 1ª safra'!$E29:$Z29,MIN(AL$6-$G$3,22))&lt;&gt;""),'Feijão 1ª safra'!$E29:INDEX('Feijão 1ª safra'!$E29:$Z29,MIN(AL$6-$G$3,22))),0)))))</f>
        <v>0</v>
      </c>
      <c r="AM31" s="27" t="n">
        <f aca="false">IF(COUNT('Feijão 1ª safra'!$E29:$Z29)=0,0,MAX(0,IF((AM$6-$E$3)&lt;1,0,IFERROR(LOOKUP(2,1/('Feijão 1ª safra'!$E29:INDEX('Feijão 1ª safra'!$E29:$Z29,MIN(AM$6-$E$3,22))&lt;&gt;""),'Feijão 1ª safra'!$E29:INDEX('Feijão 1ª safra'!$E29:$Z29,MIN(AM$6-$E$3,22))),0))-IF($G$2,0,IF((AM$6-$G$3)&lt;1,0,IFERROR(LOOKUP(2,1/('Feijão 1ª safra'!$E29:INDEX('Feijão 1ª safra'!$E29:$Z29,MIN(AM$6-$G$3,22))&lt;&gt;""),'Feijão 1ª safra'!$E29:INDEX('Feijão 1ª safra'!$E29:$Z29,MIN(AM$6-$G$3,22))),0)))))</f>
        <v>0</v>
      </c>
      <c r="AN31" s="27" t="n">
        <f aca="false">IF(COUNT('Feijão 1ª safra'!$E29:$Z29)=0,0,MAX(0,IF((AN$6-$E$3)&lt;1,0,IFERROR(LOOKUP(2,1/('Feijão 1ª safra'!$E29:INDEX('Feijão 1ª safra'!$E29:$Z29,MIN(AN$6-$E$3,22))&lt;&gt;""),'Feijão 1ª safra'!$E29:INDEX('Feijão 1ª safra'!$E29:$Z29,MIN(AN$6-$E$3,22))),0))-IF($G$2,0,IF((AN$6-$G$3)&lt;1,0,IFERROR(LOOKUP(2,1/('Feijão 1ª safra'!$E29:INDEX('Feijão 1ª safra'!$E29:$Z29,MIN(AN$6-$G$3,22))&lt;&gt;""),'Feijão 1ª safra'!$E29:INDEX('Feijão 1ª safra'!$E29:$Z29,MIN(AN$6-$G$3,22))),0)))))</f>
        <v>0</v>
      </c>
      <c r="AO31" s="27" t="n">
        <f aca="false">IF(COUNT('Feijão 1ª safra'!$E29:$Z29)=0,0,MAX(0,IF((AO$6-$E$3)&lt;1,0,IFERROR(LOOKUP(2,1/('Feijão 1ª safra'!$E29:INDEX('Feijão 1ª safra'!$E29:$Z29,MIN(AO$6-$E$3,22))&lt;&gt;""),'Feijão 1ª safra'!$E29:INDEX('Feijão 1ª safra'!$E29:$Z29,MIN(AO$6-$E$3,22))),0))-IF($G$2,0,IF((AO$6-$G$3)&lt;1,0,IFERROR(LOOKUP(2,1/('Feijão 1ª safra'!$E29:INDEX('Feijão 1ª safra'!$E29:$Z29,MIN(AO$6-$G$3,22))&lt;&gt;""),'Feijão 1ª safra'!$E29:INDEX('Feijão 1ª safra'!$E29:$Z29,MIN(AO$6-$G$3,22))),0)))))</f>
        <v>0</v>
      </c>
      <c r="AP31" s="27" t="n">
        <f aca="false">IF(COUNT('Feijão 1ª safra'!$E29:$Z29)=0,0,MAX(0,IF((AP$6-$E$3)&lt;1,0,IFERROR(LOOKUP(2,1/('Feijão 1ª safra'!$E29:INDEX('Feijão 1ª safra'!$E29:$Z29,MIN(AP$6-$E$3,22))&lt;&gt;""),'Feijão 1ª safra'!$E29:INDEX('Feijão 1ª safra'!$E29:$Z29,MIN(AP$6-$E$3,22))),0))-IF($G$2,0,IF((AP$6-$G$3)&lt;1,0,IFERROR(LOOKUP(2,1/('Feijão 1ª safra'!$E29:INDEX('Feijão 1ª safra'!$E29:$Z29,MIN(AP$6-$G$3,22))&lt;&gt;""),'Feijão 1ª safra'!$E29:INDEX('Feijão 1ª safra'!$E29:$Z29,MIN(AP$6-$G$3,22))),0)))))</f>
        <v>0</v>
      </c>
      <c r="AQ31" s="27" t="n">
        <f aca="false">IF(COUNT('Feijão 1ª safra'!$E29:$Z29)=0,0,MAX(0,IF((AQ$6-$E$3)&lt;1,0,IFERROR(LOOKUP(2,1/('Feijão 1ª safra'!$E29:INDEX('Feijão 1ª safra'!$E29:$Z29,MIN(AQ$6-$E$3,22))&lt;&gt;""),'Feijão 1ª safra'!$E29:INDEX('Feijão 1ª safra'!$E29:$Z29,MIN(AQ$6-$E$3,22))),0))-IF($G$2,0,IF((AQ$6-$G$3)&lt;1,0,IFERROR(LOOKUP(2,1/('Feijão 1ª safra'!$E29:INDEX('Feijão 1ª safra'!$E29:$Z29,MIN(AQ$6-$G$3,22))&lt;&gt;""),'Feijão 1ª safra'!$E29:INDEX('Feijão 1ª safra'!$E29:$Z29,MIN(AQ$6-$G$3,22))),0)))))</f>
        <v>0</v>
      </c>
      <c r="AR31" s="27" t="n">
        <f aca="false">IF(COUNT('Feijão 1ª safra'!$E29:$Z29)=0,0,MAX(0,IF((AR$6-$E$3)&lt;1,0,IFERROR(LOOKUP(2,1/('Feijão 1ª safra'!$E29:INDEX('Feijão 1ª safra'!$E29:$Z29,MIN(AR$6-$E$3,22))&lt;&gt;""),'Feijão 1ª safra'!$E29:INDEX('Feijão 1ª safra'!$E29:$Z29,MIN(AR$6-$E$3,22))),0))-IF($G$2,0,IF((AR$6-$G$3)&lt;1,0,IFERROR(LOOKUP(2,1/('Feijão 1ª safra'!$E29:INDEX('Feijão 1ª safra'!$E29:$Z29,MIN(AR$6-$G$3,22))&lt;&gt;""),'Feijão 1ª safra'!$E29:INDEX('Feijão 1ª safra'!$E29:$Z29,MIN(AR$6-$G$3,22))),0)))))</f>
        <v>0</v>
      </c>
      <c r="AS31" s="27" t="n">
        <f aca="false">IF(COUNT('Feijão 1ª safra'!$E29:$Z29)=0,0,MAX(0,IF((AS$6-$E$3)&lt;1,0,IFERROR(LOOKUP(2,1/('Feijão 1ª safra'!$E29:INDEX('Feijão 1ª safra'!$E29:$Z29,MIN(AS$6-$E$3,22))&lt;&gt;""),'Feijão 1ª safra'!$E29:INDEX('Feijão 1ª safra'!$E29:$Z29,MIN(AS$6-$E$3,22))),0))-IF($G$2,0,IF((AS$6-$G$3)&lt;1,0,IFERROR(LOOKUP(2,1/('Feijão 1ª safra'!$E29:INDEX('Feijão 1ª safra'!$E29:$Z29,MIN(AS$6-$G$3,22))&lt;&gt;""),'Feijão 1ª safra'!$E29:INDEX('Feijão 1ª safra'!$E29:$Z29,MIN(AS$6-$G$3,22))),0)))))</f>
        <v>0</v>
      </c>
      <c r="AT31" s="27" t="n">
        <f aca="false">IF(COUNT('Feijão 1ª safra'!$E29:$Z29)=0,0,MAX(0,IF((AT$6-$E$3)&lt;1,0,IFERROR(LOOKUP(2,1/('Feijão 1ª safra'!$E29:INDEX('Feijão 1ª safra'!$E29:$Z29,MIN(AT$6-$E$3,22))&lt;&gt;""),'Feijão 1ª safra'!$E29:INDEX('Feijão 1ª safra'!$E29:$Z29,MIN(AT$6-$E$3,22))),0))-IF($G$2,0,IF((AT$6-$G$3)&lt;1,0,IFERROR(LOOKUP(2,1/('Feijão 1ª safra'!$E29:INDEX('Feijão 1ª safra'!$E29:$Z29,MIN(AT$6-$G$3,22))&lt;&gt;""),'Feijão 1ª safra'!$E29:INDEX('Feijão 1ª safra'!$E29:$Z29,MIN(AT$6-$G$3,22))),0)))))</f>
        <v>0</v>
      </c>
      <c r="AU31" s="27" t="n">
        <f aca="false">IF(COUNT('Feijão 1ª safra'!$E29:$Z29)=0,0,MAX(0,IF((AU$6-$E$3)&lt;1,0,IFERROR(LOOKUP(2,1/('Feijão 1ª safra'!$E29:INDEX('Feijão 1ª safra'!$E29:$Z29,MIN(AU$6-$E$3,22))&lt;&gt;""),'Feijão 1ª safra'!$E29:INDEX('Feijão 1ª safra'!$E29:$Z29,MIN(AU$6-$E$3,22))),0))-IF($G$2,0,IF((AU$6-$G$3)&lt;1,0,IFERROR(LOOKUP(2,1/('Feijão 1ª safra'!$E29:INDEX('Feijão 1ª safra'!$E29:$Z29,MIN(AU$6-$G$3,22))&lt;&gt;""),'Feijão 1ª safra'!$E29:INDEX('Feijão 1ª safra'!$E29:$Z29,MIN(AU$6-$G$3,22))),0)))))</f>
        <v>0</v>
      </c>
      <c r="AV31" s="27" t="n">
        <f aca="false">IF(COUNT('Feijão 1ª safra'!$E29:$Z29)=0,0,MAX(0,IF((AV$6-$E$3)&lt;1,0,IFERROR(LOOKUP(2,1/('Feijão 1ª safra'!$E29:INDEX('Feijão 1ª safra'!$E29:$Z29,MIN(AV$6-$E$3,22))&lt;&gt;""),'Feijão 1ª safra'!$E29:INDEX('Feijão 1ª safra'!$E29:$Z29,MIN(AV$6-$E$3,22))),0))-IF($G$2,0,IF((AV$6-$G$3)&lt;1,0,IFERROR(LOOKUP(2,1/('Feijão 1ª safra'!$E29:INDEX('Feijão 1ª safra'!$E29:$Z29,MIN(AV$6-$G$3,22))&lt;&gt;""),'Feijão 1ª safra'!$E29:INDEX('Feijão 1ª safra'!$E29:$Z29,MIN(AV$6-$G$3,22))),0)))))</f>
        <v>0</v>
      </c>
      <c r="AW31" s="27" t="n">
        <f aca="false">IF(COUNT('Feijão 1ª safra'!$E29:$Z29)=0,0,MAX(0,IF((AW$6-$E$3)&lt;1,0,IFERROR(LOOKUP(2,1/('Feijão 1ª safra'!$E29:INDEX('Feijão 1ª safra'!$E29:$Z29,MIN(AW$6-$E$3,22))&lt;&gt;""),'Feijão 1ª safra'!$E29:INDEX('Feijão 1ª safra'!$E29:$Z29,MIN(AW$6-$E$3,22))),0))-IF($G$2,0,IF((AW$6-$G$3)&lt;1,0,IFERROR(LOOKUP(2,1/('Feijão 1ª safra'!$E29:INDEX('Feijão 1ª safra'!$E29:$Z29,MIN(AW$6-$G$3,22))&lt;&gt;""),'Feijão 1ª safra'!$E29:INDEX('Feijão 1ª safra'!$E29:$Z29,MIN(AW$6-$G$3,22))),0)))))</f>
        <v>0</v>
      </c>
      <c r="AX31" s="27" t="n">
        <f aca="false">IF(COUNT('Feijão 1ª safra'!$E29:$Z29)=0,0,MAX(0,IF((AX$6-$E$3)&lt;1,0,IFERROR(LOOKUP(2,1/('Feijão 1ª safra'!$E29:INDEX('Feijão 1ª safra'!$E29:$Z29,MIN(AX$6-$E$3,22))&lt;&gt;""),'Feijão 1ª safra'!$E29:INDEX('Feijão 1ª safra'!$E29:$Z29,MIN(AX$6-$E$3,22))),0))-IF($G$2,0,IF((AX$6-$G$3)&lt;1,0,IFERROR(LOOKUP(2,1/('Feijão 1ª safra'!$E29:INDEX('Feijão 1ª safra'!$E29:$Z29,MIN(AX$6-$G$3,22))&lt;&gt;""),'Feijão 1ª safra'!$E29:INDEX('Feijão 1ª safra'!$E29:$Z29,MIN(AX$6-$G$3,22))),0)))))</f>
        <v>0</v>
      </c>
      <c r="AY31" s="27" t="n">
        <f aca="false">IF(COUNT('Feijão 1ª safra'!$E29:$Z29)=0,0,MAX(0,IF((AY$6-$E$3)&lt;1,0,IFERROR(LOOKUP(2,1/('Feijão 1ª safra'!$E29:INDEX('Feijão 1ª safra'!$E29:$Z29,MIN(AY$6-$E$3,22))&lt;&gt;""),'Feijão 1ª safra'!$E29:INDEX('Feijão 1ª safra'!$E29:$Z29,MIN(AY$6-$E$3,22))),0))-IF($G$2,0,IF((AY$6-$G$3)&lt;1,0,IFERROR(LOOKUP(2,1/('Feijão 1ª safra'!$E29:INDEX('Feijão 1ª safra'!$E29:$Z29,MIN(AY$6-$G$3,22))&lt;&gt;""),'Feijão 1ª safra'!$E29:INDEX('Feijão 1ª safra'!$E29:$Z29,MIN(AY$6-$G$3,22))),0)))))</f>
        <v>0</v>
      </c>
      <c r="AZ31" s="27" t="n">
        <f aca="false">IF(COUNT('Feijão 1ª safra'!$E29:$Z29)=0,0,MAX(0,IF((AZ$6-$E$3)&lt;1,0,IFERROR(LOOKUP(2,1/('Feijão 1ª safra'!$E29:INDEX('Feijão 1ª safra'!$E29:$Z29,MIN(AZ$6-$E$3,22))&lt;&gt;""),'Feijão 1ª safra'!$E29:INDEX('Feijão 1ª safra'!$E29:$Z29,MIN(AZ$6-$E$3,22))),0))-IF($G$2,0,IF((AZ$6-$G$3)&lt;1,0,IFERROR(LOOKUP(2,1/('Feijão 1ª safra'!$E29:INDEX('Feijão 1ª safra'!$E29:$Z29,MIN(AZ$6-$G$3,22))&lt;&gt;""),'Feijão 1ª safra'!$E29:INDEX('Feijão 1ª safra'!$E29:$Z29,MIN(AZ$6-$G$3,22))),0)))))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IF(COUNT('Feijão 1ª safra'!$E30:$Z30)&gt;0,N('Feijão 1ª safra'!$D30),0)</f>
        <v>0</v>
      </c>
      <c r="E32" s="27" t="n">
        <f aca="false">IF(COUNT('Feijão 1ª safra'!$E30:$Z30)=0,0,MAX(0,IF((E$6-$E$3)&lt;1,0,IFERROR(LOOKUP(2,1/('Feijão 1ª safra'!$E30:INDEX('Feijão 1ª safra'!$E30:$Z30,MIN(E$6-$E$3,22))&lt;&gt;""),'Feijão 1ª safra'!$E30:INDEX('Feijão 1ª safra'!$E30:$Z30,MIN(E$6-$E$3,22))),0))-IF($G$2,0,IF((E$6-$G$3)&lt;1,0,IFERROR(LOOKUP(2,1/('Feijão 1ª safra'!$E30:INDEX('Feijão 1ª safra'!$E30:$Z30,MIN(E$6-$G$3,22))&lt;&gt;""),'Feijão 1ª safra'!$E30:INDEX('Feijão 1ª safra'!$E30:$Z30,MIN(E$6-$G$3,22))),0)))))</f>
        <v>0</v>
      </c>
      <c r="F32" s="27" t="n">
        <f aca="false">IF(COUNT('Feijão 1ª safra'!$E30:$Z30)=0,0,MAX(0,IF((F$6-$E$3)&lt;1,0,IFERROR(LOOKUP(2,1/('Feijão 1ª safra'!$E30:INDEX('Feijão 1ª safra'!$E30:$Z30,MIN(F$6-$E$3,22))&lt;&gt;""),'Feijão 1ª safra'!$E30:INDEX('Feijão 1ª safra'!$E30:$Z30,MIN(F$6-$E$3,22))),0))-IF($G$2,0,IF((F$6-$G$3)&lt;1,0,IFERROR(LOOKUP(2,1/('Feijão 1ª safra'!$E30:INDEX('Feijão 1ª safra'!$E30:$Z30,MIN(F$6-$G$3,22))&lt;&gt;""),'Feijão 1ª safra'!$E30:INDEX('Feijão 1ª safra'!$E30:$Z30,MIN(F$6-$G$3,22))),0)))))</f>
        <v>0</v>
      </c>
      <c r="G32" s="27" t="n">
        <f aca="false">IF(COUNT('Feijão 1ª safra'!$E30:$Z30)=0,0,MAX(0,IF((G$6-$E$3)&lt;1,0,IFERROR(LOOKUP(2,1/('Feijão 1ª safra'!$E30:INDEX('Feijão 1ª safra'!$E30:$Z30,MIN(G$6-$E$3,22))&lt;&gt;""),'Feijão 1ª safra'!$E30:INDEX('Feijão 1ª safra'!$E30:$Z30,MIN(G$6-$E$3,22))),0))-IF($G$2,0,IF((G$6-$G$3)&lt;1,0,IFERROR(LOOKUP(2,1/('Feijão 1ª safra'!$E30:INDEX('Feijão 1ª safra'!$E30:$Z30,MIN(G$6-$G$3,22))&lt;&gt;""),'Feijão 1ª safra'!$E30:INDEX('Feijão 1ª safra'!$E30:$Z30,MIN(G$6-$G$3,22))),0)))))</f>
        <v>0</v>
      </c>
      <c r="H32" s="27" t="n">
        <f aca="false">IF(COUNT('Feijão 1ª safra'!$E30:$Z30)=0,0,MAX(0,IF((H$6-$E$3)&lt;1,0,IFERROR(LOOKUP(2,1/('Feijão 1ª safra'!$E30:INDEX('Feijão 1ª safra'!$E30:$Z30,MIN(H$6-$E$3,22))&lt;&gt;""),'Feijão 1ª safra'!$E30:INDEX('Feijão 1ª safra'!$E30:$Z30,MIN(H$6-$E$3,22))),0))-IF($G$2,0,IF((H$6-$G$3)&lt;1,0,IFERROR(LOOKUP(2,1/('Feijão 1ª safra'!$E30:INDEX('Feijão 1ª safra'!$E30:$Z30,MIN(H$6-$G$3,22))&lt;&gt;""),'Feijão 1ª safra'!$E30:INDEX('Feijão 1ª safra'!$E30:$Z30,MIN(H$6-$G$3,22))),0)))))</f>
        <v>0</v>
      </c>
      <c r="I32" s="27" t="n">
        <f aca="false">IF(COUNT('Feijão 1ª safra'!$E30:$Z30)=0,0,MAX(0,IF((I$6-$E$3)&lt;1,0,IFERROR(LOOKUP(2,1/('Feijão 1ª safra'!$E30:INDEX('Feijão 1ª safra'!$E30:$Z30,MIN(I$6-$E$3,22))&lt;&gt;""),'Feijão 1ª safra'!$E30:INDEX('Feijão 1ª safra'!$E30:$Z30,MIN(I$6-$E$3,22))),0))-IF($G$2,0,IF((I$6-$G$3)&lt;1,0,IFERROR(LOOKUP(2,1/('Feijão 1ª safra'!$E30:INDEX('Feijão 1ª safra'!$E30:$Z30,MIN(I$6-$G$3,22))&lt;&gt;""),'Feijão 1ª safra'!$E30:INDEX('Feijão 1ª safra'!$E30:$Z30,MIN(I$6-$G$3,22))),0)))))</f>
        <v>0</v>
      </c>
      <c r="J32" s="27" t="n">
        <f aca="false">IF(COUNT('Feijão 1ª safra'!$E30:$Z30)=0,0,MAX(0,IF((J$6-$E$3)&lt;1,0,IFERROR(LOOKUP(2,1/('Feijão 1ª safra'!$E30:INDEX('Feijão 1ª safra'!$E30:$Z30,MIN(J$6-$E$3,22))&lt;&gt;""),'Feijão 1ª safra'!$E30:INDEX('Feijão 1ª safra'!$E30:$Z30,MIN(J$6-$E$3,22))),0))-IF($G$2,0,IF((J$6-$G$3)&lt;1,0,IFERROR(LOOKUP(2,1/('Feijão 1ª safra'!$E30:INDEX('Feijão 1ª safra'!$E30:$Z30,MIN(J$6-$G$3,22))&lt;&gt;""),'Feijão 1ª safra'!$E30:INDEX('Feijão 1ª safra'!$E30:$Z30,MIN(J$6-$G$3,22))),0)))))</f>
        <v>0</v>
      </c>
      <c r="K32" s="27" t="n">
        <f aca="false">IF(COUNT('Feijão 1ª safra'!$E30:$Z30)=0,0,MAX(0,IF((K$6-$E$3)&lt;1,0,IFERROR(LOOKUP(2,1/('Feijão 1ª safra'!$E30:INDEX('Feijão 1ª safra'!$E30:$Z30,MIN(K$6-$E$3,22))&lt;&gt;""),'Feijão 1ª safra'!$E30:INDEX('Feijão 1ª safra'!$E30:$Z30,MIN(K$6-$E$3,22))),0))-IF($G$2,0,IF((K$6-$G$3)&lt;1,0,IFERROR(LOOKUP(2,1/('Feijão 1ª safra'!$E30:INDEX('Feijão 1ª safra'!$E30:$Z30,MIN(K$6-$G$3,22))&lt;&gt;""),'Feijão 1ª safra'!$E30:INDEX('Feijão 1ª safra'!$E30:$Z30,MIN(K$6-$G$3,22))),0)))))</f>
        <v>0</v>
      </c>
      <c r="L32" s="27" t="n">
        <f aca="false">IF(COUNT('Feijão 1ª safra'!$E30:$Z30)=0,0,MAX(0,IF((L$6-$E$3)&lt;1,0,IFERROR(LOOKUP(2,1/('Feijão 1ª safra'!$E30:INDEX('Feijão 1ª safra'!$E30:$Z30,MIN(L$6-$E$3,22))&lt;&gt;""),'Feijão 1ª safra'!$E30:INDEX('Feijão 1ª safra'!$E30:$Z30,MIN(L$6-$E$3,22))),0))-IF($G$2,0,IF((L$6-$G$3)&lt;1,0,IFERROR(LOOKUP(2,1/('Feijão 1ª safra'!$E30:INDEX('Feijão 1ª safra'!$E30:$Z30,MIN(L$6-$G$3,22))&lt;&gt;""),'Feijão 1ª safra'!$E30:INDEX('Feijão 1ª safra'!$E30:$Z30,MIN(L$6-$G$3,22))),0)))))</f>
        <v>0</v>
      </c>
      <c r="M32" s="27" t="n">
        <f aca="false">IF(COUNT('Feijão 1ª safra'!$E30:$Z30)=0,0,MAX(0,IF((M$6-$E$3)&lt;1,0,IFERROR(LOOKUP(2,1/('Feijão 1ª safra'!$E30:INDEX('Feijão 1ª safra'!$E30:$Z30,MIN(M$6-$E$3,22))&lt;&gt;""),'Feijão 1ª safra'!$E30:INDEX('Feijão 1ª safra'!$E30:$Z30,MIN(M$6-$E$3,22))),0))-IF($G$2,0,IF((M$6-$G$3)&lt;1,0,IFERROR(LOOKUP(2,1/('Feijão 1ª safra'!$E30:INDEX('Feijão 1ª safra'!$E30:$Z30,MIN(M$6-$G$3,22))&lt;&gt;""),'Feijão 1ª safra'!$E30:INDEX('Feijão 1ª safra'!$E30:$Z30,MIN(M$6-$G$3,22))),0)))))</f>
        <v>0</v>
      </c>
      <c r="N32" s="27" t="n">
        <f aca="false">IF(COUNT('Feijão 1ª safra'!$E30:$Z30)=0,0,MAX(0,IF((N$6-$E$3)&lt;1,0,IFERROR(LOOKUP(2,1/('Feijão 1ª safra'!$E30:INDEX('Feijão 1ª safra'!$E30:$Z30,MIN(N$6-$E$3,22))&lt;&gt;""),'Feijão 1ª safra'!$E30:INDEX('Feijão 1ª safra'!$E30:$Z30,MIN(N$6-$E$3,22))),0))-IF($G$2,0,IF((N$6-$G$3)&lt;1,0,IFERROR(LOOKUP(2,1/('Feijão 1ª safra'!$E30:INDEX('Feijão 1ª safra'!$E30:$Z30,MIN(N$6-$G$3,22))&lt;&gt;""),'Feijão 1ª safra'!$E30:INDEX('Feijão 1ª safra'!$E30:$Z30,MIN(N$6-$G$3,22))),0)))))</f>
        <v>0</v>
      </c>
      <c r="O32" s="27" t="n">
        <f aca="false">IF(COUNT('Feijão 1ª safra'!$E30:$Z30)=0,0,MAX(0,IF((O$6-$E$3)&lt;1,0,IFERROR(LOOKUP(2,1/('Feijão 1ª safra'!$E30:INDEX('Feijão 1ª safra'!$E30:$Z30,MIN(O$6-$E$3,22))&lt;&gt;""),'Feijão 1ª safra'!$E30:INDEX('Feijão 1ª safra'!$E30:$Z30,MIN(O$6-$E$3,22))),0))-IF($G$2,0,IF((O$6-$G$3)&lt;1,0,IFERROR(LOOKUP(2,1/('Feijão 1ª safra'!$E30:INDEX('Feijão 1ª safra'!$E30:$Z30,MIN(O$6-$G$3,22))&lt;&gt;""),'Feijão 1ª safra'!$E30:INDEX('Feijão 1ª safra'!$E30:$Z30,MIN(O$6-$G$3,22))),0)))))</f>
        <v>0</v>
      </c>
      <c r="P32" s="27" t="n">
        <f aca="false">IF(COUNT('Feijão 1ª safra'!$E30:$Z30)=0,0,MAX(0,IF((P$6-$E$3)&lt;1,0,IFERROR(LOOKUP(2,1/('Feijão 1ª safra'!$E30:INDEX('Feijão 1ª safra'!$E30:$Z30,MIN(P$6-$E$3,22))&lt;&gt;""),'Feijão 1ª safra'!$E30:INDEX('Feijão 1ª safra'!$E30:$Z30,MIN(P$6-$E$3,22))),0))-IF($G$2,0,IF((P$6-$G$3)&lt;1,0,IFERROR(LOOKUP(2,1/('Feijão 1ª safra'!$E30:INDEX('Feijão 1ª safra'!$E30:$Z30,MIN(P$6-$G$3,22))&lt;&gt;""),'Feijão 1ª safra'!$E30:INDEX('Feijão 1ª safra'!$E30:$Z30,MIN(P$6-$G$3,22))),0)))))</f>
        <v>0</v>
      </c>
      <c r="Q32" s="27" t="n">
        <f aca="false">IF(COUNT('Feijão 1ª safra'!$E30:$Z30)=0,0,MAX(0,IF((Q$6-$E$3)&lt;1,0,IFERROR(LOOKUP(2,1/('Feijão 1ª safra'!$E30:INDEX('Feijão 1ª safra'!$E30:$Z30,MIN(Q$6-$E$3,22))&lt;&gt;""),'Feijão 1ª safra'!$E30:INDEX('Feijão 1ª safra'!$E30:$Z30,MIN(Q$6-$E$3,22))),0))-IF($G$2,0,IF((Q$6-$G$3)&lt;1,0,IFERROR(LOOKUP(2,1/('Feijão 1ª safra'!$E30:INDEX('Feijão 1ª safra'!$E30:$Z30,MIN(Q$6-$G$3,22))&lt;&gt;""),'Feijão 1ª safra'!$E30:INDEX('Feijão 1ª safra'!$E30:$Z30,MIN(Q$6-$G$3,22))),0)))))</f>
        <v>0</v>
      </c>
      <c r="R32" s="27" t="n">
        <f aca="false">IF(COUNT('Feijão 1ª safra'!$E30:$Z30)=0,0,MAX(0,IF((R$6-$E$3)&lt;1,0,IFERROR(LOOKUP(2,1/('Feijão 1ª safra'!$E30:INDEX('Feijão 1ª safra'!$E30:$Z30,MIN(R$6-$E$3,22))&lt;&gt;""),'Feijão 1ª safra'!$E30:INDEX('Feijão 1ª safra'!$E30:$Z30,MIN(R$6-$E$3,22))),0))-IF($G$2,0,IF((R$6-$G$3)&lt;1,0,IFERROR(LOOKUP(2,1/('Feijão 1ª safra'!$E30:INDEX('Feijão 1ª safra'!$E30:$Z30,MIN(R$6-$G$3,22))&lt;&gt;""),'Feijão 1ª safra'!$E30:INDEX('Feijão 1ª safra'!$E30:$Z30,MIN(R$6-$G$3,22))),0)))))</f>
        <v>0</v>
      </c>
      <c r="S32" s="27" t="n">
        <f aca="false">IF(COUNT('Feijão 1ª safra'!$E30:$Z30)=0,0,MAX(0,IF((S$6-$E$3)&lt;1,0,IFERROR(LOOKUP(2,1/('Feijão 1ª safra'!$E30:INDEX('Feijão 1ª safra'!$E30:$Z30,MIN(S$6-$E$3,22))&lt;&gt;""),'Feijão 1ª safra'!$E30:INDEX('Feijão 1ª safra'!$E30:$Z30,MIN(S$6-$E$3,22))),0))-IF($G$2,0,IF((S$6-$G$3)&lt;1,0,IFERROR(LOOKUP(2,1/('Feijão 1ª safra'!$E30:INDEX('Feijão 1ª safra'!$E30:$Z30,MIN(S$6-$G$3,22))&lt;&gt;""),'Feijão 1ª safra'!$E30:INDEX('Feijão 1ª safra'!$E30:$Z30,MIN(S$6-$G$3,22))),0)))))</f>
        <v>0</v>
      </c>
      <c r="T32" s="27" t="n">
        <f aca="false">IF(COUNT('Feijão 1ª safra'!$E30:$Z30)=0,0,MAX(0,IF((T$6-$E$3)&lt;1,0,IFERROR(LOOKUP(2,1/('Feijão 1ª safra'!$E30:INDEX('Feijão 1ª safra'!$E30:$Z30,MIN(T$6-$E$3,22))&lt;&gt;""),'Feijão 1ª safra'!$E30:INDEX('Feijão 1ª safra'!$E30:$Z30,MIN(T$6-$E$3,22))),0))-IF($G$2,0,IF((T$6-$G$3)&lt;1,0,IFERROR(LOOKUP(2,1/('Feijão 1ª safra'!$E30:INDEX('Feijão 1ª safra'!$E30:$Z30,MIN(T$6-$G$3,22))&lt;&gt;""),'Feijão 1ª safra'!$E30:INDEX('Feijão 1ª safra'!$E30:$Z30,MIN(T$6-$G$3,22))),0)))))</f>
        <v>0</v>
      </c>
      <c r="U32" s="27" t="n">
        <f aca="false">IF(COUNT('Feijão 1ª safra'!$E30:$Z30)=0,0,MAX(0,IF((U$6-$E$3)&lt;1,0,IFERROR(LOOKUP(2,1/('Feijão 1ª safra'!$E30:INDEX('Feijão 1ª safra'!$E30:$Z30,MIN(U$6-$E$3,22))&lt;&gt;""),'Feijão 1ª safra'!$E30:INDEX('Feijão 1ª safra'!$E30:$Z30,MIN(U$6-$E$3,22))),0))-IF($G$2,0,IF((U$6-$G$3)&lt;1,0,IFERROR(LOOKUP(2,1/('Feijão 1ª safra'!$E30:INDEX('Feijão 1ª safra'!$E30:$Z30,MIN(U$6-$G$3,22))&lt;&gt;""),'Feijão 1ª safra'!$E30:INDEX('Feijão 1ª safra'!$E30:$Z30,MIN(U$6-$G$3,22))),0)))))</f>
        <v>0</v>
      </c>
      <c r="V32" s="27" t="n">
        <f aca="false">IF(COUNT('Feijão 1ª safra'!$E30:$Z30)=0,0,MAX(0,IF((V$6-$E$3)&lt;1,0,IFERROR(LOOKUP(2,1/('Feijão 1ª safra'!$E30:INDEX('Feijão 1ª safra'!$E30:$Z30,MIN(V$6-$E$3,22))&lt;&gt;""),'Feijão 1ª safra'!$E30:INDEX('Feijão 1ª safra'!$E30:$Z30,MIN(V$6-$E$3,22))),0))-IF($G$2,0,IF((V$6-$G$3)&lt;1,0,IFERROR(LOOKUP(2,1/('Feijão 1ª safra'!$E30:INDEX('Feijão 1ª safra'!$E30:$Z30,MIN(V$6-$G$3,22))&lt;&gt;""),'Feijão 1ª safra'!$E30:INDEX('Feijão 1ª safra'!$E30:$Z30,MIN(V$6-$G$3,22))),0)))))</f>
        <v>0</v>
      </c>
      <c r="W32" s="27" t="n">
        <f aca="false">IF(COUNT('Feijão 1ª safra'!$E30:$Z30)=0,0,MAX(0,IF((W$6-$E$3)&lt;1,0,IFERROR(LOOKUP(2,1/('Feijão 1ª safra'!$E30:INDEX('Feijão 1ª safra'!$E30:$Z30,MIN(W$6-$E$3,22))&lt;&gt;""),'Feijão 1ª safra'!$E30:INDEX('Feijão 1ª safra'!$E30:$Z30,MIN(W$6-$E$3,22))),0))-IF($G$2,0,IF((W$6-$G$3)&lt;1,0,IFERROR(LOOKUP(2,1/('Feijão 1ª safra'!$E30:INDEX('Feijão 1ª safra'!$E30:$Z30,MIN(W$6-$G$3,22))&lt;&gt;""),'Feijão 1ª safra'!$E30:INDEX('Feijão 1ª safra'!$E30:$Z30,MIN(W$6-$G$3,22))),0)))))</f>
        <v>0</v>
      </c>
      <c r="X32" s="27" t="n">
        <f aca="false">IF(COUNT('Feijão 1ª safra'!$E30:$Z30)=0,0,MAX(0,IF((X$6-$E$3)&lt;1,0,IFERROR(LOOKUP(2,1/('Feijão 1ª safra'!$E30:INDEX('Feijão 1ª safra'!$E30:$Z30,MIN(X$6-$E$3,22))&lt;&gt;""),'Feijão 1ª safra'!$E30:INDEX('Feijão 1ª safra'!$E30:$Z30,MIN(X$6-$E$3,22))),0))-IF($G$2,0,IF((X$6-$G$3)&lt;1,0,IFERROR(LOOKUP(2,1/('Feijão 1ª safra'!$E30:INDEX('Feijão 1ª safra'!$E30:$Z30,MIN(X$6-$G$3,22))&lt;&gt;""),'Feijão 1ª safra'!$E30:INDEX('Feijão 1ª safra'!$E30:$Z30,MIN(X$6-$G$3,22))),0)))))</f>
        <v>0</v>
      </c>
      <c r="Y32" s="27" t="n">
        <f aca="false">IF(COUNT('Feijão 1ª safra'!$E30:$Z30)=0,0,MAX(0,IF((Y$6-$E$3)&lt;1,0,IFERROR(LOOKUP(2,1/('Feijão 1ª safra'!$E30:INDEX('Feijão 1ª safra'!$E30:$Z30,MIN(Y$6-$E$3,22))&lt;&gt;""),'Feijão 1ª safra'!$E30:INDEX('Feijão 1ª safra'!$E30:$Z30,MIN(Y$6-$E$3,22))),0))-IF($G$2,0,IF((Y$6-$G$3)&lt;1,0,IFERROR(LOOKUP(2,1/('Feijão 1ª safra'!$E30:INDEX('Feijão 1ª safra'!$E30:$Z30,MIN(Y$6-$G$3,22))&lt;&gt;""),'Feijão 1ª safra'!$E30:INDEX('Feijão 1ª safra'!$E30:$Z30,MIN(Y$6-$G$3,22))),0)))))</f>
        <v>0</v>
      </c>
      <c r="Z32" s="27" t="n">
        <f aca="false">IF(COUNT('Feijão 1ª safra'!$E30:$Z30)=0,0,MAX(0,IF((Z$6-$E$3)&lt;1,0,IFERROR(LOOKUP(2,1/('Feijão 1ª safra'!$E30:INDEX('Feijão 1ª safra'!$E30:$Z30,MIN(Z$6-$E$3,22))&lt;&gt;""),'Feijão 1ª safra'!$E30:INDEX('Feijão 1ª safra'!$E30:$Z30,MIN(Z$6-$E$3,22))),0))-IF($G$2,0,IF((Z$6-$G$3)&lt;1,0,IFERROR(LOOKUP(2,1/('Feijão 1ª safra'!$E30:INDEX('Feijão 1ª safra'!$E30:$Z30,MIN(Z$6-$G$3,22))&lt;&gt;""),'Feijão 1ª safra'!$E30:INDEX('Feijão 1ª safra'!$E30:$Z30,MIN(Z$6-$G$3,22))),0)))))</f>
        <v>0</v>
      </c>
      <c r="AA32" s="27" t="n">
        <f aca="false">IF(COUNT('Feijão 1ª safra'!$E30:$Z30)=0,0,MAX(0,IF((AA$6-$E$3)&lt;1,0,IFERROR(LOOKUP(2,1/('Feijão 1ª safra'!$E30:INDEX('Feijão 1ª safra'!$E30:$Z30,MIN(AA$6-$E$3,22))&lt;&gt;""),'Feijão 1ª safra'!$E30:INDEX('Feijão 1ª safra'!$E30:$Z30,MIN(AA$6-$E$3,22))),0))-IF($G$2,0,IF((AA$6-$G$3)&lt;1,0,IFERROR(LOOKUP(2,1/('Feijão 1ª safra'!$E30:INDEX('Feijão 1ª safra'!$E30:$Z30,MIN(AA$6-$G$3,22))&lt;&gt;""),'Feijão 1ª safra'!$E30:INDEX('Feijão 1ª safra'!$E30:$Z30,MIN(AA$6-$G$3,22))),0)))))</f>
        <v>0</v>
      </c>
      <c r="AB32" s="27" t="n">
        <f aca="false">IF(COUNT('Feijão 1ª safra'!$E30:$Z30)=0,0,MAX(0,IF((AB$6-$E$3)&lt;1,0,IFERROR(LOOKUP(2,1/('Feijão 1ª safra'!$E30:INDEX('Feijão 1ª safra'!$E30:$Z30,MIN(AB$6-$E$3,22))&lt;&gt;""),'Feijão 1ª safra'!$E30:INDEX('Feijão 1ª safra'!$E30:$Z30,MIN(AB$6-$E$3,22))),0))-IF($G$2,0,IF((AB$6-$G$3)&lt;1,0,IFERROR(LOOKUP(2,1/('Feijão 1ª safra'!$E30:INDEX('Feijão 1ª safra'!$E30:$Z30,MIN(AB$6-$G$3,22))&lt;&gt;""),'Feijão 1ª safra'!$E30:INDEX('Feijão 1ª safra'!$E30:$Z30,MIN(AB$6-$G$3,22))),0)))))</f>
        <v>0</v>
      </c>
      <c r="AC32" s="27" t="n">
        <f aca="false">IF(COUNT('Feijão 1ª safra'!$E30:$Z30)=0,0,MAX(0,IF((AC$6-$E$3)&lt;1,0,IFERROR(LOOKUP(2,1/('Feijão 1ª safra'!$E30:INDEX('Feijão 1ª safra'!$E30:$Z30,MIN(AC$6-$E$3,22))&lt;&gt;""),'Feijão 1ª safra'!$E30:INDEX('Feijão 1ª safra'!$E30:$Z30,MIN(AC$6-$E$3,22))),0))-IF($G$2,0,IF((AC$6-$G$3)&lt;1,0,IFERROR(LOOKUP(2,1/('Feijão 1ª safra'!$E30:INDEX('Feijão 1ª safra'!$E30:$Z30,MIN(AC$6-$G$3,22))&lt;&gt;""),'Feijão 1ª safra'!$E30:INDEX('Feijão 1ª safra'!$E30:$Z30,MIN(AC$6-$G$3,22))),0)))))</f>
        <v>0</v>
      </c>
      <c r="AD32" s="27" t="n">
        <f aca="false">IF(COUNT('Feijão 1ª safra'!$E30:$Z30)=0,0,MAX(0,IF((AD$6-$E$3)&lt;1,0,IFERROR(LOOKUP(2,1/('Feijão 1ª safra'!$E30:INDEX('Feijão 1ª safra'!$E30:$Z30,MIN(AD$6-$E$3,22))&lt;&gt;""),'Feijão 1ª safra'!$E30:INDEX('Feijão 1ª safra'!$E30:$Z30,MIN(AD$6-$E$3,22))),0))-IF($G$2,0,IF((AD$6-$G$3)&lt;1,0,IFERROR(LOOKUP(2,1/('Feijão 1ª safra'!$E30:INDEX('Feijão 1ª safra'!$E30:$Z30,MIN(AD$6-$G$3,22))&lt;&gt;""),'Feijão 1ª safra'!$E30:INDEX('Feijão 1ª safra'!$E30:$Z30,MIN(AD$6-$G$3,22))),0)))))</f>
        <v>0</v>
      </c>
      <c r="AE32" s="27" t="n">
        <f aca="false">IF(COUNT('Feijão 1ª safra'!$E30:$Z30)=0,0,MAX(0,IF((AE$6-$E$3)&lt;1,0,IFERROR(LOOKUP(2,1/('Feijão 1ª safra'!$E30:INDEX('Feijão 1ª safra'!$E30:$Z30,MIN(AE$6-$E$3,22))&lt;&gt;""),'Feijão 1ª safra'!$E30:INDEX('Feijão 1ª safra'!$E30:$Z30,MIN(AE$6-$E$3,22))),0))-IF($G$2,0,IF((AE$6-$G$3)&lt;1,0,IFERROR(LOOKUP(2,1/('Feijão 1ª safra'!$E30:INDEX('Feijão 1ª safra'!$E30:$Z30,MIN(AE$6-$G$3,22))&lt;&gt;""),'Feijão 1ª safra'!$E30:INDEX('Feijão 1ª safra'!$E30:$Z30,MIN(AE$6-$G$3,22))),0)))))</f>
        <v>0</v>
      </c>
      <c r="AF32" s="27" t="n">
        <f aca="false">IF(COUNT('Feijão 1ª safra'!$E30:$Z30)=0,0,MAX(0,IF((AF$6-$E$3)&lt;1,0,IFERROR(LOOKUP(2,1/('Feijão 1ª safra'!$E30:INDEX('Feijão 1ª safra'!$E30:$Z30,MIN(AF$6-$E$3,22))&lt;&gt;""),'Feijão 1ª safra'!$E30:INDEX('Feijão 1ª safra'!$E30:$Z30,MIN(AF$6-$E$3,22))),0))-IF($G$2,0,IF((AF$6-$G$3)&lt;1,0,IFERROR(LOOKUP(2,1/('Feijão 1ª safra'!$E30:INDEX('Feijão 1ª safra'!$E30:$Z30,MIN(AF$6-$G$3,22))&lt;&gt;""),'Feijão 1ª safra'!$E30:INDEX('Feijão 1ª safra'!$E30:$Z30,MIN(AF$6-$G$3,22))),0)))))</f>
        <v>0</v>
      </c>
      <c r="AG32" s="27" t="n">
        <f aca="false">IF(COUNT('Feijão 1ª safra'!$E30:$Z30)=0,0,MAX(0,IF((AG$6-$E$3)&lt;1,0,IFERROR(LOOKUP(2,1/('Feijão 1ª safra'!$E30:INDEX('Feijão 1ª safra'!$E30:$Z30,MIN(AG$6-$E$3,22))&lt;&gt;""),'Feijão 1ª safra'!$E30:INDEX('Feijão 1ª safra'!$E30:$Z30,MIN(AG$6-$E$3,22))),0))-IF($G$2,0,IF((AG$6-$G$3)&lt;1,0,IFERROR(LOOKUP(2,1/('Feijão 1ª safra'!$E30:INDEX('Feijão 1ª safra'!$E30:$Z30,MIN(AG$6-$G$3,22))&lt;&gt;""),'Feijão 1ª safra'!$E30:INDEX('Feijão 1ª safra'!$E30:$Z30,MIN(AG$6-$G$3,22))),0)))))</f>
        <v>0</v>
      </c>
      <c r="AH32" s="27" t="n">
        <f aca="false">IF(COUNT('Feijão 1ª safra'!$E30:$Z30)=0,0,MAX(0,IF((AH$6-$E$3)&lt;1,0,IFERROR(LOOKUP(2,1/('Feijão 1ª safra'!$E30:INDEX('Feijão 1ª safra'!$E30:$Z30,MIN(AH$6-$E$3,22))&lt;&gt;""),'Feijão 1ª safra'!$E30:INDEX('Feijão 1ª safra'!$E30:$Z30,MIN(AH$6-$E$3,22))),0))-IF($G$2,0,IF((AH$6-$G$3)&lt;1,0,IFERROR(LOOKUP(2,1/('Feijão 1ª safra'!$E30:INDEX('Feijão 1ª safra'!$E30:$Z30,MIN(AH$6-$G$3,22))&lt;&gt;""),'Feijão 1ª safra'!$E30:INDEX('Feijão 1ª safra'!$E30:$Z30,MIN(AH$6-$G$3,22))),0)))))</f>
        <v>0</v>
      </c>
      <c r="AI32" s="27" t="n">
        <f aca="false">IF(COUNT('Feijão 1ª safra'!$E30:$Z30)=0,0,MAX(0,IF((AI$6-$E$3)&lt;1,0,IFERROR(LOOKUP(2,1/('Feijão 1ª safra'!$E30:INDEX('Feijão 1ª safra'!$E30:$Z30,MIN(AI$6-$E$3,22))&lt;&gt;""),'Feijão 1ª safra'!$E30:INDEX('Feijão 1ª safra'!$E30:$Z30,MIN(AI$6-$E$3,22))),0))-IF($G$2,0,IF((AI$6-$G$3)&lt;1,0,IFERROR(LOOKUP(2,1/('Feijão 1ª safra'!$E30:INDEX('Feijão 1ª safra'!$E30:$Z30,MIN(AI$6-$G$3,22))&lt;&gt;""),'Feijão 1ª safra'!$E30:INDEX('Feijão 1ª safra'!$E30:$Z30,MIN(AI$6-$G$3,22))),0)))))</f>
        <v>0</v>
      </c>
      <c r="AJ32" s="27" t="n">
        <f aca="false">IF(COUNT('Feijão 1ª safra'!$E30:$Z30)=0,0,MAX(0,IF((AJ$6-$E$3)&lt;1,0,IFERROR(LOOKUP(2,1/('Feijão 1ª safra'!$E30:INDEX('Feijão 1ª safra'!$E30:$Z30,MIN(AJ$6-$E$3,22))&lt;&gt;""),'Feijão 1ª safra'!$E30:INDEX('Feijão 1ª safra'!$E30:$Z30,MIN(AJ$6-$E$3,22))),0))-IF($G$2,0,IF((AJ$6-$G$3)&lt;1,0,IFERROR(LOOKUP(2,1/('Feijão 1ª safra'!$E30:INDEX('Feijão 1ª safra'!$E30:$Z30,MIN(AJ$6-$G$3,22))&lt;&gt;""),'Feijão 1ª safra'!$E30:INDEX('Feijão 1ª safra'!$E30:$Z30,MIN(AJ$6-$G$3,22))),0)))))</f>
        <v>0</v>
      </c>
      <c r="AK32" s="27" t="n">
        <f aca="false">IF(COUNT('Feijão 1ª safra'!$E30:$Z30)=0,0,MAX(0,IF((AK$6-$E$3)&lt;1,0,IFERROR(LOOKUP(2,1/('Feijão 1ª safra'!$E30:INDEX('Feijão 1ª safra'!$E30:$Z30,MIN(AK$6-$E$3,22))&lt;&gt;""),'Feijão 1ª safra'!$E30:INDEX('Feijão 1ª safra'!$E30:$Z30,MIN(AK$6-$E$3,22))),0))-IF($G$2,0,IF((AK$6-$G$3)&lt;1,0,IFERROR(LOOKUP(2,1/('Feijão 1ª safra'!$E30:INDEX('Feijão 1ª safra'!$E30:$Z30,MIN(AK$6-$G$3,22))&lt;&gt;""),'Feijão 1ª safra'!$E30:INDEX('Feijão 1ª safra'!$E30:$Z30,MIN(AK$6-$G$3,22))),0)))))</f>
        <v>0</v>
      </c>
      <c r="AL32" s="27" t="n">
        <f aca="false">IF(COUNT('Feijão 1ª safra'!$E30:$Z30)=0,0,MAX(0,IF((AL$6-$E$3)&lt;1,0,IFERROR(LOOKUP(2,1/('Feijão 1ª safra'!$E30:INDEX('Feijão 1ª safra'!$E30:$Z30,MIN(AL$6-$E$3,22))&lt;&gt;""),'Feijão 1ª safra'!$E30:INDEX('Feijão 1ª safra'!$E30:$Z30,MIN(AL$6-$E$3,22))),0))-IF($G$2,0,IF((AL$6-$G$3)&lt;1,0,IFERROR(LOOKUP(2,1/('Feijão 1ª safra'!$E30:INDEX('Feijão 1ª safra'!$E30:$Z30,MIN(AL$6-$G$3,22))&lt;&gt;""),'Feijão 1ª safra'!$E30:INDEX('Feijão 1ª safra'!$E30:$Z30,MIN(AL$6-$G$3,22))),0)))))</f>
        <v>0</v>
      </c>
      <c r="AM32" s="27" t="n">
        <f aca="false">IF(COUNT('Feijão 1ª safra'!$E30:$Z30)=0,0,MAX(0,IF((AM$6-$E$3)&lt;1,0,IFERROR(LOOKUP(2,1/('Feijão 1ª safra'!$E30:INDEX('Feijão 1ª safra'!$E30:$Z30,MIN(AM$6-$E$3,22))&lt;&gt;""),'Feijão 1ª safra'!$E30:INDEX('Feijão 1ª safra'!$E30:$Z30,MIN(AM$6-$E$3,22))),0))-IF($G$2,0,IF((AM$6-$G$3)&lt;1,0,IFERROR(LOOKUP(2,1/('Feijão 1ª safra'!$E30:INDEX('Feijão 1ª safra'!$E30:$Z30,MIN(AM$6-$G$3,22))&lt;&gt;""),'Feijão 1ª safra'!$E30:INDEX('Feijão 1ª safra'!$E30:$Z30,MIN(AM$6-$G$3,22))),0)))))</f>
        <v>0</v>
      </c>
      <c r="AN32" s="27" t="n">
        <f aca="false">IF(COUNT('Feijão 1ª safra'!$E30:$Z30)=0,0,MAX(0,IF((AN$6-$E$3)&lt;1,0,IFERROR(LOOKUP(2,1/('Feijão 1ª safra'!$E30:INDEX('Feijão 1ª safra'!$E30:$Z30,MIN(AN$6-$E$3,22))&lt;&gt;""),'Feijão 1ª safra'!$E30:INDEX('Feijão 1ª safra'!$E30:$Z30,MIN(AN$6-$E$3,22))),0))-IF($G$2,0,IF((AN$6-$G$3)&lt;1,0,IFERROR(LOOKUP(2,1/('Feijão 1ª safra'!$E30:INDEX('Feijão 1ª safra'!$E30:$Z30,MIN(AN$6-$G$3,22))&lt;&gt;""),'Feijão 1ª safra'!$E30:INDEX('Feijão 1ª safra'!$E30:$Z30,MIN(AN$6-$G$3,22))),0)))))</f>
        <v>0</v>
      </c>
      <c r="AO32" s="27" t="n">
        <f aca="false">IF(COUNT('Feijão 1ª safra'!$E30:$Z30)=0,0,MAX(0,IF((AO$6-$E$3)&lt;1,0,IFERROR(LOOKUP(2,1/('Feijão 1ª safra'!$E30:INDEX('Feijão 1ª safra'!$E30:$Z30,MIN(AO$6-$E$3,22))&lt;&gt;""),'Feijão 1ª safra'!$E30:INDEX('Feijão 1ª safra'!$E30:$Z30,MIN(AO$6-$E$3,22))),0))-IF($G$2,0,IF((AO$6-$G$3)&lt;1,0,IFERROR(LOOKUP(2,1/('Feijão 1ª safra'!$E30:INDEX('Feijão 1ª safra'!$E30:$Z30,MIN(AO$6-$G$3,22))&lt;&gt;""),'Feijão 1ª safra'!$E30:INDEX('Feijão 1ª safra'!$E30:$Z30,MIN(AO$6-$G$3,22))),0)))))</f>
        <v>0</v>
      </c>
      <c r="AP32" s="27" t="n">
        <f aca="false">IF(COUNT('Feijão 1ª safra'!$E30:$Z30)=0,0,MAX(0,IF((AP$6-$E$3)&lt;1,0,IFERROR(LOOKUP(2,1/('Feijão 1ª safra'!$E30:INDEX('Feijão 1ª safra'!$E30:$Z30,MIN(AP$6-$E$3,22))&lt;&gt;""),'Feijão 1ª safra'!$E30:INDEX('Feijão 1ª safra'!$E30:$Z30,MIN(AP$6-$E$3,22))),0))-IF($G$2,0,IF((AP$6-$G$3)&lt;1,0,IFERROR(LOOKUP(2,1/('Feijão 1ª safra'!$E30:INDEX('Feijão 1ª safra'!$E30:$Z30,MIN(AP$6-$G$3,22))&lt;&gt;""),'Feijão 1ª safra'!$E30:INDEX('Feijão 1ª safra'!$E30:$Z30,MIN(AP$6-$G$3,22))),0)))))</f>
        <v>0</v>
      </c>
      <c r="AQ32" s="27" t="n">
        <f aca="false">IF(COUNT('Feijão 1ª safra'!$E30:$Z30)=0,0,MAX(0,IF((AQ$6-$E$3)&lt;1,0,IFERROR(LOOKUP(2,1/('Feijão 1ª safra'!$E30:INDEX('Feijão 1ª safra'!$E30:$Z30,MIN(AQ$6-$E$3,22))&lt;&gt;""),'Feijão 1ª safra'!$E30:INDEX('Feijão 1ª safra'!$E30:$Z30,MIN(AQ$6-$E$3,22))),0))-IF($G$2,0,IF((AQ$6-$G$3)&lt;1,0,IFERROR(LOOKUP(2,1/('Feijão 1ª safra'!$E30:INDEX('Feijão 1ª safra'!$E30:$Z30,MIN(AQ$6-$G$3,22))&lt;&gt;""),'Feijão 1ª safra'!$E30:INDEX('Feijão 1ª safra'!$E30:$Z30,MIN(AQ$6-$G$3,22))),0)))))</f>
        <v>0</v>
      </c>
      <c r="AR32" s="27" t="n">
        <f aca="false">IF(COUNT('Feijão 1ª safra'!$E30:$Z30)=0,0,MAX(0,IF((AR$6-$E$3)&lt;1,0,IFERROR(LOOKUP(2,1/('Feijão 1ª safra'!$E30:INDEX('Feijão 1ª safra'!$E30:$Z30,MIN(AR$6-$E$3,22))&lt;&gt;""),'Feijão 1ª safra'!$E30:INDEX('Feijão 1ª safra'!$E30:$Z30,MIN(AR$6-$E$3,22))),0))-IF($G$2,0,IF((AR$6-$G$3)&lt;1,0,IFERROR(LOOKUP(2,1/('Feijão 1ª safra'!$E30:INDEX('Feijão 1ª safra'!$E30:$Z30,MIN(AR$6-$G$3,22))&lt;&gt;""),'Feijão 1ª safra'!$E30:INDEX('Feijão 1ª safra'!$E30:$Z30,MIN(AR$6-$G$3,22))),0)))))</f>
        <v>0</v>
      </c>
      <c r="AS32" s="27" t="n">
        <f aca="false">IF(COUNT('Feijão 1ª safra'!$E30:$Z30)=0,0,MAX(0,IF((AS$6-$E$3)&lt;1,0,IFERROR(LOOKUP(2,1/('Feijão 1ª safra'!$E30:INDEX('Feijão 1ª safra'!$E30:$Z30,MIN(AS$6-$E$3,22))&lt;&gt;""),'Feijão 1ª safra'!$E30:INDEX('Feijão 1ª safra'!$E30:$Z30,MIN(AS$6-$E$3,22))),0))-IF($G$2,0,IF((AS$6-$G$3)&lt;1,0,IFERROR(LOOKUP(2,1/('Feijão 1ª safra'!$E30:INDEX('Feijão 1ª safra'!$E30:$Z30,MIN(AS$6-$G$3,22))&lt;&gt;""),'Feijão 1ª safra'!$E30:INDEX('Feijão 1ª safra'!$E30:$Z30,MIN(AS$6-$G$3,22))),0)))))</f>
        <v>0</v>
      </c>
      <c r="AT32" s="27" t="n">
        <f aca="false">IF(COUNT('Feijão 1ª safra'!$E30:$Z30)=0,0,MAX(0,IF((AT$6-$E$3)&lt;1,0,IFERROR(LOOKUP(2,1/('Feijão 1ª safra'!$E30:INDEX('Feijão 1ª safra'!$E30:$Z30,MIN(AT$6-$E$3,22))&lt;&gt;""),'Feijão 1ª safra'!$E30:INDEX('Feijão 1ª safra'!$E30:$Z30,MIN(AT$6-$E$3,22))),0))-IF($G$2,0,IF((AT$6-$G$3)&lt;1,0,IFERROR(LOOKUP(2,1/('Feijão 1ª safra'!$E30:INDEX('Feijão 1ª safra'!$E30:$Z30,MIN(AT$6-$G$3,22))&lt;&gt;""),'Feijão 1ª safra'!$E30:INDEX('Feijão 1ª safra'!$E30:$Z30,MIN(AT$6-$G$3,22))),0)))))</f>
        <v>0</v>
      </c>
      <c r="AU32" s="27" t="n">
        <f aca="false">IF(COUNT('Feijão 1ª safra'!$E30:$Z30)=0,0,MAX(0,IF((AU$6-$E$3)&lt;1,0,IFERROR(LOOKUP(2,1/('Feijão 1ª safra'!$E30:INDEX('Feijão 1ª safra'!$E30:$Z30,MIN(AU$6-$E$3,22))&lt;&gt;""),'Feijão 1ª safra'!$E30:INDEX('Feijão 1ª safra'!$E30:$Z30,MIN(AU$6-$E$3,22))),0))-IF($G$2,0,IF((AU$6-$G$3)&lt;1,0,IFERROR(LOOKUP(2,1/('Feijão 1ª safra'!$E30:INDEX('Feijão 1ª safra'!$E30:$Z30,MIN(AU$6-$G$3,22))&lt;&gt;""),'Feijão 1ª safra'!$E30:INDEX('Feijão 1ª safra'!$E30:$Z30,MIN(AU$6-$G$3,22))),0)))))</f>
        <v>0</v>
      </c>
      <c r="AV32" s="27" t="n">
        <f aca="false">IF(COUNT('Feijão 1ª safra'!$E30:$Z30)=0,0,MAX(0,IF((AV$6-$E$3)&lt;1,0,IFERROR(LOOKUP(2,1/('Feijão 1ª safra'!$E30:INDEX('Feijão 1ª safra'!$E30:$Z30,MIN(AV$6-$E$3,22))&lt;&gt;""),'Feijão 1ª safra'!$E30:INDEX('Feijão 1ª safra'!$E30:$Z30,MIN(AV$6-$E$3,22))),0))-IF($G$2,0,IF((AV$6-$G$3)&lt;1,0,IFERROR(LOOKUP(2,1/('Feijão 1ª safra'!$E30:INDEX('Feijão 1ª safra'!$E30:$Z30,MIN(AV$6-$G$3,22))&lt;&gt;""),'Feijão 1ª safra'!$E30:INDEX('Feijão 1ª safra'!$E30:$Z30,MIN(AV$6-$G$3,22))),0)))))</f>
        <v>0</v>
      </c>
      <c r="AW32" s="27" t="n">
        <f aca="false">IF(COUNT('Feijão 1ª safra'!$E30:$Z30)=0,0,MAX(0,IF((AW$6-$E$3)&lt;1,0,IFERROR(LOOKUP(2,1/('Feijão 1ª safra'!$E30:INDEX('Feijão 1ª safra'!$E30:$Z30,MIN(AW$6-$E$3,22))&lt;&gt;""),'Feijão 1ª safra'!$E30:INDEX('Feijão 1ª safra'!$E30:$Z30,MIN(AW$6-$E$3,22))),0))-IF($G$2,0,IF((AW$6-$G$3)&lt;1,0,IFERROR(LOOKUP(2,1/('Feijão 1ª safra'!$E30:INDEX('Feijão 1ª safra'!$E30:$Z30,MIN(AW$6-$G$3,22))&lt;&gt;""),'Feijão 1ª safra'!$E30:INDEX('Feijão 1ª safra'!$E30:$Z30,MIN(AW$6-$G$3,22))),0)))))</f>
        <v>0</v>
      </c>
      <c r="AX32" s="27" t="n">
        <f aca="false">IF(COUNT('Feijão 1ª safra'!$E30:$Z30)=0,0,MAX(0,IF((AX$6-$E$3)&lt;1,0,IFERROR(LOOKUP(2,1/('Feijão 1ª safra'!$E30:INDEX('Feijão 1ª safra'!$E30:$Z30,MIN(AX$6-$E$3,22))&lt;&gt;""),'Feijão 1ª safra'!$E30:INDEX('Feijão 1ª safra'!$E30:$Z30,MIN(AX$6-$E$3,22))),0))-IF($G$2,0,IF((AX$6-$G$3)&lt;1,0,IFERROR(LOOKUP(2,1/('Feijão 1ª safra'!$E30:INDEX('Feijão 1ª safra'!$E30:$Z30,MIN(AX$6-$G$3,22))&lt;&gt;""),'Feijão 1ª safra'!$E30:INDEX('Feijão 1ª safra'!$E30:$Z30,MIN(AX$6-$G$3,22))),0)))))</f>
        <v>0</v>
      </c>
      <c r="AY32" s="27" t="n">
        <f aca="false">IF(COUNT('Feijão 1ª safra'!$E30:$Z30)=0,0,MAX(0,IF((AY$6-$E$3)&lt;1,0,IFERROR(LOOKUP(2,1/('Feijão 1ª safra'!$E30:INDEX('Feijão 1ª safra'!$E30:$Z30,MIN(AY$6-$E$3,22))&lt;&gt;""),'Feijão 1ª safra'!$E30:INDEX('Feijão 1ª safra'!$E30:$Z30,MIN(AY$6-$E$3,22))),0))-IF($G$2,0,IF((AY$6-$G$3)&lt;1,0,IFERROR(LOOKUP(2,1/('Feijão 1ª safra'!$E30:INDEX('Feijão 1ª safra'!$E30:$Z30,MIN(AY$6-$G$3,22))&lt;&gt;""),'Feijão 1ª safra'!$E30:INDEX('Feijão 1ª safra'!$E30:$Z30,MIN(AY$6-$G$3,22))),0)))))</f>
        <v>0</v>
      </c>
      <c r="AZ32" s="27" t="n">
        <f aca="false">IF(COUNT('Feijão 1ª safra'!$E30:$Z30)=0,0,MAX(0,IF((AZ$6-$E$3)&lt;1,0,IFERROR(LOOKUP(2,1/('Feijão 1ª safra'!$E30:INDEX('Feijão 1ª safra'!$E30:$Z30,MIN(AZ$6-$E$3,22))&lt;&gt;""),'Feijão 1ª safra'!$E30:INDEX('Feijão 1ª safra'!$E30:$Z30,MIN(AZ$6-$E$3,22))),0))-IF($G$2,0,IF((AZ$6-$G$3)&lt;1,0,IFERROR(LOOKUP(2,1/('Feijão 1ª safra'!$E30:INDEX('Feijão 1ª safra'!$E30:$Z30,MIN(AZ$6-$G$3,22))&lt;&gt;""),'Feijão 1ª safra'!$E30:INDEX('Feijão 1ª safra'!$E30:$Z30,MIN(AZ$6-$G$3,22))),0)))))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IF(COUNT('Feijão 1ª safra'!$E31:$Z31)&gt;0,N('Feijão 1ª safra'!$D31),0)</f>
        <v>0</v>
      </c>
      <c r="E33" s="27" t="n">
        <f aca="false">IF(COUNT('Feijão 1ª safra'!$E31:$Z31)=0,0,MAX(0,IF((E$6-$E$3)&lt;1,0,IFERROR(LOOKUP(2,1/('Feijão 1ª safra'!$E31:INDEX('Feijão 1ª safra'!$E31:$Z31,MIN(E$6-$E$3,22))&lt;&gt;""),'Feijão 1ª safra'!$E31:INDEX('Feijão 1ª safra'!$E31:$Z31,MIN(E$6-$E$3,22))),0))-IF($G$2,0,IF((E$6-$G$3)&lt;1,0,IFERROR(LOOKUP(2,1/('Feijão 1ª safra'!$E31:INDEX('Feijão 1ª safra'!$E31:$Z31,MIN(E$6-$G$3,22))&lt;&gt;""),'Feijão 1ª safra'!$E31:INDEX('Feijão 1ª safra'!$E31:$Z31,MIN(E$6-$G$3,22))),0)))))</f>
        <v>0</v>
      </c>
      <c r="F33" s="27" t="n">
        <f aca="false">IF(COUNT('Feijão 1ª safra'!$E31:$Z31)=0,0,MAX(0,IF((F$6-$E$3)&lt;1,0,IFERROR(LOOKUP(2,1/('Feijão 1ª safra'!$E31:INDEX('Feijão 1ª safra'!$E31:$Z31,MIN(F$6-$E$3,22))&lt;&gt;""),'Feijão 1ª safra'!$E31:INDEX('Feijão 1ª safra'!$E31:$Z31,MIN(F$6-$E$3,22))),0))-IF($G$2,0,IF((F$6-$G$3)&lt;1,0,IFERROR(LOOKUP(2,1/('Feijão 1ª safra'!$E31:INDEX('Feijão 1ª safra'!$E31:$Z31,MIN(F$6-$G$3,22))&lt;&gt;""),'Feijão 1ª safra'!$E31:INDEX('Feijão 1ª safra'!$E31:$Z31,MIN(F$6-$G$3,22))),0)))))</f>
        <v>0</v>
      </c>
      <c r="G33" s="27" t="n">
        <f aca="false">IF(COUNT('Feijão 1ª safra'!$E31:$Z31)=0,0,MAX(0,IF((G$6-$E$3)&lt;1,0,IFERROR(LOOKUP(2,1/('Feijão 1ª safra'!$E31:INDEX('Feijão 1ª safra'!$E31:$Z31,MIN(G$6-$E$3,22))&lt;&gt;""),'Feijão 1ª safra'!$E31:INDEX('Feijão 1ª safra'!$E31:$Z31,MIN(G$6-$E$3,22))),0))-IF($G$2,0,IF((G$6-$G$3)&lt;1,0,IFERROR(LOOKUP(2,1/('Feijão 1ª safra'!$E31:INDEX('Feijão 1ª safra'!$E31:$Z31,MIN(G$6-$G$3,22))&lt;&gt;""),'Feijão 1ª safra'!$E31:INDEX('Feijão 1ª safra'!$E31:$Z31,MIN(G$6-$G$3,22))),0)))))</f>
        <v>0</v>
      </c>
      <c r="H33" s="27" t="n">
        <f aca="false">IF(COUNT('Feijão 1ª safra'!$E31:$Z31)=0,0,MAX(0,IF((H$6-$E$3)&lt;1,0,IFERROR(LOOKUP(2,1/('Feijão 1ª safra'!$E31:INDEX('Feijão 1ª safra'!$E31:$Z31,MIN(H$6-$E$3,22))&lt;&gt;""),'Feijão 1ª safra'!$E31:INDEX('Feijão 1ª safra'!$E31:$Z31,MIN(H$6-$E$3,22))),0))-IF($G$2,0,IF((H$6-$G$3)&lt;1,0,IFERROR(LOOKUP(2,1/('Feijão 1ª safra'!$E31:INDEX('Feijão 1ª safra'!$E31:$Z31,MIN(H$6-$G$3,22))&lt;&gt;""),'Feijão 1ª safra'!$E31:INDEX('Feijão 1ª safra'!$E31:$Z31,MIN(H$6-$G$3,22))),0)))))</f>
        <v>0</v>
      </c>
      <c r="I33" s="27" t="n">
        <f aca="false">IF(COUNT('Feijão 1ª safra'!$E31:$Z31)=0,0,MAX(0,IF((I$6-$E$3)&lt;1,0,IFERROR(LOOKUP(2,1/('Feijão 1ª safra'!$E31:INDEX('Feijão 1ª safra'!$E31:$Z31,MIN(I$6-$E$3,22))&lt;&gt;""),'Feijão 1ª safra'!$E31:INDEX('Feijão 1ª safra'!$E31:$Z31,MIN(I$6-$E$3,22))),0))-IF($G$2,0,IF((I$6-$G$3)&lt;1,0,IFERROR(LOOKUP(2,1/('Feijão 1ª safra'!$E31:INDEX('Feijão 1ª safra'!$E31:$Z31,MIN(I$6-$G$3,22))&lt;&gt;""),'Feijão 1ª safra'!$E31:INDEX('Feijão 1ª safra'!$E31:$Z31,MIN(I$6-$G$3,22))),0)))))</f>
        <v>0</v>
      </c>
      <c r="J33" s="27" t="n">
        <f aca="false">IF(COUNT('Feijão 1ª safra'!$E31:$Z31)=0,0,MAX(0,IF((J$6-$E$3)&lt;1,0,IFERROR(LOOKUP(2,1/('Feijão 1ª safra'!$E31:INDEX('Feijão 1ª safra'!$E31:$Z31,MIN(J$6-$E$3,22))&lt;&gt;""),'Feijão 1ª safra'!$E31:INDEX('Feijão 1ª safra'!$E31:$Z31,MIN(J$6-$E$3,22))),0))-IF($G$2,0,IF((J$6-$G$3)&lt;1,0,IFERROR(LOOKUP(2,1/('Feijão 1ª safra'!$E31:INDEX('Feijão 1ª safra'!$E31:$Z31,MIN(J$6-$G$3,22))&lt;&gt;""),'Feijão 1ª safra'!$E31:INDEX('Feijão 1ª safra'!$E31:$Z31,MIN(J$6-$G$3,22))),0)))))</f>
        <v>0</v>
      </c>
      <c r="K33" s="27" t="n">
        <f aca="false">IF(COUNT('Feijão 1ª safra'!$E31:$Z31)=0,0,MAX(0,IF((K$6-$E$3)&lt;1,0,IFERROR(LOOKUP(2,1/('Feijão 1ª safra'!$E31:INDEX('Feijão 1ª safra'!$E31:$Z31,MIN(K$6-$E$3,22))&lt;&gt;""),'Feijão 1ª safra'!$E31:INDEX('Feijão 1ª safra'!$E31:$Z31,MIN(K$6-$E$3,22))),0))-IF($G$2,0,IF((K$6-$G$3)&lt;1,0,IFERROR(LOOKUP(2,1/('Feijão 1ª safra'!$E31:INDEX('Feijão 1ª safra'!$E31:$Z31,MIN(K$6-$G$3,22))&lt;&gt;""),'Feijão 1ª safra'!$E31:INDEX('Feijão 1ª safra'!$E31:$Z31,MIN(K$6-$G$3,22))),0)))))</f>
        <v>0</v>
      </c>
      <c r="L33" s="27" t="n">
        <f aca="false">IF(COUNT('Feijão 1ª safra'!$E31:$Z31)=0,0,MAX(0,IF((L$6-$E$3)&lt;1,0,IFERROR(LOOKUP(2,1/('Feijão 1ª safra'!$E31:INDEX('Feijão 1ª safra'!$E31:$Z31,MIN(L$6-$E$3,22))&lt;&gt;""),'Feijão 1ª safra'!$E31:INDEX('Feijão 1ª safra'!$E31:$Z31,MIN(L$6-$E$3,22))),0))-IF($G$2,0,IF((L$6-$G$3)&lt;1,0,IFERROR(LOOKUP(2,1/('Feijão 1ª safra'!$E31:INDEX('Feijão 1ª safra'!$E31:$Z31,MIN(L$6-$G$3,22))&lt;&gt;""),'Feijão 1ª safra'!$E31:INDEX('Feijão 1ª safra'!$E31:$Z31,MIN(L$6-$G$3,22))),0)))))</f>
        <v>0</v>
      </c>
      <c r="M33" s="27" t="n">
        <f aca="false">IF(COUNT('Feijão 1ª safra'!$E31:$Z31)=0,0,MAX(0,IF((M$6-$E$3)&lt;1,0,IFERROR(LOOKUP(2,1/('Feijão 1ª safra'!$E31:INDEX('Feijão 1ª safra'!$E31:$Z31,MIN(M$6-$E$3,22))&lt;&gt;""),'Feijão 1ª safra'!$E31:INDEX('Feijão 1ª safra'!$E31:$Z31,MIN(M$6-$E$3,22))),0))-IF($G$2,0,IF((M$6-$G$3)&lt;1,0,IFERROR(LOOKUP(2,1/('Feijão 1ª safra'!$E31:INDEX('Feijão 1ª safra'!$E31:$Z31,MIN(M$6-$G$3,22))&lt;&gt;""),'Feijão 1ª safra'!$E31:INDEX('Feijão 1ª safra'!$E31:$Z31,MIN(M$6-$G$3,22))),0)))))</f>
        <v>0</v>
      </c>
      <c r="N33" s="27" t="n">
        <f aca="false">IF(COUNT('Feijão 1ª safra'!$E31:$Z31)=0,0,MAX(0,IF((N$6-$E$3)&lt;1,0,IFERROR(LOOKUP(2,1/('Feijão 1ª safra'!$E31:INDEX('Feijão 1ª safra'!$E31:$Z31,MIN(N$6-$E$3,22))&lt;&gt;""),'Feijão 1ª safra'!$E31:INDEX('Feijão 1ª safra'!$E31:$Z31,MIN(N$6-$E$3,22))),0))-IF($G$2,0,IF((N$6-$G$3)&lt;1,0,IFERROR(LOOKUP(2,1/('Feijão 1ª safra'!$E31:INDEX('Feijão 1ª safra'!$E31:$Z31,MIN(N$6-$G$3,22))&lt;&gt;""),'Feijão 1ª safra'!$E31:INDEX('Feijão 1ª safra'!$E31:$Z31,MIN(N$6-$G$3,22))),0)))))</f>
        <v>0</v>
      </c>
      <c r="O33" s="27" t="n">
        <f aca="false">IF(COUNT('Feijão 1ª safra'!$E31:$Z31)=0,0,MAX(0,IF((O$6-$E$3)&lt;1,0,IFERROR(LOOKUP(2,1/('Feijão 1ª safra'!$E31:INDEX('Feijão 1ª safra'!$E31:$Z31,MIN(O$6-$E$3,22))&lt;&gt;""),'Feijão 1ª safra'!$E31:INDEX('Feijão 1ª safra'!$E31:$Z31,MIN(O$6-$E$3,22))),0))-IF($G$2,0,IF((O$6-$G$3)&lt;1,0,IFERROR(LOOKUP(2,1/('Feijão 1ª safra'!$E31:INDEX('Feijão 1ª safra'!$E31:$Z31,MIN(O$6-$G$3,22))&lt;&gt;""),'Feijão 1ª safra'!$E31:INDEX('Feijão 1ª safra'!$E31:$Z31,MIN(O$6-$G$3,22))),0)))))</f>
        <v>0</v>
      </c>
      <c r="P33" s="27" t="n">
        <f aca="false">IF(COUNT('Feijão 1ª safra'!$E31:$Z31)=0,0,MAX(0,IF((P$6-$E$3)&lt;1,0,IFERROR(LOOKUP(2,1/('Feijão 1ª safra'!$E31:INDEX('Feijão 1ª safra'!$E31:$Z31,MIN(P$6-$E$3,22))&lt;&gt;""),'Feijão 1ª safra'!$E31:INDEX('Feijão 1ª safra'!$E31:$Z31,MIN(P$6-$E$3,22))),0))-IF($G$2,0,IF((P$6-$G$3)&lt;1,0,IFERROR(LOOKUP(2,1/('Feijão 1ª safra'!$E31:INDEX('Feijão 1ª safra'!$E31:$Z31,MIN(P$6-$G$3,22))&lt;&gt;""),'Feijão 1ª safra'!$E31:INDEX('Feijão 1ª safra'!$E31:$Z31,MIN(P$6-$G$3,22))),0)))))</f>
        <v>0</v>
      </c>
      <c r="Q33" s="27" t="n">
        <f aca="false">IF(COUNT('Feijão 1ª safra'!$E31:$Z31)=0,0,MAX(0,IF((Q$6-$E$3)&lt;1,0,IFERROR(LOOKUP(2,1/('Feijão 1ª safra'!$E31:INDEX('Feijão 1ª safra'!$E31:$Z31,MIN(Q$6-$E$3,22))&lt;&gt;""),'Feijão 1ª safra'!$E31:INDEX('Feijão 1ª safra'!$E31:$Z31,MIN(Q$6-$E$3,22))),0))-IF($G$2,0,IF((Q$6-$G$3)&lt;1,0,IFERROR(LOOKUP(2,1/('Feijão 1ª safra'!$E31:INDEX('Feijão 1ª safra'!$E31:$Z31,MIN(Q$6-$G$3,22))&lt;&gt;""),'Feijão 1ª safra'!$E31:INDEX('Feijão 1ª safra'!$E31:$Z31,MIN(Q$6-$G$3,22))),0)))))</f>
        <v>0</v>
      </c>
      <c r="R33" s="27" t="n">
        <f aca="false">IF(COUNT('Feijão 1ª safra'!$E31:$Z31)=0,0,MAX(0,IF((R$6-$E$3)&lt;1,0,IFERROR(LOOKUP(2,1/('Feijão 1ª safra'!$E31:INDEX('Feijão 1ª safra'!$E31:$Z31,MIN(R$6-$E$3,22))&lt;&gt;""),'Feijão 1ª safra'!$E31:INDEX('Feijão 1ª safra'!$E31:$Z31,MIN(R$6-$E$3,22))),0))-IF($G$2,0,IF((R$6-$G$3)&lt;1,0,IFERROR(LOOKUP(2,1/('Feijão 1ª safra'!$E31:INDEX('Feijão 1ª safra'!$E31:$Z31,MIN(R$6-$G$3,22))&lt;&gt;""),'Feijão 1ª safra'!$E31:INDEX('Feijão 1ª safra'!$E31:$Z31,MIN(R$6-$G$3,22))),0)))))</f>
        <v>0</v>
      </c>
      <c r="S33" s="27" t="n">
        <f aca="false">IF(COUNT('Feijão 1ª safra'!$E31:$Z31)=0,0,MAX(0,IF((S$6-$E$3)&lt;1,0,IFERROR(LOOKUP(2,1/('Feijão 1ª safra'!$E31:INDEX('Feijão 1ª safra'!$E31:$Z31,MIN(S$6-$E$3,22))&lt;&gt;""),'Feijão 1ª safra'!$E31:INDEX('Feijão 1ª safra'!$E31:$Z31,MIN(S$6-$E$3,22))),0))-IF($G$2,0,IF((S$6-$G$3)&lt;1,0,IFERROR(LOOKUP(2,1/('Feijão 1ª safra'!$E31:INDEX('Feijão 1ª safra'!$E31:$Z31,MIN(S$6-$G$3,22))&lt;&gt;""),'Feijão 1ª safra'!$E31:INDEX('Feijão 1ª safra'!$E31:$Z31,MIN(S$6-$G$3,22))),0)))))</f>
        <v>0</v>
      </c>
      <c r="T33" s="27" t="n">
        <f aca="false">IF(COUNT('Feijão 1ª safra'!$E31:$Z31)=0,0,MAX(0,IF((T$6-$E$3)&lt;1,0,IFERROR(LOOKUP(2,1/('Feijão 1ª safra'!$E31:INDEX('Feijão 1ª safra'!$E31:$Z31,MIN(T$6-$E$3,22))&lt;&gt;""),'Feijão 1ª safra'!$E31:INDEX('Feijão 1ª safra'!$E31:$Z31,MIN(T$6-$E$3,22))),0))-IF($G$2,0,IF((T$6-$G$3)&lt;1,0,IFERROR(LOOKUP(2,1/('Feijão 1ª safra'!$E31:INDEX('Feijão 1ª safra'!$E31:$Z31,MIN(T$6-$G$3,22))&lt;&gt;""),'Feijão 1ª safra'!$E31:INDEX('Feijão 1ª safra'!$E31:$Z31,MIN(T$6-$G$3,22))),0)))))</f>
        <v>0</v>
      </c>
      <c r="U33" s="27" t="n">
        <f aca="false">IF(COUNT('Feijão 1ª safra'!$E31:$Z31)=0,0,MAX(0,IF((U$6-$E$3)&lt;1,0,IFERROR(LOOKUP(2,1/('Feijão 1ª safra'!$E31:INDEX('Feijão 1ª safra'!$E31:$Z31,MIN(U$6-$E$3,22))&lt;&gt;""),'Feijão 1ª safra'!$E31:INDEX('Feijão 1ª safra'!$E31:$Z31,MIN(U$6-$E$3,22))),0))-IF($G$2,0,IF((U$6-$G$3)&lt;1,0,IFERROR(LOOKUP(2,1/('Feijão 1ª safra'!$E31:INDEX('Feijão 1ª safra'!$E31:$Z31,MIN(U$6-$G$3,22))&lt;&gt;""),'Feijão 1ª safra'!$E31:INDEX('Feijão 1ª safra'!$E31:$Z31,MIN(U$6-$G$3,22))),0)))))</f>
        <v>0</v>
      </c>
      <c r="V33" s="27" t="n">
        <f aca="false">IF(COUNT('Feijão 1ª safra'!$E31:$Z31)=0,0,MAX(0,IF((V$6-$E$3)&lt;1,0,IFERROR(LOOKUP(2,1/('Feijão 1ª safra'!$E31:INDEX('Feijão 1ª safra'!$E31:$Z31,MIN(V$6-$E$3,22))&lt;&gt;""),'Feijão 1ª safra'!$E31:INDEX('Feijão 1ª safra'!$E31:$Z31,MIN(V$6-$E$3,22))),0))-IF($G$2,0,IF((V$6-$G$3)&lt;1,0,IFERROR(LOOKUP(2,1/('Feijão 1ª safra'!$E31:INDEX('Feijão 1ª safra'!$E31:$Z31,MIN(V$6-$G$3,22))&lt;&gt;""),'Feijão 1ª safra'!$E31:INDEX('Feijão 1ª safra'!$E31:$Z31,MIN(V$6-$G$3,22))),0)))))</f>
        <v>0</v>
      </c>
      <c r="W33" s="27" t="n">
        <f aca="false">IF(COUNT('Feijão 1ª safra'!$E31:$Z31)=0,0,MAX(0,IF((W$6-$E$3)&lt;1,0,IFERROR(LOOKUP(2,1/('Feijão 1ª safra'!$E31:INDEX('Feijão 1ª safra'!$E31:$Z31,MIN(W$6-$E$3,22))&lt;&gt;""),'Feijão 1ª safra'!$E31:INDEX('Feijão 1ª safra'!$E31:$Z31,MIN(W$6-$E$3,22))),0))-IF($G$2,0,IF((W$6-$G$3)&lt;1,0,IFERROR(LOOKUP(2,1/('Feijão 1ª safra'!$E31:INDEX('Feijão 1ª safra'!$E31:$Z31,MIN(W$6-$G$3,22))&lt;&gt;""),'Feijão 1ª safra'!$E31:INDEX('Feijão 1ª safra'!$E31:$Z31,MIN(W$6-$G$3,22))),0)))))</f>
        <v>0</v>
      </c>
      <c r="X33" s="27" t="n">
        <f aca="false">IF(COUNT('Feijão 1ª safra'!$E31:$Z31)=0,0,MAX(0,IF((X$6-$E$3)&lt;1,0,IFERROR(LOOKUP(2,1/('Feijão 1ª safra'!$E31:INDEX('Feijão 1ª safra'!$E31:$Z31,MIN(X$6-$E$3,22))&lt;&gt;""),'Feijão 1ª safra'!$E31:INDEX('Feijão 1ª safra'!$E31:$Z31,MIN(X$6-$E$3,22))),0))-IF($G$2,0,IF((X$6-$G$3)&lt;1,0,IFERROR(LOOKUP(2,1/('Feijão 1ª safra'!$E31:INDEX('Feijão 1ª safra'!$E31:$Z31,MIN(X$6-$G$3,22))&lt;&gt;""),'Feijão 1ª safra'!$E31:INDEX('Feijão 1ª safra'!$E31:$Z31,MIN(X$6-$G$3,22))),0)))))</f>
        <v>0</v>
      </c>
      <c r="Y33" s="27" t="n">
        <f aca="false">IF(COUNT('Feijão 1ª safra'!$E31:$Z31)=0,0,MAX(0,IF((Y$6-$E$3)&lt;1,0,IFERROR(LOOKUP(2,1/('Feijão 1ª safra'!$E31:INDEX('Feijão 1ª safra'!$E31:$Z31,MIN(Y$6-$E$3,22))&lt;&gt;""),'Feijão 1ª safra'!$E31:INDEX('Feijão 1ª safra'!$E31:$Z31,MIN(Y$6-$E$3,22))),0))-IF($G$2,0,IF((Y$6-$G$3)&lt;1,0,IFERROR(LOOKUP(2,1/('Feijão 1ª safra'!$E31:INDEX('Feijão 1ª safra'!$E31:$Z31,MIN(Y$6-$G$3,22))&lt;&gt;""),'Feijão 1ª safra'!$E31:INDEX('Feijão 1ª safra'!$E31:$Z31,MIN(Y$6-$G$3,22))),0)))))</f>
        <v>0</v>
      </c>
      <c r="Z33" s="27" t="n">
        <f aca="false">IF(COUNT('Feijão 1ª safra'!$E31:$Z31)=0,0,MAX(0,IF((Z$6-$E$3)&lt;1,0,IFERROR(LOOKUP(2,1/('Feijão 1ª safra'!$E31:INDEX('Feijão 1ª safra'!$E31:$Z31,MIN(Z$6-$E$3,22))&lt;&gt;""),'Feijão 1ª safra'!$E31:INDEX('Feijão 1ª safra'!$E31:$Z31,MIN(Z$6-$E$3,22))),0))-IF($G$2,0,IF((Z$6-$G$3)&lt;1,0,IFERROR(LOOKUP(2,1/('Feijão 1ª safra'!$E31:INDEX('Feijão 1ª safra'!$E31:$Z31,MIN(Z$6-$G$3,22))&lt;&gt;""),'Feijão 1ª safra'!$E31:INDEX('Feijão 1ª safra'!$E31:$Z31,MIN(Z$6-$G$3,22))),0)))))</f>
        <v>0</v>
      </c>
      <c r="AA33" s="27" t="n">
        <f aca="false">IF(COUNT('Feijão 1ª safra'!$E31:$Z31)=0,0,MAX(0,IF((AA$6-$E$3)&lt;1,0,IFERROR(LOOKUP(2,1/('Feijão 1ª safra'!$E31:INDEX('Feijão 1ª safra'!$E31:$Z31,MIN(AA$6-$E$3,22))&lt;&gt;""),'Feijão 1ª safra'!$E31:INDEX('Feijão 1ª safra'!$E31:$Z31,MIN(AA$6-$E$3,22))),0))-IF($G$2,0,IF((AA$6-$G$3)&lt;1,0,IFERROR(LOOKUP(2,1/('Feijão 1ª safra'!$E31:INDEX('Feijão 1ª safra'!$E31:$Z31,MIN(AA$6-$G$3,22))&lt;&gt;""),'Feijão 1ª safra'!$E31:INDEX('Feijão 1ª safra'!$E31:$Z31,MIN(AA$6-$G$3,22))),0)))))</f>
        <v>0</v>
      </c>
      <c r="AB33" s="27" t="n">
        <f aca="false">IF(COUNT('Feijão 1ª safra'!$E31:$Z31)=0,0,MAX(0,IF((AB$6-$E$3)&lt;1,0,IFERROR(LOOKUP(2,1/('Feijão 1ª safra'!$E31:INDEX('Feijão 1ª safra'!$E31:$Z31,MIN(AB$6-$E$3,22))&lt;&gt;""),'Feijão 1ª safra'!$E31:INDEX('Feijão 1ª safra'!$E31:$Z31,MIN(AB$6-$E$3,22))),0))-IF($G$2,0,IF((AB$6-$G$3)&lt;1,0,IFERROR(LOOKUP(2,1/('Feijão 1ª safra'!$E31:INDEX('Feijão 1ª safra'!$E31:$Z31,MIN(AB$6-$G$3,22))&lt;&gt;""),'Feijão 1ª safra'!$E31:INDEX('Feijão 1ª safra'!$E31:$Z31,MIN(AB$6-$G$3,22))),0)))))</f>
        <v>0</v>
      </c>
      <c r="AC33" s="27" t="n">
        <f aca="false">IF(COUNT('Feijão 1ª safra'!$E31:$Z31)=0,0,MAX(0,IF((AC$6-$E$3)&lt;1,0,IFERROR(LOOKUP(2,1/('Feijão 1ª safra'!$E31:INDEX('Feijão 1ª safra'!$E31:$Z31,MIN(AC$6-$E$3,22))&lt;&gt;""),'Feijão 1ª safra'!$E31:INDEX('Feijão 1ª safra'!$E31:$Z31,MIN(AC$6-$E$3,22))),0))-IF($G$2,0,IF((AC$6-$G$3)&lt;1,0,IFERROR(LOOKUP(2,1/('Feijão 1ª safra'!$E31:INDEX('Feijão 1ª safra'!$E31:$Z31,MIN(AC$6-$G$3,22))&lt;&gt;""),'Feijão 1ª safra'!$E31:INDEX('Feijão 1ª safra'!$E31:$Z31,MIN(AC$6-$G$3,22))),0)))))</f>
        <v>0</v>
      </c>
      <c r="AD33" s="27" t="n">
        <f aca="false">IF(COUNT('Feijão 1ª safra'!$E31:$Z31)=0,0,MAX(0,IF((AD$6-$E$3)&lt;1,0,IFERROR(LOOKUP(2,1/('Feijão 1ª safra'!$E31:INDEX('Feijão 1ª safra'!$E31:$Z31,MIN(AD$6-$E$3,22))&lt;&gt;""),'Feijão 1ª safra'!$E31:INDEX('Feijão 1ª safra'!$E31:$Z31,MIN(AD$6-$E$3,22))),0))-IF($G$2,0,IF((AD$6-$G$3)&lt;1,0,IFERROR(LOOKUP(2,1/('Feijão 1ª safra'!$E31:INDEX('Feijão 1ª safra'!$E31:$Z31,MIN(AD$6-$G$3,22))&lt;&gt;""),'Feijão 1ª safra'!$E31:INDEX('Feijão 1ª safra'!$E31:$Z31,MIN(AD$6-$G$3,22))),0)))))</f>
        <v>0</v>
      </c>
      <c r="AE33" s="27" t="n">
        <f aca="false">IF(COUNT('Feijão 1ª safra'!$E31:$Z31)=0,0,MAX(0,IF((AE$6-$E$3)&lt;1,0,IFERROR(LOOKUP(2,1/('Feijão 1ª safra'!$E31:INDEX('Feijão 1ª safra'!$E31:$Z31,MIN(AE$6-$E$3,22))&lt;&gt;""),'Feijão 1ª safra'!$E31:INDEX('Feijão 1ª safra'!$E31:$Z31,MIN(AE$6-$E$3,22))),0))-IF($G$2,0,IF((AE$6-$G$3)&lt;1,0,IFERROR(LOOKUP(2,1/('Feijão 1ª safra'!$E31:INDEX('Feijão 1ª safra'!$E31:$Z31,MIN(AE$6-$G$3,22))&lt;&gt;""),'Feijão 1ª safra'!$E31:INDEX('Feijão 1ª safra'!$E31:$Z31,MIN(AE$6-$G$3,22))),0)))))</f>
        <v>0</v>
      </c>
      <c r="AF33" s="27" t="n">
        <f aca="false">IF(COUNT('Feijão 1ª safra'!$E31:$Z31)=0,0,MAX(0,IF((AF$6-$E$3)&lt;1,0,IFERROR(LOOKUP(2,1/('Feijão 1ª safra'!$E31:INDEX('Feijão 1ª safra'!$E31:$Z31,MIN(AF$6-$E$3,22))&lt;&gt;""),'Feijão 1ª safra'!$E31:INDEX('Feijão 1ª safra'!$E31:$Z31,MIN(AF$6-$E$3,22))),0))-IF($G$2,0,IF((AF$6-$G$3)&lt;1,0,IFERROR(LOOKUP(2,1/('Feijão 1ª safra'!$E31:INDEX('Feijão 1ª safra'!$E31:$Z31,MIN(AF$6-$G$3,22))&lt;&gt;""),'Feijão 1ª safra'!$E31:INDEX('Feijão 1ª safra'!$E31:$Z31,MIN(AF$6-$G$3,22))),0)))))</f>
        <v>0</v>
      </c>
      <c r="AG33" s="27" t="n">
        <f aca="false">IF(COUNT('Feijão 1ª safra'!$E31:$Z31)=0,0,MAX(0,IF((AG$6-$E$3)&lt;1,0,IFERROR(LOOKUP(2,1/('Feijão 1ª safra'!$E31:INDEX('Feijão 1ª safra'!$E31:$Z31,MIN(AG$6-$E$3,22))&lt;&gt;""),'Feijão 1ª safra'!$E31:INDEX('Feijão 1ª safra'!$E31:$Z31,MIN(AG$6-$E$3,22))),0))-IF($G$2,0,IF((AG$6-$G$3)&lt;1,0,IFERROR(LOOKUP(2,1/('Feijão 1ª safra'!$E31:INDEX('Feijão 1ª safra'!$E31:$Z31,MIN(AG$6-$G$3,22))&lt;&gt;""),'Feijão 1ª safra'!$E31:INDEX('Feijão 1ª safra'!$E31:$Z31,MIN(AG$6-$G$3,22))),0)))))</f>
        <v>0</v>
      </c>
      <c r="AH33" s="27" t="n">
        <f aca="false">IF(COUNT('Feijão 1ª safra'!$E31:$Z31)=0,0,MAX(0,IF((AH$6-$E$3)&lt;1,0,IFERROR(LOOKUP(2,1/('Feijão 1ª safra'!$E31:INDEX('Feijão 1ª safra'!$E31:$Z31,MIN(AH$6-$E$3,22))&lt;&gt;""),'Feijão 1ª safra'!$E31:INDEX('Feijão 1ª safra'!$E31:$Z31,MIN(AH$6-$E$3,22))),0))-IF($G$2,0,IF((AH$6-$G$3)&lt;1,0,IFERROR(LOOKUP(2,1/('Feijão 1ª safra'!$E31:INDEX('Feijão 1ª safra'!$E31:$Z31,MIN(AH$6-$G$3,22))&lt;&gt;""),'Feijão 1ª safra'!$E31:INDEX('Feijão 1ª safra'!$E31:$Z31,MIN(AH$6-$G$3,22))),0)))))</f>
        <v>0</v>
      </c>
      <c r="AI33" s="27" t="n">
        <f aca="false">IF(COUNT('Feijão 1ª safra'!$E31:$Z31)=0,0,MAX(0,IF((AI$6-$E$3)&lt;1,0,IFERROR(LOOKUP(2,1/('Feijão 1ª safra'!$E31:INDEX('Feijão 1ª safra'!$E31:$Z31,MIN(AI$6-$E$3,22))&lt;&gt;""),'Feijão 1ª safra'!$E31:INDEX('Feijão 1ª safra'!$E31:$Z31,MIN(AI$6-$E$3,22))),0))-IF($G$2,0,IF((AI$6-$G$3)&lt;1,0,IFERROR(LOOKUP(2,1/('Feijão 1ª safra'!$E31:INDEX('Feijão 1ª safra'!$E31:$Z31,MIN(AI$6-$G$3,22))&lt;&gt;""),'Feijão 1ª safra'!$E31:INDEX('Feijão 1ª safra'!$E31:$Z31,MIN(AI$6-$G$3,22))),0)))))</f>
        <v>0</v>
      </c>
      <c r="AJ33" s="27" t="n">
        <f aca="false">IF(COUNT('Feijão 1ª safra'!$E31:$Z31)=0,0,MAX(0,IF((AJ$6-$E$3)&lt;1,0,IFERROR(LOOKUP(2,1/('Feijão 1ª safra'!$E31:INDEX('Feijão 1ª safra'!$E31:$Z31,MIN(AJ$6-$E$3,22))&lt;&gt;""),'Feijão 1ª safra'!$E31:INDEX('Feijão 1ª safra'!$E31:$Z31,MIN(AJ$6-$E$3,22))),0))-IF($G$2,0,IF((AJ$6-$G$3)&lt;1,0,IFERROR(LOOKUP(2,1/('Feijão 1ª safra'!$E31:INDEX('Feijão 1ª safra'!$E31:$Z31,MIN(AJ$6-$G$3,22))&lt;&gt;""),'Feijão 1ª safra'!$E31:INDEX('Feijão 1ª safra'!$E31:$Z31,MIN(AJ$6-$G$3,22))),0)))))</f>
        <v>0</v>
      </c>
      <c r="AK33" s="27" t="n">
        <f aca="false">IF(COUNT('Feijão 1ª safra'!$E31:$Z31)=0,0,MAX(0,IF((AK$6-$E$3)&lt;1,0,IFERROR(LOOKUP(2,1/('Feijão 1ª safra'!$E31:INDEX('Feijão 1ª safra'!$E31:$Z31,MIN(AK$6-$E$3,22))&lt;&gt;""),'Feijão 1ª safra'!$E31:INDEX('Feijão 1ª safra'!$E31:$Z31,MIN(AK$6-$E$3,22))),0))-IF($G$2,0,IF((AK$6-$G$3)&lt;1,0,IFERROR(LOOKUP(2,1/('Feijão 1ª safra'!$E31:INDEX('Feijão 1ª safra'!$E31:$Z31,MIN(AK$6-$G$3,22))&lt;&gt;""),'Feijão 1ª safra'!$E31:INDEX('Feijão 1ª safra'!$E31:$Z31,MIN(AK$6-$G$3,22))),0)))))</f>
        <v>0</v>
      </c>
      <c r="AL33" s="27" t="n">
        <f aca="false">IF(COUNT('Feijão 1ª safra'!$E31:$Z31)=0,0,MAX(0,IF((AL$6-$E$3)&lt;1,0,IFERROR(LOOKUP(2,1/('Feijão 1ª safra'!$E31:INDEX('Feijão 1ª safra'!$E31:$Z31,MIN(AL$6-$E$3,22))&lt;&gt;""),'Feijão 1ª safra'!$E31:INDEX('Feijão 1ª safra'!$E31:$Z31,MIN(AL$6-$E$3,22))),0))-IF($G$2,0,IF((AL$6-$G$3)&lt;1,0,IFERROR(LOOKUP(2,1/('Feijão 1ª safra'!$E31:INDEX('Feijão 1ª safra'!$E31:$Z31,MIN(AL$6-$G$3,22))&lt;&gt;""),'Feijão 1ª safra'!$E31:INDEX('Feijão 1ª safra'!$E31:$Z31,MIN(AL$6-$G$3,22))),0)))))</f>
        <v>0</v>
      </c>
      <c r="AM33" s="27" t="n">
        <f aca="false">IF(COUNT('Feijão 1ª safra'!$E31:$Z31)=0,0,MAX(0,IF((AM$6-$E$3)&lt;1,0,IFERROR(LOOKUP(2,1/('Feijão 1ª safra'!$E31:INDEX('Feijão 1ª safra'!$E31:$Z31,MIN(AM$6-$E$3,22))&lt;&gt;""),'Feijão 1ª safra'!$E31:INDEX('Feijão 1ª safra'!$E31:$Z31,MIN(AM$6-$E$3,22))),0))-IF($G$2,0,IF((AM$6-$G$3)&lt;1,0,IFERROR(LOOKUP(2,1/('Feijão 1ª safra'!$E31:INDEX('Feijão 1ª safra'!$E31:$Z31,MIN(AM$6-$G$3,22))&lt;&gt;""),'Feijão 1ª safra'!$E31:INDEX('Feijão 1ª safra'!$E31:$Z31,MIN(AM$6-$G$3,22))),0)))))</f>
        <v>0</v>
      </c>
      <c r="AN33" s="27" t="n">
        <f aca="false">IF(COUNT('Feijão 1ª safra'!$E31:$Z31)=0,0,MAX(0,IF((AN$6-$E$3)&lt;1,0,IFERROR(LOOKUP(2,1/('Feijão 1ª safra'!$E31:INDEX('Feijão 1ª safra'!$E31:$Z31,MIN(AN$6-$E$3,22))&lt;&gt;""),'Feijão 1ª safra'!$E31:INDEX('Feijão 1ª safra'!$E31:$Z31,MIN(AN$6-$E$3,22))),0))-IF($G$2,0,IF((AN$6-$G$3)&lt;1,0,IFERROR(LOOKUP(2,1/('Feijão 1ª safra'!$E31:INDEX('Feijão 1ª safra'!$E31:$Z31,MIN(AN$6-$G$3,22))&lt;&gt;""),'Feijão 1ª safra'!$E31:INDEX('Feijão 1ª safra'!$E31:$Z31,MIN(AN$6-$G$3,22))),0)))))</f>
        <v>0</v>
      </c>
      <c r="AO33" s="27" t="n">
        <f aca="false">IF(COUNT('Feijão 1ª safra'!$E31:$Z31)=0,0,MAX(0,IF((AO$6-$E$3)&lt;1,0,IFERROR(LOOKUP(2,1/('Feijão 1ª safra'!$E31:INDEX('Feijão 1ª safra'!$E31:$Z31,MIN(AO$6-$E$3,22))&lt;&gt;""),'Feijão 1ª safra'!$E31:INDEX('Feijão 1ª safra'!$E31:$Z31,MIN(AO$6-$E$3,22))),0))-IF($G$2,0,IF((AO$6-$G$3)&lt;1,0,IFERROR(LOOKUP(2,1/('Feijão 1ª safra'!$E31:INDEX('Feijão 1ª safra'!$E31:$Z31,MIN(AO$6-$G$3,22))&lt;&gt;""),'Feijão 1ª safra'!$E31:INDEX('Feijão 1ª safra'!$E31:$Z31,MIN(AO$6-$G$3,22))),0)))))</f>
        <v>0</v>
      </c>
      <c r="AP33" s="27" t="n">
        <f aca="false">IF(COUNT('Feijão 1ª safra'!$E31:$Z31)=0,0,MAX(0,IF((AP$6-$E$3)&lt;1,0,IFERROR(LOOKUP(2,1/('Feijão 1ª safra'!$E31:INDEX('Feijão 1ª safra'!$E31:$Z31,MIN(AP$6-$E$3,22))&lt;&gt;""),'Feijão 1ª safra'!$E31:INDEX('Feijão 1ª safra'!$E31:$Z31,MIN(AP$6-$E$3,22))),0))-IF($G$2,0,IF((AP$6-$G$3)&lt;1,0,IFERROR(LOOKUP(2,1/('Feijão 1ª safra'!$E31:INDEX('Feijão 1ª safra'!$E31:$Z31,MIN(AP$6-$G$3,22))&lt;&gt;""),'Feijão 1ª safra'!$E31:INDEX('Feijão 1ª safra'!$E31:$Z31,MIN(AP$6-$G$3,22))),0)))))</f>
        <v>0</v>
      </c>
      <c r="AQ33" s="27" t="n">
        <f aca="false">IF(COUNT('Feijão 1ª safra'!$E31:$Z31)=0,0,MAX(0,IF((AQ$6-$E$3)&lt;1,0,IFERROR(LOOKUP(2,1/('Feijão 1ª safra'!$E31:INDEX('Feijão 1ª safra'!$E31:$Z31,MIN(AQ$6-$E$3,22))&lt;&gt;""),'Feijão 1ª safra'!$E31:INDEX('Feijão 1ª safra'!$E31:$Z31,MIN(AQ$6-$E$3,22))),0))-IF($G$2,0,IF((AQ$6-$G$3)&lt;1,0,IFERROR(LOOKUP(2,1/('Feijão 1ª safra'!$E31:INDEX('Feijão 1ª safra'!$E31:$Z31,MIN(AQ$6-$G$3,22))&lt;&gt;""),'Feijão 1ª safra'!$E31:INDEX('Feijão 1ª safra'!$E31:$Z31,MIN(AQ$6-$G$3,22))),0)))))</f>
        <v>0</v>
      </c>
      <c r="AR33" s="27" t="n">
        <f aca="false">IF(COUNT('Feijão 1ª safra'!$E31:$Z31)=0,0,MAX(0,IF((AR$6-$E$3)&lt;1,0,IFERROR(LOOKUP(2,1/('Feijão 1ª safra'!$E31:INDEX('Feijão 1ª safra'!$E31:$Z31,MIN(AR$6-$E$3,22))&lt;&gt;""),'Feijão 1ª safra'!$E31:INDEX('Feijão 1ª safra'!$E31:$Z31,MIN(AR$6-$E$3,22))),0))-IF($G$2,0,IF((AR$6-$G$3)&lt;1,0,IFERROR(LOOKUP(2,1/('Feijão 1ª safra'!$E31:INDEX('Feijão 1ª safra'!$E31:$Z31,MIN(AR$6-$G$3,22))&lt;&gt;""),'Feijão 1ª safra'!$E31:INDEX('Feijão 1ª safra'!$E31:$Z31,MIN(AR$6-$G$3,22))),0)))))</f>
        <v>0</v>
      </c>
      <c r="AS33" s="27" t="n">
        <f aca="false">IF(COUNT('Feijão 1ª safra'!$E31:$Z31)=0,0,MAX(0,IF((AS$6-$E$3)&lt;1,0,IFERROR(LOOKUP(2,1/('Feijão 1ª safra'!$E31:INDEX('Feijão 1ª safra'!$E31:$Z31,MIN(AS$6-$E$3,22))&lt;&gt;""),'Feijão 1ª safra'!$E31:INDEX('Feijão 1ª safra'!$E31:$Z31,MIN(AS$6-$E$3,22))),0))-IF($G$2,0,IF((AS$6-$G$3)&lt;1,0,IFERROR(LOOKUP(2,1/('Feijão 1ª safra'!$E31:INDEX('Feijão 1ª safra'!$E31:$Z31,MIN(AS$6-$G$3,22))&lt;&gt;""),'Feijão 1ª safra'!$E31:INDEX('Feijão 1ª safra'!$E31:$Z31,MIN(AS$6-$G$3,22))),0)))))</f>
        <v>0</v>
      </c>
      <c r="AT33" s="27" t="n">
        <f aca="false">IF(COUNT('Feijão 1ª safra'!$E31:$Z31)=0,0,MAX(0,IF((AT$6-$E$3)&lt;1,0,IFERROR(LOOKUP(2,1/('Feijão 1ª safra'!$E31:INDEX('Feijão 1ª safra'!$E31:$Z31,MIN(AT$6-$E$3,22))&lt;&gt;""),'Feijão 1ª safra'!$E31:INDEX('Feijão 1ª safra'!$E31:$Z31,MIN(AT$6-$E$3,22))),0))-IF($G$2,0,IF((AT$6-$G$3)&lt;1,0,IFERROR(LOOKUP(2,1/('Feijão 1ª safra'!$E31:INDEX('Feijão 1ª safra'!$E31:$Z31,MIN(AT$6-$G$3,22))&lt;&gt;""),'Feijão 1ª safra'!$E31:INDEX('Feijão 1ª safra'!$E31:$Z31,MIN(AT$6-$G$3,22))),0)))))</f>
        <v>0</v>
      </c>
      <c r="AU33" s="27" t="n">
        <f aca="false">IF(COUNT('Feijão 1ª safra'!$E31:$Z31)=0,0,MAX(0,IF((AU$6-$E$3)&lt;1,0,IFERROR(LOOKUP(2,1/('Feijão 1ª safra'!$E31:INDEX('Feijão 1ª safra'!$E31:$Z31,MIN(AU$6-$E$3,22))&lt;&gt;""),'Feijão 1ª safra'!$E31:INDEX('Feijão 1ª safra'!$E31:$Z31,MIN(AU$6-$E$3,22))),0))-IF($G$2,0,IF((AU$6-$G$3)&lt;1,0,IFERROR(LOOKUP(2,1/('Feijão 1ª safra'!$E31:INDEX('Feijão 1ª safra'!$E31:$Z31,MIN(AU$6-$G$3,22))&lt;&gt;""),'Feijão 1ª safra'!$E31:INDEX('Feijão 1ª safra'!$E31:$Z31,MIN(AU$6-$G$3,22))),0)))))</f>
        <v>0</v>
      </c>
      <c r="AV33" s="27" t="n">
        <f aca="false">IF(COUNT('Feijão 1ª safra'!$E31:$Z31)=0,0,MAX(0,IF((AV$6-$E$3)&lt;1,0,IFERROR(LOOKUP(2,1/('Feijão 1ª safra'!$E31:INDEX('Feijão 1ª safra'!$E31:$Z31,MIN(AV$6-$E$3,22))&lt;&gt;""),'Feijão 1ª safra'!$E31:INDEX('Feijão 1ª safra'!$E31:$Z31,MIN(AV$6-$E$3,22))),0))-IF($G$2,0,IF((AV$6-$G$3)&lt;1,0,IFERROR(LOOKUP(2,1/('Feijão 1ª safra'!$E31:INDEX('Feijão 1ª safra'!$E31:$Z31,MIN(AV$6-$G$3,22))&lt;&gt;""),'Feijão 1ª safra'!$E31:INDEX('Feijão 1ª safra'!$E31:$Z31,MIN(AV$6-$G$3,22))),0)))))</f>
        <v>0</v>
      </c>
      <c r="AW33" s="27" t="n">
        <f aca="false">IF(COUNT('Feijão 1ª safra'!$E31:$Z31)=0,0,MAX(0,IF((AW$6-$E$3)&lt;1,0,IFERROR(LOOKUP(2,1/('Feijão 1ª safra'!$E31:INDEX('Feijão 1ª safra'!$E31:$Z31,MIN(AW$6-$E$3,22))&lt;&gt;""),'Feijão 1ª safra'!$E31:INDEX('Feijão 1ª safra'!$E31:$Z31,MIN(AW$6-$E$3,22))),0))-IF($G$2,0,IF((AW$6-$G$3)&lt;1,0,IFERROR(LOOKUP(2,1/('Feijão 1ª safra'!$E31:INDEX('Feijão 1ª safra'!$E31:$Z31,MIN(AW$6-$G$3,22))&lt;&gt;""),'Feijão 1ª safra'!$E31:INDEX('Feijão 1ª safra'!$E31:$Z31,MIN(AW$6-$G$3,22))),0)))))</f>
        <v>0</v>
      </c>
      <c r="AX33" s="27" t="n">
        <f aca="false">IF(COUNT('Feijão 1ª safra'!$E31:$Z31)=0,0,MAX(0,IF((AX$6-$E$3)&lt;1,0,IFERROR(LOOKUP(2,1/('Feijão 1ª safra'!$E31:INDEX('Feijão 1ª safra'!$E31:$Z31,MIN(AX$6-$E$3,22))&lt;&gt;""),'Feijão 1ª safra'!$E31:INDEX('Feijão 1ª safra'!$E31:$Z31,MIN(AX$6-$E$3,22))),0))-IF($G$2,0,IF((AX$6-$G$3)&lt;1,0,IFERROR(LOOKUP(2,1/('Feijão 1ª safra'!$E31:INDEX('Feijão 1ª safra'!$E31:$Z31,MIN(AX$6-$G$3,22))&lt;&gt;""),'Feijão 1ª safra'!$E31:INDEX('Feijão 1ª safra'!$E31:$Z31,MIN(AX$6-$G$3,22))),0)))))</f>
        <v>0</v>
      </c>
      <c r="AY33" s="27" t="n">
        <f aca="false">IF(COUNT('Feijão 1ª safra'!$E31:$Z31)=0,0,MAX(0,IF((AY$6-$E$3)&lt;1,0,IFERROR(LOOKUP(2,1/('Feijão 1ª safra'!$E31:INDEX('Feijão 1ª safra'!$E31:$Z31,MIN(AY$6-$E$3,22))&lt;&gt;""),'Feijão 1ª safra'!$E31:INDEX('Feijão 1ª safra'!$E31:$Z31,MIN(AY$6-$E$3,22))),0))-IF($G$2,0,IF((AY$6-$G$3)&lt;1,0,IFERROR(LOOKUP(2,1/('Feijão 1ª safra'!$E31:INDEX('Feijão 1ª safra'!$E31:$Z31,MIN(AY$6-$G$3,22))&lt;&gt;""),'Feijão 1ª safra'!$E31:INDEX('Feijão 1ª safra'!$E31:$Z31,MIN(AY$6-$G$3,22))),0)))))</f>
        <v>0</v>
      </c>
      <c r="AZ33" s="27" t="n">
        <f aca="false">IF(COUNT('Feijão 1ª safra'!$E31:$Z31)=0,0,MAX(0,IF((AZ$6-$E$3)&lt;1,0,IFERROR(LOOKUP(2,1/('Feijão 1ª safra'!$E31:INDEX('Feijão 1ª safra'!$E31:$Z31,MIN(AZ$6-$E$3,22))&lt;&gt;""),'Feijão 1ª safra'!$E31:INDEX('Feijão 1ª safra'!$E31:$Z31,MIN(AZ$6-$E$3,22))),0))-IF($G$2,0,IF((AZ$6-$G$3)&lt;1,0,IFERROR(LOOKUP(2,1/('Feijão 1ª safra'!$E31:INDEX('Feijão 1ª safra'!$E31:$Z31,MIN(AZ$6-$G$3,22))&lt;&gt;""),'Feijão 1ª safra'!$E31:INDEX('Feijão 1ª safra'!$E31:$Z31,MIN(AZ$6-$G$3,22))),0)))))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IF(COUNT('Feijão 1ª safra'!$E32:$Z32)&gt;0,N('Feijão 1ª safra'!$D32),0)</f>
        <v>0</v>
      </c>
      <c r="E34" s="27" t="n">
        <f aca="false">IF(COUNT('Feijão 1ª safra'!$E32:$Z32)=0,0,MAX(0,IF((E$6-$E$3)&lt;1,0,IFERROR(LOOKUP(2,1/('Feijão 1ª safra'!$E32:INDEX('Feijão 1ª safra'!$E32:$Z32,MIN(E$6-$E$3,22))&lt;&gt;""),'Feijão 1ª safra'!$E32:INDEX('Feijão 1ª safra'!$E32:$Z32,MIN(E$6-$E$3,22))),0))-IF($G$2,0,IF((E$6-$G$3)&lt;1,0,IFERROR(LOOKUP(2,1/('Feijão 1ª safra'!$E32:INDEX('Feijão 1ª safra'!$E32:$Z32,MIN(E$6-$G$3,22))&lt;&gt;""),'Feijão 1ª safra'!$E32:INDEX('Feijão 1ª safra'!$E32:$Z32,MIN(E$6-$G$3,22))),0)))))</f>
        <v>0</v>
      </c>
      <c r="F34" s="27" t="n">
        <f aca="false">IF(COUNT('Feijão 1ª safra'!$E32:$Z32)=0,0,MAX(0,IF((F$6-$E$3)&lt;1,0,IFERROR(LOOKUP(2,1/('Feijão 1ª safra'!$E32:INDEX('Feijão 1ª safra'!$E32:$Z32,MIN(F$6-$E$3,22))&lt;&gt;""),'Feijão 1ª safra'!$E32:INDEX('Feijão 1ª safra'!$E32:$Z32,MIN(F$6-$E$3,22))),0))-IF($G$2,0,IF((F$6-$G$3)&lt;1,0,IFERROR(LOOKUP(2,1/('Feijão 1ª safra'!$E32:INDEX('Feijão 1ª safra'!$E32:$Z32,MIN(F$6-$G$3,22))&lt;&gt;""),'Feijão 1ª safra'!$E32:INDEX('Feijão 1ª safra'!$E32:$Z32,MIN(F$6-$G$3,22))),0)))))</f>
        <v>0</v>
      </c>
      <c r="G34" s="27" t="n">
        <f aca="false">IF(COUNT('Feijão 1ª safra'!$E32:$Z32)=0,0,MAX(0,IF((G$6-$E$3)&lt;1,0,IFERROR(LOOKUP(2,1/('Feijão 1ª safra'!$E32:INDEX('Feijão 1ª safra'!$E32:$Z32,MIN(G$6-$E$3,22))&lt;&gt;""),'Feijão 1ª safra'!$E32:INDEX('Feijão 1ª safra'!$E32:$Z32,MIN(G$6-$E$3,22))),0))-IF($G$2,0,IF((G$6-$G$3)&lt;1,0,IFERROR(LOOKUP(2,1/('Feijão 1ª safra'!$E32:INDEX('Feijão 1ª safra'!$E32:$Z32,MIN(G$6-$G$3,22))&lt;&gt;""),'Feijão 1ª safra'!$E32:INDEX('Feijão 1ª safra'!$E32:$Z32,MIN(G$6-$G$3,22))),0)))))</f>
        <v>0</v>
      </c>
      <c r="H34" s="27" t="n">
        <f aca="false">IF(COUNT('Feijão 1ª safra'!$E32:$Z32)=0,0,MAX(0,IF((H$6-$E$3)&lt;1,0,IFERROR(LOOKUP(2,1/('Feijão 1ª safra'!$E32:INDEX('Feijão 1ª safra'!$E32:$Z32,MIN(H$6-$E$3,22))&lt;&gt;""),'Feijão 1ª safra'!$E32:INDEX('Feijão 1ª safra'!$E32:$Z32,MIN(H$6-$E$3,22))),0))-IF($G$2,0,IF((H$6-$G$3)&lt;1,0,IFERROR(LOOKUP(2,1/('Feijão 1ª safra'!$E32:INDEX('Feijão 1ª safra'!$E32:$Z32,MIN(H$6-$G$3,22))&lt;&gt;""),'Feijão 1ª safra'!$E32:INDEX('Feijão 1ª safra'!$E32:$Z32,MIN(H$6-$G$3,22))),0)))))</f>
        <v>0</v>
      </c>
      <c r="I34" s="27" t="n">
        <f aca="false">IF(COUNT('Feijão 1ª safra'!$E32:$Z32)=0,0,MAX(0,IF((I$6-$E$3)&lt;1,0,IFERROR(LOOKUP(2,1/('Feijão 1ª safra'!$E32:INDEX('Feijão 1ª safra'!$E32:$Z32,MIN(I$6-$E$3,22))&lt;&gt;""),'Feijão 1ª safra'!$E32:INDEX('Feijão 1ª safra'!$E32:$Z32,MIN(I$6-$E$3,22))),0))-IF($G$2,0,IF((I$6-$G$3)&lt;1,0,IFERROR(LOOKUP(2,1/('Feijão 1ª safra'!$E32:INDEX('Feijão 1ª safra'!$E32:$Z32,MIN(I$6-$G$3,22))&lt;&gt;""),'Feijão 1ª safra'!$E32:INDEX('Feijão 1ª safra'!$E32:$Z32,MIN(I$6-$G$3,22))),0)))))</f>
        <v>0</v>
      </c>
      <c r="J34" s="27" t="n">
        <f aca="false">IF(COUNT('Feijão 1ª safra'!$E32:$Z32)=0,0,MAX(0,IF((J$6-$E$3)&lt;1,0,IFERROR(LOOKUP(2,1/('Feijão 1ª safra'!$E32:INDEX('Feijão 1ª safra'!$E32:$Z32,MIN(J$6-$E$3,22))&lt;&gt;""),'Feijão 1ª safra'!$E32:INDEX('Feijão 1ª safra'!$E32:$Z32,MIN(J$6-$E$3,22))),0))-IF($G$2,0,IF((J$6-$G$3)&lt;1,0,IFERROR(LOOKUP(2,1/('Feijão 1ª safra'!$E32:INDEX('Feijão 1ª safra'!$E32:$Z32,MIN(J$6-$G$3,22))&lt;&gt;""),'Feijão 1ª safra'!$E32:INDEX('Feijão 1ª safra'!$E32:$Z32,MIN(J$6-$G$3,22))),0)))))</f>
        <v>0</v>
      </c>
      <c r="K34" s="27" t="n">
        <f aca="false">IF(COUNT('Feijão 1ª safra'!$E32:$Z32)=0,0,MAX(0,IF((K$6-$E$3)&lt;1,0,IFERROR(LOOKUP(2,1/('Feijão 1ª safra'!$E32:INDEX('Feijão 1ª safra'!$E32:$Z32,MIN(K$6-$E$3,22))&lt;&gt;""),'Feijão 1ª safra'!$E32:INDEX('Feijão 1ª safra'!$E32:$Z32,MIN(K$6-$E$3,22))),0))-IF($G$2,0,IF((K$6-$G$3)&lt;1,0,IFERROR(LOOKUP(2,1/('Feijão 1ª safra'!$E32:INDEX('Feijão 1ª safra'!$E32:$Z32,MIN(K$6-$G$3,22))&lt;&gt;""),'Feijão 1ª safra'!$E32:INDEX('Feijão 1ª safra'!$E32:$Z32,MIN(K$6-$G$3,22))),0)))))</f>
        <v>0</v>
      </c>
      <c r="L34" s="27" t="n">
        <f aca="false">IF(COUNT('Feijão 1ª safra'!$E32:$Z32)=0,0,MAX(0,IF((L$6-$E$3)&lt;1,0,IFERROR(LOOKUP(2,1/('Feijão 1ª safra'!$E32:INDEX('Feijão 1ª safra'!$E32:$Z32,MIN(L$6-$E$3,22))&lt;&gt;""),'Feijão 1ª safra'!$E32:INDEX('Feijão 1ª safra'!$E32:$Z32,MIN(L$6-$E$3,22))),0))-IF($G$2,0,IF((L$6-$G$3)&lt;1,0,IFERROR(LOOKUP(2,1/('Feijão 1ª safra'!$E32:INDEX('Feijão 1ª safra'!$E32:$Z32,MIN(L$6-$G$3,22))&lt;&gt;""),'Feijão 1ª safra'!$E32:INDEX('Feijão 1ª safra'!$E32:$Z32,MIN(L$6-$G$3,22))),0)))))</f>
        <v>0</v>
      </c>
      <c r="M34" s="27" t="n">
        <f aca="false">IF(COUNT('Feijão 1ª safra'!$E32:$Z32)=0,0,MAX(0,IF((M$6-$E$3)&lt;1,0,IFERROR(LOOKUP(2,1/('Feijão 1ª safra'!$E32:INDEX('Feijão 1ª safra'!$E32:$Z32,MIN(M$6-$E$3,22))&lt;&gt;""),'Feijão 1ª safra'!$E32:INDEX('Feijão 1ª safra'!$E32:$Z32,MIN(M$6-$E$3,22))),0))-IF($G$2,0,IF((M$6-$G$3)&lt;1,0,IFERROR(LOOKUP(2,1/('Feijão 1ª safra'!$E32:INDEX('Feijão 1ª safra'!$E32:$Z32,MIN(M$6-$G$3,22))&lt;&gt;""),'Feijão 1ª safra'!$E32:INDEX('Feijão 1ª safra'!$E32:$Z32,MIN(M$6-$G$3,22))),0)))))</f>
        <v>0</v>
      </c>
      <c r="N34" s="27" t="n">
        <f aca="false">IF(COUNT('Feijão 1ª safra'!$E32:$Z32)=0,0,MAX(0,IF((N$6-$E$3)&lt;1,0,IFERROR(LOOKUP(2,1/('Feijão 1ª safra'!$E32:INDEX('Feijão 1ª safra'!$E32:$Z32,MIN(N$6-$E$3,22))&lt;&gt;""),'Feijão 1ª safra'!$E32:INDEX('Feijão 1ª safra'!$E32:$Z32,MIN(N$6-$E$3,22))),0))-IF($G$2,0,IF((N$6-$G$3)&lt;1,0,IFERROR(LOOKUP(2,1/('Feijão 1ª safra'!$E32:INDEX('Feijão 1ª safra'!$E32:$Z32,MIN(N$6-$G$3,22))&lt;&gt;""),'Feijão 1ª safra'!$E32:INDEX('Feijão 1ª safra'!$E32:$Z32,MIN(N$6-$G$3,22))),0)))))</f>
        <v>0</v>
      </c>
      <c r="O34" s="27" t="n">
        <f aca="false">IF(COUNT('Feijão 1ª safra'!$E32:$Z32)=0,0,MAX(0,IF((O$6-$E$3)&lt;1,0,IFERROR(LOOKUP(2,1/('Feijão 1ª safra'!$E32:INDEX('Feijão 1ª safra'!$E32:$Z32,MIN(O$6-$E$3,22))&lt;&gt;""),'Feijão 1ª safra'!$E32:INDEX('Feijão 1ª safra'!$E32:$Z32,MIN(O$6-$E$3,22))),0))-IF($G$2,0,IF((O$6-$G$3)&lt;1,0,IFERROR(LOOKUP(2,1/('Feijão 1ª safra'!$E32:INDEX('Feijão 1ª safra'!$E32:$Z32,MIN(O$6-$G$3,22))&lt;&gt;""),'Feijão 1ª safra'!$E32:INDEX('Feijão 1ª safra'!$E32:$Z32,MIN(O$6-$G$3,22))),0)))))</f>
        <v>0</v>
      </c>
      <c r="P34" s="27" t="n">
        <f aca="false">IF(COUNT('Feijão 1ª safra'!$E32:$Z32)=0,0,MAX(0,IF((P$6-$E$3)&lt;1,0,IFERROR(LOOKUP(2,1/('Feijão 1ª safra'!$E32:INDEX('Feijão 1ª safra'!$E32:$Z32,MIN(P$6-$E$3,22))&lt;&gt;""),'Feijão 1ª safra'!$E32:INDEX('Feijão 1ª safra'!$E32:$Z32,MIN(P$6-$E$3,22))),0))-IF($G$2,0,IF((P$6-$G$3)&lt;1,0,IFERROR(LOOKUP(2,1/('Feijão 1ª safra'!$E32:INDEX('Feijão 1ª safra'!$E32:$Z32,MIN(P$6-$G$3,22))&lt;&gt;""),'Feijão 1ª safra'!$E32:INDEX('Feijão 1ª safra'!$E32:$Z32,MIN(P$6-$G$3,22))),0)))))</f>
        <v>0</v>
      </c>
      <c r="Q34" s="27" t="n">
        <f aca="false">IF(COUNT('Feijão 1ª safra'!$E32:$Z32)=0,0,MAX(0,IF((Q$6-$E$3)&lt;1,0,IFERROR(LOOKUP(2,1/('Feijão 1ª safra'!$E32:INDEX('Feijão 1ª safra'!$E32:$Z32,MIN(Q$6-$E$3,22))&lt;&gt;""),'Feijão 1ª safra'!$E32:INDEX('Feijão 1ª safra'!$E32:$Z32,MIN(Q$6-$E$3,22))),0))-IF($G$2,0,IF((Q$6-$G$3)&lt;1,0,IFERROR(LOOKUP(2,1/('Feijão 1ª safra'!$E32:INDEX('Feijão 1ª safra'!$E32:$Z32,MIN(Q$6-$G$3,22))&lt;&gt;""),'Feijão 1ª safra'!$E32:INDEX('Feijão 1ª safra'!$E32:$Z32,MIN(Q$6-$G$3,22))),0)))))</f>
        <v>0</v>
      </c>
      <c r="R34" s="27" t="n">
        <f aca="false">IF(COUNT('Feijão 1ª safra'!$E32:$Z32)=0,0,MAX(0,IF((R$6-$E$3)&lt;1,0,IFERROR(LOOKUP(2,1/('Feijão 1ª safra'!$E32:INDEX('Feijão 1ª safra'!$E32:$Z32,MIN(R$6-$E$3,22))&lt;&gt;""),'Feijão 1ª safra'!$E32:INDEX('Feijão 1ª safra'!$E32:$Z32,MIN(R$6-$E$3,22))),0))-IF($G$2,0,IF((R$6-$G$3)&lt;1,0,IFERROR(LOOKUP(2,1/('Feijão 1ª safra'!$E32:INDEX('Feijão 1ª safra'!$E32:$Z32,MIN(R$6-$G$3,22))&lt;&gt;""),'Feijão 1ª safra'!$E32:INDEX('Feijão 1ª safra'!$E32:$Z32,MIN(R$6-$G$3,22))),0)))))</f>
        <v>0</v>
      </c>
      <c r="S34" s="27" t="n">
        <f aca="false">IF(COUNT('Feijão 1ª safra'!$E32:$Z32)=0,0,MAX(0,IF((S$6-$E$3)&lt;1,0,IFERROR(LOOKUP(2,1/('Feijão 1ª safra'!$E32:INDEX('Feijão 1ª safra'!$E32:$Z32,MIN(S$6-$E$3,22))&lt;&gt;""),'Feijão 1ª safra'!$E32:INDEX('Feijão 1ª safra'!$E32:$Z32,MIN(S$6-$E$3,22))),0))-IF($G$2,0,IF((S$6-$G$3)&lt;1,0,IFERROR(LOOKUP(2,1/('Feijão 1ª safra'!$E32:INDEX('Feijão 1ª safra'!$E32:$Z32,MIN(S$6-$G$3,22))&lt;&gt;""),'Feijão 1ª safra'!$E32:INDEX('Feijão 1ª safra'!$E32:$Z32,MIN(S$6-$G$3,22))),0)))))</f>
        <v>0</v>
      </c>
      <c r="T34" s="27" t="n">
        <f aca="false">IF(COUNT('Feijão 1ª safra'!$E32:$Z32)=0,0,MAX(0,IF((T$6-$E$3)&lt;1,0,IFERROR(LOOKUP(2,1/('Feijão 1ª safra'!$E32:INDEX('Feijão 1ª safra'!$E32:$Z32,MIN(T$6-$E$3,22))&lt;&gt;""),'Feijão 1ª safra'!$E32:INDEX('Feijão 1ª safra'!$E32:$Z32,MIN(T$6-$E$3,22))),0))-IF($G$2,0,IF((T$6-$G$3)&lt;1,0,IFERROR(LOOKUP(2,1/('Feijão 1ª safra'!$E32:INDEX('Feijão 1ª safra'!$E32:$Z32,MIN(T$6-$G$3,22))&lt;&gt;""),'Feijão 1ª safra'!$E32:INDEX('Feijão 1ª safra'!$E32:$Z32,MIN(T$6-$G$3,22))),0)))))</f>
        <v>0</v>
      </c>
      <c r="U34" s="27" t="n">
        <f aca="false">IF(COUNT('Feijão 1ª safra'!$E32:$Z32)=0,0,MAX(0,IF((U$6-$E$3)&lt;1,0,IFERROR(LOOKUP(2,1/('Feijão 1ª safra'!$E32:INDEX('Feijão 1ª safra'!$E32:$Z32,MIN(U$6-$E$3,22))&lt;&gt;""),'Feijão 1ª safra'!$E32:INDEX('Feijão 1ª safra'!$E32:$Z32,MIN(U$6-$E$3,22))),0))-IF($G$2,0,IF((U$6-$G$3)&lt;1,0,IFERROR(LOOKUP(2,1/('Feijão 1ª safra'!$E32:INDEX('Feijão 1ª safra'!$E32:$Z32,MIN(U$6-$G$3,22))&lt;&gt;""),'Feijão 1ª safra'!$E32:INDEX('Feijão 1ª safra'!$E32:$Z32,MIN(U$6-$G$3,22))),0)))))</f>
        <v>0</v>
      </c>
      <c r="V34" s="27" t="n">
        <f aca="false">IF(COUNT('Feijão 1ª safra'!$E32:$Z32)=0,0,MAX(0,IF((V$6-$E$3)&lt;1,0,IFERROR(LOOKUP(2,1/('Feijão 1ª safra'!$E32:INDEX('Feijão 1ª safra'!$E32:$Z32,MIN(V$6-$E$3,22))&lt;&gt;""),'Feijão 1ª safra'!$E32:INDEX('Feijão 1ª safra'!$E32:$Z32,MIN(V$6-$E$3,22))),0))-IF($G$2,0,IF((V$6-$G$3)&lt;1,0,IFERROR(LOOKUP(2,1/('Feijão 1ª safra'!$E32:INDEX('Feijão 1ª safra'!$E32:$Z32,MIN(V$6-$G$3,22))&lt;&gt;""),'Feijão 1ª safra'!$E32:INDEX('Feijão 1ª safra'!$E32:$Z32,MIN(V$6-$G$3,22))),0)))))</f>
        <v>0</v>
      </c>
      <c r="W34" s="27" t="n">
        <f aca="false">IF(COUNT('Feijão 1ª safra'!$E32:$Z32)=0,0,MAX(0,IF((W$6-$E$3)&lt;1,0,IFERROR(LOOKUP(2,1/('Feijão 1ª safra'!$E32:INDEX('Feijão 1ª safra'!$E32:$Z32,MIN(W$6-$E$3,22))&lt;&gt;""),'Feijão 1ª safra'!$E32:INDEX('Feijão 1ª safra'!$E32:$Z32,MIN(W$6-$E$3,22))),0))-IF($G$2,0,IF((W$6-$G$3)&lt;1,0,IFERROR(LOOKUP(2,1/('Feijão 1ª safra'!$E32:INDEX('Feijão 1ª safra'!$E32:$Z32,MIN(W$6-$G$3,22))&lt;&gt;""),'Feijão 1ª safra'!$E32:INDEX('Feijão 1ª safra'!$E32:$Z32,MIN(W$6-$G$3,22))),0)))))</f>
        <v>0</v>
      </c>
      <c r="X34" s="27" t="n">
        <f aca="false">IF(COUNT('Feijão 1ª safra'!$E32:$Z32)=0,0,MAX(0,IF((X$6-$E$3)&lt;1,0,IFERROR(LOOKUP(2,1/('Feijão 1ª safra'!$E32:INDEX('Feijão 1ª safra'!$E32:$Z32,MIN(X$6-$E$3,22))&lt;&gt;""),'Feijão 1ª safra'!$E32:INDEX('Feijão 1ª safra'!$E32:$Z32,MIN(X$6-$E$3,22))),0))-IF($G$2,0,IF((X$6-$G$3)&lt;1,0,IFERROR(LOOKUP(2,1/('Feijão 1ª safra'!$E32:INDEX('Feijão 1ª safra'!$E32:$Z32,MIN(X$6-$G$3,22))&lt;&gt;""),'Feijão 1ª safra'!$E32:INDEX('Feijão 1ª safra'!$E32:$Z32,MIN(X$6-$G$3,22))),0)))))</f>
        <v>0</v>
      </c>
      <c r="Y34" s="27" t="n">
        <f aca="false">IF(COUNT('Feijão 1ª safra'!$E32:$Z32)=0,0,MAX(0,IF((Y$6-$E$3)&lt;1,0,IFERROR(LOOKUP(2,1/('Feijão 1ª safra'!$E32:INDEX('Feijão 1ª safra'!$E32:$Z32,MIN(Y$6-$E$3,22))&lt;&gt;""),'Feijão 1ª safra'!$E32:INDEX('Feijão 1ª safra'!$E32:$Z32,MIN(Y$6-$E$3,22))),0))-IF($G$2,0,IF((Y$6-$G$3)&lt;1,0,IFERROR(LOOKUP(2,1/('Feijão 1ª safra'!$E32:INDEX('Feijão 1ª safra'!$E32:$Z32,MIN(Y$6-$G$3,22))&lt;&gt;""),'Feijão 1ª safra'!$E32:INDEX('Feijão 1ª safra'!$E32:$Z32,MIN(Y$6-$G$3,22))),0)))))</f>
        <v>0</v>
      </c>
      <c r="Z34" s="27" t="n">
        <f aca="false">IF(COUNT('Feijão 1ª safra'!$E32:$Z32)=0,0,MAX(0,IF((Z$6-$E$3)&lt;1,0,IFERROR(LOOKUP(2,1/('Feijão 1ª safra'!$E32:INDEX('Feijão 1ª safra'!$E32:$Z32,MIN(Z$6-$E$3,22))&lt;&gt;""),'Feijão 1ª safra'!$E32:INDEX('Feijão 1ª safra'!$E32:$Z32,MIN(Z$6-$E$3,22))),0))-IF($G$2,0,IF((Z$6-$G$3)&lt;1,0,IFERROR(LOOKUP(2,1/('Feijão 1ª safra'!$E32:INDEX('Feijão 1ª safra'!$E32:$Z32,MIN(Z$6-$G$3,22))&lt;&gt;""),'Feijão 1ª safra'!$E32:INDEX('Feijão 1ª safra'!$E32:$Z32,MIN(Z$6-$G$3,22))),0)))))</f>
        <v>0</v>
      </c>
      <c r="AA34" s="27" t="n">
        <f aca="false">IF(COUNT('Feijão 1ª safra'!$E32:$Z32)=0,0,MAX(0,IF((AA$6-$E$3)&lt;1,0,IFERROR(LOOKUP(2,1/('Feijão 1ª safra'!$E32:INDEX('Feijão 1ª safra'!$E32:$Z32,MIN(AA$6-$E$3,22))&lt;&gt;""),'Feijão 1ª safra'!$E32:INDEX('Feijão 1ª safra'!$E32:$Z32,MIN(AA$6-$E$3,22))),0))-IF($G$2,0,IF((AA$6-$G$3)&lt;1,0,IFERROR(LOOKUP(2,1/('Feijão 1ª safra'!$E32:INDEX('Feijão 1ª safra'!$E32:$Z32,MIN(AA$6-$G$3,22))&lt;&gt;""),'Feijão 1ª safra'!$E32:INDEX('Feijão 1ª safra'!$E32:$Z32,MIN(AA$6-$G$3,22))),0)))))</f>
        <v>0</v>
      </c>
      <c r="AB34" s="27" t="n">
        <f aca="false">IF(COUNT('Feijão 1ª safra'!$E32:$Z32)=0,0,MAX(0,IF((AB$6-$E$3)&lt;1,0,IFERROR(LOOKUP(2,1/('Feijão 1ª safra'!$E32:INDEX('Feijão 1ª safra'!$E32:$Z32,MIN(AB$6-$E$3,22))&lt;&gt;""),'Feijão 1ª safra'!$E32:INDEX('Feijão 1ª safra'!$E32:$Z32,MIN(AB$6-$E$3,22))),0))-IF($G$2,0,IF((AB$6-$G$3)&lt;1,0,IFERROR(LOOKUP(2,1/('Feijão 1ª safra'!$E32:INDEX('Feijão 1ª safra'!$E32:$Z32,MIN(AB$6-$G$3,22))&lt;&gt;""),'Feijão 1ª safra'!$E32:INDEX('Feijão 1ª safra'!$E32:$Z32,MIN(AB$6-$G$3,22))),0)))))</f>
        <v>0</v>
      </c>
      <c r="AC34" s="27" t="n">
        <f aca="false">IF(COUNT('Feijão 1ª safra'!$E32:$Z32)=0,0,MAX(0,IF((AC$6-$E$3)&lt;1,0,IFERROR(LOOKUP(2,1/('Feijão 1ª safra'!$E32:INDEX('Feijão 1ª safra'!$E32:$Z32,MIN(AC$6-$E$3,22))&lt;&gt;""),'Feijão 1ª safra'!$E32:INDEX('Feijão 1ª safra'!$E32:$Z32,MIN(AC$6-$E$3,22))),0))-IF($G$2,0,IF((AC$6-$G$3)&lt;1,0,IFERROR(LOOKUP(2,1/('Feijão 1ª safra'!$E32:INDEX('Feijão 1ª safra'!$E32:$Z32,MIN(AC$6-$G$3,22))&lt;&gt;""),'Feijão 1ª safra'!$E32:INDEX('Feijão 1ª safra'!$E32:$Z32,MIN(AC$6-$G$3,22))),0)))))</f>
        <v>0</v>
      </c>
      <c r="AD34" s="27" t="n">
        <f aca="false">IF(COUNT('Feijão 1ª safra'!$E32:$Z32)=0,0,MAX(0,IF((AD$6-$E$3)&lt;1,0,IFERROR(LOOKUP(2,1/('Feijão 1ª safra'!$E32:INDEX('Feijão 1ª safra'!$E32:$Z32,MIN(AD$6-$E$3,22))&lt;&gt;""),'Feijão 1ª safra'!$E32:INDEX('Feijão 1ª safra'!$E32:$Z32,MIN(AD$6-$E$3,22))),0))-IF($G$2,0,IF((AD$6-$G$3)&lt;1,0,IFERROR(LOOKUP(2,1/('Feijão 1ª safra'!$E32:INDEX('Feijão 1ª safra'!$E32:$Z32,MIN(AD$6-$G$3,22))&lt;&gt;""),'Feijão 1ª safra'!$E32:INDEX('Feijão 1ª safra'!$E32:$Z32,MIN(AD$6-$G$3,22))),0)))))</f>
        <v>0</v>
      </c>
      <c r="AE34" s="27" t="n">
        <f aca="false">IF(COUNT('Feijão 1ª safra'!$E32:$Z32)=0,0,MAX(0,IF((AE$6-$E$3)&lt;1,0,IFERROR(LOOKUP(2,1/('Feijão 1ª safra'!$E32:INDEX('Feijão 1ª safra'!$E32:$Z32,MIN(AE$6-$E$3,22))&lt;&gt;""),'Feijão 1ª safra'!$E32:INDEX('Feijão 1ª safra'!$E32:$Z32,MIN(AE$6-$E$3,22))),0))-IF($G$2,0,IF((AE$6-$G$3)&lt;1,0,IFERROR(LOOKUP(2,1/('Feijão 1ª safra'!$E32:INDEX('Feijão 1ª safra'!$E32:$Z32,MIN(AE$6-$G$3,22))&lt;&gt;""),'Feijão 1ª safra'!$E32:INDEX('Feijão 1ª safra'!$E32:$Z32,MIN(AE$6-$G$3,22))),0)))))</f>
        <v>0</v>
      </c>
      <c r="AF34" s="27" t="n">
        <f aca="false">IF(COUNT('Feijão 1ª safra'!$E32:$Z32)=0,0,MAX(0,IF((AF$6-$E$3)&lt;1,0,IFERROR(LOOKUP(2,1/('Feijão 1ª safra'!$E32:INDEX('Feijão 1ª safra'!$E32:$Z32,MIN(AF$6-$E$3,22))&lt;&gt;""),'Feijão 1ª safra'!$E32:INDEX('Feijão 1ª safra'!$E32:$Z32,MIN(AF$6-$E$3,22))),0))-IF($G$2,0,IF((AF$6-$G$3)&lt;1,0,IFERROR(LOOKUP(2,1/('Feijão 1ª safra'!$E32:INDEX('Feijão 1ª safra'!$E32:$Z32,MIN(AF$6-$G$3,22))&lt;&gt;""),'Feijão 1ª safra'!$E32:INDEX('Feijão 1ª safra'!$E32:$Z32,MIN(AF$6-$G$3,22))),0)))))</f>
        <v>0</v>
      </c>
      <c r="AG34" s="27" t="n">
        <f aca="false">IF(COUNT('Feijão 1ª safra'!$E32:$Z32)=0,0,MAX(0,IF((AG$6-$E$3)&lt;1,0,IFERROR(LOOKUP(2,1/('Feijão 1ª safra'!$E32:INDEX('Feijão 1ª safra'!$E32:$Z32,MIN(AG$6-$E$3,22))&lt;&gt;""),'Feijão 1ª safra'!$E32:INDEX('Feijão 1ª safra'!$E32:$Z32,MIN(AG$6-$E$3,22))),0))-IF($G$2,0,IF((AG$6-$G$3)&lt;1,0,IFERROR(LOOKUP(2,1/('Feijão 1ª safra'!$E32:INDEX('Feijão 1ª safra'!$E32:$Z32,MIN(AG$6-$G$3,22))&lt;&gt;""),'Feijão 1ª safra'!$E32:INDEX('Feijão 1ª safra'!$E32:$Z32,MIN(AG$6-$G$3,22))),0)))))</f>
        <v>0</v>
      </c>
      <c r="AH34" s="27" t="n">
        <f aca="false">IF(COUNT('Feijão 1ª safra'!$E32:$Z32)=0,0,MAX(0,IF((AH$6-$E$3)&lt;1,0,IFERROR(LOOKUP(2,1/('Feijão 1ª safra'!$E32:INDEX('Feijão 1ª safra'!$E32:$Z32,MIN(AH$6-$E$3,22))&lt;&gt;""),'Feijão 1ª safra'!$E32:INDEX('Feijão 1ª safra'!$E32:$Z32,MIN(AH$6-$E$3,22))),0))-IF($G$2,0,IF((AH$6-$G$3)&lt;1,0,IFERROR(LOOKUP(2,1/('Feijão 1ª safra'!$E32:INDEX('Feijão 1ª safra'!$E32:$Z32,MIN(AH$6-$G$3,22))&lt;&gt;""),'Feijão 1ª safra'!$E32:INDEX('Feijão 1ª safra'!$E32:$Z32,MIN(AH$6-$G$3,22))),0)))))</f>
        <v>0</v>
      </c>
      <c r="AI34" s="27" t="n">
        <f aca="false">IF(COUNT('Feijão 1ª safra'!$E32:$Z32)=0,0,MAX(0,IF((AI$6-$E$3)&lt;1,0,IFERROR(LOOKUP(2,1/('Feijão 1ª safra'!$E32:INDEX('Feijão 1ª safra'!$E32:$Z32,MIN(AI$6-$E$3,22))&lt;&gt;""),'Feijão 1ª safra'!$E32:INDEX('Feijão 1ª safra'!$E32:$Z32,MIN(AI$6-$E$3,22))),0))-IF($G$2,0,IF((AI$6-$G$3)&lt;1,0,IFERROR(LOOKUP(2,1/('Feijão 1ª safra'!$E32:INDEX('Feijão 1ª safra'!$E32:$Z32,MIN(AI$6-$G$3,22))&lt;&gt;""),'Feijão 1ª safra'!$E32:INDEX('Feijão 1ª safra'!$E32:$Z32,MIN(AI$6-$G$3,22))),0)))))</f>
        <v>0</v>
      </c>
      <c r="AJ34" s="27" t="n">
        <f aca="false">IF(COUNT('Feijão 1ª safra'!$E32:$Z32)=0,0,MAX(0,IF((AJ$6-$E$3)&lt;1,0,IFERROR(LOOKUP(2,1/('Feijão 1ª safra'!$E32:INDEX('Feijão 1ª safra'!$E32:$Z32,MIN(AJ$6-$E$3,22))&lt;&gt;""),'Feijão 1ª safra'!$E32:INDEX('Feijão 1ª safra'!$E32:$Z32,MIN(AJ$6-$E$3,22))),0))-IF($G$2,0,IF((AJ$6-$G$3)&lt;1,0,IFERROR(LOOKUP(2,1/('Feijão 1ª safra'!$E32:INDEX('Feijão 1ª safra'!$E32:$Z32,MIN(AJ$6-$G$3,22))&lt;&gt;""),'Feijão 1ª safra'!$E32:INDEX('Feijão 1ª safra'!$E32:$Z32,MIN(AJ$6-$G$3,22))),0)))))</f>
        <v>0</v>
      </c>
      <c r="AK34" s="27" t="n">
        <f aca="false">IF(COUNT('Feijão 1ª safra'!$E32:$Z32)=0,0,MAX(0,IF((AK$6-$E$3)&lt;1,0,IFERROR(LOOKUP(2,1/('Feijão 1ª safra'!$E32:INDEX('Feijão 1ª safra'!$E32:$Z32,MIN(AK$6-$E$3,22))&lt;&gt;""),'Feijão 1ª safra'!$E32:INDEX('Feijão 1ª safra'!$E32:$Z32,MIN(AK$6-$E$3,22))),0))-IF($G$2,0,IF((AK$6-$G$3)&lt;1,0,IFERROR(LOOKUP(2,1/('Feijão 1ª safra'!$E32:INDEX('Feijão 1ª safra'!$E32:$Z32,MIN(AK$6-$G$3,22))&lt;&gt;""),'Feijão 1ª safra'!$E32:INDEX('Feijão 1ª safra'!$E32:$Z32,MIN(AK$6-$G$3,22))),0)))))</f>
        <v>0</v>
      </c>
      <c r="AL34" s="27" t="n">
        <f aca="false">IF(COUNT('Feijão 1ª safra'!$E32:$Z32)=0,0,MAX(0,IF((AL$6-$E$3)&lt;1,0,IFERROR(LOOKUP(2,1/('Feijão 1ª safra'!$E32:INDEX('Feijão 1ª safra'!$E32:$Z32,MIN(AL$6-$E$3,22))&lt;&gt;""),'Feijão 1ª safra'!$E32:INDEX('Feijão 1ª safra'!$E32:$Z32,MIN(AL$6-$E$3,22))),0))-IF($G$2,0,IF((AL$6-$G$3)&lt;1,0,IFERROR(LOOKUP(2,1/('Feijão 1ª safra'!$E32:INDEX('Feijão 1ª safra'!$E32:$Z32,MIN(AL$6-$G$3,22))&lt;&gt;""),'Feijão 1ª safra'!$E32:INDEX('Feijão 1ª safra'!$E32:$Z32,MIN(AL$6-$G$3,22))),0)))))</f>
        <v>0</v>
      </c>
      <c r="AM34" s="27" t="n">
        <f aca="false">IF(COUNT('Feijão 1ª safra'!$E32:$Z32)=0,0,MAX(0,IF((AM$6-$E$3)&lt;1,0,IFERROR(LOOKUP(2,1/('Feijão 1ª safra'!$E32:INDEX('Feijão 1ª safra'!$E32:$Z32,MIN(AM$6-$E$3,22))&lt;&gt;""),'Feijão 1ª safra'!$E32:INDEX('Feijão 1ª safra'!$E32:$Z32,MIN(AM$6-$E$3,22))),0))-IF($G$2,0,IF((AM$6-$G$3)&lt;1,0,IFERROR(LOOKUP(2,1/('Feijão 1ª safra'!$E32:INDEX('Feijão 1ª safra'!$E32:$Z32,MIN(AM$6-$G$3,22))&lt;&gt;""),'Feijão 1ª safra'!$E32:INDEX('Feijão 1ª safra'!$E32:$Z32,MIN(AM$6-$G$3,22))),0)))))</f>
        <v>0</v>
      </c>
      <c r="AN34" s="27" t="n">
        <f aca="false">IF(COUNT('Feijão 1ª safra'!$E32:$Z32)=0,0,MAX(0,IF((AN$6-$E$3)&lt;1,0,IFERROR(LOOKUP(2,1/('Feijão 1ª safra'!$E32:INDEX('Feijão 1ª safra'!$E32:$Z32,MIN(AN$6-$E$3,22))&lt;&gt;""),'Feijão 1ª safra'!$E32:INDEX('Feijão 1ª safra'!$E32:$Z32,MIN(AN$6-$E$3,22))),0))-IF($G$2,0,IF((AN$6-$G$3)&lt;1,0,IFERROR(LOOKUP(2,1/('Feijão 1ª safra'!$E32:INDEX('Feijão 1ª safra'!$E32:$Z32,MIN(AN$6-$G$3,22))&lt;&gt;""),'Feijão 1ª safra'!$E32:INDEX('Feijão 1ª safra'!$E32:$Z32,MIN(AN$6-$G$3,22))),0)))))</f>
        <v>0</v>
      </c>
      <c r="AO34" s="27" t="n">
        <f aca="false">IF(COUNT('Feijão 1ª safra'!$E32:$Z32)=0,0,MAX(0,IF((AO$6-$E$3)&lt;1,0,IFERROR(LOOKUP(2,1/('Feijão 1ª safra'!$E32:INDEX('Feijão 1ª safra'!$E32:$Z32,MIN(AO$6-$E$3,22))&lt;&gt;""),'Feijão 1ª safra'!$E32:INDEX('Feijão 1ª safra'!$E32:$Z32,MIN(AO$6-$E$3,22))),0))-IF($G$2,0,IF((AO$6-$G$3)&lt;1,0,IFERROR(LOOKUP(2,1/('Feijão 1ª safra'!$E32:INDEX('Feijão 1ª safra'!$E32:$Z32,MIN(AO$6-$G$3,22))&lt;&gt;""),'Feijão 1ª safra'!$E32:INDEX('Feijão 1ª safra'!$E32:$Z32,MIN(AO$6-$G$3,22))),0)))))</f>
        <v>0</v>
      </c>
      <c r="AP34" s="27" t="n">
        <f aca="false">IF(COUNT('Feijão 1ª safra'!$E32:$Z32)=0,0,MAX(0,IF((AP$6-$E$3)&lt;1,0,IFERROR(LOOKUP(2,1/('Feijão 1ª safra'!$E32:INDEX('Feijão 1ª safra'!$E32:$Z32,MIN(AP$6-$E$3,22))&lt;&gt;""),'Feijão 1ª safra'!$E32:INDEX('Feijão 1ª safra'!$E32:$Z32,MIN(AP$6-$E$3,22))),0))-IF($G$2,0,IF((AP$6-$G$3)&lt;1,0,IFERROR(LOOKUP(2,1/('Feijão 1ª safra'!$E32:INDEX('Feijão 1ª safra'!$E32:$Z32,MIN(AP$6-$G$3,22))&lt;&gt;""),'Feijão 1ª safra'!$E32:INDEX('Feijão 1ª safra'!$E32:$Z32,MIN(AP$6-$G$3,22))),0)))))</f>
        <v>0</v>
      </c>
      <c r="AQ34" s="27" t="n">
        <f aca="false">IF(COUNT('Feijão 1ª safra'!$E32:$Z32)=0,0,MAX(0,IF((AQ$6-$E$3)&lt;1,0,IFERROR(LOOKUP(2,1/('Feijão 1ª safra'!$E32:INDEX('Feijão 1ª safra'!$E32:$Z32,MIN(AQ$6-$E$3,22))&lt;&gt;""),'Feijão 1ª safra'!$E32:INDEX('Feijão 1ª safra'!$E32:$Z32,MIN(AQ$6-$E$3,22))),0))-IF($G$2,0,IF((AQ$6-$G$3)&lt;1,0,IFERROR(LOOKUP(2,1/('Feijão 1ª safra'!$E32:INDEX('Feijão 1ª safra'!$E32:$Z32,MIN(AQ$6-$G$3,22))&lt;&gt;""),'Feijão 1ª safra'!$E32:INDEX('Feijão 1ª safra'!$E32:$Z32,MIN(AQ$6-$G$3,22))),0)))))</f>
        <v>0</v>
      </c>
      <c r="AR34" s="27" t="n">
        <f aca="false">IF(COUNT('Feijão 1ª safra'!$E32:$Z32)=0,0,MAX(0,IF((AR$6-$E$3)&lt;1,0,IFERROR(LOOKUP(2,1/('Feijão 1ª safra'!$E32:INDEX('Feijão 1ª safra'!$E32:$Z32,MIN(AR$6-$E$3,22))&lt;&gt;""),'Feijão 1ª safra'!$E32:INDEX('Feijão 1ª safra'!$E32:$Z32,MIN(AR$6-$E$3,22))),0))-IF($G$2,0,IF((AR$6-$G$3)&lt;1,0,IFERROR(LOOKUP(2,1/('Feijão 1ª safra'!$E32:INDEX('Feijão 1ª safra'!$E32:$Z32,MIN(AR$6-$G$3,22))&lt;&gt;""),'Feijão 1ª safra'!$E32:INDEX('Feijão 1ª safra'!$E32:$Z32,MIN(AR$6-$G$3,22))),0)))))</f>
        <v>0</v>
      </c>
      <c r="AS34" s="27" t="n">
        <f aca="false">IF(COUNT('Feijão 1ª safra'!$E32:$Z32)=0,0,MAX(0,IF((AS$6-$E$3)&lt;1,0,IFERROR(LOOKUP(2,1/('Feijão 1ª safra'!$E32:INDEX('Feijão 1ª safra'!$E32:$Z32,MIN(AS$6-$E$3,22))&lt;&gt;""),'Feijão 1ª safra'!$E32:INDEX('Feijão 1ª safra'!$E32:$Z32,MIN(AS$6-$E$3,22))),0))-IF($G$2,0,IF((AS$6-$G$3)&lt;1,0,IFERROR(LOOKUP(2,1/('Feijão 1ª safra'!$E32:INDEX('Feijão 1ª safra'!$E32:$Z32,MIN(AS$6-$G$3,22))&lt;&gt;""),'Feijão 1ª safra'!$E32:INDEX('Feijão 1ª safra'!$E32:$Z32,MIN(AS$6-$G$3,22))),0)))))</f>
        <v>0</v>
      </c>
      <c r="AT34" s="27" t="n">
        <f aca="false">IF(COUNT('Feijão 1ª safra'!$E32:$Z32)=0,0,MAX(0,IF((AT$6-$E$3)&lt;1,0,IFERROR(LOOKUP(2,1/('Feijão 1ª safra'!$E32:INDEX('Feijão 1ª safra'!$E32:$Z32,MIN(AT$6-$E$3,22))&lt;&gt;""),'Feijão 1ª safra'!$E32:INDEX('Feijão 1ª safra'!$E32:$Z32,MIN(AT$6-$E$3,22))),0))-IF($G$2,0,IF((AT$6-$G$3)&lt;1,0,IFERROR(LOOKUP(2,1/('Feijão 1ª safra'!$E32:INDEX('Feijão 1ª safra'!$E32:$Z32,MIN(AT$6-$G$3,22))&lt;&gt;""),'Feijão 1ª safra'!$E32:INDEX('Feijão 1ª safra'!$E32:$Z32,MIN(AT$6-$G$3,22))),0)))))</f>
        <v>0</v>
      </c>
      <c r="AU34" s="27" t="n">
        <f aca="false">IF(COUNT('Feijão 1ª safra'!$E32:$Z32)=0,0,MAX(0,IF((AU$6-$E$3)&lt;1,0,IFERROR(LOOKUP(2,1/('Feijão 1ª safra'!$E32:INDEX('Feijão 1ª safra'!$E32:$Z32,MIN(AU$6-$E$3,22))&lt;&gt;""),'Feijão 1ª safra'!$E32:INDEX('Feijão 1ª safra'!$E32:$Z32,MIN(AU$6-$E$3,22))),0))-IF($G$2,0,IF((AU$6-$G$3)&lt;1,0,IFERROR(LOOKUP(2,1/('Feijão 1ª safra'!$E32:INDEX('Feijão 1ª safra'!$E32:$Z32,MIN(AU$6-$G$3,22))&lt;&gt;""),'Feijão 1ª safra'!$E32:INDEX('Feijão 1ª safra'!$E32:$Z32,MIN(AU$6-$G$3,22))),0)))))</f>
        <v>0</v>
      </c>
      <c r="AV34" s="27" t="n">
        <f aca="false">IF(COUNT('Feijão 1ª safra'!$E32:$Z32)=0,0,MAX(0,IF((AV$6-$E$3)&lt;1,0,IFERROR(LOOKUP(2,1/('Feijão 1ª safra'!$E32:INDEX('Feijão 1ª safra'!$E32:$Z32,MIN(AV$6-$E$3,22))&lt;&gt;""),'Feijão 1ª safra'!$E32:INDEX('Feijão 1ª safra'!$E32:$Z32,MIN(AV$6-$E$3,22))),0))-IF($G$2,0,IF((AV$6-$G$3)&lt;1,0,IFERROR(LOOKUP(2,1/('Feijão 1ª safra'!$E32:INDEX('Feijão 1ª safra'!$E32:$Z32,MIN(AV$6-$G$3,22))&lt;&gt;""),'Feijão 1ª safra'!$E32:INDEX('Feijão 1ª safra'!$E32:$Z32,MIN(AV$6-$G$3,22))),0)))))</f>
        <v>0</v>
      </c>
      <c r="AW34" s="27" t="n">
        <f aca="false">IF(COUNT('Feijão 1ª safra'!$E32:$Z32)=0,0,MAX(0,IF((AW$6-$E$3)&lt;1,0,IFERROR(LOOKUP(2,1/('Feijão 1ª safra'!$E32:INDEX('Feijão 1ª safra'!$E32:$Z32,MIN(AW$6-$E$3,22))&lt;&gt;""),'Feijão 1ª safra'!$E32:INDEX('Feijão 1ª safra'!$E32:$Z32,MIN(AW$6-$E$3,22))),0))-IF($G$2,0,IF((AW$6-$G$3)&lt;1,0,IFERROR(LOOKUP(2,1/('Feijão 1ª safra'!$E32:INDEX('Feijão 1ª safra'!$E32:$Z32,MIN(AW$6-$G$3,22))&lt;&gt;""),'Feijão 1ª safra'!$E32:INDEX('Feijão 1ª safra'!$E32:$Z32,MIN(AW$6-$G$3,22))),0)))))</f>
        <v>0</v>
      </c>
      <c r="AX34" s="27" t="n">
        <f aca="false">IF(COUNT('Feijão 1ª safra'!$E32:$Z32)=0,0,MAX(0,IF((AX$6-$E$3)&lt;1,0,IFERROR(LOOKUP(2,1/('Feijão 1ª safra'!$E32:INDEX('Feijão 1ª safra'!$E32:$Z32,MIN(AX$6-$E$3,22))&lt;&gt;""),'Feijão 1ª safra'!$E32:INDEX('Feijão 1ª safra'!$E32:$Z32,MIN(AX$6-$E$3,22))),0))-IF($G$2,0,IF((AX$6-$G$3)&lt;1,0,IFERROR(LOOKUP(2,1/('Feijão 1ª safra'!$E32:INDEX('Feijão 1ª safra'!$E32:$Z32,MIN(AX$6-$G$3,22))&lt;&gt;""),'Feijão 1ª safra'!$E32:INDEX('Feijão 1ª safra'!$E32:$Z32,MIN(AX$6-$G$3,22))),0)))))</f>
        <v>0</v>
      </c>
      <c r="AY34" s="27" t="n">
        <f aca="false">IF(COUNT('Feijão 1ª safra'!$E32:$Z32)=0,0,MAX(0,IF((AY$6-$E$3)&lt;1,0,IFERROR(LOOKUP(2,1/('Feijão 1ª safra'!$E32:INDEX('Feijão 1ª safra'!$E32:$Z32,MIN(AY$6-$E$3,22))&lt;&gt;""),'Feijão 1ª safra'!$E32:INDEX('Feijão 1ª safra'!$E32:$Z32,MIN(AY$6-$E$3,22))),0))-IF($G$2,0,IF((AY$6-$G$3)&lt;1,0,IFERROR(LOOKUP(2,1/('Feijão 1ª safra'!$E32:INDEX('Feijão 1ª safra'!$E32:$Z32,MIN(AY$6-$G$3,22))&lt;&gt;""),'Feijão 1ª safra'!$E32:INDEX('Feijão 1ª safra'!$E32:$Z32,MIN(AY$6-$G$3,22))),0)))))</f>
        <v>0</v>
      </c>
      <c r="AZ34" s="27" t="n">
        <f aca="false">IF(COUNT('Feijão 1ª safra'!$E32:$Z32)=0,0,MAX(0,IF((AZ$6-$E$3)&lt;1,0,IFERROR(LOOKUP(2,1/('Feijão 1ª safra'!$E32:INDEX('Feijão 1ª safra'!$E32:$Z32,MIN(AZ$6-$E$3,22))&lt;&gt;""),'Feijão 1ª safra'!$E32:INDEX('Feijão 1ª safra'!$E32:$Z32,MIN(AZ$6-$E$3,22))),0))-IF($G$2,0,IF((AZ$6-$G$3)&lt;1,0,IFERROR(LOOKUP(2,1/('Feijão 1ª safra'!$E32:INDEX('Feijão 1ª safra'!$E32:$Z32,MIN(AZ$6-$G$3,22))&lt;&gt;""),'Feijão 1ª safra'!$E32:INDEX('Feijão 1ª safra'!$E32:$Z32,MIN(AZ$6-$G$3,22))),0)))))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IF(COUNT('Feijão 1ª safra'!$E33:$Z33)&gt;0,N('Feijão 1ª safra'!$D33),0)</f>
        <v>0</v>
      </c>
      <c r="E35" s="27" t="n">
        <f aca="false">IF(COUNT('Feijão 1ª safra'!$E33:$Z33)=0,0,MAX(0,IF((E$6-$E$3)&lt;1,0,IFERROR(LOOKUP(2,1/('Feijão 1ª safra'!$E33:INDEX('Feijão 1ª safra'!$E33:$Z33,MIN(E$6-$E$3,22))&lt;&gt;""),'Feijão 1ª safra'!$E33:INDEX('Feijão 1ª safra'!$E33:$Z33,MIN(E$6-$E$3,22))),0))-IF($G$2,0,IF((E$6-$G$3)&lt;1,0,IFERROR(LOOKUP(2,1/('Feijão 1ª safra'!$E33:INDEX('Feijão 1ª safra'!$E33:$Z33,MIN(E$6-$G$3,22))&lt;&gt;""),'Feijão 1ª safra'!$E33:INDEX('Feijão 1ª safra'!$E33:$Z33,MIN(E$6-$G$3,22))),0)))))</f>
        <v>0</v>
      </c>
      <c r="F35" s="27" t="n">
        <f aca="false">IF(COUNT('Feijão 1ª safra'!$E33:$Z33)=0,0,MAX(0,IF((F$6-$E$3)&lt;1,0,IFERROR(LOOKUP(2,1/('Feijão 1ª safra'!$E33:INDEX('Feijão 1ª safra'!$E33:$Z33,MIN(F$6-$E$3,22))&lt;&gt;""),'Feijão 1ª safra'!$E33:INDEX('Feijão 1ª safra'!$E33:$Z33,MIN(F$6-$E$3,22))),0))-IF($G$2,0,IF((F$6-$G$3)&lt;1,0,IFERROR(LOOKUP(2,1/('Feijão 1ª safra'!$E33:INDEX('Feijão 1ª safra'!$E33:$Z33,MIN(F$6-$G$3,22))&lt;&gt;""),'Feijão 1ª safra'!$E33:INDEX('Feijão 1ª safra'!$E33:$Z33,MIN(F$6-$G$3,22))),0)))))</f>
        <v>0</v>
      </c>
      <c r="G35" s="27" t="n">
        <f aca="false">IF(COUNT('Feijão 1ª safra'!$E33:$Z33)=0,0,MAX(0,IF((G$6-$E$3)&lt;1,0,IFERROR(LOOKUP(2,1/('Feijão 1ª safra'!$E33:INDEX('Feijão 1ª safra'!$E33:$Z33,MIN(G$6-$E$3,22))&lt;&gt;""),'Feijão 1ª safra'!$E33:INDEX('Feijão 1ª safra'!$E33:$Z33,MIN(G$6-$E$3,22))),0))-IF($G$2,0,IF((G$6-$G$3)&lt;1,0,IFERROR(LOOKUP(2,1/('Feijão 1ª safra'!$E33:INDEX('Feijão 1ª safra'!$E33:$Z33,MIN(G$6-$G$3,22))&lt;&gt;""),'Feijão 1ª safra'!$E33:INDEX('Feijão 1ª safra'!$E33:$Z33,MIN(G$6-$G$3,22))),0)))))</f>
        <v>0</v>
      </c>
      <c r="H35" s="27" t="n">
        <f aca="false">IF(COUNT('Feijão 1ª safra'!$E33:$Z33)=0,0,MAX(0,IF((H$6-$E$3)&lt;1,0,IFERROR(LOOKUP(2,1/('Feijão 1ª safra'!$E33:INDEX('Feijão 1ª safra'!$E33:$Z33,MIN(H$6-$E$3,22))&lt;&gt;""),'Feijão 1ª safra'!$E33:INDEX('Feijão 1ª safra'!$E33:$Z33,MIN(H$6-$E$3,22))),0))-IF($G$2,0,IF((H$6-$G$3)&lt;1,0,IFERROR(LOOKUP(2,1/('Feijão 1ª safra'!$E33:INDEX('Feijão 1ª safra'!$E33:$Z33,MIN(H$6-$G$3,22))&lt;&gt;""),'Feijão 1ª safra'!$E33:INDEX('Feijão 1ª safra'!$E33:$Z33,MIN(H$6-$G$3,22))),0)))))</f>
        <v>0</v>
      </c>
      <c r="I35" s="27" t="n">
        <f aca="false">IF(COUNT('Feijão 1ª safra'!$E33:$Z33)=0,0,MAX(0,IF((I$6-$E$3)&lt;1,0,IFERROR(LOOKUP(2,1/('Feijão 1ª safra'!$E33:INDEX('Feijão 1ª safra'!$E33:$Z33,MIN(I$6-$E$3,22))&lt;&gt;""),'Feijão 1ª safra'!$E33:INDEX('Feijão 1ª safra'!$E33:$Z33,MIN(I$6-$E$3,22))),0))-IF($G$2,0,IF((I$6-$G$3)&lt;1,0,IFERROR(LOOKUP(2,1/('Feijão 1ª safra'!$E33:INDEX('Feijão 1ª safra'!$E33:$Z33,MIN(I$6-$G$3,22))&lt;&gt;""),'Feijão 1ª safra'!$E33:INDEX('Feijão 1ª safra'!$E33:$Z33,MIN(I$6-$G$3,22))),0)))))</f>
        <v>0</v>
      </c>
      <c r="J35" s="27" t="n">
        <f aca="false">IF(COUNT('Feijão 1ª safra'!$E33:$Z33)=0,0,MAX(0,IF((J$6-$E$3)&lt;1,0,IFERROR(LOOKUP(2,1/('Feijão 1ª safra'!$E33:INDEX('Feijão 1ª safra'!$E33:$Z33,MIN(J$6-$E$3,22))&lt;&gt;""),'Feijão 1ª safra'!$E33:INDEX('Feijão 1ª safra'!$E33:$Z33,MIN(J$6-$E$3,22))),0))-IF($G$2,0,IF((J$6-$G$3)&lt;1,0,IFERROR(LOOKUP(2,1/('Feijão 1ª safra'!$E33:INDEX('Feijão 1ª safra'!$E33:$Z33,MIN(J$6-$G$3,22))&lt;&gt;""),'Feijão 1ª safra'!$E33:INDEX('Feijão 1ª safra'!$E33:$Z33,MIN(J$6-$G$3,22))),0)))))</f>
        <v>0</v>
      </c>
      <c r="K35" s="27" t="n">
        <f aca="false">IF(COUNT('Feijão 1ª safra'!$E33:$Z33)=0,0,MAX(0,IF((K$6-$E$3)&lt;1,0,IFERROR(LOOKUP(2,1/('Feijão 1ª safra'!$E33:INDEX('Feijão 1ª safra'!$E33:$Z33,MIN(K$6-$E$3,22))&lt;&gt;""),'Feijão 1ª safra'!$E33:INDEX('Feijão 1ª safra'!$E33:$Z33,MIN(K$6-$E$3,22))),0))-IF($G$2,0,IF((K$6-$G$3)&lt;1,0,IFERROR(LOOKUP(2,1/('Feijão 1ª safra'!$E33:INDEX('Feijão 1ª safra'!$E33:$Z33,MIN(K$6-$G$3,22))&lt;&gt;""),'Feijão 1ª safra'!$E33:INDEX('Feijão 1ª safra'!$E33:$Z33,MIN(K$6-$G$3,22))),0)))))</f>
        <v>0</v>
      </c>
      <c r="L35" s="27" t="n">
        <f aca="false">IF(COUNT('Feijão 1ª safra'!$E33:$Z33)=0,0,MAX(0,IF((L$6-$E$3)&lt;1,0,IFERROR(LOOKUP(2,1/('Feijão 1ª safra'!$E33:INDEX('Feijão 1ª safra'!$E33:$Z33,MIN(L$6-$E$3,22))&lt;&gt;""),'Feijão 1ª safra'!$E33:INDEX('Feijão 1ª safra'!$E33:$Z33,MIN(L$6-$E$3,22))),0))-IF($G$2,0,IF((L$6-$G$3)&lt;1,0,IFERROR(LOOKUP(2,1/('Feijão 1ª safra'!$E33:INDEX('Feijão 1ª safra'!$E33:$Z33,MIN(L$6-$G$3,22))&lt;&gt;""),'Feijão 1ª safra'!$E33:INDEX('Feijão 1ª safra'!$E33:$Z33,MIN(L$6-$G$3,22))),0)))))</f>
        <v>0</v>
      </c>
      <c r="M35" s="27" t="n">
        <f aca="false">IF(COUNT('Feijão 1ª safra'!$E33:$Z33)=0,0,MAX(0,IF((M$6-$E$3)&lt;1,0,IFERROR(LOOKUP(2,1/('Feijão 1ª safra'!$E33:INDEX('Feijão 1ª safra'!$E33:$Z33,MIN(M$6-$E$3,22))&lt;&gt;""),'Feijão 1ª safra'!$E33:INDEX('Feijão 1ª safra'!$E33:$Z33,MIN(M$6-$E$3,22))),0))-IF($G$2,0,IF((M$6-$G$3)&lt;1,0,IFERROR(LOOKUP(2,1/('Feijão 1ª safra'!$E33:INDEX('Feijão 1ª safra'!$E33:$Z33,MIN(M$6-$G$3,22))&lt;&gt;""),'Feijão 1ª safra'!$E33:INDEX('Feijão 1ª safra'!$E33:$Z33,MIN(M$6-$G$3,22))),0)))))</f>
        <v>0</v>
      </c>
      <c r="N35" s="27" t="n">
        <f aca="false">IF(COUNT('Feijão 1ª safra'!$E33:$Z33)=0,0,MAX(0,IF((N$6-$E$3)&lt;1,0,IFERROR(LOOKUP(2,1/('Feijão 1ª safra'!$E33:INDEX('Feijão 1ª safra'!$E33:$Z33,MIN(N$6-$E$3,22))&lt;&gt;""),'Feijão 1ª safra'!$E33:INDEX('Feijão 1ª safra'!$E33:$Z33,MIN(N$6-$E$3,22))),0))-IF($G$2,0,IF((N$6-$G$3)&lt;1,0,IFERROR(LOOKUP(2,1/('Feijão 1ª safra'!$E33:INDEX('Feijão 1ª safra'!$E33:$Z33,MIN(N$6-$G$3,22))&lt;&gt;""),'Feijão 1ª safra'!$E33:INDEX('Feijão 1ª safra'!$E33:$Z33,MIN(N$6-$G$3,22))),0)))))</f>
        <v>0</v>
      </c>
      <c r="O35" s="27" t="n">
        <f aca="false">IF(COUNT('Feijão 1ª safra'!$E33:$Z33)=0,0,MAX(0,IF((O$6-$E$3)&lt;1,0,IFERROR(LOOKUP(2,1/('Feijão 1ª safra'!$E33:INDEX('Feijão 1ª safra'!$E33:$Z33,MIN(O$6-$E$3,22))&lt;&gt;""),'Feijão 1ª safra'!$E33:INDEX('Feijão 1ª safra'!$E33:$Z33,MIN(O$6-$E$3,22))),0))-IF($G$2,0,IF((O$6-$G$3)&lt;1,0,IFERROR(LOOKUP(2,1/('Feijão 1ª safra'!$E33:INDEX('Feijão 1ª safra'!$E33:$Z33,MIN(O$6-$G$3,22))&lt;&gt;""),'Feijão 1ª safra'!$E33:INDEX('Feijão 1ª safra'!$E33:$Z33,MIN(O$6-$G$3,22))),0)))))</f>
        <v>0</v>
      </c>
      <c r="P35" s="27" t="n">
        <f aca="false">IF(COUNT('Feijão 1ª safra'!$E33:$Z33)=0,0,MAX(0,IF((P$6-$E$3)&lt;1,0,IFERROR(LOOKUP(2,1/('Feijão 1ª safra'!$E33:INDEX('Feijão 1ª safra'!$E33:$Z33,MIN(P$6-$E$3,22))&lt;&gt;""),'Feijão 1ª safra'!$E33:INDEX('Feijão 1ª safra'!$E33:$Z33,MIN(P$6-$E$3,22))),0))-IF($G$2,0,IF((P$6-$G$3)&lt;1,0,IFERROR(LOOKUP(2,1/('Feijão 1ª safra'!$E33:INDEX('Feijão 1ª safra'!$E33:$Z33,MIN(P$6-$G$3,22))&lt;&gt;""),'Feijão 1ª safra'!$E33:INDEX('Feijão 1ª safra'!$E33:$Z33,MIN(P$6-$G$3,22))),0)))))</f>
        <v>0</v>
      </c>
      <c r="Q35" s="27" t="n">
        <f aca="false">IF(COUNT('Feijão 1ª safra'!$E33:$Z33)=0,0,MAX(0,IF((Q$6-$E$3)&lt;1,0,IFERROR(LOOKUP(2,1/('Feijão 1ª safra'!$E33:INDEX('Feijão 1ª safra'!$E33:$Z33,MIN(Q$6-$E$3,22))&lt;&gt;""),'Feijão 1ª safra'!$E33:INDEX('Feijão 1ª safra'!$E33:$Z33,MIN(Q$6-$E$3,22))),0))-IF($G$2,0,IF((Q$6-$G$3)&lt;1,0,IFERROR(LOOKUP(2,1/('Feijão 1ª safra'!$E33:INDEX('Feijão 1ª safra'!$E33:$Z33,MIN(Q$6-$G$3,22))&lt;&gt;""),'Feijão 1ª safra'!$E33:INDEX('Feijão 1ª safra'!$E33:$Z33,MIN(Q$6-$G$3,22))),0)))))</f>
        <v>0</v>
      </c>
      <c r="R35" s="27" t="n">
        <f aca="false">IF(COUNT('Feijão 1ª safra'!$E33:$Z33)=0,0,MAX(0,IF((R$6-$E$3)&lt;1,0,IFERROR(LOOKUP(2,1/('Feijão 1ª safra'!$E33:INDEX('Feijão 1ª safra'!$E33:$Z33,MIN(R$6-$E$3,22))&lt;&gt;""),'Feijão 1ª safra'!$E33:INDEX('Feijão 1ª safra'!$E33:$Z33,MIN(R$6-$E$3,22))),0))-IF($G$2,0,IF((R$6-$G$3)&lt;1,0,IFERROR(LOOKUP(2,1/('Feijão 1ª safra'!$E33:INDEX('Feijão 1ª safra'!$E33:$Z33,MIN(R$6-$G$3,22))&lt;&gt;""),'Feijão 1ª safra'!$E33:INDEX('Feijão 1ª safra'!$E33:$Z33,MIN(R$6-$G$3,22))),0)))))</f>
        <v>0</v>
      </c>
      <c r="S35" s="27" t="n">
        <f aca="false">IF(COUNT('Feijão 1ª safra'!$E33:$Z33)=0,0,MAX(0,IF((S$6-$E$3)&lt;1,0,IFERROR(LOOKUP(2,1/('Feijão 1ª safra'!$E33:INDEX('Feijão 1ª safra'!$E33:$Z33,MIN(S$6-$E$3,22))&lt;&gt;""),'Feijão 1ª safra'!$E33:INDEX('Feijão 1ª safra'!$E33:$Z33,MIN(S$6-$E$3,22))),0))-IF($G$2,0,IF((S$6-$G$3)&lt;1,0,IFERROR(LOOKUP(2,1/('Feijão 1ª safra'!$E33:INDEX('Feijão 1ª safra'!$E33:$Z33,MIN(S$6-$G$3,22))&lt;&gt;""),'Feijão 1ª safra'!$E33:INDEX('Feijão 1ª safra'!$E33:$Z33,MIN(S$6-$G$3,22))),0)))))</f>
        <v>0</v>
      </c>
      <c r="T35" s="27" t="n">
        <f aca="false">IF(COUNT('Feijão 1ª safra'!$E33:$Z33)=0,0,MAX(0,IF((T$6-$E$3)&lt;1,0,IFERROR(LOOKUP(2,1/('Feijão 1ª safra'!$E33:INDEX('Feijão 1ª safra'!$E33:$Z33,MIN(T$6-$E$3,22))&lt;&gt;""),'Feijão 1ª safra'!$E33:INDEX('Feijão 1ª safra'!$E33:$Z33,MIN(T$6-$E$3,22))),0))-IF($G$2,0,IF((T$6-$G$3)&lt;1,0,IFERROR(LOOKUP(2,1/('Feijão 1ª safra'!$E33:INDEX('Feijão 1ª safra'!$E33:$Z33,MIN(T$6-$G$3,22))&lt;&gt;""),'Feijão 1ª safra'!$E33:INDEX('Feijão 1ª safra'!$E33:$Z33,MIN(T$6-$G$3,22))),0)))))</f>
        <v>0</v>
      </c>
      <c r="U35" s="27" t="n">
        <f aca="false">IF(COUNT('Feijão 1ª safra'!$E33:$Z33)=0,0,MAX(0,IF((U$6-$E$3)&lt;1,0,IFERROR(LOOKUP(2,1/('Feijão 1ª safra'!$E33:INDEX('Feijão 1ª safra'!$E33:$Z33,MIN(U$6-$E$3,22))&lt;&gt;""),'Feijão 1ª safra'!$E33:INDEX('Feijão 1ª safra'!$E33:$Z33,MIN(U$6-$E$3,22))),0))-IF($G$2,0,IF((U$6-$G$3)&lt;1,0,IFERROR(LOOKUP(2,1/('Feijão 1ª safra'!$E33:INDEX('Feijão 1ª safra'!$E33:$Z33,MIN(U$6-$G$3,22))&lt;&gt;""),'Feijão 1ª safra'!$E33:INDEX('Feijão 1ª safra'!$E33:$Z33,MIN(U$6-$G$3,22))),0)))))</f>
        <v>0</v>
      </c>
      <c r="V35" s="27" t="n">
        <f aca="false">IF(COUNT('Feijão 1ª safra'!$E33:$Z33)=0,0,MAX(0,IF((V$6-$E$3)&lt;1,0,IFERROR(LOOKUP(2,1/('Feijão 1ª safra'!$E33:INDEX('Feijão 1ª safra'!$E33:$Z33,MIN(V$6-$E$3,22))&lt;&gt;""),'Feijão 1ª safra'!$E33:INDEX('Feijão 1ª safra'!$E33:$Z33,MIN(V$6-$E$3,22))),0))-IF($G$2,0,IF((V$6-$G$3)&lt;1,0,IFERROR(LOOKUP(2,1/('Feijão 1ª safra'!$E33:INDEX('Feijão 1ª safra'!$E33:$Z33,MIN(V$6-$G$3,22))&lt;&gt;""),'Feijão 1ª safra'!$E33:INDEX('Feijão 1ª safra'!$E33:$Z33,MIN(V$6-$G$3,22))),0)))))</f>
        <v>0</v>
      </c>
      <c r="W35" s="27" t="n">
        <f aca="false">IF(COUNT('Feijão 1ª safra'!$E33:$Z33)=0,0,MAX(0,IF((W$6-$E$3)&lt;1,0,IFERROR(LOOKUP(2,1/('Feijão 1ª safra'!$E33:INDEX('Feijão 1ª safra'!$E33:$Z33,MIN(W$6-$E$3,22))&lt;&gt;""),'Feijão 1ª safra'!$E33:INDEX('Feijão 1ª safra'!$E33:$Z33,MIN(W$6-$E$3,22))),0))-IF($G$2,0,IF((W$6-$G$3)&lt;1,0,IFERROR(LOOKUP(2,1/('Feijão 1ª safra'!$E33:INDEX('Feijão 1ª safra'!$E33:$Z33,MIN(W$6-$G$3,22))&lt;&gt;""),'Feijão 1ª safra'!$E33:INDEX('Feijão 1ª safra'!$E33:$Z33,MIN(W$6-$G$3,22))),0)))))</f>
        <v>0</v>
      </c>
      <c r="X35" s="27" t="n">
        <f aca="false">IF(COUNT('Feijão 1ª safra'!$E33:$Z33)=0,0,MAX(0,IF((X$6-$E$3)&lt;1,0,IFERROR(LOOKUP(2,1/('Feijão 1ª safra'!$E33:INDEX('Feijão 1ª safra'!$E33:$Z33,MIN(X$6-$E$3,22))&lt;&gt;""),'Feijão 1ª safra'!$E33:INDEX('Feijão 1ª safra'!$E33:$Z33,MIN(X$6-$E$3,22))),0))-IF($G$2,0,IF((X$6-$G$3)&lt;1,0,IFERROR(LOOKUP(2,1/('Feijão 1ª safra'!$E33:INDEX('Feijão 1ª safra'!$E33:$Z33,MIN(X$6-$G$3,22))&lt;&gt;""),'Feijão 1ª safra'!$E33:INDEX('Feijão 1ª safra'!$E33:$Z33,MIN(X$6-$G$3,22))),0)))))</f>
        <v>0</v>
      </c>
      <c r="Y35" s="27" t="n">
        <f aca="false">IF(COUNT('Feijão 1ª safra'!$E33:$Z33)=0,0,MAX(0,IF((Y$6-$E$3)&lt;1,0,IFERROR(LOOKUP(2,1/('Feijão 1ª safra'!$E33:INDEX('Feijão 1ª safra'!$E33:$Z33,MIN(Y$6-$E$3,22))&lt;&gt;""),'Feijão 1ª safra'!$E33:INDEX('Feijão 1ª safra'!$E33:$Z33,MIN(Y$6-$E$3,22))),0))-IF($G$2,0,IF((Y$6-$G$3)&lt;1,0,IFERROR(LOOKUP(2,1/('Feijão 1ª safra'!$E33:INDEX('Feijão 1ª safra'!$E33:$Z33,MIN(Y$6-$G$3,22))&lt;&gt;""),'Feijão 1ª safra'!$E33:INDEX('Feijão 1ª safra'!$E33:$Z33,MIN(Y$6-$G$3,22))),0)))))</f>
        <v>0</v>
      </c>
      <c r="Z35" s="27" t="n">
        <f aca="false">IF(COUNT('Feijão 1ª safra'!$E33:$Z33)=0,0,MAX(0,IF((Z$6-$E$3)&lt;1,0,IFERROR(LOOKUP(2,1/('Feijão 1ª safra'!$E33:INDEX('Feijão 1ª safra'!$E33:$Z33,MIN(Z$6-$E$3,22))&lt;&gt;""),'Feijão 1ª safra'!$E33:INDEX('Feijão 1ª safra'!$E33:$Z33,MIN(Z$6-$E$3,22))),0))-IF($G$2,0,IF((Z$6-$G$3)&lt;1,0,IFERROR(LOOKUP(2,1/('Feijão 1ª safra'!$E33:INDEX('Feijão 1ª safra'!$E33:$Z33,MIN(Z$6-$G$3,22))&lt;&gt;""),'Feijão 1ª safra'!$E33:INDEX('Feijão 1ª safra'!$E33:$Z33,MIN(Z$6-$G$3,22))),0)))))</f>
        <v>0</v>
      </c>
      <c r="AA35" s="27" t="n">
        <f aca="false">IF(COUNT('Feijão 1ª safra'!$E33:$Z33)=0,0,MAX(0,IF((AA$6-$E$3)&lt;1,0,IFERROR(LOOKUP(2,1/('Feijão 1ª safra'!$E33:INDEX('Feijão 1ª safra'!$E33:$Z33,MIN(AA$6-$E$3,22))&lt;&gt;""),'Feijão 1ª safra'!$E33:INDEX('Feijão 1ª safra'!$E33:$Z33,MIN(AA$6-$E$3,22))),0))-IF($G$2,0,IF((AA$6-$G$3)&lt;1,0,IFERROR(LOOKUP(2,1/('Feijão 1ª safra'!$E33:INDEX('Feijão 1ª safra'!$E33:$Z33,MIN(AA$6-$G$3,22))&lt;&gt;""),'Feijão 1ª safra'!$E33:INDEX('Feijão 1ª safra'!$E33:$Z33,MIN(AA$6-$G$3,22))),0)))))</f>
        <v>0</v>
      </c>
      <c r="AB35" s="27" t="n">
        <f aca="false">IF(COUNT('Feijão 1ª safra'!$E33:$Z33)=0,0,MAX(0,IF((AB$6-$E$3)&lt;1,0,IFERROR(LOOKUP(2,1/('Feijão 1ª safra'!$E33:INDEX('Feijão 1ª safra'!$E33:$Z33,MIN(AB$6-$E$3,22))&lt;&gt;""),'Feijão 1ª safra'!$E33:INDEX('Feijão 1ª safra'!$E33:$Z33,MIN(AB$6-$E$3,22))),0))-IF($G$2,0,IF((AB$6-$G$3)&lt;1,0,IFERROR(LOOKUP(2,1/('Feijão 1ª safra'!$E33:INDEX('Feijão 1ª safra'!$E33:$Z33,MIN(AB$6-$G$3,22))&lt;&gt;""),'Feijão 1ª safra'!$E33:INDEX('Feijão 1ª safra'!$E33:$Z33,MIN(AB$6-$G$3,22))),0)))))</f>
        <v>0</v>
      </c>
      <c r="AC35" s="27" t="n">
        <f aca="false">IF(COUNT('Feijão 1ª safra'!$E33:$Z33)=0,0,MAX(0,IF((AC$6-$E$3)&lt;1,0,IFERROR(LOOKUP(2,1/('Feijão 1ª safra'!$E33:INDEX('Feijão 1ª safra'!$E33:$Z33,MIN(AC$6-$E$3,22))&lt;&gt;""),'Feijão 1ª safra'!$E33:INDEX('Feijão 1ª safra'!$E33:$Z33,MIN(AC$6-$E$3,22))),0))-IF($G$2,0,IF((AC$6-$G$3)&lt;1,0,IFERROR(LOOKUP(2,1/('Feijão 1ª safra'!$E33:INDEX('Feijão 1ª safra'!$E33:$Z33,MIN(AC$6-$G$3,22))&lt;&gt;""),'Feijão 1ª safra'!$E33:INDEX('Feijão 1ª safra'!$E33:$Z33,MIN(AC$6-$G$3,22))),0)))))</f>
        <v>0</v>
      </c>
      <c r="AD35" s="27" t="n">
        <f aca="false">IF(COUNT('Feijão 1ª safra'!$E33:$Z33)=0,0,MAX(0,IF((AD$6-$E$3)&lt;1,0,IFERROR(LOOKUP(2,1/('Feijão 1ª safra'!$E33:INDEX('Feijão 1ª safra'!$E33:$Z33,MIN(AD$6-$E$3,22))&lt;&gt;""),'Feijão 1ª safra'!$E33:INDEX('Feijão 1ª safra'!$E33:$Z33,MIN(AD$6-$E$3,22))),0))-IF($G$2,0,IF((AD$6-$G$3)&lt;1,0,IFERROR(LOOKUP(2,1/('Feijão 1ª safra'!$E33:INDEX('Feijão 1ª safra'!$E33:$Z33,MIN(AD$6-$G$3,22))&lt;&gt;""),'Feijão 1ª safra'!$E33:INDEX('Feijão 1ª safra'!$E33:$Z33,MIN(AD$6-$G$3,22))),0)))))</f>
        <v>0</v>
      </c>
      <c r="AE35" s="27" t="n">
        <f aca="false">IF(COUNT('Feijão 1ª safra'!$E33:$Z33)=0,0,MAX(0,IF((AE$6-$E$3)&lt;1,0,IFERROR(LOOKUP(2,1/('Feijão 1ª safra'!$E33:INDEX('Feijão 1ª safra'!$E33:$Z33,MIN(AE$6-$E$3,22))&lt;&gt;""),'Feijão 1ª safra'!$E33:INDEX('Feijão 1ª safra'!$E33:$Z33,MIN(AE$6-$E$3,22))),0))-IF($G$2,0,IF((AE$6-$G$3)&lt;1,0,IFERROR(LOOKUP(2,1/('Feijão 1ª safra'!$E33:INDEX('Feijão 1ª safra'!$E33:$Z33,MIN(AE$6-$G$3,22))&lt;&gt;""),'Feijão 1ª safra'!$E33:INDEX('Feijão 1ª safra'!$E33:$Z33,MIN(AE$6-$G$3,22))),0)))))</f>
        <v>0</v>
      </c>
      <c r="AF35" s="27" t="n">
        <f aca="false">IF(COUNT('Feijão 1ª safra'!$E33:$Z33)=0,0,MAX(0,IF((AF$6-$E$3)&lt;1,0,IFERROR(LOOKUP(2,1/('Feijão 1ª safra'!$E33:INDEX('Feijão 1ª safra'!$E33:$Z33,MIN(AF$6-$E$3,22))&lt;&gt;""),'Feijão 1ª safra'!$E33:INDEX('Feijão 1ª safra'!$E33:$Z33,MIN(AF$6-$E$3,22))),0))-IF($G$2,0,IF((AF$6-$G$3)&lt;1,0,IFERROR(LOOKUP(2,1/('Feijão 1ª safra'!$E33:INDEX('Feijão 1ª safra'!$E33:$Z33,MIN(AF$6-$G$3,22))&lt;&gt;""),'Feijão 1ª safra'!$E33:INDEX('Feijão 1ª safra'!$E33:$Z33,MIN(AF$6-$G$3,22))),0)))))</f>
        <v>0</v>
      </c>
      <c r="AG35" s="27" t="n">
        <f aca="false">IF(COUNT('Feijão 1ª safra'!$E33:$Z33)=0,0,MAX(0,IF((AG$6-$E$3)&lt;1,0,IFERROR(LOOKUP(2,1/('Feijão 1ª safra'!$E33:INDEX('Feijão 1ª safra'!$E33:$Z33,MIN(AG$6-$E$3,22))&lt;&gt;""),'Feijão 1ª safra'!$E33:INDEX('Feijão 1ª safra'!$E33:$Z33,MIN(AG$6-$E$3,22))),0))-IF($G$2,0,IF((AG$6-$G$3)&lt;1,0,IFERROR(LOOKUP(2,1/('Feijão 1ª safra'!$E33:INDEX('Feijão 1ª safra'!$E33:$Z33,MIN(AG$6-$G$3,22))&lt;&gt;""),'Feijão 1ª safra'!$E33:INDEX('Feijão 1ª safra'!$E33:$Z33,MIN(AG$6-$G$3,22))),0)))))</f>
        <v>0</v>
      </c>
      <c r="AH35" s="27" t="n">
        <f aca="false">IF(COUNT('Feijão 1ª safra'!$E33:$Z33)=0,0,MAX(0,IF((AH$6-$E$3)&lt;1,0,IFERROR(LOOKUP(2,1/('Feijão 1ª safra'!$E33:INDEX('Feijão 1ª safra'!$E33:$Z33,MIN(AH$6-$E$3,22))&lt;&gt;""),'Feijão 1ª safra'!$E33:INDEX('Feijão 1ª safra'!$E33:$Z33,MIN(AH$6-$E$3,22))),0))-IF($G$2,0,IF((AH$6-$G$3)&lt;1,0,IFERROR(LOOKUP(2,1/('Feijão 1ª safra'!$E33:INDEX('Feijão 1ª safra'!$E33:$Z33,MIN(AH$6-$G$3,22))&lt;&gt;""),'Feijão 1ª safra'!$E33:INDEX('Feijão 1ª safra'!$E33:$Z33,MIN(AH$6-$G$3,22))),0)))))</f>
        <v>0</v>
      </c>
      <c r="AI35" s="27" t="n">
        <f aca="false">IF(COUNT('Feijão 1ª safra'!$E33:$Z33)=0,0,MAX(0,IF((AI$6-$E$3)&lt;1,0,IFERROR(LOOKUP(2,1/('Feijão 1ª safra'!$E33:INDEX('Feijão 1ª safra'!$E33:$Z33,MIN(AI$6-$E$3,22))&lt;&gt;""),'Feijão 1ª safra'!$E33:INDEX('Feijão 1ª safra'!$E33:$Z33,MIN(AI$6-$E$3,22))),0))-IF($G$2,0,IF((AI$6-$G$3)&lt;1,0,IFERROR(LOOKUP(2,1/('Feijão 1ª safra'!$E33:INDEX('Feijão 1ª safra'!$E33:$Z33,MIN(AI$6-$G$3,22))&lt;&gt;""),'Feijão 1ª safra'!$E33:INDEX('Feijão 1ª safra'!$E33:$Z33,MIN(AI$6-$G$3,22))),0)))))</f>
        <v>0</v>
      </c>
      <c r="AJ35" s="27" t="n">
        <f aca="false">IF(COUNT('Feijão 1ª safra'!$E33:$Z33)=0,0,MAX(0,IF((AJ$6-$E$3)&lt;1,0,IFERROR(LOOKUP(2,1/('Feijão 1ª safra'!$E33:INDEX('Feijão 1ª safra'!$E33:$Z33,MIN(AJ$6-$E$3,22))&lt;&gt;""),'Feijão 1ª safra'!$E33:INDEX('Feijão 1ª safra'!$E33:$Z33,MIN(AJ$6-$E$3,22))),0))-IF($G$2,0,IF((AJ$6-$G$3)&lt;1,0,IFERROR(LOOKUP(2,1/('Feijão 1ª safra'!$E33:INDEX('Feijão 1ª safra'!$E33:$Z33,MIN(AJ$6-$G$3,22))&lt;&gt;""),'Feijão 1ª safra'!$E33:INDEX('Feijão 1ª safra'!$E33:$Z33,MIN(AJ$6-$G$3,22))),0)))))</f>
        <v>0</v>
      </c>
      <c r="AK35" s="27" t="n">
        <f aca="false">IF(COUNT('Feijão 1ª safra'!$E33:$Z33)=0,0,MAX(0,IF((AK$6-$E$3)&lt;1,0,IFERROR(LOOKUP(2,1/('Feijão 1ª safra'!$E33:INDEX('Feijão 1ª safra'!$E33:$Z33,MIN(AK$6-$E$3,22))&lt;&gt;""),'Feijão 1ª safra'!$E33:INDEX('Feijão 1ª safra'!$E33:$Z33,MIN(AK$6-$E$3,22))),0))-IF($G$2,0,IF((AK$6-$G$3)&lt;1,0,IFERROR(LOOKUP(2,1/('Feijão 1ª safra'!$E33:INDEX('Feijão 1ª safra'!$E33:$Z33,MIN(AK$6-$G$3,22))&lt;&gt;""),'Feijão 1ª safra'!$E33:INDEX('Feijão 1ª safra'!$E33:$Z33,MIN(AK$6-$G$3,22))),0)))))</f>
        <v>0</v>
      </c>
      <c r="AL35" s="27" t="n">
        <f aca="false">IF(COUNT('Feijão 1ª safra'!$E33:$Z33)=0,0,MAX(0,IF((AL$6-$E$3)&lt;1,0,IFERROR(LOOKUP(2,1/('Feijão 1ª safra'!$E33:INDEX('Feijão 1ª safra'!$E33:$Z33,MIN(AL$6-$E$3,22))&lt;&gt;""),'Feijão 1ª safra'!$E33:INDEX('Feijão 1ª safra'!$E33:$Z33,MIN(AL$6-$E$3,22))),0))-IF($G$2,0,IF((AL$6-$G$3)&lt;1,0,IFERROR(LOOKUP(2,1/('Feijão 1ª safra'!$E33:INDEX('Feijão 1ª safra'!$E33:$Z33,MIN(AL$6-$G$3,22))&lt;&gt;""),'Feijão 1ª safra'!$E33:INDEX('Feijão 1ª safra'!$E33:$Z33,MIN(AL$6-$G$3,22))),0)))))</f>
        <v>0</v>
      </c>
      <c r="AM35" s="27" t="n">
        <f aca="false">IF(COUNT('Feijão 1ª safra'!$E33:$Z33)=0,0,MAX(0,IF((AM$6-$E$3)&lt;1,0,IFERROR(LOOKUP(2,1/('Feijão 1ª safra'!$E33:INDEX('Feijão 1ª safra'!$E33:$Z33,MIN(AM$6-$E$3,22))&lt;&gt;""),'Feijão 1ª safra'!$E33:INDEX('Feijão 1ª safra'!$E33:$Z33,MIN(AM$6-$E$3,22))),0))-IF($G$2,0,IF((AM$6-$G$3)&lt;1,0,IFERROR(LOOKUP(2,1/('Feijão 1ª safra'!$E33:INDEX('Feijão 1ª safra'!$E33:$Z33,MIN(AM$6-$G$3,22))&lt;&gt;""),'Feijão 1ª safra'!$E33:INDEX('Feijão 1ª safra'!$E33:$Z33,MIN(AM$6-$G$3,22))),0)))))</f>
        <v>0</v>
      </c>
      <c r="AN35" s="27" t="n">
        <f aca="false">IF(COUNT('Feijão 1ª safra'!$E33:$Z33)=0,0,MAX(0,IF((AN$6-$E$3)&lt;1,0,IFERROR(LOOKUP(2,1/('Feijão 1ª safra'!$E33:INDEX('Feijão 1ª safra'!$E33:$Z33,MIN(AN$6-$E$3,22))&lt;&gt;""),'Feijão 1ª safra'!$E33:INDEX('Feijão 1ª safra'!$E33:$Z33,MIN(AN$6-$E$3,22))),0))-IF($G$2,0,IF((AN$6-$G$3)&lt;1,0,IFERROR(LOOKUP(2,1/('Feijão 1ª safra'!$E33:INDEX('Feijão 1ª safra'!$E33:$Z33,MIN(AN$6-$G$3,22))&lt;&gt;""),'Feijão 1ª safra'!$E33:INDEX('Feijão 1ª safra'!$E33:$Z33,MIN(AN$6-$G$3,22))),0)))))</f>
        <v>0</v>
      </c>
      <c r="AO35" s="27" t="n">
        <f aca="false">IF(COUNT('Feijão 1ª safra'!$E33:$Z33)=0,0,MAX(0,IF((AO$6-$E$3)&lt;1,0,IFERROR(LOOKUP(2,1/('Feijão 1ª safra'!$E33:INDEX('Feijão 1ª safra'!$E33:$Z33,MIN(AO$6-$E$3,22))&lt;&gt;""),'Feijão 1ª safra'!$E33:INDEX('Feijão 1ª safra'!$E33:$Z33,MIN(AO$6-$E$3,22))),0))-IF($G$2,0,IF((AO$6-$G$3)&lt;1,0,IFERROR(LOOKUP(2,1/('Feijão 1ª safra'!$E33:INDEX('Feijão 1ª safra'!$E33:$Z33,MIN(AO$6-$G$3,22))&lt;&gt;""),'Feijão 1ª safra'!$E33:INDEX('Feijão 1ª safra'!$E33:$Z33,MIN(AO$6-$G$3,22))),0)))))</f>
        <v>0</v>
      </c>
      <c r="AP35" s="27" t="n">
        <f aca="false">IF(COUNT('Feijão 1ª safra'!$E33:$Z33)=0,0,MAX(0,IF((AP$6-$E$3)&lt;1,0,IFERROR(LOOKUP(2,1/('Feijão 1ª safra'!$E33:INDEX('Feijão 1ª safra'!$E33:$Z33,MIN(AP$6-$E$3,22))&lt;&gt;""),'Feijão 1ª safra'!$E33:INDEX('Feijão 1ª safra'!$E33:$Z33,MIN(AP$6-$E$3,22))),0))-IF($G$2,0,IF((AP$6-$G$3)&lt;1,0,IFERROR(LOOKUP(2,1/('Feijão 1ª safra'!$E33:INDEX('Feijão 1ª safra'!$E33:$Z33,MIN(AP$6-$G$3,22))&lt;&gt;""),'Feijão 1ª safra'!$E33:INDEX('Feijão 1ª safra'!$E33:$Z33,MIN(AP$6-$G$3,22))),0)))))</f>
        <v>0</v>
      </c>
      <c r="AQ35" s="27" t="n">
        <f aca="false">IF(COUNT('Feijão 1ª safra'!$E33:$Z33)=0,0,MAX(0,IF((AQ$6-$E$3)&lt;1,0,IFERROR(LOOKUP(2,1/('Feijão 1ª safra'!$E33:INDEX('Feijão 1ª safra'!$E33:$Z33,MIN(AQ$6-$E$3,22))&lt;&gt;""),'Feijão 1ª safra'!$E33:INDEX('Feijão 1ª safra'!$E33:$Z33,MIN(AQ$6-$E$3,22))),0))-IF($G$2,0,IF((AQ$6-$G$3)&lt;1,0,IFERROR(LOOKUP(2,1/('Feijão 1ª safra'!$E33:INDEX('Feijão 1ª safra'!$E33:$Z33,MIN(AQ$6-$G$3,22))&lt;&gt;""),'Feijão 1ª safra'!$E33:INDEX('Feijão 1ª safra'!$E33:$Z33,MIN(AQ$6-$G$3,22))),0)))))</f>
        <v>0</v>
      </c>
      <c r="AR35" s="27" t="n">
        <f aca="false">IF(COUNT('Feijão 1ª safra'!$E33:$Z33)=0,0,MAX(0,IF((AR$6-$E$3)&lt;1,0,IFERROR(LOOKUP(2,1/('Feijão 1ª safra'!$E33:INDEX('Feijão 1ª safra'!$E33:$Z33,MIN(AR$6-$E$3,22))&lt;&gt;""),'Feijão 1ª safra'!$E33:INDEX('Feijão 1ª safra'!$E33:$Z33,MIN(AR$6-$E$3,22))),0))-IF($G$2,0,IF((AR$6-$G$3)&lt;1,0,IFERROR(LOOKUP(2,1/('Feijão 1ª safra'!$E33:INDEX('Feijão 1ª safra'!$E33:$Z33,MIN(AR$6-$G$3,22))&lt;&gt;""),'Feijão 1ª safra'!$E33:INDEX('Feijão 1ª safra'!$E33:$Z33,MIN(AR$6-$G$3,22))),0)))))</f>
        <v>0</v>
      </c>
      <c r="AS35" s="27" t="n">
        <f aca="false">IF(COUNT('Feijão 1ª safra'!$E33:$Z33)=0,0,MAX(0,IF((AS$6-$E$3)&lt;1,0,IFERROR(LOOKUP(2,1/('Feijão 1ª safra'!$E33:INDEX('Feijão 1ª safra'!$E33:$Z33,MIN(AS$6-$E$3,22))&lt;&gt;""),'Feijão 1ª safra'!$E33:INDEX('Feijão 1ª safra'!$E33:$Z33,MIN(AS$6-$E$3,22))),0))-IF($G$2,0,IF((AS$6-$G$3)&lt;1,0,IFERROR(LOOKUP(2,1/('Feijão 1ª safra'!$E33:INDEX('Feijão 1ª safra'!$E33:$Z33,MIN(AS$6-$G$3,22))&lt;&gt;""),'Feijão 1ª safra'!$E33:INDEX('Feijão 1ª safra'!$E33:$Z33,MIN(AS$6-$G$3,22))),0)))))</f>
        <v>0</v>
      </c>
      <c r="AT35" s="27" t="n">
        <f aca="false">IF(COUNT('Feijão 1ª safra'!$E33:$Z33)=0,0,MAX(0,IF((AT$6-$E$3)&lt;1,0,IFERROR(LOOKUP(2,1/('Feijão 1ª safra'!$E33:INDEX('Feijão 1ª safra'!$E33:$Z33,MIN(AT$6-$E$3,22))&lt;&gt;""),'Feijão 1ª safra'!$E33:INDEX('Feijão 1ª safra'!$E33:$Z33,MIN(AT$6-$E$3,22))),0))-IF($G$2,0,IF((AT$6-$G$3)&lt;1,0,IFERROR(LOOKUP(2,1/('Feijão 1ª safra'!$E33:INDEX('Feijão 1ª safra'!$E33:$Z33,MIN(AT$6-$G$3,22))&lt;&gt;""),'Feijão 1ª safra'!$E33:INDEX('Feijão 1ª safra'!$E33:$Z33,MIN(AT$6-$G$3,22))),0)))))</f>
        <v>0</v>
      </c>
      <c r="AU35" s="27" t="n">
        <f aca="false">IF(COUNT('Feijão 1ª safra'!$E33:$Z33)=0,0,MAX(0,IF((AU$6-$E$3)&lt;1,0,IFERROR(LOOKUP(2,1/('Feijão 1ª safra'!$E33:INDEX('Feijão 1ª safra'!$E33:$Z33,MIN(AU$6-$E$3,22))&lt;&gt;""),'Feijão 1ª safra'!$E33:INDEX('Feijão 1ª safra'!$E33:$Z33,MIN(AU$6-$E$3,22))),0))-IF($G$2,0,IF((AU$6-$G$3)&lt;1,0,IFERROR(LOOKUP(2,1/('Feijão 1ª safra'!$E33:INDEX('Feijão 1ª safra'!$E33:$Z33,MIN(AU$6-$G$3,22))&lt;&gt;""),'Feijão 1ª safra'!$E33:INDEX('Feijão 1ª safra'!$E33:$Z33,MIN(AU$6-$G$3,22))),0)))))</f>
        <v>0</v>
      </c>
      <c r="AV35" s="27" t="n">
        <f aca="false">IF(COUNT('Feijão 1ª safra'!$E33:$Z33)=0,0,MAX(0,IF((AV$6-$E$3)&lt;1,0,IFERROR(LOOKUP(2,1/('Feijão 1ª safra'!$E33:INDEX('Feijão 1ª safra'!$E33:$Z33,MIN(AV$6-$E$3,22))&lt;&gt;""),'Feijão 1ª safra'!$E33:INDEX('Feijão 1ª safra'!$E33:$Z33,MIN(AV$6-$E$3,22))),0))-IF($G$2,0,IF((AV$6-$G$3)&lt;1,0,IFERROR(LOOKUP(2,1/('Feijão 1ª safra'!$E33:INDEX('Feijão 1ª safra'!$E33:$Z33,MIN(AV$6-$G$3,22))&lt;&gt;""),'Feijão 1ª safra'!$E33:INDEX('Feijão 1ª safra'!$E33:$Z33,MIN(AV$6-$G$3,22))),0)))))</f>
        <v>0</v>
      </c>
      <c r="AW35" s="27" t="n">
        <f aca="false">IF(COUNT('Feijão 1ª safra'!$E33:$Z33)=0,0,MAX(0,IF((AW$6-$E$3)&lt;1,0,IFERROR(LOOKUP(2,1/('Feijão 1ª safra'!$E33:INDEX('Feijão 1ª safra'!$E33:$Z33,MIN(AW$6-$E$3,22))&lt;&gt;""),'Feijão 1ª safra'!$E33:INDEX('Feijão 1ª safra'!$E33:$Z33,MIN(AW$6-$E$3,22))),0))-IF($G$2,0,IF((AW$6-$G$3)&lt;1,0,IFERROR(LOOKUP(2,1/('Feijão 1ª safra'!$E33:INDEX('Feijão 1ª safra'!$E33:$Z33,MIN(AW$6-$G$3,22))&lt;&gt;""),'Feijão 1ª safra'!$E33:INDEX('Feijão 1ª safra'!$E33:$Z33,MIN(AW$6-$G$3,22))),0)))))</f>
        <v>0</v>
      </c>
      <c r="AX35" s="27" t="n">
        <f aca="false">IF(COUNT('Feijão 1ª safra'!$E33:$Z33)=0,0,MAX(0,IF((AX$6-$E$3)&lt;1,0,IFERROR(LOOKUP(2,1/('Feijão 1ª safra'!$E33:INDEX('Feijão 1ª safra'!$E33:$Z33,MIN(AX$6-$E$3,22))&lt;&gt;""),'Feijão 1ª safra'!$E33:INDEX('Feijão 1ª safra'!$E33:$Z33,MIN(AX$6-$E$3,22))),0))-IF($G$2,0,IF((AX$6-$G$3)&lt;1,0,IFERROR(LOOKUP(2,1/('Feijão 1ª safra'!$E33:INDEX('Feijão 1ª safra'!$E33:$Z33,MIN(AX$6-$G$3,22))&lt;&gt;""),'Feijão 1ª safra'!$E33:INDEX('Feijão 1ª safra'!$E33:$Z33,MIN(AX$6-$G$3,22))),0)))))</f>
        <v>0</v>
      </c>
      <c r="AY35" s="27" t="n">
        <f aca="false">IF(COUNT('Feijão 1ª safra'!$E33:$Z33)=0,0,MAX(0,IF((AY$6-$E$3)&lt;1,0,IFERROR(LOOKUP(2,1/('Feijão 1ª safra'!$E33:INDEX('Feijão 1ª safra'!$E33:$Z33,MIN(AY$6-$E$3,22))&lt;&gt;""),'Feijão 1ª safra'!$E33:INDEX('Feijão 1ª safra'!$E33:$Z33,MIN(AY$6-$E$3,22))),0))-IF($G$2,0,IF((AY$6-$G$3)&lt;1,0,IFERROR(LOOKUP(2,1/('Feijão 1ª safra'!$E33:INDEX('Feijão 1ª safra'!$E33:$Z33,MIN(AY$6-$G$3,22))&lt;&gt;""),'Feijão 1ª safra'!$E33:INDEX('Feijão 1ª safra'!$E33:$Z33,MIN(AY$6-$G$3,22))),0)))))</f>
        <v>0</v>
      </c>
      <c r="AZ35" s="27" t="n">
        <f aca="false">IF(COUNT('Feijão 1ª safra'!$E33:$Z33)=0,0,MAX(0,IF((AZ$6-$E$3)&lt;1,0,IFERROR(LOOKUP(2,1/('Feijão 1ª safra'!$E33:INDEX('Feijão 1ª safra'!$E33:$Z33,MIN(AZ$6-$E$3,22))&lt;&gt;""),'Feijão 1ª safra'!$E33:INDEX('Feijão 1ª safra'!$E33:$Z33,MIN(AZ$6-$E$3,22))),0))-IF($G$2,0,IF((AZ$6-$G$3)&lt;1,0,IFERROR(LOOKUP(2,1/('Feijão 1ª safra'!$E33:INDEX('Feijão 1ª safra'!$E33:$Z33,MIN(AZ$6-$G$3,22))&lt;&gt;""),'Feijão 1ª safra'!$E33:INDEX('Feijão 1ª safra'!$E33:$Z33,MIN(AZ$6-$G$3,22))),0)))))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IF(COUNT('Feijão 1ª safra'!$E34:$Z34)&gt;0,N('Feijão 1ª safra'!$D34),0)</f>
        <v>0</v>
      </c>
      <c r="E36" s="27" t="n">
        <f aca="false">IF(COUNT('Feijão 1ª safra'!$E34:$Z34)=0,0,MAX(0,IF((E$6-$E$3)&lt;1,0,IFERROR(LOOKUP(2,1/('Feijão 1ª safra'!$E34:INDEX('Feijão 1ª safra'!$E34:$Z34,MIN(E$6-$E$3,22))&lt;&gt;""),'Feijão 1ª safra'!$E34:INDEX('Feijão 1ª safra'!$E34:$Z34,MIN(E$6-$E$3,22))),0))-IF($G$2,0,IF((E$6-$G$3)&lt;1,0,IFERROR(LOOKUP(2,1/('Feijão 1ª safra'!$E34:INDEX('Feijão 1ª safra'!$E34:$Z34,MIN(E$6-$G$3,22))&lt;&gt;""),'Feijão 1ª safra'!$E34:INDEX('Feijão 1ª safra'!$E34:$Z34,MIN(E$6-$G$3,22))),0)))))</f>
        <v>0</v>
      </c>
      <c r="F36" s="27" t="n">
        <f aca="false">IF(COUNT('Feijão 1ª safra'!$E34:$Z34)=0,0,MAX(0,IF((F$6-$E$3)&lt;1,0,IFERROR(LOOKUP(2,1/('Feijão 1ª safra'!$E34:INDEX('Feijão 1ª safra'!$E34:$Z34,MIN(F$6-$E$3,22))&lt;&gt;""),'Feijão 1ª safra'!$E34:INDEX('Feijão 1ª safra'!$E34:$Z34,MIN(F$6-$E$3,22))),0))-IF($G$2,0,IF((F$6-$G$3)&lt;1,0,IFERROR(LOOKUP(2,1/('Feijão 1ª safra'!$E34:INDEX('Feijão 1ª safra'!$E34:$Z34,MIN(F$6-$G$3,22))&lt;&gt;""),'Feijão 1ª safra'!$E34:INDEX('Feijão 1ª safra'!$E34:$Z34,MIN(F$6-$G$3,22))),0)))))</f>
        <v>0</v>
      </c>
      <c r="G36" s="27" t="n">
        <f aca="false">IF(COUNT('Feijão 1ª safra'!$E34:$Z34)=0,0,MAX(0,IF((G$6-$E$3)&lt;1,0,IFERROR(LOOKUP(2,1/('Feijão 1ª safra'!$E34:INDEX('Feijão 1ª safra'!$E34:$Z34,MIN(G$6-$E$3,22))&lt;&gt;""),'Feijão 1ª safra'!$E34:INDEX('Feijão 1ª safra'!$E34:$Z34,MIN(G$6-$E$3,22))),0))-IF($G$2,0,IF((G$6-$G$3)&lt;1,0,IFERROR(LOOKUP(2,1/('Feijão 1ª safra'!$E34:INDEX('Feijão 1ª safra'!$E34:$Z34,MIN(G$6-$G$3,22))&lt;&gt;""),'Feijão 1ª safra'!$E34:INDEX('Feijão 1ª safra'!$E34:$Z34,MIN(G$6-$G$3,22))),0)))))</f>
        <v>0</v>
      </c>
      <c r="H36" s="27" t="n">
        <f aca="false">IF(COUNT('Feijão 1ª safra'!$E34:$Z34)=0,0,MAX(0,IF((H$6-$E$3)&lt;1,0,IFERROR(LOOKUP(2,1/('Feijão 1ª safra'!$E34:INDEX('Feijão 1ª safra'!$E34:$Z34,MIN(H$6-$E$3,22))&lt;&gt;""),'Feijão 1ª safra'!$E34:INDEX('Feijão 1ª safra'!$E34:$Z34,MIN(H$6-$E$3,22))),0))-IF($G$2,0,IF((H$6-$G$3)&lt;1,0,IFERROR(LOOKUP(2,1/('Feijão 1ª safra'!$E34:INDEX('Feijão 1ª safra'!$E34:$Z34,MIN(H$6-$G$3,22))&lt;&gt;""),'Feijão 1ª safra'!$E34:INDEX('Feijão 1ª safra'!$E34:$Z34,MIN(H$6-$G$3,22))),0)))))</f>
        <v>0</v>
      </c>
      <c r="I36" s="27" t="n">
        <f aca="false">IF(COUNT('Feijão 1ª safra'!$E34:$Z34)=0,0,MAX(0,IF((I$6-$E$3)&lt;1,0,IFERROR(LOOKUP(2,1/('Feijão 1ª safra'!$E34:INDEX('Feijão 1ª safra'!$E34:$Z34,MIN(I$6-$E$3,22))&lt;&gt;""),'Feijão 1ª safra'!$E34:INDEX('Feijão 1ª safra'!$E34:$Z34,MIN(I$6-$E$3,22))),0))-IF($G$2,0,IF((I$6-$G$3)&lt;1,0,IFERROR(LOOKUP(2,1/('Feijão 1ª safra'!$E34:INDEX('Feijão 1ª safra'!$E34:$Z34,MIN(I$6-$G$3,22))&lt;&gt;""),'Feijão 1ª safra'!$E34:INDEX('Feijão 1ª safra'!$E34:$Z34,MIN(I$6-$G$3,22))),0)))))</f>
        <v>0</v>
      </c>
      <c r="J36" s="27" t="n">
        <f aca="false">IF(COUNT('Feijão 1ª safra'!$E34:$Z34)=0,0,MAX(0,IF((J$6-$E$3)&lt;1,0,IFERROR(LOOKUP(2,1/('Feijão 1ª safra'!$E34:INDEX('Feijão 1ª safra'!$E34:$Z34,MIN(J$6-$E$3,22))&lt;&gt;""),'Feijão 1ª safra'!$E34:INDEX('Feijão 1ª safra'!$E34:$Z34,MIN(J$6-$E$3,22))),0))-IF($G$2,0,IF((J$6-$G$3)&lt;1,0,IFERROR(LOOKUP(2,1/('Feijão 1ª safra'!$E34:INDEX('Feijão 1ª safra'!$E34:$Z34,MIN(J$6-$G$3,22))&lt;&gt;""),'Feijão 1ª safra'!$E34:INDEX('Feijão 1ª safra'!$E34:$Z34,MIN(J$6-$G$3,22))),0)))))</f>
        <v>0</v>
      </c>
      <c r="K36" s="27" t="n">
        <f aca="false">IF(COUNT('Feijão 1ª safra'!$E34:$Z34)=0,0,MAX(0,IF((K$6-$E$3)&lt;1,0,IFERROR(LOOKUP(2,1/('Feijão 1ª safra'!$E34:INDEX('Feijão 1ª safra'!$E34:$Z34,MIN(K$6-$E$3,22))&lt;&gt;""),'Feijão 1ª safra'!$E34:INDEX('Feijão 1ª safra'!$E34:$Z34,MIN(K$6-$E$3,22))),0))-IF($G$2,0,IF((K$6-$G$3)&lt;1,0,IFERROR(LOOKUP(2,1/('Feijão 1ª safra'!$E34:INDEX('Feijão 1ª safra'!$E34:$Z34,MIN(K$6-$G$3,22))&lt;&gt;""),'Feijão 1ª safra'!$E34:INDEX('Feijão 1ª safra'!$E34:$Z34,MIN(K$6-$G$3,22))),0)))))</f>
        <v>0</v>
      </c>
      <c r="L36" s="27" t="n">
        <f aca="false">IF(COUNT('Feijão 1ª safra'!$E34:$Z34)=0,0,MAX(0,IF((L$6-$E$3)&lt;1,0,IFERROR(LOOKUP(2,1/('Feijão 1ª safra'!$E34:INDEX('Feijão 1ª safra'!$E34:$Z34,MIN(L$6-$E$3,22))&lt;&gt;""),'Feijão 1ª safra'!$E34:INDEX('Feijão 1ª safra'!$E34:$Z34,MIN(L$6-$E$3,22))),0))-IF($G$2,0,IF((L$6-$G$3)&lt;1,0,IFERROR(LOOKUP(2,1/('Feijão 1ª safra'!$E34:INDEX('Feijão 1ª safra'!$E34:$Z34,MIN(L$6-$G$3,22))&lt;&gt;""),'Feijão 1ª safra'!$E34:INDEX('Feijão 1ª safra'!$E34:$Z34,MIN(L$6-$G$3,22))),0)))))</f>
        <v>0</v>
      </c>
      <c r="M36" s="27" t="n">
        <f aca="false">IF(COUNT('Feijão 1ª safra'!$E34:$Z34)=0,0,MAX(0,IF((M$6-$E$3)&lt;1,0,IFERROR(LOOKUP(2,1/('Feijão 1ª safra'!$E34:INDEX('Feijão 1ª safra'!$E34:$Z34,MIN(M$6-$E$3,22))&lt;&gt;""),'Feijão 1ª safra'!$E34:INDEX('Feijão 1ª safra'!$E34:$Z34,MIN(M$6-$E$3,22))),0))-IF($G$2,0,IF((M$6-$G$3)&lt;1,0,IFERROR(LOOKUP(2,1/('Feijão 1ª safra'!$E34:INDEX('Feijão 1ª safra'!$E34:$Z34,MIN(M$6-$G$3,22))&lt;&gt;""),'Feijão 1ª safra'!$E34:INDEX('Feijão 1ª safra'!$E34:$Z34,MIN(M$6-$G$3,22))),0)))))</f>
        <v>0</v>
      </c>
      <c r="N36" s="27" t="n">
        <f aca="false">IF(COUNT('Feijão 1ª safra'!$E34:$Z34)=0,0,MAX(0,IF((N$6-$E$3)&lt;1,0,IFERROR(LOOKUP(2,1/('Feijão 1ª safra'!$E34:INDEX('Feijão 1ª safra'!$E34:$Z34,MIN(N$6-$E$3,22))&lt;&gt;""),'Feijão 1ª safra'!$E34:INDEX('Feijão 1ª safra'!$E34:$Z34,MIN(N$6-$E$3,22))),0))-IF($G$2,0,IF((N$6-$G$3)&lt;1,0,IFERROR(LOOKUP(2,1/('Feijão 1ª safra'!$E34:INDEX('Feijão 1ª safra'!$E34:$Z34,MIN(N$6-$G$3,22))&lt;&gt;""),'Feijão 1ª safra'!$E34:INDEX('Feijão 1ª safra'!$E34:$Z34,MIN(N$6-$G$3,22))),0)))))</f>
        <v>0</v>
      </c>
      <c r="O36" s="27" t="n">
        <f aca="false">IF(COUNT('Feijão 1ª safra'!$E34:$Z34)=0,0,MAX(0,IF((O$6-$E$3)&lt;1,0,IFERROR(LOOKUP(2,1/('Feijão 1ª safra'!$E34:INDEX('Feijão 1ª safra'!$E34:$Z34,MIN(O$6-$E$3,22))&lt;&gt;""),'Feijão 1ª safra'!$E34:INDEX('Feijão 1ª safra'!$E34:$Z34,MIN(O$6-$E$3,22))),0))-IF($G$2,0,IF((O$6-$G$3)&lt;1,0,IFERROR(LOOKUP(2,1/('Feijão 1ª safra'!$E34:INDEX('Feijão 1ª safra'!$E34:$Z34,MIN(O$6-$G$3,22))&lt;&gt;""),'Feijão 1ª safra'!$E34:INDEX('Feijão 1ª safra'!$E34:$Z34,MIN(O$6-$G$3,22))),0)))))</f>
        <v>0</v>
      </c>
      <c r="P36" s="27" t="n">
        <f aca="false">IF(COUNT('Feijão 1ª safra'!$E34:$Z34)=0,0,MAX(0,IF((P$6-$E$3)&lt;1,0,IFERROR(LOOKUP(2,1/('Feijão 1ª safra'!$E34:INDEX('Feijão 1ª safra'!$E34:$Z34,MIN(P$6-$E$3,22))&lt;&gt;""),'Feijão 1ª safra'!$E34:INDEX('Feijão 1ª safra'!$E34:$Z34,MIN(P$6-$E$3,22))),0))-IF($G$2,0,IF((P$6-$G$3)&lt;1,0,IFERROR(LOOKUP(2,1/('Feijão 1ª safra'!$E34:INDEX('Feijão 1ª safra'!$E34:$Z34,MIN(P$6-$G$3,22))&lt;&gt;""),'Feijão 1ª safra'!$E34:INDEX('Feijão 1ª safra'!$E34:$Z34,MIN(P$6-$G$3,22))),0)))))</f>
        <v>0</v>
      </c>
      <c r="Q36" s="27" t="n">
        <f aca="false">IF(COUNT('Feijão 1ª safra'!$E34:$Z34)=0,0,MAX(0,IF((Q$6-$E$3)&lt;1,0,IFERROR(LOOKUP(2,1/('Feijão 1ª safra'!$E34:INDEX('Feijão 1ª safra'!$E34:$Z34,MIN(Q$6-$E$3,22))&lt;&gt;""),'Feijão 1ª safra'!$E34:INDEX('Feijão 1ª safra'!$E34:$Z34,MIN(Q$6-$E$3,22))),0))-IF($G$2,0,IF((Q$6-$G$3)&lt;1,0,IFERROR(LOOKUP(2,1/('Feijão 1ª safra'!$E34:INDEX('Feijão 1ª safra'!$E34:$Z34,MIN(Q$6-$G$3,22))&lt;&gt;""),'Feijão 1ª safra'!$E34:INDEX('Feijão 1ª safra'!$E34:$Z34,MIN(Q$6-$G$3,22))),0)))))</f>
        <v>0</v>
      </c>
      <c r="R36" s="27" t="n">
        <f aca="false">IF(COUNT('Feijão 1ª safra'!$E34:$Z34)=0,0,MAX(0,IF((R$6-$E$3)&lt;1,0,IFERROR(LOOKUP(2,1/('Feijão 1ª safra'!$E34:INDEX('Feijão 1ª safra'!$E34:$Z34,MIN(R$6-$E$3,22))&lt;&gt;""),'Feijão 1ª safra'!$E34:INDEX('Feijão 1ª safra'!$E34:$Z34,MIN(R$6-$E$3,22))),0))-IF($G$2,0,IF((R$6-$G$3)&lt;1,0,IFERROR(LOOKUP(2,1/('Feijão 1ª safra'!$E34:INDEX('Feijão 1ª safra'!$E34:$Z34,MIN(R$6-$G$3,22))&lt;&gt;""),'Feijão 1ª safra'!$E34:INDEX('Feijão 1ª safra'!$E34:$Z34,MIN(R$6-$G$3,22))),0)))))</f>
        <v>0</v>
      </c>
      <c r="S36" s="27" t="n">
        <f aca="false">IF(COUNT('Feijão 1ª safra'!$E34:$Z34)=0,0,MAX(0,IF((S$6-$E$3)&lt;1,0,IFERROR(LOOKUP(2,1/('Feijão 1ª safra'!$E34:INDEX('Feijão 1ª safra'!$E34:$Z34,MIN(S$6-$E$3,22))&lt;&gt;""),'Feijão 1ª safra'!$E34:INDEX('Feijão 1ª safra'!$E34:$Z34,MIN(S$6-$E$3,22))),0))-IF($G$2,0,IF((S$6-$G$3)&lt;1,0,IFERROR(LOOKUP(2,1/('Feijão 1ª safra'!$E34:INDEX('Feijão 1ª safra'!$E34:$Z34,MIN(S$6-$G$3,22))&lt;&gt;""),'Feijão 1ª safra'!$E34:INDEX('Feijão 1ª safra'!$E34:$Z34,MIN(S$6-$G$3,22))),0)))))</f>
        <v>0</v>
      </c>
      <c r="T36" s="27" t="n">
        <f aca="false">IF(COUNT('Feijão 1ª safra'!$E34:$Z34)=0,0,MAX(0,IF((T$6-$E$3)&lt;1,0,IFERROR(LOOKUP(2,1/('Feijão 1ª safra'!$E34:INDEX('Feijão 1ª safra'!$E34:$Z34,MIN(T$6-$E$3,22))&lt;&gt;""),'Feijão 1ª safra'!$E34:INDEX('Feijão 1ª safra'!$E34:$Z34,MIN(T$6-$E$3,22))),0))-IF($G$2,0,IF((T$6-$G$3)&lt;1,0,IFERROR(LOOKUP(2,1/('Feijão 1ª safra'!$E34:INDEX('Feijão 1ª safra'!$E34:$Z34,MIN(T$6-$G$3,22))&lt;&gt;""),'Feijão 1ª safra'!$E34:INDEX('Feijão 1ª safra'!$E34:$Z34,MIN(T$6-$G$3,22))),0)))))</f>
        <v>0</v>
      </c>
      <c r="U36" s="27" t="n">
        <f aca="false">IF(COUNT('Feijão 1ª safra'!$E34:$Z34)=0,0,MAX(0,IF((U$6-$E$3)&lt;1,0,IFERROR(LOOKUP(2,1/('Feijão 1ª safra'!$E34:INDEX('Feijão 1ª safra'!$E34:$Z34,MIN(U$6-$E$3,22))&lt;&gt;""),'Feijão 1ª safra'!$E34:INDEX('Feijão 1ª safra'!$E34:$Z34,MIN(U$6-$E$3,22))),0))-IF($G$2,0,IF((U$6-$G$3)&lt;1,0,IFERROR(LOOKUP(2,1/('Feijão 1ª safra'!$E34:INDEX('Feijão 1ª safra'!$E34:$Z34,MIN(U$6-$G$3,22))&lt;&gt;""),'Feijão 1ª safra'!$E34:INDEX('Feijão 1ª safra'!$E34:$Z34,MIN(U$6-$G$3,22))),0)))))</f>
        <v>0</v>
      </c>
      <c r="V36" s="27" t="n">
        <f aca="false">IF(COUNT('Feijão 1ª safra'!$E34:$Z34)=0,0,MAX(0,IF((V$6-$E$3)&lt;1,0,IFERROR(LOOKUP(2,1/('Feijão 1ª safra'!$E34:INDEX('Feijão 1ª safra'!$E34:$Z34,MIN(V$6-$E$3,22))&lt;&gt;""),'Feijão 1ª safra'!$E34:INDEX('Feijão 1ª safra'!$E34:$Z34,MIN(V$6-$E$3,22))),0))-IF($G$2,0,IF((V$6-$G$3)&lt;1,0,IFERROR(LOOKUP(2,1/('Feijão 1ª safra'!$E34:INDEX('Feijão 1ª safra'!$E34:$Z34,MIN(V$6-$G$3,22))&lt;&gt;""),'Feijão 1ª safra'!$E34:INDEX('Feijão 1ª safra'!$E34:$Z34,MIN(V$6-$G$3,22))),0)))))</f>
        <v>0</v>
      </c>
      <c r="W36" s="27" t="n">
        <f aca="false">IF(COUNT('Feijão 1ª safra'!$E34:$Z34)=0,0,MAX(0,IF((W$6-$E$3)&lt;1,0,IFERROR(LOOKUP(2,1/('Feijão 1ª safra'!$E34:INDEX('Feijão 1ª safra'!$E34:$Z34,MIN(W$6-$E$3,22))&lt;&gt;""),'Feijão 1ª safra'!$E34:INDEX('Feijão 1ª safra'!$E34:$Z34,MIN(W$6-$E$3,22))),0))-IF($G$2,0,IF((W$6-$G$3)&lt;1,0,IFERROR(LOOKUP(2,1/('Feijão 1ª safra'!$E34:INDEX('Feijão 1ª safra'!$E34:$Z34,MIN(W$6-$G$3,22))&lt;&gt;""),'Feijão 1ª safra'!$E34:INDEX('Feijão 1ª safra'!$E34:$Z34,MIN(W$6-$G$3,22))),0)))))</f>
        <v>0</v>
      </c>
      <c r="X36" s="27" t="n">
        <f aca="false">IF(COUNT('Feijão 1ª safra'!$E34:$Z34)=0,0,MAX(0,IF((X$6-$E$3)&lt;1,0,IFERROR(LOOKUP(2,1/('Feijão 1ª safra'!$E34:INDEX('Feijão 1ª safra'!$E34:$Z34,MIN(X$6-$E$3,22))&lt;&gt;""),'Feijão 1ª safra'!$E34:INDEX('Feijão 1ª safra'!$E34:$Z34,MIN(X$6-$E$3,22))),0))-IF($G$2,0,IF((X$6-$G$3)&lt;1,0,IFERROR(LOOKUP(2,1/('Feijão 1ª safra'!$E34:INDEX('Feijão 1ª safra'!$E34:$Z34,MIN(X$6-$G$3,22))&lt;&gt;""),'Feijão 1ª safra'!$E34:INDEX('Feijão 1ª safra'!$E34:$Z34,MIN(X$6-$G$3,22))),0)))))</f>
        <v>0</v>
      </c>
      <c r="Y36" s="27" t="n">
        <f aca="false">IF(COUNT('Feijão 1ª safra'!$E34:$Z34)=0,0,MAX(0,IF((Y$6-$E$3)&lt;1,0,IFERROR(LOOKUP(2,1/('Feijão 1ª safra'!$E34:INDEX('Feijão 1ª safra'!$E34:$Z34,MIN(Y$6-$E$3,22))&lt;&gt;""),'Feijão 1ª safra'!$E34:INDEX('Feijão 1ª safra'!$E34:$Z34,MIN(Y$6-$E$3,22))),0))-IF($G$2,0,IF((Y$6-$G$3)&lt;1,0,IFERROR(LOOKUP(2,1/('Feijão 1ª safra'!$E34:INDEX('Feijão 1ª safra'!$E34:$Z34,MIN(Y$6-$G$3,22))&lt;&gt;""),'Feijão 1ª safra'!$E34:INDEX('Feijão 1ª safra'!$E34:$Z34,MIN(Y$6-$G$3,22))),0)))))</f>
        <v>0</v>
      </c>
      <c r="Z36" s="27" t="n">
        <f aca="false">IF(COUNT('Feijão 1ª safra'!$E34:$Z34)=0,0,MAX(0,IF((Z$6-$E$3)&lt;1,0,IFERROR(LOOKUP(2,1/('Feijão 1ª safra'!$E34:INDEX('Feijão 1ª safra'!$E34:$Z34,MIN(Z$6-$E$3,22))&lt;&gt;""),'Feijão 1ª safra'!$E34:INDEX('Feijão 1ª safra'!$E34:$Z34,MIN(Z$6-$E$3,22))),0))-IF($G$2,0,IF((Z$6-$G$3)&lt;1,0,IFERROR(LOOKUP(2,1/('Feijão 1ª safra'!$E34:INDEX('Feijão 1ª safra'!$E34:$Z34,MIN(Z$6-$G$3,22))&lt;&gt;""),'Feijão 1ª safra'!$E34:INDEX('Feijão 1ª safra'!$E34:$Z34,MIN(Z$6-$G$3,22))),0)))))</f>
        <v>0</v>
      </c>
      <c r="AA36" s="27" t="n">
        <f aca="false">IF(COUNT('Feijão 1ª safra'!$E34:$Z34)=0,0,MAX(0,IF((AA$6-$E$3)&lt;1,0,IFERROR(LOOKUP(2,1/('Feijão 1ª safra'!$E34:INDEX('Feijão 1ª safra'!$E34:$Z34,MIN(AA$6-$E$3,22))&lt;&gt;""),'Feijão 1ª safra'!$E34:INDEX('Feijão 1ª safra'!$E34:$Z34,MIN(AA$6-$E$3,22))),0))-IF($G$2,0,IF((AA$6-$G$3)&lt;1,0,IFERROR(LOOKUP(2,1/('Feijão 1ª safra'!$E34:INDEX('Feijão 1ª safra'!$E34:$Z34,MIN(AA$6-$G$3,22))&lt;&gt;""),'Feijão 1ª safra'!$E34:INDEX('Feijão 1ª safra'!$E34:$Z34,MIN(AA$6-$G$3,22))),0)))))</f>
        <v>0</v>
      </c>
      <c r="AB36" s="27" t="n">
        <f aca="false">IF(COUNT('Feijão 1ª safra'!$E34:$Z34)=0,0,MAX(0,IF((AB$6-$E$3)&lt;1,0,IFERROR(LOOKUP(2,1/('Feijão 1ª safra'!$E34:INDEX('Feijão 1ª safra'!$E34:$Z34,MIN(AB$6-$E$3,22))&lt;&gt;""),'Feijão 1ª safra'!$E34:INDEX('Feijão 1ª safra'!$E34:$Z34,MIN(AB$6-$E$3,22))),0))-IF($G$2,0,IF((AB$6-$G$3)&lt;1,0,IFERROR(LOOKUP(2,1/('Feijão 1ª safra'!$E34:INDEX('Feijão 1ª safra'!$E34:$Z34,MIN(AB$6-$G$3,22))&lt;&gt;""),'Feijão 1ª safra'!$E34:INDEX('Feijão 1ª safra'!$E34:$Z34,MIN(AB$6-$G$3,22))),0)))))</f>
        <v>0</v>
      </c>
      <c r="AC36" s="27" t="n">
        <f aca="false">IF(COUNT('Feijão 1ª safra'!$E34:$Z34)=0,0,MAX(0,IF((AC$6-$E$3)&lt;1,0,IFERROR(LOOKUP(2,1/('Feijão 1ª safra'!$E34:INDEX('Feijão 1ª safra'!$E34:$Z34,MIN(AC$6-$E$3,22))&lt;&gt;""),'Feijão 1ª safra'!$E34:INDEX('Feijão 1ª safra'!$E34:$Z34,MIN(AC$6-$E$3,22))),0))-IF($G$2,0,IF((AC$6-$G$3)&lt;1,0,IFERROR(LOOKUP(2,1/('Feijão 1ª safra'!$E34:INDEX('Feijão 1ª safra'!$E34:$Z34,MIN(AC$6-$G$3,22))&lt;&gt;""),'Feijão 1ª safra'!$E34:INDEX('Feijão 1ª safra'!$E34:$Z34,MIN(AC$6-$G$3,22))),0)))))</f>
        <v>0</v>
      </c>
      <c r="AD36" s="27" t="n">
        <f aca="false">IF(COUNT('Feijão 1ª safra'!$E34:$Z34)=0,0,MAX(0,IF((AD$6-$E$3)&lt;1,0,IFERROR(LOOKUP(2,1/('Feijão 1ª safra'!$E34:INDEX('Feijão 1ª safra'!$E34:$Z34,MIN(AD$6-$E$3,22))&lt;&gt;""),'Feijão 1ª safra'!$E34:INDEX('Feijão 1ª safra'!$E34:$Z34,MIN(AD$6-$E$3,22))),0))-IF($G$2,0,IF((AD$6-$G$3)&lt;1,0,IFERROR(LOOKUP(2,1/('Feijão 1ª safra'!$E34:INDEX('Feijão 1ª safra'!$E34:$Z34,MIN(AD$6-$G$3,22))&lt;&gt;""),'Feijão 1ª safra'!$E34:INDEX('Feijão 1ª safra'!$E34:$Z34,MIN(AD$6-$G$3,22))),0)))))</f>
        <v>0</v>
      </c>
      <c r="AE36" s="27" t="n">
        <f aca="false">IF(COUNT('Feijão 1ª safra'!$E34:$Z34)=0,0,MAX(0,IF((AE$6-$E$3)&lt;1,0,IFERROR(LOOKUP(2,1/('Feijão 1ª safra'!$E34:INDEX('Feijão 1ª safra'!$E34:$Z34,MIN(AE$6-$E$3,22))&lt;&gt;""),'Feijão 1ª safra'!$E34:INDEX('Feijão 1ª safra'!$E34:$Z34,MIN(AE$6-$E$3,22))),0))-IF($G$2,0,IF((AE$6-$G$3)&lt;1,0,IFERROR(LOOKUP(2,1/('Feijão 1ª safra'!$E34:INDEX('Feijão 1ª safra'!$E34:$Z34,MIN(AE$6-$G$3,22))&lt;&gt;""),'Feijão 1ª safra'!$E34:INDEX('Feijão 1ª safra'!$E34:$Z34,MIN(AE$6-$G$3,22))),0)))))</f>
        <v>0</v>
      </c>
      <c r="AF36" s="27" t="n">
        <f aca="false">IF(COUNT('Feijão 1ª safra'!$E34:$Z34)=0,0,MAX(0,IF((AF$6-$E$3)&lt;1,0,IFERROR(LOOKUP(2,1/('Feijão 1ª safra'!$E34:INDEX('Feijão 1ª safra'!$E34:$Z34,MIN(AF$6-$E$3,22))&lt;&gt;""),'Feijão 1ª safra'!$E34:INDEX('Feijão 1ª safra'!$E34:$Z34,MIN(AF$6-$E$3,22))),0))-IF($G$2,0,IF((AF$6-$G$3)&lt;1,0,IFERROR(LOOKUP(2,1/('Feijão 1ª safra'!$E34:INDEX('Feijão 1ª safra'!$E34:$Z34,MIN(AF$6-$G$3,22))&lt;&gt;""),'Feijão 1ª safra'!$E34:INDEX('Feijão 1ª safra'!$E34:$Z34,MIN(AF$6-$G$3,22))),0)))))</f>
        <v>0</v>
      </c>
      <c r="AG36" s="27" t="n">
        <f aca="false">IF(COUNT('Feijão 1ª safra'!$E34:$Z34)=0,0,MAX(0,IF((AG$6-$E$3)&lt;1,0,IFERROR(LOOKUP(2,1/('Feijão 1ª safra'!$E34:INDEX('Feijão 1ª safra'!$E34:$Z34,MIN(AG$6-$E$3,22))&lt;&gt;""),'Feijão 1ª safra'!$E34:INDEX('Feijão 1ª safra'!$E34:$Z34,MIN(AG$6-$E$3,22))),0))-IF($G$2,0,IF((AG$6-$G$3)&lt;1,0,IFERROR(LOOKUP(2,1/('Feijão 1ª safra'!$E34:INDEX('Feijão 1ª safra'!$E34:$Z34,MIN(AG$6-$G$3,22))&lt;&gt;""),'Feijão 1ª safra'!$E34:INDEX('Feijão 1ª safra'!$E34:$Z34,MIN(AG$6-$G$3,22))),0)))))</f>
        <v>0</v>
      </c>
      <c r="AH36" s="27" t="n">
        <f aca="false">IF(COUNT('Feijão 1ª safra'!$E34:$Z34)=0,0,MAX(0,IF((AH$6-$E$3)&lt;1,0,IFERROR(LOOKUP(2,1/('Feijão 1ª safra'!$E34:INDEX('Feijão 1ª safra'!$E34:$Z34,MIN(AH$6-$E$3,22))&lt;&gt;""),'Feijão 1ª safra'!$E34:INDEX('Feijão 1ª safra'!$E34:$Z34,MIN(AH$6-$E$3,22))),0))-IF($G$2,0,IF((AH$6-$G$3)&lt;1,0,IFERROR(LOOKUP(2,1/('Feijão 1ª safra'!$E34:INDEX('Feijão 1ª safra'!$E34:$Z34,MIN(AH$6-$G$3,22))&lt;&gt;""),'Feijão 1ª safra'!$E34:INDEX('Feijão 1ª safra'!$E34:$Z34,MIN(AH$6-$G$3,22))),0)))))</f>
        <v>0</v>
      </c>
      <c r="AI36" s="27" t="n">
        <f aca="false">IF(COUNT('Feijão 1ª safra'!$E34:$Z34)=0,0,MAX(0,IF((AI$6-$E$3)&lt;1,0,IFERROR(LOOKUP(2,1/('Feijão 1ª safra'!$E34:INDEX('Feijão 1ª safra'!$E34:$Z34,MIN(AI$6-$E$3,22))&lt;&gt;""),'Feijão 1ª safra'!$E34:INDEX('Feijão 1ª safra'!$E34:$Z34,MIN(AI$6-$E$3,22))),0))-IF($G$2,0,IF((AI$6-$G$3)&lt;1,0,IFERROR(LOOKUP(2,1/('Feijão 1ª safra'!$E34:INDEX('Feijão 1ª safra'!$E34:$Z34,MIN(AI$6-$G$3,22))&lt;&gt;""),'Feijão 1ª safra'!$E34:INDEX('Feijão 1ª safra'!$E34:$Z34,MIN(AI$6-$G$3,22))),0)))))</f>
        <v>0</v>
      </c>
      <c r="AJ36" s="27" t="n">
        <f aca="false">IF(COUNT('Feijão 1ª safra'!$E34:$Z34)=0,0,MAX(0,IF((AJ$6-$E$3)&lt;1,0,IFERROR(LOOKUP(2,1/('Feijão 1ª safra'!$E34:INDEX('Feijão 1ª safra'!$E34:$Z34,MIN(AJ$6-$E$3,22))&lt;&gt;""),'Feijão 1ª safra'!$E34:INDEX('Feijão 1ª safra'!$E34:$Z34,MIN(AJ$6-$E$3,22))),0))-IF($G$2,0,IF((AJ$6-$G$3)&lt;1,0,IFERROR(LOOKUP(2,1/('Feijão 1ª safra'!$E34:INDEX('Feijão 1ª safra'!$E34:$Z34,MIN(AJ$6-$G$3,22))&lt;&gt;""),'Feijão 1ª safra'!$E34:INDEX('Feijão 1ª safra'!$E34:$Z34,MIN(AJ$6-$G$3,22))),0)))))</f>
        <v>0</v>
      </c>
      <c r="AK36" s="27" t="n">
        <f aca="false">IF(COUNT('Feijão 1ª safra'!$E34:$Z34)=0,0,MAX(0,IF((AK$6-$E$3)&lt;1,0,IFERROR(LOOKUP(2,1/('Feijão 1ª safra'!$E34:INDEX('Feijão 1ª safra'!$E34:$Z34,MIN(AK$6-$E$3,22))&lt;&gt;""),'Feijão 1ª safra'!$E34:INDEX('Feijão 1ª safra'!$E34:$Z34,MIN(AK$6-$E$3,22))),0))-IF($G$2,0,IF((AK$6-$G$3)&lt;1,0,IFERROR(LOOKUP(2,1/('Feijão 1ª safra'!$E34:INDEX('Feijão 1ª safra'!$E34:$Z34,MIN(AK$6-$G$3,22))&lt;&gt;""),'Feijão 1ª safra'!$E34:INDEX('Feijão 1ª safra'!$E34:$Z34,MIN(AK$6-$G$3,22))),0)))))</f>
        <v>0</v>
      </c>
      <c r="AL36" s="27" t="n">
        <f aca="false">IF(COUNT('Feijão 1ª safra'!$E34:$Z34)=0,0,MAX(0,IF((AL$6-$E$3)&lt;1,0,IFERROR(LOOKUP(2,1/('Feijão 1ª safra'!$E34:INDEX('Feijão 1ª safra'!$E34:$Z34,MIN(AL$6-$E$3,22))&lt;&gt;""),'Feijão 1ª safra'!$E34:INDEX('Feijão 1ª safra'!$E34:$Z34,MIN(AL$6-$E$3,22))),0))-IF($G$2,0,IF((AL$6-$G$3)&lt;1,0,IFERROR(LOOKUP(2,1/('Feijão 1ª safra'!$E34:INDEX('Feijão 1ª safra'!$E34:$Z34,MIN(AL$6-$G$3,22))&lt;&gt;""),'Feijão 1ª safra'!$E34:INDEX('Feijão 1ª safra'!$E34:$Z34,MIN(AL$6-$G$3,22))),0)))))</f>
        <v>0</v>
      </c>
      <c r="AM36" s="27" t="n">
        <f aca="false">IF(COUNT('Feijão 1ª safra'!$E34:$Z34)=0,0,MAX(0,IF((AM$6-$E$3)&lt;1,0,IFERROR(LOOKUP(2,1/('Feijão 1ª safra'!$E34:INDEX('Feijão 1ª safra'!$E34:$Z34,MIN(AM$6-$E$3,22))&lt;&gt;""),'Feijão 1ª safra'!$E34:INDEX('Feijão 1ª safra'!$E34:$Z34,MIN(AM$6-$E$3,22))),0))-IF($G$2,0,IF((AM$6-$G$3)&lt;1,0,IFERROR(LOOKUP(2,1/('Feijão 1ª safra'!$E34:INDEX('Feijão 1ª safra'!$E34:$Z34,MIN(AM$6-$G$3,22))&lt;&gt;""),'Feijão 1ª safra'!$E34:INDEX('Feijão 1ª safra'!$E34:$Z34,MIN(AM$6-$G$3,22))),0)))))</f>
        <v>0</v>
      </c>
      <c r="AN36" s="27" t="n">
        <f aca="false">IF(COUNT('Feijão 1ª safra'!$E34:$Z34)=0,0,MAX(0,IF((AN$6-$E$3)&lt;1,0,IFERROR(LOOKUP(2,1/('Feijão 1ª safra'!$E34:INDEX('Feijão 1ª safra'!$E34:$Z34,MIN(AN$6-$E$3,22))&lt;&gt;""),'Feijão 1ª safra'!$E34:INDEX('Feijão 1ª safra'!$E34:$Z34,MIN(AN$6-$E$3,22))),0))-IF($G$2,0,IF((AN$6-$G$3)&lt;1,0,IFERROR(LOOKUP(2,1/('Feijão 1ª safra'!$E34:INDEX('Feijão 1ª safra'!$E34:$Z34,MIN(AN$6-$G$3,22))&lt;&gt;""),'Feijão 1ª safra'!$E34:INDEX('Feijão 1ª safra'!$E34:$Z34,MIN(AN$6-$G$3,22))),0)))))</f>
        <v>0</v>
      </c>
      <c r="AO36" s="27" t="n">
        <f aca="false">IF(COUNT('Feijão 1ª safra'!$E34:$Z34)=0,0,MAX(0,IF((AO$6-$E$3)&lt;1,0,IFERROR(LOOKUP(2,1/('Feijão 1ª safra'!$E34:INDEX('Feijão 1ª safra'!$E34:$Z34,MIN(AO$6-$E$3,22))&lt;&gt;""),'Feijão 1ª safra'!$E34:INDEX('Feijão 1ª safra'!$E34:$Z34,MIN(AO$6-$E$3,22))),0))-IF($G$2,0,IF((AO$6-$G$3)&lt;1,0,IFERROR(LOOKUP(2,1/('Feijão 1ª safra'!$E34:INDEX('Feijão 1ª safra'!$E34:$Z34,MIN(AO$6-$G$3,22))&lt;&gt;""),'Feijão 1ª safra'!$E34:INDEX('Feijão 1ª safra'!$E34:$Z34,MIN(AO$6-$G$3,22))),0)))))</f>
        <v>0</v>
      </c>
      <c r="AP36" s="27" t="n">
        <f aca="false">IF(COUNT('Feijão 1ª safra'!$E34:$Z34)=0,0,MAX(0,IF((AP$6-$E$3)&lt;1,0,IFERROR(LOOKUP(2,1/('Feijão 1ª safra'!$E34:INDEX('Feijão 1ª safra'!$E34:$Z34,MIN(AP$6-$E$3,22))&lt;&gt;""),'Feijão 1ª safra'!$E34:INDEX('Feijão 1ª safra'!$E34:$Z34,MIN(AP$6-$E$3,22))),0))-IF($G$2,0,IF((AP$6-$G$3)&lt;1,0,IFERROR(LOOKUP(2,1/('Feijão 1ª safra'!$E34:INDEX('Feijão 1ª safra'!$E34:$Z34,MIN(AP$6-$G$3,22))&lt;&gt;""),'Feijão 1ª safra'!$E34:INDEX('Feijão 1ª safra'!$E34:$Z34,MIN(AP$6-$G$3,22))),0)))))</f>
        <v>0</v>
      </c>
      <c r="AQ36" s="27" t="n">
        <f aca="false">IF(COUNT('Feijão 1ª safra'!$E34:$Z34)=0,0,MAX(0,IF((AQ$6-$E$3)&lt;1,0,IFERROR(LOOKUP(2,1/('Feijão 1ª safra'!$E34:INDEX('Feijão 1ª safra'!$E34:$Z34,MIN(AQ$6-$E$3,22))&lt;&gt;""),'Feijão 1ª safra'!$E34:INDEX('Feijão 1ª safra'!$E34:$Z34,MIN(AQ$6-$E$3,22))),0))-IF($G$2,0,IF((AQ$6-$G$3)&lt;1,0,IFERROR(LOOKUP(2,1/('Feijão 1ª safra'!$E34:INDEX('Feijão 1ª safra'!$E34:$Z34,MIN(AQ$6-$G$3,22))&lt;&gt;""),'Feijão 1ª safra'!$E34:INDEX('Feijão 1ª safra'!$E34:$Z34,MIN(AQ$6-$G$3,22))),0)))))</f>
        <v>0</v>
      </c>
      <c r="AR36" s="27" t="n">
        <f aca="false">IF(COUNT('Feijão 1ª safra'!$E34:$Z34)=0,0,MAX(0,IF((AR$6-$E$3)&lt;1,0,IFERROR(LOOKUP(2,1/('Feijão 1ª safra'!$E34:INDEX('Feijão 1ª safra'!$E34:$Z34,MIN(AR$6-$E$3,22))&lt;&gt;""),'Feijão 1ª safra'!$E34:INDEX('Feijão 1ª safra'!$E34:$Z34,MIN(AR$6-$E$3,22))),0))-IF($G$2,0,IF((AR$6-$G$3)&lt;1,0,IFERROR(LOOKUP(2,1/('Feijão 1ª safra'!$E34:INDEX('Feijão 1ª safra'!$E34:$Z34,MIN(AR$6-$G$3,22))&lt;&gt;""),'Feijão 1ª safra'!$E34:INDEX('Feijão 1ª safra'!$E34:$Z34,MIN(AR$6-$G$3,22))),0)))))</f>
        <v>0</v>
      </c>
      <c r="AS36" s="27" t="n">
        <f aca="false">IF(COUNT('Feijão 1ª safra'!$E34:$Z34)=0,0,MAX(0,IF((AS$6-$E$3)&lt;1,0,IFERROR(LOOKUP(2,1/('Feijão 1ª safra'!$E34:INDEX('Feijão 1ª safra'!$E34:$Z34,MIN(AS$6-$E$3,22))&lt;&gt;""),'Feijão 1ª safra'!$E34:INDEX('Feijão 1ª safra'!$E34:$Z34,MIN(AS$6-$E$3,22))),0))-IF($G$2,0,IF((AS$6-$G$3)&lt;1,0,IFERROR(LOOKUP(2,1/('Feijão 1ª safra'!$E34:INDEX('Feijão 1ª safra'!$E34:$Z34,MIN(AS$6-$G$3,22))&lt;&gt;""),'Feijão 1ª safra'!$E34:INDEX('Feijão 1ª safra'!$E34:$Z34,MIN(AS$6-$G$3,22))),0)))))</f>
        <v>0</v>
      </c>
      <c r="AT36" s="27" t="n">
        <f aca="false">IF(COUNT('Feijão 1ª safra'!$E34:$Z34)=0,0,MAX(0,IF((AT$6-$E$3)&lt;1,0,IFERROR(LOOKUP(2,1/('Feijão 1ª safra'!$E34:INDEX('Feijão 1ª safra'!$E34:$Z34,MIN(AT$6-$E$3,22))&lt;&gt;""),'Feijão 1ª safra'!$E34:INDEX('Feijão 1ª safra'!$E34:$Z34,MIN(AT$6-$E$3,22))),0))-IF($G$2,0,IF((AT$6-$G$3)&lt;1,0,IFERROR(LOOKUP(2,1/('Feijão 1ª safra'!$E34:INDEX('Feijão 1ª safra'!$E34:$Z34,MIN(AT$6-$G$3,22))&lt;&gt;""),'Feijão 1ª safra'!$E34:INDEX('Feijão 1ª safra'!$E34:$Z34,MIN(AT$6-$G$3,22))),0)))))</f>
        <v>0</v>
      </c>
      <c r="AU36" s="27" t="n">
        <f aca="false">IF(COUNT('Feijão 1ª safra'!$E34:$Z34)=0,0,MAX(0,IF((AU$6-$E$3)&lt;1,0,IFERROR(LOOKUP(2,1/('Feijão 1ª safra'!$E34:INDEX('Feijão 1ª safra'!$E34:$Z34,MIN(AU$6-$E$3,22))&lt;&gt;""),'Feijão 1ª safra'!$E34:INDEX('Feijão 1ª safra'!$E34:$Z34,MIN(AU$6-$E$3,22))),0))-IF($G$2,0,IF((AU$6-$G$3)&lt;1,0,IFERROR(LOOKUP(2,1/('Feijão 1ª safra'!$E34:INDEX('Feijão 1ª safra'!$E34:$Z34,MIN(AU$6-$G$3,22))&lt;&gt;""),'Feijão 1ª safra'!$E34:INDEX('Feijão 1ª safra'!$E34:$Z34,MIN(AU$6-$G$3,22))),0)))))</f>
        <v>0</v>
      </c>
      <c r="AV36" s="27" t="n">
        <f aca="false">IF(COUNT('Feijão 1ª safra'!$E34:$Z34)=0,0,MAX(0,IF((AV$6-$E$3)&lt;1,0,IFERROR(LOOKUP(2,1/('Feijão 1ª safra'!$E34:INDEX('Feijão 1ª safra'!$E34:$Z34,MIN(AV$6-$E$3,22))&lt;&gt;""),'Feijão 1ª safra'!$E34:INDEX('Feijão 1ª safra'!$E34:$Z34,MIN(AV$6-$E$3,22))),0))-IF($G$2,0,IF((AV$6-$G$3)&lt;1,0,IFERROR(LOOKUP(2,1/('Feijão 1ª safra'!$E34:INDEX('Feijão 1ª safra'!$E34:$Z34,MIN(AV$6-$G$3,22))&lt;&gt;""),'Feijão 1ª safra'!$E34:INDEX('Feijão 1ª safra'!$E34:$Z34,MIN(AV$6-$G$3,22))),0)))))</f>
        <v>0</v>
      </c>
      <c r="AW36" s="27" t="n">
        <f aca="false">IF(COUNT('Feijão 1ª safra'!$E34:$Z34)=0,0,MAX(0,IF((AW$6-$E$3)&lt;1,0,IFERROR(LOOKUP(2,1/('Feijão 1ª safra'!$E34:INDEX('Feijão 1ª safra'!$E34:$Z34,MIN(AW$6-$E$3,22))&lt;&gt;""),'Feijão 1ª safra'!$E34:INDEX('Feijão 1ª safra'!$E34:$Z34,MIN(AW$6-$E$3,22))),0))-IF($G$2,0,IF((AW$6-$G$3)&lt;1,0,IFERROR(LOOKUP(2,1/('Feijão 1ª safra'!$E34:INDEX('Feijão 1ª safra'!$E34:$Z34,MIN(AW$6-$G$3,22))&lt;&gt;""),'Feijão 1ª safra'!$E34:INDEX('Feijão 1ª safra'!$E34:$Z34,MIN(AW$6-$G$3,22))),0)))))</f>
        <v>0</v>
      </c>
      <c r="AX36" s="27" t="n">
        <f aca="false">IF(COUNT('Feijão 1ª safra'!$E34:$Z34)=0,0,MAX(0,IF((AX$6-$E$3)&lt;1,0,IFERROR(LOOKUP(2,1/('Feijão 1ª safra'!$E34:INDEX('Feijão 1ª safra'!$E34:$Z34,MIN(AX$6-$E$3,22))&lt;&gt;""),'Feijão 1ª safra'!$E34:INDEX('Feijão 1ª safra'!$E34:$Z34,MIN(AX$6-$E$3,22))),0))-IF($G$2,0,IF((AX$6-$G$3)&lt;1,0,IFERROR(LOOKUP(2,1/('Feijão 1ª safra'!$E34:INDEX('Feijão 1ª safra'!$E34:$Z34,MIN(AX$6-$G$3,22))&lt;&gt;""),'Feijão 1ª safra'!$E34:INDEX('Feijão 1ª safra'!$E34:$Z34,MIN(AX$6-$G$3,22))),0)))))</f>
        <v>0</v>
      </c>
      <c r="AY36" s="27" t="n">
        <f aca="false">IF(COUNT('Feijão 1ª safra'!$E34:$Z34)=0,0,MAX(0,IF((AY$6-$E$3)&lt;1,0,IFERROR(LOOKUP(2,1/('Feijão 1ª safra'!$E34:INDEX('Feijão 1ª safra'!$E34:$Z34,MIN(AY$6-$E$3,22))&lt;&gt;""),'Feijão 1ª safra'!$E34:INDEX('Feijão 1ª safra'!$E34:$Z34,MIN(AY$6-$E$3,22))),0))-IF($G$2,0,IF((AY$6-$G$3)&lt;1,0,IFERROR(LOOKUP(2,1/('Feijão 1ª safra'!$E34:INDEX('Feijão 1ª safra'!$E34:$Z34,MIN(AY$6-$G$3,22))&lt;&gt;""),'Feijão 1ª safra'!$E34:INDEX('Feijão 1ª safra'!$E34:$Z34,MIN(AY$6-$G$3,22))),0)))))</f>
        <v>0</v>
      </c>
      <c r="AZ36" s="27" t="n">
        <f aca="false">IF(COUNT('Feijão 1ª safra'!$E34:$Z34)=0,0,MAX(0,IF((AZ$6-$E$3)&lt;1,0,IFERROR(LOOKUP(2,1/('Feijão 1ª safra'!$E34:INDEX('Feijão 1ª safra'!$E34:$Z34,MIN(AZ$6-$E$3,22))&lt;&gt;""),'Feijão 1ª safra'!$E34:INDEX('Feijão 1ª safra'!$E34:$Z34,MIN(AZ$6-$E$3,22))),0))-IF($G$2,0,IF((AZ$6-$G$3)&lt;1,0,IFERROR(LOOKUP(2,1/('Feijão 1ª safra'!$E34:INDEX('Feijão 1ª safra'!$E34:$Z34,MIN(AZ$6-$G$3,22))&lt;&gt;""),'Feijão 1ª safra'!$E34:INDEX('Feijão 1ª safra'!$E34:$Z34,MIN(AZ$6-$G$3,22))),0)))))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IF(COUNT('Feijão 1ª safra'!$E35:$Z35)&gt;0,N('Feijão 1ª safra'!$D35),0)</f>
        <v>0</v>
      </c>
      <c r="E37" s="27" t="n">
        <f aca="false">IF(COUNT('Feijão 1ª safra'!$E35:$Z35)=0,0,MAX(0,IF((E$6-$E$3)&lt;1,0,IFERROR(LOOKUP(2,1/('Feijão 1ª safra'!$E35:INDEX('Feijão 1ª safra'!$E35:$Z35,MIN(E$6-$E$3,22))&lt;&gt;""),'Feijão 1ª safra'!$E35:INDEX('Feijão 1ª safra'!$E35:$Z35,MIN(E$6-$E$3,22))),0))-IF($G$2,0,IF((E$6-$G$3)&lt;1,0,IFERROR(LOOKUP(2,1/('Feijão 1ª safra'!$E35:INDEX('Feijão 1ª safra'!$E35:$Z35,MIN(E$6-$G$3,22))&lt;&gt;""),'Feijão 1ª safra'!$E35:INDEX('Feijão 1ª safra'!$E35:$Z35,MIN(E$6-$G$3,22))),0)))))</f>
        <v>0</v>
      </c>
      <c r="F37" s="27" t="n">
        <f aca="false">IF(COUNT('Feijão 1ª safra'!$E35:$Z35)=0,0,MAX(0,IF((F$6-$E$3)&lt;1,0,IFERROR(LOOKUP(2,1/('Feijão 1ª safra'!$E35:INDEX('Feijão 1ª safra'!$E35:$Z35,MIN(F$6-$E$3,22))&lt;&gt;""),'Feijão 1ª safra'!$E35:INDEX('Feijão 1ª safra'!$E35:$Z35,MIN(F$6-$E$3,22))),0))-IF($G$2,0,IF((F$6-$G$3)&lt;1,0,IFERROR(LOOKUP(2,1/('Feijão 1ª safra'!$E35:INDEX('Feijão 1ª safra'!$E35:$Z35,MIN(F$6-$G$3,22))&lt;&gt;""),'Feijão 1ª safra'!$E35:INDEX('Feijão 1ª safra'!$E35:$Z35,MIN(F$6-$G$3,22))),0)))))</f>
        <v>0</v>
      </c>
      <c r="G37" s="27" t="n">
        <f aca="false">IF(COUNT('Feijão 1ª safra'!$E35:$Z35)=0,0,MAX(0,IF((G$6-$E$3)&lt;1,0,IFERROR(LOOKUP(2,1/('Feijão 1ª safra'!$E35:INDEX('Feijão 1ª safra'!$E35:$Z35,MIN(G$6-$E$3,22))&lt;&gt;""),'Feijão 1ª safra'!$E35:INDEX('Feijão 1ª safra'!$E35:$Z35,MIN(G$6-$E$3,22))),0))-IF($G$2,0,IF((G$6-$G$3)&lt;1,0,IFERROR(LOOKUP(2,1/('Feijão 1ª safra'!$E35:INDEX('Feijão 1ª safra'!$E35:$Z35,MIN(G$6-$G$3,22))&lt;&gt;""),'Feijão 1ª safra'!$E35:INDEX('Feijão 1ª safra'!$E35:$Z35,MIN(G$6-$G$3,22))),0)))))</f>
        <v>0</v>
      </c>
      <c r="H37" s="27" t="n">
        <f aca="false">IF(COUNT('Feijão 1ª safra'!$E35:$Z35)=0,0,MAX(0,IF((H$6-$E$3)&lt;1,0,IFERROR(LOOKUP(2,1/('Feijão 1ª safra'!$E35:INDEX('Feijão 1ª safra'!$E35:$Z35,MIN(H$6-$E$3,22))&lt;&gt;""),'Feijão 1ª safra'!$E35:INDEX('Feijão 1ª safra'!$E35:$Z35,MIN(H$6-$E$3,22))),0))-IF($G$2,0,IF((H$6-$G$3)&lt;1,0,IFERROR(LOOKUP(2,1/('Feijão 1ª safra'!$E35:INDEX('Feijão 1ª safra'!$E35:$Z35,MIN(H$6-$G$3,22))&lt;&gt;""),'Feijão 1ª safra'!$E35:INDEX('Feijão 1ª safra'!$E35:$Z35,MIN(H$6-$G$3,22))),0)))))</f>
        <v>0</v>
      </c>
      <c r="I37" s="27" t="n">
        <f aca="false">IF(COUNT('Feijão 1ª safra'!$E35:$Z35)=0,0,MAX(0,IF((I$6-$E$3)&lt;1,0,IFERROR(LOOKUP(2,1/('Feijão 1ª safra'!$E35:INDEX('Feijão 1ª safra'!$E35:$Z35,MIN(I$6-$E$3,22))&lt;&gt;""),'Feijão 1ª safra'!$E35:INDEX('Feijão 1ª safra'!$E35:$Z35,MIN(I$6-$E$3,22))),0))-IF($G$2,0,IF((I$6-$G$3)&lt;1,0,IFERROR(LOOKUP(2,1/('Feijão 1ª safra'!$E35:INDEX('Feijão 1ª safra'!$E35:$Z35,MIN(I$6-$G$3,22))&lt;&gt;""),'Feijão 1ª safra'!$E35:INDEX('Feijão 1ª safra'!$E35:$Z35,MIN(I$6-$G$3,22))),0)))))</f>
        <v>0</v>
      </c>
      <c r="J37" s="27" t="n">
        <f aca="false">IF(COUNT('Feijão 1ª safra'!$E35:$Z35)=0,0,MAX(0,IF((J$6-$E$3)&lt;1,0,IFERROR(LOOKUP(2,1/('Feijão 1ª safra'!$E35:INDEX('Feijão 1ª safra'!$E35:$Z35,MIN(J$6-$E$3,22))&lt;&gt;""),'Feijão 1ª safra'!$E35:INDEX('Feijão 1ª safra'!$E35:$Z35,MIN(J$6-$E$3,22))),0))-IF($G$2,0,IF((J$6-$G$3)&lt;1,0,IFERROR(LOOKUP(2,1/('Feijão 1ª safra'!$E35:INDEX('Feijão 1ª safra'!$E35:$Z35,MIN(J$6-$G$3,22))&lt;&gt;""),'Feijão 1ª safra'!$E35:INDEX('Feijão 1ª safra'!$E35:$Z35,MIN(J$6-$G$3,22))),0)))))</f>
        <v>0</v>
      </c>
      <c r="K37" s="27" t="n">
        <f aca="false">IF(COUNT('Feijão 1ª safra'!$E35:$Z35)=0,0,MAX(0,IF((K$6-$E$3)&lt;1,0,IFERROR(LOOKUP(2,1/('Feijão 1ª safra'!$E35:INDEX('Feijão 1ª safra'!$E35:$Z35,MIN(K$6-$E$3,22))&lt;&gt;""),'Feijão 1ª safra'!$E35:INDEX('Feijão 1ª safra'!$E35:$Z35,MIN(K$6-$E$3,22))),0))-IF($G$2,0,IF((K$6-$G$3)&lt;1,0,IFERROR(LOOKUP(2,1/('Feijão 1ª safra'!$E35:INDEX('Feijão 1ª safra'!$E35:$Z35,MIN(K$6-$G$3,22))&lt;&gt;""),'Feijão 1ª safra'!$E35:INDEX('Feijão 1ª safra'!$E35:$Z35,MIN(K$6-$G$3,22))),0)))))</f>
        <v>0</v>
      </c>
      <c r="L37" s="27" t="n">
        <f aca="false">IF(COUNT('Feijão 1ª safra'!$E35:$Z35)=0,0,MAX(0,IF((L$6-$E$3)&lt;1,0,IFERROR(LOOKUP(2,1/('Feijão 1ª safra'!$E35:INDEX('Feijão 1ª safra'!$E35:$Z35,MIN(L$6-$E$3,22))&lt;&gt;""),'Feijão 1ª safra'!$E35:INDEX('Feijão 1ª safra'!$E35:$Z35,MIN(L$6-$E$3,22))),0))-IF($G$2,0,IF((L$6-$G$3)&lt;1,0,IFERROR(LOOKUP(2,1/('Feijão 1ª safra'!$E35:INDEX('Feijão 1ª safra'!$E35:$Z35,MIN(L$6-$G$3,22))&lt;&gt;""),'Feijão 1ª safra'!$E35:INDEX('Feijão 1ª safra'!$E35:$Z35,MIN(L$6-$G$3,22))),0)))))</f>
        <v>0</v>
      </c>
      <c r="M37" s="27" t="n">
        <f aca="false">IF(COUNT('Feijão 1ª safra'!$E35:$Z35)=0,0,MAX(0,IF((M$6-$E$3)&lt;1,0,IFERROR(LOOKUP(2,1/('Feijão 1ª safra'!$E35:INDEX('Feijão 1ª safra'!$E35:$Z35,MIN(M$6-$E$3,22))&lt;&gt;""),'Feijão 1ª safra'!$E35:INDEX('Feijão 1ª safra'!$E35:$Z35,MIN(M$6-$E$3,22))),0))-IF($G$2,0,IF((M$6-$G$3)&lt;1,0,IFERROR(LOOKUP(2,1/('Feijão 1ª safra'!$E35:INDEX('Feijão 1ª safra'!$E35:$Z35,MIN(M$6-$G$3,22))&lt;&gt;""),'Feijão 1ª safra'!$E35:INDEX('Feijão 1ª safra'!$E35:$Z35,MIN(M$6-$G$3,22))),0)))))</f>
        <v>0</v>
      </c>
      <c r="N37" s="27" t="n">
        <f aca="false">IF(COUNT('Feijão 1ª safra'!$E35:$Z35)=0,0,MAX(0,IF((N$6-$E$3)&lt;1,0,IFERROR(LOOKUP(2,1/('Feijão 1ª safra'!$E35:INDEX('Feijão 1ª safra'!$E35:$Z35,MIN(N$6-$E$3,22))&lt;&gt;""),'Feijão 1ª safra'!$E35:INDEX('Feijão 1ª safra'!$E35:$Z35,MIN(N$6-$E$3,22))),0))-IF($G$2,0,IF((N$6-$G$3)&lt;1,0,IFERROR(LOOKUP(2,1/('Feijão 1ª safra'!$E35:INDEX('Feijão 1ª safra'!$E35:$Z35,MIN(N$6-$G$3,22))&lt;&gt;""),'Feijão 1ª safra'!$E35:INDEX('Feijão 1ª safra'!$E35:$Z35,MIN(N$6-$G$3,22))),0)))))</f>
        <v>0</v>
      </c>
      <c r="O37" s="27" t="n">
        <f aca="false">IF(COUNT('Feijão 1ª safra'!$E35:$Z35)=0,0,MAX(0,IF((O$6-$E$3)&lt;1,0,IFERROR(LOOKUP(2,1/('Feijão 1ª safra'!$E35:INDEX('Feijão 1ª safra'!$E35:$Z35,MIN(O$6-$E$3,22))&lt;&gt;""),'Feijão 1ª safra'!$E35:INDEX('Feijão 1ª safra'!$E35:$Z35,MIN(O$6-$E$3,22))),0))-IF($G$2,0,IF((O$6-$G$3)&lt;1,0,IFERROR(LOOKUP(2,1/('Feijão 1ª safra'!$E35:INDEX('Feijão 1ª safra'!$E35:$Z35,MIN(O$6-$G$3,22))&lt;&gt;""),'Feijão 1ª safra'!$E35:INDEX('Feijão 1ª safra'!$E35:$Z35,MIN(O$6-$G$3,22))),0)))))</f>
        <v>0</v>
      </c>
      <c r="P37" s="27" t="n">
        <f aca="false">IF(COUNT('Feijão 1ª safra'!$E35:$Z35)=0,0,MAX(0,IF((P$6-$E$3)&lt;1,0,IFERROR(LOOKUP(2,1/('Feijão 1ª safra'!$E35:INDEX('Feijão 1ª safra'!$E35:$Z35,MIN(P$6-$E$3,22))&lt;&gt;""),'Feijão 1ª safra'!$E35:INDEX('Feijão 1ª safra'!$E35:$Z35,MIN(P$6-$E$3,22))),0))-IF($G$2,0,IF((P$6-$G$3)&lt;1,0,IFERROR(LOOKUP(2,1/('Feijão 1ª safra'!$E35:INDEX('Feijão 1ª safra'!$E35:$Z35,MIN(P$6-$G$3,22))&lt;&gt;""),'Feijão 1ª safra'!$E35:INDEX('Feijão 1ª safra'!$E35:$Z35,MIN(P$6-$G$3,22))),0)))))</f>
        <v>0</v>
      </c>
      <c r="Q37" s="27" t="n">
        <f aca="false">IF(COUNT('Feijão 1ª safra'!$E35:$Z35)=0,0,MAX(0,IF((Q$6-$E$3)&lt;1,0,IFERROR(LOOKUP(2,1/('Feijão 1ª safra'!$E35:INDEX('Feijão 1ª safra'!$E35:$Z35,MIN(Q$6-$E$3,22))&lt;&gt;""),'Feijão 1ª safra'!$E35:INDEX('Feijão 1ª safra'!$E35:$Z35,MIN(Q$6-$E$3,22))),0))-IF($G$2,0,IF((Q$6-$G$3)&lt;1,0,IFERROR(LOOKUP(2,1/('Feijão 1ª safra'!$E35:INDEX('Feijão 1ª safra'!$E35:$Z35,MIN(Q$6-$G$3,22))&lt;&gt;""),'Feijão 1ª safra'!$E35:INDEX('Feijão 1ª safra'!$E35:$Z35,MIN(Q$6-$G$3,22))),0)))))</f>
        <v>0</v>
      </c>
      <c r="R37" s="27" t="n">
        <f aca="false">IF(COUNT('Feijão 1ª safra'!$E35:$Z35)=0,0,MAX(0,IF((R$6-$E$3)&lt;1,0,IFERROR(LOOKUP(2,1/('Feijão 1ª safra'!$E35:INDEX('Feijão 1ª safra'!$E35:$Z35,MIN(R$6-$E$3,22))&lt;&gt;""),'Feijão 1ª safra'!$E35:INDEX('Feijão 1ª safra'!$E35:$Z35,MIN(R$6-$E$3,22))),0))-IF($G$2,0,IF((R$6-$G$3)&lt;1,0,IFERROR(LOOKUP(2,1/('Feijão 1ª safra'!$E35:INDEX('Feijão 1ª safra'!$E35:$Z35,MIN(R$6-$G$3,22))&lt;&gt;""),'Feijão 1ª safra'!$E35:INDEX('Feijão 1ª safra'!$E35:$Z35,MIN(R$6-$G$3,22))),0)))))</f>
        <v>0</v>
      </c>
      <c r="S37" s="27" t="n">
        <f aca="false">IF(COUNT('Feijão 1ª safra'!$E35:$Z35)=0,0,MAX(0,IF((S$6-$E$3)&lt;1,0,IFERROR(LOOKUP(2,1/('Feijão 1ª safra'!$E35:INDEX('Feijão 1ª safra'!$E35:$Z35,MIN(S$6-$E$3,22))&lt;&gt;""),'Feijão 1ª safra'!$E35:INDEX('Feijão 1ª safra'!$E35:$Z35,MIN(S$6-$E$3,22))),0))-IF($G$2,0,IF((S$6-$G$3)&lt;1,0,IFERROR(LOOKUP(2,1/('Feijão 1ª safra'!$E35:INDEX('Feijão 1ª safra'!$E35:$Z35,MIN(S$6-$G$3,22))&lt;&gt;""),'Feijão 1ª safra'!$E35:INDEX('Feijão 1ª safra'!$E35:$Z35,MIN(S$6-$G$3,22))),0)))))</f>
        <v>0</v>
      </c>
      <c r="T37" s="27" t="n">
        <f aca="false">IF(COUNT('Feijão 1ª safra'!$E35:$Z35)=0,0,MAX(0,IF((T$6-$E$3)&lt;1,0,IFERROR(LOOKUP(2,1/('Feijão 1ª safra'!$E35:INDEX('Feijão 1ª safra'!$E35:$Z35,MIN(T$6-$E$3,22))&lt;&gt;""),'Feijão 1ª safra'!$E35:INDEX('Feijão 1ª safra'!$E35:$Z35,MIN(T$6-$E$3,22))),0))-IF($G$2,0,IF((T$6-$G$3)&lt;1,0,IFERROR(LOOKUP(2,1/('Feijão 1ª safra'!$E35:INDEX('Feijão 1ª safra'!$E35:$Z35,MIN(T$6-$G$3,22))&lt;&gt;""),'Feijão 1ª safra'!$E35:INDEX('Feijão 1ª safra'!$E35:$Z35,MIN(T$6-$G$3,22))),0)))))</f>
        <v>0</v>
      </c>
      <c r="U37" s="27" t="n">
        <f aca="false">IF(COUNT('Feijão 1ª safra'!$E35:$Z35)=0,0,MAX(0,IF((U$6-$E$3)&lt;1,0,IFERROR(LOOKUP(2,1/('Feijão 1ª safra'!$E35:INDEX('Feijão 1ª safra'!$E35:$Z35,MIN(U$6-$E$3,22))&lt;&gt;""),'Feijão 1ª safra'!$E35:INDEX('Feijão 1ª safra'!$E35:$Z35,MIN(U$6-$E$3,22))),0))-IF($G$2,0,IF((U$6-$G$3)&lt;1,0,IFERROR(LOOKUP(2,1/('Feijão 1ª safra'!$E35:INDEX('Feijão 1ª safra'!$E35:$Z35,MIN(U$6-$G$3,22))&lt;&gt;""),'Feijão 1ª safra'!$E35:INDEX('Feijão 1ª safra'!$E35:$Z35,MIN(U$6-$G$3,22))),0)))))</f>
        <v>0</v>
      </c>
      <c r="V37" s="27" t="n">
        <f aca="false">IF(COUNT('Feijão 1ª safra'!$E35:$Z35)=0,0,MAX(0,IF((V$6-$E$3)&lt;1,0,IFERROR(LOOKUP(2,1/('Feijão 1ª safra'!$E35:INDEX('Feijão 1ª safra'!$E35:$Z35,MIN(V$6-$E$3,22))&lt;&gt;""),'Feijão 1ª safra'!$E35:INDEX('Feijão 1ª safra'!$E35:$Z35,MIN(V$6-$E$3,22))),0))-IF($G$2,0,IF((V$6-$G$3)&lt;1,0,IFERROR(LOOKUP(2,1/('Feijão 1ª safra'!$E35:INDEX('Feijão 1ª safra'!$E35:$Z35,MIN(V$6-$G$3,22))&lt;&gt;""),'Feijão 1ª safra'!$E35:INDEX('Feijão 1ª safra'!$E35:$Z35,MIN(V$6-$G$3,22))),0)))))</f>
        <v>0</v>
      </c>
      <c r="W37" s="27" t="n">
        <f aca="false">IF(COUNT('Feijão 1ª safra'!$E35:$Z35)=0,0,MAX(0,IF((W$6-$E$3)&lt;1,0,IFERROR(LOOKUP(2,1/('Feijão 1ª safra'!$E35:INDEX('Feijão 1ª safra'!$E35:$Z35,MIN(W$6-$E$3,22))&lt;&gt;""),'Feijão 1ª safra'!$E35:INDEX('Feijão 1ª safra'!$E35:$Z35,MIN(W$6-$E$3,22))),0))-IF($G$2,0,IF((W$6-$G$3)&lt;1,0,IFERROR(LOOKUP(2,1/('Feijão 1ª safra'!$E35:INDEX('Feijão 1ª safra'!$E35:$Z35,MIN(W$6-$G$3,22))&lt;&gt;""),'Feijão 1ª safra'!$E35:INDEX('Feijão 1ª safra'!$E35:$Z35,MIN(W$6-$G$3,22))),0)))))</f>
        <v>0</v>
      </c>
      <c r="X37" s="27" t="n">
        <f aca="false">IF(COUNT('Feijão 1ª safra'!$E35:$Z35)=0,0,MAX(0,IF((X$6-$E$3)&lt;1,0,IFERROR(LOOKUP(2,1/('Feijão 1ª safra'!$E35:INDEX('Feijão 1ª safra'!$E35:$Z35,MIN(X$6-$E$3,22))&lt;&gt;""),'Feijão 1ª safra'!$E35:INDEX('Feijão 1ª safra'!$E35:$Z35,MIN(X$6-$E$3,22))),0))-IF($G$2,0,IF((X$6-$G$3)&lt;1,0,IFERROR(LOOKUP(2,1/('Feijão 1ª safra'!$E35:INDEX('Feijão 1ª safra'!$E35:$Z35,MIN(X$6-$G$3,22))&lt;&gt;""),'Feijão 1ª safra'!$E35:INDEX('Feijão 1ª safra'!$E35:$Z35,MIN(X$6-$G$3,22))),0)))))</f>
        <v>0</v>
      </c>
      <c r="Y37" s="27" t="n">
        <f aca="false">IF(COUNT('Feijão 1ª safra'!$E35:$Z35)=0,0,MAX(0,IF((Y$6-$E$3)&lt;1,0,IFERROR(LOOKUP(2,1/('Feijão 1ª safra'!$E35:INDEX('Feijão 1ª safra'!$E35:$Z35,MIN(Y$6-$E$3,22))&lt;&gt;""),'Feijão 1ª safra'!$E35:INDEX('Feijão 1ª safra'!$E35:$Z35,MIN(Y$6-$E$3,22))),0))-IF($G$2,0,IF((Y$6-$G$3)&lt;1,0,IFERROR(LOOKUP(2,1/('Feijão 1ª safra'!$E35:INDEX('Feijão 1ª safra'!$E35:$Z35,MIN(Y$6-$G$3,22))&lt;&gt;""),'Feijão 1ª safra'!$E35:INDEX('Feijão 1ª safra'!$E35:$Z35,MIN(Y$6-$G$3,22))),0)))))</f>
        <v>0</v>
      </c>
      <c r="Z37" s="27" t="n">
        <f aca="false">IF(COUNT('Feijão 1ª safra'!$E35:$Z35)=0,0,MAX(0,IF((Z$6-$E$3)&lt;1,0,IFERROR(LOOKUP(2,1/('Feijão 1ª safra'!$E35:INDEX('Feijão 1ª safra'!$E35:$Z35,MIN(Z$6-$E$3,22))&lt;&gt;""),'Feijão 1ª safra'!$E35:INDEX('Feijão 1ª safra'!$E35:$Z35,MIN(Z$6-$E$3,22))),0))-IF($G$2,0,IF((Z$6-$G$3)&lt;1,0,IFERROR(LOOKUP(2,1/('Feijão 1ª safra'!$E35:INDEX('Feijão 1ª safra'!$E35:$Z35,MIN(Z$6-$G$3,22))&lt;&gt;""),'Feijão 1ª safra'!$E35:INDEX('Feijão 1ª safra'!$E35:$Z35,MIN(Z$6-$G$3,22))),0)))))</f>
        <v>0</v>
      </c>
      <c r="AA37" s="27" t="n">
        <f aca="false">IF(COUNT('Feijão 1ª safra'!$E35:$Z35)=0,0,MAX(0,IF((AA$6-$E$3)&lt;1,0,IFERROR(LOOKUP(2,1/('Feijão 1ª safra'!$E35:INDEX('Feijão 1ª safra'!$E35:$Z35,MIN(AA$6-$E$3,22))&lt;&gt;""),'Feijão 1ª safra'!$E35:INDEX('Feijão 1ª safra'!$E35:$Z35,MIN(AA$6-$E$3,22))),0))-IF($G$2,0,IF((AA$6-$G$3)&lt;1,0,IFERROR(LOOKUP(2,1/('Feijão 1ª safra'!$E35:INDEX('Feijão 1ª safra'!$E35:$Z35,MIN(AA$6-$G$3,22))&lt;&gt;""),'Feijão 1ª safra'!$E35:INDEX('Feijão 1ª safra'!$E35:$Z35,MIN(AA$6-$G$3,22))),0)))))</f>
        <v>0</v>
      </c>
      <c r="AB37" s="27" t="n">
        <f aca="false">IF(COUNT('Feijão 1ª safra'!$E35:$Z35)=0,0,MAX(0,IF((AB$6-$E$3)&lt;1,0,IFERROR(LOOKUP(2,1/('Feijão 1ª safra'!$E35:INDEX('Feijão 1ª safra'!$E35:$Z35,MIN(AB$6-$E$3,22))&lt;&gt;""),'Feijão 1ª safra'!$E35:INDEX('Feijão 1ª safra'!$E35:$Z35,MIN(AB$6-$E$3,22))),0))-IF($G$2,0,IF((AB$6-$G$3)&lt;1,0,IFERROR(LOOKUP(2,1/('Feijão 1ª safra'!$E35:INDEX('Feijão 1ª safra'!$E35:$Z35,MIN(AB$6-$G$3,22))&lt;&gt;""),'Feijão 1ª safra'!$E35:INDEX('Feijão 1ª safra'!$E35:$Z35,MIN(AB$6-$G$3,22))),0)))))</f>
        <v>0</v>
      </c>
      <c r="AC37" s="27" t="n">
        <f aca="false">IF(COUNT('Feijão 1ª safra'!$E35:$Z35)=0,0,MAX(0,IF((AC$6-$E$3)&lt;1,0,IFERROR(LOOKUP(2,1/('Feijão 1ª safra'!$E35:INDEX('Feijão 1ª safra'!$E35:$Z35,MIN(AC$6-$E$3,22))&lt;&gt;""),'Feijão 1ª safra'!$E35:INDEX('Feijão 1ª safra'!$E35:$Z35,MIN(AC$6-$E$3,22))),0))-IF($G$2,0,IF((AC$6-$G$3)&lt;1,0,IFERROR(LOOKUP(2,1/('Feijão 1ª safra'!$E35:INDEX('Feijão 1ª safra'!$E35:$Z35,MIN(AC$6-$G$3,22))&lt;&gt;""),'Feijão 1ª safra'!$E35:INDEX('Feijão 1ª safra'!$E35:$Z35,MIN(AC$6-$G$3,22))),0)))))</f>
        <v>0</v>
      </c>
      <c r="AD37" s="27" t="n">
        <f aca="false">IF(COUNT('Feijão 1ª safra'!$E35:$Z35)=0,0,MAX(0,IF((AD$6-$E$3)&lt;1,0,IFERROR(LOOKUP(2,1/('Feijão 1ª safra'!$E35:INDEX('Feijão 1ª safra'!$E35:$Z35,MIN(AD$6-$E$3,22))&lt;&gt;""),'Feijão 1ª safra'!$E35:INDEX('Feijão 1ª safra'!$E35:$Z35,MIN(AD$6-$E$3,22))),0))-IF($G$2,0,IF((AD$6-$G$3)&lt;1,0,IFERROR(LOOKUP(2,1/('Feijão 1ª safra'!$E35:INDEX('Feijão 1ª safra'!$E35:$Z35,MIN(AD$6-$G$3,22))&lt;&gt;""),'Feijão 1ª safra'!$E35:INDEX('Feijão 1ª safra'!$E35:$Z35,MIN(AD$6-$G$3,22))),0)))))</f>
        <v>0</v>
      </c>
      <c r="AE37" s="27" t="n">
        <f aca="false">IF(COUNT('Feijão 1ª safra'!$E35:$Z35)=0,0,MAX(0,IF((AE$6-$E$3)&lt;1,0,IFERROR(LOOKUP(2,1/('Feijão 1ª safra'!$E35:INDEX('Feijão 1ª safra'!$E35:$Z35,MIN(AE$6-$E$3,22))&lt;&gt;""),'Feijão 1ª safra'!$E35:INDEX('Feijão 1ª safra'!$E35:$Z35,MIN(AE$6-$E$3,22))),0))-IF($G$2,0,IF((AE$6-$G$3)&lt;1,0,IFERROR(LOOKUP(2,1/('Feijão 1ª safra'!$E35:INDEX('Feijão 1ª safra'!$E35:$Z35,MIN(AE$6-$G$3,22))&lt;&gt;""),'Feijão 1ª safra'!$E35:INDEX('Feijão 1ª safra'!$E35:$Z35,MIN(AE$6-$G$3,22))),0)))))</f>
        <v>0</v>
      </c>
      <c r="AF37" s="27" t="n">
        <f aca="false">IF(COUNT('Feijão 1ª safra'!$E35:$Z35)=0,0,MAX(0,IF((AF$6-$E$3)&lt;1,0,IFERROR(LOOKUP(2,1/('Feijão 1ª safra'!$E35:INDEX('Feijão 1ª safra'!$E35:$Z35,MIN(AF$6-$E$3,22))&lt;&gt;""),'Feijão 1ª safra'!$E35:INDEX('Feijão 1ª safra'!$E35:$Z35,MIN(AF$6-$E$3,22))),0))-IF($G$2,0,IF((AF$6-$G$3)&lt;1,0,IFERROR(LOOKUP(2,1/('Feijão 1ª safra'!$E35:INDEX('Feijão 1ª safra'!$E35:$Z35,MIN(AF$6-$G$3,22))&lt;&gt;""),'Feijão 1ª safra'!$E35:INDEX('Feijão 1ª safra'!$E35:$Z35,MIN(AF$6-$G$3,22))),0)))))</f>
        <v>0</v>
      </c>
      <c r="AG37" s="27" t="n">
        <f aca="false">IF(COUNT('Feijão 1ª safra'!$E35:$Z35)=0,0,MAX(0,IF((AG$6-$E$3)&lt;1,0,IFERROR(LOOKUP(2,1/('Feijão 1ª safra'!$E35:INDEX('Feijão 1ª safra'!$E35:$Z35,MIN(AG$6-$E$3,22))&lt;&gt;""),'Feijão 1ª safra'!$E35:INDEX('Feijão 1ª safra'!$E35:$Z35,MIN(AG$6-$E$3,22))),0))-IF($G$2,0,IF((AG$6-$G$3)&lt;1,0,IFERROR(LOOKUP(2,1/('Feijão 1ª safra'!$E35:INDEX('Feijão 1ª safra'!$E35:$Z35,MIN(AG$6-$G$3,22))&lt;&gt;""),'Feijão 1ª safra'!$E35:INDEX('Feijão 1ª safra'!$E35:$Z35,MIN(AG$6-$G$3,22))),0)))))</f>
        <v>0</v>
      </c>
      <c r="AH37" s="27" t="n">
        <f aca="false">IF(COUNT('Feijão 1ª safra'!$E35:$Z35)=0,0,MAX(0,IF((AH$6-$E$3)&lt;1,0,IFERROR(LOOKUP(2,1/('Feijão 1ª safra'!$E35:INDEX('Feijão 1ª safra'!$E35:$Z35,MIN(AH$6-$E$3,22))&lt;&gt;""),'Feijão 1ª safra'!$E35:INDEX('Feijão 1ª safra'!$E35:$Z35,MIN(AH$6-$E$3,22))),0))-IF($G$2,0,IF((AH$6-$G$3)&lt;1,0,IFERROR(LOOKUP(2,1/('Feijão 1ª safra'!$E35:INDEX('Feijão 1ª safra'!$E35:$Z35,MIN(AH$6-$G$3,22))&lt;&gt;""),'Feijão 1ª safra'!$E35:INDEX('Feijão 1ª safra'!$E35:$Z35,MIN(AH$6-$G$3,22))),0)))))</f>
        <v>0</v>
      </c>
      <c r="AI37" s="27" t="n">
        <f aca="false">IF(COUNT('Feijão 1ª safra'!$E35:$Z35)=0,0,MAX(0,IF((AI$6-$E$3)&lt;1,0,IFERROR(LOOKUP(2,1/('Feijão 1ª safra'!$E35:INDEX('Feijão 1ª safra'!$E35:$Z35,MIN(AI$6-$E$3,22))&lt;&gt;""),'Feijão 1ª safra'!$E35:INDEX('Feijão 1ª safra'!$E35:$Z35,MIN(AI$6-$E$3,22))),0))-IF($G$2,0,IF((AI$6-$G$3)&lt;1,0,IFERROR(LOOKUP(2,1/('Feijão 1ª safra'!$E35:INDEX('Feijão 1ª safra'!$E35:$Z35,MIN(AI$6-$G$3,22))&lt;&gt;""),'Feijão 1ª safra'!$E35:INDEX('Feijão 1ª safra'!$E35:$Z35,MIN(AI$6-$G$3,22))),0)))))</f>
        <v>0</v>
      </c>
      <c r="AJ37" s="27" t="n">
        <f aca="false">IF(COUNT('Feijão 1ª safra'!$E35:$Z35)=0,0,MAX(0,IF((AJ$6-$E$3)&lt;1,0,IFERROR(LOOKUP(2,1/('Feijão 1ª safra'!$E35:INDEX('Feijão 1ª safra'!$E35:$Z35,MIN(AJ$6-$E$3,22))&lt;&gt;""),'Feijão 1ª safra'!$E35:INDEX('Feijão 1ª safra'!$E35:$Z35,MIN(AJ$6-$E$3,22))),0))-IF($G$2,0,IF((AJ$6-$G$3)&lt;1,0,IFERROR(LOOKUP(2,1/('Feijão 1ª safra'!$E35:INDEX('Feijão 1ª safra'!$E35:$Z35,MIN(AJ$6-$G$3,22))&lt;&gt;""),'Feijão 1ª safra'!$E35:INDEX('Feijão 1ª safra'!$E35:$Z35,MIN(AJ$6-$G$3,22))),0)))))</f>
        <v>0</v>
      </c>
      <c r="AK37" s="27" t="n">
        <f aca="false">IF(COUNT('Feijão 1ª safra'!$E35:$Z35)=0,0,MAX(0,IF((AK$6-$E$3)&lt;1,0,IFERROR(LOOKUP(2,1/('Feijão 1ª safra'!$E35:INDEX('Feijão 1ª safra'!$E35:$Z35,MIN(AK$6-$E$3,22))&lt;&gt;""),'Feijão 1ª safra'!$E35:INDEX('Feijão 1ª safra'!$E35:$Z35,MIN(AK$6-$E$3,22))),0))-IF($G$2,0,IF((AK$6-$G$3)&lt;1,0,IFERROR(LOOKUP(2,1/('Feijão 1ª safra'!$E35:INDEX('Feijão 1ª safra'!$E35:$Z35,MIN(AK$6-$G$3,22))&lt;&gt;""),'Feijão 1ª safra'!$E35:INDEX('Feijão 1ª safra'!$E35:$Z35,MIN(AK$6-$G$3,22))),0)))))</f>
        <v>0</v>
      </c>
      <c r="AL37" s="27" t="n">
        <f aca="false">IF(COUNT('Feijão 1ª safra'!$E35:$Z35)=0,0,MAX(0,IF((AL$6-$E$3)&lt;1,0,IFERROR(LOOKUP(2,1/('Feijão 1ª safra'!$E35:INDEX('Feijão 1ª safra'!$E35:$Z35,MIN(AL$6-$E$3,22))&lt;&gt;""),'Feijão 1ª safra'!$E35:INDEX('Feijão 1ª safra'!$E35:$Z35,MIN(AL$6-$E$3,22))),0))-IF($G$2,0,IF((AL$6-$G$3)&lt;1,0,IFERROR(LOOKUP(2,1/('Feijão 1ª safra'!$E35:INDEX('Feijão 1ª safra'!$E35:$Z35,MIN(AL$6-$G$3,22))&lt;&gt;""),'Feijão 1ª safra'!$E35:INDEX('Feijão 1ª safra'!$E35:$Z35,MIN(AL$6-$G$3,22))),0)))))</f>
        <v>0</v>
      </c>
      <c r="AM37" s="27" t="n">
        <f aca="false">IF(COUNT('Feijão 1ª safra'!$E35:$Z35)=0,0,MAX(0,IF((AM$6-$E$3)&lt;1,0,IFERROR(LOOKUP(2,1/('Feijão 1ª safra'!$E35:INDEX('Feijão 1ª safra'!$E35:$Z35,MIN(AM$6-$E$3,22))&lt;&gt;""),'Feijão 1ª safra'!$E35:INDEX('Feijão 1ª safra'!$E35:$Z35,MIN(AM$6-$E$3,22))),0))-IF($G$2,0,IF((AM$6-$G$3)&lt;1,0,IFERROR(LOOKUP(2,1/('Feijão 1ª safra'!$E35:INDEX('Feijão 1ª safra'!$E35:$Z35,MIN(AM$6-$G$3,22))&lt;&gt;""),'Feijão 1ª safra'!$E35:INDEX('Feijão 1ª safra'!$E35:$Z35,MIN(AM$6-$G$3,22))),0)))))</f>
        <v>0</v>
      </c>
      <c r="AN37" s="27" t="n">
        <f aca="false">IF(COUNT('Feijão 1ª safra'!$E35:$Z35)=0,0,MAX(0,IF((AN$6-$E$3)&lt;1,0,IFERROR(LOOKUP(2,1/('Feijão 1ª safra'!$E35:INDEX('Feijão 1ª safra'!$E35:$Z35,MIN(AN$6-$E$3,22))&lt;&gt;""),'Feijão 1ª safra'!$E35:INDEX('Feijão 1ª safra'!$E35:$Z35,MIN(AN$6-$E$3,22))),0))-IF($G$2,0,IF((AN$6-$G$3)&lt;1,0,IFERROR(LOOKUP(2,1/('Feijão 1ª safra'!$E35:INDEX('Feijão 1ª safra'!$E35:$Z35,MIN(AN$6-$G$3,22))&lt;&gt;""),'Feijão 1ª safra'!$E35:INDEX('Feijão 1ª safra'!$E35:$Z35,MIN(AN$6-$G$3,22))),0)))))</f>
        <v>0</v>
      </c>
      <c r="AO37" s="27" t="n">
        <f aca="false">IF(COUNT('Feijão 1ª safra'!$E35:$Z35)=0,0,MAX(0,IF((AO$6-$E$3)&lt;1,0,IFERROR(LOOKUP(2,1/('Feijão 1ª safra'!$E35:INDEX('Feijão 1ª safra'!$E35:$Z35,MIN(AO$6-$E$3,22))&lt;&gt;""),'Feijão 1ª safra'!$E35:INDEX('Feijão 1ª safra'!$E35:$Z35,MIN(AO$6-$E$3,22))),0))-IF($G$2,0,IF((AO$6-$G$3)&lt;1,0,IFERROR(LOOKUP(2,1/('Feijão 1ª safra'!$E35:INDEX('Feijão 1ª safra'!$E35:$Z35,MIN(AO$6-$G$3,22))&lt;&gt;""),'Feijão 1ª safra'!$E35:INDEX('Feijão 1ª safra'!$E35:$Z35,MIN(AO$6-$G$3,22))),0)))))</f>
        <v>0</v>
      </c>
      <c r="AP37" s="27" t="n">
        <f aca="false">IF(COUNT('Feijão 1ª safra'!$E35:$Z35)=0,0,MAX(0,IF((AP$6-$E$3)&lt;1,0,IFERROR(LOOKUP(2,1/('Feijão 1ª safra'!$E35:INDEX('Feijão 1ª safra'!$E35:$Z35,MIN(AP$6-$E$3,22))&lt;&gt;""),'Feijão 1ª safra'!$E35:INDEX('Feijão 1ª safra'!$E35:$Z35,MIN(AP$6-$E$3,22))),0))-IF($G$2,0,IF((AP$6-$G$3)&lt;1,0,IFERROR(LOOKUP(2,1/('Feijão 1ª safra'!$E35:INDEX('Feijão 1ª safra'!$E35:$Z35,MIN(AP$6-$G$3,22))&lt;&gt;""),'Feijão 1ª safra'!$E35:INDEX('Feijão 1ª safra'!$E35:$Z35,MIN(AP$6-$G$3,22))),0)))))</f>
        <v>0</v>
      </c>
      <c r="AQ37" s="27" t="n">
        <f aca="false">IF(COUNT('Feijão 1ª safra'!$E35:$Z35)=0,0,MAX(0,IF((AQ$6-$E$3)&lt;1,0,IFERROR(LOOKUP(2,1/('Feijão 1ª safra'!$E35:INDEX('Feijão 1ª safra'!$E35:$Z35,MIN(AQ$6-$E$3,22))&lt;&gt;""),'Feijão 1ª safra'!$E35:INDEX('Feijão 1ª safra'!$E35:$Z35,MIN(AQ$6-$E$3,22))),0))-IF($G$2,0,IF((AQ$6-$G$3)&lt;1,0,IFERROR(LOOKUP(2,1/('Feijão 1ª safra'!$E35:INDEX('Feijão 1ª safra'!$E35:$Z35,MIN(AQ$6-$G$3,22))&lt;&gt;""),'Feijão 1ª safra'!$E35:INDEX('Feijão 1ª safra'!$E35:$Z35,MIN(AQ$6-$G$3,22))),0)))))</f>
        <v>0</v>
      </c>
      <c r="AR37" s="27" t="n">
        <f aca="false">IF(COUNT('Feijão 1ª safra'!$E35:$Z35)=0,0,MAX(0,IF((AR$6-$E$3)&lt;1,0,IFERROR(LOOKUP(2,1/('Feijão 1ª safra'!$E35:INDEX('Feijão 1ª safra'!$E35:$Z35,MIN(AR$6-$E$3,22))&lt;&gt;""),'Feijão 1ª safra'!$E35:INDEX('Feijão 1ª safra'!$E35:$Z35,MIN(AR$6-$E$3,22))),0))-IF($G$2,0,IF((AR$6-$G$3)&lt;1,0,IFERROR(LOOKUP(2,1/('Feijão 1ª safra'!$E35:INDEX('Feijão 1ª safra'!$E35:$Z35,MIN(AR$6-$G$3,22))&lt;&gt;""),'Feijão 1ª safra'!$E35:INDEX('Feijão 1ª safra'!$E35:$Z35,MIN(AR$6-$G$3,22))),0)))))</f>
        <v>0</v>
      </c>
      <c r="AS37" s="27" t="n">
        <f aca="false">IF(COUNT('Feijão 1ª safra'!$E35:$Z35)=0,0,MAX(0,IF((AS$6-$E$3)&lt;1,0,IFERROR(LOOKUP(2,1/('Feijão 1ª safra'!$E35:INDEX('Feijão 1ª safra'!$E35:$Z35,MIN(AS$6-$E$3,22))&lt;&gt;""),'Feijão 1ª safra'!$E35:INDEX('Feijão 1ª safra'!$E35:$Z35,MIN(AS$6-$E$3,22))),0))-IF($G$2,0,IF((AS$6-$G$3)&lt;1,0,IFERROR(LOOKUP(2,1/('Feijão 1ª safra'!$E35:INDEX('Feijão 1ª safra'!$E35:$Z35,MIN(AS$6-$G$3,22))&lt;&gt;""),'Feijão 1ª safra'!$E35:INDEX('Feijão 1ª safra'!$E35:$Z35,MIN(AS$6-$G$3,22))),0)))))</f>
        <v>0</v>
      </c>
      <c r="AT37" s="27" t="n">
        <f aca="false">IF(COUNT('Feijão 1ª safra'!$E35:$Z35)=0,0,MAX(0,IF((AT$6-$E$3)&lt;1,0,IFERROR(LOOKUP(2,1/('Feijão 1ª safra'!$E35:INDEX('Feijão 1ª safra'!$E35:$Z35,MIN(AT$6-$E$3,22))&lt;&gt;""),'Feijão 1ª safra'!$E35:INDEX('Feijão 1ª safra'!$E35:$Z35,MIN(AT$6-$E$3,22))),0))-IF($G$2,0,IF((AT$6-$G$3)&lt;1,0,IFERROR(LOOKUP(2,1/('Feijão 1ª safra'!$E35:INDEX('Feijão 1ª safra'!$E35:$Z35,MIN(AT$6-$G$3,22))&lt;&gt;""),'Feijão 1ª safra'!$E35:INDEX('Feijão 1ª safra'!$E35:$Z35,MIN(AT$6-$G$3,22))),0)))))</f>
        <v>0</v>
      </c>
      <c r="AU37" s="27" t="n">
        <f aca="false">IF(COUNT('Feijão 1ª safra'!$E35:$Z35)=0,0,MAX(0,IF((AU$6-$E$3)&lt;1,0,IFERROR(LOOKUP(2,1/('Feijão 1ª safra'!$E35:INDEX('Feijão 1ª safra'!$E35:$Z35,MIN(AU$6-$E$3,22))&lt;&gt;""),'Feijão 1ª safra'!$E35:INDEX('Feijão 1ª safra'!$E35:$Z35,MIN(AU$6-$E$3,22))),0))-IF($G$2,0,IF((AU$6-$G$3)&lt;1,0,IFERROR(LOOKUP(2,1/('Feijão 1ª safra'!$E35:INDEX('Feijão 1ª safra'!$E35:$Z35,MIN(AU$6-$G$3,22))&lt;&gt;""),'Feijão 1ª safra'!$E35:INDEX('Feijão 1ª safra'!$E35:$Z35,MIN(AU$6-$G$3,22))),0)))))</f>
        <v>0</v>
      </c>
      <c r="AV37" s="27" t="n">
        <f aca="false">IF(COUNT('Feijão 1ª safra'!$E35:$Z35)=0,0,MAX(0,IF((AV$6-$E$3)&lt;1,0,IFERROR(LOOKUP(2,1/('Feijão 1ª safra'!$E35:INDEX('Feijão 1ª safra'!$E35:$Z35,MIN(AV$6-$E$3,22))&lt;&gt;""),'Feijão 1ª safra'!$E35:INDEX('Feijão 1ª safra'!$E35:$Z35,MIN(AV$6-$E$3,22))),0))-IF($G$2,0,IF((AV$6-$G$3)&lt;1,0,IFERROR(LOOKUP(2,1/('Feijão 1ª safra'!$E35:INDEX('Feijão 1ª safra'!$E35:$Z35,MIN(AV$6-$G$3,22))&lt;&gt;""),'Feijão 1ª safra'!$E35:INDEX('Feijão 1ª safra'!$E35:$Z35,MIN(AV$6-$G$3,22))),0)))))</f>
        <v>0</v>
      </c>
      <c r="AW37" s="27" t="n">
        <f aca="false">IF(COUNT('Feijão 1ª safra'!$E35:$Z35)=0,0,MAX(0,IF((AW$6-$E$3)&lt;1,0,IFERROR(LOOKUP(2,1/('Feijão 1ª safra'!$E35:INDEX('Feijão 1ª safra'!$E35:$Z35,MIN(AW$6-$E$3,22))&lt;&gt;""),'Feijão 1ª safra'!$E35:INDEX('Feijão 1ª safra'!$E35:$Z35,MIN(AW$6-$E$3,22))),0))-IF($G$2,0,IF((AW$6-$G$3)&lt;1,0,IFERROR(LOOKUP(2,1/('Feijão 1ª safra'!$E35:INDEX('Feijão 1ª safra'!$E35:$Z35,MIN(AW$6-$G$3,22))&lt;&gt;""),'Feijão 1ª safra'!$E35:INDEX('Feijão 1ª safra'!$E35:$Z35,MIN(AW$6-$G$3,22))),0)))))</f>
        <v>0</v>
      </c>
      <c r="AX37" s="27" t="n">
        <f aca="false">IF(COUNT('Feijão 1ª safra'!$E35:$Z35)=0,0,MAX(0,IF((AX$6-$E$3)&lt;1,0,IFERROR(LOOKUP(2,1/('Feijão 1ª safra'!$E35:INDEX('Feijão 1ª safra'!$E35:$Z35,MIN(AX$6-$E$3,22))&lt;&gt;""),'Feijão 1ª safra'!$E35:INDEX('Feijão 1ª safra'!$E35:$Z35,MIN(AX$6-$E$3,22))),0))-IF($G$2,0,IF((AX$6-$G$3)&lt;1,0,IFERROR(LOOKUP(2,1/('Feijão 1ª safra'!$E35:INDEX('Feijão 1ª safra'!$E35:$Z35,MIN(AX$6-$G$3,22))&lt;&gt;""),'Feijão 1ª safra'!$E35:INDEX('Feijão 1ª safra'!$E35:$Z35,MIN(AX$6-$G$3,22))),0)))))</f>
        <v>0</v>
      </c>
      <c r="AY37" s="27" t="n">
        <f aca="false">IF(COUNT('Feijão 1ª safra'!$E35:$Z35)=0,0,MAX(0,IF((AY$6-$E$3)&lt;1,0,IFERROR(LOOKUP(2,1/('Feijão 1ª safra'!$E35:INDEX('Feijão 1ª safra'!$E35:$Z35,MIN(AY$6-$E$3,22))&lt;&gt;""),'Feijão 1ª safra'!$E35:INDEX('Feijão 1ª safra'!$E35:$Z35,MIN(AY$6-$E$3,22))),0))-IF($G$2,0,IF((AY$6-$G$3)&lt;1,0,IFERROR(LOOKUP(2,1/('Feijão 1ª safra'!$E35:INDEX('Feijão 1ª safra'!$E35:$Z35,MIN(AY$6-$G$3,22))&lt;&gt;""),'Feijão 1ª safra'!$E35:INDEX('Feijão 1ª safra'!$E35:$Z35,MIN(AY$6-$G$3,22))),0)))))</f>
        <v>0</v>
      </c>
      <c r="AZ37" s="27" t="n">
        <f aca="false">IF(COUNT('Feijão 1ª safra'!$E35:$Z35)=0,0,MAX(0,IF((AZ$6-$E$3)&lt;1,0,IFERROR(LOOKUP(2,1/('Feijão 1ª safra'!$E35:INDEX('Feijão 1ª safra'!$E35:$Z35,MIN(AZ$6-$E$3,22))&lt;&gt;""),'Feijão 1ª safra'!$E35:INDEX('Feijão 1ª safra'!$E35:$Z35,MIN(AZ$6-$E$3,22))),0))-IF($G$2,0,IF((AZ$6-$G$3)&lt;1,0,IFERROR(LOOKUP(2,1/('Feijão 1ª safra'!$E35:INDEX('Feijão 1ª safra'!$E35:$Z35,MIN(AZ$6-$G$3,22))&lt;&gt;""),'Feijão 1ª safra'!$E35:INDEX('Feijão 1ª safra'!$E35:$Z35,MIN(AZ$6-$G$3,22))),0)))))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IF(COUNT('Feijão 1ª safra'!$E36:$Z36)&gt;0,N('Feijão 1ª safra'!$D36),0)</f>
        <v>0</v>
      </c>
      <c r="E38" s="27" t="n">
        <f aca="false">IF(COUNT('Feijão 1ª safra'!$E36:$Z36)=0,0,MAX(0,IF((E$6-$E$3)&lt;1,0,IFERROR(LOOKUP(2,1/('Feijão 1ª safra'!$E36:INDEX('Feijão 1ª safra'!$E36:$Z36,MIN(E$6-$E$3,22))&lt;&gt;""),'Feijão 1ª safra'!$E36:INDEX('Feijão 1ª safra'!$E36:$Z36,MIN(E$6-$E$3,22))),0))-IF($G$2,0,IF((E$6-$G$3)&lt;1,0,IFERROR(LOOKUP(2,1/('Feijão 1ª safra'!$E36:INDEX('Feijão 1ª safra'!$E36:$Z36,MIN(E$6-$G$3,22))&lt;&gt;""),'Feijão 1ª safra'!$E36:INDEX('Feijão 1ª safra'!$E36:$Z36,MIN(E$6-$G$3,22))),0)))))</f>
        <v>0</v>
      </c>
      <c r="F38" s="27" t="n">
        <f aca="false">IF(COUNT('Feijão 1ª safra'!$E36:$Z36)=0,0,MAX(0,IF((F$6-$E$3)&lt;1,0,IFERROR(LOOKUP(2,1/('Feijão 1ª safra'!$E36:INDEX('Feijão 1ª safra'!$E36:$Z36,MIN(F$6-$E$3,22))&lt;&gt;""),'Feijão 1ª safra'!$E36:INDEX('Feijão 1ª safra'!$E36:$Z36,MIN(F$6-$E$3,22))),0))-IF($G$2,0,IF((F$6-$G$3)&lt;1,0,IFERROR(LOOKUP(2,1/('Feijão 1ª safra'!$E36:INDEX('Feijão 1ª safra'!$E36:$Z36,MIN(F$6-$G$3,22))&lt;&gt;""),'Feijão 1ª safra'!$E36:INDEX('Feijão 1ª safra'!$E36:$Z36,MIN(F$6-$G$3,22))),0)))))</f>
        <v>0</v>
      </c>
      <c r="G38" s="27" t="n">
        <f aca="false">IF(COUNT('Feijão 1ª safra'!$E36:$Z36)=0,0,MAX(0,IF((G$6-$E$3)&lt;1,0,IFERROR(LOOKUP(2,1/('Feijão 1ª safra'!$E36:INDEX('Feijão 1ª safra'!$E36:$Z36,MIN(G$6-$E$3,22))&lt;&gt;""),'Feijão 1ª safra'!$E36:INDEX('Feijão 1ª safra'!$E36:$Z36,MIN(G$6-$E$3,22))),0))-IF($G$2,0,IF((G$6-$G$3)&lt;1,0,IFERROR(LOOKUP(2,1/('Feijão 1ª safra'!$E36:INDEX('Feijão 1ª safra'!$E36:$Z36,MIN(G$6-$G$3,22))&lt;&gt;""),'Feijão 1ª safra'!$E36:INDEX('Feijão 1ª safra'!$E36:$Z36,MIN(G$6-$G$3,22))),0)))))</f>
        <v>0</v>
      </c>
      <c r="H38" s="27" t="n">
        <f aca="false">IF(COUNT('Feijão 1ª safra'!$E36:$Z36)=0,0,MAX(0,IF((H$6-$E$3)&lt;1,0,IFERROR(LOOKUP(2,1/('Feijão 1ª safra'!$E36:INDEX('Feijão 1ª safra'!$E36:$Z36,MIN(H$6-$E$3,22))&lt;&gt;""),'Feijão 1ª safra'!$E36:INDEX('Feijão 1ª safra'!$E36:$Z36,MIN(H$6-$E$3,22))),0))-IF($G$2,0,IF((H$6-$G$3)&lt;1,0,IFERROR(LOOKUP(2,1/('Feijão 1ª safra'!$E36:INDEX('Feijão 1ª safra'!$E36:$Z36,MIN(H$6-$G$3,22))&lt;&gt;""),'Feijão 1ª safra'!$E36:INDEX('Feijão 1ª safra'!$E36:$Z36,MIN(H$6-$G$3,22))),0)))))</f>
        <v>0</v>
      </c>
      <c r="I38" s="27" t="n">
        <f aca="false">IF(COUNT('Feijão 1ª safra'!$E36:$Z36)=0,0,MAX(0,IF((I$6-$E$3)&lt;1,0,IFERROR(LOOKUP(2,1/('Feijão 1ª safra'!$E36:INDEX('Feijão 1ª safra'!$E36:$Z36,MIN(I$6-$E$3,22))&lt;&gt;""),'Feijão 1ª safra'!$E36:INDEX('Feijão 1ª safra'!$E36:$Z36,MIN(I$6-$E$3,22))),0))-IF($G$2,0,IF((I$6-$G$3)&lt;1,0,IFERROR(LOOKUP(2,1/('Feijão 1ª safra'!$E36:INDEX('Feijão 1ª safra'!$E36:$Z36,MIN(I$6-$G$3,22))&lt;&gt;""),'Feijão 1ª safra'!$E36:INDEX('Feijão 1ª safra'!$E36:$Z36,MIN(I$6-$G$3,22))),0)))))</f>
        <v>0</v>
      </c>
      <c r="J38" s="27" t="n">
        <f aca="false">IF(COUNT('Feijão 1ª safra'!$E36:$Z36)=0,0,MAX(0,IF((J$6-$E$3)&lt;1,0,IFERROR(LOOKUP(2,1/('Feijão 1ª safra'!$E36:INDEX('Feijão 1ª safra'!$E36:$Z36,MIN(J$6-$E$3,22))&lt;&gt;""),'Feijão 1ª safra'!$E36:INDEX('Feijão 1ª safra'!$E36:$Z36,MIN(J$6-$E$3,22))),0))-IF($G$2,0,IF((J$6-$G$3)&lt;1,0,IFERROR(LOOKUP(2,1/('Feijão 1ª safra'!$E36:INDEX('Feijão 1ª safra'!$E36:$Z36,MIN(J$6-$G$3,22))&lt;&gt;""),'Feijão 1ª safra'!$E36:INDEX('Feijão 1ª safra'!$E36:$Z36,MIN(J$6-$G$3,22))),0)))))</f>
        <v>0</v>
      </c>
      <c r="K38" s="27" t="n">
        <f aca="false">IF(COUNT('Feijão 1ª safra'!$E36:$Z36)=0,0,MAX(0,IF((K$6-$E$3)&lt;1,0,IFERROR(LOOKUP(2,1/('Feijão 1ª safra'!$E36:INDEX('Feijão 1ª safra'!$E36:$Z36,MIN(K$6-$E$3,22))&lt;&gt;""),'Feijão 1ª safra'!$E36:INDEX('Feijão 1ª safra'!$E36:$Z36,MIN(K$6-$E$3,22))),0))-IF($G$2,0,IF((K$6-$G$3)&lt;1,0,IFERROR(LOOKUP(2,1/('Feijão 1ª safra'!$E36:INDEX('Feijão 1ª safra'!$E36:$Z36,MIN(K$6-$G$3,22))&lt;&gt;""),'Feijão 1ª safra'!$E36:INDEX('Feijão 1ª safra'!$E36:$Z36,MIN(K$6-$G$3,22))),0)))))</f>
        <v>0</v>
      </c>
      <c r="L38" s="27" t="n">
        <f aca="false">IF(COUNT('Feijão 1ª safra'!$E36:$Z36)=0,0,MAX(0,IF((L$6-$E$3)&lt;1,0,IFERROR(LOOKUP(2,1/('Feijão 1ª safra'!$E36:INDEX('Feijão 1ª safra'!$E36:$Z36,MIN(L$6-$E$3,22))&lt;&gt;""),'Feijão 1ª safra'!$E36:INDEX('Feijão 1ª safra'!$E36:$Z36,MIN(L$6-$E$3,22))),0))-IF($G$2,0,IF((L$6-$G$3)&lt;1,0,IFERROR(LOOKUP(2,1/('Feijão 1ª safra'!$E36:INDEX('Feijão 1ª safra'!$E36:$Z36,MIN(L$6-$G$3,22))&lt;&gt;""),'Feijão 1ª safra'!$E36:INDEX('Feijão 1ª safra'!$E36:$Z36,MIN(L$6-$G$3,22))),0)))))</f>
        <v>0</v>
      </c>
      <c r="M38" s="27" t="n">
        <f aca="false">IF(COUNT('Feijão 1ª safra'!$E36:$Z36)=0,0,MAX(0,IF((M$6-$E$3)&lt;1,0,IFERROR(LOOKUP(2,1/('Feijão 1ª safra'!$E36:INDEX('Feijão 1ª safra'!$E36:$Z36,MIN(M$6-$E$3,22))&lt;&gt;""),'Feijão 1ª safra'!$E36:INDEX('Feijão 1ª safra'!$E36:$Z36,MIN(M$6-$E$3,22))),0))-IF($G$2,0,IF((M$6-$G$3)&lt;1,0,IFERROR(LOOKUP(2,1/('Feijão 1ª safra'!$E36:INDEX('Feijão 1ª safra'!$E36:$Z36,MIN(M$6-$G$3,22))&lt;&gt;""),'Feijão 1ª safra'!$E36:INDEX('Feijão 1ª safra'!$E36:$Z36,MIN(M$6-$G$3,22))),0)))))</f>
        <v>0</v>
      </c>
      <c r="N38" s="27" t="n">
        <f aca="false">IF(COUNT('Feijão 1ª safra'!$E36:$Z36)=0,0,MAX(0,IF((N$6-$E$3)&lt;1,0,IFERROR(LOOKUP(2,1/('Feijão 1ª safra'!$E36:INDEX('Feijão 1ª safra'!$E36:$Z36,MIN(N$6-$E$3,22))&lt;&gt;""),'Feijão 1ª safra'!$E36:INDEX('Feijão 1ª safra'!$E36:$Z36,MIN(N$6-$E$3,22))),0))-IF($G$2,0,IF((N$6-$G$3)&lt;1,0,IFERROR(LOOKUP(2,1/('Feijão 1ª safra'!$E36:INDEX('Feijão 1ª safra'!$E36:$Z36,MIN(N$6-$G$3,22))&lt;&gt;""),'Feijão 1ª safra'!$E36:INDEX('Feijão 1ª safra'!$E36:$Z36,MIN(N$6-$G$3,22))),0)))))</f>
        <v>0</v>
      </c>
      <c r="O38" s="27" t="n">
        <f aca="false">IF(COUNT('Feijão 1ª safra'!$E36:$Z36)=0,0,MAX(0,IF((O$6-$E$3)&lt;1,0,IFERROR(LOOKUP(2,1/('Feijão 1ª safra'!$E36:INDEX('Feijão 1ª safra'!$E36:$Z36,MIN(O$6-$E$3,22))&lt;&gt;""),'Feijão 1ª safra'!$E36:INDEX('Feijão 1ª safra'!$E36:$Z36,MIN(O$6-$E$3,22))),0))-IF($G$2,0,IF((O$6-$G$3)&lt;1,0,IFERROR(LOOKUP(2,1/('Feijão 1ª safra'!$E36:INDEX('Feijão 1ª safra'!$E36:$Z36,MIN(O$6-$G$3,22))&lt;&gt;""),'Feijão 1ª safra'!$E36:INDEX('Feijão 1ª safra'!$E36:$Z36,MIN(O$6-$G$3,22))),0)))))</f>
        <v>0</v>
      </c>
      <c r="P38" s="27" t="n">
        <f aca="false">IF(COUNT('Feijão 1ª safra'!$E36:$Z36)=0,0,MAX(0,IF((P$6-$E$3)&lt;1,0,IFERROR(LOOKUP(2,1/('Feijão 1ª safra'!$E36:INDEX('Feijão 1ª safra'!$E36:$Z36,MIN(P$6-$E$3,22))&lt;&gt;""),'Feijão 1ª safra'!$E36:INDEX('Feijão 1ª safra'!$E36:$Z36,MIN(P$6-$E$3,22))),0))-IF($G$2,0,IF((P$6-$G$3)&lt;1,0,IFERROR(LOOKUP(2,1/('Feijão 1ª safra'!$E36:INDEX('Feijão 1ª safra'!$E36:$Z36,MIN(P$6-$G$3,22))&lt;&gt;""),'Feijão 1ª safra'!$E36:INDEX('Feijão 1ª safra'!$E36:$Z36,MIN(P$6-$G$3,22))),0)))))</f>
        <v>0</v>
      </c>
      <c r="Q38" s="27" t="n">
        <f aca="false">IF(COUNT('Feijão 1ª safra'!$E36:$Z36)=0,0,MAX(0,IF((Q$6-$E$3)&lt;1,0,IFERROR(LOOKUP(2,1/('Feijão 1ª safra'!$E36:INDEX('Feijão 1ª safra'!$E36:$Z36,MIN(Q$6-$E$3,22))&lt;&gt;""),'Feijão 1ª safra'!$E36:INDEX('Feijão 1ª safra'!$E36:$Z36,MIN(Q$6-$E$3,22))),0))-IF($G$2,0,IF((Q$6-$G$3)&lt;1,0,IFERROR(LOOKUP(2,1/('Feijão 1ª safra'!$E36:INDEX('Feijão 1ª safra'!$E36:$Z36,MIN(Q$6-$G$3,22))&lt;&gt;""),'Feijão 1ª safra'!$E36:INDEX('Feijão 1ª safra'!$E36:$Z36,MIN(Q$6-$G$3,22))),0)))))</f>
        <v>0</v>
      </c>
      <c r="R38" s="27" t="n">
        <f aca="false">IF(COUNT('Feijão 1ª safra'!$E36:$Z36)=0,0,MAX(0,IF((R$6-$E$3)&lt;1,0,IFERROR(LOOKUP(2,1/('Feijão 1ª safra'!$E36:INDEX('Feijão 1ª safra'!$E36:$Z36,MIN(R$6-$E$3,22))&lt;&gt;""),'Feijão 1ª safra'!$E36:INDEX('Feijão 1ª safra'!$E36:$Z36,MIN(R$6-$E$3,22))),0))-IF($G$2,0,IF((R$6-$G$3)&lt;1,0,IFERROR(LOOKUP(2,1/('Feijão 1ª safra'!$E36:INDEX('Feijão 1ª safra'!$E36:$Z36,MIN(R$6-$G$3,22))&lt;&gt;""),'Feijão 1ª safra'!$E36:INDEX('Feijão 1ª safra'!$E36:$Z36,MIN(R$6-$G$3,22))),0)))))</f>
        <v>0</v>
      </c>
      <c r="S38" s="27" t="n">
        <f aca="false">IF(COUNT('Feijão 1ª safra'!$E36:$Z36)=0,0,MAX(0,IF((S$6-$E$3)&lt;1,0,IFERROR(LOOKUP(2,1/('Feijão 1ª safra'!$E36:INDEX('Feijão 1ª safra'!$E36:$Z36,MIN(S$6-$E$3,22))&lt;&gt;""),'Feijão 1ª safra'!$E36:INDEX('Feijão 1ª safra'!$E36:$Z36,MIN(S$6-$E$3,22))),0))-IF($G$2,0,IF((S$6-$G$3)&lt;1,0,IFERROR(LOOKUP(2,1/('Feijão 1ª safra'!$E36:INDEX('Feijão 1ª safra'!$E36:$Z36,MIN(S$6-$G$3,22))&lt;&gt;""),'Feijão 1ª safra'!$E36:INDEX('Feijão 1ª safra'!$E36:$Z36,MIN(S$6-$G$3,22))),0)))))</f>
        <v>0</v>
      </c>
      <c r="T38" s="27" t="n">
        <f aca="false">IF(COUNT('Feijão 1ª safra'!$E36:$Z36)=0,0,MAX(0,IF((T$6-$E$3)&lt;1,0,IFERROR(LOOKUP(2,1/('Feijão 1ª safra'!$E36:INDEX('Feijão 1ª safra'!$E36:$Z36,MIN(T$6-$E$3,22))&lt;&gt;""),'Feijão 1ª safra'!$E36:INDEX('Feijão 1ª safra'!$E36:$Z36,MIN(T$6-$E$3,22))),0))-IF($G$2,0,IF((T$6-$G$3)&lt;1,0,IFERROR(LOOKUP(2,1/('Feijão 1ª safra'!$E36:INDEX('Feijão 1ª safra'!$E36:$Z36,MIN(T$6-$G$3,22))&lt;&gt;""),'Feijão 1ª safra'!$E36:INDEX('Feijão 1ª safra'!$E36:$Z36,MIN(T$6-$G$3,22))),0)))))</f>
        <v>0</v>
      </c>
      <c r="U38" s="27" t="n">
        <f aca="false">IF(COUNT('Feijão 1ª safra'!$E36:$Z36)=0,0,MAX(0,IF((U$6-$E$3)&lt;1,0,IFERROR(LOOKUP(2,1/('Feijão 1ª safra'!$E36:INDEX('Feijão 1ª safra'!$E36:$Z36,MIN(U$6-$E$3,22))&lt;&gt;""),'Feijão 1ª safra'!$E36:INDEX('Feijão 1ª safra'!$E36:$Z36,MIN(U$6-$E$3,22))),0))-IF($G$2,0,IF((U$6-$G$3)&lt;1,0,IFERROR(LOOKUP(2,1/('Feijão 1ª safra'!$E36:INDEX('Feijão 1ª safra'!$E36:$Z36,MIN(U$6-$G$3,22))&lt;&gt;""),'Feijão 1ª safra'!$E36:INDEX('Feijão 1ª safra'!$E36:$Z36,MIN(U$6-$G$3,22))),0)))))</f>
        <v>0</v>
      </c>
      <c r="V38" s="27" t="n">
        <f aca="false">IF(COUNT('Feijão 1ª safra'!$E36:$Z36)=0,0,MAX(0,IF((V$6-$E$3)&lt;1,0,IFERROR(LOOKUP(2,1/('Feijão 1ª safra'!$E36:INDEX('Feijão 1ª safra'!$E36:$Z36,MIN(V$6-$E$3,22))&lt;&gt;""),'Feijão 1ª safra'!$E36:INDEX('Feijão 1ª safra'!$E36:$Z36,MIN(V$6-$E$3,22))),0))-IF($G$2,0,IF((V$6-$G$3)&lt;1,0,IFERROR(LOOKUP(2,1/('Feijão 1ª safra'!$E36:INDEX('Feijão 1ª safra'!$E36:$Z36,MIN(V$6-$G$3,22))&lt;&gt;""),'Feijão 1ª safra'!$E36:INDEX('Feijão 1ª safra'!$E36:$Z36,MIN(V$6-$G$3,22))),0)))))</f>
        <v>0</v>
      </c>
      <c r="W38" s="27" t="n">
        <f aca="false">IF(COUNT('Feijão 1ª safra'!$E36:$Z36)=0,0,MAX(0,IF((W$6-$E$3)&lt;1,0,IFERROR(LOOKUP(2,1/('Feijão 1ª safra'!$E36:INDEX('Feijão 1ª safra'!$E36:$Z36,MIN(W$6-$E$3,22))&lt;&gt;""),'Feijão 1ª safra'!$E36:INDEX('Feijão 1ª safra'!$E36:$Z36,MIN(W$6-$E$3,22))),0))-IF($G$2,0,IF((W$6-$G$3)&lt;1,0,IFERROR(LOOKUP(2,1/('Feijão 1ª safra'!$E36:INDEX('Feijão 1ª safra'!$E36:$Z36,MIN(W$6-$G$3,22))&lt;&gt;""),'Feijão 1ª safra'!$E36:INDEX('Feijão 1ª safra'!$E36:$Z36,MIN(W$6-$G$3,22))),0)))))</f>
        <v>0</v>
      </c>
      <c r="X38" s="27" t="n">
        <f aca="false">IF(COUNT('Feijão 1ª safra'!$E36:$Z36)=0,0,MAX(0,IF((X$6-$E$3)&lt;1,0,IFERROR(LOOKUP(2,1/('Feijão 1ª safra'!$E36:INDEX('Feijão 1ª safra'!$E36:$Z36,MIN(X$6-$E$3,22))&lt;&gt;""),'Feijão 1ª safra'!$E36:INDEX('Feijão 1ª safra'!$E36:$Z36,MIN(X$6-$E$3,22))),0))-IF($G$2,0,IF((X$6-$G$3)&lt;1,0,IFERROR(LOOKUP(2,1/('Feijão 1ª safra'!$E36:INDEX('Feijão 1ª safra'!$E36:$Z36,MIN(X$6-$G$3,22))&lt;&gt;""),'Feijão 1ª safra'!$E36:INDEX('Feijão 1ª safra'!$E36:$Z36,MIN(X$6-$G$3,22))),0)))))</f>
        <v>0</v>
      </c>
      <c r="Y38" s="27" t="n">
        <f aca="false">IF(COUNT('Feijão 1ª safra'!$E36:$Z36)=0,0,MAX(0,IF((Y$6-$E$3)&lt;1,0,IFERROR(LOOKUP(2,1/('Feijão 1ª safra'!$E36:INDEX('Feijão 1ª safra'!$E36:$Z36,MIN(Y$6-$E$3,22))&lt;&gt;""),'Feijão 1ª safra'!$E36:INDEX('Feijão 1ª safra'!$E36:$Z36,MIN(Y$6-$E$3,22))),0))-IF($G$2,0,IF((Y$6-$G$3)&lt;1,0,IFERROR(LOOKUP(2,1/('Feijão 1ª safra'!$E36:INDEX('Feijão 1ª safra'!$E36:$Z36,MIN(Y$6-$G$3,22))&lt;&gt;""),'Feijão 1ª safra'!$E36:INDEX('Feijão 1ª safra'!$E36:$Z36,MIN(Y$6-$G$3,22))),0)))))</f>
        <v>0</v>
      </c>
      <c r="Z38" s="27" t="n">
        <f aca="false">IF(COUNT('Feijão 1ª safra'!$E36:$Z36)=0,0,MAX(0,IF((Z$6-$E$3)&lt;1,0,IFERROR(LOOKUP(2,1/('Feijão 1ª safra'!$E36:INDEX('Feijão 1ª safra'!$E36:$Z36,MIN(Z$6-$E$3,22))&lt;&gt;""),'Feijão 1ª safra'!$E36:INDEX('Feijão 1ª safra'!$E36:$Z36,MIN(Z$6-$E$3,22))),0))-IF($G$2,0,IF((Z$6-$G$3)&lt;1,0,IFERROR(LOOKUP(2,1/('Feijão 1ª safra'!$E36:INDEX('Feijão 1ª safra'!$E36:$Z36,MIN(Z$6-$G$3,22))&lt;&gt;""),'Feijão 1ª safra'!$E36:INDEX('Feijão 1ª safra'!$E36:$Z36,MIN(Z$6-$G$3,22))),0)))))</f>
        <v>0</v>
      </c>
      <c r="AA38" s="27" t="n">
        <f aca="false">IF(COUNT('Feijão 1ª safra'!$E36:$Z36)=0,0,MAX(0,IF((AA$6-$E$3)&lt;1,0,IFERROR(LOOKUP(2,1/('Feijão 1ª safra'!$E36:INDEX('Feijão 1ª safra'!$E36:$Z36,MIN(AA$6-$E$3,22))&lt;&gt;""),'Feijão 1ª safra'!$E36:INDEX('Feijão 1ª safra'!$E36:$Z36,MIN(AA$6-$E$3,22))),0))-IF($G$2,0,IF((AA$6-$G$3)&lt;1,0,IFERROR(LOOKUP(2,1/('Feijão 1ª safra'!$E36:INDEX('Feijão 1ª safra'!$E36:$Z36,MIN(AA$6-$G$3,22))&lt;&gt;""),'Feijão 1ª safra'!$E36:INDEX('Feijão 1ª safra'!$E36:$Z36,MIN(AA$6-$G$3,22))),0)))))</f>
        <v>0</v>
      </c>
      <c r="AB38" s="27" t="n">
        <f aca="false">IF(COUNT('Feijão 1ª safra'!$E36:$Z36)=0,0,MAX(0,IF((AB$6-$E$3)&lt;1,0,IFERROR(LOOKUP(2,1/('Feijão 1ª safra'!$E36:INDEX('Feijão 1ª safra'!$E36:$Z36,MIN(AB$6-$E$3,22))&lt;&gt;""),'Feijão 1ª safra'!$E36:INDEX('Feijão 1ª safra'!$E36:$Z36,MIN(AB$6-$E$3,22))),0))-IF($G$2,0,IF((AB$6-$G$3)&lt;1,0,IFERROR(LOOKUP(2,1/('Feijão 1ª safra'!$E36:INDEX('Feijão 1ª safra'!$E36:$Z36,MIN(AB$6-$G$3,22))&lt;&gt;""),'Feijão 1ª safra'!$E36:INDEX('Feijão 1ª safra'!$E36:$Z36,MIN(AB$6-$G$3,22))),0)))))</f>
        <v>0</v>
      </c>
      <c r="AC38" s="27" t="n">
        <f aca="false">IF(COUNT('Feijão 1ª safra'!$E36:$Z36)=0,0,MAX(0,IF((AC$6-$E$3)&lt;1,0,IFERROR(LOOKUP(2,1/('Feijão 1ª safra'!$E36:INDEX('Feijão 1ª safra'!$E36:$Z36,MIN(AC$6-$E$3,22))&lt;&gt;""),'Feijão 1ª safra'!$E36:INDEX('Feijão 1ª safra'!$E36:$Z36,MIN(AC$6-$E$3,22))),0))-IF($G$2,0,IF((AC$6-$G$3)&lt;1,0,IFERROR(LOOKUP(2,1/('Feijão 1ª safra'!$E36:INDEX('Feijão 1ª safra'!$E36:$Z36,MIN(AC$6-$G$3,22))&lt;&gt;""),'Feijão 1ª safra'!$E36:INDEX('Feijão 1ª safra'!$E36:$Z36,MIN(AC$6-$G$3,22))),0)))))</f>
        <v>0</v>
      </c>
      <c r="AD38" s="27" t="n">
        <f aca="false">IF(COUNT('Feijão 1ª safra'!$E36:$Z36)=0,0,MAX(0,IF((AD$6-$E$3)&lt;1,0,IFERROR(LOOKUP(2,1/('Feijão 1ª safra'!$E36:INDEX('Feijão 1ª safra'!$E36:$Z36,MIN(AD$6-$E$3,22))&lt;&gt;""),'Feijão 1ª safra'!$E36:INDEX('Feijão 1ª safra'!$E36:$Z36,MIN(AD$6-$E$3,22))),0))-IF($G$2,0,IF((AD$6-$G$3)&lt;1,0,IFERROR(LOOKUP(2,1/('Feijão 1ª safra'!$E36:INDEX('Feijão 1ª safra'!$E36:$Z36,MIN(AD$6-$G$3,22))&lt;&gt;""),'Feijão 1ª safra'!$E36:INDEX('Feijão 1ª safra'!$E36:$Z36,MIN(AD$6-$G$3,22))),0)))))</f>
        <v>0</v>
      </c>
      <c r="AE38" s="27" t="n">
        <f aca="false">IF(COUNT('Feijão 1ª safra'!$E36:$Z36)=0,0,MAX(0,IF((AE$6-$E$3)&lt;1,0,IFERROR(LOOKUP(2,1/('Feijão 1ª safra'!$E36:INDEX('Feijão 1ª safra'!$E36:$Z36,MIN(AE$6-$E$3,22))&lt;&gt;""),'Feijão 1ª safra'!$E36:INDEX('Feijão 1ª safra'!$E36:$Z36,MIN(AE$6-$E$3,22))),0))-IF($G$2,0,IF((AE$6-$G$3)&lt;1,0,IFERROR(LOOKUP(2,1/('Feijão 1ª safra'!$E36:INDEX('Feijão 1ª safra'!$E36:$Z36,MIN(AE$6-$G$3,22))&lt;&gt;""),'Feijão 1ª safra'!$E36:INDEX('Feijão 1ª safra'!$E36:$Z36,MIN(AE$6-$G$3,22))),0)))))</f>
        <v>0</v>
      </c>
      <c r="AF38" s="27" t="n">
        <f aca="false">IF(COUNT('Feijão 1ª safra'!$E36:$Z36)=0,0,MAX(0,IF((AF$6-$E$3)&lt;1,0,IFERROR(LOOKUP(2,1/('Feijão 1ª safra'!$E36:INDEX('Feijão 1ª safra'!$E36:$Z36,MIN(AF$6-$E$3,22))&lt;&gt;""),'Feijão 1ª safra'!$E36:INDEX('Feijão 1ª safra'!$E36:$Z36,MIN(AF$6-$E$3,22))),0))-IF($G$2,0,IF((AF$6-$G$3)&lt;1,0,IFERROR(LOOKUP(2,1/('Feijão 1ª safra'!$E36:INDEX('Feijão 1ª safra'!$E36:$Z36,MIN(AF$6-$G$3,22))&lt;&gt;""),'Feijão 1ª safra'!$E36:INDEX('Feijão 1ª safra'!$E36:$Z36,MIN(AF$6-$G$3,22))),0)))))</f>
        <v>0</v>
      </c>
      <c r="AG38" s="27" t="n">
        <f aca="false">IF(COUNT('Feijão 1ª safra'!$E36:$Z36)=0,0,MAX(0,IF((AG$6-$E$3)&lt;1,0,IFERROR(LOOKUP(2,1/('Feijão 1ª safra'!$E36:INDEX('Feijão 1ª safra'!$E36:$Z36,MIN(AG$6-$E$3,22))&lt;&gt;""),'Feijão 1ª safra'!$E36:INDEX('Feijão 1ª safra'!$E36:$Z36,MIN(AG$6-$E$3,22))),0))-IF($G$2,0,IF((AG$6-$G$3)&lt;1,0,IFERROR(LOOKUP(2,1/('Feijão 1ª safra'!$E36:INDEX('Feijão 1ª safra'!$E36:$Z36,MIN(AG$6-$G$3,22))&lt;&gt;""),'Feijão 1ª safra'!$E36:INDEX('Feijão 1ª safra'!$E36:$Z36,MIN(AG$6-$G$3,22))),0)))))</f>
        <v>0</v>
      </c>
      <c r="AH38" s="27" t="n">
        <f aca="false">IF(COUNT('Feijão 1ª safra'!$E36:$Z36)=0,0,MAX(0,IF((AH$6-$E$3)&lt;1,0,IFERROR(LOOKUP(2,1/('Feijão 1ª safra'!$E36:INDEX('Feijão 1ª safra'!$E36:$Z36,MIN(AH$6-$E$3,22))&lt;&gt;""),'Feijão 1ª safra'!$E36:INDEX('Feijão 1ª safra'!$E36:$Z36,MIN(AH$6-$E$3,22))),0))-IF($G$2,0,IF((AH$6-$G$3)&lt;1,0,IFERROR(LOOKUP(2,1/('Feijão 1ª safra'!$E36:INDEX('Feijão 1ª safra'!$E36:$Z36,MIN(AH$6-$G$3,22))&lt;&gt;""),'Feijão 1ª safra'!$E36:INDEX('Feijão 1ª safra'!$E36:$Z36,MIN(AH$6-$G$3,22))),0)))))</f>
        <v>0</v>
      </c>
      <c r="AI38" s="27" t="n">
        <f aca="false">IF(COUNT('Feijão 1ª safra'!$E36:$Z36)=0,0,MAX(0,IF((AI$6-$E$3)&lt;1,0,IFERROR(LOOKUP(2,1/('Feijão 1ª safra'!$E36:INDEX('Feijão 1ª safra'!$E36:$Z36,MIN(AI$6-$E$3,22))&lt;&gt;""),'Feijão 1ª safra'!$E36:INDEX('Feijão 1ª safra'!$E36:$Z36,MIN(AI$6-$E$3,22))),0))-IF($G$2,0,IF((AI$6-$G$3)&lt;1,0,IFERROR(LOOKUP(2,1/('Feijão 1ª safra'!$E36:INDEX('Feijão 1ª safra'!$E36:$Z36,MIN(AI$6-$G$3,22))&lt;&gt;""),'Feijão 1ª safra'!$E36:INDEX('Feijão 1ª safra'!$E36:$Z36,MIN(AI$6-$G$3,22))),0)))))</f>
        <v>0</v>
      </c>
      <c r="AJ38" s="27" t="n">
        <f aca="false">IF(COUNT('Feijão 1ª safra'!$E36:$Z36)=0,0,MAX(0,IF((AJ$6-$E$3)&lt;1,0,IFERROR(LOOKUP(2,1/('Feijão 1ª safra'!$E36:INDEX('Feijão 1ª safra'!$E36:$Z36,MIN(AJ$6-$E$3,22))&lt;&gt;""),'Feijão 1ª safra'!$E36:INDEX('Feijão 1ª safra'!$E36:$Z36,MIN(AJ$6-$E$3,22))),0))-IF($G$2,0,IF((AJ$6-$G$3)&lt;1,0,IFERROR(LOOKUP(2,1/('Feijão 1ª safra'!$E36:INDEX('Feijão 1ª safra'!$E36:$Z36,MIN(AJ$6-$G$3,22))&lt;&gt;""),'Feijão 1ª safra'!$E36:INDEX('Feijão 1ª safra'!$E36:$Z36,MIN(AJ$6-$G$3,22))),0)))))</f>
        <v>0</v>
      </c>
      <c r="AK38" s="27" t="n">
        <f aca="false">IF(COUNT('Feijão 1ª safra'!$E36:$Z36)=0,0,MAX(0,IF((AK$6-$E$3)&lt;1,0,IFERROR(LOOKUP(2,1/('Feijão 1ª safra'!$E36:INDEX('Feijão 1ª safra'!$E36:$Z36,MIN(AK$6-$E$3,22))&lt;&gt;""),'Feijão 1ª safra'!$E36:INDEX('Feijão 1ª safra'!$E36:$Z36,MIN(AK$6-$E$3,22))),0))-IF($G$2,0,IF((AK$6-$G$3)&lt;1,0,IFERROR(LOOKUP(2,1/('Feijão 1ª safra'!$E36:INDEX('Feijão 1ª safra'!$E36:$Z36,MIN(AK$6-$G$3,22))&lt;&gt;""),'Feijão 1ª safra'!$E36:INDEX('Feijão 1ª safra'!$E36:$Z36,MIN(AK$6-$G$3,22))),0)))))</f>
        <v>0</v>
      </c>
      <c r="AL38" s="27" t="n">
        <f aca="false">IF(COUNT('Feijão 1ª safra'!$E36:$Z36)=0,0,MAX(0,IF((AL$6-$E$3)&lt;1,0,IFERROR(LOOKUP(2,1/('Feijão 1ª safra'!$E36:INDEX('Feijão 1ª safra'!$E36:$Z36,MIN(AL$6-$E$3,22))&lt;&gt;""),'Feijão 1ª safra'!$E36:INDEX('Feijão 1ª safra'!$E36:$Z36,MIN(AL$6-$E$3,22))),0))-IF($G$2,0,IF((AL$6-$G$3)&lt;1,0,IFERROR(LOOKUP(2,1/('Feijão 1ª safra'!$E36:INDEX('Feijão 1ª safra'!$E36:$Z36,MIN(AL$6-$G$3,22))&lt;&gt;""),'Feijão 1ª safra'!$E36:INDEX('Feijão 1ª safra'!$E36:$Z36,MIN(AL$6-$G$3,22))),0)))))</f>
        <v>0</v>
      </c>
      <c r="AM38" s="27" t="n">
        <f aca="false">IF(COUNT('Feijão 1ª safra'!$E36:$Z36)=0,0,MAX(0,IF((AM$6-$E$3)&lt;1,0,IFERROR(LOOKUP(2,1/('Feijão 1ª safra'!$E36:INDEX('Feijão 1ª safra'!$E36:$Z36,MIN(AM$6-$E$3,22))&lt;&gt;""),'Feijão 1ª safra'!$E36:INDEX('Feijão 1ª safra'!$E36:$Z36,MIN(AM$6-$E$3,22))),0))-IF($G$2,0,IF((AM$6-$G$3)&lt;1,0,IFERROR(LOOKUP(2,1/('Feijão 1ª safra'!$E36:INDEX('Feijão 1ª safra'!$E36:$Z36,MIN(AM$6-$G$3,22))&lt;&gt;""),'Feijão 1ª safra'!$E36:INDEX('Feijão 1ª safra'!$E36:$Z36,MIN(AM$6-$G$3,22))),0)))))</f>
        <v>0</v>
      </c>
      <c r="AN38" s="27" t="n">
        <f aca="false">IF(COUNT('Feijão 1ª safra'!$E36:$Z36)=0,0,MAX(0,IF((AN$6-$E$3)&lt;1,0,IFERROR(LOOKUP(2,1/('Feijão 1ª safra'!$E36:INDEX('Feijão 1ª safra'!$E36:$Z36,MIN(AN$6-$E$3,22))&lt;&gt;""),'Feijão 1ª safra'!$E36:INDEX('Feijão 1ª safra'!$E36:$Z36,MIN(AN$6-$E$3,22))),0))-IF($G$2,0,IF((AN$6-$G$3)&lt;1,0,IFERROR(LOOKUP(2,1/('Feijão 1ª safra'!$E36:INDEX('Feijão 1ª safra'!$E36:$Z36,MIN(AN$6-$G$3,22))&lt;&gt;""),'Feijão 1ª safra'!$E36:INDEX('Feijão 1ª safra'!$E36:$Z36,MIN(AN$6-$G$3,22))),0)))))</f>
        <v>0</v>
      </c>
      <c r="AO38" s="27" t="n">
        <f aca="false">IF(COUNT('Feijão 1ª safra'!$E36:$Z36)=0,0,MAX(0,IF((AO$6-$E$3)&lt;1,0,IFERROR(LOOKUP(2,1/('Feijão 1ª safra'!$E36:INDEX('Feijão 1ª safra'!$E36:$Z36,MIN(AO$6-$E$3,22))&lt;&gt;""),'Feijão 1ª safra'!$E36:INDEX('Feijão 1ª safra'!$E36:$Z36,MIN(AO$6-$E$3,22))),0))-IF($G$2,0,IF((AO$6-$G$3)&lt;1,0,IFERROR(LOOKUP(2,1/('Feijão 1ª safra'!$E36:INDEX('Feijão 1ª safra'!$E36:$Z36,MIN(AO$6-$G$3,22))&lt;&gt;""),'Feijão 1ª safra'!$E36:INDEX('Feijão 1ª safra'!$E36:$Z36,MIN(AO$6-$G$3,22))),0)))))</f>
        <v>0</v>
      </c>
      <c r="AP38" s="27" t="n">
        <f aca="false">IF(COUNT('Feijão 1ª safra'!$E36:$Z36)=0,0,MAX(0,IF((AP$6-$E$3)&lt;1,0,IFERROR(LOOKUP(2,1/('Feijão 1ª safra'!$E36:INDEX('Feijão 1ª safra'!$E36:$Z36,MIN(AP$6-$E$3,22))&lt;&gt;""),'Feijão 1ª safra'!$E36:INDEX('Feijão 1ª safra'!$E36:$Z36,MIN(AP$6-$E$3,22))),0))-IF($G$2,0,IF((AP$6-$G$3)&lt;1,0,IFERROR(LOOKUP(2,1/('Feijão 1ª safra'!$E36:INDEX('Feijão 1ª safra'!$E36:$Z36,MIN(AP$6-$G$3,22))&lt;&gt;""),'Feijão 1ª safra'!$E36:INDEX('Feijão 1ª safra'!$E36:$Z36,MIN(AP$6-$G$3,22))),0)))))</f>
        <v>0</v>
      </c>
      <c r="AQ38" s="27" t="n">
        <f aca="false">IF(COUNT('Feijão 1ª safra'!$E36:$Z36)=0,0,MAX(0,IF((AQ$6-$E$3)&lt;1,0,IFERROR(LOOKUP(2,1/('Feijão 1ª safra'!$E36:INDEX('Feijão 1ª safra'!$E36:$Z36,MIN(AQ$6-$E$3,22))&lt;&gt;""),'Feijão 1ª safra'!$E36:INDEX('Feijão 1ª safra'!$E36:$Z36,MIN(AQ$6-$E$3,22))),0))-IF($G$2,0,IF((AQ$6-$G$3)&lt;1,0,IFERROR(LOOKUP(2,1/('Feijão 1ª safra'!$E36:INDEX('Feijão 1ª safra'!$E36:$Z36,MIN(AQ$6-$G$3,22))&lt;&gt;""),'Feijão 1ª safra'!$E36:INDEX('Feijão 1ª safra'!$E36:$Z36,MIN(AQ$6-$G$3,22))),0)))))</f>
        <v>0</v>
      </c>
      <c r="AR38" s="27" t="n">
        <f aca="false">IF(COUNT('Feijão 1ª safra'!$E36:$Z36)=0,0,MAX(0,IF((AR$6-$E$3)&lt;1,0,IFERROR(LOOKUP(2,1/('Feijão 1ª safra'!$E36:INDEX('Feijão 1ª safra'!$E36:$Z36,MIN(AR$6-$E$3,22))&lt;&gt;""),'Feijão 1ª safra'!$E36:INDEX('Feijão 1ª safra'!$E36:$Z36,MIN(AR$6-$E$3,22))),0))-IF($G$2,0,IF((AR$6-$G$3)&lt;1,0,IFERROR(LOOKUP(2,1/('Feijão 1ª safra'!$E36:INDEX('Feijão 1ª safra'!$E36:$Z36,MIN(AR$6-$G$3,22))&lt;&gt;""),'Feijão 1ª safra'!$E36:INDEX('Feijão 1ª safra'!$E36:$Z36,MIN(AR$6-$G$3,22))),0)))))</f>
        <v>0</v>
      </c>
      <c r="AS38" s="27" t="n">
        <f aca="false">IF(COUNT('Feijão 1ª safra'!$E36:$Z36)=0,0,MAX(0,IF((AS$6-$E$3)&lt;1,0,IFERROR(LOOKUP(2,1/('Feijão 1ª safra'!$E36:INDEX('Feijão 1ª safra'!$E36:$Z36,MIN(AS$6-$E$3,22))&lt;&gt;""),'Feijão 1ª safra'!$E36:INDEX('Feijão 1ª safra'!$E36:$Z36,MIN(AS$6-$E$3,22))),0))-IF($G$2,0,IF((AS$6-$G$3)&lt;1,0,IFERROR(LOOKUP(2,1/('Feijão 1ª safra'!$E36:INDEX('Feijão 1ª safra'!$E36:$Z36,MIN(AS$6-$G$3,22))&lt;&gt;""),'Feijão 1ª safra'!$E36:INDEX('Feijão 1ª safra'!$E36:$Z36,MIN(AS$6-$G$3,22))),0)))))</f>
        <v>0</v>
      </c>
      <c r="AT38" s="27" t="n">
        <f aca="false">IF(COUNT('Feijão 1ª safra'!$E36:$Z36)=0,0,MAX(0,IF((AT$6-$E$3)&lt;1,0,IFERROR(LOOKUP(2,1/('Feijão 1ª safra'!$E36:INDEX('Feijão 1ª safra'!$E36:$Z36,MIN(AT$6-$E$3,22))&lt;&gt;""),'Feijão 1ª safra'!$E36:INDEX('Feijão 1ª safra'!$E36:$Z36,MIN(AT$6-$E$3,22))),0))-IF($G$2,0,IF((AT$6-$G$3)&lt;1,0,IFERROR(LOOKUP(2,1/('Feijão 1ª safra'!$E36:INDEX('Feijão 1ª safra'!$E36:$Z36,MIN(AT$6-$G$3,22))&lt;&gt;""),'Feijão 1ª safra'!$E36:INDEX('Feijão 1ª safra'!$E36:$Z36,MIN(AT$6-$G$3,22))),0)))))</f>
        <v>0</v>
      </c>
      <c r="AU38" s="27" t="n">
        <f aca="false">IF(COUNT('Feijão 1ª safra'!$E36:$Z36)=0,0,MAX(0,IF((AU$6-$E$3)&lt;1,0,IFERROR(LOOKUP(2,1/('Feijão 1ª safra'!$E36:INDEX('Feijão 1ª safra'!$E36:$Z36,MIN(AU$6-$E$3,22))&lt;&gt;""),'Feijão 1ª safra'!$E36:INDEX('Feijão 1ª safra'!$E36:$Z36,MIN(AU$6-$E$3,22))),0))-IF($G$2,0,IF((AU$6-$G$3)&lt;1,0,IFERROR(LOOKUP(2,1/('Feijão 1ª safra'!$E36:INDEX('Feijão 1ª safra'!$E36:$Z36,MIN(AU$6-$G$3,22))&lt;&gt;""),'Feijão 1ª safra'!$E36:INDEX('Feijão 1ª safra'!$E36:$Z36,MIN(AU$6-$G$3,22))),0)))))</f>
        <v>0</v>
      </c>
      <c r="AV38" s="27" t="n">
        <f aca="false">IF(COUNT('Feijão 1ª safra'!$E36:$Z36)=0,0,MAX(0,IF((AV$6-$E$3)&lt;1,0,IFERROR(LOOKUP(2,1/('Feijão 1ª safra'!$E36:INDEX('Feijão 1ª safra'!$E36:$Z36,MIN(AV$6-$E$3,22))&lt;&gt;""),'Feijão 1ª safra'!$E36:INDEX('Feijão 1ª safra'!$E36:$Z36,MIN(AV$6-$E$3,22))),0))-IF($G$2,0,IF((AV$6-$G$3)&lt;1,0,IFERROR(LOOKUP(2,1/('Feijão 1ª safra'!$E36:INDEX('Feijão 1ª safra'!$E36:$Z36,MIN(AV$6-$G$3,22))&lt;&gt;""),'Feijão 1ª safra'!$E36:INDEX('Feijão 1ª safra'!$E36:$Z36,MIN(AV$6-$G$3,22))),0)))))</f>
        <v>0</v>
      </c>
      <c r="AW38" s="27" t="n">
        <f aca="false">IF(COUNT('Feijão 1ª safra'!$E36:$Z36)=0,0,MAX(0,IF((AW$6-$E$3)&lt;1,0,IFERROR(LOOKUP(2,1/('Feijão 1ª safra'!$E36:INDEX('Feijão 1ª safra'!$E36:$Z36,MIN(AW$6-$E$3,22))&lt;&gt;""),'Feijão 1ª safra'!$E36:INDEX('Feijão 1ª safra'!$E36:$Z36,MIN(AW$6-$E$3,22))),0))-IF($G$2,0,IF((AW$6-$G$3)&lt;1,0,IFERROR(LOOKUP(2,1/('Feijão 1ª safra'!$E36:INDEX('Feijão 1ª safra'!$E36:$Z36,MIN(AW$6-$G$3,22))&lt;&gt;""),'Feijão 1ª safra'!$E36:INDEX('Feijão 1ª safra'!$E36:$Z36,MIN(AW$6-$G$3,22))),0)))))</f>
        <v>0</v>
      </c>
      <c r="AX38" s="27" t="n">
        <f aca="false">IF(COUNT('Feijão 1ª safra'!$E36:$Z36)=0,0,MAX(0,IF((AX$6-$E$3)&lt;1,0,IFERROR(LOOKUP(2,1/('Feijão 1ª safra'!$E36:INDEX('Feijão 1ª safra'!$E36:$Z36,MIN(AX$6-$E$3,22))&lt;&gt;""),'Feijão 1ª safra'!$E36:INDEX('Feijão 1ª safra'!$E36:$Z36,MIN(AX$6-$E$3,22))),0))-IF($G$2,0,IF((AX$6-$G$3)&lt;1,0,IFERROR(LOOKUP(2,1/('Feijão 1ª safra'!$E36:INDEX('Feijão 1ª safra'!$E36:$Z36,MIN(AX$6-$G$3,22))&lt;&gt;""),'Feijão 1ª safra'!$E36:INDEX('Feijão 1ª safra'!$E36:$Z36,MIN(AX$6-$G$3,22))),0)))))</f>
        <v>0</v>
      </c>
      <c r="AY38" s="27" t="n">
        <f aca="false">IF(COUNT('Feijão 1ª safra'!$E36:$Z36)=0,0,MAX(0,IF((AY$6-$E$3)&lt;1,0,IFERROR(LOOKUP(2,1/('Feijão 1ª safra'!$E36:INDEX('Feijão 1ª safra'!$E36:$Z36,MIN(AY$6-$E$3,22))&lt;&gt;""),'Feijão 1ª safra'!$E36:INDEX('Feijão 1ª safra'!$E36:$Z36,MIN(AY$6-$E$3,22))),0))-IF($G$2,0,IF((AY$6-$G$3)&lt;1,0,IFERROR(LOOKUP(2,1/('Feijão 1ª safra'!$E36:INDEX('Feijão 1ª safra'!$E36:$Z36,MIN(AY$6-$G$3,22))&lt;&gt;""),'Feijão 1ª safra'!$E36:INDEX('Feijão 1ª safra'!$E36:$Z36,MIN(AY$6-$G$3,22))),0)))))</f>
        <v>0</v>
      </c>
      <c r="AZ38" s="27" t="n">
        <f aca="false">IF(COUNT('Feijão 1ª safra'!$E36:$Z36)=0,0,MAX(0,IF((AZ$6-$E$3)&lt;1,0,IFERROR(LOOKUP(2,1/('Feijão 1ª safra'!$E36:INDEX('Feijão 1ª safra'!$E36:$Z36,MIN(AZ$6-$E$3,22))&lt;&gt;""),'Feijão 1ª safra'!$E36:INDEX('Feijão 1ª safra'!$E36:$Z36,MIN(AZ$6-$E$3,22))),0))-IF($G$2,0,IF((AZ$6-$G$3)&lt;1,0,IFERROR(LOOKUP(2,1/('Feijão 1ª safra'!$E36:INDEX('Feijão 1ª safra'!$E36:$Z36,MIN(AZ$6-$G$3,22))&lt;&gt;""),'Feijão 1ª safra'!$E36:INDEX('Feijão 1ª safra'!$E36:$Z36,MIN(AZ$6-$G$3,22))),0)))))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IF(COUNT('Feijão 1ª safra'!$E37:$Z37)&gt;0,N('Feijão 1ª safra'!$D37),0)</f>
        <v>0</v>
      </c>
      <c r="E39" s="27" t="n">
        <f aca="false">IF(COUNT('Feijão 1ª safra'!$E37:$Z37)=0,0,MAX(0,IF((E$6-$E$3)&lt;1,0,IFERROR(LOOKUP(2,1/('Feijão 1ª safra'!$E37:INDEX('Feijão 1ª safra'!$E37:$Z37,MIN(E$6-$E$3,22))&lt;&gt;""),'Feijão 1ª safra'!$E37:INDEX('Feijão 1ª safra'!$E37:$Z37,MIN(E$6-$E$3,22))),0))-IF($G$2,0,IF((E$6-$G$3)&lt;1,0,IFERROR(LOOKUP(2,1/('Feijão 1ª safra'!$E37:INDEX('Feijão 1ª safra'!$E37:$Z37,MIN(E$6-$G$3,22))&lt;&gt;""),'Feijão 1ª safra'!$E37:INDEX('Feijão 1ª safra'!$E37:$Z37,MIN(E$6-$G$3,22))),0)))))</f>
        <v>0</v>
      </c>
      <c r="F39" s="27" t="n">
        <f aca="false">IF(COUNT('Feijão 1ª safra'!$E37:$Z37)=0,0,MAX(0,IF((F$6-$E$3)&lt;1,0,IFERROR(LOOKUP(2,1/('Feijão 1ª safra'!$E37:INDEX('Feijão 1ª safra'!$E37:$Z37,MIN(F$6-$E$3,22))&lt;&gt;""),'Feijão 1ª safra'!$E37:INDEX('Feijão 1ª safra'!$E37:$Z37,MIN(F$6-$E$3,22))),0))-IF($G$2,0,IF((F$6-$G$3)&lt;1,0,IFERROR(LOOKUP(2,1/('Feijão 1ª safra'!$E37:INDEX('Feijão 1ª safra'!$E37:$Z37,MIN(F$6-$G$3,22))&lt;&gt;""),'Feijão 1ª safra'!$E37:INDEX('Feijão 1ª safra'!$E37:$Z37,MIN(F$6-$G$3,22))),0)))))</f>
        <v>0</v>
      </c>
      <c r="G39" s="27" t="n">
        <f aca="false">IF(COUNT('Feijão 1ª safra'!$E37:$Z37)=0,0,MAX(0,IF((G$6-$E$3)&lt;1,0,IFERROR(LOOKUP(2,1/('Feijão 1ª safra'!$E37:INDEX('Feijão 1ª safra'!$E37:$Z37,MIN(G$6-$E$3,22))&lt;&gt;""),'Feijão 1ª safra'!$E37:INDEX('Feijão 1ª safra'!$E37:$Z37,MIN(G$6-$E$3,22))),0))-IF($G$2,0,IF((G$6-$G$3)&lt;1,0,IFERROR(LOOKUP(2,1/('Feijão 1ª safra'!$E37:INDEX('Feijão 1ª safra'!$E37:$Z37,MIN(G$6-$G$3,22))&lt;&gt;""),'Feijão 1ª safra'!$E37:INDEX('Feijão 1ª safra'!$E37:$Z37,MIN(G$6-$G$3,22))),0)))))</f>
        <v>0</v>
      </c>
      <c r="H39" s="27" t="n">
        <f aca="false">IF(COUNT('Feijão 1ª safra'!$E37:$Z37)=0,0,MAX(0,IF((H$6-$E$3)&lt;1,0,IFERROR(LOOKUP(2,1/('Feijão 1ª safra'!$E37:INDEX('Feijão 1ª safra'!$E37:$Z37,MIN(H$6-$E$3,22))&lt;&gt;""),'Feijão 1ª safra'!$E37:INDEX('Feijão 1ª safra'!$E37:$Z37,MIN(H$6-$E$3,22))),0))-IF($G$2,0,IF((H$6-$G$3)&lt;1,0,IFERROR(LOOKUP(2,1/('Feijão 1ª safra'!$E37:INDEX('Feijão 1ª safra'!$E37:$Z37,MIN(H$6-$G$3,22))&lt;&gt;""),'Feijão 1ª safra'!$E37:INDEX('Feijão 1ª safra'!$E37:$Z37,MIN(H$6-$G$3,22))),0)))))</f>
        <v>0</v>
      </c>
      <c r="I39" s="27" t="n">
        <f aca="false">IF(COUNT('Feijão 1ª safra'!$E37:$Z37)=0,0,MAX(0,IF((I$6-$E$3)&lt;1,0,IFERROR(LOOKUP(2,1/('Feijão 1ª safra'!$E37:INDEX('Feijão 1ª safra'!$E37:$Z37,MIN(I$6-$E$3,22))&lt;&gt;""),'Feijão 1ª safra'!$E37:INDEX('Feijão 1ª safra'!$E37:$Z37,MIN(I$6-$E$3,22))),0))-IF($G$2,0,IF((I$6-$G$3)&lt;1,0,IFERROR(LOOKUP(2,1/('Feijão 1ª safra'!$E37:INDEX('Feijão 1ª safra'!$E37:$Z37,MIN(I$6-$G$3,22))&lt;&gt;""),'Feijão 1ª safra'!$E37:INDEX('Feijão 1ª safra'!$E37:$Z37,MIN(I$6-$G$3,22))),0)))))</f>
        <v>0</v>
      </c>
      <c r="J39" s="27" t="n">
        <f aca="false">IF(COUNT('Feijão 1ª safra'!$E37:$Z37)=0,0,MAX(0,IF((J$6-$E$3)&lt;1,0,IFERROR(LOOKUP(2,1/('Feijão 1ª safra'!$E37:INDEX('Feijão 1ª safra'!$E37:$Z37,MIN(J$6-$E$3,22))&lt;&gt;""),'Feijão 1ª safra'!$E37:INDEX('Feijão 1ª safra'!$E37:$Z37,MIN(J$6-$E$3,22))),0))-IF($G$2,0,IF((J$6-$G$3)&lt;1,0,IFERROR(LOOKUP(2,1/('Feijão 1ª safra'!$E37:INDEX('Feijão 1ª safra'!$E37:$Z37,MIN(J$6-$G$3,22))&lt;&gt;""),'Feijão 1ª safra'!$E37:INDEX('Feijão 1ª safra'!$E37:$Z37,MIN(J$6-$G$3,22))),0)))))</f>
        <v>0</v>
      </c>
      <c r="K39" s="27" t="n">
        <f aca="false">IF(COUNT('Feijão 1ª safra'!$E37:$Z37)=0,0,MAX(0,IF((K$6-$E$3)&lt;1,0,IFERROR(LOOKUP(2,1/('Feijão 1ª safra'!$E37:INDEX('Feijão 1ª safra'!$E37:$Z37,MIN(K$6-$E$3,22))&lt;&gt;""),'Feijão 1ª safra'!$E37:INDEX('Feijão 1ª safra'!$E37:$Z37,MIN(K$6-$E$3,22))),0))-IF($G$2,0,IF((K$6-$G$3)&lt;1,0,IFERROR(LOOKUP(2,1/('Feijão 1ª safra'!$E37:INDEX('Feijão 1ª safra'!$E37:$Z37,MIN(K$6-$G$3,22))&lt;&gt;""),'Feijão 1ª safra'!$E37:INDEX('Feijão 1ª safra'!$E37:$Z37,MIN(K$6-$G$3,22))),0)))))</f>
        <v>0</v>
      </c>
      <c r="L39" s="27" t="n">
        <f aca="false">IF(COUNT('Feijão 1ª safra'!$E37:$Z37)=0,0,MAX(0,IF((L$6-$E$3)&lt;1,0,IFERROR(LOOKUP(2,1/('Feijão 1ª safra'!$E37:INDEX('Feijão 1ª safra'!$E37:$Z37,MIN(L$6-$E$3,22))&lt;&gt;""),'Feijão 1ª safra'!$E37:INDEX('Feijão 1ª safra'!$E37:$Z37,MIN(L$6-$E$3,22))),0))-IF($G$2,0,IF((L$6-$G$3)&lt;1,0,IFERROR(LOOKUP(2,1/('Feijão 1ª safra'!$E37:INDEX('Feijão 1ª safra'!$E37:$Z37,MIN(L$6-$G$3,22))&lt;&gt;""),'Feijão 1ª safra'!$E37:INDEX('Feijão 1ª safra'!$E37:$Z37,MIN(L$6-$G$3,22))),0)))))</f>
        <v>0</v>
      </c>
      <c r="M39" s="27" t="n">
        <f aca="false">IF(COUNT('Feijão 1ª safra'!$E37:$Z37)=0,0,MAX(0,IF((M$6-$E$3)&lt;1,0,IFERROR(LOOKUP(2,1/('Feijão 1ª safra'!$E37:INDEX('Feijão 1ª safra'!$E37:$Z37,MIN(M$6-$E$3,22))&lt;&gt;""),'Feijão 1ª safra'!$E37:INDEX('Feijão 1ª safra'!$E37:$Z37,MIN(M$6-$E$3,22))),0))-IF($G$2,0,IF((M$6-$G$3)&lt;1,0,IFERROR(LOOKUP(2,1/('Feijão 1ª safra'!$E37:INDEX('Feijão 1ª safra'!$E37:$Z37,MIN(M$6-$G$3,22))&lt;&gt;""),'Feijão 1ª safra'!$E37:INDEX('Feijão 1ª safra'!$E37:$Z37,MIN(M$6-$G$3,22))),0)))))</f>
        <v>0</v>
      </c>
      <c r="N39" s="27" t="n">
        <f aca="false">IF(COUNT('Feijão 1ª safra'!$E37:$Z37)=0,0,MAX(0,IF((N$6-$E$3)&lt;1,0,IFERROR(LOOKUP(2,1/('Feijão 1ª safra'!$E37:INDEX('Feijão 1ª safra'!$E37:$Z37,MIN(N$6-$E$3,22))&lt;&gt;""),'Feijão 1ª safra'!$E37:INDEX('Feijão 1ª safra'!$E37:$Z37,MIN(N$6-$E$3,22))),0))-IF($G$2,0,IF((N$6-$G$3)&lt;1,0,IFERROR(LOOKUP(2,1/('Feijão 1ª safra'!$E37:INDEX('Feijão 1ª safra'!$E37:$Z37,MIN(N$6-$G$3,22))&lt;&gt;""),'Feijão 1ª safra'!$E37:INDEX('Feijão 1ª safra'!$E37:$Z37,MIN(N$6-$G$3,22))),0)))))</f>
        <v>0</v>
      </c>
      <c r="O39" s="27" t="n">
        <f aca="false">IF(COUNT('Feijão 1ª safra'!$E37:$Z37)=0,0,MAX(0,IF((O$6-$E$3)&lt;1,0,IFERROR(LOOKUP(2,1/('Feijão 1ª safra'!$E37:INDEX('Feijão 1ª safra'!$E37:$Z37,MIN(O$6-$E$3,22))&lt;&gt;""),'Feijão 1ª safra'!$E37:INDEX('Feijão 1ª safra'!$E37:$Z37,MIN(O$6-$E$3,22))),0))-IF($G$2,0,IF((O$6-$G$3)&lt;1,0,IFERROR(LOOKUP(2,1/('Feijão 1ª safra'!$E37:INDEX('Feijão 1ª safra'!$E37:$Z37,MIN(O$6-$G$3,22))&lt;&gt;""),'Feijão 1ª safra'!$E37:INDEX('Feijão 1ª safra'!$E37:$Z37,MIN(O$6-$G$3,22))),0)))))</f>
        <v>0</v>
      </c>
      <c r="P39" s="27" t="n">
        <f aca="false">IF(COUNT('Feijão 1ª safra'!$E37:$Z37)=0,0,MAX(0,IF((P$6-$E$3)&lt;1,0,IFERROR(LOOKUP(2,1/('Feijão 1ª safra'!$E37:INDEX('Feijão 1ª safra'!$E37:$Z37,MIN(P$6-$E$3,22))&lt;&gt;""),'Feijão 1ª safra'!$E37:INDEX('Feijão 1ª safra'!$E37:$Z37,MIN(P$6-$E$3,22))),0))-IF($G$2,0,IF((P$6-$G$3)&lt;1,0,IFERROR(LOOKUP(2,1/('Feijão 1ª safra'!$E37:INDEX('Feijão 1ª safra'!$E37:$Z37,MIN(P$6-$G$3,22))&lt;&gt;""),'Feijão 1ª safra'!$E37:INDEX('Feijão 1ª safra'!$E37:$Z37,MIN(P$6-$G$3,22))),0)))))</f>
        <v>0</v>
      </c>
      <c r="Q39" s="27" t="n">
        <f aca="false">IF(COUNT('Feijão 1ª safra'!$E37:$Z37)=0,0,MAX(0,IF((Q$6-$E$3)&lt;1,0,IFERROR(LOOKUP(2,1/('Feijão 1ª safra'!$E37:INDEX('Feijão 1ª safra'!$E37:$Z37,MIN(Q$6-$E$3,22))&lt;&gt;""),'Feijão 1ª safra'!$E37:INDEX('Feijão 1ª safra'!$E37:$Z37,MIN(Q$6-$E$3,22))),0))-IF($G$2,0,IF((Q$6-$G$3)&lt;1,0,IFERROR(LOOKUP(2,1/('Feijão 1ª safra'!$E37:INDEX('Feijão 1ª safra'!$E37:$Z37,MIN(Q$6-$G$3,22))&lt;&gt;""),'Feijão 1ª safra'!$E37:INDEX('Feijão 1ª safra'!$E37:$Z37,MIN(Q$6-$G$3,22))),0)))))</f>
        <v>0</v>
      </c>
      <c r="R39" s="27" t="n">
        <f aca="false">IF(COUNT('Feijão 1ª safra'!$E37:$Z37)=0,0,MAX(0,IF((R$6-$E$3)&lt;1,0,IFERROR(LOOKUP(2,1/('Feijão 1ª safra'!$E37:INDEX('Feijão 1ª safra'!$E37:$Z37,MIN(R$6-$E$3,22))&lt;&gt;""),'Feijão 1ª safra'!$E37:INDEX('Feijão 1ª safra'!$E37:$Z37,MIN(R$6-$E$3,22))),0))-IF($G$2,0,IF((R$6-$G$3)&lt;1,0,IFERROR(LOOKUP(2,1/('Feijão 1ª safra'!$E37:INDEX('Feijão 1ª safra'!$E37:$Z37,MIN(R$6-$G$3,22))&lt;&gt;""),'Feijão 1ª safra'!$E37:INDEX('Feijão 1ª safra'!$E37:$Z37,MIN(R$6-$G$3,22))),0)))))</f>
        <v>0</v>
      </c>
      <c r="S39" s="27" t="n">
        <f aca="false">IF(COUNT('Feijão 1ª safra'!$E37:$Z37)=0,0,MAX(0,IF((S$6-$E$3)&lt;1,0,IFERROR(LOOKUP(2,1/('Feijão 1ª safra'!$E37:INDEX('Feijão 1ª safra'!$E37:$Z37,MIN(S$6-$E$3,22))&lt;&gt;""),'Feijão 1ª safra'!$E37:INDEX('Feijão 1ª safra'!$E37:$Z37,MIN(S$6-$E$3,22))),0))-IF($G$2,0,IF((S$6-$G$3)&lt;1,0,IFERROR(LOOKUP(2,1/('Feijão 1ª safra'!$E37:INDEX('Feijão 1ª safra'!$E37:$Z37,MIN(S$6-$G$3,22))&lt;&gt;""),'Feijão 1ª safra'!$E37:INDEX('Feijão 1ª safra'!$E37:$Z37,MIN(S$6-$G$3,22))),0)))))</f>
        <v>0</v>
      </c>
      <c r="T39" s="27" t="n">
        <f aca="false">IF(COUNT('Feijão 1ª safra'!$E37:$Z37)=0,0,MAX(0,IF((T$6-$E$3)&lt;1,0,IFERROR(LOOKUP(2,1/('Feijão 1ª safra'!$E37:INDEX('Feijão 1ª safra'!$E37:$Z37,MIN(T$6-$E$3,22))&lt;&gt;""),'Feijão 1ª safra'!$E37:INDEX('Feijão 1ª safra'!$E37:$Z37,MIN(T$6-$E$3,22))),0))-IF($G$2,0,IF((T$6-$G$3)&lt;1,0,IFERROR(LOOKUP(2,1/('Feijão 1ª safra'!$E37:INDEX('Feijão 1ª safra'!$E37:$Z37,MIN(T$6-$G$3,22))&lt;&gt;""),'Feijão 1ª safra'!$E37:INDEX('Feijão 1ª safra'!$E37:$Z37,MIN(T$6-$G$3,22))),0)))))</f>
        <v>0</v>
      </c>
      <c r="U39" s="27" t="n">
        <f aca="false">IF(COUNT('Feijão 1ª safra'!$E37:$Z37)=0,0,MAX(0,IF((U$6-$E$3)&lt;1,0,IFERROR(LOOKUP(2,1/('Feijão 1ª safra'!$E37:INDEX('Feijão 1ª safra'!$E37:$Z37,MIN(U$6-$E$3,22))&lt;&gt;""),'Feijão 1ª safra'!$E37:INDEX('Feijão 1ª safra'!$E37:$Z37,MIN(U$6-$E$3,22))),0))-IF($G$2,0,IF((U$6-$G$3)&lt;1,0,IFERROR(LOOKUP(2,1/('Feijão 1ª safra'!$E37:INDEX('Feijão 1ª safra'!$E37:$Z37,MIN(U$6-$G$3,22))&lt;&gt;""),'Feijão 1ª safra'!$E37:INDEX('Feijão 1ª safra'!$E37:$Z37,MIN(U$6-$G$3,22))),0)))))</f>
        <v>0</v>
      </c>
      <c r="V39" s="27" t="n">
        <f aca="false">IF(COUNT('Feijão 1ª safra'!$E37:$Z37)=0,0,MAX(0,IF((V$6-$E$3)&lt;1,0,IFERROR(LOOKUP(2,1/('Feijão 1ª safra'!$E37:INDEX('Feijão 1ª safra'!$E37:$Z37,MIN(V$6-$E$3,22))&lt;&gt;""),'Feijão 1ª safra'!$E37:INDEX('Feijão 1ª safra'!$E37:$Z37,MIN(V$6-$E$3,22))),0))-IF($G$2,0,IF((V$6-$G$3)&lt;1,0,IFERROR(LOOKUP(2,1/('Feijão 1ª safra'!$E37:INDEX('Feijão 1ª safra'!$E37:$Z37,MIN(V$6-$G$3,22))&lt;&gt;""),'Feijão 1ª safra'!$E37:INDEX('Feijão 1ª safra'!$E37:$Z37,MIN(V$6-$G$3,22))),0)))))</f>
        <v>0</v>
      </c>
      <c r="W39" s="27" t="n">
        <f aca="false">IF(COUNT('Feijão 1ª safra'!$E37:$Z37)=0,0,MAX(0,IF((W$6-$E$3)&lt;1,0,IFERROR(LOOKUP(2,1/('Feijão 1ª safra'!$E37:INDEX('Feijão 1ª safra'!$E37:$Z37,MIN(W$6-$E$3,22))&lt;&gt;""),'Feijão 1ª safra'!$E37:INDEX('Feijão 1ª safra'!$E37:$Z37,MIN(W$6-$E$3,22))),0))-IF($G$2,0,IF((W$6-$G$3)&lt;1,0,IFERROR(LOOKUP(2,1/('Feijão 1ª safra'!$E37:INDEX('Feijão 1ª safra'!$E37:$Z37,MIN(W$6-$G$3,22))&lt;&gt;""),'Feijão 1ª safra'!$E37:INDEX('Feijão 1ª safra'!$E37:$Z37,MIN(W$6-$G$3,22))),0)))))</f>
        <v>0</v>
      </c>
      <c r="X39" s="27" t="n">
        <f aca="false">IF(COUNT('Feijão 1ª safra'!$E37:$Z37)=0,0,MAX(0,IF((X$6-$E$3)&lt;1,0,IFERROR(LOOKUP(2,1/('Feijão 1ª safra'!$E37:INDEX('Feijão 1ª safra'!$E37:$Z37,MIN(X$6-$E$3,22))&lt;&gt;""),'Feijão 1ª safra'!$E37:INDEX('Feijão 1ª safra'!$E37:$Z37,MIN(X$6-$E$3,22))),0))-IF($G$2,0,IF((X$6-$G$3)&lt;1,0,IFERROR(LOOKUP(2,1/('Feijão 1ª safra'!$E37:INDEX('Feijão 1ª safra'!$E37:$Z37,MIN(X$6-$G$3,22))&lt;&gt;""),'Feijão 1ª safra'!$E37:INDEX('Feijão 1ª safra'!$E37:$Z37,MIN(X$6-$G$3,22))),0)))))</f>
        <v>0</v>
      </c>
      <c r="Y39" s="27" t="n">
        <f aca="false">IF(COUNT('Feijão 1ª safra'!$E37:$Z37)=0,0,MAX(0,IF((Y$6-$E$3)&lt;1,0,IFERROR(LOOKUP(2,1/('Feijão 1ª safra'!$E37:INDEX('Feijão 1ª safra'!$E37:$Z37,MIN(Y$6-$E$3,22))&lt;&gt;""),'Feijão 1ª safra'!$E37:INDEX('Feijão 1ª safra'!$E37:$Z37,MIN(Y$6-$E$3,22))),0))-IF($G$2,0,IF((Y$6-$G$3)&lt;1,0,IFERROR(LOOKUP(2,1/('Feijão 1ª safra'!$E37:INDEX('Feijão 1ª safra'!$E37:$Z37,MIN(Y$6-$G$3,22))&lt;&gt;""),'Feijão 1ª safra'!$E37:INDEX('Feijão 1ª safra'!$E37:$Z37,MIN(Y$6-$G$3,22))),0)))))</f>
        <v>0</v>
      </c>
      <c r="Z39" s="27" t="n">
        <f aca="false">IF(COUNT('Feijão 1ª safra'!$E37:$Z37)=0,0,MAX(0,IF((Z$6-$E$3)&lt;1,0,IFERROR(LOOKUP(2,1/('Feijão 1ª safra'!$E37:INDEX('Feijão 1ª safra'!$E37:$Z37,MIN(Z$6-$E$3,22))&lt;&gt;""),'Feijão 1ª safra'!$E37:INDEX('Feijão 1ª safra'!$E37:$Z37,MIN(Z$6-$E$3,22))),0))-IF($G$2,0,IF((Z$6-$G$3)&lt;1,0,IFERROR(LOOKUP(2,1/('Feijão 1ª safra'!$E37:INDEX('Feijão 1ª safra'!$E37:$Z37,MIN(Z$6-$G$3,22))&lt;&gt;""),'Feijão 1ª safra'!$E37:INDEX('Feijão 1ª safra'!$E37:$Z37,MIN(Z$6-$G$3,22))),0)))))</f>
        <v>0</v>
      </c>
      <c r="AA39" s="27" t="n">
        <f aca="false">IF(COUNT('Feijão 1ª safra'!$E37:$Z37)=0,0,MAX(0,IF((AA$6-$E$3)&lt;1,0,IFERROR(LOOKUP(2,1/('Feijão 1ª safra'!$E37:INDEX('Feijão 1ª safra'!$E37:$Z37,MIN(AA$6-$E$3,22))&lt;&gt;""),'Feijão 1ª safra'!$E37:INDEX('Feijão 1ª safra'!$E37:$Z37,MIN(AA$6-$E$3,22))),0))-IF($G$2,0,IF((AA$6-$G$3)&lt;1,0,IFERROR(LOOKUP(2,1/('Feijão 1ª safra'!$E37:INDEX('Feijão 1ª safra'!$E37:$Z37,MIN(AA$6-$G$3,22))&lt;&gt;""),'Feijão 1ª safra'!$E37:INDEX('Feijão 1ª safra'!$E37:$Z37,MIN(AA$6-$G$3,22))),0)))))</f>
        <v>0</v>
      </c>
      <c r="AB39" s="27" t="n">
        <f aca="false">IF(COUNT('Feijão 1ª safra'!$E37:$Z37)=0,0,MAX(0,IF((AB$6-$E$3)&lt;1,0,IFERROR(LOOKUP(2,1/('Feijão 1ª safra'!$E37:INDEX('Feijão 1ª safra'!$E37:$Z37,MIN(AB$6-$E$3,22))&lt;&gt;""),'Feijão 1ª safra'!$E37:INDEX('Feijão 1ª safra'!$E37:$Z37,MIN(AB$6-$E$3,22))),0))-IF($G$2,0,IF((AB$6-$G$3)&lt;1,0,IFERROR(LOOKUP(2,1/('Feijão 1ª safra'!$E37:INDEX('Feijão 1ª safra'!$E37:$Z37,MIN(AB$6-$G$3,22))&lt;&gt;""),'Feijão 1ª safra'!$E37:INDEX('Feijão 1ª safra'!$E37:$Z37,MIN(AB$6-$G$3,22))),0)))))</f>
        <v>0</v>
      </c>
      <c r="AC39" s="27" t="n">
        <f aca="false">IF(COUNT('Feijão 1ª safra'!$E37:$Z37)=0,0,MAX(0,IF((AC$6-$E$3)&lt;1,0,IFERROR(LOOKUP(2,1/('Feijão 1ª safra'!$E37:INDEX('Feijão 1ª safra'!$E37:$Z37,MIN(AC$6-$E$3,22))&lt;&gt;""),'Feijão 1ª safra'!$E37:INDEX('Feijão 1ª safra'!$E37:$Z37,MIN(AC$6-$E$3,22))),0))-IF($G$2,0,IF((AC$6-$G$3)&lt;1,0,IFERROR(LOOKUP(2,1/('Feijão 1ª safra'!$E37:INDEX('Feijão 1ª safra'!$E37:$Z37,MIN(AC$6-$G$3,22))&lt;&gt;""),'Feijão 1ª safra'!$E37:INDEX('Feijão 1ª safra'!$E37:$Z37,MIN(AC$6-$G$3,22))),0)))))</f>
        <v>0</v>
      </c>
      <c r="AD39" s="27" t="n">
        <f aca="false">IF(COUNT('Feijão 1ª safra'!$E37:$Z37)=0,0,MAX(0,IF((AD$6-$E$3)&lt;1,0,IFERROR(LOOKUP(2,1/('Feijão 1ª safra'!$E37:INDEX('Feijão 1ª safra'!$E37:$Z37,MIN(AD$6-$E$3,22))&lt;&gt;""),'Feijão 1ª safra'!$E37:INDEX('Feijão 1ª safra'!$E37:$Z37,MIN(AD$6-$E$3,22))),0))-IF($G$2,0,IF((AD$6-$G$3)&lt;1,0,IFERROR(LOOKUP(2,1/('Feijão 1ª safra'!$E37:INDEX('Feijão 1ª safra'!$E37:$Z37,MIN(AD$6-$G$3,22))&lt;&gt;""),'Feijão 1ª safra'!$E37:INDEX('Feijão 1ª safra'!$E37:$Z37,MIN(AD$6-$G$3,22))),0)))))</f>
        <v>0</v>
      </c>
      <c r="AE39" s="27" t="n">
        <f aca="false">IF(COUNT('Feijão 1ª safra'!$E37:$Z37)=0,0,MAX(0,IF((AE$6-$E$3)&lt;1,0,IFERROR(LOOKUP(2,1/('Feijão 1ª safra'!$E37:INDEX('Feijão 1ª safra'!$E37:$Z37,MIN(AE$6-$E$3,22))&lt;&gt;""),'Feijão 1ª safra'!$E37:INDEX('Feijão 1ª safra'!$E37:$Z37,MIN(AE$6-$E$3,22))),0))-IF($G$2,0,IF((AE$6-$G$3)&lt;1,0,IFERROR(LOOKUP(2,1/('Feijão 1ª safra'!$E37:INDEX('Feijão 1ª safra'!$E37:$Z37,MIN(AE$6-$G$3,22))&lt;&gt;""),'Feijão 1ª safra'!$E37:INDEX('Feijão 1ª safra'!$E37:$Z37,MIN(AE$6-$G$3,22))),0)))))</f>
        <v>0</v>
      </c>
      <c r="AF39" s="27" t="n">
        <f aca="false">IF(COUNT('Feijão 1ª safra'!$E37:$Z37)=0,0,MAX(0,IF((AF$6-$E$3)&lt;1,0,IFERROR(LOOKUP(2,1/('Feijão 1ª safra'!$E37:INDEX('Feijão 1ª safra'!$E37:$Z37,MIN(AF$6-$E$3,22))&lt;&gt;""),'Feijão 1ª safra'!$E37:INDEX('Feijão 1ª safra'!$E37:$Z37,MIN(AF$6-$E$3,22))),0))-IF($G$2,0,IF((AF$6-$G$3)&lt;1,0,IFERROR(LOOKUP(2,1/('Feijão 1ª safra'!$E37:INDEX('Feijão 1ª safra'!$E37:$Z37,MIN(AF$6-$G$3,22))&lt;&gt;""),'Feijão 1ª safra'!$E37:INDEX('Feijão 1ª safra'!$E37:$Z37,MIN(AF$6-$G$3,22))),0)))))</f>
        <v>0</v>
      </c>
      <c r="AG39" s="27" t="n">
        <f aca="false">IF(COUNT('Feijão 1ª safra'!$E37:$Z37)=0,0,MAX(0,IF((AG$6-$E$3)&lt;1,0,IFERROR(LOOKUP(2,1/('Feijão 1ª safra'!$E37:INDEX('Feijão 1ª safra'!$E37:$Z37,MIN(AG$6-$E$3,22))&lt;&gt;""),'Feijão 1ª safra'!$E37:INDEX('Feijão 1ª safra'!$E37:$Z37,MIN(AG$6-$E$3,22))),0))-IF($G$2,0,IF((AG$6-$G$3)&lt;1,0,IFERROR(LOOKUP(2,1/('Feijão 1ª safra'!$E37:INDEX('Feijão 1ª safra'!$E37:$Z37,MIN(AG$6-$G$3,22))&lt;&gt;""),'Feijão 1ª safra'!$E37:INDEX('Feijão 1ª safra'!$E37:$Z37,MIN(AG$6-$G$3,22))),0)))))</f>
        <v>0</v>
      </c>
      <c r="AH39" s="27" t="n">
        <f aca="false">IF(COUNT('Feijão 1ª safra'!$E37:$Z37)=0,0,MAX(0,IF((AH$6-$E$3)&lt;1,0,IFERROR(LOOKUP(2,1/('Feijão 1ª safra'!$E37:INDEX('Feijão 1ª safra'!$E37:$Z37,MIN(AH$6-$E$3,22))&lt;&gt;""),'Feijão 1ª safra'!$E37:INDEX('Feijão 1ª safra'!$E37:$Z37,MIN(AH$6-$E$3,22))),0))-IF($G$2,0,IF((AH$6-$G$3)&lt;1,0,IFERROR(LOOKUP(2,1/('Feijão 1ª safra'!$E37:INDEX('Feijão 1ª safra'!$E37:$Z37,MIN(AH$6-$G$3,22))&lt;&gt;""),'Feijão 1ª safra'!$E37:INDEX('Feijão 1ª safra'!$E37:$Z37,MIN(AH$6-$G$3,22))),0)))))</f>
        <v>0</v>
      </c>
      <c r="AI39" s="27" t="n">
        <f aca="false">IF(COUNT('Feijão 1ª safra'!$E37:$Z37)=0,0,MAX(0,IF((AI$6-$E$3)&lt;1,0,IFERROR(LOOKUP(2,1/('Feijão 1ª safra'!$E37:INDEX('Feijão 1ª safra'!$E37:$Z37,MIN(AI$6-$E$3,22))&lt;&gt;""),'Feijão 1ª safra'!$E37:INDEX('Feijão 1ª safra'!$E37:$Z37,MIN(AI$6-$E$3,22))),0))-IF($G$2,0,IF((AI$6-$G$3)&lt;1,0,IFERROR(LOOKUP(2,1/('Feijão 1ª safra'!$E37:INDEX('Feijão 1ª safra'!$E37:$Z37,MIN(AI$6-$G$3,22))&lt;&gt;""),'Feijão 1ª safra'!$E37:INDEX('Feijão 1ª safra'!$E37:$Z37,MIN(AI$6-$G$3,22))),0)))))</f>
        <v>0</v>
      </c>
      <c r="AJ39" s="27" t="n">
        <f aca="false">IF(COUNT('Feijão 1ª safra'!$E37:$Z37)=0,0,MAX(0,IF((AJ$6-$E$3)&lt;1,0,IFERROR(LOOKUP(2,1/('Feijão 1ª safra'!$E37:INDEX('Feijão 1ª safra'!$E37:$Z37,MIN(AJ$6-$E$3,22))&lt;&gt;""),'Feijão 1ª safra'!$E37:INDEX('Feijão 1ª safra'!$E37:$Z37,MIN(AJ$6-$E$3,22))),0))-IF($G$2,0,IF((AJ$6-$G$3)&lt;1,0,IFERROR(LOOKUP(2,1/('Feijão 1ª safra'!$E37:INDEX('Feijão 1ª safra'!$E37:$Z37,MIN(AJ$6-$G$3,22))&lt;&gt;""),'Feijão 1ª safra'!$E37:INDEX('Feijão 1ª safra'!$E37:$Z37,MIN(AJ$6-$G$3,22))),0)))))</f>
        <v>0</v>
      </c>
      <c r="AK39" s="27" t="n">
        <f aca="false">IF(COUNT('Feijão 1ª safra'!$E37:$Z37)=0,0,MAX(0,IF((AK$6-$E$3)&lt;1,0,IFERROR(LOOKUP(2,1/('Feijão 1ª safra'!$E37:INDEX('Feijão 1ª safra'!$E37:$Z37,MIN(AK$6-$E$3,22))&lt;&gt;""),'Feijão 1ª safra'!$E37:INDEX('Feijão 1ª safra'!$E37:$Z37,MIN(AK$6-$E$3,22))),0))-IF($G$2,0,IF((AK$6-$G$3)&lt;1,0,IFERROR(LOOKUP(2,1/('Feijão 1ª safra'!$E37:INDEX('Feijão 1ª safra'!$E37:$Z37,MIN(AK$6-$G$3,22))&lt;&gt;""),'Feijão 1ª safra'!$E37:INDEX('Feijão 1ª safra'!$E37:$Z37,MIN(AK$6-$G$3,22))),0)))))</f>
        <v>0</v>
      </c>
      <c r="AL39" s="27" t="n">
        <f aca="false">IF(COUNT('Feijão 1ª safra'!$E37:$Z37)=0,0,MAX(0,IF((AL$6-$E$3)&lt;1,0,IFERROR(LOOKUP(2,1/('Feijão 1ª safra'!$E37:INDEX('Feijão 1ª safra'!$E37:$Z37,MIN(AL$6-$E$3,22))&lt;&gt;""),'Feijão 1ª safra'!$E37:INDEX('Feijão 1ª safra'!$E37:$Z37,MIN(AL$6-$E$3,22))),0))-IF($G$2,0,IF((AL$6-$G$3)&lt;1,0,IFERROR(LOOKUP(2,1/('Feijão 1ª safra'!$E37:INDEX('Feijão 1ª safra'!$E37:$Z37,MIN(AL$6-$G$3,22))&lt;&gt;""),'Feijão 1ª safra'!$E37:INDEX('Feijão 1ª safra'!$E37:$Z37,MIN(AL$6-$G$3,22))),0)))))</f>
        <v>0</v>
      </c>
      <c r="AM39" s="27" t="n">
        <f aca="false">IF(COUNT('Feijão 1ª safra'!$E37:$Z37)=0,0,MAX(0,IF((AM$6-$E$3)&lt;1,0,IFERROR(LOOKUP(2,1/('Feijão 1ª safra'!$E37:INDEX('Feijão 1ª safra'!$E37:$Z37,MIN(AM$6-$E$3,22))&lt;&gt;""),'Feijão 1ª safra'!$E37:INDEX('Feijão 1ª safra'!$E37:$Z37,MIN(AM$6-$E$3,22))),0))-IF($G$2,0,IF((AM$6-$G$3)&lt;1,0,IFERROR(LOOKUP(2,1/('Feijão 1ª safra'!$E37:INDEX('Feijão 1ª safra'!$E37:$Z37,MIN(AM$6-$G$3,22))&lt;&gt;""),'Feijão 1ª safra'!$E37:INDEX('Feijão 1ª safra'!$E37:$Z37,MIN(AM$6-$G$3,22))),0)))))</f>
        <v>0</v>
      </c>
      <c r="AN39" s="27" t="n">
        <f aca="false">IF(COUNT('Feijão 1ª safra'!$E37:$Z37)=0,0,MAX(0,IF((AN$6-$E$3)&lt;1,0,IFERROR(LOOKUP(2,1/('Feijão 1ª safra'!$E37:INDEX('Feijão 1ª safra'!$E37:$Z37,MIN(AN$6-$E$3,22))&lt;&gt;""),'Feijão 1ª safra'!$E37:INDEX('Feijão 1ª safra'!$E37:$Z37,MIN(AN$6-$E$3,22))),0))-IF($G$2,0,IF((AN$6-$G$3)&lt;1,0,IFERROR(LOOKUP(2,1/('Feijão 1ª safra'!$E37:INDEX('Feijão 1ª safra'!$E37:$Z37,MIN(AN$6-$G$3,22))&lt;&gt;""),'Feijão 1ª safra'!$E37:INDEX('Feijão 1ª safra'!$E37:$Z37,MIN(AN$6-$G$3,22))),0)))))</f>
        <v>0</v>
      </c>
      <c r="AO39" s="27" t="n">
        <f aca="false">IF(COUNT('Feijão 1ª safra'!$E37:$Z37)=0,0,MAX(0,IF((AO$6-$E$3)&lt;1,0,IFERROR(LOOKUP(2,1/('Feijão 1ª safra'!$E37:INDEX('Feijão 1ª safra'!$E37:$Z37,MIN(AO$6-$E$3,22))&lt;&gt;""),'Feijão 1ª safra'!$E37:INDEX('Feijão 1ª safra'!$E37:$Z37,MIN(AO$6-$E$3,22))),0))-IF($G$2,0,IF((AO$6-$G$3)&lt;1,0,IFERROR(LOOKUP(2,1/('Feijão 1ª safra'!$E37:INDEX('Feijão 1ª safra'!$E37:$Z37,MIN(AO$6-$G$3,22))&lt;&gt;""),'Feijão 1ª safra'!$E37:INDEX('Feijão 1ª safra'!$E37:$Z37,MIN(AO$6-$G$3,22))),0)))))</f>
        <v>0</v>
      </c>
      <c r="AP39" s="27" t="n">
        <f aca="false">IF(COUNT('Feijão 1ª safra'!$E37:$Z37)=0,0,MAX(0,IF((AP$6-$E$3)&lt;1,0,IFERROR(LOOKUP(2,1/('Feijão 1ª safra'!$E37:INDEX('Feijão 1ª safra'!$E37:$Z37,MIN(AP$6-$E$3,22))&lt;&gt;""),'Feijão 1ª safra'!$E37:INDEX('Feijão 1ª safra'!$E37:$Z37,MIN(AP$6-$E$3,22))),0))-IF($G$2,0,IF((AP$6-$G$3)&lt;1,0,IFERROR(LOOKUP(2,1/('Feijão 1ª safra'!$E37:INDEX('Feijão 1ª safra'!$E37:$Z37,MIN(AP$6-$G$3,22))&lt;&gt;""),'Feijão 1ª safra'!$E37:INDEX('Feijão 1ª safra'!$E37:$Z37,MIN(AP$6-$G$3,22))),0)))))</f>
        <v>0</v>
      </c>
      <c r="AQ39" s="27" t="n">
        <f aca="false">IF(COUNT('Feijão 1ª safra'!$E37:$Z37)=0,0,MAX(0,IF((AQ$6-$E$3)&lt;1,0,IFERROR(LOOKUP(2,1/('Feijão 1ª safra'!$E37:INDEX('Feijão 1ª safra'!$E37:$Z37,MIN(AQ$6-$E$3,22))&lt;&gt;""),'Feijão 1ª safra'!$E37:INDEX('Feijão 1ª safra'!$E37:$Z37,MIN(AQ$6-$E$3,22))),0))-IF($G$2,0,IF((AQ$6-$G$3)&lt;1,0,IFERROR(LOOKUP(2,1/('Feijão 1ª safra'!$E37:INDEX('Feijão 1ª safra'!$E37:$Z37,MIN(AQ$6-$G$3,22))&lt;&gt;""),'Feijão 1ª safra'!$E37:INDEX('Feijão 1ª safra'!$E37:$Z37,MIN(AQ$6-$G$3,22))),0)))))</f>
        <v>0</v>
      </c>
      <c r="AR39" s="27" t="n">
        <f aca="false">IF(COUNT('Feijão 1ª safra'!$E37:$Z37)=0,0,MAX(0,IF((AR$6-$E$3)&lt;1,0,IFERROR(LOOKUP(2,1/('Feijão 1ª safra'!$E37:INDEX('Feijão 1ª safra'!$E37:$Z37,MIN(AR$6-$E$3,22))&lt;&gt;""),'Feijão 1ª safra'!$E37:INDEX('Feijão 1ª safra'!$E37:$Z37,MIN(AR$6-$E$3,22))),0))-IF($G$2,0,IF((AR$6-$G$3)&lt;1,0,IFERROR(LOOKUP(2,1/('Feijão 1ª safra'!$E37:INDEX('Feijão 1ª safra'!$E37:$Z37,MIN(AR$6-$G$3,22))&lt;&gt;""),'Feijão 1ª safra'!$E37:INDEX('Feijão 1ª safra'!$E37:$Z37,MIN(AR$6-$G$3,22))),0)))))</f>
        <v>0</v>
      </c>
      <c r="AS39" s="27" t="n">
        <f aca="false">IF(COUNT('Feijão 1ª safra'!$E37:$Z37)=0,0,MAX(0,IF((AS$6-$E$3)&lt;1,0,IFERROR(LOOKUP(2,1/('Feijão 1ª safra'!$E37:INDEX('Feijão 1ª safra'!$E37:$Z37,MIN(AS$6-$E$3,22))&lt;&gt;""),'Feijão 1ª safra'!$E37:INDEX('Feijão 1ª safra'!$E37:$Z37,MIN(AS$6-$E$3,22))),0))-IF($G$2,0,IF((AS$6-$G$3)&lt;1,0,IFERROR(LOOKUP(2,1/('Feijão 1ª safra'!$E37:INDEX('Feijão 1ª safra'!$E37:$Z37,MIN(AS$6-$G$3,22))&lt;&gt;""),'Feijão 1ª safra'!$E37:INDEX('Feijão 1ª safra'!$E37:$Z37,MIN(AS$6-$G$3,22))),0)))))</f>
        <v>0</v>
      </c>
      <c r="AT39" s="27" t="n">
        <f aca="false">IF(COUNT('Feijão 1ª safra'!$E37:$Z37)=0,0,MAX(0,IF((AT$6-$E$3)&lt;1,0,IFERROR(LOOKUP(2,1/('Feijão 1ª safra'!$E37:INDEX('Feijão 1ª safra'!$E37:$Z37,MIN(AT$6-$E$3,22))&lt;&gt;""),'Feijão 1ª safra'!$E37:INDEX('Feijão 1ª safra'!$E37:$Z37,MIN(AT$6-$E$3,22))),0))-IF($G$2,0,IF((AT$6-$G$3)&lt;1,0,IFERROR(LOOKUP(2,1/('Feijão 1ª safra'!$E37:INDEX('Feijão 1ª safra'!$E37:$Z37,MIN(AT$6-$G$3,22))&lt;&gt;""),'Feijão 1ª safra'!$E37:INDEX('Feijão 1ª safra'!$E37:$Z37,MIN(AT$6-$G$3,22))),0)))))</f>
        <v>0</v>
      </c>
      <c r="AU39" s="27" t="n">
        <f aca="false">IF(COUNT('Feijão 1ª safra'!$E37:$Z37)=0,0,MAX(0,IF((AU$6-$E$3)&lt;1,0,IFERROR(LOOKUP(2,1/('Feijão 1ª safra'!$E37:INDEX('Feijão 1ª safra'!$E37:$Z37,MIN(AU$6-$E$3,22))&lt;&gt;""),'Feijão 1ª safra'!$E37:INDEX('Feijão 1ª safra'!$E37:$Z37,MIN(AU$6-$E$3,22))),0))-IF($G$2,0,IF((AU$6-$G$3)&lt;1,0,IFERROR(LOOKUP(2,1/('Feijão 1ª safra'!$E37:INDEX('Feijão 1ª safra'!$E37:$Z37,MIN(AU$6-$G$3,22))&lt;&gt;""),'Feijão 1ª safra'!$E37:INDEX('Feijão 1ª safra'!$E37:$Z37,MIN(AU$6-$G$3,22))),0)))))</f>
        <v>0</v>
      </c>
      <c r="AV39" s="27" t="n">
        <f aca="false">IF(COUNT('Feijão 1ª safra'!$E37:$Z37)=0,0,MAX(0,IF((AV$6-$E$3)&lt;1,0,IFERROR(LOOKUP(2,1/('Feijão 1ª safra'!$E37:INDEX('Feijão 1ª safra'!$E37:$Z37,MIN(AV$6-$E$3,22))&lt;&gt;""),'Feijão 1ª safra'!$E37:INDEX('Feijão 1ª safra'!$E37:$Z37,MIN(AV$6-$E$3,22))),0))-IF($G$2,0,IF((AV$6-$G$3)&lt;1,0,IFERROR(LOOKUP(2,1/('Feijão 1ª safra'!$E37:INDEX('Feijão 1ª safra'!$E37:$Z37,MIN(AV$6-$G$3,22))&lt;&gt;""),'Feijão 1ª safra'!$E37:INDEX('Feijão 1ª safra'!$E37:$Z37,MIN(AV$6-$G$3,22))),0)))))</f>
        <v>0</v>
      </c>
      <c r="AW39" s="27" t="n">
        <f aca="false">IF(COUNT('Feijão 1ª safra'!$E37:$Z37)=0,0,MAX(0,IF((AW$6-$E$3)&lt;1,0,IFERROR(LOOKUP(2,1/('Feijão 1ª safra'!$E37:INDEX('Feijão 1ª safra'!$E37:$Z37,MIN(AW$6-$E$3,22))&lt;&gt;""),'Feijão 1ª safra'!$E37:INDEX('Feijão 1ª safra'!$E37:$Z37,MIN(AW$6-$E$3,22))),0))-IF($G$2,0,IF((AW$6-$G$3)&lt;1,0,IFERROR(LOOKUP(2,1/('Feijão 1ª safra'!$E37:INDEX('Feijão 1ª safra'!$E37:$Z37,MIN(AW$6-$G$3,22))&lt;&gt;""),'Feijão 1ª safra'!$E37:INDEX('Feijão 1ª safra'!$E37:$Z37,MIN(AW$6-$G$3,22))),0)))))</f>
        <v>0</v>
      </c>
      <c r="AX39" s="27" t="n">
        <f aca="false">IF(COUNT('Feijão 1ª safra'!$E37:$Z37)=0,0,MAX(0,IF((AX$6-$E$3)&lt;1,0,IFERROR(LOOKUP(2,1/('Feijão 1ª safra'!$E37:INDEX('Feijão 1ª safra'!$E37:$Z37,MIN(AX$6-$E$3,22))&lt;&gt;""),'Feijão 1ª safra'!$E37:INDEX('Feijão 1ª safra'!$E37:$Z37,MIN(AX$6-$E$3,22))),0))-IF($G$2,0,IF((AX$6-$G$3)&lt;1,0,IFERROR(LOOKUP(2,1/('Feijão 1ª safra'!$E37:INDEX('Feijão 1ª safra'!$E37:$Z37,MIN(AX$6-$G$3,22))&lt;&gt;""),'Feijão 1ª safra'!$E37:INDEX('Feijão 1ª safra'!$E37:$Z37,MIN(AX$6-$G$3,22))),0)))))</f>
        <v>0</v>
      </c>
      <c r="AY39" s="27" t="n">
        <f aca="false">IF(COUNT('Feijão 1ª safra'!$E37:$Z37)=0,0,MAX(0,IF((AY$6-$E$3)&lt;1,0,IFERROR(LOOKUP(2,1/('Feijão 1ª safra'!$E37:INDEX('Feijão 1ª safra'!$E37:$Z37,MIN(AY$6-$E$3,22))&lt;&gt;""),'Feijão 1ª safra'!$E37:INDEX('Feijão 1ª safra'!$E37:$Z37,MIN(AY$6-$E$3,22))),0))-IF($G$2,0,IF((AY$6-$G$3)&lt;1,0,IFERROR(LOOKUP(2,1/('Feijão 1ª safra'!$E37:INDEX('Feijão 1ª safra'!$E37:$Z37,MIN(AY$6-$G$3,22))&lt;&gt;""),'Feijão 1ª safra'!$E37:INDEX('Feijão 1ª safra'!$E37:$Z37,MIN(AY$6-$G$3,22))),0)))))</f>
        <v>0</v>
      </c>
      <c r="AZ39" s="27" t="n">
        <f aca="false">IF(COUNT('Feijão 1ª safra'!$E37:$Z37)=0,0,MAX(0,IF((AZ$6-$E$3)&lt;1,0,IFERROR(LOOKUP(2,1/('Feijão 1ª safra'!$E37:INDEX('Feijão 1ª safra'!$E37:$Z37,MIN(AZ$6-$E$3,22))&lt;&gt;""),'Feijão 1ª safra'!$E37:INDEX('Feijão 1ª safra'!$E37:$Z37,MIN(AZ$6-$E$3,22))),0))-IF($G$2,0,IF((AZ$6-$G$3)&lt;1,0,IFERROR(LOOKUP(2,1/('Feijão 1ª safra'!$E37:INDEX('Feijão 1ª safra'!$E37:$Z37,MIN(AZ$6-$G$3,22))&lt;&gt;""),'Feijão 1ª safra'!$E37:INDEX('Feijão 1ª safra'!$E37:$Z37,MIN(AZ$6-$G$3,22))),0)))))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IF(COUNT('Feijão 1ª safra'!$E38:$Z38)&gt;0,N('Feijão 1ª safra'!$D38),0)</f>
        <v>0</v>
      </c>
      <c r="E40" s="27" t="n">
        <f aca="false">IF(COUNT('Feijão 1ª safra'!$E38:$Z38)=0,0,MAX(0,IF((E$6-$E$3)&lt;1,0,IFERROR(LOOKUP(2,1/('Feijão 1ª safra'!$E38:INDEX('Feijão 1ª safra'!$E38:$Z38,MIN(E$6-$E$3,22))&lt;&gt;""),'Feijão 1ª safra'!$E38:INDEX('Feijão 1ª safra'!$E38:$Z38,MIN(E$6-$E$3,22))),0))-IF($G$2,0,IF((E$6-$G$3)&lt;1,0,IFERROR(LOOKUP(2,1/('Feijão 1ª safra'!$E38:INDEX('Feijão 1ª safra'!$E38:$Z38,MIN(E$6-$G$3,22))&lt;&gt;""),'Feijão 1ª safra'!$E38:INDEX('Feijão 1ª safra'!$E38:$Z38,MIN(E$6-$G$3,22))),0)))))</f>
        <v>0</v>
      </c>
      <c r="F40" s="27" t="n">
        <f aca="false">IF(COUNT('Feijão 1ª safra'!$E38:$Z38)=0,0,MAX(0,IF((F$6-$E$3)&lt;1,0,IFERROR(LOOKUP(2,1/('Feijão 1ª safra'!$E38:INDEX('Feijão 1ª safra'!$E38:$Z38,MIN(F$6-$E$3,22))&lt;&gt;""),'Feijão 1ª safra'!$E38:INDEX('Feijão 1ª safra'!$E38:$Z38,MIN(F$6-$E$3,22))),0))-IF($G$2,0,IF((F$6-$G$3)&lt;1,0,IFERROR(LOOKUP(2,1/('Feijão 1ª safra'!$E38:INDEX('Feijão 1ª safra'!$E38:$Z38,MIN(F$6-$G$3,22))&lt;&gt;""),'Feijão 1ª safra'!$E38:INDEX('Feijão 1ª safra'!$E38:$Z38,MIN(F$6-$G$3,22))),0)))))</f>
        <v>0</v>
      </c>
      <c r="G40" s="27" t="n">
        <f aca="false">IF(COUNT('Feijão 1ª safra'!$E38:$Z38)=0,0,MAX(0,IF((G$6-$E$3)&lt;1,0,IFERROR(LOOKUP(2,1/('Feijão 1ª safra'!$E38:INDEX('Feijão 1ª safra'!$E38:$Z38,MIN(G$6-$E$3,22))&lt;&gt;""),'Feijão 1ª safra'!$E38:INDEX('Feijão 1ª safra'!$E38:$Z38,MIN(G$6-$E$3,22))),0))-IF($G$2,0,IF((G$6-$G$3)&lt;1,0,IFERROR(LOOKUP(2,1/('Feijão 1ª safra'!$E38:INDEX('Feijão 1ª safra'!$E38:$Z38,MIN(G$6-$G$3,22))&lt;&gt;""),'Feijão 1ª safra'!$E38:INDEX('Feijão 1ª safra'!$E38:$Z38,MIN(G$6-$G$3,22))),0)))))</f>
        <v>0</v>
      </c>
      <c r="H40" s="27" t="n">
        <f aca="false">IF(COUNT('Feijão 1ª safra'!$E38:$Z38)=0,0,MAX(0,IF((H$6-$E$3)&lt;1,0,IFERROR(LOOKUP(2,1/('Feijão 1ª safra'!$E38:INDEX('Feijão 1ª safra'!$E38:$Z38,MIN(H$6-$E$3,22))&lt;&gt;""),'Feijão 1ª safra'!$E38:INDEX('Feijão 1ª safra'!$E38:$Z38,MIN(H$6-$E$3,22))),0))-IF($G$2,0,IF((H$6-$G$3)&lt;1,0,IFERROR(LOOKUP(2,1/('Feijão 1ª safra'!$E38:INDEX('Feijão 1ª safra'!$E38:$Z38,MIN(H$6-$G$3,22))&lt;&gt;""),'Feijão 1ª safra'!$E38:INDEX('Feijão 1ª safra'!$E38:$Z38,MIN(H$6-$G$3,22))),0)))))</f>
        <v>0</v>
      </c>
      <c r="I40" s="27" t="n">
        <f aca="false">IF(COUNT('Feijão 1ª safra'!$E38:$Z38)=0,0,MAX(0,IF((I$6-$E$3)&lt;1,0,IFERROR(LOOKUP(2,1/('Feijão 1ª safra'!$E38:INDEX('Feijão 1ª safra'!$E38:$Z38,MIN(I$6-$E$3,22))&lt;&gt;""),'Feijão 1ª safra'!$E38:INDEX('Feijão 1ª safra'!$E38:$Z38,MIN(I$6-$E$3,22))),0))-IF($G$2,0,IF((I$6-$G$3)&lt;1,0,IFERROR(LOOKUP(2,1/('Feijão 1ª safra'!$E38:INDEX('Feijão 1ª safra'!$E38:$Z38,MIN(I$6-$G$3,22))&lt;&gt;""),'Feijão 1ª safra'!$E38:INDEX('Feijão 1ª safra'!$E38:$Z38,MIN(I$6-$G$3,22))),0)))))</f>
        <v>0</v>
      </c>
      <c r="J40" s="27" t="n">
        <f aca="false">IF(COUNT('Feijão 1ª safra'!$E38:$Z38)=0,0,MAX(0,IF((J$6-$E$3)&lt;1,0,IFERROR(LOOKUP(2,1/('Feijão 1ª safra'!$E38:INDEX('Feijão 1ª safra'!$E38:$Z38,MIN(J$6-$E$3,22))&lt;&gt;""),'Feijão 1ª safra'!$E38:INDEX('Feijão 1ª safra'!$E38:$Z38,MIN(J$6-$E$3,22))),0))-IF($G$2,0,IF((J$6-$G$3)&lt;1,0,IFERROR(LOOKUP(2,1/('Feijão 1ª safra'!$E38:INDEX('Feijão 1ª safra'!$E38:$Z38,MIN(J$6-$G$3,22))&lt;&gt;""),'Feijão 1ª safra'!$E38:INDEX('Feijão 1ª safra'!$E38:$Z38,MIN(J$6-$G$3,22))),0)))))</f>
        <v>0</v>
      </c>
      <c r="K40" s="27" t="n">
        <f aca="false">IF(COUNT('Feijão 1ª safra'!$E38:$Z38)=0,0,MAX(0,IF((K$6-$E$3)&lt;1,0,IFERROR(LOOKUP(2,1/('Feijão 1ª safra'!$E38:INDEX('Feijão 1ª safra'!$E38:$Z38,MIN(K$6-$E$3,22))&lt;&gt;""),'Feijão 1ª safra'!$E38:INDEX('Feijão 1ª safra'!$E38:$Z38,MIN(K$6-$E$3,22))),0))-IF($G$2,0,IF((K$6-$G$3)&lt;1,0,IFERROR(LOOKUP(2,1/('Feijão 1ª safra'!$E38:INDEX('Feijão 1ª safra'!$E38:$Z38,MIN(K$6-$G$3,22))&lt;&gt;""),'Feijão 1ª safra'!$E38:INDEX('Feijão 1ª safra'!$E38:$Z38,MIN(K$6-$G$3,22))),0)))))</f>
        <v>0</v>
      </c>
      <c r="L40" s="27" t="n">
        <f aca="false">IF(COUNT('Feijão 1ª safra'!$E38:$Z38)=0,0,MAX(0,IF((L$6-$E$3)&lt;1,0,IFERROR(LOOKUP(2,1/('Feijão 1ª safra'!$E38:INDEX('Feijão 1ª safra'!$E38:$Z38,MIN(L$6-$E$3,22))&lt;&gt;""),'Feijão 1ª safra'!$E38:INDEX('Feijão 1ª safra'!$E38:$Z38,MIN(L$6-$E$3,22))),0))-IF($G$2,0,IF((L$6-$G$3)&lt;1,0,IFERROR(LOOKUP(2,1/('Feijão 1ª safra'!$E38:INDEX('Feijão 1ª safra'!$E38:$Z38,MIN(L$6-$G$3,22))&lt;&gt;""),'Feijão 1ª safra'!$E38:INDEX('Feijão 1ª safra'!$E38:$Z38,MIN(L$6-$G$3,22))),0)))))</f>
        <v>0</v>
      </c>
      <c r="M40" s="27" t="n">
        <f aca="false">IF(COUNT('Feijão 1ª safra'!$E38:$Z38)=0,0,MAX(0,IF((M$6-$E$3)&lt;1,0,IFERROR(LOOKUP(2,1/('Feijão 1ª safra'!$E38:INDEX('Feijão 1ª safra'!$E38:$Z38,MIN(M$6-$E$3,22))&lt;&gt;""),'Feijão 1ª safra'!$E38:INDEX('Feijão 1ª safra'!$E38:$Z38,MIN(M$6-$E$3,22))),0))-IF($G$2,0,IF((M$6-$G$3)&lt;1,0,IFERROR(LOOKUP(2,1/('Feijão 1ª safra'!$E38:INDEX('Feijão 1ª safra'!$E38:$Z38,MIN(M$6-$G$3,22))&lt;&gt;""),'Feijão 1ª safra'!$E38:INDEX('Feijão 1ª safra'!$E38:$Z38,MIN(M$6-$G$3,22))),0)))))</f>
        <v>0</v>
      </c>
      <c r="N40" s="27" t="n">
        <f aca="false">IF(COUNT('Feijão 1ª safra'!$E38:$Z38)=0,0,MAX(0,IF((N$6-$E$3)&lt;1,0,IFERROR(LOOKUP(2,1/('Feijão 1ª safra'!$E38:INDEX('Feijão 1ª safra'!$E38:$Z38,MIN(N$6-$E$3,22))&lt;&gt;""),'Feijão 1ª safra'!$E38:INDEX('Feijão 1ª safra'!$E38:$Z38,MIN(N$6-$E$3,22))),0))-IF($G$2,0,IF((N$6-$G$3)&lt;1,0,IFERROR(LOOKUP(2,1/('Feijão 1ª safra'!$E38:INDEX('Feijão 1ª safra'!$E38:$Z38,MIN(N$6-$G$3,22))&lt;&gt;""),'Feijão 1ª safra'!$E38:INDEX('Feijão 1ª safra'!$E38:$Z38,MIN(N$6-$G$3,22))),0)))))</f>
        <v>0</v>
      </c>
      <c r="O40" s="27" t="n">
        <f aca="false">IF(COUNT('Feijão 1ª safra'!$E38:$Z38)=0,0,MAX(0,IF((O$6-$E$3)&lt;1,0,IFERROR(LOOKUP(2,1/('Feijão 1ª safra'!$E38:INDEX('Feijão 1ª safra'!$E38:$Z38,MIN(O$6-$E$3,22))&lt;&gt;""),'Feijão 1ª safra'!$E38:INDEX('Feijão 1ª safra'!$E38:$Z38,MIN(O$6-$E$3,22))),0))-IF($G$2,0,IF((O$6-$G$3)&lt;1,0,IFERROR(LOOKUP(2,1/('Feijão 1ª safra'!$E38:INDEX('Feijão 1ª safra'!$E38:$Z38,MIN(O$6-$G$3,22))&lt;&gt;""),'Feijão 1ª safra'!$E38:INDEX('Feijão 1ª safra'!$E38:$Z38,MIN(O$6-$G$3,22))),0)))))</f>
        <v>0</v>
      </c>
      <c r="P40" s="27" t="n">
        <f aca="false">IF(COUNT('Feijão 1ª safra'!$E38:$Z38)=0,0,MAX(0,IF((P$6-$E$3)&lt;1,0,IFERROR(LOOKUP(2,1/('Feijão 1ª safra'!$E38:INDEX('Feijão 1ª safra'!$E38:$Z38,MIN(P$6-$E$3,22))&lt;&gt;""),'Feijão 1ª safra'!$E38:INDEX('Feijão 1ª safra'!$E38:$Z38,MIN(P$6-$E$3,22))),0))-IF($G$2,0,IF((P$6-$G$3)&lt;1,0,IFERROR(LOOKUP(2,1/('Feijão 1ª safra'!$E38:INDEX('Feijão 1ª safra'!$E38:$Z38,MIN(P$6-$G$3,22))&lt;&gt;""),'Feijão 1ª safra'!$E38:INDEX('Feijão 1ª safra'!$E38:$Z38,MIN(P$6-$G$3,22))),0)))))</f>
        <v>0</v>
      </c>
      <c r="Q40" s="27" t="n">
        <f aca="false">IF(COUNT('Feijão 1ª safra'!$E38:$Z38)=0,0,MAX(0,IF((Q$6-$E$3)&lt;1,0,IFERROR(LOOKUP(2,1/('Feijão 1ª safra'!$E38:INDEX('Feijão 1ª safra'!$E38:$Z38,MIN(Q$6-$E$3,22))&lt;&gt;""),'Feijão 1ª safra'!$E38:INDEX('Feijão 1ª safra'!$E38:$Z38,MIN(Q$6-$E$3,22))),0))-IF($G$2,0,IF((Q$6-$G$3)&lt;1,0,IFERROR(LOOKUP(2,1/('Feijão 1ª safra'!$E38:INDEX('Feijão 1ª safra'!$E38:$Z38,MIN(Q$6-$G$3,22))&lt;&gt;""),'Feijão 1ª safra'!$E38:INDEX('Feijão 1ª safra'!$E38:$Z38,MIN(Q$6-$G$3,22))),0)))))</f>
        <v>0</v>
      </c>
      <c r="R40" s="27" t="n">
        <f aca="false">IF(COUNT('Feijão 1ª safra'!$E38:$Z38)=0,0,MAX(0,IF((R$6-$E$3)&lt;1,0,IFERROR(LOOKUP(2,1/('Feijão 1ª safra'!$E38:INDEX('Feijão 1ª safra'!$E38:$Z38,MIN(R$6-$E$3,22))&lt;&gt;""),'Feijão 1ª safra'!$E38:INDEX('Feijão 1ª safra'!$E38:$Z38,MIN(R$6-$E$3,22))),0))-IF($G$2,0,IF((R$6-$G$3)&lt;1,0,IFERROR(LOOKUP(2,1/('Feijão 1ª safra'!$E38:INDEX('Feijão 1ª safra'!$E38:$Z38,MIN(R$6-$G$3,22))&lt;&gt;""),'Feijão 1ª safra'!$E38:INDEX('Feijão 1ª safra'!$E38:$Z38,MIN(R$6-$G$3,22))),0)))))</f>
        <v>0</v>
      </c>
      <c r="S40" s="27" t="n">
        <f aca="false">IF(COUNT('Feijão 1ª safra'!$E38:$Z38)=0,0,MAX(0,IF((S$6-$E$3)&lt;1,0,IFERROR(LOOKUP(2,1/('Feijão 1ª safra'!$E38:INDEX('Feijão 1ª safra'!$E38:$Z38,MIN(S$6-$E$3,22))&lt;&gt;""),'Feijão 1ª safra'!$E38:INDEX('Feijão 1ª safra'!$E38:$Z38,MIN(S$6-$E$3,22))),0))-IF($G$2,0,IF((S$6-$G$3)&lt;1,0,IFERROR(LOOKUP(2,1/('Feijão 1ª safra'!$E38:INDEX('Feijão 1ª safra'!$E38:$Z38,MIN(S$6-$G$3,22))&lt;&gt;""),'Feijão 1ª safra'!$E38:INDEX('Feijão 1ª safra'!$E38:$Z38,MIN(S$6-$G$3,22))),0)))))</f>
        <v>0</v>
      </c>
      <c r="T40" s="27" t="n">
        <f aca="false">IF(COUNT('Feijão 1ª safra'!$E38:$Z38)=0,0,MAX(0,IF((T$6-$E$3)&lt;1,0,IFERROR(LOOKUP(2,1/('Feijão 1ª safra'!$E38:INDEX('Feijão 1ª safra'!$E38:$Z38,MIN(T$6-$E$3,22))&lt;&gt;""),'Feijão 1ª safra'!$E38:INDEX('Feijão 1ª safra'!$E38:$Z38,MIN(T$6-$E$3,22))),0))-IF($G$2,0,IF((T$6-$G$3)&lt;1,0,IFERROR(LOOKUP(2,1/('Feijão 1ª safra'!$E38:INDEX('Feijão 1ª safra'!$E38:$Z38,MIN(T$6-$G$3,22))&lt;&gt;""),'Feijão 1ª safra'!$E38:INDEX('Feijão 1ª safra'!$E38:$Z38,MIN(T$6-$G$3,22))),0)))))</f>
        <v>0</v>
      </c>
      <c r="U40" s="27" t="n">
        <f aca="false">IF(COUNT('Feijão 1ª safra'!$E38:$Z38)=0,0,MAX(0,IF((U$6-$E$3)&lt;1,0,IFERROR(LOOKUP(2,1/('Feijão 1ª safra'!$E38:INDEX('Feijão 1ª safra'!$E38:$Z38,MIN(U$6-$E$3,22))&lt;&gt;""),'Feijão 1ª safra'!$E38:INDEX('Feijão 1ª safra'!$E38:$Z38,MIN(U$6-$E$3,22))),0))-IF($G$2,0,IF((U$6-$G$3)&lt;1,0,IFERROR(LOOKUP(2,1/('Feijão 1ª safra'!$E38:INDEX('Feijão 1ª safra'!$E38:$Z38,MIN(U$6-$G$3,22))&lt;&gt;""),'Feijão 1ª safra'!$E38:INDEX('Feijão 1ª safra'!$E38:$Z38,MIN(U$6-$G$3,22))),0)))))</f>
        <v>0</v>
      </c>
      <c r="V40" s="27" t="n">
        <f aca="false">IF(COUNT('Feijão 1ª safra'!$E38:$Z38)=0,0,MAX(0,IF((V$6-$E$3)&lt;1,0,IFERROR(LOOKUP(2,1/('Feijão 1ª safra'!$E38:INDEX('Feijão 1ª safra'!$E38:$Z38,MIN(V$6-$E$3,22))&lt;&gt;""),'Feijão 1ª safra'!$E38:INDEX('Feijão 1ª safra'!$E38:$Z38,MIN(V$6-$E$3,22))),0))-IF($G$2,0,IF((V$6-$G$3)&lt;1,0,IFERROR(LOOKUP(2,1/('Feijão 1ª safra'!$E38:INDEX('Feijão 1ª safra'!$E38:$Z38,MIN(V$6-$G$3,22))&lt;&gt;""),'Feijão 1ª safra'!$E38:INDEX('Feijão 1ª safra'!$E38:$Z38,MIN(V$6-$G$3,22))),0)))))</f>
        <v>0</v>
      </c>
      <c r="W40" s="27" t="n">
        <f aca="false">IF(COUNT('Feijão 1ª safra'!$E38:$Z38)=0,0,MAX(0,IF((W$6-$E$3)&lt;1,0,IFERROR(LOOKUP(2,1/('Feijão 1ª safra'!$E38:INDEX('Feijão 1ª safra'!$E38:$Z38,MIN(W$6-$E$3,22))&lt;&gt;""),'Feijão 1ª safra'!$E38:INDEX('Feijão 1ª safra'!$E38:$Z38,MIN(W$6-$E$3,22))),0))-IF($G$2,0,IF((W$6-$G$3)&lt;1,0,IFERROR(LOOKUP(2,1/('Feijão 1ª safra'!$E38:INDEX('Feijão 1ª safra'!$E38:$Z38,MIN(W$6-$G$3,22))&lt;&gt;""),'Feijão 1ª safra'!$E38:INDEX('Feijão 1ª safra'!$E38:$Z38,MIN(W$6-$G$3,22))),0)))))</f>
        <v>0</v>
      </c>
      <c r="X40" s="27" t="n">
        <f aca="false">IF(COUNT('Feijão 1ª safra'!$E38:$Z38)=0,0,MAX(0,IF((X$6-$E$3)&lt;1,0,IFERROR(LOOKUP(2,1/('Feijão 1ª safra'!$E38:INDEX('Feijão 1ª safra'!$E38:$Z38,MIN(X$6-$E$3,22))&lt;&gt;""),'Feijão 1ª safra'!$E38:INDEX('Feijão 1ª safra'!$E38:$Z38,MIN(X$6-$E$3,22))),0))-IF($G$2,0,IF((X$6-$G$3)&lt;1,0,IFERROR(LOOKUP(2,1/('Feijão 1ª safra'!$E38:INDEX('Feijão 1ª safra'!$E38:$Z38,MIN(X$6-$G$3,22))&lt;&gt;""),'Feijão 1ª safra'!$E38:INDEX('Feijão 1ª safra'!$E38:$Z38,MIN(X$6-$G$3,22))),0)))))</f>
        <v>0</v>
      </c>
      <c r="Y40" s="27" t="n">
        <f aca="false">IF(COUNT('Feijão 1ª safra'!$E38:$Z38)=0,0,MAX(0,IF((Y$6-$E$3)&lt;1,0,IFERROR(LOOKUP(2,1/('Feijão 1ª safra'!$E38:INDEX('Feijão 1ª safra'!$E38:$Z38,MIN(Y$6-$E$3,22))&lt;&gt;""),'Feijão 1ª safra'!$E38:INDEX('Feijão 1ª safra'!$E38:$Z38,MIN(Y$6-$E$3,22))),0))-IF($G$2,0,IF((Y$6-$G$3)&lt;1,0,IFERROR(LOOKUP(2,1/('Feijão 1ª safra'!$E38:INDEX('Feijão 1ª safra'!$E38:$Z38,MIN(Y$6-$G$3,22))&lt;&gt;""),'Feijão 1ª safra'!$E38:INDEX('Feijão 1ª safra'!$E38:$Z38,MIN(Y$6-$G$3,22))),0)))))</f>
        <v>0</v>
      </c>
      <c r="Z40" s="27" t="n">
        <f aca="false">IF(COUNT('Feijão 1ª safra'!$E38:$Z38)=0,0,MAX(0,IF((Z$6-$E$3)&lt;1,0,IFERROR(LOOKUP(2,1/('Feijão 1ª safra'!$E38:INDEX('Feijão 1ª safra'!$E38:$Z38,MIN(Z$6-$E$3,22))&lt;&gt;""),'Feijão 1ª safra'!$E38:INDEX('Feijão 1ª safra'!$E38:$Z38,MIN(Z$6-$E$3,22))),0))-IF($G$2,0,IF((Z$6-$G$3)&lt;1,0,IFERROR(LOOKUP(2,1/('Feijão 1ª safra'!$E38:INDEX('Feijão 1ª safra'!$E38:$Z38,MIN(Z$6-$G$3,22))&lt;&gt;""),'Feijão 1ª safra'!$E38:INDEX('Feijão 1ª safra'!$E38:$Z38,MIN(Z$6-$G$3,22))),0)))))</f>
        <v>0</v>
      </c>
      <c r="AA40" s="27" t="n">
        <f aca="false">IF(COUNT('Feijão 1ª safra'!$E38:$Z38)=0,0,MAX(0,IF((AA$6-$E$3)&lt;1,0,IFERROR(LOOKUP(2,1/('Feijão 1ª safra'!$E38:INDEX('Feijão 1ª safra'!$E38:$Z38,MIN(AA$6-$E$3,22))&lt;&gt;""),'Feijão 1ª safra'!$E38:INDEX('Feijão 1ª safra'!$E38:$Z38,MIN(AA$6-$E$3,22))),0))-IF($G$2,0,IF((AA$6-$G$3)&lt;1,0,IFERROR(LOOKUP(2,1/('Feijão 1ª safra'!$E38:INDEX('Feijão 1ª safra'!$E38:$Z38,MIN(AA$6-$G$3,22))&lt;&gt;""),'Feijão 1ª safra'!$E38:INDEX('Feijão 1ª safra'!$E38:$Z38,MIN(AA$6-$G$3,22))),0)))))</f>
        <v>0</v>
      </c>
      <c r="AB40" s="27" t="n">
        <f aca="false">IF(COUNT('Feijão 1ª safra'!$E38:$Z38)=0,0,MAX(0,IF((AB$6-$E$3)&lt;1,0,IFERROR(LOOKUP(2,1/('Feijão 1ª safra'!$E38:INDEX('Feijão 1ª safra'!$E38:$Z38,MIN(AB$6-$E$3,22))&lt;&gt;""),'Feijão 1ª safra'!$E38:INDEX('Feijão 1ª safra'!$E38:$Z38,MIN(AB$6-$E$3,22))),0))-IF($G$2,0,IF((AB$6-$G$3)&lt;1,0,IFERROR(LOOKUP(2,1/('Feijão 1ª safra'!$E38:INDEX('Feijão 1ª safra'!$E38:$Z38,MIN(AB$6-$G$3,22))&lt;&gt;""),'Feijão 1ª safra'!$E38:INDEX('Feijão 1ª safra'!$E38:$Z38,MIN(AB$6-$G$3,22))),0)))))</f>
        <v>0</v>
      </c>
      <c r="AC40" s="27" t="n">
        <f aca="false">IF(COUNT('Feijão 1ª safra'!$E38:$Z38)=0,0,MAX(0,IF((AC$6-$E$3)&lt;1,0,IFERROR(LOOKUP(2,1/('Feijão 1ª safra'!$E38:INDEX('Feijão 1ª safra'!$E38:$Z38,MIN(AC$6-$E$3,22))&lt;&gt;""),'Feijão 1ª safra'!$E38:INDEX('Feijão 1ª safra'!$E38:$Z38,MIN(AC$6-$E$3,22))),0))-IF($G$2,0,IF((AC$6-$G$3)&lt;1,0,IFERROR(LOOKUP(2,1/('Feijão 1ª safra'!$E38:INDEX('Feijão 1ª safra'!$E38:$Z38,MIN(AC$6-$G$3,22))&lt;&gt;""),'Feijão 1ª safra'!$E38:INDEX('Feijão 1ª safra'!$E38:$Z38,MIN(AC$6-$G$3,22))),0)))))</f>
        <v>0</v>
      </c>
      <c r="AD40" s="27" t="n">
        <f aca="false">IF(COUNT('Feijão 1ª safra'!$E38:$Z38)=0,0,MAX(0,IF((AD$6-$E$3)&lt;1,0,IFERROR(LOOKUP(2,1/('Feijão 1ª safra'!$E38:INDEX('Feijão 1ª safra'!$E38:$Z38,MIN(AD$6-$E$3,22))&lt;&gt;""),'Feijão 1ª safra'!$E38:INDEX('Feijão 1ª safra'!$E38:$Z38,MIN(AD$6-$E$3,22))),0))-IF($G$2,0,IF((AD$6-$G$3)&lt;1,0,IFERROR(LOOKUP(2,1/('Feijão 1ª safra'!$E38:INDEX('Feijão 1ª safra'!$E38:$Z38,MIN(AD$6-$G$3,22))&lt;&gt;""),'Feijão 1ª safra'!$E38:INDEX('Feijão 1ª safra'!$E38:$Z38,MIN(AD$6-$G$3,22))),0)))))</f>
        <v>0</v>
      </c>
      <c r="AE40" s="27" t="n">
        <f aca="false">IF(COUNT('Feijão 1ª safra'!$E38:$Z38)=0,0,MAX(0,IF((AE$6-$E$3)&lt;1,0,IFERROR(LOOKUP(2,1/('Feijão 1ª safra'!$E38:INDEX('Feijão 1ª safra'!$E38:$Z38,MIN(AE$6-$E$3,22))&lt;&gt;""),'Feijão 1ª safra'!$E38:INDEX('Feijão 1ª safra'!$E38:$Z38,MIN(AE$6-$E$3,22))),0))-IF($G$2,0,IF((AE$6-$G$3)&lt;1,0,IFERROR(LOOKUP(2,1/('Feijão 1ª safra'!$E38:INDEX('Feijão 1ª safra'!$E38:$Z38,MIN(AE$6-$G$3,22))&lt;&gt;""),'Feijão 1ª safra'!$E38:INDEX('Feijão 1ª safra'!$E38:$Z38,MIN(AE$6-$G$3,22))),0)))))</f>
        <v>0</v>
      </c>
      <c r="AF40" s="27" t="n">
        <f aca="false">IF(COUNT('Feijão 1ª safra'!$E38:$Z38)=0,0,MAX(0,IF((AF$6-$E$3)&lt;1,0,IFERROR(LOOKUP(2,1/('Feijão 1ª safra'!$E38:INDEX('Feijão 1ª safra'!$E38:$Z38,MIN(AF$6-$E$3,22))&lt;&gt;""),'Feijão 1ª safra'!$E38:INDEX('Feijão 1ª safra'!$E38:$Z38,MIN(AF$6-$E$3,22))),0))-IF($G$2,0,IF((AF$6-$G$3)&lt;1,0,IFERROR(LOOKUP(2,1/('Feijão 1ª safra'!$E38:INDEX('Feijão 1ª safra'!$E38:$Z38,MIN(AF$6-$G$3,22))&lt;&gt;""),'Feijão 1ª safra'!$E38:INDEX('Feijão 1ª safra'!$E38:$Z38,MIN(AF$6-$G$3,22))),0)))))</f>
        <v>0</v>
      </c>
      <c r="AG40" s="27" t="n">
        <f aca="false">IF(COUNT('Feijão 1ª safra'!$E38:$Z38)=0,0,MAX(0,IF((AG$6-$E$3)&lt;1,0,IFERROR(LOOKUP(2,1/('Feijão 1ª safra'!$E38:INDEX('Feijão 1ª safra'!$E38:$Z38,MIN(AG$6-$E$3,22))&lt;&gt;""),'Feijão 1ª safra'!$E38:INDEX('Feijão 1ª safra'!$E38:$Z38,MIN(AG$6-$E$3,22))),0))-IF($G$2,0,IF((AG$6-$G$3)&lt;1,0,IFERROR(LOOKUP(2,1/('Feijão 1ª safra'!$E38:INDEX('Feijão 1ª safra'!$E38:$Z38,MIN(AG$6-$G$3,22))&lt;&gt;""),'Feijão 1ª safra'!$E38:INDEX('Feijão 1ª safra'!$E38:$Z38,MIN(AG$6-$G$3,22))),0)))))</f>
        <v>0</v>
      </c>
      <c r="AH40" s="27" t="n">
        <f aca="false">IF(COUNT('Feijão 1ª safra'!$E38:$Z38)=0,0,MAX(0,IF((AH$6-$E$3)&lt;1,0,IFERROR(LOOKUP(2,1/('Feijão 1ª safra'!$E38:INDEX('Feijão 1ª safra'!$E38:$Z38,MIN(AH$6-$E$3,22))&lt;&gt;""),'Feijão 1ª safra'!$E38:INDEX('Feijão 1ª safra'!$E38:$Z38,MIN(AH$6-$E$3,22))),0))-IF($G$2,0,IF((AH$6-$G$3)&lt;1,0,IFERROR(LOOKUP(2,1/('Feijão 1ª safra'!$E38:INDEX('Feijão 1ª safra'!$E38:$Z38,MIN(AH$6-$G$3,22))&lt;&gt;""),'Feijão 1ª safra'!$E38:INDEX('Feijão 1ª safra'!$E38:$Z38,MIN(AH$6-$G$3,22))),0)))))</f>
        <v>0</v>
      </c>
      <c r="AI40" s="27" t="n">
        <f aca="false">IF(COUNT('Feijão 1ª safra'!$E38:$Z38)=0,0,MAX(0,IF((AI$6-$E$3)&lt;1,0,IFERROR(LOOKUP(2,1/('Feijão 1ª safra'!$E38:INDEX('Feijão 1ª safra'!$E38:$Z38,MIN(AI$6-$E$3,22))&lt;&gt;""),'Feijão 1ª safra'!$E38:INDEX('Feijão 1ª safra'!$E38:$Z38,MIN(AI$6-$E$3,22))),0))-IF($G$2,0,IF((AI$6-$G$3)&lt;1,0,IFERROR(LOOKUP(2,1/('Feijão 1ª safra'!$E38:INDEX('Feijão 1ª safra'!$E38:$Z38,MIN(AI$6-$G$3,22))&lt;&gt;""),'Feijão 1ª safra'!$E38:INDEX('Feijão 1ª safra'!$E38:$Z38,MIN(AI$6-$G$3,22))),0)))))</f>
        <v>0</v>
      </c>
      <c r="AJ40" s="27" t="n">
        <f aca="false">IF(COUNT('Feijão 1ª safra'!$E38:$Z38)=0,0,MAX(0,IF((AJ$6-$E$3)&lt;1,0,IFERROR(LOOKUP(2,1/('Feijão 1ª safra'!$E38:INDEX('Feijão 1ª safra'!$E38:$Z38,MIN(AJ$6-$E$3,22))&lt;&gt;""),'Feijão 1ª safra'!$E38:INDEX('Feijão 1ª safra'!$E38:$Z38,MIN(AJ$6-$E$3,22))),0))-IF($G$2,0,IF((AJ$6-$G$3)&lt;1,0,IFERROR(LOOKUP(2,1/('Feijão 1ª safra'!$E38:INDEX('Feijão 1ª safra'!$E38:$Z38,MIN(AJ$6-$G$3,22))&lt;&gt;""),'Feijão 1ª safra'!$E38:INDEX('Feijão 1ª safra'!$E38:$Z38,MIN(AJ$6-$G$3,22))),0)))))</f>
        <v>0</v>
      </c>
      <c r="AK40" s="27" t="n">
        <f aca="false">IF(COUNT('Feijão 1ª safra'!$E38:$Z38)=0,0,MAX(0,IF((AK$6-$E$3)&lt;1,0,IFERROR(LOOKUP(2,1/('Feijão 1ª safra'!$E38:INDEX('Feijão 1ª safra'!$E38:$Z38,MIN(AK$6-$E$3,22))&lt;&gt;""),'Feijão 1ª safra'!$E38:INDEX('Feijão 1ª safra'!$E38:$Z38,MIN(AK$6-$E$3,22))),0))-IF($G$2,0,IF((AK$6-$G$3)&lt;1,0,IFERROR(LOOKUP(2,1/('Feijão 1ª safra'!$E38:INDEX('Feijão 1ª safra'!$E38:$Z38,MIN(AK$6-$G$3,22))&lt;&gt;""),'Feijão 1ª safra'!$E38:INDEX('Feijão 1ª safra'!$E38:$Z38,MIN(AK$6-$G$3,22))),0)))))</f>
        <v>0</v>
      </c>
      <c r="AL40" s="27" t="n">
        <f aca="false">IF(COUNT('Feijão 1ª safra'!$E38:$Z38)=0,0,MAX(0,IF((AL$6-$E$3)&lt;1,0,IFERROR(LOOKUP(2,1/('Feijão 1ª safra'!$E38:INDEX('Feijão 1ª safra'!$E38:$Z38,MIN(AL$6-$E$3,22))&lt;&gt;""),'Feijão 1ª safra'!$E38:INDEX('Feijão 1ª safra'!$E38:$Z38,MIN(AL$6-$E$3,22))),0))-IF($G$2,0,IF((AL$6-$G$3)&lt;1,0,IFERROR(LOOKUP(2,1/('Feijão 1ª safra'!$E38:INDEX('Feijão 1ª safra'!$E38:$Z38,MIN(AL$6-$G$3,22))&lt;&gt;""),'Feijão 1ª safra'!$E38:INDEX('Feijão 1ª safra'!$E38:$Z38,MIN(AL$6-$G$3,22))),0)))))</f>
        <v>0</v>
      </c>
      <c r="AM40" s="27" t="n">
        <f aca="false">IF(COUNT('Feijão 1ª safra'!$E38:$Z38)=0,0,MAX(0,IF((AM$6-$E$3)&lt;1,0,IFERROR(LOOKUP(2,1/('Feijão 1ª safra'!$E38:INDEX('Feijão 1ª safra'!$E38:$Z38,MIN(AM$6-$E$3,22))&lt;&gt;""),'Feijão 1ª safra'!$E38:INDEX('Feijão 1ª safra'!$E38:$Z38,MIN(AM$6-$E$3,22))),0))-IF($G$2,0,IF((AM$6-$G$3)&lt;1,0,IFERROR(LOOKUP(2,1/('Feijão 1ª safra'!$E38:INDEX('Feijão 1ª safra'!$E38:$Z38,MIN(AM$6-$G$3,22))&lt;&gt;""),'Feijão 1ª safra'!$E38:INDEX('Feijão 1ª safra'!$E38:$Z38,MIN(AM$6-$G$3,22))),0)))))</f>
        <v>0</v>
      </c>
      <c r="AN40" s="27" t="n">
        <f aca="false">IF(COUNT('Feijão 1ª safra'!$E38:$Z38)=0,0,MAX(0,IF((AN$6-$E$3)&lt;1,0,IFERROR(LOOKUP(2,1/('Feijão 1ª safra'!$E38:INDEX('Feijão 1ª safra'!$E38:$Z38,MIN(AN$6-$E$3,22))&lt;&gt;""),'Feijão 1ª safra'!$E38:INDEX('Feijão 1ª safra'!$E38:$Z38,MIN(AN$6-$E$3,22))),0))-IF($G$2,0,IF((AN$6-$G$3)&lt;1,0,IFERROR(LOOKUP(2,1/('Feijão 1ª safra'!$E38:INDEX('Feijão 1ª safra'!$E38:$Z38,MIN(AN$6-$G$3,22))&lt;&gt;""),'Feijão 1ª safra'!$E38:INDEX('Feijão 1ª safra'!$E38:$Z38,MIN(AN$6-$G$3,22))),0)))))</f>
        <v>0</v>
      </c>
      <c r="AO40" s="27" t="n">
        <f aca="false">IF(COUNT('Feijão 1ª safra'!$E38:$Z38)=0,0,MAX(0,IF((AO$6-$E$3)&lt;1,0,IFERROR(LOOKUP(2,1/('Feijão 1ª safra'!$E38:INDEX('Feijão 1ª safra'!$E38:$Z38,MIN(AO$6-$E$3,22))&lt;&gt;""),'Feijão 1ª safra'!$E38:INDEX('Feijão 1ª safra'!$E38:$Z38,MIN(AO$6-$E$3,22))),0))-IF($G$2,0,IF((AO$6-$G$3)&lt;1,0,IFERROR(LOOKUP(2,1/('Feijão 1ª safra'!$E38:INDEX('Feijão 1ª safra'!$E38:$Z38,MIN(AO$6-$G$3,22))&lt;&gt;""),'Feijão 1ª safra'!$E38:INDEX('Feijão 1ª safra'!$E38:$Z38,MIN(AO$6-$G$3,22))),0)))))</f>
        <v>0</v>
      </c>
      <c r="AP40" s="27" t="n">
        <f aca="false">IF(COUNT('Feijão 1ª safra'!$E38:$Z38)=0,0,MAX(0,IF((AP$6-$E$3)&lt;1,0,IFERROR(LOOKUP(2,1/('Feijão 1ª safra'!$E38:INDEX('Feijão 1ª safra'!$E38:$Z38,MIN(AP$6-$E$3,22))&lt;&gt;""),'Feijão 1ª safra'!$E38:INDEX('Feijão 1ª safra'!$E38:$Z38,MIN(AP$6-$E$3,22))),0))-IF($G$2,0,IF((AP$6-$G$3)&lt;1,0,IFERROR(LOOKUP(2,1/('Feijão 1ª safra'!$E38:INDEX('Feijão 1ª safra'!$E38:$Z38,MIN(AP$6-$G$3,22))&lt;&gt;""),'Feijão 1ª safra'!$E38:INDEX('Feijão 1ª safra'!$E38:$Z38,MIN(AP$6-$G$3,22))),0)))))</f>
        <v>0</v>
      </c>
      <c r="AQ40" s="27" t="n">
        <f aca="false">IF(COUNT('Feijão 1ª safra'!$E38:$Z38)=0,0,MAX(0,IF((AQ$6-$E$3)&lt;1,0,IFERROR(LOOKUP(2,1/('Feijão 1ª safra'!$E38:INDEX('Feijão 1ª safra'!$E38:$Z38,MIN(AQ$6-$E$3,22))&lt;&gt;""),'Feijão 1ª safra'!$E38:INDEX('Feijão 1ª safra'!$E38:$Z38,MIN(AQ$6-$E$3,22))),0))-IF($G$2,0,IF((AQ$6-$G$3)&lt;1,0,IFERROR(LOOKUP(2,1/('Feijão 1ª safra'!$E38:INDEX('Feijão 1ª safra'!$E38:$Z38,MIN(AQ$6-$G$3,22))&lt;&gt;""),'Feijão 1ª safra'!$E38:INDEX('Feijão 1ª safra'!$E38:$Z38,MIN(AQ$6-$G$3,22))),0)))))</f>
        <v>0</v>
      </c>
      <c r="AR40" s="27" t="n">
        <f aca="false">IF(COUNT('Feijão 1ª safra'!$E38:$Z38)=0,0,MAX(0,IF((AR$6-$E$3)&lt;1,0,IFERROR(LOOKUP(2,1/('Feijão 1ª safra'!$E38:INDEX('Feijão 1ª safra'!$E38:$Z38,MIN(AR$6-$E$3,22))&lt;&gt;""),'Feijão 1ª safra'!$E38:INDEX('Feijão 1ª safra'!$E38:$Z38,MIN(AR$6-$E$3,22))),0))-IF($G$2,0,IF((AR$6-$G$3)&lt;1,0,IFERROR(LOOKUP(2,1/('Feijão 1ª safra'!$E38:INDEX('Feijão 1ª safra'!$E38:$Z38,MIN(AR$6-$G$3,22))&lt;&gt;""),'Feijão 1ª safra'!$E38:INDEX('Feijão 1ª safra'!$E38:$Z38,MIN(AR$6-$G$3,22))),0)))))</f>
        <v>0</v>
      </c>
      <c r="AS40" s="27" t="n">
        <f aca="false">IF(COUNT('Feijão 1ª safra'!$E38:$Z38)=0,0,MAX(0,IF((AS$6-$E$3)&lt;1,0,IFERROR(LOOKUP(2,1/('Feijão 1ª safra'!$E38:INDEX('Feijão 1ª safra'!$E38:$Z38,MIN(AS$6-$E$3,22))&lt;&gt;""),'Feijão 1ª safra'!$E38:INDEX('Feijão 1ª safra'!$E38:$Z38,MIN(AS$6-$E$3,22))),0))-IF($G$2,0,IF((AS$6-$G$3)&lt;1,0,IFERROR(LOOKUP(2,1/('Feijão 1ª safra'!$E38:INDEX('Feijão 1ª safra'!$E38:$Z38,MIN(AS$6-$G$3,22))&lt;&gt;""),'Feijão 1ª safra'!$E38:INDEX('Feijão 1ª safra'!$E38:$Z38,MIN(AS$6-$G$3,22))),0)))))</f>
        <v>0</v>
      </c>
      <c r="AT40" s="27" t="n">
        <f aca="false">IF(COUNT('Feijão 1ª safra'!$E38:$Z38)=0,0,MAX(0,IF((AT$6-$E$3)&lt;1,0,IFERROR(LOOKUP(2,1/('Feijão 1ª safra'!$E38:INDEX('Feijão 1ª safra'!$E38:$Z38,MIN(AT$6-$E$3,22))&lt;&gt;""),'Feijão 1ª safra'!$E38:INDEX('Feijão 1ª safra'!$E38:$Z38,MIN(AT$6-$E$3,22))),0))-IF($G$2,0,IF((AT$6-$G$3)&lt;1,0,IFERROR(LOOKUP(2,1/('Feijão 1ª safra'!$E38:INDEX('Feijão 1ª safra'!$E38:$Z38,MIN(AT$6-$G$3,22))&lt;&gt;""),'Feijão 1ª safra'!$E38:INDEX('Feijão 1ª safra'!$E38:$Z38,MIN(AT$6-$G$3,22))),0)))))</f>
        <v>0</v>
      </c>
      <c r="AU40" s="27" t="n">
        <f aca="false">IF(COUNT('Feijão 1ª safra'!$E38:$Z38)=0,0,MAX(0,IF((AU$6-$E$3)&lt;1,0,IFERROR(LOOKUP(2,1/('Feijão 1ª safra'!$E38:INDEX('Feijão 1ª safra'!$E38:$Z38,MIN(AU$6-$E$3,22))&lt;&gt;""),'Feijão 1ª safra'!$E38:INDEX('Feijão 1ª safra'!$E38:$Z38,MIN(AU$6-$E$3,22))),0))-IF($G$2,0,IF((AU$6-$G$3)&lt;1,0,IFERROR(LOOKUP(2,1/('Feijão 1ª safra'!$E38:INDEX('Feijão 1ª safra'!$E38:$Z38,MIN(AU$6-$G$3,22))&lt;&gt;""),'Feijão 1ª safra'!$E38:INDEX('Feijão 1ª safra'!$E38:$Z38,MIN(AU$6-$G$3,22))),0)))))</f>
        <v>0</v>
      </c>
      <c r="AV40" s="27" t="n">
        <f aca="false">IF(COUNT('Feijão 1ª safra'!$E38:$Z38)=0,0,MAX(0,IF((AV$6-$E$3)&lt;1,0,IFERROR(LOOKUP(2,1/('Feijão 1ª safra'!$E38:INDEX('Feijão 1ª safra'!$E38:$Z38,MIN(AV$6-$E$3,22))&lt;&gt;""),'Feijão 1ª safra'!$E38:INDEX('Feijão 1ª safra'!$E38:$Z38,MIN(AV$6-$E$3,22))),0))-IF($G$2,0,IF((AV$6-$G$3)&lt;1,0,IFERROR(LOOKUP(2,1/('Feijão 1ª safra'!$E38:INDEX('Feijão 1ª safra'!$E38:$Z38,MIN(AV$6-$G$3,22))&lt;&gt;""),'Feijão 1ª safra'!$E38:INDEX('Feijão 1ª safra'!$E38:$Z38,MIN(AV$6-$G$3,22))),0)))))</f>
        <v>0</v>
      </c>
      <c r="AW40" s="27" t="n">
        <f aca="false">IF(COUNT('Feijão 1ª safra'!$E38:$Z38)=0,0,MAX(0,IF((AW$6-$E$3)&lt;1,0,IFERROR(LOOKUP(2,1/('Feijão 1ª safra'!$E38:INDEX('Feijão 1ª safra'!$E38:$Z38,MIN(AW$6-$E$3,22))&lt;&gt;""),'Feijão 1ª safra'!$E38:INDEX('Feijão 1ª safra'!$E38:$Z38,MIN(AW$6-$E$3,22))),0))-IF($G$2,0,IF((AW$6-$G$3)&lt;1,0,IFERROR(LOOKUP(2,1/('Feijão 1ª safra'!$E38:INDEX('Feijão 1ª safra'!$E38:$Z38,MIN(AW$6-$G$3,22))&lt;&gt;""),'Feijão 1ª safra'!$E38:INDEX('Feijão 1ª safra'!$E38:$Z38,MIN(AW$6-$G$3,22))),0)))))</f>
        <v>0</v>
      </c>
      <c r="AX40" s="27" t="n">
        <f aca="false">IF(COUNT('Feijão 1ª safra'!$E38:$Z38)=0,0,MAX(0,IF((AX$6-$E$3)&lt;1,0,IFERROR(LOOKUP(2,1/('Feijão 1ª safra'!$E38:INDEX('Feijão 1ª safra'!$E38:$Z38,MIN(AX$6-$E$3,22))&lt;&gt;""),'Feijão 1ª safra'!$E38:INDEX('Feijão 1ª safra'!$E38:$Z38,MIN(AX$6-$E$3,22))),0))-IF($G$2,0,IF((AX$6-$G$3)&lt;1,0,IFERROR(LOOKUP(2,1/('Feijão 1ª safra'!$E38:INDEX('Feijão 1ª safra'!$E38:$Z38,MIN(AX$6-$G$3,22))&lt;&gt;""),'Feijão 1ª safra'!$E38:INDEX('Feijão 1ª safra'!$E38:$Z38,MIN(AX$6-$G$3,22))),0)))))</f>
        <v>0</v>
      </c>
      <c r="AY40" s="27" t="n">
        <f aca="false">IF(COUNT('Feijão 1ª safra'!$E38:$Z38)=0,0,MAX(0,IF((AY$6-$E$3)&lt;1,0,IFERROR(LOOKUP(2,1/('Feijão 1ª safra'!$E38:INDEX('Feijão 1ª safra'!$E38:$Z38,MIN(AY$6-$E$3,22))&lt;&gt;""),'Feijão 1ª safra'!$E38:INDEX('Feijão 1ª safra'!$E38:$Z38,MIN(AY$6-$E$3,22))),0))-IF($G$2,0,IF((AY$6-$G$3)&lt;1,0,IFERROR(LOOKUP(2,1/('Feijão 1ª safra'!$E38:INDEX('Feijão 1ª safra'!$E38:$Z38,MIN(AY$6-$G$3,22))&lt;&gt;""),'Feijão 1ª safra'!$E38:INDEX('Feijão 1ª safra'!$E38:$Z38,MIN(AY$6-$G$3,22))),0)))))</f>
        <v>0</v>
      </c>
      <c r="AZ40" s="27" t="n">
        <f aca="false">IF(COUNT('Feijão 1ª safra'!$E38:$Z38)=0,0,MAX(0,IF((AZ$6-$E$3)&lt;1,0,IFERROR(LOOKUP(2,1/('Feijão 1ª safra'!$E38:INDEX('Feijão 1ª safra'!$E38:$Z38,MIN(AZ$6-$E$3,22))&lt;&gt;""),'Feijão 1ª safra'!$E38:INDEX('Feijão 1ª safra'!$E38:$Z38,MIN(AZ$6-$E$3,22))),0))-IF($G$2,0,IF((AZ$6-$G$3)&lt;1,0,IFERROR(LOOKUP(2,1/('Feijão 1ª safra'!$E38:INDEX('Feijão 1ª safra'!$E38:$Z38,MIN(AZ$6-$G$3,22))&lt;&gt;""),'Feijão 1ª safra'!$E38:INDEX('Feijão 1ª safra'!$E38:$Z38,MIN(AZ$6-$G$3,22))),0)))))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IF(COUNT('Feijão 1ª safra'!$E39:$Z39)&gt;0,N('Feijão 1ª safra'!$D39),0)</f>
        <v>0</v>
      </c>
      <c r="E41" s="27" t="n">
        <f aca="false">IF(COUNT('Feijão 1ª safra'!$E39:$Z39)=0,0,MAX(0,IF((E$6-$E$3)&lt;1,0,IFERROR(LOOKUP(2,1/('Feijão 1ª safra'!$E39:INDEX('Feijão 1ª safra'!$E39:$Z39,MIN(E$6-$E$3,22))&lt;&gt;""),'Feijão 1ª safra'!$E39:INDEX('Feijão 1ª safra'!$E39:$Z39,MIN(E$6-$E$3,22))),0))-IF($G$2,0,IF((E$6-$G$3)&lt;1,0,IFERROR(LOOKUP(2,1/('Feijão 1ª safra'!$E39:INDEX('Feijão 1ª safra'!$E39:$Z39,MIN(E$6-$G$3,22))&lt;&gt;""),'Feijão 1ª safra'!$E39:INDEX('Feijão 1ª safra'!$E39:$Z39,MIN(E$6-$G$3,22))),0)))))</f>
        <v>0</v>
      </c>
      <c r="F41" s="27" t="n">
        <f aca="false">IF(COUNT('Feijão 1ª safra'!$E39:$Z39)=0,0,MAX(0,IF((F$6-$E$3)&lt;1,0,IFERROR(LOOKUP(2,1/('Feijão 1ª safra'!$E39:INDEX('Feijão 1ª safra'!$E39:$Z39,MIN(F$6-$E$3,22))&lt;&gt;""),'Feijão 1ª safra'!$E39:INDEX('Feijão 1ª safra'!$E39:$Z39,MIN(F$6-$E$3,22))),0))-IF($G$2,0,IF((F$6-$G$3)&lt;1,0,IFERROR(LOOKUP(2,1/('Feijão 1ª safra'!$E39:INDEX('Feijão 1ª safra'!$E39:$Z39,MIN(F$6-$G$3,22))&lt;&gt;""),'Feijão 1ª safra'!$E39:INDEX('Feijão 1ª safra'!$E39:$Z39,MIN(F$6-$G$3,22))),0)))))</f>
        <v>0</v>
      </c>
      <c r="G41" s="27" t="n">
        <f aca="false">IF(COUNT('Feijão 1ª safra'!$E39:$Z39)=0,0,MAX(0,IF((G$6-$E$3)&lt;1,0,IFERROR(LOOKUP(2,1/('Feijão 1ª safra'!$E39:INDEX('Feijão 1ª safra'!$E39:$Z39,MIN(G$6-$E$3,22))&lt;&gt;""),'Feijão 1ª safra'!$E39:INDEX('Feijão 1ª safra'!$E39:$Z39,MIN(G$6-$E$3,22))),0))-IF($G$2,0,IF((G$6-$G$3)&lt;1,0,IFERROR(LOOKUP(2,1/('Feijão 1ª safra'!$E39:INDEX('Feijão 1ª safra'!$E39:$Z39,MIN(G$6-$G$3,22))&lt;&gt;""),'Feijão 1ª safra'!$E39:INDEX('Feijão 1ª safra'!$E39:$Z39,MIN(G$6-$G$3,22))),0)))))</f>
        <v>0</v>
      </c>
      <c r="H41" s="27" t="n">
        <f aca="false">IF(COUNT('Feijão 1ª safra'!$E39:$Z39)=0,0,MAX(0,IF((H$6-$E$3)&lt;1,0,IFERROR(LOOKUP(2,1/('Feijão 1ª safra'!$E39:INDEX('Feijão 1ª safra'!$E39:$Z39,MIN(H$6-$E$3,22))&lt;&gt;""),'Feijão 1ª safra'!$E39:INDEX('Feijão 1ª safra'!$E39:$Z39,MIN(H$6-$E$3,22))),0))-IF($G$2,0,IF((H$6-$G$3)&lt;1,0,IFERROR(LOOKUP(2,1/('Feijão 1ª safra'!$E39:INDEX('Feijão 1ª safra'!$E39:$Z39,MIN(H$6-$G$3,22))&lt;&gt;""),'Feijão 1ª safra'!$E39:INDEX('Feijão 1ª safra'!$E39:$Z39,MIN(H$6-$G$3,22))),0)))))</f>
        <v>0</v>
      </c>
      <c r="I41" s="27" t="n">
        <f aca="false">IF(COUNT('Feijão 1ª safra'!$E39:$Z39)=0,0,MAX(0,IF((I$6-$E$3)&lt;1,0,IFERROR(LOOKUP(2,1/('Feijão 1ª safra'!$E39:INDEX('Feijão 1ª safra'!$E39:$Z39,MIN(I$6-$E$3,22))&lt;&gt;""),'Feijão 1ª safra'!$E39:INDEX('Feijão 1ª safra'!$E39:$Z39,MIN(I$6-$E$3,22))),0))-IF($G$2,0,IF((I$6-$G$3)&lt;1,0,IFERROR(LOOKUP(2,1/('Feijão 1ª safra'!$E39:INDEX('Feijão 1ª safra'!$E39:$Z39,MIN(I$6-$G$3,22))&lt;&gt;""),'Feijão 1ª safra'!$E39:INDEX('Feijão 1ª safra'!$E39:$Z39,MIN(I$6-$G$3,22))),0)))))</f>
        <v>0</v>
      </c>
      <c r="J41" s="27" t="n">
        <f aca="false">IF(COUNT('Feijão 1ª safra'!$E39:$Z39)=0,0,MAX(0,IF((J$6-$E$3)&lt;1,0,IFERROR(LOOKUP(2,1/('Feijão 1ª safra'!$E39:INDEX('Feijão 1ª safra'!$E39:$Z39,MIN(J$6-$E$3,22))&lt;&gt;""),'Feijão 1ª safra'!$E39:INDEX('Feijão 1ª safra'!$E39:$Z39,MIN(J$6-$E$3,22))),0))-IF($G$2,0,IF((J$6-$G$3)&lt;1,0,IFERROR(LOOKUP(2,1/('Feijão 1ª safra'!$E39:INDEX('Feijão 1ª safra'!$E39:$Z39,MIN(J$6-$G$3,22))&lt;&gt;""),'Feijão 1ª safra'!$E39:INDEX('Feijão 1ª safra'!$E39:$Z39,MIN(J$6-$G$3,22))),0)))))</f>
        <v>0</v>
      </c>
      <c r="K41" s="27" t="n">
        <f aca="false">IF(COUNT('Feijão 1ª safra'!$E39:$Z39)=0,0,MAX(0,IF((K$6-$E$3)&lt;1,0,IFERROR(LOOKUP(2,1/('Feijão 1ª safra'!$E39:INDEX('Feijão 1ª safra'!$E39:$Z39,MIN(K$6-$E$3,22))&lt;&gt;""),'Feijão 1ª safra'!$E39:INDEX('Feijão 1ª safra'!$E39:$Z39,MIN(K$6-$E$3,22))),0))-IF($G$2,0,IF((K$6-$G$3)&lt;1,0,IFERROR(LOOKUP(2,1/('Feijão 1ª safra'!$E39:INDEX('Feijão 1ª safra'!$E39:$Z39,MIN(K$6-$G$3,22))&lt;&gt;""),'Feijão 1ª safra'!$E39:INDEX('Feijão 1ª safra'!$E39:$Z39,MIN(K$6-$G$3,22))),0)))))</f>
        <v>0</v>
      </c>
      <c r="L41" s="27" t="n">
        <f aca="false">IF(COUNT('Feijão 1ª safra'!$E39:$Z39)=0,0,MAX(0,IF((L$6-$E$3)&lt;1,0,IFERROR(LOOKUP(2,1/('Feijão 1ª safra'!$E39:INDEX('Feijão 1ª safra'!$E39:$Z39,MIN(L$6-$E$3,22))&lt;&gt;""),'Feijão 1ª safra'!$E39:INDEX('Feijão 1ª safra'!$E39:$Z39,MIN(L$6-$E$3,22))),0))-IF($G$2,0,IF((L$6-$G$3)&lt;1,0,IFERROR(LOOKUP(2,1/('Feijão 1ª safra'!$E39:INDEX('Feijão 1ª safra'!$E39:$Z39,MIN(L$6-$G$3,22))&lt;&gt;""),'Feijão 1ª safra'!$E39:INDEX('Feijão 1ª safra'!$E39:$Z39,MIN(L$6-$G$3,22))),0)))))</f>
        <v>0</v>
      </c>
      <c r="M41" s="27" t="n">
        <f aca="false">IF(COUNT('Feijão 1ª safra'!$E39:$Z39)=0,0,MAX(0,IF((M$6-$E$3)&lt;1,0,IFERROR(LOOKUP(2,1/('Feijão 1ª safra'!$E39:INDEX('Feijão 1ª safra'!$E39:$Z39,MIN(M$6-$E$3,22))&lt;&gt;""),'Feijão 1ª safra'!$E39:INDEX('Feijão 1ª safra'!$E39:$Z39,MIN(M$6-$E$3,22))),0))-IF($G$2,0,IF((M$6-$G$3)&lt;1,0,IFERROR(LOOKUP(2,1/('Feijão 1ª safra'!$E39:INDEX('Feijão 1ª safra'!$E39:$Z39,MIN(M$6-$G$3,22))&lt;&gt;""),'Feijão 1ª safra'!$E39:INDEX('Feijão 1ª safra'!$E39:$Z39,MIN(M$6-$G$3,22))),0)))))</f>
        <v>0</v>
      </c>
      <c r="N41" s="27" t="n">
        <f aca="false">IF(COUNT('Feijão 1ª safra'!$E39:$Z39)=0,0,MAX(0,IF((N$6-$E$3)&lt;1,0,IFERROR(LOOKUP(2,1/('Feijão 1ª safra'!$E39:INDEX('Feijão 1ª safra'!$E39:$Z39,MIN(N$6-$E$3,22))&lt;&gt;""),'Feijão 1ª safra'!$E39:INDEX('Feijão 1ª safra'!$E39:$Z39,MIN(N$6-$E$3,22))),0))-IF($G$2,0,IF((N$6-$G$3)&lt;1,0,IFERROR(LOOKUP(2,1/('Feijão 1ª safra'!$E39:INDEX('Feijão 1ª safra'!$E39:$Z39,MIN(N$6-$G$3,22))&lt;&gt;""),'Feijão 1ª safra'!$E39:INDEX('Feijão 1ª safra'!$E39:$Z39,MIN(N$6-$G$3,22))),0)))))</f>
        <v>0</v>
      </c>
      <c r="O41" s="27" t="n">
        <f aca="false">IF(COUNT('Feijão 1ª safra'!$E39:$Z39)=0,0,MAX(0,IF((O$6-$E$3)&lt;1,0,IFERROR(LOOKUP(2,1/('Feijão 1ª safra'!$E39:INDEX('Feijão 1ª safra'!$E39:$Z39,MIN(O$6-$E$3,22))&lt;&gt;""),'Feijão 1ª safra'!$E39:INDEX('Feijão 1ª safra'!$E39:$Z39,MIN(O$6-$E$3,22))),0))-IF($G$2,0,IF((O$6-$G$3)&lt;1,0,IFERROR(LOOKUP(2,1/('Feijão 1ª safra'!$E39:INDEX('Feijão 1ª safra'!$E39:$Z39,MIN(O$6-$G$3,22))&lt;&gt;""),'Feijão 1ª safra'!$E39:INDEX('Feijão 1ª safra'!$E39:$Z39,MIN(O$6-$G$3,22))),0)))))</f>
        <v>0</v>
      </c>
      <c r="P41" s="27" t="n">
        <f aca="false">IF(COUNT('Feijão 1ª safra'!$E39:$Z39)=0,0,MAX(0,IF((P$6-$E$3)&lt;1,0,IFERROR(LOOKUP(2,1/('Feijão 1ª safra'!$E39:INDEX('Feijão 1ª safra'!$E39:$Z39,MIN(P$6-$E$3,22))&lt;&gt;""),'Feijão 1ª safra'!$E39:INDEX('Feijão 1ª safra'!$E39:$Z39,MIN(P$6-$E$3,22))),0))-IF($G$2,0,IF((P$6-$G$3)&lt;1,0,IFERROR(LOOKUP(2,1/('Feijão 1ª safra'!$E39:INDEX('Feijão 1ª safra'!$E39:$Z39,MIN(P$6-$G$3,22))&lt;&gt;""),'Feijão 1ª safra'!$E39:INDEX('Feijão 1ª safra'!$E39:$Z39,MIN(P$6-$G$3,22))),0)))))</f>
        <v>0</v>
      </c>
      <c r="Q41" s="27" t="n">
        <f aca="false">IF(COUNT('Feijão 1ª safra'!$E39:$Z39)=0,0,MAX(0,IF((Q$6-$E$3)&lt;1,0,IFERROR(LOOKUP(2,1/('Feijão 1ª safra'!$E39:INDEX('Feijão 1ª safra'!$E39:$Z39,MIN(Q$6-$E$3,22))&lt;&gt;""),'Feijão 1ª safra'!$E39:INDEX('Feijão 1ª safra'!$E39:$Z39,MIN(Q$6-$E$3,22))),0))-IF($G$2,0,IF((Q$6-$G$3)&lt;1,0,IFERROR(LOOKUP(2,1/('Feijão 1ª safra'!$E39:INDEX('Feijão 1ª safra'!$E39:$Z39,MIN(Q$6-$G$3,22))&lt;&gt;""),'Feijão 1ª safra'!$E39:INDEX('Feijão 1ª safra'!$E39:$Z39,MIN(Q$6-$G$3,22))),0)))))</f>
        <v>0</v>
      </c>
      <c r="R41" s="27" t="n">
        <f aca="false">IF(COUNT('Feijão 1ª safra'!$E39:$Z39)=0,0,MAX(0,IF((R$6-$E$3)&lt;1,0,IFERROR(LOOKUP(2,1/('Feijão 1ª safra'!$E39:INDEX('Feijão 1ª safra'!$E39:$Z39,MIN(R$6-$E$3,22))&lt;&gt;""),'Feijão 1ª safra'!$E39:INDEX('Feijão 1ª safra'!$E39:$Z39,MIN(R$6-$E$3,22))),0))-IF($G$2,0,IF((R$6-$G$3)&lt;1,0,IFERROR(LOOKUP(2,1/('Feijão 1ª safra'!$E39:INDEX('Feijão 1ª safra'!$E39:$Z39,MIN(R$6-$G$3,22))&lt;&gt;""),'Feijão 1ª safra'!$E39:INDEX('Feijão 1ª safra'!$E39:$Z39,MIN(R$6-$G$3,22))),0)))))</f>
        <v>0</v>
      </c>
      <c r="S41" s="27" t="n">
        <f aca="false">IF(COUNT('Feijão 1ª safra'!$E39:$Z39)=0,0,MAX(0,IF((S$6-$E$3)&lt;1,0,IFERROR(LOOKUP(2,1/('Feijão 1ª safra'!$E39:INDEX('Feijão 1ª safra'!$E39:$Z39,MIN(S$6-$E$3,22))&lt;&gt;""),'Feijão 1ª safra'!$E39:INDEX('Feijão 1ª safra'!$E39:$Z39,MIN(S$6-$E$3,22))),0))-IF($G$2,0,IF((S$6-$G$3)&lt;1,0,IFERROR(LOOKUP(2,1/('Feijão 1ª safra'!$E39:INDEX('Feijão 1ª safra'!$E39:$Z39,MIN(S$6-$G$3,22))&lt;&gt;""),'Feijão 1ª safra'!$E39:INDEX('Feijão 1ª safra'!$E39:$Z39,MIN(S$6-$G$3,22))),0)))))</f>
        <v>0</v>
      </c>
      <c r="T41" s="27" t="n">
        <f aca="false">IF(COUNT('Feijão 1ª safra'!$E39:$Z39)=0,0,MAX(0,IF((T$6-$E$3)&lt;1,0,IFERROR(LOOKUP(2,1/('Feijão 1ª safra'!$E39:INDEX('Feijão 1ª safra'!$E39:$Z39,MIN(T$6-$E$3,22))&lt;&gt;""),'Feijão 1ª safra'!$E39:INDEX('Feijão 1ª safra'!$E39:$Z39,MIN(T$6-$E$3,22))),0))-IF($G$2,0,IF((T$6-$G$3)&lt;1,0,IFERROR(LOOKUP(2,1/('Feijão 1ª safra'!$E39:INDEX('Feijão 1ª safra'!$E39:$Z39,MIN(T$6-$G$3,22))&lt;&gt;""),'Feijão 1ª safra'!$E39:INDEX('Feijão 1ª safra'!$E39:$Z39,MIN(T$6-$G$3,22))),0)))))</f>
        <v>0</v>
      </c>
      <c r="U41" s="27" t="n">
        <f aca="false">IF(COUNT('Feijão 1ª safra'!$E39:$Z39)=0,0,MAX(0,IF((U$6-$E$3)&lt;1,0,IFERROR(LOOKUP(2,1/('Feijão 1ª safra'!$E39:INDEX('Feijão 1ª safra'!$E39:$Z39,MIN(U$6-$E$3,22))&lt;&gt;""),'Feijão 1ª safra'!$E39:INDEX('Feijão 1ª safra'!$E39:$Z39,MIN(U$6-$E$3,22))),0))-IF($G$2,0,IF((U$6-$G$3)&lt;1,0,IFERROR(LOOKUP(2,1/('Feijão 1ª safra'!$E39:INDEX('Feijão 1ª safra'!$E39:$Z39,MIN(U$6-$G$3,22))&lt;&gt;""),'Feijão 1ª safra'!$E39:INDEX('Feijão 1ª safra'!$E39:$Z39,MIN(U$6-$G$3,22))),0)))))</f>
        <v>0</v>
      </c>
      <c r="V41" s="27" t="n">
        <f aca="false">IF(COUNT('Feijão 1ª safra'!$E39:$Z39)=0,0,MAX(0,IF((V$6-$E$3)&lt;1,0,IFERROR(LOOKUP(2,1/('Feijão 1ª safra'!$E39:INDEX('Feijão 1ª safra'!$E39:$Z39,MIN(V$6-$E$3,22))&lt;&gt;""),'Feijão 1ª safra'!$E39:INDEX('Feijão 1ª safra'!$E39:$Z39,MIN(V$6-$E$3,22))),0))-IF($G$2,0,IF((V$6-$G$3)&lt;1,0,IFERROR(LOOKUP(2,1/('Feijão 1ª safra'!$E39:INDEX('Feijão 1ª safra'!$E39:$Z39,MIN(V$6-$G$3,22))&lt;&gt;""),'Feijão 1ª safra'!$E39:INDEX('Feijão 1ª safra'!$E39:$Z39,MIN(V$6-$G$3,22))),0)))))</f>
        <v>0</v>
      </c>
      <c r="W41" s="27" t="n">
        <f aca="false">IF(COUNT('Feijão 1ª safra'!$E39:$Z39)=0,0,MAX(0,IF((W$6-$E$3)&lt;1,0,IFERROR(LOOKUP(2,1/('Feijão 1ª safra'!$E39:INDEX('Feijão 1ª safra'!$E39:$Z39,MIN(W$6-$E$3,22))&lt;&gt;""),'Feijão 1ª safra'!$E39:INDEX('Feijão 1ª safra'!$E39:$Z39,MIN(W$6-$E$3,22))),0))-IF($G$2,0,IF((W$6-$G$3)&lt;1,0,IFERROR(LOOKUP(2,1/('Feijão 1ª safra'!$E39:INDEX('Feijão 1ª safra'!$E39:$Z39,MIN(W$6-$G$3,22))&lt;&gt;""),'Feijão 1ª safra'!$E39:INDEX('Feijão 1ª safra'!$E39:$Z39,MIN(W$6-$G$3,22))),0)))))</f>
        <v>0</v>
      </c>
      <c r="X41" s="27" t="n">
        <f aca="false">IF(COUNT('Feijão 1ª safra'!$E39:$Z39)=0,0,MAX(0,IF((X$6-$E$3)&lt;1,0,IFERROR(LOOKUP(2,1/('Feijão 1ª safra'!$E39:INDEX('Feijão 1ª safra'!$E39:$Z39,MIN(X$6-$E$3,22))&lt;&gt;""),'Feijão 1ª safra'!$E39:INDEX('Feijão 1ª safra'!$E39:$Z39,MIN(X$6-$E$3,22))),0))-IF($G$2,0,IF((X$6-$G$3)&lt;1,0,IFERROR(LOOKUP(2,1/('Feijão 1ª safra'!$E39:INDEX('Feijão 1ª safra'!$E39:$Z39,MIN(X$6-$G$3,22))&lt;&gt;""),'Feijão 1ª safra'!$E39:INDEX('Feijão 1ª safra'!$E39:$Z39,MIN(X$6-$G$3,22))),0)))))</f>
        <v>0</v>
      </c>
      <c r="Y41" s="27" t="n">
        <f aca="false">IF(COUNT('Feijão 1ª safra'!$E39:$Z39)=0,0,MAX(0,IF((Y$6-$E$3)&lt;1,0,IFERROR(LOOKUP(2,1/('Feijão 1ª safra'!$E39:INDEX('Feijão 1ª safra'!$E39:$Z39,MIN(Y$6-$E$3,22))&lt;&gt;""),'Feijão 1ª safra'!$E39:INDEX('Feijão 1ª safra'!$E39:$Z39,MIN(Y$6-$E$3,22))),0))-IF($G$2,0,IF((Y$6-$G$3)&lt;1,0,IFERROR(LOOKUP(2,1/('Feijão 1ª safra'!$E39:INDEX('Feijão 1ª safra'!$E39:$Z39,MIN(Y$6-$G$3,22))&lt;&gt;""),'Feijão 1ª safra'!$E39:INDEX('Feijão 1ª safra'!$E39:$Z39,MIN(Y$6-$G$3,22))),0)))))</f>
        <v>0</v>
      </c>
      <c r="Z41" s="27" t="n">
        <f aca="false">IF(COUNT('Feijão 1ª safra'!$E39:$Z39)=0,0,MAX(0,IF((Z$6-$E$3)&lt;1,0,IFERROR(LOOKUP(2,1/('Feijão 1ª safra'!$E39:INDEX('Feijão 1ª safra'!$E39:$Z39,MIN(Z$6-$E$3,22))&lt;&gt;""),'Feijão 1ª safra'!$E39:INDEX('Feijão 1ª safra'!$E39:$Z39,MIN(Z$6-$E$3,22))),0))-IF($G$2,0,IF((Z$6-$G$3)&lt;1,0,IFERROR(LOOKUP(2,1/('Feijão 1ª safra'!$E39:INDEX('Feijão 1ª safra'!$E39:$Z39,MIN(Z$6-$G$3,22))&lt;&gt;""),'Feijão 1ª safra'!$E39:INDEX('Feijão 1ª safra'!$E39:$Z39,MIN(Z$6-$G$3,22))),0)))))</f>
        <v>0</v>
      </c>
      <c r="AA41" s="27" t="n">
        <f aca="false">IF(COUNT('Feijão 1ª safra'!$E39:$Z39)=0,0,MAX(0,IF((AA$6-$E$3)&lt;1,0,IFERROR(LOOKUP(2,1/('Feijão 1ª safra'!$E39:INDEX('Feijão 1ª safra'!$E39:$Z39,MIN(AA$6-$E$3,22))&lt;&gt;""),'Feijão 1ª safra'!$E39:INDEX('Feijão 1ª safra'!$E39:$Z39,MIN(AA$6-$E$3,22))),0))-IF($G$2,0,IF((AA$6-$G$3)&lt;1,0,IFERROR(LOOKUP(2,1/('Feijão 1ª safra'!$E39:INDEX('Feijão 1ª safra'!$E39:$Z39,MIN(AA$6-$G$3,22))&lt;&gt;""),'Feijão 1ª safra'!$E39:INDEX('Feijão 1ª safra'!$E39:$Z39,MIN(AA$6-$G$3,22))),0)))))</f>
        <v>0</v>
      </c>
      <c r="AB41" s="27" t="n">
        <f aca="false">IF(COUNT('Feijão 1ª safra'!$E39:$Z39)=0,0,MAX(0,IF((AB$6-$E$3)&lt;1,0,IFERROR(LOOKUP(2,1/('Feijão 1ª safra'!$E39:INDEX('Feijão 1ª safra'!$E39:$Z39,MIN(AB$6-$E$3,22))&lt;&gt;""),'Feijão 1ª safra'!$E39:INDEX('Feijão 1ª safra'!$E39:$Z39,MIN(AB$6-$E$3,22))),0))-IF($G$2,0,IF((AB$6-$G$3)&lt;1,0,IFERROR(LOOKUP(2,1/('Feijão 1ª safra'!$E39:INDEX('Feijão 1ª safra'!$E39:$Z39,MIN(AB$6-$G$3,22))&lt;&gt;""),'Feijão 1ª safra'!$E39:INDEX('Feijão 1ª safra'!$E39:$Z39,MIN(AB$6-$G$3,22))),0)))))</f>
        <v>0</v>
      </c>
      <c r="AC41" s="27" t="n">
        <f aca="false">IF(COUNT('Feijão 1ª safra'!$E39:$Z39)=0,0,MAX(0,IF((AC$6-$E$3)&lt;1,0,IFERROR(LOOKUP(2,1/('Feijão 1ª safra'!$E39:INDEX('Feijão 1ª safra'!$E39:$Z39,MIN(AC$6-$E$3,22))&lt;&gt;""),'Feijão 1ª safra'!$E39:INDEX('Feijão 1ª safra'!$E39:$Z39,MIN(AC$6-$E$3,22))),0))-IF($G$2,0,IF((AC$6-$G$3)&lt;1,0,IFERROR(LOOKUP(2,1/('Feijão 1ª safra'!$E39:INDEX('Feijão 1ª safra'!$E39:$Z39,MIN(AC$6-$G$3,22))&lt;&gt;""),'Feijão 1ª safra'!$E39:INDEX('Feijão 1ª safra'!$E39:$Z39,MIN(AC$6-$G$3,22))),0)))))</f>
        <v>0</v>
      </c>
      <c r="AD41" s="27" t="n">
        <f aca="false">IF(COUNT('Feijão 1ª safra'!$E39:$Z39)=0,0,MAX(0,IF((AD$6-$E$3)&lt;1,0,IFERROR(LOOKUP(2,1/('Feijão 1ª safra'!$E39:INDEX('Feijão 1ª safra'!$E39:$Z39,MIN(AD$6-$E$3,22))&lt;&gt;""),'Feijão 1ª safra'!$E39:INDEX('Feijão 1ª safra'!$E39:$Z39,MIN(AD$6-$E$3,22))),0))-IF($G$2,0,IF((AD$6-$G$3)&lt;1,0,IFERROR(LOOKUP(2,1/('Feijão 1ª safra'!$E39:INDEX('Feijão 1ª safra'!$E39:$Z39,MIN(AD$6-$G$3,22))&lt;&gt;""),'Feijão 1ª safra'!$E39:INDEX('Feijão 1ª safra'!$E39:$Z39,MIN(AD$6-$G$3,22))),0)))))</f>
        <v>0</v>
      </c>
      <c r="AE41" s="27" t="n">
        <f aca="false">IF(COUNT('Feijão 1ª safra'!$E39:$Z39)=0,0,MAX(0,IF((AE$6-$E$3)&lt;1,0,IFERROR(LOOKUP(2,1/('Feijão 1ª safra'!$E39:INDEX('Feijão 1ª safra'!$E39:$Z39,MIN(AE$6-$E$3,22))&lt;&gt;""),'Feijão 1ª safra'!$E39:INDEX('Feijão 1ª safra'!$E39:$Z39,MIN(AE$6-$E$3,22))),0))-IF($G$2,0,IF((AE$6-$G$3)&lt;1,0,IFERROR(LOOKUP(2,1/('Feijão 1ª safra'!$E39:INDEX('Feijão 1ª safra'!$E39:$Z39,MIN(AE$6-$G$3,22))&lt;&gt;""),'Feijão 1ª safra'!$E39:INDEX('Feijão 1ª safra'!$E39:$Z39,MIN(AE$6-$G$3,22))),0)))))</f>
        <v>0</v>
      </c>
      <c r="AF41" s="27" t="n">
        <f aca="false">IF(COUNT('Feijão 1ª safra'!$E39:$Z39)=0,0,MAX(0,IF((AF$6-$E$3)&lt;1,0,IFERROR(LOOKUP(2,1/('Feijão 1ª safra'!$E39:INDEX('Feijão 1ª safra'!$E39:$Z39,MIN(AF$6-$E$3,22))&lt;&gt;""),'Feijão 1ª safra'!$E39:INDEX('Feijão 1ª safra'!$E39:$Z39,MIN(AF$6-$E$3,22))),0))-IF($G$2,0,IF((AF$6-$G$3)&lt;1,0,IFERROR(LOOKUP(2,1/('Feijão 1ª safra'!$E39:INDEX('Feijão 1ª safra'!$E39:$Z39,MIN(AF$6-$G$3,22))&lt;&gt;""),'Feijão 1ª safra'!$E39:INDEX('Feijão 1ª safra'!$E39:$Z39,MIN(AF$6-$G$3,22))),0)))))</f>
        <v>0</v>
      </c>
      <c r="AG41" s="27" t="n">
        <f aca="false">IF(COUNT('Feijão 1ª safra'!$E39:$Z39)=0,0,MAX(0,IF((AG$6-$E$3)&lt;1,0,IFERROR(LOOKUP(2,1/('Feijão 1ª safra'!$E39:INDEX('Feijão 1ª safra'!$E39:$Z39,MIN(AG$6-$E$3,22))&lt;&gt;""),'Feijão 1ª safra'!$E39:INDEX('Feijão 1ª safra'!$E39:$Z39,MIN(AG$6-$E$3,22))),0))-IF($G$2,0,IF((AG$6-$G$3)&lt;1,0,IFERROR(LOOKUP(2,1/('Feijão 1ª safra'!$E39:INDEX('Feijão 1ª safra'!$E39:$Z39,MIN(AG$6-$G$3,22))&lt;&gt;""),'Feijão 1ª safra'!$E39:INDEX('Feijão 1ª safra'!$E39:$Z39,MIN(AG$6-$G$3,22))),0)))))</f>
        <v>0</v>
      </c>
      <c r="AH41" s="27" t="n">
        <f aca="false">IF(COUNT('Feijão 1ª safra'!$E39:$Z39)=0,0,MAX(0,IF((AH$6-$E$3)&lt;1,0,IFERROR(LOOKUP(2,1/('Feijão 1ª safra'!$E39:INDEX('Feijão 1ª safra'!$E39:$Z39,MIN(AH$6-$E$3,22))&lt;&gt;""),'Feijão 1ª safra'!$E39:INDEX('Feijão 1ª safra'!$E39:$Z39,MIN(AH$6-$E$3,22))),0))-IF($G$2,0,IF((AH$6-$G$3)&lt;1,0,IFERROR(LOOKUP(2,1/('Feijão 1ª safra'!$E39:INDEX('Feijão 1ª safra'!$E39:$Z39,MIN(AH$6-$G$3,22))&lt;&gt;""),'Feijão 1ª safra'!$E39:INDEX('Feijão 1ª safra'!$E39:$Z39,MIN(AH$6-$G$3,22))),0)))))</f>
        <v>0</v>
      </c>
      <c r="AI41" s="27" t="n">
        <f aca="false">IF(COUNT('Feijão 1ª safra'!$E39:$Z39)=0,0,MAX(0,IF((AI$6-$E$3)&lt;1,0,IFERROR(LOOKUP(2,1/('Feijão 1ª safra'!$E39:INDEX('Feijão 1ª safra'!$E39:$Z39,MIN(AI$6-$E$3,22))&lt;&gt;""),'Feijão 1ª safra'!$E39:INDEX('Feijão 1ª safra'!$E39:$Z39,MIN(AI$6-$E$3,22))),0))-IF($G$2,0,IF((AI$6-$G$3)&lt;1,0,IFERROR(LOOKUP(2,1/('Feijão 1ª safra'!$E39:INDEX('Feijão 1ª safra'!$E39:$Z39,MIN(AI$6-$G$3,22))&lt;&gt;""),'Feijão 1ª safra'!$E39:INDEX('Feijão 1ª safra'!$E39:$Z39,MIN(AI$6-$G$3,22))),0)))))</f>
        <v>0</v>
      </c>
      <c r="AJ41" s="27" t="n">
        <f aca="false">IF(COUNT('Feijão 1ª safra'!$E39:$Z39)=0,0,MAX(0,IF((AJ$6-$E$3)&lt;1,0,IFERROR(LOOKUP(2,1/('Feijão 1ª safra'!$E39:INDEX('Feijão 1ª safra'!$E39:$Z39,MIN(AJ$6-$E$3,22))&lt;&gt;""),'Feijão 1ª safra'!$E39:INDEX('Feijão 1ª safra'!$E39:$Z39,MIN(AJ$6-$E$3,22))),0))-IF($G$2,0,IF((AJ$6-$G$3)&lt;1,0,IFERROR(LOOKUP(2,1/('Feijão 1ª safra'!$E39:INDEX('Feijão 1ª safra'!$E39:$Z39,MIN(AJ$6-$G$3,22))&lt;&gt;""),'Feijão 1ª safra'!$E39:INDEX('Feijão 1ª safra'!$E39:$Z39,MIN(AJ$6-$G$3,22))),0)))))</f>
        <v>0</v>
      </c>
      <c r="AK41" s="27" t="n">
        <f aca="false">IF(COUNT('Feijão 1ª safra'!$E39:$Z39)=0,0,MAX(0,IF((AK$6-$E$3)&lt;1,0,IFERROR(LOOKUP(2,1/('Feijão 1ª safra'!$E39:INDEX('Feijão 1ª safra'!$E39:$Z39,MIN(AK$6-$E$3,22))&lt;&gt;""),'Feijão 1ª safra'!$E39:INDEX('Feijão 1ª safra'!$E39:$Z39,MIN(AK$6-$E$3,22))),0))-IF($G$2,0,IF((AK$6-$G$3)&lt;1,0,IFERROR(LOOKUP(2,1/('Feijão 1ª safra'!$E39:INDEX('Feijão 1ª safra'!$E39:$Z39,MIN(AK$6-$G$3,22))&lt;&gt;""),'Feijão 1ª safra'!$E39:INDEX('Feijão 1ª safra'!$E39:$Z39,MIN(AK$6-$G$3,22))),0)))))</f>
        <v>0</v>
      </c>
      <c r="AL41" s="27" t="n">
        <f aca="false">IF(COUNT('Feijão 1ª safra'!$E39:$Z39)=0,0,MAX(0,IF((AL$6-$E$3)&lt;1,0,IFERROR(LOOKUP(2,1/('Feijão 1ª safra'!$E39:INDEX('Feijão 1ª safra'!$E39:$Z39,MIN(AL$6-$E$3,22))&lt;&gt;""),'Feijão 1ª safra'!$E39:INDEX('Feijão 1ª safra'!$E39:$Z39,MIN(AL$6-$E$3,22))),0))-IF($G$2,0,IF((AL$6-$G$3)&lt;1,0,IFERROR(LOOKUP(2,1/('Feijão 1ª safra'!$E39:INDEX('Feijão 1ª safra'!$E39:$Z39,MIN(AL$6-$G$3,22))&lt;&gt;""),'Feijão 1ª safra'!$E39:INDEX('Feijão 1ª safra'!$E39:$Z39,MIN(AL$6-$G$3,22))),0)))))</f>
        <v>0</v>
      </c>
      <c r="AM41" s="27" t="n">
        <f aca="false">IF(COUNT('Feijão 1ª safra'!$E39:$Z39)=0,0,MAX(0,IF((AM$6-$E$3)&lt;1,0,IFERROR(LOOKUP(2,1/('Feijão 1ª safra'!$E39:INDEX('Feijão 1ª safra'!$E39:$Z39,MIN(AM$6-$E$3,22))&lt;&gt;""),'Feijão 1ª safra'!$E39:INDEX('Feijão 1ª safra'!$E39:$Z39,MIN(AM$6-$E$3,22))),0))-IF($G$2,0,IF((AM$6-$G$3)&lt;1,0,IFERROR(LOOKUP(2,1/('Feijão 1ª safra'!$E39:INDEX('Feijão 1ª safra'!$E39:$Z39,MIN(AM$6-$G$3,22))&lt;&gt;""),'Feijão 1ª safra'!$E39:INDEX('Feijão 1ª safra'!$E39:$Z39,MIN(AM$6-$G$3,22))),0)))))</f>
        <v>0</v>
      </c>
      <c r="AN41" s="27" t="n">
        <f aca="false">IF(COUNT('Feijão 1ª safra'!$E39:$Z39)=0,0,MAX(0,IF((AN$6-$E$3)&lt;1,0,IFERROR(LOOKUP(2,1/('Feijão 1ª safra'!$E39:INDEX('Feijão 1ª safra'!$E39:$Z39,MIN(AN$6-$E$3,22))&lt;&gt;""),'Feijão 1ª safra'!$E39:INDEX('Feijão 1ª safra'!$E39:$Z39,MIN(AN$6-$E$3,22))),0))-IF($G$2,0,IF((AN$6-$G$3)&lt;1,0,IFERROR(LOOKUP(2,1/('Feijão 1ª safra'!$E39:INDEX('Feijão 1ª safra'!$E39:$Z39,MIN(AN$6-$G$3,22))&lt;&gt;""),'Feijão 1ª safra'!$E39:INDEX('Feijão 1ª safra'!$E39:$Z39,MIN(AN$6-$G$3,22))),0)))))</f>
        <v>0</v>
      </c>
      <c r="AO41" s="27" t="n">
        <f aca="false">IF(COUNT('Feijão 1ª safra'!$E39:$Z39)=0,0,MAX(0,IF((AO$6-$E$3)&lt;1,0,IFERROR(LOOKUP(2,1/('Feijão 1ª safra'!$E39:INDEX('Feijão 1ª safra'!$E39:$Z39,MIN(AO$6-$E$3,22))&lt;&gt;""),'Feijão 1ª safra'!$E39:INDEX('Feijão 1ª safra'!$E39:$Z39,MIN(AO$6-$E$3,22))),0))-IF($G$2,0,IF((AO$6-$G$3)&lt;1,0,IFERROR(LOOKUP(2,1/('Feijão 1ª safra'!$E39:INDEX('Feijão 1ª safra'!$E39:$Z39,MIN(AO$6-$G$3,22))&lt;&gt;""),'Feijão 1ª safra'!$E39:INDEX('Feijão 1ª safra'!$E39:$Z39,MIN(AO$6-$G$3,22))),0)))))</f>
        <v>0</v>
      </c>
      <c r="AP41" s="27" t="n">
        <f aca="false">IF(COUNT('Feijão 1ª safra'!$E39:$Z39)=0,0,MAX(0,IF((AP$6-$E$3)&lt;1,0,IFERROR(LOOKUP(2,1/('Feijão 1ª safra'!$E39:INDEX('Feijão 1ª safra'!$E39:$Z39,MIN(AP$6-$E$3,22))&lt;&gt;""),'Feijão 1ª safra'!$E39:INDEX('Feijão 1ª safra'!$E39:$Z39,MIN(AP$6-$E$3,22))),0))-IF($G$2,0,IF((AP$6-$G$3)&lt;1,0,IFERROR(LOOKUP(2,1/('Feijão 1ª safra'!$E39:INDEX('Feijão 1ª safra'!$E39:$Z39,MIN(AP$6-$G$3,22))&lt;&gt;""),'Feijão 1ª safra'!$E39:INDEX('Feijão 1ª safra'!$E39:$Z39,MIN(AP$6-$G$3,22))),0)))))</f>
        <v>0</v>
      </c>
      <c r="AQ41" s="27" t="n">
        <f aca="false">IF(COUNT('Feijão 1ª safra'!$E39:$Z39)=0,0,MAX(0,IF((AQ$6-$E$3)&lt;1,0,IFERROR(LOOKUP(2,1/('Feijão 1ª safra'!$E39:INDEX('Feijão 1ª safra'!$E39:$Z39,MIN(AQ$6-$E$3,22))&lt;&gt;""),'Feijão 1ª safra'!$E39:INDEX('Feijão 1ª safra'!$E39:$Z39,MIN(AQ$6-$E$3,22))),0))-IF($G$2,0,IF((AQ$6-$G$3)&lt;1,0,IFERROR(LOOKUP(2,1/('Feijão 1ª safra'!$E39:INDEX('Feijão 1ª safra'!$E39:$Z39,MIN(AQ$6-$G$3,22))&lt;&gt;""),'Feijão 1ª safra'!$E39:INDEX('Feijão 1ª safra'!$E39:$Z39,MIN(AQ$6-$G$3,22))),0)))))</f>
        <v>0</v>
      </c>
      <c r="AR41" s="27" t="n">
        <f aca="false">IF(COUNT('Feijão 1ª safra'!$E39:$Z39)=0,0,MAX(0,IF((AR$6-$E$3)&lt;1,0,IFERROR(LOOKUP(2,1/('Feijão 1ª safra'!$E39:INDEX('Feijão 1ª safra'!$E39:$Z39,MIN(AR$6-$E$3,22))&lt;&gt;""),'Feijão 1ª safra'!$E39:INDEX('Feijão 1ª safra'!$E39:$Z39,MIN(AR$6-$E$3,22))),0))-IF($G$2,0,IF((AR$6-$G$3)&lt;1,0,IFERROR(LOOKUP(2,1/('Feijão 1ª safra'!$E39:INDEX('Feijão 1ª safra'!$E39:$Z39,MIN(AR$6-$G$3,22))&lt;&gt;""),'Feijão 1ª safra'!$E39:INDEX('Feijão 1ª safra'!$E39:$Z39,MIN(AR$6-$G$3,22))),0)))))</f>
        <v>0</v>
      </c>
      <c r="AS41" s="27" t="n">
        <f aca="false">IF(COUNT('Feijão 1ª safra'!$E39:$Z39)=0,0,MAX(0,IF((AS$6-$E$3)&lt;1,0,IFERROR(LOOKUP(2,1/('Feijão 1ª safra'!$E39:INDEX('Feijão 1ª safra'!$E39:$Z39,MIN(AS$6-$E$3,22))&lt;&gt;""),'Feijão 1ª safra'!$E39:INDEX('Feijão 1ª safra'!$E39:$Z39,MIN(AS$6-$E$3,22))),0))-IF($G$2,0,IF((AS$6-$G$3)&lt;1,0,IFERROR(LOOKUP(2,1/('Feijão 1ª safra'!$E39:INDEX('Feijão 1ª safra'!$E39:$Z39,MIN(AS$6-$G$3,22))&lt;&gt;""),'Feijão 1ª safra'!$E39:INDEX('Feijão 1ª safra'!$E39:$Z39,MIN(AS$6-$G$3,22))),0)))))</f>
        <v>0</v>
      </c>
      <c r="AT41" s="27" t="n">
        <f aca="false">IF(COUNT('Feijão 1ª safra'!$E39:$Z39)=0,0,MAX(0,IF((AT$6-$E$3)&lt;1,0,IFERROR(LOOKUP(2,1/('Feijão 1ª safra'!$E39:INDEX('Feijão 1ª safra'!$E39:$Z39,MIN(AT$6-$E$3,22))&lt;&gt;""),'Feijão 1ª safra'!$E39:INDEX('Feijão 1ª safra'!$E39:$Z39,MIN(AT$6-$E$3,22))),0))-IF($G$2,0,IF((AT$6-$G$3)&lt;1,0,IFERROR(LOOKUP(2,1/('Feijão 1ª safra'!$E39:INDEX('Feijão 1ª safra'!$E39:$Z39,MIN(AT$6-$G$3,22))&lt;&gt;""),'Feijão 1ª safra'!$E39:INDEX('Feijão 1ª safra'!$E39:$Z39,MIN(AT$6-$G$3,22))),0)))))</f>
        <v>0</v>
      </c>
      <c r="AU41" s="27" t="n">
        <f aca="false">IF(COUNT('Feijão 1ª safra'!$E39:$Z39)=0,0,MAX(0,IF((AU$6-$E$3)&lt;1,0,IFERROR(LOOKUP(2,1/('Feijão 1ª safra'!$E39:INDEX('Feijão 1ª safra'!$E39:$Z39,MIN(AU$6-$E$3,22))&lt;&gt;""),'Feijão 1ª safra'!$E39:INDEX('Feijão 1ª safra'!$E39:$Z39,MIN(AU$6-$E$3,22))),0))-IF($G$2,0,IF((AU$6-$G$3)&lt;1,0,IFERROR(LOOKUP(2,1/('Feijão 1ª safra'!$E39:INDEX('Feijão 1ª safra'!$E39:$Z39,MIN(AU$6-$G$3,22))&lt;&gt;""),'Feijão 1ª safra'!$E39:INDEX('Feijão 1ª safra'!$E39:$Z39,MIN(AU$6-$G$3,22))),0)))))</f>
        <v>0</v>
      </c>
      <c r="AV41" s="27" t="n">
        <f aca="false">IF(COUNT('Feijão 1ª safra'!$E39:$Z39)=0,0,MAX(0,IF((AV$6-$E$3)&lt;1,0,IFERROR(LOOKUP(2,1/('Feijão 1ª safra'!$E39:INDEX('Feijão 1ª safra'!$E39:$Z39,MIN(AV$6-$E$3,22))&lt;&gt;""),'Feijão 1ª safra'!$E39:INDEX('Feijão 1ª safra'!$E39:$Z39,MIN(AV$6-$E$3,22))),0))-IF($G$2,0,IF((AV$6-$G$3)&lt;1,0,IFERROR(LOOKUP(2,1/('Feijão 1ª safra'!$E39:INDEX('Feijão 1ª safra'!$E39:$Z39,MIN(AV$6-$G$3,22))&lt;&gt;""),'Feijão 1ª safra'!$E39:INDEX('Feijão 1ª safra'!$E39:$Z39,MIN(AV$6-$G$3,22))),0)))))</f>
        <v>0</v>
      </c>
      <c r="AW41" s="27" t="n">
        <f aca="false">IF(COUNT('Feijão 1ª safra'!$E39:$Z39)=0,0,MAX(0,IF((AW$6-$E$3)&lt;1,0,IFERROR(LOOKUP(2,1/('Feijão 1ª safra'!$E39:INDEX('Feijão 1ª safra'!$E39:$Z39,MIN(AW$6-$E$3,22))&lt;&gt;""),'Feijão 1ª safra'!$E39:INDEX('Feijão 1ª safra'!$E39:$Z39,MIN(AW$6-$E$3,22))),0))-IF($G$2,0,IF((AW$6-$G$3)&lt;1,0,IFERROR(LOOKUP(2,1/('Feijão 1ª safra'!$E39:INDEX('Feijão 1ª safra'!$E39:$Z39,MIN(AW$6-$G$3,22))&lt;&gt;""),'Feijão 1ª safra'!$E39:INDEX('Feijão 1ª safra'!$E39:$Z39,MIN(AW$6-$G$3,22))),0)))))</f>
        <v>0</v>
      </c>
      <c r="AX41" s="27" t="n">
        <f aca="false">IF(COUNT('Feijão 1ª safra'!$E39:$Z39)=0,0,MAX(0,IF((AX$6-$E$3)&lt;1,0,IFERROR(LOOKUP(2,1/('Feijão 1ª safra'!$E39:INDEX('Feijão 1ª safra'!$E39:$Z39,MIN(AX$6-$E$3,22))&lt;&gt;""),'Feijão 1ª safra'!$E39:INDEX('Feijão 1ª safra'!$E39:$Z39,MIN(AX$6-$E$3,22))),0))-IF($G$2,0,IF((AX$6-$G$3)&lt;1,0,IFERROR(LOOKUP(2,1/('Feijão 1ª safra'!$E39:INDEX('Feijão 1ª safra'!$E39:$Z39,MIN(AX$6-$G$3,22))&lt;&gt;""),'Feijão 1ª safra'!$E39:INDEX('Feijão 1ª safra'!$E39:$Z39,MIN(AX$6-$G$3,22))),0)))))</f>
        <v>0</v>
      </c>
      <c r="AY41" s="27" t="n">
        <f aca="false">IF(COUNT('Feijão 1ª safra'!$E39:$Z39)=0,0,MAX(0,IF((AY$6-$E$3)&lt;1,0,IFERROR(LOOKUP(2,1/('Feijão 1ª safra'!$E39:INDEX('Feijão 1ª safra'!$E39:$Z39,MIN(AY$6-$E$3,22))&lt;&gt;""),'Feijão 1ª safra'!$E39:INDEX('Feijão 1ª safra'!$E39:$Z39,MIN(AY$6-$E$3,22))),0))-IF($G$2,0,IF((AY$6-$G$3)&lt;1,0,IFERROR(LOOKUP(2,1/('Feijão 1ª safra'!$E39:INDEX('Feijão 1ª safra'!$E39:$Z39,MIN(AY$6-$G$3,22))&lt;&gt;""),'Feijão 1ª safra'!$E39:INDEX('Feijão 1ª safra'!$E39:$Z39,MIN(AY$6-$G$3,22))),0)))))</f>
        <v>0</v>
      </c>
      <c r="AZ41" s="27" t="n">
        <f aca="false">IF(COUNT('Feijão 1ª safra'!$E39:$Z39)=0,0,MAX(0,IF((AZ$6-$E$3)&lt;1,0,IFERROR(LOOKUP(2,1/('Feijão 1ª safra'!$E39:INDEX('Feijão 1ª safra'!$E39:$Z39,MIN(AZ$6-$E$3,22))&lt;&gt;""),'Feijão 1ª safra'!$E39:INDEX('Feijão 1ª safra'!$E39:$Z39,MIN(AZ$6-$E$3,22))),0))-IF($G$2,0,IF((AZ$6-$G$3)&lt;1,0,IFERROR(LOOKUP(2,1/('Feijão 1ª safra'!$E39:INDEX('Feijão 1ª safra'!$E39:$Z39,MIN(AZ$6-$G$3,22))&lt;&gt;""),'Feijão 1ª safra'!$E39:INDEX('Feijão 1ª safra'!$E39:$Z39,MIN(AZ$6-$G$3,22))),0)))))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IF(COUNT('Feijão 1ª safra'!$E40:$Z40)&gt;0,N('Feijão 1ª safra'!$D40),0)</f>
        <v>0</v>
      </c>
      <c r="E42" s="27" t="n">
        <f aca="false">IF(COUNT('Feijão 1ª safra'!$E40:$Z40)=0,0,MAX(0,IF((E$6-$E$3)&lt;1,0,IFERROR(LOOKUP(2,1/('Feijão 1ª safra'!$E40:INDEX('Feijão 1ª safra'!$E40:$Z40,MIN(E$6-$E$3,22))&lt;&gt;""),'Feijão 1ª safra'!$E40:INDEX('Feijão 1ª safra'!$E40:$Z40,MIN(E$6-$E$3,22))),0))-IF($G$2,0,IF((E$6-$G$3)&lt;1,0,IFERROR(LOOKUP(2,1/('Feijão 1ª safra'!$E40:INDEX('Feijão 1ª safra'!$E40:$Z40,MIN(E$6-$G$3,22))&lt;&gt;""),'Feijão 1ª safra'!$E40:INDEX('Feijão 1ª safra'!$E40:$Z40,MIN(E$6-$G$3,22))),0)))))</f>
        <v>0</v>
      </c>
      <c r="F42" s="27" t="n">
        <f aca="false">IF(COUNT('Feijão 1ª safra'!$E40:$Z40)=0,0,MAX(0,IF((F$6-$E$3)&lt;1,0,IFERROR(LOOKUP(2,1/('Feijão 1ª safra'!$E40:INDEX('Feijão 1ª safra'!$E40:$Z40,MIN(F$6-$E$3,22))&lt;&gt;""),'Feijão 1ª safra'!$E40:INDEX('Feijão 1ª safra'!$E40:$Z40,MIN(F$6-$E$3,22))),0))-IF($G$2,0,IF((F$6-$G$3)&lt;1,0,IFERROR(LOOKUP(2,1/('Feijão 1ª safra'!$E40:INDEX('Feijão 1ª safra'!$E40:$Z40,MIN(F$6-$G$3,22))&lt;&gt;""),'Feijão 1ª safra'!$E40:INDEX('Feijão 1ª safra'!$E40:$Z40,MIN(F$6-$G$3,22))),0)))))</f>
        <v>0</v>
      </c>
      <c r="G42" s="27" t="n">
        <f aca="false">IF(COUNT('Feijão 1ª safra'!$E40:$Z40)=0,0,MAX(0,IF((G$6-$E$3)&lt;1,0,IFERROR(LOOKUP(2,1/('Feijão 1ª safra'!$E40:INDEX('Feijão 1ª safra'!$E40:$Z40,MIN(G$6-$E$3,22))&lt;&gt;""),'Feijão 1ª safra'!$E40:INDEX('Feijão 1ª safra'!$E40:$Z40,MIN(G$6-$E$3,22))),0))-IF($G$2,0,IF((G$6-$G$3)&lt;1,0,IFERROR(LOOKUP(2,1/('Feijão 1ª safra'!$E40:INDEX('Feijão 1ª safra'!$E40:$Z40,MIN(G$6-$G$3,22))&lt;&gt;""),'Feijão 1ª safra'!$E40:INDEX('Feijão 1ª safra'!$E40:$Z40,MIN(G$6-$G$3,22))),0)))))</f>
        <v>0</v>
      </c>
      <c r="H42" s="27" t="n">
        <f aca="false">IF(COUNT('Feijão 1ª safra'!$E40:$Z40)=0,0,MAX(0,IF((H$6-$E$3)&lt;1,0,IFERROR(LOOKUP(2,1/('Feijão 1ª safra'!$E40:INDEX('Feijão 1ª safra'!$E40:$Z40,MIN(H$6-$E$3,22))&lt;&gt;""),'Feijão 1ª safra'!$E40:INDEX('Feijão 1ª safra'!$E40:$Z40,MIN(H$6-$E$3,22))),0))-IF($G$2,0,IF((H$6-$G$3)&lt;1,0,IFERROR(LOOKUP(2,1/('Feijão 1ª safra'!$E40:INDEX('Feijão 1ª safra'!$E40:$Z40,MIN(H$6-$G$3,22))&lt;&gt;""),'Feijão 1ª safra'!$E40:INDEX('Feijão 1ª safra'!$E40:$Z40,MIN(H$6-$G$3,22))),0)))))</f>
        <v>0</v>
      </c>
      <c r="I42" s="27" t="n">
        <f aca="false">IF(COUNT('Feijão 1ª safra'!$E40:$Z40)=0,0,MAX(0,IF((I$6-$E$3)&lt;1,0,IFERROR(LOOKUP(2,1/('Feijão 1ª safra'!$E40:INDEX('Feijão 1ª safra'!$E40:$Z40,MIN(I$6-$E$3,22))&lt;&gt;""),'Feijão 1ª safra'!$E40:INDEX('Feijão 1ª safra'!$E40:$Z40,MIN(I$6-$E$3,22))),0))-IF($G$2,0,IF((I$6-$G$3)&lt;1,0,IFERROR(LOOKUP(2,1/('Feijão 1ª safra'!$E40:INDEX('Feijão 1ª safra'!$E40:$Z40,MIN(I$6-$G$3,22))&lt;&gt;""),'Feijão 1ª safra'!$E40:INDEX('Feijão 1ª safra'!$E40:$Z40,MIN(I$6-$G$3,22))),0)))))</f>
        <v>0</v>
      </c>
      <c r="J42" s="27" t="n">
        <f aca="false">IF(COUNT('Feijão 1ª safra'!$E40:$Z40)=0,0,MAX(0,IF((J$6-$E$3)&lt;1,0,IFERROR(LOOKUP(2,1/('Feijão 1ª safra'!$E40:INDEX('Feijão 1ª safra'!$E40:$Z40,MIN(J$6-$E$3,22))&lt;&gt;""),'Feijão 1ª safra'!$E40:INDEX('Feijão 1ª safra'!$E40:$Z40,MIN(J$6-$E$3,22))),0))-IF($G$2,0,IF((J$6-$G$3)&lt;1,0,IFERROR(LOOKUP(2,1/('Feijão 1ª safra'!$E40:INDEX('Feijão 1ª safra'!$E40:$Z40,MIN(J$6-$G$3,22))&lt;&gt;""),'Feijão 1ª safra'!$E40:INDEX('Feijão 1ª safra'!$E40:$Z40,MIN(J$6-$G$3,22))),0)))))</f>
        <v>0</v>
      </c>
      <c r="K42" s="27" t="n">
        <f aca="false">IF(COUNT('Feijão 1ª safra'!$E40:$Z40)=0,0,MAX(0,IF((K$6-$E$3)&lt;1,0,IFERROR(LOOKUP(2,1/('Feijão 1ª safra'!$E40:INDEX('Feijão 1ª safra'!$E40:$Z40,MIN(K$6-$E$3,22))&lt;&gt;""),'Feijão 1ª safra'!$E40:INDEX('Feijão 1ª safra'!$E40:$Z40,MIN(K$6-$E$3,22))),0))-IF($G$2,0,IF((K$6-$G$3)&lt;1,0,IFERROR(LOOKUP(2,1/('Feijão 1ª safra'!$E40:INDEX('Feijão 1ª safra'!$E40:$Z40,MIN(K$6-$G$3,22))&lt;&gt;""),'Feijão 1ª safra'!$E40:INDEX('Feijão 1ª safra'!$E40:$Z40,MIN(K$6-$G$3,22))),0)))))</f>
        <v>0</v>
      </c>
      <c r="L42" s="27" t="n">
        <f aca="false">IF(COUNT('Feijão 1ª safra'!$E40:$Z40)=0,0,MAX(0,IF((L$6-$E$3)&lt;1,0,IFERROR(LOOKUP(2,1/('Feijão 1ª safra'!$E40:INDEX('Feijão 1ª safra'!$E40:$Z40,MIN(L$6-$E$3,22))&lt;&gt;""),'Feijão 1ª safra'!$E40:INDEX('Feijão 1ª safra'!$E40:$Z40,MIN(L$6-$E$3,22))),0))-IF($G$2,0,IF((L$6-$G$3)&lt;1,0,IFERROR(LOOKUP(2,1/('Feijão 1ª safra'!$E40:INDEX('Feijão 1ª safra'!$E40:$Z40,MIN(L$6-$G$3,22))&lt;&gt;""),'Feijão 1ª safra'!$E40:INDEX('Feijão 1ª safra'!$E40:$Z40,MIN(L$6-$G$3,22))),0)))))</f>
        <v>0</v>
      </c>
      <c r="M42" s="27" t="n">
        <f aca="false">IF(COUNT('Feijão 1ª safra'!$E40:$Z40)=0,0,MAX(0,IF((M$6-$E$3)&lt;1,0,IFERROR(LOOKUP(2,1/('Feijão 1ª safra'!$E40:INDEX('Feijão 1ª safra'!$E40:$Z40,MIN(M$6-$E$3,22))&lt;&gt;""),'Feijão 1ª safra'!$E40:INDEX('Feijão 1ª safra'!$E40:$Z40,MIN(M$6-$E$3,22))),0))-IF($G$2,0,IF((M$6-$G$3)&lt;1,0,IFERROR(LOOKUP(2,1/('Feijão 1ª safra'!$E40:INDEX('Feijão 1ª safra'!$E40:$Z40,MIN(M$6-$G$3,22))&lt;&gt;""),'Feijão 1ª safra'!$E40:INDEX('Feijão 1ª safra'!$E40:$Z40,MIN(M$6-$G$3,22))),0)))))</f>
        <v>0</v>
      </c>
      <c r="N42" s="27" t="n">
        <f aca="false">IF(COUNT('Feijão 1ª safra'!$E40:$Z40)=0,0,MAX(0,IF((N$6-$E$3)&lt;1,0,IFERROR(LOOKUP(2,1/('Feijão 1ª safra'!$E40:INDEX('Feijão 1ª safra'!$E40:$Z40,MIN(N$6-$E$3,22))&lt;&gt;""),'Feijão 1ª safra'!$E40:INDEX('Feijão 1ª safra'!$E40:$Z40,MIN(N$6-$E$3,22))),0))-IF($G$2,0,IF((N$6-$G$3)&lt;1,0,IFERROR(LOOKUP(2,1/('Feijão 1ª safra'!$E40:INDEX('Feijão 1ª safra'!$E40:$Z40,MIN(N$6-$G$3,22))&lt;&gt;""),'Feijão 1ª safra'!$E40:INDEX('Feijão 1ª safra'!$E40:$Z40,MIN(N$6-$G$3,22))),0)))))</f>
        <v>0</v>
      </c>
      <c r="O42" s="27" t="n">
        <f aca="false">IF(COUNT('Feijão 1ª safra'!$E40:$Z40)=0,0,MAX(0,IF((O$6-$E$3)&lt;1,0,IFERROR(LOOKUP(2,1/('Feijão 1ª safra'!$E40:INDEX('Feijão 1ª safra'!$E40:$Z40,MIN(O$6-$E$3,22))&lt;&gt;""),'Feijão 1ª safra'!$E40:INDEX('Feijão 1ª safra'!$E40:$Z40,MIN(O$6-$E$3,22))),0))-IF($G$2,0,IF((O$6-$G$3)&lt;1,0,IFERROR(LOOKUP(2,1/('Feijão 1ª safra'!$E40:INDEX('Feijão 1ª safra'!$E40:$Z40,MIN(O$6-$G$3,22))&lt;&gt;""),'Feijão 1ª safra'!$E40:INDEX('Feijão 1ª safra'!$E40:$Z40,MIN(O$6-$G$3,22))),0)))))</f>
        <v>0</v>
      </c>
      <c r="P42" s="27" t="n">
        <f aca="false">IF(COUNT('Feijão 1ª safra'!$E40:$Z40)=0,0,MAX(0,IF((P$6-$E$3)&lt;1,0,IFERROR(LOOKUP(2,1/('Feijão 1ª safra'!$E40:INDEX('Feijão 1ª safra'!$E40:$Z40,MIN(P$6-$E$3,22))&lt;&gt;""),'Feijão 1ª safra'!$E40:INDEX('Feijão 1ª safra'!$E40:$Z40,MIN(P$6-$E$3,22))),0))-IF($G$2,0,IF((P$6-$G$3)&lt;1,0,IFERROR(LOOKUP(2,1/('Feijão 1ª safra'!$E40:INDEX('Feijão 1ª safra'!$E40:$Z40,MIN(P$6-$G$3,22))&lt;&gt;""),'Feijão 1ª safra'!$E40:INDEX('Feijão 1ª safra'!$E40:$Z40,MIN(P$6-$G$3,22))),0)))))</f>
        <v>0</v>
      </c>
      <c r="Q42" s="27" t="n">
        <f aca="false">IF(COUNT('Feijão 1ª safra'!$E40:$Z40)=0,0,MAX(0,IF((Q$6-$E$3)&lt;1,0,IFERROR(LOOKUP(2,1/('Feijão 1ª safra'!$E40:INDEX('Feijão 1ª safra'!$E40:$Z40,MIN(Q$6-$E$3,22))&lt;&gt;""),'Feijão 1ª safra'!$E40:INDEX('Feijão 1ª safra'!$E40:$Z40,MIN(Q$6-$E$3,22))),0))-IF($G$2,0,IF((Q$6-$G$3)&lt;1,0,IFERROR(LOOKUP(2,1/('Feijão 1ª safra'!$E40:INDEX('Feijão 1ª safra'!$E40:$Z40,MIN(Q$6-$G$3,22))&lt;&gt;""),'Feijão 1ª safra'!$E40:INDEX('Feijão 1ª safra'!$E40:$Z40,MIN(Q$6-$G$3,22))),0)))))</f>
        <v>0</v>
      </c>
      <c r="R42" s="27" t="n">
        <f aca="false">IF(COUNT('Feijão 1ª safra'!$E40:$Z40)=0,0,MAX(0,IF((R$6-$E$3)&lt;1,0,IFERROR(LOOKUP(2,1/('Feijão 1ª safra'!$E40:INDEX('Feijão 1ª safra'!$E40:$Z40,MIN(R$6-$E$3,22))&lt;&gt;""),'Feijão 1ª safra'!$E40:INDEX('Feijão 1ª safra'!$E40:$Z40,MIN(R$6-$E$3,22))),0))-IF($G$2,0,IF((R$6-$G$3)&lt;1,0,IFERROR(LOOKUP(2,1/('Feijão 1ª safra'!$E40:INDEX('Feijão 1ª safra'!$E40:$Z40,MIN(R$6-$G$3,22))&lt;&gt;""),'Feijão 1ª safra'!$E40:INDEX('Feijão 1ª safra'!$E40:$Z40,MIN(R$6-$G$3,22))),0)))))</f>
        <v>0</v>
      </c>
      <c r="S42" s="27" t="n">
        <f aca="false">IF(COUNT('Feijão 1ª safra'!$E40:$Z40)=0,0,MAX(0,IF((S$6-$E$3)&lt;1,0,IFERROR(LOOKUP(2,1/('Feijão 1ª safra'!$E40:INDEX('Feijão 1ª safra'!$E40:$Z40,MIN(S$6-$E$3,22))&lt;&gt;""),'Feijão 1ª safra'!$E40:INDEX('Feijão 1ª safra'!$E40:$Z40,MIN(S$6-$E$3,22))),0))-IF($G$2,0,IF((S$6-$G$3)&lt;1,0,IFERROR(LOOKUP(2,1/('Feijão 1ª safra'!$E40:INDEX('Feijão 1ª safra'!$E40:$Z40,MIN(S$6-$G$3,22))&lt;&gt;""),'Feijão 1ª safra'!$E40:INDEX('Feijão 1ª safra'!$E40:$Z40,MIN(S$6-$G$3,22))),0)))))</f>
        <v>0</v>
      </c>
      <c r="T42" s="27" t="n">
        <f aca="false">IF(COUNT('Feijão 1ª safra'!$E40:$Z40)=0,0,MAX(0,IF((T$6-$E$3)&lt;1,0,IFERROR(LOOKUP(2,1/('Feijão 1ª safra'!$E40:INDEX('Feijão 1ª safra'!$E40:$Z40,MIN(T$6-$E$3,22))&lt;&gt;""),'Feijão 1ª safra'!$E40:INDEX('Feijão 1ª safra'!$E40:$Z40,MIN(T$6-$E$3,22))),0))-IF($G$2,0,IF((T$6-$G$3)&lt;1,0,IFERROR(LOOKUP(2,1/('Feijão 1ª safra'!$E40:INDEX('Feijão 1ª safra'!$E40:$Z40,MIN(T$6-$G$3,22))&lt;&gt;""),'Feijão 1ª safra'!$E40:INDEX('Feijão 1ª safra'!$E40:$Z40,MIN(T$6-$G$3,22))),0)))))</f>
        <v>0</v>
      </c>
      <c r="U42" s="27" t="n">
        <f aca="false">IF(COUNT('Feijão 1ª safra'!$E40:$Z40)=0,0,MAX(0,IF((U$6-$E$3)&lt;1,0,IFERROR(LOOKUP(2,1/('Feijão 1ª safra'!$E40:INDEX('Feijão 1ª safra'!$E40:$Z40,MIN(U$6-$E$3,22))&lt;&gt;""),'Feijão 1ª safra'!$E40:INDEX('Feijão 1ª safra'!$E40:$Z40,MIN(U$6-$E$3,22))),0))-IF($G$2,0,IF((U$6-$G$3)&lt;1,0,IFERROR(LOOKUP(2,1/('Feijão 1ª safra'!$E40:INDEX('Feijão 1ª safra'!$E40:$Z40,MIN(U$6-$G$3,22))&lt;&gt;""),'Feijão 1ª safra'!$E40:INDEX('Feijão 1ª safra'!$E40:$Z40,MIN(U$6-$G$3,22))),0)))))</f>
        <v>0</v>
      </c>
      <c r="V42" s="27" t="n">
        <f aca="false">IF(COUNT('Feijão 1ª safra'!$E40:$Z40)=0,0,MAX(0,IF((V$6-$E$3)&lt;1,0,IFERROR(LOOKUP(2,1/('Feijão 1ª safra'!$E40:INDEX('Feijão 1ª safra'!$E40:$Z40,MIN(V$6-$E$3,22))&lt;&gt;""),'Feijão 1ª safra'!$E40:INDEX('Feijão 1ª safra'!$E40:$Z40,MIN(V$6-$E$3,22))),0))-IF($G$2,0,IF((V$6-$G$3)&lt;1,0,IFERROR(LOOKUP(2,1/('Feijão 1ª safra'!$E40:INDEX('Feijão 1ª safra'!$E40:$Z40,MIN(V$6-$G$3,22))&lt;&gt;""),'Feijão 1ª safra'!$E40:INDEX('Feijão 1ª safra'!$E40:$Z40,MIN(V$6-$G$3,22))),0)))))</f>
        <v>0</v>
      </c>
      <c r="W42" s="27" t="n">
        <f aca="false">IF(COUNT('Feijão 1ª safra'!$E40:$Z40)=0,0,MAX(0,IF((W$6-$E$3)&lt;1,0,IFERROR(LOOKUP(2,1/('Feijão 1ª safra'!$E40:INDEX('Feijão 1ª safra'!$E40:$Z40,MIN(W$6-$E$3,22))&lt;&gt;""),'Feijão 1ª safra'!$E40:INDEX('Feijão 1ª safra'!$E40:$Z40,MIN(W$6-$E$3,22))),0))-IF($G$2,0,IF((W$6-$G$3)&lt;1,0,IFERROR(LOOKUP(2,1/('Feijão 1ª safra'!$E40:INDEX('Feijão 1ª safra'!$E40:$Z40,MIN(W$6-$G$3,22))&lt;&gt;""),'Feijão 1ª safra'!$E40:INDEX('Feijão 1ª safra'!$E40:$Z40,MIN(W$6-$G$3,22))),0)))))</f>
        <v>0</v>
      </c>
      <c r="X42" s="27" t="n">
        <f aca="false">IF(COUNT('Feijão 1ª safra'!$E40:$Z40)=0,0,MAX(0,IF((X$6-$E$3)&lt;1,0,IFERROR(LOOKUP(2,1/('Feijão 1ª safra'!$E40:INDEX('Feijão 1ª safra'!$E40:$Z40,MIN(X$6-$E$3,22))&lt;&gt;""),'Feijão 1ª safra'!$E40:INDEX('Feijão 1ª safra'!$E40:$Z40,MIN(X$6-$E$3,22))),0))-IF($G$2,0,IF((X$6-$G$3)&lt;1,0,IFERROR(LOOKUP(2,1/('Feijão 1ª safra'!$E40:INDEX('Feijão 1ª safra'!$E40:$Z40,MIN(X$6-$G$3,22))&lt;&gt;""),'Feijão 1ª safra'!$E40:INDEX('Feijão 1ª safra'!$E40:$Z40,MIN(X$6-$G$3,22))),0)))))</f>
        <v>0</v>
      </c>
      <c r="Y42" s="27" t="n">
        <f aca="false">IF(COUNT('Feijão 1ª safra'!$E40:$Z40)=0,0,MAX(0,IF((Y$6-$E$3)&lt;1,0,IFERROR(LOOKUP(2,1/('Feijão 1ª safra'!$E40:INDEX('Feijão 1ª safra'!$E40:$Z40,MIN(Y$6-$E$3,22))&lt;&gt;""),'Feijão 1ª safra'!$E40:INDEX('Feijão 1ª safra'!$E40:$Z40,MIN(Y$6-$E$3,22))),0))-IF($G$2,0,IF((Y$6-$G$3)&lt;1,0,IFERROR(LOOKUP(2,1/('Feijão 1ª safra'!$E40:INDEX('Feijão 1ª safra'!$E40:$Z40,MIN(Y$6-$G$3,22))&lt;&gt;""),'Feijão 1ª safra'!$E40:INDEX('Feijão 1ª safra'!$E40:$Z40,MIN(Y$6-$G$3,22))),0)))))</f>
        <v>0</v>
      </c>
      <c r="Z42" s="27" t="n">
        <f aca="false">IF(COUNT('Feijão 1ª safra'!$E40:$Z40)=0,0,MAX(0,IF((Z$6-$E$3)&lt;1,0,IFERROR(LOOKUP(2,1/('Feijão 1ª safra'!$E40:INDEX('Feijão 1ª safra'!$E40:$Z40,MIN(Z$6-$E$3,22))&lt;&gt;""),'Feijão 1ª safra'!$E40:INDEX('Feijão 1ª safra'!$E40:$Z40,MIN(Z$6-$E$3,22))),0))-IF($G$2,0,IF((Z$6-$G$3)&lt;1,0,IFERROR(LOOKUP(2,1/('Feijão 1ª safra'!$E40:INDEX('Feijão 1ª safra'!$E40:$Z40,MIN(Z$6-$G$3,22))&lt;&gt;""),'Feijão 1ª safra'!$E40:INDEX('Feijão 1ª safra'!$E40:$Z40,MIN(Z$6-$G$3,22))),0)))))</f>
        <v>0</v>
      </c>
      <c r="AA42" s="27" t="n">
        <f aca="false">IF(COUNT('Feijão 1ª safra'!$E40:$Z40)=0,0,MAX(0,IF((AA$6-$E$3)&lt;1,0,IFERROR(LOOKUP(2,1/('Feijão 1ª safra'!$E40:INDEX('Feijão 1ª safra'!$E40:$Z40,MIN(AA$6-$E$3,22))&lt;&gt;""),'Feijão 1ª safra'!$E40:INDEX('Feijão 1ª safra'!$E40:$Z40,MIN(AA$6-$E$3,22))),0))-IF($G$2,0,IF((AA$6-$G$3)&lt;1,0,IFERROR(LOOKUP(2,1/('Feijão 1ª safra'!$E40:INDEX('Feijão 1ª safra'!$E40:$Z40,MIN(AA$6-$G$3,22))&lt;&gt;""),'Feijão 1ª safra'!$E40:INDEX('Feijão 1ª safra'!$E40:$Z40,MIN(AA$6-$G$3,22))),0)))))</f>
        <v>0</v>
      </c>
      <c r="AB42" s="27" t="n">
        <f aca="false">IF(COUNT('Feijão 1ª safra'!$E40:$Z40)=0,0,MAX(0,IF((AB$6-$E$3)&lt;1,0,IFERROR(LOOKUP(2,1/('Feijão 1ª safra'!$E40:INDEX('Feijão 1ª safra'!$E40:$Z40,MIN(AB$6-$E$3,22))&lt;&gt;""),'Feijão 1ª safra'!$E40:INDEX('Feijão 1ª safra'!$E40:$Z40,MIN(AB$6-$E$3,22))),0))-IF($G$2,0,IF((AB$6-$G$3)&lt;1,0,IFERROR(LOOKUP(2,1/('Feijão 1ª safra'!$E40:INDEX('Feijão 1ª safra'!$E40:$Z40,MIN(AB$6-$G$3,22))&lt;&gt;""),'Feijão 1ª safra'!$E40:INDEX('Feijão 1ª safra'!$E40:$Z40,MIN(AB$6-$G$3,22))),0)))))</f>
        <v>0</v>
      </c>
      <c r="AC42" s="27" t="n">
        <f aca="false">IF(COUNT('Feijão 1ª safra'!$E40:$Z40)=0,0,MAX(0,IF((AC$6-$E$3)&lt;1,0,IFERROR(LOOKUP(2,1/('Feijão 1ª safra'!$E40:INDEX('Feijão 1ª safra'!$E40:$Z40,MIN(AC$6-$E$3,22))&lt;&gt;""),'Feijão 1ª safra'!$E40:INDEX('Feijão 1ª safra'!$E40:$Z40,MIN(AC$6-$E$3,22))),0))-IF($G$2,0,IF((AC$6-$G$3)&lt;1,0,IFERROR(LOOKUP(2,1/('Feijão 1ª safra'!$E40:INDEX('Feijão 1ª safra'!$E40:$Z40,MIN(AC$6-$G$3,22))&lt;&gt;""),'Feijão 1ª safra'!$E40:INDEX('Feijão 1ª safra'!$E40:$Z40,MIN(AC$6-$G$3,22))),0)))))</f>
        <v>0</v>
      </c>
      <c r="AD42" s="27" t="n">
        <f aca="false">IF(COUNT('Feijão 1ª safra'!$E40:$Z40)=0,0,MAX(0,IF((AD$6-$E$3)&lt;1,0,IFERROR(LOOKUP(2,1/('Feijão 1ª safra'!$E40:INDEX('Feijão 1ª safra'!$E40:$Z40,MIN(AD$6-$E$3,22))&lt;&gt;""),'Feijão 1ª safra'!$E40:INDEX('Feijão 1ª safra'!$E40:$Z40,MIN(AD$6-$E$3,22))),0))-IF($G$2,0,IF((AD$6-$G$3)&lt;1,0,IFERROR(LOOKUP(2,1/('Feijão 1ª safra'!$E40:INDEX('Feijão 1ª safra'!$E40:$Z40,MIN(AD$6-$G$3,22))&lt;&gt;""),'Feijão 1ª safra'!$E40:INDEX('Feijão 1ª safra'!$E40:$Z40,MIN(AD$6-$G$3,22))),0)))))</f>
        <v>0</v>
      </c>
      <c r="AE42" s="27" t="n">
        <f aca="false">IF(COUNT('Feijão 1ª safra'!$E40:$Z40)=0,0,MAX(0,IF((AE$6-$E$3)&lt;1,0,IFERROR(LOOKUP(2,1/('Feijão 1ª safra'!$E40:INDEX('Feijão 1ª safra'!$E40:$Z40,MIN(AE$6-$E$3,22))&lt;&gt;""),'Feijão 1ª safra'!$E40:INDEX('Feijão 1ª safra'!$E40:$Z40,MIN(AE$6-$E$3,22))),0))-IF($G$2,0,IF((AE$6-$G$3)&lt;1,0,IFERROR(LOOKUP(2,1/('Feijão 1ª safra'!$E40:INDEX('Feijão 1ª safra'!$E40:$Z40,MIN(AE$6-$G$3,22))&lt;&gt;""),'Feijão 1ª safra'!$E40:INDEX('Feijão 1ª safra'!$E40:$Z40,MIN(AE$6-$G$3,22))),0)))))</f>
        <v>0</v>
      </c>
      <c r="AF42" s="27" t="n">
        <f aca="false">IF(COUNT('Feijão 1ª safra'!$E40:$Z40)=0,0,MAX(0,IF((AF$6-$E$3)&lt;1,0,IFERROR(LOOKUP(2,1/('Feijão 1ª safra'!$E40:INDEX('Feijão 1ª safra'!$E40:$Z40,MIN(AF$6-$E$3,22))&lt;&gt;""),'Feijão 1ª safra'!$E40:INDEX('Feijão 1ª safra'!$E40:$Z40,MIN(AF$6-$E$3,22))),0))-IF($G$2,0,IF((AF$6-$G$3)&lt;1,0,IFERROR(LOOKUP(2,1/('Feijão 1ª safra'!$E40:INDEX('Feijão 1ª safra'!$E40:$Z40,MIN(AF$6-$G$3,22))&lt;&gt;""),'Feijão 1ª safra'!$E40:INDEX('Feijão 1ª safra'!$E40:$Z40,MIN(AF$6-$G$3,22))),0)))))</f>
        <v>0</v>
      </c>
      <c r="AG42" s="27" t="n">
        <f aca="false">IF(COUNT('Feijão 1ª safra'!$E40:$Z40)=0,0,MAX(0,IF((AG$6-$E$3)&lt;1,0,IFERROR(LOOKUP(2,1/('Feijão 1ª safra'!$E40:INDEX('Feijão 1ª safra'!$E40:$Z40,MIN(AG$6-$E$3,22))&lt;&gt;""),'Feijão 1ª safra'!$E40:INDEX('Feijão 1ª safra'!$E40:$Z40,MIN(AG$6-$E$3,22))),0))-IF($G$2,0,IF((AG$6-$G$3)&lt;1,0,IFERROR(LOOKUP(2,1/('Feijão 1ª safra'!$E40:INDEX('Feijão 1ª safra'!$E40:$Z40,MIN(AG$6-$G$3,22))&lt;&gt;""),'Feijão 1ª safra'!$E40:INDEX('Feijão 1ª safra'!$E40:$Z40,MIN(AG$6-$G$3,22))),0)))))</f>
        <v>0</v>
      </c>
      <c r="AH42" s="27" t="n">
        <f aca="false">IF(COUNT('Feijão 1ª safra'!$E40:$Z40)=0,0,MAX(0,IF((AH$6-$E$3)&lt;1,0,IFERROR(LOOKUP(2,1/('Feijão 1ª safra'!$E40:INDEX('Feijão 1ª safra'!$E40:$Z40,MIN(AH$6-$E$3,22))&lt;&gt;""),'Feijão 1ª safra'!$E40:INDEX('Feijão 1ª safra'!$E40:$Z40,MIN(AH$6-$E$3,22))),0))-IF($G$2,0,IF((AH$6-$G$3)&lt;1,0,IFERROR(LOOKUP(2,1/('Feijão 1ª safra'!$E40:INDEX('Feijão 1ª safra'!$E40:$Z40,MIN(AH$6-$G$3,22))&lt;&gt;""),'Feijão 1ª safra'!$E40:INDEX('Feijão 1ª safra'!$E40:$Z40,MIN(AH$6-$G$3,22))),0)))))</f>
        <v>0</v>
      </c>
      <c r="AI42" s="27" t="n">
        <f aca="false">IF(COUNT('Feijão 1ª safra'!$E40:$Z40)=0,0,MAX(0,IF((AI$6-$E$3)&lt;1,0,IFERROR(LOOKUP(2,1/('Feijão 1ª safra'!$E40:INDEX('Feijão 1ª safra'!$E40:$Z40,MIN(AI$6-$E$3,22))&lt;&gt;""),'Feijão 1ª safra'!$E40:INDEX('Feijão 1ª safra'!$E40:$Z40,MIN(AI$6-$E$3,22))),0))-IF($G$2,0,IF((AI$6-$G$3)&lt;1,0,IFERROR(LOOKUP(2,1/('Feijão 1ª safra'!$E40:INDEX('Feijão 1ª safra'!$E40:$Z40,MIN(AI$6-$G$3,22))&lt;&gt;""),'Feijão 1ª safra'!$E40:INDEX('Feijão 1ª safra'!$E40:$Z40,MIN(AI$6-$G$3,22))),0)))))</f>
        <v>0</v>
      </c>
      <c r="AJ42" s="27" t="n">
        <f aca="false">IF(COUNT('Feijão 1ª safra'!$E40:$Z40)=0,0,MAX(0,IF((AJ$6-$E$3)&lt;1,0,IFERROR(LOOKUP(2,1/('Feijão 1ª safra'!$E40:INDEX('Feijão 1ª safra'!$E40:$Z40,MIN(AJ$6-$E$3,22))&lt;&gt;""),'Feijão 1ª safra'!$E40:INDEX('Feijão 1ª safra'!$E40:$Z40,MIN(AJ$6-$E$3,22))),0))-IF($G$2,0,IF((AJ$6-$G$3)&lt;1,0,IFERROR(LOOKUP(2,1/('Feijão 1ª safra'!$E40:INDEX('Feijão 1ª safra'!$E40:$Z40,MIN(AJ$6-$G$3,22))&lt;&gt;""),'Feijão 1ª safra'!$E40:INDEX('Feijão 1ª safra'!$E40:$Z40,MIN(AJ$6-$G$3,22))),0)))))</f>
        <v>0</v>
      </c>
      <c r="AK42" s="27" t="n">
        <f aca="false">IF(COUNT('Feijão 1ª safra'!$E40:$Z40)=0,0,MAX(0,IF((AK$6-$E$3)&lt;1,0,IFERROR(LOOKUP(2,1/('Feijão 1ª safra'!$E40:INDEX('Feijão 1ª safra'!$E40:$Z40,MIN(AK$6-$E$3,22))&lt;&gt;""),'Feijão 1ª safra'!$E40:INDEX('Feijão 1ª safra'!$E40:$Z40,MIN(AK$6-$E$3,22))),0))-IF($G$2,0,IF((AK$6-$G$3)&lt;1,0,IFERROR(LOOKUP(2,1/('Feijão 1ª safra'!$E40:INDEX('Feijão 1ª safra'!$E40:$Z40,MIN(AK$6-$G$3,22))&lt;&gt;""),'Feijão 1ª safra'!$E40:INDEX('Feijão 1ª safra'!$E40:$Z40,MIN(AK$6-$G$3,22))),0)))))</f>
        <v>0</v>
      </c>
      <c r="AL42" s="27" t="n">
        <f aca="false">IF(COUNT('Feijão 1ª safra'!$E40:$Z40)=0,0,MAX(0,IF((AL$6-$E$3)&lt;1,0,IFERROR(LOOKUP(2,1/('Feijão 1ª safra'!$E40:INDEX('Feijão 1ª safra'!$E40:$Z40,MIN(AL$6-$E$3,22))&lt;&gt;""),'Feijão 1ª safra'!$E40:INDEX('Feijão 1ª safra'!$E40:$Z40,MIN(AL$6-$E$3,22))),0))-IF($G$2,0,IF((AL$6-$G$3)&lt;1,0,IFERROR(LOOKUP(2,1/('Feijão 1ª safra'!$E40:INDEX('Feijão 1ª safra'!$E40:$Z40,MIN(AL$6-$G$3,22))&lt;&gt;""),'Feijão 1ª safra'!$E40:INDEX('Feijão 1ª safra'!$E40:$Z40,MIN(AL$6-$G$3,22))),0)))))</f>
        <v>0</v>
      </c>
      <c r="AM42" s="27" t="n">
        <f aca="false">IF(COUNT('Feijão 1ª safra'!$E40:$Z40)=0,0,MAX(0,IF((AM$6-$E$3)&lt;1,0,IFERROR(LOOKUP(2,1/('Feijão 1ª safra'!$E40:INDEX('Feijão 1ª safra'!$E40:$Z40,MIN(AM$6-$E$3,22))&lt;&gt;""),'Feijão 1ª safra'!$E40:INDEX('Feijão 1ª safra'!$E40:$Z40,MIN(AM$6-$E$3,22))),0))-IF($G$2,0,IF((AM$6-$G$3)&lt;1,0,IFERROR(LOOKUP(2,1/('Feijão 1ª safra'!$E40:INDEX('Feijão 1ª safra'!$E40:$Z40,MIN(AM$6-$G$3,22))&lt;&gt;""),'Feijão 1ª safra'!$E40:INDEX('Feijão 1ª safra'!$E40:$Z40,MIN(AM$6-$G$3,22))),0)))))</f>
        <v>0</v>
      </c>
      <c r="AN42" s="27" t="n">
        <f aca="false">IF(COUNT('Feijão 1ª safra'!$E40:$Z40)=0,0,MAX(0,IF((AN$6-$E$3)&lt;1,0,IFERROR(LOOKUP(2,1/('Feijão 1ª safra'!$E40:INDEX('Feijão 1ª safra'!$E40:$Z40,MIN(AN$6-$E$3,22))&lt;&gt;""),'Feijão 1ª safra'!$E40:INDEX('Feijão 1ª safra'!$E40:$Z40,MIN(AN$6-$E$3,22))),0))-IF($G$2,0,IF((AN$6-$G$3)&lt;1,0,IFERROR(LOOKUP(2,1/('Feijão 1ª safra'!$E40:INDEX('Feijão 1ª safra'!$E40:$Z40,MIN(AN$6-$G$3,22))&lt;&gt;""),'Feijão 1ª safra'!$E40:INDEX('Feijão 1ª safra'!$E40:$Z40,MIN(AN$6-$G$3,22))),0)))))</f>
        <v>0</v>
      </c>
      <c r="AO42" s="27" t="n">
        <f aca="false">IF(COUNT('Feijão 1ª safra'!$E40:$Z40)=0,0,MAX(0,IF((AO$6-$E$3)&lt;1,0,IFERROR(LOOKUP(2,1/('Feijão 1ª safra'!$E40:INDEX('Feijão 1ª safra'!$E40:$Z40,MIN(AO$6-$E$3,22))&lt;&gt;""),'Feijão 1ª safra'!$E40:INDEX('Feijão 1ª safra'!$E40:$Z40,MIN(AO$6-$E$3,22))),0))-IF($G$2,0,IF((AO$6-$G$3)&lt;1,0,IFERROR(LOOKUP(2,1/('Feijão 1ª safra'!$E40:INDEX('Feijão 1ª safra'!$E40:$Z40,MIN(AO$6-$G$3,22))&lt;&gt;""),'Feijão 1ª safra'!$E40:INDEX('Feijão 1ª safra'!$E40:$Z40,MIN(AO$6-$G$3,22))),0)))))</f>
        <v>0</v>
      </c>
      <c r="AP42" s="27" t="n">
        <f aca="false">IF(COUNT('Feijão 1ª safra'!$E40:$Z40)=0,0,MAX(0,IF((AP$6-$E$3)&lt;1,0,IFERROR(LOOKUP(2,1/('Feijão 1ª safra'!$E40:INDEX('Feijão 1ª safra'!$E40:$Z40,MIN(AP$6-$E$3,22))&lt;&gt;""),'Feijão 1ª safra'!$E40:INDEX('Feijão 1ª safra'!$E40:$Z40,MIN(AP$6-$E$3,22))),0))-IF($G$2,0,IF((AP$6-$G$3)&lt;1,0,IFERROR(LOOKUP(2,1/('Feijão 1ª safra'!$E40:INDEX('Feijão 1ª safra'!$E40:$Z40,MIN(AP$6-$G$3,22))&lt;&gt;""),'Feijão 1ª safra'!$E40:INDEX('Feijão 1ª safra'!$E40:$Z40,MIN(AP$6-$G$3,22))),0)))))</f>
        <v>0</v>
      </c>
      <c r="AQ42" s="27" t="n">
        <f aca="false">IF(COUNT('Feijão 1ª safra'!$E40:$Z40)=0,0,MAX(0,IF((AQ$6-$E$3)&lt;1,0,IFERROR(LOOKUP(2,1/('Feijão 1ª safra'!$E40:INDEX('Feijão 1ª safra'!$E40:$Z40,MIN(AQ$6-$E$3,22))&lt;&gt;""),'Feijão 1ª safra'!$E40:INDEX('Feijão 1ª safra'!$E40:$Z40,MIN(AQ$6-$E$3,22))),0))-IF($G$2,0,IF((AQ$6-$G$3)&lt;1,0,IFERROR(LOOKUP(2,1/('Feijão 1ª safra'!$E40:INDEX('Feijão 1ª safra'!$E40:$Z40,MIN(AQ$6-$G$3,22))&lt;&gt;""),'Feijão 1ª safra'!$E40:INDEX('Feijão 1ª safra'!$E40:$Z40,MIN(AQ$6-$G$3,22))),0)))))</f>
        <v>0</v>
      </c>
      <c r="AR42" s="27" t="n">
        <f aca="false">IF(COUNT('Feijão 1ª safra'!$E40:$Z40)=0,0,MAX(0,IF((AR$6-$E$3)&lt;1,0,IFERROR(LOOKUP(2,1/('Feijão 1ª safra'!$E40:INDEX('Feijão 1ª safra'!$E40:$Z40,MIN(AR$6-$E$3,22))&lt;&gt;""),'Feijão 1ª safra'!$E40:INDEX('Feijão 1ª safra'!$E40:$Z40,MIN(AR$6-$E$3,22))),0))-IF($G$2,0,IF((AR$6-$G$3)&lt;1,0,IFERROR(LOOKUP(2,1/('Feijão 1ª safra'!$E40:INDEX('Feijão 1ª safra'!$E40:$Z40,MIN(AR$6-$G$3,22))&lt;&gt;""),'Feijão 1ª safra'!$E40:INDEX('Feijão 1ª safra'!$E40:$Z40,MIN(AR$6-$G$3,22))),0)))))</f>
        <v>0</v>
      </c>
      <c r="AS42" s="27" t="n">
        <f aca="false">IF(COUNT('Feijão 1ª safra'!$E40:$Z40)=0,0,MAX(0,IF((AS$6-$E$3)&lt;1,0,IFERROR(LOOKUP(2,1/('Feijão 1ª safra'!$E40:INDEX('Feijão 1ª safra'!$E40:$Z40,MIN(AS$6-$E$3,22))&lt;&gt;""),'Feijão 1ª safra'!$E40:INDEX('Feijão 1ª safra'!$E40:$Z40,MIN(AS$6-$E$3,22))),0))-IF($G$2,0,IF((AS$6-$G$3)&lt;1,0,IFERROR(LOOKUP(2,1/('Feijão 1ª safra'!$E40:INDEX('Feijão 1ª safra'!$E40:$Z40,MIN(AS$6-$G$3,22))&lt;&gt;""),'Feijão 1ª safra'!$E40:INDEX('Feijão 1ª safra'!$E40:$Z40,MIN(AS$6-$G$3,22))),0)))))</f>
        <v>0</v>
      </c>
      <c r="AT42" s="27" t="n">
        <f aca="false">IF(COUNT('Feijão 1ª safra'!$E40:$Z40)=0,0,MAX(0,IF((AT$6-$E$3)&lt;1,0,IFERROR(LOOKUP(2,1/('Feijão 1ª safra'!$E40:INDEX('Feijão 1ª safra'!$E40:$Z40,MIN(AT$6-$E$3,22))&lt;&gt;""),'Feijão 1ª safra'!$E40:INDEX('Feijão 1ª safra'!$E40:$Z40,MIN(AT$6-$E$3,22))),0))-IF($G$2,0,IF((AT$6-$G$3)&lt;1,0,IFERROR(LOOKUP(2,1/('Feijão 1ª safra'!$E40:INDEX('Feijão 1ª safra'!$E40:$Z40,MIN(AT$6-$G$3,22))&lt;&gt;""),'Feijão 1ª safra'!$E40:INDEX('Feijão 1ª safra'!$E40:$Z40,MIN(AT$6-$G$3,22))),0)))))</f>
        <v>0</v>
      </c>
      <c r="AU42" s="27" t="n">
        <f aca="false">IF(COUNT('Feijão 1ª safra'!$E40:$Z40)=0,0,MAX(0,IF((AU$6-$E$3)&lt;1,0,IFERROR(LOOKUP(2,1/('Feijão 1ª safra'!$E40:INDEX('Feijão 1ª safra'!$E40:$Z40,MIN(AU$6-$E$3,22))&lt;&gt;""),'Feijão 1ª safra'!$E40:INDEX('Feijão 1ª safra'!$E40:$Z40,MIN(AU$6-$E$3,22))),0))-IF($G$2,0,IF((AU$6-$G$3)&lt;1,0,IFERROR(LOOKUP(2,1/('Feijão 1ª safra'!$E40:INDEX('Feijão 1ª safra'!$E40:$Z40,MIN(AU$6-$G$3,22))&lt;&gt;""),'Feijão 1ª safra'!$E40:INDEX('Feijão 1ª safra'!$E40:$Z40,MIN(AU$6-$G$3,22))),0)))))</f>
        <v>0</v>
      </c>
      <c r="AV42" s="27" t="n">
        <f aca="false">IF(COUNT('Feijão 1ª safra'!$E40:$Z40)=0,0,MAX(0,IF((AV$6-$E$3)&lt;1,0,IFERROR(LOOKUP(2,1/('Feijão 1ª safra'!$E40:INDEX('Feijão 1ª safra'!$E40:$Z40,MIN(AV$6-$E$3,22))&lt;&gt;""),'Feijão 1ª safra'!$E40:INDEX('Feijão 1ª safra'!$E40:$Z40,MIN(AV$6-$E$3,22))),0))-IF($G$2,0,IF((AV$6-$G$3)&lt;1,0,IFERROR(LOOKUP(2,1/('Feijão 1ª safra'!$E40:INDEX('Feijão 1ª safra'!$E40:$Z40,MIN(AV$6-$G$3,22))&lt;&gt;""),'Feijão 1ª safra'!$E40:INDEX('Feijão 1ª safra'!$E40:$Z40,MIN(AV$6-$G$3,22))),0)))))</f>
        <v>0</v>
      </c>
      <c r="AW42" s="27" t="n">
        <f aca="false">IF(COUNT('Feijão 1ª safra'!$E40:$Z40)=0,0,MAX(0,IF((AW$6-$E$3)&lt;1,0,IFERROR(LOOKUP(2,1/('Feijão 1ª safra'!$E40:INDEX('Feijão 1ª safra'!$E40:$Z40,MIN(AW$6-$E$3,22))&lt;&gt;""),'Feijão 1ª safra'!$E40:INDEX('Feijão 1ª safra'!$E40:$Z40,MIN(AW$6-$E$3,22))),0))-IF($G$2,0,IF((AW$6-$G$3)&lt;1,0,IFERROR(LOOKUP(2,1/('Feijão 1ª safra'!$E40:INDEX('Feijão 1ª safra'!$E40:$Z40,MIN(AW$6-$G$3,22))&lt;&gt;""),'Feijão 1ª safra'!$E40:INDEX('Feijão 1ª safra'!$E40:$Z40,MIN(AW$6-$G$3,22))),0)))))</f>
        <v>0</v>
      </c>
      <c r="AX42" s="27" t="n">
        <f aca="false">IF(COUNT('Feijão 1ª safra'!$E40:$Z40)=0,0,MAX(0,IF((AX$6-$E$3)&lt;1,0,IFERROR(LOOKUP(2,1/('Feijão 1ª safra'!$E40:INDEX('Feijão 1ª safra'!$E40:$Z40,MIN(AX$6-$E$3,22))&lt;&gt;""),'Feijão 1ª safra'!$E40:INDEX('Feijão 1ª safra'!$E40:$Z40,MIN(AX$6-$E$3,22))),0))-IF($G$2,0,IF((AX$6-$G$3)&lt;1,0,IFERROR(LOOKUP(2,1/('Feijão 1ª safra'!$E40:INDEX('Feijão 1ª safra'!$E40:$Z40,MIN(AX$6-$G$3,22))&lt;&gt;""),'Feijão 1ª safra'!$E40:INDEX('Feijão 1ª safra'!$E40:$Z40,MIN(AX$6-$G$3,22))),0)))))</f>
        <v>0</v>
      </c>
      <c r="AY42" s="27" t="n">
        <f aca="false">IF(COUNT('Feijão 1ª safra'!$E40:$Z40)=0,0,MAX(0,IF((AY$6-$E$3)&lt;1,0,IFERROR(LOOKUP(2,1/('Feijão 1ª safra'!$E40:INDEX('Feijão 1ª safra'!$E40:$Z40,MIN(AY$6-$E$3,22))&lt;&gt;""),'Feijão 1ª safra'!$E40:INDEX('Feijão 1ª safra'!$E40:$Z40,MIN(AY$6-$E$3,22))),0))-IF($G$2,0,IF((AY$6-$G$3)&lt;1,0,IFERROR(LOOKUP(2,1/('Feijão 1ª safra'!$E40:INDEX('Feijão 1ª safra'!$E40:$Z40,MIN(AY$6-$G$3,22))&lt;&gt;""),'Feijão 1ª safra'!$E40:INDEX('Feijão 1ª safra'!$E40:$Z40,MIN(AY$6-$G$3,22))),0)))))</f>
        <v>0</v>
      </c>
      <c r="AZ42" s="27" t="n">
        <f aca="false">IF(COUNT('Feijão 1ª safra'!$E40:$Z40)=0,0,MAX(0,IF((AZ$6-$E$3)&lt;1,0,IFERROR(LOOKUP(2,1/('Feijão 1ª safra'!$E40:INDEX('Feijão 1ª safra'!$E40:$Z40,MIN(AZ$6-$E$3,22))&lt;&gt;""),'Feijão 1ª safra'!$E40:INDEX('Feijão 1ª safra'!$E40:$Z40,MIN(AZ$6-$E$3,22))),0))-IF($G$2,0,IF((AZ$6-$G$3)&lt;1,0,IFERROR(LOOKUP(2,1/('Feijão 1ª safra'!$E40:INDEX('Feijão 1ª safra'!$E40:$Z40,MIN(AZ$6-$G$3,22))&lt;&gt;""),'Feijão 1ª safra'!$E40:INDEX('Feijão 1ª safra'!$E40:$Z40,MIN(AZ$6-$G$3,22))),0)))))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IF(COUNT('Feijão 1ª safra'!$E41:$Z41)&gt;0,N('Feijão 1ª safra'!$D41),0)</f>
        <v>0</v>
      </c>
      <c r="E43" s="27" t="n">
        <f aca="false">IF(COUNT('Feijão 1ª safra'!$E41:$Z41)=0,0,MAX(0,IF((E$6-$E$3)&lt;1,0,IFERROR(LOOKUP(2,1/('Feijão 1ª safra'!$E41:INDEX('Feijão 1ª safra'!$E41:$Z41,MIN(E$6-$E$3,22))&lt;&gt;""),'Feijão 1ª safra'!$E41:INDEX('Feijão 1ª safra'!$E41:$Z41,MIN(E$6-$E$3,22))),0))-IF($G$2,0,IF((E$6-$G$3)&lt;1,0,IFERROR(LOOKUP(2,1/('Feijão 1ª safra'!$E41:INDEX('Feijão 1ª safra'!$E41:$Z41,MIN(E$6-$G$3,22))&lt;&gt;""),'Feijão 1ª safra'!$E41:INDEX('Feijão 1ª safra'!$E41:$Z41,MIN(E$6-$G$3,22))),0)))))</f>
        <v>0</v>
      </c>
      <c r="F43" s="27" t="n">
        <f aca="false">IF(COUNT('Feijão 1ª safra'!$E41:$Z41)=0,0,MAX(0,IF((F$6-$E$3)&lt;1,0,IFERROR(LOOKUP(2,1/('Feijão 1ª safra'!$E41:INDEX('Feijão 1ª safra'!$E41:$Z41,MIN(F$6-$E$3,22))&lt;&gt;""),'Feijão 1ª safra'!$E41:INDEX('Feijão 1ª safra'!$E41:$Z41,MIN(F$6-$E$3,22))),0))-IF($G$2,0,IF((F$6-$G$3)&lt;1,0,IFERROR(LOOKUP(2,1/('Feijão 1ª safra'!$E41:INDEX('Feijão 1ª safra'!$E41:$Z41,MIN(F$6-$G$3,22))&lt;&gt;""),'Feijão 1ª safra'!$E41:INDEX('Feijão 1ª safra'!$E41:$Z41,MIN(F$6-$G$3,22))),0)))))</f>
        <v>0</v>
      </c>
      <c r="G43" s="27" t="n">
        <f aca="false">IF(COUNT('Feijão 1ª safra'!$E41:$Z41)=0,0,MAX(0,IF((G$6-$E$3)&lt;1,0,IFERROR(LOOKUP(2,1/('Feijão 1ª safra'!$E41:INDEX('Feijão 1ª safra'!$E41:$Z41,MIN(G$6-$E$3,22))&lt;&gt;""),'Feijão 1ª safra'!$E41:INDEX('Feijão 1ª safra'!$E41:$Z41,MIN(G$6-$E$3,22))),0))-IF($G$2,0,IF((G$6-$G$3)&lt;1,0,IFERROR(LOOKUP(2,1/('Feijão 1ª safra'!$E41:INDEX('Feijão 1ª safra'!$E41:$Z41,MIN(G$6-$G$3,22))&lt;&gt;""),'Feijão 1ª safra'!$E41:INDEX('Feijão 1ª safra'!$E41:$Z41,MIN(G$6-$G$3,22))),0)))))</f>
        <v>0</v>
      </c>
      <c r="H43" s="27" t="n">
        <f aca="false">IF(COUNT('Feijão 1ª safra'!$E41:$Z41)=0,0,MAX(0,IF((H$6-$E$3)&lt;1,0,IFERROR(LOOKUP(2,1/('Feijão 1ª safra'!$E41:INDEX('Feijão 1ª safra'!$E41:$Z41,MIN(H$6-$E$3,22))&lt;&gt;""),'Feijão 1ª safra'!$E41:INDEX('Feijão 1ª safra'!$E41:$Z41,MIN(H$6-$E$3,22))),0))-IF($G$2,0,IF((H$6-$G$3)&lt;1,0,IFERROR(LOOKUP(2,1/('Feijão 1ª safra'!$E41:INDEX('Feijão 1ª safra'!$E41:$Z41,MIN(H$6-$G$3,22))&lt;&gt;""),'Feijão 1ª safra'!$E41:INDEX('Feijão 1ª safra'!$E41:$Z41,MIN(H$6-$G$3,22))),0)))))</f>
        <v>0</v>
      </c>
      <c r="I43" s="27" t="n">
        <f aca="false">IF(COUNT('Feijão 1ª safra'!$E41:$Z41)=0,0,MAX(0,IF((I$6-$E$3)&lt;1,0,IFERROR(LOOKUP(2,1/('Feijão 1ª safra'!$E41:INDEX('Feijão 1ª safra'!$E41:$Z41,MIN(I$6-$E$3,22))&lt;&gt;""),'Feijão 1ª safra'!$E41:INDEX('Feijão 1ª safra'!$E41:$Z41,MIN(I$6-$E$3,22))),0))-IF($G$2,0,IF((I$6-$G$3)&lt;1,0,IFERROR(LOOKUP(2,1/('Feijão 1ª safra'!$E41:INDEX('Feijão 1ª safra'!$E41:$Z41,MIN(I$6-$G$3,22))&lt;&gt;""),'Feijão 1ª safra'!$E41:INDEX('Feijão 1ª safra'!$E41:$Z41,MIN(I$6-$G$3,22))),0)))))</f>
        <v>0</v>
      </c>
      <c r="J43" s="27" t="n">
        <f aca="false">IF(COUNT('Feijão 1ª safra'!$E41:$Z41)=0,0,MAX(0,IF((J$6-$E$3)&lt;1,0,IFERROR(LOOKUP(2,1/('Feijão 1ª safra'!$E41:INDEX('Feijão 1ª safra'!$E41:$Z41,MIN(J$6-$E$3,22))&lt;&gt;""),'Feijão 1ª safra'!$E41:INDEX('Feijão 1ª safra'!$E41:$Z41,MIN(J$6-$E$3,22))),0))-IF($G$2,0,IF((J$6-$G$3)&lt;1,0,IFERROR(LOOKUP(2,1/('Feijão 1ª safra'!$E41:INDEX('Feijão 1ª safra'!$E41:$Z41,MIN(J$6-$G$3,22))&lt;&gt;""),'Feijão 1ª safra'!$E41:INDEX('Feijão 1ª safra'!$E41:$Z41,MIN(J$6-$G$3,22))),0)))))</f>
        <v>0</v>
      </c>
      <c r="K43" s="27" t="n">
        <f aca="false">IF(COUNT('Feijão 1ª safra'!$E41:$Z41)=0,0,MAX(0,IF((K$6-$E$3)&lt;1,0,IFERROR(LOOKUP(2,1/('Feijão 1ª safra'!$E41:INDEX('Feijão 1ª safra'!$E41:$Z41,MIN(K$6-$E$3,22))&lt;&gt;""),'Feijão 1ª safra'!$E41:INDEX('Feijão 1ª safra'!$E41:$Z41,MIN(K$6-$E$3,22))),0))-IF($G$2,0,IF((K$6-$G$3)&lt;1,0,IFERROR(LOOKUP(2,1/('Feijão 1ª safra'!$E41:INDEX('Feijão 1ª safra'!$E41:$Z41,MIN(K$6-$G$3,22))&lt;&gt;""),'Feijão 1ª safra'!$E41:INDEX('Feijão 1ª safra'!$E41:$Z41,MIN(K$6-$G$3,22))),0)))))</f>
        <v>0</v>
      </c>
      <c r="L43" s="27" t="n">
        <f aca="false">IF(COUNT('Feijão 1ª safra'!$E41:$Z41)=0,0,MAX(0,IF((L$6-$E$3)&lt;1,0,IFERROR(LOOKUP(2,1/('Feijão 1ª safra'!$E41:INDEX('Feijão 1ª safra'!$E41:$Z41,MIN(L$6-$E$3,22))&lt;&gt;""),'Feijão 1ª safra'!$E41:INDEX('Feijão 1ª safra'!$E41:$Z41,MIN(L$6-$E$3,22))),0))-IF($G$2,0,IF((L$6-$G$3)&lt;1,0,IFERROR(LOOKUP(2,1/('Feijão 1ª safra'!$E41:INDEX('Feijão 1ª safra'!$E41:$Z41,MIN(L$6-$G$3,22))&lt;&gt;""),'Feijão 1ª safra'!$E41:INDEX('Feijão 1ª safra'!$E41:$Z41,MIN(L$6-$G$3,22))),0)))))</f>
        <v>0</v>
      </c>
      <c r="M43" s="27" t="n">
        <f aca="false">IF(COUNT('Feijão 1ª safra'!$E41:$Z41)=0,0,MAX(0,IF((M$6-$E$3)&lt;1,0,IFERROR(LOOKUP(2,1/('Feijão 1ª safra'!$E41:INDEX('Feijão 1ª safra'!$E41:$Z41,MIN(M$6-$E$3,22))&lt;&gt;""),'Feijão 1ª safra'!$E41:INDEX('Feijão 1ª safra'!$E41:$Z41,MIN(M$6-$E$3,22))),0))-IF($G$2,0,IF((M$6-$G$3)&lt;1,0,IFERROR(LOOKUP(2,1/('Feijão 1ª safra'!$E41:INDEX('Feijão 1ª safra'!$E41:$Z41,MIN(M$6-$G$3,22))&lt;&gt;""),'Feijão 1ª safra'!$E41:INDEX('Feijão 1ª safra'!$E41:$Z41,MIN(M$6-$G$3,22))),0)))))</f>
        <v>0</v>
      </c>
      <c r="N43" s="27" t="n">
        <f aca="false">IF(COUNT('Feijão 1ª safra'!$E41:$Z41)=0,0,MAX(0,IF((N$6-$E$3)&lt;1,0,IFERROR(LOOKUP(2,1/('Feijão 1ª safra'!$E41:INDEX('Feijão 1ª safra'!$E41:$Z41,MIN(N$6-$E$3,22))&lt;&gt;""),'Feijão 1ª safra'!$E41:INDEX('Feijão 1ª safra'!$E41:$Z41,MIN(N$6-$E$3,22))),0))-IF($G$2,0,IF((N$6-$G$3)&lt;1,0,IFERROR(LOOKUP(2,1/('Feijão 1ª safra'!$E41:INDEX('Feijão 1ª safra'!$E41:$Z41,MIN(N$6-$G$3,22))&lt;&gt;""),'Feijão 1ª safra'!$E41:INDEX('Feijão 1ª safra'!$E41:$Z41,MIN(N$6-$G$3,22))),0)))))</f>
        <v>0</v>
      </c>
      <c r="O43" s="27" t="n">
        <f aca="false">IF(COUNT('Feijão 1ª safra'!$E41:$Z41)=0,0,MAX(0,IF((O$6-$E$3)&lt;1,0,IFERROR(LOOKUP(2,1/('Feijão 1ª safra'!$E41:INDEX('Feijão 1ª safra'!$E41:$Z41,MIN(O$6-$E$3,22))&lt;&gt;""),'Feijão 1ª safra'!$E41:INDEX('Feijão 1ª safra'!$E41:$Z41,MIN(O$6-$E$3,22))),0))-IF($G$2,0,IF((O$6-$G$3)&lt;1,0,IFERROR(LOOKUP(2,1/('Feijão 1ª safra'!$E41:INDEX('Feijão 1ª safra'!$E41:$Z41,MIN(O$6-$G$3,22))&lt;&gt;""),'Feijão 1ª safra'!$E41:INDEX('Feijão 1ª safra'!$E41:$Z41,MIN(O$6-$G$3,22))),0)))))</f>
        <v>0</v>
      </c>
      <c r="P43" s="27" t="n">
        <f aca="false">IF(COUNT('Feijão 1ª safra'!$E41:$Z41)=0,0,MAX(0,IF((P$6-$E$3)&lt;1,0,IFERROR(LOOKUP(2,1/('Feijão 1ª safra'!$E41:INDEX('Feijão 1ª safra'!$E41:$Z41,MIN(P$6-$E$3,22))&lt;&gt;""),'Feijão 1ª safra'!$E41:INDEX('Feijão 1ª safra'!$E41:$Z41,MIN(P$6-$E$3,22))),0))-IF($G$2,0,IF((P$6-$G$3)&lt;1,0,IFERROR(LOOKUP(2,1/('Feijão 1ª safra'!$E41:INDEX('Feijão 1ª safra'!$E41:$Z41,MIN(P$6-$G$3,22))&lt;&gt;""),'Feijão 1ª safra'!$E41:INDEX('Feijão 1ª safra'!$E41:$Z41,MIN(P$6-$G$3,22))),0)))))</f>
        <v>0</v>
      </c>
      <c r="Q43" s="27" t="n">
        <f aca="false">IF(COUNT('Feijão 1ª safra'!$E41:$Z41)=0,0,MAX(0,IF((Q$6-$E$3)&lt;1,0,IFERROR(LOOKUP(2,1/('Feijão 1ª safra'!$E41:INDEX('Feijão 1ª safra'!$E41:$Z41,MIN(Q$6-$E$3,22))&lt;&gt;""),'Feijão 1ª safra'!$E41:INDEX('Feijão 1ª safra'!$E41:$Z41,MIN(Q$6-$E$3,22))),0))-IF($G$2,0,IF((Q$6-$G$3)&lt;1,0,IFERROR(LOOKUP(2,1/('Feijão 1ª safra'!$E41:INDEX('Feijão 1ª safra'!$E41:$Z41,MIN(Q$6-$G$3,22))&lt;&gt;""),'Feijão 1ª safra'!$E41:INDEX('Feijão 1ª safra'!$E41:$Z41,MIN(Q$6-$G$3,22))),0)))))</f>
        <v>0</v>
      </c>
      <c r="R43" s="27" t="n">
        <f aca="false">IF(COUNT('Feijão 1ª safra'!$E41:$Z41)=0,0,MAX(0,IF((R$6-$E$3)&lt;1,0,IFERROR(LOOKUP(2,1/('Feijão 1ª safra'!$E41:INDEX('Feijão 1ª safra'!$E41:$Z41,MIN(R$6-$E$3,22))&lt;&gt;""),'Feijão 1ª safra'!$E41:INDEX('Feijão 1ª safra'!$E41:$Z41,MIN(R$6-$E$3,22))),0))-IF($G$2,0,IF((R$6-$G$3)&lt;1,0,IFERROR(LOOKUP(2,1/('Feijão 1ª safra'!$E41:INDEX('Feijão 1ª safra'!$E41:$Z41,MIN(R$6-$G$3,22))&lt;&gt;""),'Feijão 1ª safra'!$E41:INDEX('Feijão 1ª safra'!$E41:$Z41,MIN(R$6-$G$3,22))),0)))))</f>
        <v>0</v>
      </c>
      <c r="S43" s="27" t="n">
        <f aca="false">IF(COUNT('Feijão 1ª safra'!$E41:$Z41)=0,0,MAX(0,IF((S$6-$E$3)&lt;1,0,IFERROR(LOOKUP(2,1/('Feijão 1ª safra'!$E41:INDEX('Feijão 1ª safra'!$E41:$Z41,MIN(S$6-$E$3,22))&lt;&gt;""),'Feijão 1ª safra'!$E41:INDEX('Feijão 1ª safra'!$E41:$Z41,MIN(S$6-$E$3,22))),0))-IF($G$2,0,IF((S$6-$G$3)&lt;1,0,IFERROR(LOOKUP(2,1/('Feijão 1ª safra'!$E41:INDEX('Feijão 1ª safra'!$E41:$Z41,MIN(S$6-$G$3,22))&lt;&gt;""),'Feijão 1ª safra'!$E41:INDEX('Feijão 1ª safra'!$E41:$Z41,MIN(S$6-$G$3,22))),0)))))</f>
        <v>0</v>
      </c>
      <c r="T43" s="27" t="n">
        <f aca="false">IF(COUNT('Feijão 1ª safra'!$E41:$Z41)=0,0,MAX(0,IF((T$6-$E$3)&lt;1,0,IFERROR(LOOKUP(2,1/('Feijão 1ª safra'!$E41:INDEX('Feijão 1ª safra'!$E41:$Z41,MIN(T$6-$E$3,22))&lt;&gt;""),'Feijão 1ª safra'!$E41:INDEX('Feijão 1ª safra'!$E41:$Z41,MIN(T$6-$E$3,22))),0))-IF($G$2,0,IF((T$6-$G$3)&lt;1,0,IFERROR(LOOKUP(2,1/('Feijão 1ª safra'!$E41:INDEX('Feijão 1ª safra'!$E41:$Z41,MIN(T$6-$G$3,22))&lt;&gt;""),'Feijão 1ª safra'!$E41:INDEX('Feijão 1ª safra'!$E41:$Z41,MIN(T$6-$G$3,22))),0)))))</f>
        <v>0</v>
      </c>
      <c r="U43" s="27" t="n">
        <f aca="false">IF(COUNT('Feijão 1ª safra'!$E41:$Z41)=0,0,MAX(0,IF((U$6-$E$3)&lt;1,0,IFERROR(LOOKUP(2,1/('Feijão 1ª safra'!$E41:INDEX('Feijão 1ª safra'!$E41:$Z41,MIN(U$6-$E$3,22))&lt;&gt;""),'Feijão 1ª safra'!$E41:INDEX('Feijão 1ª safra'!$E41:$Z41,MIN(U$6-$E$3,22))),0))-IF($G$2,0,IF((U$6-$G$3)&lt;1,0,IFERROR(LOOKUP(2,1/('Feijão 1ª safra'!$E41:INDEX('Feijão 1ª safra'!$E41:$Z41,MIN(U$6-$G$3,22))&lt;&gt;""),'Feijão 1ª safra'!$E41:INDEX('Feijão 1ª safra'!$E41:$Z41,MIN(U$6-$G$3,22))),0)))))</f>
        <v>0</v>
      </c>
      <c r="V43" s="27" t="n">
        <f aca="false">IF(COUNT('Feijão 1ª safra'!$E41:$Z41)=0,0,MAX(0,IF((V$6-$E$3)&lt;1,0,IFERROR(LOOKUP(2,1/('Feijão 1ª safra'!$E41:INDEX('Feijão 1ª safra'!$E41:$Z41,MIN(V$6-$E$3,22))&lt;&gt;""),'Feijão 1ª safra'!$E41:INDEX('Feijão 1ª safra'!$E41:$Z41,MIN(V$6-$E$3,22))),0))-IF($G$2,0,IF((V$6-$G$3)&lt;1,0,IFERROR(LOOKUP(2,1/('Feijão 1ª safra'!$E41:INDEX('Feijão 1ª safra'!$E41:$Z41,MIN(V$6-$G$3,22))&lt;&gt;""),'Feijão 1ª safra'!$E41:INDEX('Feijão 1ª safra'!$E41:$Z41,MIN(V$6-$G$3,22))),0)))))</f>
        <v>0</v>
      </c>
      <c r="W43" s="27" t="n">
        <f aca="false">IF(COUNT('Feijão 1ª safra'!$E41:$Z41)=0,0,MAX(0,IF((W$6-$E$3)&lt;1,0,IFERROR(LOOKUP(2,1/('Feijão 1ª safra'!$E41:INDEX('Feijão 1ª safra'!$E41:$Z41,MIN(W$6-$E$3,22))&lt;&gt;""),'Feijão 1ª safra'!$E41:INDEX('Feijão 1ª safra'!$E41:$Z41,MIN(W$6-$E$3,22))),0))-IF($G$2,0,IF((W$6-$G$3)&lt;1,0,IFERROR(LOOKUP(2,1/('Feijão 1ª safra'!$E41:INDEX('Feijão 1ª safra'!$E41:$Z41,MIN(W$6-$G$3,22))&lt;&gt;""),'Feijão 1ª safra'!$E41:INDEX('Feijão 1ª safra'!$E41:$Z41,MIN(W$6-$G$3,22))),0)))))</f>
        <v>0</v>
      </c>
      <c r="X43" s="27" t="n">
        <f aca="false">IF(COUNT('Feijão 1ª safra'!$E41:$Z41)=0,0,MAX(0,IF((X$6-$E$3)&lt;1,0,IFERROR(LOOKUP(2,1/('Feijão 1ª safra'!$E41:INDEX('Feijão 1ª safra'!$E41:$Z41,MIN(X$6-$E$3,22))&lt;&gt;""),'Feijão 1ª safra'!$E41:INDEX('Feijão 1ª safra'!$E41:$Z41,MIN(X$6-$E$3,22))),0))-IF($G$2,0,IF((X$6-$G$3)&lt;1,0,IFERROR(LOOKUP(2,1/('Feijão 1ª safra'!$E41:INDEX('Feijão 1ª safra'!$E41:$Z41,MIN(X$6-$G$3,22))&lt;&gt;""),'Feijão 1ª safra'!$E41:INDEX('Feijão 1ª safra'!$E41:$Z41,MIN(X$6-$G$3,22))),0)))))</f>
        <v>0</v>
      </c>
      <c r="Y43" s="27" t="n">
        <f aca="false">IF(COUNT('Feijão 1ª safra'!$E41:$Z41)=0,0,MAX(0,IF((Y$6-$E$3)&lt;1,0,IFERROR(LOOKUP(2,1/('Feijão 1ª safra'!$E41:INDEX('Feijão 1ª safra'!$E41:$Z41,MIN(Y$6-$E$3,22))&lt;&gt;""),'Feijão 1ª safra'!$E41:INDEX('Feijão 1ª safra'!$E41:$Z41,MIN(Y$6-$E$3,22))),0))-IF($G$2,0,IF((Y$6-$G$3)&lt;1,0,IFERROR(LOOKUP(2,1/('Feijão 1ª safra'!$E41:INDEX('Feijão 1ª safra'!$E41:$Z41,MIN(Y$6-$G$3,22))&lt;&gt;""),'Feijão 1ª safra'!$E41:INDEX('Feijão 1ª safra'!$E41:$Z41,MIN(Y$6-$G$3,22))),0)))))</f>
        <v>0</v>
      </c>
      <c r="Z43" s="27" t="n">
        <f aca="false">IF(COUNT('Feijão 1ª safra'!$E41:$Z41)=0,0,MAX(0,IF((Z$6-$E$3)&lt;1,0,IFERROR(LOOKUP(2,1/('Feijão 1ª safra'!$E41:INDEX('Feijão 1ª safra'!$E41:$Z41,MIN(Z$6-$E$3,22))&lt;&gt;""),'Feijão 1ª safra'!$E41:INDEX('Feijão 1ª safra'!$E41:$Z41,MIN(Z$6-$E$3,22))),0))-IF($G$2,0,IF((Z$6-$G$3)&lt;1,0,IFERROR(LOOKUP(2,1/('Feijão 1ª safra'!$E41:INDEX('Feijão 1ª safra'!$E41:$Z41,MIN(Z$6-$G$3,22))&lt;&gt;""),'Feijão 1ª safra'!$E41:INDEX('Feijão 1ª safra'!$E41:$Z41,MIN(Z$6-$G$3,22))),0)))))</f>
        <v>0</v>
      </c>
      <c r="AA43" s="27" t="n">
        <f aca="false">IF(COUNT('Feijão 1ª safra'!$E41:$Z41)=0,0,MAX(0,IF((AA$6-$E$3)&lt;1,0,IFERROR(LOOKUP(2,1/('Feijão 1ª safra'!$E41:INDEX('Feijão 1ª safra'!$E41:$Z41,MIN(AA$6-$E$3,22))&lt;&gt;""),'Feijão 1ª safra'!$E41:INDEX('Feijão 1ª safra'!$E41:$Z41,MIN(AA$6-$E$3,22))),0))-IF($G$2,0,IF((AA$6-$G$3)&lt;1,0,IFERROR(LOOKUP(2,1/('Feijão 1ª safra'!$E41:INDEX('Feijão 1ª safra'!$E41:$Z41,MIN(AA$6-$G$3,22))&lt;&gt;""),'Feijão 1ª safra'!$E41:INDEX('Feijão 1ª safra'!$E41:$Z41,MIN(AA$6-$G$3,22))),0)))))</f>
        <v>0</v>
      </c>
      <c r="AB43" s="27" t="n">
        <f aca="false">IF(COUNT('Feijão 1ª safra'!$E41:$Z41)=0,0,MAX(0,IF((AB$6-$E$3)&lt;1,0,IFERROR(LOOKUP(2,1/('Feijão 1ª safra'!$E41:INDEX('Feijão 1ª safra'!$E41:$Z41,MIN(AB$6-$E$3,22))&lt;&gt;""),'Feijão 1ª safra'!$E41:INDEX('Feijão 1ª safra'!$E41:$Z41,MIN(AB$6-$E$3,22))),0))-IF($G$2,0,IF((AB$6-$G$3)&lt;1,0,IFERROR(LOOKUP(2,1/('Feijão 1ª safra'!$E41:INDEX('Feijão 1ª safra'!$E41:$Z41,MIN(AB$6-$G$3,22))&lt;&gt;""),'Feijão 1ª safra'!$E41:INDEX('Feijão 1ª safra'!$E41:$Z41,MIN(AB$6-$G$3,22))),0)))))</f>
        <v>0</v>
      </c>
      <c r="AC43" s="27" t="n">
        <f aca="false">IF(COUNT('Feijão 1ª safra'!$E41:$Z41)=0,0,MAX(0,IF((AC$6-$E$3)&lt;1,0,IFERROR(LOOKUP(2,1/('Feijão 1ª safra'!$E41:INDEX('Feijão 1ª safra'!$E41:$Z41,MIN(AC$6-$E$3,22))&lt;&gt;""),'Feijão 1ª safra'!$E41:INDEX('Feijão 1ª safra'!$E41:$Z41,MIN(AC$6-$E$3,22))),0))-IF($G$2,0,IF((AC$6-$G$3)&lt;1,0,IFERROR(LOOKUP(2,1/('Feijão 1ª safra'!$E41:INDEX('Feijão 1ª safra'!$E41:$Z41,MIN(AC$6-$G$3,22))&lt;&gt;""),'Feijão 1ª safra'!$E41:INDEX('Feijão 1ª safra'!$E41:$Z41,MIN(AC$6-$G$3,22))),0)))))</f>
        <v>0</v>
      </c>
      <c r="AD43" s="27" t="n">
        <f aca="false">IF(COUNT('Feijão 1ª safra'!$E41:$Z41)=0,0,MAX(0,IF((AD$6-$E$3)&lt;1,0,IFERROR(LOOKUP(2,1/('Feijão 1ª safra'!$E41:INDEX('Feijão 1ª safra'!$E41:$Z41,MIN(AD$6-$E$3,22))&lt;&gt;""),'Feijão 1ª safra'!$E41:INDEX('Feijão 1ª safra'!$E41:$Z41,MIN(AD$6-$E$3,22))),0))-IF($G$2,0,IF((AD$6-$G$3)&lt;1,0,IFERROR(LOOKUP(2,1/('Feijão 1ª safra'!$E41:INDEX('Feijão 1ª safra'!$E41:$Z41,MIN(AD$6-$G$3,22))&lt;&gt;""),'Feijão 1ª safra'!$E41:INDEX('Feijão 1ª safra'!$E41:$Z41,MIN(AD$6-$G$3,22))),0)))))</f>
        <v>0</v>
      </c>
      <c r="AE43" s="27" t="n">
        <f aca="false">IF(COUNT('Feijão 1ª safra'!$E41:$Z41)=0,0,MAX(0,IF((AE$6-$E$3)&lt;1,0,IFERROR(LOOKUP(2,1/('Feijão 1ª safra'!$E41:INDEX('Feijão 1ª safra'!$E41:$Z41,MIN(AE$6-$E$3,22))&lt;&gt;""),'Feijão 1ª safra'!$E41:INDEX('Feijão 1ª safra'!$E41:$Z41,MIN(AE$6-$E$3,22))),0))-IF($G$2,0,IF((AE$6-$G$3)&lt;1,0,IFERROR(LOOKUP(2,1/('Feijão 1ª safra'!$E41:INDEX('Feijão 1ª safra'!$E41:$Z41,MIN(AE$6-$G$3,22))&lt;&gt;""),'Feijão 1ª safra'!$E41:INDEX('Feijão 1ª safra'!$E41:$Z41,MIN(AE$6-$G$3,22))),0)))))</f>
        <v>0</v>
      </c>
      <c r="AF43" s="27" t="n">
        <f aca="false">IF(COUNT('Feijão 1ª safra'!$E41:$Z41)=0,0,MAX(0,IF((AF$6-$E$3)&lt;1,0,IFERROR(LOOKUP(2,1/('Feijão 1ª safra'!$E41:INDEX('Feijão 1ª safra'!$E41:$Z41,MIN(AF$6-$E$3,22))&lt;&gt;""),'Feijão 1ª safra'!$E41:INDEX('Feijão 1ª safra'!$E41:$Z41,MIN(AF$6-$E$3,22))),0))-IF($G$2,0,IF((AF$6-$G$3)&lt;1,0,IFERROR(LOOKUP(2,1/('Feijão 1ª safra'!$E41:INDEX('Feijão 1ª safra'!$E41:$Z41,MIN(AF$6-$G$3,22))&lt;&gt;""),'Feijão 1ª safra'!$E41:INDEX('Feijão 1ª safra'!$E41:$Z41,MIN(AF$6-$G$3,22))),0)))))</f>
        <v>0</v>
      </c>
      <c r="AG43" s="27" t="n">
        <f aca="false">IF(COUNT('Feijão 1ª safra'!$E41:$Z41)=0,0,MAX(0,IF((AG$6-$E$3)&lt;1,0,IFERROR(LOOKUP(2,1/('Feijão 1ª safra'!$E41:INDEX('Feijão 1ª safra'!$E41:$Z41,MIN(AG$6-$E$3,22))&lt;&gt;""),'Feijão 1ª safra'!$E41:INDEX('Feijão 1ª safra'!$E41:$Z41,MIN(AG$6-$E$3,22))),0))-IF($G$2,0,IF((AG$6-$G$3)&lt;1,0,IFERROR(LOOKUP(2,1/('Feijão 1ª safra'!$E41:INDEX('Feijão 1ª safra'!$E41:$Z41,MIN(AG$6-$G$3,22))&lt;&gt;""),'Feijão 1ª safra'!$E41:INDEX('Feijão 1ª safra'!$E41:$Z41,MIN(AG$6-$G$3,22))),0)))))</f>
        <v>0</v>
      </c>
      <c r="AH43" s="27" t="n">
        <f aca="false">IF(COUNT('Feijão 1ª safra'!$E41:$Z41)=0,0,MAX(0,IF((AH$6-$E$3)&lt;1,0,IFERROR(LOOKUP(2,1/('Feijão 1ª safra'!$E41:INDEX('Feijão 1ª safra'!$E41:$Z41,MIN(AH$6-$E$3,22))&lt;&gt;""),'Feijão 1ª safra'!$E41:INDEX('Feijão 1ª safra'!$E41:$Z41,MIN(AH$6-$E$3,22))),0))-IF($G$2,0,IF((AH$6-$G$3)&lt;1,0,IFERROR(LOOKUP(2,1/('Feijão 1ª safra'!$E41:INDEX('Feijão 1ª safra'!$E41:$Z41,MIN(AH$6-$G$3,22))&lt;&gt;""),'Feijão 1ª safra'!$E41:INDEX('Feijão 1ª safra'!$E41:$Z41,MIN(AH$6-$G$3,22))),0)))))</f>
        <v>0</v>
      </c>
      <c r="AI43" s="27" t="n">
        <f aca="false">IF(COUNT('Feijão 1ª safra'!$E41:$Z41)=0,0,MAX(0,IF((AI$6-$E$3)&lt;1,0,IFERROR(LOOKUP(2,1/('Feijão 1ª safra'!$E41:INDEX('Feijão 1ª safra'!$E41:$Z41,MIN(AI$6-$E$3,22))&lt;&gt;""),'Feijão 1ª safra'!$E41:INDEX('Feijão 1ª safra'!$E41:$Z41,MIN(AI$6-$E$3,22))),0))-IF($G$2,0,IF((AI$6-$G$3)&lt;1,0,IFERROR(LOOKUP(2,1/('Feijão 1ª safra'!$E41:INDEX('Feijão 1ª safra'!$E41:$Z41,MIN(AI$6-$G$3,22))&lt;&gt;""),'Feijão 1ª safra'!$E41:INDEX('Feijão 1ª safra'!$E41:$Z41,MIN(AI$6-$G$3,22))),0)))))</f>
        <v>0</v>
      </c>
      <c r="AJ43" s="27" t="n">
        <f aca="false">IF(COUNT('Feijão 1ª safra'!$E41:$Z41)=0,0,MAX(0,IF((AJ$6-$E$3)&lt;1,0,IFERROR(LOOKUP(2,1/('Feijão 1ª safra'!$E41:INDEX('Feijão 1ª safra'!$E41:$Z41,MIN(AJ$6-$E$3,22))&lt;&gt;""),'Feijão 1ª safra'!$E41:INDEX('Feijão 1ª safra'!$E41:$Z41,MIN(AJ$6-$E$3,22))),0))-IF($G$2,0,IF((AJ$6-$G$3)&lt;1,0,IFERROR(LOOKUP(2,1/('Feijão 1ª safra'!$E41:INDEX('Feijão 1ª safra'!$E41:$Z41,MIN(AJ$6-$G$3,22))&lt;&gt;""),'Feijão 1ª safra'!$E41:INDEX('Feijão 1ª safra'!$E41:$Z41,MIN(AJ$6-$G$3,22))),0)))))</f>
        <v>0</v>
      </c>
      <c r="AK43" s="27" t="n">
        <f aca="false">IF(COUNT('Feijão 1ª safra'!$E41:$Z41)=0,0,MAX(0,IF((AK$6-$E$3)&lt;1,0,IFERROR(LOOKUP(2,1/('Feijão 1ª safra'!$E41:INDEX('Feijão 1ª safra'!$E41:$Z41,MIN(AK$6-$E$3,22))&lt;&gt;""),'Feijão 1ª safra'!$E41:INDEX('Feijão 1ª safra'!$E41:$Z41,MIN(AK$6-$E$3,22))),0))-IF($G$2,0,IF((AK$6-$G$3)&lt;1,0,IFERROR(LOOKUP(2,1/('Feijão 1ª safra'!$E41:INDEX('Feijão 1ª safra'!$E41:$Z41,MIN(AK$6-$G$3,22))&lt;&gt;""),'Feijão 1ª safra'!$E41:INDEX('Feijão 1ª safra'!$E41:$Z41,MIN(AK$6-$G$3,22))),0)))))</f>
        <v>0</v>
      </c>
      <c r="AL43" s="27" t="n">
        <f aca="false">IF(COUNT('Feijão 1ª safra'!$E41:$Z41)=0,0,MAX(0,IF((AL$6-$E$3)&lt;1,0,IFERROR(LOOKUP(2,1/('Feijão 1ª safra'!$E41:INDEX('Feijão 1ª safra'!$E41:$Z41,MIN(AL$6-$E$3,22))&lt;&gt;""),'Feijão 1ª safra'!$E41:INDEX('Feijão 1ª safra'!$E41:$Z41,MIN(AL$6-$E$3,22))),0))-IF($G$2,0,IF((AL$6-$G$3)&lt;1,0,IFERROR(LOOKUP(2,1/('Feijão 1ª safra'!$E41:INDEX('Feijão 1ª safra'!$E41:$Z41,MIN(AL$6-$G$3,22))&lt;&gt;""),'Feijão 1ª safra'!$E41:INDEX('Feijão 1ª safra'!$E41:$Z41,MIN(AL$6-$G$3,22))),0)))))</f>
        <v>0</v>
      </c>
      <c r="AM43" s="27" t="n">
        <f aca="false">IF(COUNT('Feijão 1ª safra'!$E41:$Z41)=0,0,MAX(0,IF((AM$6-$E$3)&lt;1,0,IFERROR(LOOKUP(2,1/('Feijão 1ª safra'!$E41:INDEX('Feijão 1ª safra'!$E41:$Z41,MIN(AM$6-$E$3,22))&lt;&gt;""),'Feijão 1ª safra'!$E41:INDEX('Feijão 1ª safra'!$E41:$Z41,MIN(AM$6-$E$3,22))),0))-IF($G$2,0,IF((AM$6-$G$3)&lt;1,0,IFERROR(LOOKUP(2,1/('Feijão 1ª safra'!$E41:INDEX('Feijão 1ª safra'!$E41:$Z41,MIN(AM$6-$G$3,22))&lt;&gt;""),'Feijão 1ª safra'!$E41:INDEX('Feijão 1ª safra'!$E41:$Z41,MIN(AM$6-$G$3,22))),0)))))</f>
        <v>0</v>
      </c>
      <c r="AN43" s="27" t="n">
        <f aca="false">IF(COUNT('Feijão 1ª safra'!$E41:$Z41)=0,0,MAX(0,IF((AN$6-$E$3)&lt;1,0,IFERROR(LOOKUP(2,1/('Feijão 1ª safra'!$E41:INDEX('Feijão 1ª safra'!$E41:$Z41,MIN(AN$6-$E$3,22))&lt;&gt;""),'Feijão 1ª safra'!$E41:INDEX('Feijão 1ª safra'!$E41:$Z41,MIN(AN$6-$E$3,22))),0))-IF($G$2,0,IF((AN$6-$G$3)&lt;1,0,IFERROR(LOOKUP(2,1/('Feijão 1ª safra'!$E41:INDEX('Feijão 1ª safra'!$E41:$Z41,MIN(AN$6-$G$3,22))&lt;&gt;""),'Feijão 1ª safra'!$E41:INDEX('Feijão 1ª safra'!$E41:$Z41,MIN(AN$6-$G$3,22))),0)))))</f>
        <v>0</v>
      </c>
      <c r="AO43" s="27" t="n">
        <f aca="false">IF(COUNT('Feijão 1ª safra'!$E41:$Z41)=0,0,MAX(0,IF((AO$6-$E$3)&lt;1,0,IFERROR(LOOKUP(2,1/('Feijão 1ª safra'!$E41:INDEX('Feijão 1ª safra'!$E41:$Z41,MIN(AO$6-$E$3,22))&lt;&gt;""),'Feijão 1ª safra'!$E41:INDEX('Feijão 1ª safra'!$E41:$Z41,MIN(AO$6-$E$3,22))),0))-IF($G$2,0,IF((AO$6-$G$3)&lt;1,0,IFERROR(LOOKUP(2,1/('Feijão 1ª safra'!$E41:INDEX('Feijão 1ª safra'!$E41:$Z41,MIN(AO$6-$G$3,22))&lt;&gt;""),'Feijão 1ª safra'!$E41:INDEX('Feijão 1ª safra'!$E41:$Z41,MIN(AO$6-$G$3,22))),0)))))</f>
        <v>0</v>
      </c>
      <c r="AP43" s="27" t="n">
        <f aca="false">IF(COUNT('Feijão 1ª safra'!$E41:$Z41)=0,0,MAX(0,IF((AP$6-$E$3)&lt;1,0,IFERROR(LOOKUP(2,1/('Feijão 1ª safra'!$E41:INDEX('Feijão 1ª safra'!$E41:$Z41,MIN(AP$6-$E$3,22))&lt;&gt;""),'Feijão 1ª safra'!$E41:INDEX('Feijão 1ª safra'!$E41:$Z41,MIN(AP$6-$E$3,22))),0))-IF($G$2,0,IF((AP$6-$G$3)&lt;1,0,IFERROR(LOOKUP(2,1/('Feijão 1ª safra'!$E41:INDEX('Feijão 1ª safra'!$E41:$Z41,MIN(AP$6-$G$3,22))&lt;&gt;""),'Feijão 1ª safra'!$E41:INDEX('Feijão 1ª safra'!$E41:$Z41,MIN(AP$6-$G$3,22))),0)))))</f>
        <v>0</v>
      </c>
      <c r="AQ43" s="27" t="n">
        <f aca="false">IF(COUNT('Feijão 1ª safra'!$E41:$Z41)=0,0,MAX(0,IF((AQ$6-$E$3)&lt;1,0,IFERROR(LOOKUP(2,1/('Feijão 1ª safra'!$E41:INDEX('Feijão 1ª safra'!$E41:$Z41,MIN(AQ$6-$E$3,22))&lt;&gt;""),'Feijão 1ª safra'!$E41:INDEX('Feijão 1ª safra'!$E41:$Z41,MIN(AQ$6-$E$3,22))),0))-IF($G$2,0,IF((AQ$6-$G$3)&lt;1,0,IFERROR(LOOKUP(2,1/('Feijão 1ª safra'!$E41:INDEX('Feijão 1ª safra'!$E41:$Z41,MIN(AQ$6-$G$3,22))&lt;&gt;""),'Feijão 1ª safra'!$E41:INDEX('Feijão 1ª safra'!$E41:$Z41,MIN(AQ$6-$G$3,22))),0)))))</f>
        <v>0</v>
      </c>
      <c r="AR43" s="27" t="n">
        <f aca="false">IF(COUNT('Feijão 1ª safra'!$E41:$Z41)=0,0,MAX(0,IF((AR$6-$E$3)&lt;1,0,IFERROR(LOOKUP(2,1/('Feijão 1ª safra'!$E41:INDEX('Feijão 1ª safra'!$E41:$Z41,MIN(AR$6-$E$3,22))&lt;&gt;""),'Feijão 1ª safra'!$E41:INDEX('Feijão 1ª safra'!$E41:$Z41,MIN(AR$6-$E$3,22))),0))-IF($G$2,0,IF((AR$6-$G$3)&lt;1,0,IFERROR(LOOKUP(2,1/('Feijão 1ª safra'!$E41:INDEX('Feijão 1ª safra'!$E41:$Z41,MIN(AR$6-$G$3,22))&lt;&gt;""),'Feijão 1ª safra'!$E41:INDEX('Feijão 1ª safra'!$E41:$Z41,MIN(AR$6-$G$3,22))),0)))))</f>
        <v>0</v>
      </c>
      <c r="AS43" s="27" t="n">
        <f aca="false">IF(COUNT('Feijão 1ª safra'!$E41:$Z41)=0,0,MAX(0,IF((AS$6-$E$3)&lt;1,0,IFERROR(LOOKUP(2,1/('Feijão 1ª safra'!$E41:INDEX('Feijão 1ª safra'!$E41:$Z41,MIN(AS$6-$E$3,22))&lt;&gt;""),'Feijão 1ª safra'!$E41:INDEX('Feijão 1ª safra'!$E41:$Z41,MIN(AS$6-$E$3,22))),0))-IF($G$2,0,IF((AS$6-$G$3)&lt;1,0,IFERROR(LOOKUP(2,1/('Feijão 1ª safra'!$E41:INDEX('Feijão 1ª safra'!$E41:$Z41,MIN(AS$6-$G$3,22))&lt;&gt;""),'Feijão 1ª safra'!$E41:INDEX('Feijão 1ª safra'!$E41:$Z41,MIN(AS$6-$G$3,22))),0)))))</f>
        <v>0</v>
      </c>
      <c r="AT43" s="27" t="n">
        <f aca="false">IF(COUNT('Feijão 1ª safra'!$E41:$Z41)=0,0,MAX(0,IF((AT$6-$E$3)&lt;1,0,IFERROR(LOOKUP(2,1/('Feijão 1ª safra'!$E41:INDEX('Feijão 1ª safra'!$E41:$Z41,MIN(AT$6-$E$3,22))&lt;&gt;""),'Feijão 1ª safra'!$E41:INDEX('Feijão 1ª safra'!$E41:$Z41,MIN(AT$6-$E$3,22))),0))-IF($G$2,0,IF((AT$6-$G$3)&lt;1,0,IFERROR(LOOKUP(2,1/('Feijão 1ª safra'!$E41:INDEX('Feijão 1ª safra'!$E41:$Z41,MIN(AT$6-$G$3,22))&lt;&gt;""),'Feijão 1ª safra'!$E41:INDEX('Feijão 1ª safra'!$E41:$Z41,MIN(AT$6-$G$3,22))),0)))))</f>
        <v>0</v>
      </c>
      <c r="AU43" s="27" t="n">
        <f aca="false">IF(COUNT('Feijão 1ª safra'!$E41:$Z41)=0,0,MAX(0,IF((AU$6-$E$3)&lt;1,0,IFERROR(LOOKUP(2,1/('Feijão 1ª safra'!$E41:INDEX('Feijão 1ª safra'!$E41:$Z41,MIN(AU$6-$E$3,22))&lt;&gt;""),'Feijão 1ª safra'!$E41:INDEX('Feijão 1ª safra'!$E41:$Z41,MIN(AU$6-$E$3,22))),0))-IF($G$2,0,IF((AU$6-$G$3)&lt;1,0,IFERROR(LOOKUP(2,1/('Feijão 1ª safra'!$E41:INDEX('Feijão 1ª safra'!$E41:$Z41,MIN(AU$6-$G$3,22))&lt;&gt;""),'Feijão 1ª safra'!$E41:INDEX('Feijão 1ª safra'!$E41:$Z41,MIN(AU$6-$G$3,22))),0)))))</f>
        <v>0</v>
      </c>
      <c r="AV43" s="27" t="n">
        <f aca="false">IF(COUNT('Feijão 1ª safra'!$E41:$Z41)=0,0,MAX(0,IF((AV$6-$E$3)&lt;1,0,IFERROR(LOOKUP(2,1/('Feijão 1ª safra'!$E41:INDEX('Feijão 1ª safra'!$E41:$Z41,MIN(AV$6-$E$3,22))&lt;&gt;""),'Feijão 1ª safra'!$E41:INDEX('Feijão 1ª safra'!$E41:$Z41,MIN(AV$6-$E$3,22))),0))-IF($G$2,0,IF((AV$6-$G$3)&lt;1,0,IFERROR(LOOKUP(2,1/('Feijão 1ª safra'!$E41:INDEX('Feijão 1ª safra'!$E41:$Z41,MIN(AV$6-$G$3,22))&lt;&gt;""),'Feijão 1ª safra'!$E41:INDEX('Feijão 1ª safra'!$E41:$Z41,MIN(AV$6-$G$3,22))),0)))))</f>
        <v>0</v>
      </c>
      <c r="AW43" s="27" t="n">
        <f aca="false">IF(COUNT('Feijão 1ª safra'!$E41:$Z41)=0,0,MAX(0,IF((AW$6-$E$3)&lt;1,0,IFERROR(LOOKUP(2,1/('Feijão 1ª safra'!$E41:INDEX('Feijão 1ª safra'!$E41:$Z41,MIN(AW$6-$E$3,22))&lt;&gt;""),'Feijão 1ª safra'!$E41:INDEX('Feijão 1ª safra'!$E41:$Z41,MIN(AW$6-$E$3,22))),0))-IF($G$2,0,IF((AW$6-$G$3)&lt;1,0,IFERROR(LOOKUP(2,1/('Feijão 1ª safra'!$E41:INDEX('Feijão 1ª safra'!$E41:$Z41,MIN(AW$6-$G$3,22))&lt;&gt;""),'Feijão 1ª safra'!$E41:INDEX('Feijão 1ª safra'!$E41:$Z41,MIN(AW$6-$G$3,22))),0)))))</f>
        <v>0</v>
      </c>
      <c r="AX43" s="27" t="n">
        <f aca="false">IF(COUNT('Feijão 1ª safra'!$E41:$Z41)=0,0,MAX(0,IF((AX$6-$E$3)&lt;1,0,IFERROR(LOOKUP(2,1/('Feijão 1ª safra'!$E41:INDEX('Feijão 1ª safra'!$E41:$Z41,MIN(AX$6-$E$3,22))&lt;&gt;""),'Feijão 1ª safra'!$E41:INDEX('Feijão 1ª safra'!$E41:$Z41,MIN(AX$6-$E$3,22))),0))-IF($G$2,0,IF((AX$6-$G$3)&lt;1,0,IFERROR(LOOKUP(2,1/('Feijão 1ª safra'!$E41:INDEX('Feijão 1ª safra'!$E41:$Z41,MIN(AX$6-$G$3,22))&lt;&gt;""),'Feijão 1ª safra'!$E41:INDEX('Feijão 1ª safra'!$E41:$Z41,MIN(AX$6-$G$3,22))),0)))))</f>
        <v>0</v>
      </c>
      <c r="AY43" s="27" t="n">
        <f aca="false">IF(COUNT('Feijão 1ª safra'!$E41:$Z41)=0,0,MAX(0,IF((AY$6-$E$3)&lt;1,0,IFERROR(LOOKUP(2,1/('Feijão 1ª safra'!$E41:INDEX('Feijão 1ª safra'!$E41:$Z41,MIN(AY$6-$E$3,22))&lt;&gt;""),'Feijão 1ª safra'!$E41:INDEX('Feijão 1ª safra'!$E41:$Z41,MIN(AY$6-$E$3,22))),0))-IF($G$2,0,IF((AY$6-$G$3)&lt;1,0,IFERROR(LOOKUP(2,1/('Feijão 1ª safra'!$E41:INDEX('Feijão 1ª safra'!$E41:$Z41,MIN(AY$6-$G$3,22))&lt;&gt;""),'Feijão 1ª safra'!$E41:INDEX('Feijão 1ª safra'!$E41:$Z41,MIN(AY$6-$G$3,22))),0)))))</f>
        <v>0</v>
      </c>
      <c r="AZ43" s="27" t="n">
        <f aca="false">IF(COUNT('Feijão 1ª safra'!$E41:$Z41)=0,0,MAX(0,IF((AZ$6-$E$3)&lt;1,0,IFERROR(LOOKUP(2,1/('Feijão 1ª safra'!$E41:INDEX('Feijão 1ª safra'!$E41:$Z41,MIN(AZ$6-$E$3,22))&lt;&gt;""),'Feijão 1ª safra'!$E41:INDEX('Feijão 1ª safra'!$E41:$Z41,MIN(AZ$6-$E$3,22))),0))-IF($G$2,0,IF((AZ$6-$G$3)&lt;1,0,IFERROR(LOOKUP(2,1/('Feijão 1ª safra'!$E41:INDEX('Feijão 1ª safra'!$E41:$Z41,MIN(AZ$6-$G$3,22))&lt;&gt;""),'Feijão 1ª safra'!$E41:INDEX('Feijão 1ª safra'!$E41:$Z41,MIN(AZ$6-$G$3,22))),0)))))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IF(COUNT('Feijão 1ª safra'!$E42:$Z42)&gt;0,N('Feijão 1ª safra'!$D42),0)</f>
        <v>0</v>
      </c>
      <c r="E44" s="27" t="n">
        <f aca="false">IF(COUNT('Feijão 1ª safra'!$E42:$Z42)=0,0,MAX(0,IF((E$6-$E$3)&lt;1,0,IFERROR(LOOKUP(2,1/('Feijão 1ª safra'!$E42:INDEX('Feijão 1ª safra'!$E42:$Z42,MIN(E$6-$E$3,22))&lt;&gt;""),'Feijão 1ª safra'!$E42:INDEX('Feijão 1ª safra'!$E42:$Z42,MIN(E$6-$E$3,22))),0))-IF($G$2,0,IF((E$6-$G$3)&lt;1,0,IFERROR(LOOKUP(2,1/('Feijão 1ª safra'!$E42:INDEX('Feijão 1ª safra'!$E42:$Z42,MIN(E$6-$G$3,22))&lt;&gt;""),'Feijão 1ª safra'!$E42:INDEX('Feijão 1ª safra'!$E42:$Z42,MIN(E$6-$G$3,22))),0)))))</f>
        <v>0</v>
      </c>
      <c r="F44" s="27" t="n">
        <f aca="false">IF(COUNT('Feijão 1ª safra'!$E42:$Z42)=0,0,MAX(0,IF((F$6-$E$3)&lt;1,0,IFERROR(LOOKUP(2,1/('Feijão 1ª safra'!$E42:INDEX('Feijão 1ª safra'!$E42:$Z42,MIN(F$6-$E$3,22))&lt;&gt;""),'Feijão 1ª safra'!$E42:INDEX('Feijão 1ª safra'!$E42:$Z42,MIN(F$6-$E$3,22))),0))-IF($G$2,0,IF((F$6-$G$3)&lt;1,0,IFERROR(LOOKUP(2,1/('Feijão 1ª safra'!$E42:INDEX('Feijão 1ª safra'!$E42:$Z42,MIN(F$6-$G$3,22))&lt;&gt;""),'Feijão 1ª safra'!$E42:INDEX('Feijão 1ª safra'!$E42:$Z42,MIN(F$6-$G$3,22))),0)))))</f>
        <v>0</v>
      </c>
      <c r="G44" s="27" t="n">
        <f aca="false">IF(COUNT('Feijão 1ª safra'!$E42:$Z42)=0,0,MAX(0,IF((G$6-$E$3)&lt;1,0,IFERROR(LOOKUP(2,1/('Feijão 1ª safra'!$E42:INDEX('Feijão 1ª safra'!$E42:$Z42,MIN(G$6-$E$3,22))&lt;&gt;""),'Feijão 1ª safra'!$E42:INDEX('Feijão 1ª safra'!$E42:$Z42,MIN(G$6-$E$3,22))),0))-IF($G$2,0,IF((G$6-$G$3)&lt;1,0,IFERROR(LOOKUP(2,1/('Feijão 1ª safra'!$E42:INDEX('Feijão 1ª safra'!$E42:$Z42,MIN(G$6-$G$3,22))&lt;&gt;""),'Feijão 1ª safra'!$E42:INDEX('Feijão 1ª safra'!$E42:$Z42,MIN(G$6-$G$3,22))),0)))))</f>
        <v>0</v>
      </c>
      <c r="H44" s="27" t="n">
        <f aca="false">IF(COUNT('Feijão 1ª safra'!$E42:$Z42)=0,0,MAX(0,IF((H$6-$E$3)&lt;1,0,IFERROR(LOOKUP(2,1/('Feijão 1ª safra'!$E42:INDEX('Feijão 1ª safra'!$E42:$Z42,MIN(H$6-$E$3,22))&lt;&gt;""),'Feijão 1ª safra'!$E42:INDEX('Feijão 1ª safra'!$E42:$Z42,MIN(H$6-$E$3,22))),0))-IF($G$2,0,IF((H$6-$G$3)&lt;1,0,IFERROR(LOOKUP(2,1/('Feijão 1ª safra'!$E42:INDEX('Feijão 1ª safra'!$E42:$Z42,MIN(H$6-$G$3,22))&lt;&gt;""),'Feijão 1ª safra'!$E42:INDEX('Feijão 1ª safra'!$E42:$Z42,MIN(H$6-$G$3,22))),0)))))</f>
        <v>0</v>
      </c>
      <c r="I44" s="27" t="n">
        <f aca="false">IF(COUNT('Feijão 1ª safra'!$E42:$Z42)=0,0,MAX(0,IF((I$6-$E$3)&lt;1,0,IFERROR(LOOKUP(2,1/('Feijão 1ª safra'!$E42:INDEX('Feijão 1ª safra'!$E42:$Z42,MIN(I$6-$E$3,22))&lt;&gt;""),'Feijão 1ª safra'!$E42:INDEX('Feijão 1ª safra'!$E42:$Z42,MIN(I$6-$E$3,22))),0))-IF($G$2,0,IF((I$6-$G$3)&lt;1,0,IFERROR(LOOKUP(2,1/('Feijão 1ª safra'!$E42:INDEX('Feijão 1ª safra'!$E42:$Z42,MIN(I$6-$G$3,22))&lt;&gt;""),'Feijão 1ª safra'!$E42:INDEX('Feijão 1ª safra'!$E42:$Z42,MIN(I$6-$G$3,22))),0)))))</f>
        <v>0</v>
      </c>
      <c r="J44" s="27" t="n">
        <f aca="false">IF(COUNT('Feijão 1ª safra'!$E42:$Z42)=0,0,MAX(0,IF((J$6-$E$3)&lt;1,0,IFERROR(LOOKUP(2,1/('Feijão 1ª safra'!$E42:INDEX('Feijão 1ª safra'!$E42:$Z42,MIN(J$6-$E$3,22))&lt;&gt;""),'Feijão 1ª safra'!$E42:INDEX('Feijão 1ª safra'!$E42:$Z42,MIN(J$6-$E$3,22))),0))-IF($G$2,0,IF((J$6-$G$3)&lt;1,0,IFERROR(LOOKUP(2,1/('Feijão 1ª safra'!$E42:INDEX('Feijão 1ª safra'!$E42:$Z42,MIN(J$6-$G$3,22))&lt;&gt;""),'Feijão 1ª safra'!$E42:INDEX('Feijão 1ª safra'!$E42:$Z42,MIN(J$6-$G$3,22))),0)))))</f>
        <v>0</v>
      </c>
      <c r="K44" s="27" t="n">
        <f aca="false">IF(COUNT('Feijão 1ª safra'!$E42:$Z42)=0,0,MAX(0,IF((K$6-$E$3)&lt;1,0,IFERROR(LOOKUP(2,1/('Feijão 1ª safra'!$E42:INDEX('Feijão 1ª safra'!$E42:$Z42,MIN(K$6-$E$3,22))&lt;&gt;""),'Feijão 1ª safra'!$E42:INDEX('Feijão 1ª safra'!$E42:$Z42,MIN(K$6-$E$3,22))),0))-IF($G$2,0,IF((K$6-$G$3)&lt;1,0,IFERROR(LOOKUP(2,1/('Feijão 1ª safra'!$E42:INDEX('Feijão 1ª safra'!$E42:$Z42,MIN(K$6-$G$3,22))&lt;&gt;""),'Feijão 1ª safra'!$E42:INDEX('Feijão 1ª safra'!$E42:$Z42,MIN(K$6-$G$3,22))),0)))))</f>
        <v>0</v>
      </c>
      <c r="L44" s="27" t="n">
        <f aca="false">IF(COUNT('Feijão 1ª safra'!$E42:$Z42)=0,0,MAX(0,IF((L$6-$E$3)&lt;1,0,IFERROR(LOOKUP(2,1/('Feijão 1ª safra'!$E42:INDEX('Feijão 1ª safra'!$E42:$Z42,MIN(L$6-$E$3,22))&lt;&gt;""),'Feijão 1ª safra'!$E42:INDEX('Feijão 1ª safra'!$E42:$Z42,MIN(L$6-$E$3,22))),0))-IF($G$2,0,IF((L$6-$G$3)&lt;1,0,IFERROR(LOOKUP(2,1/('Feijão 1ª safra'!$E42:INDEX('Feijão 1ª safra'!$E42:$Z42,MIN(L$6-$G$3,22))&lt;&gt;""),'Feijão 1ª safra'!$E42:INDEX('Feijão 1ª safra'!$E42:$Z42,MIN(L$6-$G$3,22))),0)))))</f>
        <v>0</v>
      </c>
      <c r="M44" s="27" t="n">
        <f aca="false">IF(COUNT('Feijão 1ª safra'!$E42:$Z42)=0,0,MAX(0,IF((M$6-$E$3)&lt;1,0,IFERROR(LOOKUP(2,1/('Feijão 1ª safra'!$E42:INDEX('Feijão 1ª safra'!$E42:$Z42,MIN(M$6-$E$3,22))&lt;&gt;""),'Feijão 1ª safra'!$E42:INDEX('Feijão 1ª safra'!$E42:$Z42,MIN(M$6-$E$3,22))),0))-IF($G$2,0,IF((M$6-$G$3)&lt;1,0,IFERROR(LOOKUP(2,1/('Feijão 1ª safra'!$E42:INDEX('Feijão 1ª safra'!$E42:$Z42,MIN(M$6-$G$3,22))&lt;&gt;""),'Feijão 1ª safra'!$E42:INDEX('Feijão 1ª safra'!$E42:$Z42,MIN(M$6-$G$3,22))),0)))))</f>
        <v>0</v>
      </c>
      <c r="N44" s="27" t="n">
        <f aca="false">IF(COUNT('Feijão 1ª safra'!$E42:$Z42)=0,0,MAX(0,IF((N$6-$E$3)&lt;1,0,IFERROR(LOOKUP(2,1/('Feijão 1ª safra'!$E42:INDEX('Feijão 1ª safra'!$E42:$Z42,MIN(N$6-$E$3,22))&lt;&gt;""),'Feijão 1ª safra'!$E42:INDEX('Feijão 1ª safra'!$E42:$Z42,MIN(N$6-$E$3,22))),0))-IF($G$2,0,IF((N$6-$G$3)&lt;1,0,IFERROR(LOOKUP(2,1/('Feijão 1ª safra'!$E42:INDEX('Feijão 1ª safra'!$E42:$Z42,MIN(N$6-$G$3,22))&lt;&gt;""),'Feijão 1ª safra'!$E42:INDEX('Feijão 1ª safra'!$E42:$Z42,MIN(N$6-$G$3,22))),0)))))</f>
        <v>0</v>
      </c>
      <c r="O44" s="27" t="n">
        <f aca="false">IF(COUNT('Feijão 1ª safra'!$E42:$Z42)=0,0,MAX(0,IF((O$6-$E$3)&lt;1,0,IFERROR(LOOKUP(2,1/('Feijão 1ª safra'!$E42:INDEX('Feijão 1ª safra'!$E42:$Z42,MIN(O$6-$E$3,22))&lt;&gt;""),'Feijão 1ª safra'!$E42:INDEX('Feijão 1ª safra'!$E42:$Z42,MIN(O$6-$E$3,22))),0))-IF($G$2,0,IF((O$6-$G$3)&lt;1,0,IFERROR(LOOKUP(2,1/('Feijão 1ª safra'!$E42:INDEX('Feijão 1ª safra'!$E42:$Z42,MIN(O$6-$G$3,22))&lt;&gt;""),'Feijão 1ª safra'!$E42:INDEX('Feijão 1ª safra'!$E42:$Z42,MIN(O$6-$G$3,22))),0)))))</f>
        <v>0</v>
      </c>
      <c r="P44" s="27" t="n">
        <f aca="false">IF(COUNT('Feijão 1ª safra'!$E42:$Z42)=0,0,MAX(0,IF((P$6-$E$3)&lt;1,0,IFERROR(LOOKUP(2,1/('Feijão 1ª safra'!$E42:INDEX('Feijão 1ª safra'!$E42:$Z42,MIN(P$6-$E$3,22))&lt;&gt;""),'Feijão 1ª safra'!$E42:INDEX('Feijão 1ª safra'!$E42:$Z42,MIN(P$6-$E$3,22))),0))-IF($G$2,0,IF((P$6-$G$3)&lt;1,0,IFERROR(LOOKUP(2,1/('Feijão 1ª safra'!$E42:INDEX('Feijão 1ª safra'!$E42:$Z42,MIN(P$6-$G$3,22))&lt;&gt;""),'Feijão 1ª safra'!$E42:INDEX('Feijão 1ª safra'!$E42:$Z42,MIN(P$6-$G$3,22))),0)))))</f>
        <v>0</v>
      </c>
      <c r="Q44" s="27" t="n">
        <f aca="false">IF(COUNT('Feijão 1ª safra'!$E42:$Z42)=0,0,MAX(0,IF((Q$6-$E$3)&lt;1,0,IFERROR(LOOKUP(2,1/('Feijão 1ª safra'!$E42:INDEX('Feijão 1ª safra'!$E42:$Z42,MIN(Q$6-$E$3,22))&lt;&gt;""),'Feijão 1ª safra'!$E42:INDEX('Feijão 1ª safra'!$E42:$Z42,MIN(Q$6-$E$3,22))),0))-IF($G$2,0,IF((Q$6-$G$3)&lt;1,0,IFERROR(LOOKUP(2,1/('Feijão 1ª safra'!$E42:INDEX('Feijão 1ª safra'!$E42:$Z42,MIN(Q$6-$G$3,22))&lt;&gt;""),'Feijão 1ª safra'!$E42:INDEX('Feijão 1ª safra'!$E42:$Z42,MIN(Q$6-$G$3,22))),0)))))</f>
        <v>0</v>
      </c>
      <c r="R44" s="27" t="n">
        <f aca="false">IF(COUNT('Feijão 1ª safra'!$E42:$Z42)=0,0,MAX(0,IF((R$6-$E$3)&lt;1,0,IFERROR(LOOKUP(2,1/('Feijão 1ª safra'!$E42:INDEX('Feijão 1ª safra'!$E42:$Z42,MIN(R$6-$E$3,22))&lt;&gt;""),'Feijão 1ª safra'!$E42:INDEX('Feijão 1ª safra'!$E42:$Z42,MIN(R$6-$E$3,22))),0))-IF($G$2,0,IF((R$6-$G$3)&lt;1,0,IFERROR(LOOKUP(2,1/('Feijão 1ª safra'!$E42:INDEX('Feijão 1ª safra'!$E42:$Z42,MIN(R$6-$G$3,22))&lt;&gt;""),'Feijão 1ª safra'!$E42:INDEX('Feijão 1ª safra'!$E42:$Z42,MIN(R$6-$G$3,22))),0)))))</f>
        <v>0</v>
      </c>
      <c r="S44" s="27" t="n">
        <f aca="false">IF(COUNT('Feijão 1ª safra'!$E42:$Z42)=0,0,MAX(0,IF((S$6-$E$3)&lt;1,0,IFERROR(LOOKUP(2,1/('Feijão 1ª safra'!$E42:INDEX('Feijão 1ª safra'!$E42:$Z42,MIN(S$6-$E$3,22))&lt;&gt;""),'Feijão 1ª safra'!$E42:INDEX('Feijão 1ª safra'!$E42:$Z42,MIN(S$6-$E$3,22))),0))-IF($G$2,0,IF((S$6-$G$3)&lt;1,0,IFERROR(LOOKUP(2,1/('Feijão 1ª safra'!$E42:INDEX('Feijão 1ª safra'!$E42:$Z42,MIN(S$6-$G$3,22))&lt;&gt;""),'Feijão 1ª safra'!$E42:INDEX('Feijão 1ª safra'!$E42:$Z42,MIN(S$6-$G$3,22))),0)))))</f>
        <v>0</v>
      </c>
      <c r="T44" s="27" t="n">
        <f aca="false">IF(COUNT('Feijão 1ª safra'!$E42:$Z42)=0,0,MAX(0,IF((T$6-$E$3)&lt;1,0,IFERROR(LOOKUP(2,1/('Feijão 1ª safra'!$E42:INDEX('Feijão 1ª safra'!$E42:$Z42,MIN(T$6-$E$3,22))&lt;&gt;""),'Feijão 1ª safra'!$E42:INDEX('Feijão 1ª safra'!$E42:$Z42,MIN(T$6-$E$3,22))),0))-IF($G$2,0,IF((T$6-$G$3)&lt;1,0,IFERROR(LOOKUP(2,1/('Feijão 1ª safra'!$E42:INDEX('Feijão 1ª safra'!$E42:$Z42,MIN(T$6-$G$3,22))&lt;&gt;""),'Feijão 1ª safra'!$E42:INDEX('Feijão 1ª safra'!$E42:$Z42,MIN(T$6-$G$3,22))),0)))))</f>
        <v>0</v>
      </c>
      <c r="U44" s="27" t="n">
        <f aca="false">IF(COUNT('Feijão 1ª safra'!$E42:$Z42)=0,0,MAX(0,IF((U$6-$E$3)&lt;1,0,IFERROR(LOOKUP(2,1/('Feijão 1ª safra'!$E42:INDEX('Feijão 1ª safra'!$E42:$Z42,MIN(U$6-$E$3,22))&lt;&gt;""),'Feijão 1ª safra'!$E42:INDEX('Feijão 1ª safra'!$E42:$Z42,MIN(U$6-$E$3,22))),0))-IF($G$2,0,IF((U$6-$G$3)&lt;1,0,IFERROR(LOOKUP(2,1/('Feijão 1ª safra'!$E42:INDEX('Feijão 1ª safra'!$E42:$Z42,MIN(U$6-$G$3,22))&lt;&gt;""),'Feijão 1ª safra'!$E42:INDEX('Feijão 1ª safra'!$E42:$Z42,MIN(U$6-$G$3,22))),0)))))</f>
        <v>0</v>
      </c>
      <c r="V44" s="27" t="n">
        <f aca="false">IF(COUNT('Feijão 1ª safra'!$E42:$Z42)=0,0,MAX(0,IF((V$6-$E$3)&lt;1,0,IFERROR(LOOKUP(2,1/('Feijão 1ª safra'!$E42:INDEX('Feijão 1ª safra'!$E42:$Z42,MIN(V$6-$E$3,22))&lt;&gt;""),'Feijão 1ª safra'!$E42:INDEX('Feijão 1ª safra'!$E42:$Z42,MIN(V$6-$E$3,22))),0))-IF($G$2,0,IF((V$6-$G$3)&lt;1,0,IFERROR(LOOKUP(2,1/('Feijão 1ª safra'!$E42:INDEX('Feijão 1ª safra'!$E42:$Z42,MIN(V$6-$G$3,22))&lt;&gt;""),'Feijão 1ª safra'!$E42:INDEX('Feijão 1ª safra'!$E42:$Z42,MIN(V$6-$G$3,22))),0)))))</f>
        <v>0</v>
      </c>
      <c r="W44" s="27" t="n">
        <f aca="false">IF(COUNT('Feijão 1ª safra'!$E42:$Z42)=0,0,MAX(0,IF((W$6-$E$3)&lt;1,0,IFERROR(LOOKUP(2,1/('Feijão 1ª safra'!$E42:INDEX('Feijão 1ª safra'!$E42:$Z42,MIN(W$6-$E$3,22))&lt;&gt;""),'Feijão 1ª safra'!$E42:INDEX('Feijão 1ª safra'!$E42:$Z42,MIN(W$6-$E$3,22))),0))-IF($G$2,0,IF((W$6-$G$3)&lt;1,0,IFERROR(LOOKUP(2,1/('Feijão 1ª safra'!$E42:INDEX('Feijão 1ª safra'!$E42:$Z42,MIN(W$6-$G$3,22))&lt;&gt;""),'Feijão 1ª safra'!$E42:INDEX('Feijão 1ª safra'!$E42:$Z42,MIN(W$6-$G$3,22))),0)))))</f>
        <v>0</v>
      </c>
      <c r="X44" s="27" t="n">
        <f aca="false">IF(COUNT('Feijão 1ª safra'!$E42:$Z42)=0,0,MAX(0,IF((X$6-$E$3)&lt;1,0,IFERROR(LOOKUP(2,1/('Feijão 1ª safra'!$E42:INDEX('Feijão 1ª safra'!$E42:$Z42,MIN(X$6-$E$3,22))&lt;&gt;""),'Feijão 1ª safra'!$E42:INDEX('Feijão 1ª safra'!$E42:$Z42,MIN(X$6-$E$3,22))),0))-IF($G$2,0,IF((X$6-$G$3)&lt;1,0,IFERROR(LOOKUP(2,1/('Feijão 1ª safra'!$E42:INDEX('Feijão 1ª safra'!$E42:$Z42,MIN(X$6-$G$3,22))&lt;&gt;""),'Feijão 1ª safra'!$E42:INDEX('Feijão 1ª safra'!$E42:$Z42,MIN(X$6-$G$3,22))),0)))))</f>
        <v>0</v>
      </c>
      <c r="Y44" s="27" t="n">
        <f aca="false">IF(COUNT('Feijão 1ª safra'!$E42:$Z42)=0,0,MAX(0,IF((Y$6-$E$3)&lt;1,0,IFERROR(LOOKUP(2,1/('Feijão 1ª safra'!$E42:INDEX('Feijão 1ª safra'!$E42:$Z42,MIN(Y$6-$E$3,22))&lt;&gt;""),'Feijão 1ª safra'!$E42:INDEX('Feijão 1ª safra'!$E42:$Z42,MIN(Y$6-$E$3,22))),0))-IF($G$2,0,IF((Y$6-$G$3)&lt;1,0,IFERROR(LOOKUP(2,1/('Feijão 1ª safra'!$E42:INDEX('Feijão 1ª safra'!$E42:$Z42,MIN(Y$6-$G$3,22))&lt;&gt;""),'Feijão 1ª safra'!$E42:INDEX('Feijão 1ª safra'!$E42:$Z42,MIN(Y$6-$G$3,22))),0)))))</f>
        <v>0</v>
      </c>
      <c r="Z44" s="27" t="n">
        <f aca="false">IF(COUNT('Feijão 1ª safra'!$E42:$Z42)=0,0,MAX(0,IF((Z$6-$E$3)&lt;1,0,IFERROR(LOOKUP(2,1/('Feijão 1ª safra'!$E42:INDEX('Feijão 1ª safra'!$E42:$Z42,MIN(Z$6-$E$3,22))&lt;&gt;""),'Feijão 1ª safra'!$E42:INDEX('Feijão 1ª safra'!$E42:$Z42,MIN(Z$6-$E$3,22))),0))-IF($G$2,0,IF((Z$6-$G$3)&lt;1,0,IFERROR(LOOKUP(2,1/('Feijão 1ª safra'!$E42:INDEX('Feijão 1ª safra'!$E42:$Z42,MIN(Z$6-$G$3,22))&lt;&gt;""),'Feijão 1ª safra'!$E42:INDEX('Feijão 1ª safra'!$E42:$Z42,MIN(Z$6-$G$3,22))),0)))))</f>
        <v>0</v>
      </c>
      <c r="AA44" s="27" t="n">
        <f aca="false">IF(COUNT('Feijão 1ª safra'!$E42:$Z42)=0,0,MAX(0,IF((AA$6-$E$3)&lt;1,0,IFERROR(LOOKUP(2,1/('Feijão 1ª safra'!$E42:INDEX('Feijão 1ª safra'!$E42:$Z42,MIN(AA$6-$E$3,22))&lt;&gt;""),'Feijão 1ª safra'!$E42:INDEX('Feijão 1ª safra'!$E42:$Z42,MIN(AA$6-$E$3,22))),0))-IF($G$2,0,IF((AA$6-$G$3)&lt;1,0,IFERROR(LOOKUP(2,1/('Feijão 1ª safra'!$E42:INDEX('Feijão 1ª safra'!$E42:$Z42,MIN(AA$6-$G$3,22))&lt;&gt;""),'Feijão 1ª safra'!$E42:INDEX('Feijão 1ª safra'!$E42:$Z42,MIN(AA$6-$G$3,22))),0)))))</f>
        <v>0</v>
      </c>
      <c r="AB44" s="27" t="n">
        <f aca="false">IF(COUNT('Feijão 1ª safra'!$E42:$Z42)=0,0,MAX(0,IF((AB$6-$E$3)&lt;1,0,IFERROR(LOOKUP(2,1/('Feijão 1ª safra'!$E42:INDEX('Feijão 1ª safra'!$E42:$Z42,MIN(AB$6-$E$3,22))&lt;&gt;""),'Feijão 1ª safra'!$E42:INDEX('Feijão 1ª safra'!$E42:$Z42,MIN(AB$6-$E$3,22))),0))-IF($G$2,0,IF((AB$6-$G$3)&lt;1,0,IFERROR(LOOKUP(2,1/('Feijão 1ª safra'!$E42:INDEX('Feijão 1ª safra'!$E42:$Z42,MIN(AB$6-$G$3,22))&lt;&gt;""),'Feijão 1ª safra'!$E42:INDEX('Feijão 1ª safra'!$E42:$Z42,MIN(AB$6-$G$3,22))),0)))))</f>
        <v>0</v>
      </c>
      <c r="AC44" s="27" t="n">
        <f aca="false">IF(COUNT('Feijão 1ª safra'!$E42:$Z42)=0,0,MAX(0,IF((AC$6-$E$3)&lt;1,0,IFERROR(LOOKUP(2,1/('Feijão 1ª safra'!$E42:INDEX('Feijão 1ª safra'!$E42:$Z42,MIN(AC$6-$E$3,22))&lt;&gt;""),'Feijão 1ª safra'!$E42:INDEX('Feijão 1ª safra'!$E42:$Z42,MIN(AC$6-$E$3,22))),0))-IF($G$2,0,IF((AC$6-$G$3)&lt;1,0,IFERROR(LOOKUP(2,1/('Feijão 1ª safra'!$E42:INDEX('Feijão 1ª safra'!$E42:$Z42,MIN(AC$6-$G$3,22))&lt;&gt;""),'Feijão 1ª safra'!$E42:INDEX('Feijão 1ª safra'!$E42:$Z42,MIN(AC$6-$G$3,22))),0)))))</f>
        <v>0</v>
      </c>
      <c r="AD44" s="27" t="n">
        <f aca="false">IF(COUNT('Feijão 1ª safra'!$E42:$Z42)=0,0,MAX(0,IF((AD$6-$E$3)&lt;1,0,IFERROR(LOOKUP(2,1/('Feijão 1ª safra'!$E42:INDEX('Feijão 1ª safra'!$E42:$Z42,MIN(AD$6-$E$3,22))&lt;&gt;""),'Feijão 1ª safra'!$E42:INDEX('Feijão 1ª safra'!$E42:$Z42,MIN(AD$6-$E$3,22))),0))-IF($G$2,0,IF((AD$6-$G$3)&lt;1,0,IFERROR(LOOKUP(2,1/('Feijão 1ª safra'!$E42:INDEX('Feijão 1ª safra'!$E42:$Z42,MIN(AD$6-$G$3,22))&lt;&gt;""),'Feijão 1ª safra'!$E42:INDEX('Feijão 1ª safra'!$E42:$Z42,MIN(AD$6-$G$3,22))),0)))))</f>
        <v>0</v>
      </c>
      <c r="AE44" s="27" t="n">
        <f aca="false">IF(COUNT('Feijão 1ª safra'!$E42:$Z42)=0,0,MAX(0,IF((AE$6-$E$3)&lt;1,0,IFERROR(LOOKUP(2,1/('Feijão 1ª safra'!$E42:INDEX('Feijão 1ª safra'!$E42:$Z42,MIN(AE$6-$E$3,22))&lt;&gt;""),'Feijão 1ª safra'!$E42:INDEX('Feijão 1ª safra'!$E42:$Z42,MIN(AE$6-$E$3,22))),0))-IF($G$2,0,IF((AE$6-$G$3)&lt;1,0,IFERROR(LOOKUP(2,1/('Feijão 1ª safra'!$E42:INDEX('Feijão 1ª safra'!$E42:$Z42,MIN(AE$6-$G$3,22))&lt;&gt;""),'Feijão 1ª safra'!$E42:INDEX('Feijão 1ª safra'!$E42:$Z42,MIN(AE$6-$G$3,22))),0)))))</f>
        <v>0</v>
      </c>
      <c r="AF44" s="27" t="n">
        <f aca="false">IF(COUNT('Feijão 1ª safra'!$E42:$Z42)=0,0,MAX(0,IF((AF$6-$E$3)&lt;1,0,IFERROR(LOOKUP(2,1/('Feijão 1ª safra'!$E42:INDEX('Feijão 1ª safra'!$E42:$Z42,MIN(AF$6-$E$3,22))&lt;&gt;""),'Feijão 1ª safra'!$E42:INDEX('Feijão 1ª safra'!$E42:$Z42,MIN(AF$6-$E$3,22))),0))-IF($G$2,0,IF((AF$6-$G$3)&lt;1,0,IFERROR(LOOKUP(2,1/('Feijão 1ª safra'!$E42:INDEX('Feijão 1ª safra'!$E42:$Z42,MIN(AF$6-$G$3,22))&lt;&gt;""),'Feijão 1ª safra'!$E42:INDEX('Feijão 1ª safra'!$E42:$Z42,MIN(AF$6-$G$3,22))),0)))))</f>
        <v>0</v>
      </c>
      <c r="AG44" s="27" t="n">
        <f aca="false">IF(COUNT('Feijão 1ª safra'!$E42:$Z42)=0,0,MAX(0,IF((AG$6-$E$3)&lt;1,0,IFERROR(LOOKUP(2,1/('Feijão 1ª safra'!$E42:INDEX('Feijão 1ª safra'!$E42:$Z42,MIN(AG$6-$E$3,22))&lt;&gt;""),'Feijão 1ª safra'!$E42:INDEX('Feijão 1ª safra'!$E42:$Z42,MIN(AG$6-$E$3,22))),0))-IF($G$2,0,IF((AG$6-$G$3)&lt;1,0,IFERROR(LOOKUP(2,1/('Feijão 1ª safra'!$E42:INDEX('Feijão 1ª safra'!$E42:$Z42,MIN(AG$6-$G$3,22))&lt;&gt;""),'Feijão 1ª safra'!$E42:INDEX('Feijão 1ª safra'!$E42:$Z42,MIN(AG$6-$G$3,22))),0)))))</f>
        <v>0</v>
      </c>
      <c r="AH44" s="27" t="n">
        <f aca="false">IF(COUNT('Feijão 1ª safra'!$E42:$Z42)=0,0,MAX(0,IF((AH$6-$E$3)&lt;1,0,IFERROR(LOOKUP(2,1/('Feijão 1ª safra'!$E42:INDEX('Feijão 1ª safra'!$E42:$Z42,MIN(AH$6-$E$3,22))&lt;&gt;""),'Feijão 1ª safra'!$E42:INDEX('Feijão 1ª safra'!$E42:$Z42,MIN(AH$6-$E$3,22))),0))-IF($G$2,0,IF((AH$6-$G$3)&lt;1,0,IFERROR(LOOKUP(2,1/('Feijão 1ª safra'!$E42:INDEX('Feijão 1ª safra'!$E42:$Z42,MIN(AH$6-$G$3,22))&lt;&gt;""),'Feijão 1ª safra'!$E42:INDEX('Feijão 1ª safra'!$E42:$Z42,MIN(AH$6-$G$3,22))),0)))))</f>
        <v>0</v>
      </c>
      <c r="AI44" s="27" t="n">
        <f aca="false">IF(COUNT('Feijão 1ª safra'!$E42:$Z42)=0,0,MAX(0,IF((AI$6-$E$3)&lt;1,0,IFERROR(LOOKUP(2,1/('Feijão 1ª safra'!$E42:INDEX('Feijão 1ª safra'!$E42:$Z42,MIN(AI$6-$E$3,22))&lt;&gt;""),'Feijão 1ª safra'!$E42:INDEX('Feijão 1ª safra'!$E42:$Z42,MIN(AI$6-$E$3,22))),0))-IF($G$2,0,IF((AI$6-$G$3)&lt;1,0,IFERROR(LOOKUP(2,1/('Feijão 1ª safra'!$E42:INDEX('Feijão 1ª safra'!$E42:$Z42,MIN(AI$6-$G$3,22))&lt;&gt;""),'Feijão 1ª safra'!$E42:INDEX('Feijão 1ª safra'!$E42:$Z42,MIN(AI$6-$G$3,22))),0)))))</f>
        <v>0</v>
      </c>
      <c r="AJ44" s="27" t="n">
        <f aca="false">IF(COUNT('Feijão 1ª safra'!$E42:$Z42)=0,0,MAX(0,IF((AJ$6-$E$3)&lt;1,0,IFERROR(LOOKUP(2,1/('Feijão 1ª safra'!$E42:INDEX('Feijão 1ª safra'!$E42:$Z42,MIN(AJ$6-$E$3,22))&lt;&gt;""),'Feijão 1ª safra'!$E42:INDEX('Feijão 1ª safra'!$E42:$Z42,MIN(AJ$6-$E$3,22))),0))-IF($G$2,0,IF((AJ$6-$G$3)&lt;1,0,IFERROR(LOOKUP(2,1/('Feijão 1ª safra'!$E42:INDEX('Feijão 1ª safra'!$E42:$Z42,MIN(AJ$6-$G$3,22))&lt;&gt;""),'Feijão 1ª safra'!$E42:INDEX('Feijão 1ª safra'!$E42:$Z42,MIN(AJ$6-$G$3,22))),0)))))</f>
        <v>0</v>
      </c>
      <c r="AK44" s="27" t="n">
        <f aca="false">IF(COUNT('Feijão 1ª safra'!$E42:$Z42)=0,0,MAX(0,IF((AK$6-$E$3)&lt;1,0,IFERROR(LOOKUP(2,1/('Feijão 1ª safra'!$E42:INDEX('Feijão 1ª safra'!$E42:$Z42,MIN(AK$6-$E$3,22))&lt;&gt;""),'Feijão 1ª safra'!$E42:INDEX('Feijão 1ª safra'!$E42:$Z42,MIN(AK$6-$E$3,22))),0))-IF($G$2,0,IF((AK$6-$G$3)&lt;1,0,IFERROR(LOOKUP(2,1/('Feijão 1ª safra'!$E42:INDEX('Feijão 1ª safra'!$E42:$Z42,MIN(AK$6-$G$3,22))&lt;&gt;""),'Feijão 1ª safra'!$E42:INDEX('Feijão 1ª safra'!$E42:$Z42,MIN(AK$6-$G$3,22))),0)))))</f>
        <v>0</v>
      </c>
      <c r="AL44" s="27" t="n">
        <f aca="false">IF(COUNT('Feijão 1ª safra'!$E42:$Z42)=0,0,MAX(0,IF((AL$6-$E$3)&lt;1,0,IFERROR(LOOKUP(2,1/('Feijão 1ª safra'!$E42:INDEX('Feijão 1ª safra'!$E42:$Z42,MIN(AL$6-$E$3,22))&lt;&gt;""),'Feijão 1ª safra'!$E42:INDEX('Feijão 1ª safra'!$E42:$Z42,MIN(AL$6-$E$3,22))),0))-IF($G$2,0,IF((AL$6-$G$3)&lt;1,0,IFERROR(LOOKUP(2,1/('Feijão 1ª safra'!$E42:INDEX('Feijão 1ª safra'!$E42:$Z42,MIN(AL$6-$G$3,22))&lt;&gt;""),'Feijão 1ª safra'!$E42:INDEX('Feijão 1ª safra'!$E42:$Z42,MIN(AL$6-$G$3,22))),0)))))</f>
        <v>0</v>
      </c>
      <c r="AM44" s="27" t="n">
        <f aca="false">IF(COUNT('Feijão 1ª safra'!$E42:$Z42)=0,0,MAX(0,IF((AM$6-$E$3)&lt;1,0,IFERROR(LOOKUP(2,1/('Feijão 1ª safra'!$E42:INDEX('Feijão 1ª safra'!$E42:$Z42,MIN(AM$6-$E$3,22))&lt;&gt;""),'Feijão 1ª safra'!$E42:INDEX('Feijão 1ª safra'!$E42:$Z42,MIN(AM$6-$E$3,22))),0))-IF($G$2,0,IF((AM$6-$G$3)&lt;1,0,IFERROR(LOOKUP(2,1/('Feijão 1ª safra'!$E42:INDEX('Feijão 1ª safra'!$E42:$Z42,MIN(AM$6-$G$3,22))&lt;&gt;""),'Feijão 1ª safra'!$E42:INDEX('Feijão 1ª safra'!$E42:$Z42,MIN(AM$6-$G$3,22))),0)))))</f>
        <v>0</v>
      </c>
      <c r="AN44" s="27" t="n">
        <f aca="false">IF(COUNT('Feijão 1ª safra'!$E42:$Z42)=0,0,MAX(0,IF((AN$6-$E$3)&lt;1,0,IFERROR(LOOKUP(2,1/('Feijão 1ª safra'!$E42:INDEX('Feijão 1ª safra'!$E42:$Z42,MIN(AN$6-$E$3,22))&lt;&gt;""),'Feijão 1ª safra'!$E42:INDEX('Feijão 1ª safra'!$E42:$Z42,MIN(AN$6-$E$3,22))),0))-IF($G$2,0,IF((AN$6-$G$3)&lt;1,0,IFERROR(LOOKUP(2,1/('Feijão 1ª safra'!$E42:INDEX('Feijão 1ª safra'!$E42:$Z42,MIN(AN$6-$G$3,22))&lt;&gt;""),'Feijão 1ª safra'!$E42:INDEX('Feijão 1ª safra'!$E42:$Z42,MIN(AN$6-$G$3,22))),0)))))</f>
        <v>0</v>
      </c>
      <c r="AO44" s="27" t="n">
        <f aca="false">IF(COUNT('Feijão 1ª safra'!$E42:$Z42)=0,0,MAX(0,IF((AO$6-$E$3)&lt;1,0,IFERROR(LOOKUP(2,1/('Feijão 1ª safra'!$E42:INDEX('Feijão 1ª safra'!$E42:$Z42,MIN(AO$6-$E$3,22))&lt;&gt;""),'Feijão 1ª safra'!$E42:INDEX('Feijão 1ª safra'!$E42:$Z42,MIN(AO$6-$E$3,22))),0))-IF($G$2,0,IF((AO$6-$G$3)&lt;1,0,IFERROR(LOOKUP(2,1/('Feijão 1ª safra'!$E42:INDEX('Feijão 1ª safra'!$E42:$Z42,MIN(AO$6-$G$3,22))&lt;&gt;""),'Feijão 1ª safra'!$E42:INDEX('Feijão 1ª safra'!$E42:$Z42,MIN(AO$6-$G$3,22))),0)))))</f>
        <v>0</v>
      </c>
      <c r="AP44" s="27" t="n">
        <f aca="false">IF(COUNT('Feijão 1ª safra'!$E42:$Z42)=0,0,MAX(0,IF((AP$6-$E$3)&lt;1,0,IFERROR(LOOKUP(2,1/('Feijão 1ª safra'!$E42:INDEX('Feijão 1ª safra'!$E42:$Z42,MIN(AP$6-$E$3,22))&lt;&gt;""),'Feijão 1ª safra'!$E42:INDEX('Feijão 1ª safra'!$E42:$Z42,MIN(AP$6-$E$3,22))),0))-IF($G$2,0,IF((AP$6-$G$3)&lt;1,0,IFERROR(LOOKUP(2,1/('Feijão 1ª safra'!$E42:INDEX('Feijão 1ª safra'!$E42:$Z42,MIN(AP$6-$G$3,22))&lt;&gt;""),'Feijão 1ª safra'!$E42:INDEX('Feijão 1ª safra'!$E42:$Z42,MIN(AP$6-$G$3,22))),0)))))</f>
        <v>0</v>
      </c>
      <c r="AQ44" s="27" t="n">
        <f aca="false">IF(COUNT('Feijão 1ª safra'!$E42:$Z42)=0,0,MAX(0,IF((AQ$6-$E$3)&lt;1,0,IFERROR(LOOKUP(2,1/('Feijão 1ª safra'!$E42:INDEX('Feijão 1ª safra'!$E42:$Z42,MIN(AQ$6-$E$3,22))&lt;&gt;""),'Feijão 1ª safra'!$E42:INDEX('Feijão 1ª safra'!$E42:$Z42,MIN(AQ$6-$E$3,22))),0))-IF($G$2,0,IF((AQ$6-$G$3)&lt;1,0,IFERROR(LOOKUP(2,1/('Feijão 1ª safra'!$E42:INDEX('Feijão 1ª safra'!$E42:$Z42,MIN(AQ$6-$G$3,22))&lt;&gt;""),'Feijão 1ª safra'!$E42:INDEX('Feijão 1ª safra'!$E42:$Z42,MIN(AQ$6-$G$3,22))),0)))))</f>
        <v>0</v>
      </c>
      <c r="AR44" s="27" t="n">
        <f aca="false">IF(COUNT('Feijão 1ª safra'!$E42:$Z42)=0,0,MAX(0,IF((AR$6-$E$3)&lt;1,0,IFERROR(LOOKUP(2,1/('Feijão 1ª safra'!$E42:INDEX('Feijão 1ª safra'!$E42:$Z42,MIN(AR$6-$E$3,22))&lt;&gt;""),'Feijão 1ª safra'!$E42:INDEX('Feijão 1ª safra'!$E42:$Z42,MIN(AR$6-$E$3,22))),0))-IF($G$2,0,IF((AR$6-$G$3)&lt;1,0,IFERROR(LOOKUP(2,1/('Feijão 1ª safra'!$E42:INDEX('Feijão 1ª safra'!$E42:$Z42,MIN(AR$6-$G$3,22))&lt;&gt;""),'Feijão 1ª safra'!$E42:INDEX('Feijão 1ª safra'!$E42:$Z42,MIN(AR$6-$G$3,22))),0)))))</f>
        <v>0</v>
      </c>
      <c r="AS44" s="27" t="n">
        <f aca="false">IF(COUNT('Feijão 1ª safra'!$E42:$Z42)=0,0,MAX(0,IF((AS$6-$E$3)&lt;1,0,IFERROR(LOOKUP(2,1/('Feijão 1ª safra'!$E42:INDEX('Feijão 1ª safra'!$E42:$Z42,MIN(AS$6-$E$3,22))&lt;&gt;""),'Feijão 1ª safra'!$E42:INDEX('Feijão 1ª safra'!$E42:$Z42,MIN(AS$6-$E$3,22))),0))-IF($G$2,0,IF((AS$6-$G$3)&lt;1,0,IFERROR(LOOKUP(2,1/('Feijão 1ª safra'!$E42:INDEX('Feijão 1ª safra'!$E42:$Z42,MIN(AS$6-$G$3,22))&lt;&gt;""),'Feijão 1ª safra'!$E42:INDEX('Feijão 1ª safra'!$E42:$Z42,MIN(AS$6-$G$3,22))),0)))))</f>
        <v>0</v>
      </c>
      <c r="AT44" s="27" t="n">
        <f aca="false">IF(COUNT('Feijão 1ª safra'!$E42:$Z42)=0,0,MAX(0,IF((AT$6-$E$3)&lt;1,0,IFERROR(LOOKUP(2,1/('Feijão 1ª safra'!$E42:INDEX('Feijão 1ª safra'!$E42:$Z42,MIN(AT$6-$E$3,22))&lt;&gt;""),'Feijão 1ª safra'!$E42:INDEX('Feijão 1ª safra'!$E42:$Z42,MIN(AT$6-$E$3,22))),0))-IF($G$2,0,IF((AT$6-$G$3)&lt;1,0,IFERROR(LOOKUP(2,1/('Feijão 1ª safra'!$E42:INDEX('Feijão 1ª safra'!$E42:$Z42,MIN(AT$6-$G$3,22))&lt;&gt;""),'Feijão 1ª safra'!$E42:INDEX('Feijão 1ª safra'!$E42:$Z42,MIN(AT$6-$G$3,22))),0)))))</f>
        <v>0</v>
      </c>
      <c r="AU44" s="27" t="n">
        <f aca="false">IF(COUNT('Feijão 1ª safra'!$E42:$Z42)=0,0,MAX(0,IF((AU$6-$E$3)&lt;1,0,IFERROR(LOOKUP(2,1/('Feijão 1ª safra'!$E42:INDEX('Feijão 1ª safra'!$E42:$Z42,MIN(AU$6-$E$3,22))&lt;&gt;""),'Feijão 1ª safra'!$E42:INDEX('Feijão 1ª safra'!$E42:$Z42,MIN(AU$6-$E$3,22))),0))-IF($G$2,0,IF((AU$6-$G$3)&lt;1,0,IFERROR(LOOKUP(2,1/('Feijão 1ª safra'!$E42:INDEX('Feijão 1ª safra'!$E42:$Z42,MIN(AU$6-$G$3,22))&lt;&gt;""),'Feijão 1ª safra'!$E42:INDEX('Feijão 1ª safra'!$E42:$Z42,MIN(AU$6-$G$3,22))),0)))))</f>
        <v>0</v>
      </c>
      <c r="AV44" s="27" t="n">
        <f aca="false">IF(COUNT('Feijão 1ª safra'!$E42:$Z42)=0,0,MAX(0,IF((AV$6-$E$3)&lt;1,0,IFERROR(LOOKUP(2,1/('Feijão 1ª safra'!$E42:INDEX('Feijão 1ª safra'!$E42:$Z42,MIN(AV$6-$E$3,22))&lt;&gt;""),'Feijão 1ª safra'!$E42:INDEX('Feijão 1ª safra'!$E42:$Z42,MIN(AV$6-$E$3,22))),0))-IF($G$2,0,IF((AV$6-$G$3)&lt;1,0,IFERROR(LOOKUP(2,1/('Feijão 1ª safra'!$E42:INDEX('Feijão 1ª safra'!$E42:$Z42,MIN(AV$6-$G$3,22))&lt;&gt;""),'Feijão 1ª safra'!$E42:INDEX('Feijão 1ª safra'!$E42:$Z42,MIN(AV$6-$G$3,22))),0)))))</f>
        <v>0</v>
      </c>
      <c r="AW44" s="27" t="n">
        <f aca="false">IF(COUNT('Feijão 1ª safra'!$E42:$Z42)=0,0,MAX(0,IF((AW$6-$E$3)&lt;1,0,IFERROR(LOOKUP(2,1/('Feijão 1ª safra'!$E42:INDEX('Feijão 1ª safra'!$E42:$Z42,MIN(AW$6-$E$3,22))&lt;&gt;""),'Feijão 1ª safra'!$E42:INDEX('Feijão 1ª safra'!$E42:$Z42,MIN(AW$6-$E$3,22))),0))-IF($G$2,0,IF((AW$6-$G$3)&lt;1,0,IFERROR(LOOKUP(2,1/('Feijão 1ª safra'!$E42:INDEX('Feijão 1ª safra'!$E42:$Z42,MIN(AW$6-$G$3,22))&lt;&gt;""),'Feijão 1ª safra'!$E42:INDEX('Feijão 1ª safra'!$E42:$Z42,MIN(AW$6-$G$3,22))),0)))))</f>
        <v>0</v>
      </c>
      <c r="AX44" s="27" t="n">
        <f aca="false">IF(COUNT('Feijão 1ª safra'!$E42:$Z42)=0,0,MAX(0,IF((AX$6-$E$3)&lt;1,0,IFERROR(LOOKUP(2,1/('Feijão 1ª safra'!$E42:INDEX('Feijão 1ª safra'!$E42:$Z42,MIN(AX$6-$E$3,22))&lt;&gt;""),'Feijão 1ª safra'!$E42:INDEX('Feijão 1ª safra'!$E42:$Z42,MIN(AX$6-$E$3,22))),0))-IF($G$2,0,IF((AX$6-$G$3)&lt;1,0,IFERROR(LOOKUP(2,1/('Feijão 1ª safra'!$E42:INDEX('Feijão 1ª safra'!$E42:$Z42,MIN(AX$6-$G$3,22))&lt;&gt;""),'Feijão 1ª safra'!$E42:INDEX('Feijão 1ª safra'!$E42:$Z42,MIN(AX$6-$G$3,22))),0)))))</f>
        <v>0</v>
      </c>
      <c r="AY44" s="27" t="n">
        <f aca="false">IF(COUNT('Feijão 1ª safra'!$E42:$Z42)=0,0,MAX(0,IF((AY$6-$E$3)&lt;1,0,IFERROR(LOOKUP(2,1/('Feijão 1ª safra'!$E42:INDEX('Feijão 1ª safra'!$E42:$Z42,MIN(AY$6-$E$3,22))&lt;&gt;""),'Feijão 1ª safra'!$E42:INDEX('Feijão 1ª safra'!$E42:$Z42,MIN(AY$6-$E$3,22))),0))-IF($G$2,0,IF((AY$6-$G$3)&lt;1,0,IFERROR(LOOKUP(2,1/('Feijão 1ª safra'!$E42:INDEX('Feijão 1ª safra'!$E42:$Z42,MIN(AY$6-$G$3,22))&lt;&gt;""),'Feijão 1ª safra'!$E42:INDEX('Feijão 1ª safra'!$E42:$Z42,MIN(AY$6-$G$3,22))),0)))))</f>
        <v>0</v>
      </c>
      <c r="AZ44" s="27" t="n">
        <f aca="false">IF(COUNT('Feijão 1ª safra'!$E42:$Z42)=0,0,MAX(0,IF((AZ$6-$E$3)&lt;1,0,IFERROR(LOOKUP(2,1/('Feijão 1ª safra'!$E42:INDEX('Feijão 1ª safra'!$E42:$Z42,MIN(AZ$6-$E$3,22))&lt;&gt;""),'Feijão 1ª safra'!$E42:INDEX('Feijão 1ª safra'!$E42:$Z42,MIN(AZ$6-$E$3,22))),0))-IF($G$2,0,IF((AZ$6-$G$3)&lt;1,0,IFERROR(LOOKUP(2,1/('Feijão 1ª safra'!$E42:INDEX('Feijão 1ª safra'!$E42:$Z42,MIN(AZ$6-$G$3,22))&lt;&gt;""),'Feijão 1ª safra'!$E42:INDEX('Feijão 1ª safra'!$E42:$Z42,MIN(AZ$6-$G$3,22))),0)))))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IF(COUNT('Feijão 1ª safra'!$E43:$Z43)&gt;0,N('Feijão 1ª safra'!$D43),0)</f>
        <v>0</v>
      </c>
      <c r="E45" s="27" t="n">
        <f aca="false">IF(COUNT('Feijão 1ª safra'!$E43:$Z43)=0,0,MAX(0,IF((E$6-$E$3)&lt;1,0,IFERROR(LOOKUP(2,1/('Feijão 1ª safra'!$E43:INDEX('Feijão 1ª safra'!$E43:$Z43,MIN(E$6-$E$3,22))&lt;&gt;""),'Feijão 1ª safra'!$E43:INDEX('Feijão 1ª safra'!$E43:$Z43,MIN(E$6-$E$3,22))),0))-IF($G$2,0,IF((E$6-$G$3)&lt;1,0,IFERROR(LOOKUP(2,1/('Feijão 1ª safra'!$E43:INDEX('Feijão 1ª safra'!$E43:$Z43,MIN(E$6-$G$3,22))&lt;&gt;""),'Feijão 1ª safra'!$E43:INDEX('Feijão 1ª safra'!$E43:$Z43,MIN(E$6-$G$3,22))),0)))))</f>
        <v>0</v>
      </c>
      <c r="F45" s="27" t="n">
        <f aca="false">IF(COUNT('Feijão 1ª safra'!$E43:$Z43)=0,0,MAX(0,IF((F$6-$E$3)&lt;1,0,IFERROR(LOOKUP(2,1/('Feijão 1ª safra'!$E43:INDEX('Feijão 1ª safra'!$E43:$Z43,MIN(F$6-$E$3,22))&lt;&gt;""),'Feijão 1ª safra'!$E43:INDEX('Feijão 1ª safra'!$E43:$Z43,MIN(F$6-$E$3,22))),0))-IF($G$2,0,IF((F$6-$G$3)&lt;1,0,IFERROR(LOOKUP(2,1/('Feijão 1ª safra'!$E43:INDEX('Feijão 1ª safra'!$E43:$Z43,MIN(F$6-$G$3,22))&lt;&gt;""),'Feijão 1ª safra'!$E43:INDEX('Feijão 1ª safra'!$E43:$Z43,MIN(F$6-$G$3,22))),0)))))</f>
        <v>0</v>
      </c>
      <c r="G45" s="27" t="n">
        <f aca="false">IF(COUNT('Feijão 1ª safra'!$E43:$Z43)=0,0,MAX(0,IF((G$6-$E$3)&lt;1,0,IFERROR(LOOKUP(2,1/('Feijão 1ª safra'!$E43:INDEX('Feijão 1ª safra'!$E43:$Z43,MIN(G$6-$E$3,22))&lt;&gt;""),'Feijão 1ª safra'!$E43:INDEX('Feijão 1ª safra'!$E43:$Z43,MIN(G$6-$E$3,22))),0))-IF($G$2,0,IF((G$6-$G$3)&lt;1,0,IFERROR(LOOKUP(2,1/('Feijão 1ª safra'!$E43:INDEX('Feijão 1ª safra'!$E43:$Z43,MIN(G$6-$G$3,22))&lt;&gt;""),'Feijão 1ª safra'!$E43:INDEX('Feijão 1ª safra'!$E43:$Z43,MIN(G$6-$G$3,22))),0)))))</f>
        <v>0</v>
      </c>
      <c r="H45" s="27" t="n">
        <f aca="false">IF(COUNT('Feijão 1ª safra'!$E43:$Z43)=0,0,MAX(0,IF((H$6-$E$3)&lt;1,0,IFERROR(LOOKUP(2,1/('Feijão 1ª safra'!$E43:INDEX('Feijão 1ª safra'!$E43:$Z43,MIN(H$6-$E$3,22))&lt;&gt;""),'Feijão 1ª safra'!$E43:INDEX('Feijão 1ª safra'!$E43:$Z43,MIN(H$6-$E$3,22))),0))-IF($G$2,0,IF((H$6-$G$3)&lt;1,0,IFERROR(LOOKUP(2,1/('Feijão 1ª safra'!$E43:INDEX('Feijão 1ª safra'!$E43:$Z43,MIN(H$6-$G$3,22))&lt;&gt;""),'Feijão 1ª safra'!$E43:INDEX('Feijão 1ª safra'!$E43:$Z43,MIN(H$6-$G$3,22))),0)))))</f>
        <v>0</v>
      </c>
      <c r="I45" s="27" t="n">
        <f aca="false">IF(COUNT('Feijão 1ª safra'!$E43:$Z43)=0,0,MAX(0,IF((I$6-$E$3)&lt;1,0,IFERROR(LOOKUP(2,1/('Feijão 1ª safra'!$E43:INDEX('Feijão 1ª safra'!$E43:$Z43,MIN(I$6-$E$3,22))&lt;&gt;""),'Feijão 1ª safra'!$E43:INDEX('Feijão 1ª safra'!$E43:$Z43,MIN(I$6-$E$3,22))),0))-IF($G$2,0,IF((I$6-$G$3)&lt;1,0,IFERROR(LOOKUP(2,1/('Feijão 1ª safra'!$E43:INDEX('Feijão 1ª safra'!$E43:$Z43,MIN(I$6-$G$3,22))&lt;&gt;""),'Feijão 1ª safra'!$E43:INDEX('Feijão 1ª safra'!$E43:$Z43,MIN(I$6-$G$3,22))),0)))))</f>
        <v>0</v>
      </c>
      <c r="J45" s="27" t="n">
        <f aca="false">IF(COUNT('Feijão 1ª safra'!$E43:$Z43)=0,0,MAX(0,IF((J$6-$E$3)&lt;1,0,IFERROR(LOOKUP(2,1/('Feijão 1ª safra'!$E43:INDEX('Feijão 1ª safra'!$E43:$Z43,MIN(J$6-$E$3,22))&lt;&gt;""),'Feijão 1ª safra'!$E43:INDEX('Feijão 1ª safra'!$E43:$Z43,MIN(J$6-$E$3,22))),0))-IF($G$2,0,IF((J$6-$G$3)&lt;1,0,IFERROR(LOOKUP(2,1/('Feijão 1ª safra'!$E43:INDEX('Feijão 1ª safra'!$E43:$Z43,MIN(J$6-$G$3,22))&lt;&gt;""),'Feijão 1ª safra'!$E43:INDEX('Feijão 1ª safra'!$E43:$Z43,MIN(J$6-$G$3,22))),0)))))</f>
        <v>0</v>
      </c>
      <c r="K45" s="27" t="n">
        <f aca="false">IF(COUNT('Feijão 1ª safra'!$E43:$Z43)=0,0,MAX(0,IF((K$6-$E$3)&lt;1,0,IFERROR(LOOKUP(2,1/('Feijão 1ª safra'!$E43:INDEX('Feijão 1ª safra'!$E43:$Z43,MIN(K$6-$E$3,22))&lt;&gt;""),'Feijão 1ª safra'!$E43:INDEX('Feijão 1ª safra'!$E43:$Z43,MIN(K$6-$E$3,22))),0))-IF($G$2,0,IF((K$6-$G$3)&lt;1,0,IFERROR(LOOKUP(2,1/('Feijão 1ª safra'!$E43:INDEX('Feijão 1ª safra'!$E43:$Z43,MIN(K$6-$G$3,22))&lt;&gt;""),'Feijão 1ª safra'!$E43:INDEX('Feijão 1ª safra'!$E43:$Z43,MIN(K$6-$G$3,22))),0)))))</f>
        <v>0</v>
      </c>
      <c r="L45" s="27" t="n">
        <f aca="false">IF(COUNT('Feijão 1ª safra'!$E43:$Z43)=0,0,MAX(0,IF((L$6-$E$3)&lt;1,0,IFERROR(LOOKUP(2,1/('Feijão 1ª safra'!$E43:INDEX('Feijão 1ª safra'!$E43:$Z43,MIN(L$6-$E$3,22))&lt;&gt;""),'Feijão 1ª safra'!$E43:INDEX('Feijão 1ª safra'!$E43:$Z43,MIN(L$6-$E$3,22))),0))-IF($G$2,0,IF((L$6-$G$3)&lt;1,0,IFERROR(LOOKUP(2,1/('Feijão 1ª safra'!$E43:INDEX('Feijão 1ª safra'!$E43:$Z43,MIN(L$6-$G$3,22))&lt;&gt;""),'Feijão 1ª safra'!$E43:INDEX('Feijão 1ª safra'!$E43:$Z43,MIN(L$6-$G$3,22))),0)))))</f>
        <v>0</v>
      </c>
      <c r="M45" s="27" t="n">
        <f aca="false">IF(COUNT('Feijão 1ª safra'!$E43:$Z43)=0,0,MAX(0,IF((M$6-$E$3)&lt;1,0,IFERROR(LOOKUP(2,1/('Feijão 1ª safra'!$E43:INDEX('Feijão 1ª safra'!$E43:$Z43,MIN(M$6-$E$3,22))&lt;&gt;""),'Feijão 1ª safra'!$E43:INDEX('Feijão 1ª safra'!$E43:$Z43,MIN(M$6-$E$3,22))),0))-IF($G$2,0,IF((M$6-$G$3)&lt;1,0,IFERROR(LOOKUP(2,1/('Feijão 1ª safra'!$E43:INDEX('Feijão 1ª safra'!$E43:$Z43,MIN(M$6-$G$3,22))&lt;&gt;""),'Feijão 1ª safra'!$E43:INDEX('Feijão 1ª safra'!$E43:$Z43,MIN(M$6-$G$3,22))),0)))))</f>
        <v>0</v>
      </c>
      <c r="N45" s="27" t="n">
        <f aca="false">IF(COUNT('Feijão 1ª safra'!$E43:$Z43)=0,0,MAX(0,IF((N$6-$E$3)&lt;1,0,IFERROR(LOOKUP(2,1/('Feijão 1ª safra'!$E43:INDEX('Feijão 1ª safra'!$E43:$Z43,MIN(N$6-$E$3,22))&lt;&gt;""),'Feijão 1ª safra'!$E43:INDEX('Feijão 1ª safra'!$E43:$Z43,MIN(N$6-$E$3,22))),0))-IF($G$2,0,IF((N$6-$G$3)&lt;1,0,IFERROR(LOOKUP(2,1/('Feijão 1ª safra'!$E43:INDEX('Feijão 1ª safra'!$E43:$Z43,MIN(N$6-$G$3,22))&lt;&gt;""),'Feijão 1ª safra'!$E43:INDEX('Feijão 1ª safra'!$E43:$Z43,MIN(N$6-$G$3,22))),0)))))</f>
        <v>0</v>
      </c>
      <c r="O45" s="27" t="n">
        <f aca="false">IF(COUNT('Feijão 1ª safra'!$E43:$Z43)=0,0,MAX(0,IF((O$6-$E$3)&lt;1,0,IFERROR(LOOKUP(2,1/('Feijão 1ª safra'!$E43:INDEX('Feijão 1ª safra'!$E43:$Z43,MIN(O$6-$E$3,22))&lt;&gt;""),'Feijão 1ª safra'!$E43:INDEX('Feijão 1ª safra'!$E43:$Z43,MIN(O$6-$E$3,22))),0))-IF($G$2,0,IF((O$6-$G$3)&lt;1,0,IFERROR(LOOKUP(2,1/('Feijão 1ª safra'!$E43:INDEX('Feijão 1ª safra'!$E43:$Z43,MIN(O$6-$G$3,22))&lt;&gt;""),'Feijão 1ª safra'!$E43:INDEX('Feijão 1ª safra'!$E43:$Z43,MIN(O$6-$G$3,22))),0)))))</f>
        <v>0</v>
      </c>
      <c r="P45" s="27" t="n">
        <f aca="false">IF(COUNT('Feijão 1ª safra'!$E43:$Z43)=0,0,MAX(0,IF((P$6-$E$3)&lt;1,0,IFERROR(LOOKUP(2,1/('Feijão 1ª safra'!$E43:INDEX('Feijão 1ª safra'!$E43:$Z43,MIN(P$6-$E$3,22))&lt;&gt;""),'Feijão 1ª safra'!$E43:INDEX('Feijão 1ª safra'!$E43:$Z43,MIN(P$6-$E$3,22))),0))-IF($G$2,0,IF((P$6-$G$3)&lt;1,0,IFERROR(LOOKUP(2,1/('Feijão 1ª safra'!$E43:INDEX('Feijão 1ª safra'!$E43:$Z43,MIN(P$6-$G$3,22))&lt;&gt;""),'Feijão 1ª safra'!$E43:INDEX('Feijão 1ª safra'!$E43:$Z43,MIN(P$6-$G$3,22))),0)))))</f>
        <v>0</v>
      </c>
      <c r="Q45" s="27" t="n">
        <f aca="false">IF(COUNT('Feijão 1ª safra'!$E43:$Z43)=0,0,MAX(0,IF((Q$6-$E$3)&lt;1,0,IFERROR(LOOKUP(2,1/('Feijão 1ª safra'!$E43:INDEX('Feijão 1ª safra'!$E43:$Z43,MIN(Q$6-$E$3,22))&lt;&gt;""),'Feijão 1ª safra'!$E43:INDEX('Feijão 1ª safra'!$E43:$Z43,MIN(Q$6-$E$3,22))),0))-IF($G$2,0,IF((Q$6-$G$3)&lt;1,0,IFERROR(LOOKUP(2,1/('Feijão 1ª safra'!$E43:INDEX('Feijão 1ª safra'!$E43:$Z43,MIN(Q$6-$G$3,22))&lt;&gt;""),'Feijão 1ª safra'!$E43:INDEX('Feijão 1ª safra'!$E43:$Z43,MIN(Q$6-$G$3,22))),0)))))</f>
        <v>0</v>
      </c>
      <c r="R45" s="27" t="n">
        <f aca="false">IF(COUNT('Feijão 1ª safra'!$E43:$Z43)=0,0,MAX(0,IF((R$6-$E$3)&lt;1,0,IFERROR(LOOKUP(2,1/('Feijão 1ª safra'!$E43:INDEX('Feijão 1ª safra'!$E43:$Z43,MIN(R$6-$E$3,22))&lt;&gt;""),'Feijão 1ª safra'!$E43:INDEX('Feijão 1ª safra'!$E43:$Z43,MIN(R$6-$E$3,22))),0))-IF($G$2,0,IF((R$6-$G$3)&lt;1,0,IFERROR(LOOKUP(2,1/('Feijão 1ª safra'!$E43:INDEX('Feijão 1ª safra'!$E43:$Z43,MIN(R$6-$G$3,22))&lt;&gt;""),'Feijão 1ª safra'!$E43:INDEX('Feijão 1ª safra'!$E43:$Z43,MIN(R$6-$G$3,22))),0)))))</f>
        <v>0</v>
      </c>
      <c r="S45" s="27" t="n">
        <f aca="false">IF(COUNT('Feijão 1ª safra'!$E43:$Z43)=0,0,MAX(0,IF((S$6-$E$3)&lt;1,0,IFERROR(LOOKUP(2,1/('Feijão 1ª safra'!$E43:INDEX('Feijão 1ª safra'!$E43:$Z43,MIN(S$6-$E$3,22))&lt;&gt;""),'Feijão 1ª safra'!$E43:INDEX('Feijão 1ª safra'!$E43:$Z43,MIN(S$6-$E$3,22))),0))-IF($G$2,0,IF((S$6-$G$3)&lt;1,0,IFERROR(LOOKUP(2,1/('Feijão 1ª safra'!$E43:INDEX('Feijão 1ª safra'!$E43:$Z43,MIN(S$6-$G$3,22))&lt;&gt;""),'Feijão 1ª safra'!$E43:INDEX('Feijão 1ª safra'!$E43:$Z43,MIN(S$6-$G$3,22))),0)))))</f>
        <v>0</v>
      </c>
      <c r="T45" s="27" t="n">
        <f aca="false">IF(COUNT('Feijão 1ª safra'!$E43:$Z43)=0,0,MAX(0,IF((T$6-$E$3)&lt;1,0,IFERROR(LOOKUP(2,1/('Feijão 1ª safra'!$E43:INDEX('Feijão 1ª safra'!$E43:$Z43,MIN(T$6-$E$3,22))&lt;&gt;""),'Feijão 1ª safra'!$E43:INDEX('Feijão 1ª safra'!$E43:$Z43,MIN(T$6-$E$3,22))),0))-IF($G$2,0,IF((T$6-$G$3)&lt;1,0,IFERROR(LOOKUP(2,1/('Feijão 1ª safra'!$E43:INDEX('Feijão 1ª safra'!$E43:$Z43,MIN(T$6-$G$3,22))&lt;&gt;""),'Feijão 1ª safra'!$E43:INDEX('Feijão 1ª safra'!$E43:$Z43,MIN(T$6-$G$3,22))),0)))))</f>
        <v>0</v>
      </c>
      <c r="U45" s="27" t="n">
        <f aca="false">IF(COUNT('Feijão 1ª safra'!$E43:$Z43)=0,0,MAX(0,IF((U$6-$E$3)&lt;1,0,IFERROR(LOOKUP(2,1/('Feijão 1ª safra'!$E43:INDEX('Feijão 1ª safra'!$E43:$Z43,MIN(U$6-$E$3,22))&lt;&gt;""),'Feijão 1ª safra'!$E43:INDEX('Feijão 1ª safra'!$E43:$Z43,MIN(U$6-$E$3,22))),0))-IF($G$2,0,IF((U$6-$G$3)&lt;1,0,IFERROR(LOOKUP(2,1/('Feijão 1ª safra'!$E43:INDEX('Feijão 1ª safra'!$E43:$Z43,MIN(U$6-$G$3,22))&lt;&gt;""),'Feijão 1ª safra'!$E43:INDEX('Feijão 1ª safra'!$E43:$Z43,MIN(U$6-$G$3,22))),0)))))</f>
        <v>0</v>
      </c>
      <c r="V45" s="27" t="n">
        <f aca="false">IF(COUNT('Feijão 1ª safra'!$E43:$Z43)=0,0,MAX(0,IF((V$6-$E$3)&lt;1,0,IFERROR(LOOKUP(2,1/('Feijão 1ª safra'!$E43:INDEX('Feijão 1ª safra'!$E43:$Z43,MIN(V$6-$E$3,22))&lt;&gt;""),'Feijão 1ª safra'!$E43:INDEX('Feijão 1ª safra'!$E43:$Z43,MIN(V$6-$E$3,22))),0))-IF($G$2,0,IF((V$6-$G$3)&lt;1,0,IFERROR(LOOKUP(2,1/('Feijão 1ª safra'!$E43:INDEX('Feijão 1ª safra'!$E43:$Z43,MIN(V$6-$G$3,22))&lt;&gt;""),'Feijão 1ª safra'!$E43:INDEX('Feijão 1ª safra'!$E43:$Z43,MIN(V$6-$G$3,22))),0)))))</f>
        <v>0</v>
      </c>
      <c r="W45" s="27" t="n">
        <f aca="false">IF(COUNT('Feijão 1ª safra'!$E43:$Z43)=0,0,MAX(0,IF((W$6-$E$3)&lt;1,0,IFERROR(LOOKUP(2,1/('Feijão 1ª safra'!$E43:INDEX('Feijão 1ª safra'!$E43:$Z43,MIN(W$6-$E$3,22))&lt;&gt;""),'Feijão 1ª safra'!$E43:INDEX('Feijão 1ª safra'!$E43:$Z43,MIN(W$6-$E$3,22))),0))-IF($G$2,0,IF((W$6-$G$3)&lt;1,0,IFERROR(LOOKUP(2,1/('Feijão 1ª safra'!$E43:INDEX('Feijão 1ª safra'!$E43:$Z43,MIN(W$6-$G$3,22))&lt;&gt;""),'Feijão 1ª safra'!$E43:INDEX('Feijão 1ª safra'!$E43:$Z43,MIN(W$6-$G$3,22))),0)))))</f>
        <v>0</v>
      </c>
      <c r="X45" s="27" t="n">
        <f aca="false">IF(COUNT('Feijão 1ª safra'!$E43:$Z43)=0,0,MAX(0,IF((X$6-$E$3)&lt;1,0,IFERROR(LOOKUP(2,1/('Feijão 1ª safra'!$E43:INDEX('Feijão 1ª safra'!$E43:$Z43,MIN(X$6-$E$3,22))&lt;&gt;""),'Feijão 1ª safra'!$E43:INDEX('Feijão 1ª safra'!$E43:$Z43,MIN(X$6-$E$3,22))),0))-IF($G$2,0,IF((X$6-$G$3)&lt;1,0,IFERROR(LOOKUP(2,1/('Feijão 1ª safra'!$E43:INDEX('Feijão 1ª safra'!$E43:$Z43,MIN(X$6-$G$3,22))&lt;&gt;""),'Feijão 1ª safra'!$E43:INDEX('Feijão 1ª safra'!$E43:$Z43,MIN(X$6-$G$3,22))),0)))))</f>
        <v>0</v>
      </c>
      <c r="Y45" s="27" t="n">
        <f aca="false">IF(COUNT('Feijão 1ª safra'!$E43:$Z43)=0,0,MAX(0,IF((Y$6-$E$3)&lt;1,0,IFERROR(LOOKUP(2,1/('Feijão 1ª safra'!$E43:INDEX('Feijão 1ª safra'!$E43:$Z43,MIN(Y$6-$E$3,22))&lt;&gt;""),'Feijão 1ª safra'!$E43:INDEX('Feijão 1ª safra'!$E43:$Z43,MIN(Y$6-$E$3,22))),0))-IF($G$2,0,IF((Y$6-$G$3)&lt;1,0,IFERROR(LOOKUP(2,1/('Feijão 1ª safra'!$E43:INDEX('Feijão 1ª safra'!$E43:$Z43,MIN(Y$6-$G$3,22))&lt;&gt;""),'Feijão 1ª safra'!$E43:INDEX('Feijão 1ª safra'!$E43:$Z43,MIN(Y$6-$G$3,22))),0)))))</f>
        <v>0</v>
      </c>
      <c r="Z45" s="27" t="n">
        <f aca="false">IF(COUNT('Feijão 1ª safra'!$E43:$Z43)=0,0,MAX(0,IF((Z$6-$E$3)&lt;1,0,IFERROR(LOOKUP(2,1/('Feijão 1ª safra'!$E43:INDEX('Feijão 1ª safra'!$E43:$Z43,MIN(Z$6-$E$3,22))&lt;&gt;""),'Feijão 1ª safra'!$E43:INDEX('Feijão 1ª safra'!$E43:$Z43,MIN(Z$6-$E$3,22))),0))-IF($G$2,0,IF((Z$6-$G$3)&lt;1,0,IFERROR(LOOKUP(2,1/('Feijão 1ª safra'!$E43:INDEX('Feijão 1ª safra'!$E43:$Z43,MIN(Z$6-$G$3,22))&lt;&gt;""),'Feijão 1ª safra'!$E43:INDEX('Feijão 1ª safra'!$E43:$Z43,MIN(Z$6-$G$3,22))),0)))))</f>
        <v>0</v>
      </c>
      <c r="AA45" s="27" t="n">
        <f aca="false">IF(COUNT('Feijão 1ª safra'!$E43:$Z43)=0,0,MAX(0,IF((AA$6-$E$3)&lt;1,0,IFERROR(LOOKUP(2,1/('Feijão 1ª safra'!$E43:INDEX('Feijão 1ª safra'!$E43:$Z43,MIN(AA$6-$E$3,22))&lt;&gt;""),'Feijão 1ª safra'!$E43:INDEX('Feijão 1ª safra'!$E43:$Z43,MIN(AA$6-$E$3,22))),0))-IF($G$2,0,IF((AA$6-$G$3)&lt;1,0,IFERROR(LOOKUP(2,1/('Feijão 1ª safra'!$E43:INDEX('Feijão 1ª safra'!$E43:$Z43,MIN(AA$6-$G$3,22))&lt;&gt;""),'Feijão 1ª safra'!$E43:INDEX('Feijão 1ª safra'!$E43:$Z43,MIN(AA$6-$G$3,22))),0)))))</f>
        <v>0</v>
      </c>
      <c r="AB45" s="27" t="n">
        <f aca="false">IF(COUNT('Feijão 1ª safra'!$E43:$Z43)=0,0,MAX(0,IF((AB$6-$E$3)&lt;1,0,IFERROR(LOOKUP(2,1/('Feijão 1ª safra'!$E43:INDEX('Feijão 1ª safra'!$E43:$Z43,MIN(AB$6-$E$3,22))&lt;&gt;""),'Feijão 1ª safra'!$E43:INDEX('Feijão 1ª safra'!$E43:$Z43,MIN(AB$6-$E$3,22))),0))-IF($G$2,0,IF((AB$6-$G$3)&lt;1,0,IFERROR(LOOKUP(2,1/('Feijão 1ª safra'!$E43:INDEX('Feijão 1ª safra'!$E43:$Z43,MIN(AB$6-$G$3,22))&lt;&gt;""),'Feijão 1ª safra'!$E43:INDEX('Feijão 1ª safra'!$E43:$Z43,MIN(AB$6-$G$3,22))),0)))))</f>
        <v>0</v>
      </c>
      <c r="AC45" s="27" t="n">
        <f aca="false">IF(COUNT('Feijão 1ª safra'!$E43:$Z43)=0,0,MAX(0,IF((AC$6-$E$3)&lt;1,0,IFERROR(LOOKUP(2,1/('Feijão 1ª safra'!$E43:INDEX('Feijão 1ª safra'!$E43:$Z43,MIN(AC$6-$E$3,22))&lt;&gt;""),'Feijão 1ª safra'!$E43:INDEX('Feijão 1ª safra'!$E43:$Z43,MIN(AC$6-$E$3,22))),0))-IF($G$2,0,IF((AC$6-$G$3)&lt;1,0,IFERROR(LOOKUP(2,1/('Feijão 1ª safra'!$E43:INDEX('Feijão 1ª safra'!$E43:$Z43,MIN(AC$6-$G$3,22))&lt;&gt;""),'Feijão 1ª safra'!$E43:INDEX('Feijão 1ª safra'!$E43:$Z43,MIN(AC$6-$G$3,22))),0)))))</f>
        <v>0</v>
      </c>
      <c r="AD45" s="27" t="n">
        <f aca="false">IF(COUNT('Feijão 1ª safra'!$E43:$Z43)=0,0,MAX(0,IF((AD$6-$E$3)&lt;1,0,IFERROR(LOOKUP(2,1/('Feijão 1ª safra'!$E43:INDEX('Feijão 1ª safra'!$E43:$Z43,MIN(AD$6-$E$3,22))&lt;&gt;""),'Feijão 1ª safra'!$E43:INDEX('Feijão 1ª safra'!$E43:$Z43,MIN(AD$6-$E$3,22))),0))-IF($G$2,0,IF((AD$6-$G$3)&lt;1,0,IFERROR(LOOKUP(2,1/('Feijão 1ª safra'!$E43:INDEX('Feijão 1ª safra'!$E43:$Z43,MIN(AD$6-$G$3,22))&lt;&gt;""),'Feijão 1ª safra'!$E43:INDEX('Feijão 1ª safra'!$E43:$Z43,MIN(AD$6-$G$3,22))),0)))))</f>
        <v>0</v>
      </c>
      <c r="AE45" s="27" t="n">
        <f aca="false">IF(COUNT('Feijão 1ª safra'!$E43:$Z43)=0,0,MAX(0,IF((AE$6-$E$3)&lt;1,0,IFERROR(LOOKUP(2,1/('Feijão 1ª safra'!$E43:INDEX('Feijão 1ª safra'!$E43:$Z43,MIN(AE$6-$E$3,22))&lt;&gt;""),'Feijão 1ª safra'!$E43:INDEX('Feijão 1ª safra'!$E43:$Z43,MIN(AE$6-$E$3,22))),0))-IF($G$2,0,IF((AE$6-$G$3)&lt;1,0,IFERROR(LOOKUP(2,1/('Feijão 1ª safra'!$E43:INDEX('Feijão 1ª safra'!$E43:$Z43,MIN(AE$6-$G$3,22))&lt;&gt;""),'Feijão 1ª safra'!$E43:INDEX('Feijão 1ª safra'!$E43:$Z43,MIN(AE$6-$G$3,22))),0)))))</f>
        <v>0</v>
      </c>
      <c r="AF45" s="27" t="n">
        <f aca="false">IF(COUNT('Feijão 1ª safra'!$E43:$Z43)=0,0,MAX(0,IF((AF$6-$E$3)&lt;1,0,IFERROR(LOOKUP(2,1/('Feijão 1ª safra'!$E43:INDEX('Feijão 1ª safra'!$E43:$Z43,MIN(AF$6-$E$3,22))&lt;&gt;""),'Feijão 1ª safra'!$E43:INDEX('Feijão 1ª safra'!$E43:$Z43,MIN(AF$6-$E$3,22))),0))-IF($G$2,0,IF((AF$6-$G$3)&lt;1,0,IFERROR(LOOKUP(2,1/('Feijão 1ª safra'!$E43:INDEX('Feijão 1ª safra'!$E43:$Z43,MIN(AF$6-$G$3,22))&lt;&gt;""),'Feijão 1ª safra'!$E43:INDEX('Feijão 1ª safra'!$E43:$Z43,MIN(AF$6-$G$3,22))),0)))))</f>
        <v>0</v>
      </c>
      <c r="AG45" s="27" t="n">
        <f aca="false">IF(COUNT('Feijão 1ª safra'!$E43:$Z43)=0,0,MAX(0,IF((AG$6-$E$3)&lt;1,0,IFERROR(LOOKUP(2,1/('Feijão 1ª safra'!$E43:INDEX('Feijão 1ª safra'!$E43:$Z43,MIN(AG$6-$E$3,22))&lt;&gt;""),'Feijão 1ª safra'!$E43:INDEX('Feijão 1ª safra'!$E43:$Z43,MIN(AG$6-$E$3,22))),0))-IF($G$2,0,IF((AG$6-$G$3)&lt;1,0,IFERROR(LOOKUP(2,1/('Feijão 1ª safra'!$E43:INDEX('Feijão 1ª safra'!$E43:$Z43,MIN(AG$6-$G$3,22))&lt;&gt;""),'Feijão 1ª safra'!$E43:INDEX('Feijão 1ª safra'!$E43:$Z43,MIN(AG$6-$G$3,22))),0)))))</f>
        <v>0</v>
      </c>
      <c r="AH45" s="27" t="n">
        <f aca="false">IF(COUNT('Feijão 1ª safra'!$E43:$Z43)=0,0,MAX(0,IF((AH$6-$E$3)&lt;1,0,IFERROR(LOOKUP(2,1/('Feijão 1ª safra'!$E43:INDEX('Feijão 1ª safra'!$E43:$Z43,MIN(AH$6-$E$3,22))&lt;&gt;""),'Feijão 1ª safra'!$E43:INDEX('Feijão 1ª safra'!$E43:$Z43,MIN(AH$6-$E$3,22))),0))-IF($G$2,0,IF((AH$6-$G$3)&lt;1,0,IFERROR(LOOKUP(2,1/('Feijão 1ª safra'!$E43:INDEX('Feijão 1ª safra'!$E43:$Z43,MIN(AH$6-$G$3,22))&lt;&gt;""),'Feijão 1ª safra'!$E43:INDEX('Feijão 1ª safra'!$E43:$Z43,MIN(AH$6-$G$3,22))),0)))))</f>
        <v>0</v>
      </c>
      <c r="AI45" s="27" t="n">
        <f aca="false">IF(COUNT('Feijão 1ª safra'!$E43:$Z43)=0,0,MAX(0,IF((AI$6-$E$3)&lt;1,0,IFERROR(LOOKUP(2,1/('Feijão 1ª safra'!$E43:INDEX('Feijão 1ª safra'!$E43:$Z43,MIN(AI$6-$E$3,22))&lt;&gt;""),'Feijão 1ª safra'!$E43:INDEX('Feijão 1ª safra'!$E43:$Z43,MIN(AI$6-$E$3,22))),0))-IF($G$2,0,IF((AI$6-$G$3)&lt;1,0,IFERROR(LOOKUP(2,1/('Feijão 1ª safra'!$E43:INDEX('Feijão 1ª safra'!$E43:$Z43,MIN(AI$6-$G$3,22))&lt;&gt;""),'Feijão 1ª safra'!$E43:INDEX('Feijão 1ª safra'!$E43:$Z43,MIN(AI$6-$G$3,22))),0)))))</f>
        <v>0</v>
      </c>
      <c r="AJ45" s="27" t="n">
        <f aca="false">IF(COUNT('Feijão 1ª safra'!$E43:$Z43)=0,0,MAX(0,IF((AJ$6-$E$3)&lt;1,0,IFERROR(LOOKUP(2,1/('Feijão 1ª safra'!$E43:INDEX('Feijão 1ª safra'!$E43:$Z43,MIN(AJ$6-$E$3,22))&lt;&gt;""),'Feijão 1ª safra'!$E43:INDEX('Feijão 1ª safra'!$E43:$Z43,MIN(AJ$6-$E$3,22))),0))-IF($G$2,0,IF((AJ$6-$G$3)&lt;1,0,IFERROR(LOOKUP(2,1/('Feijão 1ª safra'!$E43:INDEX('Feijão 1ª safra'!$E43:$Z43,MIN(AJ$6-$G$3,22))&lt;&gt;""),'Feijão 1ª safra'!$E43:INDEX('Feijão 1ª safra'!$E43:$Z43,MIN(AJ$6-$G$3,22))),0)))))</f>
        <v>0</v>
      </c>
      <c r="AK45" s="27" t="n">
        <f aca="false">IF(COUNT('Feijão 1ª safra'!$E43:$Z43)=0,0,MAX(0,IF((AK$6-$E$3)&lt;1,0,IFERROR(LOOKUP(2,1/('Feijão 1ª safra'!$E43:INDEX('Feijão 1ª safra'!$E43:$Z43,MIN(AK$6-$E$3,22))&lt;&gt;""),'Feijão 1ª safra'!$E43:INDEX('Feijão 1ª safra'!$E43:$Z43,MIN(AK$6-$E$3,22))),0))-IF($G$2,0,IF((AK$6-$G$3)&lt;1,0,IFERROR(LOOKUP(2,1/('Feijão 1ª safra'!$E43:INDEX('Feijão 1ª safra'!$E43:$Z43,MIN(AK$6-$G$3,22))&lt;&gt;""),'Feijão 1ª safra'!$E43:INDEX('Feijão 1ª safra'!$E43:$Z43,MIN(AK$6-$G$3,22))),0)))))</f>
        <v>0</v>
      </c>
      <c r="AL45" s="27" t="n">
        <f aca="false">IF(COUNT('Feijão 1ª safra'!$E43:$Z43)=0,0,MAX(0,IF((AL$6-$E$3)&lt;1,0,IFERROR(LOOKUP(2,1/('Feijão 1ª safra'!$E43:INDEX('Feijão 1ª safra'!$E43:$Z43,MIN(AL$6-$E$3,22))&lt;&gt;""),'Feijão 1ª safra'!$E43:INDEX('Feijão 1ª safra'!$E43:$Z43,MIN(AL$6-$E$3,22))),0))-IF($G$2,0,IF((AL$6-$G$3)&lt;1,0,IFERROR(LOOKUP(2,1/('Feijão 1ª safra'!$E43:INDEX('Feijão 1ª safra'!$E43:$Z43,MIN(AL$6-$G$3,22))&lt;&gt;""),'Feijão 1ª safra'!$E43:INDEX('Feijão 1ª safra'!$E43:$Z43,MIN(AL$6-$G$3,22))),0)))))</f>
        <v>0</v>
      </c>
      <c r="AM45" s="27" t="n">
        <f aca="false">IF(COUNT('Feijão 1ª safra'!$E43:$Z43)=0,0,MAX(0,IF((AM$6-$E$3)&lt;1,0,IFERROR(LOOKUP(2,1/('Feijão 1ª safra'!$E43:INDEX('Feijão 1ª safra'!$E43:$Z43,MIN(AM$6-$E$3,22))&lt;&gt;""),'Feijão 1ª safra'!$E43:INDEX('Feijão 1ª safra'!$E43:$Z43,MIN(AM$6-$E$3,22))),0))-IF($G$2,0,IF((AM$6-$G$3)&lt;1,0,IFERROR(LOOKUP(2,1/('Feijão 1ª safra'!$E43:INDEX('Feijão 1ª safra'!$E43:$Z43,MIN(AM$6-$G$3,22))&lt;&gt;""),'Feijão 1ª safra'!$E43:INDEX('Feijão 1ª safra'!$E43:$Z43,MIN(AM$6-$G$3,22))),0)))))</f>
        <v>0</v>
      </c>
      <c r="AN45" s="27" t="n">
        <f aca="false">IF(COUNT('Feijão 1ª safra'!$E43:$Z43)=0,0,MAX(0,IF((AN$6-$E$3)&lt;1,0,IFERROR(LOOKUP(2,1/('Feijão 1ª safra'!$E43:INDEX('Feijão 1ª safra'!$E43:$Z43,MIN(AN$6-$E$3,22))&lt;&gt;""),'Feijão 1ª safra'!$E43:INDEX('Feijão 1ª safra'!$E43:$Z43,MIN(AN$6-$E$3,22))),0))-IF($G$2,0,IF((AN$6-$G$3)&lt;1,0,IFERROR(LOOKUP(2,1/('Feijão 1ª safra'!$E43:INDEX('Feijão 1ª safra'!$E43:$Z43,MIN(AN$6-$G$3,22))&lt;&gt;""),'Feijão 1ª safra'!$E43:INDEX('Feijão 1ª safra'!$E43:$Z43,MIN(AN$6-$G$3,22))),0)))))</f>
        <v>0</v>
      </c>
      <c r="AO45" s="27" t="n">
        <f aca="false">IF(COUNT('Feijão 1ª safra'!$E43:$Z43)=0,0,MAX(0,IF((AO$6-$E$3)&lt;1,0,IFERROR(LOOKUP(2,1/('Feijão 1ª safra'!$E43:INDEX('Feijão 1ª safra'!$E43:$Z43,MIN(AO$6-$E$3,22))&lt;&gt;""),'Feijão 1ª safra'!$E43:INDEX('Feijão 1ª safra'!$E43:$Z43,MIN(AO$6-$E$3,22))),0))-IF($G$2,0,IF((AO$6-$G$3)&lt;1,0,IFERROR(LOOKUP(2,1/('Feijão 1ª safra'!$E43:INDEX('Feijão 1ª safra'!$E43:$Z43,MIN(AO$6-$G$3,22))&lt;&gt;""),'Feijão 1ª safra'!$E43:INDEX('Feijão 1ª safra'!$E43:$Z43,MIN(AO$6-$G$3,22))),0)))))</f>
        <v>0</v>
      </c>
      <c r="AP45" s="27" t="n">
        <f aca="false">IF(COUNT('Feijão 1ª safra'!$E43:$Z43)=0,0,MAX(0,IF((AP$6-$E$3)&lt;1,0,IFERROR(LOOKUP(2,1/('Feijão 1ª safra'!$E43:INDEX('Feijão 1ª safra'!$E43:$Z43,MIN(AP$6-$E$3,22))&lt;&gt;""),'Feijão 1ª safra'!$E43:INDEX('Feijão 1ª safra'!$E43:$Z43,MIN(AP$6-$E$3,22))),0))-IF($G$2,0,IF((AP$6-$G$3)&lt;1,0,IFERROR(LOOKUP(2,1/('Feijão 1ª safra'!$E43:INDEX('Feijão 1ª safra'!$E43:$Z43,MIN(AP$6-$G$3,22))&lt;&gt;""),'Feijão 1ª safra'!$E43:INDEX('Feijão 1ª safra'!$E43:$Z43,MIN(AP$6-$G$3,22))),0)))))</f>
        <v>0</v>
      </c>
      <c r="AQ45" s="27" t="n">
        <f aca="false">IF(COUNT('Feijão 1ª safra'!$E43:$Z43)=0,0,MAX(0,IF((AQ$6-$E$3)&lt;1,0,IFERROR(LOOKUP(2,1/('Feijão 1ª safra'!$E43:INDEX('Feijão 1ª safra'!$E43:$Z43,MIN(AQ$6-$E$3,22))&lt;&gt;""),'Feijão 1ª safra'!$E43:INDEX('Feijão 1ª safra'!$E43:$Z43,MIN(AQ$6-$E$3,22))),0))-IF($G$2,0,IF((AQ$6-$G$3)&lt;1,0,IFERROR(LOOKUP(2,1/('Feijão 1ª safra'!$E43:INDEX('Feijão 1ª safra'!$E43:$Z43,MIN(AQ$6-$G$3,22))&lt;&gt;""),'Feijão 1ª safra'!$E43:INDEX('Feijão 1ª safra'!$E43:$Z43,MIN(AQ$6-$G$3,22))),0)))))</f>
        <v>0</v>
      </c>
      <c r="AR45" s="27" t="n">
        <f aca="false">IF(COUNT('Feijão 1ª safra'!$E43:$Z43)=0,0,MAX(0,IF((AR$6-$E$3)&lt;1,0,IFERROR(LOOKUP(2,1/('Feijão 1ª safra'!$E43:INDEX('Feijão 1ª safra'!$E43:$Z43,MIN(AR$6-$E$3,22))&lt;&gt;""),'Feijão 1ª safra'!$E43:INDEX('Feijão 1ª safra'!$E43:$Z43,MIN(AR$6-$E$3,22))),0))-IF($G$2,0,IF((AR$6-$G$3)&lt;1,0,IFERROR(LOOKUP(2,1/('Feijão 1ª safra'!$E43:INDEX('Feijão 1ª safra'!$E43:$Z43,MIN(AR$6-$G$3,22))&lt;&gt;""),'Feijão 1ª safra'!$E43:INDEX('Feijão 1ª safra'!$E43:$Z43,MIN(AR$6-$G$3,22))),0)))))</f>
        <v>0</v>
      </c>
      <c r="AS45" s="27" t="n">
        <f aca="false">IF(COUNT('Feijão 1ª safra'!$E43:$Z43)=0,0,MAX(0,IF((AS$6-$E$3)&lt;1,0,IFERROR(LOOKUP(2,1/('Feijão 1ª safra'!$E43:INDEX('Feijão 1ª safra'!$E43:$Z43,MIN(AS$6-$E$3,22))&lt;&gt;""),'Feijão 1ª safra'!$E43:INDEX('Feijão 1ª safra'!$E43:$Z43,MIN(AS$6-$E$3,22))),0))-IF($G$2,0,IF((AS$6-$G$3)&lt;1,0,IFERROR(LOOKUP(2,1/('Feijão 1ª safra'!$E43:INDEX('Feijão 1ª safra'!$E43:$Z43,MIN(AS$6-$G$3,22))&lt;&gt;""),'Feijão 1ª safra'!$E43:INDEX('Feijão 1ª safra'!$E43:$Z43,MIN(AS$6-$G$3,22))),0)))))</f>
        <v>0</v>
      </c>
      <c r="AT45" s="27" t="n">
        <f aca="false">IF(COUNT('Feijão 1ª safra'!$E43:$Z43)=0,0,MAX(0,IF((AT$6-$E$3)&lt;1,0,IFERROR(LOOKUP(2,1/('Feijão 1ª safra'!$E43:INDEX('Feijão 1ª safra'!$E43:$Z43,MIN(AT$6-$E$3,22))&lt;&gt;""),'Feijão 1ª safra'!$E43:INDEX('Feijão 1ª safra'!$E43:$Z43,MIN(AT$6-$E$3,22))),0))-IF($G$2,0,IF((AT$6-$G$3)&lt;1,0,IFERROR(LOOKUP(2,1/('Feijão 1ª safra'!$E43:INDEX('Feijão 1ª safra'!$E43:$Z43,MIN(AT$6-$G$3,22))&lt;&gt;""),'Feijão 1ª safra'!$E43:INDEX('Feijão 1ª safra'!$E43:$Z43,MIN(AT$6-$G$3,22))),0)))))</f>
        <v>0</v>
      </c>
      <c r="AU45" s="27" t="n">
        <f aca="false">IF(COUNT('Feijão 1ª safra'!$E43:$Z43)=0,0,MAX(0,IF((AU$6-$E$3)&lt;1,0,IFERROR(LOOKUP(2,1/('Feijão 1ª safra'!$E43:INDEX('Feijão 1ª safra'!$E43:$Z43,MIN(AU$6-$E$3,22))&lt;&gt;""),'Feijão 1ª safra'!$E43:INDEX('Feijão 1ª safra'!$E43:$Z43,MIN(AU$6-$E$3,22))),0))-IF($G$2,0,IF((AU$6-$G$3)&lt;1,0,IFERROR(LOOKUP(2,1/('Feijão 1ª safra'!$E43:INDEX('Feijão 1ª safra'!$E43:$Z43,MIN(AU$6-$G$3,22))&lt;&gt;""),'Feijão 1ª safra'!$E43:INDEX('Feijão 1ª safra'!$E43:$Z43,MIN(AU$6-$G$3,22))),0)))))</f>
        <v>0</v>
      </c>
      <c r="AV45" s="27" t="n">
        <f aca="false">IF(COUNT('Feijão 1ª safra'!$E43:$Z43)=0,0,MAX(0,IF((AV$6-$E$3)&lt;1,0,IFERROR(LOOKUP(2,1/('Feijão 1ª safra'!$E43:INDEX('Feijão 1ª safra'!$E43:$Z43,MIN(AV$6-$E$3,22))&lt;&gt;""),'Feijão 1ª safra'!$E43:INDEX('Feijão 1ª safra'!$E43:$Z43,MIN(AV$6-$E$3,22))),0))-IF($G$2,0,IF((AV$6-$G$3)&lt;1,0,IFERROR(LOOKUP(2,1/('Feijão 1ª safra'!$E43:INDEX('Feijão 1ª safra'!$E43:$Z43,MIN(AV$6-$G$3,22))&lt;&gt;""),'Feijão 1ª safra'!$E43:INDEX('Feijão 1ª safra'!$E43:$Z43,MIN(AV$6-$G$3,22))),0)))))</f>
        <v>0</v>
      </c>
      <c r="AW45" s="27" t="n">
        <f aca="false">IF(COUNT('Feijão 1ª safra'!$E43:$Z43)=0,0,MAX(0,IF((AW$6-$E$3)&lt;1,0,IFERROR(LOOKUP(2,1/('Feijão 1ª safra'!$E43:INDEX('Feijão 1ª safra'!$E43:$Z43,MIN(AW$6-$E$3,22))&lt;&gt;""),'Feijão 1ª safra'!$E43:INDEX('Feijão 1ª safra'!$E43:$Z43,MIN(AW$6-$E$3,22))),0))-IF($G$2,0,IF((AW$6-$G$3)&lt;1,0,IFERROR(LOOKUP(2,1/('Feijão 1ª safra'!$E43:INDEX('Feijão 1ª safra'!$E43:$Z43,MIN(AW$6-$G$3,22))&lt;&gt;""),'Feijão 1ª safra'!$E43:INDEX('Feijão 1ª safra'!$E43:$Z43,MIN(AW$6-$G$3,22))),0)))))</f>
        <v>0</v>
      </c>
      <c r="AX45" s="27" t="n">
        <f aca="false">IF(COUNT('Feijão 1ª safra'!$E43:$Z43)=0,0,MAX(0,IF((AX$6-$E$3)&lt;1,0,IFERROR(LOOKUP(2,1/('Feijão 1ª safra'!$E43:INDEX('Feijão 1ª safra'!$E43:$Z43,MIN(AX$6-$E$3,22))&lt;&gt;""),'Feijão 1ª safra'!$E43:INDEX('Feijão 1ª safra'!$E43:$Z43,MIN(AX$6-$E$3,22))),0))-IF($G$2,0,IF((AX$6-$G$3)&lt;1,0,IFERROR(LOOKUP(2,1/('Feijão 1ª safra'!$E43:INDEX('Feijão 1ª safra'!$E43:$Z43,MIN(AX$6-$G$3,22))&lt;&gt;""),'Feijão 1ª safra'!$E43:INDEX('Feijão 1ª safra'!$E43:$Z43,MIN(AX$6-$G$3,22))),0)))))</f>
        <v>0</v>
      </c>
      <c r="AY45" s="27" t="n">
        <f aca="false">IF(COUNT('Feijão 1ª safra'!$E43:$Z43)=0,0,MAX(0,IF((AY$6-$E$3)&lt;1,0,IFERROR(LOOKUP(2,1/('Feijão 1ª safra'!$E43:INDEX('Feijão 1ª safra'!$E43:$Z43,MIN(AY$6-$E$3,22))&lt;&gt;""),'Feijão 1ª safra'!$E43:INDEX('Feijão 1ª safra'!$E43:$Z43,MIN(AY$6-$E$3,22))),0))-IF($G$2,0,IF((AY$6-$G$3)&lt;1,0,IFERROR(LOOKUP(2,1/('Feijão 1ª safra'!$E43:INDEX('Feijão 1ª safra'!$E43:$Z43,MIN(AY$6-$G$3,22))&lt;&gt;""),'Feijão 1ª safra'!$E43:INDEX('Feijão 1ª safra'!$E43:$Z43,MIN(AY$6-$G$3,22))),0)))))</f>
        <v>0</v>
      </c>
      <c r="AZ45" s="27" t="n">
        <f aca="false">IF(COUNT('Feijão 1ª safra'!$E43:$Z43)=0,0,MAX(0,IF((AZ$6-$E$3)&lt;1,0,IFERROR(LOOKUP(2,1/('Feijão 1ª safra'!$E43:INDEX('Feijão 1ª safra'!$E43:$Z43,MIN(AZ$6-$E$3,22))&lt;&gt;""),'Feijão 1ª safra'!$E43:INDEX('Feijão 1ª safra'!$E43:$Z43,MIN(AZ$6-$E$3,22))),0))-IF($G$2,0,IF((AZ$6-$G$3)&lt;1,0,IFERROR(LOOKUP(2,1/('Feijão 1ª safra'!$E43:INDEX('Feijão 1ª safra'!$E43:$Z43,MIN(AZ$6-$G$3,22))&lt;&gt;""),'Feijão 1ª safra'!$E43:INDEX('Feijão 1ª safra'!$E43:$Z43,MIN(AZ$6-$G$3,22))),0)))))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IF(COUNT('Feijão 1ª safra'!$E44:$Z44)&gt;0,N('Feijão 1ª safra'!$D44),0)</f>
        <v>0</v>
      </c>
      <c r="E46" s="27" t="n">
        <f aca="false">IF(COUNT('Feijão 1ª safra'!$E44:$Z44)=0,0,MAX(0,IF((E$6-$E$3)&lt;1,0,IFERROR(LOOKUP(2,1/('Feijão 1ª safra'!$E44:INDEX('Feijão 1ª safra'!$E44:$Z44,MIN(E$6-$E$3,22))&lt;&gt;""),'Feijão 1ª safra'!$E44:INDEX('Feijão 1ª safra'!$E44:$Z44,MIN(E$6-$E$3,22))),0))-IF($G$2,0,IF((E$6-$G$3)&lt;1,0,IFERROR(LOOKUP(2,1/('Feijão 1ª safra'!$E44:INDEX('Feijão 1ª safra'!$E44:$Z44,MIN(E$6-$G$3,22))&lt;&gt;""),'Feijão 1ª safra'!$E44:INDEX('Feijão 1ª safra'!$E44:$Z44,MIN(E$6-$G$3,22))),0)))))</f>
        <v>0</v>
      </c>
      <c r="F46" s="27" t="n">
        <f aca="false">IF(COUNT('Feijão 1ª safra'!$E44:$Z44)=0,0,MAX(0,IF((F$6-$E$3)&lt;1,0,IFERROR(LOOKUP(2,1/('Feijão 1ª safra'!$E44:INDEX('Feijão 1ª safra'!$E44:$Z44,MIN(F$6-$E$3,22))&lt;&gt;""),'Feijão 1ª safra'!$E44:INDEX('Feijão 1ª safra'!$E44:$Z44,MIN(F$6-$E$3,22))),0))-IF($G$2,0,IF((F$6-$G$3)&lt;1,0,IFERROR(LOOKUP(2,1/('Feijão 1ª safra'!$E44:INDEX('Feijão 1ª safra'!$E44:$Z44,MIN(F$6-$G$3,22))&lt;&gt;""),'Feijão 1ª safra'!$E44:INDEX('Feijão 1ª safra'!$E44:$Z44,MIN(F$6-$G$3,22))),0)))))</f>
        <v>0</v>
      </c>
      <c r="G46" s="27" t="n">
        <f aca="false">IF(COUNT('Feijão 1ª safra'!$E44:$Z44)=0,0,MAX(0,IF((G$6-$E$3)&lt;1,0,IFERROR(LOOKUP(2,1/('Feijão 1ª safra'!$E44:INDEX('Feijão 1ª safra'!$E44:$Z44,MIN(G$6-$E$3,22))&lt;&gt;""),'Feijão 1ª safra'!$E44:INDEX('Feijão 1ª safra'!$E44:$Z44,MIN(G$6-$E$3,22))),0))-IF($G$2,0,IF((G$6-$G$3)&lt;1,0,IFERROR(LOOKUP(2,1/('Feijão 1ª safra'!$E44:INDEX('Feijão 1ª safra'!$E44:$Z44,MIN(G$6-$G$3,22))&lt;&gt;""),'Feijão 1ª safra'!$E44:INDEX('Feijão 1ª safra'!$E44:$Z44,MIN(G$6-$G$3,22))),0)))))</f>
        <v>0</v>
      </c>
      <c r="H46" s="27" t="n">
        <f aca="false">IF(COUNT('Feijão 1ª safra'!$E44:$Z44)=0,0,MAX(0,IF((H$6-$E$3)&lt;1,0,IFERROR(LOOKUP(2,1/('Feijão 1ª safra'!$E44:INDEX('Feijão 1ª safra'!$E44:$Z44,MIN(H$6-$E$3,22))&lt;&gt;""),'Feijão 1ª safra'!$E44:INDEX('Feijão 1ª safra'!$E44:$Z44,MIN(H$6-$E$3,22))),0))-IF($G$2,0,IF((H$6-$G$3)&lt;1,0,IFERROR(LOOKUP(2,1/('Feijão 1ª safra'!$E44:INDEX('Feijão 1ª safra'!$E44:$Z44,MIN(H$6-$G$3,22))&lt;&gt;""),'Feijão 1ª safra'!$E44:INDEX('Feijão 1ª safra'!$E44:$Z44,MIN(H$6-$G$3,22))),0)))))</f>
        <v>0</v>
      </c>
      <c r="I46" s="27" t="n">
        <f aca="false">IF(COUNT('Feijão 1ª safra'!$E44:$Z44)=0,0,MAX(0,IF((I$6-$E$3)&lt;1,0,IFERROR(LOOKUP(2,1/('Feijão 1ª safra'!$E44:INDEX('Feijão 1ª safra'!$E44:$Z44,MIN(I$6-$E$3,22))&lt;&gt;""),'Feijão 1ª safra'!$E44:INDEX('Feijão 1ª safra'!$E44:$Z44,MIN(I$6-$E$3,22))),0))-IF($G$2,0,IF((I$6-$G$3)&lt;1,0,IFERROR(LOOKUP(2,1/('Feijão 1ª safra'!$E44:INDEX('Feijão 1ª safra'!$E44:$Z44,MIN(I$6-$G$3,22))&lt;&gt;""),'Feijão 1ª safra'!$E44:INDEX('Feijão 1ª safra'!$E44:$Z44,MIN(I$6-$G$3,22))),0)))))</f>
        <v>0</v>
      </c>
      <c r="J46" s="27" t="n">
        <f aca="false">IF(COUNT('Feijão 1ª safra'!$E44:$Z44)=0,0,MAX(0,IF((J$6-$E$3)&lt;1,0,IFERROR(LOOKUP(2,1/('Feijão 1ª safra'!$E44:INDEX('Feijão 1ª safra'!$E44:$Z44,MIN(J$6-$E$3,22))&lt;&gt;""),'Feijão 1ª safra'!$E44:INDEX('Feijão 1ª safra'!$E44:$Z44,MIN(J$6-$E$3,22))),0))-IF($G$2,0,IF((J$6-$G$3)&lt;1,0,IFERROR(LOOKUP(2,1/('Feijão 1ª safra'!$E44:INDEX('Feijão 1ª safra'!$E44:$Z44,MIN(J$6-$G$3,22))&lt;&gt;""),'Feijão 1ª safra'!$E44:INDEX('Feijão 1ª safra'!$E44:$Z44,MIN(J$6-$G$3,22))),0)))))</f>
        <v>0</v>
      </c>
      <c r="K46" s="27" t="n">
        <f aca="false">IF(COUNT('Feijão 1ª safra'!$E44:$Z44)=0,0,MAX(0,IF((K$6-$E$3)&lt;1,0,IFERROR(LOOKUP(2,1/('Feijão 1ª safra'!$E44:INDEX('Feijão 1ª safra'!$E44:$Z44,MIN(K$6-$E$3,22))&lt;&gt;""),'Feijão 1ª safra'!$E44:INDEX('Feijão 1ª safra'!$E44:$Z44,MIN(K$6-$E$3,22))),0))-IF($G$2,0,IF((K$6-$G$3)&lt;1,0,IFERROR(LOOKUP(2,1/('Feijão 1ª safra'!$E44:INDEX('Feijão 1ª safra'!$E44:$Z44,MIN(K$6-$G$3,22))&lt;&gt;""),'Feijão 1ª safra'!$E44:INDEX('Feijão 1ª safra'!$E44:$Z44,MIN(K$6-$G$3,22))),0)))))</f>
        <v>0</v>
      </c>
      <c r="L46" s="27" t="n">
        <f aca="false">IF(COUNT('Feijão 1ª safra'!$E44:$Z44)=0,0,MAX(0,IF((L$6-$E$3)&lt;1,0,IFERROR(LOOKUP(2,1/('Feijão 1ª safra'!$E44:INDEX('Feijão 1ª safra'!$E44:$Z44,MIN(L$6-$E$3,22))&lt;&gt;""),'Feijão 1ª safra'!$E44:INDEX('Feijão 1ª safra'!$E44:$Z44,MIN(L$6-$E$3,22))),0))-IF($G$2,0,IF((L$6-$G$3)&lt;1,0,IFERROR(LOOKUP(2,1/('Feijão 1ª safra'!$E44:INDEX('Feijão 1ª safra'!$E44:$Z44,MIN(L$6-$G$3,22))&lt;&gt;""),'Feijão 1ª safra'!$E44:INDEX('Feijão 1ª safra'!$E44:$Z44,MIN(L$6-$G$3,22))),0)))))</f>
        <v>0</v>
      </c>
      <c r="M46" s="27" t="n">
        <f aca="false">IF(COUNT('Feijão 1ª safra'!$E44:$Z44)=0,0,MAX(0,IF((M$6-$E$3)&lt;1,0,IFERROR(LOOKUP(2,1/('Feijão 1ª safra'!$E44:INDEX('Feijão 1ª safra'!$E44:$Z44,MIN(M$6-$E$3,22))&lt;&gt;""),'Feijão 1ª safra'!$E44:INDEX('Feijão 1ª safra'!$E44:$Z44,MIN(M$6-$E$3,22))),0))-IF($G$2,0,IF((M$6-$G$3)&lt;1,0,IFERROR(LOOKUP(2,1/('Feijão 1ª safra'!$E44:INDEX('Feijão 1ª safra'!$E44:$Z44,MIN(M$6-$G$3,22))&lt;&gt;""),'Feijão 1ª safra'!$E44:INDEX('Feijão 1ª safra'!$E44:$Z44,MIN(M$6-$G$3,22))),0)))))</f>
        <v>0</v>
      </c>
      <c r="N46" s="27" t="n">
        <f aca="false">IF(COUNT('Feijão 1ª safra'!$E44:$Z44)=0,0,MAX(0,IF((N$6-$E$3)&lt;1,0,IFERROR(LOOKUP(2,1/('Feijão 1ª safra'!$E44:INDEX('Feijão 1ª safra'!$E44:$Z44,MIN(N$6-$E$3,22))&lt;&gt;""),'Feijão 1ª safra'!$E44:INDEX('Feijão 1ª safra'!$E44:$Z44,MIN(N$6-$E$3,22))),0))-IF($G$2,0,IF((N$6-$G$3)&lt;1,0,IFERROR(LOOKUP(2,1/('Feijão 1ª safra'!$E44:INDEX('Feijão 1ª safra'!$E44:$Z44,MIN(N$6-$G$3,22))&lt;&gt;""),'Feijão 1ª safra'!$E44:INDEX('Feijão 1ª safra'!$E44:$Z44,MIN(N$6-$G$3,22))),0)))))</f>
        <v>0</v>
      </c>
      <c r="O46" s="27" t="n">
        <f aca="false">IF(COUNT('Feijão 1ª safra'!$E44:$Z44)=0,0,MAX(0,IF((O$6-$E$3)&lt;1,0,IFERROR(LOOKUP(2,1/('Feijão 1ª safra'!$E44:INDEX('Feijão 1ª safra'!$E44:$Z44,MIN(O$6-$E$3,22))&lt;&gt;""),'Feijão 1ª safra'!$E44:INDEX('Feijão 1ª safra'!$E44:$Z44,MIN(O$6-$E$3,22))),0))-IF($G$2,0,IF((O$6-$G$3)&lt;1,0,IFERROR(LOOKUP(2,1/('Feijão 1ª safra'!$E44:INDEX('Feijão 1ª safra'!$E44:$Z44,MIN(O$6-$G$3,22))&lt;&gt;""),'Feijão 1ª safra'!$E44:INDEX('Feijão 1ª safra'!$E44:$Z44,MIN(O$6-$G$3,22))),0)))))</f>
        <v>0</v>
      </c>
      <c r="P46" s="27" t="n">
        <f aca="false">IF(COUNT('Feijão 1ª safra'!$E44:$Z44)=0,0,MAX(0,IF((P$6-$E$3)&lt;1,0,IFERROR(LOOKUP(2,1/('Feijão 1ª safra'!$E44:INDEX('Feijão 1ª safra'!$E44:$Z44,MIN(P$6-$E$3,22))&lt;&gt;""),'Feijão 1ª safra'!$E44:INDEX('Feijão 1ª safra'!$E44:$Z44,MIN(P$6-$E$3,22))),0))-IF($G$2,0,IF((P$6-$G$3)&lt;1,0,IFERROR(LOOKUP(2,1/('Feijão 1ª safra'!$E44:INDEX('Feijão 1ª safra'!$E44:$Z44,MIN(P$6-$G$3,22))&lt;&gt;""),'Feijão 1ª safra'!$E44:INDEX('Feijão 1ª safra'!$E44:$Z44,MIN(P$6-$G$3,22))),0)))))</f>
        <v>0</v>
      </c>
      <c r="Q46" s="27" t="n">
        <f aca="false">IF(COUNT('Feijão 1ª safra'!$E44:$Z44)=0,0,MAX(0,IF((Q$6-$E$3)&lt;1,0,IFERROR(LOOKUP(2,1/('Feijão 1ª safra'!$E44:INDEX('Feijão 1ª safra'!$E44:$Z44,MIN(Q$6-$E$3,22))&lt;&gt;""),'Feijão 1ª safra'!$E44:INDEX('Feijão 1ª safra'!$E44:$Z44,MIN(Q$6-$E$3,22))),0))-IF($G$2,0,IF((Q$6-$G$3)&lt;1,0,IFERROR(LOOKUP(2,1/('Feijão 1ª safra'!$E44:INDEX('Feijão 1ª safra'!$E44:$Z44,MIN(Q$6-$G$3,22))&lt;&gt;""),'Feijão 1ª safra'!$E44:INDEX('Feijão 1ª safra'!$E44:$Z44,MIN(Q$6-$G$3,22))),0)))))</f>
        <v>0</v>
      </c>
      <c r="R46" s="27" t="n">
        <f aca="false">IF(COUNT('Feijão 1ª safra'!$E44:$Z44)=0,0,MAX(0,IF((R$6-$E$3)&lt;1,0,IFERROR(LOOKUP(2,1/('Feijão 1ª safra'!$E44:INDEX('Feijão 1ª safra'!$E44:$Z44,MIN(R$6-$E$3,22))&lt;&gt;""),'Feijão 1ª safra'!$E44:INDEX('Feijão 1ª safra'!$E44:$Z44,MIN(R$6-$E$3,22))),0))-IF($G$2,0,IF((R$6-$G$3)&lt;1,0,IFERROR(LOOKUP(2,1/('Feijão 1ª safra'!$E44:INDEX('Feijão 1ª safra'!$E44:$Z44,MIN(R$6-$G$3,22))&lt;&gt;""),'Feijão 1ª safra'!$E44:INDEX('Feijão 1ª safra'!$E44:$Z44,MIN(R$6-$G$3,22))),0)))))</f>
        <v>0</v>
      </c>
      <c r="S46" s="27" t="n">
        <f aca="false">IF(COUNT('Feijão 1ª safra'!$E44:$Z44)=0,0,MAX(0,IF((S$6-$E$3)&lt;1,0,IFERROR(LOOKUP(2,1/('Feijão 1ª safra'!$E44:INDEX('Feijão 1ª safra'!$E44:$Z44,MIN(S$6-$E$3,22))&lt;&gt;""),'Feijão 1ª safra'!$E44:INDEX('Feijão 1ª safra'!$E44:$Z44,MIN(S$6-$E$3,22))),0))-IF($G$2,0,IF((S$6-$G$3)&lt;1,0,IFERROR(LOOKUP(2,1/('Feijão 1ª safra'!$E44:INDEX('Feijão 1ª safra'!$E44:$Z44,MIN(S$6-$G$3,22))&lt;&gt;""),'Feijão 1ª safra'!$E44:INDEX('Feijão 1ª safra'!$E44:$Z44,MIN(S$6-$G$3,22))),0)))))</f>
        <v>0</v>
      </c>
      <c r="T46" s="27" t="n">
        <f aca="false">IF(COUNT('Feijão 1ª safra'!$E44:$Z44)=0,0,MAX(0,IF((T$6-$E$3)&lt;1,0,IFERROR(LOOKUP(2,1/('Feijão 1ª safra'!$E44:INDEX('Feijão 1ª safra'!$E44:$Z44,MIN(T$6-$E$3,22))&lt;&gt;""),'Feijão 1ª safra'!$E44:INDEX('Feijão 1ª safra'!$E44:$Z44,MIN(T$6-$E$3,22))),0))-IF($G$2,0,IF((T$6-$G$3)&lt;1,0,IFERROR(LOOKUP(2,1/('Feijão 1ª safra'!$E44:INDEX('Feijão 1ª safra'!$E44:$Z44,MIN(T$6-$G$3,22))&lt;&gt;""),'Feijão 1ª safra'!$E44:INDEX('Feijão 1ª safra'!$E44:$Z44,MIN(T$6-$G$3,22))),0)))))</f>
        <v>0</v>
      </c>
      <c r="U46" s="27" t="n">
        <f aca="false">IF(COUNT('Feijão 1ª safra'!$E44:$Z44)=0,0,MAX(0,IF((U$6-$E$3)&lt;1,0,IFERROR(LOOKUP(2,1/('Feijão 1ª safra'!$E44:INDEX('Feijão 1ª safra'!$E44:$Z44,MIN(U$6-$E$3,22))&lt;&gt;""),'Feijão 1ª safra'!$E44:INDEX('Feijão 1ª safra'!$E44:$Z44,MIN(U$6-$E$3,22))),0))-IF($G$2,0,IF((U$6-$G$3)&lt;1,0,IFERROR(LOOKUP(2,1/('Feijão 1ª safra'!$E44:INDEX('Feijão 1ª safra'!$E44:$Z44,MIN(U$6-$G$3,22))&lt;&gt;""),'Feijão 1ª safra'!$E44:INDEX('Feijão 1ª safra'!$E44:$Z44,MIN(U$6-$G$3,22))),0)))))</f>
        <v>0</v>
      </c>
      <c r="V46" s="27" t="n">
        <f aca="false">IF(COUNT('Feijão 1ª safra'!$E44:$Z44)=0,0,MAX(0,IF((V$6-$E$3)&lt;1,0,IFERROR(LOOKUP(2,1/('Feijão 1ª safra'!$E44:INDEX('Feijão 1ª safra'!$E44:$Z44,MIN(V$6-$E$3,22))&lt;&gt;""),'Feijão 1ª safra'!$E44:INDEX('Feijão 1ª safra'!$E44:$Z44,MIN(V$6-$E$3,22))),0))-IF($G$2,0,IF((V$6-$G$3)&lt;1,0,IFERROR(LOOKUP(2,1/('Feijão 1ª safra'!$E44:INDEX('Feijão 1ª safra'!$E44:$Z44,MIN(V$6-$G$3,22))&lt;&gt;""),'Feijão 1ª safra'!$E44:INDEX('Feijão 1ª safra'!$E44:$Z44,MIN(V$6-$G$3,22))),0)))))</f>
        <v>0</v>
      </c>
      <c r="W46" s="27" t="n">
        <f aca="false">IF(COUNT('Feijão 1ª safra'!$E44:$Z44)=0,0,MAX(0,IF((W$6-$E$3)&lt;1,0,IFERROR(LOOKUP(2,1/('Feijão 1ª safra'!$E44:INDEX('Feijão 1ª safra'!$E44:$Z44,MIN(W$6-$E$3,22))&lt;&gt;""),'Feijão 1ª safra'!$E44:INDEX('Feijão 1ª safra'!$E44:$Z44,MIN(W$6-$E$3,22))),0))-IF($G$2,0,IF((W$6-$G$3)&lt;1,0,IFERROR(LOOKUP(2,1/('Feijão 1ª safra'!$E44:INDEX('Feijão 1ª safra'!$E44:$Z44,MIN(W$6-$G$3,22))&lt;&gt;""),'Feijão 1ª safra'!$E44:INDEX('Feijão 1ª safra'!$E44:$Z44,MIN(W$6-$G$3,22))),0)))))</f>
        <v>0</v>
      </c>
      <c r="X46" s="27" t="n">
        <f aca="false">IF(COUNT('Feijão 1ª safra'!$E44:$Z44)=0,0,MAX(0,IF((X$6-$E$3)&lt;1,0,IFERROR(LOOKUP(2,1/('Feijão 1ª safra'!$E44:INDEX('Feijão 1ª safra'!$E44:$Z44,MIN(X$6-$E$3,22))&lt;&gt;""),'Feijão 1ª safra'!$E44:INDEX('Feijão 1ª safra'!$E44:$Z44,MIN(X$6-$E$3,22))),0))-IF($G$2,0,IF((X$6-$G$3)&lt;1,0,IFERROR(LOOKUP(2,1/('Feijão 1ª safra'!$E44:INDEX('Feijão 1ª safra'!$E44:$Z44,MIN(X$6-$G$3,22))&lt;&gt;""),'Feijão 1ª safra'!$E44:INDEX('Feijão 1ª safra'!$E44:$Z44,MIN(X$6-$G$3,22))),0)))))</f>
        <v>0</v>
      </c>
      <c r="Y46" s="27" t="n">
        <f aca="false">IF(COUNT('Feijão 1ª safra'!$E44:$Z44)=0,0,MAX(0,IF((Y$6-$E$3)&lt;1,0,IFERROR(LOOKUP(2,1/('Feijão 1ª safra'!$E44:INDEX('Feijão 1ª safra'!$E44:$Z44,MIN(Y$6-$E$3,22))&lt;&gt;""),'Feijão 1ª safra'!$E44:INDEX('Feijão 1ª safra'!$E44:$Z44,MIN(Y$6-$E$3,22))),0))-IF($G$2,0,IF((Y$6-$G$3)&lt;1,0,IFERROR(LOOKUP(2,1/('Feijão 1ª safra'!$E44:INDEX('Feijão 1ª safra'!$E44:$Z44,MIN(Y$6-$G$3,22))&lt;&gt;""),'Feijão 1ª safra'!$E44:INDEX('Feijão 1ª safra'!$E44:$Z44,MIN(Y$6-$G$3,22))),0)))))</f>
        <v>0</v>
      </c>
      <c r="Z46" s="27" t="n">
        <f aca="false">IF(COUNT('Feijão 1ª safra'!$E44:$Z44)=0,0,MAX(0,IF((Z$6-$E$3)&lt;1,0,IFERROR(LOOKUP(2,1/('Feijão 1ª safra'!$E44:INDEX('Feijão 1ª safra'!$E44:$Z44,MIN(Z$6-$E$3,22))&lt;&gt;""),'Feijão 1ª safra'!$E44:INDEX('Feijão 1ª safra'!$E44:$Z44,MIN(Z$6-$E$3,22))),0))-IF($G$2,0,IF((Z$6-$G$3)&lt;1,0,IFERROR(LOOKUP(2,1/('Feijão 1ª safra'!$E44:INDEX('Feijão 1ª safra'!$E44:$Z44,MIN(Z$6-$G$3,22))&lt;&gt;""),'Feijão 1ª safra'!$E44:INDEX('Feijão 1ª safra'!$E44:$Z44,MIN(Z$6-$G$3,22))),0)))))</f>
        <v>0</v>
      </c>
      <c r="AA46" s="27" t="n">
        <f aca="false">IF(COUNT('Feijão 1ª safra'!$E44:$Z44)=0,0,MAX(0,IF((AA$6-$E$3)&lt;1,0,IFERROR(LOOKUP(2,1/('Feijão 1ª safra'!$E44:INDEX('Feijão 1ª safra'!$E44:$Z44,MIN(AA$6-$E$3,22))&lt;&gt;""),'Feijão 1ª safra'!$E44:INDEX('Feijão 1ª safra'!$E44:$Z44,MIN(AA$6-$E$3,22))),0))-IF($G$2,0,IF((AA$6-$G$3)&lt;1,0,IFERROR(LOOKUP(2,1/('Feijão 1ª safra'!$E44:INDEX('Feijão 1ª safra'!$E44:$Z44,MIN(AA$6-$G$3,22))&lt;&gt;""),'Feijão 1ª safra'!$E44:INDEX('Feijão 1ª safra'!$E44:$Z44,MIN(AA$6-$G$3,22))),0)))))</f>
        <v>0</v>
      </c>
      <c r="AB46" s="27" t="n">
        <f aca="false">IF(COUNT('Feijão 1ª safra'!$E44:$Z44)=0,0,MAX(0,IF((AB$6-$E$3)&lt;1,0,IFERROR(LOOKUP(2,1/('Feijão 1ª safra'!$E44:INDEX('Feijão 1ª safra'!$E44:$Z44,MIN(AB$6-$E$3,22))&lt;&gt;""),'Feijão 1ª safra'!$E44:INDEX('Feijão 1ª safra'!$E44:$Z44,MIN(AB$6-$E$3,22))),0))-IF($G$2,0,IF((AB$6-$G$3)&lt;1,0,IFERROR(LOOKUP(2,1/('Feijão 1ª safra'!$E44:INDEX('Feijão 1ª safra'!$E44:$Z44,MIN(AB$6-$G$3,22))&lt;&gt;""),'Feijão 1ª safra'!$E44:INDEX('Feijão 1ª safra'!$E44:$Z44,MIN(AB$6-$G$3,22))),0)))))</f>
        <v>0</v>
      </c>
      <c r="AC46" s="27" t="n">
        <f aca="false">IF(COUNT('Feijão 1ª safra'!$E44:$Z44)=0,0,MAX(0,IF((AC$6-$E$3)&lt;1,0,IFERROR(LOOKUP(2,1/('Feijão 1ª safra'!$E44:INDEX('Feijão 1ª safra'!$E44:$Z44,MIN(AC$6-$E$3,22))&lt;&gt;""),'Feijão 1ª safra'!$E44:INDEX('Feijão 1ª safra'!$E44:$Z44,MIN(AC$6-$E$3,22))),0))-IF($G$2,0,IF((AC$6-$G$3)&lt;1,0,IFERROR(LOOKUP(2,1/('Feijão 1ª safra'!$E44:INDEX('Feijão 1ª safra'!$E44:$Z44,MIN(AC$6-$G$3,22))&lt;&gt;""),'Feijão 1ª safra'!$E44:INDEX('Feijão 1ª safra'!$E44:$Z44,MIN(AC$6-$G$3,22))),0)))))</f>
        <v>0</v>
      </c>
      <c r="AD46" s="27" t="n">
        <f aca="false">IF(COUNT('Feijão 1ª safra'!$E44:$Z44)=0,0,MAX(0,IF((AD$6-$E$3)&lt;1,0,IFERROR(LOOKUP(2,1/('Feijão 1ª safra'!$E44:INDEX('Feijão 1ª safra'!$E44:$Z44,MIN(AD$6-$E$3,22))&lt;&gt;""),'Feijão 1ª safra'!$E44:INDEX('Feijão 1ª safra'!$E44:$Z44,MIN(AD$6-$E$3,22))),0))-IF($G$2,0,IF((AD$6-$G$3)&lt;1,0,IFERROR(LOOKUP(2,1/('Feijão 1ª safra'!$E44:INDEX('Feijão 1ª safra'!$E44:$Z44,MIN(AD$6-$G$3,22))&lt;&gt;""),'Feijão 1ª safra'!$E44:INDEX('Feijão 1ª safra'!$E44:$Z44,MIN(AD$6-$G$3,22))),0)))))</f>
        <v>0</v>
      </c>
      <c r="AE46" s="27" t="n">
        <f aca="false">IF(COUNT('Feijão 1ª safra'!$E44:$Z44)=0,0,MAX(0,IF((AE$6-$E$3)&lt;1,0,IFERROR(LOOKUP(2,1/('Feijão 1ª safra'!$E44:INDEX('Feijão 1ª safra'!$E44:$Z44,MIN(AE$6-$E$3,22))&lt;&gt;""),'Feijão 1ª safra'!$E44:INDEX('Feijão 1ª safra'!$E44:$Z44,MIN(AE$6-$E$3,22))),0))-IF($G$2,0,IF((AE$6-$G$3)&lt;1,0,IFERROR(LOOKUP(2,1/('Feijão 1ª safra'!$E44:INDEX('Feijão 1ª safra'!$E44:$Z44,MIN(AE$6-$G$3,22))&lt;&gt;""),'Feijão 1ª safra'!$E44:INDEX('Feijão 1ª safra'!$E44:$Z44,MIN(AE$6-$G$3,22))),0)))))</f>
        <v>0</v>
      </c>
      <c r="AF46" s="27" t="n">
        <f aca="false">IF(COUNT('Feijão 1ª safra'!$E44:$Z44)=0,0,MAX(0,IF((AF$6-$E$3)&lt;1,0,IFERROR(LOOKUP(2,1/('Feijão 1ª safra'!$E44:INDEX('Feijão 1ª safra'!$E44:$Z44,MIN(AF$6-$E$3,22))&lt;&gt;""),'Feijão 1ª safra'!$E44:INDEX('Feijão 1ª safra'!$E44:$Z44,MIN(AF$6-$E$3,22))),0))-IF($G$2,0,IF((AF$6-$G$3)&lt;1,0,IFERROR(LOOKUP(2,1/('Feijão 1ª safra'!$E44:INDEX('Feijão 1ª safra'!$E44:$Z44,MIN(AF$6-$G$3,22))&lt;&gt;""),'Feijão 1ª safra'!$E44:INDEX('Feijão 1ª safra'!$E44:$Z44,MIN(AF$6-$G$3,22))),0)))))</f>
        <v>0</v>
      </c>
      <c r="AG46" s="27" t="n">
        <f aca="false">IF(COUNT('Feijão 1ª safra'!$E44:$Z44)=0,0,MAX(0,IF((AG$6-$E$3)&lt;1,0,IFERROR(LOOKUP(2,1/('Feijão 1ª safra'!$E44:INDEX('Feijão 1ª safra'!$E44:$Z44,MIN(AG$6-$E$3,22))&lt;&gt;""),'Feijão 1ª safra'!$E44:INDEX('Feijão 1ª safra'!$E44:$Z44,MIN(AG$6-$E$3,22))),0))-IF($G$2,0,IF((AG$6-$G$3)&lt;1,0,IFERROR(LOOKUP(2,1/('Feijão 1ª safra'!$E44:INDEX('Feijão 1ª safra'!$E44:$Z44,MIN(AG$6-$G$3,22))&lt;&gt;""),'Feijão 1ª safra'!$E44:INDEX('Feijão 1ª safra'!$E44:$Z44,MIN(AG$6-$G$3,22))),0)))))</f>
        <v>0</v>
      </c>
      <c r="AH46" s="27" t="n">
        <f aca="false">IF(COUNT('Feijão 1ª safra'!$E44:$Z44)=0,0,MAX(0,IF((AH$6-$E$3)&lt;1,0,IFERROR(LOOKUP(2,1/('Feijão 1ª safra'!$E44:INDEX('Feijão 1ª safra'!$E44:$Z44,MIN(AH$6-$E$3,22))&lt;&gt;""),'Feijão 1ª safra'!$E44:INDEX('Feijão 1ª safra'!$E44:$Z44,MIN(AH$6-$E$3,22))),0))-IF($G$2,0,IF((AH$6-$G$3)&lt;1,0,IFERROR(LOOKUP(2,1/('Feijão 1ª safra'!$E44:INDEX('Feijão 1ª safra'!$E44:$Z44,MIN(AH$6-$G$3,22))&lt;&gt;""),'Feijão 1ª safra'!$E44:INDEX('Feijão 1ª safra'!$E44:$Z44,MIN(AH$6-$G$3,22))),0)))))</f>
        <v>0</v>
      </c>
      <c r="AI46" s="27" t="n">
        <f aca="false">IF(COUNT('Feijão 1ª safra'!$E44:$Z44)=0,0,MAX(0,IF((AI$6-$E$3)&lt;1,0,IFERROR(LOOKUP(2,1/('Feijão 1ª safra'!$E44:INDEX('Feijão 1ª safra'!$E44:$Z44,MIN(AI$6-$E$3,22))&lt;&gt;""),'Feijão 1ª safra'!$E44:INDEX('Feijão 1ª safra'!$E44:$Z44,MIN(AI$6-$E$3,22))),0))-IF($G$2,0,IF((AI$6-$G$3)&lt;1,0,IFERROR(LOOKUP(2,1/('Feijão 1ª safra'!$E44:INDEX('Feijão 1ª safra'!$E44:$Z44,MIN(AI$6-$G$3,22))&lt;&gt;""),'Feijão 1ª safra'!$E44:INDEX('Feijão 1ª safra'!$E44:$Z44,MIN(AI$6-$G$3,22))),0)))))</f>
        <v>0</v>
      </c>
      <c r="AJ46" s="27" t="n">
        <f aca="false">IF(COUNT('Feijão 1ª safra'!$E44:$Z44)=0,0,MAX(0,IF((AJ$6-$E$3)&lt;1,0,IFERROR(LOOKUP(2,1/('Feijão 1ª safra'!$E44:INDEX('Feijão 1ª safra'!$E44:$Z44,MIN(AJ$6-$E$3,22))&lt;&gt;""),'Feijão 1ª safra'!$E44:INDEX('Feijão 1ª safra'!$E44:$Z44,MIN(AJ$6-$E$3,22))),0))-IF($G$2,0,IF((AJ$6-$G$3)&lt;1,0,IFERROR(LOOKUP(2,1/('Feijão 1ª safra'!$E44:INDEX('Feijão 1ª safra'!$E44:$Z44,MIN(AJ$6-$G$3,22))&lt;&gt;""),'Feijão 1ª safra'!$E44:INDEX('Feijão 1ª safra'!$E44:$Z44,MIN(AJ$6-$G$3,22))),0)))))</f>
        <v>0</v>
      </c>
      <c r="AK46" s="27" t="n">
        <f aca="false">IF(COUNT('Feijão 1ª safra'!$E44:$Z44)=0,0,MAX(0,IF((AK$6-$E$3)&lt;1,0,IFERROR(LOOKUP(2,1/('Feijão 1ª safra'!$E44:INDEX('Feijão 1ª safra'!$E44:$Z44,MIN(AK$6-$E$3,22))&lt;&gt;""),'Feijão 1ª safra'!$E44:INDEX('Feijão 1ª safra'!$E44:$Z44,MIN(AK$6-$E$3,22))),0))-IF($G$2,0,IF((AK$6-$G$3)&lt;1,0,IFERROR(LOOKUP(2,1/('Feijão 1ª safra'!$E44:INDEX('Feijão 1ª safra'!$E44:$Z44,MIN(AK$6-$G$3,22))&lt;&gt;""),'Feijão 1ª safra'!$E44:INDEX('Feijão 1ª safra'!$E44:$Z44,MIN(AK$6-$G$3,22))),0)))))</f>
        <v>0</v>
      </c>
      <c r="AL46" s="27" t="n">
        <f aca="false">IF(COUNT('Feijão 1ª safra'!$E44:$Z44)=0,0,MAX(0,IF((AL$6-$E$3)&lt;1,0,IFERROR(LOOKUP(2,1/('Feijão 1ª safra'!$E44:INDEX('Feijão 1ª safra'!$E44:$Z44,MIN(AL$6-$E$3,22))&lt;&gt;""),'Feijão 1ª safra'!$E44:INDEX('Feijão 1ª safra'!$E44:$Z44,MIN(AL$6-$E$3,22))),0))-IF($G$2,0,IF((AL$6-$G$3)&lt;1,0,IFERROR(LOOKUP(2,1/('Feijão 1ª safra'!$E44:INDEX('Feijão 1ª safra'!$E44:$Z44,MIN(AL$6-$G$3,22))&lt;&gt;""),'Feijão 1ª safra'!$E44:INDEX('Feijão 1ª safra'!$E44:$Z44,MIN(AL$6-$G$3,22))),0)))))</f>
        <v>0</v>
      </c>
      <c r="AM46" s="27" t="n">
        <f aca="false">IF(COUNT('Feijão 1ª safra'!$E44:$Z44)=0,0,MAX(0,IF((AM$6-$E$3)&lt;1,0,IFERROR(LOOKUP(2,1/('Feijão 1ª safra'!$E44:INDEX('Feijão 1ª safra'!$E44:$Z44,MIN(AM$6-$E$3,22))&lt;&gt;""),'Feijão 1ª safra'!$E44:INDEX('Feijão 1ª safra'!$E44:$Z44,MIN(AM$6-$E$3,22))),0))-IF($G$2,0,IF((AM$6-$G$3)&lt;1,0,IFERROR(LOOKUP(2,1/('Feijão 1ª safra'!$E44:INDEX('Feijão 1ª safra'!$E44:$Z44,MIN(AM$6-$G$3,22))&lt;&gt;""),'Feijão 1ª safra'!$E44:INDEX('Feijão 1ª safra'!$E44:$Z44,MIN(AM$6-$G$3,22))),0)))))</f>
        <v>0</v>
      </c>
      <c r="AN46" s="27" t="n">
        <f aca="false">IF(COUNT('Feijão 1ª safra'!$E44:$Z44)=0,0,MAX(0,IF((AN$6-$E$3)&lt;1,0,IFERROR(LOOKUP(2,1/('Feijão 1ª safra'!$E44:INDEX('Feijão 1ª safra'!$E44:$Z44,MIN(AN$6-$E$3,22))&lt;&gt;""),'Feijão 1ª safra'!$E44:INDEX('Feijão 1ª safra'!$E44:$Z44,MIN(AN$6-$E$3,22))),0))-IF($G$2,0,IF((AN$6-$G$3)&lt;1,0,IFERROR(LOOKUP(2,1/('Feijão 1ª safra'!$E44:INDEX('Feijão 1ª safra'!$E44:$Z44,MIN(AN$6-$G$3,22))&lt;&gt;""),'Feijão 1ª safra'!$E44:INDEX('Feijão 1ª safra'!$E44:$Z44,MIN(AN$6-$G$3,22))),0)))))</f>
        <v>0</v>
      </c>
      <c r="AO46" s="27" t="n">
        <f aca="false">IF(COUNT('Feijão 1ª safra'!$E44:$Z44)=0,0,MAX(0,IF((AO$6-$E$3)&lt;1,0,IFERROR(LOOKUP(2,1/('Feijão 1ª safra'!$E44:INDEX('Feijão 1ª safra'!$E44:$Z44,MIN(AO$6-$E$3,22))&lt;&gt;""),'Feijão 1ª safra'!$E44:INDEX('Feijão 1ª safra'!$E44:$Z44,MIN(AO$6-$E$3,22))),0))-IF($G$2,0,IF((AO$6-$G$3)&lt;1,0,IFERROR(LOOKUP(2,1/('Feijão 1ª safra'!$E44:INDEX('Feijão 1ª safra'!$E44:$Z44,MIN(AO$6-$G$3,22))&lt;&gt;""),'Feijão 1ª safra'!$E44:INDEX('Feijão 1ª safra'!$E44:$Z44,MIN(AO$6-$G$3,22))),0)))))</f>
        <v>0</v>
      </c>
      <c r="AP46" s="27" t="n">
        <f aca="false">IF(COUNT('Feijão 1ª safra'!$E44:$Z44)=0,0,MAX(0,IF((AP$6-$E$3)&lt;1,0,IFERROR(LOOKUP(2,1/('Feijão 1ª safra'!$E44:INDEX('Feijão 1ª safra'!$E44:$Z44,MIN(AP$6-$E$3,22))&lt;&gt;""),'Feijão 1ª safra'!$E44:INDEX('Feijão 1ª safra'!$E44:$Z44,MIN(AP$6-$E$3,22))),0))-IF($G$2,0,IF((AP$6-$G$3)&lt;1,0,IFERROR(LOOKUP(2,1/('Feijão 1ª safra'!$E44:INDEX('Feijão 1ª safra'!$E44:$Z44,MIN(AP$6-$G$3,22))&lt;&gt;""),'Feijão 1ª safra'!$E44:INDEX('Feijão 1ª safra'!$E44:$Z44,MIN(AP$6-$G$3,22))),0)))))</f>
        <v>0</v>
      </c>
      <c r="AQ46" s="27" t="n">
        <f aca="false">IF(COUNT('Feijão 1ª safra'!$E44:$Z44)=0,0,MAX(0,IF((AQ$6-$E$3)&lt;1,0,IFERROR(LOOKUP(2,1/('Feijão 1ª safra'!$E44:INDEX('Feijão 1ª safra'!$E44:$Z44,MIN(AQ$6-$E$3,22))&lt;&gt;""),'Feijão 1ª safra'!$E44:INDEX('Feijão 1ª safra'!$E44:$Z44,MIN(AQ$6-$E$3,22))),0))-IF($G$2,0,IF((AQ$6-$G$3)&lt;1,0,IFERROR(LOOKUP(2,1/('Feijão 1ª safra'!$E44:INDEX('Feijão 1ª safra'!$E44:$Z44,MIN(AQ$6-$G$3,22))&lt;&gt;""),'Feijão 1ª safra'!$E44:INDEX('Feijão 1ª safra'!$E44:$Z44,MIN(AQ$6-$G$3,22))),0)))))</f>
        <v>0</v>
      </c>
      <c r="AR46" s="27" t="n">
        <f aca="false">IF(COUNT('Feijão 1ª safra'!$E44:$Z44)=0,0,MAX(0,IF((AR$6-$E$3)&lt;1,0,IFERROR(LOOKUP(2,1/('Feijão 1ª safra'!$E44:INDEX('Feijão 1ª safra'!$E44:$Z44,MIN(AR$6-$E$3,22))&lt;&gt;""),'Feijão 1ª safra'!$E44:INDEX('Feijão 1ª safra'!$E44:$Z44,MIN(AR$6-$E$3,22))),0))-IF($G$2,0,IF((AR$6-$G$3)&lt;1,0,IFERROR(LOOKUP(2,1/('Feijão 1ª safra'!$E44:INDEX('Feijão 1ª safra'!$E44:$Z44,MIN(AR$6-$G$3,22))&lt;&gt;""),'Feijão 1ª safra'!$E44:INDEX('Feijão 1ª safra'!$E44:$Z44,MIN(AR$6-$G$3,22))),0)))))</f>
        <v>0</v>
      </c>
      <c r="AS46" s="27" t="n">
        <f aca="false">IF(COUNT('Feijão 1ª safra'!$E44:$Z44)=0,0,MAX(0,IF((AS$6-$E$3)&lt;1,0,IFERROR(LOOKUP(2,1/('Feijão 1ª safra'!$E44:INDEX('Feijão 1ª safra'!$E44:$Z44,MIN(AS$6-$E$3,22))&lt;&gt;""),'Feijão 1ª safra'!$E44:INDEX('Feijão 1ª safra'!$E44:$Z44,MIN(AS$6-$E$3,22))),0))-IF($G$2,0,IF((AS$6-$G$3)&lt;1,0,IFERROR(LOOKUP(2,1/('Feijão 1ª safra'!$E44:INDEX('Feijão 1ª safra'!$E44:$Z44,MIN(AS$6-$G$3,22))&lt;&gt;""),'Feijão 1ª safra'!$E44:INDEX('Feijão 1ª safra'!$E44:$Z44,MIN(AS$6-$G$3,22))),0)))))</f>
        <v>0</v>
      </c>
      <c r="AT46" s="27" t="n">
        <f aca="false">IF(COUNT('Feijão 1ª safra'!$E44:$Z44)=0,0,MAX(0,IF((AT$6-$E$3)&lt;1,0,IFERROR(LOOKUP(2,1/('Feijão 1ª safra'!$E44:INDEX('Feijão 1ª safra'!$E44:$Z44,MIN(AT$6-$E$3,22))&lt;&gt;""),'Feijão 1ª safra'!$E44:INDEX('Feijão 1ª safra'!$E44:$Z44,MIN(AT$6-$E$3,22))),0))-IF($G$2,0,IF((AT$6-$G$3)&lt;1,0,IFERROR(LOOKUP(2,1/('Feijão 1ª safra'!$E44:INDEX('Feijão 1ª safra'!$E44:$Z44,MIN(AT$6-$G$3,22))&lt;&gt;""),'Feijão 1ª safra'!$E44:INDEX('Feijão 1ª safra'!$E44:$Z44,MIN(AT$6-$G$3,22))),0)))))</f>
        <v>0</v>
      </c>
      <c r="AU46" s="27" t="n">
        <f aca="false">IF(COUNT('Feijão 1ª safra'!$E44:$Z44)=0,0,MAX(0,IF((AU$6-$E$3)&lt;1,0,IFERROR(LOOKUP(2,1/('Feijão 1ª safra'!$E44:INDEX('Feijão 1ª safra'!$E44:$Z44,MIN(AU$6-$E$3,22))&lt;&gt;""),'Feijão 1ª safra'!$E44:INDEX('Feijão 1ª safra'!$E44:$Z44,MIN(AU$6-$E$3,22))),0))-IF($G$2,0,IF((AU$6-$G$3)&lt;1,0,IFERROR(LOOKUP(2,1/('Feijão 1ª safra'!$E44:INDEX('Feijão 1ª safra'!$E44:$Z44,MIN(AU$6-$G$3,22))&lt;&gt;""),'Feijão 1ª safra'!$E44:INDEX('Feijão 1ª safra'!$E44:$Z44,MIN(AU$6-$G$3,22))),0)))))</f>
        <v>0</v>
      </c>
      <c r="AV46" s="27" t="n">
        <f aca="false">IF(COUNT('Feijão 1ª safra'!$E44:$Z44)=0,0,MAX(0,IF((AV$6-$E$3)&lt;1,0,IFERROR(LOOKUP(2,1/('Feijão 1ª safra'!$E44:INDEX('Feijão 1ª safra'!$E44:$Z44,MIN(AV$6-$E$3,22))&lt;&gt;""),'Feijão 1ª safra'!$E44:INDEX('Feijão 1ª safra'!$E44:$Z44,MIN(AV$6-$E$3,22))),0))-IF($G$2,0,IF((AV$6-$G$3)&lt;1,0,IFERROR(LOOKUP(2,1/('Feijão 1ª safra'!$E44:INDEX('Feijão 1ª safra'!$E44:$Z44,MIN(AV$6-$G$3,22))&lt;&gt;""),'Feijão 1ª safra'!$E44:INDEX('Feijão 1ª safra'!$E44:$Z44,MIN(AV$6-$G$3,22))),0)))))</f>
        <v>0</v>
      </c>
      <c r="AW46" s="27" t="n">
        <f aca="false">IF(COUNT('Feijão 1ª safra'!$E44:$Z44)=0,0,MAX(0,IF((AW$6-$E$3)&lt;1,0,IFERROR(LOOKUP(2,1/('Feijão 1ª safra'!$E44:INDEX('Feijão 1ª safra'!$E44:$Z44,MIN(AW$6-$E$3,22))&lt;&gt;""),'Feijão 1ª safra'!$E44:INDEX('Feijão 1ª safra'!$E44:$Z44,MIN(AW$6-$E$3,22))),0))-IF($G$2,0,IF((AW$6-$G$3)&lt;1,0,IFERROR(LOOKUP(2,1/('Feijão 1ª safra'!$E44:INDEX('Feijão 1ª safra'!$E44:$Z44,MIN(AW$6-$G$3,22))&lt;&gt;""),'Feijão 1ª safra'!$E44:INDEX('Feijão 1ª safra'!$E44:$Z44,MIN(AW$6-$G$3,22))),0)))))</f>
        <v>0</v>
      </c>
      <c r="AX46" s="27" t="n">
        <f aca="false">IF(COUNT('Feijão 1ª safra'!$E44:$Z44)=0,0,MAX(0,IF((AX$6-$E$3)&lt;1,0,IFERROR(LOOKUP(2,1/('Feijão 1ª safra'!$E44:INDEX('Feijão 1ª safra'!$E44:$Z44,MIN(AX$6-$E$3,22))&lt;&gt;""),'Feijão 1ª safra'!$E44:INDEX('Feijão 1ª safra'!$E44:$Z44,MIN(AX$6-$E$3,22))),0))-IF($G$2,0,IF((AX$6-$G$3)&lt;1,0,IFERROR(LOOKUP(2,1/('Feijão 1ª safra'!$E44:INDEX('Feijão 1ª safra'!$E44:$Z44,MIN(AX$6-$G$3,22))&lt;&gt;""),'Feijão 1ª safra'!$E44:INDEX('Feijão 1ª safra'!$E44:$Z44,MIN(AX$6-$G$3,22))),0)))))</f>
        <v>0</v>
      </c>
      <c r="AY46" s="27" t="n">
        <f aca="false">IF(COUNT('Feijão 1ª safra'!$E44:$Z44)=0,0,MAX(0,IF((AY$6-$E$3)&lt;1,0,IFERROR(LOOKUP(2,1/('Feijão 1ª safra'!$E44:INDEX('Feijão 1ª safra'!$E44:$Z44,MIN(AY$6-$E$3,22))&lt;&gt;""),'Feijão 1ª safra'!$E44:INDEX('Feijão 1ª safra'!$E44:$Z44,MIN(AY$6-$E$3,22))),0))-IF($G$2,0,IF((AY$6-$G$3)&lt;1,0,IFERROR(LOOKUP(2,1/('Feijão 1ª safra'!$E44:INDEX('Feijão 1ª safra'!$E44:$Z44,MIN(AY$6-$G$3,22))&lt;&gt;""),'Feijão 1ª safra'!$E44:INDEX('Feijão 1ª safra'!$E44:$Z44,MIN(AY$6-$G$3,22))),0)))))</f>
        <v>0</v>
      </c>
      <c r="AZ46" s="27" t="n">
        <f aca="false">IF(COUNT('Feijão 1ª safra'!$E44:$Z44)=0,0,MAX(0,IF((AZ$6-$E$3)&lt;1,0,IFERROR(LOOKUP(2,1/('Feijão 1ª safra'!$E44:INDEX('Feijão 1ª safra'!$E44:$Z44,MIN(AZ$6-$E$3,22))&lt;&gt;""),'Feijão 1ª safra'!$E44:INDEX('Feijão 1ª safra'!$E44:$Z44,MIN(AZ$6-$E$3,22))),0))-IF($G$2,0,IF((AZ$6-$G$3)&lt;1,0,IFERROR(LOOKUP(2,1/('Feijão 1ª safra'!$E44:INDEX('Feijão 1ª safra'!$E44:$Z44,MIN(AZ$6-$G$3,22))&lt;&gt;""),'Feijão 1ª safra'!$E44:INDEX('Feijão 1ª safra'!$E44:$Z44,MIN(AZ$6-$G$3,22))),0)))))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IF(COUNT('Feijão 1ª safra'!$E45:$Z45)&gt;0,N('Feijão 1ª safra'!$D45),0)</f>
        <v>0</v>
      </c>
      <c r="E47" s="27" t="n">
        <f aca="false">IF(COUNT('Feijão 1ª safra'!$E45:$Z45)=0,0,MAX(0,IF((E$6-$E$3)&lt;1,0,IFERROR(LOOKUP(2,1/('Feijão 1ª safra'!$E45:INDEX('Feijão 1ª safra'!$E45:$Z45,MIN(E$6-$E$3,22))&lt;&gt;""),'Feijão 1ª safra'!$E45:INDEX('Feijão 1ª safra'!$E45:$Z45,MIN(E$6-$E$3,22))),0))-IF($G$2,0,IF((E$6-$G$3)&lt;1,0,IFERROR(LOOKUP(2,1/('Feijão 1ª safra'!$E45:INDEX('Feijão 1ª safra'!$E45:$Z45,MIN(E$6-$G$3,22))&lt;&gt;""),'Feijão 1ª safra'!$E45:INDEX('Feijão 1ª safra'!$E45:$Z45,MIN(E$6-$G$3,22))),0)))))</f>
        <v>0</v>
      </c>
      <c r="F47" s="27" t="n">
        <f aca="false">IF(COUNT('Feijão 1ª safra'!$E45:$Z45)=0,0,MAX(0,IF((F$6-$E$3)&lt;1,0,IFERROR(LOOKUP(2,1/('Feijão 1ª safra'!$E45:INDEX('Feijão 1ª safra'!$E45:$Z45,MIN(F$6-$E$3,22))&lt;&gt;""),'Feijão 1ª safra'!$E45:INDEX('Feijão 1ª safra'!$E45:$Z45,MIN(F$6-$E$3,22))),0))-IF($G$2,0,IF((F$6-$G$3)&lt;1,0,IFERROR(LOOKUP(2,1/('Feijão 1ª safra'!$E45:INDEX('Feijão 1ª safra'!$E45:$Z45,MIN(F$6-$G$3,22))&lt;&gt;""),'Feijão 1ª safra'!$E45:INDEX('Feijão 1ª safra'!$E45:$Z45,MIN(F$6-$G$3,22))),0)))))</f>
        <v>0</v>
      </c>
      <c r="G47" s="27" t="n">
        <f aca="false">IF(COUNT('Feijão 1ª safra'!$E45:$Z45)=0,0,MAX(0,IF((G$6-$E$3)&lt;1,0,IFERROR(LOOKUP(2,1/('Feijão 1ª safra'!$E45:INDEX('Feijão 1ª safra'!$E45:$Z45,MIN(G$6-$E$3,22))&lt;&gt;""),'Feijão 1ª safra'!$E45:INDEX('Feijão 1ª safra'!$E45:$Z45,MIN(G$6-$E$3,22))),0))-IF($G$2,0,IF((G$6-$G$3)&lt;1,0,IFERROR(LOOKUP(2,1/('Feijão 1ª safra'!$E45:INDEX('Feijão 1ª safra'!$E45:$Z45,MIN(G$6-$G$3,22))&lt;&gt;""),'Feijão 1ª safra'!$E45:INDEX('Feijão 1ª safra'!$E45:$Z45,MIN(G$6-$G$3,22))),0)))))</f>
        <v>0</v>
      </c>
      <c r="H47" s="27" t="n">
        <f aca="false">IF(COUNT('Feijão 1ª safra'!$E45:$Z45)=0,0,MAX(0,IF((H$6-$E$3)&lt;1,0,IFERROR(LOOKUP(2,1/('Feijão 1ª safra'!$E45:INDEX('Feijão 1ª safra'!$E45:$Z45,MIN(H$6-$E$3,22))&lt;&gt;""),'Feijão 1ª safra'!$E45:INDEX('Feijão 1ª safra'!$E45:$Z45,MIN(H$6-$E$3,22))),0))-IF($G$2,0,IF((H$6-$G$3)&lt;1,0,IFERROR(LOOKUP(2,1/('Feijão 1ª safra'!$E45:INDEX('Feijão 1ª safra'!$E45:$Z45,MIN(H$6-$G$3,22))&lt;&gt;""),'Feijão 1ª safra'!$E45:INDEX('Feijão 1ª safra'!$E45:$Z45,MIN(H$6-$G$3,22))),0)))))</f>
        <v>0</v>
      </c>
      <c r="I47" s="27" t="n">
        <f aca="false">IF(COUNT('Feijão 1ª safra'!$E45:$Z45)=0,0,MAX(0,IF((I$6-$E$3)&lt;1,0,IFERROR(LOOKUP(2,1/('Feijão 1ª safra'!$E45:INDEX('Feijão 1ª safra'!$E45:$Z45,MIN(I$6-$E$3,22))&lt;&gt;""),'Feijão 1ª safra'!$E45:INDEX('Feijão 1ª safra'!$E45:$Z45,MIN(I$6-$E$3,22))),0))-IF($G$2,0,IF((I$6-$G$3)&lt;1,0,IFERROR(LOOKUP(2,1/('Feijão 1ª safra'!$E45:INDEX('Feijão 1ª safra'!$E45:$Z45,MIN(I$6-$G$3,22))&lt;&gt;""),'Feijão 1ª safra'!$E45:INDEX('Feijão 1ª safra'!$E45:$Z45,MIN(I$6-$G$3,22))),0)))))</f>
        <v>0</v>
      </c>
      <c r="J47" s="27" t="n">
        <f aca="false">IF(COUNT('Feijão 1ª safra'!$E45:$Z45)=0,0,MAX(0,IF((J$6-$E$3)&lt;1,0,IFERROR(LOOKUP(2,1/('Feijão 1ª safra'!$E45:INDEX('Feijão 1ª safra'!$E45:$Z45,MIN(J$6-$E$3,22))&lt;&gt;""),'Feijão 1ª safra'!$E45:INDEX('Feijão 1ª safra'!$E45:$Z45,MIN(J$6-$E$3,22))),0))-IF($G$2,0,IF((J$6-$G$3)&lt;1,0,IFERROR(LOOKUP(2,1/('Feijão 1ª safra'!$E45:INDEX('Feijão 1ª safra'!$E45:$Z45,MIN(J$6-$G$3,22))&lt;&gt;""),'Feijão 1ª safra'!$E45:INDEX('Feijão 1ª safra'!$E45:$Z45,MIN(J$6-$G$3,22))),0)))))</f>
        <v>0</v>
      </c>
      <c r="K47" s="27" t="n">
        <f aca="false">IF(COUNT('Feijão 1ª safra'!$E45:$Z45)=0,0,MAX(0,IF((K$6-$E$3)&lt;1,0,IFERROR(LOOKUP(2,1/('Feijão 1ª safra'!$E45:INDEX('Feijão 1ª safra'!$E45:$Z45,MIN(K$6-$E$3,22))&lt;&gt;""),'Feijão 1ª safra'!$E45:INDEX('Feijão 1ª safra'!$E45:$Z45,MIN(K$6-$E$3,22))),0))-IF($G$2,0,IF((K$6-$G$3)&lt;1,0,IFERROR(LOOKUP(2,1/('Feijão 1ª safra'!$E45:INDEX('Feijão 1ª safra'!$E45:$Z45,MIN(K$6-$G$3,22))&lt;&gt;""),'Feijão 1ª safra'!$E45:INDEX('Feijão 1ª safra'!$E45:$Z45,MIN(K$6-$G$3,22))),0)))))</f>
        <v>0</v>
      </c>
      <c r="L47" s="27" t="n">
        <f aca="false">IF(COUNT('Feijão 1ª safra'!$E45:$Z45)=0,0,MAX(0,IF((L$6-$E$3)&lt;1,0,IFERROR(LOOKUP(2,1/('Feijão 1ª safra'!$E45:INDEX('Feijão 1ª safra'!$E45:$Z45,MIN(L$6-$E$3,22))&lt;&gt;""),'Feijão 1ª safra'!$E45:INDEX('Feijão 1ª safra'!$E45:$Z45,MIN(L$6-$E$3,22))),0))-IF($G$2,0,IF((L$6-$G$3)&lt;1,0,IFERROR(LOOKUP(2,1/('Feijão 1ª safra'!$E45:INDEX('Feijão 1ª safra'!$E45:$Z45,MIN(L$6-$G$3,22))&lt;&gt;""),'Feijão 1ª safra'!$E45:INDEX('Feijão 1ª safra'!$E45:$Z45,MIN(L$6-$G$3,22))),0)))))</f>
        <v>0</v>
      </c>
      <c r="M47" s="27" t="n">
        <f aca="false">IF(COUNT('Feijão 1ª safra'!$E45:$Z45)=0,0,MAX(0,IF((M$6-$E$3)&lt;1,0,IFERROR(LOOKUP(2,1/('Feijão 1ª safra'!$E45:INDEX('Feijão 1ª safra'!$E45:$Z45,MIN(M$6-$E$3,22))&lt;&gt;""),'Feijão 1ª safra'!$E45:INDEX('Feijão 1ª safra'!$E45:$Z45,MIN(M$6-$E$3,22))),0))-IF($G$2,0,IF((M$6-$G$3)&lt;1,0,IFERROR(LOOKUP(2,1/('Feijão 1ª safra'!$E45:INDEX('Feijão 1ª safra'!$E45:$Z45,MIN(M$6-$G$3,22))&lt;&gt;""),'Feijão 1ª safra'!$E45:INDEX('Feijão 1ª safra'!$E45:$Z45,MIN(M$6-$G$3,22))),0)))))</f>
        <v>0</v>
      </c>
      <c r="N47" s="27" t="n">
        <f aca="false">IF(COUNT('Feijão 1ª safra'!$E45:$Z45)=0,0,MAX(0,IF((N$6-$E$3)&lt;1,0,IFERROR(LOOKUP(2,1/('Feijão 1ª safra'!$E45:INDEX('Feijão 1ª safra'!$E45:$Z45,MIN(N$6-$E$3,22))&lt;&gt;""),'Feijão 1ª safra'!$E45:INDEX('Feijão 1ª safra'!$E45:$Z45,MIN(N$6-$E$3,22))),0))-IF($G$2,0,IF((N$6-$G$3)&lt;1,0,IFERROR(LOOKUP(2,1/('Feijão 1ª safra'!$E45:INDEX('Feijão 1ª safra'!$E45:$Z45,MIN(N$6-$G$3,22))&lt;&gt;""),'Feijão 1ª safra'!$E45:INDEX('Feijão 1ª safra'!$E45:$Z45,MIN(N$6-$G$3,22))),0)))))</f>
        <v>0</v>
      </c>
      <c r="O47" s="27" t="n">
        <f aca="false">IF(COUNT('Feijão 1ª safra'!$E45:$Z45)=0,0,MAX(0,IF((O$6-$E$3)&lt;1,0,IFERROR(LOOKUP(2,1/('Feijão 1ª safra'!$E45:INDEX('Feijão 1ª safra'!$E45:$Z45,MIN(O$6-$E$3,22))&lt;&gt;""),'Feijão 1ª safra'!$E45:INDEX('Feijão 1ª safra'!$E45:$Z45,MIN(O$6-$E$3,22))),0))-IF($G$2,0,IF((O$6-$G$3)&lt;1,0,IFERROR(LOOKUP(2,1/('Feijão 1ª safra'!$E45:INDEX('Feijão 1ª safra'!$E45:$Z45,MIN(O$6-$G$3,22))&lt;&gt;""),'Feijão 1ª safra'!$E45:INDEX('Feijão 1ª safra'!$E45:$Z45,MIN(O$6-$G$3,22))),0)))))</f>
        <v>0</v>
      </c>
      <c r="P47" s="27" t="n">
        <f aca="false">IF(COUNT('Feijão 1ª safra'!$E45:$Z45)=0,0,MAX(0,IF((P$6-$E$3)&lt;1,0,IFERROR(LOOKUP(2,1/('Feijão 1ª safra'!$E45:INDEX('Feijão 1ª safra'!$E45:$Z45,MIN(P$6-$E$3,22))&lt;&gt;""),'Feijão 1ª safra'!$E45:INDEX('Feijão 1ª safra'!$E45:$Z45,MIN(P$6-$E$3,22))),0))-IF($G$2,0,IF((P$6-$G$3)&lt;1,0,IFERROR(LOOKUP(2,1/('Feijão 1ª safra'!$E45:INDEX('Feijão 1ª safra'!$E45:$Z45,MIN(P$6-$G$3,22))&lt;&gt;""),'Feijão 1ª safra'!$E45:INDEX('Feijão 1ª safra'!$E45:$Z45,MIN(P$6-$G$3,22))),0)))))</f>
        <v>0</v>
      </c>
      <c r="Q47" s="27" t="n">
        <f aca="false">IF(COUNT('Feijão 1ª safra'!$E45:$Z45)=0,0,MAX(0,IF((Q$6-$E$3)&lt;1,0,IFERROR(LOOKUP(2,1/('Feijão 1ª safra'!$E45:INDEX('Feijão 1ª safra'!$E45:$Z45,MIN(Q$6-$E$3,22))&lt;&gt;""),'Feijão 1ª safra'!$E45:INDEX('Feijão 1ª safra'!$E45:$Z45,MIN(Q$6-$E$3,22))),0))-IF($G$2,0,IF((Q$6-$G$3)&lt;1,0,IFERROR(LOOKUP(2,1/('Feijão 1ª safra'!$E45:INDEX('Feijão 1ª safra'!$E45:$Z45,MIN(Q$6-$G$3,22))&lt;&gt;""),'Feijão 1ª safra'!$E45:INDEX('Feijão 1ª safra'!$E45:$Z45,MIN(Q$6-$G$3,22))),0)))))</f>
        <v>0</v>
      </c>
      <c r="R47" s="27" t="n">
        <f aca="false">IF(COUNT('Feijão 1ª safra'!$E45:$Z45)=0,0,MAX(0,IF((R$6-$E$3)&lt;1,0,IFERROR(LOOKUP(2,1/('Feijão 1ª safra'!$E45:INDEX('Feijão 1ª safra'!$E45:$Z45,MIN(R$6-$E$3,22))&lt;&gt;""),'Feijão 1ª safra'!$E45:INDEX('Feijão 1ª safra'!$E45:$Z45,MIN(R$6-$E$3,22))),0))-IF($G$2,0,IF((R$6-$G$3)&lt;1,0,IFERROR(LOOKUP(2,1/('Feijão 1ª safra'!$E45:INDEX('Feijão 1ª safra'!$E45:$Z45,MIN(R$6-$G$3,22))&lt;&gt;""),'Feijão 1ª safra'!$E45:INDEX('Feijão 1ª safra'!$E45:$Z45,MIN(R$6-$G$3,22))),0)))))</f>
        <v>0</v>
      </c>
      <c r="S47" s="27" t="n">
        <f aca="false">IF(COUNT('Feijão 1ª safra'!$E45:$Z45)=0,0,MAX(0,IF((S$6-$E$3)&lt;1,0,IFERROR(LOOKUP(2,1/('Feijão 1ª safra'!$E45:INDEX('Feijão 1ª safra'!$E45:$Z45,MIN(S$6-$E$3,22))&lt;&gt;""),'Feijão 1ª safra'!$E45:INDEX('Feijão 1ª safra'!$E45:$Z45,MIN(S$6-$E$3,22))),0))-IF($G$2,0,IF((S$6-$G$3)&lt;1,0,IFERROR(LOOKUP(2,1/('Feijão 1ª safra'!$E45:INDEX('Feijão 1ª safra'!$E45:$Z45,MIN(S$6-$G$3,22))&lt;&gt;""),'Feijão 1ª safra'!$E45:INDEX('Feijão 1ª safra'!$E45:$Z45,MIN(S$6-$G$3,22))),0)))))</f>
        <v>0</v>
      </c>
      <c r="T47" s="27" t="n">
        <f aca="false">IF(COUNT('Feijão 1ª safra'!$E45:$Z45)=0,0,MAX(0,IF((T$6-$E$3)&lt;1,0,IFERROR(LOOKUP(2,1/('Feijão 1ª safra'!$E45:INDEX('Feijão 1ª safra'!$E45:$Z45,MIN(T$6-$E$3,22))&lt;&gt;""),'Feijão 1ª safra'!$E45:INDEX('Feijão 1ª safra'!$E45:$Z45,MIN(T$6-$E$3,22))),0))-IF($G$2,0,IF((T$6-$G$3)&lt;1,0,IFERROR(LOOKUP(2,1/('Feijão 1ª safra'!$E45:INDEX('Feijão 1ª safra'!$E45:$Z45,MIN(T$6-$G$3,22))&lt;&gt;""),'Feijão 1ª safra'!$E45:INDEX('Feijão 1ª safra'!$E45:$Z45,MIN(T$6-$G$3,22))),0)))))</f>
        <v>0</v>
      </c>
      <c r="U47" s="27" t="n">
        <f aca="false">IF(COUNT('Feijão 1ª safra'!$E45:$Z45)=0,0,MAX(0,IF((U$6-$E$3)&lt;1,0,IFERROR(LOOKUP(2,1/('Feijão 1ª safra'!$E45:INDEX('Feijão 1ª safra'!$E45:$Z45,MIN(U$6-$E$3,22))&lt;&gt;""),'Feijão 1ª safra'!$E45:INDEX('Feijão 1ª safra'!$E45:$Z45,MIN(U$6-$E$3,22))),0))-IF($G$2,0,IF((U$6-$G$3)&lt;1,0,IFERROR(LOOKUP(2,1/('Feijão 1ª safra'!$E45:INDEX('Feijão 1ª safra'!$E45:$Z45,MIN(U$6-$G$3,22))&lt;&gt;""),'Feijão 1ª safra'!$E45:INDEX('Feijão 1ª safra'!$E45:$Z45,MIN(U$6-$G$3,22))),0)))))</f>
        <v>0</v>
      </c>
      <c r="V47" s="27" t="n">
        <f aca="false">IF(COUNT('Feijão 1ª safra'!$E45:$Z45)=0,0,MAX(0,IF((V$6-$E$3)&lt;1,0,IFERROR(LOOKUP(2,1/('Feijão 1ª safra'!$E45:INDEX('Feijão 1ª safra'!$E45:$Z45,MIN(V$6-$E$3,22))&lt;&gt;""),'Feijão 1ª safra'!$E45:INDEX('Feijão 1ª safra'!$E45:$Z45,MIN(V$6-$E$3,22))),0))-IF($G$2,0,IF((V$6-$G$3)&lt;1,0,IFERROR(LOOKUP(2,1/('Feijão 1ª safra'!$E45:INDEX('Feijão 1ª safra'!$E45:$Z45,MIN(V$6-$G$3,22))&lt;&gt;""),'Feijão 1ª safra'!$E45:INDEX('Feijão 1ª safra'!$E45:$Z45,MIN(V$6-$G$3,22))),0)))))</f>
        <v>0</v>
      </c>
      <c r="W47" s="27" t="n">
        <f aca="false">IF(COUNT('Feijão 1ª safra'!$E45:$Z45)=0,0,MAX(0,IF((W$6-$E$3)&lt;1,0,IFERROR(LOOKUP(2,1/('Feijão 1ª safra'!$E45:INDEX('Feijão 1ª safra'!$E45:$Z45,MIN(W$6-$E$3,22))&lt;&gt;""),'Feijão 1ª safra'!$E45:INDEX('Feijão 1ª safra'!$E45:$Z45,MIN(W$6-$E$3,22))),0))-IF($G$2,0,IF((W$6-$G$3)&lt;1,0,IFERROR(LOOKUP(2,1/('Feijão 1ª safra'!$E45:INDEX('Feijão 1ª safra'!$E45:$Z45,MIN(W$6-$G$3,22))&lt;&gt;""),'Feijão 1ª safra'!$E45:INDEX('Feijão 1ª safra'!$E45:$Z45,MIN(W$6-$G$3,22))),0)))))</f>
        <v>0</v>
      </c>
      <c r="X47" s="27" t="n">
        <f aca="false">IF(COUNT('Feijão 1ª safra'!$E45:$Z45)=0,0,MAX(0,IF((X$6-$E$3)&lt;1,0,IFERROR(LOOKUP(2,1/('Feijão 1ª safra'!$E45:INDEX('Feijão 1ª safra'!$E45:$Z45,MIN(X$6-$E$3,22))&lt;&gt;""),'Feijão 1ª safra'!$E45:INDEX('Feijão 1ª safra'!$E45:$Z45,MIN(X$6-$E$3,22))),0))-IF($G$2,0,IF((X$6-$G$3)&lt;1,0,IFERROR(LOOKUP(2,1/('Feijão 1ª safra'!$E45:INDEX('Feijão 1ª safra'!$E45:$Z45,MIN(X$6-$G$3,22))&lt;&gt;""),'Feijão 1ª safra'!$E45:INDEX('Feijão 1ª safra'!$E45:$Z45,MIN(X$6-$G$3,22))),0)))))</f>
        <v>0</v>
      </c>
      <c r="Y47" s="27" t="n">
        <f aca="false">IF(COUNT('Feijão 1ª safra'!$E45:$Z45)=0,0,MAX(0,IF((Y$6-$E$3)&lt;1,0,IFERROR(LOOKUP(2,1/('Feijão 1ª safra'!$E45:INDEX('Feijão 1ª safra'!$E45:$Z45,MIN(Y$6-$E$3,22))&lt;&gt;""),'Feijão 1ª safra'!$E45:INDEX('Feijão 1ª safra'!$E45:$Z45,MIN(Y$6-$E$3,22))),0))-IF($G$2,0,IF((Y$6-$G$3)&lt;1,0,IFERROR(LOOKUP(2,1/('Feijão 1ª safra'!$E45:INDEX('Feijão 1ª safra'!$E45:$Z45,MIN(Y$6-$G$3,22))&lt;&gt;""),'Feijão 1ª safra'!$E45:INDEX('Feijão 1ª safra'!$E45:$Z45,MIN(Y$6-$G$3,22))),0)))))</f>
        <v>0</v>
      </c>
      <c r="Z47" s="27" t="n">
        <f aca="false">IF(COUNT('Feijão 1ª safra'!$E45:$Z45)=0,0,MAX(0,IF((Z$6-$E$3)&lt;1,0,IFERROR(LOOKUP(2,1/('Feijão 1ª safra'!$E45:INDEX('Feijão 1ª safra'!$E45:$Z45,MIN(Z$6-$E$3,22))&lt;&gt;""),'Feijão 1ª safra'!$E45:INDEX('Feijão 1ª safra'!$E45:$Z45,MIN(Z$6-$E$3,22))),0))-IF($G$2,0,IF((Z$6-$G$3)&lt;1,0,IFERROR(LOOKUP(2,1/('Feijão 1ª safra'!$E45:INDEX('Feijão 1ª safra'!$E45:$Z45,MIN(Z$6-$G$3,22))&lt;&gt;""),'Feijão 1ª safra'!$E45:INDEX('Feijão 1ª safra'!$E45:$Z45,MIN(Z$6-$G$3,22))),0)))))</f>
        <v>0</v>
      </c>
      <c r="AA47" s="27" t="n">
        <f aca="false">IF(COUNT('Feijão 1ª safra'!$E45:$Z45)=0,0,MAX(0,IF((AA$6-$E$3)&lt;1,0,IFERROR(LOOKUP(2,1/('Feijão 1ª safra'!$E45:INDEX('Feijão 1ª safra'!$E45:$Z45,MIN(AA$6-$E$3,22))&lt;&gt;""),'Feijão 1ª safra'!$E45:INDEX('Feijão 1ª safra'!$E45:$Z45,MIN(AA$6-$E$3,22))),0))-IF($G$2,0,IF((AA$6-$G$3)&lt;1,0,IFERROR(LOOKUP(2,1/('Feijão 1ª safra'!$E45:INDEX('Feijão 1ª safra'!$E45:$Z45,MIN(AA$6-$G$3,22))&lt;&gt;""),'Feijão 1ª safra'!$E45:INDEX('Feijão 1ª safra'!$E45:$Z45,MIN(AA$6-$G$3,22))),0)))))</f>
        <v>0</v>
      </c>
      <c r="AB47" s="27" t="n">
        <f aca="false">IF(COUNT('Feijão 1ª safra'!$E45:$Z45)=0,0,MAX(0,IF((AB$6-$E$3)&lt;1,0,IFERROR(LOOKUP(2,1/('Feijão 1ª safra'!$E45:INDEX('Feijão 1ª safra'!$E45:$Z45,MIN(AB$6-$E$3,22))&lt;&gt;""),'Feijão 1ª safra'!$E45:INDEX('Feijão 1ª safra'!$E45:$Z45,MIN(AB$6-$E$3,22))),0))-IF($G$2,0,IF((AB$6-$G$3)&lt;1,0,IFERROR(LOOKUP(2,1/('Feijão 1ª safra'!$E45:INDEX('Feijão 1ª safra'!$E45:$Z45,MIN(AB$6-$G$3,22))&lt;&gt;""),'Feijão 1ª safra'!$E45:INDEX('Feijão 1ª safra'!$E45:$Z45,MIN(AB$6-$G$3,22))),0)))))</f>
        <v>0</v>
      </c>
      <c r="AC47" s="27" t="n">
        <f aca="false">IF(COUNT('Feijão 1ª safra'!$E45:$Z45)=0,0,MAX(0,IF((AC$6-$E$3)&lt;1,0,IFERROR(LOOKUP(2,1/('Feijão 1ª safra'!$E45:INDEX('Feijão 1ª safra'!$E45:$Z45,MIN(AC$6-$E$3,22))&lt;&gt;""),'Feijão 1ª safra'!$E45:INDEX('Feijão 1ª safra'!$E45:$Z45,MIN(AC$6-$E$3,22))),0))-IF($G$2,0,IF((AC$6-$G$3)&lt;1,0,IFERROR(LOOKUP(2,1/('Feijão 1ª safra'!$E45:INDEX('Feijão 1ª safra'!$E45:$Z45,MIN(AC$6-$G$3,22))&lt;&gt;""),'Feijão 1ª safra'!$E45:INDEX('Feijão 1ª safra'!$E45:$Z45,MIN(AC$6-$G$3,22))),0)))))</f>
        <v>0</v>
      </c>
      <c r="AD47" s="27" t="n">
        <f aca="false">IF(COUNT('Feijão 1ª safra'!$E45:$Z45)=0,0,MAX(0,IF((AD$6-$E$3)&lt;1,0,IFERROR(LOOKUP(2,1/('Feijão 1ª safra'!$E45:INDEX('Feijão 1ª safra'!$E45:$Z45,MIN(AD$6-$E$3,22))&lt;&gt;""),'Feijão 1ª safra'!$E45:INDEX('Feijão 1ª safra'!$E45:$Z45,MIN(AD$6-$E$3,22))),0))-IF($G$2,0,IF((AD$6-$G$3)&lt;1,0,IFERROR(LOOKUP(2,1/('Feijão 1ª safra'!$E45:INDEX('Feijão 1ª safra'!$E45:$Z45,MIN(AD$6-$G$3,22))&lt;&gt;""),'Feijão 1ª safra'!$E45:INDEX('Feijão 1ª safra'!$E45:$Z45,MIN(AD$6-$G$3,22))),0)))))</f>
        <v>0</v>
      </c>
      <c r="AE47" s="27" t="n">
        <f aca="false">IF(COUNT('Feijão 1ª safra'!$E45:$Z45)=0,0,MAX(0,IF((AE$6-$E$3)&lt;1,0,IFERROR(LOOKUP(2,1/('Feijão 1ª safra'!$E45:INDEX('Feijão 1ª safra'!$E45:$Z45,MIN(AE$6-$E$3,22))&lt;&gt;""),'Feijão 1ª safra'!$E45:INDEX('Feijão 1ª safra'!$E45:$Z45,MIN(AE$6-$E$3,22))),0))-IF($G$2,0,IF((AE$6-$G$3)&lt;1,0,IFERROR(LOOKUP(2,1/('Feijão 1ª safra'!$E45:INDEX('Feijão 1ª safra'!$E45:$Z45,MIN(AE$6-$G$3,22))&lt;&gt;""),'Feijão 1ª safra'!$E45:INDEX('Feijão 1ª safra'!$E45:$Z45,MIN(AE$6-$G$3,22))),0)))))</f>
        <v>0</v>
      </c>
      <c r="AF47" s="27" t="n">
        <f aca="false">IF(COUNT('Feijão 1ª safra'!$E45:$Z45)=0,0,MAX(0,IF((AF$6-$E$3)&lt;1,0,IFERROR(LOOKUP(2,1/('Feijão 1ª safra'!$E45:INDEX('Feijão 1ª safra'!$E45:$Z45,MIN(AF$6-$E$3,22))&lt;&gt;""),'Feijão 1ª safra'!$E45:INDEX('Feijão 1ª safra'!$E45:$Z45,MIN(AF$6-$E$3,22))),0))-IF($G$2,0,IF((AF$6-$G$3)&lt;1,0,IFERROR(LOOKUP(2,1/('Feijão 1ª safra'!$E45:INDEX('Feijão 1ª safra'!$E45:$Z45,MIN(AF$6-$G$3,22))&lt;&gt;""),'Feijão 1ª safra'!$E45:INDEX('Feijão 1ª safra'!$E45:$Z45,MIN(AF$6-$G$3,22))),0)))))</f>
        <v>0</v>
      </c>
      <c r="AG47" s="27" t="n">
        <f aca="false">IF(COUNT('Feijão 1ª safra'!$E45:$Z45)=0,0,MAX(0,IF((AG$6-$E$3)&lt;1,0,IFERROR(LOOKUP(2,1/('Feijão 1ª safra'!$E45:INDEX('Feijão 1ª safra'!$E45:$Z45,MIN(AG$6-$E$3,22))&lt;&gt;""),'Feijão 1ª safra'!$E45:INDEX('Feijão 1ª safra'!$E45:$Z45,MIN(AG$6-$E$3,22))),0))-IF($G$2,0,IF((AG$6-$G$3)&lt;1,0,IFERROR(LOOKUP(2,1/('Feijão 1ª safra'!$E45:INDEX('Feijão 1ª safra'!$E45:$Z45,MIN(AG$6-$G$3,22))&lt;&gt;""),'Feijão 1ª safra'!$E45:INDEX('Feijão 1ª safra'!$E45:$Z45,MIN(AG$6-$G$3,22))),0)))))</f>
        <v>0</v>
      </c>
      <c r="AH47" s="27" t="n">
        <f aca="false">IF(COUNT('Feijão 1ª safra'!$E45:$Z45)=0,0,MAX(0,IF((AH$6-$E$3)&lt;1,0,IFERROR(LOOKUP(2,1/('Feijão 1ª safra'!$E45:INDEX('Feijão 1ª safra'!$E45:$Z45,MIN(AH$6-$E$3,22))&lt;&gt;""),'Feijão 1ª safra'!$E45:INDEX('Feijão 1ª safra'!$E45:$Z45,MIN(AH$6-$E$3,22))),0))-IF($G$2,0,IF((AH$6-$G$3)&lt;1,0,IFERROR(LOOKUP(2,1/('Feijão 1ª safra'!$E45:INDEX('Feijão 1ª safra'!$E45:$Z45,MIN(AH$6-$G$3,22))&lt;&gt;""),'Feijão 1ª safra'!$E45:INDEX('Feijão 1ª safra'!$E45:$Z45,MIN(AH$6-$G$3,22))),0)))))</f>
        <v>0</v>
      </c>
      <c r="AI47" s="27" t="n">
        <f aca="false">IF(COUNT('Feijão 1ª safra'!$E45:$Z45)=0,0,MAX(0,IF((AI$6-$E$3)&lt;1,0,IFERROR(LOOKUP(2,1/('Feijão 1ª safra'!$E45:INDEX('Feijão 1ª safra'!$E45:$Z45,MIN(AI$6-$E$3,22))&lt;&gt;""),'Feijão 1ª safra'!$E45:INDEX('Feijão 1ª safra'!$E45:$Z45,MIN(AI$6-$E$3,22))),0))-IF($G$2,0,IF((AI$6-$G$3)&lt;1,0,IFERROR(LOOKUP(2,1/('Feijão 1ª safra'!$E45:INDEX('Feijão 1ª safra'!$E45:$Z45,MIN(AI$6-$G$3,22))&lt;&gt;""),'Feijão 1ª safra'!$E45:INDEX('Feijão 1ª safra'!$E45:$Z45,MIN(AI$6-$G$3,22))),0)))))</f>
        <v>0</v>
      </c>
      <c r="AJ47" s="27" t="n">
        <f aca="false">IF(COUNT('Feijão 1ª safra'!$E45:$Z45)=0,0,MAX(0,IF((AJ$6-$E$3)&lt;1,0,IFERROR(LOOKUP(2,1/('Feijão 1ª safra'!$E45:INDEX('Feijão 1ª safra'!$E45:$Z45,MIN(AJ$6-$E$3,22))&lt;&gt;""),'Feijão 1ª safra'!$E45:INDEX('Feijão 1ª safra'!$E45:$Z45,MIN(AJ$6-$E$3,22))),0))-IF($G$2,0,IF((AJ$6-$G$3)&lt;1,0,IFERROR(LOOKUP(2,1/('Feijão 1ª safra'!$E45:INDEX('Feijão 1ª safra'!$E45:$Z45,MIN(AJ$6-$G$3,22))&lt;&gt;""),'Feijão 1ª safra'!$E45:INDEX('Feijão 1ª safra'!$E45:$Z45,MIN(AJ$6-$G$3,22))),0)))))</f>
        <v>0</v>
      </c>
      <c r="AK47" s="27" t="n">
        <f aca="false">IF(COUNT('Feijão 1ª safra'!$E45:$Z45)=0,0,MAX(0,IF((AK$6-$E$3)&lt;1,0,IFERROR(LOOKUP(2,1/('Feijão 1ª safra'!$E45:INDEX('Feijão 1ª safra'!$E45:$Z45,MIN(AK$6-$E$3,22))&lt;&gt;""),'Feijão 1ª safra'!$E45:INDEX('Feijão 1ª safra'!$E45:$Z45,MIN(AK$6-$E$3,22))),0))-IF($G$2,0,IF((AK$6-$G$3)&lt;1,0,IFERROR(LOOKUP(2,1/('Feijão 1ª safra'!$E45:INDEX('Feijão 1ª safra'!$E45:$Z45,MIN(AK$6-$G$3,22))&lt;&gt;""),'Feijão 1ª safra'!$E45:INDEX('Feijão 1ª safra'!$E45:$Z45,MIN(AK$6-$G$3,22))),0)))))</f>
        <v>0</v>
      </c>
      <c r="AL47" s="27" t="n">
        <f aca="false">IF(COUNT('Feijão 1ª safra'!$E45:$Z45)=0,0,MAX(0,IF((AL$6-$E$3)&lt;1,0,IFERROR(LOOKUP(2,1/('Feijão 1ª safra'!$E45:INDEX('Feijão 1ª safra'!$E45:$Z45,MIN(AL$6-$E$3,22))&lt;&gt;""),'Feijão 1ª safra'!$E45:INDEX('Feijão 1ª safra'!$E45:$Z45,MIN(AL$6-$E$3,22))),0))-IF($G$2,0,IF((AL$6-$G$3)&lt;1,0,IFERROR(LOOKUP(2,1/('Feijão 1ª safra'!$E45:INDEX('Feijão 1ª safra'!$E45:$Z45,MIN(AL$6-$G$3,22))&lt;&gt;""),'Feijão 1ª safra'!$E45:INDEX('Feijão 1ª safra'!$E45:$Z45,MIN(AL$6-$G$3,22))),0)))))</f>
        <v>0</v>
      </c>
      <c r="AM47" s="27" t="n">
        <f aca="false">IF(COUNT('Feijão 1ª safra'!$E45:$Z45)=0,0,MAX(0,IF((AM$6-$E$3)&lt;1,0,IFERROR(LOOKUP(2,1/('Feijão 1ª safra'!$E45:INDEX('Feijão 1ª safra'!$E45:$Z45,MIN(AM$6-$E$3,22))&lt;&gt;""),'Feijão 1ª safra'!$E45:INDEX('Feijão 1ª safra'!$E45:$Z45,MIN(AM$6-$E$3,22))),0))-IF($G$2,0,IF((AM$6-$G$3)&lt;1,0,IFERROR(LOOKUP(2,1/('Feijão 1ª safra'!$E45:INDEX('Feijão 1ª safra'!$E45:$Z45,MIN(AM$6-$G$3,22))&lt;&gt;""),'Feijão 1ª safra'!$E45:INDEX('Feijão 1ª safra'!$E45:$Z45,MIN(AM$6-$G$3,22))),0)))))</f>
        <v>0</v>
      </c>
      <c r="AN47" s="27" t="n">
        <f aca="false">IF(COUNT('Feijão 1ª safra'!$E45:$Z45)=0,0,MAX(0,IF((AN$6-$E$3)&lt;1,0,IFERROR(LOOKUP(2,1/('Feijão 1ª safra'!$E45:INDEX('Feijão 1ª safra'!$E45:$Z45,MIN(AN$6-$E$3,22))&lt;&gt;""),'Feijão 1ª safra'!$E45:INDEX('Feijão 1ª safra'!$E45:$Z45,MIN(AN$6-$E$3,22))),0))-IF($G$2,0,IF((AN$6-$G$3)&lt;1,0,IFERROR(LOOKUP(2,1/('Feijão 1ª safra'!$E45:INDEX('Feijão 1ª safra'!$E45:$Z45,MIN(AN$6-$G$3,22))&lt;&gt;""),'Feijão 1ª safra'!$E45:INDEX('Feijão 1ª safra'!$E45:$Z45,MIN(AN$6-$G$3,22))),0)))))</f>
        <v>0</v>
      </c>
      <c r="AO47" s="27" t="n">
        <f aca="false">IF(COUNT('Feijão 1ª safra'!$E45:$Z45)=0,0,MAX(0,IF((AO$6-$E$3)&lt;1,0,IFERROR(LOOKUP(2,1/('Feijão 1ª safra'!$E45:INDEX('Feijão 1ª safra'!$E45:$Z45,MIN(AO$6-$E$3,22))&lt;&gt;""),'Feijão 1ª safra'!$E45:INDEX('Feijão 1ª safra'!$E45:$Z45,MIN(AO$6-$E$3,22))),0))-IF($G$2,0,IF((AO$6-$G$3)&lt;1,0,IFERROR(LOOKUP(2,1/('Feijão 1ª safra'!$E45:INDEX('Feijão 1ª safra'!$E45:$Z45,MIN(AO$6-$G$3,22))&lt;&gt;""),'Feijão 1ª safra'!$E45:INDEX('Feijão 1ª safra'!$E45:$Z45,MIN(AO$6-$G$3,22))),0)))))</f>
        <v>0</v>
      </c>
      <c r="AP47" s="27" t="n">
        <f aca="false">IF(COUNT('Feijão 1ª safra'!$E45:$Z45)=0,0,MAX(0,IF((AP$6-$E$3)&lt;1,0,IFERROR(LOOKUP(2,1/('Feijão 1ª safra'!$E45:INDEX('Feijão 1ª safra'!$E45:$Z45,MIN(AP$6-$E$3,22))&lt;&gt;""),'Feijão 1ª safra'!$E45:INDEX('Feijão 1ª safra'!$E45:$Z45,MIN(AP$6-$E$3,22))),0))-IF($G$2,0,IF((AP$6-$G$3)&lt;1,0,IFERROR(LOOKUP(2,1/('Feijão 1ª safra'!$E45:INDEX('Feijão 1ª safra'!$E45:$Z45,MIN(AP$6-$G$3,22))&lt;&gt;""),'Feijão 1ª safra'!$E45:INDEX('Feijão 1ª safra'!$E45:$Z45,MIN(AP$6-$G$3,22))),0)))))</f>
        <v>0</v>
      </c>
      <c r="AQ47" s="27" t="n">
        <f aca="false">IF(COUNT('Feijão 1ª safra'!$E45:$Z45)=0,0,MAX(0,IF((AQ$6-$E$3)&lt;1,0,IFERROR(LOOKUP(2,1/('Feijão 1ª safra'!$E45:INDEX('Feijão 1ª safra'!$E45:$Z45,MIN(AQ$6-$E$3,22))&lt;&gt;""),'Feijão 1ª safra'!$E45:INDEX('Feijão 1ª safra'!$E45:$Z45,MIN(AQ$6-$E$3,22))),0))-IF($G$2,0,IF((AQ$6-$G$3)&lt;1,0,IFERROR(LOOKUP(2,1/('Feijão 1ª safra'!$E45:INDEX('Feijão 1ª safra'!$E45:$Z45,MIN(AQ$6-$G$3,22))&lt;&gt;""),'Feijão 1ª safra'!$E45:INDEX('Feijão 1ª safra'!$E45:$Z45,MIN(AQ$6-$G$3,22))),0)))))</f>
        <v>0</v>
      </c>
      <c r="AR47" s="27" t="n">
        <f aca="false">IF(COUNT('Feijão 1ª safra'!$E45:$Z45)=0,0,MAX(0,IF((AR$6-$E$3)&lt;1,0,IFERROR(LOOKUP(2,1/('Feijão 1ª safra'!$E45:INDEX('Feijão 1ª safra'!$E45:$Z45,MIN(AR$6-$E$3,22))&lt;&gt;""),'Feijão 1ª safra'!$E45:INDEX('Feijão 1ª safra'!$E45:$Z45,MIN(AR$6-$E$3,22))),0))-IF($G$2,0,IF((AR$6-$G$3)&lt;1,0,IFERROR(LOOKUP(2,1/('Feijão 1ª safra'!$E45:INDEX('Feijão 1ª safra'!$E45:$Z45,MIN(AR$6-$G$3,22))&lt;&gt;""),'Feijão 1ª safra'!$E45:INDEX('Feijão 1ª safra'!$E45:$Z45,MIN(AR$6-$G$3,22))),0)))))</f>
        <v>0</v>
      </c>
      <c r="AS47" s="27" t="n">
        <f aca="false">IF(COUNT('Feijão 1ª safra'!$E45:$Z45)=0,0,MAX(0,IF((AS$6-$E$3)&lt;1,0,IFERROR(LOOKUP(2,1/('Feijão 1ª safra'!$E45:INDEX('Feijão 1ª safra'!$E45:$Z45,MIN(AS$6-$E$3,22))&lt;&gt;""),'Feijão 1ª safra'!$E45:INDEX('Feijão 1ª safra'!$E45:$Z45,MIN(AS$6-$E$3,22))),0))-IF($G$2,0,IF((AS$6-$G$3)&lt;1,0,IFERROR(LOOKUP(2,1/('Feijão 1ª safra'!$E45:INDEX('Feijão 1ª safra'!$E45:$Z45,MIN(AS$6-$G$3,22))&lt;&gt;""),'Feijão 1ª safra'!$E45:INDEX('Feijão 1ª safra'!$E45:$Z45,MIN(AS$6-$G$3,22))),0)))))</f>
        <v>0</v>
      </c>
      <c r="AT47" s="27" t="n">
        <f aca="false">IF(COUNT('Feijão 1ª safra'!$E45:$Z45)=0,0,MAX(0,IF((AT$6-$E$3)&lt;1,0,IFERROR(LOOKUP(2,1/('Feijão 1ª safra'!$E45:INDEX('Feijão 1ª safra'!$E45:$Z45,MIN(AT$6-$E$3,22))&lt;&gt;""),'Feijão 1ª safra'!$E45:INDEX('Feijão 1ª safra'!$E45:$Z45,MIN(AT$6-$E$3,22))),0))-IF($G$2,0,IF((AT$6-$G$3)&lt;1,0,IFERROR(LOOKUP(2,1/('Feijão 1ª safra'!$E45:INDEX('Feijão 1ª safra'!$E45:$Z45,MIN(AT$6-$G$3,22))&lt;&gt;""),'Feijão 1ª safra'!$E45:INDEX('Feijão 1ª safra'!$E45:$Z45,MIN(AT$6-$G$3,22))),0)))))</f>
        <v>0</v>
      </c>
      <c r="AU47" s="27" t="n">
        <f aca="false">IF(COUNT('Feijão 1ª safra'!$E45:$Z45)=0,0,MAX(0,IF((AU$6-$E$3)&lt;1,0,IFERROR(LOOKUP(2,1/('Feijão 1ª safra'!$E45:INDEX('Feijão 1ª safra'!$E45:$Z45,MIN(AU$6-$E$3,22))&lt;&gt;""),'Feijão 1ª safra'!$E45:INDEX('Feijão 1ª safra'!$E45:$Z45,MIN(AU$6-$E$3,22))),0))-IF($G$2,0,IF((AU$6-$G$3)&lt;1,0,IFERROR(LOOKUP(2,1/('Feijão 1ª safra'!$E45:INDEX('Feijão 1ª safra'!$E45:$Z45,MIN(AU$6-$G$3,22))&lt;&gt;""),'Feijão 1ª safra'!$E45:INDEX('Feijão 1ª safra'!$E45:$Z45,MIN(AU$6-$G$3,22))),0)))))</f>
        <v>0</v>
      </c>
      <c r="AV47" s="27" t="n">
        <f aca="false">IF(COUNT('Feijão 1ª safra'!$E45:$Z45)=0,0,MAX(0,IF((AV$6-$E$3)&lt;1,0,IFERROR(LOOKUP(2,1/('Feijão 1ª safra'!$E45:INDEX('Feijão 1ª safra'!$E45:$Z45,MIN(AV$6-$E$3,22))&lt;&gt;""),'Feijão 1ª safra'!$E45:INDEX('Feijão 1ª safra'!$E45:$Z45,MIN(AV$6-$E$3,22))),0))-IF($G$2,0,IF((AV$6-$G$3)&lt;1,0,IFERROR(LOOKUP(2,1/('Feijão 1ª safra'!$E45:INDEX('Feijão 1ª safra'!$E45:$Z45,MIN(AV$6-$G$3,22))&lt;&gt;""),'Feijão 1ª safra'!$E45:INDEX('Feijão 1ª safra'!$E45:$Z45,MIN(AV$6-$G$3,22))),0)))))</f>
        <v>0</v>
      </c>
      <c r="AW47" s="27" t="n">
        <f aca="false">IF(COUNT('Feijão 1ª safra'!$E45:$Z45)=0,0,MAX(0,IF((AW$6-$E$3)&lt;1,0,IFERROR(LOOKUP(2,1/('Feijão 1ª safra'!$E45:INDEX('Feijão 1ª safra'!$E45:$Z45,MIN(AW$6-$E$3,22))&lt;&gt;""),'Feijão 1ª safra'!$E45:INDEX('Feijão 1ª safra'!$E45:$Z45,MIN(AW$6-$E$3,22))),0))-IF($G$2,0,IF((AW$6-$G$3)&lt;1,0,IFERROR(LOOKUP(2,1/('Feijão 1ª safra'!$E45:INDEX('Feijão 1ª safra'!$E45:$Z45,MIN(AW$6-$G$3,22))&lt;&gt;""),'Feijão 1ª safra'!$E45:INDEX('Feijão 1ª safra'!$E45:$Z45,MIN(AW$6-$G$3,22))),0)))))</f>
        <v>0</v>
      </c>
      <c r="AX47" s="27" t="n">
        <f aca="false">IF(COUNT('Feijão 1ª safra'!$E45:$Z45)=0,0,MAX(0,IF((AX$6-$E$3)&lt;1,0,IFERROR(LOOKUP(2,1/('Feijão 1ª safra'!$E45:INDEX('Feijão 1ª safra'!$E45:$Z45,MIN(AX$6-$E$3,22))&lt;&gt;""),'Feijão 1ª safra'!$E45:INDEX('Feijão 1ª safra'!$E45:$Z45,MIN(AX$6-$E$3,22))),0))-IF($G$2,0,IF((AX$6-$G$3)&lt;1,0,IFERROR(LOOKUP(2,1/('Feijão 1ª safra'!$E45:INDEX('Feijão 1ª safra'!$E45:$Z45,MIN(AX$6-$G$3,22))&lt;&gt;""),'Feijão 1ª safra'!$E45:INDEX('Feijão 1ª safra'!$E45:$Z45,MIN(AX$6-$G$3,22))),0)))))</f>
        <v>0</v>
      </c>
      <c r="AY47" s="27" t="n">
        <f aca="false">IF(COUNT('Feijão 1ª safra'!$E45:$Z45)=0,0,MAX(0,IF((AY$6-$E$3)&lt;1,0,IFERROR(LOOKUP(2,1/('Feijão 1ª safra'!$E45:INDEX('Feijão 1ª safra'!$E45:$Z45,MIN(AY$6-$E$3,22))&lt;&gt;""),'Feijão 1ª safra'!$E45:INDEX('Feijão 1ª safra'!$E45:$Z45,MIN(AY$6-$E$3,22))),0))-IF($G$2,0,IF((AY$6-$G$3)&lt;1,0,IFERROR(LOOKUP(2,1/('Feijão 1ª safra'!$E45:INDEX('Feijão 1ª safra'!$E45:$Z45,MIN(AY$6-$G$3,22))&lt;&gt;""),'Feijão 1ª safra'!$E45:INDEX('Feijão 1ª safra'!$E45:$Z45,MIN(AY$6-$G$3,22))),0)))))</f>
        <v>0</v>
      </c>
      <c r="AZ47" s="27" t="n">
        <f aca="false">IF(COUNT('Feijão 1ª safra'!$E45:$Z45)=0,0,MAX(0,IF((AZ$6-$E$3)&lt;1,0,IFERROR(LOOKUP(2,1/('Feijão 1ª safra'!$E45:INDEX('Feijão 1ª safra'!$E45:$Z45,MIN(AZ$6-$E$3,22))&lt;&gt;""),'Feijão 1ª safra'!$E45:INDEX('Feijão 1ª safra'!$E45:$Z45,MIN(AZ$6-$E$3,22))),0))-IF($G$2,0,IF((AZ$6-$G$3)&lt;1,0,IFERROR(LOOKUP(2,1/('Feijão 1ª safra'!$E45:INDEX('Feijão 1ª safra'!$E45:$Z45,MIN(AZ$6-$G$3,22))&lt;&gt;""),'Feijão 1ª safra'!$E45:INDEX('Feijão 1ª safra'!$E45:$Z45,MIN(AZ$6-$G$3,22))),0)))))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IF(COUNT('Feijão 1ª safra'!$E46:$Z46)&gt;0,N('Feijão 1ª safra'!$D46),0)</f>
        <v>0</v>
      </c>
      <c r="E48" s="27" t="n">
        <f aca="false">IF(COUNT('Feijão 1ª safra'!$E46:$Z46)=0,0,MAX(0,IF((E$6-$E$3)&lt;1,0,IFERROR(LOOKUP(2,1/('Feijão 1ª safra'!$E46:INDEX('Feijão 1ª safra'!$E46:$Z46,MIN(E$6-$E$3,22))&lt;&gt;""),'Feijão 1ª safra'!$E46:INDEX('Feijão 1ª safra'!$E46:$Z46,MIN(E$6-$E$3,22))),0))-IF($G$2,0,IF((E$6-$G$3)&lt;1,0,IFERROR(LOOKUP(2,1/('Feijão 1ª safra'!$E46:INDEX('Feijão 1ª safra'!$E46:$Z46,MIN(E$6-$G$3,22))&lt;&gt;""),'Feijão 1ª safra'!$E46:INDEX('Feijão 1ª safra'!$E46:$Z46,MIN(E$6-$G$3,22))),0)))))</f>
        <v>0</v>
      </c>
      <c r="F48" s="27" t="n">
        <f aca="false">IF(COUNT('Feijão 1ª safra'!$E46:$Z46)=0,0,MAX(0,IF((F$6-$E$3)&lt;1,0,IFERROR(LOOKUP(2,1/('Feijão 1ª safra'!$E46:INDEX('Feijão 1ª safra'!$E46:$Z46,MIN(F$6-$E$3,22))&lt;&gt;""),'Feijão 1ª safra'!$E46:INDEX('Feijão 1ª safra'!$E46:$Z46,MIN(F$6-$E$3,22))),0))-IF($G$2,0,IF((F$6-$G$3)&lt;1,0,IFERROR(LOOKUP(2,1/('Feijão 1ª safra'!$E46:INDEX('Feijão 1ª safra'!$E46:$Z46,MIN(F$6-$G$3,22))&lt;&gt;""),'Feijão 1ª safra'!$E46:INDEX('Feijão 1ª safra'!$E46:$Z46,MIN(F$6-$G$3,22))),0)))))</f>
        <v>0</v>
      </c>
      <c r="G48" s="27" t="n">
        <f aca="false">IF(COUNT('Feijão 1ª safra'!$E46:$Z46)=0,0,MAX(0,IF((G$6-$E$3)&lt;1,0,IFERROR(LOOKUP(2,1/('Feijão 1ª safra'!$E46:INDEX('Feijão 1ª safra'!$E46:$Z46,MIN(G$6-$E$3,22))&lt;&gt;""),'Feijão 1ª safra'!$E46:INDEX('Feijão 1ª safra'!$E46:$Z46,MIN(G$6-$E$3,22))),0))-IF($G$2,0,IF((G$6-$G$3)&lt;1,0,IFERROR(LOOKUP(2,1/('Feijão 1ª safra'!$E46:INDEX('Feijão 1ª safra'!$E46:$Z46,MIN(G$6-$G$3,22))&lt;&gt;""),'Feijão 1ª safra'!$E46:INDEX('Feijão 1ª safra'!$E46:$Z46,MIN(G$6-$G$3,22))),0)))))</f>
        <v>0</v>
      </c>
      <c r="H48" s="27" t="n">
        <f aca="false">IF(COUNT('Feijão 1ª safra'!$E46:$Z46)=0,0,MAX(0,IF((H$6-$E$3)&lt;1,0,IFERROR(LOOKUP(2,1/('Feijão 1ª safra'!$E46:INDEX('Feijão 1ª safra'!$E46:$Z46,MIN(H$6-$E$3,22))&lt;&gt;""),'Feijão 1ª safra'!$E46:INDEX('Feijão 1ª safra'!$E46:$Z46,MIN(H$6-$E$3,22))),0))-IF($G$2,0,IF((H$6-$G$3)&lt;1,0,IFERROR(LOOKUP(2,1/('Feijão 1ª safra'!$E46:INDEX('Feijão 1ª safra'!$E46:$Z46,MIN(H$6-$G$3,22))&lt;&gt;""),'Feijão 1ª safra'!$E46:INDEX('Feijão 1ª safra'!$E46:$Z46,MIN(H$6-$G$3,22))),0)))))</f>
        <v>0</v>
      </c>
      <c r="I48" s="27" t="n">
        <f aca="false">IF(COUNT('Feijão 1ª safra'!$E46:$Z46)=0,0,MAX(0,IF((I$6-$E$3)&lt;1,0,IFERROR(LOOKUP(2,1/('Feijão 1ª safra'!$E46:INDEX('Feijão 1ª safra'!$E46:$Z46,MIN(I$6-$E$3,22))&lt;&gt;""),'Feijão 1ª safra'!$E46:INDEX('Feijão 1ª safra'!$E46:$Z46,MIN(I$6-$E$3,22))),0))-IF($G$2,0,IF((I$6-$G$3)&lt;1,0,IFERROR(LOOKUP(2,1/('Feijão 1ª safra'!$E46:INDEX('Feijão 1ª safra'!$E46:$Z46,MIN(I$6-$G$3,22))&lt;&gt;""),'Feijão 1ª safra'!$E46:INDEX('Feijão 1ª safra'!$E46:$Z46,MIN(I$6-$G$3,22))),0)))))</f>
        <v>0</v>
      </c>
      <c r="J48" s="27" t="n">
        <f aca="false">IF(COUNT('Feijão 1ª safra'!$E46:$Z46)=0,0,MAX(0,IF((J$6-$E$3)&lt;1,0,IFERROR(LOOKUP(2,1/('Feijão 1ª safra'!$E46:INDEX('Feijão 1ª safra'!$E46:$Z46,MIN(J$6-$E$3,22))&lt;&gt;""),'Feijão 1ª safra'!$E46:INDEX('Feijão 1ª safra'!$E46:$Z46,MIN(J$6-$E$3,22))),0))-IF($G$2,0,IF((J$6-$G$3)&lt;1,0,IFERROR(LOOKUP(2,1/('Feijão 1ª safra'!$E46:INDEX('Feijão 1ª safra'!$E46:$Z46,MIN(J$6-$G$3,22))&lt;&gt;""),'Feijão 1ª safra'!$E46:INDEX('Feijão 1ª safra'!$E46:$Z46,MIN(J$6-$G$3,22))),0)))))</f>
        <v>0</v>
      </c>
      <c r="K48" s="27" t="n">
        <f aca="false">IF(COUNT('Feijão 1ª safra'!$E46:$Z46)=0,0,MAX(0,IF((K$6-$E$3)&lt;1,0,IFERROR(LOOKUP(2,1/('Feijão 1ª safra'!$E46:INDEX('Feijão 1ª safra'!$E46:$Z46,MIN(K$6-$E$3,22))&lt;&gt;""),'Feijão 1ª safra'!$E46:INDEX('Feijão 1ª safra'!$E46:$Z46,MIN(K$6-$E$3,22))),0))-IF($G$2,0,IF((K$6-$G$3)&lt;1,0,IFERROR(LOOKUP(2,1/('Feijão 1ª safra'!$E46:INDEX('Feijão 1ª safra'!$E46:$Z46,MIN(K$6-$G$3,22))&lt;&gt;""),'Feijão 1ª safra'!$E46:INDEX('Feijão 1ª safra'!$E46:$Z46,MIN(K$6-$G$3,22))),0)))))</f>
        <v>0</v>
      </c>
      <c r="L48" s="27" t="n">
        <f aca="false">IF(COUNT('Feijão 1ª safra'!$E46:$Z46)=0,0,MAX(0,IF((L$6-$E$3)&lt;1,0,IFERROR(LOOKUP(2,1/('Feijão 1ª safra'!$E46:INDEX('Feijão 1ª safra'!$E46:$Z46,MIN(L$6-$E$3,22))&lt;&gt;""),'Feijão 1ª safra'!$E46:INDEX('Feijão 1ª safra'!$E46:$Z46,MIN(L$6-$E$3,22))),0))-IF($G$2,0,IF((L$6-$G$3)&lt;1,0,IFERROR(LOOKUP(2,1/('Feijão 1ª safra'!$E46:INDEX('Feijão 1ª safra'!$E46:$Z46,MIN(L$6-$G$3,22))&lt;&gt;""),'Feijão 1ª safra'!$E46:INDEX('Feijão 1ª safra'!$E46:$Z46,MIN(L$6-$G$3,22))),0)))))</f>
        <v>0</v>
      </c>
      <c r="M48" s="27" t="n">
        <f aca="false">IF(COUNT('Feijão 1ª safra'!$E46:$Z46)=0,0,MAX(0,IF((M$6-$E$3)&lt;1,0,IFERROR(LOOKUP(2,1/('Feijão 1ª safra'!$E46:INDEX('Feijão 1ª safra'!$E46:$Z46,MIN(M$6-$E$3,22))&lt;&gt;""),'Feijão 1ª safra'!$E46:INDEX('Feijão 1ª safra'!$E46:$Z46,MIN(M$6-$E$3,22))),0))-IF($G$2,0,IF((M$6-$G$3)&lt;1,0,IFERROR(LOOKUP(2,1/('Feijão 1ª safra'!$E46:INDEX('Feijão 1ª safra'!$E46:$Z46,MIN(M$6-$G$3,22))&lt;&gt;""),'Feijão 1ª safra'!$E46:INDEX('Feijão 1ª safra'!$E46:$Z46,MIN(M$6-$G$3,22))),0)))))</f>
        <v>0</v>
      </c>
      <c r="N48" s="27" t="n">
        <f aca="false">IF(COUNT('Feijão 1ª safra'!$E46:$Z46)=0,0,MAX(0,IF((N$6-$E$3)&lt;1,0,IFERROR(LOOKUP(2,1/('Feijão 1ª safra'!$E46:INDEX('Feijão 1ª safra'!$E46:$Z46,MIN(N$6-$E$3,22))&lt;&gt;""),'Feijão 1ª safra'!$E46:INDEX('Feijão 1ª safra'!$E46:$Z46,MIN(N$6-$E$3,22))),0))-IF($G$2,0,IF((N$6-$G$3)&lt;1,0,IFERROR(LOOKUP(2,1/('Feijão 1ª safra'!$E46:INDEX('Feijão 1ª safra'!$E46:$Z46,MIN(N$6-$G$3,22))&lt;&gt;""),'Feijão 1ª safra'!$E46:INDEX('Feijão 1ª safra'!$E46:$Z46,MIN(N$6-$G$3,22))),0)))))</f>
        <v>0</v>
      </c>
      <c r="O48" s="27" t="n">
        <f aca="false">IF(COUNT('Feijão 1ª safra'!$E46:$Z46)=0,0,MAX(0,IF((O$6-$E$3)&lt;1,0,IFERROR(LOOKUP(2,1/('Feijão 1ª safra'!$E46:INDEX('Feijão 1ª safra'!$E46:$Z46,MIN(O$6-$E$3,22))&lt;&gt;""),'Feijão 1ª safra'!$E46:INDEX('Feijão 1ª safra'!$E46:$Z46,MIN(O$6-$E$3,22))),0))-IF($G$2,0,IF((O$6-$G$3)&lt;1,0,IFERROR(LOOKUP(2,1/('Feijão 1ª safra'!$E46:INDEX('Feijão 1ª safra'!$E46:$Z46,MIN(O$6-$G$3,22))&lt;&gt;""),'Feijão 1ª safra'!$E46:INDEX('Feijão 1ª safra'!$E46:$Z46,MIN(O$6-$G$3,22))),0)))))</f>
        <v>0</v>
      </c>
      <c r="P48" s="27" t="n">
        <f aca="false">IF(COUNT('Feijão 1ª safra'!$E46:$Z46)=0,0,MAX(0,IF((P$6-$E$3)&lt;1,0,IFERROR(LOOKUP(2,1/('Feijão 1ª safra'!$E46:INDEX('Feijão 1ª safra'!$E46:$Z46,MIN(P$6-$E$3,22))&lt;&gt;""),'Feijão 1ª safra'!$E46:INDEX('Feijão 1ª safra'!$E46:$Z46,MIN(P$6-$E$3,22))),0))-IF($G$2,0,IF((P$6-$G$3)&lt;1,0,IFERROR(LOOKUP(2,1/('Feijão 1ª safra'!$E46:INDEX('Feijão 1ª safra'!$E46:$Z46,MIN(P$6-$G$3,22))&lt;&gt;""),'Feijão 1ª safra'!$E46:INDEX('Feijão 1ª safra'!$E46:$Z46,MIN(P$6-$G$3,22))),0)))))</f>
        <v>0</v>
      </c>
      <c r="Q48" s="27" t="n">
        <f aca="false">IF(COUNT('Feijão 1ª safra'!$E46:$Z46)=0,0,MAX(0,IF((Q$6-$E$3)&lt;1,0,IFERROR(LOOKUP(2,1/('Feijão 1ª safra'!$E46:INDEX('Feijão 1ª safra'!$E46:$Z46,MIN(Q$6-$E$3,22))&lt;&gt;""),'Feijão 1ª safra'!$E46:INDEX('Feijão 1ª safra'!$E46:$Z46,MIN(Q$6-$E$3,22))),0))-IF($G$2,0,IF((Q$6-$G$3)&lt;1,0,IFERROR(LOOKUP(2,1/('Feijão 1ª safra'!$E46:INDEX('Feijão 1ª safra'!$E46:$Z46,MIN(Q$6-$G$3,22))&lt;&gt;""),'Feijão 1ª safra'!$E46:INDEX('Feijão 1ª safra'!$E46:$Z46,MIN(Q$6-$G$3,22))),0)))))</f>
        <v>0</v>
      </c>
      <c r="R48" s="27" t="n">
        <f aca="false">IF(COUNT('Feijão 1ª safra'!$E46:$Z46)=0,0,MAX(0,IF((R$6-$E$3)&lt;1,0,IFERROR(LOOKUP(2,1/('Feijão 1ª safra'!$E46:INDEX('Feijão 1ª safra'!$E46:$Z46,MIN(R$6-$E$3,22))&lt;&gt;""),'Feijão 1ª safra'!$E46:INDEX('Feijão 1ª safra'!$E46:$Z46,MIN(R$6-$E$3,22))),0))-IF($G$2,0,IF((R$6-$G$3)&lt;1,0,IFERROR(LOOKUP(2,1/('Feijão 1ª safra'!$E46:INDEX('Feijão 1ª safra'!$E46:$Z46,MIN(R$6-$G$3,22))&lt;&gt;""),'Feijão 1ª safra'!$E46:INDEX('Feijão 1ª safra'!$E46:$Z46,MIN(R$6-$G$3,22))),0)))))</f>
        <v>0</v>
      </c>
      <c r="S48" s="27" t="n">
        <f aca="false">IF(COUNT('Feijão 1ª safra'!$E46:$Z46)=0,0,MAX(0,IF((S$6-$E$3)&lt;1,0,IFERROR(LOOKUP(2,1/('Feijão 1ª safra'!$E46:INDEX('Feijão 1ª safra'!$E46:$Z46,MIN(S$6-$E$3,22))&lt;&gt;""),'Feijão 1ª safra'!$E46:INDEX('Feijão 1ª safra'!$E46:$Z46,MIN(S$6-$E$3,22))),0))-IF($G$2,0,IF((S$6-$G$3)&lt;1,0,IFERROR(LOOKUP(2,1/('Feijão 1ª safra'!$E46:INDEX('Feijão 1ª safra'!$E46:$Z46,MIN(S$6-$G$3,22))&lt;&gt;""),'Feijão 1ª safra'!$E46:INDEX('Feijão 1ª safra'!$E46:$Z46,MIN(S$6-$G$3,22))),0)))))</f>
        <v>0</v>
      </c>
      <c r="T48" s="27" t="n">
        <f aca="false">IF(COUNT('Feijão 1ª safra'!$E46:$Z46)=0,0,MAX(0,IF((T$6-$E$3)&lt;1,0,IFERROR(LOOKUP(2,1/('Feijão 1ª safra'!$E46:INDEX('Feijão 1ª safra'!$E46:$Z46,MIN(T$6-$E$3,22))&lt;&gt;""),'Feijão 1ª safra'!$E46:INDEX('Feijão 1ª safra'!$E46:$Z46,MIN(T$6-$E$3,22))),0))-IF($G$2,0,IF((T$6-$G$3)&lt;1,0,IFERROR(LOOKUP(2,1/('Feijão 1ª safra'!$E46:INDEX('Feijão 1ª safra'!$E46:$Z46,MIN(T$6-$G$3,22))&lt;&gt;""),'Feijão 1ª safra'!$E46:INDEX('Feijão 1ª safra'!$E46:$Z46,MIN(T$6-$G$3,22))),0)))))</f>
        <v>0</v>
      </c>
      <c r="U48" s="27" t="n">
        <f aca="false">IF(COUNT('Feijão 1ª safra'!$E46:$Z46)=0,0,MAX(0,IF((U$6-$E$3)&lt;1,0,IFERROR(LOOKUP(2,1/('Feijão 1ª safra'!$E46:INDEX('Feijão 1ª safra'!$E46:$Z46,MIN(U$6-$E$3,22))&lt;&gt;""),'Feijão 1ª safra'!$E46:INDEX('Feijão 1ª safra'!$E46:$Z46,MIN(U$6-$E$3,22))),0))-IF($G$2,0,IF((U$6-$G$3)&lt;1,0,IFERROR(LOOKUP(2,1/('Feijão 1ª safra'!$E46:INDEX('Feijão 1ª safra'!$E46:$Z46,MIN(U$6-$G$3,22))&lt;&gt;""),'Feijão 1ª safra'!$E46:INDEX('Feijão 1ª safra'!$E46:$Z46,MIN(U$6-$G$3,22))),0)))))</f>
        <v>0</v>
      </c>
      <c r="V48" s="27" t="n">
        <f aca="false">IF(COUNT('Feijão 1ª safra'!$E46:$Z46)=0,0,MAX(0,IF((V$6-$E$3)&lt;1,0,IFERROR(LOOKUP(2,1/('Feijão 1ª safra'!$E46:INDEX('Feijão 1ª safra'!$E46:$Z46,MIN(V$6-$E$3,22))&lt;&gt;""),'Feijão 1ª safra'!$E46:INDEX('Feijão 1ª safra'!$E46:$Z46,MIN(V$6-$E$3,22))),0))-IF($G$2,0,IF((V$6-$G$3)&lt;1,0,IFERROR(LOOKUP(2,1/('Feijão 1ª safra'!$E46:INDEX('Feijão 1ª safra'!$E46:$Z46,MIN(V$6-$G$3,22))&lt;&gt;""),'Feijão 1ª safra'!$E46:INDEX('Feijão 1ª safra'!$E46:$Z46,MIN(V$6-$G$3,22))),0)))))</f>
        <v>0</v>
      </c>
      <c r="W48" s="27" t="n">
        <f aca="false">IF(COUNT('Feijão 1ª safra'!$E46:$Z46)=0,0,MAX(0,IF((W$6-$E$3)&lt;1,0,IFERROR(LOOKUP(2,1/('Feijão 1ª safra'!$E46:INDEX('Feijão 1ª safra'!$E46:$Z46,MIN(W$6-$E$3,22))&lt;&gt;""),'Feijão 1ª safra'!$E46:INDEX('Feijão 1ª safra'!$E46:$Z46,MIN(W$6-$E$3,22))),0))-IF($G$2,0,IF((W$6-$G$3)&lt;1,0,IFERROR(LOOKUP(2,1/('Feijão 1ª safra'!$E46:INDEX('Feijão 1ª safra'!$E46:$Z46,MIN(W$6-$G$3,22))&lt;&gt;""),'Feijão 1ª safra'!$E46:INDEX('Feijão 1ª safra'!$E46:$Z46,MIN(W$6-$G$3,22))),0)))))</f>
        <v>0</v>
      </c>
      <c r="X48" s="27" t="n">
        <f aca="false">IF(COUNT('Feijão 1ª safra'!$E46:$Z46)=0,0,MAX(0,IF((X$6-$E$3)&lt;1,0,IFERROR(LOOKUP(2,1/('Feijão 1ª safra'!$E46:INDEX('Feijão 1ª safra'!$E46:$Z46,MIN(X$6-$E$3,22))&lt;&gt;""),'Feijão 1ª safra'!$E46:INDEX('Feijão 1ª safra'!$E46:$Z46,MIN(X$6-$E$3,22))),0))-IF($G$2,0,IF((X$6-$G$3)&lt;1,0,IFERROR(LOOKUP(2,1/('Feijão 1ª safra'!$E46:INDEX('Feijão 1ª safra'!$E46:$Z46,MIN(X$6-$G$3,22))&lt;&gt;""),'Feijão 1ª safra'!$E46:INDEX('Feijão 1ª safra'!$E46:$Z46,MIN(X$6-$G$3,22))),0)))))</f>
        <v>0</v>
      </c>
      <c r="Y48" s="27" t="n">
        <f aca="false">IF(COUNT('Feijão 1ª safra'!$E46:$Z46)=0,0,MAX(0,IF((Y$6-$E$3)&lt;1,0,IFERROR(LOOKUP(2,1/('Feijão 1ª safra'!$E46:INDEX('Feijão 1ª safra'!$E46:$Z46,MIN(Y$6-$E$3,22))&lt;&gt;""),'Feijão 1ª safra'!$E46:INDEX('Feijão 1ª safra'!$E46:$Z46,MIN(Y$6-$E$3,22))),0))-IF($G$2,0,IF((Y$6-$G$3)&lt;1,0,IFERROR(LOOKUP(2,1/('Feijão 1ª safra'!$E46:INDEX('Feijão 1ª safra'!$E46:$Z46,MIN(Y$6-$G$3,22))&lt;&gt;""),'Feijão 1ª safra'!$E46:INDEX('Feijão 1ª safra'!$E46:$Z46,MIN(Y$6-$G$3,22))),0)))))</f>
        <v>0</v>
      </c>
      <c r="Z48" s="27" t="n">
        <f aca="false">IF(COUNT('Feijão 1ª safra'!$E46:$Z46)=0,0,MAX(0,IF((Z$6-$E$3)&lt;1,0,IFERROR(LOOKUP(2,1/('Feijão 1ª safra'!$E46:INDEX('Feijão 1ª safra'!$E46:$Z46,MIN(Z$6-$E$3,22))&lt;&gt;""),'Feijão 1ª safra'!$E46:INDEX('Feijão 1ª safra'!$E46:$Z46,MIN(Z$6-$E$3,22))),0))-IF($G$2,0,IF((Z$6-$G$3)&lt;1,0,IFERROR(LOOKUP(2,1/('Feijão 1ª safra'!$E46:INDEX('Feijão 1ª safra'!$E46:$Z46,MIN(Z$6-$G$3,22))&lt;&gt;""),'Feijão 1ª safra'!$E46:INDEX('Feijão 1ª safra'!$E46:$Z46,MIN(Z$6-$G$3,22))),0)))))</f>
        <v>0</v>
      </c>
      <c r="AA48" s="27" t="n">
        <f aca="false">IF(COUNT('Feijão 1ª safra'!$E46:$Z46)=0,0,MAX(0,IF((AA$6-$E$3)&lt;1,0,IFERROR(LOOKUP(2,1/('Feijão 1ª safra'!$E46:INDEX('Feijão 1ª safra'!$E46:$Z46,MIN(AA$6-$E$3,22))&lt;&gt;""),'Feijão 1ª safra'!$E46:INDEX('Feijão 1ª safra'!$E46:$Z46,MIN(AA$6-$E$3,22))),0))-IF($G$2,0,IF((AA$6-$G$3)&lt;1,0,IFERROR(LOOKUP(2,1/('Feijão 1ª safra'!$E46:INDEX('Feijão 1ª safra'!$E46:$Z46,MIN(AA$6-$G$3,22))&lt;&gt;""),'Feijão 1ª safra'!$E46:INDEX('Feijão 1ª safra'!$E46:$Z46,MIN(AA$6-$G$3,22))),0)))))</f>
        <v>0</v>
      </c>
      <c r="AB48" s="27" t="n">
        <f aca="false">IF(COUNT('Feijão 1ª safra'!$E46:$Z46)=0,0,MAX(0,IF((AB$6-$E$3)&lt;1,0,IFERROR(LOOKUP(2,1/('Feijão 1ª safra'!$E46:INDEX('Feijão 1ª safra'!$E46:$Z46,MIN(AB$6-$E$3,22))&lt;&gt;""),'Feijão 1ª safra'!$E46:INDEX('Feijão 1ª safra'!$E46:$Z46,MIN(AB$6-$E$3,22))),0))-IF($G$2,0,IF((AB$6-$G$3)&lt;1,0,IFERROR(LOOKUP(2,1/('Feijão 1ª safra'!$E46:INDEX('Feijão 1ª safra'!$E46:$Z46,MIN(AB$6-$G$3,22))&lt;&gt;""),'Feijão 1ª safra'!$E46:INDEX('Feijão 1ª safra'!$E46:$Z46,MIN(AB$6-$G$3,22))),0)))))</f>
        <v>0</v>
      </c>
      <c r="AC48" s="27" t="n">
        <f aca="false">IF(COUNT('Feijão 1ª safra'!$E46:$Z46)=0,0,MAX(0,IF((AC$6-$E$3)&lt;1,0,IFERROR(LOOKUP(2,1/('Feijão 1ª safra'!$E46:INDEX('Feijão 1ª safra'!$E46:$Z46,MIN(AC$6-$E$3,22))&lt;&gt;""),'Feijão 1ª safra'!$E46:INDEX('Feijão 1ª safra'!$E46:$Z46,MIN(AC$6-$E$3,22))),0))-IF($G$2,0,IF((AC$6-$G$3)&lt;1,0,IFERROR(LOOKUP(2,1/('Feijão 1ª safra'!$E46:INDEX('Feijão 1ª safra'!$E46:$Z46,MIN(AC$6-$G$3,22))&lt;&gt;""),'Feijão 1ª safra'!$E46:INDEX('Feijão 1ª safra'!$E46:$Z46,MIN(AC$6-$G$3,22))),0)))))</f>
        <v>0</v>
      </c>
      <c r="AD48" s="27" t="n">
        <f aca="false">IF(COUNT('Feijão 1ª safra'!$E46:$Z46)=0,0,MAX(0,IF((AD$6-$E$3)&lt;1,0,IFERROR(LOOKUP(2,1/('Feijão 1ª safra'!$E46:INDEX('Feijão 1ª safra'!$E46:$Z46,MIN(AD$6-$E$3,22))&lt;&gt;""),'Feijão 1ª safra'!$E46:INDEX('Feijão 1ª safra'!$E46:$Z46,MIN(AD$6-$E$3,22))),0))-IF($G$2,0,IF((AD$6-$G$3)&lt;1,0,IFERROR(LOOKUP(2,1/('Feijão 1ª safra'!$E46:INDEX('Feijão 1ª safra'!$E46:$Z46,MIN(AD$6-$G$3,22))&lt;&gt;""),'Feijão 1ª safra'!$E46:INDEX('Feijão 1ª safra'!$E46:$Z46,MIN(AD$6-$G$3,22))),0)))))</f>
        <v>0</v>
      </c>
      <c r="AE48" s="27" t="n">
        <f aca="false">IF(COUNT('Feijão 1ª safra'!$E46:$Z46)=0,0,MAX(0,IF((AE$6-$E$3)&lt;1,0,IFERROR(LOOKUP(2,1/('Feijão 1ª safra'!$E46:INDEX('Feijão 1ª safra'!$E46:$Z46,MIN(AE$6-$E$3,22))&lt;&gt;""),'Feijão 1ª safra'!$E46:INDEX('Feijão 1ª safra'!$E46:$Z46,MIN(AE$6-$E$3,22))),0))-IF($G$2,0,IF((AE$6-$G$3)&lt;1,0,IFERROR(LOOKUP(2,1/('Feijão 1ª safra'!$E46:INDEX('Feijão 1ª safra'!$E46:$Z46,MIN(AE$6-$G$3,22))&lt;&gt;""),'Feijão 1ª safra'!$E46:INDEX('Feijão 1ª safra'!$E46:$Z46,MIN(AE$6-$G$3,22))),0)))))</f>
        <v>0</v>
      </c>
      <c r="AF48" s="27" t="n">
        <f aca="false">IF(COUNT('Feijão 1ª safra'!$E46:$Z46)=0,0,MAX(0,IF((AF$6-$E$3)&lt;1,0,IFERROR(LOOKUP(2,1/('Feijão 1ª safra'!$E46:INDEX('Feijão 1ª safra'!$E46:$Z46,MIN(AF$6-$E$3,22))&lt;&gt;""),'Feijão 1ª safra'!$E46:INDEX('Feijão 1ª safra'!$E46:$Z46,MIN(AF$6-$E$3,22))),0))-IF($G$2,0,IF((AF$6-$G$3)&lt;1,0,IFERROR(LOOKUP(2,1/('Feijão 1ª safra'!$E46:INDEX('Feijão 1ª safra'!$E46:$Z46,MIN(AF$6-$G$3,22))&lt;&gt;""),'Feijão 1ª safra'!$E46:INDEX('Feijão 1ª safra'!$E46:$Z46,MIN(AF$6-$G$3,22))),0)))))</f>
        <v>0</v>
      </c>
      <c r="AG48" s="27" t="n">
        <f aca="false">IF(COUNT('Feijão 1ª safra'!$E46:$Z46)=0,0,MAX(0,IF((AG$6-$E$3)&lt;1,0,IFERROR(LOOKUP(2,1/('Feijão 1ª safra'!$E46:INDEX('Feijão 1ª safra'!$E46:$Z46,MIN(AG$6-$E$3,22))&lt;&gt;""),'Feijão 1ª safra'!$E46:INDEX('Feijão 1ª safra'!$E46:$Z46,MIN(AG$6-$E$3,22))),0))-IF($G$2,0,IF((AG$6-$G$3)&lt;1,0,IFERROR(LOOKUP(2,1/('Feijão 1ª safra'!$E46:INDEX('Feijão 1ª safra'!$E46:$Z46,MIN(AG$6-$G$3,22))&lt;&gt;""),'Feijão 1ª safra'!$E46:INDEX('Feijão 1ª safra'!$E46:$Z46,MIN(AG$6-$G$3,22))),0)))))</f>
        <v>0</v>
      </c>
      <c r="AH48" s="27" t="n">
        <f aca="false">IF(COUNT('Feijão 1ª safra'!$E46:$Z46)=0,0,MAX(0,IF((AH$6-$E$3)&lt;1,0,IFERROR(LOOKUP(2,1/('Feijão 1ª safra'!$E46:INDEX('Feijão 1ª safra'!$E46:$Z46,MIN(AH$6-$E$3,22))&lt;&gt;""),'Feijão 1ª safra'!$E46:INDEX('Feijão 1ª safra'!$E46:$Z46,MIN(AH$6-$E$3,22))),0))-IF($G$2,0,IF((AH$6-$G$3)&lt;1,0,IFERROR(LOOKUP(2,1/('Feijão 1ª safra'!$E46:INDEX('Feijão 1ª safra'!$E46:$Z46,MIN(AH$6-$G$3,22))&lt;&gt;""),'Feijão 1ª safra'!$E46:INDEX('Feijão 1ª safra'!$E46:$Z46,MIN(AH$6-$G$3,22))),0)))))</f>
        <v>0</v>
      </c>
      <c r="AI48" s="27" t="n">
        <f aca="false">IF(COUNT('Feijão 1ª safra'!$E46:$Z46)=0,0,MAX(0,IF((AI$6-$E$3)&lt;1,0,IFERROR(LOOKUP(2,1/('Feijão 1ª safra'!$E46:INDEX('Feijão 1ª safra'!$E46:$Z46,MIN(AI$6-$E$3,22))&lt;&gt;""),'Feijão 1ª safra'!$E46:INDEX('Feijão 1ª safra'!$E46:$Z46,MIN(AI$6-$E$3,22))),0))-IF($G$2,0,IF((AI$6-$G$3)&lt;1,0,IFERROR(LOOKUP(2,1/('Feijão 1ª safra'!$E46:INDEX('Feijão 1ª safra'!$E46:$Z46,MIN(AI$6-$G$3,22))&lt;&gt;""),'Feijão 1ª safra'!$E46:INDEX('Feijão 1ª safra'!$E46:$Z46,MIN(AI$6-$G$3,22))),0)))))</f>
        <v>0</v>
      </c>
      <c r="AJ48" s="27" t="n">
        <f aca="false">IF(COUNT('Feijão 1ª safra'!$E46:$Z46)=0,0,MAX(0,IF((AJ$6-$E$3)&lt;1,0,IFERROR(LOOKUP(2,1/('Feijão 1ª safra'!$E46:INDEX('Feijão 1ª safra'!$E46:$Z46,MIN(AJ$6-$E$3,22))&lt;&gt;""),'Feijão 1ª safra'!$E46:INDEX('Feijão 1ª safra'!$E46:$Z46,MIN(AJ$6-$E$3,22))),0))-IF($G$2,0,IF((AJ$6-$G$3)&lt;1,0,IFERROR(LOOKUP(2,1/('Feijão 1ª safra'!$E46:INDEX('Feijão 1ª safra'!$E46:$Z46,MIN(AJ$6-$G$3,22))&lt;&gt;""),'Feijão 1ª safra'!$E46:INDEX('Feijão 1ª safra'!$E46:$Z46,MIN(AJ$6-$G$3,22))),0)))))</f>
        <v>0</v>
      </c>
      <c r="AK48" s="27" t="n">
        <f aca="false">IF(COUNT('Feijão 1ª safra'!$E46:$Z46)=0,0,MAX(0,IF((AK$6-$E$3)&lt;1,0,IFERROR(LOOKUP(2,1/('Feijão 1ª safra'!$E46:INDEX('Feijão 1ª safra'!$E46:$Z46,MIN(AK$6-$E$3,22))&lt;&gt;""),'Feijão 1ª safra'!$E46:INDEX('Feijão 1ª safra'!$E46:$Z46,MIN(AK$6-$E$3,22))),0))-IF($G$2,0,IF((AK$6-$G$3)&lt;1,0,IFERROR(LOOKUP(2,1/('Feijão 1ª safra'!$E46:INDEX('Feijão 1ª safra'!$E46:$Z46,MIN(AK$6-$G$3,22))&lt;&gt;""),'Feijão 1ª safra'!$E46:INDEX('Feijão 1ª safra'!$E46:$Z46,MIN(AK$6-$G$3,22))),0)))))</f>
        <v>0</v>
      </c>
      <c r="AL48" s="27" t="n">
        <f aca="false">IF(COUNT('Feijão 1ª safra'!$E46:$Z46)=0,0,MAX(0,IF((AL$6-$E$3)&lt;1,0,IFERROR(LOOKUP(2,1/('Feijão 1ª safra'!$E46:INDEX('Feijão 1ª safra'!$E46:$Z46,MIN(AL$6-$E$3,22))&lt;&gt;""),'Feijão 1ª safra'!$E46:INDEX('Feijão 1ª safra'!$E46:$Z46,MIN(AL$6-$E$3,22))),0))-IF($G$2,0,IF((AL$6-$G$3)&lt;1,0,IFERROR(LOOKUP(2,1/('Feijão 1ª safra'!$E46:INDEX('Feijão 1ª safra'!$E46:$Z46,MIN(AL$6-$G$3,22))&lt;&gt;""),'Feijão 1ª safra'!$E46:INDEX('Feijão 1ª safra'!$E46:$Z46,MIN(AL$6-$G$3,22))),0)))))</f>
        <v>0</v>
      </c>
      <c r="AM48" s="27" t="n">
        <f aca="false">IF(COUNT('Feijão 1ª safra'!$E46:$Z46)=0,0,MAX(0,IF((AM$6-$E$3)&lt;1,0,IFERROR(LOOKUP(2,1/('Feijão 1ª safra'!$E46:INDEX('Feijão 1ª safra'!$E46:$Z46,MIN(AM$6-$E$3,22))&lt;&gt;""),'Feijão 1ª safra'!$E46:INDEX('Feijão 1ª safra'!$E46:$Z46,MIN(AM$6-$E$3,22))),0))-IF($G$2,0,IF((AM$6-$G$3)&lt;1,0,IFERROR(LOOKUP(2,1/('Feijão 1ª safra'!$E46:INDEX('Feijão 1ª safra'!$E46:$Z46,MIN(AM$6-$G$3,22))&lt;&gt;""),'Feijão 1ª safra'!$E46:INDEX('Feijão 1ª safra'!$E46:$Z46,MIN(AM$6-$G$3,22))),0)))))</f>
        <v>0</v>
      </c>
      <c r="AN48" s="27" t="n">
        <f aca="false">IF(COUNT('Feijão 1ª safra'!$E46:$Z46)=0,0,MAX(0,IF((AN$6-$E$3)&lt;1,0,IFERROR(LOOKUP(2,1/('Feijão 1ª safra'!$E46:INDEX('Feijão 1ª safra'!$E46:$Z46,MIN(AN$6-$E$3,22))&lt;&gt;""),'Feijão 1ª safra'!$E46:INDEX('Feijão 1ª safra'!$E46:$Z46,MIN(AN$6-$E$3,22))),0))-IF($G$2,0,IF((AN$6-$G$3)&lt;1,0,IFERROR(LOOKUP(2,1/('Feijão 1ª safra'!$E46:INDEX('Feijão 1ª safra'!$E46:$Z46,MIN(AN$6-$G$3,22))&lt;&gt;""),'Feijão 1ª safra'!$E46:INDEX('Feijão 1ª safra'!$E46:$Z46,MIN(AN$6-$G$3,22))),0)))))</f>
        <v>0</v>
      </c>
      <c r="AO48" s="27" t="n">
        <f aca="false">IF(COUNT('Feijão 1ª safra'!$E46:$Z46)=0,0,MAX(0,IF((AO$6-$E$3)&lt;1,0,IFERROR(LOOKUP(2,1/('Feijão 1ª safra'!$E46:INDEX('Feijão 1ª safra'!$E46:$Z46,MIN(AO$6-$E$3,22))&lt;&gt;""),'Feijão 1ª safra'!$E46:INDEX('Feijão 1ª safra'!$E46:$Z46,MIN(AO$6-$E$3,22))),0))-IF($G$2,0,IF((AO$6-$G$3)&lt;1,0,IFERROR(LOOKUP(2,1/('Feijão 1ª safra'!$E46:INDEX('Feijão 1ª safra'!$E46:$Z46,MIN(AO$6-$G$3,22))&lt;&gt;""),'Feijão 1ª safra'!$E46:INDEX('Feijão 1ª safra'!$E46:$Z46,MIN(AO$6-$G$3,22))),0)))))</f>
        <v>0</v>
      </c>
      <c r="AP48" s="27" t="n">
        <f aca="false">IF(COUNT('Feijão 1ª safra'!$E46:$Z46)=0,0,MAX(0,IF((AP$6-$E$3)&lt;1,0,IFERROR(LOOKUP(2,1/('Feijão 1ª safra'!$E46:INDEX('Feijão 1ª safra'!$E46:$Z46,MIN(AP$6-$E$3,22))&lt;&gt;""),'Feijão 1ª safra'!$E46:INDEX('Feijão 1ª safra'!$E46:$Z46,MIN(AP$6-$E$3,22))),0))-IF($G$2,0,IF((AP$6-$G$3)&lt;1,0,IFERROR(LOOKUP(2,1/('Feijão 1ª safra'!$E46:INDEX('Feijão 1ª safra'!$E46:$Z46,MIN(AP$6-$G$3,22))&lt;&gt;""),'Feijão 1ª safra'!$E46:INDEX('Feijão 1ª safra'!$E46:$Z46,MIN(AP$6-$G$3,22))),0)))))</f>
        <v>0</v>
      </c>
      <c r="AQ48" s="27" t="n">
        <f aca="false">IF(COUNT('Feijão 1ª safra'!$E46:$Z46)=0,0,MAX(0,IF((AQ$6-$E$3)&lt;1,0,IFERROR(LOOKUP(2,1/('Feijão 1ª safra'!$E46:INDEX('Feijão 1ª safra'!$E46:$Z46,MIN(AQ$6-$E$3,22))&lt;&gt;""),'Feijão 1ª safra'!$E46:INDEX('Feijão 1ª safra'!$E46:$Z46,MIN(AQ$6-$E$3,22))),0))-IF($G$2,0,IF((AQ$6-$G$3)&lt;1,0,IFERROR(LOOKUP(2,1/('Feijão 1ª safra'!$E46:INDEX('Feijão 1ª safra'!$E46:$Z46,MIN(AQ$6-$G$3,22))&lt;&gt;""),'Feijão 1ª safra'!$E46:INDEX('Feijão 1ª safra'!$E46:$Z46,MIN(AQ$6-$G$3,22))),0)))))</f>
        <v>0</v>
      </c>
      <c r="AR48" s="27" t="n">
        <f aca="false">IF(COUNT('Feijão 1ª safra'!$E46:$Z46)=0,0,MAX(0,IF((AR$6-$E$3)&lt;1,0,IFERROR(LOOKUP(2,1/('Feijão 1ª safra'!$E46:INDEX('Feijão 1ª safra'!$E46:$Z46,MIN(AR$6-$E$3,22))&lt;&gt;""),'Feijão 1ª safra'!$E46:INDEX('Feijão 1ª safra'!$E46:$Z46,MIN(AR$6-$E$3,22))),0))-IF($G$2,0,IF((AR$6-$G$3)&lt;1,0,IFERROR(LOOKUP(2,1/('Feijão 1ª safra'!$E46:INDEX('Feijão 1ª safra'!$E46:$Z46,MIN(AR$6-$G$3,22))&lt;&gt;""),'Feijão 1ª safra'!$E46:INDEX('Feijão 1ª safra'!$E46:$Z46,MIN(AR$6-$G$3,22))),0)))))</f>
        <v>0</v>
      </c>
      <c r="AS48" s="27" t="n">
        <f aca="false">IF(COUNT('Feijão 1ª safra'!$E46:$Z46)=0,0,MAX(0,IF((AS$6-$E$3)&lt;1,0,IFERROR(LOOKUP(2,1/('Feijão 1ª safra'!$E46:INDEX('Feijão 1ª safra'!$E46:$Z46,MIN(AS$6-$E$3,22))&lt;&gt;""),'Feijão 1ª safra'!$E46:INDEX('Feijão 1ª safra'!$E46:$Z46,MIN(AS$6-$E$3,22))),0))-IF($G$2,0,IF((AS$6-$G$3)&lt;1,0,IFERROR(LOOKUP(2,1/('Feijão 1ª safra'!$E46:INDEX('Feijão 1ª safra'!$E46:$Z46,MIN(AS$6-$G$3,22))&lt;&gt;""),'Feijão 1ª safra'!$E46:INDEX('Feijão 1ª safra'!$E46:$Z46,MIN(AS$6-$G$3,22))),0)))))</f>
        <v>0</v>
      </c>
      <c r="AT48" s="27" t="n">
        <f aca="false">IF(COUNT('Feijão 1ª safra'!$E46:$Z46)=0,0,MAX(0,IF((AT$6-$E$3)&lt;1,0,IFERROR(LOOKUP(2,1/('Feijão 1ª safra'!$E46:INDEX('Feijão 1ª safra'!$E46:$Z46,MIN(AT$6-$E$3,22))&lt;&gt;""),'Feijão 1ª safra'!$E46:INDEX('Feijão 1ª safra'!$E46:$Z46,MIN(AT$6-$E$3,22))),0))-IF($G$2,0,IF((AT$6-$G$3)&lt;1,0,IFERROR(LOOKUP(2,1/('Feijão 1ª safra'!$E46:INDEX('Feijão 1ª safra'!$E46:$Z46,MIN(AT$6-$G$3,22))&lt;&gt;""),'Feijão 1ª safra'!$E46:INDEX('Feijão 1ª safra'!$E46:$Z46,MIN(AT$6-$G$3,22))),0)))))</f>
        <v>0</v>
      </c>
      <c r="AU48" s="27" t="n">
        <f aca="false">IF(COUNT('Feijão 1ª safra'!$E46:$Z46)=0,0,MAX(0,IF((AU$6-$E$3)&lt;1,0,IFERROR(LOOKUP(2,1/('Feijão 1ª safra'!$E46:INDEX('Feijão 1ª safra'!$E46:$Z46,MIN(AU$6-$E$3,22))&lt;&gt;""),'Feijão 1ª safra'!$E46:INDEX('Feijão 1ª safra'!$E46:$Z46,MIN(AU$6-$E$3,22))),0))-IF($G$2,0,IF((AU$6-$G$3)&lt;1,0,IFERROR(LOOKUP(2,1/('Feijão 1ª safra'!$E46:INDEX('Feijão 1ª safra'!$E46:$Z46,MIN(AU$6-$G$3,22))&lt;&gt;""),'Feijão 1ª safra'!$E46:INDEX('Feijão 1ª safra'!$E46:$Z46,MIN(AU$6-$G$3,22))),0)))))</f>
        <v>0</v>
      </c>
      <c r="AV48" s="27" t="n">
        <f aca="false">IF(COUNT('Feijão 1ª safra'!$E46:$Z46)=0,0,MAX(0,IF((AV$6-$E$3)&lt;1,0,IFERROR(LOOKUP(2,1/('Feijão 1ª safra'!$E46:INDEX('Feijão 1ª safra'!$E46:$Z46,MIN(AV$6-$E$3,22))&lt;&gt;""),'Feijão 1ª safra'!$E46:INDEX('Feijão 1ª safra'!$E46:$Z46,MIN(AV$6-$E$3,22))),0))-IF($G$2,0,IF((AV$6-$G$3)&lt;1,0,IFERROR(LOOKUP(2,1/('Feijão 1ª safra'!$E46:INDEX('Feijão 1ª safra'!$E46:$Z46,MIN(AV$6-$G$3,22))&lt;&gt;""),'Feijão 1ª safra'!$E46:INDEX('Feijão 1ª safra'!$E46:$Z46,MIN(AV$6-$G$3,22))),0)))))</f>
        <v>0</v>
      </c>
      <c r="AW48" s="27" t="n">
        <f aca="false">IF(COUNT('Feijão 1ª safra'!$E46:$Z46)=0,0,MAX(0,IF((AW$6-$E$3)&lt;1,0,IFERROR(LOOKUP(2,1/('Feijão 1ª safra'!$E46:INDEX('Feijão 1ª safra'!$E46:$Z46,MIN(AW$6-$E$3,22))&lt;&gt;""),'Feijão 1ª safra'!$E46:INDEX('Feijão 1ª safra'!$E46:$Z46,MIN(AW$6-$E$3,22))),0))-IF($G$2,0,IF((AW$6-$G$3)&lt;1,0,IFERROR(LOOKUP(2,1/('Feijão 1ª safra'!$E46:INDEX('Feijão 1ª safra'!$E46:$Z46,MIN(AW$6-$G$3,22))&lt;&gt;""),'Feijão 1ª safra'!$E46:INDEX('Feijão 1ª safra'!$E46:$Z46,MIN(AW$6-$G$3,22))),0)))))</f>
        <v>0</v>
      </c>
      <c r="AX48" s="27" t="n">
        <f aca="false">IF(COUNT('Feijão 1ª safra'!$E46:$Z46)=0,0,MAX(0,IF((AX$6-$E$3)&lt;1,0,IFERROR(LOOKUP(2,1/('Feijão 1ª safra'!$E46:INDEX('Feijão 1ª safra'!$E46:$Z46,MIN(AX$6-$E$3,22))&lt;&gt;""),'Feijão 1ª safra'!$E46:INDEX('Feijão 1ª safra'!$E46:$Z46,MIN(AX$6-$E$3,22))),0))-IF($G$2,0,IF((AX$6-$G$3)&lt;1,0,IFERROR(LOOKUP(2,1/('Feijão 1ª safra'!$E46:INDEX('Feijão 1ª safra'!$E46:$Z46,MIN(AX$6-$G$3,22))&lt;&gt;""),'Feijão 1ª safra'!$E46:INDEX('Feijão 1ª safra'!$E46:$Z46,MIN(AX$6-$G$3,22))),0)))))</f>
        <v>0</v>
      </c>
      <c r="AY48" s="27" t="n">
        <f aca="false">IF(COUNT('Feijão 1ª safra'!$E46:$Z46)=0,0,MAX(0,IF((AY$6-$E$3)&lt;1,0,IFERROR(LOOKUP(2,1/('Feijão 1ª safra'!$E46:INDEX('Feijão 1ª safra'!$E46:$Z46,MIN(AY$6-$E$3,22))&lt;&gt;""),'Feijão 1ª safra'!$E46:INDEX('Feijão 1ª safra'!$E46:$Z46,MIN(AY$6-$E$3,22))),0))-IF($G$2,0,IF((AY$6-$G$3)&lt;1,0,IFERROR(LOOKUP(2,1/('Feijão 1ª safra'!$E46:INDEX('Feijão 1ª safra'!$E46:$Z46,MIN(AY$6-$G$3,22))&lt;&gt;""),'Feijão 1ª safra'!$E46:INDEX('Feijão 1ª safra'!$E46:$Z46,MIN(AY$6-$G$3,22))),0)))))</f>
        <v>0</v>
      </c>
      <c r="AZ48" s="27" t="n">
        <f aca="false">IF(COUNT('Feijão 1ª safra'!$E46:$Z46)=0,0,MAX(0,IF((AZ$6-$E$3)&lt;1,0,IFERROR(LOOKUP(2,1/('Feijão 1ª safra'!$E46:INDEX('Feijão 1ª safra'!$E46:$Z46,MIN(AZ$6-$E$3,22))&lt;&gt;""),'Feijão 1ª safra'!$E46:INDEX('Feijão 1ª safra'!$E46:$Z46,MIN(AZ$6-$E$3,22))),0))-IF($G$2,0,IF((AZ$6-$G$3)&lt;1,0,IFERROR(LOOKUP(2,1/('Feijão 1ª safra'!$E46:INDEX('Feijão 1ª safra'!$E46:$Z46,MIN(AZ$6-$G$3,22))&lt;&gt;""),'Feijão 1ª safra'!$E46:INDEX('Feijão 1ª safra'!$E46:$Z46,MIN(AZ$6-$G$3,22))),0)))))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IF(COUNT('Feijão 1ª safra'!$E47:$Z47)&gt;0,N('Feijão 1ª safra'!$D47),0)</f>
        <v>0</v>
      </c>
      <c r="E49" s="27" t="n">
        <f aca="false">IF(COUNT('Feijão 1ª safra'!$E47:$Z47)=0,0,MAX(0,IF((E$6-$E$3)&lt;1,0,IFERROR(LOOKUP(2,1/('Feijão 1ª safra'!$E47:INDEX('Feijão 1ª safra'!$E47:$Z47,MIN(E$6-$E$3,22))&lt;&gt;""),'Feijão 1ª safra'!$E47:INDEX('Feijão 1ª safra'!$E47:$Z47,MIN(E$6-$E$3,22))),0))-IF($G$2,0,IF((E$6-$G$3)&lt;1,0,IFERROR(LOOKUP(2,1/('Feijão 1ª safra'!$E47:INDEX('Feijão 1ª safra'!$E47:$Z47,MIN(E$6-$G$3,22))&lt;&gt;""),'Feijão 1ª safra'!$E47:INDEX('Feijão 1ª safra'!$E47:$Z47,MIN(E$6-$G$3,22))),0)))))</f>
        <v>0</v>
      </c>
      <c r="F49" s="27" t="n">
        <f aca="false">IF(COUNT('Feijão 1ª safra'!$E47:$Z47)=0,0,MAX(0,IF((F$6-$E$3)&lt;1,0,IFERROR(LOOKUP(2,1/('Feijão 1ª safra'!$E47:INDEX('Feijão 1ª safra'!$E47:$Z47,MIN(F$6-$E$3,22))&lt;&gt;""),'Feijão 1ª safra'!$E47:INDEX('Feijão 1ª safra'!$E47:$Z47,MIN(F$6-$E$3,22))),0))-IF($G$2,0,IF((F$6-$G$3)&lt;1,0,IFERROR(LOOKUP(2,1/('Feijão 1ª safra'!$E47:INDEX('Feijão 1ª safra'!$E47:$Z47,MIN(F$6-$G$3,22))&lt;&gt;""),'Feijão 1ª safra'!$E47:INDEX('Feijão 1ª safra'!$E47:$Z47,MIN(F$6-$G$3,22))),0)))))</f>
        <v>0</v>
      </c>
      <c r="G49" s="27" t="n">
        <f aca="false">IF(COUNT('Feijão 1ª safra'!$E47:$Z47)=0,0,MAX(0,IF((G$6-$E$3)&lt;1,0,IFERROR(LOOKUP(2,1/('Feijão 1ª safra'!$E47:INDEX('Feijão 1ª safra'!$E47:$Z47,MIN(G$6-$E$3,22))&lt;&gt;""),'Feijão 1ª safra'!$E47:INDEX('Feijão 1ª safra'!$E47:$Z47,MIN(G$6-$E$3,22))),0))-IF($G$2,0,IF((G$6-$G$3)&lt;1,0,IFERROR(LOOKUP(2,1/('Feijão 1ª safra'!$E47:INDEX('Feijão 1ª safra'!$E47:$Z47,MIN(G$6-$G$3,22))&lt;&gt;""),'Feijão 1ª safra'!$E47:INDEX('Feijão 1ª safra'!$E47:$Z47,MIN(G$6-$G$3,22))),0)))))</f>
        <v>0</v>
      </c>
      <c r="H49" s="27" t="n">
        <f aca="false">IF(COUNT('Feijão 1ª safra'!$E47:$Z47)=0,0,MAX(0,IF((H$6-$E$3)&lt;1,0,IFERROR(LOOKUP(2,1/('Feijão 1ª safra'!$E47:INDEX('Feijão 1ª safra'!$E47:$Z47,MIN(H$6-$E$3,22))&lt;&gt;""),'Feijão 1ª safra'!$E47:INDEX('Feijão 1ª safra'!$E47:$Z47,MIN(H$6-$E$3,22))),0))-IF($G$2,0,IF((H$6-$G$3)&lt;1,0,IFERROR(LOOKUP(2,1/('Feijão 1ª safra'!$E47:INDEX('Feijão 1ª safra'!$E47:$Z47,MIN(H$6-$G$3,22))&lt;&gt;""),'Feijão 1ª safra'!$E47:INDEX('Feijão 1ª safra'!$E47:$Z47,MIN(H$6-$G$3,22))),0)))))</f>
        <v>0</v>
      </c>
      <c r="I49" s="27" t="n">
        <f aca="false">IF(COUNT('Feijão 1ª safra'!$E47:$Z47)=0,0,MAX(0,IF((I$6-$E$3)&lt;1,0,IFERROR(LOOKUP(2,1/('Feijão 1ª safra'!$E47:INDEX('Feijão 1ª safra'!$E47:$Z47,MIN(I$6-$E$3,22))&lt;&gt;""),'Feijão 1ª safra'!$E47:INDEX('Feijão 1ª safra'!$E47:$Z47,MIN(I$6-$E$3,22))),0))-IF($G$2,0,IF((I$6-$G$3)&lt;1,0,IFERROR(LOOKUP(2,1/('Feijão 1ª safra'!$E47:INDEX('Feijão 1ª safra'!$E47:$Z47,MIN(I$6-$G$3,22))&lt;&gt;""),'Feijão 1ª safra'!$E47:INDEX('Feijão 1ª safra'!$E47:$Z47,MIN(I$6-$G$3,22))),0)))))</f>
        <v>0</v>
      </c>
      <c r="J49" s="27" t="n">
        <f aca="false">IF(COUNT('Feijão 1ª safra'!$E47:$Z47)=0,0,MAX(0,IF((J$6-$E$3)&lt;1,0,IFERROR(LOOKUP(2,1/('Feijão 1ª safra'!$E47:INDEX('Feijão 1ª safra'!$E47:$Z47,MIN(J$6-$E$3,22))&lt;&gt;""),'Feijão 1ª safra'!$E47:INDEX('Feijão 1ª safra'!$E47:$Z47,MIN(J$6-$E$3,22))),0))-IF($G$2,0,IF((J$6-$G$3)&lt;1,0,IFERROR(LOOKUP(2,1/('Feijão 1ª safra'!$E47:INDEX('Feijão 1ª safra'!$E47:$Z47,MIN(J$6-$G$3,22))&lt;&gt;""),'Feijão 1ª safra'!$E47:INDEX('Feijão 1ª safra'!$E47:$Z47,MIN(J$6-$G$3,22))),0)))))</f>
        <v>0</v>
      </c>
      <c r="K49" s="27" t="n">
        <f aca="false">IF(COUNT('Feijão 1ª safra'!$E47:$Z47)=0,0,MAX(0,IF((K$6-$E$3)&lt;1,0,IFERROR(LOOKUP(2,1/('Feijão 1ª safra'!$E47:INDEX('Feijão 1ª safra'!$E47:$Z47,MIN(K$6-$E$3,22))&lt;&gt;""),'Feijão 1ª safra'!$E47:INDEX('Feijão 1ª safra'!$E47:$Z47,MIN(K$6-$E$3,22))),0))-IF($G$2,0,IF((K$6-$G$3)&lt;1,0,IFERROR(LOOKUP(2,1/('Feijão 1ª safra'!$E47:INDEX('Feijão 1ª safra'!$E47:$Z47,MIN(K$6-$G$3,22))&lt;&gt;""),'Feijão 1ª safra'!$E47:INDEX('Feijão 1ª safra'!$E47:$Z47,MIN(K$6-$G$3,22))),0)))))</f>
        <v>0</v>
      </c>
      <c r="L49" s="27" t="n">
        <f aca="false">IF(COUNT('Feijão 1ª safra'!$E47:$Z47)=0,0,MAX(0,IF((L$6-$E$3)&lt;1,0,IFERROR(LOOKUP(2,1/('Feijão 1ª safra'!$E47:INDEX('Feijão 1ª safra'!$E47:$Z47,MIN(L$6-$E$3,22))&lt;&gt;""),'Feijão 1ª safra'!$E47:INDEX('Feijão 1ª safra'!$E47:$Z47,MIN(L$6-$E$3,22))),0))-IF($G$2,0,IF((L$6-$G$3)&lt;1,0,IFERROR(LOOKUP(2,1/('Feijão 1ª safra'!$E47:INDEX('Feijão 1ª safra'!$E47:$Z47,MIN(L$6-$G$3,22))&lt;&gt;""),'Feijão 1ª safra'!$E47:INDEX('Feijão 1ª safra'!$E47:$Z47,MIN(L$6-$G$3,22))),0)))))</f>
        <v>0</v>
      </c>
      <c r="M49" s="27" t="n">
        <f aca="false">IF(COUNT('Feijão 1ª safra'!$E47:$Z47)=0,0,MAX(0,IF((M$6-$E$3)&lt;1,0,IFERROR(LOOKUP(2,1/('Feijão 1ª safra'!$E47:INDEX('Feijão 1ª safra'!$E47:$Z47,MIN(M$6-$E$3,22))&lt;&gt;""),'Feijão 1ª safra'!$E47:INDEX('Feijão 1ª safra'!$E47:$Z47,MIN(M$6-$E$3,22))),0))-IF($G$2,0,IF((M$6-$G$3)&lt;1,0,IFERROR(LOOKUP(2,1/('Feijão 1ª safra'!$E47:INDEX('Feijão 1ª safra'!$E47:$Z47,MIN(M$6-$G$3,22))&lt;&gt;""),'Feijão 1ª safra'!$E47:INDEX('Feijão 1ª safra'!$E47:$Z47,MIN(M$6-$G$3,22))),0)))))</f>
        <v>0</v>
      </c>
      <c r="N49" s="27" t="n">
        <f aca="false">IF(COUNT('Feijão 1ª safra'!$E47:$Z47)=0,0,MAX(0,IF((N$6-$E$3)&lt;1,0,IFERROR(LOOKUP(2,1/('Feijão 1ª safra'!$E47:INDEX('Feijão 1ª safra'!$E47:$Z47,MIN(N$6-$E$3,22))&lt;&gt;""),'Feijão 1ª safra'!$E47:INDEX('Feijão 1ª safra'!$E47:$Z47,MIN(N$6-$E$3,22))),0))-IF($G$2,0,IF((N$6-$G$3)&lt;1,0,IFERROR(LOOKUP(2,1/('Feijão 1ª safra'!$E47:INDEX('Feijão 1ª safra'!$E47:$Z47,MIN(N$6-$G$3,22))&lt;&gt;""),'Feijão 1ª safra'!$E47:INDEX('Feijão 1ª safra'!$E47:$Z47,MIN(N$6-$G$3,22))),0)))))</f>
        <v>0</v>
      </c>
      <c r="O49" s="27" t="n">
        <f aca="false">IF(COUNT('Feijão 1ª safra'!$E47:$Z47)=0,0,MAX(0,IF((O$6-$E$3)&lt;1,0,IFERROR(LOOKUP(2,1/('Feijão 1ª safra'!$E47:INDEX('Feijão 1ª safra'!$E47:$Z47,MIN(O$6-$E$3,22))&lt;&gt;""),'Feijão 1ª safra'!$E47:INDEX('Feijão 1ª safra'!$E47:$Z47,MIN(O$6-$E$3,22))),0))-IF($G$2,0,IF((O$6-$G$3)&lt;1,0,IFERROR(LOOKUP(2,1/('Feijão 1ª safra'!$E47:INDEX('Feijão 1ª safra'!$E47:$Z47,MIN(O$6-$G$3,22))&lt;&gt;""),'Feijão 1ª safra'!$E47:INDEX('Feijão 1ª safra'!$E47:$Z47,MIN(O$6-$G$3,22))),0)))))</f>
        <v>0</v>
      </c>
      <c r="P49" s="27" t="n">
        <f aca="false">IF(COUNT('Feijão 1ª safra'!$E47:$Z47)=0,0,MAX(0,IF((P$6-$E$3)&lt;1,0,IFERROR(LOOKUP(2,1/('Feijão 1ª safra'!$E47:INDEX('Feijão 1ª safra'!$E47:$Z47,MIN(P$6-$E$3,22))&lt;&gt;""),'Feijão 1ª safra'!$E47:INDEX('Feijão 1ª safra'!$E47:$Z47,MIN(P$6-$E$3,22))),0))-IF($G$2,0,IF((P$6-$G$3)&lt;1,0,IFERROR(LOOKUP(2,1/('Feijão 1ª safra'!$E47:INDEX('Feijão 1ª safra'!$E47:$Z47,MIN(P$6-$G$3,22))&lt;&gt;""),'Feijão 1ª safra'!$E47:INDEX('Feijão 1ª safra'!$E47:$Z47,MIN(P$6-$G$3,22))),0)))))</f>
        <v>0</v>
      </c>
      <c r="Q49" s="27" t="n">
        <f aca="false">IF(COUNT('Feijão 1ª safra'!$E47:$Z47)=0,0,MAX(0,IF((Q$6-$E$3)&lt;1,0,IFERROR(LOOKUP(2,1/('Feijão 1ª safra'!$E47:INDEX('Feijão 1ª safra'!$E47:$Z47,MIN(Q$6-$E$3,22))&lt;&gt;""),'Feijão 1ª safra'!$E47:INDEX('Feijão 1ª safra'!$E47:$Z47,MIN(Q$6-$E$3,22))),0))-IF($G$2,0,IF((Q$6-$G$3)&lt;1,0,IFERROR(LOOKUP(2,1/('Feijão 1ª safra'!$E47:INDEX('Feijão 1ª safra'!$E47:$Z47,MIN(Q$6-$G$3,22))&lt;&gt;""),'Feijão 1ª safra'!$E47:INDEX('Feijão 1ª safra'!$E47:$Z47,MIN(Q$6-$G$3,22))),0)))))</f>
        <v>0</v>
      </c>
      <c r="R49" s="27" t="n">
        <f aca="false">IF(COUNT('Feijão 1ª safra'!$E47:$Z47)=0,0,MAX(0,IF((R$6-$E$3)&lt;1,0,IFERROR(LOOKUP(2,1/('Feijão 1ª safra'!$E47:INDEX('Feijão 1ª safra'!$E47:$Z47,MIN(R$6-$E$3,22))&lt;&gt;""),'Feijão 1ª safra'!$E47:INDEX('Feijão 1ª safra'!$E47:$Z47,MIN(R$6-$E$3,22))),0))-IF($G$2,0,IF((R$6-$G$3)&lt;1,0,IFERROR(LOOKUP(2,1/('Feijão 1ª safra'!$E47:INDEX('Feijão 1ª safra'!$E47:$Z47,MIN(R$6-$G$3,22))&lt;&gt;""),'Feijão 1ª safra'!$E47:INDEX('Feijão 1ª safra'!$E47:$Z47,MIN(R$6-$G$3,22))),0)))))</f>
        <v>0</v>
      </c>
      <c r="S49" s="27" t="n">
        <f aca="false">IF(COUNT('Feijão 1ª safra'!$E47:$Z47)=0,0,MAX(0,IF((S$6-$E$3)&lt;1,0,IFERROR(LOOKUP(2,1/('Feijão 1ª safra'!$E47:INDEX('Feijão 1ª safra'!$E47:$Z47,MIN(S$6-$E$3,22))&lt;&gt;""),'Feijão 1ª safra'!$E47:INDEX('Feijão 1ª safra'!$E47:$Z47,MIN(S$6-$E$3,22))),0))-IF($G$2,0,IF((S$6-$G$3)&lt;1,0,IFERROR(LOOKUP(2,1/('Feijão 1ª safra'!$E47:INDEX('Feijão 1ª safra'!$E47:$Z47,MIN(S$6-$G$3,22))&lt;&gt;""),'Feijão 1ª safra'!$E47:INDEX('Feijão 1ª safra'!$E47:$Z47,MIN(S$6-$G$3,22))),0)))))</f>
        <v>0</v>
      </c>
      <c r="T49" s="27" t="n">
        <f aca="false">IF(COUNT('Feijão 1ª safra'!$E47:$Z47)=0,0,MAX(0,IF((T$6-$E$3)&lt;1,0,IFERROR(LOOKUP(2,1/('Feijão 1ª safra'!$E47:INDEX('Feijão 1ª safra'!$E47:$Z47,MIN(T$6-$E$3,22))&lt;&gt;""),'Feijão 1ª safra'!$E47:INDEX('Feijão 1ª safra'!$E47:$Z47,MIN(T$6-$E$3,22))),0))-IF($G$2,0,IF((T$6-$G$3)&lt;1,0,IFERROR(LOOKUP(2,1/('Feijão 1ª safra'!$E47:INDEX('Feijão 1ª safra'!$E47:$Z47,MIN(T$6-$G$3,22))&lt;&gt;""),'Feijão 1ª safra'!$E47:INDEX('Feijão 1ª safra'!$E47:$Z47,MIN(T$6-$G$3,22))),0)))))</f>
        <v>0</v>
      </c>
      <c r="U49" s="27" t="n">
        <f aca="false">IF(COUNT('Feijão 1ª safra'!$E47:$Z47)=0,0,MAX(0,IF((U$6-$E$3)&lt;1,0,IFERROR(LOOKUP(2,1/('Feijão 1ª safra'!$E47:INDEX('Feijão 1ª safra'!$E47:$Z47,MIN(U$6-$E$3,22))&lt;&gt;""),'Feijão 1ª safra'!$E47:INDEX('Feijão 1ª safra'!$E47:$Z47,MIN(U$6-$E$3,22))),0))-IF($G$2,0,IF((U$6-$G$3)&lt;1,0,IFERROR(LOOKUP(2,1/('Feijão 1ª safra'!$E47:INDEX('Feijão 1ª safra'!$E47:$Z47,MIN(U$6-$G$3,22))&lt;&gt;""),'Feijão 1ª safra'!$E47:INDEX('Feijão 1ª safra'!$E47:$Z47,MIN(U$6-$G$3,22))),0)))))</f>
        <v>0</v>
      </c>
      <c r="V49" s="27" t="n">
        <f aca="false">IF(COUNT('Feijão 1ª safra'!$E47:$Z47)=0,0,MAX(0,IF((V$6-$E$3)&lt;1,0,IFERROR(LOOKUP(2,1/('Feijão 1ª safra'!$E47:INDEX('Feijão 1ª safra'!$E47:$Z47,MIN(V$6-$E$3,22))&lt;&gt;""),'Feijão 1ª safra'!$E47:INDEX('Feijão 1ª safra'!$E47:$Z47,MIN(V$6-$E$3,22))),0))-IF($G$2,0,IF((V$6-$G$3)&lt;1,0,IFERROR(LOOKUP(2,1/('Feijão 1ª safra'!$E47:INDEX('Feijão 1ª safra'!$E47:$Z47,MIN(V$6-$G$3,22))&lt;&gt;""),'Feijão 1ª safra'!$E47:INDEX('Feijão 1ª safra'!$E47:$Z47,MIN(V$6-$G$3,22))),0)))))</f>
        <v>0</v>
      </c>
      <c r="W49" s="27" t="n">
        <f aca="false">IF(COUNT('Feijão 1ª safra'!$E47:$Z47)=0,0,MAX(0,IF((W$6-$E$3)&lt;1,0,IFERROR(LOOKUP(2,1/('Feijão 1ª safra'!$E47:INDEX('Feijão 1ª safra'!$E47:$Z47,MIN(W$6-$E$3,22))&lt;&gt;""),'Feijão 1ª safra'!$E47:INDEX('Feijão 1ª safra'!$E47:$Z47,MIN(W$6-$E$3,22))),0))-IF($G$2,0,IF((W$6-$G$3)&lt;1,0,IFERROR(LOOKUP(2,1/('Feijão 1ª safra'!$E47:INDEX('Feijão 1ª safra'!$E47:$Z47,MIN(W$6-$G$3,22))&lt;&gt;""),'Feijão 1ª safra'!$E47:INDEX('Feijão 1ª safra'!$E47:$Z47,MIN(W$6-$G$3,22))),0)))))</f>
        <v>0</v>
      </c>
      <c r="X49" s="27" t="n">
        <f aca="false">IF(COUNT('Feijão 1ª safra'!$E47:$Z47)=0,0,MAX(0,IF((X$6-$E$3)&lt;1,0,IFERROR(LOOKUP(2,1/('Feijão 1ª safra'!$E47:INDEX('Feijão 1ª safra'!$E47:$Z47,MIN(X$6-$E$3,22))&lt;&gt;""),'Feijão 1ª safra'!$E47:INDEX('Feijão 1ª safra'!$E47:$Z47,MIN(X$6-$E$3,22))),0))-IF($G$2,0,IF((X$6-$G$3)&lt;1,0,IFERROR(LOOKUP(2,1/('Feijão 1ª safra'!$E47:INDEX('Feijão 1ª safra'!$E47:$Z47,MIN(X$6-$G$3,22))&lt;&gt;""),'Feijão 1ª safra'!$E47:INDEX('Feijão 1ª safra'!$E47:$Z47,MIN(X$6-$G$3,22))),0)))))</f>
        <v>0</v>
      </c>
      <c r="Y49" s="27" t="n">
        <f aca="false">IF(COUNT('Feijão 1ª safra'!$E47:$Z47)=0,0,MAX(0,IF((Y$6-$E$3)&lt;1,0,IFERROR(LOOKUP(2,1/('Feijão 1ª safra'!$E47:INDEX('Feijão 1ª safra'!$E47:$Z47,MIN(Y$6-$E$3,22))&lt;&gt;""),'Feijão 1ª safra'!$E47:INDEX('Feijão 1ª safra'!$E47:$Z47,MIN(Y$6-$E$3,22))),0))-IF($G$2,0,IF((Y$6-$G$3)&lt;1,0,IFERROR(LOOKUP(2,1/('Feijão 1ª safra'!$E47:INDEX('Feijão 1ª safra'!$E47:$Z47,MIN(Y$6-$G$3,22))&lt;&gt;""),'Feijão 1ª safra'!$E47:INDEX('Feijão 1ª safra'!$E47:$Z47,MIN(Y$6-$G$3,22))),0)))))</f>
        <v>0</v>
      </c>
      <c r="Z49" s="27" t="n">
        <f aca="false">IF(COUNT('Feijão 1ª safra'!$E47:$Z47)=0,0,MAX(0,IF((Z$6-$E$3)&lt;1,0,IFERROR(LOOKUP(2,1/('Feijão 1ª safra'!$E47:INDEX('Feijão 1ª safra'!$E47:$Z47,MIN(Z$6-$E$3,22))&lt;&gt;""),'Feijão 1ª safra'!$E47:INDEX('Feijão 1ª safra'!$E47:$Z47,MIN(Z$6-$E$3,22))),0))-IF($G$2,0,IF((Z$6-$G$3)&lt;1,0,IFERROR(LOOKUP(2,1/('Feijão 1ª safra'!$E47:INDEX('Feijão 1ª safra'!$E47:$Z47,MIN(Z$6-$G$3,22))&lt;&gt;""),'Feijão 1ª safra'!$E47:INDEX('Feijão 1ª safra'!$E47:$Z47,MIN(Z$6-$G$3,22))),0)))))</f>
        <v>0</v>
      </c>
      <c r="AA49" s="27" t="n">
        <f aca="false">IF(COUNT('Feijão 1ª safra'!$E47:$Z47)=0,0,MAX(0,IF((AA$6-$E$3)&lt;1,0,IFERROR(LOOKUP(2,1/('Feijão 1ª safra'!$E47:INDEX('Feijão 1ª safra'!$E47:$Z47,MIN(AA$6-$E$3,22))&lt;&gt;""),'Feijão 1ª safra'!$E47:INDEX('Feijão 1ª safra'!$E47:$Z47,MIN(AA$6-$E$3,22))),0))-IF($G$2,0,IF((AA$6-$G$3)&lt;1,0,IFERROR(LOOKUP(2,1/('Feijão 1ª safra'!$E47:INDEX('Feijão 1ª safra'!$E47:$Z47,MIN(AA$6-$G$3,22))&lt;&gt;""),'Feijão 1ª safra'!$E47:INDEX('Feijão 1ª safra'!$E47:$Z47,MIN(AA$6-$G$3,22))),0)))))</f>
        <v>0</v>
      </c>
      <c r="AB49" s="27" t="n">
        <f aca="false">IF(COUNT('Feijão 1ª safra'!$E47:$Z47)=0,0,MAX(0,IF((AB$6-$E$3)&lt;1,0,IFERROR(LOOKUP(2,1/('Feijão 1ª safra'!$E47:INDEX('Feijão 1ª safra'!$E47:$Z47,MIN(AB$6-$E$3,22))&lt;&gt;""),'Feijão 1ª safra'!$E47:INDEX('Feijão 1ª safra'!$E47:$Z47,MIN(AB$6-$E$3,22))),0))-IF($G$2,0,IF((AB$6-$G$3)&lt;1,0,IFERROR(LOOKUP(2,1/('Feijão 1ª safra'!$E47:INDEX('Feijão 1ª safra'!$E47:$Z47,MIN(AB$6-$G$3,22))&lt;&gt;""),'Feijão 1ª safra'!$E47:INDEX('Feijão 1ª safra'!$E47:$Z47,MIN(AB$6-$G$3,22))),0)))))</f>
        <v>0</v>
      </c>
      <c r="AC49" s="27" t="n">
        <f aca="false">IF(COUNT('Feijão 1ª safra'!$E47:$Z47)=0,0,MAX(0,IF((AC$6-$E$3)&lt;1,0,IFERROR(LOOKUP(2,1/('Feijão 1ª safra'!$E47:INDEX('Feijão 1ª safra'!$E47:$Z47,MIN(AC$6-$E$3,22))&lt;&gt;""),'Feijão 1ª safra'!$E47:INDEX('Feijão 1ª safra'!$E47:$Z47,MIN(AC$6-$E$3,22))),0))-IF($G$2,0,IF((AC$6-$G$3)&lt;1,0,IFERROR(LOOKUP(2,1/('Feijão 1ª safra'!$E47:INDEX('Feijão 1ª safra'!$E47:$Z47,MIN(AC$6-$G$3,22))&lt;&gt;""),'Feijão 1ª safra'!$E47:INDEX('Feijão 1ª safra'!$E47:$Z47,MIN(AC$6-$G$3,22))),0)))))</f>
        <v>0</v>
      </c>
      <c r="AD49" s="27" t="n">
        <f aca="false">IF(COUNT('Feijão 1ª safra'!$E47:$Z47)=0,0,MAX(0,IF((AD$6-$E$3)&lt;1,0,IFERROR(LOOKUP(2,1/('Feijão 1ª safra'!$E47:INDEX('Feijão 1ª safra'!$E47:$Z47,MIN(AD$6-$E$3,22))&lt;&gt;""),'Feijão 1ª safra'!$E47:INDEX('Feijão 1ª safra'!$E47:$Z47,MIN(AD$6-$E$3,22))),0))-IF($G$2,0,IF((AD$6-$G$3)&lt;1,0,IFERROR(LOOKUP(2,1/('Feijão 1ª safra'!$E47:INDEX('Feijão 1ª safra'!$E47:$Z47,MIN(AD$6-$G$3,22))&lt;&gt;""),'Feijão 1ª safra'!$E47:INDEX('Feijão 1ª safra'!$E47:$Z47,MIN(AD$6-$G$3,22))),0)))))</f>
        <v>0</v>
      </c>
      <c r="AE49" s="27" t="n">
        <f aca="false">IF(COUNT('Feijão 1ª safra'!$E47:$Z47)=0,0,MAX(0,IF((AE$6-$E$3)&lt;1,0,IFERROR(LOOKUP(2,1/('Feijão 1ª safra'!$E47:INDEX('Feijão 1ª safra'!$E47:$Z47,MIN(AE$6-$E$3,22))&lt;&gt;""),'Feijão 1ª safra'!$E47:INDEX('Feijão 1ª safra'!$E47:$Z47,MIN(AE$6-$E$3,22))),0))-IF($G$2,0,IF((AE$6-$G$3)&lt;1,0,IFERROR(LOOKUP(2,1/('Feijão 1ª safra'!$E47:INDEX('Feijão 1ª safra'!$E47:$Z47,MIN(AE$6-$G$3,22))&lt;&gt;""),'Feijão 1ª safra'!$E47:INDEX('Feijão 1ª safra'!$E47:$Z47,MIN(AE$6-$G$3,22))),0)))))</f>
        <v>0</v>
      </c>
      <c r="AF49" s="27" t="n">
        <f aca="false">IF(COUNT('Feijão 1ª safra'!$E47:$Z47)=0,0,MAX(0,IF((AF$6-$E$3)&lt;1,0,IFERROR(LOOKUP(2,1/('Feijão 1ª safra'!$E47:INDEX('Feijão 1ª safra'!$E47:$Z47,MIN(AF$6-$E$3,22))&lt;&gt;""),'Feijão 1ª safra'!$E47:INDEX('Feijão 1ª safra'!$E47:$Z47,MIN(AF$6-$E$3,22))),0))-IF($G$2,0,IF((AF$6-$G$3)&lt;1,0,IFERROR(LOOKUP(2,1/('Feijão 1ª safra'!$E47:INDEX('Feijão 1ª safra'!$E47:$Z47,MIN(AF$6-$G$3,22))&lt;&gt;""),'Feijão 1ª safra'!$E47:INDEX('Feijão 1ª safra'!$E47:$Z47,MIN(AF$6-$G$3,22))),0)))))</f>
        <v>0</v>
      </c>
      <c r="AG49" s="27" t="n">
        <f aca="false">IF(COUNT('Feijão 1ª safra'!$E47:$Z47)=0,0,MAX(0,IF((AG$6-$E$3)&lt;1,0,IFERROR(LOOKUP(2,1/('Feijão 1ª safra'!$E47:INDEX('Feijão 1ª safra'!$E47:$Z47,MIN(AG$6-$E$3,22))&lt;&gt;""),'Feijão 1ª safra'!$E47:INDEX('Feijão 1ª safra'!$E47:$Z47,MIN(AG$6-$E$3,22))),0))-IF($G$2,0,IF((AG$6-$G$3)&lt;1,0,IFERROR(LOOKUP(2,1/('Feijão 1ª safra'!$E47:INDEX('Feijão 1ª safra'!$E47:$Z47,MIN(AG$6-$G$3,22))&lt;&gt;""),'Feijão 1ª safra'!$E47:INDEX('Feijão 1ª safra'!$E47:$Z47,MIN(AG$6-$G$3,22))),0)))))</f>
        <v>0</v>
      </c>
      <c r="AH49" s="27" t="n">
        <f aca="false">IF(COUNT('Feijão 1ª safra'!$E47:$Z47)=0,0,MAX(0,IF((AH$6-$E$3)&lt;1,0,IFERROR(LOOKUP(2,1/('Feijão 1ª safra'!$E47:INDEX('Feijão 1ª safra'!$E47:$Z47,MIN(AH$6-$E$3,22))&lt;&gt;""),'Feijão 1ª safra'!$E47:INDEX('Feijão 1ª safra'!$E47:$Z47,MIN(AH$6-$E$3,22))),0))-IF($G$2,0,IF((AH$6-$G$3)&lt;1,0,IFERROR(LOOKUP(2,1/('Feijão 1ª safra'!$E47:INDEX('Feijão 1ª safra'!$E47:$Z47,MIN(AH$6-$G$3,22))&lt;&gt;""),'Feijão 1ª safra'!$E47:INDEX('Feijão 1ª safra'!$E47:$Z47,MIN(AH$6-$G$3,22))),0)))))</f>
        <v>0</v>
      </c>
      <c r="AI49" s="27" t="n">
        <f aca="false">IF(COUNT('Feijão 1ª safra'!$E47:$Z47)=0,0,MAX(0,IF((AI$6-$E$3)&lt;1,0,IFERROR(LOOKUP(2,1/('Feijão 1ª safra'!$E47:INDEX('Feijão 1ª safra'!$E47:$Z47,MIN(AI$6-$E$3,22))&lt;&gt;""),'Feijão 1ª safra'!$E47:INDEX('Feijão 1ª safra'!$E47:$Z47,MIN(AI$6-$E$3,22))),0))-IF($G$2,0,IF((AI$6-$G$3)&lt;1,0,IFERROR(LOOKUP(2,1/('Feijão 1ª safra'!$E47:INDEX('Feijão 1ª safra'!$E47:$Z47,MIN(AI$6-$G$3,22))&lt;&gt;""),'Feijão 1ª safra'!$E47:INDEX('Feijão 1ª safra'!$E47:$Z47,MIN(AI$6-$G$3,22))),0)))))</f>
        <v>0</v>
      </c>
      <c r="AJ49" s="27" t="n">
        <f aca="false">IF(COUNT('Feijão 1ª safra'!$E47:$Z47)=0,0,MAX(0,IF((AJ$6-$E$3)&lt;1,0,IFERROR(LOOKUP(2,1/('Feijão 1ª safra'!$E47:INDEX('Feijão 1ª safra'!$E47:$Z47,MIN(AJ$6-$E$3,22))&lt;&gt;""),'Feijão 1ª safra'!$E47:INDEX('Feijão 1ª safra'!$E47:$Z47,MIN(AJ$6-$E$3,22))),0))-IF($G$2,0,IF((AJ$6-$G$3)&lt;1,0,IFERROR(LOOKUP(2,1/('Feijão 1ª safra'!$E47:INDEX('Feijão 1ª safra'!$E47:$Z47,MIN(AJ$6-$G$3,22))&lt;&gt;""),'Feijão 1ª safra'!$E47:INDEX('Feijão 1ª safra'!$E47:$Z47,MIN(AJ$6-$G$3,22))),0)))))</f>
        <v>0</v>
      </c>
      <c r="AK49" s="27" t="n">
        <f aca="false">IF(COUNT('Feijão 1ª safra'!$E47:$Z47)=0,0,MAX(0,IF((AK$6-$E$3)&lt;1,0,IFERROR(LOOKUP(2,1/('Feijão 1ª safra'!$E47:INDEX('Feijão 1ª safra'!$E47:$Z47,MIN(AK$6-$E$3,22))&lt;&gt;""),'Feijão 1ª safra'!$E47:INDEX('Feijão 1ª safra'!$E47:$Z47,MIN(AK$6-$E$3,22))),0))-IF($G$2,0,IF((AK$6-$G$3)&lt;1,0,IFERROR(LOOKUP(2,1/('Feijão 1ª safra'!$E47:INDEX('Feijão 1ª safra'!$E47:$Z47,MIN(AK$6-$G$3,22))&lt;&gt;""),'Feijão 1ª safra'!$E47:INDEX('Feijão 1ª safra'!$E47:$Z47,MIN(AK$6-$G$3,22))),0)))))</f>
        <v>0</v>
      </c>
      <c r="AL49" s="27" t="n">
        <f aca="false">IF(COUNT('Feijão 1ª safra'!$E47:$Z47)=0,0,MAX(0,IF((AL$6-$E$3)&lt;1,0,IFERROR(LOOKUP(2,1/('Feijão 1ª safra'!$E47:INDEX('Feijão 1ª safra'!$E47:$Z47,MIN(AL$6-$E$3,22))&lt;&gt;""),'Feijão 1ª safra'!$E47:INDEX('Feijão 1ª safra'!$E47:$Z47,MIN(AL$6-$E$3,22))),0))-IF($G$2,0,IF((AL$6-$G$3)&lt;1,0,IFERROR(LOOKUP(2,1/('Feijão 1ª safra'!$E47:INDEX('Feijão 1ª safra'!$E47:$Z47,MIN(AL$6-$G$3,22))&lt;&gt;""),'Feijão 1ª safra'!$E47:INDEX('Feijão 1ª safra'!$E47:$Z47,MIN(AL$6-$G$3,22))),0)))))</f>
        <v>0</v>
      </c>
      <c r="AM49" s="27" t="n">
        <f aca="false">IF(COUNT('Feijão 1ª safra'!$E47:$Z47)=0,0,MAX(0,IF((AM$6-$E$3)&lt;1,0,IFERROR(LOOKUP(2,1/('Feijão 1ª safra'!$E47:INDEX('Feijão 1ª safra'!$E47:$Z47,MIN(AM$6-$E$3,22))&lt;&gt;""),'Feijão 1ª safra'!$E47:INDEX('Feijão 1ª safra'!$E47:$Z47,MIN(AM$6-$E$3,22))),0))-IF($G$2,0,IF((AM$6-$G$3)&lt;1,0,IFERROR(LOOKUP(2,1/('Feijão 1ª safra'!$E47:INDEX('Feijão 1ª safra'!$E47:$Z47,MIN(AM$6-$G$3,22))&lt;&gt;""),'Feijão 1ª safra'!$E47:INDEX('Feijão 1ª safra'!$E47:$Z47,MIN(AM$6-$G$3,22))),0)))))</f>
        <v>0</v>
      </c>
      <c r="AN49" s="27" t="n">
        <f aca="false">IF(COUNT('Feijão 1ª safra'!$E47:$Z47)=0,0,MAX(0,IF((AN$6-$E$3)&lt;1,0,IFERROR(LOOKUP(2,1/('Feijão 1ª safra'!$E47:INDEX('Feijão 1ª safra'!$E47:$Z47,MIN(AN$6-$E$3,22))&lt;&gt;""),'Feijão 1ª safra'!$E47:INDEX('Feijão 1ª safra'!$E47:$Z47,MIN(AN$6-$E$3,22))),0))-IF($G$2,0,IF((AN$6-$G$3)&lt;1,0,IFERROR(LOOKUP(2,1/('Feijão 1ª safra'!$E47:INDEX('Feijão 1ª safra'!$E47:$Z47,MIN(AN$6-$G$3,22))&lt;&gt;""),'Feijão 1ª safra'!$E47:INDEX('Feijão 1ª safra'!$E47:$Z47,MIN(AN$6-$G$3,22))),0)))))</f>
        <v>0</v>
      </c>
      <c r="AO49" s="27" t="n">
        <f aca="false">IF(COUNT('Feijão 1ª safra'!$E47:$Z47)=0,0,MAX(0,IF((AO$6-$E$3)&lt;1,0,IFERROR(LOOKUP(2,1/('Feijão 1ª safra'!$E47:INDEX('Feijão 1ª safra'!$E47:$Z47,MIN(AO$6-$E$3,22))&lt;&gt;""),'Feijão 1ª safra'!$E47:INDEX('Feijão 1ª safra'!$E47:$Z47,MIN(AO$6-$E$3,22))),0))-IF($G$2,0,IF((AO$6-$G$3)&lt;1,0,IFERROR(LOOKUP(2,1/('Feijão 1ª safra'!$E47:INDEX('Feijão 1ª safra'!$E47:$Z47,MIN(AO$6-$G$3,22))&lt;&gt;""),'Feijão 1ª safra'!$E47:INDEX('Feijão 1ª safra'!$E47:$Z47,MIN(AO$6-$G$3,22))),0)))))</f>
        <v>0</v>
      </c>
      <c r="AP49" s="27" t="n">
        <f aca="false">IF(COUNT('Feijão 1ª safra'!$E47:$Z47)=0,0,MAX(0,IF((AP$6-$E$3)&lt;1,0,IFERROR(LOOKUP(2,1/('Feijão 1ª safra'!$E47:INDEX('Feijão 1ª safra'!$E47:$Z47,MIN(AP$6-$E$3,22))&lt;&gt;""),'Feijão 1ª safra'!$E47:INDEX('Feijão 1ª safra'!$E47:$Z47,MIN(AP$6-$E$3,22))),0))-IF($G$2,0,IF((AP$6-$G$3)&lt;1,0,IFERROR(LOOKUP(2,1/('Feijão 1ª safra'!$E47:INDEX('Feijão 1ª safra'!$E47:$Z47,MIN(AP$6-$G$3,22))&lt;&gt;""),'Feijão 1ª safra'!$E47:INDEX('Feijão 1ª safra'!$E47:$Z47,MIN(AP$6-$G$3,22))),0)))))</f>
        <v>0</v>
      </c>
      <c r="AQ49" s="27" t="n">
        <f aca="false">IF(COUNT('Feijão 1ª safra'!$E47:$Z47)=0,0,MAX(0,IF((AQ$6-$E$3)&lt;1,0,IFERROR(LOOKUP(2,1/('Feijão 1ª safra'!$E47:INDEX('Feijão 1ª safra'!$E47:$Z47,MIN(AQ$6-$E$3,22))&lt;&gt;""),'Feijão 1ª safra'!$E47:INDEX('Feijão 1ª safra'!$E47:$Z47,MIN(AQ$6-$E$3,22))),0))-IF($G$2,0,IF((AQ$6-$G$3)&lt;1,0,IFERROR(LOOKUP(2,1/('Feijão 1ª safra'!$E47:INDEX('Feijão 1ª safra'!$E47:$Z47,MIN(AQ$6-$G$3,22))&lt;&gt;""),'Feijão 1ª safra'!$E47:INDEX('Feijão 1ª safra'!$E47:$Z47,MIN(AQ$6-$G$3,22))),0)))))</f>
        <v>0</v>
      </c>
      <c r="AR49" s="27" t="n">
        <f aca="false">IF(COUNT('Feijão 1ª safra'!$E47:$Z47)=0,0,MAX(0,IF((AR$6-$E$3)&lt;1,0,IFERROR(LOOKUP(2,1/('Feijão 1ª safra'!$E47:INDEX('Feijão 1ª safra'!$E47:$Z47,MIN(AR$6-$E$3,22))&lt;&gt;""),'Feijão 1ª safra'!$E47:INDEX('Feijão 1ª safra'!$E47:$Z47,MIN(AR$6-$E$3,22))),0))-IF($G$2,0,IF((AR$6-$G$3)&lt;1,0,IFERROR(LOOKUP(2,1/('Feijão 1ª safra'!$E47:INDEX('Feijão 1ª safra'!$E47:$Z47,MIN(AR$6-$G$3,22))&lt;&gt;""),'Feijão 1ª safra'!$E47:INDEX('Feijão 1ª safra'!$E47:$Z47,MIN(AR$6-$G$3,22))),0)))))</f>
        <v>0</v>
      </c>
      <c r="AS49" s="27" t="n">
        <f aca="false">IF(COUNT('Feijão 1ª safra'!$E47:$Z47)=0,0,MAX(0,IF((AS$6-$E$3)&lt;1,0,IFERROR(LOOKUP(2,1/('Feijão 1ª safra'!$E47:INDEX('Feijão 1ª safra'!$E47:$Z47,MIN(AS$6-$E$3,22))&lt;&gt;""),'Feijão 1ª safra'!$E47:INDEX('Feijão 1ª safra'!$E47:$Z47,MIN(AS$6-$E$3,22))),0))-IF($G$2,0,IF((AS$6-$G$3)&lt;1,0,IFERROR(LOOKUP(2,1/('Feijão 1ª safra'!$E47:INDEX('Feijão 1ª safra'!$E47:$Z47,MIN(AS$6-$G$3,22))&lt;&gt;""),'Feijão 1ª safra'!$E47:INDEX('Feijão 1ª safra'!$E47:$Z47,MIN(AS$6-$G$3,22))),0)))))</f>
        <v>0</v>
      </c>
      <c r="AT49" s="27" t="n">
        <f aca="false">IF(COUNT('Feijão 1ª safra'!$E47:$Z47)=0,0,MAX(0,IF((AT$6-$E$3)&lt;1,0,IFERROR(LOOKUP(2,1/('Feijão 1ª safra'!$E47:INDEX('Feijão 1ª safra'!$E47:$Z47,MIN(AT$6-$E$3,22))&lt;&gt;""),'Feijão 1ª safra'!$E47:INDEX('Feijão 1ª safra'!$E47:$Z47,MIN(AT$6-$E$3,22))),0))-IF($G$2,0,IF((AT$6-$G$3)&lt;1,0,IFERROR(LOOKUP(2,1/('Feijão 1ª safra'!$E47:INDEX('Feijão 1ª safra'!$E47:$Z47,MIN(AT$6-$G$3,22))&lt;&gt;""),'Feijão 1ª safra'!$E47:INDEX('Feijão 1ª safra'!$E47:$Z47,MIN(AT$6-$G$3,22))),0)))))</f>
        <v>0</v>
      </c>
      <c r="AU49" s="27" t="n">
        <f aca="false">IF(COUNT('Feijão 1ª safra'!$E47:$Z47)=0,0,MAX(0,IF((AU$6-$E$3)&lt;1,0,IFERROR(LOOKUP(2,1/('Feijão 1ª safra'!$E47:INDEX('Feijão 1ª safra'!$E47:$Z47,MIN(AU$6-$E$3,22))&lt;&gt;""),'Feijão 1ª safra'!$E47:INDEX('Feijão 1ª safra'!$E47:$Z47,MIN(AU$6-$E$3,22))),0))-IF($G$2,0,IF((AU$6-$G$3)&lt;1,0,IFERROR(LOOKUP(2,1/('Feijão 1ª safra'!$E47:INDEX('Feijão 1ª safra'!$E47:$Z47,MIN(AU$6-$G$3,22))&lt;&gt;""),'Feijão 1ª safra'!$E47:INDEX('Feijão 1ª safra'!$E47:$Z47,MIN(AU$6-$G$3,22))),0)))))</f>
        <v>0</v>
      </c>
      <c r="AV49" s="27" t="n">
        <f aca="false">IF(COUNT('Feijão 1ª safra'!$E47:$Z47)=0,0,MAX(0,IF((AV$6-$E$3)&lt;1,0,IFERROR(LOOKUP(2,1/('Feijão 1ª safra'!$E47:INDEX('Feijão 1ª safra'!$E47:$Z47,MIN(AV$6-$E$3,22))&lt;&gt;""),'Feijão 1ª safra'!$E47:INDEX('Feijão 1ª safra'!$E47:$Z47,MIN(AV$6-$E$3,22))),0))-IF($G$2,0,IF((AV$6-$G$3)&lt;1,0,IFERROR(LOOKUP(2,1/('Feijão 1ª safra'!$E47:INDEX('Feijão 1ª safra'!$E47:$Z47,MIN(AV$6-$G$3,22))&lt;&gt;""),'Feijão 1ª safra'!$E47:INDEX('Feijão 1ª safra'!$E47:$Z47,MIN(AV$6-$G$3,22))),0)))))</f>
        <v>0</v>
      </c>
      <c r="AW49" s="27" t="n">
        <f aca="false">IF(COUNT('Feijão 1ª safra'!$E47:$Z47)=0,0,MAX(0,IF((AW$6-$E$3)&lt;1,0,IFERROR(LOOKUP(2,1/('Feijão 1ª safra'!$E47:INDEX('Feijão 1ª safra'!$E47:$Z47,MIN(AW$6-$E$3,22))&lt;&gt;""),'Feijão 1ª safra'!$E47:INDEX('Feijão 1ª safra'!$E47:$Z47,MIN(AW$6-$E$3,22))),0))-IF($G$2,0,IF((AW$6-$G$3)&lt;1,0,IFERROR(LOOKUP(2,1/('Feijão 1ª safra'!$E47:INDEX('Feijão 1ª safra'!$E47:$Z47,MIN(AW$6-$G$3,22))&lt;&gt;""),'Feijão 1ª safra'!$E47:INDEX('Feijão 1ª safra'!$E47:$Z47,MIN(AW$6-$G$3,22))),0)))))</f>
        <v>0</v>
      </c>
      <c r="AX49" s="27" t="n">
        <f aca="false">IF(COUNT('Feijão 1ª safra'!$E47:$Z47)=0,0,MAX(0,IF((AX$6-$E$3)&lt;1,0,IFERROR(LOOKUP(2,1/('Feijão 1ª safra'!$E47:INDEX('Feijão 1ª safra'!$E47:$Z47,MIN(AX$6-$E$3,22))&lt;&gt;""),'Feijão 1ª safra'!$E47:INDEX('Feijão 1ª safra'!$E47:$Z47,MIN(AX$6-$E$3,22))),0))-IF($G$2,0,IF((AX$6-$G$3)&lt;1,0,IFERROR(LOOKUP(2,1/('Feijão 1ª safra'!$E47:INDEX('Feijão 1ª safra'!$E47:$Z47,MIN(AX$6-$G$3,22))&lt;&gt;""),'Feijão 1ª safra'!$E47:INDEX('Feijão 1ª safra'!$E47:$Z47,MIN(AX$6-$G$3,22))),0)))))</f>
        <v>0</v>
      </c>
      <c r="AY49" s="27" t="n">
        <f aca="false">IF(COUNT('Feijão 1ª safra'!$E47:$Z47)=0,0,MAX(0,IF((AY$6-$E$3)&lt;1,0,IFERROR(LOOKUP(2,1/('Feijão 1ª safra'!$E47:INDEX('Feijão 1ª safra'!$E47:$Z47,MIN(AY$6-$E$3,22))&lt;&gt;""),'Feijão 1ª safra'!$E47:INDEX('Feijão 1ª safra'!$E47:$Z47,MIN(AY$6-$E$3,22))),0))-IF($G$2,0,IF((AY$6-$G$3)&lt;1,0,IFERROR(LOOKUP(2,1/('Feijão 1ª safra'!$E47:INDEX('Feijão 1ª safra'!$E47:$Z47,MIN(AY$6-$G$3,22))&lt;&gt;""),'Feijão 1ª safra'!$E47:INDEX('Feijão 1ª safra'!$E47:$Z47,MIN(AY$6-$G$3,22))),0)))))</f>
        <v>0</v>
      </c>
      <c r="AZ49" s="27" t="n">
        <f aca="false">IF(COUNT('Feijão 1ª safra'!$E47:$Z47)=0,0,MAX(0,IF((AZ$6-$E$3)&lt;1,0,IFERROR(LOOKUP(2,1/('Feijão 1ª safra'!$E47:INDEX('Feijão 1ª safra'!$E47:$Z47,MIN(AZ$6-$E$3,22))&lt;&gt;""),'Feijão 1ª safra'!$E47:INDEX('Feijão 1ª safra'!$E47:$Z47,MIN(AZ$6-$E$3,22))),0))-IF($G$2,0,IF((AZ$6-$G$3)&lt;1,0,IFERROR(LOOKUP(2,1/('Feijão 1ª safra'!$E47:INDEX('Feijão 1ª safra'!$E47:$Z47,MIN(AZ$6-$G$3,22))&lt;&gt;""),'Feijão 1ª safra'!$E47:INDEX('Feijão 1ª safra'!$E47:$Z47,MIN(AZ$6-$G$3,22))),0)))))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IF(COUNT('Feijão 1ª safra'!$E48:$Z48)&gt;0,N('Feijão 1ª safra'!$D48),0)</f>
        <v>0</v>
      </c>
      <c r="E50" s="27" t="n">
        <f aca="false">IF(COUNT('Feijão 1ª safra'!$E48:$Z48)=0,0,MAX(0,IF((E$6-$E$3)&lt;1,0,IFERROR(LOOKUP(2,1/('Feijão 1ª safra'!$E48:INDEX('Feijão 1ª safra'!$E48:$Z48,MIN(E$6-$E$3,22))&lt;&gt;""),'Feijão 1ª safra'!$E48:INDEX('Feijão 1ª safra'!$E48:$Z48,MIN(E$6-$E$3,22))),0))-IF($G$2,0,IF((E$6-$G$3)&lt;1,0,IFERROR(LOOKUP(2,1/('Feijão 1ª safra'!$E48:INDEX('Feijão 1ª safra'!$E48:$Z48,MIN(E$6-$G$3,22))&lt;&gt;""),'Feijão 1ª safra'!$E48:INDEX('Feijão 1ª safra'!$E48:$Z48,MIN(E$6-$G$3,22))),0)))))</f>
        <v>0</v>
      </c>
      <c r="F50" s="27" t="n">
        <f aca="false">IF(COUNT('Feijão 1ª safra'!$E48:$Z48)=0,0,MAX(0,IF((F$6-$E$3)&lt;1,0,IFERROR(LOOKUP(2,1/('Feijão 1ª safra'!$E48:INDEX('Feijão 1ª safra'!$E48:$Z48,MIN(F$6-$E$3,22))&lt;&gt;""),'Feijão 1ª safra'!$E48:INDEX('Feijão 1ª safra'!$E48:$Z48,MIN(F$6-$E$3,22))),0))-IF($G$2,0,IF((F$6-$G$3)&lt;1,0,IFERROR(LOOKUP(2,1/('Feijão 1ª safra'!$E48:INDEX('Feijão 1ª safra'!$E48:$Z48,MIN(F$6-$G$3,22))&lt;&gt;""),'Feijão 1ª safra'!$E48:INDEX('Feijão 1ª safra'!$E48:$Z48,MIN(F$6-$G$3,22))),0)))))</f>
        <v>0</v>
      </c>
      <c r="G50" s="27" t="n">
        <f aca="false">IF(COUNT('Feijão 1ª safra'!$E48:$Z48)=0,0,MAX(0,IF((G$6-$E$3)&lt;1,0,IFERROR(LOOKUP(2,1/('Feijão 1ª safra'!$E48:INDEX('Feijão 1ª safra'!$E48:$Z48,MIN(G$6-$E$3,22))&lt;&gt;""),'Feijão 1ª safra'!$E48:INDEX('Feijão 1ª safra'!$E48:$Z48,MIN(G$6-$E$3,22))),0))-IF($G$2,0,IF((G$6-$G$3)&lt;1,0,IFERROR(LOOKUP(2,1/('Feijão 1ª safra'!$E48:INDEX('Feijão 1ª safra'!$E48:$Z48,MIN(G$6-$G$3,22))&lt;&gt;""),'Feijão 1ª safra'!$E48:INDEX('Feijão 1ª safra'!$E48:$Z48,MIN(G$6-$G$3,22))),0)))))</f>
        <v>0</v>
      </c>
      <c r="H50" s="27" t="n">
        <f aca="false">IF(COUNT('Feijão 1ª safra'!$E48:$Z48)=0,0,MAX(0,IF((H$6-$E$3)&lt;1,0,IFERROR(LOOKUP(2,1/('Feijão 1ª safra'!$E48:INDEX('Feijão 1ª safra'!$E48:$Z48,MIN(H$6-$E$3,22))&lt;&gt;""),'Feijão 1ª safra'!$E48:INDEX('Feijão 1ª safra'!$E48:$Z48,MIN(H$6-$E$3,22))),0))-IF($G$2,0,IF((H$6-$G$3)&lt;1,0,IFERROR(LOOKUP(2,1/('Feijão 1ª safra'!$E48:INDEX('Feijão 1ª safra'!$E48:$Z48,MIN(H$6-$G$3,22))&lt;&gt;""),'Feijão 1ª safra'!$E48:INDEX('Feijão 1ª safra'!$E48:$Z48,MIN(H$6-$G$3,22))),0)))))</f>
        <v>0</v>
      </c>
      <c r="I50" s="27" t="n">
        <f aca="false">IF(COUNT('Feijão 1ª safra'!$E48:$Z48)=0,0,MAX(0,IF((I$6-$E$3)&lt;1,0,IFERROR(LOOKUP(2,1/('Feijão 1ª safra'!$E48:INDEX('Feijão 1ª safra'!$E48:$Z48,MIN(I$6-$E$3,22))&lt;&gt;""),'Feijão 1ª safra'!$E48:INDEX('Feijão 1ª safra'!$E48:$Z48,MIN(I$6-$E$3,22))),0))-IF($G$2,0,IF((I$6-$G$3)&lt;1,0,IFERROR(LOOKUP(2,1/('Feijão 1ª safra'!$E48:INDEX('Feijão 1ª safra'!$E48:$Z48,MIN(I$6-$G$3,22))&lt;&gt;""),'Feijão 1ª safra'!$E48:INDEX('Feijão 1ª safra'!$E48:$Z48,MIN(I$6-$G$3,22))),0)))))</f>
        <v>0</v>
      </c>
      <c r="J50" s="27" t="n">
        <f aca="false">IF(COUNT('Feijão 1ª safra'!$E48:$Z48)=0,0,MAX(0,IF((J$6-$E$3)&lt;1,0,IFERROR(LOOKUP(2,1/('Feijão 1ª safra'!$E48:INDEX('Feijão 1ª safra'!$E48:$Z48,MIN(J$6-$E$3,22))&lt;&gt;""),'Feijão 1ª safra'!$E48:INDEX('Feijão 1ª safra'!$E48:$Z48,MIN(J$6-$E$3,22))),0))-IF($G$2,0,IF((J$6-$G$3)&lt;1,0,IFERROR(LOOKUP(2,1/('Feijão 1ª safra'!$E48:INDEX('Feijão 1ª safra'!$E48:$Z48,MIN(J$6-$G$3,22))&lt;&gt;""),'Feijão 1ª safra'!$E48:INDEX('Feijão 1ª safra'!$E48:$Z48,MIN(J$6-$G$3,22))),0)))))</f>
        <v>0</v>
      </c>
      <c r="K50" s="27" t="n">
        <f aca="false">IF(COUNT('Feijão 1ª safra'!$E48:$Z48)=0,0,MAX(0,IF((K$6-$E$3)&lt;1,0,IFERROR(LOOKUP(2,1/('Feijão 1ª safra'!$E48:INDEX('Feijão 1ª safra'!$E48:$Z48,MIN(K$6-$E$3,22))&lt;&gt;""),'Feijão 1ª safra'!$E48:INDEX('Feijão 1ª safra'!$E48:$Z48,MIN(K$6-$E$3,22))),0))-IF($G$2,0,IF((K$6-$G$3)&lt;1,0,IFERROR(LOOKUP(2,1/('Feijão 1ª safra'!$E48:INDEX('Feijão 1ª safra'!$E48:$Z48,MIN(K$6-$G$3,22))&lt;&gt;""),'Feijão 1ª safra'!$E48:INDEX('Feijão 1ª safra'!$E48:$Z48,MIN(K$6-$G$3,22))),0)))))</f>
        <v>0</v>
      </c>
      <c r="L50" s="27" t="n">
        <f aca="false">IF(COUNT('Feijão 1ª safra'!$E48:$Z48)=0,0,MAX(0,IF((L$6-$E$3)&lt;1,0,IFERROR(LOOKUP(2,1/('Feijão 1ª safra'!$E48:INDEX('Feijão 1ª safra'!$E48:$Z48,MIN(L$6-$E$3,22))&lt;&gt;""),'Feijão 1ª safra'!$E48:INDEX('Feijão 1ª safra'!$E48:$Z48,MIN(L$6-$E$3,22))),0))-IF($G$2,0,IF((L$6-$G$3)&lt;1,0,IFERROR(LOOKUP(2,1/('Feijão 1ª safra'!$E48:INDEX('Feijão 1ª safra'!$E48:$Z48,MIN(L$6-$G$3,22))&lt;&gt;""),'Feijão 1ª safra'!$E48:INDEX('Feijão 1ª safra'!$E48:$Z48,MIN(L$6-$G$3,22))),0)))))</f>
        <v>0</v>
      </c>
      <c r="M50" s="27" t="n">
        <f aca="false">IF(COUNT('Feijão 1ª safra'!$E48:$Z48)=0,0,MAX(0,IF((M$6-$E$3)&lt;1,0,IFERROR(LOOKUP(2,1/('Feijão 1ª safra'!$E48:INDEX('Feijão 1ª safra'!$E48:$Z48,MIN(M$6-$E$3,22))&lt;&gt;""),'Feijão 1ª safra'!$E48:INDEX('Feijão 1ª safra'!$E48:$Z48,MIN(M$6-$E$3,22))),0))-IF($G$2,0,IF((M$6-$G$3)&lt;1,0,IFERROR(LOOKUP(2,1/('Feijão 1ª safra'!$E48:INDEX('Feijão 1ª safra'!$E48:$Z48,MIN(M$6-$G$3,22))&lt;&gt;""),'Feijão 1ª safra'!$E48:INDEX('Feijão 1ª safra'!$E48:$Z48,MIN(M$6-$G$3,22))),0)))))</f>
        <v>0</v>
      </c>
      <c r="N50" s="27" t="n">
        <f aca="false">IF(COUNT('Feijão 1ª safra'!$E48:$Z48)=0,0,MAX(0,IF((N$6-$E$3)&lt;1,0,IFERROR(LOOKUP(2,1/('Feijão 1ª safra'!$E48:INDEX('Feijão 1ª safra'!$E48:$Z48,MIN(N$6-$E$3,22))&lt;&gt;""),'Feijão 1ª safra'!$E48:INDEX('Feijão 1ª safra'!$E48:$Z48,MIN(N$6-$E$3,22))),0))-IF($G$2,0,IF((N$6-$G$3)&lt;1,0,IFERROR(LOOKUP(2,1/('Feijão 1ª safra'!$E48:INDEX('Feijão 1ª safra'!$E48:$Z48,MIN(N$6-$G$3,22))&lt;&gt;""),'Feijão 1ª safra'!$E48:INDEX('Feijão 1ª safra'!$E48:$Z48,MIN(N$6-$G$3,22))),0)))))</f>
        <v>0</v>
      </c>
      <c r="O50" s="27" t="n">
        <f aca="false">IF(COUNT('Feijão 1ª safra'!$E48:$Z48)=0,0,MAX(0,IF((O$6-$E$3)&lt;1,0,IFERROR(LOOKUP(2,1/('Feijão 1ª safra'!$E48:INDEX('Feijão 1ª safra'!$E48:$Z48,MIN(O$6-$E$3,22))&lt;&gt;""),'Feijão 1ª safra'!$E48:INDEX('Feijão 1ª safra'!$E48:$Z48,MIN(O$6-$E$3,22))),0))-IF($G$2,0,IF((O$6-$G$3)&lt;1,0,IFERROR(LOOKUP(2,1/('Feijão 1ª safra'!$E48:INDEX('Feijão 1ª safra'!$E48:$Z48,MIN(O$6-$G$3,22))&lt;&gt;""),'Feijão 1ª safra'!$E48:INDEX('Feijão 1ª safra'!$E48:$Z48,MIN(O$6-$G$3,22))),0)))))</f>
        <v>0</v>
      </c>
      <c r="P50" s="27" t="n">
        <f aca="false">IF(COUNT('Feijão 1ª safra'!$E48:$Z48)=0,0,MAX(0,IF((P$6-$E$3)&lt;1,0,IFERROR(LOOKUP(2,1/('Feijão 1ª safra'!$E48:INDEX('Feijão 1ª safra'!$E48:$Z48,MIN(P$6-$E$3,22))&lt;&gt;""),'Feijão 1ª safra'!$E48:INDEX('Feijão 1ª safra'!$E48:$Z48,MIN(P$6-$E$3,22))),0))-IF($G$2,0,IF((P$6-$G$3)&lt;1,0,IFERROR(LOOKUP(2,1/('Feijão 1ª safra'!$E48:INDEX('Feijão 1ª safra'!$E48:$Z48,MIN(P$6-$G$3,22))&lt;&gt;""),'Feijão 1ª safra'!$E48:INDEX('Feijão 1ª safra'!$E48:$Z48,MIN(P$6-$G$3,22))),0)))))</f>
        <v>0</v>
      </c>
      <c r="Q50" s="27" t="n">
        <f aca="false">IF(COUNT('Feijão 1ª safra'!$E48:$Z48)=0,0,MAX(0,IF((Q$6-$E$3)&lt;1,0,IFERROR(LOOKUP(2,1/('Feijão 1ª safra'!$E48:INDEX('Feijão 1ª safra'!$E48:$Z48,MIN(Q$6-$E$3,22))&lt;&gt;""),'Feijão 1ª safra'!$E48:INDEX('Feijão 1ª safra'!$E48:$Z48,MIN(Q$6-$E$3,22))),0))-IF($G$2,0,IF((Q$6-$G$3)&lt;1,0,IFERROR(LOOKUP(2,1/('Feijão 1ª safra'!$E48:INDEX('Feijão 1ª safra'!$E48:$Z48,MIN(Q$6-$G$3,22))&lt;&gt;""),'Feijão 1ª safra'!$E48:INDEX('Feijão 1ª safra'!$E48:$Z48,MIN(Q$6-$G$3,22))),0)))))</f>
        <v>0</v>
      </c>
      <c r="R50" s="27" t="n">
        <f aca="false">IF(COUNT('Feijão 1ª safra'!$E48:$Z48)=0,0,MAX(0,IF((R$6-$E$3)&lt;1,0,IFERROR(LOOKUP(2,1/('Feijão 1ª safra'!$E48:INDEX('Feijão 1ª safra'!$E48:$Z48,MIN(R$6-$E$3,22))&lt;&gt;""),'Feijão 1ª safra'!$E48:INDEX('Feijão 1ª safra'!$E48:$Z48,MIN(R$6-$E$3,22))),0))-IF($G$2,0,IF((R$6-$G$3)&lt;1,0,IFERROR(LOOKUP(2,1/('Feijão 1ª safra'!$E48:INDEX('Feijão 1ª safra'!$E48:$Z48,MIN(R$6-$G$3,22))&lt;&gt;""),'Feijão 1ª safra'!$E48:INDEX('Feijão 1ª safra'!$E48:$Z48,MIN(R$6-$G$3,22))),0)))))</f>
        <v>0</v>
      </c>
      <c r="S50" s="27" t="n">
        <f aca="false">IF(COUNT('Feijão 1ª safra'!$E48:$Z48)=0,0,MAX(0,IF((S$6-$E$3)&lt;1,0,IFERROR(LOOKUP(2,1/('Feijão 1ª safra'!$E48:INDEX('Feijão 1ª safra'!$E48:$Z48,MIN(S$6-$E$3,22))&lt;&gt;""),'Feijão 1ª safra'!$E48:INDEX('Feijão 1ª safra'!$E48:$Z48,MIN(S$6-$E$3,22))),0))-IF($G$2,0,IF((S$6-$G$3)&lt;1,0,IFERROR(LOOKUP(2,1/('Feijão 1ª safra'!$E48:INDEX('Feijão 1ª safra'!$E48:$Z48,MIN(S$6-$G$3,22))&lt;&gt;""),'Feijão 1ª safra'!$E48:INDEX('Feijão 1ª safra'!$E48:$Z48,MIN(S$6-$G$3,22))),0)))))</f>
        <v>0</v>
      </c>
      <c r="T50" s="27" t="n">
        <f aca="false">IF(COUNT('Feijão 1ª safra'!$E48:$Z48)=0,0,MAX(0,IF((T$6-$E$3)&lt;1,0,IFERROR(LOOKUP(2,1/('Feijão 1ª safra'!$E48:INDEX('Feijão 1ª safra'!$E48:$Z48,MIN(T$6-$E$3,22))&lt;&gt;""),'Feijão 1ª safra'!$E48:INDEX('Feijão 1ª safra'!$E48:$Z48,MIN(T$6-$E$3,22))),0))-IF($G$2,0,IF((T$6-$G$3)&lt;1,0,IFERROR(LOOKUP(2,1/('Feijão 1ª safra'!$E48:INDEX('Feijão 1ª safra'!$E48:$Z48,MIN(T$6-$G$3,22))&lt;&gt;""),'Feijão 1ª safra'!$E48:INDEX('Feijão 1ª safra'!$E48:$Z48,MIN(T$6-$G$3,22))),0)))))</f>
        <v>0</v>
      </c>
      <c r="U50" s="27" t="n">
        <f aca="false">IF(COUNT('Feijão 1ª safra'!$E48:$Z48)=0,0,MAX(0,IF((U$6-$E$3)&lt;1,0,IFERROR(LOOKUP(2,1/('Feijão 1ª safra'!$E48:INDEX('Feijão 1ª safra'!$E48:$Z48,MIN(U$6-$E$3,22))&lt;&gt;""),'Feijão 1ª safra'!$E48:INDEX('Feijão 1ª safra'!$E48:$Z48,MIN(U$6-$E$3,22))),0))-IF($G$2,0,IF((U$6-$G$3)&lt;1,0,IFERROR(LOOKUP(2,1/('Feijão 1ª safra'!$E48:INDEX('Feijão 1ª safra'!$E48:$Z48,MIN(U$6-$G$3,22))&lt;&gt;""),'Feijão 1ª safra'!$E48:INDEX('Feijão 1ª safra'!$E48:$Z48,MIN(U$6-$G$3,22))),0)))))</f>
        <v>0</v>
      </c>
      <c r="V50" s="27" t="n">
        <f aca="false">IF(COUNT('Feijão 1ª safra'!$E48:$Z48)=0,0,MAX(0,IF((V$6-$E$3)&lt;1,0,IFERROR(LOOKUP(2,1/('Feijão 1ª safra'!$E48:INDEX('Feijão 1ª safra'!$E48:$Z48,MIN(V$6-$E$3,22))&lt;&gt;""),'Feijão 1ª safra'!$E48:INDEX('Feijão 1ª safra'!$E48:$Z48,MIN(V$6-$E$3,22))),0))-IF($G$2,0,IF((V$6-$G$3)&lt;1,0,IFERROR(LOOKUP(2,1/('Feijão 1ª safra'!$E48:INDEX('Feijão 1ª safra'!$E48:$Z48,MIN(V$6-$G$3,22))&lt;&gt;""),'Feijão 1ª safra'!$E48:INDEX('Feijão 1ª safra'!$E48:$Z48,MIN(V$6-$G$3,22))),0)))))</f>
        <v>0</v>
      </c>
      <c r="W50" s="27" t="n">
        <f aca="false">IF(COUNT('Feijão 1ª safra'!$E48:$Z48)=0,0,MAX(0,IF((W$6-$E$3)&lt;1,0,IFERROR(LOOKUP(2,1/('Feijão 1ª safra'!$E48:INDEX('Feijão 1ª safra'!$E48:$Z48,MIN(W$6-$E$3,22))&lt;&gt;""),'Feijão 1ª safra'!$E48:INDEX('Feijão 1ª safra'!$E48:$Z48,MIN(W$6-$E$3,22))),0))-IF($G$2,0,IF((W$6-$G$3)&lt;1,0,IFERROR(LOOKUP(2,1/('Feijão 1ª safra'!$E48:INDEX('Feijão 1ª safra'!$E48:$Z48,MIN(W$6-$G$3,22))&lt;&gt;""),'Feijão 1ª safra'!$E48:INDEX('Feijão 1ª safra'!$E48:$Z48,MIN(W$6-$G$3,22))),0)))))</f>
        <v>0</v>
      </c>
      <c r="X50" s="27" t="n">
        <f aca="false">IF(COUNT('Feijão 1ª safra'!$E48:$Z48)=0,0,MAX(0,IF((X$6-$E$3)&lt;1,0,IFERROR(LOOKUP(2,1/('Feijão 1ª safra'!$E48:INDEX('Feijão 1ª safra'!$E48:$Z48,MIN(X$6-$E$3,22))&lt;&gt;""),'Feijão 1ª safra'!$E48:INDEX('Feijão 1ª safra'!$E48:$Z48,MIN(X$6-$E$3,22))),0))-IF($G$2,0,IF((X$6-$G$3)&lt;1,0,IFERROR(LOOKUP(2,1/('Feijão 1ª safra'!$E48:INDEX('Feijão 1ª safra'!$E48:$Z48,MIN(X$6-$G$3,22))&lt;&gt;""),'Feijão 1ª safra'!$E48:INDEX('Feijão 1ª safra'!$E48:$Z48,MIN(X$6-$G$3,22))),0)))))</f>
        <v>0</v>
      </c>
      <c r="Y50" s="27" t="n">
        <f aca="false">IF(COUNT('Feijão 1ª safra'!$E48:$Z48)=0,0,MAX(0,IF((Y$6-$E$3)&lt;1,0,IFERROR(LOOKUP(2,1/('Feijão 1ª safra'!$E48:INDEX('Feijão 1ª safra'!$E48:$Z48,MIN(Y$6-$E$3,22))&lt;&gt;""),'Feijão 1ª safra'!$E48:INDEX('Feijão 1ª safra'!$E48:$Z48,MIN(Y$6-$E$3,22))),0))-IF($G$2,0,IF((Y$6-$G$3)&lt;1,0,IFERROR(LOOKUP(2,1/('Feijão 1ª safra'!$E48:INDEX('Feijão 1ª safra'!$E48:$Z48,MIN(Y$6-$G$3,22))&lt;&gt;""),'Feijão 1ª safra'!$E48:INDEX('Feijão 1ª safra'!$E48:$Z48,MIN(Y$6-$G$3,22))),0)))))</f>
        <v>0</v>
      </c>
      <c r="Z50" s="27" t="n">
        <f aca="false">IF(COUNT('Feijão 1ª safra'!$E48:$Z48)=0,0,MAX(0,IF((Z$6-$E$3)&lt;1,0,IFERROR(LOOKUP(2,1/('Feijão 1ª safra'!$E48:INDEX('Feijão 1ª safra'!$E48:$Z48,MIN(Z$6-$E$3,22))&lt;&gt;""),'Feijão 1ª safra'!$E48:INDEX('Feijão 1ª safra'!$E48:$Z48,MIN(Z$6-$E$3,22))),0))-IF($G$2,0,IF((Z$6-$G$3)&lt;1,0,IFERROR(LOOKUP(2,1/('Feijão 1ª safra'!$E48:INDEX('Feijão 1ª safra'!$E48:$Z48,MIN(Z$6-$G$3,22))&lt;&gt;""),'Feijão 1ª safra'!$E48:INDEX('Feijão 1ª safra'!$E48:$Z48,MIN(Z$6-$G$3,22))),0)))))</f>
        <v>0</v>
      </c>
      <c r="AA50" s="27" t="n">
        <f aca="false">IF(COUNT('Feijão 1ª safra'!$E48:$Z48)=0,0,MAX(0,IF((AA$6-$E$3)&lt;1,0,IFERROR(LOOKUP(2,1/('Feijão 1ª safra'!$E48:INDEX('Feijão 1ª safra'!$E48:$Z48,MIN(AA$6-$E$3,22))&lt;&gt;""),'Feijão 1ª safra'!$E48:INDEX('Feijão 1ª safra'!$E48:$Z48,MIN(AA$6-$E$3,22))),0))-IF($G$2,0,IF((AA$6-$G$3)&lt;1,0,IFERROR(LOOKUP(2,1/('Feijão 1ª safra'!$E48:INDEX('Feijão 1ª safra'!$E48:$Z48,MIN(AA$6-$G$3,22))&lt;&gt;""),'Feijão 1ª safra'!$E48:INDEX('Feijão 1ª safra'!$E48:$Z48,MIN(AA$6-$G$3,22))),0)))))</f>
        <v>0</v>
      </c>
      <c r="AB50" s="27" t="n">
        <f aca="false">IF(COUNT('Feijão 1ª safra'!$E48:$Z48)=0,0,MAX(0,IF((AB$6-$E$3)&lt;1,0,IFERROR(LOOKUP(2,1/('Feijão 1ª safra'!$E48:INDEX('Feijão 1ª safra'!$E48:$Z48,MIN(AB$6-$E$3,22))&lt;&gt;""),'Feijão 1ª safra'!$E48:INDEX('Feijão 1ª safra'!$E48:$Z48,MIN(AB$6-$E$3,22))),0))-IF($G$2,0,IF((AB$6-$G$3)&lt;1,0,IFERROR(LOOKUP(2,1/('Feijão 1ª safra'!$E48:INDEX('Feijão 1ª safra'!$E48:$Z48,MIN(AB$6-$G$3,22))&lt;&gt;""),'Feijão 1ª safra'!$E48:INDEX('Feijão 1ª safra'!$E48:$Z48,MIN(AB$6-$G$3,22))),0)))))</f>
        <v>0</v>
      </c>
      <c r="AC50" s="27" t="n">
        <f aca="false">IF(COUNT('Feijão 1ª safra'!$E48:$Z48)=0,0,MAX(0,IF((AC$6-$E$3)&lt;1,0,IFERROR(LOOKUP(2,1/('Feijão 1ª safra'!$E48:INDEX('Feijão 1ª safra'!$E48:$Z48,MIN(AC$6-$E$3,22))&lt;&gt;""),'Feijão 1ª safra'!$E48:INDEX('Feijão 1ª safra'!$E48:$Z48,MIN(AC$6-$E$3,22))),0))-IF($G$2,0,IF((AC$6-$G$3)&lt;1,0,IFERROR(LOOKUP(2,1/('Feijão 1ª safra'!$E48:INDEX('Feijão 1ª safra'!$E48:$Z48,MIN(AC$6-$G$3,22))&lt;&gt;""),'Feijão 1ª safra'!$E48:INDEX('Feijão 1ª safra'!$E48:$Z48,MIN(AC$6-$G$3,22))),0)))))</f>
        <v>0</v>
      </c>
      <c r="AD50" s="27" t="n">
        <f aca="false">IF(COUNT('Feijão 1ª safra'!$E48:$Z48)=0,0,MAX(0,IF((AD$6-$E$3)&lt;1,0,IFERROR(LOOKUP(2,1/('Feijão 1ª safra'!$E48:INDEX('Feijão 1ª safra'!$E48:$Z48,MIN(AD$6-$E$3,22))&lt;&gt;""),'Feijão 1ª safra'!$E48:INDEX('Feijão 1ª safra'!$E48:$Z48,MIN(AD$6-$E$3,22))),0))-IF($G$2,0,IF((AD$6-$G$3)&lt;1,0,IFERROR(LOOKUP(2,1/('Feijão 1ª safra'!$E48:INDEX('Feijão 1ª safra'!$E48:$Z48,MIN(AD$6-$G$3,22))&lt;&gt;""),'Feijão 1ª safra'!$E48:INDEX('Feijão 1ª safra'!$E48:$Z48,MIN(AD$6-$G$3,22))),0)))))</f>
        <v>0</v>
      </c>
      <c r="AE50" s="27" t="n">
        <f aca="false">IF(COUNT('Feijão 1ª safra'!$E48:$Z48)=0,0,MAX(0,IF((AE$6-$E$3)&lt;1,0,IFERROR(LOOKUP(2,1/('Feijão 1ª safra'!$E48:INDEX('Feijão 1ª safra'!$E48:$Z48,MIN(AE$6-$E$3,22))&lt;&gt;""),'Feijão 1ª safra'!$E48:INDEX('Feijão 1ª safra'!$E48:$Z48,MIN(AE$6-$E$3,22))),0))-IF($G$2,0,IF((AE$6-$G$3)&lt;1,0,IFERROR(LOOKUP(2,1/('Feijão 1ª safra'!$E48:INDEX('Feijão 1ª safra'!$E48:$Z48,MIN(AE$6-$G$3,22))&lt;&gt;""),'Feijão 1ª safra'!$E48:INDEX('Feijão 1ª safra'!$E48:$Z48,MIN(AE$6-$G$3,22))),0)))))</f>
        <v>0</v>
      </c>
      <c r="AF50" s="27" t="n">
        <f aca="false">IF(COUNT('Feijão 1ª safra'!$E48:$Z48)=0,0,MAX(0,IF((AF$6-$E$3)&lt;1,0,IFERROR(LOOKUP(2,1/('Feijão 1ª safra'!$E48:INDEX('Feijão 1ª safra'!$E48:$Z48,MIN(AF$6-$E$3,22))&lt;&gt;""),'Feijão 1ª safra'!$E48:INDEX('Feijão 1ª safra'!$E48:$Z48,MIN(AF$6-$E$3,22))),0))-IF($G$2,0,IF((AF$6-$G$3)&lt;1,0,IFERROR(LOOKUP(2,1/('Feijão 1ª safra'!$E48:INDEX('Feijão 1ª safra'!$E48:$Z48,MIN(AF$6-$G$3,22))&lt;&gt;""),'Feijão 1ª safra'!$E48:INDEX('Feijão 1ª safra'!$E48:$Z48,MIN(AF$6-$G$3,22))),0)))))</f>
        <v>0</v>
      </c>
      <c r="AG50" s="27" t="n">
        <f aca="false">IF(COUNT('Feijão 1ª safra'!$E48:$Z48)=0,0,MAX(0,IF((AG$6-$E$3)&lt;1,0,IFERROR(LOOKUP(2,1/('Feijão 1ª safra'!$E48:INDEX('Feijão 1ª safra'!$E48:$Z48,MIN(AG$6-$E$3,22))&lt;&gt;""),'Feijão 1ª safra'!$E48:INDEX('Feijão 1ª safra'!$E48:$Z48,MIN(AG$6-$E$3,22))),0))-IF($G$2,0,IF((AG$6-$G$3)&lt;1,0,IFERROR(LOOKUP(2,1/('Feijão 1ª safra'!$E48:INDEX('Feijão 1ª safra'!$E48:$Z48,MIN(AG$6-$G$3,22))&lt;&gt;""),'Feijão 1ª safra'!$E48:INDEX('Feijão 1ª safra'!$E48:$Z48,MIN(AG$6-$G$3,22))),0)))))</f>
        <v>0</v>
      </c>
      <c r="AH50" s="27" t="n">
        <f aca="false">IF(COUNT('Feijão 1ª safra'!$E48:$Z48)=0,0,MAX(0,IF((AH$6-$E$3)&lt;1,0,IFERROR(LOOKUP(2,1/('Feijão 1ª safra'!$E48:INDEX('Feijão 1ª safra'!$E48:$Z48,MIN(AH$6-$E$3,22))&lt;&gt;""),'Feijão 1ª safra'!$E48:INDEX('Feijão 1ª safra'!$E48:$Z48,MIN(AH$6-$E$3,22))),0))-IF($G$2,0,IF((AH$6-$G$3)&lt;1,0,IFERROR(LOOKUP(2,1/('Feijão 1ª safra'!$E48:INDEX('Feijão 1ª safra'!$E48:$Z48,MIN(AH$6-$G$3,22))&lt;&gt;""),'Feijão 1ª safra'!$E48:INDEX('Feijão 1ª safra'!$E48:$Z48,MIN(AH$6-$G$3,22))),0)))))</f>
        <v>0</v>
      </c>
      <c r="AI50" s="27" t="n">
        <f aca="false">IF(COUNT('Feijão 1ª safra'!$E48:$Z48)=0,0,MAX(0,IF((AI$6-$E$3)&lt;1,0,IFERROR(LOOKUP(2,1/('Feijão 1ª safra'!$E48:INDEX('Feijão 1ª safra'!$E48:$Z48,MIN(AI$6-$E$3,22))&lt;&gt;""),'Feijão 1ª safra'!$E48:INDEX('Feijão 1ª safra'!$E48:$Z48,MIN(AI$6-$E$3,22))),0))-IF($G$2,0,IF((AI$6-$G$3)&lt;1,0,IFERROR(LOOKUP(2,1/('Feijão 1ª safra'!$E48:INDEX('Feijão 1ª safra'!$E48:$Z48,MIN(AI$6-$G$3,22))&lt;&gt;""),'Feijão 1ª safra'!$E48:INDEX('Feijão 1ª safra'!$E48:$Z48,MIN(AI$6-$G$3,22))),0)))))</f>
        <v>0</v>
      </c>
      <c r="AJ50" s="27" t="n">
        <f aca="false">IF(COUNT('Feijão 1ª safra'!$E48:$Z48)=0,0,MAX(0,IF((AJ$6-$E$3)&lt;1,0,IFERROR(LOOKUP(2,1/('Feijão 1ª safra'!$E48:INDEX('Feijão 1ª safra'!$E48:$Z48,MIN(AJ$6-$E$3,22))&lt;&gt;""),'Feijão 1ª safra'!$E48:INDEX('Feijão 1ª safra'!$E48:$Z48,MIN(AJ$6-$E$3,22))),0))-IF($G$2,0,IF((AJ$6-$G$3)&lt;1,0,IFERROR(LOOKUP(2,1/('Feijão 1ª safra'!$E48:INDEX('Feijão 1ª safra'!$E48:$Z48,MIN(AJ$6-$G$3,22))&lt;&gt;""),'Feijão 1ª safra'!$E48:INDEX('Feijão 1ª safra'!$E48:$Z48,MIN(AJ$6-$G$3,22))),0)))))</f>
        <v>0</v>
      </c>
      <c r="AK50" s="27" t="n">
        <f aca="false">IF(COUNT('Feijão 1ª safra'!$E48:$Z48)=0,0,MAX(0,IF((AK$6-$E$3)&lt;1,0,IFERROR(LOOKUP(2,1/('Feijão 1ª safra'!$E48:INDEX('Feijão 1ª safra'!$E48:$Z48,MIN(AK$6-$E$3,22))&lt;&gt;""),'Feijão 1ª safra'!$E48:INDEX('Feijão 1ª safra'!$E48:$Z48,MIN(AK$6-$E$3,22))),0))-IF($G$2,0,IF((AK$6-$G$3)&lt;1,0,IFERROR(LOOKUP(2,1/('Feijão 1ª safra'!$E48:INDEX('Feijão 1ª safra'!$E48:$Z48,MIN(AK$6-$G$3,22))&lt;&gt;""),'Feijão 1ª safra'!$E48:INDEX('Feijão 1ª safra'!$E48:$Z48,MIN(AK$6-$G$3,22))),0)))))</f>
        <v>0</v>
      </c>
      <c r="AL50" s="27" t="n">
        <f aca="false">IF(COUNT('Feijão 1ª safra'!$E48:$Z48)=0,0,MAX(0,IF((AL$6-$E$3)&lt;1,0,IFERROR(LOOKUP(2,1/('Feijão 1ª safra'!$E48:INDEX('Feijão 1ª safra'!$E48:$Z48,MIN(AL$6-$E$3,22))&lt;&gt;""),'Feijão 1ª safra'!$E48:INDEX('Feijão 1ª safra'!$E48:$Z48,MIN(AL$6-$E$3,22))),0))-IF($G$2,0,IF((AL$6-$G$3)&lt;1,0,IFERROR(LOOKUP(2,1/('Feijão 1ª safra'!$E48:INDEX('Feijão 1ª safra'!$E48:$Z48,MIN(AL$6-$G$3,22))&lt;&gt;""),'Feijão 1ª safra'!$E48:INDEX('Feijão 1ª safra'!$E48:$Z48,MIN(AL$6-$G$3,22))),0)))))</f>
        <v>0</v>
      </c>
      <c r="AM50" s="27" t="n">
        <f aca="false">IF(COUNT('Feijão 1ª safra'!$E48:$Z48)=0,0,MAX(0,IF((AM$6-$E$3)&lt;1,0,IFERROR(LOOKUP(2,1/('Feijão 1ª safra'!$E48:INDEX('Feijão 1ª safra'!$E48:$Z48,MIN(AM$6-$E$3,22))&lt;&gt;""),'Feijão 1ª safra'!$E48:INDEX('Feijão 1ª safra'!$E48:$Z48,MIN(AM$6-$E$3,22))),0))-IF($G$2,0,IF((AM$6-$G$3)&lt;1,0,IFERROR(LOOKUP(2,1/('Feijão 1ª safra'!$E48:INDEX('Feijão 1ª safra'!$E48:$Z48,MIN(AM$6-$G$3,22))&lt;&gt;""),'Feijão 1ª safra'!$E48:INDEX('Feijão 1ª safra'!$E48:$Z48,MIN(AM$6-$G$3,22))),0)))))</f>
        <v>0</v>
      </c>
      <c r="AN50" s="27" t="n">
        <f aca="false">IF(COUNT('Feijão 1ª safra'!$E48:$Z48)=0,0,MAX(0,IF((AN$6-$E$3)&lt;1,0,IFERROR(LOOKUP(2,1/('Feijão 1ª safra'!$E48:INDEX('Feijão 1ª safra'!$E48:$Z48,MIN(AN$6-$E$3,22))&lt;&gt;""),'Feijão 1ª safra'!$E48:INDEX('Feijão 1ª safra'!$E48:$Z48,MIN(AN$6-$E$3,22))),0))-IF($G$2,0,IF((AN$6-$G$3)&lt;1,0,IFERROR(LOOKUP(2,1/('Feijão 1ª safra'!$E48:INDEX('Feijão 1ª safra'!$E48:$Z48,MIN(AN$6-$G$3,22))&lt;&gt;""),'Feijão 1ª safra'!$E48:INDEX('Feijão 1ª safra'!$E48:$Z48,MIN(AN$6-$G$3,22))),0)))))</f>
        <v>0</v>
      </c>
      <c r="AO50" s="27" t="n">
        <f aca="false">IF(COUNT('Feijão 1ª safra'!$E48:$Z48)=0,0,MAX(0,IF((AO$6-$E$3)&lt;1,0,IFERROR(LOOKUP(2,1/('Feijão 1ª safra'!$E48:INDEX('Feijão 1ª safra'!$E48:$Z48,MIN(AO$6-$E$3,22))&lt;&gt;""),'Feijão 1ª safra'!$E48:INDEX('Feijão 1ª safra'!$E48:$Z48,MIN(AO$6-$E$3,22))),0))-IF($G$2,0,IF((AO$6-$G$3)&lt;1,0,IFERROR(LOOKUP(2,1/('Feijão 1ª safra'!$E48:INDEX('Feijão 1ª safra'!$E48:$Z48,MIN(AO$6-$G$3,22))&lt;&gt;""),'Feijão 1ª safra'!$E48:INDEX('Feijão 1ª safra'!$E48:$Z48,MIN(AO$6-$G$3,22))),0)))))</f>
        <v>0</v>
      </c>
      <c r="AP50" s="27" t="n">
        <f aca="false">IF(COUNT('Feijão 1ª safra'!$E48:$Z48)=0,0,MAX(0,IF((AP$6-$E$3)&lt;1,0,IFERROR(LOOKUP(2,1/('Feijão 1ª safra'!$E48:INDEX('Feijão 1ª safra'!$E48:$Z48,MIN(AP$6-$E$3,22))&lt;&gt;""),'Feijão 1ª safra'!$E48:INDEX('Feijão 1ª safra'!$E48:$Z48,MIN(AP$6-$E$3,22))),0))-IF($G$2,0,IF((AP$6-$G$3)&lt;1,0,IFERROR(LOOKUP(2,1/('Feijão 1ª safra'!$E48:INDEX('Feijão 1ª safra'!$E48:$Z48,MIN(AP$6-$G$3,22))&lt;&gt;""),'Feijão 1ª safra'!$E48:INDEX('Feijão 1ª safra'!$E48:$Z48,MIN(AP$6-$G$3,22))),0)))))</f>
        <v>0</v>
      </c>
      <c r="AQ50" s="27" t="n">
        <f aca="false">IF(COUNT('Feijão 1ª safra'!$E48:$Z48)=0,0,MAX(0,IF((AQ$6-$E$3)&lt;1,0,IFERROR(LOOKUP(2,1/('Feijão 1ª safra'!$E48:INDEX('Feijão 1ª safra'!$E48:$Z48,MIN(AQ$6-$E$3,22))&lt;&gt;""),'Feijão 1ª safra'!$E48:INDEX('Feijão 1ª safra'!$E48:$Z48,MIN(AQ$6-$E$3,22))),0))-IF($G$2,0,IF((AQ$6-$G$3)&lt;1,0,IFERROR(LOOKUP(2,1/('Feijão 1ª safra'!$E48:INDEX('Feijão 1ª safra'!$E48:$Z48,MIN(AQ$6-$G$3,22))&lt;&gt;""),'Feijão 1ª safra'!$E48:INDEX('Feijão 1ª safra'!$E48:$Z48,MIN(AQ$6-$G$3,22))),0)))))</f>
        <v>0</v>
      </c>
      <c r="AR50" s="27" t="n">
        <f aca="false">IF(COUNT('Feijão 1ª safra'!$E48:$Z48)=0,0,MAX(0,IF((AR$6-$E$3)&lt;1,0,IFERROR(LOOKUP(2,1/('Feijão 1ª safra'!$E48:INDEX('Feijão 1ª safra'!$E48:$Z48,MIN(AR$6-$E$3,22))&lt;&gt;""),'Feijão 1ª safra'!$E48:INDEX('Feijão 1ª safra'!$E48:$Z48,MIN(AR$6-$E$3,22))),0))-IF($G$2,0,IF((AR$6-$G$3)&lt;1,0,IFERROR(LOOKUP(2,1/('Feijão 1ª safra'!$E48:INDEX('Feijão 1ª safra'!$E48:$Z48,MIN(AR$6-$G$3,22))&lt;&gt;""),'Feijão 1ª safra'!$E48:INDEX('Feijão 1ª safra'!$E48:$Z48,MIN(AR$6-$G$3,22))),0)))))</f>
        <v>0</v>
      </c>
      <c r="AS50" s="27" t="n">
        <f aca="false">IF(COUNT('Feijão 1ª safra'!$E48:$Z48)=0,0,MAX(0,IF((AS$6-$E$3)&lt;1,0,IFERROR(LOOKUP(2,1/('Feijão 1ª safra'!$E48:INDEX('Feijão 1ª safra'!$E48:$Z48,MIN(AS$6-$E$3,22))&lt;&gt;""),'Feijão 1ª safra'!$E48:INDEX('Feijão 1ª safra'!$E48:$Z48,MIN(AS$6-$E$3,22))),0))-IF($G$2,0,IF((AS$6-$G$3)&lt;1,0,IFERROR(LOOKUP(2,1/('Feijão 1ª safra'!$E48:INDEX('Feijão 1ª safra'!$E48:$Z48,MIN(AS$6-$G$3,22))&lt;&gt;""),'Feijão 1ª safra'!$E48:INDEX('Feijão 1ª safra'!$E48:$Z48,MIN(AS$6-$G$3,22))),0)))))</f>
        <v>0</v>
      </c>
      <c r="AT50" s="27" t="n">
        <f aca="false">IF(COUNT('Feijão 1ª safra'!$E48:$Z48)=0,0,MAX(0,IF((AT$6-$E$3)&lt;1,0,IFERROR(LOOKUP(2,1/('Feijão 1ª safra'!$E48:INDEX('Feijão 1ª safra'!$E48:$Z48,MIN(AT$6-$E$3,22))&lt;&gt;""),'Feijão 1ª safra'!$E48:INDEX('Feijão 1ª safra'!$E48:$Z48,MIN(AT$6-$E$3,22))),0))-IF($G$2,0,IF((AT$6-$G$3)&lt;1,0,IFERROR(LOOKUP(2,1/('Feijão 1ª safra'!$E48:INDEX('Feijão 1ª safra'!$E48:$Z48,MIN(AT$6-$G$3,22))&lt;&gt;""),'Feijão 1ª safra'!$E48:INDEX('Feijão 1ª safra'!$E48:$Z48,MIN(AT$6-$G$3,22))),0)))))</f>
        <v>0</v>
      </c>
      <c r="AU50" s="27" t="n">
        <f aca="false">IF(COUNT('Feijão 1ª safra'!$E48:$Z48)=0,0,MAX(0,IF((AU$6-$E$3)&lt;1,0,IFERROR(LOOKUP(2,1/('Feijão 1ª safra'!$E48:INDEX('Feijão 1ª safra'!$E48:$Z48,MIN(AU$6-$E$3,22))&lt;&gt;""),'Feijão 1ª safra'!$E48:INDEX('Feijão 1ª safra'!$E48:$Z48,MIN(AU$6-$E$3,22))),0))-IF($G$2,0,IF((AU$6-$G$3)&lt;1,0,IFERROR(LOOKUP(2,1/('Feijão 1ª safra'!$E48:INDEX('Feijão 1ª safra'!$E48:$Z48,MIN(AU$6-$G$3,22))&lt;&gt;""),'Feijão 1ª safra'!$E48:INDEX('Feijão 1ª safra'!$E48:$Z48,MIN(AU$6-$G$3,22))),0)))))</f>
        <v>0</v>
      </c>
      <c r="AV50" s="27" t="n">
        <f aca="false">IF(COUNT('Feijão 1ª safra'!$E48:$Z48)=0,0,MAX(0,IF((AV$6-$E$3)&lt;1,0,IFERROR(LOOKUP(2,1/('Feijão 1ª safra'!$E48:INDEX('Feijão 1ª safra'!$E48:$Z48,MIN(AV$6-$E$3,22))&lt;&gt;""),'Feijão 1ª safra'!$E48:INDEX('Feijão 1ª safra'!$E48:$Z48,MIN(AV$6-$E$3,22))),0))-IF($G$2,0,IF((AV$6-$G$3)&lt;1,0,IFERROR(LOOKUP(2,1/('Feijão 1ª safra'!$E48:INDEX('Feijão 1ª safra'!$E48:$Z48,MIN(AV$6-$G$3,22))&lt;&gt;""),'Feijão 1ª safra'!$E48:INDEX('Feijão 1ª safra'!$E48:$Z48,MIN(AV$6-$G$3,22))),0)))))</f>
        <v>0</v>
      </c>
      <c r="AW50" s="27" t="n">
        <f aca="false">IF(COUNT('Feijão 1ª safra'!$E48:$Z48)=0,0,MAX(0,IF((AW$6-$E$3)&lt;1,0,IFERROR(LOOKUP(2,1/('Feijão 1ª safra'!$E48:INDEX('Feijão 1ª safra'!$E48:$Z48,MIN(AW$6-$E$3,22))&lt;&gt;""),'Feijão 1ª safra'!$E48:INDEX('Feijão 1ª safra'!$E48:$Z48,MIN(AW$6-$E$3,22))),0))-IF($G$2,0,IF((AW$6-$G$3)&lt;1,0,IFERROR(LOOKUP(2,1/('Feijão 1ª safra'!$E48:INDEX('Feijão 1ª safra'!$E48:$Z48,MIN(AW$6-$G$3,22))&lt;&gt;""),'Feijão 1ª safra'!$E48:INDEX('Feijão 1ª safra'!$E48:$Z48,MIN(AW$6-$G$3,22))),0)))))</f>
        <v>0</v>
      </c>
      <c r="AX50" s="27" t="n">
        <f aca="false">IF(COUNT('Feijão 1ª safra'!$E48:$Z48)=0,0,MAX(0,IF((AX$6-$E$3)&lt;1,0,IFERROR(LOOKUP(2,1/('Feijão 1ª safra'!$E48:INDEX('Feijão 1ª safra'!$E48:$Z48,MIN(AX$6-$E$3,22))&lt;&gt;""),'Feijão 1ª safra'!$E48:INDEX('Feijão 1ª safra'!$E48:$Z48,MIN(AX$6-$E$3,22))),0))-IF($G$2,0,IF((AX$6-$G$3)&lt;1,0,IFERROR(LOOKUP(2,1/('Feijão 1ª safra'!$E48:INDEX('Feijão 1ª safra'!$E48:$Z48,MIN(AX$6-$G$3,22))&lt;&gt;""),'Feijão 1ª safra'!$E48:INDEX('Feijão 1ª safra'!$E48:$Z48,MIN(AX$6-$G$3,22))),0)))))</f>
        <v>0</v>
      </c>
      <c r="AY50" s="27" t="n">
        <f aca="false">IF(COUNT('Feijão 1ª safra'!$E48:$Z48)=0,0,MAX(0,IF((AY$6-$E$3)&lt;1,0,IFERROR(LOOKUP(2,1/('Feijão 1ª safra'!$E48:INDEX('Feijão 1ª safra'!$E48:$Z48,MIN(AY$6-$E$3,22))&lt;&gt;""),'Feijão 1ª safra'!$E48:INDEX('Feijão 1ª safra'!$E48:$Z48,MIN(AY$6-$E$3,22))),0))-IF($G$2,0,IF((AY$6-$G$3)&lt;1,0,IFERROR(LOOKUP(2,1/('Feijão 1ª safra'!$E48:INDEX('Feijão 1ª safra'!$E48:$Z48,MIN(AY$6-$G$3,22))&lt;&gt;""),'Feijão 1ª safra'!$E48:INDEX('Feijão 1ª safra'!$E48:$Z48,MIN(AY$6-$G$3,22))),0)))))</f>
        <v>0</v>
      </c>
      <c r="AZ50" s="27" t="n">
        <f aca="false">IF(COUNT('Feijão 1ª safra'!$E48:$Z48)=0,0,MAX(0,IF((AZ$6-$E$3)&lt;1,0,IFERROR(LOOKUP(2,1/('Feijão 1ª safra'!$E48:INDEX('Feijão 1ª safra'!$E48:$Z48,MIN(AZ$6-$E$3,22))&lt;&gt;""),'Feijão 1ª safra'!$E48:INDEX('Feijão 1ª safra'!$E48:$Z48,MIN(AZ$6-$E$3,22))),0))-IF($G$2,0,IF((AZ$6-$G$3)&lt;1,0,IFERROR(LOOKUP(2,1/('Feijão 1ª safra'!$E48:INDEX('Feijão 1ª safra'!$E48:$Z48,MIN(AZ$6-$G$3,22))&lt;&gt;""),'Feijão 1ª safra'!$E48:INDEX('Feijão 1ª safra'!$E48:$Z48,MIN(AZ$6-$G$3,22))),0)))))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IF(COUNT('Feijão 1ª safra'!$E49:$Z49)&gt;0,N('Feijão 1ª safra'!$D49),0)</f>
        <v>0</v>
      </c>
      <c r="E51" s="27" t="n">
        <f aca="false">IF(COUNT('Feijão 1ª safra'!$E49:$Z49)=0,0,MAX(0,IF((E$6-$E$3)&lt;1,0,IFERROR(LOOKUP(2,1/('Feijão 1ª safra'!$E49:INDEX('Feijão 1ª safra'!$E49:$Z49,MIN(E$6-$E$3,22))&lt;&gt;""),'Feijão 1ª safra'!$E49:INDEX('Feijão 1ª safra'!$E49:$Z49,MIN(E$6-$E$3,22))),0))-IF($G$2,0,IF((E$6-$G$3)&lt;1,0,IFERROR(LOOKUP(2,1/('Feijão 1ª safra'!$E49:INDEX('Feijão 1ª safra'!$E49:$Z49,MIN(E$6-$G$3,22))&lt;&gt;""),'Feijão 1ª safra'!$E49:INDEX('Feijão 1ª safra'!$E49:$Z49,MIN(E$6-$G$3,22))),0)))))</f>
        <v>0</v>
      </c>
      <c r="F51" s="27" t="n">
        <f aca="false">IF(COUNT('Feijão 1ª safra'!$E49:$Z49)=0,0,MAX(0,IF((F$6-$E$3)&lt;1,0,IFERROR(LOOKUP(2,1/('Feijão 1ª safra'!$E49:INDEX('Feijão 1ª safra'!$E49:$Z49,MIN(F$6-$E$3,22))&lt;&gt;""),'Feijão 1ª safra'!$E49:INDEX('Feijão 1ª safra'!$E49:$Z49,MIN(F$6-$E$3,22))),0))-IF($G$2,0,IF((F$6-$G$3)&lt;1,0,IFERROR(LOOKUP(2,1/('Feijão 1ª safra'!$E49:INDEX('Feijão 1ª safra'!$E49:$Z49,MIN(F$6-$G$3,22))&lt;&gt;""),'Feijão 1ª safra'!$E49:INDEX('Feijão 1ª safra'!$E49:$Z49,MIN(F$6-$G$3,22))),0)))))</f>
        <v>0</v>
      </c>
      <c r="G51" s="27" t="n">
        <f aca="false">IF(COUNT('Feijão 1ª safra'!$E49:$Z49)=0,0,MAX(0,IF((G$6-$E$3)&lt;1,0,IFERROR(LOOKUP(2,1/('Feijão 1ª safra'!$E49:INDEX('Feijão 1ª safra'!$E49:$Z49,MIN(G$6-$E$3,22))&lt;&gt;""),'Feijão 1ª safra'!$E49:INDEX('Feijão 1ª safra'!$E49:$Z49,MIN(G$6-$E$3,22))),0))-IF($G$2,0,IF((G$6-$G$3)&lt;1,0,IFERROR(LOOKUP(2,1/('Feijão 1ª safra'!$E49:INDEX('Feijão 1ª safra'!$E49:$Z49,MIN(G$6-$G$3,22))&lt;&gt;""),'Feijão 1ª safra'!$E49:INDEX('Feijão 1ª safra'!$E49:$Z49,MIN(G$6-$G$3,22))),0)))))</f>
        <v>0</v>
      </c>
      <c r="H51" s="27" t="n">
        <f aca="false">IF(COUNT('Feijão 1ª safra'!$E49:$Z49)=0,0,MAX(0,IF((H$6-$E$3)&lt;1,0,IFERROR(LOOKUP(2,1/('Feijão 1ª safra'!$E49:INDEX('Feijão 1ª safra'!$E49:$Z49,MIN(H$6-$E$3,22))&lt;&gt;""),'Feijão 1ª safra'!$E49:INDEX('Feijão 1ª safra'!$E49:$Z49,MIN(H$6-$E$3,22))),0))-IF($G$2,0,IF((H$6-$G$3)&lt;1,0,IFERROR(LOOKUP(2,1/('Feijão 1ª safra'!$E49:INDEX('Feijão 1ª safra'!$E49:$Z49,MIN(H$6-$G$3,22))&lt;&gt;""),'Feijão 1ª safra'!$E49:INDEX('Feijão 1ª safra'!$E49:$Z49,MIN(H$6-$G$3,22))),0)))))</f>
        <v>0</v>
      </c>
      <c r="I51" s="27" t="n">
        <f aca="false">IF(COUNT('Feijão 1ª safra'!$E49:$Z49)=0,0,MAX(0,IF((I$6-$E$3)&lt;1,0,IFERROR(LOOKUP(2,1/('Feijão 1ª safra'!$E49:INDEX('Feijão 1ª safra'!$E49:$Z49,MIN(I$6-$E$3,22))&lt;&gt;""),'Feijão 1ª safra'!$E49:INDEX('Feijão 1ª safra'!$E49:$Z49,MIN(I$6-$E$3,22))),0))-IF($G$2,0,IF((I$6-$G$3)&lt;1,0,IFERROR(LOOKUP(2,1/('Feijão 1ª safra'!$E49:INDEX('Feijão 1ª safra'!$E49:$Z49,MIN(I$6-$G$3,22))&lt;&gt;""),'Feijão 1ª safra'!$E49:INDEX('Feijão 1ª safra'!$E49:$Z49,MIN(I$6-$G$3,22))),0)))))</f>
        <v>0</v>
      </c>
      <c r="J51" s="27" t="n">
        <f aca="false">IF(COUNT('Feijão 1ª safra'!$E49:$Z49)=0,0,MAX(0,IF((J$6-$E$3)&lt;1,0,IFERROR(LOOKUP(2,1/('Feijão 1ª safra'!$E49:INDEX('Feijão 1ª safra'!$E49:$Z49,MIN(J$6-$E$3,22))&lt;&gt;""),'Feijão 1ª safra'!$E49:INDEX('Feijão 1ª safra'!$E49:$Z49,MIN(J$6-$E$3,22))),0))-IF($G$2,0,IF((J$6-$G$3)&lt;1,0,IFERROR(LOOKUP(2,1/('Feijão 1ª safra'!$E49:INDEX('Feijão 1ª safra'!$E49:$Z49,MIN(J$6-$G$3,22))&lt;&gt;""),'Feijão 1ª safra'!$E49:INDEX('Feijão 1ª safra'!$E49:$Z49,MIN(J$6-$G$3,22))),0)))))</f>
        <v>0</v>
      </c>
      <c r="K51" s="27" t="n">
        <f aca="false">IF(COUNT('Feijão 1ª safra'!$E49:$Z49)=0,0,MAX(0,IF((K$6-$E$3)&lt;1,0,IFERROR(LOOKUP(2,1/('Feijão 1ª safra'!$E49:INDEX('Feijão 1ª safra'!$E49:$Z49,MIN(K$6-$E$3,22))&lt;&gt;""),'Feijão 1ª safra'!$E49:INDEX('Feijão 1ª safra'!$E49:$Z49,MIN(K$6-$E$3,22))),0))-IF($G$2,0,IF((K$6-$G$3)&lt;1,0,IFERROR(LOOKUP(2,1/('Feijão 1ª safra'!$E49:INDEX('Feijão 1ª safra'!$E49:$Z49,MIN(K$6-$G$3,22))&lt;&gt;""),'Feijão 1ª safra'!$E49:INDEX('Feijão 1ª safra'!$E49:$Z49,MIN(K$6-$G$3,22))),0)))))</f>
        <v>0</v>
      </c>
      <c r="L51" s="27" t="n">
        <f aca="false">IF(COUNT('Feijão 1ª safra'!$E49:$Z49)=0,0,MAX(0,IF((L$6-$E$3)&lt;1,0,IFERROR(LOOKUP(2,1/('Feijão 1ª safra'!$E49:INDEX('Feijão 1ª safra'!$E49:$Z49,MIN(L$6-$E$3,22))&lt;&gt;""),'Feijão 1ª safra'!$E49:INDEX('Feijão 1ª safra'!$E49:$Z49,MIN(L$6-$E$3,22))),0))-IF($G$2,0,IF((L$6-$G$3)&lt;1,0,IFERROR(LOOKUP(2,1/('Feijão 1ª safra'!$E49:INDEX('Feijão 1ª safra'!$E49:$Z49,MIN(L$6-$G$3,22))&lt;&gt;""),'Feijão 1ª safra'!$E49:INDEX('Feijão 1ª safra'!$E49:$Z49,MIN(L$6-$G$3,22))),0)))))</f>
        <v>0</v>
      </c>
      <c r="M51" s="27" t="n">
        <f aca="false">IF(COUNT('Feijão 1ª safra'!$E49:$Z49)=0,0,MAX(0,IF((M$6-$E$3)&lt;1,0,IFERROR(LOOKUP(2,1/('Feijão 1ª safra'!$E49:INDEX('Feijão 1ª safra'!$E49:$Z49,MIN(M$6-$E$3,22))&lt;&gt;""),'Feijão 1ª safra'!$E49:INDEX('Feijão 1ª safra'!$E49:$Z49,MIN(M$6-$E$3,22))),0))-IF($G$2,0,IF((M$6-$G$3)&lt;1,0,IFERROR(LOOKUP(2,1/('Feijão 1ª safra'!$E49:INDEX('Feijão 1ª safra'!$E49:$Z49,MIN(M$6-$G$3,22))&lt;&gt;""),'Feijão 1ª safra'!$E49:INDEX('Feijão 1ª safra'!$E49:$Z49,MIN(M$6-$G$3,22))),0)))))</f>
        <v>0</v>
      </c>
      <c r="N51" s="27" t="n">
        <f aca="false">IF(COUNT('Feijão 1ª safra'!$E49:$Z49)=0,0,MAX(0,IF((N$6-$E$3)&lt;1,0,IFERROR(LOOKUP(2,1/('Feijão 1ª safra'!$E49:INDEX('Feijão 1ª safra'!$E49:$Z49,MIN(N$6-$E$3,22))&lt;&gt;""),'Feijão 1ª safra'!$E49:INDEX('Feijão 1ª safra'!$E49:$Z49,MIN(N$6-$E$3,22))),0))-IF($G$2,0,IF((N$6-$G$3)&lt;1,0,IFERROR(LOOKUP(2,1/('Feijão 1ª safra'!$E49:INDEX('Feijão 1ª safra'!$E49:$Z49,MIN(N$6-$G$3,22))&lt;&gt;""),'Feijão 1ª safra'!$E49:INDEX('Feijão 1ª safra'!$E49:$Z49,MIN(N$6-$G$3,22))),0)))))</f>
        <v>0</v>
      </c>
      <c r="O51" s="27" t="n">
        <f aca="false">IF(COUNT('Feijão 1ª safra'!$E49:$Z49)=0,0,MAX(0,IF((O$6-$E$3)&lt;1,0,IFERROR(LOOKUP(2,1/('Feijão 1ª safra'!$E49:INDEX('Feijão 1ª safra'!$E49:$Z49,MIN(O$6-$E$3,22))&lt;&gt;""),'Feijão 1ª safra'!$E49:INDEX('Feijão 1ª safra'!$E49:$Z49,MIN(O$6-$E$3,22))),0))-IF($G$2,0,IF((O$6-$G$3)&lt;1,0,IFERROR(LOOKUP(2,1/('Feijão 1ª safra'!$E49:INDEX('Feijão 1ª safra'!$E49:$Z49,MIN(O$6-$G$3,22))&lt;&gt;""),'Feijão 1ª safra'!$E49:INDEX('Feijão 1ª safra'!$E49:$Z49,MIN(O$6-$G$3,22))),0)))))</f>
        <v>0</v>
      </c>
      <c r="P51" s="27" t="n">
        <f aca="false">IF(COUNT('Feijão 1ª safra'!$E49:$Z49)=0,0,MAX(0,IF((P$6-$E$3)&lt;1,0,IFERROR(LOOKUP(2,1/('Feijão 1ª safra'!$E49:INDEX('Feijão 1ª safra'!$E49:$Z49,MIN(P$6-$E$3,22))&lt;&gt;""),'Feijão 1ª safra'!$E49:INDEX('Feijão 1ª safra'!$E49:$Z49,MIN(P$6-$E$3,22))),0))-IF($G$2,0,IF((P$6-$G$3)&lt;1,0,IFERROR(LOOKUP(2,1/('Feijão 1ª safra'!$E49:INDEX('Feijão 1ª safra'!$E49:$Z49,MIN(P$6-$G$3,22))&lt;&gt;""),'Feijão 1ª safra'!$E49:INDEX('Feijão 1ª safra'!$E49:$Z49,MIN(P$6-$G$3,22))),0)))))</f>
        <v>0</v>
      </c>
      <c r="Q51" s="27" t="n">
        <f aca="false">IF(COUNT('Feijão 1ª safra'!$E49:$Z49)=0,0,MAX(0,IF((Q$6-$E$3)&lt;1,0,IFERROR(LOOKUP(2,1/('Feijão 1ª safra'!$E49:INDEX('Feijão 1ª safra'!$E49:$Z49,MIN(Q$6-$E$3,22))&lt;&gt;""),'Feijão 1ª safra'!$E49:INDEX('Feijão 1ª safra'!$E49:$Z49,MIN(Q$6-$E$3,22))),0))-IF($G$2,0,IF((Q$6-$G$3)&lt;1,0,IFERROR(LOOKUP(2,1/('Feijão 1ª safra'!$E49:INDEX('Feijão 1ª safra'!$E49:$Z49,MIN(Q$6-$G$3,22))&lt;&gt;""),'Feijão 1ª safra'!$E49:INDEX('Feijão 1ª safra'!$E49:$Z49,MIN(Q$6-$G$3,22))),0)))))</f>
        <v>0</v>
      </c>
      <c r="R51" s="27" t="n">
        <f aca="false">IF(COUNT('Feijão 1ª safra'!$E49:$Z49)=0,0,MAX(0,IF((R$6-$E$3)&lt;1,0,IFERROR(LOOKUP(2,1/('Feijão 1ª safra'!$E49:INDEX('Feijão 1ª safra'!$E49:$Z49,MIN(R$6-$E$3,22))&lt;&gt;""),'Feijão 1ª safra'!$E49:INDEX('Feijão 1ª safra'!$E49:$Z49,MIN(R$6-$E$3,22))),0))-IF($G$2,0,IF((R$6-$G$3)&lt;1,0,IFERROR(LOOKUP(2,1/('Feijão 1ª safra'!$E49:INDEX('Feijão 1ª safra'!$E49:$Z49,MIN(R$6-$G$3,22))&lt;&gt;""),'Feijão 1ª safra'!$E49:INDEX('Feijão 1ª safra'!$E49:$Z49,MIN(R$6-$G$3,22))),0)))))</f>
        <v>0</v>
      </c>
      <c r="S51" s="27" t="n">
        <f aca="false">IF(COUNT('Feijão 1ª safra'!$E49:$Z49)=0,0,MAX(0,IF((S$6-$E$3)&lt;1,0,IFERROR(LOOKUP(2,1/('Feijão 1ª safra'!$E49:INDEX('Feijão 1ª safra'!$E49:$Z49,MIN(S$6-$E$3,22))&lt;&gt;""),'Feijão 1ª safra'!$E49:INDEX('Feijão 1ª safra'!$E49:$Z49,MIN(S$6-$E$3,22))),0))-IF($G$2,0,IF((S$6-$G$3)&lt;1,0,IFERROR(LOOKUP(2,1/('Feijão 1ª safra'!$E49:INDEX('Feijão 1ª safra'!$E49:$Z49,MIN(S$6-$G$3,22))&lt;&gt;""),'Feijão 1ª safra'!$E49:INDEX('Feijão 1ª safra'!$E49:$Z49,MIN(S$6-$G$3,22))),0)))))</f>
        <v>0</v>
      </c>
      <c r="T51" s="27" t="n">
        <f aca="false">IF(COUNT('Feijão 1ª safra'!$E49:$Z49)=0,0,MAX(0,IF((T$6-$E$3)&lt;1,0,IFERROR(LOOKUP(2,1/('Feijão 1ª safra'!$E49:INDEX('Feijão 1ª safra'!$E49:$Z49,MIN(T$6-$E$3,22))&lt;&gt;""),'Feijão 1ª safra'!$E49:INDEX('Feijão 1ª safra'!$E49:$Z49,MIN(T$6-$E$3,22))),0))-IF($G$2,0,IF((T$6-$G$3)&lt;1,0,IFERROR(LOOKUP(2,1/('Feijão 1ª safra'!$E49:INDEX('Feijão 1ª safra'!$E49:$Z49,MIN(T$6-$G$3,22))&lt;&gt;""),'Feijão 1ª safra'!$E49:INDEX('Feijão 1ª safra'!$E49:$Z49,MIN(T$6-$G$3,22))),0)))))</f>
        <v>0</v>
      </c>
      <c r="U51" s="27" t="n">
        <f aca="false">IF(COUNT('Feijão 1ª safra'!$E49:$Z49)=0,0,MAX(0,IF((U$6-$E$3)&lt;1,0,IFERROR(LOOKUP(2,1/('Feijão 1ª safra'!$E49:INDEX('Feijão 1ª safra'!$E49:$Z49,MIN(U$6-$E$3,22))&lt;&gt;""),'Feijão 1ª safra'!$E49:INDEX('Feijão 1ª safra'!$E49:$Z49,MIN(U$6-$E$3,22))),0))-IF($G$2,0,IF((U$6-$G$3)&lt;1,0,IFERROR(LOOKUP(2,1/('Feijão 1ª safra'!$E49:INDEX('Feijão 1ª safra'!$E49:$Z49,MIN(U$6-$G$3,22))&lt;&gt;""),'Feijão 1ª safra'!$E49:INDEX('Feijão 1ª safra'!$E49:$Z49,MIN(U$6-$G$3,22))),0)))))</f>
        <v>0</v>
      </c>
      <c r="V51" s="27" t="n">
        <f aca="false">IF(COUNT('Feijão 1ª safra'!$E49:$Z49)=0,0,MAX(0,IF((V$6-$E$3)&lt;1,0,IFERROR(LOOKUP(2,1/('Feijão 1ª safra'!$E49:INDEX('Feijão 1ª safra'!$E49:$Z49,MIN(V$6-$E$3,22))&lt;&gt;""),'Feijão 1ª safra'!$E49:INDEX('Feijão 1ª safra'!$E49:$Z49,MIN(V$6-$E$3,22))),0))-IF($G$2,0,IF((V$6-$G$3)&lt;1,0,IFERROR(LOOKUP(2,1/('Feijão 1ª safra'!$E49:INDEX('Feijão 1ª safra'!$E49:$Z49,MIN(V$6-$G$3,22))&lt;&gt;""),'Feijão 1ª safra'!$E49:INDEX('Feijão 1ª safra'!$E49:$Z49,MIN(V$6-$G$3,22))),0)))))</f>
        <v>0</v>
      </c>
      <c r="W51" s="27" t="n">
        <f aca="false">IF(COUNT('Feijão 1ª safra'!$E49:$Z49)=0,0,MAX(0,IF((W$6-$E$3)&lt;1,0,IFERROR(LOOKUP(2,1/('Feijão 1ª safra'!$E49:INDEX('Feijão 1ª safra'!$E49:$Z49,MIN(W$6-$E$3,22))&lt;&gt;""),'Feijão 1ª safra'!$E49:INDEX('Feijão 1ª safra'!$E49:$Z49,MIN(W$6-$E$3,22))),0))-IF($G$2,0,IF((W$6-$G$3)&lt;1,0,IFERROR(LOOKUP(2,1/('Feijão 1ª safra'!$E49:INDEX('Feijão 1ª safra'!$E49:$Z49,MIN(W$6-$G$3,22))&lt;&gt;""),'Feijão 1ª safra'!$E49:INDEX('Feijão 1ª safra'!$E49:$Z49,MIN(W$6-$G$3,22))),0)))))</f>
        <v>0</v>
      </c>
      <c r="X51" s="27" t="n">
        <f aca="false">IF(COUNT('Feijão 1ª safra'!$E49:$Z49)=0,0,MAX(0,IF((X$6-$E$3)&lt;1,0,IFERROR(LOOKUP(2,1/('Feijão 1ª safra'!$E49:INDEX('Feijão 1ª safra'!$E49:$Z49,MIN(X$6-$E$3,22))&lt;&gt;""),'Feijão 1ª safra'!$E49:INDEX('Feijão 1ª safra'!$E49:$Z49,MIN(X$6-$E$3,22))),0))-IF($G$2,0,IF((X$6-$G$3)&lt;1,0,IFERROR(LOOKUP(2,1/('Feijão 1ª safra'!$E49:INDEX('Feijão 1ª safra'!$E49:$Z49,MIN(X$6-$G$3,22))&lt;&gt;""),'Feijão 1ª safra'!$E49:INDEX('Feijão 1ª safra'!$E49:$Z49,MIN(X$6-$G$3,22))),0)))))</f>
        <v>0</v>
      </c>
      <c r="Y51" s="27" t="n">
        <f aca="false">IF(COUNT('Feijão 1ª safra'!$E49:$Z49)=0,0,MAX(0,IF((Y$6-$E$3)&lt;1,0,IFERROR(LOOKUP(2,1/('Feijão 1ª safra'!$E49:INDEX('Feijão 1ª safra'!$E49:$Z49,MIN(Y$6-$E$3,22))&lt;&gt;""),'Feijão 1ª safra'!$E49:INDEX('Feijão 1ª safra'!$E49:$Z49,MIN(Y$6-$E$3,22))),0))-IF($G$2,0,IF((Y$6-$G$3)&lt;1,0,IFERROR(LOOKUP(2,1/('Feijão 1ª safra'!$E49:INDEX('Feijão 1ª safra'!$E49:$Z49,MIN(Y$6-$G$3,22))&lt;&gt;""),'Feijão 1ª safra'!$E49:INDEX('Feijão 1ª safra'!$E49:$Z49,MIN(Y$6-$G$3,22))),0)))))</f>
        <v>0</v>
      </c>
      <c r="Z51" s="27" t="n">
        <f aca="false">IF(COUNT('Feijão 1ª safra'!$E49:$Z49)=0,0,MAX(0,IF((Z$6-$E$3)&lt;1,0,IFERROR(LOOKUP(2,1/('Feijão 1ª safra'!$E49:INDEX('Feijão 1ª safra'!$E49:$Z49,MIN(Z$6-$E$3,22))&lt;&gt;""),'Feijão 1ª safra'!$E49:INDEX('Feijão 1ª safra'!$E49:$Z49,MIN(Z$6-$E$3,22))),0))-IF($G$2,0,IF((Z$6-$G$3)&lt;1,0,IFERROR(LOOKUP(2,1/('Feijão 1ª safra'!$E49:INDEX('Feijão 1ª safra'!$E49:$Z49,MIN(Z$6-$G$3,22))&lt;&gt;""),'Feijão 1ª safra'!$E49:INDEX('Feijão 1ª safra'!$E49:$Z49,MIN(Z$6-$G$3,22))),0)))))</f>
        <v>0</v>
      </c>
      <c r="AA51" s="27" t="n">
        <f aca="false">IF(COUNT('Feijão 1ª safra'!$E49:$Z49)=0,0,MAX(0,IF((AA$6-$E$3)&lt;1,0,IFERROR(LOOKUP(2,1/('Feijão 1ª safra'!$E49:INDEX('Feijão 1ª safra'!$E49:$Z49,MIN(AA$6-$E$3,22))&lt;&gt;""),'Feijão 1ª safra'!$E49:INDEX('Feijão 1ª safra'!$E49:$Z49,MIN(AA$6-$E$3,22))),0))-IF($G$2,0,IF((AA$6-$G$3)&lt;1,0,IFERROR(LOOKUP(2,1/('Feijão 1ª safra'!$E49:INDEX('Feijão 1ª safra'!$E49:$Z49,MIN(AA$6-$G$3,22))&lt;&gt;""),'Feijão 1ª safra'!$E49:INDEX('Feijão 1ª safra'!$E49:$Z49,MIN(AA$6-$G$3,22))),0)))))</f>
        <v>0</v>
      </c>
      <c r="AB51" s="27" t="n">
        <f aca="false">IF(COUNT('Feijão 1ª safra'!$E49:$Z49)=0,0,MAX(0,IF((AB$6-$E$3)&lt;1,0,IFERROR(LOOKUP(2,1/('Feijão 1ª safra'!$E49:INDEX('Feijão 1ª safra'!$E49:$Z49,MIN(AB$6-$E$3,22))&lt;&gt;""),'Feijão 1ª safra'!$E49:INDEX('Feijão 1ª safra'!$E49:$Z49,MIN(AB$6-$E$3,22))),0))-IF($G$2,0,IF((AB$6-$G$3)&lt;1,0,IFERROR(LOOKUP(2,1/('Feijão 1ª safra'!$E49:INDEX('Feijão 1ª safra'!$E49:$Z49,MIN(AB$6-$G$3,22))&lt;&gt;""),'Feijão 1ª safra'!$E49:INDEX('Feijão 1ª safra'!$E49:$Z49,MIN(AB$6-$G$3,22))),0)))))</f>
        <v>0</v>
      </c>
      <c r="AC51" s="27" t="n">
        <f aca="false">IF(COUNT('Feijão 1ª safra'!$E49:$Z49)=0,0,MAX(0,IF((AC$6-$E$3)&lt;1,0,IFERROR(LOOKUP(2,1/('Feijão 1ª safra'!$E49:INDEX('Feijão 1ª safra'!$E49:$Z49,MIN(AC$6-$E$3,22))&lt;&gt;""),'Feijão 1ª safra'!$E49:INDEX('Feijão 1ª safra'!$E49:$Z49,MIN(AC$6-$E$3,22))),0))-IF($G$2,0,IF((AC$6-$G$3)&lt;1,0,IFERROR(LOOKUP(2,1/('Feijão 1ª safra'!$E49:INDEX('Feijão 1ª safra'!$E49:$Z49,MIN(AC$6-$G$3,22))&lt;&gt;""),'Feijão 1ª safra'!$E49:INDEX('Feijão 1ª safra'!$E49:$Z49,MIN(AC$6-$G$3,22))),0)))))</f>
        <v>0</v>
      </c>
      <c r="AD51" s="27" t="n">
        <f aca="false">IF(COUNT('Feijão 1ª safra'!$E49:$Z49)=0,0,MAX(0,IF((AD$6-$E$3)&lt;1,0,IFERROR(LOOKUP(2,1/('Feijão 1ª safra'!$E49:INDEX('Feijão 1ª safra'!$E49:$Z49,MIN(AD$6-$E$3,22))&lt;&gt;""),'Feijão 1ª safra'!$E49:INDEX('Feijão 1ª safra'!$E49:$Z49,MIN(AD$6-$E$3,22))),0))-IF($G$2,0,IF((AD$6-$G$3)&lt;1,0,IFERROR(LOOKUP(2,1/('Feijão 1ª safra'!$E49:INDEX('Feijão 1ª safra'!$E49:$Z49,MIN(AD$6-$G$3,22))&lt;&gt;""),'Feijão 1ª safra'!$E49:INDEX('Feijão 1ª safra'!$E49:$Z49,MIN(AD$6-$G$3,22))),0)))))</f>
        <v>0</v>
      </c>
      <c r="AE51" s="27" t="n">
        <f aca="false">IF(COUNT('Feijão 1ª safra'!$E49:$Z49)=0,0,MAX(0,IF((AE$6-$E$3)&lt;1,0,IFERROR(LOOKUP(2,1/('Feijão 1ª safra'!$E49:INDEX('Feijão 1ª safra'!$E49:$Z49,MIN(AE$6-$E$3,22))&lt;&gt;""),'Feijão 1ª safra'!$E49:INDEX('Feijão 1ª safra'!$E49:$Z49,MIN(AE$6-$E$3,22))),0))-IF($G$2,0,IF((AE$6-$G$3)&lt;1,0,IFERROR(LOOKUP(2,1/('Feijão 1ª safra'!$E49:INDEX('Feijão 1ª safra'!$E49:$Z49,MIN(AE$6-$G$3,22))&lt;&gt;""),'Feijão 1ª safra'!$E49:INDEX('Feijão 1ª safra'!$E49:$Z49,MIN(AE$6-$G$3,22))),0)))))</f>
        <v>0</v>
      </c>
      <c r="AF51" s="27" t="n">
        <f aca="false">IF(COUNT('Feijão 1ª safra'!$E49:$Z49)=0,0,MAX(0,IF((AF$6-$E$3)&lt;1,0,IFERROR(LOOKUP(2,1/('Feijão 1ª safra'!$E49:INDEX('Feijão 1ª safra'!$E49:$Z49,MIN(AF$6-$E$3,22))&lt;&gt;""),'Feijão 1ª safra'!$E49:INDEX('Feijão 1ª safra'!$E49:$Z49,MIN(AF$6-$E$3,22))),0))-IF($G$2,0,IF((AF$6-$G$3)&lt;1,0,IFERROR(LOOKUP(2,1/('Feijão 1ª safra'!$E49:INDEX('Feijão 1ª safra'!$E49:$Z49,MIN(AF$6-$G$3,22))&lt;&gt;""),'Feijão 1ª safra'!$E49:INDEX('Feijão 1ª safra'!$E49:$Z49,MIN(AF$6-$G$3,22))),0)))))</f>
        <v>0</v>
      </c>
      <c r="AG51" s="27" t="n">
        <f aca="false">IF(COUNT('Feijão 1ª safra'!$E49:$Z49)=0,0,MAX(0,IF((AG$6-$E$3)&lt;1,0,IFERROR(LOOKUP(2,1/('Feijão 1ª safra'!$E49:INDEX('Feijão 1ª safra'!$E49:$Z49,MIN(AG$6-$E$3,22))&lt;&gt;""),'Feijão 1ª safra'!$E49:INDEX('Feijão 1ª safra'!$E49:$Z49,MIN(AG$6-$E$3,22))),0))-IF($G$2,0,IF((AG$6-$G$3)&lt;1,0,IFERROR(LOOKUP(2,1/('Feijão 1ª safra'!$E49:INDEX('Feijão 1ª safra'!$E49:$Z49,MIN(AG$6-$G$3,22))&lt;&gt;""),'Feijão 1ª safra'!$E49:INDEX('Feijão 1ª safra'!$E49:$Z49,MIN(AG$6-$G$3,22))),0)))))</f>
        <v>0</v>
      </c>
      <c r="AH51" s="27" t="n">
        <f aca="false">IF(COUNT('Feijão 1ª safra'!$E49:$Z49)=0,0,MAX(0,IF((AH$6-$E$3)&lt;1,0,IFERROR(LOOKUP(2,1/('Feijão 1ª safra'!$E49:INDEX('Feijão 1ª safra'!$E49:$Z49,MIN(AH$6-$E$3,22))&lt;&gt;""),'Feijão 1ª safra'!$E49:INDEX('Feijão 1ª safra'!$E49:$Z49,MIN(AH$6-$E$3,22))),0))-IF($G$2,0,IF((AH$6-$G$3)&lt;1,0,IFERROR(LOOKUP(2,1/('Feijão 1ª safra'!$E49:INDEX('Feijão 1ª safra'!$E49:$Z49,MIN(AH$6-$G$3,22))&lt;&gt;""),'Feijão 1ª safra'!$E49:INDEX('Feijão 1ª safra'!$E49:$Z49,MIN(AH$6-$G$3,22))),0)))))</f>
        <v>0</v>
      </c>
      <c r="AI51" s="27" t="n">
        <f aca="false">IF(COUNT('Feijão 1ª safra'!$E49:$Z49)=0,0,MAX(0,IF((AI$6-$E$3)&lt;1,0,IFERROR(LOOKUP(2,1/('Feijão 1ª safra'!$E49:INDEX('Feijão 1ª safra'!$E49:$Z49,MIN(AI$6-$E$3,22))&lt;&gt;""),'Feijão 1ª safra'!$E49:INDEX('Feijão 1ª safra'!$E49:$Z49,MIN(AI$6-$E$3,22))),0))-IF($G$2,0,IF((AI$6-$G$3)&lt;1,0,IFERROR(LOOKUP(2,1/('Feijão 1ª safra'!$E49:INDEX('Feijão 1ª safra'!$E49:$Z49,MIN(AI$6-$G$3,22))&lt;&gt;""),'Feijão 1ª safra'!$E49:INDEX('Feijão 1ª safra'!$E49:$Z49,MIN(AI$6-$G$3,22))),0)))))</f>
        <v>0</v>
      </c>
      <c r="AJ51" s="27" t="n">
        <f aca="false">IF(COUNT('Feijão 1ª safra'!$E49:$Z49)=0,0,MAX(0,IF((AJ$6-$E$3)&lt;1,0,IFERROR(LOOKUP(2,1/('Feijão 1ª safra'!$E49:INDEX('Feijão 1ª safra'!$E49:$Z49,MIN(AJ$6-$E$3,22))&lt;&gt;""),'Feijão 1ª safra'!$E49:INDEX('Feijão 1ª safra'!$E49:$Z49,MIN(AJ$6-$E$3,22))),0))-IF($G$2,0,IF((AJ$6-$G$3)&lt;1,0,IFERROR(LOOKUP(2,1/('Feijão 1ª safra'!$E49:INDEX('Feijão 1ª safra'!$E49:$Z49,MIN(AJ$6-$G$3,22))&lt;&gt;""),'Feijão 1ª safra'!$E49:INDEX('Feijão 1ª safra'!$E49:$Z49,MIN(AJ$6-$G$3,22))),0)))))</f>
        <v>0</v>
      </c>
      <c r="AK51" s="27" t="n">
        <f aca="false">IF(COUNT('Feijão 1ª safra'!$E49:$Z49)=0,0,MAX(0,IF((AK$6-$E$3)&lt;1,0,IFERROR(LOOKUP(2,1/('Feijão 1ª safra'!$E49:INDEX('Feijão 1ª safra'!$E49:$Z49,MIN(AK$6-$E$3,22))&lt;&gt;""),'Feijão 1ª safra'!$E49:INDEX('Feijão 1ª safra'!$E49:$Z49,MIN(AK$6-$E$3,22))),0))-IF($G$2,0,IF((AK$6-$G$3)&lt;1,0,IFERROR(LOOKUP(2,1/('Feijão 1ª safra'!$E49:INDEX('Feijão 1ª safra'!$E49:$Z49,MIN(AK$6-$G$3,22))&lt;&gt;""),'Feijão 1ª safra'!$E49:INDEX('Feijão 1ª safra'!$E49:$Z49,MIN(AK$6-$G$3,22))),0)))))</f>
        <v>0</v>
      </c>
      <c r="AL51" s="27" t="n">
        <f aca="false">IF(COUNT('Feijão 1ª safra'!$E49:$Z49)=0,0,MAX(0,IF((AL$6-$E$3)&lt;1,0,IFERROR(LOOKUP(2,1/('Feijão 1ª safra'!$E49:INDEX('Feijão 1ª safra'!$E49:$Z49,MIN(AL$6-$E$3,22))&lt;&gt;""),'Feijão 1ª safra'!$E49:INDEX('Feijão 1ª safra'!$E49:$Z49,MIN(AL$6-$E$3,22))),0))-IF($G$2,0,IF((AL$6-$G$3)&lt;1,0,IFERROR(LOOKUP(2,1/('Feijão 1ª safra'!$E49:INDEX('Feijão 1ª safra'!$E49:$Z49,MIN(AL$6-$G$3,22))&lt;&gt;""),'Feijão 1ª safra'!$E49:INDEX('Feijão 1ª safra'!$E49:$Z49,MIN(AL$6-$G$3,22))),0)))))</f>
        <v>0</v>
      </c>
      <c r="AM51" s="27" t="n">
        <f aca="false">IF(COUNT('Feijão 1ª safra'!$E49:$Z49)=0,0,MAX(0,IF((AM$6-$E$3)&lt;1,0,IFERROR(LOOKUP(2,1/('Feijão 1ª safra'!$E49:INDEX('Feijão 1ª safra'!$E49:$Z49,MIN(AM$6-$E$3,22))&lt;&gt;""),'Feijão 1ª safra'!$E49:INDEX('Feijão 1ª safra'!$E49:$Z49,MIN(AM$6-$E$3,22))),0))-IF($G$2,0,IF((AM$6-$G$3)&lt;1,0,IFERROR(LOOKUP(2,1/('Feijão 1ª safra'!$E49:INDEX('Feijão 1ª safra'!$E49:$Z49,MIN(AM$6-$G$3,22))&lt;&gt;""),'Feijão 1ª safra'!$E49:INDEX('Feijão 1ª safra'!$E49:$Z49,MIN(AM$6-$G$3,22))),0)))))</f>
        <v>0</v>
      </c>
      <c r="AN51" s="27" t="n">
        <f aca="false">IF(COUNT('Feijão 1ª safra'!$E49:$Z49)=0,0,MAX(0,IF((AN$6-$E$3)&lt;1,0,IFERROR(LOOKUP(2,1/('Feijão 1ª safra'!$E49:INDEX('Feijão 1ª safra'!$E49:$Z49,MIN(AN$6-$E$3,22))&lt;&gt;""),'Feijão 1ª safra'!$E49:INDEX('Feijão 1ª safra'!$E49:$Z49,MIN(AN$6-$E$3,22))),0))-IF($G$2,0,IF((AN$6-$G$3)&lt;1,0,IFERROR(LOOKUP(2,1/('Feijão 1ª safra'!$E49:INDEX('Feijão 1ª safra'!$E49:$Z49,MIN(AN$6-$G$3,22))&lt;&gt;""),'Feijão 1ª safra'!$E49:INDEX('Feijão 1ª safra'!$E49:$Z49,MIN(AN$6-$G$3,22))),0)))))</f>
        <v>0</v>
      </c>
      <c r="AO51" s="27" t="n">
        <f aca="false">IF(COUNT('Feijão 1ª safra'!$E49:$Z49)=0,0,MAX(0,IF((AO$6-$E$3)&lt;1,0,IFERROR(LOOKUP(2,1/('Feijão 1ª safra'!$E49:INDEX('Feijão 1ª safra'!$E49:$Z49,MIN(AO$6-$E$3,22))&lt;&gt;""),'Feijão 1ª safra'!$E49:INDEX('Feijão 1ª safra'!$E49:$Z49,MIN(AO$6-$E$3,22))),0))-IF($G$2,0,IF((AO$6-$G$3)&lt;1,0,IFERROR(LOOKUP(2,1/('Feijão 1ª safra'!$E49:INDEX('Feijão 1ª safra'!$E49:$Z49,MIN(AO$6-$G$3,22))&lt;&gt;""),'Feijão 1ª safra'!$E49:INDEX('Feijão 1ª safra'!$E49:$Z49,MIN(AO$6-$G$3,22))),0)))))</f>
        <v>0</v>
      </c>
      <c r="AP51" s="27" t="n">
        <f aca="false">IF(COUNT('Feijão 1ª safra'!$E49:$Z49)=0,0,MAX(0,IF((AP$6-$E$3)&lt;1,0,IFERROR(LOOKUP(2,1/('Feijão 1ª safra'!$E49:INDEX('Feijão 1ª safra'!$E49:$Z49,MIN(AP$6-$E$3,22))&lt;&gt;""),'Feijão 1ª safra'!$E49:INDEX('Feijão 1ª safra'!$E49:$Z49,MIN(AP$6-$E$3,22))),0))-IF($G$2,0,IF((AP$6-$G$3)&lt;1,0,IFERROR(LOOKUP(2,1/('Feijão 1ª safra'!$E49:INDEX('Feijão 1ª safra'!$E49:$Z49,MIN(AP$6-$G$3,22))&lt;&gt;""),'Feijão 1ª safra'!$E49:INDEX('Feijão 1ª safra'!$E49:$Z49,MIN(AP$6-$G$3,22))),0)))))</f>
        <v>0</v>
      </c>
      <c r="AQ51" s="27" t="n">
        <f aca="false">IF(COUNT('Feijão 1ª safra'!$E49:$Z49)=0,0,MAX(0,IF((AQ$6-$E$3)&lt;1,0,IFERROR(LOOKUP(2,1/('Feijão 1ª safra'!$E49:INDEX('Feijão 1ª safra'!$E49:$Z49,MIN(AQ$6-$E$3,22))&lt;&gt;""),'Feijão 1ª safra'!$E49:INDEX('Feijão 1ª safra'!$E49:$Z49,MIN(AQ$6-$E$3,22))),0))-IF($G$2,0,IF((AQ$6-$G$3)&lt;1,0,IFERROR(LOOKUP(2,1/('Feijão 1ª safra'!$E49:INDEX('Feijão 1ª safra'!$E49:$Z49,MIN(AQ$6-$G$3,22))&lt;&gt;""),'Feijão 1ª safra'!$E49:INDEX('Feijão 1ª safra'!$E49:$Z49,MIN(AQ$6-$G$3,22))),0)))))</f>
        <v>0</v>
      </c>
      <c r="AR51" s="27" t="n">
        <f aca="false">IF(COUNT('Feijão 1ª safra'!$E49:$Z49)=0,0,MAX(0,IF((AR$6-$E$3)&lt;1,0,IFERROR(LOOKUP(2,1/('Feijão 1ª safra'!$E49:INDEX('Feijão 1ª safra'!$E49:$Z49,MIN(AR$6-$E$3,22))&lt;&gt;""),'Feijão 1ª safra'!$E49:INDEX('Feijão 1ª safra'!$E49:$Z49,MIN(AR$6-$E$3,22))),0))-IF($G$2,0,IF((AR$6-$G$3)&lt;1,0,IFERROR(LOOKUP(2,1/('Feijão 1ª safra'!$E49:INDEX('Feijão 1ª safra'!$E49:$Z49,MIN(AR$6-$G$3,22))&lt;&gt;""),'Feijão 1ª safra'!$E49:INDEX('Feijão 1ª safra'!$E49:$Z49,MIN(AR$6-$G$3,22))),0)))))</f>
        <v>0</v>
      </c>
      <c r="AS51" s="27" t="n">
        <f aca="false">IF(COUNT('Feijão 1ª safra'!$E49:$Z49)=0,0,MAX(0,IF((AS$6-$E$3)&lt;1,0,IFERROR(LOOKUP(2,1/('Feijão 1ª safra'!$E49:INDEX('Feijão 1ª safra'!$E49:$Z49,MIN(AS$6-$E$3,22))&lt;&gt;""),'Feijão 1ª safra'!$E49:INDEX('Feijão 1ª safra'!$E49:$Z49,MIN(AS$6-$E$3,22))),0))-IF($G$2,0,IF((AS$6-$G$3)&lt;1,0,IFERROR(LOOKUP(2,1/('Feijão 1ª safra'!$E49:INDEX('Feijão 1ª safra'!$E49:$Z49,MIN(AS$6-$G$3,22))&lt;&gt;""),'Feijão 1ª safra'!$E49:INDEX('Feijão 1ª safra'!$E49:$Z49,MIN(AS$6-$G$3,22))),0)))))</f>
        <v>0</v>
      </c>
      <c r="AT51" s="27" t="n">
        <f aca="false">IF(COUNT('Feijão 1ª safra'!$E49:$Z49)=0,0,MAX(0,IF((AT$6-$E$3)&lt;1,0,IFERROR(LOOKUP(2,1/('Feijão 1ª safra'!$E49:INDEX('Feijão 1ª safra'!$E49:$Z49,MIN(AT$6-$E$3,22))&lt;&gt;""),'Feijão 1ª safra'!$E49:INDEX('Feijão 1ª safra'!$E49:$Z49,MIN(AT$6-$E$3,22))),0))-IF($G$2,0,IF((AT$6-$G$3)&lt;1,0,IFERROR(LOOKUP(2,1/('Feijão 1ª safra'!$E49:INDEX('Feijão 1ª safra'!$E49:$Z49,MIN(AT$6-$G$3,22))&lt;&gt;""),'Feijão 1ª safra'!$E49:INDEX('Feijão 1ª safra'!$E49:$Z49,MIN(AT$6-$G$3,22))),0)))))</f>
        <v>0</v>
      </c>
      <c r="AU51" s="27" t="n">
        <f aca="false">IF(COUNT('Feijão 1ª safra'!$E49:$Z49)=0,0,MAX(0,IF((AU$6-$E$3)&lt;1,0,IFERROR(LOOKUP(2,1/('Feijão 1ª safra'!$E49:INDEX('Feijão 1ª safra'!$E49:$Z49,MIN(AU$6-$E$3,22))&lt;&gt;""),'Feijão 1ª safra'!$E49:INDEX('Feijão 1ª safra'!$E49:$Z49,MIN(AU$6-$E$3,22))),0))-IF($G$2,0,IF((AU$6-$G$3)&lt;1,0,IFERROR(LOOKUP(2,1/('Feijão 1ª safra'!$E49:INDEX('Feijão 1ª safra'!$E49:$Z49,MIN(AU$6-$G$3,22))&lt;&gt;""),'Feijão 1ª safra'!$E49:INDEX('Feijão 1ª safra'!$E49:$Z49,MIN(AU$6-$G$3,22))),0)))))</f>
        <v>0</v>
      </c>
      <c r="AV51" s="27" t="n">
        <f aca="false">IF(COUNT('Feijão 1ª safra'!$E49:$Z49)=0,0,MAX(0,IF((AV$6-$E$3)&lt;1,0,IFERROR(LOOKUP(2,1/('Feijão 1ª safra'!$E49:INDEX('Feijão 1ª safra'!$E49:$Z49,MIN(AV$6-$E$3,22))&lt;&gt;""),'Feijão 1ª safra'!$E49:INDEX('Feijão 1ª safra'!$E49:$Z49,MIN(AV$6-$E$3,22))),0))-IF($G$2,0,IF((AV$6-$G$3)&lt;1,0,IFERROR(LOOKUP(2,1/('Feijão 1ª safra'!$E49:INDEX('Feijão 1ª safra'!$E49:$Z49,MIN(AV$6-$G$3,22))&lt;&gt;""),'Feijão 1ª safra'!$E49:INDEX('Feijão 1ª safra'!$E49:$Z49,MIN(AV$6-$G$3,22))),0)))))</f>
        <v>0</v>
      </c>
      <c r="AW51" s="27" t="n">
        <f aca="false">IF(COUNT('Feijão 1ª safra'!$E49:$Z49)=0,0,MAX(0,IF((AW$6-$E$3)&lt;1,0,IFERROR(LOOKUP(2,1/('Feijão 1ª safra'!$E49:INDEX('Feijão 1ª safra'!$E49:$Z49,MIN(AW$6-$E$3,22))&lt;&gt;""),'Feijão 1ª safra'!$E49:INDEX('Feijão 1ª safra'!$E49:$Z49,MIN(AW$6-$E$3,22))),0))-IF($G$2,0,IF((AW$6-$G$3)&lt;1,0,IFERROR(LOOKUP(2,1/('Feijão 1ª safra'!$E49:INDEX('Feijão 1ª safra'!$E49:$Z49,MIN(AW$6-$G$3,22))&lt;&gt;""),'Feijão 1ª safra'!$E49:INDEX('Feijão 1ª safra'!$E49:$Z49,MIN(AW$6-$G$3,22))),0)))))</f>
        <v>0</v>
      </c>
      <c r="AX51" s="27" t="n">
        <f aca="false">IF(COUNT('Feijão 1ª safra'!$E49:$Z49)=0,0,MAX(0,IF((AX$6-$E$3)&lt;1,0,IFERROR(LOOKUP(2,1/('Feijão 1ª safra'!$E49:INDEX('Feijão 1ª safra'!$E49:$Z49,MIN(AX$6-$E$3,22))&lt;&gt;""),'Feijão 1ª safra'!$E49:INDEX('Feijão 1ª safra'!$E49:$Z49,MIN(AX$6-$E$3,22))),0))-IF($G$2,0,IF((AX$6-$G$3)&lt;1,0,IFERROR(LOOKUP(2,1/('Feijão 1ª safra'!$E49:INDEX('Feijão 1ª safra'!$E49:$Z49,MIN(AX$6-$G$3,22))&lt;&gt;""),'Feijão 1ª safra'!$E49:INDEX('Feijão 1ª safra'!$E49:$Z49,MIN(AX$6-$G$3,22))),0)))))</f>
        <v>0</v>
      </c>
      <c r="AY51" s="27" t="n">
        <f aca="false">IF(COUNT('Feijão 1ª safra'!$E49:$Z49)=0,0,MAX(0,IF((AY$6-$E$3)&lt;1,0,IFERROR(LOOKUP(2,1/('Feijão 1ª safra'!$E49:INDEX('Feijão 1ª safra'!$E49:$Z49,MIN(AY$6-$E$3,22))&lt;&gt;""),'Feijão 1ª safra'!$E49:INDEX('Feijão 1ª safra'!$E49:$Z49,MIN(AY$6-$E$3,22))),0))-IF($G$2,0,IF((AY$6-$G$3)&lt;1,0,IFERROR(LOOKUP(2,1/('Feijão 1ª safra'!$E49:INDEX('Feijão 1ª safra'!$E49:$Z49,MIN(AY$6-$G$3,22))&lt;&gt;""),'Feijão 1ª safra'!$E49:INDEX('Feijão 1ª safra'!$E49:$Z49,MIN(AY$6-$G$3,22))),0)))))</f>
        <v>0</v>
      </c>
      <c r="AZ51" s="27" t="n">
        <f aca="false">IF(COUNT('Feijão 1ª safra'!$E49:$Z49)=0,0,MAX(0,IF((AZ$6-$E$3)&lt;1,0,IFERROR(LOOKUP(2,1/('Feijão 1ª safra'!$E49:INDEX('Feijão 1ª safra'!$E49:$Z49,MIN(AZ$6-$E$3,22))&lt;&gt;""),'Feijão 1ª safra'!$E49:INDEX('Feijão 1ª safra'!$E49:$Z49,MIN(AZ$6-$E$3,22))),0))-IF($G$2,0,IF((AZ$6-$G$3)&lt;1,0,IFERROR(LOOKUP(2,1/('Feijão 1ª safra'!$E49:INDEX('Feijão 1ª safra'!$E49:$Z49,MIN(AZ$6-$G$3,22))&lt;&gt;""),'Feijão 1ª safra'!$E49:INDEX('Feijão 1ª safra'!$E49:$Z49,MIN(AZ$6-$G$3,22))),0)))))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IF(COUNT('Feijão 1ª safra'!$E50:$Z50)&gt;0,N('Feijão 1ª safra'!$D50),0)</f>
        <v>0</v>
      </c>
      <c r="E52" s="27" t="n">
        <f aca="false">IF(COUNT('Feijão 1ª safra'!$E50:$Z50)=0,0,MAX(0,IF((E$6-$E$3)&lt;1,0,IFERROR(LOOKUP(2,1/('Feijão 1ª safra'!$E50:INDEX('Feijão 1ª safra'!$E50:$Z50,MIN(E$6-$E$3,22))&lt;&gt;""),'Feijão 1ª safra'!$E50:INDEX('Feijão 1ª safra'!$E50:$Z50,MIN(E$6-$E$3,22))),0))-IF($G$2,0,IF((E$6-$G$3)&lt;1,0,IFERROR(LOOKUP(2,1/('Feijão 1ª safra'!$E50:INDEX('Feijão 1ª safra'!$E50:$Z50,MIN(E$6-$G$3,22))&lt;&gt;""),'Feijão 1ª safra'!$E50:INDEX('Feijão 1ª safra'!$E50:$Z50,MIN(E$6-$G$3,22))),0)))))</f>
        <v>0</v>
      </c>
      <c r="F52" s="27" t="n">
        <f aca="false">IF(COUNT('Feijão 1ª safra'!$E50:$Z50)=0,0,MAX(0,IF((F$6-$E$3)&lt;1,0,IFERROR(LOOKUP(2,1/('Feijão 1ª safra'!$E50:INDEX('Feijão 1ª safra'!$E50:$Z50,MIN(F$6-$E$3,22))&lt;&gt;""),'Feijão 1ª safra'!$E50:INDEX('Feijão 1ª safra'!$E50:$Z50,MIN(F$6-$E$3,22))),0))-IF($G$2,0,IF((F$6-$G$3)&lt;1,0,IFERROR(LOOKUP(2,1/('Feijão 1ª safra'!$E50:INDEX('Feijão 1ª safra'!$E50:$Z50,MIN(F$6-$G$3,22))&lt;&gt;""),'Feijão 1ª safra'!$E50:INDEX('Feijão 1ª safra'!$E50:$Z50,MIN(F$6-$G$3,22))),0)))))</f>
        <v>0</v>
      </c>
      <c r="G52" s="27" t="n">
        <f aca="false">IF(COUNT('Feijão 1ª safra'!$E50:$Z50)=0,0,MAX(0,IF((G$6-$E$3)&lt;1,0,IFERROR(LOOKUP(2,1/('Feijão 1ª safra'!$E50:INDEX('Feijão 1ª safra'!$E50:$Z50,MIN(G$6-$E$3,22))&lt;&gt;""),'Feijão 1ª safra'!$E50:INDEX('Feijão 1ª safra'!$E50:$Z50,MIN(G$6-$E$3,22))),0))-IF($G$2,0,IF((G$6-$G$3)&lt;1,0,IFERROR(LOOKUP(2,1/('Feijão 1ª safra'!$E50:INDEX('Feijão 1ª safra'!$E50:$Z50,MIN(G$6-$G$3,22))&lt;&gt;""),'Feijão 1ª safra'!$E50:INDEX('Feijão 1ª safra'!$E50:$Z50,MIN(G$6-$G$3,22))),0)))))</f>
        <v>0</v>
      </c>
      <c r="H52" s="27" t="n">
        <f aca="false">IF(COUNT('Feijão 1ª safra'!$E50:$Z50)=0,0,MAX(0,IF((H$6-$E$3)&lt;1,0,IFERROR(LOOKUP(2,1/('Feijão 1ª safra'!$E50:INDEX('Feijão 1ª safra'!$E50:$Z50,MIN(H$6-$E$3,22))&lt;&gt;""),'Feijão 1ª safra'!$E50:INDEX('Feijão 1ª safra'!$E50:$Z50,MIN(H$6-$E$3,22))),0))-IF($G$2,0,IF((H$6-$G$3)&lt;1,0,IFERROR(LOOKUP(2,1/('Feijão 1ª safra'!$E50:INDEX('Feijão 1ª safra'!$E50:$Z50,MIN(H$6-$G$3,22))&lt;&gt;""),'Feijão 1ª safra'!$E50:INDEX('Feijão 1ª safra'!$E50:$Z50,MIN(H$6-$G$3,22))),0)))))</f>
        <v>0</v>
      </c>
      <c r="I52" s="27" t="n">
        <f aca="false">IF(COUNT('Feijão 1ª safra'!$E50:$Z50)=0,0,MAX(0,IF((I$6-$E$3)&lt;1,0,IFERROR(LOOKUP(2,1/('Feijão 1ª safra'!$E50:INDEX('Feijão 1ª safra'!$E50:$Z50,MIN(I$6-$E$3,22))&lt;&gt;""),'Feijão 1ª safra'!$E50:INDEX('Feijão 1ª safra'!$E50:$Z50,MIN(I$6-$E$3,22))),0))-IF($G$2,0,IF((I$6-$G$3)&lt;1,0,IFERROR(LOOKUP(2,1/('Feijão 1ª safra'!$E50:INDEX('Feijão 1ª safra'!$E50:$Z50,MIN(I$6-$G$3,22))&lt;&gt;""),'Feijão 1ª safra'!$E50:INDEX('Feijão 1ª safra'!$E50:$Z50,MIN(I$6-$G$3,22))),0)))))</f>
        <v>0</v>
      </c>
      <c r="J52" s="27" t="n">
        <f aca="false">IF(COUNT('Feijão 1ª safra'!$E50:$Z50)=0,0,MAX(0,IF((J$6-$E$3)&lt;1,0,IFERROR(LOOKUP(2,1/('Feijão 1ª safra'!$E50:INDEX('Feijão 1ª safra'!$E50:$Z50,MIN(J$6-$E$3,22))&lt;&gt;""),'Feijão 1ª safra'!$E50:INDEX('Feijão 1ª safra'!$E50:$Z50,MIN(J$6-$E$3,22))),0))-IF($G$2,0,IF((J$6-$G$3)&lt;1,0,IFERROR(LOOKUP(2,1/('Feijão 1ª safra'!$E50:INDEX('Feijão 1ª safra'!$E50:$Z50,MIN(J$6-$G$3,22))&lt;&gt;""),'Feijão 1ª safra'!$E50:INDEX('Feijão 1ª safra'!$E50:$Z50,MIN(J$6-$G$3,22))),0)))))</f>
        <v>0</v>
      </c>
      <c r="K52" s="27" t="n">
        <f aca="false">IF(COUNT('Feijão 1ª safra'!$E50:$Z50)=0,0,MAX(0,IF((K$6-$E$3)&lt;1,0,IFERROR(LOOKUP(2,1/('Feijão 1ª safra'!$E50:INDEX('Feijão 1ª safra'!$E50:$Z50,MIN(K$6-$E$3,22))&lt;&gt;""),'Feijão 1ª safra'!$E50:INDEX('Feijão 1ª safra'!$E50:$Z50,MIN(K$6-$E$3,22))),0))-IF($G$2,0,IF((K$6-$G$3)&lt;1,0,IFERROR(LOOKUP(2,1/('Feijão 1ª safra'!$E50:INDEX('Feijão 1ª safra'!$E50:$Z50,MIN(K$6-$G$3,22))&lt;&gt;""),'Feijão 1ª safra'!$E50:INDEX('Feijão 1ª safra'!$E50:$Z50,MIN(K$6-$G$3,22))),0)))))</f>
        <v>0</v>
      </c>
      <c r="L52" s="27" t="n">
        <f aca="false">IF(COUNT('Feijão 1ª safra'!$E50:$Z50)=0,0,MAX(0,IF((L$6-$E$3)&lt;1,0,IFERROR(LOOKUP(2,1/('Feijão 1ª safra'!$E50:INDEX('Feijão 1ª safra'!$E50:$Z50,MIN(L$6-$E$3,22))&lt;&gt;""),'Feijão 1ª safra'!$E50:INDEX('Feijão 1ª safra'!$E50:$Z50,MIN(L$6-$E$3,22))),0))-IF($G$2,0,IF((L$6-$G$3)&lt;1,0,IFERROR(LOOKUP(2,1/('Feijão 1ª safra'!$E50:INDEX('Feijão 1ª safra'!$E50:$Z50,MIN(L$6-$G$3,22))&lt;&gt;""),'Feijão 1ª safra'!$E50:INDEX('Feijão 1ª safra'!$E50:$Z50,MIN(L$6-$G$3,22))),0)))))</f>
        <v>0</v>
      </c>
      <c r="M52" s="27" t="n">
        <f aca="false">IF(COUNT('Feijão 1ª safra'!$E50:$Z50)=0,0,MAX(0,IF((M$6-$E$3)&lt;1,0,IFERROR(LOOKUP(2,1/('Feijão 1ª safra'!$E50:INDEX('Feijão 1ª safra'!$E50:$Z50,MIN(M$6-$E$3,22))&lt;&gt;""),'Feijão 1ª safra'!$E50:INDEX('Feijão 1ª safra'!$E50:$Z50,MIN(M$6-$E$3,22))),0))-IF($G$2,0,IF((M$6-$G$3)&lt;1,0,IFERROR(LOOKUP(2,1/('Feijão 1ª safra'!$E50:INDEX('Feijão 1ª safra'!$E50:$Z50,MIN(M$6-$G$3,22))&lt;&gt;""),'Feijão 1ª safra'!$E50:INDEX('Feijão 1ª safra'!$E50:$Z50,MIN(M$6-$G$3,22))),0)))))</f>
        <v>0</v>
      </c>
      <c r="N52" s="27" t="n">
        <f aca="false">IF(COUNT('Feijão 1ª safra'!$E50:$Z50)=0,0,MAX(0,IF((N$6-$E$3)&lt;1,0,IFERROR(LOOKUP(2,1/('Feijão 1ª safra'!$E50:INDEX('Feijão 1ª safra'!$E50:$Z50,MIN(N$6-$E$3,22))&lt;&gt;""),'Feijão 1ª safra'!$E50:INDEX('Feijão 1ª safra'!$E50:$Z50,MIN(N$6-$E$3,22))),0))-IF($G$2,0,IF((N$6-$G$3)&lt;1,0,IFERROR(LOOKUP(2,1/('Feijão 1ª safra'!$E50:INDEX('Feijão 1ª safra'!$E50:$Z50,MIN(N$6-$G$3,22))&lt;&gt;""),'Feijão 1ª safra'!$E50:INDEX('Feijão 1ª safra'!$E50:$Z50,MIN(N$6-$G$3,22))),0)))))</f>
        <v>0</v>
      </c>
      <c r="O52" s="27" t="n">
        <f aca="false">IF(COUNT('Feijão 1ª safra'!$E50:$Z50)=0,0,MAX(0,IF((O$6-$E$3)&lt;1,0,IFERROR(LOOKUP(2,1/('Feijão 1ª safra'!$E50:INDEX('Feijão 1ª safra'!$E50:$Z50,MIN(O$6-$E$3,22))&lt;&gt;""),'Feijão 1ª safra'!$E50:INDEX('Feijão 1ª safra'!$E50:$Z50,MIN(O$6-$E$3,22))),0))-IF($G$2,0,IF((O$6-$G$3)&lt;1,0,IFERROR(LOOKUP(2,1/('Feijão 1ª safra'!$E50:INDEX('Feijão 1ª safra'!$E50:$Z50,MIN(O$6-$G$3,22))&lt;&gt;""),'Feijão 1ª safra'!$E50:INDEX('Feijão 1ª safra'!$E50:$Z50,MIN(O$6-$G$3,22))),0)))))</f>
        <v>0</v>
      </c>
      <c r="P52" s="27" t="n">
        <f aca="false">IF(COUNT('Feijão 1ª safra'!$E50:$Z50)=0,0,MAX(0,IF((P$6-$E$3)&lt;1,0,IFERROR(LOOKUP(2,1/('Feijão 1ª safra'!$E50:INDEX('Feijão 1ª safra'!$E50:$Z50,MIN(P$6-$E$3,22))&lt;&gt;""),'Feijão 1ª safra'!$E50:INDEX('Feijão 1ª safra'!$E50:$Z50,MIN(P$6-$E$3,22))),0))-IF($G$2,0,IF((P$6-$G$3)&lt;1,0,IFERROR(LOOKUP(2,1/('Feijão 1ª safra'!$E50:INDEX('Feijão 1ª safra'!$E50:$Z50,MIN(P$6-$G$3,22))&lt;&gt;""),'Feijão 1ª safra'!$E50:INDEX('Feijão 1ª safra'!$E50:$Z50,MIN(P$6-$G$3,22))),0)))))</f>
        <v>0</v>
      </c>
      <c r="Q52" s="27" t="n">
        <f aca="false">IF(COUNT('Feijão 1ª safra'!$E50:$Z50)=0,0,MAX(0,IF((Q$6-$E$3)&lt;1,0,IFERROR(LOOKUP(2,1/('Feijão 1ª safra'!$E50:INDEX('Feijão 1ª safra'!$E50:$Z50,MIN(Q$6-$E$3,22))&lt;&gt;""),'Feijão 1ª safra'!$E50:INDEX('Feijão 1ª safra'!$E50:$Z50,MIN(Q$6-$E$3,22))),0))-IF($G$2,0,IF((Q$6-$G$3)&lt;1,0,IFERROR(LOOKUP(2,1/('Feijão 1ª safra'!$E50:INDEX('Feijão 1ª safra'!$E50:$Z50,MIN(Q$6-$G$3,22))&lt;&gt;""),'Feijão 1ª safra'!$E50:INDEX('Feijão 1ª safra'!$E50:$Z50,MIN(Q$6-$G$3,22))),0)))))</f>
        <v>0</v>
      </c>
      <c r="R52" s="27" t="n">
        <f aca="false">IF(COUNT('Feijão 1ª safra'!$E50:$Z50)=0,0,MAX(0,IF((R$6-$E$3)&lt;1,0,IFERROR(LOOKUP(2,1/('Feijão 1ª safra'!$E50:INDEX('Feijão 1ª safra'!$E50:$Z50,MIN(R$6-$E$3,22))&lt;&gt;""),'Feijão 1ª safra'!$E50:INDEX('Feijão 1ª safra'!$E50:$Z50,MIN(R$6-$E$3,22))),0))-IF($G$2,0,IF((R$6-$G$3)&lt;1,0,IFERROR(LOOKUP(2,1/('Feijão 1ª safra'!$E50:INDEX('Feijão 1ª safra'!$E50:$Z50,MIN(R$6-$G$3,22))&lt;&gt;""),'Feijão 1ª safra'!$E50:INDEX('Feijão 1ª safra'!$E50:$Z50,MIN(R$6-$G$3,22))),0)))))</f>
        <v>0</v>
      </c>
      <c r="S52" s="27" t="n">
        <f aca="false">IF(COUNT('Feijão 1ª safra'!$E50:$Z50)=0,0,MAX(0,IF((S$6-$E$3)&lt;1,0,IFERROR(LOOKUP(2,1/('Feijão 1ª safra'!$E50:INDEX('Feijão 1ª safra'!$E50:$Z50,MIN(S$6-$E$3,22))&lt;&gt;""),'Feijão 1ª safra'!$E50:INDEX('Feijão 1ª safra'!$E50:$Z50,MIN(S$6-$E$3,22))),0))-IF($G$2,0,IF((S$6-$G$3)&lt;1,0,IFERROR(LOOKUP(2,1/('Feijão 1ª safra'!$E50:INDEX('Feijão 1ª safra'!$E50:$Z50,MIN(S$6-$G$3,22))&lt;&gt;""),'Feijão 1ª safra'!$E50:INDEX('Feijão 1ª safra'!$E50:$Z50,MIN(S$6-$G$3,22))),0)))))</f>
        <v>0</v>
      </c>
      <c r="T52" s="27" t="n">
        <f aca="false">IF(COUNT('Feijão 1ª safra'!$E50:$Z50)=0,0,MAX(0,IF((T$6-$E$3)&lt;1,0,IFERROR(LOOKUP(2,1/('Feijão 1ª safra'!$E50:INDEX('Feijão 1ª safra'!$E50:$Z50,MIN(T$6-$E$3,22))&lt;&gt;""),'Feijão 1ª safra'!$E50:INDEX('Feijão 1ª safra'!$E50:$Z50,MIN(T$6-$E$3,22))),0))-IF($G$2,0,IF((T$6-$G$3)&lt;1,0,IFERROR(LOOKUP(2,1/('Feijão 1ª safra'!$E50:INDEX('Feijão 1ª safra'!$E50:$Z50,MIN(T$6-$G$3,22))&lt;&gt;""),'Feijão 1ª safra'!$E50:INDEX('Feijão 1ª safra'!$E50:$Z50,MIN(T$6-$G$3,22))),0)))))</f>
        <v>0</v>
      </c>
      <c r="U52" s="27" t="n">
        <f aca="false">IF(COUNT('Feijão 1ª safra'!$E50:$Z50)=0,0,MAX(0,IF((U$6-$E$3)&lt;1,0,IFERROR(LOOKUP(2,1/('Feijão 1ª safra'!$E50:INDEX('Feijão 1ª safra'!$E50:$Z50,MIN(U$6-$E$3,22))&lt;&gt;""),'Feijão 1ª safra'!$E50:INDEX('Feijão 1ª safra'!$E50:$Z50,MIN(U$6-$E$3,22))),0))-IF($G$2,0,IF((U$6-$G$3)&lt;1,0,IFERROR(LOOKUP(2,1/('Feijão 1ª safra'!$E50:INDEX('Feijão 1ª safra'!$E50:$Z50,MIN(U$6-$G$3,22))&lt;&gt;""),'Feijão 1ª safra'!$E50:INDEX('Feijão 1ª safra'!$E50:$Z50,MIN(U$6-$G$3,22))),0)))))</f>
        <v>0</v>
      </c>
      <c r="V52" s="27" t="n">
        <f aca="false">IF(COUNT('Feijão 1ª safra'!$E50:$Z50)=0,0,MAX(0,IF((V$6-$E$3)&lt;1,0,IFERROR(LOOKUP(2,1/('Feijão 1ª safra'!$E50:INDEX('Feijão 1ª safra'!$E50:$Z50,MIN(V$6-$E$3,22))&lt;&gt;""),'Feijão 1ª safra'!$E50:INDEX('Feijão 1ª safra'!$E50:$Z50,MIN(V$6-$E$3,22))),0))-IF($G$2,0,IF((V$6-$G$3)&lt;1,0,IFERROR(LOOKUP(2,1/('Feijão 1ª safra'!$E50:INDEX('Feijão 1ª safra'!$E50:$Z50,MIN(V$6-$G$3,22))&lt;&gt;""),'Feijão 1ª safra'!$E50:INDEX('Feijão 1ª safra'!$E50:$Z50,MIN(V$6-$G$3,22))),0)))))</f>
        <v>0</v>
      </c>
      <c r="W52" s="27" t="n">
        <f aca="false">IF(COUNT('Feijão 1ª safra'!$E50:$Z50)=0,0,MAX(0,IF((W$6-$E$3)&lt;1,0,IFERROR(LOOKUP(2,1/('Feijão 1ª safra'!$E50:INDEX('Feijão 1ª safra'!$E50:$Z50,MIN(W$6-$E$3,22))&lt;&gt;""),'Feijão 1ª safra'!$E50:INDEX('Feijão 1ª safra'!$E50:$Z50,MIN(W$6-$E$3,22))),0))-IF($G$2,0,IF((W$6-$G$3)&lt;1,0,IFERROR(LOOKUP(2,1/('Feijão 1ª safra'!$E50:INDEX('Feijão 1ª safra'!$E50:$Z50,MIN(W$6-$G$3,22))&lt;&gt;""),'Feijão 1ª safra'!$E50:INDEX('Feijão 1ª safra'!$E50:$Z50,MIN(W$6-$G$3,22))),0)))))</f>
        <v>0</v>
      </c>
      <c r="X52" s="27" t="n">
        <f aca="false">IF(COUNT('Feijão 1ª safra'!$E50:$Z50)=0,0,MAX(0,IF((X$6-$E$3)&lt;1,0,IFERROR(LOOKUP(2,1/('Feijão 1ª safra'!$E50:INDEX('Feijão 1ª safra'!$E50:$Z50,MIN(X$6-$E$3,22))&lt;&gt;""),'Feijão 1ª safra'!$E50:INDEX('Feijão 1ª safra'!$E50:$Z50,MIN(X$6-$E$3,22))),0))-IF($G$2,0,IF((X$6-$G$3)&lt;1,0,IFERROR(LOOKUP(2,1/('Feijão 1ª safra'!$E50:INDEX('Feijão 1ª safra'!$E50:$Z50,MIN(X$6-$G$3,22))&lt;&gt;""),'Feijão 1ª safra'!$E50:INDEX('Feijão 1ª safra'!$E50:$Z50,MIN(X$6-$G$3,22))),0)))))</f>
        <v>0</v>
      </c>
      <c r="Y52" s="27" t="n">
        <f aca="false">IF(COUNT('Feijão 1ª safra'!$E50:$Z50)=0,0,MAX(0,IF((Y$6-$E$3)&lt;1,0,IFERROR(LOOKUP(2,1/('Feijão 1ª safra'!$E50:INDEX('Feijão 1ª safra'!$E50:$Z50,MIN(Y$6-$E$3,22))&lt;&gt;""),'Feijão 1ª safra'!$E50:INDEX('Feijão 1ª safra'!$E50:$Z50,MIN(Y$6-$E$3,22))),0))-IF($G$2,0,IF((Y$6-$G$3)&lt;1,0,IFERROR(LOOKUP(2,1/('Feijão 1ª safra'!$E50:INDEX('Feijão 1ª safra'!$E50:$Z50,MIN(Y$6-$G$3,22))&lt;&gt;""),'Feijão 1ª safra'!$E50:INDEX('Feijão 1ª safra'!$E50:$Z50,MIN(Y$6-$G$3,22))),0)))))</f>
        <v>0</v>
      </c>
      <c r="Z52" s="27" t="n">
        <f aca="false">IF(COUNT('Feijão 1ª safra'!$E50:$Z50)=0,0,MAX(0,IF((Z$6-$E$3)&lt;1,0,IFERROR(LOOKUP(2,1/('Feijão 1ª safra'!$E50:INDEX('Feijão 1ª safra'!$E50:$Z50,MIN(Z$6-$E$3,22))&lt;&gt;""),'Feijão 1ª safra'!$E50:INDEX('Feijão 1ª safra'!$E50:$Z50,MIN(Z$6-$E$3,22))),0))-IF($G$2,0,IF((Z$6-$G$3)&lt;1,0,IFERROR(LOOKUP(2,1/('Feijão 1ª safra'!$E50:INDEX('Feijão 1ª safra'!$E50:$Z50,MIN(Z$6-$G$3,22))&lt;&gt;""),'Feijão 1ª safra'!$E50:INDEX('Feijão 1ª safra'!$E50:$Z50,MIN(Z$6-$G$3,22))),0)))))</f>
        <v>0</v>
      </c>
      <c r="AA52" s="27" t="n">
        <f aca="false">IF(COUNT('Feijão 1ª safra'!$E50:$Z50)=0,0,MAX(0,IF((AA$6-$E$3)&lt;1,0,IFERROR(LOOKUP(2,1/('Feijão 1ª safra'!$E50:INDEX('Feijão 1ª safra'!$E50:$Z50,MIN(AA$6-$E$3,22))&lt;&gt;""),'Feijão 1ª safra'!$E50:INDEX('Feijão 1ª safra'!$E50:$Z50,MIN(AA$6-$E$3,22))),0))-IF($G$2,0,IF((AA$6-$G$3)&lt;1,0,IFERROR(LOOKUP(2,1/('Feijão 1ª safra'!$E50:INDEX('Feijão 1ª safra'!$E50:$Z50,MIN(AA$6-$G$3,22))&lt;&gt;""),'Feijão 1ª safra'!$E50:INDEX('Feijão 1ª safra'!$E50:$Z50,MIN(AA$6-$G$3,22))),0)))))</f>
        <v>0</v>
      </c>
      <c r="AB52" s="27" t="n">
        <f aca="false">IF(COUNT('Feijão 1ª safra'!$E50:$Z50)=0,0,MAX(0,IF((AB$6-$E$3)&lt;1,0,IFERROR(LOOKUP(2,1/('Feijão 1ª safra'!$E50:INDEX('Feijão 1ª safra'!$E50:$Z50,MIN(AB$6-$E$3,22))&lt;&gt;""),'Feijão 1ª safra'!$E50:INDEX('Feijão 1ª safra'!$E50:$Z50,MIN(AB$6-$E$3,22))),0))-IF($G$2,0,IF((AB$6-$G$3)&lt;1,0,IFERROR(LOOKUP(2,1/('Feijão 1ª safra'!$E50:INDEX('Feijão 1ª safra'!$E50:$Z50,MIN(AB$6-$G$3,22))&lt;&gt;""),'Feijão 1ª safra'!$E50:INDEX('Feijão 1ª safra'!$E50:$Z50,MIN(AB$6-$G$3,22))),0)))))</f>
        <v>0</v>
      </c>
      <c r="AC52" s="27" t="n">
        <f aca="false">IF(COUNT('Feijão 1ª safra'!$E50:$Z50)=0,0,MAX(0,IF((AC$6-$E$3)&lt;1,0,IFERROR(LOOKUP(2,1/('Feijão 1ª safra'!$E50:INDEX('Feijão 1ª safra'!$E50:$Z50,MIN(AC$6-$E$3,22))&lt;&gt;""),'Feijão 1ª safra'!$E50:INDEX('Feijão 1ª safra'!$E50:$Z50,MIN(AC$6-$E$3,22))),0))-IF($G$2,0,IF((AC$6-$G$3)&lt;1,0,IFERROR(LOOKUP(2,1/('Feijão 1ª safra'!$E50:INDEX('Feijão 1ª safra'!$E50:$Z50,MIN(AC$6-$G$3,22))&lt;&gt;""),'Feijão 1ª safra'!$E50:INDEX('Feijão 1ª safra'!$E50:$Z50,MIN(AC$6-$G$3,22))),0)))))</f>
        <v>0</v>
      </c>
      <c r="AD52" s="27" t="n">
        <f aca="false">IF(COUNT('Feijão 1ª safra'!$E50:$Z50)=0,0,MAX(0,IF((AD$6-$E$3)&lt;1,0,IFERROR(LOOKUP(2,1/('Feijão 1ª safra'!$E50:INDEX('Feijão 1ª safra'!$E50:$Z50,MIN(AD$6-$E$3,22))&lt;&gt;""),'Feijão 1ª safra'!$E50:INDEX('Feijão 1ª safra'!$E50:$Z50,MIN(AD$6-$E$3,22))),0))-IF($G$2,0,IF((AD$6-$G$3)&lt;1,0,IFERROR(LOOKUP(2,1/('Feijão 1ª safra'!$E50:INDEX('Feijão 1ª safra'!$E50:$Z50,MIN(AD$6-$G$3,22))&lt;&gt;""),'Feijão 1ª safra'!$E50:INDEX('Feijão 1ª safra'!$E50:$Z50,MIN(AD$6-$G$3,22))),0)))))</f>
        <v>0</v>
      </c>
      <c r="AE52" s="27" t="n">
        <f aca="false">IF(COUNT('Feijão 1ª safra'!$E50:$Z50)=0,0,MAX(0,IF((AE$6-$E$3)&lt;1,0,IFERROR(LOOKUP(2,1/('Feijão 1ª safra'!$E50:INDEX('Feijão 1ª safra'!$E50:$Z50,MIN(AE$6-$E$3,22))&lt;&gt;""),'Feijão 1ª safra'!$E50:INDEX('Feijão 1ª safra'!$E50:$Z50,MIN(AE$6-$E$3,22))),0))-IF($G$2,0,IF((AE$6-$G$3)&lt;1,0,IFERROR(LOOKUP(2,1/('Feijão 1ª safra'!$E50:INDEX('Feijão 1ª safra'!$E50:$Z50,MIN(AE$6-$G$3,22))&lt;&gt;""),'Feijão 1ª safra'!$E50:INDEX('Feijão 1ª safra'!$E50:$Z50,MIN(AE$6-$G$3,22))),0)))))</f>
        <v>0</v>
      </c>
      <c r="AF52" s="27" t="n">
        <f aca="false">IF(COUNT('Feijão 1ª safra'!$E50:$Z50)=0,0,MAX(0,IF((AF$6-$E$3)&lt;1,0,IFERROR(LOOKUP(2,1/('Feijão 1ª safra'!$E50:INDEX('Feijão 1ª safra'!$E50:$Z50,MIN(AF$6-$E$3,22))&lt;&gt;""),'Feijão 1ª safra'!$E50:INDEX('Feijão 1ª safra'!$E50:$Z50,MIN(AF$6-$E$3,22))),0))-IF($G$2,0,IF((AF$6-$G$3)&lt;1,0,IFERROR(LOOKUP(2,1/('Feijão 1ª safra'!$E50:INDEX('Feijão 1ª safra'!$E50:$Z50,MIN(AF$6-$G$3,22))&lt;&gt;""),'Feijão 1ª safra'!$E50:INDEX('Feijão 1ª safra'!$E50:$Z50,MIN(AF$6-$G$3,22))),0)))))</f>
        <v>0</v>
      </c>
      <c r="AG52" s="27" t="n">
        <f aca="false">IF(COUNT('Feijão 1ª safra'!$E50:$Z50)=0,0,MAX(0,IF((AG$6-$E$3)&lt;1,0,IFERROR(LOOKUP(2,1/('Feijão 1ª safra'!$E50:INDEX('Feijão 1ª safra'!$E50:$Z50,MIN(AG$6-$E$3,22))&lt;&gt;""),'Feijão 1ª safra'!$E50:INDEX('Feijão 1ª safra'!$E50:$Z50,MIN(AG$6-$E$3,22))),0))-IF($G$2,0,IF((AG$6-$G$3)&lt;1,0,IFERROR(LOOKUP(2,1/('Feijão 1ª safra'!$E50:INDEX('Feijão 1ª safra'!$E50:$Z50,MIN(AG$6-$G$3,22))&lt;&gt;""),'Feijão 1ª safra'!$E50:INDEX('Feijão 1ª safra'!$E50:$Z50,MIN(AG$6-$G$3,22))),0)))))</f>
        <v>0</v>
      </c>
      <c r="AH52" s="27" t="n">
        <f aca="false">IF(COUNT('Feijão 1ª safra'!$E50:$Z50)=0,0,MAX(0,IF((AH$6-$E$3)&lt;1,0,IFERROR(LOOKUP(2,1/('Feijão 1ª safra'!$E50:INDEX('Feijão 1ª safra'!$E50:$Z50,MIN(AH$6-$E$3,22))&lt;&gt;""),'Feijão 1ª safra'!$E50:INDEX('Feijão 1ª safra'!$E50:$Z50,MIN(AH$6-$E$3,22))),0))-IF($G$2,0,IF((AH$6-$G$3)&lt;1,0,IFERROR(LOOKUP(2,1/('Feijão 1ª safra'!$E50:INDEX('Feijão 1ª safra'!$E50:$Z50,MIN(AH$6-$G$3,22))&lt;&gt;""),'Feijão 1ª safra'!$E50:INDEX('Feijão 1ª safra'!$E50:$Z50,MIN(AH$6-$G$3,22))),0)))))</f>
        <v>0</v>
      </c>
      <c r="AI52" s="27" t="n">
        <f aca="false">IF(COUNT('Feijão 1ª safra'!$E50:$Z50)=0,0,MAX(0,IF((AI$6-$E$3)&lt;1,0,IFERROR(LOOKUP(2,1/('Feijão 1ª safra'!$E50:INDEX('Feijão 1ª safra'!$E50:$Z50,MIN(AI$6-$E$3,22))&lt;&gt;""),'Feijão 1ª safra'!$E50:INDEX('Feijão 1ª safra'!$E50:$Z50,MIN(AI$6-$E$3,22))),0))-IF($G$2,0,IF((AI$6-$G$3)&lt;1,0,IFERROR(LOOKUP(2,1/('Feijão 1ª safra'!$E50:INDEX('Feijão 1ª safra'!$E50:$Z50,MIN(AI$6-$G$3,22))&lt;&gt;""),'Feijão 1ª safra'!$E50:INDEX('Feijão 1ª safra'!$E50:$Z50,MIN(AI$6-$G$3,22))),0)))))</f>
        <v>0</v>
      </c>
      <c r="AJ52" s="27" t="n">
        <f aca="false">IF(COUNT('Feijão 1ª safra'!$E50:$Z50)=0,0,MAX(0,IF((AJ$6-$E$3)&lt;1,0,IFERROR(LOOKUP(2,1/('Feijão 1ª safra'!$E50:INDEX('Feijão 1ª safra'!$E50:$Z50,MIN(AJ$6-$E$3,22))&lt;&gt;""),'Feijão 1ª safra'!$E50:INDEX('Feijão 1ª safra'!$E50:$Z50,MIN(AJ$6-$E$3,22))),0))-IF($G$2,0,IF((AJ$6-$G$3)&lt;1,0,IFERROR(LOOKUP(2,1/('Feijão 1ª safra'!$E50:INDEX('Feijão 1ª safra'!$E50:$Z50,MIN(AJ$6-$G$3,22))&lt;&gt;""),'Feijão 1ª safra'!$E50:INDEX('Feijão 1ª safra'!$E50:$Z50,MIN(AJ$6-$G$3,22))),0)))))</f>
        <v>0</v>
      </c>
      <c r="AK52" s="27" t="n">
        <f aca="false">IF(COUNT('Feijão 1ª safra'!$E50:$Z50)=0,0,MAX(0,IF((AK$6-$E$3)&lt;1,0,IFERROR(LOOKUP(2,1/('Feijão 1ª safra'!$E50:INDEX('Feijão 1ª safra'!$E50:$Z50,MIN(AK$6-$E$3,22))&lt;&gt;""),'Feijão 1ª safra'!$E50:INDEX('Feijão 1ª safra'!$E50:$Z50,MIN(AK$6-$E$3,22))),0))-IF($G$2,0,IF((AK$6-$G$3)&lt;1,0,IFERROR(LOOKUP(2,1/('Feijão 1ª safra'!$E50:INDEX('Feijão 1ª safra'!$E50:$Z50,MIN(AK$6-$G$3,22))&lt;&gt;""),'Feijão 1ª safra'!$E50:INDEX('Feijão 1ª safra'!$E50:$Z50,MIN(AK$6-$G$3,22))),0)))))</f>
        <v>0</v>
      </c>
      <c r="AL52" s="27" t="n">
        <f aca="false">IF(COUNT('Feijão 1ª safra'!$E50:$Z50)=0,0,MAX(0,IF((AL$6-$E$3)&lt;1,0,IFERROR(LOOKUP(2,1/('Feijão 1ª safra'!$E50:INDEX('Feijão 1ª safra'!$E50:$Z50,MIN(AL$6-$E$3,22))&lt;&gt;""),'Feijão 1ª safra'!$E50:INDEX('Feijão 1ª safra'!$E50:$Z50,MIN(AL$6-$E$3,22))),0))-IF($G$2,0,IF((AL$6-$G$3)&lt;1,0,IFERROR(LOOKUP(2,1/('Feijão 1ª safra'!$E50:INDEX('Feijão 1ª safra'!$E50:$Z50,MIN(AL$6-$G$3,22))&lt;&gt;""),'Feijão 1ª safra'!$E50:INDEX('Feijão 1ª safra'!$E50:$Z50,MIN(AL$6-$G$3,22))),0)))))</f>
        <v>0</v>
      </c>
      <c r="AM52" s="27" t="n">
        <f aca="false">IF(COUNT('Feijão 1ª safra'!$E50:$Z50)=0,0,MAX(0,IF((AM$6-$E$3)&lt;1,0,IFERROR(LOOKUP(2,1/('Feijão 1ª safra'!$E50:INDEX('Feijão 1ª safra'!$E50:$Z50,MIN(AM$6-$E$3,22))&lt;&gt;""),'Feijão 1ª safra'!$E50:INDEX('Feijão 1ª safra'!$E50:$Z50,MIN(AM$6-$E$3,22))),0))-IF($G$2,0,IF((AM$6-$G$3)&lt;1,0,IFERROR(LOOKUP(2,1/('Feijão 1ª safra'!$E50:INDEX('Feijão 1ª safra'!$E50:$Z50,MIN(AM$6-$G$3,22))&lt;&gt;""),'Feijão 1ª safra'!$E50:INDEX('Feijão 1ª safra'!$E50:$Z50,MIN(AM$6-$G$3,22))),0)))))</f>
        <v>0</v>
      </c>
      <c r="AN52" s="27" t="n">
        <f aca="false">IF(COUNT('Feijão 1ª safra'!$E50:$Z50)=0,0,MAX(0,IF((AN$6-$E$3)&lt;1,0,IFERROR(LOOKUP(2,1/('Feijão 1ª safra'!$E50:INDEX('Feijão 1ª safra'!$E50:$Z50,MIN(AN$6-$E$3,22))&lt;&gt;""),'Feijão 1ª safra'!$E50:INDEX('Feijão 1ª safra'!$E50:$Z50,MIN(AN$6-$E$3,22))),0))-IF($G$2,0,IF((AN$6-$G$3)&lt;1,0,IFERROR(LOOKUP(2,1/('Feijão 1ª safra'!$E50:INDEX('Feijão 1ª safra'!$E50:$Z50,MIN(AN$6-$G$3,22))&lt;&gt;""),'Feijão 1ª safra'!$E50:INDEX('Feijão 1ª safra'!$E50:$Z50,MIN(AN$6-$G$3,22))),0)))))</f>
        <v>0</v>
      </c>
      <c r="AO52" s="27" t="n">
        <f aca="false">IF(COUNT('Feijão 1ª safra'!$E50:$Z50)=0,0,MAX(0,IF((AO$6-$E$3)&lt;1,0,IFERROR(LOOKUP(2,1/('Feijão 1ª safra'!$E50:INDEX('Feijão 1ª safra'!$E50:$Z50,MIN(AO$6-$E$3,22))&lt;&gt;""),'Feijão 1ª safra'!$E50:INDEX('Feijão 1ª safra'!$E50:$Z50,MIN(AO$6-$E$3,22))),0))-IF($G$2,0,IF((AO$6-$G$3)&lt;1,0,IFERROR(LOOKUP(2,1/('Feijão 1ª safra'!$E50:INDEX('Feijão 1ª safra'!$E50:$Z50,MIN(AO$6-$G$3,22))&lt;&gt;""),'Feijão 1ª safra'!$E50:INDEX('Feijão 1ª safra'!$E50:$Z50,MIN(AO$6-$G$3,22))),0)))))</f>
        <v>0</v>
      </c>
      <c r="AP52" s="27" t="n">
        <f aca="false">IF(COUNT('Feijão 1ª safra'!$E50:$Z50)=0,0,MAX(0,IF((AP$6-$E$3)&lt;1,0,IFERROR(LOOKUP(2,1/('Feijão 1ª safra'!$E50:INDEX('Feijão 1ª safra'!$E50:$Z50,MIN(AP$6-$E$3,22))&lt;&gt;""),'Feijão 1ª safra'!$E50:INDEX('Feijão 1ª safra'!$E50:$Z50,MIN(AP$6-$E$3,22))),0))-IF($G$2,0,IF((AP$6-$G$3)&lt;1,0,IFERROR(LOOKUP(2,1/('Feijão 1ª safra'!$E50:INDEX('Feijão 1ª safra'!$E50:$Z50,MIN(AP$6-$G$3,22))&lt;&gt;""),'Feijão 1ª safra'!$E50:INDEX('Feijão 1ª safra'!$E50:$Z50,MIN(AP$6-$G$3,22))),0)))))</f>
        <v>0</v>
      </c>
      <c r="AQ52" s="27" t="n">
        <f aca="false">IF(COUNT('Feijão 1ª safra'!$E50:$Z50)=0,0,MAX(0,IF((AQ$6-$E$3)&lt;1,0,IFERROR(LOOKUP(2,1/('Feijão 1ª safra'!$E50:INDEX('Feijão 1ª safra'!$E50:$Z50,MIN(AQ$6-$E$3,22))&lt;&gt;""),'Feijão 1ª safra'!$E50:INDEX('Feijão 1ª safra'!$E50:$Z50,MIN(AQ$6-$E$3,22))),0))-IF($G$2,0,IF((AQ$6-$G$3)&lt;1,0,IFERROR(LOOKUP(2,1/('Feijão 1ª safra'!$E50:INDEX('Feijão 1ª safra'!$E50:$Z50,MIN(AQ$6-$G$3,22))&lt;&gt;""),'Feijão 1ª safra'!$E50:INDEX('Feijão 1ª safra'!$E50:$Z50,MIN(AQ$6-$G$3,22))),0)))))</f>
        <v>0</v>
      </c>
      <c r="AR52" s="27" t="n">
        <f aca="false">IF(COUNT('Feijão 1ª safra'!$E50:$Z50)=0,0,MAX(0,IF((AR$6-$E$3)&lt;1,0,IFERROR(LOOKUP(2,1/('Feijão 1ª safra'!$E50:INDEX('Feijão 1ª safra'!$E50:$Z50,MIN(AR$6-$E$3,22))&lt;&gt;""),'Feijão 1ª safra'!$E50:INDEX('Feijão 1ª safra'!$E50:$Z50,MIN(AR$6-$E$3,22))),0))-IF($G$2,0,IF((AR$6-$G$3)&lt;1,0,IFERROR(LOOKUP(2,1/('Feijão 1ª safra'!$E50:INDEX('Feijão 1ª safra'!$E50:$Z50,MIN(AR$6-$G$3,22))&lt;&gt;""),'Feijão 1ª safra'!$E50:INDEX('Feijão 1ª safra'!$E50:$Z50,MIN(AR$6-$G$3,22))),0)))))</f>
        <v>0</v>
      </c>
      <c r="AS52" s="27" t="n">
        <f aca="false">IF(COUNT('Feijão 1ª safra'!$E50:$Z50)=0,0,MAX(0,IF((AS$6-$E$3)&lt;1,0,IFERROR(LOOKUP(2,1/('Feijão 1ª safra'!$E50:INDEX('Feijão 1ª safra'!$E50:$Z50,MIN(AS$6-$E$3,22))&lt;&gt;""),'Feijão 1ª safra'!$E50:INDEX('Feijão 1ª safra'!$E50:$Z50,MIN(AS$6-$E$3,22))),0))-IF($G$2,0,IF((AS$6-$G$3)&lt;1,0,IFERROR(LOOKUP(2,1/('Feijão 1ª safra'!$E50:INDEX('Feijão 1ª safra'!$E50:$Z50,MIN(AS$6-$G$3,22))&lt;&gt;""),'Feijão 1ª safra'!$E50:INDEX('Feijão 1ª safra'!$E50:$Z50,MIN(AS$6-$G$3,22))),0)))))</f>
        <v>0</v>
      </c>
      <c r="AT52" s="27" t="n">
        <f aca="false">IF(COUNT('Feijão 1ª safra'!$E50:$Z50)=0,0,MAX(0,IF((AT$6-$E$3)&lt;1,0,IFERROR(LOOKUP(2,1/('Feijão 1ª safra'!$E50:INDEX('Feijão 1ª safra'!$E50:$Z50,MIN(AT$6-$E$3,22))&lt;&gt;""),'Feijão 1ª safra'!$E50:INDEX('Feijão 1ª safra'!$E50:$Z50,MIN(AT$6-$E$3,22))),0))-IF($G$2,0,IF((AT$6-$G$3)&lt;1,0,IFERROR(LOOKUP(2,1/('Feijão 1ª safra'!$E50:INDEX('Feijão 1ª safra'!$E50:$Z50,MIN(AT$6-$G$3,22))&lt;&gt;""),'Feijão 1ª safra'!$E50:INDEX('Feijão 1ª safra'!$E50:$Z50,MIN(AT$6-$G$3,22))),0)))))</f>
        <v>0</v>
      </c>
      <c r="AU52" s="27" t="n">
        <f aca="false">IF(COUNT('Feijão 1ª safra'!$E50:$Z50)=0,0,MAX(0,IF((AU$6-$E$3)&lt;1,0,IFERROR(LOOKUP(2,1/('Feijão 1ª safra'!$E50:INDEX('Feijão 1ª safra'!$E50:$Z50,MIN(AU$6-$E$3,22))&lt;&gt;""),'Feijão 1ª safra'!$E50:INDEX('Feijão 1ª safra'!$E50:$Z50,MIN(AU$6-$E$3,22))),0))-IF($G$2,0,IF((AU$6-$G$3)&lt;1,0,IFERROR(LOOKUP(2,1/('Feijão 1ª safra'!$E50:INDEX('Feijão 1ª safra'!$E50:$Z50,MIN(AU$6-$G$3,22))&lt;&gt;""),'Feijão 1ª safra'!$E50:INDEX('Feijão 1ª safra'!$E50:$Z50,MIN(AU$6-$G$3,22))),0)))))</f>
        <v>0</v>
      </c>
      <c r="AV52" s="27" t="n">
        <f aca="false">IF(COUNT('Feijão 1ª safra'!$E50:$Z50)=0,0,MAX(0,IF((AV$6-$E$3)&lt;1,0,IFERROR(LOOKUP(2,1/('Feijão 1ª safra'!$E50:INDEX('Feijão 1ª safra'!$E50:$Z50,MIN(AV$6-$E$3,22))&lt;&gt;""),'Feijão 1ª safra'!$E50:INDEX('Feijão 1ª safra'!$E50:$Z50,MIN(AV$6-$E$3,22))),0))-IF($G$2,0,IF((AV$6-$G$3)&lt;1,0,IFERROR(LOOKUP(2,1/('Feijão 1ª safra'!$E50:INDEX('Feijão 1ª safra'!$E50:$Z50,MIN(AV$6-$G$3,22))&lt;&gt;""),'Feijão 1ª safra'!$E50:INDEX('Feijão 1ª safra'!$E50:$Z50,MIN(AV$6-$G$3,22))),0)))))</f>
        <v>0</v>
      </c>
      <c r="AW52" s="27" t="n">
        <f aca="false">IF(COUNT('Feijão 1ª safra'!$E50:$Z50)=0,0,MAX(0,IF((AW$6-$E$3)&lt;1,0,IFERROR(LOOKUP(2,1/('Feijão 1ª safra'!$E50:INDEX('Feijão 1ª safra'!$E50:$Z50,MIN(AW$6-$E$3,22))&lt;&gt;""),'Feijão 1ª safra'!$E50:INDEX('Feijão 1ª safra'!$E50:$Z50,MIN(AW$6-$E$3,22))),0))-IF($G$2,0,IF((AW$6-$G$3)&lt;1,0,IFERROR(LOOKUP(2,1/('Feijão 1ª safra'!$E50:INDEX('Feijão 1ª safra'!$E50:$Z50,MIN(AW$6-$G$3,22))&lt;&gt;""),'Feijão 1ª safra'!$E50:INDEX('Feijão 1ª safra'!$E50:$Z50,MIN(AW$6-$G$3,22))),0)))))</f>
        <v>0</v>
      </c>
      <c r="AX52" s="27" t="n">
        <f aca="false">IF(COUNT('Feijão 1ª safra'!$E50:$Z50)=0,0,MAX(0,IF((AX$6-$E$3)&lt;1,0,IFERROR(LOOKUP(2,1/('Feijão 1ª safra'!$E50:INDEX('Feijão 1ª safra'!$E50:$Z50,MIN(AX$6-$E$3,22))&lt;&gt;""),'Feijão 1ª safra'!$E50:INDEX('Feijão 1ª safra'!$E50:$Z50,MIN(AX$6-$E$3,22))),0))-IF($G$2,0,IF((AX$6-$G$3)&lt;1,0,IFERROR(LOOKUP(2,1/('Feijão 1ª safra'!$E50:INDEX('Feijão 1ª safra'!$E50:$Z50,MIN(AX$6-$G$3,22))&lt;&gt;""),'Feijão 1ª safra'!$E50:INDEX('Feijão 1ª safra'!$E50:$Z50,MIN(AX$6-$G$3,22))),0)))))</f>
        <v>0</v>
      </c>
      <c r="AY52" s="27" t="n">
        <f aca="false">IF(COUNT('Feijão 1ª safra'!$E50:$Z50)=0,0,MAX(0,IF((AY$6-$E$3)&lt;1,0,IFERROR(LOOKUP(2,1/('Feijão 1ª safra'!$E50:INDEX('Feijão 1ª safra'!$E50:$Z50,MIN(AY$6-$E$3,22))&lt;&gt;""),'Feijão 1ª safra'!$E50:INDEX('Feijão 1ª safra'!$E50:$Z50,MIN(AY$6-$E$3,22))),0))-IF($G$2,0,IF((AY$6-$G$3)&lt;1,0,IFERROR(LOOKUP(2,1/('Feijão 1ª safra'!$E50:INDEX('Feijão 1ª safra'!$E50:$Z50,MIN(AY$6-$G$3,22))&lt;&gt;""),'Feijão 1ª safra'!$E50:INDEX('Feijão 1ª safra'!$E50:$Z50,MIN(AY$6-$G$3,22))),0)))))</f>
        <v>0</v>
      </c>
      <c r="AZ52" s="27" t="n">
        <f aca="false">IF(COUNT('Feijão 1ª safra'!$E50:$Z50)=0,0,MAX(0,IF((AZ$6-$E$3)&lt;1,0,IFERROR(LOOKUP(2,1/('Feijão 1ª safra'!$E50:INDEX('Feijão 1ª safra'!$E50:$Z50,MIN(AZ$6-$E$3,22))&lt;&gt;""),'Feijão 1ª safra'!$E50:INDEX('Feijão 1ª safra'!$E50:$Z50,MIN(AZ$6-$E$3,22))),0))-IF($G$2,0,IF((AZ$6-$G$3)&lt;1,0,IFERROR(LOOKUP(2,1/('Feijão 1ª safra'!$E50:INDEX('Feijão 1ª safra'!$E50:$Z50,MIN(AZ$6-$G$3,22))&lt;&gt;""),'Feijão 1ª safra'!$E50:INDEX('Feijão 1ª safra'!$E50:$Z50,MIN(AZ$6-$G$3,22))),0)))))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IF(COUNT('Feijão 1ª safra'!$E51:$Z51)&gt;0,N('Feijão 1ª safra'!$D51),0)</f>
        <v>0</v>
      </c>
      <c r="E53" s="27" t="n">
        <f aca="false">IF(COUNT('Feijão 1ª safra'!$E51:$Z51)=0,0,MAX(0,IF((E$6-$E$3)&lt;1,0,IFERROR(LOOKUP(2,1/('Feijão 1ª safra'!$E51:INDEX('Feijão 1ª safra'!$E51:$Z51,MIN(E$6-$E$3,22))&lt;&gt;""),'Feijão 1ª safra'!$E51:INDEX('Feijão 1ª safra'!$E51:$Z51,MIN(E$6-$E$3,22))),0))-IF($G$2,0,IF((E$6-$G$3)&lt;1,0,IFERROR(LOOKUP(2,1/('Feijão 1ª safra'!$E51:INDEX('Feijão 1ª safra'!$E51:$Z51,MIN(E$6-$G$3,22))&lt;&gt;""),'Feijão 1ª safra'!$E51:INDEX('Feijão 1ª safra'!$E51:$Z51,MIN(E$6-$G$3,22))),0)))))</f>
        <v>0</v>
      </c>
      <c r="F53" s="27" t="n">
        <f aca="false">IF(COUNT('Feijão 1ª safra'!$E51:$Z51)=0,0,MAX(0,IF((F$6-$E$3)&lt;1,0,IFERROR(LOOKUP(2,1/('Feijão 1ª safra'!$E51:INDEX('Feijão 1ª safra'!$E51:$Z51,MIN(F$6-$E$3,22))&lt;&gt;""),'Feijão 1ª safra'!$E51:INDEX('Feijão 1ª safra'!$E51:$Z51,MIN(F$6-$E$3,22))),0))-IF($G$2,0,IF((F$6-$G$3)&lt;1,0,IFERROR(LOOKUP(2,1/('Feijão 1ª safra'!$E51:INDEX('Feijão 1ª safra'!$E51:$Z51,MIN(F$6-$G$3,22))&lt;&gt;""),'Feijão 1ª safra'!$E51:INDEX('Feijão 1ª safra'!$E51:$Z51,MIN(F$6-$G$3,22))),0)))))</f>
        <v>0</v>
      </c>
      <c r="G53" s="27" t="n">
        <f aca="false">IF(COUNT('Feijão 1ª safra'!$E51:$Z51)=0,0,MAX(0,IF((G$6-$E$3)&lt;1,0,IFERROR(LOOKUP(2,1/('Feijão 1ª safra'!$E51:INDEX('Feijão 1ª safra'!$E51:$Z51,MIN(G$6-$E$3,22))&lt;&gt;""),'Feijão 1ª safra'!$E51:INDEX('Feijão 1ª safra'!$E51:$Z51,MIN(G$6-$E$3,22))),0))-IF($G$2,0,IF((G$6-$G$3)&lt;1,0,IFERROR(LOOKUP(2,1/('Feijão 1ª safra'!$E51:INDEX('Feijão 1ª safra'!$E51:$Z51,MIN(G$6-$G$3,22))&lt;&gt;""),'Feijão 1ª safra'!$E51:INDEX('Feijão 1ª safra'!$E51:$Z51,MIN(G$6-$G$3,22))),0)))))</f>
        <v>0</v>
      </c>
      <c r="H53" s="27" t="n">
        <f aca="false">IF(COUNT('Feijão 1ª safra'!$E51:$Z51)=0,0,MAX(0,IF((H$6-$E$3)&lt;1,0,IFERROR(LOOKUP(2,1/('Feijão 1ª safra'!$E51:INDEX('Feijão 1ª safra'!$E51:$Z51,MIN(H$6-$E$3,22))&lt;&gt;""),'Feijão 1ª safra'!$E51:INDEX('Feijão 1ª safra'!$E51:$Z51,MIN(H$6-$E$3,22))),0))-IF($G$2,0,IF((H$6-$G$3)&lt;1,0,IFERROR(LOOKUP(2,1/('Feijão 1ª safra'!$E51:INDEX('Feijão 1ª safra'!$E51:$Z51,MIN(H$6-$G$3,22))&lt;&gt;""),'Feijão 1ª safra'!$E51:INDEX('Feijão 1ª safra'!$E51:$Z51,MIN(H$6-$G$3,22))),0)))))</f>
        <v>0</v>
      </c>
      <c r="I53" s="27" t="n">
        <f aca="false">IF(COUNT('Feijão 1ª safra'!$E51:$Z51)=0,0,MAX(0,IF((I$6-$E$3)&lt;1,0,IFERROR(LOOKUP(2,1/('Feijão 1ª safra'!$E51:INDEX('Feijão 1ª safra'!$E51:$Z51,MIN(I$6-$E$3,22))&lt;&gt;""),'Feijão 1ª safra'!$E51:INDEX('Feijão 1ª safra'!$E51:$Z51,MIN(I$6-$E$3,22))),0))-IF($G$2,0,IF((I$6-$G$3)&lt;1,0,IFERROR(LOOKUP(2,1/('Feijão 1ª safra'!$E51:INDEX('Feijão 1ª safra'!$E51:$Z51,MIN(I$6-$G$3,22))&lt;&gt;""),'Feijão 1ª safra'!$E51:INDEX('Feijão 1ª safra'!$E51:$Z51,MIN(I$6-$G$3,22))),0)))))</f>
        <v>0</v>
      </c>
      <c r="J53" s="27" t="n">
        <f aca="false">IF(COUNT('Feijão 1ª safra'!$E51:$Z51)=0,0,MAX(0,IF((J$6-$E$3)&lt;1,0,IFERROR(LOOKUP(2,1/('Feijão 1ª safra'!$E51:INDEX('Feijão 1ª safra'!$E51:$Z51,MIN(J$6-$E$3,22))&lt;&gt;""),'Feijão 1ª safra'!$E51:INDEX('Feijão 1ª safra'!$E51:$Z51,MIN(J$6-$E$3,22))),0))-IF($G$2,0,IF((J$6-$G$3)&lt;1,0,IFERROR(LOOKUP(2,1/('Feijão 1ª safra'!$E51:INDEX('Feijão 1ª safra'!$E51:$Z51,MIN(J$6-$G$3,22))&lt;&gt;""),'Feijão 1ª safra'!$E51:INDEX('Feijão 1ª safra'!$E51:$Z51,MIN(J$6-$G$3,22))),0)))))</f>
        <v>0</v>
      </c>
      <c r="K53" s="27" t="n">
        <f aca="false">IF(COUNT('Feijão 1ª safra'!$E51:$Z51)=0,0,MAX(0,IF((K$6-$E$3)&lt;1,0,IFERROR(LOOKUP(2,1/('Feijão 1ª safra'!$E51:INDEX('Feijão 1ª safra'!$E51:$Z51,MIN(K$6-$E$3,22))&lt;&gt;""),'Feijão 1ª safra'!$E51:INDEX('Feijão 1ª safra'!$E51:$Z51,MIN(K$6-$E$3,22))),0))-IF($G$2,0,IF((K$6-$G$3)&lt;1,0,IFERROR(LOOKUP(2,1/('Feijão 1ª safra'!$E51:INDEX('Feijão 1ª safra'!$E51:$Z51,MIN(K$6-$G$3,22))&lt;&gt;""),'Feijão 1ª safra'!$E51:INDEX('Feijão 1ª safra'!$E51:$Z51,MIN(K$6-$G$3,22))),0)))))</f>
        <v>0</v>
      </c>
      <c r="L53" s="27" t="n">
        <f aca="false">IF(COUNT('Feijão 1ª safra'!$E51:$Z51)=0,0,MAX(0,IF((L$6-$E$3)&lt;1,0,IFERROR(LOOKUP(2,1/('Feijão 1ª safra'!$E51:INDEX('Feijão 1ª safra'!$E51:$Z51,MIN(L$6-$E$3,22))&lt;&gt;""),'Feijão 1ª safra'!$E51:INDEX('Feijão 1ª safra'!$E51:$Z51,MIN(L$6-$E$3,22))),0))-IF($G$2,0,IF((L$6-$G$3)&lt;1,0,IFERROR(LOOKUP(2,1/('Feijão 1ª safra'!$E51:INDEX('Feijão 1ª safra'!$E51:$Z51,MIN(L$6-$G$3,22))&lt;&gt;""),'Feijão 1ª safra'!$E51:INDEX('Feijão 1ª safra'!$E51:$Z51,MIN(L$6-$G$3,22))),0)))))</f>
        <v>0</v>
      </c>
      <c r="M53" s="27" t="n">
        <f aca="false">IF(COUNT('Feijão 1ª safra'!$E51:$Z51)=0,0,MAX(0,IF((M$6-$E$3)&lt;1,0,IFERROR(LOOKUP(2,1/('Feijão 1ª safra'!$E51:INDEX('Feijão 1ª safra'!$E51:$Z51,MIN(M$6-$E$3,22))&lt;&gt;""),'Feijão 1ª safra'!$E51:INDEX('Feijão 1ª safra'!$E51:$Z51,MIN(M$6-$E$3,22))),0))-IF($G$2,0,IF((M$6-$G$3)&lt;1,0,IFERROR(LOOKUP(2,1/('Feijão 1ª safra'!$E51:INDEX('Feijão 1ª safra'!$E51:$Z51,MIN(M$6-$G$3,22))&lt;&gt;""),'Feijão 1ª safra'!$E51:INDEX('Feijão 1ª safra'!$E51:$Z51,MIN(M$6-$G$3,22))),0)))))</f>
        <v>0</v>
      </c>
      <c r="N53" s="27" t="n">
        <f aca="false">IF(COUNT('Feijão 1ª safra'!$E51:$Z51)=0,0,MAX(0,IF((N$6-$E$3)&lt;1,0,IFERROR(LOOKUP(2,1/('Feijão 1ª safra'!$E51:INDEX('Feijão 1ª safra'!$E51:$Z51,MIN(N$6-$E$3,22))&lt;&gt;""),'Feijão 1ª safra'!$E51:INDEX('Feijão 1ª safra'!$E51:$Z51,MIN(N$6-$E$3,22))),0))-IF($G$2,0,IF((N$6-$G$3)&lt;1,0,IFERROR(LOOKUP(2,1/('Feijão 1ª safra'!$E51:INDEX('Feijão 1ª safra'!$E51:$Z51,MIN(N$6-$G$3,22))&lt;&gt;""),'Feijão 1ª safra'!$E51:INDEX('Feijão 1ª safra'!$E51:$Z51,MIN(N$6-$G$3,22))),0)))))</f>
        <v>0</v>
      </c>
      <c r="O53" s="27" t="n">
        <f aca="false">IF(COUNT('Feijão 1ª safra'!$E51:$Z51)=0,0,MAX(0,IF((O$6-$E$3)&lt;1,0,IFERROR(LOOKUP(2,1/('Feijão 1ª safra'!$E51:INDEX('Feijão 1ª safra'!$E51:$Z51,MIN(O$6-$E$3,22))&lt;&gt;""),'Feijão 1ª safra'!$E51:INDEX('Feijão 1ª safra'!$E51:$Z51,MIN(O$6-$E$3,22))),0))-IF($G$2,0,IF((O$6-$G$3)&lt;1,0,IFERROR(LOOKUP(2,1/('Feijão 1ª safra'!$E51:INDEX('Feijão 1ª safra'!$E51:$Z51,MIN(O$6-$G$3,22))&lt;&gt;""),'Feijão 1ª safra'!$E51:INDEX('Feijão 1ª safra'!$E51:$Z51,MIN(O$6-$G$3,22))),0)))))</f>
        <v>0</v>
      </c>
      <c r="P53" s="27" t="n">
        <f aca="false">IF(COUNT('Feijão 1ª safra'!$E51:$Z51)=0,0,MAX(0,IF((P$6-$E$3)&lt;1,0,IFERROR(LOOKUP(2,1/('Feijão 1ª safra'!$E51:INDEX('Feijão 1ª safra'!$E51:$Z51,MIN(P$6-$E$3,22))&lt;&gt;""),'Feijão 1ª safra'!$E51:INDEX('Feijão 1ª safra'!$E51:$Z51,MIN(P$6-$E$3,22))),0))-IF($G$2,0,IF((P$6-$G$3)&lt;1,0,IFERROR(LOOKUP(2,1/('Feijão 1ª safra'!$E51:INDEX('Feijão 1ª safra'!$E51:$Z51,MIN(P$6-$G$3,22))&lt;&gt;""),'Feijão 1ª safra'!$E51:INDEX('Feijão 1ª safra'!$E51:$Z51,MIN(P$6-$G$3,22))),0)))))</f>
        <v>0</v>
      </c>
      <c r="Q53" s="27" t="n">
        <f aca="false">IF(COUNT('Feijão 1ª safra'!$E51:$Z51)=0,0,MAX(0,IF((Q$6-$E$3)&lt;1,0,IFERROR(LOOKUP(2,1/('Feijão 1ª safra'!$E51:INDEX('Feijão 1ª safra'!$E51:$Z51,MIN(Q$6-$E$3,22))&lt;&gt;""),'Feijão 1ª safra'!$E51:INDEX('Feijão 1ª safra'!$E51:$Z51,MIN(Q$6-$E$3,22))),0))-IF($G$2,0,IF((Q$6-$G$3)&lt;1,0,IFERROR(LOOKUP(2,1/('Feijão 1ª safra'!$E51:INDEX('Feijão 1ª safra'!$E51:$Z51,MIN(Q$6-$G$3,22))&lt;&gt;""),'Feijão 1ª safra'!$E51:INDEX('Feijão 1ª safra'!$E51:$Z51,MIN(Q$6-$G$3,22))),0)))))</f>
        <v>0</v>
      </c>
      <c r="R53" s="27" t="n">
        <f aca="false">IF(COUNT('Feijão 1ª safra'!$E51:$Z51)=0,0,MAX(0,IF((R$6-$E$3)&lt;1,0,IFERROR(LOOKUP(2,1/('Feijão 1ª safra'!$E51:INDEX('Feijão 1ª safra'!$E51:$Z51,MIN(R$6-$E$3,22))&lt;&gt;""),'Feijão 1ª safra'!$E51:INDEX('Feijão 1ª safra'!$E51:$Z51,MIN(R$6-$E$3,22))),0))-IF($G$2,0,IF((R$6-$G$3)&lt;1,0,IFERROR(LOOKUP(2,1/('Feijão 1ª safra'!$E51:INDEX('Feijão 1ª safra'!$E51:$Z51,MIN(R$6-$G$3,22))&lt;&gt;""),'Feijão 1ª safra'!$E51:INDEX('Feijão 1ª safra'!$E51:$Z51,MIN(R$6-$G$3,22))),0)))))</f>
        <v>0</v>
      </c>
      <c r="S53" s="27" t="n">
        <f aca="false">IF(COUNT('Feijão 1ª safra'!$E51:$Z51)=0,0,MAX(0,IF((S$6-$E$3)&lt;1,0,IFERROR(LOOKUP(2,1/('Feijão 1ª safra'!$E51:INDEX('Feijão 1ª safra'!$E51:$Z51,MIN(S$6-$E$3,22))&lt;&gt;""),'Feijão 1ª safra'!$E51:INDEX('Feijão 1ª safra'!$E51:$Z51,MIN(S$6-$E$3,22))),0))-IF($G$2,0,IF((S$6-$G$3)&lt;1,0,IFERROR(LOOKUP(2,1/('Feijão 1ª safra'!$E51:INDEX('Feijão 1ª safra'!$E51:$Z51,MIN(S$6-$G$3,22))&lt;&gt;""),'Feijão 1ª safra'!$E51:INDEX('Feijão 1ª safra'!$E51:$Z51,MIN(S$6-$G$3,22))),0)))))</f>
        <v>0</v>
      </c>
      <c r="T53" s="27" t="n">
        <f aca="false">IF(COUNT('Feijão 1ª safra'!$E51:$Z51)=0,0,MAX(0,IF((T$6-$E$3)&lt;1,0,IFERROR(LOOKUP(2,1/('Feijão 1ª safra'!$E51:INDEX('Feijão 1ª safra'!$E51:$Z51,MIN(T$6-$E$3,22))&lt;&gt;""),'Feijão 1ª safra'!$E51:INDEX('Feijão 1ª safra'!$E51:$Z51,MIN(T$6-$E$3,22))),0))-IF($G$2,0,IF((T$6-$G$3)&lt;1,0,IFERROR(LOOKUP(2,1/('Feijão 1ª safra'!$E51:INDEX('Feijão 1ª safra'!$E51:$Z51,MIN(T$6-$G$3,22))&lt;&gt;""),'Feijão 1ª safra'!$E51:INDEX('Feijão 1ª safra'!$E51:$Z51,MIN(T$6-$G$3,22))),0)))))</f>
        <v>0</v>
      </c>
      <c r="U53" s="27" t="n">
        <f aca="false">IF(COUNT('Feijão 1ª safra'!$E51:$Z51)=0,0,MAX(0,IF((U$6-$E$3)&lt;1,0,IFERROR(LOOKUP(2,1/('Feijão 1ª safra'!$E51:INDEX('Feijão 1ª safra'!$E51:$Z51,MIN(U$6-$E$3,22))&lt;&gt;""),'Feijão 1ª safra'!$E51:INDEX('Feijão 1ª safra'!$E51:$Z51,MIN(U$6-$E$3,22))),0))-IF($G$2,0,IF((U$6-$G$3)&lt;1,0,IFERROR(LOOKUP(2,1/('Feijão 1ª safra'!$E51:INDEX('Feijão 1ª safra'!$E51:$Z51,MIN(U$6-$G$3,22))&lt;&gt;""),'Feijão 1ª safra'!$E51:INDEX('Feijão 1ª safra'!$E51:$Z51,MIN(U$6-$G$3,22))),0)))))</f>
        <v>0</v>
      </c>
      <c r="V53" s="27" t="n">
        <f aca="false">IF(COUNT('Feijão 1ª safra'!$E51:$Z51)=0,0,MAX(0,IF((V$6-$E$3)&lt;1,0,IFERROR(LOOKUP(2,1/('Feijão 1ª safra'!$E51:INDEX('Feijão 1ª safra'!$E51:$Z51,MIN(V$6-$E$3,22))&lt;&gt;""),'Feijão 1ª safra'!$E51:INDEX('Feijão 1ª safra'!$E51:$Z51,MIN(V$6-$E$3,22))),0))-IF($G$2,0,IF((V$6-$G$3)&lt;1,0,IFERROR(LOOKUP(2,1/('Feijão 1ª safra'!$E51:INDEX('Feijão 1ª safra'!$E51:$Z51,MIN(V$6-$G$3,22))&lt;&gt;""),'Feijão 1ª safra'!$E51:INDEX('Feijão 1ª safra'!$E51:$Z51,MIN(V$6-$G$3,22))),0)))))</f>
        <v>0</v>
      </c>
      <c r="W53" s="27" t="n">
        <f aca="false">IF(COUNT('Feijão 1ª safra'!$E51:$Z51)=0,0,MAX(0,IF((W$6-$E$3)&lt;1,0,IFERROR(LOOKUP(2,1/('Feijão 1ª safra'!$E51:INDEX('Feijão 1ª safra'!$E51:$Z51,MIN(W$6-$E$3,22))&lt;&gt;""),'Feijão 1ª safra'!$E51:INDEX('Feijão 1ª safra'!$E51:$Z51,MIN(W$6-$E$3,22))),0))-IF($G$2,0,IF((W$6-$G$3)&lt;1,0,IFERROR(LOOKUP(2,1/('Feijão 1ª safra'!$E51:INDEX('Feijão 1ª safra'!$E51:$Z51,MIN(W$6-$G$3,22))&lt;&gt;""),'Feijão 1ª safra'!$E51:INDEX('Feijão 1ª safra'!$E51:$Z51,MIN(W$6-$G$3,22))),0)))))</f>
        <v>0</v>
      </c>
      <c r="X53" s="27" t="n">
        <f aca="false">IF(COUNT('Feijão 1ª safra'!$E51:$Z51)=0,0,MAX(0,IF((X$6-$E$3)&lt;1,0,IFERROR(LOOKUP(2,1/('Feijão 1ª safra'!$E51:INDEX('Feijão 1ª safra'!$E51:$Z51,MIN(X$6-$E$3,22))&lt;&gt;""),'Feijão 1ª safra'!$E51:INDEX('Feijão 1ª safra'!$E51:$Z51,MIN(X$6-$E$3,22))),0))-IF($G$2,0,IF((X$6-$G$3)&lt;1,0,IFERROR(LOOKUP(2,1/('Feijão 1ª safra'!$E51:INDEX('Feijão 1ª safra'!$E51:$Z51,MIN(X$6-$G$3,22))&lt;&gt;""),'Feijão 1ª safra'!$E51:INDEX('Feijão 1ª safra'!$E51:$Z51,MIN(X$6-$G$3,22))),0)))))</f>
        <v>0</v>
      </c>
      <c r="Y53" s="27" t="n">
        <f aca="false">IF(COUNT('Feijão 1ª safra'!$E51:$Z51)=0,0,MAX(0,IF((Y$6-$E$3)&lt;1,0,IFERROR(LOOKUP(2,1/('Feijão 1ª safra'!$E51:INDEX('Feijão 1ª safra'!$E51:$Z51,MIN(Y$6-$E$3,22))&lt;&gt;""),'Feijão 1ª safra'!$E51:INDEX('Feijão 1ª safra'!$E51:$Z51,MIN(Y$6-$E$3,22))),0))-IF($G$2,0,IF((Y$6-$G$3)&lt;1,0,IFERROR(LOOKUP(2,1/('Feijão 1ª safra'!$E51:INDEX('Feijão 1ª safra'!$E51:$Z51,MIN(Y$6-$G$3,22))&lt;&gt;""),'Feijão 1ª safra'!$E51:INDEX('Feijão 1ª safra'!$E51:$Z51,MIN(Y$6-$G$3,22))),0)))))</f>
        <v>0</v>
      </c>
      <c r="Z53" s="27" t="n">
        <f aca="false">IF(COUNT('Feijão 1ª safra'!$E51:$Z51)=0,0,MAX(0,IF((Z$6-$E$3)&lt;1,0,IFERROR(LOOKUP(2,1/('Feijão 1ª safra'!$E51:INDEX('Feijão 1ª safra'!$E51:$Z51,MIN(Z$6-$E$3,22))&lt;&gt;""),'Feijão 1ª safra'!$E51:INDEX('Feijão 1ª safra'!$E51:$Z51,MIN(Z$6-$E$3,22))),0))-IF($G$2,0,IF((Z$6-$G$3)&lt;1,0,IFERROR(LOOKUP(2,1/('Feijão 1ª safra'!$E51:INDEX('Feijão 1ª safra'!$E51:$Z51,MIN(Z$6-$G$3,22))&lt;&gt;""),'Feijão 1ª safra'!$E51:INDEX('Feijão 1ª safra'!$E51:$Z51,MIN(Z$6-$G$3,22))),0)))))</f>
        <v>0</v>
      </c>
      <c r="AA53" s="27" t="n">
        <f aca="false">IF(COUNT('Feijão 1ª safra'!$E51:$Z51)=0,0,MAX(0,IF((AA$6-$E$3)&lt;1,0,IFERROR(LOOKUP(2,1/('Feijão 1ª safra'!$E51:INDEX('Feijão 1ª safra'!$E51:$Z51,MIN(AA$6-$E$3,22))&lt;&gt;""),'Feijão 1ª safra'!$E51:INDEX('Feijão 1ª safra'!$E51:$Z51,MIN(AA$6-$E$3,22))),0))-IF($G$2,0,IF((AA$6-$G$3)&lt;1,0,IFERROR(LOOKUP(2,1/('Feijão 1ª safra'!$E51:INDEX('Feijão 1ª safra'!$E51:$Z51,MIN(AA$6-$G$3,22))&lt;&gt;""),'Feijão 1ª safra'!$E51:INDEX('Feijão 1ª safra'!$E51:$Z51,MIN(AA$6-$G$3,22))),0)))))</f>
        <v>0</v>
      </c>
      <c r="AB53" s="27" t="n">
        <f aca="false">IF(COUNT('Feijão 1ª safra'!$E51:$Z51)=0,0,MAX(0,IF((AB$6-$E$3)&lt;1,0,IFERROR(LOOKUP(2,1/('Feijão 1ª safra'!$E51:INDEX('Feijão 1ª safra'!$E51:$Z51,MIN(AB$6-$E$3,22))&lt;&gt;""),'Feijão 1ª safra'!$E51:INDEX('Feijão 1ª safra'!$E51:$Z51,MIN(AB$6-$E$3,22))),0))-IF($G$2,0,IF((AB$6-$G$3)&lt;1,0,IFERROR(LOOKUP(2,1/('Feijão 1ª safra'!$E51:INDEX('Feijão 1ª safra'!$E51:$Z51,MIN(AB$6-$G$3,22))&lt;&gt;""),'Feijão 1ª safra'!$E51:INDEX('Feijão 1ª safra'!$E51:$Z51,MIN(AB$6-$G$3,22))),0)))))</f>
        <v>0</v>
      </c>
      <c r="AC53" s="27" t="n">
        <f aca="false">IF(COUNT('Feijão 1ª safra'!$E51:$Z51)=0,0,MAX(0,IF((AC$6-$E$3)&lt;1,0,IFERROR(LOOKUP(2,1/('Feijão 1ª safra'!$E51:INDEX('Feijão 1ª safra'!$E51:$Z51,MIN(AC$6-$E$3,22))&lt;&gt;""),'Feijão 1ª safra'!$E51:INDEX('Feijão 1ª safra'!$E51:$Z51,MIN(AC$6-$E$3,22))),0))-IF($G$2,0,IF((AC$6-$G$3)&lt;1,0,IFERROR(LOOKUP(2,1/('Feijão 1ª safra'!$E51:INDEX('Feijão 1ª safra'!$E51:$Z51,MIN(AC$6-$G$3,22))&lt;&gt;""),'Feijão 1ª safra'!$E51:INDEX('Feijão 1ª safra'!$E51:$Z51,MIN(AC$6-$G$3,22))),0)))))</f>
        <v>0</v>
      </c>
      <c r="AD53" s="27" t="n">
        <f aca="false">IF(COUNT('Feijão 1ª safra'!$E51:$Z51)=0,0,MAX(0,IF((AD$6-$E$3)&lt;1,0,IFERROR(LOOKUP(2,1/('Feijão 1ª safra'!$E51:INDEX('Feijão 1ª safra'!$E51:$Z51,MIN(AD$6-$E$3,22))&lt;&gt;""),'Feijão 1ª safra'!$E51:INDEX('Feijão 1ª safra'!$E51:$Z51,MIN(AD$6-$E$3,22))),0))-IF($G$2,0,IF((AD$6-$G$3)&lt;1,0,IFERROR(LOOKUP(2,1/('Feijão 1ª safra'!$E51:INDEX('Feijão 1ª safra'!$E51:$Z51,MIN(AD$6-$G$3,22))&lt;&gt;""),'Feijão 1ª safra'!$E51:INDEX('Feijão 1ª safra'!$E51:$Z51,MIN(AD$6-$G$3,22))),0)))))</f>
        <v>0</v>
      </c>
      <c r="AE53" s="27" t="n">
        <f aca="false">IF(COUNT('Feijão 1ª safra'!$E51:$Z51)=0,0,MAX(0,IF((AE$6-$E$3)&lt;1,0,IFERROR(LOOKUP(2,1/('Feijão 1ª safra'!$E51:INDEX('Feijão 1ª safra'!$E51:$Z51,MIN(AE$6-$E$3,22))&lt;&gt;""),'Feijão 1ª safra'!$E51:INDEX('Feijão 1ª safra'!$E51:$Z51,MIN(AE$6-$E$3,22))),0))-IF($G$2,0,IF((AE$6-$G$3)&lt;1,0,IFERROR(LOOKUP(2,1/('Feijão 1ª safra'!$E51:INDEX('Feijão 1ª safra'!$E51:$Z51,MIN(AE$6-$G$3,22))&lt;&gt;""),'Feijão 1ª safra'!$E51:INDEX('Feijão 1ª safra'!$E51:$Z51,MIN(AE$6-$G$3,22))),0)))))</f>
        <v>0</v>
      </c>
      <c r="AF53" s="27" t="n">
        <f aca="false">IF(COUNT('Feijão 1ª safra'!$E51:$Z51)=0,0,MAX(0,IF((AF$6-$E$3)&lt;1,0,IFERROR(LOOKUP(2,1/('Feijão 1ª safra'!$E51:INDEX('Feijão 1ª safra'!$E51:$Z51,MIN(AF$6-$E$3,22))&lt;&gt;""),'Feijão 1ª safra'!$E51:INDEX('Feijão 1ª safra'!$E51:$Z51,MIN(AF$6-$E$3,22))),0))-IF($G$2,0,IF((AF$6-$G$3)&lt;1,0,IFERROR(LOOKUP(2,1/('Feijão 1ª safra'!$E51:INDEX('Feijão 1ª safra'!$E51:$Z51,MIN(AF$6-$G$3,22))&lt;&gt;""),'Feijão 1ª safra'!$E51:INDEX('Feijão 1ª safra'!$E51:$Z51,MIN(AF$6-$G$3,22))),0)))))</f>
        <v>0</v>
      </c>
      <c r="AG53" s="27" t="n">
        <f aca="false">IF(COUNT('Feijão 1ª safra'!$E51:$Z51)=0,0,MAX(0,IF((AG$6-$E$3)&lt;1,0,IFERROR(LOOKUP(2,1/('Feijão 1ª safra'!$E51:INDEX('Feijão 1ª safra'!$E51:$Z51,MIN(AG$6-$E$3,22))&lt;&gt;""),'Feijão 1ª safra'!$E51:INDEX('Feijão 1ª safra'!$E51:$Z51,MIN(AG$6-$E$3,22))),0))-IF($G$2,0,IF((AG$6-$G$3)&lt;1,0,IFERROR(LOOKUP(2,1/('Feijão 1ª safra'!$E51:INDEX('Feijão 1ª safra'!$E51:$Z51,MIN(AG$6-$G$3,22))&lt;&gt;""),'Feijão 1ª safra'!$E51:INDEX('Feijão 1ª safra'!$E51:$Z51,MIN(AG$6-$G$3,22))),0)))))</f>
        <v>0</v>
      </c>
      <c r="AH53" s="27" t="n">
        <f aca="false">IF(COUNT('Feijão 1ª safra'!$E51:$Z51)=0,0,MAX(0,IF((AH$6-$E$3)&lt;1,0,IFERROR(LOOKUP(2,1/('Feijão 1ª safra'!$E51:INDEX('Feijão 1ª safra'!$E51:$Z51,MIN(AH$6-$E$3,22))&lt;&gt;""),'Feijão 1ª safra'!$E51:INDEX('Feijão 1ª safra'!$E51:$Z51,MIN(AH$6-$E$3,22))),0))-IF($G$2,0,IF((AH$6-$G$3)&lt;1,0,IFERROR(LOOKUP(2,1/('Feijão 1ª safra'!$E51:INDEX('Feijão 1ª safra'!$E51:$Z51,MIN(AH$6-$G$3,22))&lt;&gt;""),'Feijão 1ª safra'!$E51:INDEX('Feijão 1ª safra'!$E51:$Z51,MIN(AH$6-$G$3,22))),0)))))</f>
        <v>0</v>
      </c>
      <c r="AI53" s="27" t="n">
        <f aca="false">IF(COUNT('Feijão 1ª safra'!$E51:$Z51)=0,0,MAX(0,IF((AI$6-$E$3)&lt;1,0,IFERROR(LOOKUP(2,1/('Feijão 1ª safra'!$E51:INDEX('Feijão 1ª safra'!$E51:$Z51,MIN(AI$6-$E$3,22))&lt;&gt;""),'Feijão 1ª safra'!$E51:INDEX('Feijão 1ª safra'!$E51:$Z51,MIN(AI$6-$E$3,22))),0))-IF($G$2,0,IF((AI$6-$G$3)&lt;1,0,IFERROR(LOOKUP(2,1/('Feijão 1ª safra'!$E51:INDEX('Feijão 1ª safra'!$E51:$Z51,MIN(AI$6-$G$3,22))&lt;&gt;""),'Feijão 1ª safra'!$E51:INDEX('Feijão 1ª safra'!$E51:$Z51,MIN(AI$6-$G$3,22))),0)))))</f>
        <v>0</v>
      </c>
      <c r="AJ53" s="27" t="n">
        <f aca="false">IF(COUNT('Feijão 1ª safra'!$E51:$Z51)=0,0,MAX(0,IF((AJ$6-$E$3)&lt;1,0,IFERROR(LOOKUP(2,1/('Feijão 1ª safra'!$E51:INDEX('Feijão 1ª safra'!$E51:$Z51,MIN(AJ$6-$E$3,22))&lt;&gt;""),'Feijão 1ª safra'!$E51:INDEX('Feijão 1ª safra'!$E51:$Z51,MIN(AJ$6-$E$3,22))),0))-IF($G$2,0,IF((AJ$6-$G$3)&lt;1,0,IFERROR(LOOKUP(2,1/('Feijão 1ª safra'!$E51:INDEX('Feijão 1ª safra'!$E51:$Z51,MIN(AJ$6-$G$3,22))&lt;&gt;""),'Feijão 1ª safra'!$E51:INDEX('Feijão 1ª safra'!$E51:$Z51,MIN(AJ$6-$G$3,22))),0)))))</f>
        <v>0</v>
      </c>
      <c r="AK53" s="27" t="n">
        <f aca="false">IF(COUNT('Feijão 1ª safra'!$E51:$Z51)=0,0,MAX(0,IF((AK$6-$E$3)&lt;1,0,IFERROR(LOOKUP(2,1/('Feijão 1ª safra'!$E51:INDEX('Feijão 1ª safra'!$E51:$Z51,MIN(AK$6-$E$3,22))&lt;&gt;""),'Feijão 1ª safra'!$E51:INDEX('Feijão 1ª safra'!$E51:$Z51,MIN(AK$6-$E$3,22))),0))-IF($G$2,0,IF((AK$6-$G$3)&lt;1,0,IFERROR(LOOKUP(2,1/('Feijão 1ª safra'!$E51:INDEX('Feijão 1ª safra'!$E51:$Z51,MIN(AK$6-$G$3,22))&lt;&gt;""),'Feijão 1ª safra'!$E51:INDEX('Feijão 1ª safra'!$E51:$Z51,MIN(AK$6-$G$3,22))),0)))))</f>
        <v>0</v>
      </c>
      <c r="AL53" s="27" t="n">
        <f aca="false">IF(COUNT('Feijão 1ª safra'!$E51:$Z51)=0,0,MAX(0,IF((AL$6-$E$3)&lt;1,0,IFERROR(LOOKUP(2,1/('Feijão 1ª safra'!$E51:INDEX('Feijão 1ª safra'!$E51:$Z51,MIN(AL$6-$E$3,22))&lt;&gt;""),'Feijão 1ª safra'!$E51:INDEX('Feijão 1ª safra'!$E51:$Z51,MIN(AL$6-$E$3,22))),0))-IF($G$2,0,IF((AL$6-$G$3)&lt;1,0,IFERROR(LOOKUP(2,1/('Feijão 1ª safra'!$E51:INDEX('Feijão 1ª safra'!$E51:$Z51,MIN(AL$6-$G$3,22))&lt;&gt;""),'Feijão 1ª safra'!$E51:INDEX('Feijão 1ª safra'!$E51:$Z51,MIN(AL$6-$G$3,22))),0)))))</f>
        <v>0</v>
      </c>
      <c r="AM53" s="27" t="n">
        <f aca="false">IF(COUNT('Feijão 1ª safra'!$E51:$Z51)=0,0,MAX(0,IF((AM$6-$E$3)&lt;1,0,IFERROR(LOOKUP(2,1/('Feijão 1ª safra'!$E51:INDEX('Feijão 1ª safra'!$E51:$Z51,MIN(AM$6-$E$3,22))&lt;&gt;""),'Feijão 1ª safra'!$E51:INDEX('Feijão 1ª safra'!$E51:$Z51,MIN(AM$6-$E$3,22))),0))-IF($G$2,0,IF((AM$6-$G$3)&lt;1,0,IFERROR(LOOKUP(2,1/('Feijão 1ª safra'!$E51:INDEX('Feijão 1ª safra'!$E51:$Z51,MIN(AM$6-$G$3,22))&lt;&gt;""),'Feijão 1ª safra'!$E51:INDEX('Feijão 1ª safra'!$E51:$Z51,MIN(AM$6-$G$3,22))),0)))))</f>
        <v>0</v>
      </c>
      <c r="AN53" s="27" t="n">
        <f aca="false">IF(COUNT('Feijão 1ª safra'!$E51:$Z51)=0,0,MAX(0,IF((AN$6-$E$3)&lt;1,0,IFERROR(LOOKUP(2,1/('Feijão 1ª safra'!$E51:INDEX('Feijão 1ª safra'!$E51:$Z51,MIN(AN$6-$E$3,22))&lt;&gt;""),'Feijão 1ª safra'!$E51:INDEX('Feijão 1ª safra'!$E51:$Z51,MIN(AN$6-$E$3,22))),0))-IF($G$2,0,IF((AN$6-$G$3)&lt;1,0,IFERROR(LOOKUP(2,1/('Feijão 1ª safra'!$E51:INDEX('Feijão 1ª safra'!$E51:$Z51,MIN(AN$6-$G$3,22))&lt;&gt;""),'Feijão 1ª safra'!$E51:INDEX('Feijão 1ª safra'!$E51:$Z51,MIN(AN$6-$G$3,22))),0)))))</f>
        <v>0</v>
      </c>
      <c r="AO53" s="27" t="n">
        <f aca="false">IF(COUNT('Feijão 1ª safra'!$E51:$Z51)=0,0,MAX(0,IF((AO$6-$E$3)&lt;1,0,IFERROR(LOOKUP(2,1/('Feijão 1ª safra'!$E51:INDEX('Feijão 1ª safra'!$E51:$Z51,MIN(AO$6-$E$3,22))&lt;&gt;""),'Feijão 1ª safra'!$E51:INDEX('Feijão 1ª safra'!$E51:$Z51,MIN(AO$6-$E$3,22))),0))-IF($G$2,0,IF((AO$6-$G$3)&lt;1,0,IFERROR(LOOKUP(2,1/('Feijão 1ª safra'!$E51:INDEX('Feijão 1ª safra'!$E51:$Z51,MIN(AO$6-$G$3,22))&lt;&gt;""),'Feijão 1ª safra'!$E51:INDEX('Feijão 1ª safra'!$E51:$Z51,MIN(AO$6-$G$3,22))),0)))))</f>
        <v>0</v>
      </c>
      <c r="AP53" s="27" t="n">
        <f aca="false">IF(COUNT('Feijão 1ª safra'!$E51:$Z51)=0,0,MAX(0,IF((AP$6-$E$3)&lt;1,0,IFERROR(LOOKUP(2,1/('Feijão 1ª safra'!$E51:INDEX('Feijão 1ª safra'!$E51:$Z51,MIN(AP$6-$E$3,22))&lt;&gt;""),'Feijão 1ª safra'!$E51:INDEX('Feijão 1ª safra'!$E51:$Z51,MIN(AP$6-$E$3,22))),0))-IF($G$2,0,IF((AP$6-$G$3)&lt;1,0,IFERROR(LOOKUP(2,1/('Feijão 1ª safra'!$E51:INDEX('Feijão 1ª safra'!$E51:$Z51,MIN(AP$6-$G$3,22))&lt;&gt;""),'Feijão 1ª safra'!$E51:INDEX('Feijão 1ª safra'!$E51:$Z51,MIN(AP$6-$G$3,22))),0)))))</f>
        <v>0</v>
      </c>
      <c r="AQ53" s="27" t="n">
        <f aca="false">IF(COUNT('Feijão 1ª safra'!$E51:$Z51)=0,0,MAX(0,IF((AQ$6-$E$3)&lt;1,0,IFERROR(LOOKUP(2,1/('Feijão 1ª safra'!$E51:INDEX('Feijão 1ª safra'!$E51:$Z51,MIN(AQ$6-$E$3,22))&lt;&gt;""),'Feijão 1ª safra'!$E51:INDEX('Feijão 1ª safra'!$E51:$Z51,MIN(AQ$6-$E$3,22))),0))-IF($G$2,0,IF((AQ$6-$G$3)&lt;1,0,IFERROR(LOOKUP(2,1/('Feijão 1ª safra'!$E51:INDEX('Feijão 1ª safra'!$E51:$Z51,MIN(AQ$6-$G$3,22))&lt;&gt;""),'Feijão 1ª safra'!$E51:INDEX('Feijão 1ª safra'!$E51:$Z51,MIN(AQ$6-$G$3,22))),0)))))</f>
        <v>0</v>
      </c>
      <c r="AR53" s="27" t="n">
        <f aca="false">IF(COUNT('Feijão 1ª safra'!$E51:$Z51)=0,0,MAX(0,IF((AR$6-$E$3)&lt;1,0,IFERROR(LOOKUP(2,1/('Feijão 1ª safra'!$E51:INDEX('Feijão 1ª safra'!$E51:$Z51,MIN(AR$6-$E$3,22))&lt;&gt;""),'Feijão 1ª safra'!$E51:INDEX('Feijão 1ª safra'!$E51:$Z51,MIN(AR$6-$E$3,22))),0))-IF($G$2,0,IF((AR$6-$G$3)&lt;1,0,IFERROR(LOOKUP(2,1/('Feijão 1ª safra'!$E51:INDEX('Feijão 1ª safra'!$E51:$Z51,MIN(AR$6-$G$3,22))&lt;&gt;""),'Feijão 1ª safra'!$E51:INDEX('Feijão 1ª safra'!$E51:$Z51,MIN(AR$6-$G$3,22))),0)))))</f>
        <v>0</v>
      </c>
      <c r="AS53" s="27" t="n">
        <f aca="false">IF(COUNT('Feijão 1ª safra'!$E51:$Z51)=0,0,MAX(0,IF((AS$6-$E$3)&lt;1,0,IFERROR(LOOKUP(2,1/('Feijão 1ª safra'!$E51:INDEX('Feijão 1ª safra'!$E51:$Z51,MIN(AS$6-$E$3,22))&lt;&gt;""),'Feijão 1ª safra'!$E51:INDEX('Feijão 1ª safra'!$E51:$Z51,MIN(AS$6-$E$3,22))),0))-IF($G$2,0,IF((AS$6-$G$3)&lt;1,0,IFERROR(LOOKUP(2,1/('Feijão 1ª safra'!$E51:INDEX('Feijão 1ª safra'!$E51:$Z51,MIN(AS$6-$G$3,22))&lt;&gt;""),'Feijão 1ª safra'!$E51:INDEX('Feijão 1ª safra'!$E51:$Z51,MIN(AS$6-$G$3,22))),0)))))</f>
        <v>0</v>
      </c>
      <c r="AT53" s="27" t="n">
        <f aca="false">IF(COUNT('Feijão 1ª safra'!$E51:$Z51)=0,0,MAX(0,IF((AT$6-$E$3)&lt;1,0,IFERROR(LOOKUP(2,1/('Feijão 1ª safra'!$E51:INDEX('Feijão 1ª safra'!$E51:$Z51,MIN(AT$6-$E$3,22))&lt;&gt;""),'Feijão 1ª safra'!$E51:INDEX('Feijão 1ª safra'!$E51:$Z51,MIN(AT$6-$E$3,22))),0))-IF($G$2,0,IF((AT$6-$G$3)&lt;1,0,IFERROR(LOOKUP(2,1/('Feijão 1ª safra'!$E51:INDEX('Feijão 1ª safra'!$E51:$Z51,MIN(AT$6-$G$3,22))&lt;&gt;""),'Feijão 1ª safra'!$E51:INDEX('Feijão 1ª safra'!$E51:$Z51,MIN(AT$6-$G$3,22))),0)))))</f>
        <v>0</v>
      </c>
      <c r="AU53" s="27" t="n">
        <f aca="false">IF(COUNT('Feijão 1ª safra'!$E51:$Z51)=0,0,MAX(0,IF((AU$6-$E$3)&lt;1,0,IFERROR(LOOKUP(2,1/('Feijão 1ª safra'!$E51:INDEX('Feijão 1ª safra'!$E51:$Z51,MIN(AU$6-$E$3,22))&lt;&gt;""),'Feijão 1ª safra'!$E51:INDEX('Feijão 1ª safra'!$E51:$Z51,MIN(AU$6-$E$3,22))),0))-IF($G$2,0,IF((AU$6-$G$3)&lt;1,0,IFERROR(LOOKUP(2,1/('Feijão 1ª safra'!$E51:INDEX('Feijão 1ª safra'!$E51:$Z51,MIN(AU$6-$G$3,22))&lt;&gt;""),'Feijão 1ª safra'!$E51:INDEX('Feijão 1ª safra'!$E51:$Z51,MIN(AU$6-$G$3,22))),0)))))</f>
        <v>0</v>
      </c>
      <c r="AV53" s="27" t="n">
        <f aca="false">IF(COUNT('Feijão 1ª safra'!$E51:$Z51)=0,0,MAX(0,IF((AV$6-$E$3)&lt;1,0,IFERROR(LOOKUP(2,1/('Feijão 1ª safra'!$E51:INDEX('Feijão 1ª safra'!$E51:$Z51,MIN(AV$6-$E$3,22))&lt;&gt;""),'Feijão 1ª safra'!$E51:INDEX('Feijão 1ª safra'!$E51:$Z51,MIN(AV$6-$E$3,22))),0))-IF($G$2,0,IF((AV$6-$G$3)&lt;1,0,IFERROR(LOOKUP(2,1/('Feijão 1ª safra'!$E51:INDEX('Feijão 1ª safra'!$E51:$Z51,MIN(AV$6-$G$3,22))&lt;&gt;""),'Feijão 1ª safra'!$E51:INDEX('Feijão 1ª safra'!$E51:$Z51,MIN(AV$6-$G$3,22))),0)))))</f>
        <v>0</v>
      </c>
      <c r="AW53" s="27" t="n">
        <f aca="false">IF(COUNT('Feijão 1ª safra'!$E51:$Z51)=0,0,MAX(0,IF((AW$6-$E$3)&lt;1,0,IFERROR(LOOKUP(2,1/('Feijão 1ª safra'!$E51:INDEX('Feijão 1ª safra'!$E51:$Z51,MIN(AW$6-$E$3,22))&lt;&gt;""),'Feijão 1ª safra'!$E51:INDEX('Feijão 1ª safra'!$E51:$Z51,MIN(AW$6-$E$3,22))),0))-IF($G$2,0,IF((AW$6-$G$3)&lt;1,0,IFERROR(LOOKUP(2,1/('Feijão 1ª safra'!$E51:INDEX('Feijão 1ª safra'!$E51:$Z51,MIN(AW$6-$G$3,22))&lt;&gt;""),'Feijão 1ª safra'!$E51:INDEX('Feijão 1ª safra'!$E51:$Z51,MIN(AW$6-$G$3,22))),0)))))</f>
        <v>0</v>
      </c>
      <c r="AX53" s="27" t="n">
        <f aca="false">IF(COUNT('Feijão 1ª safra'!$E51:$Z51)=0,0,MAX(0,IF((AX$6-$E$3)&lt;1,0,IFERROR(LOOKUP(2,1/('Feijão 1ª safra'!$E51:INDEX('Feijão 1ª safra'!$E51:$Z51,MIN(AX$6-$E$3,22))&lt;&gt;""),'Feijão 1ª safra'!$E51:INDEX('Feijão 1ª safra'!$E51:$Z51,MIN(AX$6-$E$3,22))),0))-IF($G$2,0,IF((AX$6-$G$3)&lt;1,0,IFERROR(LOOKUP(2,1/('Feijão 1ª safra'!$E51:INDEX('Feijão 1ª safra'!$E51:$Z51,MIN(AX$6-$G$3,22))&lt;&gt;""),'Feijão 1ª safra'!$E51:INDEX('Feijão 1ª safra'!$E51:$Z51,MIN(AX$6-$G$3,22))),0)))))</f>
        <v>0</v>
      </c>
      <c r="AY53" s="27" t="n">
        <f aca="false">IF(COUNT('Feijão 1ª safra'!$E51:$Z51)=0,0,MAX(0,IF((AY$6-$E$3)&lt;1,0,IFERROR(LOOKUP(2,1/('Feijão 1ª safra'!$E51:INDEX('Feijão 1ª safra'!$E51:$Z51,MIN(AY$6-$E$3,22))&lt;&gt;""),'Feijão 1ª safra'!$E51:INDEX('Feijão 1ª safra'!$E51:$Z51,MIN(AY$6-$E$3,22))),0))-IF($G$2,0,IF((AY$6-$G$3)&lt;1,0,IFERROR(LOOKUP(2,1/('Feijão 1ª safra'!$E51:INDEX('Feijão 1ª safra'!$E51:$Z51,MIN(AY$6-$G$3,22))&lt;&gt;""),'Feijão 1ª safra'!$E51:INDEX('Feijão 1ª safra'!$E51:$Z51,MIN(AY$6-$G$3,22))),0)))))</f>
        <v>0</v>
      </c>
      <c r="AZ53" s="27" t="n">
        <f aca="false">IF(COUNT('Feijão 1ª safra'!$E51:$Z51)=0,0,MAX(0,IF((AZ$6-$E$3)&lt;1,0,IFERROR(LOOKUP(2,1/('Feijão 1ª safra'!$E51:INDEX('Feijão 1ª safra'!$E51:$Z51,MIN(AZ$6-$E$3,22))&lt;&gt;""),'Feijão 1ª safra'!$E51:INDEX('Feijão 1ª safra'!$E51:$Z51,MIN(AZ$6-$E$3,22))),0))-IF($G$2,0,IF((AZ$6-$G$3)&lt;1,0,IFERROR(LOOKUP(2,1/('Feijão 1ª safra'!$E51:INDEX('Feijão 1ª safra'!$E51:$Z51,MIN(AZ$6-$G$3,22))&lt;&gt;""),'Feijão 1ª safra'!$E51:INDEX('Feijão 1ª safra'!$E51:$Z51,MIN(AZ$6-$G$3,22))),0)))))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IF(COUNT('Feijão 1ª safra'!$E52:$Z52)&gt;0,N('Feijão 1ª safra'!$D52),0)</f>
        <v>0</v>
      </c>
      <c r="E54" s="27" t="n">
        <f aca="false">IF(COUNT('Feijão 1ª safra'!$E52:$Z52)=0,0,MAX(0,IF((E$6-$E$3)&lt;1,0,IFERROR(LOOKUP(2,1/('Feijão 1ª safra'!$E52:INDEX('Feijão 1ª safra'!$E52:$Z52,MIN(E$6-$E$3,22))&lt;&gt;""),'Feijão 1ª safra'!$E52:INDEX('Feijão 1ª safra'!$E52:$Z52,MIN(E$6-$E$3,22))),0))-IF($G$2,0,IF((E$6-$G$3)&lt;1,0,IFERROR(LOOKUP(2,1/('Feijão 1ª safra'!$E52:INDEX('Feijão 1ª safra'!$E52:$Z52,MIN(E$6-$G$3,22))&lt;&gt;""),'Feijão 1ª safra'!$E52:INDEX('Feijão 1ª safra'!$E52:$Z52,MIN(E$6-$G$3,22))),0)))))</f>
        <v>0</v>
      </c>
      <c r="F54" s="27" t="n">
        <f aca="false">IF(COUNT('Feijão 1ª safra'!$E52:$Z52)=0,0,MAX(0,IF((F$6-$E$3)&lt;1,0,IFERROR(LOOKUP(2,1/('Feijão 1ª safra'!$E52:INDEX('Feijão 1ª safra'!$E52:$Z52,MIN(F$6-$E$3,22))&lt;&gt;""),'Feijão 1ª safra'!$E52:INDEX('Feijão 1ª safra'!$E52:$Z52,MIN(F$6-$E$3,22))),0))-IF($G$2,0,IF((F$6-$G$3)&lt;1,0,IFERROR(LOOKUP(2,1/('Feijão 1ª safra'!$E52:INDEX('Feijão 1ª safra'!$E52:$Z52,MIN(F$6-$G$3,22))&lt;&gt;""),'Feijão 1ª safra'!$E52:INDEX('Feijão 1ª safra'!$E52:$Z52,MIN(F$6-$G$3,22))),0)))))</f>
        <v>0</v>
      </c>
      <c r="G54" s="27" t="n">
        <f aca="false">IF(COUNT('Feijão 1ª safra'!$E52:$Z52)=0,0,MAX(0,IF((G$6-$E$3)&lt;1,0,IFERROR(LOOKUP(2,1/('Feijão 1ª safra'!$E52:INDEX('Feijão 1ª safra'!$E52:$Z52,MIN(G$6-$E$3,22))&lt;&gt;""),'Feijão 1ª safra'!$E52:INDEX('Feijão 1ª safra'!$E52:$Z52,MIN(G$6-$E$3,22))),0))-IF($G$2,0,IF((G$6-$G$3)&lt;1,0,IFERROR(LOOKUP(2,1/('Feijão 1ª safra'!$E52:INDEX('Feijão 1ª safra'!$E52:$Z52,MIN(G$6-$G$3,22))&lt;&gt;""),'Feijão 1ª safra'!$E52:INDEX('Feijão 1ª safra'!$E52:$Z52,MIN(G$6-$G$3,22))),0)))))</f>
        <v>0</v>
      </c>
      <c r="H54" s="27" t="n">
        <f aca="false">IF(COUNT('Feijão 1ª safra'!$E52:$Z52)=0,0,MAX(0,IF((H$6-$E$3)&lt;1,0,IFERROR(LOOKUP(2,1/('Feijão 1ª safra'!$E52:INDEX('Feijão 1ª safra'!$E52:$Z52,MIN(H$6-$E$3,22))&lt;&gt;""),'Feijão 1ª safra'!$E52:INDEX('Feijão 1ª safra'!$E52:$Z52,MIN(H$6-$E$3,22))),0))-IF($G$2,0,IF((H$6-$G$3)&lt;1,0,IFERROR(LOOKUP(2,1/('Feijão 1ª safra'!$E52:INDEX('Feijão 1ª safra'!$E52:$Z52,MIN(H$6-$G$3,22))&lt;&gt;""),'Feijão 1ª safra'!$E52:INDEX('Feijão 1ª safra'!$E52:$Z52,MIN(H$6-$G$3,22))),0)))))</f>
        <v>0</v>
      </c>
      <c r="I54" s="27" t="n">
        <f aca="false">IF(COUNT('Feijão 1ª safra'!$E52:$Z52)=0,0,MAX(0,IF((I$6-$E$3)&lt;1,0,IFERROR(LOOKUP(2,1/('Feijão 1ª safra'!$E52:INDEX('Feijão 1ª safra'!$E52:$Z52,MIN(I$6-$E$3,22))&lt;&gt;""),'Feijão 1ª safra'!$E52:INDEX('Feijão 1ª safra'!$E52:$Z52,MIN(I$6-$E$3,22))),0))-IF($G$2,0,IF((I$6-$G$3)&lt;1,0,IFERROR(LOOKUP(2,1/('Feijão 1ª safra'!$E52:INDEX('Feijão 1ª safra'!$E52:$Z52,MIN(I$6-$G$3,22))&lt;&gt;""),'Feijão 1ª safra'!$E52:INDEX('Feijão 1ª safra'!$E52:$Z52,MIN(I$6-$G$3,22))),0)))))</f>
        <v>0</v>
      </c>
      <c r="J54" s="27" t="n">
        <f aca="false">IF(COUNT('Feijão 1ª safra'!$E52:$Z52)=0,0,MAX(0,IF((J$6-$E$3)&lt;1,0,IFERROR(LOOKUP(2,1/('Feijão 1ª safra'!$E52:INDEX('Feijão 1ª safra'!$E52:$Z52,MIN(J$6-$E$3,22))&lt;&gt;""),'Feijão 1ª safra'!$E52:INDEX('Feijão 1ª safra'!$E52:$Z52,MIN(J$6-$E$3,22))),0))-IF($G$2,0,IF((J$6-$G$3)&lt;1,0,IFERROR(LOOKUP(2,1/('Feijão 1ª safra'!$E52:INDEX('Feijão 1ª safra'!$E52:$Z52,MIN(J$6-$G$3,22))&lt;&gt;""),'Feijão 1ª safra'!$E52:INDEX('Feijão 1ª safra'!$E52:$Z52,MIN(J$6-$G$3,22))),0)))))</f>
        <v>0</v>
      </c>
      <c r="K54" s="27" t="n">
        <f aca="false">IF(COUNT('Feijão 1ª safra'!$E52:$Z52)=0,0,MAX(0,IF((K$6-$E$3)&lt;1,0,IFERROR(LOOKUP(2,1/('Feijão 1ª safra'!$E52:INDEX('Feijão 1ª safra'!$E52:$Z52,MIN(K$6-$E$3,22))&lt;&gt;""),'Feijão 1ª safra'!$E52:INDEX('Feijão 1ª safra'!$E52:$Z52,MIN(K$6-$E$3,22))),0))-IF($G$2,0,IF((K$6-$G$3)&lt;1,0,IFERROR(LOOKUP(2,1/('Feijão 1ª safra'!$E52:INDEX('Feijão 1ª safra'!$E52:$Z52,MIN(K$6-$G$3,22))&lt;&gt;""),'Feijão 1ª safra'!$E52:INDEX('Feijão 1ª safra'!$E52:$Z52,MIN(K$6-$G$3,22))),0)))))</f>
        <v>0</v>
      </c>
      <c r="L54" s="27" t="n">
        <f aca="false">IF(COUNT('Feijão 1ª safra'!$E52:$Z52)=0,0,MAX(0,IF((L$6-$E$3)&lt;1,0,IFERROR(LOOKUP(2,1/('Feijão 1ª safra'!$E52:INDEX('Feijão 1ª safra'!$E52:$Z52,MIN(L$6-$E$3,22))&lt;&gt;""),'Feijão 1ª safra'!$E52:INDEX('Feijão 1ª safra'!$E52:$Z52,MIN(L$6-$E$3,22))),0))-IF($G$2,0,IF((L$6-$G$3)&lt;1,0,IFERROR(LOOKUP(2,1/('Feijão 1ª safra'!$E52:INDEX('Feijão 1ª safra'!$E52:$Z52,MIN(L$6-$G$3,22))&lt;&gt;""),'Feijão 1ª safra'!$E52:INDEX('Feijão 1ª safra'!$E52:$Z52,MIN(L$6-$G$3,22))),0)))))</f>
        <v>0</v>
      </c>
      <c r="M54" s="27" t="n">
        <f aca="false">IF(COUNT('Feijão 1ª safra'!$E52:$Z52)=0,0,MAX(0,IF((M$6-$E$3)&lt;1,0,IFERROR(LOOKUP(2,1/('Feijão 1ª safra'!$E52:INDEX('Feijão 1ª safra'!$E52:$Z52,MIN(M$6-$E$3,22))&lt;&gt;""),'Feijão 1ª safra'!$E52:INDEX('Feijão 1ª safra'!$E52:$Z52,MIN(M$6-$E$3,22))),0))-IF($G$2,0,IF((M$6-$G$3)&lt;1,0,IFERROR(LOOKUP(2,1/('Feijão 1ª safra'!$E52:INDEX('Feijão 1ª safra'!$E52:$Z52,MIN(M$6-$G$3,22))&lt;&gt;""),'Feijão 1ª safra'!$E52:INDEX('Feijão 1ª safra'!$E52:$Z52,MIN(M$6-$G$3,22))),0)))))</f>
        <v>0</v>
      </c>
      <c r="N54" s="27" t="n">
        <f aca="false">IF(COUNT('Feijão 1ª safra'!$E52:$Z52)=0,0,MAX(0,IF((N$6-$E$3)&lt;1,0,IFERROR(LOOKUP(2,1/('Feijão 1ª safra'!$E52:INDEX('Feijão 1ª safra'!$E52:$Z52,MIN(N$6-$E$3,22))&lt;&gt;""),'Feijão 1ª safra'!$E52:INDEX('Feijão 1ª safra'!$E52:$Z52,MIN(N$6-$E$3,22))),0))-IF($G$2,0,IF((N$6-$G$3)&lt;1,0,IFERROR(LOOKUP(2,1/('Feijão 1ª safra'!$E52:INDEX('Feijão 1ª safra'!$E52:$Z52,MIN(N$6-$G$3,22))&lt;&gt;""),'Feijão 1ª safra'!$E52:INDEX('Feijão 1ª safra'!$E52:$Z52,MIN(N$6-$G$3,22))),0)))))</f>
        <v>0</v>
      </c>
      <c r="O54" s="27" t="n">
        <f aca="false">IF(COUNT('Feijão 1ª safra'!$E52:$Z52)=0,0,MAX(0,IF((O$6-$E$3)&lt;1,0,IFERROR(LOOKUP(2,1/('Feijão 1ª safra'!$E52:INDEX('Feijão 1ª safra'!$E52:$Z52,MIN(O$6-$E$3,22))&lt;&gt;""),'Feijão 1ª safra'!$E52:INDEX('Feijão 1ª safra'!$E52:$Z52,MIN(O$6-$E$3,22))),0))-IF($G$2,0,IF((O$6-$G$3)&lt;1,0,IFERROR(LOOKUP(2,1/('Feijão 1ª safra'!$E52:INDEX('Feijão 1ª safra'!$E52:$Z52,MIN(O$6-$G$3,22))&lt;&gt;""),'Feijão 1ª safra'!$E52:INDEX('Feijão 1ª safra'!$E52:$Z52,MIN(O$6-$G$3,22))),0)))))</f>
        <v>0</v>
      </c>
      <c r="P54" s="27" t="n">
        <f aca="false">IF(COUNT('Feijão 1ª safra'!$E52:$Z52)=0,0,MAX(0,IF((P$6-$E$3)&lt;1,0,IFERROR(LOOKUP(2,1/('Feijão 1ª safra'!$E52:INDEX('Feijão 1ª safra'!$E52:$Z52,MIN(P$6-$E$3,22))&lt;&gt;""),'Feijão 1ª safra'!$E52:INDEX('Feijão 1ª safra'!$E52:$Z52,MIN(P$6-$E$3,22))),0))-IF($G$2,0,IF((P$6-$G$3)&lt;1,0,IFERROR(LOOKUP(2,1/('Feijão 1ª safra'!$E52:INDEX('Feijão 1ª safra'!$E52:$Z52,MIN(P$6-$G$3,22))&lt;&gt;""),'Feijão 1ª safra'!$E52:INDEX('Feijão 1ª safra'!$E52:$Z52,MIN(P$6-$G$3,22))),0)))))</f>
        <v>0</v>
      </c>
      <c r="Q54" s="27" t="n">
        <f aca="false">IF(COUNT('Feijão 1ª safra'!$E52:$Z52)=0,0,MAX(0,IF((Q$6-$E$3)&lt;1,0,IFERROR(LOOKUP(2,1/('Feijão 1ª safra'!$E52:INDEX('Feijão 1ª safra'!$E52:$Z52,MIN(Q$6-$E$3,22))&lt;&gt;""),'Feijão 1ª safra'!$E52:INDEX('Feijão 1ª safra'!$E52:$Z52,MIN(Q$6-$E$3,22))),0))-IF($G$2,0,IF((Q$6-$G$3)&lt;1,0,IFERROR(LOOKUP(2,1/('Feijão 1ª safra'!$E52:INDEX('Feijão 1ª safra'!$E52:$Z52,MIN(Q$6-$G$3,22))&lt;&gt;""),'Feijão 1ª safra'!$E52:INDEX('Feijão 1ª safra'!$E52:$Z52,MIN(Q$6-$G$3,22))),0)))))</f>
        <v>0</v>
      </c>
      <c r="R54" s="27" t="n">
        <f aca="false">IF(COUNT('Feijão 1ª safra'!$E52:$Z52)=0,0,MAX(0,IF((R$6-$E$3)&lt;1,0,IFERROR(LOOKUP(2,1/('Feijão 1ª safra'!$E52:INDEX('Feijão 1ª safra'!$E52:$Z52,MIN(R$6-$E$3,22))&lt;&gt;""),'Feijão 1ª safra'!$E52:INDEX('Feijão 1ª safra'!$E52:$Z52,MIN(R$6-$E$3,22))),0))-IF($G$2,0,IF((R$6-$G$3)&lt;1,0,IFERROR(LOOKUP(2,1/('Feijão 1ª safra'!$E52:INDEX('Feijão 1ª safra'!$E52:$Z52,MIN(R$6-$G$3,22))&lt;&gt;""),'Feijão 1ª safra'!$E52:INDEX('Feijão 1ª safra'!$E52:$Z52,MIN(R$6-$G$3,22))),0)))))</f>
        <v>0</v>
      </c>
      <c r="S54" s="27" t="n">
        <f aca="false">IF(COUNT('Feijão 1ª safra'!$E52:$Z52)=0,0,MAX(0,IF((S$6-$E$3)&lt;1,0,IFERROR(LOOKUP(2,1/('Feijão 1ª safra'!$E52:INDEX('Feijão 1ª safra'!$E52:$Z52,MIN(S$6-$E$3,22))&lt;&gt;""),'Feijão 1ª safra'!$E52:INDEX('Feijão 1ª safra'!$E52:$Z52,MIN(S$6-$E$3,22))),0))-IF($G$2,0,IF((S$6-$G$3)&lt;1,0,IFERROR(LOOKUP(2,1/('Feijão 1ª safra'!$E52:INDEX('Feijão 1ª safra'!$E52:$Z52,MIN(S$6-$G$3,22))&lt;&gt;""),'Feijão 1ª safra'!$E52:INDEX('Feijão 1ª safra'!$E52:$Z52,MIN(S$6-$G$3,22))),0)))))</f>
        <v>0</v>
      </c>
      <c r="T54" s="27" t="n">
        <f aca="false">IF(COUNT('Feijão 1ª safra'!$E52:$Z52)=0,0,MAX(0,IF((T$6-$E$3)&lt;1,0,IFERROR(LOOKUP(2,1/('Feijão 1ª safra'!$E52:INDEX('Feijão 1ª safra'!$E52:$Z52,MIN(T$6-$E$3,22))&lt;&gt;""),'Feijão 1ª safra'!$E52:INDEX('Feijão 1ª safra'!$E52:$Z52,MIN(T$6-$E$3,22))),0))-IF($G$2,0,IF((T$6-$G$3)&lt;1,0,IFERROR(LOOKUP(2,1/('Feijão 1ª safra'!$E52:INDEX('Feijão 1ª safra'!$E52:$Z52,MIN(T$6-$G$3,22))&lt;&gt;""),'Feijão 1ª safra'!$E52:INDEX('Feijão 1ª safra'!$E52:$Z52,MIN(T$6-$G$3,22))),0)))))</f>
        <v>0</v>
      </c>
      <c r="U54" s="27" t="n">
        <f aca="false">IF(COUNT('Feijão 1ª safra'!$E52:$Z52)=0,0,MAX(0,IF((U$6-$E$3)&lt;1,0,IFERROR(LOOKUP(2,1/('Feijão 1ª safra'!$E52:INDEX('Feijão 1ª safra'!$E52:$Z52,MIN(U$6-$E$3,22))&lt;&gt;""),'Feijão 1ª safra'!$E52:INDEX('Feijão 1ª safra'!$E52:$Z52,MIN(U$6-$E$3,22))),0))-IF($G$2,0,IF((U$6-$G$3)&lt;1,0,IFERROR(LOOKUP(2,1/('Feijão 1ª safra'!$E52:INDEX('Feijão 1ª safra'!$E52:$Z52,MIN(U$6-$G$3,22))&lt;&gt;""),'Feijão 1ª safra'!$E52:INDEX('Feijão 1ª safra'!$E52:$Z52,MIN(U$6-$G$3,22))),0)))))</f>
        <v>0</v>
      </c>
      <c r="V54" s="27" t="n">
        <f aca="false">IF(COUNT('Feijão 1ª safra'!$E52:$Z52)=0,0,MAX(0,IF((V$6-$E$3)&lt;1,0,IFERROR(LOOKUP(2,1/('Feijão 1ª safra'!$E52:INDEX('Feijão 1ª safra'!$E52:$Z52,MIN(V$6-$E$3,22))&lt;&gt;""),'Feijão 1ª safra'!$E52:INDEX('Feijão 1ª safra'!$E52:$Z52,MIN(V$6-$E$3,22))),0))-IF($G$2,0,IF((V$6-$G$3)&lt;1,0,IFERROR(LOOKUP(2,1/('Feijão 1ª safra'!$E52:INDEX('Feijão 1ª safra'!$E52:$Z52,MIN(V$6-$G$3,22))&lt;&gt;""),'Feijão 1ª safra'!$E52:INDEX('Feijão 1ª safra'!$E52:$Z52,MIN(V$6-$G$3,22))),0)))))</f>
        <v>0</v>
      </c>
      <c r="W54" s="27" t="n">
        <f aca="false">IF(COUNT('Feijão 1ª safra'!$E52:$Z52)=0,0,MAX(0,IF((W$6-$E$3)&lt;1,0,IFERROR(LOOKUP(2,1/('Feijão 1ª safra'!$E52:INDEX('Feijão 1ª safra'!$E52:$Z52,MIN(W$6-$E$3,22))&lt;&gt;""),'Feijão 1ª safra'!$E52:INDEX('Feijão 1ª safra'!$E52:$Z52,MIN(W$6-$E$3,22))),0))-IF($G$2,0,IF((W$6-$G$3)&lt;1,0,IFERROR(LOOKUP(2,1/('Feijão 1ª safra'!$E52:INDEX('Feijão 1ª safra'!$E52:$Z52,MIN(W$6-$G$3,22))&lt;&gt;""),'Feijão 1ª safra'!$E52:INDEX('Feijão 1ª safra'!$E52:$Z52,MIN(W$6-$G$3,22))),0)))))</f>
        <v>0</v>
      </c>
      <c r="X54" s="27" t="n">
        <f aca="false">IF(COUNT('Feijão 1ª safra'!$E52:$Z52)=0,0,MAX(0,IF((X$6-$E$3)&lt;1,0,IFERROR(LOOKUP(2,1/('Feijão 1ª safra'!$E52:INDEX('Feijão 1ª safra'!$E52:$Z52,MIN(X$6-$E$3,22))&lt;&gt;""),'Feijão 1ª safra'!$E52:INDEX('Feijão 1ª safra'!$E52:$Z52,MIN(X$6-$E$3,22))),0))-IF($G$2,0,IF((X$6-$G$3)&lt;1,0,IFERROR(LOOKUP(2,1/('Feijão 1ª safra'!$E52:INDEX('Feijão 1ª safra'!$E52:$Z52,MIN(X$6-$G$3,22))&lt;&gt;""),'Feijão 1ª safra'!$E52:INDEX('Feijão 1ª safra'!$E52:$Z52,MIN(X$6-$G$3,22))),0)))))</f>
        <v>0</v>
      </c>
      <c r="Y54" s="27" t="n">
        <f aca="false">IF(COUNT('Feijão 1ª safra'!$E52:$Z52)=0,0,MAX(0,IF((Y$6-$E$3)&lt;1,0,IFERROR(LOOKUP(2,1/('Feijão 1ª safra'!$E52:INDEX('Feijão 1ª safra'!$E52:$Z52,MIN(Y$6-$E$3,22))&lt;&gt;""),'Feijão 1ª safra'!$E52:INDEX('Feijão 1ª safra'!$E52:$Z52,MIN(Y$6-$E$3,22))),0))-IF($G$2,0,IF((Y$6-$G$3)&lt;1,0,IFERROR(LOOKUP(2,1/('Feijão 1ª safra'!$E52:INDEX('Feijão 1ª safra'!$E52:$Z52,MIN(Y$6-$G$3,22))&lt;&gt;""),'Feijão 1ª safra'!$E52:INDEX('Feijão 1ª safra'!$E52:$Z52,MIN(Y$6-$G$3,22))),0)))))</f>
        <v>0</v>
      </c>
      <c r="Z54" s="27" t="n">
        <f aca="false">IF(COUNT('Feijão 1ª safra'!$E52:$Z52)=0,0,MAX(0,IF((Z$6-$E$3)&lt;1,0,IFERROR(LOOKUP(2,1/('Feijão 1ª safra'!$E52:INDEX('Feijão 1ª safra'!$E52:$Z52,MIN(Z$6-$E$3,22))&lt;&gt;""),'Feijão 1ª safra'!$E52:INDEX('Feijão 1ª safra'!$E52:$Z52,MIN(Z$6-$E$3,22))),0))-IF($G$2,0,IF((Z$6-$G$3)&lt;1,0,IFERROR(LOOKUP(2,1/('Feijão 1ª safra'!$E52:INDEX('Feijão 1ª safra'!$E52:$Z52,MIN(Z$6-$G$3,22))&lt;&gt;""),'Feijão 1ª safra'!$E52:INDEX('Feijão 1ª safra'!$E52:$Z52,MIN(Z$6-$G$3,22))),0)))))</f>
        <v>0</v>
      </c>
      <c r="AA54" s="27" t="n">
        <f aca="false">IF(COUNT('Feijão 1ª safra'!$E52:$Z52)=0,0,MAX(0,IF((AA$6-$E$3)&lt;1,0,IFERROR(LOOKUP(2,1/('Feijão 1ª safra'!$E52:INDEX('Feijão 1ª safra'!$E52:$Z52,MIN(AA$6-$E$3,22))&lt;&gt;""),'Feijão 1ª safra'!$E52:INDEX('Feijão 1ª safra'!$E52:$Z52,MIN(AA$6-$E$3,22))),0))-IF($G$2,0,IF((AA$6-$G$3)&lt;1,0,IFERROR(LOOKUP(2,1/('Feijão 1ª safra'!$E52:INDEX('Feijão 1ª safra'!$E52:$Z52,MIN(AA$6-$G$3,22))&lt;&gt;""),'Feijão 1ª safra'!$E52:INDEX('Feijão 1ª safra'!$E52:$Z52,MIN(AA$6-$G$3,22))),0)))))</f>
        <v>0</v>
      </c>
      <c r="AB54" s="27" t="n">
        <f aca="false">IF(COUNT('Feijão 1ª safra'!$E52:$Z52)=0,0,MAX(0,IF((AB$6-$E$3)&lt;1,0,IFERROR(LOOKUP(2,1/('Feijão 1ª safra'!$E52:INDEX('Feijão 1ª safra'!$E52:$Z52,MIN(AB$6-$E$3,22))&lt;&gt;""),'Feijão 1ª safra'!$E52:INDEX('Feijão 1ª safra'!$E52:$Z52,MIN(AB$6-$E$3,22))),0))-IF($G$2,0,IF((AB$6-$G$3)&lt;1,0,IFERROR(LOOKUP(2,1/('Feijão 1ª safra'!$E52:INDEX('Feijão 1ª safra'!$E52:$Z52,MIN(AB$6-$G$3,22))&lt;&gt;""),'Feijão 1ª safra'!$E52:INDEX('Feijão 1ª safra'!$E52:$Z52,MIN(AB$6-$G$3,22))),0)))))</f>
        <v>0</v>
      </c>
      <c r="AC54" s="27" t="n">
        <f aca="false">IF(COUNT('Feijão 1ª safra'!$E52:$Z52)=0,0,MAX(0,IF((AC$6-$E$3)&lt;1,0,IFERROR(LOOKUP(2,1/('Feijão 1ª safra'!$E52:INDEX('Feijão 1ª safra'!$E52:$Z52,MIN(AC$6-$E$3,22))&lt;&gt;""),'Feijão 1ª safra'!$E52:INDEX('Feijão 1ª safra'!$E52:$Z52,MIN(AC$6-$E$3,22))),0))-IF($G$2,0,IF((AC$6-$G$3)&lt;1,0,IFERROR(LOOKUP(2,1/('Feijão 1ª safra'!$E52:INDEX('Feijão 1ª safra'!$E52:$Z52,MIN(AC$6-$G$3,22))&lt;&gt;""),'Feijão 1ª safra'!$E52:INDEX('Feijão 1ª safra'!$E52:$Z52,MIN(AC$6-$G$3,22))),0)))))</f>
        <v>0</v>
      </c>
      <c r="AD54" s="27" t="n">
        <f aca="false">IF(COUNT('Feijão 1ª safra'!$E52:$Z52)=0,0,MAX(0,IF((AD$6-$E$3)&lt;1,0,IFERROR(LOOKUP(2,1/('Feijão 1ª safra'!$E52:INDEX('Feijão 1ª safra'!$E52:$Z52,MIN(AD$6-$E$3,22))&lt;&gt;""),'Feijão 1ª safra'!$E52:INDEX('Feijão 1ª safra'!$E52:$Z52,MIN(AD$6-$E$3,22))),0))-IF($G$2,0,IF((AD$6-$G$3)&lt;1,0,IFERROR(LOOKUP(2,1/('Feijão 1ª safra'!$E52:INDEX('Feijão 1ª safra'!$E52:$Z52,MIN(AD$6-$G$3,22))&lt;&gt;""),'Feijão 1ª safra'!$E52:INDEX('Feijão 1ª safra'!$E52:$Z52,MIN(AD$6-$G$3,22))),0)))))</f>
        <v>0</v>
      </c>
      <c r="AE54" s="27" t="n">
        <f aca="false">IF(COUNT('Feijão 1ª safra'!$E52:$Z52)=0,0,MAX(0,IF((AE$6-$E$3)&lt;1,0,IFERROR(LOOKUP(2,1/('Feijão 1ª safra'!$E52:INDEX('Feijão 1ª safra'!$E52:$Z52,MIN(AE$6-$E$3,22))&lt;&gt;""),'Feijão 1ª safra'!$E52:INDEX('Feijão 1ª safra'!$E52:$Z52,MIN(AE$6-$E$3,22))),0))-IF($G$2,0,IF((AE$6-$G$3)&lt;1,0,IFERROR(LOOKUP(2,1/('Feijão 1ª safra'!$E52:INDEX('Feijão 1ª safra'!$E52:$Z52,MIN(AE$6-$G$3,22))&lt;&gt;""),'Feijão 1ª safra'!$E52:INDEX('Feijão 1ª safra'!$E52:$Z52,MIN(AE$6-$G$3,22))),0)))))</f>
        <v>0</v>
      </c>
      <c r="AF54" s="27" t="n">
        <f aca="false">IF(COUNT('Feijão 1ª safra'!$E52:$Z52)=0,0,MAX(0,IF((AF$6-$E$3)&lt;1,0,IFERROR(LOOKUP(2,1/('Feijão 1ª safra'!$E52:INDEX('Feijão 1ª safra'!$E52:$Z52,MIN(AF$6-$E$3,22))&lt;&gt;""),'Feijão 1ª safra'!$E52:INDEX('Feijão 1ª safra'!$E52:$Z52,MIN(AF$6-$E$3,22))),0))-IF($G$2,0,IF((AF$6-$G$3)&lt;1,0,IFERROR(LOOKUP(2,1/('Feijão 1ª safra'!$E52:INDEX('Feijão 1ª safra'!$E52:$Z52,MIN(AF$6-$G$3,22))&lt;&gt;""),'Feijão 1ª safra'!$E52:INDEX('Feijão 1ª safra'!$E52:$Z52,MIN(AF$6-$G$3,22))),0)))))</f>
        <v>0</v>
      </c>
      <c r="AG54" s="27" t="n">
        <f aca="false">IF(COUNT('Feijão 1ª safra'!$E52:$Z52)=0,0,MAX(0,IF((AG$6-$E$3)&lt;1,0,IFERROR(LOOKUP(2,1/('Feijão 1ª safra'!$E52:INDEX('Feijão 1ª safra'!$E52:$Z52,MIN(AG$6-$E$3,22))&lt;&gt;""),'Feijão 1ª safra'!$E52:INDEX('Feijão 1ª safra'!$E52:$Z52,MIN(AG$6-$E$3,22))),0))-IF($G$2,0,IF((AG$6-$G$3)&lt;1,0,IFERROR(LOOKUP(2,1/('Feijão 1ª safra'!$E52:INDEX('Feijão 1ª safra'!$E52:$Z52,MIN(AG$6-$G$3,22))&lt;&gt;""),'Feijão 1ª safra'!$E52:INDEX('Feijão 1ª safra'!$E52:$Z52,MIN(AG$6-$G$3,22))),0)))))</f>
        <v>0</v>
      </c>
      <c r="AH54" s="27" t="n">
        <f aca="false">IF(COUNT('Feijão 1ª safra'!$E52:$Z52)=0,0,MAX(0,IF((AH$6-$E$3)&lt;1,0,IFERROR(LOOKUP(2,1/('Feijão 1ª safra'!$E52:INDEX('Feijão 1ª safra'!$E52:$Z52,MIN(AH$6-$E$3,22))&lt;&gt;""),'Feijão 1ª safra'!$E52:INDEX('Feijão 1ª safra'!$E52:$Z52,MIN(AH$6-$E$3,22))),0))-IF($G$2,0,IF((AH$6-$G$3)&lt;1,0,IFERROR(LOOKUP(2,1/('Feijão 1ª safra'!$E52:INDEX('Feijão 1ª safra'!$E52:$Z52,MIN(AH$6-$G$3,22))&lt;&gt;""),'Feijão 1ª safra'!$E52:INDEX('Feijão 1ª safra'!$E52:$Z52,MIN(AH$6-$G$3,22))),0)))))</f>
        <v>0</v>
      </c>
      <c r="AI54" s="27" t="n">
        <f aca="false">IF(COUNT('Feijão 1ª safra'!$E52:$Z52)=0,0,MAX(0,IF((AI$6-$E$3)&lt;1,0,IFERROR(LOOKUP(2,1/('Feijão 1ª safra'!$E52:INDEX('Feijão 1ª safra'!$E52:$Z52,MIN(AI$6-$E$3,22))&lt;&gt;""),'Feijão 1ª safra'!$E52:INDEX('Feijão 1ª safra'!$E52:$Z52,MIN(AI$6-$E$3,22))),0))-IF($G$2,0,IF((AI$6-$G$3)&lt;1,0,IFERROR(LOOKUP(2,1/('Feijão 1ª safra'!$E52:INDEX('Feijão 1ª safra'!$E52:$Z52,MIN(AI$6-$G$3,22))&lt;&gt;""),'Feijão 1ª safra'!$E52:INDEX('Feijão 1ª safra'!$E52:$Z52,MIN(AI$6-$G$3,22))),0)))))</f>
        <v>0</v>
      </c>
      <c r="AJ54" s="27" t="n">
        <f aca="false">IF(COUNT('Feijão 1ª safra'!$E52:$Z52)=0,0,MAX(0,IF((AJ$6-$E$3)&lt;1,0,IFERROR(LOOKUP(2,1/('Feijão 1ª safra'!$E52:INDEX('Feijão 1ª safra'!$E52:$Z52,MIN(AJ$6-$E$3,22))&lt;&gt;""),'Feijão 1ª safra'!$E52:INDEX('Feijão 1ª safra'!$E52:$Z52,MIN(AJ$6-$E$3,22))),0))-IF($G$2,0,IF((AJ$6-$G$3)&lt;1,0,IFERROR(LOOKUP(2,1/('Feijão 1ª safra'!$E52:INDEX('Feijão 1ª safra'!$E52:$Z52,MIN(AJ$6-$G$3,22))&lt;&gt;""),'Feijão 1ª safra'!$E52:INDEX('Feijão 1ª safra'!$E52:$Z52,MIN(AJ$6-$G$3,22))),0)))))</f>
        <v>0</v>
      </c>
      <c r="AK54" s="27" t="n">
        <f aca="false">IF(COUNT('Feijão 1ª safra'!$E52:$Z52)=0,0,MAX(0,IF((AK$6-$E$3)&lt;1,0,IFERROR(LOOKUP(2,1/('Feijão 1ª safra'!$E52:INDEX('Feijão 1ª safra'!$E52:$Z52,MIN(AK$6-$E$3,22))&lt;&gt;""),'Feijão 1ª safra'!$E52:INDEX('Feijão 1ª safra'!$E52:$Z52,MIN(AK$6-$E$3,22))),0))-IF($G$2,0,IF((AK$6-$G$3)&lt;1,0,IFERROR(LOOKUP(2,1/('Feijão 1ª safra'!$E52:INDEX('Feijão 1ª safra'!$E52:$Z52,MIN(AK$6-$G$3,22))&lt;&gt;""),'Feijão 1ª safra'!$E52:INDEX('Feijão 1ª safra'!$E52:$Z52,MIN(AK$6-$G$3,22))),0)))))</f>
        <v>0</v>
      </c>
      <c r="AL54" s="27" t="n">
        <f aca="false">IF(COUNT('Feijão 1ª safra'!$E52:$Z52)=0,0,MAX(0,IF((AL$6-$E$3)&lt;1,0,IFERROR(LOOKUP(2,1/('Feijão 1ª safra'!$E52:INDEX('Feijão 1ª safra'!$E52:$Z52,MIN(AL$6-$E$3,22))&lt;&gt;""),'Feijão 1ª safra'!$E52:INDEX('Feijão 1ª safra'!$E52:$Z52,MIN(AL$6-$E$3,22))),0))-IF($G$2,0,IF((AL$6-$G$3)&lt;1,0,IFERROR(LOOKUP(2,1/('Feijão 1ª safra'!$E52:INDEX('Feijão 1ª safra'!$E52:$Z52,MIN(AL$6-$G$3,22))&lt;&gt;""),'Feijão 1ª safra'!$E52:INDEX('Feijão 1ª safra'!$E52:$Z52,MIN(AL$6-$G$3,22))),0)))))</f>
        <v>0</v>
      </c>
      <c r="AM54" s="27" t="n">
        <f aca="false">IF(COUNT('Feijão 1ª safra'!$E52:$Z52)=0,0,MAX(0,IF((AM$6-$E$3)&lt;1,0,IFERROR(LOOKUP(2,1/('Feijão 1ª safra'!$E52:INDEX('Feijão 1ª safra'!$E52:$Z52,MIN(AM$6-$E$3,22))&lt;&gt;""),'Feijão 1ª safra'!$E52:INDEX('Feijão 1ª safra'!$E52:$Z52,MIN(AM$6-$E$3,22))),0))-IF($G$2,0,IF((AM$6-$G$3)&lt;1,0,IFERROR(LOOKUP(2,1/('Feijão 1ª safra'!$E52:INDEX('Feijão 1ª safra'!$E52:$Z52,MIN(AM$6-$G$3,22))&lt;&gt;""),'Feijão 1ª safra'!$E52:INDEX('Feijão 1ª safra'!$E52:$Z52,MIN(AM$6-$G$3,22))),0)))))</f>
        <v>0</v>
      </c>
      <c r="AN54" s="27" t="n">
        <f aca="false">IF(COUNT('Feijão 1ª safra'!$E52:$Z52)=0,0,MAX(0,IF((AN$6-$E$3)&lt;1,0,IFERROR(LOOKUP(2,1/('Feijão 1ª safra'!$E52:INDEX('Feijão 1ª safra'!$E52:$Z52,MIN(AN$6-$E$3,22))&lt;&gt;""),'Feijão 1ª safra'!$E52:INDEX('Feijão 1ª safra'!$E52:$Z52,MIN(AN$6-$E$3,22))),0))-IF($G$2,0,IF((AN$6-$G$3)&lt;1,0,IFERROR(LOOKUP(2,1/('Feijão 1ª safra'!$E52:INDEX('Feijão 1ª safra'!$E52:$Z52,MIN(AN$6-$G$3,22))&lt;&gt;""),'Feijão 1ª safra'!$E52:INDEX('Feijão 1ª safra'!$E52:$Z52,MIN(AN$6-$G$3,22))),0)))))</f>
        <v>0</v>
      </c>
      <c r="AO54" s="27" t="n">
        <f aca="false">IF(COUNT('Feijão 1ª safra'!$E52:$Z52)=0,0,MAX(0,IF((AO$6-$E$3)&lt;1,0,IFERROR(LOOKUP(2,1/('Feijão 1ª safra'!$E52:INDEX('Feijão 1ª safra'!$E52:$Z52,MIN(AO$6-$E$3,22))&lt;&gt;""),'Feijão 1ª safra'!$E52:INDEX('Feijão 1ª safra'!$E52:$Z52,MIN(AO$6-$E$3,22))),0))-IF($G$2,0,IF((AO$6-$G$3)&lt;1,0,IFERROR(LOOKUP(2,1/('Feijão 1ª safra'!$E52:INDEX('Feijão 1ª safra'!$E52:$Z52,MIN(AO$6-$G$3,22))&lt;&gt;""),'Feijão 1ª safra'!$E52:INDEX('Feijão 1ª safra'!$E52:$Z52,MIN(AO$6-$G$3,22))),0)))))</f>
        <v>0</v>
      </c>
      <c r="AP54" s="27" t="n">
        <f aca="false">IF(COUNT('Feijão 1ª safra'!$E52:$Z52)=0,0,MAX(0,IF((AP$6-$E$3)&lt;1,0,IFERROR(LOOKUP(2,1/('Feijão 1ª safra'!$E52:INDEX('Feijão 1ª safra'!$E52:$Z52,MIN(AP$6-$E$3,22))&lt;&gt;""),'Feijão 1ª safra'!$E52:INDEX('Feijão 1ª safra'!$E52:$Z52,MIN(AP$6-$E$3,22))),0))-IF($G$2,0,IF((AP$6-$G$3)&lt;1,0,IFERROR(LOOKUP(2,1/('Feijão 1ª safra'!$E52:INDEX('Feijão 1ª safra'!$E52:$Z52,MIN(AP$6-$G$3,22))&lt;&gt;""),'Feijão 1ª safra'!$E52:INDEX('Feijão 1ª safra'!$E52:$Z52,MIN(AP$6-$G$3,22))),0)))))</f>
        <v>0</v>
      </c>
      <c r="AQ54" s="27" t="n">
        <f aca="false">IF(COUNT('Feijão 1ª safra'!$E52:$Z52)=0,0,MAX(0,IF((AQ$6-$E$3)&lt;1,0,IFERROR(LOOKUP(2,1/('Feijão 1ª safra'!$E52:INDEX('Feijão 1ª safra'!$E52:$Z52,MIN(AQ$6-$E$3,22))&lt;&gt;""),'Feijão 1ª safra'!$E52:INDEX('Feijão 1ª safra'!$E52:$Z52,MIN(AQ$6-$E$3,22))),0))-IF($G$2,0,IF((AQ$6-$G$3)&lt;1,0,IFERROR(LOOKUP(2,1/('Feijão 1ª safra'!$E52:INDEX('Feijão 1ª safra'!$E52:$Z52,MIN(AQ$6-$G$3,22))&lt;&gt;""),'Feijão 1ª safra'!$E52:INDEX('Feijão 1ª safra'!$E52:$Z52,MIN(AQ$6-$G$3,22))),0)))))</f>
        <v>0</v>
      </c>
      <c r="AR54" s="27" t="n">
        <f aca="false">IF(COUNT('Feijão 1ª safra'!$E52:$Z52)=0,0,MAX(0,IF((AR$6-$E$3)&lt;1,0,IFERROR(LOOKUP(2,1/('Feijão 1ª safra'!$E52:INDEX('Feijão 1ª safra'!$E52:$Z52,MIN(AR$6-$E$3,22))&lt;&gt;""),'Feijão 1ª safra'!$E52:INDEX('Feijão 1ª safra'!$E52:$Z52,MIN(AR$6-$E$3,22))),0))-IF($G$2,0,IF((AR$6-$G$3)&lt;1,0,IFERROR(LOOKUP(2,1/('Feijão 1ª safra'!$E52:INDEX('Feijão 1ª safra'!$E52:$Z52,MIN(AR$6-$G$3,22))&lt;&gt;""),'Feijão 1ª safra'!$E52:INDEX('Feijão 1ª safra'!$E52:$Z52,MIN(AR$6-$G$3,22))),0)))))</f>
        <v>0</v>
      </c>
      <c r="AS54" s="27" t="n">
        <f aca="false">IF(COUNT('Feijão 1ª safra'!$E52:$Z52)=0,0,MAX(0,IF((AS$6-$E$3)&lt;1,0,IFERROR(LOOKUP(2,1/('Feijão 1ª safra'!$E52:INDEX('Feijão 1ª safra'!$E52:$Z52,MIN(AS$6-$E$3,22))&lt;&gt;""),'Feijão 1ª safra'!$E52:INDEX('Feijão 1ª safra'!$E52:$Z52,MIN(AS$6-$E$3,22))),0))-IF($G$2,0,IF((AS$6-$G$3)&lt;1,0,IFERROR(LOOKUP(2,1/('Feijão 1ª safra'!$E52:INDEX('Feijão 1ª safra'!$E52:$Z52,MIN(AS$6-$G$3,22))&lt;&gt;""),'Feijão 1ª safra'!$E52:INDEX('Feijão 1ª safra'!$E52:$Z52,MIN(AS$6-$G$3,22))),0)))))</f>
        <v>0</v>
      </c>
      <c r="AT54" s="27" t="n">
        <f aca="false">IF(COUNT('Feijão 1ª safra'!$E52:$Z52)=0,0,MAX(0,IF((AT$6-$E$3)&lt;1,0,IFERROR(LOOKUP(2,1/('Feijão 1ª safra'!$E52:INDEX('Feijão 1ª safra'!$E52:$Z52,MIN(AT$6-$E$3,22))&lt;&gt;""),'Feijão 1ª safra'!$E52:INDEX('Feijão 1ª safra'!$E52:$Z52,MIN(AT$6-$E$3,22))),0))-IF($G$2,0,IF((AT$6-$G$3)&lt;1,0,IFERROR(LOOKUP(2,1/('Feijão 1ª safra'!$E52:INDEX('Feijão 1ª safra'!$E52:$Z52,MIN(AT$6-$G$3,22))&lt;&gt;""),'Feijão 1ª safra'!$E52:INDEX('Feijão 1ª safra'!$E52:$Z52,MIN(AT$6-$G$3,22))),0)))))</f>
        <v>0</v>
      </c>
      <c r="AU54" s="27" t="n">
        <f aca="false">IF(COUNT('Feijão 1ª safra'!$E52:$Z52)=0,0,MAX(0,IF((AU$6-$E$3)&lt;1,0,IFERROR(LOOKUP(2,1/('Feijão 1ª safra'!$E52:INDEX('Feijão 1ª safra'!$E52:$Z52,MIN(AU$6-$E$3,22))&lt;&gt;""),'Feijão 1ª safra'!$E52:INDEX('Feijão 1ª safra'!$E52:$Z52,MIN(AU$6-$E$3,22))),0))-IF($G$2,0,IF((AU$6-$G$3)&lt;1,0,IFERROR(LOOKUP(2,1/('Feijão 1ª safra'!$E52:INDEX('Feijão 1ª safra'!$E52:$Z52,MIN(AU$6-$G$3,22))&lt;&gt;""),'Feijão 1ª safra'!$E52:INDEX('Feijão 1ª safra'!$E52:$Z52,MIN(AU$6-$G$3,22))),0)))))</f>
        <v>0</v>
      </c>
      <c r="AV54" s="27" t="n">
        <f aca="false">IF(COUNT('Feijão 1ª safra'!$E52:$Z52)=0,0,MAX(0,IF((AV$6-$E$3)&lt;1,0,IFERROR(LOOKUP(2,1/('Feijão 1ª safra'!$E52:INDEX('Feijão 1ª safra'!$E52:$Z52,MIN(AV$6-$E$3,22))&lt;&gt;""),'Feijão 1ª safra'!$E52:INDEX('Feijão 1ª safra'!$E52:$Z52,MIN(AV$6-$E$3,22))),0))-IF($G$2,0,IF((AV$6-$G$3)&lt;1,0,IFERROR(LOOKUP(2,1/('Feijão 1ª safra'!$E52:INDEX('Feijão 1ª safra'!$E52:$Z52,MIN(AV$6-$G$3,22))&lt;&gt;""),'Feijão 1ª safra'!$E52:INDEX('Feijão 1ª safra'!$E52:$Z52,MIN(AV$6-$G$3,22))),0)))))</f>
        <v>0</v>
      </c>
      <c r="AW54" s="27" t="n">
        <f aca="false">IF(COUNT('Feijão 1ª safra'!$E52:$Z52)=0,0,MAX(0,IF((AW$6-$E$3)&lt;1,0,IFERROR(LOOKUP(2,1/('Feijão 1ª safra'!$E52:INDEX('Feijão 1ª safra'!$E52:$Z52,MIN(AW$6-$E$3,22))&lt;&gt;""),'Feijão 1ª safra'!$E52:INDEX('Feijão 1ª safra'!$E52:$Z52,MIN(AW$6-$E$3,22))),0))-IF($G$2,0,IF((AW$6-$G$3)&lt;1,0,IFERROR(LOOKUP(2,1/('Feijão 1ª safra'!$E52:INDEX('Feijão 1ª safra'!$E52:$Z52,MIN(AW$6-$G$3,22))&lt;&gt;""),'Feijão 1ª safra'!$E52:INDEX('Feijão 1ª safra'!$E52:$Z52,MIN(AW$6-$G$3,22))),0)))))</f>
        <v>0</v>
      </c>
      <c r="AX54" s="27" t="n">
        <f aca="false">IF(COUNT('Feijão 1ª safra'!$E52:$Z52)=0,0,MAX(0,IF((AX$6-$E$3)&lt;1,0,IFERROR(LOOKUP(2,1/('Feijão 1ª safra'!$E52:INDEX('Feijão 1ª safra'!$E52:$Z52,MIN(AX$6-$E$3,22))&lt;&gt;""),'Feijão 1ª safra'!$E52:INDEX('Feijão 1ª safra'!$E52:$Z52,MIN(AX$6-$E$3,22))),0))-IF($G$2,0,IF((AX$6-$G$3)&lt;1,0,IFERROR(LOOKUP(2,1/('Feijão 1ª safra'!$E52:INDEX('Feijão 1ª safra'!$E52:$Z52,MIN(AX$6-$G$3,22))&lt;&gt;""),'Feijão 1ª safra'!$E52:INDEX('Feijão 1ª safra'!$E52:$Z52,MIN(AX$6-$G$3,22))),0)))))</f>
        <v>0</v>
      </c>
      <c r="AY54" s="27" t="n">
        <f aca="false">IF(COUNT('Feijão 1ª safra'!$E52:$Z52)=0,0,MAX(0,IF((AY$6-$E$3)&lt;1,0,IFERROR(LOOKUP(2,1/('Feijão 1ª safra'!$E52:INDEX('Feijão 1ª safra'!$E52:$Z52,MIN(AY$6-$E$3,22))&lt;&gt;""),'Feijão 1ª safra'!$E52:INDEX('Feijão 1ª safra'!$E52:$Z52,MIN(AY$6-$E$3,22))),0))-IF($G$2,0,IF((AY$6-$G$3)&lt;1,0,IFERROR(LOOKUP(2,1/('Feijão 1ª safra'!$E52:INDEX('Feijão 1ª safra'!$E52:$Z52,MIN(AY$6-$G$3,22))&lt;&gt;""),'Feijão 1ª safra'!$E52:INDEX('Feijão 1ª safra'!$E52:$Z52,MIN(AY$6-$G$3,22))),0)))))</f>
        <v>0</v>
      </c>
      <c r="AZ54" s="27" t="n">
        <f aca="false">IF(COUNT('Feijão 1ª safra'!$E52:$Z52)=0,0,MAX(0,IF((AZ$6-$E$3)&lt;1,0,IFERROR(LOOKUP(2,1/('Feijão 1ª safra'!$E52:INDEX('Feijão 1ª safra'!$E52:$Z52,MIN(AZ$6-$E$3,22))&lt;&gt;""),'Feijão 1ª safra'!$E52:INDEX('Feijão 1ª safra'!$E52:$Z52,MIN(AZ$6-$E$3,22))),0))-IF($G$2,0,IF((AZ$6-$G$3)&lt;1,0,IFERROR(LOOKUP(2,1/('Feijão 1ª safra'!$E52:INDEX('Feijão 1ª safra'!$E52:$Z52,MIN(AZ$6-$G$3,22))&lt;&gt;""),'Feijão 1ª safra'!$E52:INDEX('Feijão 1ª safra'!$E52:$Z52,MIN(AZ$6-$G$3,22))),0)))))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IF(COUNT('Feijão 1ª safra'!$E53:$Z53)&gt;0,N('Feijão 1ª safra'!$D53),0)</f>
        <v>0</v>
      </c>
      <c r="E55" s="27" t="n">
        <f aca="false">IF(COUNT('Feijão 1ª safra'!$E53:$Z53)=0,0,MAX(0,IF((E$6-$E$3)&lt;1,0,IFERROR(LOOKUP(2,1/('Feijão 1ª safra'!$E53:INDEX('Feijão 1ª safra'!$E53:$Z53,MIN(E$6-$E$3,22))&lt;&gt;""),'Feijão 1ª safra'!$E53:INDEX('Feijão 1ª safra'!$E53:$Z53,MIN(E$6-$E$3,22))),0))-IF($G$2,0,IF((E$6-$G$3)&lt;1,0,IFERROR(LOOKUP(2,1/('Feijão 1ª safra'!$E53:INDEX('Feijão 1ª safra'!$E53:$Z53,MIN(E$6-$G$3,22))&lt;&gt;""),'Feijão 1ª safra'!$E53:INDEX('Feijão 1ª safra'!$E53:$Z53,MIN(E$6-$G$3,22))),0)))))</f>
        <v>0</v>
      </c>
      <c r="F55" s="27" t="n">
        <f aca="false">IF(COUNT('Feijão 1ª safra'!$E53:$Z53)=0,0,MAX(0,IF((F$6-$E$3)&lt;1,0,IFERROR(LOOKUP(2,1/('Feijão 1ª safra'!$E53:INDEX('Feijão 1ª safra'!$E53:$Z53,MIN(F$6-$E$3,22))&lt;&gt;""),'Feijão 1ª safra'!$E53:INDEX('Feijão 1ª safra'!$E53:$Z53,MIN(F$6-$E$3,22))),0))-IF($G$2,0,IF((F$6-$G$3)&lt;1,0,IFERROR(LOOKUP(2,1/('Feijão 1ª safra'!$E53:INDEX('Feijão 1ª safra'!$E53:$Z53,MIN(F$6-$G$3,22))&lt;&gt;""),'Feijão 1ª safra'!$E53:INDEX('Feijão 1ª safra'!$E53:$Z53,MIN(F$6-$G$3,22))),0)))))</f>
        <v>0</v>
      </c>
      <c r="G55" s="27" t="n">
        <f aca="false">IF(COUNT('Feijão 1ª safra'!$E53:$Z53)=0,0,MAX(0,IF((G$6-$E$3)&lt;1,0,IFERROR(LOOKUP(2,1/('Feijão 1ª safra'!$E53:INDEX('Feijão 1ª safra'!$E53:$Z53,MIN(G$6-$E$3,22))&lt;&gt;""),'Feijão 1ª safra'!$E53:INDEX('Feijão 1ª safra'!$E53:$Z53,MIN(G$6-$E$3,22))),0))-IF($G$2,0,IF((G$6-$G$3)&lt;1,0,IFERROR(LOOKUP(2,1/('Feijão 1ª safra'!$E53:INDEX('Feijão 1ª safra'!$E53:$Z53,MIN(G$6-$G$3,22))&lt;&gt;""),'Feijão 1ª safra'!$E53:INDEX('Feijão 1ª safra'!$E53:$Z53,MIN(G$6-$G$3,22))),0)))))</f>
        <v>0</v>
      </c>
      <c r="H55" s="27" t="n">
        <f aca="false">IF(COUNT('Feijão 1ª safra'!$E53:$Z53)=0,0,MAX(0,IF((H$6-$E$3)&lt;1,0,IFERROR(LOOKUP(2,1/('Feijão 1ª safra'!$E53:INDEX('Feijão 1ª safra'!$E53:$Z53,MIN(H$6-$E$3,22))&lt;&gt;""),'Feijão 1ª safra'!$E53:INDEX('Feijão 1ª safra'!$E53:$Z53,MIN(H$6-$E$3,22))),0))-IF($G$2,0,IF((H$6-$G$3)&lt;1,0,IFERROR(LOOKUP(2,1/('Feijão 1ª safra'!$E53:INDEX('Feijão 1ª safra'!$E53:$Z53,MIN(H$6-$G$3,22))&lt;&gt;""),'Feijão 1ª safra'!$E53:INDEX('Feijão 1ª safra'!$E53:$Z53,MIN(H$6-$G$3,22))),0)))))</f>
        <v>0</v>
      </c>
      <c r="I55" s="27" t="n">
        <f aca="false">IF(COUNT('Feijão 1ª safra'!$E53:$Z53)=0,0,MAX(0,IF((I$6-$E$3)&lt;1,0,IFERROR(LOOKUP(2,1/('Feijão 1ª safra'!$E53:INDEX('Feijão 1ª safra'!$E53:$Z53,MIN(I$6-$E$3,22))&lt;&gt;""),'Feijão 1ª safra'!$E53:INDEX('Feijão 1ª safra'!$E53:$Z53,MIN(I$6-$E$3,22))),0))-IF($G$2,0,IF((I$6-$G$3)&lt;1,0,IFERROR(LOOKUP(2,1/('Feijão 1ª safra'!$E53:INDEX('Feijão 1ª safra'!$E53:$Z53,MIN(I$6-$G$3,22))&lt;&gt;""),'Feijão 1ª safra'!$E53:INDEX('Feijão 1ª safra'!$E53:$Z53,MIN(I$6-$G$3,22))),0)))))</f>
        <v>0</v>
      </c>
      <c r="J55" s="27" t="n">
        <f aca="false">IF(COUNT('Feijão 1ª safra'!$E53:$Z53)=0,0,MAX(0,IF((J$6-$E$3)&lt;1,0,IFERROR(LOOKUP(2,1/('Feijão 1ª safra'!$E53:INDEX('Feijão 1ª safra'!$E53:$Z53,MIN(J$6-$E$3,22))&lt;&gt;""),'Feijão 1ª safra'!$E53:INDEX('Feijão 1ª safra'!$E53:$Z53,MIN(J$6-$E$3,22))),0))-IF($G$2,0,IF((J$6-$G$3)&lt;1,0,IFERROR(LOOKUP(2,1/('Feijão 1ª safra'!$E53:INDEX('Feijão 1ª safra'!$E53:$Z53,MIN(J$6-$G$3,22))&lt;&gt;""),'Feijão 1ª safra'!$E53:INDEX('Feijão 1ª safra'!$E53:$Z53,MIN(J$6-$G$3,22))),0)))))</f>
        <v>0</v>
      </c>
      <c r="K55" s="27" t="n">
        <f aca="false">IF(COUNT('Feijão 1ª safra'!$E53:$Z53)=0,0,MAX(0,IF((K$6-$E$3)&lt;1,0,IFERROR(LOOKUP(2,1/('Feijão 1ª safra'!$E53:INDEX('Feijão 1ª safra'!$E53:$Z53,MIN(K$6-$E$3,22))&lt;&gt;""),'Feijão 1ª safra'!$E53:INDEX('Feijão 1ª safra'!$E53:$Z53,MIN(K$6-$E$3,22))),0))-IF($G$2,0,IF((K$6-$G$3)&lt;1,0,IFERROR(LOOKUP(2,1/('Feijão 1ª safra'!$E53:INDEX('Feijão 1ª safra'!$E53:$Z53,MIN(K$6-$G$3,22))&lt;&gt;""),'Feijão 1ª safra'!$E53:INDEX('Feijão 1ª safra'!$E53:$Z53,MIN(K$6-$G$3,22))),0)))))</f>
        <v>0</v>
      </c>
      <c r="L55" s="27" t="n">
        <f aca="false">IF(COUNT('Feijão 1ª safra'!$E53:$Z53)=0,0,MAX(0,IF((L$6-$E$3)&lt;1,0,IFERROR(LOOKUP(2,1/('Feijão 1ª safra'!$E53:INDEX('Feijão 1ª safra'!$E53:$Z53,MIN(L$6-$E$3,22))&lt;&gt;""),'Feijão 1ª safra'!$E53:INDEX('Feijão 1ª safra'!$E53:$Z53,MIN(L$6-$E$3,22))),0))-IF($G$2,0,IF((L$6-$G$3)&lt;1,0,IFERROR(LOOKUP(2,1/('Feijão 1ª safra'!$E53:INDEX('Feijão 1ª safra'!$E53:$Z53,MIN(L$6-$G$3,22))&lt;&gt;""),'Feijão 1ª safra'!$E53:INDEX('Feijão 1ª safra'!$E53:$Z53,MIN(L$6-$G$3,22))),0)))))</f>
        <v>0</v>
      </c>
      <c r="M55" s="27" t="n">
        <f aca="false">IF(COUNT('Feijão 1ª safra'!$E53:$Z53)=0,0,MAX(0,IF((M$6-$E$3)&lt;1,0,IFERROR(LOOKUP(2,1/('Feijão 1ª safra'!$E53:INDEX('Feijão 1ª safra'!$E53:$Z53,MIN(M$6-$E$3,22))&lt;&gt;""),'Feijão 1ª safra'!$E53:INDEX('Feijão 1ª safra'!$E53:$Z53,MIN(M$6-$E$3,22))),0))-IF($G$2,0,IF((M$6-$G$3)&lt;1,0,IFERROR(LOOKUP(2,1/('Feijão 1ª safra'!$E53:INDEX('Feijão 1ª safra'!$E53:$Z53,MIN(M$6-$G$3,22))&lt;&gt;""),'Feijão 1ª safra'!$E53:INDEX('Feijão 1ª safra'!$E53:$Z53,MIN(M$6-$G$3,22))),0)))))</f>
        <v>0</v>
      </c>
      <c r="N55" s="27" t="n">
        <f aca="false">IF(COUNT('Feijão 1ª safra'!$E53:$Z53)=0,0,MAX(0,IF((N$6-$E$3)&lt;1,0,IFERROR(LOOKUP(2,1/('Feijão 1ª safra'!$E53:INDEX('Feijão 1ª safra'!$E53:$Z53,MIN(N$6-$E$3,22))&lt;&gt;""),'Feijão 1ª safra'!$E53:INDEX('Feijão 1ª safra'!$E53:$Z53,MIN(N$6-$E$3,22))),0))-IF($G$2,0,IF((N$6-$G$3)&lt;1,0,IFERROR(LOOKUP(2,1/('Feijão 1ª safra'!$E53:INDEX('Feijão 1ª safra'!$E53:$Z53,MIN(N$6-$G$3,22))&lt;&gt;""),'Feijão 1ª safra'!$E53:INDEX('Feijão 1ª safra'!$E53:$Z53,MIN(N$6-$G$3,22))),0)))))</f>
        <v>0</v>
      </c>
      <c r="O55" s="27" t="n">
        <f aca="false">IF(COUNT('Feijão 1ª safra'!$E53:$Z53)=0,0,MAX(0,IF((O$6-$E$3)&lt;1,0,IFERROR(LOOKUP(2,1/('Feijão 1ª safra'!$E53:INDEX('Feijão 1ª safra'!$E53:$Z53,MIN(O$6-$E$3,22))&lt;&gt;""),'Feijão 1ª safra'!$E53:INDEX('Feijão 1ª safra'!$E53:$Z53,MIN(O$6-$E$3,22))),0))-IF($G$2,0,IF((O$6-$G$3)&lt;1,0,IFERROR(LOOKUP(2,1/('Feijão 1ª safra'!$E53:INDEX('Feijão 1ª safra'!$E53:$Z53,MIN(O$6-$G$3,22))&lt;&gt;""),'Feijão 1ª safra'!$E53:INDEX('Feijão 1ª safra'!$E53:$Z53,MIN(O$6-$G$3,22))),0)))))</f>
        <v>0</v>
      </c>
      <c r="P55" s="27" t="n">
        <f aca="false">IF(COUNT('Feijão 1ª safra'!$E53:$Z53)=0,0,MAX(0,IF((P$6-$E$3)&lt;1,0,IFERROR(LOOKUP(2,1/('Feijão 1ª safra'!$E53:INDEX('Feijão 1ª safra'!$E53:$Z53,MIN(P$6-$E$3,22))&lt;&gt;""),'Feijão 1ª safra'!$E53:INDEX('Feijão 1ª safra'!$E53:$Z53,MIN(P$6-$E$3,22))),0))-IF($G$2,0,IF((P$6-$G$3)&lt;1,0,IFERROR(LOOKUP(2,1/('Feijão 1ª safra'!$E53:INDEX('Feijão 1ª safra'!$E53:$Z53,MIN(P$6-$G$3,22))&lt;&gt;""),'Feijão 1ª safra'!$E53:INDEX('Feijão 1ª safra'!$E53:$Z53,MIN(P$6-$G$3,22))),0)))))</f>
        <v>0</v>
      </c>
      <c r="Q55" s="27" t="n">
        <f aca="false">IF(COUNT('Feijão 1ª safra'!$E53:$Z53)=0,0,MAX(0,IF((Q$6-$E$3)&lt;1,0,IFERROR(LOOKUP(2,1/('Feijão 1ª safra'!$E53:INDEX('Feijão 1ª safra'!$E53:$Z53,MIN(Q$6-$E$3,22))&lt;&gt;""),'Feijão 1ª safra'!$E53:INDEX('Feijão 1ª safra'!$E53:$Z53,MIN(Q$6-$E$3,22))),0))-IF($G$2,0,IF((Q$6-$G$3)&lt;1,0,IFERROR(LOOKUP(2,1/('Feijão 1ª safra'!$E53:INDEX('Feijão 1ª safra'!$E53:$Z53,MIN(Q$6-$G$3,22))&lt;&gt;""),'Feijão 1ª safra'!$E53:INDEX('Feijão 1ª safra'!$E53:$Z53,MIN(Q$6-$G$3,22))),0)))))</f>
        <v>0</v>
      </c>
      <c r="R55" s="27" t="n">
        <f aca="false">IF(COUNT('Feijão 1ª safra'!$E53:$Z53)=0,0,MAX(0,IF((R$6-$E$3)&lt;1,0,IFERROR(LOOKUP(2,1/('Feijão 1ª safra'!$E53:INDEX('Feijão 1ª safra'!$E53:$Z53,MIN(R$6-$E$3,22))&lt;&gt;""),'Feijão 1ª safra'!$E53:INDEX('Feijão 1ª safra'!$E53:$Z53,MIN(R$6-$E$3,22))),0))-IF($G$2,0,IF((R$6-$G$3)&lt;1,0,IFERROR(LOOKUP(2,1/('Feijão 1ª safra'!$E53:INDEX('Feijão 1ª safra'!$E53:$Z53,MIN(R$6-$G$3,22))&lt;&gt;""),'Feijão 1ª safra'!$E53:INDEX('Feijão 1ª safra'!$E53:$Z53,MIN(R$6-$G$3,22))),0)))))</f>
        <v>0</v>
      </c>
      <c r="S55" s="27" t="n">
        <f aca="false">IF(COUNT('Feijão 1ª safra'!$E53:$Z53)=0,0,MAX(0,IF((S$6-$E$3)&lt;1,0,IFERROR(LOOKUP(2,1/('Feijão 1ª safra'!$E53:INDEX('Feijão 1ª safra'!$E53:$Z53,MIN(S$6-$E$3,22))&lt;&gt;""),'Feijão 1ª safra'!$E53:INDEX('Feijão 1ª safra'!$E53:$Z53,MIN(S$6-$E$3,22))),0))-IF($G$2,0,IF((S$6-$G$3)&lt;1,0,IFERROR(LOOKUP(2,1/('Feijão 1ª safra'!$E53:INDEX('Feijão 1ª safra'!$E53:$Z53,MIN(S$6-$G$3,22))&lt;&gt;""),'Feijão 1ª safra'!$E53:INDEX('Feijão 1ª safra'!$E53:$Z53,MIN(S$6-$G$3,22))),0)))))</f>
        <v>0</v>
      </c>
      <c r="T55" s="27" t="n">
        <f aca="false">IF(COUNT('Feijão 1ª safra'!$E53:$Z53)=0,0,MAX(0,IF((T$6-$E$3)&lt;1,0,IFERROR(LOOKUP(2,1/('Feijão 1ª safra'!$E53:INDEX('Feijão 1ª safra'!$E53:$Z53,MIN(T$6-$E$3,22))&lt;&gt;""),'Feijão 1ª safra'!$E53:INDEX('Feijão 1ª safra'!$E53:$Z53,MIN(T$6-$E$3,22))),0))-IF($G$2,0,IF((T$6-$G$3)&lt;1,0,IFERROR(LOOKUP(2,1/('Feijão 1ª safra'!$E53:INDEX('Feijão 1ª safra'!$E53:$Z53,MIN(T$6-$G$3,22))&lt;&gt;""),'Feijão 1ª safra'!$E53:INDEX('Feijão 1ª safra'!$E53:$Z53,MIN(T$6-$G$3,22))),0)))))</f>
        <v>0</v>
      </c>
      <c r="U55" s="27" t="n">
        <f aca="false">IF(COUNT('Feijão 1ª safra'!$E53:$Z53)=0,0,MAX(0,IF((U$6-$E$3)&lt;1,0,IFERROR(LOOKUP(2,1/('Feijão 1ª safra'!$E53:INDEX('Feijão 1ª safra'!$E53:$Z53,MIN(U$6-$E$3,22))&lt;&gt;""),'Feijão 1ª safra'!$E53:INDEX('Feijão 1ª safra'!$E53:$Z53,MIN(U$6-$E$3,22))),0))-IF($G$2,0,IF((U$6-$G$3)&lt;1,0,IFERROR(LOOKUP(2,1/('Feijão 1ª safra'!$E53:INDEX('Feijão 1ª safra'!$E53:$Z53,MIN(U$6-$G$3,22))&lt;&gt;""),'Feijão 1ª safra'!$E53:INDEX('Feijão 1ª safra'!$E53:$Z53,MIN(U$6-$G$3,22))),0)))))</f>
        <v>0</v>
      </c>
      <c r="V55" s="27" t="n">
        <f aca="false">IF(COUNT('Feijão 1ª safra'!$E53:$Z53)=0,0,MAX(0,IF((V$6-$E$3)&lt;1,0,IFERROR(LOOKUP(2,1/('Feijão 1ª safra'!$E53:INDEX('Feijão 1ª safra'!$E53:$Z53,MIN(V$6-$E$3,22))&lt;&gt;""),'Feijão 1ª safra'!$E53:INDEX('Feijão 1ª safra'!$E53:$Z53,MIN(V$6-$E$3,22))),0))-IF($G$2,0,IF((V$6-$G$3)&lt;1,0,IFERROR(LOOKUP(2,1/('Feijão 1ª safra'!$E53:INDEX('Feijão 1ª safra'!$E53:$Z53,MIN(V$6-$G$3,22))&lt;&gt;""),'Feijão 1ª safra'!$E53:INDEX('Feijão 1ª safra'!$E53:$Z53,MIN(V$6-$G$3,22))),0)))))</f>
        <v>0</v>
      </c>
      <c r="W55" s="27" t="n">
        <f aca="false">IF(COUNT('Feijão 1ª safra'!$E53:$Z53)=0,0,MAX(0,IF((W$6-$E$3)&lt;1,0,IFERROR(LOOKUP(2,1/('Feijão 1ª safra'!$E53:INDEX('Feijão 1ª safra'!$E53:$Z53,MIN(W$6-$E$3,22))&lt;&gt;""),'Feijão 1ª safra'!$E53:INDEX('Feijão 1ª safra'!$E53:$Z53,MIN(W$6-$E$3,22))),0))-IF($G$2,0,IF((W$6-$G$3)&lt;1,0,IFERROR(LOOKUP(2,1/('Feijão 1ª safra'!$E53:INDEX('Feijão 1ª safra'!$E53:$Z53,MIN(W$6-$G$3,22))&lt;&gt;""),'Feijão 1ª safra'!$E53:INDEX('Feijão 1ª safra'!$E53:$Z53,MIN(W$6-$G$3,22))),0)))))</f>
        <v>0</v>
      </c>
      <c r="X55" s="27" t="n">
        <f aca="false">IF(COUNT('Feijão 1ª safra'!$E53:$Z53)=0,0,MAX(0,IF((X$6-$E$3)&lt;1,0,IFERROR(LOOKUP(2,1/('Feijão 1ª safra'!$E53:INDEX('Feijão 1ª safra'!$E53:$Z53,MIN(X$6-$E$3,22))&lt;&gt;""),'Feijão 1ª safra'!$E53:INDEX('Feijão 1ª safra'!$E53:$Z53,MIN(X$6-$E$3,22))),0))-IF($G$2,0,IF((X$6-$G$3)&lt;1,0,IFERROR(LOOKUP(2,1/('Feijão 1ª safra'!$E53:INDEX('Feijão 1ª safra'!$E53:$Z53,MIN(X$6-$G$3,22))&lt;&gt;""),'Feijão 1ª safra'!$E53:INDEX('Feijão 1ª safra'!$E53:$Z53,MIN(X$6-$G$3,22))),0)))))</f>
        <v>0</v>
      </c>
      <c r="Y55" s="27" t="n">
        <f aca="false">IF(COUNT('Feijão 1ª safra'!$E53:$Z53)=0,0,MAX(0,IF((Y$6-$E$3)&lt;1,0,IFERROR(LOOKUP(2,1/('Feijão 1ª safra'!$E53:INDEX('Feijão 1ª safra'!$E53:$Z53,MIN(Y$6-$E$3,22))&lt;&gt;""),'Feijão 1ª safra'!$E53:INDEX('Feijão 1ª safra'!$E53:$Z53,MIN(Y$6-$E$3,22))),0))-IF($G$2,0,IF((Y$6-$G$3)&lt;1,0,IFERROR(LOOKUP(2,1/('Feijão 1ª safra'!$E53:INDEX('Feijão 1ª safra'!$E53:$Z53,MIN(Y$6-$G$3,22))&lt;&gt;""),'Feijão 1ª safra'!$E53:INDEX('Feijão 1ª safra'!$E53:$Z53,MIN(Y$6-$G$3,22))),0)))))</f>
        <v>0</v>
      </c>
      <c r="Z55" s="27" t="n">
        <f aca="false">IF(COUNT('Feijão 1ª safra'!$E53:$Z53)=0,0,MAX(0,IF((Z$6-$E$3)&lt;1,0,IFERROR(LOOKUP(2,1/('Feijão 1ª safra'!$E53:INDEX('Feijão 1ª safra'!$E53:$Z53,MIN(Z$6-$E$3,22))&lt;&gt;""),'Feijão 1ª safra'!$E53:INDEX('Feijão 1ª safra'!$E53:$Z53,MIN(Z$6-$E$3,22))),0))-IF($G$2,0,IF((Z$6-$G$3)&lt;1,0,IFERROR(LOOKUP(2,1/('Feijão 1ª safra'!$E53:INDEX('Feijão 1ª safra'!$E53:$Z53,MIN(Z$6-$G$3,22))&lt;&gt;""),'Feijão 1ª safra'!$E53:INDEX('Feijão 1ª safra'!$E53:$Z53,MIN(Z$6-$G$3,22))),0)))))</f>
        <v>0</v>
      </c>
      <c r="AA55" s="27" t="n">
        <f aca="false">IF(COUNT('Feijão 1ª safra'!$E53:$Z53)=0,0,MAX(0,IF((AA$6-$E$3)&lt;1,0,IFERROR(LOOKUP(2,1/('Feijão 1ª safra'!$E53:INDEX('Feijão 1ª safra'!$E53:$Z53,MIN(AA$6-$E$3,22))&lt;&gt;""),'Feijão 1ª safra'!$E53:INDEX('Feijão 1ª safra'!$E53:$Z53,MIN(AA$6-$E$3,22))),0))-IF($G$2,0,IF((AA$6-$G$3)&lt;1,0,IFERROR(LOOKUP(2,1/('Feijão 1ª safra'!$E53:INDEX('Feijão 1ª safra'!$E53:$Z53,MIN(AA$6-$G$3,22))&lt;&gt;""),'Feijão 1ª safra'!$E53:INDEX('Feijão 1ª safra'!$E53:$Z53,MIN(AA$6-$G$3,22))),0)))))</f>
        <v>0</v>
      </c>
      <c r="AB55" s="27" t="n">
        <f aca="false">IF(COUNT('Feijão 1ª safra'!$E53:$Z53)=0,0,MAX(0,IF((AB$6-$E$3)&lt;1,0,IFERROR(LOOKUP(2,1/('Feijão 1ª safra'!$E53:INDEX('Feijão 1ª safra'!$E53:$Z53,MIN(AB$6-$E$3,22))&lt;&gt;""),'Feijão 1ª safra'!$E53:INDEX('Feijão 1ª safra'!$E53:$Z53,MIN(AB$6-$E$3,22))),0))-IF($G$2,0,IF((AB$6-$G$3)&lt;1,0,IFERROR(LOOKUP(2,1/('Feijão 1ª safra'!$E53:INDEX('Feijão 1ª safra'!$E53:$Z53,MIN(AB$6-$G$3,22))&lt;&gt;""),'Feijão 1ª safra'!$E53:INDEX('Feijão 1ª safra'!$E53:$Z53,MIN(AB$6-$G$3,22))),0)))))</f>
        <v>0</v>
      </c>
      <c r="AC55" s="27" t="n">
        <f aca="false">IF(COUNT('Feijão 1ª safra'!$E53:$Z53)=0,0,MAX(0,IF((AC$6-$E$3)&lt;1,0,IFERROR(LOOKUP(2,1/('Feijão 1ª safra'!$E53:INDEX('Feijão 1ª safra'!$E53:$Z53,MIN(AC$6-$E$3,22))&lt;&gt;""),'Feijão 1ª safra'!$E53:INDEX('Feijão 1ª safra'!$E53:$Z53,MIN(AC$6-$E$3,22))),0))-IF($G$2,0,IF((AC$6-$G$3)&lt;1,0,IFERROR(LOOKUP(2,1/('Feijão 1ª safra'!$E53:INDEX('Feijão 1ª safra'!$E53:$Z53,MIN(AC$6-$G$3,22))&lt;&gt;""),'Feijão 1ª safra'!$E53:INDEX('Feijão 1ª safra'!$E53:$Z53,MIN(AC$6-$G$3,22))),0)))))</f>
        <v>0</v>
      </c>
      <c r="AD55" s="27" t="n">
        <f aca="false">IF(COUNT('Feijão 1ª safra'!$E53:$Z53)=0,0,MAX(0,IF((AD$6-$E$3)&lt;1,0,IFERROR(LOOKUP(2,1/('Feijão 1ª safra'!$E53:INDEX('Feijão 1ª safra'!$E53:$Z53,MIN(AD$6-$E$3,22))&lt;&gt;""),'Feijão 1ª safra'!$E53:INDEX('Feijão 1ª safra'!$E53:$Z53,MIN(AD$6-$E$3,22))),0))-IF($G$2,0,IF((AD$6-$G$3)&lt;1,0,IFERROR(LOOKUP(2,1/('Feijão 1ª safra'!$E53:INDEX('Feijão 1ª safra'!$E53:$Z53,MIN(AD$6-$G$3,22))&lt;&gt;""),'Feijão 1ª safra'!$E53:INDEX('Feijão 1ª safra'!$E53:$Z53,MIN(AD$6-$G$3,22))),0)))))</f>
        <v>0</v>
      </c>
      <c r="AE55" s="27" t="n">
        <f aca="false">IF(COUNT('Feijão 1ª safra'!$E53:$Z53)=0,0,MAX(0,IF((AE$6-$E$3)&lt;1,0,IFERROR(LOOKUP(2,1/('Feijão 1ª safra'!$E53:INDEX('Feijão 1ª safra'!$E53:$Z53,MIN(AE$6-$E$3,22))&lt;&gt;""),'Feijão 1ª safra'!$E53:INDEX('Feijão 1ª safra'!$E53:$Z53,MIN(AE$6-$E$3,22))),0))-IF($G$2,0,IF((AE$6-$G$3)&lt;1,0,IFERROR(LOOKUP(2,1/('Feijão 1ª safra'!$E53:INDEX('Feijão 1ª safra'!$E53:$Z53,MIN(AE$6-$G$3,22))&lt;&gt;""),'Feijão 1ª safra'!$E53:INDEX('Feijão 1ª safra'!$E53:$Z53,MIN(AE$6-$G$3,22))),0)))))</f>
        <v>0</v>
      </c>
      <c r="AF55" s="27" t="n">
        <f aca="false">IF(COUNT('Feijão 1ª safra'!$E53:$Z53)=0,0,MAX(0,IF((AF$6-$E$3)&lt;1,0,IFERROR(LOOKUP(2,1/('Feijão 1ª safra'!$E53:INDEX('Feijão 1ª safra'!$E53:$Z53,MIN(AF$6-$E$3,22))&lt;&gt;""),'Feijão 1ª safra'!$E53:INDEX('Feijão 1ª safra'!$E53:$Z53,MIN(AF$6-$E$3,22))),0))-IF($G$2,0,IF((AF$6-$G$3)&lt;1,0,IFERROR(LOOKUP(2,1/('Feijão 1ª safra'!$E53:INDEX('Feijão 1ª safra'!$E53:$Z53,MIN(AF$6-$G$3,22))&lt;&gt;""),'Feijão 1ª safra'!$E53:INDEX('Feijão 1ª safra'!$E53:$Z53,MIN(AF$6-$G$3,22))),0)))))</f>
        <v>0</v>
      </c>
      <c r="AG55" s="27" t="n">
        <f aca="false">IF(COUNT('Feijão 1ª safra'!$E53:$Z53)=0,0,MAX(0,IF((AG$6-$E$3)&lt;1,0,IFERROR(LOOKUP(2,1/('Feijão 1ª safra'!$E53:INDEX('Feijão 1ª safra'!$E53:$Z53,MIN(AG$6-$E$3,22))&lt;&gt;""),'Feijão 1ª safra'!$E53:INDEX('Feijão 1ª safra'!$E53:$Z53,MIN(AG$6-$E$3,22))),0))-IF($G$2,0,IF((AG$6-$G$3)&lt;1,0,IFERROR(LOOKUP(2,1/('Feijão 1ª safra'!$E53:INDEX('Feijão 1ª safra'!$E53:$Z53,MIN(AG$6-$G$3,22))&lt;&gt;""),'Feijão 1ª safra'!$E53:INDEX('Feijão 1ª safra'!$E53:$Z53,MIN(AG$6-$G$3,22))),0)))))</f>
        <v>0</v>
      </c>
      <c r="AH55" s="27" t="n">
        <f aca="false">IF(COUNT('Feijão 1ª safra'!$E53:$Z53)=0,0,MAX(0,IF((AH$6-$E$3)&lt;1,0,IFERROR(LOOKUP(2,1/('Feijão 1ª safra'!$E53:INDEX('Feijão 1ª safra'!$E53:$Z53,MIN(AH$6-$E$3,22))&lt;&gt;""),'Feijão 1ª safra'!$E53:INDEX('Feijão 1ª safra'!$E53:$Z53,MIN(AH$6-$E$3,22))),0))-IF($G$2,0,IF((AH$6-$G$3)&lt;1,0,IFERROR(LOOKUP(2,1/('Feijão 1ª safra'!$E53:INDEX('Feijão 1ª safra'!$E53:$Z53,MIN(AH$6-$G$3,22))&lt;&gt;""),'Feijão 1ª safra'!$E53:INDEX('Feijão 1ª safra'!$E53:$Z53,MIN(AH$6-$G$3,22))),0)))))</f>
        <v>0</v>
      </c>
      <c r="AI55" s="27" t="n">
        <f aca="false">IF(COUNT('Feijão 1ª safra'!$E53:$Z53)=0,0,MAX(0,IF((AI$6-$E$3)&lt;1,0,IFERROR(LOOKUP(2,1/('Feijão 1ª safra'!$E53:INDEX('Feijão 1ª safra'!$E53:$Z53,MIN(AI$6-$E$3,22))&lt;&gt;""),'Feijão 1ª safra'!$E53:INDEX('Feijão 1ª safra'!$E53:$Z53,MIN(AI$6-$E$3,22))),0))-IF($G$2,0,IF((AI$6-$G$3)&lt;1,0,IFERROR(LOOKUP(2,1/('Feijão 1ª safra'!$E53:INDEX('Feijão 1ª safra'!$E53:$Z53,MIN(AI$6-$G$3,22))&lt;&gt;""),'Feijão 1ª safra'!$E53:INDEX('Feijão 1ª safra'!$E53:$Z53,MIN(AI$6-$G$3,22))),0)))))</f>
        <v>0</v>
      </c>
      <c r="AJ55" s="27" t="n">
        <f aca="false">IF(COUNT('Feijão 1ª safra'!$E53:$Z53)=0,0,MAX(0,IF((AJ$6-$E$3)&lt;1,0,IFERROR(LOOKUP(2,1/('Feijão 1ª safra'!$E53:INDEX('Feijão 1ª safra'!$E53:$Z53,MIN(AJ$6-$E$3,22))&lt;&gt;""),'Feijão 1ª safra'!$E53:INDEX('Feijão 1ª safra'!$E53:$Z53,MIN(AJ$6-$E$3,22))),0))-IF($G$2,0,IF((AJ$6-$G$3)&lt;1,0,IFERROR(LOOKUP(2,1/('Feijão 1ª safra'!$E53:INDEX('Feijão 1ª safra'!$E53:$Z53,MIN(AJ$6-$G$3,22))&lt;&gt;""),'Feijão 1ª safra'!$E53:INDEX('Feijão 1ª safra'!$E53:$Z53,MIN(AJ$6-$G$3,22))),0)))))</f>
        <v>0</v>
      </c>
      <c r="AK55" s="27" t="n">
        <f aca="false">IF(COUNT('Feijão 1ª safra'!$E53:$Z53)=0,0,MAX(0,IF((AK$6-$E$3)&lt;1,0,IFERROR(LOOKUP(2,1/('Feijão 1ª safra'!$E53:INDEX('Feijão 1ª safra'!$E53:$Z53,MIN(AK$6-$E$3,22))&lt;&gt;""),'Feijão 1ª safra'!$E53:INDEX('Feijão 1ª safra'!$E53:$Z53,MIN(AK$6-$E$3,22))),0))-IF($G$2,0,IF((AK$6-$G$3)&lt;1,0,IFERROR(LOOKUP(2,1/('Feijão 1ª safra'!$E53:INDEX('Feijão 1ª safra'!$E53:$Z53,MIN(AK$6-$G$3,22))&lt;&gt;""),'Feijão 1ª safra'!$E53:INDEX('Feijão 1ª safra'!$E53:$Z53,MIN(AK$6-$G$3,22))),0)))))</f>
        <v>0</v>
      </c>
      <c r="AL55" s="27" t="n">
        <f aca="false">IF(COUNT('Feijão 1ª safra'!$E53:$Z53)=0,0,MAX(0,IF((AL$6-$E$3)&lt;1,0,IFERROR(LOOKUP(2,1/('Feijão 1ª safra'!$E53:INDEX('Feijão 1ª safra'!$E53:$Z53,MIN(AL$6-$E$3,22))&lt;&gt;""),'Feijão 1ª safra'!$E53:INDEX('Feijão 1ª safra'!$E53:$Z53,MIN(AL$6-$E$3,22))),0))-IF($G$2,0,IF((AL$6-$G$3)&lt;1,0,IFERROR(LOOKUP(2,1/('Feijão 1ª safra'!$E53:INDEX('Feijão 1ª safra'!$E53:$Z53,MIN(AL$6-$G$3,22))&lt;&gt;""),'Feijão 1ª safra'!$E53:INDEX('Feijão 1ª safra'!$E53:$Z53,MIN(AL$6-$G$3,22))),0)))))</f>
        <v>0</v>
      </c>
      <c r="AM55" s="27" t="n">
        <f aca="false">IF(COUNT('Feijão 1ª safra'!$E53:$Z53)=0,0,MAX(0,IF((AM$6-$E$3)&lt;1,0,IFERROR(LOOKUP(2,1/('Feijão 1ª safra'!$E53:INDEX('Feijão 1ª safra'!$E53:$Z53,MIN(AM$6-$E$3,22))&lt;&gt;""),'Feijão 1ª safra'!$E53:INDEX('Feijão 1ª safra'!$E53:$Z53,MIN(AM$6-$E$3,22))),0))-IF($G$2,0,IF((AM$6-$G$3)&lt;1,0,IFERROR(LOOKUP(2,1/('Feijão 1ª safra'!$E53:INDEX('Feijão 1ª safra'!$E53:$Z53,MIN(AM$6-$G$3,22))&lt;&gt;""),'Feijão 1ª safra'!$E53:INDEX('Feijão 1ª safra'!$E53:$Z53,MIN(AM$6-$G$3,22))),0)))))</f>
        <v>0</v>
      </c>
      <c r="AN55" s="27" t="n">
        <f aca="false">IF(COUNT('Feijão 1ª safra'!$E53:$Z53)=0,0,MAX(0,IF((AN$6-$E$3)&lt;1,0,IFERROR(LOOKUP(2,1/('Feijão 1ª safra'!$E53:INDEX('Feijão 1ª safra'!$E53:$Z53,MIN(AN$6-$E$3,22))&lt;&gt;""),'Feijão 1ª safra'!$E53:INDEX('Feijão 1ª safra'!$E53:$Z53,MIN(AN$6-$E$3,22))),0))-IF($G$2,0,IF((AN$6-$G$3)&lt;1,0,IFERROR(LOOKUP(2,1/('Feijão 1ª safra'!$E53:INDEX('Feijão 1ª safra'!$E53:$Z53,MIN(AN$6-$G$3,22))&lt;&gt;""),'Feijão 1ª safra'!$E53:INDEX('Feijão 1ª safra'!$E53:$Z53,MIN(AN$6-$G$3,22))),0)))))</f>
        <v>0</v>
      </c>
      <c r="AO55" s="27" t="n">
        <f aca="false">IF(COUNT('Feijão 1ª safra'!$E53:$Z53)=0,0,MAX(0,IF((AO$6-$E$3)&lt;1,0,IFERROR(LOOKUP(2,1/('Feijão 1ª safra'!$E53:INDEX('Feijão 1ª safra'!$E53:$Z53,MIN(AO$6-$E$3,22))&lt;&gt;""),'Feijão 1ª safra'!$E53:INDEX('Feijão 1ª safra'!$E53:$Z53,MIN(AO$6-$E$3,22))),0))-IF($G$2,0,IF((AO$6-$G$3)&lt;1,0,IFERROR(LOOKUP(2,1/('Feijão 1ª safra'!$E53:INDEX('Feijão 1ª safra'!$E53:$Z53,MIN(AO$6-$G$3,22))&lt;&gt;""),'Feijão 1ª safra'!$E53:INDEX('Feijão 1ª safra'!$E53:$Z53,MIN(AO$6-$G$3,22))),0)))))</f>
        <v>0</v>
      </c>
      <c r="AP55" s="27" t="n">
        <f aca="false">IF(COUNT('Feijão 1ª safra'!$E53:$Z53)=0,0,MAX(0,IF((AP$6-$E$3)&lt;1,0,IFERROR(LOOKUP(2,1/('Feijão 1ª safra'!$E53:INDEX('Feijão 1ª safra'!$E53:$Z53,MIN(AP$6-$E$3,22))&lt;&gt;""),'Feijão 1ª safra'!$E53:INDEX('Feijão 1ª safra'!$E53:$Z53,MIN(AP$6-$E$3,22))),0))-IF($G$2,0,IF((AP$6-$G$3)&lt;1,0,IFERROR(LOOKUP(2,1/('Feijão 1ª safra'!$E53:INDEX('Feijão 1ª safra'!$E53:$Z53,MIN(AP$6-$G$3,22))&lt;&gt;""),'Feijão 1ª safra'!$E53:INDEX('Feijão 1ª safra'!$E53:$Z53,MIN(AP$6-$G$3,22))),0)))))</f>
        <v>0</v>
      </c>
      <c r="AQ55" s="27" t="n">
        <f aca="false">IF(COUNT('Feijão 1ª safra'!$E53:$Z53)=0,0,MAX(0,IF((AQ$6-$E$3)&lt;1,0,IFERROR(LOOKUP(2,1/('Feijão 1ª safra'!$E53:INDEX('Feijão 1ª safra'!$E53:$Z53,MIN(AQ$6-$E$3,22))&lt;&gt;""),'Feijão 1ª safra'!$E53:INDEX('Feijão 1ª safra'!$E53:$Z53,MIN(AQ$6-$E$3,22))),0))-IF($G$2,0,IF((AQ$6-$G$3)&lt;1,0,IFERROR(LOOKUP(2,1/('Feijão 1ª safra'!$E53:INDEX('Feijão 1ª safra'!$E53:$Z53,MIN(AQ$6-$G$3,22))&lt;&gt;""),'Feijão 1ª safra'!$E53:INDEX('Feijão 1ª safra'!$E53:$Z53,MIN(AQ$6-$G$3,22))),0)))))</f>
        <v>0</v>
      </c>
      <c r="AR55" s="27" t="n">
        <f aca="false">IF(COUNT('Feijão 1ª safra'!$E53:$Z53)=0,0,MAX(0,IF((AR$6-$E$3)&lt;1,0,IFERROR(LOOKUP(2,1/('Feijão 1ª safra'!$E53:INDEX('Feijão 1ª safra'!$E53:$Z53,MIN(AR$6-$E$3,22))&lt;&gt;""),'Feijão 1ª safra'!$E53:INDEX('Feijão 1ª safra'!$E53:$Z53,MIN(AR$6-$E$3,22))),0))-IF($G$2,0,IF((AR$6-$G$3)&lt;1,0,IFERROR(LOOKUP(2,1/('Feijão 1ª safra'!$E53:INDEX('Feijão 1ª safra'!$E53:$Z53,MIN(AR$6-$G$3,22))&lt;&gt;""),'Feijão 1ª safra'!$E53:INDEX('Feijão 1ª safra'!$E53:$Z53,MIN(AR$6-$G$3,22))),0)))))</f>
        <v>0</v>
      </c>
      <c r="AS55" s="27" t="n">
        <f aca="false">IF(COUNT('Feijão 1ª safra'!$E53:$Z53)=0,0,MAX(0,IF((AS$6-$E$3)&lt;1,0,IFERROR(LOOKUP(2,1/('Feijão 1ª safra'!$E53:INDEX('Feijão 1ª safra'!$E53:$Z53,MIN(AS$6-$E$3,22))&lt;&gt;""),'Feijão 1ª safra'!$E53:INDEX('Feijão 1ª safra'!$E53:$Z53,MIN(AS$6-$E$3,22))),0))-IF($G$2,0,IF((AS$6-$G$3)&lt;1,0,IFERROR(LOOKUP(2,1/('Feijão 1ª safra'!$E53:INDEX('Feijão 1ª safra'!$E53:$Z53,MIN(AS$6-$G$3,22))&lt;&gt;""),'Feijão 1ª safra'!$E53:INDEX('Feijão 1ª safra'!$E53:$Z53,MIN(AS$6-$G$3,22))),0)))))</f>
        <v>0</v>
      </c>
      <c r="AT55" s="27" t="n">
        <f aca="false">IF(COUNT('Feijão 1ª safra'!$E53:$Z53)=0,0,MAX(0,IF((AT$6-$E$3)&lt;1,0,IFERROR(LOOKUP(2,1/('Feijão 1ª safra'!$E53:INDEX('Feijão 1ª safra'!$E53:$Z53,MIN(AT$6-$E$3,22))&lt;&gt;""),'Feijão 1ª safra'!$E53:INDEX('Feijão 1ª safra'!$E53:$Z53,MIN(AT$6-$E$3,22))),0))-IF($G$2,0,IF((AT$6-$G$3)&lt;1,0,IFERROR(LOOKUP(2,1/('Feijão 1ª safra'!$E53:INDEX('Feijão 1ª safra'!$E53:$Z53,MIN(AT$6-$G$3,22))&lt;&gt;""),'Feijão 1ª safra'!$E53:INDEX('Feijão 1ª safra'!$E53:$Z53,MIN(AT$6-$G$3,22))),0)))))</f>
        <v>0</v>
      </c>
      <c r="AU55" s="27" t="n">
        <f aca="false">IF(COUNT('Feijão 1ª safra'!$E53:$Z53)=0,0,MAX(0,IF((AU$6-$E$3)&lt;1,0,IFERROR(LOOKUP(2,1/('Feijão 1ª safra'!$E53:INDEX('Feijão 1ª safra'!$E53:$Z53,MIN(AU$6-$E$3,22))&lt;&gt;""),'Feijão 1ª safra'!$E53:INDEX('Feijão 1ª safra'!$E53:$Z53,MIN(AU$6-$E$3,22))),0))-IF($G$2,0,IF((AU$6-$G$3)&lt;1,0,IFERROR(LOOKUP(2,1/('Feijão 1ª safra'!$E53:INDEX('Feijão 1ª safra'!$E53:$Z53,MIN(AU$6-$G$3,22))&lt;&gt;""),'Feijão 1ª safra'!$E53:INDEX('Feijão 1ª safra'!$E53:$Z53,MIN(AU$6-$G$3,22))),0)))))</f>
        <v>0</v>
      </c>
      <c r="AV55" s="27" t="n">
        <f aca="false">IF(COUNT('Feijão 1ª safra'!$E53:$Z53)=0,0,MAX(0,IF((AV$6-$E$3)&lt;1,0,IFERROR(LOOKUP(2,1/('Feijão 1ª safra'!$E53:INDEX('Feijão 1ª safra'!$E53:$Z53,MIN(AV$6-$E$3,22))&lt;&gt;""),'Feijão 1ª safra'!$E53:INDEX('Feijão 1ª safra'!$E53:$Z53,MIN(AV$6-$E$3,22))),0))-IF($G$2,0,IF((AV$6-$G$3)&lt;1,0,IFERROR(LOOKUP(2,1/('Feijão 1ª safra'!$E53:INDEX('Feijão 1ª safra'!$E53:$Z53,MIN(AV$6-$G$3,22))&lt;&gt;""),'Feijão 1ª safra'!$E53:INDEX('Feijão 1ª safra'!$E53:$Z53,MIN(AV$6-$G$3,22))),0)))))</f>
        <v>0</v>
      </c>
      <c r="AW55" s="27" t="n">
        <f aca="false">IF(COUNT('Feijão 1ª safra'!$E53:$Z53)=0,0,MAX(0,IF((AW$6-$E$3)&lt;1,0,IFERROR(LOOKUP(2,1/('Feijão 1ª safra'!$E53:INDEX('Feijão 1ª safra'!$E53:$Z53,MIN(AW$6-$E$3,22))&lt;&gt;""),'Feijão 1ª safra'!$E53:INDEX('Feijão 1ª safra'!$E53:$Z53,MIN(AW$6-$E$3,22))),0))-IF($G$2,0,IF((AW$6-$G$3)&lt;1,0,IFERROR(LOOKUP(2,1/('Feijão 1ª safra'!$E53:INDEX('Feijão 1ª safra'!$E53:$Z53,MIN(AW$6-$G$3,22))&lt;&gt;""),'Feijão 1ª safra'!$E53:INDEX('Feijão 1ª safra'!$E53:$Z53,MIN(AW$6-$G$3,22))),0)))))</f>
        <v>0</v>
      </c>
      <c r="AX55" s="27" t="n">
        <f aca="false">IF(COUNT('Feijão 1ª safra'!$E53:$Z53)=0,0,MAX(0,IF((AX$6-$E$3)&lt;1,0,IFERROR(LOOKUP(2,1/('Feijão 1ª safra'!$E53:INDEX('Feijão 1ª safra'!$E53:$Z53,MIN(AX$6-$E$3,22))&lt;&gt;""),'Feijão 1ª safra'!$E53:INDEX('Feijão 1ª safra'!$E53:$Z53,MIN(AX$6-$E$3,22))),0))-IF($G$2,0,IF((AX$6-$G$3)&lt;1,0,IFERROR(LOOKUP(2,1/('Feijão 1ª safra'!$E53:INDEX('Feijão 1ª safra'!$E53:$Z53,MIN(AX$6-$G$3,22))&lt;&gt;""),'Feijão 1ª safra'!$E53:INDEX('Feijão 1ª safra'!$E53:$Z53,MIN(AX$6-$G$3,22))),0)))))</f>
        <v>0</v>
      </c>
      <c r="AY55" s="27" t="n">
        <f aca="false">IF(COUNT('Feijão 1ª safra'!$E53:$Z53)=0,0,MAX(0,IF((AY$6-$E$3)&lt;1,0,IFERROR(LOOKUP(2,1/('Feijão 1ª safra'!$E53:INDEX('Feijão 1ª safra'!$E53:$Z53,MIN(AY$6-$E$3,22))&lt;&gt;""),'Feijão 1ª safra'!$E53:INDEX('Feijão 1ª safra'!$E53:$Z53,MIN(AY$6-$E$3,22))),0))-IF($G$2,0,IF((AY$6-$G$3)&lt;1,0,IFERROR(LOOKUP(2,1/('Feijão 1ª safra'!$E53:INDEX('Feijão 1ª safra'!$E53:$Z53,MIN(AY$6-$G$3,22))&lt;&gt;""),'Feijão 1ª safra'!$E53:INDEX('Feijão 1ª safra'!$E53:$Z53,MIN(AY$6-$G$3,22))),0)))))</f>
        <v>0</v>
      </c>
      <c r="AZ55" s="27" t="n">
        <f aca="false">IF(COUNT('Feijão 1ª safra'!$E53:$Z53)=0,0,MAX(0,IF((AZ$6-$E$3)&lt;1,0,IFERROR(LOOKUP(2,1/('Feijão 1ª safra'!$E53:INDEX('Feijão 1ª safra'!$E53:$Z53,MIN(AZ$6-$E$3,22))&lt;&gt;""),'Feijão 1ª safra'!$E53:INDEX('Feijão 1ª safra'!$E53:$Z53,MIN(AZ$6-$E$3,22))),0))-IF($G$2,0,IF((AZ$6-$G$3)&lt;1,0,IFERROR(LOOKUP(2,1/('Feijão 1ª safra'!$E53:INDEX('Feijão 1ª safra'!$E53:$Z53,MIN(AZ$6-$G$3,22))&lt;&gt;""),'Feijão 1ª safra'!$E53:INDEX('Feijão 1ª safra'!$E53:$Z53,MIN(AZ$6-$G$3,22))),0)))))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IF(COUNT('Feijão 1ª safra'!$E54:$Z54)&gt;0,N('Feijão 1ª safra'!$D54),0)</f>
        <v>0</v>
      </c>
      <c r="E56" s="27" t="n">
        <f aca="false">IF(COUNT('Feijão 1ª safra'!$E54:$Z54)=0,0,MAX(0,IF((E$6-$E$3)&lt;1,0,IFERROR(LOOKUP(2,1/('Feijão 1ª safra'!$E54:INDEX('Feijão 1ª safra'!$E54:$Z54,MIN(E$6-$E$3,22))&lt;&gt;""),'Feijão 1ª safra'!$E54:INDEX('Feijão 1ª safra'!$E54:$Z54,MIN(E$6-$E$3,22))),0))-IF($G$2,0,IF((E$6-$G$3)&lt;1,0,IFERROR(LOOKUP(2,1/('Feijão 1ª safra'!$E54:INDEX('Feijão 1ª safra'!$E54:$Z54,MIN(E$6-$G$3,22))&lt;&gt;""),'Feijão 1ª safra'!$E54:INDEX('Feijão 1ª safra'!$E54:$Z54,MIN(E$6-$G$3,22))),0)))))</f>
        <v>0</v>
      </c>
      <c r="F56" s="27" t="n">
        <f aca="false">IF(COUNT('Feijão 1ª safra'!$E54:$Z54)=0,0,MAX(0,IF((F$6-$E$3)&lt;1,0,IFERROR(LOOKUP(2,1/('Feijão 1ª safra'!$E54:INDEX('Feijão 1ª safra'!$E54:$Z54,MIN(F$6-$E$3,22))&lt;&gt;""),'Feijão 1ª safra'!$E54:INDEX('Feijão 1ª safra'!$E54:$Z54,MIN(F$6-$E$3,22))),0))-IF($G$2,0,IF((F$6-$G$3)&lt;1,0,IFERROR(LOOKUP(2,1/('Feijão 1ª safra'!$E54:INDEX('Feijão 1ª safra'!$E54:$Z54,MIN(F$6-$G$3,22))&lt;&gt;""),'Feijão 1ª safra'!$E54:INDEX('Feijão 1ª safra'!$E54:$Z54,MIN(F$6-$G$3,22))),0)))))</f>
        <v>0</v>
      </c>
      <c r="G56" s="27" t="n">
        <f aca="false">IF(COUNT('Feijão 1ª safra'!$E54:$Z54)=0,0,MAX(0,IF((G$6-$E$3)&lt;1,0,IFERROR(LOOKUP(2,1/('Feijão 1ª safra'!$E54:INDEX('Feijão 1ª safra'!$E54:$Z54,MIN(G$6-$E$3,22))&lt;&gt;""),'Feijão 1ª safra'!$E54:INDEX('Feijão 1ª safra'!$E54:$Z54,MIN(G$6-$E$3,22))),0))-IF($G$2,0,IF((G$6-$G$3)&lt;1,0,IFERROR(LOOKUP(2,1/('Feijão 1ª safra'!$E54:INDEX('Feijão 1ª safra'!$E54:$Z54,MIN(G$6-$G$3,22))&lt;&gt;""),'Feijão 1ª safra'!$E54:INDEX('Feijão 1ª safra'!$E54:$Z54,MIN(G$6-$G$3,22))),0)))))</f>
        <v>0</v>
      </c>
      <c r="H56" s="27" t="n">
        <f aca="false">IF(COUNT('Feijão 1ª safra'!$E54:$Z54)=0,0,MAX(0,IF((H$6-$E$3)&lt;1,0,IFERROR(LOOKUP(2,1/('Feijão 1ª safra'!$E54:INDEX('Feijão 1ª safra'!$E54:$Z54,MIN(H$6-$E$3,22))&lt;&gt;""),'Feijão 1ª safra'!$E54:INDEX('Feijão 1ª safra'!$E54:$Z54,MIN(H$6-$E$3,22))),0))-IF($G$2,0,IF((H$6-$G$3)&lt;1,0,IFERROR(LOOKUP(2,1/('Feijão 1ª safra'!$E54:INDEX('Feijão 1ª safra'!$E54:$Z54,MIN(H$6-$G$3,22))&lt;&gt;""),'Feijão 1ª safra'!$E54:INDEX('Feijão 1ª safra'!$E54:$Z54,MIN(H$6-$G$3,22))),0)))))</f>
        <v>0</v>
      </c>
      <c r="I56" s="27" t="n">
        <f aca="false">IF(COUNT('Feijão 1ª safra'!$E54:$Z54)=0,0,MAX(0,IF((I$6-$E$3)&lt;1,0,IFERROR(LOOKUP(2,1/('Feijão 1ª safra'!$E54:INDEX('Feijão 1ª safra'!$E54:$Z54,MIN(I$6-$E$3,22))&lt;&gt;""),'Feijão 1ª safra'!$E54:INDEX('Feijão 1ª safra'!$E54:$Z54,MIN(I$6-$E$3,22))),0))-IF($G$2,0,IF((I$6-$G$3)&lt;1,0,IFERROR(LOOKUP(2,1/('Feijão 1ª safra'!$E54:INDEX('Feijão 1ª safra'!$E54:$Z54,MIN(I$6-$G$3,22))&lt;&gt;""),'Feijão 1ª safra'!$E54:INDEX('Feijão 1ª safra'!$E54:$Z54,MIN(I$6-$G$3,22))),0)))))</f>
        <v>0</v>
      </c>
      <c r="J56" s="27" t="n">
        <f aca="false">IF(COUNT('Feijão 1ª safra'!$E54:$Z54)=0,0,MAX(0,IF((J$6-$E$3)&lt;1,0,IFERROR(LOOKUP(2,1/('Feijão 1ª safra'!$E54:INDEX('Feijão 1ª safra'!$E54:$Z54,MIN(J$6-$E$3,22))&lt;&gt;""),'Feijão 1ª safra'!$E54:INDEX('Feijão 1ª safra'!$E54:$Z54,MIN(J$6-$E$3,22))),0))-IF($G$2,0,IF((J$6-$G$3)&lt;1,0,IFERROR(LOOKUP(2,1/('Feijão 1ª safra'!$E54:INDEX('Feijão 1ª safra'!$E54:$Z54,MIN(J$6-$G$3,22))&lt;&gt;""),'Feijão 1ª safra'!$E54:INDEX('Feijão 1ª safra'!$E54:$Z54,MIN(J$6-$G$3,22))),0)))))</f>
        <v>0</v>
      </c>
      <c r="K56" s="27" t="n">
        <f aca="false">IF(COUNT('Feijão 1ª safra'!$E54:$Z54)=0,0,MAX(0,IF((K$6-$E$3)&lt;1,0,IFERROR(LOOKUP(2,1/('Feijão 1ª safra'!$E54:INDEX('Feijão 1ª safra'!$E54:$Z54,MIN(K$6-$E$3,22))&lt;&gt;""),'Feijão 1ª safra'!$E54:INDEX('Feijão 1ª safra'!$E54:$Z54,MIN(K$6-$E$3,22))),0))-IF($G$2,0,IF((K$6-$G$3)&lt;1,0,IFERROR(LOOKUP(2,1/('Feijão 1ª safra'!$E54:INDEX('Feijão 1ª safra'!$E54:$Z54,MIN(K$6-$G$3,22))&lt;&gt;""),'Feijão 1ª safra'!$E54:INDEX('Feijão 1ª safra'!$E54:$Z54,MIN(K$6-$G$3,22))),0)))))</f>
        <v>0</v>
      </c>
      <c r="L56" s="27" t="n">
        <f aca="false">IF(COUNT('Feijão 1ª safra'!$E54:$Z54)=0,0,MAX(0,IF((L$6-$E$3)&lt;1,0,IFERROR(LOOKUP(2,1/('Feijão 1ª safra'!$E54:INDEX('Feijão 1ª safra'!$E54:$Z54,MIN(L$6-$E$3,22))&lt;&gt;""),'Feijão 1ª safra'!$E54:INDEX('Feijão 1ª safra'!$E54:$Z54,MIN(L$6-$E$3,22))),0))-IF($G$2,0,IF((L$6-$G$3)&lt;1,0,IFERROR(LOOKUP(2,1/('Feijão 1ª safra'!$E54:INDEX('Feijão 1ª safra'!$E54:$Z54,MIN(L$6-$G$3,22))&lt;&gt;""),'Feijão 1ª safra'!$E54:INDEX('Feijão 1ª safra'!$E54:$Z54,MIN(L$6-$G$3,22))),0)))))</f>
        <v>0</v>
      </c>
      <c r="M56" s="27" t="n">
        <f aca="false">IF(COUNT('Feijão 1ª safra'!$E54:$Z54)=0,0,MAX(0,IF((M$6-$E$3)&lt;1,0,IFERROR(LOOKUP(2,1/('Feijão 1ª safra'!$E54:INDEX('Feijão 1ª safra'!$E54:$Z54,MIN(M$6-$E$3,22))&lt;&gt;""),'Feijão 1ª safra'!$E54:INDEX('Feijão 1ª safra'!$E54:$Z54,MIN(M$6-$E$3,22))),0))-IF($G$2,0,IF((M$6-$G$3)&lt;1,0,IFERROR(LOOKUP(2,1/('Feijão 1ª safra'!$E54:INDEX('Feijão 1ª safra'!$E54:$Z54,MIN(M$6-$G$3,22))&lt;&gt;""),'Feijão 1ª safra'!$E54:INDEX('Feijão 1ª safra'!$E54:$Z54,MIN(M$6-$G$3,22))),0)))))</f>
        <v>0</v>
      </c>
      <c r="N56" s="27" t="n">
        <f aca="false">IF(COUNT('Feijão 1ª safra'!$E54:$Z54)=0,0,MAX(0,IF((N$6-$E$3)&lt;1,0,IFERROR(LOOKUP(2,1/('Feijão 1ª safra'!$E54:INDEX('Feijão 1ª safra'!$E54:$Z54,MIN(N$6-$E$3,22))&lt;&gt;""),'Feijão 1ª safra'!$E54:INDEX('Feijão 1ª safra'!$E54:$Z54,MIN(N$6-$E$3,22))),0))-IF($G$2,0,IF((N$6-$G$3)&lt;1,0,IFERROR(LOOKUP(2,1/('Feijão 1ª safra'!$E54:INDEX('Feijão 1ª safra'!$E54:$Z54,MIN(N$6-$G$3,22))&lt;&gt;""),'Feijão 1ª safra'!$E54:INDEX('Feijão 1ª safra'!$E54:$Z54,MIN(N$6-$G$3,22))),0)))))</f>
        <v>0</v>
      </c>
      <c r="O56" s="27" t="n">
        <f aca="false">IF(COUNT('Feijão 1ª safra'!$E54:$Z54)=0,0,MAX(0,IF((O$6-$E$3)&lt;1,0,IFERROR(LOOKUP(2,1/('Feijão 1ª safra'!$E54:INDEX('Feijão 1ª safra'!$E54:$Z54,MIN(O$6-$E$3,22))&lt;&gt;""),'Feijão 1ª safra'!$E54:INDEX('Feijão 1ª safra'!$E54:$Z54,MIN(O$6-$E$3,22))),0))-IF($G$2,0,IF((O$6-$G$3)&lt;1,0,IFERROR(LOOKUP(2,1/('Feijão 1ª safra'!$E54:INDEX('Feijão 1ª safra'!$E54:$Z54,MIN(O$6-$G$3,22))&lt;&gt;""),'Feijão 1ª safra'!$E54:INDEX('Feijão 1ª safra'!$E54:$Z54,MIN(O$6-$G$3,22))),0)))))</f>
        <v>0</v>
      </c>
      <c r="P56" s="27" t="n">
        <f aca="false">IF(COUNT('Feijão 1ª safra'!$E54:$Z54)=0,0,MAX(0,IF((P$6-$E$3)&lt;1,0,IFERROR(LOOKUP(2,1/('Feijão 1ª safra'!$E54:INDEX('Feijão 1ª safra'!$E54:$Z54,MIN(P$6-$E$3,22))&lt;&gt;""),'Feijão 1ª safra'!$E54:INDEX('Feijão 1ª safra'!$E54:$Z54,MIN(P$6-$E$3,22))),0))-IF($G$2,0,IF((P$6-$G$3)&lt;1,0,IFERROR(LOOKUP(2,1/('Feijão 1ª safra'!$E54:INDEX('Feijão 1ª safra'!$E54:$Z54,MIN(P$6-$G$3,22))&lt;&gt;""),'Feijão 1ª safra'!$E54:INDEX('Feijão 1ª safra'!$E54:$Z54,MIN(P$6-$G$3,22))),0)))))</f>
        <v>0</v>
      </c>
      <c r="Q56" s="27" t="n">
        <f aca="false">IF(COUNT('Feijão 1ª safra'!$E54:$Z54)=0,0,MAX(0,IF((Q$6-$E$3)&lt;1,0,IFERROR(LOOKUP(2,1/('Feijão 1ª safra'!$E54:INDEX('Feijão 1ª safra'!$E54:$Z54,MIN(Q$6-$E$3,22))&lt;&gt;""),'Feijão 1ª safra'!$E54:INDEX('Feijão 1ª safra'!$E54:$Z54,MIN(Q$6-$E$3,22))),0))-IF($G$2,0,IF((Q$6-$G$3)&lt;1,0,IFERROR(LOOKUP(2,1/('Feijão 1ª safra'!$E54:INDEX('Feijão 1ª safra'!$E54:$Z54,MIN(Q$6-$G$3,22))&lt;&gt;""),'Feijão 1ª safra'!$E54:INDEX('Feijão 1ª safra'!$E54:$Z54,MIN(Q$6-$G$3,22))),0)))))</f>
        <v>0</v>
      </c>
      <c r="R56" s="27" t="n">
        <f aca="false">IF(COUNT('Feijão 1ª safra'!$E54:$Z54)=0,0,MAX(0,IF((R$6-$E$3)&lt;1,0,IFERROR(LOOKUP(2,1/('Feijão 1ª safra'!$E54:INDEX('Feijão 1ª safra'!$E54:$Z54,MIN(R$6-$E$3,22))&lt;&gt;""),'Feijão 1ª safra'!$E54:INDEX('Feijão 1ª safra'!$E54:$Z54,MIN(R$6-$E$3,22))),0))-IF($G$2,0,IF((R$6-$G$3)&lt;1,0,IFERROR(LOOKUP(2,1/('Feijão 1ª safra'!$E54:INDEX('Feijão 1ª safra'!$E54:$Z54,MIN(R$6-$G$3,22))&lt;&gt;""),'Feijão 1ª safra'!$E54:INDEX('Feijão 1ª safra'!$E54:$Z54,MIN(R$6-$G$3,22))),0)))))</f>
        <v>0</v>
      </c>
      <c r="S56" s="27" t="n">
        <f aca="false">IF(COUNT('Feijão 1ª safra'!$E54:$Z54)=0,0,MAX(0,IF((S$6-$E$3)&lt;1,0,IFERROR(LOOKUP(2,1/('Feijão 1ª safra'!$E54:INDEX('Feijão 1ª safra'!$E54:$Z54,MIN(S$6-$E$3,22))&lt;&gt;""),'Feijão 1ª safra'!$E54:INDEX('Feijão 1ª safra'!$E54:$Z54,MIN(S$6-$E$3,22))),0))-IF($G$2,0,IF((S$6-$G$3)&lt;1,0,IFERROR(LOOKUP(2,1/('Feijão 1ª safra'!$E54:INDEX('Feijão 1ª safra'!$E54:$Z54,MIN(S$6-$G$3,22))&lt;&gt;""),'Feijão 1ª safra'!$E54:INDEX('Feijão 1ª safra'!$E54:$Z54,MIN(S$6-$G$3,22))),0)))))</f>
        <v>0</v>
      </c>
      <c r="T56" s="27" t="n">
        <f aca="false">IF(COUNT('Feijão 1ª safra'!$E54:$Z54)=0,0,MAX(0,IF((T$6-$E$3)&lt;1,0,IFERROR(LOOKUP(2,1/('Feijão 1ª safra'!$E54:INDEX('Feijão 1ª safra'!$E54:$Z54,MIN(T$6-$E$3,22))&lt;&gt;""),'Feijão 1ª safra'!$E54:INDEX('Feijão 1ª safra'!$E54:$Z54,MIN(T$6-$E$3,22))),0))-IF($G$2,0,IF((T$6-$G$3)&lt;1,0,IFERROR(LOOKUP(2,1/('Feijão 1ª safra'!$E54:INDEX('Feijão 1ª safra'!$E54:$Z54,MIN(T$6-$G$3,22))&lt;&gt;""),'Feijão 1ª safra'!$E54:INDEX('Feijão 1ª safra'!$E54:$Z54,MIN(T$6-$G$3,22))),0)))))</f>
        <v>0</v>
      </c>
      <c r="U56" s="27" t="n">
        <f aca="false">IF(COUNT('Feijão 1ª safra'!$E54:$Z54)=0,0,MAX(0,IF((U$6-$E$3)&lt;1,0,IFERROR(LOOKUP(2,1/('Feijão 1ª safra'!$E54:INDEX('Feijão 1ª safra'!$E54:$Z54,MIN(U$6-$E$3,22))&lt;&gt;""),'Feijão 1ª safra'!$E54:INDEX('Feijão 1ª safra'!$E54:$Z54,MIN(U$6-$E$3,22))),0))-IF($G$2,0,IF((U$6-$G$3)&lt;1,0,IFERROR(LOOKUP(2,1/('Feijão 1ª safra'!$E54:INDEX('Feijão 1ª safra'!$E54:$Z54,MIN(U$6-$G$3,22))&lt;&gt;""),'Feijão 1ª safra'!$E54:INDEX('Feijão 1ª safra'!$E54:$Z54,MIN(U$6-$G$3,22))),0)))))</f>
        <v>0</v>
      </c>
      <c r="V56" s="27" t="n">
        <f aca="false">IF(COUNT('Feijão 1ª safra'!$E54:$Z54)=0,0,MAX(0,IF((V$6-$E$3)&lt;1,0,IFERROR(LOOKUP(2,1/('Feijão 1ª safra'!$E54:INDEX('Feijão 1ª safra'!$E54:$Z54,MIN(V$6-$E$3,22))&lt;&gt;""),'Feijão 1ª safra'!$E54:INDEX('Feijão 1ª safra'!$E54:$Z54,MIN(V$6-$E$3,22))),0))-IF($G$2,0,IF((V$6-$G$3)&lt;1,0,IFERROR(LOOKUP(2,1/('Feijão 1ª safra'!$E54:INDEX('Feijão 1ª safra'!$E54:$Z54,MIN(V$6-$G$3,22))&lt;&gt;""),'Feijão 1ª safra'!$E54:INDEX('Feijão 1ª safra'!$E54:$Z54,MIN(V$6-$G$3,22))),0)))))</f>
        <v>0</v>
      </c>
      <c r="W56" s="27" t="n">
        <f aca="false">IF(COUNT('Feijão 1ª safra'!$E54:$Z54)=0,0,MAX(0,IF((W$6-$E$3)&lt;1,0,IFERROR(LOOKUP(2,1/('Feijão 1ª safra'!$E54:INDEX('Feijão 1ª safra'!$E54:$Z54,MIN(W$6-$E$3,22))&lt;&gt;""),'Feijão 1ª safra'!$E54:INDEX('Feijão 1ª safra'!$E54:$Z54,MIN(W$6-$E$3,22))),0))-IF($G$2,0,IF((W$6-$G$3)&lt;1,0,IFERROR(LOOKUP(2,1/('Feijão 1ª safra'!$E54:INDEX('Feijão 1ª safra'!$E54:$Z54,MIN(W$6-$G$3,22))&lt;&gt;""),'Feijão 1ª safra'!$E54:INDEX('Feijão 1ª safra'!$E54:$Z54,MIN(W$6-$G$3,22))),0)))))</f>
        <v>0</v>
      </c>
      <c r="X56" s="27" t="n">
        <f aca="false">IF(COUNT('Feijão 1ª safra'!$E54:$Z54)=0,0,MAX(0,IF((X$6-$E$3)&lt;1,0,IFERROR(LOOKUP(2,1/('Feijão 1ª safra'!$E54:INDEX('Feijão 1ª safra'!$E54:$Z54,MIN(X$6-$E$3,22))&lt;&gt;""),'Feijão 1ª safra'!$E54:INDEX('Feijão 1ª safra'!$E54:$Z54,MIN(X$6-$E$3,22))),0))-IF($G$2,0,IF((X$6-$G$3)&lt;1,0,IFERROR(LOOKUP(2,1/('Feijão 1ª safra'!$E54:INDEX('Feijão 1ª safra'!$E54:$Z54,MIN(X$6-$G$3,22))&lt;&gt;""),'Feijão 1ª safra'!$E54:INDEX('Feijão 1ª safra'!$E54:$Z54,MIN(X$6-$G$3,22))),0)))))</f>
        <v>0</v>
      </c>
      <c r="Y56" s="27" t="n">
        <f aca="false">IF(COUNT('Feijão 1ª safra'!$E54:$Z54)=0,0,MAX(0,IF((Y$6-$E$3)&lt;1,0,IFERROR(LOOKUP(2,1/('Feijão 1ª safra'!$E54:INDEX('Feijão 1ª safra'!$E54:$Z54,MIN(Y$6-$E$3,22))&lt;&gt;""),'Feijão 1ª safra'!$E54:INDEX('Feijão 1ª safra'!$E54:$Z54,MIN(Y$6-$E$3,22))),0))-IF($G$2,0,IF((Y$6-$G$3)&lt;1,0,IFERROR(LOOKUP(2,1/('Feijão 1ª safra'!$E54:INDEX('Feijão 1ª safra'!$E54:$Z54,MIN(Y$6-$G$3,22))&lt;&gt;""),'Feijão 1ª safra'!$E54:INDEX('Feijão 1ª safra'!$E54:$Z54,MIN(Y$6-$G$3,22))),0)))))</f>
        <v>0</v>
      </c>
      <c r="Z56" s="27" t="n">
        <f aca="false">IF(COUNT('Feijão 1ª safra'!$E54:$Z54)=0,0,MAX(0,IF((Z$6-$E$3)&lt;1,0,IFERROR(LOOKUP(2,1/('Feijão 1ª safra'!$E54:INDEX('Feijão 1ª safra'!$E54:$Z54,MIN(Z$6-$E$3,22))&lt;&gt;""),'Feijão 1ª safra'!$E54:INDEX('Feijão 1ª safra'!$E54:$Z54,MIN(Z$6-$E$3,22))),0))-IF($G$2,0,IF((Z$6-$G$3)&lt;1,0,IFERROR(LOOKUP(2,1/('Feijão 1ª safra'!$E54:INDEX('Feijão 1ª safra'!$E54:$Z54,MIN(Z$6-$G$3,22))&lt;&gt;""),'Feijão 1ª safra'!$E54:INDEX('Feijão 1ª safra'!$E54:$Z54,MIN(Z$6-$G$3,22))),0)))))</f>
        <v>0</v>
      </c>
      <c r="AA56" s="27" t="n">
        <f aca="false">IF(COUNT('Feijão 1ª safra'!$E54:$Z54)=0,0,MAX(0,IF((AA$6-$E$3)&lt;1,0,IFERROR(LOOKUP(2,1/('Feijão 1ª safra'!$E54:INDEX('Feijão 1ª safra'!$E54:$Z54,MIN(AA$6-$E$3,22))&lt;&gt;""),'Feijão 1ª safra'!$E54:INDEX('Feijão 1ª safra'!$E54:$Z54,MIN(AA$6-$E$3,22))),0))-IF($G$2,0,IF((AA$6-$G$3)&lt;1,0,IFERROR(LOOKUP(2,1/('Feijão 1ª safra'!$E54:INDEX('Feijão 1ª safra'!$E54:$Z54,MIN(AA$6-$G$3,22))&lt;&gt;""),'Feijão 1ª safra'!$E54:INDEX('Feijão 1ª safra'!$E54:$Z54,MIN(AA$6-$G$3,22))),0)))))</f>
        <v>0</v>
      </c>
      <c r="AB56" s="27" t="n">
        <f aca="false">IF(COUNT('Feijão 1ª safra'!$E54:$Z54)=0,0,MAX(0,IF((AB$6-$E$3)&lt;1,0,IFERROR(LOOKUP(2,1/('Feijão 1ª safra'!$E54:INDEX('Feijão 1ª safra'!$E54:$Z54,MIN(AB$6-$E$3,22))&lt;&gt;""),'Feijão 1ª safra'!$E54:INDEX('Feijão 1ª safra'!$E54:$Z54,MIN(AB$6-$E$3,22))),0))-IF($G$2,0,IF((AB$6-$G$3)&lt;1,0,IFERROR(LOOKUP(2,1/('Feijão 1ª safra'!$E54:INDEX('Feijão 1ª safra'!$E54:$Z54,MIN(AB$6-$G$3,22))&lt;&gt;""),'Feijão 1ª safra'!$E54:INDEX('Feijão 1ª safra'!$E54:$Z54,MIN(AB$6-$G$3,22))),0)))))</f>
        <v>0</v>
      </c>
      <c r="AC56" s="27" t="n">
        <f aca="false">IF(COUNT('Feijão 1ª safra'!$E54:$Z54)=0,0,MAX(0,IF((AC$6-$E$3)&lt;1,0,IFERROR(LOOKUP(2,1/('Feijão 1ª safra'!$E54:INDEX('Feijão 1ª safra'!$E54:$Z54,MIN(AC$6-$E$3,22))&lt;&gt;""),'Feijão 1ª safra'!$E54:INDEX('Feijão 1ª safra'!$E54:$Z54,MIN(AC$6-$E$3,22))),0))-IF($G$2,0,IF((AC$6-$G$3)&lt;1,0,IFERROR(LOOKUP(2,1/('Feijão 1ª safra'!$E54:INDEX('Feijão 1ª safra'!$E54:$Z54,MIN(AC$6-$G$3,22))&lt;&gt;""),'Feijão 1ª safra'!$E54:INDEX('Feijão 1ª safra'!$E54:$Z54,MIN(AC$6-$G$3,22))),0)))))</f>
        <v>0</v>
      </c>
      <c r="AD56" s="27" t="n">
        <f aca="false">IF(COUNT('Feijão 1ª safra'!$E54:$Z54)=0,0,MAX(0,IF((AD$6-$E$3)&lt;1,0,IFERROR(LOOKUP(2,1/('Feijão 1ª safra'!$E54:INDEX('Feijão 1ª safra'!$E54:$Z54,MIN(AD$6-$E$3,22))&lt;&gt;""),'Feijão 1ª safra'!$E54:INDEX('Feijão 1ª safra'!$E54:$Z54,MIN(AD$6-$E$3,22))),0))-IF($G$2,0,IF((AD$6-$G$3)&lt;1,0,IFERROR(LOOKUP(2,1/('Feijão 1ª safra'!$E54:INDEX('Feijão 1ª safra'!$E54:$Z54,MIN(AD$6-$G$3,22))&lt;&gt;""),'Feijão 1ª safra'!$E54:INDEX('Feijão 1ª safra'!$E54:$Z54,MIN(AD$6-$G$3,22))),0)))))</f>
        <v>0</v>
      </c>
      <c r="AE56" s="27" t="n">
        <f aca="false">IF(COUNT('Feijão 1ª safra'!$E54:$Z54)=0,0,MAX(0,IF((AE$6-$E$3)&lt;1,0,IFERROR(LOOKUP(2,1/('Feijão 1ª safra'!$E54:INDEX('Feijão 1ª safra'!$E54:$Z54,MIN(AE$6-$E$3,22))&lt;&gt;""),'Feijão 1ª safra'!$E54:INDEX('Feijão 1ª safra'!$E54:$Z54,MIN(AE$6-$E$3,22))),0))-IF($G$2,0,IF((AE$6-$G$3)&lt;1,0,IFERROR(LOOKUP(2,1/('Feijão 1ª safra'!$E54:INDEX('Feijão 1ª safra'!$E54:$Z54,MIN(AE$6-$G$3,22))&lt;&gt;""),'Feijão 1ª safra'!$E54:INDEX('Feijão 1ª safra'!$E54:$Z54,MIN(AE$6-$G$3,22))),0)))))</f>
        <v>0</v>
      </c>
      <c r="AF56" s="27" t="n">
        <f aca="false">IF(COUNT('Feijão 1ª safra'!$E54:$Z54)=0,0,MAX(0,IF((AF$6-$E$3)&lt;1,0,IFERROR(LOOKUP(2,1/('Feijão 1ª safra'!$E54:INDEX('Feijão 1ª safra'!$E54:$Z54,MIN(AF$6-$E$3,22))&lt;&gt;""),'Feijão 1ª safra'!$E54:INDEX('Feijão 1ª safra'!$E54:$Z54,MIN(AF$6-$E$3,22))),0))-IF($G$2,0,IF((AF$6-$G$3)&lt;1,0,IFERROR(LOOKUP(2,1/('Feijão 1ª safra'!$E54:INDEX('Feijão 1ª safra'!$E54:$Z54,MIN(AF$6-$G$3,22))&lt;&gt;""),'Feijão 1ª safra'!$E54:INDEX('Feijão 1ª safra'!$E54:$Z54,MIN(AF$6-$G$3,22))),0)))))</f>
        <v>0</v>
      </c>
      <c r="AG56" s="27" t="n">
        <f aca="false">IF(COUNT('Feijão 1ª safra'!$E54:$Z54)=0,0,MAX(0,IF((AG$6-$E$3)&lt;1,0,IFERROR(LOOKUP(2,1/('Feijão 1ª safra'!$E54:INDEX('Feijão 1ª safra'!$E54:$Z54,MIN(AG$6-$E$3,22))&lt;&gt;""),'Feijão 1ª safra'!$E54:INDEX('Feijão 1ª safra'!$E54:$Z54,MIN(AG$6-$E$3,22))),0))-IF($G$2,0,IF((AG$6-$G$3)&lt;1,0,IFERROR(LOOKUP(2,1/('Feijão 1ª safra'!$E54:INDEX('Feijão 1ª safra'!$E54:$Z54,MIN(AG$6-$G$3,22))&lt;&gt;""),'Feijão 1ª safra'!$E54:INDEX('Feijão 1ª safra'!$E54:$Z54,MIN(AG$6-$G$3,22))),0)))))</f>
        <v>0</v>
      </c>
      <c r="AH56" s="27" t="n">
        <f aca="false">IF(COUNT('Feijão 1ª safra'!$E54:$Z54)=0,0,MAX(0,IF((AH$6-$E$3)&lt;1,0,IFERROR(LOOKUP(2,1/('Feijão 1ª safra'!$E54:INDEX('Feijão 1ª safra'!$E54:$Z54,MIN(AH$6-$E$3,22))&lt;&gt;""),'Feijão 1ª safra'!$E54:INDEX('Feijão 1ª safra'!$E54:$Z54,MIN(AH$6-$E$3,22))),0))-IF($G$2,0,IF((AH$6-$G$3)&lt;1,0,IFERROR(LOOKUP(2,1/('Feijão 1ª safra'!$E54:INDEX('Feijão 1ª safra'!$E54:$Z54,MIN(AH$6-$G$3,22))&lt;&gt;""),'Feijão 1ª safra'!$E54:INDEX('Feijão 1ª safra'!$E54:$Z54,MIN(AH$6-$G$3,22))),0)))))</f>
        <v>0</v>
      </c>
      <c r="AI56" s="27" t="n">
        <f aca="false">IF(COUNT('Feijão 1ª safra'!$E54:$Z54)=0,0,MAX(0,IF((AI$6-$E$3)&lt;1,0,IFERROR(LOOKUP(2,1/('Feijão 1ª safra'!$E54:INDEX('Feijão 1ª safra'!$E54:$Z54,MIN(AI$6-$E$3,22))&lt;&gt;""),'Feijão 1ª safra'!$E54:INDEX('Feijão 1ª safra'!$E54:$Z54,MIN(AI$6-$E$3,22))),0))-IF($G$2,0,IF((AI$6-$G$3)&lt;1,0,IFERROR(LOOKUP(2,1/('Feijão 1ª safra'!$E54:INDEX('Feijão 1ª safra'!$E54:$Z54,MIN(AI$6-$G$3,22))&lt;&gt;""),'Feijão 1ª safra'!$E54:INDEX('Feijão 1ª safra'!$E54:$Z54,MIN(AI$6-$G$3,22))),0)))))</f>
        <v>0</v>
      </c>
      <c r="AJ56" s="27" t="n">
        <f aca="false">IF(COUNT('Feijão 1ª safra'!$E54:$Z54)=0,0,MAX(0,IF((AJ$6-$E$3)&lt;1,0,IFERROR(LOOKUP(2,1/('Feijão 1ª safra'!$E54:INDEX('Feijão 1ª safra'!$E54:$Z54,MIN(AJ$6-$E$3,22))&lt;&gt;""),'Feijão 1ª safra'!$E54:INDEX('Feijão 1ª safra'!$E54:$Z54,MIN(AJ$6-$E$3,22))),0))-IF($G$2,0,IF((AJ$6-$G$3)&lt;1,0,IFERROR(LOOKUP(2,1/('Feijão 1ª safra'!$E54:INDEX('Feijão 1ª safra'!$E54:$Z54,MIN(AJ$6-$G$3,22))&lt;&gt;""),'Feijão 1ª safra'!$E54:INDEX('Feijão 1ª safra'!$E54:$Z54,MIN(AJ$6-$G$3,22))),0)))))</f>
        <v>0</v>
      </c>
      <c r="AK56" s="27" t="n">
        <f aca="false">IF(COUNT('Feijão 1ª safra'!$E54:$Z54)=0,0,MAX(0,IF((AK$6-$E$3)&lt;1,0,IFERROR(LOOKUP(2,1/('Feijão 1ª safra'!$E54:INDEX('Feijão 1ª safra'!$E54:$Z54,MIN(AK$6-$E$3,22))&lt;&gt;""),'Feijão 1ª safra'!$E54:INDEX('Feijão 1ª safra'!$E54:$Z54,MIN(AK$6-$E$3,22))),0))-IF($G$2,0,IF((AK$6-$G$3)&lt;1,0,IFERROR(LOOKUP(2,1/('Feijão 1ª safra'!$E54:INDEX('Feijão 1ª safra'!$E54:$Z54,MIN(AK$6-$G$3,22))&lt;&gt;""),'Feijão 1ª safra'!$E54:INDEX('Feijão 1ª safra'!$E54:$Z54,MIN(AK$6-$G$3,22))),0)))))</f>
        <v>0</v>
      </c>
      <c r="AL56" s="27" t="n">
        <f aca="false">IF(COUNT('Feijão 1ª safra'!$E54:$Z54)=0,0,MAX(0,IF((AL$6-$E$3)&lt;1,0,IFERROR(LOOKUP(2,1/('Feijão 1ª safra'!$E54:INDEX('Feijão 1ª safra'!$E54:$Z54,MIN(AL$6-$E$3,22))&lt;&gt;""),'Feijão 1ª safra'!$E54:INDEX('Feijão 1ª safra'!$E54:$Z54,MIN(AL$6-$E$3,22))),0))-IF($G$2,0,IF((AL$6-$G$3)&lt;1,0,IFERROR(LOOKUP(2,1/('Feijão 1ª safra'!$E54:INDEX('Feijão 1ª safra'!$E54:$Z54,MIN(AL$6-$G$3,22))&lt;&gt;""),'Feijão 1ª safra'!$E54:INDEX('Feijão 1ª safra'!$E54:$Z54,MIN(AL$6-$G$3,22))),0)))))</f>
        <v>0</v>
      </c>
      <c r="AM56" s="27" t="n">
        <f aca="false">IF(COUNT('Feijão 1ª safra'!$E54:$Z54)=0,0,MAX(0,IF((AM$6-$E$3)&lt;1,0,IFERROR(LOOKUP(2,1/('Feijão 1ª safra'!$E54:INDEX('Feijão 1ª safra'!$E54:$Z54,MIN(AM$6-$E$3,22))&lt;&gt;""),'Feijão 1ª safra'!$E54:INDEX('Feijão 1ª safra'!$E54:$Z54,MIN(AM$6-$E$3,22))),0))-IF($G$2,0,IF((AM$6-$G$3)&lt;1,0,IFERROR(LOOKUP(2,1/('Feijão 1ª safra'!$E54:INDEX('Feijão 1ª safra'!$E54:$Z54,MIN(AM$6-$G$3,22))&lt;&gt;""),'Feijão 1ª safra'!$E54:INDEX('Feijão 1ª safra'!$E54:$Z54,MIN(AM$6-$G$3,22))),0)))))</f>
        <v>0</v>
      </c>
      <c r="AN56" s="27" t="n">
        <f aca="false">IF(COUNT('Feijão 1ª safra'!$E54:$Z54)=0,0,MAX(0,IF((AN$6-$E$3)&lt;1,0,IFERROR(LOOKUP(2,1/('Feijão 1ª safra'!$E54:INDEX('Feijão 1ª safra'!$E54:$Z54,MIN(AN$6-$E$3,22))&lt;&gt;""),'Feijão 1ª safra'!$E54:INDEX('Feijão 1ª safra'!$E54:$Z54,MIN(AN$6-$E$3,22))),0))-IF($G$2,0,IF((AN$6-$G$3)&lt;1,0,IFERROR(LOOKUP(2,1/('Feijão 1ª safra'!$E54:INDEX('Feijão 1ª safra'!$E54:$Z54,MIN(AN$6-$G$3,22))&lt;&gt;""),'Feijão 1ª safra'!$E54:INDEX('Feijão 1ª safra'!$E54:$Z54,MIN(AN$6-$G$3,22))),0)))))</f>
        <v>0</v>
      </c>
      <c r="AO56" s="27" t="n">
        <f aca="false">IF(COUNT('Feijão 1ª safra'!$E54:$Z54)=0,0,MAX(0,IF((AO$6-$E$3)&lt;1,0,IFERROR(LOOKUP(2,1/('Feijão 1ª safra'!$E54:INDEX('Feijão 1ª safra'!$E54:$Z54,MIN(AO$6-$E$3,22))&lt;&gt;""),'Feijão 1ª safra'!$E54:INDEX('Feijão 1ª safra'!$E54:$Z54,MIN(AO$6-$E$3,22))),0))-IF($G$2,0,IF((AO$6-$G$3)&lt;1,0,IFERROR(LOOKUP(2,1/('Feijão 1ª safra'!$E54:INDEX('Feijão 1ª safra'!$E54:$Z54,MIN(AO$6-$G$3,22))&lt;&gt;""),'Feijão 1ª safra'!$E54:INDEX('Feijão 1ª safra'!$E54:$Z54,MIN(AO$6-$G$3,22))),0)))))</f>
        <v>0</v>
      </c>
      <c r="AP56" s="27" t="n">
        <f aca="false">IF(COUNT('Feijão 1ª safra'!$E54:$Z54)=0,0,MAX(0,IF((AP$6-$E$3)&lt;1,0,IFERROR(LOOKUP(2,1/('Feijão 1ª safra'!$E54:INDEX('Feijão 1ª safra'!$E54:$Z54,MIN(AP$6-$E$3,22))&lt;&gt;""),'Feijão 1ª safra'!$E54:INDEX('Feijão 1ª safra'!$E54:$Z54,MIN(AP$6-$E$3,22))),0))-IF($G$2,0,IF((AP$6-$G$3)&lt;1,0,IFERROR(LOOKUP(2,1/('Feijão 1ª safra'!$E54:INDEX('Feijão 1ª safra'!$E54:$Z54,MIN(AP$6-$G$3,22))&lt;&gt;""),'Feijão 1ª safra'!$E54:INDEX('Feijão 1ª safra'!$E54:$Z54,MIN(AP$6-$G$3,22))),0)))))</f>
        <v>0</v>
      </c>
      <c r="AQ56" s="27" t="n">
        <f aca="false">IF(COUNT('Feijão 1ª safra'!$E54:$Z54)=0,0,MAX(0,IF((AQ$6-$E$3)&lt;1,0,IFERROR(LOOKUP(2,1/('Feijão 1ª safra'!$E54:INDEX('Feijão 1ª safra'!$E54:$Z54,MIN(AQ$6-$E$3,22))&lt;&gt;""),'Feijão 1ª safra'!$E54:INDEX('Feijão 1ª safra'!$E54:$Z54,MIN(AQ$6-$E$3,22))),0))-IF($G$2,0,IF((AQ$6-$G$3)&lt;1,0,IFERROR(LOOKUP(2,1/('Feijão 1ª safra'!$E54:INDEX('Feijão 1ª safra'!$E54:$Z54,MIN(AQ$6-$G$3,22))&lt;&gt;""),'Feijão 1ª safra'!$E54:INDEX('Feijão 1ª safra'!$E54:$Z54,MIN(AQ$6-$G$3,22))),0)))))</f>
        <v>0</v>
      </c>
      <c r="AR56" s="27" t="n">
        <f aca="false">IF(COUNT('Feijão 1ª safra'!$E54:$Z54)=0,0,MAX(0,IF((AR$6-$E$3)&lt;1,0,IFERROR(LOOKUP(2,1/('Feijão 1ª safra'!$E54:INDEX('Feijão 1ª safra'!$E54:$Z54,MIN(AR$6-$E$3,22))&lt;&gt;""),'Feijão 1ª safra'!$E54:INDEX('Feijão 1ª safra'!$E54:$Z54,MIN(AR$6-$E$3,22))),0))-IF($G$2,0,IF((AR$6-$G$3)&lt;1,0,IFERROR(LOOKUP(2,1/('Feijão 1ª safra'!$E54:INDEX('Feijão 1ª safra'!$E54:$Z54,MIN(AR$6-$G$3,22))&lt;&gt;""),'Feijão 1ª safra'!$E54:INDEX('Feijão 1ª safra'!$E54:$Z54,MIN(AR$6-$G$3,22))),0)))))</f>
        <v>0</v>
      </c>
      <c r="AS56" s="27" t="n">
        <f aca="false">IF(COUNT('Feijão 1ª safra'!$E54:$Z54)=0,0,MAX(0,IF((AS$6-$E$3)&lt;1,0,IFERROR(LOOKUP(2,1/('Feijão 1ª safra'!$E54:INDEX('Feijão 1ª safra'!$E54:$Z54,MIN(AS$6-$E$3,22))&lt;&gt;""),'Feijão 1ª safra'!$E54:INDEX('Feijão 1ª safra'!$E54:$Z54,MIN(AS$6-$E$3,22))),0))-IF($G$2,0,IF((AS$6-$G$3)&lt;1,0,IFERROR(LOOKUP(2,1/('Feijão 1ª safra'!$E54:INDEX('Feijão 1ª safra'!$E54:$Z54,MIN(AS$6-$G$3,22))&lt;&gt;""),'Feijão 1ª safra'!$E54:INDEX('Feijão 1ª safra'!$E54:$Z54,MIN(AS$6-$G$3,22))),0)))))</f>
        <v>0</v>
      </c>
      <c r="AT56" s="27" t="n">
        <f aca="false">IF(COUNT('Feijão 1ª safra'!$E54:$Z54)=0,0,MAX(0,IF((AT$6-$E$3)&lt;1,0,IFERROR(LOOKUP(2,1/('Feijão 1ª safra'!$E54:INDEX('Feijão 1ª safra'!$E54:$Z54,MIN(AT$6-$E$3,22))&lt;&gt;""),'Feijão 1ª safra'!$E54:INDEX('Feijão 1ª safra'!$E54:$Z54,MIN(AT$6-$E$3,22))),0))-IF($G$2,0,IF((AT$6-$G$3)&lt;1,0,IFERROR(LOOKUP(2,1/('Feijão 1ª safra'!$E54:INDEX('Feijão 1ª safra'!$E54:$Z54,MIN(AT$6-$G$3,22))&lt;&gt;""),'Feijão 1ª safra'!$E54:INDEX('Feijão 1ª safra'!$E54:$Z54,MIN(AT$6-$G$3,22))),0)))))</f>
        <v>0</v>
      </c>
      <c r="AU56" s="27" t="n">
        <f aca="false">IF(COUNT('Feijão 1ª safra'!$E54:$Z54)=0,0,MAX(0,IF((AU$6-$E$3)&lt;1,0,IFERROR(LOOKUP(2,1/('Feijão 1ª safra'!$E54:INDEX('Feijão 1ª safra'!$E54:$Z54,MIN(AU$6-$E$3,22))&lt;&gt;""),'Feijão 1ª safra'!$E54:INDEX('Feijão 1ª safra'!$E54:$Z54,MIN(AU$6-$E$3,22))),0))-IF($G$2,0,IF((AU$6-$G$3)&lt;1,0,IFERROR(LOOKUP(2,1/('Feijão 1ª safra'!$E54:INDEX('Feijão 1ª safra'!$E54:$Z54,MIN(AU$6-$G$3,22))&lt;&gt;""),'Feijão 1ª safra'!$E54:INDEX('Feijão 1ª safra'!$E54:$Z54,MIN(AU$6-$G$3,22))),0)))))</f>
        <v>0</v>
      </c>
      <c r="AV56" s="27" t="n">
        <f aca="false">IF(COUNT('Feijão 1ª safra'!$E54:$Z54)=0,0,MAX(0,IF((AV$6-$E$3)&lt;1,0,IFERROR(LOOKUP(2,1/('Feijão 1ª safra'!$E54:INDEX('Feijão 1ª safra'!$E54:$Z54,MIN(AV$6-$E$3,22))&lt;&gt;""),'Feijão 1ª safra'!$E54:INDEX('Feijão 1ª safra'!$E54:$Z54,MIN(AV$6-$E$3,22))),0))-IF($G$2,0,IF((AV$6-$G$3)&lt;1,0,IFERROR(LOOKUP(2,1/('Feijão 1ª safra'!$E54:INDEX('Feijão 1ª safra'!$E54:$Z54,MIN(AV$6-$G$3,22))&lt;&gt;""),'Feijão 1ª safra'!$E54:INDEX('Feijão 1ª safra'!$E54:$Z54,MIN(AV$6-$G$3,22))),0)))))</f>
        <v>0</v>
      </c>
      <c r="AW56" s="27" t="n">
        <f aca="false">IF(COUNT('Feijão 1ª safra'!$E54:$Z54)=0,0,MAX(0,IF((AW$6-$E$3)&lt;1,0,IFERROR(LOOKUP(2,1/('Feijão 1ª safra'!$E54:INDEX('Feijão 1ª safra'!$E54:$Z54,MIN(AW$6-$E$3,22))&lt;&gt;""),'Feijão 1ª safra'!$E54:INDEX('Feijão 1ª safra'!$E54:$Z54,MIN(AW$6-$E$3,22))),0))-IF($G$2,0,IF((AW$6-$G$3)&lt;1,0,IFERROR(LOOKUP(2,1/('Feijão 1ª safra'!$E54:INDEX('Feijão 1ª safra'!$E54:$Z54,MIN(AW$6-$G$3,22))&lt;&gt;""),'Feijão 1ª safra'!$E54:INDEX('Feijão 1ª safra'!$E54:$Z54,MIN(AW$6-$G$3,22))),0)))))</f>
        <v>0</v>
      </c>
      <c r="AX56" s="27" t="n">
        <f aca="false">IF(COUNT('Feijão 1ª safra'!$E54:$Z54)=0,0,MAX(0,IF((AX$6-$E$3)&lt;1,0,IFERROR(LOOKUP(2,1/('Feijão 1ª safra'!$E54:INDEX('Feijão 1ª safra'!$E54:$Z54,MIN(AX$6-$E$3,22))&lt;&gt;""),'Feijão 1ª safra'!$E54:INDEX('Feijão 1ª safra'!$E54:$Z54,MIN(AX$6-$E$3,22))),0))-IF($G$2,0,IF((AX$6-$G$3)&lt;1,0,IFERROR(LOOKUP(2,1/('Feijão 1ª safra'!$E54:INDEX('Feijão 1ª safra'!$E54:$Z54,MIN(AX$6-$G$3,22))&lt;&gt;""),'Feijão 1ª safra'!$E54:INDEX('Feijão 1ª safra'!$E54:$Z54,MIN(AX$6-$G$3,22))),0)))))</f>
        <v>0</v>
      </c>
      <c r="AY56" s="27" t="n">
        <f aca="false">IF(COUNT('Feijão 1ª safra'!$E54:$Z54)=0,0,MAX(0,IF((AY$6-$E$3)&lt;1,0,IFERROR(LOOKUP(2,1/('Feijão 1ª safra'!$E54:INDEX('Feijão 1ª safra'!$E54:$Z54,MIN(AY$6-$E$3,22))&lt;&gt;""),'Feijão 1ª safra'!$E54:INDEX('Feijão 1ª safra'!$E54:$Z54,MIN(AY$6-$E$3,22))),0))-IF($G$2,0,IF((AY$6-$G$3)&lt;1,0,IFERROR(LOOKUP(2,1/('Feijão 1ª safra'!$E54:INDEX('Feijão 1ª safra'!$E54:$Z54,MIN(AY$6-$G$3,22))&lt;&gt;""),'Feijão 1ª safra'!$E54:INDEX('Feijão 1ª safra'!$E54:$Z54,MIN(AY$6-$G$3,22))),0)))))</f>
        <v>0</v>
      </c>
      <c r="AZ56" s="27" t="n">
        <f aca="false">IF(COUNT('Feijão 1ª safra'!$E54:$Z54)=0,0,MAX(0,IF((AZ$6-$E$3)&lt;1,0,IFERROR(LOOKUP(2,1/('Feijão 1ª safra'!$E54:INDEX('Feijão 1ª safra'!$E54:$Z54,MIN(AZ$6-$E$3,22))&lt;&gt;""),'Feijão 1ª safra'!$E54:INDEX('Feijão 1ª safra'!$E54:$Z54,MIN(AZ$6-$E$3,22))),0))-IF($G$2,0,IF((AZ$6-$G$3)&lt;1,0,IFERROR(LOOKUP(2,1/('Feijão 1ª safra'!$E54:INDEX('Feijão 1ª safra'!$E54:$Z54,MIN(AZ$6-$G$3,22))&lt;&gt;""),'Feijão 1ª safra'!$E54:INDEX('Feijão 1ª safra'!$E54:$Z54,MIN(AZ$6-$G$3,22))),0)))))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IF(COUNT('Feijão 1ª safra'!$E55:$Z55)&gt;0,N('Feijão 1ª safra'!$D55),0)</f>
        <v>0</v>
      </c>
      <c r="E57" s="27" t="n">
        <f aca="false">IF(COUNT('Feijão 1ª safra'!$E55:$Z55)=0,0,MAX(0,IF((E$6-$E$3)&lt;1,0,IFERROR(LOOKUP(2,1/('Feijão 1ª safra'!$E55:INDEX('Feijão 1ª safra'!$E55:$Z55,MIN(E$6-$E$3,22))&lt;&gt;""),'Feijão 1ª safra'!$E55:INDEX('Feijão 1ª safra'!$E55:$Z55,MIN(E$6-$E$3,22))),0))-IF($G$2,0,IF((E$6-$G$3)&lt;1,0,IFERROR(LOOKUP(2,1/('Feijão 1ª safra'!$E55:INDEX('Feijão 1ª safra'!$E55:$Z55,MIN(E$6-$G$3,22))&lt;&gt;""),'Feijão 1ª safra'!$E55:INDEX('Feijão 1ª safra'!$E55:$Z55,MIN(E$6-$G$3,22))),0)))))</f>
        <v>0</v>
      </c>
      <c r="F57" s="27" t="n">
        <f aca="false">IF(COUNT('Feijão 1ª safra'!$E55:$Z55)=0,0,MAX(0,IF((F$6-$E$3)&lt;1,0,IFERROR(LOOKUP(2,1/('Feijão 1ª safra'!$E55:INDEX('Feijão 1ª safra'!$E55:$Z55,MIN(F$6-$E$3,22))&lt;&gt;""),'Feijão 1ª safra'!$E55:INDEX('Feijão 1ª safra'!$E55:$Z55,MIN(F$6-$E$3,22))),0))-IF($G$2,0,IF((F$6-$G$3)&lt;1,0,IFERROR(LOOKUP(2,1/('Feijão 1ª safra'!$E55:INDEX('Feijão 1ª safra'!$E55:$Z55,MIN(F$6-$G$3,22))&lt;&gt;""),'Feijão 1ª safra'!$E55:INDEX('Feijão 1ª safra'!$E55:$Z55,MIN(F$6-$G$3,22))),0)))))</f>
        <v>0</v>
      </c>
      <c r="G57" s="27" t="n">
        <f aca="false">IF(COUNT('Feijão 1ª safra'!$E55:$Z55)=0,0,MAX(0,IF((G$6-$E$3)&lt;1,0,IFERROR(LOOKUP(2,1/('Feijão 1ª safra'!$E55:INDEX('Feijão 1ª safra'!$E55:$Z55,MIN(G$6-$E$3,22))&lt;&gt;""),'Feijão 1ª safra'!$E55:INDEX('Feijão 1ª safra'!$E55:$Z55,MIN(G$6-$E$3,22))),0))-IF($G$2,0,IF((G$6-$G$3)&lt;1,0,IFERROR(LOOKUP(2,1/('Feijão 1ª safra'!$E55:INDEX('Feijão 1ª safra'!$E55:$Z55,MIN(G$6-$G$3,22))&lt;&gt;""),'Feijão 1ª safra'!$E55:INDEX('Feijão 1ª safra'!$E55:$Z55,MIN(G$6-$G$3,22))),0)))))</f>
        <v>0</v>
      </c>
      <c r="H57" s="27" t="n">
        <f aca="false">IF(COUNT('Feijão 1ª safra'!$E55:$Z55)=0,0,MAX(0,IF((H$6-$E$3)&lt;1,0,IFERROR(LOOKUP(2,1/('Feijão 1ª safra'!$E55:INDEX('Feijão 1ª safra'!$E55:$Z55,MIN(H$6-$E$3,22))&lt;&gt;""),'Feijão 1ª safra'!$E55:INDEX('Feijão 1ª safra'!$E55:$Z55,MIN(H$6-$E$3,22))),0))-IF($G$2,0,IF((H$6-$G$3)&lt;1,0,IFERROR(LOOKUP(2,1/('Feijão 1ª safra'!$E55:INDEX('Feijão 1ª safra'!$E55:$Z55,MIN(H$6-$G$3,22))&lt;&gt;""),'Feijão 1ª safra'!$E55:INDEX('Feijão 1ª safra'!$E55:$Z55,MIN(H$6-$G$3,22))),0)))))</f>
        <v>0</v>
      </c>
      <c r="I57" s="27" t="n">
        <f aca="false">IF(COUNT('Feijão 1ª safra'!$E55:$Z55)=0,0,MAX(0,IF((I$6-$E$3)&lt;1,0,IFERROR(LOOKUP(2,1/('Feijão 1ª safra'!$E55:INDEX('Feijão 1ª safra'!$E55:$Z55,MIN(I$6-$E$3,22))&lt;&gt;""),'Feijão 1ª safra'!$E55:INDEX('Feijão 1ª safra'!$E55:$Z55,MIN(I$6-$E$3,22))),0))-IF($G$2,0,IF((I$6-$G$3)&lt;1,0,IFERROR(LOOKUP(2,1/('Feijão 1ª safra'!$E55:INDEX('Feijão 1ª safra'!$E55:$Z55,MIN(I$6-$G$3,22))&lt;&gt;""),'Feijão 1ª safra'!$E55:INDEX('Feijão 1ª safra'!$E55:$Z55,MIN(I$6-$G$3,22))),0)))))</f>
        <v>0</v>
      </c>
      <c r="J57" s="27" t="n">
        <f aca="false">IF(COUNT('Feijão 1ª safra'!$E55:$Z55)=0,0,MAX(0,IF((J$6-$E$3)&lt;1,0,IFERROR(LOOKUP(2,1/('Feijão 1ª safra'!$E55:INDEX('Feijão 1ª safra'!$E55:$Z55,MIN(J$6-$E$3,22))&lt;&gt;""),'Feijão 1ª safra'!$E55:INDEX('Feijão 1ª safra'!$E55:$Z55,MIN(J$6-$E$3,22))),0))-IF($G$2,0,IF((J$6-$G$3)&lt;1,0,IFERROR(LOOKUP(2,1/('Feijão 1ª safra'!$E55:INDEX('Feijão 1ª safra'!$E55:$Z55,MIN(J$6-$G$3,22))&lt;&gt;""),'Feijão 1ª safra'!$E55:INDEX('Feijão 1ª safra'!$E55:$Z55,MIN(J$6-$G$3,22))),0)))))</f>
        <v>0</v>
      </c>
      <c r="K57" s="27" t="n">
        <f aca="false">IF(COUNT('Feijão 1ª safra'!$E55:$Z55)=0,0,MAX(0,IF((K$6-$E$3)&lt;1,0,IFERROR(LOOKUP(2,1/('Feijão 1ª safra'!$E55:INDEX('Feijão 1ª safra'!$E55:$Z55,MIN(K$6-$E$3,22))&lt;&gt;""),'Feijão 1ª safra'!$E55:INDEX('Feijão 1ª safra'!$E55:$Z55,MIN(K$6-$E$3,22))),0))-IF($G$2,0,IF((K$6-$G$3)&lt;1,0,IFERROR(LOOKUP(2,1/('Feijão 1ª safra'!$E55:INDEX('Feijão 1ª safra'!$E55:$Z55,MIN(K$6-$G$3,22))&lt;&gt;""),'Feijão 1ª safra'!$E55:INDEX('Feijão 1ª safra'!$E55:$Z55,MIN(K$6-$G$3,22))),0)))))</f>
        <v>0</v>
      </c>
      <c r="L57" s="27" t="n">
        <f aca="false">IF(COUNT('Feijão 1ª safra'!$E55:$Z55)=0,0,MAX(0,IF((L$6-$E$3)&lt;1,0,IFERROR(LOOKUP(2,1/('Feijão 1ª safra'!$E55:INDEX('Feijão 1ª safra'!$E55:$Z55,MIN(L$6-$E$3,22))&lt;&gt;""),'Feijão 1ª safra'!$E55:INDEX('Feijão 1ª safra'!$E55:$Z55,MIN(L$6-$E$3,22))),0))-IF($G$2,0,IF((L$6-$G$3)&lt;1,0,IFERROR(LOOKUP(2,1/('Feijão 1ª safra'!$E55:INDEX('Feijão 1ª safra'!$E55:$Z55,MIN(L$6-$G$3,22))&lt;&gt;""),'Feijão 1ª safra'!$E55:INDEX('Feijão 1ª safra'!$E55:$Z55,MIN(L$6-$G$3,22))),0)))))</f>
        <v>0</v>
      </c>
      <c r="M57" s="27" t="n">
        <f aca="false">IF(COUNT('Feijão 1ª safra'!$E55:$Z55)=0,0,MAX(0,IF((M$6-$E$3)&lt;1,0,IFERROR(LOOKUP(2,1/('Feijão 1ª safra'!$E55:INDEX('Feijão 1ª safra'!$E55:$Z55,MIN(M$6-$E$3,22))&lt;&gt;""),'Feijão 1ª safra'!$E55:INDEX('Feijão 1ª safra'!$E55:$Z55,MIN(M$6-$E$3,22))),0))-IF($G$2,0,IF((M$6-$G$3)&lt;1,0,IFERROR(LOOKUP(2,1/('Feijão 1ª safra'!$E55:INDEX('Feijão 1ª safra'!$E55:$Z55,MIN(M$6-$G$3,22))&lt;&gt;""),'Feijão 1ª safra'!$E55:INDEX('Feijão 1ª safra'!$E55:$Z55,MIN(M$6-$G$3,22))),0)))))</f>
        <v>0</v>
      </c>
      <c r="N57" s="27" t="n">
        <f aca="false">IF(COUNT('Feijão 1ª safra'!$E55:$Z55)=0,0,MAX(0,IF((N$6-$E$3)&lt;1,0,IFERROR(LOOKUP(2,1/('Feijão 1ª safra'!$E55:INDEX('Feijão 1ª safra'!$E55:$Z55,MIN(N$6-$E$3,22))&lt;&gt;""),'Feijão 1ª safra'!$E55:INDEX('Feijão 1ª safra'!$E55:$Z55,MIN(N$6-$E$3,22))),0))-IF($G$2,0,IF((N$6-$G$3)&lt;1,0,IFERROR(LOOKUP(2,1/('Feijão 1ª safra'!$E55:INDEX('Feijão 1ª safra'!$E55:$Z55,MIN(N$6-$G$3,22))&lt;&gt;""),'Feijão 1ª safra'!$E55:INDEX('Feijão 1ª safra'!$E55:$Z55,MIN(N$6-$G$3,22))),0)))))</f>
        <v>0</v>
      </c>
      <c r="O57" s="27" t="n">
        <f aca="false">IF(COUNT('Feijão 1ª safra'!$E55:$Z55)=0,0,MAX(0,IF((O$6-$E$3)&lt;1,0,IFERROR(LOOKUP(2,1/('Feijão 1ª safra'!$E55:INDEX('Feijão 1ª safra'!$E55:$Z55,MIN(O$6-$E$3,22))&lt;&gt;""),'Feijão 1ª safra'!$E55:INDEX('Feijão 1ª safra'!$E55:$Z55,MIN(O$6-$E$3,22))),0))-IF($G$2,0,IF((O$6-$G$3)&lt;1,0,IFERROR(LOOKUP(2,1/('Feijão 1ª safra'!$E55:INDEX('Feijão 1ª safra'!$E55:$Z55,MIN(O$6-$G$3,22))&lt;&gt;""),'Feijão 1ª safra'!$E55:INDEX('Feijão 1ª safra'!$E55:$Z55,MIN(O$6-$G$3,22))),0)))))</f>
        <v>0</v>
      </c>
      <c r="P57" s="27" t="n">
        <f aca="false">IF(COUNT('Feijão 1ª safra'!$E55:$Z55)=0,0,MAX(0,IF((P$6-$E$3)&lt;1,0,IFERROR(LOOKUP(2,1/('Feijão 1ª safra'!$E55:INDEX('Feijão 1ª safra'!$E55:$Z55,MIN(P$6-$E$3,22))&lt;&gt;""),'Feijão 1ª safra'!$E55:INDEX('Feijão 1ª safra'!$E55:$Z55,MIN(P$6-$E$3,22))),0))-IF($G$2,0,IF((P$6-$G$3)&lt;1,0,IFERROR(LOOKUP(2,1/('Feijão 1ª safra'!$E55:INDEX('Feijão 1ª safra'!$E55:$Z55,MIN(P$6-$G$3,22))&lt;&gt;""),'Feijão 1ª safra'!$E55:INDEX('Feijão 1ª safra'!$E55:$Z55,MIN(P$6-$G$3,22))),0)))))</f>
        <v>0</v>
      </c>
      <c r="Q57" s="27" t="n">
        <f aca="false">IF(COUNT('Feijão 1ª safra'!$E55:$Z55)=0,0,MAX(0,IF((Q$6-$E$3)&lt;1,0,IFERROR(LOOKUP(2,1/('Feijão 1ª safra'!$E55:INDEX('Feijão 1ª safra'!$E55:$Z55,MIN(Q$6-$E$3,22))&lt;&gt;""),'Feijão 1ª safra'!$E55:INDEX('Feijão 1ª safra'!$E55:$Z55,MIN(Q$6-$E$3,22))),0))-IF($G$2,0,IF((Q$6-$G$3)&lt;1,0,IFERROR(LOOKUP(2,1/('Feijão 1ª safra'!$E55:INDEX('Feijão 1ª safra'!$E55:$Z55,MIN(Q$6-$G$3,22))&lt;&gt;""),'Feijão 1ª safra'!$E55:INDEX('Feijão 1ª safra'!$E55:$Z55,MIN(Q$6-$G$3,22))),0)))))</f>
        <v>0</v>
      </c>
      <c r="R57" s="27" t="n">
        <f aca="false">IF(COUNT('Feijão 1ª safra'!$E55:$Z55)=0,0,MAX(0,IF((R$6-$E$3)&lt;1,0,IFERROR(LOOKUP(2,1/('Feijão 1ª safra'!$E55:INDEX('Feijão 1ª safra'!$E55:$Z55,MIN(R$6-$E$3,22))&lt;&gt;""),'Feijão 1ª safra'!$E55:INDEX('Feijão 1ª safra'!$E55:$Z55,MIN(R$6-$E$3,22))),0))-IF($G$2,0,IF((R$6-$G$3)&lt;1,0,IFERROR(LOOKUP(2,1/('Feijão 1ª safra'!$E55:INDEX('Feijão 1ª safra'!$E55:$Z55,MIN(R$6-$G$3,22))&lt;&gt;""),'Feijão 1ª safra'!$E55:INDEX('Feijão 1ª safra'!$E55:$Z55,MIN(R$6-$G$3,22))),0)))))</f>
        <v>0</v>
      </c>
      <c r="S57" s="27" t="n">
        <f aca="false">IF(COUNT('Feijão 1ª safra'!$E55:$Z55)=0,0,MAX(0,IF((S$6-$E$3)&lt;1,0,IFERROR(LOOKUP(2,1/('Feijão 1ª safra'!$E55:INDEX('Feijão 1ª safra'!$E55:$Z55,MIN(S$6-$E$3,22))&lt;&gt;""),'Feijão 1ª safra'!$E55:INDEX('Feijão 1ª safra'!$E55:$Z55,MIN(S$6-$E$3,22))),0))-IF($G$2,0,IF((S$6-$G$3)&lt;1,0,IFERROR(LOOKUP(2,1/('Feijão 1ª safra'!$E55:INDEX('Feijão 1ª safra'!$E55:$Z55,MIN(S$6-$G$3,22))&lt;&gt;""),'Feijão 1ª safra'!$E55:INDEX('Feijão 1ª safra'!$E55:$Z55,MIN(S$6-$G$3,22))),0)))))</f>
        <v>0</v>
      </c>
      <c r="T57" s="27" t="n">
        <f aca="false">IF(COUNT('Feijão 1ª safra'!$E55:$Z55)=0,0,MAX(0,IF((T$6-$E$3)&lt;1,0,IFERROR(LOOKUP(2,1/('Feijão 1ª safra'!$E55:INDEX('Feijão 1ª safra'!$E55:$Z55,MIN(T$6-$E$3,22))&lt;&gt;""),'Feijão 1ª safra'!$E55:INDEX('Feijão 1ª safra'!$E55:$Z55,MIN(T$6-$E$3,22))),0))-IF($G$2,0,IF((T$6-$G$3)&lt;1,0,IFERROR(LOOKUP(2,1/('Feijão 1ª safra'!$E55:INDEX('Feijão 1ª safra'!$E55:$Z55,MIN(T$6-$G$3,22))&lt;&gt;""),'Feijão 1ª safra'!$E55:INDEX('Feijão 1ª safra'!$E55:$Z55,MIN(T$6-$G$3,22))),0)))))</f>
        <v>0</v>
      </c>
      <c r="U57" s="27" t="n">
        <f aca="false">IF(COUNT('Feijão 1ª safra'!$E55:$Z55)=0,0,MAX(0,IF((U$6-$E$3)&lt;1,0,IFERROR(LOOKUP(2,1/('Feijão 1ª safra'!$E55:INDEX('Feijão 1ª safra'!$E55:$Z55,MIN(U$6-$E$3,22))&lt;&gt;""),'Feijão 1ª safra'!$E55:INDEX('Feijão 1ª safra'!$E55:$Z55,MIN(U$6-$E$3,22))),0))-IF($G$2,0,IF((U$6-$G$3)&lt;1,0,IFERROR(LOOKUP(2,1/('Feijão 1ª safra'!$E55:INDEX('Feijão 1ª safra'!$E55:$Z55,MIN(U$6-$G$3,22))&lt;&gt;""),'Feijão 1ª safra'!$E55:INDEX('Feijão 1ª safra'!$E55:$Z55,MIN(U$6-$G$3,22))),0)))))</f>
        <v>0</v>
      </c>
      <c r="V57" s="27" t="n">
        <f aca="false">IF(COUNT('Feijão 1ª safra'!$E55:$Z55)=0,0,MAX(0,IF((V$6-$E$3)&lt;1,0,IFERROR(LOOKUP(2,1/('Feijão 1ª safra'!$E55:INDEX('Feijão 1ª safra'!$E55:$Z55,MIN(V$6-$E$3,22))&lt;&gt;""),'Feijão 1ª safra'!$E55:INDEX('Feijão 1ª safra'!$E55:$Z55,MIN(V$6-$E$3,22))),0))-IF($G$2,0,IF((V$6-$G$3)&lt;1,0,IFERROR(LOOKUP(2,1/('Feijão 1ª safra'!$E55:INDEX('Feijão 1ª safra'!$E55:$Z55,MIN(V$6-$G$3,22))&lt;&gt;""),'Feijão 1ª safra'!$E55:INDEX('Feijão 1ª safra'!$E55:$Z55,MIN(V$6-$G$3,22))),0)))))</f>
        <v>0</v>
      </c>
      <c r="W57" s="27" t="n">
        <f aca="false">IF(COUNT('Feijão 1ª safra'!$E55:$Z55)=0,0,MAX(0,IF((W$6-$E$3)&lt;1,0,IFERROR(LOOKUP(2,1/('Feijão 1ª safra'!$E55:INDEX('Feijão 1ª safra'!$E55:$Z55,MIN(W$6-$E$3,22))&lt;&gt;""),'Feijão 1ª safra'!$E55:INDEX('Feijão 1ª safra'!$E55:$Z55,MIN(W$6-$E$3,22))),0))-IF($G$2,0,IF((W$6-$G$3)&lt;1,0,IFERROR(LOOKUP(2,1/('Feijão 1ª safra'!$E55:INDEX('Feijão 1ª safra'!$E55:$Z55,MIN(W$6-$G$3,22))&lt;&gt;""),'Feijão 1ª safra'!$E55:INDEX('Feijão 1ª safra'!$E55:$Z55,MIN(W$6-$G$3,22))),0)))))</f>
        <v>0</v>
      </c>
      <c r="X57" s="27" t="n">
        <f aca="false">IF(COUNT('Feijão 1ª safra'!$E55:$Z55)=0,0,MAX(0,IF((X$6-$E$3)&lt;1,0,IFERROR(LOOKUP(2,1/('Feijão 1ª safra'!$E55:INDEX('Feijão 1ª safra'!$E55:$Z55,MIN(X$6-$E$3,22))&lt;&gt;""),'Feijão 1ª safra'!$E55:INDEX('Feijão 1ª safra'!$E55:$Z55,MIN(X$6-$E$3,22))),0))-IF($G$2,0,IF((X$6-$G$3)&lt;1,0,IFERROR(LOOKUP(2,1/('Feijão 1ª safra'!$E55:INDEX('Feijão 1ª safra'!$E55:$Z55,MIN(X$6-$G$3,22))&lt;&gt;""),'Feijão 1ª safra'!$E55:INDEX('Feijão 1ª safra'!$E55:$Z55,MIN(X$6-$G$3,22))),0)))))</f>
        <v>0</v>
      </c>
      <c r="Y57" s="27" t="n">
        <f aca="false">IF(COUNT('Feijão 1ª safra'!$E55:$Z55)=0,0,MAX(0,IF((Y$6-$E$3)&lt;1,0,IFERROR(LOOKUP(2,1/('Feijão 1ª safra'!$E55:INDEX('Feijão 1ª safra'!$E55:$Z55,MIN(Y$6-$E$3,22))&lt;&gt;""),'Feijão 1ª safra'!$E55:INDEX('Feijão 1ª safra'!$E55:$Z55,MIN(Y$6-$E$3,22))),0))-IF($G$2,0,IF((Y$6-$G$3)&lt;1,0,IFERROR(LOOKUP(2,1/('Feijão 1ª safra'!$E55:INDEX('Feijão 1ª safra'!$E55:$Z55,MIN(Y$6-$G$3,22))&lt;&gt;""),'Feijão 1ª safra'!$E55:INDEX('Feijão 1ª safra'!$E55:$Z55,MIN(Y$6-$G$3,22))),0)))))</f>
        <v>0</v>
      </c>
      <c r="Z57" s="27" t="n">
        <f aca="false">IF(COUNT('Feijão 1ª safra'!$E55:$Z55)=0,0,MAX(0,IF((Z$6-$E$3)&lt;1,0,IFERROR(LOOKUP(2,1/('Feijão 1ª safra'!$E55:INDEX('Feijão 1ª safra'!$E55:$Z55,MIN(Z$6-$E$3,22))&lt;&gt;""),'Feijão 1ª safra'!$E55:INDEX('Feijão 1ª safra'!$E55:$Z55,MIN(Z$6-$E$3,22))),0))-IF($G$2,0,IF((Z$6-$G$3)&lt;1,0,IFERROR(LOOKUP(2,1/('Feijão 1ª safra'!$E55:INDEX('Feijão 1ª safra'!$E55:$Z55,MIN(Z$6-$G$3,22))&lt;&gt;""),'Feijão 1ª safra'!$E55:INDEX('Feijão 1ª safra'!$E55:$Z55,MIN(Z$6-$G$3,22))),0)))))</f>
        <v>0</v>
      </c>
      <c r="AA57" s="27" t="n">
        <f aca="false">IF(COUNT('Feijão 1ª safra'!$E55:$Z55)=0,0,MAX(0,IF((AA$6-$E$3)&lt;1,0,IFERROR(LOOKUP(2,1/('Feijão 1ª safra'!$E55:INDEX('Feijão 1ª safra'!$E55:$Z55,MIN(AA$6-$E$3,22))&lt;&gt;""),'Feijão 1ª safra'!$E55:INDEX('Feijão 1ª safra'!$E55:$Z55,MIN(AA$6-$E$3,22))),0))-IF($G$2,0,IF((AA$6-$G$3)&lt;1,0,IFERROR(LOOKUP(2,1/('Feijão 1ª safra'!$E55:INDEX('Feijão 1ª safra'!$E55:$Z55,MIN(AA$6-$G$3,22))&lt;&gt;""),'Feijão 1ª safra'!$E55:INDEX('Feijão 1ª safra'!$E55:$Z55,MIN(AA$6-$G$3,22))),0)))))</f>
        <v>0</v>
      </c>
      <c r="AB57" s="27" t="n">
        <f aca="false">IF(COUNT('Feijão 1ª safra'!$E55:$Z55)=0,0,MAX(0,IF((AB$6-$E$3)&lt;1,0,IFERROR(LOOKUP(2,1/('Feijão 1ª safra'!$E55:INDEX('Feijão 1ª safra'!$E55:$Z55,MIN(AB$6-$E$3,22))&lt;&gt;""),'Feijão 1ª safra'!$E55:INDEX('Feijão 1ª safra'!$E55:$Z55,MIN(AB$6-$E$3,22))),0))-IF($G$2,0,IF((AB$6-$G$3)&lt;1,0,IFERROR(LOOKUP(2,1/('Feijão 1ª safra'!$E55:INDEX('Feijão 1ª safra'!$E55:$Z55,MIN(AB$6-$G$3,22))&lt;&gt;""),'Feijão 1ª safra'!$E55:INDEX('Feijão 1ª safra'!$E55:$Z55,MIN(AB$6-$G$3,22))),0)))))</f>
        <v>0</v>
      </c>
      <c r="AC57" s="27" t="n">
        <f aca="false">IF(COUNT('Feijão 1ª safra'!$E55:$Z55)=0,0,MAX(0,IF((AC$6-$E$3)&lt;1,0,IFERROR(LOOKUP(2,1/('Feijão 1ª safra'!$E55:INDEX('Feijão 1ª safra'!$E55:$Z55,MIN(AC$6-$E$3,22))&lt;&gt;""),'Feijão 1ª safra'!$E55:INDEX('Feijão 1ª safra'!$E55:$Z55,MIN(AC$6-$E$3,22))),0))-IF($G$2,0,IF((AC$6-$G$3)&lt;1,0,IFERROR(LOOKUP(2,1/('Feijão 1ª safra'!$E55:INDEX('Feijão 1ª safra'!$E55:$Z55,MIN(AC$6-$G$3,22))&lt;&gt;""),'Feijão 1ª safra'!$E55:INDEX('Feijão 1ª safra'!$E55:$Z55,MIN(AC$6-$G$3,22))),0)))))</f>
        <v>0</v>
      </c>
      <c r="AD57" s="27" t="n">
        <f aca="false">IF(COUNT('Feijão 1ª safra'!$E55:$Z55)=0,0,MAX(0,IF((AD$6-$E$3)&lt;1,0,IFERROR(LOOKUP(2,1/('Feijão 1ª safra'!$E55:INDEX('Feijão 1ª safra'!$E55:$Z55,MIN(AD$6-$E$3,22))&lt;&gt;""),'Feijão 1ª safra'!$E55:INDEX('Feijão 1ª safra'!$E55:$Z55,MIN(AD$6-$E$3,22))),0))-IF($G$2,0,IF((AD$6-$G$3)&lt;1,0,IFERROR(LOOKUP(2,1/('Feijão 1ª safra'!$E55:INDEX('Feijão 1ª safra'!$E55:$Z55,MIN(AD$6-$G$3,22))&lt;&gt;""),'Feijão 1ª safra'!$E55:INDEX('Feijão 1ª safra'!$E55:$Z55,MIN(AD$6-$G$3,22))),0)))))</f>
        <v>0</v>
      </c>
      <c r="AE57" s="27" t="n">
        <f aca="false">IF(COUNT('Feijão 1ª safra'!$E55:$Z55)=0,0,MAX(0,IF((AE$6-$E$3)&lt;1,0,IFERROR(LOOKUP(2,1/('Feijão 1ª safra'!$E55:INDEX('Feijão 1ª safra'!$E55:$Z55,MIN(AE$6-$E$3,22))&lt;&gt;""),'Feijão 1ª safra'!$E55:INDEX('Feijão 1ª safra'!$E55:$Z55,MIN(AE$6-$E$3,22))),0))-IF($G$2,0,IF((AE$6-$G$3)&lt;1,0,IFERROR(LOOKUP(2,1/('Feijão 1ª safra'!$E55:INDEX('Feijão 1ª safra'!$E55:$Z55,MIN(AE$6-$G$3,22))&lt;&gt;""),'Feijão 1ª safra'!$E55:INDEX('Feijão 1ª safra'!$E55:$Z55,MIN(AE$6-$G$3,22))),0)))))</f>
        <v>0</v>
      </c>
      <c r="AF57" s="27" t="n">
        <f aca="false">IF(COUNT('Feijão 1ª safra'!$E55:$Z55)=0,0,MAX(0,IF((AF$6-$E$3)&lt;1,0,IFERROR(LOOKUP(2,1/('Feijão 1ª safra'!$E55:INDEX('Feijão 1ª safra'!$E55:$Z55,MIN(AF$6-$E$3,22))&lt;&gt;""),'Feijão 1ª safra'!$E55:INDEX('Feijão 1ª safra'!$E55:$Z55,MIN(AF$6-$E$3,22))),0))-IF($G$2,0,IF((AF$6-$G$3)&lt;1,0,IFERROR(LOOKUP(2,1/('Feijão 1ª safra'!$E55:INDEX('Feijão 1ª safra'!$E55:$Z55,MIN(AF$6-$G$3,22))&lt;&gt;""),'Feijão 1ª safra'!$E55:INDEX('Feijão 1ª safra'!$E55:$Z55,MIN(AF$6-$G$3,22))),0)))))</f>
        <v>0</v>
      </c>
      <c r="AG57" s="27" t="n">
        <f aca="false">IF(COUNT('Feijão 1ª safra'!$E55:$Z55)=0,0,MAX(0,IF((AG$6-$E$3)&lt;1,0,IFERROR(LOOKUP(2,1/('Feijão 1ª safra'!$E55:INDEX('Feijão 1ª safra'!$E55:$Z55,MIN(AG$6-$E$3,22))&lt;&gt;""),'Feijão 1ª safra'!$E55:INDEX('Feijão 1ª safra'!$E55:$Z55,MIN(AG$6-$E$3,22))),0))-IF($G$2,0,IF((AG$6-$G$3)&lt;1,0,IFERROR(LOOKUP(2,1/('Feijão 1ª safra'!$E55:INDEX('Feijão 1ª safra'!$E55:$Z55,MIN(AG$6-$G$3,22))&lt;&gt;""),'Feijão 1ª safra'!$E55:INDEX('Feijão 1ª safra'!$E55:$Z55,MIN(AG$6-$G$3,22))),0)))))</f>
        <v>0</v>
      </c>
      <c r="AH57" s="27" t="n">
        <f aca="false">IF(COUNT('Feijão 1ª safra'!$E55:$Z55)=0,0,MAX(0,IF((AH$6-$E$3)&lt;1,0,IFERROR(LOOKUP(2,1/('Feijão 1ª safra'!$E55:INDEX('Feijão 1ª safra'!$E55:$Z55,MIN(AH$6-$E$3,22))&lt;&gt;""),'Feijão 1ª safra'!$E55:INDEX('Feijão 1ª safra'!$E55:$Z55,MIN(AH$6-$E$3,22))),0))-IF($G$2,0,IF((AH$6-$G$3)&lt;1,0,IFERROR(LOOKUP(2,1/('Feijão 1ª safra'!$E55:INDEX('Feijão 1ª safra'!$E55:$Z55,MIN(AH$6-$G$3,22))&lt;&gt;""),'Feijão 1ª safra'!$E55:INDEX('Feijão 1ª safra'!$E55:$Z55,MIN(AH$6-$G$3,22))),0)))))</f>
        <v>0</v>
      </c>
      <c r="AI57" s="27" t="n">
        <f aca="false">IF(COUNT('Feijão 1ª safra'!$E55:$Z55)=0,0,MAX(0,IF((AI$6-$E$3)&lt;1,0,IFERROR(LOOKUP(2,1/('Feijão 1ª safra'!$E55:INDEX('Feijão 1ª safra'!$E55:$Z55,MIN(AI$6-$E$3,22))&lt;&gt;""),'Feijão 1ª safra'!$E55:INDEX('Feijão 1ª safra'!$E55:$Z55,MIN(AI$6-$E$3,22))),0))-IF($G$2,0,IF((AI$6-$G$3)&lt;1,0,IFERROR(LOOKUP(2,1/('Feijão 1ª safra'!$E55:INDEX('Feijão 1ª safra'!$E55:$Z55,MIN(AI$6-$G$3,22))&lt;&gt;""),'Feijão 1ª safra'!$E55:INDEX('Feijão 1ª safra'!$E55:$Z55,MIN(AI$6-$G$3,22))),0)))))</f>
        <v>0</v>
      </c>
      <c r="AJ57" s="27" t="n">
        <f aca="false">IF(COUNT('Feijão 1ª safra'!$E55:$Z55)=0,0,MAX(0,IF((AJ$6-$E$3)&lt;1,0,IFERROR(LOOKUP(2,1/('Feijão 1ª safra'!$E55:INDEX('Feijão 1ª safra'!$E55:$Z55,MIN(AJ$6-$E$3,22))&lt;&gt;""),'Feijão 1ª safra'!$E55:INDEX('Feijão 1ª safra'!$E55:$Z55,MIN(AJ$6-$E$3,22))),0))-IF($G$2,0,IF((AJ$6-$G$3)&lt;1,0,IFERROR(LOOKUP(2,1/('Feijão 1ª safra'!$E55:INDEX('Feijão 1ª safra'!$E55:$Z55,MIN(AJ$6-$G$3,22))&lt;&gt;""),'Feijão 1ª safra'!$E55:INDEX('Feijão 1ª safra'!$E55:$Z55,MIN(AJ$6-$G$3,22))),0)))))</f>
        <v>0</v>
      </c>
      <c r="AK57" s="27" t="n">
        <f aca="false">IF(COUNT('Feijão 1ª safra'!$E55:$Z55)=0,0,MAX(0,IF((AK$6-$E$3)&lt;1,0,IFERROR(LOOKUP(2,1/('Feijão 1ª safra'!$E55:INDEX('Feijão 1ª safra'!$E55:$Z55,MIN(AK$6-$E$3,22))&lt;&gt;""),'Feijão 1ª safra'!$E55:INDEX('Feijão 1ª safra'!$E55:$Z55,MIN(AK$6-$E$3,22))),0))-IF($G$2,0,IF((AK$6-$G$3)&lt;1,0,IFERROR(LOOKUP(2,1/('Feijão 1ª safra'!$E55:INDEX('Feijão 1ª safra'!$E55:$Z55,MIN(AK$6-$G$3,22))&lt;&gt;""),'Feijão 1ª safra'!$E55:INDEX('Feijão 1ª safra'!$E55:$Z55,MIN(AK$6-$G$3,22))),0)))))</f>
        <v>0</v>
      </c>
      <c r="AL57" s="27" t="n">
        <f aca="false">IF(COUNT('Feijão 1ª safra'!$E55:$Z55)=0,0,MAX(0,IF((AL$6-$E$3)&lt;1,0,IFERROR(LOOKUP(2,1/('Feijão 1ª safra'!$E55:INDEX('Feijão 1ª safra'!$E55:$Z55,MIN(AL$6-$E$3,22))&lt;&gt;""),'Feijão 1ª safra'!$E55:INDEX('Feijão 1ª safra'!$E55:$Z55,MIN(AL$6-$E$3,22))),0))-IF($G$2,0,IF((AL$6-$G$3)&lt;1,0,IFERROR(LOOKUP(2,1/('Feijão 1ª safra'!$E55:INDEX('Feijão 1ª safra'!$E55:$Z55,MIN(AL$6-$G$3,22))&lt;&gt;""),'Feijão 1ª safra'!$E55:INDEX('Feijão 1ª safra'!$E55:$Z55,MIN(AL$6-$G$3,22))),0)))))</f>
        <v>0</v>
      </c>
      <c r="AM57" s="27" t="n">
        <f aca="false">IF(COUNT('Feijão 1ª safra'!$E55:$Z55)=0,0,MAX(0,IF((AM$6-$E$3)&lt;1,0,IFERROR(LOOKUP(2,1/('Feijão 1ª safra'!$E55:INDEX('Feijão 1ª safra'!$E55:$Z55,MIN(AM$6-$E$3,22))&lt;&gt;""),'Feijão 1ª safra'!$E55:INDEX('Feijão 1ª safra'!$E55:$Z55,MIN(AM$6-$E$3,22))),0))-IF($G$2,0,IF((AM$6-$G$3)&lt;1,0,IFERROR(LOOKUP(2,1/('Feijão 1ª safra'!$E55:INDEX('Feijão 1ª safra'!$E55:$Z55,MIN(AM$6-$G$3,22))&lt;&gt;""),'Feijão 1ª safra'!$E55:INDEX('Feijão 1ª safra'!$E55:$Z55,MIN(AM$6-$G$3,22))),0)))))</f>
        <v>0</v>
      </c>
      <c r="AN57" s="27" t="n">
        <f aca="false">IF(COUNT('Feijão 1ª safra'!$E55:$Z55)=0,0,MAX(0,IF((AN$6-$E$3)&lt;1,0,IFERROR(LOOKUP(2,1/('Feijão 1ª safra'!$E55:INDEX('Feijão 1ª safra'!$E55:$Z55,MIN(AN$6-$E$3,22))&lt;&gt;""),'Feijão 1ª safra'!$E55:INDEX('Feijão 1ª safra'!$E55:$Z55,MIN(AN$6-$E$3,22))),0))-IF($G$2,0,IF((AN$6-$G$3)&lt;1,0,IFERROR(LOOKUP(2,1/('Feijão 1ª safra'!$E55:INDEX('Feijão 1ª safra'!$E55:$Z55,MIN(AN$6-$G$3,22))&lt;&gt;""),'Feijão 1ª safra'!$E55:INDEX('Feijão 1ª safra'!$E55:$Z55,MIN(AN$6-$G$3,22))),0)))))</f>
        <v>0</v>
      </c>
      <c r="AO57" s="27" t="n">
        <f aca="false">IF(COUNT('Feijão 1ª safra'!$E55:$Z55)=0,0,MAX(0,IF((AO$6-$E$3)&lt;1,0,IFERROR(LOOKUP(2,1/('Feijão 1ª safra'!$E55:INDEX('Feijão 1ª safra'!$E55:$Z55,MIN(AO$6-$E$3,22))&lt;&gt;""),'Feijão 1ª safra'!$E55:INDEX('Feijão 1ª safra'!$E55:$Z55,MIN(AO$6-$E$3,22))),0))-IF($G$2,0,IF((AO$6-$G$3)&lt;1,0,IFERROR(LOOKUP(2,1/('Feijão 1ª safra'!$E55:INDEX('Feijão 1ª safra'!$E55:$Z55,MIN(AO$6-$G$3,22))&lt;&gt;""),'Feijão 1ª safra'!$E55:INDEX('Feijão 1ª safra'!$E55:$Z55,MIN(AO$6-$G$3,22))),0)))))</f>
        <v>0</v>
      </c>
      <c r="AP57" s="27" t="n">
        <f aca="false">IF(COUNT('Feijão 1ª safra'!$E55:$Z55)=0,0,MAX(0,IF((AP$6-$E$3)&lt;1,0,IFERROR(LOOKUP(2,1/('Feijão 1ª safra'!$E55:INDEX('Feijão 1ª safra'!$E55:$Z55,MIN(AP$6-$E$3,22))&lt;&gt;""),'Feijão 1ª safra'!$E55:INDEX('Feijão 1ª safra'!$E55:$Z55,MIN(AP$6-$E$3,22))),0))-IF($G$2,0,IF((AP$6-$G$3)&lt;1,0,IFERROR(LOOKUP(2,1/('Feijão 1ª safra'!$E55:INDEX('Feijão 1ª safra'!$E55:$Z55,MIN(AP$6-$G$3,22))&lt;&gt;""),'Feijão 1ª safra'!$E55:INDEX('Feijão 1ª safra'!$E55:$Z55,MIN(AP$6-$G$3,22))),0)))))</f>
        <v>0</v>
      </c>
      <c r="AQ57" s="27" t="n">
        <f aca="false">IF(COUNT('Feijão 1ª safra'!$E55:$Z55)=0,0,MAX(0,IF((AQ$6-$E$3)&lt;1,0,IFERROR(LOOKUP(2,1/('Feijão 1ª safra'!$E55:INDEX('Feijão 1ª safra'!$E55:$Z55,MIN(AQ$6-$E$3,22))&lt;&gt;""),'Feijão 1ª safra'!$E55:INDEX('Feijão 1ª safra'!$E55:$Z55,MIN(AQ$6-$E$3,22))),0))-IF($G$2,0,IF((AQ$6-$G$3)&lt;1,0,IFERROR(LOOKUP(2,1/('Feijão 1ª safra'!$E55:INDEX('Feijão 1ª safra'!$E55:$Z55,MIN(AQ$6-$G$3,22))&lt;&gt;""),'Feijão 1ª safra'!$E55:INDEX('Feijão 1ª safra'!$E55:$Z55,MIN(AQ$6-$G$3,22))),0)))))</f>
        <v>0</v>
      </c>
      <c r="AR57" s="27" t="n">
        <f aca="false">IF(COUNT('Feijão 1ª safra'!$E55:$Z55)=0,0,MAX(0,IF((AR$6-$E$3)&lt;1,0,IFERROR(LOOKUP(2,1/('Feijão 1ª safra'!$E55:INDEX('Feijão 1ª safra'!$E55:$Z55,MIN(AR$6-$E$3,22))&lt;&gt;""),'Feijão 1ª safra'!$E55:INDEX('Feijão 1ª safra'!$E55:$Z55,MIN(AR$6-$E$3,22))),0))-IF($G$2,0,IF((AR$6-$G$3)&lt;1,0,IFERROR(LOOKUP(2,1/('Feijão 1ª safra'!$E55:INDEX('Feijão 1ª safra'!$E55:$Z55,MIN(AR$6-$G$3,22))&lt;&gt;""),'Feijão 1ª safra'!$E55:INDEX('Feijão 1ª safra'!$E55:$Z55,MIN(AR$6-$G$3,22))),0)))))</f>
        <v>0</v>
      </c>
      <c r="AS57" s="27" t="n">
        <f aca="false">IF(COUNT('Feijão 1ª safra'!$E55:$Z55)=0,0,MAX(0,IF((AS$6-$E$3)&lt;1,0,IFERROR(LOOKUP(2,1/('Feijão 1ª safra'!$E55:INDEX('Feijão 1ª safra'!$E55:$Z55,MIN(AS$6-$E$3,22))&lt;&gt;""),'Feijão 1ª safra'!$E55:INDEX('Feijão 1ª safra'!$E55:$Z55,MIN(AS$6-$E$3,22))),0))-IF($G$2,0,IF((AS$6-$G$3)&lt;1,0,IFERROR(LOOKUP(2,1/('Feijão 1ª safra'!$E55:INDEX('Feijão 1ª safra'!$E55:$Z55,MIN(AS$6-$G$3,22))&lt;&gt;""),'Feijão 1ª safra'!$E55:INDEX('Feijão 1ª safra'!$E55:$Z55,MIN(AS$6-$G$3,22))),0)))))</f>
        <v>0</v>
      </c>
      <c r="AT57" s="27" t="n">
        <f aca="false">IF(COUNT('Feijão 1ª safra'!$E55:$Z55)=0,0,MAX(0,IF((AT$6-$E$3)&lt;1,0,IFERROR(LOOKUP(2,1/('Feijão 1ª safra'!$E55:INDEX('Feijão 1ª safra'!$E55:$Z55,MIN(AT$6-$E$3,22))&lt;&gt;""),'Feijão 1ª safra'!$E55:INDEX('Feijão 1ª safra'!$E55:$Z55,MIN(AT$6-$E$3,22))),0))-IF($G$2,0,IF((AT$6-$G$3)&lt;1,0,IFERROR(LOOKUP(2,1/('Feijão 1ª safra'!$E55:INDEX('Feijão 1ª safra'!$E55:$Z55,MIN(AT$6-$G$3,22))&lt;&gt;""),'Feijão 1ª safra'!$E55:INDEX('Feijão 1ª safra'!$E55:$Z55,MIN(AT$6-$G$3,22))),0)))))</f>
        <v>0</v>
      </c>
      <c r="AU57" s="27" t="n">
        <f aca="false">IF(COUNT('Feijão 1ª safra'!$E55:$Z55)=0,0,MAX(0,IF((AU$6-$E$3)&lt;1,0,IFERROR(LOOKUP(2,1/('Feijão 1ª safra'!$E55:INDEX('Feijão 1ª safra'!$E55:$Z55,MIN(AU$6-$E$3,22))&lt;&gt;""),'Feijão 1ª safra'!$E55:INDEX('Feijão 1ª safra'!$E55:$Z55,MIN(AU$6-$E$3,22))),0))-IF($G$2,0,IF((AU$6-$G$3)&lt;1,0,IFERROR(LOOKUP(2,1/('Feijão 1ª safra'!$E55:INDEX('Feijão 1ª safra'!$E55:$Z55,MIN(AU$6-$G$3,22))&lt;&gt;""),'Feijão 1ª safra'!$E55:INDEX('Feijão 1ª safra'!$E55:$Z55,MIN(AU$6-$G$3,22))),0)))))</f>
        <v>0</v>
      </c>
      <c r="AV57" s="27" t="n">
        <f aca="false">IF(COUNT('Feijão 1ª safra'!$E55:$Z55)=0,0,MAX(0,IF((AV$6-$E$3)&lt;1,0,IFERROR(LOOKUP(2,1/('Feijão 1ª safra'!$E55:INDEX('Feijão 1ª safra'!$E55:$Z55,MIN(AV$6-$E$3,22))&lt;&gt;""),'Feijão 1ª safra'!$E55:INDEX('Feijão 1ª safra'!$E55:$Z55,MIN(AV$6-$E$3,22))),0))-IF($G$2,0,IF((AV$6-$G$3)&lt;1,0,IFERROR(LOOKUP(2,1/('Feijão 1ª safra'!$E55:INDEX('Feijão 1ª safra'!$E55:$Z55,MIN(AV$6-$G$3,22))&lt;&gt;""),'Feijão 1ª safra'!$E55:INDEX('Feijão 1ª safra'!$E55:$Z55,MIN(AV$6-$G$3,22))),0)))))</f>
        <v>0</v>
      </c>
      <c r="AW57" s="27" t="n">
        <f aca="false">IF(COUNT('Feijão 1ª safra'!$E55:$Z55)=0,0,MAX(0,IF((AW$6-$E$3)&lt;1,0,IFERROR(LOOKUP(2,1/('Feijão 1ª safra'!$E55:INDEX('Feijão 1ª safra'!$E55:$Z55,MIN(AW$6-$E$3,22))&lt;&gt;""),'Feijão 1ª safra'!$E55:INDEX('Feijão 1ª safra'!$E55:$Z55,MIN(AW$6-$E$3,22))),0))-IF($G$2,0,IF((AW$6-$G$3)&lt;1,0,IFERROR(LOOKUP(2,1/('Feijão 1ª safra'!$E55:INDEX('Feijão 1ª safra'!$E55:$Z55,MIN(AW$6-$G$3,22))&lt;&gt;""),'Feijão 1ª safra'!$E55:INDEX('Feijão 1ª safra'!$E55:$Z55,MIN(AW$6-$G$3,22))),0)))))</f>
        <v>0</v>
      </c>
      <c r="AX57" s="27" t="n">
        <f aca="false">IF(COUNT('Feijão 1ª safra'!$E55:$Z55)=0,0,MAX(0,IF((AX$6-$E$3)&lt;1,0,IFERROR(LOOKUP(2,1/('Feijão 1ª safra'!$E55:INDEX('Feijão 1ª safra'!$E55:$Z55,MIN(AX$6-$E$3,22))&lt;&gt;""),'Feijão 1ª safra'!$E55:INDEX('Feijão 1ª safra'!$E55:$Z55,MIN(AX$6-$E$3,22))),0))-IF($G$2,0,IF((AX$6-$G$3)&lt;1,0,IFERROR(LOOKUP(2,1/('Feijão 1ª safra'!$E55:INDEX('Feijão 1ª safra'!$E55:$Z55,MIN(AX$6-$G$3,22))&lt;&gt;""),'Feijão 1ª safra'!$E55:INDEX('Feijão 1ª safra'!$E55:$Z55,MIN(AX$6-$G$3,22))),0)))))</f>
        <v>0</v>
      </c>
      <c r="AY57" s="27" t="n">
        <f aca="false">IF(COUNT('Feijão 1ª safra'!$E55:$Z55)=0,0,MAX(0,IF((AY$6-$E$3)&lt;1,0,IFERROR(LOOKUP(2,1/('Feijão 1ª safra'!$E55:INDEX('Feijão 1ª safra'!$E55:$Z55,MIN(AY$6-$E$3,22))&lt;&gt;""),'Feijão 1ª safra'!$E55:INDEX('Feijão 1ª safra'!$E55:$Z55,MIN(AY$6-$E$3,22))),0))-IF($G$2,0,IF((AY$6-$G$3)&lt;1,0,IFERROR(LOOKUP(2,1/('Feijão 1ª safra'!$E55:INDEX('Feijão 1ª safra'!$E55:$Z55,MIN(AY$6-$G$3,22))&lt;&gt;""),'Feijão 1ª safra'!$E55:INDEX('Feijão 1ª safra'!$E55:$Z55,MIN(AY$6-$G$3,22))),0)))))</f>
        <v>0</v>
      </c>
      <c r="AZ57" s="27" t="n">
        <f aca="false">IF(COUNT('Feijão 1ª safra'!$E55:$Z55)=0,0,MAX(0,IF((AZ$6-$E$3)&lt;1,0,IFERROR(LOOKUP(2,1/('Feijão 1ª safra'!$E55:INDEX('Feijão 1ª safra'!$E55:$Z55,MIN(AZ$6-$E$3,22))&lt;&gt;""),'Feijão 1ª safra'!$E55:INDEX('Feijão 1ª safra'!$E55:$Z55,MIN(AZ$6-$E$3,22))),0))-IF($G$2,0,IF((AZ$6-$G$3)&lt;1,0,IFERROR(LOOKUP(2,1/('Feijão 1ª safra'!$E55:INDEX('Feijão 1ª safra'!$E55:$Z55,MIN(AZ$6-$G$3,22))&lt;&gt;""),'Feijão 1ª safra'!$E55:INDEX('Feijão 1ª safra'!$E55:$Z55,MIN(AZ$6-$G$3,22))),0)))))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IF(COUNT('Feijão 1ª safra'!$E56:$Z56)&gt;0,N('Feijão 1ª safra'!$D56),0)</f>
        <v>0</v>
      </c>
      <c r="E58" s="27" t="n">
        <f aca="false">IF(COUNT('Feijão 1ª safra'!$E56:$Z56)=0,0,MAX(0,IF((E$6-$E$3)&lt;1,0,IFERROR(LOOKUP(2,1/('Feijão 1ª safra'!$E56:INDEX('Feijão 1ª safra'!$E56:$Z56,MIN(E$6-$E$3,22))&lt;&gt;""),'Feijão 1ª safra'!$E56:INDEX('Feijão 1ª safra'!$E56:$Z56,MIN(E$6-$E$3,22))),0))-IF($G$2,0,IF((E$6-$G$3)&lt;1,0,IFERROR(LOOKUP(2,1/('Feijão 1ª safra'!$E56:INDEX('Feijão 1ª safra'!$E56:$Z56,MIN(E$6-$G$3,22))&lt;&gt;""),'Feijão 1ª safra'!$E56:INDEX('Feijão 1ª safra'!$E56:$Z56,MIN(E$6-$G$3,22))),0)))))</f>
        <v>0</v>
      </c>
      <c r="F58" s="27" t="n">
        <f aca="false">IF(COUNT('Feijão 1ª safra'!$E56:$Z56)=0,0,MAX(0,IF((F$6-$E$3)&lt;1,0,IFERROR(LOOKUP(2,1/('Feijão 1ª safra'!$E56:INDEX('Feijão 1ª safra'!$E56:$Z56,MIN(F$6-$E$3,22))&lt;&gt;""),'Feijão 1ª safra'!$E56:INDEX('Feijão 1ª safra'!$E56:$Z56,MIN(F$6-$E$3,22))),0))-IF($G$2,0,IF((F$6-$G$3)&lt;1,0,IFERROR(LOOKUP(2,1/('Feijão 1ª safra'!$E56:INDEX('Feijão 1ª safra'!$E56:$Z56,MIN(F$6-$G$3,22))&lt;&gt;""),'Feijão 1ª safra'!$E56:INDEX('Feijão 1ª safra'!$E56:$Z56,MIN(F$6-$G$3,22))),0)))))</f>
        <v>0</v>
      </c>
      <c r="G58" s="27" t="n">
        <f aca="false">IF(COUNT('Feijão 1ª safra'!$E56:$Z56)=0,0,MAX(0,IF((G$6-$E$3)&lt;1,0,IFERROR(LOOKUP(2,1/('Feijão 1ª safra'!$E56:INDEX('Feijão 1ª safra'!$E56:$Z56,MIN(G$6-$E$3,22))&lt;&gt;""),'Feijão 1ª safra'!$E56:INDEX('Feijão 1ª safra'!$E56:$Z56,MIN(G$6-$E$3,22))),0))-IF($G$2,0,IF((G$6-$G$3)&lt;1,0,IFERROR(LOOKUP(2,1/('Feijão 1ª safra'!$E56:INDEX('Feijão 1ª safra'!$E56:$Z56,MIN(G$6-$G$3,22))&lt;&gt;""),'Feijão 1ª safra'!$E56:INDEX('Feijão 1ª safra'!$E56:$Z56,MIN(G$6-$G$3,22))),0)))))</f>
        <v>0</v>
      </c>
      <c r="H58" s="27" t="n">
        <f aca="false">IF(COUNT('Feijão 1ª safra'!$E56:$Z56)=0,0,MAX(0,IF((H$6-$E$3)&lt;1,0,IFERROR(LOOKUP(2,1/('Feijão 1ª safra'!$E56:INDEX('Feijão 1ª safra'!$E56:$Z56,MIN(H$6-$E$3,22))&lt;&gt;""),'Feijão 1ª safra'!$E56:INDEX('Feijão 1ª safra'!$E56:$Z56,MIN(H$6-$E$3,22))),0))-IF($G$2,0,IF((H$6-$G$3)&lt;1,0,IFERROR(LOOKUP(2,1/('Feijão 1ª safra'!$E56:INDEX('Feijão 1ª safra'!$E56:$Z56,MIN(H$6-$G$3,22))&lt;&gt;""),'Feijão 1ª safra'!$E56:INDEX('Feijão 1ª safra'!$E56:$Z56,MIN(H$6-$G$3,22))),0)))))</f>
        <v>0</v>
      </c>
      <c r="I58" s="27" t="n">
        <f aca="false">IF(COUNT('Feijão 1ª safra'!$E56:$Z56)=0,0,MAX(0,IF((I$6-$E$3)&lt;1,0,IFERROR(LOOKUP(2,1/('Feijão 1ª safra'!$E56:INDEX('Feijão 1ª safra'!$E56:$Z56,MIN(I$6-$E$3,22))&lt;&gt;""),'Feijão 1ª safra'!$E56:INDEX('Feijão 1ª safra'!$E56:$Z56,MIN(I$6-$E$3,22))),0))-IF($G$2,0,IF((I$6-$G$3)&lt;1,0,IFERROR(LOOKUP(2,1/('Feijão 1ª safra'!$E56:INDEX('Feijão 1ª safra'!$E56:$Z56,MIN(I$6-$G$3,22))&lt;&gt;""),'Feijão 1ª safra'!$E56:INDEX('Feijão 1ª safra'!$E56:$Z56,MIN(I$6-$G$3,22))),0)))))</f>
        <v>0</v>
      </c>
      <c r="J58" s="27" t="n">
        <f aca="false">IF(COUNT('Feijão 1ª safra'!$E56:$Z56)=0,0,MAX(0,IF((J$6-$E$3)&lt;1,0,IFERROR(LOOKUP(2,1/('Feijão 1ª safra'!$E56:INDEX('Feijão 1ª safra'!$E56:$Z56,MIN(J$6-$E$3,22))&lt;&gt;""),'Feijão 1ª safra'!$E56:INDEX('Feijão 1ª safra'!$E56:$Z56,MIN(J$6-$E$3,22))),0))-IF($G$2,0,IF((J$6-$G$3)&lt;1,0,IFERROR(LOOKUP(2,1/('Feijão 1ª safra'!$E56:INDEX('Feijão 1ª safra'!$E56:$Z56,MIN(J$6-$G$3,22))&lt;&gt;""),'Feijão 1ª safra'!$E56:INDEX('Feijão 1ª safra'!$E56:$Z56,MIN(J$6-$G$3,22))),0)))))</f>
        <v>0</v>
      </c>
      <c r="K58" s="27" t="n">
        <f aca="false">IF(COUNT('Feijão 1ª safra'!$E56:$Z56)=0,0,MAX(0,IF((K$6-$E$3)&lt;1,0,IFERROR(LOOKUP(2,1/('Feijão 1ª safra'!$E56:INDEX('Feijão 1ª safra'!$E56:$Z56,MIN(K$6-$E$3,22))&lt;&gt;""),'Feijão 1ª safra'!$E56:INDEX('Feijão 1ª safra'!$E56:$Z56,MIN(K$6-$E$3,22))),0))-IF($G$2,0,IF((K$6-$G$3)&lt;1,0,IFERROR(LOOKUP(2,1/('Feijão 1ª safra'!$E56:INDEX('Feijão 1ª safra'!$E56:$Z56,MIN(K$6-$G$3,22))&lt;&gt;""),'Feijão 1ª safra'!$E56:INDEX('Feijão 1ª safra'!$E56:$Z56,MIN(K$6-$G$3,22))),0)))))</f>
        <v>0</v>
      </c>
      <c r="L58" s="27" t="n">
        <f aca="false">IF(COUNT('Feijão 1ª safra'!$E56:$Z56)=0,0,MAX(0,IF((L$6-$E$3)&lt;1,0,IFERROR(LOOKUP(2,1/('Feijão 1ª safra'!$E56:INDEX('Feijão 1ª safra'!$E56:$Z56,MIN(L$6-$E$3,22))&lt;&gt;""),'Feijão 1ª safra'!$E56:INDEX('Feijão 1ª safra'!$E56:$Z56,MIN(L$6-$E$3,22))),0))-IF($G$2,0,IF((L$6-$G$3)&lt;1,0,IFERROR(LOOKUP(2,1/('Feijão 1ª safra'!$E56:INDEX('Feijão 1ª safra'!$E56:$Z56,MIN(L$6-$G$3,22))&lt;&gt;""),'Feijão 1ª safra'!$E56:INDEX('Feijão 1ª safra'!$E56:$Z56,MIN(L$6-$G$3,22))),0)))))</f>
        <v>0</v>
      </c>
      <c r="M58" s="27" t="n">
        <f aca="false">IF(COUNT('Feijão 1ª safra'!$E56:$Z56)=0,0,MAX(0,IF((M$6-$E$3)&lt;1,0,IFERROR(LOOKUP(2,1/('Feijão 1ª safra'!$E56:INDEX('Feijão 1ª safra'!$E56:$Z56,MIN(M$6-$E$3,22))&lt;&gt;""),'Feijão 1ª safra'!$E56:INDEX('Feijão 1ª safra'!$E56:$Z56,MIN(M$6-$E$3,22))),0))-IF($G$2,0,IF((M$6-$G$3)&lt;1,0,IFERROR(LOOKUP(2,1/('Feijão 1ª safra'!$E56:INDEX('Feijão 1ª safra'!$E56:$Z56,MIN(M$6-$G$3,22))&lt;&gt;""),'Feijão 1ª safra'!$E56:INDEX('Feijão 1ª safra'!$E56:$Z56,MIN(M$6-$G$3,22))),0)))))</f>
        <v>0</v>
      </c>
      <c r="N58" s="27" t="n">
        <f aca="false">IF(COUNT('Feijão 1ª safra'!$E56:$Z56)=0,0,MAX(0,IF((N$6-$E$3)&lt;1,0,IFERROR(LOOKUP(2,1/('Feijão 1ª safra'!$E56:INDEX('Feijão 1ª safra'!$E56:$Z56,MIN(N$6-$E$3,22))&lt;&gt;""),'Feijão 1ª safra'!$E56:INDEX('Feijão 1ª safra'!$E56:$Z56,MIN(N$6-$E$3,22))),0))-IF($G$2,0,IF((N$6-$G$3)&lt;1,0,IFERROR(LOOKUP(2,1/('Feijão 1ª safra'!$E56:INDEX('Feijão 1ª safra'!$E56:$Z56,MIN(N$6-$G$3,22))&lt;&gt;""),'Feijão 1ª safra'!$E56:INDEX('Feijão 1ª safra'!$E56:$Z56,MIN(N$6-$G$3,22))),0)))))</f>
        <v>0</v>
      </c>
      <c r="O58" s="27" t="n">
        <f aca="false">IF(COUNT('Feijão 1ª safra'!$E56:$Z56)=0,0,MAX(0,IF((O$6-$E$3)&lt;1,0,IFERROR(LOOKUP(2,1/('Feijão 1ª safra'!$E56:INDEX('Feijão 1ª safra'!$E56:$Z56,MIN(O$6-$E$3,22))&lt;&gt;""),'Feijão 1ª safra'!$E56:INDEX('Feijão 1ª safra'!$E56:$Z56,MIN(O$6-$E$3,22))),0))-IF($G$2,0,IF((O$6-$G$3)&lt;1,0,IFERROR(LOOKUP(2,1/('Feijão 1ª safra'!$E56:INDEX('Feijão 1ª safra'!$E56:$Z56,MIN(O$6-$G$3,22))&lt;&gt;""),'Feijão 1ª safra'!$E56:INDEX('Feijão 1ª safra'!$E56:$Z56,MIN(O$6-$G$3,22))),0)))))</f>
        <v>0</v>
      </c>
      <c r="P58" s="27" t="n">
        <f aca="false">IF(COUNT('Feijão 1ª safra'!$E56:$Z56)=0,0,MAX(0,IF((P$6-$E$3)&lt;1,0,IFERROR(LOOKUP(2,1/('Feijão 1ª safra'!$E56:INDEX('Feijão 1ª safra'!$E56:$Z56,MIN(P$6-$E$3,22))&lt;&gt;""),'Feijão 1ª safra'!$E56:INDEX('Feijão 1ª safra'!$E56:$Z56,MIN(P$6-$E$3,22))),0))-IF($G$2,0,IF((P$6-$G$3)&lt;1,0,IFERROR(LOOKUP(2,1/('Feijão 1ª safra'!$E56:INDEX('Feijão 1ª safra'!$E56:$Z56,MIN(P$6-$G$3,22))&lt;&gt;""),'Feijão 1ª safra'!$E56:INDEX('Feijão 1ª safra'!$E56:$Z56,MIN(P$6-$G$3,22))),0)))))</f>
        <v>0</v>
      </c>
      <c r="Q58" s="27" t="n">
        <f aca="false">IF(COUNT('Feijão 1ª safra'!$E56:$Z56)=0,0,MAX(0,IF((Q$6-$E$3)&lt;1,0,IFERROR(LOOKUP(2,1/('Feijão 1ª safra'!$E56:INDEX('Feijão 1ª safra'!$E56:$Z56,MIN(Q$6-$E$3,22))&lt;&gt;""),'Feijão 1ª safra'!$E56:INDEX('Feijão 1ª safra'!$E56:$Z56,MIN(Q$6-$E$3,22))),0))-IF($G$2,0,IF((Q$6-$G$3)&lt;1,0,IFERROR(LOOKUP(2,1/('Feijão 1ª safra'!$E56:INDEX('Feijão 1ª safra'!$E56:$Z56,MIN(Q$6-$G$3,22))&lt;&gt;""),'Feijão 1ª safra'!$E56:INDEX('Feijão 1ª safra'!$E56:$Z56,MIN(Q$6-$G$3,22))),0)))))</f>
        <v>0</v>
      </c>
      <c r="R58" s="27" t="n">
        <f aca="false">IF(COUNT('Feijão 1ª safra'!$E56:$Z56)=0,0,MAX(0,IF((R$6-$E$3)&lt;1,0,IFERROR(LOOKUP(2,1/('Feijão 1ª safra'!$E56:INDEX('Feijão 1ª safra'!$E56:$Z56,MIN(R$6-$E$3,22))&lt;&gt;""),'Feijão 1ª safra'!$E56:INDEX('Feijão 1ª safra'!$E56:$Z56,MIN(R$6-$E$3,22))),0))-IF($G$2,0,IF((R$6-$G$3)&lt;1,0,IFERROR(LOOKUP(2,1/('Feijão 1ª safra'!$E56:INDEX('Feijão 1ª safra'!$E56:$Z56,MIN(R$6-$G$3,22))&lt;&gt;""),'Feijão 1ª safra'!$E56:INDEX('Feijão 1ª safra'!$E56:$Z56,MIN(R$6-$G$3,22))),0)))))</f>
        <v>0</v>
      </c>
      <c r="S58" s="27" t="n">
        <f aca="false">IF(COUNT('Feijão 1ª safra'!$E56:$Z56)=0,0,MAX(0,IF((S$6-$E$3)&lt;1,0,IFERROR(LOOKUP(2,1/('Feijão 1ª safra'!$E56:INDEX('Feijão 1ª safra'!$E56:$Z56,MIN(S$6-$E$3,22))&lt;&gt;""),'Feijão 1ª safra'!$E56:INDEX('Feijão 1ª safra'!$E56:$Z56,MIN(S$6-$E$3,22))),0))-IF($G$2,0,IF((S$6-$G$3)&lt;1,0,IFERROR(LOOKUP(2,1/('Feijão 1ª safra'!$E56:INDEX('Feijão 1ª safra'!$E56:$Z56,MIN(S$6-$G$3,22))&lt;&gt;""),'Feijão 1ª safra'!$E56:INDEX('Feijão 1ª safra'!$E56:$Z56,MIN(S$6-$G$3,22))),0)))))</f>
        <v>0</v>
      </c>
      <c r="T58" s="27" t="n">
        <f aca="false">IF(COUNT('Feijão 1ª safra'!$E56:$Z56)=0,0,MAX(0,IF((T$6-$E$3)&lt;1,0,IFERROR(LOOKUP(2,1/('Feijão 1ª safra'!$E56:INDEX('Feijão 1ª safra'!$E56:$Z56,MIN(T$6-$E$3,22))&lt;&gt;""),'Feijão 1ª safra'!$E56:INDEX('Feijão 1ª safra'!$E56:$Z56,MIN(T$6-$E$3,22))),0))-IF($G$2,0,IF((T$6-$G$3)&lt;1,0,IFERROR(LOOKUP(2,1/('Feijão 1ª safra'!$E56:INDEX('Feijão 1ª safra'!$E56:$Z56,MIN(T$6-$G$3,22))&lt;&gt;""),'Feijão 1ª safra'!$E56:INDEX('Feijão 1ª safra'!$E56:$Z56,MIN(T$6-$G$3,22))),0)))))</f>
        <v>0</v>
      </c>
      <c r="U58" s="27" t="n">
        <f aca="false">IF(COUNT('Feijão 1ª safra'!$E56:$Z56)=0,0,MAX(0,IF((U$6-$E$3)&lt;1,0,IFERROR(LOOKUP(2,1/('Feijão 1ª safra'!$E56:INDEX('Feijão 1ª safra'!$E56:$Z56,MIN(U$6-$E$3,22))&lt;&gt;""),'Feijão 1ª safra'!$E56:INDEX('Feijão 1ª safra'!$E56:$Z56,MIN(U$6-$E$3,22))),0))-IF($G$2,0,IF((U$6-$G$3)&lt;1,0,IFERROR(LOOKUP(2,1/('Feijão 1ª safra'!$E56:INDEX('Feijão 1ª safra'!$E56:$Z56,MIN(U$6-$G$3,22))&lt;&gt;""),'Feijão 1ª safra'!$E56:INDEX('Feijão 1ª safra'!$E56:$Z56,MIN(U$6-$G$3,22))),0)))))</f>
        <v>0</v>
      </c>
      <c r="V58" s="27" t="n">
        <f aca="false">IF(COUNT('Feijão 1ª safra'!$E56:$Z56)=0,0,MAX(0,IF((V$6-$E$3)&lt;1,0,IFERROR(LOOKUP(2,1/('Feijão 1ª safra'!$E56:INDEX('Feijão 1ª safra'!$E56:$Z56,MIN(V$6-$E$3,22))&lt;&gt;""),'Feijão 1ª safra'!$E56:INDEX('Feijão 1ª safra'!$E56:$Z56,MIN(V$6-$E$3,22))),0))-IF($G$2,0,IF((V$6-$G$3)&lt;1,0,IFERROR(LOOKUP(2,1/('Feijão 1ª safra'!$E56:INDEX('Feijão 1ª safra'!$E56:$Z56,MIN(V$6-$G$3,22))&lt;&gt;""),'Feijão 1ª safra'!$E56:INDEX('Feijão 1ª safra'!$E56:$Z56,MIN(V$6-$G$3,22))),0)))))</f>
        <v>0</v>
      </c>
      <c r="W58" s="27" t="n">
        <f aca="false">IF(COUNT('Feijão 1ª safra'!$E56:$Z56)=0,0,MAX(0,IF((W$6-$E$3)&lt;1,0,IFERROR(LOOKUP(2,1/('Feijão 1ª safra'!$E56:INDEX('Feijão 1ª safra'!$E56:$Z56,MIN(W$6-$E$3,22))&lt;&gt;""),'Feijão 1ª safra'!$E56:INDEX('Feijão 1ª safra'!$E56:$Z56,MIN(W$6-$E$3,22))),0))-IF($G$2,0,IF((W$6-$G$3)&lt;1,0,IFERROR(LOOKUP(2,1/('Feijão 1ª safra'!$E56:INDEX('Feijão 1ª safra'!$E56:$Z56,MIN(W$6-$G$3,22))&lt;&gt;""),'Feijão 1ª safra'!$E56:INDEX('Feijão 1ª safra'!$E56:$Z56,MIN(W$6-$G$3,22))),0)))))</f>
        <v>0</v>
      </c>
      <c r="X58" s="27" t="n">
        <f aca="false">IF(COUNT('Feijão 1ª safra'!$E56:$Z56)=0,0,MAX(0,IF((X$6-$E$3)&lt;1,0,IFERROR(LOOKUP(2,1/('Feijão 1ª safra'!$E56:INDEX('Feijão 1ª safra'!$E56:$Z56,MIN(X$6-$E$3,22))&lt;&gt;""),'Feijão 1ª safra'!$E56:INDEX('Feijão 1ª safra'!$E56:$Z56,MIN(X$6-$E$3,22))),0))-IF($G$2,0,IF((X$6-$G$3)&lt;1,0,IFERROR(LOOKUP(2,1/('Feijão 1ª safra'!$E56:INDEX('Feijão 1ª safra'!$E56:$Z56,MIN(X$6-$G$3,22))&lt;&gt;""),'Feijão 1ª safra'!$E56:INDEX('Feijão 1ª safra'!$E56:$Z56,MIN(X$6-$G$3,22))),0)))))</f>
        <v>0</v>
      </c>
      <c r="Y58" s="27" t="n">
        <f aca="false">IF(COUNT('Feijão 1ª safra'!$E56:$Z56)=0,0,MAX(0,IF((Y$6-$E$3)&lt;1,0,IFERROR(LOOKUP(2,1/('Feijão 1ª safra'!$E56:INDEX('Feijão 1ª safra'!$E56:$Z56,MIN(Y$6-$E$3,22))&lt;&gt;""),'Feijão 1ª safra'!$E56:INDEX('Feijão 1ª safra'!$E56:$Z56,MIN(Y$6-$E$3,22))),0))-IF($G$2,0,IF((Y$6-$G$3)&lt;1,0,IFERROR(LOOKUP(2,1/('Feijão 1ª safra'!$E56:INDEX('Feijão 1ª safra'!$E56:$Z56,MIN(Y$6-$G$3,22))&lt;&gt;""),'Feijão 1ª safra'!$E56:INDEX('Feijão 1ª safra'!$E56:$Z56,MIN(Y$6-$G$3,22))),0)))))</f>
        <v>0</v>
      </c>
      <c r="Z58" s="27" t="n">
        <f aca="false">IF(COUNT('Feijão 1ª safra'!$E56:$Z56)=0,0,MAX(0,IF((Z$6-$E$3)&lt;1,0,IFERROR(LOOKUP(2,1/('Feijão 1ª safra'!$E56:INDEX('Feijão 1ª safra'!$E56:$Z56,MIN(Z$6-$E$3,22))&lt;&gt;""),'Feijão 1ª safra'!$E56:INDEX('Feijão 1ª safra'!$E56:$Z56,MIN(Z$6-$E$3,22))),0))-IF($G$2,0,IF((Z$6-$G$3)&lt;1,0,IFERROR(LOOKUP(2,1/('Feijão 1ª safra'!$E56:INDEX('Feijão 1ª safra'!$E56:$Z56,MIN(Z$6-$G$3,22))&lt;&gt;""),'Feijão 1ª safra'!$E56:INDEX('Feijão 1ª safra'!$E56:$Z56,MIN(Z$6-$G$3,22))),0)))))</f>
        <v>0</v>
      </c>
      <c r="AA58" s="27" t="n">
        <f aca="false">IF(COUNT('Feijão 1ª safra'!$E56:$Z56)=0,0,MAX(0,IF((AA$6-$E$3)&lt;1,0,IFERROR(LOOKUP(2,1/('Feijão 1ª safra'!$E56:INDEX('Feijão 1ª safra'!$E56:$Z56,MIN(AA$6-$E$3,22))&lt;&gt;""),'Feijão 1ª safra'!$E56:INDEX('Feijão 1ª safra'!$E56:$Z56,MIN(AA$6-$E$3,22))),0))-IF($G$2,0,IF((AA$6-$G$3)&lt;1,0,IFERROR(LOOKUP(2,1/('Feijão 1ª safra'!$E56:INDEX('Feijão 1ª safra'!$E56:$Z56,MIN(AA$6-$G$3,22))&lt;&gt;""),'Feijão 1ª safra'!$E56:INDEX('Feijão 1ª safra'!$E56:$Z56,MIN(AA$6-$G$3,22))),0)))))</f>
        <v>0</v>
      </c>
      <c r="AB58" s="27" t="n">
        <f aca="false">IF(COUNT('Feijão 1ª safra'!$E56:$Z56)=0,0,MAX(0,IF((AB$6-$E$3)&lt;1,0,IFERROR(LOOKUP(2,1/('Feijão 1ª safra'!$E56:INDEX('Feijão 1ª safra'!$E56:$Z56,MIN(AB$6-$E$3,22))&lt;&gt;""),'Feijão 1ª safra'!$E56:INDEX('Feijão 1ª safra'!$E56:$Z56,MIN(AB$6-$E$3,22))),0))-IF($G$2,0,IF((AB$6-$G$3)&lt;1,0,IFERROR(LOOKUP(2,1/('Feijão 1ª safra'!$E56:INDEX('Feijão 1ª safra'!$E56:$Z56,MIN(AB$6-$G$3,22))&lt;&gt;""),'Feijão 1ª safra'!$E56:INDEX('Feijão 1ª safra'!$E56:$Z56,MIN(AB$6-$G$3,22))),0)))))</f>
        <v>0</v>
      </c>
      <c r="AC58" s="27" t="n">
        <f aca="false">IF(COUNT('Feijão 1ª safra'!$E56:$Z56)=0,0,MAX(0,IF((AC$6-$E$3)&lt;1,0,IFERROR(LOOKUP(2,1/('Feijão 1ª safra'!$E56:INDEX('Feijão 1ª safra'!$E56:$Z56,MIN(AC$6-$E$3,22))&lt;&gt;""),'Feijão 1ª safra'!$E56:INDEX('Feijão 1ª safra'!$E56:$Z56,MIN(AC$6-$E$3,22))),0))-IF($G$2,0,IF((AC$6-$G$3)&lt;1,0,IFERROR(LOOKUP(2,1/('Feijão 1ª safra'!$E56:INDEX('Feijão 1ª safra'!$E56:$Z56,MIN(AC$6-$G$3,22))&lt;&gt;""),'Feijão 1ª safra'!$E56:INDEX('Feijão 1ª safra'!$E56:$Z56,MIN(AC$6-$G$3,22))),0)))))</f>
        <v>0</v>
      </c>
      <c r="AD58" s="27" t="n">
        <f aca="false">IF(COUNT('Feijão 1ª safra'!$E56:$Z56)=0,0,MAX(0,IF((AD$6-$E$3)&lt;1,0,IFERROR(LOOKUP(2,1/('Feijão 1ª safra'!$E56:INDEX('Feijão 1ª safra'!$E56:$Z56,MIN(AD$6-$E$3,22))&lt;&gt;""),'Feijão 1ª safra'!$E56:INDEX('Feijão 1ª safra'!$E56:$Z56,MIN(AD$6-$E$3,22))),0))-IF($G$2,0,IF((AD$6-$G$3)&lt;1,0,IFERROR(LOOKUP(2,1/('Feijão 1ª safra'!$E56:INDEX('Feijão 1ª safra'!$E56:$Z56,MIN(AD$6-$G$3,22))&lt;&gt;""),'Feijão 1ª safra'!$E56:INDEX('Feijão 1ª safra'!$E56:$Z56,MIN(AD$6-$G$3,22))),0)))))</f>
        <v>0</v>
      </c>
      <c r="AE58" s="27" t="n">
        <f aca="false">IF(COUNT('Feijão 1ª safra'!$E56:$Z56)=0,0,MAX(0,IF((AE$6-$E$3)&lt;1,0,IFERROR(LOOKUP(2,1/('Feijão 1ª safra'!$E56:INDEX('Feijão 1ª safra'!$E56:$Z56,MIN(AE$6-$E$3,22))&lt;&gt;""),'Feijão 1ª safra'!$E56:INDEX('Feijão 1ª safra'!$E56:$Z56,MIN(AE$6-$E$3,22))),0))-IF($G$2,0,IF((AE$6-$G$3)&lt;1,0,IFERROR(LOOKUP(2,1/('Feijão 1ª safra'!$E56:INDEX('Feijão 1ª safra'!$E56:$Z56,MIN(AE$6-$G$3,22))&lt;&gt;""),'Feijão 1ª safra'!$E56:INDEX('Feijão 1ª safra'!$E56:$Z56,MIN(AE$6-$G$3,22))),0)))))</f>
        <v>0</v>
      </c>
      <c r="AF58" s="27" t="n">
        <f aca="false">IF(COUNT('Feijão 1ª safra'!$E56:$Z56)=0,0,MAX(0,IF((AF$6-$E$3)&lt;1,0,IFERROR(LOOKUP(2,1/('Feijão 1ª safra'!$E56:INDEX('Feijão 1ª safra'!$E56:$Z56,MIN(AF$6-$E$3,22))&lt;&gt;""),'Feijão 1ª safra'!$E56:INDEX('Feijão 1ª safra'!$E56:$Z56,MIN(AF$6-$E$3,22))),0))-IF($G$2,0,IF((AF$6-$G$3)&lt;1,0,IFERROR(LOOKUP(2,1/('Feijão 1ª safra'!$E56:INDEX('Feijão 1ª safra'!$E56:$Z56,MIN(AF$6-$G$3,22))&lt;&gt;""),'Feijão 1ª safra'!$E56:INDEX('Feijão 1ª safra'!$E56:$Z56,MIN(AF$6-$G$3,22))),0)))))</f>
        <v>0</v>
      </c>
      <c r="AG58" s="27" t="n">
        <f aca="false">IF(COUNT('Feijão 1ª safra'!$E56:$Z56)=0,0,MAX(0,IF((AG$6-$E$3)&lt;1,0,IFERROR(LOOKUP(2,1/('Feijão 1ª safra'!$E56:INDEX('Feijão 1ª safra'!$E56:$Z56,MIN(AG$6-$E$3,22))&lt;&gt;""),'Feijão 1ª safra'!$E56:INDEX('Feijão 1ª safra'!$E56:$Z56,MIN(AG$6-$E$3,22))),0))-IF($G$2,0,IF((AG$6-$G$3)&lt;1,0,IFERROR(LOOKUP(2,1/('Feijão 1ª safra'!$E56:INDEX('Feijão 1ª safra'!$E56:$Z56,MIN(AG$6-$G$3,22))&lt;&gt;""),'Feijão 1ª safra'!$E56:INDEX('Feijão 1ª safra'!$E56:$Z56,MIN(AG$6-$G$3,22))),0)))))</f>
        <v>0</v>
      </c>
      <c r="AH58" s="27" t="n">
        <f aca="false">IF(COUNT('Feijão 1ª safra'!$E56:$Z56)=0,0,MAX(0,IF((AH$6-$E$3)&lt;1,0,IFERROR(LOOKUP(2,1/('Feijão 1ª safra'!$E56:INDEX('Feijão 1ª safra'!$E56:$Z56,MIN(AH$6-$E$3,22))&lt;&gt;""),'Feijão 1ª safra'!$E56:INDEX('Feijão 1ª safra'!$E56:$Z56,MIN(AH$6-$E$3,22))),0))-IF($G$2,0,IF((AH$6-$G$3)&lt;1,0,IFERROR(LOOKUP(2,1/('Feijão 1ª safra'!$E56:INDEX('Feijão 1ª safra'!$E56:$Z56,MIN(AH$6-$G$3,22))&lt;&gt;""),'Feijão 1ª safra'!$E56:INDEX('Feijão 1ª safra'!$E56:$Z56,MIN(AH$6-$G$3,22))),0)))))</f>
        <v>0</v>
      </c>
      <c r="AI58" s="27" t="n">
        <f aca="false">IF(COUNT('Feijão 1ª safra'!$E56:$Z56)=0,0,MAX(0,IF((AI$6-$E$3)&lt;1,0,IFERROR(LOOKUP(2,1/('Feijão 1ª safra'!$E56:INDEX('Feijão 1ª safra'!$E56:$Z56,MIN(AI$6-$E$3,22))&lt;&gt;""),'Feijão 1ª safra'!$E56:INDEX('Feijão 1ª safra'!$E56:$Z56,MIN(AI$6-$E$3,22))),0))-IF($G$2,0,IF((AI$6-$G$3)&lt;1,0,IFERROR(LOOKUP(2,1/('Feijão 1ª safra'!$E56:INDEX('Feijão 1ª safra'!$E56:$Z56,MIN(AI$6-$G$3,22))&lt;&gt;""),'Feijão 1ª safra'!$E56:INDEX('Feijão 1ª safra'!$E56:$Z56,MIN(AI$6-$G$3,22))),0)))))</f>
        <v>0</v>
      </c>
      <c r="AJ58" s="27" t="n">
        <f aca="false">IF(COUNT('Feijão 1ª safra'!$E56:$Z56)=0,0,MAX(0,IF((AJ$6-$E$3)&lt;1,0,IFERROR(LOOKUP(2,1/('Feijão 1ª safra'!$E56:INDEX('Feijão 1ª safra'!$E56:$Z56,MIN(AJ$6-$E$3,22))&lt;&gt;""),'Feijão 1ª safra'!$E56:INDEX('Feijão 1ª safra'!$E56:$Z56,MIN(AJ$6-$E$3,22))),0))-IF($G$2,0,IF((AJ$6-$G$3)&lt;1,0,IFERROR(LOOKUP(2,1/('Feijão 1ª safra'!$E56:INDEX('Feijão 1ª safra'!$E56:$Z56,MIN(AJ$6-$G$3,22))&lt;&gt;""),'Feijão 1ª safra'!$E56:INDEX('Feijão 1ª safra'!$E56:$Z56,MIN(AJ$6-$G$3,22))),0)))))</f>
        <v>0</v>
      </c>
      <c r="AK58" s="27" t="n">
        <f aca="false">IF(COUNT('Feijão 1ª safra'!$E56:$Z56)=0,0,MAX(0,IF((AK$6-$E$3)&lt;1,0,IFERROR(LOOKUP(2,1/('Feijão 1ª safra'!$E56:INDEX('Feijão 1ª safra'!$E56:$Z56,MIN(AK$6-$E$3,22))&lt;&gt;""),'Feijão 1ª safra'!$E56:INDEX('Feijão 1ª safra'!$E56:$Z56,MIN(AK$6-$E$3,22))),0))-IF($G$2,0,IF((AK$6-$G$3)&lt;1,0,IFERROR(LOOKUP(2,1/('Feijão 1ª safra'!$E56:INDEX('Feijão 1ª safra'!$E56:$Z56,MIN(AK$6-$G$3,22))&lt;&gt;""),'Feijão 1ª safra'!$E56:INDEX('Feijão 1ª safra'!$E56:$Z56,MIN(AK$6-$G$3,22))),0)))))</f>
        <v>0</v>
      </c>
      <c r="AL58" s="27" t="n">
        <f aca="false">IF(COUNT('Feijão 1ª safra'!$E56:$Z56)=0,0,MAX(0,IF((AL$6-$E$3)&lt;1,0,IFERROR(LOOKUP(2,1/('Feijão 1ª safra'!$E56:INDEX('Feijão 1ª safra'!$E56:$Z56,MIN(AL$6-$E$3,22))&lt;&gt;""),'Feijão 1ª safra'!$E56:INDEX('Feijão 1ª safra'!$E56:$Z56,MIN(AL$6-$E$3,22))),0))-IF($G$2,0,IF((AL$6-$G$3)&lt;1,0,IFERROR(LOOKUP(2,1/('Feijão 1ª safra'!$E56:INDEX('Feijão 1ª safra'!$E56:$Z56,MIN(AL$6-$G$3,22))&lt;&gt;""),'Feijão 1ª safra'!$E56:INDEX('Feijão 1ª safra'!$E56:$Z56,MIN(AL$6-$G$3,22))),0)))))</f>
        <v>0</v>
      </c>
      <c r="AM58" s="27" t="n">
        <f aca="false">IF(COUNT('Feijão 1ª safra'!$E56:$Z56)=0,0,MAX(0,IF((AM$6-$E$3)&lt;1,0,IFERROR(LOOKUP(2,1/('Feijão 1ª safra'!$E56:INDEX('Feijão 1ª safra'!$E56:$Z56,MIN(AM$6-$E$3,22))&lt;&gt;""),'Feijão 1ª safra'!$E56:INDEX('Feijão 1ª safra'!$E56:$Z56,MIN(AM$6-$E$3,22))),0))-IF($G$2,0,IF((AM$6-$G$3)&lt;1,0,IFERROR(LOOKUP(2,1/('Feijão 1ª safra'!$E56:INDEX('Feijão 1ª safra'!$E56:$Z56,MIN(AM$6-$G$3,22))&lt;&gt;""),'Feijão 1ª safra'!$E56:INDEX('Feijão 1ª safra'!$E56:$Z56,MIN(AM$6-$G$3,22))),0)))))</f>
        <v>0</v>
      </c>
      <c r="AN58" s="27" t="n">
        <f aca="false">IF(COUNT('Feijão 1ª safra'!$E56:$Z56)=0,0,MAX(0,IF((AN$6-$E$3)&lt;1,0,IFERROR(LOOKUP(2,1/('Feijão 1ª safra'!$E56:INDEX('Feijão 1ª safra'!$E56:$Z56,MIN(AN$6-$E$3,22))&lt;&gt;""),'Feijão 1ª safra'!$E56:INDEX('Feijão 1ª safra'!$E56:$Z56,MIN(AN$6-$E$3,22))),0))-IF($G$2,0,IF((AN$6-$G$3)&lt;1,0,IFERROR(LOOKUP(2,1/('Feijão 1ª safra'!$E56:INDEX('Feijão 1ª safra'!$E56:$Z56,MIN(AN$6-$G$3,22))&lt;&gt;""),'Feijão 1ª safra'!$E56:INDEX('Feijão 1ª safra'!$E56:$Z56,MIN(AN$6-$G$3,22))),0)))))</f>
        <v>0</v>
      </c>
      <c r="AO58" s="27" t="n">
        <f aca="false">IF(COUNT('Feijão 1ª safra'!$E56:$Z56)=0,0,MAX(0,IF((AO$6-$E$3)&lt;1,0,IFERROR(LOOKUP(2,1/('Feijão 1ª safra'!$E56:INDEX('Feijão 1ª safra'!$E56:$Z56,MIN(AO$6-$E$3,22))&lt;&gt;""),'Feijão 1ª safra'!$E56:INDEX('Feijão 1ª safra'!$E56:$Z56,MIN(AO$6-$E$3,22))),0))-IF($G$2,0,IF((AO$6-$G$3)&lt;1,0,IFERROR(LOOKUP(2,1/('Feijão 1ª safra'!$E56:INDEX('Feijão 1ª safra'!$E56:$Z56,MIN(AO$6-$G$3,22))&lt;&gt;""),'Feijão 1ª safra'!$E56:INDEX('Feijão 1ª safra'!$E56:$Z56,MIN(AO$6-$G$3,22))),0)))))</f>
        <v>0</v>
      </c>
      <c r="AP58" s="27" t="n">
        <f aca="false">IF(COUNT('Feijão 1ª safra'!$E56:$Z56)=0,0,MAX(0,IF((AP$6-$E$3)&lt;1,0,IFERROR(LOOKUP(2,1/('Feijão 1ª safra'!$E56:INDEX('Feijão 1ª safra'!$E56:$Z56,MIN(AP$6-$E$3,22))&lt;&gt;""),'Feijão 1ª safra'!$E56:INDEX('Feijão 1ª safra'!$E56:$Z56,MIN(AP$6-$E$3,22))),0))-IF($G$2,0,IF((AP$6-$G$3)&lt;1,0,IFERROR(LOOKUP(2,1/('Feijão 1ª safra'!$E56:INDEX('Feijão 1ª safra'!$E56:$Z56,MIN(AP$6-$G$3,22))&lt;&gt;""),'Feijão 1ª safra'!$E56:INDEX('Feijão 1ª safra'!$E56:$Z56,MIN(AP$6-$G$3,22))),0)))))</f>
        <v>0</v>
      </c>
      <c r="AQ58" s="27" t="n">
        <f aca="false">IF(COUNT('Feijão 1ª safra'!$E56:$Z56)=0,0,MAX(0,IF((AQ$6-$E$3)&lt;1,0,IFERROR(LOOKUP(2,1/('Feijão 1ª safra'!$E56:INDEX('Feijão 1ª safra'!$E56:$Z56,MIN(AQ$6-$E$3,22))&lt;&gt;""),'Feijão 1ª safra'!$E56:INDEX('Feijão 1ª safra'!$E56:$Z56,MIN(AQ$6-$E$3,22))),0))-IF($G$2,0,IF((AQ$6-$G$3)&lt;1,0,IFERROR(LOOKUP(2,1/('Feijão 1ª safra'!$E56:INDEX('Feijão 1ª safra'!$E56:$Z56,MIN(AQ$6-$G$3,22))&lt;&gt;""),'Feijão 1ª safra'!$E56:INDEX('Feijão 1ª safra'!$E56:$Z56,MIN(AQ$6-$G$3,22))),0)))))</f>
        <v>0</v>
      </c>
      <c r="AR58" s="27" t="n">
        <f aca="false">IF(COUNT('Feijão 1ª safra'!$E56:$Z56)=0,0,MAX(0,IF((AR$6-$E$3)&lt;1,0,IFERROR(LOOKUP(2,1/('Feijão 1ª safra'!$E56:INDEX('Feijão 1ª safra'!$E56:$Z56,MIN(AR$6-$E$3,22))&lt;&gt;""),'Feijão 1ª safra'!$E56:INDEX('Feijão 1ª safra'!$E56:$Z56,MIN(AR$6-$E$3,22))),0))-IF($G$2,0,IF((AR$6-$G$3)&lt;1,0,IFERROR(LOOKUP(2,1/('Feijão 1ª safra'!$E56:INDEX('Feijão 1ª safra'!$E56:$Z56,MIN(AR$6-$G$3,22))&lt;&gt;""),'Feijão 1ª safra'!$E56:INDEX('Feijão 1ª safra'!$E56:$Z56,MIN(AR$6-$G$3,22))),0)))))</f>
        <v>0</v>
      </c>
      <c r="AS58" s="27" t="n">
        <f aca="false">IF(COUNT('Feijão 1ª safra'!$E56:$Z56)=0,0,MAX(0,IF((AS$6-$E$3)&lt;1,0,IFERROR(LOOKUP(2,1/('Feijão 1ª safra'!$E56:INDEX('Feijão 1ª safra'!$E56:$Z56,MIN(AS$6-$E$3,22))&lt;&gt;""),'Feijão 1ª safra'!$E56:INDEX('Feijão 1ª safra'!$E56:$Z56,MIN(AS$6-$E$3,22))),0))-IF($G$2,0,IF((AS$6-$G$3)&lt;1,0,IFERROR(LOOKUP(2,1/('Feijão 1ª safra'!$E56:INDEX('Feijão 1ª safra'!$E56:$Z56,MIN(AS$6-$G$3,22))&lt;&gt;""),'Feijão 1ª safra'!$E56:INDEX('Feijão 1ª safra'!$E56:$Z56,MIN(AS$6-$G$3,22))),0)))))</f>
        <v>0</v>
      </c>
      <c r="AT58" s="27" t="n">
        <f aca="false">IF(COUNT('Feijão 1ª safra'!$E56:$Z56)=0,0,MAX(0,IF((AT$6-$E$3)&lt;1,0,IFERROR(LOOKUP(2,1/('Feijão 1ª safra'!$E56:INDEX('Feijão 1ª safra'!$E56:$Z56,MIN(AT$6-$E$3,22))&lt;&gt;""),'Feijão 1ª safra'!$E56:INDEX('Feijão 1ª safra'!$E56:$Z56,MIN(AT$6-$E$3,22))),0))-IF($G$2,0,IF((AT$6-$G$3)&lt;1,0,IFERROR(LOOKUP(2,1/('Feijão 1ª safra'!$E56:INDEX('Feijão 1ª safra'!$E56:$Z56,MIN(AT$6-$G$3,22))&lt;&gt;""),'Feijão 1ª safra'!$E56:INDEX('Feijão 1ª safra'!$E56:$Z56,MIN(AT$6-$G$3,22))),0)))))</f>
        <v>0</v>
      </c>
      <c r="AU58" s="27" t="n">
        <f aca="false">IF(COUNT('Feijão 1ª safra'!$E56:$Z56)=0,0,MAX(0,IF((AU$6-$E$3)&lt;1,0,IFERROR(LOOKUP(2,1/('Feijão 1ª safra'!$E56:INDEX('Feijão 1ª safra'!$E56:$Z56,MIN(AU$6-$E$3,22))&lt;&gt;""),'Feijão 1ª safra'!$E56:INDEX('Feijão 1ª safra'!$E56:$Z56,MIN(AU$6-$E$3,22))),0))-IF($G$2,0,IF((AU$6-$G$3)&lt;1,0,IFERROR(LOOKUP(2,1/('Feijão 1ª safra'!$E56:INDEX('Feijão 1ª safra'!$E56:$Z56,MIN(AU$6-$G$3,22))&lt;&gt;""),'Feijão 1ª safra'!$E56:INDEX('Feijão 1ª safra'!$E56:$Z56,MIN(AU$6-$G$3,22))),0)))))</f>
        <v>0</v>
      </c>
      <c r="AV58" s="27" t="n">
        <f aca="false">IF(COUNT('Feijão 1ª safra'!$E56:$Z56)=0,0,MAX(0,IF((AV$6-$E$3)&lt;1,0,IFERROR(LOOKUP(2,1/('Feijão 1ª safra'!$E56:INDEX('Feijão 1ª safra'!$E56:$Z56,MIN(AV$6-$E$3,22))&lt;&gt;""),'Feijão 1ª safra'!$E56:INDEX('Feijão 1ª safra'!$E56:$Z56,MIN(AV$6-$E$3,22))),0))-IF($G$2,0,IF((AV$6-$G$3)&lt;1,0,IFERROR(LOOKUP(2,1/('Feijão 1ª safra'!$E56:INDEX('Feijão 1ª safra'!$E56:$Z56,MIN(AV$6-$G$3,22))&lt;&gt;""),'Feijão 1ª safra'!$E56:INDEX('Feijão 1ª safra'!$E56:$Z56,MIN(AV$6-$G$3,22))),0)))))</f>
        <v>0</v>
      </c>
      <c r="AW58" s="27" t="n">
        <f aca="false">IF(COUNT('Feijão 1ª safra'!$E56:$Z56)=0,0,MAX(0,IF((AW$6-$E$3)&lt;1,0,IFERROR(LOOKUP(2,1/('Feijão 1ª safra'!$E56:INDEX('Feijão 1ª safra'!$E56:$Z56,MIN(AW$6-$E$3,22))&lt;&gt;""),'Feijão 1ª safra'!$E56:INDEX('Feijão 1ª safra'!$E56:$Z56,MIN(AW$6-$E$3,22))),0))-IF($G$2,0,IF((AW$6-$G$3)&lt;1,0,IFERROR(LOOKUP(2,1/('Feijão 1ª safra'!$E56:INDEX('Feijão 1ª safra'!$E56:$Z56,MIN(AW$6-$G$3,22))&lt;&gt;""),'Feijão 1ª safra'!$E56:INDEX('Feijão 1ª safra'!$E56:$Z56,MIN(AW$6-$G$3,22))),0)))))</f>
        <v>0</v>
      </c>
      <c r="AX58" s="27" t="n">
        <f aca="false">IF(COUNT('Feijão 1ª safra'!$E56:$Z56)=0,0,MAX(0,IF((AX$6-$E$3)&lt;1,0,IFERROR(LOOKUP(2,1/('Feijão 1ª safra'!$E56:INDEX('Feijão 1ª safra'!$E56:$Z56,MIN(AX$6-$E$3,22))&lt;&gt;""),'Feijão 1ª safra'!$E56:INDEX('Feijão 1ª safra'!$E56:$Z56,MIN(AX$6-$E$3,22))),0))-IF($G$2,0,IF((AX$6-$G$3)&lt;1,0,IFERROR(LOOKUP(2,1/('Feijão 1ª safra'!$E56:INDEX('Feijão 1ª safra'!$E56:$Z56,MIN(AX$6-$G$3,22))&lt;&gt;""),'Feijão 1ª safra'!$E56:INDEX('Feijão 1ª safra'!$E56:$Z56,MIN(AX$6-$G$3,22))),0)))))</f>
        <v>0</v>
      </c>
      <c r="AY58" s="27" t="n">
        <f aca="false">IF(COUNT('Feijão 1ª safra'!$E56:$Z56)=0,0,MAX(0,IF((AY$6-$E$3)&lt;1,0,IFERROR(LOOKUP(2,1/('Feijão 1ª safra'!$E56:INDEX('Feijão 1ª safra'!$E56:$Z56,MIN(AY$6-$E$3,22))&lt;&gt;""),'Feijão 1ª safra'!$E56:INDEX('Feijão 1ª safra'!$E56:$Z56,MIN(AY$6-$E$3,22))),0))-IF($G$2,0,IF((AY$6-$G$3)&lt;1,0,IFERROR(LOOKUP(2,1/('Feijão 1ª safra'!$E56:INDEX('Feijão 1ª safra'!$E56:$Z56,MIN(AY$6-$G$3,22))&lt;&gt;""),'Feijão 1ª safra'!$E56:INDEX('Feijão 1ª safra'!$E56:$Z56,MIN(AY$6-$G$3,22))),0)))))</f>
        <v>0</v>
      </c>
      <c r="AZ58" s="27" t="n">
        <f aca="false">IF(COUNT('Feijão 1ª safra'!$E56:$Z56)=0,0,MAX(0,IF((AZ$6-$E$3)&lt;1,0,IFERROR(LOOKUP(2,1/('Feijão 1ª safra'!$E56:INDEX('Feijão 1ª safra'!$E56:$Z56,MIN(AZ$6-$E$3,22))&lt;&gt;""),'Feijão 1ª safra'!$E56:INDEX('Feijão 1ª safra'!$E56:$Z56,MIN(AZ$6-$E$3,22))),0))-IF($G$2,0,IF((AZ$6-$G$3)&lt;1,0,IFERROR(LOOKUP(2,1/('Feijão 1ª safra'!$E56:INDEX('Feijão 1ª safra'!$E56:$Z56,MIN(AZ$6-$G$3,22))&lt;&gt;""),'Feijão 1ª safra'!$E56:INDEX('Feijão 1ª safra'!$E56:$Z56,MIN(AZ$6-$G$3,22))),0)))))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IF(COUNT('Feijão 1ª safra'!$E57:$Z57)&gt;0,N('Feijão 1ª safra'!$D57),0)</f>
        <v>0</v>
      </c>
      <c r="E59" s="27" t="n">
        <f aca="false">IF(COUNT('Feijão 1ª safra'!$E57:$Z57)=0,0,MAX(0,IF((E$6-$E$3)&lt;1,0,IFERROR(LOOKUP(2,1/('Feijão 1ª safra'!$E57:INDEX('Feijão 1ª safra'!$E57:$Z57,MIN(E$6-$E$3,22))&lt;&gt;""),'Feijão 1ª safra'!$E57:INDEX('Feijão 1ª safra'!$E57:$Z57,MIN(E$6-$E$3,22))),0))-IF($G$2,0,IF((E$6-$G$3)&lt;1,0,IFERROR(LOOKUP(2,1/('Feijão 1ª safra'!$E57:INDEX('Feijão 1ª safra'!$E57:$Z57,MIN(E$6-$G$3,22))&lt;&gt;""),'Feijão 1ª safra'!$E57:INDEX('Feijão 1ª safra'!$E57:$Z57,MIN(E$6-$G$3,22))),0)))))</f>
        <v>0</v>
      </c>
      <c r="F59" s="27" t="n">
        <f aca="false">IF(COUNT('Feijão 1ª safra'!$E57:$Z57)=0,0,MAX(0,IF((F$6-$E$3)&lt;1,0,IFERROR(LOOKUP(2,1/('Feijão 1ª safra'!$E57:INDEX('Feijão 1ª safra'!$E57:$Z57,MIN(F$6-$E$3,22))&lt;&gt;""),'Feijão 1ª safra'!$E57:INDEX('Feijão 1ª safra'!$E57:$Z57,MIN(F$6-$E$3,22))),0))-IF($G$2,0,IF((F$6-$G$3)&lt;1,0,IFERROR(LOOKUP(2,1/('Feijão 1ª safra'!$E57:INDEX('Feijão 1ª safra'!$E57:$Z57,MIN(F$6-$G$3,22))&lt;&gt;""),'Feijão 1ª safra'!$E57:INDEX('Feijão 1ª safra'!$E57:$Z57,MIN(F$6-$G$3,22))),0)))))</f>
        <v>0</v>
      </c>
      <c r="G59" s="27" t="n">
        <f aca="false">IF(COUNT('Feijão 1ª safra'!$E57:$Z57)=0,0,MAX(0,IF((G$6-$E$3)&lt;1,0,IFERROR(LOOKUP(2,1/('Feijão 1ª safra'!$E57:INDEX('Feijão 1ª safra'!$E57:$Z57,MIN(G$6-$E$3,22))&lt;&gt;""),'Feijão 1ª safra'!$E57:INDEX('Feijão 1ª safra'!$E57:$Z57,MIN(G$6-$E$3,22))),0))-IF($G$2,0,IF((G$6-$G$3)&lt;1,0,IFERROR(LOOKUP(2,1/('Feijão 1ª safra'!$E57:INDEX('Feijão 1ª safra'!$E57:$Z57,MIN(G$6-$G$3,22))&lt;&gt;""),'Feijão 1ª safra'!$E57:INDEX('Feijão 1ª safra'!$E57:$Z57,MIN(G$6-$G$3,22))),0)))))</f>
        <v>0</v>
      </c>
      <c r="H59" s="27" t="n">
        <f aca="false">IF(COUNT('Feijão 1ª safra'!$E57:$Z57)=0,0,MAX(0,IF((H$6-$E$3)&lt;1,0,IFERROR(LOOKUP(2,1/('Feijão 1ª safra'!$E57:INDEX('Feijão 1ª safra'!$E57:$Z57,MIN(H$6-$E$3,22))&lt;&gt;""),'Feijão 1ª safra'!$E57:INDEX('Feijão 1ª safra'!$E57:$Z57,MIN(H$6-$E$3,22))),0))-IF($G$2,0,IF((H$6-$G$3)&lt;1,0,IFERROR(LOOKUP(2,1/('Feijão 1ª safra'!$E57:INDEX('Feijão 1ª safra'!$E57:$Z57,MIN(H$6-$G$3,22))&lt;&gt;""),'Feijão 1ª safra'!$E57:INDEX('Feijão 1ª safra'!$E57:$Z57,MIN(H$6-$G$3,22))),0)))))</f>
        <v>0</v>
      </c>
      <c r="I59" s="27" t="n">
        <f aca="false">IF(COUNT('Feijão 1ª safra'!$E57:$Z57)=0,0,MAX(0,IF((I$6-$E$3)&lt;1,0,IFERROR(LOOKUP(2,1/('Feijão 1ª safra'!$E57:INDEX('Feijão 1ª safra'!$E57:$Z57,MIN(I$6-$E$3,22))&lt;&gt;""),'Feijão 1ª safra'!$E57:INDEX('Feijão 1ª safra'!$E57:$Z57,MIN(I$6-$E$3,22))),0))-IF($G$2,0,IF((I$6-$G$3)&lt;1,0,IFERROR(LOOKUP(2,1/('Feijão 1ª safra'!$E57:INDEX('Feijão 1ª safra'!$E57:$Z57,MIN(I$6-$G$3,22))&lt;&gt;""),'Feijão 1ª safra'!$E57:INDEX('Feijão 1ª safra'!$E57:$Z57,MIN(I$6-$G$3,22))),0)))))</f>
        <v>0</v>
      </c>
      <c r="J59" s="27" t="n">
        <f aca="false">IF(COUNT('Feijão 1ª safra'!$E57:$Z57)=0,0,MAX(0,IF((J$6-$E$3)&lt;1,0,IFERROR(LOOKUP(2,1/('Feijão 1ª safra'!$E57:INDEX('Feijão 1ª safra'!$E57:$Z57,MIN(J$6-$E$3,22))&lt;&gt;""),'Feijão 1ª safra'!$E57:INDEX('Feijão 1ª safra'!$E57:$Z57,MIN(J$6-$E$3,22))),0))-IF($G$2,0,IF((J$6-$G$3)&lt;1,0,IFERROR(LOOKUP(2,1/('Feijão 1ª safra'!$E57:INDEX('Feijão 1ª safra'!$E57:$Z57,MIN(J$6-$G$3,22))&lt;&gt;""),'Feijão 1ª safra'!$E57:INDEX('Feijão 1ª safra'!$E57:$Z57,MIN(J$6-$G$3,22))),0)))))</f>
        <v>0</v>
      </c>
      <c r="K59" s="27" t="n">
        <f aca="false">IF(COUNT('Feijão 1ª safra'!$E57:$Z57)=0,0,MAX(0,IF((K$6-$E$3)&lt;1,0,IFERROR(LOOKUP(2,1/('Feijão 1ª safra'!$E57:INDEX('Feijão 1ª safra'!$E57:$Z57,MIN(K$6-$E$3,22))&lt;&gt;""),'Feijão 1ª safra'!$E57:INDEX('Feijão 1ª safra'!$E57:$Z57,MIN(K$6-$E$3,22))),0))-IF($G$2,0,IF((K$6-$G$3)&lt;1,0,IFERROR(LOOKUP(2,1/('Feijão 1ª safra'!$E57:INDEX('Feijão 1ª safra'!$E57:$Z57,MIN(K$6-$G$3,22))&lt;&gt;""),'Feijão 1ª safra'!$E57:INDEX('Feijão 1ª safra'!$E57:$Z57,MIN(K$6-$G$3,22))),0)))))</f>
        <v>0</v>
      </c>
      <c r="L59" s="27" t="n">
        <f aca="false">IF(COUNT('Feijão 1ª safra'!$E57:$Z57)=0,0,MAX(0,IF((L$6-$E$3)&lt;1,0,IFERROR(LOOKUP(2,1/('Feijão 1ª safra'!$E57:INDEX('Feijão 1ª safra'!$E57:$Z57,MIN(L$6-$E$3,22))&lt;&gt;""),'Feijão 1ª safra'!$E57:INDEX('Feijão 1ª safra'!$E57:$Z57,MIN(L$6-$E$3,22))),0))-IF($G$2,0,IF((L$6-$G$3)&lt;1,0,IFERROR(LOOKUP(2,1/('Feijão 1ª safra'!$E57:INDEX('Feijão 1ª safra'!$E57:$Z57,MIN(L$6-$G$3,22))&lt;&gt;""),'Feijão 1ª safra'!$E57:INDEX('Feijão 1ª safra'!$E57:$Z57,MIN(L$6-$G$3,22))),0)))))</f>
        <v>0</v>
      </c>
      <c r="M59" s="27" t="n">
        <f aca="false">IF(COUNT('Feijão 1ª safra'!$E57:$Z57)=0,0,MAX(0,IF((M$6-$E$3)&lt;1,0,IFERROR(LOOKUP(2,1/('Feijão 1ª safra'!$E57:INDEX('Feijão 1ª safra'!$E57:$Z57,MIN(M$6-$E$3,22))&lt;&gt;""),'Feijão 1ª safra'!$E57:INDEX('Feijão 1ª safra'!$E57:$Z57,MIN(M$6-$E$3,22))),0))-IF($G$2,0,IF((M$6-$G$3)&lt;1,0,IFERROR(LOOKUP(2,1/('Feijão 1ª safra'!$E57:INDEX('Feijão 1ª safra'!$E57:$Z57,MIN(M$6-$G$3,22))&lt;&gt;""),'Feijão 1ª safra'!$E57:INDEX('Feijão 1ª safra'!$E57:$Z57,MIN(M$6-$G$3,22))),0)))))</f>
        <v>0</v>
      </c>
      <c r="N59" s="27" t="n">
        <f aca="false">IF(COUNT('Feijão 1ª safra'!$E57:$Z57)=0,0,MAX(0,IF((N$6-$E$3)&lt;1,0,IFERROR(LOOKUP(2,1/('Feijão 1ª safra'!$E57:INDEX('Feijão 1ª safra'!$E57:$Z57,MIN(N$6-$E$3,22))&lt;&gt;""),'Feijão 1ª safra'!$E57:INDEX('Feijão 1ª safra'!$E57:$Z57,MIN(N$6-$E$3,22))),0))-IF($G$2,0,IF((N$6-$G$3)&lt;1,0,IFERROR(LOOKUP(2,1/('Feijão 1ª safra'!$E57:INDEX('Feijão 1ª safra'!$E57:$Z57,MIN(N$6-$G$3,22))&lt;&gt;""),'Feijão 1ª safra'!$E57:INDEX('Feijão 1ª safra'!$E57:$Z57,MIN(N$6-$G$3,22))),0)))))</f>
        <v>0</v>
      </c>
      <c r="O59" s="27" t="n">
        <f aca="false">IF(COUNT('Feijão 1ª safra'!$E57:$Z57)=0,0,MAX(0,IF((O$6-$E$3)&lt;1,0,IFERROR(LOOKUP(2,1/('Feijão 1ª safra'!$E57:INDEX('Feijão 1ª safra'!$E57:$Z57,MIN(O$6-$E$3,22))&lt;&gt;""),'Feijão 1ª safra'!$E57:INDEX('Feijão 1ª safra'!$E57:$Z57,MIN(O$6-$E$3,22))),0))-IF($G$2,0,IF((O$6-$G$3)&lt;1,0,IFERROR(LOOKUP(2,1/('Feijão 1ª safra'!$E57:INDEX('Feijão 1ª safra'!$E57:$Z57,MIN(O$6-$G$3,22))&lt;&gt;""),'Feijão 1ª safra'!$E57:INDEX('Feijão 1ª safra'!$E57:$Z57,MIN(O$6-$G$3,22))),0)))))</f>
        <v>0</v>
      </c>
      <c r="P59" s="27" t="n">
        <f aca="false">IF(COUNT('Feijão 1ª safra'!$E57:$Z57)=0,0,MAX(0,IF((P$6-$E$3)&lt;1,0,IFERROR(LOOKUP(2,1/('Feijão 1ª safra'!$E57:INDEX('Feijão 1ª safra'!$E57:$Z57,MIN(P$6-$E$3,22))&lt;&gt;""),'Feijão 1ª safra'!$E57:INDEX('Feijão 1ª safra'!$E57:$Z57,MIN(P$6-$E$3,22))),0))-IF($G$2,0,IF((P$6-$G$3)&lt;1,0,IFERROR(LOOKUP(2,1/('Feijão 1ª safra'!$E57:INDEX('Feijão 1ª safra'!$E57:$Z57,MIN(P$6-$G$3,22))&lt;&gt;""),'Feijão 1ª safra'!$E57:INDEX('Feijão 1ª safra'!$E57:$Z57,MIN(P$6-$G$3,22))),0)))))</f>
        <v>0</v>
      </c>
      <c r="Q59" s="27" t="n">
        <f aca="false">IF(COUNT('Feijão 1ª safra'!$E57:$Z57)=0,0,MAX(0,IF((Q$6-$E$3)&lt;1,0,IFERROR(LOOKUP(2,1/('Feijão 1ª safra'!$E57:INDEX('Feijão 1ª safra'!$E57:$Z57,MIN(Q$6-$E$3,22))&lt;&gt;""),'Feijão 1ª safra'!$E57:INDEX('Feijão 1ª safra'!$E57:$Z57,MIN(Q$6-$E$3,22))),0))-IF($G$2,0,IF((Q$6-$G$3)&lt;1,0,IFERROR(LOOKUP(2,1/('Feijão 1ª safra'!$E57:INDEX('Feijão 1ª safra'!$E57:$Z57,MIN(Q$6-$G$3,22))&lt;&gt;""),'Feijão 1ª safra'!$E57:INDEX('Feijão 1ª safra'!$E57:$Z57,MIN(Q$6-$G$3,22))),0)))))</f>
        <v>0</v>
      </c>
      <c r="R59" s="27" t="n">
        <f aca="false">IF(COUNT('Feijão 1ª safra'!$E57:$Z57)=0,0,MAX(0,IF((R$6-$E$3)&lt;1,0,IFERROR(LOOKUP(2,1/('Feijão 1ª safra'!$E57:INDEX('Feijão 1ª safra'!$E57:$Z57,MIN(R$6-$E$3,22))&lt;&gt;""),'Feijão 1ª safra'!$E57:INDEX('Feijão 1ª safra'!$E57:$Z57,MIN(R$6-$E$3,22))),0))-IF($G$2,0,IF((R$6-$G$3)&lt;1,0,IFERROR(LOOKUP(2,1/('Feijão 1ª safra'!$E57:INDEX('Feijão 1ª safra'!$E57:$Z57,MIN(R$6-$G$3,22))&lt;&gt;""),'Feijão 1ª safra'!$E57:INDEX('Feijão 1ª safra'!$E57:$Z57,MIN(R$6-$G$3,22))),0)))))</f>
        <v>0</v>
      </c>
      <c r="S59" s="27" t="n">
        <f aca="false">IF(COUNT('Feijão 1ª safra'!$E57:$Z57)=0,0,MAX(0,IF((S$6-$E$3)&lt;1,0,IFERROR(LOOKUP(2,1/('Feijão 1ª safra'!$E57:INDEX('Feijão 1ª safra'!$E57:$Z57,MIN(S$6-$E$3,22))&lt;&gt;""),'Feijão 1ª safra'!$E57:INDEX('Feijão 1ª safra'!$E57:$Z57,MIN(S$6-$E$3,22))),0))-IF($G$2,0,IF((S$6-$G$3)&lt;1,0,IFERROR(LOOKUP(2,1/('Feijão 1ª safra'!$E57:INDEX('Feijão 1ª safra'!$E57:$Z57,MIN(S$6-$G$3,22))&lt;&gt;""),'Feijão 1ª safra'!$E57:INDEX('Feijão 1ª safra'!$E57:$Z57,MIN(S$6-$G$3,22))),0)))))</f>
        <v>0</v>
      </c>
      <c r="T59" s="27" t="n">
        <f aca="false">IF(COUNT('Feijão 1ª safra'!$E57:$Z57)=0,0,MAX(0,IF((T$6-$E$3)&lt;1,0,IFERROR(LOOKUP(2,1/('Feijão 1ª safra'!$E57:INDEX('Feijão 1ª safra'!$E57:$Z57,MIN(T$6-$E$3,22))&lt;&gt;""),'Feijão 1ª safra'!$E57:INDEX('Feijão 1ª safra'!$E57:$Z57,MIN(T$6-$E$3,22))),0))-IF($G$2,0,IF((T$6-$G$3)&lt;1,0,IFERROR(LOOKUP(2,1/('Feijão 1ª safra'!$E57:INDEX('Feijão 1ª safra'!$E57:$Z57,MIN(T$6-$G$3,22))&lt;&gt;""),'Feijão 1ª safra'!$E57:INDEX('Feijão 1ª safra'!$E57:$Z57,MIN(T$6-$G$3,22))),0)))))</f>
        <v>0</v>
      </c>
      <c r="U59" s="27" t="n">
        <f aca="false">IF(COUNT('Feijão 1ª safra'!$E57:$Z57)=0,0,MAX(0,IF((U$6-$E$3)&lt;1,0,IFERROR(LOOKUP(2,1/('Feijão 1ª safra'!$E57:INDEX('Feijão 1ª safra'!$E57:$Z57,MIN(U$6-$E$3,22))&lt;&gt;""),'Feijão 1ª safra'!$E57:INDEX('Feijão 1ª safra'!$E57:$Z57,MIN(U$6-$E$3,22))),0))-IF($G$2,0,IF((U$6-$G$3)&lt;1,0,IFERROR(LOOKUP(2,1/('Feijão 1ª safra'!$E57:INDEX('Feijão 1ª safra'!$E57:$Z57,MIN(U$6-$G$3,22))&lt;&gt;""),'Feijão 1ª safra'!$E57:INDEX('Feijão 1ª safra'!$E57:$Z57,MIN(U$6-$G$3,22))),0)))))</f>
        <v>0</v>
      </c>
      <c r="V59" s="27" t="n">
        <f aca="false">IF(COUNT('Feijão 1ª safra'!$E57:$Z57)=0,0,MAX(0,IF((V$6-$E$3)&lt;1,0,IFERROR(LOOKUP(2,1/('Feijão 1ª safra'!$E57:INDEX('Feijão 1ª safra'!$E57:$Z57,MIN(V$6-$E$3,22))&lt;&gt;""),'Feijão 1ª safra'!$E57:INDEX('Feijão 1ª safra'!$E57:$Z57,MIN(V$6-$E$3,22))),0))-IF($G$2,0,IF((V$6-$G$3)&lt;1,0,IFERROR(LOOKUP(2,1/('Feijão 1ª safra'!$E57:INDEX('Feijão 1ª safra'!$E57:$Z57,MIN(V$6-$G$3,22))&lt;&gt;""),'Feijão 1ª safra'!$E57:INDEX('Feijão 1ª safra'!$E57:$Z57,MIN(V$6-$G$3,22))),0)))))</f>
        <v>0</v>
      </c>
      <c r="W59" s="27" t="n">
        <f aca="false">IF(COUNT('Feijão 1ª safra'!$E57:$Z57)=0,0,MAX(0,IF((W$6-$E$3)&lt;1,0,IFERROR(LOOKUP(2,1/('Feijão 1ª safra'!$E57:INDEX('Feijão 1ª safra'!$E57:$Z57,MIN(W$6-$E$3,22))&lt;&gt;""),'Feijão 1ª safra'!$E57:INDEX('Feijão 1ª safra'!$E57:$Z57,MIN(W$6-$E$3,22))),0))-IF($G$2,0,IF((W$6-$G$3)&lt;1,0,IFERROR(LOOKUP(2,1/('Feijão 1ª safra'!$E57:INDEX('Feijão 1ª safra'!$E57:$Z57,MIN(W$6-$G$3,22))&lt;&gt;""),'Feijão 1ª safra'!$E57:INDEX('Feijão 1ª safra'!$E57:$Z57,MIN(W$6-$G$3,22))),0)))))</f>
        <v>0</v>
      </c>
      <c r="X59" s="27" t="n">
        <f aca="false">IF(COUNT('Feijão 1ª safra'!$E57:$Z57)=0,0,MAX(0,IF((X$6-$E$3)&lt;1,0,IFERROR(LOOKUP(2,1/('Feijão 1ª safra'!$E57:INDEX('Feijão 1ª safra'!$E57:$Z57,MIN(X$6-$E$3,22))&lt;&gt;""),'Feijão 1ª safra'!$E57:INDEX('Feijão 1ª safra'!$E57:$Z57,MIN(X$6-$E$3,22))),0))-IF($G$2,0,IF((X$6-$G$3)&lt;1,0,IFERROR(LOOKUP(2,1/('Feijão 1ª safra'!$E57:INDEX('Feijão 1ª safra'!$E57:$Z57,MIN(X$6-$G$3,22))&lt;&gt;""),'Feijão 1ª safra'!$E57:INDEX('Feijão 1ª safra'!$E57:$Z57,MIN(X$6-$G$3,22))),0)))))</f>
        <v>0</v>
      </c>
      <c r="Y59" s="27" t="n">
        <f aca="false">IF(COUNT('Feijão 1ª safra'!$E57:$Z57)=0,0,MAX(0,IF((Y$6-$E$3)&lt;1,0,IFERROR(LOOKUP(2,1/('Feijão 1ª safra'!$E57:INDEX('Feijão 1ª safra'!$E57:$Z57,MIN(Y$6-$E$3,22))&lt;&gt;""),'Feijão 1ª safra'!$E57:INDEX('Feijão 1ª safra'!$E57:$Z57,MIN(Y$6-$E$3,22))),0))-IF($G$2,0,IF((Y$6-$G$3)&lt;1,0,IFERROR(LOOKUP(2,1/('Feijão 1ª safra'!$E57:INDEX('Feijão 1ª safra'!$E57:$Z57,MIN(Y$6-$G$3,22))&lt;&gt;""),'Feijão 1ª safra'!$E57:INDEX('Feijão 1ª safra'!$E57:$Z57,MIN(Y$6-$G$3,22))),0)))))</f>
        <v>0</v>
      </c>
      <c r="Z59" s="27" t="n">
        <f aca="false">IF(COUNT('Feijão 1ª safra'!$E57:$Z57)=0,0,MAX(0,IF((Z$6-$E$3)&lt;1,0,IFERROR(LOOKUP(2,1/('Feijão 1ª safra'!$E57:INDEX('Feijão 1ª safra'!$E57:$Z57,MIN(Z$6-$E$3,22))&lt;&gt;""),'Feijão 1ª safra'!$E57:INDEX('Feijão 1ª safra'!$E57:$Z57,MIN(Z$6-$E$3,22))),0))-IF($G$2,0,IF((Z$6-$G$3)&lt;1,0,IFERROR(LOOKUP(2,1/('Feijão 1ª safra'!$E57:INDEX('Feijão 1ª safra'!$E57:$Z57,MIN(Z$6-$G$3,22))&lt;&gt;""),'Feijão 1ª safra'!$E57:INDEX('Feijão 1ª safra'!$E57:$Z57,MIN(Z$6-$G$3,22))),0)))))</f>
        <v>0</v>
      </c>
      <c r="AA59" s="27" t="n">
        <f aca="false">IF(COUNT('Feijão 1ª safra'!$E57:$Z57)=0,0,MAX(0,IF((AA$6-$E$3)&lt;1,0,IFERROR(LOOKUP(2,1/('Feijão 1ª safra'!$E57:INDEX('Feijão 1ª safra'!$E57:$Z57,MIN(AA$6-$E$3,22))&lt;&gt;""),'Feijão 1ª safra'!$E57:INDEX('Feijão 1ª safra'!$E57:$Z57,MIN(AA$6-$E$3,22))),0))-IF($G$2,0,IF((AA$6-$G$3)&lt;1,0,IFERROR(LOOKUP(2,1/('Feijão 1ª safra'!$E57:INDEX('Feijão 1ª safra'!$E57:$Z57,MIN(AA$6-$G$3,22))&lt;&gt;""),'Feijão 1ª safra'!$E57:INDEX('Feijão 1ª safra'!$E57:$Z57,MIN(AA$6-$G$3,22))),0)))))</f>
        <v>0</v>
      </c>
      <c r="AB59" s="27" t="n">
        <f aca="false">IF(COUNT('Feijão 1ª safra'!$E57:$Z57)=0,0,MAX(0,IF((AB$6-$E$3)&lt;1,0,IFERROR(LOOKUP(2,1/('Feijão 1ª safra'!$E57:INDEX('Feijão 1ª safra'!$E57:$Z57,MIN(AB$6-$E$3,22))&lt;&gt;""),'Feijão 1ª safra'!$E57:INDEX('Feijão 1ª safra'!$E57:$Z57,MIN(AB$6-$E$3,22))),0))-IF($G$2,0,IF((AB$6-$G$3)&lt;1,0,IFERROR(LOOKUP(2,1/('Feijão 1ª safra'!$E57:INDEX('Feijão 1ª safra'!$E57:$Z57,MIN(AB$6-$G$3,22))&lt;&gt;""),'Feijão 1ª safra'!$E57:INDEX('Feijão 1ª safra'!$E57:$Z57,MIN(AB$6-$G$3,22))),0)))))</f>
        <v>0</v>
      </c>
      <c r="AC59" s="27" t="n">
        <f aca="false">IF(COUNT('Feijão 1ª safra'!$E57:$Z57)=0,0,MAX(0,IF((AC$6-$E$3)&lt;1,0,IFERROR(LOOKUP(2,1/('Feijão 1ª safra'!$E57:INDEX('Feijão 1ª safra'!$E57:$Z57,MIN(AC$6-$E$3,22))&lt;&gt;""),'Feijão 1ª safra'!$E57:INDEX('Feijão 1ª safra'!$E57:$Z57,MIN(AC$6-$E$3,22))),0))-IF($G$2,0,IF((AC$6-$G$3)&lt;1,0,IFERROR(LOOKUP(2,1/('Feijão 1ª safra'!$E57:INDEX('Feijão 1ª safra'!$E57:$Z57,MIN(AC$6-$G$3,22))&lt;&gt;""),'Feijão 1ª safra'!$E57:INDEX('Feijão 1ª safra'!$E57:$Z57,MIN(AC$6-$G$3,22))),0)))))</f>
        <v>0</v>
      </c>
      <c r="AD59" s="27" t="n">
        <f aca="false">IF(COUNT('Feijão 1ª safra'!$E57:$Z57)=0,0,MAX(0,IF((AD$6-$E$3)&lt;1,0,IFERROR(LOOKUP(2,1/('Feijão 1ª safra'!$E57:INDEX('Feijão 1ª safra'!$E57:$Z57,MIN(AD$6-$E$3,22))&lt;&gt;""),'Feijão 1ª safra'!$E57:INDEX('Feijão 1ª safra'!$E57:$Z57,MIN(AD$6-$E$3,22))),0))-IF($G$2,0,IF((AD$6-$G$3)&lt;1,0,IFERROR(LOOKUP(2,1/('Feijão 1ª safra'!$E57:INDEX('Feijão 1ª safra'!$E57:$Z57,MIN(AD$6-$G$3,22))&lt;&gt;""),'Feijão 1ª safra'!$E57:INDEX('Feijão 1ª safra'!$E57:$Z57,MIN(AD$6-$G$3,22))),0)))))</f>
        <v>0</v>
      </c>
      <c r="AE59" s="27" t="n">
        <f aca="false">IF(COUNT('Feijão 1ª safra'!$E57:$Z57)=0,0,MAX(0,IF((AE$6-$E$3)&lt;1,0,IFERROR(LOOKUP(2,1/('Feijão 1ª safra'!$E57:INDEX('Feijão 1ª safra'!$E57:$Z57,MIN(AE$6-$E$3,22))&lt;&gt;""),'Feijão 1ª safra'!$E57:INDEX('Feijão 1ª safra'!$E57:$Z57,MIN(AE$6-$E$3,22))),0))-IF($G$2,0,IF((AE$6-$G$3)&lt;1,0,IFERROR(LOOKUP(2,1/('Feijão 1ª safra'!$E57:INDEX('Feijão 1ª safra'!$E57:$Z57,MIN(AE$6-$G$3,22))&lt;&gt;""),'Feijão 1ª safra'!$E57:INDEX('Feijão 1ª safra'!$E57:$Z57,MIN(AE$6-$G$3,22))),0)))))</f>
        <v>0</v>
      </c>
      <c r="AF59" s="27" t="n">
        <f aca="false">IF(COUNT('Feijão 1ª safra'!$E57:$Z57)=0,0,MAX(0,IF((AF$6-$E$3)&lt;1,0,IFERROR(LOOKUP(2,1/('Feijão 1ª safra'!$E57:INDEX('Feijão 1ª safra'!$E57:$Z57,MIN(AF$6-$E$3,22))&lt;&gt;""),'Feijão 1ª safra'!$E57:INDEX('Feijão 1ª safra'!$E57:$Z57,MIN(AF$6-$E$3,22))),0))-IF($G$2,0,IF((AF$6-$G$3)&lt;1,0,IFERROR(LOOKUP(2,1/('Feijão 1ª safra'!$E57:INDEX('Feijão 1ª safra'!$E57:$Z57,MIN(AF$6-$G$3,22))&lt;&gt;""),'Feijão 1ª safra'!$E57:INDEX('Feijão 1ª safra'!$E57:$Z57,MIN(AF$6-$G$3,22))),0)))))</f>
        <v>0</v>
      </c>
      <c r="AG59" s="27" t="n">
        <f aca="false">IF(COUNT('Feijão 1ª safra'!$E57:$Z57)=0,0,MAX(0,IF((AG$6-$E$3)&lt;1,0,IFERROR(LOOKUP(2,1/('Feijão 1ª safra'!$E57:INDEX('Feijão 1ª safra'!$E57:$Z57,MIN(AG$6-$E$3,22))&lt;&gt;""),'Feijão 1ª safra'!$E57:INDEX('Feijão 1ª safra'!$E57:$Z57,MIN(AG$6-$E$3,22))),0))-IF($G$2,0,IF((AG$6-$G$3)&lt;1,0,IFERROR(LOOKUP(2,1/('Feijão 1ª safra'!$E57:INDEX('Feijão 1ª safra'!$E57:$Z57,MIN(AG$6-$G$3,22))&lt;&gt;""),'Feijão 1ª safra'!$E57:INDEX('Feijão 1ª safra'!$E57:$Z57,MIN(AG$6-$G$3,22))),0)))))</f>
        <v>0</v>
      </c>
      <c r="AH59" s="27" t="n">
        <f aca="false">IF(COUNT('Feijão 1ª safra'!$E57:$Z57)=0,0,MAX(0,IF((AH$6-$E$3)&lt;1,0,IFERROR(LOOKUP(2,1/('Feijão 1ª safra'!$E57:INDEX('Feijão 1ª safra'!$E57:$Z57,MIN(AH$6-$E$3,22))&lt;&gt;""),'Feijão 1ª safra'!$E57:INDEX('Feijão 1ª safra'!$E57:$Z57,MIN(AH$6-$E$3,22))),0))-IF($G$2,0,IF((AH$6-$G$3)&lt;1,0,IFERROR(LOOKUP(2,1/('Feijão 1ª safra'!$E57:INDEX('Feijão 1ª safra'!$E57:$Z57,MIN(AH$6-$G$3,22))&lt;&gt;""),'Feijão 1ª safra'!$E57:INDEX('Feijão 1ª safra'!$E57:$Z57,MIN(AH$6-$G$3,22))),0)))))</f>
        <v>0</v>
      </c>
      <c r="AI59" s="27" t="n">
        <f aca="false">IF(COUNT('Feijão 1ª safra'!$E57:$Z57)=0,0,MAX(0,IF((AI$6-$E$3)&lt;1,0,IFERROR(LOOKUP(2,1/('Feijão 1ª safra'!$E57:INDEX('Feijão 1ª safra'!$E57:$Z57,MIN(AI$6-$E$3,22))&lt;&gt;""),'Feijão 1ª safra'!$E57:INDEX('Feijão 1ª safra'!$E57:$Z57,MIN(AI$6-$E$3,22))),0))-IF($G$2,0,IF((AI$6-$G$3)&lt;1,0,IFERROR(LOOKUP(2,1/('Feijão 1ª safra'!$E57:INDEX('Feijão 1ª safra'!$E57:$Z57,MIN(AI$6-$G$3,22))&lt;&gt;""),'Feijão 1ª safra'!$E57:INDEX('Feijão 1ª safra'!$E57:$Z57,MIN(AI$6-$G$3,22))),0)))))</f>
        <v>0</v>
      </c>
      <c r="AJ59" s="27" t="n">
        <f aca="false">IF(COUNT('Feijão 1ª safra'!$E57:$Z57)=0,0,MAX(0,IF((AJ$6-$E$3)&lt;1,0,IFERROR(LOOKUP(2,1/('Feijão 1ª safra'!$E57:INDEX('Feijão 1ª safra'!$E57:$Z57,MIN(AJ$6-$E$3,22))&lt;&gt;""),'Feijão 1ª safra'!$E57:INDEX('Feijão 1ª safra'!$E57:$Z57,MIN(AJ$6-$E$3,22))),0))-IF($G$2,0,IF((AJ$6-$G$3)&lt;1,0,IFERROR(LOOKUP(2,1/('Feijão 1ª safra'!$E57:INDEX('Feijão 1ª safra'!$E57:$Z57,MIN(AJ$6-$G$3,22))&lt;&gt;""),'Feijão 1ª safra'!$E57:INDEX('Feijão 1ª safra'!$E57:$Z57,MIN(AJ$6-$G$3,22))),0)))))</f>
        <v>0</v>
      </c>
      <c r="AK59" s="27" t="n">
        <f aca="false">IF(COUNT('Feijão 1ª safra'!$E57:$Z57)=0,0,MAX(0,IF((AK$6-$E$3)&lt;1,0,IFERROR(LOOKUP(2,1/('Feijão 1ª safra'!$E57:INDEX('Feijão 1ª safra'!$E57:$Z57,MIN(AK$6-$E$3,22))&lt;&gt;""),'Feijão 1ª safra'!$E57:INDEX('Feijão 1ª safra'!$E57:$Z57,MIN(AK$6-$E$3,22))),0))-IF($G$2,0,IF((AK$6-$G$3)&lt;1,0,IFERROR(LOOKUP(2,1/('Feijão 1ª safra'!$E57:INDEX('Feijão 1ª safra'!$E57:$Z57,MIN(AK$6-$G$3,22))&lt;&gt;""),'Feijão 1ª safra'!$E57:INDEX('Feijão 1ª safra'!$E57:$Z57,MIN(AK$6-$G$3,22))),0)))))</f>
        <v>0</v>
      </c>
      <c r="AL59" s="27" t="n">
        <f aca="false">IF(COUNT('Feijão 1ª safra'!$E57:$Z57)=0,0,MAX(0,IF((AL$6-$E$3)&lt;1,0,IFERROR(LOOKUP(2,1/('Feijão 1ª safra'!$E57:INDEX('Feijão 1ª safra'!$E57:$Z57,MIN(AL$6-$E$3,22))&lt;&gt;""),'Feijão 1ª safra'!$E57:INDEX('Feijão 1ª safra'!$E57:$Z57,MIN(AL$6-$E$3,22))),0))-IF($G$2,0,IF((AL$6-$G$3)&lt;1,0,IFERROR(LOOKUP(2,1/('Feijão 1ª safra'!$E57:INDEX('Feijão 1ª safra'!$E57:$Z57,MIN(AL$6-$G$3,22))&lt;&gt;""),'Feijão 1ª safra'!$E57:INDEX('Feijão 1ª safra'!$E57:$Z57,MIN(AL$6-$G$3,22))),0)))))</f>
        <v>0</v>
      </c>
      <c r="AM59" s="27" t="n">
        <f aca="false">IF(COUNT('Feijão 1ª safra'!$E57:$Z57)=0,0,MAX(0,IF((AM$6-$E$3)&lt;1,0,IFERROR(LOOKUP(2,1/('Feijão 1ª safra'!$E57:INDEX('Feijão 1ª safra'!$E57:$Z57,MIN(AM$6-$E$3,22))&lt;&gt;""),'Feijão 1ª safra'!$E57:INDEX('Feijão 1ª safra'!$E57:$Z57,MIN(AM$6-$E$3,22))),0))-IF($G$2,0,IF((AM$6-$G$3)&lt;1,0,IFERROR(LOOKUP(2,1/('Feijão 1ª safra'!$E57:INDEX('Feijão 1ª safra'!$E57:$Z57,MIN(AM$6-$G$3,22))&lt;&gt;""),'Feijão 1ª safra'!$E57:INDEX('Feijão 1ª safra'!$E57:$Z57,MIN(AM$6-$G$3,22))),0)))))</f>
        <v>0</v>
      </c>
      <c r="AN59" s="27" t="n">
        <f aca="false">IF(COUNT('Feijão 1ª safra'!$E57:$Z57)=0,0,MAX(0,IF((AN$6-$E$3)&lt;1,0,IFERROR(LOOKUP(2,1/('Feijão 1ª safra'!$E57:INDEX('Feijão 1ª safra'!$E57:$Z57,MIN(AN$6-$E$3,22))&lt;&gt;""),'Feijão 1ª safra'!$E57:INDEX('Feijão 1ª safra'!$E57:$Z57,MIN(AN$6-$E$3,22))),0))-IF($G$2,0,IF((AN$6-$G$3)&lt;1,0,IFERROR(LOOKUP(2,1/('Feijão 1ª safra'!$E57:INDEX('Feijão 1ª safra'!$E57:$Z57,MIN(AN$6-$G$3,22))&lt;&gt;""),'Feijão 1ª safra'!$E57:INDEX('Feijão 1ª safra'!$E57:$Z57,MIN(AN$6-$G$3,22))),0)))))</f>
        <v>0</v>
      </c>
      <c r="AO59" s="27" t="n">
        <f aca="false">IF(COUNT('Feijão 1ª safra'!$E57:$Z57)=0,0,MAX(0,IF((AO$6-$E$3)&lt;1,0,IFERROR(LOOKUP(2,1/('Feijão 1ª safra'!$E57:INDEX('Feijão 1ª safra'!$E57:$Z57,MIN(AO$6-$E$3,22))&lt;&gt;""),'Feijão 1ª safra'!$E57:INDEX('Feijão 1ª safra'!$E57:$Z57,MIN(AO$6-$E$3,22))),0))-IF($G$2,0,IF((AO$6-$G$3)&lt;1,0,IFERROR(LOOKUP(2,1/('Feijão 1ª safra'!$E57:INDEX('Feijão 1ª safra'!$E57:$Z57,MIN(AO$6-$G$3,22))&lt;&gt;""),'Feijão 1ª safra'!$E57:INDEX('Feijão 1ª safra'!$E57:$Z57,MIN(AO$6-$G$3,22))),0)))))</f>
        <v>0</v>
      </c>
      <c r="AP59" s="27" t="n">
        <f aca="false">IF(COUNT('Feijão 1ª safra'!$E57:$Z57)=0,0,MAX(0,IF((AP$6-$E$3)&lt;1,0,IFERROR(LOOKUP(2,1/('Feijão 1ª safra'!$E57:INDEX('Feijão 1ª safra'!$E57:$Z57,MIN(AP$6-$E$3,22))&lt;&gt;""),'Feijão 1ª safra'!$E57:INDEX('Feijão 1ª safra'!$E57:$Z57,MIN(AP$6-$E$3,22))),0))-IF($G$2,0,IF((AP$6-$G$3)&lt;1,0,IFERROR(LOOKUP(2,1/('Feijão 1ª safra'!$E57:INDEX('Feijão 1ª safra'!$E57:$Z57,MIN(AP$6-$G$3,22))&lt;&gt;""),'Feijão 1ª safra'!$E57:INDEX('Feijão 1ª safra'!$E57:$Z57,MIN(AP$6-$G$3,22))),0)))))</f>
        <v>0</v>
      </c>
      <c r="AQ59" s="27" t="n">
        <f aca="false">IF(COUNT('Feijão 1ª safra'!$E57:$Z57)=0,0,MAX(0,IF((AQ$6-$E$3)&lt;1,0,IFERROR(LOOKUP(2,1/('Feijão 1ª safra'!$E57:INDEX('Feijão 1ª safra'!$E57:$Z57,MIN(AQ$6-$E$3,22))&lt;&gt;""),'Feijão 1ª safra'!$E57:INDEX('Feijão 1ª safra'!$E57:$Z57,MIN(AQ$6-$E$3,22))),0))-IF($G$2,0,IF((AQ$6-$G$3)&lt;1,0,IFERROR(LOOKUP(2,1/('Feijão 1ª safra'!$E57:INDEX('Feijão 1ª safra'!$E57:$Z57,MIN(AQ$6-$G$3,22))&lt;&gt;""),'Feijão 1ª safra'!$E57:INDEX('Feijão 1ª safra'!$E57:$Z57,MIN(AQ$6-$G$3,22))),0)))))</f>
        <v>0</v>
      </c>
      <c r="AR59" s="27" t="n">
        <f aca="false">IF(COUNT('Feijão 1ª safra'!$E57:$Z57)=0,0,MAX(0,IF((AR$6-$E$3)&lt;1,0,IFERROR(LOOKUP(2,1/('Feijão 1ª safra'!$E57:INDEX('Feijão 1ª safra'!$E57:$Z57,MIN(AR$6-$E$3,22))&lt;&gt;""),'Feijão 1ª safra'!$E57:INDEX('Feijão 1ª safra'!$E57:$Z57,MIN(AR$6-$E$3,22))),0))-IF($G$2,0,IF((AR$6-$G$3)&lt;1,0,IFERROR(LOOKUP(2,1/('Feijão 1ª safra'!$E57:INDEX('Feijão 1ª safra'!$E57:$Z57,MIN(AR$6-$G$3,22))&lt;&gt;""),'Feijão 1ª safra'!$E57:INDEX('Feijão 1ª safra'!$E57:$Z57,MIN(AR$6-$G$3,22))),0)))))</f>
        <v>0</v>
      </c>
      <c r="AS59" s="27" t="n">
        <f aca="false">IF(COUNT('Feijão 1ª safra'!$E57:$Z57)=0,0,MAX(0,IF((AS$6-$E$3)&lt;1,0,IFERROR(LOOKUP(2,1/('Feijão 1ª safra'!$E57:INDEX('Feijão 1ª safra'!$E57:$Z57,MIN(AS$6-$E$3,22))&lt;&gt;""),'Feijão 1ª safra'!$E57:INDEX('Feijão 1ª safra'!$E57:$Z57,MIN(AS$6-$E$3,22))),0))-IF($G$2,0,IF((AS$6-$G$3)&lt;1,0,IFERROR(LOOKUP(2,1/('Feijão 1ª safra'!$E57:INDEX('Feijão 1ª safra'!$E57:$Z57,MIN(AS$6-$G$3,22))&lt;&gt;""),'Feijão 1ª safra'!$E57:INDEX('Feijão 1ª safra'!$E57:$Z57,MIN(AS$6-$G$3,22))),0)))))</f>
        <v>0</v>
      </c>
      <c r="AT59" s="27" t="n">
        <f aca="false">IF(COUNT('Feijão 1ª safra'!$E57:$Z57)=0,0,MAX(0,IF((AT$6-$E$3)&lt;1,0,IFERROR(LOOKUP(2,1/('Feijão 1ª safra'!$E57:INDEX('Feijão 1ª safra'!$E57:$Z57,MIN(AT$6-$E$3,22))&lt;&gt;""),'Feijão 1ª safra'!$E57:INDEX('Feijão 1ª safra'!$E57:$Z57,MIN(AT$6-$E$3,22))),0))-IF($G$2,0,IF((AT$6-$G$3)&lt;1,0,IFERROR(LOOKUP(2,1/('Feijão 1ª safra'!$E57:INDEX('Feijão 1ª safra'!$E57:$Z57,MIN(AT$6-$G$3,22))&lt;&gt;""),'Feijão 1ª safra'!$E57:INDEX('Feijão 1ª safra'!$E57:$Z57,MIN(AT$6-$G$3,22))),0)))))</f>
        <v>0</v>
      </c>
      <c r="AU59" s="27" t="n">
        <f aca="false">IF(COUNT('Feijão 1ª safra'!$E57:$Z57)=0,0,MAX(0,IF((AU$6-$E$3)&lt;1,0,IFERROR(LOOKUP(2,1/('Feijão 1ª safra'!$E57:INDEX('Feijão 1ª safra'!$E57:$Z57,MIN(AU$6-$E$3,22))&lt;&gt;""),'Feijão 1ª safra'!$E57:INDEX('Feijão 1ª safra'!$E57:$Z57,MIN(AU$6-$E$3,22))),0))-IF($G$2,0,IF((AU$6-$G$3)&lt;1,0,IFERROR(LOOKUP(2,1/('Feijão 1ª safra'!$E57:INDEX('Feijão 1ª safra'!$E57:$Z57,MIN(AU$6-$G$3,22))&lt;&gt;""),'Feijão 1ª safra'!$E57:INDEX('Feijão 1ª safra'!$E57:$Z57,MIN(AU$6-$G$3,22))),0)))))</f>
        <v>0</v>
      </c>
      <c r="AV59" s="27" t="n">
        <f aca="false">IF(COUNT('Feijão 1ª safra'!$E57:$Z57)=0,0,MAX(0,IF((AV$6-$E$3)&lt;1,0,IFERROR(LOOKUP(2,1/('Feijão 1ª safra'!$E57:INDEX('Feijão 1ª safra'!$E57:$Z57,MIN(AV$6-$E$3,22))&lt;&gt;""),'Feijão 1ª safra'!$E57:INDEX('Feijão 1ª safra'!$E57:$Z57,MIN(AV$6-$E$3,22))),0))-IF($G$2,0,IF((AV$6-$G$3)&lt;1,0,IFERROR(LOOKUP(2,1/('Feijão 1ª safra'!$E57:INDEX('Feijão 1ª safra'!$E57:$Z57,MIN(AV$6-$G$3,22))&lt;&gt;""),'Feijão 1ª safra'!$E57:INDEX('Feijão 1ª safra'!$E57:$Z57,MIN(AV$6-$G$3,22))),0)))))</f>
        <v>0</v>
      </c>
      <c r="AW59" s="27" t="n">
        <f aca="false">IF(COUNT('Feijão 1ª safra'!$E57:$Z57)=0,0,MAX(0,IF((AW$6-$E$3)&lt;1,0,IFERROR(LOOKUP(2,1/('Feijão 1ª safra'!$E57:INDEX('Feijão 1ª safra'!$E57:$Z57,MIN(AW$6-$E$3,22))&lt;&gt;""),'Feijão 1ª safra'!$E57:INDEX('Feijão 1ª safra'!$E57:$Z57,MIN(AW$6-$E$3,22))),0))-IF($G$2,0,IF((AW$6-$G$3)&lt;1,0,IFERROR(LOOKUP(2,1/('Feijão 1ª safra'!$E57:INDEX('Feijão 1ª safra'!$E57:$Z57,MIN(AW$6-$G$3,22))&lt;&gt;""),'Feijão 1ª safra'!$E57:INDEX('Feijão 1ª safra'!$E57:$Z57,MIN(AW$6-$G$3,22))),0)))))</f>
        <v>0</v>
      </c>
      <c r="AX59" s="27" t="n">
        <f aca="false">IF(COUNT('Feijão 1ª safra'!$E57:$Z57)=0,0,MAX(0,IF((AX$6-$E$3)&lt;1,0,IFERROR(LOOKUP(2,1/('Feijão 1ª safra'!$E57:INDEX('Feijão 1ª safra'!$E57:$Z57,MIN(AX$6-$E$3,22))&lt;&gt;""),'Feijão 1ª safra'!$E57:INDEX('Feijão 1ª safra'!$E57:$Z57,MIN(AX$6-$E$3,22))),0))-IF($G$2,0,IF((AX$6-$G$3)&lt;1,0,IFERROR(LOOKUP(2,1/('Feijão 1ª safra'!$E57:INDEX('Feijão 1ª safra'!$E57:$Z57,MIN(AX$6-$G$3,22))&lt;&gt;""),'Feijão 1ª safra'!$E57:INDEX('Feijão 1ª safra'!$E57:$Z57,MIN(AX$6-$G$3,22))),0)))))</f>
        <v>0</v>
      </c>
      <c r="AY59" s="27" t="n">
        <f aca="false">IF(COUNT('Feijão 1ª safra'!$E57:$Z57)=0,0,MAX(0,IF((AY$6-$E$3)&lt;1,0,IFERROR(LOOKUP(2,1/('Feijão 1ª safra'!$E57:INDEX('Feijão 1ª safra'!$E57:$Z57,MIN(AY$6-$E$3,22))&lt;&gt;""),'Feijão 1ª safra'!$E57:INDEX('Feijão 1ª safra'!$E57:$Z57,MIN(AY$6-$E$3,22))),0))-IF($G$2,0,IF((AY$6-$G$3)&lt;1,0,IFERROR(LOOKUP(2,1/('Feijão 1ª safra'!$E57:INDEX('Feijão 1ª safra'!$E57:$Z57,MIN(AY$6-$G$3,22))&lt;&gt;""),'Feijão 1ª safra'!$E57:INDEX('Feijão 1ª safra'!$E57:$Z57,MIN(AY$6-$G$3,22))),0)))))</f>
        <v>0</v>
      </c>
      <c r="AZ59" s="27" t="n">
        <f aca="false">IF(COUNT('Feijão 1ª safra'!$E57:$Z57)=0,0,MAX(0,IF((AZ$6-$E$3)&lt;1,0,IFERROR(LOOKUP(2,1/('Feijão 1ª safra'!$E57:INDEX('Feijão 1ª safra'!$E57:$Z57,MIN(AZ$6-$E$3,22))&lt;&gt;""),'Feijão 1ª safra'!$E57:INDEX('Feijão 1ª safra'!$E57:$Z57,MIN(AZ$6-$E$3,22))),0))-IF($G$2,0,IF((AZ$6-$G$3)&lt;1,0,IFERROR(LOOKUP(2,1/('Feijão 1ª safra'!$E57:INDEX('Feijão 1ª safra'!$E57:$Z57,MIN(AZ$6-$G$3,22))&lt;&gt;""),'Feijão 1ª safra'!$E57:INDEX('Feijão 1ª safra'!$E57:$Z57,MIN(AZ$6-$G$3,22))),0)))))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IF(COUNT('Feijão 1ª safra'!$E58:$Z58)&gt;0,N('Feijão 1ª safra'!$D58),0)</f>
        <v>0</v>
      </c>
      <c r="E60" s="27" t="n">
        <f aca="false">IF(COUNT('Feijão 1ª safra'!$E58:$Z58)=0,0,MAX(0,IF((E$6-$E$3)&lt;1,0,IFERROR(LOOKUP(2,1/('Feijão 1ª safra'!$E58:INDEX('Feijão 1ª safra'!$E58:$Z58,MIN(E$6-$E$3,22))&lt;&gt;""),'Feijão 1ª safra'!$E58:INDEX('Feijão 1ª safra'!$E58:$Z58,MIN(E$6-$E$3,22))),0))-IF($G$2,0,IF((E$6-$G$3)&lt;1,0,IFERROR(LOOKUP(2,1/('Feijão 1ª safra'!$E58:INDEX('Feijão 1ª safra'!$E58:$Z58,MIN(E$6-$G$3,22))&lt;&gt;""),'Feijão 1ª safra'!$E58:INDEX('Feijão 1ª safra'!$E58:$Z58,MIN(E$6-$G$3,22))),0)))))</f>
        <v>0</v>
      </c>
      <c r="F60" s="27" t="n">
        <f aca="false">IF(COUNT('Feijão 1ª safra'!$E58:$Z58)=0,0,MAX(0,IF((F$6-$E$3)&lt;1,0,IFERROR(LOOKUP(2,1/('Feijão 1ª safra'!$E58:INDEX('Feijão 1ª safra'!$E58:$Z58,MIN(F$6-$E$3,22))&lt;&gt;""),'Feijão 1ª safra'!$E58:INDEX('Feijão 1ª safra'!$E58:$Z58,MIN(F$6-$E$3,22))),0))-IF($G$2,0,IF((F$6-$G$3)&lt;1,0,IFERROR(LOOKUP(2,1/('Feijão 1ª safra'!$E58:INDEX('Feijão 1ª safra'!$E58:$Z58,MIN(F$6-$G$3,22))&lt;&gt;""),'Feijão 1ª safra'!$E58:INDEX('Feijão 1ª safra'!$E58:$Z58,MIN(F$6-$G$3,22))),0)))))</f>
        <v>0</v>
      </c>
      <c r="G60" s="27" t="n">
        <f aca="false">IF(COUNT('Feijão 1ª safra'!$E58:$Z58)=0,0,MAX(0,IF((G$6-$E$3)&lt;1,0,IFERROR(LOOKUP(2,1/('Feijão 1ª safra'!$E58:INDEX('Feijão 1ª safra'!$E58:$Z58,MIN(G$6-$E$3,22))&lt;&gt;""),'Feijão 1ª safra'!$E58:INDEX('Feijão 1ª safra'!$E58:$Z58,MIN(G$6-$E$3,22))),0))-IF($G$2,0,IF((G$6-$G$3)&lt;1,0,IFERROR(LOOKUP(2,1/('Feijão 1ª safra'!$E58:INDEX('Feijão 1ª safra'!$E58:$Z58,MIN(G$6-$G$3,22))&lt;&gt;""),'Feijão 1ª safra'!$E58:INDEX('Feijão 1ª safra'!$E58:$Z58,MIN(G$6-$G$3,22))),0)))))</f>
        <v>0</v>
      </c>
      <c r="H60" s="27" t="n">
        <f aca="false">IF(COUNT('Feijão 1ª safra'!$E58:$Z58)=0,0,MAX(0,IF((H$6-$E$3)&lt;1,0,IFERROR(LOOKUP(2,1/('Feijão 1ª safra'!$E58:INDEX('Feijão 1ª safra'!$E58:$Z58,MIN(H$6-$E$3,22))&lt;&gt;""),'Feijão 1ª safra'!$E58:INDEX('Feijão 1ª safra'!$E58:$Z58,MIN(H$6-$E$3,22))),0))-IF($G$2,0,IF((H$6-$G$3)&lt;1,0,IFERROR(LOOKUP(2,1/('Feijão 1ª safra'!$E58:INDEX('Feijão 1ª safra'!$E58:$Z58,MIN(H$6-$G$3,22))&lt;&gt;""),'Feijão 1ª safra'!$E58:INDEX('Feijão 1ª safra'!$E58:$Z58,MIN(H$6-$G$3,22))),0)))))</f>
        <v>0</v>
      </c>
      <c r="I60" s="27" t="n">
        <f aca="false">IF(COUNT('Feijão 1ª safra'!$E58:$Z58)=0,0,MAX(0,IF((I$6-$E$3)&lt;1,0,IFERROR(LOOKUP(2,1/('Feijão 1ª safra'!$E58:INDEX('Feijão 1ª safra'!$E58:$Z58,MIN(I$6-$E$3,22))&lt;&gt;""),'Feijão 1ª safra'!$E58:INDEX('Feijão 1ª safra'!$E58:$Z58,MIN(I$6-$E$3,22))),0))-IF($G$2,0,IF((I$6-$G$3)&lt;1,0,IFERROR(LOOKUP(2,1/('Feijão 1ª safra'!$E58:INDEX('Feijão 1ª safra'!$E58:$Z58,MIN(I$6-$G$3,22))&lt;&gt;""),'Feijão 1ª safra'!$E58:INDEX('Feijão 1ª safra'!$E58:$Z58,MIN(I$6-$G$3,22))),0)))))</f>
        <v>0</v>
      </c>
      <c r="J60" s="27" t="n">
        <f aca="false">IF(COUNT('Feijão 1ª safra'!$E58:$Z58)=0,0,MAX(0,IF((J$6-$E$3)&lt;1,0,IFERROR(LOOKUP(2,1/('Feijão 1ª safra'!$E58:INDEX('Feijão 1ª safra'!$E58:$Z58,MIN(J$6-$E$3,22))&lt;&gt;""),'Feijão 1ª safra'!$E58:INDEX('Feijão 1ª safra'!$E58:$Z58,MIN(J$6-$E$3,22))),0))-IF($G$2,0,IF((J$6-$G$3)&lt;1,0,IFERROR(LOOKUP(2,1/('Feijão 1ª safra'!$E58:INDEX('Feijão 1ª safra'!$E58:$Z58,MIN(J$6-$G$3,22))&lt;&gt;""),'Feijão 1ª safra'!$E58:INDEX('Feijão 1ª safra'!$E58:$Z58,MIN(J$6-$G$3,22))),0)))))</f>
        <v>0</v>
      </c>
      <c r="K60" s="27" t="n">
        <f aca="false">IF(COUNT('Feijão 1ª safra'!$E58:$Z58)=0,0,MAX(0,IF((K$6-$E$3)&lt;1,0,IFERROR(LOOKUP(2,1/('Feijão 1ª safra'!$E58:INDEX('Feijão 1ª safra'!$E58:$Z58,MIN(K$6-$E$3,22))&lt;&gt;""),'Feijão 1ª safra'!$E58:INDEX('Feijão 1ª safra'!$E58:$Z58,MIN(K$6-$E$3,22))),0))-IF($G$2,0,IF((K$6-$G$3)&lt;1,0,IFERROR(LOOKUP(2,1/('Feijão 1ª safra'!$E58:INDEX('Feijão 1ª safra'!$E58:$Z58,MIN(K$6-$G$3,22))&lt;&gt;""),'Feijão 1ª safra'!$E58:INDEX('Feijão 1ª safra'!$E58:$Z58,MIN(K$6-$G$3,22))),0)))))</f>
        <v>0</v>
      </c>
      <c r="L60" s="27" t="n">
        <f aca="false">IF(COUNT('Feijão 1ª safra'!$E58:$Z58)=0,0,MAX(0,IF((L$6-$E$3)&lt;1,0,IFERROR(LOOKUP(2,1/('Feijão 1ª safra'!$E58:INDEX('Feijão 1ª safra'!$E58:$Z58,MIN(L$6-$E$3,22))&lt;&gt;""),'Feijão 1ª safra'!$E58:INDEX('Feijão 1ª safra'!$E58:$Z58,MIN(L$6-$E$3,22))),0))-IF($G$2,0,IF((L$6-$G$3)&lt;1,0,IFERROR(LOOKUP(2,1/('Feijão 1ª safra'!$E58:INDEX('Feijão 1ª safra'!$E58:$Z58,MIN(L$6-$G$3,22))&lt;&gt;""),'Feijão 1ª safra'!$E58:INDEX('Feijão 1ª safra'!$E58:$Z58,MIN(L$6-$G$3,22))),0)))))</f>
        <v>0</v>
      </c>
      <c r="M60" s="27" t="n">
        <f aca="false">IF(COUNT('Feijão 1ª safra'!$E58:$Z58)=0,0,MAX(0,IF((M$6-$E$3)&lt;1,0,IFERROR(LOOKUP(2,1/('Feijão 1ª safra'!$E58:INDEX('Feijão 1ª safra'!$E58:$Z58,MIN(M$6-$E$3,22))&lt;&gt;""),'Feijão 1ª safra'!$E58:INDEX('Feijão 1ª safra'!$E58:$Z58,MIN(M$6-$E$3,22))),0))-IF($G$2,0,IF((M$6-$G$3)&lt;1,0,IFERROR(LOOKUP(2,1/('Feijão 1ª safra'!$E58:INDEX('Feijão 1ª safra'!$E58:$Z58,MIN(M$6-$G$3,22))&lt;&gt;""),'Feijão 1ª safra'!$E58:INDEX('Feijão 1ª safra'!$E58:$Z58,MIN(M$6-$G$3,22))),0)))))</f>
        <v>0</v>
      </c>
      <c r="N60" s="27" t="n">
        <f aca="false">IF(COUNT('Feijão 1ª safra'!$E58:$Z58)=0,0,MAX(0,IF((N$6-$E$3)&lt;1,0,IFERROR(LOOKUP(2,1/('Feijão 1ª safra'!$E58:INDEX('Feijão 1ª safra'!$E58:$Z58,MIN(N$6-$E$3,22))&lt;&gt;""),'Feijão 1ª safra'!$E58:INDEX('Feijão 1ª safra'!$E58:$Z58,MIN(N$6-$E$3,22))),0))-IF($G$2,0,IF((N$6-$G$3)&lt;1,0,IFERROR(LOOKUP(2,1/('Feijão 1ª safra'!$E58:INDEX('Feijão 1ª safra'!$E58:$Z58,MIN(N$6-$G$3,22))&lt;&gt;""),'Feijão 1ª safra'!$E58:INDEX('Feijão 1ª safra'!$E58:$Z58,MIN(N$6-$G$3,22))),0)))))</f>
        <v>0</v>
      </c>
      <c r="O60" s="27" t="n">
        <f aca="false">IF(COUNT('Feijão 1ª safra'!$E58:$Z58)=0,0,MAX(0,IF((O$6-$E$3)&lt;1,0,IFERROR(LOOKUP(2,1/('Feijão 1ª safra'!$E58:INDEX('Feijão 1ª safra'!$E58:$Z58,MIN(O$6-$E$3,22))&lt;&gt;""),'Feijão 1ª safra'!$E58:INDEX('Feijão 1ª safra'!$E58:$Z58,MIN(O$6-$E$3,22))),0))-IF($G$2,0,IF((O$6-$G$3)&lt;1,0,IFERROR(LOOKUP(2,1/('Feijão 1ª safra'!$E58:INDEX('Feijão 1ª safra'!$E58:$Z58,MIN(O$6-$G$3,22))&lt;&gt;""),'Feijão 1ª safra'!$E58:INDEX('Feijão 1ª safra'!$E58:$Z58,MIN(O$6-$G$3,22))),0)))))</f>
        <v>0</v>
      </c>
      <c r="P60" s="27" t="n">
        <f aca="false">IF(COUNT('Feijão 1ª safra'!$E58:$Z58)=0,0,MAX(0,IF((P$6-$E$3)&lt;1,0,IFERROR(LOOKUP(2,1/('Feijão 1ª safra'!$E58:INDEX('Feijão 1ª safra'!$E58:$Z58,MIN(P$6-$E$3,22))&lt;&gt;""),'Feijão 1ª safra'!$E58:INDEX('Feijão 1ª safra'!$E58:$Z58,MIN(P$6-$E$3,22))),0))-IF($G$2,0,IF((P$6-$G$3)&lt;1,0,IFERROR(LOOKUP(2,1/('Feijão 1ª safra'!$E58:INDEX('Feijão 1ª safra'!$E58:$Z58,MIN(P$6-$G$3,22))&lt;&gt;""),'Feijão 1ª safra'!$E58:INDEX('Feijão 1ª safra'!$E58:$Z58,MIN(P$6-$G$3,22))),0)))))</f>
        <v>0</v>
      </c>
      <c r="Q60" s="27" t="n">
        <f aca="false">IF(COUNT('Feijão 1ª safra'!$E58:$Z58)=0,0,MAX(0,IF((Q$6-$E$3)&lt;1,0,IFERROR(LOOKUP(2,1/('Feijão 1ª safra'!$E58:INDEX('Feijão 1ª safra'!$E58:$Z58,MIN(Q$6-$E$3,22))&lt;&gt;""),'Feijão 1ª safra'!$E58:INDEX('Feijão 1ª safra'!$E58:$Z58,MIN(Q$6-$E$3,22))),0))-IF($G$2,0,IF((Q$6-$G$3)&lt;1,0,IFERROR(LOOKUP(2,1/('Feijão 1ª safra'!$E58:INDEX('Feijão 1ª safra'!$E58:$Z58,MIN(Q$6-$G$3,22))&lt;&gt;""),'Feijão 1ª safra'!$E58:INDEX('Feijão 1ª safra'!$E58:$Z58,MIN(Q$6-$G$3,22))),0)))))</f>
        <v>0</v>
      </c>
      <c r="R60" s="27" t="n">
        <f aca="false">IF(COUNT('Feijão 1ª safra'!$E58:$Z58)=0,0,MAX(0,IF((R$6-$E$3)&lt;1,0,IFERROR(LOOKUP(2,1/('Feijão 1ª safra'!$E58:INDEX('Feijão 1ª safra'!$E58:$Z58,MIN(R$6-$E$3,22))&lt;&gt;""),'Feijão 1ª safra'!$E58:INDEX('Feijão 1ª safra'!$E58:$Z58,MIN(R$6-$E$3,22))),0))-IF($G$2,0,IF((R$6-$G$3)&lt;1,0,IFERROR(LOOKUP(2,1/('Feijão 1ª safra'!$E58:INDEX('Feijão 1ª safra'!$E58:$Z58,MIN(R$6-$G$3,22))&lt;&gt;""),'Feijão 1ª safra'!$E58:INDEX('Feijão 1ª safra'!$E58:$Z58,MIN(R$6-$G$3,22))),0)))))</f>
        <v>0</v>
      </c>
      <c r="S60" s="27" t="n">
        <f aca="false">IF(COUNT('Feijão 1ª safra'!$E58:$Z58)=0,0,MAX(0,IF((S$6-$E$3)&lt;1,0,IFERROR(LOOKUP(2,1/('Feijão 1ª safra'!$E58:INDEX('Feijão 1ª safra'!$E58:$Z58,MIN(S$6-$E$3,22))&lt;&gt;""),'Feijão 1ª safra'!$E58:INDEX('Feijão 1ª safra'!$E58:$Z58,MIN(S$6-$E$3,22))),0))-IF($G$2,0,IF((S$6-$G$3)&lt;1,0,IFERROR(LOOKUP(2,1/('Feijão 1ª safra'!$E58:INDEX('Feijão 1ª safra'!$E58:$Z58,MIN(S$6-$G$3,22))&lt;&gt;""),'Feijão 1ª safra'!$E58:INDEX('Feijão 1ª safra'!$E58:$Z58,MIN(S$6-$G$3,22))),0)))))</f>
        <v>0</v>
      </c>
      <c r="T60" s="27" t="n">
        <f aca="false">IF(COUNT('Feijão 1ª safra'!$E58:$Z58)=0,0,MAX(0,IF((T$6-$E$3)&lt;1,0,IFERROR(LOOKUP(2,1/('Feijão 1ª safra'!$E58:INDEX('Feijão 1ª safra'!$E58:$Z58,MIN(T$6-$E$3,22))&lt;&gt;""),'Feijão 1ª safra'!$E58:INDEX('Feijão 1ª safra'!$E58:$Z58,MIN(T$6-$E$3,22))),0))-IF($G$2,0,IF((T$6-$G$3)&lt;1,0,IFERROR(LOOKUP(2,1/('Feijão 1ª safra'!$E58:INDEX('Feijão 1ª safra'!$E58:$Z58,MIN(T$6-$G$3,22))&lt;&gt;""),'Feijão 1ª safra'!$E58:INDEX('Feijão 1ª safra'!$E58:$Z58,MIN(T$6-$G$3,22))),0)))))</f>
        <v>0</v>
      </c>
      <c r="U60" s="27" t="n">
        <f aca="false">IF(COUNT('Feijão 1ª safra'!$E58:$Z58)=0,0,MAX(0,IF((U$6-$E$3)&lt;1,0,IFERROR(LOOKUP(2,1/('Feijão 1ª safra'!$E58:INDEX('Feijão 1ª safra'!$E58:$Z58,MIN(U$6-$E$3,22))&lt;&gt;""),'Feijão 1ª safra'!$E58:INDEX('Feijão 1ª safra'!$E58:$Z58,MIN(U$6-$E$3,22))),0))-IF($G$2,0,IF((U$6-$G$3)&lt;1,0,IFERROR(LOOKUP(2,1/('Feijão 1ª safra'!$E58:INDEX('Feijão 1ª safra'!$E58:$Z58,MIN(U$6-$G$3,22))&lt;&gt;""),'Feijão 1ª safra'!$E58:INDEX('Feijão 1ª safra'!$E58:$Z58,MIN(U$6-$G$3,22))),0)))))</f>
        <v>0</v>
      </c>
      <c r="V60" s="27" t="n">
        <f aca="false">IF(COUNT('Feijão 1ª safra'!$E58:$Z58)=0,0,MAX(0,IF((V$6-$E$3)&lt;1,0,IFERROR(LOOKUP(2,1/('Feijão 1ª safra'!$E58:INDEX('Feijão 1ª safra'!$E58:$Z58,MIN(V$6-$E$3,22))&lt;&gt;""),'Feijão 1ª safra'!$E58:INDEX('Feijão 1ª safra'!$E58:$Z58,MIN(V$6-$E$3,22))),0))-IF($G$2,0,IF((V$6-$G$3)&lt;1,0,IFERROR(LOOKUP(2,1/('Feijão 1ª safra'!$E58:INDEX('Feijão 1ª safra'!$E58:$Z58,MIN(V$6-$G$3,22))&lt;&gt;""),'Feijão 1ª safra'!$E58:INDEX('Feijão 1ª safra'!$E58:$Z58,MIN(V$6-$G$3,22))),0)))))</f>
        <v>0</v>
      </c>
      <c r="W60" s="27" t="n">
        <f aca="false">IF(COUNT('Feijão 1ª safra'!$E58:$Z58)=0,0,MAX(0,IF((W$6-$E$3)&lt;1,0,IFERROR(LOOKUP(2,1/('Feijão 1ª safra'!$E58:INDEX('Feijão 1ª safra'!$E58:$Z58,MIN(W$6-$E$3,22))&lt;&gt;""),'Feijão 1ª safra'!$E58:INDEX('Feijão 1ª safra'!$E58:$Z58,MIN(W$6-$E$3,22))),0))-IF($G$2,0,IF((W$6-$G$3)&lt;1,0,IFERROR(LOOKUP(2,1/('Feijão 1ª safra'!$E58:INDEX('Feijão 1ª safra'!$E58:$Z58,MIN(W$6-$G$3,22))&lt;&gt;""),'Feijão 1ª safra'!$E58:INDEX('Feijão 1ª safra'!$E58:$Z58,MIN(W$6-$G$3,22))),0)))))</f>
        <v>0</v>
      </c>
      <c r="X60" s="27" t="n">
        <f aca="false">IF(COUNT('Feijão 1ª safra'!$E58:$Z58)=0,0,MAX(0,IF((X$6-$E$3)&lt;1,0,IFERROR(LOOKUP(2,1/('Feijão 1ª safra'!$E58:INDEX('Feijão 1ª safra'!$E58:$Z58,MIN(X$6-$E$3,22))&lt;&gt;""),'Feijão 1ª safra'!$E58:INDEX('Feijão 1ª safra'!$E58:$Z58,MIN(X$6-$E$3,22))),0))-IF($G$2,0,IF((X$6-$G$3)&lt;1,0,IFERROR(LOOKUP(2,1/('Feijão 1ª safra'!$E58:INDEX('Feijão 1ª safra'!$E58:$Z58,MIN(X$6-$G$3,22))&lt;&gt;""),'Feijão 1ª safra'!$E58:INDEX('Feijão 1ª safra'!$E58:$Z58,MIN(X$6-$G$3,22))),0)))))</f>
        <v>0</v>
      </c>
      <c r="Y60" s="27" t="n">
        <f aca="false">IF(COUNT('Feijão 1ª safra'!$E58:$Z58)=0,0,MAX(0,IF((Y$6-$E$3)&lt;1,0,IFERROR(LOOKUP(2,1/('Feijão 1ª safra'!$E58:INDEX('Feijão 1ª safra'!$E58:$Z58,MIN(Y$6-$E$3,22))&lt;&gt;""),'Feijão 1ª safra'!$E58:INDEX('Feijão 1ª safra'!$E58:$Z58,MIN(Y$6-$E$3,22))),0))-IF($G$2,0,IF((Y$6-$G$3)&lt;1,0,IFERROR(LOOKUP(2,1/('Feijão 1ª safra'!$E58:INDEX('Feijão 1ª safra'!$E58:$Z58,MIN(Y$6-$G$3,22))&lt;&gt;""),'Feijão 1ª safra'!$E58:INDEX('Feijão 1ª safra'!$E58:$Z58,MIN(Y$6-$G$3,22))),0)))))</f>
        <v>0</v>
      </c>
      <c r="Z60" s="27" t="n">
        <f aca="false">IF(COUNT('Feijão 1ª safra'!$E58:$Z58)=0,0,MAX(0,IF((Z$6-$E$3)&lt;1,0,IFERROR(LOOKUP(2,1/('Feijão 1ª safra'!$E58:INDEX('Feijão 1ª safra'!$E58:$Z58,MIN(Z$6-$E$3,22))&lt;&gt;""),'Feijão 1ª safra'!$E58:INDEX('Feijão 1ª safra'!$E58:$Z58,MIN(Z$6-$E$3,22))),0))-IF($G$2,0,IF((Z$6-$G$3)&lt;1,0,IFERROR(LOOKUP(2,1/('Feijão 1ª safra'!$E58:INDEX('Feijão 1ª safra'!$E58:$Z58,MIN(Z$6-$G$3,22))&lt;&gt;""),'Feijão 1ª safra'!$E58:INDEX('Feijão 1ª safra'!$E58:$Z58,MIN(Z$6-$G$3,22))),0)))))</f>
        <v>0</v>
      </c>
      <c r="AA60" s="27" t="n">
        <f aca="false">IF(COUNT('Feijão 1ª safra'!$E58:$Z58)=0,0,MAX(0,IF((AA$6-$E$3)&lt;1,0,IFERROR(LOOKUP(2,1/('Feijão 1ª safra'!$E58:INDEX('Feijão 1ª safra'!$E58:$Z58,MIN(AA$6-$E$3,22))&lt;&gt;""),'Feijão 1ª safra'!$E58:INDEX('Feijão 1ª safra'!$E58:$Z58,MIN(AA$6-$E$3,22))),0))-IF($G$2,0,IF((AA$6-$G$3)&lt;1,0,IFERROR(LOOKUP(2,1/('Feijão 1ª safra'!$E58:INDEX('Feijão 1ª safra'!$E58:$Z58,MIN(AA$6-$G$3,22))&lt;&gt;""),'Feijão 1ª safra'!$E58:INDEX('Feijão 1ª safra'!$E58:$Z58,MIN(AA$6-$G$3,22))),0)))))</f>
        <v>0</v>
      </c>
      <c r="AB60" s="27" t="n">
        <f aca="false">IF(COUNT('Feijão 1ª safra'!$E58:$Z58)=0,0,MAX(0,IF((AB$6-$E$3)&lt;1,0,IFERROR(LOOKUP(2,1/('Feijão 1ª safra'!$E58:INDEX('Feijão 1ª safra'!$E58:$Z58,MIN(AB$6-$E$3,22))&lt;&gt;""),'Feijão 1ª safra'!$E58:INDEX('Feijão 1ª safra'!$E58:$Z58,MIN(AB$6-$E$3,22))),0))-IF($G$2,0,IF((AB$6-$G$3)&lt;1,0,IFERROR(LOOKUP(2,1/('Feijão 1ª safra'!$E58:INDEX('Feijão 1ª safra'!$E58:$Z58,MIN(AB$6-$G$3,22))&lt;&gt;""),'Feijão 1ª safra'!$E58:INDEX('Feijão 1ª safra'!$E58:$Z58,MIN(AB$6-$G$3,22))),0)))))</f>
        <v>0</v>
      </c>
      <c r="AC60" s="27" t="n">
        <f aca="false">IF(COUNT('Feijão 1ª safra'!$E58:$Z58)=0,0,MAX(0,IF((AC$6-$E$3)&lt;1,0,IFERROR(LOOKUP(2,1/('Feijão 1ª safra'!$E58:INDEX('Feijão 1ª safra'!$E58:$Z58,MIN(AC$6-$E$3,22))&lt;&gt;""),'Feijão 1ª safra'!$E58:INDEX('Feijão 1ª safra'!$E58:$Z58,MIN(AC$6-$E$3,22))),0))-IF($G$2,0,IF((AC$6-$G$3)&lt;1,0,IFERROR(LOOKUP(2,1/('Feijão 1ª safra'!$E58:INDEX('Feijão 1ª safra'!$E58:$Z58,MIN(AC$6-$G$3,22))&lt;&gt;""),'Feijão 1ª safra'!$E58:INDEX('Feijão 1ª safra'!$E58:$Z58,MIN(AC$6-$G$3,22))),0)))))</f>
        <v>0</v>
      </c>
      <c r="AD60" s="27" t="n">
        <f aca="false">IF(COUNT('Feijão 1ª safra'!$E58:$Z58)=0,0,MAX(0,IF((AD$6-$E$3)&lt;1,0,IFERROR(LOOKUP(2,1/('Feijão 1ª safra'!$E58:INDEX('Feijão 1ª safra'!$E58:$Z58,MIN(AD$6-$E$3,22))&lt;&gt;""),'Feijão 1ª safra'!$E58:INDEX('Feijão 1ª safra'!$E58:$Z58,MIN(AD$6-$E$3,22))),0))-IF($G$2,0,IF((AD$6-$G$3)&lt;1,0,IFERROR(LOOKUP(2,1/('Feijão 1ª safra'!$E58:INDEX('Feijão 1ª safra'!$E58:$Z58,MIN(AD$6-$G$3,22))&lt;&gt;""),'Feijão 1ª safra'!$E58:INDEX('Feijão 1ª safra'!$E58:$Z58,MIN(AD$6-$G$3,22))),0)))))</f>
        <v>0</v>
      </c>
      <c r="AE60" s="27" t="n">
        <f aca="false">IF(COUNT('Feijão 1ª safra'!$E58:$Z58)=0,0,MAX(0,IF((AE$6-$E$3)&lt;1,0,IFERROR(LOOKUP(2,1/('Feijão 1ª safra'!$E58:INDEX('Feijão 1ª safra'!$E58:$Z58,MIN(AE$6-$E$3,22))&lt;&gt;""),'Feijão 1ª safra'!$E58:INDEX('Feijão 1ª safra'!$E58:$Z58,MIN(AE$6-$E$3,22))),0))-IF($G$2,0,IF((AE$6-$G$3)&lt;1,0,IFERROR(LOOKUP(2,1/('Feijão 1ª safra'!$E58:INDEX('Feijão 1ª safra'!$E58:$Z58,MIN(AE$6-$G$3,22))&lt;&gt;""),'Feijão 1ª safra'!$E58:INDEX('Feijão 1ª safra'!$E58:$Z58,MIN(AE$6-$G$3,22))),0)))))</f>
        <v>0</v>
      </c>
      <c r="AF60" s="27" t="n">
        <f aca="false">IF(COUNT('Feijão 1ª safra'!$E58:$Z58)=0,0,MAX(0,IF((AF$6-$E$3)&lt;1,0,IFERROR(LOOKUP(2,1/('Feijão 1ª safra'!$E58:INDEX('Feijão 1ª safra'!$E58:$Z58,MIN(AF$6-$E$3,22))&lt;&gt;""),'Feijão 1ª safra'!$E58:INDEX('Feijão 1ª safra'!$E58:$Z58,MIN(AF$6-$E$3,22))),0))-IF($G$2,0,IF((AF$6-$G$3)&lt;1,0,IFERROR(LOOKUP(2,1/('Feijão 1ª safra'!$E58:INDEX('Feijão 1ª safra'!$E58:$Z58,MIN(AF$6-$G$3,22))&lt;&gt;""),'Feijão 1ª safra'!$E58:INDEX('Feijão 1ª safra'!$E58:$Z58,MIN(AF$6-$G$3,22))),0)))))</f>
        <v>0</v>
      </c>
      <c r="AG60" s="27" t="n">
        <f aca="false">IF(COUNT('Feijão 1ª safra'!$E58:$Z58)=0,0,MAX(0,IF((AG$6-$E$3)&lt;1,0,IFERROR(LOOKUP(2,1/('Feijão 1ª safra'!$E58:INDEX('Feijão 1ª safra'!$E58:$Z58,MIN(AG$6-$E$3,22))&lt;&gt;""),'Feijão 1ª safra'!$E58:INDEX('Feijão 1ª safra'!$E58:$Z58,MIN(AG$6-$E$3,22))),0))-IF($G$2,0,IF((AG$6-$G$3)&lt;1,0,IFERROR(LOOKUP(2,1/('Feijão 1ª safra'!$E58:INDEX('Feijão 1ª safra'!$E58:$Z58,MIN(AG$6-$G$3,22))&lt;&gt;""),'Feijão 1ª safra'!$E58:INDEX('Feijão 1ª safra'!$E58:$Z58,MIN(AG$6-$G$3,22))),0)))))</f>
        <v>0</v>
      </c>
      <c r="AH60" s="27" t="n">
        <f aca="false">IF(COUNT('Feijão 1ª safra'!$E58:$Z58)=0,0,MAX(0,IF((AH$6-$E$3)&lt;1,0,IFERROR(LOOKUP(2,1/('Feijão 1ª safra'!$E58:INDEX('Feijão 1ª safra'!$E58:$Z58,MIN(AH$6-$E$3,22))&lt;&gt;""),'Feijão 1ª safra'!$E58:INDEX('Feijão 1ª safra'!$E58:$Z58,MIN(AH$6-$E$3,22))),0))-IF($G$2,0,IF((AH$6-$G$3)&lt;1,0,IFERROR(LOOKUP(2,1/('Feijão 1ª safra'!$E58:INDEX('Feijão 1ª safra'!$E58:$Z58,MIN(AH$6-$G$3,22))&lt;&gt;""),'Feijão 1ª safra'!$E58:INDEX('Feijão 1ª safra'!$E58:$Z58,MIN(AH$6-$G$3,22))),0)))))</f>
        <v>0</v>
      </c>
      <c r="AI60" s="27" t="n">
        <f aca="false">IF(COUNT('Feijão 1ª safra'!$E58:$Z58)=0,0,MAX(0,IF((AI$6-$E$3)&lt;1,0,IFERROR(LOOKUP(2,1/('Feijão 1ª safra'!$E58:INDEX('Feijão 1ª safra'!$E58:$Z58,MIN(AI$6-$E$3,22))&lt;&gt;""),'Feijão 1ª safra'!$E58:INDEX('Feijão 1ª safra'!$E58:$Z58,MIN(AI$6-$E$3,22))),0))-IF($G$2,0,IF((AI$6-$G$3)&lt;1,0,IFERROR(LOOKUP(2,1/('Feijão 1ª safra'!$E58:INDEX('Feijão 1ª safra'!$E58:$Z58,MIN(AI$6-$G$3,22))&lt;&gt;""),'Feijão 1ª safra'!$E58:INDEX('Feijão 1ª safra'!$E58:$Z58,MIN(AI$6-$G$3,22))),0)))))</f>
        <v>0</v>
      </c>
      <c r="AJ60" s="27" t="n">
        <f aca="false">IF(COUNT('Feijão 1ª safra'!$E58:$Z58)=0,0,MAX(0,IF((AJ$6-$E$3)&lt;1,0,IFERROR(LOOKUP(2,1/('Feijão 1ª safra'!$E58:INDEX('Feijão 1ª safra'!$E58:$Z58,MIN(AJ$6-$E$3,22))&lt;&gt;""),'Feijão 1ª safra'!$E58:INDEX('Feijão 1ª safra'!$E58:$Z58,MIN(AJ$6-$E$3,22))),0))-IF($G$2,0,IF((AJ$6-$G$3)&lt;1,0,IFERROR(LOOKUP(2,1/('Feijão 1ª safra'!$E58:INDEX('Feijão 1ª safra'!$E58:$Z58,MIN(AJ$6-$G$3,22))&lt;&gt;""),'Feijão 1ª safra'!$E58:INDEX('Feijão 1ª safra'!$E58:$Z58,MIN(AJ$6-$G$3,22))),0)))))</f>
        <v>0</v>
      </c>
      <c r="AK60" s="27" t="n">
        <f aca="false">IF(COUNT('Feijão 1ª safra'!$E58:$Z58)=0,0,MAX(0,IF((AK$6-$E$3)&lt;1,0,IFERROR(LOOKUP(2,1/('Feijão 1ª safra'!$E58:INDEX('Feijão 1ª safra'!$E58:$Z58,MIN(AK$6-$E$3,22))&lt;&gt;""),'Feijão 1ª safra'!$E58:INDEX('Feijão 1ª safra'!$E58:$Z58,MIN(AK$6-$E$3,22))),0))-IF($G$2,0,IF((AK$6-$G$3)&lt;1,0,IFERROR(LOOKUP(2,1/('Feijão 1ª safra'!$E58:INDEX('Feijão 1ª safra'!$E58:$Z58,MIN(AK$6-$G$3,22))&lt;&gt;""),'Feijão 1ª safra'!$E58:INDEX('Feijão 1ª safra'!$E58:$Z58,MIN(AK$6-$G$3,22))),0)))))</f>
        <v>0</v>
      </c>
      <c r="AL60" s="27" t="n">
        <f aca="false">IF(COUNT('Feijão 1ª safra'!$E58:$Z58)=0,0,MAX(0,IF((AL$6-$E$3)&lt;1,0,IFERROR(LOOKUP(2,1/('Feijão 1ª safra'!$E58:INDEX('Feijão 1ª safra'!$E58:$Z58,MIN(AL$6-$E$3,22))&lt;&gt;""),'Feijão 1ª safra'!$E58:INDEX('Feijão 1ª safra'!$E58:$Z58,MIN(AL$6-$E$3,22))),0))-IF($G$2,0,IF((AL$6-$G$3)&lt;1,0,IFERROR(LOOKUP(2,1/('Feijão 1ª safra'!$E58:INDEX('Feijão 1ª safra'!$E58:$Z58,MIN(AL$6-$G$3,22))&lt;&gt;""),'Feijão 1ª safra'!$E58:INDEX('Feijão 1ª safra'!$E58:$Z58,MIN(AL$6-$G$3,22))),0)))))</f>
        <v>0</v>
      </c>
      <c r="AM60" s="27" t="n">
        <f aca="false">IF(COUNT('Feijão 1ª safra'!$E58:$Z58)=0,0,MAX(0,IF((AM$6-$E$3)&lt;1,0,IFERROR(LOOKUP(2,1/('Feijão 1ª safra'!$E58:INDEX('Feijão 1ª safra'!$E58:$Z58,MIN(AM$6-$E$3,22))&lt;&gt;""),'Feijão 1ª safra'!$E58:INDEX('Feijão 1ª safra'!$E58:$Z58,MIN(AM$6-$E$3,22))),0))-IF($G$2,0,IF((AM$6-$G$3)&lt;1,0,IFERROR(LOOKUP(2,1/('Feijão 1ª safra'!$E58:INDEX('Feijão 1ª safra'!$E58:$Z58,MIN(AM$6-$G$3,22))&lt;&gt;""),'Feijão 1ª safra'!$E58:INDEX('Feijão 1ª safra'!$E58:$Z58,MIN(AM$6-$G$3,22))),0)))))</f>
        <v>0</v>
      </c>
      <c r="AN60" s="27" t="n">
        <f aca="false">IF(COUNT('Feijão 1ª safra'!$E58:$Z58)=0,0,MAX(0,IF((AN$6-$E$3)&lt;1,0,IFERROR(LOOKUP(2,1/('Feijão 1ª safra'!$E58:INDEX('Feijão 1ª safra'!$E58:$Z58,MIN(AN$6-$E$3,22))&lt;&gt;""),'Feijão 1ª safra'!$E58:INDEX('Feijão 1ª safra'!$E58:$Z58,MIN(AN$6-$E$3,22))),0))-IF($G$2,0,IF((AN$6-$G$3)&lt;1,0,IFERROR(LOOKUP(2,1/('Feijão 1ª safra'!$E58:INDEX('Feijão 1ª safra'!$E58:$Z58,MIN(AN$6-$G$3,22))&lt;&gt;""),'Feijão 1ª safra'!$E58:INDEX('Feijão 1ª safra'!$E58:$Z58,MIN(AN$6-$G$3,22))),0)))))</f>
        <v>0</v>
      </c>
      <c r="AO60" s="27" t="n">
        <f aca="false">IF(COUNT('Feijão 1ª safra'!$E58:$Z58)=0,0,MAX(0,IF((AO$6-$E$3)&lt;1,0,IFERROR(LOOKUP(2,1/('Feijão 1ª safra'!$E58:INDEX('Feijão 1ª safra'!$E58:$Z58,MIN(AO$6-$E$3,22))&lt;&gt;""),'Feijão 1ª safra'!$E58:INDEX('Feijão 1ª safra'!$E58:$Z58,MIN(AO$6-$E$3,22))),0))-IF($G$2,0,IF((AO$6-$G$3)&lt;1,0,IFERROR(LOOKUP(2,1/('Feijão 1ª safra'!$E58:INDEX('Feijão 1ª safra'!$E58:$Z58,MIN(AO$6-$G$3,22))&lt;&gt;""),'Feijão 1ª safra'!$E58:INDEX('Feijão 1ª safra'!$E58:$Z58,MIN(AO$6-$G$3,22))),0)))))</f>
        <v>0</v>
      </c>
      <c r="AP60" s="27" t="n">
        <f aca="false">IF(COUNT('Feijão 1ª safra'!$E58:$Z58)=0,0,MAX(0,IF((AP$6-$E$3)&lt;1,0,IFERROR(LOOKUP(2,1/('Feijão 1ª safra'!$E58:INDEX('Feijão 1ª safra'!$E58:$Z58,MIN(AP$6-$E$3,22))&lt;&gt;""),'Feijão 1ª safra'!$E58:INDEX('Feijão 1ª safra'!$E58:$Z58,MIN(AP$6-$E$3,22))),0))-IF($G$2,0,IF((AP$6-$G$3)&lt;1,0,IFERROR(LOOKUP(2,1/('Feijão 1ª safra'!$E58:INDEX('Feijão 1ª safra'!$E58:$Z58,MIN(AP$6-$G$3,22))&lt;&gt;""),'Feijão 1ª safra'!$E58:INDEX('Feijão 1ª safra'!$E58:$Z58,MIN(AP$6-$G$3,22))),0)))))</f>
        <v>0</v>
      </c>
      <c r="AQ60" s="27" t="n">
        <f aca="false">IF(COUNT('Feijão 1ª safra'!$E58:$Z58)=0,0,MAX(0,IF((AQ$6-$E$3)&lt;1,0,IFERROR(LOOKUP(2,1/('Feijão 1ª safra'!$E58:INDEX('Feijão 1ª safra'!$E58:$Z58,MIN(AQ$6-$E$3,22))&lt;&gt;""),'Feijão 1ª safra'!$E58:INDEX('Feijão 1ª safra'!$E58:$Z58,MIN(AQ$6-$E$3,22))),0))-IF($G$2,0,IF((AQ$6-$G$3)&lt;1,0,IFERROR(LOOKUP(2,1/('Feijão 1ª safra'!$E58:INDEX('Feijão 1ª safra'!$E58:$Z58,MIN(AQ$6-$G$3,22))&lt;&gt;""),'Feijão 1ª safra'!$E58:INDEX('Feijão 1ª safra'!$E58:$Z58,MIN(AQ$6-$G$3,22))),0)))))</f>
        <v>0</v>
      </c>
      <c r="AR60" s="27" t="n">
        <f aca="false">IF(COUNT('Feijão 1ª safra'!$E58:$Z58)=0,0,MAX(0,IF((AR$6-$E$3)&lt;1,0,IFERROR(LOOKUP(2,1/('Feijão 1ª safra'!$E58:INDEX('Feijão 1ª safra'!$E58:$Z58,MIN(AR$6-$E$3,22))&lt;&gt;""),'Feijão 1ª safra'!$E58:INDEX('Feijão 1ª safra'!$E58:$Z58,MIN(AR$6-$E$3,22))),0))-IF($G$2,0,IF((AR$6-$G$3)&lt;1,0,IFERROR(LOOKUP(2,1/('Feijão 1ª safra'!$E58:INDEX('Feijão 1ª safra'!$E58:$Z58,MIN(AR$6-$G$3,22))&lt;&gt;""),'Feijão 1ª safra'!$E58:INDEX('Feijão 1ª safra'!$E58:$Z58,MIN(AR$6-$G$3,22))),0)))))</f>
        <v>0</v>
      </c>
      <c r="AS60" s="27" t="n">
        <f aca="false">IF(COUNT('Feijão 1ª safra'!$E58:$Z58)=0,0,MAX(0,IF((AS$6-$E$3)&lt;1,0,IFERROR(LOOKUP(2,1/('Feijão 1ª safra'!$E58:INDEX('Feijão 1ª safra'!$E58:$Z58,MIN(AS$6-$E$3,22))&lt;&gt;""),'Feijão 1ª safra'!$E58:INDEX('Feijão 1ª safra'!$E58:$Z58,MIN(AS$6-$E$3,22))),0))-IF($G$2,0,IF((AS$6-$G$3)&lt;1,0,IFERROR(LOOKUP(2,1/('Feijão 1ª safra'!$E58:INDEX('Feijão 1ª safra'!$E58:$Z58,MIN(AS$6-$G$3,22))&lt;&gt;""),'Feijão 1ª safra'!$E58:INDEX('Feijão 1ª safra'!$E58:$Z58,MIN(AS$6-$G$3,22))),0)))))</f>
        <v>0</v>
      </c>
      <c r="AT60" s="27" t="n">
        <f aca="false">IF(COUNT('Feijão 1ª safra'!$E58:$Z58)=0,0,MAX(0,IF((AT$6-$E$3)&lt;1,0,IFERROR(LOOKUP(2,1/('Feijão 1ª safra'!$E58:INDEX('Feijão 1ª safra'!$E58:$Z58,MIN(AT$6-$E$3,22))&lt;&gt;""),'Feijão 1ª safra'!$E58:INDEX('Feijão 1ª safra'!$E58:$Z58,MIN(AT$6-$E$3,22))),0))-IF($G$2,0,IF((AT$6-$G$3)&lt;1,0,IFERROR(LOOKUP(2,1/('Feijão 1ª safra'!$E58:INDEX('Feijão 1ª safra'!$E58:$Z58,MIN(AT$6-$G$3,22))&lt;&gt;""),'Feijão 1ª safra'!$E58:INDEX('Feijão 1ª safra'!$E58:$Z58,MIN(AT$6-$G$3,22))),0)))))</f>
        <v>0</v>
      </c>
      <c r="AU60" s="27" t="n">
        <f aca="false">IF(COUNT('Feijão 1ª safra'!$E58:$Z58)=0,0,MAX(0,IF((AU$6-$E$3)&lt;1,0,IFERROR(LOOKUP(2,1/('Feijão 1ª safra'!$E58:INDEX('Feijão 1ª safra'!$E58:$Z58,MIN(AU$6-$E$3,22))&lt;&gt;""),'Feijão 1ª safra'!$E58:INDEX('Feijão 1ª safra'!$E58:$Z58,MIN(AU$6-$E$3,22))),0))-IF($G$2,0,IF((AU$6-$G$3)&lt;1,0,IFERROR(LOOKUP(2,1/('Feijão 1ª safra'!$E58:INDEX('Feijão 1ª safra'!$E58:$Z58,MIN(AU$6-$G$3,22))&lt;&gt;""),'Feijão 1ª safra'!$E58:INDEX('Feijão 1ª safra'!$E58:$Z58,MIN(AU$6-$G$3,22))),0)))))</f>
        <v>0</v>
      </c>
      <c r="AV60" s="27" t="n">
        <f aca="false">IF(COUNT('Feijão 1ª safra'!$E58:$Z58)=0,0,MAX(0,IF((AV$6-$E$3)&lt;1,0,IFERROR(LOOKUP(2,1/('Feijão 1ª safra'!$E58:INDEX('Feijão 1ª safra'!$E58:$Z58,MIN(AV$6-$E$3,22))&lt;&gt;""),'Feijão 1ª safra'!$E58:INDEX('Feijão 1ª safra'!$E58:$Z58,MIN(AV$6-$E$3,22))),0))-IF($G$2,0,IF((AV$6-$G$3)&lt;1,0,IFERROR(LOOKUP(2,1/('Feijão 1ª safra'!$E58:INDEX('Feijão 1ª safra'!$E58:$Z58,MIN(AV$6-$G$3,22))&lt;&gt;""),'Feijão 1ª safra'!$E58:INDEX('Feijão 1ª safra'!$E58:$Z58,MIN(AV$6-$G$3,22))),0)))))</f>
        <v>0</v>
      </c>
      <c r="AW60" s="27" t="n">
        <f aca="false">IF(COUNT('Feijão 1ª safra'!$E58:$Z58)=0,0,MAX(0,IF((AW$6-$E$3)&lt;1,0,IFERROR(LOOKUP(2,1/('Feijão 1ª safra'!$E58:INDEX('Feijão 1ª safra'!$E58:$Z58,MIN(AW$6-$E$3,22))&lt;&gt;""),'Feijão 1ª safra'!$E58:INDEX('Feijão 1ª safra'!$E58:$Z58,MIN(AW$6-$E$3,22))),0))-IF($G$2,0,IF((AW$6-$G$3)&lt;1,0,IFERROR(LOOKUP(2,1/('Feijão 1ª safra'!$E58:INDEX('Feijão 1ª safra'!$E58:$Z58,MIN(AW$6-$G$3,22))&lt;&gt;""),'Feijão 1ª safra'!$E58:INDEX('Feijão 1ª safra'!$E58:$Z58,MIN(AW$6-$G$3,22))),0)))))</f>
        <v>0</v>
      </c>
      <c r="AX60" s="27" t="n">
        <f aca="false">IF(COUNT('Feijão 1ª safra'!$E58:$Z58)=0,0,MAX(0,IF((AX$6-$E$3)&lt;1,0,IFERROR(LOOKUP(2,1/('Feijão 1ª safra'!$E58:INDEX('Feijão 1ª safra'!$E58:$Z58,MIN(AX$6-$E$3,22))&lt;&gt;""),'Feijão 1ª safra'!$E58:INDEX('Feijão 1ª safra'!$E58:$Z58,MIN(AX$6-$E$3,22))),0))-IF($G$2,0,IF((AX$6-$G$3)&lt;1,0,IFERROR(LOOKUP(2,1/('Feijão 1ª safra'!$E58:INDEX('Feijão 1ª safra'!$E58:$Z58,MIN(AX$6-$G$3,22))&lt;&gt;""),'Feijão 1ª safra'!$E58:INDEX('Feijão 1ª safra'!$E58:$Z58,MIN(AX$6-$G$3,22))),0)))))</f>
        <v>0</v>
      </c>
      <c r="AY60" s="27" t="n">
        <f aca="false">IF(COUNT('Feijão 1ª safra'!$E58:$Z58)=0,0,MAX(0,IF((AY$6-$E$3)&lt;1,0,IFERROR(LOOKUP(2,1/('Feijão 1ª safra'!$E58:INDEX('Feijão 1ª safra'!$E58:$Z58,MIN(AY$6-$E$3,22))&lt;&gt;""),'Feijão 1ª safra'!$E58:INDEX('Feijão 1ª safra'!$E58:$Z58,MIN(AY$6-$E$3,22))),0))-IF($G$2,0,IF((AY$6-$G$3)&lt;1,0,IFERROR(LOOKUP(2,1/('Feijão 1ª safra'!$E58:INDEX('Feijão 1ª safra'!$E58:$Z58,MIN(AY$6-$G$3,22))&lt;&gt;""),'Feijão 1ª safra'!$E58:INDEX('Feijão 1ª safra'!$E58:$Z58,MIN(AY$6-$G$3,22))),0)))))</f>
        <v>0</v>
      </c>
      <c r="AZ60" s="27" t="n">
        <f aca="false">IF(COUNT('Feijão 1ª safra'!$E58:$Z58)=0,0,MAX(0,IF((AZ$6-$E$3)&lt;1,0,IFERROR(LOOKUP(2,1/('Feijão 1ª safra'!$E58:INDEX('Feijão 1ª safra'!$E58:$Z58,MIN(AZ$6-$E$3,22))&lt;&gt;""),'Feijão 1ª safra'!$E58:INDEX('Feijão 1ª safra'!$E58:$Z58,MIN(AZ$6-$E$3,22))),0))-IF($G$2,0,IF((AZ$6-$G$3)&lt;1,0,IFERROR(LOOKUP(2,1/('Feijão 1ª safra'!$E58:INDEX('Feijão 1ª safra'!$E58:$Z58,MIN(AZ$6-$G$3,22))&lt;&gt;""),'Feijão 1ª safra'!$E58:INDEX('Feijão 1ª safra'!$E58:$Z58,MIN(AZ$6-$G$3,22))),0)))))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IF(COUNT('Feijão 1ª safra'!$E59:$Z59)&gt;0,N('Feijão 1ª safra'!$D59),0)</f>
        <v>0</v>
      </c>
      <c r="E61" s="27" t="n">
        <f aca="false">IF(COUNT('Feijão 1ª safra'!$E59:$Z59)=0,0,MAX(0,IF((E$6-$E$3)&lt;1,0,IFERROR(LOOKUP(2,1/('Feijão 1ª safra'!$E59:INDEX('Feijão 1ª safra'!$E59:$Z59,MIN(E$6-$E$3,22))&lt;&gt;""),'Feijão 1ª safra'!$E59:INDEX('Feijão 1ª safra'!$E59:$Z59,MIN(E$6-$E$3,22))),0))-IF($G$2,0,IF((E$6-$G$3)&lt;1,0,IFERROR(LOOKUP(2,1/('Feijão 1ª safra'!$E59:INDEX('Feijão 1ª safra'!$E59:$Z59,MIN(E$6-$G$3,22))&lt;&gt;""),'Feijão 1ª safra'!$E59:INDEX('Feijão 1ª safra'!$E59:$Z59,MIN(E$6-$G$3,22))),0)))))</f>
        <v>0</v>
      </c>
      <c r="F61" s="27" t="n">
        <f aca="false">IF(COUNT('Feijão 1ª safra'!$E59:$Z59)=0,0,MAX(0,IF((F$6-$E$3)&lt;1,0,IFERROR(LOOKUP(2,1/('Feijão 1ª safra'!$E59:INDEX('Feijão 1ª safra'!$E59:$Z59,MIN(F$6-$E$3,22))&lt;&gt;""),'Feijão 1ª safra'!$E59:INDEX('Feijão 1ª safra'!$E59:$Z59,MIN(F$6-$E$3,22))),0))-IF($G$2,0,IF((F$6-$G$3)&lt;1,0,IFERROR(LOOKUP(2,1/('Feijão 1ª safra'!$E59:INDEX('Feijão 1ª safra'!$E59:$Z59,MIN(F$6-$G$3,22))&lt;&gt;""),'Feijão 1ª safra'!$E59:INDEX('Feijão 1ª safra'!$E59:$Z59,MIN(F$6-$G$3,22))),0)))))</f>
        <v>0</v>
      </c>
      <c r="G61" s="27" t="n">
        <f aca="false">IF(COUNT('Feijão 1ª safra'!$E59:$Z59)=0,0,MAX(0,IF((G$6-$E$3)&lt;1,0,IFERROR(LOOKUP(2,1/('Feijão 1ª safra'!$E59:INDEX('Feijão 1ª safra'!$E59:$Z59,MIN(G$6-$E$3,22))&lt;&gt;""),'Feijão 1ª safra'!$E59:INDEX('Feijão 1ª safra'!$E59:$Z59,MIN(G$6-$E$3,22))),0))-IF($G$2,0,IF((G$6-$G$3)&lt;1,0,IFERROR(LOOKUP(2,1/('Feijão 1ª safra'!$E59:INDEX('Feijão 1ª safra'!$E59:$Z59,MIN(G$6-$G$3,22))&lt;&gt;""),'Feijão 1ª safra'!$E59:INDEX('Feijão 1ª safra'!$E59:$Z59,MIN(G$6-$G$3,22))),0)))))</f>
        <v>0</v>
      </c>
      <c r="H61" s="27" t="n">
        <f aca="false">IF(COUNT('Feijão 1ª safra'!$E59:$Z59)=0,0,MAX(0,IF((H$6-$E$3)&lt;1,0,IFERROR(LOOKUP(2,1/('Feijão 1ª safra'!$E59:INDEX('Feijão 1ª safra'!$E59:$Z59,MIN(H$6-$E$3,22))&lt;&gt;""),'Feijão 1ª safra'!$E59:INDEX('Feijão 1ª safra'!$E59:$Z59,MIN(H$6-$E$3,22))),0))-IF($G$2,0,IF((H$6-$G$3)&lt;1,0,IFERROR(LOOKUP(2,1/('Feijão 1ª safra'!$E59:INDEX('Feijão 1ª safra'!$E59:$Z59,MIN(H$6-$G$3,22))&lt;&gt;""),'Feijão 1ª safra'!$E59:INDEX('Feijão 1ª safra'!$E59:$Z59,MIN(H$6-$G$3,22))),0)))))</f>
        <v>0</v>
      </c>
      <c r="I61" s="27" t="n">
        <f aca="false">IF(COUNT('Feijão 1ª safra'!$E59:$Z59)=0,0,MAX(0,IF((I$6-$E$3)&lt;1,0,IFERROR(LOOKUP(2,1/('Feijão 1ª safra'!$E59:INDEX('Feijão 1ª safra'!$E59:$Z59,MIN(I$6-$E$3,22))&lt;&gt;""),'Feijão 1ª safra'!$E59:INDEX('Feijão 1ª safra'!$E59:$Z59,MIN(I$6-$E$3,22))),0))-IF($G$2,0,IF((I$6-$G$3)&lt;1,0,IFERROR(LOOKUP(2,1/('Feijão 1ª safra'!$E59:INDEX('Feijão 1ª safra'!$E59:$Z59,MIN(I$6-$G$3,22))&lt;&gt;""),'Feijão 1ª safra'!$E59:INDEX('Feijão 1ª safra'!$E59:$Z59,MIN(I$6-$G$3,22))),0)))))</f>
        <v>0</v>
      </c>
      <c r="J61" s="27" t="n">
        <f aca="false">IF(COUNT('Feijão 1ª safra'!$E59:$Z59)=0,0,MAX(0,IF((J$6-$E$3)&lt;1,0,IFERROR(LOOKUP(2,1/('Feijão 1ª safra'!$E59:INDEX('Feijão 1ª safra'!$E59:$Z59,MIN(J$6-$E$3,22))&lt;&gt;""),'Feijão 1ª safra'!$E59:INDEX('Feijão 1ª safra'!$E59:$Z59,MIN(J$6-$E$3,22))),0))-IF($G$2,0,IF((J$6-$G$3)&lt;1,0,IFERROR(LOOKUP(2,1/('Feijão 1ª safra'!$E59:INDEX('Feijão 1ª safra'!$E59:$Z59,MIN(J$6-$G$3,22))&lt;&gt;""),'Feijão 1ª safra'!$E59:INDEX('Feijão 1ª safra'!$E59:$Z59,MIN(J$6-$G$3,22))),0)))))</f>
        <v>0</v>
      </c>
      <c r="K61" s="27" t="n">
        <f aca="false">IF(COUNT('Feijão 1ª safra'!$E59:$Z59)=0,0,MAX(0,IF((K$6-$E$3)&lt;1,0,IFERROR(LOOKUP(2,1/('Feijão 1ª safra'!$E59:INDEX('Feijão 1ª safra'!$E59:$Z59,MIN(K$6-$E$3,22))&lt;&gt;""),'Feijão 1ª safra'!$E59:INDEX('Feijão 1ª safra'!$E59:$Z59,MIN(K$6-$E$3,22))),0))-IF($G$2,0,IF((K$6-$G$3)&lt;1,0,IFERROR(LOOKUP(2,1/('Feijão 1ª safra'!$E59:INDEX('Feijão 1ª safra'!$E59:$Z59,MIN(K$6-$G$3,22))&lt;&gt;""),'Feijão 1ª safra'!$E59:INDEX('Feijão 1ª safra'!$E59:$Z59,MIN(K$6-$G$3,22))),0)))))</f>
        <v>0</v>
      </c>
      <c r="L61" s="27" t="n">
        <f aca="false">IF(COUNT('Feijão 1ª safra'!$E59:$Z59)=0,0,MAX(0,IF((L$6-$E$3)&lt;1,0,IFERROR(LOOKUP(2,1/('Feijão 1ª safra'!$E59:INDEX('Feijão 1ª safra'!$E59:$Z59,MIN(L$6-$E$3,22))&lt;&gt;""),'Feijão 1ª safra'!$E59:INDEX('Feijão 1ª safra'!$E59:$Z59,MIN(L$6-$E$3,22))),0))-IF($G$2,0,IF((L$6-$G$3)&lt;1,0,IFERROR(LOOKUP(2,1/('Feijão 1ª safra'!$E59:INDEX('Feijão 1ª safra'!$E59:$Z59,MIN(L$6-$G$3,22))&lt;&gt;""),'Feijão 1ª safra'!$E59:INDEX('Feijão 1ª safra'!$E59:$Z59,MIN(L$6-$G$3,22))),0)))))</f>
        <v>0</v>
      </c>
      <c r="M61" s="27" t="n">
        <f aca="false">IF(COUNT('Feijão 1ª safra'!$E59:$Z59)=0,0,MAX(0,IF((M$6-$E$3)&lt;1,0,IFERROR(LOOKUP(2,1/('Feijão 1ª safra'!$E59:INDEX('Feijão 1ª safra'!$E59:$Z59,MIN(M$6-$E$3,22))&lt;&gt;""),'Feijão 1ª safra'!$E59:INDEX('Feijão 1ª safra'!$E59:$Z59,MIN(M$6-$E$3,22))),0))-IF($G$2,0,IF((M$6-$G$3)&lt;1,0,IFERROR(LOOKUP(2,1/('Feijão 1ª safra'!$E59:INDEX('Feijão 1ª safra'!$E59:$Z59,MIN(M$6-$G$3,22))&lt;&gt;""),'Feijão 1ª safra'!$E59:INDEX('Feijão 1ª safra'!$E59:$Z59,MIN(M$6-$G$3,22))),0)))))</f>
        <v>0</v>
      </c>
      <c r="N61" s="27" t="n">
        <f aca="false">IF(COUNT('Feijão 1ª safra'!$E59:$Z59)=0,0,MAX(0,IF((N$6-$E$3)&lt;1,0,IFERROR(LOOKUP(2,1/('Feijão 1ª safra'!$E59:INDEX('Feijão 1ª safra'!$E59:$Z59,MIN(N$6-$E$3,22))&lt;&gt;""),'Feijão 1ª safra'!$E59:INDEX('Feijão 1ª safra'!$E59:$Z59,MIN(N$6-$E$3,22))),0))-IF($G$2,0,IF((N$6-$G$3)&lt;1,0,IFERROR(LOOKUP(2,1/('Feijão 1ª safra'!$E59:INDEX('Feijão 1ª safra'!$E59:$Z59,MIN(N$6-$G$3,22))&lt;&gt;""),'Feijão 1ª safra'!$E59:INDEX('Feijão 1ª safra'!$E59:$Z59,MIN(N$6-$G$3,22))),0)))))</f>
        <v>0</v>
      </c>
      <c r="O61" s="27" t="n">
        <f aca="false">IF(COUNT('Feijão 1ª safra'!$E59:$Z59)=0,0,MAX(0,IF((O$6-$E$3)&lt;1,0,IFERROR(LOOKUP(2,1/('Feijão 1ª safra'!$E59:INDEX('Feijão 1ª safra'!$E59:$Z59,MIN(O$6-$E$3,22))&lt;&gt;""),'Feijão 1ª safra'!$E59:INDEX('Feijão 1ª safra'!$E59:$Z59,MIN(O$6-$E$3,22))),0))-IF($G$2,0,IF((O$6-$G$3)&lt;1,0,IFERROR(LOOKUP(2,1/('Feijão 1ª safra'!$E59:INDEX('Feijão 1ª safra'!$E59:$Z59,MIN(O$6-$G$3,22))&lt;&gt;""),'Feijão 1ª safra'!$E59:INDEX('Feijão 1ª safra'!$E59:$Z59,MIN(O$6-$G$3,22))),0)))))</f>
        <v>0</v>
      </c>
      <c r="P61" s="27" t="n">
        <f aca="false">IF(COUNT('Feijão 1ª safra'!$E59:$Z59)=0,0,MAX(0,IF((P$6-$E$3)&lt;1,0,IFERROR(LOOKUP(2,1/('Feijão 1ª safra'!$E59:INDEX('Feijão 1ª safra'!$E59:$Z59,MIN(P$6-$E$3,22))&lt;&gt;""),'Feijão 1ª safra'!$E59:INDEX('Feijão 1ª safra'!$E59:$Z59,MIN(P$6-$E$3,22))),0))-IF($G$2,0,IF((P$6-$G$3)&lt;1,0,IFERROR(LOOKUP(2,1/('Feijão 1ª safra'!$E59:INDEX('Feijão 1ª safra'!$E59:$Z59,MIN(P$6-$G$3,22))&lt;&gt;""),'Feijão 1ª safra'!$E59:INDEX('Feijão 1ª safra'!$E59:$Z59,MIN(P$6-$G$3,22))),0)))))</f>
        <v>0</v>
      </c>
      <c r="Q61" s="27" t="n">
        <f aca="false">IF(COUNT('Feijão 1ª safra'!$E59:$Z59)=0,0,MAX(0,IF((Q$6-$E$3)&lt;1,0,IFERROR(LOOKUP(2,1/('Feijão 1ª safra'!$E59:INDEX('Feijão 1ª safra'!$E59:$Z59,MIN(Q$6-$E$3,22))&lt;&gt;""),'Feijão 1ª safra'!$E59:INDEX('Feijão 1ª safra'!$E59:$Z59,MIN(Q$6-$E$3,22))),0))-IF($G$2,0,IF((Q$6-$G$3)&lt;1,0,IFERROR(LOOKUP(2,1/('Feijão 1ª safra'!$E59:INDEX('Feijão 1ª safra'!$E59:$Z59,MIN(Q$6-$G$3,22))&lt;&gt;""),'Feijão 1ª safra'!$E59:INDEX('Feijão 1ª safra'!$E59:$Z59,MIN(Q$6-$G$3,22))),0)))))</f>
        <v>0</v>
      </c>
      <c r="R61" s="27" t="n">
        <f aca="false">IF(COUNT('Feijão 1ª safra'!$E59:$Z59)=0,0,MAX(0,IF((R$6-$E$3)&lt;1,0,IFERROR(LOOKUP(2,1/('Feijão 1ª safra'!$E59:INDEX('Feijão 1ª safra'!$E59:$Z59,MIN(R$6-$E$3,22))&lt;&gt;""),'Feijão 1ª safra'!$E59:INDEX('Feijão 1ª safra'!$E59:$Z59,MIN(R$6-$E$3,22))),0))-IF($G$2,0,IF((R$6-$G$3)&lt;1,0,IFERROR(LOOKUP(2,1/('Feijão 1ª safra'!$E59:INDEX('Feijão 1ª safra'!$E59:$Z59,MIN(R$6-$G$3,22))&lt;&gt;""),'Feijão 1ª safra'!$E59:INDEX('Feijão 1ª safra'!$E59:$Z59,MIN(R$6-$G$3,22))),0)))))</f>
        <v>0</v>
      </c>
      <c r="S61" s="27" t="n">
        <f aca="false">IF(COUNT('Feijão 1ª safra'!$E59:$Z59)=0,0,MAX(0,IF((S$6-$E$3)&lt;1,0,IFERROR(LOOKUP(2,1/('Feijão 1ª safra'!$E59:INDEX('Feijão 1ª safra'!$E59:$Z59,MIN(S$6-$E$3,22))&lt;&gt;""),'Feijão 1ª safra'!$E59:INDEX('Feijão 1ª safra'!$E59:$Z59,MIN(S$6-$E$3,22))),0))-IF($G$2,0,IF((S$6-$G$3)&lt;1,0,IFERROR(LOOKUP(2,1/('Feijão 1ª safra'!$E59:INDEX('Feijão 1ª safra'!$E59:$Z59,MIN(S$6-$G$3,22))&lt;&gt;""),'Feijão 1ª safra'!$E59:INDEX('Feijão 1ª safra'!$E59:$Z59,MIN(S$6-$G$3,22))),0)))))</f>
        <v>0</v>
      </c>
      <c r="T61" s="27" t="n">
        <f aca="false">IF(COUNT('Feijão 1ª safra'!$E59:$Z59)=0,0,MAX(0,IF((T$6-$E$3)&lt;1,0,IFERROR(LOOKUP(2,1/('Feijão 1ª safra'!$E59:INDEX('Feijão 1ª safra'!$E59:$Z59,MIN(T$6-$E$3,22))&lt;&gt;""),'Feijão 1ª safra'!$E59:INDEX('Feijão 1ª safra'!$E59:$Z59,MIN(T$6-$E$3,22))),0))-IF($G$2,0,IF((T$6-$G$3)&lt;1,0,IFERROR(LOOKUP(2,1/('Feijão 1ª safra'!$E59:INDEX('Feijão 1ª safra'!$E59:$Z59,MIN(T$6-$G$3,22))&lt;&gt;""),'Feijão 1ª safra'!$E59:INDEX('Feijão 1ª safra'!$E59:$Z59,MIN(T$6-$G$3,22))),0)))))</f>
        <v>0</v>
      </c>
      <c r="U61" s="27" t="n">
        <f aca="false">IF(COUNT('Feijão 1ª safra'!$E59:$Z59)=0,0,MAX(0,IF((U$6-$E$3)&lt;1,0,IFERROR(LOOKUP(2,1/('Feijão 1ª safra'!$E59:INDEX('Feijão 1ª safra'!$E59:$Z59,MIN(U$6-$E$3,22))&lt;&gt;""),'Feijão 1ª safra'!$E59:INDEX('Feijão 1ª safra'!$E59:$Z59,MIN(U$6-$E$3,22))),0))-IF($G$2,0,IF((U$6-$G$3)&lt;1,0,IFERROR(LOOKUP(2,1/('Feijão 1ª safra'!$E59:INDEX('Feijão 1ª safra'!$E59:$Z59,MIN(U$6-$G$3,22))&lt;&gt;""),'Feijão 1ª safra'!$E59:INDEX('Feijão 1ª safra'!$E59:$Z59,MIN(U$6-$G$3,22))),0)))))</f>
        <v>0</v>
      </c>
      <c r="V61" s="27" t="n">
        <f aca="false">IF(COUNT('Feijão 1ª safra'!$E59:$Z59)=0,0,MAX(0,IF((V$6-$E$3)&lt;1,0,IFERROR(LOOKUP(2,1/('Feijão 1ª safra'!$E59:INDEX('Feijão 1ª safra'!$E59:$Z59,MIN(V$6-$E$3,22))&lt;&gt;""),'Feijão 1ª safra'!$E59:INDEX('Feijão 1ª safra'!$E59:$Z59,MIN(V$6-$E$3,22))),0))-IF($G$2,0,IF((V$6-$G$3)&lt;1,0,IFERROR(LOOKUP(2,1/('Feijão 1ª safra'!$E59:INDEX('Feijão 1ª safra'!$E59:$Z59,MIN(V$6-$G$3,22))&lt;&gt;""),'Feijão 1ª safra'!$E59:INDEX('Feijão 1ª safra'!$E59:$Z59,MIN(V$6-$G$3,22))),0)))))</f>
        <v>0</v>
      </c>
      <c r="W61" s="27" t="n">
        <f aca="false">IF(COUNT('Feijão 1ª safra'!$E59:$Z59)=0,0,MAX(0,IF((W$6-$E$3)&lt;1,0,IFERROR(LOOKUP(2,1/('Feijão 1ª safra'!$E59:INDEX('Feijão 1ª safra'!$E59:$Z59,MIN(W$6-$E$3,22))&lt;&gt;""),'Feijão 1ª safra'!$E59:INDEX('Feijão 1ª safra'!$E59:$Z59,MIN(W$6-$E$3,22))),0))-IF($G$2,0,IF((W$6-$G$3)&lt;1,0,IFERROR(LOOKUP(2,1/('Feijão 1ª safra'!$E59:INDEX('Feijão 1ª safra'!$E59:$Z59,MIN(W$6-$G$3,22))&lt;&gt;""),'Feijão 1ª safra'!$E59:INDEX('Feijão 1ª safra'!$E59:$Z59,MIN(W$6-$G$3,22))),0)))))</f>
        <v>0</v>
      </c>
      <c r="X61" s="27" t="n">
        <f aca="false">IF(COUNT('Feijão 1ª safra'!$E59:$Z59)=0,0,MAX(0,IF((X$6-$E$3)&lt;1,0,IFERROR(LOOKUP(2,1/('Feijão 1ª safra'!$E59:INDEX('Feijão 1ª safra'!$E59:$Z59,MIN(X$6-$E$3,22))&lt;&gt;""),'Feijão 1ª safra'!$E59:INDEX('Feijão 1ª safra'!$E59:$Z59,MIN(X$6-$E$3,22))),0))-IF($G$2,0,IF((X$6-$G$3)&lt;1,0,IFERROR(LOOKUP(2,1/('Feijão 1ª safra'!$E59:INDEX('Feijão 1ª safra'!$E59:$Z59,MIN(X$6-$G$3,22))&lt;&gt;""),'Feijão 1ª safra'!$E59:INDEX('Feijão 1ª safra'!$E59:$Z59,MIN(X$6-$G$3,22))),0)))))</f>
        <v>0</v>
      </c>
      <c r="Y61" s="27" t="n">
        <f aca="false">IF(COUNT('Feijão 1ª safra'!$E59:$Z59)=0,0,MAX(0,IF((Y$6-$E$3)&lt;1,0,IFERROR(LOOKUP(2,1/('Feijão 1ª safra'!$E59:INDEX('Feijão 1ª safra'!$E59:$Z59,MIN(Y$6-$E$3,22))&lt;&gt;""),'Feijão 1ª safra'!$E59:INDEX('Feijão 1ª safra'!$E59:$Z59,MIN(Y$6-$E$3,22))),0))-IF($G$2,0,IF((Y$6-$G$3)&lt;1,0,IFERROR(LOOKUP(2,1/('Feijão 1ª safra'!$E59:INDEX('Feijão 1ª safra'!$E59:$Z59,MIN(Y$6-$G$3,22))&lt;&gt;""),'Feijão 1ª safra'!$E59:INDEX('Feijão 1ª safra'!$E59:$Z59,MIN(Y$6-$G$3,22))),0)))))</f>
        <v>0</v>
      </c>
      <c r="Z61" s="27" t="n">
        <f aca="false">IF(COUNT('Feijão 1ª safra'!$E59:$Z59)=0,0,MAX(0,IF((Z$6-$E$3)&lt;1,0,IFERROR(LOOKUP(2,1/('Feijão 1ª safra'!$E59:INDEX('Feijão 1ª safra'!$E59:$Z59,MIN(Z$6-$E$3,22))&lt;&gt;""),'Feijão 1ª safra'!$E59:INDEX('Feijão 1ª safra'!$E59:$Z59,MIN(Z$6-$E$3,22))),0))-IF($G$2,0,IF((Z$6-$G$3)&lt;1,0,IFERROR(LOOKUP(2,1/('Feijão 1ª safra'!$E59:INDEX('Feijão 1ª safra'!$E59:$Z59,MIN(Z$6-$G$3,22))&lt;&gt;""),'Feijão 1ª safra'!$E59:INDEX('Feijão 1ª safra'!$E59:$Z59,MIN(Z$6-$G$3,22))),0)))))</f>
        <v>0</v>
      </c>
      <c r="AA61" s="27" t="n">
        <f aca="false">IF(COUNT('Feijão 1ª safra'!$E59:$Z59)=0,0,MAX(0,IF((AA$6-$E$3)&lt;1,0,IFERROR(LOOKUP(2,1/('Feijão 1ª safra'!$E59:INDEX('Feijão 1ª safra'!$E59:$Z59,MIN(AA$6-$E$3,22))&lt;&gt;""),'Feijão 1ª safra'!$E59:INDEX('Feijão 1ª safra'!$E59:$Z59,MIN(AA$6-$E$3,22))),0))-IF($G$2,0,IF((AA$6-$G$3)&lt;1,0,IFERROR(LOOKUP(2,1/('Feijão 1ª safra'!$E59:INDEX('Feijão 1ª safra'!$E59:$Z59,MIN(AA$6-$G$3,22))&lt;&gt;""),'Feijão 1ª safra'!$E59:INDEX('Feijão 1ª safra'!$E59:$Z59,MIN(AA$6-$G$3,22))),0)))))</f>
        <v>0</v>
      </c>
      <c r="AB61" s="27" t="n">
        <f aca="false">IF(COUNT('Feijão 1ª safra'!$E59:$Z59)=0,0,MAX(0,IF((AB$6-$E$3)&lt;1,0,IFERROR(LOOKUP(2,1/('Feijão 1ª safra'!$E59:INDEX('Feijão 1ª safra'!$E59:$Z59,MIN(AB$6-$E$3,22))&lt;&gt;""),'Feijão 1ª safra'!$E59:INDEX('Feijão 1ª safra'!$E59:$Z59,MIN(AB$6-$E$3,22))),0))-IF($G$2,0,IF((AB$6-$G$3)&lt;1,0,IFERROR(LOOKUP(2,1/('Feijão 1ª safra'!$E59:INDEX('Feijão 1ª safra'!$E59:$Z59,MIN(AB$6-$G$3,22))&lt;&gt;""),'Feijão 1ª safra'!$E59:INDEX('Feijão 1ª safra'!$E59:$Z59,MIN(AB$6-$G$3,22))),0)))))</f>
        <v>0</v>
      </c>
      <c r="AC61" s="27" t="n">
        <f aca="false">IF(COUNT('Feijão 1ª safra'!$E59:$Z59)=0,0,MAX(0,IF((AC$6-$E$3)&lt;1,0,IFERROR(LOOKUP(2,1/('Feijão 1ª safra'!$E59:INDEX('Feijão 1ª safra'!$E59:$Z59,MIN(AC$6-$E$3,22))&lt;&gt;""),'Feijão 1ª safra'!$E59:INDEX('Feijão 1ª safra'!$E59:$Z59,MIN(AC$6-$E$3,22))),0))-IF($G$2,0,IF((AC$6-$G$3)&lt;1,0,IFERROR(LOOKUP(2,1/('Feijão 1ª safra'!$E59:INDEX('Feijão 1ª safra'!$E59:$Z59,MIN(AC$6-$G$3,22))&lt;&gt;""),'Feijão 1ª safra'!$E59:INDEX('Feijão 1ª safra'!$E59:$Z59,MIN(AC$6-$G$3,22))),0)))))</f>
        <v>0</v>
      </c>
      <c r="AD61" s="27" t="n">
        <f aca="false">IF(COUNT('Feijão 1ª safra'!$E59:$Z59)=0,0,MAX(0,IF((AD$6-$E$3)&lt;1,0,IFERROR(LOOKUP(2,1/('Feijão 1ª safra'!$E59:INDEX('Feijão 1ª safra'!$E59:$Z59,MIN(AD$6-$E$3,22))&lt;&gt;""),'Feijão 1ª safra'!$E59:INDEX('Feijão 1ª safra'!$E59:$Z59,MIN(AD$6-$E$3,22))),0))-IF($G$2,0,IF((AD$6-$G$3)&lt;1,0,IFERROR(LOOKUP(2,1/('Feijão 1ª safra'!$E59:INDEX('Feijão 1ª safra'!$E59:$Z59,MIN(AD$6-$G$3,22))&lt;&gt;""),'Feijão 1ª safra'!$E59:INDEX('Feijão 1ª safra'!$E59:$Z59,MIN(AD$6-$G$3,22))),0)))))</f>
        <v>0</v>
      </c>
      <c r="AE61" s="27" t="n">
        <f aca="false">IF(COUNT('Feijão 1ª safra'!$E59:$Z59)=0,0,MAX(0,IF((AE$6-$E$3)&lt;1,0,IFERROR(LOOKUP(2,1/('Feijão 1ª safra'!$E59:INDEX('Feijão 1ª safra'!$E59:$Z59,MIN(AE$6-$E$3,22))&lt;&gt;""),'Feijão 1ª safra'!$E59:INDEX('Feijão 1ª safra'!$E59:$Z59,MIN(AE$6-$E$3,22))),0))-IF($G$2,0,IF((AE$6-$G$3)&lt;1,0,IFERROR(LOOKUP(2,1/('Feijão 1ª safra'!$E59:INDEX('Feijão 1ª safra'!$E59:$Z59,MIN(AE$6-$G$3,22))&lt;&gt;""),'Feijão 1ª safra'!$E59:INDEX('Feijão 1ª safra'!$E59:$Z59,MIN(AE$6-$G$3,22))),0)))))</f>
        <v>0</v>
      </c>
      <c r="AF61" s="27" t="n">
        <f aca="false">IF(COUNT('Feijão 1ª safra'!$E59:$Z59)=0,0,MAX(0,IF((AF$6-$E$3)&lt;1,0,IFERROR(LOOKUP(2,1/('Feijão 1ª safra'!$E59:INDEX('Feijão 1ª safra'!$E59:$Z59,MIN(AF$6-$E$3,22))&lt;&gt;""),'Feijão 1ª safra'!$E59:INDEX('Feijão 1ª safra'!$E59:$Z59,MIN(AF$6-$E$3,22))),0))-IF($G$2,0,IF((AF$6-$G$3)&lt;1,0,IFERROR(LOOKUP(2,1/('Feijão 1ª safra'!$E59:INDEX('Feijão 1ª safra'!$E59:$Z59,MIN(AF$6-$G$3,22))&lt;&gt;""),'Feijão 1ª safra'!$E59:INDEX('Feijão 1ª safra'!$E59:$Z59,MIN(AF$6-$G$3,22))),0)))))</f>
        <v>0</v>
      </c>
      <c r="AG61" s="27" t="n">
        <f aca="false">IF(COUNT('Feijão 1ª safra'!$E59:$Z59)=0,0,MAX(0,IF((AG$6-$E$3)&lt;1,0,IFERROR(LOOKUP(2,1/('Feijão 1ª safra'!$E59:INDEX('Feijão 1ª safra'!$E59:$Z59,MIN(AG$6-$E$3,22))&lt;&gt;""),'Feijão 1ª safra'!$E59:INDEX('Feijão 1ª safra'!$E59:$Z59,MIN(AG$6-$E$3,22))),0))-IF($G$2,0,IF((AG$6-$G$3)&lt;1,0,IFERROR(LOOKUP(2,1/('Feijão 1ª safra'!$E59:INDEX('Feijão 1ª safra'!$E59:$Z59,MIN(AG$6-$G$3,22))&lt;&gt;""),'Feijão 1ª safra'!$E59:INDEX('Feijão 1ª safra'!$E59:$Z59,MIN(AG$6-$G$3,22))),0)))))</f>
        <v>0</v>
      </c>
      <c r="AH61" s="27" t="n">
        <f aca="false">IF(COUNT('Feijão 1ª safra'!$E59:$Z59)=0,0,MAX(0,IF((AH$6-$E$3)&lt;1,0,IFERROR(LOOKUP(2,1/('Feijão 1ª safra'!$E59:INDEX('Feijão 1ª safra'!$E59:$Z59,MIN(AH$6-$E$3,22))&lt;&gt;""),'Feijão 1ª safra'!$E59:INDEX('Feijão 1ª safra'!$E59:$Z59,MIN(AH$6-$E$3,22))),0))-IF($G$2,0,IF((AH$6-$G$3)&lt;1,0,IFERROR(LOOKUP(2,1/('Feijão 1ª safra'!$E59:INDEX('Feijão 1ª safra'!$E59:$Z59,MIN(AH$6-$G$3,22))&lt;&gt;""),'Feijão 1ª safra'!$E59:INDEX('Feijão 1ª safra'!$E59:$Z59,MIN(AH$6-$G$3,22))),0)))))</f>
        <v>0</v>
      </c>
      <c r="AI61" s="27" t="n">
        <f aca="false">IF(COUNT('Feijão 1ª safra'!$E59:$Z59)=0,0,MAX(0,IF((AI$6-$E$3)&lt;1,0,IFERROR(LOOKUP(2,1/('Feijão 1ª safra'!$E59:INDEX('Feijão 1ª safra'!$E59:$Z59,MIN(AI$6-$E$3,22))&lt;&gt;""),'Feijão 1ª safra'!$E59:INDEX('Feijão 1ª safra'!$E59:$Z59,MIN(AI$6-$E$3,22))),0))-IF($G$2,0,IF((AI$6-$G$3)&lt;1,0,IFERROR(LOOKUP(2,1/('Feijão 1ª safra'!$E59:INDEX('Feijão 1ª safra'!$E59:$Z59,MIN(AI$6-$G$3,22))&lt;&gt;""),'Feijão 1ª safra'!$E59:INDEX('Feijão 1ª safra'!$E59:$Z59,MIN(AI$6-$G$3,22))),0)))))</f>
        <v>0</v>
      </c>
      <c r="AJ61" s="27" t="n">
        <f aca="false">IF(COUNT('Feijão 1ª safra'!$E59:$Z59)=0,0,MAX(0,IF((AJ$6-$E$3)&lt;1,0,IFERROR(LOOKUP(2,1/('Feijão 1ª safra'!$E59:INDEX('Feijão 1ª safra'!$E59:$Z59,MIN(AJ$6-$E$3,22))&lt;&gt;""),'Feijão 1ª safra'!$E59:INDEX('Feijão 1ª safra'!$E59:$Z59,MIN(AJ$6-$E$3,22))),0))-IF($G$2,0,IF((AJ$6-$G$3)&lt;1,0,IFERROR(LOOKUP(2,1/('Feijão 1ª safra'!$E59:INDEX('Feijão 1ª safra'!$E59:$Z59,MIN(AJ$6-$G$3,22))&lt;&gt;""),'Feijão 1ª safra'!$E59:INDEX('Feijão 1ª safra'!$E59:$Z59,MIN(AJ$6-$G$3,22))),0)))))</f>
        <v>0</v>
      </c>
      <c r="AK61" s="27" t="n">
        <f aca="false">IF(COUNT('Feijão 1ª safra'!$E59:$Z59)=0,0,MAX(0,IF((AK$6-$E$3)&lt;1,0,IFERROR(LOOKUP(2,1/('Feijão 1ª safra'!$E59:INDEX('Feijão 1ª safra'!$E59:$Z59,MIN(AK$6-$E$3,22))&lt;&gt;""),'Feijão 1ª safra'!$E59:INDEX('Feijão 1ª safra'!$E59:$Z59,MIN(AK$6-$E$3,22))),0))-IF($G$2,0,IF((AK$6-$G$3)&lt;1,0,IFERROR(LOOKUP(2,1/('Feijão 1ª safra'!$E59:INDEX('Feijão 1ª safra'!$E59:$Z59,MIN(AK$6-$G$3,22))&lt;&gt;""),'Feijão 1ª safra'!$E59:INDEX('Feijão 1ª safra'!$E59:$Z59,MIN(AK$6-$G$3,22))),0)))))</f>
        <v>0</v>
      </c>
      <c r="AL61" s="27" t="n">
        <f aca="false">IF(COUNT('Feijão 1ª safra'!$E59:$Z59)=0,0,MAX(0,IF((AL$6-$E$3)&lt;1,0,IFERROR(LOOKUP(2,1/('Feijão 1ª safra'!$E59:INDEX('Feijão 1ª safra'!$E59:$Z59,MIN(AL$6-$E$3,22))&lt;&gt;""),'Feijão 1ª safra'!$E59:INDEX('Feijão 1ª safra'!$E59:$Z59,MIN(AL$6-$E$3,22))),0))-IF($G$2,0,IF((AL$6-$G$3)&lt;1,0,IFERROR(LOOKUP(2,1/('Feijão 1ª safra'!$E59:INDEX('Feijão 1ª safra'!$E59:$Z59,MIN(AL$6-$G$3,22))&lt;&gt;""),'Feijão 1ª safra'!$E59:INDEX('Feijão 1ª safra'!$E59:$Z59,MIN(AL$6-$G$3,22))),0)))))</f>
        <v>0</v>
      </c>
      <c r="AM61" s="27" t="n">
        <f aca="false">IF(COUNT('Feijão 1ª safra'!$E59:$Z59)=0,0,MAX(0,IF((AM$6-$E$3)&lt;1,0,IFERROR(LOOKUP(2,1/('Feijão 1ª safra'!$E59:INDEX('Feijão 1ª safra'!$E59:$Z59,MIN(AM$6-$E$3,22))&lt;&gt;""),'Feijão 1ª safra'!$E59:INDEX('Feijão 1ª safra'!$E59:$Z59,MIN(AM$6-$E$3,22))),0))-IF($G$2,0,IF((AM$6-$G$3)&lt;1,0,IFERROR(LOOKUP(2,1/('Feijão 1ª safra'!$E59:INDEX('Feijão 1ª safra'!$E59:$Z59,MIN(AM$6-$G$3,22))&lt;&gt;""),'Feijão 1ª safra'!$E59:INDEX('Feijão 1ª safra'!$E59:$Z59,MIN(AM$6-$G$3,22))),0)))))</f>
        <v>0</v>
      </c>
      <c r="AN61" s="27" t="n">
        <f aca="false">IF(COUNT('Feijão 1ª safra'!$E59:$Z59)=0,0,MAX(0,IF((AN$6-$E$3)&lt;1,0,IFERROR(LOOKUP(2,1/('Feijão 1ª safra'!$E59:INDEX('Feijão 1ª safra'!$E59:$Z59,MIN(AN$6-$E$3,22))&lt;&gt;""),'Feijão 1ª safra'!$E59:INDEX('Feijão 1ª safra'!$E59:$Z59,MIN(AN$6-$E$3,22))),0))-IF($G$2,0,IF((AN$6-$G$3)&lt;1,0,IFERROR(LOOKUP(2,1/('Feijão 1ª safra'!$E59:INDEX('Feijão 1ª safra'!$E59:$Z59,MIN(AN$6-$G$3,22))&lt;&gt;""),'Feijão 1ª safra'!$E59:INDEX('Feijão 1ª safra'!$E59:$Z59,MIN(AN$6-$G$3,22))),0)))))</f>
        <v>0</v>
      </c>
      <c r="AO61" s="27" t="n">
        <f aca="false">IF(COUNT('Feijão 1ª safra'!$E59:$Z59)=0,0,MAX(0,IF((AO$6-$E$3)&lt;1,0,IFERROR(LOOKUP(2,1/('Feijão 1ª safra'!$E59:INDEX('Feijão 1ª safra'!$E59:$Z59,MIN(AO$6-$E$3,22))&lt;&gt;""),'Feijão 1ª safra'!$E59:INDEX('Feijão 1ª safra'!$E59:$Z59,MIN(AO$6-$E$3,22))),0))-IF($G$2,0,IF((AO$6-$G$3)&lt;1,0,IFERROR(LOOKUP(2,1/('Feijão 1ª safra'!$E59:INDEX('Feijão 1ª safra'!$E59:$Z59,MIN(AO$6-$G$3,22))&lt;&gt;""),'Feijão 1ª safra'!$E59:INDEX('Feijão 1ª safra'!$E59:$Z59,MIN(AO$6-$G$3,22))),0)))))</f>
        <v>0</v>
      </c>
      <c r="AP61" s="27" t="n">
        <f aca="false">IF(COUNT('Feijão 1ª safra'!$E59:$Z59)=0,0,MAX(0,IF((AP$6-$E$3)&lt;1,0,IFERROR(LOOKUP(2,1/('Feijão 1ª safra'!$E59:INDEX('Feijão 1ª safra'!$E59:$Z59,MIN(AP$6-$E$3,22))&lt;&gt;""),'Feijão 1ª safra'!$E59:INDEX('Feijão 1ª safra'!$E59:$Z59,MIN(AP$6-$E$3,22))),0))-IF($G$2,0,IF((AP$6-$G$3)&lt;1,0,IFERROR(LOOKUP(2,1/('Feijão 1ª safra'!$E59:INDEX('Feijão 1ª safra'!$E59:$Z59,MIN(AP$6-$G$3,22))&lt;&gt;""),'Feijão 1ª safra'!$E59:INDEX('Feijão 1ª safra'!$E59:$Z59,MIN(AP$6-$G$3,22))),0)))))</f>
        <v>0</v>
      </c>
      <c r="AQ61" s="27" t="n">
        <f aca="false">IF(COUNT('Feijão 1ª safra'!$E59:$Z59)=0,0,MAX(0,IF((AQ$6-$E$3)&lt;1,0,IFERROR(LOOKUP(2,1/('Feijão 1ª safra'!$E59:INDEX('Feijão 1ª safra'!$E59:$Z59,MIN(AQ$6-$E$3,22))&lt;&gt;""),'Feijão 1ª safra'!$E59:INDEX('Feijão 1ª safra'!$E59:$Z59,MIN(AQ$6-$E$3,22))),0))-IF($G$2,0,IF((AQ$6-$G$3)&lt;1,0,IFERROR(LOOKUP(2,1/('Feijão 1ª safra'!$E59:INDEX('Feijão 1ª safra'!$E59:$Z59,MIN(AQ$6-$G$3,22))&lt;&gt;""),'Feijão 1ª safra'!$E59:INDEX('Feijão 1ª safra'!$E59:$Z59,MIN(AQ$6-$G$3,22))),0)))))</f>
        <v>0</v>
      </c>
      <c r="AR61" s="27" t="n">
        <f aca="false">IF(COUNT('Feijão 1ª safra'!$E59:$Z59)=0,0,MAX(0,IF((AR$6-$E$3)&lt;1,0,IFERROR(LOOKUP(2,1/('Feijão 1ª safra'!$E59:INDEX('Feijão 1ª safra'!$E59:$Z59,MIN(AR$6-$E$3,22))&lt;&gt;""),'Feijão 1ª safra'!$E59:INDEX('Feijão 1ª safra'!$E59:$Z59,MIN(AR$6-$E$3,22))),0))-IF($G$2,0,IF((AR$6-$G$3)&lt;1,0,IFERROR(LOOKUP(2,1/('Feijão 1ª safra'!$E59:INDEX('Feijão 1ª safra'!$E59:$Z59,MIN(AR$6-$G$3,22))&lt;&gt;""),'Feijão 1ª safra'!$E59:INDEX('Feijão 1ª safra'!$E59:$Z59,MIN(AR$6-$G$3,22))),0)))))</f>
        <v>0</v>
      </c>
      <c r="AS61" s="27" t="n">
        <f aca="false">IF(COUNT('Feijão 1ª safra'!$E59:$Z59)=0,0,MAX(0,IF((AS$6-$E$3)&lt;1,0,IFERROR(LOOKUP(2,1/('Feijão 1ª safra'!$E59:INDEX('Feijão 1ª safra'!$E59:$Z59,MIN(AS$6-$E$3,22))&lt;&gt;""),'Feijão 1ª safra'!$E59:INDEX('Feijão 1ª safra'!$E59:$Z59,MIN(AS$6-$E$3,22))),0))-IF($G$2,0,IF((AS$6-$G$3)&lt;1,0,IFERROR(LOOKUP(2,1/('Feijão 1ª safra'!$E59:INDEX('Feijão 1ª safra'!$E59:$Z59,MIN(AS$6-$G$3,22))&lt;&gt;""),'Feijão 1ª safra'!$E59:INDEX('Feijão 1ª safra'!$E59:$Z59,MIN(AS$6-$G$3,22))),0)))))</f>
        <v>0</v>
      </c>
      <c r="AT61" s="27" t="n">
        <f aca="false">IF(COUNT('Feijão 1ª safra'!$E59:$Z59)=0,0,MAX(0,IF((AT$6-$E$3)&lt;1,0,IFERROR(LOOKUP(2,1/('Feijão 1ª safra'!$E59:INDEX('Feijão 1ª safra'!$E59:$Z59,MIN(AT$6-$E$3,22))&lt;&gt;""),'Feijão 1ª safra'!$E59:INDEX('Feijão 1ª safra'!$E59:$Z59,MIN(AT$6-$E$3,22))),0))-IF($G$2,0,IF((AT$6-$G$3)&lt;1,0,IFERROR(LOOKUP(2,1/('Feijão 1ª safra'!$E59:INDEX('Feijão 1ª safra'!$E59:$Z59,MIN(AT$6-$G$3,22))&lt;&gt;""),'Feijão 1ª safra'!$E59:INDEX('Feijão 1ª safra'!$E59:$Z59,MIN(AT$6-$G$3,22))),0)))))</f>
        <v>0</v>
      </c>
      <c r="AU61" s="27" t="n">
        <f aca="false">IF(COUNT('Feijão 1ª safra'!$E59:$Z59)=0,0,MAX(0,IF((AU$6-$E$3)&lt;1,0,IFERROR(LOOKUP(2,1/('Feijão 1ª safra'!$E59:INDEX('Feijão 1ª safra'!$E59:$Z59,MIN(AU$6-$E$3,22))&lt;&gt;""),'Feijão 1ª safra'!$E59:INDEX('Feijão 1ª safra'!$E59:$Z59,MIN(AU$6-$E$3,22))),0))-IF($G$2,0,IF((AU$6-$G$3)&lt;1,0,IFERROR(LOOKUP(2,1/('Feijão 1ª safra'!$E59:INDEX('Feijão 1ª safra'!$E59:$Z59,MIN(AU$6-$G$3,22))&lt;&gt;""),'Feijão 1ª safra'!$E59:INDEX('Feijão 1ª safra'!$E59:$Z59,MIN(AU$6-$G$3,22))),0)))))</f>
        <v>0</v>
      </c>
      <c r="AV61" s="27" t="n">
        <f aca="false">IF(COUNT('Feijão 1ª safra'!$E59:$Z59)=0,0,MAX(0,IF((AV$6-$E$3)&lt;1,0,IFERROR(LOOKUP(2,1/('Feijão 1ª safra'!$E59:INDEX('Feijão 1ª safra'!$E59:$Z59,MIN(AV$6-$E$3,22))&lt;&gt;""),'Feijão 1ª safra'!$E59:INDEX('Feijão 1ª safra'!$E59:$Z59,MIN(AV$6-$E$3,22))),0))-IF($G$2,0,IF((AV$6-$G$3)&lt;1,0,IFERROR(LOOKUP(2,1/('Feijão 1ª safra'!$E59:INDEX('Feijão 1ª safra'!$E59:$Z59,MIN(AV$6-$G$3,22))&lt;&gt;""),'Feijão 1ª safra'!$E59:INDEX('Feijão 1ª safra'!$E59:$Z59,MIN(AV$6-$G$3,22))),0)))))</f>
        <v>0</v>
      </c>
      <c r="AW61" s="27" t="n">
        <f aca="false">IF(COUNT('Feijão 1ª safra'!$E59:$Z59)=0,0,MAX(0,IF((AW$6-$E$3)&lt;1,0,IFERROR(LOOKUP(2,1/('Feijão 1ª safra'!$E59:INDEX('Feijão 1ª safra'!$E59:$Z59,MIN(AW$6-$E$3,22))&lt;&gt;""),'Feijão 1ª safra'!$E59:INDEX('Feijão 1ª safra'!$E59:$Z59,MIN(AW$6-$E$3,22))),0))-IF($G$2,0,IF((AW$6-$G$3)&lt;1,0,IFERROR(LOOKUP(2,1/('Feijão 1ª safra'!$E59:INDEX('Feijão 1ª safra'!$E59:$Z59,MIN(AW$6-$G$3,22))&lt;&gt;""),'Feijão 1ª safra'!$E59:INDEX('Feijão 1ª safra'!$E59:$Z59,MIN(AW$6-$G$3,22))),0)))))</f>
        <v>0</v>
      </c>
      <c r="AX61" s="27" t="n">
        <f aca="false">IF(COUNT('Feijão 1ª safra'!$E59:$Z59)=0,0,MAX(0,IF((AX$6-$E$3)&lt;1,0,IFERROR(LOOKUP(2,1/('Feijão 1ª safra'!$E59:INDEX('Feijão 1ª safra'!$E59:$Z59,MIN(AX$6-$E$3,22))&lt;&gt;""),'Feijão 1ª safra'!$E59:INDEX('Feijão 1ª safra'!$E59:$Z59,MIN(AX$6-$E$3,22))),0))-IF($G$2,0,IF((AX$6-$G$3)&lt;1,0,IFERROR(LOOKUP(2,1/('Feijão 1ª safra'!$E59:INDEX('Feijão 1ª safra'!$E59:$Z59,MIN(AX$6-$G$3,22))&lt;&gt;""),'Feijão 1ª safra'!$E59:INDEX('Feijão 1ª safra'!$E59:$Z59,MIN(AX$6-$G$3,22))),0)))))</f>
        <v>0</v>
      </c>
      <c r="AY61" s="27" t="n">
        <f aca="false">IF(COUNT('Feijão 1ª safra'!$E59:$Z59)=0,0,MAX(0,IF((AY$6-$E$3)&lt;1,0,IFERROR(LOOKUP(2,1/('Feijão 1ª safra'!$E59:INDEX('Feijão 1ª safra'!$E59:$Z59,MIN(AY$6-$E$3,22))&lt;&gt;""),'Feijão 1ª safra'!$E59:INDEX('Feijão 1ª safra'!$E59:$Z59,MIN(AY$6-$E$3,22))),0))-IF($G$2,0,IF((AY$6-$G$3)&lt;1,0,IFERROR(LOOKUP(2,1/('Feijão 1ª safra'!$E59:INDEX('Feijão 1ª safra'!$E59:$Z59,MIN(AY$6-$G$3,22))&lt;&gt;""),'Feijão 1ª safra'!$E59:INDEX('Feijão 1ª safra'!$E59:$Z59,MIN(AY$6-$G$3,22))),0)))))</f>
        <v>0</v>
      </c>
      <c r="AZ61" s="27" t="n">
        <f aca="false">IF(COUNT('Feijão 1ª safra'!$E59:$Z59)=0,0,MAX(0,IF((AZ$6-$E$3)&lt;1,0,IFERROR(LOOKUP(2,1/('Feijão 1ª safra'!$E59:INDEX('Feijão 1ª safra'!$E59:$Z59,MIN(AZ$6-$E$3,22))&lt;&gt;""),'Feijão 1ª safra'!$E59:INDEX('Feijão 1ª safra'!$E59:$Z59,MIN(AZ$6-$E$3,22))),0))-IF($G$2,0,IF((AZ$6-$G$3)&lt;1,0,IFERROR(LOOKUP(2,1/('Feijão 1ª safra'!$E59:INDEX('Feijão 1ª safra'!$E59:$Z59,MIN(AZ$6-$G$3,22))&lt;&gt;""),'Feijão 1ª safra'!$E59:INDEX('Feijão 1ª safra'!$E59:$Z59,MIN(AZ$6-$G$3,22))),0)))))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IF(COUNT('Feijão 1ª safra'!$E60:$Z60)&gt;0,N('Feijão 1ª safra'!$D60),0)</f>
        <v>0</v>
      </c>
      <c r="E62" s="27" t="n">
        <f aca="false">IF(COUNT('Feijão 1ª safra'!$E60:$Z60)=0,0,MAX(0,IF((E$6-$E$3)&lt;1,0,IFERROR(LOOKUP(2,1/('Feijão 1ª safra'!$E60:INDEX('Feijão 1ª safra'!$E60:$Z60,MIN(E$6-$E$3,22))&lt;&gt;""),'Feijão 1ª safra'!$E60:INDEX('Feijão 1ª safra'!$E60:$Z60,MIN(E$6-$E$3,22))),0))-IF($G$2,0,IF((E$6-$G$3)&lt;1,0,IFERROR(LOOKUP(2,1/('Feijão 1ª safra'!$E60:INDEX('Feijão 1ª safra'!$E60:$Z60,MIN(E$6-$G$3,22))&lt;&gt;""),'Feijão 1ª safra'!$E60:INDEX('Feijão 1ª safra'!$E60:$Z60,MIN(E$6-$G$3,22))),0)))))</f>
        <v>0</v>
      </c>
      <c r="F62" s="27" t="n">
        <f aca="false">IF(COUNT('Feijão 1ª safra'!$E60:$Z60)=0,0,MAX(0,IF((F$6-$E$3)&lt;1,0,IFERROR(LOOKUP(2,1/('Feijão 1ª safra'!$E60:INDEX('Feijão 1ª safra'!$E60:$Z60,MIN(F$6-$E$3,22))&lt;&gt;""),'Feijão 1ª safra'!$E60:INDEX('Feijão 1ª safra'!$E60:$Z60,MIN(F$6-$E$3,22))),0))-IF($G$2,0,IF((F$6-$G$3)&lt;1,0,IFERROR(LOOKUP(2,1/('Feijão 1ª safra'!$E60:INDEX('Feijão 1ª safra'!$E60:$Z60,MIN(F$6-$G$3,22))&lt;&gt;""),'Feijão 1ª safra'!$E60:INDEX('Feijão 1ª safra'!$E60:$Z60,MIN(F$6-$G$3,22))),0)))))</f>
        <v>0</v>
      </c>
      <c r="G62" s="27" t="n">
        <f aca="false">IF(COUNT('Feijão 1ª safra'!$E60:$Z60)=0,0,MAX(0,IF((G$6-$E$3)&lt;1,0,IFERROR(LOOKUP(2,1/('Feijão 1ª safra'!$E60:INDEX('Feijão 1ª safra'!$E60:$Z60,MIN(G$6-$E$3,22))&lt;&gt;""),'Feijão 1ª safra'!$E60:INDEX('Feijão 1ª safra'!$E60:$Z60,MIN(G$6-$E$3,22))),0))-IF($G$2,0,IF((G$6-$G$3)&lt;1,0,IFERROR(LOOKUP(2,1/('Feijão 1ª safra'!$E60:INDEX('Feijão 1ª safra'!$E60:$Z60,MIN(G$6-$G$3,22))&lt;&gt;""),'Feijão 1ª safra'!$E60:INDEX('Feijão 1ª safra'!$E60:$Z60,MIN(G$6-$G$3,22))),0)))))</f>
        <v>0</v>
      </c>
      <c r="H62" s="27" t="n">
        <f aca="false">IF(COUNT('Feijão 1ª safra'!$E60:$Z60)=0,0,MAX(0,IF((H$6-$E$3)&lt;1,0,IFERROR(LOOKUP(2,1/('Feijão 1ª safra'!$E60:INDEX('Feijão 1ª safra'!$E60:$Z60,MIN(H$6-$E$3,22))&lt;&gt;""),'Feijão 1ª safra'!$E60:INDEX('Feijão 1ª safra'!$E60:$Z60,MIN(H$6-$E$3,22))),0))-IF($G$2,0,IF((H$6-$G$3)&lt;1,0,IFERROR(LOOKUP(2,1/('Feijão 1ª safra'!$E60:INDEX('Feijão 1ª safra'!$E60:$Z60,MIN(H$6-$G$3,22))&lt;&gt;""),'Feijão 1ª safra'!$E60:INDEX('Feijão 1ª safra'!$E60:$Z60,MIN(H$6-$G$3,22))),0)))))</f>
        <v>0</v>
      </c>
      <c r="I62" s="27" t="n">
        <f aca="false">IF(COUNT('Feijão 1ª safra'!$E60:$Z60)=0,0,MAX(0,IF((I$6-$E$3)&lt;1,0,IFERROR(LOOKUP(2,1/('Feijão 1ª safra'!$E60:INDEX('Feijão 1ª safra'!$E60:$Z60,MIN(I$6-$E$3,22))&lt;&gt;""),'Feijão 1ª safra'!$E60:INDEX('Feijão 1ª safra'!$E60:$Z60,MIN(I$6-$E$3,22))),0))-IF($G$2,0,IF((I$6-$G$3)&lt;1,0,IFERROR(LOOKUP(2,1/('Feijão 1ª safra'!$E60:INDEX('Feijão 1ª safra'!$E60:$Z60,MIN(I$6-$G$3,22))&lt;&gt;""),'Feijão 1ª safra'!$E60:INDEX('Feijão 1ª safra'!$E60:$Z60,MIN(I$6-$G$3,22))),0)))))</f>
        <v>0</v>
      </c>
      <c r="J62" s="27" t="n">
        <f aca="false">IF(COUNT('Feijão 1ª safra'!$E60:$Z60)=0,0,MAX(0,IF((J$6-$E$3)&lt;1,0,IFERROR(LOOKUP(2,1/('Feijão 1ª safra'!$E60:INDEX('Feijão 1ª safra'!$E60:$Z60,MIN(J$6-$E$3,22))&lt;&gt;""),'Feijão 1ª safra'!$E60:INDEX('Feijão 1ª safra'!$E60:$Z60,MIN(J$6-$E$3,22))),0))-IF($G$2,0,IF((J$6-$G$3)&lt;1,0,IFERROR(LOOKUP(2,1/('Feijão 1ª safra'!$E60:INDEX('Feijão 1ª safra'!$E60:$Z60,MIN(J$6-$G$3,22))&lt;&gt;""),'Feijão 1ª safra'!$E60:INDEX('Feijão 1ª safra'!$E60:$Z60,MIN(J$6-$G$3,22))),0)))))</f>
        <v>0</v>
      </c>
      <c r="K62" s="27" t="n">
        <f aca="false">IF(COUNT('Feijão 1ª safra'!$E60:$Z60)=0,0,MAX(0,IF((K$6-$E$3)&lt;1,0,IFERROR(LOOKUP(2,1/('Feijão 1ª safra'!$E60:INDEX('Feijão 1ª safra'!$E60:$Z60,MIN(K$6-$E$3,22))&lt;&gt;""),'Feijão 1ª safra'!$E60:INDEX('Feijão 1ª safra'!$E60:$Z60,MIN(K$6-$E$3,22))),0))-IF($G$2,0,IF((K$6-$G$3)&lt;1,0,IFERROR(LOOKUP(2,1/('Feijão 1ª safra'!$E60:INDEX('Feijão 1ª safra'!$E60:$Z60,MIN(K$6-$G$3,22))&lt;&gt;""),'Feijão 1ª safra'!$E60:INDEX('Feijão 1ª safra'!$E60:$Z60,MIN(K$6-$G$3,22))),0)))))</f>
        <v>0</v>
      </c>
      <c r="L62" s="27" t="n">
        <f aca="false">IF(COUNT('Feijão 1ª safra'!$E60:$Z60)=0,0,MAX(0,IF((L$6-$E$3)&lt;1,0,IFERROR(LOOKUP(2,1/('Feijão 1ª safra'!$E60:INDEX('Feijão 1ª safra'!$E60:$Z60,MIN(L$6-$E$3,22))&lt;&gt;""),'Feijão 1ª safra'!$E60:INDEX('Feijão 1ª safra'!$E60:$Z60,MIN(L$6-$E$3,22))),0))-IF($G$2,0,IF((L$6-$G$3)&lt;1,0,IFERROR(LOOKUP(2,1/('Feijão 1ª safra'!$E60:INDEX('Feijão 1ª safra'!$E60:$Z60,MIN(L$6-$G$3,22))&lt;&gt;""),'Feijão 1ª safra'!$E60:INDEX('Feijão 1ª safra'!$E60:$Z60,MIN(L$6-$G$3,22))),0)))))</f>
        <v>0</v>
      </c>
      <c r="M62" s="27" t="n">
        <f aca="false">IF(COUNT('Feijão 1ª safra'!$E60:$Z60)=0,0,MAX(0,IF((M$6-$E$3)&lt;1,0,IFERROR(LOOKUP(2,1/('Feijão 1ª safra'!$E60:INDEX('Feijão 1ª safra'!$E60:$Z60,MIN(M$6-$E$3,22))&lt;&gt;""),'Feijão 1ª safra'!$E60:INDEX('Feijão 1ª safra'!$E60:$Z60,MIN(M$6-$E$3,22))),0))-IF($G$2,0,IF((M$6-$G$3)&lt;1,0,IFERROR(LOOKUP(2,1/('Feijão 1ª safra'!$E60:INDEX('Feijão 1ª safra'!$E60:$Z60,MIN(M$6-$G$3,22))&lt;&gt;""),'Feijão 1ª safra'!$E60:INDEX('Feijão 1ª safra'!$E60:$Z60,MIN(M$6-$G$3,22))),0)))))</f>
        <v>0</v>
      </c>
      <c r="N62" s="27" t="n">
        <f aca="false">IF(COUNT('Feijão 1ª safra'!$E60:$Z60)=0,0,MAX(0,IF((N$6-$E$3)&lt;1,0,IFERROR(LOOKUP(2,1/('Feijão 1ª safra'!$E60:INDEX('Feijão 1ª safra'!$E60:$Z60,MIN(N$6-$E$3,22))&lt;&gt;""),'Feijão 1ª safra'!$E60:INDEX('Feijão 1ª safra'!$E60:$Z60,MIN(N$6-$E$3,22))),0))-IF($G$2,0,IF((N$6-$G$3)&lt;1,0,IFERROR(LOOKUP(2,1/('Feijão 1ª safra'!$E60:INDEX('Feijão 1ª safra'!$E60:$Z60,MIN(N$6-$G$3,22))&lt;&gt;""),'Feijão 1ª safra'!$E60:INDEX('Feijão 1ª safra'!$E60:$Z60,MIN(N$6-$G$3,22))),0)))))</f>
        <v>0</v>
      </c>
      <c r="O62" s="27" t="n">
        <f aca="false">IF(COUNT('Feijão 1ª safra'!$E60:$Z60)=0,0,MAX(0,IF((O$6-$E$3)&lt;1,0,IFERROR(LOOKUP(2,1/('Feijão 1ª safra'!$E60:INDEX('Feijão 1ª safra'!$E60:$Z60,MIN(O$6-$E$3,22))&lt;&gt;""),'Feijão 1ª safra'!$E60:INDEX('Feijão 1ª safra'!$E60:$Z60,MIN(O$6-$E$3,22))),0))-IF($G$2,0,IF((O$6-$G$3)&lt;1,0,IFERROR(LOOKUP(2,1/('Feijão 1ª safra'!$E60:INDEX('Feijão 1ª safra'!$E60:$Z60,MIN(O$6-$G$3,22))&lt;&gt;""),'Feijão 1ª safra'!$E60:INDEX('Feijão 1ª safra'!$E60:$Z60,MIN(O$6-$G$3,22))),0)))))</f>
        <v>0</v>
      </c>
      <c r="P62" s="27" t="n">
        <f aca="false">IF(COUNT('Feijão 1ª safra'!$E60:$Z60)=0,0,MAX(0,IF((P$6-$E$3)&lt;1,0,IFERROR(LOOKUP(2,1/('Feijão 1ª safra'!$E60:INDEX('Feijão 1ª safra'!$E60:$Z60,MIN(P$6-$E$3,22))&lt;&gt;""),'Feijão 1ª safra'!$E60:INDEX('Feijão 1ª safra'!$E60:$Z60,MIN(P$6-$E$3,22))),0))-IF($G$2,0,IF((P$6-$G$3)&lt;1,0,IFERROR(LOOKUP(2,1/('Feijão 1ª safra'!$E60:INDEX('Feijão 1ª safra'!$E60:$Z60,MIN(P$6-$G$3,22))&lt;&gt;""),'Feijão 1ª safra'!$E60:INDEX('Feijão 1ª safra'!$E60:$Z60,MIN(P$6-$G$3,22))),0)))))</f>
        <v>0</v>
      </c>
      <c r="Q62" s="27" t="n">
        <f aca="false">IF(COUNT('Feijão 1ª safra'!$E60:$Z60)=0,0,MAX(0,IF((Q$6-$E$3)&lt;1,0,IFERROR(LOOKUP(2,1/('Feijão 1ª safra'!$E60:INDEX('Feijão 1ª safra'!$E60:$Z60,MIN(Q$6-$E$3,22))&lt;&gt;""),'Feijão 1ª safra'!$E60:INDEX('Feijão 1ª safra'!$E60:$Z60,MIN(Q$6-$E$3,22))),0))-IF($G$2,0,IF((Q$6-$G$3)&lt;1,0,IFERROR(LOOKUP(2,1/('Feijão 1ª safra'!$E60:INDEX('Feijão 1ª safra'!$E60:$Z60,MIN(Q$6-$G$3,22))&lt;&gt;""),'Feijão 1ª safra'!$E60:INDEX('Feijão 1ª safra'!$E60:$Z60,MIN(Q$6-$G$3,22))),0)))))</f>
        <v>0</v>
      </c>
      <c r="R62" s="27" t="n">
        <f aca="false">IF(COUNT('Feijão 1ª safra'!$E60:$Z60)=0,0,MAX(0,IF((R$6-$E$3)&lt;1,0,IFERROR(LOOKUP(2,1/('Feijão 1ª safra'!$E60:INDEX('Feijão 1ª safra'!$E60:$Z60,MIN(R$6-$E$3,22))&lt;&gt;""),'Feijão 1ª safra'!$E60:INDEX('Feijão 1ª safra'!$E60:$Z60,MIN(R$6-$E$3,22))),0))-IF($G$2,0,IF((R$6-$G$3)&lt;1,0,IFERROR(LOOKUP(2,1/('Feijão 1ª safra'!$E60:INDEX('Feijão 1ª safra'!$E60:$Z60,MIN(R$6-$G$3,22))&lt;&gt;""),'Feijão 1ª safra'!$E60:INDEX('Feijão 1ª safra'!$E60:$Z60,MIN(R$6-$G$3,22))),0)))))</f>
        <v>0</v>
      </c>
      <c r="S62" s="27" t="n">
        <f aca="false">IF(COUNT('Feijão 1ª safra'!$E60:$Z60)=0,0,MAX(0,IF((S$6-$E$3)&lt;1,0,IFERROR(LOOKUP(2,1/('Feijão 1ª safra'!$E60:INDEX('Feijão 1ª safra'!$E60:$Z60,MIN(S$6-$E$3,22))&lt;&gt;""),'Feijão 1ª safra'!$E60:INDEX('Feijão 1ª safra'!$E60:$Z60,MIN(S$6-$E$3,22))),0))-IF($G$2,0,IF((S$6-$G$3)&lt;1,0,IFERROR(LOOKUP(2,1/('Feijão 1ª safra'!$E60:INDEX('Feijão 1ª safra'!$E60:$Z60,MIN(S$6-$G$3,22))&lt;&gt;""),'Feijão 1ª safra'!$E60:INDEX('Feijão 1ª safra'!$E60:$Z60,MIN(S$6-$G$3,22))),0)))))</f>
        <v>0</v>
      </c>
      <c r="T62" s="27" t="n">
        <f aca="false">IF(COUNT('Feijão 1ª safra'!$E60:$Z60)=0,0,MAX(0,IF((T$6-$E$3)&lt;1,0,IFERROR(LOOKUP(2,1/('Feijão 1ª safra'!$E60:INDEX('Feijão 1ª safra'!$E60:$Z60,MIN(T$6-$E$3,22))&lt;&gt;""),'Feijão 1ª safra'!$E60:INDEX('Feijão 1ª safra'!$E60:$Z60,MIN(T$6-$E$3,22))),0))-IF($G$2,0,IF((T$6-$G$3)&lt;1,0,IFERROR(LOOKUP(2,1/('Feijão 1ª safra'!$E60:INDEX('Feijão 1ª safra'!$E60:$Z60,MIN(T$6-$G$3,22))&lt;&gt;""),'Feijão 1ª safra'!$E60:INDEX('Feijão 1ª safra'!$E60:$Z60,MIN(T$6-$G$3,22))),0)))))</f>
        <v>0</v>
      </c>
      <c r="U62" s="27" t="n">
        <f aca="false">IF(COUNT('Feijão 1ª safra'!$E60:$Z60)=0,0,MAX(0,IF((U$6-$E$3)&lt;1,0,IFERROR(LOOKUP(2,1/('Feijão 1ª safra'!$E60:INDEX('Feijão 1ª safra'!$E60:$Z60,MIN(U$6-$E$3,22))&lt;&gt;""),'Feijão 1ª safra'!$E60:INDEX('Feijão 1ª safra'!$E60:$Z60,MIN(U$6-$E$3,22))),0))-IF($G$2,0,IF((U$6-$G$3)&lt;1,0,IFERROR(LOOKUP(2,1/('Feijão 1ª safra'!$E60:INDEX('Feijão 1ª safra'!$E60:$Z60,MIN(U$6-$G$3,22))&lt;&gt;""),'Feijão 1ª safra'!$E60:INDEX('Feijão 1ª safra'!$E60:$Z60,MIN(U$6-$G$3,22))),0)))))</f>
        <v>0</v>
      </c>
      <c r="V62" s="27" t="n">
        <f aca="false">IF(COUNT('Feijão 1ª safra'!$E60:$Z60)=0,0,MAX(0,IF((V$6-$E$3)&lt;1,0,IFERROR(LOOKUP(2,1/('Feijão 1ª safra'!$E60:INDEX('Feijão 1ª safra'!$E60:$Z60,MIN(V$6-$E$3,22))&lt;&gt;""),'Feijão 1ª safra'!$E60:INDEX('Feijão 1ª safra'!$E60:$Z60,MIN(V$6-$E$3,22))),0))-IF($G$2,0,IF((V$6-$G$3)&lt;1,0,IFERROR(LOOKUP(2,1/('Feijão 1ª safra'!$E60:INDEX('Feijão 1ª safra'!$E60:$Z60,MIN(V$6-$G$3,22))&lt;&gt;""),'Feijão 1ª safra'!$E60:INDEX('Feijão 1ª safra'!$E60:$Z60,MIN(V$6-$G$3,22))),0)))))</f>
        <v>0</v>
      </c>
      <c r="W62" s="27" t="n">
        <f aca="false">IF(COUNT('Feijão 1ª safra'!$E60:$Z60)=0,0,MAX(0,IF((W$6-$E$3)&lt;1,0,IFERROR(LOOKUP(2,1/('Feijão 1ª safra'!$E60:INDEX('Feijão 1ª safra'!$E60:$Z60,MIN(W$6-$E$3,22))&lt;&gt;""),'Feijão 1ª safra'!$E60:INDEX('Feijão 1ª safra'!$E60:$Z60,MIN(W$6-$E$3,22))),0))-IF($G$2,0,IF((W$6-$G$3)&lt;1,0,IFERROR(LOOKUP(2,1/('Feijão 1ª safra'!$E60:INDEX('Feijão 1ª safra'!$E60:$Z60,MIN(W$6-$G$3,22))&lt;&gt;""),'Feijão 1ª safra'!$E60:INDEX('Feijão 1ª safra'!$E60:$Z60,MIN(W$6-$G$3,22))),0)))))</f>
        <v>0</v>
      </c>
      <c r="X62" s="27" t="n">
        <f aca="false">IF(COUNT('Feijão 1ª safra'!$E60:$Z60)=0,0,MAX(0,IF((X$6-$E$3)&lt;1,0,IFERROR(LOOKUP(2,1/('Feijão 1ª safra'!$E60:INDEX('Feijão 1ª safra'!$E60:$Z60,MIN(X$6-$E$3,22))&lt;&gt;""),'Feijão 1ª safra'!$E60:INDEX('Feijão 1ª safra'!$E60:$Z60,MIN(X$6-$E$3,22))),0))-IF($G$2,0,IF((X$6-$G$3)&lt;1,0,IFERROR(LOOKUP(2,1/('Feijão 1ª safra'!$E60:INDEX('Feijão 1ª safra'!$E60:$Z60,MIN(X$6-$G$3,22))&lt;&gt;""),'Feijão 1ª safra'!$E60:INDEX('Feijão 1ª safra'!$E60:$Z60,MIN(X$6-$G$3,22))),0)))))</f>
        <v>0</v>
      </c>
      <c r="Y62" s="27" t="n">
        <f aca="false">IF(COUNT('Feijão 1ª safra'!$E60:$Z60)=0,0,MAX(0,IF((Y$6-$E$3)&lt;1,0,IFERROR(LOOKUP(2,1/('Feijão 1ª safra'!$E60:INDEX('Feijão 1ª safra'!$E60:$Z60,MIN(Y$6-$E$3,22))&lt;&gt;""),'Feijão 1ª safra'!$E60:INDEX('Feijão 1ª safra'!$E60:$Z60,MIN(Y$6-$E$3,22))),0))-IF($G$2,0,IF((Y$6-$G$3)&lt;1,0,IFERROR(LOOKUP(2,1/('Feijão 1ª safra'!$E60:INDEX('Feijão 1ª safra'!$E60:$Z60,MIN(Y$6-$G$3,22))&lt;&gt;""),'Feijão 1ª safra'!$E60:INDEX('Feijão 1ª safra'!$E60:$Z60,MIN(Y$6-$G$3,22))),0)))))</f>
        <v>0</v>
      </c>
      <c r="Z62" s="27" t="n">
        <f aca="false">IF(COUNT('Feijão 1ª safra'!$E60:$Z60)=0,0,MAX(0,IF((Z$6-$E$3)&lt;1,0,IFERROR(LOOKUP(2,1/('Feijão 1ª safra'!$E60:INDEX('Feijão 1ª safra'!$E60:$Z60,MIN(Z$6-$E$3,22))&lt;&gt;""),'Feijão 1ª safra'!$E60:INDEX('Feijão 1ª safra'!$E60:$Z60,MIN(Z$6-$E$3,22))),0))-IF($G$2,0,IF((Z$6-$G$3)&lt;1,0,IFERROR(LOOKUP(2,1/('Feijão 1ª safra'!$E60:INDEX('Feijão 1ª safra'!$E60:$Z60,MIN(Z$6-$G$3,22))&lt;&gt;""),'Feijão 1ª safra'!$E60:INDEX('Feijão 1ª safra'!$E60:$Z60,MIN(Z$6-$G$3,22))),0)))))</f>
        <v>0</v>
      </c>
      <c r="AA62" s="27" t="n">
        <f aca="false">IF(COUNT('Feijão 1ª safra'!$E60:$Z60)=0,0,MAX(0,IF((AA$6-$E$3)&lt;1,0,IFERROR(LOOKUP(2,1/('Feijão 1ª safra'!$E60:INDEX('Feijão 1ª safra'!$E60:$Z60,MIN(AA$6-$E$3,22))&lt;&gt;""),'Feijão 1ª safra'!$E60:INDEX('Feijão 1ª safra'!$E60:$Z60,MIN(AA$6-$E$3,22))),0))-IF($G$2,0,IF((AA$6-$G$3)&lt;1,0,IFERROR(LOOKUP(2,1/('Feijão 1ª safra'!$E60:INDEX('Feijão 1ª safra'!$E60:$Z60,MIN(AA$6-$G$3,22))&lt;&gt;""),'Feijão 1ª safra'!$E60:INDEX('Feijão 1ª safra'!$E60:$Z60,MIN(AA$6-$G$3,22))),0)))))</f>
        <v>0</v>
      </c>
      <c r="AB62" s="27" t="n">
        <f aca="false">IF(COUNT('Feijão 1ª safra'!$E60:$Z60)=0,0,MAX(0,IF((AB$6-$E$3)&lt;1,0,IFERROR(LOOKUP(2,1/('Feijão 1ª safra'!$E60:INDEX('Feijão 1ª safra'!$E60:$Z60,MIN(AB$6-$E$3,22))&lt;&gt;""),'Feijão 1ª safra'!$E60:INDEX('Feijão 1ª safra'!$E60:$Z60,MIN(AB$6-$E$3,22))),0))-IF($G$2,0,IF((AB$6-$G$3)&lt;1,0,IFERROR(LOOKUP(2,1/('Feijão 1ª safra'!$E60:INDEX('Feijão 1ª safra'!$E60:$Z60,MIN(AB$6-$G$3,22))&lt;&gt;""),'Feijão 1ª safra'!$E60:INDEX('Feijão 1ª safra'!$E60:$Z60,MIN(AB$6-$G$3,22))),0)))))</f>
        <v>0</v>
      </c>
      <c r="AC62" s="27" t="n">
        <f aca="false">IF(COUNT('Feijão 1ª safra'!$E60:$Z60)=0,0,MAX(0,IF((AC$6-$E$3)&lt;1,0,IFERROR(LOOKUP(2,1/('Feijão 1ª safra'!$E60:INDEX('Feijão 1ª safra'!$E60:$Z60,MIN(AC$6-$E$3,22))&lt;&gt;""),'Feijão 1ª safra'!$E60:INDEX('Feijão 1ª safra'!$E60:$Z60,MIN(AC$6-$E$3,22))),0))-IF($G$2,0,IF((AC$6-$G$3)&lt;1,0,IFERROR(LOOKUP(2,1/('Feijão 1ª safra'!$E60:INDEX('Feijão 1ª safra'!$E60:$Z60,MIN(AC$6-$G$3,22))&lt;&gt;""),'Feijão 1ª safra'!$E60:INDEX('Feijão 1ª safra'!$E60:$Z60,MIN(AC$6-$G$3,22))),0)))))</f>
        <v>0</v>
      </c>
      <c r="AD62" s="27" t="n">
        <f aca="false">IF(COUNT('Feijão 1ª safra'!$E60:$Z60)=0,0,MAX(0,IF((AD$6-$E$3)&lt;1,0,IFERROR(LOOKUP(2,1/('Feijão 1ª safra'!$E60:INDEX('Feijão 1ª safra'!$E60:$Z60,MIN(AD$6-$E$3,22))&lt;&gt;""),'Feijão 1ª safra'!$E60:INDEX('Feijão 1ª safra'!$E60:$Z60,MIN(AD$6-$E$3,22))),0))-IF($G$2,0,IF((AD$6-$G$3)&lt;1,0,IFERROR(LOOKUP(2,1/('Feijão 1ª safra'!$E60:INDEX('Feijão 1ª safra'!$E60:$Z60,MIN(AD$6-$G$3,22))&lt;&gt;""),'Feijão 1ª safra'!$E60:INDEX('Feijão 1ª safra'!$E60:$Z60,MIN(AD$6-$G$3,22))),0)))))</f>
        <v>0</v>
      </c>
      <c r="AE62" s="27" t="n">
        <f aca="false">IF(COUNT('Feijão 1ª safra'!$E60:$Z60)=0,0,MAX(0,IF((AE$6-$E$3)&lt;1,0,IFERROR(LOOKUP(2,1/('Feijão 1ª safra'!$E60:INDEX('Feijão 1ª safra'!$E60:$Z60,MIN(AE$6-$E$3,22))&lt;&gt;""),'Feijão 1ª safra'!$E60:INDEX('Feijão 1ª safra'!$E60:$Z60,MIN(AE$6-$E$3,22))),0))-IF($G$2,0,IF((AE$6-$G$3)&lt;1,0,IFERROR(LOOKUP(2,1/('Feijão 1ª safra'!$E60:INDEX('Feijão 1ª safra'!$E60:$Z60,MIN(AE$6-$G$3,22))&lt;&gt;""),'Feijão 1ª safra'!$E60:INDEX('Feijão 1ª safra'!$E60:$Z60,MIN(AE$6-$G$3,22))),0)))))</f>
        <v>0</v>
      </c>
      <c r="AF62" s="27" t="n">
        <f aca="false">IF(COUNT('Feijão 1ª safra'!$E60:$Z60)=0,0,MAX(0,IF((AF$6-$E$3)&lt;1,0,IFERROR(LOOKUP(2,1/('Feijão 1ª safra'!$E60:INDEX('Feijão 1ª safra'!$E60:$Z60,MIN(AF$6-$E$3,22))&lt;&gt;""),'Feijão 1ª safra'!$E60:INDEX('Feijão 1ª safra'!$E60:$Z60,MIN(AF$6-$E$3,22))),0))-IF($G$2,0,IF((AF$6-$G$3)&lt;1,0,IFERROR(LOOKUP(2,1/('Feijão 1ª safra'!$E60:INDEX('Feijão 1ª safra'!$E60:$Z60,MIN(AF$6-$G$3,22))&lt;&gt;""),'Feijão 1ª safra'!$E60:INDEX('Feijão 1ª safra'!$E60:$Z60,MIN(AF$6-$G$3,22))),0)))))</f>
        <v>0</v>
      </c>
      <c r="AG62" s="27" t="n">
        <f aca="false">IF(COUNT('Feijão 1ª safra'!$E60:$Z60)=0,0,MAX(0,IF((AG$6-$E$3)&lt;1,0,IFERROR(LOOKUP(2,1/('Feijão 1ª safra'!$E60:INDEX('Feijão 1ª safra'!$E60:$Z60,MIN(AG$6-$E$3,22))&lt;&gt;""),'Feijão 1ª safra'!$E60:INDEX('Feijão 1ª safra'!$E60:$Z60,MIN(AG$6-$E$3,22))),0))-IF($G$2,0,IF((AG$6-$G$3)&lt;1,0,IFERROR(LOOKUP(2,1/('Feijão 1ª safra'!$E60:INDEX('Feijão 1ª safra'!$E60:$Z60,MIN(AG$6-$G$3,22))&lt;&gt;""),'Feijão 1ª safra'!$E60:INDEX('Feijão 1ª safra'!$E60:$Z60,MIN(AG$6-$G$3,22))),0)))))</f>
        <v>0</v>
      </c>
      <c r="AH62" s="27" t="n">
        <f aca="false">IF(COUNT('Feijão 1ª safra'!$E60:$Z60)=0,0,MAX(0,IF((AH$6-$E$3)&lt;1,0,IFERROR(LOOKUP(2,1/('Feijão 1ª safra'!$E60:INDEX('Feijão 1ª safra'!$E60:$Z60,MIN(AH$6-$E$3,22))&lt;&gt;""),'Feijão 1ª safra'!$E60:INDEX('Feijão 1ª safra'!$E60:$Z60,MIN(AH$6-$E$3,22))),0))-IF($G$2,0,IF((AH$6-$G$3)&lt;1,0,IFERROR(LOOKUP(2,1/('Feijão 1ª safra'!$E60:INDEX('Feijão 1ª safra'!$E60:$Z60,MIN(AH$6-$G$3,22))&lt;&gt;""),'Feijão 1ª safra'!$E60:INDEX('Feijão 1ª safra'!$E60:$Z60,MIN(AH$6-$G$3,22))),0)))))</f>
        <v>0</v>
      </c>
      <c r="AI62" s="27" t="n">
        <f aca="false">IF(COUNT('Feijão 1ª safra'!$E60:$Z60)=0,0,MAX(0,IF((AI$6-$E$3)&lt;1,0,IFERROR(LOOKUP(2,1/('Feijão 1ª safra'!$E60:INDEX('Feijão 1ª safra'!$E60:$Z60,MIN(AI$6-$E$3,22))&lt;&gt;""),'Feijão 1ª safra'!$E60:INDEX('Feijão 1ª safra'!$E60:$Z60,MIN(AI$6-$E$3,22))),0))-IF($G$2,0,IF((AI$6-$G$3)&lt;1,0,IFERROR(LOOKUP(2,1/('Feijão 1ª safra'!$E60:INDEX('Feijão 1ª safra'!$E60:$Z60,MIN(AI$6-$G$3,22))&lt;&gt;""),'Feijão 1ª safra'!$E60:INDEX('Feijão 1ª safra'!$E60:$Z60,MIN(AI$6-$G$3,22))),0)))))</f>
        <v>0</v>
      </c>
      <c r="AJ62" s="27" t="n">
        <f aca="false">IF(COUNT('Feijão 1ª safra'!$E60:$Z60)=0,0,MAX(0,IF((AJ$6-$E$3)&lt;1,0,IFERROR(LOOKUP(2,1/('Feijão 1ª safra'!$E60:INDEX('Feijão 1ª safra'!$E60:$Z60,MIN(AJ$6-$E$3,22))&lt;&gt;""),'Feijão 1ª safra'!$E60:INDEX('Feijão 1ª safra'!$E60:$Z60,MIN(AJ$6-$E$3,22))),0))-IF($G$2,0,IF((AJ$6-$G$3)&lt;1,0,IFERROR(LOOKUP(2,1/('Feijão 1ª safra'!$E60:INDEX('Feijão 1ª safra'!$E60:$Z60,MIN(AJ$6-$G$3,22))&lt;&gt;""),'Feijão 1ª safra'!$E60:INDEX('Feijão 1ª safra'!$E60:$Z60,MIN(AJ$6-$G$3,22))),0)))))</f>
        <v>0</v>
      </c>
      <c r="AK62" s="27" t="n">
        <f aca="false">IF(COUNT('Feijão 1ª safra'!$E60:$Z60)=0,0,MAX(0,IF((AK$6-$E$3)&lt;1,0,IFERROR(LOOKUP(2,1/('Feijão 1ª safra'!$E60:INDEX('Feijão 1ª safra'!$E60:$Z60,MIN(AK$6-$E$3,22))&lt;&gt;""),'Feijão 1ª safra'!$E60:INDEX('Feijão 1ª safra'!$E60:$Z60,MIN(AK$6-$E$3,22))),0))-IF($G$2,0,IF((AK$6-$G$3)&lt;1,0,IFERROR(LOOKUP(2,1/('Feijão 1ª safra'!$E60:INDEX('Feijão 1ª safra'!$E60:$Z60,MIN(AK$6-$G$3,22))&lt;&gt;""),'Feijão 1ª safra'!$E60:INDEX('Feijão 1ª safra'!$E60:$Z60,MIN(AK$6-$G$3,22))),0)))))</f>
        <v>0</v>
      </c>
      <c r="AL62" s="27" t="n">
        <f aca="false">IF(COUNT('Feijão 1ª safra'!$E60:$Z60)=0,0,MAX(0,IF((AL$6-$E$3)&lt;1,0,IFERROR(LOOKUP(2,1/('Feijão 1ª safra'!$E60:INDEX('Feijão 1ª safra'!$E60:$Z60,MIN(AL$6-$E$3,22))&lt;&gt;""),'Feijão 1ª safra'!$E60:INDEX('Feijão 1ª safra'!$E60:$Z60,MIN(AL$6-$E$3,22))),0))-IF($G$2,0,IF((AL$6-$G$3)&lt;1,0,IFERROR(LOOKUP(2,1/('Feijão 1ª safra'!$E60:INDEX('Feijão 1ª safra'!$E60:$Z60,MIN(AL$6-$G$3,22))&lt;&gt;""),'Feijão 1ª safra'!$E60:INDEX('Feijão 1ª safra'!$E60:$Z60,MIN(AL$6-$G$3,22))),0)))))</f>
        <v>0</v>
      </c>
      <c r="AM62" s="27" t="n">
        <f aca="false">IF(COUNT('Feijão 1ª safra'!$E60:$Z60)=0,0,MAX(0,IF((AM$6-$E$3)&lt;1,0,IFERROR(LOOKUP(2,1/('Feijão 1ª safra'!$E60:INDEX('Feijão 1ª safra'!$E60:$Z60,MIN(AM$6-$E$3,22))&lt;&gt;""),'Feijão 1ª safra'!$E60:INDEX('Feijão 1ª safra'!$E60:$Z60,MIN(AM$6-$E$3,22))),0))-IF($G$2,0,IF((AM$6-$G$3)&lt;1,0,IFERROR(LOOKUP(2,1/('Feijão 1ª safra'!$E60:INDEX('Feijão 1ª safra'!$E60:$Z60,MIN(AM$6-$G$3,22))&lt;&gt;""),'Feijão 1ª safra'!$E60:INDEX('Feijão 1ª safra'!$E60:$Z60,MIN(AM$6-$G$3,22))),0)))))</f>
        <v>0</v>
      </c>
      <c r="AN62" s="27" t="n">
        <f aca="false">IF(COUNT('Feijão 1ª safra'!$E60:$Z60)=0,0,MAX(0,IF((AN$6-$E$3)&lt;1,0,IFERROR(LOOKUP(2,1/('Feijão 1ª safra'!$E60:INDEX('Feijão 1ª safra'!$E60:$Z60,MIN(AN$6-$E$3,22))&lt;&gt;""),'Feijão 1ª safra'!$E60:INDEX('Feijão 1ª safra'!$E60:$Z60,MIN(AN$6-$E$3,22))),0))-IF($G$2,0,IF((AN$6-$G$3)&lt;1,0,IFERROR(LOOKUP(2,1/('Feijão 1ª safra'!$E60:INDEX('Feijão 1ª safra'!$E60:$Z60,MIN(AN$6-$G$3,22))&lt;&gt;""),'Feijão 1ª safra'!$E60:INDEX('Feijão 1ª safra'!$E60:$Z60,MIN(AN$6-$G$3,22))),0)))))</f>
        <v>0</v>
      </c>
      <c r="AO62" s="27" t="n">
        <f aca="false">IF(COUNT('Feijão 1ª safra'!$E60:$Z60)=0,0,MAX(0,IF((AO$6-$E$3)&lt;1,0,IFERROR(LOOKUP(2,1/('Feijão 1ª safra'!$E60:INDEX('Feijão 1ª safra'!$E60:$Z60,MIN(AO$6-$E$3,22))&lt;&gt;""),'Feijão 1ª safra'!$E60:INDEX('Feijão 1ª safra'!$E60:$Z60,MIN(AO$6-$E$3,22))),0))-IF($G$2,0,IF((AO$6-$G$3)&lt;1,0,IFERROR(LOOKUP(2,1/('Feijão 1ª safra'!$E60:INDEX('Feijão 1ª safra'!$E60:$Z60,MIN(AO$6-$G$3,22))&lt;&gt;""),'Feijão 1ª safra'!$E60:INDEX('Feijão 1ª safra'!$E60:$Z60,MIN(AO$6-$G$3,22))),0)))))</f>
        <v>0</v>
      </c>
      <c r="AP62" s="27" t="n">
        <f aca="false">IF(COUNT('Feijão 1ª safra'!$E60:$Z60)=0,0,MAX(0,IF((AP$6-$E$3)&lt;1,0,IFERROR(LOOKUP(2,1/('Feijão 1ª safra'!$E60:INDEX('Feijão 1ª safra'!$E60:$Z60,MIN(AP$6-$E$3,22))&lt;&gt;""),'Feijão 1ª safra'!$E60:INDEX('Feijão 1ª safra'!$E60:$Z60,MIN(AP$6-$E$3,22))),0))-IF($G$2,0,IF((AP$6-$G$3)&lt;1,0,IFERROR(LOOKUP(2,1/('Feijão 1ª safra'!$E60:INDEX('Feijão 1ª safra'!$E60:$Z60,MIN(AP$6-$G$3,22))&lt;&gt;""),'Feijão 1ª safra'!$E60:INDEX('Feijão 1ª safra'!$E60:$Z60,MIN(AP$6-$G$3,22))),0)))))</f>
        <v>0</v>
      </c>
      <c r="AQ62" s="27" t="n">
        <f aca="false">IF(COUNT('Feijão 1ª safra'!$E60:$Z60)=0,0,MAX(0,IF((AQ$6-$E$3)&lt;1,0,IFERROR(LOOKUP(2,1/('Feijão 1ª safra'!$E60:INDEX('Feijão 1ª safra'!$E60:$Z60,MIN(AQ$6-$E$3,22))&lt;&gt;""),'Feijão 1ª safra'!$E60:INDEX('Feijão 1ª safra'!$E60:$Z60,MIN(AQ$6-$E$3,22))),0))-IF($G$2,0,IF((AQ$6-$G$3)&lt;1,0,IFERROR(LOOKUP(2,1/('Feijão 1ª safra'!$E60:INDEX('Feijão 1ª safra'!$E60:$Z60,MIN(AQ$6-$G$3,22))&lt;&gt;""),'Feijão 1ª safra'!$E60:INDEX('Feijão 1ª safra'!$E60:$Z60,MIN(AQ$6-$G$3,22))),0)))))</f>
        <v>0</v>
      </c>
      <c r="AR62" s="27" t="n">
        <f aca="false">IF(COUNT('Feijão 1ª safra'!$E60:$Z60)=0,0,MAX(0,IF((AR$6-$E$3)&lt;1,0,IFERROR(LOOKUP(2,1/('Feijão 1ª safra'!$E60:INDEX('Feijão 1ª safra'!$E60:$Z60,MIN(AR$6-$E$3,22))&lt;&gt;""),'Feijão 1ª safra'!$E60:INDEX('Feijão 1ª safra'!$E60:$Z60,MIN(AR$6-$E$3,22))),0))-IF($G$2,0,IF((AR$6-$G$3)&lt;1,0,IFERROR(LOOKUP(2,1/('Feijão 1ª safra'!$E60:INDEX('Feijão 1ª safra'!$E60:$Z60,MIN(AR$6-$G$3,22))&lt;&gt;""),'Feijão 1ª safra'!$E60:INDEX('Feijão 1ª safra'!$E60:$Z60,MIN(AR$6-$G$3,22))),0)))))</f>
        <v>0</v>
      </c>
      <c r="AS62" s="27" t="n">
        <f aca="false">IF(COUNT('Feijão 1ª safra'!$E60:$Z60)=0,0,MAX(0,IF((AS$6-$E$3)&lt;1,0,IFERROR(LOOKUP(2,1/('Feijão 1ª safra'!$E60:INDEX('Feijão 1ª safra'!$E60:$Z60,MIN(AS$6-$E$3,22))&lt;&gt;""),'Feijão 1ª safra'!$E60:INDEX('Feijão 1ª safra'!$E60:$Z60,MIN(AS$6-$E$3,22))),0))-IF($G$2,0,IF((AS$6-$G$3)&lt;1,0,IFERROR(LOOKUP(2,1/('Feijão 1ª safra'!$E60:INDEX('Feijão 1ª safra'!$E60:$Z60,MIN(AS$6-$G$3,22))&lt;&gt;""),'Feijão 1ª safra'!$E60:INDEX('Feijão 1ª safra'!$E60:$Z60,MIN(AS$6-$G$3,22))),0)))))</f>
        <v>0</v>
      </c>
      <c r="AT62" s="27" t="n">
        <f aca="false">IF(COUNT('Feijão 1ª safra'!$E60:$Z60)=0,0,MAX(0,IF((AT$6-$E$3)&lt;1,0,IFERROR(LOOKUP(2,1/('Feijão 1ª safra'!$E60:INDEX('Feijão 1ª safra'!$E60:$Z60,MIN(AT$6-$E$3,22))&lt;&gt;""),'Feijão 1ª safra'!$E60:INDEX('Feijão 1ª safra'!$E60:$Z60,MIN(AT$6-$E$3,22))),0))-IF($G$2,0,IF((AT$6-$G$3)&lt;1,0,IFERROR(LOOKUP(2,1/('Feijão 1ª safra'!$E60:INDEX('Feijão 1ª safra'!$E60:$Z60,MIN(AT$6-$G$3,22))&lt;&gt;""),'Feijão 1ª safra'!$E60:INDEX('Feijão 1ª safra'!$E60:$Z60,MIN(AT$6-$G$3,22))),0)))))</f>
        <v>0</v>
      </c>
      <c r="AU62" s="27" t="n">
        <f aca="false">IF(COUNT('Feijão 1ª safra'!$E60:$Z60)=0,0,MAX(0,IF((AU$6-$E$3)&lt;1,0,IFERROR(LOOKUP(2,1/('Feijão 1ª safra'!$E60:INDEX('Feijão 1ª safra'!$E60:$Z60,MIN(AU$6-$E$3,22))&lt;&gt;""),'Feijão 1ª safra'!$E60:INDEX('Feijão 1ª safra'!$E60:$Z60,MIN(AU$6-$E$3,22))),0))-IF($G$2,0,IF((AU$6-$G$3)&lt;1,0,IFERROR(LOOKUP(2,1/('Feijão 1ª safra'!$E60:INDEX('Feijão 1ª safra'!$E60:$Z60,MIN(AU$6-$G$3,22))&lt;&gt;""),'Feijão 1ª safra'!$E60:INDEX('Feijão 1ª safra'!$E60:$Z60,MIN(AU$6-$G$3,22))),0)))))</f>
        <v>0</v>
      </c>
      <c r="AV62" s="27" t="n">
        <f aca="false">IF(COUNT('Feijão 1ª safra'!$E60:$Z60)=0,0,MAX(0,IF((AV$6-$E$3)&lt;1,0,IFERROR(LOOKUP(2,1/('Feijão 1ª safra'!$E60:INDEX('Feijão 1ª safra'!$E60:$Z60,MIN(AV$6-$E$3,22))&lt;&gt;""),'Feijão 1ª safra'!$E60:INDEX('Feijão 1ª safra'!$E60:$Z60,MIN(AV$6-$E$3,22))),0))-IF($G$2,0,IF((AV$6-$G$3)&lt;1,0,IFERROR(LOOKUP(2,1/('Feijão 1ª safra'!$E60:INDEX('Feijão 1ª safra'!$E60:$Z60,MIN(AV$6-$G$3,22))&lt;&gt;""),'Feijão 1ª safra'!$E60:INDEX('Feijão 1ª safra'!$E60:$Z60,MIN(AV$6-$G$3,22))),0)))))</f>
        <v>0</v>
      </c>
      <c r="AW62" s="27" t="n">
        <f aca="false">IF(COUNT('Feijão 1ª safra'!$E60:$Z60)=0,0,MAX(0,IF((AW$6-$E$3)&lt;1,0,IFERROR(LOOKUP(2,1/('Feijão 1ª safra'!$E60:INDEX('Feijão 1ª safra'!$E60:$Z60,MIN(AW$6-$E$3,22))&lt;&gt;""),'Feijão 1ª safra'!$E60:INDEX('Feijão 1ª safra'!$E60:$Z60,MIN(AW$6-$E$3,22))),0))-IF($G$2,0,IF((AW$6-$G$3)&lt;1,0,IFERROR(LOOKUP(2,1/('Feijão 1ª safra'!$E60:INDEX('Feijão 1ª safra'!$E60:$Z60,MIN(AW$6-$G$3,22))&lt;&gt;""),'Feijão 1ª safra'!$E60:INDEX('Feijão 1ª safra'!$E60:$Z60,MIN(AW$6-$G$3,22))),0)))))</f>
        <v>0</v>
      </c>
      <c r="AX62" s="27" t="n">
        <f aca="false">IF(COUNT('Feijão 1ª safra'!$E60:$Z60)=0,0,MAX(0,IF((AX$6-$E$3)&lt;1,0,IFERROR(LOOKUP(2,1/('Feijão 1ª safra'!$E60:INDEX('Feijão 1ª safra'!$E60:$Z60,MIN(AX$6-$E$3,22))&lt;&gt;""),'Feijão 1ª safra'!$E60:INDEX('Feijão 1ª safra'!$E60:$Z60,MIN(AX$6-$E$3,22))),0))-IF($G$2,0,IF((AX$6-$G$3)&lt;1,0,IFERROR(LOOKUP(2,1/('Feijão 1ª safra'!$E60:INDEX('Feijão 1ª safra'!$E60:$Z60,MIN(AX$6-$G$3,22))&lt;&gt;""),'Feijão 1ª safra'!$E60:INDEX('Feijão 1ª safra'!$E60:$Z60,MIN(AX$6-$G$3,22))),0)))))</f>
        <v>0</v>
      </c>
      <c r="AY62" s="27" t="n">
        <f aca="false">IF(COUNT('Feijão 1ª safra'!$E60:$Z60)=0,0,MAX(0,IF((AY$6-$E$3)&lt;1,0,IFERROR(LOOKUP(2,1/('Feijão 1ª safra'!$E60:INDEX('Feijão 1ª safra'!$E60:$Z60,MIN(AY$6-$E$3,22))&lt;&gt;""),'Feijão 1ª safra'!$E60:INDEX('Feijão 1ª safra'!$E60:$Z60,MIN(AY$6-$E$3,22))),0))-IF($G$2,0,IF((AY$6-$G$3)&lt;1,0,IFERROR(LOOKUP(2,1/('Feijão 1ª safra'!$E60:INDEX('Feijão 1ª safra'!$E60:$Z60,MIN(AY$6-$G$3,22))&lt;&gt;""),'Feijão 1ª safra'!$E60:INDEX('Feijão 1ª safra'!$E60:$Z60,MIN(AY$6-$G$3,22))),0)))))</f>
        <v>0</v>
      </c>
      <c r="AZ62" s="27" t="n">
        <f aca="false">IF(COUNT('Feijão 1ª safra'!$E60:$Z60)=0,0,MAX(0,IF((AZ$6-$E$3)&lt;1,0,IFERROR(LOOKUP(2,1/('Feijão 1ª safra'!$E60:INDEX('Feijão 1ª safra'!$E60:$Z60,MIN(AZ$6-$E$3,22))&lt;&gt;""),'Feijão 1ª safra'!$E60:INDEX('Feijão 1ª safra'!$E60:$Z60,MIN(AZ$6-$E$3,22))),0))-IF($G$2,0,IF((AZ$6-$G$3)&lt;1,0,IFERROR(LOOKUP(2,1/('Feijão 1ª safra'!$E60:INDEX('Feijão 1ª safra'!$E60:$Z60,MIN(AZ$6-$G$3,22))&lt;&gt;""),'Feijão 1ª safra'!$E60:INDEX('Feijão 1ª safra'!$E60:$Z60,MIN(AZ$6-$G$3,22))),0)))))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IF(COUNT('Feijão 1ª safra'!$E61:$Z61)&gt;0,N('Feijão 1ª safra'!$D61),0)</f>
        <v>0</v>
      </c>
      <c r="E63" s="27" t="n">
        <f aca="false">IF(COUNT('Feijão 1ª safra'!$E61:$Z61)=0,0,MAX(0,IF((E$6-$E$3)&lt;1,0,IFERROR(LOOKUP(2,1/('Feijão 1ª safra'!$E61:INDEX('Feijão 1ª safra'!$E61:$Z61,MIN(E$6-$E$3,22))&lt;&gt;""),'Feijão 1ª safra'!$E61:INDEX('Feijão 1ª safra'!$E61:$Z61,MIN(E$6-$E$3,22))),0))-IF($G$2,0,IF((E$6-$G$3)&lt;1,0,IFERROR(LOOKUP(2,1/('Feijão 1ª safra'!$E61:INDEX('Feijão 1ª safra'!$E61:$Z61,MIN(E$6-$G$3,22))&lt;&gt;""),'Feijão 1ª safra'!$E61:INDEX('Feijão 1ª safra'!$E61:$Z61,MIN(E$6-$G$3,22))),0)))))</f>
        <v>0</v>
      </c>
      <c r="F63" s="27" t="n">
        <f aca="false">IF(COUNT('Feijão 1ª safra'!$E61:$Z61)=0,0,MAX(0,IF((F$6-$E$3)&lt;1,0,IFERROR(LOOKUP(2,1/('Feijão 1ª safra'!$E61:INDEX('Feijão 1ª safra'!$E61:$Z61,MIN(F$6-$E$3,22))&lt;&gt;""),'Feijão 1ª safra'!$E61:INDEX('Feijão 1ª safra'!$E61:$Z61,MIN(F$6-$E$3,22))),0))-IF($G$2,0,IF((F$6-$G$3)&lt;1,0,IFERROR(LOOKUP(2,1/('Feijão 1ª safra'!$E61:INDEX('Feijão 1ª safra'!$E61:$Z61,MIN(F$6-$G$3,22))&lt;&gt;""),'Feijão 1ª safra'!$E61:INDEX('Feijão 1ª safra'!$E61:$Z61,MIN(F$6-$G$3,22))),0)))))</f>
        <v>0</v>
      </c>
      <c r="G63" s="27" t="n">
        <f aca="false">IF(COUNT('Feijão 1ª safra'!$E61:$Z61)=0,0,MAX(0,IF((G$6-$E$3)&lt;1,0,IFERROR(LOOKUP(2,1/('Feijão 1ª safra'!$E61:INDEX('Feijão 1ª safra'!$E61:$Z61,MIN(G$6-$E$3,22))&lt;&gt;""),'Feijão 1ª safra'!$E61:INDEX('Feijão 1ª safra'!$E61:$Z61,MIN(G$6-$E$3,22))),0))-IF($G$2,0,IF((G$6-$G$3)&lt;1,0,IFERROR(LOOKUP(2,1/('Feijão 1ª safra'!$E61:INDEX('Feijão 1ª safra'!$E61:$Z61,MIN(G$6-$G$3,22))&lt;&gt;""),'Feijão 1ª safra'!$E61:INDEX('Feijão 1ª safra'!$E61:$Z61,MIN(G$6-$G$3,22))),0)))))</f>
        <v>0</v>
      </c>
      <c r="H63" s="27" t="n">
        <f aca="false">IF(COUNT('Feijão 1ª safra'!$E61:$Z61)=0,0,MAX(0,IF((H$6-$E$3)&lt;1,0,IFERROR(LOOKUP(2,1/('Feijão 1ª safra'!$E61:INDEX('Feijão 1ª safra'!$E61:$Z61,MIN(H$6-$E$3,22))&lt;&gt;""),'Feijão 1ª safra'!$E61:INDEX('Feijão 1ª safra'!$E61:$Z61,MIN(H$6-$E$3,22))),0))-IF($G$2,0,IF((H$6-$G$3)&lt;1,0,IFERROR(LOOKUP(2,1/('Feijão 1ª safra'!$E61:INDEX('Feijão 1ª safra'!$E61:$Z61,MIN(H$6-$G$3,22))&lt;&gt;""),'Feijão 1ª safra'!$E61:INDEX('Feijão 1ª safra'!$E61:$Z61,MIN(H$6-$G$3,22))),0)))))</f>
        <v>0</v>
      </c>
      <c r="I63" s="27" t="n">
        <f aca="false">IF(COUNT('Feijão 1ª safra'!$E61:$Z61)=0,0,MAX(0,IF((I$6-$E$3)&lt;1,0,IFERROR(LOOKUP(2,1/('Feijão 1ª safra'!$E61:INDEX('Feijão 1ª safra'!$E61:$Z61,MIN(I$6-$E$3,22))&lt;&gt;""),'Feijão 1ª safra'!$E61:INDEX('Feijão 1ª safra'!$E61:$Z61,MIN(I$6-$E$3,22))),0))-IF($G$2,0,IF((I$6-$G$3)&lt;1,0,IFERROR(LOOKUP(2,1/('Feijão 1ª safra'!$E61:INDEX('Feijão 1ª safra'!$E61:$Z61,MIN(I$6-$G$3,22))&lt;&gt;""),'Feijão 1ª safra'!$E61:INDEX('Feijão 1ª safra'!$E61:$Z61,MIN(I$6-$G$3,22))),0)))))</f>
        <v>0</v>
      </c>
      <c r="J63" s="27" t="n">
        <f aca="false">IF(COUNT('Feijão 1ª safra'!$E61:$Z61)=0,0,MAX(0,IF((J$6-$E$3)&lt;1,0,IFERROR(LOOKUP(2,1/('Feijão 1ª safra'!$E61:INDEX('Feijão 1ª safra'!$E61:$Z61,MIN(J$6-$E$3,22))&lt;&gt;""),'Feijão 1ª safra'!$E61:INDEX('Feijão 1ª safra'!$E61:$Z61,MIN(J$6-$E$3,22))),0))-IF($G$2,0,IF((J$6-$G$3)&lt;1,0,IFERROR(LOOKUP(2,1/('Feijão 1ª safra'!$E61:INDEX('Feijão 1ª safra'!$E61:$Z61,MIN(J$6-$G$3,22))&lt;&gt;""),'Feijão 1ª safra'!$E61:INDEX('Feijão 1ª safra'!$E61:$Z61,MIN(J$6-$G$3,22))),0)))))</f>
        <v>0</v>
      </c>
      <c r="K63" s="27" t="n">
        <f aca="false">IF(COUNT('Feijão 1ª safra'!$E61:$Z61)=0,0,MAX(0,IF((K$6-$E$3)&lt;1,0,IFERROR(LOOKUP(2,1/('Feijão 1ª safra'!$E61:INDEX('Feijão 1ª safra'!$E61:$Z61,MIN(K$6-$E$3,22))&lt;&gt;""),'Feijão 1ª safra'!$E61:INDEX('Feijão 1ª safra'!$E61:$Z61,MIN(K$6-$E$3,22))),0))-IF($G$2,0,IF((K$6-$G$3)&lt;1,0,IFERROR(LOOKUP(2,1/('Feijão 1ª safra'!$E61:INDEX('Feijão 1ª safra'!$E61:$Z61,MIN(K$6-$G$3,22))&lt;&gt;""),'Feijão 1ª safra'!$E61:INDEX('Feijão 1ª safra'!$E61:$Z61,MIN(K$6-$G$3,22))),0)))))</f>
        <v>0</v>
      </c>
      <c r="L63" s="27" t="n">
        <f aca="false">IF(COUNT('Feijão 1ª safra'!$E61:$Z61)=0,0,MAX(0,IF((L$6-$E$3)&lt;1,0,IFERROR(LOOKUP(2,1/('Feijão 1ª safra'!$E61:INDEX('Feijão 1ª safra'!$E61:$Z61,MIN(L$6-$E$3,22))&lt;&gt;""),'Feijão 1ª safra'!$E61:INDEX('Feijão 1ª safra'!$E61:$Z61,MIN(L$6-$E$3,22))),0))-IF($G$2,0,IF((L$6-$G$3)&lt;1,0,IFERROR(LOOKUP(2,1/('Feijão 1ª safra'!$E61:INDEX('Feijão 1ª safra'!$E61:$Z61,MIN(L$6-$G$3,22))&lt;&gt;""),'Feijão 1ª safra'!$E61:INDEX('Feijão 1ª safra'!$E61:$Z61,MIN(L$6-$G$3,22))),0)))))</f>
        <v>0</v>
      </c>
      <c r="M63" s="27" t="n">
        <f aca="false">IF(COUNT('Feijão 1ª safra'!$E61:$Z61)=0,0,MAX(0,IF((M$6-$E$3)&lt;1,0,IFERROR(LOOKUP(2,1/('Feijão 1ª safra'!$E61:INDEX('Feijão 1ª safra'!$E61:$Z61,MIN(M$6-$E$3,22))&lt;&gt;""),'Feijão 1ª safra'!$E61:INDEX('Feijão 1ª safra'!$E61:$Z61,MIN(M$6-$E$3,22))),0))-IF($G$2,0,IF((M$6-$G$3)&lt;1,0,IFERROR(LOOKUP(2,1/('Feijão 1ª safra'!$E61:INDEX('Feijão 1ª safra'!$E61:$Z61,MIN(M$6-$G$3,22))&lt;&gt;""),'Feijão 1ª safra'!$E61:INDEX('Feijão 1ª safra'!$E61:$Z61,MIN(M$6-$G$3,22))),0)))))</f>
        <v>0</v>
      </c>
      <c r="N63" s="27" t="n">
        <f aca="false">IF(COUNT('Feijão 1ª safra'!$E61:$Z61)=0,0,MAX(0,IF((N$6-$E$3)&lt;1,0,IFERROR(LOOKUP(2,1/('Feijão 1ª safra'!$E61:INDEX('Feijão 1ª safra'!$E61:$Z61,MIN(N$6-$E$3,22))&lt;&gt;""),'Feijão 1ª safra'!$E61:INDEX('Feijão 1ª safra'!$E61:$Z61,MIN(N$6-$E$3,22))),0))-IF($G$2,0,IF((N$6-$G$3)&lt;1,0,IFERROR(LOOKUP(2,1/('Feijão 1ª safra'!$E61:INDEX('Feijão 1ª safra'!$E61:$Z61,MIN(N$6-$G$3,22))&lt;&gt;""),'Feijão 1ª safra'!$E61:INDEX('Feijão 1ª safra'!$E61:$Z61,MIN(N$6-$G$3,22))),0)))))</f>
        <v>0</v>
      </c>
      <c r="O63" s="27" t="n">
        <f aca="false">IF(COUNT('Feijão 1ª safra'!$E61:$Z61)=0,0,MAX(0,IF((O$6-$E$3)&lt;1,0,IFERROR(LOOKUP(2,1/('Feijão 1ª safra'!$E61:INDEX('Feijão 1ª safra'!$E61:$Z61,MIN(O$6-$E$3,22))&lt;&gt;""),'Feijão 1ª safra'!$E61:INDEX('Feijão 1ª safra'!$E61:$Z61,MIN(O$6-$E$3,22))),0))-IF($G$2,0,IF((O$6-$G$3)&lt;1,0,IFERROR(LOOKUP(2,1/('Feijão 1ª safra'!$E61:INDEX('Feijão 1ª safra'!$E61:$Z61,MIN(O$6-$G$3,22))&lt;&gt;""),'Feijão 1ª safra'!$E61:INDEX('Feijão 1ª safra'!$E61:$Z61,MIN(O$6-$G$3,22))),0)))))</f>
        <v>0</v>
      </c>
      <c r="P63" s="27" t="n">
        <f aca="false">IF(COUNT('Feijão 1ª safra'!$E61:$Z61)=0,0,MAX(0,IF((P$6-$E$3)&lt;1,0,IFERROR(LOOKUP(2,1/('Feijão 1ª safra'!$E61:INDEX('Feijão 1ª safra'!$E61:$Z61,MIN(P$6-$E$3,22))&lt;&gt;""),'Feijão 1ª safra'!$E61:INDEX('Feijão 1ª safra'!$E61:$Z61,MIN(P$6-$E$3,22))),0))-IF($G$2,0,IF((P$6-$G$3)&lt;1,0,IFERROR(LOOKUP(2,1/('Feijão 1ª safra'!$E61:INDEX('Feijão 1ª safra'!$E61:$Z61,MIN(P$6-$G$3,22))&lt;&gt;""),'Feijão 1ª safra'!$E61:INDEX('Feijão 1ª safra'!$E61:$Z61,MIN(P$6-$G$3,22))),0)))))</f>
        <v>0</v>
      </c>
      <c r="Q63" s="27" t="n">
        <f aca="false">IF(COUNT('Feijão 1ª safra'!$E61:$Z61)=0,0,MAX(0,IF((Q$6-$E$3)&lt;1,0,IFERROR(LOOKUP(2,1/('Feijão 1ª safra'!$E61:INDEX('Feijão 1ª safra'!$E61:$Z61,MIN(Q$6-$E$3,22))&lt;&gt;""),'Feijão 1ª safra'!$E61:INDEX('Feijão 1ª safra'!$E61:$Z61,MIN(Q$6-$E$3,22))),0))-IF($G$2,0,IF((Q$6-$G$3)&lt;1,0,IFERROR(LOOKUP(2,1/('Feijão 1ª safra'!$E61:INDEX('Feijão 1ª safra'!$E61:$Z61,MIN(Q$6-$G$3,22))&lt;&gt;""),'Feijão 1ª safra'!$E61:INDEX('Feijão 1ª safra'!$E61:$Z61,MIN(Q$6-$G$3,22))),0)))))</f>
        <v>0</v>
      </c>
      <c r="R63" s="27" t="n">
        <f aca="false">IF(COUNT('Feijão 1ª safra'!$E61:$Z61)=0,0,MAX(0,IF((R$6-$E$3)&lt;1,0,IFERROR(LOOKUP(2,1/('Feijão 1ª safra'!$E61:INDEX('Feijão 1ª safra'!$E61:$Z61,MIN(R$6-$E$3,22))&lt;&gt;""),'Feijão 1ª safra'!$E61:INDEX('Feijão 1ª safra'!$E61:$Z61,MIN(R$6-$E$3,22))),0))-IF($G$2,0,IF((R$6-$G$3)&lt;1,0,IFERROR(LOOKUP(2,1/('Feijão 1ª safra'!$E61:INDEX('Feijão 1ª safra'!$E61:$Z61,MIN(R$6-$G$3,22))&lt;&gt;""),'Feijão 1ª safra'!$E61:INDEX('Feijão 1ª safra'!$E61:$Z61,MIN(R$6-$G$3,22))),0)))))</f>
        <v>0</v>
      </c>
      <c r="S63" s="27" t="n">
        <f aca="false">IF(COUNT('Feijão 1ª safra'!$E61:$Z61)=0,0,MAX(0,IF((S$6-$E$3)&lt;1,0,IFERROR(LOOKUP(2,1/('Feijão 1ª safra'!$E61:INDEX('Feijão 1ª safra'!$E61:$Z61,MIN(S$6-$E$3,22))&lt;&gt;""),'Feijão 1ª safra'!$E61:INDEX('Feijão 1ª safra'!$E61:$Z61,MIN(S$6-$E$3,22))),0))-IF($G$2,0,IF((S$6-$G$3)&lt;1,0,IFERROR(LOOKUP(2,1/('Feijão 1ª safra'!$E61:INDEX('Feijão 1ª safra'!$E61:$Z61,MIN(S$6-$G$3,22))&lt;&gt;""),'Feijão 1ª safra'!$E61:INDEX('Feijão 1ª safra'!$E61:$Z61,MIN(S$6-$G$3,22))),0)))))</f>
        <v>0</v>
      </c>
      <c r="T63" s="27" t="n">
        <f aca="false">IF(COUNT('Feijão 1ª safra'!$E61:$Z61)=0,0,MAX(0,IF((T$6-$E$3)&lt;1,0,IFERROR(LOOKUP(2,1/('Feijão 1ª safra'!$E61:INDEX('Feijão 1ª safra'!$E61:$Z61,MIN(T$6-$E$3,22))&lt;&gt;""),'Feijão 1ª safra'!$E61:INDEX('Feijão 1ª safra'!$E61:$Z61,MIN(T$6-$E$3,22))),0))-IF($G$2,0,IF((T$6-$G$3)&lt;1,0,IFERROR(LOOKUP(2,1/('Feijão 1ª safra'!$E61:INDEX('Feijão 1ª safra'!$E61:$Z61,MIN(T$6-$G$3,22))&lt;&gt;""),'Feijão 1ª safra'!$E61:INDEX('Feijão 1ª safra'!$E61:$Z61,MIN(T$6-$G$3,22))),0)))))</f>
        <v>0</v>
      </c>
      <c r="U63" s="27" t="n">
        <f aca="false">IF(COUNT('Feijão 1ª safra'!$E61:$Z61)=0,0,MAX(0,IF((U$6-$E$3)&lt;1,0,IFERROR(LOOKUP(2,1/('Feijão 1ª safra'!$E61:INDEX('Feijão 1ª safra'!$E61:$Z61,MIN(U$6-$E$3,22))&lt;&gt;""),'Feijão 1ª safra'!$E61:INDEX('Feijão 1ª safra'!$E61:$Z61,MIN(U$6-$E$3,22))),0))-IF($G$2,0,IF((U$6-$G$3)&lt;1,0,IFERROR(LOOKUP(2,1/('Feijão 1ª safra'!$E61:INDEX('Feijão 1ª safra'!$E61:$Z61,MIN(U$6-$G$3,22))&lt;&gt;""),'Feijão 1ª safra'!$E61:INDEX('Feijão 1ª safra'!$E61:$Z61,MIN(U$6-$G$3,22))),0)))))</f>
        <v>0</v>
      </c>
      <c r="V63" s="27" t="n">
        <f aca="false">IF(COUNT('Feijão 1ª safra'!$E61:$Z61)=0,0,MAX(0,IF((V$6-$E$3)&lt;1,0,IFERROR(LOOKUP(2,1/('Feijão 1ª safra'!$E61:INDEX('Feijão 1ª safra'!$E61:$Z61,MIN(V$6-$E$3,22))&lt;&gt;""),'Feijão 1ª safra'!$E61:INDEX('Feijão 1ª safra'!$E61:$Z61,MIN(V$6-$E$3,22))),0))-IF($G$2,0,IF((V$6-$G$3)&lt;1,0,IFERROR(LOOKUP(2,1/('Feijão 1ª safra'!$E61:INDEX('Feijão 1ª safra'!$E61:$Z61,MIN(V$6-$G$3,22))&lt;&gt;""),'Feijão 1ª safra'!$E61:INDEX('Feijão 1ª safra'!$E61:$Z61,MIN(V$6-$G$3,22))),0)))))</f>
        <v>0</v>
      </c>
      <c r="W63" s="27" t="n">
        <f aca="false">IF(COUNT('Feijão 1ª safra'!$E61:$Z61)=0,0,MAX(0,IF((W$6-$E$3)&lt;1,0,IFERROR(LOOKUP(2,1/('Feijão 1ª safra'!$E61:INDEX('Feijão 1ª safra'!$E61:$Z61,MIN(W$6-$E$3,22))&lt;&gt;""),'Feijão 1ª safra'!$E61:INDEX('Feijão 1ª safra'!$E61:$Z61,MIN(W$6-$E$3,22))),0))-IF($G$2,0,IF((W$6-$G$3)&lt;1,0,IFERROR(LOOKUP(2,1/('Feijão 1ª safra'!$E61:INDEX('Feijão 1ª safra'!$E61:$Z61,MIN(W$6-$G$3,22))&lt;&gt;""),'Feijão 1ª safra'!$E61:INDEX('Feijão 1ª safra'!$E61:$Z61,MIN(W$6-$G$3,22))),0)))))</f>
        <v>0</v>
      </c>
      <c r="X63" s="27" t="n">
        <f aca="false">IF(COUNT('Feijão 1ª safra'!$E61:$Z61)=0,0,MAX(0,IF((X$6-$E$3)&lt;1,0,IFERROR(LOOKUP(2,1/('Feijão 1ª safra'!$E61:INDEX('Feijão 1ª safra'!$E61:$Z61,MIN(X$6-$E$3,22))&lt;&gt;""),'Feijão 1ª safra'!$E61:INDEX('Feijão 1ª safra'!$E61:$Z61,MIN(X$6-$E$3,22))),0))-IF($G$2,0,IF((X$6-$G$3)&lt;1,0,IFERROR(LOOKUP(2,1/('Feijão 1ª safra'!$E61:INDEX('Feijão 1ª safra'!$E61:$Z61,MIN(X$6-$G$3,22))&lt;&gt;""),'Feijão 1ª safra'!$E61:INDEX('Feijão 1ª safra'!$E61:$Z61,MIN(X$6-$G$3,22))),0)))))</f>
        <v>0</v>
      </c>
      <c r="Y63" s="27" t="n">
        <f aca="false">IF(COUNT('Feijão 1ª safra'!$E61:$Z61)=0,0,MAX(0,IF((Y$6-$E$3)&lt;1,0,IFERROR(LOOKUP(2,1/('Feijão 1ª safra'!$E61:INDEX('Feijão 1ª safra'!$E61:$Z61,MIN(Y$6-$E$3,22))&lt;&gt;""),'Feijão 1ª safra'!$E61:INDEX('Feijão 1ª safra'!$E61:$Z61,MIN(Y$6-$E$3,22))),0))-IF($G$2,0,IF((Y$6-$G$3)&lt;1,0,IFERROR(LOOKUP(2,1/('Feijão 1ª safra'!$E61:INDEX('Feijão 1ª safra'!$E61:$Z61,MIN(Y$6-$G$3,22))&lt;&gt;""),'Feijão 1ª safra'!$E61:INDEX('Feijão 1ª safra'!$E61:$Z61,MIN(Y$6-$G$3,22))),0)))))</f>
        <v>0</v>
      </c>
      <c r="Z63" s="27" t="n">
        <f aca="false">IF(COUNT('Feijão 1ª safra'!$E61:$Z61)=0,0,MAX(0,IF((Z$6-$E$3)&lt;1,0,IFERROR(LOOKUP(2,1/('Feijão 1ª safra'!$E61:INDEX('Feijão 1ª safra'!$E61:$Z61,MIN(Z$6-$E$3,22))&lt;&gt;""),'Feijão 1ª safra'!$E61:INDEX('Feijão 1ª safra'!$E61:$Z61,MIN(Z$6-$E$3,22))),0))-IF($G$2,0,IF((Z$6-$G$3)&lt;1,0,IFERROR(LOOKUP(2,1/('Feijão 1ª safra'!$E61:INDEX('Feijão 1ª safra'!$E61:$Z61,MIN(Z$6-$G$3,22))&lt;&gt;""),'Feijão 1ª safra'!$E61:INDEX('Feijão 1ª safra'!$E61:$Z61,MIN(Z$6-$G$3,22))),0)))))</f>
        <v>0</v>
      </c>
      <c r="AA63" s="27" t="n">
        <f aca="false">IF(COUNT('Feijão 1ª safra'!$E61:$Z61)=0,0,MAX(0,IF((AA$6-$E$3)&lt;1,0,IFERROR(LOOKUP(2,1/('Feijão 1ª safra'!$E61:INDEX('Feijão 1ª safra'!$E61:$Z61,MIN(AA$6-$E$3,22))&lt;&gt;""),'Feijão 1ª safra'!$E61:INDEX('Feijão 1ª safra'!$E61:$Z61,MIN(AA$6-$E$3,22))),0))-IF($G$2,0,IF((AA$6-$G$3)&lt;1,0,IFERROR(LOOKUP(2,1/('Feijão 1ª safra'!$E61:INDEX('Feijão 1ª safra'!$E61:$Z61,MIN(AA$6-$G$3,22))&lt;&gt;""),'Feijão 1ª safra'!$E61:INDEX('Feijão 1ª safra'!$E61:$Z61,MIN(AA$6-$G$3,22))),0)))))</f>
        <v>0</v>
      </c>
      <c r="AB63" s="27" t="n">
        <f aca="false">IF(COUNT('Feijão 1ª safra'!$E61:$Z61)=0,0,MAX(0,IF((AB$6-$E$3)&lt;1,0,IFERROR(LOOKUP(2,1/('Feijão 1ª safra'!$E61:INDEX('Feijão 1ª safra'!$E61:$Z61,MIN(AB$6-$E$3,22))&lt;&gt;""),'Feijão 1ª safra'!$E61:INDEX('Feijão 1ª safra'!$E61:$Z61,MIN(AB$6-$E$3,22))),0))-IF($G$2,0,IF((AB$6-$G$3)&lt;1,0,IFERROR(LOOKUP(2,1/('Feijão 1ª safra'!$E61:INDEX('Feijão 1ª safra'!$E61:$Z61,MIN(AB$6-$G$3,22))&lt;&gt;""),'Feijão 1ª safra'!$E61:INDEX('Feijão 1ª safra'!$E61:$Z61,MIN(AB$6-$G$3,22))),0)))))</f>
        <v>0</v>
      </c>
      <c r="AC63" s="27" t="n">
        <f aca="false">IF(COUNT('Feijão 1ª safra'!$E61:$Z61)=0,0,MAX(0,IF((AC$6-$E$3)&lt;1,0,IFERROR(LOOKUP(2,1/('Feijão 1ª safra'!$E61:INDEX('Feijão 1ª safra'!$E61:$Z61,MIN(AC$6-$E$3,22))&lt;&gt;""),'Feijão 1ª safra'!$E61:INDEX('Feijão 1ª safra'!$E61:$Z61,MIN(AC$6-$E$3,22))),0))-IF($G$2,0,IF((AC$6-$G$3)&lt;1,0,IFERROR(LOOKUP(2,1/('Feijão 1ª safra'!$E61:INDEX('Feijão 1ª safra'!$E61:$Z61,MIN(AC$6-$G$3,22))&lt;&gt;""),'Feijão 1ª safra'!$E61:INDEX('Feijão 1ª safra'!$E61:$Z61,MIN(AC$6-$G$3,22))),0)))))</f>
        <v>0</v>
      </c>
      <c r="AD63" s="27" t="n">
        <f aca="false">IF(COUNT('Feijão 1ª safra'!$E61:$Z61)=0,0,MAX(0,IF((AD$6-$E$3)&lt;1,0,IFERROR(LOOKUP(2,1/('Feijão 1ª safra'!$E61:INDEX('Feijão 1ª safra'!$E61:$Z61,MIN(AD$6-$E$3,22))&lt;&gt;""),'Feijão 1ª safra'!$E61:INDEX('Feijão 1ª safra'!$E61:$Z61,MIN(AD$6-$E$3,22))),0))-IF($G$2,0,IF((AD$6-$G$3)&lt;1,0,IFERROR(LOOKUP(2,1/('Feijão 1ª safra'!$E61:INDEX('Feijão 1ª safra'!$E61:$Z61,MIN(AD$6-$G$3,22))&lt;&gt;""),'Feijão 1ª safra'!$E61:INDEX('Feijão 1ª safra'!$E61:$Z61,MIN(AD$6-$G$3,22))),0)))))</f>
        <v>0</v>
      </c>
      <c r="AE63" s="27" t="n">
        <f aca="false">IF(COUNT('Feijão 1ª safra'!$E61:$Z61)=0,0,MAX(0,IF((AE$6-$E$3)&lt;1,0,IFERROR(LOOKUP(2,1/('Feijão 1ª safra'!$E61:INDEX('Feijão 1ª safra'!$E61:$Z61,MIN(AE$6-$E$3,22))&lt;&gt;""),'Feijão 1ª safra'!$E61:INDEX('Feijão 1ª safra'!$E61:$Z61,MIN(AE$6-$E$3,22))),0))-IF($G$2,0,IF((AE$6-$G$3)&lt;1,0,IFERROR(LOOKUP(2,1/('Feijão 1ª safra'!$E61:INDEX('Feijão 1ª safra'!$E61:$Z61,MIN(AE$6-$G$3,22))&lt;&gt;""),'Feijão 1ª safra'!$E61:INDEX('Feijão 1ª safra'!$E61:$Z61,MIN(AE$6-$G$3,22))),0)))))</f>
        <v>0</v>
      </c>
      <c r="AF63" s="27" t="n">
        <f aca="false">IF(COUNT('Feijão 1ª safra'!$E61:$Z61)=0,0,MAX(0,IF((AF$6-$E$3)&lt;1,0,IFERROR(LOOKUP(2,1/('Feijão 1ª safra'!$E61:INDEX('Feijão 1ª safra'!$E61:$Z61,MIN(AF$6-$E$3,22))&lt;&gt;""),'Feijão 1ª safra'!$E61:INDEX('Feijão 1ª safra'!$E61:$Z61,MIN(AF$6-$E$3,22))),0))-IF($G$2,0,IF((AF$6-$G$3)&lt;1,0,IFERROR(LOOKUP(2,1/('Feijão 1ª safra'!$E61:INDEX('Feijão 1ª safra'!$E61:$Z61,MIN(AF$6-$G$3,22))&lt;&gt;""),'Feijão 1ª safra'!$E61:INDEX('Feijão 1ª safra'!$E61:$Z61,MIN(AF$6-$G$3,22))),0)))))</f>
        <v>0</v>
      </c>
      <c r="AG63" s="27" t="n">
        <f aca="false">IF(COUNT('Feijão 1ª safra'!$E61:$Z61)=0,0,MAX(0,IF((AG$6-$E$3)&lt;1,0,IFERROR(LOOKUP(2,1/('Feijão 1ª safra'!$E61:INDEX('Feijão 1ª safra'!$E61:$Z61,MIN(AG$6-$E$3,22))&lt;&gt;""),'Feijão 1ª safra'!$E61:INDEX('Feijão 1ª safra'!$E61:$Z61,MIN(AG$6-$E$3,22))),0))-IF($G$2,0,IF((AG$6-$G$3)&lt;1,0,IFERROR(LOOKUP(2,1/('Feijão 1ª safra'!$E61:INDEX('Feijão 1ª safra'!$E61:$Z61,MIN(AG$6-$G$3,22))&lt;&gt;""),'Feijão 1ª safra'!$E61:INDEX('Feijão 1ª safra'!$E61:$Z61,MIN(AG$6-$G$3,22))),0)))))</f>
        <v>0</v>
      </c>
      <c r="AH63" s="27" t="n">
        <f aca="false">IF(COUNT('Feijão 1ª safra'!$E61:$Z61)=0,0,MAX(0,IF((AH$6-$E$3)&lt;1,0,IFERROR(LOOKUP(2,1/('Feijão 1ª safra'!$E61:INDEX('Feijão 1ª safra'!$E61:$Z61,MIN(AH$6-$E$3,22))&lt;&gt;""),'Feijão 1ª safra'!$E61:INDEX('Feijão 1ª safra'!$E61:$Z61,MIN(AH$6-$E$3,22))),0))-IF($G$2,0,IF((AH$6-$G$3)&lt;1,0,IFERROR(LOOKUP(2,1/('Feijão 1ª safra'!$E61:INDEX('Feijão 1ª safra'!$E61:$Z61,MIN(AH$6-$G$3,22))&lt;&gt;""),'Feijão 1ª safra'!$E61:INDEX('Feijão 1ª safra'!$E61:$Z61,MIN(AH$6-$G$3,22))),0)))))</f>
        <v>0</v>
      </c>
      <c r="AI63" s="27" t="n">
        <f aca="false">IF(COUNT('Feijão 1ª safra'!$E61:$Z61)=0,0,MAX(0,IF((AI$6-$E$3)&lt;1,0,IFERROR(LOOKUP(2,1/('Feijão 1ª safra'!$E61:INDEX('Feijão 1ª safra'!$E61:$Z61,MIN(AI$6-$E$3,22))&lt;&gt;""),'Feijão 1ª safra'!$E61:INDEX('Feijão 1ª safra'!$E61:$Z61,MIN(AI$6-$E$3,22))),0))-IF($G$2,0,IF((AI$6-$G$3)&lt;1,0,IFERROR(LOOKUP(2,1/('Feijão 1ª safra'!$E61:INDEX('Feijão 1ª safra'!$E61:$Z61,MIN(AI$6-$G$3,22))&lt;&gt;""),'Feijão 1ª safra'!$E61:INDEX('Feijão 1ª safra'!$E61:$Z61,MIN(AI$6-$G$3,22))),0)))))</f>
        <v>0</v>
      </c>
      <c r="AJ63" s="27" t="n">
        <f aca="false">IF(COUNT('Feijão 1ª safra'!$E61:$Z61)=0,0,MAX(0,IF((AJ$6-$E$3)&lt;1,0,IFERROR(LOOKUP(2,1/('Feijão 1ª safra'!$E61:INDEX('Feijão 1ª safra'!$E61:$Z61,MIN(AJ$6-$E$3,22))&lt;&gt;""),'Feijão 1ª safra'!$E61:INDEX('Feijão 1ª safra'!$E61:$Z61,MIN(AJ$6-$E$3,22))),0))-IF($G$2,0,IF((AJ$6-$G$3)&lt;1,0,IFERROR(LOOKUP(2,1/('Feijão 1ª safra'!$E61:INDEX('Feijão 1ª safra'!$E61:$Z61,MIN(AJ$6-$G$3,22))&lt;&gt;""),'Feijão 1ª safra'!$E61:INDEX('Feijão 1ª safra'!$E61:$Z61,MIN(AJ$6-$G$3,22))),0)))))</f>
        <v>0</v>
      </c>
      <c r="AK63" s="27" t="n">
        <f aca="false">IF(COUNT('Feijão 1ª safra'!$E61:$Z61)=0,0,MAX(0,IF((AK$6-$E$3)&lt;1,0,IFERROR(LOOKUP(2,1/('Feijão 1ª safra'!$E61:INDEX('Feijão 1ª safra'!$E61:$Z61,MIN(AK$6-$E$3,22))&lt;&gt;""),'Feijão 1ª safra'!$E61:INDEX('Feijão 1ª safra'!$E61:$Z61,MIN(AK$6-$E$3,22))),0))-IF($G$2,0,IF((AK$6-$G$3)&lt;1,0,IFERROR(LOOKUP(2,1/('Feijão 1ª safra'!$E61:INDEX('Feijão 1ª safra'!$E61:$Z61,MIN(AK$6-$G$3,22))&lt;&gt;""),'Feijão 1ª safra'!$E61:INDEX('Feijão 1ª safra'!$E61:$Z61,MIN(AK$6-$G$3,22))),0)))))</f>
        <v>0</v>
      </c>
      <c r="AL63" s="27" t="n">
        <f aca="false">IF(COUNT('Feijão 1ª safra'!$E61:$Z61)=0,0,MAX(0,IF((AL$6-$E$3)&lt;1,0,IFERROR(LOOKUP(2,1/('Feijão 1ª safra'!$E61:INDEX('Feijão 1ª safra'!$E61:$Z61,MIN(AL$6-$E$3,22))&lt;&gt;""),'Feijão 1ª safra'!$E61:INDEX('Feijão 1ª safra'!$E61:$Z61,MIN(AL$6-$E$3,22))),0))-IF($G$2,0,IF((AL$6-$G$3)&lt;1,0,IFERROR(LOOKUP(2,1/('Feijão 1ª safra'!$E61:INDEX('Feijão 1ª safra'!$E61:$Z61,MIN(AL$6-$G$3,22))&lt;&gt;""),'Feijão 1ª safra'!$E61:INDEX('Feijão 1ª safra'!$E61:$Z61,MIN(AL$6-$G$3,22))),0)))))</f>
        <v>0</v>
      </c>
      <c r="AM63" s="27" t="n">
        <f aca="false">IF(COUNT('Feijão 1ª safra'!$E61:$Z61)=0,0,MAX(0,IF((AM$6-$E$3)&lt;1,0,IFERROR(LOOKUP(2,1/('Feijão 1ª safra'!$E61:INDEX('Feijão 1ª safra'!$E61:$Z61,MIN(AM$6-$E$3,22))&lt;&gt;""),'Feijão 1ª safra'!$E61:INDEX('Feijão 1ª safra'!$E61:$Z61,MIN(AM$6-$E$3,22))),0))-IF($G$2,0,IF((AM$6-$G$3)&lt;1,0,IFERROR(LOOKUP(2,1/('Feijão 1ª safra'!$E61:INDEX('Feijão 1ª safra'!$E61:$Z61,MIN(AM$6-$G$3,22))&lt;&gt;""),'Feijão 1ª safra'!$E61:INDEX('Feijão 1ª safra'!$E61:$Z61,MIN(AM$6-$G$3,22))),0)))))</f>
        <v>0</v>
      </c>
      <c r="AN63" s="27" t="n">
        <f aca="false">IF(COUNT('Feijão 1ª safra'!$E61:$Z61)=0,0,MAX(0,IF((AN$6-$E$3)&lt;1,0,IFERROR(LOOKUP(2,1/('Feijão 1ª safra'!$E61:INDEX('Feijão 1ª safra'!$E61:$Z61,MIN(AN$6-$E$3,22))&lt;&gt;""),'Feijão 1ª safra'!$E61:INDEX('Feijão 1ª safra'!$E61:$Z61,MIN(AN$6-$E$3,22))),0))-IF($G$2,0,IF((AN$6-$G$3)&lt;1,0,IFERROR(LOOKUP(2,1/('Feijão 1ª safra'!$E61:INDEX('Feijão 1ª safra'!$E61:$Z61,MIN(AN$6-$G$3,22))&lt;&gt;""),'Feijão 1ª safra'!$E61:INDEX('Feijão 1ª safra'!$E61:$Z61,MIN(AN$6-$G$3,22))),0)))))</f>
        <v>0</v>
      </c>
      <c r="AO63" s="27" t="n">
        <f aca="false">IF(COUNT('Feijão 1ª safra'!$E61:$Z61)=0,0,MAX(0,IF((AO$6-$E$3)&lt;1,0,IFERROR(LOOKUP(2,1/('Feijão 1ª safra'!$E61:INDEX('Feijão 1ª safra'!$E61:$Z61,MIN(AO$6-$E$3,22))&lt;&gt;""),'Feijão 1ª safra'!$E61:INDEX('Feijão 1ª safra'!$E61:$Z61,MIN(AO$6-$E$3,22))),0))-IF($G$2,0,IF((AO$6-$G$3)&lt;1,0,IFERROR(LOOKUP(2,1/('Feijão 1ª safra'!$E61:INDEX('Feijão 1ª safra'!$E61:$Z61,MIN(AO$6-$G$3,22))&lt;&gt;""),'Feijão 1ª safra'!$E61:INDEX('Feijão 1ª safra'!$E61:$Z61,MIN(AO$6-$G$3,22))),0)))))</f>
        <v>0</v>
      </c>
      <c r="AP63" s="27" t="n">
        <f aca="false">IF(COUNT('Feijão 1ª safra'!$E61:$Z61)=0,0,MAX(0,IF((AP$6-$E$3)&lt;1,0,IFERROR(LOOKUP(2,1/('Feijão 1ª safra'!$E61:INDEX('Feijão 1ª safra'!$E61:$Z61,MIN(AP$6-$E$3,22))&lt;&gt;""),'Feijão 1ª safra'!$E61:INDEX('Feijão 1ª safra'!$E61:$Z61,MIN(AP$6-$E$3,22))),0))-IF($G$2,0,IF((AP$6-$G$3)&lt;1,0,IFERROR(LOOKUP(2,1/('Feijão 1ª safra'!$E61:INDEX('Feijão 1ª safra'!$E61:$Z61,MIN(AP$6-$G$3,22))&lt;&gt;""),'Feijão 1ª safra'!$E61:INDEX('Feijão 1ª safra'!$E61:$Z61,MIN(AP$6-$G$3,22))),0)))))</f>
        <v>0</v>
      </c>
      <c r="AQ63" s="27" t="n">
        <f aca="false">IF(COUNT('Feijão 1ª safra'!$E61:$Z61)=0,0,MAX(0,IF((AQ$6-$E$3)&lt;1,0,IFERROR(LOOKUP(2,1/('Feijão 1ª safra'!$E61:INDEX('Feijão 1ª safra'!$E61:$Z61,MIN(AQ$6-$E$3,22))&lt;&gt;""),'Feijão 1ª safra'!$E61:INDEX('Feijão 1ª safra'!$E61:$Z61,MIN(AQ$6-$E$3,22))),0))-IF($G$2,0,IF((AQ$6-$G$3)&lt;1,0,IFERROR(LOOKUP(2,1/('Feijão 1ª safra'!$E61:INDEX('Feijão 1ª safra'!$E61:$Z61,MIN(AQ$6-$G$3,22))&lt;&gt;""),'Feijão 1ª safra'!$E61:INDEX('Feijão 1ª safra'!$E61:$Z61,MIN(AQ$6-$G$3,22))),0)))))</f>
        <v>0</v>
      </c>
      <c r="AR63" s="27" t="n">
        <f aca="false">IF(COUNT('Feijão 1ª safra'!$E61:$Z61)=0,0,MAX(0,IF((AR$6-$E$3)&lt;1,0,IFERROR(LOOKUP(2,1/('Feijão 1ª safra'!$E61:INDEX('Feijão 1ª safra'!$E61:$Z61,MIN(AR$6-$E$3,22))&lt;&gt;""),'Feijão 1ª safra'!$E61:INDEX('Feijão 1ª safra'!$E61:$Z61,MIN(AR$6-$E$3,22))),0))-IF($G$2,0,IF((AR$6-$G$3)&lt;1,0,IFERROR(LOOKUP(2,1/('Feijão 1ª safra'!$E61:INDEX('Feijão 1ª safra'!$E61:$Z61,MIN(AR$6-$G$3,22))&lt;&gt;""),'Feijão 1ª safra'!$E61:INDEX('Feijão 1ª safra'!$E61:$Z61,MIN(AR$6-$G$3,22))),0)))))</f>
        <v>0</v>
      </c>
      <c r="AS63" s="27" t="n">
        <f aca="false">IF(COUNT('Feijão 1ª safra'!$E61:$Z61)=0,0,MAX(0,IF((AS$6-$E$3)&lt;1,0,IFERROR(LOOKUP(2,1/('Feijão 1ª safra'!$E61:INDEX('Feijão 1ª safra'!$E61:$Z61,MIN(AS$6-$E$3,22))&lt;&gt;""),'Feijão 1ª safra'!$E61:INDEX('Feijão 1ª safra'!$E61:$Z61,MIN(AS$6-$E$3,22))),0))-IF($G$2,0,IF((AS$6-$G$3)&lt;1,0,IFERROR(LOOKUP(2,1/('Feijão 1ª safra'!$E61:INDEX('Feijão 1ª safra'!$E61:$Z61,MIN(AS$6-$G$3,22))&lt;&gt;""),'Feijão 1ª safra'!$E61:INDEX('Feijão 1ª safra'!$E61:$Z61,MIN(AS$6-$G$3,22))),0)))))</f>
        <v>0</v>
      </c>
      <c r="AT63" s="27" t="n">
        <f aca="false">IF(COUNT('Feijão 1ª safra'!$E61:$Z61)=0,0,MAX(0,IF((AT$6-$E$3)&lt;1,0,IFERROR(LOOKUP(2,1/('Feijão 1ª safra'!$E61:INDEX('Feijão 1ª safra'!$E61:$Z61,MIN(AT$6-$E$3,22))&lt;&gt;""),'Feijão 1ª safra'!$E61:INDEX('Feijão 1ª safra'!$E61:$Z61,MIN(AT$6-$E$3,22))),0))-IF($G$2,0,IF((AT$6-$G$3)&lt;1,0,IFERROR(LOOKUP(2,1/('Feijão 1ª safra'!$E61:INDEX('Feijão 1ª safra'!$E61:$Z61,MIN(AT$6-$G$3,22))&lt;&gt;""),'Feijão 1ª safra'!$E61:INDEX('Feijão 1ª safra'!$E61:$Z61,MIN(AT$6-$G$3,22))),0)))))</f>
        <v>0</v>
      </c>
      <c r="AU63" s="27" t="n">
        <f aca="false">IF(COUNT('Feijão 1ª safra'!$E61:$Z61)=0,0,MAX(0,IF((AU$6-$E$3)&lt;1,0,IFERROR(LOOKUP(2,1/('Feijão 1ª safra'!$E61:INDEX('Feijão 1ª safra'!$E61:$Z61,MIN(AU$6-$E$3,22))&lt;&gt;""),'Feijão 1ª safra'!$E61:INDEX('Feijão 1ª safra'!$E61:$Z61,MIN(AU$6-$E$3,22))),0))-IF($G$2,0,IF((AU$6-$G$3)&lt;1,0,IFERROR(LOOKUP(2,1/('Feijão 1ª safra'!$E61:INDEX('Feijão 1ª safra'!$E61:$Z61,MIN(AU$6-$G$3,22))&lt;&gt;""),'Feijão 1ª safra'!$E61:INDEX('Feijão 1ª safra'!$E61:$Z61,MIN(AU$6-$G$3,22))),0)))))</f>
        <v>0</v>
      </c>
      <c r="AV63" s="27" t="n">
        <f aca="false">IF(COUNT('Feijão 1ª safra'!$E61:$Z61)=0,0,MAX(0,IF((AV$6-$E$3)&lt;1,0,IFERROR(LOOKUP(2,1/('Feijão 1ª safra'!$E61:INDEX('Feijão 1ª safra'!$E61:$Z61,MIN(AV$6-$E$3,22))&lt;&gt;""),'Feijão 1ª safra'!$E61:INDEX('Feijão 1ª safra'!$E61:$Z61,MIN(AV$6-$E$3,22))),0))-IF($G$2,0,IF((AV$6-$G$3)&lt;1,0,IFERROR(LOOKUP(2,1/('Feijão 1ª safra'!$E61:INDEX('Feijão 1ª safra'!$E61:$Z61,MIN(AV$6-$G$3,22))&lt;&gt;""),'Feijão 1ª safra'!$E61:INDEX('Feijão 1ª safra'!$E61:$Z61,MIN(AV$6-$G$3,22))),0)))))</f>
        <v>0</v>
      </c>
      <c r="AW63" s="27" t="n">
        <f aca="false">IF(COUNT('Feijão 1ª safra'!$E61:$Z61)=0,0,MAX(0,IF((AW$6-$E$3)&lt;1,0,IFERROR(LOOKUP(2,1/('Feijão 1ª safra'!$E61:INDEX('Feijão 1ª safra'!$E61:$Z61,MIN(AW$6-$E$3,22))&lt;&gt;""),'Feijão 1ª safra'!$E61:INDEX('Feijão 1ª safra'!$E61:$Z61,MIN(AW$6-$E$3,22))),0))-IF($G$2,0,IF((AW$6-$G$3)&lt;1,0,IFERROR(LOOKUP(2,1/('Feijão 1ª safra'!$E61:INDEX('Feijão 1ª safra'!$E61:$Z61,MIN(AW$6-$G$3,22))&lt;&gt;""),'Feijão 1ª safra'!$E61:INDEX('Feijão 1ª safra'!$E61:$Z61,MIN(AW$6-$G$3,22))),0)))))</f>
        <v>0</v>
      </c>
      <c r="AX63" s="27" t="n">
        <f aca="false">IF(COUNT('Feijão 1ª safra'!$E61:$Z61)=0,0,MAX(0,IF((AX$6-$E$3)&lt;1,0,IFERROR(LOOKUP(2,1/('Feijão 1ª safra'!$E61:INDEX('Feijão 1ª safra'!$E61:$Z61,MIN(AX$6-$E$3,22))&lt;&gt;""),'Feijão 1ª safra'!$E61:INDEX('Feijão 1ª safra'!$E61:$Z61,MIN(AX$6-$E$3,22))),0))-IF($G$2,0,IF((AX$6-$G$3)&lt;1,0,IFERROR(LOOKUP(2,1/('Feijão 1ª safra'!$E61:INDEX('Feijão 1ª safra'!$E61:$Z61,MIN(AX$6-$G$3,22))&lt;&gt;""),'Feijão 1ª safra'!$E61:INDEX('Feijão 1ª safra'!$E61:$Z61,MIN(AX$6-$G$3,22))),0)))))</f>
        <v>0</v>
      </c>
      <c r="AY63" s="27" t="n">
        <f aca="false">IF(COUNT('Feijão 1ª safra'!$E61:$Z61)=0,0,MAX(0,IF((AY$6-$E$3)&lt;1,0,IFERROR(LOOKUP(2,1/('Feijão 1ª safra'!$E61:INDEX('Feijão 1ª safra'!$E61:$Z61,MIN(AY$6-$E$3,22))&lt;&gt;""),'Feijão 1ª safra'!$E61:INDEX('Feijão 1ª safra'!$E61:$Z61,MIN(AY$6-$E$3,22))),0))-IF($G$2,0,IF((AY$6-$G$3)&lt;1,0,IFERROR(LOOKUP(2,1/('Feijão 1ª safra'!$E61:INDEX('Feijão 1ª safra'!$E61:$Z61,MIN(AY$6-$G$3,22))&lt;&gt;""),'Feijão 1ª safra'!$E61:INDEX('Feijão 1ª safra'!$E61:$Z61,MIN(AY$6-$G$3,22))),0)))))</f>
        <v>0</v>
      </c>
      <c r="AZ63" s="27" t="n">
        <f aca="false">IF(COUNT('Feijão 1ª safra'!$E61:$Z61)=0,0,MAX(0,IF((AZ$6-$E$3)&lt;1,0,IFERROR(LOOKUP(2,1/('Feijão 1ª safra'!$E61:INDEX('Feijão 1ª safra'!$E61:$Z61,MIN(AZ$6-$E$3,22))&lt;&gt;""),'Feijão 1ª safra'!$E61:INDEX('Feijão 1ª safra'!$E61:$Z61,MIN(AZ$6-$E$3,22))),0))-IF($G$2,0,IF((AZ$6-$G$3)&lt;1,0,IFERROR(LOOKUP(2,1/('Feijão 1ª safra'!$E61:INDEX('Feijão 1ª safra'!$E61:$Z61,MIN(AZ$6-$G$3,22))&lt;&gt;""),'Feijão 1ª safra'!$E61:INDEX('Feijão 1ª safra'!$E61:$Z61,MIN(AZ$6-$G$3,22))),0)))))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IF(COUNT('Feijão 1ª safra'!$E62:$Z62)&gt;0,N('Feijão 1ª safra'!$D62),0)</f>
        <v>0</v>
      </c>
      <c r="E64" s="27" t="n">
        <f aca="false">IF(COUNT('Feijão 1ª safra'!$E62:$Z62)=0,0,MAX(0,IF((E$6-$E$3)&lt;1,0,IFERROR(LOOKUP(2,1/('Feijão 1ª safra'!$E62:INDEX('Feijão 1ª safra'!$E62:$Z62,MIN(E$6-$E$3,22))&lt;&gt;""),'Feijão 1ª safra'!$E62:INDEX('Feijão 1ª safra'!$E62:$Z62,MIN(E$6-$E$3,22))),0))-IF($G$2,0,IF((E$6-$G$3)&lt;1,0,IFERROR(LOOKUP(2,1/('Feijão 1ª safra'!$E62:INDEX('Feijão 1ª safra'!$E62:$Z62,MIN(E$6-$G$3,22))&lt;&gt;""),'Feijão 1ª safra'!$E62:INDEX('Feijão 1ª safra'!$E62:$Z62,MIN(E$6-$G$3,22))),0)))))</f>
        <v>0</v>
      </c>
      <c r="F64" s="27" t="n">
        <f aca="false">IF(COUNT('Feijão 1ª safra'!$E62:$Z62)=0,0,MAX(0,IF((F$6-$E$3)&lt;1,0,IFERROR(LOOKUP(2,1/('Feijão 1ª safra'!$E62:INDEX('Feijão 1ª safra'!$E62:$Z62,MIN(F$6-$E$3,22))&lt;&gt;""),'Feijão 1ª safra'!$E62:INDEX('Feijão 1ª safra'!$E62:$Z62,MIN(F$6-$E$3,22))),0))-IF($G$2,0,IF((F$6-$G$3)&lt;1,0,IFERROR(LOOKUP(2,1/('Feijão 1ª safra'!$E62:INDEX('Feijão 1ª safra'!$E62:$Z62,MIN(F$6-$G$3,22))&lt;&gt;""),'Feijão 1ª safra'!$E62:INDEX('Feijão 1ª safra'!$E62:$Z62,MIN(F$6-$G$3,22))),0)))))</f>
        <v>0</v>
      </c>
      <c r="G64" s="27" t="n">
        <f aca="false">IF(COUNT('Feijão 1ª safra'!$E62:$Z62)=0,0,MAX(0,IF((G$6-$E$3)&lt;1,0,IFERROR(LOOKUP(2,1/('Feijão 1ª safra'!$E62:INDEX('Feijão 1ª safra'!$E62:$Z62,MIN(G$6-$E$3,22))&lt;&gt;""),'Feijão 1ª safra'!$E62:INDEX('Feijão 1ª safra'!$E62:$Z62,MIN(G$6-$E$3,22))),0))-IF($G$2,0,IF((G$6-$G$3)&lt;1,0,IFERROR(LOOKUP(2,1/('Feijão 1ª safra'!$E62:INDEX('Feijão 1ª safra'!$E62:$Z62,MIN(G$6-$G$3,22))&lt;&gt;""),'Feijão 1ª safra'!$E62:INDEX('Feijão 1ª safra'!$E62:$Z62,MIN(G$6-$G$3,22))),0)))))</f>
        <v>0</v>
      </c>
      <c r="H64" s="27" t="n">
        <f aca="false">IF(COUNT('Feijão 1ª safra'!$E62:$Z62)=0,0,MAX(0,IF((H$6-$E$3)&lt;1,0,IFERROR(LOOKUP(2,1/('Feijão 1ª safra'!$E62:INDEX('Feijão 1ª safra'!$E62:$Z62,MIN(H$6-$E$3,22))&lt;&gt;""),'Feijão 1ª safra'!$E62:INDEX('Feijão 1ª safra'!$E62:$Z62,MIN(H$6-$E$3,22))),0))-IF($G$2,0,IF((H$6-$G$3)&lt;1,0,IFERROR(LOOKUP(2,1/('Feijão 1ª safra'!$E62:INDEX('Feijão 1ª safra'!$E62:$Z62,MIN(H$6-$G$3,22))&lt;&gt;""),'Feijão 1ª safra'!$E62:INDEX('Feijão 1ª safra'!$E62:$Z62,MIN(H$6-$G$3,22))),0)))))</f>
        <v>0</v>
      </c>
      <c r="I64" s="27" t="n">
        <f aca="false">IF(COUNT('Feijão 1ª safra'!$E62:$Z62)=0,0,MAX(0,IF((I$6-$E$3)&lt;1,0,IFERROR(LOOKUP(2,1/('Feijão 1ª safra'!$E62:INDEX('Feijão 1ª safra'!$E62:$Z62,MIN(I$6-$E$3,22))&lt;&gt;""),'Feijão 1ª safra'!$E62:INDEX('Feijão 1ª safra'!$E62:$Z62,MIN(I$6-$E$3,22))),0))-IF($G$2,0,IF((I$6-$G$3)&lt;1,0,IFERROR(LOOKUP(2,1/('Feijão 1ª safra'!$E62:INDEX('Feijão 1ª safra'!$E62:$Z62,MIN(I$6-$G$3,22))&lt;&gt;""),'Feijão 1ª safra'!$E62:INDEX('Feijão 1ª safra'!$E62:$Z62,MIN(I$6-$G$3,22))),0)))))</f>
        <v>0</v>
      </c>
      <c r="J64" s="27" t="n">
        <f aca="false">IF(COUNT('Feijão 1ª safra'!$E62:$Z62)=0,0,MAX(0,IF((J$6-$E$3)&lt;1,0,IFERROR(LOOKUP(2,1/('Feijão 1ª safra'!$E62:INDEX('Feijão 1ª safra'!$E62:$Z62,MIN(J$6-$E$3,22))&lt;&gt;""),'Feijão 1ª safra'!$E62:INDEX('Feijão 1ª safra'!$E62:$Z62,MIN(J$6-$E$3,22))),0))-IF($G$2,0,IF((J$6-$G$3)&lt;1,0,IFERROR(LOOKUP(2,1/('Feijão 1ª safra'!$E62:INDEX('Feijão 1ª safra'!$E62:$Z62,MIN(J$6-$G$3,22))&lt;&gt;""),'Feijão 1ª safra'!$E62:INDEX('Feijão 1ª safra'!$E62:$Z62,MIN(J$6-$G$3,22))),0)))))</f>
        <v>0</v>
      </c>
      <c r="K64" s="27" t="n">
        <f aca="false">IF(COUNT('Feijão 1ª safra'!$E62:$Z62)=0,0,MAX(0,IF((K$6-$E$3)&lt;1,0,IFERROR(LOOKUP(2,1/('Feijão 1ª safra'!$E62:INDEX('Feijão 1ª safra'!$E62:$Z62,MIN(K$6-$E$3,22))&lt;&gt;""),'Feijão 1ª safra'!$E62:INDEX('Feijão 1ª safra'!$E62:$Z62,MIN(K$6-$E$3,22))),0))-IF($G$2,0,IF((K$6-$G$3)&lt;1,0,IFERROR(LOOKUP(2,1/('Feijão 1ª safra'!$E62:INDEX('Feijão 1ª safra'!$E62:$Z62,MIN(K$6-$G$3,22))&lt;&gt;""),'Feijão 1ª safra'!$E62:INDEX('Feijão 1ª safra'!$E62:$Z62,MIN(K$6-$G$3,22))),0)))))</f>
        <v>0</v>
      </c>
      <c r="L64" s="27" t="n">
        <f aca="false">IF(COUNT('Feijão 1ª safra'!$E62:$Z62)=0,0,MAX(0,IF((L$6-$E$3)&lt;1,0,IFERROR(LOOKUP(2,1/('Feijão 1ª safra'!$E62:INDEX('Feijão 1ª safra'!$E62:$Z62,MIN(L$6-$E$3,22))&lt;&gt;""),'Feijão 1ª safra'!$E62:INDEX('Feijão 1ª safra'!$E62:$Z62,MIN(L$6-$E$3,22))),0))-IF($G$2,0,IF((L$6-$G$3)&lt;1,0,IFERROR(LOOKUP(2,1/('Feijão 1ª safra'!$E62:INDEX('Feijão 1ª safra'!$E62:$Z62,MIN(L$6-$G$3,22))&lt;&gt;""),'Feijão 1ª safra'!$E62:INDEX('Feijão 1ª safra'!$E62:$Z62,MIN(L$6-$G$3,22))),0)))))</f>
        <v>0</v>
      </c>
      <c r="M64" s="27" t="n">
        <f aca="false">IF(COUNT('Feijão 1ª safra'!$E62:$Z62)=0,0,MAX(0,IF((M$6-$E$3)&lt;1,0,IFERROR(LOOKUP(2,1/('Feijão 1ª safra'!$E62:INDEX('Feijão 1ª safra'!$E62:$Z62,MIN(M$6-$E$3,22))&lt;&gt;""),'Feijão 1ª safra'!$E62:INDEX('Feijão 1ª safra'!$E62:$Z62,MIN(M$6-$E$3,22))),0))-IF($G$2,0,IF((M$6-$G$3)&lt;1,0,IFERROR(LOOKUP(2,1/('Feijão 1ª safra'!$E62:INDEX('Feijão 1ª safra'!$E62:$Z62,MIN(M$6-$G$3,22))&lt;&gt;""),'Feijão 1ª safra'!$E62:INDEX('Feijão 1ª safra'!$E62:$Z62,MIN(M$6-$G$3,22))),0)))))</f>
        <v>0</v>
      </c>
      <c r="N64" s="27" t="n">
        <f aca="false">IF(COUNT('Feijão 1ª safra'!$E62:$Z62)=0,0,MAX(0,IF((N$6-$E$3)&lt;1,0,IFERROR(LOOKUP(2,1/('Feijão 1ª safra'!$E62:INDEX('Feijão 1ª safra'!$E62:$Z62,MIN(N$6-$E$3,22))&lt;&gt;""),'Feijão 1ª safra'!$E62:INDEX('Feijão 1ª safra'!$E62:$Z62,MIN(N$6-$E$3,22))),0))-IF($G$2,0,IF((N$6-$G$3)&lt;1,0,IFERROR(LOOKUP(2,1/('Feijão 1ª safra'!$E62:INDEX('Feijão 1ª safra'!$E62:$Z62,MIN(N$6-$G$3,22))&lt;&gt;""),'Feijão 1ª safra'!$E62:INDEX('Feijão 1ª safra'!$E62:$Z62,MIN(N$6-$G$3,22))),0)))))</f>
        <v>0</v>
      </c>
      <c r="O64" s="27" t="n">
        <f aca="false">IF(COUNT('Feijão 1ª safra'!$E62:$Z62)=0,0,MAX(0,IF((O$6-$E$3)&lt;1,0,IFERROR(LOOKUP(2,1/('Feijão 1ª safra'!$E62:INDEX('Feijão 1ª safra'!$E62:$Z62,MIN(O$6-$E$3,22))&lt;&gt;""),'Feijão 1ª safra'!$E62:INDEX('Feijão 1ª safra'!$E62:$Z62,MIN(O$6-$E$3,22))),0))-IF($G$2,0,IF((O$6-$G$3)&lt;1,0,IFERROR(LOOKUP(2,1/('Feijão 1ª safra'!$E62:INDEX('Feijão 1ª safra'!$E62:$Z62,MIN(O$6-$G$3,22))&lt;&gt;""),'Feijão 1ª safra'!$E62:INDEX('Feijão 1ª safra'!$E62:$Z62,MIN(O$6-$G$3,22))),0)))))</f>
        <v>0</v>
      </c>
      <c r="P64" s="27" t="n">
        <f aca="false">IF(COUNT('Feijão 1ª safra'!$E62:$Z62)=0,0,MAX(0,IF((P$6-$E$3)&lt;1,0,IFERROR(LOOKUP(2,1/('Feijão 1ª safra'!$E62:INDEX('Feijão 1ª safra'!$E62:$Z62,MIN(P$6-$E$3,22))&lt;&gt;""),'Feijão 1ª safra'!$E62:INDEX('Feijão 1ª safra'!$E62:$Z62,MIN(P$6-$E$3,22))),0))-IF($G$2,0,IF((P$6-$G$3)&lt;1,0,IFERROR(LOOKUP(2,1/('Feijão 1ª safra'!$E62:INDEX('Feijão 1ª safra'!$E62:$Z62,MIN(P$6-$G$3,22))&lt;&gt;""),'Feijão 1ª safra'!$E62:INDEX('Feijão 1ª safra'!$E62:$Z62,MIN(P$6-$G$3,22))),0)))))</f>
        <v>0</v>
      </c>
      <c r="Q64" s="27" t="n">
        <f aca="false">IF(COUNT('Feijão 1ª safra'!$E62:$Z62)=0,0,MAX(0,IF((Q$6-$E$3)&lt;1,0,IFERROR(LOOKUP(2,1/('Feijão 1ª safra'!$E62:INDEX('Feijão 1ª safra'!$E62:$Z62,MIN(Q$6-$E$3,22))&lt;&gt;""),'Feijão 1ª safra'!$E62:INDEX('Feijão 1ª safra'!$E62:$Z62,MIN(Q$6-$E$3,22))),0))-IF($G$2,0,IF((Q$6-$G$3)&lt;1,0,IFERROR(LOOKUP(2,1/('Feijão 1ª safra'!$E62:INDEX('Feijão 1ª safra'!$E62:$Z62,MIN(Q$6-$G$3,22))&lt;&gt;""),'Feijão 1ª safra'!$E62:INDEX('Feijão 1ª safra'!$E62:$Z62,MIN(Q$6-$G$3,22))),0)))))</f>
        <v>0</v>
      </c>
      <c r="R64" s="27" t="n">
        <f aca="false">IF(COUNT('Feijão 1ª safra'!$E62:$Z62)=0,0,MAX(0,IF((R$6-$E$3)&lt;1,0,IFERROR(LOOKUP(2,1/('Feijão 1ª safra'!$E62:INDEX('Feijão 1ª safra'!$E62:$Z62,MIN(R$6-$E$3,22))&lt;&gt;""),'Feijão 1ª safra'!$E62:INDEX('Feijão 1ª safra'!$E62:$Z62,MIN(R$6-$E$3,22))),0))-IF($G$2,0,IF((R$6-$G$3)&lt;1,0,IFERROR(LOOKUP(2,1/('Feijão 1ª safra'!$E62:INDEX('Feijão 1ª safra'!$E62:$Z62,MIN(R$6-$G$3,22))&lt;&gt;""),'Feijão 1ª safra'!$E62:INDEX('Feijão 1ª safra'!$E62:$Z62,MIN(R$6-$G$3,22))),0)))))</f>
        <v>0</v>
      </c>
      <c r="S64" s="27" t="n">
        <f aca="false">IF(COUNT('Feijão 1ª safra'!$E62:$Z62)=0,0,MAX(0,IF((S$6-$E$3)&lt;1,0,IFERROR(LOOKUP(2,1/('Feijão 1ª safra'!$E62:INDEX('Feijão 1ª safra'!$E62:$Z62,MIN(S$6-$E$3,22))&lt;&gt;""),'Feijão 1ª safra'!$E62:INDEX('Feijão 1ª safra'!$E62:$Z62,MIN(S$6-$E$3,22))),0))-IF($G$2,0,IF((S$6-$G$3)&lt;1,0,IFERROR(LOOKUP(2,1/('Feijão 1ª safra'!$E62:INDEX('Feijão 1ª safra'!$E62:$Z62,MIN(S$6-$G$3,22))&lt;&gt;""),'Feijão 1ª safra'!$E62:INDEX('Feijão 1ª safra'!$E62:$Z62,MIN(S$6-$G$3,22))),0)))))</f>
        <v>0</v>
      </c>
      <c r="T64" s="27" t="n">
        <f aca="false">IF(COUNT('Feijão 1ª safra'!$E62:$Z62)=0,0,MAX(0,IF((T$6-$E$3)&lt;1,0,IFERROR(LOOKUP(2,1/('Feijão 1ª safra'!$E62:INDEX('Feijão 1ª safra'!$E62:$Z62,MIN(T$6-$E$3,22))&lt;&gt;""),'Feijão 1ª safra'!$E62:INDEX('Feijão 1ª safra'!$E62:$Z62,MIN(T$6-$E$3,22))),0))-IF($G$2,0,IF((T$6-$G$3)&lt;1,0,IFERROR(LOOKUP(2,1/('Feijão 1ª safra'!$E62:INDEX('Feijão 1ª safra'!$E62:$Z62,MIN(T$6-$G$3,22))&lt;&gt;""),'Feijão 1ª safra'!$E62:INDEX('Feijão 1ª safra'!$E62:$Z62,MIN(T$6-$G$3,22))),0)))))</f>
        <v>0</v>
      </c>
      <c r="U64" s="27" t="n">
        <f aca="false">IF(COUNT('Feijão 1ª safra'!$E62:$Z62)=0,0,MAX(0,IF((U$6-$E$3)&lt;1,0,IFERROR(LOOKUP(2,1/('Feijão 1ª safra'!$E62:INDEX('Feijão 1ª safra'!$E62:$Z62,MIN(U$6-$E$3,22))&lt;&gt;""),'Feijão 1ª safra'!$E62:INDEX('Feijão 1ª safra'!$E62:$Z62,MIN(U$6-$E$3,22))),0))-IF($G$2,0,IF((U$6-$G$3)&lt;1,0,IFERROR(LOOKUP(2,1/('Feijão 1ª safra'!$E62:INDEX('Feijão 1ª safra'!$E62:$Z62,MIN(U$6-$G$3,22))&lt;&gt;""),'Feijão 1ª safra'!$E62:INDEX('Feijão 1ª safra'!$E62:$Z62,MIN(U$6-$G$3,22))),0)))))</f>
        <v>0</v>
      </c>
      <c r="V64" s="27" t="n">
        <f aca="false">IF(COUNT('Feijão 1ª safra'!$E62:$Z62)=0,0,MAX(0,IF((V$6-$E$3)&lt;1,0,IFERROR(LOOKUP(2,1/('Feijão 1ª safra'!$E62:INDEX('Feijão 1ª safra'!$E62:$Z62,MIN(V$6-$E$3,22))&lt;&gt;""),'Feijão 1ª safra'!$E62:INDEX('Feijão 1ª safra'!$E62:$Z62,MIN(V$6-$E$3,22))),0))-IF($G$2,0,IF((V$6-$G$3)&lt;1,0,IFERROR(LOOKUP(2,1/('Feijão 1ª safra'!$E62:INDEX('Feijão 1ª safra'!$E62:$Z62,MIN(V$6-$G$3,22))&lt;&gt;""),'Feijão 1ª safra'!$E62:INDEX('Feijão 1ª safra'!$E62:$Z62,MIN(V$6-$G$3,22))),0)))))</f>
        <v>0</v>
      </c>
      <c r="W64" s="27" t="n">
        <f aca="false">IF(COUNT('Feijão 1ª safra'!$E62:$Z62)=0,0,MAX(0,IF((W$6-$E$3)&lt;1,0,IFERROR(LOOKUP(2,1/('Feijão 1ª safra'!$E62:INDEX('Feijão 1ª safra'!$E62:$Z62,MIN(W$6-$E$3,22))&lt;&gt;""),'Feijão 1ª safra'!$E62:INDEX('Feijão 1ª safra'!$E62:$Z62,MIN(W$6-$E$3,22))),0))-IF($G$2,0,IF((W$6-$G$3)&lt;1,0,IFERROR(LOOKUP(2,1/('Feijão 1ª safra'!$E62:INDEX('Feijão 1ª safra'!$E62:$Z62,MIN(W$6-$G$3,22))&lt;&gt;""),'Feijão 1ª safra'!$E62:INDEX('Feijão 1ª safra'!$E62:$Z62,MIN(W$6-$G$3,22))),0)))))</f>
        <v>0</v>
      </c>
      <c r="X64" s="27" t="n">
        <f aca="false">IF(COUNT('Feijão 1ª safra'!$E62:$Z62)=0,0,MAX(0,IF((X$6-$E$3)&lt;1,0,IFERROR(LOOKUP(2,1/('Feijão 1ª safra'!$E62:INDEX('Feijão 1ª safra'!$E62:$Z62,MIN(X$6-$E$3,22))&lt;&gt;""),'Feijão 1ª safra'!$E62:INDEX('Feijão 1ª safra'!$E62:$Z62,MIN(X$6-$E$3,22))),0))-IF($G$2,0,IF((X$6-$G$3)&lt;1,0,IFERROR(LOOKUP(2,1/('Feijão 1ª safra'!$E62:INDEX('Feijão 1ª safra'!$E62:$Z62,MIN(X$6-$G$3,22))&lt;&gt;""),'Feijão 1ª safra'!$E62:INDEX('Feijão 1ª safra'!$E62:$Z62,MIN(X$6-$G$3,22))),0)))))</f>
        <v>0</v>
      </c>
      <c r="Y64" s="27" t="n">
        <f aca="false">IF(COUNT('Feijão 1ª safra'!$E62:$Z62)=0,0,MAX(0,IF((Y$6-$E$3)&lt;1,0,IFERROR(LOOKUP(2,1/('Feijão 1ª safra'!$E62:INDEX('Feijão 1ª safra'!$E62:$Z62,MIN(Y$6-$E$3,22))&lt;&gt;""),'Feijão 1ª safra'!$E62:INDEX('Feijão 1ª safra'!$E62:$Z62,MIN(Y$6-$E$3,22))),0))-IF($G$2,0,IF((Y$6-$G$3)&lt;1,0,IFERROR(LOOKUP(2,1/('Feijão 1ª safra'!$E62:INDEX('Feijão 1ª safra'!$E62:$Z62,MIN(Y$6-$G$3,22))&lt;&gt;""),'Feijão 1ª safra'!$E62:INDEX('Feijão 1ª safra'!$E62:$Z62,MIN(Y$6-$G$3,22))),0)))))</f>
        <v>0</v>
      </c>
      <c r="Z64" s="27" t="n">
        <f aca="false">IF(COUNT('Feijão 1ª safra'!$E62:$Z62)=0,0,MAX(0,IF((Z$6-$E$3)&lt;1,0,IFERROR(LOOKUP(2,1/('Feijão 1ª safra'!$E62:INDEX('Feijão 1ª safra'!$E62:$Z62,MIN(Z$6-$E$3,22))&lt;&gt;""),'Feijão 1ª safra'!$E62:INDEX('Feijão 1ª safra'!$E62:$Z62,MIN(Z$6-$E$3,22))),0))-IF($G$2,0,IF((Z$6-$G$3)&lt;1,0,IFERROR(LOOKUP(2,1/('Feijão 1ª safra'!$E62:INDEX('Feijão 1ª safra'!$E62:$Z62,MIN(Z$6-$G$3,22))&lt;&gt;""),'Feijão 1ª safra'!$E62:INDEX('Feijão 1ª safra'!$E62:$Z62,MIN(Z$6-$G$3,22))),0)))))</f>
        <v>0</v>
      </c>
      <c r="AA64" s="27" t="n">
        <f aca="false">IF(COUNT('Feijão 1ª safra'!$E62:$Z62)=0,0,MAX(0,IF((AA$6-$E$3)&lt;1,0,IFERROR(LOOKUP(2,1/('Feijão 1ª safra'!$E62:INDEX('Feijão 1ª safra'!$E62:$Z62,MIN(AA$6-$E$3,22))&lt;&gt;""),'Feijão 1ª safra'!$E62:INDEX('Feijão 1ª safra'!$E62:$Z62,MIN(AA$6-$E$3,22))),0))-IF($G$2,0,IF((AA$6-$G$3)&lt;1,0,IFERROR(LOOKUP(2,1/('Feijão 1ª safra'!$E62:INDEX('Feijão 1ª safra'!$E62:$Z62,MIN(AA$6-$G$3,22))&lt;&gt;""),'Feijão 1ª safra'!$E62:INDEX('Feijão 1ª safra'!$E62:$Z62,MIN(AA$6-$G$3,22))),0)))))</f>
        <v>0</v>
      </c>
      <c r="AB64" s="27" t="n">
        <f aca="false">IF(COUNT('Feijão 1ª safra'!$E62:$Z62)=0,0,MAX(0,IF((AB$6-$E$3)&lt;1,0,IFERROR(LOOKUP(2,1/('Feijão 1ª safra'!$E62:INDEX('Feijão 1ª safra'!$E62:$Z62,MIN(AB$6-$E$3,22))&lt;&gt;""),'Feijão 1ª safra'!$E62:INDEX('Feijão 1ª safra'!$E62:$Z62,MIN(AB$6-$E$3,22))),0))-IF($G$2,0,IF((AB$6-$G$3)&lt;1,0,IFERROR(LOOKUP(2,1/('Feijão 1ª safra'!$E62:INDEX('Feijão 1ª safra'!$E62:$Z62,MIN(AB$6-$G$3,22))&lt;&gt;""),'Feijão 1ª safra'!$E62:INDEX('Feijão 1ª safra'!$E62:$Z62,MIN(AB$6-$G$3,22))),0)))))</f>
        <v>0</v>
      </c>
      <c r="AC64" s="27" t="n">
        <f aca="false">IF(COUNT('Feijão 1ª safra'!$E62:$Z62)=0,0,MAX(0,IF((AC$6-$E$3)&lt;1,0,IFERROR(LOOKUP(2,1/('Feijão 1ª safra'!$E62:INDEX('Feijão 1ª safra'!$E62:$Z62,MIN(AC$6-$E$3,22))&lt;&gt;""),'Feijão 1ª safra'!$E62:INDEX('Feijão 1ª safra'!$E62:$Z62,MIN(AC$6-$E$3,22))),0))-IF($G$2,0,IF((AC$6-$G$3)&lt;1,0,IFERROR(LOOKUP(2,1/('Feijão 1ª safra'!$E62:INDEX('Feijão 1ª safra'!$E62:$Z62,MIN(AC$6-$G$3,22))&lt;&gt;""),'Feijão 1ª safra'!$E62:INDEX('Feijão 1ª safra'!$E62:$Z62,MIN(AC$6-$G$3,22))),0)))))</f>
        <v>0</v>
      </c>
      <c r="AD64" s="27" t="n">
        <f aca="false">IF(COUNT('Feijão 1ª safra'!$E62:$Z62)=0,0,MAX(0,IF((AD$6-$E$3)&lt;1,0,IFERROR(LOOKUP(2,1/('Feijão 1ª safra'!$E62:INDEX('Feijão 1ª safra'!$E62:$Z62,MIN(AD$6-$E$3,22))&lt;&gt;""),'Feijão 1ª safra'!$E62:INDEX('Feijão 1ª safra'!$E62:$Z62,MIN(AD$6-$E$3,22))),0))-IF($G$2,0,IF((AD$6-$G$3)&lt;1,0,IFERROR(LOOKUP(2,1/('Feijão 1ª safra'!$E62:INDEX('Feijão 1ª safra'!$E62:$Z62,MIN(AD$6-$G$3,22))&lt;&gt;""),'Feijão 1ª safra'!$E62:INDEX('Feijão 1ª safra'!$E62:$Z62,MIN(AD$6-$G$3,22))),0)))))</f>
        <v>0</v>
      </c>
      <c r="AE64" s="27" t="n">
        <f aca="false">IF(COUNT('Feijão 1ª safra'!$E62:$Z62)=0,0,MAX(0,IF((AE$6-$E$3)&lt;1,0,IFERROR(LOOKUP(2,1/('Feijão 1ª safra'!$E62:INDEX('Feijão 1ª safra'!$E62:$Z62,MIN(AE$6-$E$3,22))&lt;&gt;""),'Feijão 1ª safra'!$E62:INDEX('Feijão 1ª safra'!$E62:$Z62,MIN(AE$6-$E$3,22))),0))-IF($G$2,0,IF((AE$6-$G$3)&lt;1,0,IFERROR(LOOKUP(2,1/('Feijão 1ª safra'!$E62:INDEX('Feijão 1ª safra'!$E62:$Z62,MIN(AE$6-$G$3,22))&lt;&gt;""),'Feijão 1ª safra'!$E62:INDEX('Feijão 1ª safra'!$E62:$Z62,MIN(AE$6-$G$3,22))),0)))))</f>
        <v>0</v>
      </c>
      <c r="AF64" s="27" t="n">
        <f aca="false">IF(COUNT('Feijão 1ª safra'!$E62:$Z62)=0,0,MAX(0,IF((AF$6-$E$3)&lt;1,0,IFERROR(LOOKUP(2,1/('Feijão 1ª safra'!$E62:INDEX('Feijão 1ª safra'!$E62:$Z62,MIN(AF$6-$E$3,22))&lt;&gt;""),'Feijão 1ª safra'!$E62:INDEX('Feijão 1ª safra'!$E62:$Z62,MIN(AF$6-$E$3,22))),0))-IF($G$2,0,IF((AF$6-$G$3)&lt;1,0,IFERROR(LOOKUP(2,1/('Feijão 1ª safra'!$E62:INDEX('Feijão 1ª safra'!$E62:$Z62,MIN(AF$6-$G$3,22))&lt;&gt;""),'Feijão 1ª safra'!$E62:INDEX('Feijão 1ª safra'!$E62:$Z62,MIN(AF$6-$G$3,22))),0)))))</f>
        <v>0</v>
      </c>
      <c r="AG64" s="27" t="n">
        <f aca="false">IF(COUNT('Feijão 1ª safra'!$E62:$Z62)=0,0,MAX(0,IF((AG$6-$E$3)&lt;1,0,IFERROR(LOOKUP(2,1/('Feijão 1ª safra'!$E62:INDEX('Feijão 1ª safra'!$E62:$Z62,MIN(AG$6-$E$3,22))&lt;&gt;""),'Feijão 1ª safra'!$E62:INDEX('Feijão 1ª safra'!$E62:$Z62,MIN(AG$6-$E$3,22))),0))-IF($G$2,0,IF((AG$6-$G$3)&lt;1,0,IFERROR(LOOKUP(2,1/('Feijão 1ª safra'!$E62:INDEX('Feijão 1ª safra'!$E62:$Z62,MIN(AG$6-$G$3,22))&lt;&gt;""),'Feijão 1ª safra'!$E62:INDEX('Feijão 1ª safra'!$E62:$Z62,MIN(AG$6-$G$3,22))),0)))))</f>
        <v>0</v>
      </c>
      <c r="AH64" s="27" t="n">
        <f aca="false">IF(COUNT('Feijão 1ª safra'!$E62:$Z62)=0,0,MAX(0,IF((AH$6-$E$3)&lt;1,0,IFERROR(LOOKUP(2,1/('Feijão 1ª safra'!$E62:INDEX('Feijão 1ª safra'!$E62:$Z62,MIN(AH$6-$E$3,22))&lt;&gt;""),'Feijão 1ª safra'!$E62:INDEX('Feijão 1ª safra'!$E62:$Z62,MIN(AH$6-$E$3,22))),0))-IF($G$2,0,IF((AH$6-$G$3)&lt;1,0,IFERROR(LOOKUP(2,1/('Feijão 1ª safra'!$E62:INDEX('Feijão 1ª safra'!$E62:$Z62,MIN(AH$6-$G$3,22))&lt;&gt;""),'Feijão 1ª safra'!$E62:INDEX('Feijão 1ª safra'!$E62:$Z62,MIN(AH$6-$G$3,22))),0)))))</f>
        <v>0</v>
      </c>
      <c r="AI64" s="27" t="n">
        <f aca="false">IF(COUNT('Feijão 1ª safra'!$E62:$Z62)=0,0,MAX(0,IF((AI$6-$E$3)&lt;1,0,IFERROR(LOOKUP(2,1/('Feijão 1ª safra'!$E62:INDEX('Feijão 1ª safra'!$E62:$Z62,MIN(AI$6-$E$3,22))&lt;&gt;""),'Feijão 1ª safra'!$E62:INDEX('Feijão 1ª safra'!$E62:$Z62,MIN(AI$6-$E$3,22))),0))-IF($G$2,0,IF((AI$6-$G$3)&lt;1,0,IFERROR(LOOKUP(2,1/('Feijão 1ª safra'!$E62:INDEX('Feijão 1ª safra'!$E62:$Z62,MIN(AI$6-$G$3,22))&lt;&gt;""),'Feijão 1ª safra'!$E62:INDEX('Feijão 1ª safra'!$E62:$Z62,MIN(AI$6-$G$3,22))),0)))))</f>
        <v>0</v>
      </c>
      <c r="AJ64" s="27" t="n">
        <f aca="false">IF(COUNT('Feijão 1ª safra'!$E62:$Z62)=0,0,MAX(0,IF((AJ$6-$E$3)&lt;1,0,IFERROR(LOOKUP(2,1/('Feijão 1ª safra'!$E62:INDEX('Feijão 1ª safra'!$E62:$Z62,MIN(AJ$6-$E$3,22))&lt;&gt;""),'Feijão 1ª safra'!$E62:INDEX('Feijão 1ª safra'!$E62:$Z62,MIN(AJ$6-$E$3,22))),0))-IF($G$2,0,IF((AJ$6-$G$3)&lt;1,0,IFERROR(LOOKUP(2,1/('Feijão 1ª safra'!$E62:INDEX('Feijão 1ª safra'!$E62:$Z62,MIN(AJ$6-$G$3,22))&lt;&gt;""),'Feijão 1ª safra'!$E62:INDEX('Feijão 1ª safra'!$E62:$Z62,MIN(AJ$6-$G$3,22))),0)))))</f>
        <v>0</v>
      </c>
      <c r="AK64" s="27" t="n">
        <f aca="false">IF(COUNT('Feijão 1ª safra'!$E62:$Z62)=0,0,MAX(0,IF((AK$6-$E$3)&lt;1,0,IFERROR(LOOKUP(2,1/('Feijão 1ª safra'!$E62:INDEX('Feijão 1ª safra'!$E62:$Z62,MIN(AK$6-$E$3,22))&lt;&gt;""),'Feijão 1ª safra'!$E62:INDEX('Feijão 1ª safra'!$E62:$Z62,MIN(AK$6-$E$3,22))),0))-IF($G$2,0,IF((AK$6-$G$3)&lt;1,0,IFERROR(LOOKUP(2,1/('Feijão 1ª safra'!$E62:INDEX('Feijão 1ª safra'!$E62:$Z62,MIN(AK$6-$G$3,22))&lt;&gt;""),'Feijão 1ª safra'!$E62:INDEX('Feijão 1ª safra'!$E62:$Z62,MIN(AK$6-$G$3,22))),0)))))</f>
        <v>0</v>
      </c>
      <c r="AL64" s="27" t="n">
        <f aca="false">IF(COUNT('Feijão 1ª safra'!$E62:$Z62)=0,0,MAX(0,IF((AL$6-$E$3)&lt;1,0,IFERROR(LOOKUP(2,1/('Feijão 1ª safra'!$E62:INDEX('Feijão 1ª safra'!$E62:$Z62,MIN(AL$6-$E$3,22))&lt;&gt;""),'Feijão 1ª safra'!$E62:INDEX('Feijão 1ª safra'!$E62:$Z62,MIN(AL$6-$E$3,22))),0))-IF($G$2,0,IF((AL$6-$G$3)&lt;1,0,IFERROR(LOOKUP(2,1/('Feijão 1ª safra'!$E62:INDEX('Feijão 1ª safra'!$E62:$Z62,MIN(AL$6-$G$3,22))&lt;&gt;""),'Feijão 1ª safra'!$E62:INDEX('Feijão 1ª safra'!$E62:$Z62,MIN(AL$6-$G$3,22))),0)))))</f>
        <v>0</v>
      </c>
      <c r="AM64" s="27" t="n">
        <f aca="false">IF(COUNT('Feijão 1ª safra'!$E62:$Z62)=0,0,MAX(0,IF((AM$6-$E$3)&lt;1,0,IFERROR(LOOKUP(2,1/('Feijão 1ª safra'!$E62:INDEX('Feijão 1ª safra'!$E62:$Z62,MIN(AM$6-$E$3,22))&lt;&gt;""),'Feijão 1ª safra'!$E62:INDEX('Feijão 1ª safra'!$E62:$Z62,MIN(AM$6-$E$3,22))),0))-IF($G$2,0,IF((AM$6-$G$3)&lt;1,0,IFERROR(LOOKUP(2,1/('Feijão 1ª safra'!$E62:INDEX('Feijão 1ª safra'!$E62:$Z62,MIN(AM$6-$G$3,22))&lt;&gt;""),'Feijão 1ª safra'!$E62:INDEX('Feijão 1ª safra'!$E62:$Z62,MIN(AM$6-$G$3,22))),0)))))</f>
        <v>0</v>
      </c>
      <c r="AN64" s="27" t="n">
        <f aca="false">IF(COUNT('Feijão 1ª safra'!$E62:$Z62)=0,0,MAX(0,IF((AN$6-$E$3)&lt;1,0,IFERROR(LOOKUP(2,1/('Feijão 1ª safra'!$E62:INDEX('Feijão 1ª safra'!$E62:$Z62,MIN(AN$6-$E$3,22))&lt;&gt;""),'Feijão 1ª safra'!$E62:INDEX('Feijão 1ª safra'!$E62:$Z62,MIN(AN$6-$E$3,22))),0))-IF($G$2,0,IF((AN$6-$G$3)&lt;1,0,IFERROR(LOOKUP(2,1/('Feijão 1ª safra'!$E62:INDEX('Feijão 1ª safra'!$E62:$Z62,MIN(AN$6-$G$3,22))&lt;&gt;""),'Feijão 1ª safra'!$E62:INDEX('Feijão 1ª safra'!$E62:$Z62,MIN(AN$6-$G$3,22))),0)))))</f>
        <v>0</v>
      </c>
      <c r="AO64" s="27" t="n">
        <f aca="false">IF(COUNT('Feijão 1ª safra'!$E62:$Z62)=0,0,MAX(0,IF((AO$6-$E$3)&lt;1,0,IFERROR(LOOKUP(2,1/('Feijão 1ª safra'!$E62:INDEX('Feijão 1ª safra'!$E62:$Z62,MIN(AO$6-$E$3,22))&lt;&gt;""),'Feijão 1ª safra'!$E62:INDEX('Feijão 1ª safra'!$E62:$Z62,MIN(AO$6-$E$3,22))),0))-IF($G$2,0,IF((AO$6-$G$3)&lt;1,0,IFERROR(LOOKUP(2,1/('Feijão 1ª safra'!$E62:INDEX('Feijão 1ª safra'!$E62:$Z62,MIN(AO$6-$G$3,22))&lt;&gt;""),'Feijão 1ª safra'!$E62:INDEX('Feijão 1ª safra'!$E62:$Z62,MIN(AO$6-$G$3,22))),0)))))</f>
        <v>0</v>
      </c>
      <c r="AP64" s="27" t="n">
        <f aca="false">IF(COUNT('Feijão 1ª safra'!$E62:$Z62)=0,0,MAX(0,IF((AP$6-$E$3)&lt;1,0,IFERROR(LOOKUP(2,1/('Feijão 1ª safra'!$E62:INDEX('Feijão 1ª safra'!$E62:$Z62,MIN(AP$6-$E$3,22))&lt;&gt;""),'Feijão 1ª safra'!$E62:INDEX('Feijão 1ª safra'!$E62:$Z62,MIN(AP$6-$E$3,22))),0))-IF($G$2,0,IF((AP$6-$G$3)&lt;1,0,IFERROR(LOOKUP(2,1/('Feijão 1ª safra'!$E62:INDEX('Feijão 1ª safra'!$E62:$Z62,MIN(AP$6-$G$3,22))&lt;&gt;""),'Feijão 1ª safra'!$E62:INDEX('Feijão 1ª safra'!$E62:$Z62,MIN(AP$6-$G$3,22))),0)))))</f>
        <v>0</v>
      </c>
      <c r="AQ64" s="27" t="n">
        <f aca="false">IF(COUNT('Feijão 1ª safra'!$E62:$Z62)=0,0,MAX(0,IF((AQ$6-$E$3)&lt;1,0,IFERROR(LOOKUP(2,1/('Feijão 1ª safra'!$E62:INDEX('Feijão 1ª safra'!$E62:$Z62,MIN(AQ$6-$E$3,22))&lt;&gt;""),'Feijão 1ª safra'!$E62:INDEX('Feijão 1ª safra'!$E62:$Z62,MIN(AQ$6-$E$3,22))),0))-IF($G$2,0,IF((AQ$6-$G$3)&lt;1,0,IFERROR(LOOKUP(2,1/('Feijão 1ª safra'!$E62:INDEX('Feijão 1ª safra'!$E62:$Z62,MIN(AQ$6-$G$3,22))&lt;&gt;""),'Feijão 1ª safra'!$E62:INDEX('Feijão 1ª safra'!$E62:$Z62,MIN(AQ$6-$G$3,22))),0)))))</f>
        <v>0</v>
      </c>
      <c r="AR64" s="27" t="n">
        <f aca="false">IF(COUNT('Feijão 1ª safra'!$E62:$Z62)=0,0,MAX(0,IF((AR$6-$E$3)&lt;1,0,IFERROR(LOOKUP(2,1/('Feijão 1ª safra'!$E62:INDEX('Feijão 1ª safra'!$E62:$Z62,MIN(AR$6-$E$3,22))&lt;&gt;""),'Feijão 1ª safra'!$E62:INDEX('Feijão 1ª safra'!$E62:$Z62,MIN(AR$6-$E$3,22))),0))-IF($G$2,0,IF((AR$6-$G$3)&lt;1,0,IFERROR(LOOKUP(2,1/('Feijão 1ª safra'!$E62:INDEX('Feijão 1ª safra'!$E62:$Z62,MIN(AR$6-$G$3,22))&lt;&gt;""),'Feijão 1ª safra'!$E62:INDEX('Feijão 1ª safra'!$E62:$Z62,MIN(AR$6-$G$3,22))),0)))))</f>
        <v>0</v>
      </c>
      <c r="AS64" s="27" t="n">
        <f aca="false">IF(COUNT('Feijão 1ª safra'!$E62:$Z62)=0,0,MAX(0,IF((AS$6-$E$3)&lt;1,0,IFERROR(LOOKUP(2,1/('Feijão 1ª safra'!$E62:INDEX('Feijão 1ª safra'!$E62:$Z62,MIN(AS$6-$E$3,22))&lt;&gt;""),'Feijão 1ª safra'!$E62:INDEX('Feijão 1ª safra'!$E62:$Z62,MIN(AS$6-$E$3,22))),0))-IF($G$2,0,IF((AS$6-$G$3)&lt;1,0,IFERROR(LOOKUP(2,1/('Feijão 1ª safra'!$E62:INDEX('Feijão 1ª safra'!$E62:$Z62,MIN(AS$6-$G$3,22))&lt;&gt;""),'Feijão 1ª safra'!$E62:INDEX('Feijão 1ª safra'!$E62:$Z62,MIN(AS$6-$G$3,22))),0)))))</f>
        <v>0</v>
      </c>
      <c r="AT64" s="27" t="n">
        <f aca="false">IF(COUNT('Feijão 1ª safra'!$E62:$Z62)=0,0,MAX(0,IF((AT$6-$E$3)&lt;1,0,IFERROR(LOOKUP(2,1/('Feijão 1ª safra'!$E62:INDEX('Feijão 1ª safra'!$E62:$Z62,MIN(AT$6-$E$3,22))&lt;&gt;""),'Feijão 1ª safra'!$E62:INDEX('Feijão 1ª safra'!$E62:$Z62,MIN(AT$6-$E$3,22))),0))-IF($G$2,0,IF((AT$6-$G$3)&lt;1,0,IFERROR(LOOKUP(2,1/('Feijão 1ª safra'!$E62:INDEX('Feijão 1ª safra'!$E62:$Z62,MIN(AT$6-$G$3,22))&lt;&gt;""),'Feijão 1ª safra'!$E62:INDEX('Feijão 1ª safra'!$E62:$Z62,MIN(AT$6-$G$3,22))),0)))))</f>
        <v>0</v>
      </c>
      <c r="AU64" s="27" t="n">
        <f aca="false">IF(COUNT('Feijão 1ª safra'!$E62:$Z62)=0,0,MAX(0,IF((AU$6-$E$3)&lt;1,0,IFERROR(LOOKUP(2,1/('Feijão 1ª safra'!$E62:INDEX('Feijão 1ª safra'!$E62:$Z62,MIN(AU$6-$E$3,22))&lt;&gt;""),'Feijão 1ª safra'!$E62:INDEX('Feijão 1ª safra'!$E62:$Z62,MIN(AU$6-$E$3,22))),0))-IF($G$2,0,IF((AU$6-$G$3)&lt;1,0,IFERROR(LOOKUP(2,1/('Feijão 1ª safra'!$E62:INDEX('Feijão 1ª safra'!$E62:$Z62,MIN(AU$6-$G$3,22))&lt;&gt;""),'Feijão 1ª safra'!$E62:INDEX('Feijão 1ª safra'!$E62:$Z62,MIN(AU$6-$G$3,22))),0)))))</f>
        <v>0</v>
      </c>
      <c r="AV64" s="27" t="n">
        <f aca="false">IF(COUNT('Feijão 1ª safra'!$E62:$Z62)=0,0,MAX(0,IF((AV$6-$E$3)&lt;1,0,IFERROR(LOOKUP(2,1/('Feijão 1ª safra'!$E62:INDEX('Feijão 1ª safra'!$E62:$Z62,MIN(AV$6-$E$3,22))&lt;&gt;""),'Feijão 1ª safra'!$E62:INDEX('Feijão 1ª safra'!$E62:$Z62,MIN(AV$6-$E$3,22))),0))-IF($G$2,0,IF((AV$6-$G$3)&lt;1,0,IFERROR(LOOKUP(2,1/('Feijão 1ª safra'!$E62:INDEX('Feijão 1ª safra'!$E62:$Z62,MIN(AV$6-$G$3,22))&lt;&gt;""),'Feijão 1ª safra'!$E62:INDEX('Feijão 1ª safra'!$E62:$Z62,MIN(AV$6-$G$3,22))),0)))))</f>
        <v>0</v>
      </c>
      <c r="AW64" s="27" t="n">
        <f aca="false">IF(COUNT('Feijão 1ª safra'!$E62:$Z62)=0,0,MAX(0,IF((AW$6-$E$3)&lt;1,0,IFERROR(LOOKUP(2,1/('Feijão 1ª safra'!$E62:INDEX('Feijão 1ª safra'!$E62:$Z62,MIN(AW$6-$E$3,22))&lt;&gt;""),'Feijão 1ª safra'!$E62:INDEX('Feijão 1ª safra'!$E62:$Z62,MIN(AW$6-$E$3,22))),0))-IF($G$2,0,IF((AW$6-$G$3)&lt;1,0,IFERROR(LOOKUP(2,1/('Feijão 1ª safra'!$E62:INDEX('Feijão 1ª safra'!$E62:$Z62,MIN(AW$6-$G$3,22))&lt;&gt;""),'Feijão 1ª safra'!$E62:INDEX('Feijão 1ª safra'!$E62:$Z62,MIN(AW$6-$G$3,22))),0)))))</f>
        <v>0</v>
      </c>
      <c r="AX64" s="27" t="n">
        <f aca="false">IF(COUNT('Feijão 1ª safra'!$E62:$Z62)=0,0,MAX(0,IF((AX$6-$E$3)&lt;1,0,IFERROR(LOOKUP(2,1/('Feijão 1ª safra'!$E62:INDEX('Feijão 1ª safra'!$E62:$Z62,MIN(AX$6-$E$3,22))&lt;&gt;""),'Feijão 1ª safra'!$E62:INDEX('Feijão 1ª safra'!$E62:$Z62,MIN(AX$6-$E$3,22))),0))-IF($G$2,0,IF((AX$6-$G$3)&lt;1,0,IFERROR(LOOKUP(2,1/('Feijão 1ª safra'!$E62:INDEX('Feijão 1ª safra'!$E62:$Z62,MIN(AX$6-$G$3,22))&lt;&gt;""),'Feijão 1ª safra'!$E62:INDEX('Feijão 1ª safra'!$E62:$Z62,MIN(AX$6-$G$3,22))),0)))))</f>
        <v>0</v>
      </c>
      <c r="AY64" s="27" t="n">
        <f aca="false">IF(COUNT('Feijão 1ª safra'!$E62:$Z62)=0,0,MAX(0,IF((AY$6-$E$3)&lt;1,0,IFERROR(LOOKUP(2,1/('Feijão 1ª safra'!$E62:INDEX('Feijão 1ª safra'!$E62:$Z62,MIN(AY$6-$E$3,22))&lt;&gt;""),'Feijão 1ª safra'!$E62:INDEX('Feijão 1ª safra'!$E62:$Z62,MIN(AY$6-$E$3,22))),0))-IF($G$2,0,IF((AY$6-$G$3)&lt;1,0,IFERROR(LOOKUP(2,1/('Feijão 1ª safra'!$E62:INDEX('Feijão 1ª safra'!$E62:$Z62,MIN(AY$6-$G$3,22))&lt;&gt;""),'Feijão 1ª safra'!$E62:INDEX('Feijão 1ª safra'!$E62:$Z62,MIN(AY$6-$G$3,22))),0)))))</f>
        <v>0</v>
      </c>
      <c r="AZ64" s="27" t="n">
        <f aca="false">IF(COUNT('Feijão 1ª safra'!$E62:$Z62)=0,0,MAX(0,IF((AZ$6-$E$3)&lt;1,0,IFERROR(LOOKUP(2,1/('Feijão 1ª safra'!$E62:INDEX('Feijão 1ª safra'!$E62:$Z62,MIN(AZ$6-$E$3,22))&lt;&gt;""),'Feijão 1ª safra'!$E62:INDEX('Feijão 1ª safra'!$E62:$Z62,MIN(AZ$6-$E$3,22))),0))-IF($G$2,0,IF((AZ$6-$G$3)&lt;1,0,IFERROR(LOOKUP(2,1/('Feijão 1ª safra'!$E62:INDEX('Feijão 1ª safra'!$E62:$Z62,MIN(AZ$6-$G$3,22))&lt;&gt;""),'Feijão 1ª safra'!$E62:INDEX('Feijão 1ª safra'!$E62:$Z62,MIN(AZ$6-$G$3,22))),0)))))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IF(COUNT('Feijão 1ª safra'!$E63:$Z63)&gt;0,N('Feijão 1ª safra'!$D63),0)</f>
        <v>0</v>
      </c>
      <c r="E65" s="27" t="n">
        <f aca="false">IF(COUNT('Feijão 1ª safra'!$E63:$Z63)=0,0,MAX(0,IF((E$6-$E$3)&lt;1,0,IFERROR(LOOKUP(2,1/('Feijão 1ª safra'!$E63:INDEX('Feijão 1ª safra'!$E63:$Z63,MIN(E$6-$E$3,22))&lt;&gt;""),'Feijão 1ª safra'!$E63:INDEX('Feijão 1ª safra'!$E63:$Z63,MIN(E$6-$E$3,22))),0))-IF($G$2,0,IF((E$6-$G$3)&lt;1,0,IFERROR(LOOKUP(2,1/('Feijão 1ª safra'!$E63:INDEX('Feijão 1ª safra'!$E63:$Z63,MIN(E$6-$G$3,22))&lt;&gt;""),'Feijão 1ª safra'!$E63:INDEX('Feijão 1ª safra'!$E63:$Z63,MIN(E$6-$G$3,22))),0)))))</f>
        <v>0</v>
      </c>
      <c r="F65" s="27" t="n">
        <f aca="false">IF(COUNT('Feijão 1ª safra'!$E63:$Z63)=0,0,MAX(0,IF((F$6-$E$3)&lt;1,0,IFERROR(LOOKUP(2,1/('Feijão 1ª safra'!$E63:INDEX('Feijão 1ª safra'!$E63:$Z63,MIN(F$6-$E$3,22))&lt;&gt;""),'Feijão 1ª safra'!$E63:INDEX('Feijão 1ª safra'!$E63:$Z63,MIN(F$6-$E$3,22))),0))-IF($G$2,0,IF((F$6-$G$3)&lt;1,0,IFERROR(LOOKUP(2,1/('Feijão 1ª safra'!$E63:INDEX('Feijão 1ª safra'!$E63:$Z63,MIN(F$6-$G$3,22))&lt;&gt;""),'Feijão 1ª safra'!$E63:INDEX('Feijão 1ª safra'!$E63:$Z63,MIN(F$6-$G$3,22))),0)))))</f>
        <v>0</v>
      </c>
      <c r="G65" s="27" t="n">
        <f aca="false">IF(COUNT('Feijão 1ª safra'!$E63:$Z63)=0,0,MAX(0,IF((G$6-$E$3)&lt;1,0,IFERROR(LOOKUP(2,1/('Feijão 1ª safra'!$E63:INDEX('Feijão 1ª safra'!$E63:$Z63,MIN(G$6-$E$3,22))&lt;&gt;""),'Feijão 1ª safra'!$E63:INDEX('Feijão 1ª safra'!$E63:$Z63,MIN(G$6-$E$3,22))),0))-IF($G$2,0,IF((G$6-$G$3)&lt;1,0,IFERROR(LOOKUP(2,1/('Feijão 1ª safra'!$E63:INDEX('Feijão 1ª safra'!$E63:$Z63,MIN(G$6-$G$3,22))&lt;&gt;""),'Feijão 1ª safra'!$E63:INDEX('Feijão 1ª safra'!$E63:$Z63,MIN(G$6-$G$3,22))),0)))))</f>
        <v>0</v>
      </c>
      <c r="H65" s="27" t="n">
        <f aca="false">IF(COUNT('Feijão 1ª safra'!$E63:$Z63)=0,0,MAX(0,IF((H$6-$E$3)&lt;1,0,IFERROR(LOOKUP(2,1/('Feijão 1ª safra'!$E63:INDEX('Feijão 1ª safra'!$E63:$Z63,MIN(H$6-$E$3,22))&lt;&gt;""),'Feijão 1ª safra'!$E63:INDEX('Feijão 1ª safra'!$E63:$Z63,MIN(H$6-$E$3,22))),0))-IF($G$2,0,IF((H$6-$G$3)&lt;1,0,IFERROR(LOOKUP(2,1/('Feijão 1ª safra'!$E63:INDEX('Feijão 1ª safra'!$E63:$Z63,MIN(H$6-$G$3,22))&lt;&gt;""),'Feijão 1ª safra'!$E63:INDEX('Feijão 1ª safra'!$E63:$Z63,MIN(H$6-$G$3,22))),0)))))</f>
        <v>0</v>
      </c>
      <c r="I65" s="27" t="n">
        <f aca="false">IF(COUNT('Feijão 1ª safra'!$E63:$Z63)=0,0,MAX(0,IF((I$6-$E$3)&lt;1,0,IFERROR(LOOKUP(2,1/('Feijão 1ª safra'!$E63:INDEX('Feijão 1ª safra'!$E63:$Z63,MIN(I$6-$E$3,22))&lt;&gt;""),'Feijão 1ª safra'!$E63:INDEX('Feijão 1ª safra'!$E63:$Z63,MIN(I$6-$E$3,22))),0))-IF($G$2,0,IF((I$6-$G$3)&lt;1,0,IFERROR(LOOKUP(2,1/('Feijão 1ª safra'!$E63:INDEX('Feijão 1ª safra'!$E63:$Z63,MIN(I$6-$G$3,22))&lt;&gt;""),'Feijão 1ª safra'!$E63:INDEX('Feijão 1ª safra'!$E63:$Z63,MIN(I$6-$G$3,22))),0)))))</f>
        <v>0</v>
      </c>
      <c r="J65" s="27" t="n">
        <f aca="false">IF(COUNT('Feijão 1ª safra'!$E63:$Z63)=0,0,MAX(0,IF((J$6-$E$3)&lt;1,0,IFERROR(LOOKUP(2,1/('Feijão 1ª safra'!$E63:INDEX('Feijão 1ª safra'!$E63:$Z63,MIN(J$6-$E$3,22))&lt;&gt;""),'Feijão 1ª safra'!$E63:INDEX('Feijão 1ª safra'!$E63:$Z63,MIN(J$6-$E$3,22))),0))-IF($G$2,0,IF((J$6-$G$3)&lt;1,0,IFERROR(LOOKUP(2,1/('Feijão 1ª safra'!$E63:INDEX('Feijão 1ª safra'!$E63:$Z63,MIN(J$6-$G$3,22))&lt;&gt;""),'Feijão 1ª safra'!$E63:INDEX('Feijão 1ª safra'!$E63:$Z63,MIN(J$6-$G$3,22))),0)))))</f>
        <v>0</v>
      </c>
      <c r="K65" s="27" t="n">
        <f aca="false">IF(COUNT('Feijão 1ª safra'!$E63:$Z63)=0,0,MAX(0,IF((K$6-$E$3)&lt;1,0,IFERROR(LOOKUP(2,1/('Feijão 1ª safra'!$E63:INDEX('Feijão 1ª safra'!$E63:$Z63,MIN(K$6-$E$3,22))&lt;&gt;""),'Feijão 1ª safra'!$E63:INDEX('Feijão 1ª safra'!$E63:$Z63,MIN(K$6-$E$3,22))),0))-IF($G$2,0,IF((K$6-$G$3)&lt;1,0,IFERROR(LOOKUP(2,1/('Feijão 1ª safra'!$E63:INDEX('Feijão 1ª safra'!$E63:$Z63,MIN(K$6-$G$3,22))&lt;&gt;""),'Feijão 1ª safra'!$E63:INDEX('Feijão 1ª safra'!$E63:$Z63,MIN(K$6-$G$3,22))),0)))))</f>
        <v>0</v>
      </c>
      <c r="L65" s="27" t="n">
        <f aca="false">IF(COUNT('Feijão 1ª safra'!$E63:$Z63)=0,0,MAX(0,IF((L$6-$E$3)&lt;1,0,IFERROR(LOOKUP(2,1/('Feijão 1ª safra'!$E63:INDEX('Feijão 1ª safra'!$E63:$Z63,MIN(L$6-$E$3,22))&lt;&gt;""),'Feijão 1ª safra'!$E63:INDEX('Feijão 1ª safra'!$E63:$Z63,MIN(L$6-$E$3,22))),0))-IF($G$2,0,IF((L$6-$G$3)&lt;1,0,IFERROR(LOOKUP(2,1/('Feijão 1ª safra'!$E63:INDEX('Feijão 1ª safra'!$E63:$Z63,MIN(L$6-$G$3,22))&lt;&gt;""),'Feijão 1ª safra'!$E63:INDEX('Feijão 1ª safra'!$E63:$Z63,MIN(L$6-$G$3,22))),0)))))</f>
        <v>0</v>
      </c>
      <c r="M65" s="27" t="n">
        <f aca="false">IF(COUNT('Feijão 1ª safra'!$E63:$Z63)=0,0,MAX(0,IF((M$6-$E$3)&lt;1,0,IFERROR(LOOKUP(2,1/('Feijão 1ª safra'!$E63:INDEX('Feijão 1ª safra'!$E63:$Z63,MIN(M$6-$E$3,22))&lt;&gt;""),'Feijão 1ª safra'!$E63:INDEX('Feijão 1ª safra'!$E63:$Z63,MIN(M$6-$E$3,22))),0))-IF($G$2,0,IF((M$6-$G$3)&lt;1,0,IFERROR(LOOKUP(2,1/('Feijão 1ª safra'!$E63:INDEX('Feijão 1ª safra'!$E63:$Z63,MIN(M$6-$G$3,22))&lt;&gt;""),'Feijão 1ª safra'!$E63:INDEX('Feijão 1ª safra'!$E63:$Z63,MIN(M$6-$G$3,22))),0)))))</f>
        <v>0</v>
      </c>
      <c r="N65" s="27" t="n">
        <f aca="false">IF(COUNT('Feijão 1ª safra'!$E63:$Z63)=0,0,MAX(0,IF((N$6-$E$3)&lt;1,0,IFERROR(LOOKUP(2,1/('Feijão 1ª safra'!$E63:INDEX('Feijão 1ª safra'!$E63:$Z63,MIN(N$6-$E$3,22))&lt;&gt;""),'Feijão 1ª safra'!$E63:INDEX('Feijão 1ª safra'!$E63:$Z63,MIN(N$6-$E$3,22))),0))-IF($G$2,0,IF((N$6-$G$3)&lt;1,0,IFERROR(LOOKUP(2,1/('Feijão 1ª safra'!$E63:INDEX('Feijão 1ª safra'!$E63:$Z63,MIN(N$6-$G$3,22))&lt;&gt;""),'Feijão 1ª safra'!$E63:INDEX('Feijão 1ª safra'!$E63:$Z63,MIN(N$6-$G$3,22))),0)))))</f>
        <v>0</v>
      </c>
      <c r="O65" s="27" t="n">
        <f aca="false">IF(COUNT('Feijão 1ª safra'!$E63:$Z63)=0,0,MAX(0,IF((O$6-$E$3)&lt;1,0,IFERROR(LOOKUP(2,1/('Feijão 1ª safra'!$E63:INDEX('Feijão 1ª safra'!$E63:$Z63,MIN(O$6-$E$3,22))&lt;&gt;""),'Feijão 1ª safra'!$E63:INDEX('Feijão 1ª safra'!$E63:$Z63,MIN(O$6-$E$3,22))),0))-IF($G$2,0,IF((O$6-$G$3)&lt;1,0,IFERROR(LOOKUP(2,1/('Feijão 1ª safra'!$E63:INDEX('Feijão 1ª safra'!$E63:$Z63,MIN(O$6-$G$3,22))&lt;&gt;""),'Feijão 1ª safra'!$E63:INDEX('Feijão 1ª safra'!$E63:$Z63,MIN(O$6-$G$3,22))),0)))))</f>
        <v>0</v>
      </c>
      <c r="P65" s="27" t="n">
        <f aca="false">IF(COUNT('Feijão 1ª safra'!$E63:$Z63)=0,0,MAX(0,IF((P$6-$E$3)&lt;1,0,IFERROR(LOOKUP(2,1/('Feijão 1ª safra'!$E63:INDEX('Feijão 1ª safra'!$E63:$Z63,MIN(P$6-$E$3,22))&lt;&gt;""),'Feijão 1ª safra'!$E63:INDEX('Feijão 1ª safra'!$E63:$Z63,MIN(P$6-$E$3,22))),0))-IF($G$2,0,IF((P$6-$G$3)&lt;1,0,IFERROR(LOOKUP(2,1/('Feijão 1ª safra'!$E63:INDEX('Feijão 1ª safra'!$E63:$Z63,MIN(P$6-$G$3,22))&lt;&gt;""),'Feijão 1ª safra'!$E63:INDEX('Feijão 1ª safra'!$E63:$Z63,MIN(P$6-$G$3,22))),0)))))</f>
        <v>0</v>
      </c>
      <c r="Q65" s="27" t="n">
        <f aca="false">IF(COUNT('Feijão 1ª safra'!$E63:$Z63)=0,0,MAX(0,IF((Q$6-$E$3)&lt;1,0,IFERROR(LOOKUP(2,1/('Feijão 1ª safra'!$E63:INDEX('Feijão 1ª safra'!$E63:$Z63,MIN(Q$6-$E$3,22))&lt;&gt;""),'Feijão 1ª safra'!$E63:INDEX('Feijão 1ª safra'!$E63:$Z63,MIN(Q$6-$E$3,22))),0))-IF($G$2,0,IF((Q$6-$G$3)&lt;1,0,IFERROR(LOOKUP(2,1/('Feijão 1ª safra'!$E63:INDEX('Feijão 1ª safra'!$E63:$Z63,MIN(Q$6-$G$3,22))&lt;&gt;""),'Feijão 1ª safra'!$E63:INDEX('Feijão 1ª safra'!$E63:$Z63,MIN(Q$6-$G$3,22))),0)))))</f>
        <v>0</v>
      </c>
      <c r="R65" s="27" t="n">
        <f aca="false">IF(COUNT('Feijão 1ª safra'!$E63:$Z63)=0,0,MAX(0,IF((R$6-$E$3)&lt;1,0,IFERROR(LOOKUP(2,1/('Feijão 1ª safra'!$E63:INDEX('Feijão 1ª safra'!$E63:$Z63,MIN(R$6-$E$3,22))&lt;&gt;""),'Feijão 1ª safra'!$E63:INDEX('Feijão 1ª safra'!$E63:$Z63,MIN(R$6-$E$3,22))),0))-IF($G$2,0,IF((R$6-$G$3)&lt;1,0,IFERROR(LOOKUP(2,1/('Feijão 1ª safra'!$E63:INDEX('Feijão 1ª safra'!$E63:$Z63,MIN(R$6-$G$3,22))&lt;&gt;""),'Feijão 1ª safra'!$E63:INDEX('Feijão 1ª safra'!$E63:$Z63,MIN(R$6-$G$3,22))),0)))))</f>
        <v>0</v>
      </c>
      <c r="S65" s="27" t="n">
        <f aca="false">IF(COUNT('Feijão 1ª safra'!$E63:$Z63)=0,0,MAX(0,IF((S$6-$E$3)&lt;1,0,IFERROR(LOOKUP(2,1/('Feijão 1ª safra'!$E63:INDEX('Feijão 1ª safra'!$E63:$Z63,MIN(S$6-$E$3,22))&lt;&gt;""),'Feijão 1ª safra'!$E63:INDEX('Feijão 1ª safra'!$E63:$Z63,MIN(S$6-$E$3,22))),0))-IF($G$2,0,IF((S$6-$G$3)&lt;1,0,IFERROR(LOOKUP(2,1/('Feijão 1ª safra'!$E63:INDEX('Feijão 1ª safra'!$E63:$Z63,MIN(S$6-$G$3,22))&lt;&gt;""),'Feijão 1ª safra'!$E63:INDEX('Feijão 1ª safra'!$E63:$Z63,MIN(S$6-$G$3,22))),0)))))</f>
        <v>0</v>
      </c>
      <c r="T65" s="27" t="n">
        <f aca="false">IF(COUNT('Feijão 1ª safra'!$E63:$Z63)=0,0,MAX(0,IF((T$6-$E$3)&lt;1,0,IFERROR(LOOKUP(2,1/('Feijão 1ª safra'!$E63:INDEX('Feijão 1ª safra'!$E63:$Z63,MIN(T$6-$E$3,22))&lt;&gt;""),'Feijão 1ª safra'!$E63:INDEX('Feijão 1ª safra'!$E63:$Z63,MIN(T$6-$E$3,22))),0))-IF($G$2,0,IF((T$6-$G$3)&lt;1,0,IFERROR(LOOKUP(2,1/('Feijão 1ª safra'!$E63:INDEX('Feijão 1ª safra'!$E63:$Z63,MIN(T$6-$G$3,22))&lt;&gt;""),'Feijão 1ª safra'!$E63:INDEX('Feijão 1ª safra'!$E63:$Z63,MIN(T$6-$G$3,22))),0)))))</f>
        <v>0</v>
      </c>
      <c r="U65" s="27" t="n">
        <f aca="false">IF(COUNT('Feijão 1ª safra'!$E63:$Z63)=0,0,MAX(0,IF((U$6-$E$3)&lt;1,0,IFERROR(LOOKUP(2,1/('Feijão 1ª safra'!$E63:INDEX('Feijão 1ª safra'!$E63:$Z63,MIN(U$6-$E$3,22))&lt;&gt;""),'Feijão 1ª safra'!$E63:INDEX('Feijão 1ª safra'!$E63:$Z63,MIN(U$6-$E$3,22))),0))-IF($G$2,0,IF((U$6-$G$3)&lt;1,0,IFERROR(LOOKUP(2,1/('Feijão 1ª safra'!$E63:INDEX('Feijão 1ª safra'!$E63:$Z63,MIN(U$6-$G$3,22))&lt;&gt;""),'Feijão 1ª safra'!$E63:INDEX('Feijão 1ª safra'!$E63:$Z63,MIN(U$6-$G$3,22))),0)))))</f>
        <v>0</v>
      </c>
      <c r="V65" s="27" t="n">
        <f aca="false">IF(COUNT('Feijão 1ª safra'!$E63:$Z63)=0,0,MAX(0,IF((V$6-$E$3)&lt;1,0,IFERROR(LOOKUP(2,1/('Feijão 1ª safra'!$E63:INDEX('Feijão 1ª safra'!$E63:$Z63,MIN(V$6-$E$3,22))&lt;&gt;""),'Feijão 1ª safra'!$E63:INDEX('Feijão 1ª safra'!$E63:$Z63,MIN(V$6-$E$3,22))),0))-IF($G$2,0,IF((V$6-$G$3)&lt;1,0,IFERROR(LOOKUP(2,1/('Feijão 1ª safra'!$E63:INDEX('Feijão 1ª safra'!$E63:$Z63,MIN(V$6-$G$3,22))&lt;&gt;""),'Feijão 1ª safra'!$E63:INDEX('Feijão 1ª safra'!$E63:$Z63,MIN(V$6-$G$3,22))),0)))))</f>
        <v>0</v>
      </c>
      <c r="W65" s="27" t="n">
        <f aca="false">IF(COUNT('Feijão 1ª safra'!$E63:$Z63)=0,0,MAX(0,IF((W$6-$E$3)&lt;1,0,IFERROR(LOOKUP(2,1/('Feijão 1ª safra'!$E63:INDEX('Feijão 1ª safra'!$E63:$Z63,MIN(W$6-$E$3,22))&lt;&gt;""),'Feijão 1ª safra'!$E63:INDEX('Feijão 1ª safra'!$E63:$Z63,MIN(W$6-$E$3,22))),0))-IF($G$2,0,IF((W$6-$G$3)&lt;1,0,IFERROR(LOOKUP(2,1/('Feijão 1ª safra'!$E63:INDEX('Feijão 1ª safra'!$E63:$Z63,MIN(W$6-$G$3,22))&lt;&gt;""),'Feijão 1ª safra'!$E63:INDEX('Feijão 1ª safra'!$E63:$Z63,MIN(W$6-$G$3,22))),0)))))</f>
        <v>0</v>
      </c>
      <c r="X65" s="27" t="n">
        <f aca="false">IF(COUNT('Feijão 1ª safra'!$E63:$Z63)=0,0,MAX(0,IF((X$6-$E$3)&lt;1,0,IFERROR(LOOKUP(2,1/('Feijão 1ª safra'!$E63:INDEX('Feijão 1ª safra'!$E63:$Z63,MIN(X$6-$E$3,22))&lt;&gt;""),'Feijão 1ª safra'!$E63:INDEX('Feijão 1ª safra'!$E63:$Z63,MIN(X$6-$E$3,22))),0))-IF($G$2,0,IF((X$6-$G$3)&lt;1,0,IFERROR(LOOKUP(2,1/('Feijão 1ª safra'!$E63:INDEX('Feijão 1ª safra'!$E63:$Z63,MIN(X$6-$G$3,22))&lt;&gt;""),'Feijão 1ª safra'!$E63:INDEX('Feijão 1ª safra'!$E63:$Z63,MIN(X$6-$G$3,22))),0)))))</f>
        <v>0</v>
      </c>
      <c r="Y65" s="27" t="n">
        <f aca="false">IF(COUNT('Feijão 1ª safra'!$E63:$Z63)=0,0,MAX(0,IF((Y$6-$E$3)&lt;1,0,IFERROR(LOOKUP(2,1/('Feijão 1ª safra'!$E63:INDEX('Feijão 1ª safra'!$E63:$Z63,MIN(Y$6-$E$3,22))&lt;&gt;""),'Feijão 1ª safra'!$E63:INDEX('Feijão 1ª safra'!$E63:$Z63,MIN(Y$6-$E$3,22))),0))-IF($G$2,0,IF((Y$6-$G$3)&lt;1,0,IFERROR(LOOKUP(2,1/('Feijão 1ª safra'!$E63:INDEX('Feijão 1ª safra'!$E63:$Z63,MIN(Y$6-$G$3,22))&lt;&gt;""),'Feijão 1ª safra'!$E63:INDEX('Feijão 1ª safra'!$E63:$Z63,MIN(Y$6-$G$3,22))),0)))))</f>
        <v>0</v>
      </c>
      <c r="Z65" s="27" t="n">
        <f aca="false">IF(COUNT('Feijão 1ª safra'!$E63:$Z63)=0,0,MAX(0,IF((Z$6-$E$3)&lt;1,0,IFERROR(LOOKUP(2,1/('Feijão 1ª safra'!$E63:INDEX('Feijão 1ª safra'!$E63:$Z63,MIN(Z$6-$E$3,22))&lt;&gt;""),'Feijão 1ª safra'!$E63:INDEX('Feijão 1ª safra'!$E63:$Z63,MIN(Z$6-$E$3,22))),0))-IF($G$2,0,IF((Z$6-$G$3)&lt;1,0,IFERROR(LOOKUP(2,1/('Feijão 1ª safra'!$E63:INDEX('Feijão 1ª safra'!$E63:$Z63,MIN(Z$6-$G$3,22))&lt;&gt;""),'Feijão 1ª safra'!$E63:INDEX('Feijão 1ª safra'!$E63:$Z63,MIN(Z$6-$G$3,22))),0)))))</f>
        <v>0</v>
      </c>
      <c r="AA65" s="27" t="n">
        <f aca="false">IF(COUNT('Feijão 1ª safra'!$E63:$Z63)=0,0,MAX(0,IF((AA$6-$E$3)&lt;1,0,IFERROR(LOOKUP(2,1/('Feijão 1ª safra'!$E63:INDEX('Feijão 1ª safra'!$E63:$Z63,MIN(AA$6-$E$3,22))&lt;&gt;""),'Feijão 1ª safra'!$E63:INDEX('Feijão 1ª safra'!$E63:$Z63,MIN(AA$6-$E$3,22))),0))-IF($G$2,0,IF((AA$6-$G$3)&lt;1,0,IFERROR(LOOKUP(2,1/('Feijão 1ª safra'!$E63:INDEX('Feijão 1ª safra'!$E63:$Z63,MIN(AA$6-$G$3,22))&lt;&gt;""),'Feijão 1ª safra'!$E63:INDEX('Feijão 1ª safra'!$E63:$Z63,MIN(AA$6-$G$3,22))),0)))))</f>
        <v>0</v>
      </c>
      <c r="AB65" s="27" t="n">
        <f aca="false">IF(COUNT('Feijão 1ª safra'!$E63:$Z63)=0,0,MAX(0,IF((AB$6-$E$3)&lt;1,0,IFERROR(LOOKUP(2,1/('Feijão 1ª safra'!$E63:INDEX('Feijão 1ª safra'!$E63:$Z63,MIN(AB$6-$E$3,22))&lt;&gt;""),'Feijão 1ª safra'!$E63:INDEX('Feijão 1ª safra'!$E63:$Z63,MIN(AB$6-$E$3,22))),0))-IF($G$2,0,IF((AB$6-$G$3)&lt;1,0,IFERROR(LOOKUP(2,1/('Feijão 1ª safra'!$E63:INDEX('Feijão 1ª safra'!$E63:$Z63,MIN(AB$6-$G$3,22))&lt;&gt;""),'Feijão 1ª safra'!$E63:INDEX('Feijão 1ª safra'!$E63:$Z63,MIN(AB$6-$G$3,22))),0)))))</f>
        <v>0</v>
      </c>
      <c r="AC65" s="27" t="n">
        <f aca="false">IF(COUNT('Feijão 1ª safra'!$E63:$Z63)=0,0,MAX(0,IF((AC$6-$E$3)&lt;1,0,IFERROR(LOOKUP(2,1/('Feijão 1ª safra'!$E63:INDEX('Feijão 1ª safra'!$E63:$Z63,MIN(AC$6-$E$3,22))&lt;&gt;""),'Feijão 1ª safra'!$E63:INDEX('Feijão 1ª safra'!$E63:$Z63,MIN(AC$6-$E$3,22))),0))-IF($G$2,0,IF((AC$6-$G$3)&lt;1,0,IFERROR(LOOKUP(2,1/('Feijão 1ª safra'!$E63:INDEX('Feijão 1ª safra'!$E63:$Z63,MIN(AC$6-$G$3,22))&lt;&gt;""),'Feijão 1ª safra'!$E63:INDEX('Feijão 1ª safra'!$E63:$Z63,MIN(AC$6-$G$3,22))),0)))))</f>
        <v>0</v>
      </c>
      <c r="AD65" s="27" t="n">
        <f aca="false">IF(COUNT('Feijão 1ª safra'!$E63:$Z63)=0,0,MAX(0,IF((AD$6-$E$3)&lt;1,0,IFERROR(LOOKUP(2,1/('Feijão 1ª safra'!$E63:INDEX('Feijão 1ª safra'!$E63:$Z63,MIN(AD$6-$E$3,22))&lt;&gt;""),'Feijão 1ª safra'!$E63:INDEX('Feijão 1ª safra'!$E63:$Z63,MIN(AD$6-$E$3,22))),0))-IF($G$2,0,IF((AD$6-$G$3)&lt;1,0,IFERROR(LOOKUP(2,1/('Feijão 1ª safra'!$E63:INDEX('Feijão 1ª safra'!$E63:$Z63,MIN(AD$6-$G$3,22))&lt;&gt;""),'Feijão 1ª safra'!$E63:INDEX('Feijão 1ª safra'!$E63:$Z63,MIN(AD$6-$G$3,22))),0)))))</f>
        <v>0</v>
      </c>
      <c r="AE65" s="27" t="n">
        <f aca="false">IF(COUNT('Feijão 1ª safra'!$E63:$Z63)=0,0,MAX(0,IF((AE$6-$E$3)&lt;1,0,IFERROR(LOOKUP(2,1/('Feijão 1ª safra'!$E63:INDEX('Feijão 1ª safra'!$E63:$Z63,MIN(AE$6-$E$3,22))&lt;&gt;""),'Feijão 1ª safra'!$E63:INDEX('Feijão 1ª safra'!$E63:$Z63,MIN(AE$6-$E$3,22))),0))-IF($G$2,0,IF((AE$6-$G$3)&lt;1,0,IFERROR(LOOKUP(2,1/('Feijão 1ª safra'!$E63:INDEX('Feijão 1ª safra'!$E63:$Z63,MIN(AE$6-$G$3,22))&lt;&gt;""),'Feijão 1ª safra'!$E63:INDEX('Feijão 1ª safra'!$E63:$Z63,MIN(AE$6-$G$3,22))),0)))))</f>
        <v>0</v>
      </c>
      <c r="AF65" s="27" t="n">
        <f aca="false">IF(COUNT('Feijão 1ª safra'!$E63:$Z63)=0,0,MAX(0,IF((AF$6-$E$3)&lt;1,0,IFERROR(LOOKUP(2,1/('Feijão 1ª safra'!$E63:INDEX('Feijão 1ª safra'!$E63:$Z63,MIN(AF$6-$E$3,22))&lt;&gt;""),'Feijão 1ª safra'!$E63:INDEX('Feijão 1ª safra'!$E63:$Z63,MIN(AF$6-$E$3,22))),0))-IF($G$2,0,IF((AF$6-$G$3)&lt;1,0,IFERROR(LOOKUP(2,1/('Feijão 1ª safra'!$E63:INDEX('Feijão 1ª safra'!$E63:$Z63,MIN(AF$6-$G$3,22))&lt;&gt;""),'Feijão 1ª safra'!$E63:INDEX('Feijão 1ª safra'!$E63:$Z63,MIN(AF$6-$G$3,22))),0)))))</f>
        <v>0</v>
      </c>
      <c r="AG65" s="27" t="n">
        <f aca="false">IF(COUNT('Feijão 1ª safra'!$E63:$Z63)=0,0,MAX(0,IF((AG$6-$E$3)&lt;1,0,IFERROR(LOOKUP(2,1/('Feijão 1ª safra'!$E63:INDEX('Feijão 1ª safra'!$E63:$Z63,MIN(AG$6-$E$3,22))&lt;&gt;""),'Feijão 1ª safra'!$E63:INDEX('Feijão 1ª safra'!$E63:$Z63,MIN(AG$6-$E$3,22))),0))-IF($G$2,0,IF((AG$6-$G$3)&lt;1,0,IFERROR(LOOKUP(2,1/('Feijão 1ª safra'!$E63:INDEX('Feijão 1ª safra'!$E63:$Z63,MIN(AG$6-$G$3,22))&lt;&gt;""),'Feijão 1ª safra'!$E63:INDEX('Feijão 1ª safra'!$E63:$Z63,MIN(AG$6-$G$3,22))),0)))))</f>
        <v>0</v>
      </c>
      <c r="AH65" s="27" t="n">
        <f aca="false">IF(COUNT('Feijão 1ª safra'!$E63:$Z63)=0,0,MAX(0,IF((AH$6-$E$3)&lt;1,0,IFERROR(LOOKUP(2,1/('Feijão 1ª safra'!$E63:INDEX('Feijão 1ª safra'!$E63:$Z63,MIN(AH$6-$E$3,22))&lt;&gt;""),'Feijão 1ª safra'!$E63:INDEX('Feijão 1ª safra'!$E63:$Z63,MIN(AH$6-$E$3,22))),0))-IF($G$2,0,IF((AH$6-$G$3)&lt;1,0,IFERROR(LOOKUP(2,1/('Feijão 1ª safra'!$E63:INDEX('Feijão 1ª safra'!$E63:$Z63,MIN(AH$6-$G$3,22))&lt;&gt;""),'Feijão 1ª safra'!$E63:INDEX('Feijão 1ª safra'!$E63:$Z63,MIN(AH$6-$G$3,22))),0)))))</f>
        <v>0</v>
      </c>
      <c r="AI65" s="27" t="n">
        <f aca="false">IF(COUNT('Feijão 1ª safra'!$E63:$Z63)=0,0,MAX(0,IF((AI$6-$E$3)&lt;1,0,IFERROR(LOOKUP(2,1/('Feijão 1ª safra'!$E63:INDEX('Feijão 1ª safra'!$E63:$Z63,MIN(AI$6-$E$3,22))&lt;&gt;""),'Feijão 1ª safra'!$E63:INDEX('Feijão 1ª safra'!$E63:$Z63,MIN(AI$6-$E$3,22))),0))-IF($G$2,0,IF((AI$6-$G$3)&lt;1,0,IFERROR(LOOKUP(2,1/('Feijão 1ª safra'!$E63:INDEX('Feijão 1ª safra'!$E63:$Z63,MIN(AI$6-$G$3,22))&lt;&gt;""),'Feijão 1ª safra'!$E63:INDEX('Feijão 1ª safra'!$E63:$Z63,MIN(AI$6-$G$3,22))),0)))))</f>
        <v>0</v>
      </c>
      <c r="AJ65" s="27" t="n">
        <f aca="false">IF(COUNT('Feijão 1ª safra'!$E63:$Z63)=0,0,MAX(0,IF((AJ$6-$E$3)&lt;1,0,IFERROR(LOOKUP(2,1/('Feijão 1ª safra'!$E63:INDEX('Feijão 1ª safra'!$E63:$Z63,MIN(AJ$6-$E$3,22))&lt;&gt;""),'Feijão 1ª safra'!$E63:INDEX('Feijão 1ª safra'!$E63:$Z63,MIN(AJ$6-$E$3,22))),0))-IF($G$2,0,IF((AJ$6-$G$3)&lt;1,0,IFERROR(LOOKUP(2,1/('Feijão 1ª safra'!$E63:INDEX('Feijão 1ª safra'!$E63:$Z63,MIN(AJ$6-$G$3,22))&lt;&gt;""),'Feijão 1ª safra'!$E63:INDEX('Feijão 1ª safra'!$E63:$Z63,MIN(AJ$6-$G$3,22))),0)))))</f>
        <v>0</v>
      </c>
      <c r="AK65" s="27" t="n">
        <f aca="false">IF(COUNT('Feijão 1ª safra'!$E63:$Z63)=0,0,MAX(0,IF((AK$6-$E$3)&lt;1,0,IFERROR(LOOKUP(2,1/('Feijão 1ª safra'!$E63:INDEX('Feijão 1ª safra'!$E63:$Z63,MIN(AK$6-$E$3,22))&lt;&gt;""),'Feijão 1ª safra'!$E63:INDEX('Feijão 1ª safra'!$E63:$Z63,MIN(AK$6-$E$3,22))),0))-IF($G$2,0,IF((AK$6-$G$3)&lt;1,0,IFERROR(LOOKUP(2,1/('Feijão 1ª safra'!$E63:INDEX('Feijão 1ª safra'!$E63:$Z63,MIN(AK$6-$G$3,22))&lt;&gt;""),'Feijão 1ª safra'!$E63:INDEX('Feijão 1ª safra'!$E63:$Z63,MIN(AK$6-$G$3,22))),0)))))</f>
        <v>0</v>
      </c>
      <c r="AL65" s="27" t="n">
        <f aca="false">IF(COUNT('Feijão 1ª safra'!$E63:$Z63)=0,0,MAX(0,IF((AL$6-$E$3)&lt;1,0,IFERROR(LOOKUP(2,1/('Feijão 1ª safra'!$E63:INDEX('Feijão 1ª safra'!$E63:$Z63,MIN(AL$6-$E$3,22))&lt;&gt;""),'Feijão 1ª safra'!$E63:INDEX('Feijão 1ª safra'!$E63:$Z63,MIN(AL$6-$E$3,22))),0))-IF($G$2,0,IF((AL$6-$G$3)&lt;1,0,IFERROR(LOOKUP(2,1/('Feijão 1ª safra'!$E63:INDEX('Feijão 1ª safra'!$E63:$Z63,MIN(AL$6-$G$3,22))&lt;&gt;""),'Feijão 1ª safra'!$E63:INDEX('Feijão 1ª safra'!$E63:$Z63,MIN(AL$6-$G$3,22))),0)))))</f>
        <v>0</v>
      </c>
      <c r="AM65" s="27" t="n">
        <f aca="false">IF(COUNT('Feijão 1ª safra'!$E63:$Z63)=0,0,MAX(0,IF((AM$6-$E$3)&lt;1,0,IFERROR(LOOKUP(2,1/('Feijão 1ª safra'!$E63:INDEX('Feijão 1ª safra'!$E63:$Z63,MIN(AM$6-$E$3,22))&lt;&gt;""),'Feijão 1ª safra'!$E63:INDEX('Feijão 1ª safra'!$E63:$Z63,MIN(AM$6-$E$3,22))),0))-IF($G$2,0,IF((AM$6-$G$3)&lt;1,0,IFERROR(LOOKUP(2,1/('Feijão 1ª safra'!$E63:INDEX('Feijão 1ª safra'!$E63:$Z63,MIN(AM$6-$G$3,22))&lt;&gt;""),'Feijão 1ª safra'!$E63:INDEX('Feijão 1ª safra'!$E63:$Z63,MIN(AM$6-$G$3,22))),0)))))</f>
        <v>0</v>
      </c>
      <c r="AN65" s="27" t="n">
        <f aca="false">IF(COUNT('Feijão 1ª safra'!$E63:$Z63)=0,0,MAX(0,IF((AN$6-$E$3)&lt;1,0,IFERROR(LOOKUP(2,1/('Feijão 1ª safra'!$E63:INDEX('Feijão 1ª safra'!$E63:$Z63,MIN(AN$6-$E$3,22))&lt;&gt;""),'Feijão 1ª safra'!$E63:INDEX('Feijão 1ª safra'!$E63:$Z63,MIN(AN$6-$E$3,22))),0))-IF($G$2,0,IF((AN$6-$G$3)&lt;1,0,IFERROR(LOOKUP(2,1/('Feijão 1ª safra'!$E63:INDEX('Feijão 1ª safra'!$E63:$Z63,MIN(AN$6-$G$3,22))&lt;&gt;""),'Feijão 1ª safra'!$E63:INDEX('Feijão 1ª safra'!$E63:$Z63,MIN(AN$6-$G$3,22))),0)))))</f>
        <v>0</v>
      </c>
      <c r="AO65" s="27" t="n">
        <f aca="false">IF(COUNT('Feijão 1ª safra'!$E63:$Z63)=0,0,MAX(0,IF((AO$6-$E$3)&lt;1,0,IFERROR(LOOKUP(2,1/('Feijão 1ª safra'!$E63:INDEX('Feijão 1ª safra'!$E63:$Z63,MIN(AO$6-$E$3,22))&lt;&gt;""),'Feijão 1ª safra'!$E63:INDEX('Feijão 1ª safra'!$E63:$Z63,MIN(AO$6-$E$3,22))),0))-IF($G$2,0,IF((AO$6-$G$3)&lt;1,0,IFERROR(LOOKUP(2,1/('Feijão 1ª safra'!$E63:INDEX('Feijão 1ª safra'!$E63:$Z63,MIN(AO$6-$G$3,22))&lt;&gt;""),'Feijão 1ª safra'!$E63:INDEX('Feijão 1ª safra'!$E63:$Z63,MIN(AO$6-$G$3,22))),0)))))</f>
        <v>0</v>
      </c>
      <c r="AP65" s="27" t="n">
        <f aca="false">IF(COUNT('Feijão 1ª safra'!$E63:$Z63)=0,0,MAX(0,IF((AP$6-$E$3)&lt;1,0,IFERROR(LOOKUP(2,1/('Feijão 1ª safra'!$E63:INDEX('Feijão 1ª safra'!$E63:$Z63,MIN(AP$6-$E$3,22))&lt;&gt;""),'Feijão 1ª safra'!$E63:INDEX('Feijão 1ª safra'!$E63:$Z63,MIN(AP$6-$E$3,22))),0))-IF($G$2,0,IF((AP$6-$G$3)&lt;1,0,IFERROR(LOOKUP(2,1/('Feijão 1ª safra'!$E63:INDEX('Feijão 1ª safra'!$E63:$Z63,MIN(AP$6-$G$3,22))&lt;&gt;""),'Feijão 1ª safra'!$E63:INDEX('Feijão 1ª safra'!$E63:$Z63,MIN(AP$6-$G$3,22))),0)))))</f>
        <v>0</v>
      </c>
      <c r="AQ65" s="27" t="n">
        <f aca="false">IF(COUNT('Feijão 1ª safra'!$E63:$Z63)=0,0,MAX(0,IF((AQ$6-$E$3)&lt;1,0,IFERROR(LOOKUP(2,1/('Feijão 1ª safra'!$E63:INDEX('Feijão 1ª safra'!$E63:$Z63,MIN(AQ$6-$E$3,22))&lt;&gt;""),'Feijão 1ª safra'!$E63:INDEX('Feijão 1ª safra'!$E63:$Z63,MIN(AQ$6-$E$3,22))),0))-IF($G$2,0,IF((AQ$6-$G$3)&lt;1,0,IFERROR(LOOKUP(2,1/('Feijão 1ª safra'!$E63:INDEX('Feijão 1ª safra'!$E63:$Z63,MIN(AQ$6-$G$3,22))&lt;&gt;""),'Feijão 1ª safra'!$E63:INDEX('Feijão 1ª safra'!$E63:$Z63,MIN(AQ$6-$G$3,22))),0)))))</f>
        <v>0</v>
      </c>
      <c r="AR65" s="27" t="n">
        <f aca="false">IF(COUNT('Feijão 1ª safra'!$E63:$Z63)=0,0,MAX(0,IF((AR$6-$E$3)&lt;1,0,IFERROR(LOOKUP(2,1/('Feijão 1ª safra'!$E63:INDEX('Feijão 1ª safra'!$E63:$Z63,MIN(AR$6-$E$3,22))&lt;&gt;""),'Feijão 1ª safra'!$E63:INDEX('Feijão 1ª safra'!$E63:$Z63,MIN(AR$6-$E$3,22))),0))-IF($G$2,0,IF((AR$6-$G$3)&lt;1,0,IFERROR(LOOKUP(2,1/('Feijão 1ª safra'!$E63:INDEX('Feijão 1ª safra'!$E63:$Z63,MIN(AR$6-$G$3,22))&lt;&gt;""),'Feijão 1ª safra'!$E63:INDEX('Feijão 1ª safra'!$E63:$Z63,MIN(AR$6-$G$3,22))),0)))))</f>
        <v>0</v>
      </c>
      <c r="AS65" s="27" t="n">
        <f aca="false">IF(COUNT('Feijão 1ª safra'!$E63:$Z63)=0,0,MAX(0,IF((AS$6-$E$3)&lt;1,0,IFERROR(LOOKUP(2,1/('Feijão 1ª safra'!$E63:INDEX('Feijão 1ª safra'!$E63:$Z63,MIN(AS$6-$E$3,22))&lt;&gt;""),'Feijão 1ª safra'!$E63:INDEX('Feijão 1ª safra'!$E63:$Z63,MIN(AS$6-$E$3,22))),0))-IF($G$2,0,IF((AS$6-$G$3)&lt;1,0,IFERROR(LOOKUP(2,1/('Feijão 1ª safra'!$E63:INDEX('Feijão 1ª safra'!$E63:$Z63,MIN(AS$6-$G$3,22))&lt;&gt;""),'Feijão 1ª safra'!$E63:INDEX('Feijão 1ª safra'!$E63:$Z63,MIN(AS$6-$G$3,22))),0)))))</f>
        <v>0</v>
      </c>
      <c r="AT65" s="27" t="n">
        <f aca="false">IF(COUNT('Feijão 1ª safra'!$E63:$Z63)=0,0,MAX(0,IF((AT$6-$E$3)&lt;1,0,IFERROR(LOOKUP(2,1/('Feijão 1ª safra'!$E63:INDEX('Feijão 1ª safra'!$E63:$Z63,MIN(AT$6-$E$3,22))&lt;&gt;""),'Feijão 1ª safra'!$E63:INDEX('Feijão 1ª safra'!$E63:$Z63,MIN(AT$6-$E$3,22))),0))-IF($G$2,0,IF((AT$6-$G$3)&lt;1,0,IFERROR(LOOKUP(2,1/('Feijão 1ª safra'!$E63:INDEX('Feijão 1ª safra'!$E63:$Z63,MIN(AT$6-$G$3,22))&lt;&gt;""),'Feijão 1ª safra'!$E63:INDEX('Feijão 1ª safra'!$E63:$Z63,MIN(AT$6-$G$3,22))),0)))))</f>
        <v>0</v>
      </c>
      <c r="AU65" s="27" t="n">
        <f aca="false">IF(COUNT('Feijão 1ª safra'!$E63:$Z63)=0,0,MAX(0,IF((AU$6-$E$3)&lt;1,0,IFERROR(LOOKUP(2,1/('Feijão 1ª safra'!$E63:INDEX('Feijão 1ª safra'!$E63:$Z63,MIN(AU$6-$E$3,22))&lt;&gt;""),'Feijão 1ª safra'!$E63:INDEX('Feijão 1ª safra'!$E63:$Z63,MIN(AU$6-$E$3,22))),0))-IF($G$2,0,IF((AU$6-$G$3)&lt;1,0,IFERROR(LOOKUP(2,1/('Feijão 1ª safra'!$E63:INDEX('Feijão 1ª safra'!$E63:$Z63,MIN(AU$6-$G$3,22))&lt;&gt;""),'Feijão 1ª safra'!$E63:INDEX('Feijão 1ª safra'!$E63:$Z63,MIN(AU$6-$G$3,22))),0)))))</f>
        <v>0</v>
      </c>
      <c r="AV65" s="27" t="n">
        <f aca="false">IF(COUNT('Feijão 1ª safra'!$E63:$Z63)=0,0,MAX(0,IF((AV$6-$E$3)&lt;1,0,IFERROR(LOOKUP(2,1/('Feijão 1ª safra'!$E63:INDEX('Feijão 1ª safra'!$E63:$Z63,MIN(AV$6-$E$3,22))&lt;&gt;""),'Feijão 1ª safra'!$E63:INDEX('Feijão 1ª safra'!$E63:$Z63,MIN(AV$6-$E$3,22))),0))-IF($G$2,0,IF((AV$6-$G$3)&lt;1,0,IFERROR(LOOKUP(2,1/('Feijão 1ª safra'!$E63:INDEX('Feijão 1ª safra'!$E63:$Z63,MIN(AV$6-$G$3,22))&lt;&gt;""),'Feijão 1ª safra'!$E63:INDEX('Feijão 1ª safra'!$E63:$Z63,MIN(AV$6-$G$3,22))),0)))))</f>
        <v>0</v>
      </c>
      <c r="AW65" s="27" t="n">
        <f aca="false">IF(COUNT('Feijão 1ª safra'!$E63:$Z63)=0,0,MAX(0,IF((AW$6-$E$3)&lt;1,0,IFERROR(LOOKUP(2,1/('Feijão 1ª safra'!$E63:INDEX('Feijão 1ª safra'!$E63:$Z63,MIN(AW$6-$E$3,22))&lt;&gt;""),'Feijão 1ª safra'!$E63:INDEX('Feijão 1ª safra'!$E63:$Z63,MIN(AW$6-$E$3,22))),0))-IF($G$2,0,IF((AW$6-$G$3)&lt;1,0,IFERROR(LOOKUP(2,1/('Feijão 1ª safra'!$E63:INDEX('Feijão 1ª safra'!$E63:$Z63,MIN(AW$6-$G$3,22))&lt;&gt;""),'Feijão 1ª safra'!$E63:INDEX('Feijão 1ª safra'!$E63:$Z63,MIN(AW$6-$G$3,22))),0)))))</f>
        <v>0</v>
      </c>
      <c r="AX65" s="27" t="n">
        <f aca="false">IF(COUNT('Feijão 1ª safra'!$E63:$Z63)=0,0,MAX(0,IF((AX$6-$E$3)&lt;1,0,IFERROR(LOOKUP(2,1/('Feijão 1ª safra'!$E63:INDEX('Feijão 1ª safra'!$E63:$Z63,MIN(AX$6-$E$3,22))&lt;&gt;""),'Feijão 1ª safra'!$E63:INDEX('Feijão 1ª safra'!$E63:$Z63,MIN(AX$6-$E$3,22))),0))-IF($G$2,0,IF((AX$6-$G$3)&lt;1,0,IFERROR(LOOKUP(2,1/('Feijão 1ª safra'!$E63:INDEX('Feijão 1ª safra'!$E63:$Z63,MIN(AX$6-$G$3,22))&lt;&gt;""),'Feijão 1ª safra'!$E63:INDEX('Feijão 1ª safra'!$E63:$Z63,MIN(AX$6-$G$3,22))),0)))))</f>
        <v>0</v>
      </c>
      <c r="AY65" s="27" t="n">
        <f aca="false">IF(COUNT('Feijão 1ª safra'!$E63:$Z63)=0,0,MAX(0,IF((AY$6-$E$3)&lt;1,0,IFERROR(LOOKUP(2,1/('Feijão 1ª safra'!$E63:INDEX('Feijão 1ª safra'!$E63:$Z63,MIN(AY$6-$E$3,22))&lt;&gt;""),'Feijão 1ª safra'!$E63:INDEX('Feijão 1ª safra'!$E63:$Z63,MIN(AY$6-$E$3,22))),0))-IF($G$2,0,IF((AY$6-$G$3)&lt;1,0,IFERROR(LOOKUP(2,1/('Feijão 1ª safra'!$E63:INDEX('Feijão 1ª safra'!$E63:$Z63,MIN(AY$6-$G$3,22))&lt;&gt;""),'Feijão 1ª safra'!$E63:INDEX('Feijão 1ª safra'!$E63:$Z63,MIN(AY$6-$G$3,22))),0)))))</f>
        <v>0</v>
      </c>
      <c r="AZ65" s="27" t="n">
        <f aca="false">IF(COUNT('Feijão 1ª safra'!$E63:$Z63)=0,0,MAX(0,IF((AZ$6-$E$3)&lt;1,0,IFERROR(LOOKUP(2,1/('Feijão 1ª safra'!$E63:INDEX('Feijão 1ª safra'!$E63:$Z63,MIN(AZ$6-$E$3,22))&lt;&gt;""),'Feijão 1ª safra'!$E63:INDEX('Feijão 1ª safra'!$E63:$Z63,MIN(AZ$6-$E$3,22))),0))-IF($G$2,0,IF((AZ$6-$G$3)&lt;1,0,IFERROR(LOOKUP(2,1/('Feijão 1ª safra'!$E63:INDEX('Feijão 1ª safra'!$E63:$Z63,MIN(AZ$6-$G$3,22))&lt;&gt;""),'Feijão 1ª safra'!$E63:INDEX('Feijão 1ª safra'!$E63:$Z63,MIN(AZ$6-$G$3,22))),0)))))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IF(COUNT('Feijão 1ª safra'!$E64:$Z64)&gt;0,N('Feijão 1ª safra'!$D64),0)</f>
        <v>0</v>
      </c>
      <c r="E66" s="27" t="n">
        <f aca="false">IF(COUNT('Feijão 1ª safra'!$E64:$Z64)=0,0,MAX(0,IF((E$6-$E$3)&lt;1,0,IFERROR(LOOKUP(2,1/('Feijão 1ª safra'!$E64:INDEX('Feijão 1ª safra'!$E64:$Z64,MIN(E$6-$E$3,22))&lt;&gt;""),'Feijão 1ª safra'!$E64:INDEX('Feijão 1ª safra'!$E64:$Z64,MIN(E$6-$E$3,22))),0))-IF($G$2,0,IF((E$6-$G$3)&lt;1,0,IFERROR(LOOKUP(2,1/('Feijão 1ª safra'!$E64:INDEX('Feijão 1ª safra'!$E64:$Z64,MIN(E$6-$G$3,22))&lt;&gt;""),'Feijão 1ª safra'!$E64:INDEX('Feijão 1ª safra'!$E64:$Z64,MIN(E$6-$G$3,22))),0)))))</f>
        <v>0</v>
      </c>
      <c r="F66" s="27" t="n">
        <f aca="false">IF(COUNT('Feijão 1ª safra'!$E64:$Z64)=0,0,MAX(0,IF((F$6-$E$3)&lt;1,0,IFERROR(LOOKUP(2,1/('Feijão 1ª safra'!$E64:INDEX('Feijão 1ª safra'!$E64:$Z64,MIN(F$6-$E$3,22))&lt;&gt;""),'Feijão 1ª safra'!$E64:INDEX('Feijão 1ª safra'!$E64:$Z64,MIN(F$6-$E$3,22))),0))-IF($G$2,0,IF((F$6-$G$3)&lt;1,0,IFERROR(LOOKUP(2,1/('Feijão 1ª safra'!$E64:INDEX('Feijão 1ª safra'!$E64:$Z64,MIN(F$6-$G$3,22))&lt;&gt;""),'Feijão 1ª safra'!$E64:INDEX('Feijão 1ª safra'!$E64:$Z64,MIN(F$6-$G$3,22))),0)))))</f>
        <v>0</v>
      </c>
      <c r="G66" s="27" t="n">
        <f aca="false">IF(COUNT('Feijão 1ª safra'!$E64:$Z64)=0,0,MAX(0,IF((G$6-$E$3)&lt;1,0,IFERROR(LOOKUP(2,1/('Feijão 1ª safra'!$E64:INDEX('Feijão 1ª safra'!$E64:$Z64,MIN(G$6-$E$3,22))&lt;&gt;""),'Feijão 1ª safra'!$E64:INDEX('Feijão 1ª safra'!$E64:$Z64,MIN(G$6-$E$3,22))),0))-IF($G$2,0,IF((G$6-$G$3)&lt;1,0,IFERROR(LOOKUP(2,1/('Feijão 1ª safra'!$E64:INDEX('Feijão 1ª safra'!$E64:$Z64,MIN(G$6-$G$3,22))&lt;&gt;""),'Feijão 1ª safra'!$E64:INDEX('Feijão 1ª safra'!$E64:$Z64,MIN(G$6-$G$3,22))),0)))))</f>
        <v>0</v>
      </c>
      <c r="H66" s="27" t="n">
        <f aca="false">IF(COUNT('Feijão 1ª safra'!$E64:$Z64)=0,0,MAX(0,IF((H$6-$E$3)&lt;1,0,IFERROR(LOOKUP(2,1/('Feijão 1ª safra'!$E64:INDEX('Feijão 1ª safra'!$E64:$Z64,MIN(H$6-$E$3,22))&lt;&gt;""),'Feijão 1ª safra'!$E64:INDEX('Feijão 1ª safra'!$E64:$Z64,MIN(H$6-$E$3,22))),0))-IF($G$2,0,IF((H$6-$G$3)&lt;1,0,IFERROR(LOOKUP(2,1/('Feijão 1ª safra'!$E64:INDEX('Feijão 1ª safra'!$E64:$Z64,MIN(H$6-$G$3,22))&lt;&gt;""),'Feijão 1ª safra'!$E64:INDEX('Feijão 1ª safra'!$E64:$Z64,MIN(H$6-$G$3,22))),0)))))</f>
        <v>0</v>
      </c>
      <c r="I66" s="27" t="n">
        <f aca="false">IF(COUNT('Feijão 1ª safra'!$E64:$Z64)=0,0,MAX(0,IF((I$6-$E$3)&lt;1,0,IFERROR(LOOKUP(2,1/('Feijão 1ª safra'!$E64:INDEX('Feijão 1ª safra'!$E64:$Z64,MIN(I$6-$E$3,22))&lt;&gt;""),'Feijão 1ª safra'!$E64:INDEX('Feijão 1ª safra'!$E64:$Z64,MIN(I$6-$E$3,22))),0))-IF($G$2,0,IF((I$6-$G$3)&lt;1,0,IFERROR(LOOKUP(2,1/('Feijão 1ª safra'!$E64:INDEX('Feijão 1ª safra'!$E64:$Z64,MIN(I$6-$G$3,22))&lt;&gt;""),'Feijão 1ª safra'!$E64:INDEX('Feijão 1ª safra'!$E64:$Z64,MIN(I$6-$G$3,22))),0)))))</f>
        <v>0</v>
      </c>
      <c r="J66" s="27" t="n">
        <f aca="false">IF(COUNT('Feijão 1ª safra'!$E64:$Z64)=0,0,MAX(0,IF((J$6-$E$3)&lt;1,0,IFERROR(LOOKUP(2,1/('Feijão 1ª safra'!$E64:INDEX('Feijão 1ª safra'!$E64:$Z64,MIN(J$6-$E$3,22))&lt;&gt;""),'Feijão 1ª safra'!$E64:INDEX('Feijão 1ª safra'!$E64:$Z64,MIN(J$6-$E$3,22))),0))-IF($G$2,0,IF((J$6-$G$3)&lt;1,0,IFERROR(LOOKUP(2,1/('Feijão 1ª safra'!$E64:INDEX('Feijão 1ª safra'!$E64:$Z64,MIN(J$6-$G$3,22))&lt;&gt;""),'Feijão 1ª safra'!$E64:INDEX('Feijão 1ª safra'!$E64:$Z64,MIN(J$6-$G$3,22))),0)))))</f>
        <v>0</v>
      </c>
      <c r="K66" s="27" t="n">
        <f aca="false">IF(COUNT('Feijão 1ª safra'!$E64:$Z64)=0,0,MAX(0,IF((K$6-$E$3)&lt;1,0,IFERROR(LOOKUP(2,1/('Feijão 1ª safra'!$E64:INDEX('Feijão 1ª safra'!$E64:$Z64,MIN(K$6-$E$3,22))&lt;&gt;""),'Feijão 1ª safra'!$E64:INDEX('Feijão 1ª safra'!$E64:$Z64,MIN(K$6-$E$3,22))),0))-IF($G$2,0,IF((K$6-$G$3)&lt;1,0,IFERROR(LOOKUP(2,1/('Feijão 1ª safra'!$E64:INDEX('Feijão 1ª safra'!$E64:$Z64,MIN(K$6-$G$3,22))&lt;&gt;""),'Feijão 1ª safra'!$E64:INDEX('Feijão 1ª safra'!$E64:$Z64,MIN(K$6-$G$3,22))),0)))))</f>
        <v>0</v>
      </c>
      <c r="L66" s="27" t="n">
        <f aca="false">IF(COUNT('Feijão 1ª safra'!$E64:$Z64)=0,0,MAX(0,IF((L$6-$E$3)&lt;1,0,IFERROR(LOOKUP(2,1/('Feijão 1ª safra'!$E64:INDEX('Feijão 1ª safra'!$E64:$Z64,MIN(L$6-$E$3,22))&lt;&gt;""),'Feijão 1ª safra'!$E64:INDEX('Feijão 1ª safra'!$E64:$Z64,MIN(L$6-$E$3,22))),0))-IF($G$2,0,IF((L$6-$G$3)&lt;1,0,IFERROR(LOOKUP(2,1/('Feijão 1ª safra'!$E64:INDEX('Feijão 1ª safra'!$E64:$Z64,MIN(L$6-$G$3,22))&lt;&gt;""),'Feijão 1ª safra'!$E64:INDEX('Feijão 1ª safra'!$E64:$Z64,MIN(L$6-$G$3,22))),0)))))</f>
        <v>0</v>
      </c>
      <c r="M66" s="27" t="n">
        <f aca="false">IF(COUNT('Feijão 1ª safra'!$E64:$Z64)=0,0,MAX(0,IF((M$6-$E$3)&lt;1,0,IFERROR(LOOKUP(2,1/('Feijão 1ª safra'!$E64:INDEX('Feijão 1ª safra'!$E64:$Z64,MIN(M$6-$E$3,22))&lt;&gt;""),'Feijão 1ª safra'!$E64:INDEX('Feijão 1ª safra'!$E64:$Z64,MIN(M$6-$E$3,22))),0))-IF($G$2,0,IF((M$6-$G$3)&lt;1,0,IFERROR(LOOKUP(2,1/('Feijão 1ª safra'!$E64:INDEX('Feijão 1ª safra'!$E64:$Z64,MIN(M$6-$G$3,22))&lt;&gt;""),'Feijão 1ª safra'!$E64:INDEX('Feijão 1ª safra'!$E64:$Z64,MIN(M$6-$G$3,22))),0)))))</f>
        <v>0</v>
      </c>
      <c r="N66" s="27" t="n">
        <f aca="false">IF(COUNT('Feijão 1ª safra'!$E64:$Z64)=0,0,MAX(0,IF((N$6-$E$3)&lt;1,0,IFERROR(LOOKUP(2,1/('Feijão 1ª safra'!$E64:INDEX('Feijão 1ª safra'!$E64:$Z64,MIN(N$6-$E$3,22))&lt;&gt;""),'Feijão 1ª safra'!$E64:INDEX('Feijão 1ª safra'!$E64:$Z64,MIN(N$6-$E$3,22))),0))-IF($G$2,0,IF((N$6-$G$3)&lt;1,0,IFERROR(LOOKUP(2,1/('Feijão 1ª safra'!$E64:INDEX('Feijão 1ª safra'!$E64:$Z64,MIN(N$6-$G$3,22))&lt;&gt;""),'Feijão 1ª safra'!$E64:INDEX('Feijão 1ª safra'!$E64:$Z64,MIN(N$6-$G$3,22))),0)))))</f>
        <v>0</v>
      </c>
      <c r="O66" s="27" t="n">
        <f aca="false">IF(COUNT('Feijão 1ª safra'!$E64:$Z64)=0,0,MAX(0,IF((O$6-$E$3)&lt;1,0,IFERROR(LOOKUP(2,1/('Feijão 1ª safra'!$E64:INDEX('Feijão 1ª safra'!$E64:$Z64,MIN(O$6-$E$3,22))&lt;&gt;""),'Feijão 1ª safra'!$E64:INDEX('Feijão 1ª safra'!$E64:$Z64,MIN(O$6-$E$3,22))),0))-IF($G$2,0,IF((O$6-$G$3)&lt;1,0,IFERROR(LOOKUP(2,1/('Feijão 1ª safra'!$E64:INDEX('Feijão 1ª safra'!$E64:$Z64,MIN(O$6-$G$3,22))&lt;&gt;""),'Feijão 1ª safra'!$E64:INDEX('Feijão 1ª safra'!$E64:$Z64,MIN(O$6-$G$3,22))),0)))))</f>
        <v>0</v>
      </c>
      <c r="P66" s="27" t="n">
        <f aca="false">IF(COUNT('Feijão 1ª safra'!$E64:$Z64)=0,0,MAX(0,IF((P$6-$E$3)&lt;1,0,IFERROR(LOOKUP(2,1/('Feijão 1ª safra'!$E64:INDEX('Feijão 1ª safra'!$E64:$Z64,MIN(P$6-$E$3,22))&lt;&gt;""),'Feijão 1ª safra'!$E64:INDEX('Feijão 1ª safra'!$E64:$Z64,MIN(P$6-$E$3,22))),0))-IF($G$2,0,IF((P$6-$G$3)&lt;1,0,IFERROR(LOOKUP(2,1/('Feijão 1ª safra'!$E64:INDEX('Feijão 1ª safra'!$E64:$Z64,MIN(P$6-$G$3,22))&lt;&gt;""),'Feijão 1ª safra'!$E64:INDEX('Feijão 1ª safra'!$E64:$Z64,MIN(P$6-$G$3,22))),0)))))</f>
        <v>0</v>
      </c>
      <c r="Q66" s="27" t="n">
        <f aca="false">IF(COUNT('Feijão 1ª safra'!$E64:$Z64)=0,0,MAX(0,IF((Q$6-$E$3)&lt;1,0,IFERROR(LOOKUP(2,1/('Feijão 1ª safra'!$E64:INDEX('Feijão 1ª safra'!$E64:$Z64,MIN(Q$6-$E$3,22))&lt;&gt;""),'Feijão 1ª safra'!$E64:INDEX('Feijão 1ª safra'!$E64:$Z64,MIN(Q$6-$E$3,22))),0))-IF($G$2,0,IF((Q$6-$G$3)&lt;1,0,IFERROR(LOOKUP(2,1/('Feijão 1ª safra'!$E64:INDEX('Feijão 1ª safra'!$E64:$Z64,MIN(Q$6-$G$3,22))&lt;&gt;""),'Feijão 1ª safra'!$E64:INDEX('Feijão 1ª safra'!$E64:$Z64,MIN(Q$6-$G$3,22))),0)))))</f>
        <v>0</v>
      </c>
      <c r="R66" s="27" t="n">
        <f aca="false">IF(COUNT('Feijão 1ª safra'!$E64:$Z64)=0,0,MAX(0,IF((R$6-$E$3)&lt;1,0,IFERROR(LOOKUP(2,1/('Feijão 1ª safra'!$E64:INDEX('Feijão 1ª safra'!$E64:$Z64,MIN(R$6-$E$3,22))&lt;&gt;""),'Feijão 1ª safra'!$E64:INDEX('Feijão 1ª safra'!$E64:$Z64,MIN(R$6-$E$3,22))),0))-IF($G$2,0,IF((R$6-$G$3)&lt;1,0,IFERROR(LOOKUP(2,1/('Feijão 1ª safra'!$E64:INDEX('Feijão 1ª safra'!$E64:$Z64,MIN(R$6-$G$3,22))&lt;&gt;""),'Feijão 1ª safra'!$E64:INDEX('Feijão 1ª safra'!$E64:$Z64,MIN(R$6-$G$3,22))),0)))))</f>
        <v>0</v>
      </c>
      <c r="S66" s="27" t="n">
        <f aca="false">IF(COUNT('Feijão 1ª safra'!$E64:$Z64)=0,0,MAX(0,IF((S$6-$E$3)&lt;1,0,IFERROR(LOOKUP(2,1/('Feijão 1ª safra'!$E64:INDEX('Feijão 1ª safra'!$E64:$Z64,MIN(S$6-$E$3,22))&lt;&gt;""),'Feijão 1ª safra'!$E64:INDEX('Feijão 1ª safra'!$E64:$Z64,MIN(S$6-$E$3,22))),0))-IF($G$2,0,IF((S$6-$G$3)&lt;1,0,IFERROR(LOOKUP(2,1/('Feijão 1ª safra'!$E64:INDEX('Feijão 1ª safra'!$E64:$Z64,MIN(S$6-$G$3,22))&lt;&gt;""),'Feijão 1ª safra'!$E64:INDEX('Feijão 1ª safra'!$E64:$Z64,MIN(S$6-$G$3,22))),0)))))</f>
        <v>0</v>
      </c>
      <c r="T66" s="27" t="n">
        <f aca="false">IF(COUNT('Feijão 1ª safra'!$E64:$Z64)=0,0,MAX(0,IF((T$6-$E$3)&lt;1,0,IFERROR(LOOKUP(2,1/('Feijão 1ª safra'!$E64:INDEX('Feijão 1ª safra'!$E64:$Z64,MIN(T$6-$E$3,22))&lt;&gt;""),'Feijão 1ª safra'!$E64:INDEX('Feijão 1ª safra'!$E64:$Z64,MIN(T$6-$E$3,22))),0))-IF($G$2,0,IF((T$6-$G$3)&lt;1,0,IFERROR(LOOKUP(2,1/('Feijão 1ª safra'!$E64:INDEX('Feijão 1ª safra'!$E64:$Z64,MIN(T$6-$G$3,22))&lt;&gt;""),'Feijão 1ª safra'!$E64:INDEX('Feijão 1ª safra'!$E64:$Z64,MIN(T$6-$G$3,22))),0)))))</f>
        <v>0</v>
      </c>
      <c r="U66" s="27" t="n">
        <f aca="false">IF(COUNT('Feijão 1ª safra'!$E64:$Z64)=0,0,MAX(0,IF((U$6-$E$3)&lt;1,0,IFERROR(LOOKUP(2,1/('Feijão 1ª safra'!$E64:INDEX('Feijão 1ª safra'!$E64:$Z64,MIN(U$6-$E$3,22))&lt;&gt;""),'Feijão 1ª safra'!$E64:INDEX('Feijão 1ª safra'!$E64:$Z64,MIN(U$6-$E$3,22))),0))-IF($G$2,0,IF((U$6-$G$3)&lt;1,0,IFERROR(LOOKUP(2,1/('Feijão 1ª safra'!$E64:INDEX('Feijão 1ª safra'!$E64:$Z64,MIN(U$6-$G$3,22))&lt;&gt;""),'Feijão 1ª safra'!$E64:INDEX('Feijão 1ª safra'!$E64:$Z64,MIN(U$6-$G$3,22))),0)))))</f>
        <v>0</v>
      </c>
      <c r="V66" s="27" t="n">
        <f aca="false">IF(COUNT('Feijão 1ª safra'!$E64:$Z64)=0,0,MAX(0,IF((V$6-$E$3)&lt;1,0,IFERROR(LOOKUP(2,1/('Feijão 1ª safra'!$E64:INDEX('Feijão 1ª safra'!$E64:$Z64,MIN(V$6-$E$3,22))&lt;&gt;""),'Feijão 1ª safra'!$E64:INDEX('Feijão 1ª safra'!$E64:$Z64,MIN(V$6-$E$3,22))),0))-IF($G$2,0,IF((V$6-$G$3)&lt;1,0,IFERROR(LOOKUP(2,1/('Feijão 1ª safra'!$E64:INDEX('Feijão 1ª safra'!$E64:$Z64,MIN(V$6-$G$3,22))&lt;&gt;""),'Feijão 1ª safra'!$E64:INDEX('Feijão 1ª safra'!$E64:$Z64,MIN(V$6-$G$3,22))),0)))))</f>
        <v>0</v>
      </c>
      <c r="W66" s="27" t="n">
        <f aca="false">IF(COUNT('Feijão 1ª safra'!$E64:$Z64)=0,0,MAX(0,IF((W$6-$E$3)&lt;1,0,IFERROR(LOOKUP(2,1/('Feijão 1ª safra'!$E64:INDEX('Feijão 1ª safra'!$E64:$Z64,MIN(W$6-$E$3,22))&lt;&gt;""),'Feijão 1ª safra'!$E64:INDEX('Feijão 1ª safra'!$E64:$Z64,MIN(W$6-$E$3,22))),0))-IF($G$2,0,IF((W$6-$G$3)&lt;1,0,IFERROR(LOOKUP(2,1/('Feijão 1ª safra'!$E64:INDEX('Feijão 1ª safra'!$E64:$Z64,MIN(W$6-$G$3,22))&lt;&gt;""),'Feijão 1ª safra'!$E64:INDEX('Feijão 1ª safra'!$E64:$Z64,MIN(W$6-$G$3,22))),0)))))</f>
        <v>0</v>
      </c>
      <c r="X66" s="27" t="n">
        <f aca="false">IF(COUNT('Feijão 1ª safra'!$E64:$Z64)=0,0,MAX(0,IF((X$6-$E$3)&lt;1,0,IFERROR(LOOKUP(2,1/('Feijão 1ª safra'!$E64:INDEX('Feijão 1ª safra'!$E64:$Z64,MIN(X$6-$E$3,22))&lt;&gt;""),'Feijão 1ª safra'!$E64:INDEX('Feijão 1ª safra'!$E64:$Z64,MIN(X$6-$E$3,22))),0))-IF($G$2,0,IF((X$6-$G$3)&lt;1,0,IFERROR(LOOKUP(2,1/('Feijão 1ª safra'!$E64:INDEX('Feijão 1ª safra'!$E64:$Z64,MIN(X$6-$G$3,22))&lt;&gt;""),'Feijão 1ª safra'!$E64:INDEX('Feijão 1ª safra'!$E64:$Z64,MIN(X$6-$G$3,22))),0)))))</f>
        <v>0</v>
      </c>
      <c r="Y66" s="27" t="n">
        <f aca="false">IF(COUNT('Feijão 1ª safra'!$E64:$Z64)=0,0,MAX(0,IF((Y$6-$E$3)&lt;1,0,IFERROR(LOOKUP(2,1/('Feijão 1ª safra'!$E64:INDEX('Feijão 1ª safra'!$E64:$Z64,MIN(Y$6-$E$3,22))&lt;&gt;""),'Feijão 1ª safra'!$E64:INDEX('Feijão 1ª safra'!$E64:$Z64,MIN(Y$6-$E$3,22))),0))-IF($G$2,0,IF((Y$6-$G$3)&lt;1,0,IFERROR(LOOKUP(2,1/('Feijão 1ª safra'!$E64:INDEX('Feijão 1ª safra'!$E64:$Z64,MIN(Y$6-$G$3,22))&lt;&gt;""),'Feijão 1ª safra'!$E64:INDEX('Feijão 1ª safra'!$E64:$Z64,MIN(Y$6-$G$3,22))),0)))))</f>
        <v>0</v>
      </c>
      <c r="Z66" s="27" t="n">
        <f aca="false">IF(COUNT('Feijão 1ª safra'!$E64:$Z64)=0,0,MAX(0,IF((Z$6-$E$3)&lt;1,0,IFERROR(LOOKUP(2,1/('Feijão 1ª safra'!$E64:INDEX('Feijão 1ª safra'!$E64:$Z64,MIN(Z$6-$E$3,22))&lt;&gt;""),'Feijão 1ª safra'!$E64:INDEX('Feijão 1ª safra'!$E64:$Z64,MIN(Z$6-$E$3,22))),0))-IF($G$2,0,IF((Z$6-$G$3)&lt;1,0,IFERROR(LOOKUP(2,1/('Feijão 1ª safra'!$E64:INDEX('Feijão 1ª safra'!$E64:$Z64,MIN(Z$6-$G$3,22))&lt;&gt;""),'Feijão 1ª safra'!$E64:INDEX('Feijão 1ª safra'!$E64:$Z64,MIN(Z$6-$G$3,22))),0)))))</f>
        <v>0</v>
      </c>
      <c r="AA66" s="27" t="n">
        <f aca="false">IF(COUNT('Feijão 1ª safra'!$E64:$Z64)=0,0,MAX(0,IF((AA$6-$E$3)&lt;1,0,IFERROR(LOOKUP(2,1/('Feijão 1ª safra'!$E64:INDEX('Feijão 1ª safra'!$E64:$Z64,MIN(AA$6-$E$3,22))&lt;&gt;""),'Feijão 1ª safra'!$E64:INDEX('Feijão 1ª safra'!$E64:$Z64,MIN(AA$6-$E$3,22))),0))-IF($G$2,0,IF((AA$6-$G$3)&lt;1,0,IFERROR(LOOKUP(2,1/('Feijão 1ª safra'!$E64:INDEX('Feijão 1ª safra'!$E64:$Z64,MIN(AA$6-$G$3,22))&lt;&gt;""),'Feijão 1ª safra'!$E64:INDEX('Feijão 1ª safra'!$E64:$Z64,MIN(AA$6-$G$3,22))),0)))))</f>
        <v>0</v>
      </c>
      <c r="AB66" s="27" t="n">
        <f aca="false">IF(COUNT('Feijão 1ª safra'!$E64:$Z64)=0,0,MAX(0,IF((AB$6-$E$3)&lt;1,0,IFERROR(LOOKUP(2,1/('Feijão 1ª safra'!$E64:INDEX('Feijão 1ª safra'!$E64:$Z64,MIN(AB$6-$E$3,22))&lt;&gt;""),'Feijão 1ª safra'!$E64:INDEX('Feijão 1ª safra'!$E64:$Z64,MIN(AB$6-$E$3,22))),0))-IF($G$2,0,IF((AB$6-$G$3)&lt;1,0,IFERROR(LOOKUP(2,1/('Feijão 1ª safra'!$E64:INDEX('Feijão 1ª safra'!$E64:$Z64,MIN(AB$6-$G$3,22))&lt;&gt;""),'Feijão 1ª safra'!$E64:INDEX('Feijão 1ª safra'!$E64:$Z64,MIN(AB$6-$G$3,22))),0)))))</f>
        <v>0</v>
      </c>
      <c r="AC66" s="27" t="n">
        <f aca="false">IF(COUNT('Feijão 1ª safra'!$E64:$Z64)=0,0,MAX(0,IF((AC$6-$E$3)&lt;1,0,IFERROR(LOOKUP(2,1/('Feijão 1ª safra'!$E64:INDEX('Feijão 1ª safra'!$E64:$Z64,MIN(AC$6-$E$3,22))&lt;&gt;""),'Feijão 1ª safra'!$E64:INDEX('Feijão 1ª safra'!$E64:$Z64,MIN(AC$6-$E$3,22))),0))-IF($G$2,0,IF((AC$6-$G$3)&lt;1,0,IFERROR(LOOKUP(2,1/('Feijão 1ª safra'!$E64:INDEX('Feijão 1ª safra'!$E64:$Z64,MIN(AC$6-$G$3,22))&lt;&gt;""),'Feijão 1ª safra'!$E64:INDEX('Feijão 1ª safra'!$E64:$Z64,MIN(AC$6-$G$3,22))),0)))))</f>
        <v>0</v>
      </c>
      <c r="AD66" s="27" t="n">
        <f aca="false">IF(COUNT('Feijão 1ª safra'!$E64:$Z64)=0,0,MAX(0,IF((AD$6-$E$3)&lt;1,0,IFERROR(LOOKUP(2,1/('Feijão 1ª safra'!$E64:INDEX('Feijão 1ª safra'!$E64:$Z64,MIN(AD$6-$E$3,22))&lt;&gt;""),'Feijão 1ª safra'!$E64:INDEX('Feijão 1ª safra'!$E64:$Z64,MIN(AD$6-$E$3,22))),0))-IF($G$2,0,IF((AD$6-$G$3)&lt;1,0,IFERROR(LOOKUP(2,1/('Feijão 1ª safra'!$E64:INDEX('Feijão 1ª safra'!$E64:$Z64,MIN(AD$6-$G$3,22))&lt;&gt;""),'Feijão 1ª safra'!$E64:INDEX('Feijão 1ª safra'!$E64:$Z64,MIN(AD$6-$G$3,22))),0)))))</f>
        <v>0</v>
      </c>
      <c r="AE66" s="27" t="n">
        <f aca="false">IF(COUNT('Feijão 1ª safra'!$E64:$Z64)=0,0,MAX(0,IF((AE$6-$E$3)&lt;1,0,IFERROR(LOOKUP(2,1/('Feijão 1ª safra'!$E64:INDEX('Feijão 1ª safra'!$E64:$Z64,MIN(AE$6-$E$3,22))&lt;&gt;""),'Feijão 1ª safra'!$E64:INDEX('Feijão 1ª safra'!$E64:$Z64,MIN(AE$6-$E$3,22))),0))-IF($G$2,0,IF((AE$6-$G$3)&lt;1,0,IFERROR(LOOKUP(2,1/('Feijão 1ª safra'!$E64:INDEX('Feijão 1ª safra'!$E64:$Z64,MIN(AE$6-$G$3,22))&lt;&gt;""),'Feijão 1ª safra'!$E64:INDEX('Feijão 1ª safra'!$E64:$Z64,MIN(AE$6-$G$3,22))),0)))))</f>
        <v>0</v>
      </c>
      <c r="AF66" s="27" t="n">
        <f aca="false">IF(COUNT('Feijão 1ª safra'!$E64:$Z64)=0,0,MAX(0,IF((AF$6-$E$3)&lt;1,0,IFERROR(LOOKUP(2,1/('Feijão 1ª safra'!$E64:INDEX('Feijão 1ª safra'!$E64:$Z64,MIN(AF$6-$E$3,22))&lt;&gt;""),'Feijão 1ª safra'!$E64:INDEX('Feijão 1ª safra'!$E64:$Z64,MIN(AF$6-$E$3,22))),0))-IF($G$2,0,IF((AF$6-$G$3)&lt;1,0,IFERROR(LOOKUP(2,1/('Feijão 1ª safra'!$E64:INDEX('Feijão 1ª safra'!$E64:$Z64,MIN(AF$6-$G$3,22))&lt;&gt;""),'Feijão 1ª safra'!$E64:INDEX('Feijão 1ª safra'!$E64:$Z64,MIN(AF$6-$G$3,22))),0)))))</f>
        <v>0</v>
      </c>
      <c r="AG66" s="27" t="n">
        <f aca="false">IF(COUNT('Feijão 1ª safra'!$E64:$Z64)=0,0,MAX(0,IF((AG$6-$E$3)&lt;1,0,IFERROR(LOOKUP(2,1/('Feijão 1ª safra'!$E64:INDEX('Feijão 1ª safra'!$E64:$Z64,MIN(AG$6-$E$3,22))&lt;&gt;""),'Feijão 1ª safra'!$E64:INDEX('Feijão 1ª safra'!$E64:$Z64,MIN(AG$6-$E$3,22))),0))-IF($G$2,0,IF((AG$6-$G$3)&lt;1,0,IFERROR(LOOKUP(2,1/('Feijão 1ª safra'!$E64:INDEX('Feijão 1ª safra'!$E64:$Z64,MIN(AG$6-$G$3,22))&lt;&gt;""),'Feijão 1ª safra'!$E64:INDEX('Feijão 1ª safra'!$E64:$Z64,MIN(AG$6-$G$3,22))),0)))))</f>
        <v>0</v>
      </c>
      <c r="AH66" s="27" t="n">
        <f aca="false">IF(COUNT('Feijão 1ª safra'!$E64:$Z64)=0,0,MAX(0,IF((AH$6-$E$3)&lt;1,0,IFERROR(LOOKUP(2,1/('Feijão 1ª safra'!$E64:INDEX('Feijão 1ª safra'!$E64:$Z64,MIN(AH$6-$E$3,22))&lt;&gt;""),'Feijão 1ª safra'!$E64:INDEX('Feijão 1ª safra'!$E64:$Z64,MIN(AH$6-$E$3,22))),0))-IF($G$2,0,IF((AH$6-$G$3)&lt;1,0,IFERROR(LOOKUP(2,1/('Feijão 1ª safra'!$E64:INDEX('Feijão 1ª safra'!$E64:$Z64,MIN(AH$6-$G$3,22))&lt;&gt;""),'Feijão 1ª safra'!$E64:INDEX('Feijão 1ª safra'!$E64:$Z64,MIN(AH$6-$G$3,22))),0)))))</f>
        <v>0</v>
      </c>
      <c r="AI66" s="27" t="n">
        <f aca="false">IF(COUNT('Feijão 1ª safra'!$E64:$Z64)=0,0,MAX(0,IF((AI$6-$E$3)&lt;1,0,IFERROR(LOOKUP(2,1/('Feijão 1ª safra'!$E64:INDEX('Feijão 1ª safra'!$E64:$Z64,MIN(AI$6-$E$3,22))&lt;&gt;""),'Feijão 1ª safra'!$E64:INDEX('Feijão 1ª safra'!$E64:$Z64,MIN(AI$6-$E$3,22))),0))-IF($G$2,0,IF((AI$6-$G$3)&lt;1,0,IFERROR(LOOKUP(2,1/('Feijão 1ª safra'!$E64:INDEX('Feijão 1ª safra'!$E64:$Z64,MIN(AI$6-$G$3,22))&lt;&gt;""),'Feijão 1ª safra'!$E64:INDEX('Feijão 1ª safra'!$E64:$Z64,MIN(AI$6-$G$3,22))),0)))))</f>
        <v>0</v>
      </c>
      <c r="AJ66" s="27" t="n">
        <f aca="false">IF(COUNT('Feijão 1ª safra'!$E64:$Z64)=0,0,MAX(0,IF((AJ$6-$E$3)&lt;1,0,IFERROR(LOOKUP(2,1/('Feijão 1ª safra'!$E64:INDEX('Feijão 1ª safra'!$E64:$Z64,MIN(AJ$6-$E$3,22))&lt;&gt;""),'Feijão 1ª safra'!$E64:INDEX('Feijão 1ª safra'!$E64:$Z64,MIN(AJ$6-$E$3,22))),0))-IF($G$2,0,IF((AJ$6-$G$3)&lt;1,0,IFERROR(LOOKUP(2,1/('Feijão 1ª safra'!$E64:INDEX('Feijão 1ª safra'!$E64:$Z64,MIN(AJ$6-$G$3,22))&lt;&gt;""),'Feijão 1ª safra'!$E64:INDEX('Feijão 1ª safra'!$E64:$Z64,MIN(AJ$6-$G$3,22))),0)))))</f>
        <v>0</v>
      </c>
      <c r="AK66" s="27" t="n">
        <f aca="false">IF(COUNT('Feijão 1ª safra'!$E64:$Z64)=0,0,MAX(0,IF((AK$6-$E$3)&lt;1,0,IFERROR(LOOKUP(2,1/('Feijão 1ª safra'!$E64:INDEX('Feijão 1ª safra'!$E64:$Z64,MIN(AK$6-$E$3,22))&lt;&gt;""),'Feijão 1ª safra'!$E64:INDEX('Feijão 1ª safra'!$E64:$Z64,MIN(AK$6-$E$3,22))),0))-IF($G$2,0,IF((AK$6-$G$3)&lt;1,0,IFERROR(LOOKUP(2,1/('Feijão 1ª safra'!$E64:INDEX('Feijão 1ª safra'!$E64:$Z64,MIN(AK$6-$G$3,22))&lt;&gt;""),'Feijão 1ª safra'!$E64:INDEX('Feijão 1ª safra'!$E64:$Z64,MIN(AK$6-$G$3,22))),0)))))</f>
        <v>0</v>
      </c>
      <c r="AL66" s="27" t="n">
        <f aca="false">IF(COUNT('Feijão 1ª safra'!$E64:$Z64)=0,0,MAX(0,IF((AL$6-$E$3)&lt;1,0,IFERROR(LOOKUP(2,1/('Feijão 1ª safra'!$E64:INDEX('Feijão 1ª safra'!$E64:$Z64,MIN(AL$6-$E$3,22))&lt;&gt;""),'Feijão 1ª safra'!$E64:INDEX('Feijão 1ª safra'!$E64:$Z64,MIN(AL$6-$E$3,22))),0))-IF($G$2,0,IF((AL$6-$G$3)&lt;1,0,IFERROR(LOOKUP(2,1/('Feijão 1ª safra'!$E64:INDEX('Feijão 1ª safra'!$E64:$Z64,MIN(AL$6-$G$3,22))&lt;&gt;""),'Feijão 1ª safra'!$E64:INDEX('Feijão 1ª safra'!$E64:$Z64,MIN(AL$6-$G$3,22))),0)))))</f>
        <v>0</v>
      </c>
      <c r="AM66" s="27" t="n">
        <f aca="false">IF(COUNT('Feijão 1ª safra'!$E64:$Z64)=0,0,MAX(0,IF((AM$6-$E$3)&lt;1,0,IFERROR(LOOKUP(2,1/('Feijão 1ª safra'!$E64:INDEX('Feijão 1ª safra'!$E64:$Z64,MIN(AM$6-$E$3,22))&lt;&gt;""),'Feijão 1ª safra'!$E64:INDEX('Feijão 1ª safra'!$E64:$Z64,MIN(AM$6-$E$3,22))),0))-IF($G$2,0,IF((AM$6-$G$3)&lt;1,0,IFERROR(LOOKUP(2,1/('Feijão 1ª safra'!$E64:INDEX('Feijão 1ª safra'!$E64:$Z64,MIN(AM$6-$G$3,22))&lt;&gt;""),'Feijão 1ª safra'!$E64:INDEX('Feijão 1ª safra'!$E64:$Z64,MIN(AM$6-$G$3,22))),0)))))</f>
        <v>0</v>
      </c>
      <c r="AN66" s="27" t="n">
        <f aca="false">IF(COUNT('Feijão 1ª safra'!$E64:$Z64)=0,0,MAX(0,IF((AN$6-$E$3)&lt;1,0,IFERROR(LOOKUP(2,1/('Feijão 1ª safra'!$E64:INDEX('Feijão 1ª safra'!$E64:$Z64,MIN(AN$6-$E$3,22))&lt;&gt;""),'Feijão 1ª safra'!$E64:INDEX('Feijão 1ª safra'!$E64:$Z64,MIN(AN$6-$E$3,22))),0))-IF($G$2,0,IF((AN$6-$G$3)&lt;1,0,IFERROR(LOOKUP(2,1/('Feijão 1ª safra'!$E64:INDEX('Feijão 1ª safra'!$E64:$Z64,MIN(AN$6-$G$3,22))&lt;&gt;""),'Feijão 1ª safra'!$E64:INDEX('Feijão 1ª safra'!$E64:$Z64,MIN(AN$6-$G$3,22))),0)))))</f>
        <v>0</v>
      </c>
      <c r="AO66" s="27" t="n">
        <f aca="false">IF(COUNT('Feijão 1ª safra'!$E64:$Z64)=0,0,MAX(0,IF((AO$6-$E$3)&lt;1,0,IFERROR(LOOKUP(2,1/('Feijão 1ª safra'!$E64:INDEX('Feijão 1ª safra'!$E64:$Z64,MIN(AO$6-$E$3,22))&lt;&gt;""),'Feijão 1ª safra'!$E64:INDEX('Feijão 1ª safra'!$E64:$Z64,MIN(AO$6-$E$3,22))),0))-IF($G$2,0,IF((AO$6-$G$3)&lt;1,0,IFERROR(LOOKUP(2,1/('Feijão 1ª safra'!$E64:INDEX('Feijão 1ª safra'!$E64:$Z64,MIN(AO$6-$G$3,22))&lt;&gt;""),'Feijão 1ª safra'!$E64:INDEX('Feijão 1ª safra'!$E64:$Z64,MIN(AO$6-$G$3,22))),0)))))</f>
        <v>0</v>
      </c>
      <c r="AP66" s="27" t="n">
        <f aca="false">IF(COUNT('Feijão 1ª safra'!$E64:$Z64)=0,0,MAX(0,IF((AP$6-$E$3)&lt;1,0,IFERROR(LOOKUP(2,1/('Feijão 1ª safra'!$E64:INDEX('Feijão 1ª safra'!$E64:$Z64,MIN(AP$6-$E$3,22))&lt;&gt;""),'Feijão 1ª safra'!$E64:INDEX('Feijão 1ª safra'!$E64:$Z64,MIN(AP$6-$E$3,22))),0))-IF($G$2,0,IF((AP$6-$G$3)&lt;1,0,IFERROR(LOOKUP(2,1/('Feijão 1ª safra'!$E64:INDEX('Feijão 1ª safra'!$E64:$Z64,MIN(AP$6-$G$3,22))&lt;&gt;""),'Feijão 1ª safra'!$E64:INDEX('Feijão 1ª safra'!$E64:$Z64,MIN(AP$6-$G$3,22))),0)))))</f>
        <v>0</v>
      </c>
      <c r="AQ66" s="27" t="n">
        <f aca="false">IF(COUNT('Feijão 1ª safra'!$E64:$Z64)=0,0,MAX(0,IF((AQ$6-$E$3)&lt;1,0,IFERROR(LOOKUP(2,1/('Feijão 1ª safra'!$E64:INDEX('Feijão 1ª safra'!$E64:$Z64,MIN(AQ$6-$E$3,22))&lt;&gt;""),'Feijão 1ª safra'!$E64:INDEX('Feijão 1ª safra'!$E64:$Z64,MIN(AQ$6-$E$3,22))),0))-IF($G$2,0,IF((AQ$6-$G$3)&lt;1,0,IFERROR(LOOKUP(2,1/('Feijão 1ª safra'!$E64:INDEX('Feijão 1ª safra'!$E64:$Z64,MIN(AQ$6-$G$3,22))&lt;&gt;""),'Feijão 1ª safra'!$E64:INDEX('Feijão 1ª safra'!$E64:$Z64,MIN(AQ$6-$G$3,22))),0)))))</f>
        <v>0</v>
      </c>
      <c r="AR66" s="27" t="n">
        <f aca="false">IF(COUNT('Feijão 1ª safra'!$E64:$Z64)=0,0,MAX(0,IF((AR$6-$E$3)&lt;1,0,IFERROR(LOOKUP(2,1/('Feijão 1ª safra'!$E64:INDEX('Feijão 1ª safra'!$E64:$Z64,MIN(AR$6-$E$3,22))&lt;&gt;""),'Feijão 1ª safra'!$E64:INDEX('Feijão 1ª safra'!$E64:$Z64,MIN(AR$6-$E$3,22))),0))-IF($G$2,0,IF((AR$6-$G$3)&lt;1,0,IFERROR(LOOKUP(2,1/('Feijão 1ª safra'!$E64:INDEX('Feijão 1ª safra'!$E64:$Z64,MIN(AR$6-$G$3,22))&lt;&gt;""),'Feijão 1ª safra'!$E64:INDEX('Feijão 1ª safra'!$E64:$Z64,MIN(AR$6-$G$3,22))),0)))))</f>
        <v>0</v>
      </c>
      <c r="AS66" s="27" t="n">
        <f aca="false">IF(COUNT('Feijão 1ª safra'!$E64:$Z64)=0,0,MAX(0,IF((AS$6-$E$3)&lt;1,0,IFERROR(LOOKUP(2,1/('Feijão 1ª safra'!$E64:INDEX('Feijão 1ª safra'!$E64:$Z64,MIN(AS$6-$E$3,22))&lt;&gt;""),'Feijão 1ª safra'!$E64:INDEX('Feijão 1ª safra'!$E64:$Z64,MIN(AS$6-$E$3,22))),0))-IF($G$2,0,IF((AS$6-$G$3)&lt;1,0,IFERROR(LOOKUP(2,1/('Feijão 1ª safra'!$E64:INDEX('Feijão 1ª safra'!$E64:$Z64,MIN(AS$6-$G$3,22))&lt;&gt;""),'Feijão 1ª safra'!$E64:INDEX('Feijão 1ª safra'!$E64:$Z64,MIN(AS$6-$G$3,22))),0)))))</f>
        <v>0</v>
      </c>
      <c r="AT66" s="27" t="n">
        <f aca="false">IF(COUNT('Feijão 1ª safra'!$E64:$Z64)=0,0,MAX(0,IF((AT$6-$E$3)&lt;1,0,IFERROR(LOOKUP(2,1/('Feijão 1ª safra'!$E64:INDEX('Feijão 1ª safra'!$E64:$Z64,MIN(AT$6-$E$3,22))&lt;&gt;""),'Feijão 1ª safra'!$E64:INDEX('Feijão 1ª safra'!$E64:$Z64,MIN(AT$6-$E$3,22))),0))-IF($G$2,0,IF((AT$6-$G$3)&lt;1,0,IFERROR(LOOKUP(2,1/('Feijão 1ª safra'!$E64:INDEX('Feijão 1ª safra'!$E64:$Z64,MIN(AT$6-$G$3,22))&lt;&gt;""),'Feijão 1ª safra'!$E64:INDEX('Feijão 1ª safra'!$E64:$Z64,MIN(AT$6-$G$3,22))),0)))))</f>
        <v>0</v>
      </c>
      <c r="AU66" s="27" t="n">
        <f aca="false">IF(COUNT('Feijão 1ª safra'!$E64:$Z64)=0,0,MAX(0,IF((AU$6-$E$3)&lt;1,0,IFERROR(LOOKUP(2,1/('Feijão 1ª safra'!$E64:INDEX('Feijão 1ª safra'!$E64:$Z64,MIN(AU$6-$E$3,22))&lt;&gt;""),'Feijão 1ª safra'!$E64:INDEX('Feijão 1ª safra'!$E64:$Z64,MIN(AU$6-$E$3,22))),0))-IF($G$2,0,IF((AU$6-$G$3)&lt;1,0,IFERROR(LOOKUP(2,1/('Feijão 1ª safra'!$E64:INDEX('Feijão 1ª safra'!$E64:$Z64,MIN(AU$6-$G$3,22))&lt;&gt;""),'Feijão 1ª safra'!$E64:INDEX('Feijão 1ª safra'!$E64:$Z64,MIN(AU$6-$G$3,22))),0)))))</f>
        <v>0</v>
      </c>
      <c r="AV66" s="27" t="n">
        <f aca="false">IF(COUNT('Feijão 1ª safra'!$E64:$Z64)=0,0,MAX(0,IF((AV$6-$E$3)&lt;1,0,IFERROR(LOOKUP(2,1/('Feijão 1ª safra'!$E64:INDEX('Feijão 1ª safra'!$E64:$Z64,MIN(AV$6-$E$3,22))&lt;&gt;""),'Feijão 1ª safra'!$E64:INDEX('Feijão 1ª safra'!$E64:$Z64,MIN(AV$6-$E$3,22))),0))-IF($G$2,0,IF((AV$6-$G$3)&lt;1,0,IFERROR(LOOKUP(2,1/('Feijão 1ª safra'!$E64:INDEX('Feijão 1ª safra'!$E64:$Z64,MIN(AV$6-$G$3,22))&lt;&gt;""),'Feijão 1ª safra'!$E64:INDEX('Feijão 1ª safra'!$E64:$Z64,MIN(AV$6-$G$3,22))),0)))))</f>
        <v>0</v>
      </c>
      <c r="AW66" s="27" t="n">
        <f aca="false">IF(COUNT('Feijão 1ª safra'!$E64:$Z64)=0,0,MAX(0,IF((AW$6-$E$3)&lt;1,0,IFERROR(LOOKUP(2,1/('Feijão 1ª safra'!$E64:INDEX('Feijão 1ª safra'!$E64:$Z64,MIN(AW$6-$E$3,22))&lt;&gt;""),'Feijão 1ª safra'!$E64:INDEX('Feijão 1ª safra'!$E64:$Z64,MIN(AW$6-$E$3,22))),0))-IF($G$2,0,IF((AW$6-$G$3)&lt;1,0,IFERROR(LOOKUP(2,1/('Feijão 1ª safra'!$E64:INDEX('Feijão 1ª safra'!$E64:$Z64,MIN(AW$6-$G$3,22))&lt;&gt;""),'Feijão 1ª safra'!$E64:INDEX('Feijão 1ª safra'!$E64:$Z64,MIN(AW$6-$G$3,22))),0)))))</f>
        <v>0</v>
      </c>
      <c r="AX66" s="27" t="n">
        <f aca="false">IF(COUNT('Feijão 1ª safra'!$E64:$Z64)=0,0,MAX(0,IF((AX$6-$E$3)&lt;1,0,IFERROR(LOOKUP(2,1/('Feijão 1ª safra'!$E64:INDEX('Feijão 1ª safra'!$E64:$Z64,MIN(AX$6-$E$3,22))&lt;&gt;""),'Feijão 1ª safra'!$E64:INDEX('Feijão 1ª safra'!$E64:$Z64,MIN(AX$6-$E$3,22))),0))-IF($G$2,0,IF((AX$6-$G$3)&lt;1,0,IFERROR(LOOKUP(2,1/('Feijão 1ª safra'!$E64:INDEX('Feijão 1ª safra'!$E64:$Z64,MIN(AX$6-$G$3,22))&lt;&gt;""),'Feijão 1ª safra'!$E64:INDEX('Feijão 1ª safra'!$E64:$Z64,MIN(AX$6-$G$3,22))),0)))))</f>
        <v>0</v>
      </c>
      <c r="AY66" s="27" t="n">
        <f aca="false">IF(COUNT('Feijão 1ª safra'!$E64:$Z64)=0,0,MAX(0,IF((AY$6-$E$3)&lt;1,0,IFERROR(LOOKUP(2,1/('Feijão 1ª safra'!$E64:INDEX('Feijão 1ª safra'!$E64:$Z64,MIN(AY$6-$E$3,22))&lt;&gt;""),'Feijão 1ª safra'!$E64:INDEX('Feijão 1ª safra'!$E64:$Z64,MIN(AY$6-$E$3,22))),0))-IF($G$2,0,IF((AY$6-$G$3)&lt;1,0,IFERROR(LOOKUP(2,1/('Feijão 1ª safra'!$E64:INDEX('Feijão 1ª safra'!$E64:$Z64,MIN(AY$6-$G$3,22))&lt;&gt;""),'Feijão 1ª safra'!$E64:INDEX('Feijão 1ª safra'!$E64:$Z64,MIN(AY$6-$G$3,22))),0)))))</f>
        <v>0</v>
      </c>
      <c r="AZ66" s="27" t="n">
        <f aca="false">IF(COUNT('Feijão 1ª safra'!$E64:$Z64)=0,0,MAX(0,IF((AZ$6-$E$3)&lt;1,0,IFERROR(LOOKUP(2,1/('Feijão 1ª safra'!$E64:INDEX('Feijão 1ª safra'!$E64:$Z64,MIN(AZ$6-$E$3,22))&lt;&gt;""),'Feijão 1ª safra'!$E64:INDEX('Feijão 1ª safra'!$E64:$Z64,MIN(AZ$6-$E$3,22))),0))-IF($G$2,0,IF((AZ$6-$G$3)&lt;1,0,IFERROR(LOOKUP(2,1/('Feijão 1ª safra'!$E64:INDEX('Feijão 1ª safra'!$E64:$Z64,MIN(AZ$6-$G$3,22))&lt;&gt;""),'Feijão 1ª safra'!$E64:INDEX('Feijão 1ª safra'!$E64:$Z64,MIN(AZ$6-$G$3,22))),0)))))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IF(COUNT('Feijão 1ª safra'!$E65:$Z65)&gt;0,N('Feijão 1ª safra'!$D65),0)</f>
        <v>0</v>
      </c>
      <c r="E67" s="27" t="n">
        <f aca="false">IF(COUNT('Feijão 1ª safra'!$E65:$Z65)=0,0,MAX(0,IF((E$6-$E$3)&lt;1,0,IFERROR(LOOKUP(2,1/('Feijão 1ª safra'!$E65:INDEX('Feijão 1ª safra'!$E65:$Z65,MIN(E$6-$E$3,22))&lt;&gt;""),'Feijão 1ª safra'!$E65:INDEX('Feijão 1ª safra'!$E65:$Z65,MIN(E$6-$E$3,22))),0))-IF($G$2,0,IF((E$6-$G$3)&lt;1,0,IFERROR(LOOKUP(2,1/('Feijão 1ª safra'!$E65:INDEX('Feijão 1ª safra'!$E65:$Z65,MIN(E$6-$G$3,22))&lt;&gt;""),'Feijão 1ª safra'!$E65:INDEX('Feijão 1ª safra'!$E65:$Z65,MIN(E$6-$G$3,22))),0)))))</f>
        <v>0</v>
      </c>
      <c r="F67" s="27" t="n">
        <f aca="false">IF(COUNT('Feijão 1ª safra'!$E65:$Z65)=0,0,MAX(0,IF((F$6-$E$3)&lt;1,0,IFERROR(LOOKUP(2,1/('Feijão 1ª safra'!$E65:INDEX('Feijão 1ª safra'!$E65:$Z65,MIN(F$6-$E$3,22))&lt;&gt;""),'Feijão 1ª safra'!$E65:INDEX('Feijão 1ª safra'!$E65:$Z65,MIN(F$6-$E$3,22))),0))-IF($G$2,0,IF((F$6-$G$3)&lt;1,0,IFERROR(LOOKUP(2,1/('Feijão 1ª safra'!$E65:INDEX('Feijão 1ª safra'!$E65:$Z65,MIN(F$6-$G$3,22))&lt;&gt;""),'Feijão 1ª safra'!$E65:INDEX('Feijão 1ª safra'!$E65:$Z65,MIN(F$6-$G$3,22))),0)))))</f>
        <v>0</v>
      </c>
      <c r="G67" s="27" t="n">
        <f aca="false">IF(COUNT('Feijão 1ª safra'!$E65:$Z65)=0,0,MAX(0,IF((G$6-$E$3)&lt;1,0,IFERROR(LOOKUP(2,1/('Feijão 1ª safra'!$E65:INDEX('Feijão 1ª safra'!$E65:$Z65,MIN(G$6-$E$3,22))&lt;&gt;""),'Feijão 1ª safra'!$E65:INDEX('Feijão 1ª safra'!$E65:$Z65,MIN(G$6-$E$3,22))),0))-IF($G$2,0,IF((G$6-$G$3)&lt;1,0,IFERROR(LOOKUP(2,1/('Feijão 1ª safra'!$E65:INDEX('Feijão 1ª safra'!$E65:$Z65,MIN(G$6-$G$3,22))&lt;&gt;""),'Feijão 1ª safra'!$E65:INDEX('Feijão 1ª safra'!$E65:$Z65,MIN(G$6-$G$3,22))),0)))))</f>
        <v>0</v>
      </c>
      <c r="H67" s="27" t="n">
        <f aca="false">IF(COUNT('Feijão 1ª safra'!$E65:$Z65)=0,0,MAX(0,IF((H$6-$E$3)&lt;1,0,IFERROR(LOOKUP(2,1/('Feijão 1ª safra'!$E65:INDEX('Feijão 1ª safra'!$E65:$Z65,MIN(H$6-$E$3,22))&lt;&gt;""),'Feijão 1ª safra'!$E65:INDEX('Feijão 1ª safra'!$E65:$Z65,MIN(H$6-$E$3,22))),0))-IF($G$2,0,IF((H$6-$G$3)&lt;1,0,IFERROR(LOOKUP(2,1/('Feijão 1ª safra'!$E65:INDEX('Feijão 1ª safra'!$E65:$Z65,MIN(H$6-$G$3,22))&lt;&gt;""),'Feijão 1ª safra'!$E65:INDEX('Feijão 1ª safra'!$E65:$Z65,MIN(H$6-$G$3,22))),0)))))</f>
        <v>0</v>
      </c>
      <c r="I67" s="27" t="n">
        <f aca="false">IF(COUNT('Feijão 1ª safra'!$E65:$Z65)=0,0,MAX(0,IF((I$6-$E$3)&lt;1,0,IFERROR(LOOKUP(2,1/('Feijão 1ª safra'!$E65:INDEX('Feijão 1ª safra'!$E65:$Z65,MIN(I$6-$E$3,22))&lt;&gt;""),'Feijão 1ª safra'!$E65:INDEX('Feijão 1ª safra'!$E65:$Z65,MIN(I$6-$E$3,22))),0))-IF($G$2,0,IF((I$6-$G$3)&lt;1,0,IFERROR(LOOKUP(2,1/('Feijão 1ª safra'!$E65:INDEX('Feijão 1ª safra'!$E65:$Z65,MIN(I$6-$G$3,22))&lt;&gt;""),'Feijão 1ª safra'!$E65:INDEX('Feijão 1ª safra'!$E65:$Z65,MIN(I$6-$G$3,22))),0)))))</f>
        <v>0</v>
      </c>
      <c r="J67" s="27" t="n">
        <f aca="false">IF(COUNT('Feijão 1ª safra'!$E65:$Z65)=0,0,MAX(0,IF((J$6-$E$3)&lt;1,0,IFERROR(LOOKUP(2,1/('Feijão 1ª safra'!$E65:INDEX('Feijão 1ª safra'!$E65:$Z65,MIN(J$6-$E$3,22))&lt;&gt;""),'Feijão 1ª safra'!$E65:INDEX('Feijão 1ª safra'!$E65:$Z65,MIN(J$6-$E$3,22))),0))-IF($G$2,0,IF((J$6-$G$3)&lt;1,0,IFERROR(LOOKUP(2,1/('Feijão 1ª safra'!$E65:INDEX('Feijão 1ª safra'!$E65:$Z65,MIN(J$6-$G$3,22))&lt;&gt;""),'Feijão 1ª safra'!$E65:INDEX('Feijão 1ª safra'!$E65:$Z65,MIN(J$6-$G$3,22))),0)))))</f>
        <v>0</v>
      </c>
      <c r="K67" s="27" t="n">
        <f aca="false">IF(COUNT('Feijão 1ª safra'!$E65:$Z65)=0,0,MAX(0,IF((K$6-$E$3)&lt;1,0,IFERROR(LOOKUP(2,1/('Feijão 1ª safra'!$E65:INDEX('Feijão 1ª safra'!$E65:$Z65,MIN(K$6-$E$3,22))&lt;&gt;""),'Feijão 1ª safra'!$E65:INDEX('Feijão 1ª safra'!$E65:$Z65,MIN(K$6-$E$3,22))),0))-IF($G$2,0,IF((K$6-$G$3)&lt;1,0,IFERROR(LOOKUP(2,1/('Feijão 1ª safra'!$E65:INDEX('Feijão 1ª safra'!$E65:$Z65,MIN(K$6-$G$3,22))&lt;&gt;""),'Feijão 1ª safra'!$E65:INDEX('Feijão 1ª safra'!$E65:$Z65,MIN(K$6-$G$3,22))),0)))))</f>
        <v>0</v>
      </c>
      <c r="L67" s="27" t="n">
        <f aca="false">IF(COUNT('Feijão 1ª safra'!$E65:$Z65)=0,0,MAX(0,IF((L$6-$E$3)&lt;1,0,IFERROR(LOOKUP(2,1/('Feijão 1ª safra'!$E65:INDEX('Feijão 1ª safra'!$E65:$Z65,MIN(L$6-$E$3,22))&lt;&gt;""),'Feijão 1ª safra'!$E65:INDEX('Feijão 1ª safra'!$E65:$Z65,MIN(L$6-$E$3,22))),0))-IF($G$2,0,IF((L$6-$G$3)&lt;1,0,IFERROR(LOOKUP(2,1/('Feijão 1ª safra'!$E65:INDEX('Feijão 1ª safra'!$E65:$Z65,MIN(L$6-$G$3,22))&lt;&gt;""),'Feijão 1ª safra'!$E65:INDEX('Feijão 1ª safra'!$E65:$Z65,MIN(L$6-$G$3,22))),0)))))</f>
        <v>0</v>
      </c>
      <c r="M67" s="27" t="n">
        <f aca="false">IF(COUNT('Feijão 1ª safra'!$E65:$Z65)=0,0,MAX(0,IF((M$6-$E$3)&lt;1,0,IFERROR(LOOKUP(2,1/('Feijão 1ª safra'!$E65:INDEX('Feijão 1ª safra'!$E65:$Z65,MIN(M$6-$E$3,22))&lt;&gt;""),'Feijão 1ª safra'!$E65:INDEX('Feijão 1ª safra'!$E65:$Z65,MIN(M$6-$E$3,22))),0))-IF($G$2,0,IF((M$6-$G$3)&lt;1,0,IFERROR(LOOKUP(2,1/('Feijão 1ª safra'!$E65:INDEX('Feijão 1ª safra'!$E65:$Z65,MIN(M$6-$G$3,22))&lt;&gt;""),'Feijão 1ª safra'!$E65:INDEX('Feijão 1ª safra'!$E65:$Z65,MIN(M$6-$G$3,22))),0)))))</f>
        <v>0</v>
      </c>
      <c r="N67" s="27" t="n">
        <f aca="false">IF(COUNT('Feijão 1ª safra'!$E65:$Z65)=0,0,MAX(0,IF((N$6-$E$3)&lt;1,0,IFERROR(LOOKUP(2,1/('Feijão 1ª safra'!$E65:INDEX('Feijão 1ª safra'!$E65:$Z65,MIN(N$6-$E$3,22))&lt;&gt;""),'Feijão 1ª safra'!$E65:INDEX('Feijão 1ª safra'!$E65:$Z65,MIN(N$6-$E$3,22))),0))-IF($G$2,0,IF((N$6-$G$3)&lt;1,0,IFERROR(LOOKUP(2,1/('Feijão 1ª safra'!$E65:INDEX('Feijão 1ª safra'!$E65:$Z65,MIN(N$6-$G$3,22))&lt;&gt;""),'Feijão 1ª safra'!$E65:INDEX('Feijão 1ª safra'!$E65:$Z65,MIN(N$6-$G$3,22))),0)))))</f>
        <v>0</v>
      </c>
      <c r="O67" s="27" t="n">
        <f aca="false">IF(COUNT('Feijão 1ª safra'!$E65:$Z65)=0,0,MAX(0,IF((O$6-$E$3)&lt;1,0,IFERROR(LOOKUP(2,1/('Feijão 1ª safra'!$E65:INDEX('Feijão 1ª safra'!$E65:$Z65,MIN(O$6-$E$3,22))&lt;&gt;""),'Feijão 1ª safra'!$E65:INDEX('Feijão 1ª safra'!$E65:$Z65,MIN(O$6-$E$3,22))),0))-IF($G$2,0,IF((O$6-$G$3)&lt;1,0,IFERROR(LOOKUP(2,1/('Feijão 1ª safra'!$E65:INDEX('Feijão 1ª safra'!$E65:$Z65,MIN(O$6-$G$3,22))&lt;&gt;""),'Feijão 1ª safra'!$E65:INDEX('Feijão 1ª safra'!$E65:$Z65,MIN(O$6-$G$3,22))),0)))))</f>
        <v>0</v>
      </c>
      <c r="P67" s="27" t="n">
        <f aca="false">IF(COUNT('Feijão 1ª safra'!$E65:$Z65)=0,0,MAX(0,IF((P$6-$E$3)&lt;1,0,IFERROR(LOOKUP(2,1/('Feijão 1ª safra'!$E65:INDEX('Feijão 1ª safra'!$E65:$Z65,MIN(P$6-$E$3,22))&lt;&gt;""),'Feijão 1ª safra'!$E65:INDEX('Feijão 1ª safra'!$E65:$Z65,MIN(P$6-$E$3,22))),0))-IF($G$2,0,IF((P$6-$G$3)&lt;1,0,IFERROR(LOOKUP(2,1/('Feijão 1ª safra'!$E65:INDEX('Feijão 1ª safra'!$E65:$Z65,MIN(P$6-$G$3,22))&lt;&gt;""),'Feijão 1ª safra'!$E65:INDEX('Feijão 1ª safra'!$E65:$Z65,MIN(P$6-$G$3,22))),0)))))</f>
        <v>0</v>
      </c>
      <c r="Q67" s="27" t="n">
        <f aca="false">IF(COUNT('Feijão 1ª safra'!$E65:$Z65)=0,0,MAX(0,IF((Q$6-$E$3)&lt;1,0,IFERROR(LOOKUP(2,1/('Feijão 1ª safra'!$E65:INDEX('Feijão 1ª safra'!$E65:$Z65,MIN(Q$6-$E$3,22))&lt;&gt;""),'Feijão 1ª safra'!$E65:INDEX('Feijão 1ª safra'!$E65:$Z65,MIN(Q$6-$E$3,22))),0))-IF($G$2,0,IF((Q$6-$G$3)&lt;1,0,IFERROR(LOOKUP(2,1/('Feijão 1ª safra'!$E65:INDEX('Feijão 1ª safra'!$E65:$Z65,MIN(Q$6-$G$3,22))&lt;&gt;""),'Feijão 1ª safra'!$E65:INDEX('Feijão 1ª safra'!$E65:$Z65,MIN(Q$6-$G$3,22))),0)))))</f>
        <v>0</v>
      </c>
      <c r="R67" s="27" t="n">
        <f aca="false">IF(COUNT('Feijão 1ª safra'!$E65:$Z65)=0,0,MAX(0,IF((R$6-$E$3)&lt;1,0,IFERROR(LOOKUP(2,1/('Feijão 1ª safra'!$E65:INDEX('Feijão 1ª safra'!$E65:$Z65,MIN(R$6-$E$3,22))&lt;&gt;""),'Feijão 1ª safra'!$E65:INDEX('Feijão 1ª safra'!$E65:$Z65,MIN(R$6-$E$3,22))),0))-IF($G$2,0,IF((R$6-$G$3)&lt;1,0,IFERROR(LOOKUP(2,1/('Feijão 1ª safra'!$E65:INDEX('Feijão 1ª safra'!$E65:$Z65,MIN(R$6-$G$3,22))&lt;&gt;""),'Feijão 1ª safra'!$E65:INDEX('Feijão 1ª safra'!$E65:$Z65,MIN(R$6-$G$3,22))),0)))))</f>
        <v>0</v>
      </c>
      <c r="S67" s="27" t="n">
        <f aca="false">IF(COUNT('Feijão 1ª safra'!$E65:$Z65)=0,0,MAX(0,IF((S$6-$E$3)&lt;1,0,IFERROR(LOOKUP(2,1/('Feijão 1ª safra'!$E65:INDEX('Feijão 1ª safra'!$E65:$Z65,MIN(S$6-$E$3,22))&lt;&gt;""),'Feijão 1ª safra'!$E65:INDEX('Feijão 1ª safra'!$E65:$Z65,MIN(S$6-$E$3,22))),0))-IF($G$2,0,IF((S$6-$G$3)&lt;1,0,IFERROR(LOOKUP(2,1/('Feijão 1ª safra'!$E65:INDEX('Feijão 1ª safra'!$E65:$Z65,MIN(S$6-$G$3,22))&lt;&gt;""),'Feijão 1ª safra'!$E65:INDEX('Feijão 1ª safra'!$E65:$Z65,MIN(S$6-$G$3,22))),0)))))</f>
        <v>0</v>
      </c>
      <c r="T67" s="27" t="n">
        <f aca="false">IF(COUNT('Feijão 1ª safra'!$E65:$Z65)=0,0,MAX(0,IF((T$6-$E$3)&lt;1,0,IFERROR(LOOKUP(2,1/('Feijão 1ª safra'!$E65:INDEX('Feijão 1ª safra'!$E65:$Z65,MIN(T$6-$E$3,22))&lt;&gt;""),'Feijão 1ª safra'!$E65:INDEX('Feijão 1ª safra'!$E65:$Z65,MIN(T$6-$E$3,22))),0))-IF($G$2,0,IF((T$6-$G$3)&lt;1,0,IFERROR(LOOKUP(2,1/('Feijão 1ª safra'!$E65:INDEX('Feijão 1ª safra'!$E65:$Z65,MIN(T$6-$G$3,22))&lt;&gt;""),'Feijão 1ª safra'!$E65:INDEX('Feijão 1ª safra'!$E65:$Z65,MIN(T$6-$G$3,22))),0)))))</f>
        <v>0</v>
      </c>
      <c r="U67" s="27" t="n">
        <f aca="false">IF(COUNT('Feijão 1ª safra'!$E65:$Z65)=0,0,MAX(0,IF((U$6-$E$3)&lt;1,0,IFERROR(LOOKUP(2,1/('Feijão 1ª safra'!$E65:INDEX('Feijão 1ª safra'!$E65:$Z65,MIN(U$6-$E$3,22))&lt;&gt;""),'Feijão 1ª safra'!$E65:INDEX('Feijão 1ª safra'!$E65:$Z65,MIN(U$6-$E$3,22))),0))-IF($G$2,0,IF((U$6-$G$3)&lt;1,0,IFERROR(LOOKUP(2,1/('Feijão 1ª safra'!$E65:INDEX('Feijão 1ª safra'!$E65:$Z65,MIN(U$6-$G$3,22))&lt;&gt;""),'Feijão 1ª safra'!$E65:INDEX('Feijão 1ª safra'!$E65:$Z65,MIN(U$6-$G$3,22))),0)))))</f>
        <v>0</v>
      </c>
      <c r="V67" s="27" t="n">
        <f aca="false">IF(COUNT('Feijão 1ª safra'!$E65:$Z65)=0,0,MAX(0,IF((V$6-$E$3)&lt;1,0,IFERROR(LOOKUP(2,1/('Feijão 1ª safra'!$E65:INDEX('Feijão 1ª safra'!$E65:$Z65,MIN(V$6-$E$3,22))&lt;&gt;""),'Feijão 1ª safra'!$E65:INDEX('Feijão 1ª safra'!$E65:$Z65,MIN(V$6-$E$3,22))),0))-IF($G$2,0,IF((V$6-$G$3)&lt;1,0,IFERROR(LOOKUP(2,1/('Feijão 1ª safra'!$E65:INDEX('Feijão 1ª safra'!$E65:$Z65,MIN(V$6-$G$3,22))&lt;&gt;""),'Feijão 1ª safra'!$E65:INDEX('Feijão 1ª safra'!$E65:$Z65,MIN(V$6-$G$3,22))),0)))))</f>
        <v>0</v>
      </c>
      <c r="W67" s="27" t="n">
        <f aca="false">IF(COUNT('Feijão 1ª safra'!$E65:$Z65)=0,0,MAX(0,IF((W$6-$E$3)&lt;1,0,IFERROR(LOOKUP(2,1/('Feijão 1ª safra'!$E65:INDEX('Feijão 1ª safra'!$E65:$Z65,MIN(W$6-$E$3,22))&lt;&gt;""),'Feijão 1ª safra'!$E65:INDEX('Feijão 1ª safra'!$E65:$Z65,MIN(W$6-$E$3,22))),0))-IF($G$2,0,IF((W$6-$G$3)&lt;1,0,IFERROR(LOOKUP(2,1/('Feijão 1ª safra'!$E65:INDEX('Feijão 1ª safra'!$E65:$Z65,MIN(W$6-$G$3,22))&lt;&gt;""),'Feijão 1ª safra'!$E65:INDEX('Feijão 1ª safra'!$E65:$Z65,MIN(W$6-$G$3,22))),0)))))</f>
        <v>0</v>
      </c>
      <c r="X67" s="27" t="n">
        <f aca="false">IF(COUNT('Feijão 1ª safra'!$E65:$Z65)=0,0,MAX(0,IF((X$6-$E$3)&lt;1,0,IFERROR(LOOKUP(2,1/('Feijão 1ª safra'!$E65:INDEX('Feijão 1ª safra'!$E65:$Z65,MIN(X$6-$E$3,22))&lt;&gt;""),'Feijão 1ª safra'!$E65:INDEX('Feijão 1ª safra'!$E65:$Z65,MIN(X$6-$E$3,22))),0))-IF($G$2,0,IF((X$6-$G$3)&lt;1,0,IFERROR(LOOKUP(2,1/('Feijão 1ª safra'!$E65:INDEX('Feijão 1ª safra'!$E65:$Z65,MIN(X$6-$G$3,22))&lt;&gt;""),'Feijão 1ª safra'!$E65:INDEX('Feijão 1ª safra'!$E65:$Z65,MIN(X$6-$G$3,22))),0)))))</f>
        <v>0</v>
      </c>
      <c r="Y67" s="27" t="n">
        <f aca="false">IF(COUNT('Feijão 1ª safra'!$E65:$Z65)=0,0,MAX(0,IF((Y$6-$E$3)&lt;1,0,IFERROR(LOOKUP(2,1/('Feijão 1ª safra'!$E65:INDEX('Feijão 1ª safra'!$E65:$Z65,MIN(Y$6-$E$3,22))&lt;&gt;""),'Feijão 1ª safra'!$E65:INDEX('Feijão 1ª safra'!$E65:$Z65,MIN(Y$6-$E$3,22))),0))-IF($G$2,0,IF((Y$6-$G$3)&lt;1,0,IFERROR(LOOKUP(2,1/('Feijão 1ª safra'!$E65:INDEX('Feijão 1ª safra'!$E65:$Z65,MIN(Y$6-$G$3,22))&lt;&gt;""),'Feijão 1ª safra'!$E65:INDEX('Feijão 1ª safra'!$E65:$Z65,MIN(Y$6-$G$3,22))),0)))))</f>
        <v>0</v>
      </c>
      <c r="Z67" s="27" t="n">
        <f aca="false">IF(COUNT('Feijão 1ª safra'!$E65:$Z65)=0,0,MAX(0,IF((Z$6-$E$3)&lt;1,0,IFERROR(LOOKUP(2,1/('Feijão 1ª safra'!$E65:INDEX('Feijão 1ª safra'!$E65:$Z65,MIN(Z$6-$E$3,22))&lt;&gt;""),'Feijão 1ª safra'!$E65:INDEX('Feijão 1ª safra'!$E65:$Z65,MIN(Z$6-$E$3,22))),0))-IF($G$2,0,IF((Z$6-$G$3)&lt;1,0,IFERROR(LOOKUP(2,1/('Feijão 1ª safra'!$E65:INDEX('Feijão 1ª safra'!$E65:$Z65,MIN(Z$6-$G$3,22))&lt;&gt;""),'Feijão 1ª safra'!$E65:INDEX('Feijão 1ª safra'!$E65:$Z65,MIN(Z$6-$G$3,22))),0)))))</f>
        <v>0</v>
      </c>
      <c r="AA67" s="27" t="n">
        <f aca="false">IF(COUNT('Feijão 1ª safra'!$E65:$Z65)=0,0,MAX(0,IF((AA$6-$E$3)&lt;1,0,IFERROR(LOOKUP(2,1/('Feijão 1ª safra'!$E65:INDEX('Feijão 1ª safra'!$E65:$Z65,MIN(AA$6-$E$3,22))&lt;&gt;""),'Feijão 1ª safra'!$E65:INDEX('Feijão 1ª safra'!$E65:$Z65,MIN(AA$6-$E$3,22))),0))-IF($G$2,0,IF((AA$6-$G$3)&lt;1,0,IFERROR(LOOKUP(2,1/('Feijão 1ª safra'!$E65:INDEX('Feijão 1ª safra'!$E65:$Z65,MIN(AA$6-$G$3,22))&lt;&gt;""),'Feijão 1ª safra'!$E65:INDEX('Feijão 1ª safra'!$E65:$Z65,MIN(AA$6-$G$3,22))),0)))))</f>
        <v>0</v>
      </c>
      <c r="AB67" s="27" t="n">
        <f aca="false">IF(COUNT('Feijão 1ª safra'!$E65:$Z65)=0,0,MAX(0,IF((AB$6-$E$3)&lt;1,0,IFERROR(LOOKUP(2,1/('Feijão 1ª safra'!$E65:INDEX('Feijão 1ª safra'!$E65:$Z65,MIN(AB$6-$E$3,22))&lt;&gt;""),'Feijão 1ª safra'!$E65:INDEX('Feijão 1ª safra'!$E65:$Z65,MIN(AB$6-$E$3,22))),0))-IF($G$2,0,IF((AB$6-$G$3)&lt;1,0,IFERROR(LOOKUP(2,1/('Feijão 1ª safra'!$E65:INDEX('Feijão 1ª safra'!$E65:$Z65,MIN(AB$6-$G$3,22))&lt;&gt;""),'Feijão 1ª safra'!$E65:INDEX('Feijão 1ª safra'!$E65:$Z65,MIN(AB$6-$G$3,22))),0)))))</f>
        <v>0</v>
      </c>
      <c r="AC67" s="27" t="n">
        <f aca="false">IF(COUNT('Feijão 1ª safra'!$E65:$Z65)=0,0,MAX(0,IF((AC$6-$E$3)&lt;1,0,IFERROR(LOOKUP(2,1/('Feijão 1ª safra'!$E65:INDEX('Feijão 1ª safra'!$E65:$Z65,MIN(AC$6-$E$3,22))&lt;&gt;""),'Feijão 1ª safra'!$E65:INDEX('Feijão 1ª safra'!$E65:$Z65,MIN(AC$6-$E$3,22))),0))-IF($G$2,0,IF((AC$6-$G$3)&lt;1,0,IFERROR(LOOKUP(2,1/('Feijão 1ª safra'!$E65:INDEX('Feijão 1ª safra'!$E65:$Z65,MIN(AC$6-$G$3,22))&lt;&gt;""),'Feijão 1ª safra'!$E65:INDEX('Feijão 1ª safra'!$E65:$Z65,MIN(AC$6-$G$3,22))),0)))))</f>
        <v>0</v>
      </c>
      <c r="AD67" s="27" t="n">
        <f aca="false">IF(COUNT('Feijão 1ª safra'!$E65:$Z65)=0,0,MAX(0,IF((AD$6-$E$3)&lt;1,0,IFERROR(LOOKUP(2,1/('Feijão 1ª safra'!$E65:INDEX('Feijão 1ª safra'!$E65:$Z65,MIN(AD$6-$E$3,22))&lt;&gt;""),'Feijão 1ª safra'!$E65:INDEX('Feijão 1ª safra'!$E65:$Z65,MIN(AD$6-$E$3,22))),0))-IF($G$2,0,IF((AD$6-$G$3)&lt;1,0,IFERROR(LOOKUP(2,1/('Feijão 1ª safra'!$E65:INDEX('Feijão 1ª safra'!$E65:$Z65,MIN(AD$6-$G$3,22))&lt;&gt;""),'Feijão 1ª safra'!$E65:INDEX('Feijão 1ª safra'!$E65:$Z65,MIN(AD$6-$G$3,22))),0)))))</f>
        <v>0</v>
      </c>
      <c r="AE67" s="27" t="n">
        <f aca="false">IF(COUNT('Feijão 1ª safra'!$E65:$Z65)=0,0,MAX(0,IF((AE$6-$E$3)&lt;1,0,IFERROR(LOOKUP(2,1/('Feijão 1ª safra'!$E65:INDEX('Feijão 1ª safra'!$E65:$Z65,MIN(AE$6-$E$3,22))&lt;&gt;""),'Feijão 1ª safra'!$E65:INDEX('Feijão 1ª safra'!$E65:$Z65,MIN(AE$6-$E$3,22))),0))-IF($G$2,0,IF((AE$6-$G$3)&lt;1,0,IFERROR(LOOKUP(2,1/('Feijão 1ª safra'!$E65:INDEX('Feijão 1ª safra'!$E65:$Z65,MIN(AE$6-$G$3,22))&lt;&gt;""),'Feijão 1ª safra'!$E65:INDEX('Feijão 1ª safra'!$E65:$Z65,MIN(AE$6-$G$3,22))),0)))))</f>
        <v>0</v>
      </c>
      <c r="AF67" s="27" t="n">
        <f aca="false">IF(COUNT('Feijão 1ª safra'!$E65:$Z65)=0,0,MAX(0,IF((AF$6-$E$3)&lt;1,0,IFERROR(LOOKUP(2,1/('Feijão 1ª safra'!$E65:INDEX('Feijão 1ª safra'!$E65:$Z65,MIN(AF$6-$E$3,22))&lt;&gt;""),'Feijão 1ª safra'!$E65:INDEX('Feijão 1ª safra'!$E65:$Z65,MIN(AF$6-$E$3,22))),0))-IF($G$2,0,IF((AF$6-$G$3)&lt;1,0,IFERROR(LOOKUP(2,1/('Feijão 1ª safra'!$E65:INDEX('Feijão 1ª safra'!$E65:$Z65,MIN(AF$6-$G$3,22))&lt;&gt;""),'Feijão 1ª safra'!$E65:INDEX('Feijão 1ª safra'!$E65:$Z65,MIN(AF$6-$G$3,22))),0)))))</f>
        <v>0</v>
      </c>
      <c r="AG67" s="27" t="n">
        <f aca="false">IF(COUNT('Feijão 1ª safra'!$E65:$Z65)=0,0,MAX(0,IF((AG$6-$E$3)&lt;1,0,IFERROR(LOOKUP(2,1/('Feijão 1ª safra'!$E65:INDEX('Feijão 1ª safra'!$E65:$Z65,MIN(AG$6-$E$3,22))&lt;&gt;""),'Feijão 1ª safra'!$E65:INDEX('Feijão 1ª safra'!$E65:$Z65,MIN(AG$6-$E$3,22))),0))-IF($G$2,0,IF((AG$6-$G$3)&lt;1,0,IFERROR(LOOKUP(2,1/('Feijão 1ª safra'!$E65:INDEX('Feijão 1ª safra'!$E65:$Z65,MIN(AG$6-$G$3,22))&lt;&gt;""),'Feijão 1ª safra'!$E65:INDEX('Feijão 1ª safra'!$E65:$Z65,MIN(AG$6-$G$3,22))),0)))))</f>
        <v>0</v>
      </c>
      <c r="AH67" s="27" t="n">
        <f aca="false">IF(COUNT('Feijão 1ª safra'!$E65:$Z65)=0,0,MAX(0,IF((AH$6-$E$3)&lt;1,0,IFERROR(LOOKUP(2,1/('Feijão 1ª safra'!$E65:INDEX('Feijão 1ª safra'!$E65:$Z65,MIN(AH$6-$E$3,22))&lt;&gt;""),'Feijão 1ª safra'!$E65:INDEX('Feijão 1ª safra'!$E65:$Z65,MIN(AH$6-$E$3,22))),0))-IF($G$2,0,IF((AH$6-$G$3)&lt;1,0,IFERROR(LOOKUP(2,1/('Feijão 1ª safra'!$E65:INDEX('Feijão 1ª safra'!$E65:$Z65,MIN(AH$6-$G$3,22))&lt;&gt;""),'Feijão 1ª safra'!$E65:INDEX('Feijão 1ª safra'!$E65:$Z65,MIN(AH$6-$G$3,22))),0)))))</f>
        <v>0</v>
      </c>
      <c r="AI67" s="27" t="n">
        <f aca="false">IF(COUNT('Feijão 1ª safra'!$E65:$Z65)=0,0,MAX(0,IF((AI$6-$E$3)&lt;1,0,IFERROR(LOOKUP(2,1/('Feijão 1ª safra'!$E65:INDEX('Feijão 1ª safra'!$E65:$Z65,MIN(AI$6-$E$3,22))&lt;&gt;""),'Feijão 1ª safra'!$E65:INDEX('Feijão 1ª safra'!$E65:$Z65,MIN(AI$6-$E$3,22))),0))-IF($G$2,0,IF((AI$6-$G$3)&lt;1,0,IFERROR(LOOKUP(2,1/('Feijão 1ª safra'!$E65:INDEX('Feijão 1ª safra'!$E65:$Z65,MIN(AI$6-$G$3,22))&lt;&gt;""),'Feijão 1ª safra'!$E65:INDEX('Feijão 1ª safra'!$E65:$Z65,MIN(AI$6-$G$3,22))),0)))))</f>
        <v>0</v>
      </c>
      <c r="AJ67" s="27" t="n">
        <f aca="false">IF(COUNT('Feijão 1ª safra'!$E65:$Z65)=0,0,MAX(0,IF((AJ$6-$E$3)&lt;1,0,IFERROR(LOOKUP(2,1/('Feijão 1ª safra'!$E65:INDEX('Feijão 1ª safra'!$E65:$Z65,MIN(AJ$6-$E$3,22))&lt;&gt;""),'Feijão 1ª safra'!$E65:INDEX('Feijão 1ª safra'!$E65:$Z65,MIN(AJ$6-$E$3,22))),0))-IF($G$2,0,IF((AJ$6-$G$3)&lt;1,0,IFERROR(LOOKUP(2,1/('Feijão 1ª safra'!$E65:INDEX('Feijão 1ª safra'!$E65:$Z65,MIN(AJ$6-$G$3,22))&lt;&gt;""),'Feijão 1ª safra'!$E65:INDEX('Feijão 1ª safra'!$E65:$Z65,MIN(AJ$6-$G$3,22))),0)))))</f>
        <v>0</v>
      </c>
      <c r="AK67" s="27" t="n">
        <f aca="false">IF(COUNT('Feijão 1ª safra'!$E65:$Z65)=0,0,MAX(0,IF((AK$6-$E$3)&lt;1,0,IFERROR(LOOKUP(2,1/('Feijão 1ª safra'!$E65:INDEX('Feijão 1ª safra'!$E65:$Z65,MIN(AK$6-$E$3,22))&lt;&gt;""),'Feijão 1ª safra'!$E65:INDEX('Feijão 1ª safra'!$E65:$Z65,MIN(AK$6-$E$3,22))),0))-IF($G$2,0,IF((AK$6-$G$3)&lt;1,0,IFERROR(LOOKUP(2,1/('Feijão 1ª safra'!$E65:INDEX('Feijão 1ª safra'!$E65:$Z65,MIN(AK$6-$G$3,22))&lt;&gt;""),'Feijão 1ª safra'!$E65:INDEX('Feijão 1ª safra'!$E65:$Z65,MIN(AK$6-$G$3,22))),0)))))</f>
        <v>0</v>
      </c>
      <c r="AL67" s="27" t="n">
        <f aca="false">IF(COUNT('Feijão 1ª safra'!$E65:$Z65)=0,0,MAX(0,IF((AL$6-$E$3)&lt;1,0,IFERROR(LOOKUP(2,1/('Feijão 1ª safra'!$E65:INDEX('Feijão 1ª safra'!$E65:$Z65,MIN(AL$6-$E$3,22))&lt;&gt;""),'Feijão 1ª safra'!$E65:INDEX('Feijão 1ª safra'!$E65:$Z65,MIN(AL$6-$E$3,22))),0))-IF($G$2,0,IF((AL$6-$G$3)&lt;1,0,IFERROR(LOOKUP(2,1/('Feijão 1ª safra'!$E65:INDEX('Feijão 1ª safra'!$E65:$Z65,MIN(AL$6-$G$3,22))&lt;&gt;""),'Feijão 1ª safra'!$E65:INDEX('Feijão 1ª safra'!$E65:$Z65,MIN(AL$6-$G$3,22))),0)))))</f>
        <v>0</v>
      </c>
      <c r="AM67" s="27" t="n">
        <f aca="false">IF(COUNT('Feijão 1ª safra'!$E65:$Z65)=0,0,MAX(0,IF((AM$6-$E$3)&lt;1,0,IFERROR(LOOKUP(2,1/('Feijão 1ª safra'!$E65:INDEX('Feijão 1ª safra'!$E65:$Z65,MIN(AM$6-$E$3,22))&lt;&gt;""),'Feijão 1ª safra'!$E65:INDEX('Feijão 1ª safra'!$E65:$Z65,MIN(AM$6-$E$3,22))),0))-IF($G$2,0,IF((AM$6-$G$3)&lt;1,0,IFERROR(LOOKUP(2,1/('Feijão 1ª safra'!$E65:INDEX('Feijão 1ª safra'!$E65:$Z65,MIN(AM$6-$G$3,22))&lt;&gt;""),'Feijão 1ª safra'!$E65:INDEX('Feijão 1ª safra'!$E65:$Z65,MIN(AM$6-$G$3,22))),0)))))</f>
        <v>0</v>
      </c>
      <c r="AN67" s="27" t="n">
        <f aca="false">IF(COUNT('Feijão 1ª safra'!$E65:$Z65)=0,0,MAX(0,IF((AN$6-$E$3)&lt;1,0,IFERROR(LOOKUP(2,1/('Feijão 1ª safra'!$E65:INDEX('Feijão 1ª safra'!$E65:$Z65,MIN(AN$6-$E$3,22))&lt;&gt;""),'Feijão 1ª safra'!$E65:INDEX('Feijão 1ª safra'!$E65:$Z65,MIN(AN$6-$E$3,22))),0))-IF($G$2,0,IF((AN$6-$G$3)&lt;1,0,IFERROR(LOOKUP(2,1/('Feijão 1ª safra'!$E65:INDEX('Feijão 1ª safra'!$E65:$Z65,MIN(AN$6-$G$3,22))&lt;&gt;""),'Feijão 1ª safra'!$E65:INDEX('Feijão 1ª safra'!$E65:$Z65,MIN(AN$6-$G$3,22))),0)))))</f>
        <v>0</v>
      </c>
      <c r="AO67" s="27" t="n">
        <f aca="false">IF(COUNT('Feijão 1ª safra'!$E65:$Z65)=0,0,MAX(0,IF((AO$6-$E$3)&lt;1,0,IFERROR(LOOKUP(2,1/('Feijão 1ª safra'!$E65:INDEX('Feijão 1ª safra'!$E65:$Z65,MIN(AO$6-$E$3,22))&lt;&gt;""),'Feijão 1ª safra'!$E65:INDEX('Feijão 1ª safra'!$E65:$Z65,MIN(AO$6-$E$3,22))),0))-IF($G$2,0,IF((AO$6-$G$3)&lt;1,0,IFERROR(LOOKUP(2,1/('Feijão 1ª safra'!$E65:INDEX('Feijão 1ª safra'!$E65:$Z65,MIN(AO$6-$G$3,22))&lt;&gt;""),'Feijão 1ª safra'!$E65:INDEX('Feijão 1ª safra'!$E65:$Z65,MIN(AO$6-$G$3,22))),0)))))</f>
        <v>0</v>
      </c>
      <c r="AP67" s="27" t="n">
        <f aca="false">IF(COUNT('Feijão 1ª safra'!$E65:$Z65)=0,0,MAX(0,IF((AP$6-$E$3)&lt;1,0,IFERROR(LOOKUP(2,1/('Feijão 1ª safra'!$E65:INDEX('Feijão 1ª safra'!$E65:$Z65,MIN(AP$6-$E$3,22))&lt;&gt;""),'Feijão 1ª safra'!$E65:INDEX('Feijão 1ª safra'!$E65:$Z65,MIN(AP$6-$E$3,22))),0))-IF($G$2,0,IF((AP$6-$G$3)&lt;1,0,IFERROR(LOOKUP(2,1/('Feijão 1ª safra'!$E65:INDEX('Feijão 1ª safra'!$E65:$Z65,MIN(AP$6-$G$3,22))&lt;&gt;""),'Feijão 1ª safra'!$E65:INDEX('Feijão 1ª safra'!$E65:$Z65,MIN(AP$6-$G$3,22))),0)))))</f>
        <v>0</v>
      </c>
      <c r="AQ67" s="27" t="n">
        <f aca="false">IF(COUNT('Feijão 1ª safra'!$E65:$Z65)=0,0,MAX(0,IF((AQ$6-$E$3)&lt;1,0,IFERROR(LOOKUP(2,1/('Feijão 1ª safra'!$E65:INDEX('Feijão 1ª safra'!$E65:$Z65,MIN(AQ$6-$E$3,22))&lt;&gt;""),'Feijão 1ª safra'!$E65:INDEX('Feijão 1ª safra'!$E65:$Z65,MIN(AQ$6-$E$3,22))),0))-IF($G$2,0,IF((AQ$6-$G$3)&lt;1,0,IFERROR(LOOKUP(2,1/('Feijão 1ª safra'!$E65:INDEX('Feijão 1ª safra'!$E65:$Z65,MIN(AQ$6-$G$3,22))&lt;&gt;""),'Feijão 1ª safra'!$E65:INDEX('Feijão 1ª safra'!$E65:$Z65,MIN(AQ$6-$G$3,22))),0)))))</f>
        <v>0</v>
      </c>
      <c r="AR67" s="27" t="n">
        <f aca="false">IF(COUNT('Feijão 1ª safra'!$E65:$Z65)=0,0,MAX(0,IF((AR$6-$E$3)&lt;1,0,IFERROR(LOOKUP(2,1/('Feijão 1ª safra'!$E65:INDEX('Feijão 1ª safra'!$E65:$Z65,MIN(AR$6-$E$3,22))&lt;&gt;""),'Feijão 1ª safra'!$E65:INDEX('Feijão 1ª safra'!$E65:$Z65,MIN(AR$6-$E$3,22))),0))-IF($G$2,0,IF((AR$6-$G$3)&lt;1,0,IFERROR(LOOKUP(2,1/('Feijão 1ª safra'!$E65:INDEX('Feijão 1ª safra'!$E65:$Z65,MIN(AR$6-$G$3,22))&lt;&gt;""),'Feijão 1ª safra'!$E65:INDEX('Feijão 1ª safra'!$E65:$Z65,MIN(AR$6-$G$3,22))),0)))))</f>
        <v>0</v>
      </c>
      <c r="AS67" s="27" t="n">
        <f aca="false">IF(COUNT('Feijão 1ª safra'!$E65:$Z65)=0,0,MAX(0,IF((AS$6-$E$3)&lt;1,0,IFERROR(LOOKUP(2,1/('Feijão 1ª safra'!$E65:INDEX('Feijão 1ª safra'!$E65:$Z65,MIN(AS$6-$E$3,22))&lt;&gt;""),'Feijão 1ª safra'!$E65:INDEX('Feijão 1ª safra'!$E65:$Z65,MIN(AS$6-$E$3,22))),0))-IF($G$2,0,IF((AS$6-$G$3)&lt;1,0,IFERROR(LOOKUP(2,1/('Feijão 1ª safra'!$E65:INDEX('Feijão 1ª safra'!$E65:$Z65,MIN(AS$6-$G$3,22))&lt;&gt;""),'Feijão 1ª safra'!$E65:INDEX('Feijão 1ª safra'!$E65:$Z65,MIN(AS$6-$G$3,22))),0)))))</f>
        <v>0</v>
      </c>
      <c r="AT67" s="27" t="n">
        <f aca="false">IF(COUNT('Feijão 1ª safra'!$E65:$Z65)=0,0,MAX(0,IF((AT$6-$E$3)&lt;1,0,IFERROR(LOOKUP(2,1/('Feijão 1ª safra'!$E65:INDEX('Feijão 1ª safra'!$E65:$Z65,MIN(AT$6-$E$3,22))&lt;&gt;""),'Feijão 1ª safra'!$E65:INDEX('Feijão 1ª safra'!$E65:$Z65,MIN(AT$6-$E$3,22))),0))-IF($G$2,0,IF((AT$6-$G$3)&lt;1,0,IFERROR(LOOKUP(2,1/('Feijão 1ª safra'!$E65:INDEX('Feijão 1ª safra'!$E65:$Z65,MIN(AT$6-$G$3,22))&lt;&gt;""),'Feijão 1ª safra'!$E65:INDEX('Feijão 1ª safra'!$E65:$Z65,MIN(AT$6-$G$3,22))),0)))))</f>
        <v>0</v>
      </c>
      <c r="AU67" s="27" t="n">
        <f aca="false">IF(COUNT('Feijão 1ª safra'!$E65:$Z65)=0,0,MAX(0,IF((AU$6-$E$3)&lt;1,0,IFERROR(LOOKUP(2,1/('Feijão 1ª safra'!$E65:INDEX('Feijão 1ª safra'!$E65:$Z65,MIN(AU$6-$E$3,22))&lt;&gt;""),'Feijão 1ª safra'!$E65:INDEX('Feijão 1ª safra'!$E65:$Z65,MIN(AU$6-$E$3,22))),0))-IF($G$2,0,IF((AU$6-$G$3)&lt;1,0,IFERROR(LOOKUP(2,1/('Feijão 1ª safra'!$E65:INDEX('Feijão 1ª safra'!$E65:$Z65,MIN(AU$6-$G$3,22))&lt;&gt;""),'Feijão 1ª safra'!$E65:INDEX('Feijão 1ª safra'!$E65:$Z65,MIN(AU$6-$G$3,22))),0)))))</f>
        <v>0</v>
      </c>
      <c r="AV67" s="27" t="n">
        <f aca="false">IF(COUNT('Feijão 1ª safra'!$E65:$Z65)=0,0,MAX(0,IF((AV$6-$E$3)&lt;1,0,IFERROR(LOOKUP(2,1/('Feijão 1ª safra'!$E65:INDEX('Feijão 1ª safra'!$E65:$Z65,MIN(AV$6-$E$3,22))&lt;&gt;""),'Feijão 1ª safra'!$E65:INDEX('Feijão 1ª safra'!$E65:$Z65,MIN(AV$6-$E$3,22))),0))-IF($G$2,0,IF((AV$6-$G$3)&lt;1,0,IFERROR(LOOKUP(2,1/('Feijão 1ª safra'!$E65:INDEX('Feijão 1ª safra'!$E65:$Z65,MIN(AV$6-$G$3,22))&lt;&gt;""),'Feijão 1ª safra'!$E65:INDEX('Feijão 1ª safra'!$E65:$Z65,MIN(AV$6-$G$3,22))),0)))))</f>
        <v>0</v>
      </c>
      <c r="AW67" s="27" t="n">
        <f aca="false">IF(COUNT('Feijão 1ª safra'!$E65:$Z65)=0,0,MAX(0,IF((AW$6-$E$3)&lt;1,0,IFERROR(LOOKUP(2,1/('Feijão 1ª safra'!$E65:INDEX('Feijão 1ª safra'!$E65:$Z65,MIN(AW$6-$E$3,22))&lt;&gt;""),'Feijão 1ª safra'!$E65:INDEX('Feijão 1ª safra'!$E65:$Z65,MIN(AW$6-$E$3,22))),0))-IF($G$2,0,IF((AW$6-$G$3)&lt;1,0,IFERROR(LOOKUP(2,1/('Feijão 1ª safra'!$E65:INDEX('Feijão 1ª safra'!$E65:$Z65,MIN(AW$6-$G$3,22))&lt;&gt;""),'Feijão 1ª safra'!$E65:INDEX('Feijão 1ª safra'!$E65:$Z65,MIN(AW$6-$G$3,22))),0)))))</f>
        <v>0</v>
      </c>
      <c r="AX67" s="27" t="n">
        <f aca="false">IF(COUNT('Feijão 1ª safra'!$E65:$Z65)=0,0,MAX(0,IF((AX$6-$E$3)&lt;1,0,IFERROR(LOOKUP(2,1/('Feijão 1ª safra'!$E65:INDEX('Feijão 1ª safra'!$E65:$Z65,MIN(AX$6-$E$3,22))&lt;&gt;""),'Feijão 1ª safra'!$E65:INDEX('Feijão 1ª safra'!$E65:$Z65,MIN(AX$6-$E$3,22))),0))-IF($G$2,0,IF((AX$6-$G$3)&lt;1,0,IFERROR(LOOKUP(2,1/('Feijão 1ª safra'!$E65:INDEX('Feijão 1ª safra'!$E65:$Z65,MIN(AX$6-$G$3,22))&lt;&gt;""),'Feijão 1ª safra'!$E65:INDEX('Feijão 1ª safra'!$E65:$Z65,MIN(AX$6-$G$3,22))),0)))))</f>
        <v>0</v>
      </c>
      <c r="AY67" s="27" t="n">
        <f aca="false">IF(COUNT('Feijão 1ª safra'!$E65:$Z65)=0,0,MAX(0,IF((AY$6-$E$3)&lt;1,0,IFERROR(LOOKUP(2,1/('Feijão 1ª safra'!$E65:INDEX('Feijão 1ª safra'!$E65:$Z65,MIN(AY$6-$E$3,22))&lt;&gt;""),'Feijão 1ª safra'!$E65:INDEX('Feijão 1ª safra'!$E65:$Z65,MIN(AY$6-$E$3,22))),0))-IF($G$2,0,IF((AY$6-$G$3)&lt;1,0,IFERROR(LOOKUP(2,1/('Feijão 1ª safra'!$E65:INDEX('Feijão 1ª safra'!$E65:$Z65,MIN(AY$6-$G$3,22))&lt;&gt;""),'Feijão 1ª safra'!$E65:INDEX('Feijão 1ª safra'!$E65:$Z65,MIN(AY$6-$G$3,22))),0)))))</f>
        <v>0</v>
      </c>
      <c r="AZ67" s="27" t="n">
        <f aca="false">IF(COUNT('Feijão 1ª safra'!$E65:$Z65)=0,0,MAX(0,IF((AZ$6-$E$3)&lt;1,0,IFERROR(LOOKUP(2,1/('Feijão 1ª safra'!$E65:INDEX('Feijão 1ª safra'!$E65:$Z65,MIN(AZ$6-$E$3,22))&lt;&gt;""),'Feijão 1ª safra'!$E65:INDEX('Feijão 1ª safra'!$E65:$Z65,MIN(AZ$6-$E$3,22))),0))-IF($G$2,0,IF((AZ$6-$G$3)&lt;1,0,IFERROR(LOOKUP(2,1/('Feijão 1ª safra'!$E65:INDEX('Feijão 1ª safra'!$E65:$Z65,MIN(AZ$6-$G$3,22))&lt;&gt;""),'Feijão 1ª safra'!$E65:INDEX('Feijão 1ª safra'!$E65:$Z65,MIN(AZ$6-$G$3,22))),0)))))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IF(COUNT('Feijão 1ª safra'!$E66:$Z66)&gt;0,N('Feijão 1ª safra'!$D66),0)</f>
        <v>0</v>
      </c>
      <c r="E68" s="27" t="n">
        <f aca="false">IF(COUNT('Feijão 1ª safra'!$E66:$Z66)=0,0,MAX(0,IF((E$6-$E$3)&lt;1,0,IFERROR(LOOKUP(2,1/('Feijão 1ª safra'!$E66:INDEX('Feijão 1ª safra'!$E66:$Z66,MIN(E$6-$E$3,22))&lt;&gt;""),'Feijão 1ª safra'!$E66:INDEX('Feijão 1ª safra'!$E66:$Z66,MIN(E$6-$E$3,22))),0))-IF($G$2,0,IF((E$6-$G$3)&lt;1,0,IFERROR(LOOKUP(2,1/('Feijão 1ª safra'!$E66:INDEX('Feijão 1ª safra'!$E66:$Z66,MIN(E$6-$G$3,22))&lt;&gt;""),'Feijão 1ª safra'!$E66:INDEX('Feijão 1ª safra'!$E66:$Z66,MIN(E$6-$G$3,22))),0)))))</f>
        <v>0</v>
      </c>
      <c r="F68" s="27" t="n">
        <f aca="false">IF(COUNT('Feijão 1ª safra'!$E66:$Z66)=0,0,MAX(0,IF((F$6-$E$3)&lt;1,0,IFERROR(LOOKUP(2,1/('Feijão 1ª safra'!$E66:INDEX('Feijão 1ª safra'!$E66:$Z66,MIN(F$6-$E$3,22))&lt;&gt;""),'Feijão 1ª safra'!$E66:INDEX('Feijão 1ª safra'!$E66:$Z66,MIN(F$6-$E$3,22))),0))-IF($G$2,0,IF((F$6-$G$3)&lt;1,0,IFERROR(LOOKUP(2,1/('Feijão 1ª safra'!$E66:INDEX('Feijão 1ª safra'!$E66:$Z66,MIN(F$6-$G$3,22))&lt;&gt;""),'Feijão 1ª safra'!$E66:INDEX('Feijão 1ª safra'!$E66:$Z66,MIN(F$6-$G$3,22))),0)))))</f>
        <v>0</v>
      </c>
      <c r="G68" s="27" t="n">
        <f aca="false">IF(COUNT('Feijão 1ª safra'!$E66:$Z66)=0,0,MAX(0,IF((G$6-$E$3)&lt;1,0,IFERROR(LOOKUP(2,1/('Feijão 1ª safra'!$E66:INDEX('Feijão 1ª safra'!$E66:$Z66,MIN(G$6-$E$3,22))&lt;&gt;""),'Feijão 1ª safra'!$E66:INDEX('Feijão 1ª safra'!$E66:$Z66,MIN(G$6-$E$3,22))),0))-IF($G$2,0,IF((G$6-$G$3)&lt;1,0,IFERROR(LOOKUP(2,1/('Feijão 1ª safra'!$E66:INDEX('Feijão 1ª safra'!$E66:$Z66,MIN(G$6-$G$3,22))&lt;&gt;""),'Feijão 1ª safra'!$E66:INDEX('Feijão 1ª safra'!$E66:$Z66,MIN(G$6-$G$3,22))),0)))))</f>
        <v>0</v>
      </c>
      <c r="H68" s="27" t="n">
        <f aca="false">IF(COUNT('Feijão 1ª safra'!$E66:$Z66)=0,0,MAX(0,IF((H$6-$E$3)&lt;1,0,IFERROR(LOOKUP(2,1/('Feijão 1ª safra'!$E66:INDEX('Feijão 1ª safra'!$E66:$Z66,MIN(H$6-$E$3,22))&lt;&gt;""),'Feijão 1ª safra'!$E66:INDEX('Feijão 1ª safra'!$E66:$Z66,MIN(H$6-$E$3,22))),0))-IF($G$2,0,IF((H$6-$G$3)&lt;1,0,IFERROR(LOOKUP(2,1/('Feijão 1ª safra'!$E66:INDEX('Feijão 1ª safra'!$E66:$Z66,MIN(H$6-$G$3,22))&lt;&gt;""),'Feijão 1ª safra'!$E66:INDEX('Feijão 1ª safra'!$E66:$Z66,MIN(H$6-$G$3,22))),0)))))</f>
        <v>0</v>
      </c>
      <c r="I68" s="27" t="n">
        <f aca="false">IF(COUNT('Feijão 1ª safra'!$E66:$Z66)=0,0,MAX(0,IF((I$6-$E$3)&lt;1,0,IFERROR(LOOKUP(2,1/('Feijão 1ª safra'!$E66:INDEX('Feijão 1ª safra'!$E66:$Z66,MIN(I$6-$E$3,22))&lt;&gt;""),'Feijão 1ª safra'!$E66:INDEX('Feijão 1ª safra'!$E66:$Z66,MIN(I$6-$E$3,22))),0))-IF($G$2,0,IF((I$6-$G$3)&lt;1,0,IFERROR(LOOKUP(2,1/('Feijão 1ª safra'!$E66:INDEX('Feijão 1ª safra'!$E66:$Z66,MIN(I$6-$G$3,22))&lt;&gt;""),'Feijão 1ª safra'!$E66:INDEX('Feijão 1ª safra'!$E66:$Z66,MIN(I$6-$G$3,22))),0)))))</f>
        <v>0</v>
      </c>
      <c r="J68" s="27" t="n">
        <f aca="false">IF(COUNT('Feijão 1ª safra'!$E66:$Z66)=0,0,MAX(0,IF((J$6-$E$3)&lt;1,0,IFERROR(LOOKUP(2,1/('Feijão 1ª safra'!$E66:INDEX('Feijão 1ª safra'!$E66:$Z66,MIN(J$6-$E$3,22))&lt;&gt;""),'Feijão 1ª safra'!$E66:INDEX('Feijão 1ª safra'!$E66:$Z66,MIN(J$6-$E$3,22))),0))-IF($G$2,0,IF((J$6-$G$3)&lt;1,0,IFERROR(LOOKUP(2,1/('Feijão 1ª safra'!$E66:INDEX('Feijão 1ª safra'!$E66:$Z66,MIN(J$6-$G$3,22))&lt;&gt;""),'Feijão 1ª safra'!$E66:INDEX('Feijão 1ª safra'!$E66:$Z66,MIN(J$6-$G$3,22))),0)))))</f>
        <v>0</v>
      </c>
      <c r="K68" s="27" t="n">
        <f aca="false">IF(COUNT('Feijão 1ª safra'!$E66:$Z66)=0,0,MAX(0,IF((K$6-$E$3)&lt;1,0,IFERROR(LOOKUP(2,1/('Feijão 1ª safra'!$E66:INDEX('Feijão 1ª safra'!$E66:$Z66,MIN(K$6-$E$3,22))&lt;&gt;""),'Feijão 1ª safra'!$E66:INDEX('Feijão 1ª safra'!$E66:$Z66,MIN(K$6-$E$3,22))),0))-IF($G$2,0,IF((K$6-$G$3)&lt;1,0,IFERROR(LOOKUP(2,1/('Feijão 1ª safra'!$E66:INDEX('Feijão 1ª safra'!$E66:$Z66,MIN(K$6-$G$3,22))&lt;&gt;""),'Feijão 1ª safra'!$E66:INDEX('Feijão 1ª safra'!$E66:$Z66,MIN(K$6-$G$3,22))),0)))))</f>
        <v>0</v>
      </c>
      <c r="L68" s="27" t="n">
        <f aca="false">IF(COUNT('Feijão 1ª safra'!$E66:$Z66)=0,0,MAX(0,IF((L$6-$E$3)&lt;1,0,IFERROR(LOOKUP(2,1/('Feijão 1ª safra'!$E66:INDEX('Feijão 1ª safra'!$E66:$Z66,MIN(L$6-$E$3,22))&lt;&gt;""),'Feijão 1ª safra'!$E66:INDEX('Feijão 1ª safra'!$E66:$Z66,MIN(L$6-$E$3,22))),0))-IF($G$2,0,IF((L$6-$G$3)&lt;1,0,IFERROR(LOOKUP(2,1/('Feijão 1ª safra'!$E66:INDEX('Feijão 1ª safra'!$E66:$Z66,MIN(L$6-$G$3,22))&lt;&gt;""),'Feijão 1ª safra'!$E66:INDEX('Feijão 1ª safra'!$E66:$Z66,MIN(L$6-$G$3,22))),0)))))</f>
        <v>0</v>
      </c>
      <c r="M68" s="27" t="n">
        <f aca="false">IF(COUNT('Feijão 1ª safra'!$E66:$Z66)=0,0,MAX(0,IF((M$6-$E$3)&lt;1,0,IFERROR(LOOKUP(2,1/('Feijão 1ª safra'!$E66:INDEX('Feijão 1ª safra'!$E66:$Z66,MIN(M$6-$E$3,22))&lt;&gt;""),'Feijão 1ª safra'!$E66:INDEX('Feijão 1ª safra'!$E66:$Z66,MIN(M$6-$E$3,22))),0))-IF($G$2,0,IF((M$6-$G$3)&lt;1,0,IFERROR(LOOKUP(2,1/('Feijão 1ª safra'!$E66:INDEX('Feijão 1ª safra'!$E66:$Z66,MIN(M$6-$G$3,22))&lt;&gt;""),'Feijão 1ª safra'!$E66:INDEX('Feijão 1ª safra'!$E66:$Z66,MIN(M$6-$G$3,22))),0)))))</f>
        <v>0</v>
      </c>
      <c r="N68" s="27" t="n">
        <f aca="false">IF(COUNT('Feijão 1ª safra'!$E66:$Z66)=0,0,MAX(0,IF((N$6-$E$3)&lt;1,0,IFERROR(LOOKUP(2,1/('Feijão 1ª safra'!$E66:INDEX('Feijão 1ª safra'!$E66:$Z66,MIN(N$6-$E$3,22))&lt;&gt;""),'Feijão 1ª safra'!$E66:INDEX('Feijão 1ª safra'!$E66:$Z66,MIN(N$6-$E$3,22))),0))-IF($G$2,0,IF((N$6-$G$3)&lt;1,0,IFERROR(LOOKUP(2,1/('Feijão 1ª safra'!$E66:INDEX('Feijão 1ª safra'!$E66:$Z66,MIN(N$6-$G$3,22))&lt;&gt;""),'Feijão 1ª safra'!$E66:INDEX('Feijão 1ª safra'!$E66:$Z66,MIN(N$6-$G$3,22))),0)))))</f>
        <v>0</v>
      </c>
      <c r="O68" s="27" t="n">
        <f aca="false">IF(COUNT('Feijão 1ª safra'!$E66:$Z66)=0,0,MAX(0,IF((O$6-$E$3)&lt;1,0,IFERROR(LOOKUP(2,1/('Feijão 1ª safra'!$E66:INDEX('Feijão 1ª safra'!$E66:$Z66,MIN(O$6-$E$3,22))&lt;&gt;""),'Feijão 1ª safra'!$E66:INDEX('Feijão 1ª safra'!$E66:$Z66,MIN(O$6-$E$3,22))),0))-IF($G$2,0,IF((O$6-$G$3)&lt;1,0,IFERROR(LOOKUP(2,1/('Feijão 1ª safra'!$E66:INDEX('Feijão 1ª safra'!$E66:$Z66,MIN(O$6-$G$3,22))&lt;&gt;""),'Feijão 1ª safra'!$E66:INDEX('Feijão 1ª safra'!$E66:$Z66,MIN(O$6-$G$3,22))),0)))))</f>
        <v>0</v>
      </c>
      <c r="P68" s="27" t="n">
        <f aca="false">IF(COUNT('Feijão 1ª safra'!$E66:$Z66)=0,0,MAX(0,IF((P$6-$E$3)&lt;1,0,IFERROR(LOOKUP(2,1/('Feijão 1ª safra'!$E66:INDEX('Feijão 1ª safra'!$E66:$Z66,MIN(P$6-$E$3,22))&lt;&gt;""),'Feijão 1ª safra'!$E66:INDEX('Feijão 1ª safra'!$E66:$Z66,MIN(P$6-$E$3,22))),0))-IF($G$2,0,IF((P$6-$G$3)&lt;1,0,IFERROR(LOOKUP(2,1/('Feijão 1ª safra'!$E66:INDEX('Feijão 1ª safra'!$E66:$Z66,MIN(P$6-$G$3,22))&lt;&gt;""),'Feijão 1ª safra'!$E66:INDEX('Feijão 1ª safra'!$E66:$Z66,MIN(P$6-$G$3,22))),0)))))</f>
        <v>0</v>
      </c>
      <c r="Q68" s="27" t="n">
        <f aca="false">IF(COUNT('Feijão 1ª safra'!$E66:$Z66)=0,0,MAX(0,IF((Q$6-$E$3)&lt;1,0,IFERROR(LOOKUP(2,1/('Feijão 1ª safra'!$E66:INDEX('Feijão 1ª safra'!$E66:$Z66,MIN(Q$6-$E$3,22))&lt;&gt;""),'Feijão 1ª safra'!$E66:INDEX('Feijão 1ª safra'!$E66:$Z66,MIN(Q$6-$E$3,22))),0))-IF($G$2,0,IF((Q$6-$G$3)&lt;1,0,IFERROR(LOOKUP(2,1/('Feijão 1ª safra'!$E66:INDEX('Feijão 1ª safra'!$E66:$Z66,MIN(Q$6-$G$3,22))&lt;&gt;""),'Feijão 1ª safra'!$E66:INDEX('Feijão 1ª safra'!$E66:$Z66,MIN(Q$6-$G$3,22))),0)))))</f>
        <v>0</v>
      </c>
      <c r="R68" s="27" t="n">
        <f aca="false">IF(COUNT('Feijão 1ª safra'!$E66:$Z66)=0,0,MAX(0,IF((R$6-$E$3)&lt;1,0,IFERROR(LOOKUP(2,1/('Feijão 1ª safra'!$E66:INDEX('Feijão 1ª safra'!$E66:$Z66,MIN(R$6-$E$3,22))&lt;&gt;""),'Feijão 1ª safra'!$E66:INDEX('Feijão 1ª safra'!$E66:$Z66,MIN(R$6-$E$3,22))),0))-IF($G$2,0,IF((R$6-$G$3)&lt;1,0,IFERROR(LOOKUP(2,1/('Feijão 1ª safra'!$E66:INDEX('Feijão 1ª safra'!$E66:$Z66,MIN(R$6-$G$3,22))&lt;&gt;""),'Feijão 1ª safra'!$E66:INDEX('Feijão 1ª safra'!$E66:$Z66,MIN(R$6-$G$3,22))),0)))))</f>
        <v>0</v>
      </c>
      <c r="S68" s="27" t="n">
        <f aca="false">IF(COUNT('Feijão 1ª safra'!$E66:$Z66)=0,0,MAX(0,IF((S$6-$E$3)&lt;1,0,IFERROR(LOOKUP(2,1/('Feijão 1ª safra'!$E66:INDEX('Feijão 1ª safra'!$E66:$Z66,MIN(S$6-$E$3,22))&lt;&gt;""),'Feijão 1ª safra'!$E66:INDEX('Feijão 1ª safra'!$E66:$Z66,MIN(S$6-$E$3,22))),0))-IF($G$2,0,IF((S$6-$G$3)&lt;1,0,IFERROR(LOOKUP(2,1/('Feijão 1ª safra'!$E66:INDEX('Feijão 1ª safra'!$E66:$Z66,MIN(S$6-$G$3,22))&lt;&gt;""),'Feijão 1ª safra'!$E66:INDEX('Feijão 1ª safra'!$E66:$Z66,MIN(S$6-$G$3,22))),0)))))</f>
        <v>0</v>
      </c>
      <c r="T68" s="27" t="n">
        <f aca="false">IF(COUNT('Feijão 1ª safra'!$E66:$Z66)=0,0,MAX(0,IF((T$6-$E$3)&lt;1,0,IFERROR(LOOKUP(2,1/('Feijão 1ª safra'!$E66:INDEX('Feijão 1ª safra'!$E66:$Z66,MIN(T$6-$E$3,22))&lt;&gt;""),'Feijão 1ª safra'!$E66:INDEX('Feijão 1ª safra'!$E66:$Z66,MIN(T$6-$E$3,22))),0))-IF($G$2,0,IF((T$6-$G$3)&lt;1,0,IFERROR(LOOKUP(2,1/('Feijão 1ª safra'!$E66:INDEX('Feijão 1ª safra'!$E66:$Z66,MIN(T$6-$G$3,22))&lt;&gt;""),'Feijão 1ª safra'!$E66:INDEX('Feijão 1ª safra'!$E66:$Z66,MIN(T$6-$G$3,22))),0)))))</f>
        <v>0</v>
      </c>
      <c r="U68" s="27" t="n">
        <f aca="false">IF(COUNT('Feijão 1ª safra'!$E66:$Z66)=0,0,MAX(0,IF((U$6-$E$3)&lt;1,0,IFERROR(LOOKUP(2,1/('Feijão 1ª safra'!$E66:INDEX('Feijão 1ª safra'!$E66:$Z66,MIN(U$6-$E$3,22))&lt;&gt;""),'Feijão 1ª safra'!$E66:INDEX('Feijão 1ª safra'!$E66:$Z66,MIN(U$6-$E$3,22))),0))-IF($G$2,0,IF((U$6-$G$3)&lt;1,0,IFERROR(LOOKUP(2,1/('Feijão 1ª safra'!$E66:INDEX('Feijão 1ª safra'!$E66:$Z66,MIN(U$6-$G$3,22))&lt;&gt;""),'Feijão 1ª safra'!$E66:INDEX('Feijão 1ª safra'!$E66:$Z66,MIN(U$6-$G$3,22))),0)))))</f>
        <v>0</v>
      </c>
      <c r="V68" s="27" t="n">
        <f aca="false">IF(COUNT('Feijão 1ª safra'!$E66:$Z66)=0,0,MAX(0,IF((V$6-$E$3)&lt;1,0,IFERROR(LOOKUP(2,1/('Feijão 1ª safra'!$E66:INDEX('Feijão 1ª safra'!$E66:$Z66,MIN(V$6-$E$3,22))&lt;&gt;""),'Feijão 1ª safra'!$E66:INDEX('Feijão 1ª safra'!$E66:$Z66,MIN(V$6-$E$3,22))),0))-IF($G$2,0,IF((V$6-$G$3)&lt;1,0,IFERROR(LOOKUP(2,1/('Feijão 1ª safra'!$E66:INDEX('Feijão 1ª safra'!$E66:$Z66,MIN(V$6-$G$3,22))&lt;&gt;""),'Feijão 1ª safra'!$E66:INDEX('Feijão 1ª safra'!$E66:$Z66,MIN(V$6-$G$3,22))),0)))))</f>
        <v>0</v>
      </c>
      <c r="W68" s="27" t="n">
        <f aca="false">IF(COUNT('Feijão 1ª safra'!$E66:$Z66)=0,0,MAX(0,IF((W$6-$E$3)&lt;1,0,IFERROR(LOOKUP(2,1/('Feijão 1ª safra'!$E66:INDEX('Feijão 1ª safra'!$E66:$Z66,MIN(W$6-$E$3,22))&lt;&gt;""),'Feijão 1ª safra'!$E66:INDEX('Feijão 1ª safra'!$E66:$Z66,MIN(W$6-$E$3,22))),0))-IF($G$2,0,IF((W$6-$G$3)&lt;1,0,IFERROR(LOOKUP(2,1/('Feijão 1ª safra'!$E66:INDEX('Feijão 1ª safra'!$E66:$Z66,MIN(W$6-$G$3,22))&lt;&gt;""),'Feijão 1ª safra'!$E66:INDEX('Feijão 1ª safra'!$E66:$Z66,MIN(W$6-$G$3,22))),0)))))</f>
        <v>0</v>
      </c>
      <c r="X68" s="27" t="n">
        <f aca="false">IF(COUNT('Feijão 1ª safra'!$E66:$Z66)=0,0,MAX(0,IF((X$6-$E$3)&lt;1,0,IFERROR(LOOKUP(2,1/('Feijão 1ª safra'!$E66:INDEX('Feijão 1ª safra'!$E66:$Z66,MIN(X$6-$E$3,22))&lt;&gt;""),'Feijão 1ª safra'!$E66:INDEX('Feijão 1ª safra'!$E66:$Z66,MIN(X$6-$E$3,22))),0))-IF($G$2,0,IF((X$6-$G$3)&lt;1,0,IFERROR(LOOKUP(2,1/('Feijão 1ª safra'!$E66:INDEX('Feijão 1ª safra'!$E66:$Z66,MIN(X$6-$G$3,22))&lt;&gt;""),'Feijão 1ª safra'!$E66:INDEX('Feijão 1ª safra'!$E66:$Z66,MIN(X$6-$G$3,22))),0)))))</f>
        <v>0</v>
      </c>
      <c r="Y68" s="27" t="n">
        <f aca="false">IF(COUNT('Feijão 1ª safra'!$E66:$Z66)=0,0,MAX(0,IF((Y$6-$E$3)&lt;1,0,IFERROR(LOOKUP(2,1/('Feijão 1ª safra'!$E66:INDEX('Feijão 1ª safra'!$E66:$Z66,MIN(Y$6-$E$3,22))&lt;&gt;""),'Feijão 1ª safra'!$E66:INDEX('Feijão 1ª safra'!$E66:$Z66,MIN(Y$6-$E$3,22))),0))-IF($G$2,0,IF((Y$6-$G$3)&lt;1,0,IFERROR(LOOKUP(2,1/('Feijão 1ª safra'!$E66:INDEX('Feijão 1ª safra'!$E66:$Z66,MIN(Y$6-$G$3,22))&lt;&gt;""),'Feijão 1ª safra'!$E66:INDEX('Feijão 1ª safra'!$E66:$Z66,MIN(Y$6-$G$3,22))),0)))))</f>
        <v>0</v>
      </c>
      <c r="Z68" s="27" t="n">
        <f aca="false">IF(COUNT('Feijão 1ª safra'!$E66:$Z66)=0,0,MAX(0,IF((Z$6-$E$3)&lt;1,0,IFERROR(LOOKUP(2,1/('Feijão 1ª safra'!$E66:INDEX('Feijão 1ª safra'!$E66:$Z66,MIN(Z$6-$E$3,22))&lt;&gt;""),'Feijão 1ª safra'!$E66:INDEX('Feijão 1ª safra'!$E66:$Z66,MIN(Z$6-$E$3,22))),0))-IF($G$2,0,IF((Z$6-$G$3)&lt;1,0,IFERROR(LOOKUP(2,1/('Feijão 1ª safra'!$E66:INDEX('Feijão 1ª safra'!$E66:$Z66,MIN(Z$6-$G$3,22))&lt;&gt;""),'Feijão 1ª safra'!$E66:INDEX('Feijão 1ª safra'!$E66:$Z66,MIN(Z$6-$G$3,22))),0)))))</f>
        <v>0</v>
      </c>
      <c r="AA68" s="27" t="n">
        <f aca="false">IF(COUNT('Feijão 1ª safra'!$E66:$Z66)=0,0,MAX(0,IF((AA$6-$E$3)&lt;1,0,IFERROR(LOOKUP(2,1/('Feijão 1ª safra'!$E66:INDEX('Feijão 1ª safra'!$E66:$Z66,MIN(AA$6-$E$3,22))&lt;&gt;""),'Feijão 1ª safra'!$E66:INDEX('Feijão 1ª safra'!$E66:$Z66,MIN(AA$6-$E$3,22))),0))-IF($G$2,0,IF((AA$6-$G$3)&lt;1,0,IFERROR(LOOKUP(2,1/('Feijão 1ª safra'!$E66:INDEX('Feijão 1ª safra'!$E66:$Z66,MIN(AA$6-$G$3,22))&lt;&gt;""),'Feijão 1ª safra'!$E66:INDEX('Feijão 1ª safra'!$E66:$Z66,MIN(AA$6-$G$3,22))),0)))))</f>
        <v>0</v>
      </c>
      <c r="AB68" s="27" t="n">
        <f aca="false">IF(COUNT('Feijão 1ª safra'!$E66:$Z66)=0,0,MAX(0,IF((AB$6-$E$3)&lt;1,0,IFERROR(LOOKUP(2,1/('Feijão 1ª safra'!$E66:INDEX('Feijão 1ª safra'!$E66:$Z66,MIN(AB$6-$E$3,22))&lt;&gt;""),'Feijão 1ª safra'!$E66:INDEX('Feijão 1ª safra'!$E66:$Z66,MIN(AB$6-$E$3,22))),0))-IF($G$2,0,IF((AB$6-$G$3)&lt;1,0,IFERROR(LOOKUP(2,1/('Feijão 1ª safra'!$E66:INDEX('Feijão 1ª safra'!$E66:$Z66,MIN(AB$6-$G$3,22))&lt;&gt;""),'Feijão 1ª safra'!$E66:INDEX('Feijão 1ª safra'!$E66:$Z66,MIN(AB$6-$G$3,22))),0)))))</f>
        <v>0</v>
      </c>
      <c r="AC68" s="27" t="n">
        <f aca="false">IF(COUNT('Feijão 1ª safra'!$E66:$Z66)=0,0,MAX(0,IF((AC$6-$E$3)&lt;1,0,IFERROR(LOOKUP(2,1/('Feijão 1ª safra'!$E66:INDEX('Feijão 1ª safra'!$E66:$Z66,MIN(AC$6-$E$3,22))&lt;&gt;""),'Feijão 1ª safra'!$E66:INDEX('Feijão 1ª safra'!$E66:$Z66,MIN(AC$6-$E$3,22))),0))-IF($G$2,0,IF((AC$6-$G$3)&lt;1,0,IFERROR(LOOKUP(2,1/('Feijão 1ª safra'!$E66:INDEX('Feijão 1ª safra'!$E66:$Z66,MIN(AC$6-$G$3,22))&lt;&gt;""),'Feijão 1ª safra'!$E66:INDEX('Feijão 1ª safra'!$E66:$Z66,MIN(AC$6-$G$3,22))),0)))))</f>
        <v>0</v>
      </c>
      <c r="AD68" s="27" t="n">
        <f aca="false">IF(COUNT('Feijão 1ª safra'!$E66:$Z66)=0,0,MAX(0,IF((AD$6-$E$3)&lt;1,0,IFERROR(LOOKUP(2,1/('Feijão 1ª safra'!$E66:INDEX('Feijão 1ª safra'!$E66:$Z66,MIN(AD$6-$E$3,22))&lt;&gt;""),'Feijão 1ª safra'!$E66:INDEX('Feijão 1ª safra'!$E66:$Z66,MIN(AD$6-$E$3,22))),0))-IF($G$2,0,IF((AD$6-$G$3)&lt;1,0,IFERROR(LOOKUP(2,1/('Feijão 1ª safra'!$E66:INDEX('Feijão 1ª safra'!$E66:$Z66,MIN(AD$6-$G$3,22))&lt;&gt;""),'Feijão 1ª safra'!$E66:INDEX('Feijão 1ª safra'!$E66:$Z66,MIN(AD$6-$G$3,22))),0)))))</f>
        <v>0</v>
      </c>
      <c r="AE68" s="27" t="n">
        <f aca="false">IF(COUNT('Feijão 1ª safra'!$E66:$Z66)=0,0,MAX(0,IF((AE$6-$E$3)&lt;1,0,IFERROR(LOOKUP(2,1/('Feijão 1ª safra'!$E66:INDEX('Feijão 1ª safra'!$E66:$Z66,MIN(AE$6-$E$3,22))&lt;&gt;""),'Feijão 1ª safra'!$E66:INDEX('Feijão 1ª safra'!$E66:$Z66,MIN(AE$6-$E$3,22))),0))-IF($G$2,0,IF((AE$6-$G$3)&lt;1,0,IFERROR(LOOKUP(2,1/('Feijão 1ª safra'!$E66:INDEX('Feijão 1ª safra'!$E66:$Z66,MIN(AE$6-$G$3,22))&lt;&gt;""),'Feijão 1ª safra'!$E66:INDEX('Feijão 1ª safra'!$E66:$Z66,MIN(AE$6-$G$3,22))),0)))))</f>
        <v>0</v>
      </c>
      <c r="AF68" s="27" t="n">
        <f aca="false">IF(COUNT('Feijão 1ª safra'!$E66:$Z66)=0,0,MAX(0,IF((AF$6-$E$3)&lt;1,0,IFERROR(LOOKUP(2,1/('Feijão 1ª safra'!$E66:INDEX('Feijão 1ª safra'!$E66:$Z66,MIN(AF$6-$E$3,22))&lt;&gt;""),'Feijão 1ª safra'!$E66:INDEX('Feijão 1ª safra'!$E66:$Z66,MIN(AF$6-$E$3,22))),0))-IF($G$2,0,IF((AF$6-$G$3)&lt;1,0,IFERROR(LOOKUP(2,1/('Feijão 1ª safra'!$E66:INDEX('Feijão 1ª safra'!$E66:$Z66,MIN(AF$6-$G$3,22))&lt;&gt;""),'Feijão 1ª safra'!$E66:INDEX('Feijão 1ª safra'!$E66:$Z66,MIN(AF$6-$G$3,22))),0)))))</f>
        <v>0</v>
      </c>
      <c r="AG68" s="27" t="n">
        <f aca="false">IF(COUNT('Feijão 1ª safra'!$E66:$Z66)=0,0,MAX(0,IF((AG$6-$E$3)&lt;1,0,IFERROR(LOOKUP(2,1/('Feijão 1ª safra'!$E66:INDEX('Feijão 1ª safra'!$E66:$Z66,MIN(AG$6-$E$3,22))&lt;&gt;""),'Feijão 1ª safra'!$E66:INDEX('Feijão 1ª safra'!$E66:$Z66,MIN(AG$6-$E$3,22))),0))-IF($G$2,0,IF((AG$6-$G$3)&lt;1,0,IFERROR(LOOKUP(2,1/('Feijão 1ª safra'!$E66:INDEX('Feijão 1ª safra'!$E66:$Z66,MIN(AG$6-$G$3,22))&lt;&gt;""),'Feijão 1ª safra'!$E66:INDEX('Feijão 1ª safra'!$E66:$Z66,MIN(AG$6-$G$3,22))),0)))))</f>
        <v>0</v>
      </c>
      <c r="AH68" s="27" t="n">
        <f aca="false">IF(COUNT('Feijão 1ª safra'!$E66:$Z66)=0,0,MAX(0,IF((AH$6-$E$3)&lt;1,0,IFERROR(LOOKUP(2,1/('Feijão 1ª safra'!$E66:INDEX('Feijão 1ª safra'!$E66:$Z66,MIN(AH$6-$E$3,22))&lt;&gt;""),'Feijão 1ª safra'!$E66:INDEX('Feijão 1ª safra'!$E66:$Z66,MIN(AH$6-$E$3,22))),0))-IF($G$2,0,IF((AH$6-$G$3)&lt;1,0,IFERROR(LOOKUP(2,1/('Feijão 1ª safra'!$E66:INDEX('Feijão 1ª safra'!$E66:$Z66,MIN(AH$6-$G$3,22))&lt;&gt;""),'Feijão 1ª safra'!$E66:INDEX('Feijão 1ª safra'!$E66:$Z66,MIN(AH$6-$G$3,22))),0)))))</f>
        <v>0</v>
      </c>
      <c r="AI68" s="27" t="n">
        <f aca="false">IF(COUNT('Feijão 1ª safra'!$E66:$Z66)=0,0,MAX(0,IF((AI$6-$E$3)&lt;1,0,IFERROR(LOOKUP(2,1/('Feijão 1ª safra'!$E66:INDEX('Feijão 1ª safra'!$E66:$Z66,MIN(AI$6-$E$3,22))&lt;&gt;""),'Feijão 1ª safra'!$E66:INDEX('Feijão 1ª safra'!$E66:$Z66,MIN(AI$6-$E$3,22))),0))-IF($G$2,0,IF((AI$6-$G$3)&lt;1,0,IFERROR(LOOKUP(2,1/('Feijão 1ª safra'!$E66:INDEX('Feijão 1ª safra'!$E66:$Z66,MIN(AI$6-$G$3,22))&lt;&gt;""),'Feijão 1ª safra'!$E66:INDEX('Feijão 1ª safra'!$E66:$Z66,MIN(AI$6-$G$3,22))),0)))))</f>
        <v>0</v>
      </c>
      <c r="AJ68" s="27" t="n">
        <f aca="false">IF(COUNT('Feijão 1ª safra'!$E66:$Z66)=0,0,MAX(0,IF((AJ$6-$E$3)&lt;1,0,IFERROR(LOOKUP(2,1/('Feijão 1ª safra'!$E66:INDEX('Feijão 1ª safra'!$E66:$Z66,MIN(AJ$6-$E$3,22))&lt;&gt;""),'Feijão 1ª safra'!$E66:INDEX('Feijão 1ª safra'!$E66:$Z66,MIN(AJ$6-$E$3,22))),0))-IF($G$2,0,IF((AJ$6-$G$3)&lt;1,0,IFERROR(LOOKUP(2,1/('Feijão 1ª safra'!$E66:INDEX('Feijão 1ª safra'!$E66:$Z66,MIN(AJ$6-$G$3,22))&lt;&gt;""),'Feijão 1ª safra'!$E66:INDEX('Feijão 1ª safra'!$E66:$Z66,MIN(AJ$6-$G$3,22))),0)))))</f>
        <v>0</v>
      </c>
      <c r="AK68" s="27" t="n">
        <f aca="false">IF(COUNT('Feijão 1ª safra'!$E66:$Z66)=0,0,MAX(0,IF((AK$6-$E$3)&lt;1,0,IFERROR(LOOKUP(2,1/('Feijão 1ª safra'!$E66:INDEX('Feijão 1ª safra'!$E66:$Z66,MIN(AK$6-$E$3,22))&lt;&gt;""),'Feijão 1ª safra'!$E66:INDEX('Feijão 1ª safra'!$E66:$Z66,MIN(AK$6-$E$3,22))),0))-IF($G$2,0,IF((AK$6-$G$3)&lt;1,0,IFERROR(LOOKUP(2,1/('Feijão 1ª safra'!$E66:INDEX('Feijão 1ª safra'!$E66:$Z66,MIN(AK$6-$G$3,22))&lt;&gt;""),'Feijão 1ª safra'!$E66:INDEX('Feijão 1ª safra'!$E66:$Z66,MIN(AK$6-$G$3,22))),0)))))</f>
        <v>0</v>
      </c>
      <c r="AL68" s="27" t="n">
        <f aca="false">IF(COUNT('Feijão 1ª safra'!$E66:$Z66)=0,0,MAX(0,IF((AL$6-$E$3)&lt;1,0,IFERROR(LOOKUP(2,1/('Feijão 1ª safra'!$E66:INDEX('Feijão 1ª safra'!$E66:$Z66,MIN(AL$6-$E$3,22))&lt;&gt;""),'Feijão 1ª safra'!$E66:INDEX('Feijão 1ª safra'!$E66:$Z66,MIN(AL$6-$E$3,22))),0))-IF($G$2,0,IF((AL$6-$G$3)&lt;1,0,IFERROR(LOOKUP(2,1/('Feijão 1ª safra'!$E66:INDEX('Feijão 1ª safra'!$E66:$Z66,MIN(AL$6-$G$3,22))&lt;&gt;""),'Feijão 1ª safra'!$E66:INDEX('Feijão 1ª safra'!$E66:$Z66,MIN(AL$6-$G$3,22))),0)))))</f>
        <v>0</v>
      </c>
      <c r="AM68" s="27" t="n">
        <f aca="false">IF(COUNT('Feijão 1ª safra'!$E66:$Z66)=0,0,MAX(0,IF((AM$6-$E$3)&lt;1,0,IFERROR(LOOKUP(2,1/('Feijão 1ª safra'!$E66:INDEX('Feijão 1ª safra'!$E66:$Z66,MIN(AM$6-$E$3,22))&lt;&gt;""),'Feijão 1ª safra'!$E66:INDEX('Feijão 1ª safra'!$E66:$Z66,MIN(AM$6-$E$3,22))),0))-IF($G$2,0,IF((AM$6-$G$3)&lt;1,0,IFERROR(LOOKUP(2,1/('Feijão 1ª safra'!$E66:INDEX('Feijão 1ª safra'!$E66:$Z66,MIN(AM$6-$G$3,22))&lt;&gt;""),'Feijão 1ª safra'!$E66:INDEX('Feijão 1ª safra'!$E66:$Z66,MIN(AM$6-$G$3,22))),0)))))</f>
        <v>0</v>
      </c>
      <c r="AN68" s="27" t="n">
        <f aca="false">IF(COUNT('Feijão 1ª safra'!$E66:$Z66)=0,0,MAX(0,IF((AN$6-$E$3)&lt;1,0,IFERROR(LOOKUP(2,1/('Feijão 1ª safra'!$E66:INDEX('Feijão 1ª safra'!$E66:$Z66,MIN(AN$6-$E$3,22))&lt;&gt;""),'Feijão 1ª safra'!$E66:INDEX('Feijão 1ª safra'!$E66:$Z66,MIN(AN$6-$E$3,22))),0))-IF($G$2,0,IF((AN$6-$G$3)&lt;1,0,IFERROR(LOOKUP(2,1/('Feijão 1ª safra'!$E66:INDEX('Feijão 1ª safra'!$E66:$Z66,MIN(AN$6-$G$3,22))&lt;&gt;""),'Feijão 1ª safra'!$E66:INDEX('Feijão 1ª safra'!$E66:$Z66,MIN(AN$6-$G$3,22))),0)))))</f>
        <v>0</v>
      </c>
      <c r="AO68" s="27" t="n">
        <f aca="false">IF(COUNT('Feijão 1ª safra'!$E66:$Z66)=0,0,MAX(0,IF((AO$6-$E$3)&lt;1,0,IFERROR(LOOKUP(2,1/('Feijão 1ª safra'!$E66:INDEX('Feijão 1ª safra'!$E66:$Z66,MIN(AO$6-$E$3,22))&lt;&gt;""),'Feijão 1ª safra'!$E66:INDEX('Feijão 1ª safra'!$E66:$Z66,MIN(AO$6-$E$3,22))),0))-IF($G$2,0,IF((AO$6-$G$3)&lt;1,0,IFERROR(LOOKUP(2,1/('Feijão 1ª safra'!$E66:INDEX('Feijão 1ª safra'!$E66:$Z66,MIN(AO$6-$G$3,22))&lt;&gt;""),'Feijão 1ª safra'!$E66:INDEX('Feijão 1ª safra'!$E66:$Z66,MIN(AO$6-$G$3,22))),0)))))</f>
        <v>0</v>
      </c>
      <c r="AP68" s="27" t="n">
        <f aca="false">IF(COUNT('Feijão 1ª safra'!$E66:$Z66)=0,0,MAX(0,IF((AP$6-$E$3)&lt;1,0,IFERROR(LOOKUP(2,1/('Feijão 1ª safra'!$E66:INDEX('Feijão 1ª safra'!$E66:$Z66,MIN(AP$6-$E$3,22))&lt;&gt;""),'Feijão 1ª safra'!$E66:INDEX('Feijão 1ª safra'!$E66:$Z66,MIN(AP$6-$E$3,22))),0))-IF($G$2,0,IF((AP$6-$G$3)&lt;1,0,IFERROR(LOOKUP(2,1/('Feijão 1ª safra'!$E66:INDEX('Feijão 1ª safra'!$E66:$Z66,MIN(AP$6-$G$3,22))&lt;&gt;""),'Feijão 1ª safra'!$E66:INDEX('Feijão 1ª safra'!$E66:$Z66,MIN(AP$6-$G$3,22))),0)))))</f>
        <v>0</v>
      </c>
      <c r="AQ68" s="27" t="n">
        <f aca="false">IF(COUNT('Feijão 1ª safra'!$E66:$Z66)=0,0,MAX(0,IF((AQ$6-$E$3)&lt;1,0,IFERROR(LOOKUP(2,1/('Feijão 1ª safra'!$E66:INDEX('Feijão 1ª safra'!$E66:$Z66,MIN(AQ$6-$E$3,22))&lt;&gt;""),'Feijão 1ª safra'!$E66:INDEX('Feijão 1ª safra'!$E66:$Z66,MIN(AQ$6-$E$3,22))),0))-IF($G$2,0,IF((AQ$6-$G$3)&lt;1,0,IFERROR(LOOKUP(2,1/('Feijão 1ª safra'!$E66:INDEX('Feijão 1ª safra'!$E66:$Z66,MIN(AQ$6-$G$3,22))&lt;&gt;""),'Feijão 1ª safra'!$E66:INDEX('Feijão 1ª safra'!$E66:$Z66,MIN(AQ$6-$G$3,22))),0)))))</f>
        <v>0</v>
      </c>
      <c r="AR68" s="27" t="n">
        <f aca="false">IF(COUNT('Feijão 1ª safra'!$E66:$Z66)=0,0,MAX(0,IF((AR$6-$E$3)&lt;1,0,IFERROR(LOOKUP(2,1/('Feijão 1ª safra'!$E66:INDEX('Feijão 1ª safra'!$E66:$Z66,MIN(AR$6-$E$3,22))&lt;&gt;""),'Feijão 1ª safra'!$E66:INDEX('Feijão 1ª safra'!$E66:$Z66,MIN(AR$6-$E$3,22))),0))-IF($G$2,0,IF((AR$6-$G$3)&lt;1,0,IFERROR(LOOKUP(2,1/('Feijão 1ª safra'!$E66:INDEX('Feijão 1ª safra'!$E66:$Z66,MIN(AR$6-$G$3,22))&lt;&gt;""),'Feijão 1ª safra'!$E66:INDEX('Feijão 1ª safra'!$E66:$Z66,MIN(AR$6-$G$3,22))),0)))))</f>
        <v>0</v>
      </c>
      <c r="AS68" s="27" t="n">
        <f aca="false">IF(COUNT('Feijão 1ª safra'!$E66:$Z66)=0,0,MAX(0,IF((AS$6-$E$3)&lt;1,0,IFERROR(LOOKUP(2,1/('Feijão 1ª safra'!$E66:INDEX('Feijão 1ª safra'!$E66:$Z66,MIN(AS$6-$E$3,22))&lt;&gt;""),'Feijão 1ª safra'!$E66:INDEX('Feijão 1ª safra'!$E66:$Z66,MIN(AS$6-$E$3,22))),0))-IF($G$2,0,IF((AS$6-$G$3)&lt;1,0,IFERROR(LOOKUP(2,1/('Feijão 1ª safra'!$E66:INDEX('Feijão 1ª safra'!$E66:$Z66,MIN(AS$6-$G$3,22))&lt;&gt;""),'Feijão 1ª safra'!$E66:INDEX('Feijão 1ª safra'!$E66:$Z66,MIN(AS$6-$G$3,22))),0)))))</f>
        <v>0</v>
      </c>
      <c r="AT68" s="27" t="n">
        <f aca="false">IF(COUNT('Feijão 1ª safra'!$E66:$Z66)=0,0,MAX(0,IF((AT$6-$E$3)&lt;1,0,IFERROR(LOOKUP(2,1/('Feijão 1ª safra'!$E66:INDEX('Feijão 1ª safra'!$E66:$Z66,MIN(AT$6-$E$3,22))&lt;&gt;""),'Feijão 1ª safra'!$E66:INDEX('Feijão 1ª safra'!$E66:$Z66,MIN(AT$6-$E$3,22))),0))-IF($G$2,0,IF((AT$6-$G$3)&lt;1,0,IFERROR(LOOKUP(2,1/('Feijão 1ª safra'!$E66:INDEX('Feijão 1ª safra'!$E66:$Z66,MIN(AT$6-$G$3,22))&lt;&gt;""),'Feijão 1ª safra'!$E66:INDEX('Feijão 1ª safra'!$E66:$Z66,MIN(AT$6-$G$3,22))),0)))))</f>
        <v>0</v>
      </c>
      <c r="AU68" s="27" t="n">
        <f aca="false">IF(COUNT('Feijão 1ª safra'!$E66:$Z66)=0,0,MAX(0,IF((AU$6-$E$3)&lt;1,0,IFERROR(LOOKUP(2,1/('Feijão 1ª safra'!$E66:INDEX('Feijão 1ª safra'!$E66:$Z66,MIN(AU$6-$E$3,22))&lt;&gt;""),'Feijão 1ª safra'!$E66:INDEX('Feijão 1ª safra'!$E66:$Z66,MIN(AU$6-$E$3,22))),0))-IF($G$2,0,IF((AU$6-$G$3)&lt;1,0,IFERROR(LOOKUP(2,1/('Feijão 1ª safra'!$E66:INDEX('Feijão 1ª safra'!$E66:$Z66,MIN(AU$6-$G$3,22))&lt;&gt;""),'Feijão 1ª safra'!$E66:INDEX('Feijão 1ª safra'!$E66:$Z66,MIN(AU$6-$G$3,22))),0)))))</f>
        <v>0</v>
      </c>
      <c r="AV68" s="27" t="n">
        <f aca="false">IF(COUNT('Feijão 1ª safra'!$E66:$Z66)=0,0,MAX(0,IF((AV$6-$E$3)&lt;1,0,IFERROR(LOOKUP(2,1/('Feijão 1ª safra'!$E66:INDEX('Feijão 1ª safra'!$E66:$Z66,MIN(AV$6-$E$3,22))&lt;&gt;""),'Feijão 1ª safra'!$E66:INDEX('Feijão 1ª safra'!$E66:$Z66,MIN(AV$6-$E$3,22))),0))-IF($G$2,0,IF((AV$6-$G$3)&lt;1,0,IFERROR(LOOKUP(2,1/('Feijão 1ª safra'!$E66:INDEX('Feijão 1ª safra'!$E66:$Z66,MIN(AV$6-$G$3,22))&lt;&gt;""),'Feijão 1ª safra'!$E66:INDEX('Feijão 1ª safra'!$E66:$Z66,MIN(AV$6-$G$3,22))),0)))))</f>
        <v>0</v>
      </c>
      <c r="AW68" s="27" t="n">
        <f aca="false">IF(COUNT('Feijão 1ª safra'!$E66:$Z66)=0,0,MAX(0,IF((AW$6-$E$3)&lt;1,0,IFERROR(LOOKUP(2,1/('Feijão 1ª safra'!$E66:INDEX('Feijão 1ª safra'!$E66:$Z66,MIN(AW$6-$E$3,22))&lt;&gt;""),'Feijão 1ª safra'!$E66:INDEX('Feijão 1ª safra'!$E66:$Z66,MIN(AW$6-$E$3,22))),0))-IF($G$2,0,IF((AW$6-$G$3)&lt;1,0,IFERROR(LOOKUP(2,1/('Feijão 1ª safra'!$E66:INDEX('Feijão 1ª safra'!$E66:$Z66,MIN(AW$6-$G$3,22))&lt;&gt;""),'Feijão 1ª safra'!$E66:INDEX('Feijão 1ª safra'!$E66:$Z66,MIN(AW$6-$G$3,22))),0)))))</f>
        <v>0</v>
      </c>
      <c r="AX68" s="27" t="n">
        <f aca="false">IF(COUNT('Feijão 1ª safra'!$E66:$Z66)=0,0,MAX(0,IF((AX$6-$E$3)&lt;1,0,IFERROR(LOOKUP(2,1/('Feijão 1ª safra'!$E66:INDEX('Feijão 1ª safra'!$E66:$Z66,MIN(AX$6-$E$3,22))&lt;&gt;""),'Feijão 1ª safra'!$E66:INDEX('Feijão 1ª safra'!$E66:$Z66,MIN(AX$6-$E$3,22))),0))-IF($G$2,0,IF((AX$6-$G$3)&lt;1,0,IFERROR(LOOKUP(2,1/('Feijão 1ª safra'!$E66:INDEX('Feijão 1ª safra'!$E66:$Z66,MIN(AX$6-$G$3,22))&lt;&gt;""),'Feijão 1ª safra'!$E66:INDEX('Feijão 1ª safra'!$E66:$Z66,MIN(AX$6-$G$3,22))),0)))))</f>
        <v>0</v>
      </c>
      <c r="AY68" s="27" t="n">
        <f aca="false">IF(COUNT('Feijão 1ª safra'!$E66:$Z66)=0,0,MAX(0,IF((AY$6-$E$3)&lt;1,0,IFERROR(LOOKUP(2,1/('Feijão 1ª safra'!$E66:INDEX('Feijão 1ª safra'!$E66:$Z66,MIN(AY$6-$E$3,22))&lt;&gt;""),'Feijão 1ª safra'!$E66:INDEX('Feijão 1ª safra'!$E66:$Z66,MIN(AY$6-$E$3,22))),0))-IF($G$2,0,IF((AY$6-$G$3)&lt;1,0,IFERROR(LOOKUP(2,1/('Feijão 1ª safra'!$E66:INDEX('Feijão 1ª safra'!$E66:$Z66,MIN(AY$6-$G$3,22))&lt;&gt;""),'Feijão 1ª safra'!$E66:INDEX('Feijão 1ª safra'!$E66:$Z66,MIN(AY$6-$G$3,22))),0)))))</f>
        <v>0</v>
      </c>
      <c r="AZ68" s="27" t="n">
        <f aca="false">IF(COUNT('Feijão 1ª safra'!$E66:$Z66)=0,0,MAX(0,IF((AZ$6-$E$3)&lt;1,0,IFERROR(LOOKUP(2,1/('Feijão 1ª safra'!$E66:INDEX('Feijão 1ª safra'!$E66:$Z66,MIN(AZ$6-$E$3,22))&lt;&gt;""),'Feijão 1ª safra'!$E66:INDEX('Feijão 1ª safra'!$E66:$Z66,MIN(AZ$6-$E$3,22))),0))-IF($G$2,0,IF((AZ$6-$G$3)&lt;1,0,IFERROR(LOOKUP(2,1/('Feijão 1ª safra'!$E66:INDEX('Feijão 1ª safra'!$E66:$Z66,MIN(AZ$6-$G$3,22))&lt;&gt;""),'Feijão 1ª safra'!$E66:INDEX('Feijão 1ª safra'!$E66:$Z66,MIN(AZ$6-$G$3,22))),0)))))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IF(COUNT('Feijão 1ª safra'!$E67:$Z67)&gt;0,N('Feijão 1ª safra'!$D67),0)</f>
        <v>0</v>
      </c>
      <c r="E69" s="27" t="n">
        <f aca="false">IF(COUNT('Feijão 1ª safra'!$E67:$Z67)=0,0,MAX(0,IF((E$6-$E$3)&lt;1,0,IFERROR(LOOKUP(2,1/('Feijão 1ª safra'!$E67:INDEX('Feijão 1ª safra'!$E67:$Z67,MIN(E$6-$E$3,22))&lt;&gt;""),'Feijão 1ª safra'!$E67:INDEX('Feijão 1ª safra'!$E67:$Z67,MIN(E$6-$E$3,22))),0))-IF($G$2,0,IF((E$6-$G$3)&lt;1,0,IFERROR(LOOKUP(2,1/('Feijão 1ª safra'!$E67:INDEX('Feijão 1ª safra'!$E67:$Z67,MIN(E$6-$G$3,22))&lt;&gt;""),'Feijão 1ª safra'!$E67:INDEX('Feijão 1ª safra'!$E67:$Z67,MIN(E$6-$G$3,22))),0)))))</f>
        <v>0</v>
      </c>
      <c r="F69" s="27" t="n">
        <f aca="false">IF(COUNT('Feijão 1ª safra'!$E67:$Z67)=0,0,MAX(0,IF((F$6-$E$3)&lt;1,0,IFERROR(LOOKUP(2,1/('Feijão 1ª safra'!$E67:INDEX('Feijão 1ª safra'!$E67:$Z67,MIN(F$6-$E$3,22))&lt;&gt;""),'Feijão 1ª safra'!$E67:INDEX('Feijão 1ª safra'!$E67:$Z67,MIN(F$6-$E$3,22))),0))-IF($G$2,0,IF((F$6-$G$3)&lt;1,0,IFERROR(LOOKUP(2,1/('Feijão 1ª safra'!$E67:INDEX('Feijão 1ª safra'!$E67:$Z67,MIN(F$6-$G$3,22))&lt;&gt;""),'Feijão 1ª safra'!$E67:INDEX('Feijão 1ª safra'!$E67:$Z67,MIN(F$6-$G$3,22))),0)))))</f>
        <v>0</v>
      </c>
      <c r="G69" s="27" t="n">
        <f aca="false">IF(COUNT('Feijão 1ª safra'!$E67:$Z67)=0,0,MAX(0,IF((G$6-$E$3)&lt;1,0,IFERROR(LOOKUP(2,1/('Feijão 1ª safra'!$E67:INDEX('Feijão 1ª safra'!$E67:$Z67,MIN(G$6-$E$3,22))&lt;&gt;""),'Feijão 1ª safra'!$E67:INDEX('Feijão 1ª safra'!$E67:$Z67,MIN(G$6-$E$3,22))),0))-IF($G$2,0,IF((G$6-$G$3)&lt;1,0,IFERROR(LOOKUP(2,1/('Feijão 1ª safra'!$E67:INDEX('Feijão 1ª safra'!$E67:$Z67,MIN(G$6-$G$3,22))&lt;&gt;""),'Feijão 1ª safra'!$E67:INDEX('Feijão 1ª safra'!$E67:$Z67,MIN(G$6-$G$3,22))),0)))))</f>
        <v>0</v>
      </c>
      <c r="H69" s="27" t="n">
        <f aca="false">IF(COUNT('Feijão 1ª safra'!$E67:$Z67)=0,0,MAX(0,IF((H$6-$E$3)&lt;1,0,IFERROR(LOOKUP(2,1/('Feijão 1ª safra'!$E67:INDEX('Feijão 1ª safra'!$E67:$Z67,MIN(H$6-$E$3,22))&lt;&gt;""),'Feijão 1ª safra'!$E67:INDEX('Feijão 1ª safra'!$E67:$Z67,MIN(H$6-$E$3,22))),0))-IF($G$2,0,IF((H$6-$G$3)&lt;1,0,IFERROR(LOOKUP(2,1/('Feijão 1ª safra'!$E67:INDEX('Feijão 1ª safra'!$E67:$Z67,MIN(H$6-$G$3,22))&lt;&gt;""),'Feijão 1ª safra'!$E67:INDEX('Feijão 1ª safra'!$E67:$Z67,MIN(H$6-$G$3,22))),0)))))</f>
        <v>0</v>
      </c>
      <c r="I69" s="27" t="n">
        <f aca="false">IF(COUNT('Feijão 1ª safra'!$E67:$Z67)=0,0,MAX(0,IF((I$6-$E$3)&lt;1,0,IFERROR(LOOKUP(2,1/('Feijão 1ª safra'!$E67:INDEX('Feijão 1ª safra'!$E67:$Z67,MIN(I$6-$E$3,22))&lt;&gt;""),'Feijão 1ª safra'!$E67:INDEX('Feijão 1ª safra'!$E67:$Z67,MIN(I$6-$E$3,22))),0))-IF($G$2,0,IF((I$6-$G$3)&lt;1,0,IFERROR(LOOKUP(2,1/('Feijão 1ª safra'!$E67:INDEX('Feijão 1ª safra'!$E67:$Z67,MIN(I$6-$G$3,22))&lt;&gt;""),'Feijão 1ª safra'!$E67:INDEX('Feijão 1ª safra'!$E67:$Z67,MIN(I$6-$G$3,22))),0)))))</f>
        <v>0</v>
      </c>
      <c r="J69" s="27" t="n">
        <f aca="false">IF(COUNT('Feijão 1ª safra'!$E67:$Z67)=0,0,MAX(0,IF((J$6-$E$3)&lt;1,0,IFERROR(LOOKUP(2,1/('Feijão 1ª safra'!$E67:INDEX('Feijão 1ª safra'!$E67:$Z67,MIN(J$6-$E$3,22))&lt;&gt;""),'Feijão 1ª safra'!$E67:INDEX('Feijão 1ª safra'!$E67:$Z67,MIN(J$6-$E$3,22))),0))-IF($G$2,0,IF((J$6-$G$3)&lt;1,0,IFERROR(LOOKUP(2,1/('Feijão 1ª safra'!$E67:INDEX('Feijão 1ª safra'!$E67:$Z67,MIN(J$6-$G$3,22))&lt;&gt;""),'Feijão 1ª safra'!$E67:INDEX('Feijão 1ª safra'!$E67:$Z67,MIN(J$6-$G$3,22))),0)))))</f>
        <v>0</v>
      </c>
      <c r="K69" s="27" t="n">
        <f aca="false">IF(COUNT('Feijão 1ª safra'!$E67:$Z67)=0,0,MAX(0,IF((K$6-$E$3)&lt;1,0,IFERROR(LOOKUP(2,1/('Feijão 1ª safra'!$E67:INDEX('Feijão 1ª safra'!$E67:$Z67,MIN(K$6-$E$3,22))&lt;&gt;""),'Feijão 1ª safra'!$E67:INDEX('Feijão 1ª safra'!$E67:$Z67,MIN(K$6-$E$3,22))),0))-IF($G$2,0,IF((K$6-$G$3)&lt;1,0,IFERROR(LOOKUP(2,1/('Feijão 1ª safra'!$E67:INDEX('Feijão 1ª safra'!$E67:$Z67,MIN(K$6-$G$3,22))&lt;&gt;""),'Feijão 1ª safra'!$E67:INDEX('Feijão 1ª safra'!$E67:$Z67,MIN(K$6-$G$3,22))),0)))))</f>
        <v>0</v>
      </c>
      <c r="L69" s="27" t="n">
        <f aca="false">IF(COUNT('Feijão 1ª safra'!$E67:$Z67)=0,0,MAX(0,IF((L$6-$E$3)&lt;1,0,IFERROR(LOOKUP(2,1/('Feijão 1ª safra'!$E67:INDEX('Feijão 1ª safra'!$E67:$Z67,MIN(L$6-$E$3,22))&lt;&gt;""),'Feijão 1ª safra'!$E67:INDEX('Feijão 1ª safra'!$E67:$Z67,MIN(L$6-$E$3,22))),0))-IF($G$2,0,IF((L$6-$G$3)&lt;1,0,IFERROR(LOOKUP(2,1/('Feijão 1ª safra'!$E67:INDEX('Feijão 1ª safra'!$E67:$Z67,MIN(L$6-$G$3,22))&lt;&gt;""),'Feijão 1ª safra'!$E67:INDEX('Feijão 1ª safra'!$E67:$Z67,MIN(L$6-$G$3,22))),0)))))</f>
        <v>0</v>
      </c>
      <c r="M69" s="27" t="n">
        <f aca="false">IF(COUNT('Feijão 1ª safra'!$E67:$Z67)=0,0,MAX(0,IF((M$6-$E$3)&lt;1,0,IFERROR(LOOKUP(2,1/('Feijão 1ª safra'!$E67:INDEX('Feijão 1ª safra'!$E67:$Z67,MIN(M$6-$E$3,22))&lt;&gt;""),'Feijão 1ª safra'!$E67:INDEX('Feijão 1ª safra'!$E67:$Z67,MIN(M$6-$E$3,22))),0))-IF($G$2,0,IF((M$6-$G$3)&lt;1,0,IFERROR(LOOKUP(2,1/('Feijão 1ª safra'!$E67:INDEX('Feijão 1ª safra'!$E67:$Z67,MIN(M$6-$G$3,22))&lt;&gt;""),'Feijão 1ª safra'!$E67:INDEX('Feijão 1ª safra'!$E67:$Z67,MIN(M$6-$G$3,22))),0)))))</f>
        <v>0</v>
      </c>
      <c r="N69" s="27" t="n">
        <f aca="false">IF(COUNT('Feijão 1ª safra'!$E67:$Z67)=0,0,MAX(0,IF((N$6-$E$3)&lt;1,0,IFERROR(LOOKUP(2,1/('Feijão 1ª safra'!$E67:INDEX('Feijão 1ª safra'!$E67:$Z67,MIN(N$6-$E$3,22))&lt;&gt;""),'Feijão 1ª safra'!$E67:INDEX('Feijão 1ª safra'!$E67:$Z67,MIN(N$6-$E$3,22))),0))-IF($G$2,0,IF((N$6-$G$3)&lt;1,0,IFERROR(LOOKUP(2,1/('Feijão 1ª safra'!$E67:INDEX('Feijão 1ª safra'!$E67:$Z67,MIN(N$6-$G$3,22))&lt;&gt;""),'Feijão 1ª safra'!$E67:INDEX('Feijão 1ª safra'!$E67:$Z67,MIN(N$6-$G$3,22))),0)))))</f>
        <v>0</v>
      </c>
      <c r="O69" s="27" t="n">
        <f aca="false">IF(COUNT('Feijão 1ª safra'!$E67:$Z67)=0,0,MAX(0,IF((O$6-$E$3)&lt;1,0,IFERROR(LOOKUP(2,1/('Feijão 1ª safra'!$E67:INDEX('Feijão 1ª safra'!$E67:$Z67,MIN(O$6-$E$3,22))&lt;&gt;""),'Feijão 1ª safra'!$E67:INDEX('Feijão 1ª safra'!$E67:$Z67,MIN(O$6-$E$3,22))),0))-IF($G$2,0,IF((O$6-$G$3)&lt;1,0,IFERROR(LOOKUP(2,1/('Feijão 1ª safra'!$E67:INDEX('Feijão 1ª safra'!$E67:$Z67,MIN(O$6-$G$3,22))&lt;&gt;""),'Feijão 1ª safra'!$E67:INDEX('Feijão 1ª safra'!$E67:$Z67,MIN(O$6-$G$3,22))),0)))))</f>
        <v>0</v>
      </c>
      <c r="P69" s="27" t="n">
        <f aca="false">IF(COUNT('Feijão 1ª safra'!$E67:$Z67)=0,0,MAX(0,IF((P$6-$E$3)&lt;1,0,IFERROR(LOOKUP(2,1/('Feijão 1ª safra'!$E67:INDEX('Feijão 1ª safra'!$E67:$Z67,MIN(P$6-$E$3,22))&lt;&gt;""),'Feijão 1ª safra'!$E67:INDEX('Feijão 1ª safra'!$E67:$Z67,MIN(P$6-$E$3,22))),0))-IF($G$2,0,IF((P$6-$G$3)&lt;1,0,IFERROR(LOOKUP(2,1/('Feijão 1ª safra'!$E67:INDEX('Feijão 1ª safra'!$E67:$Z67,MIN(P$6-$G$3,22))&lt;&gt;""),'Feijão 1ª safra'!$E67:INDEX('Feijão 1ª safra'!$E67:$Z67,MIN(P$6-$G$3,22))),0)))))</f>
        <v>0</v>
      </c>
      <c r="Q69" s="27" t="n">
        <f aca="false">IF(COUNT('Feijão 1ª safra'!$E67:$Z67)=0,0,MAX(0,IF((Q$6-$E$3)&lt;1,0,IFERROR(LOOKUP(2,1/('Feijão 1ª safra'!$E67:INDEX('Feijão 1ª safra'!$E67:$Z67,MIN(Q$6-$E$3,22))&lt;&gt;""),'Feijão 1ª safra'!$E67:INDEX('Feijão 1ª safra'!$E67:$Z67,MIN(Q$6-$E$3,22))),0))-IF($G$2,0,IF((Q$6-$G$3)&lt;1,0,IFERROR(LOOKUP(2,1/('Feijão 1ª safra'!$E67:INDEX('Feijão 1ª safra'!$E67:$Z67,MIN(Q$6-$G$3,22))&lt;&gt;""),'Feijão 1ª safra'!$E67:INDEX('Feijão 1ª safra'!$E67:$Z67,MIN(Q$6-$G$3,22))),0)))))</f>
        <v>0</v>
      </c>
      <c r="R69" s="27" t="n">
        <f aca="false">IF(COUNT('Feijão 1ª safra'!$E67:$Z67)=0,0,MAX(0,IF((R$6-$E$3)&lt;1,0,IFERROR(LOOKUP(2,1/('Feijão 1ª safra'!$E67:INDEX('Feijão 1ª safra'!$E67:$Z67,MIN(R$6-$E$3,22))&lt;&gt;""),'Feijão 1ª safra'!$E67:INDEX('Feijão 1ª safra'!$E67:$Z67,MIN(R$6-$E$3,22))),0))-IF($G$2,0,IF((R$6-$G$3)&lt;1,0,IFERROR(LOOKUP(2,1/('Feijão 1ª safra'!$E67:INDEX('Feijão 1ª safra'!$E67:$Z67,MIN(R$6-$G$3,22))&lt;&gt;""),'Feijão 1ª safra'!$E67:INDEX('Feijão 1ª safra'!$E67:$Z67,MIN(R$6-$G$3,22))),0)))))</f>
        <v>0</v>
      </c>
      <c r="S69" s="27" t="n">
        <f aca="false">IF(COUNT('Feijão 1ª safra'!$E67:$Z67)=0,0,MAX(0,IF((S$6-$E$3)&lt;1,0,IFERROR(LOOKUP(2,1/('Feijão 1ª safra'!$E67:INDEX('Feijão 1ª safra'!$E67:$Z67,MIN(S$6-$E$3,22))&lt;&gt;""),'Feijão 1ª safra'!$E67:INDEX('Feijão 1ª safra'!$E67:$Z67,MIN(S$6-$E$3,22))),0))-IF($G$2,0,IF((S$6-$G$3)&lt;1,0,IFERROR(LOOKUP(2,1/('Feijão 1ª safra'!$E67:INDEX('Feijão 1ª safra'!$E67:$Z67,MIN(S$6-$G$3,22))&lt;&gt;""),'Feijão 1ª safra'!$E67:INDEX('Feijão 1ª safra'!$E67:$Z67,MIN(S$6-$G$3,22))),0)))))</f>
        <v>0</v>
      </c>
      <c r="T69" s="27" t="n">
        <f aca="false">IF(COUNT('Feijão 1ª safra'!$E67:$Z67)=0,0,MAX(0,IF((T$6-$E$3)&lt;1,0,IFERROR(LOOKUP(2,1/('Feijão 1ª safra'!$E67:INDEX('Feijão 1ª safra'!$E67:$Z67,MIN(T$6-$E$3,22))&lt;&gt;""),'Feijão 1ª safra'!$E67:INDEX('Feijão 1ª safra'!$E67:$Z67,MIN(T$6-$E$3,22))),0))-IF($G$2,0,IF((T$6-$G$3)&lt;1,0,IFERROR(LOOKUP(2,1/('Feijão 1ª safra'!$E67:INDEX('Feijão 1ª safra'!$E67:$Z67,MIN(T$6-$G$3,22))&lt;&gt;""),'Feijão 1ª safra'!$E67:INDEX('Feijão 1ª safra'!$E67:$Z67,MIN(T$6-$G$3,22))),0)))))</f>
        <v>0</v>
      </c>
      <c r="U69" s="27" t="n">
        <f aca="false">IF(COUNT('Feijão 1ª safra'!$E67:$Z67)=0,0,MAX(0,IF((U$6-$E$3)&lt;1,0,IFERROR(LOOKUP(2,1/('Feijão 1ª safra'!$E67:INDEX('Feijão 1ª safra'!$E67:$Z67,MIN(U$6-$E$3,22))&lt;&gt;""),'Feijão 1ª safra'!$E67:INDEX('Feijão 1ª safra'!$E67:$Z67,MIN(U$6-$E$3,22))),0))-IF($G$2,0,IF((U$6-$G$3)&lt;1,0,IFERROR(LOOKUP(2,1/('Feijão 1ª safra'!$E67:INDEX('Feijão 1ª safra'!$E67:$Z67,MIN(U$6-$G$3,22))&lt;&gt;""),'Feijão 1ª safra'!$E67:INDEX('Feijão 1ª safra'!$E67:$Z67,MIN(U$6-$G$3,22))),0)))))</f>
        <v>0</v>
      </c>
      <c r="V69" s="27" t="n">
        <f aca="false">IF(COUNT('Feijão 1ª safra'!$E67:$Z67)=0,0,MAX(0,IF((V$6-$E$3)&lt;1,0,IFERROR(LOOKUP(2,1/('Feijão 1ª safra'!$E67:INDEX('Feijão 1ª safra'!$E67:$Z67,MIN(V$6-$E$3,22))&lt;&gt;""),'Feijão 1ª safra'!$E67:INDEX('Feijão 1ª safra'!$E67:$Z67,MIN(V$6-$E$3,22))),0))-IF($G$2,0,IF((V$6-$G$3)&lt;1,0,IFERROR(LOOKUP(2,1/('Feijão 1ª safra'!$E67:INDEX('Feijão 1ª safra'!$E67:$Z67,MIN(V$6-$G$3,22))&lt;&gt;""),'Feijão 1ª safra'!$E67:INDEX('Feijão 1ª safra'!$E67:$Z67,MIN(V$6-$G$3,22))),0)))))</f>
        <v>0</v>
      </c>
      <c r="W69" s="27" t="n">
        <f aca="false">IF(COUNT('Feijão 1ª safra'!$E67:$Z67)=0,0,MAX(0,IF((W$6-$E$3)&lt;1,0,IFERROR(LOOKUP(2,1/('Feijão 1ª safra'!$E67:INDEX('Feijão 1ª safra'!$E67:$Z67,MIN(W$6-$E$3,22))&lt;&gt;""),'Feijão 1ª safra'!$E67:INDEX('Feijão 1ª safra'!$E67:$Z67,MIN(W$6-$E$3,22))),0))-IF($G$2,0,IF((W$6-$G$3)&lt;1,0,IFERROR(LOOKUP(2,1/('Feijão 1ª safra'!$E67:INDEX('Feijão 1ª safra'!$E67:$Z67,MIN(W$6-$G$3,22))&lt;&gt;""),'Feijão 1ª safra'!$E67:INDEX('Feijão 1ª safra'!$E67:$Z67,MIN(W$6-$G$3,22))),0)))))</f>
        <v>0</v>
      </c>
      <c r="X69" s="27" t="n">
        <f aca="false">IF(COUNT('Feijão 1ª safra'!$E67:$Z67)=0,0,MAX(0,IF((X$6-$E$3)&lt;1,0,IFERROR(LOOKUP(2,1/('Feijão 1ª safra'!$E67:INDEX('Feijão 1ª safra'!$E67:$Z67,MIN(X$6-$E$3,22))&lt;&gt;""),'Feijão 1ª safra'!$E67:INDEX('Feijão 1ª safra'!$E67:$Z67,MIN(X$6-$E$3,22))),0))-IF($G$2,0,IF((X$6-$G$3)&lt;1,0,IFERROR(LOOKUP(2,1/('Feijão 1ª safra'!$E67:INDEX('Feijão 1ª safra'!$E67:$Z67,MIN(X$6-$G$3,22))&lt;&gt;""),'Feijão 1ª safra'!$E67:INDEX('Feijão 1ª safra'!$E67:$Z67,MIN(X$6-$G$3,22))),0)))))</f>
        <v>0</v>
      </c>
      <c r="Y69" s="27" t="n">
        <f aca="false">IF(COUNT('Feijão 1ª safra'!$E67:$Z67)=0,0,MAX(0,IF((Y$6-$E$3)&lt;1,0,IFERROR(LOOKUP(2,1/('Feijão 1ª safra'!$E67:INDEX('Feijão 1ª safra'!$E67:$Z67,MIN(Y$6-$E$3,22))&lt;&gt;""),'Feijão 1ª safra'!$E67:INDEX('Feijão 1ª safra'!$E67:$Z67,MIN(Y$6-$E$3,22))),0))-IF($G$2,0,IF((Y$6-$G$3)&lt;1,0,IFERROR(LOOKUP(2,1/('Feijão 1ª safra'!$E67:INDEX('Feijão 1ª safra'!$E67:$Z67,MIN(Y$6-$G$3,22))&lt;&gt;""),'Feijão 1ª safra'!$E67:INDEX('Feijão 1ª safra'!$E67:$Z67,MIN(Y$6-$G$3,22))),0)))))</f>
        <v>0</v>
      </c>
      <c r="Z69" s="27" t="n">
        <f aca="false">IF(COUNT('Feijão 1ª safra'!$E67:$Z67)=0,0,MAX(0,IF((Z$6-$E$3)&lt;1,0,IFERROR(LOOKUP(2,1/('Feijão 1ª safra'!$E67:INDEX('Feijão 1ª safra'!$E67:$Z67,MIN(Z$6-$E$3,22))&lt;&gt;""),'Feijão 1ª safra'!$E67:INDEX('Feijão 1ª safra'!$E67:$Z67,MIN(Z$6-$E$3,22))),0))-IF($G$2,0,IF((Z$6-$G$3)&lt;1,0,IFERROR(LOOKUP(2,1/('Feijão 1ª safra'!$E67:INDEX('Feijão 1ª safra'!$E67:$Z67,MIN(Z$6-$G$3,22))&lt;&gt;""),'Feijão 1ª safra'!$E67:INDEX('Feijão 1ª safra'!$E67:$Z67,MIN(Z$6-$G$3,22))),0)))))</f>
        <v>0</v>
      </c>
      <c r="AA69" s="27" t="n">
        <f aca="false">IF(COUNT('Feijão 1ª safra'!$E67:$Z67)=0,0,MAX(0,IF((AA$6-$E$3)&lt;1,0,IFERROR(LOOKUP(2,1/('Feijão 1ª safra'!$E67:INDEX('Feijão 1ª safra'!$E67:$Z67,MIN(AA$6-$E$3,22))&lt;&gt;""),'Feijão 1ª safra'!$E67:INDEX('Feijão 1ª safra'!$E67:$Z67,MIN(AA$6-$E$3,22))),0))-IF($G$2,0,IF((AA$6-$G$3)&lt;1,0,IFERROR(LOOKUP(2,1/('Feijão 1ª safra'!$E67:INDEX('Feijão 1ª safra'!$E67:$Z67,MIN(AA$6-$G$3,22))&lt;&gt;""),'Feijão 1ª safra'!$E67:INDEX('Feijão 1ª safra'!$E67:$Z67,MIN(AA$6-$G$3,22))),0)))))</f>
        <v>0</v>
      </c>
      <c r="AB69" s="27" t="n">
        <f aca="false">IF(COUNT('Feijão 1ª safra'!$E67:$Z67)=0,0,MAX(0,IF((AB$6-$E$3)&lt;1,0,IFERROR(LOOKUP(2,1/('Feijão 1ª safra'!$E67:INDEX('Feijão 1ª safra'!$E67:$Z67,MIN(AB$6-$E$3,22))&lt;&gt;""),'Feijão 1ª safra'!$E67:INDEX('Feijão 1ª safra'!$E67:$Z67,MIN(AB$6-$E$3,22))),0))-IF($G$2,0,IF((AB$6-$G$3)&lt;1,0,IFERROR(LOOKUP(2,1/('Feijão 1ª safra'!$E67:INDEX('Feijão 1ª safra'!$E67:$Z67,MIN(AB$6-$G$3,22))&lt;&gt;""),'Feijão 1ª safra'!$E67:INDEX('Feijão 1ª safra'!$E67:$Z67,MIN(AB$6-$G$3,22))),0)))))</f>
        <v>0</v>
      </c>
      <c r="AC69" s="27" t="n">
        <f aca="false">IF(COUNT('Feijão 1ª safra'!$E67:$Z67)=0,0,MAX(0,IF((AC$6-$E$3)&lt;1,0,IFERROR(LOOKUP(2,1/('Feijão 1ª safra'!$E67:INDEX('Feijão 1ª safra'!$E67:$Z67,MIN(AC$6-$E$3,22))&lt;&gt;""),'Feijão 1ª safra'!$E67:INDEX('Feijão 1ª safra'!$E67:$Z67,MIN(AC$6-$E$3,22))),0))-IF($G$2,0,IF((AC$6-$G$3)&lt;1,0,IFERROR(LOOKUP(2,1/('Feijão 1ª safra'!$E67:INDEX('Feijão 1ª safra'!$E67:$Z67,MIN(AC$6-$G$3,22))&lt;&gt;""),'Feijão 1ª safra'!$E67:INDEX('Feijão 1ª safra'!$E67:$Z67,MIN(AC$6-$G$3,22))),0)))))</f>
        <v>0</v>
      </c>
      <c r="AD69" s="27" t="n">
        <f aca="false">IF(COUNT('Feijão 1ª safra'!$E67:$Z67)=0,0,MAX(0,IF((AD$6-$E$3)&lt;1,0,IFERROR(LOOKUP(2,1/('Feijão 1ª safra'!$E67:INDEX('Feijão 1ª safra'!$E67:$Z67,MIN(AD$6-$E$3,22))&lt;&gt;""),'Feijão 1ª safra'!$E67:INDEX('Feijão 1ª safra'!$E67:$Z67,MIN(AD$6-$E$3,22))),0))-IF($G$2,0,IF((AD$6-$G$3)&lt;1,0,IFERROR(LOOKUP(2,1/('Feijão 1ª safra'!$E67:INDEX('Feijão 1ª safra'!$E67:$Z67,MIN(AD$6-$G$3,22))&lt;&gt;""),'Feijão 1ª safra'!$E67:INDEX('Feijão 1ª safra'!$E67:$Z67,MIN(AD$6-$G$3,22))),0)))))</f>
        <v>0</v>
      </c>
      <c r="AE69" s="27" t="n">
        <f aca="false">IF(COUNT('Feijão 1ª safra'!$E67:$Z67)=0,0,MAX(0,IF((AE$6-$E$3)&lt;1,0,IFERROR(LOOKUP(2,1/('Feijão 1ª safra'!$E67:INDEX('Feijão 1ª safra'!$E67:$Z67,MIN(AE$6-$E$3,22))&lt;&gt;""),'Feijão 1ª safra'!$E67:INDEX('Feijão 1ª safra'!$E67:$Z67,MIN(AE$6-$E$3,22))),0))-IF($G$2,0,IF((AE$6-$G$3)&lt;1,0,IFERROR(LOOKUP(2,1/('Feijão 1ª safra'!$E67:INDEX('Feijão 1ª safra'!$E67:$Z67,MIN(AE$6-$G$3,22))&lt;&gt;""),'Feijão 1ª safra'!$E67:INDEX('Feijão 1ª safra'!$E67:$Z67,MIN(AE$6-$G$3,22))),0)))))</f>
        <v>0</v>
      </c>
      <c r="AF69" s="27" t="n">
        <f aca="false">IF(COUNT('Feijão 1ª safra'!$E67:$Z67)=0,0,MAX(0,IF((AF$6-$E$3)&lt;1,0,IFERROR(LOOKUP(2,1/('Feijão 1ª safra'!$E67:INDEX('Feijão 1ª safra'!$E67:$Z67,MIN(AF$6-$E$3,22))&lt;&gt;""),'Feijão 1ª safra'!$E67:INDEX('Feijão 1ª safra'!$E67:$Z67,MIN(AF$6-$E$3,22))),0))-IF($G$2,0,IF((AF$6-$G$3)&lt;1,0,IFERROR(LOOKUP(2,1/('Feijão 1ª safra'!$E67:INDEX('Feijão 1ª safra'!$E67:$Z67,MIN(AF$6-$G$3,22))&lt;&gt;""),'Feijão 1ª safra'!$E67:INDEX('Feijão 1ª safra'!$E67:$Z67,MIN(AF$6-$G$3,22))),0)))))</f>
        <v>0</v>
      </c>
      <c r="AG69" s="27" t="n">
        <f aca="false">IF(COUNT('Feijão 1ª safra'!$E67:$Z67)=0,0,MAX(0,IF((AG$6-$E$3)&lt;1,0,IFERROR(LOOKUP(2,1/('Feijão 1ª safra'!$E67:INDEX('Feijão 1ª safra'!$E67:$Z67,MIN(AG$6-$E$3,22))&lt;&gt;""),'Feijão 1ª safra'!$E67:INDEX('Feijão 1ª safra'!$E67:$Z67,MIN(AG$6-$E$3,22))),0))-IF($G$2,0,IF((AG$6-$G$3)&lt;1,0,IFERROR(LOOKUP(2,1/('Feijão 1ª safra'!$E67:INDEX('Feijão 1ª safra'!$E67:$Z67,MIN(AG$6-$G$3,22))&lt;&gt;""),'Feijão 1ª safra'!$E67:INDEX('Feijão 1ª safra'!$E67:$Z67,MIN(AG$6-$G$3,22))),0)))))</f>
        <v>0</v>
      </c>
      <c r="AH69" s="27" t="n">
        <f aca="false">IF(COUNT('Feijão 1ª safra'!$E67:$Z67)=0,0,MAX(0,IF((AH$6-$E$3)&lt;1,0,IFERROR(LOOKUP(2,1/('Feijão 1ª safra'!$E67:INDEX('Feijão 1ª safra'!$E67:$Z67,MIN(AH$6-$E$3,22))&lt;&gt;""),'Feijão 1ª safra'!$E67:INDEX('Feijão 1ª safra'!$E67:$Z67,MIN(AH$6-$E$3,22))),0))-IF($G$2,0,IF((AH$6-$G$3)&lt;1,0,IFERROR(LOOKUP(2,1/('Feijão 1ª safra'!$E67:INDEX('Feijão 1ª safra'!$E67:$Z67,MIN(AH$6-$G$3,22))&lt;&gt;""),'Feijão 1ª safra'!$E67:INDEX('Feijão 1ª safra'!$E67:$Z67,MIN(AH$6-$G$3,22))),0)))))</f>
        <v>0</v>
      </c>
      <c r="AI69" s="27" t="n">
        <f aca="false">IF(COUNT('Feijão 1ª safra'!$E67:$Z67)=0,0,MAX(0,IF((AI$6-$E$3)&lt;1,0,IFERROR(LOOKUP(2,1/('Feijão 1ª safra'!$E67:INDEX('Feijão 1ª safra'!$E67:$Z67,MIN(AI$6-$E$3,22))&lt;&gt;""),'Feijão 1ª safra'!$E67:INDEX('Feijão 1ª safra'!$E67:$Z67,MIN(AI$6-$E$3,22))),0))-IF($G$2,0,IF((AI$6-$G$3)&lt;1,0,IFERROR(LOOKUP(2,1/('Feijão 1ª safra'!$E67:INDEX('Feijão 1ª safra'!$E67:$Z67,MIN(AI$6-$G$3,22))&lt;&gt;""),'Feijão 1ª safra'!$E67:INDEX('Feijão 1ª safra'!$E67:$Z67,MIN(AI$6-$G$3,22))),0)))))</f>
        <v>0</v>
      </c>
      <c r="AJ69" s="27" t="n">
        <f aca="false">IF(COUNT('Feijão 1ª safra'!$E67:$Z67)=0,0,MAX(0,IF((AJ$6-$E$3)&lt;1,0,IFERROR(LOOKUP(2,1/('Feijão 1ª safra'!$E67:INDEX('Feijão 1ª safra'!$E67:$Z67,MIN(AJ$6-$E$3,22))&lt;&gt;""),'Feijão 1ª safra'!$E67:INDEX('Feijão 1ª safra'!$E67:$Z67,MIN(AJ$6-$E$3,22))),0))-IF($G$2,0,IF((AJ$6-$G$3)&lt;1,0,IFERROR(LOOKUP(2,1/('Feijão 1ª safra'!$E67:INDEX('Feijão 1ª safra'!$E67:$Z67,MIN(AJ$6-$G$3,22))&lt;&gt;""),'Feijão 1ª safra'!$E67:INDEX('Feijão 1ª safra'!$E67:$Z67,MIN(AJ$6-$G$3,22))),0)))))</f>
        <v>0</v>
      </c>
      <c r="AK69" s="27" t="n">
        <f aca="false">IF(COUNT('Feijão 1ª safra'!$E67:$Z67)=0,0,MAX(0,IF((AK$6-$E$3)&lt;1,0,IFERROR(LOOKUP(2,1/('Feijão 1ª safra'!$E67:INDEX('Feijão 1ª safra'!$E67:$Z67,MIN(AK$6-$E$3,22))&lt;&gt;""),'Feijão 1ª safra'!$E67:INDEX('Feijão 1ª safra'!$E67:$Z67,MIN(AK$6-$E$3,22))),0))-IF($G$2,0,IF((AK$6-$G$3)&lt;1,0,IFERROR(LOOKUP(2,1/('Feijão 1ª safra'!$E67:INDEX('Feijão 1ª safra'!$E67:$Z67,MIN(AK$6-$G$3,22))&lt;&gt;""),'Feijão 1ª safra'!$E67:INDEX('Feijão 1ª safra'!$E67:$Z67,MIN(AK$6-$G$3,22))),0)))))</f>
        <v>0</v>
      </c>
      <c r="AL69" s="27" t="n">
        <f aca="false">IF(COUNT('Feijão 1ª safra'!$E67:$Z67)=0,0,MAX(0,IF((AL$6-$E$3)&lt;1,0,IFERROR(LOOKUP(2,1/('Feijão 1ª safra'!$E67:INDEX('Feijão 1ª safra'!$E67:$Z67,MIN(AL$6-$E$3,22))&lt;&gt;""),'Feijão 1ª safra'!$E67:INDEX('Feijão 1ª safra'!$E67:$Z67,MIN(AL$6-$E$3,22))),0))-IF($G$2,0,IF((AL$6-$G$3)&lt;1,0,IFERROR(LOOKUP(2,1/('Feijão 1ª safra'!$E67:INDEX('Feijão 1ª safra'!$E67:$Z67,MIN(AL$6-$G$3,22))&lt;&gt;""),'Feijão 1ª safra'!$E67:INDEX('Feijão 1ª safra'!$E67:$Z67,MIN(AL$6-$G$3,22))),0)))))</f>
        <v>0</v>
      </c>
      <c r="AM69" s="27" t="n">
        <f aca="false">IF(COUNT('Feijão 1ª safra'!$E67:$Z67)=0,0,MAX(0,IF((AM$6-$E$3)&lt;1,0,IFERROR(LOOKUP(2,1/('Feijão 1ª safra'!$E67:INDEX('Feijão 1ª safra'!$E67:$Z67,MIN(AM$6-$E$3,22))&lt;&gt;""),'Feijão 1ª safra'!$E67:INDEX('Feijão 1ª safra'!$E67:$Z67,MIN(AM$6-$E$3,22))),0))-IF($G$2,0,IF((AM$6-$G$3)&lt;1,0,IFERROR(LOOKUP(2,1/('Feijão 1ª safra'!$E67:INDEX('Feijão 1ª safra'!$E67:$Z67,MIN(AM$6-$G$3,22))&lt;&gt;""),'Feijão 1ª safra'!$E67:INDEX('Feijão 1ª safra'!$E67:$Z67,MIN(AM$6-$G$3,22))),0)))))</f>
        <v>0</v>
      </c>
      <c r="AN69" s="27" t="n">
        <f aca="false">IF(COUNT('Feijão 1ª safra'!$E67:$Z67)=0,0,MAX(0,IF((AN$6-$E$3)&lt;1,0,IFERROR(LOOKUP(2,1/('Feijão 1ª safra'!$E67:INDEX('Feijão 1ª safra'!$E67:$Z67,MIN(AN$6-$E$3,22))&lt;&gt;""),'Feijão 1ª safra'!$E67:INDEX('Feijão 1ª safra'!$E67:$Z67,MIN(AN$6-$E$3,22))),0))-IF($G$2,0,IF((AN$6-$G$3)&lt;1,0,IFERROR(LOOKUP(2,1/('Feijão 1ª safra'!$E67:INDEX('Feijão 1ª safra'!$E67:$Z67,MIN(AN$6-$G$3,22))&lt;&gt;""),'Feijão 1ª safra'!$E67:INDEX('Feijão 1ª safra'!$E67:$Z67,MIN(AN$6-$G$3,22))),0)))))</f>
        <v>0</v>
      </c>
      <c r="AO69" s="27" t="n">
        <f aca="false">IF(COUNT('Feijão 1ª safra'!$E67:$Z67)=0,0,MAX(0,IF((AO$6-$E$3)&lt;1,0,IFERROR(LOOKUP(2,1/('Feijão 1ª safra'!$E67:INDEX('Feijão 1ª safra'!$E67:$Z67,MIN(AO$6-$E$3,22))&lt;&gt;""),'Feijão 1ª safra'!$E67:INDEX('Feijão 1ª safra'!$E67:$Z67,MIN(AO$6-$E$3,22))),0))-IF($G$2,0,IF((AO$6-$G$3)&lt;1,0,IFERROR(LOOKUP(2,1/('Feijão 1ª safra'!$E67:INDEX('Feijão 1ª safra'!$E67:$Z67,MIN(AO$6-$G$3,22))&lt;&gt;""),'Feijão 1ª safra'!$E67:INDEX('Feijão 1ª safra'!$E67:$Z67,MIN(AO$6-$G$3,22))),0)))))</f>
        <v>0</v>
      </c>
      <c r="AP69" s="27" t="n">
        <f aca="false">IF(COUNT('Feijão 1ª safra'!$E67:$Z67)=0,0,MAX(0,IF((AP$6-$E$3)&lt;1,0,IFERROR(LOOKUP(2,1/('Feijão 1ª safra'!$E67:INDEX('Feijão 1ª safra'!$E67:$Z67,MIN(AP$6-$E$3,22))&lt;&gt;""),'Feijão 1ª safra'!$E67:INDEX('Feijão 1ª safra'!$E67:$Z67,MIN(AP$6-$E$3,22))),0))-IF($G$2,0,IF((AP$6-$G$3)&lt;1,0,IFERROR(LOOKUP(2,1/('Feijão 1ª safra'!$E67:INDEX('Feijão 1ª safra'!$E67:$Z67,MIN(AP$6-$G$3,22))&lt;&gt;""),'Feijão 1ª safra'!$E67:INDEX('Feijão 1ª safra'!$E67:$Z67,MIN(AP$6-$G$3,22))),0)))))</f>
        <v>0</v>
      </c>
      <c r="AQ69" s="27" t="n">
        <f aca="false">IF(COUNT('Feijão 1ª safra'!$E67:$Z67)=0,0,MAX(0,IF((AQ$6-$E$3)&lt;1,0,IFERROR(LOOKUP(2,1/('Feijão 1ª safra'!$E67:INDEX('Feijão 1ª safra'!$E67:$Z67,MIN(AQ$6-$E$3,22))&lt;&gt;""),'Feijão 1ª safra'!$E67:INDEX('Feijão 1ª safra'!$E67:$Z67,MIN(AQ$6-$E$3,22))),0))-IF($G$2,0,IF((AQ$6-$G$3)&lt;1,0,IFERROR(LOOKUP(2,1/('Feijão 1ª safra'!$E67:INDEX('Feijão 1ª safra'!$E67:$Z67,MIN(AQ$6-$G$3,22))&lt;&gt;""),'Feijão 1ª safra'!$E67:INDEX('Feijão 1ª safra'!$E67:$Z67,MIN(AQ$6-$G$3,22))),0)))))</f>
        <v>0</v>
      </c>
      <c r="AR69" s="27" t="n">
        <f aca="false">IF(COUNT('Feijão 1ª safra'!$E67:$Z67)=0,0,MAX(0,IF((AR$6-$E$3)&lt;1,0,IFERROR(LOOKUP(2,1/('Feijão 1ª safra'!$E67:INDEX('Feijão 1ª safra'!$E67:$Z67,MIN(AR$6-$E$3,22))&lt;&gt;""),'Feijão 1ª safra'!$E67:INDEX('Feijão 1ª safra'!$E67:$Z67,MIN(AR$6-$E$3,22))),0))-IF($G$2,0,IF((AR$6-$G$3)&lt;1,0,IFERROR(LOOKUP(2,1/('Feijão 1ª safra'!$E67:INDEX('Feijão 1ª safra'!$E67:$Z67,MIN(AR$6-$G$3,22))&lt;&gt;""),'Feijão 1ª safra'!$E67:INDEX('Feijão 1ª safra'!$E67:$Z67,MIN(AR$6-$G$3,22))),0)))))</f>
        <v>0</v>
      </c>
      <c r="AS69" s="27" t="n">
        <f aca="false">IF(COUNT('Feijão 1ª safra'!$E67:$Z67)=0,0,MAX(0,IF((AS$6-$E$3)&lt;1,0,IFERROR(LOOKUP(2,1/('Feijão 1ª safra'!$E67:INDEX('Feijão 1ª safra'!$E67:$Z67,MIN(AS$6-$E$3,22))&lt;&gt;""),'Feijão 1ª safra'!$E67:INDEX('Feijão 1ª safra'!$E67:$Z67,MIN(AS$6-$E$3,22))),0))-IF($G$2,0,IF((AS$6-$G$3)&lt;1,0,IFERROR(LOOKUP(2,1/('Feijão 1ª safra'!$E67:INDEX('Feijão 1ª safra'!$E67:$Z67,MIN(AS$6-$G$3,22))&lt;&gt;""),'Feijão 1ª safra'!$E67:INDEX('Feijão 1ª safra'!$E67:$Z67,MIN(AS$6-$G$3,22))),0)))))</f>
        <v>0</v>
      </c>
      <c r="AT69" s="27" t="n">
        <f aca="false">IF(COUNT('Feijão 1ª safra'!$E67:$Z67)=0,0,MAX(0,IF((AT$6-$E$3)&lt;1,0,IFERROR(LOOKUP(2,1/('Feijão 1ª safra'!$E67:INDEX('Feijão 1ª safra'!$E67:$Z67,MIN(AT$6-$E$3,22))&lt;&gt;""),'Feijão 1ª safra'!$E67:INDEX('Feijão 1ª safra'!$E67:$Z67,MIN(AT$6-$E$3,22))),0))-IF($G$2,0,IF((AT$6-$G$3)&lt;1,0,IFERROR(LOOKUP(2,1/('Feijão 1ª safra'!$E67:INDEX('Feijão 1ª safra'!$E67:$Z67,MIN(AT$6-$G$3,22))&lt;&gt;""),'Feijão 1ª safra'!$E67:INDEX('Feijão 1ª safra'!$E67:$Z67,MIN(AT$6-$G$3,22))),0)))))</f>
        <v>0</v>
      </c>
      <c r="AU69" s="27" t="n">
        <f aca="false">IF(COUNT('Feijão 1ª safra'!$E67:$Z67)=0,0,MAX(0,IF((AU$6-$E$3)&lt;1,0,IFERROR(LOOKUP(2,1/('Feijão 1ª safra'!$E67:INDEX('Feijão 1ª safra'!$E67:$Z67,MIN(AU$6-$E$3,22))&lt;&gt;""),'Feijão 1ª safra'!$E67:INDEX('Feijão 1ª safra'!$E67:$Z67,MIN(AU$6-$E$3,22))),0))-IF($G$2,0,IF((AU$6-$G$3)&lt;1,0,IFERROR(LOOKUP(2,1/('Feijão 1ª safra'!$E67:INDEX('Feijão 1ª safra'!$E67:$Z67,MIN(AU$6-$G$3,22))&lt;&gt;""),'Feijão 1ª safra'!$E67:INDEX('Feijão 1ª safra'!$E67:$Z67,MIN(AU$6-$G$3,22))),0)))))</f>
        <v>0</v>
      </c>
      <c r="AV69" s="27" t="n">
        <f aca="false">IF(COUNT('Feijão 1ª safra'!$E67:$Z67)=0,0,MAX(0,IF((AV$6-$E$3)&lt;1,0,IFERROR(LOOKUP(2,1/('Feijão 1ª safra'!$E67:INDEX('Feijão 1ª safra'!$E67:$Z67,MIN(AV$6-$E$3,22))&lt;&gt;""),'Feijão 1ª safra'!$E67:INDEX('Feijão 1ª safra'!$E67:$Z67,MIN(AV$6-$E$3,22))),0))-IF($G$2,0,IF((AV$6-$G$3)&lt;1,0,IFERROR(LOOKUP(2,1/('Feijão 1ª safra'!$E67:INDEX('Feijão 1ª safra'!$E67:$Z67,MIN(AV$6-$G$3,22))&lt;&gt;""),'Feijão 1ª safra'!$E67:INDEX('Feijão 1ª safra'!$E67:$Z67,MIN(AV$6-$G$3,22))),0)))))</f>
        <v>0</v>
      </c>
      <c r="AW69" s="27" t="n">
        <f aca="false">IF(COUNT('Feijão 1ª safra'!$E67:$Z67)=0,0,MAX(0,IF((AW$6-$E$3)&lt;1,0,IFERROR(LOOKUP(2,1/('Feijão 1ª safra'!$E67:INDEX('Feijão 1ª safra'!$E67:$Z67,MIN(AW$6-$E$3,22))&lt;&gt;""),'Feijão 1ª safra'!$E67:INDEX('Feijão 1ª safra'!$E67:$Z67,MIN(AW$6-$E$3,22))),0))-IF($G$2,0,IF((AW$6-$G$3)&lt;1,0,IFERROR(LOOKUP(2,1/('Feijão 1ª safra'!$E67:INDEX('Feijão 1ª safra'!$E67:$Z67,MIN(AW$6-$G$3,22))&lt;&gt;""),'Feijão 1ª safra'!$E67:INDEX('Feijão 1ª safra'!$E67:$Z67,MIN(AW$6-$G$3,22))),0)))))</f>
        <v>0</v>
      </c>
      <c r="AX69" s="27" t="n">
        <f aca="false">IF(COUNT('Feijão 1ª safra'!$E67:$Z67)=0,0,MAX(0,IF((AX$6-$E$3)&lt;1,0,IFERROR(LOOKUP(2,1/('Feijão 1ª safra'!$E67:INDEX('Feijão 1ª safra'!$E67:$Z67,MIN(AX$6-$E$3,22))&lt;&gt;""),'Feijão 1ª safra'!$E67:INDEX('Feijão 1ª safra'!$E67:$Z67,MIN(AX$6-$E$3,22))),0))-IF($G$2,0,IF((AX$6-$G$3)&lt;1,0,IFERROR(LOOKUP(2,1/('Feijão 1ª safra'!$E67:INDEX('Feijão 1ª safra'!$E67:$Z67,MIN(AX$6-$G$3,22))&lt;&gt;""),'Feijão 1ª safra'!$E67:INDEX('Feijão 1ª safra'!$E67:$Z67,MIN(AX$6-$G$3,22))),0)))))</f>
        <v>0</v>
      </c>
      <c r="AY69" s="27" t="n">
        <f aca="false">IF(COUNT('Feijão 1ª safra'!$E67:$Z67)=0,0,MAX(0,IF((AY$6-$E$3)&lt;1,0,IFERROR(LOOKUP(2,1/('Feijão 1ª safra'!$E67:INDEX('Feijão 1ª safra'!$E67:$Z67,MIN(AY$6-$E$3,22))&lt;&gt;""),'Feijão 1ª safra'!$E67:INDEX('Feijão 1ª safra'!$E67:$Z67,MIN(AY$6-$E$3,22))),0))-IF($G$2,0,IF((AY$6-$G$3)&lt;1,0,IFERROR(LOOKUP(2,1/('Feijão 1ª safra'!$E67:INDEX('Feijão 1ª safra'!$E67:$Z67,MIN(AY$6-$G$3,22))&lt;&gt;""),'Feijão 1ª safra'!$E67:INDEX('Feijão 1ª safra'!$E67:$Z67,MIN(AY$6-$G$3,22))),0)))))</f>
        <v>0</v>
      </c>
      <c r="AZ69" s="27" t="n">
        <f aca="false">IF(COUNT('Feijão 1ª safra'!$E67:$Z67)=0,0,MAX(0,IF((AZ$6-$E$3)&lt;1,0,IFERROR(LOOKUP(2,1/('Feijão 1ª safra'!$E67:INDEX('Feijão 1ª safra'!$E67:$Z67,MIN(AZ$6-$E$3,22))&lt;&gt;""),'Feijão 1ª safra'!$E67:INDEX('Feijão 1ª safra'!$E67:$Z67,MIN(AZ$6-$E$3,22))),0))-IF($G$2,0,IF((AZ$6-$G$3)&lt;1,0,IFERROR(LOOKUP(2,1/('Feijão 1ª safra'!$E67:INDEX('Feijão 1ª safra'!$E67:$Z67,MIN(AZ$6-$G$3,22))&lt;&gt;""),'Feijão 1ª safra'!$E67:INDEX('Feijão 1ª safra'!$E67:$Z67,MIN(AZ$6-$G$3,22))),0)))))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IF(COUNT('Feijão 1ª safra'!$E68:$Z68)&gt;0,N('Feijão 1ª safra'!$D68),0)</f>
        <v>0</v>
      </c>
      <c r="E70" s="27" t="n">
        <f aca="false">IF(COUNT('Feijão 1ª safra'!$E68:$Z68)=0,0,MAX(0,IF((E$6-$E$3)&lt;1,0,IFERROR(LOOKUP(2,1/('Feijão 1ª safra'!$E68:INDEX('Feijão 1ª safra'!$E68:$Z68,MIN(E$6-$E$3,22))&lt;&gt;""),'Feijão 1ª safra'!$E68:INDEX('Feijão 1ª safra'!$E68:$Z68,MIN(E$6-$E$3,22))),0))-IF($G$2,0,IF((E$6-$G$3)&lt;1,0,IFERROR(LOOKUP(2,1/('Feijão 1ª safra'!$E68:INDEX('Feijão 1ª safra'!$E68:$Z68,MIN(E$6-$G$3,22))&lt;&gt;""),'Feijão 1ª safra'!$E68:INDEX('Feijão 1ª safra'!$E68:$Z68,MIN(E$6-$G$3,22))),0)))))</f>
        <v>0</v>
      </c>
      <c r="F70" s="27" t="n">
        <f aca="false">IF(COUNT('Feijão 1ª safra'!$E68:$Z68)=0,0,MAX(0,IF((F$6-$E$3)&lt;1,0,IFERROR(LOOKUP(2,1/('Feijão 1ª safra'!$E68:INDEX('Feijão 1ª safra'!$E68:$Z68,MIN(F$6-$E$3,22))&lt;&gt;""),'Feijão 1ª safra'!$E68:INDEX('Feijão 1ª safra'!$E68:$Z68,MIN(F$6-$E$3,22))),0))-IF($G$2,0,IF((F$6-$G$3)&lt;1,0,IFERROR(LOOKUP(2,1/('Feijão 1ª safra'!$E68:INDEX('Feijão 1ª safra'!$E68:$Z68,MIN(F$6-$G$3,22))&lt;&gt;""),'Feijão 1ª safra'!$E68:INDEX('Feijão 1ª safra'!$E68:$Z68,MIN(F$6-$G$3,22))),0)))))</f>
        <v>0</v>
      </c>
      <c r="G70" s="27" t="n">
        <f aca="false">IF(COUNT('Feijão 1ª safra'!$E68:$Z68)=0,0,MAX(0,IF((G$6-$E$3)&lt;1,0,IFERROR(LOOKUP(2,1/('Feijão 1ª safra'!$E68:INDEX('Feijão 1ª safra'!$E68:$Z68,MIN(G$6-$E$3,22))&lt;&gt;""),'Feijão 1ª safra'!$E68:INDEX('Feijão 1ª safra'!$E68:$Z68,MIN(G$6-$E$3,22))),0))-IF($G$2,0,IF((G$6-$G$3)&lt;1,0,IFERROR(LOOKUP(2,1/('Feijão 1ª safra'!$E68:INDEX('Feijão 1ª safra'!$E68:$Z68,MIN(G$6-$G$3,22))&lt;&gt;""),'Feijão 1ª safra'!$E68:INDEX('Feijão 1ª safra'!$E68:$Z68,MIN(G$6-$G$3,22))),0)))))</f>
        <v>0</v>
      </c>
      <c r="H70" s="27" t="n">
        <f aca="false">IF(COUNT('Feijão 1ª safra'!$E68:$Z68)=0,0,MAX(0,IF((H$6-$E$3)&lt;1,0,IFERROR(LOOKUP(2,1/('Feijão 1ª safra'!$E68:INDEX('Feijão 1ª safra'!$E68:$Z68,MIN(H$6-$E$3,22))&lt;&gt;""),'Feijão 1ª safra'!$E68:INDEX('Feijão 1ª safra'!$E68:$Z68,MIN(H$6-$E$3,22))),0))-IF($G$2,0,IF((H$6-$G$3)&lt;1,0,IFERROR(LOOKUP(2,1/('Feijão 1ª safra'!$E68:INDEX('Feijão 1ª safra'!$E68:$Z68,MIN(H$6-$G$3,22))&lt;&gt;""),'Feijão 1ª safra'!$E68:INDEX('Feijão 1ª safra'!$E68:$Z68,MIN(H$6-$G$3,22))),0)))))</f>
        <v>0</v>
      </c>
      <c r="I70" s="27" t="n">
        <f aca="false">IF(COUNT('Feijão 1ª safra'!$E68:$Z68)=0,0,MAX(0,IF((I$6-$E$3)&lt;1,0,IFERROR(LOOKUP(2,1/('Feijão 1ª safra'!$E68:INDEX('Feijão 1ª safra'!$E68:$Z68,MIN(I$6-$E$3,22))&lt;&gt;""),'Feijão 1ª safra'!$E68:INDEX('Feijão 1ª safra'!$E68:$Z68,MIN(I$6-$E$3,22))),0))-IF($G$2,0,IF((I$6-$G$3)&lt;1,0,IFERROR(LOOKUP(2,1/('Feijão 1ª safra'!$E68:INDEX('Feijão 1ª safra'!$E68:$Z68,MIN(I$6-$G$3,22))&lt;&gt;""),'Feijão 1ª safra'!$E68:INDEX('Feijão 1ª safra'!$E68:$Z68,MIN(I$6-$G$3,22))),0)))))</f>
        <v>0</v>
      </c>
      <c r="J70" s="27" t="n">
        <f aca="false">IF(COUNT('Feijão 1ª safra'!$E68:$Z68)=0,0,MAX(0,IF((J$6-$E$3)&lt;1,0,IFERROR(LOOKUP(2,1/('Feijão 1ª safra'!$E68:INDEX('Feijão 1ª safra'!$E68:$Z68,MIN(J$6-$E$3,22))&lt;&gt;""),'Feijão 1ª safra'!$E68:INDEX('Feijão 1ª safra'!$E68:$Z68,MIN(J$6-$E$3,22))),0))-IF($G$2,0,IF((J$6-$G$3)&lt;1,0,IFERROR(LOOKUP(2,1/('Feijão 1ª safra'!$E68:INDEX('Feijão 1ª safra'!$E68:$Z68,MIN(J$6-$G$3,22))&lt;&gt;""),'Feijão 1ª safra'!$E68:INDEX('Feijão 1ª safra'!$E68:$Z68,MIN(J$6-$G$3,22))),0)))))</f>
        <v>0</v>
      </c>
      <c r="K70" s="27" t="n">
        <f aca="false">IF(COUNT('Feijão 1ª safra'!$E68:$Z68)=0,0,MAX(0,IF((K$6-$E$3)&lt;1,0,IFERROR(LOOKUP(2,1/('Feijão 1ª safra'!$E68:INDEX('Feijão 1ª safra'!$E68:$Z68,MIN(K$6-$E$3,22))&lt;&gt;""),'Feijão 1ª safra'!$E68:INDEX('Feijão 1ª safra'!$E68:$Z68,MIN(K$6-$E$3,22))),0))-IF($G$2,0,IF((K$6-$G$3)&lt;1,0,IFERROR(LOOKUP(2,1/('Feijão 1ª safra'!$E68:INDEX('Feijão 1ª safra'!$E68:$Z68,MIN(K$6-$G$3,22))&lt;&gt;""),'Feijão 1ª safra'!$E68:INDEX('Feijão 1ª safra'!$E68:$Z68,MIN(K$6-$G$3,22))),0)))))</f>
        <v>0</v>
      </c>
      <c r="L70" s="27" t="n">
        <f aca="false">IF(COUNT('Feijão 1ª safra'!$E68:$Z68)=0,0,MAX(0,IF((L$6-$E$3)&lt;1,0,IFERROR(LOOKUP(2,1/('Feijão 1ª safra'!$E68:INDEX('Feijão 1ª safra'!$E68:$Z68,MIN(L$6-$E$3,22))&lt;&gt;""),'Feijão 1ª safra'!$E68:INDEX('Feijão 1ª safra'!$E68:$Z68,MIN(L$6-$E$3,22))),0))-IF($G$2,0,IF((L$6-$G$3)&lt;1,0,IFERROR(LOOKUP(2,1/('Feijão 1ª safra'!$E68:INDEX('Feijão 1ª safra'!$E68:$Z68,MIN(L$6-$G$3,22))&lt;&gt;""),'Feijão 1ª safra'!$E68:INDEX('Feijão 1ª safra'!$E68:$Z68,MIN(L$6-$G$3,22))),0)))))</f>
        <v>0</v>
      </c>
      <c r="M70" s="27" t="n">
        <f aca="false">IF(COUNT('Feijão 1ª safra'!$E68:$Z68)=0,0,MAX(0,IF((M$6-$E$3)&lt;1,0,IFERROR(LOOKUP(2,1/('Feijão 1ª safra'!$E68:INDEX('Feijão 1ª safra'!$E68:$Z68,MIN(M$6-$E$3,22))&lt;&gt;""),'Feijão 1ª safra'!$E68:INDEX('Feijão 1ª safra'!$E68:$Z68,MIN(M$6-$E$3,22))),0))-IF($G$2,0,IF((M$6-$G$3)&lt;1,0,IFERROR(LOOKUP(2,1/('Feijão 1ª safra'!$E68:INDEX('Feijão 1ª safra'!$E68:$Z68,MIN(M$6-$G$3,22))&lt;&gt;""),'Feijão 1ª safra'!$E68:INDEX('Feijão 1ª safra'!$E68:$Z68,MIN(M$6-$G$3,22))),0)))))</f>
        <v>0</v>
      </c>
      <c r="N70" s="27" t="n">
        <f aca="false">IF(COUNT('Feijão 1ª safra'!$E68:$Z68)=0,0,MAX(0,IF((N$6-$E$3)&lt;1,0,IFERROR(LOOKUP(2,1/('Feijão 1ª safra'!$E68:INDEX('Feijão 1ª safra'!$E68:$Z68,MIN(N$6-$E$3,22))&lt;&gt;""),'Feijão 1ª safra'!$E68:INDEX('Feijão 1ª safra'!$E68:$Z68,MIN(N$6-$E$3,22))),0))-IF($G$2,0,IF((N$6-$G$3)&lt;1,0,IFERROR(LOOKUP(2,1/('Feijão 1ª safra'!$E68:INDEX('Feijão 1ª safra'!$E68:$Z68,MIN(N$6-$G$3,22))&lt;&gt;""),'Feijão 1ª safra'!$E68:INDEX('Feijão 1ª safra'!$E68:$Z68,MIN(N$6-$G$3,22))),0)))))</f>
        <v>0</v>
      </c>
      <c r="O70" s="27" t="n">
        <f aca="false">IF(COUNT('Feijão 1ª safra'!$E68:$Z68)=0,0,MAX(0,IF((O$6-$E$3)&lt;1,0,IFERROR(LOOKUP(2,1/('Feijão 1ª safra'!$E68:INDEX('Feijão 1ª safra'!$E68:$Z68,MIN(O$6-$E$3,22))&lt;&gt;""),'Feijão 1ª safra'!$E68:INDEX('Feijão 1ª safra'!$E68:$Z68,MIN(O$6-$E$3,22))),0))-IF($G$2,0,IF((O$6-$G$3)&lt;1,0,IFERROR(LOOKUP(2,1/('Feijão 1ª safra'!$E68:INDEX('Feijão 1ª safra'!$E68:$Z68,MIN(O$6-$G$3,22))&lt;&gt;""),'Feijão 1ª safra'!$E68:INDEX('Feijão 1ª safra'!$E68:$Z68,MIN(O$6-$G$3,22))),0)))))</f>
        <v>0</v>
      </c>
      <c r="P70" s="27" t="n">
        <f aca="false">IF(COUNT('Feijão 1ª safra'!$E68:$Z68)=0,0,MAX(0,IF((P$6-$E$3)&lt;1,0,IFERROR(LOOKUP(2,1/('Feijão 1ª safra'!$E68:INDEX('Feijão 1ª safra'!$E68:$Z68,MIN(P$6-$E$3,22))&lt;&gt;""),'Feijão 1ª safra'!$E68:INDEX('Feijão 1ª safra'!$E68:$Z68,MIN(P$6-$E$3,22))),0))-IF($G$2,0,IF((P$6-$G$3)&lt;1,0,IFERROR(LOOKUP(2,1/('Feijão 1ª safra'!$E68:INDEX('Feijão 1ª safra'!$E68:$Z68,MIN(P$6-$G$3,22))&lt;&gt;""),'Feijão 1ª safra'!$E68:INDEX('Feijão 1ª safra'!$E68:$Z68,MIN(P$6-$G$3,22))),0)))))</f>
        <v>0</v>
      </c>
      <c r="Q70" s="27" t="n">
        <f aca="false">IF(COUNT('Feijão 1ª safra'!$E68:$Z68)=0,0,MAX(0,IF((Q$6-$E$3)&lt;1,0,IFERROR(LOOKUP(2,1/('Feijão 1ª safra'!$E68:INDEX('Feijão 1ª safra'!$E68:$Z68,MIN(Q$6-$E$3,22))&lt;&gt;""),'Feijão 1ª safra'!$E68:INDEX('Feijão 1ª safra'!$E68:$Z68,MIN(Q$6-$E$3,22))),0))-IF($G$2,0,IF((Q$6-$G$3)&lt;1,0,IFERROR(LOOKUP(2,1/('Feijão 1ª safra'!$E68:INDEX('Feijão 1ª safra'!$E68:$Z68,MIN(Q$6-$G$3,22))&lt;&gt;""),'Feijão 1ª safra'!$E68:INDEX('Feijão 1ª safra'!$E68:$Z68,MIN(Q$6-$G$3,22))),0)))))</f>
        <v>0</v>
      </c>
      <c r="R70" s="27" t="n">
        <f aca="false">IF(COUNT('Feijão 1ª safra'!$E68:$Z68)=0,0,MAX(0,IF((R$6-$E$3)&lt;1,0,IFERROR(LOOKUP(2,1/('Feijão 1ª safra'!$E68:INDEX('Feijão 1ª safra'!$E68:$Z68,MIN(R$6-$E$3,22))&lt;&gt;""),'Feijão 1ª safra'!$E68:INDEX('Feijão 1ª safra'!$E68:$Z68,MIN(R$6-$E$3,22))),0))-IF($G$2,0,IF((R$6-$G$3)&lt;1,0,IFERROR(LOOKUP(2,1/('Feijão 1ª safra'!$E68:INDEX('Feijão 1ª safra'!$E68:$Z68,MIN(R$6-$G$3,22))&lt;&gt;""),'Feijão 1ª safra'!$E68:INDEX('Feijão 1ª safra'!$E68:$Z68,MIN(R$6-$G$3,22))),0)))))</f>
        <v>0</v>
      </c>
      <c r="S70" s="27" t="n">
        <f aca="false">IF(COUNT('Feijão 1ª safra'!$E68:$Z68)=0,0,MAX(0,IF((S$6-$E$3)&lt;1,0,IFERROR(LOOKUP(2,1/('Feijão 1ª safra'!$E68:INDEX('Feijão 1ª safra'!$E68:$Z68,MIN(S$6-$E$3,22))&lt;&gt;""),'Feijão 1ª safra'!$E68:INDEX('Feijão 1ª safra'!$E68:$Z68,MIN(S$6-$E$3,22))),0))-IF($G$2,0,IF((S$6-$G$3)&lt;1,0,IFERROR(LOOKUP(2,1/('Feijão 1ª safra'!$E68:INDEX('Feijão 1ª safra'!$E68:$Z68,MIN(S$6-$G$3,22))&lt;&gt;""),'Feijão 1ª safra'!$E68:INDEX('Feijão 1ª safra'!$E68:$Z68,MIN(S$6-$G$3,22))),0)))))</f>
        <v>0</v>
      </c>
      <c r="T70" s="27" t="n">
        <f aca="false">IF(COUNT('Feijão 1ª safra'!$E68:$Z68)=0,0,MAX(0,IF((T$6-$E$3)&lt;1,0,IFERROR(LOOKUP(2,1/('Feijão 1ª safra'!$E68:INDEX('Feijão 1ª safra'!$E68:$Z68,MIN(T$6-$E$3,22))&lt;&gt;""),'Feijão 1ª safra'!$E68:INDEX('Feijão 1ª safra'!$E68:$Z68,MIN(T$6-$E$3,22))),0))-IF($G$2,0,IF((T$6-$G$3)&lt;1,0,IFERROR(LOOKUP(2,1/('Feijão 1ª safra'!$E68:INDEX('Feijão 1ª safra'!$E68:$Z68,MIN(T$6-$G$3,22))&lt;&gt;""),'Feijão 1ª safra'!$E68:INDEX('Feijão 1ª safra'!$E68:$Z68,MIN(T$6-$G$3,22))),0)))))</f>
        <v>0</v>
      </c>
      <c r="U70" s="27" t="n">
        <f aca="false">IF(COUNT('Feijão 1ª safra'!$E68:$Z68)=0,0,MAX(0,IF((U$6-$E$3)&lt;1,0,IFERROR(LOOKUP(2,1/('Feijão 1ª safra'!$E68:INDEX('Feijão 1ª safra'!$E68:$Z68,MIN(U$6-$E$3,22))&lt;&gt;""),'Feijão 1ª safra'!$E68:INDEX('Feijão 1ª safra'!$E68:$Z68,MIN(U$6-$E$3,22))),0))-IF($G$2,0,IF((U$6-$G$3)&lt;1,0,IFERROR(LOOKUP(2,1/('Feijão 1ª safra'!$E68:INDEX('Feijão 1ª safra'!$E68:$Z68,MIN(U$6-$G$3,22))&lt;&gt;""),'Feijão 1ª safra'!$E68:INDEX('Feijão 1ª safra'!$E68:$Z68,MIN(U$6-$G$3,22))),0)))))</f>
        <v>0</v>
      </c>
      <c r="V70" s="27" t="n">
        <f aca="false">IF(COUNT('Feijão 1ª safra'!$E68:$Z68)=0,0,MAX(0,IF((V$6-$E$3)&lt;1,0,IFERROR(LOOKUP(2,1/('Feijão 1ª safra'!$E68:INDEX('Feijão 1ª safra'!$E68:$Z68,MIN(V$6-$E$3,22))&lt;&gt;""),'Feijão 1ª safra'!$E68:INDEX('Feijão 1ª safra'!$E68:$Z68,MIN(V$6-$E$3,22))),0))-IF($G$2,0,IF((V$6-$G$3)&lt;1,0,IFERROR(LOOKUP(2,1/('Feijão 1ª safra'!$E68:INDEX('Feijão 1ª safra'!$E68:$Z68,MIN(V$6-$G$3,22))&lt;&gt;""),'Feijão 1ª safra'!$E68:INDEX('Feijão 1ª safra'!$E68:$Z68,MIN(V$6-$G$3,22))),0)))))</f>
        <v>0</v>
      </c>
      <c r="W70" s="27" t="n">
        <f aca="false">IF(COUNT('Feijão 1ª safra'!$E68:$Z68)=0,0,MAX(0,IF((W$6-$E$3)&lt;1,0,IFERROR(LOOKUP(2,1/('Feijão 1ª safra'!$E68:INDEX('Feijão 1ª safra'!$E68:$Z68,MIN(W$6-$E$3,22))&lt;&gt;""),'Feijão 1ª safra'!$E68:INDEX('Feijão 1ª safra'!$E68:$Z68,MIN(W$6-$E$3,22))),0))-IF($G$2,0,IF((W$6-$G$3)&lt;1,0,IFERROR(LOOKUP(2,1/('Feijão 1ª safra'!$E68:INDEX('Feijão 1ª safra'!$E68:$Z68,MIN(W$6-$G$3,22))&lt;&gt;""),'Feijão 1ª safra'!$E68:INDEX('Feijão 1ª safra'!$E68:$Z68,MIN(W$6-$G$3,22))),0)))))</f>
        <v>0</v>
      </c>
      <c r="X70" s="27" t="n">
        <f aca="false">IF(COUNT('Feijão 1ª safra'!$E68:$Z68)=0,0,MAX(0,IF((X$6-$E$3)&lt;1,0,IFERROR(LOOKUP(2,1/('Feijão 1ª safra'!$E68:INDEX('Feijão 1ª safra'!$E68:$Z68,MIN(X$6-$E$3,22))&lt;&gt;""),'Feijão 1ª safra'!$E68:INDEX('Feijão 1ª safra'!$E68:$Z68,MIN(X$6-$E$3,22))),0))-IF($G$2,0,IF((X$6-$G$3)&lt;1,0,IFERROR(LOOKUP(2,1/('Feijão 1ª safra'!$E68:INDEX('Feijão 1ª safra'!$E68:$Z68,MIN(X$6-$G$3,22))&lt;&gt;""),'Feijão 1ª safra'!$E68:INDEX('Feijão 1ª safra'!$E68:$Z68,MIN(X$6-$G$3,22))),0)))))</f>
        <v>0</v>
      </c>
      <c r="Y70" s="27" t="n">
        <f aca="false">IF(COUNT('Feijão 1ª safra'!$E68:$Z68)=0,0,MAX(0,IF((Y$6-$E$3)&lt;1,0,IFERROR(LOOKUP(2,1/('Feijão 1ª safra'!$E68:INDEX('Feijão 1ª safra'!$E68:$Z68,MIN(Y$6-$E$3,22))&lt;&gt;""),'Feijão 1ª safra'!$E68:INDEX('Feijão 1ª safra'!$E68:$Z68,MIN(Y$6-$E$3,22))),0))-IF($G$2,0,IF((Y$6-$G$3)&lt;1,0,IFERROR(LOOKUP(2,1/('Feijão 1ª safra'!$E68:INDEX('Feijão 1ª safra'!$E68:$Z68,MIN(Y$6-$G$3,22))&lt;&gt;""),'Feijão 1ª safra'!$E68:INDEX('Feijão 1ª safra'!$E68:$Z68,MIN(Y$6-$G$3,22))),0)))))</f>
        <v>0</v>
      </c>
      <c r="Z70" s="27" t="n">
        <f aca="false">IF(COUNT('Feijão 1ª safra'!$E68:$Z68)=0,0,MAX(0,IF((Z$6-$E$3)&lt;1,0,IFERROR(LOOKUP(2,1/('Feijão 1ª safra'!$E68:INDEX('Feijão 1ª safra'!$E68:$Z68,MIN(Z$6-$E$3,22))&lt;&gt;""),'Feijão 1ª safra'!$E68:INDEX('Feijão 1ª safra'!$E68:$Z68,MIN(Z$6-$E$3,22))),0))-IF($G$2,0,IF((Z$6-$G$3)&lt;1,0,IFERROR(LOOKUP(2,1/('Feijão 1ª safra'!$E68:INDEX('Feijão 1ª safra'!$E68:$Z68,MIN(Z$6-$G$3,22))&lt;&gt;""),'Feijão 1ª safra'!$E68:INDEX('Feijão 1ª safra'!$E68:$Z68,MIN(Z$6-$G$3,22))),0)))))</f>
        <v>0</v>
      </c>
      <c r="AA70" s="27" t="n">
        <f aca="false">IF(COUNT('Feijão 1ª safra'!$E68:$Z68)=0,0,MAX(0,IF((AA$6-$E$3)&lt;1,0,IFERROR(LOOKUP(2,1/('Feijão 1ª safra'!$E68:INDEX('Feijão 1ª safra'!$E68:$Z68,MIN(AA$6-$E$3,22))&lt;&gt;""),'Feijão 1ª safra'!$E68:INDEX('Feijão 1ª safra'!$E68:$Z68,MIN(AA$6-$E$3,22))),0))-IF($G$2,0,IF((AA$6-$G$3)&lt;1,0,IFERROR(LOOKUP(2,1/('Feijão 1ª safra'!$E68:INDEX('Feijão 1ª safra'!$E68:$Z68,MIN(AA$6-$G$3,22))&lt;&gt;""),'Feijão 1ª safra'!$E68:INDEX('Feijão 1ª safra'!$E68:$Z68,MIN(AA$6-$G$3,22))),0)))))</f>
        <v>0</v>
      </c>
      <c r="AB70" s="27" t="n">
        <f aca="false">IF(COUNT('Feijão 1ª safra'!$E68:$Z68)=0,0,MAX(0,IF((AB$6-$E$3)&lt;1,0,IFERROR(LOOKUP(2,1/('Feijão 1ª safra'!$E68:INDEX('Feijão 1ª safra'!$E68:$Z68,MIN(AB$6-$E$3,22))&lt;&gt;""),'Feijão 1ª safra'!$E68:INDEX('Feijão 1ª safra'!$E68:$Z68,MIN(AB$6-$E$3,22))),0))-IF($G$2,0,IF((AB$6-$G$3)&lt;1,0,IFERROR(LOOKUP(2,1/('Feijão 1ª safra'!$E68:INDEX('Feijão 1ª safra'!$E68:$Z68,MIN(AB$6-$G$3,22))&lt;&gt;""),'Feijão 1ª safra'!$E68:INDEX('Feijão 1ª safra'!$E68:$Z68,MIN(AB$6-$G$3,22))),0)))))</f>
        <v>0</v>
      </c>
      <c r="AC70" s="27" t="n">
        <f aca="false">IF(COUNT('Feijão 1ª safra'!$E68:$Z68)=0,0,MAX(0,IF((AC$6-$E$3)&lt;1,0,IFERROR(LOOKUP(2,1/('Feijão 1ª safra'!$E68:INDEX('Feijão 1ª safra'!$E68:$Z68,MIN(AC$6-$E$3,22))&lt;&gt;""),'Feijão 1ª safra'!$E68:INDEX('Feijão 1ª safra'!$E68:$Z68,MIN(AC$6-$E$3,22))),0))-IF($G$2,0,IF((AC$6-$G$3)&lt;1,0,IFERROR(LOOKUP(2,1/('Feijão 1ª safra'!$E68:INDEX('Feijão 1ª safra'!$E68:$Z68,MIN(AC$6-$G$3,22))&lt;&gt;""),'Feijão 1ª safra'!$E68:INDEX('Feijão 1ª safra'!$E68:$Z68,MIN(AC$6-$G$3,22))),0)))))</f>
        <v>0</v>
      </c>
      <c r="AD70" s="27" t="n">
        <f aca="false">IF(COUNT('Feijão 1ª safra'!$E68:$Z68)=0,0,MAX(0,IF((AD$6-$E$3)&lt;1,0,IFERROR(LOOKUP(2,1/('Feijão 1ª safra'!$E68:INDEX('Feijão 1ª safra'!$E68:$Z68,MIN(AD$6-$E$3,22))&lt;&gt;""),'Feijão 1ª safra'!$E68:INDEX('Feijão 1ª safra'!$E68:$Z68,MIN(AD$6-$E$3,22))),0))-IF($G$2,0,IF((AD$6-$G$3)&lt;1,0,IFERROR(LOOKUP(2,1/('Feijão 1ª safra'!$E68:INDEX('Feijão 1ª safra'!$E68:$Z68,MIN(AD$6-$G$3,22))&lt;&gt;""),'Feijão 1ª safra'!$E68:INDEX('Feijão 1ª safra'!$E68:$Z68,MIN(AD$6-$G$3,22))),0)))))</f>
        <v>0</v>
      </c>
      <c r="AE70" s="27" t="n">
        <f aca="false">IF(COUNT('Feijão 1ª safra'!$E68:$Z68)=0,0,MAX(0,IF((AE$6-$E$3)&lt;1,0,IFERROR(LOOKUP(2,1/('Feijão 1ª safra'!$E68:INDEX('Feijão 1ª safra'!$E68:$Z68,MIN(AE$6-$E$3,22))&lt;&gt;""),'Feijão 1ª safra'!$E68:INDEX('Feijão 1ª safra'!$E68:$Z68,MIN(AE$6-$E$3,22))),0))-IF($G$2,0,IF((AE$6-$G$3)&lt;1,0,IFERROR(LOOKUP(2,1/('Feijão 1ª safra'!$E68:INDEX('Feijão 1ª safra'!$E68:$Z68,MIN(AE$6-$G$3,22))&lt;&gt;""),'Feijão 1ª safra'!$E68:INDEX('Feijão 1ª safra'!$E68:$Z68,MIN(AE$6-$G$3,22))),0)))))</f>
        <v>0</v>
      </c>
      <c r="AF70" s="27" t="n">
        <f aca="false">IF(COUNT('Feijão 1ª safra'!$E68:$Z68)=0,0,MAX(0,IF((AF$6-$E$3)&lt;1,0,IFERROR(LOOKUP(2,1/('Feijão 1ª safra'!$E68:INDEX('Feijão 1ª safra'!$E68:$Z68,MIN(AF$6-$E$3,22))&lt;&gt;""),'Feijão 1ª safra'!$E68:INDEX('Feijão 1ª safra'!$E68:$Z68,MIN(AF$6-$E$3,22))),0))-IF($G$2,0,IF((AF$6-$G$3)&lt;1,0,IFERROR(LOOKUP(2,1/('Feijão 1ª safra'!$E68:INDEX('Feijão 1ª safra'!$E68:$Z68,MIN(AF$6-$G$3,22))&lt;&gt;""),'Feijão 1ª safra'!$E68:INDEX('Feijão 1ª safra'!$E68:$Z68,MIN(AF$6-$G$3,22))),0)))))</f>
        <v>0</v>
      </c>
      <c r="AG70" s="27" t="n">
        <f aca="false">IF(COUNT('Feijão 1ª safra'!$E68:$Z68)=0,0,MAX(0,IF((AG$6-$E$3)&lt;1,0,IFERROR(LOOKUP(2,1/('Feijão 1ª safra'!$E68:INDEX('Feijão 1ª safra'!$E68:$Z68,MIN(AG$6-$E$3,22))&lt;&gt;""),'Feijão 1ª safra'!$E68:INDEX('Feijão 1ª safra'!$E68:$Z68,MIN(AG$6-$E$3,22))),0))-IF($G$2,0,IF((AG$6-$G$3)&lt;1,0,IFERROR(LOOKUP(2,1/('Feijão 1ª safra'!$E68:INDEX('Feijão 1ª safra'!$E68:$Z68,MIN(AG$6-$G$3,22))&lt;&gt;""),'Feijão 1ª safra'!$E68:INDEX('Feijão 1ª safra'!$E68:$Z68,MIN(AG$6-$G$3,22))),0)))))</f>
        <v>0</v>
      </c>
      <c r="AH70" s="27" t="n">
        <f aca="false">IF(COUNT('Feijão 1ª safra'!$E68:$Z68)=0,0,MAX(0,IF((AH$6-$E$3)&lt;1,0,IFERROR(LOOKUP(2,1/('Feijão 1ª safra'!$E68:INDEX('Feijão 1ª safra'!$E68:$Z68,MIN(AH$6-$E$3,22))&lt;&gt;""),'Feijão 1ª safra'!$E68:INDEX('Feijão 1ª safra'!$E68:$Z68,MIN(AH$6-$E$3,22))),0))-IF($G$2,0,IF((AH$6-$G$3)&lt;1,0,IFERROR(LOOKUP(2,1/('Feijão 1ª safra'!$E68:INDEX('Feijão 1ª safra'!$E68:$Z68,MIN(AH$6-$G$3,22))&lt;&gt;""),'Feijão 1ª safra'!$E68:INDEX('Feijão 1ª safra'!$E68:$Z68,MIN(AH$6-$G$3,22))),0)))))</f>
        <v>0</v>
      </c>
      <c r="AI70" s="27" t="n">
        <f aca="false">IF(COUNT('Feijão 1ª safra'!$E68:$Z68)=0,0,MAX(0,IF((AI$6-$E$3)&lt;1,0,IFERROR(LOOKUP(2,1/('Feijão 1ª safra'!$E68:INDEX('Feijão 1ª safra'!$E68:$Z68,MIN(AI$6-$E$3,22))&lt;&gt;""),'Feijão 1ª safra'!$E68:INDEX('Feijão 1ª safra'!$E68:$Z68,MIN(AI$6-$E$3,22))),0))-IF($G$2,0,IF((AI$6-$G$3)&lt;1,0,IFERROR(LOOKUP(2,1/('Feijão 1ª safra'!$E68:INDEX('Feijão 1ª safra'!$E68:$Z68,MIN(AI$6-$G$3,22))&lt;&gt;""),'Feijão 1ª safra'!$E68:INDEX('Feijão 1ª safra'!$E68:$Z68,MIN(AI$6-$G$3,22))),0)))))</f>
        <v>0</v>
      </c>
      <c r="AJ70" s="27" t="n">
        <f aca="false">IF(COUNT('Feijão 1ª safra'!$E68:$Z68)=0,0,MAX(0,IF((AJ$6-$E$3)&lt;1,0,IFERROR(LOOKUP(2,1/('Feijão 1ª safra'!$E68:INDEX('Feijão 1ª safra'!$E68:$Z68,MIN(AJ$6-$E$3,22))&lt;&gt;""),'Feijão 1ª safra'!$E68:INDEX('Feijão 1ª safra'!$E68:$Z68,MIN(AJ$6-$E$3,22))),0))-IF($G$2,0,IF((AJ$6-$G$3)&lt;1,0,IFERROR(LOOKUP(2,1/('Feijão 1ª safra'!$E68:INDEX('Feijão 1ª safra'!$E68:$Z68,MIN(AJ$6-$G$3,22))&lt;&gt;""),'Feijão 1ª safra'!$E68:INDEX('Feijão 1ª safra'!$E68:$Z68,MIN(AJ$6-$G$3,22))),0)))))</f>
        <v>0</v>
      </c>
      <c r="AK70" s="27" t="n">
        <f aca="false">IF(COUNT('Feijão 1ª safra'!$E68:$Z68)=0,0,MAX(0,IF((AK$6-$E$3)&lt;1,0,IFERROR(LOOKUP(2,1/('Feijão 1ª safra'!$E68:INDEX('Feijão 1ª safra'!$E68:$Z68,MIN(AK$6-$E$3,22))&lt;&gt;""),'Feijão 1ª safra'!$E68:INDEX('Feijão 1ª safra'!$E68:$Z68,MIN(AK$6-$E$3,22))),0))-IF($G$2,0,IF((AK$6-$G$3)&lt;1,0,IFERROR(LOOKUP(2,1/('Feijão 1ª safra'!$E68:INDEX('Feijão 1ª safra'!$E68:$Z68,MIN(AK$6-$G$3,22))&lt;&gt;""),'Feijão 1ª safra'!$E68:INDEX('Feijão 1ª safra'!$E68:$Z68,MIN(AK$6-$G$3,22))),0)))))</f>
        <v>0</v>
      </c>
      <c r="AL70" s="27" t="n">
        <f aca="false">IF(COUNT('Feijão 1ª safra'!$E68:$Z68)=0,0,MAX(0,IF((AL$6-$E$3)&lt;1,0,IFERROR(LOOKUP(2,1/('Feijão 1ª safra'!$E68:INDEX('Feijão 1ª safra'!$E68:$Z68,MIN(AL$6-$E$3,22))&lt;&gt;""),'Feijão 1ª safra'!$E68:INDEX('Feijão 1ª safra'!$E68:$Z68,MIN(AL$6-$E$3,22))),0))-IF($G$2,0,IF((AL$6-$G$3)&lt;1,0,IFERROR(LOOKUP(2,1/('Feijão 1ª safra'!$E68:INDEX('Feijão 1ª safra'!$E68:$Z68,MIN(AL$6-$G$3,22))&lt;&gt;""),'Feijão 1ª safra'!$E68:INDEX('Feijão 1ª safra'!$E68:$Z68,MIN(AL$6-$G$3,22))),0)))))</f>
        <v>0</v>
      </c>
      <c r="AM70" s="27" t="n">
        <f aca="false">IF(COUNT('Feijão 1ª safra'!$E68:$Z68)=0,0,MAX(0,IF((AM$6-$E$3)&lt;1,0,IFERROR(LOOKUP(2,1/('Feijão 1ª safra'!$E68:INDEX('Feijão 1ª safra'!$E68:$Z68,MIN(AM$6-$E$3,22))&lt;&gt;""),'Feijão 1ª safra'!$E68:INDEX('Feijão 1ª safra'!$E68:$Z68,MIN(AM$6-$E$3,22))),0))-IF($G$2,0,IF((AM$6-$G$3)&lt;1,0,IFERROR(LOOKUP(2,1/('Feijão 1ª safra'!$E68:INDEX('Feijão 1ª safra'!$E68:$Z68,MIN(AM$6-$G$3,22))&lt;&gt;""),'Feijão 1ª safra'!$E68:INDEX('Feijão 1ª safra'!$E68:$Z68,MIN(AM$6-$G$3,22))),0)))))</f>
        <v>0</v>
      </c>
      <c r="AN70" s="27" t="n">
        <f aca="false">IF(COUNT('Feijão 1ª safra'!$E68:$Z68)=0,0,MAX(0,IF((AN$6-$E$3)&lt;1,0,IFERROR(LOOKUP(2,1/('Feijão 1ª safra'!$E68:INDEX('Feijão 1ª safra'!$E68:$Z68,MIN(AN$6-$E$3,22))&lt;&gt;""),'Feijão 1ª safra'!$E68:INDEX('Feijão 1ª safra'!$E68:$Z68,MIN(AN$6-$E$3,22))),0))-IF($G$2,0,IF((AN$6-$G$3)&lt;1,0,IFERROR(LOOKUP(2,1/('Feijão 1ª safra'!$E68:INDEX('Feijão 1ª safra'!$E68:$Z68,MIN(AN$6-$G$3,22))&lt;&gt;""),'Feijão 1ª safra'!$E68:INDEX('Feijão 1ª safra'!$E68:$Z68,MIN(AN$6-$G$3,22))),0)))))</f>
        <v>0</v>
      </c>
      <c r="AO70" s="27" t="n">
        <f aca="false">IF(COUNT('Feijão 1ª safra'!$E68:$Z68)=0,0,MAX(0,IF((AO$6-$E$3)&lt;1,0,IFERROR(LOOKUP(2,1/('Feijão 1ª safra'!$E68:INDEX('Feijão 1ª safra'!$E68:$Z68,MIN(AO$6-$E$3,22))&lt;&gt;""),'Feijão 1ª safra'!$E68:INDEX('Feijão 1ª safra'!$E68:$Z68,MIN(AO$6-$E$3,22))),0))-IF($G$2,0,IF((AO$6-$G$3)&lt;1,0,IFERROR(LOOKUP(2,1/('Feijão 1ª safra'!$E68:INDEX('Feijão 1ª safra'!$E68:$Z68,MIN(AO$6-$G$3,22))&lt;&gt;""),'Feijão 1ª safra'!$E68:INDEX('Feijão 1ª safra'!$E68:$Z68,MIN(AO$6-$G$3,22))),0)))))</f>
        <v>0</v>
      </c>
      <c r="AP70" s="27" t="n">
        <f aca="false">IF(COUNT('Feijão 1ª safra'!$E68:$Z68)=0,0,MAX(0,IF((AP$6-$E$3)&lt;1,0,IFERROR(LOOKUP(2,1/('Feijão 1ª safra'!$E68:INDEX('Feijão 1ª safra'!$E68:$Z68,MIN(AP$6-$E$3,22))&lt;&gt;""),'Feijão 1ª safra'!$E68:INDEX('Feijão 1ª safra'!$E68:$Z68,MIN(AP$6-$E$3,22))),0))-IF($G$2,0,IF((AP$6-$G$3)&lt;1,0,IFERROR(LOOKUP(2,1/('Feijão 1ª safra'!$E68:INDEX('Feijão 1ª safra'!$E68:$Z68,MIN(AP$6-$G$3,22))&lt;&gt;""),'Feijão 1ª safra'!$E68:INDEX('Feijão 1ª safra'!$E68:$Z68,MIN(AP$6-$G$3,22))),0)))))</f>
        <v>0</v>
      </c>
      <c r="AQ70" s="27" t="n">
        <f aca="false">IF(COUNT('Feijão 1ª safra'!$E68:$Z68)=0,0,MAX(0,IF((AQ$6-$E$3)&lt;1,0,IFERROR(LOOKUP(2,1/('Feijão 1ª safra'!$E68:INDEX('Feijão 1ª safra'!$E68:$Z68,MIN(AQ$6-$E$3,22))&lt;&gt;""),'Feijão 1ª safra'!$E68:INDEX('Feijão 1ª safra'!$E68:$Z68,MIN(AQ$6-$E$3,22))),0))-IF($G$2,0,IF((AQ$6-$G$3)&lt;1,0,IFERROR(LOOKUP(2,1/('Feijão 1ª safra'!$E68:INDEX('Feijão 1ª safra'!$E68:$Z68,MIN(AQ$6-$G$3,22))&lt;&gt;""),'Feijão 1ª safra'!$E68:INDEX('Feijão 1ª safra'!$E68:$Z68,MIN(AQ$6-$G$3,22))),0)))))</f>
        <v>0</v>
      </c>
      <c r="AR70" s="27" t="n">
        <f aca="false">IF(COUNT('Feijão 1ª safra'!$E68:$Z68)=0,0,MAX(0,IF((AR$6-$E$3)&lt;1,0,IFERROR(LOOKUP(2,1/('Feijão 1ª safra'!$E68:INDEX('Feijão 1ª safra'!$E68:$Z68,MIN(AR$6-$E$3,22))&lt;&gt;""),'Feijão 1ª safra'!$E68:INDEX('Feijão 1ª safra'!$E68:$Z68,MIN(AR$6-$E$3,22))),0))-IF($G$2,0,IF((AR$6-$G$3)&lt;1,0,IFERROR(LOOKUP(2,1/('Feijão 1ª safra'!$E68:INDEX('Feijão 1ª safra'!$E68:$Z68,MIN(AR$6-$G$3,22))&lt;&gt;""),'Feijão 1ª safra'!$E68:INDEX('Feijão 1ª safra'!$E68:$Z68,MIN(AR$6-$G$3,22))),0)))))</f>
        <v>0</v>
      </c>
      <c r="AS70" s="27" t="n">
        <f aca="false">IF(COUNT('Feijão 1ª safra'!$E68:$Z68)=0,0,MAX(0,IF((AS$6-$E$3)&lt;1,0,IFERROR(LOOKUP(2,1/('Feijão 1ª safra'!$E68:INDEX('Feijão 1ª safra'!$E68:$Z68,MIN(AS$6-$E$3,22))&lt;&gt;""),'Feijão 1ª safra'!$E68:INDEX('Feijão 1ª safra'!$E68:$Z68,MIN(AS$6-$E$3,22))),0))-IF($G$2,0,IF((AS$6-$G$3)&lt;1,0,IFERROR(LOOKUP(2,1/('Feijão 1ª safra'!$E68:INDEX('Feijão 1ª safra'!$E68:$Z68,MIN(AS$6-$G$3,22))&lt;&gt;""),'Feijão 1ª safra'!$E68:INDEX('Feijão 1ª safra'!$E68:$Z68,MIN(AS$6-$G$3,22))),0)))))</f>
        <v>0</v>
      </c>
      <c r="AT70" s="27" t="n">
        <f aca="false">IF(COUNT('Feijão 1ª safra'!$E68:$Z68)=0,0,MAX(0,IF((AT$6-$E$3)&lt;1,0,IFERROR(LOOKUP(2,1/('Feijão 1ª safra'!$E68:INDEX('Feijão 1ª safra'!$E68:$Z68,MIN(AT$6-$E$3,22))&lt;&gt;""),'Feijão 1ª safra'!$E68:INDEX('Feijão 1ª safra'!$E68:$Z68,MIN(AT$6-$E$3,22))),0))-IF($G$2,0,IF((AT$6-$G$3)&lt;1,0,IFERROR(LOOKUP(2,1/('Feijão 1ª safra'!$E68:INDEX('Feijão 1ª safra'!$E68:$Z68,MIN(AT$6-$G$3,22))&lt;&gt;""),'Feijão 1ª safra'!$E68:INDEX('Feijão 1ª safra'!$E68:$Z68,MIN(AT$6-$G$3,22))),0)))))</f>
        <v>0</v>
      </c>
      <c r="AU70" s="27" t="n">
        <f aca="false">IF(COUNT('Feijão 1ª safra'!$E68:$Z68)=0,0,MAX(0,IF((AU$6-$E$3)&lt;1,0,IFERROR(LOOKUP(2,1/('Feijão 1ª safra'!$E68:INDEX('Feijão 1ª safra'!$E68:$Z68,MIN(AU$6-$E$3,22))&lt;&gt;""),'Feijão 1ª safra'!$E68:INDEX('Feijão 1ª safra'!$E68:$Z68,MIN(AU$6-$E$3,22))),0))-IF($G$2,0,IF((AU$6-$G$3)&lt;1,0,IFERROR(LOOKUP(2,1/('Feijão 1ª safra'!$E68:INDEX('Feijão 1ª safra'!$E68:$Z68,MIN(AU$6-$G$3,22))&lt;&gt;""),'Feijão 1ª safra'!$E68:INDEX('Feijão 1ª safra'!$E68:$Z68,MIN(AU$6-$G$3,22))),0)))))</f>
        <v>0</v>
      </c>
      <c r="AV70" s="27" t="n">
        <f aca="false">IF(COUNT('Feijão 1ª safra'!$E68:$Z68)=0,0,MAX(0,IF((AV$6-$E$3)&lt;1,0,IFERROR(LOOKUP(2,1/('Feijão 1ª safra'!$E68:INDEX('Feijão 1ª safra'!$E68:$Z68,MIN(AV$6-$E$3,22))&lt;&gt;""),'Feijão 1ª safra'!$E68:INDEX('Feijão 1ª safra'!$E68:$Z68,MIN(AV$6-$E$3,22))),0))-IF($G$2,0,IF((AV$6-$G$3)&lt;1,0,IFERROR(LOOKUP(2,1/('Feijão 1ª safra'!$E68:INDEX('Feijão 1ª safra'!$E68:$Z68,MIN(AV$6-$G$3,22))&lt;&gt;""),'Feijão 1ª safra'!$E68:INDEX('Feijão 1ª safra'!$E68:$Z68,MIN(AV$6-$G$3,22))),0)))))</f>
        <v>0</v>
      </c>
      <c r="AW70" s="27" t="n">
        <f aca="false">IF(COUNT('Feijão 1ª safra'!$E68:$Z68)=0,0,MAX(0,IF((AW$6-$E$3)&lt;1,0,IFERROR(LOOKUP(2,1/('Feijão 1ª safra'!$E68:INDEX('Feijão 1ª safra'!$E68:$Z68,MIN(AW$6-$E$3,22))&lt;&gt;""),'Feijão 1ª safra'!$E68:INDEX('Feijão 1ª safra'!$E68:$Z68,MIN(AW$6-$E$3,22))),0))-IF($G$2,0,IF((AW$6-$G$3)&lt;1,0,IFERROR(LOOKUP(2,1/('Feijão 1ª safra'!$E68:INDEX('Feijão 1ª safra'!$E68:$Z68,MIN(AW$6-$G$3,22))&lt;&gt;""),'Feijão 1ª safra'!$E68:INDEX('Feijão 1ª safra'!$E68:$Z68,MIN(AW$6-$G$3,22))),0)))))</f>
        <v>0</v>
      </c>
      <c r="AX70" s="27" t="n">
        <f aca="false">IF(COUNT('Feijão 1ª safra'!$E68:$Z68)=0,0,MAX(0,IF((AX$6-$E$3)&lt;1,0,IFERROR(LOOKUP(2,1/('Feijão 1ª safra'!$E68:INDEX('Feijão 1ª safra'!$E68:$Z68,MIN(AX$6-$E$3,22))&lt;&gt;""),'Feijão 1ª safra'!$E68:INDEX('Feijão 1ª safra'!$E68:$Z68,MIN(AX$6-$E$3,22))),0))-IF($G$2,0,IF((AX$6-$G$3)&lt;1,0,IFERROR(LOOKUP(2,1/('Feijão 1ª safra'!$E68:INDEX('Feijão 1ª safra'!$E68:$Z68,MIN(AX$6-$G$3,22))&lt;&gt;""),'Feijão 1ª safra'!$E68:INDEX('Feijão 1ª safra'!$E68:$Z68,MIN(AX$6-$G$3,22))),0)))))</f>
        <v>0</v>
      </c>
      <c r="AY70" s="27" t="n">
        <f aca="false">IF(COUNT('Feijão 1ª safra'!$E68:$Z68)=0,0,MAX(0,IF((AY$6-$E$3)&lt;1,0,IFERROR(LOOKUP(2,1/('Feijão 1ª safra'!$E68:INDEX('Feijão 1ª safra'!$E68:$Z68,MIN(AY$6-$E$3,22))&lt;&gt;""),'Feijão 1ª safra'!$E68:INDEX('Feijão 1ª safra'!$E68:$Z68,MIN(AY$6-$E$3,22))),0))-IF($G$2,0,IF((AY$6-$G$3)&lt;1,0,IFERROR(LOOKUP(2,1/('Feijão 1ª safra'!$E68:INDEX('Feijão 1ª safra'!$E68:$Z68,MIN(AY$6-$G$3,22))&lt;&gt;""),'Feijão 1ª safra'!$E68:INDEX('Feijão 1ª safra'!$E68:$Z68,MIN(AY$6-$G$3,22))),0)))))</f>
        <v>0</v>
      </c>
      <c r="AZ70" s="27" t="n">
        <f aca="false">IF(COUNT('Feijão 1ª safra'!$E68:$Z68)=0,0,MAX(0,IF((AZ$6-$E$3)&lt;1,0,IFERROR(LOOKUP(2,1/('Feijão 1ª safra'!$E68:INDEX('Feijão 1ª safra'!$E68:$Z68,MIN(AZ$6-$E$3,22))&lt;&gt;""),'Feijão 1ª safra'!$E68:INDEX('Feijão 1ª safra'!$E68:$Z68,MIN(AZ$6-$E$3,22))),0))-IF($G$2,0,IF((AZ$6-$G$3)&lt;1,0,IFERROR(LOOKUP(2,1/('Feijão 1ª safra'!$E68:INDEX('Feijão 1ª safra'!$E68:$Z68,MIN(AZ$6-$G$3,22))&lt;&gt;""),'Feijão 1ª safra'!$E68:INDEX('Feijão 1ª safra'!$E68:$Z68,MIN(AZ$6-$G$3,22))),0)))))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IF(COUNT('Feijão 1ª safra'!$E69:$Z69)&gt;0,N('Feijão 1ª safra'!$D69),0)</f>
        <v>0</v>
      </c>
      <c r="E71" s="27" t="n">
        <f aca="false">IF(COUNT('Feijão 1ª safra'!$E69:$Z69)=0,0,MAX(0,IF((E$6-$E$3)&lt;1,0,IFERROR(LOOKUP(2,1/('Feijão 1ª safra'!$E69:INDEX('Feijão 1ª safra'!$E69:$Z69,MIN(E$6-$E$3,22))&lt;&gt;""),'Feijão 1ª safra'!$E69:INDEX('Feijão 1ª safra'!$E69:$Z69,MIN(E$6-$E$3,22))),0))-IF($G$2,0,IF((E$6-$G$3)&lt;1,0,IFERROR(LOOKUP(2,1/('Feijão 1ª safra'!$E69:INDEX('Feijão 1ª safra'!$E69:$Z69,MIN(E$6-$G$3,22))&lt;&gt;""),'Feijão 1ª safra'!$E69:INDEX('Feijão 1ª safra'!$E69:$Z69,MIN(E$6-$G$3,22))),0)))))</f>
        <v>0</v>
      </c>
      <c r="F71" s="27" t="n">
        <f aca="false">IF(COUNT('Feijão 1ª safra'!$E69:$Z69)=0,0,MAX(0,IF((F$6-$E$3)&lt;1,0,IFERROR(LOOKUP(2,1/('Feijão 1ª safra'!$E69:INDEX('Feijão 1ª safra'!$E69:$Z69,MIN(F$6-$E$3,22))&lt;&gt;""),'Feijão 1ª safra'!$E69:INDEX('Feijão 1ª safra'!$E69:$Z69,MIN(F$6-$E$3,22))),0))-IF($G$2,0,IF((F$6-$G$3)&lt;1,0,IFERROR(LOOKUP(2,1/('Feijão 1ª safra'!$E69:INDEX('Feijão 1ª safra'!$E69:$Z69,MIN(F$6-$G$3,22))&lt;&gt;""),'Feijão 1ª safra'!$E69:INDEX('Feijão 1ª safra'!$E69:$Z69,MIN(F$6-$G$3,22))),0)))))</f>
        <v>0</v>
      </c>
      <c r="G71" s="27" t="n">
        <f aca="false">IF(COUNT('Feijão 1ª safra'!$E69:$Z69)=0,0,MAX(0,IF((G$6-$E$3)&lt;1,0,IFERROR(LOOKUP(2,1/('Feijão 1ª safra'!$E69:INDEX('Feijão 1ª safra'!$E69:$Z69,MIN(G$6-$E$3,22))&lt;&gt;""),'Feijão 1ª safra'!$E69:INDEX('Feijão 1ª safra'!$E69:$Z69,MIN(G$6-$E$3,22))),0))-IF($G$2,0,IF((G$6-$G$3)&lt;1,0,IFERROR(LOOKUP(2,1/('Feijão 1ª safra'!$E69:INDEX('Feijão 1ª safra'!$E69:$Z69,MIN(G$6-$G$3,22))&lt;&gt;""),'Feijão 1ª safra'!$E69:INDEX('Feijão 1ª safra'!$E69:$Z69,MIN(G$6-$G$3,22))),0)))))</f>
        <v>0</v>
      </c>
      <c r="H71" s="27" t="n">
        <f aca="false">IF(COUNT('Feijão 1ª safra'!$E69:$Z69)=0,0,MAX(0,IF((H$6-$E$3)&lt;1,0,IFERROR(LOOKUP(2,1/('Feijão 1ª safra'!$E69:INDEX('Feijão 1ª safra'!$E69:$Z69,MIN(H$6-$E$3,22))&lt;&gt;""),'Feijão 1ª safra'!$E69:INDEX('Feijão 1ª safra'!$E69:$Z69,MIN(H$6-$E$3,22))),0))-IF($G$2,0,IF((H$6-$G$3)&lt;1,0,IFERROR(LOOKUP(2,1/('Feijão 1ª safra'!$E69:INDEX('Feijão 1ª safra'!$E69:$Z69,MIN(H$6-$G$3,22))&lt;&gt;""),'Feijão 1ª safra'!$E69:INDEX('Feijão 1ª safra'!$E69:$Z69,MIN(H$6-$G$3,22))),0)))))</f>
        <v>0</v>
      </c>
      <c r="I71" s="27" t="n">
        <f aca="false">IF(COUNT('Feijão 1ª safra'!$E69:$Z69)=0,0,MAX(0,IF((I$6-$E$3)&lt;1,0,IFERROR(LOOKUP(2,1/('Feijão 1ª safra'!$E69:INDEX('Feijão 1ª safra'!$E69:$Z69,MIN(I$6-$E$3,22))&lt;&gt;""),'Feijão 1ª safra'!$E69:INDEX('Feijão 1ª safra'!$E69:$Z69,MIN(I$6-$E$3,22))),0))-IF($G$2,0,IF((I$6-$G$3)&lt;1,0,IFERROR(LOOKUP(2,1/('Feijão 1ª safra'!$E69:INDEX('Feijão 1ª safra'!$E69:$Z69,MIN(I$6-$G$3,22))&lt;&gt;""),'Feijão 1ª safra'!$E69:INDEX('Feijão 1ª safra'!$E69:$Z69,MIN(I$6-$G$3,22))),0)))))</f>
        <v>0</v>
      </c>
      <c r="J71" s="27" t="n">
        <f aca="false">IF(COUNT('Feijão 1ª safra'!$E69:$Z69)=0,0,MAX(0,IF((J$6-$E$3)&lt;1,0,IFERROR(LOOKUP(2,1/('Feijão 1ª safra'!$E69:INDEX('Feijão 1ª safra'!$E69:$Z69,MIN(J$6-$E$3,22))&lt;&gt;""),'Feijão 1ª safra'!$E69:INDEX('Feijão 1ª safra'!$E69:$Z69,MIN(J$6-$E$3,22))),0))-IF($G$2,0,IF((J$6-$G$3)&lt;1,0,IFERROR(LOOKUP(2,1/('Feijão 1ª safra'!$E69:INDEX('Feijão 1ª safra'!$E69:$Z69,MIN(J$6-$G$3,22))&lt;&gt;""),'Feijão 1ª safra'!$E69:INDEX('Feijão 1ª safra'!$E69:$Z69,MIN(J$6-$G$3,22))),0)))))</f>
        <v>0</v>
      </c>
      <c r="K71" s="27" t="n">
        <f aca="false">IF(COUNT('Feijão 1ª safra'!$E69:$Z69)=0,0,MAX(0,IF((K$6-$E$3)&lt;1,0,IFERROR(LOOKUP(2,1/('Feijão 1ª safra'!$E69:INDEX('Feijão 1ª safra'!$E69:$Z69,MIN(K$6-$E$3,22))&lt;&gt;""),'Feijão 1ª safra'!$E69:INDEX('Feijão 1ª safra'!$E69:$Z69,MIN(K$6-$E$3,22))),0))-IF($G$2,0,IF((K$6-$G$3)&lt;1,0,IFERROR(LOOKUP(2,1/('Feijão 1ª safra'!$E69:INDEX('Feijão 1ª safra'!$E69:$Z69,MIN(K$6-$G$3,22))&lt;&gt;""),'Feijão 1ª safra'!$E69:INDEX('Feijão 1ª safra'!$E69:$Z69,MIN(K$6-$G$3,22))),0)))))</f>
        <v>0</v>
      </c>
      <c r="L71" s="27" t="n">
        <f aca="false">IF(COUNT('Feijão 1ª safra'!$E69:$Z69)=0,0,MAX(0,IF((L$6-$E$3)&lt;1,0,IFERROR(LOOKUP(2,1/('Feijão 1ª safra'!$E69:INDEX('Feijão 1ª safra'!$E69:$Z69,MIN(L$6-$E$3,22))&lt;&gt;""),'Feijão 1ª safra'!$E69:INDEX('Feijão 1ª safra'!$E69:$Z69,MIN(L$6-$E$3,22))),0))-IF($G$2,0,IF((L$6-$G$3)&lt;1,0,IFERROR(LOOKUP(2,1/('Feijão 1ª safra'!$E69:INDEX('Feijão 1ª safra'!$E69:$Z69,MIN(L$6-$G$3,22))&lt;&gt;""),'Feijão 1ª safra'!$E69:INDEX('Feijão 1ª safra'!$E69:$Z69,MIN(L$6-$G$3,22))),0)))))</f>
        <v>0</v>
      </c>
      <c r="M71" s="27" t="n">
        <f aca="false">IF(COUNT('Feijão 1ª safra'!$E69:$Z69)=0,0,MAX(0,IF((M$6-$E$3)&lt;1,0,IFERROR(LOOKUP(2,1/('Feijão 1ª safra'!$E69:INDEX('Feijão 1ª safra'!$E69:$Z69,MIN(M$6-$E$3,22))&lt;&gt;""),'Feijão 1ª safra'!$E69:INDEX('Feijão 1ª safra'!$E69:$Z69,MIN(M$6-$E$3,22))),0))-IF($G$2,0,IF((M$6-$G$3)&lt;1,0,IFERROR(LOOKUP(2,1/('Feijão 1ª safra'!$E69:INDEX('Feijão 1ª safra'!$E69:$Z69,MIN(M$6-$G$3,22))&lt;&gt;""),'Feijão 1ª safra'!$E69:INDEX('Feijão 1ª safra'!$E69:$Z69,MIN(M$6-$G$3,22))),0)))))</f>
        <v>0</v>
      </c>
      <c r="N71" s="27" t="n">
        <f aca="false">IF(COUNT('Feijão 1ª safra'!$E69:$Z69)=0,0,MAX(0,IF((N$6-$E$3)&lt;1,0,IFERROR(LOOKUP(2,1/('Feijão 1ª safra'!$E69:INDEX('Feijão 1ª safra'!$E69:$Z69,MIN(N$6-$E$3,22))&lt;&gt;""),'Feijão 1ª safra'!$E69:INDEX('Feijão 1ª safra'!$E69:$Z69,MIN(N$6-$E$3,22))),0))-IF($G$2,0,IF((N$6-$G$3)&lt;1,0,IFERROR(LOOKUP(2,1/('Feijão 1ª safra'!$E69:INDEX('Feijão 1ª safra'!$E69:$Z69,MIN(N$6-$G$3,22))&lt;&gt;""),'Feijão 1ª safra'!$E69:INDEX('Feijão 1ª safra'!$E69:$Z69,MIN(N$6-$G$3,22))),0)))))</f>
        <v>0</v>
      </c>
      <c r="O71" s="27" t="n">
        <f aca="false">IF(COUNT('Feijão 1ª safra'!$E69:$Z69)=0,0,MAX(0,IF((O$6-$E$3)&lt;1,0,IFERROR(LOOKUP(2,1/('Feijão 1ª safra'!$E69:INDEX('Feijão 1ª safra'!$E69:$Z69,MIN(O$6-$E$3,22))&lt;&gt;""),'Feijão 1ª safra'!$E69:INDEX('Feijão 1ª safra'!$E69:$Z69,MIN(O$6-$E$3,22))),0))-IF($G$2,0,IF((O$6-$G$3)&lt;1,0,IFERROR(LOOKUP(2,1/('Feijão 1ª safra'!$E69:INDEX('Feijão 1ª safra'!$E69:$Z69,MIN(O$6-$G$3,22))&lt;&gt;""),'Feijão 1ª safra'!$E69:INDEX('Feijão 1ª safra'!$E69:$Z69,MIN(O$6-$G$3,22))),0)))))</f>
        <v>0</v>
      </c>
      <c r="P71" s="27" t="n">
        <f aca="false">IF(COUNT('Feijão 1ª safra'!$E69:$Z69)=0,0,MAX(0,IF((P$6-$E$3)&lt;1,0,IFERROR(LOOKUP(2,1/('Feijão 1ª safra'!$E69:INDEX('Feijão 1ª safra'!$E69:$Z69,MIN(P$6-$E$3,22))&lt;&gt;""),'Feijão 1ª safra'!$E69:INDEX('Feijão 1ª safra'!$E69:$Z69,MIN(P$6-$E$3,22))),0))-IF($G$2,0,IF((P$6-$G$3)&lt;1,0,IFERROR(LOOKUP(2,1/('Feijão 1ª safra'!$E69:INDEX('Feijão 1ª safra'!$E69:$Z69,MIN(P$6-$G$3,22))&lt;&gt;""),'Feijão 1ª safra'!$E69:INDEX('Feijão 1ª safra'!$E69:$Z69,MIN(P$6-$G$3,22))),0)))))</f>
        <v>0</v>
      </c>
      <c r="Q71" s="27" t="n">
        <f aca="false">IF(COUNT('Feijão 1ª safra'!$E69:$Z69)=0,0,MAX(0,IF((Q$6-$E$3)&lt;1,0,IFERROR(LOOKUP(2,1/('Feijão 1ª safra'!$E69:INDEX('Feijão 1ª safra'!$E69:$Z69,MIN(Q$6-$E$3,22))&lt;&gt;""),'Feijão 1ª safra'!$E69:INDEX('Feijão 1ª safra'!$E69:$Z69,MIN(Q$6-$E$3,22))),0))-IF($G$2,0,IF((Q$6-$G$3)&lt;1,0,IFERROR(LOOKUP(2,1/('Feijão 1ª safra'!$E69:INDEX('Feijão 1ª safra'!$E69:$Z69,MIN(Q$6-$G$3,22))&lt;&gt;""),'Feijão 1ª safra'!$E69:INDEX('Feijão 1ª safra'!$E69:$Z69,MIN(Q$6-$G$3,22))),0)))))</f>
        <v>0</v>
      </c>
      <c r="R71" s="27" t="n">
        <f aca="false">IF(COUNT('Feijão 1ª safra'!$E69:$Z69)=0,0,MAX(0,IF((R$6-$E$3)&lt;1,0,IFERROR(LOOKUP(2,1/('Feijão 1ª safra'!$E69:INDEX('Feijão 1ª safra'!$E69:$Z69,MIN(R$6-$E$3,22))&lt;&gt;""),'Feijão 1ª safra'!$E69:INDEX('Feijão 1ª safra'!$E69:$Z69,MIN(R$6-$E$3,22))),0))-IF($G$2,0,IF((R$6-$G$3)&lt;1,0,IFERROR(LOOKUP(2,1/('Feijão 1ª safra'!$E69:INDEX('Feijão 1ª safra'!$E69:$Z69,MIN(R$6-$G$3,22))&lt;&gt;""),'Feijão 1ª safra'!$E69:INDEX('Feijão 1ª safra'!$E69:$Z69,MIN(R$6-$G$3,22))),0)))))</f>
        <v>0</v>
      </c>
      <c r="S71" s="27" t="n">
        <f aca="false">IF(COUNT('Feijão 1ª safra'!$E69:$Z69)=0,0,MAX(0,IF((S$6-$E$3)&lt;1,0,IFERROR(LOOKUP(2,1/('Feijão 1ª safra'!$E69:INDEX('Feijão 1ª safra'!$E69:$Z69,MIN(S$6-$E$3,22))&lt;&gt;""),'Feijão 1ª safra'!$E69:INDEX('Feijão 1ª safra'!$E69:$Z69,MIN(S$6-$E$3,22))),0))-IF($G$2,0,IF((S$6-$G$3)&lt;1,0,IFERROR(LOOKUP(2,1/('Feijão 1ª safra'!$E69:INDEX('Feijão 1ª safra'!$E69:$Z69,MIN(S$6-$G$3,22))&lt;&gt;""),'Feijão 1ª safra'!$E69:INDEX('Feijão 1ª safra'!$E69:$Z69,MIN(S$6-$G$3,22))),0)))))</f>
        <v>0</v>
      </c>
      <c r="T71" s="27" t="n">
        <f aca="false">IF(COUNT('Feijão 1ª safra'!$E69:$Z69)=0,0,MAX(0,IF((T$6-$E$3)&lt;1,0,IFERROR(LOOKUP(2,1/('Feijão 1ª safra'!$E69:INDEX('Feijão 1ª safra'!$E69:$Z69,MIN(T$6-$E$3,22))&lt;&gt;""),'Feijão 1ª safra'!$E69:INDEX('Feijão 1ª safra'!$E69:$Z69,MIN(T$6-$E$3,22))),0))-IF($G$2,0,IF((T$6-$G$3)&lt;1,0,IFERROR(LOOKUP(2,1/('Feijão 1ª safra'!$E69:INDEX('Feijão 1ª safra'!$E69:$Z69,MIN(T$6-$G$3,22))&lt;&gt;""),'Feijão 1ª safra'!$E69:INDEX('Feijão 1ª safra'!$E69:$Z69,MIN(T$6-$G$3,22))),0)))))</f>
        <v>0</v>
      </c>
      <c r="U71" s="27" t="n">
        <f aca="false">IF(COUNT('Feijão 1ª safra'!$E69:$Z69)=0,0,MAX(0,IF((U$6-$E$3)&lt;1,0,IFERROR(LOOKUP(2,1/('Feijão 1ª safra'!$E69:INDEX('Feijão 1ª safra'!$E69:$Z69,MIN(U$6-$E$3,22))&lt;&gt;""),'Feijão 1ª safra'!$E69:INDEX('Feijão 1ª safra'!$E69:$Z69,MIN(U$6-$E$3,22))),0))-IF($G$2,0,IF((U$6-$G$3)&lt;1,0,IFERROR(LOOKUP(2,1/('Feijão 1ª safra'!$E69:INDEX('Feijão 1ª safra'!$E69:$Z69,MIN(U$6-$G$3,22))&lt;&gt;""),'Feijão 1ª safra'!$E69:INDEX('Feijão 1ª safra'!$E69:$Z69,MIN(U$6-$G$3,22))),0)))))</f>
        <v>0</v>
      </c>
      <c r="V71" s="27" t="n">
        <f aca="false">IF(COUNT('Feijão 1ª safra'!$E69:$Z69)=0,0,MAX(0,IF((V$6-$E$3)&lt;1,0,IFERROR(LOOKUP(2,1/('Feijão 1ª safra'!$E69:INDEX('Feijão 1ª safra'!$E69:$Z69,MIN(V$6-$E$3,22))&lt;&gt;""),'Feijão 1ª safra'!$E69:INDEX('Feijão 1ª safra'!$E69:$Z69,MIN(V$6-$E$3,22))),0))-IF($G$2,0,IF((V$6-$G$3)&lt;1,0,IFERROR(LOOKUP(2,1/('Feijão 1ª safra'!$E69:INDEX('Feijão 1ª safra'!$E69:$Z69,MIN(V$6-$G$3,22))&lt;&gt;""),'Feijão 1ª safra'!$E69:INDEX('Feijão 1ª safra'!$E69:$Z69,MIN(V$6-$G$3,22))),0)))))</f>
        <v>0</v>
      </c>
      <c r="W71" s="27" t="n">
        <f aca="false">IF(COUNT('Feijão 1ª safra'!$E69:$Z69)=0,0,MAX(0,IF((W$6-$E$3)&lt;1,0,IFERROR(LOOKUP(2,1/('Feijão 1ª safra'!$E69:INDEX('Feijão 1ª safra'!$E69:$Z69,MIN(W$6-$E$3,22))&lt;&gt;""),'Feijão 1ª safra'!$E69:INDEX('Feijão 1ª safra'!$E69:$Z69,MIN(W$6-$E$3,22))),0))-IF($G$2,0,IF((W$6-$G$3)&lt;1,0,IFERROR(LOOKUP(2,1/('Feijão 1ª safra'!$E69:INDEX('Feijão 1ª safra'!$E69:$Z69,MIN(W$6-$G$3,22))&lt;&gt;""),'Feijão 1ª safra'!$E69:INDEX('Feijão 1ª safra'!$E69:$Z69,MIN(W$6-$G$3,22))),0)))))</f>
        <v>0</v>
      </c>
      <c r="X71" s="27" t="n">
        <f aca="false">IF(COUNT('Feijão 1ª safra'!$E69:$Z69)=0,0,MAX(0,IF((X$6-$E$3)&lt;1,0,IFERROR(LOOKUP(2,1/('Feijão 1ª safra'!$E69:INDEX('Feijão 1ª safra'!$E69:$Z69,MIN(X$6-$E$3,22))&lt;&gt;""),'Feijão 1ª safra'!$E69:INDEX('Feijão 1ª safra'!$E69:$Z69,MIN(X$6-$E$3,22))),0))-IF($G$2,0,IF((X$6-$G$3)&lt;1,0,IFERROR(LOOKUP(2,1/('Feijão 1ª safra'!$E69:INDEX('Feijão 1ª safra'!$E69:$Z69,MIN(X$6-$G$3,22))&lt;&gt;""),'Feijão 1ª safra'!$E69:INDEX('Feijão 1ª safra'!$E69:$Z69,MIN(X$6-$G$3,22))),0)))))</f>
        <v>0</v>
      </c>
      <c r="Y71" s="27" t="n">
        <f aca="false">IF(COUNT('Feijão 1ª safra'!$E69:$Z69)=0,0,MAX(0,IF((Y$6-$E$3)&lt;1,0,IFERROR(LOOKUP(2,1/('Feijão 1ª safra'!$E69:INDEX('Feijão 1ª safra'!$E69:$Z69,MIN(Y$6-$E$3,22))&lt;&gt;""),'Feijão 1ª safra'!$E69:INDEX('Feijão 1ª safra'!$E69:$Z69,MIN(Y$6-$E$3,22))),0))-IF($G$2,0,IF((Y$6-$G$3)&lt;1,0,IFERROR(LOOKUP(2,1/('Feijão 1ª safra'!$E69:INDEX('Feijão 1ª safra'!$E69:$Z69,MIN(Y$6-$G$3,22))&lt;&gt;""),'Feijão 1ª safra'!$E69:INDEX('Feijão 1ª safra'!$E69:$Z69,MIN(Y$6-$G$3,22))),0)))))</f>
        <v>0</v>
      </c>
      <c r="Z71" s="27" t="n">
        <f aca="false">IF(COUNT('Feijão 1ª safra'!$E69:$Z69)=0,0,MAX(0,IF((Z$6-$E$3)&lt;1,0,IFERROR(LOOKUP(2,1/('Feijão 1ª safra'!$E69:INDEX('Feijão 1ª safra'!$E69:$Z69,MIN(Z$6-$E$3,22))&lt;&gt;""),'Feijão 1ª safra'!$E69:INDEX('Feijão 1ª safra'!$E69:$Z69,MIN(Z$6-$E$3,22))),0))-IF($G$2,0,IF((Z$6-$G$3)&lt;1,0,IFERROR(LOOKUP(2,1/('Feijão 1ª safra'!$E69:INDEX('Feijão 1ª safra'!$E69:$Z69,MIN(Z$6-$G$3,22))&lt;&gt;""),'Feijão 1ª safra'!$E69:INDEX('Feijão 1ª safra'!$E69:$Z69,MIN(Z$6-$G$3,22))),0)))))</f>
        <v>0</v>
      </c>
      <c r="AA71" s="27" t="n">
        <f aca="false">IF(COUNT('Feijão 1ª safra'!$E69:$Z69)=0,0,MAX(0,IF((AA$6-$E$3)&lt;1,0,IFERROR(LOOKUP(2,1/('Feijão 1ª safra'!$E69:INDEX('Feijão 1ª safra'!$E69:$Z69,MIN(AA$6-$E$3,22))&lt;&gt;""),'Feijão 1ª safra'!$E69:INDEX('Feijão 1ª safra'!$E69:$Z69,MIN(AA$6-$E$3,22))),0))-IF($G$2,0,IF((AA$6-$G$3)&lt;1,0,IFERROR(LOOKUP(2,1/('Feijão 1ª safra'!$E69:INDEX('Feijão 1ª safra'!$E69:$Z69,MIN(AA$6-$G$3,22))&lt;&gt;""),'Feijão 1ª safra'!$E69:INDEX('Feijão 1ª safra'!$E69:$Z69,MIN(AA$6-$G$3,22))),0)))))</f>
        <v>0</v>
      </c>
      <c r="AB71" s="27" t="n">
        <f aca="false">IF(COUNT('Feijão 1ª safra'!$E69:$Z69)=0,0,MAX(0,IF((AB$6-$E$3)&lt;1,0,IFERROR(LOOKUP(2,1/('Feijão 1ª safra'!$E69:INDEX('Feijão 1ª safra'!$E69:$Z69,MIN(AB$6-$E$3,22))&lt;&gt;""),'Feijão 1ª safra'!$E69:INDEX('Feijão 1ª safra'!$E69:$Z69,MIN(AB$6-$E$3,22))),0))-IF($G$2,0,IF((AB$6-$G$3)&lt;1,0,IFERROR(LOOKUP(2,1/('Feijão 1ª safra'!$E69:INDEX('Feijão 1ª safra'!$E69:$Z69,MIN(AB$6-$G$3,22))&lt;&gt;""),'Feijão 1ª safra'!$E69:INDEX('Feijão 1ª safra'!$E69:$Z69,MIN(AB$6-$G$3,22))),0)))))</f>
        <v>0</v>
      </c>
      <c r="AC71" s="27" t="n">
        <f aca="false">IF(COUNT('Feijão 1ª safra'!$E69:$Z69)=0,0,MAX(0,IF((AC$6-$E$3)&lt;1,0,IFERROR(LOOKUP(2,1/('Feijão 1ª safra'!$E69:INDEX('Feijão 1ª safra'!$E69:$Z69,MIN(AC$6-$E$3,22))&lt;&gt;""),'Feijão 1ª safra'!$E69:INDEX('Feijão 1ª safra'!$E69:$Z69,MIN(AC$6-$E$3,22))),0))-IF($G$2,0,IF((AC$6-$G$3)&lt;1,0,IFERROR(LOOKUP(2,1/('Feijão 1ª safra'!$E69:INDEX('Feijão 1ª safra'!$E69:$Z69,MIN(AC$6-$G$3,22))&lt;&gt;""),'Feijão 1ª safra'!$E69:INDEX('Feijão 1ª safra'!$E69:$Z69,MIN(AC$6-$G$3,22))),0)))))</f>
        <v>0</v>
      </c>
      <c r="AD71" s="27" t="n">
        <f aca="false">IF(COUNT('Feijão 1ª safra'!$E69:$Z69)=0,0,MAX(0,IF((AD$6-$E$3)&lt;1,0,IFERROR(LOOKUP(2,1/('Feijão 1ª safra'!$E69:INDEX('Feijão 1ª safra'!$E69:$Z69,MIN(AD$6-$E$3,22))&lt;&gt;""),'Feijão 1ª safra'!$E69:INDEX('Feijão 1ª safra'!$E69:$Z69,MIN(AD$6-$E$3,22))),0))-IF($G$2,0,IF((AD$6-$G$3)&lt;1,0,IFERROR(LOOKUP(2,1/('Feijão 1ª safra'!$E69:INDEX('Feijão 1ª safra'!$E69:$Z69,MIN(AD$6-$G$3,22))&lt;&gt;""),'Feijão 1ª safra'!$E69:INDEX('Feijão 1ª safra'!$E69:$Z69,MIN(AD$6-$G$3,22))),0)))))</f>
        <v>0</v>
      </c>
      <c r="AE71" s="27" t="n">
        <f aca="false">IF(COUNT('Feijão 1ª safra'!$E69:$Z69)=0,0,MAX(0,IF((AE$6-$E$3)&lt;1,0,IFERROR(LOOKUP(2,1/('Feijão 1ª safra'!$E69:INDEX('Feijão 1ª safra'!$E69:$Z69,MIN(AE$6-$E$3,22))&lt;&gt;""),'Feijão 1ª safra'!$E69:INDEX('Feijão 1ª safra'!$E69:$Z69,MIN(AE$6-$E$3,22))),0))-IF($G$2,0,IF((AE$6-$G$3)&lt;1,0,IFERROR(LOOKUP(2,1/('Feijão 1ª safra'!$E69:INDEX('Feijão 1ª safra'!$E69:$Z69,MIN(AE$6-$G$3,22))&lt;&gt;""),'Feijão 1ª safra'!$E69:INDEX('Feijão 1ª safra'!$E69:$Z69,MIN(AE$6-$G$3,22))),0)))))</f>
        <v>0</v>
      </c>
      <c r="AF71" s="27" t="n">
        <f aca="false">IF(COUNT('Feijão 1ª safra'!$E69:$Z69)=0,0,MAX(0,IF((AF$6-$E$3)&lt;1,0,IFERROR(LOOKUP(2,1/('Feijão 1ª safra'!$E69:INDEX('Feijão 1ª safra'!$E69:$Z69,MIN(AF$6-$E$3,22))&lt;&gt;""),'Feijão 1ª safra'!$E69:INDEX('Feijão 1ª safra'!$E69:$Z69,MIN(AF$6-$E$3,22))),0))-IF($G$2,0,IF((AF$6-$G$3)&lt;1,0,IFERROR(LOOKUP(2,1/('Feijão 1ª safra'!$E69:INDEX('Feijão 1ª safra'!$E69:$Z69,MIN(AF$6-$G$3,22))&lt;&gt;""),'Feijão 1ª safra'!$E69:INDEX('Feijão 1ª safra'!$E69:$Z69,MIN(AF$6-$G$3,22))),0)))))</f>
        <v>0</v>
      </c>
      <c r="AG71" s="27" t="n">
        <f aca="false">IF(COUNT('Feijão 1ª safra'!$E69:$Z69)=0,0,MAX(0,IF((AG$6-$E$3)&lt;1,0,IFERROR(LOOKUP(2,1/('Feijão 1ª safra'!$E69:INDEX('Feijão 1ª safra'!$E69:$Z69,MIN(AG$6-$E$3,22))&lt;&gt;""),'Feijão 1ª safra'!$E69:INDEX('Feijão 1ª safra'!$E69:$Z69,MIN(AG$6-$E$3,22))),0))-IF($G$2,0,IF((AG$6-$G$3)&lt;1,0,IFERROR(LOOKUP(2,1/('Feijão 1ª safra'!$E69:INDEX('Feijão 1ª safra'!$E69:$Z69,MIN(AG$6-$G$3,22))&lt;&gt;""),'Feijão 1ª safra'!$E69:INDEX('Feijão 1ª safra'!$E69:$Z69,MIN(AG$6-$G$3,22))),0)))))</f>
        <v>0</v>
      </c>
      <c r="AH71" s="27" t="n">
        <f aca="false">IF(COUNT('Feijão 1ª safra'!$E69:$Z69)=0,0,MAX(0,IF((AH$6-$E$3)&lt;1,0,IFERROR(LOOKUP(2,1/('Feijão 1ª safra'!$E69:INDEX('Feijão 1ª safra'!$E69:$Z69,MIN(AH$6-$E$3,22))&lt;&gt;""),'Feijão 1ª safra'!$E69:INDEX('Feijão 1ª safra'!$E69:$Z69,MIN(AH$6-$E$3,22))),0))-IF($G$2,0,IF((AH$6-$G$3)&lt;1,0,IFERROR(LOOKUP(2,1/('Feijão 1ª safra'!$E69:INDEX('Feijão 1ª safra'!$E69:$Z69,MIN(AH$6-$G$3,22))&lt;&gt;""),'Feijão 1ª safra'!$E69:INDEX('Feijão 1ª safra'!$E69:$Z69,MIN(AH$6-$G$3,22))),0)))))</f>
        <v>0</v>
      </c>
      <c r="AI71" s="27" t="n">
        <f aca="false">IF(COUNT('Feijão 1ª safra'!$E69:$Z69)=0,0,MAX(0,IF((AI$6-$E$3)&lt;1,0,IFERROR(LOOKUP(2,1/('Feijão 1ª safra'!$E69:INDEX('Feijão 1ª safra'!$E69:$Z69,MIN(AI$6-$E$3,22))&lt;&gt;""),'Feijão 1ª safra'!$E69:INDEX('Feijão 1ª safra'!$E69:$Z69,MIN(AI$6-$E$3,22))),0))-IF($G$2,0,IF((AI$6-$G$3)&lt;1,0,IFERROR(LOOKUP(2,1/('Feijão 1ª safra'!$E69:INDEX('Feijão 1ª safra'!$E69:$Z69,MIN(AI$6-$G$3,22))&lt;&gt;""),'Feijão 1ª safra'!$E69:INDEX('Feijão 1ª safra'!$E69:$Z69,MIN(AI$6-$G$3,22))),0)))))</f>
        <v>0</v>
      </c>
      <c r="AJ71" s="27" t="n">
        <f aca="false">IF(COUNT('Feijão 1ª safra'!$E69:$Z69)=0,0,MAX(0,IF((AJ$6-$E$3)&lt;1,0,IFERROR(LOOKUP(2,1/('Feijão 1ª safra'!$E69:INDEX('Feijão 1ª safra'!$E69:$Z69,MIN(AJ$6-$E$3,22))&lt;&gt;""),'Feijão 1ª safra'!$E69:INDEX('Feijão 1ª safra'!$E69:$Z69,MIN(AJ$6-$E$3,22))),0))-IF($G$2,0,IF((AJ$6-$G$3)&lt;1,0,IFERROR(LOOKUP(2,1/('Feijão 1ª safra'!$E69:INDEX('Feijão 1ª safra'!$E69:$Z69,MIN(AJ$6-$G$3,22))&lt;&gt;""),'Feijão 1ª safra'!$E69:INDEX('Feijão 1ª safra'!$E69:$Z69,MIN(AJ$6-$G$3,22))),0)))))</f>
        <v>0</v>
      </c>
      <c r="AK71" s="27" t="n">
        <f aca="false">IF(COUNT('Feijão 1ª safra'!$E69:$Z69)=0,0,MAX(0,IF((AK$6-$E$3)&lt;1,0,IFERROR(LOOKUP(2,1/('Feijão 1ª safra'!$E69:INDEX('Feijão 1ª safra'!$E69:$Z69,MIN(AK$6-$E$3,22))&lt;&gt;""),'Feijão 1ª safra'!$E69:INDEX('Feijão 1ª safra'!$E69:$Z69,MIN(AK$6-$E$3,22))),0))-IF($G$2,0,IF((AK$6-$G$3)&lt;1,0,IFERROR(LOOKUP(2,1/('Feijão 1ª safra'!$E69:INDEX('Feijão 1ª safra'!$E69:$Z69,MIN(AK$6-$G$3,22))&lt;&gt;""),'Feijão 1ª safra'!$E69:INDEX('Feijão 1ª safra'!$E69:$Z69,MIN(AK$6-$G$3,22))),0)))))</f>
        <v>0</v>
      </c>
      <c r="AL71" s="27" t="n">
        <f aca="false">IF(COUNT('Feijão 1ª safra'!$E69:$Z69)=0,0,MAX(0,IF((AL$6-$E$3)&lt;1,0,IFERROR(LOOKUP(2,1/('Feijão 1ª safra'!$E69:INDEX('Feijão 1ª safra'!$E69:$Z69,MIN(AL$6-$E$3,22))&lt;&gt;""),'Feijão 1ª safra'!$E69:INDEX('Feijão 1ª safra'!$E69:$Z69,MIN(AL$6-$E$3,22))),0))-IF($G$2,0,IF((AL$6-$G$3)&lt;1,0,IFERROR(LOOKUP(2,1/('Feijão 1ª safra'!$E69:INDEX('Feijão 1ª safra'!$E69:$Z69,MIN(AL$6-$G$3,22))&lt;&gt;""),'Feijão 1ª safra'!$E69:INDEX('Feijão 1ª safra'!$E69:$Z69,MIN(AL$6-$G$3,22))),0)))))</f>
        <v>0</v>
      </c>
      <c r="AM71" s="27" t="n">
        <f aca="false">IF(COUNT('Feijão 1ª safra'!$E69:$Z69)=0,0,MAX(0,IF((AM$6-$E$3)&lt;1,0,IFERROR(LOOKUP(2,1/('Feijão 1ª safra'!$E69:INDEX('Feijão 1ª safra'!$E69:$Z69,MIN(AM$6-$E$3,22))&lt;&gt;""),'Feijão 1ª safra'!$E69:INDEX('Feijão 1ª safra'!$E69:$Z69,MIN(AM$6-$E$3,22))),0))-IF($G$2,0,IF((AM$6-$G$3)&lt;1,0,IFERROR(LOOKUP(2,1/('Feijão 1ª safra'!$E69:INDEX('Feijão 1ª safra'!$E69:$Z69,MIN(AM$6-$G$3,22))&lt;&gt;""),'Feijão 1ª safra'!$E69:INDEX('Feijão 1ª safra'!$E69:$Z69,MIN(AM$6-$G$3,22))),0)))))</f>
        <v>0</v>
      </c>
      <c r="AN71" s="27" t="n">
        <f aca="false">IF(COUNT('Feijão 1ª safra'!$E69:$Z69)=0,0,MAX(0,IF((AN$6-$E$3)&lt;1,0,IFERROR(LOOKUP(2,1/('Feijão 1ª safra'!$E69:INDEX('Feijão 1ª safra'!$E69:$Z69,MIN(AN$6-$E$3,22))&lt;&gt;""),'Feijão 1ª safra'!$E69:INDEX('Feijão 1ª safra'!$E69:$Z69,MIN(AN$6-$E$3,22))),0))-IF($G$2,0,IF((AN$6-$G$3)&lt;1,0,IFERROR(LOOKUP(2,1/('Feijão 1ª safra'!$E69:INDEX('Feijão 1ª safra'!$E69:$Z69,MIN(AN$6-$G$3,22))&lt;&gt;""),'Feijão 1ª safra'!$E69:INDEX('Feijão 1ª safra'!$E69:$Z69,MIN(AN$6-$G$3,22))),0)))))</f>
        <v>0</v>
      </c>
      <c r="AO71" s="27" t="n">
        <f aca="false">IF(COUNT('Feijão 1ª safra'!$E69:$Z69)=0,0,MAX(0,IF((AO$6-$E$3)&lt;1,0,IFERROR(LOOKUP(2,1/('Feijão 1ª safra'!$E69:INDEX('Feijão 1ª safra'!$E69:$Z69,MIN(AO$6-$E$3,22))&lt;&gt;""),'Feijão 1ª safra'!$E69:INDEX('Feijão 1ª safra'!$E69:$Z69,MIN(AO$6-$E$3,22))),0))-IF($G$2,0,IF((AO$6-$G$3)&lt;1,0,IFERROR(LOOKUP(2,1/('Feijão 1ª safra'!$E69:INDEX('Feijão 1ª safra'!$E69:$Z69,MIN(AO$6-$G$3,22))&lt;&gt;""),'Feijão 1ª safra'!$E69:INDEX('Feijão 1ª safra'!$E69:$Z69,MIN(AO$6-$G$3,22))),0)))))</f>
        <v>0</v>
      </c>
      <c r="AP71" s="27" t="n">
        <f aca="false">IF(COUNT('Feijão 1ª safra'!$E69:$Z69)=0,0,MAX(0,IF((AP$6-$E$3)&lt;1,0,IFERROR(LOOKUP(2,1/('Feijão 1ª safra'!$E69:INDEX('Feijão 1ª safra'!$E69:$Z69,MIN(AP$6-$E$3,22))&lt;&gt;""),'Feijão 1ª safra'!$E69:INDEX('Feijão 1ª safra'!$E69:$Z69,MIN(AP$6-$E$3,22))),0))-IF($G$2,0,IF((AP$6-$G$3)&lt;1,0,IFERROR(LOOKUP(2,1/('Feijão 1ª safra'!$E69:INDEX('Feijão 1ª safra'!$E69:$Z69,MIN(AP$6-$G$3,22))&lt;&gt;""),'Feijão 1ª safra'!$E69:INDEX('Feijão 1ª safra'!$E69:$Z69,MIN(AP$6-$G$3,22))),0)))))</f>
        <v>0</v>
      </c>
      <c r="AQ71" s="27" t="n">
        <f aca="false">IF(COUNT('Feijão 1ª safra'!$E69:$Z69)=0,0,MAX(0,IF((AQ$6-$E$3)&lt;1,0,IFERROR(LOOKUP(2,1/('Feijão 1ª safra'!$E69:INDEX('Feijão 1ª safra'!$E69:$Z69,MIN(AQ$6-$E$3,22))&lt;&gt;""),'Feijão 1ª safra'!$E69:INDEX('Feijão 1ª safra'!$E69:$Z69,MIN(AQ$6-$E$3,22))),0))-IF($G$2,0,IF((AQ$6-$G$3)&lt;1,0,IFERROR(LOOKUP(2,1/('Feijão 1ª safra'!$E69:INDEX('Feijão 1ª safra'!$E69:$Z69,MIN(AQ$6-$G$3,22))&lt;&gt;""),'Feijão 1ª safra'!$E69:INDEX('Feijão 1ª safra'!$E69:$Z69,MIN(AQ$6-$G$3,22))),0)))))</f>
        <v>0</v>
      </c>
      <c r="AR71" s="27" t="n">
        <f aca="false">IF(COUNT('Feijão 1ª safra'!$E69:$Z69)=0,0,MAX(0,IF((AR$6-$E$3)&lt;1,0,IFERROR(LOOKUP(2,1/('Feijão 1ª safra'!$E69:INDEX('Feijão 1ª safra'!$E69:$Z69,MIN(AR$6-$E$3,22))&lt;&gt;""),'Feijão 1ª safra'!$E69:INDEX('Feijão 1ª safra'!$E69:$Z69,MIN(AR$6-$E$3,22))),0))-IF($G$2,0,IF((AR$6-$G$3)&lt;1,0,IFERROR(LOOKUP(2,1/('Feijão 1ª safra'!$E69:INDEX('Feijão 1ª safra'!$E69:$Z69,MIN(AR$6-$G$3,22))&lt;&gt;""),'Feijão 1ª safra'!$E69:INDEX('Feijão 1ª safra'!$E69:$Z69,MIN(AR$6-$G$3,22))),0)))))</f>
        <v>0</v>
      </c>
      <c r="AS71" s="27" t="n">
        <f aca="false">IF(COUNT('Feijão 1ª safra'!$E69:$Z69)=0,0,MAX(0,IF((AS$6-$E$3)&lt;1,0,IFERROR(LOOKUP(2,1/('Feijão 1ª safra'!$E69:INDEX('Feijão 1ª safra'!$E69:$Z69,MIN(AS$6-$E$3,22))&lt;&gt;""),'Feijão 1ª safra'!$E69:INDEX('Feijão 1ª safra'!$E69:$Z69,MIN(AS$6-$E$3,22))),0))-IF($G$2,0,IF((AS$6-$G$3)&lt;1,0,IFERROR(LOOKUP(2,1/('Feijão 1ª safra'!$E69:INDEX('Feijão 1ª safra'!$E69:$Z69,MIN(AS$6-$G$3,22))&lt;&gt;""),'Feijão 1ª safra'!$E69:INDEX('Feijão 1ª safra'!$E69:$Z69,MIN(AS$6-$G$3,22))),0)))))</f>
        <v>0</v>
      </c>
      <c r="AT71" s="27" t="n">
        <f aca="false">IF(COUNT('Feijão 1ª safra'!$E69:$Z69)=0,0,MAX(0,IF((AT$6-$E$3)&lt;1,0,IFERROR(LOOKUP(2,1/('Feijão 1ª safra'!$E69:INDEX('Feijão 1ª safra'!$E69:$Z69,MIN(AT$6-$E$3,22))&lt;&gt;""),'Feijão 1ª safra'!$E69:INDEX('Feijão 1ª safra'!$E69:$Z69,MIN(AT$6-$E$3,22))),0))-IF($G$2,0,IF((AT$6-$G$3)&lt;1,0,IFERROR(LOOKUP(2,1/('Feijão 1ª safra'!$E69:INDEX('Feijão 1ª safra'!$E69:$Z69,MIN(AT$6-$G$3,22))&lt;&gt;""),'Feijão 1ª safra'!$E69:INDEX('Feijão 1ª safra'!$E69:$Z69,MIN(AT$6-$G$3,22))),0)))))</f>
        <v>0</v>
      </c>
      <c r="AU71" s="27" t="n">
        <f aca="false">IF(COUNT('Feijão 1ª safra'!$E69:$Z69)=0,0,MAX(0,IF((AU$6-$E$3)&lt;1,0,IFERROR(LOOKUP(2,1/('Feijão 1ª safra'!$E69:INDEX('Feijão 1ª safra'!$E69:$Z69,MIN(AU$6-$E$3,22))&lt;&gt;""),'Feijão 1ª safra'!$E69:INDEX('Feijão 1ª safra'!$E69:$Z69,MIN(AU$6-$E$3,22))),0))-IF($G$2,0,IF((AU$6-$G$3)&lt;1,0,IFERROR(LOOKUP(2,1/('Feijão 1ª safra'!$E69:INDEX('Feijão 1ª safra'!$E69:$Z69,MIN(AU$6-$G$3,22))&lt;&gt;""),'Feijão 1ª safra'!$E69:INDEX('Feijão 1ª safra'!$E69:$Z69,MIN(AU$6-$G$3,22))),0)))))</f>
        <v>0</v>
      </c>
      <c r="AV71" s="27" t="n">
        <f aca="false">IF(COUNT('Feijão 1ª safra'!$E69:$Z69)=0,0,MAX(0,IF((AV$6-$E$3)&lt;1,0,IFERROR(LOOKUP(2,1/('Feijão 1ª safra'!$E69:INDEX('Feijão 1ª safra'!$E69:$Z69,MIN(AV$6-$E$3,22))&lt;&gt;""),'Feijão 1ª safra'!$E69:INDEX('Feijão 1ª safra'!$E69:$Z69,MIN(AV$6-$E$3,22))),0))-IF($G$2,0,IF((AV$6-$G$3)&lt;1,0,IFERROR(LOOKUP(2,1/('Feijão 1ª safra'!$E69:INDEX('Feijão 1ª safra'!$E69:$Z69,MIN(AV$6-$G$3,22))&lt;&gt;""),'Feijão 1ª safra'!$E69:INDEX('Feijão 1ª safra'!$E69:$Z69,MIN(AV$6-$G$3,22))),0)))))</f>
        <v>0</v>
      </c>
      <c r="AW71" s="27" t="n">
        <f aca="false">IF(COUNT('Feijão 1ª safra'!$E69:$Z69)=0,0,MAX(0,IF((AW$6-$E$3)&lt;1,0,IFERROR(LOOKUP(2,1/('Feijão 1ª safra'!$E69:INDEX('Feijão 1ª safra'!$E69:$Z69,MIN(AW$6-$E$3,22))&lt;&gt;""),'Feijão 1ª safra'!$E69:INDEX('Feijão 1ª safra'!$E69:$Z69,MIN(AW$6-$E$3,22))),0))-IF($G$2,0,IF((AW$6-$G$3)&lt;1,0,IFERROR(LOOKUP(2,1/('Feijão 1ª safra'!$E69:INDEX('Feijão 1ª safra'!$E69:$Z69,MIN(AW$6-$G$3,22))&lt;&gt;""),'Feijão 1ª safra'!$E69:INDEX('Feijão 1ª safra'!$E69:$Z69,MIN(AW$6-$G$3,22))),0)))))</f>
        <v>0</v>
      </c>
      <c r="AX71" s="27" t="n">
        <f aca="false">IF(COUNT('Feijão 1ª safra'!$E69:$Z69)=0,0,MAX(0,IF((AX$6-$E$3)&lt;1,0,IFERROR(LOOKUP(2,1/('Feijão 1ª safra'!$E69:INDEX('Feijão 1ª safra'!$E69:$Z69,MIN(AX$6-$E$3,22))&lt;&gt;""),'Feijão 1ª safra'!$E69:INDEX('Feijão 1ª safra'!$E69:$Z69,MIN(AX$6-$E$3,22))),0))-IF($G$2,0,IF((AX$6-$G$3)&lt;1,0,IFERROR(LOOKUP(2,1/('Feijão 1ª safra'!$E69:INDEX('Feijão 1ª safra'!$E69:$Z69,MIN(AX$6-$G$3,22))&lt;&gt;""),'Feijão 1ª safra'!$E69:INDEX('Feijão 1ª safra'!$E69:$Z69,MIN(AX$6-$G$3,22))),0)))))</f>
        <v>0</v>
      </c>
      <c r="AY71" s="27" t="n">
        <f aca="false">IF(COUNT('Feijão 1ª safra'!$E69:$Z69)=0,0,MAX(0,IF((AY$6-$E$3)&lt;1,0,IFERROR(LOOKUP(2,1/('Feijão 1ª safra'!$E69:INDEX('Feijão 1ª safra'!$E69:$Z69,MIN(AY$6-$E$3,22))&lt;&gt;""),'Feijão 1ª safra'!$E69:INDEX('Feijão 1ª safra'!$E69:$Z69,MIN(AY$6-$E$3,22))),0))-IF($G$2,0,IF((AY$6-$G$3)&lt;1,0,IFERROR(LOOKUP(2,1/('Feijão 1ª safra'!$E69:INDEX('Feijão 1ª safra'!$E69:$Z69,MIN(AY$6-$G$3,22))&lt;&gt;""),'Feijão 1ª safra'!$E69:INDEX('Feijão 1ª safra'!$E69:$Z69,MIN(AY$6-$G$3,22))),0)))))</f>
        <v>0</v>
      </c>
      <c r="AZ71" s="27" t="n">
        <f aca="false">IF(COUNT('Feijão 1ª safra'!$E69:$Z69)=0,0,MAX(0,IF((AZ$6-$E$3)&lt;1,0,IFERROR(LOOKUP(2,1/('Feijão 1ª safra'!$E69:INDEX('Feijão 1ª safra'!$E69:$Z69,MIN(AZ$6-$E$3,22))&lt;&gt;""),'Feijão 1ª safra'!$E69:INDEX('Feijão 1ª safra'!$E69:$Z69,MIN(AZ$6-$E$3,22))),0))-IF($G$2,0,IF((AZ$6-$G$3)&lt;1,0,IFERROR(LOOKUP(2,1/('Feijão 1ª safra'!$E69:INDEX('Feijão 1ª safra'!$E69:$Z69,MIN(AZ$6-$G$3,22))&lt;&gt;""),'Feijão 1ª safra'!$E69:INDEX('Feijão 1ª safra'!$E69:$Z69,MIN(AZ$6-$G$3,22))),0)))))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IF(COUNT('Feijão 1ª safra'!$E70:$Z70)&gt;0,N('Feijão 1ª safra'!$D70),0)</f>
        <v>0</v>
      </c>
      <c r="E72" s="27" t="n">
        <f aca="false">IF(COUNT('Feijão 1ª safra'!$E70:$Z70)=0,0,MAX(0,IF((E$6-$E$3)&lt;1,0,IFERROR(LOOKUP(2,1/('Feijão 1ª safra'!$E70:INDEX('Feijão 1ª safra'!$E70:$Z70,MIN(E$6-$E$3,22))&lt;&gt;""),'Feijão 1ª safra'!$E70:INDEX('Feijão 1ª safra'!$E70:$Z70,MIN(E$6-$E$3,22))),0))-IF($G$2,0,IF((E$6-$G$3)&lt;1,0,IFERROR(LOOKUP(2,1/('Feijão 1ª safra'!$E70:INDEX('Feijão 1ª safra'!$E70:$Z70,MIN(E$6-$G$3,22))&lt;&gt;""),'Feijão 1ª safra'!$E70:INDEX('Feijão 1ª safra'!$E70:$Z70,MIN(E$6-$G$3,22))),0)))))</f>
        <v>0</v>
      </c>
      <c r="F72" s="27" t="n">
        <f aca="false">IF(COUNT('Feijão 1ª safra'!$E70:$Z70)=0,0,MAX(0,IF((F$6-$E$3)&lt;1,0,IFERROR(LOOKUP(2,1/('Feijão 1ª safra'!$E70:INDEX('Feijão 1ª safra'!$E70:$Z70,MIN(F$6-$E$3,22))&lt;&gt;""),'Feijão 1ª safra'!$E70:INDEX('Feijão 1ª safra'!$E70:$Z70,MIN(F$6-$E$3,22))),0))-IF($G$2,0,IF((F$6-$G$3)&lt;1,0,IFERROR(LOOKUP(2,1/('Feijão 1ª safra'!$E70:INDEX('Feijão 1ª safra'!$E70:$Z70,MIN(F$6-$G$3,22))&lt;&gt;""),'Feijão 1ª safra'!$E70:INDEX('Feijão 1ª safra'!$E70:$Z70,MIN(F$6-$G$3,22))),0)))))</f>
        <v>0</v>
      </c>
      <c r="G72" s="27" t="n">
        <f aca="false">IF(COUNT('Feijão 1ª safra'!$E70:$Z70)=0,0,MAX(0,IF((G$6-$E$3)&lt;1,0,IFERROR(LOOKUP(2,1/('Feijão 1ª safra'!$E70:INDEX('Feijão 1ª safra'!$E70:$Z70,MIN(G$6-$E$3,22))&lt;&gt;""),'Feijão 1ª safra'!$E70:INDEX('Feijão 1ª safra'!$E70:$Z70,MIN(G$6-$E$3,22))),0))-IF($G$2,0,IF((G$6-$G$3)&lt;1,0,IFERROR(LOOKUP(2,1/('Feijão 1ª safra'!$E70:INDEX('Feijão 1ª safra'!$E70:$Z70,MIN(G$6-$G$3,22))&lt;&gt;""),'Feijão 1ª safra'!$E70:INDEX('Feijão 1ª safra'!$E70:$Z70,MIN(G$6-$G$3,22))),0)))))</f>
        <v>0</v>
      </c>
      <c r="H72" s="27" t="n">
        <f aca="false">IF(COUNT('Feijão 1ª safra'!$E70:$Z70)=0,0,MAX(0,IF((H$6-$E$3)&lt;1,0,IFERROR(LOOKUP(2,1/('Feijão 1ª safra'!$E70:INDEX('Feijão 1ª safra'!$E70:$Z70,MIN(H$6-$E$3,22))&lt;&gt;""),'Feijão 1ª safra'!$E70:INDEX('Feijão 1ª safra'!$E70:$Z70,MIN(H$6-$E$3,22))),0))-IF($G$2,0,IF((H$6-$G$3)&lt;1,0,IFERROR(LOOKUP(2,1/('Feijão 1ª safra'!$E70:INDEX('Feijão 1ª safra'!$E70:$Z70,MIN(H$6-$G$3,22))&lt;&gt;""),'Feijão 1ª safra'!$E70:INDEX('Feijão 1ª safra'!$E70:$Z70,MIN(H$6-$G$3,22))),0)))))</f>
        <v>0</v>
      </c>
      <c r="I72" s="27" t="n">
        <f aca="false">IF(COUNT('Feijão 1ª safra'!$E70:$Z70)=0,0,MAX(0,IF((I$6-$E$3)&lt;1,0,IFERROR(LOOKUP(2,1/('Feijão 1ª safra'!$E70:INDEX('Feijão 1ª safra'!$E70:$Z70,MIN(I$6-$E$3,22))&lt;&gt;""),'Feijão 1ª safra'!$E70:INDEX('Feijão 1ª safra'!$E70:$Z70,MIN(I$6-$E$3,22))),0))-IF($G$2,0,IF((I$6-$G$3)&lt;1,0,IFERROR(LOOKUP(2,1/('Feijão 1ª safra'!$E70:INDEX('Feijão 1ª safra'!$E70:$Z70,MIN(I$6-$G$3,22))&lt;&gt;""),'Feijão 1ª safra'!$E70:INDEX('Feijão 1ª safra'!$E70:$Z70,MIN(I$6-$G$3,22))),0)))))</f>
        <v>0</v>
      </c>
      <c r="J72" s="27" t="n">
        <f aca="false">IF(COUNT('Feijão 1ª safra'!$E70:$Z70)=0,0,MAX(0,IF((J$6-$E$3)&lt;1,0,IFERROR(LOOKUP(2,1/('Feijão 1ª safra'!$E70:INDEX('Feijão 1ª safra'!$E70:$Z70,MIN(J$6-$E$3,22))&lt;&gt;""),'Feijão 1ª safra'!$E70:INDEX('Feijão 1ª safra'!$E70:$Z70,MIN(J$6-$E$3,22))),0))-IF($G$2,0,IF((J$6-$G$3)&lt;1,0,IFERROR(LOOKUP(2,1/('Feijão 1ª safra'!$E70:INDEX('Feijão 1ª safra'!$E70:$Z70,MIN(J$6-$G$3,22))&lt;&gt;""),'Feijão 1ª safra'!$E70:INDEX('Feijão 1ª safra'!$E70:$Z70,MIN(J$6-$G$3,22))),0)))))</f>
        <v>0</v>
      </c>
      <c r="K72" s="27" t="n">
        <f aca="false">IF(COUNT('Feijão 1ª safra'!$E70:$Z70)=0,0,MAX(0,IF((K$6-$E$3)&lt;1,0,IFERROR(LOOKUP(2,1/('Feijão 1ª safra'!$E70:INDEX('Feijão 1ª safra'!$E70:$Z70,MIN(K$6-$E$3,22))&lt;&gt;""),'Feijão 1ª safra'!$E70:INDEX('Feijão 1ª safra'!$E70:$Z70,MIN(K$6-$E$3,22))),0))-IF($G$2,0,IF((K$6-$G$3)&lt;1,0,IFERROR(LOOKUP(2,1/('Feijão 1ª safra'!$E70:INDEX('Feijão 1ª safra'!$E70:$Z70,MIN(K$6-$G$3,22))&lt;&gt;""),'Feijão 1ª safra'!$E70:INDEX('Feijão 1ª safra'!$E70:$Z70,MIN(K$6-$G$3,22))),0)))))</f>
        <v>0</v>
      </c>
      <c r="L72" s="27" t="n">
        <f aca="false">IF(COUNT('Feijão 1ª safra'!$E70:$Z70)=0,0,MAX(0,IF((L$6-$E$3)&lt;1,0,IFERROR(LOOKUP(2,1/('Feijão 1ª safra'!$E70:INDEX('Feijão 1ª safra'!$E70:$Z70,MIN(L$6-$E$3,22))&lt;&gt;""),'Feijão 1ª safra'!$E70:INDEX('Feijão 1ª safra'!$E70:$Z70,MIN(L$6-$E$3,22))),0))-IF($G$2,0,IF((L$6-$G$3)&lt;1,0,IFERROR(LOOKUP(2,1/('Feijão 1ª safra'!$E70:INDEX('Feijão 1ª safra'!$E70:$Z70,MIN(L$6-$G$3,22))&lt;&gt;""),'Feijão 1ª safra'!$E70:INDEX('Feijão 1ª safra'!$E70:$Z70,MIN(L$6-$G$3,22))),0)))))</f>
        <v>0</v>
      </c>
      <c r="M72" s="27" t="n">
        <f aca="false">IF(COUNT('Feijão 1ª safra'!$E70:$Z70)=0,0,MAX(0,IF((M$6-$E$3)&lt;1,0,IFERROR(LOOKUP(2,1/('Feijão 1ª safra'!$E70:INDEX('Feijão 1ª safra'!$E70:$Z70,MIN(M$6-$E$3,22))&lt;&gt;""),'Feijão 1ª safra'!$E70:INDEX('Feijão 1ª safra'!$E70:$Z70,MIN(M$6-$E$3,22))),0))-IF($G$2,0,IF((M$6-$G$3)&lt;1,0,IFERROR(LOOKUP(2,1/('Feijão 1ª safra'!$E70:INDEX('Feijão 1ª safra'!$E70:$Z70,MIN(M$6-$G$3,22))&lt;&gt;""),'Feijão 1ª safra'!$E70:INDEX('Feijão 1ª safra'!$E70:$Z70,MIN(M$6-$G$3,22))),0)))))</f>
        <v>0</v>
      </c>
      <c r="N72" s="27" t="n">
        <f aca="false">IF(COUNT('Feijão 1ª safra'!$E70:$Z70)=0,0,MAX(0,IF((N$6-$E$3)&lt;1,0,IFERROR(LOOKUP(2,1/('Feijão 1ª safra'!$E70:INDEX('Feijão 1ª safra'!$E70:$Z70,MIN(N$6-$E$3,22))&lt;&gt;""),'Feijão 1ª safra'!$E70:INDEX('Feijão 1ª safra'!$E70:$Z70,MIN(N$6-$E$3,22))),0))-IF($G$2,0,IF((N$6-$G$3)&lt;1,0,IFERROR(LOOKUP(2,1/('Feijão 1ª safra'!$E70:INDEX('Feijão 1ª safra'!$E70:$Z70,MIN(N$6-$G$3,22))&lt;&gt;""),'Feijão 1ª safra'!$E70:INDEX('Feijão 1ª safra'!$E70:$Z70,MIN(N$6-$G$3,22))),0)))))</f>
        <v>0</v>
      </c>
      <c r="O72" s="27" t="n">
        <f aca="false">IF(COUNT('Feijão 1ª safra'!$E70:$Z70)=0,0,MAX(0,IF((O$6-$E$3)&lt;1,0,IFERROR(LOOKUP(2,1/('Feijão 1ª safra'!$E70:INDEX('Feijão 1ª safra'!$E70:$Z70,MIN(O$6-$E$3,22))&lt;&gt;""),'Feijão 1ª safra'!$E70:INDEX('Feijão 1ª safra'!$E70:$Z70,MIN(O$6-$E$3,22))),0))-IF($G$2,0,IF((O$6-$G$3)&lt;1,0,IFERROR(LOOKUP(2,1/('Feijão 1ª safra'!$E70:INDEX('Feijão 1ª safra'!$E70:$Z70,MIN(O$6-$G$3,22))&lt;&gt;""),'Feijão 1ª safra'!$E70:INDEX('Feijão 1ª safra'!$E70:$Z70,MIN(O$6-$G$3,22))),0)))))</f>
        <v>0</v>
      </c>
      <c r="P72" s="27" t="n">
        <f aca="false">IF(COUNT('Feijão 1ª safra'!$E70:$Z70)=0,0,MAX(0,IF((P$6-$E$3)&lt;1,0,IFERROR(LOOKUP(2,1/('Feijão 1ª safra'!$E70:INDEX('Feijão 1ª safra'!$E70:$Z70,MIN(P$6-$E$3,22))&lt;&gt;""),'Feijão 1ª safra'!$E70:INDEX('Feijão 1ª safra'!$E70:$Z70,MIN(P$6-$E$3,22))),0))-IF($G$2,0,IF((P$6-$G$3)&lt;1,0,IFERROR(LOOKUP(2,1/('Feijão 1ª safra'!$E70:INDEX('Feijão 1ª safra'!$E70:$Z70,MIN(P$6-$G$3,22))&lt;&gt;""),'Feijão 1ª safra'!$E70:INDEX('Feijão 1ª safra'!$E70:$Z70,MIN(P$6-$G$3,22))),0)))))</f>
        <v>0</v>
      </c>
      <c r="Q72" s="27" t="n">
        <f aca="false">IF(COUNT('Feijão 1ª safra'!$E70:$Z70)=0,0,MAX(0,IF((Q$6-$E$3)&lt;1,0,IFERROR(LOOKUP(2,1/('Feijão 1ª safra'!$E70:INDEX('Feijão 1ª safra'!$E70:$Z70,MIN(Q$6-$E$3,22))&lt;&gt;""),'Feijão 1ª safra'!$E70:INDEX('Feijão 1ª safra'!$E70:$Z70,MIN(Q$6-$E$3,22))),0))-IF($G$2,0,IF((Q$6-$G$3)&lt;1,0,IFERROR(LOOKUP(2,1/('Feijão 1ª safra'!$E70:INDEX('Feijão 1ª safra'!$E70:$Z70,MIN(Q$6-$G$3,22))&lt;&gt;""),'Feijão 1ª safra'!$E70:INDEX('Feijão 1ª safra'!$E70:$Z70,MIN(Q$6-$G$3,22))),0)))))</f>
        <v>0</v>
      </c>
      <c r="R72" s="27" t="n">
        <f aca="false">IF(COUNT('Feijão 1ª safra'!$E70:$Z70)=0,0,MAX(0,IF((R$6-$E$3)&lt;1,0,IFERROR(LOOKUP(2,1/('Feijão 1ª safra'!$E70:INDEX('Feijão 1ª safra'!$E70:$Z70,MIN(R$6-$E$3,22))&lt;&gt;""),'Feijão 1ª safra'!$E70:INDEX('Feijão 1ª safra'!$E70:$Z70,MIN(R$6-$E$3,22))),0))-IF($G$2,0,IF((R$6-$G$3)&lt;1,0,IFERROR(LOOKUP(2,1/('Feijão 1ª safra'!$E70:INDEX('Feijão 1ª safra'!$E70:$Z70,MIN(R$6-$G$3,22))&lt;&gt;""),'Feijão 1ª safra'!$E70:INDEX('Feijão 1ª safra'!$E70:$Z70,MIN(R$6-$G$3,22))),0)))))</f>
        <v>0</v>
      </c>
      <c r="S72" s="27" t="n">
        <f aca="false">IF(COUNT('Feijão 1ª safra'!$E70:$Z70)=0,0,MAX(0,IF((S$6-$E$3)&lt;1,0,IFERROR(LOOKUP(2,1/('Feijão 1ª safra'!$E70:INDEX('Feijão 1ª safra'!$E70:$Z70,MIN(S$6-$E$3,22))&lt;&gt;""),'Feijão 1ª safra'!$E70:INDEX('Feijão 1ª safra'!$E70:$Z70,MIN(S$6-$E$3,22))),0))-IF($G$2,0,IF((S$6-$G$3)&lt;1,0,IFERROR(LOOKUP(2,1/('Feijão 1ª safra'!$E70:INDEX('Feijão 1ª safra'!$E70:$Z70,MIN(S$6-$G$3,22))&lt;&gt;""),'Feijão 1ª safra'!$E70:INDEX('Feijão 1ª safra'!$E70:$Z70,MIN(S$6-$G$3,22))),0)))))</f>
        <v>0</v>
      </c>
      <c r="T72" s="27" t="n">
        <f aca="false">IF(COUNT('Feijão 1ª safra'!$E70:$Z70)=0,0,MAX(0,IF((T$6-$E$3)&lt;1,0,IFERROR(LOOKUP(2,1/('Feijão 1ª safra'!$E70:INDEX('Feijão 1ª safra'!$E70:$Z70,MIN(T$6-$E$3,22))&lt;&gt;""),'Feijão 1ª safra'!$E70:INDEX('Feijão 1ª safra'!$E70:$Z70,MIN(T$6-$E$3,22))),0))-IF($G$2,0,IF((T$6-$G$3)&lt;1,0,IFERROR(LOOKUP(2,1/('Feijão 1ª safra'!$E70:INDEX('Feijão 1ª safra'!$E70:$Z70,MIN(T$6-$G$3,22))&lt;&gt;""),'Feijão 1ª safra'!$E70:INDEX('Feijão 1ª safra'!$E70:$Z70,MIN(T$6-$G$3,22))),0)))))</f>
        <v>0</v>
      </c>
      <c r="U72" s="27" t="n">
        <f aca="false">IF(COUNT('Feijão 1ª safra'!$E70:$Z70)=0,0,MAX(0,IF((U$6-$E$3)&lt;1,0,IFERROR(LOOKUP(2,1/('Feijão 1ª safra'!$E70:INDEX('Feijão 1ª safra'!$E70:$Z70,MIN(U$6-$E$3,22))&lt;&gt;""),'Feijão 1ª safra'!$E70:INDEX('Feijão 1ª safra'!$E70:$Z70,MIN(U$6-$E$3,22))),0))-IF($G$2,0,IF((U$6-$G$3)&lt;1,0,IFERROR(LOOKUP(2,1/('Feijão 1ª safra'!$E70:INDEX('Feijão 1ª safra'!$E70:$Z70,MIN(U$6-$G$3,22))&lt;&gt;""),'Feijão 1ª safra'!$E70:INDEX('Feijão 1ª safra'!$E70:$Z70,MIN(U$6-$G$3,22))),0)))))</f>
        <v>0</v>
      </c>
      <c r="V72" s="27" t="n">
        <f aca="false">IF(COUNT('Feijão 1ª safra'!$E70:$Z70)=0,0,MAX(0,IF((V$6-$E$3)&lt;1,0,IFERROR(LOOKUP(2,1/('Feijão 1ª safra'!$E70:INDEX('Feijão 1ª safra'!$E70:$Z70,MIN(V$6-$E$3,22))&lt;&gt;""),'Feijão 1ª safra'!$E70:INDEX('Feijão 1ª safra'!$E70:$Z70,MIN(V$6-$E$3,22))),0))-IF($G$2,0,IF((V$6-$G$3)&lt;1,0,IFERROR(LOOKUP(2,1/('Feijão 1ª safra'!$E70:INDEX('Feijão 1ª safra'!$E70:$Z70,MIN(V$6-$G$3,22))&lt;&gt;""),'Feijão 1ª safra'!$E70:INDEX('Feijão 1ª safra'!$E70:$Z70,MIN(V$6-$G$3,22))),0)))))</f>
        <v>0</v>
      </c>
      <c r="W72" s="27" t="n">
        <f aca="false">IF(COUNT('Feijão 1ª safra'!$E70:$Z70)=0,0,MAX(0,IF((W$6-$E$3)&lt;1,0,IFERROR(LOOKUP(2,1/('Feijão 1ª safra'!$E70:INDEX('Feijão 1ª safra'!$E70:$Z70,MIN(W$6-$E$3,22))&lt;&gt;""),'Feijão 1ª safra'!$E70:INDEX('Feijão 1ª safra'!$E70:$Z70,MIN(W$6-$E$3,22))),0))-IF($G$2,0,IF((W$6-$G$3)&lt;1,0,IFERROR(LOOKUP(2,1/('Feijão 1ª safra'!$E70:INDEX('Feijão 1ª safra'!$E70:$Z70,MIN(W$6-$G$3,22))&lt;&gt;""),'Feijão 1ª safra'!$E70:INDEX('Feijão 1ª safra'!$E70:$Z70,MIN(W$6-$G$3,22))),0)))))</f>
        <v>0</v>
      </c>
      <c r="X72" s="27" t="n">
        <f aca="false">IF(COUNT('Feijão 1ª safra'!$E70:$Z70)=0,0,MAX(0,IF((X$6-$E$3)&lt;1,0,IFERROR(LOOKUP(2,1/('Feijão 1ª safra'!$E70:INDEX('Feijão 1ª safra'!$E70:$Z70,MIN(X$6-$E$3,22))&lt;&gt;""),'Feijão 1ª safra'!$E70:INDEX('Feijão 1ª safra'!$E70:$Z70,MIN(X$6-$E$3,22))),0))-IF($G$2,0,IF((X$6-$G$3)&lt;1,0,IFERROR(LOOKUP(2,1/('Feijão 1ª safra'!$E70:INDEX('Feijão 1ª safra'!$E70:$Z70,MIN(X$6-$G$3,22))&lt;&gt;""),'Feijão 1ª safra'!$E70:INDEX('Feijão 1ª safra'!$E70:$Z70,MIN(X$6-$G$3,22))),0)))))</f>
        <v>0</v>
      </c>
      <c r="Y72" s="27" t="n">
        <f aca="false">IF(COUNT('Feijão 1ª safra'!$E70:$Z70)=0,0,MAX(0,IF((Y$6-$E$3)&lt;1,0,IFERROR(LOOKUP(2,1/('Feijão 1ª safra'!$E70:INDEX('Feijão 1ª safra'!$E70:$Z70,MIN(Y$6-$E$3,22))&lt;&gt;""),'Feijão 1ª safra'!$E70:INDEX('Feijão 1ª safra'!$E70:$Z70,MIN(Y$6-$E$3,22))),0))-IF($G$2,0,IF((Y$6-$G$3)&lt;1,0,IFERROR(LOOKUP(2,1/('Feijão 1ª safra'!$E70:INDEX('Feijão 1ª safra'!$E70:$Z70,MIN(Y$6-$G$3,22))&lt;&gt;""),'Feijão 1ª safra'!$E70:INDEX('Feijão 1ª safra'!$E70:$Z70,MIN(Y$6-$G$3,22))),0)))))</f>
        <v>0</v>
      </c>
      <c r="Z72" s="27" t="n">
        <f aca="false">IF(COUNT('Feijão 1ª safra'!$E70:$Z70)=0,0,MAX(0,IF((Z$6-$E$3)&lt;1,0,IFERROR(LOOKUP(2,1/('Feijão 1ª safra'!$E70:INDEX('Feijão 1ª safra'!$E70:$Z70,MIN(Z$6-$E$3,22))&lt;&gt;""),'Feijão 1ª safra'!$E70:INDEX('Feijão 1ª safra'!$E70:$Z70,MIN(Z$6-$E$3,22))),0))-IF($G$2,0,IF((Z$6-$G$3)&lt;1,0,IFERROR(LOOKUP(2,1/('Feijão 1ª safra'!$E70:INDEX('Feijão 1ª safra'!$E70:$Z70,MIN(Z$6-$G$3,22))&lt;&gt;""),'Feijão 1ª safra'!$E70:INDEX('Feijão 1ª safra'!$E70:$Z70,MIN(Z$6-$G$3,22))),0)))))</f>
        <v>0</v>
      </c>
      <c r="AA72" s="27" t="n">
        <f aca="false">IF(COUNT('Feijão 1ª safra'!$E70:$Z70)=0,0,MAX(0,IF((AA$6-$E$3)&lt;1,0,IFERROR(LOOKUP(2,1/('Feijão 1ª safra'!$E70:INDEX('Feijão 1ª safra'!$E70:$Z70,MIN(AA$6-$E$3,22))&lt;&gt;""),'Feijão 1ª safra'!$E70:INDEX('Feijão 1ª safra'!$E70:$Z70,MIN(AA$6-$E$3,22))),0))-IF($G$2,0,IF((AA$6-$G$3)&lt;1,0,IFERROR(LOOKUP(2,1/('Feijão 1ª safra'!$E70:INDEX('Feijão 1ª safra'!$E70:$Z70,MIN(AA$6-$G$3,22))&lt;&gt;""),'Feijão 1ª safra'!$E70:INDEX('Feijão 1ª safra'!$E70:$Z70,MIN(AA$6-$G$3,22))),0)))))</f>
        <v>0</v>
      </c>
      <c r="AB72" s="27" t="n">
        <f aca="false">IF(COUNT('Feijão 1ª safra'!$E70:$Z70)=0,0,MAX(0,IF((AB$6-$E$3)&lt;1,0,IFERROR(LOOKUP(2,1/('Feijão 1ª safra'!$E70:INDEX('Feijão 1ª safra'!$E70:$Z70,MIN(AB$6-$E$3,22))&lt;&gt;""),'Feijão 1ª safra'!$E70:INDEX('Feijão 1ª safra'!$E70:$Z70,MIN(AB$6-$E$3,22))),0))-IF($G$2,0,IF((AB$6-$G$3)&lt;1,0,IFERROR(LOOKUP(2,1/('Feijão 1ª safra'!$E70:INDEX('Feijão 1ª safra'!$E70:$Z70,MIN(AB$6-$G$3,22))&lt;&gt;""),'Feijão 1ª safra'!$E70:INDEX('Feijão 1ª safra'!$E70:$Z70,MIN(AB$6-$G$3,22))),0)))))</f>
        <v>0</v>
      </c>
      <c r="AC72" s="27" t="n">
        <f aca="false">IF(COUNT('Feijão 1ª safra'!$E70:$Z70)=0,0,MAX(0,IF((AC$6-$E$3)&lt;1,0,IFERROR(LOOKUP(2,1/('Feijão 1ª safra'!$E70:INDEX('Feijão 1ª safra'!$E70:$Z70,MIN(AC$6-$E$3,22))&lt;&gt;""),'Feijão 1ª safra'!$E70:INDEX('Feijão 1ª safra'!$E70:$Z70,MIN(AC$6-$E$3,22))),0))-IF($G$2,0,IF((AC$6-$G$3)&lt;1,0,IFERROR(LOOKUP(2,1/('Feijão 1ª safra'!$E70:INDEX('Feijão 1ª safra'!$E70:$Z70,MIN(AC$6-$G$3,22))&lt;&gt;""),'Feijão 1ª safra'!$E70:INDEX('Feijão 1ª safra'!$E70:$Z70,MIN(AC$6-$G$3,22))),0)))))</f>
        <v>0</v>
      </c>
      <c r="AD72" s="27" t="n">
        <f aca="false">IF(COUNT('Feijão 1ª safra'!$E70:$Z70)=0,0,MAX(0,IF((AD$6-$E$3)&lt;1,0,IFERROR(LOOKUP(2,1/('Feijão 1ª safra'!$E70:INDEX('Feijão 1ª safra'!$E70:$Z70,MIN(AD$6-$E$3,22))&lt;&gt;""),'Feijão 1ª safra'!$E70:INDEX('Feijão 1ª safra'!$E70:$Z70,MIN(AD$6-$E$3,22))),0))-IF($G$2,0,IF((AD$6-$G$3)&lt;1,0,IFERROR(LOOKUP(2,1/('Feijão 1ª safra'!$E70:INDEX('Feijão 1ª safra'!$E70:$Z70,MIN(AD$6-$G$3,22))&lt;&gt;""),'Feijão 1ª safra'!$E70:INDEX('Feijão 1ª safra'!$E70:$Z70,MIN(AD$6-$G$3,22))),0)))))</f>
        <v>0</v>
      </c>
      <c r="AE72" s="27" t="n">
        <f aca="false">IF(COUNT('Feijão 1ª safra'!$E70:$Z70)=0,0,MAX(0,IF((AE$6-$E$3)&lt;1,0,IFERROR(LOOKUP(2,1/('Feijão 1ª safra'!$E70:INDEX('Feijão 1ª safra'!$E70:$Z70,MIN(AE$6-$E$3,22))&lt;&gt;""),'Feijão 1ª safra'!$E70:INDEX('Feijão 1ª safra'!$E70:$Z70,MIN(AE$6-$E$3,22))),0))-IF($G$2,0,IF((AE$6-$G$3)&lt;1,0,IFERROR(LOOKUP(2,1/('Feijão 1ª safra'!$E70:INDEX('Feijão 1ª safra'!$E70:$Z70,MIN(AE$6-$G$3,22))&lt;&gt;""),'Feijão 1ª safra'!$E70:INDEX('Feijão 1ª safra'!$E70:$Z70,MIN(AE$6-$G$3,22))),0)))))</f>
        <v>0</v>
      </c>
      <c r="AF72" s="27" t="n">
        <f aca="false">IF(COUNT('Feijão 1ª safra'!$E70:$Z70)=0,0,MAX(0,IF((AF$6-$E$3)&lt;1,0,IFERROR(LOOKUP(2,1/('Feijão 1ª safra'!$E70:INDEX('Feijão 1ª safra'!$E70:$Z70,MIN(AF$6-$E$3,22))&lt;&gt;""),'Feijão 1ª safra'!$E70:INDEX('Feijão 1ª safra'!$E70:$Z70,MIN(AF$6-$E$3,22))),0))-IF($G$2,0,IF((AF$6-$G$3)&lt;1,0,IFERROR(LOOKUP(2,1/('Feijão 1ª safra'!$E70:INDEX('Feijão 1ª safra'!$E70:$Z70,MIN(AF$6-$G$3,22))&lt;&gt;""),'Feijão 1ª safra'!$E70:INDEX('Feijão 1ª safra'!$E70:$Z70,MIN(AF$6-$G$3,22))),0)))))</f>
        <v>0</v>
      </c>
      <c r="AG72" s="27" t="n">
        <f aca="false">IF(COUNT('Feijão 1ª safra'!$E70:$Z70)=0,0,MAX(0,IF((AG$6-$E$3)&lt;1,0,IFERROR(LOOKUP(2,1/('Feijão 1ª safra'!$E70:INDEX('Feijão 1ª safra'!$E70:$Z70,MIN(AG$6-$E$3,22))&lt;&gt;""),'Feijão 1ª safra'!$E70:INDEX('Feijão 1ª safra'!$E70:$Z70,MIN(AG$6-$E$3,22))),0))-IF($G$2,0,IF((AG$6-$G$3)&lt;1,0,IFERROR(LOOKUP(2,1/('Feijão 1ª safra'!$E70:INDEX('Feijão 1ª safra'!$E70:$Z70,MIN(AG$6-$G$3,22))&lt;&gt;""),'Feijão 1ª safra'!$E70:INDEX('Feijão 1ª safra'!$E70:$Z70,MIN(AG$6-$G$3,22))),0)))))</f>
        <v>0</v>
      </c>
      <c r="AH72" s="27" t="n">
        <f aca="false">IF(COUNT('Feijão 1ª safra'!$E70:$Z70)=0,0,MAX(0,IF((AH$6-$E$3)&lt;1,0,IFERROR(LOOKUP(2,1/('Feijão 1ª safra'!$E70:INDEX('Feijão 1ª safra'!$E70:$Z70,MIN(AH$6-$E$3,22))&lt;&gt;""),'Feijão 1ª safra'!$E70:INDEX('Feijão 1ª safra'!$E70:$Z70,MIN(AH$6-$E$3,22))),0))-IF($G$2,0,IF((AH$6-$G$3)&lt;1,0,IFERROR(LOOKUP(2,1/('Feijão 1ª safra'!$E70:INDEX('Feijão 1ª safra'!$E70:$Z70,MIN(AH$6-$G$3,22))&lt;&gt;""),'Feijão 1ª safra'!$E70:INDEX('Feijão 1ª safra'!$E70:$Z70,MIN(AH$6-$G$3,22))),0)))))</f>
        <v>0</v>
      </c>
      <c r="AI72" s="27" t="n">
        <f aca="false">IF(COUNT('Feijão 1ª safra'!$E70:$Z70)=0,0,MAX(0,IF((AI$6-$E$3)&lt;1,0,IFERROR(LOOKUP(2,1/('Feijão 1ª safra'!$E70:INDEX('Feijão 1ª safra'!$E70:$Z70,MIN(AI$6-$E$3,22))&lt;&gt;""),'Feijão 1ª safra'!$E70:INDEX('Feijão 1ª safra'!$E70:$Z70,MIN(AI$6-$E$3,22))),0))-IF($G$2,0,IF((AI$6-$G$3)&lt;1,0,IFERROR(LOOKUP(2,1/('Feijão 1ª safra'!$E70:INDEX('Feijão 1ª safra'!$E70:$Z70,MIN(AI$6-$G$3,22))&lt;&gt;""),'Feijão 1ª safra'!$E70:INDEX('Feijão 1ª safra'!$E70:$Z70,MIN(AI$6-$G$3,22))),0)))))</f>
        <v>0</v>
      </c>
      <c r="AJ72" s="27" t="n">
        <f aca="false">IF(COUNT('Feijão 1ª safra'!$E70:$Z70)=0,0,MAX(0,IF((AJ$6-$E$3)&lt;1,0,IFERROR(LOOKUP(2,1/('Feijão 1ª safra'!$E70:INDEX('Feijão 1ª safra'!$E70:$Z70,MIN(AJ$6-$E$3,22))&lt;&gt;""),'Feijão 1ª safra'!$E70:INDEX('Feijão 1ª safra'!$E70:$Z70,MIN(AJ$6-$E$3,22))),0))-IF($G$2,0,IF((AJ$6-$G$3)&lt;1,0,IFERROR(LOOKUP(2,1/('Feijão 1ª safra'!$E70:INDEX('Feijão 1ª safra'!$E70:$Z70,MIN(AJ$6-$G$3,22))&lt;&gt;""),'Feijão 1ª safra'!$E70:INDEX('Feijão 1ª safra'!$E70:$Z70,MIN(AJ$6-$G$3,22))),0)))))</f>
        <v>0</v>
      </c>
      <c r="AK72" s="27" t="n">
        <f aca="false">IF(COUNT('Feijão 1ª safra'!$E70:$Z70)=0,0,MAX(0,IF((AK$6-$E$3)&lt;1,0,IFERROR(LOOKUP(2,1/('Feijão 1ª safra'!$E70:INDEX('Feijão 1ª safra'!$E70:$Z70,MIN(AK$6-$E$3,22))&lt;&gt;""),'Feijão 1ª safra'!$E70:INDEX('Feijão 1ª safra'!$E70:$Z70,MIN(AK$6-$E$3,22))),0))-IF($G$2,0,IF((AK$6-$G$3)&lt;1,0,IFERROR(LOOKUP(2,1/('Feijão 1ª safra'!$E70:INDEX('Feijão 1ª safra'!$E70:$Z70,MIN(AK$6-$G$3,22))&lt;&gt;""),'Feijão 1ª safra'!$E70:INDEX('Feijão 1ª safra'!$E70:$Z70,MIN(AK$6-$G$3,22))),0)))))</f>
        <v>0</v>
      </c>
      <c r="AL72" s="27" t="n">
        <f aca="false">IF(COUNT('Feijão 1ª safra'!$E70:$Z70)=0,0,MAX(0,IF((AL$6-$E$3)&lt;1,0,IFERROR(LOOKUP(2,1/('Feijão 1ª safra'!$E70:INDEX('Feijão 1ª safra'!$E70:$Z70,MIN(AL$6-$E$3,22))&lt;&gt;""),'Feijão 1ª safra'!$E70:INDEX('Feijão 1ª safra'!$E70:$Z70,MIN(AL$6-$E$3,22))),0))-IF($G$2,0,IF((AL$6-$G$3)&lt;1,0,IFERROR(LOOKUP(2,1/('Feijão 1ª safra'!$E70:INDEX('Feijão 1ª safra'!$E70:$Z70,MIN(AL$6-$G$3,22))&lt;&gt;""),'Feijão 1ª safra'!$E70:INDEX('Feijão 1ª safra'!$E70:$Z70,MIN(AL$6-$G$3,22))),0)))))</f>
        <v>0</v>
      </c>
      <c r="AM72" s="27" t="n">
        <f aca="false">IF(COUNT('Feijão 1ª safra'!$E70:$Z70)=0,0,MAX(0,IF((AM$6-$E$3)&lt;1,0,IFERROR(LOOKUP(2,1/('Feijão 1ª safra'!$E70:INDEX('Feijão 1ª safra'!$E70:$Z70,MIN(AM$6-$E$3,22))&lt;&gt;""),'Feijão 1ª safra'!$E70:INDEX('Feijão 1ª safra'!$E70:$Z70,MIN(AM$6-$E$3,22))),0))-IF($G$2,0,IF((AM$6-$G$3)&lt;1,0,IFERROR(LOOKUP(2,1/('Feijão 1ª safra'!$E70:INDEX('Feijão 1ª safra'!$E70:$Z70,MIN(AM$6-$G$3,22))&lt;&gt;""),'Feijão 1ª safra'!$E70:INDEX('Feijão 1ª safra'!$E70:$Z70,MIN(AM$6-$G$3,22))),0)))))</f>
        <v>0</v>
      </c>
      <c r="AN72" s="27" t="n">
        <f aca="false">IF(COUNT('Feijão 1ª safra'!$E70:$Z70)=0,0,MAX(0,IF((AN$6-$E$3)&lt;1,0,IFERROR(LOOKUP(2,1/('Feijão 1ª safra'!$E70:INDEX('Feijão 1ª safra'!$E70:$Z70,MIN(AN$6-$E$3,22))&lt;&gt;""),'Feijão 1ª safra'!$E70:INDEX('Feijão 1ª safra'!$E70:$Z70,MIN(AN$6-$E$3,22))),0))-IF($G$2,0,IF((AN$6-$G$3)&lt;1,0,IFERROR(LOOKUP(2,1/('Feijão 1ª safra'!$E70:INDEX('Feijão 1ª safra'!$E70:$Z70,MIN(AN$6-$G$3,22))&lt;&gt;""),'Feijão 1ª safra'!$E70:INDEX('Feijão 1ª safra'!$E70:$Z70,MIN(AN$6-$G$3,22))),0)))))</f>
        <v>0</v>
      </c>
      <c r="AO72" s="27" t="n">
        <f aca="false">IF(COUNT('Feijão 1ª safra'!$E70:$Z70)=0,0,MAX(0,IF((AO$6-$E$3)&lt;1,0,IFERROR(LOOKUP(2,1/('Feijão 1ª safra'!$E70:INDEX('Feijão 1ª safra'!$E70:$Z70,MIN(AO$6-$E$3,22))&lt;&gt;""),'Feijão 1ª safra'!$E70:INDEX('Feijão 1ª safra'!$E70:$Z70,MIN(AO$6-$E$3,22))),0))-IF($G$2,0,IF((AO$6-$G$3)&lt;1,0,IFERROR(LOOKUP(2,1/('Feijão 1ª safra'!$E70:INDEX('Feijão 1ª safra'!$E70:$Z70,MIN(AO$6-$G$3,22))&lt;&gt;""),'Feijão 1ª safra'!$E70:INDEX('Feijão 1ª safra'!$E70:$Z70,MIN(AO$6-$G$3,22))),0)))))</f>
        <v>0</v>
      </c>
      <c r="AP72" s="27" t="n">
        <f aca="false">IF(COUNT('Feijão 1ª safra'!$E70:$Z70)=0,0,MAX(0,IF((AP$6-$E$3)&lt;1,0,IFERROR(LOOKUP(2,1/('Feijão 1ª safra'!$E70:INDEX('Feijão 1ª safra'!$E70:$Z70,MIN(AP$6-$E$3,22))&lt;&gt;""),'Feijão 1ª safra'!$E70:INDEX('Feijão 1ª safra'!$E70:$Z70,MIN(AP$6-$E$3,22))),0))-IF($G$2,0,IF((AP$6-$G$3)&lt;1,0,IFERROR(LOOKUP(2,1/('Feijão 1ª safra'!$E70:INDEX('Feijão 1ª safra'!$E70:$Z70,MIN(AP$6-$G$3,22))&lt;&gt;""),'Feijão 1ª safra'!$E70:INDEX('Feijão 1ª safra'!$E70:$Z70,MIN(AP$6-$G$3,22))),0)))))</f>
        <v>0</v>
      </c>
      <c r="AQ72" s="27" t="n">
        <f aca="false">IF(COUNT('Feijão 1ª safra'!$E70:$Z70)=0,0,MAX(0,IF((AQ$6-$E$3)&lt;1,0,IFERROR(LOOKUP(2,1/('Feijão 1ª safra'!$E70:INDEX('Feijão 1ª safra'!$E70:$Z70,MIN(AQ$6-$E$3,22))&lt;&gt;""),'Feijão 1ª safra'!$E70:INDEX('Feijão 1ª safra'!$E70:$Z70,MIN(AQ$6-$E$3,22))),0))-IF($G$2,0,IF((AQ$6-$G$3)&lt;1,0,IFERROR(LOOKUP(2,1/('Feijão 1ª safra'!$E70:INDEX('Feijão 1ª safra'!$E70:$Z70,MIN(AQ$6-$G$3,22))&lt;&gt;""),'Feijão 1ª safra'!$E70:INDEX('Feijão 1ª safra'!$E70:$Z70,MIN(AQ$6-$G$3,22))),0)))))</f>
        <v>0</v>
      </c>
      <c r="AR72" s="27" t="n">
        <f aca="false">IF(COUNT('Feijão 1ª safra'!$E70:$Z70)=0,0,MAX(0,IF((AR$6-$E$3)&lt;1,0,IFERROR(LOOKUP(2,1/('Feijão 1ª safra'!$E70:INDEX('Feijão 1ª safra'!$E70:$Z70,MIN(AR$6-$E$3,22))&lt;&gt;""),'Feijão 1ª safra'!$E70:INDEX('Feijão 1ª safra'!$E70:$Z70,MIN(AR$6-$E$3,22))),0))-IF($G$2,0,IF((AR$6-$G$3)&lt;1,0,IFERROR(LOOKUP(2,1/('Feijão 1ª safra'!$E70:INDEX('Feijão 1ª safra'!$E70:$Z70,MIN(AR$6-$G$3,22))&lt;&gt;""),'Feijão 1ª safra'!$E70:INDEX('Feijão 1ª safra'!$E70:$Z70,MIN(AR$6-$G$3,22))),0)))))</f>
        <v>0</v>
      </c>
      <c r="AS72" s="27" t="n">
        <f aca="false">IF(COUNT('Feijão 1ª safra'!$E70:$Z70)=0,0,MAX(0,IF((AS$6-$E$3)&lt;1,0,IFERROR(LOOKUP(2,1/('Feijão 1ª safra'!$E70:INDEX('Feijão 1ª safra'!$E70:$Z70,MIN(AS$6-$E$3,22))&lt;&gt;""),'Feijão 1ª safra'!$E70:INDEX('Feijão 1ª safra'!$E70:$Z70,MIN(AS$6-$E$3,22))),0))-IF($G$2,0,IF((AS$6-$G$3)&lt;1,0,IFERROR(LOOKUP(2,1/('Feijão 1ª safra'!$E70:INDEX('Feijão 1ª safra'!$E70:$Z70,MIN(AS$6-$G$3,22))&lt;&gt;""),'Feijão 1ª safra'!$E70:INDEX('Feijão 1ª safra'!$E70:$Z70,MIN(AS$6-$G$3,22))),0)))))</f>
        <v>0</v>
      </c>
      <c r="AT72" s="27" t="n">
        <f aca="false">IF(COUNT('Feijão 1ª safra'!$E70:$Z70)=0,0,MAX(0,IF((AT$6-$E$3)&lt;1,0,IFERROR(LOOKUP(2,1/('Feijão 1ª safra'!$E70:INDEX('Feijão 1ª safra'!$E70:$Z70,MIN(AT$6-$E$3,22))&lt;&gt;""),'Feijão 1ª safra'!$E70:INDEX('Feijão 1ª safra'!$E70:$Z70,MIN(AT$6-$E$3,22))),0))-IF($G$2,0,IF((AT$6-$G$3)&lt;1,0,IFERROR(LOOKUP(2,1/('Feijão 1ª safra'!$E70:INDEX('Feijão 1ª safra'!$E70:$Z70,MIN(AT$6-$G$3,22))&lt;&gt;""),'Feijão 1ª safra'!$E70:INDEX('Feijão 1ª safra'!$E70:$Z70,MIN(AT$6-$G$3,22))),0)))))</f>
        <v>0</v>
      </c>
      <c r="AU72" s="27" t="n">
        <f aca="false">IF(COUNT('Feijão 1ª safra'!$E70:$Z70)=0,0,MAX(0,IF((AU$6-$E$3)&lt;1,0,IFERROR(LOOKUP(2,1/('Feijão 1ª safra'!$E70:INDEX('Feijão 1ª safra'!$E70:$Z70,MIN(AU$6-$E$3,22))&lt;&gt;""),'Feijão 1ª safra'!$E70:INDEX('Feijão 1ª safra'!$E70:$Z70,MIN(AU$6-$E$3,22))),0))-IF($G$2,0,IF((AU$6-$G$3)&lt;1,0,IFERROR(LOOKUP(2,1/('Feijão 1ª safra'!$E70:INDEX('Feijão 1ª safra'!$E70:$Z70,MIN(AU$6-$G$3,22))&lt;&gt;""),'Feijão 1ª safra'!$E70:INDEX('Feijão 1ª safra'!$E70:$Z70,MIN(AU$6-$G$3,22))),0)))))</f>
        <v>0</v>
      </c>
      <c r="AV72" s="27" t="n">
        <f aca="false">IF(COUNT('Feijão 1ª safra'!$E70:$Z70)=0,0,MAX(0,IF((AV$6-$E$3)&lt;1,0,IFERROR(LOOKUP(2,1/('Feijão 1ª safra'!$E70:INDEX('Feijão 1ª safra'!$E70:$Z70,MIN(AV$6-$E$3,22))&lt;&gt;""),'Feijão 1ª safra'!$E70:INDEX('Feijão 1ª safra'!$E70:$Z70,MIN(AV$6-$E$3,22))),0))-IF($G$2,0,IF((AV$6-$G$3)&lt;1,0,IFERROR(LOOKUP(2,1/('Feijão 1ª safra'!$E70:INDEX('Feijão 1ª safra'!$E70:$Z70,MIN(AV$6-$G$3,22))&lt;&gt;""),'Feijão 1ª safra'!$E70:INDEX('Feijão 1ª safra'!$E70:$Z70,MIN(AV$6-$G$3,22))),0)))))</f>
        <v>0</v>
      </c>
      <c r="AW72" s="27" t="n">
        <f aca="false">IF(COUNT('Feijão 1ª safra'!$E70:$Z70)=0,0,MAX(0,IF((AW$6-$E$3)&lt;1,0,IFERROR(LOOKUP(2,1/('Feijão 1ª safra'!$E70:INDEX('Feijão 1ª safra'!$E70:$Z70,MIN(AW$6-$E$3,22))&lt;&gt;""),'Feijão 1ª safra'!$E70:INDEX('Feijão 1ª safra'!$E70:$Z70,MIN(AW$6-$E$3,22))),0))-IF($G$2,0,IF((AW$6-$G$3)&lt;1,0,IFERROR(LOOKUP(2,1/('Feijão 1ª safra'!$E70:INDEX('Feijão 1ª safra'!$E70:$Z70,MIN(AW$6-$G$3,22))&lt;&gt;""),'Feijão 1ª safra'!$E70:INDEX('Feijão 1ª safra'!$E70:$Z70,MIN(AW$6-$G$3,22))),0)))))</f>
        <v>0</v>
      </c>
      <c r="AX72" s="27" t="n">
        <f aca="false">IF(COUNT('Feijão 1ª safra'!$E70:$Z70)=0,0,MAX(0,IF((AX$6-$E$3)&lt;1,0,IFERROR(LOOKUP(2,1/('Feijão 1ª safra'!$E70:INDEX('Feijão 1ª safra'!$E70:$Z70,MIN(AX$6-$E$3,22))&lt;&gt;""),'Feijão 1ª safra'!$E70:INDEX('Feijão 1ª safra'!$E70:$Z70,MIN(AX$6-$E$3,22))),0))-IF($G$2,0,IF((AX$6-$G$3)&lt;1,0,IFERROR(LOOKUP(2,1/('Feijão 1ª safra'!$E70:INDEX('Feijão 1ª safra'!$E70:$Z70,MIN(AX$6-$G$3,22))&lt;&gt;""),'Feijão 1ª safra'!$E70:INDEX('Feijão 1ª safra'!$E70:$Z70,MIN(AX$6-$G$3,22))),0)))))</f>
        <v>0</v>
      </c>
      <c r="AY72" s="27" t="n">
        <f aca="false">IF(COUNT('Feijão 1ª safra'!$E70:$Z70)=0,0,MAX(0,IF((AY$6-$E$3)&lt;1,0,IFERROR(LOOKUP(2,1/('Feijão 1ª safra'!$E70:INDEX('Feijão 1ª safra'!$E70:$Z70,MIN(AY$6-$E$3,22))&lt;&gt;""),'Feijão 1ª safra'!$E70:INDEX('Feijão 1ª safra'!$E70:$Z70,MIN(AY$6-$E$3,22))),0))-IF($G$2,0,IF((AY$6-$G$3)&lt;1,0,IFERROR(LOOKUP(2,1/('Feijão 1ª safra'!$E70:INDEX('Feijão 1ª safra'!$E70:$Z70,MIN(AY$6-$G$3,22))&lt;&gt;""),'Feijão 1ª safra'!$E70:INDEX('Feijão 1ª safra'!$E70:$Z70,MIN(AY$6-$G$3,22))),0)))))</f>
        <v>0</v>
      </c>
      <c r="AZ72" s="27" t="n">
        <f aca="false">IF(COUNT('Feijão 1ª safra'!$E70:$Z70)=0,0,MAX(0,IF((AZ$6-$E$3)&lt;1,0,IFERROR(LOOKUP(2,1/('Feijão 1ª safra'!$E70:INDEX('Feijão 1ª safra'!$E70:$Z70,MIN(AZ$6-$E$3,22))&lt;&gt;""),'Feijão 1ª safra'!$E70:INDEX('Feijão 1ª safra'!$E70:$Z70,MIN(AZ$6-$E$3,22))),0))-IF($G$2,0,IF((AZ$6-$G$3)&lt;1,0,IFERROR(LOOKUP(2,1/('Feijão 1ª safra'!$E70:INDEX('Feijão 1ª safra'!$E70:$Z70,MIN(AZ$6-$G$3,22))&lt;&gt;""),'Feijão 1ª safra'!$E70:INDEX('Feijão 1ª safra'!$E70:$Z70,MIN(AZ$6-$G$3,22))),0)))))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IF(COUNT('Feijão 1ª safra'!$E71:$Z71)&gt;0,N('Feijão 1ª safra'!$D71),0)</f>
        <v>0</v>
      </c>
      <c r="E73" s="27" t="n">
        <f aca="false">IF(COUNT('Feijão 1ª safra'!$E71:$Z71)=0,0,MAX(0,IF((E$6-$E$3)&lt;1,0,IFERROR(LOOKUP(2,1/('Feijão 1ª safra'!$E71:INDEX('Feijão 1ª safra'!$E71:$Z71,MIN(E$6-$E$3,22))&lt;&gt;""),'Feijão 1ª safra'!$E71:INDEX('Feijão 1ª safra'!$E71:$Z71,MIN(E$6-$E$3,22))),0))-IF($G$2,0,IF((E$6-$G$3)&lt;1,0,IFERROR(LOOKUP(2,1/('Feijão 1ª safra'!$E71:INDEX('Feijão 1ª safra'!$E71:$Z71,MIN(E$6-$G$3,22))&lt;&gt;""),'Feijão 1ª safra'!$E71:INDEX('Feijão 1ª safra'!$E71:$Z71,MIN(E$6-$G$3,22))),0)))))</f>
        <v>0</v>
      </c>
      <c r="F73" s="27" t="n">
        <f aca="false">IF(COUNT('Feijão 1ª safra'!$E71:$Z71)=0,0,MAX(0,IF((F$6-$E$3)&lt;1,0,IFERROR(LOOKUP(2,1/('Feijão 1ª safra'!$E71:INDEX('Feijão 1ª safra'!$E71:$Z71,MIN(F$6-$E$3,22))&lt;&gt;""),'Feijão 1ª safra'!$E71:INDEX('Feijão 1ª safra'!$E71:$Z71,MIN(F$6-$E$3,22))),0))-IF($G$2,0,IF((F$6-$G$3)&lt;1,0,IFERROR(LOOKUP(2,1/('Feijão 1ª safra'!$E71:INDEX('Feijão 1ª safra'!$E71:$Z71,MIN(F$6-$G$3,22))&lt;&gt;""),'Feijão 1ª safra'!$E71:INDEX('Feijão 1ª safra'!$E71:$Z71,MIN(F$6-$G$3,22))),0)))))</f>
        <v>0</v>
      </c>
      <c r="G73" s="27" t="n">
        <f aca="false">IF(COUNT('Feijão 1ª safra'!$E71:$Z71)=0,0,MAX(0,IF((G$6-$E$3)&lt;1,0,IFERROR(LOOKUP(2,1/('Feijão 1ª safra'!$E71:INDEX('Feijão 1ª safra'!$E71:$Z71,MIN(G$6-$E$3,22))&lt;&gt;""),'Feijão 1ª safra'!$E71:INDEX('Feijão 1ª safra'!$E71:$Z71,MIN(G$6-$E$3,22))),0))-IF($G$2,0,IF((G$6-$G$3)&lt;1,0,IFERROR(LOOKUP(2,1/('Feijão 1ª safra'!$E71:INDEX('Feijão 1ª safra'!$E71:$Z71,MIN(G$6-$G$3,22))&lt;&gt;""),'Feijão 1ª safra'!$E71:INDEX('Feijão 1ª safra'!$E71:$Z71,MIN(G$6-$G$3,22))),0)))))</f>
        <v>0</v>
      </c>
      <c r="H73" s="27" t="n">
        <f aca="false">IF(COUNT('Feijão 1ª safra'!$E71:$Z71)=0,0,MAX(0,IF((H$6-$E$3)&lt;1,0,IFERROR(LOOKUP(2,1/('Feijão 1ª safra'!$E71:INDEX('Feijão 1ª safra'!$E71:$Z71,MIN(H$6-$E$3,22))&lt;&gt;""),'Feijão 1ª safra'!$E71:INDEX('Feijão 1ª safra'!$E71:$Z71,MIN(H$6-$E$3,22))),0))-IF($G$2,0,IF((H$6-$G$3)&lt;1,0,IFERROR(LOOKUP(2,1/('Feijão 1ª safra'!$E71:INDEX('Feijão 1ª safra'!$E71:$Z71,MIN(H$6-$G$3,22))&lt;&gt;""),'Feijão 1ª safra'!$E71:INDEX('Feijão 1ª safra'!$E71:$Z71,MIN(H$6-$G$3,22))),0)))))</f>
        <v>0</v>
      </c>
      <c r="I73" s="27" t="n">
        <f aca="false">IF(COUNT('Feijão 1ª safra'!$E71:$Z71)=0,0,MAX(0,IF((I$6-$E$3)&lt;1,0,IFERROR(LOOKUP(2,1/('Feijão 1ª safra'!$E71:INDEX('Feijão 1ª safra'!$E71:$Z71,MIN(I$6-$E$3,22))&lt;&gt;""),'Feijão 1ª safra'!$E71:INDEX('Feijão 1ª safra'!$E71:$Z71,MIN(I$6-$E$3,22))),0))-IF($G$2,0,IF((I$6-$G$3)&lt;1,0,IFERROR(LOOKUP(2,1/('Feijão 1ª safra'!$E71:INDEX('Feijão 1ª safra'!$E71:$Z71,MIN(I$6-$G$3,22))&lt;&gt;""),'Feijão 1ª safra'!$E71:INDEX('Feijão 1ª safra'!$E71:$Z71,MIN(I$6-$G$3,22))),0)))))</f>
        <v>0</v>
      </c>
      <c r="J73" s="27" t="n">
        <f aca="false">IF(COUNT('Feijão 1ª safra'!$E71:$Z71)=0,0,MAX(0,IF((J$6-$E$3)&lt;1,0,IFERROR(LOOKUP(2,1/('Feijão 1ª safra'!$E71:INDEX('Feijão 1ª safra'!$E71:$Z71,MIN(J$6-$E$3,22))&lt;&gt;""),'Feijão 1ª safra'!$E71:INDEX('Feijão 1ª safra'!$E71:$Z71,MIN(J$6-$E$3,22))),0))-IF($G$2,0,IF((J$6-$G$3)&lt;1,0,IFERROR(LOOKUP(2,1/('Feijão 1ª safra'!$E71:INDEX('Feijão 1ª safra'!$E71:$Z71,MIN(J$6-$G$3,22))&lt;&gt;""),'Feijão 1ª safra'!$E71:INDEX('Feijão 1ª safra'!$E71:$Z71,MIN(J$6-$G$3,22))),0)))))</f>
        <v>0</v>
      </c>
      <c r="K73" s="27" t="n">
        <f aca="false">IF(COUNT('Feijão 1ª safra'!$E71:$Z71)=0,0,MAX(0,IF((K$6-$E$3)&lt;1,0,IFERROR(LOOKUP(2,1/('Feijão 1ª safra'!$E71:INDEX('Feijão 1ª safra'!$E71:$Z71,MIN(K$6-$E$3,22))&lt;&gt;""),'Feijão 1ª safra'!$E71:INDEX('Feijão 1ª safra'!$E71:$Z71,MIN(K$6-$E$3,22))),0))-IF($G$2,0,IF((K$6-$G$3)&lt;1,0,IFERROR(LOOKUP(2,1/('Feijão 1ª safra'!$E71:INDEX('Feijão 1ª safra'!$E71:$Z71,MIN(K$6-$G$3,22))&lt;&gt;""),'Feijão 1ª safra'!$E71:INDEX('Feijão 1ª safra'!$E71:$Z71,MIN(K$6-$G$3,22))),0)))))</f>
        <v>0</v>
      </c>
      <c r="L73" s="27" t="n">
        <f aca="false">IF(COUNT('Feijão 1ª safra'!$E71:$Z71)=0,0,MAX(0,IF((L$6-$E$3)&lt;1,0,IFERROR(LOOKUP(2,1/('Feijão 1ª safra'!$E71:INDEX('Feijão 1ª safra'!$E71:$Z71,MIN(L$6-$E$3,22))&lt;&gt;""),'Feijão 1ª safra'!$E71:INDEX('Feijão 1ª safra'!$E71:$Z71,MIN(L$6-$E$3,22))),0))-IF($G$2,0,IF((L$6-$G$3)&lt;1,0,IFERROR(LOOKUP(2,1/('Feijão 1ª safra'!$E71:INDEX('Feijão 1ª safra'!$E71:$Z71,MIN(L$6-$G$3,22))&lt;&gt;""),'Feijão 1ª safra'!$E71:INDEX('Feijão 1ª safra'!$E71:$Z71,MIN(L$6-$G$3,22))),0)))))</f>
        <v>0</v>
      </c>
      <c r="M73" s="27" t="n">
        <f aca="false">IF(COUNT('Feijão 1ª safra'!$E71:$Z71)=0,0,MAX(0,IF((M$6-$E$3)&lt;1,0,IFERROR(LOOKUP(2,1/('Feijão 1ª safra'!$E71:INDEX('Feijão 1ª safra'!$E71:$Z71,MIN(M$6-$E$3,22))&lt;&gt;""),'Feijão 1ª safra'!$E71:INDEX('Feijão 1ª safra'!$E71:$Z71,MIN(M$6-$E$3,22))),0))-IF($G$2,0,IF((M$6-$G$3)&lt;1,0,IFERROR(LOOKUP(2,1/('Feijão 1ª safra'!$E71:INDEX('Feijão 1ª safra'!$E71:$Z71,MIN(M$6-$G$3,22))&lt;&gt;""),'Feijão 1ª safra'!$E71:INDEX('Feijão 1ª safra'!$E71:$Z71,MIN(M$6-$G$3,22))),0)))))</f>
        <v>0</v>
      </c>
      <c r="N73" s="27" t="n">
        <f aca="false">IF(COUNT('Feijão 1ª safra'!$E71:$Z71)=0,0,MAX(0,IF((N$6-$E$3)&lt;1,0,IFERROR(LOOKUP(2,1/('Feijão 1ª safra'!$E71:INDEX('Feijão 1ª safra'!$E71:$Z71,MIN(N$6-$E$3,22))&lt;&gt;""),'Feijão 1ª safra'!$E71:INDEX('Feijão 1ª safra'!$E71:$Z71,MIN(N$6-$E$3,22))),0))-IF($G$2,0,IF((N$6-$G$3)&lt;1,0,IFERROR(LOOKUP(2,1/('Feijão 1ª safra'!$E71:INDEX('Feijão 1ª safra'!$E71:$Z71,MIN(N$6-$G$3,22))&lt;&gt;""),'Feijão 1ª safra'!$E71:INDEX('Feijão 1ª safra'!$E71:$Z71,MIN(N$6-$G$3,22))),0)))))</f>
        <v>0</v>
      </c>
      <c r="O73" s="27" t="n">
        <f aca="false">IF(COUNT('Feijão 1ª safra'!$E71:$Z71)=0,0,MAX(0,IF((O$6-$E$3)&lt;1,0,IFERROR(LOOKUP(2,1/('Feijão 1ª safra'!$E71:INDEX('Feijão 1ª safra'!$E71:$Z71,MIN(O$6-$E$3,22))&lt;&gt;""),'Feijão 1ª safra'!$E71:INDEX('Feijão 1ª safra'!$E71:$Z71,MIN(O$6-$E$3,22))),0))-IF($G$2,0,IF((O$6-$G$3)&lt;1,0,IFERROR(LOOKUP(2,1/('Feijão 1ª safra'!$E71:INDEX('Feijão 1ª safra'!$E71:$Z71,MIN(O$6-$G$3,22))&lt;&gt;""),'Feijão 1ª safra'!$E71:INDEX('Feijão 1ª safra'!$E71:$Z71,MIN(O$6-$G$3,22))),0)))))</f>
        <v>0</v>
      </c>
      <c r="P73" s="27" t="n">
        <f aca="false">IF(COUNT('Feijão 1ª safra'!$E71:$Z71)=0,0,MAX(0,IF((P$6-$E$3)&lt;1,0,IFERROR(LOOKUP(2,1/('Feijão 1ª safra'!$E71:INDEX('Feijão 1ª safra'!$E71:$Z71,MIN(P$6-$E$3,22))&lt;&gt;""),'Feijão 1ª safra'!$E71:INDEX('Feijão 1ª safra'!$E71:$Z71,MIN(P$6-$E$3,22))),0))-IF($G$2,0,IF((P$6-$G$3)&lt;1,0,IFERROR(LOOKUP(2,1/('Feijão 1ª safra'!$E71:INDEX('Feijão 1ª safra'!$E71:$Z71,MIN(P$6-$G$3,22))&lt;&gt;""),'Feijão 1ª safra'!$E71:INDEX('Feijão 1ª safra'!$E71:$Z71,MIN(P$6-$G$3,22))),0)))))</f>
        <v>0</v>
      </c>
      <c r="Q73" s="27" t="n">
        <f aca="false">IF(COUNT('Feijão 1ª safra'!$E71:$Z71)=0,0,MAX(0,IF((Q$6-$E$3)&lt;1,0,IFERROR(LOOKUP(2,1/('Feijão 1ª safra'!$E71:INDEX('Feijão 1ª safra'!$E71:$Z71,MIN(Q$6-$E$3,22))&lt;&gt;""),'Feijão 1ª safra'!$E71:INDEX('Feijão 1ª safra'!$E71:$Z71,MIN(Q$6-$E$3,22))),0))-IF($G$2,0,IF((Q$6-$G$3)&lt;1,0,IFERROR(LOOKUP(2,1/('Feijão 1ª safra'!$E71:INDEX('Feijão 1ª safra'!$E71:$Z71,MIN(Q$6-$G$3,22))&lt;&gt;""),'Feijão 1ª safra'!$E71:INDEX('Feijão 1ª safra'!$E71:$Z71,MIN(Q$6-$G$3,22))),0)))))</f>
        <v>0</v>
      </c>
      <c r="R73" s="27" t="n">
        <f aca="false">IF(COUNT('Feijão 1ª safra'!$E71:$Z71)=0,0,MAX(0,IF((R$6-$E$3)&lt;1,0,IFERROR(LOOKUP(2,1/('Feijão 1ª safra'!$E71:INDEX('Feijão 1ª safra'!$E71:$Z71,MIN(R$6-$E$3,22))&lt;&gt;""),'Feijão 1ª safra'!$E71:INDEX('Feijão 1ª safra'!$E71:$Z71,MIN(R$6-$E$3,22))),0))-IF($G$2,0,IF((R$6-$G$3)&lt;1,0,IFERROR(LOOKUP(2,1/('Feijão 1ª safra'!$E71:INDEX('Feijão 1ª safra'!$E71:$Z71,MIN(R$6-$G$3,22))&lt;&gt;""),'Feijão 1ª safra'!$E71:INDEX('Feijão 1ª safra'!$E71:$Z71,MIN(R$6-$G$3,22))),0)))))</f>
        <v>0</v>
      </c>
      <c r="S73" s="27" t="n">
        <f aca="false">IF(COUNT('Feijão 1ª safra'!$E71:$Z71)=0,0,MAX(0,IF((S$6-$E$3)&lt;1,0,IFERROR(LOOKUP(2,1/('Feijão 1ª safra'!$E71:INDEX('Feijão 1ª safra'!$E71:$Z71,MIN(S$6-$E$3,22))&lt;&gt;""),'Feijão 1ª safra'!$E71:INDEX('Feijão 1ª safra'!$E71:$Z71,MIN(S$6-$E$3,22))),0))-IF($G$2,0,IF((S$6-$G$3)&lt;1,0,IFERROR(LOOKUP(2,1/('Feijão 1ª safra'!$E71:INDEX('Feijão 1ª safra'!$E71:$Z71,MIN(S$6-$G$3,22))&lt;&gt;""),'Feijão 1ª safra'!$E71:INDEX('Feijão 1ª safra'!$E71:$Z71,MIN(S$6-$G$3,22))),0)))))</f>
        <v>0</v>
      </c>
      <c r="T73" s="27" t="n">
        <f aca="false">IF(COUNT('Feijão 1ª safra'!$E71:$Z71)=0,0,MAX(0,IF((T$6-$E$3)&lt;1,0,IFERROR(LOOKUP(2,1/('Feijão 1ª safra'!$E71:INDEX('Feijão 1ª safra'!$E71:$Z71,MIN(T$6-$E$3,22))&lt;&gt;""),'Feijão 1ª safra'!$E71:INDEX('Feijão 1ª safra'!$E71:$Z71,MIN(T$6-$E$3,22))),0))-IF($G$2,0,IF((T$6-$G$3)&lt;1,0,IFERROR(LOOKUP(2,1/('Feijão 1ª safra'!$E71:INDEX('Feijão 1ª safra'!$E71:$Z71,MIN(T$6-$G$3,22))&lt;&gt;""),'Feijão 1ª safra'!$E71:INDEX('Feijão 1ª safra'!$E71:$Z71,MIN(T$6-$G$3,22))),0)))))</f>
        <v>0</v>
      </c>
      <c r="U73" s="27" t="n">
        <f aca="false">IF(COUNT('Feijão 1ª safra'!$E71:$Z71)=0,0,MAX(0,IF((U$6-$E$3)&lt;1,0,IFERROR(LOOKUP(2,1/('Feijão 1ª safra'!$E71:INDEX('Feijão 1ª safra'!$E71:$Z71,MIN(U$6-$E$3,22))&lt;&gt;""),'Feijão 1ª safra'!$E71:INDEX('Feijão 1ª safra'!$E71:$Z71,MIN(U$6-$E$3,22))),0))-IF($G$2,0,IF((U$6-$G$3)&lt;1,0,IFERROR(LOOKUP(2,1/('Feijão 1ª safra'!$E71:INDEX('Feijão 1ª safra'!$E71:$Z71,MIN(U$6-$G$3,22))&lt;&gt;""),'Feijão 1ª safra'!$E71:INDEX('Feijão 1ª safra'!$E71:$Z71,MIN(U$6-$G$3,22))),0)))))</f>
        <v>0</v>
      </c>
      <c r="V73" s="27" t="n">
        <f aca="false">IF(COUNT('Feijão 1ª safra'!$E71:$Z71)=0,0,MAX(0,IF((V$6-$E$3)&lt;1,0,IFERROR(LOOKUP(2,1/('Feijão 1ª safra'!$E71:INDEX('Feijão 1ª safra'!$E71:$Z71,MIN(V$6-$E$3,22))&lt;&gt;""),'Feijão 1ª safra'!$E71:INDEX('Feijão 1ª safra'!$E71:$Z71,MIN(V$6-$E$3,22))),0))-IF($G$2,0,IF((V$6-$G$3)&lt;1,0,IFERROR(LOOKUP(2,1/('Feijão 1ª safra'!$E71:INDEX('Feijão 1ª safra'!$E71:$Z71,MIN(V$6-$G$3,22))&lt;&gt;""),'Feijão 1ª safra'!$E71:INDEX('Feijão 1ª safra'!$E71:$Z71,MIN(V$6-$G$3,22))),0)))))</f>
        <v>0</v>
      </c>
      <c r="W73" s="27" t="n">
        <f aca="false">IF(COUNT('Feijão 1ª safra'!$E71:$Z71)=0,0,MAX(0,IF((W$6-$E$3)&lt;1,0,IFERROR(LOOKUP(2,1/('Feijão 1ª safra'!$E71:INDEX('Feijão 1ª safra'!$E71:$Z71,MIN(W$6-$E$3,22))&lt;&gt;""),'Feijão 1ª safra'!$E71:INDEX('Feijão 1ª safra'!$E71:$Z71,MIN(W$6-$E$3,22))),0))-IF($G$2,0,IF((W$6-$G$3)&lt;1,0,IFERROR(LOOKUP(2,1/('Feijão 1ª safra'!$E71:INDEX('Feijão 1ª safra'!$E71:$Z71,MIN(W$6-$G$3,22))&lt;&gt;""),'Feijão 1ª safra'!$E71:INDEX('Feijão 1ª safra'!$E71:$Z71,MIN(W$6-$G$3,22))),0)))))</f>
        <v>0</v>
      </c>
      <c r="X73" s="27" t="n">
        <f aca="false">IF(COUNT('Feijão 1ª safra'!$E71:$Z71)=0,0,MAX(0,IF((X$6-$E$3)&lt;1,0,IFERROR(LOOKUP(2,1/('Feijão 1ª safra'!$E71:INDEX('Feijão 1ª safra'!$E71:$Z71,MIN(X$6-$E$3,22))&lt;&gt;""),'Feijão 1ª safra'!$E71:INDEX('Feijão 1ª safra'!$E71:$Z71,MIN(X$6-$E$3,22))),0))-IF($G$2,0,IF((X$6-$G$3)&lt;1,0,IFERROR(LOOKUP(2,1/('Feijão 1ª safra'!$E71:INDEX('Feijão 1ª safra'!$E71:$Z71,MIN(X$6-$G$3,22))&lt;&gt;""),'Feijão 1ª safra'!$E71:INDEX('Feijão 1ª safra'!$E71:$Z71,MIN(X$6-$G$3,22))),0)))))</f>
        <v>0</v>
      </c>
      <c r="Y73" s="27" t="n">
        <f aca="false">IF(COUNT('Feijão 1ª safra'!$E71:$Z71)=0,0,MAX(0,IF((Y$6-$E$3)&lt;1,0,IFERROR(LOOKUP(2,1/('Feijão 1ª safra'!$E71:INDEX('Feijão 1ª safra'!$E71:$Z71,MIN(Y$6-$E$3,22))&lt;&gt;""),'Feijão 1ª safra'!$E71:INDEX('Feijão 1ª safra'!$E71:$Z71,MIN(Y$6-$E$3,22))),0))-IF($G$2,0,IF((Y$6-$G$3)&lt;1,0,IFERROR(LOOKUP(2,1/('Feijão 1ª safra'!$E71:INDEX('Feijão 1ª safra'!$E71:$Z71,MIN(Y$6-$G$3,22))&lt;&gt;""),'Feijão 1ª safra'!$E71:INDEX('Feijão 1ª safra'!$E71:$Z71,MIN(Y$6-$G$3,22))),0)))))</f>
        <v>0</v>
      </c>
      <c r="Z73" s="27" t="n">
        <f aca="false">IF(COUNT('Feijão 1ª safra'!$E71:$Z71)=0,0,MAX(0,IF((Z$6-$E$3)&lt;1,0,IFERROR(LOOKUP(2,1/('Feijão 1ª safra'!$E71:INDEX('Feijão 1ª safra'!$E71:$Z71,MIN(Z$6-$E$3,22))&lt;&gt;""),'Feijão 1ª safra'!$E71:INDEX('Feijão 1ª safra'!$E71:$Z71,MIN(Z$6-$E$3,22))),0))-IF($G$2,0,IF((Z$6-$G$3)&lt;1,0,IFERROR(LOOKUP(2,1/('Feijão 1ª safra'!$E71:INDEX('Feijão 1ª safra'!$E71:$Z71,MIN(Z$6-$G$3,22))&lt;&gt;""),'Feijão 1ª safra'!$E71:INDEX('Feijão 1ª safra'!$E71:$Z71,MIN(Z$6-$G$3,22))),0)))))</f>
        <v>0</v>
      </c>
      <c r="AA73" s="27" t="n">
        <f aca="false">IF(COUNT('Feijão 1ª safra'!$E71:$Z71)=0,0,MAX(0,IF((AA$6-$E$3)&lt;1,0,IFERROR(LOOKUP(2,1/('Feijão 1ª safra'!$E71:INDEX('Feijão 1ª safra'!$E71:$Z71,MIN(AA$6-$E$3,22))&lt;&gt;""),'Feijão 1ª safra'!$E71:INDEX('Feijão 1ª safra'!$E71:$Z71,MIN(AA$6-$E$3,22))),0))-IF($G$2,0,IF((AA$6-$G$3)&lt;1,0,IFERROR(LOOKUP(2,1/('Feijão 1ª safra'!$E71:INDEX('Feijão 1ª safra'!$E71:$Z71,MIN(AA$6-$G$3,22))&lt;&gt;""),'Feijão 1ª safra'!$E71:INDEX('Feijão 1ª safra'!$E71:$Z71,MIN(AA$6-$G$3,22))),0)))))</f>
        <v>0</v>
      </c>
      <c r="AB73" s="27" t="n">
        <f aca="false">IF(COUNT('Feijão 1ª safra'!$E71:$Z71)=0,0,MAX(0,IF((AB$6-$E$3)&lt;1,0,IFERROR(LOOKUP(2,1/('Feijão 1ª safra'!$E71:INDEX('Feijão 1ª safra'!$E71:$Z71,MIN(AB$6-$E$3,22))&lt;&gt;""),'Feijão 1ª safra'!$E71:INDEX('Feijão 1ª safra'!$E71:$Z71,MIN(AB$6-$E$3,22))),0))-IF($G$2,0,IF((AB$6-$G$3)&lt;1,0,IFERROR(LOOKUP(2,1/('Feijão 1ª safra'!$E71:INDEX('Feijão 1ª safra'!$E71:$Z71,MIN(AB$6-$G$3,22))&lt;&gt;""),'Feijão 1ª safra'!$E71:INDEX('Feijão 1ª safra'!$E71:$Z71,MIN(AB$6-$G$3,22))),0)))))</f>
        <v>0</v>
      </c>
      <c r="AC73" s="27" t="n">
        <f aca="false">IF(COUNT('Feijão 1ª safra'!$E71:$Z71)=0,0,MAX(0,IF((AC$6-$E$3)&lt;1,0,IFERROR(LOOKUP(2,1/('Feijão 1ª safra'!$E71:INDEX('Feijão 1ª safra'!$E71:$Z71,MIN(AC$6-$E$3,22))&lt;&gt;""),'Feijão 1ª safra'!$E71:INDEX('Feijão 1ª safra'!$E71:$Z71,MIN(AC$6-$E$3,22))),0))-IF($G$2,0,IF((AC$6-$G$3)&lt;1,0,IFERROR(LOOKUP(2,1/('Feijão 1ª safra'!$E71:INDEX('Feijão 1ª safra'!$E71:$Z71,MIN(AC$6-$G$3,22))&lt;&gt;""),'Feijão 1ª safra'!$E71:INDEX('Feijão 1ª safra'!$E71:$Z71,MIN(AC$6-$G$3,22))),0)))))</f>
        <v>0</v>
      </c>
      <c r="AD73" s="27" t="n">
        <f aca="false">IF(COUNT('Feijão 1ª safra'!$E71:$Z71)=0,0,MAX(0,IF((AD$6-$E$3)&lt;1,0,IFERROR(LOOKUP(2,1/('Feijão 1ª safra'!$E71:INDEX('Feijão 1ª safra'!$E71:$Z71,MIN(AD$6-$E$3,22))&lt;&gt;""),'Feijão 1ª safra'!$E71:INDEX('Feijão 1ª safra'!$E71:$Z71,MIN(AD$6-$E$3,22))),0))-IF($G$2,0,IF((AD$6-$G$3)&lt;1,0,IFERROR(LOOKUP(2,1/('Feijão 1ª safra'!$E71:INDEX('Feijão 1ª safra'!$E71:$Z71,MIN(AD$6-$G$3,22))&lt;&gt;""),'Feijão 1ª safra'!$E71:INDEX('Feijão 1ª safra'!$E71:$Z71,MIN(AD$6-$G$3,22))),0)))))</f>
        <v>0</v>
      </c>
      <c r="AE73" s="27" t="n">
        <f aca="false">IF(COUNT('Feijão 1ª safra'!$E71:$Z71)=0,0,MAX(0,IF((AE$6-$E$3)&lt;1,0,IFERROR(LOOKUP(2,1/('Feijão 1ª safra'!$E71:INDEX('Feijão 1ª safra'!$E71:$Z71,MIN(AE$6-$E$3,22))&lt;&gt;""),'Feijão 1ª safra'!$E71:INDEX('Feijão 1ª safra'!$E71:$Z71,MIN(AE$6-$E$3,22))),0))-IF($G$2,0,IF((AE$6-$G$3)&lt;1,0,IFERROR(LOOKUP(2,1/('Feijão 1ª safra'!$E71:INDEX('Feijão 1ª safra'!$E71:$Z71,MIN(AE$6-$G$3,22))&lt;&gt;""),'Feijão 1ª safra'!$E71:INDEX('Feijão 1ª safra'!$E71:$Z71,MIN(AE$6-$G$3,22))),0)))))</f>
        <v>0</v>
      </c>
      <c r="AF73" s="27" t="n">
        <f aca="false">IF(COUNT('Feijão 1ª safra'!$E71:$Z71)=0,0,MAX(0,IF((AF$6-$E$3)&lt;1,0,IFERROR(LOOKUP(2,1/('Feijão 1ª safra'!$E71:INDEX('Feijão 1ª safra'!$E71:$Z71,MIN(AF$6-$E$3,22))&lt;&gt;""),'Feijão 1ª safra'!$E71:INDEX('Feijão 1ª safra'!$E71:$Z71,MIN(AF$6-$E$3,22))),0))-IF($G$2,0,IF((AF$6-$G$3)&lt;1,0,IFERROR(LOOKUP(2,1/('Feijão 1ª safra'!$E71:INDEX('Feijão 1ª safra'!$E71:$Z71,MIN(AF$6-$G$3,22))&lt;&gt;""),'Feijão 1ª safra'!$E71:INDEX('Feijão 1ª safra'!$E71:$Z71,MIN(AF$6-$G$3,22))),0)))))</f>
        <v>0</v>
      </c>
      <c r="AG73" s="27" t="n">
        <f aca="false">IF(COUNT('Feijão 1ª safra'!$E71:$Z71)=0,0,MAX(0,IF((AG$6-$E$3)&lt;1,0,IFERROR(LOOKUP(2,1/('Feijão 1ª safra'!$E71:INDEX('Feijão 1ª safra'!$E71:$Z71,MIN(AG$6-$E$3,22))&lt;&gt;""),'Feijão 1ª safra'!$E71:INDEX('Feijão 1ª safra'!$E71:$Z71,MIN(AG$6-$E$3,22))),0))-IF($G$2,0,IF((AG$6-$G$3)&lt;1,0,IFERROR(LOOKUP(2,1/('Feijão 1ª safra'!$E71:INDEX('Feijão 1ª safra'!$E71:$Z71,MIN(AG$6-$G$3,22))&lt;&gt;""),'Feijão 1ª safra'!$E71:INDEX('Feijão 1ª safra'!$E71:$Z71,MIN(AG$6-$G$3,22))),0)))))</f>
        <v>0</v>
      </c>
      <c r="AH73" s="27" t="n">
        <f aca="false">IF(COUNT('Feijão 1ª safra'!$E71:$Z71)=0,0,MAX(0,IF((AH$6-$E$3)&lt;1,0,IFERROR(LOOKUP(2,1/('Feijão 1ª safra'!$E71:INDEX('Feijão 1ª safra'!$E71:$Z71,MIN(AH$6-$E$3,22))&lt;&gt;""),'Feijão 1ª safra'!$E71:INDEX('Feijão 1ª safra'!$E71:$Z71,MIN(AH$6-$E$3,22))),0))-IF($G$2,0,IF((AH$6-$G$3)&lt;1,0,IFERROR(LOOKUP(2,1/('Feijão 1ª safra'!$E71:INDEX('Feijão 1ª safra'!$E71:$Z71,MIN(AH$6-$G$3,22))&lt;&gt;""),'Feijão 1ª safra'!$E71:INDEX('Feijão 1ª safra'!$E71:$Z71,MIN(AH$6-$G$3,22))),0)))))</f>
        <v>0</v>
      </c>
      <c r="AI73" s="27" t="n">
        <f aca="false">IF(COUNT('Feijão 1ª safra'!$E71:$Z71)=0,0,MAX(0,IF((AI$6-$E$3)&lt;1,0,IFERROR(LOOKUP(2,1/('Feijão 1ª safra'!$E71:INDEX('Feijão 1ª safra'!$E71:$Z71,MIN(AI$6-$E$3,22))&lt;&gt;""),'Feijão 1ª safra'!$E71:INDEX('Feijão 1ª safra'!$E71:$Z71,MIN(AI$6-$E$3,22))),0))-IF($G$2,0,IF((AI$6-$G$3)&lt;1,0,IFERROR(LOOKUP(2,1/('Feijão 1ª safra'!$E71:INDEX('Feijão 1ª safra'!$E71:$Z71,MIN(AI$6-$G$3,22))&lt;&gt;""),'Feijão 1ª safra'!$E71:INDEX('Feijão 1ª safra'!$E71:$Z71,MIN(AI$6-$G$3,22))),0)))))</f>
        <v>0</v>
      </c>
      <c r="AJ73" s="27" t="n">
        <f aca="false">IF(COUNT('Feijão 1ª safra'!$E71:$Z71)=0,0,MAX(0,IF((AJ$6-$E$3)&lt;1,0,IFERROR(LOOKUP(2,1/('Feijão 1ª safra'!$E71:INDEX('Feijão 1ª safra'!$E71:$Z71,MIN(AJ$6-$E$3,22))&lt;&gt;""),'Feijão 1ª safra'!$E71:INDEX('Feijão 1ª safra'!$E71:$Z71,MIN(AJ$6-$E$3,22))),0))-IF($G$2,0,IF((AJ$6-$G$3)&lt;1,0,IFERROR(LOOKUP(2,1/('Feijão 1ª safra'!$E71:INDEX('Feijão 1ª safra'!$E71:$Z71,MIN(AJ$6-$G$3,22))&lt;&gt;""),'Feijão 1ª safra'!$E71:INDEX('Feijão 1ª safra'!$E71:$Z71,MIN(AJ$6-$G$3,22))),0)))))</f>
        <v>0</v>
      </c>
      <c r="AK73" s="27" t="n">
        <f aca="false">IF(COUNT('Feijão 1ª safra'!$E71:$Z71)=0,0,MAX(0,IF((AK$6-$E$3)&lt;1,0,IFERROR(LOOKUP(2,1/('Feijão 1ª safra'!$E71:INDEX('Feijão 1ª safra'!$E71:$Z71,MIN(AK$6-$E$3,22))&lt;&gt;""),'Feijão 1ª safra'!$E71:INDEX('Feijão 1ª safra'!$E71:$Z71,MIN(AK$6-$E$3,22))),0))-IF($G$2,0,IF((AK$6-$G$3)&lt;1,0,IFERROR(LOOKUP(2,1/('Feijão 1ª safra'!$E71:INDEX('Feijão 1ª safra'!$E71:$Z71,MIN(AK$6-$G$3,22))&lt;&gt;""),'Feijão 1ª safra'!$E71:INDEX('Feijão 1ª safra'!$E71:$Z71,MIN(AK$6-$G$3,22))),0)))))</f>
        <v>0</v>
      </c>
      <c r="AL73" s="27" t="n">
        <f aca="false">IF(COUNT('Feijão 1ª safra'!$E71:$Z71)=0,0,MAX(0,IF((AL$6-$E$3)&lt;1,0,IFERROR(LOOKUP(2,1/('Feijão 1ª safra'!$E71:INDEX('Feijão 1ª safra'!$E71:$Z71,MIN(AL$6-$E$3,22))&lt;&gt;""),'Feijão 1ª safra'!$E71:INDEX('Feijão 1ª safra'!$E71:$Z71,MIN(AL$6-$E$3,22))),0))-IF($G$2,0,IF((AL$6-$G$3)&lt;1,0,IFERROR(LOOKUP(2,1/('Feijão 1ª safra'!$E71:INDEX('Feijão 1ª safra'!$E71:$Z71,MIN(AL$6-$G$3,22))&lt;&gt;""),'Feijão 1ª safra'!$E71:INDEX('Feijão 1ª safra'!$E71:$Z71,MIN(AL$6-$G$3,22))),0)))))</f>
        <v>0</v>
      </c>
      <c r="AM73" s="27" t="n">
        <f aca="false">IF(COUNT('Feijão 1ª safra'!$E71:$Z71)=0,0,MAX(0,IF((AM$6-$E$3)&lt;1,0,IFERROR(LOOKUP(2,1/('Feijão 1ª safra'!$E71:INDEX('Feijão 1ª safra'!$E71:$Z71,MIN(AM$6-$E$3,22))&lt;&gt;""),'Feijão 1ª safra'!$E71:INDEX('Feijão 1ª safra'!$E71:$Z71,MIN(AM$6-$E$3,22))),0))-IF($G$2,0,IF((AM$6-$G$3)&lt;1,0,IFERROR(LOOKUP(2,1/('Feijão 1ª safra'!$E71:INDEX('Feijão 1ª safra'!$E71:$Z71,MIN(AM$6-$G$3,22))&lt;&gt;""),'Feijão 1ª safra'!$E71:INDEX('Feijão 1ª safra'!$E71:$Z71,MIN(AM$6-$G$3,22))),0)))))</f>
        <v>0</v>
      </c>
      <c r="AN73" s="27" t="n">
        <f aca="false">IF(COUNT('Feijão 1ª safra'!$E71:$Z71)=0,0,MAX(0,IF((AN$6-$E$3)&lt;1,0,IFERROR(LOOKUP(2,1/('Feijão 1ª safra'!$E71:INDEX('Feijão 1ª safra'!$E71:$Z71,MIN(AN$6-$E$3,22))&lt;&gt;""),'Feijão 1ª safra'!$E71:INDEX('Feijão 1ª safra'!$E71:$Z71,MIN(AN$6-$E$3,22))),0))-IF($G$2,0,IF((AN$6-$G$3)&lt;1,0,IFERROR(LOOKUP(2,1/('Feijão 1ª safra'!$E71:INDEX('Feijão 1ª safra'!$E71:$Z71,MIN(AN$6-$G$3,22))&lt;&gt;""),'Feijão 1ª safra'!$E71:INDEX('Feijão 1ª safra'!$E71:$Z71,MIN(AN$6-$G$3,22))),0)))))</f>
        <v>0</v>
      </c>
      <c r="AO73" s="27" t="n">
        <f aca="false">IF(COUNT('Feijão 1ª safra'!$E71:$Z71)=0,0,MAX(0,IF((AO$6-$E$3)&lt;1,0,IFERROR(LOOKUP(2,1/('Feijão 1ª safra'!$E71:INDEX('Feijão 1ª safra'!$E71:$Z71,MIN(AO$6-$E$3,22))&lt;&gt;""),'Feijão 1ª safra'!$E71:INDEX('Feijão 1ª safra'!$E71:$Z71,MIN(AO$6-$E$3,22))),0))-IF($G$2,0,IF((AO$6-$G$3)&lt;1,0,IFERROR(LOOKUP(2,1/('Feijão 1ª safra'!$E71:INDEX('Feijão 1ª safra'!$E71:$Z71,MIN(AO$6-$G$3,22))&lt;&gt;""),'Feijão 1ª safra'!$E71:INDEX('Feijão 1ª safra'!$E71:$Z71,MIN(AO$6-$G$3,22))),0)))))</f>
        <v>0</v>
      </c>
      <c r="AP73" s="27" t="n">
        <f aca="false">IF(COUNT('Feijão 1ª safra'!$E71:$Z71)=0,0,MAX(0,IF((AP$6-$E$3)&lt;1,0,IFERROR(LOOKUP(2,1/('Feijão 1ª safra'!$E71:INDEX('Feijão 1ª safra'!$E71:$Z71,MIN(AP$6-$E$3,22))&lt;&gt;""),'Feijão 1ª safra'!$E71:INDEX('Feijão 1ª safra'!$E71:$Z71,MIN(AP$6-$E$3,22))),0))-IF($G$2,0,IF((AP$6-$G$3)&lt;1,0,IFERROR(LOOKUP(2,1/('Feijão 1ª safra'!$E71:INDEX('Feijão 1ª safra'!$E71:$Z71,MIN(AP$6-$G$3,22))&lt;&gt;""),'Feijão 1ª safra'!$E71:INDEX('Feijão 1ª safra'!$E71:$Z71,MIN(AP$6-$G$3,22))),0)))))</f>
        <v>0</v>
      </c>
      <c r="AQ73" s="27" t="n">
        <f aca="false">IF(COUNT('Feijão 1ª safra'!$E71:$Z71)=0,0,MAX(0,IF((AQ$6-$E$3)&lt;1,0,IFERROR(LOOKUP(2,1/('Feijão 1ª safra'!$E71:INDEX('Feijão 1ª safra'!$E71:$Z71,MIN(AQ$6-$E$3,22))&lt;&gt;""),'Feijão 1ª safra'!$E71:INDEX('Feijão 1ª safra'!$E71:$Z71,MIN(AQ$6-$E$3,22))),0))-IF($G$2,0,IF((AQ$6-$G$3)&lt;1,0,IFERROR(LOOKUP(2,1/('Feijão 1ª safra'!$E71:INDEX('Feijão 1ª safra'!$E71:$Z71,MIN(AQ$6-$G$3,22))&lt;&gt;""),'Feijão 1ª safra'!$E71:INDEX('Feijão 1ª safra'!$E71:$Z71,MIN(AQ$6-$G$3,22))),0)))))</f>
        <v>0</v>
      </c>
      <c r="AR73" s="27" t="n">
        <f aca="false">IF(COUNT('Feijão 1ª safra'!$E71:$Z71)=0,0,MAX(0,IF((AR$6-$E$3)&lt;1,0,IFERROR(LOOKUP(2,1/('Feijão 1ª safra'!$E71:INDEX('Feijão 1ª safra'!$E71:$Z71,MIN(AR$6-$E$3,22))&lt;&gt;""),'Feijão 1ª safra'!$E71:INDEX('Feijão 1ª safra'!$E71:$Z71,MIN(AR$6-$E$3,22))),0))-IF($G$2,0,IF((AR$6-$G$3)&lt;1,0,IFERROR(LOOKUP(2,1/('Feijão 1ª safra'!$E71:INDEX('Feijão 1ª safra'!$E71:$Z71,MIN(AR$6-$G$3,22))&lt;&gt;""),'Feijão 1ª safra'!$E71:INDEX('Feijão 1ª safra'!$E71:$Z71,MIN(AR$6-$G$3,22))),0)))))</f>
        <v>0</v>
      </c>
      <c r="AS73" s="27" t="n">
        <f aca="false">IF(COUNT('Feijão 1ª safra'!$E71:$Z71)=0,0,MAX(0,IF((AS$6-$E$3)&lt;1,0,IFERROR(LOOKUP(2,1/('Feijão 1ª safra'!$E71:INDEX('Feijão 1ª safra'!$E71:$Z71,MIN(AS$6-$E$3,22))&lt;&gt;""),'Feijão 1ª safra'!$E71:INDEX('Feijão 1ª safra'!$E71:$Z71,MIN(AS$6-$E$3,22))),0))-IF($G$2,0,IF((AS$6-$G$3)&lt;1,0,IFERROR(LOOKUP(2,1/('Feijão 1ª safra'!$E71:INDEX('Feijão 1ª safra'!$E71:$Z71,MIN(AS$6-$G$3,22))&lt;&gt;""),'Feijão 1ª safra'!$E71:INDEX('Feijão 1ª safra'!$E71:$Z71,MIN(AS$6-$G$3,22))),0)))))</f>
        <v>0</v>
      </c>
      <c r="AT73" s="27" t="n">
        <f aca="false">IF(COUNT('Feijão 1ª safra'!$E71:$Z71)=0,0,MAX(0,IF((AT$6-$E$3)&lt;1,0,IFERROR(LOOKUP(2,1/('Feijão 1ª safra'!$E71:INDEX('Feijão 1ª safra'!$E71:$Z71,MIN(AT$6-$E$3,22))&lt;&gt;""),'Feijão 1ª safra'!$E71:INDEX('Feijão 1ª safra'!$E71:$Z71,MIN(AT$6-$E$3,22))),0))-IF($G$2,0,IF((AT$6-$G$3)&lt;1,0,IFERROR(LOOKUP(2,1/('Feijão 1ª safra'!$E71:INDEX('Feijão 1ª safra'!$E71:$Z71,MIN(AT$6-$G$3,22))&lt;&gt;""),'Feijão 1ª safra'!$E71:INDEX('Feijão 1ª safra'!$E71:$Z71,MIN(AT$6-$G$3,22))),0)))))</f>
        <v>0</v>
      </c>
      <c r="AU73" s="27" t="n">
        <f aca="false">IF(COUNT('Feijão 1ª safra'!$E71:$Z71)=0,0,MAX(0,IF((AU$6-$E$3)&lt;1,0,IFERROR(LOOKUP(2,1/('Feijão 1ª safra'!$E71:INDEX('Feijão 1ª safra'!$E71:$Z71,MIN(AU$6-$E$3,22))&lt;&gt;""),'Feijão 1ª safra'!$E71:INDEX('Feijão 1ª safra'!$E71:$Z71,MIN(AU$6-$E$3,22))),0))-IF($G$2,0,IF((AU$6-$G$3)&lt;1,0,IFERROR(LOOKUP(2,1/('Feijão 1ª safra'!$E71:INDEX('Feijão 1ª safra'!$E71:$Z71,MIN(AU$6-$G$3,22))&lt;&gt;""),'Feijão 1ª safra'!$E71:INDEX('Feijão 1ª safra'!$E71:$Z71,MIN(AU$6-$G$3,22))),0)))))</f>
        <v>0</v>
      </c>
      <c r="AV73" s="27" t="n">
        <f aca="false">IF(COUNT('Feijão 1ª safra'!$E71:$Z71)=0,0,MAX(0,IF((AV$6-$E$3)&lt;1,0,IFERROR(LOOKUP(2,1/('Feijão 1ª safra'!$E71:INDEX('Feijão 1ª safra'!$E71:$Z71,MIN(AV$6-$E$3,22))&lt;&gt;""),'Feijão 1ª safra'!$E71:INDEX('Feijão 1ª safra'!$E71:$Z71,MIN(AV$6-$E$3,22))),0))-IF($G$2,0,IF((AV$6-$G$3)&lt;1,0,IFERROR(LOOKUP(2,1/('Feijão 1ª safra'!$E71:INDEX('Feijão 1ª safra'!$E71:$Z71,MIN(AV$6-$G$3,22))&lt;&gt;""),'Feijão 1ª safra'!$E71:INDEX('Feijão 1ª safra'!$E71:$Z71,MIN(AV$6-$G$3,22))),0)))))</f>
        <v>0</v>
      </c>
      <c r="AW73" s="27" t="n">
        <f aca="false">IF(COUNT('Feijão 1ª safra'!$E71:$Z71)=0,0,MAX(0,IF((AW$6-$E$3)&lt;1,0,IFERROR(LOOKUP(2,1/('Feijão 1ª safra'!$E71:INDEX('Feijão 1ª safra'!$E71:$Z71,MIN(AW$6-$E$3,22))&lt;&gt;""),'Feijão 1ª safra'!$E71:INDEX('Feijão 1ª safra'!$E71:$Z71,MIN(AW$6-$E$3,22))),0))-IF($G$2,0,IF((AW$6-$G$3)&lt;1,0,IFERROR(LOOKUP(2,1/('Feijão 1ª safra'!$E71:INDEX('Feijão 1ª safra'!$E71:$Z71,MIN(AW$6-$G$3,22))&lt;&gt;""),'Feijão 1ª safra'!$E71:INDEX('Feijão 1ª safra'!$E71:$Z71,MIN(AW$6-$G$3,22))),0)))))</f>
        <v>0</v>
      </c>
      <c r="AX73" s="27" t="n">
        <f aca="false">IF(COUNT('Feijão 1ª safra'!$E71:$Z71)=0,0,MAX(0,IF((AX$6-$E$3)&lt;1,0,IFERROR(LOOKUP(2,1/('Feijão 1ª safra'!$E71:INDEX('Feijão 1ª safra'!$E71:$Z71,MIN(AX$6-$E$3,22))&lt;&gt;""),'Feijão 1ª safra'!$E71:INDEX('Feijão 1ª safra'!$E71:$Z71,MIN(AX$6-$E$3,22))),0))-IF($G$2,0,IF((AX$6-$G$3)&lt;1,0,IFERROR(LOOKUP(2,1/('Feijão 1ª safra'!$E71:INDEX('Feijão 1ª safra'!$E71:$Z71,MIN(AX$6-$G$3,22))&lt;&gt;""),'Feijão 1ª safra'!$E71:INDEX('Feijão 1ª safra'!$E71:$Z71,MIN(AX$6-$G$3,22))),0)))))</f>
        <v>0</v>
      </c>
      <c r="AY73" s="27" t="n">
        <f aca="false">IF(COUNT('Feijão 1ª safra'!$E71:$Z71)=0,0,MAX(0,IF((AY$6-$E$3)&lt;1,0,IFERROR(LOOKUP(2,1/('Feijão 1ª safra'!$E71:INDEX('Feijão 1ª safra'!$E71:$Z71,MIN(AY$6-$E$3,22))&lt;&gt;""),'Feijão 1ª safra'!$E71:INDEX('Feijão 1ª safra'!$E71:$Z71,MIN(AY$6-$E$3,22))),0))-IF($G$2,0,IF((AY$6-$G$3)&lt;1,0,IFERROR(LOOKUP(2,1/('Feijão 1ª safra'!$E71:INDEX('Feijão 1ª safra'!$E71:$Z71,MIN(AY$6-$G$3,22))&lt;&gt;""),'Feijão 1ª safra'!$E71:INDEX('Feijão 1ª safra'!$E71:$Z71,MIN(AY$6-$G$3,22))),0)))))</f>
        <v>0</v>
      </c>
      <c r="AZ73" s="27" t="n">
        <f aca="false">IF(COUNT('Feijão 1ª safra'!$E71:$Z71)=0,0,MAX(0,IF((AZ$6-$E$3)&lt;1,0,IFERROR(LOOKUP(2,1/('Feijão 1ª safra'!$E71:INDEX('Feijão 1ª safra'!$E71:$Z71,MIN(AZ$6-$E$3,22))&lt;&gt;""),'Feijão 1ª safra'!$E71:INDEX('Feijão 1ª safra'!$E71:$Z71,MIN(AZ$6-$E$3,22))),0))-IF($G$2,0,IF((AZ$6-$G$3)&lt;1,0,IFERROR(LOOKUP(2,1/('Feijão 1ª safra'!$E71:INDEX('Feijão 1ª safra'!$E71:$Z71,MIN(AZ$6-$G$3,22))&lt;&gt;""),'Feijão 1ª safra'!$E71:INDEX('Feijão 1ª safra'!$E71:$Z71,MIN(AZ$6-$G$3,22))),0)))))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IF(COUNT('Feijão 1ª safra'!$E72:$Z72)&gt;0,N('Feijão 1ª safra'!$D72),0)</f>
        <v>0</v>
      </c>
      <c r="E74" s="27" t="n">
        <f aca="false">IF(COUNT('Feijão 1ª safra'!$E72:$Z72)=0,0,MAX(0,IF((E$6-$E$3)&lt;1,0,IFERROR(LOOKUP(2,1/('Feijão 1ª safra'!$E72:INDEX('Feijão 1ª safra'!$E72:$Z72,MIN(E$6-$E$3,22))&lt;&gt;""),'Feijão 1ª safra'!$E72:INDEX('Feijão 1ª safra'!$E72:$Z72,MIN(E$6-$E$3,22))),0))-IF($G$2,0,IF((E$6-$G$3)&lt;1,0,IFERROR(LOOKUP(2,1/('Feijão 1ª safra'!$E72:INDEX('Feijão 1ª safra'!$E72:$Z72,MIN(E$6-$G$3,22))&lt;&gt;""),'Feijão 1ª safra'!$E72:INDEX('Feijão 1ª safra'!$E72:$Z72,MIN(E$6-$G$3,22))),0)))))</f>
        <v>0</v>
      </c>
      <c r="F74" s="27" t="n">
        <f aca="false">IF(COUNT('Feijão 1ª safra'!$E72:$Z72)=0,0,MAX(0,IF((F$6-$E$3)&lt;1,0,IFERROR(LOOKUP(2,1/('Feijão 1ª safra'!$E72:INDEX('Feijão 1ª safra'!$E72:$Z72,MIN(F$6-$E$3,22))&lt;&gt;""),'Feijão 1ª safra'!$E72:INDEX('Feijão 1ª safra'!$E72:$Z72,MIN(F$6-$E$3,22))),0))-IF($G$2,0,IF((F$6-$G$3)&lt;1,0,IFERROR(LOOKUP(2,1/('Feijão 1ª safra'!$E72:INDEX('Feijão 1ª safra'!$E72:$Z72,MIN(F$6-$G$3,22))&lt;&gt;""),'Feijão 1ª safra'!$E72:INDEX('Feijão 1ª safra'!$E72:$Z72,MIN(F$6-$G$3,22))),0)))))</f>
        <v>0</v>
      </c>
      <c r="G74" s="27" t="n">
        <f aca="false">IF(COUNT('Feijão 1ª safra'!$E72:$Z72)=0,0,MAX(0,IF((G$6-$E$3)&lt;1,0,IFERROR(LOOKUP(2,1/('Feijão 1ª safra'!$E72:INDEX('Feijão 1ª safra'!$E72:$Z72,MIN(G$6-$E$3,22))&lt;&gt;""),'Feijão 1ª safra'!$E72:INDEX('Feijão 1ª safra'!$E72:$Z72,MIN(G$6-$E$3,22))),0))-IF($G$2,0,IF((G$6-$G$3)&lt;1,0,IFERROR(LOOKUP(2,1/('Feijão 1ª safra'!$E72:INDEX('Feijão 1ª safra'!$E72:$Z72,MIN(G$6-$G$3,22))&lt;&gt;""),'Feijão 1ª safra'!$E72:INDEX('Feijão 1ª safra'!$E72:$Z72,MIN(G$6-$G$3,22))),0)))))</f>
        <v>0</v>
      </c>
      <c r="H74" s="27" t="n">
        <f aca="false">IF(COUNT('Feijão 1ª safra'!$E72:$Z72)=0,0,MAX(0,IF((H$6-$E$3)&lt;1,0,IFERROR(LOOKUP(2,1/('Feijão 1ª safra'!$E72:INDEX('Feijão 1ª safra'!$E72:$Z72,MIN(H$6-$E$3,22))&lt;&gt;""),'Feijão 1ª safra'!$E72:INDEX('Feijão 1ª safra'!$E72:$Z72,MIN(H$6-$E$3,22))),0))-IF($G$2,0,IF((H$6-$G$3)&lt;1,0,IFERROR(LOOKUP(2,1/('Feijão 1ª safra'!$E72:INDEX('Feijão 1ª safra'!$E72:$Z72,MIN(H$6-$G$3,22))&lt;&gt;""),'Feijão 1ª safra'!$E72:INDEX('Feijão 1ª safra'!$E72:$Z72,MIN(H$6-$G$3,22))),0)))))</f>
        <v>0</v>
      </c>
      <c r="I74" s="27" t="n">
        <f aca="false">IF(COUNT('Feijão 1ª safra'!$E72:$Z72)=0,0,MAX(0,IF((I$6-$E$3)&lt;1,0,IFERROR(LOOKUP(2,1/('Feijão 1ª safra'!$E72:INDEX('Feijão 1ª safra'!$E72:$Z72,MIN(I$6-$E$3,22))&lt;&gt;""),'Feijão 1ª safra'!$E72:INDEX('Feijão 1ª safra'!$E72:$Z72,MIN(I$6-$E$3,22))),0))-IF($G$2,0,IF((I$6-$G$3)&lt;1,0,IFERROR(LOOKUP(2,1/('Feijão 1ª safra'!$E72:INDEX('Feijão 1ª safra'!$E72:$Z72,MIN(I$6-$G$3,22))&lt;&gt;""),'Feijão 1ª safra'!$E72:INDEX('Feijão 1ª safra'!$E72:$Z72,MIN(I$6-$G$3,22))),0)))))</f>
        <v>0</v>
      </c>
      <c r="J74" s="27" t="n">
        <f aca="false">IF(COUNT('Feijão 1ª safra'!$E72:$Z72)=0,0,MAX(0,IF((J$6-$E$3)&lt;1,0,IFERROR(LOOKUP(2,1/('Feijão 1ª safra'!$E72:INDEX('Feijão 1ª safra'!$E72:$Z72,MIN(J$6-$E$3,22))&lt;&gt;""),'Feijão 1ª safra'!$E72:INDEX('Feijão 1ª safra'!$E72:$Z72,MIN(J$6-$E$3,22))),0))-IF($G$2,0,IF((J$6-$G$3)&lt;1,0,IFERROR(LOOKUP(2,1/('Feijão 1ª safra'!$E72:INDEX('Feijão 1ª safra'!$E72:$Z72,MIN(J$6-$G$3,22))&lt;&gt;""),'Feijão 1ª safra'!$E72:INDEX('Feijão 1ª safra'!$E72:$Z72,MIN(J$6-$G$3,22))),0)))))</f>
        <v>0</v>
      </c>
      <c r="K74" s="27" t="n">
        <f aca="false">IF(COUNT('Feijão 1ª safra'!$E72:$Z72)=0,0,MAX(0,IF((K$6-$E$3)&lt;1,0,IFERROR(LOOKUP(2,1/('Feijão 1ª safra'!$E72:INDEX('Feijão 1ª safra'!$E72:$Z72,MIN(K$6-$E$3,22))&lt;&gt;""),'Feijão 1ª safra'!$E72:INDEX('Feijão 1ª safra'!$E72:$Z72,MIN(K$6-$E$3,22))),0))-IF($G$2,0,IF((K$6-$G$3)&lt;1,0,IFERROR(LOOKUP(2,1/('Feijão 1ª safra'!$E72:INDEX('Feijão 1ª safra'!$E72:$Z72,MIN(K$6-$G$3,22))&lt;&gt;""),'Feijão 1ª safra'!$E72:INDEX('Feijão 1ª safra'!$E72:$Z72,MIN(K$6-$G$3,22))),0)))))</f>
        <v>0</v>
      </c>
      <c r="L74" s="27" t="n">
        <f aca="false">IF(COUNT('Feijão 1ª safra'!$E72:$Z72)=0,0,MAX(0,IF((L$6-$E$3)&lt;1,0,IFERROR(LOOKUP(2,1/('Feijão 1ª safra'!$E72:INDEX('Feijão 1ª safra'!$E72:$Z72,MIN(L$6-$E$3,22))&lt;&gt;""),'Feijão 1ª safra'!$E72:INDEX('Feijão 1ª safra'!$E72:$Z72,MIN(L$6-$E$3,22))),0))-IF($G$2,0,IF((L$6-$G$3)&lt;1,0,IFERROR(LOOKUP(2,1/('Feijão 1ª safra'!$E72:INDEX('Feijão 1ª safra'!$E72:$Z72,MIN(L$6-$G$3,22))&lt;&gt;""),'Feijão 1ª safra'!$E72:INDEX('Feijão 1ª safra'!$E72:$Z72,MIN(L$6-$G$3,22))),0)))))</f>
        <v>0</v>
      </c>
      <c r="M74" s="27" t="n">
        <f aca="false">IF(COUNT('Feijão 1ª safra'!$E72:$Z72)=0,0,MAX(0,IF((M$6-$E$3)&lt;1,0,IFERROR(LOOKUP(2,1/('Feijão 1ª safra'!$E72:INDEX('Feijão 1ª safra'!$E72:$Z72,MIN(M$6-$E$3,22))&lt;&gt;""),'Feijão 1ª safra'!$E72:INDEX('Feijão 1ª safra'!$E72:$Z72,MIN(M$6-$E$3,22))),0))-IF($G$2,0,IF((M$6-$G$3)&lt;1,0,IFERROR(LOOKUP(2,1/('Feijão 1ª safra'!$E72:INDEX('Feijão 1ª safra'!$E72:$Z72,MIN(M$6-$G$3,22))&lt;&gt;""),'Feijão 1ª safra'!$E72:INDEX('Feijão 1ª safra'!$E72:$Z72,MIN(M$6-$G$3,22))),0)))))</f>
        <v>0</v>
      </c>
      <c r="N74" s="27" t="n">
        <f aca="false">IF(COUNT('Feijão 1ª safra'!$E72:$Z72)=0,0,MAX(0,IF((N$6-$E$3)&lt;1,0,IFERROR(LOOKUP(2,1/('Feijão 1ª safra'!$E72:INDEX('Feijão 1ª safra'!$E72:$Z72,MIN(N$6-$E$3,22))&lt;&gt;""),'Feijão 1ª safra'!$E72:INDEX('Feijão 1ª safra'!$E72:$Z72,MIN(N$6-$E$3,22))),0))-IF($G$2,0,IF((N$6-$G$3)&lt;1,0,IFERROR(LOOKUP(2,1/('Feijão 1ª safra'!$E72:INDEX('Feijão 1ª safra'!$E72:$Z72,MIN(N$6-$G$3,22))&lt;&gt;""),'Feijão 1ª safra'!$E72:INDEX('Feijão 1ª safra'!$E72:$Z72,MIN(N$6-$G$3,22))),0)))))</f>
        <v>0</v>
      </c>
      <c r="O74" s="27" t="n">
        <f aca="false">IF(COUNT('Feijão 1ª safra'!$E72:$Z72)=0,0,MAX(0,IF((O$6-$E$3)&lt;1,0,IFERROR(LOOKUP(2,1/('Feijão 1ª safra'!$E72:INDEX('Feijão 1ª safra'!$E72:$Z72,MIN(O$6-$E$3,22))&lt;&gt;""),'Feijão 1ª safra'!$E72:INDEX('Feijão 1ª safra'!$E72:$Z72,MIN(O$6-$E$3,22))),0))-IF($G$2,0,IF((O$6-$G$3)&lt;1,0,IFERROR(LOOKUP(2,1/('Feijão 1ª safra'!$E72:INDEX('Feijão 1ª safra'!$E72:$Z72,MIN(O$6-$G$3,22))&lt;&gt;""),'Feijão 1ª safra'!$E72:INDEX('Feijão 1ª safra'!$E72:$Z72,MIN(O$6-$G$3,22))),0)))))</f>
        <v>0</v>
      </c>
      <c r="P74" s="27" t="n">
        <f aca="false">IF(COUNT('Feijão 1ª safra'!$E72:$Z72)=0,0,MAX(0,IF((P$6-$E$3)&lt;1,0,IFERROR(LOOKUP(2,1/('Feijão 1ª safra'!$E72:INDEX('Feijão 1ª safra'!$E72:$Z72,MIN(P$6-$E$3,22))&lt;&gt;""),'Feijão 1ª safra'!$E72:INDEX('Feijão 1ª safra'!$E72:$Z72,MIN(P$6-$E$3,22))),0))-IF($G$2,0,IF((P$6-$G$3)&lt;1,0,IFERROR(LOOKUP(2,1/('Feijão 1ª safra'!$E72:INDEX('Feijão 1ª safra'!$E72:$Z72,MIN(P$6-$G$3,22))&lt;&gt;""),'Feijão 1ª safra'!$E72:INDEX('Feijão 1ª safra'!$E72:$Z72,MIN(P$6-$G$3,22))),0)))))</f>
        <v>0</v>
      </c>
      <c r="Q74" s="27" t="n">
        <f aca="false">IF(COUNT('Feijão 1ª safra'!$E72:$Z72)=0,0,MAX(0,IF((Q$6-$E$3)&lt;1,0,IFERROR(LOOKUP(2,1/('Feijão 1ª safra'!$E72:INDEX('Feijão 1ª safra'!$E72:$Z72,MIN(Q$6-$E$3,22))&lt;&gt;""),'Feijão 1ª safra'!$E72:INDEX('Feijão 1ª safra'!$E72:$Z72,MIN(Q$6-$E$3,22))),0))-IF($G$2,0,IF((Q$6-$G$3)&lt;1,0,IFERROR(LOOKUP(2,1/('Feijão 1ª safra'!$E72:INDEX('Feijão 1ª safra'!$E72:$Z72,MIN(Q$6-$G$3,22))&lt;&gt;""),'Feijão 1ª safra'!$E72:INDEX('Feijão 1ª safra'!$E72:$Z72,MIN(Q$6-$G$3,22))),0)))))</f>
        <v>0</v>
      </c>
      <c r="R74" s="27" t="n">
        <f aca="false">IF(COUNT('Feijão 1ª safra'!$E72:$Z72)=0,0,MAX(0,IF((R$6-$E$3)&lt;1,0,IFERROR(LOOKUP(2,1/('Feijão 1ª safra'!$E72:INDEX('Feijão 1ª safra'!$E72:$Z72,MIN(R$6-$E$3,22))&lt;&gt;""),'Feijão 1ª safra'!$E72:INDEX('Feijão 1ª safra'!$E72:$Z72,MIN(R$6-$E$3,22))),0))-IF($G$2,0,IF((R$6-$G$3)&lt;1,0,IFERROR(LOOKUP(2,1/('Feijão 1ª safra'!$E72:INDEX('Feijão 1ª safra'!$E72:$Z72,MIN(R$6-$G$3,22))&lt;&gt;""),'Feijão 1ª safra'!$E72:INDEX('Feijão 1ª safra'!$E72:$Z72,MIN(R$6-$G$3,22))),0)))))</f>
        <v>0</v>
      </c>
      <c r="S74" s="27" t="n">
        <f aca="false">IF(COUNT('Feijão 1ª safra'!$E72:$Z72)=0,0,MAX(0,IF((S$6-$E$3)&lt;1,0,IFERROR(LOOKUP(2,1/('Feijão 1ª safra'!$E72:INDEX('Feijão 1ª safra'!$E72:$Z72,MIN(S$6-$E$3,22))&lt;&gt;""),'Feijão 1ª safra'!$E72:INDEX('Feijão 1ª safra'!$E72:$Z72,MIN(S$6-$E$3,22))),0))-IF($G$2,0,IF((S$6-$G$3)&lt;1,0,IFERROR(LOOKUP(2,1/('Feijão 1ª safra'!$E72:INDEX('Feijão 1ª safra'!$E72:$Z72,MIN(S$6-$G$3,22))&lt;&gt;""),'Feijão 1ª safra'!$E72:INDEX('Feijão 1ª safra'!$E72:$Z72,MIN(S$6-$G$3,22))),0)))))</f>
        <v>0</v>
      </c>
      <c r="T74" s="27" t="n">
        <f aca="false">IF(COUNT('Feijão 1ª safra'!$E72:$Z72)=0,0,MAX(0,IF((T$6-$E$3)&lt;1,0,IFERROR(LOOKUP(2,1/('Feijão 1ª safra'!$E72:INDEX('Feijão 1ª safra'!$E72:$Z72,MIN(T$6-$E$3,22))&lt;&gt;""),'Feijão 1ª safra'!$E72:INDEX('Feijão 1ª safra'!$E72:$Z72,MIN(T$6-$E$3,22))),0))-IF($G$2,0,IF((T$6-$G$3)&lt;1,0,IFERROR(LOOKUP(2,1/('Feijão 1ª safra'!$E72:INDEX('Feijão 1ª safra'!$E72:$Z72,MIN(T$6-$G$3,22))&lt;&gt;""),'Feijão 1ª safra'!$E72:INDEX('Feijão 1ª safra'!$E72:$Z72,MIN(T$6-$G$3,22))),0)))))</f>
        <v>0</v>
      </c>
      <c r="U74" s="27" t="n">
        <f aca="false">IF(COUNT('Feijão 1ª safra'!$E72:$Z72)=0,0,MAX(0,IF((U$6-$E$3)&lt;1,0,IFERROR(LOOKUP(2,1/('Feijão 1ª safra'!$E72:INDEX('Feijão 1ª safra'!$E72:$Z72,MIN(U$6-$E$3,22))&lt;&gt;""),'Feijão 1ª safra'!$E72:INDEX('Feijão 1ª safra'!$E72:$Z72,MIN(U$6-$E$3,22))),0))-IF($G$2,0,IF((U$6-$G$3)&lt;1,0,IFERROR(LOOKUP(2,1/('Feijão 1ª safra'!$E72:INDEX('Feijão 1ª safra'!$E72:$Z72,MIN(U$6-$G$3,22))&lt;&gt;""),'Feijão 1ª safra'!$E72:INDEX('Feijão 1ª safra'!$E72:$Z72,MIN(U$6-$G$3,22))),0)))))</f>
        <v>0</v>
      </c>
      <c r="V74" s="27" t="n">
        <f aca="false">IF(COUNT('Feijão 1ª safra'!$E72:$Z72)=0,0,MAX(0,IF((V$6-$E$3)&lt;1,0,IFERROR(LOOKUP(2,1/('Feijão 1ª safra'!$E72:INDEX('Feijão 1ª safra'!$E72:$Z72,MIN(V$6-$E$3,22))&lt;&gt;""),'Feijão 1ª safra'!$E72:INDEX('Feijão 1ª safra'!$E72:$Z72,MIN(V$6-$E$3,22))),0))-IF($G$2,0,IF((V$6-$G$3)&lt;1,0,IFERROR(LOOKUP(2,1/('Feijão 1ª safra'!$E72:INDEX('Feijão 1ª safra'!$E72:$Z72,MIN(V$6-$G$3,22))&lt;&gt;""),'Feijão 1ª safra'!$E72:INDEX('Feijão 1ª safra'!$E72:$Z72,MIN(V$6-$G$3,22))),0)))))</f>
        <v>0</v>
      </c>
      <c r="W74" s="27" t="n">
        <f aca="false">IF(COUNT('Feijão 1ª safra'!$E72:$Z72)=0,0,MAX(0,IF((W$6-$E$3)&lt;1,0,IFERROR(LOOKUP(2,1/('Feijão 1ª safra'!$E72:INDEX('Feijão 1ª safra'!$E72:$Z72,MIN(W$6-$E$3,22))&lt;&gt;""),'Feijão 1ª safra'!$E72:INDEX('Feijão 1ª safra'!$E72:$Z72,MIN(W$6-$E$3,22))),0))-IF($G$2,0,IF((W$6-$G$3)&lt;1,0,IFERROR(LOOKUP(2,1/('Feijão 1ª safra'!$E72:INDEX('Feijão 1ª safra'!$E72:$Z72,MIN(W$6-$G$3,22))&lt;&gt;""),'Feijão 1ª safra'!$E72:INDEX('Feijão 1ª safra'!$E72:$Z72,MIN(W$6-$G$3,22))),0)))))</f>
        <v>0</v>
      </c>
      <c r="X74" s="27" t="n">
        <f aca="false">IF(COUNT('Feijão 1ª safra'!$E72:$Z72)=0,0,MAX(0,IF((X$6-$E$3)&lt;1,0,IFERROR(LOOKUP(2,1/('Feijão 1ª safra'!$E72:INDEX('Feijão 1ª safra'!$E72:$Z72,MIN(X$6-$E$3,22))&lt;&gt;""),'Feijão 1ª safra'!$E72:INDEX('Feijão 1ª safra'!$E72:$Z72,MIN(X$6-$E$3,22))),0))-IF($G$2,0,IF((X$6-$G$3)&lt;1,0,IFERROR(LOOKUP(2,1/('Feijão 1ª safra'!$E72:INDEX('Feijão 1ª safra'!$E72:$Z72,MIN(X$6-$G$3,22))&lt;&gt;""),'Feijão 1ª safra'!$E72:INDEX('Feijão 1ª safra'!$E72:$Z72,MIN(X$6-$G$3,22))),0)))))</f>
        <v>0</v>
      </c>
      <c r="Y74" s="27" t="n">
        <f aca="false">IF(COUNT('Feijão 1ª safra'!$E72:$Z72)=0,0,MAX(0,IF((Y$6-$E$3)&lt;1,0,IFERROR(LOOKUP(2,1/('Feijão 1ª safra'!$E72:INDEX('Feijão 1ª safra'!$E72:$Z72,MIN(Y$6-$E$3,22))&lt;&gt;""),'Feijão 1ª safra'!$E72:INDEX('Feijão 1ª safra'!$E72:$Z72,MIN(Y$6-$E$3,22))),0))-IF($G$2,0,IF((Y$6-$G$3)&lt;1,0,IFERROR(LOOKUP(2,1/('Feijão 1ª safra'!$E72:INDEX('Feijão 1ª safra'!$E72:$Z72,MIN(Y$6-$G$3,22))&lt;&gt;""),'Feijão 1ª safra'!$E72:INDEX('Feijão 1ª safra'!$E72:$Z72,MIN(Y$6-$G$3,22))),0)))))</f>
        <v>0</v>
      </c>
      <c r="Z74" s="27" t="n">
        <f aca="false">IF(COUNT('Feijão 1ª safra'!$E72:$Z72)=0,0,MAX(0,IF((Z$6-$E$3)&lt;1,0,IFERROR(LOOKUP(2,1/('Feijão 1ª safra'!$E72:INDEX('Feijão 1ª safra'!$E72:$Z72,MIN(Z$6-$E$3,22))&lt;&gt;""),'Feijão 1ª safra'!$E72:INDEX('Feijão 1ª safra'!$E72:$Z72,MIN(Z$6-$E$3,22))),0))-IF($G$2,0,IF((Z$6-$G$3)&lt;1,0,IFERROR(LOOKUP(2,1/('Feijão 1ª safra'!$E72:INDEX('Feijão 1ª safra'!$E72:$Z72,MIN(Z$6-$G$3,22))&lt;&gt;""),'Feijão 1ª safra'!$E72:INDEX('Feijão 1ª safra'!$E72:$Z72,MIN(Z$6-$G$3,22))),0)))))</f>
        <v>0</v>
      </c>
      <c r="AA74" s="27" t="n">
        <f aca="false">IF(COUNT('Feijão 1ª safra'!$E72:$Z72)=0,0,MAX(0,IF((AA$6-$E$3)&lt;1,0,IFERROR(LOOKUP(2,1/('Feijão 1ª safra'!$E72:INDEX('Feijão 1ª safra'!$E72:$Z72,MIN(AA$6-$E$3,22))&lt;&gt;""),'Feijão 1ª safra'!$E72:INDEX('Feijão 1ª safra'!$E72:$Z72,MIN(AA$6-$E$3,22))),0))-IF($G$2,0,IF((AA$6-$G$3)&lt;1,0,IFERROR(LOOKUP(2,1/('Feijão 1ª safra'!$E72:INDEX('Feijão 1ª safra'!$E72:$Z72,MIN(AA$6-$G$3,22))&lt;&gt;""),'Feijão 1ª safra'!$E72:INDEX('Feijão 1ª safra'!$E72:$Z72,MIN(AA$6-$G$3,22))),0)))))</f>
        <v>0</v>
      </c>
      <c r="AB74" s="27" t="n">
        <f aca="false">IF(COUNT('Feijão 1ª safra'!$E72:$Z72)=0,0,MAX(0,IF((AB$6-$E$3)&lt;1,0,IFERROR(LOOKUP(2,1/('Feijão 1ª safra'!$E72:INDEX('Feijão 1ª safra'!$E72:$Z72,MIN(AB$6-$E$3,22))&lt;&gt;""),'Feijão 1ª safra'!$E72:INDEX('Feijão 1ª safra'!$E72:$Z72,MIN(AB$6-$E$3,22))),0))-IF($G$2,0,IF((AB$6-$G$3)&lt;1,0,IFERROR(LOOKUP(2,1/('Feijão 1ª safra'!$E72:INDEX('Feijão 1ª safra'!$E72:$Z72,MIN(AB$6-$G$3,22))&lt;&gt;""),'Feijão 1ª safra'!$E72:INDEX('Feijão 1ª safra'!$E72:$Z72,MIN(AB$6-$G$3,22))),0)))))</f>
        <v>0</v>
      </c>
      <c r="AC74" s="27" t="n">
        <f aca="false">IF(COUNT('Feijão 1ª safra'!$E72:$Z72)=0,0,MAX(0,IF((AC$6-$E$3)&lt;1,0,IFERROR(LOOKUP(2,1/('Feijão 1ª safra'!$E72:INDEX('Feijão 1ª safra'!$E72:$Z72,MIN(AC$6-$E$3,22))&lt;&gt;""),'Feijão 1ª safra'!$E72:INDEX('Feijão 1ª safra'!$E72:$Z72,MIN(AC$6-$E$3,22))),0))-IF($G$2,0,IF((AC$6-$G$3)&lt;1,0,IFERROR(LOOKUP(2,1/('Feijão 1ª safra'!$E72:INDEX('Feijão 1ª safra'!$E72:$Z72,MIN(AC$6-$G$3,22))&lt;&gt;""),'Feijão 1ª safra'!$E72:INDEX('Feijão 1ª safra'!$E72:$Z72,MIN(AC$6-$G$3,22))),0)))))</f>
        <v>0</v>
      </c>
      <c r="AD74" s="27" t="n">
        <f aca="false">IF(COUNT('Feijão 1ª safra'!$E72:$Z72)=0,0,MAX(0,IF((AD$6-$E$3)&lt;1,0,IFERROR(LOOKUP(2,1/('Feijão 1ª safra'!$E72:INDEX('Feijão 1ª safra'!$E72:$Z72,MIN(AD$6-$E$3,22))&lt;&gt;""),'Feijão 1ª safra'!$E72:INDEX('Feijão 1ª safra'!$E72:$Z72,MIN(AD$6-$E$3,22))),0))-IF($G$2,0,IF((AD$6-$G$3)&lt;1,0,IFERROR(LOOKUP(2,1/('Feijão 1ª safra'!$E72:INDEX('Feijão 1ª safra'!$E72:$Z72,MIN(AD$6-$G$3,22))&lt;&gt;""),'Feijão 1ª safra'!$E72:INDEX('Feijão 1ª safra'!$E72:$Z72,MIN(AD$6-$G$3,22))),0)))))</f>
        <v>0</v>
      </c>
      <c r="AE74" s="27" t="n">
        <f aca="false">IF(COUNT('Feijão 1ª safra'!$E72:$Z72)=0,0,MAX(0,IF((AE$6-$E$3)&lt;1,0,IFERROR(LOOKUP(2,1/('Feijão 1ª safra'!$E72:INDEX('Feijão 1ª safra'!$E72:$Z72,MIN(AE$6-$E$3,22))&lt;&gt;""),'Feijão 1ª safra'!$E72:INDEX('Feijão 1ª safra'!$E72:$Z72,MIN(AE$6-$E$3,22))),0))-IF($G$2,0,IF((AE$6-$G$3)&lt;1,0,IFERROR(LOOKUP(2,1/('Feijão 1ª safra'!$E72:INDEX('Feijão 1ª safra'!$E72:$Z72,MIN(AE$6-$G$3,22))&lt;&gt;""),'Feijão 1ª safra'!$E72:INDEX('Feijão 1ª safra'!$E72:$Z72,MIN(AE$6-$G$3,22))),0)))))</f>
        <v>0</v>
      </c>
      <c r="AF74" s="27" t="n">
        <f aca="false">IF(COUNT('Feijão 1ª safra'!$E72:$Z72)=0,0,MAX(0,IF((AF$6-$E$3)&lt;1,0,IFERROR(LOOKUP(2,1/('Feijão 1ª safra'!$E72:INDEX('Feijão 1ª safra'!$E72:$Z72,MIN(AF$6-$E$3,22))&lt;&gt;""),'Feijão 1ª safra'!$E72:INDEX('Feijão 1ª safra'!$E72:$Z72,MIN(AF$6-$E$3,22))),0))-IF($G$2,0,IF((AF$6-$G$3)&lt;1,0,IFERROR(LOOKUP(2,1/('Feijão 1ª safra'!$E72:INDEX('Feijão 1ª safra'!$E72:$Z72,MIN(AF$6-$G$3,22))&lt;&gt;""),'Feijão 1ª safra'!$E72:INDEX('Feijão 1ª safra'!$E72:$Z72,MIN(AF$6-$G$3,22))),0)))))</f>
        <v>0</v>
      </c>
      <c r="AG74" s="27" t="n">
        <f aca="false">IF(COUNT('Feijão 1ª safra'!$E72:$Z72)=0,0,MAX(0,IF((AG$6-$E$3)&lt;1,0,IFERROR(LOOKUP(2,1/('Feijão 1ª safra'!$E72:INDEX('Feijão 1ª safra'!$E72:$Z72,MIN(AG$6-$E$3,22))&lt;&gt;""),'Feijão 1ª safra'!$E72:INDEX('Feijão 1ª safra'!$E72:$Z72,MIN(AG$6-$E$3,22))),0))-IF($G$2,0,IF((AG$6-$G$3)&lt;1,0,IFERROR(LOOKUP(2,1/('Feijão 1ª safra'!$E72:INDEX('Feijão 1ª safra'!$E72:$Z72,MIN(AG$6-$G$3,22))&lt;&gt;""),'Feijão 1ª safra'!$E72:INDEX('Feijão 1ª safra'!$E72:$Z72,MIN(AG$6-$G$3,22))),0)))))</f>
        <v>0</v>
      </c>
      <c r="AH74" s="27" t="n">
        <f aca="false">IF(COUNT('Feijão 1ª safra'!$E72:$Z72)=0,0,MAX(0,IF((AH$6-$E$3)&lt;1,0,IFERROR(LOOKUP(2,1/('Feijão 1ª safra'!$E72:INDEX('Feijão 1ª safra'!$E72:$Z72,MIN(AH$6-$E$3,22))&lt;&gt;""),'Feijão 1ª safra'!$E72:INDEX('Feijão 1ª safra'!$E72:$Z72,MIN(AH$6-$E$3,22))),0))-IF($G$2,0,IF((AH$6-$G$3)&lt;1,0,IFERROR(LOOKUP(2,1/('Feijão 1ª safra'!$E72:INDEX('Feijão 1ª safra'!$E72:$Z72,MIN(AH$6-$G$3,22))&lt;&gt;""),'Feijão 1ª safra'!$E72:INDEX('Feijão 1ª safra'!$E72:$Z72,MIN(AH$6-$G$3,22))),0)))))</f>
        <v>0</v>
      </c>
      <c r="AI74" s="27" t="n">
        <f aca="false">IF(COUNT('Feijão 1ª safra'!$E72:$Z72)=0,0,MAX(0,IF((AI$6-$E$3)&lt;1,0,IFERROR(LOOKUP(2,1/('Feijão 1ª safra'!$E72:INDEX('Feijão 1ª safra'!$E72:$Z72,MIN(AI$6-$E$3,22))&lt;&gt;""),'Feijão 1ª safra'!$E72:INDEX('Feijão 1ª safra'!$E72:$Z72,MIN(AI$6-$E$3,22))),0))-IF($G$2,0,IF((AI$6-$G$3)&lt;1,0,IFERROR(LOOKUP(2,1/('Feijão 1ª safra'!$E72:INDEX('Feijão 1ª safra'!$E72:$Z72,MIN(AI$6-$G$3,22))&lt;&gt;""),'Feijão 1ª safra'!$E72:INDEX('Feijão 1ª safra'!$E72:$Z72,MIN(AI$6-$G$3,22))),0)))))</f>
        <v>0</v>
      </c>
      <c r="AJ74" s="27" t="n">
        <f aca="false">IF(COUNT('Feijão 1ª safra'!$E72:$Z72)=0,0,MAX(0,IF((AJ$6-$E$3)&lt;1,0,IFERROR(LOOKUP(2,1/('Feijão 1ª safra'!$E72:INDEX('Feijão 1ª safra'!$E72:$Z72,MIN(AJ$6-$E$3,22))&lt;&gt;""),'Feijão 1ª safra'!$E72:INDEX('Feijão 1ª safra'!$E72:$Z72,MIN(AJ$6-$E$3,22))),0))-IF($G$2,0,IF((AJ$6-$G$3)&lt;1,0,IFERROR(LOOKUP(2,1/('Feijão 1ª safra'!$E72:INDEX('Feijão 1ª safra'!$E72:$Z72,MIN(AJ$6-$G$3,22))&lt;&gt;""),'Feijão 1ª safra'!$E72:INDEX('Feijão 1ª safra'!$E72:$Z72,MIN(AJ$6-$G$3,22))),0)))))</f>
        <v>0</v>
      </c>
      <c r="AK74" s="27" t="n">
        <f aca="false">IF(COUNT('Feijão 1ª safra'!$E72:$Z72)=0,0,MAX(0,IF((AK$6-$E$3)&lt;1,0,IFERROR(LOOKUP(2,1/('Feijão 1ª safra'!$E72:INDEX('Feijão 1ª safra'!$E72:$Z72,MIN(AK$6-$E$3,22))&lt;&gt;""),'Feijão 1ª safra'!$E72:INDEX('Feijão 1ª safra'!$E72:$Z72,MIN(AK$6-$E$3,22))),0))-IF($G$2,0,IF((AK$6-$G$3)&lt;1,0,IFERROR(LOOKUP(2,1/('Feijão 1ª safra'!$E72:INDEX('Feijão 1ª safra'!$E72:$Z72,MIN(AK$6-$G$3,22))&lt;&gt;""),'Feijão 1ª safra'!$E72:INDEX('Feijão 1ª safra'!$E72:$Z72,MIN(AK$6-$G$3,22))),0)))))</f>
        <v>0</v>
      </c>
      <c r="AL74" s="27" t="n">
        <f aca="false">IF(COUNT('Feijão 1ª safra'!$E72:$Z72)=0,0,MAX(0,IF((AL$6-$E$3)&lt;1,0,IFERROR(LOOKUP(2,1/('Feijão 1ª safra'!$E72:INDEX('Feijão 1ª safra'!$E72:$Z72,MIN(AL$6-$E$3,22))&lt;&gt;""),'Feijão 1ª safra'!$E72:INDEX('Feijão 1ª safra'!$E72:$Z72,MIN(AL$6-$E$3,22))),0))-IF($G$2,0,IF((AL$6-$G$3)&lt;1,0,IFERROR(LOOKUP(2,1/('Feijão 1ª safra'!$E72:INDEX('Feijão 1ª safra'!$E72:$Z72,MIN(AL$6-$G$3,22))&lt;&gt;""),'Feijão 1ª safra'!$E72:INDEX('Feijão 1ª safra'!$E72:$Z72,MIN(AL$6-$G$3,22))),0)))))</f>
        <v>0</v>
      </c>
      <c r="AM74" s="27" t="n">
        <f aca="false">IF(COUNT('Feijão 1ª safra'!$E72:$Z72)=0,0,MAX(0,IF((AM$6-$E$3)&lt;1,0,IFERROR(LOOKUP(2,1/('Feijão 1ª safra'!$E72:INDEX('Feijão 1ª safra'!$E72:$Z72,MIN(AM$6-$E$3,22))&lt;&gt;""),'Feijão 1ª safra'!$E72:INDEX('Feijão 1ª safra'!$E72:$Z72,MIN(AM$6-$E$3,22))),0))-IF($G$2,0,IF((AM$6-$G$3)&lt;1,0,IFERROR(LOOKUP(2,1/('Feijão 1ª safra'!$E72:INDEX('Feijão 1ª safra'!$E72:$Z72,MIN(AM$6-$G$3,22))&lt;&gt;""),'Feijão 1ª safra'!$E72:INDEX('Feijão 1ª safra'!$E72:$Z72,MIN(AM$6-$G$3,22))),0)))))</f>
        <v>0</v>
      </c>
      <c r="AN74" s="27" t="n">
        <f aca="false">IF(COUNT('Feijão 1ª safra'!$E72:$Z72)=0,0,MAX(0,IF((AN$6-$E$3)&lt;1,0,IFERROR(LOOKUP(2,1/('Feijão 1ª safra'!$E72:INDEX('Feijão 1ª safra'!$E72:$Z72,MIN(AN$6-$E$3,22))&lt;&gt;""),'Feijão 1ª safra'!$E72:INDEX('Feijão 1ª safra'!$E72:$Z72,MIN(AN$6-$E$3,22))),0))-IF($G$2,0,IF((AN$6-$G$3)&lt;1,0,IFERROR(LOOKUP(2,1/('Feijão 1ª safra'!$E72:INDEX('Feijão 1ª safra'!$E72:$Z72,MIN(AN$6-$G$3,22))&lt;&gt;""),'Feijão 1ª safra'!$E72:INDEX('Feijão 1ª safra'!$E72:$Z72,MIN(AN$6-$G$3,22))),0)))))</f>
        <v>0</v>
      </c>
      <c r="AO74" s="27" t="n">
        <f aca="false">IF(COUNT('Feijão 1ª safra'!$E72:$Z72)=0,0,MAX(0,IF((AO$6-$E$3)&lt;1,0,IFERROR(LOOKUP(2,1/('Feijão 1ª safra'!$E72:INDEX('Feijão 1ª safra'!$E72:$Z72,MIN(AO$6-$E$3,22))&lt;&gt;""),'Feijão 1ª safra'!$E72:INDEX('Feijão 1ª safra'!$E72:$Z72,MIN(AO$6-$E$3,22))),0))-IF($G$2,0,IF((AO$6-$G$3)&lt;1,0,IFERROR(LOOKUP(2,1/('Feijão 1ª safra'!$E72:INDEX('Feijão 1ª safra'!$E72:$Z72,MIN(AO$6-$G$3,22))&lt;&gt;""),'Feijão 1ª safra'!$E72:INDEX('Feijão 1ª safra'!$E72:$Z72,MIN(AO$6-$G$3,22))),0)))))</f>
        <v>0</v>
      </c>
      <c r="AP74" s="27" t="n">
        <f aca="false">IF(COUNT('Feijão 1ª safra'!$E72:$Z72)=0,0,MAX(0,IF((AP$6-$E$3)&lt;1,0,IFERROR(LOOKUP(2,1/('Feijão 1ª safra'!$E72:INDEX('Feijão 1ª safra'!$E72:$Z72,MIN(AP$6-$E$3,22))&lt;&gt;""),'Feijão 1ª safra'!$E72:INDEX('Feijão 1ª safra'!$E72:$Z72,MIN(AP$6-$E$3,22))),0))-IF($G$2,0,IF((AP$6-$G$3)&lt;1,0,IFERROR(LOOKUP(2,1/('Feijão 1ª safra'!$E72:INDEX('Feijão 1ª safra'!$E72:$Z72,MIN(AP$6-$G$3,22))&lt;&gt;""),'Feijão 1ª safra'!$E72:INDEX('Feijão 1ª safra'!$E72:$Z72,MIN(AP$6-$G$3,22))),0)))))</f>
        <v>0</v>
      </c>
      <c r="AQ74" s="27" t="n">
        <f aca="false">IF(COUNT('Feijão 1ª safra'!$E72:$Z72)=0,0,MAX(0,IF((AQ$6-$E$3)&lt;1,0,IFERROR(LOOKUP(2,1/('Feijão 1ª safra'!$E72:INDEX('Feijão 1ª safra'!$E72:$Z72,MIN(AQ$6-$E$3,22))&lt;&gt;""),'Feijão 1ª safra'!$E72:INDEX('Feijão 1ª safra'!$E72:$Z72,MIN(AQ$6-$E$3,22))),0))-IF($G$2,0,IF((AQ$6-$G$3)&lt;1,0,IFERROR(LOOKUP(2,1/('Feijão 1ª safra'!$E72:INDEX('Feijão 1ª safra'!$E72:$Z72,MIN(AQ$6-$G$3,22))&lt;&gt;""),'Feijão 1ª safra'!$E72:INDEX('Feijão 1ª safra'!$E72:$Z72,MIN(AQ$6-$G$3,22))),0)))))</f>
        <v>0</v>
      </c>
      <c r="AR74" s="27" t="n">
        <f aca="false">IF(COUNT('Feijão 1ª safra'!$E72:$Z72)=0,0,MAX(0,IF((AR$6-$E$3)&lt;1,0,IFERROR(LOOKUP(2,1/('Feijão 1ª safra'!$E72:INDEX('Feijão 1ª safra'!$E72:$Z72,MIN(AR$6-$E$3,22))&lt;&gt;""),'Feijão 1ª safra'!$E72:INDEX('Feijão 1ª safra'!$E72:$Z72,MIN(AR$6-$E$3,22))),0))-IF($G$2,0,IF((AR$6-$G$3)&lt;1,0,IFERROR(LOOKUP(2,1/('Feijão 1ª safra'!$E72:INDEX('Feijão 1ª safra'!$E72:$Z72,MIN(AR$6-$G$3,22))&lt;&gt;""),'Feijão 1ª safra'!$E72:INDEX('Feijão 1ª safra'!$E72:$Z72,MIN(AR$6-$G$3,22))),0)))))</f>
        <v>0</v>
      </c>
      <c r="AS74" s="27" t="n">
        <f aca="false">IF(COUNT('Feijão 1ª safra'!$E72:$Z72)=0,0,MAX(0,IF((AS$6-$E$3)&lt;1,0,IFERROR(LOOKUP(2,1/('Feijão 1ª safra'!$E72:INDEX('Feijão 1ª safra'!$E72:$Z72,MIN(AS$6-$E$3,22))&lt;&gt;""),'Feijão 1ª safra'!$E72:INDEX('Feijão 1ª safra'!$E72:$Z72,MIN(AS$6-$E$3,22))),0))-IF($G$2,0,IF((AS$6-$G$3)&lt;1,0,IFERROR(LOOKUP(2,1/('Feijão 1ª safra'!$E72:INDEX('Feijão 1ª safra'!$E72:$Z72,MIN(AS$6-$G$3,22))&lt;&gt;""),'Feijão 1ª safra'!$E72:INDEX('Feijão 1ª safra'!$E72:$Z72,MIN(AS$6-$G$3,22))),0)))))</f>
        <v>0</v>
      </c>
      <c r="AT74" s="27" t="n">
        <f aca="false">IF(COUNT('Feijão 1ª safra'!$E72:$Z72)=0,0,MAX(0,IF((AT$6-$E$3)&lt;1,0,IFERROR(LOOKUP(2,1/('Feijão 1ª safra'!$E72:INDEX('Feijão 1ª safra'!$E72:$Z72,MIN(AT$6-$E$3,22))&lt;&gt;""),'Feijão 1ª safra'!$E72:INDEX('Feijão 1ª safra'!$E72:$Z72,MIN(AT$6-$E$3,22))),0))-IF($G$2,0,IF((AT$6-$G$3)&lt;1,0,IFERROR(LOOKUP(2,1/('Feijão 1ª safra'!$E72:INDEX('Feijão 1ª safra'!$E72:$Z72,MIN(AT$6-$G$3,22))&lt;&gt;""),'Feijão 1ª safra'!$E72:INDEX('Feijão 1ª safra'!$E72:$Z72,MIN(AT$6-$G$3,22))),0)))))</f>
        <v>0</v>
      </c>
      <c r="AU74" s="27" t="n">
        <f aca="false">IF(COUNT('Feijão 1ª safra'!$E72:$Z72)=0,0,MAX(0,IF((AU$6-$E$3)&lt;1,0,IFERROR(LOOKUP(2,1/('Feijão 1ª safra'!$E72:INDEX('Feijão 1ª safra'!$E72:$Z72,MIN(AU$6-$E$3,22))&lt;&gt;""),'Feijão 1ª safra'!$E72:INDEX('Feijão 1ª safra'!$E72:$Z72,MIN(AU$6-$E$3,22))),0))-IF($G$2,0,IF((AU$6-$G$3)&lt;1,0,IFERROR(LOOKUP(2,1/('Feijão 1ª safra'!$E72:INDEX('Feijão 1ª safra'!$E72:$Z72,MIN(AU$6-$G$3,22))&lt;&gt;""),'Feijão 1ª safra'!$E72:INDEX('Feijão 1ª safra'!$E72:$Z72,MIN(AU$6-$G$3,22))),0)))))</f>
        <v>0</v>
      </c>
      <c r="AV74" s="27" t="n">
        <f aca="false">IF(COUNT('Feijão 1ª safra'!$E72:$Z72)=0,0,MAX(0,IF((AV$6-$E$3)&lt;1,0,IFERROR(LOOKUP(2,1/('Feijão 1ª safra'!$E72:INDEX('Feijão 1ª safra'!$E72:$Z72,MIN(AV$6-$E$3,22))&lt;&gt;""),'Feijão 1ª safra'!$E72:INDEX('Feijão 1ª safra'!$E72:$Z72,MIN(AV$6-$E$3,22))),0))-IF($G$2,0,IF((AV$6-$G$3)&lt;1,0,IFERROR(LOOKUP(2,1/('Feijão 1ª safra'!$E72:INDEX('Feijão 1ª safra'!$E72:$Z72,MIN(AV$6-$G$3,22))&lt;&gt;""),'Feijão 1ª safra'!$E72:INDEX('Feijão 1ª safra'!$E72:$Z72,MIN(AV$6-$G$3,22))),0)))))</f>
        <v>0</v>
      </c>
      <c r="AW74" s="27" t="n">
        <f aca="false">IF(COUNT('Feijão 1ª safra'!$E72:$Z72)=0,0,MAX(0,IF((AW$6-$E$3)&lt;1,0,IFERROR(LOOKUP(2,1/('Feijão 1ª safra'!$E72:INDEX('Feijão 1ª safra'!$E72:$Z72,MIN(AW$6-$E$3,22))&lt;&gt;""),'Feijão 1ª safra'!$E72:INDEX('Feijão 1ª safra'!$E72:$Z72,MIN(AW$6-$E$3,22))),0))-IF($G$2,0,IF((AW$6-$G$3)&lt;1,0,IFERROR(LOOKUP(2,1/('Feijão 1ª safra'!$E72:INDEX('Feijão 1ª safra'!$E72:$Z72,MIN(AW$6-$G$3,22))&lt;&gt;""),'Feijão 1ª safra'!$E72:INDEX('Feijão 1ª safra'!$E72:$Z72,MIN(AW$6-$G$3,22))),0)))))</f>
        <v>0</v>
      </c>
      <c r="AX74" s="27" t="n">
        <f aca="false">IF(COUNT('Feijão 1ª safra'!$E72:$Z72)=0,0,MAX(0,IF((AX$6-$E$3)&lt;1,0,IFERROR(LOOKUP(2,1/('Feijão 1ª safra'!$E72:INDEX('Feijão 1ª safra'!$E72:$Z72,MIN(AX$6-$E$3,22))&lt;&gt;""),'Feijão 1ª safra'!$E72:INDEX('Feijão 1ª safra'!$E72:$Z72,MIN(AX$6-$E$3,22))),0))-IF($G$2,0,IF((AX$6-$G$3)&lt;1,0,IFERROR(LOOKUP(2,1/('Feijão 1ª safra'!$E72:INDEX('Feijão 1ª safra'!$E72:$Z72,MIN(AX$6-$G$3,22))&lt;&gt;""),'Feijão 1ª safra'!$E72:INDEX('Feijão 1ª safra'!$E72:$Z72,MIN(AX$6-$G$3,22))),0)))))</f>
        <v>0</v>
      </c>
      <c r="AY74" s="27" t="n">
        <f aca="false">IF(COUNT('Feijão 1ª safra'!$E72:$Z72)=0,0,MAX(0,IF((AY$6-$E$3)&lt;1,0,IFERROR(LOOKUP(2,1/('Feijão 1ª safra'!$E72:INDEX('Feijão 1ª safra'!$E72:$Z72,MIN(AY$6-$E$3,22))&lt;&gt;""),'Feijão 1ª safra'!$E72:INDEX('Feijão 1ª safra'!$E72:$Z72,MIN(AY$6-$E$3,22))),0))-IF($G$2,0,IF((AY$6-$G$3)&lt;1,0,IFERROR(LOOKUP(2,1/('Feijão 1ª safra'!$E72:INDEX('Feijão 1ª safra'!$E72:$Z72,MIN(AY$6-$G$3,22))&lt;&gt;""),'Feijão 1ª safra'!$E72:INDEX('Feijão 1ª safra'!$E72:$Z72,MIN(AY$6-$G$3,22))),0)))))</f>
        <v>0</v>
      </c>
      <c r="AZ74" s="27" t="n">
        <f aca="false">IF(COUNT('Feijão 1ª safra'!$E72:$Z72)=0,0,MAX(0,IF((AZ$6-$E$3)&lt;1,0,IFERROR(LOOKUP(2,1/('Feijão 1ª safra'!$E72:INDEX('Feijão 1ª safra'!$E72:$Z72,MIN(AZ$6-$E$3,22))&lt;&gt;""),'Feijão 1ª safra'!$E72:INDEX('Feijão 1ª safra'!$E72:$Z72,MIN(AZ$6-$E$3,22))),0))-IF($G$2,0,IF((AZ$6-$G$3)&lt;1,0,IFERROR(LOOKUP(2,1/('Feijão 1ª safra'!$E72:INDEX('Feijão 1ª safra'!$E72:$Z72,MIN(AZ$6-$G$3,22))&lt;&gt;""),'Feijão 1ª safra'!$E72:INDEX('Feijão 1ª safra'!$E72:$Z72,MIN(AZ$6-$G$3,22))),0)))))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IF(COUNT('Feijão 1ª safra'!$E73:$Z73)&gt;0,N('Feijão 1ª safra'!$D73),0)</f>
        <v>0</v>
      </c>
      <c r="E75" s="27" t="n">
        <f aca="false">IF(COUNT('Feijão 1ª safra'!$E73:$Z73)=0,0,MAX(0,IF((E$6-$E$3)&lt;1,0,IFERROR(LOOKUP(2,1/('Feijão 1ª safra'!$E73:INDEX('Feijão 1ª safra'!$E73:$Z73,MIN(E$6-$E$3,22))&lt;&gt;""),'Feijão 1ª safra'!$E73:INDEX('Feijão 1ª safra'!$E73:$Z73,MIN(E$6-$E$3,22))),0))-IF($G$2,0,IF((E$6-$G$3)&lt;1,0,IFERROR(LOOKUP(2,1/('Feijão 1ª safra'!$E73:INDEX('Feijão 1ª safra'!$E73:$Z73,MIN(E$6-$G$3,22))&lt;&gt;""),'Feijão 1ª safra'!$E73:INDEX('Feijão 1ª safra'!$E73:$Z73,MIN(E$6-$G$3,22))),0)))))</f>
        <v>0</v>
      </c>
      <c r="F75" s="27" t="n">
        <f aca="false">IF(COUNT('Feijão 1ª safra'!$E73:$Z73)=0,0,MAX(0,IF((F$6-$E$3)&lt;1,0,IFERROR(LOOKUP(2,1/('Feijão 1ª safra'!$E73:INDEX('Feijão 1ª safra'!$E73:$Z73,MIN(F$6-$E$3,22))&lt;&gt;""),'Feijão 1ª safra'!$E73:INDEX('Feijão 1ª safra'!$E73:$Z73,MIN(F$6-$E$3,22))),0))-IF($G$2,0,IF((F$6-$G$3)&lt;1,0,IFERROR(LOOKUP(2,1/('Feijão 1ª safra'!$E73:INDEX('Feijão 1ª safra'!$E73:$Z73,MIN(F$6-$G$3,22))&lt;&gt;""),'Feijão 1ª safra'!$E73:INDEX('Feijão 1ª safra'!$E73:$Z73,MIN(F$6-$G$3,22))),0)))))</f>
        <v>0</v>
      </c>
      <c r="G75" s="27" t="n">
        <f aca="false">IF(COUNT('Feijão 1ª safra'!$E73:$Z73)=0,0,MAX(0,IF((G$6-$E$3)&lt;1,0,IFERROR(LOOKUP(2,1/('Feijão 1ª safra'!$E73:INDEX('Feijão 1ª safra'!$E73:$Z73,MIN(G$6-$E$3,22))&lt;&gt;""),'Feijão 1ª safra'!$E73:INDEX('Feijão 1ª safra'!$E73:$Z73,MIN(G$6-$E$3,22))),0))-IF($G$2,0,IF((G$6-$G$3)&lt;1,0,IFERROR(LOOKUP(2,1/('Feijão 1ª safra'!$E73:INDEX('Feijão 1ª safra'!$E73:$Z73,MIN(G$6-$G$3,22))&lt;&gt;""),'Feijão 1ª safra'!$E73:INDEX('Feijão 1ª safra'!$E73:$Z73,MIN(G$6-$G$3,22))),0)))))</f>
        <v>0</v>
      </c>
      <c r="H75" s="27" t="n">
        <f aca="false">IF(COUNT('Feijão 1ª safra'!$E73:$Z73)=0,0,MAX(0,IF((H$6-$E$3)&lt;1,0,IFERROR(LOOKUP(2,1/('Feijão 1ª safra'!$E73:INDEX('Feijão 1ª safra'!$E73:$Z73,MIN(H$6-$E$3,22))&lt;&gt;""),'Feijão 1ª safra'!$E73:INDEX('Feijão 1ª safra'!$E73:$Z73,MIN(H$6-$E$3,22))),0))-IF($G$2,0,IF((H$6-$G$3)&lt;1,0,IFERROR(LOOKUP(2,1/('Feijão 1ª safra'!$E73:INDEX('Feijão 1ª safra'!$E73:$Z73,MIN(H$6-$G$3,22))&lt;&gt;""),'Feijão 1ª safra'!$E73:INDEX('Feijão 1ª safra'!$E73:$Z73,MIN(H$6-$G$3,22))),0)))))</f>
        <v>0</v>
      </c>
      <c r="I75" s="27" t="n">
        <f aca="false">IF(COUNT('Feijão 1ª safra'!$E73:$Z73)=0,0,MAX(0,IF((I$6-$E$3)&lt;1,0,IFERROR(LOOKUP(2,1/('Feijão 1ª safra'!$E73:INDEX('Feijão 1ª safra'!$E73:$Z73,MIN(I$6-$E$3,22))&lt;&gt;""),'Feijão 1ª safra'!$E73:INDEX('Feijão 1ª safra'!$E73:$Z73,MIN(I$6-$E$3,22))),0))-IF($G$2,0,IF((I$6-$G$3)&lt;1,0,IFERROR(LOOKUP(2,1/('Feijão 1ª safra'!$E73:INDEX('Feijão 1ª safra'!$E73:$Z73,MIN(I$6-$G$3,22))&lt;&gt;""),'Feijão 1ª safra'!$E73:INDEX('Feijão 1ª safra'!$E73:$Z73,MIN(I$6-$G$3,22))),0)))))</f>
        <v>0</v>
      </c>
      <c r="J75" s="27" t="n">
        <f aca="false">IF(COUNT('Feijão 1ª safra'!$E73:$Z73)=0,0,MAX(0,IF((J$6-$E$3)&lt;1,0,IFERROR(LOOKUP(2,1/('Feijão 1ª safra'!$E73:INDEX('Feijão 1ª safra'!$E73:$Z73,MIN(J$6-$E$3,22))&lt;&gt;""),'Feijão 1ª safra'!$E73:INDEX('Feijão 1ª safra'!$E73:$Z73,MIN(J$6-$E$3,22))),0))-IF($G$2,0,IF((J$6-$G$3)&lt;1,0,IFERROR(LOOKUP(2,1/('Feijão 1ª safra'!$E73:INDEX('Feijão 1ª safra'!$E73:$Z73,MIN(J$6-$G$3,22))&lt;&gt;""),'Feijão 1ª safra'!$E73:INDEX('Feijão 1ª safra'!$E73:$Z73,MIN(J$6-$G$3,22))),0)))))</f>
        <v>0</v>
      </c>
      <c r="K75" s="27" t="n">
        <f aca="false">IF(COUNT('Feijão 1ª safra'!$E73:$Z73)=0,0,MAX(0,IF((K$6-$E$3)&lt;1,0,IFERROR(LOOKUP(2,1/('Feijão 1ª safra'!$E73:INDEX('Feijão 1ª safra'!$E73:$Z73,MIN(K$6-$E$3,22))&lt;&gt;""),'Feijão 1ª safra'!$E73:INDEX('Feijão 1ª safra'!$E73:$Z73,MIN(K$6-$E$3,22))),0))-IF($G$2,0,IF((K$6-$G$3)&lt;1,0,IFERROR(LOOKUP(2,1/('Feijão 1ª safra'!$E73:INDEX('Feijão 1ª safra'!$E73:$Z73,MIN(K$6-$G$3,22))&lt;&gt;""),'Feijão 1ª safra'!$E73:INDEX('Feijão 1ª safra'!$E73:$Z73,MIN(K$6-$G$3,22))),0)))))</f>
        <v>0</v>
      </c>
      <c r="L75" s="27" t="n">
        <f aca="false">IF(COUNT('Feijão 1ª safra'!$E73:$Z73)=0,0,MAX(0,IF((L$6-$E$3)&lt;1,0,IFERROR(LOOKUP(2,1/('Feijão 1ª safra'!$E73:INDEX('Feijão 1ª safra'!$E73:$Z73,MIN(L$6-$E$3,22))&lt;&gt;""),'Feijão 1ª safra'!$E73:INDEX('Feijão 1ª safra'!$E73:$Z73,MIN(L$6-$E$3,22))),0))-IF($G$2,0,IF((L$6-$G$3)&lt;1,0,IFERROR(LOOKUP(2,1/('Feijão 1ª safra'!$E73:INDEX('Feijão 1ª safra'!$E73:$Z73,MIN(L$6-$G$3,22))&lt;&gt;""),'Feijão 1ª safra'!$E73:INDEX('Feijão 1ª safra'!$E73:$Z73,MIN(L$6-$G$3,22))),0)))))</f>
        <v>0</v>
      </c>
      <c r="M75" s="27" t="n">
        <f aca="false">IF(COUNT('Feijão 1ª safra'!$E73:$Z73)=0,0,MAX(0,IF((M$6-$E$3)&lt;1,0,IFERROR(LOOKUP(2,1/('Feijão 1ª safra'!$E73:INDEX('Feijão 1ª safra'!$E73:$Z73,MIN(M$6-$E$3,22))&lt;&gt;""),'Feijão 1ª safra'!$E73:INDEX('Feijão 1ª safra'!$E73:$Z73,MIN(M$6-$E$3,22))),0))-IF($G$2,0,IF((M$6-$G$3)&lt;1,0,IFERROR(LOOKUP(2,1/('Feijão 1ª safra'!$E73:INDEX('Feijão 1ª safra'!$E73:$Z73,MIN(M$6-$G$3,22))&lt;&gt;""),'Feijão 1ª safra'!$E73:INDEX('Feijão 1ª safra'!$E73:$Z73,MIN(M$6-$G$3,22))),0)))))</f>
        <v>0</v>
      </c>
      <c r="N75" s="27" t="n">
        <f aca="false">IF(COUNT('Feijão 1ª safra'!$E73:$Z73)=0,0,MAX(0,IF((N$6-$E$3)&lt;1,0,IFERROR(LOOKUP(2,1/('Feijão 1ª safra'!$E73:INDEX('Feijão 1ª safra'!$E73:$Z73,MIN(N$6-$E$3,22))&lt;&gt;""),'Feijão 1ª safra'!$E73:INDEX('Feijão 1ª safra'!$E73:$Z73,MIN(N$6-$E$3,22))),0))-IF($G$2,0,IF((N$6-$G$3)&lt;1,0,IFERROR(LOOKUP(2,1/('Feijão 1ª safra'!$E73:INDEX('Feijão 1ª safra'!$E73:$Z73,MIN(N$6-$G$3,22))&lt;&gt;""),'Feijão 1ª safra'!$E73:INDEX('Feijão 1ª safra'!$E73:$Z73,MIN(N$6-$G$3,22))),0)))))</f>
        <v>0</v>
      </c>
      <c r="O75" s="27" t="n">
        <f aca="false">IF(COUNT('Feijão 1ª safra'!$E73:$Z73)=0,0,MAX(0,IF((O$6-$E$3)&lt;1,0,IFERROR(LOOKUP(2,1/('Feijão 1ª safra'!$E73:INDEX('Feijão 1ª safra'!$E73:$Z73,MIN(O$6-$E$3,22))&lt;&gt;""),'Feijão 1ª safra'!$E73:INDEX('Feijão 1ª safra'!$E73:$Z73,MIN(O$6-$E$3,22))),0))-IF($G$2,0,IF((O$6-$G$3)&lt;1,0,IFERROR(LOOKUP(2,1/('Feijão 1ª safra'!$E73:INDEX('Feijão 1ª safra'!$E73:$Z73,MIN(O$6-$G$3,22))&lt;&gt;""),'Feijão 1ª safra'!$E73:INDEX('Feijão 1ª safra'!$E73:$Z73,MIN(O$6-$G$3,22))),0)))))</f>
        <v>0</v>
      </c>
      <c r="P75" s="27" t="n">
        <f aca="false">IF(COUNT('Feijão 1ª safra'!$E73:$Z73)=0,0,MAX(0,IF((P$6-$E$3)&lt;1,0,IFERROR(LOOKUP(2,1/('Feijão 1ª safra'!$E73:INDEX('Feijão 1ª safra'!$E73:$Z73,MIN(P$6-$E$3,22))&lt;&gt;""),'Feijão 1ª safra'!$E73:INDEX('Feijão 1ª safra'!$E73:$Z73,MIN(P$6-$E$3,22))),0))-IF($G$2,0,IF((P$6-$G$3)&lt;1,0,IFERROR(LOOKUP(2,1/('Feijão 1ª safra'!$E73:INDEX('Feijão 1ª safra'!$E73:$Z73,MIN(P$6-$G$3,22))&lt;&gt;""),'Feijão 1ª safra'!$E73:INDEX('Feijão 1ª safra'!$E73:$Z73,MIN(P$6-$G$3,22))),0)))))</f>
        <v>0</v>
      </c>
      <c r="Q75" s="27" t="n">
        <f aca="false">IF(COUNT('Feijão 1ª safra'!$E73:$Z73)=0,0,MAX(0,IF((Q$6-$E$3)&lt;1,0,IFERROR(LOOKUP(2,1/('Feijão 1ª safra'!$E73:INDEX('Feijão 1ª safra'!$E73:$Z73,MIN(Q$6-$E$3,22))&lt;&gt;""),'Feijão 1ª safra'!$E73:INDEX('Feijão 1ª safra'!$E73:$Z73,MIN(Q$6-$E$3,22))),0))-IF($G$2,0,IF((Q$6-$G$3)&lt;1,0,IFERROR(LOOKUP(2,1/('Feijão 1ª safra'!$E73:INDEX('Feijão 1ª safra'!$E73:$Z73,MIN(Q$6-$G$3,22))&lt;&gt;""),'Feijão 1ª safra'!$E73:INDEX('Feijão 1ª safra'!$E73:$Z73,MIN(Q$6-$G$3,22))),0)))))</f>
        <v>0</v>
      </c>
      <c r="R75" s="27" t="n">
        <f aca="false">IF(COUNT('Feijão 1ª safra'!$E73:$Z73)=0,0,MAX(0,IF((R$6-$E$3)&lt;1,0,IFERROR(LOOKUP(2,1/('Feijão 1ª safra'!$E73:INDEX('Feijão 1ª safra'!$E73:$Z73,MIN(R$6-$E$3,22))&lt;&gt;""),'Feijão 1ª safra'!$E73:INDEX('Feijão 1ª safra'!$E73:$Z73,MIN(R$6-$E$3,22))),0))-IF($G$2,0,IF((R$6-$G$3)&lt;1,0,IFERROR(LOOKUP(2,1/('Feijão 1ª safra'!$E73:INDEX('Feijão 1ª safra'!$E73:$Z73,MIN(R$6-$G$3,22))&lt;&gt;""),'Feijão 1ª safra'!$E73:INDEX('Feijão 1ª safra'!$E73:$Z73,MIN(R$6-$G$3,22))),0)))))</f>
        <v>0</v>
      </c>
      <c r="S75" s="27" t="n">
        <f aca="false">IF(COUNT('Feijão 1ª safra'!$E73:$Z73)=0,0,MAX(0,IF((S$6-$E$3)&lt;1,0,IFERROR(LOOKUP(2,1/('Feijão 1ª safra'!$E73:INDEX('Feijão 1ª safra'!$E73:$Z73,MIN(S$6-$E$3,22))&lt;&gt;""),'Feijão 1ª safra'!$E73:INDEX('Feijão 1ª safra'!$E73:$Z73,MIN(S$6-$E$3,22))),0))-IF($G$2,0,IF((S$6-$G$3)&lt;1,0,IFERROR(LOOKUP(2,1/('Feijão 1ª safra'!$E73:INDEX('Feijão 1ª safra'!$E73:$Z73,MIN(S$6-$G$3,22))&lt;&gt;""),'Feijão 1ª safra'!$E73:INDEX('Feijão 1ª safra'!$E73:$Z73,MIN(S$6-$G$3,22))),0)))))</f>
        <v>0</v>
      </c>
      <c r="T75" s="27" t="n">
        <f aca="false">IF(COUNT('Feijão 1ª safra'!$E73:$Z73)=0,0,MAX(0,IF((T$6-$E$3)&lt;1,0,IFERROR(LOOKUP(2,1/('Feijão 1ª safra'!$E73:INDEX('Feijão 1ª safra'!$E73:$Z73,MIN(T$6-$E$3,22))&lt;&gt;""),'Feijão 1ª safra'!$E73:INDEX('Feijão 1ª safra'!$E73:$Z73,MIN(T$6-$E$3,22))),0))-IF($G$2,0,IF((T$6-$G$3)&lt;1,0,IFERROR(LOOKUP(2,1/('Feijão 1ª safra'!$E73:INDEX('Feijão 1ª safra'!$E73:$Z73,MIN(T$6-$G$3,22))&lt;&gt;""),'Feijão 1ª safra'!$E73:INDEX('Feijão 1ª safra'!$E73:$Z73,MIN(T$6-$G$3,22))),0)))))</f>
        <v>0</v>
      </c>
      <c r="U75" s="27" t="n">
        <f aca="false">IF(COUNT('Feijão 1ª safra'!$E73:$Z73)=0,0,MAX(0,IF((U$6-$E$3)&lt;1,0,IFERROR(LOOKUP(2,1/('Feijão 1ª safra'!$E73:INDEX('Feijão 1ª safra'!$E73:$Z73,MIN(U$6-$E$3,22))&lt;&gt;""),'Feijão 1ª safra'!$E73:INDEX('Feijão 1ª safra'!$E73:$Z73,MIN(U$6-$E$3,22))),0))-IF($G$2,0,IF((U$6-$G$3)&lt;1,0,IFERROR(LOOKUP(2,1/('Feijão 1ª safra'!$E73:INDEX('Feijão 1ª safra'!$E73:$Z73,MIN(U$6-$G$3,22))&lt;&gt;""),'Feijão 1ª safra'!$E73:INDEX('Feijão 1ª safra'!$E73:$Z73,MIN(U$6-$G$3,22))),0)))))</f>
        <v>0</v>
      </c>
      <c r="V75" s="27" t="n">
        <f aca="false">IF(COUNT('Feijão 1ª safra'!$E73:$Z73)=0,0,MAX(0,IF((V$6-$E$3)&lt;1,0,IFERROR(LOOKUP(2,1/('Feijão 1ª safra'!$E73:INDEX('Feijão 1ª safra'!$E73:$Z73,MIN(V$6-$E$3,22))&lt;&gt;""),'Feijão 1ª safra'!$E73:INDEX('Feijão 1ª safra'!$E73:$Z73,MIN(V$6-$E$3,22))),0))-IF($G$2,0,IF((V$6-$G$3)&lt;1,0,IFERROR(LOOKUP(2,1/('Feijão 1ª safra'!$E73:INDEX('Feijão 1ª safra'!$E73:$Z73,MIN(V$6-$G$3,22))&lt;&gt;""),'Feijão 1ª safra'!$E73:INDEX('Feijão 1ª safra'!$E73:$Z73,MIN(V$6-$G$3,22))),0)))))</f>
        <v>0</v>
      </c>
      <c r="W75" s="27" t="n">
        <f aca="false">IF(COUNT('Feijão 1ª safra'!$E73:$Z73)=0,0,MAX(0,IF((W$6-$E$3)&lt;1,0,IFERROR(LOOKUP(2,1/('Feijão 1ª safra'!$E73:INDEX('Feijão 1ª safra'!$E73:$Z73,MIN(W$6-$E$3,22))&lt;&gt;""),'Feijão 1ª safra'!$E73:INDEX('Feijão 1ª safra'!$E73:$Z73,MIN(W$6-$E$3,22))),0))-IF($G$2,0,IF((W$6-$G$3)&lt;1,0,IFERROR(LOOKUP(2,1/('Feijão 1ª safra'!$E73:INDEX('Feijão 1ª safra'!$E73:$Z73,MIN(W$6-$G$3,22))&lt;&gt;""),'Feijão 1ª safra'!$E73:INDEX('Feijão 1ª safra'!$E73:$Z73,MIN(W$6-$G$3,22))),0)))))</f>
        <v>0</v>
      </c>
      <c r="X75" s="27" t="n">
        <f aca="false">IF(COUNT('Feijão 1ª safra'!$E73:$Z73)=0,0,MAX(0,IF((X$6-$E$3)&lt;1,0,IFERROR(LOOKUP(2,1/('Feijão 1ª safra'!$E73:INDEX('Feijão 1ª safra'!$E73:$Z73,MIN(X$6-$E$3,22))&lt;&gt;""),'Feijão 1ª safra'!$E73:INDEX('Feijão 1ª safra'!$E73:$Z73,MIN(X$6-$E$3,22))),0))-IF($G$2,0,IF((X$6-$G$3)&lt;1,0,IFERROR(LOOKUP(2,1/('Feijão 1ª safra'!$E73:INDEX('Feijão 1ª safra'!$E73:$Z73,MIN(X$6-$G$3,22))&lt;&gt;""),'Feijão 1ª safra'!$E73:INDEX('Feijão 1ª safra'!$E73:$Z73,MIN(X$6-$G$3,22))),0)))))</f>
        <v>0</v>
      </c>
      <c r="Y75" s="27" t="n">
        <f aca="false">IF(COUNT('Feijão 1ª safra'!$E73:$Z73)=0,0,MAX(0,IF((Y$6-$E$3)&lt;1,0,IFERROR(LOOKUP(2,1/('Feijão 1ª safra'!$E73:INDEX('Feijão 1ª safra'!$E73:$Z73,MIN(Y$6-$E$3,22))&lt;&gt;""),'Feijão 1ª safra'!$E73:INDEX('Feijão 1ª safra'!$E73:$Z73,MIN(Y$6-$E$3,22))),0))-IF($G$2,0,IF((Y$6-$G$3)&lt;1,0,IFERROR(LOOKUP(2,1/('Feijão 1ª safra'!$E73:INDEX('Feijão 1ª safra'!$E73:$Z73,MIN(Y$6-$G$3,22))&lt;&gt;""),'Feijão 1ª safra'!$E73:INDEX('Feijão 1ª safra'!$E73:$Z73,MIN(Y$6-$G$3,22))),0)))))</f>
        <v>0</v>
      </c>
      <c r="Z75" s="27" t="n">
        <f aca="false">IF(COUNT('Feijão 1ª safra'!$E73:$Z73)=0,0,MAX(0,IF((Z$6-$E$3)&lt;1,0,IFERROR(LOOKUP(2,1/('Feijão 1ª safra'!$E73:INDEX('Feijão 1ª safra'!$E73:$Z73,MIN(Z$6-$E$3,22))&lt;&gt;""),'Feijão 1ª safra'!$E73:INDEX('Feijão 1ª safra'!$E73:$Z73,MIN(Z$6-$E$3,22))),0))-IF($G$2,0,IF((Z$6-$G$3)&lt;1,0,IFERROR(LOOKUP(2,1/('Feijão 1ª safra'!$E73:INDEX('Feijão 1ª safra'!$E73:$Z73,MIN(Z$6-$G$3,22))&lt;&gt;""),'Feijão 1ª safra'!$E73:INDEX('Feijão 1ª safra'!$E73:$Z73,MIN(Z$6-$G$3,22))),0)))))</f>
        <v>0</v>
      </c>
      <c r="AA75" s="27" t="n">
        <f aca="false">IF(COUNT('Feijão 1ª safra'!$E73:$Z73)=0,0,MAX(0,IF((AA$6-$E$3)&lt;1,0,IFERROR(LOOKUP(2,1/('Feijão 1ª safra'!$E73:INDEX('Feijão 1ª safra'!$E73:$Z73,MIN(AA$6-$E$3,22))&lt;&gt;""),'Feijão 1ª safra'!$E73:INDEX('Feijão 1ª safra'!$E73:$Z73,MIN(AA$6-$E$3,22))),0))-IF($G$2,0,IF((AA$6-$G$3)&lt;1,0,IFERROR(LOOKUP(2,1/('Feijão 1ª safra'!$E73:INDEX('Feijão 1ª safra'!$E73:$Z73,MIN(AA$6-$G$3,22))&lt;&gt;""),'Feijão 1ª safra'!$E73:INDEX('Feijão 1ª safra'!$E73:$Z73,MIN(AA$6-$G$3,22))),0)))))</f>
        <v>0</v>
      </c>
      <c r="AB75" s="27" t="n">
        <f aca="false">IF(COUNT('Feijão 1ª safra'!$E73:$Z73)=0,0,MAX(0,IF((AB$6-$E$3)&lt;1,0,IFERROR(LOOKUP(2,1/('Feijão 1ª safra'!$E73:INDEX('Feijão 1ª safra'!$E73:$Z73,MIN(AB$6-$E$3,22))&lt;&gt;""),'Feijão 1ª safra'!$E73:INDEX('Feijão 1ª safra'!$E73:$Z73,MIN(AB$6-$E$3,22))),0))-IF($G$2,0,IF((AB$6-$G$3)&lt;1,0,IFERROR(LOOKUP(2,1/('Feijão 1ª safra'!$E73:INDEX('Feijão 1ª safra'!$E73:$Z73,MIN(AB$6-$G$3,22))&lt;&gt;""),'Feijão 1ª safra'!$E73:INDEX('Feijão 1ª safra'!$E73:$Z73,MIN(AB$6-$G$3,22))),0)))))</f>
        <v>0</v>
      </c>
      <c r="AC75" s="27" t="n">
        <f aca="false">IF(COUNT('Feijão 1ª safra'!$E73:$Z73)=0,0,MAX(0,IF((AC$6-$E$3)&lt;1,0,IFERROR(LOOKUP(2,1/('Feijão 1ª safra'!$E73:INDEX('Feijão 1ª safra'!$E73:$Z73,MIN(AC$6-$E$3,22))&lt;&gt;""),'Feijão 1ª safra'!$E73:INDEX('Feijão 1ª safra'!$E73:$Z73,MIN(AC$6-$E$3,22))),0))-IF($G$2,0,IF((AC$6-$G$3)&lt;1,0,IFERROR(LOOKUP(2,1/('Feijão 1ª safra'!$E73:INDEX('Feijão 1ª safra'!$E73:$Z73,MIN(AC$6-$G$3,22))&lt;&gt;""),'Feijão 1ª safra'!$E73:INDEX('Feijão 1ª safra'!$E73:$Z73,MIN(AC$6-$G$3,22))),0)))))</f>
        <v>0</v>
      </c>
      <c r="AD75" s="27" t="n">
        <f aca="false">IF(COUNT('Feijão 1ª safra'!$E73:$Z73)=0,0,MAX(0,IF((AD$6-$E$3)&lt;1,0,IFERROR(LOOKUP(2,1/('Feijão 1ª safra'!$E73:INDEX('Feijão 1ª safra'!$E73:$Z73,MIN(AD$6-$E$3,22))&lt;&gt;""),'Feijão 1ª safra'!$E73:INDEX('Feijão 1ª safra'!$E73:$Z73,MIN(AD$6-$E$3,22))),0))-IF($G$2,0,IF((AD$6-$G$3)&lt;1,0,IFERROR(LOOKUP(2,1/('Feijão 1ª safra'!$E73:INDEX('Feijão 1ª safra'!$E73:$Z73,MIN(AD$6-$G$3,22))&lt;&gt;""),'Feijão 1ª safra'!$E73:INDEX('Feijão 1ª safra'!$E73:$Z73,MIN(AD$6-$G$3,22))),0)))))</f>
        <v>0</v>
      </c>
      <c r="AE75" s="27" t="n">
        <f aca="false">IF(COUNT('Feijão 1ª safra'!$E73:$Z73)=0,0,MAX(0,IF((AE$6-$E$3)&lt;1,0,IFERROR(LOOKUP(2,1/('Feijão 1ª safra'!$E73:INDEX('Feijão 1ª safra'!$E73:$Z73,MIN(AE$6-$E$3,22))&lt;&gt;""),'Feijão 1ª safra'!$E73:INDEX('Feijão 1ª safra'!$E73:$Z73,MIN(AE$6-$E$3,22))),0))-IF($G$2,0,IF((AE$6-$G$3)&lt;1,0,IFERROR(LOOKUP(2,1/('Feijão 1ª safra'!$E73:INDEX('Feijão 1ª safra'!$E73:$Z73,MIN(AE$6-$G$3,22))&lt;&gt;""),'Feijão 1ª safra'!$E73:INDEX('Feijão 1ª safra'!$E73:$Z73,MIN(AE$6-$G$3,22))),0)))))</f>
        <v>0</v>
      </c>
      <c r="AF75" s="27" t="n">
        <f aca="false">IF(COUNT('Feijão 1ª safra'!$E73:$Z73)=0,0,MAX(0,IF((AF$6-$E$3)&lt;1,0,IFERROR(LOOKUP(2,1/('Feijão 1ª safra'!$E73:INDEX('Feijão 1ª safra'!$E73:$Z73,MIN(AF$6-$E$3,22))&lt;&gt;""),'Feijão 1ª safra'!$E73:INDEX('Feijão 1ª safra'!$E73:$Z73,MIN(AF$6-$E$3,22))),0))-IF($G$2,0,IF((AF$6-$G$3)&lt;1,0,IFERROR(LOOKUP(2,1/('Feijão 1ª safra'!$E73:INDEX('Feijão 1ª safra'!$E73:$Z73,MIN(AF$6-$G$3,22))&lt;&gt;""),'Feijão 1ª safra'!$E73:INDEX('Feijão 1ª safra'!$E73:$Z73,MIN(AF$6-$G$3,22))),0)))))</f>
        <v>0</v>
      </c>
      <c r="AG75" s="27" t="n">
        <f aca="false">IF(COUNT('Feijão 1ª safra'!$E73:$Z73)=0,0,MAX(0,IF((AG$6-$E$3)&lt;1,0,IFERROR(LOOKUP(2,1/('Feijão 1ª safra'!$E73:INDEX('Feijão 1ª safra'!$E73:$Z73,MIN(AG$6-$E$3,22))&lt;&gt;""),'Feijão 1ª safra'!$E73:INDEX('Feijão 1ª safra'!$E73:$Z73,MIN(AG$6-$E$3,22))),0))-IF($G$2,0,IF((AG$6-$G$3)&lt;1,0,IFERROR(LOOKUP(2,1/('Feijão 1ª safra'!$E73:INDEX('Feijão 1ª safra'!$E73:$Z73,MIN(AG$6-$G$3,22))&lt;&gt;""),'Feijão 1ª safra'!$E73:INDEX('Feijão 1ª safra'!$E73:$Z73,MIN(AG$6-$G$3,22))),0)))))</f>
        <v>0</v>
      </c>
      <c r="AH75" s="27" t="n">
        <f aca="false">IF(COUNT('Feijão 1ª safra'!$E73:$Z73)=0,0,MAX(0,IF((AH$6-$E$3)&lt;1,0,IFERROR(LOOKUP(2,1/('Feijão 1ª safra'!$E73:INDEX('Feijão 1ª safra'!$E73:$Z73,MIN(AH$6-$E$3,22))&lt;&gt;""),'Feijão 1ª safra'!$E73:INDEX('Feijão 1ª safra'!$E73:$Z73,MIN(AH$6-$E$3,22))),0))-IF($G$2,0,IF((AH$6-$G$3)&lt;1,0,IFERROR(LOOKUP(2,1/('Feijão 1ª safra'!$E73:INDEX('Feijão 1ª safra'!$E73:$Z73,MIN(AH$6-$G$3,22))&lt;&gt;""),'Feijão 1ª safra'!$E73:INDEX('Feijão 1ª safra'!$E73:$Z73,MIN(AH$6-$G$3,22))),0)))))</f>
        <v>0</v>
      </c>
      <c r="AI75" s="27" t="n">
        <f aca="false">IF(COUNT('Feijão 1ª safra'!$E73:$Z73)=0,0,MAX(0,IF((AI$6-$E$3)&lt;1,0,IFERROR(LOOKUP(2,1/('Feijão 1ª safra'!$E73:INDEX('Feijão 1ª safra'!$E73:$Z73,MIN(AI$6-$E$3,22))&lt;&gt;""),'Feijão 1ª safra'!$E73:INDEX('Feijão 1ª safra'!$E73:$Z73,MIN(AI$6-$E$3,22))),0))-IF($G$2,0,IF((AI$6-$G$3)&lt;1,0,IFERROR(LOOKUP(2,1/('Feijão 1ª safra'!$E73:INDEX('Feijão 1ª safra'!$E73:$Z73,MIN(AI$6-$G$3,22))&lt;&gt;""),'Feijão 1ª safra'!$E73:INDEX('Feijão 1ª safra'!$E73:$Z73,MIN(AI$6-$G$3,22))),0)))))</f>
        <v>0</v>
      </c>
      <c r="AJ75" s="27" t="n">
        <f aca="false">IF(COUNT('Feijão 1ª safra'!$E73:$Z73)=0,0,MAX(0,IF((AJ$6-$E$3)&lt;1,0,IFERROR(LOOKUP(2,1/('Feijão 1ª safra'!$E73:INDEX('Feijão 1ª safra'!$E73:$Z73,MIN(AJ$6-$E$3,22))&lt;&gt;""),'Feijão 1ª safra'!$E73:INDEX('Feijão 1ª safra'!$E73:$Z73,MIN(AJ$6-$E$3,22))),0))-IF($G$2,0,IF((AJ$6-$G$3)&lt;1,0,IFERROR(LOOKUP(2,1/('Feijão 1ª safra'!$E73:INDEX('Feijão 1ª safra'!$E73:$Z73,MIN(AJ$6-$G$3,22))&lt;&gt;""),'Feijão 1ª safra'!$E73:INDEX('Feijão 1ª safra'!$E73:$Z73,MIN(AJ$6-$G$3,22))),0)))))</f>
        <v>0</v>
      </c>
      <c r="AK75" s="27" t="n">
        <f aca="false">IF(COUNT('Feijão 1ª safra'!$E73:$Z73)=0,0,MAX(0,IF((AK$6-$E$3)&lt;1,0,IFERROR(LOOKUP(2,1/('Feijão 1ª safra'!$E73:INDEX('Feijão 1ª safra'!$E73:$Z73,MIN(AK$6-$E$3,22))&lt;&gt;""),'Feijão 1ª safra'!$E73:INDEX('Feijão 1ª safra'!$E73:$Z73,MIN(AK$6-$E$3,22))),0))-IF($G$2,0,IF((AK$6-$G$3)&lt;1,0,IFERROR(LOOKUP(2,1/('Feijão 1ª safra'!$E73:INDEX('Feijão 1ª safra'!$E73:$Z73,MIN(AK$6-$G$3,22))&lt;&gt;""),'Feijão 1ª safra'!$E73:INDEX('Feijão 1ª safra'!$E73:$Z73,MIN(AK$6-$G$3,22))),0)))))</f>
        <v>0</v>
      </c>
      <c r="AL75" s="27" t="n">
        <f aca="false">IF(COUNT('Feijão 1ª safra'!$E73:$Z73)=0,0,MAX(0,IF((AL$6-$E$3)&lt;1,0,IFERROR(LOOKUP(2,1/('Feijão 1ª safra'!$E73:INDEX('Feijão 1ª safra'!$E73:$Z73,MIN(AL$6-$E$3,22))&lt;&gt;""),'Feijão 1ª safra'!$E73:INDEX('Feijão 1ª safra'!$E73:$Z73,MIN(AL$6-$E$3,22))),0))-IF($G$2,0,IF((AL$6-$G$3)&lt;1,0,IFERROR(LOOKUP(2,1/('Feijão 1ª safra'!$E73:INDEX('Feijão 1ª safra'!$E73:$Z73,MIN(AL$6-$G$3,22))&lt;&gt;""),'Feijão 1ª safra'!$E73:INDEX('Feijão 1ª safra'!$E73:$Z73,MIN(AL$6-$G$3,22))),0)))))</f>
        <v>0</v>
      </c>
      <c r="AM75" s="27" t="n">
        <f aca="false">IF(COUNT('Feijão 1ª safra'!$E73:$Z73)=0,0,MAX(0,IF((AM$6-$E$3)&lt;1,0,IFERROR(LOOKUP(2,1/('Feijão 1ª safra'!$E73:INDEX('Feijão 1ª safra'!$E73:$Z73,MIN(AM$6-$E$3,22))&lt;&gt;""),'Feijão 1ª safra'!$E73:INDEX('Feijão 1ª safra'!$E73:$Z73,MIN(AM$6-$E$3,22))),0))-IF($G$2,0,IF((AM$6-$G$3)&lt;1,0,IFERROR(LOOKUP(2,1/('Feijão 1ª safra'!$E73:INDEX('Feijão 1ª safra'!$E73:$Z73,MIN(AM$6-$G$3,22))&lt;&gt;""),'Feijão 1ª safra'!$E73:INDEX('Feijão 1ª safra'!$E73:$Z73,MIN(AM$6-$G$3,22))),0)))))</f>
        <v>0</v>
      </c>
      <c r="AN75" s="27" t="n">
        <f aca="false">IF(COUNT('Feijão 1ª safra'!$E73:$Z73)=0,0,MAX(0,IF((AN$6-$E$3)&lt;1,0,IFERROR(LOOKUP(2,1/('Feijão 1ª safra'!$E73:INDEX('Feijão 1ª safra'!$E73:$Z73,MIN(AN$6-$E$3,22))&lt;&gt;""),'Feijão 1ª safra'!$E73:INDEX('Feijão 1ª safra'!$E73:$Z73,MIN(AN$6-$E$3,22))),0))-IF($G$2,0,IF((AN$6-$G$3)&lt;1,0,IFERROR(LOOKUP(2,1/('Feijão 1ª safra'!$E73:INDEX('Feijão 1ª safra'!$E73:$Z73,MIN(AN$6-$G$3,22))&lt;&gt;""),'Feijão 1ª safra'!$E73:INDEX('Feijão 1ª safra'!$E73:$Z73,MIN(AN$6-$G$3,22))),0)))))</f>
        <v>0</v>
      </c>
      <c r="AO75" s="27" t="n">
        <f aca="false">IF(COUNT('Feijão 1ª safra'!$E73:$Z73)=0,0,MAX(0,IF((AO$6-$E$3)&lt;1,0,IFERROR(LOOKUP(2,1/('Feijão 1ª safra'!$E73:INDEX('Feijão 1ª safra'!$E73:$Z73,MIN(AO$6-$E$3,22))&lt;&gt;""),'Feijão 1ª safra'!$E73:INDEX('Feijão 1ª safra'!$E73:$Z73,MIN(AO$6-$E$3,22))),0))-IF($G$2,0,IF((AO$6-$G$3)&lt;1,0,IFERROR(LOOKUP(2,1/('Feijão 1ª safra'!$E73:INDEX('Feijão 1ª safra'!$E73:$Z73,MIN(AO$6-$G$3,22))&lt;&gt;""),'Feijão 1ª safra'!$E73:INDEX('Feijão 1ª safra'!$E73:$Z73,MIN(AO$6-$G$3,22))),0)))))</f>
        <v>0</v>
      </c>
      <c r="AP75" s="27" t="n">
        <f aca="false">IF(COUNT('Feijão 1ª safra'!$E73:$Z73)=0,0,MAX(0,IF((AP$6-$E$3)&lt;1,0,IFERROR(LOOKUP(2,1/('Feijão 1ª safra'!$E73:INDEX('Feijão 1ª safra'!$E73:$Z73,MIN(AP$6-$E$3,22))&lt;&gt;""),'Feijão 1ª safra'!$E73:INDEX('Feijão 1ª safra'!$E73:$Z73,MIN(AP$6-$E$3,22))),0))-IF($G$2,0,IF((AP$6-$G$3)&lt;1,0,IFERROR(LOOKUP(2,1/('Feijão 1ª safra'!$E73:INDEX('Feijão 1ª safra'!$E73:$Z73,MIN(AP$6-$G$3,22))&lt;&gt;""),'Feijão 1ª safra'!$E73:INDEX('Feijão 1ª safra'!$E73:$Z73,MIN(AP$6-$G$3,22))),0)))))</f>
        <v>0</v>
      </c>
      <c r="AQ75" s="27" t="n">
        <f aca="false">IF(COUNT('Feijão 1ª safra'!$E73:$Z73)=0,0,MAX(0,IF((AQ$6-$E$3)&lt;1,0,IFERROR(LOOKUP(2,1/('Feijão 1ª safra'!$E73:INDEX('Feijão 1ª safra'!$E73:$Z73,MIN(AQ$6-$E$3,22))&lt;&gt;""),'Feijão 1ª safra'!$E73:INDEX('Feijão 1ª safra'!$E73:$Z73,MIN(AQ$6-$E$3,22))),0))-IF($G$2,0,IF((AQ$6-$G$3)&lt;1,0,IFERROR(LOOKUP(2,1/('Feijão 1ª safra'!$E73:INDEX('Feijão 1ª safra'!$E73:$Z73,MIN(AQ$6-$G$3,22))&lt;&gt;""),'Feijão 1ª safra'!$E73:INDEX('Feijão 1ª safra'!$E73:$Z73,MIN(AQ$6-$G$3,22))),0)))))</f>
        <v>0</v>
      </c>
      <c r="AR75" s="27" t="n">
        <f aca="false">IF(COUNT('Feijão 1ª safra'!$E73:$Z73)=0,0,MAX(0,IF((AR$6-$E$3)&lt;1,0,IFERROR(LOOKUP(2,1/('Feijão 1ª safra'!$E73:INDEX('Feijão 1ª safra'!$E73:$Z73,MIN(AR$6-$E$3,22))&lt;&gt;""),'Feijão 1ª safra'!$E73:INDEX('Feijão 1ª safra'!$E73:$Z73,MIN(AR$6-$E$3,22))),0))-IF($G$2,0,IF((AR$6-$G$3)&lt;1,0,IFERROR(LOOKUP(2,1/('Feijão 1ª safra'!$E73:INDEX('Feijão 1ª safra'!$E73:$Z73,MIN(AR$6-$G$3,22))&lt;&gt;""),'Feijão 1ª safra'!$E73:INDEX('Feijão 1ª safra'!$E73:$Z73,MIN(AR$6-$G$3,22))),0)))))</f>
        <v>0</v>
      </c>
      <c r="AS75" s="27" t="n">
        <f aca="false">IF(COUNT('Feijão 1ª safra'!$E73:$Z73)=0,0,MAX(0,IF((AS$6-$E$3)&lt;1,0,IFERROR(LOOKUP(2,1/('Feijão 1ª safra'!$E73:INDEX('Feijão 1ª safra'!$E73:$Z73,MIN(AS$6-$E$3,22))&lt;&gt;""),'Feijão 1ª safra'!$E73:INDEX('Feijão 1ª safra'!$E73:$Z73,MIN(AS$6-$E$3,22))),0))-IF($G$2,0,IF((AS$6-$G$3)&lt;1,0,IFERROR(LOOKUP(2,1/('Feijão 1ª safra'!$E73:INDEX('Feijão 1ª safra'!$E73:$Z73,MIN(AS$6-$G$3,22))&lt;&gt;""),'Feijão 1ª safra'!$E73:INDEX('Feijão 1ª safra'!$E73:$Z73,MIN(AS$6-$G$3,22))),0)))))</f>
        <v>0</v>
      </c>
      <c r="AT75" s="27" t="n">
        <f aca="false">IF(COUNT('Feijão 1ª safra'!$E73:$Z73)=0,0,MAX(0,IF((AT$6-$E$3)&lt;1,0,IFERROR(LOOKUP(2,1/('Feijão 1ª safra'!$E73:INDEX('Feijão 1ª safra'!$E73:$Z73,MIN(AT$6-$E$3,22))&lt;&gt;""),'Feijão 1ª safra'!$E73:INDEX('Feijão 1ª safra'!$E73:$Z73,MIN(AT$6-$E$3,22))),0))-IF($G$2,0,IF((AT$6-$G$3)&lt;1,0,IFERROR(LOOKUP(2,1/('Feijão 1ª safra'!$E73:INDEX('Feijão 1ª safra'!$E73:$Z73,MIN(AT$6-$G$3,22))&lt;&gt;""),'Feijão 1ª safra'!$E73:INDEX('Feijão 1ª safra'!$E73:$Z73,MIN(AT$6-$G$3,22))),0)))))</f>
        <v>0</v>
      </c>
      <c r="AU75" s="27" t="n">
        <f aca="false">IF(COUNT('Feijão 1ª safra'!$E73:$Z73)=0,0,MAX(0,IF((AU$6-$E$3)&lt;1,0,IFERROR(LOOKUP(2,1/('Feijão 1ª safra'!$E73:INDEX('Feijão 1ª safra'!$E73:$Z73,MIN(AU$6-$E$3,22))&lt;&gt;""),'Feijão 1ª safra'!$E73:INDEX('Feijão 1ª safra'!$E73:$Z73,MIN(AU$6-$E$3,22))),0))-IF($G$2,0,IF((AU$6-$G$3)&lt;1,0,IFERROR(LOOKUP(2,1/('Feijão 1ª safra'!$E73:INDEX('Feijão 1ª safra'!$E73:$Z73,MIN(AU$6-$G$3,22))&lt;&gt;""),'Feijão 1ª safra'!$E73:INDEX('Feijão 1ª safra'!$E73:$Z73,MIN(AU$6-$G$3,22))),0)))))</f>
        <v>0</v>
      </c>
      <c r="AV75" s="27" t="n">
        <f aca="false">IF(COUNT('Feijão 1ª safra'!$E73:$Z73)=0,0,MAX(0,IF((AV$6-$E$3)&lt;1,0,IFERROR(LOOKUP(2,1/('Feijão 1ª safra'!$E73:INDEX('Feijão 1ª safra'!$E73:$Z73,MIN(AV$6-$E$3,22))&lt;&gt;""),'Feijão 1ª safra'!$E73:INDEX('Feijão 1ª safra'!$E73:$Z73,MIN(AV$6-$E$3,22))),0))-IF($G$2,0,IF((AV$6-$G$3)&lt;1,0,IFERROR(LOOKUP(2,1/('Feijão 1ª safra'!$E73:INDEX('Feijão 1ª safra'!$E73:$Z73,MIN(AV$6-$G$3,22))&lt;&gt;""),'Feijão 1ª safra'!$E73:INDEX('Feijão 1ª safra'!$E73:$Z73,MIN(AV$6-$G$3,22))),0)))))</f>
        <v>0</v>
      </c>
      <c r="AW75" s="27" t="n">
        <f aca="false">IF(COUNT('Feijão 1ª safra'!$E73:$Z73)=0,0,MAX(0,IF((AW$6-$E$3)&lt;1,0,IFERROR(LOOKUP(2,1/('Feijão 1ª safra'!$E73:INDEX('Feijão 1ª safra'!$E73:$Z73,MIN(AW$6-$E$3,22))&lt;&gt;""),'Feijão 1ª safra'!$E73:INDEX('Feijão 1ª safra'!$E73:$Z73,MIN(AW$6-$E$3,22))),0))-IF($G$2,0,IF((AW$6-$G$3)&lt;1,0,IFERROR(LOOKUP(2,1/('Feijão 1ª safra'!$E73:INDEX('Feijão 1ª safra'!$E73:$Z73,MIN(AW$6-$G$3,22))&lt;&gt;""),'Feijão 1ª safra'!$E73:INDEX('Feijão 1ª safra'!$E73:$Z73,MIN(AW$6-$G$3,22))),0)))))</f>
        <v>0</v>
      </c>
      <c r="AX75" s="27" t="n">
        <f aca="false">IF(COUNT('Feijão 1ª safra'!$E73:$Z73)=0,0,MAX(0,IF((AX$6-$E$3)&lt;1,0,IFERROR(LOOKUP(2,1/('Feijão 1ª safra'!$E73:INDEX('Feijão 1ª safra'!$E73:$Z73,MIN(AX$6-$E$3,22))&lt;&gt;""),'Feijão 1ª safra'!$E73:INDEX('Feijão 1ª safra'!$E73:$Z73,MIN(AX$6-$E$3,22))),0))-IF($G$2,0,IF((AX$6-$G$3)&lt;1,0,IFERROR(LOOKUP(2,1/('Feijão 1ª safra'!$E73:INDEX('Feijão 1ª safra'!$E73:$Z73,MIN(AX$6-$G$3,22))&lt;&gt;""),'Feijão 1ª safra'!$E73:INDEX('Feijão 1ª safra'!$E73:$Z73,MIN(AX$6-$G$3,22))),0)))))</f>
        <v>0</v>
      </c>
      <c r="AY75" s="27" t="n">
        <f aca="false">IF(COUNT('Feijão 1ª safra'!$E73:$Z73)=0,0,MAX(0,IF((AY$6-$E$3)&lt;1,0,IFERROR(LOOKUP(2,1/('Feijão 1ª safra'!$E73:INDEX('Feijão 1ª safra'!$E73:$Z73,MIN(AY$6-$E$3,22))&lt;&gt;""),'Feijão 1ª safra'!$E73:INDEX('Feijão 1ª safra'!$E73:$Z73,MIN(AY$6-$E$3,22))),0))-IF($G$2,0,IF((AY$6-$G$3)&lt;1,0,IFERROR(LOOKUP(2,1/('Feijão 1ª safra'!$E73:INDEX('Feijão 1ª safra'!$E73:$Z73,MIN(AY$6-$G$3,22))&lt;&gt;""),'Feijão 1ª safra'!$E73:INDEX('Feijão 1ª safra'!$E73:$Z73,MIN(AY$6-$G$3,22))),0)))))</f>
        <v>0</v>
      </c>
      <c r="AZ75" s="27" t="n">
        <f aca="false">IF(COUNT('Feijão 1ª safra'!$E73:$Z73)=0,0,MAX(0,IF((AZ$6-$E$3)&lt;1,0,IFERROR(LOOKUP(2,1/('Feijão 1ª safra'!$E73:INDEX('Feijão 1ª safra'!$E73:$Z73,MIN(AZ$6-$E$3,22))&lt;&gt;""),'Feijão 1ª safra'!$E73:INDEX('Feijão 1ª safra'!$E73:$Z73,MIN(AZ$6-$E$3,22))),0))-IF($G$2,0,IF((AZ$6-$G$3)&lt;1,0,IFERROR(LOOKUP(2,1/('Feijão 1ª safra'!$E73:INDEX('Feijão 1ª safra'!$E73:$Z73,MIN(AZ$6-$G$3,22))&lt;&gt;""),'Feijão 1ª safra'!$E73:INDEX('Feijão 1ª safra'!$E73:$Z73,MIN(AZ$6-$G$3,22))),0)))))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IF(COUNT('Feijão 1ª safra'!$E74:$Z74)&gt;0,N('Feijão 1ª safra'!$D74),0)</f>
        <v>0</v>
      </c>
      <c r="E76" s="27" t="n">
        <f aca="false">IF(COUNT('Feijão 1ª safra'!$E74:$Z74)=0,0,MAX(0,IF((E$6-$E$3)&lt;1,0,IFERROR(LOOKUP(2,1/('Feijão 1ª safra'!$E74:INDEX('Feijão 1ª safra'!$E74:$Z74,MIN(E$6-$E$3,22))&lt;&gt;""),'Feijão 1ª safra'!$E74:INDEX('Feijão 1ª safra'!$E74:$Z74,MIN(E$6-$E$3,22))),0))-IF($G$2,0,IF((E$6-$G$3)&lt;1,0,IFERROR(LOOKUP(2,1/('Feijão 1ª safra'!$E74:INDEX('Feijão 1ª safra'!$E74:$Z74,MIN(E$6-$G$3,22))&lt;&gt;""),'Feijão 1ª safra'!$E74:INDEX('Feijão 1ª safra'!$E74:$Z74,MIN(E$6-$G$3,22))),0)))))</f>
        <v>0</v>
      </c>
      <c r="F76" s="27" t="n">
        <f aca="false">IF(COUNT('Feijão 1ª safra'!$E74:$Z74)=0,0,MAX(0,IF((F$6-$E$3)&lt;1,0,IFERROR(LOOKUP(2,1/('Feijão 1ª safra'!$E74:INDEX('Feijão 1ª safra'!$E74:$Z74,MIN(F$6-$E$3,22))&lt;&gt;""),'Feijão 1ª safra'!$E74:INDEX('Feijão 1ª safra'!$E74:$Z74,MIN(F$6-$E$3,22))),0))-IF($G$2,0,IF((F$6-$G$3)&lt;1,0,IFERROR(LOOKUP(2,1/('Feijão 1ª safra'!$E74:INDEX('Feijão 1ª safra'!$E74:$Z74,MIN(F$6-$G$3,22))&lt;&gt;""),'Feijão 1ª safra'!$E74:INDEX('Feijão 1ª safra'!$E74:$Z74,MIN(F$6-$G$3,22))),0)))))</f>
        <v>0</v>
      </c>
      <c r="G76" s="27" t="n">
        <f aca="false">IF(COUNT('Feijão 1ª safra'!$E74:$Z74)=0,0,MAX(0,IF((G$6-$E$3)&lt;1,0,IFERROR(LOOKUP(2,1/('Feijão 1ª safra'!$E74:INDEX('Feijão 1ª safra'!$E74:$Z74,MIN(G$6-$E$3,22))&lt;&gt;""),'Feijão 1ª safra'!$E74:INDEX('Feijão 1ª safra'!$E74:$Z74,MIN(G$6-$E$3,22))),0))-IF($G$2,0,IF((G$6-$G$3)&lt;1,0,IFERROR(LOOKUP(2,1/('Feijão 1ª safra'!$E74:INDEX('Feijão 1ª safra'!$E74:$Z74,MIN(G$6-$G$3,22))&lt;&gt;""),'Feijão 1ª safra'!$E74:INDEX('Feijão 1ª safra'!$E74:$Z74,MIN(G$6-$G$3,22))),0)))))</f>
        <v>0</v>
      </c>
      <c r="H76" s="27" t="n">
        <f aca="false">IF(COUNT('Feijão 1ª safra'!$E74:$Z74)=0,0,MAX(0,IF((H$6-$E$3)&lt;1,0,IFERROR(LOOKUP(2,1/('Feijão 1ª safra'!$E74:INDEX('Feijão 1ª safra'!$E74:$Z74,MIN(H$6-$E$3,22))&lt;&gt;""),'Feijão 1ª safra'!$E74:INDEX('Feijão 1ª safra'!$E74:$Z74,MIN(H$6-$E$3,22))),0))-IF($G$2,0,IF((H$6-$G$3)&lt;1,0,IFERROR(LOOKUP(2,1/('Feijão 1ª safra'!$E74:INDEX('Feijão 1ª safra'!$E74:$Z74,MIN(H$6-$G$3,22))&lt;&gt;""),'Feijão 1ª safra'!$E74:INDEX('Feijão 1ª safra'!$E74:$Z74,MIN(H$6-$G$3,22))),0)))))</f>
        <v>0</v>
      </c>
      <c r="I76" s="27" t="n">
        <f aca="false">IF(COUNT('Feijão 1ª safra'!$E74:$Z74)=0,0,MAX(0,IF((I$6-$E$3)&lt;1,0,IFERROR(LOOKUP(2,1/('Feijão 1ª safra'!$E74:INDEX('Feijão 1ª safra'!$E74:$Z74,MIN(I$6-$E$3,22))&lt;&gt;""),'Feijão 1ª safra'!$E74:INDEX('Feijão 1ª safra'!$E74:$Z74,MIN(I$6-$E$3,22))),0))-IF($G$2,0,IF((I$6-$G$3)&lt;1,0,IFERROR(LOOKUP(2,1/('Feijão 1ª safra'!$E74:INDEX('Feijão 1ª safra'!$E74:$Z74,MIN(I$6-$G$3,22))&lt;&gt;""),'Feijão 1ª safra'!$E74:INDEX('Feijão 1ª safra'!$E74:$Z74,MIN(I$6-$G$3,22))),0)))))</f>
        <v>0</v>
      </c>
      <c r="J76" s="27" t="n">
        <f aca="false">IF(COUNT('Feijão 1ª safra'!$E74:$Z74)=0,0,MAX(0,IF((J$6-$E$3)&lt;1,0,IFERROR(LOOKUP(2,1/('Feijão 1ª safra'!$E74:INDEX('Feijão 1ª safra'!$E74:$Z74,MIN(J$6-$E$3,22))&lt;&gt;""),'Feijão 1ª safra'!$E74:INDEX('Feijão 1ª safra'!$E74:$Z74,MIN(J$6-$E$3,22))),0))-IF($G$2,0,IF((J$6-$G$3)&lt;1,0,IFERROR(LOOKUP(2,1/('Feijão 1ª safra'!$E74:INDEX('Feijão 1ª safra'!$E74:$Z74,MIN(J$6-$G$3,22))&lt;&gt;""),'Feijão 1ª safra'!$E74:INDEX('Feijão 1ª safra'!$E74:$Z74,MIN(J$6-$G$3,22))),0)))))</f>
        <v>0</v>
      </c>
      <c r="K76" s="27" t="n">
        <f aca="false">IF(COUNT('Feijão 1ª safra'!$E74:$Z74)=0,0,MAX(0,IF((K$6-$E$3)&lt;1,0,IFERROR(LOOKUP(2,1/('Feijão 1ª safra'!$E74:INDEX('Feijão 1ª safra'!$E74:$Z74,MIN(K$6-$E$3,22))&lt;&gt;""),'Feijão 1ª safra'!$E74:INDEX('Feijão 1ª safra'!$E74:$Z74,MIN(K$6-$E$3,22))),0))-IF($G$2,0,IF((K$6-$G$3)&lt;1,0,IFERROR(LOOKUP(2,1/('Feijão 1ª safra'!$E74:INDEX('Feijão 1ª safra'!$E74:$Z74,MIN(K$6-$G$3,22))&lt;&gt;""),'Feijão 1ª safra'!$E74:INDEX('Feijão 1ª safra'!$E74:$Z74,MIN(K$6-$G$3,22))),0)))))</f>
        <v>0</v>
      </c>
      <c r="L76" s="27" t="n">
        <f aca="false">IF(COUNT('Feijão 1ª safra'!$E74:$Z74)=0,0,MAX(0,IF((L$6-$E$3)&lt;1,0,IFERROR(LOOKUP(2,1/('Feijão 1ª safra'!$E74:INDEX('Feijão 1ª safra'!$E74:$Z74,MIN(L$6-$E$3,22))&lt;&gt;""),'Feijão 1ª safra'!$E74:INDEX('Feijão 1ª safra'!$E74:$Z74,MIN(L$6-$E$3,22))),0))-IF($G$2,0,IF((L$6-$G$3)&lt;1,0,IFERROR(LOOKUP(2,1/('Feijão 1ª safra'!$E74:INDEX('Feijão 1ª safra'!$E74:$Z74,MIN(L$6-$G$3,22))&lt;&gt;""),'Feijão 1ª safra'!$E74:INDEX('Feijão 1ª safra'!$E74:$Z74,MIN(L$6-$G$3,22))),0)))))</f>
        <v>0</v>
      </c>
      <c r="M76" s="27" t="n">
        <f aca="false">IF(COUNT('Feijão 1ª safra'!$E74:$Z74)=0,0,MAX(0,IF((M$6-$E$3)&lt;1,0,IFERROR(LOOKUP(2,1/('Feijão 1ª safra'!$E74:INDEX('Feijão 1ª safra'!$E74:$Z74,MIN(M$6-$E$3,22))&lt;&gt;""),'Feijão 1ª safra'!$E74:INDEX('Feijão 1ª safra'!$E74:$Z74,MIN(M$6-$E$3,22))),0))-IF($G$2,0,IF((M$6-$G$3)&lt;1,0,IFERROR(LOOKUP(2,1/('Feijão 1ª safra'!$E74:INDEX('Feijão 1ª safra'!$E74:$Z74,MIN(M$6-$G$3,22))&lt;&gt;""),'Feijão 1ª safra'!$E74:INDEX('Feijão 1ª safra'!$E74:$Z74,MIN(M$6-$G$3,22))),0)))))</f>
        <v>0</v>
      </c>
      <c r="N76" s="27" t="n">
        <f aca="false">IF(COUNT('Feijão 1ª safra'!$E74:$Z74)=0,0,MAX(0,IF((N$6-$E$3)&lt;1,0,IFERROR(LOOKUP(2,1/('Feijão 1ª safra'!$E74:INDEX('Feijão 1ª safra'!$E74:$Z74,MIN(N$6-$E$3,22))&lt;&gt;""),'Feijão 1ª safra'!$E74:INDEX('Feijão 1ª safra'!$E74:$Z74,MIN(N$6-$E$3,22))),0))-IF($G$2,0,IF((N$6-$G$3)&lt;1,0,IFERROR(LOOKUP(2,1/('Feijão 1ª safra'!$E74:INDEX('Feijão 1ª safra'!$E74:$Z74,MIN(N$6-$G$3,22))&lt;&gt;""),'Feijão 1ª safra'!$E74:INDEX('Feijão 1ª safra'!$E74:$Z74,MIN(N$6-$G$3,22))),0)))))</f>
        <v>0</v>
      </c>
      <c r="O76" s="27" t="n">
        <f aca="false">IF(COUNT('Feijão 1ª safra'!$E74:$Z74)=0,0,MAX(0,IF((O$6-$E$3)&lt;1,0,IFERROR(LOOKUP(2,1/('Feijão 1ª safra'!$E74:INDEX('Feijão 1ª safra'!$E74:$Z74,MIN(O$6-$E$3,22))&lt;&gt;""),'Feijão 1ª safra'!$E74:INDEX('Feijão 1ª safra'!$E74:$Z74,MIN(O$6-$E$3,22))),0))-IF($G$2,0,IF((O$6-$G$3)&lt;1,0,IFERROR(LOOKUP(2,1/('Feijão 1ª safra'!$E74:INDEX('Feijão 1ª safra'!$E74:$Z74,MIN(O$6-$G$3,22))&lt;&gt;""),'Feijão 1ª safra'!$E74:INDEX('Feijão 1ª safra'!$E74:$Z74,MIN(O$6-$G$3,22))),0)))))</f>
        <v>0</v>
      </c>
      <c r="P76" s="27" t="n">
        <f aca="false">IF(COUNT('Feijão 1ª safra'!$E74:$Z74)=0,0,MAX(0,IF((P$6-$E$3)&lt;1,0,IFERROR(LOOKUP(2,1/('Feijão 1ª safra'!$E74:INDEX('Feijão 1ª safra'!$E74:$Z74,MIN(P$6-$E$3,22))&lt;&gt;""),'Feijão 1ª safra'!$E74:INDEX('Feijão 1ª safra'!$E74:$Z74,MIN(P$6-$E$3,22))),0))-IF($G$2,0,IF((P$6-$G$3)&lt;1,0,IFERROR(LOOKUP(2,1/('Feijão 1ª safra'!$E74:INDEX('Feijão 1ª safra'!$E74:$Z74,MIN(P$6-$G$3,22))&lt;&gt;""),'Feijão 1ª safra'!$E74:INDEX('Feijão 1ª safra'!$E74:$Z74,MIN(P$6-$G$3,22))),0)))))</f>
        <v>0</v>
      </c>
      <c r="Q76" s="27" t="n">
        <f aca="false">IF(COUNT('Feijão 1ª safra'!$E74:$Z74)=0,0,MAX(0,IF((Q$6-$E$3)&lt;1,0,IFERROR(LOOKUP(2,1/('Feijão 1ª safra'!$E74:INDEX('Feijão 1ª safra'!$E74:$Z74,MIN(Q$6-$E$3,22))&lt;&gt;""),'Feijão 1ª safra'!$E74:INDEX('Feijão 1ª safra'!$E74:$Z74,MIN(Q$6-$E$3,22))),0))-IF($G$2,0,IF((Q$6-$G$3)&lt;1,0,IFERROR(LOOKUP(2,1/('Feijão 1ª safra'!$E74:INDEX('Feijão 1ª safra'!$E74:$Z74,MIN(Q$6-$G$3,22))&lt;&gt;""),'Feijão 1ª safra'!$E74:INDEX('Feijão 1ª safra'!$E74:$Z74,MIN(Q$6-$G$3,22))),0)))))</f>
        <v>0</v>
      </c>
      <c r="R76" s="27" t="n">
        <f aca="false">IF(COUNT('Feijão 1ª safra'!$E74:$Z74)=0,0,MAX(0,IF((R$6-$E$3)&lt;1,0,IFERROR(LOOKUP(2,1/('Feijão 1ª safra'!$E74:INDEX('Feijão 1ª safra'!$E74:$Z74,MIN(R$6-$E$3,22))&lt;&gt;""),'Feijão 1ª safra'!$E74:INDEX('Feijão 1ª safra'!$E74:$Z74,MIN(R$6-$E$3,22))),0))-IF($G$2,0,IF((R$6-$G$3)&lt;1,0,IFERROR(LOOKUP(2,1/('Feijão 1ª safra'!$E74:INDEX('Feijão 1ª safra'!$E74:$Z74,MIN(R$6-$G$3,22))&lt;&gt;""),'Feijão 1ª safra'!$E74:INDEX('Feijão 1ª safra'!$E74:$Z74,MIN(R$6-$G$3,22))),0)))))</f>
        <v>0</v>
      </c>
      <c r="S76" s="27" t="n">
        <f aca="false">IF(COUNT('Feijão 1ª safra'!$E74:$Z74)=0,0,MAX(0,IF((S$6-$E$3)&lt;1,0,IFERROR(LOOKUP(2,1/('Feijão 1ª safra'!$E74:INDEX('Feijão 1ª safra'!$E74:$Z74,MIN(S$6-$E$3,22))&lt;&gt;""),'Feijão 1ª safra'!$E74:INDEX('Feijão 1ª safra'!$E74:$Z74,MIN(S$6-$E$3,22))),0))-IF($G$2,0,IF((S$6-$G$3)&lt;1,0,IFERROR(LOOKUP(2,1/('Feijão 1ª safra'!$E74:INDEX('Feijão 1ª safra'!$E74:$Z74,MIN(S$6-$G$3,22))&lt;&gt;""),'Feijão 1ª safra'!$E74:INDEX('Feijão 1ª safra'!$E74:$Z74,MIN(S$6-$G$3,22))),0)))))</f>
        <v>0</v>
      </c>
      <c r="T76" s="27" t="n">
        <f aca="false">IF(COUNT('Feijão 1ª safra'!$E74:$Z74)=0,0,MAX(0,IF((T$6-$E$3)&lt;1,0,IFERROR(LOOKUP(2,1/('Feijão 1ª safra'!$E74:INDEX('Feijão 1ª safra'!$E74:$Z74,MIN(T$6-$E$3,22))&lt;&gt;""),'Feijão 1ª safra'!$E74:INDEX('Feijão 1ª safra'!$E74:$Z74,MIN(T$6-$E$3,22))),0))-IF($G$2,0,IF((T$6-$G$3)&lt;1,0,IFERROR(LOOKUP(2,1/('Feijão 1ª safra'!$E74:INDEX('Feijão 1ª safra'!$E74:$Z74,MIN(T$6-$G$3,22))&lt;&gt;""),'Feijão 1ª safra'!$E74:INDEX('Feijão 1ª safra'!$E74:$Z74,MIN(T$6-$G$3,22))),0)))))</f>
        <v>0</v>
      </c>
      <c r="U76" s="27" t="n">
        <f aca="false">IF(COUNT('Feijão 1ª safra'!$E74:$Z74)=0,0,MAX(0,IF((U$6-$E$3)&lt;1,0,IFERROR(LOOKUP(2,1/('Feijão 1ª safra'!$E74:INDEX('Feijão 1ª safra'!$E74:$Z74,MIN(U$6-$E$3,22))&lt;&gt;""),'Feijão 1ª safra'!$E74:INDEX('Feijão 1ª safra'!$E74:$Z74,MIN(U$6-$E$3,22))),0))-IF($G$2,0,IF((U$6-$G$3)&lt;1,0,IFERROR(LOOKUP(2,1/('Feijão 1ª safra'!$E74:INDEX('Feijão 1ª safra'!$E74:$Z74,MIN(U$6-$G$3,22))&lt;&gt;""),'Feijão 1ª safra'!$E74:INDEX('Feijão 1ª safra'!$E74:$Z74,MIN(U$6-$G$3,22))),0)))))</f>
        <v>0</v>
      </c>
      <c r="V76" s="27" t="n">
        <f aca="false">IF(COUNT('Feijão 1ª safra'!$E74:$Z74)=0,0,MAX(0,IF((V$6-$E$3)&lt;1,0,IFERROR(LOOKUP(2,1/('Feijão 1ª safra'!$E74:INDEX('Feijão 1ª safra'!$E74:$Z74,MIN(V$6-$E$3,22))&lt;&gt;""),'Feijão 1ª safra'!$E74:INDEX('Feijão 1ª safra'!$E74:$Z74,MIN(V$6-$E$3,22))),0))-IF($G$2,0,IF((V$6-$G$3)&lt;1,0,IFERROR(LOOKUP(2,1/('Feijão 1ª safra'!$E74:INDEX('Feijão 1ª safra'!$E74:$Z74,MIN(V$6-$G$3,22))&lt;&gt;""),'Feijão 1ª safra'!$E74:INDEX('Feijão 1ª safra'!$E74:$Z74,MIN(V$6-$G$3,22))),0)))))</f>
        <v>0</v>
      </c>
      <c r="W76" s="27" t="n">
        <f aca="false">IF(COUNT('Feijão 1ª safra'!$E74:$Z74)=0,0,MAX(0,IF((W$6-$E$3)&lt;1,0,IFERROR(LOOKUP(2,1/('Feijão 1ª safra'!$E74:INDEX('Feijão 1ª safra'!$E74:$Z74,MIN(W$6-$E$3,22))&lt;&gt;""),'Feijão 1ª safra'!$E74:INDEX('Feijão 1ª safra'!$E74:$Z74,MIN(W$6-$E$3,22))),0))-IF($G$2,0,IF((W$6-$G$3)&lt;1,0,IFERROR(LOOKUP(2,1/('Feijão 1ª safra'!$E74:INDEX('Feijão 1ª safra'!$E74:$Z74,MIN(W$6-$G$3,22))&lt;&gt;""),'Feijão 1ª safra'!$E74:INDEX('Feijão 1ª safra'!$E74:$Z74,MIN(W$6-$G$3,22))),0)))))</f>
        <v>0</v>
      </c>
      <c r="X76" s="27" t="n">
        <f aca="false">IF(COUNT('Feijão 1ª safra'!$E74:$Z74)=0,0,MAX(0,IF((X$6-$E$3)&lt;1,0,IFERROR(LOOKUP(2,1/('Feijão 1ª safra'!$E74:INDEX('Feijão 1ª safra'!$E74:$Z74,MIN(X$6-$E$3,22))&lt;&gt;""),'Feijão 1ª safra'!$E74:INDEX('Feijão 1ª safra'!$E74:$Z74,MIN(X$6-$E$3,22))),0))-IF($G$2,0,IF((X$6-$G$3)&lt;1,0,IFERROR(LOOKUP(2,1/('Feijão 1ª safra'!$E74:INDEX('Feijão 1ª safra'!$E74:$Z74,MIN(X$6-$G$3,22))&lt;&gt;""),'Feijão 1ª safra'!$E74:INDEX('Feijão 1ª safra'!$E74:$Z74,MIN(X$6-$G$3,22))),0)))))</f>
        <v>0</v>
      </c>
      <c r="Y76" s="27" t="n">
        <f aca="false">IF(COUNT('Feijão 1ª safra'!$E74:$Z74)=0,0,MAX(0,IF((Y$6-$E$3)&lt;1,0,IFERROR(LOOKUP(2,1/('Feijão 1ª safra'!$E74:INDEX('Feijão 1ª safra'!$E74:$Z74,MIN(Y$6-$E$3,22))&lt;&gt;""),'Feijão 1ª safra'!$E74:INDEX('Feijão 1ª safra'!$E74:$Z74,MIN(Y$6-$E$3,22))),0))-IF($G$2,0,IF((Y$6-$G$3)&lt;1,0,IFERROR(LOOKUP(2,1/('Feijão 1ª safra'!$E74:INDEX('Feijão 1ª safra'!$E74:$Z74,MIN(Y$6-$G$3,22))&lt;&gt;""),'Feijão 1ª safra'!$E74:INDEX('Feijão 1ª safra'!$E74:$Z74,MIN(Y$6-$G$3,22))),0)))))</f>
        <v>0</v>
      </c>
      <c r="Z76" s="27" t="n">
        <f aca="false">IF(COUNT('Feijão 1ª safra'!$E74:$Z74)=0,0,MAX(0,IF((Z$6-$E$3)&lt;1,0,IFERROR(LOOKUP(2,1/('Feijão 1ª safra'!$E74:INDEX('Feijão 1ª safra'!$E74:$Z74,MIN(Z$6-$E$3,22))&lt;&gt;""),'Feijão 1ª safra'!$E74:INDEX('Feijão 1ª safra'!$E74:$Z74,MIN(Z$6-$E$3,22))),0))-IF($G$2,0,IF((Z$6-$G$3)&lt;1,0,IFERROR(LOOKUP(2,1/('Feijão 1ª safra'!$E74:INDEX('Feijão 1ª safra'!$E74:$Z74,MIN(Z$6-$G$3,22))&lt;&gt;""),'Feijão 1ª safra'!$E74:INDEX('Feijão 1ª safra'!$E74:$Z74,MIN(Z$6-$G$3,22))),0)))))</f>
        <v>0</v>
      </c>
      <c r="AA76" s="27" t="n">
        <f aca="false">IF(COUNT('Feijão 1ª safra'!$E74:$Z74)=0,0,MAX(0,IF((AA$6-$E$3)&lt;1,0,IFERROR(LOOKUP(2,1/('Feijão 1ª safra'!$E74:INDEX('Feijão 1ª safra'!$E74:$Z74,MIN(AA$6-$E$3,22))&lt;&gt;""),'Feijão 1ª safra'!$E74:INDEX('Feijão 1ª safra'!$E74:$Z74,MIN(AA$6-$E$3,22))),0))-IF($G$2,0,IF((AA$6-$G$3)&lt;1,0,IFERROR(LOOKUP(2,1/('Feijão 1ª safra'!$E74:INDEX('Feijão 1ª safra'!$E74:$Z74,MIN(AA$6-$G$3,22))&lt;&gt;""),'Feijão 1ª safra'!$E74:INDEX('Feijão 1ª safra'!$E74:$Z74,MIN(AA$6-$G$3,22))),0)))))</f>
        <v>0</v>
      </c>
      <c r="AB76" s="27" t="n">
        <f aca="false">IF(COUNT('Feijão 1ª safra'!$E74:$Z74)=0,0,MAX(0,IF((AB$6-$E$3)&lt;1,0,IFERROR(LOOKUP(2,1/('Feijão 1ª safra'!$E74:INDEX('Feijão 1ª safra'!$E74:$Z74,MIN(AB$6-$E$3,22))&lt;&gt;""),'Feijão 1ª safra'!$E74:INDEX('Feijão 1ª safra'!$E74:$Z74,MIN(AB$6-$E$3,22))),0))-IF($G$2,0,IF((AB$6-$G$3)&lt;1,0,IFERROR(LOOKUP(2,1/('Feijão 1ª safra'!$E74:INDEX('Feijão 1ª safra'!$E74:$Z74,MIN(AB$6-$G$3,22))&lt;&gt;""),'Feijão 1ª safra'!$E74:INDEX('Feijão 1ª safra'!$E74:$Z74,MIN(AB$6-$G$3,22))),0)))))</f>
        <v>0</v>
      </c>
      <c r="AC76" s="27" t="n">
        <f aca="false">IF(COUNT('Feijão 1ª safra'!$E74:$Z74)=0,0,MAX(0,IF((AC$6-$E$3)&lt;1,0,IFERROR(LOOKUP(2,1/('Feijão 1ª safra'!$E74:INDEX('Feijão 1ª safra'!$E74:$Z74,MIN(AC$6-$E$3,22))&lt;&gt;""),'Feijão 1ª safra'!$E74:INDEX('Feijão 1ª safra'!$E74:$Z74,MIN(AC$6-$E$3,22))),0))-IF($G$2,0,IF((AC$6-$G$3)&lt;1,0,IFERROR(LOOKUP(2,1/('Feijão 1ª safra'!$E74:INDEX('Feijão 1ª safra'!$E74:$Z74,MIN(AC$6-$G$3,22))&lt;&gt;""),'Feijão 1ª safra'!$E74:INDEX('Feijão 1ª safra'!$E74:$Z74,MIN(AC$6-$G$3,22))),0)))))</f>
        <v>0</v>
      </c>
      <c r="AD76" s="27" t="n">
        <f aca="false">IF(COUNT('Feijão 1ª safra'!$E74:$Z74)=0,0,MAX(0,IF((AD$6-$E$3)&lt;1,0,IFERROR(LOOKUP(2,1/('Feijão 1ª safra'!$E74:INDEX('Feijão 1ª safra'!$E74:$Z74,MIN(AD$6-$E$3,22))&lt;&gt;""),'Feijão 1ª safra'!$E74:INDEX('Feijão 1ª safra'!$E74:$Z74,MIN(AD$6-$E$3,22))),0))-IF($G$2,0,IF((AD$6-$G$3)&lt;1,0,IFERROR(LOOKUP(2,1/('Feijão 1ª safra'!$E74:INDEX('Feijão 1ª safra'!$E74:$Z74,MIN(AD$6-$G$3,22))&lt;&gt;""),'Feijão 1ª safra'!$E74:INDEX('Feijão 1ª safra'!$E74:$Z74,MIN(AD$6-$G$3,22))),0)))))</f>
        <v>0</v>
      </c>
      <c r="AE76" s="27" t="n">
        <f aca="false">IF(COUNT('Feijão 1ª safra'!$E74:$Z74)=0,0,MAX(0,IF((AE$6-$E$3)&lt;1,0,IFERROR(LOOKUP(2,1/('Feijão 1ª safra'!$E74:INDEX('Feijão 1ª safra'!$E74:$Z74,MIN(AE$6-$E$3,22))&lt;&gt;""),'Feijão 1ª safra'!$E74:INDEX('Feijão 1ª safra'!$E74:$Z74,MIN(AE$6-$E$3,22))),0))-IF($G$2,0,IF((AE$6-$G$3)&lt;1,0,IFERROR(LOOKUP(2,1/('Feijão 1ª safra'!$E74:INDEX('Feijão 1ª safra'!$E74:$Z74,MIN(AE$6-$G$3,22))&lt;&gt;""),'Feijão 1ª safra'!$E74:INDEX('Feijão 1ª safra'!$E74:$Z74,MIN(AE$6-$G$3,22))),0)))))</f>
        <v>0</v>
      </c>
      <c r="AF76" s="27" t="n">
        <f aca="false">IF(COUNT('Feijão 1ª safra'!$E74:$Z74)=0,0,MAX(0,IF((AF$6-$E$3)&lt;1,0,IFERROR(LOOKUP(2,1/('Feijão 1ª safra'!$E74:INDEX('Feijão 1ª safra'!$E74:$Z74,MIN(AF$6-$E$3,22))&lt;&gt;""),'Feijão 1ª safra'!$E74:INDEX('Feijão 1ª safra'!$E74:$Z74,MIN(AF$6-$E$3,22))),0))-IF($G$2,0,IF((AF$6-$G$3)&lt;1,0,IFERROR(LOOKUP(2,1/('Feijão 1ª safra'!$E74:INDEX('Feijão 1ª safra'!$E74:$Z74,MIN(AF$6-$G$3,22))&lt;&gt;""),'Feijão 1ª safra'!$E74:INDEX('Feijão 1ª safra'!$E74:$Z74,MIN(AF$6-$G$3,22))),0)))))</f>
        <v>0</v>
      </c>
      <c r="AG76" s="27" t="n">
        <f aca="false">IF(COUNT('Feijão 1ª safra'!$E74:$Z74)=0,0,MAX(0,IF((AG$6-$E$3)&lt;1,0,IFERROR(LOOKUP(2,1/('Feijão 1ª safra'!$E74:INDEX('Feijão 1ª safra'!$E74:$Z74,MIN(AG$6-$E$3,22))&lt;&gt;""),'Feijão 1ª safra'!$E74:INDEX('Feijão 1ª safra'!$E74:$Z74,MIN(AG$6-$E$3,22))),0))-IF($G$2,0,IF((AG$6-$G$3)&lt;1,0,IFERROR(LOOKUP(2,1/('Feijão 1ª safra'!$E74:INDEX('Feijão 1ª safra'!$E74:$Z74,MIN(AG$6-$G$3,22))&lt;&gt;""),'Feijão 1ª safra'!$E74:INDEX('Feijão 1ª safra'!$E74:$Z74,MIN(AG$6-$G$3,22))),0)))))</f>
        <v>0</v>
      </c>
      <c r="AH76" s="27" t="n">
        <f aca="false">IF(COUNT('Feijão 1ª safra'!$E74:$Z74)=0,0,MAX(0,IF((AH$6-$E$3)&lt;1,0,IFERROR(LOOKUP(2,1/('Feijão 1ª safra'!$E74:INDEX('Feijão 1ª safra'!$E74:$Z74,MIN(AH$6-$E$3,22))&lt;&gt;""),'Feijão 1ª safra'!$E74:INDEX('Feijão 1ª safra'!$E74:$Z74,MIN(AH$6-$E$3,22))),0))-IF($G$2,0,IF((AH$6-$G$3)&lt;1,0,IFERROR(LOOKUP(2,1/('Feijão 1ª safra'!$E74:INDEX('Feijão 1ª safra'!$E74:$Z74,MIN(AH$6-$G$3,22))&lt;&gt;""),'Feijão 1ª safra'!$E74:INDEX('Feijão 1ª safra'!$E74:$Z74,MIN(AH$6-$G$3,22))),0)))))</f>
        <v>0</v>
      </c>
      <c r="AI76" s="27" t="n">
        <f aca="false">IF(COUNT('Feijão 1ª safra'!$E74:$Z74)=0,0,MAX(0,IF((AI$6-$E$3)&lt;1,0,IFERROR(LOOKUP(2,1/('Feijão 1ª safra'!$E74:INDEX('Feijão 1ª safra'!$E74:$Z74,MIN(AI$6-$E$3,22))&lt;&gt;""),'Feijão 1ª safra'!$E74:INDEX('Feijão 1ª safra'!$E74:$Z74,MIN(AI$6-$E$3,22))),0))-IF($G$2,0,IF((AI$6-$G$3)&lt;1,0,IFERROR(LOOKUP(2,1/('Feijão 1ª safra'!$E74:INDEX('Feijão 1ª safra'!$E74:$Z74,MIN(AI$6-$G$3,22))&lt;&gt;""),'Feijão 1ª safra'!$E74:INDEX('Feijão 1ª safra'!$E74:$Z74,MIN(AI$6-$G$3,22))),0)))))</f>
        <v>0</v>
      </c>
      <c r="AJ76" s="27" t="n">
        <f aca="false">IF(COUNT('Feijão 1ª safra'!$E74:$Z74)=0,0,MAX(0,IF((AJ$6-$E$3)&lt;1,0,IFERROR(LOOKUP(2,1/('Feijão 1ª safra'!$E74:INDEX('Feijão 1ª safra'!$E74:$Z74,MIN(AJ$6-$E$3,22))&lt;&gt;""),'Feijão 1ª safra'!$E74:INDEX('Feijão 1ª safra'!$E74:$Z74,MIN(AJ$6-$E$3,22))),0))-IF($G$2,0,IF((AJ$6-$G$3)&lt;1,0,IFERROR(LOOKUP(2,1/('Feijão 1ª safra'!$E74:INDEX('Feijão 1ª safra'!$E74:$Z74,MIN(AJ$6-$G$3,22))&lt;&gt;""),'Feijão 1ª safra'!$E74:INDEX('Feijão 1ª safra'!$E74:$Z74,MIN(AJ$6-$G$3,22))),0)))))</f>
        <v>0</v>
      </c>
      <c r="AK76" s="27" t="n">
        <f aca="false">IF(COUNT('Feijão 1ª safra'!$E74:$Z74)=0,0,MAX(0,IF((AK$6-$E$3)&lt;1,0,IFERROR(LOOKUP(2,1/('Feijão 1ª safra'!$E74:INDEX('Feijão 1ª safra'!$E74:$Z74,MIN(AK$6-$E$3,22))&lt;&gt;""),'Feijão 1ª safra'!$E74:INDEX('Feijão 1ª safra'!$E74:$Z74,MIN(AK$6-$E$3,22))),0))-IF($G$2,0,IF((AK$6-$G$3)&lt;1,0,IFERROR(LOOKUP(2,1/('Feijão 1ª safra'!$E74:INDEX('Feijão 1ª safra'!$E74:$Z74,MIN(AK$6-$G$3,22))&lt;&gt;""),'Feijão 1ª safra'!$E74:INDEX('Feijão 1ª safra'!$E74:$Z74,MIN(AK$6-$G$3,22))),0)))))</f>
        <v>0</v>
      </c>
      <c r="AL76" s="27" t="n">
        <f aca="false">IF(COUNT('Feijão 1ª safra'!$E74:$Z74)=0,0,MAX(0,IF((AL$6-$E$3)&lt;1,0,IFERROR(LOOKUP(2,1/('Feijão 1ª safra'!$E74:INDEX('Feijão 1ª safra'!$E74:$Z74,MIN(AL$6-$E$3,22))&lt;&gt;""),'Feijão 1ª safra'!$E74:INDEX('Feijão 1ª safra'!$E74:$Z74,MIN(AL$6-$E$3,22))),0))-IF($G$2,0,IF((AL$6-$G$3)&lt;1,0,IFERROR(LOOKUP(2,1/('Feijão 1ª safra'!$E74:INDEX('Feijão 1ª safra'!$E74:$Z74,MIN(AL$6-$G$3,22))&lt;&gt;""),'Feijão 1ª safra'!$E74:INDEX('Feijão 1ª safra'!$E74:$Z74,MIN(AL$6-$G$3,22))),0)))))</f>
        <v>0</v>
      </c>
      <c r="AM76" s="27" t="n">
        <f aca="false">IF(COUNT('Feijão 1ª safra'!$E74:$Z74)=0,0,MAX(0,IF((AM$6-$E$3)&lt;1,0,IFERROR(LOOKUP(2,1/('Feijão 1ª safra'!$E74:INDEX('Feijão 1ª safra'!$E74:$Z74,MIN(AM$6-$E$3,22))&lt;&gt;""),'Feijão 1ª safra'!$E74:INDEX('Feijão 1ª safra'!$E74:$Z74,MIN(AM$6-$E$3,22))),0))-IF($G$2,0,IF((AM$6-$G$3)&lt;1,0,IFERROR(LOOKUP(2,1/('Feijão 1ª safra'!$E74:INDEX('Feijão 1ª safra'!$E74:$Z74,MIN(AM$6-$G$3,22))&lt;&gt;""),'Feijão 1ª safra'!$E74:INDEX('Feijão 1ª safra'!$E74:$Z74,MIN(AM$6-$G$3,22))),0)))))</f>
        <v>0</v>
      </c>
      <c r="AN76" s="27" t="n">
        <f aca="false">IF(COUNT('Feijão 1ª safra'!$E74:$Z74)=0,0,MAX(0,IF((AN$6-$E$3)&lt;1,0,IFERROR(LOOKUP(2,1/('Feijão 1ª safra'!$E74:INDEX('Feijão 1ª safra'!$E74:$Z74,MIN(AN$6-$E$3,22))&lt;&gt;""),'Feijão 1ª safra'!$E74:INDEX('Feijão 1ª safra'!$E74:$Z74,MIN(AN$6-$E$3,22))),0))-IF($G$2,0,IF((AN$6-$G$3)&lt;1,0,IFERROR(LOOKUP(2,1/('Feijão 1ª safra'!$E74:INDEX('Feijão 1ª safra'!$E74:$Z74,MIN(AN$6-$G$3,22))&lt;&gt;""),'Feijão 1ª safra'!$E74:INDEX('Feijão 1ª safra'!$E74:$Z74,MIN(AN$6-$G$3,22))),0)))))</f>
        <v>0</v>
      </c>
      <c r="AO76" s="27" t="n">
        <f aca="false">IF(COUNT('Feijão 1ª safra'!$E74:$Z74)=0,0,MAX(0,IF((AO$6-$E$3)&lt;1,0,IFERROR(LOOKUP(2,1/('Feijão 1ª safra'!$E74:INDEX('Feijão 1ª safra'!$E74:$Z74,MIN(AO$6-$E$3,22))&lt;&gt;""),'Feijão 1ª safra'!$E74:INDEX('Feijão 1ª safra'!$E74:$Z74,MIN(AO$6-$E$3,22))),0))-IF($G$2,0,IF((AO$6-$G$3)&lt;1,0,IFERROR(LOOKUP(2,1/('Feijão 1ª safra'!$E74:INDEX('Feijão 1ª safra'!$E74:$Z74,MIN(AO$6-$G$3,22))&lt;&gt;""),'Feijão 1ª safra'!$E74:INDEX('Feijão 1ª safra'!$E74:$Z74,MIN(AO$6-$G$3,22))),0)))))</f>
        <v>0</v>
      </c>
      <c r="AP76" s="27" t="n">
        <f aca="false">IF(COUNT('Feijão 1ª safra'!$E74:$Z74)=0,0,MAX(0,IF((AP$6-$E$3)&lt;1,0,IFERROR(LOOKUP(2,1/('Feijão 1ª safra'!$E74:INDEX('Feijão 1ª safra'!$E74:$Z74,MIN(AP$6-$E$3,22))&lt;&gt;""),'Feijão 1ª safra'!$E74:INDEX('Feijão 1ª safra'!$E74:$Z74,MIN(AP$6-$E$3,22))),0))-IF($G$2,0,IF((AP$6-$G$3)&lt;1,0,IFERROR(LOOKUP(2,1/('Feijão 1ª safra'!$E74:INDEX('Feijão 1ª safra'!$E74:$Z74,MIN(AP$6-$G$3,22))&lt;&gt;""),'Feijão 1ª safra'!$E74:INDEX('Feijão 1ª safra'!$E74:$Z74,MIN(AP$6-$G$3,22))),0)))))</f>
        <v>0</v>
      </c>
      <c r="AQ76" s="27" t="n">
        <f aca="false">IF(COUNT('Feijão 1ª safra'!$E74:$Z74)=0,0,MAX(0,IF((AQ$6-$E$3)&lt;1,0,IFERROR(LOOKUP(2,1/('Feijão 1ª safra'!$E74:INDEX('Feijão 1ª safra'!$E74:$Z74,MIN(AQ$6-$E$3,22))&lt;&gt;""),'Feijão 1ª safra'!$E74:INDEX('Feijão 1ª safra'!$E74:$Z74,MIN(AQ$6-$E$3,22))),0))-IF($G$2,0,IF((AQ$6-$G$3)&lt;1,0,IFERROR(LOOKUP(2,1/('Feijão 1ª safra'!$E74:INDEX('Feijão 1ª safra'!$E74:$Z74,MIN(AQ$6-$G$3,22))&lt;&gt;""),'Feijão 1ª safra'!$E74:INDEX('Feijão 1ª safra'!$E74:$Z74,MIN(AQ$6-$G$3,22))),0)))))</f>
        <v>0</v>
      </c>
      <c r="AR76" s="27" t="n">
        <f aca="false">IF(COUNT('Feijão 1ª safra'!$E74:$Z74)=0,0,MAX(0,IF((AR$6-$E$3)&lt;1,0,IFERROR(LOOKUP(2,1/('Feijão 1ª safra'!$E74:INDEX('Feijão 1ª safra'!$E74:$Z74,MIN(AR$6-$E$3,22))&lt;&gt;""),'Feijão 1ª safra'!$E74:INDEX('Feijão 1ª safra'!$E74:$Z74,MIN(AR$6-$E$3,22))),0))-IF($G$2,0,IF((AR$6-$G$3)&lt;1,0,IFERROR(LOOKUP(2,1/('Feijão 1ª safra'!$E74:INDEX('Feijão 1ª safra'!$E74:$Z74,MIN(AR$6-$G$3,22))&lt;&gt;""),'Feijão 1ª safra'!$E74:INDEX('Feijão 1ª safra'!$E74:$Z74,MIN(AR$6-$G$3,22))),0)))))</f>
        <v>0</v>
      </c>
      <c r="AS76" s="27" t="n">
        <f aca="false">IF(COUNT('Feijão 1ª safra'!$E74:$Z74)=0,0,MAX(0,IF((AS$6-$E$3)&lt;1,0,IFERROR(LOOKUP(2,1/('Feijão 1ª safra'!$E74:INDEX('Feijão 1ª safra'!$E74:$Z74,MIN(AS$6-$E$3,22))&lt;&gt;""),'Feijão 1ª safra'!$E74:INDEX('Feijão 1ª safra'!$E74:$Z74,MIN(AS$6-$E$3,22))),0))-IF($G$2,0,IF((AS$6-$G$3)&lt;1,0,IFERROR(LOOKUP(2,1/('Feijão 1ª safra'!$E74:INDEX('Feijão 1ª safra'!$E74:$Z74,MIN(AS$6-$G$3,22))&lt;&gt;""),'Feijão 1ª safra'!$E74:INDEX('Feijão 1ª safra'!$E74:$Z74,MIN(AS$6-$G$3,22))),0)))))</f>
        <v>0</v>
      </c>
      <c r="AT76" s="27" t="n">
        <f aca="false">IF(COUNT('Feijão 1ª safra'!$E74:$Z74)=0,0,MAX(0,IF((AT$6-$E$3)&lt;1,0,IFERROR(LOOKUP(2,1/('Feijão 1ª safra'!$E74:INDEX('Feijão 1ª safra'!$E74:$Z74,MIN(AT$6-$E$3,22))&lt;&gt;""),'Feijão 1ª safra'!$E74:INDEX('Feijão 1ª safra'!$E74:$Z74,MIN(AT$6-$E$3,22))),0))-IF($G$2,0,IF((AT$6-$G$3)&lt;1,0,IFERROR(LOOKUP(2,1/('Feijão 1ª safra'!$E74:INDEX('Feijão 1ª safra'!$E74:$Z74,MIN(AT$6-$G$3,22))&lt;&gt;""),'Feijão 1ª safra'!$E74:INDEX('Feijão 1ª safra'!$E74:$Z74,MIN(AT$6-$G$3,22))),0)))))</f>
        <v>0</v>
      </c>
      <c r="AU76" s="27" t="n">
        <f aca="false">IF(COUNT('Feijão 1ª safra'!$E74:$Z74)=0,0,MAX(0,IF((AU$6-$E$3)&lt;1,0,IFERROR(LOOKUP(2,1/('Feijão 1ª safra'!$E74:INDEX('Feijão 1ª safra'!$E74:$Z74,MIN(AU$6-$E$3,22))&lt;&gt;""),'Feijão 1ª safra'!$E74:INDEX('Feijão 1ª safra'!$E74:$Z74,MIN(AU$6-$E$3,22))),0))-IF($G$2,0,IF((AU$6-$G$3)&lt;1,0,IFERROR(LOOKUP(2,1/('Feijão 1ª safra'!$E74:INDEX('Feijão 1ª safra'!$E74:$Z74,MIN(AU$6-$G$3,22))&lt;&gt;""),'Feijão 1ª safra'!$E74:INDEX('Feijão 1ª safra'!$E74:$Z74,MIN(AU$6-$G$3,22))),0)))))</f>
        <v>0</v>
      </c>
      <c r="AV76" s="27" t="n">
        <f aca="false">IF(COUNT('Feijão 1ª safra'!$E74:$Z74)=0,0,MAX(0,IF((AV$6-$E$3)&lt;1,0,IFERROR(LOOKUP(2,1/('Feijão 1ª safra'!$E74:INDEX('Feijão 1ª safra'!$E74:$Z74,MIN(AV$6-$E$3,22))&lt;&gt;""),'Feijão 1ª safra'!$E74:INDEX('Feijão 1ª safra'!$E74:$Z74,MIN(AV$6-$E$3,22))),0))-IF($G$2,0,IF((AV$6-$G$3)&lt;1,0,IFERROR(LOOKUP(2,1/('Feijão 1ª safra'!$E74:INDEX('Feijão 1ª safra'!$E74:$Z74,MIN(AV$6-$G$3,22))&lt;&gt;""),'Feijão 1ª safra'!$E74:INDEX('Feijão 1ª safra'!$E74:$Z74,MIN(AV$6-$G$3,22))),0)))))</f>
        <v>0</v>
      </c>
      <c r="AW76" s="27" t="n">
        <f aca="false">IF(COUNT('Feijão 1ª safra'!$E74:$Z74)=0,0,MAX(0,IF((AW$6-$E$3)&lt;1,0,IFERROR(LOOKUP(2,1/('Feijão 1ª safra'!$E74:INDEX('Feijão 1ª safra'!$E74:$Z74,MIN(AW$6-$E$3,22))&lt;&gt;""),'Feijão 1ª safra'!$E74:INDEX('Feijão 1ª safra'!$E74:$Z74,MIN(AW$6-$E$3,22))),0))-IF($G$2,0,IF((AW$6-$G$3)&lt;1,0,IFERROR(LOOKUP(2,1/('Feijão 1ª safra'!$E74:INDEX('Feijão 1ª safra'!$E74:$Z74,MIN(AW$6-$G$3,22))&lt;&gt;""),'Feijão 1ª safra'!$E74:INDEX('Feijão 1ª safra'!$E74:$Z74,MIN(AW$6-$G$3,22))),0)))))</f>
        <v>0</v>
      </c>
      <c r="AX76" s="27" t="n">
        <f aca="false">IF(COUNT('Feijão 1ª safra'!$E74:$Z74)=0,0,MAX(0,IF((AX$6-$E$3)&lt;1,0,IFERROR(LOOKUP(2,1/('Feijão 1ª safra'!$E74:INDEX('Feijão 1ª safra'!$E74:$Z74,MIN(AX$6-$E$3,22))&lt;&gt;""),'Feijão 1ª safra'!$E74:INDEX('Feijão 1ª safra'!$E74:$Z74,MIN(AX$6-$E$3,22))),0))-IF($G$2,0,IF((AX$6-$G$3)&lt;1,0,IFERROR(LOOKUP(2,1/('Feijão 1ª safra'!$E74:INDEX('Feijão 1ª safra'!$E74:$Z74,MIN(AX$6-$G$3,22))&lt;&gt;""),'Feijão 1ª safra'!$E74:INDEX('Feijão 1ª safra'!$E74:$Z74,MIN(AX$6-$G$3,22))),0)))))</f>
        <v>0</v>
      </c>
      <c r="AY76" s="27" t="n">
        <f aca="false">IF(COUNT('Feijão 1ª safra'!$E74:$Z74)=0,0,MAX(0,IF((AY$6-$E$3)&lt;1,0,IFERROR(LOOKUP(2,1/('Feijão 1ª safra'!$E74:INDEX('Feijão 1ª safra'!$E74:$Z74,MIN(AY$6-$E$3,22))&lt;&gt;""),'Feijão 1ª safra'!$E74:INDEX('Feijão 1ª safra'!$E74:$Z74,MIN(AY$6-$E$3,22))),0))-IF($G$2,0,IF((AY$6-$G$3)&lt;1,0,IFERROR(LOOKUP(2,1/('Feijão 1ª safra'!$E74:INDEX('Feijão 1ª safra'!$E74:$Z74,MIN(AY$6-$G$3,22))&lt;&gt;""),'Feijão 1ª safra'!$E74:INDEX('Feijão 1ª safra'!$E74:$Z74,MIN(AY$6-$G$3,22))),0)))))</f>
        <v>0</v>
      </c>
      <c r="AZ76" s="27" t="n">
        <f aca="false">IF(COUNT('Feijão 1ª safra'!$E74:$Z74)=0,0,MAX(0,IF((AZ$6-$E$3)&lt;1,0,IFERROR(LOOKUP(2,1/('Feijão 1ª safra'!$E74:INDEX('Feijão 1ª safra'!$E74:$Z74,MIN(AZ$6-$E$3,22))&lt;&gt;""),'Feijão 1ª safra'!$E74:INDEX('Feijão 1ª safra'!$E74:$Z74,MIN(AZ$6-$E$3,22))),0))-IF($G$2,0,IF((AZ$6-$G$3)&lt;1,0,IFERROR(LOOKUP(2,1/('Feijão 1ª safra'!$E74:INDEX('Feijão 1ª safra'!$E74:$Z74,MIN(AZ$6-$G$3,22))&lt;&gt;""),'Feijão 1ª safra'!$E74:INDEX('Feijão 1ª safra'!$E74:$Z74,MIN(AZ$6-$G$3,22))),0)))))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IF(COUNT('Feijão 1ª safra'!$E75:$Z75)&gt;0,N('Feijão 1ª safra'!$D75),0)</f>
        <v>0</v>
      </c>
      <c r="E77" s="27" t="n">
        <f aca="false">IF(COUNT('Feijão 1ª safra'!$E75:$Z75)=0,0,MAX(0,IF((E$6-$E$3)&lt;1,0,IFERROR(LOOKUP(2,1/('Feijão 1ª safra'!$E75:INDEX('Feijão 1ª safra'!$E75:$Z75,MIN(E$6-$E$3,22))&lt;&gt;""),'Feijão 1ª safra'!$E75:INDEX('Feijão 1ª safra'!$E75:$Z75,MIN(E$6-$E$3,22))),0))-IF($G$2,0,IF((E$6-$G$3)&lt;1,0,IFERROR(LOOKUP(2,1/('Feijão 1ª safra'!$E75:INDEX('Feijão 1ª safra'!$E75:$Z75,MIN(E$6-$G$3,22))&lt;&gt;""),'Feijão 1ª safra'!$E75:INDEX('Feijão 1ª safra'!$E75:$Z75,MIN(E$6-$G$3,22))),0)))))</f>
        <v>0</v>
      </c>
      <c r="F77" s="27" t="n">
        <f aca="false">IF(COUNT('Feijão 1ª safra'!$E75:$Z75)=0,0,MAX(0,IF((F$6-$E$3)&lt;1,0,IFERROR(LOOKUP(2,1/('Feijão 1ª safra'!$E75:INDEX('Feijão 1ª safra'!$E75:$Z75,MIN(F$6-$E$3,22))&lt;&gt;""),'Feijão 1ª safra'!$E75:INDEX('Feijão 1ª safra'!$E75:$Z75,MIN(F$6-$E$3,22))),0))-IF($G$2,0,IF((F$6-$G$3)&lt;1,0,IFERROR(LOOKUP(2,1/('Feijão 1ª safra'!$E75:INDEX('Feijão 1ª safra'!$E75:$Z75,MIN(F$6-$G$3,22))&lt;&gt;""),'Feijão 1ª safra'!$E75:INDEX('Feijão 1ª safra'!$E75:$Z75,MIN(F$6-$G$3,22))),0)))))</f>
        <v>0</v>
      </c>
      <c r="G77" s="27" t="n">
        <f aca="false">IF(COUNT('Feijão 1ª safra'!$E75:$Z75)=0,0,MAX(0,IF((G$6-$E$3)&lt;1,0,IFERROR(LOOKUP(2,1/('Feijão 1ª safra'!$E75:INDEX('Feijão 1ª safra'!$E75:$Z75,MIN(G$6-$E$3,22))&lt;&gt;""),'Feijão 1ª safra'!$E75:INDEX('Feijão 1ª safra'!$E75:$Z75,MIN(G$6-$E$3,22))),0))-IF($G$2,0,IF((G$6-$G$3)&lt;1,0,IFERROR(LOOKUP(2,1/('Feijão 1ª safra'!$E75:INDEX('Feijão 1ª safra'!$E75:$Z75,MIN(G$6-$G$3,22))&lt;&gt;""),'Feijão 1ª safra'!$E75:INDEX('Feijão 1ª safra'!$E75:$Z75,MIN(G$6-$G$3,22))),0)))))</f>
        <v>0</v>
      </c>
      <c r="H77" s="27" t="n">
        <f aca="false">IF(COUNT('Feijão 1ª safra'!$E75:$Z75)=0,0,MAX(0,IF((H$6-$E$3)&lt;1,0,IFERROR(LOOKUP(2,1/('Feijão 1ª safra'!$E75:INDEX('Feijão 1ª safra'!$E75:$Z75,MIN(H$6-$E$3,22))&lt;&gt;""),'Feijão 1ª safra'!$E75:INDEX('Feijão 1ª safra'!$E75:$Z75,MIN(H$6-$E$3,22))),0))-IF($G$2,0,IF((H$6-$G$3)&lt;1,0,IFERROR(LOOKUP(2,1/('Feijão 1ª safra'!$E75:INDEX('Feijão 1ª safra'!$E75:$Z75,MIN(H$6-$G$3,22))&lt;&gt;""),'Feijão 1ª safra'!$E75:INDEX('Feijão 1ª safra'!$E75:$Z75,MIN(H$6-$G$3,22))),0)))))</f>
        <v>0</v>
      </c>
      <c r="I77" s="27" t="n">
        <f aca="false">IF(COUNT('Feijão 1ª safra'!$E75:$Z75)=0,0,MAX(0,IF((I$6-$E$3)&lt;1,0,IFERROR(LOOKUP(2,1/('Feijão 1ª safra'!$E75:INDEX('Feijão 1ª safra'!$E75:$Z75,MIN(I$6-$E$3,22))&lt;&gt;""),'Feijão 1ª safra'!$E75:INDEX('Feijão 1ª safra'!$E75:$Z75,MIN(I$6-$E$3,22))),0))-IF($G$2,0,IF((I$6-$G$3)&lt;1,0,IFERROR(LOOKUP(2,1/('Feijão 1ª safra'!$E75:INDEX('Feijão 1ª safra'!$E75:$Z75,MIN(I$6-$G$3,22))&lt;&gt;""),'Feijão 1ª safra'!$E75:INDEX('Feijão 1ª safra'!$E75:$Z75,MIN(I$6-$G$3,22))),0)))))</f>
        <v>0</v>
      </c>
      <c r="J77" s="27" t="n">
        <f aca="false">IF(COUNT('Feijão 1ª safra'!$E75:$Z75)=0,0,MAX(0,IF((J$6-$E$3)&lt;1,0,IFERROR(LOOKUP(2,1/('Feijão 1ª safra'!$E75:INDEX('Feijão 1ª safra'!$E75:$Z75,MIN(J$6-$E$3,22))&lt;&gt;""),'Feijão 1ª safra'!$E75:INDEX('Feijão 1ª safra'!$E75:$Z75,MIN(J$6-$E$3,22))),0))-IF($G$2,0,IF((J$6-$G$3)&lt;1,0,IFERROR(LOOKUP(2,1/('Feijão 1ª safra'!$E75:INDEX('Feijão 1ª safra'!$E75:$Z75,MIN(J$6-$G$3,22))&lt;&gt;""),'Feijão 1ª safra'!$E75:INDEX('Feijão 1ª safra'!$E75:$Z75,MIN(J$6-$G$3,22))),0)))))</f>
        <v>0</v>
      </c>
      <c r="K77" s="27" t="n">
        <f aca="false">IF(COUNT('Feijão 1ª safra'!$E75:$Z75)=0,0,MAX(0,IF((K$6-$E$3)&lt;1,0,IFERROR(LOOKUP(2,1/('Feijão 1ª safra'!$E75:INDEX('Feijão 1ª safra'!$E75:$Z75,MIN(K$6-$E$3,22))&lt;&gt;""),'Feijão 1ª safra'!$E75:INDEX('Feijão 1ª safra'!$E75:$Z75,MIN(K$6-$E$3,22))),0))-IF($G$2,0,IF((K$6-$G$3)&lt;1,0,IFERROR(LOOKUP(2,1/('Feijão 1ª safra'!$E75:INDEX('Feijão 1ª safra'!$E75:$Z75,MIN(K$6-$G$3,22))&lt;&gt;""),'Feijão 1ª safra'!$E75:INDEX('Feijão 1ª safra'!$E75:$Z75,MIN(K$6-$G$3,22))),0)))))</f>
        <v>0</v>
      </c>
      <c r="L77" s="27" t="n">
        <f aca="false">IF(COUNT('Feijão 1ª safra'!$E75:$Z75)=0,0,MAX(0,IF((L$6-$E$3)&lt;1,0,IFERROR(LOOKUP(2,1/('Feijão 1ª safra'!$E75:INDEX('Feijão 1ª safra'!$E75:$Z75,MIN(L$6-$E$3,22))&lt;&gt;""),'Feijão 1ª safra'!$E75:INDEX('Feijão 1ª safra'!$E75:$Z75,MIN(L$6-$E$3,22))),0))-IF($G$2,0,IF((L$6-$G$3)&lt;1,0,IFERROR(LOOKUP(2,1/('Feijão 1ª safra'!$E75:INDEX('Feijão 1ª safra'!$E75:$Z75,MIN(L$6-$G$3,22))&lt;&gt;""),'Feijão 1ª safra'!$E75:INDEX('Feijão 1ª safra'!$E75:$Z75,MIN(L$6-$G$3,22))),0)))))</f>
        <v>0</v>
      </c>
      <c r="M77" s="27" t="n">
        <f aca="false">IF(COUNT('Feijão 1ª safra'!$E75:$Z75)=0,0,MAX(0,IF((M$6-$E$3)&lt;1,0,IFERROR(LOOKUP(2,1/('Feijão 1ª safra'!$E75:INDEX('Feijão 1ª safra'!$E75:$Z75,MIN(M$6-$E$3,22))&lt;&gt;""),'Feijão 1ª safra'!$E75:INDEX('Feijão 1ª safra'!$E75:$Z75,MIN(M$6-$E$3,22))),0))-IF($G$2,0,IF((M$6-$G$3)&lt;1,0,IFERROR(LOOKUP(2,1/('Feijão 1ª safra'!$E75:INDEX('Feijão 1ª safra'!$E75:$Z75,MIN(M$6-$G$3,22))&lt;&gt;""),'Feijão 1ª safra'!$E75:INDEX('Feijão 1ª safra'!$E75:$Z75,MIN(M$6-$G$3,22))),0)))))</f>
        <v>0</v>
      </c>
      <c r="N77" s="27" t="n">
        <f aca="false">IF(COUNT('Feijão 1ª safra'!$E75:$Z75)=0,0,MAX(0,IF((N$6-$E$3)&lt;1,0,IFERROR(LOOKUP(2,1/('Feijão 1ª safra'!$E75:INDEX('Feijão 1ª safra'!$E75:$Z75,MIN(N$6-$E$3,22))&lt;&gt;""),'Feijão 1ª safra'!$E75:INDEX('Feijão 1ª safra'!$E75:$Z75,MIN(N$6-$E$3,22))),0))-IF($G$2,0,IF((N$6-$G$3)&lt;1,0,IFERROR(LOOKUP(2,1/('Feijão 1ª safra'!$E75:INDEX('Feijão 1ª safra'!$E75:$Z75,MIN(N$6-$G$3,22))&lt;&gt;""),'Feijão 1ª safra'!$E75:INDEX('Feijão 1ª safra'!$E75:$Z75,MIN(N$6-$G$3,22))),0)))))</f>
        <v>0</v>
      </c>
      <c r="O77" s="27" t="n">
        <f aca="false">IF(COUNT('Feijão 1ª safra'!$E75:$Z75)=0,0,MAX(0,IF((O$6-$E$3)&lt;1,0,IFERROR(LOOKUP(2,1/('Feijão 1ª safra'!$E75:INDEX('Feijão 1ª safra'!$E75:$Z75,MIN(O$6-$E$3,22))&lt;&gt;""),'Feijão 1ª safra'!$E75:INDEX('Feijão 1ª safra'!$E75:$Z75,MIN(O$6-$E$3,22))),0))-IF($G$2,0,IF((O$6-$G$3)&lt;1,0,IFERROR(LOOKUP(2,1/('Feijão 1ª safra'!$E75:INDEX('Feijão 1ª safra'!$E75:$Z75,MIN(O$6-$G$3,22))&lt;&gt;""),'Feijão 1ª safra'!$E75:INDEX('Feijão 1ª safra'!$E75:$Z75,MIN(O$6-$G$3,22))),0)))))</f>
        <v>0</v>
      </c>
      <c r="P77" s="27" t="n">
        <f aca="false">IF(COUNT('Feijão 1ª safra'!$E75:$Z75)=0,0,MAX(0,IF((P$6-$E$3)&lt;1,0,IFERROR(LOOKUP(2,1/('Feijão 1ª safra'!$E75:INDEX('Feijão 1ª safra'!$E75:$Z75,MIN(P$6-$E$3,22))&lt;&gt;""),'Feijão 1ª safra'!$E75:INDEX('Feijão 1ª safra'!$E75:$Z75,MIN(P$6-$E$3,22))),0))-IF($G$2,0,IF((P$6-$G$3)&lt;1,0,IFERROR(LOOKUP(2,1/('Feijão 1ª safra'!$E75:INDEX('Feijão 1ª safra'!$E75:$Z75,MIN(P$6-$G$3,22))&lt;&gt;""),'Feijão 1ª safra'!$E75:INDEX('Feijão 1ª safra'!$E75:$Z75,MIN(P$6-$G$3,22))),0)))))</f>
        <v>0</v>
      </c>
      <c r="Q77" s="27" t="n">
        <f aca="false">IF(COUNT('Feijão 1ª safra'!$E75:$Z75)=0,0,MAX(0,IF((Q$6-$E$3)&lt;1,0,IFERROR(LOOKUP(2,1/('Feijão 1ª safra'!$E75:INDEX('Feijão 1ª safra'!$E75:$Z75,MIN(Q$6-$E$3,22))&lt;&gt;""),'Feijão 1ª safra'!$E75:INDEX('Feijão 1ª safra'!$E75:$Z75,MIN(Q$6-$E$3,22))),0))-IF($G$2,0,IF((Q$6-$G$3)&lt;1,0,IFERROR(LOOKUP(2,1/('Feijão 1ª safra'!$E75:INDEX('Feijão 1ª safra'!$E75:$Z75,MIN(Q$6-$G$3,22))&lt;&gt;""),'Feijão 1ª safra'!$E75:INDEX('Feijão 1ª safra'!$E75:$Z75,MIN(Q$6-$G$3,22))),0)))))</f>
        <v>0</v>
      </c>
      <c r="R77" s="27" t="n">
        <f aca="false">IF(COUNT('Feijão 1ª safra'!$E75:$Z75)=0,0,MAX(0,IF((R$6-$E$3)&lt;1,0,IFERROR(LOOKUP(2,1/('Feijão 1ª safra'!$E75:INDEX('Feijão 1ª safra'!$E75:$Z75,MIN(R$6-$E$3,22))&lt;&gt;""),'Feijão 1ª safra'!$E75:INDEX('Feijão 1ª safra'!$E75:$Z75,MIN(R$6-$E$3,22))),0))-IF($G$2,0,IF((R$6-$G$3)&lt;1,0,IFERROR(LOOKUP(2,1/('Feijão 1ª safra'!$E75:INDEX('Feijão 1ª safra'!$E75:$Z75,MIN(R$6-$G$3,22))&lt;&gt;""),'Feijão 1ª safra'!$E75:INDEX('Feijão 1ª safra'!$E75:$Z75,MIN(R$6-$G$3,22))),0)))))</f>
        <v>0</v>
      </c>
      <c r="S77" s="27" t="n">
        <f aca="false">IF(COUNT('Feijão 1ª safra'!$E75:$Z75)=0,0,MAX(0,IF((S$6-$E$3)&lt;1,0,IFERROR(LOOKUP(2,1/('Feijão 1ª safra'!$E75:INDEX('Feijão 1ª safra'!$E75:$Z75,MIN(S$6-$E$3,22))&lt;&gt;""),'Feijão 1ª safra'!$E75:INDEX('Feijão 1ª safra'!$E75:$Z75,MIN(S$6-$E$3,22))),0))-IF($G$2,0,IF((S$6-$G$3)&lt;1,0,IFERROR(LOOKUP(2,1/('Feijão 1ª safra'!$E75:INDEX('Feijão 1ª safra'!$E75:$Z75,MIN(S$6-$G$3,22))&lt;&gt;""),'Feijão 1ª safra'!$E75:INDEX('Feijão 1ª safra'!$E75:$Z75,MIN(S$6-$G$3,22))),0)))))</f>
        <v>0</v>
      </c>
      <c r="T77" s="27" t="n">
        <f aca="false">IF(COUNT('Feijão 1ª safra'!$E75:$Z75)=0,0,MAX(0,IF((T$6-$E$3)&lt;1,0,IFERROR(LOOKUP(2,1/('Feijão 1ª safra'!$E75:INDEX('Feijão 1ª safra'!$E75:$Z75,MIN(T$6-$E$3,22))&lt;&gt;""),'Feijão 1ª safra'!$E75:INDEX('Feijão 1ª safra'!$E75:$Z75,MIN(T$6-$E$3,22))),0))-IF($G$2,0,IF((T$6-$G$3)&lt;1,0,IFERROR(LOOKUP(2,1/('Feijão 1ª safra'!$E75:INDEX('Feijão 1ª safra'!$E75:$Z75,MIN(T$6-$G$3,22))&lt;&gt;""),'Feijão 1ª safra'!$E75:INDEX('Feijão 1ª safra'!$E75:$Z75,MIN(T$6-$G$3,22))),0)))))</f>
        <v>0</v>
      </c>
      <c r="U77" s="27" t="n">
        <f aca="false">IF(COUNT('Feijão 1ª safra'!$E75:$Z75)=0,0,MAX(0,IF((U$6-$E$3)&lt;1,0,IFERROR(LOOKUP(2,1/('Feijão 1ª safra'!$E75:INDEX('Feijão 1ª safra'!$E75:$Z75,MIN(U$6-$E$3,22))&lt;&gt;""),'Feijão 1ª safra'!$E75:INDEX('Feijão 1ª safra'!$E75:$Z75,MIN(U$6-$E$3,22))),0))-IF($G$2,0,IF((U$6-$G$3)&lt;1,0,IFERROR(LOOKUP(2,1/('Feijão 1ª safra'!$E75:INDEX('Feijão 1ª safra'!$E75:$Z75,MIN(U$6-$G$3,22))&lt;&gt;""),'Feijão 1ª safra'!$E75:INDEX('Feijão 1ª safra'!$E75:$Z75,MIN(U$6-$G$3,22))),0)))))</f>
        <v>0</v>
      </c>
      <c r="V77" s="27" t="n">
        <f aca="false">IF(COUNT('Feijão 1ª safra'!$E75:$Z75)=0,0,MAX(0,IF((V$6-$E$3)&lt;1,0,IFERROR(LOOKUP(2,1/('Feijão 1ª safra'!$E75:INDEX('Feijão 1ª safra'!$E75:$Z75,MIN(V$6-$E$3,22))&lt;&gt;""),'Feijão 1ª safra'!$E75:INDEX('Feijão 1ª safra'!$E75:$Z75,MIN(V$6-$E$3,22))),0))-IF($G$2,0,IF((V$6-$G$3)&lt;1,0,IFERROR(LOOKUP(2,1/('Feijão 1ª safra'!$E75:INDEX('Feijão 1ª safra'!$E75:$Z75,MIN(V$6-$G$3,22))&lt;&gt;""),'Feijão 1ª safra'!$E75:INDEX('Feijão 1ª safra'!$E75:$Z75,MIN(V$6-$G$3,22))),0)))))</f>
        <v>0</v>
      </c>
      <c r="W77" s="27" t="n">
        <f aca="false">IF(COUNT('Feijão 1ª safra'!$E75:$Z75)=0,0,MAX(0,IF((W$6-$E$3)&lt;1,0,IFERROR(LOOKUP(2,1/('Feijão 1ª safra'!$E75:INDEX('Feijão 1ª safra'!$E75:$Z75,MIN(W$6-$E$3,22))&lt;&gt;""),'Feijão 1ª safra'!$E75:INDEX('Feijão 1ª safra'!$E75:$Z75,MIN(W$6-$E$3,22))),0))-IF($G$2,0,IF((W$6-$G$3)&lt;1,0,IFERROR(LOOKUP(2,1/('Feijão 1ª safra'!$E75:INDEX('Feijão 1ª safra'!$E75:$Z75,MIN(W$6-$G$3,22))&lt;&gt;""),'Feijão 1ª safra'!$E75:INDEX('Feijão 1ª safra'!$E75:$Z75,MIN(W$6-$G$3,22))),0)))))</f>
        <v>0</v>
      </c>
      <c r="X77" s="27" t="n">
        <f aca="false">IF(COUNT('Feijão 1ª safra'!$E75:$Z75)=0,0,MAX(0,IF((X$6-$E$3)&lt;1,0,IFERROR(LOOKUP(2,1/('Feijão 1ª safra'!$E75:INDEX('Feijão 1ª safra'!$E75:$Z75,MIN(X$6-$E$3,22))&lt;&gt;""),'Feijão 1ª safra'!$E75:INDEX('Feijão 1ª safra'!$E75:$Z75,MIN(X$6-$E$3,22))),0))-IF($G$2,0,IF((X$6-$G$3)&lt;1,0,IFERROR(LOOKUP(2,1/('Feijão 1ª safra'!$E75:INDEX('Feijão 1ª safra'!$E75:$Z75,MIN(X$6-$G$3,22))&lt;&gt;""),'Feijão 1ª safra'!$E75:INDEX('Feijão 1ª safra'!$E75:$Z75,MIN(X$6-$G$3,22))),0)))))</f>
        <v>0</v>
      </c>
      <c r="Y77" s="27" t="n">
        <f aca="false">IF(COUNT('Feijão 1ª safra'!$E75:$Z75)=0,0,MAX(0,IF((Y$6-$E$3)&lt;1,0,IFERROR(LOOKUP(2,1/('Feijão 1ª safra'!$E75:INDEX('Feijão 1ª safra'!$E75:$Z75,MIN(Y$6-$E$3,22))&lt;&gt;""),'Feijão 1ª safra'!$E75:INDEX('Feijão 1ª safra'!$E75:$Z75,MIN(Y$6-$E$3,22))),0))-IF($G$2,0,IF((Y$6-$G$3)&lt;1,0,IFERROR(LOOKUP(2,1/('Feijão 1ª safra'!$E75:INDEX('Feijão 1ª safra'!$E75:$Z75,MIN(Y$6-$G$3,22))&lt;&gt;""),'Feijão 1ª safra'!$E75:INDEX('Feijão 1ª safra'!$E75:$Z75,MIN(Y$6-$G$3,22))),0)))))</f>
        <v>0</v>
      </c>
      <c r="Z77" s="27" t="n">
        <f aca="false">IF(COUNT('Feijão 1ª safra'!$E75:$Z75)=0,0,MAX(0,IF((Z$6-$E$3)&lt;1,0,IFERROR(LOOKUP(2,1/('Feijão 1ª safra'!$E75:INDEX('Feijão 1ª safra'!$E75:$Z75,MIN(Z$6-$E$3,22))&lt;&gt;""),'Feijão 1ª safra'!$E75:INDEX('Feijão 1ª safra'!$E75:$Z75,MIN(Z$6-$E$3,22))),0))-IF($G$2,0,IF((Z$6-$G$3)&lt;1,0,IFERROR(LOOKUP(2,1/('Feijão 1ª safra'!$E75:INDEX('Feijão 1ª safra'!$E75:$Z75,MIN(Z$6-$G$3,22))&lt;&gt;""),'Feijão 1ª safra'!$E75:INDEX('Feijão 1ª safra'!$E75:$Z75,MIN(Z$6-$G$3,22))),0)))))</f>
        <v>0</v>
      </c>
      <c r="AA77" s="27" t="n">
        <f aca="false">IF(COUNT('Feijão 1ª safra'!$E75:$Z75)=0,0,MAX(0,IF((AA$6-$E$3)&lt;1,0,IFERROR(LOOKUP(2,1/('Feijão 1ª safra'!$E75:INDEX('Feijão 1ª safra'!$E75:$Z75,MIN(AA$6-$E$3,22))&lt;&gt;""),'Feijão 1ª safra'!$E75:INDEX('Feijão 1ª safra'!$E75:$Z75,MIN(AA$6-$E$3,22))),0))-IF($G$2,0,IF((AA$6-$G$3)&lt;1,0,IFERROR(LOOKUP(2,1/('Feijão 1ª safra'!$E75:INDEX('Feijão 1ª safra'!$E75:$Z75,MIN(AA$6-$G$3,22))&lt;&gt;""),'Feijão 1ª safra'!$E75:INDEX('Feijão 1ª safra'!$E75:$Z75,MIN(AA$6-$G$3,22))),0)))))</f>
        <v>0</v>
      </c>
      <c r="AB77" s="27" t="n">
        <f aca="false">IF(COUNT('Feijão 1ª safra'!$E75:$Z75)=0,0,MAX(0,IF((AB$6-$E$3)&lt;1,0,IFERROR(LOOKUP(2,1/('Feijão 1ª safra'!$E75:INDEX('Feijão 1ª safra'!$E75:$Z75,MIN(AB$6-$E$3,22))&lt;&gt;""),'Feijão 1ª safra'!$E75:INDEX('Feijão 1ª safra'!$E75:$Z75,MIN(AB$6-$E$3,22))),0))-IF($G$2,0,IF((AB$6-$G$3)&lt;1,0,IFERROR(LOOKUP(2,1/('Feijão 1ª safra'!$E75:INDEX('Feijão 1ª safra'!$E75:$Z75,MIN(AB$6-$G$3,22))&lt;&gt;""),'Feijão 1ª safra'!$E75:INDEX('Feijão 1ª safra'!$E75:$Z75,MIN(AB$6-$G$3,22))),0)))))</f>
        <v>0</v>
      </c>
      <c r="AC77" s="27" t="n">
        <f aca="false">IF(COUNT('Feijão 1ª safra'!$E75:$Z75)=0,0,MAX(0,IF((AC$6-$E$3)&lt;1,0,IFERROR(LOOKUP(2,1/('Feijão 1ª safra'!$E75:INDEX('Feijão 1ª safra'!$E75:$Z75,MIN(AC$6-$E$3,22))&lt;&gt;""),'Feijão 1ª safra'!$E75:INDEX('Feijão 1ª safra'!$E75:$Z75,MIN(AC$6-$E$3,22))),0))-IF($G$2,0,IF((AC$6-$G$3)&lt;1,0,IFERROR(LOOKUP(2,1/('Feijão 1ª safra'!$E75:INDEX('Feijão 1ª safra'!$E75:$Z75,MIN(AC$6-$G$3,22))&lt;&gt;""),'Feijão 1ª safra'!$E75:INDEX('Feijão 1ª safra'!$E75:$Z75,MIN(AC$6-$G$3,22))),0)))))</f>
        <v>0</v>
      </c>
      <c r="AD77" s="27" t="n">
        <f aca="false">IF(COUNT('Feijão 1ª safra'!$E75:$Z75)=0,0,MAX(0,IF((AD$6-$E$3)&lt;1,0,IFERROR(LOOKUP(2,1/('Feijão 1ª safra'!$E75:INDEX('Feijão 1ª safra'!$E75:$Z75,MIN(AD$6-$E$3,22))&lt;&gt;""),'Feijão 1ª safra'!$E75:INDEX('Feijão 1ª safra'!$E75:$Z75,MIN(AD$6-$E$3,22))),0))-IF($G$2,0,IF((AD$6-$G$3)&lt;1,0,IFERROR(LOOKUP(2,1/('Feijão 1ª safra'!$E75:INDEX('Feijão 1ª safra'!$E75:$Z75,MIN(AD$6-$G$3,22))&lt;&gt;""),'Feijão 1ª safra'!$E75:INDEX('Feijão 1ª safra'!$E75:$Z75,MIN(AD$6-$G$3,22))),0)))))</f>
        <v>0</v>
      </c>
      <c r="AE77" s="27" t="n">
        <f aca="false">IF(COUNT('Feijão 1ª safra'!$E75:$Z75)=0,0,MAX(0,IF((AE$6-$E$3)&lt;1,0,IFERROR(LOOKUP(2,1/('Feijão 1ª safra'!$E75:INDEX('Feijão 1ª safra'!$E75:$Z75,MIN(AE$6-$E$3,22))&lt;&gt;""),'Feijão 1ª safra'!$E75:INDEX('Feijão 1ª safra'!$E75:$Z75,MIN(AE$6-$E$3,22))),0))-IF($G$2,0,IF((AE$6-$G$3)&lt;1,0,IFERROR(LOOKUP(2,1/('Feijão 1ª safra'!$E75:INDEX('Feijão 1ª safra'!$E75:$Z75,MIN(AE$6-$G$3,22))&lt;&gt;""),'Feijão 1ª safra'!$E75:INDEX('Feijão 1ª safra'!$E75:$Z75,MIN(AE$6-$G$3,22))),0)))))</f>
        <v>0</v>
      </c>
      <c r="AF77" s="27" t="n">
        <f aca="false">IF(COUNT('Feijão 1ª safra'!$E75:$Z75)=0,0,MAX(0,IF((AF$6-$E$3)&lt;1,0,IFERROR(LOOKUP(2,1/('Feijão 1ª safra'!$E75:INDEX('Feijão 1ª safra'!$E75:$Z75,MIN(AF$6-$E$3,22))&lt;&gt;""),'Feijão 1ª safra'!$E75:INDEX('Feijão 1ª safra'!$E75:$Z75,MIN(AF$6-$E$3,22))),0))-IF($G$2,0,IF((AF$6-$G$3)&lt;1,0,IFERROR(LOOKUP(2,1/('Feijão 1ª safra'!$E75:INDEX('Feijão 1ª safra'!$E75:$Z75,MIN(AF$6-$G$3,22))&lt;&gt;""),'Feijão 1ª safra'!$E75:INDEX('Feijão 1ª safra'!$E75:$Z75,MIN(AF$6-$G$3,22))),0)))))</f>
        <v>0</v>
      </c>
      <c r="AG77" s="27" t="n">
        <f aca="false">IF(COUNT('Feijão 1ª safra'!$E75:$Z75)=0,0,MAX(0,IF((AG$6-$E$3)&lt;1,0,IFERROR(LOOKUP(2,1/('Feijão 1ª safra'!$E75:INDEX('Feijão 1ª safra'!$E75:$Z75,MIN(AG$6-$E$3,22))&lt;&gt;""),'Feijão 1ª safra'!$E75:INDEX('Feijão 1ª safra'!$E75:$Z75,MIN(AG$6-$E$3,22))),0))-IF($G$2,0,IF((AG$6-$G$3)&lt;1,0,IFERROR(LOOKUP(2,1/('Feijão 1ª safra'!$E75:INDEX('Feijão 1ª safra'!$E75:$Z75,MIN(AG$6-$G$3,22))&lt;&gt;""),'Feijão 1ª safra'!$E75:INDEX('Feijão 1ª safra'!$E75:$Z75,MIN(AG$6-$G$3,22))),0)))))</f>
        <v>0</v>
      </c>
      <c r="AH77" s="27" t="n">
        <f aca="false">IF(COUNT('Feijão 1ª safra'!$E75:$Z75)=0,0,MAX(0,IF((AH$6-$E$3)&lt;1,0,IFERROR(LOOKUP(2,1/('Feijão 1ª safra'!$E75:INDEX('Feijão 1ª safra'!$E75:$Z75,MIN(AH$6-$E$3,22))&lt;&gt;""),'Feijão 1ª safra'!$E75:INDEX('Feijão 1ª safra'!$E75:$Z75,MIN(AH$6-$E$3,22))),0))-IF($G$2,0,IF((AH$6-$G$3)&lt;1,0,IFERROR(LOOKUP(2,1/('Feijão 1ª safra'!$E75:INDEX('Feijão 1ª safra'!$E75:$Z75,MIN(AH$6-$G$3,22))&lt;&gt;""),'Feijão 1ª safra'!$E75:INDEX('Feijão 1ª safra'!$E75:$Z75,MIN(AH$6-$G$3,22))),0)))))</f>
        <v>0</v>
      </c>
      <c r="AI77" s="27" t="n">
        <f aca="false">IF(COUNT('Feijão 1ª safra'!$E75:$Z75)=0,0,MAX(0,IF((AI$6-$E$3)&lt;1,0,IFERROR(LOOKUP(2,1/('Feijão 1ª safra'!$E75:INDEX('Feijão 1ª safra'!$E75:$Z75,MIN(AI$6-$E$3,22))&lt;&gt;""),'Feijão 1ª safra'!$E75:INDEX('Feijão 1ª safra'!$E75:$Z75,MIN(AI$6-$E$3,22))),0))-IF($G$2,0,IF((AI$6-$G$3)&lt;1,0,IFERROR(LOOKUP(2,1/('Feijão 1ª safra'!$E75:INDEX('Feijão 1ª safra'!$E75:$Z75,MIN(AI$6-$G$3,22))&lt;&gt;""),'Feijão 1ª safra'!$E75:INDEX('Feijão 1ª safra'!$E75:$Z75,MIN(AI$6-$G$3,22))),0)))))</f>
        <v>0</v>
      </c>
      <c r="AJ77" s="27" t="n">
        <f aca="false">IF(COUNT('Feijão 1ª safra'!$E75:$Z75)=0,0,MAX(0,IF((AJ$6-$E$3)&lt;1,0,IFERROR(LOOKUP(2,1/('Feijão 1ª safra'!$E75:INDEX('Feijão 1ª safra'!$E75:$Z75,MIN(AJ$6-$E$3,22))&lt;&gt;""),'Feijão 1ª safra'!$E75:INDEX('Feijão 1ª safra'!$E75:$Z75,MIN(AJ$6-$E$3,22))),0))-IF($G$2,0,IF((AJ$6-$G$3)&lt;1,0,IFERROR(LOOKUP(2,1/('Feijão 1ª safra'!$E75:INDEX('Feijão 1ª safra'!$E75:$Z75,MIN(AJ$6-$G$3,22))&lt;&gt;""),'Feijão 1ª safra'!$E75:INDEX('Feijão 1ª safra'!$E75:$Z75,MIN(AJ$6-$G$3,22))),0)))))</f>
        <v>0</v>
      </c>
      <c r="AK77" s="27" t="n">
        <f aca="false">IF(COUNT('Feijão 1ª safra'!$E75:$Z75)=0,0,MAX(0,IF((AK$6-$E$3)&lt;1,0,IFERROR(LOOKUP(2,1/('Feijão 1ª safra'!$E75:INDEX('Feijão 1ª safra'!$E75:$Z75,MIN(AK$6-$E$3,22))&lt;&gt;""),'Feijão 1ª safra'!$E75:INDEX('Feijão 1ª safra'!$E75:$Z75,MIN(AK$6-$E$3,22))),0))-IF($G$2,0,IF((AK$6-$G$3)&lt;1,0,IFERROR(LOOKUP(2,1/('Feijão 1ª safra'!$E75:INDEX('Feijão 1ª safra'!$E75:$Z75,MIN(AK$6-$G$3,22))&lt;&gt;""),'Feijão 1ª safra'!$E75:INDEX('Feijão 1ª safra'!$E75:$Z75,MIN(AK$6-$G$3,22))),0)))))</f>
        <v>0</v>
      </c>
      <c r="AL77" s="27" t="n">
        <f aca="false">IF(COUNT('Feijão 1ª safra'!$E75:$Z75)=0,0,MAX(0,IF((AL$6-$E$3)&lt;1,0,IFERROR(LOOKUP(2,1/('Feijão 1ª safra'!$E75:INDEX('Feijão 1ª safra'!$E75:$Z75,MIN(AL$6-$E$3,22))&lt;&gt;""),'Feijão 1ª safra'!$E75:INDEX('Feijão 1ª safra'!$E75:$Z75,MIN(AL$6-$E$3,22))),0))-IF($G$2,0,IF((AL$6-$G$3)&lt;1,0,IFERROR(LOOKUP(2,1/('Feijão 1ª safra'!$E75:INDEX('Feijão 1ª safra'!$E75:$Z75,MIN(AL$6-$G$3,22))&lt;&gt;""),'Feijão 1ª safra'!$E75:INDEX('Feijão 1ª safra'!$E75:$Z75,MIN(AL$6-$G$3,22))),0)))))</f>
        <v>0</v>
      </c>
      <c r="AM77" s="27" t="n">
        <f aca="false">IF(COUNT('Feijão 1ª safra'!$E75:$Z75)=0,0,MAX(0,IF((AM$6-$E$3)&lt;1,0,IFERROR(LOOKUP(2,1/('Feijão 1ª safra'!$E75:INDEX('Feijão 1ª safra'!$E75:$Z75,MIN(AM$6-$E$3,22))&lt;&gt;""),'Feijão 1ª safra'!$E75:INDEX('Feijão 1ª safra'!$E75:$Z75,MIN(AM$6-$E$3,22))),0))-IF($G$2,0,IF((AM$6-$G$3)&lt;1,0,IFERROR(LOOKUP(2,1/('Feijão 1ª safra'!$E75:INDEX('Feijão 1ª safra'!$E75:$Z75,MIN(AM$6-$G$3,22))&lt;&gt;""),'Feijão 1ª safra'!$E75:INDEX('Feijão 1ª safra'!$E75:$Z75,MIN(AM$6-$G$3,22))),0)))))</f>
        <v>0</v>
      </c>
      <c r="AN77" s="27" t="n">
        <f aca="false">IF(COUNT('Feijão 1ª safra'!$E75:$Z75)=0,0,MAX(0,IF((AN$6-$E$3)&lt;1,0,IFERROR(LOOKUP(2,1/('Feijão 1ª safra'!$E75:INDEX('Feijão 1ª safra'!$E75:$Z75,MIN(AN$6-$E$3,22))&lt;&gt;""),'Feijão 1ª safra'!$E75:INDEX('Feijão 1ª safra'!$E75:$Z75,MIN(AN$6-$E$3,22))),0))-IF($G$2,0,IF((AN$6-$G$3)&lt;1,0,IFERROR(LOOKUP(2,1/('Feijão 1ª safra'!$E75:INDEX('Feijão 1ª safra'!$E75:$Z75,MIN(AN$6-$G$3,22))&lt;&gt;""),'Feijão 1ª safra'!$E75:INDEX('Feijão 1ª safra'!$E75:$Z75,MIN(AN$6-$G$3,22))),0)))))</f>
        <v>0</v>
      </c>
      <c r="AO77" s="27" t="n">
        <f aca="false">IF(COUNT('Feijão 1ª safra'!$E75:$Z75)=0,0,MAX(0,IF((AO$6-$E$3)&lt;1,0,IFERROR(LOOKUP(2,1/('Feijão 1ª safra'!$E75:INDEX('Feijão 1ª safra'!$E75:$Z75,MIN(AO$6-$E$3,22))&lt;&gt;""),'Feijão 1ª safra'!$E75:INDEX('Feijão 1ª safra'!$E75:$Z75,MIN(AO$6-$E$3,22))),0))-IF($G$2,0,IF((AO$6-$G$3)&lt;1,0,IFERROR(LOOKUP(2,1/('Feijão 1ª safra'!$E75:INDEX('Feijão 1ª safra'!$E75:$Z75,MIN(AO$6-$G$3,22))&lt;&gt;""),'Feijão 1ª safra'!$E75:INDEX('Feijão 1ª safra'!$E75:$Z75,MIN(AO$6-$G$3,22))),0)))))</f>
        <v>0</v>
      </c>
      <c r="AP77" s="27" t="n">
        <f aca="false">IF(COUNT('Feijão 1ª safra'!$E75:$Z75)=0,0,MAX(0,IF((AP$6-$E$3)&lt;1,0,IFERROR(LOOKUP(2,1/('Feijão 1ª safra'!$E75:INDEX('Feijão 1ª safra'!$E75:$Z75,MIN(AP$6-$E$3,22))&lt;&gt;""),'Feijão 1ª safra'!$E75:INDEX('Feijão 1ª safra'!$E75:$Z75,MIN(AP$6-$E$3,22))),0))-IF($G$2,0,IF((AP$6-$G$3)&lt;1,0,IFERROR(LOOKUP(2,1/('Feijão 1ª safra'!$E75:INDEX('Feijão 1ª safra'!$E75:$Z75,MIN(AP$6-$G$3,22))&lt;&gt;""),'Feijão 1ª safra'!$E75:INDEX('Feijão 1ª safra'!$E75:$Z75,MIN(AP$6-$G$3,22))),0)))))</f>
        <v>0</v>
      </c>
      <c r="AQ77" s="27" t="n">
        <f aca="false">IF(COUNT('Feijão 1ª safra'!$E75:$Z75)=0,0,MAX(0,IF((AQ$6-$E$3)&lt;1,0,IFERROR(LOOKUP(2,1/('Feijão 1ª safra'!$E75:INDEX('Feijão 1ª safra'!$E75:$Z75,MIN(AQ$6-$E$3,22))&lt;&gt;""),'Feijão 1ª safra'!$E75:INDEX('Feijão 1ª safra'!$E75:$Z75,MIN(AQ$6-$E$3,22))),0))-IF($G$2,0,IF((AQ$6-$G$3)&lt;1,0,IFERROR(LOOKUP(2,1/('Feijão 1ª safra'!$E75:INDEX('Feijão 1ª safra'!$E75:$Z75,MIN(AQ$6-$G$3,22))&lt;&gt;""),'Feijão 1ª safra'!$E75:INDEX('Feijão 1ª safra'!$E75:$Z75,MIN(AQ$6-$G$3,22))),0)))))</f>
        <v>0</v>
      </c>
      <c r="AR77" s="27" t="n">
        <f aca="false">IF(COUNT('Feijão 1ª safra'!$E75:$Z75)=0,0,MAX(0,IF((AR$6-$E$3)&lt;1,0,IFERROR(LOOKUP(2,1/('Feijão 1ª safra'!$E75:INDEX('Feijão 1ª safra'!$E75:$Z75,MIN(AR$6-$E$3,22))&lt;&gt;""),'Feijão 1ª safra'!$E75:INDEX('Feijão 1ª safra'!$E75:$Z75,MIN(AR$6-$E$3,22))),0))-IF($G$2,0,IF((AR$6-$G$3)&lt;1,0,IFERROR(LOOKUP(2,1/('Feijão 1ª safra'!$E75:INDEX('Feijão 1ª safra'!$E75:$Z75,MIN(AR$6-$G$3,22))&lt;&gt;""),'Feijão 1ª safra'!$E75:INDEX('Feijão 1ª safra'!$E75:$Z75,MIN(AR$6-$G$3,22))),0)))))</f>
        <v>0</v>
      </c>
      <c r="AS77" s="27" t="n">
        <f aca="false">IF(COUNT('Feijão 1ª safra'!$E75:$Z75)=0,0,MAX(0,IF((AS$6-$E$3)&lt;1,0,IFERROR(LOOKUP(2,1/('Feijão 1ª safra'!$E75:INDEX('Feijão 1ª safra'!$E75:$Z75,MIN(AS$6-$E$3,22))&lt;&gt;""),'Feijão 1ª safra'!$E75:INDEX('Feijão 1ª safra'!$E75:$Z75,MIN(AS$6-$E$3,22))),0))-IF($G$2,0,IF((AS$6-$G$3)&lt;1,0,IFERROR(LOOKUP(2,1/('Feijão 1ª safra'!$E75:INDEX('Feijão 1ª safra'!$E75:$Z75,MIN(AS$6-$G$3,22))&lt;&gt;""),'Feijão 1ª safra'!$E75:INDEX('Feijão 1ª safra'!$E75:$Z75,MIN(AS$6-$G$3,22))),0)))))</f>
        <v>0</v>
      </c>
      <c r="AT77" s="27" t="n">
        <f aca="false">IF(COUNT('Feijão 1ª safra'!$E75:$Z75)=0,0,MAX(0,IF((AT$6-$E$3)&lt;1,0,IFERROR(LOOKUP(2,1/('Feijão 1ª safra'!$E75:INDEX('Feijão 1ª safra'!$E75:$Z75,MIN(AT$6-$E$3,22))&lt;&gt;""),'Feijão 1ª safra'!$E75:INDEX('Feijão 1ª safra'!$E75:$Z75,MIN(AT$6-$E$3,22))),0))-IF($G$2,0,IF((AT$6-$G$3)&lt;1,0,IFERROR(LOOKUP(2,1/('Feijão 1ª safra'!$E75:INDEX('Feijão 1ª safra'!$E75:$Z75,MIN(AT$6-$G$3,22))&lt;&gt;""),'Feijão 1ª safra'!$E75:INDEX('Feijão 1ª safra'!$E75:$Z75,MIN(AT$6-$G$3,22))),0)))))</f>
        <v>0</v>
      </c>
      <c r="AU77" s="27" t="n">
        <f aca="false">IF(COUNT('Feijão 1ª safra'!$E75:$Z75)=0,0,MAX(0,IF((AU$6-$E$3)&lt;1,0,IFERROR(LOOKUP(2,1/('Feijão 1ª safra'!$E75:INDEX('Feijão 1ª safra'!$E75:$Z75,MIN(AU$6-$E$3,22))&lt;&gt;""),'Feijão 1ª safra'!$E75:INDEX('Feijão 1ª safra'!$E75:$Z75,MIN(AU$6-$E$3,22))),0))-IF($G$2,0,IF((AU$6-$G$3)&lt;1,0,IFERROR(LOOKUP(2,1/('Feijão 1ª safra'!$E75:INDEX('Feijão 1ª safra'!$E75:$Z75,MIN(AU$6-$G$3,22))&lt;&gt;""),'Feijão 1ª safra'!$E75:INDEX('Feijão 1ª safra'!$E75:$Z75,MIN(AU$6-$G$3,22))),0)))))</f>
        <v>0</v>
      </c>
      <c r="AV77" s="27" t="n">
        <f aca="false">IF(COUNT('Feijão 1ª safra'!$E75:$Z75)=0,0,MAX(0,IF((AV$6-$E$3)&lt;1,0,IFERROR(LOOKUP(2,1/('Feijão 1ª safra'!$E75:INDEX('Feijão 1ª safra'!$E75:$Z75,MIN(AV$6-$E$3,22))&lt;&gt;""),'Feijão 1ª safra'!$E75:INDEX('Feijão 1ª safra'!$E75:$Z75,MIN(AV$6-$E$3,22))),0))-IF($G$2,0,IF((AV$6-$G$3)&lt;1,0,IFERROR(LOOKUP(2,1/('Feijão 1ª safra'!$E75:INDEX('Feijão 1ª safra'!$E75:$Z75,MIN(AV$6-$G$3,22))&lt;&gt;""),'Feijão 1ª safra'!$E75:INDEX('Feijão 1ª safra'!$E75:$Z75,MIN(AV$6-$G$3,22))),0)))))</f>
        <v>0</v>
      </c>
      <c r="AW77" s="27" t="n">
        <f aca="false">IF(COUNT('Feijão 1ª safra'!$E75:$Z75)=0,0,MAX(0,IF((AW$6-$E$3)&lt;1,0,IFERROR(LOOKUP(2,1/('Feijão 1ª safra'!$E75:INDEX('Feijão 1ª safra'!$E75:$Z75,MIN(AW$6-$E$3,22))&lt;&gt;""),'Feijão 1ª safra'!$E75:INDEX('Feijão 1ª safra'!$E75:$Z75,MIN(AW$6-$E$3,22))),0))-IF($G$2,0,IF((AW$6-$G$3)&lt;1,0,IFERROR(LOOKUP(2,1/('Feijão 1ª safra'!$E75:INDEX('Feijão 1ª safra'!$E75:$Z75,MIN(AW$6-$G$3,22))&lt;&gt;""),'Feijão 1ª safra'!$E75:INDEX('Feijão 1ª safra'!$E75:$Z75,MIN(AW$6-$G$3,22))),0)))))</f>
        <v>0</v>
      </c>
      <c r="AX77" s="27" t="n">
        <f aca="false">IF(COUNT('Feijão 1ª safra'!$E75:$Z75)=0,0,MAX(0,IF((AX$6-$E$3)&lt;1,0,IFERROR(LOOKUP(2,1/('Feijão 1ª safra'!$E75:INDEX('Feijão 1ª safra'!$E75:$Z75,MIN(AX$6-$E$3,22))&lt;&gt;""),'Feijão 1ª safra'!$E75:INDEX('Feijão 1ª safra'!$E75:$Z75,MIN(AX$6-$E$3,22))),0))-IF($G$2,0,IF((AX$6-$G$3)&lt;1,0,IFERROR(LOOKUP(2,1/('Feijão 1ª safra'!$E75:INDEX('Feijão 1ª safra'!$E75:$Z75,MIN(AX$6-$G$3,22))&lt;&gt;""),'Feijão 1ª safra'!$E75:INDEX('Feijão 1ª safra'!$E75:$Z75,MIN(AX$6-$G$3,22))),0)))))</f>
        <v>0</v>
      </c>
      <c r="AY77" s="27" t="n">
        <f aca="false">IF(COUNT('Feijão 1ª safra'!$E75:$Z75)=0,0,MAX(0,IF((AY$6-$E$3)&lt;1,0,IFERROR(LOOKUP(2,1/('Feijão 1ª safra'!$E75:INDEX('Feijão 1ª safra'!$E75:$Z75,MIN(AY$6-$E$3,22))&lt;&gt;""),'Feijão 1ª safra'!$E75:INDEX('Feijão 1ª safra'!$E75:$Z75,MIN(AY$6-$E$3,22))),0))-IF($G$2,0,IF((AY$6-$G$3)&lt;1,0,IFERROR(LOOKUP(2,1/('Feijão 1ª safra'!$E75:INDEX('Feijão 1ª safra'!$E75:$Z75,MIN(AY$6-$G$3,22))&lt;&gt;""),'Feijão 1ª safra'!$E75:INDEX('Feijão 1ª safra'!$E75:$Z75,MIN(AY$6-$G$3,22))),0)))))</f>
        <v>0</v>
      </c>
      <c r="AZ77" s="27" t="n">
        <f aca="false">IF(COUNT('Feijão 1ª safra'!$E75:$Z75)=0,0,MAX(0,IF((AZ$6-$E$3)&lt;1,0,IFERROR(LOOKUP(2,1/('Feijão 1ª safra'!$E75:INDEX('Feijão 1ª safra'!$E75:$Z75,MIN(AZ$6-$E$3,22))&lt;&gt;""),'Feijão 1ª safra'!$E75:INDEX('Feijão 1ª safra'!$E75:$Z75,MIN(AZ$6-$E$3,22))),0))-IF($G$2,0,IF((AZ$6-$G$3)&lt;1,0,IFERROR(LOOKUP(2,1/('Feijão 1ª safra'!$E75:INDEX('Feijão 1ª safra'!$E75:$Z75,MIN(AZ$6-$G$3,22))&lt;&gt;""),'Feijão 1ª safra'!$E75:INDEX('Feijão 1ª safra'!$E75:$Z75,MIN(AZ$6-$G$3,22))),0)))))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IF(COUNT('Feijão 1ª safra'!$E76:$Z76)&gt;0,N('Feijão 1ª safra'!$D76),0)</f>
        <v>0</v>
      </c>
      <c r="E78" s="27" t="n">
        <f aca="false">IF(COUNT('Feijão 1ª safra'!$E76:$Z76)=0,0,MAX(0,IF((E$6-$E$3)&lt;1,0,IFERROR(LOOKUP(2,1/('Feijão 1ª safra'!$E76:INDEX('Feijão 1ª safra'!$E76:$Z76,MIN(E$6-$E$3,22))&lt;&gt;""),'Feijão 1ª safra'!$E76:INDEX('Feijão 1ª safra'!$E76:$Z76,MIN(E$6-$E$3,22))),0))-IF($G$2,0,IF((E$6-$G$3)&lt;1,0,IFERROR(LOOKUP(2,1/('Feijão 1ª safra'!$E76:INDEX('Feijão 1ª safra'!$E76:$Z76,MIN(E$6-$G$3,22))&lt;&gt;""),'Feijão 1ª safra'!$E76:INDEX('Feijão 1ª safra'!$E76:$Z76,MIN(E$6-$G$3,22))),0)))))</f>
        <v>0</v>
      </c>
      <c r="F78" s="27" t="n">
        <f aca="false">IF(COUNT('Feijão 1ª safra'!$E76:$Z76)=0,0,MAX(0,IF((F$6-$E$3)&lt;1,0,IFERROR(LOOKUP(2,1/('Feijão 1ª safra'!$E76:INDEX('Feijão 1ª safra'!$E76:$Z76,MIN(F$6-$E$3,22))&lt;&gt;""),'Feijão 1ª safra'!$E76:INDEX('Feijão 1ª safra'!$E76:$Z76,MIN(F$6-$E$3,22))),0))-IF($G$2,0,IF((F$6-$G$3)&lt;1,0,IFERROR(LOOKUP(2,1/('Feijão 1ª safra'!$E76:INDEX('Feijão 1ª safra'!$E76:$Z76,MIN(F$6-$G$3,22))&lt;&gt;""),'Feijão 1ª safra'!$E76:INDEX('Feijão 1ª safra'!$E76:$Z76,MIN(F$6-$G$3,22))),0)))))</f>
        <v>0</v>
      </c>
      <c r="G78" s="27" t="n">
        <f aca="false">IF(COUNT('Feijão 1ª safra'!$E76:$Z76)=0,0,MAX(0,IF((G$6-$E$3)&lt;1,0,IFERROR(LOOKUP(2,1/('Feijão 1ª safra'!$E76:INDEX('Feijão 1ª safra'!$E76:$Z76,MIN(G$6-$E$3,22))&lt;&gt;""),'Feijão 1ª safra'!$E76:INDEX('Feijão 1ª safra'!$E76:$Z76,MIN(G$6-$E$3,22))),0))-IF($G$2,0,IF((G$6-$G$3)&lt;1,0,IFERROR(LOOKUP(2,1/('Feijão 1ª safra'!$E76:INDEX('Feijão 1ª safra'!$E76:$Z76,MIN(G$6-$G$3,22))&lt;&gt;""),'Feijão 1ª safra'!$E76:INDEX('Feijão 1ª safra'!$E76:$Z76,MIN(G$6-$G$3,22))),0)))))</f>
        <v>0</v>
      </c>
      <c r="H78" s="27" t="n">
        <f aca="false">IF(COUNT('Feijão 1ª safra'!$E76:$Z76)=0,0,MAX(0,IF((H$6-$E$3)&lt;1,0,IFERROR(LOOKUP(2,1/('Feijão 1ª safra'!$E76:INDEX('Feijão 1ª safra'!$E76:$Z76,MIN(H$6-$E$3,22))&lt;&gt;""),'Feijão 1ª safra'!$E76:INDEX('Feijão 1ª safra'!$E76:$Z76,MIN(H$6-$E$3,22))),0))-IF($G$2,0,IF((H$6-$G$3)&lt;1,0,IFERROR(LOOKUP(2,1/('Feijão 1ª safra'!$E76:INDEX('Feijão 1ª safra'!$E76:$Z76,MIN(H$6-$G$3,22))&lt;&gt;""),'Feijão 1ª safra'!$E76:INDEX('Feijão 1ª safra'!$E76:$Z76,MIN(H$6-$G$3,22))),0)))))</f>
        <v>0</v>
      </c>
      <c r="I78" s="27" t="n">
        <f aca="false">IF(COUNT('Feijão 1ª safra'!$E76:$Z76)=0,0,MAX(0,IF((I$6-$E$3)&lt;1,0,IFERROR(LOOKUP(2,1/('Feijão 1ª safra'!$E76:INDEX('Feijão 1ª safra'!$E76:$Z76,MIN(I$6-$E$3,22))&lt;&gt;""),'Feijão 1ª safra'!$E76:INDEX('Feijão 1ª safra'!$E76:$Z76,MIN(I$6-$E$3,22))),0))-IF($G$2,0,IF((I$6-$G$3)&lt;1,0,IFERROR(LOOKUP(2,1/('Feijão 1ª safra'!$E76:INDEX('Feijão 1ª safra'!$E76:$Z76,MIN(I$6-$G$3,22))&lt;&gt;""),'Feijão 1ª safra'!$E76:INDEX('Feijão 1ª safra'!$E76:$Z76,MIN(I$6-$G$3,22))),0)))))</f>
        <v>0</v>
      </c>
      <c r="J78" s="27" t="n">
        <f aca="false">IF(COUNT('Feijão 1ª safra'!$E76:$Z76)=0,0,MAX(0,IF((J$6-$E$3)&lt;1,0,IFERROR(LOOKUP(2,1/('Feijão 1ª safra'!$E76:INDEX('Feijão 1ª safra'!$E76:$Z76,MIN(J$6-$E$3,22))&lt;&gt;""),'Feijão 1ª safra'!$E76:INDEX('Feijão 1ª safra'!$E76:$Z76,MIN(J$6-$E$3,22))),0))-IF($G$2,0,IF((J$6-$G$3)&lt;1,0,IFERROR(LOOKUP(2,1/('Feijão 1ª safra'!$E76:INDEX('Feijão 1ª safra'!$E76:$Z76,MIN(J$6-$G$3,22))&lt;&gt;""),'Feijão 1ª safra'!$E76:INDEX('Feijão 1ª safra'!$E76:$Z76,MIN(J$6-$G$3,22))),0)))))</f>
        <v>0</v>
      </c>
      <c r="K78" s="27" t="n">
        <f aca="false">IF(COUNT('Feijão 1ª safra'!$E76:$Z76)=0,0,MAX(0,IF((K$6-$E$3)&lt;1,0,IFERROR(LOOKUP(2,1/('Feijão 1ª safra'!$E76:INDEX('Feijão 1ª safra'!$E76:$Z76,MIN(K$6-$E$3,22))&lt;&gt;""),'Feijão 1ª safra'!$E76:INDEX('Feijão 1ª safra'!$E76:$Z76,MIN(K$6-$E$3,22))),0))-IF($G$2,0,IF((K$6-$G$3)&lt;1,0,IFERROR(LOOKUP(2,1/('Feijão 1ª safra'!$E76:INDEX('Feijão 1ª safra'!$E76:$Z76,MIN(K$6-$G$3,22))&lt;&gt;""),'Feijão 1ª safra'!$E76:INDEX('Feijão 1ª safra'!$E76:$Z76,MIN(K$6-$G$3,22))),0)))))</f>
        <v>0</v>
      </c>
      <c r="L78" s="27" t="n">
        <f aca="false">IF(COUNT('Feijão 1ª safra'!$E76:$Z76)=0,0,MAX(0,IF((L$6-$E$3)&lt;1,0,IFERROR(LOOKUP(2,1/('Feijão 1ª safra'!$E76:INDEX('Feijão 1ª safra'!$E76:$Z76,MIN(L$6-$E$3,22))&lt;&gt;""),'Feijão 1ª safra'!$E76:INDEX('Feijão 1ª safra'!$E76:$Z76,MIN(L$6-$E$3,22))),0))-IF($G$2,0,IF((L$6-$G$3)&lt;1,0,IFERROR(LOOKUP(2,1/('Feijão 1ª safra'!$E76:INDEX('Feijão 1ª safra'!$E76:$Z76,MIN(L$6-$G$3,22))&lt;&gt;""),'Feijão 1ª safra'!$E76:INDEX('Feijão 1ª safra'!$E76:$Z76,MIN(L$6-$G$3,22))),0)))))</f>
        <v>0</v>
      </c>
      <c r="M78" s="27" t="n">
        <f aca="false">IF(COUNT('Feijão 1ª safra'!$E76:$Z76)=0,0,MAX(0,IF((M$6-$E$3)&lt;1,0,IFERROR(LOOKUP(2,1/('Feijão 1ª safra'!$E76:INDEX('Feijão 1ª safra'!$E76:$Z76,MIN(M$6-$E$3,22))&lt;&gt;""),'Feijão 1ª safra'!$E76:INDEX('Feijão 1ª safra'!$E76:$Z76,MIN(M$6-$E$3,22))),0))-IF($G$2,0,IF((M$6-$G$3)&lt;1,0,IFERROR(LOOKUP(2,1/('Feijão 1ª safra'!$E76:INDEX('Feijão 1ª safra'!$E76:$Z76,MIN(M$6-$G$3,22))&lt;&gt;""),'Feijão 1ª safra'!$E76:INDEX('Feijão 1ª safra'!$E76:$Z76,MIN(M$6-$G$3,22))),0)))))</f>
        <v>0</v>
      </c>
      <c r="N78" s="27" t="n">
        <f aca="false">IF(COUNT('Feijão 1ª safra'!$E76:$Z76)=0,0,MAX(0,IF((N$6-$E$3)&lt;1,0,IFERROR(LOOKUP(2,1/('Feijão 1ª safra'!$E76:INDEX('Feijão 1ª safra'!$E76:$Z76,MIN(N$6-$E$3,22))&lt;&gt;""),'Feijão 1ª safra'!$E76:INDEX('Feijão 1ª safra'!$E76:$Z76,MIN(N$6-$E$3,22))),0))-IF($G$2,0,IF((N$6-$G$3)&lt;1,0,IFERROR(LOOKUP(2,1/('Feijão 1ª safra'!$E76:INDEX('Feijão 1ª safra'!$E76:$Z76,MIN(N$6-$G$3,22))&lt;&gt;""),'Feijão 1ª safra'!$E76:INDEX('Feijão 1ª safra'!$E76:$Z76,MIN(N$6-$G$3,22))),0)))))</f>
        <v>0</v>
      </c>
      <c r="O78" s="27" t="n">
        <f aca="false">IF(COUNT('Feijão 1ª safra'!$E76:$Z76)=0,0,MAX(0,IF((O$6-$E$3)&lt;1,0,IFERROR(LOOKUP(2,1/('Feijão 1ª safra'!$E76:INDEX('Feijão 1ª safra'!$E76:$Z76,MIN(O$6-$E$3,22))&lt;&gt;""),'Feijão 1ª safra'!$E76:INDEX('Feijão 1ª safra'!$E76:$Z76,MIN(O$6-$E$3,22))),0))-IF($G$2,0,IF((O$6-$G$3)&lt;1,0,IFERROR(LOOKUP(2,1/('Feijão 1ª safra'!$E76:INDEX('Feijão 1ª safra'!$E76:$Z76,MIN(O$6-$G$3,22))&lt;&gt;""),'Feijão 1ª safra'!$E76:INDEX('Feijão 1ª safra'!$E76:$Z76,MIN(O$6-$G$3,22))),0)))))</f>
        <v>0</v>
      </c>
      <c r="P78" s="27" t="n">
        <f aca="false">IF(COUNT('Feijão 1ª safra'!$E76:$Z76)=0,0,MAX(0,IF((P$6-$E$3)&lt;1,0,IFERROR(LOOKUP(2,1/('Feijão 1ª safra'!$E76:INDEX('Feijão 1ª safra'!$E76:$Z76,MIN(P$6-$E$3,22))&lt;&gt;""),'Feijão 1ª safra'!$E76:INDEX('Feijão 1ª safra'!$E76:$Z76,MIN(P$6-$E$3,22))),0))-IF($G$2,0,IF((P$6-$G$3)&lt;1,0,IFERROR(LOOKUP(2,1/('Feijão 1ª safra'!$E76:INDEX('Feijão 1ª safra'!$E76:$Z76,MIN(P$6-$G$3,22))&lt;&gt;""),'Feijão 1ª safra'!$E76:INDEX('Feijão 1ª safra'!$E76:$Z76,MIN(P$6-$G$3,22))),0)))))</f>
        <v>0</v>
      </c>
      <c r="Q78" s="27" t="n">
        <f aca="false">IF(COUNT('Feijão 1ª safra'!$E76:$Z76)=0,0,MAX(0,IF((Q$6-$E$3)&lt;1,0,IFERROR(LOOKUP(2,1/('Feijão 1ª safra'!$E76:INDEX('Feijão 1ª safra'!$E76:$Z76,MIN(Q$6-$E$3,22))&lt;&gt;""),'Feijão 1ª safra'!$E76:INDEX('Feijão 1ª safra'!$E76:$Z76,MIN(Q$6-$E$3,22))),0))-IF($G$2,0,IF((Q$6-$G$3)&lt;1,0,IFERROR(LOOKUP(2,1/('Feijão 1ª safra'!$E76:INDEX('Feijão 1ª safra'!$E76:$Z76,MIN(Q$6-$G$3,22))&lt;&gt;""),'Feijão 1ª safra'!$E76:INDEX('Feijão 1ª safra'!$E76:$Z76,MIN(Q$6-$G$3,22))),0)))))</f>
        <v>0</v>
      </c>
      <c r="R78" s="27" t="n">
        <f aca="false">IF(COUNT('Feijão 1ª safra'!$E76:$Z76)=0,0,MAX(0,IF((R$6-$E$3)&lt;1,0,IFERROR(LOOKUP(2,1/('Feijão 1ª safra'!$E76:INDEX('Feijão 1ª safra'!$E76:$Z76,MIN(R$6-$E$3,22))&lt;&gt;""),'Feijão 1ª safra'!$E76:INDEX('Feijão 1ª safra'!$E76:$Z76,MIN(R$6-$E$3,22))),0))-IF($G$2,0,IF((R$6-$G$3)&lt;1,0,IFERROR(LOOKUP(2,1/('Feijão 1ª safra'!$E76:INDEX('Feijão 1ª safra'!$E76:$Z76,MIN(R$6-$G$3,22))&lt;&gt;""),'Feijão 1ª safra'!$E76:INDEX('Feijão 1ª safra'!$E76:$Z76,MIN(R$6-$G$3,22))),0)))))</f>
        <v>0</v>
      </c>
      <c r="S78" s="27" t="n">
        <f aca="false">IF(COUNT('Feijão 1ª safra'!$E76:$Z76)=0,0,MAX(0,IF((S$6-$E$3)&lt;1,0,IFERROR(LOOKUP(2,1/('Feijão 1ª safra'!$E76:INDEX('Feijão 1ª safra'!$E76:$Z76,MIN(S$6-$E$3,22))&lt;&gt;""),'Feijão 1ª safra'!$E76:INDEX('Feijão 1ª safra'!$E76:$Z76,MIN(S$6-$E$3,22))),0))-IF($G$2,0,IF((S$6-$G$3)&lt;1,0,IFERROR(LOOKUP(2,1/('Feijão 1ª safra'!$E76:INDEX('Feijão 1ª safra'!$E76:$Z76,MIN(S$6-$G$3,22))&lt;&gt;""),'Feijão 1ª safra'!$E76:INDEX('Feijão 1ª safra'!$E76:$Z76,MIN(S$6-$G$3,22))),0)))))</f>
        <v>0</v>
      </c>
      <c r="T78" s="27" t="n">
        <f aca="false">IF(COUNT('Feijão 1ª safra'!$E76:$Z76)=0,0,MAX(0,IF((T$6-$E$3)&lt;1,0,IFERROR(LOOKUP(2,1/('Feijão 1ª safra'!$E76:INDEX('Feijão 1ª safra'!$E76:$Z76,MIN(T$6-$E$3,22))&lt;&gt;""),'Feijão 1ª safra'!$E76:INDEX('Feijão 1ª safra'!$E76:$Z76,MIN(T$6-$E$3,22))),0))-IF($G$2,0,IF((T$6-$G$3)&lt;1,0,IFERROR(LOOKUP(2,1/('Feijão 1ª safra'!$E76:INDEX('Feijão 1ª safra'!$E76:$Z76,MIN(T$6-$G$3,22))&lt;&gt;""),'Feijão 1ª safra'!$E76:INDEX('Feijão 1ª safra'!$E76:$Z76,MIN(T$6-$G$3,22))),0)))))</f>
        <v>0</v>
      </c>
      <c r="U78" s="27" t="n">
        <f aca="false">IF(COUNT('Feijão 1ª safra'!$E76:$Z76)=0,0,MAX(0,IF((U$6-$E$3)&lt;1,0,IFERROR(LOOKUP(2,1/('Feijão 1ª safra'!$E76:INDEX('Feijão 1ª safra'!$E76:$Z76,MIN(U$6-$E$3,22))&lt;&gt;""),'Feijão 1ª safra'!$E76:INDEX('Feijão 1ª safra'!$E76:$Z76,MIN(U$6-$E$3,22))),0))-IF($G$2,0,IF((U$6-$G$3)&lt;1,0,IFERROR(LOOKUP(2,1/('Feijão 1ª safra'!$E76:INDEX('Feijão 1ª safra'!$E76:$Z76,MIN(U$6-$G$3,22))&lt;&gt;""),'Feijão 1ª safra'!$E76:INDEX('Feijão 1ª safra'!$E76:$Z76,MIN(U$6-$G$3,22))),0)))))</f>
        <v>0</v>
      </c>
      <c r="V78" s="27" t="n">
        <f aca="false">IF(COUNT('Feijão 1ª safra'!$E76:$Z76)=0,0,MAX(0,IF((V$6-$E$3)&lt;1,0,IFERROR(LOOKUP(2,1/('Feijão 1ª safra'!$E76:INDEX('Feijão 1ª safra'!$E76:$Z76,MIN(V$6-$E$3,22))&lt;&gt;""),'Feijão 1ª safra'!$E76:INDEX('Feijão 1ª safra'!$E76:$Z76,MIN(V$6-$E$3,22))),0))-IF($G$2,0,IF((V$6-$G$3)&lt;1,0,IFERROR(LOOKUP(2,1/('Feijão 1ª safra'!$E76:INDEX('Feijão 1ª safra'!$E76:$Z76,MIN(V$6-$G$3,22))&lt;&gt;""),'Feijão 1ª safra'!$E76:INDEX('Feijão 1ª safra'!$E76:$Z76,MIN(V$6-$G$3,22))),0)))))</f>
        <v>0</v>
      </c>
      <c r="W78" s="27" t="n">
        <f aca="false">IF(COUNT('Feijão 1ª safra'!$E76:$Z76)=0,0,MAX(0,IF((W$6-$E$3)&lt;1,0,IFERROR(LOOKUP(2,1/('Feijão 1ª safra'!$E76:INDEX('Feijão 1ª safra'!$E76:$Z76,MIN(W$6-$E$3,22))&lt;&gt;""),'Feijão 1ª safra'!$E76:INDEX('Feijão 1ª safra'!$E76:$Z76,MIN(W$6-$E$3,22))),0))-IF($G$2,0,IF((W$6-$G$3)&lt;1,0,IFERROR(LOOKUP(2,1/('Feijão 1ª safra'!$E76:INDEX('Feijão 1ª safra'!$E76:$Z76,MIN(W$6-$G$3,22))&lt;&gt;""),'Feijão 1ª safra'!$E76:INDEX('Feijão 1ª safra'!$E76:$Z76,MIN(W$6-$G$3,22))),0)))))</f>
        <v>0</v>
      </c>
      <c r="X78" s="27" t="n">
        <f aca="false">IF(COUNT('Feijão 1ª safra'!$E76:$Z76)=0,0,MAX(0,IF((X$6-$E$3)&lt;1,0,IFERROR(LOOKUP(2,1/('Feijão 1ª safra'!$E76:INDEX('Feijão 1ª safra'!$E76:$Z76,MIN(X$6-$E$3,22))&lt;&gt;""),'Feijão 1ª safra'!$E76:INDEX('Feijão 1ª safra'!$E76:$Z76,MIN(X$6-$E$3,22))),0))-IF($G$2,0,IF((X$6-$G$3)&lt;1,0,IFERROR(LOOKUP(2,1/('Feijão 1ª safra'!$E76:INDEX('Feijão 1ª safra'!$E76:$Z76,MIN(X$6-$G$3,22))&lt;&gt;""),'Feijão 1ª safra'!$E76:INDEX('Feijão 1ª safra'!$E76:$Z76,MIN(X$6-$G$3,22))),0)))))</f>
        <v>0</v>
      </c>
      <c r="Y78" s="27" t="n">
        <f aca="false">IF(COUNT('Feijão 1ª safra'!$E76:$Z76)=0,0,MAX(0,IF((Y$6-$E$3)&lt;1,0,IFERROR(LOOKUP(2,1/('Feijão 1ª safra'!$E76:INDEX('Feijão 1ª safra'!$E76:$Z76,MIN(Y$6-$E$3,22))&lt;&gt;""),'Feijão 1ª safra'!$E76:INDEX('Feijão 1ª safra'!$E76:$Z76,MIN(Y$6-$E$3,22))),0))-IF($G$2,0,IF((Y$6-$G$3)&lt;1,0,IFERROR(LOOKUP(2,1/('Feijão 1ª safra'!$E76:INDEX('Feijão 1ª safra'!$E76:$Z76,MIN(Y$6-$G$3,22))&lt;&gt;""),'Feijão 1ª safra'!$E76:INDEX('Feijão 1ª safra'!$E76:$Z76,MIN(Y$6-$G$3,22))),0)))))</f>
        <v>0</v>
      </c>
      <c r="Z78" s="27" t="n">
        <f aca="false">IF(COUNT('Feijão 1ª safra'!$E76:$Z76)=0,0,MAX(0,IF((Z$6-$E$3)&lt;1,0,IFERROR(LOOKUP(2,1/('Feijão 1ª safra'!$E76:INDEX('Feijão 1ª safra'!$E76:$Z76,MIN(Z$6-$E$3,22))&lt;&gt;""),'Feijão 1ª safra'!$E76:INDEX('Feijão 1ª safra'!$E76:$Z76,MIN(Z$6-$E$3,22))),0))-IF($G$2,0,IF((Z$6-$G$3)&lt;1,0,IFERROR(LOOKUP(2,1/('Feijão 1ª safra'!$E76:INDEX('Feijão 1ª safra'!$E76:$Z76,MIN(Z$6-$G$3,22))&lt;&gt;""),'Feijão 1ª safra'!$E76:INDEX('Feijão 1ª safra'!$E76:$Z76,MIN(Z$6-$G$3,22))),0)))))</f>
        <v>0</v>
      </c>
      <c r="AA78" s="27" t="n">
        <f aca="false">IF(COUNT('Feijão 1ª safra'!$E76:$Z76)=0,0,MAX(0,IF((AA$6-$E$3)&lt;1,0,IFERROR(LOOKUP(2,1/('Feijão 1ª safra'!$E76:INDEX('Feijão 1ª safra'!$E76:$Z76,MIN(AA$6-$E$3,22))&lt;&gt;""),'Feijão 1ª safra'!$E76:INDEX('Feijão 1ª safra'!$E76:$Z76,MIN(AA$6-$E$3,22))),0))-IF($G$2,0,IF((AA$6-$G$3)&lt;1,0,IFERROR(LOOKUP(2,1/('Feijão 1ª safra'!$E76:INDEX('Feijão 1ª safra'!$E76:$Z76,MIN(AA$6-$G$3,22))&lt;&gt;""),'Feijão 1ª safra'!$E76:INDEX('Feijão 1ª safra'!$E76:$Z76,MIN(AA$6-$G$3,22))),0)))))</f>
        <v>0</v>
      </c>
      <c r="AB78" s="27" t="n">
        <f aca="false">IF(COUNT('Feijão 1ª safra'!$E76:$Z76)=0,0,MAX(0,IF((AB$6-$E$3)&lt;1,0,IFERROR(LOOKUP(2,1/('Feijão 1ª safra'!$E76:INDEX('Feijão 1ª safra'!$E76:$Z76,MIN(AB$6-$E$3,22))&lt;&gt;""),'Feijão 1ª safra'!$E76:INDEX('Feijão 1ª safra'!$E76:$Z76,MIN(AB$6-$E$3,22))),0))-IF($G$2,0,IF((AB$6-$G$3)&lt;1,0,IFERROR(LOOKUP(2,1/('Feijão 1ª safra'!$E76:INDEX('Feijão 1ª safra'!$E76:$Z76,MIN(AB$6-$G$3,22))&lt;&gt;""),'Feijão 1ª safra'!$E76:INDEX('Feijão 1ª safra'!$E76:$Z76,MIN(AB$6-$G$3,22))),0)))))</f>
        <v>0</v>
      </c>
      <c r="AC78" s="27" t="n">
        <f aca="false">IF(COUNT('Feijão 1ª safra'!$E76:$Z76)=0,0,MAX(0,IF((AC$6-$E$3)&lt;1,0,IFERROR(LOOKUP(2,1/('Feijão 1ª safra'!$E76:INDEX('Feijão 1ª safra'!$E76:$Z76,MIN(AC$6-$E$3,22))&lt;&gt;""),'Feijão 1ª safra'!$E76:INDEX('Feijão 1ª safra'!$E76:$Z76,MIN(AC$6-$E$3,22))),0))-IF($G$2,0,IF((AC$6-$G$3)&lt;1,0,IFERROR(LOOKUP(2,1/('Feijão 1ª safra'!$E76:INDEX('Feijão 1ª safra'!$E76:$Z76,MIN(AC$6-$G$3,22))&lt;&gt;""),'Feijão 1ª safra'!$E76:INDEX('Feijão 1ª safra'!$E76:$Z76,MIN(AC$6-$G$3,22))),0)))))</f>
        <v>0</v>
      </c>
      <c r="AD78" s="27" t="n">
        <f aca="false">IF(COUNT('Feijão 1ª safra'!$E76:$Z76)=0,0,MAX(0,IF((AD$6-$E$3)&lt;1,0,IFERROR(LOOKUP(2,1/('Feijão 1ª safra'!$E76:INDEX('Feijão 1ª safra'!$E76:$Z76,MIN(AD$6-$E$3,22))&lt;&gt;""),'Feijão 1ª safra'!$E76:INDEX('Feijão 1ª safra'!$E76:$Z76,MIN(AD$6-$E$3,22))),0))-IF($G$2,0,IF((AD$6-$G$3)&lt;1,0,IFERROR(LOOKUP(2,1/('Feijão 1ª safra'!$E76:INDEX('Feijão 1ª safra'!$E76:$Z76,MIN(AD$6-$G$3,22))&lt;&gt;""),'Feijão 1ª safra'!$E76:INDEX('Feijão 1ª safra'!$E76:$Z76,MIN(AD$6-$G$3,22))),0)))))</f>
        <v>0</v>
      </c>
      <c r="AE78" s="27" t="n">
        <f aca="false">IF(COUNT('Feijão 1ª safra'!$E76:$Z76)=0,0,MAX(0,IF((AE$6-$E$3)&lt;1,0,IFERROR(LOOKUP(2,1/('Feijão 1ª safra'!$E76:INDEX('Feijão 1ª safra'!$E76:$Z76,MIN(AE$6-$E$3,22))&lt;&gt;""),'Feijão 1ª safra'!$E76:INDEX('Feijão 1ª safra'!$E76:$Z76,MIN(AE$6-$E$3,22))),0))-IF($G$2,0,IF((AE$6-$G$3)&lt;1,0,IFERROR(LOOKUP(2,1/('Feijão 1ª safra'!$E76:INDEX('Feijão 1ª safra'!$E76:$Z76,MIN(AE$6-$G$3,22))&lt;&gt;""),'Feijão 1ª safra'!$E76:INDEX('Feijão 1ª safra'!$E76:$Z76,MIN(AE$6-$G$3,22))),0)))))</f>
        <v>0</v>
      </c>
      <c r="AF78" s="27" t="n">
        <f aca="false">IF(COUNT('Feijão 1ª safra'!$E76:$Z76)=0,0,MAX(0,IF((AF$6-$E$3)&lt;1,0,IFERROR(LOOKUP(2,1/('Feijão 1ª safra'!$E76:INDEX('Feijão 1ª safra'!$E76:$Z76,MIN(AF$6-$E$3,22))&lt;&gt;""),'Feijão 1ª safra'!$E76:INDEX('Feijão 1ª safra'!$E76:$Z76,MIN(AF$6-$E$3,22))),0))-IF($G$2,0,IF((AF$6-$G$3)&lt;1,0,IFERROR(LOOKUP(2,1/('Feijão 1ª safra'!$E76:INDEX('Feijão 1ª safra'!$E76:$Z76,MIN(AF$6-$G$3,22))&lt;&gt;""),'Feijão 1ª safra'!$E76:INDEX('Feijão 1ª safra'!$E76:$Z76,MIN(AF$6-$G$3,22))),0)))))</f>
        <v>0</v>
      </c>
      <c r="AG78" s="27" t="n">
        <f aca="false">IF(COUNT('Feijão 1ª safra'!$E76:$Z76)=0,0,MAX(0,IF((AG$6-$E$3)&lt;1,0,IFERROR(LOOKUP(2,1/('Feijão 1ª safra'!$E76:INDEX('Feijão 1ª safra'!$E76:$Z76,MIN(AG$6-$E$3,22))&lt;&gt;""),'Feijão 1ª safra'!$E76:INDEX('Feijão 1ª safra'!$E76:$Z76,MIN(AG$6-$E$3,22))),0))-IF($G$2,0,IF((AG$6-$G$3)&lt;1,0,IFERROR(LOOKUP(2,1/('Feijão 1ª safra'!$E76:INDEX('Feijão 1ª safra'!$E76:$Z76,MIN(AG$6-$G$3,22))&lt;&gt;""),'Feijão 1ª safra'!$E76:INDEX('Feijão 1ª safra'!$E76:$Z76,MIN(AG$6-$G$3,22))),0)))))</f>
        <v>0</v>
      </c>
      <c r="AH78" s="27" t="n">
        <f aca="false">IF(COUNT('Feijão 1ª safra'!$E76:$Z76)=0,0,MAX(0,IF((AH$6-$E$3)&lt;1,0,IFERROR(LOOKUP(2,1/('Feijão 1ª safra'!$E76:INDEX('Feijão 1ª safra'!$E76:$Z76,MIN(AH$6-$E$3,22))&lt;&gt;""),'Feijão 1ª safra'!$E76:INDEX('Feijão 1ª safra'!$E76:$Z76,MIN(AH$6-$E$3,22))),0))-IF($G$2,0,IF((AH$6-$G$3)&lt;1,0,IFERROR(LOOKUP(2,1/('Feijão 1ª safra'!$E76:INDEX('Feijão 1ª safra'!$E76:$Z76,MIN(AH$6-$G$3,22))&lt;&gt;""),'Feijão 1ª safra'!$E76:INDEX('Feijão 1ª safra'!$E76:$Z76,MIN(AH$6-$G$3,22))),0)))))</f>
        <v>0</v>
      </c>
      <c r="AI78" s="27" t="n">
        <f aca="false">IF(COUNT('Feijão 1ª safra'!$E76:$Z76)=0,0,MAX(0,IF((AI$6-$E$3)&lt;1,0,IFERROR(LOOKUP(2,1/('Feijão 1ª safra'!$E76:INDEX('Feijão 1ª safra'!$E76:$Z76,MIN(AI$6-$E$3,22))&lt;&gt;""),'Feijão 1ª safra'!$E76:INDEX('Feijão 1ª safra'!$E76:$Z76,MIN(AI$6-$E$3,22))),0))-IF($G$2,0,IF((AI$6-$G$3)&lt;1,0,IFERROR(LOOKUP(2,1/('Feijão 1ª safra'!$E76:INDEX('Feijão 1ª safra'!$E76:$Z76,MIN(AI$6-$G$3,22))&lt;&gt;""),'Feijão 1ª safra'!$E76:INDEX('Feijão 1ª safra'!$E76:$Z76,MIN(AI$6-$G$3,22))),0)))))</f>
        <v>0</v>
      </c>
      <c r="AJ78" s="27" t="n">
        <f aca="false">IF(COUNT('Feijão 1ª safra'!$E76:$Z76)=0,0,MAX(0,IF((AJ$6-$E$3)&lt;1,0,IFERROR(LOOKUP(2,1/('Feijão 1ª safra'!$E76:INDEX('Feijão 1ª safra'!$E76:$Z76,MIN(AJ$6-$E$3,22))&lt;&gt;""),'Feijão 1ª safra'!$E76:INDEX('Feijão 1ª safra'!$E76:$Z76,MIN(AJ$6-$E$3,22))),0))-IF($G$2,0,IF((AJ$6-$G$3)&lt;1,0,IFERROR(LOOKUP(2,1/('Feijão 1ª safra'!$E76:INDEX('Feijão 1ª safra'!$E76:$Z76,MIN(AJ$6-$G$3,22))&lt;&gt;""),'Feijão 1ª safra'!$E76:INDEX('Feijão 1ª safra'!$E76:$Z76,MIN(AJ$6-$G$3,22))),0)))))</f>
        <v>0</v>
      </c>
      <c r="AK78" s="27" t="n">
        <f aca="false">IF(COUNT('Feijão 1ª safra'!$E76:$Z76)=0,0,MAX(0,IF((AK$6-$E$3)&lt;1,0,IFERROR(LOOKUP(2,1/('Feijão 1ª safra'!$E76:INDEX('Feijão 1ª safra'!$E76:$Z76,MIN(AK$6-$E$3,22))&lt;&gt;""),'Feijão 1ª safra'!$E76:INDEX('Feijão 1ª safra'!$E76:$Z76,MIN(AK$6-$E$3,22))),0))-IF($G$2,0,IF((AK$6-$G$3)&lt;1,0,IFERROR(LOOKUP(2,1/('Feijão 1ª safra'!$E76:INDEX('Feijão 1ª safra'!$E76:$Z76,MIN(AK$6-$G$3,22))&lt;&gt;""),'Feijão 1ª safra'!$E76:INDEX('Feijão 1ª safra'!$E76:$Z76,MIN(AK$6-$G$3,22))),0)))))</f>
        <v>0</v>
      </c>
      <c r="AL78" s="27" t="n">
        <f aca="false">IF(COUNT('Feijão 1ª safra'!$E76:$Z76)=0,0,MAX(0,IF((AL$6-$E$3)&lt;1,0,IFERROR(LOOKUP(2,1/('Feijão 1ª safra'!$E76:INDEX('Feijão 1ª safra'!$E76:$Z76,MIN(AL$6-$E$3,22))&lt;&gt;""),'Feijão 1ª safra'!$E76:INDEX('Feijão 1ª safra'!$E76:$Z76,MIN(AL$6-$E$3,22))),0))-IF($G$2,0,IF((AL$6-$G$3)&lt;1,0,IFERROR(LOOKUP(2,1/('Feijão 1ª safra'!$E76:INDEX('Feijão 1ª safra'!$E76:$Z76,MIN(AL$6-$G$3,22))&lt;&gt;""),'Feijão 1ª safra'!$E76:INDEX('Feijão 1ª safra'!$E76:$Z76,MIN(AL$6-$G$3,22))),0)))))</f>
        <v>0</v>
      </c>
      <c r="AM78" s="27" t="n">
        <f aca="false">IF(COUNT('Feijão 1ª safra'!$E76:$Z76)=0,0,MAX(0,IF((AM$6-$E$3)&lt;1,0,IFERROR(LOOKUP(2,1/('Feijão 1ª safra'!$E76:INDEX('Feijão 1ª safra'!$E76:$Z76,MIN(AM$6-$E$3,22))&lt;&gt;""),'Feijão 1ª safra'!$E76:INDEX('Feijão 1ª safra'!$E76:$Z76,MIN(AM$6-$E$3,22))),0))-IF($G$2,0,IF((AM$6-$G$3)&lt;1,0,IFERROR(LOOKUP(2,1/('Feijão 1ª safra'!$E76:INDEX('Feijão 1ª safra'!$E76:$Z76,MIN(AM$6-$G$3,22))&lt;&gt;""),'Feijão 1ª safra'!$E76:INDEX('Feijão 1ª safra'!$E76:$Z76,MIN(AM$6-$G$3,22))),0)))))</f>
        <v>0</v>
      </c>
      <c r="AN78" s="27" t="n">
        <f aca="false">IF(COUNT('Feijão 1ª safra'!$E76:$Z76)=0,0,MAX(0,IF((AN$6-$E$3)&lt;1,0,IFERROR(LOOKUP(2,1/('Feijão 1ª safra'!$E76:INDEX('Feijão 1ª safra'!$E76:$Z76,MIN(AN$6-$E$3,22))&lt;&gt;""),'Feijão 1ª safra'!$E76:INDEX('Feijão 1ª safra'!$E76:$Z76,MIN(AN$6-$E$3,22))),0))-IF($G$2,0,IF((AN$6-$G$3)&lt;1,0,IFERROR(LOOKUP(2,1/('Feijão 1ª safra'!$E76:INDEX('Feijão 1ª safra'!$E76:$Z76,MIN(AN$6-$G$3,22))&lt;&gt;""),'Feijão 1ª safra'!$E76:INDEX('Feijão 1ª safra'!$E76:$Z76,MIN(AN$6-$G$3,22))),0)))))</f>
        <v>0</v>
      </c>
      <c r="AO78" s="27" t="n">
        <f aca="false">IF(COUNT('Feijão 1ª safra'!$E76:$Z76)=0,0,MAX(0,IF((AO$6-$E$3)&lt;1,0,IFERROR(LOOKUP(2,1/('Feijão 1ª safra'!$E76:INDEX('Feijão 1ª safra'!$E76:$Z76,MIN(AO$6-$E$3,22))&lt;&gt;""),'Feijão 1ª safra'!$E76:INDEX('Feijão 1ª safra'!$E76:$Z76,MIN(AO$6-$E$3,22))),0))-IF($G$2,0,IF((AO$6-$G$3)&lt;1,0,IFERROR(LOOKUP(2,1/('Feijão 1ª safra'!$E76:INDEX('Feijão 1ª safra'!$E76:$Z76,MIN(AO$6-$G$3,22))&lt;&gt;""),'Feijão 1ª safra'!$E76:INDEX('Feijão 1ª safra'!$E76:$Z76,MIN(AO$6-$G$3,22))),0)))))</f>
        <v>0</v>
      </c>
      <c r="AP78" s="27" t="n">
        <f aca="false">IF(COUNT('Feijão 1ª safra'!$E76:$Z76)=0,0,MAX(0,IF((AP$6-$E$3)&lt;1,0,IFERROR(LOOKUP(2,1/('Feijão 1ª safra'!$E76:INDEX('Feijão 1ª safra'!$E76:$Z76,MIN(AP$6-$E$3,22))&lt;&gt;""),'Feijão 1ª safra'!$E76:INDEX('Feijão 1ª safra'!$E76:$Z76,MIN(AP$6-$E$3,22))),0))-IF($G$2,0,IF((AP$6-$G$3)&lt;1,0,IFERROR(LOOKUP(2,1/('Feijão 1ª safra'!$E76:INDEX('Feijão 1ª safra'!$E76:$Z76,MIN(AP$6-$G$3,22))&lt;&gt;""),'Feijão 1ª safra'!$E76:INDEX('Feijão 1ª safra'!$E76:$Z76,MIN(AP$6-$G$3,22))),0)))))</f>
        <v>0</v>
      </c>
      <c r="AQ78" s="27" t="n">
        <f aca="false">IF(COUNT('Feijão 1ª safra'!$E76:$Z76)=0,0,MAX(0,IF((AQ$6-$E$3)&lt;1,0,IFERROR(LOOKUP(2,1/('Feijão 1ª safra'!$E76:INDEX('Feijão 1ª safra'!$E76:$Z76,MIN(AQ$6-$E$3,22))&lt;&gt;""),'Feijão 1ª safra'!$E76:INDEX('Feijão 1ª safra'!$E76:$Z76,MIN(AQ$6-$E$3,22))),0))-IF($G$2,0,IF((AQ$6-$G$3)&lt;1,0,IFERROR(LOOKUP(2,1/('Feijão 1ª safra'!$E76:INDEX('Feijão 1ª safra'!$E76:$Z76,MIN(AQ$6-$G$3,22))&lt;&gt;""),'Feijão 1ª safra'!$E76:INDEX('Feijão 1ª safra'!$E76:$Z76,MIN(AQ$6-$G$3,22))),0)))))</f>
        <v>0</v>
      </c>
      <c r="AR78" s="27" t="n">
        <f aca="false">IF(COUNT('Feijão 1ª safra'!$E76:$Z76)=0,0,MAX(0,IF((AR$6-$E$3)&lt;1,0,IFERROR(LOOKUP(2,1/('Feijão 1ª safra'!$E76:INDEX('Feijão 1ª safra'!$E76:$Z76,MIN(AR$6-$E$3,22))&lt;&gt;""),'Feijão 1ª safra'!$E76:INDEX('Feijão 1ª safra'!$E76:$Z76,MIN(AR$6-$E$3,22))),0))-IF($G$2,0,IF((AR$6-$G$3)&lt;1,0,IFERROR(LOOKUP(2,1/('Feijão 1ª safra'!$E76:INDEX('Feijão 1ª safra'!$E76:$Z76,MIN(AR$6-$G$3,22))&lt;&gt;""),'Feijão 1ª safra'!$E76:INDEX('Feijão 1ª safra'!$E76:$Z76,MIN(AR$6-$G$3,22))),0)))))</f>
        <v>0</v>
      </c>
      <c r="AS78" s="27" t="n">
        <f aca="false">IF(COUNT('Feijão 1ª safra'!$E76:$Z76)=0,0,MAX(0,IF((AS$6-$E$3)&lt;1,0,IFERROR(LOOKUP(2,1/('Feijão 1ª safra'!$E76:INDEX('Feijão 1ª safra'!$E76:$Z76,MIN(AS$6-$E$3,22))&lt;&gt;""),'Feijão 1ª safra'!$E76:INDEX('Feijão 1ª safra'!$E76:$Z76,MIN(AS$6-$E$3,22))),0))-IF($G$2,0,IF((AS$6-$G$3)&lt;1,0,IFERROR(LOOKUP(2,1/('Feijão 1ª safra'!$E76:INDEX('Feijão 1ª safra'!$E76:$Z76,MIN(AS$6-$G$3,22))&lt;&gt;""),'Feijão 1ª safra'!$E76:INDEX('Feijão 1ª safra'!$E76:$Z76,MIN(AS$6-$G$3,22))),0)))))</f>
        <v>0</v>
      </c>
      <c r="AT78" s="27" t="n">
        <f aca="false">IF(COUNT('Feijão 1ª safra'!$E76:$Z76)=0,0,MAX(0,IF((AT$6-$E$3)&lt;1,0,IFERROR(LOOKUP(2,1/('Feijão 1ª safra'!$E76:INDEX('Feijão 1ª safra'!$E76:$Z76,MIN(AT$6-$E$3,22))&lt;&gt;""),'Feijão 1ª safra'!$E76:INDEX('Feijão 1ª safra'!$E76:$Z76,MIN(AT$6-$E$3,22))),0))-IF($G$2,0,IF((AT$6-$G$3)&lt;1,0,IFERROR(LOOKUP(2,1/('Feijão 1ª safra'!$E76:INDEX('Feijão 1ª safra'!$E76:$Z76,MIN(AT$6-$G$3,22))&lt;&gt;""),'Feijão 1ª safra'!$E76:INDEX('Feijão 1ª safra'!$E76:$Z76,MIN(AT$6-$G$3,22))),0)))))</f>
        <v>0</v>
      </c>
      <c r="AU78" s="27" t="n">
        <f aca="false">IF(COUNT('Feijão 1ª safra'!$E76:$Z76)=0,0,MAX(0,IF((AU$6-$E$3)&lt;1,0,IFERROR(LOOKUP(2,1/('Feijão 1ª safra'!$E76:INDEX('Feijão 1ª safra'!$E76:$Z76,MIN(AU$6-$E$3,22))&lt;&gt;""),'Feijão 1ª safra'!$E76:INDEX('Feijão 1ª safra'!$E76:$Z76,MIN(AU$6-$E$3,22))),0))-IF($G$2,0,IF((AU$6-$G$3)&lt;1,0,IFERROR(LOOKUP(2,1/('Feijão 1ª safra'!$E76:INDEX('Feijão 1ª safra'!$E76:$Z76,MIN(AU$6-$G$3,22))&lt;&gt;""),'Feijão 1ª safra'!$E76:INDEX('Feijão 1ª safra'!$E76:$Z76,MIN(AU$6-$G$3,22))),0)))))</f>
        <v>0</v>
      </c>
      <c r="AV78" s="27" t="n">
        <f aca="false">IF(COUNT('Feijão 1ª safra'!$E76:$Z76)=0,0,MAX(0,IF((AV$6-$E$3)&lt;1,0,IFERROR(LOOKUP(2,1/('Feijão 1ª safra'!$E76:INDEX('Feijão 1ª safra'!$E76:$Z76,MIN(AV$6-$E$3,22))&lt;&gt;""),'Feijão 1ª safra'!$E76:INDEX('Feijão 1ª safra'!$E76:$Z76,MIN(AV$6-$E$3,22))),0))-IF($G$2,0,IF((AV$6-$G$3)&lt;1,0,IFERROR(LOOKUP(2,1/('Feijão 1ª safra'!$E76:INDEX('Feijão 1ª safra'!$E76:$Z76,MIN(AV$6-$G$3,22))&lt;&gt;""),'Feijão 1ª safra'!$E76:INDEX('Feijão 1ª safra'!$E76:$Z76,MIN(AV$6-$G$3,22))),0)))))</f>
        <v>0</v>
      </c>
      <c r="AW78" s="27" t="n">
        <f aca="false">IF(COUNT('Feijão 1ª safra'!$E76:$Z76)=0,0,MAX(0,IF((AW$6-$E$3)&lt;1,0,IFERROR(LOOKUP(2,1/('Feijão 1ª safra'!$E76:INDEX('Feijão 1ª safra'!$E76:$Z76,MIN(AW$6-$E$3,22))&lt;&gt;""),'Feijão 1ª safra'!$E76:INDEX('Feijão 1ª safra'!$E76:$Z76,MIN(AW$6-$E$3,22))),0))-IF($G$2,0,IF((AW$6-$G$3)&lt;1,0,IFERROR(LOOKUP(2,1/('Feijão 1ª safra'!$E76:INDEX('Feijão 1ª safra'!$E76:$Z76,MIN(AW$6-$G$3,22))&lt;&gt;""),'Feijão 1ª safra'!$E76:INDEX('Feijão 1ª safra'!$E76:$Z76,MIN(AW$6-$G$3,22))),0)))))</f>
        <v>0</v>
      </c>
      <c r="AX78" s="27" t="n">
        <f aca="false">IF(COUNT('Feijão 1ª safra'!$E76:$Z76)=0,0,MAX(0,IF((AX$6-$E$3)&lt;1,0,IFERROR(LOOKUP(2,1/('Feijão 1ª safra'!$E76:INDEX('Feijão 1ª safra'!$E76:$Z76,MIN(AX$6-$E$3,22))&lt;&gt;""),'Feijão 1ª safra'!$E76:INDEX('Feijão 1ª safra'!$E76:$Z76,MIN(AX$6-$E$3,22))),0))-IF($G$2,0,IF((AX$6-$G$3)&lt;1,0,IFERROR(LOOKUP(2,1/('Feijão 1ª safra'!$E76:INDEX('Feijão 1ª safra'!$E76:$Z76,MIN(AX$6-$G$3,22))&lt;&gt;""),'Feijão 1ª safra'!$E76:INDEX('Feijão 1ª safra'!$E76:$Z76,MIN(AX$6-$G$3,22))),0)))))</f>
        <v>0</v>
      </c>
      <c r="AY78" s="27" t="n">
        <f aca="false">IF(COUNT('Feijão 1ª safra'!$E76:$Z76)=0,0,MAX(0,IF((AY$6-$E$3)&lt;1,0,IFERROR(LOOKUP(2,1/('Feijão 1ª safra'!$E76:INDEX('Feijão 1ª safra'!$E76:$Z76,MIN(AY$6-$E$3,22))&lt;&gt;""),'Feijão 1ª safra'!$E76:INDEX('Feijão 1ª safra'!$E76:$Z76,MIN(AY$6-$E$3,22))),0))-IF($G$2,0,IF((AY$6-$G$3)&lt;1,0,IFERROR(LOOKUP(2,1/('Feijão 1ª safra'!$E76:INDEX('Feijão 1ª safra'!$E76:$Z76,MIN(AY$6-$G$3,22))&lt;&gt;""),'Feijão 1ª safra'!$E76:INDEX('Feijão 1ª safra'!$E76:$Z76,MIN(AY$6-$G$3,22))),0)))))</f>
        <v>0</v>
      </c>
      <c r="AZ78" s="27" t="n">
        <f aca="false">IF(COUNT('Feijão 1ª safra'!$E76:$Z76)=0,0,MAX(0,IF((AZ$6-$E$3)&lt;1,0,IFERROR(LOOKUP(2,1/('Feijão 1ª safra'!$E76:INDEX('Feijão 1ª safra'!$E76:$Z76,MIN(AZ$6-$E$3,22))&lt;&gt;""),'Feijão 1ª safra'!$E76:INDEX('Feijão 1ª safra'!$E76:$Z76,MIN(AZ$6-$E$3,22))),0))-IF($G$2,0,IF((AZ$6-$G$3)&lt;1,0,IFERROR(LOOKUP(2,1/('Feijão 1ª safra'!$E76:INDEX('Feijão 1ª safra'!$E76:$Z76,MIN(AZ$6-$G$3,22))&lt;&gt;""),'Feijão 1ª safra'!$E76:INDEX('Feijão 1ª safra'!$E76:$Z76,MIN(AZ$6-$G$3,22))),0)))))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IF(COUNT('Feijão 1ª safra'!$E77:$Z77)&gt;0,N('Feijão 1ª safra'!$D77),0)</f>
        <v>0</v>
      </c>
      <c r="E79" s="27" t="n">
        <f aca="false">IF(COUNT('Feijão 1ª safra'!$E77:$Z77)=0,0,MAX(0,IF((E$6-$E$3)&lt;1,0,IFERROR(LOOKUP(2,1/('Feijão 1ª safra'!$E77:INDEX('Feijão 1ª safra'!$E77:$Z77,MIN(E$6-$E$3,22))&lt;&gt;""),'Feijão 1ª safra'!$E77:INDEX('Feijão 1ª safra'!$E77:$Z77,MIN(E$6-$E$3,22))),0))-IF($G$2,0,IF((E$6-$G$3)&lt;1,0,IFERROR(LOOKUP(2,1/('Feijão 1ª safra'!$E77:INDEX('Feijão 1ª safra'!$E77:$Z77,MIN(E$6-$G$3,22))&lt;&gt;""),'Feijão 1ª safra'!$E77:INDEX('Feijão 1ª safra'!$E77:$Z77,MIN(E$6-$G$3,22))),0)))))</f>
        <v>0</v>
      </c>
      <c r="F79" s="27" t="n">
        <f aca="false">IF(COUNT('Feijão 1ª safra'!$E77:$Z77)=0,0,MAX(0,IF((F$6-$E$3)&lt;1,0,IFERROR(LOOKUP(2,1/('Feijão 1ª safra'!$E77:INDEX('Feijão 1ª safra'!$E77:$Z77,MIN(F$6-$E$3,22))&lt;&gt;""),'Feijão 1ª safra'!$E77:INDEX('Feijão 1ª safra'!$E77:$Z77,MIN(F$6-$E$3,22))),0))-IF($G$2,0,IF((F$6-$G$3)&lt;1,0,IFERROR(LOOKUP(2,1/('Feijão 1ª safra'!$E77:INDEX('Feijão 1ª safra'!$E77:$Z77,MIN(F$6-$G$3,22))&lt;&gt;""),'Feijão 1ª safra'!$E77:INDEX('Feijão 1ª safra'!$E77:$Z77,MIN(F$6-$G$3,22))),0)))))</f>
        <v>0</v>
      </c>
      <c r="G79" s="27" t="n">
        <f aca="false">IF(COUNT('Feijão 1ª safra'!$E77:$Z77)=0,0,MAX(0,IF((G$6-$E$3)&lt;1,0,IFERROR(LOOKUP(2,1/('Feijão 1ª safra'!$E77:INDEX('Feijão 1ª safra'!$E77:$Z77,MIN(G$6-$E$3,22))&lt;&gt;""),'Feijão 1ª safra'!$E77:INDEX('Feijão 1ª safra'!$E77:$Z77,MIN(G$6-$E$3,22))),0))-IF($G$2,0,IF((G$6-$G$3)&lt;1,0,IFERROR(LOOKUP(2,1/('Feijão 1ª safra'!$E77:INDEX('Feijão 1ª safra'!$E77:$Z77,MIN(G$6-$G$3,22))&lt;&gt;""),'Feijão 1ª safra'!$E77:INDEX('Feijão 1ª safra'!$E77:$Z77,MIN(G$6-$G$3,22))),0)))))</f>
        <v>0</v>
      </c>
      <c r="H79" s="27" t="n">
        <f aca="false">IF(COUNT('Feijão 1ª safra'!$E77:$Z77)=0,0,MAX(0,IF((H$6-$E$3)&lt;1,0,IFERROR(LOOKUP(2,1/('Feijão 1ª safra'!$E77:INDEX('Feijão 1ª safra'!$E77:$Z77,MIN(H$6-$E$3,22))&lt;&gt;""),'Feijão 1ª safra'!$E77:INDEX('Feijão 1ª safra'!$E77:$Z77,MIN(H$6-$E$3,22))),0))-IF($G$2,0,IF((H$6-$G$3)&lt;1,0,IFERROR(LOOKUP(2,1/('Feijão 1ª safra'!$E77:INDEX('Feijão 1ª safra'!$E77:$Z77,MIN(H$6-$G$3,22))&lt;&gt;""),'Feijão 1ª safra'!$E77:INDEX('Feijão 1ª safra'!$E77:$Z77,MIN(H$6-$G$3,22))),0)))))</f>
        <v>0</v>
      </c>
      <c r="I79" s="27" t="n">
        <f aca="false">IF(COUNT('Feijão 1ª safra'!$E77:$Z77)=0,0,MAX(0,IF((I$6-$E$3)&lt;1,0,IFERROR(LOOKUP(2,1/('Feijão 1ª safra'!$E77:INDEX('Feijão 1ª safra'!$E77:$Z77,MIN(I$6-$E$3,22))&lt;&gt;""),'Feijão 1ª safra'!$E77:INDEX('Feijão 1ª safra'!$E77:$Z77,MIN(I$6-$E$3,22))),0))-IF($G$2,0,IF((I$6-$G$3)&lt;1,0,IFERROR(LOOKUP(2,1/('Feijão 1ª safra'!$E77:INDEX('Feijão 1ª safra'!$E77:$Z77,MIN(I$6-$G$3,22))&lt;&gt;""),'Feijão 1ª safra'!$E77:INDEX('Feijão 1ª safra'!$E77:$Z77,MIN(I$6-$G$3,22))),0)))))</f>
        <v>0</v>
      </c>
      <c r="J79" s="27" t="n">
        <f aca="false">IF(COUNT('Feijão 1ª safra'!$E77:$Z77)=0,0,MAX(0,IF((J$6-$E$3)&lt;1,0,IFERROR(LOOKUP(2,1/('Feijão 1ª safra'!$E77:INDEX('Feijão 1ª safra'!$E77:$Z77,MIN(J$6-$E$3,22))&lt;&gt;""),'Feijão 1ª safra'!$E77:INDEX('Feijão 1ª safra'!$E77:$Z77,MIN(J$6-$E$3,22))),0))-IF($G$2,0,IF((J$6-$G$3)&lt;1,0,IFERROR(LOOKUP(2,1/('Feijão 1ª safra'!$E77:INDEX('Feijão 1ª safra'!$E77:$Z77,MIN(J$6-$G$3,22))&lt;&gt;""),'Feijão 1ª safra'!$E77:INDEX('Feijão 1ª safra'!$E77:$Z77,MIN(J$6-$G$3,22))),0)))))</f>
        <v>0</v>
      </c>
      <c r="K79" s="27" t="n">
        <f aca="false">IF(COUNT('Feijão 1ª safra'!$E77:$Z77)=0,0,MAX(0,IF((K$6-$E$3)&lt;1,0,IFERROR(LOOKUP(2,1/('Feijão 1ª safra'!$E77:INDEX('Feijão 1ª safra'!$E77:$Z77,MIN(K$6-$E$3,22))&lt;&gt;""),'Feijão 1ª safra'!$E77:INDEX('Feijão 1ª safra'!$E77:$Z77,MIN(K$6-$E$3,22))),0))-IF($G$2,0,IF((K$6-$G$3)&lt;1,0,IFERROR(LOOKUP(2,1/('Feijão 1ª safra'!$E77:INDEX('Feijão 1ª safra'!$E77:$Z77,MIN(K$6-$G$3,22))&lt;&gt;""),'Feijão 1ª safra'!$E77:INDEX('Feijão 1ª safra'!$E77:$Z77,MIN(K$6-$G$3,22))),0)))))</f>
        <v>0</v>
      </c>
      <c r="L79" s="27" t="n">
        <f aca="false">IF(COUNT('Feijão 1ª safra'!$E77:$Z77)=0,0,MAX(0,IF((L$6-$E$3)&lt;1,0,IFERROR(LOOKUP(2,1/('Feijão 1ª safra'!$E77:INDEX('Feijão 1ª safra'!$E77:$Z77,MIN(L$6-$E$3,22))&lt;&gt;""),'Feijão 1ª safra'!$E77:INDEX('Feijão 1ª safra'!$E77:$Z77,MIN(L$6-$E$3,22))),0))-IF($G$2,0,IF((L$6-$G$3)&lt;1,0,IFERROR(LOOKUP(2,1/('Feijão 1ª safra'!$E77:INDEX('Feijão 1ª safra'!$E77:$Z77,MIN(L$6-$G$3,22))&lt;&gt;""),'Feijão 1ª safra'!$E77:INDEX('Feijão 1ª safra'!$E77:$Z77,MIN(L$6-$G$3,22))),0)))))</f>
        <v>0</v>
      </c>
      <c r="M79" s="27" t="n">
        <f aca="false">IF(COUNT('Feijão 1ª safra'!$E77:$Z77)=0,0,MAX(0,IF((M$6-$E$3)&lt;1,0,IFERROR(LOOKUP(2,1/('Feijão 1ª safra'!$E77:INDEX('Feijão 1ª safra'!$E77:$Z77,MIN(M$6-$E$3,22))&lt;&gt;""),'Feijão 1ª safra'!$E77:INDEX('Feijão 1ª safra'!$E77:$Z77,MIN(M$6-$E$3,22))),0))-IF($G$2,0,IF((M$6-$G$3)&lt;1,0,IFERROR(LOOKUP(2,1/('Feijão 1ª safra'!$E77:INDEX('Feijão 1ª safra'!$E77:$Z77,MIN(M$6-$G$3,22))&lt;&gt;""),'Feijão 1ª safra'!$E77:INDEX('Feijão 1ª safra'!$E77:$Z77,MIN(M$6-$G$3,22))),0)))))</f>
        <v>0</v>
      </c>
      <c r="N79" s="27" t="n">
        <f aca="false">IF(COUNT('Feijão 1ª safra'!$E77:$Z77)=0,0,MAX(0,IF((N$6-$E$3)&lt;1,0,IFERROR(LOOKUP(2,1/('Feijão 1ª safra'!$E77:INDEX('Feijão 1ª safra'!$E77:$Z77,MIN(N$6-$E$3,22))&lt;&gt;""),'Feijão 1ª safra'!$E77:INDEX('Feijão 1ª safra'!$E77:$Z77,MIN(N$6-$E$3,22))),0))-IF($G$2,0,IF((N$6-$G$3)&lt;1,0,IFERROR(LOOKUP(2,1/('Feijão 1ª safra'!$E77:INDEX('Feijão 1ª safra'!$E77:$Z77,MIN(N$6-$G$3,22))&lt;&gt;""),'Feijão 1ª safra'!$E77:INDEX('Feijão 1ª safra'!$E77:$Z77,MIN(N$6-$G$3,22))),0)))))</f>
        <v>0</v>
      </c>
      <c r="O79" s="27" t="n">
        <f aca="false">IF(COUNT('Feijão 1ª safra'!$E77:$Z77)=0,0,MAX(0,IF((O$6-$E$3)&lt;1,0,IFERROR(LOOKUP(2,1/('Feijão 1ª safra'!$E77:INDEX('Feijão 1ª safra'!$E77:$Z77,MIN(O$6-$E$3,22))&lt;&gt;""),'Feijão 1ª safra'!$E77:INDEX('Feijão 1ª safra'!$E77:$Z77,MIN(O$6-$E$3,22))),0))-IF($G$2,0,IF((O$6-$G$3)&lt;1,0,IFERROR(LOOKUP(2,1/('Feijão 1ª safra'!$E77:INDEX('Feijão 1ª safra'!$E77:$Z77,MIN(O$6-$G$3,22))&lt;&gt;""),'Feijão 1ª safra'!$E77:INDEX('Feijão 1ª safra'!$E77:$Z77,MIN(O$6-$G$3,22))),0)))))</f>
        <v>0</v>
      </c>
      <c r="P79" s="27" t="n">
        <f aca="false">IF(COUNT('Feijão 1ª safra'!$E77:$Z77)=0,0,MAX(0,IF((P$6-$E$3)&lt;1,0,IFERROR(LOOKUP(2,1/('Feijão 1ª safra'!$E77:INDEX('Feijão 1ª safra'!$E77:$Z77,MIN(P$6-$E$3,22))&lt;&gt;""),'Feijão 1ª safra'!$E77:INDEX('Feijão 1ª safra'!$E77:$Z77,MIN(P$6-$E$3,22))),0))-IF($G$2,0,IF((P$6-$G$3)&lt;1,0,IFERROR(LOOKUP(2,1/('Feijão 1ª safra'!$E77:INDEX('Feijão 1ª safra'!$E77:$Z77,MIN(P$6-$G$3,22))&lt;&gt;""),'Feijão 1ª safra'!$E77:INDEX('Feijão 1ª safra'!$E77:$Z77,MIN(P$6-$G$3,22))),0)))))</f>
        <v>0</v>
      </c>
      <c r="Q79" s="27" t="n">
        <f aca="false">IF(COUNT('Feijão 1ª safra'!$E77:$Z77)=0,0,MAX(0,IF((Q$6-$E$3)&lt;1,0,IFERROR(LOOKUP(2,1/('Feijão 1ª safra'!$E77:INDEX('Feijão 1ª safra'!$E77:$Z77,MIN(Q$6-$E$3,22))&lt;&gt;""),'Feijão 1ª safra'!$E77:INDEX('Feijão 1ª safra'!$E77:$Z77,MIN(Q$6-$E$3,22))),0))-IF($G$2,0,IF((Q$6-$G$3)&lt;1,0,IFERROR(LOOKUP(2,1/('Feijão 1ª safra'!$E77:INDEX('Feijão 1ª safra'!$E77:$Z77,MIN(Q$6-$G$3,22))&lt;&gt;""),'Feijão 1ª safra'!$E77:INDEX('Feijão 1ª safra'!$E77:$Z77,MIN(Q$6-$G$3,22))),0)))))</f>
        <v>0</v>
      </c>
      <c r="R79" s="27" t="n">
        <f aca="false">IF(COUNT('Feijão 1ª safra'!$E77:$Z77)=0,0,MAX(0,IF((R$6-$E$3)&lt;1,0,IFERROR(LOOKUP(2,1/('Feijão 1ª safra'!$E77:INDEX('Feijão 1ª safra'!$E77:$Z77,MIN(R$6-$E$3,22))&lt;&gt;""),'Feijão 1ª safra'!$E77:INDEX('Feijão 1ª safra'!$E77:$Z77,MIN(R$6-$E$3,22))),0))-IF($G$2,0,IF((R$6-$G$3)&lt;1,0,IFERROR(LOOKUP(2,1/('Feijão 1ª safra'!$E77:INDEX('Feijão 1ª safra'!$E77:$Z77,MIN(R$6-$G$3,22))&lt;&gt;""),'Feijão 1ª safra'!$E77:INDEX('Feijão 1ª safra'!$E77:$Z77,MIN(R$6-$G$3,22))),0)))))</f>
        <v>0</v>
      </c>
      <c r="S79" s="27" t="n">
        <f aca="false">IF(COUNT('Feijão 1ª safra'!$E77:$Z77)=0,0,MAX(0,IF((S$6-$E$3)&lt;1,0,IFERROR(LOOKUP(2,1/('Feijão 1ª safra'!$E77:INDEX('Feijão 1ª safra'!$E77:$Z77,MIN(S$6-$E$3,22))&lt;&gt;""),'Feijão 1ª safra'!$E77:INDEX('Feijão 1ª safra'!$E77:$Z77,MIN(S$6-$E$3,22))),0))-IF($G$2,0,IF((S$6-$G$3)&lt;1,0,IFERROR(LOOKUP(2,1/('Feijão 1ª safra'!$E77:INDEX('Feijão 1ª safra'!$E77:$Z77,MIN(S$6-$G$3,22))&lt;&gt;""),'Feijão 1ª safra'!$E77:INDEX('Feijão 1ª safra'!$E77:$Z77,MIN(S$6-$G$3,22))),0)))))</f>
        <v>0</v>
      </c>
      <c r="T79" s="27" t="n">
        <f aca="false">IF(COUNT('Feijão 1ª safra'!$E77:$Z77)=0,0,MAX(0,IF((T$6-$E$3)&lt;1,0,IFERROR(LOOKUP(2,1/('Feijão 1ª safra'!$E77:INDEX('Feijão 1ª safra'!$E77:$Z77,MIN(T$6-$E$3,22))&lt;&gt;""),'Feijão 1ª safra'!$E77:INDEX('Feijão 1ª safra'!$E77:$Z77,MIN(T$6-$E$3,22))),0))-IF($G$2,0,IF((T$6-$G$3)&lt;1,0,IFERROR(LOOKUP(2,1/('Feijão 1ª safra'!$E77:INDEX('Feijão 1ª safra'!$E77:$Z77,MIN(T$6-$G$3,22))&lt;&gt;""),'Feijão 1ª safra'!$E77:INDEX('Feijão 1ª safra'!$E77:$Z77,MIN(T$6-$G$3,22))),0)))))</f>
        <v>0</v>
      </c>
      <c r="U79" s="27" t="n">
        <f aca="false">IF(COUNT('Feijão 1ª safra'!$E77:$Z77)=0,0,MAX(0,IF((U$6-$E$3)&lt;1,0,IFERROR(LOOKUP(2,1/('Feijão 1ª safra'!$E77:INDEX('Feijão 1ª safra'!$E77:$Z77,MIN(U$6-$E$3,22))&lt;&gt;""),'Feijão 1ª safra'!$E77:INDEX('Feijão 1ª safra'!$E77:$Z77,MIN(U$6-$E$3,22))),0))-IF($G$2,0,IF((U$6-$G$3)&lt;1,0,IFERROR(LOOKUP(2,1/('Feijão 1ª safra'!$E77:INDEX('Feijão 1ª safra'!$E77:$Z77,MIN(U$6-$G$3,22))&lt;&gt;""),'Feijão 1ª safra'!$E77:INDEX('Feijão 1ª safra'!$E77:$Z77,MIN(U$6-$G$3,22))),0)))))</f>
        <v>0</v>
      </c>
      <c r="V79" s="27" t="n">
        <f aca="false">IF(COUNT('Feijão 1ª safra'!$E77:$Z77)=0,0,MAX(0,IF((V$6-$E$3)&lt;1,0,IFERROR(LOOKUP(2,1/('Feijão 1ª safra'!$E77:INDEX('Feijão 1ª safra'!$E77:$Z77,MIN(V$6-$E$3,22))&lt;&gt;""),'Feijão 1ª safra'!$E77:INDEX('Feijão 1ª safra'!$E77:$Z77,MIN(V$6-$E$3,22))),0))-IF($G$2,0,IF((V$6-$G$3)&lt;1,0,IFERROR(LOOKUP(2,1/('Feijão 1ª safra'!$E77:INDEX('Feijão 1ª safra'!$E77:$Z77,MIN(V$6-$G$3,22))&lt;&gt;""),'Feijão 1ª safra'!$E77:INDEX('Feijão 1ª safra'!$E77:$Z77,MIN(V$6-$G$3,22))),0)))))</f>
        <v>0</v>
      </c>
      <c r="W79" s="27" t="n">
        <f aca="false">IF(COUNT('Feijão 1ª safra'!$E77:$Z77)=0,0,MAX(0,IF((W$6-$E$3)&lt;1,0,IFERROR(LOOKUP(2,1/('Feijão 1ª safra'!$E77:INDEX('Feijão 1ª safra'!$E77:$Z77,MIN(W$6-$E$3,22))&lt;&gt;""),'Feijão 1ª safra'!$E77:INDEX('Feijão 1ª safra'!$E77:$Z77,MIN(W$6-$E$3,22))),0))-IF($G$2,0,IF((W$6-$G$3)&lt;1,0,IFERROR(LOOKUP(2,1/('Feijão 1ª safra'!$E77:INDEX('Feijão 1ª safra'!$E77:$Z77,MIN(W$6-$G$3,22))&lt;&gt;""),'Feijão 1ª safra'!$E77:INDEX('Feijão 1ª safra'!$E77:$Z77,MIN(W$6-$G$3,22))),0)))))</f>
        <v>0</v>
      </c>
      <c r="X79" s="27" t="n">
        <f aca="false">IF(COUNT('Feijão 1ª safra'!$E77:$Z77)=0,0,MAX(0,IF((X$6-$E$3)&lt;1,0,IFERROR(LOOKUP(2,1/('Feijão 1ª safra'!$E77:INDEX('Feijão 1ª safra'!$E77:$Z77,MIN(X$6-$E$3,22))&lt;&gt;""),'Feijão 1ª safra'!$E77:INDEX('Feijão 1ª safra'!$E77:$Z77,MIN(X$6-$E$3,22))),0))-IF($G$2,0,IF((X$6-$G$3)&lt;1,0,IFERROR(LOOKUP(2,1/('Feijão 1ª safra'!$E77:INDEX('Feijão 1ª safra'!$E77:$Z77,MIN(X$6-$G$3,22))&lt;&gt;""),'Feijão 1ª safra'!$E77:INDEX('Feijão 1ª safra'!$E77:$Z77,MIN(X$6-$G$3,22))),0)))))</f>
        <v>0</v>
      </c>
      <c r="Y79" s="27" t="n">
        <f aca="false">IF(COUNT('Feijão 1ª safra'!$E77:$Z77)=0,0,MAX(0,IF((Y$6-$E$3)&lt;1,0,IFERROR(LOOKUP(2,1/('Feijão 1ª safra'!$E77:INDEX('Feijão 1ª safra'!$E77:$Z77,MIN(Y$6-$E$3,22))&lt;&gt;""),'Feijão 1ª safra'!$E77:INDEX('Feijão 1ª safra'!$E77:$Z77,MIN(Y$6-$E$3,22))),0))-IF($G$2,0,IF((Y$6-$G$3)&lt;1,0,IFERROR(LOOKUP(2,1/('Feijão 1ª safra'!$E77:INDEX('Feijão 1ª safra'!$E77:$Z77,MIN(Y$6-$G$3,22))&lt;&gt;""),'Feijão 1ª safra'!$E77:INDEX('Feijão 1ª safra'!$E77:$Z77,MIN(Y$6-$G$3,22))),0)))))</f>
        <v>0</v>
      </c>
      <c r="Z79" s="27" t="n">
        <f aca="false">IF(COUNT('Feijão 1ª safra'!$E77:$Z77)=0,0,MAX(0,IF((Z$6-$E$3)&lt;1,0,IFERROR(LOOKUP(2,1/('Feijão 1ª safra'!$E77:INDEX('Feijão 1ª safra'!$E77:$Z77,MIN(Z$6-$E$3,22))&lt;&gt;""),'Feijão 1ª safra'!$E77:INDEX('Feijão 1ª safra'!$E77:$Z77,MIN(Z$6-$E$3,22))),0))-IF($G$2,0,IF((Z$6-$G$3)&lt;1,0,IFERROR(LOOKUP(2,1/('Feijão 1ª safra'!$E77:INDEX('Feijão 1ª safra'!$E77:$Z77,MIN(Z$6-$G$3,22))&lt;&gt;""),'Feijão 1ª safra'!$E77:INDEX('Feijão 1ª safra'!$E77:$Z77,MIN(Z$6-$G$3,22))),0)))))</f>
        <v>0</v>
      </c>
      <c r="AA79" s="27" t="n">
        <f aca="false">IF(COUNT('Feijão 1ª safra'!$E77:$Z77)=0,0,MAX(0,IF((AA$6-$E$3)&lt;1,0,IFERROR(LOOKUP(2,1/('Feijão 1ª safra'!$E77:INDEX('Feijão 1ª safra'!$E77:$Z77,MIN(AA$6-$E$3,22))&lt;&gt;""),'Feijão 1ª safra'!$E77:INDEX('Feijão 1ª safra'!$E77:$Z77,MIN(AA$6-$E$3,22))),0))-IF($G$2,0,IF((AA$6-$G$3)&lt;1,0,IFERROR(LOOKUP(2,1/('Feijão 1ª safra'!$E77:INDEX('Feijão 1ª safra'!$E77:$Z77,MIN(AA$6-$G$3,22))&lt;&gt;""),'Feijão 1ª safra'!$E77:INDEX('Feijão 1ª safra'!$E77:$Z77,MIN(AA$6-$G$3,22))),0)))))</f>
        <v>0</v>
      </c>
      <c r="AB79" s="27" t="n">
        <f aca="false">IF(COUNT('Feijão 1ª safra'!$E77:$Z77)=0,0,MAX(0,IF((AB$6-$E$3)&lt;1,0,IFERROR(LOOKUP(2,1/('Feijão 1ª safra'!$E77:INDEX('Feijão 1ª safra'!$E77:$Z77,MIN(AB$6-$E$3,22))&lt;&gt;""),'Feijão 1ª safra'!$E77:INDEX('Feijão 1ª safra'!$E77:$Z77,MIN(AB$6-$E$3,22))),0))-IF($G$2,0,IF((AB$6-$G$3)&lt;1,0,IFERROR(LOOKUP(2,1/('Feijão 1ª safra'!$E77:INDEX('Feijão 1ª safra'!$E77:$Z77,MIN(AB$6-$G$3,22))&lt;&gt;""),'Feijão 1ª safra'!$E77:INDEX('Feijão 1ª safra'!$E77:$Z77,MIN(AB$6-$G$3,22))),0)))))</f>
        <v>0</v>
      </c>
      <c r="AC79" s="27" t="n">
        <f aca="false">IF(COUNT('Feijão 1ª safra'!$E77:$Z77)=0,0,MAX(0,IF((AC$6-$E$3)&lt;1,0,IFERROR(LOOKUP(2,1/('Feijão 1ª safra'!$E77:INDEX('Feijão 1ª safra'!$E77:$Z77,MIN(AC$6-$E$3,22))&lt;&gt;""),'Feijão 1ª safra'!$E77:INDEX('Feijão 1ª safra'!$E77:$Z77,MIN(AC$6-$E$3,22))),0))-IF($G$2,0,IF((AC$6-$G$3)&lt;1,0,IFERROR(LOOKUP(2,1/('Feijão 1ª safra'!$E77:INDEX('Feijão 1ª safra'!$E77:$Z77,MIN(AC$6-$G$3,22))&lt;&gt;""),'Feijão 1ª safra'!$E77:INDEX('Feijão 1ª safra'!$E77:$Z77,MIN(AC$6-$G$3,22))),0)))))</f>
        <v>0</v>
      </c>
      <c r="AD79" s="27" t="n">
        <f aca="false">IF(COUNT('Feijão 1ª safra'!$E77:$Z77)=0,0,MAX(0,IF((AD$6-$E$3)&lt;1,0,IFERROR(LOOKUP(2,1/('Feijão 1ª safra'!$E77:INDEX('Feijão 1ª safra'!$E77:$Z77,MIN(AD$6-$E$3,22))&lt;&gt;""),'Feijão 1ª safra'!$E77:INDEX('Feijão 1ª safra'!$E77:$Z77,MIN(AD$6-$E$3,22))),0))-IF($G$2,0,IF((AD$6-$G$3)&lt;1,0,IFERROR(LOOKUP(2,1/('Feijão 1ª safra'!$E77:INDEX('Feijão 1ª safra'!$E77:$Z77,MIN(AD$6-$G$3,22))&lt;&gt;""),'Feijão 1ª safra'!$E77:INDEX('Feijão 1ª safra'!$E77:$Z77,MIN(AD$6-$G$3,22))),0)))))</f>
        <v>0</v>
      </c>
      <c r="AE79" s="27" t="n">
        <f aca="false">IF(COUNT('Feijão 1ª safra'!$E77:$Z77)=0,0,MAX(0,IF((AE$6-$E$3)&lt;1,0,IFERROR(LOOKUP(2,1/('Feijão 1ª safra'!$E77:INDEX('Feijão 1ª safra'!$E77:$Z77,MIN(AE$6-$E$3,22))&lt;&gt;""),'Feijão 1ª safra'!$E77:INDEX('Feijão 1ª safra'!$E77:$Z77,MIN(AE$6-$E$3,22))),0))-IF($G$2,0,IF((AE$6-$G$3)&lt;1,0,IFERROR(LOOKUP(2,1/('Feijão 1ª safra'!$E77:INDEX('Feijão 1ª safra'!$E77:$Z77,MIN(AE$6-$G$3,22))&lt;&gt;""),'Feijão 1ª safra'!$E77:INDEX('Feijão 1ª safra'!$E77:$Z77,MIN(AE$6-$G$3,22))),0)))))</f>
        <v>0</v>
      </c>
      <c r="AF79" s="27" t="n">
        <f aca="false">IF(COUNT('Feijão 1ª safra'!$E77:$Z77)=0,0,MAX(0,IF((AF$6-$E$3)&lt;1,0,IFERROR(LOOKUP(2,1/('Feijão 1ª safra'!$E77:INDEX('Feijão 1ª safra'!$E77:$Z77,MIN(AF$6-$E$3,22))&lt;&gt;""),'Feijão 1ª safra'!$E77:INDEX('Feijão 1ª safra'!$E77:$Z77,MIN(AF$6-$E$3,22))),0))-IF($G$2,0,IF((AF$6-$G$3)&lt;1,0,IFERROR(LOOKUP(2,1/('Feijão 1ª safra'!$E77:INDEX('Feijão 1ª safra'!$E77:$Z77,MIN(AF$6-$G$3,22))&lt;&gt;""),'Feijão 1ª safra'!$E77:INDEX('Feijão 1ª safra'!$E77:$Z77,MIN(AF$6-$G$3,22))),0)))))</f>
        <v>0</v>
      </c>
      <c r="AG79" s="27" t="n">
        <f aca="false">IF(COUNT('Feijão 1ª safra'!$E77:$Z77)=0,0,MAX(0,IF((AG$6-$E$3)&lt;1,0,IFERROR(LOOKUP(2,1/('Feijão 1ª safra'!$E77:INDEX('Feijão 1ª safra'!$E77:$Z77,MIN(AG$6-$E$3,22))&lt;&gt;""),'Feijão 1ª safra'!$E77:INDEX('Feijão 1ª safra'!$E77:$Z77,MIN(AG$6-$E$3,22))),0))-IF($G$2,0,IF((AG$6-$G$3)&lt;1,0,IFERROR(LOOKUP(2,1/('Feijão 1ª safra'!$E77:INDEX('Feijão 1ª safra'!$E77:$Z77,MIN(AG$6-$G$3,22))&lt;&gt;""),'Feijão 1ª safra'!$E77:INDEX('Feijão 1ª safra'!$E77:$Z77,MIN(AG$6-$G$3,22))),0)))))</f>
        <v>0</v>
      </c>
      <c r="AH79" s="27" t="n">
        <f aca="false">IF(COUNT('Feijão 1ª safra'!$E77:$Z77)=0,0,MAX(0,IF((AH$6-$E$3)&lt;1,0,IFERROR(LOOKUP(2,1/('Feijão 1ª safra'!$E77:INDEX('Feijão 1ª safra'!$E77:$Z77,MIN(AH$6-$E$3,22))&lt;&gt;""),'Feijão 1ª safra'!$E77:INDEX('Feijão 1ª safra'!$E77:$Z77,MIN(AH$6-$E$3,22))),0))-IF($G$2,0,IF((AH$6-$G$3)&lt;1,0,IFERROR(LOOKUP(2,1/('Feijão 1ª safra'!$E77:INDEX('Feijão 1ª safra'!$E77:$Z77,MIN(AH$6-$G$3,22))&lt;&gt;""),'Feijão 1ª safra'!$E77:INDEX('Feijão 1ª safra'!$E77:$Z77,MIN(AH$6-$G$3,22))),0)))))</f>
        <v>0</v>
      </c>
      <c r="AI79" s="27" t="n">
        <f aca="false">IF(COUNT('Feijão 1ª safra'!$E77:$Z77)=0,0,MAX(0,IF((AI$6-$E$3)&lt;1,0,IFERROR(LOOKUP(2,1/('Feijão 1ª safra'!$E77:INDEX('Feijão 1ª safra'!$E77:$Z77,MIN(AI$6-$E$3,22))&lt;&gt;""),'Feijão 1ª safra'!$E77:INDEX('Feijão 1ª safra'!$E77:$Z77,MIN(AI$6-$E$3,22))),0))-IF($G$2,0,IF((AI$6-$G$3)&lt;1,0,IFERROR(LOOKUP(2,1/('Feijão 1ª safra'!$E77:INDEX('Feijão 1ª safra'!$E77:$Z77,MIN(AI$6-$G$3,22))&lt;&gt;""),'Feijão 1ª safra'!$E77:INDEX('Feijão 1ª safra'!$E77:$Z77,MIN(AI$6-$G$3,22))),0)))))</f>
        <v>0</v>
      </c>
      <c r="AJ79" s="27" t="n">
        <f aca="false">IF(COUNT('Feijão 1ª safra'!$E77:$Z77)=0,0,MAX(0,IF((AJ$6-$E$3)&lt;1,0,IFERROR(LOOKUP(2,1/('Feijão 1ª safra'!$E77:INDEX('Feijão 1ª safra'!$E77:$Z77,MIN(AJ$6-$E$3,22))&lt;&gt;""),'Feijão 1ª safra'!$E77:INDEX('Feijão 1ª safra'!$E77:$Z77,MIN(AJ$6-$E$3,22))),0))-IF($G$2,0,IF((AJ$6-$G$3)&lt;1,0,IFERROR(LOOKUP(2,1/('Feijão 1ª safra'!$E77:INDEX('Feijão 1ª safra'!$E77:$Z77,MIN(AJ$6-$G$3,22))&lt;&gt;""),'Feijão 1ª safra'!$E77:INDEX('Feijão 1ª safra'!$E77:$Z77,MIN(AJ$6-$G$3,22))),0)))))</f>
        <v>0</v>
      </c>
      <c r="AK79" s="27" t="n">
        <f aca="false">IF(COUNT('Feijão 1ª safra'!$E77:$Z77)=0,0,MAX(0,IF((AK$6-$E$3)&lt;1,0,IFERROR(LOOKUP(2,1/('Feijão 1ª safra'!$E77:INDEX('Feijão 1ª safra'!$E77:$Z77,MIN(AK$6-$E$3,22))&lt;&gt;""),'Feijão 1ª safra'!$E77:INDEX('Feijão 1ª safra'!$E77:$Z77,MIN(AK$6-$E$3,22))),0))-IF($G$2,0,IF((AK$6-$G$3)&lt;1,0,IFERROR(LOOKUP(2,1/('Feijão 1ª safra'!$E77:INDEX('Feijão 1ª safra'!$E77:$Z77,MIN(AK$6-$G$3,22))&lt;&gt;""),'Feijão 1ª safra'!$E77:INDEX('Feijão 1ª safra'!$E77:$Z77,MIN(AK$6-$G$3,22))),0)))))</f>
        <v>0</v>
      </c>
      <c r="AL79" s="27" t="n">
        <f aca="false">IF(COUNT('Feijão 1ª safra'!$E77:$Z77)=0,0,MAX(0,IF((AL$6-$E$3)&lt;1,0,IFERROR(LOOKUP(2,1/('Feijão 1ª safra'!$E77:INDEX('Feijão 1ª safra'!$E77:$Z77,MIN(AL$6-$E$3,22))&lt;&gt;""),'Feijão 1ª safra'!$E77:INDEX('Feijão 1ª safra'!$E77:$Z77,MIN(AL$6-$E$3,22))),0))-IF($G$2,0,IF((AL$6-$G$3)&lt;1,0,IFERROR(LOOKUP(2,1/('Feijão 1ª safra'!$E77:INDEX('Feijão 1ª safra'!$E77:$Z77,MIN(AL$6-$G$3,22))&lt;&gt;""),'Feijão 1ª safra'!$E77:INDEX('Feijão 1ª safra'!$E77:$Z77,MIN(AL$6-$G$3,22))),0)))))</f>
        <v>0</v>
      </c>
      <c r="AM79" s="27" t="n">
        <f aca="false">IF(COUNT('Feijão 1ª safra'!$E77:$Z77)=0,0,MAX(0,IF((AM$6-$E$3)&lt;1,0,IFERROR(LOOKUP(2,1/('Feijão 1ª safra'!$E77:INDEX('Feijão 1ª safra'!$E77:$Z77,MIN(AM$6-$E$3,22))&lt;&gt;""),'Feijão 1ª safra'!$E77:INDEX('Feijão 1ª safra'!$E77:$Z77,MIN(AM$6-$E$3,22))),0))-IF($G$2,0,IF((AM$6-$G$3)&lt;1,0,IFERROR(LOOKUP(2,1/('Feijão 1ª safra'!$E77:INDEX('Feijão 1ª safra'!$E77:$Z77,MIN(AM$6-$G$3,22))&lt;&gt;""),'Feijão 1ª safra'!$E77:INDEX('Feijão 1ª safra'!$E77:$Z77,MIN(AM$6-$G$3,22))),0)))))</f>
        <v>0</v>
      </c>
      <c r="AN79" s="27" t="n">
        <f aca="false">IF(COUNT('Feijão 1ª safra'!$E77:$Z77)=0,0,MAX(0,IF((AN$6-$E$3)&lt;1,0,IFERROR(LOOKUP(2,1/('Feijão 1ª safra'!$E77:INDEX('Feijão 1ª safra'!$E77:$Z77,MIN(AN$6-$E$3,22))&lt;&gt;""),'Feijão 1ª safra'!$E77:INDEX('Feijão 1ª safra'!$E77:$Z77,MIN(AN$6-$E$3,22))),0))-IF($G$2,0,IF((AN$6-$G$3)&lt;1,0,IFERROR(LOOKUP(2,1/('Feijão 1ª safra'!$E77:INDEX('Feijão 1ª safra'!$E77:$Z77,MIN(AN$6-$G$3,22))&lt;&gt;""),'Feijão 1ª safra'!$E77:INDEX('Feijão 1ª safra'!$E77:$Z77,MIN(AN$6-$G$3,22))),0)))))</f>
        <v>0</v>
      </c>
      <c r="AO79" s="27" t="n">
        <f aca="false">IF(COUNT('Feijão 1ª safra'!$E77:$Z77)=0,0,MAX(0,IF((AO$6-$E$3)&lt;1,0,IFERROR(LOOKUP(2,1/('Feijão 1ª safra'!$E77:INDEX('Feijão 1ª safra'!$E77:$Z77,MIN(AO$6-$E$3,22))&lt;&gt;""),'Feijão 1ª safra'!$E77:INDEX('Feijão 1ª safra'!$E77:$Z77,MIN(AO$6-$E$3,22))),0))-IF($G$2,0,IF((AO$6-$G$3)&lt;1,0,IFERROR(LOOKUP(2,1/('Feijão 1ª safra'!$E77:INDEX('Feijão 1ª safra'!$E77:$Z77,MIN(AO$6-$G$3,22))&lt;&gt;""),'Feijão 1ª safra'!$E77:INDEX('Feijão 1ª safra'!$E77:$Z77,MIN(AO$6-$G$3,22))),0)))))</f>
        <v>0</v>
      </c>
      <c r="AP79" s="27" t="n">
        <f aca="false">IF(COUNT('Feijão 1ª safra'!$E77:$Z77)=0,0,MAX(0,IF((AP$6-$E$3)&lt;1,0,IFERROR(LOOKUP(2,1/('Feijão 1ª safra'!$E77:INDEX('Feijão 1ª safra'!$E77:$Z77,MIN(AP$6-$E$3,22))&lt;&gt;""),'Feijão 1ª safra'!$E77:INDEX('Feijão 1ª safra'!$E77:$Z77,MIN(AP$6-$E$3,22))),0))-IF($G$2,0,IF((AP$6-$G$3)&lt;1,0,IFERROR(LOOKUP(2,1/('Feijão 1ª safra'!$E77:INDEX('Feijão 1ª safra'!$E77:$Z77,MIN(AP$6-$G$3,22))&lt;&gt;""),'Feijão 1ª safra'!$E77:INDEX('Feijão 1ª safra'!$E77:$Z77,MIN(AP$6-$G$3,22))),0)))))</f>
        <v>0</v>
      </c>
      <c r="AQ79" s="27" t="n">
        <f aca="false">IF(COUNT('Feijão 1ª safra'!$E77:$Z77)=0,0,MAX(0,IF((AQ$6-$E$3)&lt;1,0,IFERROR(LOOKUP(2,1/('Feijão 1ª safra'!$E77:INDEX('Feijão 1ª safra'!$E77:$Z77,MIN(AQ$6-$E$3,22))&lt;&gt;""),'Feijão 1ª safra'!$E77:INDEX('Feijão 1ª safra'!$E77:$Z77,MIN(AQ$6-$E$3,22))),0))-IF($G$2,0,IF((AQ$6-$G$3)&lt;1,0,IFERROR(LOOKUP(2,1/('Feijão 1ª safra'!$E77:INDEX('Feijão 1ª safra'!$E77:$Z77,MIN(AQ$6-$G$3,22))&lt;&gt;""),'Feijão 1ª safra'!$E77:INDEX('Feijão 1ª safra'!$E77:$Z77,MIN(AQ$6-$G$3,22))),0)))))</f>
        <v>0</v>
      </c>
      <c r="AR79" s="27" t="n">
        <f aca="false">IF(COUNT('Feijão 1ª safra'!$E77:$Z77)=0,0,MAX(0,IF((AR$6-$E$3)&lt;1,0,IFERROR(LOOKUP(2,1/('Feijão 1ª safra'!$E77:INDEX('Feijão 1ª safra'!$E77:$Z77,MIN(AR$6-$E$3,22))&lt;&gt;""),'Feijão 1ª safra'!$E77:INDEX('Feijão 1ª safra'!$E77:$Z77,MIN(AR$6-$E$3,22))),0))-IF($G$2,0,IF((AR$6-$G$3)&lt;1,0,IFERROR(LOOKUP(2,1/('Feijão 1ª safra'!$E77:INDEX('Feijão 1ª safra'!$E77:$Z77,MIN(AR$6-$G$3,22))&lt;&gt;""),'Feijão 1ª safra'!$E77:INDEX('Feijão 1ª safra'!$E77:$Z77,MIN(AR$6-$G$3,22))),0)))))</f>
        <v>0</v>
      </c>
      <c r="AS79" s="27" t="n">
        <f aca="false">IF(COUNT('Feijão 1ª safra'!$E77:$Z77)=0,0,MAX(0,IF((AS$6-$E$3)&lt;1,0,IFERROR(LOOKUP(2,1/('Feijão 1ª safra'!$E77:INDEX('Feijão 1ª safra'!$E77:$Z77,MIN(AS$6-$E$3,22))&lt;&gt;""),'Feijão 1ª safra'!$E77:INDEX('Feijão 1ª safra'!$E77:$Z77,MIN(AS$6-$E$3,22))),0))-IF($G$2,0,IF((AS$6-$G$3)&lt;1,0,IFERROR(LOOKUP(2,1/('Feijão 1ª safra'!$E77:INDEX('Feijão 1ª safra'!$E77:$Z77,MIN(AS$6-$G$3,22))&lt;&gt;""),'Feijão 1ª safra'!$E77:INDEX('Feijão 1ª safra'!$E77:$Z77,MIN(AS$6-$G$3,22))),0)))))</f>
        <v>0</v>
      </c>
      <c r="AT79" s="27" t="n">
        <f aca="false">IF(COUNT('Feijão 1ª safra'!$E77:$Z77)=0,0,MAX(0,IF((AT$6-$E$3)&lt;1,0,IFERROR(LOOKUP(2,1/('Feijão 1ª safra'!$E77:INDEX('Feijão 1ª safra'!$E77:$Z77,MIN(AT$6-$E$3,22))&lt;&gt;""),'Feijão 1ª safra'!$E77:INDEX('Feijão 1ª safra'!$E77:$Z77,MIN(AT$6-$E$3,22))),0))-IF($G$2,0,IF((AT$6-$G$3)&lt;1,0,IFERROR(LOOKUP(2,1/('Feijão 1ª safra'!$E77:INDEX('Feijão 1ª safra'!$E77:$Z77,MIN(AT$6-$G$3,22))&lt;&gt;""),'Feijão 1ª safra'!$E77:INDEX('Feijão 1ª safra'!$E77:$Z77,MIN(AT$6-$G$3,22))),0)))))</f>
        <v>0</v>
      </c>
      <c r="AU79" s="27" t="n">
        <f aca="false">IF(COUNT('Feijão 1ª safra'!$E77:$Z77)=0,0,MAX(0,IF((AU$6-$E$3)&lt;1,0,IFERROR(LOOKUP(2,1/('Feijão 1ª safra'!$E77:INDEX('Feijão 1ª safra'!$E77:$Z77,MIN(AU$6-$E$3,22))&lt;&gt;""),'Feijão 1ª safra'!$E77:INDEX('Feijão 1ª safra'!$E77:$Z77,MIN(AU$6-$E$3,22))),0))-IF($G$2,0,IF((AU$6-$G$3)&lt;1,0,IFERROR(LOOKUP(2,1/('Feijão 1ª safra'!$E77:INDEX('Feijão 1ª safra'!$E77:$Z77,MIN(AU$6-$G$3,22))&lt;&gt;""),'Feijão 1ª safra'!$E77:INDEX('Feijão 1ª safra'!$E77:$Z77,MIN(AU$6-$G$3,22))),0)))))</f>
        <v>0</v>
      </c>
      <c r="AV79" s="27" t="n">
        <f aca="false">IF(COUNT('Feijão 1ª safra'!$E77:$Z77)=0,0,MAX(0,IF((AV$6-$E$3)&lt;1,0,IFERROR(LOOKUP(2,1/('Feijão 1ª safra'!$E77:INDEX('Feijão 1ª safra'!$E77:$Z77,MIN(AV$6-$E$3,22))&lt;&gt;""),'Feijão 1ª safra'!$E77:INDEX('Feijão 1ª safra'!$E77:$Z77,MIN(AV$6-$E$3,22))),0))-IF($G$2,0,IF((AV$6-$G$3)&lt;1,0,IFERROR(LOOKUP(2,1/('Feijão 1ª safra'!$E77:INDEX('Feijão 1ª safra'!$E77:$Z77,MIN(AV$6-$G$3,22))&lt;&gt;""),'Feijão 1ª safra'!$E77:INDEX('Feijão 1ª safra'!$E77:$Z77,MIN(AV$6-$G$3,22))),0)))))</f>
        <v>0</v>
      </c>
      <c r="AW79" s="27" t="n">
        <f aca="false">IF(COUNT('Feijão 1ª safra'!$E77:$Z77)=0,0,MAX(0,IF((AW$6-$E$3)&lt;1,0,IFERROR(LOOKUP(2,1/('Feijão 1ª safra'!$E77:INDEX('Feijão 1ª safra'!$E77:$Z77,MIN(AW$6-$E$3,22))&lt;&gt;""),'Feijão 1ª safra'!$E77:INDEX('Feijão 1ª safra'!$E77:$Z77,MIN(AW$6-$E$3,22))),0))-IF($G$2,0,IF((AW$6-$G$3)&lt;1,0,IFERROR(LOOKUP(2,1/('Feijão 1ª safra'!$E77:INDEX('Feijão 1ª safra'!$E77:$Z77,MIN(AW$6-$G$3,22))&lt;&gt;""),'Feijão 1ª safra'!$E77:INDEX('Feijão 1ª safra'!$E77:$Z77,MIN(AW$6-$G$3,22))),0)))))</f>
        <v>0</v>
      </c>
      <c r="AX79" s="27" t="n">
        <f aca="false">IF(COUNT('Feijão 1ª safra'!$E77:$Z77)=0,0,MAX(0,IF((AX$6-$E$3)&lt;1,0,IFERROR(LOOKUP(2,1/('Feijão 1ª safra'!$E77:INDEX('Feijão 1ª safra'!$E77:$Z77,MIN(AX$6-$E$3,22))&lt;&gt;""),'Feijão 1ª safra'!$E77:INDEX('Feijão 1ª safra'!$E77:$Z77,MIN(AX$6-$E$3,22))),0))-IF($G$2,0,IF((AX$6-$G$3)&lt;1,0,IFERROR(LOOKUP(2,1/('Feijão 1ª safra'!$E77:INDEX('Feijão 1ª safra'!$E77:$Z77,MIN(AX$6-$G$3,22))&lt;&gt;""),'Feijão 1ª safra'!$E77:INDEX('Feijão 1ª safra'!$E77:$Z77,MIN(AX$6-$G$3,22))),0)))))</f>
        <v>0</v>
      </c>
      <c r="AY79" s="27" t="n">
        <f aca="false">IF(COUNT('Feijão 1ª safra'!$E77:$Z77)=0,0,MAX(0,IF((AY$6-$E$3)&lt;1,0,IFERROR(LOOKUP(2,1/('Feijão 1ª safra'!$E77:INDEX('Feijão 1ª safra'!$E77:$Z77,MIN(AY$6-$E$3,22))&lt;&gt;""),'Feijão 1ª safra'!$E77:INDEX('Feijão 1ª safra'!$E77:$Z77,MIN(AY$6-$E$3,22))),0))-IF($G$2,0,IF((AY$6-$G$3)&lt;1,0,IFERROR(LOOKUP(2,1/('Feijão 1ª safra'!$E77:INDEX('Feijão 1ª safra'!$E77:$Z77,MIN(AY$6-$G$3,22))&lt;&gt;""),'Feijão 1ª safra'!$E77:INDEX('Feijão 1ª safra'!$E77:$Z77,MIN(AY$6-$G$3,22))),0)))))</f>
        <v>0</v>
      </c>
      <c r="AZ79" s="27" t="n">
        <f aca="false">IF(COUNT('Feijão 1ª safra'!$E77:$Z77)=0,0,MAX(0,IF((AZ$6-$E$3)&lt;1,0,IFERROR(LOOKUP(2,1/('Feijão 1ª safra'!$E77:INDEX('Feijão 1ª safra'!$E77:$Z77,MIN(AZ$6-$E$3,22))&lt;&gt;""),'Feijão 1ª safra'!$E77:INDEX('Feijão 1ª safra'!$E77:$Z77,MIN(AZ$6-$E$3,22))),0))-IF($G$2,0,IF((AZ$6-$G$3)&lt;1,0,IFERROR(LOOKUP(2,1/('Feijão 1ª safra'!$E77:INDEX('Feijão 1ª safra'!$E77:$Z77,MIN(AZ$6-$G$3,22))&lt;&gt;""),'Feijão 1ª safra'!$E77:INDEX('Feijão 1ª safra'!$E77:$Z77,MIN(AZ$6-$G$3,22))),0)))))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IF(COUNT('Feijão 1ª safra'!$E78:$Z78)&gt;0,N('Feijão 1ª safra'!$D78),0)</f>
        <v>0</v>
      </c>
      <c r="E80" s="27" t="n">
        <f aca="false">IF(COUNT('Feijão 1ª safra'!$E78:$Z78)=0,0,MAX(0,IF((E$6-$E$3)&lt;1,0,IFERROR(LOOKUP(2,1/('Feijão 1ª safra'!$E78:INDEX('Feijão 1ª safra'!$E78:$Z78,MIN(E$6-$E$3,22))&lt;&gt;""),'Feijão 1ª safra'!$E78:INDEX('Feijão 1ª safra'!$E78:$Z78,MIN(E$6-$E$3,22))),0))-IF($G$2,0,IF((E$6-$G$3)&lt;1,0,IFERROR(LOOKUP(2,1/('Feijão 1ª safra'!$E78:INDEX('Feijão 1ª safra'!$E78:$Z78,MIN(E$6-$G$3,22))&lt;&gt;""),'Feijão 1ª safra'!$E78:INDEX('Feijão 1ª safra'!$E78:$Z78,MIN(E$6-$G$3,22))),0)))))</f>
        <v>0</v>
      </c>
      <c r="F80" s="27" t="n">
        <f aca="false">IF(COUNT('Feijão 1ª safra'!$E78:$Z78)=0,0,MAX(0,IF((F$6-$E$3)&lt;1,0,IFERROR(LOOKUP(2,1/('Feijão 1ª safra'!$E78:INDEX('Feijão 1ª safra'!$E78:$Z78,MIN(F$6-$E$3,22))&lt;&gt;""),'Feijão 1ª safra'!$E78:INDEX('Feijão 1ª safra'!$E78:$Z78,MIN(F$6-$E$3,22))),0))-IF($G$2,0,IF((F$6-$G$3)&lt;1,0,IFERROR(LOOKUP(2,1/('Feijão 1ª safra'!$E78:INDEX('Feijão 1ª safra'!$E78:$Z78,MIN(F$6-$G$3,22))&lt;&gt;""),'Feijão 1ª safra'!$E78:INDEX('Feijão 1ª safra'!$E78:$Z78,MIN(F$6-$G$3,22))),0)))))</f>
        <v>0</v>
      </c>
      <c r="G80" s="27" t="n">
        <f aca="false">IF(COUNT('Feijão 1ª safra'!$E78:$Z78)=0,0,MAX(0,IF((G$6-$E$3)&lt;1,0,IFERROR(LOOKUP(2,1/('Feijão 1ª safra'!$E78:INDEX('Feijão 1ª safra'!$E78:$Z78,MIN(G$6-$E$3,22))&lt;&gt;""),'Feijão 1ª safra'!$E78:INDEX('Feijão 1ª safra'!$E78:$Z78,MIN(G$6-$E$3,22))),0))-IF($G$2,0,IF((G$6-$G$3)&lt;1,0,IFERROR(LOOKUP(2,1/('Feijão 1ª safra'!$E78:INDEX('Feijão 1ª safra'!$E78:$Z78,MIN(G$6-$G$3,22))&lt;&gt;""),'Feijão 1ª safra'!$E78:INDEX('Feijão 1ª safra'!$E78:$Z78,MIN(G$6-$G$3,22))),0)))))</f>
        <v>0</v>
      </c>
      <c r="H80" s="27" t="n">
        <f aca="false">IF(COUNT('Feijão 1ª safra'!$E78:$Z78)=0,0,MAX(0,IF((H$6-$E$3)&lt;1,0,IFERROR(LOOKUP(2,1/('Feijão 1ª safra'!$E78:INDEX('Feijão 1ª safra'!$E78:$Z78,MIN(H$6-$E$3,22))&lt;&gt;""),'Feijão 1ª safra'!$E78:INDEX('Feijão 1ª safra'!$E78:$Z78,MIN(H$6-$E$3,22))),0))-IF($G$2,0,IF((H$6-$G$3)&lt;1,0,IFERROR(LOOKUP(2,1/('Feijão 1ª safra'!$E78:INDEX('Feijão 1ª safra'!$E78:$Z78,MIN(H$6-$G$3,22))&lt;&gt;""),'Feijão 1ª safra'!$E78:INDEX('Feijão 1ª safra'!$E78:$Z78,MIN(H$6-$G$3,22))),0)))))</f>
        <v>0</v>
      </c>
      <c r="I80" s="27" t="n">
        <f aca="false">IF(COUNT('Feijão 1ª safra'!$E78:$Z78)=0,0,MAX(0,IF((I$6-$E$3)&lt;1,0,IFERROR(LOOKUP(2,1/('Feijão 1ª safra'!$E78:INDEX('Feijão 1ª safra'!$E78:$Z78,MIN(I$6-$E$3,22))&lt;&gt;""),'Feijão 1ª safra'!$E78:INDEX('Feijão 1ª safra'!$E78:$Z78,MIN(I$6-$E$3,22))),0))-IF($G$2,0,IF((I$6-$G$3)&lt;1,0,IFERROR(LOOKUP(2,1/('Feijão 1ª safra'!$E78:INDEX('Feijão 1ª safra'!$E78:$Z78,MIN(I$6-$G$3,22))&lt;&gt;""),'Feijão 1ª safra'!$E78:INDEX('Feijão 1ª safra'!$E78:$Z78,MIN(I$6-$G$3,22))),0)))))</f>
        <v>0</v>
      </c>
      <c r="J80" s="27" t="n">
        <f aca="false">IF(COUNT('Feijão 1ª safra'!$E78:$Z78)=0,0,MAX(0,IF((J$6-$E$3)&lt;1,0,IFERROR(LOOKUP(2,1/('Feijão 1ª safra'!$E78:INDEX('Feijão 1ª safra'!$E78:$Z78,MIN(J$6-$E$3,22))&lt;&gt;""),'Feijão 1ª safra'!$E78:INDEX('Feijão 1ª safra'!$E78:$Z78,MIN(J$6-$E$3,22))),0))-IF($G$2,0,IF((J$6-$G$3)&lt;1,0,IFERROR(LOOKUP(2,1/('Feijão 1ª safra'!$E78:INDEX('Feijão 1ª safra'!$E78:$Z78,MIN(J$6-$G$3,22))&lt;&gt;""),'Feijão 1ª safra'!$E78:INDEX('Feijão 1ª safra'!$E78:$Z78,MIN(J$6-$G$3,22))),0)))))</f>
        <v>0</v>
      </c>
      <c r="K80" s="27" t="n">
        <f aca="false">IF(COUNT('Feijão 1ª safra'!$E78:$Z78)=0,0,MAX(0,IF((K$6-$E$3)&lt;1,0,IFERROR(LOOKUP(2,1/('Feijão 1ª safra'!$E78:INDEX('Feijão 1ª safra'!$E78:$Z78,MIN(K$6-$E$3,22))&lt;&gt;""),'Feijão 1ª safra'!$E78:INDEX('Feijão 1ª safra'!$E78:$Z78,MIN(K$6-$E$3,22))),0))-IF($G$2,0,IF((K$6-$G$3)&lt;1,0,IFERROR(LOOKUP(2,1/('Feijão 1ª safra'!$E78:INDEX('Feijão 1ª safra'!$E78:$Z78,MIN(K$6-$G$3,22))&lt;&gt;""),'Feijão 1ª safra'!$E78:INDEX('Feijão 1ª safra'!$E78:$Z78,MIN(K$6-$G$3,22))),0)))))</f>
        <v>0</v>
      </c>
      <c r="L80" s="27" t="n">
        <f aca="false">IF(COUNT('Feijão 1ª safra'!$E78:$Z78)=0,0,MAX(0,IF((L$6-$E$3)&lt;1,0,IFERROR(LOOKUP(2,1/('Feijão 1ª safra'!$E78:INDEX('Feijão 1ª safra'!$E78:$Z78,MIN(L$6-$E$3,22))&lt;&gt;""),'Feijão 1ª safra'!$E78:INDEX('Feijão 1ª safra'!$E78:$Z78,MIN(L$6-$E$3,22))),0))-IF($G$2,0,IF((L$6-$G$3)&lt;1,0,IFERROR(LOOKUP(2,1/('Feijão 1ª safra'!$E78:INDEX('Feijão 1ª safra'!$E78:$Z78,MIN(L$6-$G$3,22))&lt;&gt;""),'Feijão 1ª safra'!$E78:INDEX('Feijão 1ª safra'!$E78:$Z78,MIN(L$6-$G$3,22))),0)))))</f>
        <v>0</v>
      </c>
      <c r="M80" s="27" t="n">
        <f aca="false">IF(COUNT('Feijão 1ª safra'!$E78:$Z78)=0,0,MAX(0,IF((M$6-$E$3)&lt;1,0,IFERROR(LOOKUP(2,1/('Feijão 1ª safra'!$E78:INDEX('Feijão 1ª safra'!$E78:$Z78,MIN(M$6-$E$3,22))&lt;&gt;""),'Feijão 1ª safra'!$E78:INDEX('Feijão 1ª safra'!$E78:$Z78,MIN(M$6-$E$3,22))),0))-IF($G$2,0,IF((M$6-$G$3)&lt;1,0,IFERROR(LOOKUP(2,1/('Feijão 1ª safra'!$E78:INDEX('Feijão 1ª safra'!$E78:$Z78,MIN(M$6-$G$3,22))&lt;&gt;""),'Feijão 1ª safra'!$E78:INDEX('Feijão 1ª safra'!$E78:$Z78,MIN(M$6-$G$3,22))),0)))))</f>
        <v>0</v>
      </c>
      <c r="N80" s="27" t="n">
        <f aca="false">IF(COUNT('Feijão 1ª safra'!$E78:$Z78)=0,0,MAX(0,IF((N$6-$E$3)&lt;1,0,IFERROR(LOOKUP(2,1/('Feijão 1ª safra'!$E78:INDEX('Feijão 1ª safra'!$E78:$Z78,MIN(N$6-$E$3,22))&lt;&gt;""),'Feijão 1ª safra'!$E78:INDEX('Feijão 1ª safra'!$E78:$Z78,MIN(N$6-$E$3,22))),0))-IF($G$2,0,IF((N$6-$G$3)&lt;1,0,IFERROR(LOOKUP(2,1/('Feijão 1ª safra'!$E78:INDEX('Feijão 1ª safra'!$E78:$Z78,MIN(N$6-$G$3,22))&lt;&gt;""),'Feijão 1ª safra'!$E78:INDEX('Feijão 1ª safra'!$E78:$Z78,MIN(N$6-$G$3,22))),0)))))</f>
        <v>0</v>
      </c>
      <c r="O80" s="27" t="n">
        <f aca="false">IF(COUNT('Feijão 1ª safra'!$E78:$Z78)=0,0,MAX(0,IF((O$6-$E$3)&lt;1,0,IFERROR(LOOKUP(2,1/('Feijão 1ª safra'!$E78:INDEX('Feijão 1ª safra'!$E78:$Z78,MIN(O$6-$E$3,22))&lt;&gt;""),'Feijão 1ª safra'!$E78:INDEX('Feijão 1ª safra'!$E78:$Z78,MIN(O$6-$E$3,22))),0))-IF($G$2,0,IF((O$6-$G$3)&lt;1,0,IFERROR(LOOKUP(2,1/('Feijão 1ª safra'!$E78:INDEX('Feijão 1ª safra'!$E78:$Z78,MIN(O$6-$G$3,22))&lt;&gt;""),'Feijão 1ª safra'!$E78:INDEX('Feijão 1ª safra'!$E78:$Z78,MIN(O$6-$G$3,22))),0)))))</f>
        <v>0</v>
      </c>
      <c r="P80" s="27" t="n">
        <f aca="false">IF(COUNT('Feijão 1ª safra'!$E78:$Z78)=0,0,MAX(0,IF((P$6-$E$3)&lt;1,0,IFERROR(LOOKUP(2,1/('Feijão 1ª safra'!$E78:INDEX('Feijão 1ª safra'!$E78:$Z78,MIN(P$6-$E$3,22))&lt;&gt;""),'Feijão 1ª safra'!$E78:INDEX('Feijão 1ª safra'!$E78:$Z78,MIN(P$6-$E$3,22))),0))-IF($G$2,0,IF((P$6-$G$3)&lt;1,0,IFERROR(LOOKUP(2,1/('Feijão 1ª safra'!$E78:INDEX('Feijão 1ª safra'!$E78:$Z78,MIN(P$6-$G$3,22))&lt;&gt;""),'Feijão 1ª safra'!$E78:INDEX('Feijão 1ª safra'!$E78:$Z78,MIN(P$6-$G$3,22))),0)))))</f>
        <v>0</v>
      </c>
      <c r="Q80" s="27" t="n">
        <f aca="false">IF(COUNT('Feijão 1ª safra'!$E78:$Z78)=0,0,MAX(0,IF((Q$6-$E$3)&lt;1,0,IFERROR(LOOKUP(2,1/('Feijão 1ª safra'!$E78:INDEX('Feijão 1ª safra'!$E78:$Z78,MIN(Q$6-$E$3,22))&lt;&gt;""),'Feijão 1ª safra'!$E78:INDEX('Feijão 1ª safra'!$E78:$Z78,MIN(Q$6-$E$3,22))),0))-IF($G$2,0,IF((Q$6-$G$3)&lt;1,0,IFERROR(LOOKUP(2,1/('Feijão 1ª safra'!$E78:INDEX('Feijão 1ª safra'!$E78:$Z78,MIN(Q$6-$G$3,22))&lt;&gt;""),'Feijão 1ª safra'!$E78:INDEX('Feijão 1ª safra'!$E78:$Z78,MIN(Q$6-$G$3,22))),0)))))</f>
        <v>0</v>
      </c>
      <c r="R80" s="27" t="n">
        <f aca="false">IF(COUNT('Feijão 1ª safra'!$E78:$Z78)=0,0,MAX(0,IF((R$6-$E$3)&lt;1,0,IFERROR(LOOKUP(2,1/('Feijão 1ª safra'!$E78:INDEX('Feijão 1ª safra'!$E78:$Z78,MIN(R$6-$E$3,22))&lt;&gt;""),'Feijão 1ª safra'!$E78:INDEX('Feijão 1ª safra'!$E78:$Z78,MIN(R$6-$E$3,22))),0))-IF($G$2,0,IF((R$6-$G$3)&lt;1,0,IFERROR(LOOKUP(2,1/('Feijão 1ª safra'!$E78:INDEX('Feijão 1ª safra'!$E78:$Z78,MIN(R$6-$G$3,22))&lt;&gt;""),'Feijão 1ª safra'!$E78:INDEX('Feijão 1ª safra'!$E78:$Z78,MIN(R$6-$G$3,22))),0)))))</f>
        <v>0</v>
      </c>
      <c r="S80" s="27" t="n">
        <f aca="false">IF(COUNT('Feijão 1ª safra'!$E78:$Z78)=0,0,MAX(0,IF((S$6-$E$3)&lt;1,0,IFERROR(LOOKUP(2,1/('Feijão 1ª safra'!$E78:INDEX('Feijão 1ª safra'!$E78:$Z78,MIN(S$6-$E$3,22))&lt;&gt;""),'Feijão 1ª safra'!$E78:INDEX('Feijão 1ª safra'!$E78:$Z78,MIN(S$6-$E$3,22))),0))-IF($G$2,0,IF((S$6-$G$3)&lt;1,0,IFERROR(LOOKUP(2,1/('Feijão 1ª safra'!$E78:INDEX('Feijão 1ª safra'!$E78:$Z78,MIN(S$6-$G$3,22))&lt;&gt;""),'Feijão 1ª safra'!$E78:INDEX('Feijão 1ª safra'!$E78:$Z78,MIN(S$6-$G$3,22))),0)))))</f>
        <v>0</v>
      </c>
      <c r="T80" s="27" t="n">
        <f aca="false">IF(COUNT('Feijão 1ª safra'!$E78:$Z78)=0,0,MAX(0,IF((T$6-$E$3)&lt;1,0,IFERROR(LOOKUP(2,1/('Feijão 1ª safra'!$E78:INDEX('Feijão 1ª safra'!$E78:$Z78,MIN(T$6-$E$3,22))&lt;&gt;""),'Feijão 1ª safra'!$E78:INDEX('Feijão 1ª safra'!$E78:$Z78,MIN(T$6-$E$3,22))),0))-IF($G$2,0,IF((T$6-$G$3)&lt;1,0,IFERROR(LOOKUP(2,1/('Feijão 1ª safra'!$E78:INDEX('Feijão 1ª safra'!$E78:$Z78,MIN(T$6-$G$3,22))&lt;&gt;""),'Feijão 1ª safra'!$E78:INDEX('Feijão 1ª safra'!$E78:$Z78,MIN(T$6-$G$3,22))),0)))))</f>
        <v>0</v>
      </c>
      <c r="U80" s="27" t="n">
        <f aca="false">IF(COUNT('Feijão 1ª safra'!$E78:$Z78)=0,0,MAX(0,IF((U$6-$E$3)&lt;1,0,IFERROR(LOOKUP(2,1/('Feijão 1ª safra'!$E78:INDEX('Feijão 1ª safra'!$E78:$Z78,MIN(U$6-$E$3,22))&lt;&gt;""),'Feijão 1ª safra'!$E78:INDEX('Feijão 1ª safra'!$E78:$Z78,MIN(U$6-$E$3,22))),0))-IF($G$2,0,IF((U$6-$G$3)&lt;1,0,IFERROR(LOOKUP(2,1/('Feijão 1ª safra'!$E78:INDEX('Feijão 1ª safra'!$E78:$Z78,MIN(U$6-$G$3,22))&lt;&gt;""),'Feijão 1ª safra'!$E78:INDEX('Feijão 1ª safra'!$E78:$Z78,MIN(U$6-$G$3,22))),0)))))</f>
        <v>0</v>
      </c>
      <c r="V80" s="27" t="n">
        <f aca="false">IF(COUNT('Feijão 1ª safra'!$E78:$Z78)=0,0,MAX(0,IF((V$6-$E$3)&lt;1,0,IFERROR(LOOKUP(2,1/('Feijão 1ª safra'!$E78:INDEX('Feijão 1ª safra'!$E78:$Z78,MIN(V$6-$E$3,22))&lt;&gt;""),'Feijão 1ª safra'!$E78:INDEX('Feijão 1ª safra'!$E78:$Z78,MIN(V$6-$E$3,22))),0))-IF($G$2,0,IF((V$6-$G$3)&lt;1,0,IFERROR(LOOKUP(2,1/('Feijão 1ª safra'!$E78:INDEX('Feijão 1ª safra'!$E78:$Z78,MIN(V$6-$G$3,22))&lt;&gt;""),'Feijão 1ª safra'!$E78:INDEX('Feijão 1ª safra'!$E78:$Z78,MIN(V$6-$G$3,22))),0)))))</f>
        <v>0</v>
      </c>
      <c r="W80" s="27" t="n">
        <f aca="false">IF(COUNT('Feijão 1ª safra'!$E78:$Z78)=0,0,MAX(0,IF((W$6-$E$3)&lt;1,0,IFERROR(LOOKUP(2,1/('Feijão 1ª safra'!$E78:INDEX('Feijão 1ª safra'!$E78:$Z78,MIN(W$6-$E$3,22))&lt;&gt;""),'Feijão 1ª safra'!$E78:INDEX('Feijão 1ª safra'!$E78:$Z78,MIN(W$6-$E$3,22))),0))-IF($G$2,0,IF((W$6-$G$3)&lt;1,0,IFERROR(LOOKUP(2,1/('Feijão 1ª safra'!$E78:INDEX('Feijão 1ª safra'!$E78:$Z78,MIN(W$6-$G$3,22))&lt;&gt;""),'Feijão 1ª safra'!$E78:INDEX('Feijão 1ª safra'!$E78:$Z78,MIN(W$6-$G$3,22))),0)))))</f>
        <v>0</v>
      </c>
      <c r="X80" s="27" t="n">
        <f aca="false">IF(COUNT('Feijão 1ª safra'!$E78:$Z78)=0,0,MAX(0,IF((X$6-$E$3)&lt;1,0,IFERROR(LOOKUP(2,1/('Feijão 1ª safra'!$E78:INDEX('Feijão 1ª safra'!$E78:$Z78,MIN(X$6-$E$3,22))&lt;&gt;""),'Feijão 1ª safra'!$E78:INDEX('Feijão 1ª safra'!$E78:$Z78,MIN(X$6-$E$3,22))),0))-IF($G$2,0,IF((X$6-$G$3)&lt;1,0,IFERROR(LOOKUP(2,1/('Feijão 1ª safra'!$E78:INDEX('Feijão 1ª safra'!$E78:$Z78,MIN(X$6-$G$3,22))&lt;&gt;""),'Feijão 1ª safra'!$E78:INDEX('Feijão 1ª safra'!$E78:$Z78,MIN(X$6-$G$3,22))),0)))))</f>
        <v>0</v>
      </c>
      <c r="Y80" s="27" t="n">
        <f aca="false">IF(COUNT('Feijão 1ª safra'!$E78:$Z78)=0,0,MAX(0,IF((Y$6-$E$3)&lt;1,0,IFERROR(LOOKUP(2,1/('Feijão 1ª safra'!$E78:INDEX('Feijão 1ª safra'!$E78:$Z78,MIN(Y$6-$E$3,22))&lt;&gt;""),'Feijão 1ª safra'!$E78:INDEX('Feijão 1ª safra'!$E78:$Z78,MIN(Y$6-$E$3,22))),0))-IF($G$2,0,IF((Y$6-$G$3)&lt;1,0,IFERROR(LOOKUP(2,1/('Feijão 1ª safra'!$E78:INDEX('Feijão 1ª safra'!$E78:$Z78,MIN(Y$6-$G$3,22))&lt;&gt;""),'Feijão 1ª safra'!$E78:INDEX('Feijão 1ª safra'!$E78:$Z78,MIN(Y$6-$G$3,22))),0)))))</f>
        <v>0</v>
      </c>
      <c r="Z80" s="27" t="n">
        <f aca="false">IF(COUNT('Feijão 1ª safra'!$E78:$Z78)=0,0,MAX(0,IF((Z$6-$E$3)&lt;1,0,IFERROR(LOOKUP(2,1/('Feijão 1ª safra'!$E78:INDEX('Feijão 1ª safra'!$E78:$Z78,MIN(Z$6-$E$3,22))&lt;&gt;""),'Feijão 1ª safra'!$E78:INDEX('Feijão 1ª safra'!$E78:$Z78,MIN(Z$6-$E$3,22))),0))-IF($G$2,0,IF((Z$6-$G$3)&lt;1,0,IFERROR(LOOKUP(2,1/('Feijão 1ª safra'!$E78:INDEX('Feijão 1ª safra'!$E78:$Z78,MIN(Z$6-$G$3,22))&lt;&gt;""),'Feijão 1ª safra'!$E78:INDEX('Feijão 1ª safra'!$E78:$Z78,MIN(Z$6-$G$3,22))),0)))))</f>
        <v>0</v>
      </c>
      <c r="AA80" s="27" t="n">
        <f aca="false">IF(COUNT('Feijão 1ª safra'!$E78:$Z78)=0,0,MAX(0,IF((AA$6-$E$3)&lt;1,0,IFERROR(LOOKUP(2,1/('Feijão 1ª safra'!$E78:INDEX('Feijão 1ª safra'!$E78:$Z78,MIN(AA$6-$E$3,22))&lt;&gt;""),'Feijão 1ª safra'!$E78:INDEX('Feijão 1ª safra'!$E78:$Z78,MIN(AA$6-$E$3,22))),0))-IF($G$2,0,IF((AA$6-$G$3)&lt;1,0,IFERROR(LOOKUP(2,1/('Feijão 1ª safra'!$E78:INDEX('Feijão 1ª safra'!$E78:$Z78,MIN(AA$6-$G$3,22))&lt;&gt;""),'Feijão 1ª safra'!$E78:INDEX('Feijão 1ª safra'!$E78:$Z78,MIN(AA$6-$G$3,22))),0)))))</f>
        <v>0</v>
      </c>
      <c r="AB80" s="27" t="n">
        <f aca="false">IF(COUNT('Feijão 1ª safra'!$E78:$Z78)=0,0,MAX(0,IF((AB$6-$E$3)&lt;1,0,IFERROR(LOOKUP(2,1/('Feijão 1ª safra'!$E78:INDEX('Feijão 1ª safra'!$E78:$Z78,MIN(AB$6-$E$3,22))&lt;&gt;""),'Feijão 1ª safra'!$E78:INDEX('Feijão 1ª safra'!$E78:$Z78,MIN(AB$6-$E$3,22))),0))-IF($G$2,0,IF((AB$6-$G$3)&lt;1,0,IFERROR(LOOKUP(2,1/('Feijão 1ª safra'!$E78:INDEX('Feijão 1ª safra'!$E78:$Z78,MIN(AB$6-$G$3,22))&lt;&gt;""),'Feijão 1ª safra'!$E78:INDEX('Feijão 1ª safra'!$E78:$Z78,MIN(AB$6-$G$3,22))),0)))))</f>
        <v>0</v>
      </c>
      <c r="AC80" s="27" t="n">
        <f aca="false">IF(COUNT('Feijão 1ª safra'!$E78:$Z78)=0,0,MAX(0,IF((AC$6-$E$3)&lt;1,0,IFERROR(LOOKUP(2,1/('Feijão 1ª safra'!$E78:INDEX('Feijão 1ª safra'!$E78:$Z78,MIN(AC$6-$E$3,22))&lt;&gt;""),'Feijão 1ª safra'!$E78:INDEX('Feijão 1ª safra'!$E78:$Z78,MIN(AC$6-$E$3,22))),0))-IF($G$2,0,IF((AC$6-$G$3)&lt;1,0,IFERROR(LOOKUP(2,1/('Feijão 1ª safra'!$E78:INDEX('Feijão 1ª safra'!$E78:$Z78,MIN(AC$6-$G$3,22))&lt;&gt;""),'Feijão 1ª safra'!$E78:INDEX('Feijão 1ª safra'!$E78:$Z78,MIN(AC$6-$G$3,22))),0)))))</f>
        <v>0</v>
      </c>
      <c r="AD80" s="27" t="n">
        <f aca="false">IF(COUNT('Feijão 1ª safra'!$E78:$Z78)=0,0,MAX(0,IF((AD$6-$E$3)&lt;1,0,IFERROR(LOOKUP(2,1/('Feijão 1ª safra'!$E78:INDEX('Feijão 1ª safra'!$E78:$Z78,MIN(AD$6-$E$3,22))&lt;&gt;""),'Feijão 1ª safra'!$E78:INDEX('Feijão 1ª safra'!$E78:$Z78,MIN(AD$6-$E$3,22))),0))-IF($G$2,0,IF((AD$6-$G$3)&lt;1,0,IFERROR(LOOKUP(2,1/('Feijão 1ª safra'!$E78:INDEX('Feijão 1ª safra'!$E78:$Z78,MIN(AD$6-$G$3,22))&lt;&gt;""),'Feijão 1ª safra'!$E78:INDEX('Feijão 1ª safra'!$E78:$Z78,MIN(AD$6-$G$3,22))),0)))))</f>
        <v>0</v>
      </c>
      <c r="AE80" s="27" t="n">
        <f aca="false">IF(COUNT('Feijão 1ª safra'!$E78:$Z78)=0,0,MAX(0,IF((AE$6-$E$3)&lt;1,0,IFERROR(LOOKUP(2,1/('Feijão 1ª safra'!$E78:INDEX('Feijão 1ª safra'!$E78:$Z78,MIN(AE$6-$E$3,22))&lt;&gt;""),'Feijão 1ª safra'!$E78:INDEX('Feijão 1ª safra'!$E78:$Z78,MIN(AE$6-$E$3,22))),0))-IF($G$2,0,IF((AE$6-$G$3)&lt;1,0,IFERROR(LOOKUP(2,1/('Feijão 1ª safra'!$E78:INDEX('Feijão 1ª safra'!$E78:$Z78,MIN(AE$6-$G$3,22))&lt;&gt;""),'Feijão 1ª safra'!$E78:INDEX('Feijão 1ª safra'!$E78:$Z78,MIN(AE$6-$G$3,22))),0)))))</f>
        <v>0</v>
      </c>
      <c r="AF80" s="27" t="n">
        <f aca="false">IF(COUNT('Feijão 1ª safra'!$E78:$Z78)=0,0,MAX(0,IF((AF$6-$E$3)&lt;1,0,IFERROR(LOOKUP(2,1/('Feijão 1ª safra'!$E78:INDEX('Feijão 1ª safra'!$E78:$Z78,MIN(AF$6-$E$3,22))&lt;&gt;""),'Feijão 1ª safra'!$E78:INDEX('Feijão 1ª safra'!$E78:$Z78,MIN(AF$6-$E$3,22))),0))-IF($G$2,0,IF((AF$6-$G$3)&lt;1,0,IFERROR(LOOKUP(2,1/('Feijão 1ª safra'!$E78:INDEX('Feijão 1ª safra'!$E78:$Z78,MIN(AF$6-$G$3,22))&lt;&gt;""),'Feijão 1ª safra'!$E78:INDEX('Feijão 1ª safra'!$E78:$Z78,MIN(AF$6-$G$3,22))),0)))))</f>
        <v>0</v>
      </c>
      <c r="AG80" s="27" t="n">
        <f aca="false">IF(COUNT('Feijão 1ª safra'!$E78:$Z78)=0,0,MAX(0,IF((AG$6-$E$3)&lt;1,0,IFERROR(LOOKUP(2,1/('Feijão 1ª safra'!$E78:INDEX('Feijão 1ª safra'!$E78:$Z78,MIN(AG$6-$E$3,22))&lt;&gt;""),'Feijão 1ª safra'!$E78:INDEX('Feijão 1ª safra'!$E78:$Z78,MIN(AG$6-$E$3,22))),0))-IF($G$2,0,IF((AG$6-$G$3)&lt;1,0,IFERROR(LOOKUP(2,1/('Feijão 1ª safra'!$E78:INDEX('Feijão 1ª safra'!$E78:$Z78,MIN(AG$6-$G$3,22))&lt;&gt;""),'Feijão 1ª safra'!$E78:INDEX('Feijão 1ª safra'!$E78:$Z78,MIN(AG$6-$G$3,22))),0)))))</f>
        <v>0</v>
      </c>
      <c r="AH80" s="27" t="n">
        <f aca="false">IF(COUNT('Feijão 1ª safra'!$E78:$Z78)=0,0,MAX(0,IF((AH$6-$E$3)&lt;1,0,IFERROR(LOOKUP(2,1/('Feijão 1ª safra'!$E78:INDEX('Feijão 1ª safra'!$E78:$Z78,MIN(AH$6-$E$3,22))&lt;&gt;""),'Feijão 1ª safra'!$E78:INDEX('Feijão 1ª safra'!$E78:$Z78,MIN(AH$6-$E$3,22))),0))-IF($G$2,0,IF((AH$6-$G$3)&lt;1,0,IFERROR(LOOKUP(2,1/('Feijão 1ª safra'!$E78:INDEX('Feijão 1ª safra'!$E78:$Z78,MIN(AH$6-$G$3,22))&lt;&gt;""),'Feijão 1ª safra'!$E78:INDEX('Feijão 1ª safra'!$E78:$Z78,MIN(AH$6-$G$3,22))),0)))))</f>
        <v>0</v>
      </c>
      <c r="AI80" s="27" t="n">
        <f aca="false">IF(COUNT('Feijão 1ª safra'!$E78:$Z78)=0,0,MAX(0,IF((AI$6-$E$3)&lt;1,0,IFERROR(LOOKUP(2,1/('Feijão 1ª safra'!$E78:INDEX('Feijão 1ª safra'!$E78:$Z78,MIN(AI$6-$E$3,22))&lt;&gt;""),'Feijão 1ª safra'!$E78:INDEX('Feijão 1ª safra'!$E78:$Z78,MIN(AI$6-$E$3,22))),0))-IF($G$2,0,IF((AI$6-$G$3)&lt;1,0,IFERROR(LOOKUP(2,1/('Feijão 1ª safra'!$E78:INDEX('Feijão 1ª safra'!$E78:$Z78,MIN(AI$6-$G$3,22))&lt;&gt;""),'Feijão 1ª safra'!$E78:INDEX('Feijão 1ª safra'!$E78:$Z78,MIN(AI$6-$G$3,22))),0)))))</f>
        <v>0</v>
      </c>
      <c r="AJ80" s="27" t="n">
        <f aca="false">IF(COUNT('Feijão 1ª safra'!$E78:$Z78)=0,0,MAX(0,IF((AJ$6-$E$3)&lt;1,0,IFERROR(LOOKUP(2,1/('Feijão 1ª safra'!$E78:INDEX('Feijão 1ª safra'!$E78:$Z78,MIN(AJ$6-$E$3,22))&lt;&gt;""),'Feijão 1ª safra'!$E78:INDEX('Feijão 1ª safra'!$E78:$Z78,MIN(AJ$6-$E$3,22))),0))-IF($G$2,0,IF((AJ$6-$G$3)&lt;1,0,IFERROR(LOOKUP(2,1/('Feijão 1ª safra'!$E78:INDEX('Feijão 1ª safra'!$E78:$Z78,MIN(AJ$6-$G$3,22))&lt;&gt;""),'Feijão 1ª safra'!$E78:INDEX('Feijão 1ª safra'!$E78:$Z78,MIN(AJ$6-$G$3,22))),0)))))</f>
        <v>0</v>
      </c>
      <c r="AK80" s="27" t="n">
        <f aca="false">IF(COUNT('Feijão 1ª safra'!$E78:$Z78)=0,0,MAX(0,IF((AK$6-$E$3)&lt;1,0,IFERROR(LOOKUP(2,1/('Feijão 1ª safra'!$E78:INDEX('Feijão 1ª safra'!$E78:$Z78,MIN(AK$6-$E$3,22))&lt;&gt;""),'Feijão 1ª safra'!$E78:INDEX('Feijão 1ª safra'!$E78:$Z78,MIN(AK$6-$E$3,22))),0))-IF($G$2,0,IF((AK$6-$G$3)&lt;1,0,IFERROR(LOOKUP(2,1/('Feijão 1ª safra'!$E78:INDEX('Feijão 1ª safra'!$E78:$Z78,MIN(AK$6-$G$3,22))&lt;&gt;""),'Feijão 1ª safra'!$E78:INDEX('Feijão 1ª safra'!$E78:$Z78,MIN(AK$6-$G$3,22))),0)))))</f>
        <v>0</v>
      </c>
      <c r="AL80" s="27" t="n">
        <f aca="false">IF(COUNT('Feijão 1ª safra'!$E78:$Z78)=0,0,MAX(0,IF((AL$6-$E$3)&lt;1,0,IFERROR(LOOKUP(2,1/('Feijão 1ª safra'!$E78:INDEX('Feijão 1ª safra'!$E78:$Z78,MIN(AL$6-$E$3,22))&lt;&gt;""),'Feijão 1ª safra'!$E78:INDEX('Feijão 1ª safra'!$E78:$Z78,MIN(AL$6-$E$3,22))),0))-IF($G$2,0,IF((AL$6-$G$3)&lt;1,0,IFERROR(LOOKUP(2,1/('Feijão 1ª safra'!$E78:INDEX('Feijão 1ª safra'!$E78:$Z78,MIN(AL$6-$G$3,22))&lt;&gt;""),'Feijão 1ª safra'!$E78:INDEX('Feijão 1ª safra'!$E78:$Z78,MIN(AL$6-$G$3,22))),0)))))</f>
        <v>0</v>
      </c>
      <c r="AM80" s="27" t="n">
        <f aca="false">IF(COUNT('Feijão 1ª safra'!$E78:$Z78)=0,0,MAX(0,IF((AM$6-$E$3)&lt;1,0,IFERROR(LOOKUP(2,1/('Feijão 1ª safra'!$E78:INDEX('Feijão 1ª safra'!$E78:$Z78,MIN(AM$6-$E$3,22))&lt;&gt;""),'Feijão 1ª safra'!$E78:INDEX('Feijão 1ª safra'!$E78:$Z78,MIN(AM$6-$E$3,22))),0))-IF($G$2,0,IF((AM$6-$G$3)&lt;1,0,IFERROR(LOOKUP(2,1/('Feijão 1ª safra'!$E78:INDEX('Feijão 1ª safra'!$E78:$Z78,MIN(AM$6-$G$3,22))&lt;&gt;""),'Feijão 1ª safra'!$E78:INDEX('Feijão 1ª safra'!$E78:$Z78,MIN(AM$6-$G$3,22))),0)))))</f>
        <v>0</v>
      </c>
      <c r="AN80" s="27" t="n">
        <f aca="false">IF(COUNT('Feijão 1ª safra'!$E78:$Z78)=0,0,MAX(0,IF((AN$6-$E$3)&lt;1,0,IFERROR(LOOKUP(2,1/('Feijão 1ª safra'!$E78:INDEX('Feijão 1ª safra'!$E78:$Z78,MIN(AN$6-$E$3,22))&lt;&gt;""),'Feijão 1ª safra'!$E78:INDEX('Feijão 1ª safra'!$E78:$Z78,MIN(AN$6-$E$3,22))),0))-IF($G$2,0,IF((AN$6-$G$3)&lt;1,0,IFERROR(LOOKUP(2,1/('Feijão 1ª safra'!$E78:INDEX('Feijão 1ª safra'!$E78:$Z78,MIN(AN$6-$G$3,22))&lt;&gt;""),'Feijão 1ª safra'!$E78:INDEX('Feijão 1ª safra'!$E78:$Z78,MIN(AN$6-$G$3,22))),0)))))</f>
        <v>0</v>
      </c>
      <c r="AO80" s="27" t="n">
        <f aca="false">IF(COUNT('Feijão 1ª safra'!$E78:$Z78)=0,0,MAX(0,IF((AO$6-$E$3)&lt;1,0,IFERROR(LOOKUP(2,1/('Feijão 1ª safra'!$E78:INDEX('Feijão 1ª safra'!$E78:$Z78,MIN(AO$6-$E$3,22))&lt;&gt;""),'Feijão 1ª safra'!$E78:INDEX('Feijão 1ª safra'!$E78:$Z78,MIN(AO$6-$E$3,22))),0))-IF($G$2,0,IF((AO$6-$G$3)&lt;1,0,IFERROR(LOOKUP(2,1/('Feijão 1ª safra'!$E78:INDEX('Feijão 1ª safra'!$E78:$Z78,MIN(AO$6-$G$3,22))&lt;&gt;""),'Feijão 1ª safra'!$E78:INDEX('Feijão 1ª safra'!$E78:$Z78,MIN(AO$6-$G$3,22))),0)))))</f>
        <v>0</v>
      </c>
      <c r="AP80" s="27" t="n">
        <f aca="false">IF(COUNT('Feijão 1ª safra'!$E78:$Z78)=0,0,MAX(0,IF((AP$6-$E$3)&lt;1,0,IFERROR(LOOKUP(2,1/('Feijão 1ª safra'!$E78:INDEX('Feijão 1ª safra'!$E78:$Z78,MIN(AP$6-$E$3,22))&lt;&gt;""),'Feijão 1ª safra'!$E78:INDEX('Feijão 1ª safra'!$E78:$Z78,MIN(AP$6-$E$3,22))),0))-IF($G$2,0,IF((AP$6-$G$3)&lt;1,0,IFERROR(LOOKUP(2,1/('Feijão 1ª safra'!$E78:INDEX('Feijão 1ª safra'!$E78:$Z78,MIN(AP$6-$G$3,22))&lt;&gt;""),'Feijão 1ª safra'!$E78:INDEX('Feijão 1ª safra'!$E78:$Z78,MIN(AP$6-$G$3,22))),0)))))</f>
        <v>0</v>
      </c>
      <c r="AQ80" s="27" t="n">
        <f aca="false">IF(COUNT('Feijão 1ª safra'!$E78:$Z78)=0,0,MAX(0,IF((AQ$6-$E$3)&lt;1,0,IFERROR(LOOKUP(2,1/('Feijão 1ª safra'!$E78:INDEX('Feijão 1ª safra'!$E78:$Z78,MIN(AQ$6-$E$3,22))&lt;&gt;""),'Feijão 1ª safra'!$E78:INDEX('Feijão 1ª safra'!$E78:$Z78,MIN(AQ$6-$E$3,22))),0))-IF($G$2,0,IF((AQ$6-$G$3)&lt;1,0,IFERROR(LOOKUP(2,1/('Feijão 1ª safra'!$E78:INDEX('Feijão 1ª safra'!$E78:$Z78,MIN(AQ$6-$G$3,22))&lt;&gt;""),'Feijão 1ª safra'!$E78:INDEX('Feijão 1ª safra'!$E78:$Z78,MIN(AQ$6-$G$3,22))),0)))))</f>
        <v>0</v>
      </c>
      <c r="AR80" s="27" t="n">
        <f aca="false">IF(COUNT('Feijão 1ª safra'!$E78:$Z78)=0,0,MAX(0,IF((AR$6-$E$3)&lt;1,0,IFERROR(LOOKUP(2,1/('Feijão 1ª safra'!$E78:INDEX('Feijão 1ª safra'!$E78:$Z78,MIN(AR$6-$E$3,22))&lt;&gt;""),'Feijão 1ª safra'!$E78:INDEX('Feijão 1ª safra'!$E78:$Z78,MIN(AR$6-$E$3,22))),0))-IF($G$2,0,IF((AR$6-$G$3)&lt;1,0,IFERROR(LOOKUP(2,1/('Feijão 1ª safra'!$E78:INDEX('Feijão 1ª safra'!$E78:$Z78,MIN(AR$6-$G$3,22))&lt;&gt;""),'Feijão 1ª safra'!$E78:INDEX('Feijão 1ª safra'!$E78:$Z78,MIN(AR$6-$G$3,22))),0)))))</f>
        <v>0</v>
      </c>
      <c r="AS80" s="27" t="n">
        <f aca="false">IF(COUNT('Feijão 1ª safra'!$E78:$Z78)=0,0,MAX(0,IF((AS$6-$E$3)&lt;1,0,IFERROR(LOOKUP(2,1/('Feijão 1ª safra'!$E78:INDEX('Feijão 1ª safra'!$E78:$Z78,MIN(AS$6-$E$3,22))&lt;&gt;""),'Feijão 1ª safra'!$E78:INDEX('Feijão 1ª safra'!$E78:$Z78,MIN(AS$6-$E$3,22))),0))-IF($G$2,0,IF((AS$6-$G$3)&lt;1,0,IFERROR(LOOKUP(2,1/('Feijão 1ª safra'!$E78:INDEX('Feijão 1ª safra'!$E78:$Z78,MIN(AS$6-$G$3,22))&lt;&gt;""),'Feijão 1ª safra'!$E78:INDEX('Feijão 1ª safra'!$E78:$Z78,MIN(AS$6-$G$3,22))),0)))))</f>
        <v>0</v>
      </c>
      <c r="AT80" s="27" t="n">
        <f aca="false">IF(COUNT('Feijão 1ª safra'!$E78:$Z78)=0,0,MAX(0,IF((AT$6-$E$3)&lt;1,0,IFERROR(LOOKUP(2,1/('Feijão 1ª safra'!$E78:INDEX('Feijão 1ª safra'!$E78:$Z78,MIN(AT$6-$E$3,22))&lt;&gt;""),'Feijão 1ª safra'!$E78:INDEX('Feijão 1ª safra'!$E78:$Z78,MIN(AT$6-$E$3,22))),0))-IF($G$2,0,IF((AT$6-$G$3)&lt;1,0,IFERROR(LOOKUP(2,1/('Feijão 1ª safra'!$E78:INDEX('Feijão 1ª safra'!$E78:$Z78,MIN(AT$6-$G$3,22))&lt;&gt;""),'Feijão 1ª safra'!$E78:INDEX('Feijão 1ª safra'!$E78:$Z78,MIN(AT$6-$G$3,22))),0)))))</f>
        <v>0</v>
      </c>
      <c r="AU80" s="27" t="n">
        <f aca="false">IF(COUNT('Feijão 1ª safra'!$E78:$Z78)=0,0,MAX(0,IF((AU$6-$E$3)&lt;1,0,IFERROR(LOOKUP(2,1/('Feijão 1ª safra'!$E78:INDEX('Feijão 1ª safra'!$E78:$Z78,MIN(AU$6-$E$3,22))&lt;&gt;""),'Feijão 1ª safra'!$E78:INDEX('Feijão 1ª safra'!$E78:$Z78,MIN(AU$6-$E$3,22))),0))-IF($G$2,0,IF((AU$6-$G$3)&lt;1,0,IFERROR(LOOKUP(2,1/('Feijão 1ª safra'!$E78:INDEX('Feijão 1ª safra'!$E78:$Z78,MIN(AU$6-$G$3,22))&lt;&gt;""),'Feijão 1ª safra'!$E78:INDEX('Feijão 1ª safra'!$E78:$Z78,MIN(AU$6-$G$3,22))),0)))))</f>
        <v>0</v>
      </c>
      <c r="AV80" s="27" t="n">
        <f aca="false">IF(COUNT('Feijão 1ª safra'!$E78:$Z78)=0,0,MAX(0,IF((AV$6-$E$3)&lt;1,0,IFERROR(LOOKUP(2,1/('Feijão 1ª safra'!$E78:INDEX('Feijão 1ª safra'!$E78:$Z78,MIN(AV$6-$E$3,22))&lt;&gt;""),'Feijão 1ª safra'!$E78:INDEX('Feijão 1ª safra'!$E78:$Z78,MIN(AV$6-$E$3,22))),0))-IF($G$2,0,IF((AV$6-$G$3)&lt;1,0,IFERROR(LOOKUP(2,1/('Feijão 1ª safra'!$E78:INDEX('Feijão 1ª safra'!$E78:$Z78,MIN(AV$6-$G$3,22))&lt;&gt;""),'Feijão 1ª safra'!$E78:INDEX('Feijão 1ª safra'!$E78:$Z78,MIN(AV$6-$G$3,22))),0)))))</f>
        <v>0</v>
      </c>
      <c r="AW80" s="27" t="n">
        <f aca="false">IF(COUNT('Feijão 1ª safra'!$E78:$Z78)=0,0,MAX(0,IF((AW$6-$E$3)&lt;1,0,IFERROR(LOOKUP(2,1/('Feijão 1ª safra'!$E78:INDEX('Feijão 1ª safra'!$E78:$Z78,MIN(AW$6-$E$3,22))&lt;&gt;""),'Feijão 1ª safra'!$E78:INDEX('Feijão 1ª safra'!$E78:$Z78,MIN(AW$6-$E$3,22))),0))-IF($G$2,0,IF((AW$6-$G$3)&lt;1,0,IFERROR(LOOKUP(2,1/('Feijão 1ª safra'!$E78:INDEX('Feijão 1ª safra'!$E78:$Z78,MIN(AW$6-$G$3,22))&lt;&gt;""),'Feijão 1ª safra'!$E78:INDEX('Feijão 1ª safra'!$E78:$Z78,MIN(AW$6-$G$3,22))),0)))))</f>
        <v>0</v>
      </c>
      <c r="AX80" s="27" t="n">
        <f aca="false">IF(COUNT('Feijão 1ª safra'!$E78:$Z78)=0,0,MAX(0,IF((AX$6-$E$3)&lt;1,0,IFERROR(LOOKUP(2,1/('Feijão 1ª safra'!$E78:INDEX('Feijão 1ª safra'!$E78:$Z78,MIN(AX$6-$E$3,22))&lt;&gt;""),'Feijão 1ª safra'!$E78:INDEX('Feijão 1ª safra'!$E78:$Z78,MIN(AX$6-$E$3,22))),0))-IF($G$2,0,IF((AX$6-$G$3)&lt;1,0,IFERROR(LOOKUP(2,1/('Feijão 1ª safra'!$E78:INDEX('Feijão 1ª safra'!$E78:$Z78,MIN(AX$6-$G$3,22))&lt;&gt;""),'Feijão 1ª safra'!$E78:INDEX('Feijão 1ª safra'!$E78:$Z78,MIN(AX$6-$G$3,22))),0)))))</f>
        <v>0</v>
      </c>
      <c r="AY80" s="27" t="n">
        <f aca="false">IF(COUNT('Feijão 1ª safra'!$E78:$Z78)=0,0,MAX(0,IF((AY$6-$E$3)&lt;1,0,IFERROR(LOOKUP(2,1/('Feijão 1ª safra'!$E78:INDEX('Feijão 1ª safra'!$E78:$Z78,MIN(AY$6-$E$3,22))&lt;&gt;""),'Feijão 1ª safra'!$E78:INDEX('Feijão 1ª safra'!$E78:$Z78,MIN(AY$6-$E$3,22))),0))-IF($G$2,0,IF((AY$6-$G$3)&lt;1,0,IFERROR(LOOKUP(2,1/('Feijão 1ª safra'!$E78:INDEX('Feijão 1ª safra'!$E78:$Z78,MIN(AY$6-$G$3,22))&lt;&gt;""),'Feijão 1ª safra'!$E78:INDEX('Feijão 1ª safra'!$E78:$Z78,MIN(AY$6-$G$3,22))),0)))))</f>
        <v>0</v>
      </c>
      <c r="AZ80" s="27" t="n">
        <f aca="false">IF(COUNT('Feijão 1ª safra'!$E78:$Z78)=0,0,MAX(0,IF((AZ$6-$E$3)&lt;1,0,IFERROR(LOOKUP(2,1/('Feijão 1ª safra'!$E78:INDEX('Feijão 1ª safra'!$E78:$Z78,MIN(AZ$6-$E$3,22))&lt;&gt;""),'Feijão 1ª safra'!$E78:INDEX('Feijão 1ª safra'!$E78:$Z78,MIN(AZ$6-$E$3,22))),0))-IF($G$2,0,IF((AZ$6-$G$3)&lt;1,0,IFERROR(LOOKUP(2,1/('Feijão 1ª safra'!$E78:INDEX('Feijão 1ª safra'!$E78:$Z78,MIN(AZ$6-$G$3,22))&lt;&gt;""),'Feijão 1ª safra'!$E78:INDEX('Feijão 1ª safra'!$E78:$Z78,MIN(AZ$6-$G$3,22))),0)))))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IF(COUNT('Feijão 1ª safra'!$E79:$Z79)&gt;0,N('Feijão 1ª safra'!$D79),0)</f>
        <v>0</v>
      </c>
      <c r="E81" s="27" t="n">
        <f aca="false">IF(COUNT('Feijão 1ª safra'!$E79:$Z79)=0,0,MAX(0,IF((E$6-$E$3)&lt;1,0,IFERROR(LOOKUP(2,1/('Feijão 1ª safra'!$E79:INDEX('Feijão 1ª safra'!$E79:$Z79,MIN(E$6-$E$3,22))&lt;&gt;""),'Feijão 1ª safra'!$E79:INDEX('Feijão 1ª safra'!$E79:$Z79,MIN(E$6-$E$3,22))),0))-IF($G$2,0,IF((E$6-$G$3)&lt;1,0,IFERROR(LOOKUP(2,1/('Feijão 1ª safra'!$E79:INDEX('Feijão 1ª safra'!$E79:$Z79,MIN(E$6-$G$3,22))&lt;&gt;""),'Feijão 1ª safra'!$E79:INDEX('Feijão 1ª safra'!$E79:$Z79,MIN(E$6-$G$3,22))),0)))))</f>
        <v>0</v>
      </c>
      <c r="F81" s="27" t="n">
        <f aca="false">IF(COUNT('Feijão 1ª safra'!$E79:$Z79)=0,0,MAX(0,IF((F$6-$E$3)&lt;1,0,IFERROR(LOOKUP(2,1/('Feijão 1ª safra'!$E79:INDEX('Feijão 1ª safra'!$E79:$Z79,MIN(F$6-$E$3,22))&lt;&gt;""),'Feijão 1ª safra'!$E79:INDEX('Feijão 1ª safra'!$E79:$Z79,MIN(F$6-$E$3,22))),0))-IF($G$2,0,IF((F$6-$G$3)&lt;1,0,IFERROR(LOOKUP(2,1/('Feijão 1ª safra'!$E79:INDEX('Feijão 1ª safra'!$E79:$Z79,MIN(F$6-$G$3,22))&lt;&gt;""),'Feijão 1ª safra'!$E79:INDEX('Feijão 1ª safra'!$E79:$Z79,MIN(F$6-$G$3,22))),0)))))</f>
        <v>0</v>
      </c>
      <c r="G81" s="27" t="n">
        <f aca="false">IF(COUNT('Feijão 1ª safra'!$E79:$Z79)=0,0,MAX(0,IF((G$6-$E$3)&lt;1,0,IFERROR(LOOKUP(2,1/('Feijão 1ª safra'!$E79:INDEX('Feijão 1ª safra'!$E79:$Z79,MIN(G$6-$E$3,22))&lt;&gt;""),'Feijão 1ª safra'!$E79:INDEX('Feijão 1ª safra'!$E79:$Z79,MIN(G$6-$E$3,22))),0))-IF($G$2,0,IF((G$6-$G$3)&lt;1,0,IFERROR(LOOKUP(2,1/('Feijão 1ª safra'!$E79:INDEX('Feijão 1ª safra'!$E79:$Z79,MIN(G$6-$G$3,22))&lt;&gt;""),'Feijão 1ª safra'!$E79:INDEX('Feijão 1ª safra'!$E79:$Z79,MIN(G$6-$G$3,22))),0)))))</f>
        <v>0</v>
      </c>
      <c r="H81" s="27" t="n">
        <f aca="false">IF(COUNT('Feijão 1ª safra'!$E79:$Z79)=0,0,MAX(0,IF((H$6-$E$3)&lt;1,0,IFERROR(LOOKUP(2,1/('Feijão 1ª safra'!$E79:INDEX('Feijão 1ª safra'!$E79:$Z79,MIN(H$6-$E$3,22))&lt;&gt;""),'Feijão 1ª safra'!$E79:INDEX('Feijão 1ª safra'!$E79:$Z79,MIN(H$6-$E$3,22))),0))-IF($G$2,0,IF((H$6-$G$3)&lt;1,0,IFERROR(LOOKUP(2,1/('Feijão 1ª safra'!$E79:INDEX('Feijão 1ª safra'!$E79:$Z79,MIN(H$6-$G$3,22))&lt;&gt;""),'Feijão 1ª safra'!$E79:INDEX('Feijão 1ª safra'!$E79:$Z79,MIN(H$6-$G$3,22))),0)))))</f>
        <v>0</v>
      </c>
      <c r="I81" s="27" t="n">
        <f aca="false">IF(COUNT('Feijão 1ª safra'!$E79:$Z79)=0,0,MAX(0,IF((I$6-$E$3)&lt;1,0,IFERROR(LOOKUP(2,1/('Feijão 1ª safra'!$E79:INDEX('Feijão 1ª safra'!$E79:$Z79,MIN(I$6-$E$3,22))&lt;&gt;""),'Feijão 1ª safra'!$E79:INDEX('Feijão 1ª safra'!$E79:$Z79,MIN(I$6-$E$3,22))),0))-IF($G$2,0,IF((I$6-$G$3)&lt;1,0,IFERROR(LOOKUP(2,1/('Feijão 1ª safra'!$E79:INDEX('Feijão 1ª safra'!$E79:$Z79,MIN(I$6-$G$3,22))&lt;&gt;""),'Feijão 1ª safra'!$E79:INDEX('Feijão 1ª safra'!$E79:$Z79,MIN(I$6-$G$3,22))),0)))))</f>
        <v>0</v>
      </c>
      <c r="J81" s="27" t="n">
        <f aca="false">IF(COUNT('Feijão 1ª safra'!$E79:$Z79)=0,0,MAX(0,IF((J$6-$E$3)&lt;1,0,IFERROR(LOOKUP(2,1/('Feijão 1ª safra'!$E79:INDEX('Feijão 1ª safra'!$E79:$Z79,MIN(J$6-$E$3,22))&lt;&gt;""),'Feijão 1ª safra'!$E79:INDEX('Feijão 1ª safra'!$E79:$Z79,MIN(J$6-$E$3,22))),0))-IF($G$2,0,IF((J$6-$G$3)&lt;1,0,IFERROR(LOOKUP(2,1/('Feijão 1ª safra'!$E79:INDEX('Feijão 1ª safra'!$E79:$Z79,MIN(J$6-$G$3,22))&lt;&gt;""),'Feijão 1ª safra'!$E79:INDEX('Feijão 1ª safra'!$E79:$Z79,MIN(J$6-$G$3,22))),0)))))</f>
        <v>0</v>
      </c>
      <c r="K81" s="27" t="n">
        <f aca="false">IF(COUNT('Feijão 1ª safra'!$E79:$Z79)=0,0,MAX(0,IF((K$6-$E$3)&lt;1,0,IFERROR(LOOKUP(2,1/('Feijão 1ª safra'!$E79:INDEX('Feijão 1ª safra'!$E79:$Z79,MIN(K$6-$E$3,22))&lt;&gt;""),'Feijão 1ª safra'!$E79:INDEX('Feijão 1ª safra'!$E79:$Z79,MIN(K$6-$E$3,22))),0))-IF($G$2,0,IF((K$6-$G$3)&lt;1,0,IFERROR(LOOKUP(2,1/('Feijão 1ª safra'!$E79:INDEX('Feijão 1ª safra'!$E79:$Z79,MIN(K$6-$G$3,22))&lt;&gt;""),'Feijão 1ª safra'!$E79:INDEX('Feijão 1ª safra'!$E79:$Z79,MIN(K$6-$G$3,22))),0)))))</f>
        <v>0</v>
      </c>
      <c r="L81" s="27" t="n">
        <f aca="false">IF(COUNT('Feijão 1ª safra'!$E79:$Z79)=0,0,MAX(0,IF((L$6-$E$3)&lt;1,0,IFERROR(LOOKUP(2,1/('Feijão 1ª safra'!$E79:INDEX('Feijão 1ª safra'!$E79:$Z79,MIN(L$6-$E$3,22))&lt;&gt;""),'Feijão 1ª safra'!$E79:INDEX('Feijão 1ª safra'!$E79:$Z79,MIN(L$6-$E$3,22))),0))-IF($G$2,0,IF((L$6-$G$3)&lt;1,0,IFERROR(LOOKUP(2,1/('Feijão 1ª safra'!$E79:INDEX('Feijão 1ª safra'!$E79:$Z79,MIN(L$6-$G$3,22))&lt;&gt;""),'Feijão 1ª safra'!$E79:INDEX('Feijão 1ª safra'!$E79:$Z79,MIN(L$6-$G$3,22))),0)))))</f>
        <v>0</v>
      </c>
      <c r="M81" s="27" t="n">
        <f aca="false">IF(COUNT('Feijão 1ª safra'!$E79:$Z79)=0,0,MAX(0,IF((M$6-$E$3)&lt;1,0,IFERROR(LOOKUP(2,1/('Feijão 1ª safra'!$E79:INDEX('Feijão 1ª safra'!$E79:$Z79,MIN(M$6-$E$3,22))&lt;&gt;""),'Feijão 1ª safra'!$E79:INDEX('Feijão 1ª safra'!$E79:$Z79,MIN(M$6-$E$3,22))),0))-IF($G$2,0,IF((M$6-$G$3)&lt;1,0,IFERROR(LOOKUP(2,1/('Feijão 1ª safra'!$E79:INDEX('Feijão 1ª safra'!$E79:$Z79,MIN(M$6-$G$3,22))&lt;&gt;""),'Feijão 1ª safra'!$E79:INDEX('Feijão 1ª safra'!$E79:$Z79,MIN(M$6-$G$3,22))),0)))))</f>
        <v>0</v>
      </c>
      <c r="N81" s="27" t="n">
        <f aca="false">IF(COUNT('Feijão 1ª safra'!$E79:$Z79)=0,0,MAX(0,IF((N$6-$E$3)&lt;1,0,IFERROR(LOOKUP(2,1/('Feijão 1ª safra'!$E79:INDEX('Feijão 1ª safra'!$E79:$Z79,MIN(N$6-$E$3,22))&lt;&gt;""),'Feijão 1ª safra'!$E79:INDEX('Feijão 1ª safra'!$E79:$Z79,MIN(N$6-$E$3,22))),0))-IF($G$2,0,IF((N$6-$G$3)&lt;1,0,IFERROR(LOOKUP(2,1/('Feijão 1ª safra'!$E79:INDEX('Feijão 1ª safra'!$E79:$Z79,MIN(N$6-$G$3,22))&lt;&gt;""),'Feijão 1ª safra'!$E79:INDEX('Feijão 1ª safra'!$E79:$Z79,MIN(N$6-$G$3,22))),0)))))</f>
        <v>0</v>
      </c>
      <c r="O81" s="27" t="n">
        <f aca="false">IF(COUNT('Feijão 1ª safra'!$E79:$Z79)=0,0,MAX(0,IF((O$6-$E$3)&lt;1,0,IFERROR(LOOKUP(2,1/('Feijão 1ª safra'!$E79:INDEX('Feijão 1ª safra'!$E79:$Z79,MIN(O$6-$E$3,22))&lt;&gt;""),'Feijão 1ª safra'!$E79:INDEX('Feijão 1ª safra'!$E79:$Z79,MIN(O$6-$E$3,22))),0))-IF($G$2,0,IF((O$6-$G$3)&lt;1,0,IFERROR(LOOKUP(2,1/('Feijão 1ª safra'!$E79:INDEX('Feijão 1ª safra'!$E79:$Z79,MIN(O$6-$G$3,22))&lt;&gt;""),'Feijão 1ª safra'!$E79:INDEX('Feijão 1ª safra'!$E79:$Z79,MIN(O$6-$G$3,22))),0)))))</f>
        <v>0</v>
      </c>
      <c r="P81" s="27" t="n">
        <f aca="false">IF(COUNT('Feijão 1ª safra'!$E79:$Z79)=0,0,MAX(0,IF((P$6-$E$3)&lt;1,0,IFERROR(LOOKUP(2,1/('Feijão 1ª safra'!$E79:INDEX('Feijão 1ª safra'!$E79:$Z79,MIN(P$6-$E$3,22))&lt;&gt;""),'Feijão 1ª safra'!$E79:INDEX('Feijão 1ª safra'!$E79:$Z79,MIN(P$6-$E$3,22))),0))-IF($G$2,0,IF((P$6-$G$3)&lt;1,0,IFERROR(LOOKUP(2,1/('Feijão 1ª safra'!$E79:INDEX('Feijão 1ª safra'!$E79:$Z79,MIN(P$6-$G$3,22))&lt;&gt;""),'Feijão 1ª safra'!$E79:INDEX('Feijão 1ª safra'!$E79:$Z79,MIN(P$6-$G$3,22))),0)))))</f>
        <v>0</v>
      </c>
      <c r="Q81" s="27" t="n">
        <f aca="false">IF(COUNT('Feijão 1ª safra'!$E79:$Z79)=0,0,MAX(0,IF((Q$6-$E$3)&lt;1,0,IFERROR(LOOKUP(2,1/('Feijão 1ª safra'!$E79:INDEX('Feijão 1ª safra'!$E79:$Z79,MIN(Q$6-$E$3,22))&lt;&gt;""),'Feijão 1ª safra'!$E79:INDEX('Feijão 1ª safra'!$E79:$Z79,MIN(Q$6-$E$3,22))),0))-IF($G$2,0,IF((Q$6-$G$3)&lt;1,0,IFERROR(LOOKUP(2,1/('Feijão 1ª safra'!$E79:INDEX('Feijão 1ª safra'!$E79:$Z79,MIN(Q$6-$G$3,22))&lt;&gt;""),'Feijão 1ª safra'!$E79:INDEX('Feijão 1ª safra'!$E79:$Z79,MIN(Q$6-$G$3,22))),0)))))</f>
        <v>0</v>
      </c>
      <c r="R81" s="27" t="n">
        <f aca="false">IF(COUNT('Feijão 1ª safra'!$E79:$Z79)=0,0,MAX(0,IF((R$6-$E$3)&lt;1,0,IFERROR(LOOKUP(2,1/('Feijão 1ª safra'!$E79:INDEX('Feijão 1ª safra'!$E79:$Z79,MIN(R$6-$E$3,22))&lt;&gt;""),'Feijão 1ª safra'!$E79:INDEX('Feijão 1ª safra'!$E79:$Z79,MIN(R$6-$E$3,22))),0))-IF($G$2,0,IF((R$6-$G$3)&lt;1,0,IFERROR(LOOKUP(2,1/('Feijão 1ª safra'!$E79:INDEX('Feijão 1ª safra'!$E79:$Z79,MIN(R$6-$G$3,22))&lt;&gt;""),'Feijão 1ª safra'!$E79:INDEX('Feijão 1ª safra'!$E79:$Z79,MIN(R$6-$G$3,22))),0)))))</f>
        <v>0</v>
      </c>
      <c r="S81" s="27" t="n">
        <f aca="false">IF(COUNT('Feijão 1ª safra'!$E79:$Z79)=0,0,MAX(0,IF((S$6-$E$3)&lt;1,0,IFERROR(LOOKUP(2,1/('Feijão 1ª safra'!$E79:INDEX('Feijão 1ª safra'!$E79:$Z79,MIN(S$6-$E$3,22))&lt;&gt;""),'Feijão 1ª safra'!$E79:INDEX('Feijão 1ª safra'!$E79:$Z79,MIN(S$6-$E$3,22))),0))-IF($G$2,0,IF((S$6-$G$3)&lt;1,0,IFERROR(LOOKUP(2,1/('Feijão 1ª safra'!$E79:INDEX('Feijão 1ª safra'!$E79:$Z79,MIN(S$6-$G$3,22))&lt;&gt;""),'Feijão 1ª safra'!$E79:INDEX('Feijão 1ª safra'!$E79:$Z79,MIN(S$6-$G$3,22))),0)))))</f>
        <v>0</v>
      </c>
      <c r="T81" s="27" t="n">
        <f aca="false">IF(COUNT('Feijão 1ª safra'!$E79:$Z79)=0,0,MAX(0,IF((T$6-$E$3)&lt;1,0,IFERROR(LOOKUP(2,1/('Feijão 1ª safra'!$E79:INDEX('Feijão 1ª safra'!$E79:$Z79,MIN(T$6-$E$3,22))&lt;&gt;""),'Feijão 1ª safra'!$E79:INDEX('Feijão 1ª safra'!$E79:$Z79,MIN(T$6-$E$3,22))),0))-IF($G$2,0,IF((T$6-$G$3)&lt;1,0,IFERROR(LOOKUP(2,1/('Feijão 1ª safra'!$E79:INDEX('Feijão 1ª safra'!$E79:$Z79,MIN(T$6-$G$3,22))&lt;&gt;""),'Feijão 1ª safra'!$E79:INDEX('Feijão 1ª safra'!$E79:$Z79,MIN(T$6-$G$3,22))),0)))))</f>
        <v>0</v>
      </c>
      <c r="U81" s="27" t="n">
        <f aca="false">IF(COUNT('Feijão 1ª safra'!$E79:$Z79)=0,0,MAX(0,IF((U$6-$E$3)&lt;1,0,IFERROR(LOOKUP(2,1/('Feijão 1ª safra'!$E79:INDEX('Feijão 1ª safra'!$E79:$Z79,MIN(U$6-$E$3,22))&lt;&gt;""),'Feijão 1ª safra'!$E79:INDEX('Feijão 1ª safra'!$E79:$Z79,MIN(U$6-$E$3,22))),0))-IF($G$2,0,IF((U$6-$G$3)&lt;1,0,IFERROR(LOOKUP(2,1/('Feijão 1ª safra'!$E79:INDEX('Feijão 1ª safra'!$E79:$Z79,MIN(U$6-$G$3,22))&lt;&gt;""),'Feijão 1ª safra'!$E79:INDEX('Feijão 1ª safra'!$E79:$Z79,MIN(U$6-$G$3,22))),0)))))</f>
        <v>0</v>
      </c>
      <c r="V81" s="27" t="n">
        <f aca="false">IF(COUNT('Feijão 1ª safra'!$E79:$Z79)=0,0,MAX(0,IF((V$6-$E$3)&lt;1,0,IFERROR(LOOKUP(2,1/('Feijão 1ª safra'!$E79:INDEX('Feijão 1ª safra'!$E79:$Z79,MIN(V$6-$E$3,22))&lt;&gt;""),'Feijão 1ª safra'!$E79:INDEX('Feijão 1ª safra'!$E79:$Z79,MIN(V$6-$E$3,22))),0))-IF($G$2,0,IF((V$6-$G$3)&lt;1,0,IFERROR(LOOKUP(2,1/('Feijão 1ª safra'!$E79:INDEX('Feijão 1ª safra'!$E79:$Z79,MIN(V$6-$G$3,22))&lt;&gt;""),'Feijão 1ª safra'!$E79:INDEX('Feijão 1ª safra'!$E79:$Z79,MIN(V$6-$G$3,22))),0)))))</f>
        <v>0</v>
      </c>
      <c r="W81" s="27" t="n">
        <f aca="false">IF(COUNT('Feijão 1ª safra'!$E79:$Z79)=0,0,MAX(0,IF((W$6-$E$3)&lt;1,0,IFERROR(LOOKUP(2,1/('Feijão 1ª safra'!$E79:INDEX('Feijão 1ª safra'!$E79:$Z79,MIN(W$6-$E$3,22))&lt;&gt;""),'Feijão 1ª safra'!$E79:INDEX('Feijão 1ª safra'!$E79:$Z79,MIN(W$6-$E$3,22))),0))-IF($G$2,0,IF((W$6-$G$3)&lt;1,0,IFERROR(LOOKUP(2,1/('Feijão 1ª safra'!$E79:INDEX('Feijão 1ª safra'!$E79:$Z79,MIN(W$6-$G$3,22))&lt;&gt;""),'Feijão 1ª safra'!$E79:INDEX('Feijão 1ª safra'!$E79:$Z79,MIN(W$6-$G$3,22))),0)))))</f>
        <v>0</v>
      </c>
      <c r="X81" s="27" t="n">
        <f aca="false">IF(COUNT('Feijão 1ª safra'!$E79:$Z79)=0,0,MAX(0,IF((X$6-$E$3)&lt;1,0,IFERROR(LOOKUP(2,1/('Feijão 1ª safra'!$E79:INDEX('Feijão 1ª safra'!$E79:$Z79,MIN(X$6-$E$3,22))&lt;&gt;""),'Feijão 1ª safra'!$E79:INDEX('Feijão 1ª safra'!$E79:$Z79,MIN(X$6-$E$3,22))),0))-IF($G$2,0,IF((X$6-$G$3)&lt;1,0,IFERROR(LOOKUP(2,1/('Feijão 1ª safra'!$E79:INDEX('Feijão 1ª safra'!$E79:$Z79,MIN(X$6-$G$3,22))&lt;&gt;""),'Feijão 1ª safra'!$E79:INDEX('Feijão 1ª safra'!$E79:$Z79,MIN(X$6-$G$3,22))),0)))))</f>
        <v>0</v>
      </c>
      <c r="Y81" s="27" t="n">
        <f aca="false">IF(COUNT('Feijão 1ª safra'!$E79:$Z79)=0,0,MAX(0,IF((Y$6-$E$3)&lt;1,0,IFERROR(LOOKUP(2,1/('Feijão 1ª safra'!$E79:INDEX('Feijão 1ª safra'!$E79:$Z79,MIN(Y$6-$E$3,22))&lt;&gt;""),'Feijão 1ª safra'!$E79:INDEX('Feijão 1ª safra'!$E79:$Z79,MIN(Y$6-$E$3,22))),0))-IF($G$2,0,IF((Y$6-$G$3)&lt;1,0,IFERROR(LOOKUP(2,1/('Feijão 1ª safra'!$E79:INDEX('Feijão 1ª safra'!$E79:$Z79,MIN(Y$6-$G$3,22))&lt;&gt;""),'Feijão 1ª safra'!$E79:INDEX('Feijão 1ª safra'!$E79:$Z79,MIN(Y$6-$G$3,22))),0)))))</f>
        <v>0</v>
      </c>
      <c r="Z81" s="27" t="n">
        <f aca="false">IF(COUNT('Feijão 1ª safra'!$E79:$Z79)=0,0,MAX(0,IF((Z$6-$E$3)&lt;1,0,IFERROR(LOOKUP(2,1/('Feijão 1ª safra'!$E79:INDEX('Feijão 1ª safra'!$E79:$Z79,MIN(Z$6-$E$3,22))&lt;&gt;""),'Feijão 1ª safra'!$E79:INDEX('Feijão 1ª safra'!$E79:$Z79,MIN(Z$6-$E$3,22))),0))-IF($G$2,0,IF((Z$6-$G$3)&lt;1,0,IFERROR(LOOKUP(2,1/('Feijão 1ª safra'!$E79:INDEX('Feijão 1ª safra'!$E79:$Z79,MIN(Z$6-$G$3,22))&lt;&gt;""),'Feijão 1ª safra'!$E79:INDEX('Feijão 1ª safra'!$E79:$Z79,MIN(Z$6-$G$3,22))),0)))))</f>
        <v>0</v>
      </c>
      <c r="AA81" s="27" t="n">
        <f aca="false">IF(COUNT('Feijão 1ª safra'!$E79:$Z79)=0,0,MAX(0,IF((AA$6-$E$3)&lt;1,0,IFERROR(LOOKUP(2,1/('Feijão 1ª safra'!$E79:INDEX('Feijão 1ª safra'!$E79:$Z79,MIN(AA$6-$E$3,22))&lt;&gt;""),'Feijão 1ª safra'!$E79:INDEX('Feijão 1ª safra'!$E79:$Z79,MIN(AA$6-$E$3,22))),0))-IF($G$2,0,IF((AA$6-$G$3)&lt;1,0,IFERROR(LOOKUP(2,1/('Feijão 1ª safra'!$E79:INDEX('Feijão 1ª safra'!$E79:$Z79,MIN(AA$6-$G$3,22))&lt;&gt;""),'Feijão 1ª safra'!$E79:INDEX('Feijão 1ª safra'!$E79:$Z79,MIN(AA$6-$G$3,22))),0)))))</f>
        <v>0</v>
      </c>
      <c r="AB81" s="27" t="n">
        <f aca="false">IF(COUNT('Feijão 1ª safra'!$E79:$Z79)=0,0,MAX(0,IF((AB$6-$E$3)&lt;1,0,IFERROR(LOOKUP(2,1/('Feijão 1ª safra'!$E79:INDEX('Feijão 1ª safra'!$E79:$Z79,MIN(AB$6-$E$3,22))&lt;&gt;""),'Feijão 1ª safra'!$E79:INDEX('Feijão 1ª safra'!$E79:$Z79,MIN(AB$6-$E$3,22))),0))-IF($G$2,0,IF((AB$6-$G$3)&lt;1,0,IFERROR(LOOKUP(2,1/('Feijão 1ª safra'!$E79:INDEX('Feijão 1ª safra'!$E79:$Z79,MIN(AB$6-$G$3,22))&lt;&gt;""),'Feijão 1ª safra'!$E79:INDEX('Feijão 1ª safra'!$E79:$Z79,MIN(AB$6-$G$3,22))),0)))))</f>
        <v>0</v>
      </c>
      <c r="AC81" s="27" t="n">
        <f aca="false">IF(COUNT('Feijão 1ª safra'!$E79:$Z79)=0,0,MAX(0,IF((AC$6-$E$3)&lt;1,0,IFERROR(LOOKUP(2,1/('Feijão 1ª safra'!$E79:INDEX('Feijão 1ª safra'!$E79:$Z79,MIN(AC$6-$E$3,22))&lt;&gt;""),'Feijão 1ª safra'!$E79:INDEX('Feijão 1ª safra'!$E79:$Z79,MIN(AC$6-$E$3,22))),0))-IF($G$2,0,IF((AC$6-$G$3)&lt;1,0,IFERROR(LOOKUP(2,1/('Feijão 1ª safra'!$E79:INDEX('Feijão 1ª safra'!$E79:$Z79,MIN(AC$6-$G$3,22))&lt;&gt;""),'Feijão 1ª safra'!$E79:INDEX('Feijão 1ª safra'!$E79:$Z79,MIN(AC$6-$G$3,22))),0)))))</f>
        <v>0</v>
      </c>
      <c r="AD81" s="27" t="n">
        <f aca="false">IF(COUNT('Feijão 1ª safra'!$E79:$Z79)=0,0,MAX(0,IF((AD$6-$E$3)&lt;1,0,IFERROR(LOOKUP(2,1/('Feijão 1ª safra'!$E79:INDEX('Feijão 1ª safra'!$E79:$Z79,MIN(AD$6-$E$3,22))&lt;&gt;""),'Feijão 1ª safra'!$E79:INDEX('Feijão 1ª safra'!$E79:$Z79,MIN(AD$6-$E$3,22))),0))-IF($G$2,0,IF((AD$6-$G$3)&lt;1,0,IFERROR(LOOKUP(2,1/('Feijão 1ª safra'!$E79:INDEX('Feijão 1ª safra'!$E79:$Z79,MIN(AD$6-$G$3,22))&lt;&gt;""),'Feijão 1ª safra'!$E79:INDEX('Feijão 1ª safra'!$E79:$Z79,MIN(AD$6-$G$3,22))),0)))))</f>
        <v>0</v>
      </c>
      <c r="AE81" s="27" t="n">
        <f aca="false">IF(COUNT('Feijão 1ª safra'!$E79:$Z79)=0,0,MAX(0,IF((AE$6-$E$3)&lt;1,0,IFERROR(LOOKUP(2,1/('Feijão 1ª safra'!$E79:INDEX('Feijão 1ª safra'!$E79:$Z79,MIN(AE$6-$E$3,22))&lt;&gt;""),'Feijão 1ª safra'!$E79:INDEX('Feijão 1ª safra'!$E79:$Z79,MIN(AE$6-$E$3,22))),0))-IF($G$2,0,IF((AE$6-$G$3)&lt;1,0,IFERROR(LOOKUP(2,1/('Feijão 1ª safra'!$E79:INDEX('Feijão 1ª safra'!$E79:$Z79,MIN(AE$6-$G$3,22))&lt;&gt;""),'Feijão 1ª safra'!$E79:INDEX('Feijão 1ª safra'!$E79:$Z79,MIN(AE$6-$G$3,22))),0)))))</f>
        <v>0</v>
      </c>
      <c r="AF81" s="27" t="n">
        <f aca="false">IF(COUNT('Feijão 1ª safra'!$E79:$Z79)=0,0,MAX(0,IF((AF$6-$E$3)&lt;1,0,IFERROR(LOOKUP(2,1/('Feijão 1ª safra'!$E79:INDEX('Feijão 1ª safra'!$E79:$Z79,MIN(AF$6-$E$3,22))&lt;&gt;""),'Feijão 1ª safra'!$E79:INDEX('Feijão 1ª safra'!$E79:$Z79,MIN(AF$6-$E$3,22))),0))-IF($G$2,0,IF((AF$6-$G$3)&lt;1,0,IFERROR(LOOKUP(2,1/('Feijão 1ª safra'!$E79:INDEX('Feijão 1ª safra'!$E79:$Z79,MIN(AF$6-$G$3,22))&lt;&gt;""),'Feijão 1ª safra'!$E79:INDEX('Feijão 1ª safra'!$E79:$Z79,MIN(AF$6-$G$3,22))),0)))))</f>
        <v>0</v>
      </c>
      <c r="AG81" s="27" t="n">
        <f aca="false">IF(COUNT('Feijão 1ª safra'!$E79:$Z79)=0,0,MAX(0,IF((AG$6-$E$3)&lt;1,0,IFERROR(LOOKUP(2,1/('Feijão 1ª safra'!$E79:INDEX('Feijão 1ª safra'!$E79:$Z79,MIN(AG$6-$E$3,22))&lt;&gt;""),'Feijão 1ª safra'!$E79:INDEX('Feijão 1ª safra'!$E79:$Z79,MIN(AG$6-$E$3,22))),0))-IF($G$2,0,IF((AG$6-$G$3)&lt;1,0,IFERROR(LOOKUP(2,1/('Feijão 1ª safra'!$E79:INDEX('Feijão 1ª safra'!$E79:$Z79,MIN(AG$6-$G$3,22))&lt;&gt;""),'Feijão 1ª safra'!$E79:INDEX('Feijão 1ª safra'!$E79:$Z79,MIN(AG$6-$G$3,22))),0)))))</f>
        <v>0</v>
      </c>
      <c r="AH81" s="27" t="n">
        <f aca="false">IF(COUNT('Feijão 1ª safra'!$E79:$Z79)=0,0,MAX(0,IF((AH$6-$E$3)&lt;1,0,IFERROR(LOOKUP(2,1/('Feijão 1ª safra'!$E79:INDEX('Feijão 1ª safra'!$E79:$Z79,MIN(AH$6-$E$3,22))&lt;&gt;""),'Feijão 1ª safra'!$E79:INDEX('Feijão 1ª safra'!$E79:$Z79,MIN(AH$6-$E$3,22))),0))-IF($G$2,0,IF((AH$6-$G$3)&lt;1,0,IFERROR(LOOKUP(2,1/('Feijão 1ª safra'!$E79:INDEX('Feijão 1ª safra'!$E79:$Z79,MIN(AH$6-$G$3,22))&lt;&gt;""),'Feijão 1ª safra'!$E79:INDEX('Feijão 1ª safra'!$E79:$Z79,MIN(AH$6-$G$3,22))),0)))))</f>
        <v>0</v>
      </c>
      <c r="AI81" s="27" t="n">
        <f aca="false">IF(COUNT('Feijão 1ª safra'!$E79:$Z79)=0,0,MAX(0,IF((AI$6-$E$3)&lt;1,0,IFERROR(LOOKUP(2,1/('Feijão 1ª safra'!$E79:INDEX('Feijão 1ª safra'!$E79:$Z79,MIN(AI$6-$E$3,22))&lt;&gt;""),'Feijão 1ª safra'!$E79:INDEX('Feijão 1ª safra'!$E79:$Z79,MIN(AI$6-$E$3,22))),0))-IF($G$2,0,IF((AI$6-$G$3)&lt;1,0,IFERROR(LOOKUP(2,1/('Feijão 1ª safra'!$E79:INDEX('Feijão 1ª safra'!$E79:$Z79,MIN(AI$6-$G$3,22))&lt;&gt;""),'Feijão 1ª safra'!$E79:INDEX('Feijão 1ª safra'!$E79:$Z79,MIN(AI$6-$G$3,22))),0)))))</f>
        <v>0</v>
      </c>
      <c r="AJ81" s="27" t="n">
        <f aca="false">IF(COUNT('Feijão 1ª safra'!$E79:$Z79)=0,0,MAX(0,IF((AJ$6-$E$3)&lt;1,0,IFERROR(LOOKUP(2,1/('Feijão 1ª safra'!$E79:INDEX('Feijão 1ª safra'!$E79:$Z79,MIN(AJ$6-$E$3,22))&lt;&gt;""),'Feijão 1ª safra'!$E79:INDEX('Feijão 1ª safra'!$E79:$Z79,MIN(AJ$6-$E$3,22))),0))-IF($G$2,0,IF((AJ$6-$G$3)&lt;1,0,IFERROR(LOOKUP(2,1/('Feijão 1ª safra'!$E79:INDEX('Feijão 1ª safra'!$E79:$Z79,MIN(AJ$6-$G$3,22))&lt;&gt;""),'Feijão 1ª safra'!$E79:INDEX('Feijão 1ª safra'!$E79:$Z79,MIN(AJ$6-$G$3,22))),0)))))</f>
        <v>0</v>
      </c>
      <c r="AK81" s="27" t="n">
        <f aca="false">IF(COUNT('Feijão 1ª safra'!$E79:$Z79)=0,0,MAX(0,IF((AK$6-$E$3)&lt;1,0,IFERROR(LOOKUP(2,1/('Feijão 1ª safra'!$E79:INDEX('Feijão 1ª safra'!$E79:$Z79,MIN(AK$6-$E$3,22))&lt;&gt;""),'Feijão 1ª safra'!$E79:INDEX('Feijão 1ª safra'!$E79:$Z79,MIN(AK$6-$E$3,22))),0))-IF($G$2,0,IF((AK$6-$G$3)&lt;1,0,IFERROR(LOOKUP(2,1/('Feijão 1ª safra'!$E79:INDEX('Feijão 1ª safra'!$E79:$Z79,MIN(AK$6-$G$3,22))&lt;&gt;""),'Feijão 1ª safra'!$E79:INDEX('Feijão 1ª safra'!$E79:$Z79,MIN(AK$6-$G$3,22))),0)))))</f>
        <v>0</v>
      </c>
      <c r="AL81" s="27" t="n">
        <f aca="false">IF(COUNT('Feijão 1ª safra'!$E79:$Z79)=0,0,MAX(0,IF((AL$6-$E$3)&lt;1,0,IFERROR(LOOKUP(2,1/('Feijão 1ª safra'!$E79:INDEX('Feijão 1ª safra'!$E79:$Z79,MIN(AL$6-$E$3,22))&lt;&gt;""),'Feijão 1ª safra'!$E79:INDEX('Feijão 1ª safra'!$E79:$Z79,MIN(AL$6-$E$3,22))),0))-IF($G$2,0,IF((AL$6-$G$3)&lt;1,0,IFERROR(LOOKUP(2,1/('Feijão 1ª safra'!$E79:INDEX('Feijão 1ª safra'!$E79:$Z79,MIN(AL$6-$G$3,22))&lt;&gt;""),'Feijão 1ª safra'!$E79:INDEX('Feijão 1ª safra'!$E79:$Z79,MIN(AL$6-$G$3,22))),0)))))</f>
        <v>0</v>
      </c>
      <c r="AM81" s="27" t="n">
        <f aca="false">IF(COUNT('Feijão 1ª safra'!$E79:$Z79)=0,0,MAX(0,IF((AM$6-$E$3)&lt;1,0,IFERROR(LOOKUP(2,1/('Feijão 1ª safra'!$E79:INDEX('Feijão 1ª safra'!$E79:$Z79,MIN(AM$6-$E$3,22))&lt;&gt;""),'Feijão 1ª safra'!$E79:INDEX('Feijão 1ª safra'!$E79:$Z79,MIN(AM$6-$E$3,22))),0))-IF($G$2,0,IF((AM$6-$G$3)&lt;1,0,IFERROR(LOOKUP(2,1/('Feijão 1ª safra'!$E79:INDEX('Feijão 1ª safra'!$E79:$Z79,MIN(AM$6-$G$3,22))&lt;&gt;""),'Feijão 1ª safra'!$E79:INDEX('Feijão 1ª safra'!$E79:$Z79,MIN(AM$6-$G$3,22))),0)))))</f>
        <v>0</v>
      </c>
      <c r="AN81" s="27" t="n">
        <f aca="false">IF(COUNT('Feijão 1ª safra'!$E79:$Z79)=0,0,MAX(0,IF((AN$6-$E$3)&lt;1,0,IFERROR(LOOKUP(2,1/('Feijão 1ª safra'!$E79:INDEX('Feijão 1ª safra'!$E79:$Z79,MIN(AN$6-$E$3,22))&lt;&gt;""),'Feijão 1ª safra'!$E79:INDEX('Feijão 1ª safra'!$E79:$Z79,MIN(AN$6-$E$3,22))),0))-IF($G$2,0,IF((AN$6-$G$3)&lt;1,0,IFERROR(LOOKUP(2,1/('Feijão 1ª safra'!$E79:INDEX('Feijão 1ª safra'!$E79:$Z79,MIN(AN$6-$G$3,22))&lt;&gt;""),'Feijão 1ª safra'!$E79:INDEX('Feijão 1ª safra'!$E79:$Z79,MIN(AN$6-$G$3,22))),0)))))</f>
        <v>0</v>
      </c>
      <c r="AO81" s="27" t="n">
        <f aca="false">IF(COUNT('Feijão 1ª safra'!$E79:$Z79)=0,0,MAX(0,IF((AO$6-$E$3)&lt;1,0,IFERROR(LOOKUP(2,1/('Feijão 1ª safra'!$E79:INDEX('Feijão 1ª safra'!$E79:$Z79,MIN(AO$6-$E$3,22))&lt;&gt;""),'Feijão 1ª safra'!$E79:INDEX('Feijão 1ª safra'!$E79:$Z79,MIN(AO$6-$E$3,22))),0))-IF($G$2,0,IF((AO$6-$G$3)&lt;1,0,IFERROR(LOOKUP(2,1/('Feijão 1ª safra'!$E79:INDEX('Feijão 1ª safra'!$E79:$Z79,MIN(AO$6-$G$3,22))&lt;&gt;""),'Feijão 1ª safra'!$E79:INDEX('Feijão 1ª safra'!$E79:$Z79,MIN(AO$6-$G$3,22))),0)))))</f>
        <v>0</v>
      </c>
      <c r="AP81" s="27" t="n">
        <f aca="false">IF(COUNT('Feijão 1ª safra'!$E79:$Z79)=0,0,MAX(0,IF((AP$6-$E$3)&lt;1,0,IFERROR(LOOKUP(2,1/('Feijão 1ª safra'!$E79:INDEX('Feijão 1ª safra'!$E79:$Z79,MIN(AP$6-$E$3,22))&lt;&gt;""),'Feijão 1ª safra'!$E79:INDEX('Feijão 1ª safra'!$E79:$Z79,MIN(AP$6-$E$3,22))),0))-IF($G$2,0,IF((AP$6-$G$3)&lt;1,0,IFERROR(LOOKUP(2,1/('Feijão 1ª safra'!$E79:INDEX('Feijão 1ª safra'!$E79:$Z79,MIN(AP$6-$G$3,22))&lt;&gt;""),'Feijão 1ª safra'!$E79:INDEX('Feijão 1ª safra'!$E79:$Z79,MIN(AP$6-$G$3,22))),0)))))</f>
        <v>0</v>
      </c>
      <c r="AQ81" s="27" t="n">
        <f aca="false">IF(COUNT('Feijão 1ª safra'!$E79:$Z79)=0,0,MAX(0,IF((AQ$6-$E$3)&lt;1,0,IFERROR(LOOKUP(2,1/('Feijão 1ª safra'!$E79:INDEX('Feijão 1ª safra'!$E79:$Z79,MIN(AQ$6-$E$3,22))&lt;&gt;""),'Feijão 1ª safra'!$E79:INDEX('Feijão 1ª safra'!$E79:$Z79,MIN(AQ$6-$E$3,22))),0))-IF($G$2,0,IF((AQ$6-$G$3)&lt;1,0,IFERROR(LOOKUP(2,1/('Feijão 1ª safra'!$E79:INDEX('Feijão 1ª safra'!$E79:$Z79,MIN(AQ$6-$G$3,22))&lt;&gt;""),'Feijão 1ª safra'!$E79:INDEX('Feijão 1ª safra'!$E79:$Z79,MIN(AQ$6-$G$3,22))),0)))))</f>
        <v>0</v>
      </c>
      <c r="AR81" s="27" t="n">
        <f aca="false">IF(COUNT('Feijão 1ª safra'!$E79:$Z79)=0,0,MAX(0,IF((AR$6-$E$3)&lt;1,0,IFERROR(LOOKUP(2,1/('Feijão 1ª safra'!$E79:INDEX('Feijão 1ª safra'!$E79:$Z79,MIN(AR$6-$E$3,22))&lt;&gt;""),'Feijão 1ª safra'!$E79:INDEX('Feijão 1ª safra'!$E79:$Z79,MIN(AR$6-$E$3,22))),0))-IF($G$2,0,IF((AR$6-$G$3)&lt;1,0,IFERROR(LOOKUP(2,1/('Feijão 1ª safra'!$E79:INDEX('Feijão 1ª safra'!$E79:$Z79,MIN(AR$6-$G$3,22))&lt;&gt;""),'Feijão 1ª safra'!$E79:INDEX('Feijão 1ª safra'!$E79:$Z79,MIN(AR$6-$G$3,22))),0)))))</f>
        <v>0</v>
      </c>
      <c r="AS81" s="27" t="n">
        <f aca="false">IF(COUNT('Feijão 1ª safra'!$E79:$Z79)=0,0,MAX(0,IF((AS$6-$E$3)&lt;1,0,IFERROR(LOOKUP(2,1/('Feijão 1ª safra'!$E79:INDEX('Feijão 1ª safra'!$E79:$Z79,MIN(AS$6-$E$3,22))&lt;&gt;""),'Feijão 1ª safra'!$E79:INDEX('Feijão 1ª safra'!$E79:$Z79,MIN(AS$6-$E$3,22))),0))-IF($G$2,0,IF((AS$6-$G$3)&lt;1,0,IFERROR(LOOKUP(2,1/('Feijão 1ª safra'!$E79:INDEX('Feijão 1ª safra'!$E79:$Z79,MIN(AS$6-$G$3,22))&lt;&gt;""),'Feijão 1ª safra'!$E79:INDEX('Feijão 1ª safra'!$E79:$Z79,MIN(AS$6-$G$3,22))),0)))))</f>
        <v>0</v>
      </c>
      <c r="AT81" s="27" t="n">
        <f aca="false">IF(COUNT('Feijão 1ª safra'!$E79:$Z79)=0,0,MAX(0,IF((AT$6-$E$3)&lt;1,0,IFERROR(LOOKUP(2,1/('Feijão 1ª safra'!$E79:INDEX('Feijão 1ª safra'!$E79:$Z79,MIN(AT$6-$E$3,22))&lt;&gt;""),'Feijão 1ª safra'!$E79:INDEX('Feijão 1ª safra'!$E79:$Z79,MIN(AT$6-$E$3,22))),0))-IF($G$2,0,IF((AT$6-$G$3)&lt;1,0,IFERROR(LOOKUP(2,1/('Feijão 1ª safra'!$E79:INDEX('Feijão 1ª safra'!$E79:$Z79,MIN(AT$6-$G$3,22))&lt;&gt;""),'Feijão 1ª safra'!$E79:INDEX('Feijão 1ª safra'!$E79:$Z79,MIN(AT$6-$G$3,22))),0)))))</f>
        <v>0</v>
      </c>
      <c r="AU81" s="27" t="n">
        <f aca="false">IF(COUNT('Feijão 1ª safra'!$E79:$Z79)=0,0,MAX(0,IF((AU$6-$E$3)&lt;1,0,IFERROR(LOOKUP(2,1/('Feijão 1ª safra'!$E79:INDEX('Feijão 1ª safra'!$E79:$Z79,MIN(AU$6-$E$3,22))&lt;&gt;""),'Feijão 1ª safra'!$E79:INDEX('Feijão 1ª safra'!$E79:$Z79,MIN(AU$6-$E$3,22))),0))-IF($G$2,0,IF((AU$6-$G$3)&lt;1,0,IFERROR(LOOKUP(2,1/('Feijão 1ª safra'!$E79:INDEX('Feijão 1ª safra'!$E79:$Z79,MIN(AU$6-$G$3,22))&lt;&gt;""),'Feijão 1ª safra'!$E79:INDEX('Feijão 1ª safra'!$E79:$Z79,MIN(AU$6-$G$3,22))),0)))))</f>
        <v>0</v>
      </c>
      <c r="AV81" s="27" t="n">
        <f aca="false">IF(COUNT('Feijão 1ª safra'!$E79:$Z79)=0,0,MAX(0,IF((AV$6-$E$3)&lt;1,0,IFERROR(LOOKUP(2,1/('Feijão 1ª safra'!$E79:INDEX('Feijão 1ª safra'!$E79:$Z79,MIN(AV$6-$E$3,22))&lt;&gt;""),'Feijão 1ª safra'!$E79:INDEX('Feijão 1ª safra'!$E79:$Z79,MIN(AV$6-$E$3,22))),0))-IF($G$2,0,IF((AV$6-$G$3)&lt;1,0,IFERROR(LOOKUP(2,1/('Feijão 1ª safra'!$E79:INDEX('Feijão 1ª safra'!$E79:$Z79,MIN(AV$6-$G$3,22))&lt;&gt;""),'Feijão 1ª safra'!$E79:INDEX('Feijão 1ª safra'!$E79:$Z79,MIN(AV$6-$G$3,22))),0)))))</f>
        <v>0</v>
      </c>
      <c r="AW81" s="27" t="n">
        <f aca="false">IF(COUNT('Feijão 1ª safra'!$E79:$Z79)=0,0,MAX(0,IF((AW$6-$E$3)&lt;1,0,IFERROR(LOOKUP(2,1/('Feijão 1ª safra'!$E79:INDEX('Feijão 1ª safra'!$E79:$Z79,MIN(AW$6-$E$3,22))&lt;&gt;""),'Feijão 1ª safra'!$E79:INDEX('Feijão 1ª safra'!$E79:$Z79,MIN(AW$6-$E$3,22))),0))-IF($G$2,0,IF((AW$6-$G$3)&lt;1,0,IFERROR(LOOKUP(2,1/('Feijão 1ª safra'!$E79:INDEX('Feijão 1ª safra'!$E79:$Z79,MIN(AW$6-$G$3,22))&lt;&gt;""),'Feijão 1ª safra'!$E79:INDEX('Feijão 1ª safra'!$E79:$Z79,MIN(AW$6-$G$3,22))),0)))))</f>
        <v>0</v>
      </c>
      <c r="AX81" s="27" t="n">
        <f aca="false">IF(COUNT('Feijão 1ª safra'!$E79:$Z79)=0,0,MAX(0,IF((AX$6-$E$3)&lt;1,0,IFERROR(LOOKUP(2,1/('Feijão 1ª safra'!$E79:INDEX('Feijão 1ª safra'!$E79:$Z79,MIN(AX$6-$E$3,22))&lt;&gt;""),'Feijão 1ª safra'!$E79:INDEX('Feijão 1ª safra'!$E79:$Z79,MIN(AX$6-$E$3,22))),0))-IF($G$2,0,IF((AX$6-$G$3)&lt;1,0,IFERROR(LOOKUP(2,1/('Feijão 1ª safra'!$E79:INDEX('Feijão 1ª safra'!$E79:$Z79,MIN(AX$6-$G$3,22))&lt;&gt;""),'Feijão 1ª safra'!$E79:INDEX('Feijão 1ª safra'!$E79:$Z79,MIN(AX$6-$G$3,22))),0)))))</f>
        <v>0</v>
      </c>
      <c r="AY81" s="27" t="n">
        <f aca="false">IF(COUNT('Feijão 1ª safra'!$E79:$Z79)=0,0,MAX(0,IF((AY$6-$E$3)&lt;1,0,IFERROR(LOOKUP(2,1/('Feijão 1ª safra'!$E79:INDEX('Feijão 1ª safra'!$E79:$Z79,MIN(AY$6-$E$3,22))&lt;&gt;""),'Feijão 1ª safra'!$E79:INDEX('Feijão 1ª safra'!$E79:$Z79,MIN(AY$6-$E$3,22))),0))-IF($G$2,0,IF((AY$6-$G$3)&lt;1,0,IFERROR(LOOKUP(2,1/('Feijão 1ª safra'!$E79:INDEX('Feijão 1ª safra'!$E79:$Z79,MIN(AY$6-$G$3,22))&lt;&gt;""),'Feijão 1ª safra'!$E79:INDEX('Feijão 1ª safra'!$E79:$Z79,MIN(AY$6-$G$3,22))),0)))))</f>
        <v>0</v>
      </c>
      <c r="AZ81" s="27" t="n">
        <f aca="false">IF(COUNT('Feijão 1ª safra'!$E79:$Z79)=0,0,MAX(0,IF((AZ$6-$E$3)&lt;1,0,IFERROR(LOOKUP(2,1/('Feijão 1ª safra'!$E79:INDEX('Feijão 1ª safra'!$E79:$Z79,MIN(AZ$6-$E$3,22))&lt;&gt;""),'Feijão 1ª safra'!$E79:INDEX('Feijão 1ª safra'!$E79:$Z79,MIN(AZ$6-$E$3,22))),0))-IF($G$2,0,IF((AZ$6-$G$3)&lt;1,0,IFERROR(LOOKUP(2,1/('Feijão 1ª safra'!$E79:INDEX('Feijão 1ª safra'!$E79:$Z79,MIN(AZ$6-$G$3,22))&lt;&gt;""),'Feijão 1ª safra'!$E79:INDEX('Feijão 1ª safra'!$E79:$Z79,MIN(AZ$6-$G$3,22))),0)))))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IF(COUNT('Feijão 1ª safra'!$E80:$Z80)&gt;0,N('Feijão 1ª safra'!$D80),0)</f>
        <v>0</v>
      </c>
      <c r="E82" s="27" t="n">
        <f aca="false">IF(COUNT('Feijão 1ª safra'!$E80:$Z80)=0,0,MAX(0,IF((E$6-$E$3)&lt;1,0,IFERROR(LOOKUP(2,1/('Feijão 1ª safra'!$E80:INDEX('Feijão 1ª safra'!$E80:$Z80,MIN(E$6-$E$3,22))&lt;&gt;""),'Feijão 1ª safra'!$E80:INDEX('Feijão 1ª safra'!$E80:$Z80,MIN(E$6-$E$3,22))),0))-IF($G$2,0,IF((E$6-$G$3)&lt;1,0,IFERROR(LOOKUP(2,1/('Feijão 1ª safra'!$E80:INDEX('Feijão 1ª safra'!$E80:$Z80,MIN(E$6-$G$3,22))&lt;&gt;""),'Feijão 1ª safra'!$E80:INDEX('Feijão 1ª safra'!$E80:$Z80,MIN(E$6-$G$3,22))),0)))))</f>
        <v>0</v>
      </c>
      <c r="F82" s="27" t="n">
        <f aca="false">IF(COUNT('Feijão 1ª safra'!$E80:$Z80)=0,0,MAX(0,IF((F$6-$E$3)&lt;1,0,IFERROR(LOOKUP(2,1/('Feijão 1ª safra'!$E80:INDEX('Feijão 1ª safra'!$E80:$Z80,MIN(F$6-$E$3,22))&lt;&gt;""),'Feijão 1ª safra'!$E80:INDEX('Feijão 1ª safra'!$E80:$Z80,MIN(F$6-$E$3,22))),0))-IF($G$2,0,IF((F$6-$G$3)&lt;1,0,IFERROR(LOOKUP(2,1/('Feijão 1ª safra'!$E80:INDEX('Feijão 1ª safra'!$E80:$Z80,MIN(F$6-$G$3,22))&lt;&gt;""),'Feijão 1ª safra'!$E80:INDEX('Feijão 1ª safra'!$E80:$Z80,MIN(F$6-$G$3,22))),0)))))</f>
        <v>0</v>
      </c>
      <c r="G82" s="27" t="n">
        <f aca="false">IF(COUNT('Feijão 1ª safra'!$E80:$Z80)=0,0,MAX(0,IF((G$6-$E$3)&lt;1,0,IFERROR(LOOKUP(2,1/('Feijão 1ª safra'!$E80:INDEX('Feijão 1ª safra'!$E80:$Z80,MIN(G$6-$E$3,22))&lt;&gt;""),'Feijão 1ª safra'!$E80:INDEX('Feijão 1ª safra'!$E80:$Z80,MIN(G$6-$E$3,22))),0))-IF($G$2,0,IF((G$6-$G$3)&lt;1,0,IFERROR(LOOKUP(2,1/('Feijão 1ª safra'!$E80:INDEX('Feijão 1ª safra'!$E80:$Z80,MIN(G$6-$G$3,22))&lt;&gt;""),'Feijão 1ª safra'!$E80:INDEX('Feijão 1ª safra'!$E80:$Z80,MIN(G$6-$G$3,22))),0)))))</f>
        <v>0</v>
      </c>
      <c r="H82" s="27" t="n">
        <f aca="false">IF(COUNT('Feijão 1ª safra'!$E80:$Z80)=0,0,MAX(0,IF((H$6-$E$3)&lt;1,0,IFERROR(LOOKUP(2,1/('Feijão 1ª safra'!$E80:INDEX('Feijão 1ª safra'!$E80:$Z80,MIN(H$6-$E$3,22))&lt;&gt;""),'Feijão 1ª safra'!$E80:INDEX('Feijão 1ª safra'!$E80:$Z80,MIN(H$6-$E$3,22))),0))-IF($G$2,0,IF((H$6-$G$3)&lt;1,0,IFERROR(LOOKUP(2,1/('Feijão 1ª safra'!$E80:INDEX('Feijão 1ª safra'!$E80:$Z80,MIN(H$6-$G$3,22))&lt;&gt;""),'Feijão 1ª safra'!$E80:INDEX('Feijão 1ª safra'!$E80:$Z80,MIN(H$6-$G$3,22))),0)))))</f>
        <v>0</v>
      </c>
      <c r="I82" s="27" t="n">
        <f aca="false">IF(COUNT('Feijão 1ª safra'!$E80:$Z80)=0,0,MAX(0,IF((I$6-$E$3)&lt;1,0,IFERROR(LOOKUP(2,1/('Feijão 1ª safra'!$E80:INDEX('Feijão 1ª safra'!$E80:$Z80,MIN(I$6-$E$3,22))&lt;&gt;""),'Feijão 1ª safra'!$E80:INDEX('Feijão 1ª safra'!$E80:$Z80,MIN(I$6-$E$3,22))),0))-IF($G$2,0,IF((I$6-$G$3)&lt;1,0,IFERROR(LOOKUP(2,1/('Feijão 1ª safra'!$E80:INDEX('Feijão 1ª safra'!$E80:$Z80,MIN(I$6-$G$3,22))&lt;&gt;""),'Feijão 1ª safra'!$E80:INDEX('Feijão 1ª safra'!$E80:$Z80,MIN(I$6-$G$3,22))),0)))))</f>
        <v>0</v>
      </c>
      <c r="J82" s="27" t="n">
        <f aca="false">IF(COUNT('Feijão 1ª safra'!$E80:$Z80)=0,0,MAX(0,IF((J$6-$E$3)&lt;1,0,IFERROR(LOOKUP(2,1/('Feijão 1ª safra'!$E80:INDEX('Feijão 1ª safra'!$E80:$Z80,MIN(J$6-$E$3,22))&lt;&gt;""),'Feijão 1ª safra'!$E80:INDEX('Feijão 1ª safra'!$E80:$Z80,MIN(J$6-$E$3,22))),0))-IF($G$2,0,IF((J$6-$G$3)&lt;1,0,IFERROR(LOOKUP(2,1/('Feijão 1ª safra'!$E80:INDEX('Feijão 1ª safra'!$E80:$Z80,MIN(J$6-$G$3,22))&lt;&gt;""),'Feijão 1ª safra'!$E80:INDEX('Feijão 1ª safra'!$E80:$Z80,MIN(J$6-$G$3,22))),0)))))</f>
        <v>0</v>
      </c>
      <c r="K82" s="27" t="n">
        <f aca="false">IF(COUNT('Feijão 1ª safra'!$E80:$Z80)=0,0,MAX(0,IF((K$6-$E$3)&lt;1,0,IFERROR(LOOKUP(2,1/('Feijão 1ª safra'!$E80:INDEX('Feijão 1ª safra'!$E80:$Z80,MIN(K$6-$E$3,22))&lt;&gt;""),'Feijão 1ª safra'!$E80:INDEX('Feijão 1ª safra'!$E80:$Z80,MIN(K$6-$E$3,22))),0))-IF($G$2,0,IF((K$6-$G$3)&lt;1,0,IFERROR(LOOKUP(2,1/('Feijão 1ª safra'!$E80:INDEX('Feijão 1ª safra'!$E80:$Z80,MIN(K$6-$G$3,22))&lt;&gt;""),'Feijão 1ª safra'!$E80:INDEX('Feijão 1ª safra'!$E80:$Z80,MIN(K$6-$G$3,22))),0)))))</f>
        <v>0</v>
      </c>
      <c r="L82" s="27" t="n">
        <f aca="false">IF(COUNT('Feijão 1ª safra'!$E80:$Z80)=0,0,MAX(0,IF((L$6-$E$3)&lt;1,0,IFERROR(LOOKUP(2,1/('Feijão 1ª safra'!$E80:INDEX('Feijão 1ª safra'!$E80:$Z80,MIN(L$6-$E$3,22))&lt;&gt;""),'Feijão 1ª safra'!$E80:INDEX('Feijão 1ª safra'!$E80:$Z80,MIN(L$6-$E$3,22))),0))-IF($G$2,0,IF((L$6-$G$3)&lt;1,0,IFERROR(LOOKUP(2,1/('Feijão 1ª safra'!$E80:INDEX('Feijão 1ª safra'!$E80:$Z80,MIN(L$6-$G$3,22))&lt;&gt;""),'Feijão 1ª safra'!$E80:INDEX('Feijão 1ª safra'!$E80:$Z80,MIN(L$6-$G$3,22))),0)))))</f>
        <v>0</v>
      </c>
      <c r="M82" s="27" t="n">
        <f aca="false">IF(COUNT('Feijão 1ª safra'!$E80:$Z80)=0,0,MAX(0,IF((M$6-$E$3)&lt;1,0,IFERROR(LOOKUP(2,1/('Feijão 1ª safra'!$E80:INDEX('Feijão 1ª safra'!$E80:$Z80,MIN(M$6-$E$3,22))&lt;&gt;""),'Feijão 1ª safra'!$E80:INDEX('Feijão 1ª safra'!$E80:$Z80,MIN(M$6-$E$3,22))),0))-IF($G$2,0,IF((M$6-$G$3)&lt;1,0,IFERROR(LOOKUP(2,1/('Feijão 1ª safra'!$E80:INDEX('Feijão 1ª safra'!$E80:$Z80,MIN(M$6-$G$3,22))&lt;&gt;""),'Feijão 1ª safra'!$E80:INDEX('Feijão 1ª safra'!$E80:$Z80,MIN(M$6-$G$3,22))),0)))))</f>
        <v>0</v>
      </c>
      <c r="N82" s="27" t="n">
        <f aca="false">IF(COUNT('Feijão 1ª safra'!$E80:$Z80)=0,0,MAX(0,IF((N$6-$E$3)&lt;1,0,IFERROR(LOOKUP(2,1/('Feijão 1ª safra'!$E80:INDEX('Feijão 1ª safra'!$E80:$Z80,MIN(N$6-$E$3,22))&lt;&gt;""),'Feijão 1ª safra'!$E80:INDEX('Feijão 1ª safra'!$E80:$Z80,MIN(N$6-$E$3,22))),0))-IF($G$2,0,IF((N$6-$G$3)&lt;1,0,IFERROR(LOOKUP(2,1/('Feijão 1ª safra'!$E80:INDEX('Feijão 1ª safra'!$E80:$Z80,MIN(N$6-$G$3,22))&lt;&gt;""),'Feijão 1ª safra'!$E80:INDEX('Feijão 1ª safra'!$E80:$Z80,MIN(N$6-$G$3,22))),0)))))</f>
        <v>0</v>
      </c>
      <c r="O82" s="27" t="n">
        <f aca="false">IF(COUNT('Feijão 1ª safra'!$E80:$Z80)=0,0,MAX(0,IF((O$6-$E$3)&lt;1,0,IFERROR(LOOKUP(2,1/('Feijão 1ª safra'!$E80:INDEX('Feijão 1ª safra'!$E80:$Z80,MIN(O$6-$E$3,22))&lt;&gt;""),'Feijão 1ª safra'!$E80:INDEX('Feijão 1ª safra'!$E80:$Z80,MIN(O$6-$E$3,22))),0))-IF($G$2,0,IF((O$6-$G$3)&lt;1,0,IFERROR(LOOKUP(2,1/('Feijão 1ª safra'!$E80:INDEX('Feijão 1ª safra'!$E80:$Z80,MIN(O$6-$G$3,22))&lt;&gt;""),'Feijão 1ª safra'!$E80:INDEX('Feijão 1ª safra'!$E80:$Z80,MIN(O$6-$G$3,22))),0)))))</f>
        <v>0</v>
      </c>
      <c r="P82" s="27" t="n">
        <f aca="false">IF(COUNT('Feijão 1ª safra'!$E80:$Z80)=0,0,MAX(0,IF((P$6-$E$3)&lt;1,0,IFERROR(LOOKUP(2,1/('Feijão 1ª safra'!$E80:INDEX('Feijão 1ª safra'!$E80:$Z80,MIN(P$6-$E$3,22))&lt;&gt;""),'Feijão 1ª safra'!$E80:INDEX('Feijão 1ª safra'!$E80:$Z80,MIN(P$6-$E$3,22))),0))-IF($G$2,0,IF((P$6-$G$3)&lt;1,0,IFERROR(LOOKUP(2,1/('Feijão 1ª safra'!$E80:INDEX('Feijão 1ª safra'!$E80:$Z80,MIN(P$6-$G$3,22))&lt;&gt;""),'Feijão 1ª safra'!$E80:INDEX('Feijão 1ª safra'!$E80:$Z80,MIN(P$6-$G$3,22))),0)))))</f>
        <v>0</v>
      </c>
      <c r="Q82" s="27" t="n">
        <f aca="false">IF(COUNT('Feijão 1ª safra'!$E80:$Z80)=0,0,MAX(0,IF((Q$6-$E$3)&lt;1,0,IFERROR(LOOKUP(2,1/('Feijão 1ª safra'!$E80:INDEX('Feijão 1ª safra'!$E80:$Z80,MIN(Q$6-$E$3,22))&lt;&gt;""),'Feijão 1ª safra'!$E80:INDEX('Feijão 1ª safra'!$E80:$Z80,MIN(Q$6-$E$3,22))),0))-IF($G$2,0,IF((Q$6-$G$3)&lt;1,0,IFERROR(LOOKUP(2,1/('Feijão 1ª safra'!$E80:INDEX('Feijão 1ª safra'!$E80:$Z80,MIN(Q$6-$G$3,22))&lt;&gt;""),'Feijão 1ª safra'!$E80:INDEX('Feijão 1ª safra'!$E80:$Z80,MIN(Q$6-$G$3,22))),0)))))</f>
        <v>0</v>
      </c>
      <c r="R82" s="27" t="n">
        <f aca="false">IF(COUNT('Feijão 1ª safra'!$E80:$Z80)=0,0,MAX(0,IF((R$6-$E$3)&lt;1,0,IFERROR(LOOKUP(2,1/('Feijão 1ª safra'!$E80:INDEX('Feijão 1ª safra'!$E80:$Z80,MIN(R$6-$E$3,22))&lt;&gt;""),'Feijão 1ª safra'!$E80:INDEX('Feijão 1ª safra'!$E80:$Z80,MIN(R$6-$E$3,22))),0))-IF($G$2,0,IF((R$6-$G$3)&lt;1,0,IFERROR(LOOKUP(2,1/('Feijão 1ª safra'!$E80:INDEX('Feijão 1ª safra'!$E80:$Z80,MIN(R$6-$G$3,22))&lt;&gt;""),'Feijão 1ª safra'!$E80:INDEX('Feijão 1ª safra'!$E80:$Z80,MIN(R$6-$G$3,22))),0)))))</f>
        <v>0</v>
      </c>
      <c r="S82" s="27" t="n">
        <f aca="false">IF(COUNT('Feijão 1ª safra'!$E80:$Z80)=0,0,MAX(0,IF((S$6-$E$3)&lt;1,0,IFERROR(LOOKUP(2,1/('Feijão 1ª safra'!$E80:INDEX('Feijão 1ª safra'!$E80:$Z80,MIN(S$6-$E$3,22))&lt;&gt;""),'Feijão 1ª safra'!$E80:INDEX('Feijão 1ª safra'!$E80:$Z80,MIN(S$6-$E$3,22))),0))-IF($G$2,0,IF((S$6-$G$3)&lt;1,0,IFERROR(LOOKUP(2,1/('Feijão 1ª safra'!$E80:INDEX('Feijão 1ª safra'!$E80:$Z80,MIN(S$6-$G$3,22))&lt;&gt;""),'Feijão 1ª safra'!$E80:INDEX('Feijão 1ª safra'!$E80:$Z80,MIN(S$6-$G$3,22))),0)))))</f>
        <v>0</v>
      </c>
      <c r="T82" s="27" t="n">
        <f aca="false">IF(COUNT('Feijão 1ª safra'!$E80:$Z80)=0,0,MAX(0,IF((T$6-$E$3)&lt;1,0,IFERROR(LOOKUP(2,1/('Feijão 1ª safra'!$E80:INDEX('Feijão 1ª safra'!$E80:$Z80,MIN(T$6-$E$3,22))&lt;&gt;""),'Feijão 1ª safra'!$E80:INDEX('Feijão 1ª safra'!$E80:$Z80,MIN(T$6-$E$3,22))),0))-IF($G$2,0,IF((T$6-$G$3)&lt;1,0,IFERROR(LOOKUP(2,1/('Feijão 1ª safra'!$E80:INDEX('Feijão 1ª safra'!$E80:$Z80,MIN(T$6-$G$3,22))&lt;&gt;""),'Feijão 1ª safra'!$E80:INDEX('Feijão 1ª safra'!$E80:$Z80,MIN(T$6-$G$3,22))),0)))))</f>
        <v>0</v>
      </c>
      <c r="U82" s="27" t="n">
        <f aca="false">IF(COUNT('Feijão 1ª safra'!$E80:$Z80)=0,0,MAX(0,IF((U$6-$E$3)&lt;1,0,IFERROR(LOOKUP(2,1/('Feijão 1ª safra'!$E80:INDEX('Feijão 1ª safra'!$E80:$Z80,MIN(U$6-$E$3,22))&lt;&gt;""),'Feijão 1ª safra'!$E80:INDEX('Feijão 1ª safra'!$E80:$Z80,MIN(U$6-$E$3,22))),0))-IF($G$2,0,IF((U$6-$G$3)&lt;1,0,IFERROR(LOOKUP(2,1/('Feijão 1ª safra'!$E80:INDEX('Feijão 1ª safra'!$E80:$Z80,MIN(U$6-$G$3,22))&lt;&gt;""),'Feijão 1ª safra'!$E80:INDEX('Feijão 1ª safra'!$E80:$Z80,MIN(U$6-$G$3,22))),0)))))</f>
        <v>0</v>
      </c>
      <c r="V82" s="27" t="n">
        <f aca="false">IF(COUNT('Feijão 1ª safra'!$E80:$Z80)=0,0,MAX(0,IF((V$6-$E$3)&lt;1,0,IFERROR(LOOKUP(2,1/('Feijão 1ª safra'!$E80:INDEX('Feijão 1ª safra'!$E80:$Z80,MIN(V$6-$E$3,22))&lt;&gt;""),'Feijão 1ª safra'!$E80:INDEX('Feijão 1ª safra'!$E80:$Z80,MIN(V$6-$E$3,22))),0))-IF($G$2,0,IF((V$6-$G$3)&lt;1,0,IFERROR(LOOKUP(2,1/('Feijão 1ª safra'!$E80:INDEX('Feijão 1ª safra'!$E80:$Z80,MIN(V$6-$G$3,22))&lt;&gt;""),'Feijão 1ª safra'!$E80:INDEX('Feijão 1ª safra'!$E80:$Z80,MIN(V$6-$G$3,22))),0)))))</f>
        <v>0</v>
      </c>
      <c r="W82" s="27" t="n">
        <f aca="false">IF(COUNT('Feijão 1ª safra'!$E80:$Z80)=0,0,MAX(0,IF((W$6-$E$3)&lt;1,0,IFERROR(LOOKUP(2,1/('Feijão 1ª safra'!$E80:INDEX('Feijão 1ª safra'!$E80:$Z80,MIN(W$6-$E$3,22))&lt;&gt;""),'Feijão 1ª safra'!$E80:INDEX('Feijão 1ª safra'!$E80:$Z80,MIN(W$6-$E$3,22))),0))-IF($G$2,0,IF((W$6-$G$3)&lt;1,0,IFERROR(LOOKUP(2,1/('Feijão 1ª safra'!$E80:INDEX('Feijão 1ª safra'!$E80:$Z80,MIN(W$6-$G$3,22))&lt;&gt;""),'Feijão 1ª safra'!$E80:INDEX('Feijão 1ª safra'!$E80:$Z80,MIN(W$6-$G$3,22))),0)))))</f>
        <v>0</v>
      </c>
      <c r="X82" s="27" t="n">
        <f aca="false">IF(COUNT('Feijão 1ª safra'!$E80:$Z80)=0,0,MAX(0,IF((X$6-$E$3)&lt;1,0,IFERROR(LOOKUP(2,1/('Feijão 1ª safra'!$E80:INDEX('Feijão 1ª safra'!$E80:$Z80,MIN(X$6-$E$3,22))&lt;&gt;""),'Feijão 1ª safra'!$E80:INDEX('Feijão 1ª safra'!$E80:$Z80,MIN(X$6-$E$3,22))),0))-IF($G$2,0,IF((X$6-$G$3)&lt;1,0,IFERROR(LOOKUP(2,1/('Feijão 1ª safra'!$E80:INDEX('Feijão 1ª safra'!$E80:$Z80,MIN(X$6-$G$3,22))&lt;&gt;""),'Feijão 1ª safra'!$E80:INDEX('Feijão 1ª safra'!$E80:$Z80,MIN(X$6-$G$3,22))),0)))))</f>
        <v>0</v>
      </c>
      <c r="Y82" s="27" t="n">
        <f aca="false">IF(COUNT('Feijão 1ª safra'!$E80:$Z80)=0,0,MAX(0,IF((Y$6-$E$3)&lt;1,0,IFERROR(LOOKUP(2,1/('Feijão 1ª safra'!$E80:INDEX('Feijão 1ª safra'!$E80:$Z80,MIN(Y$6-$E$3,22))&lt;&gt;""),'Feijão 1ª safra'!$E80:INDEX('Feijão 1ª safra'!$E80:$Z80,MIN(Y$6-$E$3,22))),0))-IF($G$2,0,IF((Y$6-$G$3)&lt;1,0,IFERROR(LOOKUP(2,1/('Feijão 1ª safra'!$E80:INDEX('Feijão 1ª safra'!$E80:$Z80,MIN(Y$6-$G$3,22))&lt;&gt;""),'Feijão 1ª safra'!$E80:INDEX('Feijão 1ª safra'!$E80:$Z80,MIN(Y$6-$G$3,22))),0)))))</f>
        <v>0</v>
      </c>
      <c r="Z82" s="27" t="n">
        <f aca="false">IF(COUNT('Feijão 1ª safra'!$E80:$Z80)=0,0,MAX(0,IF((Z$6-$E$3)&lt;1,0,IFERROR(LOOKUP(2,1/('Feijão 1ª safra'!$E80:INDEX('Feijão 1ª safra'!$E80:$Z80,MIN(Z$6-$E$3,22))&lt;&gt;""),'Feijão 1ª safra'!$E80:INDEX('Feijão 1ª safra'!$E80:$Z80,MIN(Z$6-$E$3,22))),0))-IF($G$2,0,IF((Z$6-$G$3)&lt;1,0,IFERROR(LOOKUP(2,1/('Feijão 1ª safra'!$E80:INDEX('Feijão 1ª safra'!$E80:$Z80,MIN(Z$6-$G$3,22))&lt;&gt;""),'Feijão 1ª safra'!$E80:INDEX('Feijão 1ª safra'!$E80:$Z80,MIN(Z$6-$G$3,22))),0)))))</f>
        <v>0</v>
      </c>
      <c r="AA82" s="27" t="n">
        <f aca="false">IF(COUNT('Feijão 1ª safra'!$E80:$Z80)=0,0,MAX(0,IF((AA$6-$E$3)&lt;1,0,IFERROR(LOOKUP(2,1/('Feijão 1ª safra'!$E80:INDEX('Feijão 1ª safra'!$E80:$Z80,MIN(AA$6-$E$3,22))&lt;&gt;""),'Feijão 1ª safra'!$E80:INDEX('Feijão 1ª safra'!$E80:$Z80,MIN(AA$6-$E$3,22))),0))-IF($G$2,0,IF((AA$6-$G$3)&lt;1,0,IFERROR(LOOKUP(2,1/('Feijão 1ª safra'!$E80:INDEX('Feijão 1ª safra'!$E80:$Z80,MIN(AA$6-$G$3,22))&lt;&gt;""),'Feijão 1ª safra'!$E80:INDEX('Feijão 1ª safra'!$E80:$Z80,MIN(AA$6-$G$3,22))),0)))))</f>
        <v>0</v>
      </c>
      <c r="AB82" s="27" t="n">
        <f aca="false">IF(COUNT('Feijão 1ª safra'!$E80:$Z80)=0,0,MAX(0,IF((AB$6-$E$3)&lt;1,0,IFERROR(LOOKUP(2,1/('Feijão 1ª safra'!$E80:INDEX('Feijão 1ª safra'!$E80:$Z80,MIN(AB$6-$E$3,22))&lt;&gt;""),'Feijão 1ª safra'!$E80:INDEX('Feijão 1ª safra'!$E80:$Z80,MIN(AB$6-$E$3,22))),0))-IF($G$2,0,IF((AB$6-$G$3)&lt;1,0,IFERROR(LOOKUP(2,1/('Feijão 1ª safra'!$E80:INDEX('Feijão 1ª safra'!$E80:$Z80,MIN(AB$6-$G$3,22))&lt;&gt;""),'Feijão 1ª safra'!$E80:INDEX('Feijão 1ª safra'!$E80:$Z80,MIN(AB$6-$G$3,22))),0)))))</f>
        <v>0</v>
      </c>
      <c r="AC82" s="27" t="n">
        <f aca="false">IF(COUNT('Feijão 1ª safra'!$E80:$Z80)=0,0,MAX(0,IF((AC$6-$E$3)&lt;1,0,IFERROR(LOOKUP(2,1/('Feijão 1ª safra'!$E80:INDEX('Feijão 1ª safra'!$E80:$Z80,MIN(AC$6-$E$3,22))&lt;&gt;""),'Feijão 1ª safra'!$E80:INDEX('Feijão 1ª safra'!$E80:$Z80,MIN(AC$6-$E$3,22))),0))-IF($G$2,0,IF((AC$6-$G$3)&lt;1,0,IFERROR(LOOKUP(2,1/('Feijão 1ª safra'!$E80:INDEX('Feijão 1ª safra'!$E80:$Z80,MIN(AC$6-$G$3,22))&lt;&gt;""),'Feijão 1ª safra'!$E80:INDEX('Feijão 1ª safra'!$E80:$Z80,MIN(AC$6-$G$3,22))),0)))))</f>
        <v>0</v>
      </c>
      <c r="AD82" s="27" t="n">
        <f aca="false">IF(COUNT('Feijão 1ª safra'!$E80:$Z80)=0,0,MAX(0,IF((AD$6-$E$3)&lt;1,0,IFERROR(LOOKUP(2,1/('Feijão 1ª safra'!$E80:INDEX('Feijão 1ª safra'!$E80:$Z80,MIN(AD$6-$E$3,22))&lt;&gt;""),'Feijão 1ª safra'!$E80:INDEX('Feijão 1ª safra'!$E80:$Z80,MIN(AD$6-$E$3,22))),0))-IF($G$2,0,IF((AD$6-$G$3)&lt;1,0,IFERROR(LOOKUP(2,1/('Feijão 1ª safra'!$E80:INDEX('Feijão 1ª safra'!$E80:$Z80,MIN(AD$6-$G$3,22))&lt;&gt;""),'Feijão 1ª safra'!$E80:INDEX('Feijão 1ª safra'!$E80:$Z80,MIN(AD$6-$G$3,22))),0)))))</f>
        <v>0</v>
      </c>
      <c r="AE82" s="27" t="n">
        <f aca="false">IF(COUNT('Feijão 1ª safra'!$E80:$Z80)=0,0,MAX(0,IF((AE$6-$E$3)&lt;1,0,IFERROR(LOOKUP(2,1/('Feijão 1ª safra'!$E80:INDEX('Feijão 1ª safra'!$E80:$Z80,MIN(AE$6-$E$3,22))&lt;&gt;""),'Feijão 1ª safra'!$E80:INDEX('Feijão 1ª safra'!$E80:$Z80,MIN(AE$6-$E$3,22))),0))-IF($G$2,0,IF((AE$6-$G$3)&lt;1,0,IFERROR(LOOKUP(2,1/('Feijão 1ª safra'!$E80:INDEX('Feijão 1ª safra'!$E80:$Z80,MIN(AE$6-$G$3,22))&lt;&gt;""),'Feijão 1ª safra'!$E80:INDEX('Feijão 1ª safra'!$E80:$Z80,MIN(AE$6-$G$3,22))),0)))))</f>
        <v>0</v>
      </c>
      <c r="AF82" s="27" t="n">
        <f aca="false">IF(COUNT('Feijão 1ª safra'!$E80:$Z80)=0,0,MAX(0,IF((AF$6-$E$3)&lt;1,0,IFERROR(LOOKUP(2,1/('Feijão 1ª safra'!$E80:INDEX('Feijão 1ª safra'!$E80:$Z80,MIN(AF$6-$E$3,22))&lt;&gt;""),'Feijão 1ª safra'!$E80:INDEX('Feijão 1ª safra'!$E80:$Z80,MIN(AF$6-$E$3,22))),0))-IF($G$2,0,IF((AF$6-$G$3)&lt;1,0,IFERROR(LOOKUP(2,1/('Feijão 1ª safra'!$E80:INDEX('Feijão 1ª safra'!$E80:$Z80,MIN(AF$6-$G$3,22))&lt;&gt;""),'Feijão 1ª safra'!$E80:INDEX('Feijão 1ª safra'!$E80:$Z80,MIN(AF$6-$G$3,22))),0)))))</f>
        <v>0</v>
      </c>
      <c r="AG82" s="27" t="n">
        <f aca="false">IF(COUNT('Feijão 1ª safra'!$E80:$Z80)=0,0,MAX(0,IF((AG$6-$E$3)&lt;1,0,IFERROR(LOOKUP(2,1/('Feijão 1ª safra'!$E80:INDEX('Feijão 1ª safra'!$E80:$Z80,MIN(AG$6-$E$3,22))&lt;&gt;""),'Feijão 1ª safra'!$E80:INDEX('Feijão 1ª safra'!$E80:$Z80,MIN(AG$6-$E$3,22))),0))-IF($G$2,0,IF((AG$6-$G$3)&lt;1,0,IFERROR(LOOKUP(2,1/('Feijão 1ª safra'!$E80:INDEX('Feijão 1ª safra'!$E80:$Z80,MIN(AG$6-$G$3,22))&lt;&gt;""),'Feijão 1ª safra'!$E80:INDEX('Feijão 1ª safra'!$E80:$Z80,MIN(AG$6-$G$3,22))),0)))))</f>
        <v>0</v>
      </c>
      <c r="AH82" s="27" t="n">
        <f aca="false">IF(COUNT('Feijão 1ª safra'!$E80:$Z80)=0,0,MAX(0,IF((AH$6-$E$3)&lt;1,0,IFERROR(LOOKUP(2,1/('Feijão 1ª safra'!$E80:INDEX('Feijão 1ª safra'!$E80:$Z80,MIN(AH$6-$E$3,22))&lt;&gt;""),'Feijão 1ª safra'!$E80:INDEX('Feijão 1ª safra'!$E80:$Z80,MIN(AH$6-$E$3,22))),0))-IF($G$2,0,IF((AH$6-$G$3)&lt;1,0,IFERROR(LOOKUP(2,1/('Feijão 1ª safra'!$E80:INDEX('Feijão 1ª safra'!$E80:$Z80,MIN(AH$6-$G$3,22))&lt;&gt;""),'Feijão 1ª safra'!$E80:INDEX('Feijão 1ª safra'!$E80:$Z80,MIN(AH$6-$G$3,22))),0)))))</f>
        <v>0</v>
      </c>
      <c r="AI82" s="27" t="n">
        <f aca="false">IF(COUNT('Feijão 1ª safra'!$E80:$Z80)=0,0,MAX(0,IF((AI$6-$E$3)&lt;1,0,IFERROR(LOOKUP(2,1/('Feijão 1ª safra'!$E80:INDEX('Feijão 1ª safra'!$E80:$Z80,MIN(AI$6-$E$3,22))&lt;&gt;""),'Feijão 1ª safra'!$E80:INDEX('Feijão 1ª safra'!$E80:$Z80,MIN(AI$6-$E$3,22))),0))-IF($G$2,0,IF((AI$6-$G$3)&lt;1,0,IFERROR(LOOKUP(2,1/('Feijão 1ª safra'!$E80:INDEX('Feijão 1ª safra'!$E80:$Z80,MIN(AI$6-$G$3,22))&lt;&gt;""),'Feijão 1ª safra'!$E80:INDEX('Feijão 1ª safra'!$E80:$Z80,MIN(AI$6-$G$3,22))),0)))))</f>
        <v>0</v>
      </c>
      <c r="AJ82" s="27" t="n">
        <f aca="false">IF(COUNT('Feijão 1ª safra'!$E80:$Z80)=0,0,MAX(0,IF((AJ$6-$E$3)&lt;1,0,IFERROR(LOOKUP(2,1/('Feijão 1ª safra'!$E80:INDEX('Feijão 1ª safra'!$E80:$Z80,MIN(AJ$6-$E$3,22))&lt;&gt;""),'Feijão 1ª safra'!$E80:INDEX('Feijão 1ª safra'!$E80:$Z80,MIN(AJ$6-$E$3,22))),0))-IF($G$2,0,IF((AJ$6-$G$3)&lt;1,0,IFERROR(LOOKUP(2,1/('Feijão 1ª safra'!$E80:INDEX('Feijão 1ª safra'!$E80:$Z80,MIN(AJ$6-$G$3,22))&lt;&gt;""),'Feijão 1ª safra'!$E80:INDEX('Feijão 1ª safra'!$E80:$Z80,MIN(AJ$6-$G$3,22))),0)))))</f>
        <v>0</v>
      </c>
      <c r="AK82" s="27" t="n">
        <f aca="false">IF(COUNT('Feijão 1ª safra'!$E80:$Z80)=0,0,MAX(0,IF((AK$6-$E$3)&lt;1,0,IFERROR(LOOKUP(2,1/('Feijão 1ª safra'!$E80:INDEX('Feijão 1ª safra'!$E80:$Z80,MIN(AK$6-$E$3,22))&lt;&gt;""),'Feijão 1ª safra'!$E80:INDEX('Feijão 1ª safra'!$E80:$Z80,MIN(AK$6-$E$3,22))),0))-IF($G$2,0,IF((AK$6-$G$3)&lt;1,0,IFERROR(LOOKUP(2,1/('Feijão 1ª safra'!$E80:INDEX('Feijão 1ª safra'!$E80:$Z80,MIN(AK$6-$G$3,22))&lt;&gt;""),'Feijão 1ª safra'!$E80:INDEX('Feijão 1ª safra'!$E80:$Z80,MIN(AK$6-$G$3,22))),0)))))</f>
        <v>0</v>
      </c>
      <c r="AL82" s="27" t="n">
        <f aca="false">IF(COUNT('Feijão 1ª safra'!$E80:$Z80)=0,0,MAX(0,IF((AL$6-$E$3)&lt;1,0,IFERROR(LOOKUP(2,1/('Feijão 1ª safra'!$E80:INDEX('Feijão 1ª safra'!$E80:$Z80,MIN(AL$6-$E$3,22))&lt;&gt;""),'Feijão 1ª safra'!$E80:INDEX('Feijão 1ª safra'!$E80:$Z80,MIN(AL$6-$E$3,22))),0))-IF($G$2,0,IF((AL$6-$G$3)&lt;1,0,IFERROR(LOOKUP(2,1/('Feijão 1ª safra'!$E80:INDEX('Feijão 1ª safra'!$E80:$Z80,MIN(AL$6-$G$3,22))&lt;&gt;""),'Feijão 1ª safra'!$E80:INDEX('Feijão 1ª safra'!$E80:$Z80,MIN(AL$6-$G$3,22))),0)))))</f>
        <v>0</v>
      </c>
      <c r="AM82" s="27" t="n">
        <f aca="false">IF(COUNT('Feijão 1ª safra'!$E80:$Z80)=0,0,MAX(0,IF((AM$6-$E$3)&lt;1,0,IFERROR(LOOKUP(2,1/('Feijão 1ª safra'!$E80:INDEX('Feijão 1ª safra'!$E80:$Z80,MIN(AM$6-$E$3,22))&lt;&gt;""),'Feijão 1ª safra'!$E80:INDEX('Feijão 1ª safra'!$E80:$Z80,MIN(AM$6-$E$3,22))),0))-IF($G$2,0,IF((AM$6-$G$3)&lt;1,0,IFERROR(LOOKUP(2,1/('Feijão 1ª safra'!$E80:INDEX('Feijão 1ª safra'!$E80:$Z80,MIN(AM$6-$G$3,22))&lt;&gt;""),'Feijão 1ª safra'!$E80:INDEX('Feijão 1ª safra'!$E80:$Z80,MIN(AM$6-$G$3,22))),0)))))</f>
        <v>0</v>
      </c>
      <c r="AN82" s="27" t="n">
        <f aca="false">IF(COUNT('Feijão 1ª safra'!$E80:$Z80)=0,0,MAX(0,IF((AN$6-$E$3)&lt;1,0,IFERROR(LOOKUP(2,1/('Feijão 1ª safra'!$E80:INDEX('Feijão 1ª safra'!$E80:$Z80,MIN(AN$6-$E$3,22))&lt;&gt;""),'Feijão 1ª safra'!$E80:INDEX('Feijão 1ª safra'!$E80:$Z80,MIN(AN$6-$E$3,22))),0))-IF($G$2,0,IF((AN$6-$G$3)&lt;1,0,IFERROR(LOOKUP(2,1/('Feijão 1ª safra'!$E80:INDEX('Feijão 1ª safra'!$E80:$Z80,MIN(AN$6-$G$3,22))&lt;&gt;""),'Feijão 1ª safra'!$E80:INDEX('Feijão 1ª safra'!$E80:$Z80,MIN(AN$6-$G$3,22))),0)))))</f>
        <v>0</v>
      </c>
      <c r="AO82" s="27" t="n">
        <f aca="false">IF(COUNT('Feijão 1ª safra'!$E80:$Z80)=0,0,MAX(0,IF((AO$6-$E$3)&lt;1,0,IFERROR(LOOKUP(2,1/('Feijão 1ª safra'!$E80:INDEX('Feijão 1ª safra'!$E80:$Z80,MIN(AO$6-$E$3,22))&lt;&gt;""),'Feijão 1ª safra'!$E80:INDEX('Feijão 1ª safra'!$E80:$Z80,MIN(AO$6-$E$3,22))),0))-IF($G$2,0,IF((AO$6-$G$3)&lt;1,0,IFERROR(LOOKUP(2,1/('Feijão 1ª safra'!$E80:INDEX('Feijão 1ª safra'!$E80:$Z80,MIN(AO$6-$G$3,22))&lt;&gt;""),'Feijão 1ª safra'!$E80:INDEX('Feijão 1ª safra'!$E80:$Z80,MIN(AO$6-$G$3,22))),0)))))</f>
        <v>0</v>
      </c>
      <c r="AP82" s="27" t="n">
        <f aca="false">IF(COUNT('Feijão 1ª safra'!$E80:$Z80)=0,0,MAX(0,IF((AP$6-$E$3)&lt;1,0,IFERROR(LOOKUP(2,1/('Feijão 1ª safra'!$E80:INDEX('Feijão 1ª safra'!$E80:$Z80,MIN(AP$6-$E$3,22))&lt;&gt;""),'Feijão 1ª safra'!$E80:INDEX('Feijão 1ª safra'!$E80:$Z80,MIN(AP$6-$E$3,22))),0))-IF($G$2,0,IF((AP$6-$G$3)&lt;1,0,IFERROR(LOOKUP(2,1/('Feijão 1ª safra'!$E80:INDEX('Feijão 1ª safra'!$E80:$Z80,MIN(AP$6-$G$3,22))&lt;&gt;""),'Feijão 1ª safra'!$E80:INDEX('Feijão 1ª safra'!$E80:$Z80,MIN(AP$6-$G$3,22))),0)))))</f>
        <v>0</v>
      </c>
      <c r="AQ82" s="27" t="n">
        <f aca="false">IF(COUNT('Feijão 1ª safra'!$E80:$Z80)=0,0,MAX(0,IF((AQ$6-$E$3)&lt;1,0,IFERROR(LOOKUP(2,1/('Feijão 1ª safra'!$E80:INDEX('Feijão 1ª safra'!$E80:$Z80,MIN(AQ$6-$E$3,22))&lt;&gt;""),'Feijão 1ª safra'!$E80:INDEX('Feijão 1ª safra'!$E80:$Z80,MIN(AQ$6-$E$3,22))),0))-IF($G$2,0,IF((AQ$6-$G$3)&lt;1,0,IFERROR(LOOKUP(2,1/('Feijão 1ª safra'!$E80:INDEX('Feijão 1ª safra'!$E80:$Z80,MIN(AQ$6-$G$3,22))&lt;&gt;""),'Feijão 1ª safra'!$E80:INDEX('Feijão 1ª safra'!$E80:$Z80,MIN(AQ$6-$G$3,22))),0)))))</f>
        <v>0</v>
      </c>
      <c r="AR82" s="27" t="n">
        <f aca="false">IF(COUNT('Feijão 1ª safra'!$E80:$Z80)=0,0,MAX(0,IF((AR$6-$E$3)&lt;1,0,IFERROR(LOOKUP(2,1/('Feijão 1ª safra'!$E80:INDEX('Feijão 1ª safra'!$E80:$Z80,MIN(AR$6-$E$3,22))&lt;&gt;""),'Feijão 1ª safra'!$E80:INDEX('Feijão 1ª safra'!$E80:$Z80,MIN(AR$6-$E$3,22))),0))-IF($G$2,0,IF((AR$6-$G$3)&lt;1,0,IFERROR(LOOKUP(2,1/('Feijão 1ª safra'!$E80:INDEX('Feijão 1ª safra'!$E80:$Z80,MIN(AR$6-$G$3,22))&lt;&gt;""),'Feijão 1ª safra'!$E80:INDEX('Feijão 1ª safra'!$E80:$Z80,MIN(AR$6-$G$3,22))),0)))))</f>
        <v>0</v>
      </c>
      <c r="AS82" s="27" t="n">
        <f aca="false">IF(COUNT('Feijão 1ª safra'!$E80:$Z80)=0,0,MAX(0,IF((AS$6-$E$3)&lt;1,0,IFERROR(LOOKUP(2,1/('Feijão 1ª safra'!$E80:INDEX('Feijão 1ª safra'!$E80:$Z80,MIN(AS$6-$E$3,22))&lt;&gt;""),'Feijão 1ª safra'!$E80:INDEX('Feijão 1ª safra'!$E80:$Z80,MIN(AS$6-$E$3,22))),0))-IF($G$2,0,IF((AS$6-$G$3)&lt;1,0,IFERROR(LOOKUP(2,1/('Feijão 1ª safra'!$E80:INDEX('Feijão 1ª safra'!$E80:$Z80,MIN(AS$6-$G$3,22))&lt;&gt;""),'Feijão 1ª safra'!$E80:INDEX('Feijão 1ª safra'!$E80:$Z80,MIN(AS$6-$G$3,22))),0)))))</f>
        <v>0</v>
      </c>
      <c r="AT82" s="27" t="n">
        <f aca="false">IF(COUNT('Feijão 1ª safra'!$E80:$Z80)=0,0,MAX(0,IF((AT$6-$E$3)&lt;1,0,IFERROR(LOOKUP(2,1/('Feijão 1ª safra'!$E80:INDEX('Feijão 1ª safra'!$E80:$Z80,MIN(AT$6-$E$3,22))&lt;&gt;""),'Feijão 1ª safra'!$E80:INDEX('Feijão 1ª safra'!$E80:$Z80,MIN(AT$6-$E$3,22))),0))-IF($G$2,0,IF((AT$6-$G$3)&lt;1,0,IFERROR(LOOKUP(2,1/('Feijão 1ª safra'!$E80:INDEX('Feijão 1ª safra'!$E80:$Z80,MIN(AT$6-$G$3,22))&lt;&gt;""),'Feijão 1ª safra'!$E80:INDEX('Feijão 1ª safra'!$E80:$Z80,MIN(AT$6-$G$3,22))),0)))))</f>
        <v>0</v>
      </c>
      <c r="AU82" s="27" t="n">
        <f aca="false">IF(COUNT('Feijão 1ª safra'!$E80:$Z80)=0,0,MAX(0,IF((AU$6-$E$3)&lt;1,0,IFERROR(LOOKUP(2,1/('Feijão 1ª safra'!$E80:INDEX('Feijão 1ª safra'!$E80:$Z80,MIN(AU$6-$E$3,22))&lt;&gt;""),'Feijão 1ª safra'!$E80:INDEX('Feijão 1ª safra'!$E80:$Z80,MIN(AU$6-$E$3,22))),0))-IF($G$2,0,IF((AU$6-$G$3)&lt;1,0,IFERROR(LOOKUP(2,1/('Feijão 1ª safra'!$E80:INDEX('Feijão 1ª safra'!$E80:$Z80,MIN(AU$6-$G$3,22))&lt;&gt;""),'Feijão 1ª safra'!$E80:INDEX('Feijão 1ª safra'!$E80:$Z80,MIN(AU$6-$G$3,22))),0)))))</f>
        <v>0</v>
      </c>
      <c r="AV82" s="27" t="n">
        <f aca="false">IF(COUNT('Feijão 1ª safra'!$E80:$Z80)=0,0,MAX(0,IF((AV$6-$E$3)&lt;1,0,IFERROR(LOOKUP(2,1/('Feijão 1ª safra'!$E80:INDEX('Feijão 1ª safra'!$E80:$Z80,MIN(AV$6-$E$3,22))&lt;&gt;""),'Feijão 1ª safra'!$E80:INDEX('Feijão 1ª safra'!$E80:$Z80,MIN(AV$6-$E$3,22))),0))-IF($G$2,0,IF((AV$6-$G$3)&lt;1,0,IFERROR(LOOKUP(2,1/('Feijão 1ª safra'!$E80:INDEX('Feijão 1ª safra'!$E80:$Z80,MIN(AV$6-$G$3,22))&lt;&gt;""),'Feijão 1ª safra'!$E80:INDEX('Feijão 1ª safra'!$E80:$Z80,MIN(AV$6-$G$3,22))),0)))))</f>
        <v>0</v>
      </c>
      <c r="AW82" s="27" t="n">
        <f aca="false">IF(COUNT('Feijão 1ª safra'!$E80:$Z80)=0,0,MAX(0,IF((AW$6-$E$3)&lt;1,0,IFERROR(LOOKUP(2,1/('Feijão 1ª safra'!$E80:INDEX('Feijão 1ª safra'!$E80:$Z80,MIN(AW$6-$E$3,22))&lt;&gt;""),'Feijão 1ª safra'!$E80:INDEX('Feijão 1ª safra'!$E80:$Z80,MIN(AW$6-$E$3,22))),0))-IF($G$2,0,IF((AW$6-$G$3)&lt;1,0,IFERROR(LOOKUP(2,1/('Feijão 1ª safra'!$E80:INDEX('Feijão 1ª safra'!$E80:$Z80,MIN(AW$6-$G$3,22))&lt;&gt;""),'Feijão 1ª safra'!$E80:INDEX('Feijão 1ª safra'!$E80:$Z80,MIN(AW$6-$G$3,22))),0)))))</f>
        <v>0</v>
      </c>
      <c r="AX82" s="27" t="n">
        <f aca="false">IF(COUNT('Feijão 1ª safra'!$E80:$Z80)=0,0,MAX(0,IF((AX$6-$E$3)&lt;1,0,IFERROR(LOOKUP(2,1/('Feijão 1ª safra'!$E80:INDEX('Feijão 1ª safra'!$E80:$Z80,MIN(AX$6-$E$3,22))&lt;&gt;""),'Feijão 1ª safra'!$E80:INDEX('Feijão 1ª safra'!$E80:$Z80,MIN(AX$6-$E$3,22))),0))-IF($G$2,0,IF((AX$6-$G$3)&lt;1,0,IFERROR(LOOKUP(2,1/('Feijão 1ª safra'!$E80:INDEX('Feijão 1ª safra'!$E80:$Z80,MIN(AX$6-$G$3,22))&lt;&gt;""),'Feijão 1ª safra'!$E80:INDEX('Feijão 1ª safra'!$E80:$Z80,MIN(AX$6-$G$3,22))),0)))))</f>
        <v>0</v>
      </c>
      <c r="AY82" s="27" t="n">
        <f aca="false">IF(COUNT('Feijão 1ª safra'!$E80:$Z80)=0,0,MAX(0,IF((AY$6-$E$3)&lt;1,0,IFERROR(LOOKUP(2,1/('Feijão 1ª safra'!$E80:INDEX('Feijão 1ª safra'!$E80:$Z80,MIN(AY$6-$E$3,22))&lt;&gt;""),'Feijão 1ª safra'!$E80:INDEX('Feijão 1ª safra'!$E80:$Z80,MIN(AY$6-$E$3,22))),0))-IF($G$2,0,IF((AY$6-$G$3)&lt;1,0,IFERROR(LOOKUP(2,1/('Feijão 1ª safra'!$E80:INDEX('Feijão 1ª safra'!$E80:$Z80,MIN(AY$6-$G$3,22))&lt;&gt;""),'Feijão 1ª safra'!$E80:INDEX('Feijão 1ª safra'!$E80:$Z80,MIN(AY$6-$G$3,22))),0)))))</f>
        <v>0</v>
      </c>
      <c r="AZ82" s="27" t="n">
        <f aca="false">IF(COUNT('Feijão 1ª safra'!$E80:$Z80)=0,0,MAX(0,IF((AZ$6-$E$3)&lt;1,0,IFERROR(LOOKUP(2,1/('Feijão 1ª safra'!$E80:INDEX('Feijão 1ª safra'!$E80:$Z80,MIN(AZ$6-$E$3,22))&lt;&gt;""),'Feijão 1ª safra'!$E80:INDEX('Feijão 1ª safra'!$E80:$Z80,MIN(AZ$6-$E$3,22))),0))-IF($G$2,0,IF((AZ$6-$G$3)&lt;1,0,IFERROR(LOOKUP(2,1/('Feijão 1ª safra'!$E80:INDEX('Feijão 1ª safra'!$E80:$Z80,MIN(AZ$6-$G$3,22))&lt;&gt;""),'Feijão 1ª safra'!$E80:INDEX('Feijão 1ª safra'!$E80:$Z80,MIN(AZ$6-$G$3,22))),0)))))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IF(COUNT('Feijão 1ª safra'!$E81:$Z81)&gt;0,N('Feijão 1ª safra'!$D81),0)</f>
        <v>0</v>
      </c>
      <c r="E83" s="27" t="n">
        <f aca="false">IF(COUNT('Feijão 1ª safra'!$E81:$Z81)=0,0,MAX(0,IF((E$6-$E$3)&lt;1,0,IFERROR(LOOKUP(2,1/('Feijão 1ª safra'!$E81:INDEX('Feijão 1ª safra'!$E81:$Z81,MIN(E$6-$E$3,22))&lt;&gt;""),'Feijão 1ª safra'!$E81:INDEX('Feijão 1ª safra'!$E81:$Z81,MIN(E$6-$E$3,22))),0))-IF($G$2,0,IF((E$6-$G$3)&lt;1,0,IFERROR(LOOKUP(2,1/('Feijão 1ª safra'!$E81:INDEX('Feijão 1ª safra'!$E81:$Z81,MIN(E$6-$G$3,22))&lt;&gt;""),'Feijão 1ª safra'!$E81:INDEX('Feijão 1ª safra'!$E81:$Z81,MIN(E$6-$G$3,22))),0)))))</f>
        <v>0</v>
      </c>
      <c r="F83" s="27" t="n">
        <f aca="false">IF(COUNT('Feijão 1ª safra'!$E81:$Z81)=0,0,MAX(0,IF((F$6-$E$3)&lt;1,0,IFERROR(LOOKUP(2,1/('Feijão 1ª safra'!$E81:INDEX('Feijão 1ª safra'!$E81:$Z81,MIN(F$6-$E$3,22))&lt;&gt;""),'Feijão 1ª safra'!$E81:INDEX('Feijão 1ª safra'!$E81:$Z81,MIN(F$6-$E$3,22))),0))-IF($G$2,0,IF((F$6-$G$3)&lt;1,0,IFERROR(LOOKUP(2,1/('Feijão 1ª safra'!$E81:INDEX('Feijão 1ª safra'!$E81:$Z81,MIN(F$6-$G$3,22))&lt;&gt;""),'Feijão 1ª safra'!$E81:INDEX('Feijão 1ª safra'!$E81:$Z81,MIN(F$6-$G$3,22))),0)))))</f>
        <v>0</v>
      </c>
      <c r="G83" s="27" t="n">
        <f aca="false">IF(COUNT('Feijão 1ª safra'!$E81:$Z81)=0,0,MAX(0,IF((G$6-$E$3)&lt;1,0,IFERROR(LOOKUP(2,1/('Feijão 1ª safra'!$E81:INDEX('Feijão 1ª safra'!$E81:$Z81,MIN(G$6-$E$3,22))&lt;&gt;""),'Feijão 1ª safra'!$E81:INDEX('Feijão 1ª safra'!$E81:$Z81,MIN(G$6-$E$3,22))),0))-IF($G$2,0,IF((G$6-$G$3)&lt;1,0,IFERROR(LOOKUP(2,1/('Feijão 1ª safra'!$E81:INDEX('Feijão 1ª safra'!$E81:$Z81,MIN(G$6-$G$3,22))&lt;&gt;""),'Feijão 1ª safra'!$E81:INDEX('Feijão 1ª safra'!$E81:$Z81,MIN(G$6-$G$3,22))),0)))))</f>
        <v>0</v>
      </c>
      <c r="H83" s="27" t="n">
        <f aca="false">IF(COUNT('Feijão 1ª safra'!$E81:$Z81)=0,0,MAX(0,IF((H$6-$E$3)&lt;1,0,IFERROR(LOOKUP(2,1/('Feijão 1ª safra'!$E81:INDEX('Feijão 1ª safra'!$E81:$Z81,MIN(H$6-$E$3,22))&lt;&gt;""),'Feijão 1ª safra'!$E81:INDEX('Feijão 1ª safra'!$E81:$Z81,MIN(H$6-$E$3,22))),0))-IF($G$2,0,IF((H$6-$G$3)&lt;1,0,IFERROR(LOOKUP(2,1/('Feijão 1ª safra'!$E81:INDEX('Feijão 1ª safra'!$E81:$Z81,MIN(H$6-$G$3,22))&lt;&gt;""),'Feijão 1ª safra'!$E81:INDEX('Feijão 1ª safra'!$E81:$Z81,MIN(H$6-$G$3,22))),0)))))</f>
        <v>0</v>
      </c>
      <c r="I83" s="27" t="n">
        <f aca="false">IF(COUNT('Feijão 1ª safra'!$E81:$Z81)=0,0,MAX(0,IF((I$6-$E$3)&lt;1,0,IFERROR(LOOKUP(2,1/('Feijão 1ª safra'!$E81:INDEX('Feijão 1ª safra'!$E81:$Z81,MIN(I$6-$E$3,22))&lt;&gt;""),'Feijão 1ª safra'!$E81:INDEX('Feijão 1ª safra'!$E81:$Z81,MIN(I$6-$E$3,22))),0))-IF($G$2,0,IF((I$6-$G$3)&lt;1,0,IFERROR(LOOKUP(2,1/('Feijão 1ª safra'!$E81:INDEX('Feijão 1ª safra'!$E81:$Z81,MIN(I$6-$G$3,22))&lt;&gt;""),'Feijão 1ª safra'!$E81:INDEX('Feijão 1ª safra'!$E81:$Z81,MIN(I$6-$G$3,22))),0)))))</f>
        <v>0</v>
      </c>
      <c r="J83" s="27" t="n">
        <f aca="false">IF(COUNT('Feijão 1ª safra'!$E81:$Z81)=0,0,MAX(0,IF((J$6-$E$3)&lt;1,0,IFERROR(LOOKUP(2,1/('Feijão 1ª safra'!$E81:INDEX('Feijão 1ª safra'!$E81:$Z81,MIN(J$6-$E$3,22))&lt;&gt;""),'Feijão 1ª safra'!$E81:INDEX('Feijão 1ª safra'!$E81:$Z81,MIN(J$6-$E$3,22))),0))-IF($G$2,0,IF((J$6-$G$3)&lt;1,0,IFERROR(LOOKUP(2,1/('Feijão 1ª safra'!$E81:INDEX('Feijão 1ª safra'!$E81:$Z81,MIN(J$6-$G$3,22))&lt;&gt;""),'Feijão 1ª safra'!$E81:INDEX('Feijão 1ª safra'!$E81:$Z81,MIN(J$6-$G$3,22))),0)))))</f>
        <v>0</v>
      </c>
      <c r="K83" s="27" t="n">
        <f aca="false">IF(COUNT('Feijão 1ª safra'!$E81:$Z81)=0,0,MAX(0,IF((K$6-$E$3)&lt;1,0,IFERROR(LOOKUP(2,1/('Feijão 1ª safra'!$E81:INDEX('Feijão 1ª safra'!$E81:$Z81,MIN(K$6-$E$3,22))&lt;&gt;""),'Feijão 1ª safra'!$E81:INDEX('Feijão 1ª safra'!$E81:$Z81,MIN(K$6-$E$3,22))),0))-IF($G$2,0,IF((K$6-$G$3)&lt;1,0,IFERROR(LOOKUP(2,1/('Feijão 1ª safra'!$E81:INDEX('Feijão 1ª safra'!$E81:$Z81,MIN(K$6-$G$3,22))&lt;&gt;""),'Feijão 1ª safra'!$E81:INDEX('Feijão 1ª safra'!$E81:$Z81,MIN(K$6-$G$3,22))),0)))))</f>
        <v>0</v>
      </c>
      <c r="L83" s="27" t="n">
        <f aca="false">IF(COUNT('Feijão 1ª safra'!$E81:$Z81)=0,0,MAX(0,IF((L$6-$E$3)&lt;1,0,IFERROR(LOOKUP(2,1/('Feijão 1ª safra'!$E81:INDEX('Feijão 1ª safra'!$E81:$Z81,MIN(L$6-$E$3,22))&lt;&gt;""),'Feijão 1ª safra'!$E81:INDEX('Feijão 1ª safra'!$E81:$Z81,MIN(L$6-$E$3,22))),0))-IF($G$2,0,IF((L$6-$G$3)&lt;1,0,IFERROR(LOOKUP(2,1/('Feijão 1ª safra'!$E81:INDEX('Feijão 1ª safra'!$E81:$Z81,MIN(L$6-$G$3,22))&lt;&gt;""),'Feijão 1ª safra'!$E81:INDEX('Feijão 1ª safra'!$E81:$Z81,MIN(L$6-$G$3,22))),0)))))</f>
        <v>0</v>
      </c>
      <c r="M83" s="27" t="n">
        <f aca="false">IF(COUNT('Feijão 1ª safra'!$E81:$Z81)=0,0,MAX(0,IF((M$6-$E$3)&lt;1,0,IFERROR(LOOKUP(2,1/('Feijão 1ª safra'!$E81:INDEX('Feijão 1ª safra'!$E81:$Z81,MIN(M$6-$E$3,22))&lt;&gt;""),'Feijão 1ª safra'!$E81:INDEX('Feijão 1ª safra'!$E81:$Z81,MIN(M$6-$E$3,22))),0))-IF($G$2,0,IF((M$6-$G$3)&lt;1,0,IFERROR(LOOKUP(2,1/('Feijão 1ª safra'!$E81:INDEX('Feijão 1ª safra'!$E81:$Z81,MIN(M$6-$G$3,22))&lt;&gt;""),'Feijão 1ª safra'!$E81:INDEX('Feijão 1ª safra'!$E81:$Z81,MIN(M$6-$G$3,22))),0)))))</f>
        <v>0</v>
      </c>
      <c r="N83" s="27" t="n">
        <f aca="false">IF(COUNT('Feijão 1ª safra'!$E81:$Z81)=0,0,MAX(0,IF((N$6-$E$3)&lt;1,0,IFERROR(LOOKUP(2,1/('Feijão 1ª safra'!$E81:INDEX('Feijão 1ª safra'!$E81:$Z81,MIN(N$6-$E$3,22))&lt;&gt;""),'Feijão 1ª safra'!$E81:INDEX('Feijão 1ª safra'!$E81:$Z81,MIN(N$6-$E$3,22))),0))-IF($G$2,0,IF((N$6-$G$3)&lt;1,0,IFERROR(LOOKUP(2,1/('Feijão 1ª safra'!$E81:INDEX('Feijão 1ª safra'!$E81:$Z81,MIN(N$6-$G$3,22))&lt;&gt;""),'Feijão 1ª safra'!$E81:INDEX('Feijão 1ª safra'!$E81:$Z81,MIN(N$6-$G$3,22))),0)))))</f>
        <v>0</v>
      </c>
      <c r="O83" s="27" t="n">
        <f aca="false">IF(COUNT('Feijão 1ª safra'!$E81:$Z81)=0,0,MAX(0,IF((O$6-$E$3)&lt;1,0,IFERROR(LOOKUP(2,1/('Feijão 1ª safra'!$E81:INDEX('Feijão 1ª safra'!$E81:$Z81,MIN(O$6-$E$3,22))&lt;&gt;""),'Feijão 1ª safra'!$E81:INDEX('Feijão 1ª safra'!$E81:$Z81,MIN(O$6-$E$3,22))),0))-IF($G$2,0,IF((O$6-$G$3)&lt;1,0,IFERROR(LOOKUP(2,1/('Feijão 1ª safra'!$E81:INDEX('Feijão 1ª safra'!$E81:$Z81,MIN(O$6-$G$3,22))&lt;&gt;""),'Feijão 1ª safra'!$E81:INDEX('Feijão 1ª safra'!$E81:$Z81,MIN(O$6-$G$3,22))),0)))))</f>
        <v>0</v>
      </c>
      <c r="P83" s="27" t="n">
        <f aca="false">IF(COUNT('Feijão 1ª safra'!$E81:$Z81)=0,0,MAX(0,IF((P$6-$E$3)&lt;1,0,IFERROR(LOOKUP(2,1/('Feijão 1ª safra'!$E81:INDEX('Feijão 1ª safra'!$E81:$Z81,MIN(P$6-$E$3,22))&lt;&gt;""),'Feijão 1ª safra'!$E81:INDEX('Feijão 1ª safra'!$E81:$Z81,MIN(P$6-$E$3,22))),0))-IF($G$2,0,IF((P$6-$G$3)&lt;1,0,IFERROR(LOOKUP(2,1/('Feijão 1ª safra'!$E81:INDEX('Feijão 1ª safra'!$E81:$Z81,MIN(P$6-$G$3,22))&lt;&gt;""),'Feijão 1ª safra'!$E81:INDEX('Feijão 1ª safra'!$E81:$Z81,MIN(P$6-$G$3,22))),0)))))</f>
        <v>0</v>
      </c>
      <c r="Q83" s="27" t="n">
        <f aca="false">IF(COUNT('Feijão 1ª safra'!$E81:$Z81)=0,0,MAX(0,IF((Q$6-$E$3)&lt;1,0,IFERROR(LOOKUP(2,1/('Feijão 1ª safra'!$E81:INDEX('Feijão 1ª safra'!$E81:$Z81,MIN(Q$6-$E$3,22))&lt;&gt;""),'Feijão 1ª safra'!$E81:INDEX('Feijão 1ª safra'!$E81:$Z81,MIN(Q$6-$E$3,22))),0))-IF($G$2,0,IF((Q$6-$G$3)&lt;1,0,IFERROR(LOOKUP(2,1/('Feijão 1ª safra'!$E81:INDEX('Feijão 1ª safra'!$E81:$Z81,MIN(Q$6-$G$3,22))&lt;&gt;""),'Feijão 1ª safra'!$E81:INDEX('Feijão 1ª safra'!$E81:$Z81,MIN(Q$6-$G$3,22))),0)))))</f>
        <v>0</v>
      </c>
      <c r="R83" s="27" t="n">
        <f aca="false">IF(COUNT('Feijão 1ª safra'!$E81:$Z81)=0,0,MAX(0,IF((R$6-$E$3)&lt;1,0,IFERROR(LOOKUP(2,1/('Feijão 1ª safra'!$E81:INDEX('Feijão 1ª safra'!$E81:$Z81,MIN(R$6-$E$3,22))&lt;&gt;""),'Feijão 1ª safra'!$E81:INDEX('Feijão 1ª safra'!$E81:$Z81,MIN(R$6-$E$3,22))),0))-IF($G$2,0,IF((R$6-$G$3)&lt;1,0,IFERROR(LOOKUP(2,1/('Feijão 1ª safra'!$E81:INDEX('Feijão 1ª safra'!$E81:$Z81,MIN(R$6-$G$3,22))&lt;&gt;""),'Feijão 1ª safra'!$E81:INDEX('Feijão 1ª safra'!$E81:$Z81,MIN(R$6-$G$3,22))),0)))))</f>
        <v>0</v>
      </c>
      <c r="S83" s="27" t="n">
        <f aca="false">IF(COUNT('Feijão 1ª safra'!$E81:$Z81)=0,0,MAX(0,IF((S$6-$E$3)&lt;1,0,IFERROR(LOOKUP(2,1/('Feijão 1ª safra'!$E81:INDEX('Feijão 1ª safra'!$E81:$Z81,MIN(S$6-$E$3,22))&lt;&gt;""),'Feijão 1ª safra'!$E81:INDEX('Feijão 1ª safra'!$E81:$Z81,MIN(S$6-$E$3,22))),0))-IF($G$2,0,IF((S$6-$G$3)&lt;1,0,IFERROR(LOOKUP(2,1/('Feijão 1ª safra'!$E81:INDEX('Feijão 1ª safra'!$E81:$Z81,MIN(S$6-$G$3,22))&lt;&gt;""),'Feijão 1ª safra'!$E81:INDEX('Feijão 1ª safra'!$E81:$Z81,MIN(S$6-$G$3,22))),0)))))</f>
        <v>0</v>
      </c>
      <c r="T83" s="27" t="n">
        <f aca="false">IF(COUNT('Feijão 1ª safra'!$E81:$Z81)=0,0,MAX(0,IF((T$6-$E$3)&lt;1,0,IFERROR(LOOKUP(2,1/('Feijão 1ª safra'!$E81:INDEX('Feijão 1ª safra'!$E81:$Z81,MIN(T$6-$E$3,22))&lt;&gt;""),'Feijão 1ª safra'!$E81:INDEX('Feijão 1ª safra'!$E81:$Z81,MIN(T$6-$E$3,22))),0))-IF($G$2,0,IF((T$6-$G$3)&lt;1,0,IFERROR(LOOKUP(2,1/('Feijão 1ª safra'!$E81:INDEX('Feijão 1ª safra'!$E81:$Z81,MIN(T$6-$G$3,22))&lt;&gt;""),'Feijão 1ª safra'!$E81:INDEX('Feijão 1ª safra'!$E81:$Z81,MIN(T$6-$G$3,22))),0)))))</f>
        <v>0</v>
      </c>
      <c r="U83" s="27" t="n">
        <f aca="false">IF(COUNT('Feijão 1ª safra'!$E81:$Z81)=0,0,MAX(0,IF((U$6-$E$3)&lt;1,0,IFERROR(LOOKUP(2,1/('Feijão 1ª safra'!$E81:INDEX('Feijão 1ª safra'!$E81:$Z81,MIN(U$6-$E$3,22))&lt;&gt;""),'Feijão 1ª safra'!$E81:INDEX('Feijão 1ª safra'!$E81:$Z81,MIN(U$6-$E$3,22))),0))-IF($G$2,0,IF((U$6-$G$3)&lt;1,0,IFERROR(LOOKUP(2,1/('Feijão 1ª safra'!$E81:INDEX('Feijão 1ª safra'!$E81:$Z81,MIN(U$6-$G$3,22))&lt;&gt;""),'Feijão 1ª safra'!$E81:INDEX('Feijão 1ª safra'!$E81:$Z81,MIN(U$6-$G$3,22))),0)))))</f>
        <v>0</v>
      </c>
      <c r="V83" s="27" t="n">
        <f aca="false">IF(COUNT('Feijão 1ª safra'!$E81:$Z81)=0,0,MAX(0,IF((V$6-$E$3)&lt;1,0,IFERROR(LOOKUP(2,1/('Feijão 1ª safra'!$E81:INDEX('Feijão 1ª safra'!$E81:$Z81,MIN(V$6-$E$3,22))&lt;&gt;""),'Feijão 1ª safra'!$E81:INDEX('Feijão 1ª safra'!$E81:$Z81,MIN(V$6-$E$3,22))),0))-IF($G$2,0,IF((V$6-$G$3)&lt;1,0,IFERROR(LOOKUP(2,1/('Feijão 1ª safra'!$E81:INDEX('Feijão 1ª safra'!$E81:$Z81,MIN(V$6-$G$3,22))&lt;&gt;""),'Feijão 1ª safra'!$E81:INDEX('Feijão 1ª safra'!$E81:$Z81,MIN(V$6-$G$3,22))),0)))))</f>
        <v>0</v>
      </c>
      <c r="W83" s="27" t="n">
        <f aca="false">IF(COUNT('Feijão 1ª safra'!$E81:$Z81)=0,0,MAX(0,IF((W$6-$E$3)&lt;1,0,IFERROR(LOOKUP(2,1/('Feijão 1ª safra'!$E81:INDEX('Feijão 1ª safra'!$E81:$Z81,MIN(W$6-$E$3,22))&lt;&gt;""),'Feijão 1ª safra'!$E81:INDEX('Feijão 1ª safra'!$E81:$Z81,MIN(W$6-$E$3,22))),0))-IF($G$2,0,IF((W$6-$G$3)&lt;1,0,IFERROR(LOOKUP(2,1/('Feijão 1ª safra'!$E81:INDEX('Feijão 1ª safra'!$E81:$Z81,MIN(W$6-$G$3,22))&lt;&gt;""),'Feijão 1ª safra'!$E81:INDEX('Feijão 1ª safra'!$E81:$Z81,MIN(W$6-$G$3,22))),0)))))</f>
        <v>0</v>
      </c>
      <c r="X83" s="27" t="n">
        <f aca="false">IF(COUNT('Feijão 1ª safra'!$E81:$Z81)=0,0,MAX(0,IF((X$6-$E$3)&lt;1,0,IFERROR(LOOKUP(2,1/('Feijão 1ª safra'!$E81:INDEX('Feijão 1ª safra'!$E81:$Z81,MIN(X$6-$E$3,22))&lt;&gt;""),'Feijão 1ª safra'!$E81:INDEX('Feijão 1ª safra'!$E81:$Z81,MIN(X$6-$E$3,22))),0))-IF($G$2,0,IF((X$6-$G$3)&lt;1,0,IFERROR(LOOKUP(2,1/('Feijão 1ª safra'!$E81:INDEX('Feijão 1ª safra'!$E81:$Z81,MIN(X$6-$G$3,22))&lt;&gt;""),'Feijão 1ª safra'!$E81:INDEX('Feijão 1ª safra'!$E81:$Z81,MIN(X$6-$G$3,22))),0)))))</f>
        <v>0</v>
      </c>
      <c r="Y83" s="27" t="n">
        <f aca="false">IF(COUNT('Feijão 1ª safra'!$E81:$Z81)=0,0,MAX(0,IF((Y$6-$E$3)&lt;1,0,IFERROR(LOOKUP(2,1/('Feijão 1ª safra'!$E81:INDEX('Feijão 1ª safra'!$E81:$Z81,MIN(Y$6-$E$3,22))&lt;&gt;""),'Feijão 1ª safra'!$E81:INDEX('Feijão 1ª safra'!$E81:$Z81,MIN(Y$6-$E$3,22))),0))-IF($G$2,0,IF((Y$6-$G$3)&lt;1,0,IFERROR(LOOKUP(2,1/('Feijão 1ª safra'!$E81:INDEX('Feijão 1ª safra'!$E81:$Z81,MIN(Y$6-$G$3,22))&lt;&gt;""),'Feijão 1ª safra'!$E81:INDEX('Feijão 1ª safra'!$E81:$Z81,MIN(Y$6-$G$3,22))),0)))))</f>
        <v>0</v>
      </c>
      <c r="Z83" s="27" t="n">
        <f aca="false">IF(COUNT('Feijão 1ª safra'!$E81:$Z81)=0,0,MAX(0,IF((Z$6-$E$3)&lt;1,0,IFERROR(LOOKUP(2,1/('Feijão 1ª safra'!$E81:INDEX('Feijão 1ª safra'!$E81:$Z81,MIN(Z$6-$E$3,22))&lt;&gt;""),'Feijão 1ª safra'!$E81:INDEX('Feijão 1ª safra'!$E81:$Z81,MIN(Z$6-$E$3,22))),0))-IF($G$2,0,IF((Z$6-$G$3)&lt;1,0,IFERROR(LOOKUP(2,1/('Feijão 1ª safra'!$E81:INDEX('Feijão 1ª safra'!$E81:$Z81,MIN(Z$6-$G$3,22))&lt;&gt;""),'Feijão 1ª safra'!$E81:INDEX('Feijão 1ª safra'!$E81:$Z81,MIN(Z$6-$G$3,22))),0)))))</f>
        <v>0</v>
      </c>
      <c r="AA83" s="27" t="n">
        <f aca="false">IF(COUNT('Feijão 1ª safra'!$E81:$Z81)=0,0,MAX(0,IF((AA$6-$E$3)&lt;1,0,IFERROR(LOOKUP(2,1/('Feijão 1ª safra'!$E81:INDEX('Feijão 1ª safra'!$E81:$Z81,MIN(AA$6-$E$3,22))&lt;&gt;""),'Feijão 1ª safra'!$E81:INDEX('Feijão 1ª safra'!$E81:$Z81,MIN(AA$6-$E$3,22))),0))-IF($G$2,0,IF((AA$6-$G$3)&lt;1,0,IFERROR(LOOKUP(2,1/('Feijão 1ª safra'!$E81:INDEX('Feijão 1ª safra'!$E81:$Z81,MIN(AA$6-$G$3,22))&lt;&gt;""),'Feijão 1ª safra'!$E81:INDEX('Feijão 1ª safra'!$E81:$Z81,MIN(AA$6-$G$3,22))),0)))))</f>
        <v>0</v>
      </c>
      <c r="AB83" s="27" t="n">
        <f aca="false">IF(COUNT('Feijão 1ª safra'!$E81:$Z81)=0,0,MAX(0,IF((AB$6-$E$3)&lt;1,0,IFERROR(LOOKUP(2,1/('Feijão 1ª safra'!$E81:INDEX('Feijão 1ª safra'!$E81:$Z81,MIN(AB$6-$E$3,22))&lt;&gt;""),'Feijão 1ª safra'!$E81:INDEX('Feijão 1ª safra'!$E81:$Z81,MIN(AB$6-$E$3,22))),0))-IF($G$2,0,IF((AB$6-$G$3)&lt;1,0,IFERROR(LOOKUP(2,1/('Feijão 1ª safra'!$E81:INDEX('Feijão 1ª safra'!$E81:$Z81,MIN(AB$6-$G$3,22))&lt;&gt;""),'Feijão 1ª safra'!$E81:INDEX('Feijão 1ª safra'!$E81:$Z81,MIN(AB$6-$G$3,22))),0)))))</f>
        <v>0</v>
      </c>
      <c r="AC83" s="27" t="n">
        <f aca="false">IF(COUNT('Feijão 1ª safra'!$E81:$Z81)=0,0,MAX(0,IF((AC$6-$E$3)&lt;1,0,IFERROR(LOOKUP(2,1/('Feijão 1ª safra'!$E81:INDEX('Feijão 1ª safra'!$E81:$Z81,MIN(AC$6-$E$3,22))&lt;&gt;""),'Feijão 1ª safra'!$E81:INDEX('Feijão 1ª safra'!$E81:$Z81,MIN(AC$6-$E$3,22))),0))-IF($G$2,0,IF((AC$6-$G$3)&lt;1,0,IFERROR(LOOKUP(2,1/('Feijão 1ª safra'!$E81:INDEX('Feijão 1ª safra'!$E81:$Z81,MIN(AC$6-$G$3,22))&lt;&gt;""),'Feijão 1ª safra'!$E81:INDEX('Feijão 1ª safra'!$E81:$Z81,MIN(AC$6-$G$3,22))),0)))))</f>
        <v>0</v>
      </c>
      <c r="AD83" s="27" t="n">
        <f aca="false">IF(COUNT('Feijão 1ª safra'!$E81:$Z81)=0,0,MAX(0,IF((AD$6-$E$3)&lt;1,0,IFERROR(LOOKUP(2,1/('Feijão 1ª safra'!$E81:INDEX('Feijão 1ª safra'!$E81:$Z81,MIN(AD$6-$E$3,22))&lt;&gt;""),'Feijão 1ª safra'!$E81:INDEX('Feijão 1ª safra'!$E81:$Z81,MIN(AD$6-$E$3,22))),0))-IF($G$2,0,IF((AD$6-$G$3)&lt;1,0,IFERROR(LOOKUP(2,1/('Feijão 1ª safra'!$E81:INDEX('Feijão 1ª safra'!$E81:$Z81,MIN(AD$6-$G$3,22))&lt;&gt;""),'Feijão 1ª safra'!$E81:INDEX('Feijão 1ª safra'!$E81:$Z81,MIN(AD$6-$G$3,22))),0)))))</f>
        <v>0</v>
      </c>
      <c r="AE83" s="27" t="n">
        <f aca="false">IF(COUNT('Feijão 1ª safra'!$E81:$Z81)=0,0,MAX(0,IF((AE$6-$E$3)&lt;1,0,IFERROR(LOOKUP(2,1/('Feijão 1ª safra'!$E81:INDEX('Feijão 1ª safra'!$E81:$Z81,MIN(AE$6-$E$3,22))&lt;&gt;""),'Feijão 1ª safra'!$E81:INDEX('Feijão 1ª safra'!$E81:$Z81,MIN(AE$6-$E$3,22))),0))-IF($G$2,0,IF((AE$6-$G$3)&lt;1,0,IFERROR(LOOKUP(2,1/('Feijão 1ª safra'!$E81:INDEX('Feijão 1ª safra'!$E81:$Z81,MIN(AE$6-$G$3,22))&lt;&gt;""),'Feijão 1ª safra'!$E81:INDEX('Feijão 1ª safra'!$E81:$Z81,MIN(AE$6-$G$3,22))),0)))))</f>
        <v>0</v>
      </c>
      <c r="AF83" s="27" t="n">
        <f aca="false">IF(COUNT('Feijão 1ª safra'!$E81:$Z81)=0,0,MAX(0,IF((AF$6-$E$3)&lt;1,0,IFERROR(LOOKUP(2,1/('Feijão 1ª safra'!$E81:INDEX('Feijão 1ª safra'!$E81:$Z81,MIN(AF$6-$E$3,22))&lt;&gt;""),'Feijão 1ª safra'!$E81:INDEX('Feijão 1ª safra'!$E81:$Z81,MIN(AF$6-$E$3,22))),0))-IF($G$2,0,IF((AF$6-$G$3)&lt;1,0,IFERROR(LOOKUP(2,1/('Feijão 1ª safra'!$E81:INDEX('Feijão 1ª safra'!$E81:$Z81,MIN(AF$6-$G$3,22))&lt;&gt;""),'Feijão 1ª safra'!$E81:INDEX('Feijão 1ª safra'!$E81:$Z81,MIN(AF$6-$G$3,22))),0)))))</f>
        <v>0</v>
      </c>
      <c r="AG83" s="27" t="n">
        <f aca="false">IF(COUNT('Feijão 1ª safra'!$E81:$Z81)=0,0,MAX(0,IF((AG$6-$E$3)&lt;1,0,IFERROR(LOOKUP(2,1/('Feijão 1ª safra'!$E81:INDEX('Feijão 1ª safra'!$E81:$Z81,MIN(AG$6-$E$3,22))&lt;&gt;""),'Feijão 1ª safra'!$E81:INDEX('Feijão 1ª safra'!$E81:$Z81,MIN(AG$6-$E$3,22))),0))-IF($G$2,0,IF((AG$6-$G$3)&lt;1,0,IFERROR(LOOKUP(2,1/('Feijão 1ª safra'!$E81:INDEX('Feijão 1ª safra'!$E81:$Z81,MIN(AG$6-$G$3,22))&lt;&gt;""),'Feijão 1ª safra'!$E81:INDEX('Feijão 1ª safra'!$E81:$Z81,MIN(AG$6-$G$3,22))),0)))))</f>
        <v>0</v>
      </c>
      <c r="AH83" s="27" t="n">
        <f aca="false">IF(COUNT('Feijão 1ª safra'!$E81:$Z81)=0,0,MAX(0,IF((AH$6-$E$3)&lt;1,0,IFERROR(LOOKUP(2,1/('Feijão 1ª safra'!$E81:INDEX('Feijão 1ª safra'!$E81:$Z81,MIN(AH$6-$E$3,22))&lt;&gt;""),'Feijão 1ª safra'!$E81:INDEX('Feijão 1ª safra'!$E81:$Z81,MIN(AH$6-$E$3,22))),0))-IF($G$2,0,IF((AH$6-$G$3)&lt;1,0,IFERROR(LOOKUP(2,1/('Feijão 1ª safra'!$E81:INDEX('Feijão 1ª safra'!$E81:$Z81,MIN(AH$6-$G$3,22))&lt;&gt;""),'Feijão 1ª safra'!$E81:INDEX('Feijão 1ª safra'!$E81:$Z81,MIN(AH$6-$G$3,22))),0)))))</f>
        <v>0</v>
      </c>
      <c r="AI83" s="27" t="n">
        <f aca="false">IF(COUNT('Feijão 1ª safra'!$E81:$Z81)=0,0,MAX(0,IF((AI$6-$E$3)&lt;1,0,IFERROR(LOOKUP(2,1/('Feijão 1ª safra'!$E81:INDEX('Feijão 1ª safra'!$E81:$Z81,MIN(AI$6-$E$3,22))&lt;&gt;""),'Feijão 1ª safra'!$E81:INDEX('Feijão 1ª safra'!$E81:$Z81,MIN(AI$6-$E$3,22))),0))-IF($G$2,0,IF((AI$6-$G$3)&lt;1,0,IFERROR(LOOKUP(2,1/('Feijão 1ª safra'!$E81:INDEX('Feijão 1ª safra'!$E81:$Z81,MIN(AI$6-$G$3,22))&lt;&gt;""),'Feijão 1ª safra'!$E81:INDEX('Feijão 1ª safra'!$E81:$Z81,MIN(AI$6-$G$3,22))),0)))))</f>
        <v>0</v>
      </c>
      <c r="AJ83" s="27" t="n">
        <f aca="false">IF(COUNT('Feijão 1ª safra'!$E81:$Z81)=0,0,MAX(0,IF((AJ$6-$E$3)&lt;1,0,IFERROR(LOOKUP(2,1/('Feijão 1ª safra'!$E81:INDEX('Feijão 1ª safra'!$E81:$Z81,MIN(AJ$6-$E$3,22))&lt;&gt;""),'Feijão 1ª safra'!$E81:INDEX('Feijão 1ª safra'!$E81:$Z81,MIN(AJ$6-$E$3,22))),0))-IF($G$2,0,IF((AJ$6-$G$3)&lt;1,0,IFERROR(LOOKUP(2,1/('Feijão 1ª safra'!$E81:INDEX('Feijão 1ª safra'!$E81:$Z81,MIN(AJ$6-$G$3,22))&lt;&gt;""),'Feijão 1ª safra'!$E81:INDEX('Feijão 1ª safra'!$E81:$Z81,MIN(AJ$6-$G$3,22))),0)))))</f>
        <v>0</v>
      </c>
      <c r="AK83" s="27" t="n">
        <f aca="false">IF(COUNT('Feijão 1ª safra'!$E81:$Z81)=0,0,MAX(0,IF((AK$6-$E$3)&lt;1,0,IFERROR(LOOKUP(2,1/('Feijão 1ª safra'!$E81:INDEX('Feijão 1ª safra'!$E81:$Z81,MIN(AK$6-$E$3,22))&lt;&gt;""),'Feijão 1ª safra'!$E81:INDEX('Feijão 1ª safra'!$E81:$Z81,MIN(AK$6-$E$3,22))),0))-IF($G$2,0,IF((AK$6-$G$3)&lt;1,0,IFERROR(LOOKUP(2,1/('Feijão 1ª safra'!$E81:INDEX('Feijão 1ª safra'!$E81:$Z81,MIN(AK$6-$G$3,22))&lt;&gt;""),'Feijão 1ª safra'!$E81:INDEX('Feijão 1ª safra'!$E81:$Z81,MIN(AK$6-$G$3,22))),0)))))</f>
        <v>0</v>
      </c>
      <c r="AL83" s="27" t="n">
        <f aca="false">IF(COUNT('Feijão 1ª safra'!$E81:$Z81)=0,0,MAX(0,IF((AL$6-$E$3)&lt;1,0,IFERROR(LOOKUP(2,1/('Feijão 1ª safra'!$E81:INDEX('Feijão 1ª safra'!$E81:$Z81,MIN(AL$6-$E$3,22))&lt;&gt;""),'Feijão 1ª safra'!$E81:INDEX('Feijão 1ª safra'!$E81:$Z81,MIN(AL$6-$E$3,22))),0))-IF($G$2,0,IF((AL$6-$G$3)&lt;1,0,IFERROR(LOOKUP(2,1/('Feijão 1ª safra'!$E81:INDEX('Feijão 1ª safra'!$E81:$Z81,MIN(AL$6-$G$3,22))&lt;&gt;""),'Feijão 1ª safra'!$E81:INDEX('Feijão 1ª safra'!$E81:$Z81,MIN(AL$6-$G$3,22))),0)))))</f>
        <v>0</v>
      </c>
      <c r="AM83" s="27" t="n">
        <f aca="false">IF(COUNT('Feijão 1ª safra'!$E81:$Z81)=0,0,MAX(0,IF((AM$6-$E$3)&lt;1,0,IFERROR(LOOKUP(2,1/('Feijão 1ª safra'!$E81:INDEX('Feijão 1ª safra'!$E81:$Z81,MIN(AM$6-$E$3,22))&lt;&gt;""),'Feijão 1ª safra'!$E81:INDEX('Feijão 1ª safra'!$E81:$Z81,MIN(AM$6-$E$3,22))),0))-IF($G$2,0,IF((AM$6-$G$3)&lt;1,0,IFERROR(LOOKUP(2,1/('Feijão 1ª safra'!$E81:INDEX('Feijão 1ª safra'!$E81:$Z81,MIN(AM$6-$G$3,22))&lt;&gt;""),'Feijão 1ª safra'!$E81:INDEX('Feijão 1ª safra'!$E81:$Z81,MIN(AM$6-$G$3,22))),0)))))</f>
        <v>0</v>
      </c>
      <c r="AN83" s="27" t="n">
        <f aca="false">IF(COUNT('Feijão 1ª safra'!$E81:$Z81)=0,0,MAX(0,IF((AN$6-$E$3)&lt;1,0,IFERROR(LOOKUP(2,1/('Feijão 1ª safra'!$E81:INDEX('Feijão 1ª safra'!$E81:$Z81,MIN(AN$6-$E$3,22))&lt;&gt;""),'Feijão 1ª safra'!$E81:INDEX('Feijão 1ª safra'!$E81:$Z81,MIN(AN$6-$E$3,22))),0))-IF($G$2,0,IF((AN$6-$G$3)&lt;1,0,IFERROR(LOOKUP(2,1/('Feijão 1ª safra'!$E81:INDEX('Feijão 1ª safra'!$E81:$Z81,MIN(AN$6-$G$3,22))&lt;&gt;""),'Feijão 1ª safra'!$E81:INDEX('Feijão 1ª safra'!$E81:$Z81,MIN(AN$6-$G$3,22))),0)))))</f>
        <v>0</v>
      </c>
      <c r="AO83" s="27" t="n">
        <f aca="false">IF(COUNT('Feijão 1ª safra'!$E81:$Z81)=0,0,MAX(0,IF((AO$6-$E$3)&lt;1,0,IFERROR(LOOKUP(2,1/('Feijão 1ª safra'!$E81:INDEX('Feijão 1ª safra'!$E81:$Z81,MIN(AO$6-$E$3,22))&lt;&gt;""),'Feijão 1ª safra'!$E81:INDEX('Feijão 1ª safra'!$E81:$Z81,MIN(AO$6-$E$3,22))),0))-IF($G$2,0,IF((AO$6-$G$3)&lt;1,0,IFERROR(LOOKUP(2,1/('Feijão 1ª safra'!$E81:INDEX('Feijão 1ª safra'!$E81:$Z81,MIN(AO$6-$G$3,22))&lt;&gt;""),'Feijão 1ª safra'!$E81:INDEX('Feijão 1ª safra'!$E81:$Z81,MIN(AO$6-$G$3,22))),0)))))</f>
        <v>0</v>
      </c>
      <c r="AP83" s="27" t="n">
        <f aca="false">IF(COUNT('Feijão 1ª safra'!$E81:$Z81)=0,0,MAX(0,IF((AP$6-$E$3)&lt;1,0,IFERROR(LOOKUP(2,1/('Feijão 1ª safra'!$E81:INDEX('Feijão 1ª safra'!$E81:$Z81,MIN(AP$6-$E$3,22))&lt;&gt;""),'Feijão 1ª safra'!$E81:INDEX('Feijão 1ª safra'!$E81:$Z81,MIN(AP$6-$E$3,22))),0))-IF($G$2,0,IF((AP$6-$G$3)&lt;1,0,IFERROR(LOOKUP(2,1/('Feijão 1ª safra'!$E81:INDEX('Feijão 1ª safra'!$E81:$Z81,MIN(AP$6-$G$3,22))&lt;&gt;""),'Feijão 1ª safra'!$E81:INDEX('Feijão 1ª safra'!$E81:$Z81,MIN(AP$6-$G$3,22))),0)))))</f>
        <v>0</v>
      </c>
      <c r="AQ83" s="27" t="n">
        <f aca="false">IF(COUNT('Feijão 1ª safra'!$E81:$Z81)=0,0,MAX(0,IF((AQ$6-$E$3)&lt;1,0,IFERROR(LOOKUP(2,1/('Feijão 1ª safra'!$E81:INDEX('Feijão 1ª safra'!$E81:$Z81,MIN(AQ$6-$E$3,22))&lt;&gt;""),'Feijão 1ª safra'!$E81:INDEX('Feijão 1ª safra'!$E81:$Z81,MIN(AQ$6-$E$3,22))),0))-IF($G$2,0,IF((AQ$6-$G$3)&lt;1,0,IFERROR(LOOKUP(2,1/('Feijão 1ª safra'!$E81:INDEX('Feijão 1ª safra'!$E81:$Z81,MIN(AQ$6-$G$3,22))&lt;&gt;""),'Feijão 1ª safra'!$E81:INDEX('Feijão 1ª safra'!$E81:$Z81,MIN(AQ$6-$G$3,22))),0)))))</f>
        <v>0</v>
      </c>
      <c r="AR83" s="27" t="n">
        <f aca="false">IF(COUNT('Feijão 1ª safra'!$E81:$Z81)=0,0,MAX(0,IF((AR$6-$E$3)&lt;1,0,IFERROR(LOOKUP(2,1/('Feijão 1ª safra'!$E81:INDEX('Feijão 1ª safra'!$E81:$Z81,MIN(AR$6-$E$3,22))&lt;&gt;""),'Feijão 1ª safra'!$E81:INDEX('Feijão 1ª safra'!$E81:$Z81,MIN(AR$6-$E$3,22))),0))-IF($G$2,0,IF((AR$6-$G$3)&lt;1,0,IFERROR(LOOKUP(2,1/('Feijão 1ª safra'!$E81:INDEX('Feijão 1ª safra'!$E81:$Z81,MIN(AR$6-$G$3,22))&lt;&gt;""),'Feijão 1ª safra'!$E81:INDEX('Feijão 1ª safra'!$E81:$Z81,MIN(AR$6-$G$3,22))),0)))))</f>
        <v>0</v>
      </c>
      <c r="AS83" s="27" t="n">
        <f aca="false">IF(COUNT('Feijão 1ª safra'!$E81:$Z81)=0,0,MAX(0,IF((AS$6-$E$3)&lt;1,0,IFERROR(LOOKUP(2,1/('Feijão 1ª safra'!$E81:INDEX('Feijão 1ª safra'!$E81:$Z81,MIN(AS$6-$E$3,22))&lt;&gt;""),'Feijão 1ª safra'!$E81:INDEX('Feijão 1ª safra'!$E81:$Z81,MIN(AS$6-$E$3,22))),0))-IF($G$2,0,IF((AS$6-$G$3)&lt;1,0,IFERROR(LOOKUP(2,1/('Feijão 1ª safra'!$E81:INDEX('Feijão 1ª safra'!$E81:$Z81,MIN(AS$6-$G$3,22))&lt;&gt;""),'Feijão 1ª safra'!$E81:INDEX('Feijão 1ª safra'!$E81:$Z81,MIN(AS$6-$G$3,22))),0)))))</f>
        <v>0</v>
      </c>
      <c r="AT83" s="27" t="n">
        <f aca="false">IF(COUNT('Feijão 1ª safra'!$E81:$Z81)=0,0,MAX(0,IF((AT$6-$E$3)&lt;1,0,IFERROR(LOOKUP(2,1/('Feijão 1ª safra'!$E81:INDEX('Feijão 1ª safra'!$E81:$Z81,MIN(AT$6-$E$3,22))&lt;&gt;""),'Feijão 1ª safra'!$E81:INDEX('Feijão 1ª safra'!$E81:$Z81,MIN(AT$6-$E$3,22))),0))-IF($G$2,0,IF((AT$6-$G$3)&lt;1,0,IFERROR(LOOKUP(2,1/('Feijão 1ª safra'!$E81:INDEX('Feijão 1ª safra'!$E81:$Z81,MIN(AT$6-$G$3,22))&lt;&gt;""),'Feijão 1ª safra'!$E81:INDEX('Feijão 1ª safra'!$E81:$Z81,MIN(AT$6-$G$3,22))),0)))))</f>
        <v>0</v>
      </c>
      <c r="AU83" s="27" t="n">
        <f aca="false">IF(COUNT('Feijão 1ª safra'!$E81:$Z81)=0,0,MAX(0,IF((AU$6-$E$3)&lt;1,0,IFERROR(LOOKUP(2,1/('Feijão 1ª safra'!$E81:INDEX('Feijão 1ª safra'!$E81:$Z81,MIN(AU$6-$E$3,22))&lt;&gt;""),'Feijão 1ª safra'!$E81:INDEX('Feijão 1ª safra'!$E81:$Z81,MIN(AU$6-$E$3,22))),0))-IF($G$2,0,IF((AU$6-$G$3)&lt;1,0,IFERROR(LOOKUP(2,1/('Feijão 1ª safra'!$E81:INDEX('Feijão 1ª safra'!$E81:$Z81,MIN(AU$6-$G$3,22))&lt;&gt;""),'Feijão 1ª safra'!$E81:INDEX('Feijão 1ª safra'!$E81:$Z81,MIN(AU$6-$G$3,22))),0)))))</f>
        <v>0</v>
      </c>
      <c r="AV83" s="27" t="n">
        <f aca="false">IF(COUNT('Feijão 1ª safra'!$E81:$Z81)=0,0,MAX(0,IF((AV$6-$E$3)&lt;1,0,IFERROR(LOOKUP(2,1/('Feijão 1ª safra'!$E81:INDEX('Feijão 1ª safra'!$E81:$Z81,MIN(AV$6-$E$3,22))&lt;&gt;""),'Feijão 1ª safra'!$E81:INDEX('Feijão 1ª safra'!$E81:$Z81,MIN(AV$6-$E$3,22))),0))-IF($G$2,0,IF((AV$6-$G$3)&lt;1,0,IFERROR(LOOKUP(2,1/('Feijão 1ª safra'!$E81:INDEX('Feijão 1ª safra'!$E81:$Z81,MIN(AV$6-$G$3,22))&lt;&gt;""),'Feijão 1ª safra'!$E81:INDEX('Feijão 1ª safra'!$E81:$Z81,MIN(AV$6-$G$3,22))),0)))))</f>
        <v>0</v>
      </c>
      <c r="AW83" s="27" t="n">
        <f aca="false">IF(COUNT('Feijão 1ª safra'!$E81:$Z81)=0,0,MAX(0,IF((AW$6-$E$3)&lt;1,0,IFERROR(LOOKUP(2,1/('Feijão 1ª safra'!$E81:INDEX('Feijão 1ª safra'!$E81:$Z81,MIN(AW$6-$E$3,22))&lt;&gt;""),'Feijão 1ª safra'!$E81:INDEX('Feijão 1ª safra'!$E81:$Z81,MIN(AW$6-$E$3,22))),0))-IF($G$2,0,IF((AW$6-$G$3)&lt;1,0,IFERROR(LOOKUP(2,1/('Feijão 1ª safra'!$E81:INDEX('Feijão 1ª safra'!$E81:$Z81,MIN(AW$6-$G$3,22))&lt;&gt;""),'Feijão 1ª safra'!$E81:INDEX('Feijão 1ª safra'!$E81:$Z81,MIN(AW$6-$G$3,22))),0)))))</f>
        <v>0</v>
      </c>
      <c r="AX83" s="27" t="n">
        <f aca="false">IF(COUNT('Feijão 1ª safra'!$E81:$Z81)=0,0,MAX(0,IF((AX$6-$E$3)&lt;1,0,IFERROR(LOOKUP(2,1/('Feijão 1ª safra'!$E81:INDEX('Feijão 1ª safra'!$E81:$Z81,MIN(AX$6-$E$3,22))&lt;&gt;""),'Feijão 1ª safra'!$E81:INDEX('Feijão 1ª safra'!$E81:$Z81,MIN(AX$6-$E$3,22))),0))-IF($G$2,0,IF((AX$6-$G$3)&lt;1,0,IFERROR(LOOKUP(2,1/('Feijão 1ª safra'!$E81:INDEX('Feijão 1ª safra'!$E81:$Z81,MIN(AX$6-$G$3,22))&lt;&gt;""),'Feijão 1ª safra'!$E81:INDEX('Feijão 1ª safra'!$E81:$Z81,MIN(AX$6-$G$3,22))),0)))))</f>
        <v>0</v>
      </c>
      <c r="AY83" s="27" t="n">
        <f aca="false">IF(COUNT('Feijão 1ª safra'!$E81:$Z81)=0,0,MAX(0,IF((AY$6-$E$3)&lt;1,0,IFERROR(LOOKUP(2,1/('Feijão 1ª safra'!$E81:INDEX('Feijão 1ª safra'!$E81:$Z81,MIN(AY$6-$E$3,22))&lt;&gt;""),'Feijão 1ª safra'!$E81:INDEX('Feijão 1ª safra'!$E81:$Z81,MIN(AY$6-$E$3,22))),0))-IF($G$2,0,IF((AY$6-$G$3)&lt;1,0,IFERROR(LOOKUP(2,1/('Feijão 1ª safra'!$E81:INDEX('Feijão 1ª safra'!$E81:$Z81,MIN(AY$6-$G$3,22))&lt;&gt;""),'Feijão 1ª safra'!$E81:INDEX('Feijão 1ª safra'!$E81:$Z81,MIN(AY$6-$G$3,22))),0)))))</f>
        <v>0</v>
      </c>
      <c r="AZ83" s="27" t="n">
        <f aca="false">IF(COUNT('Feijão 1ª safra'!$E81:$Z81)=0,0,MAX(0,IF((AZ$6-$E$3)&lt;1,0,IFERROR(LOOKUP(2,1/('Feijão 1ª safra'!$E81:INDEX('Feijão 1ª safra'!$E81:$Z81,MIN(AZ$6-$E$3,22))&lt;&gt;""),'Feijão 1ª safra'!$E81:INDEX('Feijão 1ª safra'!$E81:$Z81,MIN(AZ$6-$E$3,22))),0))-IF($G$2,0,IF((AZ$6-$G$3)&lt;1,0,IFERROR(LOOKUP(2,1/('Feijão 1ª safra'!$E81:INDEX('Feijão 1ª safra'!$E81:$Z81,MIN(AZ$6-$G$3,22))&lt;&gt;""),'Feijão 1ª safra'!$E81:INDEX('Feijão 1ª safra'!$E81:$Z81,MIN(AZ$6-$G$3,22))),0)))))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IF(COUNT('Feijão 1ª safra'!$E82:$Z82)&gt;0,N('Feijão 1ª safra'!$D82),0)</f>
        <v>0</v>
      </c>
      <c r="E84" s="27" t="n">
        <f aca="false">IF(COUNT('Feijão 1ª safra'!$E82:$Z82)=0,0,MAX(0,IF((E$6-$E$3)&lt;1,0,IFERROR(LOOKUP(2,1/('Feijão 1ª safra'!$E82:INDEX('Feijão 1ª safra'!$E82:$Z82,MIN(E$6-$E$3,22))&lt;&gt;""),'Feijão 1ª safra'!$E82:INDEX('Feijão 1ª safra'!$E82:$Z82,MIN(E$6-$E$3,22))),0))-IF($G$2,0,IF((E$6-$G$3)&lt;1,0,IFERROR(LOOKUP(2,1/('Feijão 1ª safra'!$E82:INDEX('Feijão 1ª safra'!$E82:$Z82,MIN(E$6-$G$3,22))&lt;&gt;""),'Feijão 1ª safra'!$E82:INDEX('Feijão 1ª safra'!$E82:$Z82,MIN(E$6-$G$3,22))),0)))))</f>
        <v>0</v>
      </c>
      <c r="F84" s="27" t="n">
        <f aca="false">IF(COUNT('Feijão 1ª safra'!$E82:$Z82)=0,0,MAX(0,IF((F$6-$E$3)&lt;1,0,IFERROR(LOOKUP(2,1/('Feijão 1ª safra'!$E82:INDEX('Feijão 1ª safra'!$E82:$Z82,MIN(F$6-$E$3,22))&lt;&gt;""),'Feijão 1ª safra'!$E82:INDEX('Feijão 1ª safra'!$E82:$Z82,MIN(F$6-$E$3,22))),0))-IF($G$2,0,IF((F$6-$G$3)&lt;1,0,IFERROR(LOOKUP(2,1/('Feijão 1ª safra'!$E82:INDEX('Feijão 1ª safra'!$E82:$Z82,MIN(F$6-$G$3,22))&lt;&gt;""),'Feijão 1ª safra'!$E82:INDEX('Feijão 1ª safra'!$E82:$Z82,MIN(F$6-$G$3,22))),0)))))</f>
        <v>0</v>
      </c>
      <c r="G84" s="27" t="n">
        <f aca="false">IF(COUNT('Feijão 1ª safra'!$E82:$Z82)=0,0,MAX(0,IF((G$6-$E$3)&lt;1,0,IFERROR(LOOKUP(2,1/('Feijão 1ª safra'!$E82:INDEX('Feijão 1ª safra'!$E82:$Z82,MIN(G$6-$E$3,22))&lt;&gt;""),'Feijão 1ª safra'!$E82:INDEX('Feijão 1ª safra'!$E82:$Z82,MIN(G$6-$E$3,22))),0))-IF($G$2,0,IF((G$6-$G$3)&lt;1,0,IFERROR(LOOKUP(2,1/('Feijão 1ª safra'!$E82:INDEX('Feijão 1ª safra'!$E82:$Z82,MIN(G$6-$G$3,22))&lt;&gt;""),'Feijão 1ª safra'!$E82:INDEX('Feijão 1ª safra'!$E82:$Z82,MIN(G$6-$G$3,22))),0)))))</f>
        <v>0</v>
      </c>
      <c r="H84" s="27" t="n">
        <f aca="false">IF(COUNT('Feijão 1ª safra'!$E82:$Z82)=0,0,MAX(0,IF((H$6-$E$3)&lt;1,0,IFERROR(LOOKUP(2,1/('Feijão 1ª safra'!$E82:INDEX('Feijão 1ª safra'!$E82:$Z82,MIN(H$6-$E$3,22))&lt;&gt;""),'Feijão 1ª safra'!$E82:INDEX('Feijão 1ª safra'!$E82:$Z82,MIN(H$6-$E$3,22))),0))-IF($G$2,0,IF((H$6-$G$3)&lt;1,0,IFERROR(LOOKUP(2,1/('Feijão 1ª safra'!$E82:INDEX('Feijão 1ª safra'!$E82:$Z82,MIN(H$6-$G$3,22))&lt;&gt;""),'Feijão 1ª safra'!$E82:INDEX('Feijão 1ª safra'!$E82:$Z82,MIN(H$6-$G$3,22))),0)))))</f>
        <v>0</v>
      </c>
      <c r="I84" s="27" t="n">
        <f aca="false">IF(COUNT('Feijão 1ª safra'!$E82:$Z82)=0,0,MAX(0,IF((I$6-$E$3)&lt;1,0,IFERROR(LOOKUP(2,1/('Feijão 1ª safra'!$E82:INDEX('Feijão 1ª safra'!$E82:$Z82,MIN(I$6-$E$3,22))&lt;&gt;""),'Feijão 1ª safra'!$E82:INDEX('Feijão 1ª safra'!$E82:$Z82,MIN(I$6-$E$3,22))),0))-IF($G$2,0,IF((I$6-$G$3)&lt;1,0,IFERROR(LOOKUP(2,1/('Feijão 1ª safra'!$E82:INDEX('Feijão 1ª safra'!$E82:$Z82,MIN(I$6-$G$3,22))&lt;&gt;""),'Feijão 1ª safra'!$E82:INDEX('Feijão 1ª safra'!$E82:$Z82,MIN(I$6-$G$3,22))),0)))))</f>
        <v>0</v>
      </c>
      <c r="J84" s="27" t="n">
        <f aca="false">IF(COUNT('Feijão 1ª safra'!$E82:$Z82)=0,0,MAX(0,IF((J$6-$E$3)&lt;1,0,IFERROR(LOOKUP(2,1/('Feijão 1ª safra'!$E82:INDEX('Feijão 1ª safra'!$E82:$Z82,MIN(J$6-$E$3,22))&lt;&gt;""),'Feijão 1ª safra'!$E82:INDEX('Feijão 1ª safra'!$E82:$Z82,MIN(J$6-$E$3,22))),0))-IF($G$2,0,IF((J$6-$G$3)&lt;1,0,IFERROR(LOOKUP(2,1/('Feijão 1ª safra'!$E82:INDEX('Feijão 1ª safra'!$E82:$Z82,MIN(J$6-$G$3,22))&lt;&gt;""),'Feijão 1ª safra'!$E82:INDEX('Feijão 1ª safra'!$E82:$Z82,MIN(J$6-$G$3,22))),0)))))</f>
        <v>0</v>
      </c>
      <c r="K84" s="27" t="n">
        <f aca="false">IF(COUNT('Feijão 1ª safra'!$E82:$Z82)=0,0,MAX(0,IF((K$6-$E$3)&lt;1,0,IFERROR(LOOKUP(2,1/('Feijão 1ª safra'!$E82:INDEX('Feijão 1ª safra'!$E82:$Z82,MIN(K$6-$E$3,22))&lt;&gt;""),'Feijão 1ª safra'!$E82:INDEX('Feijão 1ª safra'!$E82:$Z82,MIN(K$6-$E$3,22))),0))-IF($G$2,0,IF((K$6-$G$3)&lt;1,0,IFERROR(LOOKUP(2,1/('Feijão 1ª safra'!$E82:INDEX('Feijão 1ª safra'!$E82:$Z82,MIN(K$6-$G$3,22))&lt;&gt;""),'Feijão 1ª safra'!$E82:INDEX('Feijão 1ª safra'!$E82:$Z82,MIN(K$6-$G$3,22))),0)))))</f>
        <v>0</v>
      </c>
      <c r="L84" s="27" t="n">
        <f aca="false">IF(COUNT('Feijão 1ª safra'!$E82:$Z82)=0,0,MAX(0,IF((L$6-$E$3)&lt;1,0,IFERROR(LOOKUP(2,1/('Feijão 1ª safra'!$E82:INDEX('Feijão 1ª safra'!$E82:$Z82,MIN(L$6-$E$3,22))&lt;&gt;""),'Feijão 1ª safra'!$E82:INDEX('Feijão 1ª safra'!$E82:$Z82,MIN(L$6-$E$3,22))),0))-IF($G$2,0,IF((L$6-$G$3)&lt;1,0,IFERROR(LOOKUP(2,1/('Feijão 1ª safra'!$E82:INDEX('Feijão 1ª safra'!$E82:$Z82,MIN(L$6-$G$3,22))&lt;&gt;""),'Feijão 1ª safra'!$E82:INDEX('Feijão 1ª safra'!$E82:$Z82,MIN(L$6-$G$3,22))),0)))))</f>
        <v>0</v>
      </c>
      <c r="M84" s="27" t="n">
        <f aca="false">IF(COUNT('Feijão 1ª safra'!$E82:$Z82)=0,0,MAX(0,IF((M$6-$E$3)&lt;1,0,IFERROR(LOOKUP(2,1/('Feijão 1ª safra'!$E82:INDEX('Feijão 1ª safra'!$E82:$Z82,MIN(M$6-$E$3,22))&lt;&gt;""),'Feijão 1ª safra'!$E82:INDEX('Feijão 1ª safra'!$E82:$Z82,MIN(M$6-$E$3,22))),0))-IF($G$2,0,IF((M$6-$G$3)&lt;1,0,IFERROR(LOOKUP(2,1/('Feijão 1ª safra'!$E82:INDEX('Feijão 1ª safra'!$E82:$Z82,MIN(M$6-$G$3,22))&lt;&gt;""),'Feijão 1ª safra'!$E82:INDEX('Feijão 1ª safra'!$E82:$Z82,MIN(M$6-$G$3,22))),0)))))</f>
        <v>0</v>
      </c>
      <c r="N84" s="27" t="n">
        <f aca="false">IF(COUNT('Feijão 1ª safra'!$E82:$Z82)=0,0,MAX(0,IF((N$6-$E$3)&lt;1,0,IFERROR(LOOKUP(2,1/('Feijão 1ª safra'!$E82:INDEX('Feijão 1ª safra'!$E82:$Z82,MIN(N$6-$E$3,22))&lt;&gt;""),'Feijão 1ª safra'!$E82:INDEX('Feijão 1ª safra'!$E82:$Z82,MIN(N$6-$E$3,22))),0))-IF($G$2,0,IF((N$6-$G$3)&lt;1,0,IFERROR(LOOKUP(2,1/('Feijão 1ª safra'!$E82:INDEX('Feijão 1ª safra'!$E82:$Z82,MIN(N$6-$G$3,22))&lt;&gt;""),'Feijão 1ª safra'!$E82:INDEX('Feijão 1ª safra'!$E82:$Z82,MIN(N$6-$G$3,22))),0)))))</f>
        <v>0</v>
      </c>
      <c r="O84" s="27" t="n">
        <f aca="false">IF(COUNT('Feijão 1ª safra'!$E82:$Z82)=0,0,MAX(0,IF((O$6-$E$3)&lt;1,0,IFERROR(LOOKUP(2,1/('Feijão 1ª safra'!$E82:INDEX('Feijão 1ª safra'!$E82:$Z82,MIN(O$6-$E$3,22))&lt;&gt;""),'Feijão 1ª safra'!$E82:INDEX('Feijão 1ª safra'!$E82:$Z82,MIN(O$6-$E$3,22))),0))-IF($G$2,0,IF((O$6-$G$3)&lt;1,0,IFERROR(LOOKUP(2,1/('Feijão 1ª safra'!$E82:INDEX('Feijão 1ª safra'!$E82:$Z82,MIN(O$6-$G$3,22))&lt;&gt;""),'Feijão 1ª safra'!$E82:INDEX('Feijão 1ª safra'!$E82:$Z82,MIN(O$6-$G$3,22))),0)))))</f>
        <v>0</v>
      </c>
      <c r="P84" s="27" t="n">
        <f aca="false">IF(COUNT('Feijão 1ª safra'!$E82:$Z82)=0,0,MAX(0,IF((P$6-$E$3)&lt;1,0,IFERROR(LOOKUP(2,1/('Feijão 1ª safra'!$E82:INDEX('Feijão 1ª safra'!$E82:$Z82,MIN(P$6-$E$3,22))&lt;&gt;""),'Feijão 1ª safra'!$E82:INDEX('Feijão 1ª safra'!$E82:$Z82,MIN(P$6-$E$3,22))),0))-IF($G$2,0,IF((P$6-$G$3)&lt;1,0,IFERROR(LOOKUP(2,1/('Feijão 1ª safra'!$E82:INDEX('Feijão 1ª safra'!$E82:$Z82,MIN(P$6-$G$3,22))&lt;&gt;""),'Feijão 1ª safra'!$E82:INDEX('Feijão 1ª safra'!$E82:$Z82,MIN(P$6-$G$3,22))),0)))))</f>
        <v>0</v>
      </c>
      <c r="Q84" s="27" t="n">
        <f aca="false">IF(COUNT('Feijão 1ª safra'!$E82:$Z82)=0,0,MAX(0,IF((Q$6-$E$3)&lt;1,0,IFERROR(LOOKUP(2,1/('Feijão 1ª safra'!$E82:INDEX('Feijão 1ª safra'!$E82:$Z82,MIN(Q$6-$E$3,22))&lt;&gt;""),'Feijão 1ª safra'!$E82:INDEX('Feijão 1ª safra'!$E82:$Z82,MIN(Q$6-$E$3,22))),0))-IF($G$2,0,IF((Q$6-$G$3)&lt;1,0,IFERROR(LOOKUP(2,1/('Feijão 1ª safra'!$E82:INDEX('Feijão 1ª safra'!$E82:$Z82,MIN(Q$6-$G$3,22))&lt;&gt;""),'Feijão 1ª safra'!$E82:INDEX('Feijão 1ª safra'!$E82:$Z82,MIN(Q$6-$G$3,22))),0)))))</f>
        <v>0</v>
      </c>
      <c r="R84" s="27" t="n">
        <f aca="false">IF(COUNT('Feijão 1ª safra'!$E82:$Z82)=0,0,MAX(0,IF((R$6-$E$3)&lt;1,0,IFERROR(LOOKUP(2,1/('Feijão 1ª safra'!$E82:INDEX('Feijão 1ª safra'!$E82:$Z82,MIN(R$6-$E$3,22))&lt;&gt;""),'Feijão 1ª safra'!$E82:INDEX('Feijão 1ª safra'!$E82:$Z82,MIN(R$6-$E$3,22))),0))-IF($G$2,0,IF((R$6-$G$3)&lt;1,0,IFERROR(LOOKUP(2,1/('Feijão 1ª safra'!$E82:INDEX('Feijão 1ª safra'!$E82:$Z82,MIN(R$6-$G$3,22))&lt;&gt;""),'Feijão 1ª safra'!$E82:INDEX('Feijão 1ª safra'!$E82:$Z82,MIN(R$6-$G$3,22))),0)))))</f>
        <v>0</v>
      </c>
      <c r="S84" s="27" t="n">
        <f aca="false">IF(COUNT('Feijão 1ª safra'!$E82:$Z82)=0,0,MAX(0,IF((S$6-$E$3)&lt;1,0,IFERROR(LOOKUP(2,1/('Feijão 1ª safra'!$E82:INDEX('Feijão 1ª safra'!$E82:$Z82,MIN(S$6-$E$3,22))&lt;&gt;""),'Feijão 1ª safra'!$E82:INDEX('Feijão 1ª safra'!$E82:$Z82,MIN(S$6-$E$3,22))),0))-IF($G$2,0,IF((S$6-$G$3)&lt;1,0,IFERROR(LOOKUP(2,1/('Feijão 1ª safra'!$E82:INDEX('Feijão 1ª safra'!$E82:$Z82,MIN(S$6-$G$3,22))&lt;&gt;""),'Feijão 1ª safra'!$E82:INDEX('Feijão 1ª safra'!$E82:$Z82,MIN(S$6-$G$3,22))),0)))))</f>
        <v>0</v>
      </c>
      <c r="T84" s="27" t="n">
        <f aca="false">IF(COUNT('Feijão 1ª safra'!$E82:$Z82)=0,0,MAX(0,IF((T$6-$E$3)&lt;1,0,IFERROR(LOOKUP(2,1/('Feijão 1ª safra'!$E82:INDEX('Feijão 1ª safra'!$E82:$Z82,MIN(T$6-$E$3,22))&lt;&gt;""),'Feijão 1ª safra'!$E82:INDEX('Feijão 1ª safra'!$E82:$Z82,MIN(T$6-$E$3,22))),0))-IF($G$2,0,IF((T$6-$G$3)&lt;1,0,IFERROR(LOOKUP(2,1/('Feijão 1ª safra'!$E82:INDEX('Feijão 1ª safra'!$E82:$Z82,MIN(T$6-$G$3,22))&lt;&gt;""),'Feijão 1ª safra'!$E82:INDEX('Feijão 1ª safra'!$E82:$Z82,MIN(T$6-$G$3,22))),0)))))</f>
        <v>0</v>
      </c>
      <c r="U84" s="27" t="n">
        <f aca="false">IF(COUNT('Feijão 1ª safra'!$E82:$Z82)=0,0,MAX(0,IF((U$6-$E$3)&lt;1,0,IFERROR(LOOKUP(2,1/('Feijão 1ª safra'!$E82:INDEX('Feijão 1ª safra'!$E82:$Z82,MIN(U$6-$E$3,22))&lt;&gt;""),'Feijão 1ª safra'!$E82:INDEX('Feijão 1ª safra'!$E82:$Z82,MIN(U$6-$E$3,22))),0))-IF($G$2,0,IF((U$6-$G$3)&lt;1,0,IFERROR(LOOKUP(2,1/('Feijão 1ª safra'!$E82:INDEX('Feijão 1ª safra'!$E82:$Z82,MIN(U$6-$G$3,22))&lt;&gt;""),'Feijão 1ª safra'!$E82:INDEX('Feijão 1ª safra'!$E82:$Z82,MIN(U$6-$G$3,22))),0)))))</f>
        <v>0</v>
      </c>
      <c r="V84" s="27" t="n">
        <f aca="false">IF(COUNT('Feijão 1ª safra'!$E82:$Z82)=0,0,MAX(0,IF((V$6-$E$3)&lt;1,0,IFERROR(LOOKUP(2,1/('Feijão 1ª safra'!$E82:INDEX('Feijão 1ª safra'!$E82:$Z82,MIN(V$6-$E$3,22))&lt;&gt;""),'Feijão 1ª safra'!$E82:INDEX('Feijão 1ª safra'!$E82:$Z82,MIN(V$6-$E$3,22))),0))-IF($G$2,0,IF((V$6-$G$3)&lt;1,0,IFERROR(LOOKUP(2,1/('Feijão 1ª safra'!$E82:INDEX('Feijão 1ª safra'!$E82:$Z82,MIN(V$6-$G$3,22))&lt;&gt;""),'Feijão 1ª safra'!$E82:INDEX('Feijão 1ª safra'!$E82:$Z82,MIN(V$6-$G$3,22))),0)))))</f>
        <v>0</v>
      </c>
      <c r="W84" s="27" t="n">
        <f aca="false">IF(COUNT('Feijão 1ª safra'!$E82:$Z82)=0,0,MAX(0,IF((W$6-$E$3)&lt;1,0,IFERROR(LOOKUP(2,1/('Feijão 1ª safra'!$E82:INDEX('Feijão 1ª safra'!$E82:$Z82,MIN(W$6-$E$3,22))&lt;&gt;""),'Feijão 1ª safra'!$E82:INDEX('Feijão 1ª safra'!$E82:$Z82,MIN(W$6-$E$3,22))),0))-IF($G$2,0,IF((W$6-$G$3)&lt;1,0,IFERROR(LOOKUP(2,1/('Feijão 1ª safra'!$E82:INDEX('Feijão 1ª safra'!$E82:$Z82,MIN(W$6-$G$3,22))&lt;&gt;""),'Feijão 1ª safra'!$E82:INDEX('Feijão 1ª safra'!$E82:$Z82,MIN(W$6-$G$3,22))),0)))))</f>
        <v>0</v>
      </c>
      <c r="X84" s="27" t="n">
        <f aca="false">IF(COUNT('Feijão 1ª safra'!$E82:$Z82)=0,0,MAX(0,IF((X$6-$E$3)&lt;1,0,IFERROR(LOOKUP(2,1/('Feijão 1ª safra'!$E82:INDEX('Feijão 1ª safra'!$E82:$Z82,MIN(X$6-$E$3,22))&lt;&gt;""),'Feijão 1ª safra'!$E82:INDEX('Feijão 1ª safra'!$E82:$Z82,MIN(X$6-$E$3,22))),0))-IF($G$2,0,IF((X$6-$G$3)&lt;1,0,IFERROR(LOOKUP(2,1/('Feijão 1ª safra'!$E82:INDEX('Feijão 1ª safra'!$E82:$Z82,MIN(X$6-$G$3,22))&lt;&gt;""),'Feijão 1ª safra'!$E82:INDEX('Feijão 1ª safra'!$E82:$Z82,MIN(X$6-$G$3,22))),0)))))</f>
        <v>0</v>
      </c>
      <c r="Y84" s="27" t="n">
        <f aca="false">IF(COUNT('Feijão 1ª safra'!$E82:$Z82)=0,0,MAX(0,IF((Y$6-$E$3)&lt;1,0,IFERROR(LOOKUP(2,1/('Feijão 1ª safra'!$E82:INDEX('Feijão 1ª safra'!$E82:$Z82,MIN(Y$6-$E$3,22))&lt;&gt;""),'Feijão 1ª safra'!$E82:INDEX('Feijão 1ª safra'!$E82:$Z82,MIN(Y$6-$E$3,22))),0))-IF($G$2,0,IF((Y$6-$G$3)&lt;1,0,IFERROR(LOOKUP(2,1/('Feijão 1ª safra'!$E82:INDEX('Feijão 1ª safra'!$E82:$Z82,MIN(Y$6-$G$3,22))&lt;&gt;""),'Feijão 1ª safra'!$E82:INDEX('Feijão 1ª safra'!$E82:$Z82,MIN(Y$6-$G$3,22))),0)))))</f>
        <v>0</v>
      </c>
      <c r="Z84" s="27" t="n">
        <f aca="false">IF(COUNT('Feijão 1ª safra'!$E82:$Z82)=0,0,MAX(0,IF((Z$6-$E$3)&lt;1,0,IFERROR(LOOKUP(2,1/('Feijão 1ª safra'!$E82:INDEX('Feijão 1ª safra'!$E82:$Z82,MIN(Z$6-$E$3,22))&lt;&gt;""),'Feijão 1ª safra'!$E82:INDEX('Feijão 1ª safra'!$E82:$Z82,MIN(Z$6-$E$3,22))),0))-IF($G$2,0,IF((Z$6-$G$3)&lt;1,0,IFERROR(LOOKUP(2,1/('Feijão 1ª safra'!$E82:INDEX('Feijão 1ª safra'!$E82:$Z82,MIN(Z$6-$G$3,22))&lt;&gt;""),'Feijão 1ª safra'!$E82:INDEX('Feijão 1ª safra'!$E82:$Z82,MIN(Z$6-$G$3,22))),0)))))</f>
        <v>0</v>
      </c>
      <c r="AA84" s="27" t="n">
        <f aca="false">IF(COUNT('Feijão 1ª safra'!$E82:$Z82)=0,0,MAX(0,IF((AA$6-$E$3)&lt;1,0,IFERROR(LOOKUP(2,1/('Feijão 1ª safra'!$E82:INDEX('Feijão 1ª safra'!$E82:$Z82,MIN(AA$6-$E$3,22))&lt;&gt;""),'Feijão 1ª safra'!$E82:INDEX('Feijão 1ª safra'!$E82:$Z82,MIN(AA$6-$E$3,22))),0))-IF($G$2,0,IF((AA$6-$G$3)&lt;1,0,IFERROR(LOOKUP(2,1/('Feijão 1ª safra'!$E82:INDEX('Feijão 1ª safra'!$E82:$Z82,MIN(AA$6-$G$3,22))&lt;&gt;""),'Feijão 1ª safra'!$E82:INDEX('Feijão 1ª safra'!$E82:$Z82,MIN(AA$6-$G$3,22))),0)))))</f>
        <v>0</v>
      </c>
      <c r="AB84" s="27" t="n">
        <f aca="false">IF(COUNT('Feijão 1ª safra'!$E82:$Z82)=0,0,MAX(0,IF((AB$6-$E$3)&lt;1,0,IFERROR(LOOKUP(2,1/('Feijão 1ª safra'!$E82:INDEX('Feijão 1ª safra'!$E82:$Z82,MIN(AB$6-$E$3,22))&lt;&gt;""),'Feijão 1ª safra'!$E82:INDEX('Feijão 1ª safra'!$E82:$Z82,MIN(AB$6-$E$3,22))),0))-IF($G$2,0,IF((AB$6-$G$3)&lt;1,0,IFERROR(LOOKUP(2,1/('Feijão 1ª safra'!$E82:INDEX('Feijão 1ª safra'!$E82:$Z82,MIN(AB$6-$G$3,22))&lt;&gt;""),'Feijão 1ª safra'!$E82:INDEX('Feijão 1ª safra'!$E82:$Z82,MIN(AB$6-$G$3,22))),0)))))</f>
        <v>0</v>
      </c>
      <c r="AC84" s="27" t="n">
        <f aca="false">IF(COUNT('Feijão 1ª safra'!$E82:$Z82)=0,0,MAX(0,IF((AC$6-$E$3)&lt;1,0,IFERROR(LOOKUP(2,1/('Feijão 1ª safra'!$E82:INDEX('Feijão 1ª safra'!$E82:$Z82,MIN(AC$6-$E$3,22))&lt;&gt;""),'Feijão 1ª safra'!$E82:INDEX('Feijão 1ª safra'!$E82:$Z82,MIN(AC$6-$E$3,22))),0))-IF($G$2,0,IF((AC$6-$G$3)&lt;1,0,IFERROR(LOOKUP(2,1/('Feijão 1ª safra'!$E82:INDEX('Feijão 1ª safra'!$E82:$Z82,MIN(AC$6-$G$3,22))&lt;&gt;""),'Feijão 1ª safra'!$E82:INDEX('Feijão 1ª safra'!$E82:$Z82,MIN(AC$6-$G$3,22))),0)))))</f>
        <v>0</v>
      </c>
      <c r="AD84" s="27" t="n">
        <f aca="false">IF(COUNT('Feijão 1ª safra'!$E82:$Z82)=0,0,MAX(0,IF((AD$6-$E$3)&lt;1,0,IFERROR(LOOKUP(2,1/('Feijão 1ª safra'!$E82:INDEX('Feijão 1ª safra'!$E82:$Z82,MIN(AD$6-$E$3,22))&lt;&gt;""),'Feijão 1ª safra'!$E82:INDEX('Feijão 1ª safra'!$E82:$Z82,MIN(AD$6-$E$3,22))),0))-IF($G$2,0,IF((AD$6-$G$3)&lt;1,0,IFERROR(LOOKUP(2,1/('Feijão 1ª safra'!$E82:INDEX('Feijão 1ª safra'!$E82:$Z82,MIN(AD$6-$G$3,22))&lt;&gt;""),'Feijão 1ª safra'!$E82:INDEX('Feijão 1ª safra'!$E82:$Z82,MIN(AD$6-$G$3,22))),0)))))</f>
        <v>0</v>
      </c>
      <c r="AE84" s="27" t="n">
        <f aca="false">IF(COUNT('Feijão 1ª safra'!$E82:$Z82)=0,0,MAX(0,IF((AE$6-$E$3)&lt;1,0,IFERROR(LOOKUP(2,1/('Feijão 1ª safra'!$E82:INDEX('Feijão 1ª safra'!$E82:$Z82,MIN(AE$6-$E$3,22))&lt;&gt;""),'Feijão 1ª safra'!$E82:INDEX('Feijão 1ª safra'!$E82:$Z82,MIN(AE$6-$E$3,22))),0))-IF($G$2,0,IF((AE$6-$G$3)&lt;1,0,IFERROR(LOOKUP(2,1/('Feijão 1ª safra'!$E82:INDEX('Feijão 1ª safra'!$E82:$Z82,MIN(AE$6-$G$3,22))&lt;&gt;""),'Feijão 1ª safra'!$E82:INDEX('Feijão 1ª safra'!$E82:$Z82,MIN(AE$6-$G$3,22))),0)))))</f>
        <v>0</v>
      </c>
      <c r="AF84" s="27" t="n">
        <f aca="false">IF(COUNT('Feijão 1ª safra'!$E82:$Z82)=0,0,MAX(0,IF((AF$6-$E$3)&lt;1,0,IFERROR(LOOKUP(2,1/('Feijão 1ª safra'!$E82:INDEX('Feijão 1ª safra'!$E82:$Z82,MIN(AF$6-$E$3,22))&lt;&gt;""),'Feijão 1ª safra'!$E82:INDEX('Feijão 1ª safra'!$E82:$Z82,MIN(AF$6-$E$3,22))),0))-IF($G$2,0,IF((AF$6-$G$3)&lt;1,0,IFERROR(LOOKUP(2,1/('Feijão 1ª safra'!$E82:INDEX('Feijão 1ª safra'!$E82:$Z82,MIN(AF$6-$G$3,22))&lt;&gt;""),'Feijão 1ª safra'!$E82:INDEX('Feijão 1ª safra'!$E82:$Z82,MIN(AF$6-$G$3,22))),0)))))</f>
        <v>0</v>
      </c>
      <c r="AG84" s="27" t="n">
        <f aca="false">IF(COUNT('Feijão 1ª safra'!$E82:$Z82)=0,0,MAX(0,IF((AG$6-$E$3)&lt;1,0,IFERROR(LOOKUP(2,1/('Feijão 1ª safra'!$E82:INDEX('Feijão 1ª safra'!$E82:$Z82,MIN(AG$6-$E$3,22))&lt;&gt;""),'Feijão 1ª safra'!$E82:INDEX('Feijão 1ª safra'!$E82:$Z82,MIN(AG$6-$E$3,22))),0))-IF($G$2,0,IF((AG$6-$G$3)&lt;1,0,IFERROR(LOOKUP(2,1/('Feijão 1ª safra'!$E82:INDEX('Feijão 1ª safra'!$E82:$Z82,MIN(AG$6-$G$3,22))&lt;&gt;""),'Feijão 1ª safra'!$E82:INDEX('Feijão 1ª safra'!$E82:$Z82,MIN(AG$6-$G$3,22))),0)))))</f>
        <v>0</v>
      </c>
      <c r="AH84" s="27" t="n">
        <f aca="false">IF(COUNT('Feijão 1ª safra'!$E82:$Z82)=0,0,MAX(0,IF((AH$6-$E$3)&lt;1,0,IFERROR(LOOKUP(2,1/('Feijão 1ª safra'!$E82:INDEX('Feijão 1ª safra'!$E82:$Z82,MIN(AH$6-$E$3,22))&lt;&gt;""),'Feijão 1ª safra'!$E82:INDEX('Feijão 1ª safra'!$E82:$Z82,MIN(AH$6-$E$3,22))),0))-IF($G$2,0,IF((AH$6-$G$3)&lt;1,0,IFERROR(LOOKUP(2,1/('Feijão 1ª safra'!$E82:INDEX('Feijão 1ª safra'!$E82:$Z82,MIN(AH$6-$G$3,22))&lt;&gt;""),'Feijão 1ª safra'!$E82:INDEX('Feijão 1ª safra'!$E82:$Z82,MIN(AH$6-$G$3,22))),0)))))</f>
        <v>0</v>
      </c>
      <c r="AI84" s="27" t="n">
        <f aca="false">IF(COUNT('Feijão 1ª safra'!$E82:$Z82)=0,0,MAX(0,IF((AI$6-$E$3)&lt;1,0,IFERROR(LOOKUP(2,1/('Feijão 1ª safra'!$E82:INDEX('Feijão 1ª safra'!$E82:$Z82,MIN(AI$6-$E$3,22))&lt;&gt;""),'Feijão 1ª safra'!$E82:INDEX('Feijão 1ª safra'!$E82:$Z82,MIN(AI$6-$E$3,22))),0))-IF($G$2,0,IF((AI$6-$G$3)&lt;1,0,IFERROR(LOOKUP(2,1/('Feijão 1ª safra'!$E82:INDEX('Feijão 1ª safra'!$E82:$Z82,MIN(AI$6-$G$3,22))&lt;&gt;""),'Feijão 1ª safra'!$E82:INDEX('Feijão 1ª safra'!$E82:$Z82,MIN(AI$6-$G$3,22))),0)))))</f>
        <v>0</v>
      </c>
      <c r="AJ84" s="27" t="n">
        <f aca="false">IF(COUNT('Feijão 1ª safra'!$E82:$Z82)=0,0,MAX(0,IF((AJ$6-$E$3)&lt;1,0,IFERROR(LOOKUP(2,1/('Feijão 1ª safra'!$E82:INDEX('Feijão 1ª safra'!$E82:$Z82,MIN(AJ$6-$E$3,22))&lt;&gt;""),'Feijão 1ª safra'!$E82:INDEX('Feijão 1ª safra'!$E82:$Z82,MIN(AJ$6-$E$3,22))),0))-IF($G$2,0,IF((AJ$6-$G$3)&lt;1,0,IFERROR(LOOKUP(2,1/('Feijão 1ª safra'!$E82:INDEX('Feijão 1ª safra'!$E82:$Z82,MIN(AJ$6-$G$3,22))&lt;&gt;""),'Feijão 1ª safra'!$E82:INDEX('Feijão 1ª safra'!$E82:$Z82,MIN(AJ$6-$G$3,22))),0)))))</f>
        <v>0</v>
      </c>
      <c r="AK84" s="27" t="n">
        <f aca="false">IF(COUNT('Feijão 1ª safra'!$E82:$Z82)=0,0,MAX(0,IF((AK$6-$E$3)&lt;1,0,IFERROR(LOOKUP(2,1/('Feijão 1ª safra'!$E82:INDEX('Feijão 1ª safra'!$E82:$Z82,MIN(AK$6-$E$3,22))&lt;&gt;""),'Feijão 1ª safra'!$E82:INDEX('Feijão 1ª safra'!$E82:$Z82,MIN(AK$6-$E$3,22))),0))-IF($G$2,0,IF((AK$6-$G$3)&lt;1,0,IFERROR(LOOKUP(2,1/('Feijão 1ª safra'!$E82:INDEX('Feijão 1ª safra'!$E82:$Z82,MIN(AK$6-$G$3,22))&lt;&gt;""),'Feijão 1ª safra'!$E82:INDEX('Feijão 1ª safra'!$E82:$Z82,MIN(AK$6-$G$3,22))),0)))))</f>
        <v>0</v>
      </c>
      <c r="AL84" s="27" t="n">
        <f aca="false">IF(COUNT('Feijão 1ª safra'!$E82:$Z82)=0,0,MAX(0,IF((AL$6-$E$3)&lt;1,0,IFERROR(LOOKUP(2,1/('Feijão 1ª safra'!$E82:INDEX('Feijão 1ª safra'!$E82:$Z82,MIN(AL$6-$E$3,22))&lt;&gt;""),'Feijão 1ª safra'!$E82:INDEX('Feijão 1ª safra'!$E82:$Z82,MIN(AL$6-$E$3,22))),0))-IF($G$2,0,IF((AL$6-$G$3)&lt;1,0,IFERROR(LOOKUP(2,1/('Feijão 1ª safra'!$E82:INDEX('Feijão 1ª safra'!$E82:$Z82,MIN(AL$6-$G$3,22))&lt;&gt;""),'Feijão 1ª safra'!$E82:INDEX('Feijão 1ª safra'!$E82:$Z82,MIN(AL$6-$G$3,22))),0)))))</f>
        <v>0</v>
      </c>
      <c r="AM84" s="27" t="n">
        <f aca="false">IF(COUNT('Feijão 1ª safra'!$E82:$Z82)=0,0,MAX(0,IF((AM$6-$E$3)&lt;1,0,IFERROR(LOOKUP(2,1/('Feijão 1ª safra'!$E82:INDEX('Feijão 1ª safra'!$E82:$Z82,MIN(AM$6-$E$3,22))&lt;&gt;""),'Feijão 1ª safra'!$E82:INDEX('Feijão 1ª safra'!$E82:$Z82,MIN(AM$6-$E$3,22))),0))-IF($G$2,0,IF((AM$6-$G$3)&lt;1,0,IFERROR(LOOKUP(2,1/('Feijão 1ª safra'!$E82:INDEX('Feijão 1ª safra'!$E82:$Z82,MIN(AM$6-$G$3,22))&lt;&gt;""),'Feijão 1ª safra'!$E82:INDEX('Feijão 1ª safra'!$E82:$Z82,MIN(AM$6-$G$3,22))),0)))))</f>
        <v>0</v>
      </c>
      <c r="AN84" s="27" t="n">
        <f aca="false">IF(COUNT('Feijão 1ª safra'!$E82:$Z82)=0,0,MAX(0,IF((AN$6-$E$3)&lt;1,0,IFERROR(LOOKUP(2,1/('Feijão 1ª safra'!$E82:INDEX('Feijão 1ª safra'!$E82:$Z82,MIN(AN$6-$E$3,22))&lt;&gt;""),'Feijão 1ª safra'!$E82:INDEX('Feijão 1ª safra'!$E82:$Z82,MIN(AN$6-$E$3,22))),0))-IF($G$2,0,IF((AN$6-$G$3)&lt;1,0,IFERROR(LOOKUP(2,1/('Feijão 1ª safra'!$E82:INDEX('Feijão 1ª safra'!$E82:$Z82,MIN(AN$6-$G$3,22))&lt;&gt;""),'Feijão 1ª safra'!$E82:INDEX('Feijão 1ª safra'!$E82:$Z82,MIN(AN$6-$G$3,22))),0)))))</f>
        <v>0</v>
      </c>
      <c r="AO84" s="27" t="n">
        <f aca="false">IF(COUNT('Feijão 1ª safra'!$E82:$Z82)=0,0,MAX(0,IF((AO$6-$E$3)&lt;1,0,IFERROR(LOOKUP(2,1/('Feijão 1ª safra'!$E82:INDEX('Feijão 1ª safra'!$E82:$Z82,MIN(AO$6-$E$3,22))&lt;&gt;""),'Feijão 1ª safra'!$E82:INDEX('Feijão 1ª safra'!$E82:$Z82,MIN(AO$6-$E$3,22))),0))-IF($G$2,0,IF((AO$6-$G$3)&lt;1,0,IFERROR(LOOKUP(2,1/('Feijão 1ª safra'!$E82:INDEX('Feijão 1ª safra'!$E82:$Z82,MIN(AO$6-$G$3,22))&lt;&gt;""),'Feijão 1ª safra'!$E82:INDEX('Feijão 1ª safra'!$E82:$Z82,MIN(AO$6-$G$3,22))),0)))))</f>
        <v>0</v>
      </c>
      <c r="AP84" s="27" t="n">
        <f aca="false">IF(COUNT('Feijão 1ª safra'!$E82:$Z82)=0,0,MAX(0,IF((AP$6-$E$3)&lt;1,0,IFERROR(LOOKUP(2,1/('Feijão 1ª safra'!$E82:INDEX('Feijão 1ª safra'!$E82:$Z82,MIN(AP$6-$E$3,22))&lt;&gt;""),'Feijão 1ª safra'!$E82:INDEX('Feijão 1ª safra'!$E82:$Z82,MIN(AP$6-$E$3,22))),0))-IF($G$2,0,IF((AP$6-$G$3)&lt;1,0,IFERROR(LOOKUP(2,1/('Feijão 1ª safra'!$E82:INDEX('Feijão 1ª safra'!$E82:$Z82,MIN(AP$6-$G$3,22))&lt;&gt;""),'Feijão 1ª safra'!$E82:INDEX('Feijão 1ª safra'!$E82:$Z82,MIN(AP$6-$G$3,22))),0)))))</f>
        <v>0</v>
      </c>
      <c r="AQ84" s="27" t="n">
        <f aca="false">IF(COUNT('Feijão 1ª safra'!$E82:$Z82)=0,0,MAX(0,IF((AQ$6-$E$3)&lt;1,0,IFERROR(LOOKUP(2,1/('Feijão 1ª safra'!$E82:INDEX('Feijão 1ª safra'!$E82:$Z82,MIN(AQ$6-$E$3,22))&lt;&gt;""),'Feijão 1ª safra'!$E82:INDEX('Feijão 1ª safra'!$E82:$Z82,MIN(AQ$6-$E$3,22))),0))-IF($G$2,0,IF((AQ$6-$G$3)&lt;1,0,IFERROR(LOOKUP(2,1/('Feijão 1ª safra'!$E82:INDEX('Feijão 1ª safra'!$E82:$Z82,MIN(AQ$6-$G$3,22))&lt;&gt;""),'Feijão 1ª safra'!$E82:INDEX('Feijão 1ª safra'!$E82:$Z82,MIN(AQ$6-$G$3,22))),0)))))</f>
        <v>0</v>
      </c>
      <c r="AR84" s="27" t="n">
        <f aca="false">IF(COUNT('Feijão 1ª safra'!$E82:$Z82)=0,0,MAX(0,IF((AR$6-$E$3)&lt;1,0,IFERROR(LOOKUP(2,1/('Feijão 1ª safra'!$E82:INDEX('Feijão 1ª safra'!$E82:$Z82,MIN(AR$6-$E$3,22))&lt;&gt;""),'Feijão 1ª safra'!$E82:INDEX('Feijão 1ª safra'!$E82:$Z82,MIN(AR$6-$E$3,22))),0))-IF($G$2,0,IF((AR$6-$G$3)&lt;1,0,IFERROR(LOOKUP(2,1/('Feijão 1ª safra'!$E82:INDEX('Feijão 1ª safra'!$E82:$Z82,MIN(AR$6-$G$3,22))&lt;&gt;""),'Feijão 1ª safra'!$E82:INDEX('Feijão 1ª safra'!$E82:$Z82,MIN(AR$6-$G$3,22))),0)))))</f>
        <v>0</v>
      </c>
      <c r="AS84" s="27" t="n">
        <f aca="false">IF(COUNT('Feijão 1ª safra'!$E82:$Z82)=0,0,MAX(0,IF((AS$6-$E$3)&lt;1,0,IFERROR(LOOKUP(2,1/('Feijão 1ª safra'!$E82:INDEX('Feijão 1ª safra'!$E82:$Z82,MIN(AS$6-$E$3,22))&lt;&gt;""),'Feijão 1ª safra'!$E82:INDEX('Feijão 1ª safra'!$E82:$Z82,MIN(AS$6-$E$3,22))),0))-IF($G$2,0,IF((AS$6-$G$3)&lt;1,0,IFERROR(LOOKUP(2,1/('Feijão 1ª safra'!$E82:INDEX('Feijão 1ª safra'!$E82:$Z82,MIN(AS$6-$G$3,22))&lt;&gt;""),'Feijão 1ª safra'!$E82:INDEX('Feijão 1ª safra'!$E82:$Z82,MIN(AS$6-$G$3,22))),0)))))</f>
        <v>0</v>
      </c>
      <c r="AT84" s="27" t="n">
        <f aca="false">IF(COUNT('Feijão 1ª safra'!$E82:$Z82)=0,0,MAX(0,IF((AT$6-$E$3)&lt;1,0,IFERROR(LOOKUP(2,1/('Feijão 1ª safra'!$E82:INDEX('Feijão 1ª safra'!$E82:$Z82,MIN(AT$6-$E$3,22))&lt;&gt;""),'Feijão 1ª safra'!$E82:INDEX('Feijão 1ª safra'!$E82:$Z82,MIN(AT$6-$E$3,22))),0))-IF($G$2,0,IF((AT$6-$G$3)&lt;1,0,IFERROR(LOOKUP(2,1/('Feijão 1ª safra'!$E82:INDEX('Feijão 1ª safra'!$E82:$Z82,MIN(AT$6-$G$3,22))&lt;&gt;""),'Feijão 1ª safra'!$E82:INDEX('Feijão 1ª safra'!$E82:$Z82,MIN(AT$6-$G$3,22))),0)))))</f>
        <v>0</v>
      </c>
      <c r="AU84" s="27" t="n">
        <f aca="false">IF(COUNT('Feijão 1ª safra'!$E82:$Z82)=0,0,MAX(0,IF((AU$6-$E$3)&lt;1,0,IFERROR(LOOKUP(2,1/('Feijão 1ª safra'!$E82:INDEX('Feijão 1ª safra'!$E82:$Z82,MIN(AU$6-$E$3,22))&lt;&gt;""),'Feijão 1ª safra'!$E82:INDEX('Feijão 1ª safra'!$E82:$Z82,MIN(AU$6-$E$3,22))),0))-IF($G$2,0,IF((AU$6-$G$3)&lt;1,0,IFERROR(LOOKUP(2,1/('Feijão 1ª safra'!$E82:INDEX('Feijão 1ª safra'!$E82:$Z82,MIN(AU$6-$G$3,22))&lt;&gt;""),'Feijão 1ª safra'!$E82:INDEX('Feijão 1ª safra'!$E82:$Z82,MIN(AU$6-$G$3,22))),0)))))</f>
        <v>0</v>
      </c>
      <c r="AV84" s="27" t="n">
        <f aca="false">IF(COUNT('Feijão 1ª safra'!$E82:$Z82)=0,0,MAX(0,IF((AV$6-$E$3)&lt;1,0,IFERROR(LOOKUP(2,1/('Feijão 1ª safra'!$E82:INDEX('Feijão 1ª safra'!$E82:$Z82,MIN(AV$6-$E$3,22))&lt;&gt;""),'Feijão 1ª safra'!$E82:INDEX('Feijão 1ª safra'!$E82:$Z82,MIN(AV$6-$E$3,22))),0))-IF($G$2,0,IF((AV$6-$G$3)&lt;1,0,IFERROR(LOOKUP(2,1/('Feijão 1ª safra'!$E82:INDEX('Feijão 1ª safra'!$E82:$Z82,MIN(AV$6-$G$3,22))&lt;&gt;""),'Feijão 1ª safra'!$E82:INDEX('Feijão 1ª safra'!$E82:$Z82,MIN(AV$6-$G$3,22))),0)))))</f>
        <v>0</v>
      </c>
      <c r="AW84" s="27" t="n">
        <f aca="false">IF(COUNT('Feijão 1ª safra'!$E82:$Z82)=0,0,MAX(0,IF((AW$6-$E$3)&lt;1,0,IFERROR(LOOKUP(2,1/('Feijão 1ª safra'!$E82:INDEX('Feijão 1ª safra'!$E82:$Z82,MIN(AW$6-$E$3,22))&lt;&gt;""),'Feijão 1ª safra'!$E82:INDEX('Feijão 1ª safra'!$E82:$Z82,MIN(AW$6-$E$3,22))),0))-IF($G$2,0,IF((AW$6-$G$3)&lt;1,0,IFERROR(LOOKUP(2,1/('Feijão 1ª safra'!$E82:INDEX('Feijão 1ª safra'!$E82:$Z82,MIN(AW$6-$G$3,22))&lt;&gt;""),'Feijão 1ª safra'!$E82:INDEX('Feijão 1ª safra'!$E82:$Z82,MIN(AW$6-$G$3,22))),0)))))</f>
        <v>0</v>
      </c>
      <c r="AX84" s="27" t="n">
        <f aca="false">IF(COUNT('Feijão 1ª safra'!$E82:$Z82)=0,0,MAX(0,IF((AX$6-$E$3)&lt;1,0,IFERROR(LOOKUP(2,1/('Feijão 1ª safra'!$E82:INDEX('Feijão 1ª safra'!$E82:$Z82,MIN(AX$6-$E$3,22))&lt;&gt;""),'Feijão 1ª safra'!$E82:INDEX('Feijão 1ª safra'!$E82:$Z82,MIN(AX$6-$E$3,22))),0))-IF($G$2,0,IF((AX$6-$G$3)&lt;1,0,IFERROR(LOOKUP(2,1/('Feijão 1ª safra'!$E82:INDEX('Feijão 1ª safra'!$E82:$Z82,MIN(AX$6-$G$3,22))&lt;&gt;""),'Feijão 1ª safra'!$E82:INDEX('Feijão 1ª safra'!$E82:$Z82,MIN(AX$6-$G$3,22))),0)))))</f>
        <v>0</v>
      </c>
      <c r="AY84" s="27" t="n">
        <f aca="false">IF(COUNT('Feijão 1ª safra'!$E82:$Z82)=0,0,MAX(0,IF((AY$6-$E$3)&lt;1,0,IFERROR(LOOKUP(2,1/('Feijão 1ª safra'!$E82:INDEX('Feijão 1ª safra'!$E82:$Z82,MIN(AY$6-$E$3,22))&lt;&gt;""),'Feijão 1ª safra'!$E82:INDEX('Feijão 1ª safra'!$E82:$Z82,MIN(AY$6-$E$3,22))),0))-IF($G$2,0,IF((AY$6-$G$3)&lt;1,0,IFERROR(LOOKUP(2,1/('Feijão 1ª safra'!$E82:INDEX('Feijão 1ª safra'!$E82:$Z82,MIN(AY$6-$G$3,22))&lt;&gt;""),'Feijão 1ª safra'!$E82:INDEX('Feijão 1ª safra'!$E82:$Z82,MIN(AY$6-$G$3,22))),0)))))</f>
        <v>0</v>
      </c>
      <c r="AZ84" s="27" t="n">
        <f aca="false">IF(COUNT('Feijão 1ª safra'!$E82:$Z82)=0,0,MAX(0,IF((AZ$6-$E$3)&lt;1,0,IFERROR(LOOKUP(2,1/('Feijão 1ª safra'!$E82:INDEX('Feijão 1ª safra'!$E82:$Z82,MIN(AZ$6-$E$3,22))&lt;&gt;""),'Feijão 1ª safra'!$E82:INDEX('Feijão 1ª safra'!$E82:$Z82,MIN(AZ$6-$E$3,22))),0))-IF($G$2,0,IF((AZ$6-$G$3)&lt;1,0,IFERROR(LOOKUP(2,1/('Feijão 1ª safra'!$E82:INDEX('Feijão 1ª safra'!$E82:$Z82,MIN(AZ$6-$G$3,22))&lt;&gt;""),'Feijão 1ª safra'!$E82:INDEX('Feijão 1ª safra'!$E82:$Z82,MIN(AZ$6-$G$3,22))),0)))))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IF(COUNT('Feijão 1ª safra'!$E83:$Z83)&gt;0,N('Feijão 1ª safra'!$D83),0)</f>
        <v>0</v>
      </c>
      <c r="E85" s="27" t="n">
        <f aca="false">IF(COUNT('Feijão 1ª safra'!$E83:$Z83)=0,0,MAX(0,IF((E$6-$E$3)&lt;1,0,IFERROR(LOOKUP(2,1/('Feijão 1ª safra'!$E83:INDEX('Feijão 1ª safra'!$E83:$Z83,MIN(E$6-$E$3,22))&lt;&gt;""),'Feijão 1ª safra'!$E83:INDEX('Feijão 1ª safra'!$E83:$Z83,MIN(E$6-$E$3,22))),0))-IF($G$2,0,IF((E$6-$G$3)&lt;1,0,IFERROR(LOOKUP(2,1/('Feijão 1ª safra'!$E83:INDEX('Feijão 1ª safra'!$E83:$Z83,MIN(E$6-$G$3,22))&lt;&gt;""),'Feijão 1ª safra'!$E83:INDEX('Feijão 1ª safra'!$E83:$Z83,MIN(E$6-$G$3,22))),0)))))</f>
        <v>0</v>
      </c>
      <c r="F85" s="27" t="n">
        <f aca="false">IF(COUNT('Feijão 1ª safra'!$E83:$Z83)=0,0,MAX(0,IF((F$6-$E$3)&lt;1,0,IFERROR(LOOKUP(2,1/('Feijão 1ª safra'!$E83:INDEX('Feijão 1ª safra'!$E83:$Z83,MIN(F$6-$E$3,22))&lt;&gt;""),'Feijão 1ª safra'!$E83:INDEX('Feijão 1ª safra'!$E83:$Z83,MIN(F$6-$E$3,22))),0))-IF($G$2,0,IF((F$6-$G$3)&lt;1,0,IFERROR(LOOKUP(2,1/('Feijão 1ª safra'!$E83:INDEX('Feijão 1ª safra'!$E83:$Z83,MIN(F$6-$G$3,22))&lt;&gt;""),'Feijão 1ª safra'!$E83:INDEX('Feijão 1ª safra'!$E83:$Z83,MIN(F$6-$G$3,22))),0)))))</f>
        <v>0</v>
      </c>
      <c r="G85" s="27" t="n">
        <f aca="false">IF(COUNT('Feijão 1ª safra'!$E83:$Z83)=0,0,MAX(0,IF((G$6-$E$3)&lt;1,0,IFERROR(LOOKUP(2,1/('Feijão 1ª safra'!$E83:INDEX('Feijão 1ª safra'!$E83:$Z83,MIN(G$6-$E$3,22))&lt;&gt;""),'Feijão 1ª safra'!$E83:INDEX('Feijão 1ª safra'!$E83:$Z83,MIN(G$6-$E$3,22))),0))-IF($G$2,0,IF((G$6-$G$3)&lt;1,0,IFERROR(LOOKUP(2,1/('Feijão 1ª safra'!$E83:INDEX('Feijão 1ª safra'!$E83:$Z83,MIN(G$6-$G$3,22))&lt;&gt;""),'Feijão 1ª safra'!$E83:INDEX('Feijão 1ª safra'!$E83:$Z83,MIN(G$6-$G$3,22))),0)))))</f>
        <v>0</v>
      </c>
      <c r="H85" s="27" t="n">
        <f aca="false">IF(COUNT('Feijão 1ª safra'!$E83:$Z83)=0,0,MAX(0,IF((H$6-$E$3)&lt;1,0,IFERROR(LOOKUP(2,1/('Feijão 1ª safra'!$E83:INDEX('Feijão 1ª safra'!$E83:$Z83,MIN(H$6-$E$3,22))&lt;&gt;""),'Feijão 1ª safra'!$E83:INDEX('Feijão 1ª safra'!$E83:$Z83,MIN(H$6-$E$3,22))),0))-IF($G$2,0,IF((H$6-$G$3)&lt;1,0,IFERROR(LOOKUP(2,1/('Feijão 1ª safra'!$E83:INDEX('Feijão 1ª safra'!$E83:$Z83,MIN(H$6-$G$3,22))&lt;&gt;""),'Feijão 1ª safra'!$E83:INDEX('Feijão 1ª safra'!$E83:$Z83,MIN(H$6-$G$3,22))),0)))))</f>
        <v>0</v>
      </c>
      <c r="I85" s="27" t="n">
        <f aca="false">IF(COUNT('Feijão 1ª safra'!$E83:$Z83)=0,0,MAX(0,IF((I$6-$E$3)&lt;1,0,IFERROR(LOOKUP(2,1/('Feijão 1ª safra'!$E83:INDEX('Feijão 1ª safra'!$E83:$Z83,MIN(I$6-$E$3,22))&lt;&gt;""),'Feijão 1ª safra'!$E83:INDEX('Feijão 1ª safra'!$E83:$Z83,MIN(I$6-$E$3,22))),0))-IF($G$2,0,IF((I$6-$G$3)&lt;1,0,IFERROR(LOOKUP(2,1/('Feijão 1ª safra'!$E83:INDEX('Feijão 1ª safra'!$E83:$Z83,MIN(I$6-$G$3,22))&lt;&gt;""),'Feijão 1ª safra'!$E83:INDEX('Feijão 1ª safra'!$E83:$Z83,MIN(I$6-$G$3,22))),0)))))</f>
        <v>0</v>
      </c>
      <c r="J85" s="27" t="n">
        <f aca="false">IF(COUNT('Feijão 1ª safra'!$E83:$Z83)=0,0,MAX(0,IF((J$6-$E$3)&lt;1,0,IFERROR(LOOKUP(2,1/('Feijão 1ª safra'!$E83:INDEX('Feijão 1ª safra'!$E83:$Z83,MIN(J$6-$E$3,22))&lt;&gt;""),'Feijão 1ª safra'!$E83:INDEX('Feijão 1ª safra'!$E83:$Z83,MIN(J$6-$E$3,22))),0))-IF($G$2,0,IF((J$6-$G$3)&lt;1,0,IFERROR(LOOKUP(2,1/('Feijão 1ª safra'!$E83:INDEX('Feijão 1ª safra'!$E83:$Z83,MIN(J$6-$G$3,22))&lt;&gt;""),'Feijão 1ª safra'!$E83:INDEX('Feijão 1ª safra'!$E83:$Z83,MIN(J$6-$G$3,22))),0)))))</f>
        <v>0</v>
      </c>
      <c r="K85" s="27" t="n">
        <f aca="false">IF(COUNT('Feijão 1ª safra'!$E83:$Z83)=0,0,MAX(0,IF((K$6-$E$3)&lt;1,0,IFERROR(LOOKUP(2,1/('Feijão 1ª safra'!$E83:INDEX('Feijão 1ª safra'!$E83:$Z83,MIN(K$6-$E$3,22))&lt;&gt;""),'Feijão 1ª safra'!$E83:INDEX('Feijão 1ª safra'!$E83:$Z83,MIN(K$6-$E$3,22))),0))-IF($G$2,0,IF((K$6-$G$3)&lt;1,0,IFERROR(LOOKUP(2,1/('Feijão 1ª safra'!$E83:INDEX('Feijão 1ª safra'!$E83:$Z83,MIN(K$6-$G$3,22))&lt;&gt;""),'Feijão 1ª safra'!$E83:INDEX('Feijão 1ª safra'!$E83:$Z83,MIN(K$6-$G$3,22))),0)))))</f>
        <v>0</v>
      </c>
      <c r="L85" s="27" t="n">
        <f aca="false">IF(COUNT('Feijão 1ª safra'!$E83:$Z83)=0,0,MAX(0,IF((L$6-$E$3)&lt;1,0,IFERROR(LOOKUP(2,1/('Feijão 1ª safra'!$E83:INDEX('Feijão 1ª safra'!$E83:$Z83,MIN(L$6-$E$3,22))&lt;&gt;""),'Feijão 1ª safra'!$E83:INDEX('Feijão 1ª safra'!$E83:$Z83,MIN(L$6-$E$3,22))),0))-IF($G$2,0,IF((L$6-$G$3)&lt;1,0,IFERROR(LOOKUP(2,1/('Feijão 1ª safra'!$E83:INDEX('Feijão 1ª safra'!$E83:$Z83,MIN(L$6-$G$3,22))&lt;&gt;""),'Feijão 1ª safra'!$E83:INDEX('Feijão 1ª safra'!$E83:$Z83,MIN(L$6-$G$3,22))),0)))))</f>
        <v>0</v>
      </c>
      <c r="M85" s="27" t="n">
        <f aca="false">IF(COUNT('Feijão 1ª safra'!$E83:$Z83)=0,0,MAX(0,IF((M$6-$E$3)&lt;1,0,IFERROR(LOOKUP(2,1/('Feijão 1ª safra'!$E83:INDEX('Feijão 1ª safra'!$E83:$Z83,MIN(M$6-$E$3,22))&lt;&gt;""),'Feijão 1ª safra'!$E83:INDEX('Feijão 1ª safra'!$E83:$Z83,MIN(M$6-$E$3,22))),0))-IF($G$2,0,IF((M$6-$G$3)&lt;1,0,IFERROR(LOOKUP(2,1/('Feijão 1ª safra'!$E83:INDEX('Feijão 1ª safra'!$E83:$Z83,MIN(M$6-$G$3,22))&lt;&gt;""),'Feijão 1ª safra'!$E83:INDEX('Feijão 1ª safra'!$E83:$Z83,MIN(M$6-$G$3,22))),0)))))</f>
        <v>0</v>
      </c>
      <c r="N85" s="27" t="n">
        <f aca="false">IF(COUNT('Feijão 1ª safra'!$E83:$Z83)=0,0,MAX(0,IF((N$6-$E$3)&lt;1,0,IFERROR(LOOKUP(2,1/('Feijão 1ª safra'!$E83:INDEX('Feijão 1ª safra'!$E83:$Z83,MIN(N$6-$E$3,22))&lt;&gt;""),'Feijão 1ª safra'!$E83:INDEX('Feijão 1ª safra'!$E83:$Z83,MIN(N$6-$E$3,22))),0))-IF($G$2,0,IF((N$6-$G$3)&lt;1,0,IFERROR(LOOKUP(2,1/('Feijão 1ª safra'!$E83:INDEX('Feijão 1ª safra'!$E83:$Z83,MIN(N$6-$G$3,22))&lt;&gt;""),'Feijão 1ª safra'!$E83:INDEX('Feijão 1ª safra'!$E83:$Z83,MIN(N$6-$G$3,22))),0)))))</f>
        <v>0</v>
      </c>
      <c r="O85" s="27" t="n">
        <f aca="false">IF(COUNT('Feijão 1ª safra'!$E83:$Z83)=0,0,MAX(0,IF((O$6-$E$3)&lt;1,0,IFERROR(LOOKUP(2,1/('Feijão 1ª safra'!$E83:INDEX('Feijão 1ª safra'!$E83:$Z83,MIN(O$6-$E$3,22))&lt;&gt;""),'Feijão 1ª safra'!$E83:INDEX('Feijão 1ª safra'!$E83:$Z83,MIN(O$6-$E$3,22))),0))-IF($G$2,0,IF((O$6-$G$3)&lt;1,0,IFERROR(LOOKUP(2,1/('Feijão 1ª safra'!$E83:INDEX('Feijão 1ª safra'!$E83:$Z83,MIN(O$6-$G$3,22))&lt;&gt;""),'Feijão 1ª safra'!$E83:INDEX('Feijão 1ª safra'!$E83:$Z83,MIN(O$6-$G$3,22))),0)))))</f>
        <v>0</v>
      </c>
      <c r="P85" s="27" t="n">
        <f aca="false">IF(COUNT('Feijão 1ª safra'!$E83:$Z83)=0,0,MAX(0,IF((P$6-$E$3)&lt;1,0,IFERROR(LOOKUP(2,1/('Feijão 1ª safra'!$E83:INDEX('Feijão 1ª safra'!$E83:$Z83,MIN(P$6-$E$3,22))&lt;&gt;""),'Feijão 1ª safra'!$E83:INDEX('Feijão 1ª safra'!$E83:$Z83,MIN(P$6-$E$3,22))),0))-IF($G$2,0,IF((P$6-$G$3)&lt;1,0,IFERROR(LOOKUP(2,1/('Feijão 1ª safra'!$E83:INDEX('Feijão 1ª safra'!$E83:$Z83,MIN(P$6-$G$3,22))&lt;&gt;""),'Feijão 1ª safra'!$E83:INDEX('Feijão 1ª safra'!$E83:$Z83,MIN(P$6-$G$3,22))),0)))))</f>
        <v>0</v>
      </c>
      <c r="Q85" s="27" t="n">
        <f aca="false">IF(COUNT('Feijão 1ª safra'!$E83:$Z83)=0,0,MAX(0,IF((Q$6-$E$3)&lt;1,0,IFERROR(LOOKUP(2,1/('Feijão 1ª safra'!$E83:INDEX('Feijão 1ª safra'!$E83:$Z83,MIN(Q$6-$E$3,22))&lt;&gt;""),'Feijão 1ª safra'!$E83:INDEX('Feijão 1ª safra'!$E83:$Z83,MIN(Q$6-$E$3,22))),0))-IF($G$2,0,IF((Q$6-$G$3)&lt;1,0,IFERROR(LOOKUP(2,1/('Feijão 1ª safra'!$E83:INDEX('Feijão 1ª safra'!$E83:$Z83,MIN(Q$6-$G$3,22))&lt;&gt;""),'Feijão 1ª safra'!$E83:INDEX('Feijão 1ª safra'!$E83:$Z83,MIN(Q$6-$G$3,22))),0)))))</f>
        <v>0</v>
      </c>
      <c r="R85" s="27" t="n">
        <f aca="false">IF(COUNT('Feijão 1ª safra'!$E83:$Z83)=0,0,MAX(0,IF((R$6-$E$3)&lt;1,0,IFERROR(LOOKUP(2,1/('Feijão 1ª safra'!$E83:INDEX('Feijão 1ª safra'!$E83:$Z83,MIN(R$6-$E$3,22))&lt;&gt;""),'Feijão 1ª safra'!$E83:INDEX('Feijão 1ª safra'!$E83:$Z83,MIN(R$6-$E$3,22))),0))-IF($G$2,0,IF((R$6-$G$3)&lt;1,0,IFERROR(LOOKUP(2,1/('Feijão 1ª safra'!$E83:INDEX('Feijão 1ª safra'!$E83:$Z83,MIN(R$6-$G$3,22))&lt;&gt;""),'Feijão 1ª safra'!$E83:INDEX('Feijão 1ª safra'!$E83:$Z83,MIN(R$6-$G$3,22))),0)))))</f>
        <v>0</v>
      </c>
      <c r="S85" s="27" t="n">
        <f aca="false">IF(COUNT('Feijão 1ª safra'!$E83:$Z83)=0,0,MAX(0,IF((S$6-$E$3)&lt;1,0,IFERROR(LOOKUP(2,1/('Feijão 1ª safra'!$E83:INDEX('Feijão 1ª safra'!$E83:$Z83,MIN(S$6-$E$3,22))&lt;&gt;""),'Feijão 1ª safra'!$E83:INDEX('Feijão 1ª safra'!$E83:$Z83,MIN(S$6-$E$3,22))),0))-IF($G$2,0,IF((S$6-$G$3)&lt;1,0,IFERROR(LOOKUP(2,1/('Feijão 1ª safra'!$E83:INDEX('Feijão 1ª safra'!$E83:$Z83,MIN(S$6-$G$3,22))&lt;&gt;""),'Feijão 1ª safra'!$E83:INDEX('Feijão 1ª safra'!$E83:$Z83,MIN(S$6-$G$3,22))),0)))))</f>
        <v>0</v>
      </c>
      <c r="T85" s="27" t="n">
        <f aca="false">IF(COUNT('Feijão 1ª safra'!$E83:$Z83)=0,0,MAX(0,IF((T$6-$E$3)&lt;1,0,IFERROR(LOOKUP(2,1/('Feijão 1ª safra'!$E83:INDEX('Feijão 1ª safra'!$E83:$Z83,MIN(T$6-$E$3,22))&lt;&gt;""),'Feijão 1ª safra'!$E83:INDEX('Feijão 1ª safra'!$E83:$Z83,MIN(T$6-$E$3,22))),0))-IF($G$2,0,IF((T$6-$G$3)&lt;1,0,IFERROR(LOOKUP(2,1/('Feijão 1ª safra'!$E83:INDEX('Feijão 1ª safra'!$E83:$Z83,MIN(T$6-$G$3,22))&lt;&gt;""),'Feijão 1ª safra'!$E83:INDEX('Feijão 1ª safra'!$E83:$Z83,MIN(T$6-$G$3,22))),0)))))</f>
        <v>0</v>
      </c>
      <c r="U85" s="27" t="n">
        <f aca="false">IF(COUNT('Feijão 1ª safra'!$E83:$Z83)=0,0,MAX(0,IF((U$6-$E$3)&lt;1,0,IFERROR(LOOKUP(2,1/('Feijão 1ª safra'!$E83:INDEX('Feijão 1ª safra'!$E83:$Z83,MIN(U$6-$E$3,22))&lt;&gt;""),'Feijão 1ª safra'!$E83:INDEX('Feijão 1ª safra'!$E83:$Z83,MIN(U$6-$E$3,22))),0))-IF($G$2,0,IF((U$6-$G$3)&lt;1,0,IFERROR(LOOKUP(2,1/('Feijão 1ª safra'!$E83:INDEX('Feijão 1ª safra'!$E83:$Z83,MIN(U$6-$G$3,22))&lt;&gt;""),'Feijão 1ª safra'!$E83:INDEX('Feijão 1ª safra'!$E83:$Z83,MIN(U$6-$G$3,22))),0)))))</f>
        <v>0</v>
      </c>
      <c r="V85" s="27" t="n">
        <f aca="false">IF(COUNT('Feijão 1ª safra'!$E83:$Z83)=0,0,MAX(0,IF((V$6-$E$3)&lt;1,0,IFERROR(LOOKUP(2,1/('Feijão 1ª safra'!$E83:INDEX('Feijão 1ª safra'!$E83:$Z83,MIN(V$6-$E$3,22))&lt;&gt;""),'Feijão 1ª safra'!$E83:INDEX('Feijão 1ª safra'!$E83:$Z83,MIN(V$6-$E$3,22))),0))-IF($G$2,0,IF((V$6-$G$3)&lt;1,0,IFERROR(LOOKUP(2,1/('Feijão 1ª safra'!$E83:INDEX('Feijão 1ª safra'!$E83:$Z83,MIN(V$6-$G$3,22))&lt;&gt;""),'Feijão 1ª safra'!$E83:INDEX('Feijão 1ª safra'!$E83:$Z83,MIN(V$6-$G$3,22))),0)))))</f>
        <v>0</v>
      </c>
      <c r="W85" s="27" t="n">
        <f aca="false">IF(COUNT('Feijão 1ª safra'!$E83:$Z83)=0,0,MAX(0,IF((W$6-$E$3)&lt;1,0,IFERROR(LOOKUP(2,1/('Feijão 1ª safra'!$E83:INDEX('Feijão 1ª safra'!$E83:$Z83,MIN(W$6-$E$3,22))&lt;&gt;""),'Feijão 1ª safra'!$E83:INDEX('Feijão 1ª safra'!$E83:$Z83,MIN(W$6-$E$3,22))),0))-IF($G$2,0,IF((W$6-$G$3)&lt;1,0,IFERROR(LOOKUP(2,1/('Feijão 1ª safra'!$E83:INDEX('Feijão 1ª safra'!$E83:$Z83,MIN(W$6-$G$3,22))&lt;&gt;""),'Feijão 1ª safra'!$E83:INDEX('Feijão 1ª safra'!$E83:$Z83,MIN(W$6-$G$3,22))),0)))))</f>
        <v>0</v>
      </c>
      <c r="X85" s="27" t="n">
        <f aca="false">IF(COUNT('Feijão 1ª safra'!$E83:$Z83)=0,0,MAX(0,IF((X$6-$E$3)&lt;1,0,IFERROR(LOOKUP(2,1/('Feijão 1ª safra'!$E83:INDEX('Feijão 1ª safra'!$E83:$Z83,MIN(X$6-$E$3,22))&lt;&gt;""),'Feijão 1ª safra'!$E83:INDEX('Feijão 1ª safra'!$E83:$Z83,MIN(X$6-$E$3,22))),0))-IF($G$2,0,IF((X$6-$G$3)&lt;1,0,IFERROR(LOOKUP(2,1/('Feijão 1ª safra'!$E83:INDEX('Feijão 1ª safra'!$E83:$Z83,MIN(X$6-$G$3,22))&lt;&gt;""),'Feijão 1ª safra'!$E83:INDEX('Feijão 1ª safra'!$E83:$Z83,MIN(X$6-$G$3,22))),0)))))</f>
        <v>0</v>
      </c>
      <c r="Y85" s="27" t="n">
        <f aca="false">IF(COUNT('Feijão 1ª safra'!$E83:$Z83)=0,0,MAX(0,IF((Y$6-$E$3)&lt;1,0,IFERROR(LOOKUP(2,1/('Feijão 1ª safra'!$E83:INDEX('Feijão 1ª safra'!$E83:$Z83,MIN(Y$6-$E$3,22))&lt;&gt;""),'Feijão 1ª safra'!$E83:INDEX('Feijão 1ª safra'!$E83:$Z83,MIN(Y$6-$E$3,22))),0))-IF($G$2,0,IF((Y$6-$G$3)&lt;1,0,IFERROR(LOOKUP(2,1/('Feijão 1ª safra'!$E83:INDEX('Feijão 1ª safra'!$E83:$Z83,MIN(Y$6-$G$3,22))&lt;&gt;""),'Feijão 1ª safra'!$E83:INDEX('Feijão 1ª safra'!$E83:$Z83,MIN(Y$6-$G$3,22))),0)))))</f>
        <v>0</v>
      </c>
      <c r="Z85" s="27" t="n">
        <f aca="false">IF(COUNT('Feijão 1ª safra'!$E83:$Z83)=0,0,MAX(0,IF((Z$6-$E$3)&lt;1,0,IFERROR(LOOKUP(2,1/('Feijão 1ª safra'!$E83:INDEX('Feijão 1ª safra'!$E83:$Z83,MIN(Z$6-$E$3,22))&lt;&gt;""),'Feijão 1ª safra'!$E83:INDEX('Feijão 1ª safra'!$E83:$Z83,MIN(Z$6-$E$3,22))),0))-IF($G$2,0,IF((Z$6-$G$3)&lt;1,0,IFERROR(LOOKUP(2,1/('Feijão 1ª safra'!$E83:INDEX('Feijão 1ª safra'!$E83:$Z83,MIN(Z$6-$G$3,22))&lt;&gt;""),'Feijão 1ª safra'!$E83:INDEX('Feijão 1ª safra'!$E83:$Z83,MIN(Z$6-$G$3,22))),0)))))</f>
        <v>0</v>
      </c>
      <c r="AA85" s="27" t="n">
        <f aca="false">IF(COUNT('Feijão 1ª safra'!$E83:$Z83)=0,0,MAX(0,IF((AA$6-$E$3)&lt;1,0,IFERROR(LOOKUP(2,1/('Feijão 1ª safra'!$E83:INDEX('Feijão 1ª safra'!$E83:$Z83,MIN(AA$6-$E$3,22))&lt;&gt;""),'Feijão 1ª safra'!$E83:INDEX('Feijão 1ª safra'!$E83:$Z83,MIN(AA$6-$E$3,22))),0))-IF($G$2,0,IF((AA$6-$G$3)&lt;1,0,IFERROR(LOOKUP(2,1/('Feijão 1ª safra'!$E83:INDEX('Feijão 1ª safra'!$E83:$Z83,MIN(AA$6-$G$3,22))&lt;&gt;""),'Feijão 1ª safra'!$E83:INDEX('Feijão 1ª safra'!$E83:$Z83,MIN(AA$6-$G$3,22))),0)))))</f>
        <v>0</v>
      </c>
      <c r="AB85" s="27" t="n">
        <f aca="false">IF(COUNT('Feijão 1ª safra'!$E83:$Z83)=0,0,MAX(0,IF((AB$6-$E$3)&lt;1,0,IFERROR(LOOKUP(2,1/('Feijão 1ª safra'!$E83:INDEX('Feijão 1ª safra'!$E83:$Z83,MIN(AB$6-$E$3,22))&lt;&gt;""),'Feijão 1ª safra'!$E83:INDEX('Feijão 1ª safra'!$E83:$Z83,MIN(AB$6-$E$3,22))),0))-IF($G$2,0,IF((AB$6-$G$3)&lt;1,0,IFERROR(LOOKUP(2,1/('Feijão 1ª safra'!$E83:INDEX('Feijão 1ª safra'!$E83:$Z83,MIN(AB$6-$G$3,22))&lt;&gt;""),'Feijão 1ª safra'!$E83:INDEX('Feijão 1ª safra'!$E83:$Z83,MIN(AB$6-$G$3,22))),0)))))</f>
        <v>0</v>
      </c>
      <c r="AC85" s="27" t="n">
        <f aca="false">IF(COUNT('Feijão 1ª safra'!$E83:$Z83)=0,0,MAX(0,IF((AC$6-$E$3)&lt;1,0,IFERROR(LOOKUP(2,1/('Feijão 1ª safra'!$E83:INDEX('Feijão 1ª safra'!$E83:$Z83,MIN(AC$6-$E$3,22))&lt;&gt;""),'Feijão 1ª safra'!$E83:INDEX('Feijão 1ª safra'!$E83:$Z83,MIN(AC$6-$E$3,22))),0))-IF($G$2,0,IF((AC$6-$G$3)&lt;1,0,IFERROR(LOOKUP(2,1/('Feijão 1ª safra'!$E83:INDEX('Feijão 1ª safra'!$E83:$Z83,MIN(AC$6-$G$3,22))&lt;&gt;""),'Feijão 1ª safra'!$E83:INDEX('Feijão 1ª safra'!$E83:$Z83,MIN(AC$6-$G$3,22))),0)))))</f>
        <v>0</v>
      </c>
      <c r="AD85" s="27" t="n">
        <f aca="false">IF(COUNT('Feijão 1ª safra'!$E83:$Z83)=0,0,MAX(0,IF((AD$6-$E$3)&lt;1,0,IFERROR(LOOKUP(2,1/('Feijão 1ª safra'!$E83:INDEX('Feijão 1ª safra'!$E83:$Z83,MIN(AD$6-$E$3,22))&lt;&gt;""),'Feijão 1ª safra'!$E83:INDEX('Feijão 1ª safra'!$E83:$Z83,MIN(AD$6-$E$3,22))),0))-IF($G$2,0,IF((AD$6-$G$3)&lt;1,0,IFERROR(LOOKUP(2,1/('Feijão 1ª safra'!$E83:INDEX('Feijão 1ª safra'!$E83:$Z83,MIN(AD$6-$G$3,22))&lt;&gt;""),'Feijão 1ª safra'!$E83:INDEX('Feijão 1ª safra'!$E83:$Z83,MIN(AD$6-$G$3,22))),0)))))</f>
        <v>0</v>
      </c>
      <c r="AE85" s="27" t="n">
        <f aca="false">IF(COUNT('Feijão 1ª safra'!$E83:$Z83)=0,0,MAX(0,IF((AE$6-$E$3)&lt;1,0,IFERROR(LOOKUP(2,1/('Feijão 1ª safra'!$E83:INDEX('Feijão 1ª safra'!$E83:$Z83,MIN(AE$6-$E$3,22))&lt;&gt;""),'Feijão 1ª safra'!$E83:INDEX('Feijão 1ª safra'!$E83:$Z83,MIN(AE$6-$E$3,22))),0))-IF($G$2,0,IF((AE$6-$G$3)&lt;1,0,IFERROR(LOOKUP(2,1/('Feijão 1ª safra'!$E83:INDEX('Feijão 1ª safra'!$E83:$Z83,MIN(AE$6-$G$3,22))&lt;&gt;""),'Feijão 1ª safra'!$E83:INDEX('Feijão 1ª safra'!$E83:$Z83,MIN(AE$6-$G$3,22))),0)))))</f>
        <v>0</v>
      </c>
      <c r="AF85" s="27" t="n">
        <f aca="false">IF(COUNT('Feijão 1ª safra'!$E83:$Z83)=0,0,MAX(0,IF((AF$6-$E$3)&lt;1,0,IFERROR(LOOKUP(2,1/('Feijão 1ª safra'!$E83:INDEX('Feijão 1ª safra'!$E83:$Z83,MIN(AF$6-$E$3,22))&lt;&gt;""),'Feijão 1ª safra'!$E83:INDEX('Feijão 1ª safra'!$E83:$Z83,MIN(AF$6-$E$3,22))),0))-IF($G$2,0,IF((AF$6-$G$3)&lt;1,0,IFERROR(LOOKUP(2,1/('Feijão 1ª safra'!$E83:INDEX('Feijão 1ª safra'!$E83:$Z83,MIN(AF$6-$G$3,22))&lt;&gt;""),'Feijão 1ª safra'!$E83:INDEX('Feijão 1ª safra'!$E83:$Z83,MIN(AF$6-$G$3,22))),0)))))</f>
        <v>0</v>
      </c>
      <c r="AG85" s="27" t="n">
        <f aca="false">IF(COUNT('Feijão 1ª safra'!$E83:$Z83)=0,0,MAX(0,IF((AG$6-$E$3)&lt;1,0,IFERROR(LOOKUP(2,1/('Feijão 1ª safra'!$E83:INDEX('Feijão 1ª safra'!$E83:$Z83,MIN(AG$6-$E$3,22))&lt;&gt;""),'Feijão 1ª safra'!$E83:INDEX('Feijão 1ª safra'!$E83:$Z83,MIN(AG$6-$E$3,22))),0))-IF($G$2,0,IF((AG$6-$G$3)&lt;1,0,IFERROR(LOOKUP(2,1/('Feijão 1ª safra'!$E83:INDEX('Feijão 1ª safra'!$E83:$Z83,MIN(AG$6-$G$3,22))&lt;&gt;""),'Feijão 1ª safra'!$E83:INDEX('Feijão 1ª safra'!$E83:$Z83,MIN(AG$6-$G$3,22))),0)))))</f>
        <v>0</v>
      </c>
      <c r="AH85" s="27" t="n">
        <f aca="false">IF(COUNT('Feijão 1ª safra'!$E83:$Z83)=0,0,MAX(0,IF((AH$6-$E$3)&lt;1,0,IFERROR(LOOKUP(2,1/('Feijão 1ª safra'!$E83:INDEX('Feijão 1ª safra'!$E83:$Z83,MIN(AH$6-$E$3,22))&lt;&gt;""),'Feijão 1ª safra'!$E83:INDEX('Feijão 1ª safra'!$E83:$Z83,MIN(AH$6-$E$3,22))),0))-IF($G$2,0,IF((AH$6-$G$3)&lt;1,0,IFERROR(LOOKUP(2,1/('Feijão 1ª safra'!$E83:INDEX('Feijão 1ª safra'!$E83:$Z83,MIN(AH$6-$G$3,22))&lt;&gt;""),'Feijão 1ª safra'!$E83:INDEX('Feijão 1ª safra'!$E83:$Z83,MIN(AH$6-$G$3,22))),0)))))</f>
        <v>0</v>
      </c>
      <c r="AI85" s="27" t="n">
        <f aca="false">IF(COUNT('Feijão 1ª safra'!$E83:$Z83)=0,0,MAX(0,IF((AI$6-$E$3)&lt;1,0,IFERROR(LOOKUP(2,1/('Feijão 1ª safra'!$E83:INDEX('Feijão 1ª safra'!$E83:$Z83,MIN(AI$6-$E$3,22))&lt;&gt;""),'Feijão 1ª safra'!$E83:INDEX('Feijão 1ª safra'!$E83:$Z83,MIN(AI$6-$E$3,22))),0))-IF($G$2,0,IF((AI$6-$G$3)&lt;1,0,IFERROR(LOOKUP(2,1/('Feijão 1ª safra'!$E83:INDEX('Feijão 1ª safra'!$E83:$Z83,MIN(AI$6-$G$3,22))&lt;&gt;""),'Feijão 1ª safra'!$E83:INDEX('Feijão 1ª safra'!$E83:$Z83,MIN(AI$6-$G$3,22))),0)))))</f>
        <v>0</v>
      </c>
      <c r="AJ85" s="27" t="n">
        <f aca="false">IF(COUNT('Feijão 1ª safra'!$E83:$Z83)=0,0,MAX(0,IF((AJ$6-$E$3)&lt;1,0,IFERROR(LOOKUP(2,1/('Feijão 1ª safra'!$E83:INDEX('Feijão 1ª safra'!$E83:$Z83,MIN(AJ$6-$E$3,22))&lt;&gt;""),'Feijão 1ª safra'!$E83:INDEX('Feijão 1ª safra'!$E83:$Z83,MIN(AJ$6-$E$3,22))),0))-IF($G$2,0,IF((AJ$6-$G$3)&lt;1,0,IFERROR(LOOKUP(2,1/('Feijão 1ª safra'!$E83:INDEX('Feijão 1ª safra'!$E83:$Z83,MIN(AJ$6-$G$3,22))&lt;&gt;""),'Feijão 1ª safra'!$E83:INDEX('Feijão 1ª safra'!$E83:$Z83,MIN(AJ$6-$G$3,22))),0)))))</f>
        <v>0</v>
      </c>
      <c r="AK85" s="27" t="n">
        <f aca="false">IF(COUNT('Feijão 1ª safra'!$E83:$Z83)=0,0,MAX(0,IF((AK$6-$E$3)&lt;1,0,IFERROR(LOOKUP(2,1/('Feijão 1ª safra'!$E83:INDEX('Feijão 1ª safra'!$E83:$Z83,MIN(AK$6-$E$3,22))&lt;&gt;""),'Feijão 1ª safra'!$E83:INDEX('Feijão 1ª safra'!$E83:$Z83,MIN(AK$6-$E$3,22))),0))-IF($G$2,0,IF((AK$6-$G$3)&lt;1,0,IFERROR(LOOKUP(2,1/('Feijão 1ª safra'!$E83:INDEX('Feijão 1ª safra'!$E83:$Z83,MIN(AK$6-$G$3,22))&lt;&gt;""),'Feijão 1ª safra'!$E83:INDEX('Feijão 1ª safra'!$E83:$Z83,MIN(AK$6-$G$3,22))),0)))))</f>
        <v>0</v>
      </c>
      <c r="AL85" s="27" t="n">
        <f aca="false">IF(COUNT('Feijão 1ª safra'!$E83:$Z83)=0,0,MAX(0,IF((AL$6-$E$3)&lt;1,0,IFERROR(LOOKUP(2,1/('Feijão 1ª safra'!$E83:INDEX('Feijão 1ª safra'!$E83:$Z83,MIN(AL$6-$E$3,22))&lt;&gt;""),'Feijão 1ª safra'!$E83:INDEX('Feijão 1ª safra'!$E83:$Z83,MIN(AL$6-$E$3,22))),0))-IF($G$2,0,IF((AL$6-$G$3)&lt;1,0,IFERROR(LOOKUP(2,1/('Feijão 1ª safra'!$E83:INDEX('Feijão 1ª safra'!$E83:$Z83,MIN(AL$6-$G$3,22))&lt;&gt;""),'Feijão 1ª safra'!$E83:INDEX('Feijão 1ª safra'!$E83:$Z83,MIN(AL$6-$G$3,22))),0)))))</f>
        <v>0</v>
      </c>
      <c r="AM85" s="27" t="n">
        <f aca="false">IF(COUNT('Feijão 1ª safra'!$E83:$Z83)=0,0,MAX(0,IF((AM$6-$E$3)&lt;1,0,IFERROR(LOOKUP(2,1/('Feijão 1ª safra'!$E83:INDEX('Feijão 1ª safra'!$E83:$Z83,MIN(AM$6-$E$3,22))&lt;&gt;""),'Feijão 1ª safra'!$E83:INDEX('Feijão 1ª safra'!$E83:$Z83,MIN(AM$6-$E$3,22))),0))-IF($G$2,0,IF((AM$6-$G$3)&lt;1,0,IFERROR(LOOKUP(2,1/('Feijão 1ª safra'!$E83:INDEX('Feijão 1ª safra'!$E83:$Z83,MIN(AM$6-$G$3,22))&lt;&gt;""),'Feijão 1ª safra'!$E83:INDEX('Feijão 1ª safra'!$E83:$Z83,MIN(AM$6-$G$3,22))),0)))))</f>
        <v>0</v>
      </c>
      <c r="AN85" s="27" t="n">
        <f aca="false">IF(COUNT('Feijão 1ª safra'!$E83:$Z83)=0,0,MAX(0,IF((AN$6-$E$3)&lt;1,0,IFERROR(LOOKUP(2,1/('Feijão 1ª safra'!$E83:INDEX('Feijão 1ª safra'!$E83:$Z83,MIN(AN$6-$E$3,22))&lt;&gt;""),'Feijão 1ª safra'!$E83:INDEX('Feijão 1ª safra'!$E83:$Z83,MIN(AN$6-$E$3,22))),0))-IF($G$2,0,IF((AN$6-$G$3)&lt;1,0,IFERROR(LOOKUP(2,1/('Feijão 1ª safra'!$E83:INDEX('Feijão 1ª safra'!$E83:$Z83,MIN(AN$6-$G$3,22))&lt;&gt;""),'Feijão 1ª safra'!$E83:INDEX('Feijão 1ª safra'!$E83:$Z83,MIN(AN$6-$G$3,22))),0)))))</f>
        <v>0</v>
      </c>
      <c r="AO85" s="27" t="n">
        <f aca="false">IF(COUNT('Feijão 1ª safra'!$E83:$Z83)=0,0,MAX(0,IF((AO$6-$E$3)&lt;1,0,IFERROR(LOOKUP(2,1/('Feijão 1ª safra'!$E83:INDEX('Feijão 1ª safra'!$E83:$Z83,MIN(AO$6-$E$3,22))&lt;&gt;""),'Feijão 1ª safra'!$E83:INDEX('Feijão 1ª safra'!$E83:$Z83,MIN(AO$6-$E$3,22))),0))-IF($G$2,0,IF((AO$6-$G$3)&lt;1,0,IFERROR(LOOKUP(2,1/('Feijão 1ª safra'!$E83:INDEX('Feijão 1ª safra'!$E83:$Z83,MIN(AO$6-$G$3,22))&lt;&gt;""),'Feijão 1ª safra'!$E83:INDEX('Feijão 1ª safra'!$E83:$Z83,MIN(AO$6-$G$3,22))),0)))))</f>
        <v>0</v>
      </c>
      <c r="AP85" s="27" t="n">
        <f aca="false">IF(COUNT('Feijão 1ª safra'!$E83:$Z83)=0,0,MAX(0,IF((AP$6-$E$3)&lt;1,0,IFERROR(LOOKUP(2,1/('Feijão 1ª safra'!$E83:INDEX('Feijão 1ª safra'!$E83:$Z83,MIN(AP$6-$E$3,22))&lt;&gt;""),'Feijão 1ª safra'!$E83:INDEX('Feijão 1ª safra'!$E83:$Z83,MIN(AP$6-$E$3,22))),0))-IF($G$2,0,IF((AP$6-$G$3)&lt;1,0,IFERROR(LOOKUP(2,1/('Feijão 1ª safra'!$E83:INDEX('Feijão 1ª safra'!$E83:$Z83,MIN(AP$6-$G$3,22))&lt;&gt;""),'Feijão 1ª safra'!$E83:INDEX('Feijão 1ª safra'!$E83:$Z83,MIN(AP$6-$G$3,22))),0)))))</f>
        <v>0</v>
      </c>
      <c r="AQ85" s="27" t="n">
        <f aca="false">IF(COUNT('Feijão 1ª safra'!$E83:$Z83)=0,0,MAX(0,IF((AQ$6-$E$3)&lt;1,0,IFERROR(LOOKUP(2,1/('Feijão 1ª safra'!$E83:INDEX('Feijão 1ª safra'!$E83:$Z83,MIN(AQ$6-$E$3,22))&lt;&gt;""),'Feijão 1ª safra'!$E83:INDEX('Feijão 1ª safra'!$E83:$Z83,MIN(AQ$6-$E$3,22))),0))-IF($G$2,0,IF((AQ$6-$G$3)&lt;1,0,IFERROR(LOOKUP(2,1/('Feijão 1ª safra'!$E83:INDEX('Feijão 1ª safra'!$E83:$Z83,MIN(AQ$6-$G$3,22))&lt;&gt;""),'Feijão 1ª safra'!$E83:INDEX('Feijão 1ª safra'!$E83:$Z83,MIN(AQ$6-$G$3,22))),0)))))</f>
        <v>0</v>
      </c>
      <c r="AR85" s="27" t="n">
        <f aca="false">IF(COUNT('Feijão 1ª safra'!$E83:$Z83)=0,0,MAX(0,IF((AR$6-$E$3)&lt;1,0,IFERROR(LOOKUP(2,1/('Feijão 1ª safra'!$E83:INDEX('Feijão 1ª safra'!$E83:$Z83,MIN(AR$6-$E$3,22))&lt;&gt;""),'Feijão 1ª safra'!$E83:INDEX('Feijão 1ª safra'!$E83:$Z83,MIN(AR$6-$E$3,22))),0))-IF($G$2,0,IF((AR$6-$G$3)&lt;1,0,IFERROR(LOOKUP(2,1/('Feijão 1ª safra'!$E83:INDEX('Feijão 1ª safra'!$E83:$Z83,MIN(AR$6-$G$3,22))&lt;&gt;""),'Feijão 1ª safra'!$E83:INDEX('Feijão 1ª safra'!$E83:$Z83,MIN(AR$6-$G$3,22))),0)))))</f>
        <v>0</v>
      </c>
      <c r="AS85" s="27" t="n">
        <f aca="false">IF(COUNT('Feijão 1ª safra'!$E83:$Z83)=0,0,MAX(0,IF((AS$6-$E$3)&lt;1,0,IFERROR(LOOKUP(2,1/('Feijão 1ª safra'!$E83:INDEX('Feijão 1ª safra'!$E83:$Z83,MIN(AS$6-$E$3,22))&lt;&gt;""),'Feijão 1ª safra'!$E83:INDEX('Feijão 1ª safra'!$E83:$Z83,MIN(AS$6-$E$3,22))),0))-IF($G$2,0,IF((AS$6-$G$3)&lt;1,0,IFERROR(LOOKUP(2,1/('Feijão 1ª safra'!$E83:INDEX('Feijão 1ª safra'!$E83:$Z83,MIN(AS$6-$G$3,22))&lt;&gt;""),'Feijão 1ª safra'!$E83:INDEX('Feijão 1ª safra'!$E83:$Z83,MIN(AS$6-$G$3,22))),0)))))</f>
        <v>0</v>
      </c>
      <c r="AT85" s="27" t="n">
        <f aca="false">IF(COUNT('Feijão 1ª safra'!$E83:$Z83)=0,0,MAX(0,IF((AT$6-$E$3)&lt;1,0,IFERROR(LOOKUP(2,1/('Feijão 1ª safra'!$E83:INDEX('Feijão 1ª safra'!$E83:$Z83,MIN(AT$6-$E$3,22))&lt;&gt;""),'Feijão 1ª safra'!$E83:INDEX('Feijão 1ª safra'!$E83:$Z83,MIN(AT$6-$E$3,22))),0))-IF($G$2,0,IF((AT$6-$G$3)&lt;1,0,IFERROR(LOOKUP(2,1/('Feijão 1ª safra'!$E83:INDEX('Feijão 1ª safra'!$E83:$Z83,MIN(AT$6-$G$3,22))&lt;&gt;""),'Feijão 1ª safra'!$E83:INDEX('Feijão 1ª safra'!$E83:$Z83,MIN(AT$6-$G$3,22))),0)))))</f>
        <v>0</v>
      </c>
      <c r="AU85" s="27" t="n">
        <f aca="false">IF(COUNT('Feijão 1ª safra'!$E83:$Z83)=0,0,MAX(0,IF((AU$6-$E$3)&lt;1,0,IFERROR(LOOKUP(2,1/('Feijão 1ª safra'!$E83:INDEX('Feijão 1ª safra'!$E83:$Z83,MIN(AU$6-$E$3,22))&lt;&gt;""),'Feijão 1ª safra'!$E83:INDEX('Feijão 1ª safra'!$E83:$Z83,MIN(AU$6-$E$3,22))),0))-IF($G$2,0,IF((AU$6-$G$3)&lt;1,0,IFERROR(LOOKUP(2,1/('Feijão 1ª safra'!$E83:INDEX('Feijão 1ª safra'!$E83:$Z83,MIN(AU$6-$G$3,22))&lt;&gt;""),'Feijão 1ª safra'!$E83:INDEX('Feijão 1ª safra'!$E83:$Z83,MIN(AU$6-$G$3,22))),0)))))</f>
        <v>0</v>
      </c>
      <c r="AV85" s="27" t="n">
        <f aca="false">IF(COUNT('Feijão 1ª safra'!$E83:$Z83)=0,0,MAX(0,IF((AV$6-$E$3)&lt;1,0,IFERROR(LOOKUP(2,1/('Feijão 1ª safra'!$E83:INDEX('Feijão 1ª safra'!$E83:$Z83,MIN(AV$6-$E$3,22))&lt;&gt;""),'Feijão 1ª safra'!$E83:INDEX('Feijão 1ª safra'!$E83:$Z83,MIN(AV$6-$E$3,22))),0))-IF($G$2,0,IF((AV$6-$G$3)&lt;1,0,IFERROR(LOOKUP(2,1/('Feijão 1ª safra'!$E83:INDEX('Feijão 1ª safra'!$E83:$Z83,MIN(AV$6-$G$3,22))&lt;&gt;""),'Feijão 1ª safra'!$E83:INDEX('Feijão 1ª safra'!$E83:$Z83,MIN(AV$6-$G$3,22))),0)))))</f>
        <v>0</v>
      </c>
      <c r="AW85" s="27" t="n">
        <f aca="false">IF(COUNT('Feijão 1ª safra'!$E83:$Z83)=0,0,MAX(0,IF((AW$6-$E$3)&lt;1,0,IFERROR(LOOKUP(2,1/('Feijão 1ª safra'!$E83:INDEX('Feijão 1ª safra'!$E83:$Z83,MIN(AW$6-$E$3,22))&lt;&gt;""),'Feijão 1ª safra'!$E83:INDEX('Feijão 1ª safra'!$E83:$Z83,MIN(AW$6-$E$3,22))),0))-IF($G$2,0,IF((AW$6-$G$3)&lt;1,0,IFERROR(LOOKUP(2,1/('Feijão 1ª safra'!$E83:INDEX('Feijão 1ª safra'!$E83:$Z83,MIN(AW$6-$G$3,22))&lt;&gt;""),'Feijão 1ª safra'!$E83:INDEX('Feijão 1ª safra'!$E83:$Z83,MIN(AW$6-$G$3,22))),0)))))</f>
        <v>0</v>
      </c>
      <c r="AX85" s="27" t="n">
        <f aca="false">IF(COUNT('Feijão 1ª safra'!$E83:$Z83)=0,0,MAX(0,IF((AX$6-$E$3)&lt;1,0,IFERROR(LOOKUP(2,1/('Feijão 1ª safra'!$E83:INDEX('Feijão 1ª safra'!$E83:$Z83,MIN(AX$6-$E$3,22))&lt;&gt;""),'Feijão 1ª safra'!$E83:INDEX('Feijão 1ª safra'!$E83:$Z83,MIN(AX$6-$E$3,22))),0))-IF($G$2,0,IF((AX$6-$G$3)&lt;1,0,IFERROR(LOOKUP(2,1/('Feijão 1ª safra'!$E83:INDEX('Feijão 1ª safra'!$E83:$Z83,MIN(AX$6-$G$3,22))&lt;&gt;""),'Feijão 1ª safra'!$E83:INDEX('Feijão 1ª safra'!$E83:$Z83,MIN(AX$6-$G$3,22))),0)))))</f>
        <v>0</v>
      </c>
      <c r="AY85" s="27" t="n">
        <f aca="false">IF(COUNT('Feijão 1ª safra'!$E83:$Z83)=0,0,MAX(0,IF((AY$6-$E$3)&lt;1,0,IFERROR(LOOKUP(2,1/('Feijão 1ª safra'!$E83:INDEX('Feijão 1ª safra'!$E83:$Z83,MIN(AY$6-$E$3,22))&lt;&gt;""),'Feijão 1ª safra'!$E83:INDEX('Feijão 1ª safra'!$E83:$Z83,MIN(AY$6-$E$3,22))),0))-IF($G$2,0,IF((AY$6-$G$3)&lt;1,0,IFERROR(LOOKUP(2,1/('Feijão 1ª safra'!$E83:INDEX('Feijão 1ª safra'!$E83:$Z83,MIN(AY$6-$G$3,22))&lt;&gt;""),'Feijão 1ª safra'!$E83:INDEX('Feijão 1ª safra'!$E83:$Z83,MIN(AY$6-$G$3,22))),0)))))</f>
        <v>0</v>
      </c>
      <c r="AZ85" s="27" t="n">
        <f aca="false">IF(COUNT('Feijão 1ª safra'!$E83:$Z83)=0,0,MAX(0,IF((AZ$6-$E$3)&lt;1,0,IFERROR(LOOKUP(2,1/('Feijão 1ª safra'!$E83:INDEX('Feijão 1ª safra'!$E83:$Z83,MIN(AZ$6-$E$3,22))&lt;&gt;""),'Feijão 1ª safra'!$E83:INDEX('Feijão 1ª safra'!$E83:$Z83,MIN(AZ$6-$E$3,22))),0))-IF($G$2,0,IF((AZ$6-$G$3)&lt;1,0,IFERROR(LOOKUP(2,1/('Feijão 1ª safra'!$E83:INDEX('Feijão 1ª safra'!$E83:$Z83,MIN(AZ$6-$G$3,22))&lt;&gt;""),'Feijão 1ª safra'!$E83:INDEX('Feijão 1ª safra'!$E83:$Z83,MIN(AZ$6-$G$3,22))),0)))))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IF(COUNT('Feijão 1ª safra'!$E84:$Z84)&gt;0,N('Feijão 1ª safra'!$D84),0)</f>
        <v>0</v>
      </c>
      <c r="E86" s="27" t="n">
        <f aca="false">IF(COUNT('Feijão 1ª safra'!$E84:$Z84)=0,0,MAX(0,IF((E$6-$E$3)&lt;1,0,IFERROR(LOOKUP(2,1/('Feijão 1ª safra'!$E84:INDEX('Feijão 1ª safra'!$E84:$Z84,MIN(E$6-$E$3,22))&lt;&gt;""),'Feijão 1ª safra'!$E84:INDEX('Feijão 1ª safra'!$E84:$Z84,MIN(E$6-$E$3,22))),0))-IF($G$2,0,IF((E$6-$G$3)&lt;1,0,IFERROR(LOOKUP(2,1/('Feijão 1ª safra'!$E84:INDEX('Feijão 1ª safra'!$E84:$Z84,MIN(E$6-$G$3,22))&lt;&gt;""),'Feijão 1ª safra'!$E84:INDEX('Feijão 1ª safra'!$E84:$Z84,MIN(E$6-$G$3,22))),0)))))</f>
        <v>0</v>
      </c>
      <c r="F86" s="27" t="n">
        <f aca="false">IF(COUNT('Feijão 1ª safra'!$E84:$Z84)=0,0,MAX(0,IF((F$6-$E$3)&lt;1,0,IFERROR(LOOKUP(2,1/('Feijão 1ª safra'!$E84:INDEX('Feijão 1ª safra'!$E84:$Z84,MIN(F$6-$E$3,22))&lt;&gt;""),'Feijão 1ª safra'!$E84:INDEX('Feijão 1ª safra'!$E84:$Z84,MIN(F$6-$E$3,22))),0))-IF($G$2,0,IF((F$6-$G$3)&lt;1,0,IFERROR(LOOKUP(2,1/('Feijão 1ª safra'!$E84:INDEX('Feijão 1ª safra'!$E84:$Z84,MIN(F$6-$G$3,22))&lt;&gt;""),'Feijão 1ª safra'!$E84:INDEX('Feijão 1ª safra'!$E84:$Z84,MIN(F$6-$G$3,22))),0)))))</f>
        <v>0</v>
      </c>
      <c r="G86" s="27" t="n">
        <f aca="false">IF(COUNT('Feijão 1ª safra'!$E84:$Z84)=0,0,MAX(0,IF((G$6-$E$3)&lt;1,0,IFERROR(LOOKUP(2,1/('Feijão 1ª safra'!$E84:INDEX('Feijão 1ª safra'!$E84:$Z84,MIN(G$6-$E$3,22))&lt;&gt;""),'Feijão 1ª safra'!$E84:INDEX('Feijão 1ª safra'!$E84:$Z84,MIN(G$6-$E$3,22))),0))-IF($G$2,0,IF((G$6-$G$3)&lt;1,0,IFERROR(LOOKUP(2,1/('Feijão 1ª safra'!$E84:INDEX('Feijão 1ª safra'!$E84:$Z84,MIN(G$6-$G$3,22))&lt;&gt;""),'Feijão 1ª safra'!$E84:INDEX('Feijão 1ª safra'!$E84:$Z84,MIN(G$6-$G$3,22))),0)))))</f>
        <v>0</v>
      </c>
      <c r="H86" s="27" t="n">
        <f aca="false">IF(COUNT('Feijão 1ª safra'!$E84:$Z84)=0,0,MAX(0,IF((H$6-$E$3)&lt;1,0,IFERROR(LOOKUP(2,1/('Feijão 1ª safra'!$E84:INDEX('Feijão 1ª safra'!$E84:$Z84,MIN(H$6-$E$3,22))&lt;&gt;""),'Feijão 1ª safra'!$E84:INDEX('Feijão 1ª safra'!$E84:$Z84,MIN(H$6-$E$3,22))),0))-IF($G$2,0,IF((H$6-$G$3)&lt;1,0,IFERROR(LOOKUP(2,1/('Feijão 1ª safra'!$E84:INDEX('Feijão 1ª safra'!$E84:$Z84,MIN(H$6-$G$3,22))&lt;&gt;""),'Feijão 1ª safra'!$E84:INDEX('Feijão 1ª safra'!$E84:$Z84,MIN(H$6-$G$3,22))),0)))))</f>
        <v>0</v>
      </c>
      <c r="I86" s="27" t="n">
        <f aca="false">IF(COUNT('Feijão 1ª safra'!$E84:$Z84)=0,0,MAX(0,IF((I$6-$E$3)&lt;1,0,IFERROR(LOOKUP(2,1/('Feijão 1ª safra'!$E84:INDEX('Feijão 1ª safra'!$E84:$Z84,MIN(I$6-$E$3,22))&lt;&gt;""),'Feijão 1ª safra'!$E84:INDEX('Feijão 1ª safra'!$E84:$Z84,MIN(I$6-$E$3,22))),0))-IF($G$2,0,IF((I$6-$G$3)&lt;1,0,IFERROR(LOOKUP(2,1/('Feijão 1ª safra'!$E84:INDEX('Feijão 1ª safra'!$E84:$Z84,MIN(I$6-$G$3,22))&lt;&gt;""),'Feijão 1ª safra'!$E84:INDEX('Feijão 1ª safra'!$E84:$Z84,MIN(I$6-$G$3,22))),0)))))</f>
        <v>0</v>
      </c>
      <c r="J86" s="27" t="n">
        <f aca="false">IF(COUNT('Feijão 1ª safra'!$E84:$Z84)=0,0,MAX(0,IF((J$6-$E$3)&lt;1,0,IFERROR(LOOKUP(2,1/('Feijão 1ª safra'!$E84:INDEX('Feijão 1ª safra'!$E84:$Z84,MIN(J$6-$E$3,22))&lt;&gt;""),'Feijão 1ª safra'!$E84:INDEX('Feijão 1ª safra'!$E84:$Z84,MIN(J$6-$E$3,22))),0))-IF($G$2,0,IF((J$6-$G$3)&lt;1,0,IFERROR(LOOKUP(2,1/('Feijão 1ª safra'!$E84:INDEX('Feijão 1ª safra'!$E84:$Z84,MIN(J$6-$G$3,22))&lt;&gt;""),'Feijão 1ª safra'!$E84:INDEX('Feijão 1ª safra'!$E84:$Z84,MIN(J$6-$G$3,22))),0)))))</f>
        <v>0</v>
      </c>
      <c r="K86" s="27" t="n">
        <f aca="false">IF(COUNT('Feijão 1ª safra'!$E84:$Z84)=0,0,MAX(0,IF((K$6-$E$3)&lt;1,0,IFERROR(LOOKUP(2,1/('Feijão 1ª safra'!$E84:INDEX('Feijão 1ª safra'!$E84:$Z84,MIN(K$6-$E$3,22))&lt;&gt;""),'Feijão 1ª safra'!$E84:INDEX('Feijão 1ª safra'!$E84:$Z84,MIN(K$6-$E$3,22))),0))-IF($G$2,0,IF((K$6-$G$3)&lt;1,0,IFERROR(LOOKUP(2,1/('Feijão 1ª safra'!$E84:INDEX('Feijão 1ª safra'!$E84:$Z84,MIN(K$6-$G$3,22))&lt;&gt;""),'Feijão 1ª safra'!$E84:INDEX('Feijão 1ª safra'!$E84:$Z84,MIN(K$6-$G$3,22))),0)))))</f>
        <v>0</v>
      </c>
      <c r="L86" s="27" t="n">
        <f aca="false">IF(COUNT('Feijão 1ª safra'!$E84:$Z84)=0,0,MAX(0,IF((L$6-$E$3)&lt;1,0,IFERROR(LOOKUP(2,1/('Feijão 1ª safra'!$E84:INDEX('Feijão 1ª safra'!$E84:$Z84,MIN(L$6-$E$3,22))&lt;&gt;""),'Feijão 1ª safra'!$E84:INDEX('Feijão 1ª safra'!$E84:$Z84,MIN(L$6-$E$3,22))),0))-IF($G$2,0,IF((L$6-$G$3)&lt;1,0,IFERROR(LOOKUP(2,1/('Feijão 1ª safra'!$E84:INDEX('Feijão 1ª safra'!$E84:$Z84,MIN(L$6-$G$3,22))&lt;&gt;""),'Feijão 1ª safra'!$E84:INDEX('Feijão 1ª safra'!$E84:$Z84,MIN(L$6-$G$3,22))),0)))))</f>
        <v>0</v>
      </c>
      <c r="M86" s="27" t="n">
        <f aca="false">IF(COUNT('Feijão 1ª safra'!$E84:$Z84)=0,0,MAX(0,IF((M$6-$E$3)&lt;1,0,IFERROR(LOOKUP(2,1/('Feijão 1ª safra'!$E84:INDEX('Feijão 1ª safra'!$E84:$Z84,MIN(M$6-$E$3,22))&lt;&gt;""),'Feijão 1ª safra'!$E84:INDEX('Feijão 1ª safra'!$E84:$Z84,MIN(M$6-$E$3,22))),0))-IF($G$2,0,IF((M$6-$G$3)&lt;1,0,IFERROR(LOOKUP(2,1/('Feijão 1ª safra'!$E84:INDEX('Feijão 1ª safra'!$E84:$Z84,MIN(M$6-$G$3,22))&lt;&gt;""),'Feijão 1ª safra'!$E84:INDEX('Feijão 1ª safra'!$E84:$Z84,MIN(M$6-$G$3,22))),0)))))</f>
        <v>0</v>
      </c>
      <c r="N86" s="27" t="n">
        <f aca="false">IF(COUNT('Feijão 1ª safra'!$E84:$Z84)=0,0,MAX(0,IF((N$6-$E$3)&lt;1,0,IFERROR(LOOKUP(2,1/('Feijão 1ª safra'!$E84:INDEX('Feijão 1ª safra'!$E84:$Z84,MIN(N$6-$E$3,22))&lt;&gt;""),'Feijão 1ª safra'!$E84:INDEX('Feijão 1ª safra'!$E84:$Z84,MIN(N$6-$E$3,22))),0))-IF($G$2,0,IF((N$6-$G$3)&lt;1,0,IFERROR(LOOKUP(2,1/('Feijão 1ª safra'!$E84:INDEX('Feijão 1ª safra'!$E84:$Z84,MIN(N$6-$G$3,22))&lt;&gt;""),'Feijão 1ª safra'!$E84:INDEX('Feijão 1ª safra'!$E84:$Z84,MIN(N$6-$G$3,22))),0)))))</f>
        <v>0</v>
      </c>
      <c r="O86" s="27" t="n">
        <f aca="false">IF(COUNT('Feijão 1ª safra'!$E84:$Z84)=0,0,MAX(0,IF((O$6-$E$3)&lt;1,0,IFERROR(LOOKUP(2,1/('Feijão 1ª safra'!$E84:INDEX('Feijão 1ª safra'!$E84:$Z84,MIN(O$6-$E$3,22))&lt;&gt;""),'Feijão 1ª safra'!$E84:INDEX('Feijão 1ª safra'!$E84:$Z84,MIN(O$6-$E$3,22))),0))-IF($G$2,0,IF((O$6-$G$3)&lt;1,0,IFERROR(LOOKUP(2,1/('Feijão 1ª safra'!$E84:INDEX('Feijão 1ª safra'!$E84:$Z84,MIN(O$6-$G$3,22))&lt;&gt;""),'Feijão 1ª safra'!$E84:INDEX('Feijão 1ª safra'!$E84:$Z84,MIN(O$6-$G$3,22))),0)))))</f>
        <v>0</v>
      </c>
      <c r="P86" s="27" t="n">
        <f aca="false">IF(COUNT('Feijão 1ª safra'!$E84:$Z84)=0,0,MAX(0,IF((P$6-$E$3)&lt;1,0,IFERROR(LOOKUP(2,1/('Feijão 1ª safra'!$E84:INDEX('Feijão 1ª safra'!$E84:$Z84,MIN(P$6-$E$3,22))&lt;&gt;""),'Feijão 1ª safra'!$E84:INDEX('Feijão 1ª safra'!$E84:$Z84,MIN(P$6-$E$3,22))),0))-IF($G$2,0,IF((P$6-$G$3)&lt;1,0,IFERROR(LOOKUP(2,1/('Feijão 1ª safra'!$E84:INDEX('Feijão 1ª safra'!$E84:$Z84,MIN(P$6-$G$3,22))&lt;&gt;""),'Feijão 1ª safra'!$E84:INDEX('Feijão 1ª safra'!$E84:$Z84,MIN(P$6-$G$3,22))),0)))))</f>
        <v>0</v>
      </c>
      <c r="Q86" s="27" t="n">
        <f aca="false">IF(COUNT('Feijão 1ª safra'!$E84:$Z84)=0,0,MAX(0,IF((Q$6-$E$3)&lt;1,0,IFERROR(LOOKUP(2,1/('Feijão 1ª safra'!$E84:INDEX('Feijão 1ª safra'!$E84:$Z84,MIN(Q$6-$E$3,22))&lt;&gt;""),'Feijão 1ª safra'!$E84:INDEX('Feijão 1ª safra'!$E84:$Z84,MIN(Q$6-$E$3,22))),0))-IF($G$2,0,IF((Q$6-$G$3)&lt;1,0,IFERROR(LOOKUP(2,1/('Feijão 1ª safra'!$E84:INDEX('Feijão 1ª safra'!$E84:$Z84,MIN(Q$6-$G$3,22))&lt;&gt;""),'Feijão 1ª safra'!$E84:INDEX('Feijão 1ª safra'!$E84:$Z84,MIN(Q$6-$G$3,22))),0)))))</f>
        <v>0</v>
      </c>
      <c r="R86" s="27" t="n">
        <f aca="false">IF(COUNT('Feijão 1ª safra'!$E84:$Z84)=0,0,MAX(0,IF((R$6-$E$3)&lt;1,0,IFERROR(LOOKUP(2,1/('Feijão 1ª safra'!$E84:INDEX('Feijão 1ª safra'!$E84:$Z84,MIN(R$6-$E$3,22))&lt;&gt;""),'Feijão 1ª safra'!$E84:INDEX('Feijão 1ª safra'!$E84:$Z84,MIN(R$6-$E$3,22))),0))-IF($G$2,0,IF((R$6-$G$3)&lt;1,0,IFERROR(LOOKUP(2,1/('Feijão 1ª safra'!$E84:INDEX('Feijão 1ª safra'!$E84:$Z84,MIN(R$6-$G$3,22))&lt;&gt;""),'Feijão 1ª safra'!$E84:INDEX('Feijão 1ª safra'!$E84:$Z84,MIN(R$6-$G$3,22))),0)))))</f>
        <v>0</v>
      </c>
      <c r="S86" s="27" t="n">
        <f aca="false">IF(COUNT('Feijão 1ª safra'!$E84:$Z84)=0,0,MAX(0,IF((S$6-$E$3)&lt;1,0,IFERROR(LOOKUP(2,1/('Feijão 1ª safra'!$E84:INDEX('Feijão 1ª safra'!$E84:$Z84,MIN(S$6-$E$3,22))&lt;&gt;""),'Feijão 1ª safra'!$E84:INDEX('Feijão 1ª safra'!$E84:$Z84,MIN(S$6-$E$3,22))),0))-IF($G$2,0,IF((S$6-$G$3)&lt;1,0,IFERROR(LOOKUP(2,1/('Feijão 1ª safra'!$E84:INDEX('Feijão 1ª safra'!$E84:$Z84,MIN(S$6-$G$3,22))&lt;&gt;""),'Feijão 1ª safra'!$E84:INDEX('Feijão 1ª safra'!$E84:$Z84,MIN(S$6-$G$3,22))),0)))))</f>
        <v>0</v>
      </c>
      <c r="T86" s="27" t="n">
        <f aca="false">IF(COUNT('Feijão 1ª safra'!$E84:$Z84)=0,0,MAX(0,IF((T$6-$E$3)&lt;1,0,IFERROR(LOOKUP(2,1/('Feijão 1ª safra'!$E84:INDEX('Feijão 1ª safra'!$E84:$Z84,MIN(T$6-$E$3,22))&lt;&gt;""),'Feijão 1ª safra'!$E84:INDEX('Feijão 1ª safra'!$E84:$Z84,MIN(T$6-$E$3,22))),0))-IF($G$2,0,IF((T$6-$G$3)&lt;1,0,IFERROR(LOOKUP(2,1/('Feijão 1ª safra'!$E84:INDEX('Feijão 1ª safra'!$E84:$Z84,MIN(T$6-$G$3,22))&lt;&gt;""),'Feijão 1ª safra'!$E84:INDEX('Feijão 1ª safra'!$E84:$Z84,MIN(T$6-$G$3,22))),0)))))</f>
        <v>0</v>
      </c>
      <c r="U86" s="27" t="n">
        <f aca="false">IF(COUNT('Feijão 1ª safra'!$E84:$Z84)=0,0,MAX(0,IF((U$6-$E$3)&lt;1,0,IFERROR(LOOKUP(2,1/('Feijão 1ª safra'!$E84:INDEX('Feijão 1ª safra'!$E84:$Z84,MIN(U$6-$E$3,22))&lt;&gt;""),'Feijão 1ª safra'!$E84:INDEX('Feijão 1ª safra'!$E84:$Z84,MIN(U$6-$E$3,22))),0))-IF($G$2,0,IF((U$6-$G$3)&lt;1,0,IFERROR(LOOKUP(2,1/('Feijão 1ª safra'!$E84:INDEX('Feijão 1ª safra'!$E84:$Z84,MIN(U$6-$G$3,22))&lt;&gt;""),'Feijão 1ª safra'!$E84:INDEX('Feijão 1ª safra'!$E84:$Z84,MIN(U$6-$G$3,22))),0)))))</f>
        <v>0</v>
      </c>
      <c r="V86" s="27" t="n">
        <f aca="false">IF(COUNT('Feijão 1ª safra'!$E84:$Z84)=0,0,MAX(0,IF((V$6-$E$3)&lt;1,0,IFERROR(LOOKUP(2,1/('Feijão 1ª safra'!$E84:INDEX('Feijão 1ª safra'!$E84:$Z84,MIN(V$6-$E$3,22))&lt;&gt;""),'Feijão 1ª safra'!$E84:INDEX('Feijão 1ª safra'!$E84:$Z84,MIN(V$6-$E$3,22))),0))-IF($G$2,0,IF((V$6-$G$3)&lt;1,0,IFERROR(LOOKUP(2,1/('Feijão 1ª safra'!$E84:INDEX('Feijão 1ª safra'!$E84:$Z84,MIN(V$6-$G$3,22))&lt;&gt;""),'Feijão 1ª safra'!$E84:INDEX('Feijão 1ª safra'!$E84:$Z84,MIN(V$6-$G$3,22))),0)))))</f>
        <v>0</v>
      </c>
      <c r="W86" s="27" t="n">
        <f aca="false">IF(COUNT('Feijão 1ª safra'!$E84:$Z84)=0,0,MAX(0,IF((W$6-$E$3)&lt;1,0,IFERROR(LOOKUP(2,1/('Feijão 1ª safra'!$E84:INDEX('Feijão 1ª safra'!$E84:$Z84,MIN(W$6-$E$3,22))&lt;&gt;""),'Feijão 1ª safra'!$E84:INDEX('Feijão 1ª safra'!$E84:$Z84,MIN(W$6-$E$3,22))),0))-IF($G$2,0,IF((W$6-$G$3)&lt;1,0,IFERROR(LOOKUP(2,1/('Feijão 1ª safra'!$E84:INDEX('Feijão 1ª safra'!$E84:$Z84,MIN(W$6-$G$3,22))&lt;&gt;""),'Feijão 1ª safra'!$E84:INDEX('Feijão 1ª safra'!$E84:$Z84,MIN(W$6-$G$3,22))),0)))))</f>
        <v>0</v>
      </c>
      <c r="X86" s="27" t="n">
        <f aca="false">IF(COUNT('Feijão 1ª safra'!$E84:$Z84)=0,0,MAX(0,IF((X$6-$E$3)&lt;1,0,IFERROR(LOOKUP(2,1/('Feijão 1ª safra'!$E84:INDEX('Feijão 1ª safra'!$E84:$Z84,MIN(X$6-$E$3,22))&lt;&gt;""),'Feijão 1ª safra'!$E84:INDEX('Feijão 1ª safra'!$E84:$Z84,MIN(X$6-$E$3,22))),0))-IF($G$2,0,IF((X$6-$G$3)&lt;1,0,IFERROR(LOOKUP(2,1/('Feijão 1ª safra'!$E84:INDEX('Feijão 1ª safra'!$E84:$Z84,MIN(X$6-$G$3,22))&lt;&gt;""),'Feijão 1ª safra'!$E84:INDEX('Feijão 1ª safra'!$E84:$Z84,MIN(X$6-$G$3,22))),0)))))</f>
        <v>0</v>
      </c>
      <c r="Y86" s="27" t="n">
        <f aca="false">IF(COUNT('Feijão 1ª safra'!$E84:$Z84)=0,0,MAX(0,IF((Y$6-$E$3)&lt;1,0,IFERROR(LOOKUP(2,1/('Feijão 1ª safra'!$E84:INDEX('Feijão 1ª safra'!$E84:$Z84,MIN(Y$6-$E$3,22))&lt;&gt;""),'Feijão 1ª safra'!$E84:INDEX('Feijão 1ª safra'!$E84:$Z84,MIN(Y$6-$E$3,22))),0))-IF($G$2,0,IF((Y$6-$G$3)&lt;1,0,IFERROR(LOOKUP(2,1/('Feijão 1ª safra'!$E84:INDEX('Feijão 1ª safra'!$E84:$Z84,MIN(Y$6-$G$3,22))&lt;&gt;""),'Feijão 1ª safra'!$E84:INDEX('Feijão 1ª safra'!$E84:$Z84,MIN(Y$6-$G$3,22))),0)))))</f>
        <v>0</v>
      </c>
      <c r="Z86" s="27" t="n">
        <f aca="false">IF(COUNT('Feijão 1ª safra'!$E84:$Z84)=0,0,MAX(0,IF((Z$6-$E$3)&lt;1,0,IFERROR(LOOKUP(2,1/('Feijão 1ª safra'!$E84:INDEX('Feijão 1ª safra'!$E84:$Z84,MIN(Z$6-$E$3,22))&lt;&gt;""),'Feijão 1ª safra'!$E84:INDEX('Feijão 1ª safra'!$E84:$Z84,MIN(Z$6-$E$3,22))),0))-IF($G$2,0,IF((Z$6-$G$3)&lt;1,0,IFERROR(LOOKUP(2,1/('Feijão 1ª safra'!$E84:INDEX('Feijão 1ª safra'!$E84:$Z84,MIN(Z$6-$G$3,22))&lt;&gt;""),'Feijão 1ª safra'!$E84:INDEX('Feijão 1ª safra'!$E84:$Z84,MIN(Z$6-$G$3,22))),0)))))</f>
        <v>0</v>
      </c>
      <c r="AA86" s="27" t="n">
        <f aca="false">IF(COUNT('Feijão 1ª safra'!$E84:$Z84)=0,0,MAX(0,IF((AA$6-$E$3)&lt;1,0,IFERROR(LOOKUP(2,1/('Feijão 1ª safra'!$E84:INDEX('Feijão 1ª safra'!$E84:$Z84,MIN(AA$6-$E$3,22))&lt;&gt;""),'Feijão 1ª safra'!$E84:INDEX('Feijão 1ª safra'!$E84:$Z84,MIN(AA$6-$E$3,22))),0))-IF($G$2,0,IF((AA$6-$G$3)&lt;1,0,IFERROR(LOOKUP(2,1/('Feijão 1ª safra'!$E84:INDEX('Feijão 1ª safra'!$E84:$Z84,MIN(AA$6-$G$3,22))&lt;&gt;""),'Feijão 1ª safra'!$E84:INDEX('Feijão 1ª safra'!$E84:$Z84,MIN(AA$6-$G$3,22))),0)))))</f>
        <v>0</v>
      </c>
      <c r="AB86" s="27" t="n">
        <f aca="false">IF(COUNT('Feijão 1ª safra'!$E84:$Z84)=0,0,MAX(0,IF((AB$6-$E$3)&lt;1,0,IFERROR(LOOKUP(2,1/('Feijão 1ª safra'!$E84:INDEX('Feijão 1ª safra'!$E84:$Z84,MIN(AB$6-$E$3,22))&lt;&gt;""),'Feijão 1ª safra'!$E84:INDEX('Feijão 1ª safra'!$E84:$Z84,MIN(AB$6-$E$3,22))),0))-IF($G$2,0,IF((AB$6-$G$3)&lt;1,0,IFERROR(LOOKUP(2,1/('Feijão 1ª safra'!$E84:INDEX('Feijão 1ª safra'!$E84:$Z84,MIN(AB$6-$G$3,22))&lt;&gt;""),'Feijão 1ª safra'!$E84:INDEX('Feijão 1ª safra'!$E84:$Z84,MIN(AB$6-$G$3,22))),0)))))</f>
        <v>0</v>
      </c>
      <c r="AC86" s="27" t="n">
        <f aca="false">IF(COUNT('Feijão 1ª safra'!$E84:$Z84)=0,0,MAX(0,IF((AC$6-$E$3)&lt;1,0,IFERROR(LOOKUP(2,1/('Feijão 1ª safra'!$E84:INDEX('Feijão 1ª safra'!$E84:$Z84,MIN(AC$6-$E$3,22))&lt;&gt;""),'Feijão 1ª safra'!$E84:INDEX('Feijão 1ª safra'!$E84:$Z84,MIN(AC$6-$E$3,22))),0))-IF($G$2,0,IF((AC$6-$G$3)&lt;1,0,IFERROR(LOOKUP(2,1/('Feijão 1ª safra'!$E84:INDEX('Feijão 1ª safra'!$E84:$Z84,MIN(AC$6-$G$3,22))&lt;&gt;""),'Feijão 1ª safra'!$E84:INDEX('Feijão 1ª safra'!$E84:$Z84,MIN(AC$6-$G$3,22))),0)))))</f>
        <v>0</v>
      </c>
      <c r="AD86" s="27" t="n">
        <f aca="false">IF(COUNT('Feijão 1ª safra'!$E84:$Z84)=0,0,MAX(0,IF((AD$6-$E$3)&lt;1,0,IFERROR(LOOKUP(2,1/('Feijão 1ª safra'!$E84:INDEX('Feijão 1ª safra'!$E84:$Z84,MIN(AD$6-$E$3,22))&lt;&gt;""),'Feijão 1ª safra'!$E84:INDEX('Feijão 1ª safra'!$E84:$Z84,MIN(AD$6-$E$3,22))),0))-IF($G$2,0,IF((AD$6-$G$3)&lt;1,0,IFERROR(LOOKUP(2,1/('Feijão 1ª safra'!$E84:INDEX('Feijão 1ª safra'!$E84:$Z84,MIN(AD$6-$G$3,22))&lt;&gt;""),'Feijão 1ª safra'!$E84:INDEX('Feijão 1ª safra'!$E84:$Z84,MIN(AD$6-$G$3,22))),0)))))</f>
        <v>0</v>
      </c>
      <c r="AE86" s="27" t="n">
        <f aca="false">IF(COUNT('Feijão 1ª safra'!$E84:$Z84)=0,0,MAX(0,IF((AE$6-$E$3)&lt;1,0,IFERROR(LOOKUP(2,1/('Feijão 1ª safra'!$E84:INDEX('Feijão 1ª safra'!$E84:$Z84,MIN(AE$6-$E$3,22))&lt;&gt;""),'Feijão 1ª safra'!$E84:INDEX('Feijão 1ª safra'!$E84:$Z84,MIN(AE$6-$E$3,22))),0))-IF($G$2,0,IF((AE$6-$G$3)&lt;1,0,IFERROR(LOOKUP(2,1/('Feijão 1ª safra'!$E84:INDEX('Feijão 1ª safra'!$E84:$Z84,MIN(AE$6-$G$3,22))&lt;&gt;""),'Feijão 1ª safra'!$E84:INDEX('Feijão 1ª safra'!$E84:$Z84,MIN(AE$6-$G$3,22))),0)))))</f>
        <v>0</v>
      </c>
      <c r="AF86" s="27" t="n">
        <f aca="false">IF(COUNT('Feijão 1ª safra'!$E84:$Z84)=0,0,MAX(0,IF((AF$6-$E$3)&lt;1,0,IFERROR(LOOKUP(2,1/('Feijão 1ª safra'!$E84:INDEX('Feijão 1ª safra'!$E84:$Z84,MIN(AF$6-$E$3,22))&lt;&gt;""),'Feijão 1ª safra'!$E84:INDEX('Feijão 1ª safra'!$E84:$Z84,MIN(AF$6-$E$3,22))),0))-IF($G$2,0,IF((AF$6-$G$3)&lt;1,0,IFERROR(LOOKUP(2,1/('Feijão 1ª safra'!$E84:INDEX('Feijão 1ª safra'!$E84:$Z84,MIN(AF$6-$G$3,22))&lt;&gt;""),'Feijão 1ª safra'!$E84:INDEX('Feijão 1ª safra'!$E84:$Z84,MIN(AF$6-$G$3,22))),0)))))</f>
        <v>0</v>
      </c>
      <c r="AG86" s="27" t="n">
        <f aca="false">IF(COUNT('Feijão 1ª safra'!$E84:$Z84)=0,0,MAX(0,IF((AG$6-$E$3)&lt;1,0,IFERROR(LOOKUP(2,1/('Feijão 1ª safra'!$E84:INDEX('Feijão 1ª safra'!$E84:$Z84,MIN(AG$6-$E$3,22))&lt;&gt;""),'Feijão 1ª safra'!$E84:INDEX('Feijão 1ª safra'!$E84:$Z84,MIN(AG$6-$E$3,22))),0))-IF($G$2,0,IF((AG$6-$G$3)&lt;1,0,IFERROR(LOOKUP(2,1/('Feijão 1ª safra'!$E84:INDEX('Feijão 1ª safra'!$E84:$Z84,MIN(AG$6-$G$3,22))&lt;&gt;""),'Feijão 1ª safra'!$E84:INDEX('Feijão 1ª safra'!$E84:$Z84,MIN(AG$6-$G$3,22))),0)))))</f>
        <v>0</v>
      </c>
      <c r="AH86" s="27" t="n">
        <f aca="false">IF(COUNT('Feijão 1ª safra'!$E84:$Z84)=0,0,MAX(0,IF((AH$6-$E$3)&lt;1,0,IFERROR(LOOKUP(2,1/('Feijão 1ª safra'!$E84:INDEX('Feijão 1ª safra'!$E84:$Z84,MIN(AH$6-$E$3,22))&lt;&gt;""),'Feijão 1ª safra'!$E84:INDEX('Feijão 1ª safra'!$E84:$Z84,MIN(AH$6-$E$3,22))),0))-IF($G$2,0,IF((AH$6-$G$3)&lt;1,0,IFERROR(LOOKUP(2,1/('Feijão 1ª safra'!$E84:INDEX('Feijão 1ª safra'!$E84:$Z84,MIN(AH$6-$G$3,22))&lt;&gt;""),'Feijão 1ª safra'!$E84:INDEX('Feijão 1ª safra'!$E84:$Z84,MIN(AH$6-$G$3,22))),0)))))</f>
        <v>0</v>
      </c>
      <c r="AI86" s="27" t="n">
        <f aca="false">IF(COUNT('Feijão 1ª safra'!$E84:$Z84)=0,0,MAX(0,IF((AI$6-$E$3)&lt;1,0,IFERROR(LOOKUP(2,1/('Feijão 1ª safra'!$E84:INDEX('Feijão 1ª safra'!$E84:$Z84,MIN(AI$6-$E$3,22))&lt;&gt;""),'Feijão 1ª safra'!$E84:INDEX('Feijão 1ª safra'!$E84:$Z84,MIN(AI$6-$E$3,22))),0))-IF($G$2,0,IF((AI$6-$G$3)&lt;1,0,IFERROR(LOOKUP(2,1/('Feijão 1ª safra'!$E84:INDEX('Feijão 1ª safra'!$E84:$Z84,MIN(AI$6-$G$3,22))&lt;&gt;""),'Feijão 1ª safra'!$E84:INDEX('Feijão 1ª safra'!$E84:$Z84,MIN(AI$6-$G$3,22))),0)))))</f>
        <v>0</v>
      </c>
      <c r="AJ86" s="27" t="n">
        <f aca="false">IF(COUNT('Feijão 1ª safra'!$E84:$Z84)=0,0,MAX(0,IF((AJ$6-$E$3)&lt;1,0,IFERROR(LOOKUP(2,1/('Feijão 1ª safra'!$E84:INDEX('Feijão 1ª safra'!$E84:$Z84,MIN(AJ$6-$E$3,22))&lt;&gt;""),'Feijão 1ª safra'!$E84:INDEX('Feijão 1ª safra'!$E84:$Z84,MIN(AJ$6-$E$3,22))),0))-IF($G$2,0,IF((AJ$6-$G$3)&lt;1,0,IFERROR(LOOKUP(2,1/('Feijão 1ª safra'!$E84:INDEX('Feijão 1ª safra'!$E84:$Z84,MIN(AJ$6-$G$3,22))&lt;&gt;""),'Feijão 1ª safra'!$E84:INDEX('Feijão 1ª safra'!$E84:$Z84,MIN(AJ$6-$G$3,22))),0)))))</f>
        <v>0</v>
      </c>
      <c r="AK86" s="27" t="n">
        <f aca="false">IF(COUNT('Feijão 1ª safra'!$E84:$Z84)=0,0,MAX(0,IF((AK$6-$E$3)&lt;1,0,IFERROR(LOOKUP(2,1/('Feijão 1ª safra'!$E84:INDEX('Feijão 1ª safra'!$E84:$Z84,MIN(AK$6-$E$3,22))&lt;&gt;""),'Feijão 1ª safra'!$E84:INDEX('Feijão 1ª safra'!$E84:$Z84,MIN(AK$6-$E$3,22))),0))-IF($G$2,0,IF((AK$6-$G$3)&lt;1,0,IFERROR(LOOKUP(2,1/('Feijão 1ª safra'!$E84:INDEX('Feijão 1ª safra'!$E84:$Z84,MIN(AK$6-$G$3,22))&lt;&gt;""),'Feijão 1ª safra'!$E84:INDEX('Feijão 1ª safra'!$E84:$Z84,MIN(AK$6-$G$3,22))),0)))))</f>
        <v>0</v>
      </c>
      <c r="AL86" s="27" t="n">
        <f aca="false">IF(COUNT('Feijão 1ª safra'!$E84:$Z84)=0,0,MAX(0,IF((AL$6-$E$3)&lt;1,0,IFERROR(LOOKUP(2,1/('Feijão 1ª safra'!$E84:INDEX('Feijão 1ª safra'!$E84:$Z84,MIN(AL$6-$E$3,22))&lt;&gt;""),'Feijão 1ª safra'!$E84:INDEX('Feijão 1ª safra'!$E84:$Z84,MIN(AL$6-$E$3,22))),0))-IF($G$2,0,IF((AL$6-$G$3)&lt;1,0,IFERROR(LOOKUP(2,1/('Feijão 1ª safra'!$E84:INDEX('Feijão 1ª safra'!$E84:$Z84,MIN(AL$6-$G$3,22))&lt;&gt;""),'Feijão 1ª safra'!$E84:INDEX('Feijão 1ª safra'!$E84:$Z84,MIN(AL$6-$G$3,22))),0)))))</f>
        <v>0</v>
      </c>
      <c r="AM86" s="27" t="n">
        <f aca="false">IF(COUNT('Feijão 1ª safra'!$E84:$Z84)=0,0,MAX(0,IF((AM$6-$E$3)&lt;1,0,IFERROR(LOOKUP(2,1/('Feijão 1ª safra'!$E84:INDEX('Feijão 1ª safra'!$E84:$Z84,MIN(AM$6-$E$3,22))&lt;&gt;""),'Feijão 1ª safra'!$E84:INDEX('Feijão 1ª safra'!$E84:$Z84,MIN(AM$6-$E$3,22))),0))-IF($G$2,0,IF((AM$6-$G$3)&lt;1,0,IFERROR(LOOKUP(2,1/('Feijão 1ª safra'!$E84:INDEX('Feijão 1ª safra'!$E84:$Z84,MIN(AM$6-$G$3,22))&lt;&gt;""),'Feijão 1ª safra'!$E84:INDEX('Feijão 1ª safra'!$E84:$Z84,MIN(AM$6-$G$3,22))),0)))))</f>
        <v>0</v>
      </c>
      <c r="AN86" s="27" t="n">
        <f aca="false">IF(COUNT('Feijão 1ª safra'!$E84:$Z84)=0,0,MAX(0,IF((AN$6-$E$3)&lt;1,0,IFERROR(LOOKUP(2,1/('Feijão 1ª safra'!$E84:INDEX('Feijão 1ª safra'!$E84:$Z84,MIN(AN$6-$E$3,22))&lt;&gt;""),'Feijão 1ª safra'!$E84:INDEX('Feijão 1ª safra'!$E84:$Z84,MIN(AN$6-$E$3,22))),0))-IF($G$2,0,IF((AN$6-$G$3)&lt;1,0,IFERROR(LOOKUP(2,1/('Feijão 1ª safra'!$E84:INDEX('Feijão 1ª safra'!$E84:$Z84,MIN(AN$6-$G$3,22))&lt;&gt;""),'Feijão 1ª safra'!$E84:INDEX('Feijão 1ª safra'!$E84:$Z84,MIN(AN$6-$G$3,22))),0)))))</f>
        <v>0</v>
      </c>
      <c r="AO86" s="27" t="n">
        <f aca="false">IF(COUNT('Feijão 1ª safra'!$E84:$Z84)=0,0,MAX(0,IF((AO$6-$E$3)&lt;1,0,IFERROR(LOOKUP(2,1/('Feijão 1ª safra'!$E84:INDEX('Feijão 1ª safra'!$E84:$Z84,MIN(AO$6-$E$3,22))&lt;&gt;""),'Feijão 1ª safra'!$E84:INDEX('Feijão 1ª safra'!$E84:$Z84,MIN(AO$6-$E$3,22))),0))-IF($G$2,0,IF((AO$6-$G$3)&lt;1,0,IFERROR(LOOKUP(2,1/('Feijão 1ª safra'!$E84:INDEX('Feijão 1ª safra'!$E84:$Z84,MIN(AO$6-$G$3,22))&lt;&gt;""),'Feijão 1ª safra'!$E84:INDEX('Feijão 1ª safra'!$E84:$Z84,MIN(AO$6-$G$3,22))),0)))))</f>
        <v>0</v>
      </c>
      <c r="AP86" s="27" t="n">
        <f aca="false">IF(COUNT('Feijão 1ª safra'!$E84:$Z84)=0,0,MAX(0,IF((AP$6-$E$3)&lt;1,0,IFERROR(LOOKUP(2,1/('Feijão 1ª safra'!$E84:INDEX('Feijão 1ª safra'!$E84:$Z84,MIN(AP$6-$E$3,22))&lt;&gt;""),'Feijão 1ª safra'!$E84:INDEX('Feijão 1ª safra'!$E84:$Z84,MIN(AP$6-$E$3,22))),0))-IF($G$2,0,IF((AP$6-$G$3)&lt;1,0,IFERROR(LOOKUP(2,1/('Feijão 1ª safra'!$E84:INDEX('Feijão 1ª safra'!$E84:$Z84,MIN(AP$6-$G$3,22))&lt;&gt;""),'Feijão 1ª safra'!$E84:INDEX('Feijão 1ª safra'!$E84:$Z84,MIN(AP$6-$G$3,22))),0)))))</f>
        <v>0</v>
      </c>
      <c r="AQ86" s="27" t="n">
        <f aca="false">IF(COUNT('Feijão 1ª safra'!$E84:$Z84)=0,0,MAX(0,IF((AQ$6-$E$3)&lt;1,0,IFERROR(LOOKUP(2,1/('Feijão 1ª safra'!$E84:INDEX('Feijão 1ª safra'!$E84:$Z84,MIN(AQ$6-$E$3,22))&lt;&gt;""),'Feijão 1ª safra'!$E84:INDEX('Feijão 1ª safra'!$E84:$Z84,MIN(AQ$6-$E$3,22))),0))-IF($G$2,0,IF((AQ$6-$G$3)&lt;1,0,IFERROR(LOOKUP(2,1/('Feijão 1ª safra'!$E84:INDEX('Feijão 1ª safra'!$E84:$Z84,MIN(AQ$6-$G$3,22))&lt;&gt;""),'Feijão 1ª safra'!$E84:INDEX('Feijão 1ª safra'!$E84:$Z84,MIN(AQ$6-$G$3,22))),0)))))</f>
        <v>0</v>
      </c>
      <c r="AR86" s="27" t="n">
        <f aca="false">IF(COUNT('Feijão 1ª safra'!$E84:$Z84)=0,0,MAX(0,IF((AR$6-$E$3)&lt;1,0,IFERROR(LOOKUP(2,1/('Feijão 1ª safra'!$E84:INDEX('Feijão 1ª safra'!$E84:$Z84,MIN(AR$6-$E$3,22))&lt;&gt;""),'Feijão 1ª safra'!$E84:INDEX('Feijão 1ª safra'!$E84:$Z84,MIN(AR$6-$E$3,22))),0))-IF($G$2,0,IF((AR$6-$G$3)&lt;1,0,IFERROR(LOOKUP(2,1/('Feijão 1ª safra'!$E84:INDEX('Feijão 1ª safra'!$E84:$Z84,MIN(AR$6-$G$3,22))&lt;&gt;""),'Feijão 1ª safra'!$E84:INDEX('Feijão 1ª safra'!$E84:$Z84,MIN(AR$6-$G$3,22))),0)))))</f>
        <v>0</v>
      </c>
      <c r="AS86" s="27" t="n">
        <f aca="false">IF(COUNT('Feijão 1ª safra'!$E84:$Z84)=0,0,MAX(0,IF((AS$6-$E$3)&lt;1,0,IFERROR(LOOKUP(2,1/('Feijão 1ª safra'!$E84:INDEX('Feijão 1ª safra'!$E84:$Z84,MIN(AS$6-$E$3,22))&lt;&gt;""),'Feijão 1ª safra'!$E84:INDEX('Feijão 1ª safra'!$E84:$Z84,MIN(AS$6-$E$3,22))),0))-IF($G$2,0,IF((AS$6-$G$3)&lt;1,0,IFERROR(LOOKUP(2,1/('Feijão 1ª safra'!$E84:INDEX('Feijão 1ª safra'!$E84:$Z84,MIN(AS$6-$G$3,22))&lt;&gt;""),'Feijão 1ª safra'!$E84:INDEX('Feijão 1ª safra'!$E84:$Z84,MIN(AS$6-$G$3,22))),0)))))</f>
        <v>0</v>
      </c>
      <c r="AT86" s="27" t="n">
        <f aca="false">IF(COUNT('Feijão 1ª safra'!$E84:$Z84)=0,0,MAX(0,IF((AT$6-$E$3)&lt;1,0,IFERROR(LOOKUP(2,1/('Feijão 1ª safra'!$E84:INDEX('Feijão 1ª safra'!$E84:$Z84,MIN(AT$6-$E$3,22))&lt;&gt;""),'Feijão 1ª safra'!$E84:INDEX('Feijão 1ª safra'!$E84:$Z84,MIN(AT$6-$E$3,22))),0))-IF($G$2,0,IF((AT$6-$G$3)&lt;1,0,IFERROR(LOOKUP(2,1/('Feijão 1ª safra'!$E84:INDEX('Feijão 1ª safra'!$E84:$Z84,MIN(AT$6-$G$3,22))&lt;&gt;""),'Feijão 1ª safra'!$E84:INDEX('Feijão 1ª safra'!$E84:$Z84,MIN(AT$6-$G$3,22))),0)))))</f>
        <v>0</v>
      </c>
      <c r="AU86" s="27" t="n">
        <f aca="false">IF(COUNT('Feijão 1ª safra'!$E84:$Z84)=0,0,MAX(0,IF((AU$6-$E$3)&lt;1,0,IFERROR(LOOKUP(2,1/('Feijão 1ª safra'!$E84:INDEX('Feijão 1ª safra'!$E84:$Z84,MIN(AU$6-$E$3,22))&lt;&gt;""),'Feijão 1ª safra'!$E84:INDEX('Feijão 1ª safra'!$E84:$Z84,MIN(AU$6-$E$3,22))),0))-IF($G$2,0,IF((AU$6-$G$3)&lt;1,0,IFERROR(LOOKUP(2,1/('Feijão 1ª safra'!$E84:INDEX('Feijão 1ª safra'!$E84:$Z84,MIN(AU$6-$G$3,22))&lt;&gt;""),'Feijão 1ª safra'!$E84:INDEX('Feijão 1ª safra'!$E84:$Z84,MIN(AU$6-$G$3,22))),0)))))</f>
        <v>0</v>
      </c>
      <c r="AV86" s="27" t="n">
        <f aca="false">IF(COUNT('Feijão 1ª safra'!$E84:$Z84)=0,0,MAX(0,IF((AV$6-$E$3)&lt;1,0,IFERROR(LOOKUP(2,1/('Feijão 1ª safra'!$E84:INDEX('Feijão 1ª safra'!$E84:$Z84,MIN(AV$6-$E$3,22))&lt;&gt;""),'Feijão 1ª safra'!$E84:INDEX('Feijão 1ª safra'!$E84:$Z84,MIN(AV$6-$E$3,22))),0))-IF($G$2,0,IF((AV$6-$G$3)&lt;1,0,IFERROR(LOOKUP(2,1/('Feijão 1ª safra'!$E84:INDEX('Feijão 1ª safra'!$E84:$Z84,MIN(AV$6-$G$3,22))&lt;&gt;""),'Feijão 1ª safra'!$E84:INDEX('Feijão 1ª safra'!$E84:$Z84,MIN(AV$6-$G$3,22))),0)))))</f>
        <v>0</v>
      </c>
      <c r="AW86" s="27" t="n">
        <f aca="false">IF(COUNT('Feijão 1ª safra'!$E84:$Z84)=0,0,MAX(0,IF((AW$6-$E$3)&lt;1,0,IFERROR(LOOKUP(2,1/('Feijão 1ª safra'!$E84:INDEX('Feijão 1ª safra'!$E84:$Z84,MIN(AW$6-$E$3,22))&lt;&gt;""),'Feijão 1ª safra'!$E84:INDEX('Feijão 1ª safra'!$E84:$Z84,MIN(AW$6-$E$3,22))),0))-IF($G$2,0,IF((AW$6-$G$3)&lt;1,0,IFERROR(LOOKUP(2,1/('Feijão 1ª safra'!$E84:INDEX('Feijão 1ª safra'!$E84:$Z84,MIN(AW$6-$G$3,22))&lt;&gt;""),'Feijão 1ª safra'!$E84:INDEX('Feijão 1ª safra'!$E84:$Z84,MIN(AW$6-$G$3,22))),0)))))</f>
        <v>0</v>
      </c>
      <c r="AX86" s="27" t="n">
        <f aca="false">IF(COUNT('Feijão 1ª safra'!$E84:$Z84)=0,0,MAX(0,IF((AX$6-$E$3)&lt;1,0,IFERROR(LOOKUP(2,1/('Feijão 1ª safra'!$E84:INDEX('Feijão 1ª safra'!$E84:$Z84,MIN(AX$6-$E$3,22))&lt;&gt;""),'Feijão 1ª safra'!$E84:INDEX('Feijão 1ª safra'!$E84:$Z84,MIN(AX$6-$E$3,22))),0))-IF($G$2,0,IF((AX$6-$G$3)&lt;1,0,IFERROR(LOOKUP(2,1/('Feijão 1ª safra'!$E84:INDEX('Feijão 1ª safra'!$E84:$Z84,MIN(AX$6-$G$3,22))&lt;&gt;""),'Feijão 1ª safra'!$E84:INDEX('Feijão 1ª safra'!$E84:$Z84,MIN(AX$6-$G$3,22))),0)))))</f>
        <v>0</v>
      </c>
      <c r="AY86" s="27" t="n">
        <f aca="false">IF(COUNT('Feijão 1ª safra'!$E84:$Z84)=0,0,MAX(0,IF((AY$6-$E$3)&lt;1,0,IFERROR(LOOKUP(2,1/('Feijão 1ª safra'!$E84:INDEX('Feijão 1ª safra'!$E84:$Z84,MIN(AY$6-$E$3,22))&lt;&gt;""),'Feijão 1ª safra'!$E84:INDEX('Feijão 1ª safra'!$E84:$Z84,MIN(AY$6-$E$3,22))),0))-IF($G$2,0,IF((AY$6-$G$3)&lt;1,0,IFERROR(LOOKUP(2,1/('Feijão 1ª safra'!$E84:INDEX('Feijão 1ª safra'!$E84:$Z84,MIN(AY$6-$G$3,22))&lt;&gt;""),'Feijão 1ª safra'!$E84:INDEX('Feijão 1ª safra'!$E84:$Z84,MIN(AY$6-$G$3,22))),0)))))</f>
        <v>0</v>
      </c>
      <c r="AZ86" s="27" t="n">
        <f aca="false">IF(COUNT('Feijão 1ª safra'!$E84:$Z84)=0,0,MAX(0,IF((AZ$6-$E$3)&lt;1,0,IFERROR(LOOKUP(2,1/('Feijão 1ª safra'!$E84:INDEX('Feijão 1ª safra'!$E84:$Z84,MIN(AZ$6-$E$3,22))&lt;&gt;""),'Feijão 1ª safra'!$E84:INDEX('Feijão 1ª safra'!$E84:$Z84,MIN(AZ$6-$E$3,22))),0))-IF($G$2,0,IF((AZ$6-$G$3)&lt;1,0,IFERROR(LOOKUP(2,1/('Feijão 1ª safra'!$E84:INDEX('Feijão 1ª safra'!$E84:$Z84,MIN(AZ$6-$G$3,22))&lt;&gt;""),'Feijão 1ª safra'!$E84:INDEX('Feijão 1ª safra'!$E84:$Z84,MIN(AZ$6-$G$3,22))),0)))))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Parâmetros!$C$46:$C$53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312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Parâmetros!$J$11</f>
        <v>46403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46403</v>
      </c>
      <c r="F5" s="17" t="n">
        <f aca="false">$B$3+7</f>
        <v>46410</v>
      </c>
      <c r="G5" s="17" t="n">
        <f aca="false">$B$3+14</f>
        <v>46417</v>
      </c>
      <c r="H5" s="17" t="n">
        <f aca="false">$B$3+21</f>
        <v>46424</v>
      </c>
      <c r="I5" s="17" t="n">
        <f aca="false">$B$3+28</f>
        <v>46431</v>
      </c>
      <c r="J5" s="17" t="n">
        <f aca="false">$B$3+35</f>
        <v>46438</v>
      </c>
      <c r="K5" s="17" t="n">
        <f aca="false">$B$3+42</f>
        <v>46445</v>
      </c>
      <c r="L5" s="17" t="n">
        <f aca="false">$B$3+49</f>
        <v>46452</v>
      </c>
      <c r="M5" s="17" t="n">
        <f aca="false">$B$3+56</f>
        <v>46459</v>
      </c>
      <c r="N5" s="17" t="n">
        <f aca="false">$B$3+63</f>
        <v>46466</v>
      </c>
      <c r="O5" s="17" t="n">
        <f aca="false">$B$3+70</f>
        <v>46473</v>
      </c>
      <c r="P5" s="17" t="n">
        <f aca="false">$B$3+77</f>
        <v>46480</v>
      </c>
      <c r="Q5" s="17" t="n">
        <f aca="false">$B$3+84</f>
        <v>46487</v>
      </c>
      <c r="R5" s="17" t="n">
        <f aca="false">$B$3+91</f>
        <v>46494</v>
      </c>
      <c r="S5" s="17" t="n">
        <f aca="false">$B$3+98</f>
        <v>46501</v>
      </c>
      <c r="T5" s="17" t="n">
        <f aca="false">$B$3+105</f>
        <v>46508</v>
      </c>
      <c r="U5" s="17" t="n">
        <f aca="false">$B$3+112</f>
        <v>46515</v>
      </c>
      <c r="V5" s="17" t="n">
        <f aca="false">$B$3+119</f>
        <v>46522</v>
      </c>
      <c r="W5" s="17" t="n">
        <f aca="false">$B$3+126</f>
        <v>46529</v>
      </c>
      <c r="X5" s="17" t="n">
        <f aca="false">$B$3+133</f>
        <v>46536</v>
      </c>
      <c r="Y5" s="17" t="n">
        <f aca="false">$B$3+140</f>
        <v>46543</v>
      </c>
      <c r="Z5" s="17" t="n">
        <f aca="false">$B$3+147</f>
        <v>46550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313</v>
      </c>
    </row>
    <row r="2" customFormat="false" ht="15" hidden="false" customHeight="false" outlineLevel="0" collapsed="false">
      <c r="D2" s="21" t="s">
        <v>293</v>
      </c>
      <c r="E2" s="21" t="n">
        <f aca="false">MATCH("Feijão 2ª safra|"&amp;$B$3,Parâmetros!$G$4:$G$83,0)+3</f>
        <v>57</v>
      </c>
      <c r="F2" s="21" t="s">
        <v>294</v>
      </c>
      <c r="G2" s="22" t="b">
        <f aca="false">INDEX(Parâmetros!$A$1:$A$84,$E$2+1)&lt;&gt;"Feijão 2ª safra"</f>
        <v>0</v>
      </c>
    </row>
    <row r="3" customFormat="false" ht="15" hidden="false" customHeight="false" outlineLevel="0" collapsed="false">
      <c r="A3" s="13" t="s">
        <v>295</v>
      </c>
      <c r="B3" s="9" t="s">
        <v>84</v>
      </c>
      <c r="D3" s="21" t="s">
        <v>296</v>
      </c>
      <c r="E3" s="21" t="n">
        <f aca="false">ROUND(INDEX(Parâmetros!$D$1:$D$83,$E$2)/7,0)</f>
        <v>5</v>
      </c>
      <c r="F3" s="21" t="s">
        <v>297</v>
      </c>
      <c r="G3" s="21" t="n">
        <f aca="false">IF($G$2,999,ROUND(INDEX(Parâmetros!$D$1:$D$84,$E$2+1)/7,0))</f>
        <v>6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'Feijão 2ª safra'!$B$3+0</f>
        <v>46403</v>
      </c>
      <c r="F7" s="17" t="n">
        <f aca="false">'Feijão 2ª safra'!$B$3+7</f>
        <v>46410</v>
      </c>
      <c r="G7" s="17" t="n">
        <f aca="false">'Feijão 2ª safra'!$B$3+14</f>
        <v>46417</v>
      </c>
      <c r="H7" s="17" t="n">
        <f aca="false">'Feijão 2ª safra'!$B$3+21</f>
        <v>46424</v>
      </c>
      <c r="I7" s="17" t="n">
        <f aca="false">'Feijão 2ª safra'!$B$3+28</f>
        <v>46431</v>
      </c>
      <c r="J7" s="17" t="n">
        <f aca="false">'Feijão 2ª safra'!$B$3+35</f>
        <v>46438</v>
      </c>
      <c r="K7" s="17" t="n">
        <f aca="false">'Feijão 2ª safra'!$B$3+42</f>
        <v>46445</v>
      </c>
      <c r="L7" s="17" t="n">
        <f aca="false">'Feijão 2ª safra'!$B$3+49</f>
        <v>46452</v>
      </c>
      <c r="M7" s="17" t="n">
        <f aca="false">'Feijão 2ª safra'!$B$3+56</f>
        <v>46459</v>
      </c>
      <c r="N7" s="17" t="n">
        <f aca="false">'Feijão 2ª safra'!$B$3+63</f>
        <v>46466</v>
      </c>
      <c r="O7" s="17" t="n">
        <f aca="false">'Feijão 2ª safra'!$B$3+70</f>
        <v>46473</v>
      </c>
      <c r="P7" s="17" t="n">
        <f aca="false">'Feijão 2ª safra'!$B$3+77</f>
        <v>46480</v>
      </c>
      <c r="Q7" s="17" t="n">
        <f aca="false">'Feijão 2ª safra'!$B$3+84</f>
        <v>46487</v>
      </c>
      <c r="R7" s="17" t="n">
        <f aca="false">'Feijão 2ª safra'!$B$3+91</f>
        <v>46494</v>
      </c>
      <c r="S7" s="17" t="n">
        <f aca="false">'Feijão 2ª safra'!$B$3+98</f>
        <v>46501</v>
      </c>
      <c r="T7" s="17" t="n">
        <f aca="false">'Feijão 2ª safra'!$B$3+105</f>
        <v>46508</v>
      </c>
      <c r="U7" s="17" t="n">
        <f aca="false">'Feijão 2ª safra'!$B$3+112</f>
        <v>46515</v>
      </c>
      <c r="V7" s="17" t="n">
        <f aca="false">'Feijão 2ª safra'!$B$3+119</f>
        <v>46522</v>
      </c>
      <c r="W7" s="17" t="n">
        <f aca="false">'Feijão 2ª safra'!$B$3+126</f>
        <v>46529</v>
      </c>
      <c r="X7" s="17" t="n">
        <f aca="false">'Feijão 2ª safra'!$B$3+133</f>
        <v>46536</v>
      </c>
      <c r="Y7" s="17" t="n">
        <f aca="false">'Feijão 2ª safra'!$B$3+140</f>
        <v>46543</v>
      </c>
      <c r="Z7" s="17" t="n">
        <f aca="false">'Feijão 2ª safra'!$B$3+147</f>
        <v>46550</v>
      </c>
      <c r="AA7" s="17" t="n">
        <f aca="false">'Feijão 2ª safra'!$B$3+154</f>
        <v>46557</v>
      </c>
      <c r="AB7" s="17" t="n">
        <f aca="false">'Feijão 2ª safra'!$B$3+161</f>
        <v>46564</v>
      </c>
      <c r="AC7" s="17" t="n">
        <f aca="false">'Feijão 2ª safra'!$B$3+168</f>
        <v>46571</v>
      </c>
      <c r="AD7" s="17" t="n">
        <f aca="false">'Feijão 2ª safra'!$B$3+175</f>
        <v>46578</v>
      </c>
      <c r="AE7" s="17" t="n">
        <f aca="false">'Feijão 2ª safra'!$B$3+182</f>
        <v>46585</v>
      </c>
      <c r="AF7" s="17" t="n">
        <f aca="false">'Feijão 2ª safra'!$B$3+189</f>
        <v>46592</v>
      </c>
      <c r="AG7" s="17" t="n">
        <f aca="false">'Feijão 2ª safra'!$B$3+196</f>
        <v>46599</v>
      </c>
      <c r="AH7" s="17" t="n">
        <f aca="false">'Feijão 2ª safra'!$B$3+203</f>
        <v>46606</v>
      </c>
      <c r="AI7" s="17" t="n">
        <f aca="false">'Feijão 2ª safra'!$B$3+210</f>
        <v>46613</v>
      </c>
      <c r="AJ7" s="17" t="n">
        <f aca="false">'Feijão 2ª safra'!$B$3+217</f>
        <v>46620</v>
      </c>
      <c r="AK7" s="17" t="n">
        <f aca="false">'Feijão 2ª safra'!$B$3+224</f>
        <v>46627</v>
      </c>
      <c r="AL7" s="17" t="n">
        <f aca="false">'Feijão 2ª safra'!$B$3+231</f>
        <v>46634</v>
      </c>
      <c r="AM7" s="17" t="n">
        <f aca="false">'Feijão 2ª safra'!$B$3+238</f>
        <v>46641</v>
      </c>
      <c r="AN7" s="17" t="n">
        <f aca="false">'Feijão 2ª safra'!$B$3+245</f>
        <v>46648</v>
      </c>
      <c r="AO7" s="17" t="n">
        <f aca="false">'Feijão 2ª safra'!$B$3+252</f>
        <v>46655</v>
      </c>
      <c r="AP7" s="17" t="n">
        <f aca="false">'Feijão 2ª safra'!$B$3+259</f>
        <v>46662</v>
      </c>
      <c r="AQ7" s="17" t="n">
        <f aca="false">'Feijão 2ª safra'!$B$3+266</f>
        <v>46669</v>
      </c>
      <c r="AR7" s="17" t="n">
        <f aca="false">'Feijão 2ª safra'!$B$3+273</f>
        <v>46676</v>
      </c>
      <c r="AS7" s="17" t="n">
        <f aca="false">'Feijão 2ª safra'!$B$3+280</f>
        <v>46683</v>
      </c>
      <c r="AT7" s="17" t="n">
        <f aca="false">'Feijão 2ª safra'!$B$3+287</f>
        <v>46690</v>
      </c>
      <c r="AU7" s="17" t="n">
        <f aca="false">'Feijão 2ª safra'!$B$3+294</f>
        <v>46697</v>
      </c>
      <c r="AV7" s="17" t="n">
        <f aca="false">'Feijão 2ª safra'!$B$3+301</f>
        <v>46704</v>
      </c>
      <c r="AW7" s="17" t="n">
        <f aca="false">'Feijão 2ª safra'!$B$3+308</f>
        <v>46711</v>
      </c>
      <c r="AX7" s="17" t="n">
        <f aca="false">'Feijão 2ª safra'!$B$3+315</f>
        <v>46718</v>
      </c>
      <c r="AY7" s="17" t="n">
        <f aca="false">'Feijão 2ª safra'!$B$3+322</f>
        <v>46725</v>
      </c>
      <c r="AZ7" s="17" t="n">
        <f aca="false">'Feijão 2ª safra'!$B$3+329</f>
        <v>46732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IF(COUNT('Feijão 2ª safra'!$E6:$Z6)&gt;0,N('Feijão 2ª safra'!$D6),0)</f>
        <v>0</v>
      </c>
      <c r="E8" s="27" t="n">
        <f aca="false">IF(COUNT('Feijão 2ª safra'!$E6:$Z6)=0,0,MAX(0,IF((E$6-$E$3)&lt;1,0,IFERROR(LOOKUP(2,1/('Feijão 2ª safra'!$E6:INDEX('Feijão 2ª safra'!$E6:$Z6,MIN(E$6-$E$3,22))&lt;&gt;""),'Feijão 2ª safra'!$E6:INDEX('Feijão 2ª safra'!$E6:$Z6,MIN(E$6-$E$3,22))),0))-IF($G$2,0,IF((E$6-$G$3)&lt;1,0,IFERROR(LOOKUP(2,1/('Feijão 2ª safra'!$E6:INDEX('Feijão 2ª safra'!$E6:$Z6,MIN(E$6-$G$3,22))&lt;&gt;""),'Feijão 2ª safra'!$E6:INDEX('Feijão 2ª safra'!$E6:$Z6,MIN(E$6-$G$3,22))),0)))))</f>
        <v>0</v>
      </c>
      <c r="F8" s="27" t="n">
        <f aca="false">IF(COUNT('Feijão 2ª safra'!$E6:$Z6)=0,0,MAX(0,IF((F$6-$E$3)&lt;1,0,IFERROR(LOOKUP(2,1/('Feijão 2ª safra'!$E6:INDEX('Feijão 2ª safra'!$E6:$Z6,MIN(F$6-$E$3,22))&lt;&gt;""),'Feijão 2ª safra'!$E6:INDEX('Feijão 2ª safra'!$E6:$Z6,MIN(F$6-$E$3,22))),0))-IF($G$2,0,IF((F$6-$G$3)&lt;1,0,IFERROR(LOOKUP(2,1/('Feijão 2ª safra'!$E6:INDEX('Feijão 2ª safra'!$E6:$Z6,MIN(F$6-$G$3,22))&lt;&gt;""),'Feijão 2ª safra'!$E6:INDEX('Feijão 2ª safra'!$E6:$Z6,MIN(F$6-$G$3,22))),0)))))</f>
        <v>0</v>
      </c>
      <c r="G8" s="27" t="n">
        <f aca="false">IF(COUNT('Feijão 2ª safra'!$E6:$Z6)=0,0,MAX(0,IF((G$6-$E$3)&lt;1,0,IFERROR(LOOKUP(2,1/('Feijão 2ª safra'!$E6:INDEX('Feijão 2ª safra'!$E6:$Z6,MIN(G$6-$E$3,22))&lt;&gt;""),'Feijão 2ª safra'!$E6:INDEX('Feijão 2ª safra'!$E6:$Z6,MIN(G$6-$E$3,22))),0))-IF($G$2,0,IF((G$6-$G$3)&lt;1,0,IFERROR(LOOKUP(2,1/('Feijão 2ª safra'!$E6:INDEX('Feijão 2ª safra'!$E6:$Z6,MIN(G$6-$G$3,22))&lt;&gt;""),'Feijão 2ª safra'!$E6:INDEX('Feijão 2ª safra'!$E6:$Z6,MIN(G$6-$G$3,22))),0)))))</f>
        <v>0</v>
      </c>
      <c r="H8" s="27" t="n">
        <f aca="false">IF(COUNT('Feijão 2ª safra'!$E6:$Z6)=0,0,MAX(0,IF((H$6-$E$3)&lt;1,0,IFERROR(LOOKUP(2,1/('Feijão 2ª safra'!$E6:INDEX('Feijão 2ª safra'!$E6:$Z6,MIN(H$6-$E$3,22))&lt;&gt;""),'Feijão 2ª safra'!$E6:INDEX('Feijão 2ª safra'!$E6:$Z6,MIN(H$6-$E$3,22))),0))-IF($G$2,0,IF((H$6-$G$3)&lt;1,0,IFERROR(LOOKUP(2,1/('Feijão 2ª safra'!$E6:INDEX('Feijão 2ª safra'!$E6:$Z6,MIN(H$6-$G$3,22))&lt;&gt;""),'Feijão 2ª safra'!$E6:INDEX('Feijão 2ª safra'!$E6:$Z6,MIN(H$6-$G$3,22))),0)))))</f>
        <v>0</v>
      </c>
      <c r="I8" s="27" t="n">
        <f aca="false">IF(COUNT('Feijão 2ª safra'!$E6:$Z6)=0,0,MAX(0,IF((I$6-$E$3)&lt;1,0,IFERROR(LOOKUP(2,1/('Feijão 2ª safra'!$E6:INDEX('Feijão 2ª safra'!$E6:$Z6,MIN(I$6-$E$3,22))&lt;&gt;""),'Feijão 2ª safra'!$E6:INDEX('Feijão 2ª safra'!$E6:$Z6,MIN(I$6-$E$3,22))),0))-IF($G$2,0,IF((I$6-$G$3)&lt;1,0,IFERROR(LOOKUP(2,1/('Feijão 2ª safra'!$E6:INDEX('Feijão 2ª safra'!$E6:$Z6,MIN(I$6-$G$3,22))&lt;&gt;""),'Feijão 2ª safra'!$E6:INDEX('Feijão 2ª safra'!$E6:$Z6,MIN(I$6-$G$3,22))),0)))))</f>
        <v>0</v>
      </c>
      <c r="J8" s="27" t="n">
        <f aca="false">IF(COUNT('Feijão 2ª safra'!$E6:$Z6)=0,0,MAX(0,IF((J$6-$E$3)&lt;1,0,IFERROR(LOOKUP(2,1/('Feijão 2ª safra'!$E6:INDEX('Feijão 2ª safra'!$E6:$Z6,MIN(J$6-$E$3,22))&lt;&gt;""),'Feijão 2ª safra'!$E6:INDEX('Feijão 2ª safra'!$E6:$Z6,MIN(J$6-$E$3,22))),0))-IF($G$2,0,IF((J$6-$G$3)&lt;1,0,IFERROR(LOOKUP(2,1/('Feijão 2ª safra'!$E6:INDEX('Feijão 2ª safra'!$E6:$Z6,MIN(J$6-$G$3,22))&lt;&gt;""),'Feijão 2ª safra'!$E6:INDEX('Feijão 2ª safra'!$E6:$Z6,MIN(J$6-$G$3,22))),0)))))</f>
        <v>0</v>
      </c>
      <c r="K8" s="27" t="n">
        <f aca="false">IF(COUNT('Feijão 2ª safra'!$E6:$Z6)=0,0,MAX(0,IF((K$6-$E$3)&lt;1,0,IFERROR(LOOKUP(2,1/('Feijão 2ª safra'!$E6:INDEX('Feijão 2ª safra'!$E6:$Z6,MIN(K$6-$E$3,22))&lt;&gt;""),'Feijão 2ª safra'!$E6:INDEX('Feijão 2ª safra'!$E6:$Z6,MIN(K$6-$E$3,22))),0))-IF($G$2,0,IF((K$6-$G$3)&lt;1,0,IFERROR(LOOKUP(2,1/('Feijão 2ª safra'!$E6:INDEX('Feijão 2ª safra'!$E6:$Z6,MIN(K$6-$G$3,22))&lt;&gt;""),'Feijão 2ª safra'!$E6:INDEX('Feijão 2ª safra'!$E6:$Z6,MIN(K$6-$G$3,22))),0)))))</f>
        <v>0</v>
      </c>
      <c r="L8" s="27" t="n">
        <f aca="false">IF(COUNT('Feijão 2ª safra'!$E6:$Z6)=0,0,MAX(0,IF((L$6-$E$3)&lt;1,0,IFERROR(LOOKUP(2,1/('Feijão 2ª safra'!$E6:INDEX('Feijão 2ª safra'!$E6:$Z6,MIN(L$6-$E$3,22))&lt;&gt;""),'Feijão 2ª safra'!$E6:INDEX('Feijão 2ª safra'!$E6:$Z6,MIN(L$6-$E$3,22))),0))-IF($G$2,0,IF((L$6-$G$3)&lt;1,0,IFERROR(LOOKUP(2,1/('Feijão 2ª safra'!$E6:INDEX('Feijão 2ª safra'!$E6:$Z6,MIN(L$6-$G$3,22))&lt;&gt;""),'Feijão 2ª safra'!$E6:INDEX('Feijão 2ª safra'!$E6:$Z6,MIN(L$6-$G$3,22))),0)))))</f>
        <v>0</v>
      </c>
      <c r="M8" s="27" t="n">
        <f aca="false">IF(COUNT('Feijão 2ª safra'!$E6:$Z6)=0,0,MAX(0,IF((M$6-$E$3)&lt;1,0,IFERROR(LOOKUP(2,1/('Feijão 2ª safra'!$E6:INDEX('Feijão 2ª safra'!$E6:$Z6,MIN(M$6-$E$3,22))&lt;&gt;""),'Feijão 2ª safra'!$E6:INDEX('Feijão 2ª safra'!$E6:$Z6,MIN(M$6-$E$3,22))),0))-IF($G$2,0,IF((M$6-$G$3)&lt;1,0,IFERROR(LOOKUP(2,1/('Feijão 2ª safra'!$E6:INDEX('Feijão 2ª safra'!$E6:$Z6,MIN(M$6-$G$3,22))&lt;&gt;""),'Feijão 2ª safra'!$E6:INDEX('Feijão 2ª safra'!$E6:$Z6,MIN(M$6-$G$3,22))),0)))))</f>
        <v>0</v>
      </c>
      <c r="N8" s="27" t="n">
        <f aca="false">IF(COUNT('Feijão 2ª safra'!$E6:$Z6)=0,0,MAX(0,IF((N$6-$E$3)&lt;1,0,IFERROR(LOOKUP(2,1/('Feijão 2ª safra'!$E6:INDEX('Feijão 2ª safra'!$E6:$Z6,MIN(N$6-$E$3,22))&lt;&gt;""),'Feijão 2ª safra'!$E6:INDEX('Feijão 2ª safra'!$E6:$Z6,MIN(N$6-$E$3,22))),0))-IF($G$2,0,IF((N$6-$G$3)&lt;1,0,IFERROR(LOOKUP(2,1/('Feijão 2ª safra'!$E6:INDEX('Feijão 2ª safra'!$E6:$Z6,MIN(N$6-$G$3,22))&lt;&gt;""),'Feijão 2ª safra'!$E6:INDEX('Feijão 2ª safra'!$E6:$Z6,MIN(N$6-$G$3,22))),0)))))</f>
        <v>0</v>
      </c>
      <c r="O8" s="27" t="n">
        <f aca="false">IF(COUNT('Feijão 2ª safra'!$E6:$Z6)=0,0,MAX(0,IF((O$6-$E$3)&lt;1,0,IFERROR(LOOKUP(2,1/('Feijão 2ª safra'!$E6:INDEX('Feijão 2ª safra'!$E6:$Z6,MIN(O$6-$E$3,22))&lt;&gt;""),'Feijão 2ª safra'!$E6:INDEX('Feijão 2ª safra'!$E6:$Z6,MIN(O$6-$E$3,22))),0))-IF($G$2,0,IF((O$6-$G$3)&lt;1,0,IFERROR(LOOKUP(2,1/('Feijão 2ª safra'!$E6:INDEX('Feijão 2ª safra'!$E6:$Z6,MIN(O$6-$G$3,22))&lt;&gt;""),'Feijão 2ª safra'!$E6:INDEX('Feijão 2ª safra'!$E6:$Z6,MIN(O$6-$G$3,22))),0)))))</f>
        <v>0</v>
      </c>
      <c r="P8" s="27" t="n">
        <f aca="false">IF(COUNT('Feijão 2ª safra'!$E6:$Z6)=0,0,MAX(0,IF((P$6-$E$3)&lt;1,0,IFERROR(LOOKUP(2,1/('Feijão 2ª safra'!$E6:INDEX('Feijão 2ª safra'!$E6:$Z6,MIN(P$6-$E$3,22))&lt;&gt;""),'Feijão 2ª safra'!$E6:INDEX('Feijão 2ª safra'!$E6:$Z6,MIN(P$6-$E$3,22))),0))-IF($G$2,0,IF((P$6-$G$3)&lt;1,0,IFERROR(LOOKUP(2,1/('Feijão 2ª safra'!$E6:INDEX('Feijão 2ª safra'!$E6:$Z6,MIN(P$6-$G$3,22))&lt;&gt;""),'Feijão 2ª safra'!$E6:INDEX('Feijão 2ª safra'!$E6:$Z6,MIN(P$6-$G$3,22))),0)))))</f>
        <v>0</v>
      </c>
      <c r="Q8" s="27" t="n">
        <f aca="false">IF(COUNT('Feijão 2ª safra'!$E6:$Z6)=0,0,MAX(0,IF((Q$6-$E$3)&lt;1,0,IFERROR(LOOKUP(2,1/('Feijão 2ª safra'!$E6:INDEX('Feijão 2ª safra'!$E6:$Z6,MIN(Q$6-$E$3,22))&lt;&gt;""),'Feijão 2ª safra'!$E6:INDEX('Feijão 2ª safra'!$E6:$Z6,MIN(Q$6-$E$3,22))),0))-IF($G$2,0,IF((Q$6-$G$3)&lt;1,0,IFERROR(LOOKUP(2,1/('Feijão 2ª safra'!$E6:INDEX('Feijão 2ª safra'!$E6:$Z6,MIN(Q$6-$G$3,22))&lt;&gt;""),'Feijão 2ª safra'!$E6:INDEX('Feijão 2ª safra'!$E6:$Z6,MIN(Q$6-$G$3,22))),0)))))</f>
        <v>0</v>
      </c>
      <c r="R8" s="27" t="n">
        <f aca="false">IF(COUNT('Feijão 2ª safra'!$E6:$Z6)=0,0,MAX(0,IF((R$6-$E$3)&lt;1,0,IFERROR(LOOKUP(2,1/('Feijão 2ª safra'!$E6:INDEX('Feijão 2ª safra'!$E6:$Z6,MIN(R$6-$E$3,22))&lt;&gt;""),'Feijão 2ª safra'!$E6:INDEX('Feijão 2ª safra'!$E6:$Z6,MIN(R$6-$E$3,22))),0))-IF($G$2,0,IF((R$6-$G$3)&lt;1,0,IFERROR(LOOKUP(2,1/('Feijão 2ª safra'!$E6:INDEX('Feijão 2ª safra'!$E6:$Z6,MIN(R$6-$G$3,22))&lt;&gt;""),'Feijão 2ª safra'!$E6:INDEX('Feijão 2ª safra'!$E6:$Z6,MIN(R$6-$G$3,22))),0)))))</f>
        <v>0</v>
      </c>
      <c r="S8" s="27" t="n">
        <f aca="false">IF(COUNT('Feijão 2ª safra'!$E6:$Z6)=0,0,MAX(0,IF((S$6-$E$3)&lt;1,0,IFERROR(LOOKUP(2,1/('Feijão 2ª safra'!$E6:INDEX('Feijão 2ª safra'!$E6:$Z6,MIN(S$6-$E$3,22))&lt;&gt;""),'Feijão 2ª safra'!$E6:INDEX('Feijão 2ª safra'!$E6:$Z6,MIN(S$6-$E$3,22))),0))-IF($G$2,0,IF((S$6-$G$3)&lt;1,0,IFERROR(LOOKUP(2,1/('Feijão 2ª safra'!$E6:INDEX('Feijão 2ª safra'!$E6:$Z6,MIN(S$6-$G$3,22))&lt;&gt;""),'Feijão 2ª safra'!$E6:INDEX('Feijão 2ª safra'!$E6:$Z6,MIN(S$6-$G$3,22))),0)))))</f>
        <v>0</v>
      </c>
      <c r="T8" s="27" t="n">
        <f aca="false">IF(COUNT('Feijão 2ª safra'!$E6:$Z6)=0,0,MAX(0,IF((T$6-$E$3)&lt;1,0,IFERROR(LOOKUP(2,1/('Feijão 2ª safra'!$E6:INDEX('Feijão 2ª safra'!$E6:$Z6,MIN(T$6-$E$3,22))&lt;&gt;""),'Feijão 2ª safra'!$E6:INDEX('Feijão 2ª safra'!$E6:$Z6,MIN(T$6-$E$3,22))),0))-IF($G$2,0,IF((T$6-$G$3)&lt;1,0,IFERROR(LOOKUP(2,1/('Feijão 2ª safra'!$E6:INDEX('Feijão 2ª safra'!$E6:$Z6,MIN(T$6-$G$3,22))&lt;&gt;""),'Feijão 2ª safra'!$E6:INDEX('Feijão 2ª safra'!$E6:$Z6,MIN(T$6-$G$3,22))),0)))))</f>
        <v>0</v>
      </c>
      <c r="U8" s="27" t="n">
        <f aca="false">IF(COUNT('Feijão 2ª safra'!$E6:$Z6)=0,0,MAX(0,IF((U$6-$E$3)&lt;1,0,IFERROR(LOOKUP(2,1/('Feijão 2ª safra'!$E6:INDEX('Feijão 2ª safra'!$E6:$Z6,MIN(U$6-$E$3,22))&lt;&gt;""),'Feijão 2ª safra'!$E6:INDEX('Feijão 2ª safra'!$E6:$Z6,MIN(U$6-$E$3,22))),0))-IF($G$2,0,IF((U$6-$G$3)&lt;1,0,IFERROR(LOOKUP(2,1/('Feijão 2ª safra'!$E6:INDEX('Feijão 2ª safra'!$E6:$Z6,MIN(U$6-$G$3,22))&lt;&gt;""),'Feijão 2ª safra'!$E6:INDEX('Feijão 2ª safra'!$E6:$Z6,MIN(U$6-$G$3,22))),0)))))</f>
        <v>0</v>
      </c>
      <c r="V8" s="27" t="n">
        <f aca="false">IF(COUNT('Feijão 2ª safra'!$E6:$Z6)=0,0,MAX(0,IF((V$6-$E$3)&lt;1,0,IFERROR(LOOKUP(2,1/('Feijão 2ª safra'!$E6:INDEX('Feijão 2ª safra'!$E6:$Z6,MIN(V$6-$E$3,22))&lt;&gt;""),'Feijão 2ª safra'!$E6:INDEX('Feijão 2ª safra'!$E6:$Z6,MIN(V$6-$E$3,22))),0))-IF($G$2,0,IF((V$6-$G$3)&lt;1,0,IFERROR(LOOKUP(2,1/('Feijão 2ª safra'!$E6:INDEX('Feijão 2ª safra'!$E6:$Z6,MIN(V$6-$G$3,22))&lt;&gt;""),'Feijão 2ª safra'!$E6:INDEX('Feijão 2ª safra'!$E6:$Z6,MIN(V$6-$G$3,22))),0)))))</f>
        <v>0</v>
      </c>
      <c r="W8" s="27" t="n">
        <f aca="false">IF(COUNT('Feijão 2ª safra'!$E6:$Z6)=0,0,MAX(0,IF((W$6-$E$3)&lt;1,0,IFERROR(LOOKUP(2,1/('Feijão 2ª safra'!$E6:INDEX('Feijão 2ª safra'!$E6:$Z6,MIN(W$6-$E$3,22))&lt;&gt;""),'Feijão 2ª safra'!$E6:INDEX('Feijão 2ª safra'!$E6:$Z6,MIN(W$6-$E$3,22))),0))-IF($G$2,0,IF((W$6-$G$3)&lt;1,0,IFERROR(LOOKUP(2,1/('Feijão 2ª safra'!$E6:INDEX('Feijão 2ª safra'!$E6:$Z6,MIN(W$6-$G$3,22))&lt;&gt;""),'Feijão 2ª safra'!$E6:INDEX('Feijão 2ª safra'!$E6:$Z6,MIN(W$6-$G$3,22))),0)))))</f>
        <v>0</v>
      </c>
      <c r="X8" s="27" t="n">
        <f aca="false">IF(COUNT('Feijão 2ª safra'!$E6:$Z6)=0,0,MAX(0,IF((X$6-$E$3)&lt;1,0,IFERROR(LOOKUP(2,1/('Feijão 2ª safra'!$E6:INDEX('Feijão 2ª safra'!$E6:$Z6,MIN(X$6-$E$3,22))&lt;&gt;""),'Feijão 2ª safra'!$E6:INDEX('Feijão 2ª safra'!$E6:$Z6,MIN(X$6-$E$3,22))),0))-IF($G$2,0,IF((X$6-$G$3)&lt;1,0,IFERROR(LOOKUP(2,1/('Feijão 2ª safra'!$E6:INDEX('Feijão 2ª safra'!$E6:$Z6,MIN(X$6-$G$3,22))&lt;&gt;""),'Feijão 2ª safra'!$E6:INDEX('Feijão 2ª safra'!$E6:$Z6,MIN(X$6-$G$3,22))),0)))))</f>
        <v>0</v>
      </c>
      <c r="Y8" s="27" t="n">
        <f aca="false">IF(COUNT('Feijão 2ª safra'!$E6:$Z6)=0,0,MAX(0,IF((Y$6-$E$3)&lt;1,0,IFERROR(LOOKUP(2,1/('Feijão 2ª safra'!$E6:INDEX('Feijão 2ª safra'!$E6:$Z6,MIN(Y$6-$E$3,22))&lt;&gt;""),'Feijão 2ª safra'!$E6:INDEX('Feijão 2ª safra'!$E6:$Z6,MIN(Y$6-$E$3,22))),0))-IF($G$2,0,IF((Y$6-$G$3)&lt;1,0,IFERROR(LOOKUP(2,1/('Feijão 2ª safra'!$E6:INDEX('Feijão 2ª safra'!$E6:$Z6,MIN(Y$6-$G$3,22))&lt;&gt;""),'Feijão 2ª safra'!$E6:INDEX('Feijão 2ª safra'!$E6:$Z6,MIN(Y$6-$G$3,22))),0)))))</f>
        <v>0</v>
      </c>
      <c r="Z8" s="27" t="n">
        <f aca="false">IF(COUNT('Feijão 2ª safra'!$E6:$Z6)=0,0,MAX(0,IF((Z$6-$E$3)&lt;1,0,IFERROR(LOOKUP(2,1/('Feijão 2ª safra'!$E6:INDEX('Feijão 2ª safra'!$E6:$Z6,MIN(Z$6-$E$3,22))&lt;&gt;""),'Feijão 2ª safra'!$E6:INDEX('Feijão 2ª safra'!$E6:$Z6,MIN(Z$6-$E$3,22))),0))-IF($G$2,0,IF((Z$6-$G$3)&lt;1,0,IFERROR(LOOKUP(2,1/('Feijão 2ª safra'!$E6:INDEX('Feijão 2ª safra'!$E6:$Z6,MIN(Z$6-$G$3,22))&lt;&gt;""),'Feijão 2ª safra'!$E6:INDEX('Feijão 2ª safra'!$E6:$Z6,MIN(Z$6-$G$3,22))),0)))))</f>
        <v>0</v>
      </c>
      <c r="AA8" s="27" t="n">
        <f aca="false">IF(COUNT('Feijão 2ª safra'!$E6:$Z6)=0,0,MAX(0,IF((AA$6-$E$3)&lt;1,0,IFERROR(LOOKUP(2,1/('Feijão 2ª safra'!$E6:INDEX('Feijão 2ª safra'!$E6:$Z6,MIN(AA$6-$E$3,22))&lt;&gt;""),'Feijão 2ª safra'!$E6:INDEX('Feijão 2ª safra'!$E6:$Z6,MIN(AA$6-$E$3,22))),0))-IF($G$2,0,IF((AA$6-$G$3)&lt;1,0,IFERROR(LOOKUP(2,1/('Feijão 2ª safra'!$E6:INDEX('Feijão 2ª safra'!$E6:$Z6,MIN(AA$6-$G$3,22))&lt;&gt;""),'Feijão 2ª safra'!$E6:INDEX('Feijão 2ª safra'!$E6:$Z6,MIN(AA$6-$G$3,22))),0)))))</f>
        <v>0</v>
      </c>
      <c r="AB8" s="27" t="n">
        <f aca="false">IF(COUNT('Feijão 2ª safra'!$E6:$Z6)=0,0,MAX(0,IF((AB$6-$E$3)&lt;1,0,IFERROR(LOOKUP(2,1/('Feijão 2ª safra'!$E6:INDEX('Feijão 2ª safra'!$E6:$Z6,MIN(AB$6-$E$3,22))&lt;&gt;""),'Feijão 2ª safra'!$E6:INDEX('Feijão 2ª safra'!$E6:$Z6,MIN(AB$6-$E$3,22))),0))-IF($G$2,0,IF((AB$6-$G$3)&lt;1,0,IFERROR(LOOKUP(2,1/('Feijão 2ª safra'!$E6:INDEX('Feijão 2ª safra'!$E6:$Z6,MIN(AB$6-$G$3,22))&lt;&gt;""),'Feijão 2ª safra'!$E6:INDEX('Feijão 2ª safra'!$E6:$Z6,MIN(AB$6-$G$3,22))),0)))))</f>
        <v>0</v>
      </c>
      <c r="AC8" s="27" t="n">
        <f aca="false">IF(COUNT('Feijão 2ª safra'!$E6:$Z6)=0,0,MAX(0,IF((AC$6-$E$3)&lt;1,0,IFERROR(LOOKUP(2,1/('Feijão 2ª safra'!$E6:INDEX('Feijão 2ª safra'!$E6:$Z6,MIN(AC$6-$E$3,22))&lt;&gt;""),'Feijão 2ª safra'!$E6:INDEX('Feijão 2ª safra'!$E6:$Z6,MIN(AC$6-$E$3,22))),0))-IF($G$2,0,IF((AC$6-$G$3)&lt;1,0,IFERROR(LOOKUP(2,1/('Feijão 2ª safra'!$E6:INDEX('Feijão 2ª safra'!$E6:$Z6,MIN(AC$6-$G$3,22))&lt;&gt;""),'Feijão 2ª safra'!$E6:INDEX('Feijão 2ª safra'!$E6:$Z6,MIN(AC$6-$G$3,22))),0)))))</f>
        <v>0</v>
      </c>
      <c r="AD8" s="27" t="n">
        <f aca="false">IF(COUNT('Feijão 2ª safra'!$E6:$Z6)=0,0,MAX(0,IF((AD$6-$E$3)&lt;1,0,IFERROR(LOOKUP(2,1/('Feijão 2ª safra'!$E6:INDEX('Feijão 2ª safra'!$E6:$Z6,MIN(AD$6-$E$3,22))&lt;&gt;""),'Feijão 2ª safra'!$E6:INDEX('Feijão 2ª safra'!$E6:$Z6,MIN(AD$6-$E$3,22))),0))-IF($G$2,0,IF((AD$6-$G$3)&lt;1,0,IFERROR(LOOKUP(2,1/('Feijão 2ª safra'!$E6:INDEX('Feijão 2ª safra'!$E6:$Z6,MIN(AD$6-$G$3,22))&lt;&gt;""),'Feijão 2ª safra'!$E6:INDEX('Feijão 2ª safra'!$E6:$Z6,MIN(AD$6-$G$3,22))),0)))))</f>
        <v>0</v>
      </c>
      <c r="AE8" s="27" t="n">
        <f aca="false">IF(COUNT('Feijão 2ª safra'!$E6:$Z6)=0,0,MAX(0,IF((AE$6-$E$3)&lt;1,0,IFERROR(LOOKUP(2,1/('Feijão 2ª safra'!$E6:INDEX('Feijão 2ª safra'!$E6:$Z6,MIN(AE$6-$E$3,22))&lt;&gt;""),'Feijão 2ª safra'!$E6:INDEX('Feijão 2ª safra'!$E6:$Z6,MIN(AE$6-$E$3,22))),0))-IF($G$2,0,IF((AE$6-$G$3)&lt;1,0,IFERROR(LOOKUP(2,1/('Feijão 2ª safra'!$E6:INDEX('Feijão 2ª safra'!$E6:$Z6,MIN(AE$6-$G$3,22))&lt;&gt;""),'Feijão 2ª safra'!$E6:INDEX('Feijão 2ª safra'!$E6:$Z6,MIN(AE$6-$G$3,22))),0)))))</f>
        <v>0</v>
      </c>
      <c r="AF8" s="27" t="n">
        <f aca="false">IF(COUNT('Feijão 2ª safra'!$E6:$Z6)=0,0,MAX(0,IF((AF$6-$E$3)&lt;1,0,IFERROR(LOOKUP(2,1/('Feijão 2ª safra'!$E6:INDEX('Feijão 2ª safra'!$E6:$Z6,MIN(AF$6-$E$3,22))&lt;&gt;""),'Feijão 2ª safra'!$E6:INDEX('Feijão 2ª safra'!$E6:$Z6,MIN(AF$6-$E$3,22))),0))-IF($G$2,0,IF((AF$6-$G$3)&lt;1,0,IFERROR(LOOKUP(2,1/('Feijão 2ª safra'!$E6:INDEX('Feijão 2ª safra'!$E6:$Z6,MIN(AF$6-$G$3,22))&lt;&gt;""),'Feijão 2ª safra'!$E6:INDEX('Feijão 2ª safra'!$E6:$Z6,MIN(AF$6-$G$3,22))),0)))))</f>
        <v>0</v>
      </c>
      <c r="AG8" s="27" t="n">
        <f aca="false">IF(COUNT('Feijão 2ª safra'!$E6:$Z6)=0,0,MAX(0,IF((AG$6-$E$3)&lt;1,0,IFERROR(LOOKUP(2,1/('Feijão 2ª safra'!$E6:INDEX('Feijão 2ª safra'!$E6:$Z6,MIN(AG$6-$E$3,22))&lt;&gt;""),'Feijão 2ª safra'!$E6:INDEX('Feijão 2ª safra'!$E6:$Z6,MIN(AG$6-$E$3,22))),0))-IF($G$2,0,IF((AG$6-$G$3)&lt;1,0,IFERROR(LOOKUP(2,1/('Feijão 2ª safra'!$E6:INDEX('Feijão 2ª safra'!$E6:$Z6,MIN(AG$6-$G$3,22))&lt;&gt;""),'Feijão 2ª safra'!$E6:INDEX('Feijão 2ª safra'!$E6:$Z6,MIN(AG$6-$G$3,22))),0)))))</f>
        <v>0</v>
      </c>
      <c r="AH8" s="27" t="n">
        <f aca="false">IF(COUNT('Feijão 2ª safra'!$E6:$Z6)=0,0,MAX(0,IF((AH$6-$E$3)&lt;1,0,IFERROR(LOOKUP(2,1/('Feijão 2ª safra'!$E6:INDEX('Feijão 2ª safra'!$E6:$Z6,MIN(AH$6-$E$3,22))&lt;&gt;""),'Feijão 2ª safra'!$E6:INDEX('Feijão 2ª safra'!$E6:$Z6,MIN(AH$6-$E$3,22))),0))-IF($G$2,0,IF((AH$6-$G$3)&lt;1,0,IFERROR(LOOKUP(2,1/('Feijão 2ª safra'!$E6:INDEX('Feijão 2ª safra'!$E6:$Z6,MIN(AH$6-$G$3,22))&lt;&gt;""),'Feijão 2ª safra'!$E6:INDEX('Feijão 2ª safra'!$E6:$Z6,MIN(AH$6-$G$3,22))),0)))))</f>
        <v>0</v>
      </c>
      <c r="AI8" s="27" t="n">
        <f aca="false">IF(COUNT('Feijão 2ª safra'!$E6:$Z6)=0,0,MAX(0,IF((AI$6-$E$3)&lt;1,0,IFERROR(LOOKUP(2,1/('Feijão 2ª safra'!$E6:INDEX('Feijão 2ª safra'!$E6:$Z6,MIN(AI$6-$E$3,22))&lt;&gt;""),'Feijão 2ª safra'!$E6:INDEX('Feijão 2ª safra'!$E6:$Z6,MIN(AI$6-$E$3,22))),0))-IF($G$2,0,IF((AI$6-$G$3)&lt;1,0,IFERROR(LOOKUP(2,1/('Feijão 2ª safra'!$E6:INDEX('Feijão 2ª safra'!$E6:$Z6,MIN(AI$6-$G$3,22))&lt;&gt;""),'Feijão 2ª safra'!$E6:INDEX('Feijão 2ª safra'!$E6:$Z6,MIN(AI$6-$G$3,22))),0)))))</f>
        <v>0</v>
      </c>
      <c r="AJ8" s="27" t="n">
        <f aca="false">IF(COUNT('Feijão 2ª safra'!$E6:$Z6)=0,0,MAX(0,IF((AJ$6-$E$3)&lt;1,0,IFERROR(LOOKUP(2,1/('Feijão 2ª safra'!$E6:INDEX('Feijão 2ª safra'!$E6:$Z6,MIN(AJ$6-$E$3,22))&lt;&gt;""),'Feijão 2ª safra'!$E6:INDEX('Feijão 2ª safra'!$E6:$Z6,MIN(AJ$6-$E$3,22))),0))-IF($G$2,0,IF((AJ$6-$G$3)&lt;1,0,IFERROR(LOOKUP(2,1/('Feijão 2ª safra'!$E6:INDEX('Feijão 2ª safra'!$E6:$Z6,MIN(AJ$6-$G$3,22))&lt;&gt;""),'Feijão 2ª safra'!$E6:INDEX('Feijão 2ª safra'!$E6:$Z6,MIN(AJ$6-$G$3,22))),0)))))</f>
        <v>0</v>
      </c>
      <c r="AK8" s="27" t="n">
        <f aca="false">IF(COUNT('Feijão 2ª safra'!$E6:$Z6)=0,0,MAX(0,IF((AK$6-$E$3)&lt;1,0,IFERROR(LOOKUP(2,1/('Feijão 2ª safra'!$E6:INDEX('Feijão 2ª safra'!$E6:$Z6,MIN(AK$6-$E$3,22))&lt;&gt;""),'Feijão 2ª safra'!$E6:INDEX('Feijão 2ª safra'!$E6:$Z6,MIN(AK$6-$E$3,22))),0))-IF($G$2,0,IF((AK$6-$G$3)&lt;1,0,IFERROR(LOOKUP(2,1/('Feijão 2ª safra'!$E6:INDEX('Feijão 2ª safra'!$E6:$Z6,MIN(AK$6-$G$3,22))&lt;&gt;""),'Feijão 2ª safra'!$E6:INDEX('Feijão 2ª safra'!$E6:$Z6,MIN(AK$6-$G$3,22))),0)))))</f>
        <v>0</v>
      </c>
      <c r="AL8" s="27" t="n">
        <f aca="false">IF(COUNT('Feijão 2ª safra'!$E6:$Z6)=0,0,MAX(0,IF((AL$6-$E$3)&lt;1,0,IFERROR(LOOKUP(2,1/('Feijão 2ª safra'!$E6:INDEX('Feijão 2ª safra'!$E6:$Z6,MIN(AL$6-$E$3,22))&lt;&gt;""),'Feijão 2ª safra'!$E6:INDEX('Feijão 2ª safra'!$E6:$Z6,MIN(AL$6-$E$3,22))),0))-IF($G$2,0,IF((AL$6-$G$3)&lt;1,0,IFERROR(LOOKUP(2,1/('Feijão 2ª safra'!$E6:INDEX('Feijão 2ª safra'!$E6:$Z6,MIN(AL$6-$G$3,22))&lt;&gt;""),'Feijão 2ª safra'!$E6:INDEX('Feijão 2ª safra'!$E6:$Z6,MIN(AL$6-$G$3,22))),0)))))</f>
        <v>0</v>
      </c>
      <c r="AM8" s="27" t="n">
        <f aca="false">IF(COUNT('Feijão 2ª safra'!$E6:$Z6)=0,0,MAX(0,IF((AM$6-$E$3)&lt;1,0,IFERROR(LOOKUP(2,1/('Feijão 2ª safra'!$E6:INDEX('Feijão 2ª safra'!$E6:$Z6,MIN(AM$6-$E$3,22))&lt;&gt;""),'Feijão 2ª safra'!$E6:INDEX('Feijão 2ª safra'!$E6:$Z6,MIN(AM$6-$E$3,22))),0))-IF($G$2,0,IF((AM$6-$G$3)&lt;1,0,IFERROR(LOOKUP(2,1/('Feijão 2ª safra'!$E6:INDEX('Feijão 2ª safra'!$E6:$Z6,MIN(AM$6-$G$3,22))&lt;&gt;""),'Feijão 2ª safra'!$E6:INDEX('Feijão 2ª safra'!$E6:$Z6,MIN(AM$6-$G$3,22))),0)))))</f>
        <v>0</v>
      </c>
      <c r="AN8" s="27" t="n">
        <f aca="false">IF(COUNT('Feijão 2ª safra'!$E6:$Z6)=0,0,MAX(0,IF((AN$6-$E$3)&lt;1,0,IFERROR(LOOKUP(2,1/('Feijão 2ª safra'!$E6:INDEX('Feijão 2ª safra'!$E6:$Z6,MIN(AN$6-$E$3,22))&lt;&gt;""),'Feijão 2ª safra'!$E6:INDEX('Feijão 2ª safra'!$E6:$Z6,MIN(AN$6-$E$3,22))),0))-IF($G$2,0,IF((AN$6-$G$3)&lt;1,0,IFERROR(LOOKUP(2,1/('Feijão 2ª safra'!$E6:INDEX('Feijão 2ª safra'!$E6:$Z6,MIN(AN$6-$G$3,22))&lt;&gt;""),'Feijão 2ª safra'!$E6:INDEX('Feijão 2ª safra'!$E6:$Z6,MIN(AN$6-$G$3,22))),0)))))</f>
        <v>0</v>
      </c>
      <c r="AO8" s="27" t="n">
        <f aca="false">IF(COUNT('Feijão 2ª safra'!$E6:$Z6)=0,0,MAX(0,IF((AO$6-$E$3)&lt;1,0,IFERROR(LOOKUP(2,1/('Feijão 2ª safra'!$E6:INDEX('Feijão 2ª safra'!$E6:$Z6,MIN(AO$6-$E$3,22))&lt;&gt;""),'Feijão 2ª safra'!$E6:INDEX('Feijão 2ª safra'!$E6:$Z6,MIN(AO$6-$E$3,22))),0))-IF($G$2,0,IF((AO$6-$G$3)&lt;1,0,IFERROR(LOOKUP(2,1/('Feijão 2ª safra'!$E6:INDEX('Feijão 2ª safra'!$E6:$Z6,MIN(AO$6-$G$3,22))&lt;&gt;""),'Feijão 2ª safra'!$E6:INDEX('Feijão 2ª safra'!$E6:$Z6,MIN(AO$6-$G$3,22))),0)))))</f>
        <v>0</v>
      </c>
      <c r="AP8" s="27" t="n">
        <f aca="false">IF(COUNT('Feijão 2ª safra'!$E6:$Z6)=0,0,MAX(0,IF((AP$6-$E$3)&lt;1,0,IFERROR(LOOKUP(2,1/('Feijão 2ª safra'!$E6:INDEX('Feijão 2ª safra'!$E6:$Z6,MIN(AP$6-$E$3,22))&lt;&gt;""),'Feijão 2ª safra'!$E6:INDEX('Feijão 2ª safra'!$E6:$Z6,MIN(AP$6-$E$3,22))),0))-IF($G$2,0,IF((AP$6-$G$3)&lt;1,0,IFERROR(LOOKUP(2,1/('Feijão 2ª safra'!$E6:INDEX('Feijão 2ª safra'!$E6:$Z6,MIN(AP$6-$G$3,22))&lt;&gt;""),'Feijão 2ª safra'!$E6:INDEX('Feijão 2ª safra'!$E6:$Z6,MIN(AP$6-$G$3,22))),0)))))</f>
        <v>0</v>
      </c>
      <c r="AQ8" s="27" t="n">
        <f aca="false">IF(COUNT('Feijão 2ª safra'!$E6:$Z6)=0,0,MAX(0,IF((AQ$6-$E$3)&lt;1,0,IFERROR(LOOKUP(2,1/('Feijão 2ª safra'!$E6:INDEX('Feijão 2ª safra'!$E6:$Z6,MIN(AQ$6-$E$3,22))&lt;&gt;""),'Feijão 2ª safra'!$E6:INDEX('Feijão 2ª safra'!$E6:$Z6,MIN(AQ$6-$E$3,22))),0))-IF($G$2,0,IF((AQ$6-$G$3)&lt;1,0,IFERROR(LOOKUP(2,1/('Feijão 2ª safra'!$E6:INDEX('Feijão 2ª safra'!$E6:$Z6,MIN(AQ$6-$G$3,22))&lt;&gt;""),'Feijão 2ª safra'!$E6:INDEX('Feijão 2ª safra'!$E6:$Z6,MIN(AQ$6-$G$3,22))),0)))))</f>
        <v>0</v>
      </c>
      <c r="AR8" s="27" t="n">
        <f aca="false">IF(COUNT('Feijão 2ª safra'!$E6:$Z6)=0,0,MAX(0,IF((AR$6-$E$3)&lt;1,0,IFERROR(LOOKUP(2,1/('Feijão 2ª safra'!$E6:INDEX('Feijão 2ª safra'!$E6:$Z6,MIN(AR$6-$E$3,22))&lt;&gt;""),'Feijão 2ª safra'!$E6:INDEX('Feijão 2ª safra'!$E6:$Z6,MIN(AR$6-$E$3,22))),0))-IF($G$2,0,IF((AR$6-$G$3)&lt;1,0,IFERROR(LOOKUP(2,1/('Feijão 2ª safra'!$E6:INDEX('Feijão 2ª safra'!$E6:$Z6,MIN(AR$6-$G$3,22))&lt;&gt;""),'Feijão 2ª safra'!$E6:INDEX('Feijão 2ª safra'!$E6:$Z6,MIN(AR$6-$G$3,22))),0)))))</f>
        <v>0</v>
      </c>
      <c r="AS8" s="27" t="n">
        <f aca="false">IF(COUNT('Feijão 2ª safra'!$E6:$Z6)=0,0,MAX(0,IF((AS$6-$E$3)&lt;1,0,IFERROR(LOOKUP(2,1/('Feijão 2ª safra'!$E6:INDEX('Feijão 2ª safra'!$E6:$Z6,MIN(AS$6-$E$3,22))&lt;&gt;""),'Feijão 2ª safra'!$E6:INDEX('Feijão 2ª safra'!$E6:$Z6,MIN(AS$6-$E$3,22))),0))-IF($G$2,0,IF((AS$6-$G$3)&lt;1,0,IFERROR(LOOKUP(2,1/('Feijão 2ª safra'!$E6:INDEX('Feijão 2ª safra'!$E6:$Z6,MIN(AS$6-$G$3,22))&lt;&gt;""),'Feijão 2ª safra'!$E6:INDEX('Feijão 2ª safra'!$E6:$Z6,MIN(AS$6-$G$3,22))),0)))))</f>
        <v>0</v>
      </c>
      <c r="AT8" s="27" t="n">
        <f aca="false">IF(COUNT('Feijão 2ª safra'!$E6:$Z6)=0,0,MAX(0,IF((AT$6-$E$3)&lt;1,0,IFERROR(LOOKUP(2,1/('Feijão 2ª safra'!$E6:INDEX('Feijão 2ª safra'!$E6:$Z6,MIN(AT$6-$E$3,22))&lt;&gt;""),'Feijão 2ª safra'!$E6:INDEX('Feijão 2ª safra'!$E6:$Z6,MIN(AT$6-$E$3,22))),0))-IF($G$2,0,IF((AT$6-$G$3)&lt;1,0,IFERROR(LOOKUP(2,1/('Feijão 2ª safra'!$E6:INDEX('Feijão 2ª safra'!$E6:$Z6,MIN(AT$6-$G$3,22))&lt;&gt;""),'Feijão 2ª safra'!$E6:INDEX('Feijão 2ª safra'!$E6:$Z6,MIN(AT$6-$G$3,22))),0)))))</f>
        <v>0</v>
      </c>
      <c r="AU8" s="27" t="n">
        <f aca="false">IF(COUNT('Feijão 2ª safra'!$E6:$Z6)=0,0,MAX(0,IF((AU$6-$E$3)&lt;1,0,IFERROR(LOOKUP(2,1/('Feijão 2ª safra'!$E6:INDEX('Feijão 2ª safra'!$E6:$Z6,MIN(AU$6-$E$3,22))&lt;&gt;""),'Feijão 2ª safra'!$E6:INDEX('Feijão 2ª safra'!$E6:$Z6,MIN(AU$6-$E$3,22))),0))-IF($G$2,0,IF((AU$6-$G$3)&lt;1,0,IFERROR(LOOKUP(2,1/('Feijão 2ª safra'!$E6:INDEX('Feijão 2ª safra'!$E6:$Z6,MIN(AU$6-$G$3,22))&lt;&gt;""),'Feijão 2ª safra'!$E6:INDEX('Feijão 2ª safra'!$E6:$Z6,MIN(AU$6-$G$3,22))),0)))))</f>
        <v>0</v>
      </c>
      <c r="AV8" s="27" t="n">
        <f aca="false">IF(COUNT('Feijão 2ª safra'!$E6:$Z6)=0,0,MAX(0,IF((AV$6-$E$3)&lt;1,0,IFERROR(LOOKUP(2,1/('Feijão 2ª safra'!$E6:INDEX('Feijão 2ª safra'!$E6:$Z6,MIN(AV$6-$E$3,22))&lt;&gt;""),'Feijão 2ª safra'!$E6:INDEX('Feijão 2ª safra'!$E6:$Z6,MIN(AV$6-$E$3,22))),0))-IF($G$2,0,IF((AV$6-$G$3)&lt;1,0,IFERROR(LOOKUP(2,1/('Feijão 2ª safra'!$E6:INDEX('Feijão 2ª safra'!$E6:$Z6,MIN(AV$6-$G$3,22))&lt;&gt;""),'Feijão 2ª safra'!$E6:INDEX('Feijão 2ª safra'!$E6:$Z6,MIN(AV$6-$G$3,22))),0)))))</f>
        <v>0</v>
      </c>
      <c r="AW8" s="27" t="n">
        <f aca="false">IF(COUNT('Feijão 2ª safra'!$E6:$Z6)=0,0,MAX(0,IF((AW$6-$E$3)&lt;1,0,IFERROR(LOOKUP(2,1/('Feijão 2ª safra'!$E6:INDEX('Feijão 2ª safra'!$E6:$Z6,MIN(AW$6-$E$3,22))&lt;&gt;""),'Feijão 2ª safra'!$E6:INDEX('Feijão 2ª safra'!$E6:$Z6,MIN(AW$6-$E$3,22))),0))-IF($G$2,0,IF((AW$6-$G$3)&lt;1,0,IFERROR(LOOKUP(2,1/('Feijão 2ª safra'!$E6:INDEX('Feijão 2ª safra'!$E6:$Z6,MIN(AW$6-$G$3,22))&lt;&gt;""),'Feijão 2ª safra'!$E6:INDEX('Feijão 2ª safra'!$E6:$Z6,MIN(AW$6-$G$3,22))),0)))))</f>
        <v>0</v>
      </c>
      <c r="AX8" s="27" t="n">
        <f aca="false">IF(COUNT('Feijão 2ª safra'!$E6:$Z6)=0,0,MAX(0,IF((AX$6-$E$3)&lt;1,0,IFERROR(LOOKUP(2,1/('Feijão 2ª safra'!$E6:INDEX('Feijão 2ª safra'!$E6:$Z6,MIN(AX$6-$E$3,22))&lt;&gt;""),'Feijão 2ª safra'!$E6:INDEX('Feijão 2ª safra'!$E6:$Z6,MIN(AX$6-$E$3,22))),0))-IF($G$2,0,IF((AX$6-$G$3)&lt;1,0,IFERROR(LOOKUP(2,1/('Feijão 2ª safra'!$E6:INDEX('Feijão 2ª safra'!$E6:$Z6,MIN(AX$6-$G$3,22))&lt;&gt;""),'Feijão 2ª safra'!$E6:INDEX('Feijão 2ª safra'!$E6:$Z6,MIN(AX$6-$G$3,22))),0)))))</f>
        <v>0</v>
      </c>
      <c r="AY8" s="27" t="n">
        <f aca="false">IF(COUNT('Feijão 2ª safra'!$E6:$Z6)=0,0,MAX(0,IF((AY$6-$E$3)&lt;1,0,IFERROR(LOOKUP(2,1/('Feijão 2ª safra'!$E6:INDEX('Feijão 2ª safra'!$E6:$Z6,MIN(AY$6-$E$3,22))&lt;&gt;""),'Feijão 2ª safra'!$E6:INDEX('Feijão 2ª safra'!$E6:$Z6,MIN(AY$6-$E$3,22))),0))-IF($G$2,0,IF((AY$6-$G$3)&lt;1,0,IFERROR(LOOKUP(2,1/('Feijão 2ª safra'!$E6:INDEX('Feijão 2ª safra'!$E6:$Z6,MIN(AY$6-$G$3,22))&lt;&gt;""),'Feijão 2ª safra'!$E6:INDEX('Feijão 2ª safra'!$E6:$Z6,MIN(AY$6-$G$3,22))),0)))))</f>
        <v>0</v>
      </c>
      <c r="AZ8" s="27" t="n">
        <f aca="false">IF(COUNT('Feijão 2ª safra'!$E6:$Z6)=0,0,MAX(0,IF((AZ$6-$E$3)&lt;1,0,IFERROR(LOOKUP(2,1/('Feijão 2ª safra'!$E6:INDEX('Feijão 2ª safra'!$E6:$Z6,MIN(AZ$6-$E$3,22))&lt;&gt;""),'Feijão 2ª safra'!$E6:INDEX('Feijão 2ª safra'!$E6:$Z6,MIN(AZ$6-$E$3,22))),0))-IF($G$2,0,IF((AZ$6-$G$3)&lt;1,0,IFERROR(LOOKUP(2,1/('Feijão 2ª safra'!$E6:INDEX('Feijão 2ª safra'!$E6:$Z6,MIN(AZ$6-$G$3,22))&lt;&gt;""),'Feijão 2ª safra'!$E6:INDEX('Feijão 2ª safra'!$E6:$Z6,MIN(AZ$6-$G$3,22))),0)))))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IF(COUNT('Feijão 2ª safra'!$E7:$Z7)&gt;0,N('Feijão 2ª safra'!$D7),0)</f>
        <v>0</v>
      </c>
      <c r="E9" s="27" t="n">
        <f aca="false">IF(COUNT('Feijão 2ª safra'!$E7:$Z7)=0,0,MAX(0,IF((E$6-$E$3)&lt;1,0,IFERROR(LOOKUP(2,1/('Feijão 2ª safra'!$E7:INDEX('Feijão 2ª safra'!$E7:$Z7,MIN(E$6-$E$3,22))&lt;&gt;""),'Feijão 2ª safra'!$E7:INDEX('Feijão 2ª safra'!$E7:$Z7,MIN(E$6-$E$3,22))),0))-IF($G$2,0,IF((E$6-$G$3)&lt;1,0,IFERROR(LOOKUP(2,1/('Feijão 2ª safra'!$E7:INDEX('Feijão 2ª safra'!$E7:$Z7,MIN(E$6-$G$3,22))&lt;&gt;""),'Feijão 2ª safra'!$E7:INDEX('Feijão 2ª safra'!$E7:$Z7,MIN(E$6-$G$3,22))),0)))))</f>
        <v>0</v>
      </c>
      <c r="F9" s="27" t="n">
        <f aca="false">IF(COUNT('Feijão 2ª safra'!$E7:$Z7)=0,0,MAX(0,IF((F$6-$E$3)&lt;1,0,IFERROR(LOOKUP(2,1/('Feijão 2ª safra'!$E7:INDEX('Feijão 2ª safra'!$E7:$Z7,MIN(F$6-$E$3,22))&lt;&gt;""),'Feijão 2ª safra'!$E7:INDEX('Feijão 2ª safra'!$E7:$Z7,MIN(F$6-$E$3,22))),0))-IF($G$2,0,IF((F$6-$G$3)&lt;1,0,IFERROR(LOOKUP(2,1/('Feijão 2ª safra'!$E7:INDEX('Feijão 2ª safra'!$E7:$Z7,MIN(F$6-$G$3,22))&lt;&gt;""),'Feijão 2ª safra'!$E7:INDEX('Feijão 2ª safra'!$E7:$Z7,MIN(F$6-$G$3,22))),0)))))</f>
        <v>0</v>
      </c>
      <c r="G9" s="27" t="n">
        <f aca="false">IF(COUNT('Feijão 2ª safra'!$E7:$Z7)=0,0,MAX(0,IF((G$6-$E$3)&lt;1,0,IFERROR(LOOKUP(2,1/('Feijão 2ª safra'!$E7:INDEX('Feijão 2ª safra'!$E7:$Z7,MIN(G$6-$E$3,22))&lt;&gt;""),'Feijão 2ª safra'!$E7:INDEX('Feijão 2ª safra'!$E7:$Z7,MIN(G$6-$E$3,22))),0))-IF($G$2,0,IF((G$6-$G$3)&lt;1,0,IFERROR(LOOKUP(2,1/('Feijão 2ª safra'!$E7:INDEX('Feijão 2ª safra'!$E7:$Z7,MIN(G$6-$G$3,22))&lt;&gt;""),'Feijão 2ª safra'!$E7:INDEX('Feijão 2ª safra'!$E7:$Z7,MIN(G$6-$G$3,22))),0)))))</f>
        <v>0</v>
      </c>
      <c r="H9" s="27" t="n">
        <f aca="false">IF(COUNT('Feijão 2ª safra'!$E7:$Z7)=0,0,MAX(0,IF((H$6-$E$3)&lt;1,0,IFERROR(LOOKUP(2,1/('Feijão 2ª safra'!$E7:INDEX('Feijão 2ª safra'!$E7:$Z7,MIN(H$6-$E$3,22))&lt;&gt;""),'Feijão 2ª safra'!$E7:INDEX('Feijão 2ª safra'!$E7:$Z7,MIN(H$6-$E$3,22))),0))-IF($G$2,0,IF((H$6-$G$3)&lt;1,0,IFERROR(LOOKUP(2,1/('Feijão 2ª safra'!$E7:INDEX('Feijão 2ª safra'!$E7:$Z7,MIN(H$6-$G$3,22))&lt;&gt;""),'Feijão 2ª safra'!$E7:INDEX('Feijão 2ª safra'!$E7:$Z7,MIN(H$6-$G$3,22))),0)))))</f>
        <v>0</v>
      </c>
      <c r="I9" s="27" t="n">
        <f aca="false">IF(COUNT('Feijão 2ª safra'!$E7:$Z7)=0,0,MAX(0,IF((I$6-$E$3)&lt;1,0,IFERROR(LOOKUP(2,1/('Feijão 2ª safra'!$E7:INDEX('Feijão 2ª safra'!$E7:$Z7,MIN(I$6-$E$3,22))&lt;&gt;""),'Feijão 2ª safra'!$E7:INDEX('Feijão 2ª safra'!$E7:$Z7,MIN(I$6-$E$3,22))),0))-IF($G$2,0,IF((I$6-$G$3)&lt;1,0,IFERROR(LOOKUP(2,1/('Feijão 2ª safra'!$E7:INDEX('Feijão 2ª safra'!$E7:$Z7,MIN(I$6-$G$3,22))&lt;&gt;""),'Feijão 2ª safra'!$E7:INDEX('Feijão 2ª safra'!$E7:$Z7,MIN(I$6-$G$3,22))),0)))))</f>
        <v>0</v>
      </c>
      <c r="J9" s="27" t="n">
        <f aca="false">IF(COUNT('Feijão 2ª safra'!$E7:$Z7)=0,0,MAX(0,IF((J$6-$E$3)&lt;1,0,IFERROR(LOOKUP(2,1/('Feijão 2ª safra'!$E7:INDEX('Feijão 2ª safra'!$E7:$Z7,MIN(J$6-$E$3,22))&lt;&gt;""),'Feijão 2ª safra'!$E7:INDEX('Feijão 2ª safra'!$E7:$Z7,MIN(J$6-$E$3,22))),0))-IF($G$2,0,IF((J$6-$G$3)&lt;1,0,IFERROR(LOOKUP(2,1/('Feijão 2ª safra'!$E7:INDEX('Feijão 2ª safra'!$E7:$Z7,MIN(J$6-$G$3,22))&lt;&gt;""),'Feijão 2ª safra'!$E7:INDEX('Feijão 2ª safra'!$E7:$Z7,MIN(J$6-$G$3,22))),0)))))</f>
        <v>0</v>
      </c>
      <c r="K9" s="27" t="n">
        <f aca="false">IF(COUNT('Feijão 2ª safra'!$E7:$Z7)=0,0,MAX(0,IF((K$6-$E$3)&lt;1,0,IFERROR(LOOKUP(2,1/('Feijão 2ª safra'!$E7:INDEX('Feijão 2ª safra'!$E7:$Z7,MIN(K$6-$E$3,22))&lt;&gt;""),'Feijão 2ª safra'!$E7:INDEX('Feijão 2ª safra'!$E7:$Z7,MIN(K$6-$E$3,22))),0))-IF($G$2,0,IF((K$6-$G$3)&lt;1,0,IFERROR(LOOKUP(2,1/('Feijão 2ª safra'!$E7:INDEX('Feijão 2ª safra'!$E7:$Z7,MIN(K$6-$G$3,22))&lt;&gt;""),'Feijão 2ª safra'!$E7:INDEX('Feijão 2ª safra'!$E7:$Z7,MIN(K$6-$G$3,22))),0)))))</f>
        <v>0</v>
      </c>
      <c r="L9" s="27" t="n">
        <f aca="false">IF(COUNT('Feijão 2ª safra'!$E7:$Z7)=0,0,MAX(0,IF((L$6-$E$3)&lt;1,0,IFERROR(LOOKUP(2,1/('Feijão 2ª safra'!$E7:INDEX('Feijão 2ª safra'!$E7:$Z7,MIN(L$6-$E$3,22))&lt;&gt;""),'Feijão 2ª safra'!$E7:INDEX('Feijão 2ª safra'!$E7:$Z7,MIN(L$6-$E$3,22))),0))-IF($G$2,0,IF((L$6-$G$3)&lt;1,0,IFERROR(LOOKUP(2,1/('Feijão 2ª safra'!$E7:INDEX('Feijão 2ª safra'!$E7:$Z7,MIN(L$6-$G$3,22))&lt;&gt;""),'Feijão 2ª safra'!$E7:INDEX('Feijão 2ª safra'!$E7:$Z7,MIN(L$6-$G$3,22))),0)))))</f>
        <v>0</v>
      </c>
      <c r="M9" s="27" t="n">
        <f aca="false">IF(COUNT('Feijão 2ª safra'!$E7:$Z7)=0,0,MAX(0,IF((M$6-$E$3)&lt;1,0,IFERROR(LOOKUP(2,1/('Feijão 2ª safra'!$E7:INDEX('Feijão 2ª safra'!$E7:$Z7,MIN(M$6-$E$3,22))&lt;&gt;""),'Feijão 2ª safra'!$E7:INDEX('Feijão 2ª safra'!$E7:$Z7,MIN(M$6-$E$3,22))),0))-IF($G$2,0,IF((M$6-$G$3)&lt;1,0,IFERROR(LOOKUP(2,1/('Feijão 2ª safra'!$E7:INDEX('Feijão 2ª safra'!$E7:$Z7,MIN(M$6-$G$3,22))&lt;&gt;""),'Feijão 2ª safra'!$E7:INDEX('Feijão 2ª safra'!$E7:$Z7,MIN(M$6-$G$3,22))),0)))))</f>
        <v>0</v>
      </c>
      <c r="N9" s="27" t="n">
        <f aca="false">IF(COUNT('Feijão 2ª safra'!$E7:$Z7)=0,0,MAX(0,IF((N$6-$E$3)&lt;1,0,IFERROR(LOOKUP(2,1/('Feijão 2ª safra'!$E7:INDEX('Feijão 2ª safra'!$E7:$Z7,MIN(N$6-$E$3,22))&lt;&gt;""),'Feijão 2ª safra'!$E7:INDEX('Feijão 2ª safra'!$E7:$Z7,MIN(N$6-$E$3,22))),0))-IF($G$2,0,IF((N$6-$G$3)&lt;1,0,IFERROR(LOOKUP(2,1/('Feijão 2ª safra'!$E7:INDEX('Feijão 2ª safra'!$E7:$Z7,MIN(N$6-$G$3,22))&lt;&gt;""),'Feijão 2ª safra'!$E7:INDEX('Feijão 2ª safra'!$E7:$Z7,MIN(N$6-$G$3,22))),0)))))</f>
        <v>0</v>
      </c>
      <c r="O9" s="27" t="n">
        <f aca="false">IF(COUNT('Feijão 2ª safra'!$E7:$Z7)=0,0,MAX(0,IF((O$6-$E$3)&lt;1,0,IFERROR(LOOKUP(2,1/('Feijão 2ª safra'!$E7:INDEX('Feijão 2ª safra'!$E7:$Z7,MIN(O$6-$E$3,22))&lt;&gt;""),'Feijão 2ª safra'!$E7:INDEX('Feijão 2ª safra'!$E7:$Z7,MIN(O$6-$E$3,22))),0))-IF($G$2,0,IF((O$6-$G$3)&lt;1,0,IFERROR(LOOKUP(2,1/('Feijão 2ª safra'!$E7:INDEX('Feijão 2ª safra'!$E7:$Z7,MIN(O$6-$G$3,22))&lt;&gt;""),'Feijão 2ª safra'!$E7:INDEX('Feijão 2ª safra'!$E7:$Z7,MIN(O$6-$G$3,22))),0)))))</f>
        <v>0</v>
      </c>
      <c r="P9" s="27" t="n">
        <f aca="false">IF(COUNT('Feijão 2ª safra'!$E7:$Z7)=0,0,MAX(0,IF((P$6-$E$3)&lt;1,0,IFERROR(LOOKUP(2,1/('Feijão 2ª safra'!$E7:INDEX('Feijão 2ª safra'!$E7:$Z7,MIN(P$6-$E$3,22))&lt;&gt;""),'Feijão 2ª safra'!$E7:INDEX('Feijão 2ª safra'!$E7:$Z7,MIN(P$6-$E$3,22))),0))-IF($G$2,0,IF((P$6-$G$3)&lt;1,0,IFERROR(LOOKUP(2,1/('Feijão 2ª safra'!$E7:INDEX('Feijão 2ª safra'!$E7:$Z7,MIN(P$6-$G$3,22))&lt;&gt;""),'Feijão 2ª safra'!$E7:INDEX('Feijão 2ª safra'!$E7:$Z7,MIN(P$6-$G$3,22))),0)))))</f>
        <v>0</v>
      </c>
      <c r="Q9" s="27" t="n">
        <f aca="false">IF(COUNT('Feijão 2ª safra'!$E7:$Z7)=0,0,MAX(0,IF((Q$6-$E$3)&lt;1,0,IFERROR(LOOKUP(2,1/('Feijão 2ª safra'!$E7:INDEX('Feijão 2ª safra'!$E7:$Z7,MIN(Q$6-$E$3,22))&lt;&gt;""),'Feijão 2ª safra'!$E7:INDEX('Feijão 2ª safra'!$E7:$Z7,MIN(Q$6-$E$3,22))),0))-IF($G$2,0,IF((Q$6-$G$3)&lt;1,0,IFERROR(LOOKUP(2,1/('Feijão 2ª safra'!$E7:INDEX('Feijão 2ª safra'!$E7:$Z7,MIN(Q$6-$G$3,22))&lt;&gt;""),'Feijão 2ª safra'!$E7:INDEX('Feijão 2ª safra'!$E7:$Z7,MIN(Q$6-$G$3,22))),0)))))</f>
        <v>0</v>
      </c>
      <c r="R9" s="27" t="n">
        <f aca="false">IF(COUNT('Feijão 2ª safra'!$E7:$Z7)=0,0,MAX(0,IF((R$6-$E$3)&lt;1,0,IFERROR(LOOKUP(2,1/('Feijão 2ª safra'!$E7:INDEX('Feijão 2ª safra'!$E7:$Z7,MIN(R$6-$E$3,22))&lt;&gt;""),'Feijão 2ª safra'!$E7:INDEX('Feijão 2ª safra'!$E7:$Z7,MIN(R$6-$E$3,22))),0))-IF($G$2,0,IF((R$6-$G$3)&lt;1,0,IFERROR(LOOKUP(2,1/('Feijão 2ª safra'!$E7:INDEX('Feijão 2ª safra'!$E7:$Z7,MIN(R$6-$G$3,22))&lt;&gt;""),'Feijão 2ª safra'!$E7:INDEX('Feijão 2ª safra'!$E7:$Z7,MIN(R$6-$G$3,22))),0)))))</f>
        <v>0</v>
      </c>
      <c r="S9" s="27" t="n">
        <f aca="false">IF(COUNT('Feijão 2ª safra'!$E7:$Z7)=0,0,MAX(0,IF((S$6-$E$3)&lt;1,0,IFERROR(LOOKUP(2,1/('Feijão 2ª safra'!$E7:INDEX('Feijão 2ª safra'!$E7:$Z7,MIN(S$6-$E$3,22))&lt;&gt;""),'Feijão 2ª safra'!$E7:INDEX('Feijão 2ª safra'!$E7:$Z7,MIN(S$6-$E$3,22))),0))-IF($G$2,0,IF((S$6-$G$3)&lt;1,0,IFERROR(LOOKUP(2,1/('Feijão 2ª safra'!$E7:INDEX('Feijão 2ª safra'!$E7:$Z7,MIN(S$6-$G$3,22))&lt;&gt;""),'Feijão 2ª safra'!$E7:INDEX('Feijão 2ª safra'!$E7:$Z7,MIN(S$6-$G$3,22))),0)))))</f>
        <v>0</v>
      </c>
      <c r="T9" s="27" t="n">
        <f aca="false">IF(COUNT('Feijão 2ª safra'!$E7:$Z7)=0,0,MAX(0,IF((T$6-$E$3)&lt;1,0,IFERROR(LOOKUP(2,1/('Feijão 2ª safra'!$E7:INDEX('Feijão 2ª safra'!$E7:$Z7,MIN(T$6-$E$3,22))&lt;&gt;""),'Feijão 2ª safra'!$E7:INDEX('Feijão 2ª safra'!$E7:$Z7,MIN(T$6-$E$3,22))),0))-IF($G$2,0,IF((T$6-$G$3)&lt;1,0,IFERROR(LOOKUP(2,1/('Feijão 2ª safra'!$E7:INDEX('Feijão 2ª safra'!$E7:$Z7,MIN(T$6-$G$3,22))&lt;&gt;""),'Feijão 2ª safra'!$E7:INDEX('Feijão 2ª safra'!$E7:$Z7,MIN(T$6-$G$3,22))),0)))))</f>
        <v>0</v>
      </c>
      <c r="U9" s="27" t="n">
        <f aca="false">IF(COUNT('Feijão 2ª safra'!$E7:$Z7)=0,0,MAX(0,IF((U$6-$E$3)&lt;1,0,IFERROR(LOOKUP(2,1/('Feijão 2ª safra'!$E7:INDEX('Feijão 2ª safra'!$E7:$Z7,MIN(U$6-$E$3,22))&lt;&gt;""),'Feijão 2ª safra'!$E7:INDEX('Feijão 2ª safra'!$E7:$Z7,MIN(U$6-$E$3,22))),0))-IF($G$2,0,IF((U$6-$G$3)&lt;1,0,IFERROR(LOOKUP(2,1/('Feijão 2ª safra'!$E7:INDEX('Feijão 2ª safra'!$E7:$Z7,MIN(U$6-$G$3,22))&lt;&gt;""),'Feijão 2ª safra'!$E7:INDEX('Feijão 2ª safra'!$E7:$Z7,MIN(U$6-$G$3,22))),0)))))</f>
        <v>0</v>
      </c>
      <c r="V9" s="27" t="n">
        <f aca="false">IF(COUNT('Feijão 2ª safra'!$E7:$Z7)=0,0,MAX(0,IF((V$6-$E$3)&lt;1,0,IFERROR(LOOKUP(2,1/('Feijão 2ª safra'!$E7:INDEX('Feijão 2ª safra'!$E7:$Z7,MIN(V$6-$E$3,22))&lt;&gt;""),'Feijão 2ª safra'!$E7:INDEX('Feijão 2ª safra'!$E7:$Z7,MIN(V$6-$E$3,22))),0))-IF($G$2,0,IF((V$6-$G$3)&lt;1,0,IFERROR(LOOKUP(2,1/('Feijão 2ª safra'!$E7:INDEX('Feijão 2ª safra'!$E7:$Z7,MIN(V$6-$G$3,22))&lt;&gt;""),'Feijão 2ª safra'!$E7:INDEX('Feijão 2ª safra'!$E7:$Z7,MIN(V$6-$G$3,22))),0)))))</f>
        <v>0</v>
      </c>
      <c r="W9" s="27" t="n">
        <f aca="false">IF(COUNT('Feijão 2ª safra'!$E7:$Z7)=0,0,MAX(0,IF((W$6-$E$3)&lt;1,0,IFERROR(LOOKUP(2,1/('Feijão 2ª safra'!$E7:INDEX('Feijão 2ª safra'!$E7:$Z7,MIN(W$6-$E$3,22))&lt;&gt;""),'Feijão 2ª safra'!$E7:INDEX('Feijão 2ª safra'!$E7:$Z7,MIN(W$6-$E$3,22))),0))-IF($G$2,0,IF((W$6-$G$3)&lt;1,0,IFERROR(LOOKUP(2,1/('Feijão 2ª safra'!$E7:INDEX('Feijão 2ª safra'!$E7:$Z7,MIN(W$6-$G$3,22))&lt;&gt;""),'Feijão 2ª safra'!$E7:INDEX('Feijão 2ª safra'!$E7:$Z7,MIN(W$6-$G$3,22))),0)))))</f>
        <v>0</v>
      </c>
      <c r="X9" s="27" t="n">
        <f aca="false">IF(COUNT('Feijão 2ª safra'!$E7:$Z7)=0,0,MAX(0,IF((X$6-$E$3)&lt;1,0,IFERROR(LOOKUP(2,1/('Feijão 2ª safra'!$E7:INDEX('Feijão 2ª safra'!$E7:$Z7,MIN(X$6-$E$3,22))&lt;&gt;""),'Feijão 2ª safra'!$E7:INDEX('Feijão 2ª safra'!$E7:$Z7,MIN(X$6-$E$3,22))),0))-IF($G$2,0,IF((X$6-$G$3)&lt;1,0,IFERROR(LOOKUP(2,1/('Feijão 2ª safra'!$E7:INDEX('Feijão 2ª safra'!$E7:$Z7,MIN(X$6-$G$3,22))&lt;&gt;""),'Feijão 2ª safra'!$E7:INDEX('Feijão 2ª safra'!$E7:$Z7,MIN(X$6-$G$3,22))),0)))))</f>
        <v>0</v>
      </c>
      <c r="Y9" s="27" t="n">
        <f aca="false">IF(COUNT('Feijão 2ª safra'!$E7:$Z7)=0,0,MAX(0,IF((Y$6-$E$3)&lt;1,0,IFERROR(LOOKUP(2,1/('Feijão 2ª safra'!$E7:INDEX('Feijão 2ª safra'!$E7:$Z7,MIN(Y$6-$E$3,22))&lt;&gt;""),'Feijão 2ª safra'!$E7:INDEX('Feijão 2ª safra'!$E7:$Z7,MIN(Y$6-$E$3,22))),0))-IF($G$2,0,IF((Y$6-$G$3)&lt;1,0,IFERROR(LOOKUP(2,1/('Feijão 2ª safra'!$E7:INDEX('Feijão 2ª safra'!$E7:$Z7,MIN(Y$6-$G$3,22))&lt;&gt;""),'Feijão 2ª safra'!$E7:INDEX('Feijão 2ª safra'!$E7:$Z7,MIN(Y$6-$G$3,22))),0)))))</f>
        <v>0</v>
      </c>
      <c r="Z9" s="27" t="n">
        <f aca="false">IF(COUNT('Feijão 2ª safra'!$E7:$Z7)=0,0,MAX(0,IF((Z$6-$E$3)&lt;1,0,IFERROR(LOOKUP(2,1/('Feijão 2ª safra'!$E7:INDEX('Feijão 2ª safra'!$E7:$Z7,MIN(Z$6-$E$3,22))&lt;&gt;""),'Feijão 2ª safra'!$E7:INDEX('Feijão 2ª safra'!$E7:$Z7,MIN(Z$6-$E$3,22))),0))-IF($G$2,0,IF((Z$6-$G$3)&lt;1,0,IFERROR(LOOKUP(2,1/('Feijão 2ª safra'!$E7:INDEX('Feijão 2ª safra'!$E7:$Z7,MIN(Z$6-$G$3,22))&lt;&gt;""),'Feijão 2ª safra'!$E7:INDEX('Feijão 2ª safra'!$E7:$Z7,MIN(Z$6-$G$3,22))),0)))))</f>
        <v>0</v>
      </c>
      <c r="AA9" s="27" t="n">
        <f aca="false">IF(COUNT('Feijão 2ª safra'!$E7:$Z7)=0,0,MAX(0,IF((AA$6-$E$3)&lt;1,0,IFERROR(LOOKUP(2,1/('Feijão 2ª safra'!$E7:INDEX('Feijão 2ª safra'!$E7:$Z7,MIN(AA$6-$E$3,22))&lt;&gt;""),'Feijão 2ª safra'!$E7:INDEX('Feijão 2ª safra'!$E7:$Z7,MIN(AA$6-$E$3,22))),0))-IF($G$2,0,IF((AA$6-$G$3)&lt;1,0,IFERROR(LOOKUP(2,1/('Feijão 2ª safra'!$E7:INDEX('Feijão 2ª safra'!$E7:$Z7,MIN(AA$6-$G$3,22))&lt;&gt;""),'Feijão 2ª safra'!$E7:INDEX('Feijão 2ª safra'!$E7:$Z7,MIN(AA$6-$G$3,22))),0)))))</f>
        <v>0</v>
      </c>
      <c r="AB9" s="27" t="n">
        <f aca="false">IF(COUNT('Feijão 2ª safra'!$E7:$Z7)=0,0,MAX(0,IF((AB$6-$E$3)&lt;1,0,IFERROR(LOOKUP(2,1/('Feijão 2ª safra'!$E7:INDEX('Feijão 2ª safra'!$E7:$Z7,MIN(AB$6-$E$3,22))&lt;&gt;""),'Feijão 2ª safra'!$E7:INDEX('Feijão 2ª safra'!$E7:$Z7,MIN(AB$6-$E$3,22))),0))-IF($G$2,0,IF((AB$6-$G$3)&lt;1,0,IFERROR(LOOKUP(2,1/('Feijão 2ª safra'!$E7:INDEX('Feijão 2ª safra'!$E7:$Z7,MIN(AB$6-$G$3,22))&lt;&gt;""),'Feijão 2ª safra'!$E7:INDEX('Feijão 2ª safra'!$E7:$Z7,MIN(AB$6-$G$3,22))),0)))))</f>
        <v>0</v>
      </c>
      <c r="AC9" s="27" t="n">
        <f aca="false">IF(COUNT('Feijão 2ª safra'!$E7:$Z7)=0,0,MAX(0,IF((AC$6-$E$3)&lt;1,0,IFERROR(LOOKUP(2,1/('Feijão 2ª safra'!$E7:INDEX('Feijão 2ª safra'!$E7:$Z7,MIN(AC$6-$E$3,22))&lt;&gt;""),'Feijão 2ª safra'!$E7:INDEX('Feijão 2ª safra'!$E7:$Z7,MIN(AC$6-$E$3,22))),0))-IF($G$2,0,IF((AC$6-$G$3)&lt;1,0,IFERROR(LOOKUP(2,1/('Feijão 2ª safra'!$E7:INDEX('Feijão 2ª safra'!$E7:$Z7,MIN(AC$6-$G$3,22))&lt;&gt;""),'Feijão 2ª safra'!$E7:INDEX('Feijão 2ª safra'!$E7:$Z7,MIN(AC$6-$G$3,22))),0)))))</f>
        <v>0</v>
      </c>
      <c r="AD9" s="27" t="n">
        <f aca="false">IF(COUNT('Feijão 2ª safra'!$E7:$Z7)=0,0,MAX(0,IF((AD$6-$E$3)&lt;1,0,IFERROR(LOOKUP(2,1/('Feijão 2ª safra'!$E7:INDEX('Feijão 2ª safra'!$E7:$Z7,MIN(AD$6-$E$3,22))&lt;&gt;""),'Feijão 2ª safra'!$E7:INDEX('Feijão 2ª safra'!$E7:$Z7,MIN(AD$6-$E$3,22))),0))-IF($G$2,0,IF((AD$6-$G$3)&lt;1,0,IFERROR(LOOKUP(2,1/('Feijão 2ª safra'!$E7:INDEX('Feijão 2ª safra'!$E7:$Z7,MIN(AD$6-$G$3,22))&lt;&gt;""),'Feijão 2ª safra'!$E7:INDEX('Feijão 2ª safra'!$E7:$Z7,MIN(AD$6-$G$3,22))),0)))))</f>
        <v>0</v>
      </c>
      <c r="AE9" s="27" t="n">
        <f aca="false">IF(COUNT('Feijão 2ª safra'!$E7:$Z7)=0,0,MAX(0,IF((AE$6-$E$3)&lt;1,0,IFERROR(LOOKUP(2,1/('Feijão 2ª safra'!$E7:INDEX('Feijão 2ª safra'!$E7:$Z7,MIN(AE$6-$E$3,22))&lt;&gt;""),'Feijão 2ª safra'!$E7:INDEX('Feijão 2ª safra'!$E7:$Z7,MIN(AE$6-$E$3,22))),0))-IF($G$2,0,IF((AE$6-$G$3)&lt;1,0,IFERROR(LOOKUP(2,1/('Feijão 2ª safra'!$E7:INDEX('Feijão 2ª safra'!$E7:$Z7,MIN(AE$6-$G$3,22))&lt;&gt;""),'Feijão 2ª safra'!$E7:INDEX('Feijão 2ª safra'!$E7:$Z7,MIN(AE$6-$G$3,22))),0)))))</f>
        <v>0</v>
      </c>
      <c r="AF9" s="27" t="n">
        <f aca="false">IF(COUNT('Feijão 2ª safra'!$E7:$Z7)=0,0,MAX(0,IF((AF$6-$E$3)&lt;1,0,IFERROR(LOOKUP(2,1/('Feijão 2ª safra'!$E7:INDEX('Feijão 2ª safra'!$E7:$Z7,MIN(AF$6-$E$3,22))&lt;&gt;""),'Feijão 2ª safra'!$E7:INDEX('Feijão 2ª safra'!$E7:$Z7,MIN(AF$6-$E$3,22))),0))-IF($G$2,0,IF((AF$6-$G$3)&lt;1,0,IFERROR(LOOKUP(2,1/('Feijão 2ª safra'!$E7:INDEX('Feijão 2ª safra'!$E7:$Z7,MIN(AF$6-$G$3,22))&lt;&gt;""),'Feijão 2ª safra'!$E7:INDEX('Feijão 2ª safra'!$E7:$Z7,MIN(AF$6-$G$3,22))),0)))))</f>
        <v>0</v>
      </c>
      <c r="AG9" s="27" t="n">
        <f aca="false">IF(COUNT('Feijão 2ª safra'!$E7:$Z7)=0,0,MAX(0,IF((AG$6-$E$3)&lt;1,0,IFERROR(LOOKUP(2,1/('Feijão 2ª safra'!$E7:INDEX('Feijão 2ª safra'!$E7:$Z7,MIN(AG$6-$E$3,22))&lt;&gt;""),'Feijão 2ª safra'!$E7:INDEX('Feijão 2ª safra'!$E7:$Z7,MIN(AG$6-$E$3,22))),0))-IF($G$2,0,IF((AG$6-$G$3)&lt;1,0,IFERROR(LOOKUP(2,1/('Feijão 2ª safra'!$E7:INDEX('Feijão 2ª safra'!$E7:$Z7,MIN(AG$6-$G$3,22))&lt;&gt;""),'Feijão 2ª safra'!$E7:INDEX('Feijão 2ª safra'!$E7:$Z7,MIN(AG$6-$G$3,22))),0)))))</f>
        <v>0</v>
      </c>
      <c r="AH9" s="27" t="n">
        <f aca="false">IF(COUNT('Feijão 2ª safra'!$E7:$Z7)=0,0,MAX(0,IF((AH$6-$E$3)&lt;1,0,IFERROR(LOOKUP(2,1/('Feijão 2ª safra'!$E7:INDEX('Feijão 2ª safra'!$E7:$Z7,MIN(AH$6-$E$3,22))&lt;&gt;""),'Feijão 2ª safra'!$E7:INDEX('Feijão 2ª safra'!$E7:$Z7,MIN(AH$6-$E$3,22))),0))-IF($G$2,0,IF((AH$6-$G$3)&lt;1,0,IFERROR(LOOKUP(2,1/('Feijão 2ª safra'!$E7:INDEX('Feijão 2ª safra'!$E7:$Z7,MIN(AH$6-$G$3,22))&lt;&gt;""),'Feijão 2ª safra'!$E7:INDEX('Feijão 2ª safra'!$E7:$Z7,MIN(AH$6-$G$3,22))),0)))))</f>
        <v>0</v>
      </c>
      <c r="AI9" s="27" t="n">
        <f aca="false">IF(COUNT('Feijão 2ª safra'!$E7:$Z7)=0,0,MAX(0,IF((AI$6-$E$3)&lt;1,0,IFERROR(LOOKUP(2,1/('Feijão 2ª safra'!$E7:INDEX('Feijão 2ª safra'!$E7:$Z7,MIN(AI$6-$E$3,22))&lt;&gt;""),'Feijão 2ª safra'!$E7:INDEX('Feijão 2ª safra'!$E7:$Z7,MIN(AI$6-$E$3,22))),0))-IF($G$2,0,IF((AI$6-$G$3)&lt;1,0,IFERROR(LOOKUP(2,1/('Feijão 2ª safra'!$E7:INDEX('Feijão 2ª safra'!$E7:$Z7,MIN(AI$6-$G$3,22))&lt;&gt;""),'Feijão 2ª safra'!$E7:INDEX('Feijão 2ª safra'!$E7:$Z7,MIN(AI$6-$G$3,22))),0)))))</f>
        <v>0</v>
      </c>
      <c r="AJ9" s="27" t="n">
        <f aca="false">IF(COUNT('Feijão 2ª safra'!$E7:$Z7)=0,0,MAX(0,IF((AJ$6-$E$3)&lt;1,0,IFERROR(LOOKUP(2,1/('Feijão 2ª safra'!$E7:INDEX('Feijão 2ª safra'!$E7:$Z7,MIN(AJ$6-$E$3,22))&lt;&gt;""),'Feijão 2ª safra'!$E7:INDEX('Feijão 2ª safra'!$E7:$Z7,MIN(AJ$6-$E$3,22))),0))-IF($G$2,0,IF((AJ$6-$G$3)&lt;1,0,IFERROR(LOOKUP(2,1/('Feijão 2ª safra'!$E7:INDEX('Feijão 2ª safra'!$E7:$Z7,MIN(AJ$6-$G$3,22))&lt;&gt;""),'Feijão 2ª safra'!$E7:INDEX('Feijão 2ª safra'!$E7:$Z7,MIN(AJ$6-$G$3,22))),0)))))</f>
        <v>0</v>
      </c>
      <c r="AK9" s="27" t="n">
        <f aca="false">IF(COUNT('Feijão 2ª safra'!$E7:$Z7)=0,0,MAX(0,IF((AK$6-$E$3)&lt;1,0,IFERROR(LOOKUP(2,1/('Feijão 2ª safra'!$E7:INDEX('Feijão 2ª safra'!$E7:$Z7,MIN(AK$6-$E$3,22))&lt;&gt;""),'Feijão 2ª safra'!$E7:INDEX('Feijão 2ª safra'!$E7:$Z7,MIN(AK$6-$E$3,22))),0))-IF($G$2,0,IF((AK$6-$G$3)&lt;1,0,IFERROR(LOOKUP(2,1/('Feijão 2ª safra'!$E7:INDEX('Feijão 2ª safra'!$E7:$Z7,MIN(AK$6-$G$3,22))&lt;&gt;""),'Feijão 2ª safra'!$E7:INDEX('Feijão 2ª safra'!$E7:$Z7,MIN(AK$6-$G$3,22))),0)))))</f>
        <v>0</v>
      </c>
      <c r="AL9" s="27" t="n">
        <f aca="false">IF(COUNT('Feijão 2ª safra'!$E7:$Z7)=0,0,MAX(0,IF((AL$6-$E$3)&lt;1,0,IFERROR(LOOKUP(2,1/('Feijão 2ª safra'!$E7:INDEX('Feijão 2ª safra'!$E7:$Z7,MIN(AL$6-$E$3,22))&lt;&gt;""),'Feijão 2ª safra'!$E7:INDEX('Feijão 2ª safra'!$E7:$Z7,MIN(AL$6-$E$3,22))),0))-IF($G$2,0,IF((AL$6-$G$3)&lt;1,0,IFERROR(LOOKUP(2,1/('Feijão 2ª safra'!$E7:INDEX('Feijão 2ª safra'!$E7:$Z7,MIN(AL$6-$G$3,22))&lt;&gt;""),'Feijão 2ª safra'!$E7:INDEX('Feijão 2ª safra'!$E7:$Z7,MIN(AL$6-$G$3,22))),0)))))</f>
        <v>0</v>
      </c>
      <c r="AM9" s="27" t="n">
        <f aca="false">IF(COUNT('Feijão 2ª safra'!$E7:$Z7)=0,0,MAX(0,IF((AM$6-$E$3)&lt;1,0,IFERROR(LOOKUP(2,1/('Feijão 2ª safra'!$E7:INDEX('Feijão 2ª safra'!$E7:$Z7,MIN(AM$6-$E$3,22))&lt;&gt;""),'Feijão 2ª safra'!$E7:INDEX('Feijão 2ª safra'!$E7:$Z7,MIN(AM$6-$E$3,22))),0))-IF($G$2,0,IF((AM$6-$G$3)&lt;1,0,IFERROR(LOOKUP(2,1/('Feijão 2ª safra'!$E7:INDEX('Feijão 2ª safra'!$E7:$Z7,MIN(AM$6-$G$3,22))&lt;&gt;""),'Feijão 2ª safra'!$E7:INDEX('Feijão 2ª safra'!$E7:$Z7,MIN(AM$6-$G$3,22))),0)))))</f>
        <v>0</v>
      </c>
      <c r="AN9" s="27" t="n">
        <f aca="false">IF(COUNT('Feijão 2ª safra'!$E7:$Z7)=0,0,MAX(0,IF((AN$6-$E$3)&lt;1,0,IFERROR(LOOKUP(2,1/('Feijão 2ª safra'!$E7:INDEX('Feijão 2ª safra'!$E7:$Z7,MIN(AN$6-$E$3,22))&lt;&gt;""),'Feijão 2ª safra'!$E7:INDEX('Feijão 2ª safra'!$E7:$Z7,MIN(AN$6-$E$3,22))),0))-IF($G$2,0,IF((AN$6-$G$3)&lt;1,0,IFERROR(LOOKUP(2,1/('Feijão 2ª safra'!$E7:INDEX('Feijão 2ª safra'!$E7:$Z7,MIN(AN$6-$G$3,22))&lt;&gt;""),'Feijão 2ª safra'!$E7:INDEX('Feijão 2ª safra'!$E7:$Z7,MIN(AN$6-$G$3,22))),0)))))</f>
        <v>0</v>
      </c>
      <c r="AO9" s="27" t="n">
        <f aca="false">IF(COUNT('Feijão 2ª safra'!$E7:$Z7)=0,0,MAX(0,IF((AO$6-$E$3)&lt;1,0,IFERROR(LOOKUP(2,1/('Feijão 2ª safra'!$E7:INDEX('Feijão 2ª safra'!$E7:$Z7,MIN(AO$6-$E$3,22))&lt;&gt;""),'Feijão 2ª safra'!$E7:INDEX('Feijão 2ª safra'!$E7:$Z7,MIN(AO$6-$E$3,22))),0))-IF($G$2,0,IF((AO$6-$G$3)&lt;1,0,IFERROR(LOOKUP(2,1/('Feijão 2ª safra'!$E7:INDEX('Feijão 2ª safra'!$E7:$Z7,MIN(AO$6-$G$3,22))&lt;&gt;""),'Feijão 2ª safra'!$E7:INDEX('Feijão 2ª safra'!$E7:$Z7,MIN(AO$6-$G$3,22))),0)))))</f>
        <v>0</v>
      </c>
      <c r="AP9" s="27" t="n">
        <f aca="false">IF(COUNT('Feijão 2ª safra'!$E7:$Z7)=0,0,MAX(0,IF((AP$6-$E$3)&lt;1,0,IFERROR(LOOKUP(2,1/('Feijão 2ª safra'!$E7:INDEX('Feijão 2ª safra'!$E7:$Z7,MIN(AP$6-$E$3,22))&lt;&gt;""),'Feijão 2ª safra'!$E7:INDEX('Feijão 2ª safra'!$E7:$Z7,MIN(AP$6-$E$3,22))),0))-IF($G$2,0,IF((AP$6-$G$3)&lt;1,0,IFERROR(LOOKUP(2,1/('Feijão 2ª safra'!$E7:INDEX('Feijão 2ª safra'!$E7:$Z7,MIN(AP$6-$G$3,22))&lt;&gt;""),'Feijão 2ª safra'!$E7:INDEX('Feijão 2ª safra'!$E7:$Z7,MIN(AP$6-$G$3,22))),0)))))</f>
        <v>0</v>
      </c>
      <c r="AQ9" s="27" t="n">
        <f aca="false">IF(COUNT('Feijão 2ª safra'!$E7:$Z7)=0,0,MAX(0,IF((AQ$6-$E$3)&lt;1,0,IFERROR(LOOKUP(2,1/('Feijão 2ª safra'!$E7:INDEX('Feijão 2ª safra'!$E7:$Z7,MIN(AQ$6-$E$3,22))&lt;&gt;""),'Feijão 2ª safra'!$E7:INDEX('Feijão 2ª safra'!$E7:$Z7,MIN(AQ$6-$E$3,22))),0))-IF($G$2,0,IF((AQ$6-$G$3)&lt;1,0,IFERROR(LOOKUP(2,1/('Feijão 2ª safra'!$E7:INDEX('Feijão 2ª safra'!$E7:$Z7,MIN(AQ$6-$G$3,22))&lt;&gt;""),'Feijão 2ª safra'!$E7:INDEX('Feijão 2ª safra'!$E7:$Z7,MIN(AQ$6-$G$3,22))),0)))))</f>
        <v>0</v>
      </c>
      <c r="AR9" s="27" t="n">
        <f aca="false">IF(COUNT('Feijão 2ª safra'!$E7:$Z7)=0,0,MAX(0,IF((AR$6-$E$3)&lt;1,0,IFERROR(LOOKUP(2,1/('Feijão 2ª safra'!$E7:INDEX('Feijão 2ª safra'!$E7:$Z7,MIN(AR$6-$E$3,22))&lt;&gt;""),'Feijão 2ª safra'!$E7:INDEX('Feijão 2ª safra'!$E7:$Z7,MIN(AR$6-$E$3,22))),0))-IF($G$2,0,IF((AR$6-$G$3)&lt;1,0,IFERROR(LOOKUP(2,1/('Feijão 2ª safra'!$E7:INDEX('Feijão 2ª safra'!$E7:$Z7,MIN(AR$6-$G$3,22))&lt;&gt;""),'Feijão 2ª safra'!$E7:INDEX('Feijão 2ª safra'!$E7:$Z7,MIN(AR$6-$G$3,22))),0)))))</f>
        <v>0</v>
      </c>
      <c r="AS9" s="27" t="n">
        <f aca="false">IF(COUNT('Feijão 2ª safra'!$E7:$Z7)=0,0,MAX(0,IF((AS$6-$E$3)&lt;1,0,IFERROR(LOOKUP(2,1/('Feijão 2ª safra'!$E7:INDEX('Feijão 2ª safra'!$E7:$Z7,MIN(AS$6-$E$3,22))&lt;&gt;""),'Feijão 2ª safra'!$E7:INDEX('Feijão 2ª safra'!$E7:$Z7,MIN(AS$6-$E$3,22))),0))-IF($G$2,0,IF((AS$6-$G$3)&lt;1,0,IFERROR(LOOKUP(2,1/('Feijão 2ª safra'!$E7:INDEX('Feijão 2ª safra'!$E7:$Z7,MIN(AS$6-$G$3,22))&lt;&gt;""),'Feijão 2ª safra'!$E7:INDEX('Feijão 2ª safra'!$E7:$Z7,MIN(AS$6-$G$3,22))),0)))))</f>
        <v>0</v>
      </c>
      <c r="AT9" s="27" t="n">
        <f aca="false">IF(COUNT('Feijão 2ª safra'!$E7:$Z7)=0,0,MAX(0,IF((AT$6-$E$3)&lt;1,0,IFERROR(LOOKUP(2,1/('Feijão 2ª safra'!$E7:INDEX('Feijão 2ª safra'!$E7:$Z7,MIN(AT$6-$E$3,22))&lt;&gt;""),'Feijão 2ª safra'!$E7:INDEX('Feijão 2ª safra'!$E7:$Z7,MIN(AT$6-$E$3,22))),0))-IF($G$2,0,IF((AT$6-$G$3)&lt;1,0,IFERROR(LOOKUP(2,1/('Feijão 2ª safra'!$E7:INDEX('Feijão 2ª safra'!$E7:$Z7,MIN(AT$6-$G$3,22))&lt;&gt;""),'Feijão 2ª safra'!$E7:INDEX('Feijão 2ª safra'!$E7:$Z7,MIN(AT$6-$G$3,22))),0)))))</f>
        <v>0</v>
      </c>
      <c r="AU9" s="27" t="n">
        <f aca="false">IF(COUNT('Feijão 2ª safra'!$E7:$Z7)=0,0,MAX(0,IF((AU$6-$E$3)&lt;1,0,IFERROR(LOOKUP(2,1/('Feijão 2ª safra'!$E7:INDEX('Feijão 2ª safra'!$E7:$Z7,MIN(AU$6-$E$3,22))&lt;&gt;""),'Feijão 2ª safra'!$E7:INDEX('Feijão 2ª safra'!$E7:$Z7,MIN(AU$6-$E$3,22))),0))-IF($G$2,0,IF((AU$6-$G$3)&lt;1,0,IFERROR(LOOKUP(2,1/('Feijão 2ª safra'!$E7:INDEX('Feijão 2ª safra'!$E7:$Z7,MIN(AU$6-$G$3,22))&lt;&gt;""),'Feijão 2ª safra'!$E7:INDEX('Feijão 2ª safra'!$E7:$Z7,MIN(AU$6-$G$3,22))),0)))))</f>
        <v>0</v>
      </c>
      <c r="AV9" s="27" t="n">
        <f aca="false">IF(COUNT('Feijão 2ª safra'!$E7:$Z7)=0,0,MAX(0,IF((AV$6-$E$3)&lt;1,0,IFERROR(LOOKUP(2,1/('Feijão 2ª safra'!$E7:INDEX('Feijão 2ª safra'!$E7:$Z7,MIN(AV$6-$E$3,22))&lt;&gt;""),'Feijão 2ª safra'!$E7:INDEX('Feijão 2ª safra'!$E7:$Z7,MIN(AV$6-$E$3,22))),0))-IF($G$2,0,IF((AV$6-$G$3)&lt;1,0,IFERROR(LOOKUP(2,1/('Feijão 2ª safra'!$E7:INDEX('Feijão 2ª safra'!$E7:$Z7,MIN(AV$6-$G$3,22))&lt;&gt;""),'Feijão 2ª safra'!$E7:INDEX('Feijão 2ª safra'!$E7:$Z7,MIN(AV$6-$G$3,22))),0)))))</f>
        <v>0</v>
      </c>
      <c r="AW9" s="27" t="n">
        <f aca="false">IF(COUNT('Feijão 2ª safra'!$E7:$Z7)=0,0,MAX(0,IF((AW$6-$E$3)&lt;1,0,IFERROR(LOOKUP(2,1/('Feijão 2ª safra'!$E7:INDEX('Feijão 2ª safra'!$E7:$Z7,MIN(AW$6-$E$3,22))&lt;&gt;""),'Feijão 2ª safra'!$E7:INDEX('Feijão 2ª safra'!$E7:$Z7,MIN(AW$6-$E$3,22))),0))-IF($G$2,0,IF((AW$6-$G$3)&lt;1,0,IFERROR(LOOKUP(2,1/('Feijão 2ª safra'!$E7:INDEX('Feijão 2ª safra'!$E7:$Z7,MIN(AW$6-$G$3,22))&lt;&gt;""),'Feijão 2ª safra'!$E7:INDEX('Feijão 2ª safra'!$E7:$Z7,MIN(AW$6-$G$3,22))),0)))))</f>
        <v>0</v>
      </c>
      <c r="AX9" s="27" t="n">
        <f aca="false">IF(COUNT('Feijão 2ª safra'!$E7:$Z7)=0,0,MAX(0,IF((AX$6-$E$3)&lt;1,0,IFERROR(LOOKUP(2,1/('Feijão 2ª safra'!$E7:INDEX('Feijão 2ª safra'!$E7:$Z7,MIN(AX$6-$E$3,22))&lt;&gt;""),'Feijão 2ª safra'!$E7:INDEX('Feijão 2ª safra'!$E7:$Z7,MIN(AX$6-$E$3,22))),0))-IF($G$2,0,IF((AX$6-$G$3)&lt;1,0,IFERROR(LOOKUP(2,1/('Feijão 2ª safra'!$E7:INDEX('Feijão 2ª safra'!$E7:$Z7,MIN(AX$6-$G$3,22))&lt;&gt;""),'Feijão 2ª safra'!$E7:INDEX('Feijão 2ª safra'!$E7:$Z7,MIN(AX$6-$G$3,22))),0)))))</f>
        <v>0</v>
      </c>
      <c r="AY9" s="27" t="n">
        <f aca="false">IF(COUNT('Feijão 2ª safra'!$E7:$Z7)=0,0,MAX(0,IF((AY$6-$E$3)&lt;1,0,IFERROR(LOOKUP(2,1/('Feijão 2ª safra'!$E7:INDEX('Feijão 2ª safra'!$E7:$Z7,MIN(AY$6-$E$3,22))&lt;&gt;""),'Feijão 2ª safra'!$E7:INDEX('Feijão 2ª safra'!$E7:$Z7,MIN(AY$6-$E$3,22))),0))-IF($G$2,0,IF((AY$6-$G$3)&lt;1,0,IFERROR(LOOKUP(2,1/('Feijão 2ª safra'!$E7:INDEX('Feijão 2ª safra'!$E7:$Z7,MIN(AY$6-$G$3,22))&lt;&gt;""),'Feijão 2ª safra'!$E7:INDEX('Feijão 2ª safra'!$E7:$Z7,MIN(AY$6-$G$3,22))),0)))))</f>
        <v>0</v>
      </c>
      <c r="AZ9" s="27" t="n">
        <f aca="false">IF(COUNT('Feijão 2ª safra'!$E7:$Z7)=0,0,MAX(0,IF((AZ$6-$E$3)&lt;1,0,IFERROR(LOOKUP(2,1/('Feijão 2ª safra'!$E7:INDEX('Feijão 2ª safra'!$E7:$Z7,MIN(AZ$6-$E$3,22))&lt;&gt;""),'Feijão 2ª safra'!$E7:INDEX('Feijão 2ª safra'!$E7:$Z7,MIN(AZ$6-$E$3,22))),0))-IF($G$2,0,IF((AZ$6-$G$3)&lt;1,0,IFERROR(LOOKUP(2,1/('Feijão 2ª safra'!$E7:INDEX('Feijão 2ª safra'!$E7:$Z7,MIN(AZ$6-$G$3,22))&lt;&gt;""),'Feijão 2ª safra'!$E7:INDEX('Feijão 2ª safra'!$E7:$Z7,MIN(AZ$6-$G$3,22))),0)))))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IF(COUNT('Feijão 2ª safra'!$E8:$Z8)&gt;0,N('Feijão 2ª safra'!$D8),0)</f>
        <v>0</v>
      </c>
      <c r="E10" s="27" t="n">
        <f aca="false">IF(COUNT('Feijão 2ª safra'!$E8:$Z8)=0,0,MAX(0,IF((E$6-$E$3)&lt;1,0,IFERROR(LOOKUP(2,1/('Feijão 2ª safra'!$E8:INDEX('Feijão 2ª safra'!$E8:$Z8,MIN(E$6-$E$3,22))&lt;&gt;""),'Feijão 2ª safra'!$E8:INDEX('Feijão 2ª safra'!$E8:$Z8,MIN(E$6-$E$3,22))),0))-IF($G$2,0,IF((E$6-$G$3)&lt;1,0,IFERROR(LOOKUP(2,1/('Feijão 2ª safra'!$E8:INDEX('Feijão 2ª safra'!$E8:$Z8,MIN(E$6-$G$3,22))&lt;&gt;""),'Feijão 2ª safra'!$E8:INDEX('Feijão 2ª safra'!$E8:$Z8,MIN(E$6-$G$3,22))),0)))))</f>
        <v>0</v>
      </c>
      <c r="F10" s="27" t="n">
        <f aca="false">IF(COUNT('Feijão 2ª safra'!$E8:$Z8)=0,0,MAX(0,IF((F$6-$E$3)&lt;1,0,IFERROR(LOOKUP(2,1/('Feijão 2ª safra'!$E8:INDEX('Feijão 2ª safra'!$E8:$Z8,MIN(F$6-$E$3,22))&lt;&gt;""),'Feijão 2ª safra'!$E8:INDEX('Feijão 2ª safra'!$E8:$Z8,MIN(F$6-$E$3,22))),0))-IF($G$2,0,IF((F$6-$G$3)&lt;1,0,IFERROR(LOOKUP(2,1/('Feijão 2ª safra'!$E8:INDEX('Feijão 2ª safra'!$E8:$Z8,MIN(F$6-$G$3,22))&lt;&gt;""),'Feijão 2ª safra'!$E8:INDEX('Feijão 2ª safra'!$E8:$Z8,MIN(F$6-$G$3,22))),0)))))</f>
        <v>0</v>
      </c>
      <c r="G10" s="27" t="n">
        <f aca="false">IF(COUNT('Feijão 2ª safra'!$E8:$Z8)=0,0,MAX(0,IF((G$6-$E$3)&lt;1,0,IFERROR(LOOKUP(2,1/('Feijão 2ª safra'!$E8:INDEX('Feijão 2ª safra'!$E8:$Z8,MIN(G$6-$E$3,22))&lt;&gt;""),'Feijão 2ª safra'!$E8:INDEX('Feijão 2ª safra'!$E8:$Z8,MIN(G$6-$E$3,22))),0))-IF($G$2,0,IF((G$6-$G$3)&lt;1,0,IFERROR(LOOKUP(2,1/('Feijão 2ª safra'!$E8:INDEX('Feijão 2ª safra'!$E8:$Z8,MIN(G$6-$G$3,22))&lt;&gt;""),'Feijão 2ª safra'!$E8:INDEX('Feijão 2ª safra'!$E8:$Z8,MIN(G$6-$G$3,22))),0)))))</f>
        <v>0</v>
      </c>
      <c r="H10" s="27" t="n">
        <f aca="false">IF(COUNT('Feijão 2ª safra'!$E8:$Z8)=0,0,MAX(0,IF((H$6-$E$3)&lt;1,0,IFERROR(LOOKUP(2,1/('Feijão 2ª safra'!$E8:INDEX('Feijão 2ª safra'!$E8:$Z8,MIN(H$6-$E$3,22))&lt;&gt;""),'Feijão 2ª safra'!$E8:INDEX('Feijão 2ª safra'!$E8:$Z8,MIN(H$6-$E$3,22))),0))-IF($G$2,0,IF((H$6-$G$3)&lt;1,0,IFERROR(LOOKUP(2,1/('Feijão 2ª safra'!$E8:INDEX('Feijão 2ª safra'!$E8:$Z8,MIN(H$6-$G$3,22))&lt;&gt;""),'Feijão 2ª safra'!$E8:INDEX('Feijão 2ª safra'!$E8:$Z8,MIN(H$6-$G$3,22))),0)))))</f>
        <v>0</v>
      </c>
      <c r="I10" s="27" t="n">
        <f aca="false">IF(COUNT('Feijão 2ª safra'!$E8:$Z8)=0,0,MAX(0,IF((I$6-$E$3)&lt;1,0,IFERROR(LOOKUP(2,1/('Feijão 2ª safra'!$E8:INDEX('Feijão 2ª safra'!$E8:$Z8,MIN(I$6-$E$3,22))&lt;&gt;""),'Feijão 2ª safra'!$E8:INDEX('Feijão 2ª safra'!$E8:$Z8,MIN(I$6-$E$3,22))),0))-IF($G$2,0,IF((I$6-$G$3)&lt;1,0,IFERROR(LOOKUP(2,1/('Feijão 2ª safra'!$E8:INDEX('Feijão 2ª safra'!$E8:$Z8,MIN(I$6-$G$3,22))&lt;&gt;""),'Feijão 2ª safra'!$E8:INDEX('Feijão 2ª safra'!$E8:$Z8,MIN(I$6-$G$3,22))),0)))))</f>
        <v>0</v>
      </c>
      <c r="J10" s="27" t="n">
        <f aca="false">IF(COUNT('Feijão 2ª safra'!$E8:$Z8)=0,0,MAX(0,IF((J$6-$E$3)&lt;1,0,IFERROR(LOOKUP(2,1/('Feijão 2ª safra'!$E8:INDEX('Feijão 2ª safra'!$E8:$Z8,MIN(J$6-$E$3,22))&lt;&gt;""),'Feijão 2ª safra'!$E8:INDEX('Feijão 2ª safra'!$E8:$Z8,MIN(J$6-$E$3,22))),0))-IF($G$2,0,IF((J$6-$G$3)&lt;1,0,IFERROR(LOOKUP(2,1/('Feijão 2ª safra'!$E8:INDEX('Feijão 2ª safra'!$E8:$Z8,MIN(J$6-$G$3,22))&lt;&gt;""),'Feijão 2ª safra'!$E8:INDEX('Feijão 2ª safra'!$E8:$Z8,MIN(J$6-$G$3,22))),0)))))</f>
        <v>0</v>
      </c>
      <c r="K10" s="27" t="n">
        <f aca="false">IF(COUNT('Feijão 2ª safra'!$E8:$Z8)=0,0,MAX(0,IF((K$6-$E$3)&lt;1,0,IFERROR(LOOKUP(2,1/('Feijão 2ª safra'!$E8:INDEX('Feijão 2ª safra'!$E8:$Z8,MIN(K$6-$E$3,22))&lt;&gt;""),'Feijão 2ª safra'!$E8:INDEX('Feijão 2ª safra'!$E8:$Z8,MIN(K$6-$E$3,22))),0))-IF($G$2,0,IF((K$6-$G$3)&lt;1,0,IFERROR(LOOKUP(2,1/('Feijão 2ª safra'!$E8:INDEX('Feijão 2ª safra'!$E8:$Z8,MIN(K$6-$G$3,22))&lt;&gt;""),'Feijão 2ª safra'!$E8:INDEX('Feijão 2ª safra'!$E8:$Z8,MIN(K$6-$G$3,22))),0)))))</f>
        <v>0</v>
      </c>
      <c r="L10" s="27" t="n">
        <f aca="false">IF(COUNT('Feijão 2ª safra'!$E8:$Z8)=0,0,MAX(0,IF((L$6-$E$3)&lt;1,0,IFERROR(LOOKUP(2,1/('Feijão 2ª safra'!$E8:INDEX('Feijão 2ª safra'!$E8:$Z8,MIN(L$6-$E$3,22))&lt;&gt;""),'Feijão 2ª safra'!$E8:INDEX('Feijão 2ª safra'!$E8:$Z8,MIN(L$6-$E$3,22))),0))-IF($G$2,0,IF((L$6-$G$3)&lt;1,0,IFERROR(LOOKUP(2,1/('Feijão 2ª safra'!$E8:INDEX('Feijão 2ª safra'!$E8:$Z8,MIN(L$6-$G$3,22))&lt;&gt;""),'Feijão 2ª safra'!$E8:INDEX('Feijão 2ª safra'!$E8:$Z8,MIN(L$6-$G$3,22))),0)))))</f>
        <v>0</v>
      </c>
      <c r="M10" s="27" t="n">
        <f aca="false">IF(COUNT('Feijão 2ª safra'!$E8:$Z8)=0,0,MAX(0,IF((M$6-$E$3)&lt;1,0,IFERROR(LOOKUP(2,1/('Feijão 2ª safra'!$E8:INDEX('Feijão 2ª safra'!$E8:$Z8,MIN(M$6-$E$3,22))&lt;&gt;""),'Feijão 2ª safra'!$E8:INDEX('Feijão 2ª safra'!$E8:$Z8,MIN(M$6-$E$3,22))),0))-IF($G$2,0,IF((M$6-$G$3)&lt;1,0,IFERROR(LOOKUP(2,1/('Feijão 2ª safra'!$E8:INDEX('Feijão 2ª safra'!$E8:$Z8,MIN(M$6-$G$3,22))&lt;&gt;""),'Feijão 2ª safra'!$E8:INDEX('Feijão 2ª safra'!$E8:$Z8,MIN(M$6-$G$3,22))),0)))))</f>
        <v>0</v>
      </c>
      <c r="N10" s="27" t="n">
        <f aca="false">IF(COUNT('Feijão 2ª safra'!$E8:$Z8)=0,0,MAX(0,IF((N$6-$E$3)&lt;1,0,IFERROR(LOOKUP(2,1/('Feijão 2ª safra'!$E8:INDEX('Feijão 2ª safra'!$E8:$Z8,MIN(N$6-$E$3,22))&lt;&gt;""),'Feijão 2ª safra'!$E8:INDEX('Feijão 2ª safra'!$E8:$Z8,MIN(N$6-$E$3,22))),0))-IF($G$2,0,IF((N$6-$G$3)&lt;1,0,IFERROR(LOOKUP(2,1/('Feijão 2ª safra'!$E8:INDEX('Feijão 2ª safra'!$E8:$Z8,MIN(N$6-$G$3,22))&lt;&gt;""),'Feijão 2ª safra'!$E8:INDEX('Feijão 2ª safra'!$E8:$Z8,MIN(N$6-$G$3,22))),0)))))</f>
        <v>0</v>
      </c>
      <c r="O10" s="27" t="n">
        <f aca="false">IF(COUNT('Feijão 2ª safra'!$E8:$Z8)=0,0,MAX(0,IF((O$6-$E$3)&lt;1,0,IFERROR(LOOKUP(2,1/('Feijão 2ª safra'!$E8:INDEX('Feijão 2ª safra'!$E8:$Z8,MIN(O$6-$E$3,22))&lt;&gt;""),'Feijão 2ª safra'!$E8:INDEX('Feijão 2ª safra'!$E8:$Z8,MIN(O$6-$E$3,22))),0))-IF($G$2,0,IF((O$6-$G$3)&lt;1,0,IFERROR(LOOKUP(2,1/('Feijão 2ª safra'!$E8:INDEX('Feijão 2ª safra'!$E8:$Z8,MIN(O$6-$G$3,22))&lt;&gt;""),'Feijão 2ª safra'!$E8:INDEX('Feijão 2ª safra'!$E8:$Z8,MIN(O$6-$G$3,22))),0)))))</f>
        <v>0</v>
      </c>
      <c r="P10" s="27" t="n">
        <f aca="false">IF(COUNT('Feijão 2ª safra'!$E8:$Z8)=0,0,MAX(0,IF((P$6-$E$3)&lt;1,0,IFERROR(LOOKUP(2,1/('Feijão 2ª safra'!$E8:INDEX('Feijão 2ª safra'!$E8:$Z8,MIN(P$6-$E$3,22))&lt;&gt;""),'Feijão 2ª safra'!$E8:INDEX('Feijão 2ª safra'!$E8:$Z8,MIN(P$6-$E$3,22))),0))-IF($G$2,0,IF((P$6-$G$3)&lt;1,0,IFERROR(LOOKUP(2,1/('Feijão 2ª safra'!$E8:INDEX('Feijão 2ª safra'!$E8:$Z8,MIN(P$6-$G$3,22))&lt;&gt;""),'Feijão 2ª safra'!$E8:INDEX('Feijão 2ª safra'!$E8:$Z8,MIN(P$6-$G$3,22))),0)))))</f>
        <v>0</v>
      </c>
      <c r="Q10" s="27" t="n">
        <f aca="false">IF(COUNT('Feijão 2ª safra'!$E8:$Z8)=0,0,MAX(0,IF((Q$6-$E$3)&lt;1,0,IFERROR(LOOKUP(2,1/('Feijão 2ª safra'!$E8:INDEX('Feijão 2ª safra'!$E8:$Z8,MIN(Q$6-$E$3,22))&lt;&gt;""),'Feijão 2ª safra'!$E8:INDEX('Feijão 2ª safra'!$E8:$Z8,MIN(Q$6-$E$3,22))),0))-IF($G$2,0,IF((Q$6-$G$3)&lt;1,0,IFERROR(LOOKUP(2,1/('Feijão 2ª safra'!$E8:INDEX('Feijão 2ª safra'!$E8:$Z8,MIN(Q$6-$G$3,22))&lt;&gt;""),'Feijão 2ª safra'!$E8:INDEX('Feijão 2ª safra'!$E8:$Z8,MIN(Q$6-$G$3,22))),0)))))</f>
        <v>0</v>
      </c>
      <c r="R10" s="27" t="n">
        <f aca="false">IF(COUNT('Feijão 2ª safra'!$E8:$Z8)=0,0,MAX(0,IF((R$6-$E$3)&lt;1,0,IFERROR(LOOKUP(2,1/('Feijão 2ª safra'!$E8:INDEX('Feijão 2ª safra'!$E8:$Z8,MIN(R$6-$E$3,22))&lt;&gt;""),'Feijão 2ª safra'!$E8:INDEX('Feijão 2ª safra'!$E8:$Z8,MIN(R$6-$E$3,22))),0))-IF($G$2,0,IF((R$6-$G$3)&lt;1,0,IFERROR(LOOKUP(2,1/('Feijão 2ª safra'!$E8:INDEX('Feijão 2ª safra'!$E8:$Z8,MIN(R$6-$G$3,22))&lt;&gt;""),'Feijão 2ª safra'!$E8:INDEX('Feijão 2ª safra'!$E8:$Z8,MIN(R$6-$G$3,22))),0)))))</f>
        <v>0</v>
      </c>
      <c r="S10" s="27" t="n">
        <f aca="false">IF(COUNT('Feijão 2ª safra'!$E8:$Z8)=0,0,MAX(0,IF((S$6-$E$3)&lt;1,0,IFERROR(LOOKUP(2,1/('Feijão 2ª safra'!$E8:INDEX('Feijão 2ª safra'!$E8:$Z8,MIN(S$6-$E$3,22))&lt;&gt;""),'Feijão 2ª safra'!$E8:INDEX('Feijão 2ª safra'!$E8:$Z8,MIN(S$6-$E$3,22))),0))-IF($G$2,0,IF((S$6-$G$3)&lt;1,0,IFERROR(LOOKUP(2,1/('Feijão 2ª safra'!$E8:INDEX('Feijão 2ª safra'!$E8:$Z8,MIN(S$6-$G$3,22))&lt;&gt;""),'Feijão 2ª safra'!$E8:INDEX('Feijão 2ª safra'!$E8:$Z8,MIN(S$6-$G$3,22))),0)))))</f>
        <v>0</v>
      </c>
      <c r="T10" s="27" t="n">
        <f aca="false">IF(COUNT('Feijão 2ª safra'!$E8:$Z8)=0,0,MAX(0,IF((T$6-$E$3)&lt;1,0,IFERROR(LOOKUP(2,1/('Feijão 2ª safra'!$E8:INDEX('Feijão 2ª safra'!$E8:$Z8,MIN(T$6-$E$3,22))&lt;&gt;""),'Feijão 2ª safra'!$E8:INDEX('Feijão 2ª safra'!$E8:$Z8,MIN(T$6-$E$3,22))),0))-IF($G$2,0,IF((T$6-$G$3)&lt;1,0,IFERROR(LOOKUP(2,1/('Feijão 2ª safra'!$E8:INDEX('Feijão 2ª safra'!$E8:$Z8,MIN(T$6-$G$3,22))&lt;&gt;""),'Feijão 2ª safra'!$E8:INDEX('Feijão 2ª safra'!$E8:$Z8,MIN(T$6-$G$3,22))),0)))))</f>
        <v>0</v>
      </c>
      <c r="U10" s="27" t="n">
        <f aca="false">IF(COUNT('Feijão 2ª safra'!$E8:$Z8)=0,0,MAX(0,IF((U$6-$E$3)&lt;1,0,IFERROR(LOOKUP(2,1/('Feijão 2ª safra'!$E8:INDEX('Feijão 2ª safra'!$E8:$Z8,MIN(U$6-$E$3,22))&lt;&gt;""),'Feijão 2ª safra'!$E8:INDEX('Feijão 2ª safra'!$E8:$Z8,MIN(U$6-$E$3,22))),0))-IF($G$2,0,IF((U$6-$G$3)&lt;1,0,IFERROR(LOOKUP(2,1/('Feijão 2ª safra'!$E8:INDEX('Feijão 2ª safra'!$E8:$Z8,MIN(U$6-$G$3,22))&lt;&gt;""),'Feijão 2ª safra'!$E8:INDEX('Feijão 2ª safra'!$E8:$Z8,MIN(U$6-$G$3,22))),0)))))</f>
        <v>0</v>
      </c>
      <c r="V10" s="27" t="n">
        <f aca="false">IF(COUNT('Feijão 2ª safra'!$E8:$Z8)=0,0,MAX(0,IF((V$6-$E$3)&lt;1,0,IFERROR(LOOKUP(2,1/('Feijão 2ª safra'!$E8:INDEX('Feijão 2ª safra'!$E8:$Z8,MIN(V$6-$E$3,22))&lt;&gt;""),'Feijão 2ª safra'!$E8:INDEX('Feijão 2ª safra'!$E8:$Z8,MIN(V$6-$E$3,22))),0))-IF($G$2,0,IF((V$6-$G$3)&lt;1,0,IFERROR(LOOKUP(2,1/('Feijão 2ª safra'!$E8:INDEX('Feijão 2ª safra'!$E8:$Z8,MIN(V$6-$G$3,22))&lt;&gt;""),'Feijão 2ª safra'!$E8:INDEX('Feijão 2ª safra'!$E8:$Z8,MIN(V$6-$G$3,22))),0)))))</f>
        <v>0</v>
      </c>
      <c r="W10" s="27" t="n">
        <f aca="false">IF(COUNT('Feijão 2ª safra'!$E8:$Z8)=0,0,MAX(0,IF((W$6-$E$3)&lt;1,0,IFERROR(LOOKUP(2,1/('Feijão 2ª safra'!$E8:INDEX('Feijão 2ª safra'!$E8:$Z8,MIN(W$6-$E$3,22))&lt;&gt;""),'Feijão 2ª safra'!$E8:INDEX('Feijão 2ª safra'!$E8:$Z8,MIN(W$6-$E$3,22))),0))-IF($G$2,0,IF((W$6-$G$3)&lt;1,0,IFERROR(LOOKUP(2,1/('Feijão 2ª safra'!$E8:INDEX('Feijão 2ª safra'!$E8:$Z8,MIN(W$6-$G$3,22))&lt;&gt;""),'Feijão 2ª safra'!$E8:INDEX('Feijão 2ª safra'!$E8:$Z8,MIN(W$6-$G$3,22))),0)))))</f>
        <v>0</v>
      </c>
      <c r="X10" s="27" t="n">
        <f aca="false">IF(COUNT('Feijão 2ª safra'!$E8:$Z8)=0,0,MAX(0,IF((X$6-$E$3)&lt;1,0,IFERROR(LOOKUP(2,1/('Feijão 2ª safra'!$E8:INDEX('Feijão 2ª safra'!$E8:$Z8,MIN(X$6-$E$3,22))&lt;&gt;""),'Feijão 2ª safra'!$E8:INDEX('Feijão 2ª safra'!$E8:$Z8,MIN(X$6-$E$3,22))),0))-IF($G$2,0,IF((X$6-$G$3)&lt;1,0,IFERROR(LOOKUP(2,1/('Feijão 2ª safra'!$E8:INDEX('Feijão 2ª safra'!$E8:$Z8,MIN(X$6-$G$3,22))&lt;&gt;""),'Feijão 2ª safra'!$E8:INDEX('Feijão 2ª safra'!$E8:$Z8,MIN(X$6-$G$3,22))),0)))))</f>
        <v>0</v>
      </c>
      <c r="Y10" s="27" t="n">
        <f aca="false">IF(COUNT('Feijão 2ª safra'!$E8:$Z8)=0,0,MAX(0,IF((Y$6-$E$3)&lt;1,0,IFERROR(LOOKUP(2,1/('Feijão 2ª safra'!$E8:INDEX('Feijão 2ª safra'!$E8:$Z8,MIN(Y$6-$E$3,22))&lt;&gt;""),'Feijão 2ª safra'!$E8:INDEX('Feijão 2ª safra'!$E8:$Z8,MIN(Y$6-$E$3,22))),0))-IF($G$2,0,IF((Y$6-$G$3)&lt;1,0,IFERROR(LOOKUP(2,1/('Feijão 2ª safra'!$E8:INDEX('Feijão 2ª safra'!$E8:$Z8,MIN(Y$6-$G$3,22))&lt;&gt;""),'Feijão 2ª safra'!$E8:INDEX('Feijão 2ª safra'!$E8:$Z8,MIN(Y$6-$G$3,22))),0)))))</f>
        <v>0</v>
      </c>
      <c r="Z10" s="27" t="n">
        <f aca="false">IF(COUNT('Feijão 2ª safra'!$E8:$Z8)=0,0,MAX(0,IF((Z$6-$E$3)&lt;1,0,IFERROR(LOOKUP(2,1/('Feijão 2ª safra'!$E8:INDEX('Feijão 2ª safra'!$E8:$Z8,MIN(Z$6-$E$3,22))&lt;&gt;""),'Feijão 2ª safra'!$E8:INDEX('Feijão 2ª safra'!$E8:$Z8,MIN(Z$6-$E$3,22))),0))-IF($G$2,0,IF((Z$6-$G$3)&lt;1,0,IFERROR(LOOKUP(2,1/('Feijão 2ª safra'!$E8:INDEX('Feijão 2ª safra'!$E8:$Z8,MIN(Z$6-$G$3,22))&lt;&gt;""),'Feijão 2ª safra'!$E8:INDEX('Feijão 2ª safra'!$E8:$Z8,MIN(Z$6-$G$3,22))),0)))))</f>
        <v>0</v>
      </c>
      <c r="AA10" s="27" t="n">
        <f aca="false">IF(COUNT('Feijão 2ª safra'!$E8:$Z8)=0,0,MAX(0,IF((AA$6-$E$3)&lt;1,0,IFERROR(LOOKUP(2,1/('Feijão 2ª safra'!$E8:INDEX('Feijão 2ª safra'!$E8:$Z8,MIN(AA$6-$E$3,22))&lt;&gt;""),'Feijão 2ª safra'!$E8:INDEX('Feijão 2ª safra'!$E8:$Z8,MIN(AA$6-$E$3,22))),0))-IF($G$2,0,IF((AA$6-$G$3)&lt;1,0,IFERROR(LOOKUP(2,1/('Feijão 2ª safra'!$E8:INDEX('Feijão 2ª safra'!$E8:$Z8,MIN(AA$6-$G$3,22))&lt;&gt;""),'Feijão 2ª safra'!$E8:INDEX('Feijão 2ª safra'!$E8:$Z8,MIN(AA$6-$G$3,22))),0)))))</f>
        <v>0</v>
      </c>
      <c r="AB10" s="27" t="n">
        <f aca="false">IF(COUNT('Feijão 2ª safra'!$E8:$Z8)=0,0,MAX(0,IF((AB$6-$E$3)&lt;1,0,IFERROR(LOOKUP(2,1/('Feijão 2ª safra'!$E8:INDEX('Feijão 2ª safra'!$E8:$Z8,MIN(AB$6-$E$3,22))&lt;&gt;""),'Feijão 2ª safra'!$E8:INDEX('Feijão 2ª safra'!$E8:$Z8,MIN(AB$6-$E$3,22))),0))-IF($G$2,0,IF((AB$6-$G$3)&lt;1,0,IFERROR(LOOKUP(2,1/('Feijão 2ª safra'!$E8:INDEX('Feijão 2ª safra'!$E8:$Z8,MIN(AB$6-$G$3,22))&lt;&gt;""),'Feijão 2ª safra'!$E8:INDEX('Feijão 2ª safra'!$E8:$Z8,MIN(AB$6-$G$3,22))),0)))))</f>
        <v>0</v>
      </c>
      <c r="AC10" s="27" t="n">
        <f aca="false">IF(COUNT('Feijão 2ª safra'!$E8:$Z8)=0,0,MAX(0,IF((AC$6-$E$3)&lt;1,0,IFERROR(LOOKUP(2,1/('Feijão 2ª safra'!$E8:INDEX('Feijão 2ª safra'!$E8:$Z8,MIN(AC$6-$E$3,22))&lt;&gt;""),'Feijão 2ª safra'!$E8:INDEX('Feijão 2ª safra'!$E8:$Z8,MIN(AC$6-$E$3,22))),0))-IF($G$2,0,IF((AC$6-$G$3)&lt;1,0,IFERROR(LOOKUP(2,1/('Feijão 2ª safra'!$E8:INDEX('Feijão 2ª safra'!$E8:$Z8,MIN(AC$6-$G$3,22))&lt;&gt;""),'Feijão 2ª safra'!$E8:INDEX('Feijão 2ª safra'!$E8:$Z8,MIN(AC$6-$G$3,22))),0)))))</f>
        <v>0</v>
      </c>
      <c r="AD10" s="27" t="n">
        <f aca="false">IF(COUNT('Feijão 2ª safra'!$E8:$Z8)=0,0,MAX(0,IF((AD$6-$E$3)&lt;1,0,IFERROR(LOOKUP(2,1/('Feijão 2ª safra'!$E8:INDEX('Feijão 2ª safra'!$E8:$Z8,MIN(AD$6-$E$3,22))&lt;&gt;""),'Feijão 2ª safra'!$E8:INDEX('Feijão 2ª safra'!$E8:$Z8,MIN(AD$6-$E$3,22))),0))-IF($G$2,0,IF((AD$6-$G$3)&lt;1,0,IFERROR(LOOKUP(2,1/('Feijão 2ª safra'!$E8:INDEX('Feijão 2ª safra'!$E8:$Z8,MIN(AD$6-$G$3,22))&lt;&gt;""),'Feijão 2ª safra'!$E8:INDEX('Feijão 2ª safra'!$E8:$Z8,MIN(AD$6-$G$3,22))),0)))))</f>
        <v>0</v>
      </c>
      <c r="AE10" s="27" t="n">
        <f aca="false">IF(COUNT('Feijão 2ª safra'!$E8:$Z8)=0,0,MAX(0,IF((AE$6-$E$3)&lt;1,0,IFERROR(LOOKUP(2,1/('Feijão 2ª safra'!$E8:INDEX('Feijão 2ª safra'!$E8:$Z8,MIN(AE$6-$E$3,22))&lt;&gt;""),'Feijão 2ª safra'!$E8:INDEX('Feijão 2ª safra'!$E8:$Z8,MIN(AE$6-$E$3,22))),0))-IF($G$2,0,IF((AE$6-$G$3)&lt;1,0,IFERROR(LOOKUP(2,1/('Feijão 2ª safra'!$E8:INDEX('Feijão 2ª safra'!$E8:$Z8,MIN(AE$6-$G$3,22))&lt;&gt;""),'Feijão 2ª safra'!$E8:INDEX('Feijão 2ª safra'!$E8:$Z8,MIN(AE$6-$G$3,22))),0)))))</f>
        <v>0</v>
      </c>
      <c r="AF10" s="27" t="n">
        <f aca="false">IF(COUNT('Feijão 2ª safra'!$E8:$Z8)=0,0,MAX(0,IF((AF$6-$E$3)&lt;1,0,IFERROR(LOOKUP(2,1/('Feijão 2ª safra'!$E8:INDEX('Feijão 2ª safra'!$E8:$Z8,MIN(AF$6-$E$3,22))&lt;&gt;""),'Feijão 2ª safra'!$E8:INDEX('Feijão 2ª safra'!$E8:$Z8,MIN(AF$6-$E$3,22))),0))-IF($G$2,0,IF((AF$6-$G$3)&lt;1,0,IFERROR(LOOKUP(2,1/('Feijão 2ª safra'!$E8:INDEX('Feijão 2ª safra'!$E8:$Z8,MIN(AF$6-$G$3,22))&lt;&gt;""),'Feijão 2ª safra'!$E8:INDEX('Feijão 2ª safra'!$E8:$Z8,MIN(AF$6-$G$3,22))),0)))))</f>
        <v>0</v>
      </c>
      <c r="AG10" s="27" t="n">
        <f aca="false">IF(COUNT('Feijão 2ª safra'!$E8:$Z8)=0,0,MAX(0,IF((AG$6-$E$3)&lt;1,0,IFERROR(LOOKUP(2,1/('Feijão 2ª safra'!$E8:INDEX('Feijão 2ª safra'!$E8:$Z8,MIN(AG$6-$E$3,22))&lt;&gt;""),'Feijão 2ª safra'!$E8:INDEX('Feijão 2ª safra'!$E8:$Z8,MIN(AG$6-$E$3,22))),0))-IF($G$2,0,IF((AG$6-$G$3)&lt;1,0,IFERROR(LOOKUP(2,1/('Feijão 2ª safra'!$E8:INDEX('Feijão 2ª safra'!$E8:$Z8,MIN(AG$6-$G$3,22))&lt;&gt;""),'Feijão 2ª safra'!$E8:INDEX('Feijão 2ª safra'!$E8:$Z8,MIN(AG$6-$G$3,22))),0)))))</f>
        <v>0</v>
      </c>
      <c r="AH10" s="27" t="n">
        <f aca="false">IF(COUNT('Feijão 2ª safra'!$E8:$Z8)=0,0,MAX(0,IF((AH$6-$E$3)&lt;1,0,IFERROR(LOOKUP(2,1/('Feijão 2ª safra'!$E8:INDEX('Feijão 2ª safra'!$E8:$Z8,MIN(AH$6-$E$3,22))&lt;&gt;""),'Feijão 2ª safra'!$E8:INDEX('Feijão 2ª safra'!$E8:$Z8,MIN(AH$6-$E$3,22))),0))-IF($G$2,0,IF((AH$6-$G$3)&lt;1,0,IFERROR(LOOKUP(2,1/('Feijão 2ª safra'!$E8:INDEX('Feijão 2ª safra'!$E8:$Z8,MIN(AH$6-$G$3,22))&lt;&gt;""),'Feijão 2ª safra'!$E8:INDEX('Feijão 2ª safra'!$E8:$Z8,MIN(AH$6-$G$3,22))),0)))))</f>
        <v>0</v>
      </c>
      <c r="AI10" s="27" t="n">
        <f aca="false">IF(COUNT('Feijão 2ª safra'!$E8:$Z8)=0,0,MAX(0,IF((AI$6-$E$3)&lt;1,0,IFERROR(LOOKUP(2,1/('Feijão 2ª safra'!$E8:INDEX('Feijão 2ª safra'!$E8:$Z8,MIN(AI$6-$E$3,22))&lt;&gt;""),'Feijão 2ª safra'!$E8:INDEX('Feijão 2ª safra'!$E8:$Z8,MIN(AI$6-$E$3,22))),0))-IF($G$2,0,IF((AI$6-$G$3)&lt;1,0,IFERROR(LOOKUP(2,1/('Feijão 2ª safra'!$E8:INDEX('Feijão 2ª safra'!$E8:$Z8,MIN(AI$6-$G$3,22))&lt;&gt;""),'Feijão 2ª safra'!$E8:INDEX('Feijão 2ª safra'!$E8:$Z8,MIN(AI$6-$G$3,22))),0)))))</f>
        <v>0</v>
      </c>
      <c r="AJ10" s="27" t="n">
        <f aca="false">IF(COUNT('Feijão 2ª safra'!$E8:$Z8)=0,0,MAX(0,IF((AJ$6-$E$3)&lt;1,0,IFERROR(LOOKUP(2,1/('Feijão 2ª safra'!$E8:INDEX('Feijão 2ª safra'!$E8:$Z8,MIN(AJ$6-$E$3,22))&lt;&gt;""),'Feijão 2ª safra'!$E8:INDEX('Feijão 2ª safra'!$E8:$Z8,MIN(AJ$6-$E$3,22))),0))-IF($G$2,0,IF((AJ$6-$G$3)&lt;1,0,IFERROR(LOOKUP(2,1/('Feijão 2ª safra'!$E8:INDEX('Feijão 2ª safra'!$E8:$Z8,MIN(AJ$6-$G$3,22))&lt;&gt;""),'Feijão 2ª safra'!$E8:INDEX('Feijão 2ª safra'!$E8:$Z8,MIN(AJ$6-$G$3,22))),0)))))</f>
        <v>0</v>
      </c>
      <c r="AK10" s="27" t="n">
        <f aca="false">IF(COUNT('Feijão 2ª safra'!$E8:$Z8)=0,0,MAX(0,IF((AK$6-$E$3)&lt;1,0,IFERROR(LOOKUP(2,1/('Feijão 2ª safra'!$E8:INDEX('Feijão 2ª safra'!$E8:$Z8,MIN(AK$6-$E$3,22))&lt;&gt;""),'Feijão 2ª safra'!$E8:INDEX('Feijão 2ª safra'!$E8:$Z8,MIN(AK$6-$E$3,22))),0))-IF($G$2,0,IF((AK$6-$G$3)&lt;1,0,IFERROR(LOOKUP(2,1/('Feijão 2ª safra'!$E8:INDEX('Feijão 2ª safra'!$E8:$Z8,MIN(AK$6-$G$3,22))&lt;&gt;""),'Feijão 2ª safra'!$E8:INDEX('Feijão 2ª safra'!$E8:$Z8,MIN(AK$6-$G$3,22))),0)))))</f>
        <v>0</v>
      </c>
      <c r="AL10" s="27" t="n">
        <f aca="false">IF(COUNT('Feijão 2ª safra'!$E8:$Z8)=0,0,MAX(0,IF((AL$6-$E$3)&lt;1,0,IFERROR(LOOKUP(2,1/('Feijão 2ª safra'!$E8:INDEX('Feijão 2ª safra'!$E8:$Z8,MIN(AL$6-$E$3,22))&lt;&gt;""),'Feijão 2ª safra'!$E8:INDEX('Feijão 2ª safra'!$E8:$Z8,MIN(AL$6-$E$3,22))),0))-IF($G$2,0,IF((AL$6-$G$3)&lt;1,0,IFERROR(LOOKUP(2,1/('Feijão 2ª safra'!$E8:INDEX('Feijão 2ª safra'!$E8:$Z8,MIN(AL$6-$G$3,22))&lt;&gt;""),'Feijão 2ª safra'!$E8:INDEX('Feijão 2ª safra'!$E8:$Z8,MIN(AL$6-$G$3,22))),0)))))</f>
        <v>0</v>
      </c>
      <c r="AM10" s="27" t="n">
        <f aca="false">IF(COUNT('Feijão 2ª safra'!$E8:$Z8)=0,0,MAX(0,IF((AM$6-$E$3)&lt;1,0,IFERROR(LOOKUP(2,1/('Feijão 2ª safra'!$E8:INDEX('Feijão 2ª safra'!$E8:$Z8,MIN(AM$6-$E$3,22))&lt;&gt;""),'Feijão 2ª safra'!$E8:INDEX('Feijão 2ª safra'!$E8:$Z8,MIN(AM$6-$E$3,22))),0))-IF($G$2,0,IF((AM$6-$G$3)&lt;1,0,IFERROR(LOOKUP(2,1/('Feijão 2ª safra'!$E8:INDEX('Feijão 2ª safra'!$E8:$Z8,MIN(AM$6-$G$3,22))&lt;&gt;""),'Feijão 2ª safra'!$E8:INDEX('Feijão 2ª safra'!$E8:$Z8,MIN(AM$6-$G$3,22))),0)))))</f>
        <v>0</v>
      </c>
      <c r="AN10" s="27" t="n">
        <f aca="false">IF(COUNT('Feijão 2ª safra'!$E8:$Z8)=0,0,MAX(0,IF((AN$6-$E$3)&lt;1,0,IFERROR(LOOKUP(2,1/('Feijão 2ª safra'!$E8:INDEX('Feijão 2ª safra'!$E8:$Z8,MIN(AN$6-$E$3,22))&lt;&gt;""),'Feijão 2ª safra'!$E8:INDEX('Feijão 2ª safra'!$E8:$Z8,MIN(AN$6-$E$3,22))),0))-IF($G$2,0,IF((AN$6-$G$3)&lt;1,0,IFERROR(LOOKUP(2,1/('Feijão 2ª safra'!$E8:INDEX('Feijão 2ª safra'!$E8:$Z8,MIN(AN$6-$G$3,22))&lt;&gt;""),'Feijão 2ª safra'!$E8:INDEX('Feijão 2ª safra'!$E8:$Z8,MIN(AN$6-$G$3,22))),0)))))</f>
        <v>0</v>
      </c>
      <c r="AO10" s="27" t="n">
        <f aca="false">IF(COUNT('Feijão 2ª safra'!$E8:$Z8)=0,0,MAX(0,IF((AO$6-$E$3)&lt;1,0,IFERROR(LOOKUP(2,1/('Feijão 2ª safra'!$E8:INDEX('Feijão 2ª safra'!$E8:$Z8,MIN(AO$6-$E$3,22))&lt;&gt;""),'Feijão 2ª safra'!$E8:INDEX('Feijão 2ª safra'!$E8:$Z8,MIN(AO$6-$E$3,22))),0))-IF($G$2,0,IF((AO$6-$G$3)&lt;1,0,IFERROR(LOOKUP(2,1/('Feijão 2ª safra'!$E8:INDEX('Feijão 2ª safra'!$E8:$Z8,MIN(AO$6-$G$3,22))&lt;&gt;""),'Feijão 2ª safra'!$E8:INDEX('Feijão 2ª safra'!$E8:$Z8,MIN(AO$6-$G$3,22))),0)))))</f>
        <v>0</v>
      </c>
      <c r="AP10" s="27" t="n">
        <f aca="false">IF(COUNT('Feijão 2ª safra'!$E8:$Z8)=0,0,MAX(0,IF((AP$6-$E$3)&lt;1,0,IFERROR(LOOKUP(2,1/('Feijão 2ª safra'!$E8:INDEX('Feijão 2ª safra'!$E8:$Z8,MIN(AP$6-$E$3,22))&lt;&gt;""),'Feijão 2ª safra'!$E8:INDEX('Feijão 2ª safra'!$E8:$Z8,MIN(AP$6-$E$3,22))),0))-IF($G$2,0,IF((AP$6-$G$3)&lt;1,0,IFERROR(LOOKUP(2,1/('Feijão 2ª safra'!$E8:INDEX('Feijão 2ª safra'!$E8:$Z8,MIN(AP$6-$G$3,22))&lt;&gt;""),'Feijão 2ª safra'!$E8:INDEX('Feijão 2ª safra'!$E8:$Z8,MIN(AP$6-$G$3,22))),0)))))</f>
        <v>0</v>
      </c>
      <c r="AQ10" s="27" t="n">
        <f aca="false">IF(COUNT('Feijão 2ª safra'!$E8:$Z8)=0,0,MAX(0,IF((AQ$6-$E$3)&lt;1,0,IFERROR(LOOKUP(2,1/('Feijão 2ª safra'!$E8:INDEX('Feijão 2ª safra'!$E8:$Z8,MIN(AQ$6-$E$3,22))&lt;&gt;""),'Feijão 2ª safra'!$E8:INDEX('Feijão 2ª safra'!$E8:$Z8,MIN(AQ$6-$E$3,22))),0))-IF($G$2,0,IF((AQ$6-$G$3)&lt;1,0,IFERROR(LOOKUP(2,1/('Feijão 2ª safra'!$E8:INDEX('Feijão 2ª safra'!$E8:$Z8,MIN(AQ$6-$G$3,22))&lt;&gt;""),'Feijão 2ª safra'!$E8:INDEX('Feijão 2ª safra'!$E8:$Z8,MIN(AQ$6-$G$3,22))),0)))))</f>
        <v>0</v>
      </c>
      <c r="AR10" s="27" t="n">
        <f aca="false">IF(COUNT('Feijão 2ª safra'!$E8:$Z8)=0,0,MAX(0,IF((AR$6-$E$3)&lt;1,0,IFERROR(LOOKUP(2,1/('Feijão 2ª safra'!$E8:INDEX('Feijão 2ª safra'!$E8:$Z8,MIN(AR$6-$E$3,22))&lt;&gt;""),'Feijão 2ª safra'!$E8:INDEX('Feijão 2ª safra'!$E8:$Z8,MIN(AR$6-$E$3,22))),0))-IF($G$2,0,IF((AR$6-$G$3)&lt;1,0,IFERROR(LOOKUP(2,1/('Feijão 2ª safra'!$E8:INDEX('Feijão 2ª safra'!$E8:$Z8,MIN(AR$6-$G$3,22))&lt;&gt;""),'Feijão 2ª safra'!$E8:INDEX('Feijão 2ª safra'!$E8:$Z8,MIN(AR$6-$G$3,22))),0)))))</f>
        <v>0</v>
      </c>
      <c r="AS10" s="27" t="n">
        <f aca="false">IF(COUNT('Feijão 2ª safra'!$E8:$Z8)=0,0,MAX(0,IF((AS$6-$E$3)&lt;1,0,IFERROR(LOOKUP(2,1/('Feijão 2ª safra'!$E8:INDEX('Feijão 2ª safra'!$E8:$Z8,MIN(AS$6-$E$3,22))&lt;&gt;""),'Feijão 2ª safra'!$E8:INDEX('Feijão 2ª safra'!$E8:$Z8,MIN(AS$6-$E$3,22))),0))-IF($G$2,0,IF((AS$6-$G$3)&lt;1,0,IFERROR(LOOKUP(2,1/('Feijão 2ª safra'!$E8:INDEX('Feijão 2ª safra'!$E8:$Z8,MIN(AS$6-$G$3,22))&lt;&gt;""),'Feijão 2ª safra'!$E8:INDEX('Feijão 2ª safra'!$E8:$Z8,MIN(AS$6-$G$3,22))),0)))))</f>
        <v>0</v>
      </c>
      <c r="AT10" s="27" t="n">
        <f aca="false">IF(COUNT('Feijão 2ª safra'!$E8:$Z8)=0,0,MAX(0,IF((AT$6-$E$3)&lt;1,0,IFERROR(LOOKUP(2,1/('Feijão 2ª safra'!$E8:INDEX('Feijão 2ª safra'!$E8:$Z8,MIN(AT$6-$E$3,22))&lt;&gt;""),'Feijão 2ª safra'!$E8:INDEX('Feijão 2ª safra'!$E8:$Z8,MIN(AT$6-$E$3,22))),0))-IF($G$2,0,IF((AT$6-$G$3)&lt;1,0,IFERROR(LOOKUP(2,1/('Feijão 2ª safra'!$E8:INDEX('Feijão 2ª safra'!$E8:$Z8,MIN(AT$6-$G$3,22))&lt;&gt;""),'Feijão 2ª safra'!$E8:INDEX('Feijão 2ª safra'!$E8:$Z8,MIN(AT$6-$G$3,22))),0)))))</f>
        <v>0</v>
      </c>
      <c r="AU10" s="27" t="n">
        <f aca="false">IF(COUNT('Feijão 2ª safra'!$E8:$Z8)=0,0,MAX(0,IF((AU$6-$E$3)&lt;1,0,IFERROR(LOOKUP(2,1/('Feijão 2ª safra'!$E8:INDEX('Feijão 2ª safra'!$E8:$Z8,MIN(AU$6-$E$3,22))&lt;&gt;""),'Feijão 2ª safra'!$E8:INDEX('Feijão 2ª safra'!$E8:$Z8,MIN(AU$6-$E$3,22))),0))-IF($G$2,0,IF((AU$6-$G$3)&lt;1,0,IFERROR(LOOKUP(2,1/('Feijão 2ª safra'!$E8:INDEX('Feijão 2ª safra'!$E8:$Z8,MIN(AU$6-$G$3,22))&lt;&gt;""),'Feijão 2ª safra'!$E8:INDEX('Feijão 2ª safra'!$E8:$Z8,MIN(AU$6-$G$3,22))),0)))))</f>
        <v>0</v>
      </c>
      <c r="AV10" s="27" t="n">
        <f aca="false">IF(COUNT('Feijão 2ª safra'!$E8:$Z8)=0,0,MAX(0,IF((AV$6-$E$3)&lt;1,0,IFERROR(LOOKUP(2,1/('Feijão 2ª safra'!$E8:INDEX('Feijão 2ª safra'!$E8:$Z8,MIN(AV$6-$E$3,22))&lt;&gt;""),'Feijão 2ª safra'!$E8:INDEX('Feijão 2ª safra'!$E8:$Z8,MIN(AV$6-$E$3,22))),0))-IF($G$2,0,IF((AV$6-$G$3)&lt;1,0,IFERROR(LOOKUP(2,1/('Feijão 2ª safra'!$E8:INDEX('Feijão 2ª safra'!$E8:$Z8,MIN(AV$6-$G$3,22))&lt;&gt;""),'Feijão 2ª safra'!$E8:INDEX('Feijão 2ª safra'!$E8:$Z8,MIN(AV$6-$G$3,22))),0)))))</f>
        <v>0</v>
      </c>
      <c r="AW10" s="27" t="n">
        <f aca="false">IF(COUNT('Feijão 2ª safra'!$E8:$Z8)=0,0,MAX(0,IF((AW$6-$E$3)&lt;1,0,IFERROR(LOOKUP(2,1/('Feijão 2ª safra'!$E8:INDEX('Feijão 2ª safra'!$E8:$Z8,MIN(AW$6-$E$3,22))&lt;&gt;""),'Feijão 2ª safra'!$E8:INDEX('Feijão 2ª safra'!$E8:$Z8,MIN(AW$6-$E$3,22))),0))-IF($G$2,0,IF((AW$6-$G$3)&lt;1,0,IFERROR(LOOKUP(2,1/('Feijão 2ª safra'!$E8:INDEX('Feijão 2ª safra'!$E8:$Z8,MIN(AW$6-$G$3,22))&lt;&gt;""),'Feijão 2ª safra'!$E8:INDEX('Feijão 2ª safra'!$E8:$Z8,MIN(AW$6-$G$3,22))),0)))))</f>
        <v>0</v>
      </c>
      <c r="AX10" s="27" t="n">
        <f aca="false">IF(COUNT('Feijão 2ª safra'!$E8:$Z8)=0,0,MAX(0,IF((AX$6-$E$3)&lt;1,0,IFERROR(LOOKUP(2,1/('Feijão 2ª safra'!$E8:INDEX('Feijão 2ª safra'!$E8:$Z8,MIN(AX$6-$E$3,22))&lt;&gt;""),'Feijão 2ª safra'!$E8:INDEX('Feijão 2ª safra'!$E8:$Z8,MIN(AX$6-$E$3,22))),0))-IF($G$2,0,IF((AX$6-$G$3)&lt;1,0,IFERROR(LOOKUP(2,1/('Feijão 2ª safra'!$E8:INDEX('Feijão 2ª safra'!$E8:$Z8,MIN(AX$6-$G$3,22))&lt;&gt;""),'Feijão 2ª safra'!$E8:INDEX('Feijão 2ª safra'!$E8:$Z8,MIN(AX$6-$G$3,22))),0)))))</f>
        <v>0</v>
      </c>
      <c r="AY10" s="27" t="n">
        <f aca="false">IF(COUNT('Feijão 2ª safra'!$E8:$Z8)=0,0,MAX(0,IF((AY$6-$E$3)&lt;1,0,IFERROR(LOOKUP(2,1/('Feijão 2ª safra'!$E8:INDEX('Feijão 2ª safra'!$E8:$Z8,MIN(AY$6-$E$3,22))&lt;&gt;""),'Feijão 2ª safra'!$E8:INDEX('Feijão 2ª safra'!$E8:$Z8,MIN(AY$6-$E$3,22))),0))-IF($G$2,0,IF((AY$6-$G$3)&lt;1,0,IFERROR(LOOKUP(2,1/('Feijão 2ª safra'!$E8:INDEX('Feijão 2ª safra'!$E8:$Z8,MIN(AY$6-$G$3,22))&lt;&gt;""),'Feijão 2ª safra'!$E8:INDEX('Feijão 2ª safra'!$E8:$Z8,MIN(AY$6-$G$3,22))),0)))))</f>
        <v>0</v>
      </c>
      <c r="AZ10" s="27" t="n">
        <f aca="false">IF(COUNT('Feijão 2ª safra'!$E8:$Z8)=0,0,MAX(0,IF((AZ$6-$E$3)&lt;1,0,IFERROR(LOOKUP(2,1/('Feijão 2ª safra'!$E8:INDEX('Feijão 2ª safra'!$E8:$Z8,MIN(AZ$6-$E$3,22))&lt;&gt;""),'Feijão 2ª safra'!$E8:INDEX('Feijão 2ª safra'!$E8:$Z8,MIN(AZ$6-$E$3,22))),0))-IF($G$2,0,IF((AZ$6-$G$3)&lt;1,0,IFERROR(LOOKUP(2,1/('Feijão 2ª safra'!$E8:INDEX('Feijão 2ª safra'!$E8:$Z8,MIN(AZ$6-$G$3,22))&lt;&gt;""),'Feijão 2ª safra'!$E8:INDEX('Feijão 2ª safra'!$E8:$Z8,MIN(AZ$6-$G$3,22))),0)))))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IF(COUNT('Feijão 2ª safra'!$E9:$Z9)&gt;0,N('Feijão 2ª safra'!$D9),0)</f>
        <v>0</v>
      </c>
      <c r="E11" s="27" t="n">
        <f aca="false">IF(COUNT('Feijão 2ª safra'!$E9:$Z9)=0,0,MAX(0,IF((E$6-$E$3)&lt;1,0,IFERROR(LOOKUP(2,1/('Feijão 2ª safra'!$E9:INDEX('Feijão 2ª safra'!$E9:$Z9,MIN(E$6-$E$3,22))&lt;&gt;""),'Feijão 2ª safra'!$E9:INDEX('Feijão 2ª safra'!$E9:$Z9,MIN(E$6-$E$3,22))),0))-IF($G$2,0,IF((E$6-$G$3)&lt;1,0,IFERROR(LOOKUP(2,1/('Feijão 2ª safra'!$E9:INDEX('Feijão 2ª safra'!$E9:$Z9,MIN(E$6-$G$3,22))&lt;&gt;""),'Feijão 2ª safra'!$E9:INDEX('Feijão 2ª safra'!$E9:$Z9,MIN(E$6-$G$3,22))),0)))))</f>
        <v>0</v>
      </c>
      <c r="F11" s="27" t="n">
        <f aca="false">IF(COUNT('Feijão 2ª safra'!$E9:$Z9)=0,0,MAX(0,IF((F$6-$E$3)&lt;1,0,IFERROR(LOOKUP(2,1/('Feijão 2ª safra'!$E9:INDEX('Feijão 2ª safra'!$E9:$Z9,MIN(F$6-$E$3,22))&lt;&gt;""),'Feijão 2ª safra'!$E9:INDEX('Feijão 2ª safra'!$E9:$Z9,MIN(F$6-$E$3,22))),0))-IF($G$2,0,IF((F$6-$G$3)&lt;1,0,IFERROR(LOOKUP(2,1/('Feijão 2ª safra'!$E9:INDEX('Feijão 2ª safra'!$E9:$Z9,MIN(F$6-$G$3,22))&lt;&gt;""),'Feijão 2ª safra'!$E9:INDEX('Feijão 2ª safra'!$E9:$Z9,MIN(F$6-$G$3,22))),0)))))</f>
        <v>0</v>
      </c>
      <c r="G11" s="27" t="n">
        <f aca="false">IF(COUNT('Feijão 2ª safra'!$E9:$Z9)=0,0,MAX(0,IF((G$6-$E$3)&lt;1,0,IFERROR(LOOKUP(2,1/('Feijão 2ª safra'!$E9:INDEX('Feijão 2ª safra'!$E9:$Z9,MIN(G$6-$E$3,22))&lt;&gt;""),'Feijão 2ª safra'!$E9:INDEX('Feijão 2ª safra'!$E9:$Z9,MIN(G$6-$E$3,22))),0))-IF($G$2,0,IF((G$6-$G$3)&lt;1,0,IFERROR(LOOKUP(2,1/('Feijão 2ª safra'!$E9:INDEX('Feijão 2ª safra'!$E9:$Z9,MIN(G$6-$G$3,22))&lt;&gt;""),'Feijão 2ª safra'!$E9:INDEX('Feijão 2ª safra'!$E9:$Z9,MIN(G$6-$G$3,22))),0)))))</f>
        <v>0</v>
      </c>
      <c r="H11" s="27" t="n">
        <f aca="false">IF(COUNT('Feijão 2ª safra'!$E9:$Z9)=0,0,MAX(0,IF((H$6-$E$3)&lt;1,0,IFERROR(LOOKUP(2,1/('Feijão 2ª safra'!$E9:INDEX('Feijão 2ª safra'!$E9:$Z9,MIN(H$6-$E$3,22))&lt;&gt;""),'Feijão 2ª safra'!$E9:INDEX('Feijão 2ª safra'!$E9:$Z9,MIN(H$6-$E$3,22))),0))-IF($G$2,0,IF((H$6-$G$3)&lt;1,0,IFERROR(LOOKUP(2,1/('Feijão 2ª safra'!$E9:INDEX('Feijão 2ª safra'!$E9:$Z9,MIN(H$6-$G$3,22))&lt;&gt;""),'Feijão 2ª safra'!$E9:INDEX('Feijão 2ª safra'!$E9:$Z9,MIN(H$6-$G$3,22))),0)))))</f>
        <v>0</v>
      </c>
      <c r="I11" s="27" t="n">
        <f aca="false">IF(COUNT('Feijão 2ª safra'!$E9:$Z9)=0,0,MAX(0,IF((I$6-$E$3)&lt;1,0,IFERROR(LOOKUP(2,1/('Feijão 2ª safra'!$E9:INDEX('Feijão 2ª safra'!$E9:$Z9,MIN(I$6-$E$3,22))&lt;&gt;""),'Feijão 2ª safra'!$E9:INDEX('Feijão 2ª safra'!$E9:$Z9,MIN(I$6-$E$3,22))),0))-IF($G$2,0,IF((I$6-$G$3)&lt;1,0,IFERROR(LOOKUP(2,1/('Feijão 2ª safra'!$E9:INDEX('Feijão 2ª safra'!$E9:$Z9,MIN(I$6-$G$3,22))&lt;&gt;""),'Feijão 2ª safra'!$E9:INDEX('Feijão 2ª safra'!$E9:$Z9,MIN(I$6-$G$3,22))),0)))))</f>
        <v>0</v>
      </c>
      <c r="J11" s="27" t="n">
        <f aca="false">IF(COUNT('Feijão 2ª safra'!$E9:$Z9)=0,0,MAX(0,IF((J$6-$E$3)&lt;1,0,IFERROR(LOOKUP(2,1/('Feijão 2ª safra'!$E9:INDEX('Feijão 2ª safra'!$E9:$Z9,MIN(J$6-$E$3,22))&lt;&gt;""),'Feijão 2ª safra'!$E9:INDEX('Feijão 2ª safra'!$E9:$Z9,MIN(J$6-$E$3,22))),0))-IF($G$2,0,IF((J$6-$G$3)&lt;1,0,IFERROR(LOOKUP(2,1/('Feijão 2ª safra'!$E9:INDEX('Feijão 2ª safra'!$E9:$Z9,MIN(J$6-$G$3,22))&lt;&gt;""),'Feijão 2ª safra'!$E9:INDEX('Feijão 2ª safra'!$E9:$Z9,MIN(J$6-$G$3,22))),0)))))</f>
        <v>0</v>
      </c>
      <c r="K11" s="27" t="n">
        <f aca="false">IF(COUNT('Feijão 2ª safra'!$E9:$Z9)=0,0,MAX(0,IF((K$6-$E$3)&lt;1,0,IFERROR(LOOKUP(2,1/('Feijão 2ª safra'!$E9:INDEX('Feijão 2ª safra'!$E9:$Z9,MIN(K$6-$E$3,22))&lt;&gt;""),'Feijão 2ª safra'!$E9:INDEX('Feijão 2ª safra'!$E9:$Z9,MIN(K$6-$E$3,22))),0))-IF($G$2,0,IF((K$6-$G$3)&lt;1,0,IFERROR(LOOKUP(2,1/('Feijão 2ª safra'!$E9:INDEX('Feijão 2ª safra'!$E9:$Z9,MIN(K$6-$G$3,22))&lt;&gt;""),'Feijão 2ª safra'!$E9:INDEX('Feijão 2ª safra'!$E9:$Z9,MIN(K$6-$G$3,22))),0)))))</f>
        <v>0</v>
      </c>
      <c r="L11" s="27" t="n">
        <f aca="false">IF(COUNT('Feijão 2ª safra'!$E9:$Z9)=0,0,MAX(0,IF((L$6-$E$3)&lt;1,0,IFERROR(LOOKUP(2,1/('Feijão 2ª safra'!$E9:INDEX('Feijão 2ª safra'!$E9:$Z9,MIN(L$6-$E$3,22))&lt;&gt;""),'Feijão 2ª safra'!$E9:INDEX('Feijão 2ª safra'!$E9:$Z9,MIN(L$6-$E$3,22))),0))-IF($G$2,0,IF((L$6-$G$3)&lt;1,0,IFERROR(LOOKUP(2,1/('Feijão 2ª safra'!$E9:INDEX('Feijão 2ª safra'!$E9:$Z9,MIN(L$6-$G$3,22))&lt;&gt;""),'Feijão 2ª safra'!$E9:INDEX('Feijão 2ª safra'!$E9:$Z9,MIN(L$6-$G$3,22))),0)))))</f>
        <v>0</v>
      </c>
      <c r="M11" s="27" t="n">
        <f aca="false">IF(COUNT('Feijão 2ª safra'!$E9:$Z9)=0,0,MAX(0,IF((M$6-$E$3)&lt;1,0,IFERROR(LOOKUP(2,1/('Feijão 2ª safra'!$E9:INDEX('Feijão 2ª safra'!$E9:$Z9,MIN(M$6-$E$3,22))&lt;&gt;""),'Feijão 2ª safra'!$E9:INDEX('Feijão 2ª safra'!$E9:$Z9,MIN(M$6-$E$3,22))),0))-IF($G$2,0,IF((M$6-$G$3)&lt;1,0,IFERROR(LOOKUP(2,1/('Feijão 2ª safra'!$E9:INDEX('Feijão 2ª safra'!$E9:$Z9,MIN(M$6-$G$3,22))&lt;&gt;""),'Feijão 2ª safra'!$E9:INDEX('Feijão 2ª safra'!$E9:$Z9,MIN(M$6-$G$3,22))),0)))))</f>
        <v>0</v>
      </c>
      <c r="N11" s="27" t="n">
        <f aca="false">IF(COUNT('Feijão 2ª safra'!$E9:$Z9)=0,0,MAX(0,IF((N$6-$E$3)&lt;1,0,IFERROR(LOOKUP(2,1/('Feijão 2ª safra'!$E9:INDEX('Feijão 2ª safra'!$E9:$Z9,MIN(N$6-$E$3,22))&lt;&gt;""),'Feijão 2ª safra'!$E9:INDEX('Feijão 2ª safra'!$E9:$Z9,MIN(N$6-$E$3,22))),0))-IF($G$2,0,IF((N$6-$G$3)&lt;1,0,IFERROR(LOOKUP(2,1/('Feijão 2ª safra'!$E9:INDEX('Feijão 2ª safra'!$E9:$Z9,MIN(N$6-$G$3,22))&lt;&gt;""),'Feijão 2ª safra'!$E9:INDEX('Feijão 2ª safra'!$E9:$Z9,MIN(N$6-$G$3,22))),0)))))</f>
        <v>0</v>
      </c>
      <c r="O11" s="27" t="n">
        <f aca="false">IF(COUNT('Feijão 2ª safra'!$E9:$Z9)=0,0,MAX(0,IF((O$6-$E$3)&lt;1,0,IFERROR(LOOKUP(2,1/('Feijão 2ª safra'!$E9:INDEX('Feijão 2ª safra'!$E9:$Z9,MIN(O$6-$E$3,22))&lt;&gt;""),'Feijão 2ª safra'!$E9:INDEX('Feijão 2ª safra'!$E9:$Z9,MIN(O$6-$E$3,22))),0))-IF($G$2,0,IF((O$6-$G$3)&lt;1,0,IFERROR(LOOKUP(2,1/('Feijão 2ª safra'!$E9:INDEX('Feijão 2ª safra'!$E9:$Z9,MIN(O$6-$G$3,22))&lt;&gt;""),'Feijão 2ª safra'!$E9:INDEX('Feijão 2ª safra'!$E9:$Z9,MIN(O$6-$G$3,22))),0)))))</f>
        <v>0</v>
      </c>
      <c r="P11" s="27" t="n">
        <f aca="false">IF(COUNT('Feijão 2ª safra'!$E9:$Z9)=0,0,MAX(0,IF((P$6-$E$3)&lt;1,0,IFERROR(LOOKUP(2,1/('Feijão 2ª safra'!$E9:INDEX('Feijão 2ª safra'!$E9:$Z9,MIN(P$6-$E$3,22))&lt;&gt;""),'Feijão 2ª safra'!$E9:INDEX('Feijão 2ª safra'!$E9:$Z9,MIN(P$6-$E$3,22))),0))-IF($G$2,0,IF((P$6-$G$3)&lt;1,0,IFERROR(LOOKUP(2,1/('Feijão 2ª safra'!$E9:INDEX('Feijão 2ª safra'!$E9:$Z9,MIN(P$6-$G$3,22))&lt;&gt;""),'Feijão 2ª safra'!$E9:INDEX('Feijão 2ª safra'!$E9:$Z9,MIN(P$6-$G$3,22))),0)))))</f>
        <v>0</v>
      </c>
      <c r="Q11" s="27" t="n">
        <f aca="false">IF(COUNT('Feijão 2ª safra'!$E9:$Z9)=0,0,MAX(0,IF((Q$6-$E$3)&lt;1,0,IFERROR(LOOKUP(2,1/('Feijão 2ª safra'!$E9:INDEX('Feijão 2ª safra'!$E9:$Z9,MIN(Q$6-$E$3,22))&lt;&gt;""),'Feijão 2ª safra'!$E9:INDEX('Feijão 2ª safra'!$E9:$Z9,MIN(Q$6-$E$3,22))),0))-IF($G$2,0,IF((Q$6-$G$3)&lt;1,0,IFERROR(LOOKUP(2,1/('Feijão 2ª safra'!$E9:INDEX('Feijão 2ª safra'!$E9:$Z9,MIN(Q$6-$G$3,22))&lt;&gt;""),'Feijão 2ª safra'!$E9:INDEX('Feijão 2ª safra'!$E9:$Z9,MIN(Q$6-$G$3,22))),0)))))</f>
        <v>0</v>
      </c>
      <c r="R11" s="27" t="n">
        <f aca="false">IF(COUNT('Feijão 2ª safra'!$E9:$Z9)=0,0,MAX(0,IF((R$6-$E$3)&lt;1,0,IFERROR(LOOKUP(2,1/('Feijão 2ª safra'!$E9:INDEX('Feijão 2ª safra'!$E9:$Z9,MIN(R$6-$E$3,22))&lt;&gt;""),'Feijão 2ª safra'!$E9:INDEX('Feijão 2ª safra'!$E9:$Z9,MIN(R$6-$E$3,22))),0))-IF($G$2,0,IF((R$6-$G$3)&lt;1,0,IFERROR(LOOKUP(2,1/('Feijão 2ª safra'!$E9:INDEX('Feijão 2ª safra'!$E9:$Z9,MIN(R$6-$G$3,22))&lt;&gt;""),'Feijão 2ª safra'!$E9:INDEX('Feijão 2ª safra'!$E9:$Z9,MIN(R$6-$G$3,22))),0)))))</f>
        <v>0</v>
      </c>
      <c r="S11" s="27" t="n">
        <f aca="false">IF(COUNT('Feijão 2ª safra'!$E9:$Z9)=0,0,MAX(0,IF((S$6-$E$3)&lt;1,0,IFERROR(LOOKUP(2,1/('Feijão 2ª safra'!$E9:INDEX('Feijão 2ª safra'!$E9:$Z9,MIN(S$6-$E$3,22))&lt;&gt;""),'Feijão 2ª safra'!$E9:INDEX('Feijão 2ª safra'!$E9:$Z9,MIN(S$6-$E$3,22))),0))-IF($G$2,0,IF((S$6-$G$3)&lt;1,0,IFERROR(LOOKUP(2,1/('Feijão 2ª safra'!$E9:INDEX('Feijão 2ª safra'!$E9:$Z9,MIN(S$6-$G$3,22))&lt;&gt;""),'Feijão 2ª safra'!$E9:INDEX('Feijão 2ª safra'!$E9:$Z9,MIN(S$6-$G$3,22))),0)))))</f>
        <v>0</v>
      </c>
      <c r="T11" s="27" t="n">
        <f aca="false">IF(COUNT('Feijão 2ª safra'!$E9:$Z9)=0,0,MAX(0,IF((T$6-$E$3)&lt;1,0,IFERROR(LOOKUP(2,1/('Feijão 2ª safra'!$E9:INDEX('Feijão 2ª safra'!$E9:$Z9,MIN(T$6-$E$3,22))&lt;&gt;""),'Feijão 2ª safra'!$E9:INDEX('Feijão 2ª safra'!$E9:$Z9,MIN(T$6-$E$3,22))),0))-IF($G$2,0,IF((T$6-$G$3)&lt;1,0,IFERROR(LOOKUP(2,1/('Feijão 2ª safra'!$E9:INDEX('Feijão 2ª safra'!$E9:$Z9,MIN(T$6-$G$3,22))&lt;&gt;""),'Feijão 2ª safra'!$E9:INDEX('Feijão 2ª safra'!$E9:$Z9,MIN(T$6-$G$3,22))),0)))))</f>
        <v>0</v>
      </c>
      <c r="U11" s="27" t="n">
        <f aca="false">IF(COUNT('Feijão 2ª safra'!$E9:$Z9)=0,0,MAX(0,IF((U$6-$E$3)&lt;1,0,IFERROR(LOOKUP(2,1/('Feijão 2ª safra'!$E9:INDEX('Feijão 2ª safra'!$E9:$Z9,MIN(U$6-$E$3,22))&lt;&gt;""),'Feijão 2ª safra'!$E9:INDEX('Feijão 2ª safra'!$E9:$Z9,MIN(U$6-$E$3,22))),0))-IF($G$2,0,IF((U$6-$G$3)&lt;1,0,IFERROR(LOOKUP(2,1/('Feijão 2ª safra'!$E9:INDEX('Feijão 2ª safra'!$E9:$Z9,MIN(U$6-$G$3,22))&lt;&gt;""),'Feijão 2ª safra'!$E9:INDEX('Feijão 2ª safra'!$E9:$Z9,MIN(U$6-$G$3,22))),0)))))</f>
        <v>0</v>
      </c>
      <c r="V11" s="27" t="n">
        <f aca="false">IF(COUNT('Feijão 2ª safra'!$E9:$Z9)=0,0,MAX(0,IF((V$6-$E$3)&lt;1,0,IFERROR(LOOKUP(2,1/('Feijão 2ª safra'!$E9:INDEX('Feijão 2ª safra'!$E9:$Z9,MIN(V$6-$E$3,22))&lt;&gt;""),'Feijão 2ª safra'!$E9:INDEX('Feijão 2ª safra'!$E9:$Z9,MIN(V$6-$E$3,22))),0))-IF($G$2,0,IF((V$6-$G$3)&lt;1,0,IFERROR(LOOKUP(2,1/('Feijão 2ª safra'!$E9:INDEX('Feijão 2ª safra'!$E9:$Z9,MIN(V$6-$G$3,22))&lt;&gt;""),'Feijão 2ª safra'!$E9:INDEX('Feijão 2ª safra'!$E9:$Z9,MIN(V$6-$G$3,22))),0)))))</f>
        <v>0</v>
      </c>
      <c r="W11" s="27" t="n">
        <f aca="false">IF(COUNT('Feijão 2ª safra'!$E9:$Z9)=0,0,MAX(0,IF((W$6-$E$3)&lt;1,0,IFERROR(LOOKUP(2,1/('Feijão 2ª safra'!$E9:INDEX('Feijão 2ª safra'!$E9:$Z9,MIN(W$6-$E$3,22))&lt;&gt;""),'Feijão 2ª safra'!$E9:INDEX('Feijão 2ª safra'!$E9:$Z9,MIN(W$6-$E$3,22))),0))-IF($G$2,0,IF((W$6-$G$3)&lt;1,0,IFERROR(LOOKUP(2,1/('Feijão 2ª safra'!$E9:INDEX('Feijão 2ª safra'!$E9:$Z9,MIN(W$6-$G$3,22))&lt;&gt;""),'Feijão 2ª safra'!$E9:INDEX('Feijão 2ª safra'!$E9:$Z9,MIN(W$6-$G$3,22))),0)))))</f>
        <v>0</v>
      </c>
      <c r="X11" s="27" t="n">
        <f aca="false">IF(COUNT('Feijão 2ª safra'!$E9:$Z9)=0,0,MAX(0,IF((X$6-$E$3)&lt;1,0,IFERROR(LOOKUP(2,1/('Feijão 2ª safra'!$E9:INDEX('Feijão 2ª safra'!$E9:$Z9,MIN(X$6-$E$3,22))&lt;&gt;""),'Feijão 2ª safra'!$E9:INDEX('Feijão 2ª safra'!$E9:$Z9,MIN(X$6-$E$3,22))),0))-IF($G$2,0,IF((X$6-$G$3)&lt;1,0,IFERROR(LOOKUP(2,1/('Feijão 2ª safra'!$E9:INDEX('Feijão 2ª safra'!$E9:$Z9,MIN(X$6-$G$3,22))&lt;&gt;""),'Feijão 2ª safra'!$E9:INDEX('Feijão 2ª safra'!$E9:$Z9,MIN(X$6-$G$3,22))),0)))))</f>
        <v>0</v>
      </c>
      <c r="Y11" s="27" t="n">
        <f aca="false">IF(COUNT('Feijão 2ª safra'!$E9:$Z9)=0,0,MAX(0,IF((Y$6-$E$3)&lt;1,0,IFERROR(LOOKUP(2,1/('Feijão 2ª safra'!$E9:INDEX('Feijão 2ª safra'!$E9:$Z9,MIN(Y$6-$E$3,22))&lt;&gt;""),'Feijão 2ª safra'!$E9:INDEX('Feijão 2ª safra'!$E9:$Z9,MIN(Y$6-$E$3,22))),0))-IF($G$2,0,IF((Y$6-$G$3)&lt;1,0,IFERROR(LOOKUP(2,1/('Feijão 2ª safra'!$E9:INDEX('Feijão 2ª safra'!$E9:$Z9,MIN(Y$6-$G$3,22))&lt;&gt;""),'Feijão 2ª safra'!$E9:INDEX('Feijão 2ª safra'!$E9:$Z9,MIN(Y$6-$G$3,22))),0)))))</f>
        <v>0</v>
      </c>
      <c r="Z11" s="27" t="n">
        <f aca="false">IF(COUNT('Feijão 2ª safra'!$E9:$Z9)=0,0,MAX(0,IF((Z$6-$E$3)&lt;1,0,IFERROR(LOOKUP(2,1/('Feijão 2ª safra'!$E9:INDEX('Feijão 2ª safra'!$E9:$Z9,MIN(Z$6-$E$3,22))&lt;&gt;""),'Feijão 2ª safra'!$E9:INDEX('Feijão 2ª safra'!$E9:$Z9,MIN(Z$6-$E$3,22))),0))-IF($G$2,0,IF((Z$6-$G$3)&lt;1,0,IFERROR(LOOKUP(2,1/('Feijão 2ª safra'!$E9:INDEX('Feijão 2ª safra'!$E9:$Z9,MIN(Z$6-$G$3,22))&lt;&gt;""),'Feijão 2ª safra'!$E9:INDEX('Feijão 2ª safra'!$E9:$Z9,MIN(Z$6-$G$3,22))),0)))))</f>
        <v>0</v>
      </c>
      <c r="AA11" s="27" t="n">
        <f aca="false">IF(COUNT('Feijão 2ª safra'!$E9:$Z9)=0,0,MAX(0,IF((AA$6-$E$3)&lt;1,0,IFERROR(LOOKUP(2,1/('Feijão 2ª safra'!$E9:INDEX('Feijão 2ª safra'!$E9:$Z9,MIN(AA$6-$E$3,22))&lt;&gt;""),'Feijão 2ª safra'!$E9:INDEX('Feijão 2ª safra'!$E9:$Z9,MIN(AA$6-$E$3,22))),0))-IF($G$2,0,IF((AA$6-$G$3)&lt;1,0,IFERROR(LOOKUP(2,1/('Feijão 2ª safra'!$E9:INDEX('Feijão 2ª safra'!$E9:$Z9,MIN(AA$6-$G$3,22))&lt;&gt;""),'Feijão 2ª safra'!$E9:INDEX('Feijão 2ª safra'!$E9:$Z9,MIN(AA$6-$G$3,22))),0)))))</f>
        <v>0</v>
      </c>
      <c r="AB11" s="27" t="n">
        <f aca="false">IF(COUNT('Feijão 2ª safra'!$E9:$Z9)=0,0,MAX(0,IF((AB$6-$E$3)&lt;1,0,IFERROR(LOOKUP(2,1/('Feijão 2ª safra'!$E9:INDEX('Feijão 2ª safra'!$E9:$Z9,MIN(AB$6-$E$3,22))&lt;&gt;""),'Feijão 2ª safra'!$E9:INDEX('Feijão 2ª safra'!$E9:$Z9,MIN(AB$6-$E$3,22))),0))-IF($G$2,0,IF((AB$6-$G$3)&lt;1,0,IFERROR(LOOKUP(2,1/('Feijão 2ª safra'!$E9:INDEX('Feijão 2ª safra'!$E9:$Z9,MIN(AB$6-$G$3,22))&lt;&gt;""),'Feijão 2ª safra'!$E9:INDEX('Feijão 2ª safra'!$E9:$Z9,MIN(AB$6-$G$3,22))),0)))))</f>
        <v>0</v>
      </c>
      <c r="AC11" s="27" t="n">
        <f aca="false">IF(COUNT('Feijão 2ª safra'!$E9:$Z9)=0,0,MAX(0,IF((AC$6-$E$3)&lt;1,0,IFERROR(LOOKUP(2,1/('Feijão 2ª safra'!$E9:INDEX('Feijão 2ª safra'!$E9:$Z9,MIN(AC$6-$E$3,22))&lt;&gt;""),'Feijão 2ª safra'!$E9:INDEX('Feijão 2ª safra'!$E9:$Z9,MIN(AC$6-$E$3,22))),0))-IF($G$2,0,IF((AC$6-$G$3)&lt;1,0,IFERROR(LOOKUP(2,1/('Feijão 2ª safra'!$E9:INDEX('Feijão 2ª safra'!$E9:$Z9,MIN(AC$6-$G$3,22))&lt;&gt;""),'Feijão 2ª safra'!$E9:INDEX('Feijão 2ª safra'!$E9:$Z9,MIN(AC$6-$G$3,22))),0)))))</f>
        <v>0</v>
      </c>
      <c r="AD11" s="27" t="n">
        <f aca="false">IF(COUNT('Feijão 2ª safra'!$E9:$Z9)=0,0,MAX(0,IF((AD$6-$E$3)&lt;1,0,IFERROR(LOOKUP(2,1/('Feijão 2ª safra'!$E9:INDEX('Feijão 2ª safra'!$E9:$Z9,MIN(AD$6-$E$3,22))&lt;&gt;""),'Feijão 2ª safra'!$E9:INDEX('Feijão 2ª safra'!$E9:$Z9,MIN(AD$6-$E$3,22))),0))-IF($G$2,0,IF((AD$6-$G$3)&lt;1,0,IFERROR(LOOKUP(2,1/('Feijão 2ª safra'!$E9:INDEX('Feijão 2ª safra'!$E9:$Z9,MIN(AD$6-$G$3,22))&lt;&gt;""),'Feijão 2ª safra'!$E9:INDEX('Feijão 2ª safra'!$E9:$Z9,MIN(AD$6-$G$3,22))),0)))))</f>
        <v>0</v>
      </c>
      <c r="AE11" s="27" t="n">
        <f aca="false">IF(COUNT('Feijão 2ª safra'!$E9:$Z9)=0,0,MAX(0,IF((AE$6-$E$3)&lt;1,0,IFERROR(LOOKUP(2,1/('Feijão 2ª safra'!$E9:INDEX('Feijão 2ª safra'!$E9:$Z9,MIN(AE$6-$E$3,22))&lt;&gt;""),'Feijão 2ª safra'!$E9:INDEX('Feijão 2ª safra'!$E9:$Z9,MIN(AE$6-$E$3,22))),0))-IF($G$2,0,IF((AE$6-$G$3)&lt;1,0,IFERROR(LOOKUP(2,1/('Feijão 2ª safra'!$E9:INDEX('Feijão 2ª safra'!$E9:$Z9,MIN(AE$6-$G$3,22))&lt;&gt;""),'Feijão 2ª safra'!$E9:INDEX('Feijão 2ª safra'!$E9:$Z9,MIN(AE$6-$G$3,22))),0)))))</f>
        <v>0</v>
      </c>
      <c r="AF11" s="27" t="n">
        <f aca="false">IF(COUNT('Feijão 2ª safra'!$E9:$Z9)=0,0,MAX(0,IF((AF$6-$E$3)&lt;1,0,IFERROR(LOOKUP(2,1/('Feijão 2ª safra'!$E9:INDEX('Feijão 2ª safra'!$E9:$Z9,MIN(AF$6-$E$3,22))&lt;&gt;""),'Feijão 2ª safra'!$E9:INDEX('Feijão 2ª safra'!$E9:$Z9,MIN(AF$6-$E$3,22))),0))-IF($G$2,0,IF((AF$6-$G$3)&lt;1,0,IFERROR(LOOKUP(2,1/('Feijão 2ª safra'!$E9:INDEX('Feijão 2ª safra'!$E9:$Z9,MIN(AF$6-$G$3,22))&lt;&gt;""),'Feijão 2ª safra'!$E9:INDEX('Feijão 2ª safra'!$E9:$Z9,MIN(AF$6-$G$3,22))),0)))))</f>
        <v>0</v>
      </c>
      <c r="AG11" s="27" t="n">
        <f aca="false">IF(COUNT('Feijão 2ª safra'!$E9:$Z9)=0,0,MAX(0,IF((AG$6-$E$3)&lt;1,0,IFERROR(LOOKUP(2,1/('Feijão 2ª safra'!$E9:INDEX('Feijão 2ª safra'!$E9:$Z9,MIN(AG$6-$E$3,22))&lt;&gt;""),'Feijão 2ª safra'!$E9:INDEX('Feijão 2ª safra'!$E9:$Z9,MIN(AG$6-$E$3,22))),0))-IF($G$2,0,IF((AG$6-$G$3)&lt;1,0,IFERROR(LOOKUP(2,1/('Feijão 2ª safra'!$E9:INDEX('Feijão 2ª safra'!$E9:$Z9,MIN(AG$6-$G$3,22))&lt;&gt;""),'Feijão 2ª safra'!$E9:INDEX('Feijão 2ª safra'!$E9:$Z9,MIN(AG$6-$G$3,22))),0)))))</f>
        <v>0</v>
      </c>
      <c r="AH11" s="27" t="n">
        <f aca="false">IF(COUNT('Feijão 2ª safra'!$E9:$Z9)=0,0,MAX(0,IF((AH$6-$E$3)&lt;1,0,IFERROR(LOOKUP(2,1/('Feijão 2ª safra'!$E9:INDEX('Feijão 2ª safra'!$E9:$Z9,MIN(AH$6-$E$3,22))&lt;&gt;""),'Feijão 2ª safra'!$E9:INDEX('Feijão 2ª safra'!$E9:$Z9,MIN(AH$6-$E$3,22))),0))-IF($G$2,0,IF((AH$6-$G$3)&lt;1,0,IFERROR(LOOKUP(2,1/('Feijão 2ª safra'!$E9:INDEX('Feijão 2ª safra'!$E9:$Z9,MIN(AH$6-$G$3,22))&lt;&gt;""),'Feijão 2ª safra'!$E9:INDEX('Feijão 2ª safra'!$E9:$Z9,MIN(AH$6-$G$3,22))),0)))))</f>
        <v>0</v>
      </c>
      <c r="AI11" s="27" t="n">
        <f aca="false">IF(COUNT('Feijão 2ª safra'!$E9:$Z9)=0,0,MAX(0,IF((AI$6-$E$3)&lt;1,0,IFERROR(LOOKUP(2,1/('Feijão 2ª safra'!$E9:INDEX('Feijão 2ª safra'!$E9:$Z9,MIN(AI$6-$E$3,22))&lt;&gt;""),'Feijão 2ª safra'!$E9:INDEX('Feijão 2ª safra'!$E9:$Z9,MIN(AI$6-$E$3,22))),0))-IF($G$2,0,IF((AI$6-$G$3)&lt;1,0,IFERROR(LOOKUP(2,1/('Feijão 2ª safra'!$E9:INDEX('Feijão 2ª safra'!$E9:$Z9,MIN(AI$6-$G$3,22))&lt;&gt;""),'Feijão 2ª safra'!$E9:INDEX('Feijão 2ª safra'!$E9:$Z9,MIN(AI$6-$G$3,22))),0)))))</f>
        <v>0</v>
      </c>
      <c r="AJ11" s="27" t="n">
        <f aca="false">IF(COUNT('Feijão 2ª safra'!$E9:$Z9)=0,0,MAX(0,IF((AJ$6-$E$3)&lt;1,0,IFERROR(LOOKUP(2,1/('Feijão 2ª safra'!$E9:INDEX('Feijão 2ª safra'!$E9:$Z9,MIN(AJ$6-$E$3,22))&lt;&gt;""),'Feijão 2ª safra'!$E9:INDEX('Feijão 2ª safra'!$E9:$Z9,MIN(AJ$6-$E$3,22))),0))-IF($G$2,0,IF((AJ$6-$G$3)&lt;1,0,IFERROR(LOOKUP(2,1/('Feijão 2ª safra'!$E9:INDEX('Feijão 2ª safra'!$E9:$Z9,MIN(AJ$6-$G$3,22))&lt;&gt;""),'Feijão 2ª safra'!$E9:INDEX('Feijão 2ª safra'!$E9:$Z9,MIN(AJ$6-$G$3,22))),0)))))</f>
        <v>0</v>
      </c>
      <c r="AK11" s="27" t="n">
        <f aca="false">IF(COUNT('Feijão 2ª safra'!$E9:$Z9)=0,0,MAX(0,IF((AK$6-$E$3)&lt;1,0,IFERROR(LOOKUP(2,1/('Feijão 2ª safra'!$E9:INDEX('Feijão 2ª safra'!$E9:$Z9,MIN(AK$6-$E$3,22))&lt;&gt;""),'Feijão 2ª safra'!$E9:INDEX('Feijão 2ª safra'!$E9:$Z9,MIN(AK$6-$E$3,22))),0))-IF($G$2,0,IF((AK$6-$G$3)&lt;1,0,IFERROR(LOOKUP(2,1/('Feijão 2ª safra'!$E9:INDEX('Feijão 2ª safra'!$E9:$Z9,MIN(AK$6-$G$3,22))&lt;&gt;""),'Feijão 2ª safra'!$E9:INDEX('Feijão 2ª safra'!$E9:$Z9,MIN(AK$6-$G$3,22))),0)))))</f>
        <v>0</v>
      </c>
      <c r="AL11" s="27" t="n">
        <f aca="false">IF(COUNT('Feijão 2ª safra'!$E9:$Z9)=0,0,MAX(0,IF((AL$6-$E$3)&lt;1,0,IFERROR(LOOKUP(2,1/('Feijão 2ª safra'!$E9:INDEX('Feijão 2ª safra'!$E9:$Z9,MIN(AL$6-$E$3,22))&lt;&gt;""),'Feijão 2ª safra'!$E9:INDEX('Feijão 2ª safra'!$E9:$Z9,MIN(AL$6-$E$3,22))),0))-IF($G$2,0,IF((AL$6-$G$3)&lt;1,0,IFERROR(LOOKUP(2,1/('Feijão 2ª safra'!$E9:INDEX('Feijão 2ª safra'!$E9:$Z9,MIN(AL$6-$G$3,22))&lt;&gt;""),'Feijão 2ª safra'!$E9:INDEX('Feijão 2ª safra'!$E9:$Z9,MIN(AL$6-$G$3,22))),0)))))</f>
        <v>0</v>
      </c>
      <c r="AM11" s="27" t="n">
        <f aca="false">IF(COUNT('Feijão 2ª safra'!$E9:$Z9)=0,0,MAX(0,IF((AM$6-$E$3)&lt;1,0,IFERROR(LOOKUP(2,1/('Feijão 2ª safra'!$E9:INDEX('Feijão 2ª safra'!$E9:$Z9,MIN(AM$6-$E$3,22))&lt;&gt;""),'Feijão 2ª safra'!$E9:INDEX('Feijão 2ª safra'!$E9:$Z9,MIN(AM$6-$E$3,22))),0))-IF($G$2,0,IF((AM$6-$G$3)&lt;1,0,IFERROR(LOOKUP(2,1/('Feijão 2ª safra'!$E9:INDEX('Feijão 2ª safra'!$E9:$Z9,MIN(AM$6-$G$3,22))&lt;&gt;""),'Feijão 2ª safra'!$E9:INDEX('Feijão 2ª safra'!$E9:$Z9,MIN(AM$6-$G$3,22))),0)))))</f>
        <v>0</v>
      </c>
      <c r="AN11" s="27" t="n">
        <f aca="false">IF(COUNT('Feijão 2ª safra'!$E9:$Z9)=0,0,MAX(0,IF((AN$6-$E$3)&lt;1,0,IFERROR(LOOKUP(2,1/('Feijão 2ª safra'!$E9:INDEX('Feijão 2ª safra'!$E9:$Z9,MIN(AN$6-$E$3,22))&lt;&gt;""),'Feijão 2ª safra'!$E9:INDEX('Feijão 2ª safra'!$E9:$Z9,MIN(AN$6-$E$3,22))),0))-IF($G$2,0,IF((AN$6-$G$3)&lt;1,0,IFERROR(LOOKUP(2,1/('Feijão 2ª safra'!$E9:INDEX('Feijão 2ª safra'!$E9:$Z9,MIN(AN$6-$G$3,22))&lt;&gt;""),'Feijão 2ª safra'!$E9:INDEX('Feijão 2ª safra'!$E9:$Z9,MIN(AN$6-$G$3,22))),0)))))</f>
        <v>0</v>
      </c>
      <c r="AO11" s="27" t="n">
        <f aca="false">IF(COUNT('Feijão 2ª safra'!$E9:$Z9)=0,0,MAX(0,IF((AO$6-$E$3)&lt;1,0,IFERROR(LOOKUP(2,1/('Feijão 2ª safra'!$E9:INDEX('Feijão 2ª safra'!$E9:$Z9,MIN(AO$6-$E$3,22))&lt;&gt;""),'Feijão 2ª safra'!$E9:INDEX('Feijão 2ª safra'!$E9:$Z9,MIN(AO$6-$E$3,22))),0))-IF($G$2,0,IF((AO$6-$G$3)&lt;1,0,IFERROR(LOOKUP(2,1/('Feijão 2ª safra'!$E9:INDEX('Feijão 2ª safra'!$E9:$Z9,MIN(AO$6-$G$3,22))&lt;&gt;""),'Feijão 2ª safra'!$E9:INDEX('Feijão 2ª safra'!$E9:$Z9,MIN(AO$6-$G$3,22))),0)))))</f>
        <v>0</v>
      </c>
      <c r="AP11" s="27" t="n">
        <f aca="false">IF(COUNT('Feijão 2ª safra'!$E9:$Z9)=0,0,MAX(0,IF((AP$6-$E$3)&lt;1,0,IFERROR(LOOKUP(2,1/('Feijão 2ª safra'!$E9:INDEX('Feijão 2ª safra'!$E9:$Z9,MIN(AP$6-$E$3,22))&lt;&gt;""),'Feijão 2ª safra'!$E9:INDEX('Feijão 2ª safra'!$E9:$Z9,MIN(AP$6-$E$3,22))),0))-IF($G$2,0,IF((AP$6-$G$3)&lt;1,0,IFERROR(LOOKUP(2,1/('Feijão 2ª safra'!$E9:INDEX('Feijão 2ª safra'!$E9:$Z9,MIN(AP$6-$G$3,22))&lt;&gt;""),'Feijão 2ª safra'!$E9:INDEX('Feijão 2ª safra'!$E9:$Z9,MIN(AP$6-$G$3,22))),0)))))</f>
        <v>0</v>
      </c>
      <c r="AQ11" s="27" t="n">
        <f aca="false">IF(COUNT('Feijão 2ª safra'!$E9:$Z9)=0,0,MAX(0,IF((AQ$6-$E$3)&lt;1,0,IFERROR(LOOKUP(2,1/('Feijão 2ª safra'!$E9:INDEX('Feijão 2ª safra'!$E9:$Z9,MIN(AQ$6-$E$3,22))&lt;&gt;""),'Feijão 2ª safra'!$E9:INDEX('Feijão 2ª safra'!$E9:$Z9,MIN(AQ$6-$E$3,22))),0))-IF($G$2,0,IF((AQ$6-$G$3)&lt;1,0,IFERROR(LOOKUP(2,1/('Feijão 2ª safra'!$E9:INDEX('Feijão 2ª safra'!$E9:$Z9,MIN(AQ$6-$G$3,22))&lt;&gt;""),'Feijão 2ª safra'!$E9:INDEX('Feijão 2ª safra'!$E9:$Z9,MIN(AQ$6-$G$3,22))),0)))))</f>
        <v>0</v>
      </c>
      <c r="AR11" s="27" t="n">
        <f aca="false">IF(COUNT('Feijão 2ª safra'!$E9:$Z9)=0,0,MAX(0,IF((AR$6-$E$3)&lt;1,0,IFERROR(LOOKUP(2,1/('Feijão 2ª safra'!$E9:INDEX('Feijão 2ª safra'!$E9:$Z9,MIN(AR$6-$E$3,22))&lt;&gt;""),'Feijão 2ª safra'!$E9:INDEX('Feijão 2ª safra'!$E9:$Z9,MIN(AR$6-$E$3,22))),0))-IF($G$2,0,IF((AR$6-$G$3)&lt;1,0,IFERROR(LOOKUP(2,1/('Feijão 2ª safra'!$E9:INDEX('Feijão 2ª safra'!$E9:$Z9,MIN(AR$6-$G$3,22))&lt;&gt;""),'Feijão 2ª safra'!$E9:INDEX('Feijão 2ª safra'!$E9:$Z9,MIN(AR$6-$G$3,22))),0)))))</f>
        <v>0</v>
      </c>
      <c r="AS11" s="27" t="n">
        <f aca="false">IF(COUNT('Feijão 2ª safra'!$E9:$Z9)=0,0,MAX(0,IF((AS$6-$E$3)&lt;1,0,IFERROR(LOOKUP(2,1/('Feijão 2ª safra'!$E9:INDEX('Feijão 2ª safra'!$E9:$Z9,MIN(AS$6-$E$3,22))&lt;&gt;""),'Feijão 2ª safra'!$E9:INDEX('Feijão 2ª safra'!$E9:$Z9,MIN(AS$6-$E$3,22))),0))-IF($G$2,0,IF((AS$6-$G$3)&lt;1,0,IFERROR(LOOKUP(2,1/('Feijão 2ª safra'!$E9:INDEX('Feijão 2ª safra'!$E9:$Z9,MIN(AS$6-$G$3,22))&lt;&gt;""),'Feijão 2ª safra'!$E9:INDEX('Feijão 2ª safra'!$E9:$Z9,MIN(AS$6-$G$3,22))),0)))))</f>
        <v>0</v>
      </c>
      <c r="AT11" s="27" t="n">
        <f aca="false">IF(COUNT('Feijão 2ª safra'!$E9:$Z9)=0,0,MAX(0,IF((AT$6-$E$3)&lt;1,0,IFERROR(LOOKUP(2,1/('Feijão 2ª safra'!$E9:INDEX('Feijão 2ª safra'!$E9:$Z9,MIN(AT$6-$E$3,22))&lt;&gt;""),'Feijão 2ª safra'!$E9:INDEX('Feijão 2ª safra'!$E9:$Z9,MIN(AT$6-$E$3,22))),0))-IF($G$2,0,IF((AT$6-$G$3)&lt;1,0,IFERROR(LOOKUP(2,1/('Feijão 2ª safra'!$E9:INDEX('Feijão 2ª safra'!$E9:$Z9,MIN(AT$6-$G$3,22))&lt;&gt;""),'Feijão 2ª safra'!$E9:INDEX('Feijão 2ª safra'!$E9:$Z9,MIN(AT$6-$G$3,22))),0)))))</f>
        <v>0</v>
      </c>
      <c r="AU11" s="27" t="n">
        <f aca="false">IF(COUNT('Feijão 2ª safra'!$E9:$Z9)=0,0,MAX(0,IF((AU$6-$E$3)&lt;1,0,IFERROR(LOOKUP(2,1/('Feijão 2ª safra'!$E9:INDEX('Feijão 2ª safra'!$E9:$Z9,MIN(AU$6-$E$3,22))&lt;&gt;""),'Feijão 2ª safra'!$E9:INDEX('Feijão 2ª safra'!$E9:$Z9,MIN(AU$6-$E$3,22))),0))-IF($G$2,0,IF((AU$6-$G$3)&lt;1,0,IFERROR(LOOKUP(2,1/('Feijão 2ª safra'!$E9:INDEX('Feijão 2ª safra'!$E9:$Z9,MIN(AU$6-$G$3,22))&lt;&gt;""),'Feijão 2ª safra'!$E9:INDEX('Feijão 2ª safra'!$E9:$Z9,MIN(AU$6-$G$3,22))),0)))))</f>
        <v>0</v>
      </c>
      <c r="AV11" s="27" t="n">
        <f aca="false">IF(COUNT('Feijão 2ª safra'!$E9:$Z9)=0,0,MAX(0,IF((AV$6-$E$3)&lt;1,0,IFERROR(LOOKUP(2,1/('Feijão 2ª safra'!$E9:INDEX('Feijão 2ª safra'!$E9:$Z9,MIN(AV$6-$E$3,22))&lt;&gt;""),'Feijão 2ª safra'!$E9:INDEX('Feijão 2ª safra'!$E9:$Z9,MIN(AV$6-$E$3,22))),0))-IF($G$2,0,IF((AV$6-$G$3)&lt;1,0,IFERROR(LOOKUP(2,1/('Feijão 2ª safra'!$E9:INDEX('Feijão 2ª safra'!$E9:$Z9,MIN(AV$6-$G$3,22))&lt;&gt;""),'Feijão 2ª safra'!$E9:INDEX('Feijão 2ª safra'!$E9:$Z9,MIN(AV$6-$G$3,22))),0)))))</f>
        <v>0</v>
      </c>
      <c r="AW11" s="27" t="n">
        <f aca="false">IF(COUNT('Feijão 2ª safra'!$E9:$Z9)=0,0,MAX(0,IF((AW$6-$E$3)&lt;1,0,IFERROR(LOOKUP(2,1/('Feijão 2ª safra'!$E9:INDEX('Feijão 2ª safra'!$E9:$Z9,MIN(AW$6-$E$3,22))&lt;&gt;""),'Feijão 2ª safra'!$E9:INDEX('Feijão 2ª safra'!$E9:$Z9,MIN(AW$6-$E$3,22))),0))-IF($G$2,0,IF((AW$6-$G$3)&lt;1,0,IFERROR(LOOKUP(2,1/('Feijão 2ª safra'!$E9:INDEX('Feijão 2ª safra'!$E9:$Z9,MIN(AW$6-$G$3,22))&lt;&gt;""),'Feijão 2ª safra'!$E9:INDEX('Feijão 2ª safra'!$E9:$Z9,MIN(AW$6-$G$3,22))),0)))))</f>
        <v>0</v>
      </c>
      <c r="AX11" s="27" t="n">
        <f aca="false">IF(COUNT('Feijão 2ª safra'!$E9:$Z9)=0,0,MAX(0,IF((AX$6-$E$3)&lt;1,0,IFERROR(LOOKUP(2,1/('Feijão 2ª safra'!$E9:INDEX('Feijão 2ª safra'!$E9:$Z9,MIN(AX$6-$E$3,22))&lt;&gt;""),'Feijão 2ª safra'!$E9:INDEX('Feijão 2ª safra'!$E9:$Z9,MIN(AX$6-$E$3,22))),0))-IF($G$2,0,IF((AX$6-$G$3)&lt;1,0,IFERROR(LOOKUP(2,1/('Feijão 2ª safra'!$E9:INDEX('Feijão 2ª safra'!$E9:$Z9,MIN(AX$6-$G$3,22))&lt;&gt;""),'Feijão 2ª safra'!$E9:INDEX('Feijão 2ª safra'!$E9:$Z9,MIN(AX$6-$G$3,22))),0)))))</f>
        <v>0</v>
      </c>
      <c r="AY11" s="27" t="n">
        <f aca="false">IF(COUNT('Feijão 2ª safra'!$E9:$Z9)=0,0,MAX(0,IF((AY$6-$E$3)&lt;1,0,IFERROR(LOOKUP(2,1/('Feijão 2ª safra'!$E9:INDEX('Feijão 2ª safra'!$E9:$Z9,MIN(AY$6-$E$3,22))&lt;&gt;""),'Feijão 2ª safra'!$E9:INDEX('Feijão 2ª safra'!$E9:$Z9,MIN(AY$6-$E$3,22))),0))-IF($G$2,0,IF((AY$6-$G$3)&lt;1,0,IFERROR(LOOKUP(2,1/('Feijão 2ª safra'!$E9:INDEX('Feijão 2ª safra'!$E9:$Z9,MIN(AY$6-$G$3,22))&lt;&gt;""),'Feijão 2ª safra'!$E9:INDEX('Feijão 2ª safra'!$E9:$Z9,MIN(AY$6-$G$3,22))),0)))))</f>
        <v>0</v>
      </c>
      <c r="AZ11" s="27" t="n">
        <f aca="false">IF(COUNT('Feijão 2ª safra'!$E9:$Z9)=0,0,MAX(0,IF((AZ$6-$E$3)&lt;1,0,IFERROR(LOOKUP(2,1/('Feijão 2ª safra'!$E9:INDEX('Feijão 2ª safra'!$E9:$Z9,MIN(AZ$6-$E$3,22))&lt;&gt;""),'Feijão 2ª safra'!$E9:INDEX('Feijão 2ª safra'!$E9:$Z9,MIN(AZ$6-$E$3,22))),0))-IF($G$2,0,IF((AZ$6-$G$3)&lt;1,0,IFERROR(LOOKUP(2,1/('Feijão 2ª safra'!$E9:INDEX('Feijão 2ª safra'!$E9:$Z9,MIN(AZ$6-$G$3,22))&lt;&gt;""),'Feijão 2ª safra'!$E9:INDEX('Feijão 2ª safra'!$E9:$Z9,MIN(AZ$6-$G$3,22))),0)))))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IF(COUNT('Feijão 2ª safra'!$E10:$Z10)&gt;0,N('Feijão 2ª safra'!$D10),0)</f>
        <v>0</v>
      </c>
      <c r="E12" s="27" t="n">
        <f aca="false">IF(COUNT('Feijão 2ª safra'!$E10:$Z10)=0,0,MAX(0,IF((E$6-$E$3)&lt;1,0,IFERROR(LOOKUP(2,1/('Feijão 2ª safra'!$E10:INDEX('Feijão 2ª safra'!$E10:$Z10,MIN(E$6-$E$3,22))&lt;&gt;""),'Feijão 2ª safra'!$E10:INDEX('Feijão 2ª safra'!$E10:$Z10,MIN(E$6-$E$3,22))),0))-IF($G$2,0,IF((E$6-$G$3)&lt;1,0,IFERROR(LOOKUP(2,1/('Feijão 2ª safra'!$E10:INDEX('Feijão 2ª safra'!$E10:$Z10,MIN(E$6-$G$3,22))&lt;&gt;""),'Feijão 2ª safra'!$E10:INDEX('Feijão 2ª safra'!$E10:$Z10,MIN(E$6-$G$3,22))),0)))))</f>
        <v>0</v>
      </c>
      <c r="F12" s="27" t="n">
        <f aca="false">IF(COUNT('Feijão 2ª safra'!$E10:$Z10)=0,0,MAX(0,IF((F$6-$E$3)&lt;1,0,IFERROR(LOOKUP(2,1/('Feijão 2ª safra'!$E10:INDEX('Feijão 2ª safra'!$E10:$Z10,MIN(F$6-$E$3,22))&lt;&gt;""),'Feijão 2ª safra'!$E10:INDEX('Feijão 2ª safra'!$E10:$Z10,MIN(F$6-$E$3,22))),0))-IF($G$2,0,IF((F$6-$G$3)&lt;1,0,IFERROR(LOOKUP(2,1/('Feijão 2ª safra'!$E10:INDEX('Feijão 2ª safra'!$E10:$Z10,MIN(F$6-$G$3,22))&lt;&gt;""),'Feijão 2ª safra'!$E10:INDEX('Feijão 2ª safra'!$E10:$Z10,MIN(F$6-$G$3,22))),0)))))</f>
        <v>0</v>
      </c>
      <c r="G12" s="27" t="n">
        <f aca="false">IF(COUNT('Feijão 2ª safra'!$E10:$Z10)=0,0,MAX(0,IF((G$6-$E$3)&lt;1,0,IFERROR(LOOKUP(2,1/('Feijão 2ª safra'!$E10:INDEX('Feijão 2ª safra'!$E10:$Z10,MIN(G$6-$E$3,22))&lt;&gt;""),'Feijão 2ª safra'!$E10:INDEX('Feijão 2ª safra'!$E10:$Z10,MIN(G$6-$E$3,22))),0))-IF($G$2,0,IF((G$6-$G$3)&lt;1,0,IFERROR(LOOKUP(2,1/('Feijão 2ª safra'!$E10:INDEX('Feijão 2ª safra'!$E10:$Z10,MIN(G$6-$G$3,22))&lt;&gt;""),'Feijão 2ª safra'!$E10:INDEX('Feijão 2ª safra'!$E10:$Z10,MIN(G$6-$G$3,22))),0)))))</f>
        <v>0</v>
      </c>
      <c r="H12" s="27" t="n">
        <f aca="false">IF(COUNT('Feijão 2ª safra'!$E10:$Z10)=0,0,MAX(0,IF((H$6-$E$3)&lt;1,0,IFERROR(LOOKUP(2,1/('Feijão 2ª safra'!$E10:INDEX('Feijão 2ª safra'!$E10:$Z10,MIN(H$6-$E$3,22))&lt;&gt;""),'Feijão 2ª safra'!$E10:INDEX('Feijão 2ª safra'!$E10:$Z10,MIN(H$6-$E$3,22))),0))-IF($G$2,0,IF((H$6-$G$3)&lt;1,0,IFERROR(LOOKUP(2,1/('Feijão 2ª safra'!$E10:INDEX('Feijão 2ª safra'!$E10:$Z10,MIN(H$6-$G$3,22))&lt;&gt;""),'Feijão 2ª safra'!$E10:INDEX('Feijão 2ª safra'!$E10:$Z10,MIN(H$6-$G$3,22))),0)))))</f>
        <v>0</v>
      </c>
      <c r="I12" s="27" t="n">
        <f aca="false">IF(COUNT('Feijão 2ª safra'!$E10:$Z10)=0,0,MAX(0,IF((I$6-$E$3)&lt;1,0,IFERROR(LOOKUP(2,1/('Feijão 2ª safra'!$E10:INDEX('Feijão 2ª safra'!$E10:$Z10,MIN(I$6-$E$3,22))&lt;&gt;""),'Feijão 2ª safra'!$E10:INDEX('Feijão 2ª safra'!$E10:$Z10,MIN(I$6-$E$3,22))),0))-IF($G$2,0,IF((I$6-$G$3)&lt;1,0,IFERROR(LOOKUP(2,1/('Feijão 2ª safra'!$E10:INDEX('Feijão 2ª safra'!$E10:$Z10,MIN(I$6-$G$3,22))&lt;&gt;""),'Feijão 2ª safra'!$E10:INDEX('Feijão 2ª safra'!$E10:$Z10,MIN(I$6-$G$3,22))),0)))))</f>
        <v>0</v>
      </c>
      <c r="J12" s="27" t="n">
        <f aca="false">IF(COUNT('Feijão 2ª safra'!$E10:$Z10)=0,0,MAX(0,IF((J$6-$E$3)&lt;1,0,IFERROR(LOOKUP(2,1/('Feijão 2ª safra'!$E10:INDEX('Feijão 2ª safra'!$E10:$Z10,MIN(J$6-$E$3,22))&lt;&gt;""),'Feijão 2ª safra'!$E10:INDEX('Feijão 2ª safra'!$E10:$Z10,MIN(J$6-$E$3,22))),0))-IF($G$2,0,IF((J$6-$G$3)&lt;1,0,IFERROR(LOOKUP(2,1/('Feijão 2ª safra'!$E10:INDEX('Feijão 2ª safra'!$E10:$Z10,MIN(J$6-$G$3,22))&lt;&gt;""),'Feijão 2ª safra'!$E10:INDEX('Feijão 2ª safra'!$E10:$Z10,MIN(J$6-$G$3,22))),0)))))</f>
        <v>0</v>
      </c>
      <c r="K12" s="27" t="n">
        <f aca="false">IF(COUNT('Feijão 2ª safra'!$E10:$Z10)=0,0,MAX(0,IF((K$6-$E$3)&lt;1,0,IFERROR(LOOKUP(2,1/('Feijão 2ª safra'!$E10:INDEX('Feijão 2ª safra'!$E10:$Z10,MIN(K$6-$E$3,22))&lt;&gt;""),'Feijão 2ª safra'!$E10:INDEX('Feijão 2ª safra'!$E10:$Z10,MIN(K$6-$E$3,22))),0))-IF($G$2,0,IF((K$6-$G$3)&lt;1,0,IFERROR(LOOKUP(2,1/('Feijão 2ª safra'!$E10:INDEX('Feijão 2ª safra'!$E10:$Z10,MIN(K$6-$G$3,22))&lt;&gt;""),'Feijão 2ª safra'!$E10:INDEX('Feijão 2ª safra'!$E10:$Z10,MIN(K$6-$G$3,22))),0)))))</f>
        <v>0</v>
      </c>
      <c r="L12" s="27" t="n">
        <f aca="false">IF(COUNT('Feijão 2ª safra'!$E10:$Z10)=0,0,MAX(0,IF((L$6-$E$3)&lt;1,0,IFERROR(LOOKUP(2,1/('Feijão 2ª safra'!$E10:INDEX('Feijão 2ª safra'!$E10:$Z10,MIN(L$6-$E$3,22))&lt;&gt;""),'Feijão 2ª safra'!$E10:INDEX('Feijão 2ª safra'!$E10:$Z10,MIN(L$6-$E$3,22))),0))-IF($G$2,0,IF((L$6-$G$3)&lt;1,0,IFERROR(LOOKUP(2,1/('Feijão 2ª safra'!$E10:INDEX('Feijão 2ª safra'!$E10:$Z10,MIN(L$6-$G$3,22))&lt;&gt;""),'Feijão 2ª safra'!$E10:INDEX('Feijão 2ª safra'!$E10:$Z10,MIN(L$6-$G$3,22))),0)))))</f>
        <v>0</v>
      </c>
      <c r="M12" s="27" t="n">
        <f aca="false">IF(COUNT('Feijão 2ª safra'!$E10:$Z10)=0,0,MAX(0,IF((M$6-$E$3)&lt;1,0,IFERROR(LOOKUP(2,1/('Feijão 2ª safra'!$E10:INDEX('Feijão 2ª safra'!$E10:$Z10,MIN(M$6-$E$3,22))&lt;&gt;""),'Feijão 2ª safra'!$E10:INDEX('Feijão 2ª safra'!$E10:$Z10,MIN(M$6-$E$3,22))),0))-IF($G$2,0,IF((M$6-$G$3)&lt;1,0,IFERROR(LOOKUP(2,1/('Feijão 2ª safra'!$E10:INDEX('Feijão 2ª safra'!$E10:$Z10,MIN(M$6-$G$3,22))&lt;&gt;""),'Feijão 2ª safra'!$E10:INDEX('Feijão 2ª safra'!$E10:$Z10,MIN(M$6-$G$3,22))),0)))))</f>
        <v>0</v>
      </c>
      <c r="N12" s="27" t="n">
        <f aca="false">IF(COUNT('Feijão 2ª safra'!$E10:$Z10)=0,0,MAX(0,IF((N$6-$E$3)&lt;1,0,IFERROR(LOOKUP(2,1/('Feijão 2ª safra'!$E10:INDEX('Feijão 2ª safra'!$E10:$Z10,MIN(N$6-$E$3,22))&lt;&gt;""),'Feijão 2ª safra'!$E10:INDEX('Feijão 2ª safra'!$E10:$Z10,MIN(N$6-$E$3,22))),0))-IF($G$2,0,IF((N$6-$G$3)&lt;1,0,IFERROR(LOOKUP(2,1/('Feijão 2ª safra'!$E10:INDEX('Feijão 2ª safra'!$E10:$Z10,MIN(N$6-$G$3,22))&lt;&gt;""),'Feijão 2ª safra'!$E10:INDEX('Feijão 2ª safra'!$E10:$Z10,MIN(N$6-$G$3,22))),0)))))</f>
        <v>0</v>
      </c>
      <c r="O12" s="27" t="n">
        <f aca="false">IF(COUNT('Feijão 2ª safra'!$E10:$Z10)=0,0,MAX(0,IF((O$6-$E$3)&lt;1,0,IFERROR(LOOKUP(2,1/('Feijão 2ª safra'!$E10:INDEX('Feijão 2ª safra'!$E10:$Z10,MIN(O$6-$E$3,22))&lt;&gt;""),'Feijão 2ª safra'!$E10:INDEX('Feijão 2ª safra'!$E10:$Z10,MIN(O$6-$E$3,22))),0))-IF($G$2,0,IF((O$6-$G$3)&lt;1,0,IFERROR(LOOKUP(2,1/('Feijão 2ª safra'!$E10:INDEX('Feijão 2ª safra'!$E10:$Z10,MIN(O$6-$G$3,22))&lt;&gt;""),'Feijão 2ª safra'!$E10:INDEX('Feijão 2ª safra'!$E10:$Z10,MIN(O$6-$G$3,22))),0)))))</f>
        <v>0</v>
      </c>
      <c r="P12" s="27" t="n">
        <f aca="false">IF(COUNT('Feijão 2ª safra'!$E10:$Z10)=0,0,MAX(0,IF((P$6-$E$3)&lt;1,0,IFERROR(LOOKUP(2,1/('Feijão 2ª safra'!$E10:INDEX('Feijão 2ª safra'!$E10:$Z10,MIN(P$6-$E$3,22))&lt;&gt;""),'Feijão 2ª safra'!$E10:INDEX('Feijão 2ª safra'!$E10:$Z10,MIN(P$6-$E$3,22))),0))-IF($G$2,0,IF((P$6-$G$3)&lt;1,0,IFERROR(LOOKUP(2,1/('Feijão 2ª safra'!$E10:INDEX('Feijão 2ª safra'!$E10:$Z10,MIN(P$6-$G$3,22))&lt;&gt;""),'Feijão 2ª safra'!$E10:INDEX('Feijão 2ª safra'!$E10:$Z10,MIN(P$6-$G$3,22))),0)))))</f>
        <v>0</v>
      </c>
      <c r="Q12" s="27" t="n">
        <f aca="false">IF(COUNT('Feijão 2ª safra'!$E10:$Z10)=0,0,MAX(0,IF((Q$6-$E$3)&lt;1,0,IFERROR(LOOKUP(2,1/('Feijão 2ª safra'!$E10:INDEX('Feijão 2ª safra'!$E10:$Z10,MIN(Q$6-$E$3,22))&lt;&gt;""),'Feijão 2ª safra'!$E10:INDEX('Feijão 2ª safra'!$E10:$Z10,MIN(Q$6-$E$3,22))),0))-IF($G$2,0,IF((Q$6-$G$3)&lt;1,0,IFERROR(LOOKUP(2,1/('Feijão 2ª safra'!$E10:INDEX('Feijão 2ª safra'!$E10:$Z10,MIN(Q$6-$G$3,22))&lt;&gt;""),'Feijão 2ª safra'!$E10:INDEX('Feijão 2ª safra'!$E10:$Z10,MIN(Q$6-$G$3,22))),0)))))</f>
        <v>0</v>
      </c>
      <c r="R12" s="27" t="n">
        <f aca="false">IF(COUNT('Feijão 2ª safra'!$E10:$Z10)=0,0,MAX(0,IF((R$6-$E$3)&lt;1,0,IFERROR(LOOKUP(2,1/('Feijão 2ª safra'!$E10:INDEX('Feijão 2ª safra'!$E10:$Z10,MIN(R$6-$E$3,22))&lt;&gt;""),'Feijão 2ª safra'!$E10:INDEX('Feijão 2ª safra'!$E10:$Z10,MIN(R$6-$E$3,22))),0))-IF($G$2,0,IF((R$6-$G$3)&lt;1,0,IFERROR(LOOKUP(2,1/('Feijão 2ª safra'!$E10:INDEX('Feijão 2ª safra'!$E10:$Z10,MIN(R$6-$G$3,22))&lt;&gt;""),'Feijão 2ª safra'!$E10:INDEX('Feijão 2ª safra'!$E10:$Z10,MIN(R$6-$G$3,22))),0)))))</f>
        <v>0</v>
      </c>
      <c r="S12" s="27" t="n">
        <f aca="false">IF(COUNT('Feijão 2ª safra'!$E10:$Z10)=0,0,MAX(0,IF((S$6-$E$3)&lt;1,0,IFERROR(LOOKUP(2,1/('Feijão 2ª safra'!$E10:INDEX('Feijão 2ª safra'!$E10:$Z10,MIN(S$6-$E$3,22))&lt;&gt;""),'Feijão 2ª safra'!$E10:INDEX('Feijão 2ª safra'!$E10:$Z10,MIN(S$6-$E$3,22))),0))-IF($G$2,0,IF((S$6-$G$3)&lt;1,0,IFERROR(LOOKUP(2,1/('Feijão 2ª safra'!$E10:INDEX('Feijão 2ª safra'!$E10:$Z10,MIN(S$6-$G$3,22))&lt;&gt;""),'Feijão 2ª safra'!$E10:INDEX('Feijão 2ª safra'!$E10:$Z10,MIN(S$6-$G$3,22))),0)))))</f>
        <v>0</v>
      </c>
      <c r="T12" s="27" t="n">
        <f aca="false">IF(COUNT('Feijão 2ª safra'!$E10:$Z10)=0,0,MAX(0,IF((T$6-$E$3)&lt;1,0,IFERROR(LOOKUP(2,1/('Feijão 2ª safra'!$E10:INDEX('Feijão 2ª safra'!$E10:$Z10,MIN(T$6-$E$3,22))&lt;&gt;""),'Feijão 2ª safra'!$E10:INDEX('Feijão 2ª safra'!$E10:$Z10,MIN(T$6-$E$3,22))),0))-IF($G$2,0,IF((T$6-$G$3)&lt;1,0,IFERROR(LOOKUP(2,1/('Feijão 2ª safra'!$E10:INDEX('Feijão 2ª safra'!$E10:$Z10,MIN(T$6-$G$3,22))&lt;&gt;""),'Feijão 2ª safra'!$E10:INDEX('Feijão 2ª safra'!$E10:$Z10,MIN(T$6-$G$3,22))),0)))))</f>
        <v>0</v>
      </c>
      <c r="U12" s="27" t="n">
        <f aca="false">IF(COUNT('Feijão 2ª safra'!$E10:$Z10)=0,0,MAX(0,IF((U$6-$E$3)&lt;1,0,IFERROR(LOOKUP(2,1/('Feijão 2ª safra'!$E10:INDEX('Feijão 2ª safra'!$E10:$Z10,MIN(U$6-$E$3,22))&lt;&gt;""),'Feijão 2ª safra'!$E10:INDEX('Feijão 2ª safra'!$E10:$Z10,MIN(U$6-$E$3,22))),0))-IF($G$2,0,IF((U$6-$G$3)&lt;1,0,IFERROR(LOOKUP(2,1/('Feijão 2ª safra'!$E10:INDEX('Feijão 2ª safra'!$E10:$Z10,MIN(U$6-$G$3,22))&lt;&gt;""),'Feijão 2ª safra'!$E10:INDEX('Feijão 2ª safra'!$E10:$Z10,MIN(U$6-$G$3,22))),0)))))</f>
        <v>0</v>
      </c>
      <c r="V12" s="27" t="n">
        <f aca="false">IF(COUNT('Feijão 2ª safra'!$E10:$Z10)=0,0,MAX(0,IF((V$6-$E$3)&lt;1,0,IFERROR(LOOKUP(2,1/('Feijão 2ª safra'!$E10:INDEX('Feijão 2ª safra'!$E10:$Z10,MIN(V$6-$E$3,22))&lt;&gt;""),'Feijão 2ª safra'!$E10:INDEX('Feijão 2ª safra'!$E10:$Z10,MIN(V$6-$E$3,22))),0))-IF($G$2,0,IF((V$6-$G$3)&lt;1,0,IFERROR(LOOKUP(2,1/('Feijão 2ª safra'!$E10:INDEX('Feijão 2ª safra'!$E10:$Z10,MIN(V$6-$G$3,22))&lt;&gt;""),'Feijão 2ª safra'!$E10:INDEX('Feijão 2ª safra'!$E10:$Z10,MIN(V$6-$G$3,22))),0)))))</f>
        <v>0</v>
      </c>
      <c r="W12" s="27" t="n">
        <f aca="false">IF(COUNT('Feijão 2ª safra'!$E10:$Z10)=0,0,MAX(0,IF((W$6-$E$3)&lt;1,0,IFERROR(LOOKUP(2,1/('Feijão 2ª safra'!$E10:INDEX('Feijão 2ª safra'!$E10:$Z10,MIN(W$6-$E$3,22))&lt;&gt;""),'Feijão 2ª safra'!$E10:INDEX('Feijão 2ª safra'!$E10:$Z10,MIN(W$6-$E$3,22))),0))-IF($G$2,0,IF((W$6-$G$3)&lt;1,0,IFERROR(LOOKUP(2,1/('Feijão 2ª safra'!$E10:INDEX('Feijão 2ª safra'!$E10:$Z10,MIN(W$6-$G$3,22))&lt;&gt;""),'Feijão 2ª safra'!$E10:INDEX('Feijão 2ª safra'!$E10:$Z10,MIN(W$6-$G$3,22))),0)))))</f>
        <v>0</v>
      </c>
      <c r="X12" s="27" t="n">
        <f aca="false">IF(COUNT('Feijão 2ª safra'!$E10:$Z10)=0,0,MAX(0,IF((X$6-$E$3)&lt;1,0,IFERROR(LOOKUP(2,1/('Feijão 2ª safra'!$E10:INDEX('Feijão 2ª safra'!$E10:$Z10,MIN(X$6-$E$3,22))&lt;&gt;""),'Feijão 2ª safra'!$E10:INDEX('Feijão 2ª safra'!$E10:$Z10,MIN(X$6-$E$3,22))),0))-IF($G$2,0,IF((X$6-$G$3)&lt;1,0,IFERROR(LOOKUP(2,1/('Feijão 2ª safra'!$E10:INDEX('Feijão 2ª safra'!$E10:$Z10,MIN(X$6-$G$3,22))&lt;&gt;""),'Feijão 2ª safra'!$E10:INDEX('Feijão 2ª safra'!$E10:$Z10,MIN(X$6-$G$3,22))),0)))))</f>
        <v>0</v>
      </c>
      <c r="Y12" s="27" t="n">
        <f aca="false">IF(COUNT('Feijão 2ª safra'!$E10:$Z10)=0,0,MAX(0,IF((Y$6-$E$3)&lt;1,0,IFERROR(LOOKUP(2,1/('Feijão 2ª safra'!$E10:INDEX('Feijão 2ª safra'!$E10:$Z10,MIN(Y$6-$E$3,22))&lt;&gt;""),'Feijão 2ª safra'!$E10:INDEX('Feijão 2ª safra'!$E10:$Z10,MIN(Y$6-$E$3,22))),0))-IF($G$2,0,IF((Y$6-$G$3)&lt;1,0,IFERROR(LOOKUP(2,1/('Feijão 2ª safra'!$E10:INDEX('Feijão 2ª safra'!$E10:$Z10,MIN(Y$6-$G$3,22))&lt;&gt;""),'Feijão 2ª safra'!$E10:INDEX('Feijão 2ª safra'!$E10:$Z10,MIN(Y$6-$G$3,22))),0)))))</f>
        <v>0</v>
      </c>
      <c r="Z12" s="27" t="n">
        <f aca="false">IF(COUNT('Feijão 2ª safra'!$E10:$Z10)=0,0,MAX(0,IF((Z$6-$E$3)&lt;1,0,IFERROR(LOOKUP(2,1/('Feijão 2ª safra'!$E10:INDEX('Feijão 2ª safra'!$E10:$Z10,MIN(Z$6-$E$3,22))&lt;&gt;""),'Feijão 2ª safra'!$E10:INDEX('Feijão 2ª safra'!$E10:$Z10,MIN(Z$6-$E$3,22))),0))-IF($G$2,0,IF((Z$6-$G$3)&lt;1,0,IFERROR(LOOKUP(2,1/('Feijão 2ª safra'!$E10:INDEX('Feijão 2ª safra'!$E10:$Z10,MIN(Z$6-$G$3,22))&lt;&gt;""),'Feijão 2ª safra'!$E10:INDEX('Feijão 2ª safra'!$E10:$Z10,MIN(Z$6-$G$3,22))),0)))))</f>
        <v>0</v>
      </c>
      <c r="AA12" s="27" t="n">
        <f aca="false">IF(COUNT('Feijão 2ª safra'!$E10:$Z10)=0,0,MAX(0,IF((AA$6-$E$3)&lt;1,0,IFERROR(LOOKUP(2,1/('Feijão 2ª safra'!$E10:INDEX('Feijão 2ª safra'!$E10:$Z10,MIN(AA$6-$E$3,22))&lt;&gt;""),'Feijão 2ª safra'!$E10:INDEX('Feijão 2ª safra'!$E10:$Z10,MIN(AA$6-$E$3,22))),0))-IF($G$2,0,IF((AA$6-$G$3)&lt;1,0,IFERROR(LOOKUP(2,1/('Feijão 2ª safra'!$E10:INDEX('Feijão 2ª safra'!$E10:$Z10,MIN(AA$6-$G$3,22))&lt;&gt;""),'Feijão 2ª safra'!$E10:INDEX('Feijão 2ª safra'!$E10:$Z10,MIN(AA$6-$G$3,22))),0)))))</f>
        <v>0</v>
      </c>
      <c r="AB12" s="27" t="n">
        <f aca="false">IF(COUNT('Feijão 2ª safra'!$E10:$Z10)=0,0,MAX(0,IF((AB$6-$E$3)&lt;1,0,IFERROR(LOOKUP(2,1/('Feijão 2ª safra'!$E10:INDEX('Feijão 2ª safra'!$E10:$Z10,MIN(AB$6-$E$3,22))&lt;&gt;""),'Feijão 2ª safra'!$E10:INDEX('Feijão 2ª safra'!$E10:$Z10,MIN(AB$6-$E$3,22))),0))-IF($G$2,0,IF((AB$6-$G$3)&lt;1,0,IFERROR(LOOKUP(2,1/('Feijão 2ª safra'!$E10:INDEX('Feijão 2ª safra'!$E10:$Z10,MIN(AB$6-$G$3,22))&lt;&gt;""),'Feijão 2ª safra'!$E10:INDEX('Feijão 2ª safra'!$E10:$Z10,MIN(AB$6-$G$3,22))),0)))))</f>
        <v>0</v>
      </c>
      <c r="AC12" s="27" t="n">
        <f aca="false">IF(COUNT('Feijão 2ª safra'!$E10:$Z10)=0,0,MAX(0,IF((AC$6-$E$3)&lt;1,0,IFERROR(LOOKUP(2,1/('Feijão 2ª safra'!$E10:INDEX('Feijão 2ª safra'!$E10:$Z10,MIN(AC$6-$E$3,22))&lt;&gt;""),'Feijão 2ª safra'!$E10:INDEX('Feijão 2ª safra'!$E10:$Z10,MIN(AC$6-$E$3,22))),0))-IF($G$2,0,IF((AC$6-$G$3)&lt;1,0,IFERROR(LOOKUP(2,1/('Feijão 2ª safra'!$E10:INDEX('Feijão 2ª safra'!$E10:$Z10,MIN(AC$6-$G$3,22))&lt;&gt;""),'Feijão 2ª safra'!$E10:INDEX('Feijão 2ª safra'!$E10:$Z10,MIN(AC$6-$G$3,22))),0)))))</f>
        <v>0</v>
      </c>
      <c r="AD12" s="27" t="n">
        <f aca="false">IF(COUNT('Feijão 2ª safra'!$E10:$Z10)=0,0,MAX(0,IF((AD$6-$E$3)&lt;1,0,IFERROR(LOOKUP(2,1/('Feijão 2ª safra'!$E10:INDEX('Feijão 2ª safra'!$E10:$Z10,MIN(AD$6-$E$3,22))&lt;&gt;""),'Feijão 2ª safra'!$E10:INDEX('Feijão 2ª safra'!$E10:$Z10,MIN(AD$6-$E$3,22))),0))-IF($G$2,0,IF((AD$6-$G$3)&lt;1,0,IFERROR(LOOKUP(2,1/('Feijão 2ª safra'!$E10:INDEX('Feijão 2ª safra'!$E10:$Z10,MIN(AD$6-$G$3,22))&lt;&gt;""),'Feijão 2ª safra'!$E10:INDEX('Feijão 2ª safra'!$E10:$Z10,MIN(AD$6-$G$3,22))),0)))))</f>
        <v>0</v>
      </c>
      <c r="AE12" s="27" t="n">
        <f aca="false">IF(COUNT('Feijão 2ª safra'!$E10:$Z10)=0,0,MAX(0,IF((AE$6-$E$3)&lt;1,0,IFERROR(LOOKUP(2,1/('Feijão 2ª safra'!$E10:INDEX('Feijão 2ª safra'!$E10:$Z10,MIN(AE$6-$E$3,22))&lt;&gt;""),'Feijão 2ª safra'!$E10:INDEX('Feijão 2ª safra'!$E10:$Z10,MIN(AE$6-$E$3,22))),0))-IF($G$2,0,IF((AE$6-$G$3)&lt;1,0,IFERROR(LOOKUP(2,1/('Feijão 2ª safra'!$E10:INDEX('Feijão 2ª safra'!$E10:$Z10,MIN(AE$6-$G$3,22))&lt;&gt;""),'Feijão 2ª safra'!$E10:INDEX('Feijão 2ª safra'!$E10:$Z10,MIN(AE$6-$G$3,22))),0)))))</f>
        <v>0</v>
      </c>
      <c r="AF12" s="27" t="n">
        <f aca="false">IF(COUNT('Feijão 2ª safra'!$E10:$Z10)=0,0,MAX(0,IF((AF$6-$E$3)&lt;1,0,IFERROR(LOOKUP(2,1/('Feijão 2ª safra'!$E10:INDEX('Feijão 2ª safra'!$E10:$Z10,MIN(AF$6-$E$3,22))&lt;&gt;""),'Feijão 2ª safra'!$E10:INDEX('Feijão 2ª safra'!$E10:$Z10,MIN(AF$6-$E$3,22))),0))-IF($G$2,0,IF((AF$6-$G$3)&lt;1,0,IFERROR(LOOKUP(2,1/('Feijão 2ª safra'!$E10:INDEX('Feijão 2ª safra'!$E10:$Z10,MIN(AF$6-$G$3,22))&lt;&gt;""),'Feijão 2ª safra'!$E10:INDEX('Feijão 2ª safra'!$E10:$Z10,MIN(AF$6-$G$3,22))),0)))))</f>
        <v>0</v>
      </c>
      <c r="AG12" s="27" t="n">
        <f aca="false">IF(COUNT('Feijão 2ª safra'!$E10:$Z10)=0,0,MAX(0,IF((AG$6-$E$3)&lt;1,0,IFERROR(LOOKUP(2,1/('Feijão 2ª safra'!$E10:INDEX('Feijão 2ª safra'!$E10:$Z10,MIN(AG$6-$E$3,22))&lt;&gt;""),'Feijão 2ª safra'!$E10:INDEX('Feijão 2ª safra'!$E10:$Z10,MIN(AG$6-$E$3,22))),0))-IF($G$2,0,IF((AG$6-$G$3)&lt;1,0,IFERROR(LOOKUP(2,1/('Feijão 2ª safra'!$E10:INDEX('Feijão 2ª safra'!$E10:$Z10,MIN(AG$6-$G$3,22))&lt;&gt;""),'Feijão 2ª safra'!$E10:INDEX('Feijão 2ª safra'!$E10:$Z10,MIN(AG$6-$G$3,22))),0)))))</f>
        <v>0</v>
      </c>
      <c r="AH12" s="27" t="n">
        <f aca="false">IF(COUNT('Feijão 2ª safra'!$E10:$Z10)=0,0,MAX(0,IF((AH$6-$E$3)&lt;1,0,IFERROR(LOOKUP(2,1/('Feijão 2ª safra'!$E10:INDEX('Feijão 2ª safra'!$E10:$Z10,MIN(AH$6-$E$3,22))&lt;&gt;""),'Feijão 2ª safra'!$E10:INDEX('Feijão 2ª safra'!$E10:$Z10,MIN(AH$6-$E$3,22))),0))-IF($G$2,0,IF((AH$6-$G$3)&lt;1,0,IFERROR(LOOKUP(2,1/('Feijão 2ª safra'!$E10:INDEX('Feijão 2ª safra'!$E10:$Z10,MIN(AH$6-$G$3,22))&lt;&gt;""),'Feijão 2ª safra'!$E10:INDEX('Feijão 2ª safra'!$E10:$Z10,MIN(AH$6-$G$3,22))),0)))))</f>
        <v>0</v>
      </c>
      <c r="AI12" s="27" t="n">
        <f aca="false">IF(COUNT('Feijão 2ª safra'!$E10:$Z10)=0,0,MAX(0,IF((AI$6-$E$3)&lt;1,0,IFERROR(LOOKUP(2,1/('Feijão 2ª safra'!$E10:INDEX('Feijão 2ª safra'!$E10:$Z10,MIN(AI$6-$E$3,22))&lt;&gt;""),'Feijão 2ª safra'!$E10:INDEX('Feijão 2ª safra'!$E10:$Z10,MIN(AI$6-$E$3,22))),0))-IF($G$2,0,IF((AI$6-$G$3)&lt;1,0,IFERROR(LOOKUP(2,1/('Feijão 2ª safra'!$E10:INDEX('Feijão 2ª safra'!$E10:$Z10,MIN(AI$6-$G$3,22))&lt;&gt;""),'Feijão 2ª safra'!$E10:INDEX('Feijão 2ª safra'!$E10:$Z10,MIN(AI$6-$G$3,22))),0)))))</f>
        <v>0</v>
      </c>
      <c r="AJ12" s="27" t="n">
        <f aca="false">IF(COUNT('Feijão 2ª safra'!$E10:$Z10)=0,0,MAX(0,IF((AJ$6-$E$3)&lt;1,0,IFERROR(LOOKUP(2,1/('Feijão 2ª safra'!$E10:INDEX('Feijão 2ª safra'!$E10:$Z10,MIN(AJ$6-$E$3,22))&lt;&gt;""),'Feijão 2ª safra'!$E10:INDEX('Feijão 2ª safra'!$E10:$Z10,MIN(AJ$6-$E$3,22))),0))-IF($G$2,0,IF((AJ$6-$G$3)&lt;1,0,IFERROR(LOOKUP(2,1/('Feijão 2ª safra'!$E10:INDEX('Feijão 2ª safra'!$E10:$Z10,MIN(AJ$6-$G$3,22))&lt;&gt;""),'Feijão 2ª safra'!$E10:INDEX('Feijão 2ª safra'!$E10:$Z10,MIN(AJ$6-$G$3,22))),0)))))</f>
        <v>0</v>
      </c>
      <c r="AK12" s="27" t="n">
        <f aca="false">IF(COUNT('Feijão 2ª safra'!$E10:$Z10)=0,0,MAX(0,IF((AK$6-$E$3)&lt;1,0,IFERROR(LOOKUP(2,1/('Feijão 2ª safra'!$E10:INDEX('Feijão 2ª safra'!$E10:$Z10,MIN(AK$6-$E$3,22))&lt;&gt;""),'Feijão 2ª safra'!$E10:INDEX('Feijão 2ª safra'!$E10:$Z10,MIN(AK$6-$E$3,22))),0))-IF($G$2,0,IF((AK$6-$G$3)&lt;1,0,IFERROR(LOOKUP(2,1/('Feijão 2ª safra'!$E10:INDEX('Feijão 2ª safra'!$E10:$Z10,MIN(AK$6-$G$3,22))&lt;&gt;""),'Feijão 2ª safra'!$E10:INDEX('Feijão 2ª safra'!$E10:$Z10,MIN(AK$6-$G$3,22))),0)))))</f>
        <v>0</v>
      </c>
      <c r="AL12" s="27" t="n">
        <f aca="false">IF(COUNT('Feijão 2ª safra'!$E10:$Z10)=0,0,MAX(0,IF((AL$6-$E$3)&lt;1,0,IFERROR(LOOKUP(2,1/('Feijão 2ª safra'!$E10:INDEX('Feijão 2ª safra'!$E10:$Z10,MIN(AL$6-$E$3,22))&lt;&gt;""),'Feijão 2ª safra'!$E10:INDEX('Feijão 2ª safra'!$E10:$Z10,MIN(AL$6-$E$3,22))),0))-IF($G$2,0,IF((AL$6-$G$3)&lt;1,0,IFERROR(LOOKUP(2,1/('Feijão 2ª safra'!$E10:INDEX('Feijão 2ª safra'!$E10:$Z10,MIN(AL$6-$G$3,22))&lt;&gt;""),'Feijão 2ª safra'!$E10:INDEX('Feijão 2ª safra'!$E10:$Z10,MIN(AL$6-$G$3,22))),0)))))</f>
        <v>0</v>
      </c>
      <c r="AM12" s="27" t="n">
        <f aca="false">IF(COUNT('Feijão 2ª safra'!$E10:$Z10)=0,0,MAX(0,IF((AM$6-$E$3)&lt;1,0,IFERROR(LOOKUP(2,1/('Feijão 2ª safra'!$E10:INDEX('Feijão 2ª safra'!$E10:$Z10,MIN(AM$6-$E$3,22))&lt;&gt;""),'Feijão 2ª safra'!$E10:INDEX('Feijão 2ª safra'!$E10:$Z10,MIN(AM$6-$E$3,22))),0))-IF($G$2,0,IF((AM$6-$G$3)&lt;1,0,IFERROR(LOOKUP(2,1/('Feijão 2ª safra'!$E10:INDEX('Feijão 2ª safra'!$E10:$Z10,MIN(AM$6-$G$3,22))&lt;&gt;""),'Feijão 2ª safra'!$E10:INDEX('Feijão 2ª safra'!$E10:$Z10,MIN(AM$6-$G$3,22))),0)))))</f>
        <v>0</v>
      </c>
      <c r="AN12" s="27" t="n">
        <f aca="false">IF(COUNT('Feijão 2ª safra'!$E10:$Z10)=0,0,MAX(0,IF((AN$6-$E$3)&lt;1,0,IFERROR(LOOKUP(2,1/('Feijão 2ª safra'!$E10:INDEX('Feijão 2ª safra'!$E10:$Z10,MIN(AN$6-$E$3,22))&lt;&gt;""),'Feijão 2ª safra'!$E10:INDEX('Feijão 2ª safra'!$E10:$Z10,MIN(AN$6-$E$3,22))),0))-IF($G$2,0,IF((AN$6-$G$3)&lt;1,0,IFERROR(LOOKUP(2,1/('Feijão 2ª safra'!$E10:INDEX('Feijão 2ª safra'!$E10:$Z10,MIN(AN$6-$G$3,22))&lt;&gt;""),'Feijão 2ª safra'!$E10:INDEX('Feijão 2ª safra'!$E10:$Z10,MIN(AN$6-$G$3,22))),0)))))</f>
        <v>0</v>
      </c>
      <c r="AO12" s="27" t="n">
        <f aca="false">IF(COUNT('Feijão 2ª safra'!$E10:$Z10)=0,0,MAX(0,IF((AO$6-$E$3)&lt;1,0,IFERROR(LOOKUP(2,1/('Feijão 2ª safra'!$E10:INDEX('Feijão 2ª safra'!$E10:$Z10,MIN(AO$6-$E$3,22))&lt;&gt;""),'Feijão 2ª safra'!$E10:INDEX('Feijão 2ª safra'!$E10:$Z10,MIN(AO$6-$E$3,22))),0))-IF($G$2,0,IF((AO$6-$G$3)&lt;1,0,IFERROR(LOOKUP(2,1/('Feijão 2ª safra'!$E10:INDEX('Feijão 2ª safra'!$E10:$Z10,MIN(AO$6-$G$3,22))&lt;&gt;""),'Feijão 2ª safra'!$E10:INDEX('Feijão 2ª safra'!$E10:$Z10,MIN(AO$6-$G$3,22))),0)))))</f>
        <v>0</v>
      </c>
      <c r="AP12" s="27" t="n">
        <f aca="false">IF(COUNT('Feijão 2ª safra'!$E10:$Z10)=0,0,MAX(0,IF((AP$6-$E$3)&lt;1,0,IFERROR(LOOKUP(2,1/('Feijão 2ª safra'!$E10:INDEX('Feijão 2ª safra'!$E10:$Z10,MIN(AP$6-$E$3,22))&lt;&gt;""),'Feijão 2ª safra'!$E10:INDEX('Feijão 2ª safra'!$E10:$Z10,MIN(AP$6-$E$3,22))),0))-IF($G$2,0,IF((AP$6-$G$3)&lt;1,0,IFERROR(LOOKUP(2,1/('Feijão 2ª safra'!$E10:INDEX('Feijão 2ª safra'!$E10:$Z10,MIN(AP$6-$G$3,22))&lt;&gt;""),'Feijão 2ª safra'!$E10:INDEX('Feijão 2ª safra'!$E10:$Z10,MIN(AP$6-$G$3,22))),0)))))</f>
        <v>0</v>
      </c>
      <c r="AQ12" s="27" t="n">
        <f aca="false">IF(COUNT('Feijão 2ª safra'!$E10:$Z10)=0,0,MAX(0,IF((AQ$6-$E$3)&lt;1,0,IFERROR(LOOKUP(2,1/('Feijão 2ª safra'!$E10:INDEX('Feijão 2ª safra'!$E10:$Z10,MIN(AQ$6-$E$3,22))&lt;&gt;""),'Feijão 2ª safra'!$E10:INDEX('Feijão 2ª safra'!$E10:$Z10,MIN(AQ$6-$E$3,22))),0))-IF($G$2,0,IF((AQ$6-$G$3)&lt;1,0,IFERROR(LOOKUP(2,1/('Feijão 2ª safra'!$E10:INDEX('Feijão 2ª safra'!$E10:$Z10,MIN(AQ$6-$G$3,22))&lt;&gt;""),'Feijão 2ª safra'!$E10:INDEX('Feijão 2ª safra'!$E10:$Z10,MIN(AQ$6-$G$3,22))),0)))))</f>
        <v>0</v>
      </c>
      <c r="AR12" s="27" t="n">
        <f aca="false">IF(COUNT('Feijão 2ª safra'!$E10:$Z10)=0,0,MAX(0,IF((AR$6-$E$3)&lt;1,0,IFERROR(LOOKUP(2,1/('Feijão 2ª safra'!$E10:INDEX('Feijão 2ª safra'!$E10:$Z10,MIN(AR$6-$E$3,22))&lt;&gt;""),'Feijão 2ª safra'!$E10:INDEX('Feijão 2ª safra'!$E10:$Z10,MIN(AR$6-$E$3,22))),0))-IF($G$2,0,IF((AR$6-$G$3)&lt;1,0,IFERROR(LOOKUP(2,1/('Feijão 2ª safra'!$E10:INDEX('Feijão 2ª safra'!$E10:$Z10,MIN(AR$6-$G$3,22))&lt;&gt;""),'Feijão 2ª safra'!$E10:INDEX('Feijão 2ª safra'!$E10:$Z10,MIN(AR$6-$G$3,22))),0)))))</f>
        <v>0</v>
      </c>
      <c r="AS12" s="27" t="n">
        <f aca="false">IF(COUNT('Feijão 2ª safra'!$E10:$Z10)=0,0,MAX(0,IF((AS$6-$E$3)&lt;1,0,IFERROR(LOOKUP(2,1/('Feijão 2ª safra'!$E10:INDEX('Feijão 2ª safra'!$E10:$Z10,MIN(AS$6-$E$3,22))&lt;&gt;""),'Feijão 2ª safra'!$E10:INDEX('Feijão 2ª safra'!$E10:$Z10,MIN(AS$6-$E$3,22))),0))-IF($G$2,0,IF((AS$6-$G$3)&lt;1,0,IFERROR(LOOKUP(2,1/('Feijão 2ª safra'!$E10:INDEX('Feijão 2ª safra'!$E10:$Z10,MIN(AS$6-$G$3,22))&lt;&gt;""),'Feijão 2ª safra'!$E10:INDEX('Feijão 2ª safra'!$E10:$Z10,MIN(AS$6-$G$3,22))),0)))))</f>
        <v>0</v>
      </c>
      <c r="AT12" s="27" t="n">
        <f aca="false">IF(COUNT('Feijão 2ª safra'!$E10:$Z10)=0,0,MAX(0,IF((AT$6-$E$3)&lt;1,0,IFERROR(LOOKUP(2,1/('Feijão 2ª safra'!$E10:INDEX('Feijão 2ª safra'!$E10:$Z10,MIN(AT$6-$E$3,22))&lt;&gt;""),'Feijão 2ª safra'!$E10:INDEX('Feijão 2ª safra'!$E10:$Z10,MIN(AT$6-$E$3,22))),0))-IF($G$2,0,IF((AT$6-$G$3)&lt;1,0,IFERROR(LOOKUP(2,1/('Feijão 2ª safra'!$E10:INDEX('Feijão 2ª safra'!$E10:$Z10,MIN(AT$6-$G$3,22))&lt;&gt;""),'Feijão 2ª safra'!$E10:INDEX('Feijão 2ª safra'!$E10:$Z10,MIN(AT$6-$G$3,22))),0)))))</f>
        <v>0</v>
      </c>
      <c r="AU12" s="27" t="n">
        <f aca="false">IF(COUNT('Feijão 2ª safra'!$E10:$Z10)=0,0,MAX(0,IF((AU$6-$E$3)&lt;1,0,IFERROR(LOOKUP(2,1/('Feijão 2ª safra'!$E10:INDEX('Feijão 2ª safra'!$E10:$Z10,MIN(AU$6-$E$3,22))&lt;&gt;""),'Feijão 2ª safra'!$E10:INDEX('Feijão 2ª safra'!$E10:$Z10,MIN(AU$6-$E$3,22))),0))-IF($G$2,0,IF((AU$6-$G$3)&lt;1,0,IFERROR(LOOKUP(2,1/('Feijão 2ª safra'!$E10:INDEX('Feijão 2ª safra'!$E10:$Z10,MIN(AU$6-$G$3,22))&lt;&gt;""),'Feijão 2ª safra'!$E10:INDEX('Feijão 2ª safra'!$E10:$Z10,MIN(AU$6-$G$3,22))),0)))))</f>
        <v>0</v>
      </c>
      <c r="AV12" s="27" t="n">
        <f aca="false">IF(COUNT('Feijão 2ª safra'!$E10:$Z10)=0,0,MAX(0,IF((AV$6-$E$3)&lt;1,0,IFERROR(LOOKUP(2,1/('Feijão 2ª safra'!$E10:INDEX('Feijão 2ª safra'!$E10:$Z10,MIN(AV$6-$E$3,22))&lt;&gt;""),'Feijão 2ª safra'!$E10:INDEX('Feijão 2ª safra'!$E10:$Z10,MIN(AV$6-$E$3,22))),0))-IF($G$2,0,IF((AV$6-$G$3)&lt;1,0,IFERROR(LOOKUP(2,1/('Feijão 2ª safra'!$E10:INDEX('Feijão 2ª safra'!$E10:$Z10,MIN(AV$6-$G$3,22))&lt;&gt;""),'Feijão 2ª safra'!$E10:INDEX('Feijão 2ª safra'!$E10:$Z10,MIN(AV$6-$G$3,22))),0)))))</f>
        <v>0</v>
      </c>
      <c r="AW12" s="27" t="n">
        <f aca="false">IF(COUNT('Feijão 2ª safra'!$E10:$Z10)=0,0,MAX(0,IF((AW$6-$E$3)&lt;1,0,IFERROR(LOOKUP(2,1/('Feijão 2ª safra'!$E10:INDEX('Feijão 2ª safra'!$E10:$Z10,MIN(AW$6-$E$3,22))&lt;&gt;""),'Feijão 2ª safra'!$E10:INDEX('Feijão 2ª safra'!$E10:$Z10,MIN(AW$6-$E$3,22))),0))-IF($G$2,0,IF((AW$6-$G$3)&lt;1,0,IFERROR(LOOKUP(2,1/('Feijão 2ª safra'!$E10:INDEX('Feijão 2ª safra'!$E10:$Z10,MIN(AW$6-$G$3,22))&lt;&gt;""),'Feijão 2ª safra'!$E10:INDEX('Feijão 2ª safra'!$E10:$Z10,MIN(AW$6-$G$3,22))),0)))))</f>
        <v>0</v>
      </c>
      <c r="AX12" s="27" t="n">
        <f aca="false">IF(COUNT('Feijão 2ª safra'!$E10:$Z10)=0,0,MAX(0,IF((AX$6-$E$3)&lt;1,0,IFERROR(LOOKUP(2,1/('Feijão 2ª safra'!$E10:INDEX('Feijão 2ª safra'!$E10:$Z10,MIN(AX$6-$E$3,22))&lt;&gt;""),'Feijão 2ª safra'!$E10:INDEX('Feijão 2ª safra'!$E10:$Z10,MIN(AX$6-$E$3,22))),0))-IF($G$2,0,IF((AX$6-$G$3)&lt;1,0,IFERROR(LOOKUP(2,1/('Feijão 2ª safra'!$E10:INDEX('Feijão 2ª safra'!$E10:$Z10,MIN(AX$6-$G$3,22))&lt;&gt;""),'Feijão 2ª safra'!$E10:INDEX('Feijão 2ª safra'!$E10:$Z10,MIN(AX$6-$G$3,22))),0)))))</f>
        <v>0</v>
      </c>
      <c r="AY12" s="27" t="n">
        <f aca="false">IF(COUNT('Feijão 2ª safra'!$E10:$Z10)=0,0,MAX(0,IF((AY$6-$E$3)&lt;1,0,IFERROR(LOOKUP(2,1/('Feijão 2ª safra'!$E10:INDEX('Feijão 2ª safra'!$E10:$Z10,MIN(AY$6-$E$3,22))&lt;&gt;""),'Feijão 2ª safra'!$E10:INDEX('Feijão 2ª safra'!$E10:$Z10,MIN(AY$6-$E$3,22))),0))-IF($G$2,0,IF((AY$6-$G$3)&lt;1,0,IFERROR(LOOKUP(2,1/('Feijão 2ª safra'!$E10:INDEX('Feijão 2ª safra'!$E10:$Z10,MIN(AY$6-$G$3,22))&lt;&gt;""),'Feijão 2ª safra'!$E10:INDEX('Feijão 2ª safra'!$E10:$Z10,MIN(AY$6-$G$3,22))),0)))))</f>
        <v>0</v>
      </c>
      <c r="AZ12" s="27" t="n">
        <f aca="false">IF(COUNT('Feijão 2ª safra'!$E10:$Z10)=0,0,MAX(0,IF((AZ$6-$E$3)&lt;1,0,IFERROR(LOOKUP(2,1/('Feijão 2ª safra'!$E10:INDEX('Feijão 2ª safra'!$E10:$Z10,MIN(AZ$6-$E$3,22))&lt;&gt;""),'Feijão 2ª safra'!$E10:INDEX('Feijão 2ª safra'!$E10:$Z10,MIN(AZ$6-$E$3,22))),0))-IF($G$2,0,IF((AZ$6-$G$3)&lt;1,0,IFERROR(LOOKUP(2,1/('Feijão 2ª safra'!$E10:INDEX('Feijão 2ª safra'!$E10:$Z10,MIN(AZ$6-$G$3,22))&lt;&gt;""),'Feijão 2ª safra'!$E10:INDEX('Feijão 2ª safra'!$E10:$Z10,MIN(AZ$6-$G$3,22))),0)))))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IF(COUNT('Feijão 2ª safra'!$E11:$Z11)&gt;0,N('Feijão 2ª safra'!$D11),0)</f>
        <v>0</v>
      </c>
      <c r="E13" s="27" t="n">
        <f aca="false">IF(COUNT('Feijão 2ª safra'!$E11:$Z11)=0,0,MAX(0,IF((E$6-$E$3)&lt;1,0,IFERROR(LOOKUP(2,1/('Feijão 2ª safra'!$E11:INDEX('Feijão 2ª safra'!$E11:$Z11,MIN(E$6-$E$3,22))&lt;&gt;""),'Feijão 2ª safra'!$E11:INDEX('Feijão 2ª safra'!$E11:$Z11,MIN(E$6-$E$3,22))),0))-IF($G$2,0,IF((E$6-$G$3)&lt;1,0,IFERROR(LOOKUP(2,1/('Feijão 2ª safra'!$E11:INDEX('Feijão 2ª safra'!$E11:$Z11,MIN(E$6-$G$3,22))&lt;&gt;""),'Feijão 2ª safra'!$E11:INDEX('Feijão 2ª safra'!$E11:$Z11,MIN(E$6-$G$3,22))),0)))))</f>
        <v>0</v>
      </c>
      <c r="F13" s="27" t="n">
        <f aca="false">IF(COUNT('Feijão 2ª safra'!$E11:$Z11)=0,0,MAX(0,IF((F$6-$E$3)&lt;1,0,IFERROR(LOOKUP(2,1/('Feijão 2ª safra'!$E11:INDEX('Feijão 2ª safra'!$E11:$Z11,MIN(F$6-$E$3,22))&lt;&gt;""),'Feijão 2ª safra'!$E11:INDEX('Feijão 2ª safra'!$E11:$Z11,MIN(F$6-$E$3,22))),0))-IF($G$2,0,IF((F$6-$G$3)&lt;1,0,IFERROR(LOOKUP(2,1/('Feijão 2ª safra'!$E11:INDEX('Feijão 2ª safra'!$E11:$Z11,MIN(F$6-$G$3,22))&lt;&gt;""),'Feijão 2ª safra'!$E11:INDEX('Feijão 2ª safra'!$E11:$Z11,MIN(F$6-$G$3,22))),0)))))</f>
        <v>0</v>
      </c>
      <c r="G13" s="27" t="n">
        <f aca="false">IF(COUNT('Feijão 2ª safra'!$E11:$Z11)=0,0,MAX(0,IF((G$6-$E$3)&lt;1,0,IFERROR(LOOKUP(2,1/('Feijão 2ª safra'!$E11:INDEX('Feijão 2ª safra'!$E11:$Z11,MIN(G$6-$E$3,22))&lt;&gt;""),'Feijão 2ª safra'!$E11:INDEX('Feijão 2ª safra'!$E11:$Z11,MIN(G$6-$E$3,22))),0))-IF($G$2,0,IF((G$6-$G$3)&lt;1,0,IFERROR(LOOKUP(2,1/('Feijão 2ª safra'!$E11:INDEX('Feijão 2ª safra'!$E11:$Z11,MIN(G$6-$G$3,22))&lt;&gt;""),'Feijão 2ª safra'!$E11:INDEX('Feijão 2ª safra'!$E11:$Z11,MIN(G$6-$G$3,22))),0)))))</f>
        <v>0</v>
      </c>
      <c r="H13" s="27" t="n">
        <f aca="false">IF(COUNT('Feijão 2ª safra'!$E11:$Z11)=0,0,MAX(0,IF((H$6-$E$3)&lt;1,0,IFERROR(LOOKUP(2,1/('Feijão 2ª safra'!$E11:INDEX('Feijão 2ª safra'!$E11:$Z11,MIN(H$6-$E$3,22))&lt;&gt;""),'Feijão 2ª safra'!$E11:INDEX('Feijão 2ª safra'!$E11:$Z11,MIN(H$6-$E$3,22))),0))-IF($G$2,0,IF((H$6-$G$3)&lt;1,0,IFERROR(LOOKUP(2,1/('Feijão 2ª safra'!$E11:INDEX('Feijão 2ª safra'!$E11:$Z11,MIN(H$6-$G$3,22))&lt;&gt;""),'Feijão 2ª safra'!$E11:INDEX('Feijão 2ª safra'!$E11:$Z11,MIN(H$6-$G$3,22))),0)))))</f>
        <v>0</v>
      </c>
      <c r="I13" s="27" t="n">
        <f aca="false">IF(COUNT('Feijão 2ª safra'!$E11:$Z11)=0,0,MAX(0,IF((I$6-$E$3)&lt;1,0,IFERROR(LOOKUP(2,1/('Feijão 2ª safra'!$E11:INDEX('Feijão 2ª safra'!$E11:$Z11,MIN(I$6-$E$3,22))&lt;&gt;""),'Feijão 2ª safra'!$E11:INDEX('Feijão 2ª safra'!$E11:$Z11,MIN(I$6-$E$3,22))),0))-IF($G$2,0,IF((I$6-$G$3)&lt;1,0,IFERROR(LOOKUP(2,1/('Feijão 2ª safra'!$E11:INDEX('Feijão 2ª safra'!$E11:$Z11,MIN(I$6-$G$3,22))&lt;&gt;""),'Feijão 2ª safra'!$E11:INDEX('Feijão 2ª safra'!$E11:$Z11,MIN(I$6-$G$3,22))),0)))))</f>
        <v>0</v>
      </c>
      <c r="J13" s="27" t="n">
        <f aca="false">IF(COUNT('Feijão 2ª safra'!$E11:$Z11)=0,0,MAX(0,IF((J$6-$E$3)&lt;1,0,IFERROR(LOOKUP(2,1/('Feijão 2ª safra'!$E11:INDEX('Feijão 2ª safra'!$E11:$Z11,MIN(J$6-$E$3,22))&lt;&gt;""),'Feijão 2ª safra'!$E11:INDEX('Feijão 2ª safra'!$E11:$Z11,MIN(J$6-$E$3,22))),0))-IF($G$2,0,IF((J$6-$G$3)&lt;1,0,IFERROR(LOOKUP(2,1/('Feijão 2ª safra'!$E11:INDEX('Feijão 2ª safra'!$E11:$Z11,MIN(J$6-$G$3,22))&lt;&gt;""),'Feijão 2ª safra'!$E11:INDEX('Feijão 2ª safra'!$E11:$Z11,MIN(J$6-$G$3,22))),0)))))</f>
        <v>0</v>
      </c>
      <c r="K13" s="27" t="n">
        <f aca="false">IF(COUNT('Feijão 2ª safra'!$E11:$Z11)=0,0,MAX(0,IF((K$6-$E$3)&lt;1,0,IFERROR(LOOKUP(2,1/('Feijão 2ª safra'!$E11:INDEX('Feijão 2ª safra'!$E11:$Z11,MIN(K$6-$E$3,22))&lt;&gt;""),'Feijão 2ª safra'!$E11:INDEX('Feijão 2ª safra'!$E11:$Z11,MIN(K$6-$E$3,22))),0))-IF($G$2,0,IF((K$6-$G$3)&lt;1,0,IFERROR(LOOKUP(2,1/('Feijão 2ª safra'!$E11:INDEX('Feijão 2ª safra'!$E11:$Z11,MIN(K$6-$G$3,22))&lt;&gt;""),'Feijão 2ª safra'!$E11:INDEX('Feijão 2ª safra'!$E11:$Z11,MIN(K$6-$G$3,22))),0)))))</f>
        <v>0</v>
      </c>
      <c r="L13" s="27" t="n">
        <f aca="false">IF(COUNT('Feijão 2ª safra'!$E11:$Z11)=0,0,MAX(0,IF((L$6-$E$3)&lt;1,0,IFERROR(LOOKUP(2,1/('Feijão 2ª safra'!$E11:INDEX('Feijão 2ª safra'!$E11:$Z11,MIN(L$6-$E$3,22))&lt;&gt;""),'Feijão 2ª safra'!$E11:INDEX('Feijão 2ª safra'!$E11:$Z11,MIN(L$6-$E$3,22))),0))-IF($G$2,0,IF((L$6-$G$3)&lt;1,0,IFERROR(LOOKUP(2,1/('Feijão 2ª safra'!$E11:INDEX('Feijão 2ª safra'!$E11:$Z11,MIN(L$6-$G$3,22))&lt;&gt;""),'Feijão 2ª safra'!$E11:INDEX('Feijão 2ª safra'!$E11:$Z11,MIN(L$6-$G$3,22))),0)))))</f>
        <v>0</v>
      </c>
      <c r="M13" s="27" t="n">
        <f aca="false">IF(COUNT('Feijão 2ª safra'!$E11:$Z11)=0,0,MAX(0,IF((M$6-$E$3)&lt;1,0,IFERROR(LOOKUP(2,1/('Feijão 2ª safra'!$E11:INDEX('Feijão 2ª safra'!$E11:$Z11,MIN(M$6-$E$3,22))&lt;&gt;""),'Feijão 2ª safra'!$E11:INDEX('Feijão 2ª safra'!$E11:$Z11,MIN(M$6-$E$3,22))),0))-IF($G$2,0,IF((M$6-$G$3)&lt;1,0,IFERROR(LOOKUP(2,1/('Feijão 2ª safra'!$E11:INDEX('Feijão 2ª safra'!$E11:$Z11,MIN(M$6-$G$3,22))&lt;&gt;""),'Feijão 2ª safra'!$E11:INDEX('Feijão 2ª safra'!$E11:$Z11,MIN(M$6-$G$3,22))),0)))))</f>
        <v>0</v>
      </c>
      <c r="N13" s="27" t="n">
        <f aca="false">IF(COUNT('Feijão 2ª safra'!$E11:$Z11)=0,0,MAX(0,IF((N$6-$E$3)&lt;1,0,IFERROR(LOOKUP(2,1/('Feijão 2ª safra'!$E11:INDEX('Feijão 2ª safra'!$E11:$Z11,MIN(N$6-$E$3,22))&lt;&gt;""),'Feijão 2ª safra'!$E11:INDEX('Feijão 2ª safra'!$E11:$Z11,MIN(N$6-$E$3,22))),0))-IF($G$2,0,IF((N$6-$G$3)&lt;1,0,IFERROR(LOOKUP(2,1/('Feijão 2ª safra'!$E11:INDEX('Feijão 2ª safra'!$E11:$Z11,MIN(N$6-$G$3,22))&lt;&gt;""),'Feijão 2ª safra'!$E11:INDEX('Feijão 2ª safra'!$E11:$Z11,MIN(N$6-$G$3,22))),0)))))</f>
        <v>0</v>
      </c>
      <c r="O13" s="27" t="n">
        <f aca="false">IF(COUNT('Feijão 2ª safra'!$E11:$Z11)=0,0,MAX(0,IF((O$6-$E$3)&lt;1,0,IFERROR(LOOKUP(2,1/('Feijão 2ª safra'!$E11:INDEX('Feijão 2ª safra'!$E11:$Z11,MIN(O$6-$E$3,22))&lt;&gt;""),'Feijão 2ª safra'!$E11:INDEX('Feijão 2ª safra'!$E11:$Z11,MIN(O$6-$E$3,22))),0))-IF($G$2,0,IF((O$6-$G$3)&lt;1,0,IFERROR(LOOKUP(2,1/('Feijão 2ª safra'!$E11:INDEX('Feijão 2ª safra'!$E11:$Z11,MIN(O$6-$G$3,22))&lt;&gt;""),'Feijão 2ª safra'!$E11:INDEX('Feijão 2ª safra'!$E11:$Z11,MIN(O$6-$G$3,22))),0)))))</f>
        <v>0</v>
      </c>
      <c r="P13" s="27" t="n">
        <f aca="false">IF(COUNT('Feijão 2ª safra'!$E11:$Z11)=0,0,MAX(0,IF((P$6-$E$3)&lt;1,0,IFERROR(LOOKUP(2,1/('Feijão 2ª safra'!$E11:INDEX('Feijão 2ª safra'!$E11:$Z11,MIN(P$6-$E$3,22))&lt;&gt;""),'Feijão 2ª safra'!$E11:INDEX('Feijão 2ª safra'!$E11:$Z11,MIN(P$6-$E$3,22))),0))-IF($G$2,0,IF((P$6-$G$3)&lt;1,0,IFERROR(LOOKUP(2,1/('Feijão 2ª safra'!$E11:INDEX('Feijão 2ª safra'!$E11:$Z11,MIN(P$6-$G$3,22))&lt;&gt;""),'Feijão 2ª safra'!$E11:INDEX('Feijão 2ª safra'!$E11:$Z11,MIN(P$6-$G$3,22))),0)))))</f>
        <v>0</v>
      </c>
      <c r="Q13" s="27" t="n">
        <f aca="false">IF(COUNT('Feijão 2ª safra'!$E11:$Z11)=0,0,MAX(0,IF((Q$6-$E$3)&lt;1,0,IFERROR(LOOKUP(2,1/('Feijão 2ª safra'!$E11:INDEX('Feijão 2ª safra'!$E11:$Z11,MIN(Q$6-$E$3,22))&lt;&gt;""),'Feijão 2ª safra'!$E11:INDEX('Feijão 2ª safra'!$E11:$Z11,MIN(Q$6-$E$3,22))),0))-IF($G$2,0,IF((Q$6-$G$3)&lt;1,0,IFERROR(LOOKUP(2,1/('Feijão 2ª safra'!$E11:INDEX('Feijão 2ª safra'!$E11:$Z11,MIN(Q$6-$G$3,22))&lt;&gt;""),'Feijão 2ª safra'!$E11:INDEX('Feijão 2ª safra'!$E11:$Z11,MIN(Q$6-$G$3,22))),0)))))</f>
        <v>0</v>
      </c>
      <c r="R13" s="27" t="n">
        <f aca="false">IF(COUNT('Feijão 2ª safra'!$E11:$Z11)=0,0,MAX(0,IF((R$6-$E$3)&lt;1,0,IFERROR(LOOKUP(2,1/('Feijão 2ª safra'!$E11:INDEX('Feijão 2ª safra'!$E11:$Z11,MIN(R$6-$E$3,22))&lt;&gt;""),'Feijão 2ª safra'!$E11:INDEX('Feijão 2ª safra'!$E11:$Z11,MIN(R$6-$E$3,22))),0))-IF($G$2,0,IF((R$6-$G$3)&lt;1,0,IFERROR(LOOKUP(2,1/('Feijão 2ª safra'!$E11:INDEX('Feijão 2ª safra'!$E11:$Z11,MIN(R$6-$G$3,22))&lt;&gt;""),'Feijão 2ª safra'!$E11:INDEX('Feijão 2ª safra'!$E11:$Z11,MIN(R$6-$G$3,22))),0)))))</f>
        <v>0</v>
      </c>
      <c r="S13" s="27" t="n">
        <f aca="false">IF(COUNT('Feijão 2ª safra'!$E11:$Z11)=0,0,MAX(0,IF((S$6-$E$3)&lt;1,0,IFERROR(LOOKUP(2,1/('Feijão 2ª safra'!$E11:INDEX('Feijão 2ª safra'!$E11:$Z11,MIN(S$6-$E$3,22))&lt;&gt;""),'Feijão 2ª safra'!$E11:INDEX('Feijão 2ª safra'!$E11:$Z11,MIN(S$6-$E$3,22))),0))-IF($G$2,0,IF((S$6-$G$3)&lt;1,0,IFERROR(LOOKUP(2,1/('Feijão 2ª safra'!$E11:INDEX('Feijão 2ª safra'!$E11:$Z11,MIN(S$6-$G$3,22))&lt;&gt;""),'Feijão 2ª safra'!$E11:INDEX('Feijão 2ª safra'!$E11:$Z11,MIN(S$6-$G$3,22))),0)))))</f>
        <v>0</v>
      </c>
      <c r="T13" s="27" t="n">
        <f aca="false">IF(COUNT('Feijão 2ª safra'!$E11:$Z11)=0,0,MAX(0,IF((T$6-$E$3)&lt;1,0,IFERROR(LOOKUP(2,1/('Feijão 2ª safra'!$E11:INDEX('Feijão 2ª safra'!$E11:$Z11,MIN(T$6-$E$3,22))&lt;&gt;""),'Feijão 2ª safra'!$E11:INDEX('Feijão 2ª safra'!$E11:$Z11,MIN(T$6-$E$3,22))),0))-IF($G$2,0,IF((T$6-$G$3)&lt;1,0,IFERROR(LOOKUP(2,1/('Feijão 2ª safra'!$E11:INDEX('Feijão 2ª safra'!$E11:$Z11,MIN(T$6-$G$3,22))&lt;&gt;""),'Feijão 2ª safra'!$E11:INDEX('Feijão 2ª safra'!$E11:$Z11,MIN(T$6-$G$3,22))),0)))))</f>
        <v>0</v>
      </c>
      <c r="U13" s="27" t="n">
        <f aca="false">IF(COUNT('Feijão 2ª safra'!$E11:$Z11)=0,0,MAX(0,IF((U$6-$E$3)&lt;1,0,IFERROR(LOOKUP(2,1/('Feijão 2ª safra'!$E11:INDEX('Feijão 2ª safra'!$E11:$Z11,MIN(U$6-$E$3,22))&lt;&gt;""),'Feijão 2ª safra'!$E11:INDEX('Feijão 2ª safra'!$E11:$Z11,MIN(U$6-$E$3,22))),0))-IF($G$2,0,IF((U$6-$G$3)&lt;1,0,IFERROR(LOOKUP(2,1/('Feijão 2ª safra'!$E11:INDEX('Feijão 2ª safra'!$E11:$Z11,MIN(U$6-$G$3,22))&lt;&gt;""),'Feijão 2ª safra'!$E11:INDEX('Feijão 2ª safra'!$E11:$Z11,MIN(U$6-$G$3,22))),0)))))</f>
        <v>0</v>
      </c>
      <c r="V13" s="27" t="n">
        <f aca="false">IF(COUNT('Feijão 2ª safra'!$E11:$Z11)=0,0,MAX(0,IF((V$6-$E$3)&lt;1,0,IFERROR(LOOKUP(2,1/('Feijão 2ª safra'!$E11:INDEX('Feijão 2ª safra'!$E11:$Z11,MIN(V$6-$E$3,22))&lt;&gt;""),'Feijão 2ª safra'!$E11:INDEX('Feijão 2ª safra'!$E11:$Z11,MIN(V$6-$E$3,22))),0))-IF($G$2,0,IF((V$6-$G$3)&lt;1,0,IFERROR(LOOKUP(2,1/('Feijão 2ª safra'!$E11:INDEX('Feijão 2ª safra'!$E11:$Z11,MIN(V$6-$G$3,22))&lt;&gt;""),'Feijão 2ª safra'!$E11:INDEX('Feijão 2ª safra'!$E11:$Z11,MIN(V$6-$G$3,22))),0)))))</f>
        <v>0</v>
      </c>
      <c r="W13" s="27" t="n">
        <f aca="false">IF(COUNT('Feijão 2ª safra'!$E11:$Z11)=0,0,MAX(0,IF((W$6-$E$3)&lt;1,0,IFERROR(LOOKUP(2,1/('Feijão 2ª safra'!$E11:INDEX('Feijão 2ª safra'!$E11:$Z11,MIN(W$6-$E$3,22))&lt;&gt;""),'Feijão 2ª safra'!$E11:INDEX('Feijão 2ª safra'!$E11:$Z11,MIN(W$6-$E$3,22))),0))-IF($G$2,0,IF((W$6-$G$3)&lt;1,0,IFERROR(LOOKUP(2,1/('Feijão 2ª safra'!$E11:INDEX('Feijão 2ª safra'!$E11:$Z11,MIN(W$6-$G$3,22))&lt;&gt;""),'Feijão 2ª safra'!$E11:INDEX('Feijão 2ª safra'!$E11:$Z11,MIN(W$6-$G$3,22))),0)))))</f>
        <v>0</v>
      </c>
      <c r="X13" s="27" t="n">
        <f aca="false">IF(COUNT('Feijão 2ª safra'!$E11:$Z11)=0,0,MAX(0,IF((X$6-$E$3)&lt;1,0,IFERROR(LOOKUP(2,1/('Feijão 2ª safra'!$E11:INDEX('Feijão 2ª safra'!$E11:$Z11,MIN(X$6-$E$3,22))&lt;&gt;""),'Feijão 2ª safra'!$E11:INDEX('Feijão 2ª safra'!$E11:$Z11,MIN(X$6-$E$3,22))),0))-IF($G$2,0,IF((X$6-$G$3)&lt;1,0,IFERROR(LOOKUP(2,1/('Feijão 2ª safra'!$E11:INDEX('Feijão 2ª safra'!$E11:$Z11,MIN(X$6-$G$3,22))&lt;&gt;""),'Feijão 2ª safra'!$E11:INDEX('Feijão 2ª safra'!$E11:$Z11,MIN(X$6-$G$3,22))),0)))))</f>
        <v>0</v>
      </c>
      <c r="Y13" s="27" t="n">
        <f aca="false">IF(COUNT('Feijão 2ª safra'!$E11:$Z11)=0,0,MAX(0,IF((Y$6-$E$3)&lt;1,0,IFERROR(LOOKUP(2,1/('Feijão 2ª safra'!$E11:INDEX('Feijão 2ª safra'!$E11:$Z11,MIN(Y$6-$E$3,22))&lt;&gt;""),'Feijão 2ª safra'!$E11:INDEX('Feijão 2ª safra'!$E11:$Z11,MIN(Y$6-$E$3,22))),0))-IF($G$2,0,IF((Y$6-$G$3)&lt;1,0,IFERROR(LOOKUP(2,1/('Feijão 2ª safra'!$E11:INDEX('Feijão 2ª safra'!$E11:$Z11,MIN(Y$6-$G$3,22))&lt;&gt;""),'Feijão 2ª safra'!$E11:INDEX('Feijão 2ª safra'!$E11:$Z11,MIN(Y$6-$G$3,22))),0)))))</f>
        <v>0</v>
      </c>
      <c r="Z13" s="27" t="n">
        <f aca="false">IF(COUNT('Feijão 2ª safra'!$E11:$Z11)=0,0,MAX(0,IF((Z$6-$E$3)&lt;1,0,IFERROR(LOOKUP(2,1/('Feijão 2ª safra'!$E11:INDEX('Feijão 2ª safra'!$E11:$Z11,MIN(Z$6-$E$3,22))&lt;&gt;""),'Feijão 2ª safra'!$E11:INDEX('Feijão 2ª safra'!$E11:$Z11,MIN(Z$6-$E$3,22))),0))-IF($G$2,0,IF((Z$6-$G$3)&lt;1,0,IFERROR(LOOKUP(2,1/('Feijão 2ª safra'!$E11:INDEX('Feijão 2ª safra'!$E11:$Z11,MIN(Z$6-$G$3,22))&lt;&gt;""),'Feijão 2ª safra'!$E11:INDEX('Feijão 2ª safra'!$E11:$Z11,MIN(Z$6-$G$3,22))),0)))))</f>
        <v>0</v>
      </c>
      <c r="AA13" s="27" t="n">
        <f aca="false">IF(COUNT('Feijão 2ª safra'!$E11:$Z11)=0,0,MAX(0,IF((AA$6-$E$3)&lt;1,0,IFERROR(LOOKUP(2,1/('Feijão 2ª safra'!$E11:INDEX('Feijão 2ª safra'!$E11:$Z11,MIN(AA$6-$E$3,22))&lt;&gt;""),'Feijão 2ª safra'!$E11:INDEX('Feijão 2ª safra'!$E11:$Z11,MIN(AA$6-$E$3,22))),0))-IF($G$2,0,IF((AA$6-$G$3)&lt;1,0,IFERROR(LOOKUP(2,1/('Feijão 2ª safra'!$E11:INDEX('Feijão 2ª safra'!$E11:$Z11,MIN(AA$6-$G$3,22))&lt;&gt;""),'Feijão 2ª safra'!$E11:INDEX('Feijão 2ª safra'!$E11:$Z11,MIN(AA$6-$G$3,22))),0)))))</f>
        <v>0</v>
      </c>
      <c r="AB13" s="27" t="n">
        <f aca="false">IF(COUNT('Feijão 2ª safra'!$E11:$Z11)=0,0,MAX(0,IF((AB$6-$E$3)&lt;1,0,IFERROR(LOOKUP(2,1/('Feijão 2ª safra'!$E11:INDEX('Feijão 2ª safra'!$E11:$Z11,MIN(AB$6-$E$3,22))&lt;&gt;""),'Feijão 2ª safra'!$E11:INDEX('Feijão 2ª safra'!$E11:$Z11,MIN(AB$6-$E$3,22))),0))-IF($G$2,0,IF((AB$6-$G$3)&lt;1,0,IFERROR(LOOKUP(2,1/('Feijão 2ª safra'!$E11:INDEX('Feijão 2ª safra'!$E11:$Z11,MIN(AB$6-$G$3,22))&lt;&gt;""),'Feijão 2ª safra'!$E11:INDEX('Feijão 2ª safra'!$E11:$Z11,MIN(AB$6-$G$3,22))),0)))))</f>
        <v>0</v>
      </c>
      <c r="AC13" s="27" t="n">
        <f aca="false">IF(COUNT('Feijão 2ª safra'!$E11:$Z11)=0,0,MAX(0,IF((AC$6-$E$3)&lt;1,0,IFERROR(LOOKUP(2,1/('Feijão 2ª safra'!$E11:INDEX('Feijão 2ª safra'!$E11:$Z11,MIN(AC$6-$E$3,22))&lt;&gt;""),'Feijão 2ª safra'!$E11:INDEX('Feijão 2ª safra'!$E11:$Z11,MIN(AC$6-$E$3,22))),0))-IF($G$2,0,IF((AC$6-$G$3)&lt;1,0,IFERROR(LOOKUP(2,1/('Feijão 2ª safra'!$E11:INDEX('Feijão 2ª safra'!$E11:$Z11,MIN(AC$6-$G$3,22))&lt;&gt;""),'Feijão 2ª safra'!$E11:INDEX('Feijão 2ª safra'!$E11:$Z11,MIN(AC$6-$G$3,22))),0)))))</f>
        <v>0</v>
      </c>
      <c r="AD13" s="27" t="n">
        <f aca="false">IF(COUNT('Feijão 2ª safra'!$E11:$Z11)=0,0,MAX(0,IF((AD$6-$E$3)&lt;1,0,IFERROR(LOOKUP(2,1/('Feijão 2ª safra'!$E11:INDEX('Feijão 2ª safra'!$E11:$Z11,MIN(AD$6-$E$3,22))&lt;&gt;""),'Feijão 2ª safra'!$E11:INDEX('Feijão 2ª safra'!$E11:$Z11,MIN(AD$6-$E$3,22))),0))-IF($G$2,0,IF((AD$6-$G$3)&lt;1,0,IFERROR(LOOKUP(2,1/('Feijão 2ª safra'!$E11:INDEX('Feijão 2ª safra'!$E11:$Z11,MIN(AD$6-$G$3,22))&lt;&gt;""),'Feijão 2ª safra'!$E11:INDEX('Feijão 2ª safra'!$E11:$Z11,MIN(AD$6-$G$3,22))),0)))))</f>
        <v>0</v>
      </c>
      <c r="AE13" s="27" t="n">
        <f aca="false">IF(COUNT('Feijão 2ª safra'!$E11:$Z11)=0,0,MAX(0,IF((AE$6-$E$3)&lt;1,0,IFERROR(LOOKUP(2,1/('Feijão 2ª safra'!$E11:INDEX('Feijão 2ª safra'!$E11:$Z11,MIN(AE$6-$E$3,22))&lt;&gt;""),'Feijão 2ª safra'!$E11:INDEX('Feijão 2ª safra'!$E11:$Z11,MIN(AE$6-$E$3,22))),0))-IF($G$2,0,IF((AE$6-$G$3)&lt;1,0,IFERROR(LOOKUP(2,1/('Feijão 2ª safra'!$E11:INDEX('Feijão 2ª safra'!$E11:$Z11,MIN(AE$6-$G$3,22))&lt;&gt;""),'Feijão 2ª safra'!$E11:INDEX('Feijão 2ª safra'!$E11:$Z11,MIN(AE$6-$G$3,22))),0)))))</f>
        <v>0</v>
      </c>
      <c r="AF13" s="27" t="n">
        <f aca="false">IF(COUNT('Feijão 2ª safra'!$E11:$Z11)=0,0,MAX(0,IF((AF$6-$E$3)&lt;1,0,IFERROR(LOOKUP(2,1/('Feijão 2ª safra'!$E11:INDEX('Feijão 2ª safra'!$E11:$Z11,MIN(AF$6-$E$3,22))&lt;&gt;""),'Feijão 2ª safra'!$E11:INDEX('Feijão 2ª safra'!$E11:$Z11,MIN(AF$6-$E$3,22))),0))-IF($G$2,0,IF((AF$6-$G$3)&lt;1,0,IFERROR(LOOKUP(2,1/('Feijão 2ª safra'!$E11:INDEX('Feijão 2ª safra'!$E11:$Z11,MIN(AF$6-$G$3,22))&lt;&gt;""),'Feijão 2ª safra'!$E11:INDEX('Feijão 2ª safra'!$E11:$Z11,MIN(AF$6-$G$3,22))),0)))))</f>
        <v>0</v>
      </c>
      <c r="AG13" s="27" t="n">
        <f aca="false">IF(COUNT('Feijão 2ª safra'!$E11:$Z11)=0,0,MAX(0,IF((AG$6-$E$3)&lt;1,0,IFERROR(LOOKUP(2,1/('Feijão 2ª safra'!$E11:INDEX('Feijão 2ª safra'!$E11:$Z11,MIN(AG$6-$E$3,22))&lt;&gt;""),'Feijão 2ª safra'!$E11:INDEX('Feijão 2ª safra'!$E11:$Z11,MIN(AG$6-$E$3,22))),0))-IF($G$2,0,IF((AG$6-$G$3)&lt;1,0,IFERROR(LOOKUP(2,1/('Feijão 2ª safra'!$E11:INDEX('Feijão 2ª safra'!$E11:$Z11,MIN(AG$6-$G$3,22))&lt;&gt;""),'Feijão 2ª safra'!$E11:INDEX('Feijão 2ª safra'!$E11:$Z11,MIN(AG$6-$G$3,22))),0)))))</f>
        <v>0</v>
      </c>
      <c r="AH13" s="27" t="n">
        <f aca="false">IF(COUNT('Feijão 2ª safra'!$E11:$Z11)=0,0,MAX(0,IF((AH$6-$E$3)&lt;1,0,IFERROR(LOOKUP(2,1/('Feijão 2ª safra'!$E11:INDEX('Feijão 2ª safra'!$E11:$Z11,MIN(AH$6-$E$3,22))&lt;&gt;""),'Feijão 2ª safra'!$E11:INDEX('Feijão 2ª safra'!$E11:$Z11,MIN(AH$6-$E$3,22))),0))-IF($G$2,0,IF((AH$6-$G$3)&lt;1,0,IFERROR(LOOKUP(2,1/('Feijão 2ª safra'!$E11:INDEX('Feijão 2ª safra'!$E11:$Z11,MIN(AH$6-$G$3,22))&lt;&gt;""),'Feijão 2ª safra'!$E11:INDEX('Feijão 2ª safra'!$E11:$Z11,MIN(AH$6-$G$3,22))),0)))))</f>
        <v>0</v>
      </c>
      <c r="AI13" s="27" t="n">
        <f aca="false">IF(COUNT('Feijão 2ª safra'!$E11:$Z11)=0,0,MAX(0,IF((AI$6-$E$3)&lt;1,0,IFERROR(LOOKUP(2,1/('Feijão 2ª safra'!$E11:INDEX('Feijão 2ª safra'!$E11:$Z11,MIN(AI$6-$E$3,22))&lt;&gt;""),'Feijão 2ª safra'!$E11:INDEX('Feijão 2ª safra'!$E11:$Z11,MIN(AI$6-$E$3,22))),0))-IF($G$2,0,IF((AI$6-$G$3)&lt;1,0,IFERROR(LOOKUP(2,1/('Feijão 2ª safra'!$E11:INDEX('Feijão 2ª safra'!$E11:$Z11,MIN(AI$6-$G$3,22))&lt;&gt;""),'Feijão 2ª safra'!$E11:INDEX('Feijão 2ª safra'!$E11:$Z11,MIN(AI$6-$G$3,22))),0)))))</f>
        <v>0</v>
      </c>
      <c r="AJ13" s="27" t="n">
        <f aca="false">IF(COUNT('Feijão 2ª safra'!$E11:$Z11)=0,0,MAX(0,IF((AJ$6-$E$3)&lt;1,0,IFERROR(LOOKUP(2,1/('Feijão 2ª safra'!$E11:INDEX('Feijão 2ª safra'!$E11:$Z11,MIN(AJ$6-$E$3,22))&lt;&gt;""),'Feijão 2ª safra'!$E11:INDEX('Feijão 2ª safra'!$E11:$Z11,MIN(AJ$6-$E$3,22))),0))-IF($G$2,0,IF((AJ$6-$G$3)&lt;1,0,IFERROR(LOOKUP(2,1/('Feijão 2ª safra'!$E11:INDEX('Feijão 2ª safra'!$E11:$Z11,MIN(AJ$6-$G$3,22))&lt;&gt;""),'Feijão 2ª safra'!$E11:INDEX('Feijão 2ª safra'!$E11:$Z11,MIN(AJ$6-$G$3,22))),0)))))</f>
        <v>0</v>
      </c>
      <c r="AK13" s="27" t="n">
        <f aca="false">IF(COUNT('Feijão 2ª safra'!$E11:$Z11)=0,0,MAX(0,IF((AK$6-$E$3)&lt;1,0,IFERROR(LOOKUP(2,1/('Feijão 2ª safra'!$E11:INDEX('Feijão 2ª safra'!$E11:$Z11,MIN(AK$6-$E$3,22))&lt;&gt;""),'Feijão 2ª safra'!$E11:INDEX('Feijão 2ª safra'!$E11:$Z11,MIN(AK$6-$E$3,22))),0))-IF($G$2,0,IF((AK$6-$G$3)&lt;1,0,IFERROR(LOOKUP(2,1/('Feijão 2ª safra'!$E11:INDEX('Feijão 2ª safra'!$E11:$Z11,MIN(AK$6-$G$3,22))&lt;&gt;""),'Feijão 2ª safra'!$E11:INDEX('Feijão 2ª safra'!$E11:$Z11,MIN(AK$6-$G$3,22))),0)))))</f>
        <v>0</v>
      </c>
      <c r="AL13" s="27" t="n">
        <f aca="false">IF(COUNT('Feijão 2ª safra'!$E11:$Z11)=0,0,MAX(0,IF((AL$6-$E$3)&lt;1,0,IFERROR(LOOKUP(2,1/('Feijão 2ª safra'!$E11:INDEX('Feijão 2ª safra'!$E11:$Z11,MIN(AL$6-$E$3,22))&lt;&gt;""),'Feijão 2ª safra'!$E11:INDEX('Feijão 2ª safra'!$E11:$Z11,MIN(AL$6-$E$3,22))),0))-IF($G$2,0,IF((AL$6-$G$3)&lt;1,0,IFERROR(LOOKUP(2,1/('Feijão 2ª safra'!$E11:INDEX('Feijão 2ª safra'!$E11:$Z11,MIN(AL$6-$G$3,22))&lt;&gt;""),'Feijão 2ª safra'!$E11:INDEX('Feijão 2ª safra'!$E11:$Z11,MIN(AL$6-$G$3,22))),0)))))</f>
        <v>0</v>
      </c>
      <c r="AM13" s="27" t="n">
        <f aca="false">IF(COUNT('Feijão 2ª safra'!$E11:$Z11)=0,0,MAX(0,IF((AM$6-$E$3)&lt;1,0,IFERROR(LOOKUP(2,1/('Feijão 2ª safra'!$E11:INDEX('Feijão 2ª safra'!$E11:$Z11,MIN(AM$6-$E$3,22))&lt;&gt;""),'Feijão 2ª safra'!$E11:INDEX('Feijão 2ª safra'!$E11:$Z11,MIN(AM$6-$E$3,22))),0))-IF($G$2,0,IF((AM$6-$G$3)&lt;1,0,IFERROR(LOOKUP(2,1/('Feijão 2ª safra'!$E11:INDEX('Feijão 2ª safra'!$E11:$Z11,MIN(AM$6-$G$3,22))&lt;&gt;""),'Feijão 2ª safra'!$E11:INDEX('Feijão 2ª safra'!$E11:$Z11,MIN(AM$6-$G$3,22))),0)))))</f>
        <v>0</v>
      </c>
      <c r="AN13" s="27" t="n">
        <f aca="false">IF(COUNT('Feijão 2ª safra'!$E11:$Z11)=0,0,MAX(0,IF((AN$6-$E$3)&lt;1,0,IFERROR(LOOKUP(2,1/('Feijão 2ª safra'!$E11:INDEX('Feijão 2ª safra'!$E11:$Z11,MIN(AN$6-$E$3,22))&lt;&gt;""),'Feijão 2ª safra'!$E11:INDEX('Feijão 2ª safra'!$E11:$Z11,MIN(AN$6-$E$3,22))),0))-IF($G$2,0,IF((AN$6-$G$3)&lt;1,0,IFERROR(LOOKUP(2,1/('Feijão 2ª safra'!$E11:INDEX('Feijão 2ª safra'!$E11:$Z11,MIN(AN$6-$G$3,22))&lt;&gt;""),'Feijão 2ª safra'!$E11:INDEX('Feijão 2ª safra'!$E11:$Z11,MIN(AN$6-$G$3,22))),0)))))</f>
        <v>0</v>
      </c>
      <c r="AO13" s="27" t="n">
        <f aca="false">IF(COUNT('Feijão 2ª safra'!$E11:$Z11)=0,0,MAX(0,IF((AO$6-$E$3)&lt;1,0,IFERROR(LOOKUP(2,1/('Feijão 2ª safra'!$E11:INDEX('Feijão 2ª safra'!$E11:$Z11,MIN(AO$6-$E$3,22))&lt;&gt;""),'Feijão 2ª safra'!$E11:INDEX('Feijão 2ª safra'!$E11:$Z11,MIN(AO$6-$E$3,22))),0))-IF($G$2,0,IF((AO$6-$G$3)&lt;1,0,IFERROR(LOOKUP(2,1/('Feijão 2ª safra'!$E11:INDEX('Feijão 2ª safra'!$E11:$Z11,MIN(AO$6-$G$3,22))&lt;&gt;""),'Feijão 2ª safra'!$E11:INDEX('Feijão 2ª safra'!$E11:$Z11,MIN(AO$6-$G$3,22))),0)))))</f>
        <v>0</v>
      </c>
      <c r="AP13" s="27" t="n">
        <f aca="false">IF(COUNT('Feijão 2ª safra'!$E11:$Z11)=0,0,MAX(0,IF((AP$6-$E$3)&lt;1,0,IFERROR(LOOKUP(2,1/('Feijão 2ª safra'!$E11:INDEX('Feijão 2ª safra'!$E11:$Z11,MIN(AP$6-$E$3,22))&lt;&gt;""),'Feijão 2ª safra'!$E11:INDEX('Feijão 2ª safra'!$E11:$Z11,MIN(AP$6-$E$3,22))),0))-IF($G$2,0,IF((AP$6-$G$3)&lt;1,0,IFERROR(LOOKUP(2,1/('Feijão 2ª safra'!$E11:INDEX('Feijão 2ª safra'!$E11:$Z11,MIN(AP$6-$G$3,22))&lt;&gt;""),'Feijão 2ª safra'!$E11:INDEX('Feijão 2ª safra'!$E11:$Z11,MIN(AP$6-$G$3,22))),0)))))</f>
        <v>0</v>
      </c>
      <c r="AQ13" s="27" t="n">
        <f aca="false">IF(COUNT('Feijão 2ª safra'!$E11:$Z11)=0,0,MAX(0,IF((AQ$6-$E$3)&lt;1,0,IFERROR(LOOKUP(2,1/('Feijão 2ª safra'!$E11:INDEX('Feijão 2ª safra'!$E11:$Z11,MIN(AQ$6-$E$3,22))&lt;&gt;""),'Feijão 2ª safra'!$E11:INDEX('Feijão 2ª safra'!$E11:$Z11,MIN(AQ$6-$E$3,22))),0))-IF($G$2,0,IF((AQ$6-$G$3)&lt;1,0,IFERROR(LOOKUP(2,1/('Feijão 2ª safra'!$E11:INDEX('Feijão 2ª safra'!$E11:$Z11,MIN(AQ$6-$G$3,22))&lt;&gt;""),'Feijão 2ª safra'!$E11:INDEX('Feijão 2ª safra'!$E11:$Z11,MIN(AQ$6-$G$3,22))),0)))))</f>
        <v>0</v>
      </c>
      <c r="AR13" s="27" t="n">
        <f aca="false">IF(COUNT('Feijão 2ª safra'!$E11:$Z11)=0,0,MAX(0,IF((AR$6-$E$3)&lt;1,0,IFERROR(LOOKUP(2,1/('Feijão 2ª safra'!$E11:INDEX('Feijão 2ª safra'!$E11:$Z11,MIN(AR$6-$E$3,22))&lt;&gt;""),'Feijão 2ª safra'!$E11:INDEX('Feijão 2ª safra'!$E11:$Z11,MIN(AR$6-$E$3,22))),0))-IF($G$2,0,IF((AR$6-$G$3)&lt;1,0,IFERROR(LOOKUP(2,1/('Feijão 2ª safra'!$E11:INDEX('Feijão 2ª safra'!$E11:$Z11,MIN(AR$6-$G$3,22))&lt;&gt;""),'Feijão 2ª safra'!$E11:INDEX('Feijão 2ª safra'!$E11:$Z11,MIN(AR$6-$G$3,22))),0)))))</f>
        <v>0</v>
      </c>
      <c r="AS13" s="27" t="n">
        <f aca="false">IF(COUNT('Feijão 2ª safra'!$E11:$Z11)=0,0,MAX(0,IF((AS$6-$E$3)&lt;1,0,IFERROR(LOOKUP(2,1/('Feijão 2ª safra'!$E11:INDEX('Feijão 2ª safra'!$E11:$Z11,MIN(AS$6-$E$3,22))&lt;&gt;""),'Feijão 2ª safra'!$E11:INDEX('Feijão 2ª safra'!$E11:$Z11,MIN(AS$6-$E$3,22))),0))-IF($G$2,0,IF((AS$6-$G$3)&lt;1,0,IFERROR(LOOKUP(2,1/('Feijão 2ª safra'!$E11:INDEX('Feijão 2ª safra'!$E11:$Z11,MIN(AS$6-$G$3,22))&lt;&gt;""),'Feijão 2ª safra'!$E11:INDEX('Feijão 2ª safra'!$E11:$Z11,MIN(AS$6-$G$3,22))),0)))))</f>
        <v>0</v>
      </c>
      <c r="AT13" s="27" t="n">
        <f aca="false">IF(COUNT('Feijão 2ª safra'!$E11:$Z11)=0,0,MAX(0,IF((AT$6-$E$3)&lt;1,0,IFERROR(LOOKUP(2,1/('Feijão 2ª safra'!$E11:INDEX('Feijão 2ª safra'!$E11:$Z11,MIN(AT$6-$E$3,22))&lt;&gt;""),'Feijão 2ª safra'!$E11:INDEX('Feijão 2ª safra'!$E11:$Z11,MIN(AT$6-$E$3,22))),0))-IF($G$2,0,IF((AT$6-$G$3)&lt;1,0,IFERROR(LOOKUP(2,1/('Feijão 2ª safra'!$E11:INDEX('Feijão 2ª safra'!$E11:$Z11,MIN(AT$6-$G$3,22))&lt;&gt;""),'Feijão 2ª safra'!$E11:INDEX('Feijão 2ª safra'!$E11:$Z11,MIN(AT$6-$G$3,22))),0)))))</f>
        <v>0</v>
      </c>
      <c r="AU13" s="27" t="n">
        <f aca="false">IF(COUNT('Feijão 2ª safra'!$E11:$Z11)=0,0,MAX(0,IF((AU$6-$E$3)&lt;1,0,IFERROR(LOOKUP(2,1/('Feijão 2ª safra'!$E11:INDEX('Feijão 2ª safra'!$E11:$Z11,MIN(AU$6-$E$3,22))&lt;&gt;""),'Feijão 2ª safra'!$E11:INDEX('Feijão 2ª safra'!$E11:$Z11,MIN(AU$6-$E$3,22))),0))-IF($G$2,0,IF((AU$6-$G$3)&lt;1,0,IFERROR(LOOKUP(2,1/('Feijão 2ª safra'!$E11:INDEX('Feijão 2ª safra'!$E11:$Z11,MIN(AU$6-$G$3,22))&lt;&gt;""),'Feijão 2ª safra'!$E11:INDEX('Feijão 2ª safra'!$E11:$Z11,MIN(AU$6-$G$3,22))),0)))))</f>
        <v>0</v>
      </c>
      <c r="AV13" s="27" t="n">
        <f aca="false">IF(COUNT('Feijão 2ª safra'!$E11:$Z11)=0,0,MAX(0,IF((AV$6-$E$3)&lt;1,0,IFERROR(LOOKUP(2,1/('Feijão 2ª safra'!$E11:INDEX('Feijão 2ª safra'!$E11:$Z11,MIN(AV$6-$E$3,22))&lt;&gt;""),'Feijão 2ª safra'!$E11:INDEX('Feijão 2ª safra'!$E11:$Z11,MIN(AV$6-$E$3,22))),0))-IF($G$2,0,IF((AV$6-$G$3)&lt;1,0,IFERROR(LOOKUP(2,1/('Feijão 2ª safra'!$E11:INDEX('Feijão 2ª safra'!$E11:$Z11,MIN(AV$6-$G$3,22))&lt;&gt;""),'Feijão 2ª safra'!$E11:INDEX('Feijão 2ª safra'!$E11:$Z11,MIN(AV$6-$G$3,22))),0)))))</f>
        <v>0</v>
      </c>
      <c r="AW13" s="27" t="n">
        <f aca="false">IF(COUNT('Feijão 2ª safra'!$E11:$Z11)=0,0,MAX(0,IF((AW$6-$E$3)&lt;1,0,IFERROR(LOOKUP(2,1/('Feijão 2ª safra'!$E11:INDEX('Feijão 2ª safra'!$E11:$Z11,MIN(AW$6-$E$3,22))&lt;&gt;""),'Feijão 2ª safra'!$E11:INDEX('Feijão 2ª safra'!$E11:$Z11,MIN(AW$6-$E$3,22))),0))-IF($G$2,0,IF((AW$6-$G$3)&lt;1,0,IFERROR(LOOKUP(2,1/('Feijão 2ª safra'!$E11:INDEX('Feijão 2ª safra'!$E11:$Z11,MIN(AW$6-$G$3,22))&lt;&gt;""),'Feijão 2ª safra'!$E11:INDEX('Feijão 2ª safra'!$E11:$Z11,MIN(AW$6-$G$3,22))),0)))))</f>
        <v>0</v>
      </c>
      <c r="AX13" s="27" t="n">
        <f aca="false">IF(COUNT('Feijão 2ª safra'!$E11:$Z11)=0,0,MAX(0,IF((AX$6-$E$3)&lt;1,0,IFERROR(LOOKUP(2,1/('Feijão 2ª safra'!$E11:INDEX('Feijão 2ª safra'!$E11:$Z11,MIN(AX$6-$E$3,22))&lt;&gt;""),'Feijão 2ª safra'!$E11:INDEX('Feijão 2ª safra'!$E11:$Z11,MIN(AX$6-$E$3,22))),0))-IF($G$2,0,IF((AX$6-$G$3)&lt;1,0,IFERROR(LOOKUP(2,1/('Feijão 2ª safra'!$E11:INDEX('Feijão 2ª safra'!$E11:$Z11,MIN(AX$6-$G$3,22))&lt;&gt;""),'Feijão 2ª safra'!$E11:INDEX('Feijão 2ª safra'!$E11:$Z11,MIN(AX$6-$G$3,22))),0)))))</f>
        <v>0</v>
      </c>
      <c r="AY13" s="27" t="n">
        <f aca="false">IF(COUNT('Feijão 2ª safra'!$E11:$Z11)=0,0,MAX(0,IF((AY$6-$E$3)&lt;1,0,IFERROR(LOOKUP(2,1/('Feijão 2ª safra'!$E11:INDEX('Feijão 2ª safra'!$E11:$Z11,MIN(AY$6-$E$3,22))&lt;&gt;""),'Feijão 2ª safra'!$E11:INDEX('Feijão 2ª safra'!$E11:$Z11,MIN(AY$6-$E$3,22))),0))-IF($G$2,0,IF((AY$6-$G$3)&lt;1,0,IFERROR(LOOKUP(2,1/('Feijão 2ª safra'!$E11:INDEX('Feijão 2ª safra'!$E11:$Z11,MIN(AY$6-$G$3,22))&lt;&gt;""),'Feijão 2ª safra'!$E11:INDEX('Feijão 2ª safra'!$E11:$Z11,MIN(AY$6-$G$3,22))),0)))))</f>
        <v>0</v>
      </c>
      <c r="AZ13" s="27" t="n">
        <f aca="false">IF(COUNT('Feijão 2ª safra'!$E11:$Z11)=0,0,MAX(0,IF((AZ$6-$E$3)&lt;1,0,IFERROR(LOOKUP(2,1/('Feijão 2ª safra'!$E11:INDEX('Feijão 2ª safra'!$E11:$Z11,MIN(AZ$6-$E$3,22))&lt;&gt;""),'Feijão 2ª safra'!$E11:INDEX('Feijão 2ª safra'!$E11:$Z11,MIN(AZ$6-$E$3,22))),0))-IF($G$2,0,IF((AZ$6-$G$3)&lt;1,0,IFERROR(LOOKUP(2,1/('Feijão 2ª safra'!$E11:INDEX('Feijão 2ª safra'!$E11:$Z11,MIN(AZ$6-$G$3,22))&lt;&gt;""),'Feijão 2ª safra'!$E11:INDEX('Feijão 2ª safra'!$E11:$Z11,MIN(AZ$6-$G$3,22))),0)))))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IF(COUNT('Feijão 2ª safra'!$E12:$Z12)&gt;0,N('Feijão 2ª safra'!$D12),0)</f>
        <v>0</v>
      </c>
      <c r="E14" s="27" t="n">
        <f aca="false">IF(COUNT('Feijão 2ª safra'!$E12:$Z12)=0,0,MAX(0,IF((E$6-$E$3)&lt;1,0,IFERROR(LOOKUP(2,1/('Feijão 2ª safra'!$E12:INDEX('Feijão 2ª safra'!$E12:$Z12,MIN(E$6-$E$3,22))&lt;&gt;""),'Feijão 2ª safra'!$E12:INDEX('Feijão 2ª safra'!$E12:$Z12,MIN(E$6-$E$3,22))),0))-IF($G$2,0,IF((E$6-$G$3)&lt;1,0,IFERROR(LOOKUP(2,1/('Feijão 2ª safra'!$E12:INDEX('Feijão 2ª safra'!$E12:$Z12,MIN(E$6-$G$3,22))&lt;&gt;""),'Feijão 2ª safra'!$E12:INDEX('Feijão 2ª safra'!$E12:$Z12,MIN(E$6-$G$3,22))),0)))))</f>
        <v>0</v>
      </c>
      <c r="F14" s="27" t="n">
        <f aca="false">IF(COUNT('Feijão 2ª safra'!$E12:$Z12)=0,0,MAX(0,IF((F$6-$E$3)&lt;1,0,IFERROR(LOOKUP(2,1/('Feijão 2ª safra'!$E12:INDEX('Feijão 2ª safra'!$E12:$Z12,MIN(F$6-$E$3,22))&lt;&gt;""),'Feijão 2ª safra'!$E12:INDEX('Feijão 2ª safra'!$E12:$Z12,MIN(F$6-$E$3,22))),0))-IF($G$2,0,IF((F$6-$G$3)&lt;1,0,IFERROR(LOOKUP(2,1/('Feijão 2ª safra'!$E12:INDEX('Feijão 2ª safra'!$E12:$Z12,MIN(F$6-$G$3,22))&lt;&gt;""),'Feijão 2ª safra'!$E12:INDEX('Feijão 2ª safra'!$E12:$Z12,MIN(F$6-$G$3,22))),0)))))</f>
        <v>0</v>
      </c>
      <c r="G14" s="27" t="n">
        <f aca="false">IF(COUNT('Feijão 2ª safra'!$E12:$Z12)=0,0,MAX(0,IF((G$6-$E$3)&lt;1,0,IFERROR(LOOKUP(2,1/('Feijão 2ª safra'!$E12:INDEX('Feijão 2ª safra'!$E12:$Z12,MIN(G$6-$E$3,22))&lt;&gt;""),'Feijão 2ª safra'!$E12:INDEX('Feijão 2ª safra'!$E12:$Z12,MIN(G$6-$E$3,22))),0))-IF($G$2,0,IF((G$6-$G$3)&lt;1,0,IFERROR(LOOKUP(2,1/('Feijão 2ª safra'!$E12:INDEX('Feijão 2ª safra'!$E12:$Z12,MIN(G$6-$G$3,22))&lt;&gt;""),'Feijão 2ª safra'!$E12:INDEX('Feijão 2ª safra'!$E12:$Z12,MIN(G$6-$G$3,22))),0)))))</f>
        <v>0</v>
      </c>
      <c r="H14" s="27" t="n">
        <f aca="false">IF(COUNT('Feijão 2ª safra'!$E12:$Z12)=0,0,MAX(0,IF((H$6-$E$3)&lt;1,0,IFERROR(LOOKUP(2,1/('Feijão 2ª safra'!$E12:INDEX('Feijão 2ª safra'!$E12:$Z12,MIN(H$6-$E$3,22))&lt;&gt;""),'Feijão 2ª safra'!$E12:INDEX('Feijão 2ª safra'!$E12:$Z12,MIN(H$6-$E$3,22))),0))-IF($G$2,0,IF((H$6-$G$3)&lt;1,0,IFERROR(LOOKUP(2,1/('Feijão 2ª safra'!$E12:INDEX('Feijão 2ª safra'!$E12:$Z12,MIN(H$6-$G$3,22))&lt;&gt;""),'Feijão 2ª safra'!$E12:INDEX('Feijão 2ª safra'!$E12:$Z12,MIN(H$6-$G$3,22))),0)))))</f>
        <v>0</v>
      </c>
      <c r="I14" s="27" t="n">
        <f aca="false">IF(COUNT('Feijão 2ª safra'!$E12:$Z12)=0,0,MAX(0,IF((I$6-$E$3)&lt;1,0,IFERROR(LOOKUP(2,1/('Feijão 2ª safra'!$E12:INDEX('Feijão 2ª safra'!$E12:$Z12,MIN(I$6-$E$3,22))&lt;&gt;""),'Feijão 2ª safra'!$E12:INDEX('Feijão 2ª safra'!$E12:$Z12,MIN(I$6-$E$3,22))),0))-IF($G$2,0,IF((I$6-$G$3)&lt;1,0,IFERROR(LOOKUP(2,1/('Feijão 2ª safra'!$E12:INDEX('Feijão 2ª safra'!$E12:$Z12,MIN(I$6-$G$3,22))&lt;&gt;""),'Feijão 2ª safra'!$E12:INDEX('Feijão 2ª safra'!$E12:$Z12,MIN(I$6-$G$3,22))),0)))))</f>
        <v>0</v>
      </c>
      <c r="J14" s="27" t="n">
        <f aca="false">IF(COUNT('Feijão 2ª safra'!$E12:$Z12)=0,0,MAX(0,IF((J$6-$E$3)&lt;1,0,IFERROR(LOOKUP(2,1/('Feijão 2ª safra'!$E12:INDEX('Feijão 2ª safra'!$E12:$Z12,MIN(J$6-$E$3,22))&lt;&gt;""),'Feijão 2ª safra'!$E12:INDEX('Feijão 2ª safra'!$E12:$Z12,MIN(J$6-$E$3,22))),0))-IF($G$2,0,IF((J$6-$G$3)&lt;1,0,IFERROR(LOOKUP(2,1/('Feijão 2ª safra'!$E12:INDEX('Feijão 2ª safra'!$E12:$Z12,MIN(J$6-$G$3,22))&lt;&gt;""),'Feijão 2ª safra'!$E12:INDEX('Feijão 2ª safra'!$E12:$Z12,MIN(J$6-$G$3,22))),0)))))</f>
        <v>0</v>
      </c>
      <c r="K14" s="27" t="n">
        <f aca="false">IF(COUNT('Feijão 2ª safra'!$E12:$Z12)=0,0,MAX(0,IF((K$6-$E$3)&lt;1,0,IFERROR(LOOKUP(2,1/('Feijão 2ª safra'!$E12:INDEX('Feijão 2ª safra'!$E12:$Z12,MIN(K$6-$E$3,22))&lt;&gt;""),'Feijão 2ª safra'!$E12:INDEX('Feijão 2ª safra'!$E12:$Z12,MIN(K$6-$E$3,22))),0))-IF($G$2,0,IF((K$6-$G$3)&lt;1,0,IFERROR(LOOKUP(2,1/('Feijão 2ª safra'!$E12:INDEX('Feijão 2ª safra'!$E12:$Z12,MIN(K$6-$G$3,22))&lt;&gt;""),'Feijão 2ª safra'!$E12:INDEX('Feijão 2ª safra'!$E12:$Z12,MIN(K$6-$G$3,22))),0)))))</f>
        <v>0</v>
      </c>
      <c r="L14" s="27" t="n">
        <f aca="false">IF(COUNT('Feijão 2ª safra'!$E12:$Z12)=0,0,MAX(0,IF((L$6-$E$3)&lt;1,0,IFERROR(LOOKUP(2,1/('Feijão 2ª safra'!$E12:INDEX('Feijão 2ª safra'!$E12:$Z12,MIN(L$6-$E$3,22))&lt;&gt;""),'Feijão 2ª safra'!$E12:INDEX('Feijão 2ª safra'!$E12:$Z12,MIN(L$6-$E$3,22))),0))-IF($G$2,0,IF((L$6-$G$3)&lt;1,0,IFERROR(LOOKUP(2,1/('Feijão 2ª safra'!$E12:INDEX('Feijão 2ª safra'!$E12:$Z12,MIN(L$6-$G$3,22))&lt;&gt;""),'Feijão 2ª safra'!$E12:INDEX('Feijão 2ª safra'!$E12:$Z12,MIN(L$6-$G$3,22))),0)))))</f>
        <v>0</v>
      </c>
      <c r="M14" s="27" t="n">
        <f aca="false">IF(COUNT('Feijão 2ª safra'!$E12:$Z12)=0,0,MAX(0,IF((M$6-$E$3)&lt;1,0,IFERROR(LOOKUP(2,1/('Feijão 2ª safra'!$E12:INDEX('Feijão 2ª safra'!$E12:$Z12,MIN(M$6-$E$3,22))&lt;&gt;""),'Feijão 2ª safra'!$E12:INDEX('Feijão 2ª safra'!$E12:$Z12,MIN(M$6-$E$3,22))),0))-IF($G$2,0,IF((M$6-$G$3)&lt;1,0,IFERROR(LOOKUP(2,1/('Feijão 2ª safra'!$E12:INDEX('Feijão 2ª safra'!$E12:$Z12,MIN(M$6-$G$3,22))&lt;&gt;""),'Feijão 2ª safra'!$E12:INDEX('Feijão 2ª safra'!$E12:$Z12,MIN(M$6-$G$3,22))),0)))))</f>
        <v>0</v>
      </c>
      <c r="N14" s="27" t="n">
        <f aca="false">IF(COUNT('Feijão 2ª safra'!$E12:$Z12)=0,0,MAX(0,IF((N$6-$E$3)&lt;1,0,IFERROR(LOOKUP(2,1/('Feijão 2ª safra'!$E12:INDEX('Feijão 2ª safra'!$E12:$Z12,MIN(N$6-$E$3,22))&lt;&gt;""),'Feijão 2ª safra'!$E12:INDEX('Feijão 2ª safra'!$E12:$Z12,MIN(N$6-$E$3,22))),0))-IF($G$2,0,IF((N$6-$G$3)&lt;1,0,IFERROR(LOOKUP(2,1/('Feijão 2ª safra'!$E12:INDEX('Feijão 2ª safra'!$E12:$Z12,MIN(N$6-$G$3,22))&lt;&gt;""),'Feijão 2ª safra'!$E12:INDEX('Feijão 2ª safra'!$E12:$Z12,MIN(N$6-$G$3,22))),0)))))</f>
        <v>0</v>
      </c>
      <c r="O14" s="27" t="n">
        <f aca="false">IF(COUNT('Feijão 2ª safra'!$E12:$Z12)=0,0,MAX(0,IF((O$6-$E$3)&lt;1,0,IFERROR(LOOKUP(2,1/('Feijão 2ª safra'!$E12:INDEX('Feijão 2ª safra'!$E12:$Z12,MIN(O$6-$E$3,22))&lt;&gt;""),'Feijão 2ª safra'!$E12:INDEX('Feijão 2ª safra'!$E12:$Z12,MIN(O$6-$E$3,22))),0))-IF($G$2,0,IF((O$6-$G$3)&lt;1,0,IFERROR(LOOKUP(2,1/('Feijão 2ª safra'!$E12:INDEX('Feijão 2ª safra'!$E12:$Z12,MIN(O$6-$G$3,22))&lt;&gt;""),'Feijão 2ª safra'!$E12:INDEX('Feijão 2ª safra'!$E12:$Z12,MIN(O$6-$G$3,22))),0)))))</f>
        <v>0</v>
      </c>
      <c r="P14" s="27" t="n">
        <f aca="false">IF(COUNT('Feijão 2ª safra'!$E12:$Z12)=0,0,MAX(0,IF((P$6-$E$3)&lt;1,0,IFERROR(LOOKUP(2,1/('Feijão 2ª safra'!$E12:INDEX('Feijão 2ª safra'!$E12:$Z12,MIN(P$6-$E$3,22))&lt;&gt;""),'Feijão 2ª safra'!$E12:INDEX('Feijão 2ª safra'!$E12:$Z12,MIN(P$6-$E$3,22))),0))-IF($G$2,0,IF((P$6-$G$3)&lt;1,0,IFERROR(LOOKUP(2,1/('Feijão 2ª safra'!$E12:INDEX('Feijão 2ª safra'!$E12:$Z12,MIN(P$6-$G$3,22))&lt;&gt;""),'Feijão 2ª safra'!$E12:INDEX('Feijão 2ª safra'!$E12:$Z12,MIN(P$6-$G$3,22))),0)))))</f>
        <v>0</v>
      </c>
      <c r="Q14" s="27" t="n">
        <f aca="false">IF(COUNT('Feijão 2ª safra'!$E12:$Z12)=0,0,MAX(0,IF((Q$6-$E$3)&lt;1,0,IFERROR(LOOKUP(2,1/('Feijão 2ª safra'!$E12:INDEX('Feijão 2ª safra'!$E12:$Z12,MIN(Q$6-$E$3,22))&lt;&gt;""),'Feijão 2ª safra'!$E12:INDEX('Feijão 2ª safra'!$E12:$Z12,MIN(Q$6-$E$3,22))),0))-IF($G$2,0,IF((Q$6-$G$3)&lt;1,0,IFERROR(LOOKUP(2,1/('Feijão 2ª safra'!$E12:INDEX('Feijão 2ª safra'!$E12:$Z12,MIN(Q$6-$G$3,22))&lt;&gt;""),'Feijão 2ª safra'!$E12:INDEX('Feijão 2ª safra'!$E12:$Z12,MIN(Q$6-$G$3,22))),0)))))</f>
        <v>0</v>
      </c>
      <c r="R14" s="27" t="n">
        <f aca="false">IF(COUNT('Feijão 2ª safra'!$E12:$Z12)=0,0,MAX(0,IF((R$6-$E$3)&lt;1,0,IFERROR(LOOKUP(2,1/('Feijão 2ª safra'!$E12:INDEX('Feijão 2ª safra'!$E12:$Z12,MIN(R$6-$E$3,22))&lt;&gt;""),'Feijão 2ª safra'!$E12:INDEX('Feijão 2ª safra'!$E12:$Z12,MIN(R$6-$E$3,22))),0))-IF($G$2,0,IF((R$6-$G$3)&lt;1,0,IFERROR(LOOKUP(2,1/('Feijão 2ª safra'!$E12:INDEX('Feijão 2ª safra'!$E12:$Z12,MIN(R$6-$G$3,22))&lt;&gt;""),'Feijão 2ª safra'!$E12:INDEX('Feijão 2ª safra'!$E12:$Z12,MIN(R$6-$G$3,22))),0)))))</f>
        <v>0</v>
      </c>
      <c r="S14" s="27" t="n">
        <f aca="false">IF(COUNT('Feijão 2ª safra'!$E12:$Z12)=0,0,MAX(0,IF((S$6-$E$3)&lt;1,0,IFERROR(LOOKUP(2,1/('Feijão 2ª safra'!$E12:INDEX('Feijão 2ª safra'!$E12:$Z12,MIN(S$6-$E$3,22))&lt;&gt;""),'Feijão 2ª safra'!$E12:INDEX('Feijão 2ª safra'!$E12:$Z12,MIN(S$6-$E$3,22))),0))-IF($G$2,0,IF((S$6-$G$3)&lt;1,0,IFERROR(LOOKUP(2,1/('Feijão 2ª safra'!$E12:INDEX('Feijão 2ª safra'!$E12:$Z12,MIN(S$6-$G$3,22))&lt;&gt;""),'Feijão 2ª safra'!$E12:INDEX('Feijão 2ª safra'!$E12:$Z12,MIN(S$6-$G$3,22))),0)))))</f>
        <v>0</v>
      </c>
      <c r="T14" s="27" t="n">
        <f aca="false">IF(COUNT('Feijão 2ª safra'!$E12:$Z12)=0,0,MAX(0,IF((T$6-$E$3)&lt;1,0,IFERROR(LOOKUP(2,1/('Feijão 2ª safra'!$E12:INDEX('Feijão 2ª safra'!$E12:$Z12,MIN(T$6-$E$3,22))&lt;&gt;""),'Feijão 2ª safra'!$E12:INDEX('Feijão 2ª safra'!$E12:$Z12,MIN(T$6-$E$3,22))),0))-IF($G$2,0,IF((T$6-$G$3)&lt;1,0,IFERROR(LOOKUP(2,1/('Feijão 2ª safra'!$E12:INDEX('Feijão 2ª safra'!$E12:$Z12,MIN(T$6-$G$3,22))&lt;&gt;""),'Feijão 2ª safra'!$E12:INDEX('Feijão 2ª safra'!$E12:$Z12,MIN(T$6-$G$3,22))),0)))))</f>
        <v>0</v>
      </c>
      <c r="U14" s="27" t="n">
        <f aca="false">IF(COUNT('Feijão 2ª safra'!$E12:$Z12)=0,0,MAX(0,IF((U$6-$E$3)&lt;1,0,IFERROR(LOOKUP(2,1/('Feijão 2ª safra'!$E12:INDEX('Feijão 2ª safra'!$E12:$Z12,MIN(U$6-$E$3,22))&lt;&gt;""),'Feijão 2ª safra'!$E12:INDEX('Feijão 2ª safra'!$E12:$Z12,MIN(U$6-$E$3,22))),0))-IF($G$2,0,IF((U$6-$G$3)&lt;1,0,IFERROR(LOOKUP(2,1/('Feijão 2ª safra'!$E12:INDEX('Feijão 2ª safra'!$E12:$Z12,MIN(U$6-$G$3,22))&lt;&gt;""),'Feijão 2ª safra'!$E12:INDEX('Feijão 2ª safra'!$E12:$Z12,MIN(U$6-$G$3,22))),0)))))</f>
        <v>0</v>
      </c>
      <c r="V14" s="27" t="n">
        <f aca="false">IF(COUNT('Feijão 2ª safra'!$E12:$Z12)=0,0,MAX(0,IF((V$6-$E$3)&lt;1,0,IFERROR(LOOKUP(2,1/('Feijão 2ª safra'!$E12:INDEX('Feijão 2ª safra'!$E12:$Z12,MIN(V$6-$E$3,22))&lt;&gt;""),'Feijão 2ª safra'!$E12:INDEX('Feijão 2ª safra'!$E12:$Z12,MIN(V$6-$E$3,22))),0))-IF($G$2,0,IF((V$6-$G$3)&lt;1,0,IFERROR(LOOKUP(2,1/('Feijão 2ª safra'!$E12:INDEX('Feijão 2ª safra'!$E12:$Z12,MIN(V$6-$G$3,22))&lt;&gt;""),'Feijão 2ª safra'!$E12:INDEX('Feijão 2ª safra'!$E12:$Z12,MIN(V$6-$G$3,22))),0)))))</f>
        <v>0</v>
      </c>
      <c r="W14" s="27" t="n">
        <f aca="false">IF(COUNT('Feijão 2ª safra'!$E12:$Z12)=0,0,MAX(0,IF((W$6-$E$3)&lt;1,0,IFERROR(LOOKUP(2,1/('Feijão 2ª safra'!$E12:INDEX('Feijão 2ª safra'!$E12:$Z12,MIN(W$6-$E$3,22))&lt;&gt;""),'Feijão 2ª safra'!$E12:INDEX('Feijão 2ª safra'!$E12:$Z12,MIN(W$6-$E$3,22))),0))-IF($G$2,0,IF((W$6-$G$3)&lt;1,0,IFERROR(LOOKUP(2,1/('Feijão 2ª safra'!$E12:INDEX('Feijão 2ª safra'!$E12:$Z12,MIN(W$6-$G$3,22))&lt;&gt;""),'Feijão 2ª safra'!$E12:INDEX('Feijão 2ª safra'!$E12:$Z12,MIN(W$6-$G$3,22))),0)))))</f>
        <v>0</v>
      </c>
      <c r="X14" s="27" t="n">
        <f aca="false">IF(COUNT('Feijão 2ª safra'!$E12:$Z12)=0,0,MAX(0,IF((X$6-$E$3)&lt;1,0,IFERROR(LOOKUP(2,1/('Feijão 2ª safra'!$E12:INDEX('Feijão 2ª safra'!$E12:$Z12,MIN(X$6-$E$3,22))&lt;&gt;""),'Feijão 2ª safra'!$E12:INDEX('Feijão 2ª safra'!$E12:$Z12,MIN(X$6-$E$3,22))),0))-IF($G$2,0,IF((X$6-$G$3)&lt;1,0,IFERROR(LOOKUP(2,1/('Feijão 2ª safra'!$E12:INDEX('Feijão 2ª safra'!$E12:$Z12,MIN(X$6-$G$3,22))&lt;&gt;""),'Feijão 2ª safra'!$E12:INDEX('Feijão 2ª safra'!$E12:$Z12,MIN(X$6-$G$3,22))),0)))))</f>
        <v>0</v>
      </c>
      <c r="Y14" s="27" t="n">
        <f aca="false">IF(COUNT('Feijão 2ª safra'!$E12:$Z12)=0,0,MAX(0,IF((Y$6-$E$3)&lt;1,0,IFERROR(LOOKUP(2,1/('Feijão 2ª safra'!$E12:INDEX('Feijão 2ª safra'!$E12:$Z12,MIN(Y$6-$E$3,22))&lt;&gt;""),'Feijão 2ª safra'!$E12:INDEX('Feijão 2ª safra'!$E12:$Z12,MIN(Y$6-$E$3,22))),0))-IF($G$2,0,IF((Y$6-$G$3)&lt;1,0,IFERROR(LOOKUP(2,1/('Feijão 2ª safra'!$E12:INDEX('Feijão 2ª safra'!$E12:$Z12,MIN(Y$6-$G$3,22))&lt;&gt;""),'Feijão 2ª safra'!$E12:INDEX('Feijão 2ª safra'!$E12:$Z12,MIN(Y$6-$G$3,22))),0)))))</f>
        <v>0</v>
      </c>
      <c r="Z14" s="27" t="n">
        <f aca="false">IF(COUNT('Feijão 2ª safra'!$E12:$Z12)=0,0,MAX(0,IF((Z$6-$E$3)&lt;1,0,IFERROR(LOOKUP(2,1/('Feijão 2ª safra'!$E12:INDEX('Feijão 2ª safra'!$E12:$Z12,MIN(Z$6-$E$3,22))&lt;&gt;""),'Feijão 2ª safra'!$E12:INDEX('Feijão 2ª safra'!$E12:$Z12,MIN(Z$6-$E$3,22))),0))-IF($G$2,0,IF((Z$6-$G$3)&lt;1,0,IFERROR(LOOKUP(2,1/('Feijão 2ª safra'!$E12:INDEX('Feijão 2ª safra'!$E12:$Z12,MIN(Z$6-$G$3,22))&lt;&gt;""),'Feijão 2ª safra'!$E12:INDEX('Feijão 2ª safra'!$E12:$Z12,MIN(Z$6-$G$3,22))),0)))))</f>
        <v>0</v>
      </c>
      <c r="AA14" s="27" t="n">
        <f aca="false">IF(COUNT('Feijão 2ª safra'!$E12:$Z12)=0,0,MAX(0,IF((AA$6-$E$3)&lt;1,0,IFERROR(LOOKUP(2,1/('Feijão 2ª safra'!$E12:INDEX('Feijão 2ª safra'!$E12:$Z12,MIN(AA$6-$E$3,22))&lt;&gt;""),'Feijão 2ª safra'!$E12:INDEX('Feijão 2ª safra'!$E12:$Z12,MIN(AA$6-$E$3,22))),0))-IF($G$2,0,IF((AA$6-$G$3)&lt;1,0,IFERROR(LOOKUP(2,1/('Feijão 2ª safra'!$E12:INDEX('Feijão 2ª safra'!$E12:$Z12,MIN(AA$6-$G$3,22))&lt;&gt;""),'Feijão 2ª safra'!$E12:INDEX('Feijão 2ª safra'!$E12:$Z12,MIN(AA$6-$G$3,22))),0)))))</f>
        <v>0</v>
      </c>
      <c r="AB14" s="27" t="n">
        <f aca="false">IF(COUNT('Feijão 2ª safra'!$E12:$Z12)=0,0,MAX(0,IF((AB$6-$E$3)&lt;1,0,IFERROR(LOOKUP(2,1/('Feijão 2ª safra'!$E12:INDEX('Feijão 2ª safra'!$E12:$Z12,MIN(AB$6-$E$3,22))&lt;&gt;""),'Feijão 2ª safra'!$E12:INDEX('Feijão 2ª safra'!$E12:$Z12,MIN(AB$6-$E$3,22))),0))-IF($G$2,0,IF((AB$6-$G$3)&lt;1,0,IFERROR(LOOKUP(2,1/('Feijão 2ª safra'!$E12:INDEX('Feijão 2ª safra'!$E12:$Z12,MIN(AB$6-$G$3,22))&lt;&gt;""),'Feijão 2ª safra'!$E12:INDEX('Feijão 2ª safra'!$E12:$Z12,MIN(AB$6-$G$3,22))),0)))))</f>
        <v>0</v>
      </c>
      <c r="AC14" s="27" t="n">
        <f aca="false">IF(COUNT('Feijão 2ª safra'!$E12:$Z12)=0,0,MAX(0,IF((AC$6-$E$3)&lt;1,0,IFERROR(LOOKUP(2,1/('Feijão 2ª safra'!$E12:INDEX('Feijão 2ª safra'!$E12:$Z12,MIN(AC$6-$E$3,22))&lt;&gt;""),'Feijão 2ª safra'!$E12:INDEX('Feijão 2ª safra'!$E12:$Z12,MIN(AC$6-$E$3,22))),0))-IF($G$2,0,IF((AC$6-$G$3)&lt;1,0,IFERROR(LOOKUP(2,1/('Feijão 2ª safra'!$E12:INDEX('Feijão 2ª safra'!$E12:$Z12,MIN(AC$6-$G$3,22))&lt;&gt;""),'Feijão 2ª safra'!$E12:INDEX('Feijão 2ª safra'!$E12:$Z12,MIN(AC$6-$G$3,22))),0)))))</f>
        <v>0</v>
      </c>
      <c r="AD14" s="27" t="n">
        <f aca="false">IF(COUNT('Feijão 2ª safra'!$E12:$Z12)=0,0,MAX(0,IF((AD$6-$E$3)&lt;1,0,IFERROR(LOOKUP(2,1/('Feijão 2ª safra'!$E12:INDEX('Feijão 2ª safra'!$E12:$Z12,MIN(AD$6-$E$3,22))&lt;&gt;""),'Feijão 2ª safra'!$E12:INDEX('Feijão 2ª safra'!$E12:$Z12,MIN(AD$6-$E$3,22))),0))-IF($G$2,0,IF((AD$6-$G$3)&lt;1,0,IFERROR(LOOKUP(2,1/('Feijão 2ª safra'!$E12:INDEX('Feijão 2ª safra'!$E12:$Z12,MIN(AD$6-$G$3,22))&lt;&gt;""),'Feijão 2ª safra'!$E12:INDEX('Feijão 2ª safra'!$E12:$Z12,MIN(AD$6-$G$3,22))),0)))))</f>
        <v>0</v>
      </c>
      <c r="AE14" s="27" t="n">
        <f aca="false">IF(COUNT('Feijão 2ª safra'!$E12:$Z12)=0,0,MAX(0,IF((AE$6-$E$3)&lt;1,0,IFERROR(LOOKUP(2,1/('Feijão 2ª safra'!$E12:INDEX('Feijão 2ª safra'!$E12:$Z12,MIN(AE$6-$E$3,22))&lt;&gt;""),'Feijão 2ª safra'!$E12:INDEX('Feijão 2ª safra'!$E12:$Z12,MIN(AE$6-$E$3,22))),0))-IF($G$2,0,IF((AE$6-$G$3)&lt;1,0,IFERROR(LOOKUP(2,1/('Feijão 2ª safra'!$E12:INDEX('Feijão 2ª safra'!$E12:$Z12,MIN(AE$6-$G$3,22))&lt;&gt;""),'Feijão 2ª safra'!$E12:INDEX('Feijão 2ª safra'!$E12:$Z12,MIN(AE$6-$G$3,22))),0)))))</f>
        <v>0</v>
      </c>
      <c r="AF14" s="27" t="n">
        <f aca="false">IF(COUNT('Feijão 2ª safra'!$E12:$Z12)=0,0,MAX(0,IF((AF$6-$E$3)&lt;1,0,IFERROR(LOOKUP(2,1/('Feijão 2ª safra'!$E12:INDEX('Feijão 2ª safra'!$E12:$Z12,MIN(AF$6-$E$3,22))&lt;&gt;""),'Feijão 2ª safra'!$E12:INDEX('Feijão 2ª safra'!$E12:$Z12,MIN(AF$6-$E$3,22))),0))-IF($G$2,0,IF((AF$6-$G$3)&lt;1,0,IFERROR(LOOKUP(2,1/('Feijão 2ª safra'!$E12:INDEX('Feijão 2ª safra'!$E12:$Z12,MIN(AF$6-$G$3,22))&lt;&gt;""),'Feijão 2ª safra'!$E12:INDEX('Feijão 2ª safra'!$E12:$Z12,MIN(AF$6-$G$3,22))),0)))))</f>
        <v>0</v>
      </c>
      <c r="AG14" s="27" t="n">
        <f aca="false">IF(COUNT('Feijão 2ª safra'!$E12:$Z12)=0,0,MAX(0,IF((AG$6-$E$3)&lt;1,0,IFERROR(LOOKUP(2,1/('Feijão 2ª safra'!$E12:INDEX('Feijão 2ª safra'!$E12:$Z12,MIN(AG$6-$E$3,22))&lt;&gt;""),'Feijão 2ª safra'!$E12:INDEX('Feijão 2ª safra'!$E12:$Z12,MIN(AG$6-$E$3,22))),0))-IF($G$2,0,IF((AG$6-$G$3)&lt;1,0,IFERROR(LOOKUP(2,1/('Feijão 2ª safra'!$E12:INDEX('Feijão 2ª safra'!$E12:$Z12,MIN(AG$6-$G$3,22))&lt;&gt;""),'Feijão 2ª safra'!$E12:INDEX('Feijão 2ª safra'!$E12:$Z12,MIN(AG$6-$G$3,22))),0)))))</f>
        <v>0</v>
      </c>
      <c r="AH14" s="27" t="n">
        <f aca="false">IF(COUNT('Feijão 2ª safra'!$E12:$Z12)=0,0,MAX(0,IF((AH$6-$E$3)&lt;1,0,IFERROR(LOOKUP(2,1/('Feijão 2ª safra'!$E12:INDEX('Feijão 2ª safra'!$E12:$Z12,MIN(AH$6-$E$3,22))&lt;&gt;""),'Feijão 2ª safra'!$E12:INDEX('Feijão 2ª safra'!$E12:$Z12,MIN(AH$6-$E$3,22))),0))-IF($G$2,0,IF((AH$6-$G$3)&lt;1,0,IFERROR(LOOKUP(2,1/('Feijão 2ª safra'!$E12:INDEX('Feijão 2ª safra'!$E12:$Z12,MIN(AH$6-$G$3,22))&lt;&gt;""),'Feijão 2ª safra'!$E12:INDEX('Feijão 2ª safra'!$E12:$Z12,MIN(AH$6-$G$3,22))),0)))))</f>
        <v>0</v>
      </c>
      <c r="AI14" s="27" t="n">
        <f aca="false">IF(COUNT('Feijão 2ª safra'!$E12:$Z12)=0,0,MAX(0,IF((AI$6-$E$3)&lt;1,0,IFERROR(LOOKUP(2,1/('Feijão 2ª safra'!$E12:INDEX('Feijão 2ª safra'!$E12:$Z12,MIN(AI$6-$E$3,22))&lt;&gt;""),'Feijão 2ª safra'!$E12:INDEX('Feijão 2ª safra'!$E12:$Z12,MIN(AI$6-$E$3,22))),0))-IF($G$2,0,IF((AI$6-$G$3)&lt;1,0,IFERROR(LOOKUP(2,1/('Feijão 2ª safra'!$E12:INDEX('Feijão 2ª safra'!$E12:$Z12,MIN(AI$6-$G$3,22))&lt;&gt;""),'Feijão 2ª safra'!$E12:INDEX('Feijão 2ª safra'!$E12:$Z12,MIN(AI$6-$G$3,22))),0)))))</f>
        <v>0</v>
      </c>
      <c r="AJ14" s="27" t="n">
        <f aca="false">IF(COUNT('Feijão 2ª safra'!$E12:$Z12)=0,0,MAX(0,IF((AJ$6-$E$3)&lt;1,0,IFERROR(LOOKUP(2,1/('Feijão 2ª safra'!$E12:INDEX('Feijão 2ª safra'!$E12:$Z12,MIN(AJ$6-$E$3,22))&lt;&gt;""),'Feijão 2ª safra'!$E12:INDEX('Feijão 2ª safra'!$E12:$Z12,MIN(AJ$6-$E$3,22))),0))-IF($G$2,0,IF((AJ$6-$G$3)&lt;1,0,IFERROR(LOOKUP(2,1/('Feijão 2ª safra'!$E12:INDEX('Feijão 2ª safra'!$E12:$Z12,MIN(AJ$6-$G$3,22))&lt;&gt;""),'Feijão 2ª safra'!$E12:INDEX('Feijão 2ª safra'!$E12:$Z12,MIN(AJ$6-$G$3,22))),0)))))</f>
        <v>0</v>
      </c>
      <c r="AK14" s="27" t="n">
        <f aca="false">IF(COUNT('Feijão 2ª safra'!$E12:$Z12)=0,0,MAX(0,IF((AK$6-$E$3)&lt;1,0,IFERROR(LOOKUP(2,1/('Feijão 2ª safra'!$E12:INDEX('Feijão 2ª safra'!$E12:$Z12,MIN(AK$6-$E$3,22))&lt;&gt;""),'Feijão 2ª safra'!$E12:INDEX('Feijão 2ª safra'!$E12:$Z12,MIN(AK$6-$E$3,22))),0))-IF($G$2,0,IF((AK$6-$G$3)&lt;1,0,IFERROR(LOOKUP(2,1/('Feijão 2ª safra'!$E12:INDEX('Feijão 2ª safra'!$E12:$Z12,MIN(AK$6-$G$3,22))&lt;&gt;""),'Feijão 2ª safra'!$E12:INDEX('Feijão 2ª safra'!$E12:$Z12,MIN(AK$6-$G$3,22))),0)))))</f>
        <v>0</v>
      </c>
      <c r="AL14" s="27" t="n">
        <f aca="false">IF(COUNT('Feijão 2ª safra'!$E12:$Z12)=0,0,MAX(0,IF((AL$6-$E$3)&lt;1,0,IFERROR(LOOKUP(2,1/('Feijão 2ª safra'!$E12:INDEX('Feijão 2ª safra'!$E12:$Z12,MIN(AL$6-$E$3,22))&lt;&gt;""),'Feijão 2ª safra'!$E12:INDEX('Feijão 2ª safra'!$E12:$Z12,MIN(AL$6-$E$3,22))),0))-IF($G$2,0,IF((AL$6-$G$3)&lt;1,0,IFERROR(LOOKUP(2,1/('Feijão 2ª safra'!$E12:INDEX('Feijão 2ª safra'!$E12:$Z12,MIN(AL$6-$G$3,22))&lt;&gt;""),'Feijão 2ª safra'!$E12:INDEX('Feijão 2ª safra'!$E12:$Z12,MIN(AL$6-$G$3,22))),0)))))</f>
        <v>0</v>
      </c>
      <c r="AM14" s="27" t="n">
        <f aca="false">IF(COUNT('Feijão 2ª safra'!$E12:$Z12)=0,0,MAX(0,IF((AM$6-$E$3)&lt;1,0,IFERROR(LOOKUP(2,1/('Feijão 2ª safra'!$E12:INDEX('Feijão 2ª safra'!$E12:$Z12,MIN(AM$6-$E$3,22))&lt;&gt;""),'Feijão 2ª safra'!$E12:INDEX('Feijão 2ª safra'!$E12:$Z12,MIN(AM$6-$E$3,22))),0))-IF($G$2,0,IF((AM$6-$G$3)&lt;1,0,IFERROR(LOOKUP(2,1/('Feijão 2ª safra'!$E12:INDEX('Feijão 2ª safra'!$E12:$Z12,MIN(AM$6-$G$3,22))&lt;&gt;""),'Feijão 2ª safra'!$E12:INDEX('Feijão 2ª safra'!$E12:$Z12,MIN(AM$6-$G$3,22))),0)))))</f>
        <v>0</v>
      </c>
      <c r="AN14" s="27" t="n">
        <f aca="false">IF(COUNT('Feijão 2ª safra'!$E12:$Z12)=0,0,MAX(0,IF((AN$6-$E$3)&lt;1,0,IFERROR(LOOKUP(2,1/('Feijão 2ª safra'!$E12:INDEX('Feijão 2ª safra'!$E12:$Z12,MIN(AN$6-$E$3,22))&lt;&gt;""),'Feijão 2ª safra'!$E12:INDEX('Feijão 2ª safra'!$E12:$Z12,MIN(AN$6-$E$3,22))),0))-IF($G$2,0,IF((AN$6-$G$3)&lt;1,0,IFERROR(LOOKUP(2,1/('Feijão 2ª safra'!$E12:INDEX('Feijão 2ª safra'!$E12:$Z12,MIN(AN$6-$G$3,22))&lt;&gt;""),'Feijão 2ª safra'!$E12:INDEX('Feijão 2ª safra'!$E12:$Z12,MIN(AN$6-$G$3,22))),0)))))</f>
        <v>0</v>
      </c>
      <c r="AO14" s="27" t="n">
        <f aca="false">IF(COUNT('Feijão 2ª safra'!$E12:$Z12)=0,0,MAX(0,IF((AO$6-$E$3)&lt;1,0,IFERROR(LOOKUP(2,1/('Feijão 2ª safra'!$E12:INDEX('Feijão 2ª safra'!$E12:$Z12,MIN(AO$6-$E$3,22))&lt;&gt;""),'Feijão 2ª safra'!$E12:INDEX('Feijão 2ª safra'!$E12:$Z12,MIN(AO$6-$E$3,22))),0))-IF($G$2,0,IF((AO$6-$G$3)&lt;1,0,IFERROR(LOOKUP(2,1/('Feijão 2ª safra'!$E12:INDEX('Feijão 2ª safra'!$E12:$Z12,MIN(AO$6-$G$3,22))&lt;&gt;""),'Feijão 2ª safra'!$E12:INDEX('Feijão 2ª safra'!$E12:$Z12,MIN(AO$6-$G$3,22))),0)))))</f>
        <v>0</v>
      </c>
      <c r="AP14" s="27" t="n">
        <f aca="false">IF(COUNT('Feijão 2ª safra'!$E12:$Z12)=0,0,MAX(0,IF((AP$6-$E$3)&lt;1,0,IFERROR(LOOKUP(2,1/('Feijão 2ª safra'!$E12:INDEX('Feijão 2ª safra'!$E12:$Z12,MIN(AP$6-$E$3,22))&lt;&gt;""),'Feijão 2ª safra'!$E12:INDEX('Feijão 2ª safra'!$E12:$Z12,MIN(AP$6-$E$3,22))),0))-IF($G$2,0,IF((AP$6-$G$3)&lt;1,0,IFERROR(LOOKUP(2,1/('Feijão 2ª safra'!$E12:INDEX('Feijão 2ª safra'!$E12:$Z12,MIN(AP$6-$G$3,22))&lt;&gt;""),'Feijão 2ª safra'!$E12:INDEX('Feijão 2ª safra'!$E12:$Z12,MIN(AP$6-$G$3,22))),0)))))</f>
        <v>0</v>
      </c>
      <c r="AQ14" s="27" t="n">
        <f aca="false">IF(COUNT('Feijão 2ª safra'!$E12:$Z12)=0,0,MAX(0,IF((AQ$6-$E$3)&lt;1,0,IFERROR(LOOKUP(2,1/('Feijão 2ª safra'!$E12:INDEX('Feijão 2ª safra'!$E12:$Z12,MIN(AQ$6-$E$3,22))&lt;&gt;""),'Feijão 2ª safra'!$E12:INDEX('Feijão 2ª safra'!$E12:$Z12,MIN(AQ$6-$E$3,22))),0))-IF($G$2,0,IF((AQ$6-$G$3)&lt;1,0,IFERROR(LOOKUP(2,1/('Feijão 2ª safra'!$E12:INDEX('Feijão 2ª safra'!$E12:$Z12,MIN(AQ$6-$G$3,22))&lt;&gt;""),'Feijão 2ª safra'!$E12:INDEX('Feijão 2ª safra'!$E12:$Z12,MIN(AQ$6-$G$3,22))),0)))))</f>
        <v>0</v>
      </c>
      <c r="AR14" s="27" t="n">
        <f aca="false">IF(COUNT('Feijão 2ª safra'!$E12:$Z12)=0,0,MAX(0,IF((AR$6-$E$3)&lt;1,0,IFERROR(LOOKUP(2,1/('Feijão 2ª safra'!$E12:INDEX('Feijão 2ª safra'!$E12:$Z12,MIN(AR$6-$E$3,22))&lt;&gt;""),'Feijão 2ª safra'!$E12:INDEX('Feijão 2ª safra'!$E12:$Z12,MIN(AR$6-$E$3,22))),0))-IF($G$2,0,IF((AR$6-$G$3)&lt;1,0,IFERROR(LOOKUP(2,1/('Feijão 2ª safra'!$E12:INDEX('Feijão 2ª safra'!$E12:$Z12,MIN(AR$6-$G$3,22))&lt;&gt;""),'Feijão 2ª safra'!$E12:INDEX('Feijão 2ª safra'!$E12:$Z12,MIN(AR$6-$G$3,22))),0)))))</f>
        <v>0</v>
      </c>
      <c r="AS14" s="27" t="n">
        <f aca="false">IF(COUNT('Feijão 2ª safra'!$E12:$Z12)=0,0,MAX(0,IF((AS$6-$E$3)&lt;1,0,IFERROR(LOOKUP(2,1/('Feijão 2ª safra'!$E12:INDEX('Feijão 2ª safra'!$E12:$Z12,MIN(AS$6-$E$3,22))&lt;&gt;""),'Feijão 2ª safra'!$E12:INDEX('Feijão 2ª safra'!$E12:$Z12,MIN(AS$6-$E$3,22))),0))-IF($G$2,0,IF((AS$6-$G$3)&lt;1,0,IFERROR(LOOKUP(2,1/('Feijão 2ª safra'!$E12:INDEX('Feijão 2ª safra'!$E12:$Z12,MIN(AS$6-$G$3,22))&lt;&gt;""),'Feijão 2ª safra'!$E12:INDEX('Feijão 2ª safra'!$E12:$Z12,MIN(AS$6-$G$3,22))),0)))))</f>
        <v>0</v>
      </c>
      <c r="AT14" s="27" t="n">
        <f aca="false">IF(COUNT('Feijão 2ª safra'!$E12:$Z12)=0,0,MAX(0,IF((AT$6-$E$3)&lt;1,0,IFERROR(LOOKUP(2,1/('Feijão 2ª safra'!$E12:INDEX('Feijão 2ª safra'!$E12:$Z12,MIN(AT$6-$E$3,22))&lt;&gt;""),'Feijão 2ª safra'!$E12:INDEX('Feijão 2ª safra'!$E12:$Z12,MIN(AT$6-$E$3,22))),0))-IF($G$2,0,IF((AT$6-$G$3)&lt;1,0,IFERROR(LOOKUP(2,1/('Feijão 2ª safra'!$E12:INDEX('Feijão 2ª safra'!$E12:$Z12,MIN(AT$6-$G$3,22))&lt;&gt;""),'Feijão 2ª safra'!$E12:INDEX('Feijão 2ª safra'!$E12:$Z12,MIN(AT$6-$G$3,22))),0)))))</f>
        <v>0</v>
      </c>
      <c r="AU14" s="27" t="n">
        <f aca="false">IF(COUNT('Feijão 2ª safra'!$E12:$Z12)=0,0,MAX(0,IF((AU$6-$E$3)&lt;1,0,IFERROR(LOOKUP(2,1/('Feijão 2ª safra'!$E12:INDEX('Feijão 2ª safra'!$E12:$Z12,MIN(AU$6-$E$3,22))&lt;&gt;""),'Feijão 2ª safra'!$E12:INDEX('Feijão 2ª safra'!$E12:$Z12,MIN(AU$6-$E$3,22))),0))-IF($G$2,0,IF((AU$6-$G$3)&lt;1,0,IFERROR(LOOKUP(2,1/('Feijão 2ª safra'!$E12:INDEX('Feijão 2ª safra'!$E12:$Z12,MIN(AU$6-$G$3,22))&lt;&gt;""),'Feijão 2ª safra'!$E12:INDEX('Feijão 2ª safra'!$E12:$Z12,MIN(AU$6-$G$3,22))),0)))))</f>
        <v>0</v>
      </c>
      <c r="AV14" s="27" t="n">
        <f aca="false">IF(COUNT('Feijão 2ª safra'!$E12:$Z12)=0,0,MAX(0,IF((AV$6-$E$3)&lt;1,0,IFERROR(LOOKUP(2,1/('Feijão 2ª safra'!$E12:INDEX('Feijão 2ª safra'!$E12:$Z12,MIN(AV$6-$E$3,22))&lt;&gt;""),'Feijão 2ª safra'!$E12:INDEX('Feijão 2ª safra'!$E12:$Z12,MIN(AV$6-$E$3,22))),0))-IF($G$2,0,IF((AV$6-$G$3)&lt;1,0,IFERROR(LOOKUP(2,1/('Feijão 2ª safra'!$E12:INDEX('Feijão 2ª safra'!$E12:$Z12,MIN(AV$6-$G$3,22))&lt;&gt;""),'Feijão 2ª safra'!$E12:INDEX('Feijão 2ª safra'!$E12:$Z12,MIN(AV$6-$G$3,22))),0)))))</f>
        <v>0</v>
      </c>
      <c r="AW14" s="27" t="n">
        <f aca="false">IF(COUNT('Feijão 2ª safra'!$E12:$Z12)=0,0,MAX(0,IF((AW$6-$E$3)&lt;1,0,IFERROR(LOOKUP(2,1/('Feijão 2ª safra'!$E12:INDEX('Feijão 2ª safra'!$E12:$Z12,MIN(AW$6-$E$3,22))&lt;&gt;""),'Feijão 2ª safra'!$E12:INDEX('Feijão 2ª safra'!$E12:$Z12,MIN(AW$6-$E$3,22))),0))-IF($G$2,0,IF((AW$6-$G$3)&lt;1,0,IFERROR(LOOKUP(2,1/('Feijão 2ª safra'!$E12:INDEX('Feijão 2ª safra'!$E12:$Z12,MIN(AW$6-$G$3,22))&lt;&gt;""),'Feijão 2ª safra'!$E12:INDEX('Feijão 2ª safra'!$E12:$Z12,MIN(AW$6-$G$3,22))),0)))))</f>
        <v>0</v>
      </c>
      <c r="AX14" s="27" t="n">
        <f aca="false">IF(COUNT('Feijão 2ª safra'!$E12:$Z12)=0,0,MAX(0,IF((AX$6-$E$3)&lt;1,0,IFERROR(LOOKUP(2,1/('Feijão 2ª safra'!$E12:INDEX('Feijão 2ª safra'!$E12:$Z12,MIN(AX$6-$E$3,22))&lt;&gt;""),'Feijão 2ª safra'!$E12:INDEX('Feijão 2ª safra'!$E12:$Z12,MIN(AX$6-$E$3,22))),0))-IF($G$2,0,IF((AX$6-$G$3)&lt;1,0,IFERROR(LOOKUP(2,1/('Feijão 2ª safra'!$E12:INDEX('Feijão 2ª safra'!$E12:$Z12,MIN(AX$6-$G$3,22))&lt;&gt;""),'Feijão 2ª safra'!$E12:INDEX('Feijão 2ª safra'!$E12:$Z12,MIN(AX$6-$G$3,22))),0)))))</f>
        <v>0</v>
      </c>
      <c r="AY14" s="27" t="n">
        <f aca="false">IF(COUNT('Feijão 2ª safra'!$E12:$Z12)=0,0,MAX(0,IF((AY$6-$E$3)&lt;1,0,IFERROR(LOOKUP(2,1/('Feijão 2ª safra'!$E12:INDEX('Feijão 2ª safra'!$E12:$Z12,MIN(AY$6-$E$3,22))&lt;&gt;""),'Feijão 2ª safra'!$E12:INDEX('Feijão 2ª safra'!$E12:$Z12,MIN(AY$6-$E$3,22))),0))-IF($G$2,0,IF((AY$6-$G$3)&lt;1,0,IFERROR(LOOKUP(2,1/('Feijão 2ª safra'!$E12:INDEX('Feijão 2ª safra'!$E12:$Z12,MIN(AY$6-$G$3,22))&lt;&gt;""),'Feijão 2ª safra'!$E12:INDEX('Feijão 2ª safra'!$E12:$Z12,MIN(AY$6-$G$3,22))),0)))))</f>
        <v>0</v>
      </c>
      <c r="AZ14" s="27" t="n">
        <f aca="false">IF(COUNT('Feijão 2ª safra'!$E12:$Z12)=0,0,MAX(0,IF((AZ$6-$E$3)&lt;1,0,IFERROR(LOOKUP(2,1/('Feijão 2ª safra'!$E12:INDEX('Feijão 2ª safra'!$E12:$Z12,MIN(AZ$6-$E$3,22))&lt;&gt;""),'Feijão 2ª safra'!$E12:INDEX('Feijão 2ª safra'!$E12:$Z12,MIN(AZ$6-$E$3,22))),0))-IF($G$2,0,IF((AZ$6-$G$3)&lt;1,0,IFERROR(LOOKUP(2,1/('Feijão 2ª safra'!$E12:INDEX('Feijão 2ª safra'!$E12:$Z12,MIN(AZ$6-$G$3,22))&lt;&gt;""),'Feijão 2ª safra'!$E12:INDEX('Feijão 2ª safra'!$E12:$Z12,MIN(AZ$6-$G$3,22))),0)))))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IF(COUNT('Feijão 2ª safra'!$E13:$Z13)&gt;0,N('Feijão 2ª safra'!$D13),0)</f>
        <v>0</v>
      </c>
      <c r="E15" s="27" t="n">
        <f aca="false">IF(COUNT('Feijão 2ª safra'!$E13:$Z13)=0,0,MAX(0,IF((E$6-$E$3)&lt;1,0,IFERROR(LOOKUP(2,1/('Feijão 2ª safra'!$E13:INDEX('Feijão 2ª safra'!$E13:$Z13,MIN(E$6-$E$3,22))&lt;&gt;""),'Feijão 2ª safra'!$E13:INDEX('Feijão 2ª safra'!$E13:$Z13,MIN(E$6-$E$3,22))),0))-IF($G$2,0,IF((E$6-$G$3)&lt;1,0,IFERROR(LOOKUP(2,1/('Feijão 2ª safra'!$E13:INDEX('Feijão 2ª safra'!$E13:$Z13,MIN(E$6-$G$3,22))&lt;&gt;""),'Feijão 2ª safra'!$E13:INDEX('Feijão 2ª safra'!$E13:$Z13,MIN(E$6-$G$3,22))),0)))))</f>
        <v>0</v>
      </c>
      <c r="F15" s="27" t="n">
        <f aca="false">IF(COUNT('Feijão 2ª safra'!$E13:$Z13)=0,0,MAX(0,IF((F$6-$E$3)&lt;1,0,IFERROR(LOOKUP(2,1/('Feijão 2ª safra'!$E13:INDEX('Feijão 2ª safra'!$E13:$Z13,MIN(F$6-$E$3,22))&lt;&gt;""),'Feijão 2ª safra'!$E13:INDEX('Feijão 2ª safra'!$E13:$Z13,MIN(F$6-$E$3,22))),0))-IF($G$2,0,IF((F$6-$G$3)&lt;1,0,IFERROR(LOOKUP(2,1/('Feijão 2ª safra'!$E13:INDEX('Feijão 2ª safra'!$E13:$Z13,MIN(F$6-$G$3,22))&lt;&gt;""),'Feijão 2ª safra'!$E13:INDEX('Feijão 2ª safra'!$E13:$Z13,MIN(F$6-$G$3,22))),0)))))</f>
        <v>0</v>
      </c>
      <c r="G15" s="27" t="n">
        <f aca="false">IF(COUNT('Feijão 2ª safra'!$E13:$Z13)=0,0,MAX(0,IF((G$6-$E$3)&lt;1,0,IFERROR(LOOKUP(2,1/('Feijão 2ª safra'!$E13:INDEX('Feijão 2ª safra'!$E13:$Z13,MIN(G$6-$E$3,22))&lt;&gt;""),'Feijão 2ª safra'!$E13:INDEX('Feijão 2ª safra'!$E13:$Z13,MIN(G$6-$E$3,22))),0))-IF($G$2,0,IF((G$6-$G$3)&lt;1,0,IFERROR(LOOKUP(2,1/('Feijão 2ª safra'!$E13:INDEX('Feijão 2ª safra'!$E13:$Z13,MIN(G$6-$G$3,22))&lt;&gt;""),'Feijão 2ª safra'!$E13:INDEX('Feijão 2ª safra'!$E13:$Z13,MIN(G$6-$G$3,22))),0)))))</f>
        <v>0</v>
      </c>
      <c r="H15" s="27" t="n">
        <f aca="false">IF(COUNT('Feijão 2ª safra'!$E13:$Z13)=0,0,MAX(0,IF((H$6-$E$3)&lt;1,0,IFERROR(LOOKUP(2,1/('Feijão 2ª safra'!$E13:INDEX('Feijão 2ª safra'!$E13:$Z13,MIN(H$6-$E$3,22))&lt;&gt;""),'Feijão 2ª safra'!$E13:INDEX('Feijão 2ª safra'!$E13:$Z13,MIN(H$6-$E$3,22))),0))-IF($G$2,0,IF((H$6-$G$3)&lt;1,0,IFERROR(LOOKUP(2,1/('Feijão 2ª safra'!$E13:INDEX('Feijão 2ª safra'!$E13:$Z13,MIN(H$6-$G$3,22))&lt;&gt;""),'Feijão 2ª safra'!$E13:INDEX('Feijão 2ª safra'!$E13:$Z13,MIN(H$6-$G$3,22))),0)))))</f>
        <v>0</v>
      </c>
      <c r="I15" s="27" t="n">
        <f aca="false">IF(COUNT('Feijão 2ª safra'!$E13:$Z13)=0,0,MAX(0,IF((I$6-$E$3)&lt;1,0,IFERROR(LOOKUP(2,1/('Feijão 2ª safra'!$E13:INDEX('Feijão 2ª safra'!$E13:$Z13,MIN(I$6-$E$3,22))&lt;&gt;""),'Feijão 2ª safra'!$E13:INDEX('Feijão 2ª safra'!$E13:$Z13,MIN(I$6-$E$3,22))),0))-IF($G$2,0,IF((I$6-$G$3)&lt;1,0,IFERROR(LOOKUP(2,1/('Feijão 2ª safra'!$E13:INDEX('Feijão 2ª safra'!$E13:$Z13,MIN(I$6-$G$3,22))&lt;&gt;""),'Feijão 2ª safra'!$E13:INDEX('Feijão 2ª safra'!$E13:$Z13,MIN(I$6-$G$3,22))),0)))))</f>
        <v>0</v>
      </c>
      <c r="J15" s="27" t="n">
        <f aca="false">IF(COUNT('Feijão 2ª safra'!$E13:$Z13)=0,0,MAX(0,IF((J$6-$E$3)&lt;1,0,IFERROR(LOOKUP(2,1/('Feijão 2ª safra'!$E13:INDEX('Feijão 2ª safra'!$E13:$Z13,MIN(J$6-$E$3,22))&lt;&gt;""),'Feijão 2ª safra'!$E13:INDEX('Feijão 2ª safra'!$E13:$Z13,MIN(J$6-$E$3,22))),0))-IF($G$2,0,IF((J$6-$G$3)&lt;1,0,IFERROR(LOOKUP(2,1/('Feijão 2ª safra'!$E13:INDEX('Feijão 2ª safra'!$E13:$Z13,MIN(J$6-$G$3,22))&lt;&gt;""),'Feijão 2ª safra'!$E13:INDEX('Feijão 2ª safra'!$E13:$Z13,MIN(J$6-$G$3,22))),0)))))</f>
        <v>0</v>
      </c>
      <c r="K15" s="27" t="n">
        <f aca="false">IF(COUNT('Feijão 2ª safra'!$E13:$Z13)=0,0,MAX(0,IF((K$6-$E$3)&lt;1,0,IFERROR(LOOKUP(2,1/('Feijão 2ª safra'!$E13:INDEX('Feijão 2ª safra'!$E13:$Z13,MIN(K$6-$E$3,22))&lt;&gt;""),'Feijão 2ª safra'!$E13:INDEX('Feijão 2ª safra'!$E13:$Z13,MIN(K$6-$E$3,22))),0))-IF($G$2,0,IF((K$6-$G$3)&lt;1,0,IFERROR(LOOKUP(2,1/('Feijão 2ª safra'!$E13:INDEX('Feijão 2ª safra'!$E13:$Z13,MIN(K$6-$G$3,22))&lt;&gt;""),'Feijão 2ª safra'!$E13:INDEX('Feijão 2ª safra'!$E13:$Z13,MIN(K$6-$G$3,22))),0)))))</f>
        <v>0</v>
      </c>
      <c r="L15" s="27" t="n">
        <f aca="false">IF(COUNT('Feijão 2ª safra'!$E13:$Z13)=0,0,MAX(0,IF((L$6-$E$3)&lt;1,0,IFERROR(LOOKUP(2,1/('Feijão 2ª safra'!$E13:INDEX('Feijão 2ª safra'!$E13:$Z13,MIN(L$6-$E$3,22))&lt;&gt;""),'Feijão 2ª safra'!$E13:INDEX('Feijão 2ª safra'!$E13:$Z13,MIN(L$6-$E$3,22))),0))-IF($G$2,0,IF((L$6-$G$3)&lt;1,0,IFERROR(LOOKUP(2,1/('Feijão 2ª safra'!$E13:INDEX('Feijão 2ª safra'!$E13:$Z13,MIN(L$6-$G$3,22))&lt;&gt;""),'Feijão 2ª safra'!$E13:INDEX('Feijão 2ª safra'!$E13:$Z13,MIN(L$6-$G$3,22))),0)))))</f>
        <v>0</v>
      </c>
      <c r="M15" s="27" t="n">
        <f aca="false">IF(COUNT('Feijão 2ª safra'!$E13:$Z13)=0,0,MAX(0,IF((M$6-$E$3)&lt;1,0,IFERROR(LOOKUP(2,1/('Feijão 2ª safra'!$E13:INDEX('Feijão 2ª safra'!$E13:$Z13,MIN(M$6-$E$3,22))&lt;&gt;""),'Feijão 2ª safra'!$E13:INDEX('Feijão 2ª safra'!$E13:$Z13,MIN(M$6-$E$3,22))),0))-IF($G$2,0,IF((M$6-$G$3)&lt;1,0,IFERROR(LOOKUP(2,1/('Feijão 2ª safra'!$E13:INDEX('Feijão 2ª safra'!$E13:$Z13,MIN(M$6-$G$3,22))&lt;&gt;""),'Feijão 2ª safra'!$E13:INDEX('Feijão 2ª safra'!$E13:$Z13,MIN(M$6-$G$3,22))),0)))))</f>
        <v>0</v>
      </c>
      <c r="N15" s="27" t="n">
        <f aca="false">IF(COUNT('Feijão 2ª safra'!$E13:$Z13)=0,0,MAX(0,IF((N$6-$E$3)&lt;1,0,IFERROR(LOOKUP(2,1/('Feijão 2ª safra'!$E13:INDEX('Feijão 2ª safra'!$E13:$Z13,MIN(N$6-$E$3,22))&lt;&gt;""),'Feijão 2ª safra'!$E13:INDEX('Feijão 2ª safra'!$E13:$Z13,MIN(N$6-$E$3,22))),0))-IF($G$2,0,IF((N$6-$G$3)&lt;1,0,IFERROR(LOOKUP(2,1/('Feijão 2ª safra'!$E13:INDEX('Feijão 2ª safra'!$E13:$Z13,MIN(N$6-$G$3,22))&lt;&gt;""),'Feijão 2ª safra'!$E13:INDEX('Feijão 2ª safra'!$E13:$Z13,MIN(N$6-$G$3,22))),0)))))</f>
        <v>0</v>
      </c>
      <c r="O15" s="27" t="n">
        <f aca="false">IF(COUNT('Feijão 2ª safra'!$E13:$Z13)=0,0,MAX(0,IF((O$6-$E$3)&lt;1,0,IFERROR(LOOKUP(2,1/('Feijão 2ª safra'!$E13:INDEX('Feijão 2ª safra'!$E13:$Z13,MIN(O$6-$E$3,22))&lt;&gt;""),'Feijão 2ª safra'!$E13:INDEX('Feijão 2ª safra'!$E13:$Z13,MIN(O$6-$E$3,22))),0))-IF($G$2,0,IF((O$6-$G$3)&lt;1,0,IFERROR(LOOKUP(2,1/('Feijão 2ª safra'!$E13:INDEX('Feijão 2ª safra'!$E13:$Z13,MIN(O$6-$G$3,22))&lt;&gt;""),'Feijão 2ª safra'!$E13:INDEX('Feijão 2ª safra'!$E13:$Z13,MIN(O$6-$G$3,22))),0)))))</f>
        <v>0</v>
      </c>
      <c r="P15" s="27" t="n">
        <f aca="false">IF(COUNT('Feijão 2ª safra'!$E13:$Z13)=0,0,MAX(0,IF((P$6-$E$3)&lt;1,0,IFERROR(LOOKUP(2,1/('Feijão 2ª safra'!$E13:INDEX('Feijão 2ª safra'!$E13:$Z13,MIN(P$6-$E$3,22))&lt;&gt;""),'Feijão 2ª safra'!$E13:INDEX('Feijão 2ª safra'!$E13:$Z13,MIN(P$6-$E$3,22))),0))-IF($G$2,0,IF((P$6-$G$3)&lt;1,0,IFERROR(LOOKUP(2,1/('Feijão 2ª safra'!$E13:INDEX('Feijão 2ª safra'!$E13:$Z13,MIN(P$6-$G$3,22))&lt;&gt;""),'Feijão 2ª safra'!$E13:INDEX('Feijão 2ª safra'!$E13:$Z13,MIN(P$6-$G$3,22))),0)))))</f>
        <v>0</v>
      </c>
      <c r="Q15" s="27" t="n">
        <f aca="false">IF(COUNT('Feijão 2ª safra'!$E13:$Z13)=0,0,MAX(0,IF((Q$6-$E$3)&lt;1,0,IFERROR(LOOKUP(2,1/('Feijão 2ª safra'!$E13:INDEX('Feijão 2ª safra'!$E13:$Z13,MIN(Q$6-$E$3,22))&lt;&gt;""),'Feijão 2ª safra'!$E13:INDEX('Feijão 2ª safra'!$E13:$Z13,MIN(Q$6-$E$3,22))),0))-IF($G$2,0,IF((Q$6-$G$3)&lt;1,0,IFERROR(LOOKUP(2,1/('Feijão 2ª safra'!$E13:INDEX('Feijão 2ª safra'!$E13:$Z13,MIN(Q$6-$G$3,22))&lt;&gt;""),'Feijão 2ª safra'!$E13:INDEX('Feijão 2ª safra'!$E13:$Z13,MIN(Q$6-$G$3,22))),0)))))</f>
        <v>0</v>
      </c>
      <c r="R15" s="27" t="n">
        <f aca="false">IF(COUNT('Feijão 2ª safra'!$E13:$Z13)=0,0,MAX(0,IF((R$6-$E$3)&lt;1,0,IFERROR(LOOKUP(2,1/('Feijão 2ª safra'!$E13:INDEX('Feijão 2ª safra'!$E13:$Z13,MIN(R$6-$E$3,22))&lt;&gt;""),'Feijão 2ª safra'!$E13:INDEX('Feijão 2ª safra'!$E13:$Z13,MIN(R$6-$E$3,22))),0))-IF($G$2,0,IF((R$6-$G$3)&lt;1,0,IFERROR(LOOKUP(2,1/('Feijão 2ª safra'!$E13:INDEX('Feijão 2ª safra'!$E13:$Z13,MIN(R$6-$G$3,22))&lt;&gt;""),'Feijão 2ª safra'!$E13:INDEX('Feijão 2ª safra'!$E13:$Z13,MIN(R$6-$G$3,22))),0)))))</f>
        <v>0</v>
      </c>
      <c r="S15" s="27" t="n">
        <f aca="false">IF(COUNT('Feijão 2ª safra'!$E13:$Z13)=0,0,MAX(0,IF((S$6-$E$3)&lt;1,0,IFERROR(LOOKUP(2,1/('Feijão 2ª safra'!$E13:INDEX('Feijão 2ª safra'!$E13:$Z13,MIN(S$6-$E$3,22))&lt;&gt;""),'Feijão 2ª safra'!$E13:INDEX('Feijão 2ª safra'!$E13:$Z13,MIN(S$6-$E$3,22))),0))-IF($G$2,0,IF((S$6-$G$3)&lt;1,0,IFERROR(LOOKUP(2,1/('Feijão 2ª safra'!$E13:INDEX('Feijão 2ª safra'!$E13:$Z13,MIN(S$6-$G$3,22))&lt;&gt;""),'Feijão 2ª safra'!$E13:INDEX('Feijão 2ª safra'!$E13:$Z13,MIN(S$6-$G$3,22))),0)))))</f>
        <v>0</v>
      </c>
      <c r="T15" s="27" t="n">
        <f aca="false">IF(COUNT('Feijão 2ª safra'!$E13:$Z13)=0,0,MAX(0,IF((T$6-$E$3)&lt;1,0,IFERROR(LOOKUP(2,1/('Feijão 2ª safra'!$E13:INDEX('Feijão 2ª safra'!$E13:$Z13,MIN(T$6-$E$3,22))&lt;&gt;""),'Feijão 2ª safra'!$E13:INDEX('Feijão 2ª safra'!$E13:$Z13,MIN(T$6-$E$3,22))),0))-IF($G$2,0,IF((T$6-$G$3)&lt;1,0,IFERROR(LOOKUP(2,1/('Feijão 2ª safra'!$E13:INDEX('Feijão 2ª safra'!$E13:$Z13,MIN(T$6-$G$3,22))&lt;&gt;""),'Feijão 2ª safra'!$E13:INDEX('Feijão 2ª safra'!$E13:$Z13,MIN(T$6-$G$3,22))),0)))))</f>
        <v>0</v>
      </c>
      <c r="U15" s="27" t="n">
        <f aca="false">IF(COUNT('Feijão 2ª safra'!$E13:$Z13)=0,0,MAX(0,IF((U$6-$E$3)&lt;1,0,IFERROR(LOOKUP(2,1/('Feijão 2ª safra'!$E13:INDEX('Feijão 2ª safra'!$E13:$Z13,MIN(U$6-$E$3,22))&lt;&gt;""),'Feijão 2ª safra'!$E13:INDEX('Feijão 2ª safra'!$E13:$Z13,MIN(U$6-$E$3,22))),0))-IF($G$2,0,IF((U$6-$G$3)&lt;1,0,IFERROR(LOOKUP(2,1/('Feijão 2ª safra'!$E13:INDEX('Feijão 2ª safra'!$E13:$Z13,MIN(U$6-$G$3,22))&lt;&gt;""),'Feijão 2ª safra'!$E13:INDEX('Feijão 2ª safra'!$E13:$Z13,MIN(U$6-$G$3,22))),0)))))</f>
        <v>0</v>
      </c>
      <c r="V15" s="27" t="n">
        <f aca="false">IF(COUNT('Feijão 2ª safra'!$E13:$Z13)=0,0,MAX(0,IF((V$6-$E$3)&lt;1,0,IFERROR(LOOKUP(2,1/('Feijão 2ª safra'!$E13:INDEX('Feijão 2ª safra'!$E13:$Z13,MIN(V$6-$E$3,22))&lt;&gt;""),'Feijão 2ª safra'!$E13:INDEX('Feijão 2ª safra'!$E13:$Z13,MIN(V$6-$E$3,22))),0))-IF($G$2,0,IF((V$6-$G$3)&lt;1,0,IFERROR(LOOKUP(2,1/('Feijão 2ª safra'!$E13:INDEX('Feijão 2ª safra'!$E13:$Z13,MIN(V$6-$G$3,22))&lt;&gt;""),'Feijão 2ª safra'!$E13:INDEX('Feijão 2ª safra'!$E13:$Z13,MIN(V$6-$G$3,22))),0)))))</f>
        <v>0</v>
      </c>
      <c r="W15" s="27" t="n">
        <f aca="false">IF(COUNT('Feijão 2ª safra'!$E13:$Z13)=0,0,MAX(0,IF((W$6-$E$3)&lt;1,0,IFERROR(LOOKUP(2,1/('Feijão 2ª safra'!$E13:INDEX('Feijão 2ª safra'!$E13:$Z13,MIN(W$6-$E$3,22))&lt;&gt;""),'Feijão 2ª safra'!$E13:INDEX('Feijão 2ª safra'!$E13:$Z13,MIN(W$6-$E$3,22))),0))-IF($G$2,0,IF((W$6-$G$3)&lt;1,0,IFERROR(LOOKUP(2,1/('Feijão 2ª safra'!$E13:INDEX('Feijão 2ª safra'!$E13:$Z13,MIN(W$6-$G$3,22))&lt;&gt;""),'Feijão 2ª safra'!$E13:INDEX('Feijão 2ª safra'!$E13:$Z13,MIN(W$6-$G$3,22))),0)))))</f>
        <v>0</v>
      </c>
      <c r="X15" s="27" t="n">
        <f aca="false">IF(COUNT('Feijão 2ª safra'!$E13:$Z13)=0,0,MAX(0,IF((X$6-$E$3)&lt;1,0,IFERROR(LOOKUP(2,1/('Feijão 2ª safra'!$E13:INDEX('Feijão 2ª safra'!$E13:$Z13,MIN(X$6-$E$3,22))&lt;&gt;""),'Feijão 2ª safra'!$E13:INDEX('Feijão 2ª safra'!$E13:$Z13,MIN(X$6-$E$3,22))),0))-IF($G$2,0,IF((X$6-$G$3)&lt;1,0,IFERROR(LOOKUP(2,1/('Feijão 2ª safra'!$E13:INDEX('Feijão 2ª safra'!$E13:$Z13,MIN(X$6-$G$3,22))&lt;&gt;""),'Feijão 2ª safra'!$E13:INDEX('Feijão 2ª safra'!$E13:$Z13,MIN(X$6-$G$3,22))),0)))))</f>
        <v>0</v>
      </c>
      <c r="Y15" s="27" t="n">
        <f aca="false">IF(COUNT('Feijão 2ª safra'!$E13:$Z13)=0,0,MAX(0,IF((Y$6-$E$3)&lt;1,0,IFERROR(LOOKUP(2,1/('Feijão 2ª safra'!$E13:INDEX('Feijão 2ª safra'!$E13:$Z13,MIN(Y$6-$E$3,22))&lt;&gt;""),'Feijão 2ª safra'!$E13:INDEX('Feijão 2ª safra'!$E13:$Z13,MIN(Y$6-$E$3,22))),0))-IF($G$2,0,IF((Y$6-$G$3)&lt;1,0,IFERROR(LOOKUP(2,1/('Feijão 2ª safra'!$E13:INDEX('Feijão 2ª safra'!$E13:$Z13,MIN(Y$6-$G$3,22))&lt;&gt;""),'Feijão 2ª safra'!$E13:INDEX('Feijão 2ª safra'!$E13:$Z13,MIN(Y$6-$G$3,22))),0)))))</f>
        <v>0</v>
      </c>
      <c r="Z15" s="27" t="n">
        <f aca="false">IF(COUNT('Feijão 2ª safra'!$E13:$Z13)=0,0,MAX(0,IF((Z$6-$E$3)&lt;1,0,IFERROR(LOOKUP(2,1/('Feijão 2ª safra'!$E13:INDEX('Feijão 2ª safra'!$E13:$Z13,MIN(Z$6-$E$3,22))&lt;&gt;""),'Feijão 2ª safra'!$E13:INDEX('Feijão 2ª safra'!$E13:$Z13,MIN(Z$6-$E$3,22))),0))-IF($G$2,0,IF((Z$6-$G$3)&lt;1,0,IFERROR(LOOKUP(2,1/('Feijão 2ª safra'!$E13:INDEX('Feijão 2ª safra'!$E13:$Z13,MIN(Z$6-$G$3,22))&lt;&gt;""),'Feijão 2ª safra'!$E13:INDEX('Feijão 2ª safra'!$E13:$Z13,MIN(Z$6-$G$3,22))),0)))))</f>
        <v>0</v>
      </c>
      <c r="AA15" s="27" t="n">
        <f aca="false">IF(COUNT('Feijão 2ª safra'!$E13:$Z13)=0,0,MAX(0,IF((AA$6-$E$3)&lt;1,0,IFERROR(LOOKUP(2,1/('Feijão 2ª safra'!$E13:INDEX('Feijão 2ª safra'!$E13:$Z13,MIN(AA$6-$E$3,22))&lt;&gt;""),'Feijão 2ª safra'!$E13:INDEX('Feijão 2ª safra'!$E13:$Z13,MIN(AA$6-$E$3,22))),0))-IF($G$2,0,IF((AA$6-$G$3)&lt;1,0,IFERROR(LOOKUP(2,1/('Feijão 2ª safra'!$E13:INDEX('Feijão 2ª safra'!$E13:$Z13,MIN(AA$6-$G$3,22))&lt;&gt;""),'Feijão 2ª safra'!$E13:INDEX('Feijão 2ª safra'!$E13:$Z13,MIN(AA$6-$G$3,22))),0)))))</f>
        <v>0</v>
      </c>
      <c r="AB15" s="27" t="n">
        <f aca="false">IF(COUNT('Feijão 2ª safra'!$E13:$Z13)=0,0,MAX(0,IF((AB$6-$E$3)&lt;1,0,IFERROR(LOOKUP(2,1/('Feijão 2ª safra'!$E13:INDEX('Feijão 2ª safra'!$E13:$Z13,MIN(AB$6-$E$3,22))&lt;&gt;""),'Feijão 2ª safra'!$E13:INDEX('Feijão 2ª safra'!$E13:$Z13,MIN(AB$6-$E$3,22))),0))-IF($G$2,0,IF((AB$6-$G$3)&lt;1,0,IFERROR(LOOKUP(2,1/('Feijão 2ª safra'!$E13:INDEX('Feijão 2ª safra'!$E13:$Z13,MIN(AB$6-$G$3,22))&lt;&gt;""),'Feijão 2ª safra'!$E13:INDEX('Feijão 2ª safra'!$E13:$Z13,MIN(AB$6-$G$3,22))),0)))))</f>
        <v>0</v>
      </c>
      <c r="AC15" s="27" t="n">
        <f aca="false">IF(COUNT('Feijão 2ª safra'!$E13:$Z13)=0,0,MAX(0,IF((AC$6-$E$3)&lt;1,0,IFERROR(LOOKUP(2,1/('Feijão 2ª safra'!$E13:INDEX('Feijão 2ª safra'!$E13:$Z13,MIN(AC$6-$E$3,22))&lt;&gt;""),'Feijão 2ª safra'!$E13:INDEX('Feijão 2ª safra'!$E13:$Z13,MIN(AC$6-$E$3,22))),0))-IF($G$2,0,IF((AC$6-$G$3)&lt;1,0,IFERROR(LOOKUP(2,1/('Feijão 2ª safra'!$E13:INDEX('Feijão 2ª safra'!$E13:$Z13,MIN(AC$6-$G$3,22))&lt;&gt;""),'Feijão 2ª safra'!$E13:INDEX('Feijão 2ª safra'!$E13:$Z13,MIN(AC$6-$G$3,22))),0)))))</f>
        <v>0</v>
      </c>
      <c r="AD15" s="27" t="n">
        <f aca="false">IF(COUNT('Feijão 2ª safra'!$E13:$Z13)=0,0,MAX(0,IF((AD$6-$E$3)&lt;1,0,IFERROR(LOOKUP(2,1/('Feijão 2ª safra'!$E13:INDEX('Feijão 2ª safra'!$E13:$Z13,MIN(AD$6-$E$3,22))&lt;&gt;""),'Feijão 2ª safra'!$E13:INDEX('Feijão 2ª safra'!$E13:$Z13,MIN(AD$6-$E$3,22))),0))-IF($G$2,0,IF((AD$6-$G$3)&lt;1,0,IFERROR(LOOKUP(2,1/('Feijão 2ª safra'!$E13:INDEX('Feijão 2ª safra'!$E13:$Z13,MIN(AD$6-$G$3,22))&lt;&gt;""),'Feijão 2ª safra'!$E13:INDEX('Feijão 2ª safra'!$E13:$Z13,MIN(AD$6-$G$3,22))),0)))))</f>
        <v>0</v>
      </c>
      <c r="AE15" s="27" t="n">
        <f aca="false">IF(COUNT('Feijão 2ª safra'!$E13:$Z13)=0,0,MAX(0,IF((AE$6-$E$3)&lt;1,0,IFERROR(LOOKUP(2,1/('Feijão 2ª safra'!$E13:INDEX('Feijão 2ª safra'!$E13:$Z13,MIN(AE$6-$E$3,22))&lt;&gt;""),'Feijão 2ª safra'!$E13:INDEX('Feijão 2ª safra'!$E13:$Z13,MIN(AE$6-$E$3,22))),0))-IF($G$2,0,IF((AE$6-$G$3)&lt;1,0,IFERROR(LOOKUP(2,1/('Feijão 2ª safra'!$E13:INDEX('Feijão 2ª safra'!$E13:$Z13,MIN(AE$6-$G$3,22))&lt;&gt;""),'Feijão 2ª safra'!$E13:INDEX('Feijão 2ª safra'!$E13:$Z13,MIN(AE$6-$G$3,22))),0)))))</f>
        <v>0</v>
      </c>
      <c r="AF15" s="27" t="n">
        <f aca="false">IF(COUNT('Feijão 2ª safra'!$E13:$Z13)=0,0,MAX(0,IF((AF$6-$E$3)&lt;1,0,IFERROR(LOOKUP(2,1/('Feijão 2ª safra'!$E13:INDEX('Feijão 2ª safra'!$E13:$Z13,MIN(AF$6-$E$3,22))&lt;&gt;""),'Feijão 2ª safra'!$E13:INDEX('Feijão 2ª safra'!$E13:$Z13,MIN(AF$6-$E$3,22))),0))-IF($G$2,0,IF((AF$6-$G$3)&lt;1,0,IFERROR(LOOKUP(2,1/('Feijão 2ª safra'!$E13:INDEX('Feijão 2ª safra'!$E13:$Z13,MIN(AF$6-$G$3,22))&lt;&gt;""),'Feijão 2ª safra'!$E13:INDEX('Feijão 2ª safra'!$E13:$Z13,MIN(AF$6-$G$3,22))),0)))))</f>
        <v>0</v>
      </c>
      <c r="AG15" s="27" t="n">
        <f aca="false">IF(COUNT('Feijão 2ª safra'!$E13:$Z13)=0,0,MAX(0,IF((AG$6-$E$3)&lt;1,0,IFERROR(LOOKUP(2,1/('Feijão 2ª safra'!$E13:INDEX('Feijão 2ª safra'!$E13:$Z13,MIN(AG$6-$E$3,22))&lt;&gt;""),'Feijão 2ª safra'!$E13:INDEX('Feijão 2ª safra'!$E13:$Z13,MIN(AG$6-$E$3,22))),0))-IF($G$2,0,IF((AG$6-$G$3)&lt;1,0,IFERROR(LOOKUP(2,1/('Feijão 2ª safra'!$E13:INDEX('Feijão 2ª safra'!$E13:$Z13,MIN(AG$6-$G$3,22))&lt;&gt;""),'Feijão 2ª safra'!$E13:INDEX('Feijão 2ª safra'!$E13:$Z13,MIN(AG$6-$G$3,22))),0)))))</f>
        <v>0</v>
      </c>
      <c r="AH15" s="27" t="n">
        <f aca="false">IF(COUNT('Feijão 2ª safra'!$E13:$Z13)=0,0,MAX(0,IF((AH$6-$E$3)&lt;1,0,IFERROR(LOOKUP(2,1/('Feijão 2ª safra'!$E13:INDEX('Feijão 2ª safra'!$E13:$Z13,MIN(AH$6-$E$3,22))&lt;&gt;""),'Feijão 2ª safra'!$E13:INDEX('Feijão 2ª safra'!$E13:$Z13,MIN(AH$6-$E$3,22))),0))-IF($G$2,0,IF((AH$6-$G$3)&lt;1,0,IFERROR(LOOKUP(2,1/('Feijão 2ª safra'!$E13:INDEX('Feijão 2ª safra'!$E13:$Z13,MIN(AH$6-$G$3,22))&lt;&gt;""),'Feijão 2ª safra'!$E13:INDEX('Feijão 2ª safra'!$E13:$Z13,MIN(AH$6-$G$3,22))),0)))))</f>
        <v>0</v>
      </c>
      <c r="AI15" s="27" t="n">
        <f aca="false">IF(COUNT('Feijão 2ª safra'!$E13:$Z13)=0,0,MAX(0,IF((AI$6-$E$3)&lt;1,0,IFERROR(LOOKUP(2,1/('Feijão 2ª safra'!$E13:INDEX('Feijão 2ª safra'!$E13:$Z13,MIN(AI$6-$E$3,22))&lt;&gt;""),'Feijão 2ª safra'!$E13:INDEX('Feijão 2ª safra'!$E13:$Z13,MIN(AI$6-$E$3,22))),0))-IF($G$2,0,IF((AI$6-$G$3)&lt;1,0,IFERROR(LOOKUP(2,1/('Feijão 2ª safra'!$E13:INDEX('Feijão 2ª safra'!$E13:$Z13,MIN(AI$6-$G$3,22))&lt;&gt;""),'Feijão 2ª safra'!$E13:INDEX('Feijão 2ª safra'!$E13:$Z13,MIN(AI$6-$G$3,22))),0)))))</f>
        <v>0</v>
      </c>
      <c r="AJ15" s="27" t="n">
        <f aca="false">IF(COUNT('Feijão 2ª safra'!$E13:$Z13)=0,0,MAX(0,IF((AJ$6-$E$3)&lt;1,0,IFERROR(LOOKUP(2,1/('Feijão 2ª safra'!$E13:INDEX('Feijão 2ª safra'!$E13:$Z13,MIN(AJ$6-$E$3,22))&lt;&gt;""),'Feijão 2ª safra'!$E13:INDEX('Feijão 2ª safra'!$E13:$Z13,MIN(AJ$6-$E$3,22))),0))-IF($G$2,0,IF((AJ$6-$G$3)&lt;1,0,IFERROR(LOOKUP(2,1/('Feijão 2ª safra'!$E13:INDEX('Feijão 2ª safra'!$E13:$Z13,MIN(AJ$6-$G$3,22))&lt;&gt;""),'Feijão 2ª safra'!$E13:INDEX('Feijão 2ª safra'!$E13:$Z13,MIN(AJ$6-$G$3,22))),0)))))</f>
        <v>0</v>
      </c>
      <c r="AK15" s="27" t="n">
        <f aca="false">IF(COUNT('Feijão 2ª safra'!$E13:$Z13)=0,0,MAX(0,IF((AK$6-$E$3)&lt;1,0,IFERROR(LOOKUP(2,1/('Feijão 2ª safra'!$E13:INDEX('Feijão 2ª safra'!$E13:$Z13,MIN(AK$6-$E$3,22))&lt;&gt;""),'Feijão 2ª safra'!$E13:INDEX('Feijão 2ª safra'!$E13:$Z13,MIN(AK$6-$E$3,22))),0))-IF($G$2,0,IF((AK$6-$G$3)&lt;1,0,IFERROR(LOOKUP(2,1/('Feijão 2ª safra'!$E13:INDEX('Feijão 2ª safra'!$E13:$Z13,MIN(AK$6-$G$3,22))&lt;&gt;""),'Feijão 2ª safra'!$E13:INDEX('Feijão 2ª safra'!$E13:$Z13,MIN(AK$6-$G$3,22))),0)))))</f>
        <v>0</v>
      </c>
      <c r="AL15" s="27" t="n">
        <f aca="false">IF(COUNT('Feijão 2ª safra'!$E13:$Z13)=0,0,MAX(0,IF((AL$6-$E$3)&lt;1,0,IFERROR(LOOKUP(2,1/('Feijão 2ª safra'!$E13:INDEX('Feijão 2ª safra'!$E13:$Z13,MIN(AL$6-$E$3,22))&lt;&gt;""),'Feijão 2ª safra'!$E13:INDEX('Feijão 2ª safra'!$E13:$Z13,MIN(AL$6-$E$3,22))),0))-IF($G$2,0,IF((AL$6-$G$3)&lt;1,0,IFERROR(LOOKUP(2,1/('Feijão 2ª safra'!$E13:INDEX('Feijão 2ª safra'!$E13:$Z13,MIN(AL$6-$G$3,22))&lt;&gt;""),'Feijão 2ª safra'!$E13:INDEX('Feijão 2ª safra'!$E13:$Z13,MIN(AL$6-$G$3,22))),0)))))</f>
        <v>0</v>
      </c>
      <c r="AM15" s="27" t="n">
        <f aca="false">IF(COUNT('Feijão 2ª safra'!$E13:$Z13)=0,0,MAX(0,IF((AM$6-$E$3)&lt;1,0,IFERROR(LOOKUP(2,1/('Feijão 2ª safra'!$E13:INDEX('Feijão 2ª safra'!$E13:$Z13,MIN(AM$6-$E$3,22))&lt;&gt;""),'Feijão 2ª safra'!$E13:INDEX('Feijão 2ª safra'!$E13:$Z13,MIN(AM$6-$E$3,22))),0))-IF($G$2,0,IF((AM$6-$G$3)&lt;1,0,IFERROR(LOOKUP(2,1/('Feijão 2ª safra'!$E13:INDEX('Feijão 2ª safra'!$E13:$Z13,MIN(AM$6-$G$3,22))&lt;&gt;""),'Feijão 2ª safra'!$E13:INDEX('Feijão 2ª safra'!$E13:$Z13,MIN(AM$6-$G$3,22))),0)))))</f>
        <v>0</v>
      </c>
      <c r="AN15" s="27" t="n">
        <f aca="false">IF(COUNT('Feijão 2ª safra'!$E13:$Z13)=0,0,MAX(0,IF((AN$6-$E$3)&lt;1,0,IFERROR(LOOKUP(2,1/('Feijão 2ª safra'!$E13:INDEX('Feijão 2ª safra'!$E13:$Z13,MIN(AN$6-$E$3,22))&lt;&gt;""),'Feijão 2ª safra'!$E13:INDEX('Feijão 2ª safra'!$E13:$Z13,MIN(AN$6-$E$3,22))),0))-IF($G$2,0,IF((AN$6-$G$3)&lt;1,0,IFERROR(LOOKUP(2,1/('Feijão 2ª safra'!$E13:INDEX('Feijão 2ª safra'!$E13:$Z13,MIN(AN$6-$G$3,22))&lt;&gt;""),'Feijão 2ª safra'!$E13:INDEX('Feijão 2ª safra'!$E13:$Z13,MIN(AN$6-$G$3,22))),0)))))</f>
        <v>0</v>
      </c>
      <c r="AO15" s="27" t="n">
        <f aca="false">IF(COUNT('Feijão 2ª safra'!$E13:$Z13)=0,0,MAX(0,IF((AO$6-$E$3)&lt;1,0,IFERROR(LOOKUP(2,1/('Feijão 2ª safra'!$E13:INDEX('Feijão 2ª safra'!$E13:$Z13,MIN(AO$6-$E$3,22))&lt;&gt;""),'Feijão 2ª safra'!$E13:INDEX('Feijão 2ª safra'!$E13:$Z13,MIN(AO$6-$E$3,22))),0))-IF($G$2,0,IF((AO$6-$G$3)&lt;1,0,IFERROR(LOOKUP(2,1/('Feijão 2ª safra'!$E13:INDEX('Feijão 2ª safra'!$E13:$Z13,MIN(AO$6-$G$3,22))&lt;&gt;""),'Feijão 2ª safra'!$E13:INDEX('Feijão 2ª safra'!$E13:$Z13,MIN(AO$6-$G$3,22))),0)))))</f>
        <v>0</v>
      </c>
      <c r="AP15" s="27" t="n">
        <f aca="false">IF(COUNT('Feijão 2ª safra'!$E13:$Z13)=0,0,MAX(0,IF((AP$6-$E$3)&lt;1,0,IFERROR(LOOKUP(2,1/('Feijão 2ª safra'!$E13:INDEX('Feijão 2ª safra'!$E13:$Z13,MIN(AP$6-$E$3,22))&lt;&gt;""),'Feijão 2ª safra'!$E13:INDEX('Feijão 2ª safra'!$E13:$Z13,MIN(AP$6-$E$3,22))),0))-IF($G$2,0,IF((AP$6-$G$3)&lt;1,0,IFERROR(LOOKUP(2,1/('Feijão 2ª safra'!$E13:INDEX('Feijão 2ª safra'!$E13:$Z13,MIN(AP$6-$G$3,22))&lt;&gt;""),'Feijão 2ª safra'!$E13:INDEX('Feijão 2ª safra'!$E13:$Z13,MIN(AP$6-$G$3,22))),0)))))</f>
        <v>0</v>
      </c>
      <c r="AQ15" s="27" t="n">
        <f aca="false">IF(COUNT('Feijão 2ª safra'!$E13:$Z13)=0,0,MAX(0,IF((AQ$6-$E$3)&lt;1,0,IFERROR(LOOKUP(2,1/('Feijão 2ª safra'!$E13:INDEX('Feijão 2ª safra'!$E13:$Z13,MIN(AQ$6-$E$3,22))&lt;&gt;""),'Feijão 2ª safra'!$E13:INDEX('Feijão 2ª safra'!$E13:$Z13,MIN(AQ$6-$E$3,22))),0))-IF($G$2,0,IF((AQ$6-$G$3)&lt;1,0,IFERROR(LOOKUP(2,1/('Feijão 2ª safra'!$E13:INDEX('Feijão 2ª safra'!$E13:$Z13,MIN(AQ$6-$G$3,22))&lt;&gt;""),'Feijão 2ª safra'!$E13:INDEX('Feijão 2ª safra'!$E13:$Z13,MIN(AQ$6-$G$3,22))),0)))))</f>
        <v>0</v>
      </c>
      <c r="AR15" s="27" t="n">
        <f aca="false">IF(COUNT('Feijão 2ª safra'!$E13:$Z13)=0,0,MAX(0,IF((AR$6-$E$3)&lt;1,0,IFERROR(LOOKUP(2,1/('Feijão 2ª safra'!$E13:INDEX('Feijão 2ª safra'!$E13:$Z13,MIN(AR$6-$E$3,22))&lt;&gt;""),'Feijão 2ª safra'!$E13:INDEX('Feijão 2ª safra'!$E13:$Z13,MIN(AR$6-$E$3,22))),0))-IF($G$2,0,IF((AR$6-$G$3)&lt;1,0,IFERROR(LOOKUP(2,1/('Feijão 2ª safra'!$E13:INDEX('Feijão 2ª safra'!$E13:$Z13,MIN(AR$6-$G$3,22))&lt;&gt;""),'Feijão 2ª safra'!$E13:INDEX('Feijão 2ª safra'!$E13:$Z13,MIN(AR$6-$G$3,22))),0)))))</f>
        <v>0</v>
      </c>
      <c r="AS15" s="27" t="n">
        <f aca="false">IF(COUNT('Feijão 2ª safra'!$E13:$Z13)=0,0,MAX(0,IF((AS$6-$E$3)&lt;1,0,IFERROR(LOOKUP(2,1/('Feijão 2ª safra'!$E13:INDEX('Feijão 2ª safra'!$E13:$Z13,MIN(AS$6-$E$3,22))&lt;&gt;""),'Feijão 2ª safra'!$E13:INDEX('Feijão 2ª safra'!$E13:$Z13,MIN(AS$6-$E$3,22))),0))-IF($G$2,0,IF((AS$6-$G$3)&lt;1,0,IFERROR(LOOKUP(2,1/('Feijão 2ª safra'!$E13:INDEX('Feijão 2ª safra'!$E13:$Z13,MIN(AS$6-$G$3,22))&lt;&gt;""),'Feijão 2ª safra'!$E13:INDEX('Feijão 2ª safra'!$E13:$Z13,MIN(AS$6-$G$3,22))),0)))))</f>
        <v>0</v>
      </c>
      <c r="AT15" s="27" t="n">
        <f aca="false">IF(COUNT('Feijão 2ª safra'!$E13:$Z13)=0,0,MAX(0,IF((AT$6-$E$3)&lt;1,0,IFERROR(LOOKUP(2,1/('Feijão 2ª safra'!$E13:INDEX('Feijão 2ª safra'!$E13:$Z13,MIN(AT$6-$E$3,22))&lt;&gt;""),'Feijão 2ª safra'!$E13:INDEX('Feijão 2ª safra'!$E13:$Z13,MIN(AT$6-$E$3,22))),0))-IF($G$2,0,IF((AT$6-$G$3)&lt;1,0,IFERROR(LOOKUP(2,1/('Feijão 2ª safra'!$E13:INDEX('Feijão 2ª safra'!$E13:$Z13,MIN(AT$6-$G$3,22))&lt;&gt;""),'Feijão 2ª safra'!$E13:INDEX('Feijão 2ª safra'!$E13:$Z13,MIN(AT$6-$G$3,22))),0)))))</f>
        <v>0</v>
      </c>
      <c r="AU15" s="27" t="n">
        <f aca="false">IF(COUNT('Feijão 2ª safra'!$E13:$Z13)=0,0,MAX(0,IF((AU$6-$E$3)&lt;1,0,IFERROR(LOOKUP(2,1/('Feijão 2ª safra'!$E13:INDEX('Feijão 2ª safra'!$E13:$Z13,MIN(AU$6-$E$3,22))&lt;&gt;""),'Feijão 2ª safra'!$E13:INDEX('Feijão 2ª safra'!$E13:$Z13,MIN(AU$6-$E$3,22))),0))-IF($G$2,0,IF((AU$6-$G$3)&lt;1,0,IFERROR(LOOKUP(2,1/('Feijão 2ª safra'!$E13:INDEX('Feijão 2ª safra'!$E13:$Z13,MIN(AU$6-$G$3,22))&lt;&gt;""),'Feijão 2ª safra'!$E13:INDEX('Feijão 2ª safra'!$E13:$Z13,MIN(AU$6-$G$3,22))),0)))))</f>
        <v>0</v>
      </c>
      <c r="AV15" s="27" t="n">
        <f aca="false">IF(COUNT('Feijão 2ª safra'!$E13:$Z13)=0,0,MAX(0,IF((AV$6-$E$3)&lt;1,0,IFERROR(LOOKUP(2,1/('Feijão 2ª safra'!$E13:INDEX('Feijão 2ª safra'!$E13:$Z13,MIN(AV$6-$E$3,22))&lt;&gt;""),'Feijão 2ª safra'!$E13:INDEX('Feijão 2ª safra'!$E13:$Z13,MIN(AV$6-$E$3,22))),0))-IF($G$2,0,IF((AV$6-$G$3)&lt;1,0,IFERROR(LOOKUP(2,1/('Feijão 2ª safra'!$E13:INDEX('Feijão 2ª safra'!$E13:$Z13,MIN(AV$6-$G$3,22))&lt;&gt;""),'Feijão 2ª safra'!$E13:INDEX('Feijão 2ª safra'!$E13:$Z13,MIN(AV$6-$G$3,22))),0)))))</f>
        <v>0</v>
      </c>
      <c r="AW15" s="27" t="n">
        <f aca="false">IF(COUNT('Feijão 2ª safra'!$E13:$Z13)=0,0,MAX(0,IF((AW$6-$E$3)&lt;1,0,IFERROR(LOOKUP(2,1/('Feijão 2ª safra'!$E13:INDEX('Feijão 2ª safra'!$E13:$Z13,MIN(AW$6-$E$3,22))&lt;&gt;""),'Feijão 2ª safra'!$E13:INDEX('Feijão 2ª safra'!$E13:$Z13,MIN(AW$6-$E$3,22))),0))-IF($G$2,0,IF((AW$6-$G$3)&lt;1,0,IFERROR(LOOKUP(2,1/('Feijão 2ª safra'!$E13:INDEX('Feijão 2ª safra'!$E13:$Z13,MIN(AW$6-$G$3,22))&lt;&gt;""),'Feijão 2ª safra'!$E13:INDEX('Feijão 2ª safra'!$E13:$Z13,MIN(AW$6-$G$3,22))),0)))))</f>
        <v>0</v>
      </c>
      <c r="AX15" s="27" t="n">
        <f aca="false">IF(COUNT('Feijão 2ª safra'!$E13:$Z13)=0,0,MAX(0,IF((AX$6-$E$3)&lt;1,0,IFERROR(LOOKUP(2,1/('Feijão 2ª safra'!$E13:INDEX('Feijão 2ª safra'!$E13:$Z13,MIN(AX$6-$E$3,22))&lt;&gt;""),'Feijão 2ª safra'!$E13:INDEX('Feijão 2ª safra'!$E13:$Z13,MIN(AX$6-$E$3,22))),0))-IF($G$2,0,IF((AX$6-$G$3)&lt;1,0,IFERROR(LOOKUP(2,1/('Feijão 2ª safra'!$E13:INDEX('Feijão 2ª safra'!$E13:$Z13,MIN(AX$6-$G$3,22))&lt;&gt;""),'Feijão 2ª safra'!$E13:INDEX('Feijão 2ª safra'!$E13:$Z13,MIN(AX$6-$G$3,22))),0)))))</f>
        <v>0</v>
      </c>
      <c r="AY15" s="27" t="n">
        <f aca="false">IF(COUNT('Feijão 2ª safra'!$E13:$Z13)=0,0,MAX(0,IF((AY$6-$E$3)&lt;1,0,IFERROR(LOOKUP(2,1/('Feijão 2ª safra'!$E13:INDEX('Feijão 2ª safra'!$E13:$Z13,MIN(AY$6-$E$3,22))&lt;&gt;""),'Feijão 2ª safra'!$E13:INDEX('Feijão 2ª safra'!$E13:$Z13,MIN(AY$6-$E$3,22))),0))-IF($G$2,0,IF((AY$6-$G$3)&lt;1,0,IFERROR(LOOKUP(2,1/('Feijão 2ª safra'!$E13:INDEX('Feijão 2ª safra'!$E13:$Z13,MIN(AY$6-$G$3,22))&lt;&gt;""),'Feijão 2ª safra'!$E13:INDEX('Feijão 2ª safra'!$E13:$Z13,MIN(AY$6-$G$3,22))),0)))))</f>
        <v>0</v>
      </c>
      <c r="AZ15" s="27" t="n">
        <f aca="false">IF(COUNT('Feijão 2ª safra'!$E13:$Z13)=0,0,MAX(0,IF((AZ$6-$E$3)&lt;1,0,IFERROR(LOOKUP(2,1/('Feijão 2ª safra'!$E13:INDEX('Feijão 2ª safra'!$E13:$Z13,MIN(AZ$6-$E$3,22))&lt;&gt;""),'Feijão 2ª safra'!$E13:INDEX('Feijão 2ª safra'!$E13:$Z13,MIN(AZ$6-$E$3,22))),0))-IF($G$2,0,IF((AZ$6-$G$3)&lt;1,0,IFERROR(LOOKUP(2,1/('Feijão 2ª safra'!$E13:INDEX('Feijão 2ª safra'!$E13:$Z13,MIN(AZ$6-$G$3,22))&lt;&gt;""),'Feijão 2ª safra'!$E13:INDEX('Feijão 2ª safra'!$E13:$Z13,MIN(AZ$6-$G$3,22))),0)))))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IF(COUNT('Feijão 2ª safra'!$E14:$Z14)&gt;0,N('Feijão 2ª safra'!$D14),0)</f>
        <v>0</v>
      </c>
      <c r="E16" s="27" t="n">
        <f aca="false">IF(COUNT('Feijão 2ª safra'!$E14:$Z14)=0,0,MAX(0,IF((E$6-$E$3)&lt;1,0,IFERROR(LOOKUP(2,1/('Feijão 2ª safra'!$E14:INDEX('Feijão 2ª safra'!$E14:$Z14,MIN(E$6-$E$3,22))&lt;&gt;""),'Feijão 2ª safra'!$E14:INDEX('Feijão 2ª safra'!$E14:$Z14,MIN(E$6-$E$3,22))),0))-IF($G$2,0,IF((E$6-$G$3)&lt;1,0,IFERROR(LOOKUP(2,1/('Feijão 2ª safra'!$E14:INDEX('Feijão 2ª safra'!$E14:$Z14,MIN(E$6-$G$3,22))&lt;&gt;""),'Feijão 2ª safra'!$E14:INDEX('Feijão 2ª safra'!$E14:$Z14,MIN(E$6-$G$3,22))),0)))))</f>
        <v>0</v>
      </c>
      <c r="F16" s="27" t="n">
        <f aca="false">IF(COUNT('Feijão 2ª safra'!$E14:$Z14)=0,0,MAX(0,IF((F$6-$E$3)&lt;1,0,IFERROR(LOOKUP(2,1/('Feijão 2ª safra'!$E14:INDEX('Feijão 2ª safra'!$E14:$Z14,MIN(F$6-$E$3,22))&lt;&gt;""),'Feijão 2ª safra'!$E14:INDEX('Feijão 2ª safra'!$E14:$Z14,MIN(F$6-$E$3,22))),0))-IF($G$2,0,IF((F$6-$G$3)&lt;1,0,IFERROR(LOOKUP(2,1/('Feijão 2ª safra'!$E14:INDEX('Feijão 2ª safra'!$E14:$Z14,MIN(F$6-$G$3,22))&lt;&gt;""),'Feijão 2ª safra'!$E14:INDEX('Feijão 2ª safra'!$E14:$Z14,MIN(F$6-$G$3,22))),0)))))</f>
        <v>0</v>
      </c>
      <c r="G16" s="27" t="n">
        <f aca="false">IF(COUNT('Feijão 2ª safra'!$E14:$Z14)=0,0,MAX(0,IF((G$6-$E$3)&lt;1,0,IFERROR(LOOKUP(2,1/('Feijão 2ª safra'!$E14:INDEX('Feijão 2ª safra'!$E14:$Z14,MIN(G$6-$E$3,22))&lt;&gt;""),'Feijão 2ª safra'!$E14:INDEX('Feijão 2ª safra'!$E14:$Z14,MIN(G$6-$E$3,22))),0))-IF($G$2,0,IF((G$6-$G$3)&lt;1,0,IFERROR(LOOKUP(2,1/('Feijão 2ª safra'!$E14:INDEX('Feijão 2ª safra'!$E14:$Z14,MIN(G$6-$G$3,22))&lt;&gt;""),'Feijão 2ª safra'!$E14:INDEX('Feijão 2ª safra'!$E14:$Z14,MIN(G$6-$G$3,22))),0)))))</f>
        <v>0</v>
      </c>
      <c r="H16" s="27" t="n">
        <f aca="false">IF(COUNT('Feijão 2ª safra'!$E14:$Z14)=0,0,MAX(0,IF((H$6-$E$3)&lt;1,0,IFERROR(LOOKUP(2,1/('Feijão 2ª safra'!$E14:INDEX('Feijão 2ª safra'!$E14:$Z14,MIN(H$6-$E$3,22))&lt;&gt;""),'Feijão 2ª safra'!$E14:INDEX('Feijão 2ª safra'!$E14:$Z14,MIN(H$6-$E$3,22))),0))-IF($G$2,0,IF((H$6-$G$3)&lt;1,0,IFERROR(LOOKUP(2,1/('Feijão 2ª safra'!$E14:INDEX('Feijão 2ª safra'!$E14:$Z14,MIN(H$6-$G$3,22))&lt;&gt;""),'Feijão 2ª safra'!$E14:INDEX('Feijão 2ª safra'!$E14:$Z14,MIN(H$6-$G$3,22))),0)))))</f>
        <v>0</v>
      </c>
      <c r="I16" s="27" t="n">
        <f aca="false">IF(COUNT('Feijão 2ª safra'!$E14:$Z14)=0,0,MAX(0,IF((I$6-$E$3)&lt;1,0,IFERROR(LOOKUP(2,1/('Feijão 2ª safra'!$E14:INDEX('Feijão 2ª safra'!$E14:$Z14,MIN(I$6-$E$3,22))&lt;&gt;""),'Feijão 2ª safra'!$E14:INDEX('Feijão 2ª safra'!$E14:$Z14,MIN(I$6-$E$3,22))),0))-IF($G$2,0,IF((I$6-$G$3)&lt;1,0,IFERROR(LOOKUP(2,1/('Feijão 2ª safra'!$E14:INDEX('Feijão 2ª safra'!$E14:$Z14,MIN(I$6-$G$3,22))&lt;&gt;""),'Feijão 2ª safra'!$E14:INDEX('Feijão 2ª safra'!$E14:$Z14,MIN(I$6-$G$3,22))),0)))))</f>
        <v>0</v>
      </c>
      <c r="J16" s="27" t="n">
        <f aca="false">IF(COUNT('Feijão 2ª safra'!$E14:$Z14)=0,0,MAX(0,IF((J$6-$E$3)&lt;1,0,IFERROR(LOOKUP(2,1/('Feijão 2ª safra'!$E14:INDEX('Feijão 2ª safra'!$E14:$Z14,MIN(J$6-$E$3,22))&lt;&gt;""),'Feijão 2ª safra'!$E14:INDEX('Feijão 2ª safra'!$E14:$Z14,MIN(J$6-$E$3,22))),0))-IF($G$2,0,IF((J$6-$G$3)&lt;1,0,IFERROR(LOOKUP(2,1/('Feijão 2ª safra'!$E14:INDEX('Feijão 2ª safra'!$E14:$Z14,MIN(J$6-$G$3,22))&lt;&gt;""),'Feijão 2ª safra'!$E14:INDEX('Feijão 2ª safra'!$E14:$Z14,MIN(J$6-$G$3,22))),0)))))</f>
        <v>0</v>
      </c>
      <c r="K16" s="27" t="n">
        <f aca="false">IF(COUNT('Feijão 2ª safra'!$E14:$Z14)=0,0,MAX(0,IF((K$6-$E$3)&lt;1,0,IFERROR(LOOKUP(2,1/('Feijão 2ª safra'!$E14:INDEX('Feijão 2ª safra'!$E14:$Z14,MIN(K$6-$E$3,22))&lt;&gt;""),'Feijão 2ª safra'!$E14:INDEX('Feijão 2ª safra'!$E14:$Z14,MIN(K$6-$E$3,22))),0))-IF($G$2,0,IF((K$6-$G$3)&lt;1,0,IFERROR(LOOKUP(2,1/('Feijão 2ª safra'!$E14:INDEX('Feijão 2ª safra'!$E14:$Z14,MIN(K$6-$G$3,22))&lt;&gt;""),'Feijão 2ª safra'!$E14:INDEX('Feijão 2ª safra'!$E14:$Z14,MIN(K$6-$G$3,22))),0)))))</f>
        <v>0</v>
      </c>
      <c r="L16" s="27" t="n">
        <f aca="false">IF(COUNT('Feijão 2ª safra'!$E14:$Z14)=0,0,MAX(0,IF((L$6-$E$3)&lt;1,0,IFERROR(LOOKUP(2,1/('Feijão 2ª safra'!$E14:INDEX('Feijão 2ª safra'!$E14:$Z14,MIN(L$6-$E$3,22))&lt;&gt;""),'Feijão 2ª safra'!$E14:INDEX('Feijão 2ª safra'!$E14:$Z14,MIN(L$6-$E$3,22))),0))-IF($G$2,0,IF((L$6-$G$3)&lt;1,0,IFERROR(LOOKUP(2,1/('Feijão 2ª safra'!$E14:INDEX('Feijão 2ª safra'!$E14:$Z14,MIN(L$6-$G$3,22))&lt;&gt;""),'Feijão 2ª safra'!$E14:INDEX('Feijão 2ª safra'!$E14:$Z14,MIN(L$6-$G$3,22))),0)))))</f>
        <v>0</v>
      </c>
      <c r="M16" s="27" t="n">
        <f aca="false">IF(COUNT('Feijão 2ª safra'!$E14:$Z14)=0,0,MAX(0,IF((M$6-$E$3)&lt;1,0,IFERROR(LOOKUP(2,1/('Feijão 2ª safra'!$E14:INDEX('Feijão 2ª safra'!$E14:$Z14,MIN(M$6-$E$3,22))&lt;&gt;""),'Feijão 2ª safra'!$E14:INDEX('Feijão 2ª safra'!$E14:$Z14,MIN(M$6-$E$3,22))),0))-IF($G$2,0,IF((M$6-$G$3)&lt;1,0,IFERROR(LOOKUP(2,1/('Feijão 2ª safra'!$E14:INDEX('Feijão 2ª safra'!$E14:$Z14,MIN(M$6-$G$3,22))&lt;&gt;""),'Feijão 2ª safra'!$E14:INDEX('Feijão 2ª safra'!$E14:$Z14,MIN(M$6-$G$3,22))),0)))))</f>
        <v>0</v>
      </c>
      <c r="N16" s="27" t="n">
        <f aca="false">IF(COUNT('Feijão 2ª safra'!$E14:$Z14)=0,0,MAX(0,IF((N$6-$E$3)&lt;1,0,IFERROR(LOOKUP(2,1/('Feijão 2ª safra'!$E14:INDEX('Feijão 2ª safra'!$E14:$Z14,MIN(N$6-$E$3,22))&lt;&gt;""),'Feijão 2ª safra'!$E14:INDEX('Feijão 2ª safra'!$E14:$Z14,MIN(N$6-$E$3,22))),0))-IF($G$2,0,IF((N$6-$G$3)&lt;1,0,IFERROR(LOOKUP(2,1/('Feijão 2ª safra'!$E14:INDEX('Feijão 2ª safra'!$E14:$Z14,MIN(N$6-$G$3,22))&lt;&gt;""),'Feijão 2ª safra'!$E14:INDEX('Feijão 2ª safra'!$E14:$Z14,MIN(N$6-$G$3,22))),0)))))</f>
        <v>0</v>
      </c>
      <c r="O16" s="27" t="n">
        <f aca="false">IF(COUNT('Feijão 2ª safra'!$E14:$Z14)=0,0,MAX(0,IF((O$6-$E$3)&lt;1,0,IFERROR(LOOKUP(2,1/('Feijão 2ª safra'!$E14:INDEX('Feijão 2ª safra'!$E14:$Z14,MIN(O$6-$E$3,22))&lt;&gt;""),'Feijão 2ª safra'!$E14:INDEX('Feijão 2ª safra'!$E14:$Z14,MIN(O$6-$E$3,22))),0))-IF($G$2,0,IF((O$6-$G$3)&lt;1,0,IFERROR(LOOKUP(2,1/('Feijão 2ª safra'!$E14:INDEX('Feijão 2ª safra'!$E14:$Z14,MIN(O$6-$G$3,22))&lt;&gt;""),'Feijão 2ª safra'!$E14:INDEX('Feijão 2ª safra'!$E14:$Z14,MIN(O$6-$G$3,22))),0)))))</f>
        <v>0</v>
      </c>
      <c r="P16" s="27" t="n">
        <f aca="false">IF(COUNT('Feijão 2ª safra'!$E14:$Z14)=0,0,MAX(0,IF((P$6-$E$3)&lt;1,0,IFERROR(LOOKUP(2,1/('Feijão 2ª safra'!$E14:INDEX('Feijão 2ª safra'!$E14:$Z14,MIN(P$6-$E$3,22))&lt;&gt;""),'Feijão 2ª safra'!$E14:INDEX('Feijão 2ª safra'!$E14:$Z14,MIN(P$6-$E$3,22))),0))-IF($G$2,0,IF((P$6-$G$3)&lt;1,0,IFERROR(LOOKUP(2,1/('Feijão 2ª safra'!$E14:INDEX('Feijão 2ª safra'!$E14:$Z14,MIN(P$6-$G$3,22))&lt;&gt;""),'Feijão 2ª safra'!$E14:INDEX('Feijão 2ª safra'!$E14:$Z14,MIN(P$6-$G$3,22))),0)))))</f>
        <v>0</v>
      </c>
      <c r="Q16" s="27" t="n">
        <f aca="false">IF(COUNT('Feijão 2ª safra'!$E14:$Z14)=0,0,MAX(0,IF((Q$6-$E$3)&lt;1,0,IFERROR(LOOKUP(2,1/('Feijão 2ª safra'!$E14:INDEX('Feijão 2ª safra'!$E14:$Z14,MIN(Q$6-$E$3,22))&lt;&gt;""),'Feijão 2ª safra'!$E14:INDEX('Feijão 2ª safra'!$E14:$Z14,MIN(Q$6-$E$3,22))),0))-IF($G$2,0,IF((Q$6-$G$3)&lt;1,0,IFERROR(LOOKUP(2,1/('Feijão 2ª safra'!$E14:INDEX('Feijão 2ª safra'!$E14:$Z14,MIN(Q$6-$G$3,22))&lt;&gt;""),'Feijão 2ª safra'!$E14:INDEX('Feijão 2ª safra'!$E14:$Z14,MIN(Q$6-$G$3,22))),0)))))</f>
        <v>0</v>
      </c>
      <c r="R16" s="27" t="n">
        <f aca="false">IF(COUNT('Feijão 2ª safra'!$E14:$Z14)=0,0,MAX(0,IF((R$6-$E$3)&lt;1,0,IFERROR(LOOKUP(2,1/('Feijão 2ª safra'!$E14:INDEX('Feijão 2ª safra'!$E14:$Z14,MIN(R$6-$E$3,22))&lt;&gt;""),'Feijão 2ª safra'!$E14:INDEX('Feijão 2ª safra'!$E14:$Z14,MIN(R$6-$E$3,22))),0))-IF($G$2,0,IF((R$6-$G$3)&lt;1,0,IFERROR(LOOKUP(2,1/('Feijão 2ª safra'!$E14:INDEX('Feijão 2ª safra'!$E14:$Z14,MIN(R$6-$G$3,22))&lt;&gt;""),'Feijão 2ª safra'!$E14:INDEX('Feijão 2ª safra'!$E14:$Z14,MIN(R$6-$G$3,22))),0)))))</f>
        <v>0</v>
      </c>
      <c r="S16" s="27" t="n">
        <f aca="false">IF(COUNT('Feijão 2ª safra'!$E14:$Z14)=0,0,MAX(0,IF((S$6-$E$3)&lt;1,0,IFERROR(LOOKUP(2,1/('Feijão 2ª safra'!$E14:INDEX('Feijão 2ª safra'!$E14:$Z14,MIN(S$6-$E$3,22))&lt;&gt;""),'Feijão 2ª safra'!$E14:INDEX('Feijão 2ª safra'!$E14:$Z14,MIN(S$6-$E$3,22))),0))-IF($G$2,0,IF((S$6-$G$3)&lt;1,0,IFERROR(LOOKUP(2,1/('Feijão 2ª safra'!$E14:INDEX('Feijão 2ª safra'!$E14:$Z14,MIN(S$6-$G$3,22))&lt;&gt;""),'Feijão 2ª safra'!$E14:INDEX('Feijão 2ª safra'!$E14:$Z14,MIN(S$6-$G$3,22))),0)))))</f>
        <v>0</v>
      </c>
      <c r="T16" s="27" t="n">
        <f aca="false">IF(COUNT('Feijão 2ª safra'!$E14:$Z14)=0,0,MAX(0,IF((T$6-$E$3)&lt;1,0,IFERROR(LOOKUP(2,1/('Feijão 2ª safra'!$E14:INDEX('Feijão 2ª safra'!$E14:$Z14,MIN(T$6-$E$3,22))&lt;&gt;""),'Feijão 2ª safra'!$E14:INDEX('Feijão 2ª safra'!$E14:$Z14,MIN(T$6-$E$3,22))),0))-IF($G$2,0,IF((T$6-$G$3)&lt;1,0,IFERROR(LOOKUP(2,1/('Feijão 2ª safra'!$E14:INDEX('Feijão 2ª safra'!$E14:$Z14,MIN(T$6-$G$3,22))&lt;&gt;""),'Feijão 2ª safra'!$E14:INDEX('Feijão 2ª safra'!$E14:$Z14,MIN(T$6-$G$3,22))),0)))))</f>
        <v>0</v>
      </c>
      <c r="U16" s="27" t="n">
        <f aca="false">IF(COUNT('Feijão 2ª safra'!$E14:$Z14)=0,0,MAX(0,IF((U$6-$E$3)&lt;1,0,IFERROR(LOOKUP(2,1/('Feijão 2ª safra'!$E14:INDEX('Feijão 2ª safra'!$E14:$Z14,MIN(U$6-$E$3,22))&lt;&gt;""),'Feijão 2ª safra'!$E14:INDEX('Feijão 2ª safra'!$E14:$Z14,MIN(U$6-$E$3,22))),0))-IF($G$2,0,IF((U$6-$G$3)&lt;1,0,IFERROR(LOOKUP(2,1/('Feijão 2ª safra'!$E14:INDEX('Feijão 2ª safra'!$E14:$Z14,MIN(U$6-$G$3,22))&lt;&gt;""),'Feijão 2ª safra'!$E14:INDEX('Feijão 2ª safra'!$E14:$Z14,MIN(U$6-$G$3,22))),0)))))</f>
        <v>0</v>
      </c>
      <c r="V16" s="27" t="n">
        <f aca="false">IF(COUNT('Feijão 2ª safra'!$E14:$Z14)=0,0,MAX(0,IF((V$6-$E$3)&lt;1,0,IFERROR(LOOKUP(2,1/('Feijão 2ª safra'!$E14:INDEX('Feijão 2ª safra'!$E14:$Z14,MIN(V$6-$E$3,22))&lt;&gt;""),'Feijão 2ª safra'!$E14:INDEX('Feijão 2ª safra'!$E14:$Z14,MIN(V$6-$E$3,22))),0))-IF($G$2,0,IF((V$6-$G$3)&lt;1,0,IFERROR(LOOKUP(2,1/('Feijão 2ª safra'!$E14:INDEX('Feijão 2ª safra'!$E14:$Z14,MIN(V$6-$G$3,22))&lt;&gt;""),'Feijão 2ª safra'!$E14:INDEX('Feijão 2ª safra'!$E14:$Z14,MIN(V$6-$G$3,22))),0)))))</f>
        <v>0</v>
      </c>
      <c r="W16" s="27" t="n">
        <f aca="false">IF(COUNT('Feijão 2ª safra'!$E14:$Z14)=0,0,MAX(0,IF((W$6-$E$3)&lt;1,0,IFERROR(LOOKUP(2,1/('Feijão 2ª safra'!$E14:INDEX('Feijão 2ª safra'!$E14:$Z14,MIN(W$6-$E$3,22))&lt;&gt;""),'Feijão 2ª safra'!$E14:INDEX('Feijão 2ª safra'!$E14:$Z14,MIN(W$6-$E$3,22))),0))-IF($G$2,0,IF((W$6-$G$3)&lt;1,0,IFERROR(LOOKUP(2,1/('Feijão 2ª safra'!$E14:INDEX('Feijão 2ª safra'!$E14:$Z14,MIN(W$6-$G$3,22))&lt;&gt;""),'Feijão 2ª safra'!$E14:INDEX('Feijão 2ª safra'!$E14:$Z14,MIN(W$6-$G$3,22))),0)))))</f>
        <v>0</v>
      </c>
      <c r="X16" s="27" t="n">
        <f aca="false">IF(COUNT('Feijão 2ª safra'!$E14:$Z14)=0,0,MAX(0,IF((X$6-$E$3)&lt;1,0,IFERROR(LOOKUP(2,1/('Feijão 2ª safra'!$E14:INDEX('Feijão 2ª safra'!$E14:$Z14,MIN(X$6-$E$3,22))&lt;&gt;""),'Feijão 2ª safra'!$E14:INDEX('Feijão 2ª safra'!$E14:$Z14,MIN(X$6-$E$3,22))),0))-IF($G$2,0,IF((X$6-$G$3)&lt;1,0,IFERROR(LOOKUP(2,1/('Feijão 2ª safra'!$E14:INDEX('Feijão 2ª safra'!$E14:$Z14,MIN(X$6-$G$3,22))&lt;&gt;""),'Feijão 2ª safra'!$E14:INDEX('Feijão 2ª safra'!$E14:$Z14,MIN(X$6-$G$3,22))),0)))))</f>
        <v>0</v>
      </c>
      <c r="Y16" s="27" t="n">
        <f aca="false">IF(COUNT('Feijão 2ª safra'!$E14:$Z14)=0,0,MAX(0,IF((Y$6-$E$3)&lt;1,0,IFERROR(LOOKUP(2,1/('Feijão 2ª safra'!$E14:INDEX('Feijão 2ª safra'!$E14:$Z14,MIN(Y$6-$E$3,22))&lt;&gt;""),'Feijão 2ª safra'!$E14:INDEX('Feijão 2ª safra'!$E14:$Z14,MIN(Y$6-$E$3,22))),0))-IF($G$2,0,IF((Y$6-$G$3)&lt;1,0,IFERROR(LOOKUP(2,1/('Feijão 2ª safra'!$E14:INDEX('Feijão 2ª safra'!$E14:$Z14,MIN(Y$6-$G$3,22))&lt;&gt;""),'Feijão 2ª safra'!$E14:INDEX('Feijão 2ª safra'!$E14:$Z14,MIN(Y$6-$G$3,22))),0)))))</f>
        <v>0</v>
      </c>
      <c r="Z16" s="27" t="n">
        <f aca="false">IF(COUNT('Feijão 2ª safra'!$E14:$Z14)=0,0,MAX(0,IF((Z$6-$E$3)&lt;1,0,IFERROR(LOOKUP(2,1/('Feijão 2ª safra'!$E14:INDEX('Feijão 2ª safra'!$E14:$Z14,MIN(Z$6-$E$3,22))&lt;&gt;""),'Feijão 2ª safra'!$E14:INDEX('Feijão 2ª safra'!$E14:$Z14,MIN(Z$6-$E$3,22))),0))-IF($G$2,0,IF((Z$6-$G$3)&lt;1,0,IFERROR(LOOKUP(2,1/('Feijão 2ª safra'!$E14:INDEX('Feijão 2ª safra'!$E14:$Z14,MIN(Z$6-$G$3,22))&lt;&gt;""),'Feijão 2ª safra'!$E14:INDEX('Feijão 2ª safra'!$E14:$Z14,MIN(Z$6-$G$3,22))),0)))))</f>
        <v>0</v>
      </c>
      <c r="AA16" s="27" t="n">
        <f aca="false">IF(COUNT('Feijão 2ª safra'!$E14:$Z14)=0,0,MAX(0,IF((AA$6-$E$3)&lt;1,0,IFERROR(LOOKUP(2,1/('Feijão 2ª safra'!$E14:INDEX('Feijão 2ª safra'!$E14:$Z14,MIN(AA$6-$E$3,22))&lt;&gt;""),'Feijão 2ª safra'!$E14:INDEX('Feijão 2ª safra'!$E14:$Z14,MIN(AA$6-$E$3,22))),0))-IF($G$2,0,IF((AA$6-$G$3)&lt;1,0,IFERROR(LOOKUP(2,1/('Feijão 2ª safra'!$E14:INDEX('Feijão 2ª safra'!$E14:$Z14,MIN(AA$6-$G$3,22))&lt;&gt;""),'Feijão 2ª safra'!$E14:INDEX('Feijão 2ª safra'!$E14:$Z14,MIN(AA$6-$G$3,22))),0)))))</f>
        <v>0</v>
      </c>
      <c r="AB16" s="27" t="n">
        <f aca="false">IF(COUNT('Feijão 2ª safra'!$E14:$Z14)=0,0,MAX(0,IF((AB$6-$E$3)&lt;1,0,IFERROR(LOOKUP(2,1/('Feijão 2ª safra'!$E14:INDEX('Feijão 2ª safra'!$E14:$Z14,MIN(AB$6-$E$3,22))&lt;&gt;""),'Feijão 2ª safra'!$E14:INDEX('Feijão 2ª safra'!$E14:$Z14,MIN(AB$6-$E$3,22))),0))-IF($G$2,0,IF((AB$6-$G$3)&lt;1,0,IFERROR(LOOKUP(2,1/('Feijão 2ª safra'!$E14:INDEX('Feijão 2ª safra'!$E14:$Z14,MIN(AB$6-$G$3,22))&lt;&gt;""),'Feijão 2ª safra'!$E14:INDEX('Feijão 2ª safra'!$E14:$Z14,MIN(AB$6-$G$3,22))),0)))))</f>
        <v>0</v>
      </c>
      <c r="AC16" s="27" t="n">
        <f aca="false">IF(COUNT('Feijão 2ª safra'!$E14:$Z14)=0,0,MAX(0,IF((AC$6-$E$3)&lt;1,0,IFERROR(LOOKUP(2,1/('Feijão 2ª safra'!$E14:INDEX('Feijão 2ª safra'!$E14:$Z14,MIN(AC$6-$E$3,22))&lt;&gt;""),'Feijão 2ª safra'!$E14:INDEX('Feijão 2ª safra'!$E14:$Z14,MIN(AC$6-$E$3,22))),0))-IF($G$2,0,IF((AC$6-$G$3)&lt;1,0,IFERROR(LOOKUP(2,1/('Feijão 2ª safra'!$E14:INDEX('Feijão 2ª safra'!$E14:$Z14,MIN(AC$6-$G$3,22))&lt;&gt;""),'Feijão 2ª safra'!$E14:INDEX('Feijão 2ª safra'!$E14:$Z14,MIN(AC$6-$G$3,22))),0)))))</f>
        <v>0</v>
      </c>
      <c r="AD16" s="27" t="n">
        <f aca="false">IF(COUNT('Feijão 2ª safra'!$E14:$Z14)=0,0,MAX(0,IF((AD$6-$E$3)&lt;1,0,IFERROR(LOOKUP(2,1/('Feijão 2ª safra'!$E14:INDEX('Feijão 2ª safra'!$E14:$Z14,MIN(AD$6-$E$3,22))&lt;&gt;""),'Feijão 2ª safra'!$E14:INDEX('Feijão 2ª safra'!$E14:$Z14,MIN(AD$6-$E$3,22))),0))-IF($G$2,0,IF((AD$6-$G$3)&lt;1,0,IFERROR(LOOKUP(2,1/('Feijão 2ª safra'!$E14:INDEX('Feijão 2ª safra'!$E14:$Z14,MIN(AD$6-$G$3,22))&lt;&gt;""),'Feijão 2ª safra'!$E14:INDEX('Feijão 2ª safra'!$E14:$Z14,MIN(AD$6-$G$3,22))),0)))))</f>
        <v>0</v>
      </c>
      <c r="AE16" s="27" t="n">
        <f aca="false">IF(COUNT('Feijão 2ª safra'!$E14:$Z14)=0,0,MAX(0,IF((AE$6-$E$3)&lt;1,0,IFERROR(LOOKUP(2,1/('Feijão 2ª safra'!$E14:INDEX('Feijão 2ª safra'!$E14:$Z14,MIN(AE$6-$E$3,22))&lt;&gt;""),'Feijão 2ª safra'!$E14:INDEX('Feijão 2ª safra'!$E14:$Z14,MIN(AE$6-$E$3,22))),0))-IF($G$2,0,IF((AE$6-$G$3)&lt;1,0,IFERROR(LOOKUP(2,1/('Feijão 2ª safra'!$E14:INDEX('Feijão 2ª safra'!$E14:$Z14,MIN(AE$6-$G$3,22))&lt;&gt;""),'Feijão 2ª safra'!$E14:INDEX('Feijão 2ª safra'!$E14:$Z14,MIN(AE$6-$G$3,22))),0)))))</f>
        <v>0</v>
      </c>
      <c r="AF16" s="27" t="n">
        <f aca="false">IF(COUNT('Feijão 2ª safra'!$E14:$Z14)=0,0,MAX(0,IF((AF$6-$E$3)&lt;1,0,IFERROR(LOOKUP(2,1/('Feijão 2ª safra'!$E14:INDEX('Feijão 2ª safra'!$E14:$Z14,MIN(AF$6-$E$3,22))&lt;&gt;""),'Feijão 2ª safra'!$E14:INDEX('Feijão 2ª safra'!$E14:$Z14,MIN(AF$6-$E$3,22))),0))-IF($G$2,0,IF((AF$6-$G$3)&lt;1,0,IFERROR(LOOKUP(2,1/('Feijão 2ª safra'!$E14:INDEX('Feijão 2ª safra'!$E14:$Z14,MIN(AF$6-$G$3,22))&lt;&gt;""),'Feijão 2ª safra'!$E14:INDEX('Feijão 2ª safra'!$E14:$Z14,MIN(AF$6-$G$3,22))),0)))))</f>
        <v>0</v>
      </c>
      <c r="AG16" s="27" t="n">
        <f aca="false">IF(COUNT('Feijão 2ª safra'!$E14:$Z14)=0,0,MAX(0,IF((AG$6-$E$3)&lt;1,0,IFERROR(LOOKUP(2,1/('Feijão 2ª safra'!$E14:INDEX('Feijão 2ª safra'!$E14:$Z14,MIN(AG$6-$E$3,22))&lt;&gt;""),'Feijão 2ª safra'!$E14:INDEX('Feijão 2ª safra'!$E14:$Z14,MIN(AG$6-$E$3,22))),0))-IF($G$2,0,IF((AG$6-$G$3)&lt;1,0,IFERROR(LOOKUP(2,1/('Feijão 2ª safra'!$E14:INDEX('Feijão 2ª safra'!$E14:$Z14,MIN(AG$6-$G$3,22))&lt;&gt;""),'Feijão 2ª safra'!$E14:INDEX('Feijão 2ª safra'!$E14:$Z14,MIN(AG$6-$G$3,22))),0)))))</f>
        <v>0</v>
      </c>
      <c r="AH16" s="27" t="n">
        <f aca="false">IF(COUNT('Feijão 2ª safra'!$E14:$Z14)=0,0,MAX(0,IF((AH$6-$E$3)&lt;1,0,IFERROR(LOOKUP(2,1/('Feijão 2ª safra'!$E14:INDEX('Feijão 2ª safra'!$E14:$Z14,MIN(AH$6-$E$3,22))&lt;&gt;""),'Feijão 2ª safra'!$E14:INDEX('Feijão 2ª safra'!$E14:$Z14,MIN(AH$6-$E$3,22))),0))-IF($G$2,0,IF((AH$6-$G$3)&lt;1,0,IFERROR(LOOKUP(2,1/('Feijão 2ª safra'!$E14:INDEX('Feijão 2ª safra'!$E14:$Z14,MIN(AH$6-$G$3,22))&lt;&gt;""),'Feijão 2ª safra'!$E14:INDEX('Feijão 2ª safra'!$E14:$Z14,MIN(AH$6-$G$3,22))),0)))))</f>
        <v>0</v>
      </c>
      <c r="AI16" s="27" t="n">
        <f aca="false">IF(COUNT('Feijão 2ª safra'!$E14:$Z14)=0,0,MAX(0,IF((AI$6-$E$3)&lt;1,0,IFERROR(LOOKUP(2,1/('Feijão 2ª safra'!$E14:INDEX('Feijão 2ª safra'!$E14:$Z14,MIN(AI$6-$E$3,22))&lt;&gt;""),'Feijão 2ª safra'!$E14:INDEX('Feijão 2ª safra'!$E14:$Z14,MIN(AI$6-$E$3,22))),0))-IF($G$2,0,IF((AI$6-$G$3)&lt;1,0,IFERROR(LOOKUP(2,1/('Feijão 2ª safra'!$E14:INDEX('Feijão 2ª safra'!$E14:$Z14,MIN(AI$6-$G$3,22))&lt;&gt;""),'Feijão 2ª safra'!$E14:INDEX('Feijão 2ª safra'!$E14:$Z14,MIN(AI$6-$G$3,22))),0)))))</f>
        <v>0</v>
      </c>
      <c r="AJ16" s="27" t="n">
        <f aca="false">IF(COUNT('Feijão 2ª safra'!$E14:$Z14)=0,0,MAX(0,IF((AJ$6-$E$3)&lt;1,0,IFERROR(LOOKUP(2,1/('Feijão 2ª safra'!$E14:INDEX('Feijão 2ª safra'!$E14:$Z14,MIN(AJ$6-$E$3,22))&lt;&gt;""),'Feijão 2ª safra'!$E14:INDEX('Feijão 2ª safra'!$E14:$Z14,MIN(AJ$6-$E$3,22))),0))-IF($G$2,0,IF((AJ$6-$G$3)&lt;1,0,IFERROR(LOOKUP(2,1/('Feijão 2ª safra'!$E14:INDEX('Feijão 2ª safra'!$E14:$Z14,MIN(AJ$6-$G$3,22))&lt;&gt;""),'Feijão 2ª safra'!$E14:INDEX('Feijão 2ª safra'!$E14:$Z14,MIN(AJ$6-$G$3,22))),0)))))</f>
        <v>0</v>
      </c>
      <c r="AK16" s="27" t="n">
        <f aca="false">IF(COUNT('Feijão 2ª safra'!$E14:$Z14)=0,0,MAX(0,IF((AK$6-$E$3)&lt;1,0,IFERROR(LOOKUP(2,1/('Feijão 2ª safra'!$E14:INDEX('Feijão 2ª safra'!$E14:$Z14,MIN(AK$6-$E$3,22))&lt;&gt;""),'Feijão 2ª safra'!$E14:INDEX('Feijão 2ª safra'!$E14:$Z14,MIN(AK$6-$E$3,22))),0))-IF($G$2,0,IF((AK$6-$G$3)&lt;1,0,IFERROR(LOOKUP(2,1/('Feijão 2ª safra'!$E14:INDEX('Feijão 2ª safra'!$E14:$Z14,MIN(AK$6-$G$3,22))&lt;&gt;""),'Feijão 2ª safra'!$E14:INDEX('Feijão 2ª safra'!$E14:$Z14,MIN(AK$6-$G$3,22))),0)))))</f>
        <v>0</v>
      </c>
      <c r="AL16" s="27" t="n">
        <f aca="false">IF(COUNT('Feijão 2ª safra'!$E14:$Z14)=0,0,MAX(0,IF((AL$6-$E$3)&lt;1,0,IFERROR(LOOKUP(2,1/('Feijão 2ª safra'!$E14:INDEX('Feijão 2ª safra'!$E14:$Z14,MIN(AL$6-$E$3,22))&lt;&gt;""),'Feijão 2ª safra'!$E14:INDEX('Feijão 2ª safra'!$E14:$Z14,MIN(AL$6-$E$3,22))),0))-IF($G$2,0,IF((AL$6-$G$3)&lt;1,0,IFERROR(LOOKUP(2,1/('Feijão 2ª safra'!$E14:INDEX('Feijão 2ª safra'!$E14:$Z14,MIN(AL$6-$G$3,22))&lt;&gt;""),'Feijão 2ª safra'!$E14:INDEX('Feijão 2ª safra'!$E14:$Z14,MIN(AL$6-$G$3,22))),0)))))</f>
        <v>0</v>
      </c>
      <c r="AM16" s="27" t="n">
        <f aca="false">IF(COUNT('Feijão 2ª safra'!$E14:$Z14)=0,0,MAX(0,IF((AM$6-$E$3)&lt;1,0,IFERROR(LOOKUP(2,1/('Feijão 2ª safra'!$E14:INDEX('Feijão 2ª safra'!$E14:$Z14,MIN(AM$6-$E$3,22))&lt;&gt;""),'Feijão 2ª safra'!$E14:INDEX('Feijão 2ª safra'!$E14:$Z14,MIN(AM$6-$E$3,22))),0))-IF($G$2,0,IF((AM$6-$G$3)&lt;1,0,IFERROR(LOOKUP(2,1/('Feijão 2ª safra'!$E14:INDEX('Feijão 2ª safra'!$E14:$Z14,MIN(AM$6-$G$3,22))&lt;&gt;""),'Feijão 2ª safra'!$E14:INDEX('Feijão 2ª safra'!$E14:$Z14,MIN(AM$6-$G$3,22))),0)))))</f>
        <v>0</v>
      </c>
      <c r="AN16" s="27" t="n">
        <f aca="false">IF(COUNT('Feijão 2ª safra'!$E14:$Z14)=0,0,MAX(0,IF((AN$6-$E$3)&lt;1,0,IFERROR(LOOKUP(2,1/('Feijão 2ª safra'!$E14:INDEX('Feijão 2ª safra'!$E14:$Z14,MIN(AN$6-$E$3,22))&lt;&gt;""),'Feijão 2ª safra'!$E14:INDEX('Feijão 2ª safra'!$E14:$Z14,MIN(AN$6-$E$3,22))),0))-IF($G$2,0,IF((AN$6-$G$3)&lt;1,0,IFERROR(LOOKUP(2,1/('Feijão 2ª safra'!$E14:INDEX('Feijão 2ª safra'!$E14:$Z14,MIN(AN$6-$G$3,22))&lt;&gt;""),'Feijão 2ª safra'!$E14:INDEX('Feijão 2ª safra'!$E14:$Z14,MIN(AN$6-$G$3,22))),0)))))</f>
        <v>0</v>
      </c>
      <c r="AO16" s="27" t="n">
        <f aca="false">IF(COUNT('Feijão 2ª safra'!$E14:$Z14)=0,0,MAX(0,IF((AO$6-$E$3)&lt;1,0,IFERROR(LOOKUP(2,1/('Feijão 2ª safra'!$E14:INDEX('Feijão 2ª safra'!$E14:$Z14,MIN(AO$6-$E$3,22))&lt;&gt;""),'Feijão 2ª safra'!$E14:INDEX('Feijão 2ª safra'!$E14:$Z14,MIN(AO$6-$E$3,22))),0))-IF($G$2,0,IF((AO$6-$G$3)&lt;1,0,IFERROR(LOOKUP(2,1/('Feijão 2ª safra'!$E14:INDEX('Feijão 2ª safra'!$E14:$Z14,MIN(AO$6-$G$3,22))&lt;&gt;""),'Feijão 2ª safra'!$E14:INDEX('Feijão 2ª safra'!$E14:$Z14,MIN(AO$6-$G$3,22))),0)))))</f>
        <v>0</v>
      </c>
      <c r="AP16" s="27" t="n">
        <f aca="false">IF(COUNT('Feijão 2ª safra'!$E14:$Z14)=0,0,MAX(0,IF((AP$6-$E$3)&lt;1,0,IFERROR(LOOKUP(2,1/('Feijão 2ª safra'!$E14:INDEX('Feijão 2ª safra'!$E14:$Z14,MIN(AP$6-$E$3,22))&lt;&gt;""),'Feijão 2ª safra'!$E14:INDEX('Feijão 2ª safra'!$E14:$Z14,MIN(AP$6-$E$3,22))),0))-IF($G$2,0,IF((AP$6-$G$3)&lt;1,0,IFERROR(LOOKUP(2,1/('Feijão 2ª safra'!$E14:INDEX('Feijão 2ª safra'!$E14:$Z14,MIN(AP$6-$G$3,22))&lt;&gt;""),'Feijão 2ª safra'!$E14:INDEX('Feijão 2ª safra'!$E14:$Z14,MIN(AP$6-$G$3,22))),0)))))</f>
        <v>0</v>
      </c>
      <c r="AQ16" s="27" t="n">
        <f aca="false">IF(COUNT('Feijão 2ª safra'!$E14:$Z14)=0,0,MAX(0,IF((AQ$6-$E$3)&lt;1,0,IFERROR(LOOKUP(2,1/('Feijão 2ª safra'!$E14:INDEX('Feijão 2ª safra'!$E14:$Z14,MIN(AQ$6-$E$3,22))&lt;&gt;""),'Feijão 2ª safra'!$E14:INDEX('Feijão 2ª safra'!$E14:$Z14,MIN(AQ$6-$E$3,22))),0))-IF($G$2,0,IF((AQ$6-$G$3)&lt;1,0,IFERROR(LOOKUP(2,1/('Feijão 2ª safra'!$E14:INDEX('Feijão 2ª safra'!$E14:$Z14,MIN(AQ$6-$G$3,22))&lt;&gt;""),'Feijão 2ª safra'!$E14:INDEX('Feijão 2ª safra'!$E14:$Z14,MIN(AQ$6-$G$3,22))),0)))))</f>
        <v>0</v>
      </c>
      <c r="AR16" s="27" t="n">
        <f aca="false">IF(COUNT('Feijão 2ª safra'!$E14:$Z14)=0,0,MAX(0,IF((AR$6-$E$3)&lt;1,0,IFERROR(LOOKUP(2,1/('Feijão 2ª safra'!$E14:INDEX('Feijão 2ª safra'!$E14:$Z14,MIN(AR$6-$E$3,22))&lt;&gt;""),'Feijão 2ª safra'!$E14:INDEX('Feijão 2ª safra'!$E14:$Z14,MIN(AR$6-$E$3,22))),0))-IF($G$2,0,IF((AR$6-$G$3)&lt;1,0,IFERROR(LOOKUP(2,1/('Feijão 2ª safra'!$E14:INDEX('Feijão 2ª safra'!$E14:$Z14,MIN(AR$6-$G$3,22))&lt;&gt;""),'Feijão 2ª safra'!$E14:INDEX('Feijão 2ª safra'!$E14:$Z14,MIN(AR$6-$G$3,22))),0)))))</f>
        <v>0</v>
      </c>
      <c r="AS16" s="27" t="n">
        <f aca="false">IF(COUNT('Feijão 2ª safra'!$E14:$Z14)=0,0,MAX(0,IF((AS$6-$E$3)&lt;1,0,IFERROR(LOOKUP(2,1/('Feijão 2ª safra'!$E14:INDEX('Feijão 2ª safra'!$E14:$Z14,MIN(AS$6-$E$3,22))&lt;&gt;""),'Feijão 2ª safra'!$E14:INDEX('Feijão 2ª safra'!$E14:$Z14,MIN(AS$6-$E$3,22))),0))-IF($G$2,0,IF((AS$6-$G$3)&lt;1,0,IFERROR(LOOKUP(2,1/('Feijão 2ª safra'!$E14:INDEX('Feijão 2ª safra'!$E14:$Z14,MIN(AS$6-$G$3,22))&lt;&gt;""),'Feijão 2ª safra'!$E14:INDEX('Feijão 2ª safra'!$E14:$Z14,MIN(AS$6-$G$3,22))),0)))))</f>
        <v>0</v>
      </c>
      <c r="AT16" s="27" t="n">
        <f aca="false">IF(COUNT('Feijão 2ª safra'!$E14:$Z14)=0,0,MAX(0,IF((AT$6-$E$3)&lt;1,0,IFERROR(LOOKUP(2,1/('Feijão 2ª safra'!$E14:INDEX('Feijão 2ª safra'!$E14:$Z14,MIN(AT$6-$E$3,22))&lt;&gt;""),'Feijão 2ª safra'!$E14:INDEX('Feijão 2ª safra'!$E14:$Z14,MIN(AT$6-$E$3,22))),0))-IF($G$2,0,IF((AT$6-$G$3)&lt;1,0,IFERROR(LOOKUP(2,1/('Feijão 2ª safra'!$E14:INDEX('Feijão 2ª safra'!$E14:$Z14,MIN(AT$6-$G$3,22))&lt;&gt;""),'Feijão 2ª safra'!$E14:INDEX('Feijão 2ª safra'!$E14:$Z14,MIN(AT$6-$G$3,22))),0)))))</f>
        <v>0</v>
      </c>
      <c r="AU16" s="27" t="n">
        <f aca="false">IF(COUNT('Feijão 2ª safra'!$E14:$Z14)=0,0,MAX(0,IF((AU$6-$E$3)&lt;1,0,IFERROR(LOOKUP(2,1/('Feijão 2ª safra'!$E14:INDEX('Feijão 2ª safra'!$E14:$Z14,MIN(AU$6-$E$3,22))&lt;&gt;""),'Feijão 2ª safra'!$E14:INDEX('Feijão 2ª safra'!$E14:$Z14,MIN(AU$6-$E$3,22))),0))-IF($G$2,0,IF((AU$6-$G$3)&lt;1,0,IFERROR(LOOKUP(2,1/('Feijão 2ª safra'!$E14:INDEX('Feijão 2ª safra'!$E14:$Z14,MIN(AU$6-$G$3,22))&lt;&gt;""),'Feijão 2ª safra'!$E14:INDEX('Feijão 2ª safra'!$E14:$Z14,MIN(AU$6-$G$3,22))),0)))))</f>
        <v>0</v>
      </c>
      <c r="AV16" s="27" t="n">
        <f aca="false">IF(COUNT('Feijão 2ª safra'!$E14:$Z14)=0,0,MAX(0,IF((AV$6-$E$3)&lt;1,0,IFERROR(LOOKUP(2,1/('Feijão 2ª safra'!$E14:INDEX('Feijão 2ª safra'!$E14:$Z14,MIN(AV$6-$E$3,22))&lt;&gt;""),'Feijão 2ª safra'!$E14:INDEX('Feijão 2ª safra'!$E14:$Z14,MIN(AV$6-$E$3,22))),0))-IF($G$2,0,IF((AV$6-$G$3)&lt;1,0,IFERROR(LOOKUP(2,1/('Feijão 2ª safra'!$E14:INDEX('Feijão 2ª safra'!$E14:$Z14,MIN(AV$6-$G$3,22))&lt;&gt;""),'Feijão 2ª safra'!$E14:INDEX('Feijão 2ª safra'!$E14:$Z14,MIN(AV$6-$G$3,22))),0)))))</f>
        <v>0</v>
      </c>
      <c r="AW16" s="27" t="n">
        <f aca="false">IF(COUNT('Feijão 2ª safra'!$E14:$Z14)=0,0,MAX(0,IF((AW$6-$E$3)&lt;1,0,IFERROR(LOOKUP(2,1/('Feijão 2ª safra'!$E14:INDEX('Feijão 2ª safra'!$E14:$Z14,MIN(AW$6-$E$3,22))&lt;&gt;""),'Feijão 2ª safra'!$E14:INDEX('Feijão 2ª safra'!$E14:$Z14,MIN(AW$6-$E$3,22))),0))-IF($G$2,0,IF((AW$6-$G$3)&lt;1,0,IFERROR(LOOKUP(2,1/('Feijão 2ª safra'!$E14:INDEX('Feijão 2ª safra'!$E14:$Z14,MIN(AW$6-$G$3,22))&lt;&gt;""),'Feijão 2ª safra'!$E14:INDEX('Feijão 2ª safra'!$E14:$Z14,MIN(AW$6-$G$3,22))),0)))))</f>
        <v>0</v>
      </c>
      <c r="AX16" s="27" t="n">
        <f aca="false">IF(COUNT('Feijão 2ª safra'!$E14:$Z14)=0,0,MAX(0,IF((AX$6-$E$3)&lt;1,0,IFERROR(LOOKUP(2,1/('Feijão 2ª safra'!$E14:INDEX('Feijão 2ª safra'!$E14:$Z14,MIN(AX$6-$E$3,22))&lt;&gt;""),'Feijão 2ª safra'!$E14:INDEX('Feijão 2ª safra'!$E14:$Z14,MIN(AX$6-$E$3,22))),0))-IF($G$2,0,IF((AX$6-$G$3)&lt;1,0,IFERROR(LOOKUP(2,1/('Feijão 2ª safra'!$E14:INDEX('Feijão 2ª safra'!$E14:$Z14,MIN(AX$6-$G$3,22))&lt;&gt;""),'Feijão 2ª safra'!$E14:INDEX('Feijão 2ª safra'!$E14:$Z14,MIN(AX$6-$G$3,22))),0)))))</f>
        <v>0</v>
      </c>
      <c r="AY16" s="27" t="n">
        <f aca="false">IF(COUNT('Feijão 2ª safra'!$E14:$Z14)=0,0,MAX(0,IF((AY$6-$E$3)&lt;1,0,IFERROR(LOOKUP(2,1/('Feijão 2ª safra'!$E14:INDEX('Feijão 2ª safra'!$E14:$Z14,MIN(AY$6-$E$3,22))&lt;&gt;""),'Feijão 2ª safra'!$E14:INDEX('Feijão 2ª safra'!$E14:$Z14,MIN(AY$6-$E$3,22))),0))-IF($G$2,0,IF((AY$6-$G$3)&lt;1,0,IFERROR(LOOKUP(2,1/('Feijão 2ª safra'!$E14:INDEX('Feijão 2ª safra'!$E14:$Z14,MIN(AY$6-$G$3,22))&lt;&gt;""),'Feijão 2ª safra'!$E14:INDEX('Feijão 2ª safra'!$E14:$Z14,MIN(AY$6-$G$3,22))),0)))))</f>
        <v>0</v>
      </c>
      <c r="AZ16" s="27" t="n">
        <f aca="false">IF(COUNT('Feijão 2ª safra'!$E14:$Z14)=0,0,MAX(0,IF((AZ$6-$E$3)&lt;1,0,IFERROR(LOOKUP(2,1/('Feijão 2ª safra'!$E14:INDEX('Feijão 2ª safra'!$E14:$Z14,MIN(AZ$6-$E$3,22))&lt;&gt;""),'Feijão 2ª safra'!$E14:INDEX('Feijão 2ª safra'!$E14:$Z14,MIN(AZ$6-$E$3,22))),0))-IF($G$2,0,IF((AZ$6-$G$3)&lt;1,0,IFERROR(LOOKUP(2,1/('Feijão 2ª safra'!$E14:INDEX('Feijão 2ª safra'!$E14:$Z14,MIN(AZ$6-$G$3,22))&lt;&gt;""),'Feijão 2ª safra'!$E14:INDEX('Feijão 2ª safra'!$E14:$Z14,MIN(AZ$6-$G$3,22))),0)))))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IF(COUNT('Feijão 2ª safra'!$E15:$Z15)&gt;0,N('Feijão 2ª safra'!$D15),0)</f>
        <v>0</v>
      </c>
      <c r="E17" s="27" t="n">
        <f aca="false">IF(COUNT('Feijão 2ª safra'!$E15:$Z15)=0,0,MAX(0,IF((E$6-$E$3)&lt;1,0,IFERROR(LOOKUP(2,1/('Feijão 2ª safra'!$E15:INDEX('Feijão 2ª safra'!$E15:$Z15,MIN(E$6-$E$3,22))&lt;&gt;""),'Feijão 2ª safra'!$E15:INDEX('Feijão 2ª safra'!$E15:$Z15,MIN(E$6-$E$3,22))),0))-IF($G$2,0,IF((E$6-$G$3)&lt;1,0,IFERROR(LOOKUP(2,1/('Feijão 2ª safra'!$E15:INDEX('Feijão 2ª safra'!$E15:$Z15,MIN(E$6-$G$3,22))&lt;&gt;""),'Feijão 2ª safra'!$E15:INDEX('Feijão 2ª safra'!$E15:$Z15,MIN(E$6-$G$3,22))),0)))))</f>
        <v>0</v>
      </c>
      <c r="F17" s="27" t="n">
        <f aca="false">IF(COUNT('Feijão 2ª safra'!$E15:$Z15)=0,0,MAX(0,IF((F$6-$E$3)&lt;1,0,IFERROR(LOOKUP(2,1/('Feijão 2ª safra'!$E15:INDEX('Feijão 2ª safra'!$E15:$Z15,MIN(F$6-$E$3,22))&lt;&gt;""),'Feijão 2ª safra'!$E15:INDEX('Feijão 2ª safra'!$E15:$Z15,MIN(F$6-$E$3,22))),0))-IF($G$2,0,IF((F$6-$G$3)&lt;1,0,IFERROR(LOOKUP(2,1/('Feijão 2ª safra'!$E15:INDEX('Feijão 2ª safra'!$E15:$Z15,MIN(F$6-$G$3,22))&lt;&gt;""),'Feijão 2ª safra'!$E15:INDEX('Feijão 2ª safra'!$E15:$Z15,MIN(F$6-$G$3,22))),0)))))</f>
        <v>0</v>
      </c>
      <c r="G17" s="27" t="n">
        <f aca="false">IF(COUNT('Feijão 2ª safra'!$E15:$Z15)=0,0,MAX(0,IF((G$6-$E$3)&lt;1,0,IFERROR(LOOKUP(2,1/('Feijão 2ª safra'!$E15:INDEX('Feijão 2ª safra'!$E15:$Z15,MIN(G$6-$E$3,22))&lt;&gt;""),'Feijão 2ª safra'!$E15:INDEX('Feijão 2ª safra'!$E15:$Z15,MIN(G$6-$E$3,22))),0))-IF($G$2,0,IF((G$6-$G$3)&lt;1,0,IFERROR(LOOKUP(2,1/('Feijão 2ª safra'!$E15:INDEX('Feijão 2ª safra'!$E15:$Z15,MIN(G$6-$G$3,22))&lt;&gt;""),'Feijão 2ª safra'!$E15:INDEX('Feijão 2ª safra'!$E15:$Z15,MIN(G$6-$G$3,22))),0)))))</f>
        <v>0</v>
      </c>
      <c r="H17" s="27" t="n">
        <f aca="false">IF(COUNT('Feijão 2ª safra'!$E15:$Z15)=0,0,MAX(0,IF((H$6-$E$3)&lt;1,0,IFERROR(LOOKUP(2,1/('Feijão 2ª safra'!$E15:INDEX('Feijão 2ª safra'!$E15:$Z15,MIN(H$6-$E$3,22))&lt;&gt;""),'Feijão 2ª safra'!$E15:INDEX('Feijão 2ª safra'!$E15:$Z15,MIN(H$6-$E$3,22))),0))-IF($G$2,0,IF((H$6-$G$3)&lt;1,0,IFERROR(LOOKUP(2,1/('Feijão 2ª safra'!$E15:INDEX('Feijão 2ª safra'!$E15:$Z15,MIN(H$6-$G$3,22))&lt;&gt;""),'Feijão 2ª safra'!$E15:INDEX('Feijão 2ª safra'!$E15:$Z15,MIN(H$6-$G$3,22))),0)))))</f>
        <v>0</v>
      </c>
      <c r="I17" s="27" t="n">
        <f aca="false">IF(COUNT('Feijão 2ª safra'!$E15:$Z15)=0,0,MAX(0,IF((I$6-$E$3)&lt;1,0,IFERROR(LOOKUP(2,1/('Feijão 2ª safra'!$E15:INDEX('Feijão 2ª safra'!$E15:$Z15,MIN(I$6-$E$3,22))&lt;&gt;""),'Feijão 2ª safra'!$E15:INDEX('Feijão 2ª safra'!$E15:$Z15,MIN(I$6-$E$3,22))),0))-IF($G$2,0,IF((I$6-$G$3)&lt;1,0,IFERROR(LOOKUP(2,1/('Feijão 2ª safra'!$E15:INDEX('Feijão 2ª safra'!$E15:$Z15,MIN(I$6-$G$3,22))&lt;&gt;""),'Feijão 2ª safra'!$E15:INDEX('Feijão 2ª safra'!$E15:$Z15,MIN(I$6-$G$3,22))),0)))))</f>
        <v>0</v>
      </c>
      <c r="J17" s="27" t="n">
        <f aca="false">IF(COUNT('Feijão 2ª safra'!$E15:$Z15)=0,0,MAX(0,IF((J$6-$E$3)&lt;1,0,IFERROR(LOOKUP(2,1/('Feijão 2ª safra'!$E15:INDEX('Feijão 2ª safra'!$E15:$Z15,MIN(J$6-$E$3,22))&lt;&gt;""),'Feijão 2ª safra'!$E15:INDEX('Feijão 2ª safra'!$E15:$Z15,MIN(J$6-$E$3,22))),0))-IF($G$2,0,IF((J$6-$G$3)&lt;1,0,IFERROR(LOOKUP(2,1/('Feijão 2ª safra'!$E15:INDEX('Feijão 2ª safra'!$E15:$Z15,MIN(J$6-$G$3,22))&lt;&gt;""),'Feijão 2ª safra'!$E15:INDEX('Feijão 2ª safra'!$E15:$Z15,MIN(J$6-$G$3,22))),0)))))</f>
        <v>0</v>
      </c>
      <c r="K17" s="27" t="n">
        <f aca="false">IF(COUNT('Feijão 2ª safra'!$E15:$Z15)=0,0,MAX(0,IF((K$6-$E$3)&lt;1,0,IFERROR(LOOKUP(2,1/('Feijão 2ª safra'!$E15:INDEX('Feijão 2ª safra'!$E15:$Z15,MIN(K$6-$E$3,22))&lt;&gt;""),'Feijão 2ª safra'!$E15:INDEX('Feijão 2ª safra'!$E15:$Z15,MIN(K$6-$E$3,22))),0))-IF($G$2,0,IF((K$6-$G$3)&lt;1,0,IFERROR(LOOKUP(2,1/('Feijão 2ª safra'!$E15:INDEX('Feijão 2ª safra'!$E15:$Z15,MIN(K$6-$G$3,22))&lt;&gt;""),'Feijão 2ª safra'!$E15:INDEX('Feijão 2ª safra'!$E15:$Z15,MIN(K$6-$G$3,22))),0)))))</f>
        <v>0</v>
      </c>
      <c r="L17" s="27" t="n">
        <f aca="false">IF(COUNT('Feijão 2ª safra'!$E15:$Z15)=0,0,MAX(0,IF((L$6-$E$3)&lt;1,0,IFERROR(LOOKUP(2,1/('Feijão 2ª safra'!$E15:INDEX('Feijão 2ª safra'!$E15:$Z15,MIN(L$6-$E$3,22))&lt;&gt;""),'Feijão 2ª safra'!$E15:INDEX('Feijão 2ª safra'!$E15:$Z15,MIN(L$6-$E$3,22))),0))-IF($G$2,0,IF((L$6-$G$3)&lt;1,0,IFERROR(LOOKUP(2,1/('Feijão 2ª safra'!$E15:INDEX('Feijão 2ª safra'!$E15:$Z15,MIN(L$6-$G$3,22))&lt;&gt;""),'Feijão 2ª safra'!$E15:INDEX('Feijão 2ª safra'!$E15:$Z15,MIN(L$6-$G$3,22))),0)))))</f>
        <v>0</v>
      </c>
      <c r="M17" s="27" t="n">
        <f aca="false">IF(COUNT('Feijão 2ª safra'!$E15:$Z15)=0,0,MAX(0,IF((M$6-$E$3)&lt;1,0,IFERROR(LOOKUP(2,1/('Feijão 2ª safra'!$E15:INDEX('Feijão 2ª safra'!$E15:$Z15,MIN(M$6-$E$3,22))&lt;&gt;""),'Feijão 2ª safra'!$E15:INDEX('Feijão 2ª safra'!$E15:$Z15,MIN(M$6-$E$3,22))),0))-IF($G$2,0,IF((M$6-$G$3)&lt;1,0,IFERROR(LOOKUP(2,1/('Feijão 2ª safra'!$E15:INDEX('Feijão 2ª safra'!$E15:$Z15,MIN(M$6-$G$3,22))&lt;&gt;""),'Feijão 2ª safra'!$E15:INDEX('Feijão 2ª safra'!$E15:$Z15,MIN(M$6-$G$3,22))),0)))))</f>
        <v>0</v>
      </c>
      <c r="N17" s="27" t="n">
        <f aca="false">IF(COUNT('Feijão 2ª safra'!$E15:$Z15)=0,0,MAX(0,IF((N$6-$E$3)&lt;1,0,IFERROR(LOOKUP(2,1/('Feijão 2ª safra'!$E15:INDEX('Feijão 2ª safra'!$E15:$Z15,MIN(N$6-$E$3,22))&lt;&gt;""),'Feijão 2ª safra'!$E15:INDEX('Feijão 2ª safra'!$E15:$Z15,MIN(N$6-$E$3,22))),0))-IF($G$2,0,IF((N$6-$G$3)&lt;1,0,IFERROR(LOOKUP(2,1/('Feijão 2ª safra'!$E15:INDEX('Feijão 2ª safra'!$E15:$Z15,MIN(N$6-$G$3,22))&lt;&gt;""),'Feijão 2ª safra'!$E15:INDEX('Feijão 2ª safra'!$E15:$Z15,MIN(N$6-$G$3,22))),0)))))</f>
        <v>0</v>
      </c>
      <c r="O17" s="27" t="n">
        <f aca="false">IF(COUNT('Feijão 2ª safra'!$E15:$Z15)=0,0,MAX(0,IF((O$6-$E$3)&lt;1,0,IFERROR(LOOKUP(2,1/('Feijão 2ª safra'!$E15:INDEX('Feijão 2ª safra'!$E15:$Z15,MIN(O$6-$E$3,22))&lt;&gt;""),'Feijão 2ª safra'!$E15:INDEX('Feijão 2ª safra'!$E15:$Z15,MIN(O$6-$E$3,22))),0))-IF($G$2,0,IF((O$6-$G$3)&lt;1,0,IFERROR(LOOKUP(2,1/('Feijão 2ª safra'!$E15:INDEX('Feijão 2ª safra'!$E15:$Z15,MIN(O$6-$G$3,22))&lt;&gt;""),'Feijão 2ª safra'!$E15:INDEX('Feijão 2ª safra'!$E15:$Z15,MIN(O$6-$G$3,22))),0)))))</f>
        <v>0</v>
      </c>
      <c r="P17" s="27" t="n">
        <f aca="false">IF(COUNT('Feijão 2ª safra'!$E15:$Z15)=0,0,MAX(0,IF((P$6-$E$3)&lt;1,0,IFERROR(LOOKUP(2,1/('Feijão 2ª safra'!$E15:INDEX('Feijão 2ª safra'!$E15:$Z15,MIN(P$6-$E$3,22))&lt;&gt;""),'Feijão 2ª safra'!$E15:INDEX('Feijão 2ª safra'!$E15:$Z15,MIN(P$6-$E$3,22))),0))-IF($G$2,0,IF((P$6-$G$3)&lt;1,0,IFERROR(LOOKUP(2,1/('Feijão 2ª safra'!$E15:INDEX('Feijão 2ª safra'!$E15:$Z15,MIN(P$6-$G$3,22))&lt;&gt;""),'Feijão 2ª safra'!$E15:INDEX('Feijão 2ª safra'!$E15:$Z15,MIN(P$6-$G$3,22))),0)))))</f>
        <v>0</v>
      </c>
      <c r="Q17" s="27" t="n">
        <f aca="false">IF(COUNT('Feijão 2ª safra'!$E15:$Z15)=0,0,MAX(0,IF((Q$6-$E$3)&lt;1,0,IFERROR(LOOKUP(2,1/('Feijão 2ª safra'!$E15:INDEX('Feijão 2ª safra'!$E15:$Z15,MIN(Q$6-$E$3,22))&lt;&gt;""),'Feijão 2ª safra'!$E15:INDEX('Feijão 2ª safra'!$E15:$Z15,MIN(Q$6-$E$3,22))),0))-IF($G$2,0,IF((Q$6-$G$3)&lt;1,0,IFERROR(LOOKUP(2,1/('Feijão 2ª safra'!$E15:INDEX('Feijão 2ª safra'!$E15:$Z15,MIN(Q$6-$G$3,22))&lt;&gt;""),'Feijão 2ª safra'!$E15:INDEX('Feijão 2ª safra'!$E15:$Z15,MIN(Q$6-$G$3,22))),0)))))</f>
        <v>0</v>
      </c>
      <c r="R17" s="27" t="n">
        <f aca="false">IF(COUNT('Feijão 2ª safra'!$E15:$Z15)=0,0,MAX(0,IF((R$6-$E$3)&lt;1,0,IFERROR(LOOKUP(2,1/('Feijão 2ª safra'!$E15:INDEX('Feijão 2ª safra'!$E15:$Z15,MIN(R$6-$E$3,22))&lt;&gt;""),'Feijão 2ª safra'!$E15:INDEX('Feijão 2ª safra'!$E15:$Z15,MIN(R$6-$E$3,22))),0))-IF($G$2,0,IF((R$6-$G$3)&lt;1,0,IFERROR(LOOKUP(2,1/('Feijão 2ª safra'!$E15:INDEX('Feijão 2ª safra'!$E15:$Z15,MIN(R$6-$G$3,22))&lt;&gt;""),'Feijão 2ª safra'!$E15:INDEX('Feijão 2ª safra'!$E15:$Z15,MIN(R$6-$G$3,22))),0)))))</f>
        <v>0</v>
      </c>
      <c r="S17" s="27" t="n">
        <f aca="false">IF(COUNT('Feijão 2ª safra'!$E15:$Z15)=0,0,MAX(0,IF((S$6-$E$3)&lt;1,0,IFERROR(LOOKUP(2,1/('Feijão 2ª safra'!$E15:INDEX('Feijão 2ª safra'!$E15:$Z15,MIN(S$6-$E$3,22))&lt;&gt;""),'Feijão 2ª safra'!$E15:INDEX('Feijão 2ª safra'!$E15:$Z15,MIN(S$6-$E$3,22))),0))-IF($G$2,0,IF((S$6-$G$3)&lt;1,0,IFERROR(LOOKUP(2,1/('Feijão 2ª safra'!$E15:INDEX('Feijão 2ª safra'!$E15:$Z15,MIN(S$6-$G$3,22))&lt;&gt;""),'Feijão 2ª safra'!$E15:INDEX('Feijão 2ª safra'!$E15:$Z15,MIN(S$6-$G$3,22))),0)))))</f>
        <v>0</v>
      </c>
      <c r="T17" s="27" t="n">
        <f aca="false">IF(COUNT('Feijão 2ª safra'!$E15:$Z15)=0,0,MAX(0,IF((T$6-$E$3)&lt;1,0,IFERROR(LOOKUP(2,1/('Feijão 2ª safra'!$E15:INDEX('Feijão 2ª safra'!$E15:$Z15,MIN(T$6-$E$3,22))&lt;&gt;""),'Feijão 2ª safra'!$E15:INDEX('Feijão 2ª safra'!$E15:$Z15,MIN(T$6-$E$3,22))),0))-IF($G$2,0,IF((T$6-$G$3)&lt;1,0,IFERROR(LOOKUP(2,1/('Feijão 2ª safra'!$E15:INDEX('Feijão 2ª safra'!$E15:$Z15,MIN(T$6-$G$3,22))&lt;&gt;""),'Feijão 2ª safra'!$E15:INDEX('Feijão 2ª safra'!$E15:$Z15,MIN(T$6-$G$3,22))),0)))))</f>
        <v>0</v>
      </c>
      <c r="U17" s="27" t="n">
        <f aca="false">IF(COUNT('Feijão 2ª safra'!$E15:$Z15)=0,0,MAX(0,IF((U$6-$E$3)&lt;1,0,IFERROR(LOOKUP(2,1/('Feijão 2ª safra'!$E15:INDEX('Feijão 2ª safra'!$E15:$Z15,MIN(U$6-$E$3,22))&lt;&gt;""),'Feijão 2ª safra'!$E15:INDEX('Feijão 2ª safra'!$E15:$Z15,MIN(U$6-$E$3,22))),0))-IF($G$2,0,IF((U$6-$G$3)&lt;1,0,IFERROR(LOOKUP(2,1/('Feijão 2ª safra'!$E15:INDEX('Feijão 2ª safra'!$E15:$Z15,MIN(U$6-$G$3,22))&lt;&gt;""),'Feijão 2ª safra'!$E15:INDEX('Feijão 2ª safra'!$E15:$Z15,MIN(U$6-$G$3,22))),0)))))</f>
        <v>0</v>
      </c>
      <c r="V17" s="27" t="n">
        <f aca="false">IF(COUNT('Feijão 2ª safra'!$E15:$Z15)=0,0,MAX(0,IF((V$6-$E$3)&lt;1,0,IFERROR(LOOKUP(2,1/('Feijão 2ª safra'!$E15:INDEX('Feijão 2ª safra'!$E15:$Z15,MIN(V$6-$E$3,22))&lt;&gt;""),'Feijão 2ª safra'!$E15:INDEX('Feijão 2ª safra'!$E15:$Z15,MIN(V$6-$E$3,22))),0))-IF($G$2,0,IF((V$6-$G$3)&lt;1,0,IFERROR(LOOKUP(2,1/('Feijão 2ª safra'!$E15:INDEX('Feijão 2ª safra'!$E15:$Z15,MIN(V$6-$G$3,22))&lt;&gt;""),'Feijão 2ª safra'!$E15:INDEX('Feijão 2ª safra'!$E15:$Z15,MIN(V$6-$G$3,22))),0)))))</f>
        <v>0</v>
      </c>
      <c r="W17" s="27" t="n">
        <f aca="false">IF(COUNT('Feijão 2ª safra'!$E15:$Z15)=0,0,MAX(0,IF((W$6-$E$3)&lt;1,0,IFERROR(LOOKUP(2,1/('Feijão 2ª safra'!$E15:INDEX('Feijão 2ª safra'!$E15:$Z15,MIN(W$6-$E$3,22))&lt;&gt;""),'Feijão 2ª safra'!$E15:INDEX('Feijão 2ª safra'!$E15:$Z15,MIN(W$6-$E$3,22))),0))-IF($G$2,0,IF((W$6-$G$3)&lt;1,0,IFERROR(LOOKUP(2,1/('Feijão 2ª safra'!$E15:INDEX('Feijão 2ª safra'!$E15:$Z15,MIN(W$6-$G$3,22))&lt;&gt;""),'Feijão 2ª safra'!$E15:INDEX('Feijão 2ª safra'!$E15:$Z15,MIN(W$6-$G$3,22))),0)))))</f>
        <v>0</v>
      </c>
      <c r="X17" s="27" t="n">
        <f aca="false">IF(COUNT('Feijão 2ª safra'!$E15:$Z15)=0,0,MAX(0,IF((X$6-$E$3)&lt;1,0,IFERROR(LOOKUP(2,1/('Feijão 2ª safra'!$E15:INDEX('Feijão 2ª safra'!$E15:$Z15,MIN(X$6-$E$3,22))&lt;&gt;""),'Feijão 2ª safra'!$E15:INDEX('Feijão 2ª safra'!$E15:$Z15,MIN(X$6-$E$3,22))),0))-IF($G$2,0,IF((X$6-$G$3)&lt;1,0,IFERROR(LOOKUP(2,1/('Feijão 2ª safra'!$E15:INDEX('Feijão 2ª safra'!$E15:$Z15,MIN(X$6-$G$3,22))&lt;&gt;""),'Feijão 2ª safra'!$E15:INDEX('Feijão 2ª safra'!$E15:$Z15,MIN(X$6-$G$3,22))),0)))))</f>
        <v>0</v>
      </c>
      <c r="Y17" s="27" t="n">
        <f aca="false">IF(COUNT('Feijão 2ª safra'!$E15:$Z15)=0,0,MAX(0,IF((Y$6-$E$3)&lt;1,0,IFERROR(LOOKUP(2,1/('Feijão 2ª safra'!$E15:INDEX('Feijão 2ª safra'!$E15:$Z15,MIN(Y$6-$E$3,22))&lt;&gt;""),'Feijão 2ª safra'!$E15:INDEX('Feijão 2ª safra'!$E15:$Z15,MIN(Y$6-$E$3,22))),0))-IF($G$2,0,IF((Y$6-$G$3)&lt;1,0,IFERROR(LOOKUP(2,1/('Feijão 2ª safra'!$E15:INDEX('Feijão 2ª safra'!$E15:$Z15,MIN(Y$6-$G$3,22))&lt;&gt;""),'Feijão 2ª safra'!$E15:INDEX('Feijão 2ª safra'!$E15:$Z15,MIN(Y$6-$G$3,22))),0)))))</f>
        <v>0</v>
      </c>
      <c r="Z17" s="27" t="n">
        <f aca="false">IF(COUNT('Feijão 2ª safra'!$E15:$Z15)=0,0,MAX(0,IF((Z$6-$E$3)&lt;1,0,IFERROR(LOOKUP(2,1/('Feijão 2ª safra'!$E15:INDEX('Feijão 2ª safra'!$E15:$Z15,MIN(Z$6-$E$3,22))&lt;&gt;""),'Feijão 2ª safra'!$E15:INDEX('Feijão 2ª safra'!$E15:$Z15,MIN(Z$6-$E$3,22))),0))-IF($G$2,0,IF((Z$6-$G$3)&lt;1,0,IFERROR(LOOKUP(2,1/('Feijão 2ª safra'!$E15:INDEX('Feijão 2ª safra'!$E15:$Z15,MIN(Z$6-$G$3,22))&lt;&gt;""),'Feijão 2ª safra'!$E15:INDEX('Feijão 2ª safra'!$E15:$Z15,MIN(Z$6-$G$3,22))),0)))))</f>
        <v>0</v>
      </c>
      <c r="AA17" s="27" t="n">
        <f aca="false">IF(COUNT('Feijão 2ª safra'!$E15:$Z15)=0,0,MAX(0,IF((AA$6-$E$3)&lt;1,0,IFERROR(LOOKUP(2,1/('Feijão 2ª safra'!$E15:INDEX('Feijão 2ª safra'!$E15:$Z15,MIN(AA$6-$E$3,22))&lt;&gt;""),'Feijão 2ª safra'!$E15:INDEX('Feijão 2ª safra'!$E15:$Z15,MIN(AA$6-$E$3,22))),0))-IF($G$2,0,IF((AA$6-$G$3)&lt;1,0,IFERROR(LOOKUP(2,1/('Feijão 2ª safra'!$E15:INDEX('Feijão 2ª safra'!$E15:$Z15,MIN(AA$6-$G$3,22))&lt;&gt;""),'Feijão 2ª safra'!$E15:INDEX('Feijão 2ª safra'!$E15:$Z15,MIN(AA$6-$G$3,22))),0)))))</f>
        <v>0</v>
      </c>
      <c r="AB17" s="27" t="n">
        <f aca="false">IF(COUNT('Feijão 2ª safra'!$E15:$Z15)=0,0,MAX(0,IF((AB$6-$E$3)&lt;1,0,IFERROR(LOOKUP(2,1/('Feijão 2ª safra'!$E15:INDEX('Feijão 2ª safra'!$E15:$Z15,MIN(AB$6-$E$3,22))&lt;&gt;""),'Feijão 2ª safra'!$E15:INDEX('Feijão 2ª safra'!$E15:$Z15,MIN(AB$6-$E$3,22))),0))-IF($G$2,0,IF((AB$6-$G$3)&lt;1,0,IFERROR(LOOKUP(2,1/('Feijão 2ª safra'!$E15:INDEX('Feijão 2ª safra'!$E15:$Z15,MIN(AB$6-$G$3,22))&lt;&gt;""),'Feijão 2ª safra'!$E15:INDEX('Feijão 2ª safra'!$E15:$Z15,MIN(AB$6-$G$3,22))),0)))))</f>
        <v>0</v>
      </c>
      <c r="AC17" s="27" t="n">
        <f aca="false">IF(COUNT('Feijão 2ª safra'!$E15:$Z15)=0,0,MAX(0,IF((AC$6-$E$3)&lt;1,0,IFERROR(LOOKUP(2,1/('Feijão 2ª safra'!$E15:INDEX('Feijão 2ª safra'!$E15:$Z15,MIN(AC$6-$E$3,22))&lt;&gt;""),'Feijão 2ª safra'!$E15:INDEX('Feijão 2ª safra'!$E15:$Z15,MIN(AC$6-$E$3,22))),0))-IF($G$2,0,IF((AC$6-$G$3)&lt;1,0,IFERROR(LOOKUP(2,1/('Feijão 2ª safra'!$E15:INDEX('Feijão 2ª safra'!$E15:$Z15,MIN(AC$6-$G$3,22))&lt;&gt;""),'Feijão 2ª safra'!$E15:INDEX('Feijão 2ª safra'!$E15:$Z15,MIN(AC$6-$G$3,22))),0)))))</f>
        <v>0</v>
      </c>
      <c r="AD17" s="27" t="n">
        <f aca="false">IF(COUNT('Feijão 2ª safra'!$E15:$Z15)=0,0,MAX(0,IF((AD$6-$E$3)&lt;1,0,IFERROR(LOOKUP(2,1/('Feijão 2ª safra'!$E15:INDEX('Feijão 2ª safra'!$E15:$Z15,MIN(AD$6-$E$3,22))&lt;&gt;""),'Feijão 2ª safra'!$E15:INDEX('Feijão 2ª safra'!$E15:$Z15,MIN(AD$6-$E$3,22))),0))-IF($G$2,0,IF((AD$6-$G$3)&lt;1,0,IFERROR(LOOKUP(2,1/('Feijão 2ª safra'!$E15:INDEX('Feijão 2ª safra'!$E15:$Z15,MIN(AD$6-$G$3,22))&lt;&gt;""),'Feijão 2ª safra'!$E15:INDEX('Feijão 2ª safra'!$E15:$Z15,MIN(AD$6-$G$3,22))),0)))))</f>
        <v>0</v>
      </c>
      <c r="AE17" s="27" t="n">
        <f aca="false">IF(COUNT('Feijão 2ª safra'!$E15:$Z15)=0,0,MAX(0,IF((AE$6-$E$3)&lt;1,0,IFERROR(LOOKUP(2,1/('Feijão 2ª safra'!$E15:INDEX('Feijão 2ª safra'!$E15:$Z15,MIN(AE$6-$E$3,22))&lt;&gt;""),'Feijão 2ª safra'!$E15:INDEX('Feijão 2ª safra'!$E15:$Z15,MIN(AE$6-$E$3,22))),0))-IF($G$2,0,IF((AE$6-$G$3)&lt;1,0,IFERROR(LOOKUP(2,1/('Feijão 2ª safra'!$E15:INDEX('Feijão 2ª safra'!$E15:$Z15,MIN(AE$6-$G$3,22))&lt;&gt;""),'Feijão 2ª safra'!$E15:INDEX('Feijão 2ª safra'!$E15:$Z15,MIN(AE$6-$G$3,22))),0)))))</f>
        <v>0</v>
      </c>
      <c r="AF17" s="27" t="n">
        <f aca="false">IF(COUNT('Feijão 2ª safra'!$E15:$Z15)=0,0,MAX(0,IF((AF$6-$E$3)&lt;1,0,IFERROR(LOOKUP(2,1/('Feijão 2ª safra'!$E15:INDEX('Feijão 2ª safra'!$E15:$Z15,MIN(AF$6-$E$3,22))&lt;&gt;""),'Feijão 2ª safra'!$E15:INDEX('Feijão 2ª safra'!$E15:$Z15,MIN(AF$6-$E$3,22))),0))-IF($G$2,0,IF((AF$6-$G$3)&lt;1,0,IFERROR(LOOKUP(2,1/('Feijão 2ª safra'!$E15:INDEX('Feijão 2ª safra'!$E15:$Z15,MIN(AF$6-$G$3,22))&lt;&gt;""),'Feijão 2ª safra'!$E15:INDEX('Feijão 2ª safra'!$E15:$Z15,MIN(AF$6-$G$3,22))),0)))))</f>
        <v>0</v>
      </c>
      <c r="AG17" s="27" t="n">
        <f aca="false">IF(COUNT('Feijão 2ª safra'!$E15:$Z15)=0,0,MAX(0,IF((AG$6-$E$3)&lt;1,0,IFERROR(LOOKUP(2,1/('Feijão 2ª safra'!$E15:INDEX('Feijão 2ª safra'!$E15:$Z15,MIN(AG$6-$E$3,22))&lt;&gt;""),'Feijão 2ª safra'!$E15:INDEX('Feijão 2ª safra'!$E15:$Z15,MIN(AG$6-$E$3,22))),0))-IF($G$2,0,IF((AG$6-$G$3)&lt;1,0,IFERROR(LOOKUP(2,1/('Feijão 2ª safra'!$E15:INDEX('Feijão 2ª safra'!$E15:$Z15,MIN(AG$6-$G$3,22))&lt;&gt;""),'Feijão 2ª safra'!$E15:INDEX('Feijão 2ª safra'!$E15:$Z15,MIN(AG$6-$G$3,22))),0)))))</f>
        <v>0</v>
      </c>
      <c r="AH17" s="27" t="n">
        <f aca="false">IF(COUNT('Feijão 2ª safra'!$E15:$Z15)=0,0,MAX(0,IF((AH$6-$E$3)&lt;1,0,IFERROR(LOOKUP(2,1/('Feijão 2ª safra'!$E15:INDEX('Feijão 2ª safra'!$E15:$Z15,MIN(AH$6-$E$3,22))&lt;&gt;""),'Feijão 2ª safra'!$E15:INDEX('Feijão 2ª safra'!$E15:$Z15,MIN(AH$6-$E$3,22))),0))-IF($G$2,0,IF((AH$6-$G$3)&lt;1,0,IFERROR(LOOKUP(2,1/('Feijão 2ª safra'!$E15:INDEX('Feijão 2ª safra'!$E15:$Z15,MIN(AH$6-$G$3,22))&lt;&gt;""),'Feijão 2ª safra'!$E15:INDEX('Feijão 2ª safra'!$E15:$Z15,MIN(AH$6-$G$3,22))),0)))))</f>
        <v>0</v>
      </c>
      <c r="AI17" s="27" t="n">
        <f aca="false">IF(COUNT('Feijão 2ª safra'!$E15:$Z15)=0,0,MAX(0,IF((AI$6-$E$3)&lt;1,0,IFERROR(LOOKUP(2,1/('Feijão 2ª safra'!$E15:INDEX('Feijão 2ª safra'!$E15:$Z15,MIN(AI$6-$E$3,22))&lt;&gt;""),'Feijão 2ª safra'!$E15:INDEX('Feijão 2ª safra'!$E15:$Z15,MIN(AI$6-$E$3,22))),0))-IF($G$2,0,IF((AI$6-$G$3)&lt;1,0,IFERROR(LOOKUP(2,1/('Feijão 2ª safra'!$E15:INDEX('Feijão 2ª safra'!$E15:$Z15,MIN(AI$6-$G$3,22))&lt;&gt;""),'Feijão 2ª safra'!$E15:INDEX('Feijão 2ª safra'!$E15:$Z15,MIN(AI$6-$G$3,22))),0)))))</f>
        <v>0</v>
      </c>
      <c r="AJ17" s="27" t="n">
        <f aca="false">IF(COUNT('Feijão 2ª safra'!$E15:$Z15)=0,0,MAX(0,IF((AJ$6-$E$3)&lt;1,0,IFERROR(LOOKUP(2,1/('Feijão 2ª safra'!$E15:INDEX('Feijão 2ª safra'!$E15:$Z15,MIN(AJ$6-$E$3,22))&lt;&gt;""),'Feijão 2ª safra'!$E15:INDEX('Feijão 2ª safra'!$E15:$Z15,MIN(AJ$6-$E$3,22))),0))-IF($G$2,0,IF((AJ$6-$G$3)&lt;1,0,IFERROR(LOOKUP(2,1/('Feijão 2ª safra'!$E15:INDEX('Feijão 2ª safra'!$E15:$Z15,MIN(AJ$6-$G$3,22))&lt;&gt;""),'Feijão 2ª safra'!$E15:INDEX('Feijão 2ª safra'!$E15:$Z15,MIN(AJ$6-$G$3,22))),0)))))</f>
        <v>0</v>
      </c>
      <c r="AK17" s="27" t="n">
        <f aca="false">IF(COUNT('Feijão 2ª safra'!$E15:$Z15)=0,0,MAX(0,IF((AK$6-$E$3)&lt;1,0,IFERROR(LOOKUP(2,1/('Feijão 2ª safra'!$E15:INDEX('Feijão 2ª safra'!$E15:$Z15,MIN(AK$6-$E$3,22))&lt;&gt;""),'Feijão 2ª safra'!$E15:INDEX('Feijão 2ª safra'!$E15:$Z15,MIN(AK$6-$E$3,22))),0))-IF($G$2,0,IF((AK$6-$G$3)&lt;1,0,IFERROR(LOOKUP(2,1/('Feijão 2ª safra'!$E15:INDEX('Feijão 2ª safra'!$E15:$Z15,MIN(AK$6-$G$3,22))&lt;&gt;""),'Feijão 2ª safra'!$E15:INDEX('Feijão 2ª safra'!$E15:$Z15,MIN(AK$6-$G$3,22))),0)))))</f>
        <v>0</v>
      </c>
      <c r="AL17" s="27" t="n">
        <f aca="false">IF(COUNT('Feijão 2ª safra'!$E15:$Z15)=0,0,MAX(0,IF((AL$6-$E$3)&lt;1,0,IFERROR(LOOKUP(2,1/('Feijão 2ª safra'!$E15:INDEX('Feijão 2ª safra'!$E15:$Z15,MIN(AL$6-$E$3,22))&lt;&gt;""),'Feijão 2ª safra'!$E15:INDEX('Feijão 2ª safra'!$E15:$Z15,MIN(AL$6-$E$3,22))),0))-IF($G$2,0,IF((AL$6-$G$3)&lt;1,0,IFERROR(LOOKUP(2,1/('Feijão 2ª safra'!$E15:INDEX('Feijão 2ª safra'!$E15:$Z15,MIN(AL$6-$G$3,22))&lt;&gt;""),'Feijão 2ª safra'!$E15:INDEX('Feijão 2ª safra'!$E15:$Z15,MIN(AL$6-$G$3,22))),0)))))</f>
        <v>0</v>
      </c>
      <c r="AM17" s="27" t="n">
        <f aca="false">IF(COUNT('Feijão 2ª safra'!$E15:$Z15)=0,0,MAX(0,IF((AM$6-$E$3)&lt;1,0,IFERROR(LOOKUP(2,1/('Feijão 2ª safra'!$E15:INDEX('Feijão 2ª safra'!$E15:$Z15,MIN(AM$6-$E$3,22))&lt;&gt;""),'Feijão 2ª safra'!$E15:INDEX('Feijão 2ª safra'!$E15:$Z15,MIN(AM$6-$E$3,22))),0))-IF($G$2,0,IF((AM$6-$G$3)&lt;1,0,IFERROR(LOOKUP(2,1/('Feijão 2ª safra'!$E15:INDEX('Feijão 2ª safra'!$E15:$Z15,MIN(AM$6-$G$3,22))&lt;&gt;""),'Feijão 2ª safra'!$E15:INDEX('Feijão 2ª safra'!$E15:$Z15,MIN(AM$6-$G$3,22))),0)))))</f>
        <v>0</v>
      </c>
      <c r="AN17" s="27" t="n">
        <f aca="false">IF(COUNT('Feijão 2ª safra'!$E15:$Z15)=0,0,MAX(0,IF((AN$6-$E$3)&lt;1,0,IFERROR(LOOKUP(2,1/('Feijão 2ª safra'!$E15:INDEX('Feijão 2ª safra'!$E15:$Z15,MIN(AN$6-$E$3,22))&lt;&gt;""),'Feijão 2ª safra'!$E15:INDEX('Feijão 2ª safra'!$E15:$Z15,MIN(AN$6-$E$3,22))),0))-IF($G$2,0,IF((AN$6-$G$3)&lt;1,0,IFERROR(LOOKUP(2,1/('Feijão 2ª safra'!$E15:INDEX('Feijão 2ª safra'!$E15:$Z15,MIN(AN$6-$G$3,22))&lt;&gt;""),'Feijão 2ª safra'!$E15:INDEX('Feijão 2ª safra'!$E15:$Z15,MIN(AN$6-$G$3,22))),0)))))</f>
        <v>0</v>
      </c>
      <c r="AO17" s="27" t="n">
        <f aca="false">IF(COUNT('Feijão 2ª safra'!$E15:$Z15)=0,0,MAX(0,IF((AO$6-$E$3)&lt;1,0,IFERROR(LOOKUP(2,1/('Feijão 2ª safra'!$E15:INDEX('Feijão 2ª safra'!$E15:$Z15,MIN(AO$6-$E$3,22))&lt;&gt;""),'Feijão 2ª safra'!$E15:INDEX('Feijão 2ª safra'!$E15:$Z15,MIN(AO$6-$E$3,22))),0))-IF($G$2,0,IF((AO$6-$G$3)&lt;1,0,IFERROR(LOOKUP(2,1/('Feijão 2ª safra'!$E15:INDEX('Feijão 2ª safra'!$E15:$Z15,MIN(AO$6-$G$3,22))&lt;&gt;""),'Feijão 2ª safra'!$E15:INDEX('Feijão 2ª safra'!$E15:$Z15,MIN(AO$6-$G$3,22))),0)))))</f>
        <v>0</v>
      </c>
      <c r="AP17" s="27" t="n">
        <f aca="false">IF(COUNT('Feijão 2ª safra'!$E15:$Z15)=0,0,MAX(0,IF((AP$6-$E$3)&lt;1,0,IFERROR(LOOKUP(2,1/('Feijão 2ª safra'!$E15:INDEX('Feijão 2ª safra'!$E15:$Z15,MIN(AP$6-$E$3,22))&lt;&gt;""),'Feijão 2ª safra'!$E15:INDEX('Feijão 2ª safra'!$E15:$Z15,MIN(AP$6-$E$3,22))),0))-IF($G$2,0,IF((AP$6-$G$3)&lt;1,0,IFERROR(LOOKUP(2,1/('Feijão 2ª safra'!$E15:INDEX('Feijão 2ª safra'!$E15:$Z15,MIN(AP$6-$G$3,22))&lt;&gt;""),'Feijão 2ª safra'!$E15:INDEX('Feijão 2ª safra'!$E15:$Z15,MIN(AP$6-$G$3,22))),0)))))</f>
        <v>0</v>
      </c>
      <c r="AQ17" s="27" t="n">
        <f aca="false">IF(COUNT('Feijão 2ª safra'!$E15:$Z15)=0,0,MAX(0,IF((AQ$6-$E$3)&lt;1,0,IFERROR(LOOKUP(2,1/('Feijão 2ª safra'!$E15:INDEX('Feijão 2ª safra'!$E15:$Z15,MIN(AQ$6-$E$3,22))&lt;&gt;""),'Feijão 2ª safra'!$E15:INDEX('Feijão 2ª safra'!$E15:$Z15,MIN(AQ$6-$E$3,22))),0))-IF($G$2,0,IF((AQ$6-$G$3)&lt;1,0,IFERROR(LOOKUP(2,1/('Feijão 2ª safra'!$E15:INDEX('Feijão 2ª safra'!$E15:$Z15,MIN(AQ$6-$G$3,22))&lt;&gt;""),'Feijão 2ª safra'!$E15:INDEX('Feijão 2ª safra'!$E15:$Z15,MIN(AQ$6-$G$3,22))),0)))))</f>
        <v>0</v>
      </c>
      <c r="AR17" s="27" t="n">
        <f aca="false">IF(COUNT('Feijão 2ª safra'!$E15:$Z15)=0,0,MAX(0,IF((AR$6-$E$3)&lt;1,0,IFERROR(LOOKUP(2,1/('Feijão 2ª safra'!$E15:INDEX('Feijão 2ª safra'!$E15:$Z15,MIN(AR$6-$E$3,22))&lt;&gt;""),'Feijão 2ª safra'!$E15:INDEX('Feijão 2ª safra'!$E15:$Z15,MIN(AR$6-$E$3,22))),0))-IF($G$2,0,IF((AR$6-$G$3)&lt;1,0,IFERROR(LOOKUP(2,1/('Feijão 2ª safra'!$E15:INDEX('Feijão 2ª safra'!$E15:$Z15,MIN(AR$6-$G$3,22))&lt;&gt;""),'Feijão 2ª safra'!$E15:INDEX('Feijão 2ª safra'!$E15:$Z15,MIN(AR$6-$G$3,22))),0)))))</f>
        <v>0</v>
      </c>
      <c r="AS17" s="27" t="n">
        <f aca="false">IF(COUNT('Feijão 2ª safra'!$E15:$Z15)=0,0,MAX(0,IF((AS$6-$E$3)&lt;1,0,IFERROR(LOOKUP(2,1/('Feijão 2ª safra'!$E15:INDEX('Feijão 2ª safra'!$E15:$Z15,MIN(AS$6-$E$3,22))&lt;&gt;""),'Feijão 2ª safra'!$E15:INDEX('Feijão 2ª safra'!$E15:$Z15,MIN(AS$6-$E$3,22))),0))-IF($G$2,0,IF((AS$6-$G$3)&lt;1,0,IFERROR(LOOKUP(2,1/('Feijão 2ª safra'!$E15:INDEX('Feijão 2ª safra'!$E15:$Z15,MIN(AS$6-$G$3,22))&lt;&gt;""),'Feijão 2ª safra'!$E15:INDEX('Feijão 2ª safra'!$E15:$Z15,MIN(AS$6-$G$3,22))),0)))))</f>
        <v>0</v>
      </c>
      <c r="AT17" s="27" t="n">
        <f aca="false">IF(COUNT('Feijão 2ª safra'!$E15:$Z15)=0,0,MAX(0,IF((AT$6-$E$3)&lt;1,0,IFERROR(LOOKUP(2,1/('Feijão 2ª safra'!$E15:INDEX('Feijão 2ª safra'!$E15:$Z15,MIN(AT$6-$E$3,22))&lt;&gt;""),'Feijão 2ª safra'!$E15:INDEX('Feijão 2ª safra'!$E15:$Z15,MIN(AT$6-$E$3,22))),0))-IF($G$2,0,IF((AT$6-$G$3)&lt;1,0,IFERROR(LOOKUP(2,1/('Feijão 2ª safra'!$E15:INDEX('Feijão 2ª safra'!$E15:$Z15,MIN(AT$6-$G$3,22))&lt;&gt;""),'Feijão 2ª safra'!$E15:INDEX('Feijão 2ª safra'!$E15:$Z15,MIN(AT$6-$G$3,22))),0)))))</f>
        <v>0</v>
      </c>
      <c r="AU17" s="27" t="n">
        <f aca="false">IF(COUNT('Feijão 2ª safra'!$E15:$Z15)=0,0,MAX(0,IF((AU$6-$E$3)&lt;1,0,IFERROR(LOOKUP(2,1/('Feijão 2ª safra'!$E15:INDEX('Feijão 2ª safra'!$E15:$Z15,MIN(AU$6-$E$3,22))&lt;&gt;""),'Feijão 2ª safra'!$E15:INDEX('Feijão 2ª safra'!$E15:$Z15,MIN(AU$6-$E$3,22))),0))-IF($G$2,0,IF((AU$6-$G$3)&lt;1,0,IFERROR(LOOKUP(2,1/('Feijão 2ª safra'!$E15:INDEX('Feijão 2ª safra'!$E15:$Z15,MIN(AU$6-$G$3,22))&lt;&gt;""),'Feijão 2ª safra'!$E15:INDEX('Feijão 2ª safra'!$E15:$Z15,MIN(AU$6-$G$3,22))),0)))))</f>
        <v>0</v>
      </c>
      <c r="AV17" s="27" t="n">
        <f aca="false">IF(COUNT('Feijão 2ª safra'!$E15:$Z15)=0,0,MAX(0,IF((AV$6-$E$3)&lt;1,0,IFERROR(LOOKUP(2,1/('Feijão 2ª safra'!$E15:INDEX('Feijão 2ª safra'!$E15:$Z15,MIN(AV$6-$E$3,22))&lt;&gt;""),'Feijão 2ª safra'!$E15:INDEX('Feijão 2ª safra'!$E15:$Z15,MIN(AV$6-$E$3,22))),0))-IF($G$2,0,IF((AV$6-$G$3)&lt;1,0,IFERROR(LOOKUP(2,1/('Feijão 2ª safra'!$E15:INDEX('Feijão 2ª safra'!$E15:$Z15,MIN(AV$6-$G$3,22))&lt;&gt;""),'Feijão 2ª safra'!$E15:INDEX('Feijão 2ª safra'!$E15:$Z15,MIN(AV$6-$G$3,22))),0)))))</f>
        <v>0</v>
      </c>
      <c r="AW17" s="27" t="n">
        <f aca="false">IF(COUNT('Feijão 2ª safra'!$E15:$Z15)=0,0,MAX(0,IF((AW$6-$E$3)&lt;1,0,IFERROR(LOOKUP(2,1/('Feijão 2ª safra'!$E15:INDEX('Feijão 2ª safra'!$E15:$Z15,MIN(AW$6-$E$3,22))&lt;&gt;""),'Feijão 2ª safra'!$E15:INDEX('Feijão 2ª safra'!$E15:$Z15,MIN(AW$6-$E$3,22))),0))-IF($G$2,0,IF((AW$6-$G$3)&lt;1,0,IFERROR(LOOKUP(2,1/('Feijão 2ª safra'!$E15:INDEX('Feijão 2ª safra'!$E15:$Z15,MIN(AW$6-$G$3,22))&lt;&gt;""),'Feijão 2ª safra'!$E15:INDEX('Feijão 2ª safra'!$E15:$Z15,MIN(AW$6-$G$3,22))),0)))))</f>
        <v>0</v>
      </c>
      <c r="AX17" s="27" t="n">
        <f aca="false">IF(COUNT('Feijão 2ª safra'!$E15:$Z15)=0,0,MAX(0,IF((AX$6-$E$3)&lt;1,0,IFERROR(LOOKUP(2,1/('Feijão 2ª safra'!$E15:INDEX('Feijão 2ª safra'!$E15:$Z15,MIN(AX$6-$E$3,22))&lt;&gt;""),'Feijão 2ª safra'!$E15:INDEX('Feijão 2ª safra'!$E15:$Z15,MIN(AX$6-$E$3,22))),0))-IF($G$2,0,IF((AX$6-$G$3)&lt;1,0,IFERROR(LOOKUP(2,1/('Feijão 2ª safra'!$E15:INDEX('Feijão 2ª safra'!$E15:$Z15,MIN(AX$6-$G$3,22))&lt;&gt;""),'Feijão 2ª safra'!$E15:INDEX('Feijão 2ª safra'!$E15:$Z15,MIN(AX$6-$G$3,22))),0)))))</f>
        <v>0</v>
      </c>
      <c r="AY17" s="27" t="n">
        <f aca="false">IF(COUNT('Feijão 2ª safra'!$E15:$Z15)=0,0,MAX(0,IF((AY$6-$E$3)&lt;1,0,IFERROR(LOOKUP(2,1/('Feijão 2ª safra'!$E15:INDEX('Feijão 2ª safra'!$E15:$Z15,MIN(AY$6-$E$3,22))&lt;&gt;""),'Feijão 2ª safra'!$E15:INDEX('Feijão 2ª safra'!$E15:$Z15,MIN(AY$6-$E$3,22))),0))-IF($G$2,0,IF((AY$6-$G$3)&lt;1,0,IFERROR(LOOKUP(2,1/('Feijão 2ª safra'!$E15:INDEX('Feijão 2ª safra'!$E15:$Z15,MIN(AY$6-$G$3,22))&lt;&gt;""),'Feijão 2ª safra'!$E15:INDEX('Feijão 2ª safra'!$E15:$Z15,MIN(AY$6-$G$3,22))),0)))))</f>
        <v>0</v>
      </c>
      <c r="AZ17" s="27" t="n">
        <f aca="false">IF(COUNT('Feijão 2ª safra'!$E15:$Z15)=0,0,MAX(0,IF((AZ$6-$E$3)&lt;1,0,IFERROR(LOOKUP(2,1/('Feijão 2ª safra'!$E15:INDEX('Feijão 2ª safra'!$E15:$Z15,MIN(AZ$6-$E$3,22))&lt;&gt;""),'Feijão 2ª safra'!$E15:INDEX('Feijão 2ª safra'!$E15:$Z15,MIN(AZ$6-$E$3,22))),0))-IF($G$2,0,IF((AZ$6-$G$3)&lt;1,0,IFERROR(LOOKUP(2,1/('Feijão 2ª safra'!$E15:INDEX('Feijão 2ª safra'!$E15:$Z15,MIN(AZ$6-$G$3,22))&lt;&gt;""),'Feijão 2ª safra'!$E15:INDEX('Feijão 2ª safra'!$E15:$Z15,MIN(AZ$6-$G$3,22))),0)))))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IF(COUNT('Feijão 2ª safra'!$E16:$Z16)&gt;0,N('Feijão 2ª safra'!$D16),0)</f>
        <v>0</v>
      </c>
      <c r="E18" s="27" t="n">
        <f aca="false">IF(COUNT('Feijão 2ª safra'!$E16:$Z16)=0,0,MAX(0,IF((E$6-$E$3)&lt;1,0,IFERROR(LOOKUP(2,1/('Feijão 2ª safra'!$E16:INDEX('Feijão 2ª safra'!$E16:$Z16,MIN(E$6-$E$3,22))&lt;&gt;""),'Feijão 2ª safra'!$E16:INDEX('Feijão 2ª safra'!$E16:$Z16,MIN(E$6-$E$3,22))),0))-IF($G$2,0,IF((E$6-$G$3)&lt;1,0,IFERROR(LOOKUP(2,1/('Feijão 2ª safra'!$E16:INDEX('Feijão 2ª safra'!$E16:$Z16,MIN(E$6-$G$3,22))&lt;&gt;""),'Feijão 2ª safra'!$E16:INDEX('Feijão 2ª safra'!$E16:$Z16,MIN(E$6-$G$3,22))),0)))))</f>
        <v>0</v>
      </c>
      <c r="F18" s="27" t="n">
        <f aca="false">IF(COUNT('Feijão 2ª safra'!$E16:$Z16)=0,0,MAX(0,IF((F$6-$E$3)&lt;1,0,IFERROR(LOOKUP(2,1/('Feijão 2ª safra'!$E16:INDEX('Feijão 2ª safra'!$E16:$Z16,MIN(F$6-$E$3,22))&lt;&gt;""),'Feijão 2ª safra'!$E16:INDEX('Feijão 2ª safra'!$E16:$Z16,MIN(F$6-$E$3,22))),0))-IF($G$2,0,IF((F$6-$G$3)&lt;1,0,IFERROR(LOOKUP(2,1/('Feijão 2ª safra'!$E16:INDEX('Feijão 2ª safra'!$E16:$Z16,MIN(F$6-$G$3,22))&lt;&gt;""),'Feijão 2ª safra'!$E16:INDEX('Feijão 2ª safra'!$E16:$Z16,MIN(F$6-$G$3,22))),0)))))</f>
        <v>0</v>
      </c>
      <c r="G18" s="27" t="n">
        <f aca="false">IF(COUNT('Feijão 2ª safra'!$E16:$Z16)=0,0,MAX(0,IF((G$6-$E$3)&lt;1,0,IFERROR(LOOKUP(2,1/('Feijão 2ª safra'!$E16:INDEX('Feijão 2ª safra'!$E16:$Z16,MIN(G$6-$E$3,22))&lt;&gt;""),'Feijão 2ª safra'!$E16:INDEX('Feijão 2ª safra'!$E16:$Z16,MIN(G$6-$E$3,22))),0))-IF($G$2,0,IF((G$6-$G$3)&lt;1,0,IFERROR(LOOKUP(2,1/('Feijão 2ª safra'!$E16:INDEX('Feijão 2ª safra'!$E16:$Z16,MIN(G$6-$G$3,22))&lt;&gt;""),'Feijão 2ª safra'!$E16:INDEX('Feijão 2ª safra'!$E16:$Z16,MIN(G$6-$G$3,22))),0)))))</f>
        <v>0</v>
      </c>
      <c r="H18" s="27" t="n">
        <f aca="false">IF(COUNT('Feijão 2ª safra'!$E16:$Z16)=0,0,MAX(0,IF((H$6-$E$3)&lt;1,0,IFERROR(LOOKUP(2,1/('Feijão 2ª safra'!$E16:INDEX('Feijão 2ª safra'!$E16:$Z16,MIN(H$6-$E$3,22))&lt;&gt;""),'Feijão 2ª safra'!$E16:INDEX('Feijão 2ª safra'!$E16:$Z16,MIN(H$6-$E$3,22))),0))-IF($G$2,0,IF((H$6-$G$3)&lt;1,0,IFERROR(LOOKUP(2,1/('Feijão 2ª safra'!$E16:INDEX('Feijão 2ª safra'!$E16:$Z16,MIN(H$6-$G$3,22))&lt;&gt;""),'Feijão 2ª safra'!$E16:INDEX('Feijão 2ª safra'!$E16:$Z16,MIN(H$6-$G$3,22))),0)))))</f>
        <v>0</v>
      </c>
      <c r="I18" s="27" t="n">
        <f aca="false">IF(COUNT('Feijão 2ª safra'!$E16:$Z16)=0,0,MAX(0,IF((I$6-$E$3)&lt;1,0,IFERROR(LOOKUP(2,1/('Feijão 2ª safra'!$E16:INDEX('Feijão 2ª safra'!$E16:$Z16,MIN(I$6-$E$3,22))&lt;&gt;""),'Feijão 2ª safra'!$E16:INDEX('Feijão 2ª safra'!$E16:$Z16,MIN(I$6-$E$3,22))),0))-IF($G$2,0,IF((I$6-$G$3)&lt;1,0,IFERROR(LOOKUP(2,1/('Feijão 2ª safra'!$E16:INDEX('Feijão 2ª safra'!$E16:$Z16,MIN(I$6-$G$3,22))&lt;&gt;""),'Feijão 2ª safra'!$E16:INDEX('Feijão 2ª safra'!$E16:$Z16,MIN(I$6-$G$3,22))),0)))))</f>
        <v>0</v>
      </c>
      <c r="J18" s="27" t="n">
        <f aca="false">IF(COUNT('Feijão 2ª safra'!$E16:$Z16)=0,0,MAX(0,IF((J$6-$E$3)&lt;1,0,IFERROR(LOOKUP(2,1/('Feijão 2ª safra'!$E16:INDEX('Feijão 2ª safra'!$E16:$Z16,MIN(J$6-$E$3,22))&lt;&gt;""),'Feijão 2ª safra'!$E16:INDEX('Feijão 2ª safra'!$E16:$Z16,MIN(J$6-$E$3,22))),0))-IF($G$2,0,IF((J$6-$G$3)&lt;1,0,IFERROR(LOOKUP(2,1/('Feijão 2ª safra'!$E16:INDEX('Feijão 2ª safra'!$E16:$Z16,MIN(J$6-$G$3,22))&lt;&gt;""),'Feijão 2ª safra'!$E16:INDEX('Feijão 2ª safra'!$E16:$Z16,MIN(J$6-$G$3,22))),0)))))</f>
        <v>0</v>
      </c>
      <c r="K18" s="27" t="n">
        <f aca="false">IF(COUNT('Feijão 2ª safra'!$E16:$Z16)=0,0,MAX(0,IF((K$6-$E$3)&lt;1,0,IFERROR(LOOKUP(2,1/('Feijão 2ª safra'!$E16:INDEX('Feijão 2ª safra'!$E16:$Z16,MIN(K$6-$E$3,22))&lt;&gt;""),'Feijão 2ª safra'!$E16:INDEX('Feijão 2ª safra'!$E16:$Z16,MIN(K$6-$E$3,22))),0))-IF($G$2,0,IF((K$6-$G$3)&lt;1,0,IFERROR(LOOKUP(2,1/('Feijão 2ª safra'!$E16:INDEX('Feijão 2ª safra'!$E16:$Z16,MIN(K$6-$G$3,22))&lt;&gt;""),'Feijão 2ª safra'!$E16:INDEX('Feijão 2ª safra'!$E16:$Z16,MIN(K$6-$G$3,22))),0)))))</f>
        <v>0</v>
      </c>
      <c r="L18" s="27" t="n">
        <f aca="false">IF(COUNT('Feijão 2ª safra'!$E16:$Z16)=0,0,MAX(0,IF((L$6-$E$3)&lt;1,0,IFERROR(LOOKUP(2,1/('Feijão 2ª safra'!$E16:INDEX('Feijão 2ª safra'!$E16:$Z16,MIN(L$6-$E$3,22))&lt;&gt;""),'Feijão 2ª safra'!$E16:INDEX('Feijão 2ª safra'!$E16:$Z16,MIN(L$6-$E$3,22))),0))-IF($G$2,0,IF((L$6-$G$3)&lt;1,0,IFERROR(LOOKUP(2,1/('Feijão 2ª safra'!$E16:INDEX('Feijão 2ª safra'!$E16:$Z16,MIN(L$6-$G$3,22))&lt;&gt;""),'Feijão 2ª safra'!$E16:INDEX('Feijão 2ª safra'!$E16:$Z16,MIN(L$6-$G$3,22))),0)))))</f>
        <v>0</v>
      </c>
      <c r="M18" s="27" t="n">
        <f aca="false">IF(COUNT('Feijão 2ª safra'!$E16:$Z16)=0,0,MAX(0,IF((M$6-$E$3)&lt;1,0,IFERROR(LOOKUP(2,1/('Feijão 2ª safra'!$E16:INDEX('Feijão 2ª safra'!$E16:$Z16,MIN(M$6-$E$3,22))&lt;&gt;""),'Feijão 2ª safra'!$E16:INDEX('Feijão 2ª safra'!$E16:$Z16,MIN(M$6-$E$3,22))),0))-IF($G$2,0,IF((M$6-$G$3)&lt;1,0,IFERROR(LOOKUP(2,1/('Feijão 2ª safra'!$E16:INDEX('Feijão 2ª safra'!$E16:$Z16,MIN(M$6-$G$3,22))&lt;&gt;""),'Feijão 2ª safra'!$E16:INDEX('Feijão 2ª safra'!$E16:$Z16,MIN(M$6-$G$3,22))),0)))))</f>
        <v>0</v>
      </c>
      <c r="N18" s="27" t="n">
        <f aca="false">IF(COUNT('Feijão 2ª safra'!$E16:$Z16)=0,0,MAX(0,IF((N$6-$E$3)&lt;1,0,IFERROR(LOOKUP(2,1/('Feijão 2ª safra'!$E16:INDEX('Feijão 2ª safra'!$E16:$Z16,MIN(N$6-$E$3,22))&lt;&gt;""),'Feijão 2ª safra'!$E16:INDEX('Feijão 2ª safra'!$E16:$Z16,MIN(N$6-$E$3,22))),0))-IF($G$2,0,IF((N$6-$G$3)&lt;1,0,IFERROR(LOOKUP(2,1/('Feijão 2ª safra'!$E16:INDEX('Feijão 2ª safra'!$E16:$Z16,MIN(N$6-$G$3,22))&lt;&gt;""),'Feijão 2ª safra'!$E16:INDEX('Feijão 2ª safra'!$E16:$Z16,MIN(N$6-$G$3,22))),0)))))</f>
        <v>0</v>
      </c>
      <c r="O18" s="27" t="n">
        <f aca="false">IF(COUNT('Feijão 2ª safra'!$E16:$Z16)=0,0,MAX(0,IF((O$6-$E$3)&lt;1,0,IFERROR(LOOKUP(2,1/('Feijão 2ª safra'!$E16:INDEX('Feijão 2ª safra'!$E16:$Z16,MIN(O$6-$E$3,22))&lt;&gt;""),'Feijão 2ª safra'!$E16:INDEX('Feijão 2ª safra'!$E16:$Z16,MIN(O$6-$E$3,22))),0))-IF($G$2,0,IF((O$6-$G$3)&lt;1,0,IFERROR(LOOKUP(2,1/('Feijão 2ª safra'!$E16:INDEX('Feijão 2ª safra'!$E16:$Z16,MIN(O$6-$G$3,22))&lt;&gt;""),'Feijão 2ª safra'!$E16:INDEX('Feijão 2ª safra'!$E16:$Z16,MIN(O$6-$G$3,22))),0)))))</f>
        <v>0</v>
      </c>
      <c r="P18" s="27" t="n">
        <f aca="false">IF(COUNT('Feijão 2ª safra'!$E16:$Z16)=0,0,MAX(0,IF((P$6-$E$3)&lt;1,0,IFERROR(LOOKUP(2,1/('Feijão 2ª safra'!$E16:INDEX('Feijão 2ª safra'!$E16:$Z16,MIN(P$6-$E$3,22))&lt;&gt;""),'Feijão 2ª safra'!$E16:INDEX('Feijão 2ª safra'!$E16:$Z16,MIN(P$6-$E$3,22))),0))-IF($G$2,0,IF((P$6-$G$3)&lt;1,0,IFERROR(LOOKUP(2,1/('Feijão 2ª safra'!$E16:INDEX('Feijão 2ª safra'!$E16:$Z16,MIN(P$6-$G$3,22))&lt;&gt;""),'Feijão 2ª safra'!$E16:INDEX('Feijão 2ª safra'!$E16:$Z16,MIN(P$6-$G$3,22))),0)))))</f>
        <v>0</v>
      </c>
      <c r="Q18" s="27" t="n">
        <f aca="false">IF(COUNT('Feijão 2ª safra'!$E16:$Z16)=0,0,MAX(0,IF((Q$6-$E$3)&lt;1,0,IFERROR(LOOKUP(2,1/('Feijão 2ª safra'!$E16:INDEX('Feijão 2ª safra'!$E16:$Z16,MIN(Q$6-$E$3,22))&lt;&gt;""),'Feijão 2ª safra'!$E16:INDEX('Feijão 2ª safra'!$E16:$Z16,MIN(Q$6-$E$3,22))),0))-IF($G$2,0,IF((Q$6-$G$3)&lt;1,0,IFERROR(LOOKUP(2,1/('Feijão 2ª safra'!$E16:INDEX('Feijão 2ª safra'!$E16:$Z16,MIN(Q$6-$G$3,22))&lt;&gt;""),'Feijão 2ª safra'!$E16:INDEX('Feijão 2ª safra'!$E16:$Z16,MIN(Q$6-$G$3,22))),0)))))</f>
        <v>0</v>
      </c>
      <c r="R18" s="27" t="n">
        <f aca="false">IF(COUNT('Feijão 2ª safra'!$E16:$Z16)=0,0,MAX(0,IF((R$6-$E$3)&lt;1,0,IFERROR(LOOKUP(2,1/('Feijão 2ª safra'!$E16:INDEX('Feijão 2ª safra'!$E16:$Z16,MIN(R$6-$E$3,22))&lt;&gt;""),'Feijão 2ª safra'!$E16:INDEX('Feijão 2ª safra'!$E16:$Z16,MIN(R$6-$E$3,22))),0))-IF($G$2,0,IF((R$6-$G$3)&lt;1,0,IFERROR(LOOKUP(2,1/('Feijão 2ª safra'!$E16:INDEX('Feijão 2ª safra'!$E16:$Z16,MIN(R$6-$G$3,22))&lt;&gt;""),'Feijão 2ª safra'!$E16:INDEX('Feijão 2ª safra'!$E16:$Z16,MIN(R$6-$G$3,22))),0)))))</f>
        <v>0</v>
      </c>
      <c r="S18" s="27" t="n">
        <f aca="false">IF(COUNT('Feijão 2ª safra'!$E16:$Z16)=0,0,MAX(0,IF((S$6-$E$3)&lt;1,0,IFERROR(LOOKUP(2,1/('Feijão 2ª safra'!$E16:INDEX('Feijão 2ª safra'!$E16:$Z16,MIN(S$6-$E$3,22))&lt;&gt;""),'Feijão 2ª safra'!$E16:INDEX('Feijão 2ª safra'!$E16:$Z16,MIN(S$6-$E$3,22))),0))-IF($G$2,0,IF((S$6-$G$3)&lt;1,0,IFERROR(LOOKUP(2,1/('Feijão 2ª safra'!$E16:INDEX('Feijão 2ª safra'!$E16:$Z16,MIN(S$6-$G$3,22))&lt;&gt;""),'Feijão 2ª safra'!$E16:INDEX('Feijão 2ª safra'!$E16:$Z16,MIN(S$6-$G$3,22))),0)))))</f>
        <v>0</v>
      </c>
      <c r="T18" s="27" t="n">
        <f aca="false">IF(COUNT('Feijão 2ª safra'!$E16:$Z16)=0,0,MAX(0,IF((T$6-$E$3)&lt;1,0,IFERROR(LOOKUP(2,1/('Feijão 2ª safra'!$E16:INDEX('Feijão 2ª safra'!$E16:$Z16,MIN(T$6-$E$3,22))&lt;&gt;""),'Feijão 2ª safra'!$E16:INDEX('Feijão 2ª safra'!$E16:$Z16,MIN(T$6-$E$3,22))),0))-IF($G$2,0,IF((T$6-$G$3)&lt;1,0,IFERROR(LOOKUP(2,1/('Feijão 2ª safra'!$E16:INDEX('Feijão 2ª safra'!$E16:$Z16,MIN(T$6-$G$3,22))&lt;&gt;""),'Feijão 2ª safra'!$E16:INDEX('Feijão 2ª safra'!$E16:$Z16,MIN(T$6-$G$3,22))),0)))))</f>
        <v>0</v>
      </c>
      <c r="U18" s="27" t="n">
        <f aca="false">IF(COUNT('Feijão 2ª safra'!$E16:$Z16)=0,0,MAX(0,IF((U$6-$E$3)&lt;1,0,IFERROR(LOOKUP(2,1/('Feijão 2ª safra'!$E16:INDEX('Feijão 2ª safra'!$E16:$Z16,MIN(U$6-$E$3,22))&lt;&gt;""),'Feijão 2ª safra'!$E16:INDEX('Feijão 2ª safra'!$E16:$Z16,MIN(U$6-$E$3,22))),0))-IF($G$2,0,IF((U$6-$G$3)&lt;1,0,IFERROR(LOOKUP(2,1/('Feijão 2ª safra'!$E16:INDEX('Feijão 2ª safra'!$E16:$Z16,MIN(U$6-$G$3,22))&lt;&gt;""),'Feijão 2ª safra'!$E16:INDEX('Feijão 2ª safra'!$E16:$Z16,MIN(U$6-$G$3,22))),0)))))</f>
        <v>0</v>
      </c>
      <c r="V18" s="27" t="n">
        <f aca="false">IF(COUNT('Feijão 2ª safra'!$E16:$Z16)=0,0,MAX(0,IF((V$6-$E$3)&lt;1,0,IFERROR(LOOKUP(2,1/('Feijão 2ª safra'!$E16:INDEX('Feijão 2ª safra'!$E16:$Z16,MIN(V$6-$E$3,22))&lt;&gt;""),'Feijão 2ª safra'!$E16:INDEX('Feijão 2ª safra'!$E16:$Z16,MIN(V$6-$E$3,22))),0))-IF($G$2,0,IF((V$6-$G$3)&lt;1,0,IFERROR(LOOKUP(2,1/('Feijão 2ª safra'!$E16:INDEX('Feijão 2ª safra'!$E16:$Z16,MIN(V$6-$G$3,22))&lt;&gt;""),'Feijão 2ª safra'!$E16:INDEX('Feijão 2ª safra'!$E16:$Z16,MIN(V$6-$G$3,22))),0)))))</f>
        <v>0</v>
      </c>
      <c r="W18" s="27" t="n">
        <f aca="false">IF(COUNT('Feijão 2ª safra'!$E16:$Z16)=0,0,MAX(0,IF((W$6-$E$3)&lt;1,0,IFERROR(LOOKUP(2,1/('Feijão 2ª safra'!$E16:INDEX('Feijão 2ª safra'!$E16:$Z16,MIN(W$6-$E$3,22))&lt;&gt;""),'Feijão 2ª safra'!$E16:INDEX('Feijão 2ª safra'!$E16:$Z16,MIN(W$6-$E$3,22))),0))-IF($G$2,0,IF((W$6-$G$3)&lt;1,0,IFERROR(LOOKUP(2,1/('Feijão 2ª safra'!$E16:INDEX('Feijão 2ª safra'!$E16:$Z16,MIN(W$6-$G$3,22))&lt;&gt;""),'Feijão 2ª safra'!$E16:INDEX('Feijão 2ª safra'!$E16:$Z16,MIN(W$6-$G$3,22))),0)))))</f>
        <v>0</v>
      </c>
      <c r="X18" s="27" t="n">
        <f aca="false">IF(COUNT('Feijão 2ª safra'!$E16:$Z16)=0,0,MAX(0,IF((X$6-$E$3)&lt;1,0,IFERROR(LOOKUP(2,1/('Feijão 2ª safra'!$E16:INDEX('Feijão 2ª safra'!$E16:$Z16,MIN(X$6-$E$3,22))&lt;&gt;""),'Feijão 2ª safra'!$E16:INDEX('Feijão 2ª safra'!$E16:$Z16,MIN(X$6-$E$3,22))),0))-IF($G$2,0,IF((X$6-$G$3)&lt;1,0,IFERROR(LOOKUP(2,1/('Feijão 2ª safra'!$E16:INDEX('Feijão 2ª safra'!$E16:$Z16,MIN(X$6-$G$3,22))&lt;&gt;""),'Feijão 2ª safra'!$E16:INDEX('Feijão 2ª safra'!$E16:$Z16,MIN(X$6-$G$3,22))),0)))))</f>
        <v>0</v>
      </c>
      <c r="Y18" s="27" t="n">
        <f aca="false">IF(COUNT('Feijão 2ª safra'!$E16:$Z16)=0,0,MAX(0,IF((Y$6-$E$3)&lt;1,0,IFERROR(LOOKUP(2,1/('Feijão 2ª safra'!$E16:INDEX('Feijão 2ª safra'!$E16:$Z16,MIN(Y$6-$E$3,22))&lt;&gt;""),'Feijão 2ª safra'!$E16:INDEX('Feijão 2ª safra'!$E16:$Z16,MIN(Y$6-$E$3,22))),0))-IF($G$2,0,IF((Y$6-$G$3)&lt;1,0,IFERROR(LOOKUP(2,1/('Feijão 2ª safra'!$E16:INDEX('Feijão 2ª safra'!$E16:$Z16,MIN(Y$6-$G$3,22))&lt;&gt;""),'Feijão 2ª safra'!$E16:INDEX('Feijão 2ª safra'!$E16:$Z16,MIN(Y$6-$G$3,22))),0)))))</f>
        <v>0</v>
      </c>
      <c r="Z18" s="27" t="n">
        <f aca="false">IF(COUNT('Feijão 2ª safra'!$E16:$Z16)=0,0,MAX(0,IF((Z$6-$E$3)&lt;1,0,IFERROR(LOOKUP(2,1/('Feijão 2ª safra'!$E16:INDEX('Feijão 2ª safra'!$E16:$Z16,MIN(Z$6-$E$3,22))&lt;&gt;""),'Feijão 2ª safra'!$E16:INDEX('Feijão 2ª safra'!$E16:$Z16,MIN(Z$6-$E$3,22))),0))-IF($G$2,0,IF((Z$6-$G$3)&lt;1,0,IFERROR(LOOKUP(2,1/('Feijão 2ª safra'!$E16:INDEX('Feijão 2ª safra'!$E16:$Z16,MIN(Z$6-$G$3,22))&lt;&gt;""),'Feijão 2ª safra'!$E16:INDEX('Feijão 2ª safra'!$E16:$Z16,MIN(Z$6-$G$3,22))),0)))))</f>
        <v>0</v>
      </c>
      <c r="AA18" s="27" t="n">
        <f aca="false">IF(COUNT('Feijão 2ª safra'!$E16:$Z16)=0,0,MAX(0,IF((AA$6-$E$3)&lt;1,0,IFERROR(LOOKUP(2,1/('Feijão 2ª safra'!$E16:INDEX('Feijão 2ª safra'!$E16:$Z16,MIN(AA$6-$E$3,22))&lt;&gt;""),'Feijão 2ª safra'!$E16:INDEX('Feijão 2ª safra'!$E16:$Z16,MIN(AA$6-$E$3,22))),0))-IF($G$2,0,IF((AA$6-$G$3)&lt;1,0,IFERROR(LOOKUP(2,1/('Feijão 2ª safra'!$E16:INDEX('Feijão 2ª safra'!$E16:$Z16,MIN(AA$6-$G$3,22))&lt;&gt;""),'Feijão 2ª safra'!$E16:INDEX('Feijão 2ª safra'!$E16:$Z16,MIN(AA$6-$G$3,22))),0)))))</f>
        <v>0</v>
      </c>
      <c r="AB18" s="27" t="n">
        <f aca="false">IF(COUNT('Feijão 2ª safra'!$E16:$Z16)=0,0,MAX(0,IF((AB$6-$E$3)&lt;1,0,IFERROR(LOOKUP(2,1/('Feijão 2ª safra'!$E16:INDEX('Feijão 2ª safra'!$E16:$Z16,MIN(AB$6-$E$3,22))&lt;&gt;""),'Feijão 2ª safra'!$E16:INDEX('Feijão 2ª safra'!$E16:$Z16,MIN(AB$6-$E$3,22))),0))-IF($G$2,0,IF((AB$6-$G$3)&lt;1,0,IFERROR(LOOKUP(2,1/('Feijão 2ª safra'!$E16:INDEX('Feijão 2ª safra'!$E16:$Z16,MIN(AB$6-$G$3,22))&lt;&gt;""),'Feijão 2ª safra'!$E16:INDEX('Feijão 2ª safra'!$E16:$Z16,MIN(AB$6-$G$3,22))),0)))))</f>
        <v>0</v>
      </c>
      <c r="AC18" s="27" t="n">
        <f aca="false">IF(COUNT('Feijão 2ª safra'!$E16:$Z16)=0,0,MAX(0,IF((AC$6-$E$3)&lt;1,0,IFERROR(LOOKUP(2,1/('Feijão 2ª safra'!$E16:INDEX('Feijão 2ª safra'!$E16:$Z16,MIN(AC$6-$E$3,22))&lt;&gt;""),'Feijão 2ª safra'!$E16:INDEX('Feijão 2ª safra'!$E16:$Z16,MIN(AC$6-$E$3,22))),0))-IF($G$2,0,IF((AC$6-$G$3)&lt;1,0,IFERROR(LOOKUP(2,1/('Feijão 2ª safra'!$E16:INDEX('Feijão 2ª safra'!$E16:$Z16,MIN(AC$6-$G$3,22))&lt;&gt;""),'Feijão 2ª safra'!$E16:INDEX('Feijão 2ª safra'!$E16:$Z16,MIN(AC$6-$G$3,22))),0)))))</f>
        <v>0</v>
      </c>
      <c r="AD18" s="27" t="n">
        <f aca="false">IF(COUNT('Feijão 2ª safra'!$E16:$Z16)=0,0,MAX(0,IF((AD$6-$E$3)&lt;1,0,IFERROR(LOOKUP(2,1/('Feijão 2ª safra'!$E16:INDEX('Feijão 2ª safra'!$E16:$Z16,MIN(AD$6-$E$3,22))&lt;&gt;""),'Feijão 2ª safra'!$E16:INDEX('Feijão 2ª safra'!$E16:$Z16,MIN(AD$6-$E$3,22))),0))-IF($G$2,0,IF((AD$6-$G$3)&lt;1,0,IFERROR(LOOKUP(2,1/('Feijão 2ª safra'!$E16:INDEX('Feijão 2ª safra'!$E16:$Z16,MIN(AD$6-$G$3,22))&lt;&gt;""),'Feijão 2ª safra'!$E16:INDEX('Feijão 2ª safra'!$E16:$Z16,MIN(AD$6-$G$3,22))),0)))))</f>
        <v>0</v>
      </c>
      <c r="AE18" s="27" t="n">
        <f aca="false">IF(COUNT('Feijão 2ª safra'!$E16:$Z16)=0,0,MAX(0,IF((AE$6-$E$3)&lt;1,0,IFERROR(LOOKUP(2,1/('Feijão 2ª safra'!$E16:INDEX('Feijão 2ª safra'!$E16:$Z16,MIN(AE$6-$E$3,22))&lt;&gt;""),'Feijão 2ª safra'!$E16:INDEX('Feijão 2ª safra'!$E16:$Z16,MIN(AE$6-$E$3,22))),0))-IF($G$2,0,IF((AE$6-$G$3)&lt;1,0,IFERROR(LOOKUP(2,1/('Feijão 2ª safra'!$E16:INDEX('Feijão 2ª safra'!$E16:$Z16,MIN(AE$6-$G$3,22))&lt;&gt;""),'Feijão 2ª safra'!$E16:INDEX('Feijão 2ª safra'!$E16:$Z16,MIN(AE$6-$G$3,22))),0)))))</f>
        <v>0</v>
      </c>
      <c r="AF18" s="27" t="n">
        <f aca="false">IF(COUNT('Feijão 2ª safra'!$E16:$Z16)=0,0,MAX(0,IF((AF$6-$E$3)&lt;1,0,IFERROR(LOOKUP(2,1/('Feijão 2ª safra'!$E16:INDEX('Feijão 2ª safra'!$E16:$Z16,MIN(AF$6-$E$3,22))&lt;&gt;""),'Feijão 2ª safra'!$E16:INDEX('Feijão 2ª safra'!$E16:$Z16,MIN(AF$6-$E$3,22))),0))-IF($G$2,0,IF((AF$6-$G$3)&lt;1,0,IFERROR(LOOKUP(2,1/('Feijão 2ª safra'!$E16:INDEX('Feijão 2ª safra'!$E16:$Z16,MIN(AF$6-$G$3,22))&lt;&gt;""),'Feijão 2ª safra'!$E16:INDEX('Feijão 2ª safra'!$E16:$Z16,MIN(AF$6-$G$3,22))),0)))))</f>
        <v>0</v>
      </c>
      <c r="AG18" s="27" t="n">
        <f aca="false">IF(COUNT('Feijão 2ª safra'!$E16:$Z16)=0,0,MAX(0,IF((AG$6-$E$3)&lt;1,0,IFERROR(LOOKUP(2,1/('Feijão 2ª safra'!$E16:INDEX('Feijão 2ª safra'!$E16:$Z16,MIN(AG$6-$E$3,22))&lt;&gt;""),'Feijão 2ª safra'!$E16:INDEX('Feijão 2ª safra'!$E16:$Z16,MIN(AG$6-$E$3,22))),0))-IF($G$2,0,IF((AG$6-$G$3)&lt;1,0,IFERROR(LOOKUP(2,1/('Feijão 2ª safra'!$E16:INDEX('Feijão 2ª safra'!$E16:$Z16,MIN(AG$6-$G$3,22))&lt;&gt;""),'Feijão 2ª safra'!$E16:INDEX('Feijão 2ª safra'!$E16:$Z16,MIN(AG$6-$G$3,22))),0)))))</f>
        <v>0</v>
      </c>
      <c r="AH18" s="27" t="n">
        <f aca="false">IF(COUNT('Feijão 2ª safra'!$E16:$Z16)=0,0,MAX(0,IF((AH$6-$E$3)&lt;1,0,IFERROR(LOOKUP(2,1/('Feijão 2ª safra'!$E16:INDEX('Feijão 2ª safra'!$E16:$Z16,MIN(AH$6-$E$3,22))&lt;&gt;""),'Feijão 2ª safra'!$E16:INDEX('Feijão 2ª safra'!$E16:$Z16,MIN(AH$6-$E$3,22))),0))-IF($G$2,0,IF((AH$6-$G$3)&lt;1,0,IFERROR(LOOKUP(2,1/('Feijão 2ª safra'!$E16:INDEX('Feijão 2ª safra'!$E16:$Z16,MIN(AH$6-$G$3,22))&lt;&gt;""),'Feijão 2ª safra'!$E16:INDEX('Feijão 2ª safra'!$E16:$Z16,MIN(AH$6-$G$3,22))),0)))))</f>
        <v>0</v>
      </c>
      <c r="AI18" s="27" t="n">
        <f aca="false">IF(COUNT('Feijão 2ª safra'!$E16:$Z16)=0,0,MAX(0,IF((AI$6-$E$3)&lt;1,0,IFERROR(LOOKUP(2,1/('Feijão 2ª safra'!$E16:INDEX('Feijão 2ª safra'!$E16:$Z16,MIN(AI$6-$E$3,22))&lt;&gt;""),'Feijão 2ª safra'!$E16:INDEX('Feijão 2ª safra'!$E16:$Z16,MIN(AI$6-$E$3,22))),0))-IF($G$2,0,IF((AI$6-$G$3)&lt;1,0,IFERROR(LOOKUP(2,1/('Feijão 2ª safra'!$E16:INDEX('Feijão 2ª safra'!$E16:$Z16,MIN(AI$6-$G$3,22))&lt;&gt;""),'Feijão 2ª safra'!$E16:INDEX('Feijão 2ª safra'!$E16:$Z16,MIN(AI$6-$G$3,22))),0)))))</f>
        <v>0</v>
      </c>
      <c r="AJ18" s="27" t="n">
        <f aca="false">IF(COUNT('Feijão 2ª safra'!$E16:$Z16)=0,0,MAX(0,IF((AJ$6-$E$3)&lt;1,0,IFERROR(LOOKUP(2,1/('Feijão 2ª safra'!$E16:INDEX('Feijão 2ª safra'!$E16:$Z16,MIN(AJ$6-$E$3,22))&lt;&gt;""),'Feijão 2ª safra'!$E16:INDEX('Feijão 2ª safra'!$E16:$Z16,MIN(AJ$6-$E$3,22))),0))-IF($G$2,0,IF((AJ$6-$G$3)&lt;1,0,IFERROR(LOOKUP(2,1/('Feijão 2ª safra'!$E16:INDEX('Feijão 2ª safra'!$E16:$Z16,MIN(AJ$6-$G$3,22))&lt;&gt;""),'Feijão 2ª safra'!$E16:INDEX('Feijão 2ª safra'!$E16:$Z16,MIN(AJ$6-$G$3,22))),0)))))</f>
        <v>0</v>
      </c>
      <c r="AK18" s="27" t="n">
        <f aca="false">IF(COUNT('Feijão 2ª safra'!$E16:$Z16)=0,0,MAX(0,IF((AK$6-$E$3)&lt;1,0,IFERROR(LOOKUP(2,1/('Feijão 2ª safra'!$E16:INDEX('Feijão 2ª safra'!$E16:$Z16,MIN(AK$6-$E$3,22))&lt;&gt;""),'Feijão 2ª safra'!$E16:INDEX('Feijão 2ª safra'!$E16:$Z16,MIN(AK$6-$E$3,22))),0))-IF($G$2,0,IF((AK$6-$G$3)&lt;1,0,IFERROR(LOOKUP(2,1/('Feijão 2ª safra'!$E16:INDEX('Feijão 2ª safra'!$E16:$Z16,MIN(AK$6-$G$3,22))&lt;&gt;""),'Feijão 2ª safra'!$E16:INDEX('Feijão 2ª safra'!$E16:$Z16,MIN(AK$6-$G$3,22))),0)))))</f>
        <v>0</v>
      </c>
      <c r="AL18" s="27" t="n">
        <f aca="false">IF(COUNT('Feijão 2ª safra'!$E16:$Z16)=0,0,MAX(0,IF((AL$6-$E$3)&lt;1,0,IFERROR(LOOKUP(2,1/('Feijão 2ª safra'!$E16:INDEX('Feijão 2ª safra'!$E16:$Z16,MIN(AL$6-$E$3,22))&lt;&gt;""),'Feijão 2ª safra'!$E16:INDEX('Feijão 2ª safra'!$E16:$Z16,MIN(AL$6-$E$3,22))),0))-IF($G$2,0,IF((AL$6-$G$3)&lt;1,0,IFERROR(LOOKUP(2,1/('Feijão 2ª safra'!$E16:INDEX('Feijão 2ª safra'!$E16:$Z16,MIN(AL$6-$G$3,22))&lt;&gt;""),'Feijão 2ª safra'!$E16:INDEX('Feijão 2ª safra'!$E16:$Z16,MIN(AL$6-$G$3,22))),0)))))</f>
        <v>0</v>
      </c>
      <c r="AM18" s="27" t="n">
        <f aca="false">IF(COUNT('Feijão 2ª safra'!$E16:$Z16)=0,0,MAX(0,IF((AM$6-$E$3)&lt;1,0,IFERROR(LOOKUP(2,1/('Feijão 2ª safra'!$E16:INDEX('Feijão 2ª safra'!$E16:$Z16,MIN(AM$6-$E$3,22))&lt;&gt;""),'Feijão 2ª safra'!$E16:INDEX('Feijão 2ª safra'!$E16:$Z16,MIN(AM$6-$E$3,22))),0))-IF($G$2,0,IF((AM$6-$G$3)&lt;1,0,IFERROR(LOOKUP(2,1/('Feijão 2ª safra'!$E16:INDEX('Feijão 2ª safra'!$E16:$Z16,MIN(AM$6-$G$3,22))&lt;&gt;""),'Feijão 2ª safra'!$E16:INDEX('Feijão 2ª safra'!$E16:$Z16,MIN(AM$6-$G$3,22))),0)))))</f>
        <v>0</v>
      </c>
      <c r="AN18" s="27" t="n">
        <f aca="false">IF(COUNT('Feijão 2ª safra'!$E16:$Z16)=0,0,MAX(0,IF((AN$6-$E$3)&lt;1,0,IFERROR(LOOKUP(2,1/('Feijão 2ª safra'!$E16:INDEX('Feijão 2ª safra'!$E16:$Z16,MIN(AN$6-$E$3,22))&lt;&gt;""),'Feijão 2ª safra'!$E16:INDEX('Feijão 2ª safra'!$E16:$Z16,MIN(AN$6-$E$3,22))),0))-IF($G$2,0,IF((AN$6-$G$3)&lt;1,0,IFERROR(LOOKUP(2,1/('Feijão 2ª safra'!$E16:INDEX('Feijão 2ª safra'!$E16:$Z16,MIN(AN$6-$G$3,22))&lt;&gt;""),'Feijão 2ª safra'!$E16:INDEX('Feijão 2ª safra'!$E16:$Z16,MIN(AN$6-$G$3,22))),0)))))</f>
        <v>0</v>
      </c>
      <c r="AO18" s="27" t="n">
        <f aca="false">IF(COUNT('Feijão 2ª safra'!$E16:$Z16)=0,0,MAX(0,IF((AO$6-$E$3)&lt;1,0,IFERROR(LOOKUP(2,1/('Feijão 2ª safra'!$E16:INDEX('Feijão 2ª safra'!$E16:$Z16,MIN(AO$6-$E$3,22))&lt;&gt;""),'Feijão 2ª safra'!$E16:INDEX('Feijão 2ª safra'!$E16:$Z16,MIN(AO$6-$E$3,22))),0))-IF($G$2,0,IF((AO$6-$G$3)&lt;1,0,IFERROR(LOOKUP(2,1/('Feijão 2ª safra'!$E16:INDEX('Feijão 2ª safra'!$E16:$Z16,MIN(AO$6-$G$3,22))&lt;&gt;""),'Feijão 2ª safra'!$E16:INDEX('Feijão 2ª safra'!$E16:$Z16,MIN(AO$6-$G$3,22))),0)))))</f>
        <v>0</v>
      </c>
      <c r="AP18" s="27" t="n">
        <f aca="false">IF(COUNT('Feijão 2ª safra'!$E16:$Z16)=0,0,MAX(0,IF((AP$6-$E$3)&lt;1,0,IFERROR(LOOKUP(2,1/('Feijão 2ª safra'!$E16:INDEX('Feijão 2ª safra'!$E16:$Z16,MIN(AP$6-$E$3,22))&lt;&gt;""),'Feijão 2ª safra'!$E16:INDEX('Feijão 2ª safra'!$E16:$Z16,MIN(AP$6-$E$3,22))),0))-IF($G$2,0,IF((AP$6-$G$3)&lt;1,0,IFERROR(LOOKUP(2,1/('Feijão 2ª safra'!$E16:INDEX('Feijão 2ª safra'!$E16:$Z16,MIN(AP$6-$G$3,22))&lt;&gt;""),'Feijão 2ª safra'!$E16:INDEX('Feijão 2ª safra'!$E16:$Z16,MIN(AP$6-$G$3,22))),0)))))</f>
        <v>0</v>
      </c>
      <c r="AQ18" s="27" t="n">
        <f aca="false">IF(COUNT('Feijão 2ª safra'!$E16:$Z16)=0,0,MAX(0,IF((AQ$6-$E$3)&lt;1,0,IFERROR(LOOKUP(2,1/('Feijão 2ª safra'!$E16:INDEX('Feijão 2ª safra'!$E16:$Z16,MIN(AQ$6-$E$3,22))&lt;&gt;""),'Feijão 2ª safra'!$E16:INDEX('Feijão 2ª safra'!$E16:$Z16,MIN(AQ$6-$E$3,22))),0))-IF($G$2,0,IF((AQ$6-$G$3)&lt;1,0,IFERROR(LOOKUP(2,1/('Feijão 2ª safra'!$E16:INDEX('Feijão 2ª safra'!$E16:$Z16,MIN(AQ$6-$G$3,22))&lt;&gt;""),'Feijão 2ª safra'!$E16:INDEX('Feijão 2ª safra'!$E16:$Z16,MIN(AQ$6-$G$3,22))),0)))))</f>
        <v>0</v>
      </c>
      <c r="AR18" s="27" t="n">
        <f aca="false">IF(COUNT('Feijão 2ª safra'!$E16:$Z16)=0,0,MAX(0,IF((AR$6-$E$3)&lt;1,0,IFERROR(LOOKUP(2,1/('Feijão 2ª safra'!$E16:INDEX('Feijão 2ª safra'!$E16:$Z16,MIN(AR$6-$E$3,22))&lt;&gt;""),'Feijão 2ª safra'!$E16:INDEX('Feijão 2ª safra'!$E16:$Z16,MIN(AR$6-$E$3,22))),0))-IF($G$2,0,IF((AR$6-$G$3)&lt;1,0,IFERROR(LOOKUP(2,1/('Feijão 2ª safra'!$E16:INDEX('Feijão 2ª safra'!$E16:$Z16,MIN(AR$6-$G$3,22))&lt;&gt;""),'Feijão 2ª safra'!$E16:INDEX('Feijão 2ª safra'!$E16:$Z16,MIN(AR$6-$G$3,22))),0)))))</f>
        <v>0</v>
      </c>
      <c r="AS18" s="27" t="n">
        <f aca="false">IF(COUNT('Feijão 2ª safra'!$E16:$Z16)=0,0,MAX(0,IF((AS$6-$E$3)&lt;1,0,IFERROR(LOOKUP(2,1/('Feijão 2ª safra'!$E16:INDEX('Feijão 2ª safra'!$E16:$Z16,MIN(AS$6-$E$3,22))&lt;&gt;""),'Feijão 2ª safra'!$E16:INDEX('Feijão 2ª safra'!$E16:$Z16,MIN(AS$6-$E$3,22))),0))-IF($G$2,0,IF((AS$6-$G$3)&lt;1,0,IFERROR(LOOKUP(2,1/('Feijão 2ª safra'!$E16:INDEX('Feijão 2ª safra'!$E16:$Z16,MIN(AS$6-$G$3,22))&lt;&gt;""),'Feijão 2ª safra'!$E16:INDEX('Feijão 2ª safra'!$E16:$Z16,MIN(AS$6-$G$3,22))),0)))))</f>
        <v>0</v>
      </c>
      <c r="AT18" s="27" t="n">
        <f aca="false">IF(COUNT('Feijão 2ª safra'!$E16:$Z16)=0,0,MAX(0,IF((AT$6-$E$3)&lt;1,0,IFERROR(LOOKUP(2,1/('Feijão 2ª safra'!$E16:INDEX('Feijão 2ª safra'!$E16:$Z16,MIN(AT$6-$E$3,22))&lt;&gt;""),'Feijão 2ª safra'!$E16:INDEX('Feijão 2ª safra'!$E16:$Z16,MIN(AT$6-$E$3,22))),0))-IF($G$2,0,IF((AT$6-$G$3)&lt;1,0,IFERROR(LOOKUP(2,1/('Feijão 2ª safra'!$E16:INDEX('Feijão 2ª safra'!$E16:$Z16,MIN(AT$6-$G$3,22))&lt;&gt;""),'Feijão 2ª safra'!$E16:INDEX('Feijão 2ª safra'!$E16:$Z16,MIN(AT$6-$G$3,22))),0)))))</f>
        <v>0</v>
      </c>
      <c r="AU18" s="27" t="n">
        <f aca="false">IF(COUNT('Feijão 2ª safra'!$E16:$Z16)=0,0,MAX(0,IF((AU$6-$E$3)&lt;1,0,IFERROR(LOOKUP(2,1/('Feijão 2ª safra'!$E16:INDEX('Feijão 2ª safra'!$E16:$Z16,MIN(AU$6-$E$3,22))&lt;&gt;""),'Feijão 2ª safra'!$E16:INDEX('Feijão 2ª safra'!$E16:$Z16,MIN(AU$6-$E$3,22))),0))-IF($G$2,0,IF((AU$6-$G$3)&lt;1,0,IFERROR(LOOKUP(2,1/('Feijão 2ª safra'!$E16:INDEX('Feijão 2ª safra'!$E16:$Z16,MIN(AU$6-$G$3,22))&lt;&gt;""),'Feijão 2ª safra'!$E16:INDEX('Feijão 2ª safra'!$E16:$Z16,MIN(AU$6-$G$3,22))),0)))))</f>
        <v>0</v>
      </c>
      <c r="AV18" s="27" t="n">
        <f aca="false">IF(COUNT('Feijão 2ª safra'!$E16:$Z16)=0,0,MAX(0,IF((AV$6-$E$3)&lt;1,0,IFERROR(LOOKUP(2,1/('Feijão 2ª safra'!$E16:INDEX('Feijão 2ª safra'!$E16:$Z16,MIN(AV$6-$E$3,22))&lt;&gt;""),'Feijão 2ª safra'!$E16:INDEX('Feijão 2ª safra'!$E16:$Z16,MIN(AV$6-$E$3,22))),0))-IF($G$2,0,IF((AV$6-$G$3)&lt;1,0,IFERROR(LOOKUP(2,1/('Feijão 2ª safra'!$E16:INDEX('Feijão 2ª safra'!$E16:$Z16,MIN(AV$6-$G$3,22))&lt;&gt;""),'Feijão 2ª safra'!$E16:INDEX('Feijão 2ª safra'!$E16:$Z16,MIN(AV$6-$G$3,22))),0)))))</f>
        <v>0</v>
      </c>
      <c r="AW18" s="27" t="n">
        <f aca="false">IF(COUNT('Feijão 2ª safra'!$E16:$Z16)=0,0,MAX(0,IF((AW$6-$E$3)&lt;1,0,IFERROR(LOOKUP(2,1/('Feijão 2ª safra'!$E16:INDEX('Feijão 2ª safra'!$E16:$Z16,MIN(AW$6-$E$3,22))&lt;&gt;""),'Feijão 2ª safra'!$E16:INDEX('Feijão 2ª safra'!$E16:$Z16,MIN(AW$6-$E$3,22))),0))-IF($G$2,0,IF((AW$6-$G$3)&lt;1,0,IFERROR(LOOKUP(2,1/('Feijão 2ª safra'!$E16:INDEX('Feijão 2ª safra'!$E16:$Z16,MIN(AW$6-$G$3,22))&lt;&gt;""),'Feijão 2ª safra'!$E16:INDEX('Feijão 2ª safra'!$E16:$Z16,MIN(AW$6-$G$3,22))),0)))))</f>
        <v>0</v>
      </c>
      <c r="AX18" s="27" t="n">
        <f aca="false">IF(COUNT('Feijão 2ª safra'!$E16:$Z16)=0,0,MAX(0,IF((AX$6-$E$3)&lt;1,0,IFERROR(LOOKUP(2,1/('Feijão 2ª safra'!$E16:INDEX('Feijão 2ª safra'!$E16:$Z16,MIN(AX$6-$E$3,22))&lt;&gt;""),'Feijão 2ª safra'!$E16:INDEX('Feijão 2ª safra'!$E16:$Z16,MIN(AX$6-$E$3,22))),0))-IF($G$2,0,IF((AX$6-$G$3)&lt;1,0,IFERROR(LOOKUP(2,1/('Feijão 2ª safra'!$E16:INDEX('Feijão 2ª safra'!$E16:$Z16,MIN(AX$6-$G$3,22))&lt;&gt;""),'Feijão 2ª safra'!$E16:INDEX('Feijão 2ª safra'!$E16:$Z16,MIN(AX$6-$G$3,22))),0)))))</f>
        <v>0</v>
      </c>
      <c r="AY18" s="27" t="n">
        <f aca="false">IF(COUNT('Feijão 2ª safra'!$E16:$Z16)=0,0,MAX(0,IF((AY$6-$E$3)&lt;1,0,IFERROR(LOOKUP(2,1/('Feijão 2ª safra'!$E16:INDEX('Feijão 2ª safra'!$E16:$Z16,MIN(AY$6-$E$3,22))&lt;&gt;""),'Feijão 2ª safra'!$E16:INDEX('Feijão 2ª safra'!$E16:$Z16,MIN(AY$6-$E$3,22))),0))-IF($G$2,0,IF((AY$6-$G$3)&lt;1,0,IFERROR(LOOKUP(2,1/('Feijão 2ª safra'!$E16:INDEX('Feijão 2ª safra'!$E16:$Z16,MIN(AY$6-$G$3,22))&lt;&gt;""),'Feijão 2ª safra'!$E16:INDEX('Feijão 2ª safra'!$E16:$Z16,MIN(AY$6-$G$3,22))),0)))))</f>
        <v>0</v>
      </c>
      <c r="AZ18" s="27" t="n">
        <f aca="false">IF(COUNT('Feijão 2ª safra'!$E16:$Z16)=0,0,MAX(0,IF((AZ$6-$E$3)&lt;1,0,IFERROR(LOOKUP(2,1/('Feijão 2ª safra'!$E16:INDEX('Feijão 2ª safra'!$E16:$Z16,MIN(AZ$6-$E$3,22))&lt;&gt;""),'Feijão 2ª safra'!$E16:INDEX('Feijão 2ª safra'!$E16:$Z16,MIN(AZ$6-$E$3,22))),0))-IF($G$2,0,IF((AZ$6-$G$3)&lt;1,0,IFERROR(LOOKUP(2,1/('Feijão 2ª safra'!$E16:INDEX('Feijão 2ª safra'!$E16:$Z16,MIN(AZ$6-$G$3,22))&lt;&gt;""),'Feijão 2ª safra'!$E16:INDEX('Feijão 2ª safra'!$E16:$Z16,MIN(AZ$6-$G$3,22))),0)))))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IF(COUNT('Feijão 2ª safra'!$E17:$Z17)&gt;0,N('Feijão 2ª safra'!$D17),0)</f>
        <v>0</v>
      </c>
      <c r="E19" s="27" t="n">
        <f aca="false">IF(COUNT('Feijão 2ª safra'!$E17:$Z17)=0,0,MAX(0,IF((E$6-$E$3)&lt;1,0,IFERROR(LOOKUP(2,1/('Feijão 2ª safra'!$E17:INDEX('Feijão 2ª safra'!$E17:$Z17,MIN(E$6-$E$3,22))&lt;&gt;""),'Feijão 2ª safra'!$E17:INDEX('Feijão 2ª safra'!$E17:$Z17,MIN(E$6-$E$3,22))),0))-IF($G$2,0,IF((E$6-$G$3)&lt;1,0,IFERROR(LOOKUP(2,1/('Feijão 2ª safra'!$E17:INDEX('Feijão 2ª safra'!$E17:$Z17,MIN(E$6-$G$3,22))&lt;&gt;""),'Feijão 2ª safra'!$E17:INDEX('Feijão 2ª safra'!$E17:$Z17,MIN(E$6-$G$3,22))),0)))))</f>
        <v>0</v>
      </c>
      <c r="F19" s="27" t="n">
        <f aca="false">IF(COUNT('Feijão 2ª safra'!$E17:$Z17)=0,0,MAX(0,IF((F$6-$E$3)&lt;1,0,IFERROR(LOOKUP(2,1/('Feijão 2ª safra'!$E17:INDEX('Feijão 2ª safra'!$E17:$Z17,MIN(F$6-$E$3,22))&lt;&gt;""),'Feijão 2ª safra'!$E17:INDEX('Feijão 2ª safra'!$E17:$Z17,MIN(F$6-$E$3,22))),0))-IF($G$2,0,IF((F$6-$G$3)&lt;1,0,IFERROR(LOOKUP(2,1/('Feijão 2ª safra'!$E17:INDEX('Feijão 2ª safra'!$E17:$Z17,MIN(F$6-$G$3,22))&lt;&gt;""),'Feijão 2ª safra'!$E17:INDEX('Feijão 2ª safra'!$E17:$Z17,MIN(F$6-$G$3,22))),0)))))</f>
        <v>0</v>
      </c>
      <c r="G19" s="27" t="n">
        <f aca="false">IF(COUNT('Feijão 2ª safra'!$E17:$Z17)=0,0,MAX(0,IF((G$6-$E$3)&lt;1,0,IFERROR(LOOKUP(2,1/('Feijão 2ª safra'!$E17:INDEX('Feijão 2ª safra'!$E17:$Z17,MIN(G$6-$E$3,22))&lt;&gt;""),'Feijão 2ª safra'!$E17:INDEX('Feijão 2ª safra'!$E17:$Z17,MIN(G$6-$E$3,22))),0))-IF($G$2,0,IF((G$6-$G$3)&lt;1,0,IFERROR(LOOKUP(2,1/('Feijão 2ª safra'!$E17:INDEX('Feijão 2ª safra'!$E17:$Z17,MIN(G$6-$G$3,22))&lt;&gt;""),'Feijão 2ª safra'!$E17:INDEX('Feijão 2ª safra'!$E17:$Z17,MIN(G$6-$G$3,22))),0)))))</f>
        <v>0</v>
      </c>
      <c r="H19" s="27" t="n">
        <f aca="false">IF(COUNT('Feijão 2ª safra'!$E17:$Z17)=0,0,MAX(0,IF((H$6-$E$3)&lt;1,0,IFERROR(LOOKUP(2,1/('Feijão 2ª safra'!$E17:INDEX('Feijão 2ª safra'!$E17:$Z17,MIN(H$6-$E$3,22))&lt;&gt;""),'Feijão 2ª safra'!$E17:INDEX('Feijão 2ª safra'!$E17:$Z17,MIN(H$6-$E$3,22))),0))-IF($G$2,0,IF((H$6-$G$3)&lt;1,0,IFERROR(LOOKUP(2,1/('Feijão 2ª safra'!$E17:INDEX('Feijão 2ª safra'!$E17:$Z17,MIN(H$6-$G$3,22))&lt;&gt;""),'Feijão 2ª safra'!$E17:INDEX('Feijão 2ª safra'!$E17:$Z17,MIN(H$6-$G$3,22))),0)))))</f>
        <v>0</v>
      </c>
      <c r="I19" s="27" t="n">
        <f aca="false">IF(COUNT('Feijão 2ª safra'!$E17:$Z17)=0,0,MAX(0,IF((I$6-$E$3)&lt;1,0,IFERROR(LOOKUP(2,1/('Feijão 2ª safra'!$E17:INDEX('Feijão 2ª safra'!$E17:$Z17,MIN(I$6-$E$3,22))&lt;&gt;""),'Feijão 2ª safra'!$E17:INDEX('Feijão 2ª safra'!$E17:$Z17,MIN(I$6-$E$3,22))),0))-IF($G$2,0,IF((I$6-$G$3)&lt;1,0,IFERROR(LOOKUP(2,1/('Feijão 2ª safra'!$E17:INDEX('Feijão 2ª safra'!$E17:$Z17,MIN(I$6-$G$3,22))&lt;&gt;""),'Feijão 2ª safra'!$E17:INDEX('Feijão 2ª safra'!$E17:$Z17,MIN(I$6-$G$3,22))),0)))))</f>
        <v>0</v>
      </c>
      <c r="J19" s="27" t="n">
        <f aca="false">IF(COUNT('Feijão 2ª safra'!$E17:$Z17)=0,0,MAX(0,IF((J$6-$E$3)&lt;1,0,IFERROR(LOOKUP(2,1/('Feijão 2ª safra'!$E17:INDEX('Feijão 2ª safra'!$E17:$Z17,MIN(J$6-$E$3,22))&lt;&gt;""),'Feijão 2ª safra'!$E17:INDEX('Feijão 2ª safra'!$E17:$Z17,MIN(J$6-$E$3,22))),0))-IF($G$2,0,IF((J$6-$G$3)&lt;1,0,IFERROR(LOOKUP(2,1/('Feijão 2ª safra'!$E17:INDEX('Feijão 2ª safra'!$E17:$Z17,MIN(J$6-$G$3,22))&lt;&gt;""),'Feijão 2ª safra'!$E17:INDEX('Feijão 2ª safra'!$E17:$Z17,MIN(J$6-$G$3,22))),0)))))</f>
        <v>0</v>
      </c>
      <c r="K19" s="27" t="n">
        <f aca="false">IF(COUNT('Feijão 2ª safra'!$E17:$Z17)=0,0,MAX(0,IF((K$6-$E$3)&lt;1,0,IFERROR(LOOKUP(2,1/('Feijão 2ª safra'!$E17:INDEX('Feijão 2ª safra'!$E17:$Z17,MIN(K$6-$E$3,22))&lt;&gt;""),'Feijão 2ª safra'!$E17:INDEX('Feijão 2ª safra'!$E17:$Z17,MIN(K$6-$E$3,22))),0))-IF($G$2,0,IF((K$6-$G$3)&lt;1,0,IFERROR(LOOKUP(2,1/('Feijão 2ª safra'!$E17:INDEX('Feijão 2ª safra'!$E17:$Z17,MIN(K$6-$G$3,22))&lt;&gt;""),'Feijão 2ª safra'!$E17:INDEX('Feijão 2ª safra'!$E17:$Z17,MIN(K$6-$G$3,22))),0)))))</f>
        <v>0</v>
      </c>
      <c r="L19" s="27" t="n">
        <f aca="false">IF(COUNT('Feijão 2ª safra'!$E17:$Z17)=0,0,MAX(0,IF((L$6-$E$3)&lt;1,0,IFERROR(LOOKUP(2,1/('Feijão 2ª safra'!$E17:INDEX('Feijão 2ª safra'!$E17:$Z17,MIN(L$6-$E$3,22))&lt;&gt;""),'Feijão 2ª safra'!$E17:INDEX('Feijão 2ª safra'!$E17:$Z17,MIN(L$6-$E$3,22))),0))-IF($G$2,0,IF((L$6-$G$3)&lt;1,0,IFERROR(LOOKUP(2,1/('Feijão 2ª safra'!$E17:INDEX('Feijão 2ª safra'!$E17:$Z17,MIN(L$6-$G$3,22))&lt;&gt;""),'Feijão 2ª safra'!$E17:INDEX('Feijão 2ª safra'!$E17:$Z17,MIN(L$6-$G$3,22))),0)))))</f>
        <v>0</v>
      </c>
      <c r="M19" s="27" t="n">
        <f aca="false">IF(COUNT('Feijão 2ª safra'!$E17:$Z17)=0,0,MAX(0,IF((M$6-$E$3)&lt;1,0,IFERROR(LOOKUP(2,1/('Feijão 2ª safra'!$E17:INDEX('Feijão 2ª safra'!$E17:$Z17,MIN(M$6-$E$3,22))&lt;&gt;""),'Feijão 2ª safra'!$E17:INDEX('Feijão 2ª safra'!$E17:$Z17,MIN(M$6-$E$3,22))),0))-IF($G$2,0,IF((M$6-$G$3)&lt;1,0,IFERROR(LOOKUP(2,1/('Feijão 2ª safra'!$E17:INDEX('Feijão 2ª safra'!$E17:$Z17,MIN(M$6-$G$3,22))&lt;&gt;""),'Feijão 2ª safra'!$E17:INDEX('Feijão 2ª safra'!$E17:$Z17,MIN(M$6-$G$3,22))),0)))))</f>
        <v>0</v>
      </c>
      <c r="N19" s="27" t="n">
        <f aca="false">IF(COUNT('Feijão 2ª safra'!$E17:$Z17)=0,0,MAX(0,IF((N$6-$E$3)&lt;1,0,IFERROR(LOOKUP(2,1/('Feijão 2ª safra'!$E17:INDEX('Feijão 2ª safra'!$E17:$Z17,MIN(N$6-$E$3,22))&lt;&gt;""),'Feijão 2ª safra'!$E17:INDEX('Feijão 2ª safra'!$E17:$Z17,MIN(N$6-$E$3,22))),0))-IF($G$2,0,IF((N$6-$G$3)&lt;1,0,IFERROR(LOOKUP(2,1/('Feijão 2ª safra'!$E17:INDEX('Feijão 2ª safra'!$E17:$Z17,MIN(N$6-$G$3,22))&lt;&gt;""),'Feijão 2ª safra'!$E17:INDEX('Feijão 2ª safra'!$E17:$Z17,MIN(N$6-$G$3,22))),0)))))</f>
        <v>0</v>
      </c>
      <c r="O19" s="27" t="n">
        <f aca="false">IF(COUNT('Feijão 2ª safra'!$E17:$Z17)=0,0,MAX(0,IF((O$6-$E$3)&lt;1,0,IFERROR(LOOKUP(2,1/('Feijão 2ª safra'!$E17:INDEX('Feijão 2ª safra'!$E17:$Z17,MIN(O$6-$E$3,22))&lt;&gt;""),'Feijão 2ª safra'!$E17:INDEX('Feijão 2ª safra'!$E17:$Z17,MIN(O$6-$E$3,22))),0))-IF($G$2,0,IF((O$6-$G$3)&lt;1,0,IFERROR(LOOKUP(2,1/('Feijão 2ª safra'!$E17:INDEX('Feijão 2ª safra'!$E17:$Z17,MIN(O$6-$G$3,22))&lt;&gt;""),'Feijão 2ª safra'!$E17:INDEX('Feijão 2ª safra'!$E17:$Z17,MIN(O$6-$G$3,22))),0)))))</f>
        <v>0</v>
      </c>
      <c r="P19" s="27" t="n">
        <f aca="false">IF(COUNT('Feijão 2ª safra'!$E17:$Z17)=0,0,MAX(0,IF((P$6-$E$3)&lt;1,0,IFERROR(LOOKUP(2,1/('Feijão 2ª safra'!$E17:INDEX('Feijão 2ª safra'!$E17:$Z17,MIN(P$6-$E$3,22))&lt;&gt;""),'Feijão 2ª safra'!$E17:INDEX('Feijão 2ª safra'!$E17:$Z17,MIN(P$6-$E$3,22))),0))-IF($G$2,0,IF((P$6-$G$3)&lt;1,0,IFERROR(LOOKUP(2,1/('Feijão 2ª safra'!$E17:INDEX('Feijão 2ª safra'!$E17:$Z17,MIN(P$6-$G$3,22))&lt;&gt;""),'Feijão 2ª safra'!$E17:INDEX('Feijão 2ª safra'!$E17:$Z17,MIN(P$6-$G$3,22))),0)))))</f>
        <v>0</v>
      </c>
      <c r="Q19" s="27" t="n">
        <f aca="false">IF(COUNT('Feijão 2ª safra'!$E17:$Z17)=0,0,MAX(0,IF((Q$6-$E$3)&lt;1,0,IFERROR(LOOKUP(2,1/('Feijão 2ª safra'!$E17:INDEX('Feijão 2ª safra'!$E17:$Z17,MIN(Q$6-$E$3,22))&lt;&gt;""),'Feijão 2ª safra'!$E17:INDEX('Feijão 2ª safra'!$E17:$Z17,MIN(Q$6-$E$3,22))),0))-IF($G$2,0,IF((Q$6-$G$3)&lt;1,0,IFERROR(LOOKUP(2,1/('Feijão 2ª safra'!$E17:INDEX('Feijão 2ª safra'!$E17:$Z17,MIN(Q$6-$G$3,22))&lt;&gt;""),'Feijão 2ª safra'!$E17:INDEX('Feijão 2ª safra'!$E17:$Z17,MIN(Q$6-$G$3,22))),0)))))</f>
        <v>0</v>
      </c>
      <c r="R19" s="27" t="n">
        <f aca="false">IF(COUNT('Feijão 2ª safra'!$E17:$Z17)=0,0,MAX(0,IF((R$6-$E$3)&lt;1,0,IFERROR(LOOKUP(2,1/('Feijão 2ª safra'!$E17:INDEX('Feijão 2ª safra'!$E17:$Z17,MIN(R$6-$E$3,22))&lt;&gt;""),'Feijão 2ª safra'!$E17:INDEX('Feijão 2ª safra'!$E17:$Z17,MIN(R$6-$E$3,22))),0))-IF($G$2,0,IF((R$6-$G$3)&lt;1,0,IFERROR(LOOKUP(2,1/('Feijão 2ª safra'!$E17:INDEX('Feijão 2ª safra'!$E17:$Z17,MIN(R$6-$G$3,22))&lt;&gt;""),'Feijão 2ª safra'!$E17:INDEX('Feijão 2ª safra'!$E17:$Z17,MIN(R$6-$G$3,22))),0)))))</f>
        <v>0</v>
      </c>
      <c r="S19" s="27" t="n">
        <f aca="false">IF(COUNT('Feijão 2ª safra'!$E17:$Z17)=0,0,MAX(0,IF((S$6-$E$3)&lt;1,0,IFERROR(LOOKUP(2,1/('Feijão 2ª safra'!$E17:INDEX('Feijão 2ª safra'!$E17:$Z17,MIN(S$6-$E$3,22))&lt;&gt;""),'Feijão 2ª safra'!$E17:INDEX('Feijão 2ª safra'!$E17:$Z17,MIN(S$6-$E$3,22))),0))-IF($G$2,0,IF((S$6-$G$3)&lt;1,0,IFERROR(LOOKUP(2,1/('Feijão 2ª safra'!$E17:INDEX('Feijão 2ª safra'!$E17:$Z17,MIN(S$6-$G$3,22))&lt;&gt;""),'Feijão 2ª safra'!$E17:INDEX('Feijão 2ª safra'!$E17:$Z17,MIN(S$6-$G$3,22))),0)))))</f>
        <v>0</v>
      </c>
      <c r="T19" s="27" t="n">
        <f aca="false">IF(COUNT('Feijão 2ª safra'!$E17:$Z17)=0,0,MAX(0,IF((T$6-$E$3)&lt;1,0,IFERROR(LOOKUP(2,1/('Feijão 2ª safra'!$E17:INDEX('Feijão 2ª safra'!$E17:$Z17,MIN(T$6-$E$3,22))&lt;&gt;""),'Feijão 2ª safra'!$E17:INDEX('Feijão 2ª safra'!$E17:$Z17,MIN(T$6-$E$3,22))),0))-IF($G$2,0,IF((T$6-$G$3)&lt;1,0,IFERROR(LOOKUP(2,1/('Feijão 2ª safra'!$E17:INDEX('Feijão 2ª safra'!$E17:$Z17,MIN(T$6-$G$3,22))&lt;&gt;""),'Feijão 2ª safra'!$E17:INDEX('Feijão 2ª safra'!$E17:$Z17,MIN(T$6-$G$3,22))),0)))))</f>
        <v>0</v>
      </c>
      <c r="U19" s="27" t="n">
        <f aca="false">IF(COUNT('Feijão 2ª safra'!$E17:$Z17)=0,0,MAX(0,IF((U$6-$E$3)&lt;1,0,IFERROR(LOOKUP(2,1/('Feijão 2ª safra'!$E17:INDEX('Feijão 2ª safra'!$E17:$Z17,MIN(U$6-$E$3,22))&lt;&gt;""),'Feijão 2ª safra'!$E17:INDEX('Feijão 2ª safra'!$E17:$Z17,MIN(U$6-$E$3,22))),0))-IF($G$2,0,IF((U$6-$G$3)&lt;1,0,IFERROR(LOOKUP(2,1/('Feijão 2ª safra'!$E17:INDEX('Feijão 2ª safra'!$E17:$Z17,MIN(U$6-$G$3,22))&lt;&gt;""),'Feijão 2ª safra'!$E17:INDEX('Feijão 2ª safra'!$E17:$Z17,MIN(U$6-$G$3,22))),0)))))</f>
        <v>0</v>
      </c>
      <c r="V19" s="27" t="n">
        <f aca="false">IF(COUNT('Feijão 2ª safra'!$E17:$Z17)=0,0,MAX(0,IF((V$6-$E$3)&lt;1,0,IFERROR(LOOKUP(2,1/('Feijão 2ª safra'!$E17:INDEX('Feijão 2ª safra'!$E17:$Z17,MIN(V$6-$E$3,22))&lt;&gt;""),'Feijão 2ª safra'!$E17:INDEX('Feijão 2ª safra'!$E17:$Z17,MIN(V$6-$E$3,22))),0))-IF($G$2,0,IF((V$6-$G$3)&lt;1,0,IFERROR(LOOKUP(2,1/('Feijão 2ª safra'!$E17:INDEX('Feijão 2ª safra'!$E17:$Z17,MIN(V$6-$G$3,22))&lt;&gt;""),'Feijão 2ª safra'!$E17:INDEX('Feijão 2ª safra'!$E17:$Z17,MIN(V$6-$G$3,22))),0)))))</f>
        <v>0</v>
      </c>
      <c r="W19" s="27" t="n">
        <f aca="false">IF(COUNT('Feijão 2ª safra'!$E17:$Z17)=0,0,MAX(0,IF((W$6-$E$3)&lt;1,0,IFERROR(LOOKUP(2,1/('Feijão 2ª safra'!$E17:INDEX('Feijão 2ª safra'!$E17:$Z17,MIN(W$6-$E$3,22))&lt;&gt;""),'Feijão 2ª safra'!$E17:INDEX('Feijão 2ª safra'!$E17:$Z17,MIN(W$6-$E$3,22))),0))-IF($G$2,0,IF((W$6-$G$3)&lt;1,0,IFERROR(LOOKUP(2,1/('Feijão 2ª safra'!$E17:INDEX('Feijão 2ª safra'!$E17:$Z17,MIN(W$6-$G$3,22))&lt;&gt;""),'Feijão 2ª safra'!$E17:INDEX('Feijão 2ª safra'!$E17:$Z17,MIN(W$6-$G$3,22))),0)))))</f>
        <v>0</v>
      </c>
      <c r="X19" s="27" t="n">
        <f aca="false">IF(COUNT('Feijão 2ª safra'!$E17:$Z17)=0,0,MAX(0,IF((X$6-$E$3)&lt;1,0,IFERROR(LOOKUP(2,1/('Feijão 2ª safra'!$E17:INDEX('Feijão 2ª safra'!$E17:$Z17,MIN(X$6-$E$3,22))&lt;&gt;""),'Feijão 2ª safra'!$E17:INDEX('Feijão 2ª safra'!$E17:$Z17,MIN(X$6-$E$3,22))),0))-IF($G$2,0,IF((X$6-$G$3)&lt;1,0,IFERROR(LOOKUP(2,1/('Feijão 2ª safra'!$E17:INDEX('Feijão 2ª safra'!$E17:$Z17,MIN(X$6-$G$3,22))&lt;&gt;""),'Feijão 2ª safra'!$E17:INDEX('Feijão 2ª safra'!$E17:$Z17,MIN(X$6-$G$3,22))),0)))))</f>
        <v>0</v>
      </c>
      <c r="Y19" s="27" t="n">
        <f aca="false">IF(COUNT('Feijão 2ª safra'!$E17:$Z17)=0,0,MAX(0,IF((Y$6-$E$3)&lt;1,0,IFERROR(LOOKUP(2,1/('Feijão 2ª safra'!$E17:INDEX('Feijão 2ª safra'!$E17:$Z17,MIN(Y$6-$E$3,22))&lt;&gt;""),'Feijão 2ª safra'!$E17:INDEX('Feijão 2ª safra'!$E17:$Z17,MIN(Y$6-$E$3,22))),0))-IF($G$2,0,IF((Y$6-$G$3)&lt;1,0,IFERROR(LOOKUP(2,1/('Feijão 2ª safra'!$E17:INDEX('Feijão 2ª safra'!$E17:$Z17,MIN(Y$6-$G$3,22))&lt;&gt;""),'Feijão 2ª safra'!$E17:INDEX('Feijão 2ª safra'!$E17:$Z17,MIN(Y$6-$G$3,22))),0)))))</f>
        <v>0</v>
      </c>
      <c r="Z19" s="27" t="n">
        <f aca="false">IF(COUNT('Feijão 2ª safra'!$E17:$Z17)=0,0,MAX(0,IF((Z$6-$E$3)&lt;1,0,IFERROR(LOOKUP(2,1/('Feijão 2ª safra'!$E17:INDEX('Feijão 2ª safra'!$E17:$Z17,MIN(Z$6-$E$3,22))&lt;&gt;""),'Feijão 2ª safra'!$E17:INDEX('Feijão 2ª safra'!$E17:$Z17,MIN(Z$6-$E$3,22))),0))-IF($G$2,0,IF((Z$6-$G$3)&lt;1,0,IFERROR(LOOKUP(2,1/('Feijão 2ª safra'!$E17:INDEX('Feijão 2ª safra'!$E17:$Z17,MIN(Z$6-$G$3,22))&lt;&gt;""),'Feijão 2ª safra'!$E17:INDEX('Feijão 2ª safra'!$E17:$Z17,MIN(Z$6-$G$3,22))),0)))))</f>
        <v>0</v>
      </c>
      <c r="AA19" s="27" t="n">
        <f aca="false">IF(COUNT('Feijão 2ª safra'!$E17:$Z17)=0,0,MAX(0,IF((AA$6-$E$3)&lt;1,0,IFERROR(LOOKUP(2,1/('Feijão 2ª safra'!$E17:INDEX('Feijão 2ª safra'!$E17:$Z17,MIN(AA$6-$E$3,22))&lt;&gt;""),'Feijão 2ª safra'!$E17:INDEX('Feijão 2ª safra'!$E17:$Z17,MIN(AA$6-$E$3,22))),0))-IF($G$2,0,IF((AA$6-$G$3)&lt;1,0,IFERROR(LOOKUP(2,1/('Feijão 2ª safra'!$E17:INDEX('Feijão 2ª safra'!$E17:$Z17,MIN(AA$6-$G$3,22))&lt;&gt;""),'Feijão 2ª safra'!$E17:INDEX('Feijão 2ª safra'!$E17:$Z17,MIN(AA$6-$G$3,22))),0)))))</f>
        <v>0</v>
      </c>
      <c r="AB19" s="27" t="n">
        <f aca="false">IF(COUNT('Feijão 2ª safra'!$E17:$Z17)=0,0,MAX(0,IF((AB$6-$E$3)&lt;1,0,IFERROR(LOOKUP(2,1/('Feijão 2ª safra'!$E17:INDEX('Feijão 2ª safra'!$E17:$Z17,MIN(AB$6-$E$3,22))&lt;&gt;""),'Feijão 2ª safra'!$E17:INDEX('Feijão 2ª safra'!$E17:$Z17,MIN(AB$6-$E$3,22))),0))-IF($G$2,0,IF((AB$6-$G$3)&lt;1,0,IFERROR(LOOKUP(2,1/('Feijão 2ª safra'!$E17:INDEX('Feijão 2ª safra'!$E17:$Z17,MIN(AB$6-$G$3,22))&lt;&gt;""),'Feijão 2ª safra'!$E17:INDEX('Feijão 2ª safra'!$E17:$Z17,MIN(AB$6-$G$3,22))),0)))))</f>
        <v>0</v>
      </c>
      <c r="AC19" s="27" t="n">
        <f aca="false">IF(COUNT('Feijão 2ª safra'!$E17:$Z17)=0,0,MAX(0,IF((AC$6-$E$3)&lt;1,0,IFERROR(LOOKUP(2,1/('Feijão 2ª safra'!$E17:INDEX('Feijão 2ª safra'!$E17:$Z17,MIN(AC$6-$E$3,22))&lt;&gt;""),'Feijão 2ª safra'!$E17:INDEX('Feijão 2ª safra'!$E17:$Z17,MIN(AC$6-$E$3,22))),0))-IF($G$2,0,IF((AC$6-$G$3)&lt;1,0,IFERROR(LOOKUP(2,1/('Feijão 2ª safra'!$E17:INDEX('Feijão 2ª safra'!$E17:$Z17,MIN(AC$6-$G$3,22))&lt;&gt;""),'Feijão 2ª safra'!$E17:INDEX('Feijão 2ª safra'!$E17:$Z17,MIN(AC$6-$G$3,22))),0)))))</f>
        <v>0</v>
      </c>
      <c r="AD19" s="27" t="n">
        <f aca="false">IF(COUNT('Feijão 2ª safra'!$E17:$Z17)=0,0,MAX(0,IF((AD$6-$E$3)&lt;1,0,IFERROR(LOOKUP(2,1/('Feijão 2ª safra'!$E17:INDEX('Feijão 2ª safra'!$E17:$Z17,MIN(AD$6-$E$3,22))&lt;&gt;""),'Feijão 2ª safra'!$E17:INDEX('Feijão 2ª safra'!$E17:$Z17,MIN(AD$6-$E$3,22))),0))-IF($G$2,0,IF((AD$6-$G$3)&lt;1,0,IFERROR(LOOKUP(2,1/('Feijão 2ª safra'!$E17:INDEX('Feijão 2ª safra'!$E17:$Z17,MIN(AD$6-$G$3,22))&lt;&gt;""),'Feijão 2ª safra'!$E17:INDEX('Feijão 2ª safra'!$E17:$Z17,MIN(AD$6-$G$3,22))),0)))))</f>
        <v>0</v>
      </c>
      <c r="AE19" s="27" t="n">
        <f aca="false">IF(COUNT('Feijão 2ª safra'!$E17:$Z17)=0,0,MAX(0,IF((AE$6-$E$3)&lt;1,0,IFERROR(LOOKUP(2,1/('Feijão 2ª safra'!$E17:INDEX('Feijão 2ª safra'!$E17:$Z17,MIN(AE$6-$E$3,22))&lt;&gt;""),'Feijão 2ª safra'!$E17:INDEX('Feijão 2ª safra'!$E17:$Z17,MIN(AE$6-$E$3,22))),0))-IF($G$2,0,IF((AE$6-$G$3)&lt;1,0,IFERROR(LOOKUP(2,1/('Feijão 2ª safra'!$E17:INDEX('Feijão 2ª safra'!$E17:$Z17,MIN(AE$6-$G$3,22))&lt;&gt;""),'Feijão 2ª safra'!$E17:INDEX('Feijão 2ª safra'!$E17:$Z17,MIN(AE$6-$G$3,22))),0)))))</f>
        <v>0</v>
      </c>
      <c r="AF19" s="27" t="n">
        <f aca="false">IF(COUNT('Feijão 2ª safra'!$E17:$Z17)=0,0,MAX(0,IF((AF$6-$E$3)&lt;1,0,IFERROR(LOOKUP(2,1/('Feijão 2ª safra'!$E17:INDEX('Feijão 2ª safra'!$E17:$Z17,MIN(AF$6-$E$3,22))&lt;&gt;""),'Feijão 2ª safra'!$E17:INDEX('Feijão 2ª safra'!$E17:$Z17,MIN(AF$6-$E$3,22))),0))-IF($G$2,0,IF((AF$6-$G$3)&lt;1,0,IFERROR(LOOKUP(2,1/('Feijão 2ª safra'!$E17:INDEX('Feijão 2ª safra'!$E17:$Z17,MIN(AF$6-$G$3,22))&lt;&gt;""),'Feijão 2ª safra'!$E17:INDEX('Feijão 2ª safra'!$E17:$Z17,MIN(AF$6-$G$3,22))),0)))))</f>
        <v>0</v>
      </c>
      <c r="AG19" s="27" t="n">
        <f aca="false">IF(COUNT('Feijão 2ª safra'!$E17:$Z17)=0,0,MAX(0,IF((AG$6-$E$3)&lt;1,0,IFERROR(LOOKUP(2,1/('Feijão 2ª safra'!$E17:INDEX('Feijão 2ª safra'!$E17:$Z17,MIN(AG$6-$E$3,22))&lt;&gt;""),'Feijão 2ª safra'!$E17:INDEX('Feijão 2ª safra'!$E17:$Z17,MIN(AG$6-$E$3,22))),0))-IF($G$2,0,IF((AG$6-$G$3)&lt;1,0,IFERROR(LOOKUP(2,1/('Feijão 2ª safra'!$E17:INDEX('Feijão 2ª safra'!$E17:$Z17,MIN(AG$6-$G$3,22))&lt;&gt;""),'Feijão 2ª safra'!$E17:INDEX('Feijão 2ª safra'!$E17:$Z17,MIN(AG$6-$G$3,22))),0)))))</f>
        <v>0</v>
      </c>
      <c r="AH19" s="27" t="n">
        <f aca="false">IF(COUNT('Feijão 2ª safra'!$E17:$Z17)=0,0,MAX(0,IF((AH$6-$E$3)&lt;1,0,IFERROR(LOOKUP(2,1/('Feijão 2ª safra'!$E17:INDEX('Feijão 2ª safra'!$E17:$Z17,MIN(AH$6-$E$3,22))&lt;&gt;""),'Feijão 2ª safra'!$E17:INDEX('Feijão 2ª safra'!$E17:$Z17,MIN(AH$6-$E$3,22))),0))-IF($G$2,0,IF((AH$6-$G$3)&lt;1,0,IFERROR(LOOKUP(2,1/('Feijão 2ª safra'!$E17:INDEX('Feijão 2ª safra'!$E17:$Z17,MIN(AH$6-$G$3,22))&lt;&gt;""),'Feijão 2ª safra'!$E17:INDEX('Feijão 2ª safra'!$E17:$Z17,MIN(AH$6-$G$3,22))),0)))))</f>
        <v>0</v>
      </c>
      <c r="AI19" s="27" t="n">
        <f aca="false">IF(COUNT('Feijão 2ª safra'!$E17:$Z17)=0,0,MAX(0,IF((AI$6-$E$3)&lt;1,0,IFERROR(LOOKUP(2,1/('Feijão 2ª safra'!$E17:INDEX('Feijão 2ª safra'!$E17:$Z17,MIN(AI$6-$E$3,22))&lt;&gt;""),'Feijão 2ª safra'!$E17:INDEX('Feijão 2ª safra'!$E17:$Z17,MIN(AI$6-$E$3,22))),0))-IF($G$2,0,IF((AI$6-$G$3)&lt;1,0,IFERROR(LOOKUP(2,1/('Feijão 2ª safra'!$E17:INDEX('Feijão 2ª safra'!$E17:$Z17,MIN(AI$6-$G$3,22))&lt;&gt;""),'Feijão 2ª safra'!$E17:INDEX('Feijão 2ª safra'!$E17:$Z17,MIN(AI$6-$G$3,22))),0)))))</f>
        <v>0</v>
      </c>
      <c r="AJ19" s="27" t="n">
        <f aca="false">IF(COUNT('Feijão 2ª safra'!$E17:$Z17)=0,0,MAX(0,IF((AJ$6-$E$3)&lt;1,0,IFERROR(LOOKUP(2,1/('Feijão 2ª safra'!$E17:INDEX('Feijão 2ª safra'!$E17:$Z17,MIN(AJ$6-$E$3,22))&lt;&gt;""),'Feijão 2ª safra'!$E17:INDEX('Feijão 2ª safra'!$E17:$Z17,MIN(AJ$6-$E$3,22))),0))-IF($G$2,0,IF((AJ$6-$G$3)&lt;1,0,IFERROR(LOOKUP(2,1/('Feijão 2ª safra'!$E17:INDEX('Feijão 2ª safra'!$E17:$Z17,MIN(AJ$6-$G$3,22))&lt;&gt;""),'Feijão 2ª safra'!$E17:INDEX('Feijão 2ª safra'!$E17:$Z17,MIN(AJ$6-$G$3,22))),0)))))</f>
        <v>0</v>
      </c>
      <c r="AK19" s="27" t="n">
        <f aca="false">IF(COUNT('Feijão 2ª safra'!$E17:$Z17)=0,0,MAX(0,IF((AK$6-$E$3)&lt;1,0,IFERROR(LOOKUP(2,1/('Feijão 2ª safra'!$E17:INDEX('Feijão 2ª safra'!$E17:$Z17,MIN(AK$6-$E$3,22))&lt;&gt;""),'Feijão 2ª safra'!$E17:INDEX('Feijão 2ª safra'!$E17:$Z17,MIN(AK$6-$E$3,22))),0))-IF($G$2,0,IF((AK$6-$G$3)&lt;1,0,IFERROR(LOOKUP(2,1/('Feijão 2ª safra'!$E17:INDEX('Feijão 2ª safra'!$E17:$Z17,MIN(AK$6-$G$3,22))&lt;&gt;""),'Feijão 2ª safra'!$E17:INDEX('Feijão 2ª safra'!$E17:$Z17,MIN(AK$6-$G$3,22))),0)))))</f>
        <v>0</v>
      </c>
      <c r="AL19" s="27" t="n">
        <f aca="false">IF(COUNT('Feijão 2ª safra'!$E17:$Z17)=0,0,MAX(0,IF((AL$6-$E$3)&lt;1,0,IFERROR(LOOKUP(2,1/('Feijão 2ª safra'!$E17:INDEX('Feijão 2ª safra'!$E17:$Z17,MIN(AL$6-$E$3,22))&lt;&gt;""),'Feijão 2ª safra'!$E17:INDEX('Feijão 2ª safra'!$E17:$Z17,MIN(AL$6-$E$3,22))),0))-IF($G$2,0,IF((AL$6-$G$3)&lt;1,0,IFERROR(LOOKUP(2,1/('Feijão 2ª safra'!$E17:INDEX('Feijão 2ª safra'!$E17:$Z17,MIN(AL$6-$G$3,22))&lt;&gt;""),'Feijão 2ª safra'!$E17:INDEX('Feijão 2ª safra'!$E17:$Z17,MIN(AL$6-$G$3,22))),0)))))</f>
        <v>0</v>
      </c>
      <c r="AM19" s="27" t="n">
        <f aca="false">IF(COUNT('Feijão 2ª safra'!$E17:$Z17)=0,0,MAX(0,IF((AM$6-$E$3)&lt;1,0,IFERROR(LOOKUP(2,1/('Feijão 2ª safra'!$E17:INDEX('Feijão 2ª safra'!$E17:$Z17,MIN(AM$6-$E$3,22))&lt;&gt;""),'Feijão 2ª safra'!$E17:INDEX('Feijão 2ª safra'!$E17:$Z17,MIN(AM$6-$E$3,22))),0))-IF($G$2,0,IF((AM$6-$G$3)&lt;1,0,IFERROR(LOOKUP(2,1/('Feijão 2ª safra'!$E17:INDEX('Feijão 2ª safra'!$E17:$Z17,MIN(AM$6-$G$3,22))&lt;&gt;""),'Feijão 2ª safra'!$E17:INDEX('Feijão 2ª safra'!$E17:$Z17,MIN(AM$6-$G$3,22))),0)))))</f>
        <v>0</v>
      </c>
      <c r="AN19" s="27" t="n">
        <f aca="false">IF(COUNT('Feijão 2ª safra'!$E17:$Z17)=0,0,MAX(0,IF((AN$6-$E$3)&lt;1,0,IFERROR(LOOKUP(2,1/('Feijão 2ª safra'!$E17:INDEX('Feijão 2ª safra'!$E17:$Z17,MIN(AN$6-$E$3,22))&lt;&gt;""),'Feijão 2ª safra'!$E17:INDEX('Feijão 2ª safra'!$E17:$Z17,MIN(AN$6-$E$3,22))),0))-IF($G$2,0,IF((AN$6-$G$3)&lt;1,0,IFERROR(LOOKUP(2,1/('Feijão 2ª safra'!$E17:INDEX('Feijão 2ª safra'!$E17:$Z17,MIN(AN$6-$G$3,22))&lt;&gt;""),'Feijão 2ª safra'!$E17:INDEX('Feijão 2ª safra'!$E17:$Z17,MIN(AN$6-$G$3,22))),0)))))</f>
        <v>0</v>
      </c>
      <c r="AO19" s="27" t="n">
        <f aca="false">IF(COUNT('Feijão 2ª safra'!$E17:$Z17)=0,0,MAX(0,IF((AO$6-$E$3)&lt;1,0,IFERROR(LOOKUP(2,1/('Feijão 2ª safra'!$E17:INDEX('Feijão 2ª safra'!$E17:$Z17,MIN(AO$6-$E$3,22))&lt;&gt;""),'Feijão 2ª safra'!$E17:INDEX('Feijão 2ª safra'!$E17:$Z17,MIN(AO$6-$E$3,22))),0))-IF($G$2,0,IF((AO$6-$G$3)&lt;1,0,IFERROR(LOOKUP(2,1/('Feijão 2ª safra'!$E17:INDEX('Feijão 2ª safra'!$E17:$Z17,MIN(AO$6-$G$3,22))&lt;&gt;""),'Feijão 2ª safra'!$E17:INDEX('Feijão 2ª safra'!$E17:$Z17,MIN(AO$6-$G$3,22))),0)))))</f>
        <v>0</v>
      </c>
      <c r="AP19" s="27" t="n">
        <f aca="false">IF(COUNT('Feijão 2ª safra'!$E17:$Z17)=0,0,MAX(0,IF((AP$6-$E$3)&lt;1,0,IFERROR(LOOKUP(2,1/('Feijão 2ª safra'!$E17:INDEX('Feijão 2ª safra'!$E17:$Z17,MIN(AP$6-$E$3,22))&lt;&gt;""),'Feijão 2ª safra'!$E17:INDEX('Feijão 2ª safra'!$E17:$Z17,MIN(AP$6-$E$3,22))),0))-IF($G$2,0,IF((AP$6-$G$3)&lt;1,0,IFERROR(LOOKUP(2,1/('Feijão 2ª safra'!$E17:INDEX('Feijão 2ª safra'!$E17:$Z17,MIN(AP$6-$G$3,22))&lt;&gt;""),'Feijão 2ª safra'!$E17:INDEX('Feijão 2ª safra'!$E17:$Z17,MIN(AP$6-$G$3,22))),0)))))</f>
        <v>0</v>
      </c>
      <c r="AQ19" s="27" t="n">
        <f aca="false">IF(COUNT('Feijão 2ª safra'!$E17:$Z17)=0,0,MAX(0,IF((AQ$6-$E$3)&lt;1,0,IFERROR(LOOKUP(2,1/('Feijão 2ª safra'!$E17:INDEX('Feijão 2ª safra'!$E17:$Z17,MIN(AQ$6-$E$3,22))&lt;&gt;""),'Feijão 2ª safra'!$E17:INDEX('Feijão 2ª safra'!$E17:$Z17,MIN(AQ$6-$E$3,22))),0))-IF($G$2,0,IF((AQ$6-$G$3)&lt;1,0,IFERROR(LOOKUP(2,1/('Feijão 2ª safra'!$E17:INDEX('Feijão 2ª safra'!$E17:$Z17,MIN(AQ$6-$G$3,22))&lt;&gt;""),'Feijão 2ª safra'!$E17:INDEX('Feijão 2ª safra'!$E17:$Z17,MIN(AQ$6-$G$3,22))),0)))))</f>
        <v>0</v>
      </c>
      <c r="AR19" s="27" t="n">
        <f aca="false">IF(COUNT('Feijão 2ª safra'!$E17:$Z17)=0,0,MAX(0,IF((AR$6-$E$3)&lt;1,0,IFERROR(LOOKUP(2,1/('Feijão 2ª safra'!$E17:INDEX('Feijão 2ª safra'!$E17:$Z17,MIN(AR$6-$E$3,22))&lt;&gt;""),'Feijão 2ª safra'!$E17:INDEX('Feijão 2ª safra'!$E17:$Z17,MIN(AR$6-$E$3,22))),0))-IF($G$2,0,IF((AR$6-$G$3)&lt;1,0,IFERROR(LOOKUP(2,1/('Feijão 2ª safra'!$E17:INDEX('Feijão 2ª safra'!$E17:$Z17,MIN(AR$6-$G$3,22))&lt;&gt;""),'Feijão 2ª safra'!$E17:INDEX('Feijão 2ª safra'!$E17:$Z17,MIN(AR$6-$G$3,22))),0)))))</f>
        <v>0</v>
      </c>
      <c r="AS19" s="27" t="n">
        <f aca="false">IF(COUNT('Feijão 2ª safra'!$E17:$Z17)=0,0,MAX(0,IF((AS$6-$E$3)&lt;1,0,IFERROR(LOOKUP(2,1/('Feijão 2ª safra'!$E17:INDEX('Feijão 2ª safra'!$E17:$Z17,MIN(AS$6-$E$3,22))&lt;&gt;""),'Feijão 2ª safra'!$E17:INDEX('Feijão 2ª safra'!$E17:$Z17,MIN(AS$6-$E$3,22))),0))-IF($G$2,0,IF((AS$6-$G$3)&lt;1,0,IFERROR(LOOKUP(2,1/('Feijão 2ª safra'!$E17:INDEX('Feijão 2ª safra'!$E17:$Z17,MIN(AS$6-$G$3,22))&lt;&gt;""),'Feijão 2ª safra'!$E17:INDEX('Feijão 2ª safra'!$E17:$Z17,MIN(AS$6-$G$3,22))),0)))))</f>
        <v>0</v>
      </c>
      <c r="AT19" s="27" t="n">
        <f aca="false">IF(COUNT('Feijão 2ª safra'!$E17:$Z17)=0,0,MAX(0,IF((AT$6-$E$3)&lt;1,0,IFERROR(LOOKUP(2,1/('Feijão 2ª safra'!$E17:INDEX('Feijão 2ª safra'!$E17:$Z17,MIN(AT$6-$E$3,22))&lt;&gt;""),'Feijão 2ª safra'!$E17:INDEX('Feijão 2ª safra'!$E17:$Z17,MIN(AT$6-$E$3,22))),0))-IF($G$2,0,IF((AT$6-$G$3)&lt;1,0,IFERROR(LOOKUP(2,1/('Feijão 2ª safra'!$E17:INDEX('Feijão 2ª safra'!$E17:$Z17,MIN(AT$6-$G$3,22))&lt;&gt;""),'Feijão 2ª safra'!$E17:INDEX('Feijão 2ª safra'!$E17:$Z17,MIN(AT$6-$G$3,22))),0)))))</f>
        <v>0</v>
      </c>
      <c r="AU19" s="27" t="n">
        <f aca="false">IF(COUNT('Feijão 2ª safra'!$E17:$Z17)=0,0,MAX(0,IF((AU$6-$E$3)&lt;1,0,IFERROR(LOOKUP(2,1/('Feijão 2ª safra'!$E17:INDEX('Feijão 2ª safra'!$E17:$Z17,MIN(AU$6-$E$3,22))&lt;&gt;""),'Feijão 2ª safra'!$E17:INDEX('Feijão 2ª safra'!$E17:$Z17,MIN(AU$6-$E$3,22))),0))-IF($G$2,0,IF((AU$6-$G$3)&lt;1,0,IFERROR(LOOKUP(2,1/('Feijão 2ª safra'!$E17:INDEX('Feijão 2ª safra'!$E17:$Z17,MIN(AU$6-$G$3,22))&lt;&gt;""),'Feijão 2ª safra'!$E17:INDEX('Feijão 2ª safra'!$E17:$Z17,MIN(AU$6-$G$3,22))),0)))))</f>
        <v>0</v>
      </c>
      <c r="AV19" s="27" t="n">
        <f aca="false">IF(COUNT('Feijão 2ª safra'!$E17:$Z17)=0,0,MAX(0,IF((AV$6-$E$3)&lt;1,0,IFERROR(LOOKUP(2,1/('Feijão 2ª safra'!$E17:INDEX('Feijão 2ª safra'!$E17:$Z17,MIN(AV$6-$E$3,22))&lt;&gt;""),'Feijão 2ª safra'!$E17:INDEX('Feijão 2ª safra'!$E17:$Z17,MIN(AV$6-$E$3,22))),0))-IF($G$2,0,IF((AV$6-$G$3)&lt;1,0,IFERROR(LOOKUP(2,1/('Feijão 2ª safra'!$E17:INDEX('Feijão 2ª safra'!$E17:$Z17,MIN(AV$6-$G$3,22))&lt;&gt;""),'Feijão 2ª safra'!$E17:INDEX('Feijão 2ª safra'!$E17:$Z17,MIN(AV$6-$G$3,22))),0)))))</f>
        <v>0</v>
      </c>
      <c r="AW19" s="27" t="n">
        <f aca="false">IF(COUNT('Feijão 2ª safra'!$E17:$Z17)=0,0,MAX(0,IF((AW$6-$E$3)&lt;1,0,IFERROR(LOOKUP(2,1/('Feijão 2ª safra'!$E17:INDEX('Feijão 2ª safra'!$E17:$Z17,MIN(AW$6-$E$3,22))&lt;&gt;""),'Feijão 2ª safra'!$E17:INDEX('Feijão 2ª safra'!$E17:$Z17,MIN(AW$6-$E$3,22))),0))-IF($G$2,0,IF((AW$6-$G$3)&lt;1,0,IFERROR(LOOKUP(2,1/('Feijão 2ª safra'!$E17:INDEX('Feijão 2ª safra'!$E17:$Z17,MIN(AW$6-$G$3,22))&lt;&gt;""),'Feijão 2ª safra'!$E17:INDEX('Feijão 2ª safra'!$E17:$Z17,MIN(AW$6-$G$3,22))),0)))))</f>
        <v>0</v>
      </c>
      <c r="AX19" s="27" t="n">
        <f aca="false">IF(COUNT('Feijão 2ª safra'!$E17:$Z17)=0,0,MAX(0,IF((AX$6-$E$3)&lt;1,0,IFERROR(LOOKUP(2,1/('Feijão 2ª safra'!$E17:INDEX('Feijão 2ª safra'!$E17:$Z17,MIN(AX$6-$E$3,22))&lt;&gt;""),'Feijão 2ª safra'!$E17:INDEX('Feijão 2ª safra'!$E17:$Z17,MIN(AX$6-$E$3,22))),0))-IF($G$2,0,IF((AX$6-$G$3)&lt;1,0,IFERROR(LOOKUP(2,1/('Feijão 2ª safra'!$E17:INDEX('Feijão 2ª safra'!$E17:$Z17,MIN(AX$6-$G$3,22))&lt;&gt;""),'Feijão 2ª safra'!$E17:INDEX('Feijão 2ª safra'!$E17:$Z17,MIN(AX$6-$G$3,22))),0)))))</f>
        <v>0</v>
      </c>
      <c r="AY19" s="27" t="n">
        <f aca="false">IF(COUNT('Feijão 2ª safra'!$E17:$Z17)=0,0,MAX(0,IF((AY$6-$E$3)&lt;1,0,IFERROR(LOOKUP(2,1/('Feijão 2ª safra'!$E17:INDEX('Feijão 2ª safra'!$E17:$Z17,MIN(AY$6-$E$3,22))&lt;&gt;""),'Feijão 2ª safra'!$E17:INDEX('Feijão 2ª safra'!$E17:$Z17,MIN(AY$6-$E$3,22))),0))-IF($G$2,0,IF((AY$6-$G$3)&lt;1,0,IFERROR(LOOKUP(2,1/('Feijão 2ª safra'!$E17:INDEX('Feijão 2ª safra'!$E17:$Z17,MIN(AY$6-$G$3,22))&lt;&gt;""),'Feijão 2ª safra'!$E17:INDEX('Feijão 2ª safra'!$E17:$Z17,MIN(AY$6-$G$3,22))),0)))))</f>
        <v>0</v>
      </c>
      <c r="AZ19" s="27" t="n">
        <f aca="false">IF(COUNT('Feijão 2ª safra'!$E17:$Z17)=0,0,MAX(0,IF((AZ$6-$E$3)&lt;1,0,IFERROR(LOOKUP(2,1/('Feijão 2ª safra'!$E17:INDEX('Feijão 2ª safra'!$E17:$Z17,MIN(AZ$6-$E$3,22))&lt;&gt;""),'Feijão 2ª safra'!$E17:INDEX('Feijão 2ª safra'!$E17:$Z17,MIN(AZ$6-$E$3,22))),0))-IF($G$2,0,IF((AZ$6-$G$3)&lt;1,0,IFERROR(LOOKUP(2,1/('Feijão 2ª safra'!$E17:INDEX('Feijão 2ª safra'!$E17:$Z17,MIN(AZ$6-$G$3,22))&lt;&gt;""),'Feijão 2ª safra'!$E17:INDEX('Feijão 2ª safra'!$E17:$Z17,MIN(AZ$6-$G$3,22))),0)))))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IF(COUNT('Feijão 2ª safra'!$E18:$Z18)&gt;0,N('Feijão 2ª safra'!$D18),0)</f>
        <v>0</v>
      </c>
      <c r="E20" s="27" t="n">
        <f aca="false">IF(COUNT('Feijão 2ª safra'!$E18:$Z18)=0,0,MAX(0,IF((E$6-$E$3)&lt;1,0,IFERROR(LOOKUP(2,1/('Feijão 2ª safra'!$E18:INDEX('Feijão 2ª safra'!$E18:$Z18,MIN(E$6-$E$3,22))&lt;&gt;""),'Feijão 2ª safra'!$E18:INDEX('Feijão 2ª safra'!$E18:$Z18,MIN(E$6-$E$3,22))),0))-IF($G$2,0,IF((E$6-$G$3)&lt;1,0,IFERROR(LOOKUP(2,1/('Feijão 2ª safra'!$E18:INDEX('Feijão 2ª safra'!$E18:$Z18,MIN(E$6-$G$3,22))&lt;&gt;""),'Feijão 2ª safra'!$E18:INDEX('Feijão 2ª safra'!$E18:$Z18,MIN(E$6-$G$3,22))),0)))))</f>
        <v>0</v>
      </c>
      <c r="F20" s="27" t="n">
        <f aca="false">IF(COUNT('Feijão 2ª safra'!$E18:$Z18)=0,0,MAX(0,IF((F$6-$E$3)&lt;1,0,IFERROR(LOOKUP(2,1/('Feijão 2ª safra'!$E18:INDEX('Feijão 2ª safra'!$E18:$Z18,MIN(F$6-$E$3,22))&lt;&gt;""),'Feijão 2ª safra'!$E18:INDEX('Feijão 2ª safra'!$E18:$Z18,MIN(F$6-$E$3,22))),0))-IF($G$2,0,IF((F$6-$G$3)&lt;1,0,IFERROR(LOOKUP(2,1/('Feijão 2ª safra'!$E18:INDEX('Feijão 2ª safra'!$E18:$Z18,MIN(F$6-$G$3,22))&lt;&gt;""),'Feijão 2ª safra'!$E18:INDEX('Feijão 2ª safra'!$E18:$Z18,MIN(F$6-$G$3,22))),0)))))</f>
        <v>0</v>
      </c>
      <c r="G20" s="27" t="n">
        <f aca="false">IF(COUNT('Feijão 2ª safra'!$E18:$Z18)=0,0,MAX(0,IF((G$6-$E$3)&lt;1,0,IFERROR(LOOKUP(2,1/('Feijão 2ª safra'!$E18:INDEX('Feijão 2ª safra'!$E18:$Z18,MIN(G$6-$E$3,22))&lt;&gt;""),'Feijão 2ª safra'!$E18:INDEX('Feijão 2ª safra'!$E18:$Z18,MIN(G$6-$E$3,22))),0))-IF($G$2,0,IF((G$6-$G$3)&lt;1,0,IFERROR(LOOKUP(2,1/('Feijão 2ª safra'!$E18:INDEX('Feijão 2ª safra'!$E18:$Z18,MIN(G$6-$G$3,22))&lt;&gt;""),'Feijão 2ª safra'!$E18:INDEX('Feijão 2ª safra'!$E18:$Z18,MIN(G$6-$G$3,22))),0)))))</f>
        <v>0</v>
      </c>
      <c r="H20" s="27" t="n">
        <f aca="false">IF(COUNT('Feijão 2ª safra'!$E18:$Z18)=0,0,MAX(0,IF((H$6-$E$3)&lt;1,0,IFERROR(LOOKUP(2,1/('Feijão 2ª safra'!$E18:INDEX('Feijão 2ª safra'!$E18:$Z18,MIN(H$6-$E$3,22))&lt;&gt;""),'Feijão 2ª safra'!$E18:INDEX('Feijão 2ª safra'!$E18:$Z18,MIN(H$6-$E$3,22))),0))-IF($G$2,0,IF((H$6-$G$3)&lt;1,0,IFERROR(LOOKUP(2,1/('Feijão 2ª safra'!$E18:INDEX('Feijão 2ª safra'!$E18:$Z18,MIN(H$6-$G$3,22))&lt;&gt;""),'Feijão 2ª safra'!$E18:INDEX('Feijão 2ª safra'!$E18:$Z18,MIN(H$6-$G$3,22))),0)))))</f>
        <v>0</v>
      </c>
      <c r="I20" s="27" t="n">
        <f aca="false">IF(COUNT('Feijão 2ª safra'!$E18:$Z18)=0,0,MAX(0,IF((I$6-$E$3)&lt;1,0,IFERROR(LOOKUP(2,1/('Feijão 2ª safra'!$E18:INDEX('Feijão 2ª safra'!$E18:$Z18,MIN(I$6-$E$3,22))&lt;&gt;""),'Feijão 2ª safra'!$E18:INDEX('Feijão 2ª safra'!$E18:$Z18,MIN(I$6-$E$3,22))),0))-IF($G$2,0,IF((I$6-$G$3)&lt;1,0,IFERROR(LOOKUP(2,1/('Feijão 2ª safra'!$E18:INDEX('Feijão 2ª safra'!$E18:$Z18,MIN(I$6-$G$3,22))&lt;&gt;""),'Feijão 2ª safra'!$E18:INDEX('Feijão 2ª safra'!$E18:$Z18,MIN(I$6-$G$3,22))),0)))))</f>
        <v>0</v>
      </c>
      <c r="J20" s="27" t="n">
        <f aca="false">IF(COUNT('Feijão 2ª safra'!$E18:$Z18)=0,0,MAX(0,IF((J$6-$E$3)&lt;1,0,IFERROR(LOOKUP(2,1/('Feijão 2ª safra'!$E18:INDEX('Feijão 2ª safra'!$E18:$Z18,MIN(J$6-$E$3,22))&lt;&gt;""),'Feijão 2ª safra'!$E18:INDEX('Feijão 2ª safra'!$E18:$Z18,MIN(J$6-$E$3,22))),0))-IF($G$2,0,IF((J$6-$G$3)&lt;1,0,IFERROR(LOOKUP(2,1/('Feijão 2ª safra'!$E18:INDEX('Feijão 2ª safra'!$E18:$Z18,MIN(J$6-$G$3,22))&lt;&gt;""),'Feijão 2ª safra'!$E18:INDEX('Feijão 2ª safra'!$E18:$Z18,MIN(J$6-$G$3,22))),0)))))</f>
        <v>0</v>
      </c>
      <c r="K20" s="27" t="n">
        <f aca="false">IF(COUNT('Feijão 2ª safra'!$E18:$Z18)=0,0,MAX(0,IF((K$6-$E$3)&lt;1,0,IFERROR(LOOKUP(2,1/('Feijão 2ª safra'!$E18:INDEX('Feijão 2ª safra'!$E18:$Z18,MIN(K$6-$E$3,22))&lt;&gt;""),'Feijão 2ª safra'!$E18:INDEX('Feijão 2ª safra'!$E18:$Z18,MIN(K$6-$E$3,22))),0))-IF($G$2,0,IF((K$6-$G$3)&lt;1,0,IFERROR(LOOKUP(2,1/('Feijão 2ª safra'!$E18:INDEX('Feijão 2ª safra'!$E18:$Z18,MIN(K$6-$G$3,22))&lt;&gt;""),'Feijão 2ª safra'!$E18:INDEX('Feijão 2ª safra'!$E18:$Z18,MIN(K$6-$G$3,22))),0)))))</f>
        <v>0</v>
      </c>
      <c r="L20" s="27" t="n">
        <f aca="false">IF(COUNT('Feijão 2ª safra'!$E18:$Z18)=0,0,MAX(0,IF((L$6-$E$3)&lt;1,0,IFERROR(LOOKUP(2,1/('Feijão 2ª safra'!$E18:INDEX('Feijão 2ª safra'!$E18:$Z18,MIN(L$6-$E$3,22))&lt;&gt;""),'Feijão 2ª safra'!$E18:INDEX('Feijão 2ª safra'!$E18:$Z18,MIN(L$6-$E$3,22))),0))-IF($G$2,0,IF((L$6-$G$3)&lt;1,0,IFERROR(LOOKUP(2,1/('Feijão 2ª safra'!$E18:INDEX('Feijão 2ª safra'!$E18:$Z18,MIN(L$6-$G$3,22))&lt;&gt;""),'Feijão 2ª safra'!$E18:INDEX('Feijão 2ª safra'!$E18:$Z18,MIN(L$6-$G$3,22))),0)))))</f>
        <v>0</v>
      </c>
      <c r="M20" s="27" t="n">
        <f aca="false">IF(COUNT('Feijão 2ª safra'!$E18:$Z18)=0,0,MAX(0,IF((M$6-$E$3)&lt;1,0,IFERROR(LOOKUP(2,1/('Feijão 2ª safra'!$E18:INDEX('Feijão 2ª safra'!$E18:$Z18,MIN(M$6-$E$3,22))&lt;&gt;""),'Feijão 2ª safra'!$E18:INDEX('Feijão 2ª safra'!$E18:$Z18,MIN(M$6-$E$3,22))),0))-IF($G$2,0,IF((M$6-$G$3)&lt;1,0,IFERROR(LOOKUP(2,1/('Feijão 2ª safra'!$E18:INDEX('Feijão 2ª safra'!$E18:$Z18,MIN(M$6-$G$3,22))&lt;&gt;""),'Feijão 2ª safra'!$E18:INDEX('Feijão 2ª safra'!$E18:$Z18,MIN(M$6-$G$3,22))),0)))))</f>
        <v>0</v>
      </c>
      <c r="N20" s="27" t="n">
        <f aca="false">IF(COUNT('Feijão 2ª safra'!$E18:$Z18)=0,0,MAX(0,IF((N$6-$E$3)&lt;1,0,IFERROR(LOOKUP(2,1/('Feijão 2ª safra'!$E18:INDEX('Feijão 2ª safra'!$E18:$Z18,MIN(N$6-$E$3,22))&lt;&gt;""),'Feijão 2ª safra'!$E18:INDEX('Feijão 2ª safra'!$E18:$Z18,MIN(N$6-$E$3,22))),0))-IF($G$2,0,IF((N$6-$G$3)&lt;1,0,IFERROR(LOOKUP(2,1/('Feijão 2ª safra'!$E18:INDEX('Feijão 2ª safra'!$E18:$Z18,MIN(N$6-$G$3,22))&lt;&gt;""),'Feijão 2ª safra'!$E18:INDEX('Feijão 2ª safra'!$E18:$Z18,MIN(N$6-$G$3,22))),0)))))</f>
        <v>0</v>
      </c>
      <c r="O20" s="27" t="n">
        <f aca="false">IF(COUNT('Feijão 2ª safra'!$E18:$Z18)=0,0,MAX(0,IF((O$6-$E$3)&lt;1,0,IFERROR(LOOKUP(2,1/('Feijão 2ª safra'!$E18:INDEX('Feijão 2ª safra'!$E18:$Z18,MIN(O$6-$E$3,22))&lt;&gt;""),'Feijão 2ª safra'!$E18:INDEX('Feijão 2ª safra'!$E18:$Z18,MIN(O$6-$E$3,22))),0))-IF($G$2,0,IF((O$6-$G$3)&lt;1,0,IFERROR(LOOKUP(2,1/('Feijão 2ª safra'!$E18:INDEX('Feijão 2ª safra'!$E18:$Z18,MIN(O$6-$G$3,22))&lt;&gt;""),'Feijão 2ª safra'!$E18:INDEX('Feijão 2ª safra'!$E18:$Z18,MIN(O$6-$G$3,22))),0)))))</f>
        <v>0</v>
      </c>
      <c r="P20" s="27" t="n">
        <f aca="false">IF(COUNT('Feijão 2ª safra'!$E18:$Z18)=0,0,MAX(0,IF((P$6-$E$3)&lt;1,0,IFERROR(LOOKUP(2,1/('Feijão 2ª safra'!$E18:INDEX('Feijão 2ª safra'!$E18:$Z18,MIN(P$6-$E$3,22))&lt;&gt;""),'Feijão 2ª safra'!$E18:INDEX('Feijão 2ª safra'!$E18:$Z18,MIN(P$6-$E$3,22))),0))-IF($G$2,0,IF((P$6-$G$3)&lt;1,0,IFERROR(LOOKUP(2,1/('Feijão 2ª safra'!$E18:INDEX('Feijão 2ª safra'!$E18:$Z18,MIN(P$6-$G$3,22))&lt;&gt;""),'Feijão 2ª safra'!$E18:INDEX('Feijão 2ª safra'!$E18:$Z18,MIN(P$6-$G$3,22))),0)))))</f>
        <v>0</v>
      </c>
      <c r="Q20" s="27" t="n">
        <f aca="false">IF(COUNT('Feijão 2ª safra'!$E18:$Z18)=0,0,MAX(0,IF((Q$6-$E$3)&lt;1,0,IFERROR(LOOKUP(2,1/('Feijão 2ª safra'!$E18:INDEX('Feijão 2ª safra'!$E18:$Z18,MIN(Q$6-$E$3,22))&lt;&gt;""),'Feijão 2ª safra'!$E18:INDEX('Feijão 2ª safra'!$E18:$Z18,MIN(Q$6-$E$3,22))),0))-IF($G$2,0,IF((Q$6-$G$3)&lt;1,0,IFERROR(LOOKUP(2,1/('Feijão 2ª safra'!$E18:INDEX('Feijão 2ª safra'!$E18:$Z18,MIN(Q$6-$G$3,22))&lt;&gt;""),'Feijão 2ª safra'!$E18:INDEX('Feijão 2ª safra'!$E18:$Z18,MIN(Q$6-$G$3,22))),0)))))</f>
        <v>0</v>
      </c>
      <c r="R20" s="27" t="n">
        <f aca="false">IF(COUNT('Feijão 2ª safra'!$E18:$Z18)=0,0,MAX(0,IF((R$6-$E$3)&lt;1,0,IFERROR(LOOKUP(2,1/('Feijão 2ª safra'!$E18:INDEX('Feijão 2ª safra'!$E18:$Z18,MIN(R$6-$E$3,22))&lt;&gt;""),'Feijão 2ª safra'!$E18:INDEX('Feijão 2ª safra'!$E18:$Z18,MIN(R$6-$E$3,22))),0))-IF($G$2,0,IF((R$6-$G$3)&lt;1,0,IFERROR(LOOKUP(2,1/('Feijão 2ª safra'!$E18:INDEX('Feijão 2ª safra'!$E18:$Z18,MIN(R$6-$G$3,22))&lt;&gt;""),'Feijão 2ª safra'!$E18:INDEX('Feijão 2ª safra'!$E18:$Z18,MIN(R$6-$G$3,22))),0)))))</f>
        <v>0</v>
      </c>
      <c r="S20" s="27" t="n">
        <f aca="false">IF(COUNT('Feijão 2ª safra'!$E18:$Z18)=0,0,MAX(0,IF((S$6-$E$3)&lt;1,0,IFERROR(LOOKUP(2,1/('Feijão 2ª safra'!$E18:INDEX('Feijão 2ª safra'!$E18:$Z18,MIN(S$6-$E$3,22))&lt;&gt;""),'Feijão 2ª safra'!$E18:INDEX('Feijão 2ª safra'!$E18:$Z18,MIN(S$6-$E$3,22))),0))-IF($G$2,0,IF((S$6-$G$3)&lt;1,0,IFERROR(LOOKUP(2,1/('Feijão 2ª safra'!$E18:INDEX('Feijão 2ª safra'!$E18:$Z18,MIN(S$6-$G$3,22))&lt;&gt;""),'Feijão 2ª safra'!$E18:INDEX('Feijão 2ª safra'!$E18:$Z18,MIN(S$6-$G$3,22))),0)))))</f>
        <v>0</v>
      </c>
      <c r="T20" s="27" t="n">
        <f aca="false">IF(COUNT('Feijão 2ª safra'!$E18:$Z18)=0,0,MAX(0,IF((T$6-$E$3)&lt;1,0,IFERROR(LOOKUP(2,1/('Feijão 2ª safra'!$E18:INDEX('Feijão 2ª safra'!$E18:$Z18,MIN(T$6-$E$3,22))&lt;&gt;""),'Feijão 2ª safra'!$E18:INDEX('Feijão 2ª safra'!$E18:$Z18,MIN(T$6-$E$3,22))),0))-IF($G$2,0,IF((T$6-$G$3)&lt;1,0,IFERROR(LOOKUP(2,1/('Feijão 2ª safra'!$E18:INDEX('Feijão 2ª safra'!$E18:$Z18,MIN(T$6-$G$3,22))&lt;&gt;""),'Feijão 2ª safra'!$E18:INDEX('Feijão 2ª safra'!$E18:$Z18,MIN(T$6-$G$3,22))),0)))))</f>
        <v>0</v>
      </c>
      <c r="U20" s="27" t="n">
        <f aca="false">IF(COUNT('Feijão 2ª safra'!$E18:$Z18)=0,0,MAX(0,IF((U$6-$E$3)&lt;1,0,IFERROR(LOOKUP(2,1/('Feijão 2ª safra'!$E18:INDEX('Feijão 2ª safra'!$E18:$Z18,MIN(U$6-$E$3,22))&lt;&gt;""),'Feijão 2ª safra'!$E18:INDEX('Feijão 2ª safra'!$E18:$Z18,MIN(U$6-$E$3,22))),0))-IF($G$2,0,IF((U$6-$G$3)&lt;1,0,IFERROR(LOOKUP(2,1/('Feijão 2ª safra'!$E18:INDEX('Feijão 2ª safra'!$E18:$Z18,MIN(U$6-$G$3,22))&lt;&gt;""),'Feijão 2ª safra'!$E18:INDEX('Feijão 2ª safra'!$E18:$Z18,MIN(U$6-$G$3,22))),0)))))</f>
        <v>0</v>
      </c>
      <c r="V20" s="27" t="n">
        <f aca="false">IF(COUNT('Feijão 2ª safra'!$E18:$Z18)=0,0,MAX(0,IF((V$6-$E$3)&lt;1,0,IFERROR(LOOKUP(2,1/('Feijão 2ª safra'!$E18:INDEX('Feijão 2ª safra'!$E18:$Z18,MIN(V$6-$E$3,22))&lt;&gt;""),'Feijão 2ª safra'!$E18:INDEX('Feijão 2ª safra'!$E18:$Z18,MIN(V$6-$E$3,22))),0))-IF($G$2,0,IF((V$6-$G$3)&lt;1,0,IFERROR(LOOKUP(2,1/('Feijão 2ª safra'!$E18:INDEX('Feijão 2ª safra'!$E18:$Z18,MIN(V$6-$G$3,22))&lt;&gt;""),'Feijão 2ª safra'!$E18:INDEX('Feijão 2ª safra'!$E18:$Z18,MIN(V$6-$G$3,22))),0)))))</f>
        <v>0</v>
      </c>
      <c r="W20" s="27" t="n">
        <f aca="false">IF(COUNT('Feijão 2ª safra'!$E18:$Z18)=0,0,MAX(0,IF((W$6-$E$3)&lt;1,0,IFERROR(LOOKUP(2,1/('Feijão 2ª safra'!$E18:INDEX('Feijão 2ª safra'!$E18:$Z18,MIN(W$6-$E$3,22))&lt;&gt;""),'Feijão 2ª safra'!$E18:INDEX('Feijão 2ª safra'!$E18:$Z18,MIN(W$6-$E$3,22))),0))-IF($G$2,0,IF((W$6-$G$3)&lt;1,0,IFERROR(LOOKUP(2,1/('Feijão 2ª safra'!$E18:INDEX('Feijão 2ª safra'!$E18:$Z18,MIN(W$6-$G$3,22))&lt;&gt;""),'Feijão 2ª safra'!$E18:INDEX('Feijão 2ª safra'!$E18:$Z18,MIN(W$6-$G$3,22))),0)))))</f>
        <v>0</v>
      </c>
      <c r="X20" s="27" t="n">
        <f aca="false">IF(COUNT('Feijão 2ª safra'!$E18:$Z18)=0,0,MAX(0,IF((X$6-$E$3)&lt;1,0,IFERROR(LOOKUP(2,1/('Feijão 2ª safra'!$E18:INDEX('Feijão 2ª safra'!$E18:$Z18,MIN(X$6-$E$3,22))&lt;&gt;""),'Feijão 2ª safra'!$E18:INDEX('Feijão 2ª safra'!$E18:$Z18,MIN(X$6-$E$3,22))),0))-IF($G$2,0,IF((X$6-$G$3)&lt;1,0,IFERROR(LOOKUP(2,1/('Feijão 2ª safra'!$E18:INDEX('Feijão 2ª safra'!$E18:$Z18,MIN(X$6-$G$3,22))&lt;&gt;""),'Feijão 2ª safra'!$E18:INDEX('Feijão 2ª safra'!$E18:$Z18,MIN(X$6-$G$3,22))),0)))))</f>
        <v>0</v>
      </c>
      <c r="Y20" s="27" t="n">
        <f aca="false">IF(COUNT('Feijão 2ª safra'!$E18:$Z18)=0,0,MAX(0,IF((Y$6-$E$3)&lt;1,0,IFERROR(LOOKUP(2,1/('Feijão 2ª safra'!$E18:INDEX('Feijão 2ª safra'!$E18:$Z18,MIN(Y$6-$E$3,22))&lt;&gt;""),'Feijão 2ª safra'!$E18:INDEX('Feijão 2ª safra'!$E18:$Z18,MIN(Y$6-$E$3,22))),0))-IF($G$2,0,IF((Y$6-$G$3)&lt;1,0,IFERROR(LOOKUP(2,1/('Feijão 2ª safra'!$E18:INDEX('Feijão 2ª safra'!$E18:$Z18,MIN(Y$6-$G$3,22))&lt;&gt;""),'Feijão 2ª safra'!$E18:INDEX('Feijão 2ª safra'!$E18:$Z18,MIN(Y$6-$G$3,22))),0)))))</f>
        <v>0</v>
      </c>
      <c r="Z20" s="27" t="n">
        <f aca="false">IF(COUNT('Feijão 2ª safra'!$E18:$Z18)=0,0,MAX(0,IF((Z$6-$E$3)&lt;1,0,IFERROR(LOOKUP(2,1/('Feijão 2ª safra'!$E18:INDEX('Feijão 2ª safra'!$E18:$Z18,MIN(Z$6-$E$3,22))&lt;&gt;""),'Feijão 2ª safra'!$E18:INDEX('Feijão 2ª safra'!$E18:$Z18,MIN(Z$6-$E$3,22))),0))-IF($G$2,0,IF((Z$6-$G$3)&lt;1,0,IFERROR(LOOKUP(2,1/('Feijão 2ª safra'!$E18:INDEX('Feijão 2ª safra'!$E18:$Z18,MIN(Z$6-$G$3,22))&lt;&gt;""),'Feijão 2ª safra'!$E18:INDEX('Feijão 2ª safra'!$E18:$Z18,MIN(Z$6-$G$3,22))),0)))))</f>
        <v>0</v>
      </c>
      <c r="AA20" s="27" t="n">
        <f aca="false">IF(COUNT('Feijão 2ª safra'!$E18:$Z18)=0,0,MAX(0,IF((AA$6-$E$3)&lt;1,0,IFERROR(LOOKUP(2,1/('Feijão 2ª safra'!$E18:INDEX('Feijão 2ª safra'!$E18:$Z18,MIN(AA$6-$E$3,22))&lt;&gt;""),'Feijão 2ª safra'!$E18:INDEX('Feijão 2ª safra'!$E18:$Z18,MIN(AA$6-$E$3,22))),0))-IF($G$2,0,IF((AA$6-$G$3)&lt;1,0,IFERROR(LOOKUP(2,1/('Feijão 2ª safra'!$E18:INDEX('Feijão 2ª safra'!$E18:$Z18,MIN(AA$6-$G$3,22))&lt;&gt;""),'Feijão 2ª safra'!$E18:INDEX('Feijão 2ª safra'!$E18:$Z18,MIN(AA$6-$G$3,22))),0)))))</f>
        <v>0</v>
      </c>
      <c r="AB20" s="27" t="n">
        <f aca="false">IF(COUNT('Feijão 2ª safra'!$E18:$Z18)=0,0,MAX(0,IF((AB$6-$E$3)&lt;1,0,IFERROR(LOOKUP(2,1/('Feijão 2ª safra'!$E18:INDEX('Feijão 2ª safra'!$E18:$Z18,MIN(AB$6-$E$3,22))&lt;&gt;""),'Feijão 2ª safra'!$E18:INDEX('Feijão 2ª safra'!$E18:$Z18,MIN(AB$6-$E$3,22))),0))-IF($G$2,0,IF((AB$6-$G$3)&lt;1,0,IFERROR(LOOKUP(2,1/('Feijão 2ª safra'!$E18:INDEX('Feijão 2ª safra'!$E18:$Z18,MIN(AB$6-$G$3,22))&lt;&gt;""),'Feijão 2ª safra'!$E18:INDEX('Feijão 2ª safra'!$E18:$Z18,MIN(AB$6-$G$3,22))),0)))))</f>
        <v>0</v>
      </c>
      <c r="AC20" s="27" t="n">
        <f aca="false">IF(COUNT('Feijão 2ª safra'!$E18:$Z18)=0,0,MAX(0,IF((AC$6-$E$3)&lt;1,0,IFERROR(LOOKUP(2,1/('Feijão 2ª safra'!$E18:INDEX('Feijão 2ª safra'!$E18:$Z18,MIN(AC$6-$E$3,22))&lt;&gt;""),'Feijão 2ª safra'!$E18:INDEX('Feijão 2ª safra'!$E18:$Z18,MIN(AC$6-$E$3,22))),0))-IF($G$2,0,IF((AC$6-$G$3)&lt;1,0,IFERROR(LOOKUP(2,1/('Feijão 2ª safra'!$E18:INDEX('Feijão 2ª safra'!$E18:$Z18,MIN(AC$6-$G$3,22))&lt;&gt;""),'Feijão 2ª safra'!$E18:INDEX('Feijão 2ª safra'!$E18:$Z18,MIN(AC$6-$G$3,22))),0)))))</f>
        <v>0</v>
      </c>
      <c r="AD20" s="27" t="n">
        <f aca="false">IF(COUNT('Feijão 2ª safra'!$E18:$Z18)=0,0,MAX(0,IF((AD$6-$E$3)&lt;1,0,IFERROR(LOOKUP(2,1/('Feijão 2ª safra'!$E18:INDEX('Feijão 2ª safra'!$E18:$Z18,MIN(AD$6-$E$3,22))&lt;&gt;""),'Feijão 2ª safra'!$E18:INDEX('Feijão 2ª safra'!$E18:$Z18,MIN(AD$6-$E$3,22))),0))-IF($G$2,0,IF((AD$6-$G$3)&lt;1,0,IFERROR(LOOKUP(2,1/('Feijão 2ª safra'!$E18:INDEX('Feijão 2ª safra'!$E18:$Z18,MIN(AD$6-$G$3,22))&lt;&gt;""),'Feijão 2ª safra'!$E18:INDEX('Feijão 2ª safra'!$E18:$Z18,MIN(AD$6-$G$3,22))),0)))))</f>
        <v>0</v>
      </c>
      <c r="AE20" s="27" t="n">
        <f aca="false">IF(COUNT('Feijão 2ª safra'!$E18:$Z18)=0,0,MAX(0,IF((AE$6-$E$3)&lt;1,0,IFERROR(LOOKUP(2,1/('Feijão 2ª safra'!$E18:INDEX('Feijão 2ª safra'!$E18:$Z18,MIN(AE$6-$E$3,22))&lt;&gt;""),'Feijão 2ª safra'!$E18:INDEX('Feijão 2ª safra'!$E18:$Z18,MIN(AE$6-$E$3,22))),0))-IF($G$2,0,IF((AE$6-$G$3)&lt;1,0,IFERROR(LOOKUP(2,1/('Feijão 2ª safra'!$E18:INDEX('Feijão 2ª safra'!$E18:$Z18,MIN(AE$6-$G$3,22))&lt;&gt;""),'Feijão 2ª safra'!$E18:INDEX('Feijão 2ª safra'!$E18:$Z18,MIN(AE$6-$G$3,22))),0)))))</f>
        <v>0</v>
      </c>
      <c r="AF20" s="27" t="n">
        <f aca="false">IF(COUNT('Feijão 2ª safra'!$E18:$Z18)=0,0,MAX(0,IF((AF$6-$E$3)&lt;1,0,IFERROR(LOOKUP(2,1/('Feijão 2ª safra'!$E18:INDEX('Feijão 2ª safra'!$E18:$Z18,MIN(AF$6-$E$3,22))&lt;&gt;""),'Feijão 2ª safra'!$E18:INDEX('Feijão 2ª safra'!$E18:$Z18,MIN(AF$6-$E$3,22))),0))-IF($G$2,0,IF((AF$6-$G$3)&lt;1,0,IFERROR(LOOKUP(2,1/('Feijão 2ª safra'!$E18:INDEX('Feijão 2ª safra'!$E18:$Z18,MIN(AF$6-$G$3,22))&lt;&gt;""),'Feijão 2ª safra'!$E18:INDEX('Feijão 2ª safra'!$E18:$Z18,MIN(AF$6-$G$3,22))),0)))))</f>
        <v>0</v>
      </c>
      <c r="AG20" s="27" t="n">
        <f aca="false">IF(COUNT('Feijão 2ª safra'!$E18:$Z18)=0,0,MAX(0,IF((AG$6-$E$3)&lt;1,0,IFERROR(LOOKUP(2,1/('Feijão 2ª safra'!$E18:INDEX('Feijão 2ª safra'!$E18:$Z18,MIN(AG$6-$E$3,22))&lt;&gt;""),'Feijão 2ª safra'!$E18:INDEX('Feijão 2ª safra'!$E18:$Z18,MIN(AG$6-$E$3,22))),0))-IF($G$2,0,IF((AG$6-$G$3)&lt;1,0,IFERROR(LOOKUP(2,1/('Feijão 2ª safra'!$E18:INDEX('Feijão 2ª safra'!$E18:$Z18,MIN(AG$6-$G$3,22))&lt;&gt;""),'Feijão 2ª safra'!$E18:INDEX('Feijão 2ª safra'!$E18:$Z18,MIN(AG$6-$G$3,22))),0)))))</f>
        <v>0</v>
      </c>
      <c r="AH20" s="27" t="n">
        <f aca="false">IF(COUNT('Feijão 2ª safra'!$E18:$Z18)=0,0,MAX(0,IF((AH$6-$E$3)&lt;1,0,IFERROR(LOOKUP(2,1/('Feijão 2ª safra'!$E18:INDEX('Feijão 2ª safra'!$E18:$Z18,MIN(AH$6-$E$3,22))&lt;&gt;""),'Feijão 2ª safra'!$E18:INDEX('Feijão 2ª safra'!$E18:$Z18,MIN(AH$6-$E$3,22))),0))-IF($G$2,0,IF((AH$6-$G$3)&lt;1,0,IFERROR(LOOKUP(2,1/('Feijão 2ª safra'!$E18:INDEX('Feijão 2ª safra'!$E18:$Z18,MIN(AH$6-$G$3,22))&lt;&gt;""),'Feijão 2ª safra'!$E18:INDEX('Feijão 2ª safra'!$E18:$Z18,MIN(AH$6-$G$3,22))),0)))))</f>
        <v>0</v>
      </c>
      <c r="AI20" s="27" t="n">
        <f aca="false">IF(COUNT('Feijão 2ª safra'!$E18:$Z18)=0,0,MAX(0,IF((AI$6-$E$3)&lt;1,0,IFERROR(LOOKUP(2,1/('Feijão 2ª safra'!$E18:INDEX('Feijão 2ª safra'!$E18:$Z18,MIN(AI$6-$E$3,22))&lt;&gt;""),'Feijão 2ª safra'!$E18:INDEX('Feijão 2ª safra'!$E18:$Z18,MIN(AI$6-$E$3,22))),0))-IF($G$2,0,IF((AI$6-$G$3)&lt;1,0,IFERROR(LOOKUP(2,1/('Feijão 2ª safra'!$E18:INDEX('Feijão 2ª safra'!$E18:$Z18,MIN(AI$6-$G$3,22))&lt;&gt;""),'Feijão 2ª safra'!$E18:INDEX('Feijão 2ª safra'!$E18:$Z18,MIN(AI$6-$G$3,22))),0)))))</f>
        <v>0</v>
      </c>
      <c r="AJ20" s="27" t="n">
        <f aca="false">IF(COUNT('Feijão 2ª safra'!$E18:$Z18)=0,0,MAX(0,IF((AJ$6-$E$3)&lt;1,0,IFERROR(LOOKUP(2,1/('Feijão 2ª safra'!$E18:INDEX('Feijão 2ª safra'!$E18:$Z18,MIN(AJ$6-$E$3,22))&lt;&gt;""),'Feijão 2ª safra'!$E18:INDEX('Feijão 2ª safra'!$E18:$Z18,MIN(AJ$6-$E$3,22))),0))-IF($G$2,0,IF((AJ$6-$G$3)&lt;1,0,IFERROR(LOOKUP(2,1/('Feijão 2ª safra'!$E18:INDEX('Feijão 2ª safra'!$E18:$Z18,MIN(AJ$6-$G$3,22))&lt;&gt;""),'Feijão 2ª safra'!$E18:INDEX('Feijão 2ª safra'!$E18:$Z18,MIN(AJ$6-$G$3,22))),0)))))</f>
        <v>0</v>
      </c>
      <c r="AK20" s="27" t="n">
        <f aca="false">IF(COUNT('Feijão 2ª safra'!$E18:$Z18)=0,0,MAX(0,IF((AK$6-$E$3)&lt;1,0,IFERROR(LOOKUP(2,1/('Feijão 2ª safra'!$E18:INDEX('Feijão 2ª safra'!$E18:$Z18,MIN(AK$6-$E$3,22))&lt;&gt;""),'Feijão 2ª safra'!$E18:INDEX('Feijão 2ª safra'!$E18:$Z18,MIN(AK$6-$E$3,22))),0))-IF($G$2,0,IF((AK$6-$G$3)&lt;1,0,IFERROR(LOOKUP(2,1/('Feijão 2ª safra'!$E18:INDEX('Feijão 2ª safra'!$E18:$Z18,MIN(AK$6-$G$3,22))&lt;&gt;""),'Feijão 2ª safra'!$E18:INDEX('Feijão 2ª safra'!$E18:$Z18,MIN(AK$6-$G$3,22))),0)))))</f>
        <v>0</v>
      </c>
      <c r="AL20" s="27" t="n">
        <f aca="false">IF(COUNT('Feijão 2ª safra'!$E18:$Z18)=0,0,MAX(0,IF((AL$6-$E$3)&lt;1,0,IFERROR(LOOKUP(2,1/('Feijão 2ª safra'!$E18:INDEX('Feijão 2ª safra'!$E18:$Z18,MIN(AL$6-$E$3,22))&lt;&gt;""),'Feijão 2ª safra'!$E18:INDEX('Feijão 2ª safra'!$E18:$Z18,MIN(AL$6-$E$3,22))),0))-IF($G$2,0,IF((AL$6-$G$3)&lt;1,0,IFERROR(LOOKUP(2,1/('Feijão 2ª safra'!$E18:INDEX('Feijão 2ª safra'!$E18:$Z18,MIN(AL$6-$G$3,22))&lt;&gt;""),'Feijão 2ª safra'!$E18:INDEX('Feijão 2ª safra'!$E18:$Z18,MIN(AL$6-$G$3,22))),0)))))</f>
        <v>0</v>
      </c>
      <c r="AM20" s="27" t="n">
        <f aca="false">IF(COUNT('Feijão 2ª safra'!$E18:$Z18)=0,0,MAX(0,IF((AM$6-$E$3)&lt;1,0,IFERROR(LOOKUP(2,1/('Feijão 2ª safra'!$E18:INDEX('Feijão 2ª safra'!$E18:$Z18,MIN(AM$6-$E$3,22))&lt;&gt;""),'Feijão 2ª safra'!$E18:INDEX('Feijão 2ª safra'!$E18:$Z18,MIN(AM$6-$E$3,22))),0))-IF($G$2,0,IF((AM$6-$G$3)&lt;1,0,IFERROR(LOOKUP(2,1/('Feijão 2ª safra'!$E18:INDEX('Feijão 2ª safra'!$E18:$Z18,MIN(AM$6-$G$3,22))&lt;&gt;""),'Feijão 2ª safra'!$E18:INDEX('Feijão 2ª safra'!$E18:$Z18,MIN(AM$6-$G$3,22))),0)))))</f>
        <v>0</v>
      </c>
      <c r="AN20" s="27" t="n">
        <f aca="false">IF(COUNT('Feijão 2ª safra'!$E18:$Z18)=0,0,MAX(0,IF((AN$6-$E$3)&lt;1,0,IFERROR(LOOKUP(2,1/('Feijão 2ª safra'!$E18:INDEX('Feijão 2ª safra'!$E18:$Z18,MIN(AN$6-$E$3,22))&lt;&gt;""),'Feijão 2ª safra'!$E18:INDEX('Feijão 2ª safra'!$E18:$Z18,MIN(AN$6-$E$3,22))),0))-IF($G$2,0,IF((AN$6-$G$3)&lt;1,0,IFERROR(LOOKUP(2,1/('Feijão 2ª safra'!$E18:INDEX('Feijão 2ª safra'!$E18:$Z18,MIN(AN$6-$G$3,22))&lt;&gt;""),'Feijão 2ª safra'!$E18:INDEX('Feijão 2ª safra'!$E18:$Z18,MIN(AN$6-$G$3,22))),0)))))</f>
        <v>0</v>
      </c>
      <c r="AO20" s="27" t="n">
        <f aca="false">IF(COUNT('Feijão 2ª safra'!$E18:$Z18)=0,0,MAX(0,IF((AO$6-$E$3)&lt;1,0,IFERROR(LOOKUP(2,1/('Feijão 2ª safra'!$E18:INDEX('Feijão 2ª safra'!$E18:$Z18,MIN(AO$6-$E$3,22))&lt;&gt;""),'Feijão 2ª safra'!$E18:INDEX('Feijão 2ª safra'!$E18:$Z18,MIN(AO$6-$E$3,22))),0))-IF($G$2,0,IF((AO$6-$G$3)&lt;1,0,IFERROR(LOOKUP(2,1/('Feijão 2ª safra'!$E18:INDEX('Feijão 2ª safra'!$E18:$Z18,MIN(AO$6-$G$3,22))&lt;&gt;""),'Feijão 2ª safra'!$E18:INDEX('Feijão 2ª safra'!$E18:$Z18,MIN(AO$6-$G$3,22))),0)))))</f>
        <v>0</v>
      </c>
      <c r="AP20" s="27" t="n">
        <f aca="false">IF(COUNT('Feijão 2ª safra'!$E18:$Z18)=0,0,MAX(0,IF((AP$6-$E$3)&lt;1,0,IFERROR(LOOKUP(2,1/('Feijão 2ª safra'!$E18:INDEX('Feijão 2ª safra'!$E18:$Z18,MIN(AP$6-$E$3,22))&lt;&gt;""),'Feijão 2ª safra'!$E18:INDEX('Feijão 2ª safra'!$E18:$Z18,MIN(AP$6-$E$3,22))),0))-IF($G$2,0,IF((AP$6-$G$3)&lt;1,0,IFERROR(LOOKUP(2,1/('Feijão 2ª safra'!$E18:INDEX('Feijão 2ª safra'!$E18:$Z18,MIN(AP$6-$G$3,22))&lt;&gt;""),'Feijão 2ª safra'!$E18:INDEX('Feijão 2ª safra'!$E18:$Z18,MIN(AP$6-$G$3,22))),0)))))</f>
        <v>0</v>
      </c>
      <c r="AQ20" s="27" t="n">
        <f aca="false">IF(COUNT('Feijão 2ª safra'!$E18:$Z18)=0,0,MAX(0,IF((AQ$6-$E$3)&lt;1,0,IFERROR(LOOKUP(2,1/('Feijão 2ª safra'!$E18:INDEX('Feijão 2ª safra'!$E18:$Z18,MIN(AQ$6-$E$3,22))&lt;&gt;""),'Feijão 2ª safra'!$E18:INDEX('Feijão 2ª safra'!$E18:$Z18,MIN(AQ$6-$E$3,22))),0))-IF($G$2,0,IF((AQ$6-$G$3)&lt;1,0,IFERROR(LOOKUP(2,1/('Feijão 2ª safra'!$E18:INDEX('Feijão 2ª safra'!$E18:$Z18,MIN(AQ$6-$G$3,22))&lt;&gt;""),'Feijão 2ª safra'!$E18:INDEX('Feijão 2ª safra'!$E18:$Z18,MIN(AQ$6-$G$3,22))),0)))))</f>
        <v>0</v>
      </c>
      <c r="AR20" s="27" t="n">
        <f aca="false">IF(COUNT('Feijão 2ª safra'!$E18:$Z18)=0,0,MAX(0,IF((AR$6-$E$3)&lt;1,0,IFERROR(LOOKUP(2,1/('Feijão 2ª safra'!$E18:INDEX('Feijão 2ª safra'!$E18:$Z18,MIN(AR$6-$E$3,22))&lt;&gt;""),'Feijão 2ª safra'!$E18:INDEX('Feijão 2ª safra'!$E18:$Z18,MIN(AR$6-$E$3,22))),0))-IF($G$2,0,IF((AR$6-$G$3)&lt;1,0,IFERROR(LOOKUP(2,1/('Feijão 2ª safra'!$E18:INDEX('Feijão 2ª safra'!$E18:$Z18,MIN(AR$6-$G$3,22))&lt;&gt;""),'Feijão 2ª safra'!$E18:INDEX('Feijão 2ª safra'!$E18:$Z18,MIN(AR$6-$G$3,22))),0)))))</f>
        <v>0</v>
      </c>
      <c r="AS20" s="27" t="n">
        <f aca="false">IF(COUNT('Feijão 2ª safra'!$E18:$Z18)=0,0,MAX(0,IF((AS$6-$E$3)&lt;1,0,IFERROR(LOOKUP(2,1/('Feijão 2ª safra'!$E18:INDEX('Feijão 2ª safra'!$E18:$Z18,MIN(AS$6-$E$3,22))&lt;&gt;""),'Feijão 2ª safra'!$E18:INDEX('Feijão 2ª safra'!$E18:$Z18,MIN(AS$6-$E$3,22))),0))-IF($G$2,0,IF((AS$6-$G$3)&lt;1,0,IFERROR(LOOKUP(2,1/('Feijão 2ª safra'!$E18:INDEX('Feijão 2ª safra'!$E18:$Z18,MIN(AS$6-$G$3,22))&lt;&gt;""),'Feijão 2ª safra'!$E18:INDEX('Feijão 2ª safra'!$E18:$Z18,MIN(AS$6-$G$3,22))),0)))))</f>
        <v>0</v>
      </c>
      <c r="AT20" s="27" t="n">
        <f aca="false">IF(COUNT('Feijão 2ª safra'!$E18:$Z18)=0,0,MAX(0,IF((AT$6-$E$3)&lt;1,0,IFERROR(LOOKUP(2,1/('Feijão 2ª safra'!$E18:INDEX('Feijão 2ª safra'!$E18:$Z18,MIN(AT$6-$E$3,22))&lt;&gt;""),'Feijão 2ª safra'!$E18:INDEX('Feijão 2ª safra'!$E18:$Z18,MIN(AT$6-$E$3,22))),0))-IF($G$2,0,IF((AT$6-$G$3)&lt;1,0,IFERROR(LOOKUP(2,1/('Feijão 2ª safra'!$E18:INDEX('Feijão 2ª safra'!$E18:$Z18,MIN(AT$6-$G$3,22))&lt;&gt;""),'Feijão 2ª safra'!$E18:INDEX('Feijão 2ª safra'!$E18:$Z18,MIN(AT$6-$G$3,22))),0)))))</f>
        <v>0</v>
      </c>
      <c r="AU20" s="27" t="n">
        <f aca="false">IF(COUNT('Feijão 2ª safra'!$E18:$Z18)=0,0,MAX(0,IF((AU$6-$E$3)&lt;1,0,IFERROR(LOOKUP(2,1/('Feijão 2ª safra'!$E18:INDEX('Feijão 2ª safra'!$E18:$Z18,MIN(AU$6-$E$3,22))&lt;&gt;""),'Feijão 2ª safra'!$E18:INDEX('Feijão 2ª safra'!$E18:$Z18,MIN(AU$6-$E$3,22))),0))-IF($G$2,0,IF((AU$6-$G$3)&lt;1,0,IFERROR(LOOKUP(2,1/('Feijão 2ª safra'!$E18:INDEX('Feijão 2ª safra'!$E18:$Z18,MIN(AU$6-$G$3,22))&lt;&gt;""),'Feijão 2ª safra'!$E18:INDEX('Feijão 2ª safra'!$E18:$Z18,MIN(AU$6-$G$3,22))),0)))))</f>
        <v>0</v>
      </c>
      <c r="AV20" s="27" t="n">
        <f aca="false">IF(COUNT('Feijão 2ª safra'!$E18:$Z18)=0,0,MAX(0,IF((AV$6-$E$3)&lt;1,0,IFERROR(LOOKUP(2,1/('Feijão 2ª safra'!$E18:INDEX('Feijão 2ª safra'!$E18:$Z18,MIN(AV$6-$E$3,22))&lt;&gt;""),'Feijão 2ª safra'!$E18:INDEX('Feijão 2ª safra'!$E18:$Z18,MIN(AV$6-$E$3,22))),0))-IF($G$2,0,IF((AV$6-$G$3)&lt;1,0,IFERROR(LOOKUP(2,1/('Feijão 2ª safra'!$E18:INDEX('Feijão 2ª safra'!$E18:$Z18,MIN(AV$6-$G$3,22))&lt;&gt;""),'Feijão 2ª safra'!$E18:INDEX('Feijão 2ª safra'!$E18:$Z18,MIN(AV$6-$G$3,22))),0)))))</f>
        <v>0</v>
      </c>
      <c r="AW20" s="27" t="n">
        <f aca="false">IF(COUNT('Feijão 2ª safra'!$E18:$Z18)=0,0,MAX(0,IF((AW$6-$E$3)&lt;1,0,IFERROR(LOOKUP(2,1/('Feijão 2ª safra'!$E18:INDEX('Feijão 2ª safra'!$E18:$Z18,MIN(AW$6-$E$3,22))&lt;&gt;""),'Feijão 2ª safra'!$E18:INDEX('Feijão 2ª safra'!$E18:$Z18,MIN(AW$6-$E$3,22))),0))-IF($G$2,0,IF((AW$6-$G$3)&lt;1,0,IFERROR(LOOKUP(2,1/('Feijão 2ª safra'!$E18:INDEX('Feijão 2ª safra'!$E18:$Z18,MIN(AW$6-$G$3,22))&lt;&gt;""),'Feijão 2ª safra'!$E18:INDEX('Feijão 2ª safra'!$E18:$Z18,MIN(AW$6-$G$3,22))),0)))))</f>
        <v>0</v>
      </c>
      <c r="AX20" s="27" t="n">
        <f aca="false">IF(COUNT('Feijão 2ª safra'!$E18:$Z18)=0,0,MAX(0,IF((AX$6-$E$3)&lt;1,0,IFERROR(LOOKUP(2,1/('Feijão 2ª safra'!$E18:INDEX('Feijão 2ª safra'!$E18:$Z18,MIN(AX$6-$E$3,22))&lt;&gt;""),'Feijão 2ª safra'!$E18:INDEX('Feijão 2ª safra'!$E18:$Z18,MIN(AX$6-$E$3,22))),0))-IF($G$2,0,IF((AX$6-$G$3)&lt;1,0,IFERROR(LOOKUP(2,1/('Feijão 2ª safra'!$E18:INDEX('Feijão 2ª safra'!$E18:$Z18,MIN(AX$6-$G$3,22))&lt;&gt;""),'Feijão 2ª safra'!$E18:INDEX('Feijão 2ª safra'!$E18:$Z18,MIN(AX$6-$G$3,22))),0)))))</f>
        <v>0</v>
      </c>
      <c r="AY20" s="27" t="n">
        <f aca="false">IF(COUNT('Feijão 2ª safra'!$E18:$Z18)=0,0,MAX(0,IF((AY$6-$E$3)&lt;1,0,IFERROR(LOOKUP(2,1/('Feijão 2ª safra'!$E18:INDEX('Feijão 2ª safra'!$E18:$Z18,MIN(AY$6-$E$3,22))&lt;&gt;""),'Feijão 2ª safra'!$E18:INDEX('Feijão 2ª safra'!$E18:$Z18,MIN(AY$6-$E$3,22))),0))-IF($G$2,0,IF((AY$6-$G$3)&lt;1,0,IFERROR(LOOKUP(2,1/('Feijão 2ª safra'!$E18:INDEX('Feijão 2ª safra'!$E18:$Z18,MIN(AY$6-$G$3,22))&lt;&gt;""),'Feijão 2ª safra'!$E18:INDEX('Feijão 2ª safra'!$E18:$Z18,MIN(AY$6-$G$3,22))),0)))))</f>
        <v>0</v>
      </c>
      <c r="AZ20" s="27" t="n">
        <f aca="false">IF(COUNT('Feijão 2ª safra'!$E18:$Z18)=0,0,MAX(0,IF((AZ$6-$E$3)&lt;1,0,IFERROR(LOOKUP(2,1/('Feijão 2ª safra'!$E18:INDEX('Feijão 2ª safra'!$E18:$Z18,MIN(AZ$6-$E$3,22))&lt;&gt;""),'Feijão 2ª safra'!$E18:INDEX('Feijão 2ª safra'!$E18:$Z18,MIN(AZ$6-$E$3,22))),0))-IF($G$2,0,IF((AZ$6-$G$3)&lt;1,0,IFERROR(LOOKUP(2,1/('Feijão 2ª safra'!$E18:INDEX('Feijão 2ª safra'!$E18:$Z18,MIN(AZ$6-$G$3,22))&lt;&gt;""),'Feijão 2ª safra'!$E18:INDEX('Feijão 2ª safra'!$E18:$Z18,MIN(AZ$6-$G$3,22))),0)))))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IF(COUNT('Feijão 2ª safra'!$E19:$Z19)&gt;0,N('Feijão 2ª safra'!$D19),0)</f>
        <v>0</v>
      </c>
      <c r="E21" s="27" t="n">
        <f aca="false">IF(COUNT('Feijão 2ª safra'!$E19:$Z19)=0,0,MAX(0,IF((E$6-$E$3)&lt;1,0,IFERROR(LOOKUP(2,1/('Feijão 2ª safra'!$E19:INDEX('Feijão 2ª safra'!$E19:$Z19,MIN(E$6-$E$3,22))&lt;&gt;""),'Feijão 2ª safra'!$E19:INDEX('Feijão 2ª safra'!$E19:$Z19,MIN(E$6-$E$3,22))),0))-IF($G$2,0,IF((E$6-$G$3)&lt;1,0,IFERROR(LOOKUP(2,1/('Feijão 2ª safra'!$E19:INDEX('Feijão 2ª safra'!$E19:$Z19,MIN(E$6-$G$3,22))&lt;&gt;""),'Feijão 2ª safra'!$E19:INDEX('Feijão 2ª safra'!$E19:$Z19,MIN(E$6-$G$3,22))),0)))))</f>
        <v>0</v>
      </c>
      <c r="F21" s="27" t="n">
        <f aca="false">IF(COUNT('Feijão 2ª safra'!$E19:$Z19)=0,0,MAX(0,IF((F$6-$E$3)&lt;1,0,IFERROR(LOOKUP(2,1/('Feijão 2ª safra'!$E19:INDEX('Feijão 2ª safra'!$E19:$Z19,MIN(F$6-$E$3,22))&lt;&gt;""),'Feijão 2ª safra'!$E19:INDEX('Feijão 2ª safra'!$E19:$Z19,MIN(F$6-$E$3,22))),0))-IF($G$2,0,IF((F$6-$G$3)&lt;1,0,IFERROR(LOOKUP(2,1/('Feijão 2ª safra'!$E19:INDEX('Feijão 2ª safra'!$E19:$Z19,MIN(F$6-$G$3,22))&lt;&gt;""),'Feijão 2ª safra'!$E19:INDEX('Feijão 2ª safra'!$E19:$Z19,MIN(F$6-$G$3,22))),0)))))</f>
        <v>0</v>
      </c>
      <c r="G21" s="27" t="n">
        <f aca="false">IF(COUNT('Feijão 2ª safra'!$E19:$Z19)=0,0,MAX(0,IF((G$6-$E$3)&lt;1,0,IFERROR(LOOKUP(2,1/('Feijão 2ª safra'!$E19:INDEX('Feijão 2ª safra'!$E19:$Z19,MIN(G$6-$E$3,22))&lt;&gt;""),'Feijão 2ª safra'!$E19:INDEX('Feijão 2ª safra'!$E19:$Z19,MIN(G$6-$E$3,22))),0))-IF($G$2,0,IF((G$6-$G$3)&lt;1,0,IFERROR(LOOKUP(2,1/('Feijão 2ª safra'!$E19:INDEX('Feijão 2ª safra'!$E19:$Z19,MIN(G$6-$G$3,22))&lt;&gt;""),'Feijão 2ª safra'!$E19:INDEX('Feijão 2ª safra'!$E19:$Z19,MIN(G$6-$G$3,22))),0)))))</f>
        <v>0</v>
      </c>
      <c r="H21" s="27" t="n">
        <f aca="false">IF(COUNT('Feijão 2ª safra'!$E19:$Z19)=0,0,MAX(0,IF((H$6-$E$3)&lt;1,0,IFERROR(LOOKUP(2,1/('Feijão 2ª safra'!$E19:INDEX('Feijão 2ª safra'!$E19:$Z19,MIN(H$6-$E$3,22))&lt;&gt;""),'Feijão 2ª safra'!$E19:INDEX('Feijão 2ª safra'!$E19:$Z19,MIN(H$6-$E$3,22))),0))-IF($G$2,0,IF((H$6-$G$3)&lt;1,0,IFERROR(LOOKUP(2,1/('Feijão 2ª safra'!$E19:INDEX('Feijão 2ª safra'!$E19:$Z19,MIN(H$6-$G$3,22))&lt;&gt;""),'Feijão 2ª safra'!$E19:INDEX('Feijão 2ª safra'!$E19:$Z19,MIN(H$6-$G$3,22))),0)))))</f>
        <v>0</v>
      </c>
      <c r="I21" s="27" t="n">
        <f aca="false">IF(COUNT('Feijão 2ª safra'!$E19:$Z19)=0,0,MAX(0,IF((I$6-$E$3)&lt;1,0,IFERROR(LOOKUP(2,1/('Feijão 2ª safra'!$E19:INDEX('Feijão 2ª safra'!$E19:$Z19,MIN(I$6-$E$3,22))&lt;&gt;""),'Feijão 2ª safra'!$E19:INDEX('Feijão 2ª safra'!$E19:$Z19,MIN(I$6-$E$3,22))),0))-IF($G$2,0,IF((I$6-$G$3)&lt;1,0,IFERROR(LOOKUP(2,1/('Feijão 2ª safra'!$E19:INDEX('Feijão 2ª safra'!$E19:$Z19,MIN(I$6-$G$3,22))&lt;&gt;""),'Feijão 2ª safra'!$E19:INDEX('Feijão 2ª safra'!$E19:$Z19,MIN(I$6-$G$3,22))),0)))))</f>
        <v>0</v>
      </c>
      <c r="J21" s="27" t="n">
        <f aca="false">IF(COUNT('Feijão 2ª safra'!$E19:$Z19)=0,0,MAX(0,IF((J$6-$E$3)&lt;1,0,IFERROR(LOOKUP(2,1/('Feijão 2ª safra'!$E19:INDEX('Feijão 2ª safra'!$E19:$Z19,MIN(J$6-$E$3,22))&lt;&gt;""),'Feijão 2ª safra'!$E19:INDEX('Feijão 2ª safra'!$E19:$Z19,MIN(J$6-$E$3,22))),0))-IF($G$2,0,IF((J$6-$G$3)&lt;1,0,IFERROR(LOOKUP(2,1/('Feijão 2ª safra'!$E19:INDEX('Feijão 2ª safra'!$E19:$Z19,MIN(J$6-$G$3,22))&lt;&gt;""),'Feijão 2ª safra'!$E19:INDEX('Feijão 2ª safra'!$E19:$Z19,MIN(J$6-$G$3,22))),0)))))</f>
        <v>0</v>
      </c>
      <c r="K21" s="27" t="n">
        <f aca="false">IF(COUNT('Feijão 2ª safra'!$E19:$Z19)=0,0,MAX(0,IF((K$6-$E$3)&lt;1,0,IFERROR(LOOKUP(2,1/('Feijão 2ª safra'!$E19:INDEX('Feijão 2ª safra'!$E19:$Z19,MIN(K$6-$E$3,22))&lt;&gt;""),'Feijão 2ª safra'!$E19:INDEX('Feijão 2ª safra'!$E19:$Z19,MIN(K$6-$E$3,22))),0))-IF($G$2,0,IF((K$6-$G$3)&lt;1,0,IFERROR(LOOKUP(2,1/('Feijão 2ª safra'!$E19:INDEX('Feijão 2ª safra'!$E19:$Z19,MIN(K$6-$G$3,22))&lt;&gt;""),'Feijão 2ª safra'!$E19:INDEX('Feijão 2ª safra'!$E19:$Z19,MIN(K$6-$G$3,22))),0)))))</f>
        <v>0</v>
      </c>
      <c r="L21" s="27" t="n">
        <f aca="false">IF(COUNT('Feijão 2ª safra'!$E19:$Z19)=0,0,MAX(0,IF((L$6-$E$3)&lt;1,0,IFERROR(LOOKUP(2,1/('Feijão 2ª safra'!$E19:INDEX('Feijão 2ª safra'!$E19:$Z19,MIN(L$6-$E$3,22))&lt;&gt;""),'Feijão 2ª safra'!$E19:INDEX('Feijão 2ª safra'!$E19:$Z19,MIN(L$6-$E$3,22))),0))-IF($G$2,0,IF((L$6-$G$3)&lt;1,0,IFERROR(LOOKUP(2,1/('Feijão 2ª safra'!$E19:INDEX('Feijão 2ª safra'!$E19:$Z19,MIN(L$6-$G$3,22))&lt;&gt;""),'Feijão 2ª safra'!$E19:INDEX('Feijão 2ª safra'!$E19:$Z19,MIN(L$6-$G$3,22))),0)))))</f>
        <v>0</v>
      </c>
      <c r="M21" s="27" t="n">
        <f aca="false">IF(COUNT('Feijão 2ª safra'!$E19:$Z19)=0,0,MAX(0,IF((M$6-$E$3)&lt;1,0,IFERROR(LOOKUP(2,1/('Feijão 2ª safra'!$E19:INDEX('Feijão 2ª safra'!$E19:$Z19,MIN(M$6-$E$3,22))&lt;&gt;""),'Feijão 2ª safra'!$E19:INDEX('Feijão 2ª safra'!$E19:$Z19,MIN(M$6-$E$3,22))),0))-IF($G$2,0,IF((M$6-$G$3)&lt;1,0,IFERROR(LOOKUP(2,1/('Feijão 2ª safra'!$E19:INDEX('Feijão 2ª safra'!$E19:$Z19,MIN(M$6-$G$3,22))&lt;&gt;""),'Feijão 2ª safra'!$E19:INDEX('Feijão 2ª safra'!$E19:$Z19,MIN(M$6-$G$3,22))),0)))))</f>
        <v>0</v>
      </c>
      <c r="N21" s="27" t="n">
        <f aca="false">IF(COUNT('Feijão 2ª safra'!$E19:$Z19)=0,0,MAX(0,IF((N$6-$E$3)&lt;1,0,IFERROR(LOOKUP(2,1/('Feijão 2ª safra'!$E19:INDEX('Feijão 2ª safra'!$E19:$Z19,MIN(N$6-$E$3,22))&lt;&gt;""),'Feijão 2ª safra'!$E19:INDEX('Feijão 2ª safra'!$E19:$Z19,MIN(N$6-$E$3,22))),0))-IF($G$2,0,IF((N$6-$G$3)&lt;1,0,IFERROR(LOOKUP(2,1/('Feijão 2ª safra'!$E19:INDEX('Feijão 2ª safra'!$E19:$Z19,MIN(N$6-$G$3,22))&lt;&gt;""),'Feijão 2ª safra'!$E19:INDEX('Feijão 2ª safra'!$E19:$Z19,MIN(N$6-$G$3,22))),0)))))</f>
        <v>0</v>
      </c>
      <c r="O21" s="27" t="n">
        <f aca="false">IF(COUNT('Feijão 2ª safra'!$E19:$Z19)=0,0,MAX(0,IF((O$6-$E$3)&lt;1,0,IFERROR(LOOKUP(2,1/('Feijão 2ª safra'!$E19:INDEX('Feijão 2ª safra'!$E19:$Z19,MIN(O$6-$E$3,22))&lt;&gt;""),'Feijão 2ª safra'!$E19:INDEX('Feijão 2ª safra'!$E19:$Z19,MIN(O$6-$E$3,22))),0))-IF($G$2,0,IF((O$6-$G$3)&lt;1,0,IFERROR(LOOKUP(2,1/('Feijão 2ª safra'!$E19:INDEX('Feijão 2ª safra'!$E19:$Z19,MIN(O$6-$G$3,22))&lt;&gt;""),'Feijão 2ª safra'!$E19:INDEX('Feijão 2ª safra'!$E19:$Z19,MIN(O$6-$G$3,22))),0)))))</f>
        <v>0</v>
      </c>
      <c r="P21" s="27" t="n">
        <f aca="false">IF(COUNT('Feijão 2ª safra'!$E19:$Z19)=0,0,MAX(0,IF((P$6-$E$3)&lt;1,0,IFERROR(LOOKUP(2,1/('Feijão 2ª safra'!$E19:INDEX('Feijão 2ª safra'!$E19:$Z19,MIN(P$6-$E$3,22))&lt;&gt;""),'Feijão 2ª safra'!$E19:INDEX('Feijão 2ª safra'!$E19:$Z19,MIN(P$6-$E$3,22))),0))-IF($G$2,0,IF((P$6-$G$3)&lt;1,0,IFERROR(LOOKUP(2,1/('Feijão 2ª safra'!$E19:INDEX('Feijão 2ª safra'!$E19:$Z19,MIN(P$6-$G$3,22))&lt;&gt;""),'Feijão 2ª safra'!$E19:INDEX('Feijão 2ª safra'!$E19:$Z19,MIN(P$6-$G$3,22))),0)))))</f>
        <v>0</v>
      </c>
      <c r="Q21" s="27" t="n">
        <f aca="false">IF(COUNT('Feijão 2ª safra'!$E19:$Z19)=0,0,MAX(0,IF((Q$6-$E$3)&lt;1,0,IFERROR(LOOKUP(2,1/('Feijão 2ª safra'!$E19:INDEX('Feijão 2ª safra'!$E19:$Z19,MIN(Q$6-$E$3,22))&lt;&gt;""),'Feijão 2ª safra'!$E19:INDEX('Feijão 2ª safra'!$E19:$Z19,MIN(Q$6-$E$3,22))),0))-IF($G$2,0,IF((Q$6-$G$3)&lt;1,0,IFERROR(LOOKUP(2,1/('Feijão 2ª safra'!$E19:INDEX('Feijão 2ª safra'!$E19:$Z19,MIN(Q$6-$G$3,22))&lt;&gt;""),'Feijão 2ª safra'!$E19:INDEX('Feijão 2ª safra'!$E19:$Z19,MIN(Q$6-$G$3,22))),0)))))</f>
        <v>0</v>
      </c>
      <c r="R21" s="27" t="n">
        <f aca="false">IF(COUNT('Feijão 2ª safra'!$E19:$Z19)=0,0,MAX(0,IF((R$6-$E$3)&lt;1,0,IFERROR(LOOKUP(2,1/('Feijão 2ª safra'!$E19:INDEX('Feijão 2ª safra'!$E19:$Z19,MIN(R$6-$E$3,22))&lt;&gt;""),'Feijão 2ª safra'!$E19:INDEX('Feijão 2ª safra'!$E19:$Z19,MIN(R$6-$E$3,22))),0))-IF($G$2,0,IF((R$6-$G$3)&lt;1,0,IFERROR(LOOKUP(2,1/('Feijão 2ª safra'!$E19:INDEX('Feijão 2ª safra'!$E19:$Z19,MIN(R$6-$G$3,22))&lt;&gt;""),'Feijão 2ª safra'!$E19:INDEX('Feijão 2ª safra'!$E19:$Z19,MIN(R$6-$G$3,22))),0)))))</f>
        <v>0</v>
      </c>
      <c r="S21" s="27" t="n">
        <f aca="false">IF(COUNT('Feijão 2ª safra'!$E19:$Z19)=0,0,MAX(0,IF((S$6-$E$3)&lt;1,0,IFERROR(LOOKUP(2,1/('Feijão 2ª safra'!$E19:INDEX('Feijão 2ª safra'!$E19:$Z19,MIN(S$6-$E$3,22))&lt;&gt;""),'Feijão 2ª safra'!$E19:INDEX('Feijão 2ª safra'!$E19:$Z19,MIN(S$6-$E$3,22))),0))-IF($G$2,0,IF((S$6-$G$3)&lt;1,0,IFERROR(LOOKUP(2,1/('Feijão 2ª safra'!$E19:INDEX('Feijão 2ª safra'!$E19:$Z19,MIN(S$6-$G$3,22))&lt;&gt;""),'Feijão 2ª safra'!$E19:INDEX('Feijão 2ª safra'!$E19:$Z19,MIN(S$6-$G$3,22))),0)))))</f>
        <v>0</v>
      </c>
      <c r="T21" s="27" t="n">
        <f aca="false">IF(COUNT('Feijão 2ª safra'!$E19:$Z19)=0,0,MAX(0,IF((T$6-$E$3)&lt;1,0,IFERROR(LOOKUP(2,1/('Feijão 2ª safra'!$E19:INDEX('Feijão 2ª safra'!$E19:$Z19,MIN(T$6-$E$3,22))&lt;&gt;""),'Feijão 2ª safra'!$E19:INDEX('Feijão 2ª safra'!$E19:$Z19,MIN(T$6-$E$3,22))),0))-IF($G$2,0,IF((T$6-$G$3)&lt;1,0,IFERROR(LOOKUP(2,1/('Feijão 2ª safra'!$E19:INDEX('Feijão 2ª safra'!$E19:$Z19,MIN(T$6-$G$3,22))&lt;&gt;""),'Feijão 2ª safra'!$E19:INDEX('Feijão 2ª safra'!$E19:$Z19,MIN(T$6-$G$3,22))),0)))))</f>
        <v>0</v>
      </c>
      <c r="U21" s="27" t="n">
        <f aca="false">IF(COUNT('Feijão 2ª safra'!$E19:$Z19)=0,0,MAX(0,IF((U$6-$E$3)&lt;1,0,IFERROR(LOOKUP(2,1/('Feijão 2ª safra'!$E19:INDEX('Feijão 2ª safra'!$E19:$Z19,MIN(U$6-$E$3,22))&lt;&gt;""),'Feijão 2ª safra'!$E19:INDEX('Feijão 2ª safra'!$E19:$Z19,MIN(U$6-$E$3,22))),0))-IF($G$2,0,IF((U$6-$G$3)&lt;1,0,IFERROR(LOOKUP(2,1/('Feijão 2ª safra'!$E19:INDEX('Feijão 2ª safra'!$E19:$Z19,MIN(U$6-$G$3,22))&lt;&gt;""),'Feijão 2ª safra'!$E19:INDEX('Feijão 2ª safra'!$E19:$Z19,MIN(U$6-$G$3,22))),0)))))</f>
        <v>0</v>
      </c>
      <c r="V21" s="27" t="n">
        <f aca="false">IF(COUNT('Feijão 2ª safra'!$E19:$Z19)=0,0,MAX(0,IF((V$6-$E$3)&lt;1,0,IFERROR(LOOKUP(2,1/('Feijão 2ª safra'!$E19:INDEX('Feijão 2ª safra'!$E19:$Z19,MIN(V$6-$E$3,22))&lt;&gt;""),'Feijão 2ª safra'!$E19:INDEX('Feijão 2ª safra'!$E19:$Z19,MIN(V$6-$E$3,22))),0))-IF($G$2,0,IF((V$6-$G$3)&lt;1,0,IFERROR(LOOKUP(2,1/('Feijão 2ª safra'!$E19:INDEX('Feijão 2ª safra'!$E19:$Z19,MIN(V$6-$G$3,22))&lt;&gt;""),'Feijão 2ª safra'!$E19:INDEX('Feijão 2ª safra'!$E19:$Z19,MIN(V$6-$G$3,22))),0)))))</f>
        <v>0</v>
      </c>
      <c r="W21" s="27" t="n">
        <f aca="false">IF(COUNT('Feijão 2ª safra'!$E19:$Z19)=0,0,MAX(0,IF((W$6-$E$3)&lt;1,0,IFERROR(LOOKUP(2,1/('Feijão 2ª safra'!$E19:INDEX('Feijão 2ª safra'!$E19:$Z19,MIN(W$6-$E$3,22))&lt;&gt;""),'Feijão 2ª safra'!$E19:INDEX('Feijão 2ª safra'!$E19:$Z19,MIN(W$6-$E$3,22))),0))-IF($G$2,0,IF((W$6-$G$3)&lt;1,0,IFERROR(LOOKUP(2,1/('Feijão 2ª safra'!$E19:INDEX('Feijão 2ª safra'!$E19:$Z19,MIN(W$6-$G$3,22))&lt;&gt;""),'Feijão 2ª safra'!$E19:INDEX('Feijão 2ª safra'!$E19:$Z19,MIN(W$6-$G$3,22))),0)))))</f>
        <v>0</v>
      </c>
      <c r="X21" s="27" t="n">
        <f aca="false">IF(COUNT('Feijão 2ª safra'!$E19:$Z19)=0,0,MAX(0,IF((X$6-$E$3)&lt;1,0,IFERROR(LOOKUP(2,1/('Feijão 2ª safra'!$E19:INDEX('Feijão 2ª safra'!$E19:$Z19,MIN(X$6-$E$3,22))&lt;&gt;""),'Feijão 2ª safra'!$E19:INDEX('Feijão 2ª safra'!$E19:$Z19,MIN(X$6-$E$3,22))),0))-IF($G$2,0,IF((X$6-$G$3)&lt;1,0,IFERROR(LOOKUP(2,1/('Feijão 2ª safra'!$E19:INDEX('Feijão 2ª safra'!$E19:$Z19,MIN(X$6-$G$3,22))&lt;&gt;""),'Feijão 2ª safra'!$E19:INDEX('Feijão 2ª safra'!$E19:$Z19,MIN(X$6-$G$3,22))),0)))))</f>
        <v>0</v>
      </c>
      <c r="Y21" s="27" t="n">
        <f aca="false">IF(COUNT('Feijão 2ª safra'!$E19:$Z19)=0,0,MAX(0,IF((Y$6-$E$3)&lt;1,0,IFERROR(LOOKUP(2,1/('Feijão 2ª safra'!$E19:INDEX('Feijão 2ª safra'!$E19:$Z19,MIN(Y$6-$E$3,22))&lt;&gt;""),'Feijão 2ª safra'!$E19:INDEX('Feijão 2ª safra'!$E19:$Z19,MIN(Y$6-$E$3,22))),0))-IF($G$2,0,IF((Y$6-$G$3)&lt;1,0,IFERROR(LOOKUP(2,1/('Feijão 2ª safra'!$E19:INDEX('Feijão 2ª safra'!$E19:$Z19,MIN(Y$6-$G$3,22))&lt;&gt;""),'Feijão 2ª safra'!$E19:INDEX('Feijão 2ª safra'!$E19:$Z19,MIN(Y$6-$G$3,22))),0)))))</f>
        <v>0</v>
      </c>
      <c r="Z21" s="27" t="n">
        <f aca="false">IF(COUNT('Feijão 2ª safra'!$E19:$Z19)=0,0,MAX(0,IF((Z$6-$E$3)&lt;1,0,IFERROR(LOOKUP(2,1/('Feijão 2ª safra'!$E19:INDEX('Feijão 2ª safra'!$E19:$Z19,MIN(Z$6-$E$3,22))&lt;&gt;""),'Feijão 2ª safra'!$E19:INDEX('Feijão 2ª safra'!$E19:$Z19,MIN(Z$6-$E$3,22))),0))-IF($G$2,0,IF((Z$6-$G$3)&lt;1,0,IFERROR(LOOKUP(2,1/('Feijão 2ª safra'!$E19:INDEX('Feijão 2ª safra'!$E19:$Z19,MIN(Z$6-$G$3,22))&lt;&gt;""),'Feijão 2ª safra'!$E19:INDEX('Feijão 2ª safra'!$E19:$Z19,MIN(Z$6-$G$3,22))),0)))))</f>
        <v>0</v>
      </c>
      <c r="AA21" s="27" t="n">
        <f aca="false">IF(COUNT('Feijão 2ª safra'!$E19:$Z19)=0,0,MAX(0,IF((AA$6-$E$3)&lt;1,0,IFERROR(LOOKUP(2,1/('Feijão 2ª safra'!$E19:INDEX('Feijão 2ª safra'!$E19:$Z19,MIN(AA$6-$E$3,22))&lt;&gt;""),'Feijão 2ª safra'!$E19:INDEX('Feijão 2ª safra'!$E19:$Z19,MIN(AA$6-$E$3,22))),0))-IF($G$2,0,IF((AA$6-$G$3)&lt;1,0,IFERROR(LOOKUP(2,1/('Feijão 2ª safra'!$E19:INDEX('Feijão 2ª safra'!$E19:$Z19,MIN(AA$6-$G$3,22))&lt;&gt;""),'Feijão 2ª safra'!$E19:INDEX('Feijão 2ª safra'!$E19:$Z19,MIN(AA$6-$G$3,22))),0)))))</f>
        <v>0</v>
      </c>
      <c r="AB21" s="27" t="n">
        <f aca="false">IF(COUNT('Feijão 2ª safra'!$E19:$Z19)=0,0,MAX(0,IF((AB$6-$E$3)&lt;1,0,IFERROR(LOOKUP(2,1/('Feijão 2ª safra'!$E19:INDEX('Feijão 2ª safra'!$E19:$Z19,MIN(AB$6-$E$3,22))&lt;&gt;""),'Feijão 2ª safra'!$E19:INDEX('Feijão 2ª safra'!$E19:$Z19,MIN(AB$6-$E$3,22))),0))-IF($G$2,0,IF((AB$6-$G$3)&lt;1,0,IFERROR(LOOKUP(2,1/('Feijão 2ª safra'!$E19:INDEX('Feijão 2ª safra'!$E19:$Z19,MIN(AB$6-$G$3,22))&lt;&gt;""),'Feijão 2ª safra'!$E19:INDEX('Feijão 2ª safra'!$E19:$Z19,MIN(AB$6-$G$3,22))),0)))))</f>
        <v>0</v>
      </c>
      <c r="AC21" s="27" t="n">
        <f aca="false">IF(COUNT('Feijão 2ª safra'!$E19:$Z19)=0,0,MAX(0,IF((AC$6-$E$3)&lt;1,0,IFERROR(LOOKUP(2,1/('Feijão 2ª safra'!$E19:INDEX('Feijão 2ª safra'!$E19:$Z19,MIN(AC$6-$E$3,22))&lt;&gt;""),'Feijão 2ª safra'!$E19:INDEX('Feijão 2ª safra'!$E19:$Z19,MIN(AC$6-$E$3,22))),0))-IF($G$2,0,IF((AC$6-$G$3)&lt;1,0,IFERROR(LOOKUP(2,1/('Feijão 2ª safra'!$E19:INDEX('Feijão 2ª safra'!$E19:$Z19,MIN(AC$6-$G$3,22))&lt;&gt;""),'Feijão 2ª safra'!$E19:INDEX('Feijão 2ª safra'!$E19:$Z19,MIN(AC$6-$G$3,22))),0)))))</f>
        <v>0</v>
      </c>
      <c r="AD21" s="27" t="n">
        <f aca="false">IF(COUNT('Feijão 2ª safra'!$E19:$Z19)=0,0,MAX(0,IF((AD$6-$E$3)&lt;1,0,IFERROR(LOOKUP(2,1/('Feijão 2ª safra'!$E19:INDEX('Feijão 2ª safra'!$E19:$Z19,MIN(AD$6-$E$3,22))&lt;&gt;""),'Feijão 2ª safra'!$E19:INDEX('Feijão 2ª safra'!$E19:$Z19,MIN(AD$6-$E$3,22))),0))-IF($G$2,0,IF((AD$6-$G$3)&lt;1,0,IFERROR(LOOKUP(2,1/('Feijão 2ª safra'!$E19:INDEX('Feijão 2ª safra'!$E19:$Z19,MIN(AD$6-$G$3,22))&lt;&gt;""),'Feijão 2ª safra'!$E19:INDEX('Feijão 2ª safra'!$E19:$Z19,MIN(AD$6-$G$3,22))),0)))))</f>
        <v>0</v>
      </c>
      <c r="AE21" s="27" t="n">
        <f aca="false">IF(COUNT('Feijão 2ª safra'!$E19:$Z19)=0,0,MAX(0,IF((AE$6-$E$3)&lt;1,0,IFERROR(LOOKUP(2,1/('Feijão 2ª safra'!$E19:INDEX('Feijão 2ª safra'!$E19:$Z19,MIN(AE$6-$E$3,22))&lt;&gt;""),'Feijão 2ª safra'!$E19:INDEX('Feijão 2ª safra'!$E19:$Z19,MIN(AE$6-$E$3,22))),0))-IF($G$2,0,IF((AE$6-$G$3)&lt;1,0,IFERROR(LOOKUP(2,1/('Feijão 2ª safra'!$E19:INDEX('Feijão 2ª safra'!$E19:$Z19,MIN(AE$6-$G$3,22))&lt;&gt;""),'Feijão 2ª safra'!$E19:INDEX('Feijão 2ª safra'!$E19:$Z19,MIN(AE$6-$G$3,22))),0)))))</f>
        <v>0</v>
      </c>
      <c r="AF21" s="27" t="n">
        <f aca="false">IF(COUNT('Feijão 2ª safra'!$E19:$Z19)=0,0,MAX(0,IF((AF$6-$E$3)&lt;1,0,IFERROR(LOOKUP(2,1/('Feijão 2ª safra'!$E19:INDEX('Feijão 2ª safra'!$E19:$Z19,MIN(AF$6-$E$3,22))&lt;&gt;""),'Feijão 2ª safra'!$E19:INDEX('Feijão 2ª safra'!$E19:$Z19,MIN(AF$6-$E$3,22))),0))-IF($G$2,0,IF((AF$6-$G$3)&lt;1,0,IFERROR(LOOKUP(2,1/('Feijão 2ª safra'!$E19:INDEX('Feijão 2ª safra'!$E19:$Z19,MIN(AF$6-$G$3,22))&lt;&gt;""),'Feijão 2ª safra'!$E19:INDEX('Feijão 2ª safra'!$E19:$Z19,MIN(AF$6-$G$3,22))),0)))))</f>
        <v>0</v>
      </c>
      <c r="AG21" s="27" t="n">
        <f aca="false">IF(COUNT('Feijão 2ª safra'!$E19:$Z19)=0,0,MAX(0,IF((AG$6-$E$3)&lt;1,0,IFERROR(LOOKUP(2,1/('Feijão 2ª safra'!$E19:INDEX('Feijão 2ª safra'!$E19:$Z19,MIN(AG$6-$E$3,22))&lt;&gt;""),'Feijão 2ª safra'!$E19:INDEX('Feijão 2ª safra'!$E19:$Z19,MIN(AG$6-$E$3,22))),0))-IF($G$2,0,IF((AG$6-$G$3)&lt;1,0,IFERROR(LOOKUP(2,1/('Feijão 2ª safra'!$E19:INDEX('Feijão 2ª safra'!$E19:$Z19,MIN(AG$6-$G$3,22))&lt;&gt;""),'Feijão 2ª safra'!$E19:INDEX('Feijão 2ª safra'!$E19:$Z19,MIN(AG$6-$G$3,22))),0)))))</f>
        <v>0</v>
      </c>
      <c r="AH21" s="27" t="n">
        <f aca="false">IF(COUNT('Feijão 2ª safra'!$E19:$Z19)=0,0,MAX(0,IF((AH$6-$E$3)&lt;1,0,IFERROR(LOOKUP(2,1/('Feijão 2ª safra'!$E19:INDEX('Feijão 2ª safra'!$E19:$Z19,MIN(AH$6-$E$3,22))&lt;&gt;""),'Feijão 2ª safra'!$E19:INDEX('Feijão 2ª safra'!$E19:$Z19,MIN(AH$6-$E$3,22))),0))-IF($G$2,0,IF((AH$6-$G$3)&lt;1,0,IFERROR(LOOKUP(2,1/('Feijão 2ª safra'!$E19:INDEX('Feijão 2ª safra'!$E19:$Z19,MIN(AH$6-$G$3,22))&lt;&gt;""),'Feijão 2ª safra'!$E19:INDEX('Feijão 2ª safra'!$E19:$Z19,MIN(AH$6-$G$3,22))),0)))))</f>
        <v>0</v>
      </c>
      <c r="AI21" s="27" t="n">
        <f aca="false">IF(COUNT('Feijão 2ª safra'!$E19:$Z19)=0,0,MAX(0,IF((AI$6-$E$3)&lt;1,0,IFERROR(LOOKUP(2,1/('Feijão 2ª safra'!$E19:INDEX('Feijão 2ª safra'!$E19:$Z19,MIN(AI$6-$E$3,22))&lt;&gt;""),'Feijão 2ª safra'!$E19:INDEX('Feijão 2ª safra'!$E19:$Z19,MIN(AI$6-$E$3,22))),0))-IF($G$2,0,IF((AI$6-$G$3)&lt;1,0,IFERROR(LOOKUP(2,1/('Feijão 2ª safra'!$E19:INDEX('Feijão 2ª safra'!$E19:$Z19,MIN(AI$6-$G$3,22))&lt;&gt;""),'Feijão 2ª safra'!$E19:INDEX('Feijão 2ª safra'!$E19:$Z19,MIN(AI$6-$G$3,22))),0)))))</f>
        <v>0</v>
      </c>
      <c r="AJ21" s="27" t="n">
        <f aca="false">IF(COUNT('Feijão 2ª safra'!$E19:$Z19)=0,0,MAX(0,IF((AJ$6-$E$3)&lt;1,0,IFERROR(LOOKUP(2,1/('Feijão 2ª safra'!$E19:INDEX('Feijão 2ª safra'!$E19:$Z19,MIN(AJ$6-$E$3,22))&lt;&gt;""),'Feijão 2ª safra'!$E19:INDEX('Feijão 2ª safra'!$E19:$Z19,MIN(AJ$6-$E$3,22))),0))-IF($G$2,0,IF((AJ$6-$G$3)&lt;1,0,IFERROR(LOOKUP(2,1/('Feijão 2ª safra'!$E19:INDEX('Feijão 2ª safra'!$E19:$Z19,MIN(AJ$6-$G$3,22))&lt;&gt;""),'Feijão 2ª safra'!$E19:INDEX('Feijão 2ª safra'!$E19:$Z19,MIN(AJ$6-$G$3,22))),0)))))</f>
        <v>0</v>
      </c>
      <c r="AK21" s="27" t="n">
        <f aca="false">IF(COUNT('Feijão 2ª safra'!$E19:$Z19)=0,0,MAX(0,IF((AK$6-$E$3)&lt;1,0,IFERROR(LOOKUP(2,1/('Feijão 2ª safra'!$E19:INDEX('Feijão 2ª safra'!$E19:$Z19,MIN(AK$6-$E$3,22))&lt;&gt;""),'Feijão 2ª safra'!$E19:INDEX('Feijão 2ª safra'!$E19:$Z19,MIN(AK$6-$E$3,22))),0))-IF($G$2,0,IF((AK$6-$G$3)&lt;1,0,IFERROR(LOOKUP(2,1/('Feijão 2ª safra'!$E19:INDEX('Feijão 2ª safra'!$E19:$Z19,MIN(AK$6-$G$3,22))&lt;&gt;""),'Feijão 2ª safra'!$E19:INDEX('Feijão 2ª safra'!$E19:$Z19,MIN(AK$6-$G$3,22))),0)))))</f>
        <v>0</v>
      </c>
      <c r="AL21" s="27" t="n">
        <f aca="false">IF(COUNT('Feijão 2ª safra'!$E19:$Z19)=0,0,MAX(0,IF((AL$6-$E$3)&lt;1,0,IFERROR(LOOKUP(2,1/('Feijão 2ª safra'!$E19:INDEX('Feijão 2ª safra'!$E19:$Z19,MIN(AL$6-$E$3,22))&lt;&gt;""),'Feijão 2ª safra'!$E19:INDEX('Feijão 2ª safra'!$E19:$Z19,MIN(AL$6-$E$3,22))),0))-IF($G$2,0,IF((AL$6-$G$3)&lt;1,0,IFERROR(LOOKUP(2,1/('Feijão 2ª safra'!$E19:INDEX('Feijão 2ª safra'!$E19:$Z19,MIN(AL$6-$G$3,22))&lt;&gt;""),'Feijão 2ª safra'!$E19:INDEX('Feijão 2ª safra'!$E19:$Z19,MIN(AL$6-$G$3,22))),0)))))</f>
        <v>0</v>
      </c>
      <c r="AM21" s="27" t="n">
        <f aca="false">IF(COUNT('Feijão 2ª safra'!$E19:$Z19)=0,0,MAX(0,IF((AM$6-$E$3)&lt;1,0,IFERROR(LOOKUP(2,1/('Feijão 2ª safra'!$E19:INDEX('Feijão 2ª safra'!$E19:$Z19,MIN(AM$6-$E$3,22))&lt;&gt;""),'Feijão 2ª safra'!$E19:INDEX('Feijão 2ª safra'!$E19:$Z19,MIN(AM$6-$E$3,22))),0))-IF($G$2,0,IF((AM$6-$G$3)&lt;1,0,IFERROR(LOOKUP(2,1/('Feijão 2ª safra'!$E19:INDEX('Feijão 2ª safra'!$E19:$Z19,MIN(AM$6-$G$3,22))&lt;&gt;""),'Feijão 2ª safra'!$E19:INDEX('Feijão 2ª safra'!$E19:$Z19,MIN(AM$6-$G$3,22))),0)))))</f>
        <v>0</v>
      </c>
      <c r="AN21" s="27" t="n">
        <f aca="false">IF(COUNT('Feijão 2ª safra'!$E19:$Z19)=0,0,MAX(0,IF((AN$6-$E$3)&lt;1,0,IFERROR(LOOKUP(2,1/('Feijão 2ª safra'!$E19:INDEX('Feijão 2ª safra'!$E19:$Z19,MIN(AN$6-$E$3,22))&lt;&gt;""),'Feijão 2ª safra'!$E19:INDEX('Feijão 2ª safra'!$E19:$Z19,MIN(AN$6-$E$3,22))),0))-IF($G$2,0,IF((AN$6-$G$3)&lt;1,0,IFERROR(LOOKUP(2,1/('Feijão 2ª safra'!$E19:INDEX('Feijão 2ª safra'!$E19:$Z19,MIN(AN$6-$G$3,22))&lt;&gt;""),'Feijão 2ª safra'!$E19:INDEX('Feijão 2ª safra'!$E19:$Z19,MIN(AN$6-$G$3,22))),0)))))</f>
        <v>0</v>
      </c>
      <c r="AO21" s="27" t="n">
        <f aca="false">IF(COUNT('Feijão 2ª safra'!$E19:$Z19)=0,0,MAX(0,IF((AO$6-$E$3)&lt;1,0,IFERROR(LOOKUP(2,1/('Feijão 2ª safra'!$E19:INDEX('Feijão 2ª safra'!$E19:$Z19,MIN(AO$6-$E$3,22))&lt;&gt;""),'Feijão 2ª safra'!$E19:INDEX('Feijão 2ª safra'!$E19:$Z19,MIN(AO$6-$E$3,22))),0))-IF($G$2,0,IF((AO$6-$G$3)&lt;1,0,IFERROR(LOOKUP(2,1/('Feijão 2ª safra'!$E19:INDEX('Feijão 2ª safra'!$E19:$Z19,MIN(AO$6-$G$3,22))&lt;&gt;""),'Feijão 2ª safra'!$E19:INDEX('Feijão 2ª safra'!$E19:$Z19,MIN(AO$6-$G$3,22))),0)))))</f>
        <v>0</v>
      </c>
      <c r="AP21" s="27" t="n">
        <f aca="false">IF(COUNT('Feijão 2ª safra'!$E19:$Z19)=0,0,MAX(0,IF((AP$6-$E$3)&lt;1,0,IFERROR(LOOKUP(2,1/('Feijão 2ª safra'!$E19:INDEX('Feijão 2ª safra'!$E19:$Z19,MIN(AP$6-$E$3,22))&lt;&gt;""),'Feijão 2ª safra'!$E19:INDEX('Feijão 2ª safra'!$E19:$Z19,MIN(AP$6-$E$3,22))),0))-IF($G$2,0,IF((AP$6-$G$3)&lt;1,0,IFERROR(LOOKUP(2,1/('Feijão 2ª safra'!$E19:INDEX('Feijão 2ª safra'!$E19:$Z19,MIN(AP$6-$G$3,22))&lt;&gt;""),'Feijão 2ª safra'!$E19:INDEX('Feijão 2ª safra'!$E19:$Z19,MIN(AP$6-$G$3,22))),0)))))</f>
        <v>0</v>
      </c>
      <c r="AQ21" s="27" t="n">
        <f aca="false">IF(COUNT('Feijão 2ª safra'!$E19:$Z19)=0,0,MAX(0,IF((AQ$6-$E$3)&lt;1,0,IFERROR(LOOKUP(2,1/('Feijão 2ª safra'!$E19:INDEX('Feijão 2ª safra'!$E19:$Z19,MIN(AQ$6-$E$3,22))&lt;&gt;""),'Feijão 2ª safra'!$E19:INDEX('Feijão 2ª safra'!$E19:$Z19,MIN(AQ$6-$E$3,22))),0))-IF($G$2,0,IF((AQ$6-$G$3)&lt;1,0,IFERROR(LOOKUP(2,1/('Feijão 2ª safra'!$E19:INDEX('Feijão 2ª safra'!$E19:$Z19,MIN(AQ$6-$G$3,22))&lt;&gt;""),'Feijão 2ª safra'!$E19:INDEX('Feijão 2ª safra'!$E19:$Z19,MIN(AQ$6-$G$3,22))),0)))))</f>
        <v>0</v>
      </c>
      <c r="AR21" s="27" t="n">
        <f aca="false">IF(COUNT('Feijão 2ª safra'!$E19:$Z19)=0,0,MAX(0,IF((AR$6-$E$3)&lt;1,0,IFERROR(LOOKUP(2,1/('Feijão 2ª safra'!$E19:INDEX('Feijão 2ª safra'!$E19:$Z19,MIN(AR$6-$E$3,22))&lt;&gt;""),'Feijão 2ª safra'!$E19:INDEX('Feijão 2ª safra'!$E19:$Z19,MIN(AR$6-$E$3,22))),0))-IF($G$2,0,IF((AR$6-$G$3)&lt;1,0,IFERROR(LOOKUP(2,1/('Feijão 2ª safra'!$E19:INDEX('Feijão 2ª safra'!$E19:$Z19,MIN(AR$6-$G$3,22))&lt;&gt;""),'Feijão 2ª safra'!$E19:INDEX('Feijão 2ª safra'!$E19:$Z19,MIN(AR$6-$G$3,22))),0)))))</f>
        <v>0</v>
      </c>
      <c r="AS21" s="27" t="n">
        <f aca="false">IF(COUNT('Feijão 2ª safra'!$E19:$Z19)=0,0,MAX(0,IF((AS$6-$E$3)&lt;1,0,IFERROR(LOOKUP(2,1/('Feijão 2ª safra'!$E19:INDEX('Feijão 2ª safra'!$E19:$Z19,MIN(AS$6-$E$3,22))&lt;&gt;""),'Feijão 2ª safra'!$E19:INDEX('Feijão 2ª safra'!$E19:$Z19,MIN(AS$6-$E$3,22))),0))-IF($G$2,0,IF((AS$6-$G$3)&lt;1,0,IFERROR(LOOKUP(2,1/('Feijão 2ª safra'!$E19:INDEX('Feijão 2ª safra'!$E19:$Z19,MIN(AS$6-$G$3,22))&lt;&gt;""),'Feijão 2ª safra'!$E19:INDEX('Feijão 2ª safra'!$E19:$Z19,MIN(AS$6-$G$3,22))),0)))))</f>
        <v>0</v>
      </c>
      <c r="AT21" s="27" t="n">
        <f aca="false">IF(COUNT('Feijão 2ª safra'!$E19:$Z19)=0,0,MAX(0,IF((AT$6-$E$3)&lt;1,0,IFERROR(LOOKUP(2,1/('Feijão 2ª safra'!$E19:INDEX('Feijão 2ª safra'!$E19:$Z19,MIN(AT$6-$E$3,22))&lt;&gt;""),'Feijão 2ª safra'!$E19:INDEX('Feijão 2ª safra'!$E19:$Z19,MIN(AT$6-$E$3,22))),0))-IF($G$2,0,IF((AT$6-$G$3)&lt;1,0,IFERROR(LOOKUP(2,1/('Feijão 2ª safra'!$E19:INDEX('Feijão 2ª safra'!$E19:$Z19,MIN(AT$6-$G$3,22))&lt;&gt;""),'Feijão 2ª safra'!$E19:INDEX('Feijão 2ª safra'!$E19:$Z19,MIN(AT$6-$G$3,22))),0)))))</f>
        <v>0</v>
      </c>
      <c r="AU21" s="27" t="n">
        <f aca="false">IF(COUNT('Feijão 2ª safra'!$E19:$Z19)=0,0,MAX(0,IF((AU$6-$E$3)&lt;1,0,IFERROR(LOOKUP(2,1/('Feijão 2ª safra'!$E19:INDEX('Feijão 2ª safra'!$E19:$Z19,MIN(AU$6-$E$3,22))&lt;&gt;""),'Feijão 2ª safra'!$E19:INDEX('Feijão 2ª safra'!$E19:$Z19,MIN(AU$6-$E$3,22))),0))-IF($G$2,0,IF((AU$6-$G$3)&lt;1,0,IFERROR(LOOKUP(2,1/('Feijão 2ª safra'!$E19:INDEX('Feijão 2ª safra'!$E19:$Z19,MIN(AU$6-$G$3,22))&lt;&gt;""),'Feijão 2ª safra'!$E19:INDEX('Feijão 2ª safra'!$E19:$Z19,MIN(AU$6-$G$3,22))),0)))))</f>
        <v>0</v>
      </c>
      <c r="AV21" s="27" t="n">
        <f aca="false">IF(COUNT('Feijão 2ª safra'!$E19:$Z19)=0,0,MAX(0,IF((AV$6-$E$3)&lt;1,0,IFERROR(LOOKUP(2,1/('Feijão 2ª safra'!$E19:INDEX('Feijão 2ª safra'!$E19:$Z19,MIN(AV$6-$E$3,22))&lt;&gt;""),'Feijão 2ª safra'!$E19:INDEX('Feijão 2ª safra'!$E19:$Z19,MIN(AV$6-$E$3,22))),0))-IF($G$2,0,IF((AV$6-$G$3)&lt;1,0,IFERROR(LOOKUP(2,1/('Feijão 2ª safra'!$E19:INDEX('Feijão 2ª safra'!$E19:$Z19,MIN(AV$6-$G$3,22))&lt;&gt;""),'Feijão 2ª safra'!$E19:INDEX('Feijão 2ª safra'!$E19:$Z19,MIN(AV$6-$G$3,22))),0)))))</f>
        <v>0</v>
      </c>
      <c r="AW21" s="27" t="n">
        <f aca="false">IF(COUNT('Feijão 2ª safra'!$E19:$Z19)=0,0,MAX(0,IF((AW$6-$E$3)&lt;1,0,IFERROR(LOOKUP(2,1/('Feijão 2ª safra'!$E19:INDEX('Feijão 2ª safra'!$E19:$Z19,MIN(AW$6-$E$3,22))&lt;&gt;""),'Feijão 2ª safra'!$E19:INDEX('Feijão 2ª safra'!$E19:$Z19,MIN(AW$6-$E$3,22))),0))-IF($G$2,0,IF((AW$6-$G$3)&lt;1,0,IFERROR(LOOKUP(2,1/('Feijão 2ª safra'!$E19:INDEX('Feijão 2ª safra'!$E19:$Z19,MIN(AW$6-$G$3,22))&lt;&gt;""),'Feijão 2ª safra'!$E19:INDEX('Feijão 2ª safra'!$E19:$Z19,MIN(AW$6-$G$3,22))),0)))))</f>
        <v>0</v>
      </c>
      <c r="AX21" s="27" t="n">
        <f aca="false">IF(COUNT('Feijão 2ª safra'!$E19:$Z19)=0,0,MAX(0,IF((AX$6-$E$3)&lt;1,0,IFERROR(LOOKUP(2,1/('Feijão 2ª safra'!$E19:INDEX('Feijão 2ª safra'!$E19:$Z19,MIN(AX$6-$E$3,22))&lt;&gt;""),'Feijão 2ª safra'!$E19:INDEX('Feijão 2ª safra'!$E19:$Z19,MIN(AX$6-$E$3,22))),0))-IF($G$2,0,IF((AX$6-$G$3)&lt;1,0,IFERROR(LOOKUP(2,1/('Feijão 2ª safra'!$E19:INDEX('Feijão 2ª safra'!$E19:$Z19,MIN(AX$6-$G$3,22))&lt;&gt;""),'Feijão 2ª safra'!$E19:INDEX('Feijão 2ª safra'!$E19:$Z19,MIN(AX$6-$G$3,22))),0)))))</f>
        <v>0</v>
      </c>
      <c r="AY21" s="27" t="n">
        <f aca="false">IF(COUNT('Feijão 2ª safra'!$E19:$Z19)=0,0,MAX(0,IF((AY$6-$E$3)&lt;1,0,IFERROR(LOOKUP(2,1/('Feijão 2ª safra'!$E19:INDEX('Feijão 2ª safra'!$E19:$Z19,MIN(AY$6-$E$3,22))&lt;&gt;""),'Feijão 2ª safra'!$E19:INDEX('Feijão 2ª safra'!$E19:$Z19,MIN(AY$6-$E$3,22))),0))-IF($G$2,0,IF((AY$6-$G$3)&lt;1,0,IFERROR(LOOKUP(2,1/('Feijão 2ª safra'!$E19:INDEX('Feijão 2ª safra'!$E19:$Z19,MIN(AY$6-$G$3,22))&lt;&gt;""),'Feijão 2ª safra'!$E19:INDEX('Feijão 2ª safra'!$E19:$Z19,MIN(AY$6-$G$3,22))),0)))))</f>
        <v>0</v>
      </c>
      <c r="AZ21" s="27" t="n">
        <f aca="false">IF(COUNT('Feijão 2ª safra'!$E19:$Z19)=0,0,MAX(0,IF((AZ$6-$E$3)&lt;1,0,IFERROR(LOOKUP(2,1/('Feijão 2ª safra'!$E19:INDEX('Feijão 2ª safra'!$E19:$Z19,MIN(AZ$6-$E$3,22))&lt;&gt;""),'Feijão 2ª safra'!$E19:INDEX('Feijão 2ª safra'!$E19:$Z19,MIN(AZ$6-$E$3,22))),0))-IF($G$2,0,IF((AZ$6-$G$3)&lt;1,0,IFERROR(LOOKUP(2,1/('Feijão 2ª safra'!$E19:INDEX('Feijão 2ª safra'!$E19:$Z19,MIN(AZ$6-$G$3,22))&lt;&gt;""),'Feijão 2ª safra'!$E19:INDEX('Feijão 2ª safra'!$E19:$Z19,MIN(AZ$6-$G$3,22))),0)))))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IF(COUNT('Feijão 2ª safra'!$E20:$Z20)&gt;0,N('Feijão 2ª safra'!$D20),0)</f>
        <v>0</v>
      </c>
      <c r="E22" s="27" t="n">
        <f aca="false">IF(COUNT('Feijão 2ª safra'!$E20:$Z20)=0,0,MAX(0,IF((E$6-$E$3)&lt;1,0,IFERROR(LOOKUP(2,1/('Feijão 2ª safra'!$E20:INDEX('Feijão 2ª safra'!$E20:$Z20,MIN(E$6-$E$3,22))&lt;&gt;""),'Feijão 2ª safra'!$E20:INDEX('Feijão 2ª safra'!$E20:$Z20,MIN(E$6-$E$3,22))),0))-IF($G$2,0,IF((E$6-$G$3)&lt;1,0,IFERROR(LOOKUP(2,1/('Feijão 2ª safra'!$E20:INDEX('Feijão 2ª safra'!$E20:$Z20,MIN(E$6-$G$3,22))&lt;&gt;""),'Feijão 2ª safra'!$E20:INDEX('Feijão 2ª safra'!$E20:$Z20,MIN(E$6-$G$3,22))),0)))))</f>
        <v>0</v>
      </c>
      <c r="F22" s="27" t="n">
        <f aca="false">IF(COUNT('Feijão 2ª safra'!$E20:$Z20)=0,0,MAX(0,IF((F$6-$E$3)&lt;1,0,IFERROR(LOOKUP(2,1/('Feijão 2ª safra'!$E20:INDEX('Feijão 2ª safra'!$E20:$Z20,MIN(F$6-$E$3,22))&lt;&gt;""),'Feijão 2ª safra'!$E20:INDEX('Feijão 2ª safra'!$E20:$Z20,MIN(F$6-$E$3,22))),0))-IF($G$2,0,IF((F$6-$G$3)&lt;1,0,IFERROR(LOOKUP(2,1/('Feijão 2ª safra'!$E20:INDEX('Feijão 2ª safra'!$E20:$Z20,MIN(F$6-$G$3,22))&lt;&gt;""),'Feijão 2ª safra'!$E20:INDEX('Feijão 2ª safra'!$E20:$Z20,MIN(F$6-$G$3,22))),0)))))</f>
        <v>0</v>
      </c>
      <c r="G22" s="27" t="n">
        <f aca="false">IF(COUNT('Feijão 2ª safra'!$E20:$Z20)=0,0,MAX(0,IF((G$6-$E$3)&lt;1,0,IFERROR(LOOKUP(2,1/('Feijão 2ª safra'!$E20:INDEX('Feijão 2ª safra'!$E20:$Z20,MIN(G$6-$E$3,22))&lt;&gt;""),'Feijão 2ª safra'!$E20:INDEX('Feijão 2ª safra'!$E20:$Z20,MIN(G$6-$E$3,22))),0))-IF($G$2,0,IF((G$6-$G$3)&lt;1,0,IFERROR(LOOKUP(2,1/('Feijão 2ª safra'!$E20:INDEX('Feijão 2ª safra'!$E20:$Z20,MIN(G$6-$G$3,22))&lt;&gt;""),'Feijão 2ª safra'!$E20:INDEX('Feijão 2ª safra'!$E20:$Z20,MIN(G$6-$G$3,22))),0)))))</f>
        <v>0</v>
      </c>
      <c r="H22" s="27" t="n">
        <f aca="false">IF(COUNT('Feijão 2ª safra'!$E20:$Z20)=0,0,MAX(0,IF((H$6-$E$3)&lt;1,0,IFERROR(LOOKUP(2,1/('Feijão 2ª safra'!$E20:INDEX('Feijão 2ª safra'!$E20:$Z20,MIN(H$6-$E$3,22))&lt;&gt;""),'Feijão 2ª safra'!$E20:INDEX('Feijão 2ª safra'!$E20:$Z20,MIN(H$6-$E$3,22))),0))-IF($G$2,0,IF((H$6-$G$3)&lt;1,0,IFERROR(LOOKUP(2,1/('Feijão 2ª safra'!$E20:INDEX('Feijão 2ª safra'!$E20:$Z20,MIN(H$6-$G$3,22))&lt;&gt;""),'Feijão 2ª safra'!$E20:INDEX('Feijão 2ª safra'!$E20:$Z20,MIN(H$6-$G$3,22))),0)))))</f>
        <v>0</v>
      </c>
      <c r="I22" s="27" t="n">
        <f aca="false">IF(COUNT('Feijão 2ª safra'!$E20:$Z20)=0,0,MAX(0,IF((I$6-$E$3)&lt;1,0,IFERROR(LOOKUP(2,1/('Feijão 2ª safra'!$E20:INDEX('Feijão 2ª safra'!$E20:$Z20,MIN(I$6-$E$3,22))&lt;&gt;""),'Feijão 2ª safra'!$E20:INDEX('Feijão 2ª safra'!$E20:$Z20,MIN(I$6-$E$3,22))),0))-IF($G$2,0,IF((I$6-$G$3)&lt;1,0,IFERROR(LOOKUP(2,1/('Feijão 2ª safra'!$E20:INDEX('Feijão 2ª safra'!$E20:$Z20,MIN(I$6-$G$3,22))&lt;&gt;""),'Feijão 2ª safra'!$E20:INDEX('Feijão 2ª safra'!$E20:$Z20,MIN(I$6-$G$3,22))),0)))))</f>
        <v>0</v>
      </c>
      <c r="J22" s="27" t="n">
        <f aca="false">IF(COUNT('Feijão 2ª safra'!$E20:$Z20)=0,0,MAX(0,IF((J$6-$E$3)&lt;1,0,IFERROR(LOOKUP(2,1/('Feijão 2ª safra'!$E20:INDEX('Feijão 2ª safra'!$E20:$Z20,MIN(J$6-$E$3,22))&lt;&gt;""),'Feijão 2ª safra'!$E20:INDEX('Feijão 2ª safra'!$E20:$Z20,MIN(J$6-$E$3,22))),0))-IF($G$2,0,IF((J$6-$G$3)&lt;1,0,IFERROR(LOOKUP(2,1/('Feijão 2ª safra'!$E20:INDEX('Feijão 2ª safra'!$E20:$Z20,MIN(J$6-$G$3,22))&lt;&gt;""),'Feijão 2ª safra'!$E20:INDEX('Feijão 2ª safra'!$E20:$Z20,MIN(J$6-$G$3,22))),0)))))</f>
        <v>0</v>
      </c>
      <c r="K22" s="27" t="n">
        <f aca="false">IF(COUNT('Feijão 2ª safra'!$E20:$Z20)=0,0,MAX(0,IF((K$6-$E$3)&lt;1,0,IFERROR(LOOKUP(2,1/('Feijão 2ª safra'!$E20:INDEX('Feijão 2ª safra'!$E20:$Z20,MIN(K$6-$E$3,22))&lt;&gt;""),'Feijão 2ª safra'!$E20:INDEX('Feijão 2ª safra'!$E20:$Z20,MIN(K$6-$E$3,22))),0))-IF($G$2,0,IF((K$6-$G$3)&lt;1,0,IFERROR(LOOKUP(2,1/('Feijão 2ª safra'!$E20:INDEX('Feijão 2ª safra'!$E20:$Z20,MIN(K$6-$G$3,22))&lt;&gt;""),'Feijão 2ª safra'!$E20:INDEX('Feijão 2ª safra'!$E20:$Z20,MIN(K$6-$G$3,22))),0)))))</f>
        <v>0</v>
      </c>
      <c r="L22" s="27" t="n">
        <f aca="false">IF(COUNT('Feijão 2ª safra'!$E20:$Z20)=0,0,MAX(0,IF((L$6-$E$3)&lt;1,0,IFERROR(LOOKUP(2,1/('Feijão 2ª safra'!$E20:INDEX('Feijão 2ª safra'!$E20:$Z20,MIN(L$6-$E$3,22))&lt;&gt;""),'Feijão 2ª safra'!$E20:INDEX('Feijão 2ª safra'!$E20:$Z20,MIN(L$6-$E$3,22))),0))-IF($G$2,0,IF((L$6-$G$3)&lt;1,0,IFERROR(LOOKUP(2,1/('Feijão 2ª safra'!$E20:INDEX('Feijão 2ª safra'!$E20:$Z20,MIN(L$6-$G$3,22))&lt;&gt;""),'Feijão 2ª safra'!$E20:INDEX('Feijão 2ª safra'!$E20:$Z20,MIN(L$6-$G$3,22))),0)))))</f>
        <v>0</v>
      </c>
      <c r="M22" s="27" t="n">
        <f aca="false">IF(COUNT('Feijão 2ª safra'!$E20:$Z20)=0,0,MAX(0,IF((M$6-$E$3)&lt;1,0,IFERROR(LOOKUP(2,1/('Feijão 2ª safra'!$E20:INDEX('Feijão 2ª safra'!$E20:$Z20,MIN(M$6-$E$3,22))&lt;&gt;""),'Feijão 2ª safra'!$E20:INDEX('Feijão 2ª safra'!$E20:$Z20,MIN(M$6-$E$3,22))),0))-IF($G$2,0,IF((M$6-$G$3)&lt;1,0,IFERROR(LOOKUP(2,1/('Feijão 2ª safra'!$E20:INDEX('Feijão 2ª safra'!$E20:$Z20,MIN(M$6-$G$3,22))&lt;&gt;""),'Feijão 2ª safra'!$E20:INDEX('Feijão 2ª safra'!$E20:$Z20,MIN(M$6-$G$3,22))),0)))))</f>
        <v>0</v>
      </c>
      <c r="N22" s="27" t="n">
        <f aca="false">IF(COUNT('Feijão 2ª safra'!$E20:$Z20)=0,0,MAX(0,IF((N$6-$E$3)&lt;1,0,IFERROR(LOOKUP(2,1/('Feijão 2ª safra'!$E20:INDEX('Feijão 2ª safra'!$E20:$Z20,MIN(N$6-$E$3,22))&lt;&gt;""),'Feijão 2ª safra'!$E20:INDEX('Feijão 2ª safra'!$E20:$Z20,MIN(N$6-$E$3,22))),0))-IF($G$2,0,IF((N$6-$G$3)&lt;1,0,IFERROR(LOOKUP(2,1/('Feijão 2ª safra'!$E20:INDEX('Feijão 2ª safra'!$E20:$Z20,MIN(N$6-$G$3,22))&lt;&gt;""),'Feijão 2ª safra'!$E20:INDEX('Feijão 2ª safra'!$E20:$Z20,MIN(N$6-$G$3,22))),0)))))</f>
        <v>0</v>
      </c>
      <c r="O22" s="27" t="n">
        <f aca="false">IF(COUNT('Feijão 2ª safra'!$E20:$Z20)=0,0,MAX(0,IF((O$6-$E$3)&lt;1,0,IFERROR(LOOKUP(2,1/('Feijão 2ª safra'!$E20:INDEX('Feijão 2ª safra'!$E20:$Z20,MIN(O$6-$E$3,22))&lt;&gt;""),'Feijão 2ª safra'!$E20:INDEX('Feijão 2ª safra'!$E20:$Z20,MIN(O$6-$E$3,22))),0))-IF($G$2,0,IF((O$6-$G$3)&lt;1,0,IFERROR(LOOKUP(2,1/('Feijão 2ª safra'!$E20:INDEX('Feijão 2ª safra'!$E20:$Z20,MIN(O$6-$G$3,22))&lt;&gt;""),'Feijão 2ª safra'!$E20:INDEX('Feijão 2ª safra'!$E20:$Z20,MIN(O$6-$G$3,22))),0)))))</f>
        <v>0</v>
      </c>
      <c r="P22" s="27" t="n">
        <f aca="false">IF(COUNT('Feijão 2ª safra'!$E20:$Z20)=0,0,MAX(0,IF((P$6-$E$3)&lt;1,0,IFERROR(LOOKUP(2,1/('Feijão 2ª safra'!$E20:INDEX('Feijão 2ª safra'!$E20:$Z20,MIN(P$6-$E$3,22))&lt;&gt;""),'Feijão 2ª safra'!$E20:INDEX('Feijão 2ª safra'!$E20:$Z20,MIN(P$6-$E$3,22))),0))-IF($G$2,0,IF((P$6-$G$3)&lt;1,0,IFERROR(LOOKUP(2,1/('Feijão 2ª safra'!$E20:INDEX('Feijão 2ª safra'!$E20:$Z20,MIN(P$6-$G$3,22))&lt;&gt;""),'Feijão 2ª safra'!$E20:INDEX('Feijão 2ª safra'!$E20:$Z20,MIN(P$6-$G$3,22))),0)))))</f>
        <v>0</v>
      </c>
      <c r="Q22" s="27" t="n">
        <f aca="false">IF(COUNT('Feijão 2ª safra'!$E20:$Z20)=0,0,MAX(0,IF((Q$6-$E$3)&lt;1,0,IFERROR(LOOKUP(2,1/('Feijão 2ª safra'!$E20:INDEX('Feijão 2ª safra'!$E20:$Z20,MIN(Q$6-$E$3,22))&lt;&gt;""),'Feijão 2ª safra'!$E20:INDEX('Feijão 2ª safra'!$E20:$Z20,MIN(Q$6-$E$3,22))),0))-IF($G$2,0,IF((Q$6-$G$3)&lt;1,0,IFERROR(LOOKUP(2,1/('Feijão 2ª safra'!$E20:INDEX('Feijão 2ª safra'!$E20:$Z20,MIN(Q$6-$G$3,22))&lt;&gt;""),'Feijão 2ª safra'!$E20:INDEX('Feijão 2ª safra'!$E20:$Z20,MIN(Q$6-$G$3,22))),0)))))</f>
        <v>0</v>
      </c>
      <c r="R22" s="27" t="n">
        <f aca="false">IF(COUNT('Feijão 2ª safra'!$E20:$Z20)=0,0,MAX(0,IF((R$6-$E$3)&lt;1,0,IFERROR(LOOKUP(2,1/('Feijão 2ª safra'!$E20:INDEX('Feijão 2ª safra'!$E20:$Z20,MIN(R$6-$E$3,22))&lt;&gt;""),'Feijão 2ª safra'!$E20:INDEX('Feijão 2ª safra'!$E20:$Z20,MIN(R$6-$E$3,22))),0))-IF($G$2,0,IF((R$6-$G$3)&lt;1,0,IFERROR(LOOKUP(2,1/('Feijão 2ª safra'!$E20:INDEX('Feijão 2ª safra'!$E20:$Z20,MIN(R$6-$G$3,22))&lt;&gt;""),'Feijão 2ª safra'!$E20:INDEX('Feijão 2ª safra'!$E20:$Z20,MIN(R$6-$G$3,22))),0)))))</f>
        <v>0</v>
      </c>
      <c r="S22" s="27" t="n">
        <f aca="false">IF(COUNT('Feijão 2ª safra'!$E20:$Z20)=0,0,MAX(0,IF((S$6-$E$3)&lt;1,0,IFERROR(LOOKUP(2,1/('Feijão 2ª safra'!$E20:INDEX('Feijão 2ª safra'!$E20:$Z20,MIN(S$6-$E$3,22))&lt;&gt;""),'Feijão 2ª safra'!$E20:INDEX('Feijão 2ª safra'!$E20:$Z20,MIN(S$6-$E$3,22))),0))-IF($G$2,0,IF((S$6-$G$3)&lt;1,0,IFERROR(LOOKUP(2,1/('Feijão 2ª safra'!$E20:INDEX('Feijão 2ª safra'!$E20:$Z20,MIN(S$6-$G$3,22))&lt;&gt;""),'Feijão 2ª safra'!$E20:INDEX('Feijão 2ª safra'!$E20:$Z20,MIN(S$6-$G$3,22))),0)))))</f>
        <v>0</v>
      </c>
      <c r="T22" s="27" t="n">
        <f aca="false">IF(COUNT('Feijão 2ª safra'!$E20:$Z20)=0,0,MAX(0,IF((T$6-$E$3)&lt;1,0,IFERROR(LOOKUP(2,1/('Feijão 2ª safra'!$E20:INDEX('Feijão 2ª safra'!$E20:$Z20,MIN(T$6-$E$3,22))&lt;&gt;""),'Feijão 2ª safra'!$E20:INDEX('Feijão 2ª safra'!$E20:$Z20,MIN(T$6-$E$3,22))),0))-IF($G$2,0,IF((T$6-$G$3)&lt;1,0,IFERROR(LOOKUP(2,1/('Feijão 2ª safra'!$E20:INDEX('Feijão 2ª safra'!$E20:$Z20,MIN(T$6-$G$3,22))&lt;&gt;""),'Feijão 2ª safra'!$E20:INDEX('Feijão 2ª safra'!$E20:$Z20,MIN(T$6-$G$3,22))),0)))))</f>
        <v>0</v>
      </c>
      <c r="U22" s="27" t="n">
        <f aca="false">IF(COUNT('Feijão 2ª safra'!$E20:$Z20)=0,0,MAX(0,IF((U$6-$E$3)&lt;1,0,IFERROR(LOOKUP(2,1/('Feijão 2ª safra'!$E20:INDEX('Feijão 2ª safra'!$E20:$Z20,MIN(U$6-$E$3,22))&lt;&gt;""),'Feijão 2ª safra'!$E20:INDEX('Feijão 2ª safra'!$E20:$Z20,MIN(U$6-$E$3,22))),0))-IF($G$2,0,IF((U$6-$G$3)&lt;1,0,IFERROR(LOOKUP(2,1/('Feijão 2ª safra'!$E20:INDEX('Feijão 2ª safra'!$E20:$Z20,MIN(U$6-$G$3,22))&lt;&gt;""),'Feijão 2ª safra'!$E20:INDEX('Feijão 2ª safra'!$E20:$Z20,MIN(U$6-$G$3,22))),0)))))</f>
        <v>0</v>
      </c>
      <c r="V22" s="27" t="n">
        <f aca="false">IF(COUNT('Feijão 2ª safra'!$E20:$Z20)=0,0,MAX(0,IF((V$6-$E$3)&lt;1,0,IFERROR(LOOKUP(2,1/('Feijão 2ª safra'!$E20:INDEX('Feijão 2ª safra'!$E20:$Z20,MIN(V$6-$E$3,22))&lt;&gt;""),'Feijão 2ª safra'!$E20:INDEX('Feijão 2ª safra'!$E20:$Z20,MIN(V$6-$E$3,22))),0))-IF($G$2,0,IF((V$6-$G$3)&lt;1,0,IFERROR(LOOKUP(2,1/('Feijão 2ª safra'!$E20:INDEX('Feijão 2ª safra'!$E20:$Z20,MIN(V$6-$G$3,22))&lt;&gt;""),'Feijão 2ª safra'!$E20:INDEX('Feijão 2ª safra'!$E20:$Z20,MIN(V$6-$G$3,22))),0)))))</f>
        <v>0</v>
      </c>
      <c r="W22" s="27" t="n">
        <f aca="false">IF(COUNT('Feijão 2ª safra'!$E20:$Z20)=0,0,MAX(0,IF((W$6-$E$3)&lt;1,0,IFERROR(LOOKUP(2,1/('Feijão 2ª safra'!$E20:INDEX('Feijão 2ª safra'!$E20:$Z20,MIN(W$6-$E$3,22))&lt;&gt;""),'Feijão 2ª safra'!$E20:INDEX('Feijão 2ª safra'!$E20:$Z20,MIN(W$6-$E$3,22))),0))-IF($G$2,0,IF((W$6-$G$3)&lt;1,0,IFERROR(LOOKUP(2,1/('Feijão 2ª safra'!$E20:INDEX('Feijão 2ª safra'!$E20:$Z20,MIN(W$6-$G$3,22))&lt;&gt;""),'Feijão 2ª safra'!$E20:INDEX('Feijão 2ª safra'!$E20:$Z20,MIN(W$6-$G$3,22))),0)))))</f>
        <v>0</v>
      </c>
      <c r="X22" s="27" t="n">
        <f aca="false">IF(COUNT('Feijão 2ª safra'!$E20:$Z20)=0,0,MAX(0,IF((X$6-$E$3)&lt;1,0,IFERROR(LOOKUP(2,1/('Feijão 2ª safra'!$E20:INDEX('Feijão 2ª safra'!$E20:$Z20,MIN(X$6-$E$3,22))&lt;&gt;""),'Feijão 2ª safra'!$E20:INDEX('Feijão 2ª safra'!$E20:$Z20,MIN(X$6-$E$3,22))),0))-IF($G$2,0,IF((X$6-$G$3)&lt;1,0,IFERROR(LOOKUP(2,1/('Feijão 2ª safra'!$E20:INDEX('Feijão 2ª safra'!$E20:$Z20,MIN(X$6-$G$3,22))&lt;&gt;""),'Feijão 2ª safra'!$E20:INDEX('Feijão 2ª safra'!$E20:$Z20,MIN(X$6-$G$3,22))),0)))))</f>
        <v>0</v>
      </c>
      <c r="Y22" s="27" t="n">
        <f aca="false">IF(COUNT('Feijão 2ª safra'!$E20:$Z20)=0,0,MAX(0,IF((Y$6-$E$3)&lt;1,0,IFERROR(LOOKUP(2,1/('Feijão 2ª safra'!$E20:INDEX('Feijão 2ª safra'!$E20:$Z20,MIN(Y$6-$E$3,22))&lt;&gt;""),'Feijão 2ª safra'!$E20:INDEX('Feijão 2ª safra'!$E20:$Z20,MIN(Y$6-$E$3,22))),0))-IF($G$2,0,IF((Y$6-$G$3)&lt;1,0,IFERROR(LOOKUP(2,1/('Feijão 2ª safra'!$E20:INDEX('Feijão 2ª safra'!$E20:$Z20,MIN(Y$6-$G$3,22))&lt;&gt;""),'Feijão 2ª safra'!$E20:INDEX('Feijão 2ª safra'!$E20:$Z20,MIN(Y$6-$G$3,22))),0)))))</f>
        <v>0</v>
      </c>
      <c r="Z22" s="27" t="n">
        <f aca="false">IF(COUNT('Feijão 2ª safra'!$E20:$Z20)=0,0,MAX(0,IF((Z$6-$E$3)&lt;1,0,IFERROR(LOOKUP(2,1/('Feijão 2ª safra'!$E20:INDEX('Feijão 2ª safra'!$E20:$Z20,MIN(Z$6-$E$3,22))&lt;&gt;""),'Feijão 2ª safra'!$E20:INDEX('Feijão 2ª safra'!$E20:$Z20,MIN(Z$6-$E$3,22))),0))-IF($G$2,0,IF((Z$6-$G$3)&lt;1,0,IFERROR(LOOKUP(2,1/('Feijão 2ª safra'!$E20:INDEX('Feijão 2ª safra'!$E20:$Z20,MIN(Z$6-$G$3,22))&lt;&gt;""),'Feijão 2ª safra'!$E20:INDEX('Feijão 2ª safra'!$E20:$Z20,MIN(Z$6-$G$3,22))),0)))))</f>
        <v>0</v>
      </c>
      <c r="AA22" s="27" t="n">
        <f aca="false">IF(COUNT('Feijão 2ª safra'!$E20:$Z20)=0,0,MAX(0,IF((AA$6-$E$3)&lt;1,0,IFERROR(LOOKUP(2,1/('Feijão 2ª safra'!$E20:INDEX('Feijão 2ª safra'!$E20:$Z20,MIN(AA$6-$E$3,22))&lt;&gt;""),'Feijão 2ª safra'!$E20:INDEX('Feijão 2ª safra'!$E20:$Z20,MIN(AA$6-$E$3,22))),0))-IF($G$2,0,IF((AA$6-$G$3)&lt;1,0,IFERROR(LOOKUP(2,1/('Feijão 2ª safra'!$E20:INDEX('Feijão 2ª safra'!$E20:$Z20,MIN(AA$6-$G$3,22))&lt;&gt;""),'Feijão 2ª safra'!$E20:INDEX('Feijão 2ª safra'!$E20:$Z20,MIN(AA$6-$G$3,22))),0)))))</f>
        <v>0</v>
      </c>
      <c r="AB22" s="27" t="n">
        <f aca="false">IF(COUNT('Feijão 2ª safra'!$E20:$Z20)=0,0,MAX(0,IF((AB$6-$E$3)&lt;1,0,IFERROR(LOOKUP(2,1/('Feijão 2ª safra'!$E20:INDEX('Feijão 2ª safra'!$E20:$Z20,MIN(AB$6-$E$3,22))&lt;&gt;""),'Feijão 2ª safra'!$E20:INDEX('Feijão 2ª safra'!$E20:$Z20,MIN(AB$6-$E$3,22))),0))-IF($G$2,0,IF((AB$6-$G$3)&lt;1,0,IFERROR(LOOKUP(2,1/('Feijão 2ª safra'!$E20:INDEX('Feijão 2ª safra'!$E20:$Z20,MIN(AB$6-$G$3,22))&lt;&gt;""),'Feijão 2ª safra'!$E20:INDEX('Feijão 2ª safra'!$E20:$Z20,MIN(AB$6-$G$3,22))),0)))))</f>
        <v>0</v>
      </c>
      <c r="AC22" s="27" t="n">
        <f aca="false">IF(COUNT('Feijão 2ª safra'!$E20:$Z20)=0,0,MAX(0,IF((AC$6-$E$3)&lt;1,0,IFERROR(LOOKUP(2,1/('Feijão 2ª safra'!$E20:INDEX('Feijão 2ª safra'!$E20:$Z20,MIN(AC$6-$E$3,22))&lt;&gt;""),'Feijão 2ª safra'!$E20:INDEX('Feijão 2ª safra'!$E20:$Z20,MIN(AC$6-$E$3,22))),0))-IF($G$2,0,IF((AC$6-$G$3)&lt;1,0,IFERROR(LOOKUP(2,1/('Feijão 2ª safra'!$E20:INDEX('Feijão 2ª safra'!$E20:$Z20,MIN(AC$6-$G$3,22))&lt;&gt;""),'Feijão 2ª safra'!$E20:INDEX('Feijão 2ª safra'!$E20:$Z20,MIN(AC$6-$G$3,22))),0)))))</f>
        <v>0</v>
      </c>
      <c r="AD22" s="27" t="n">
        <f aca="false">IF(COUNT('Feijão 2ª safra'!$E20:$Z20)=0,0,MAX(0,IF((AD$6-$E$3)&lt;1,0,IFERROR(LOOKUP(2,1/('Feijão 2ª safra'!$E20:INDEX('Feijão 2ª safra'!$E20:$Z20,MIN(AD$6-$E$3,22))&lt;&gt;""),'Feijão 2ª safra'!$E20:INDEX('Feijão 2ª safra'!$E20:$Z20,MIN(AD$6-$E$3,22))),0))-IF($G$2,0,IF((AD$6-$G$3)&lt;1,0,IFERROR(LOOKUP(2,1/('Feijão 2ª safra'!$E20:INDEX('Feijão 2ª safra'!$E20:$Z20,MIN(AD$6-$G$3,22))&lt;&gt;""),'Feijão 2ª safra'!$E20:INDEX('Feijão 2ª safra'!$E20:$Z20,MIN(AD$6-$G$3,22))),0)))))</f>
        <v>0</v>
      </c>
      <c r="AE22" s="27" t="n">
        <f aca="false">IF(COUNT('Feijão 2ª safra'!$E20:$Z20)=0,0,MAX(0,IF((AE$6-$E$3)&lt;1,0,IFERROR(LOOKUP(2,1/('Feijão 2ª safra'!$E20:INDEX('Feijão 2ª safra'!$E20:$Z20,MIN(AE$6-$E$3,22))&lt;&gt;""),'Feijão 2ª safra'!$E20:INDEX('Feijão 2ª safra'!$E20:$Z20,MIN(AE$6-$E$3,22))),0))-IF($G$2,0,IF((AE$6-$G$3)&lt;1,0,IFERROR(LOOKUP(2,1/('Feijão 2ª safra'!$E20:INDEX('Feijão 2ª safra'!$E20:$Z20,MIN(AE$6-$G$3,22))&lt;&gt;""),'Feijão 2ª safra'!$E20:INDEX('Feijão 2ª safra'!$E20:$Z20,MIN(AE$6-$G$3,22))),0)))))</f>
        <v>0</v>
      </c>
      <c r="AF22" s="27" t="n">
        <f aca="false">IF(COUNT('Feijão 2ª safra'!$E20:$Z20)=0,0,MAX(0,IF((AF$6-$E$3)&lt;1,0,IFERROR(LOOKUP(2,1/('Feijão 2ª safra'!$E20:INDEX('Feijão 2ª safra'!$E20:$Z20,MIN(AF$6-$E$3,22))&lt;&gt;""),'Feijão 2ª safra'!$E20:INDEX('Feijão 2ª safra'!$E20:$Z20,MIN(AF$6-$E$3,22))),0))-IF($G$2,0,IF((AF$6-$G$3)&lt;1,0,IFERROR(LOOKUP(2,1/('Feijão 2ª safra'!$E20:INDEX('Feijão 2ª safra'!$E20:$Z20,MIN(AF$6-$G$3,22))&lt;&gt;""),'Feijão 2ª safra'!$E20:INDEX('Feijão 2ª safra'!$E20:$Z20,MIN(AF$6-$G$3,22))),0)))))</f>
        <v>0</v>
      </c>
      <c r="AG22" s="27" t="n">
        <f aca="false">IF(COUNT('Feijão 2ª safra'!$E20:$Z20)=0,0,MAX(0,IF((AG$6-$E$3)&lt;1,0,IFERROR(LOOKUP(2,1/('Feijão 2ª safra'!$E20:INDEX('Feijão 2ª safra'!$E20:$Z20,MIN(AG$6-$E$3,22))&lt;&gt;""),'Feijão 2ª safra'!$E20:INDEX('Feijão 2ª safra'!$E20:$Z20,MIN(AG$6-$E$3,22))),0))-IF($G$2,0,IF((AG$6-$G$3)&lt;1,0,IFERROR(LOOKUP(2,1/('Feijão 2ª safra'!$E20:INDEX('Feijão 2ª safra'!$E20:$Z20,MIN(AG$6-$G$3,22))&lt;&gt;""),'Feijão 2ª safra'!$E20:INDEX('Feijão 2ª safra'!$E20:$Z20,MIN(AG$6-$G$3,22))),0)))))</f>
        <v>0</v>
      </c>
      <c r="AH22" s="27" t="n">
        <f aca="false">IF(COUNT('Feijão 2ª safra'!$E20:$Z20)=0,0,MAX(0,IF((AH$6-$E$3)&lt;1,0,IFERROR(LOOKUP(2,1/('Feijão 2ª safra'!$E20:INDEX('Feijão 2ª safra'!$E20:$Z20,MIN(AH$6-$E$3,22))&lt;&gt;""),'Feijão 2ª safra'!$E20:INDEX('Feijão 2ª safra'!$E20:$Z20,MIN(AH$6-$E$3,22))),0))-IF($G$2,0,IF((AH$6-$G$3)&lt;1,0,IFERROR(LOOKUP(2,1/('Feijão 2ª safra'!$E20:INDEX('Feijão 2ª safra'!$E20:$Z20,MIN(AH$6-$G$3,22))&lt;&gt;""),'Feijão 2ª safra'!$E20:INDEX('Feijão 2ª safra'!$E20:$Z20,MIN(AH$6-$G$3,22))),0)))))</f>
        <v>0</v>
      </c>
      <c r="AI22" s="27" t="n">
        <f aca="false">IF(COUNT('Feijão 2ª safra'!$E20:$Z20)=0,0,MAX(0,IF((AI$6-$E$3)&lt;1,0,IFERROR(LOOKUP(2,1/('Feijão 2ª safra'!$E20:INDEX('Feijão 2ª safra'!$E20:$Z20,MIN(AI$6-$E$3,22))&lt;&gt;""),'Feijão 2ª safra'!$E20:INDEX('Feijão 2ª safra'!$E20:$Z20,MIN(AI$6-$E$3,22))),0))-IF($G$2,0,IF((AI$6-$G$3)&lt;1,0,IFERROR(LOOKUP(2,1/('Feijão 2ª safra'!$E20:INDEX('Feijão 2ª safra'!$E20:$Z20,MIN(AI$6-$G$3,22))&lt;&gt;""),'Feijão 2ª safra'!$E20:INDEX('Feijão 2ª safra'!$E20:$Z20,MIN(AI$6-$G$3,22))),0)))))</f>
        <v>0</v>
      </c>
      <c r="AJ22" s="27" t="n">
        <f aca="false">IF(COUNT('Feijão 2ª safra'!$E20:$Z20)=0,0,MAX(0,IF((AJ$6-$E$3)&lt;1,0,IFERROR(LOOKUP(2,1/('Feijão 2ª safra'!$E20:INDEX('Feijão 2ª safra'!$E20:$Z20,MIN(AJ$6-$E$3,22))&lt;&gt;""),'Feijão 2ª safra'!$E20:INDEX('Feijão 2ª safra'!$E20:$Z20,MIN(AJ$6-$E$3,22))),0))-IF($G$2,0,IF((AJ$6-$G$3)&lt;1,0,IFERROR(LOOKUP(2,1/('Feijão 2ª safra'!$E20:INDEX('Feijão 2ª safra'!$E20:$Z20,MIN(AJ$6-$G$3,22))&lt;&gt;""),'Feijão 2ª safra'!$E20:INDEX('Feijão 2ª safra'!$E20:$Z20,MIN(AJ$6-$G$3,22))),0)))))</f>
        <v>0</v>
      </c>
      <c r="AK22" s="27" t="n">
        <f aca="false">IF(COUNT('Feijão 2ª safra'!$E20:$Z20)=0,0,MAX(0,IF((AK$6-$E$3)&lt;1,0,IFERROR(LOOKUP(2,1/('Feijão 2ª safra'!$E20:INDEX('Feijão 2ª safra'!$E20:$Z20,MIN(AK$6-$E$3,22))&lt;&gt;""),'Feijão 2ª safra'!$E20:INDEX('Feijão 2ª safra'!$E20:$Z20,MIN(AK$6-$E$3,22))),0))-IF($G$2,0,IF((AK$6-$G$3)&lt;1,0,IFERROR(LOOKUP(2,1/('Feijão 2ª safra'!$E20:INDEX('Feijão 2ª safra'!$E20:$Z20,MIN(AK$6-$G$3,22))&lt;&gt;""),'Feijão 2ª safra'!$E20:INDEX('Feijão 2ª safra'!$E20:$Z20,MIN(AK$6-$G$3,22))),0)))))</f>
        <v>0</v>
      </c>
      <c r="AL22" s="27" t="n">
        <f aca="false">IF(COUNT('Feijão 2ª safra'!$E20:$Z20)=0,0,MAX(0,IF((AL$6-$E$3)&lt;1,0,IFERROR(LOOKUP(2,1/('Feijão 2ª safra'!$E20:INDEX('Feijão 2ª safra'!$E20:$Z20,MIN(AL$6-$E$3,22))&lt;&gt;""),'Feijão 2ª safra'!$E20:INDEX('Feijão 2ª safra'!$E20:$Z20,MIN(AL$6-$E$3,22))),0))-IF($G$2,0,IF((AL$6-$G$3)&lt;1,0,IFERROR(LOOKUP(2,1/('Feijão 2ª safra'!$E20:INDEX('Feijão 2ª safra'!$E20:$Z20,MIN(AL$6-$G$3,22))&lt;&gt;""),'Feijão 2ª safra'!$E20:INDEX('Feijão 2ª safra'!$E20:$Z20,MIN(AL$6-$G$3,22))),0)))))</f>
        <v>0</v>
      </c>
      <c r="AM22" s="27" t="n">
        <f aca="false">IF(COUNT('Feijão 2ª safra'!$E20:$Z20)=0,0,MAX(0,IF((AM$6-$E$3)&lt;1,0,IFERROR(LOOKUP(2,1/('Feijão 2ª safra'!$E20:INDEX('Feijão 2ª safra'!$E20:$Z20,MIN(AM$6-$E$3,22))&lt;&gt;""),'Feijão 2ª safra'!$E20:INDEX('Feijão 2ª safra'!$E20:$Z20,MIN(AM$6-$E$3,22))),0))-IF($G$2,0,IF((AM$6-$G$3)&lt;1,0,IFERROR(LOOKUP(2,1/('Feijão 2ª safra'!$E20:INDEX('Feijão 2ª safra'!$E20:$Z20,MIN(AM$6-$G$3,22))&lt;&gt;""),'Feijão 2ª safra'!$E20:INDEX('Feijão 2ª safra'!$E20:$Z20,MIN(AM$6-$G$3,22))),0)))))</f>
        <v>0</v>
      </c>
      <c r="AN22" s="27" t="n">
        <f aca="false">IF(COUNT('Feijão 2ª safra'!$E20:$Z20)=0,0,MAX(0,IF((AN$6-$E$3)&lt;1,0,IFERROR(LOOKUP(2,1/('Feijão 2ª safra'!$E20:INDEX('Feijão 2ª safra'!$E20:$Z20,MIN(AN$6-$E$3,22))&lt;&gt;""),'Feijão 2ª safra'!$E20:INDEX('Feijão 2ª safra'!$E20:$Z20,MIN(AN$6-$E$3,22))),0))-IF($G$2,0,IF((AN$6-$G$3)&lt;1,0,IFERROR(LOOKUP(2,1/('Feijão 2ª safra'!$E20:INDEX('Feijão 2ª safra'!$E20:$Z20,MIN(AN$6-$G$3,22))&lt;&gt;""),'Feijão 2ª safra'!$E20:INDEX('Feijão 2ª safra'!$E20:$Z20,MIN(AN$6-$G$3,22))),0)))))</f>
        <v>0</v>
      </c>
      <c r="AO22" s="27" t="n">
        <f aca="false">IF(COUNT('Feijão 2ª safra'!$E20:$Z20)=0,0,MAX(0,IF((AO$6-$E$3)&lt;1,0,IFERROR(LOOKUP(2,1/('Feijão 2ª safra'!$E20:INDEX('Feijão 2ª safra'!$E20:$Z20,MIN(AO$6-$E$3,22))&lt;&gt;""),'Feijão 2ª safra'!$E20:INDEX('Feijão 2ª safra'!$E20:$Z20,MIN(AO$6-$E$3,22))),0))-IF($G$2,0,IF((AO$6-$G$3)&lt;1,0,IFERROR(LOOKUP(2,1/('Feijão 2ª safra'!$E20:INDEX('Feijão 2ª safra'!$E20:$Z20,MIN(AO$6-$G$3,22))&lt;&gt;""),'Feijão 2ª safra'!$E20:INDEX('Feijão 2ª safra'!$E20:$Z20,MIN(AO$6-$G$3,22))),0)))))</f>
        <v>0</v>
      </c>
      <c r="AP22" s="27" t="n">
        <f aca="false">IF(COUNT('Feijão 2ª safra'!$E20:$Z20)=0,0,MAX(0,IF((AP$6-$E$3)&lt;1,0,IFERROR(LOOKUP(2,1/('Feijão 2ª safra'!$E20:INDEX('Feijão 2ª safra'!$E20:$Z20,MIN(AP$6-$E$3,22))&lt;&gt;""),'Feijão 2ª safra'!$E20:INDEX('Feijão 2ª safra'!$E20:$Z20,MIN(AP$6-$E$3,22))),0))-IF($G$2,0,IF((AP$6-$G$3)&lt;1,0,IFERROR(LOOKUP(2,1/('Feijão 2ª safra'!$E20:INDEX('Feijão 2ª safra'!$E20:$Z20,MIN(AP$6-$G$3,22))&lt;&gt;""),'Feijão 2ª safra'!$E20:INDEX('Feijão 2ª safra'!$E20:$Z20,MIN(AP$6-$G$3,22))),0)))))</f>
        <v>0</v>
      </c>
      <c r="AQ22" s="27" t="n">
        <f aca="false">IF(COUNT('Feijão 2ª safra'!$E20:$Z20)=0,0,MAX(0,IF((AQ$6-$E$3)&lt;1,0,IFERROR(LOOKUP(2,1/('Feijão 2ª safra'!$E20:INDEX('Feijão 2ª safra'!$E20:$Z20,MIN(AQ$6-$E$3,22))&lt;&gt;""),'Feijão 2ª safra'!$E20:INDEX('Feijão 2ª safra'!$E20:$Z20,MIN(AQ$6-$E$3,22))),0))-IF($G$2,0,IF((AQ$6-$G$3)&lt;1,0,IFERROR(LOOKUP(2,1/('Feijão 2ª safra'!$E20:INDEX('Feijão 2ª safra'!$E20:$Z20,MIN(AQ$6-$G$3,22))&lt;&gt;""),'Feijão 2ª safra'!$E20:INDEX('Feijão 2ª safra'!$E20:$Z20,MIN(AQ$6-$G$3,22))),0)))))</f>
        <v>0</v>
      </c>
      <c r="AR22" s="27" t="n">
        <f aca="false">IF(COUNT('Feijão 2ª safra'!$E20:$Z20)=0,0,MAX(0,IF((AR$6-$E$3)&lt;1,0,IFERROR(LOOKUP(2,1/('Feijão 2ª safra'!$E20:INDEX('Feijão 2ª safra'!$E20:$Z20,MIN(AR$6-$E$3,22))&lt;&gt;""),'Feijão 2ª safra'!$E20:INDEX('Feijão 2ª safra'!$E20:$Z20,MIN(AR$6-$E$3,22))),0))-IF($G$2,0,IF((AR$6-$G$3)&lt;1,0,IFERROR(LOOKUP(2,1/('Feijão 2ª safra'!$E20:INDEX('Feijão 2ª safra'!$E20:$Z20,MIN(AR$6-$G$3,22))&lt;&gt;""),'Feijão 2ª safra'!$E20:INDEX('Feijão 2ª safra'!$E20:$Z20,MIN(AR$6-$G$3,22))),0)))))</f>
        <v>0</v>
      </c>
      <c r="AS22" s="27" t="n">
        <f aca="false">IF(COUNT('Feijão 2ª safra'!$E20:$Z20)=0,0,MAX(0,IF((AS$6-$E$3)&lt;1,0,IFERROR(LOOKUP(2,1/('Feijão 2ª safra'!$E20:INDEX('Feijão 2ª safra'!$E20:$Z20,MIN(AS$6-$E$3,22))&lt;&gt;""),'Feijão 2ª safra'!$E20:INDEX('Feijão 2ª safra'!$E20:$Z20,MIN(AS$6-$E$3,22))),0))-IF($G$2,0,IF((AS$6-$G$3)&lt;1,0,IFERROR(LOOKUP(2,1/('Feijão 2ª safra'!$E20:INDEX('Feijão 2ª safra'!$E20:$Z20,MIN(AS$6-$G$3,22))&lt;&gt;""),'Feijão 2ª safra'!$E20:INDEX('Feijão 2ª safra'!$E20:$Z20,MIN(AS$6-$G$3,22))),0)))))</f>
        <v>0</v>
      </c>
      <c r="AT22" s="27" t="n">
        <f aca="false">IF(COUNT('Feijão 2ª safra'!$E20:$Z20)=0,0,MAX(0,IF((AT$6-$E$3)&lt;1,0,IFERROR(LOOKUP(2,1/('Feijão 2ª safra'!$E20:INDEX('Feijão 2ª safra'!$E20:$Z20,MIN(AT$6-$E$3,22))&lt;&gt;""),'Feijão 2ª safra'!$E20:INDEX('Feijão 2ª safra'!$E20:$Z20,MIN(AT$6-$E$3,22))),0))-IF($G$2,0,IF((AT$6-$G$3)&lt;1,0,IFERROR(LOOKUP(2,1/('Feijão 2ª safra'!$E20:INDEX('Feijão 2ª safra'!$E20:$Z20,MIN(AT$6-$G$3,22))&lt;&gt;""),'Feijão 2ª safra'!$E20:INDEX('Feijão 2ª safra'!$E20:$Z20,MIN(AT$6-$G$3,22))),0)))))</f>
        <v>0</v>
      </c>
      <c r="AU22" s="27" t="n">
        <f aca="false">IF(COUNT('Feijão 2ª safra'!$E20:$Z20)=0,0,MAX(0,IF((AU$6-$E$3)&lt;1,0,IFERROR(LOOKUP(2,1/('Feijão 2ª safra'!$E20:INDEX('Feijão 2ª safra'!$E20:$Z20,MIN(AU$6-$E$3,22))&lt;&gt;""),'Feijão 2ª safra'!$E20:INDEX('Feijão 2ª safra'!$E20:$Z20,MIN(AU$6-$E$3,22))),0))-IF($G$2,0,IF((AU$6-$G$3)&lt;1,0,IFERROR(LOOKUP(2,1/('Feijão 2ª safra'!$E20:INDEX('Feijão 2ª safra'!$E20:$Z20,MIN(AU$6-$G$3,22))&lt;&gt;""),'Feijão 2ª safra'!$E20:INDEX('Feijão 2ª safra'!$E20:$Z20,MIN(AU$6-$G$3,22))),0)))))</f>
        <v>0</v>
      </c>
      <c r="AV22" s="27" t="n">
        <f aca="false">IF(COUNT('Feijão 2ª safra'!$E20:$Z20)=0,0,MAX(0,IF((AV$6-$E$3)&lt;1,0,IFERROR(LOOKUP(2,1/('Feijão 2ª safra'!$E20:INDEX('Feijão 2ª safra'!$E20:$Z20,MIN(AV$6-$E$3,22))&lt;&gt;""),'Feijão 2ª safra'!$E20:INDEX('Feijão 2ª safra'!$E20:$Z20,MIN(AV$6-$E$3,22))),0))-IF($G$2,0,IF((AV$6-$G$3)&lt;1,0,IFERROR(LOOKUP(2,1/('Feijão 2ª safra'!$E20:INDEX('Feijão 2ª safra'!$E20:$Z20,MIN(AV$6-$G$3,22))&lt;&gt;""),'Feijão 2ª safra'!$E20:INDEX('Feijão 2ª safra'!$E20:$Z20,MIN(AV$6-$G$3,22))),0)))))</f>
        <v>0</v>
      </c>
      <c r="AW22" s="27" t="n">
        <f aca="false">IF(COUNT('Feijão 2ª safra'!$E20:$Z20)=0,0,MAX(0,IF((AW$6-$E$3)&lt;1,0,IFERROR(LOOKUP(2,1/('Feijão 2ª safra'!$E20:INDEX('Feijão 2ª safra'!$E20:$Z20,MIN(AW$6-$E$3,22))&lt;&gt;""),'Feijão 2ª safra'!$E20:INDEX('Feijão 2ª safra'!$E20:$Z20,MIN(AW$6-$E$3,22))),0))-IF($G$2,0,IF((AW$6-$G$3)&lt;1,0,IFERROR(LOOKUP(2,1/('Feijão 2ª safra'!$E20:INDEX('Feijão 2ª safra'!$E20:$Z20,MIN(AW$6-$G$3,22))&lt;&gt;""),'Feijão 2ª safra'!$E20:INDEX('Feijão 2ª safra'!$E20:$Z20,MIN(AW$6-$G$3,22))),0)))))</f>
        <v>0</v>
      </c>
      <c r="AX22" s="27" t="n">
        <f aca="false">IF(COUNT('Feijão 2ª safra'!$E20:$Z20)=0,0,MAX(0,IF((AX$6-$E$3)&lt;1,0,IFERROR(LOOKUP(2,1/('Feijão 2ª safra'!$E20:INDEX('Feijão 2ª safra'!$E20:$Z20,MIN(AX$6-$E$3,22))&lt;&gt;""),'Feijão 2ª safra'!$E20:INDEX('Feijão 2ª safra'!$E20:$Z20,MIN(AX$6-$E$3,22))),0))-IF($G$2,0,IF((AX$6-$G$3)&lt;1,0,IFERROR(LOOKUP(2,1/('Feijão 2ª safra'!$E20:INDEX('Feijão 2ª safra'!$E20:$Z20,MIN(AX$6-$G$3,22))&lt;&gt;""),'Feijão 2ª safra'!$E20:INDEX('Feijão 2ª safra'!$E20:$Z20,MIN(AX$6-$G$3,22))),0)))))</f>
        <v>0</v>
      </c>
      <c r="AY22" s="27" t="n">
        <f aca="false">IF(COUNT('Feijão 2ª safra'!$E20:$Z20)=0,0,MAX(0,IF((AY$6-$E$3)&lt;1,0,IFERROR(LOOKUP(2,1/('Feijão 2ª safra'!$E20:INDEX('Feijão 2ª safra'!$E20:$Z20,MIN(AY$6-$E$3,22))&lt;&gt;""),'Feijão 2ª safra'!$E20:INDEX('Feijão 2ª safra'!$E20:$Z20,MIN(AY$6-$E$3,22))),0))-IF($G$2,0,IF((AY$6-$G$3)&lt;1,0,IFERROR(LOOKUP(2,1/('Feijão 2ª safra'!$E20:INDEX('Feijão 2ª safra'!$E20:$Z20,MIN(AY$6-$G$3,22))&lt;&gt;""),'Feijão 2ª safra'!$E20:INDEX('Feijão 2ª safra'!$E20:$Z20,MIN(AY$6-$G$3,22))),0)))))</f>
        <v>0</v>
      </c>
      <c r="AZ22" s="27" t="n">
        <f aca="false">IF(COUNT('Feijão 2ª safra'!$E20:$Z20)=0,0,MAX(0,IF((AZ$6-$E$3)&lt;1,0,IFERROR(LOOKUP(2,1/('Feijão 2ª safra'!$E20:INDEX('Feijão 2ª safra'!$E20:$Z20,MIN(AZ$6-$E$3,22))&lt;&gt;""),'Feijão 2ª safra'!$E20:INDEX('Feijão 2ª safra'!$E20:$Z20,MIN(AZ$6-$E$3,22))),0))-IF($G$2,0,IF((AZ$6-$G$3)&lt;1,0,IFERROR(LOOKUP(2,1/('Feijão 2ª safra'!$E20:INDEX('Feijão 2ª safra'!$E20:$Z20,MIN(AZ$6-$G$3,22))&lt;&gt;""),'Feijão 2ª safra'!$E20:INDEX('Feijão 2ª safra'!$E20:$Z20,MIN(AZ$6-$G$3,22))),0)))))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IF(COUNT('Feijão 2ª safra'!$E21:$Z21)&gt;0,N('Feijão 2ª safra'!$D21),0)</f>
        <v>0</v>
      </c>
      <c r="E23" s="27" t="n">
        <f aca="false">IF(COUNT('Feijão 2ª safra'!$E21:$Z21)=0,0,MAX(0,IF((E$6-$E$3)&lt;1,0,IFERROR(LOOKUP(2,1/('Feijão 2ª safra'!$E21:INDEX('Feijão 2ª safra'!$E21:$Z21,MIN(E$6-$E$3,22))&lt;&gt;""),'Feijão 2ª safra'!$E21:INDEX('Feijão 2ª safra'!$E21:$Z21,MIN(E$6-$E$3,22))),0))-IF($G$2,0,IF((E$6-$G$3)&lt;1,0,IFERROR(LOOKUP(2,1/('Feijão 2ª safra'!$E21:INDEX('Feijão 2ª safra'!$E21:$Z21,MIN(E$6-$G$3,22))&lt;&gt;""),'Feijão 2ª safra'!$E21:INDEX('Feijão 2ª safra'!$E21:$Z21,MIN(E$6-$G$3,22))),0)))))</f>
        <v>0</v>
      </c>
      <c r="F23" s="27" t="n">
        <f aca="false">IF(COUNT('Feijão 2ª safra'!$E21:$Z21)=0,0,MAX(0,IF((F$6-$E$3)&lt;1,0,IFERROR(LOOKUP(2,1/('Feijão 2ª safra'!$E21:INDEX('Feijão 2ª safra'!$E21:$Z21,MIN(F$6-$E$3,22))&lt;&gt;""),'Feijão 2ª safra'!$E21:INDEX('Feijão 2ª safra'!$E21:$Z21,MIN(F$6-$E$3,22))),0))-IF($G$2,0,IF((F$6-$G$3)&lt;1,0,IFERROR(LOOKUP(2,1/('Feijão 2ª safra'!$E21:INDEX('Feijão 2ª safra'!$E21:$Z21,MIN(F$6-$G$3,22))&lt;&gt;""),'Feijão 2ª safra'!$E21:INDEX('Feijão 2ª safra'!$E21:$Z21,MIN(F$6-$G$3,22))),0)))))</f>
        <v>0</v>
      </c>
      <c r="G23" s="27" t="n">
        <f aca="false">IF(COUNT('Feijão 2ª safra'!$E21:$Z21)=0,0,MAX(0,IF((G$6-$E$3)&lt;1,0,IFERROR(LOOKUP(2,1/('Feijão 2ª safra'!$E21:INDEX('Feijão 2ª safra'!$E21:$Z21,MIN(G$6-$E$3,22))&lt;&gt;""),'Feijão 2ª safra'!$E21:INDEX('Feijão 2ª safra'!$E21:$Z21,MIN(G$6-$E$3,22))),0))-IF($G$2,0,IF((G$6-$G$3)&lt;1,0,IFERROR(LOOKUP(2,1/('Feijão 2ª safra'!$E21:INDEX('Feijão 2ª safra'!$E21:$Z21,MIN(G$6-$G$3,22))&lt;&gt;""),'Feijão 2ª safra'!$E21:INDEX('Feijão 2ª safra'!$E21:$Z21,MIN(G$6-$G$3,22))),0)))))</f>
        <v>0</v>
      </c>
      <c r="H23" s="27" t="n">
        <f aca="false">IF(COUNT('Feijão 2ª safra'!$E21:$Z21)=0,0,MAX(0,IF((H$6-$E$3)&lt;1,0,IFERROR(LOOKUP(2,1/('Feijão 2ª safra'!$E21:INDEX('Feijão 2ª safra'!$E21:$Z21,MIN(H$6-$E$3,22))&lt;&gt;""),'Feijão 2ª safra'!$E21:INDEX('Feijão 2ª safra'!$E21:$Z21,MIN(H$6-$E$3,22))),0))-IF($G$2,0,IF((H$6-$G$3)&lt;1,0,IFERROR(LOOKUP(2,1/('Feijão 2ª safra'!$E21:INDEX('Feijão 2ª safra'!$E21:$Z21,MIN(H$6-$G$3,22))&lt;&gt;""),'Feijão 2ª safra'!$E21:INDEX('Feijão 2ª safra'!$E21:$Z21,MIN(H$6-$G$3,22))),0)))))</f>
        <v>0</v>
      </c>
      <c r="I23" s="27" t="n">
        <f aca="false">IF(COUNT('Feijão 2ª safra'!$E21:$Z21)=0,0,MAX(0,IF((I$6-$E$3)&lt;1,0,IFERROR(LOOKUP(2,1/('Feijão 2ª safra'!$E21:INDEX('Feijão 2ª safra'!$E21:$Z21,MIN(I$6-$E$3,22))&lt;&gt;""),'Feijão 2ª safra'!$E21:INDEX('Feijão 2ª safra'!$E21:$Z21,MIN(I$6-$E$3,22))),0))-IF($G$2,0,IF((I$6-$G$3)&lt;1,0,IFERROR(LOOKUP(2,1/('Feijão 2ª safra'!$E21:INDEX('Feijão 2ª safra'!$E21:$Z21,MIN(I$6-$G$3,22))&lt;&gt;""),'Feijão 2ª safra'!$E21:INDEX('Feijão 2ª safra'!$E21:$Z21,MIN(I$6-$G$3,22))),0)))))</f>
        <v>0</v>
      </c>
      <c r="J23" s="27" t="n">
        <f aca="false">IF(COUNT('Feijão 2ª safra'!$E21:$Z21)=0,0,MAX(0,IF((J$6-$E$3)&lt;1,0,IFERROR(LOOKUP(2,1/('Feijão 2ª safra'!$E21:INDEX('Feijão 2ª safra'!$E21:$Z21,MIN(J$6-$E$3,22))&lt;&gt;""),'Feijão 2ª safra'!$E21:INDEX('Feijão 2ª safra'!$E21:$Z21,MIN(J$6-$E$3,22))),0))-IF($G$2,0,IF((J$6-$G$3)&lt;1,0,IFERROR(LOOKUP(2,1/('Feijão 2ª safra'!$E21:INDEX('Feijão 2ª safra'!$E21:$Z21,MIN(J$6-$G$3,22))&lt;&gt;""),'Feijão 2ª safra'!$E21:INDEX('Feijão 2ª safra'!$E21:$Z21,MIN(J$6-$G$3,22))),0)))))</f>
        <v>0</v>
      </c>
      <c r="K23" s="27" t="n">
        <f aca="false">IF(COUNT('Feijão 2ª safra'!$E21:$Z21)=0,0,MAX(0,IF((K$6-$E$3)&lt;1,0,IFERROR(LOOKUP(2,1/('Feijão 2ª safra'!$E21:INDEX('Feijão 2ª safra'!$E21:$Z21,MIN(K$6-$E$3,22))&lt;&gt;""),'Feijão 2ª safra'!$E21:INDEX('Feijão 2ª safra'!$E21:$Z21,MIN(K$6-$E$3,22))),0))-IF($G$2,0,IF((K$6-$G$3)&lt;1,0,IFERROR(LOOKUP(2,1/('Feijão 2ª safra'!$E21:INDEX('Feijão 2ª safra'!$E21:$Z21,MIN(K$6-$G$3,22))&lt;&gt;""),'Feijão 2ª safra'!$E21:INDEX('Feijão 2ª safra'!$E21:$Z21,MIN(K$6-$G$3,22))),0)))))</f>
        <v>0</v>
      </c>
      <c r="L23" s="27" t="n">
        <f aca="false">IF(COUNT('Feijão 2ª safra'!$E21:$Z21)=0,0,MAX(0,IF((L$6-$E$3)&lt;1,0,IFERROR(LOOKUP(2,1/('Feijão 2ª safra'!$E21:INDEX('Feijão 2ª safra'!$E21:$Z21,MIN(L$6-$E$3,22))&lt;&gt;""),'Feijão 2ª safra'!$E21:INDEX('Feijão 2ª safra'!$E21:$Z21,MIN(L$6-$E$3,22))),0))-IF($G$2,0,IF((L$6-$G$3)&lt;1,0,IFERROR(LOOKUP(2,1/('Feijão 2ª safra'!$E21:INDEX('Feijão 2ª safra'!$E21:$Z21,MIN(L$6-$G$3,22))&lt;&gt;""),'Feijão 2ª safra'!$E21:INDEX('Feijão 2ª safra'!$E21:$Z21,MIN(L$6-$G$3,22))),0)))))</f>
        <v>0</v>
      </c>
      <c r="M23" s="27" t="n">
        <f aca="false">IF(COUNT('Feijão 2ª safra'!$E21:$Z21)=0,0,MAX(0,IF((M$6-$E$3)&lt;1,0,IFERROR(LOOKUP(2,1/('Feijão 2ª safra'!$E21:INDEX('Feijão 2ª safra'!$E21:$Z21,MIN(M$6-$E$3,22))&lt;&gt;""),'Feijão 2ª safra'!$E21:INDEX('Feijão 2ª safra'!$E21:$Z21,MIN(M$6-$E$3,22))),0))-IF($G$2,0,IF((M$6-$G$3)&lt;1,0,IFERROR(LOOKUP(2,1/('Feijão 2ª safra'!$E21:INDEX('Feijão 2ª safra'!$E21:$Z21,MIN(M$6-$G$3,22))&lt;&gt;""),'Feijão 2ª safra'!$E21:INDEX('Feijão 2ª safra'!$E21:$Z21,MIN(M$6-$G$3,22))),0)))))</f>
        <v>0</v>
      </c>
      <c r="N23" s="27" t="n">
        <f aca="false">IF(COUNT('Feijão 2ª safra'!$E21:$Z21)=0,0,MAX(0,IF((N$6-$E$3)&lt;1,0,IFERROR(LOOKUP(2,1/('Feijão 2ª safra'!$E21:INDEX('Feijão 2ª safra'!$E21:$Z21,MIN(N$6-$E$3,22))&lt;&gt;""),'Feijão 2ª safra'!$E21:INDEX('Feijão 2ª safra'!$E21:$Z21,MIN(N$6-$E$3,22))),0))-IF($G$2,0,IF((N$6-$G$3)&lt;1,0,IFERROR(LOOKUP(2,1/('Feijão 2ª safra'!$E21:INDEX('Feijão 2ª safra'!$E21:$Z21,MIN(N$6-$G$3,22))&lt;&gt;""),'Feijão 2ª safra'!$E21:INDEX('Feijão 2ª safra'!$E21:$Z21,MIN(N$6-$G$3,22))),0)))))</f>
        <v>0</v>
      </c>
      <c r="O23" s="27" t="n">
        <f aca="false">IF(COUNT('Feijão 2ª safra'!$E21:$Z21)=0,0,MAX(0,IF((O$6-$E$3)&lt;1,0,IFERROR(LOOKUP(2,1/('Feijão 2ª safra'!$E21:INDEX('Feijão 2ª safra'!$E21:$Z21,MIN(O$6-$E$3,22))&lt;&gt;""),'Feijão 2ª safra'!$E21:INDEX('Feijão 2ª safra'!$E21:$Z21,MIN(O$6-$E$3,22))),0))-IF($G$2,0,IF((O$6-$G$3)&lt;1,0,IFERROR(LOOKUP(2,1/('Feijão 2ª safra'!$E21:INDEX('Feijão 2ª safra'!$E21:$Z21,MIN(O$6-$G$3,22))&lt;&gt;""),'Feijão 2ª safra'!$E21:INDEX('Feijão 2ª safra'!$E21:$Z21,MIN(O$6-$G$3,22))),0)))))</f>
        <v>0</v>
      </c>
      <c r="P23" s="27" t="n">
        <f aca="false">IF(COUNT('Feijão 2ª safra'!$E21:$Z21)=0,0,MAX(0,IF((P$6-$E$3)&lt;1,0,IFERROR(LOOKUP(2,1/('Feijão 2ª safra'!$E21:INDEX('Feijão 2ª safra'!$E21:$Z21,MIN(P$6-$E$3,22))&lt;&gt;""),'Feijão 2ª safra'!$E21:INDEX('Feijão 2ª safra'!$E21:$Z21,MIN(P$6-$E$3,22))),0))-IF($G$2,0,IF((P$6-$G$3)&lt;1,0,IFERROR(LOOKUP(2,1/('Feijão 2ª safra'!$E21:INDEX('Feijão 2ª safra'!$E21:$Z21,MIN(P$6-$G$3,22))&lt;&gt;""),'Feijão 2ª safra'!$E21:INDEX('Feijão 2ª safra'!$E21:$Z21,MIN(P$6-$G$3,22))),0)))))</f>
        <v>0</v>
      </c>
      <c r="Q23" s="27" t="n">
        <f aca="false">IF(COUNT('Feijão 2ª safra'!$E21:$Z21)=0,0,MAX(0,IF((Q$6-$E$3)&lt;1,0,IFERROR(LOOKUP(2,1/('Feijão 2ª safra'!$E21:INDEX('Feijão 2ª safra'!$E21:$Z21,MIN(Q$6-$E$3,22))&lt;&gt;""),'Feijão 2ª safra'!$E21:INDEX('Feijão 2ª safra'!$E21:$Z21,MIN(Q$6-$E$3,22))),0))-IF($G$2,0,IF((Q$6-$G$3)&lt;1,0,IFERROR(LOOKUP(2,1/('Feijão 2ª safra'!$E21:INDEX('Feijão 2ª safra'!$E21:$Z21,MIN(Q$6-$G$3,22))&lt;&gt;""),'Feijão 2ª safra'!$E21:INDEX('Feijão 2ª safra'!$E21:$Z21,MIN(Q$6-$G$3,22))),0)))))</f>
        <v>0</v>
      </c>
      <c r="R23" s="27" t="n">
        <f aca="false">IF(COUNT('Feijão 2ª safra'!$E21:$Z21)=0,0,MAX(0,IF((R$6-$E$3)&lt;1,0,IFERROR(LOOKUP(2,1/('Feijão 2ª safra'!$E21:INDEX('Feijão 2ª safra'!$E21:$Z21,MIN(R$6-$E$3,22))&lt;&gt;""),'Feijão 2ª safra'!$E21:INDEX('Feijão 2ª safra'!$E21:$Z21,MIN(R$6-$E$3,22))),0))-IF($G$2,0,IF((R$6-$G$3)&lt;1,0,IFERROR(LOOKUP(2,1/('Feijão 2ª safra'!$E21:INDEX('Feijão 2ª safra'!$E21:$Z21,MIN(R$6-$G$3,22))&lt;&gt;""),'Feijão 2ª safra'!$E21:INDEX('Feijão 2ª safra'!$E21:$Z21,MIN(R$6-$G$3,22))),0)))))</f>
        <v>0</v>
      </c>
      <c r="S23" s="27" t="n">
        <f aca="false">IF(COUNT('Feijão 2ª safra'!$E21:$Z21)=0,0,MAX(0,IF((S$6-$E$3)&lt;1,0,IFERROR(LOOKUP(2,1/('Feijão 2ª safra'!$E21:INDEX('Feijão 2ª safra'!$E21:$Z21,MIN(S$6-$E$3,22))&lt;&gt;""),'Feijão 2ª safra'!$E21:INDEX('Feijão 2ª safra'!$E21:$Z21,MIN(S$6-$E$3,22))),0))-IF($G$2,0,IF((S$6-$G$3)&lt;1,0,IFERROR(LOOKUP(2,1/('Feijão 2ª safra'!$E21:INDEX('Feijão 2ª safra'!$E21:$Z21,MIN(S$6-$G$3,22))&lt;&gt;""),'Feijão 2ª safra'!$E21:INDEX('Feijão 2ª safra'!$E21:$Z21,MIN(S$6-$G$3,22))),0)))))</f>
        <v>0</v>
      </c>
      <c r="T23" s="27" t="n">
        <f aca="false">IF(COUNT('Feijão 2ª safra'!$E21:$Z21)=0,0,MAX(0,IF((T$6-$E$3)&lt;1,0,IFERROR(LOOKUP(2,1/('Feijão 2ª safra'!$E21:INDEX('Feijão 2ª safra'!$E21:$Z21,MIN(T$6-$E$3,22))&lt;&gt;""),'Feijão 2ª safra'!$E21:INDEX('Feijão 2ª safra'!$E21:$Z21,MIN(T$6-$E$3,22))),0))-IF($G$2,0,IF((T$6-$G$3)&lt;1,0,IFERROR(LOOKUP(2,1/('Feijão 2ª safra'!$E21:INDEX('Feijão 2ª safra'!$E21:$Z21,MIN(T$6-$G$3,22))&lt;&gt;""),'Feijão 2ª safra'!$E21:INDEX('Feijão 2ª safra'!$E21:$Z21,MIN(T$6-$G$3,22))),0)))))</f>
        <v>0</v>
      </c>
      <c r="U23" s="27" t="n">
        <f aca="false">IF(COUNT('Feijão 2ª safra'!$E21:$Z21)=0,0,MAX(0,IF((U$6-$E$3)&lt;1,0,IFERROR(LOOKUP(2,1/('Feijão 2ª safra'!$E21:INDEX('Feijão 2ª safra'!$E21:$Z21,MIN(U$6-$E$3,22))&lt;&gt;""),'Feijão 2ª safra'!$E21:INDEX('Feijão 2ª safra'!$E21:$Z21,MIN(U$6-$E$3,22))),0))-IF($G$2,0,IF((U$6-$G$3)&lt;1,0,IFERROR(LOOKUP(2,1/('Feijão 2ª safra'!$E21:INDEX('Feijão 2ª safra'!$E21:$Z21,MIN(U$6-$G$3,22))&lt;&gt;""),'Feijão 2ª safra'!$E21:INDEX('Feijão 2ª safra'!$E21:$Z21,MIN(U$6-$G$3,22))),0)))))</f>
        <v>0</v>
      </c>
      <c r="V23" s="27" t="n">
        <f aca="false">IF(COUNT('Feijão 2ª safra'!$E21:$Z21)=0,0,MAX(0,IF((V$6-$E$3)&lt;1,0,IFERROR(LOOKUP(2,1/('Feijão 2ª safra'!$E21:INDEX('Feijão 2ª safra'!$E21:$Z21,MIN(V$6-$E$3,22))&lt;&gt;""),'Feijão 2ª safra'!$E21:INDEX('Feijão 2ª safra'!$E21:$Z21,MIN(V$6-$E$3,22))),0))-IF($G$2,0,IF((V$6-$G$3)&lt;1,0,IFERROR(LOOKUP(2,1/('Feijão 2ª safra'!$E21:INDEX('Feijão 2ª safra'!$E21:$Z21,MIN(V$6-$G$3,22))&lt;&gt;""),'Feijão 2ª safra'!$E21:INDEX('Feijão 2ª safra'!$E21:$Z21,MIN(V$6-$G$3,22))),0)))))</f>
        <v>0</v>
      </c>
      <c r="W23" s="27" t="n">
        <f aca="false">IF(COUNT('Feijão 2ª safra'!$E21:$Z21)=0,0,MAX(0,IF((W$6-$E$3)&lt;1,0,IFERROR(LOOKUP(2,1/('Feijão 2ª safra'!$E21:INDEX('Feijão 2ª safra'!$E21:$Z21,MIN(W$6-$E$3,22))&lt;&gt;""),'Feijão 2ª safra'!$E21:INDEX('Feijão 2ª safra'!$E21:$Z21,MIN(W$6-$E$3,22))),0))-IF($G$2,0,IF((W$6-$G$3)&lt;1,0,IFERROR(LOOKUP(2,1/('Feijão 2ª safra'!$E21:INDEX('Feijão 2ª safra'!$E21:$Z21,MIN(W$6-$G$3,22))&lt;&gt;""),'Feijão 2ª safra'!$E21:INDEX('Feijão 2ª safra'!$E21:$Z21,MIN(W$6-$G$3,22))),0)))))</f>
        <v>0</v>
      </c>
      <c r="X23" s="27" t="n">
        <f aca="false">IF(COUNT('Feijão 2ª safra'!$E21:$Z21)=0,0,MAX(0,IF((X$6-$E$3)&lt;1,0,IFERROR(LOOKUP(2,1/('Feijão 2ª safra'!$E21:INDEX('Feijão 2ª safra'!$E21:$Z21,MIN(X$6-$E$3,22))&lt;&gt;""),'Feijão 2ª safra'!$E21:INDEX('Feijão 2ª safra'!$E21:$Z21,MIN(X$6-$E$3,22))),0))-IF($G$2,0,IF((X$6-$G$3)&lt;1,0,IFERROR(LOOKUP(2,1/('Feijão 2ª safra'!$E21:INDEX('Feijão 2ª safra'!$E21:$Z21,MIN(X$6-$G$3,22))&lt;&gt;""),'Feijão 2ª safra'!$E21:INDEX('Feijão 2ª safra'!$E21:$Z21,MIN(X$6-$G$3,22))),0)))))</f>
        <v>0</v>
      </c>
      <c r="Y23" s="27" t="n">
        <f aca="false">IF(COUNT('Feijão 2ª safra'!$E21:$Z21)=0,0,MAX(0,IF((Y$6-$E$3)&lt;1,0,IFERROR(LOOKUP(2,1/('Feijão 2ª safra'!$E21:INDEX('Feijão 2ª safra'!$E21:$Z21,MIN(Y$6-$E$3,22))&lt;&gt;""),'Feijão 2ª safra'!$E21:INDEX('Feijão 2ª safra'!$E21:$Z21,MIN(Y$6-$E$3,22))),0))-IF($G$2,0,IF((Y$6-$G$3)&lt;1,0,IFERROR(LOOKUP(2,1/('Feijão 2ª safra'!$E21:INDEX('Feijão 2ª safra'!$E21:$Z21,MIN(Y$6-$G$3,22))&lt;&gt;""),'Feijão 2ª safra'!$E21:INDEX('Feijão 2ª safra'!$E21:$Z21,MIN(Y$6-$G$3,22))),0)))))</f>
        <v>0</v>
      </c>
      <c r="Z23" s="27" t="n">
        <f aca="false">IF(COUNT('Feijão 2ª safra'!$E21:$Z21)=0,0,MAX(0,IF((Z$6-$E$3)&lt;1,0,IFERROR(LOOKUP(2,1/('Feijão 2ª safra'!$E21:INDEX('Feijão 2ª safra'!$E21:$Z21,MIN(Z$6-$E$3,22))&lt;&gt;""),'Feijão 2ª safra'!$E21:INDEX('Feijão 2ª safra'!$E21:$Z21,MIN(Z$6-$E$3,22))),0))-IF($G$2,0,IF((Z$6-$G$3)&lt;1,0,IFERROR(LOOKUP(2,1/('Feijão 2ª safra'!$E21:INDEX('Feijão 2ª safra'!$E21:$Z21,MIN(Z$6-$G$3,22))&lt;&gt;""),'Feijão 2ª safra'!$E21:INDEX('Feijão 2ª safra'!$E21:$Z21,MIN(Z$6-$G$3,22))),0)))))</f>
        <v>0</v>
      </c>
      <c r="AA23" s="27" t="n">
        <f aca="false">IF(COUNT('Feijão 2ª safra'!$E21:$Z21)=0,0,MAX(0,IF((AA$6-$E$3)&lt;1,0,IFERROR(LOOKUP(2,1/('Feijão 2ª safra'!$E21:INDEX('Feijão 2ª safra'!$E21:$Z21,MIN(AA$6-$E$3,22))&lt;&gt;""),'Feijão 2ª safra'!$E21:INDEX('Feijão 2ª safra'!$E21:$Z21,MIN(AA$6-$E$3,22))),0))-IF($G$2,0,IF((AA$6-$G$3)&lt;1,0,IFERROR(LOOKUP(2,1/('Feijão 2ª safra'!$E21:INDEX('Feijão 2ª safra'!$E21:$Z21,MIN(AA$6-$G$3,22))&lt;&gt;""),'Feijão 2ª safra'!$E21:INDEX('Feijão 2ª safra'!$E21:$Z21,MIN(AA$6-$G$3,22))),0)))))</f>
        <v>0</v>
      </c>
      <c r="AB23" s="27" t="n">
        <f aca="false">IF(COUNT('Feijão 2ª safra'!$E21:$Z21)=0,0,MAX(0,IF((AB$6-$E$3)&lt;1,0,IFERROR(LOOKUP(2,1/('Feijão 2ª safra'!$E21:INDEX('Feijão 2ª safra'!$E21:$Z21,MIN(AB$6-$E$3,22))&lt;&gt;""),'Feijão 2ª safra'!$E21:INDEX('Feijão 2ª safra'!$E21:$Z21,MIN(AB$6-$E$3,22))),0))-IF($G$2,0,IF((AB$6-$G$3)&lt;1,0,IFERROR(LOOKUP(2,1/('Feijão 2ª safra'!$E21:INDEX('Feijão 2ª safra'!$E21:$Z21,MIN(AB$6-$G$3,22))&lt;&gt;""),'Feijão 2ª safra'!$E21:INDEX('Feijão 2ª safra'!$E21:$Z21,MIN(AB$6-$G$3,22))),0)))))</f>
        <v>0</v>
      </c>
      <c r="AC23" s="27" t="n">
        <f aca="false">IF(COUNT('Feijão 2ª safra'!$E21:$Z21)=0,0,MAX(0,IF((AC$6-$E$3)&lt;1,0,IFERROR(LOOKUP(2,1/('Feijão 2ª safra'!$E21:INDEX('Feijão 2ª safra'!$E21:$Z21,MIN(AC$6-$E$3,22))&lt;&gt;""),'Feijão 2ª safra'!$E21:INDEX('Feijão 2ª safra'!$E21:$Z21,MIN(AC$6-$E$3,22))),0))-IF($G$2,0,IF((AC$6-$G$3)&lt;1,0,IFERROR(LOOKUP(2,1/('Feijão 2ª safra'!$E21:INDEX('Feijão 2ª safra'!$E21:$Z21,MIN(AC$6-$G$3,22))&lt;&gt;""),'Feijão 2ª safra'!$E21:INDEX('Feijão 2ª safra'!$E21:$Z21,MIN(AC$6-$G$3,22))),0)))))</f>
        <v>0</v>
      </c>
      <c r="AD23" s="27" t="n">
        <f aca="false">IF(COUNT('Feijão 2ª safra'!$E21:$Z21)=0,0,MAX(0,IF((AD$6-$E$3)&lt;1,0,IFERROR(LOOKUP(2,1/('Feijão 2ª safra'!$E21:INDEX('Feijão 2ª safra'!$E21:$Z21,MIN(AD$6-$E$3,22))&lt;&gt;""),'Feijão 2ª safra'!$E21:INDEX('Feijão 2ª safra'!$E21:$Z21,MIN(AD$6-$E$3,22))),0))-IF($G$2,0,IF((AD$6-$G$3)&lt;1,0,IFERROR(LOOKUP(2,1/('Feijão 2ª safra'!$E21:INDEX('Feijão 2ª safra'!$E21:$Z21,MIN(AD$6-$G$3,22))&lt;&gt;""),'Feijão 2ª safra'!$E21:INDEX('Feijão 2ª safra'!$E21:$Z21,MIN(AD$6-$G$3,22))),0)))))</f>
        <v>0</v>
      </c>
      <c r="AE23" s="27" t="n">
        <f aca="false">IF(COUNT('Feijão 2ª safra'!$E21:$Z21)=0,0,MAX(0,IF((AE$6-$E$3)&lt;1,0,IFERROR(LOOKUP(2,1/('Feijão 2ª safra'!$E21:INDEX('Feijão 2ª safra'!$E21:$Z21,MIN(AE$6-$E$3,22))&lt;&gt;""),'Feijão 2ª safra'!$E21:INDEX('Feijão 2ª safra'!$E21:$Z21,MIN(AE$6-$E$3,22))),0))-IF($G$2,0,IF((AE$6-$G$3)&lt;1,0,IFERROR(LOOKUP(2,1/('Feijão 2ª safra'!$E21:INDEX('Feijão 2ª safra'!$E21:$Z21,MIN(AE$6-$G$3,22))&lt;&gt;""),'Feijão 2ª safra'!$E21:INDEX('Feijão 2ª safra'!$E21:$Z21,MIN(AE$6-$G$3,22))),0)))))</f>
        <v>0</v>
      </c>
      <c r="AF23" s="27" t="n">
        <f aca="false">IF(COUNT('Feijão 2ª safra'!$E21:$Z21)=0,0,MAX(0,IF((AF$6-$E$3)&lt;1,0,IFERROR(LOOKUP(2,1/('Feijão 2ª safra'!$E21:INDEX('Feijão 2ª safra'!$E21:$Z21,MIN(AF$6-$E$3,22))&lt;&gt;""),'Feijão 2ª safra'!$E21:INDEX('Feijão 2ª safra'!$E21:$Z21,MIN(AF$6-$E$3,22))),0))-IF($G$2,0,IF((AF$6-$G$3)&lt;1,0,IFERROR(LOOKUP(2,1/('Feijão 2ª safra'!$E21:INDEX('Feijão 2ª safra'!$E21:$Z21,MIN(AF$6-$G$3,22))&lt;&gt;""),'Feijão 2ª safra'!$E21:INDEX('Feijão 2ª safra'!$E21:$Z21,MIN(AF$6-$G$3,22))),0)))))</f>
        <v>0</v>
      </c>
      <c r="AG23" s="27" t="n">
        <f aca="false">IF(COUNT('Feijão 2ª safra'!$E21:$Z21)=0,0,MAX(0,IF((AG$6-$E$3)&lt;1,0,IFERROR(LOOKUP(2,1/('Feijão 2ª safra'!$E21:INDEX('Feijão 2ª safra'!$E21:$Z21,MIN(AG$6-$E$3,22))&lt;&gt;""),'Feijão 2ª safra'!$E21:INDEX('Feijão 2ª safra'!$E21:$Z21,MIN(AG$6-$E$3,22))),0))-IF($G$2,0,IF((AG$6-$G$3)&lt;1,0,IFERROR(LOOKUP(2,1/('Feijão 2ª safra'!$E21:INDEX('Feijão 2ª safra'!$E21:$Z21,MIN(AG$6-$G$3,22))&lt;&gt;""),'Feijão 2ª safra'!$E21:INDEX('Feijão 2ª safra'!$E21:$Z21,MIN(AG$6-$G$3,22))),0)))))</f>
        <v>0</v>
      </c>
      <c r="AH23" s="27" t="n">
        <f aca="false">IF(COUNT('Feijão 2ª safra'!$E21:$Z21)=0,0,MAX(0,IF((AH$6-$E$3)&lt;1,0,IFERROR(LOOKUP(2,1/('Feijão 2ª safra'!$E21:INDEX('Feijão 2ª safra'!$E21:$Z21,MIN(AH$6-$E$3,22))&lt;&gt;""),'Feijão 2ª safra'!$E21:INDEX('Feijão 2ª safra'!$E21:$Z21,MIN(AH$6-$E$3,22))),0))-IF($G$2,0,IF((AH$6-$G$3)&lt;1,0,IFERROR(LOOKUP(2,1/('Feijão 2ª safra'!$E21:INDEX('Feijão 2ª safra'!$E21:$Z21,MIN(AH$6-$G$3,22))&lt;&gt;""),'Feijão 2ª safra'!$E21:INDEX('Feijão 2ª safra'!$E21:$Z21,MIN(AH$6-$G$3,22))),0)))))</f>
        <v>0</v>
      </c>
      <c r="AI23" s="27" t="n">
        <f aca="false">IF(COUNT('Feijão 2ª safra'!$E21:$Z21)=0,0,MAX(0,IF((AI$6-$E$3)&lt;1,0,IFERROR(LOOKUP(2,1/('Feijão 2ª safra'!$E21:INDEX('Feijão 2ª safra'!$E21:$Z21,MIN(AI$6-$E$3,22))&lt;&gt;""),'Feijão 2ª safra'!$E21:INDEX('Feijão 2ª safra'!$E21:$Z21,MIN(AI$6-$E$3,22))),0))-IF($G$2,0,IF((AI$6-$G$3)&lt;1,0,IFERROR(LOOKUP(2,1/('Feijão 2ª safra'!$E21:INDEX('Feijão 2ª safra'!$E21:$Z21,MIN(AI$6-$G$3,22))&lt;&gt;""),'Feijão 2ª safra'!$E21:INDEX('Feijão 2ª safra'!$E21:$Z21,MIN(AI$6-$G$3,22))),0)))))</f>
        <v>0</v>
      </c>
      <c r="AJ23" s="27" t="n">
        <f aca="false">IF(COUNT('Feijão 2ª safra'!$E21:$Z21)=0,0,MAX(0,IF((AJ$6-$E$3)&lt;1,0,IFERROR(LOOKUP(2,1/('Feijão 2ª safra'!$E21:INDEX('Feijão 2ª safra'!$E21:$Z21,MIN(AJ$6-$E$3,22))&lt;&gt;""),'Feijão 2ª safra'!$E21:INDEX('Feijão 2ª safra'!$E21:$Z21,MIN(AJ$6-$E$3,22))),0))-IF($G$2,0,IF((AJ$6-$G$3)&lt;1,0,IFERROR(LOOKUP(2,1/('Feijão 2ª safra'!$E21:INDEX('Feijão 2ª safra'!$E21:$Z21,MIN(AJ$6-$G$3,22))&lt;&gt;""),'Feijão 2ª safra'!$E21:INDEX('Feijão 2ª safra'!$E21:$Z21,MIN(AJ$6-$G$3,22))),0)))))</f>
        <v>0</v>
      </c>
      <c r="AK23" s="27" t="n">
        <f aca="false">IF(COUNT('Feijão 2ª safra'!$E21:$Z21)=0,0,MAX(0,IF((AK$6-$E$3)&lt;1,0,IFERROR(LOOKUP(2,1/('Feijão 2ª safra'!$E21:INDEX('Feijão 2ª safra'!$E21:$Z21,MIN(AK$6-$E$3,22))&lt;&gt;""),'Feijão 2ª safra'!$E21:INDEX('Feijão 2ª safra'!$E21:$Z21,MIN(AK$6-$E$3,22))),0))-IF($G$2,0,IF((AK$6-$G$3)&lt;1,0,IFERROR(LOOKUP(2,1/('Feijão 2ª safra'!$E21:INDEX('Feijão 2ª safra'!$E21:$Z21,MIN(AK$6-$G$3,22))&lt;&gt;""),'Feijão 2ª safra'!$E21:INDEX('Feijão 2ª safra'!$E21:$Z21,MIN(AK$6-$G$3,22))),0)))))</f>
        <v>0</v>
      </c>
      <c r="AL23" s="27" t="n">
        <f aca="false">IF(COUNT('Feijão 2ª safra'!$E21:$Z21)=0,0,MAX(0,IF((AL$6-$E$3)&lt;1,0,IFERROR(LOOKUP(2,1/('Feijão 2ª safra'!$E21:INDEX('Feijão 2ª safra'!$E21:$Z21,MIN(AL$6-$E$3,22))&lt;&gt;""),'Feijão 2ª safra'!$E21:INDEX('Feijão 2ª safra'!$E21:$Z21,MIN(AL$6-$E$3,22))),0))-IF($G$2,0,IF((AL$6-$G$3)&lt;1,0,IFERROR(LOOKUP(2,1/('Feijão 2ª safra'!$E21:INDEX('Feijão 2ª safra'!$E21:$Z21,MIN(AL$6-$G$3,22))&lt;&gt;""),'Feijão 2ª safra'!$E21:INDEX('Feijão 2ª safra'!$E21:$Z21,MIN(AL$6-$G$3,22))),0)))))</f>
        <v>0</v>
      </c>
      <c r="AM23" s="27" t="n">
        <f aca="false">IF(COUNT('Feijão 2ª safra'!$E21:$Z21)=0,0,MAX(0,IF((AM$6-$E$3)&lt;1,0,IFERROR(LOOKUP(2,1/('Feijão 2ª safra'!$E21:INDEX('Feijão 2ª safra'!$E21:$Z21,MIN(AM$6-$E$3,22))&lt;&gt;""),'Feijão 2ª safra'!$E21:INDEX('Feijão 2ª safra'!$E21:$Z21,MIN(AM$6-$E$3,22))),0))-IF($G$2,0,IF((AM$6-$G$3)&lt;1,0,IFERROR(LOOKUP(2,1/('Feijão 2ª safra'!$E21:INDEX('Feijão 2ª safra'!$E21:$Z21,MIN(AM$6-$G$3,22))&lt;&gt;""),'Feijão 2ª safra'!$E21:INDEX('Feijão 2ª safra'!$E21:$Z21,MIN(AM$6-$G$3,22))),0)))))</f>
        <v>0</v>
      </c>
      <c r="AN23" s="27" t="n">
        <f aca="false">IF(COUNT('Feijão 2ª safra'!$E21:$Z21)=0,0,MAX(0,IF((AN$6-$E$3)&lt;1,0,IFERROR(LOOKUP(2,1/('Feijão 2ª safra'!$E21:INDEX('Feijão 2ª safra'!$E21:$Z21,MIN(AN$6-$E$3,22))&lt;&gt;""),'Feijão 2ª safra'!$E21:INDEX('Feijão 2ª safra'!$E21:$Z21,MIN(AN$6-$E$3,22))),0))-IF($G$2,0,IF((AN$6-$G$3)&lt;1,0,IFERROR(LOOKUP(2,1/('Feijão 2ª safra'!$E21:INDEX('Feijão 2ª safra'!$E21:$Z21,MIN(AN$6-$G$3,22))&lt;&gt;""),'Feijão 2ª safra'!$E21:INDEX('Feijão 2ª safra'!$E21:$Z21,MIN(AN$6-$G$3,22))),0)))))</f>
        <v>0</v>
      </c>
      <c r="AO23" s="27" t="n">
        <f aca="false">IF(COUNT('Feijão 2ª safra'!$E21:$Z21)=0,0,MAX(0,IF((AO$6-$E$3)&lt;1,0,IFERROR(LOOKUP(2,1/('Feijão 2ª safra'!$E21:INDEX('Feijão 2ª safra'!$E21:$Z21,MIN(AO$6-$E$3,22))&lt;&gt;""),'Feijão 2ª safra'!$E21:INDEX('Feijão 2ª safra'!$E21:$Z21,MIN(AO$6-$E$3,22))),0))-IF($G$2,0,IF((AO$6-$G$3)&lt;1,0,IFERROR(LOOKUP(2,1/('Feijão 2ª safra'!$E21:INDEX('Feijão 2ª safra'!$E21:$Z21,MIN(AO$6-$G$3,22))&lt;&gt;""),'Feijão 2ª safra'!$E21:INDEX('Feijão 2ª safra'!$E21:$Z21,MIN(AO$6-$G$3,22))),0)))))</f>
        <v>0</v>
      </c>
      <c r="AP23" s="27" t="n">
        <f aca="false">IF(COUNT('Feijão 2ª safra'!$E21:$Z21)=0,0,MAX(0,IF((AP$6-$E$3)&lt;1,0,IFERROR(LOOKUP(2,1/('Feijão 2ª safra'!$E21:INDEX('Feijão 2ª safra'!$E21:$Z21,MIN(AP$6-$E$3,22))&lt;&gt;""),'Feijão 2ª safra'!$E21:INDEX('Feijão 2ª safra'!$E21:$Z21,MIN(AP$6-$E$3,22))),0))-IF($G$2,0,IF((AP$6-$G$3)&lt;1,0,IFERROR(LOOKUP(2,1/('Feijão 2ª safra'!$E21:INDEX('Feijão 2ª safra'!$E21:$Z21,MIN(AP$6-$G$3,22))&lt;&gt;""),'Feijão 2ª safra'!$E21:INDEX('Feijão 2ª safra'!$E21:$Z21,MIN(AP$6-$G$3,22))),0)))))</f>
        <v>0</v>
      </c>
      <c r="AQ23" s="27" t="n">
        <f aca="false">IF(COUNT('Feijão 2ª safra'!$E21:$Z21)=0,0,MAX(0,IF((AQ$6-$E$3)&lt;1,0,IFERROR(LOOKUP(2,1/('Feijão 2ª safra'!$E21:INDEX('Feijão 2ª safra'!$E21:$Z21,MIN(AQ$6-$E$3,22))&lt;&gt;""),'Feijão 2ª safra'!$E21:INDEX('Feijão 2ª safra'!$E21:$Z21,MIN(AQ$6-$E$3,22))),0))-IF($G$2,0,IF((AQ$6-$G$3)&lt;1,0,IFERROR(LOOKUP(2,1/('Feijão 2ª safra'!$E21:INDEX('Feijão 2ª safra'!$E21:$Z21,MIN(AQ$6-$G$3,22))&lt;&gt;""),'Feijão 2ª safra'!$E21:INDEX('Feijão 2ª safra'!$E21:$Z21,MIN(AQ$6-$G$3,22))),0)))))</f>
        <v>0</v>
      </c>
      <c r="AR23" s="27" t="n">
        <f aca="false">IF(COUNT('Feijão 2ª safra'!$E21:$Z21)=0,0,MAX(0,IF((AR$6-$E$3)&lt;1,0,IFERROR(LOOKUP(2,1/('Feijão 2ª safra'!$E21:INDEX('Feijão 2ª safra'!$E21:$Z21,MIN(AR$6-$E$3,22))&lt;&gt;""),'Feijão 2ª safra'!$E21:INDEX('Feijão 2ª safra'!$E21:$Z21,MIN(AR$6-$E$3,22))),0))-IF($G$2,0,IF((AR$6-$G$3)&lt;1,0,IFERROR(LOOKUP(2,1/('Feijão 2ª safra'!$E21:INDEX('Feijão 2ª safra'!$E21:$Z21,MIN(AR$6-$G$3,22))&lt;&gt;""),'Feijão 2ª safra'!$E21:INDEX('Feijão 2ª safra'!$E21:$Z21,MIN(AR$6-$G$3,22))),0)))))</f>
        <v>0</v>
      </c>
      <c r="AS23" s="27" t="n">
        <f aca="false">IF(COUNT('Feijão 2ª safra'!$E21:$Z21)=0,0,MAX(0,IF((AS$6-$E$3)&lt;1,0,IFERROR(LOOKUP(2,1/('Feijão 2ª safra'!$E21:INDEX('Feijão 2ª safra'!$E21:$Z21,MIN(AS$6-$E$3,22))&lt;&gt;""),'Feijão 2ª safra'!$E21:INDEX('Feijão 2ª safra'!$E21:$Z21,MIN(AS$6-$E$3,22))),0))-IF($G$2,0,IF((AS$6-$G$3)&lt;1,0,IFERROR(LOOKUP(2,1/('Feijão 2ª safra'!$E21:INDEX('Feijão 2ª safra'!$E21:$Z21,MIN(AS$6-$G$3,22))&lt;&gt;""),'Feijão 2ª safra'!$E21:INDEX('Feijão 2ª safra'!$E21:$Z21,MIN(AS$6-$G$3,22))),0)))))</f>
        <v>0</v>
      </c>
      <c r="AT23" s="27" t="n">
        <f aca="false">IF(COUNT('Feijão 2ª safra'!$E21:$Z21)=0,0,MAX(0,IF((AT$6-$E$3)&lt;1,0,IFERROR(LOOKUP(2,1/('Feijão 2ª safra'!$E21:INDEX('Feijão 2ª safra'!$E21:$Z21,MIN(AT$6-$E$3,22))&lt;&gt;""),'Feijão 2ª safra'!$E21:INDEX('Feijão 2ª safra'!$E21:$Z21,MIN(AT$6-$E$3,22))),0))-IF($G$2,0,IF((AT$6-$G$3)&lt;1,0,IFERROR(LOOKUP(2,1/('Feijão 2ª safra'!$E21:INDEX('Feijão 2ª safra'!$E21:$Z21,MIN(AT$6-$G$3,22))&lt;&gt;""),'Feijão 2ª safra'!$E21:INDEX('Feijão 2ª safra'!$E21:$Z21,MIN(AT$6-$G$3,22))),0)))))</f>
        <v>0</v>
      </c>
      <c r="AU23" s="27" t="n">
        <f aca="false">IF(COUNT('Feijão 2ª safra'!$E21:$Z21)=0,0,MAX(0,IF((AU$6-$E$3)&lt;1,0,IFERROR(LOOKUP(2,1/('Feijão 2ª safra'!$E21:INDEX('Feijão 2ª safra'!$E21:$Z21,MIN(AU$6-$E$3,22))&lt;&gt;""),'Feijão 2ª safra'!$E21:INDEX('Feijão 2ª safra'!$E21:$Z21,MIN(AU$6-$E$3,22))),0))-IF($G$2,0,IF((AU$6-$G$3)&lt;1,0,IFERROR(LOOKUP(2,1/('Feijão 2ª safra'!$E21:INDEX('Feijão 2ª safra'!$E21:$Z21,MIN(AU$6-$G$3,22))&lt;&gt;""),'Feijão 2ª safra'!$E21:INDEX('Feijão 2ª safra'!$E21:$Z21,MIN(AU$6-$G$3,22))),0)))))</f>
        <v>0</v>
      </c>
      <c r="AV23" s="27" t="n">
        <f aca="false">IF(COUNT('Feijão 2ª safra'!$E21:$Z21)=0,0,MAX(0,IF((AV$6-$E$3)&lt;1,0,IFERROR(LOOKUP(2,1/('Feijão 2ª safra'!$E21:INDEX('Feijão 2ª safra'!$E21:$Z21,MIN(AV$6-$E$3,22))&lt;&gt;""),'Feijão 2ª safra'!$E21:INDEX('Feijão 2ª safra'!$E21:$Z21,MIN(AV$6-$E$3,22))),0))-IF($G$2,0,IF((AV$6-$G$3)&lt;1,0,IFERROR(LOOKUP(2,1/('Feijão 2ª safra'!$E21:INDEX('Feijão 2ª safra'!$E21:$Z21,MIN(AV$6-$G$3,22))&lt;&gt;""),'Feijão 2ª safra'!$E21:INDEX('Feijão 2ª safra'!$E21:$Z21,MIN(AV$6-$G$3,22))),0)))))</f>
        <v>0</v>
      </c>
      <c r="AW23" s="27" t="n">
        <f aca="false">IF(COUNT('Feijão 2ª safra'!$E21:$Z21)=0,0,MAX(0,IF((AW$6-$E$3)&lt;1,0,IFERROR(LOOKUP(2,1/('Feijão 2ª safra'!$E21:INDEX('Feijão 2ª safra'!$E21:$Z21,MIN(AW$6-$E$3,22))&lt;&gt;""),'Feijão 2ª safra'!$E21:INDEX('Feijão 2ª safra'!$E21:$Z21,MIN(AW$6-$E$3,22))),0))-IF($G$2,0,IF((AW$6-$G$3)&lt;1,0,IFERROR(LOOKUP(2,1/('Feijão 2ª safra'!$E21:INDEX('Feijão 2ª safra'!$E21:$Z21,MIN(AW$6-$G$3,22))&lt;&gt;""),'Feijão 2ª safra'!$E21:INDEX('Feijão 2ª safra'!$E21:$Z21,MIN(AW$6-$G$3,22))),0)))))</f>
        <v>0</v>
      </c>
      <c r="AX23" s="27" t="n">
        <f aca="false">IF(COUNT('Feijão 2ª safra'!$E21:$Z21)=0,0,MAX(0,IF((AX$6-$E$3)&lt;1,0,IFERROR(LOOKUP(2,1/('Feijão 2ª safra'!$E21:INDEX('Feijão 2ª safra'!$E21:$Z21,MIN(AX$6-$E$3,22))&lt;&gt;""),'Feijão 2ª safra'!$E21:INDEX('Feijão 2ª safra'!$E21:$Z21,MIN(AX$6-$E$3,22))),0))-IF($G$2,0,IF((AX$6-$G$3)&lt;1,0,IFERROR(LOOKUP(2,1/('Feijão 2ª safra'!$E21:INDEX('Feijão 2ª safra'!$E21:$Z21,MIN(AX$6-$G$3,22))&lt;&gt;""),'Feijão 2ª safra'!$E21:INDEX('Feijão 2ª safra'!$E21:$Z21,MIN(AX$6-$G$3,22))),0)))))</f>
        <v>0</v>
      </c>
      <c r="AY23" s="27" t="n">
        <f aca="false">IF(COUNT('Feijão 2ª safra'!$E21:$Z21)=0,0,MAX(0,IF((AY$6-$E$3)&lt;1,0,IFERROR(LOOKUP(2,1/('Feijão 2ª safra'!$E21:INDEX('Feijão 2ª safra'!$E21:$Z21,MIN(AY$6-$E$3,22))&lt;&gt;""),'Feijão 2ª safra'!$E21:INDEX('Feijão 2ª safra'!$E21:$Z21,MIN(AY$6-$E$3,22))),0))-IF($G$2,0,IF((AY$6-$G$3)&lt;1,0,IFERROR(LOOKUP(2,1/('Feijão 2ª safra'!$E21:INDEX('Feijão 2ª safra'!$E21:$Z21,MIN(AY$6-$G$3,22))&lt;&gt;""),'Feijão 2ª safra'!$E21:INDEX('Feijão 2ª safra'!$E21:$Z21,MIN(AY$6-$G$3,22))),0)))))</f>
        <v>0</v>
      </c>
      <c r="AZ23" s="27" t="n">
        <f aca="false">IF(COUNT('Feijão 2ª safra'!$E21:$Z21)=0,0,MAX(0,IF((AZ$6-$E$3)&lt;1,0,IFERROR(LOOKUP(2,1/('Feijão 2ª safra'!$E21:INDEX('Feijão 2ª safra'!$E21:$Z21,MIN(AZ$6-$E$3,22))&lt;&gt;""),'Feijão 2ª safra'!$E21:INDEX('Feijão 2ª safra'!$E21:$Z21,MIN(AZ$6-$E$3,22))),0))-IF($G$2,0,IF((AZ$6-$G$3)&lt;1,0,IFERROR(LOOKUP(2,1/('Feijão 2ª safra'!$E21:INDEX('Feijão 2ª safra'!$E21:$Z21,MIN(AZ$6-$G$3,22))&lt;&gt;""),'Feijão 2ª safra'!$E21:INDEX('Feijão 2ª safra'!$E21:$Z21,MIN(AZ$6-$G$3,22))),0)))))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IF(COUNT('Feijão 2ª safra'!$E22:$Z22)&gt;0,N('Feijão 2ª safra'!$D22),0)</f>
        <v>0</v>
      </c>
      <c r="E24" s="27" t="n">
        <f aca="false">IF(COUNT('Feijão 2ª safra'!$E22:$Z22)=0,0,MAX(0,IF((E$6-$E$3)&lt;1,0,IFERROR(LOOKUP(2,1/('Feijão 2ª safra'!$E22:INDEX('Feijão 2ª safra'!$E22:$Z22,MIN(E$6-$E$3,22))&lt;&gt;""),'Feijão 2ª safra'!$E22:INDEX('Feijão 2ª safra'!$E22:$Z22,MIN(E$6-$E$3,22))),0))-IF($G$2,0,IF((E$6-$G$3)&lt;1,0,IFERROR(LOOKUP(2,1/('Feijão 2ª safra'!$E22:INDEX('Feijão 2ª safra'!$E22:$Z22,MIN(E$6-$G$3,22))&lt;&gt;""),'Feijão 2ª safra'!$E22:INDEX('Feijão 2ª safra'!$E22:$Z22,MIN(E$6-$G$3,22))),0)))))</f>
        <v>0</v>
      </c>
      <c r="F24" s="27" t="n">
        <f aca="false">IF(COUNT('Feijão 2ª safra'!$E22:$Z22)=0,0,MAX(0,IF((F$6-$E$3)&lt;1,0,IFERROR(LOOKUP(2,1/('Feijão 2ª safra'!$E22:INDEX('Feijão 2ª safra'!$E22:$Z22,MIN(F$6-$E$3,22))&lt;&gt;""),'Feijão 2ª safra'!$E22:INDEX('Feijão 2ª safra'!$E22:$Z22,MIN(F$6-$E$3,22))),0))-IF($G$2,0,IF((F$6-$G$3)&lt;1,0,IFERROR(LOOKUP(2,1/('Feijão 2ª safra'!$E22:INDEX('Feijão 2ª safra'!$E22:$Z22,MIN(F$6-$G$3,22))&lt;&gt;""),'Feijão 2ª safra'!$E22:INDEX('Feijão 2ª safra'!$E22:$Z22,MIN(F$6-$G$3,22))),0)))))</f>
        <v>0</v>
      </c>
      <c r="G24" s="27" t="n">
        <f aca="false">IF(COUNT('Feijão 2ª safra'!$E22:$Z22)=0,0,MAX(0,IF((G$6-$E$3)&lt;1,0,IFERROR(LOOKUP(2,1/('Feijão 2ª safra'!$E22:INDEX('Feijão 2ª safra'!$E22:$Z22,MIN(G$6-$E$3,22))&lt;&gt;""),'Feijão 2ª safra'!$E22:INDEX('Feijão 2ª safra'!$E22:$Z22,MIN(G$6-$E$3,22))),0))-IF($G$2,0,IF((G$6-$G$3)&lt;1,0,IFERROR(LOOKUP(2,1/('Feijão 2ª safra'!$E22:INDEX('Feijão 2ª safra'!$E22:$Z22,MIN(G$6-$G$3,22))&lt;&gt;""),'Feijão 2ª safra'!$E22:INDEX('Feijão 2ª safra'!$E22:$Z22,MIN(G$6-$G$3,22))),0)))))</f>
        <v>0</v>
      </c>
      <c r="H24" s="27" t="n">
        <f aca="false">IF(COUNT('Feijão 2ª safra'!$E22:$Z22)=0,0,MAX(0,IF((H$6-$E$3)&lt;1,0,IFERROR(LOOKUP(2,1/('Feijão 2ª safra'!$E22:INDEX('Feijão 2ª safra'!$E22:$Z22,MIN(H$6-$E$3,22))&lt;&gt;""),'Feijão 2ª safra'!$E22:INDEX('Feijão 2ª safra'!$E22:$Z22,MIN(H$6-$E$3,22))),0))-IF($G$2,0,IF((H$6-$G$3)&lt;1,0,IFERROR(LOOKUP(2,1/('Feijão 2ª safra'!$E22:INDEX('Feijão 2ª safra'!$E22:$Z22,MIN(H$6-$G$3,22))&lt;&gt;""),'Feijão 2ª safra'!$E22:INDEX('Feijão 2ª safra'!$E22:$Z22,MIN(H$6-$G$3,22))),0)))))</f>
        <v>0</v>
      </c>
      <c r="I24" s="27" t="n">
        <f aca="false">IF(COUNT('Feijão 2ª safra'!$E22:$Z22)=0,0,MAX(0,IF((I$6-$E$3)&lt;1,0,IFERROR(LOOKUP(2,1/('Feijão 2ª safra'!$E22:INDEX('Feijão 2ª safra'!$E22:$Z22,MIN(I$6-$E$3,22))&lt;&gt;""),'Feijão 2ª safra'!$E22:INDEX('Feijão 2ª safra'!$E22:$Z22,MIN(I$6-$E$3,22))),0))-IF($G$2,0,IF((I$6-$G$3)&lt;1,0,IFERROR(LOOKUP(2,1/('Feijão 2ª safra'!$E22:INDEX('Feijão 2ª safra'!$E22:$Z22,MIN(I$6-$G$3,22))&lt;&gt;""),'Feijão 2ª safra'!$E22:INDEX('Feijão 2ª safra'!$E22:$Z22,MIN(I$6-$G$3,22))),0)))))</f>
        <v>0</v>
      </c>
      <c r="J24" s="27" t="n">
        <f aca="false">IF(COUNT('Feijão 2ª safra'!$E22:$Z22)=0,0,MAX(0,IF((J$6-$E$3)&lt;1,0,IFERROR(LOOKUP(2,1/('Feijão 2ª safra'!$E22:INDEX('Feijão 2ª safra'!$E22:$Z22,MIN(J$6-$E$3,22))&lt;&gt;""),'Feijão 2ª safra'!$E22:INDEX('Feijão 2ª safra'!$E22:$Z22,MIN(J$6-$E$3,22))),0))-IF($G$2,0,IF((J$6-$G$3)&lt;1,0,IFERROR(LOOKUP(2,1/('Feijão 2ª safra'!$E22:INDEX('Feijão 2ª safra'!$E22:$Z22,MIN(J$6-$G$3,22))&lt;&gt;""),'Feijão 2ª safra'!$E22:INDEX('Feijão 2ª safra'!$E22:$Z22,MIN(J$6-$G$3,22))),0)))))</f>
        <v>0</v>
      </c>
      <c r="K24" s="27" t="n">
        <f aca="false">IF(COUNT('Feijão 2ª safra'!$E22:$Z22)=0,0,MAX(0,IF((K$6-$E$3)&lt;1,0,IFERROR(LOOKUP(2,1/('Feijão 2ª safra'!$E22:INDEX('Feijão 2ª safra'!$E22:$Z22,MIN(K$6-$E$3,22))&lt;&gt;""),'Feijão 2ª safra'!$E22:INDEX('Feijão 2ª safra'!$E22:$Z22,MIN(K$6-$E$3,22))),0))-IF($G$2,0,IF((K$6-$G$3)&lt;1,0,IFERROR(LOOKUP(2,1/('Feijão 2ª safra'!$E22:INDEX('Feijão 2ª safra'!$E22:$Z22,MIN(K$6-$G$3,22))&lt;&gt;""),'Feijão 2ª safra'!$E22:INDEX('Feijão 2ª safra'!$E22:$Z22,MIN(K$6-$G$3,22))),0)))))</f>
        <v>0</v>
      </c>
      <c r="L24" s="27" t="n">
        <f aca="false">IF(COUNT('Feijão 2ª safra'!$E22:$Z22)=0,0,MAX(0,IF((L$6-$E$3)&lt;1,0,IFERROR(LOOKUP(2,1/('Feijão 2ª safra'!$E22:INDEX('Feijão 2ª safra'!$E22:$Z22,MIN(L$6-$E$3,22))&lt;&gt;""),'Feijão 2ª safra'!$E22:INDEX('Feijão 2ª safra'!$E22:$Z22,MIN(L$6-$E$3,22))),0))-IF($G$2,0,IF((L$6-$G$3)&lt;1,0,IFERROR(LOOKUP(2,1/('Feijão 2ª safra'!$E22:INDEX('Feijão 2ª safra'!$E22:$Z22,MIN(L$6-$G$3,22))&lt;&gt;""),'Feijão 2ª safra'!$E22:INDEX('Feijão 2ª safra'!$E22:$Z22,MIN(L$6-$G$3,22))),0)))))</f>
        <v>0</v>
      </c>
      <c r="M24" s="27" t="n">
        <f aca="false">IF(COUNT('Feijão 2ª safra'!$E22:$Z22)=0,0,MAX(0,IF((M$6-$E$3)&lt;1,0,IFERROR(LOOKUP(2,1/('Feijão 2ª safra'!$E22:INDEX('Feijão 2ª safra'!$E22:$Z22,MIN(M$6-$E$3,22))&lt;&gt;""),'Feijão 2ª safra'!$E22:INDEX('Feijão 2ª safra'!$E22:$Z22,MIN(M$6-$E$3,22))),0))-IF($G$2,0,IF((M$6-$G$3)&lt;1,0,IFERROR(LOOKUP(2,1/('Feijão 2ª safra'!$E22:INDEX('Feijão 2ª safra'!$E22:$Z22,MIN(M$6-$G$3,22))&lt;&gt;""),'Feijão 2ª safra'!$E22:INDEX('Feijão 2ª safra'!$E22:$Z22,MIN(M$6-$G$3,22))),0)))))</f>
        <v>0</v>
      </c>
      <c r="N24" s="27" t="n">
        <f aca="false">IF(COUNT('Feijão 2ª safra'!$E22:$Z22)=0,0,MAX(0,IF((N$6-$E$3)&lt;1,0,IFERROR(LOOKUP(2,1/('Feijão 2ª safra'!$E22:INDEX('Feijão 2ª safra'!$E22:$Z22,MIN(N$6-$E$3,22))&lt;&gt;""),'Feijão 2ª safra'!$E22:INDEX('Feijão 2ª safra'!$E22:$Z22,MIN(N$6-$E$3,22))),0))-IF($G$2,0,IF((N$6-$G$3)&lt;1,0,IFERROR(LOOKUP(2,1/('Feijão 2ª safra'!$E22:INDEX('Feijão 2ª safra'!$E22:$Z22,MIN(N$6-$G$3,22))&lt;&gt;""),'Feijão 2ª safra'!$E22:INDEX('Feijão 2ª safra'!$E22:$Z22,MIN(N$6-$G$3,22))),0)))))</f>
        <v>0</v>
      </c>
      <c r="O24" s="27" t="n">
        <f aca="false">IF(COUNT('Feijão 2ª safra'!$E22:$Z22)=0,0,MAX(0,IF((O$6-$E$3)&lt;1,0,IFERROR(LOOKUP(2,1/('Feijão 2ª safra'!$E22:INDEX('Feijão 2ª safra'!$E22:$Z22,MIN(O$6-$E$3,22))&lt;&gt;""),'Feijão 2ª safra'!$E22:INDEX('Feijão 2ª safra'!$E22:$Z22,MIN(O$6-$E$3,22))),0))-IF($G$2,0,IF((O$6-$G$3)&lt;1,0,IFERROR(LOOKUP(2,1/('Feijão 2ª safra'!$E22:INDEX('Feijão 2ª safra'!$E22:$Z22,MIN(O$6-$G$3,22))&lt;&gt;""),'Feijão 2ª safra'!$E22:INDEX('Feijão 2ª safra'!$E22:$Z22,MIN(O$6-$G$3,22))),0)))))</f>
        <v>0</v>
      </c>
      <c r="P24" s="27" t="n">
        <f aca="false">IF(COUNT('Feijão 2ª safra'!$E22:$Z22)=0,0,MAX(0,IF((P$6-$E$3)&lt;1,0,IFERROR(LOOKUP(2,1/('Feijão 2ª safra'!$E22:INDEX('Feijão 2ª safra'!$E22:$Z22,MIN(P$6-$E$3,22))&lt;&gt;""),'Feijão 2ª safra'!$E22:INDEX('Feijão 2ª safra'!$E22:$Z22,MIN(P$6-$E$3,22))),0))-IF($G$2,0,IF((P$6-$G$3)&lt;1,0,IFERROR(LOOKUP(2,1/('Feijão 2ª safra'!$E22:INDEX('Feijão 2ª safra'!$E22:$Z22,MIN(P$6-$G$3,22))&lt;&gt;""),'Feijão 2ª safra'!$E22:INDEX('Feijão 2ª safra'!$E22:$Z22,MIN(P$6-$G$3,22))),0)))))</f>
        <v>0</v>
      </c>
      <c r="Q24" s="27" t="n">
        <f aca="false">IF(COUNT('Feijão 2ª safra'!$E22:$Z22)=0,0,MAX(0,IF((Q$6-$E$3)&lt;1,0,IFERROR(LOOKUP(2,1/('Feijão 2ª safra'!$E22:INDEX('Feijão 2ª safra'!$E22:$Z22,MIN(Q$6-$E$3,22))&lt;&gt;""),'Feijão 2ª safra'!$E22:INDEX('Feijão 2ª safra'!$E22:$Z22,MIN(Q$6-$E$3,22))),0))-IF($G$2,0,IF((Q$6-$G$3)&lt;1,0,IFERROR(LOOKUP(2,1/('Feijão 2ª safra'!$E22:INDEX('Feijão 2ª safra'!$E22:$Z22,MIN(Q$6-$G$3,22))&lt;&gt;""),'Feijão 2ª safra'!$E22:INDEX('Feijão 2ª safra'!$E22:$Z22,MIN(Q$6-$G$3,22))),0)))))</f>
        <v>0</v>
      </c>
      <c r="R24" s="27" t="n">
        <f aca="false">IF(COUNT('Feijão 2ª safra'!$E22:$Z22)=0,0,MAX(0,IF((R$6-$E$3)&lt;1,0,IFERROR(LOOKUP(2,1/('Feijão 2ª safra'!$E22:INDEX('Feijão 2ª safra'!$E22:$Z22,MIN(R$6-$E$3,22))&lt;&gt;""),'Feijão 2ª safra'!$E22:INDEX('Feijão 2ª safra'!$E22:$Z22,MIN(R$6-$E$3,22))),0))-IF($G$2,0,IF((R$6-$G$3)&lt;1,0,IFERROR(LOOKUP(2,1/('Feijão 2ª safra'!$E22:INDEX('Feijão 2ª safra'!$E22:$Z22,MIN(R$6-$G$3,22))&lt;&gt;""),'Feijão 2ª safra'!$E22:INDEX('Feijão 2ª safra'!$E22:$Z22,MIN(R$6-$G$3,22))),0)))))</f>
        <v>0</v>
      </c>
      <c r="S24" s="27" t="n">
        <f aca="false">IF(COUNT('Feijão 2ª safra'!$E22:$Z22)=0,0,MAX(0,IF((S$6-$E$3)&lt;1,0,IFERROR(LOOKUP(2,1/('Feijão 2ª safra'!$E22:INDEX('Feijão 2ª safra'!$E22:$Z22,MIN(S$6-$E$3,22))&lt;&gt;""),'Feijão 2ª safra'!$E22:INDEX('Feijão 2ª safra'!$E22:$Z22,MIN(S$6-$E$3,22))),0))-IF($G$2,0,IF((S$6-$G$3)&lt;1,0,IFERROR(LOOKUP(2,1/('Feijão 2ª safra'!$E22:INDEX('Feijão 2ª safra'!$E22:$Z22,MIN(S$6-$G$3,22))&lt;&gt;""),'Feijão 2ª safra'!$E22:INDEX('Feijão 2ª safra'!$E22:$Z22,MIN(S$6-$G$3,22))),0)))))</f>
        <v>0</v>
      </c>
      <c r="T24" s="27" t="n">
        <f aca="false">IF(COUNT('Feijão 2ª safra'!$E22:$Z22)=0,0,MAX(0,IF((T$6-$E$3)&lt;1,0,IFERROR(LOOKUP(2,1/('Feijão 2ª safra'!$E22:INDEX('Feijão 2ª safra'!$E22:$Z22,MIN(T$6-$E$3,22))&lt;&gt;""),'Feijão 2ª safra'!$E22:INDEX('Feijão 2ª safra'!$E22:$Z22,MIN(T$6-$E$3,22))),0))-IF($G$2,0,IF((T$6-$G$3)&lt;1,0,IFERROR(LOOKUP(2,1/('Feijão 2ª safra'!$E22:INDEX('Feijão 2ª safra'!$E22:$Z22,MIN(T$6-$G$3,22))&lt;&gt;""),'Feijão 2ª safra'!$E22:INDEX('Feijão 2ª safra'!$E22:$Z22,MIN(T$6-$G$3,22))),0)))))</f>
        <v>0</v>
      </c>
      <c r="U24" s="27" t="n">
        <f aca="false">IF(COUNT('Feijão 2ª safra'!$E22:$Z22)=0,0,MAX(0,IF((U$6-$E$3)&lt;1,0,IFERROR(LOOKUP(2,1/('Feijão 2ª safra'!$E22:INDEX('Feijão 2ª safra'!$E22:$Z22,MIN(U$6-$E$3,22))&lt;&gt;""),'Feijão 2ª safra'!$E22:INDEX('Feijão 2ª safra'!$E22:$Z22,MIN(U$6-$E$3,22))),0))-IF($G$2,0,IF((U$6-$G$3)&lt;1,0,IFERROR(LOOKUP(2,1/('Feijão 2ª safra'!$E22:INDEX('Feijão 2ª safra'!$E22:$Z22,MIN(U$6-$G$3,22))&lt;&gt;""),'Feijão 2ª safra'!$E22:INDEX('Feijão 2ª safra'!$E22:$Z22,MIN(U$6-$G$3,22))),0)))))</f>
        <v>0</v>
      </c>
      <c r="V24" s="27" t="n">
        <f aca="false">IF(COUNT('Feijão 2ª safra'!$E22:$Z22)=0,0,MAX(0,IF((V$6-$E$3)&lt;1,0,IFERROR(LOOKUP(2,1/('Feijão 2ª safra'!$E22:INDEX('Feijão 2ª safra'!$E22:$Z22,MIN(V$6-$E$3,22))&lt;&gt;""),'Feijão 2ª safra'!$E22:INDEX('Feijão 2ª safra'!$E22:$Z22,MIN(V$6-$E$3,22))),0))-IF($G$2,0,IF((V$6-$G$3)&lt;1,0,IFERROR(LOOKUP(2,1/('Feijão 2ª safra'!$E22:INDEX('Feijão 2ª safra'!$E22:$Z22,MIN(V$6-$G$3,22))&lt;&gt;""),'Feijão 2ª safra'!$E22:INDEX('Feijão 2ª safra'!$E22:$Z22,MIN(V$6-$G$3,22))),0)))))</f>
        <v>0</v>
      </c>
      <c r="W24" s="27" t="n">
        <f aca="false">IF(COUNT('Feijão 2ª safra'!$E22:$Z22)=0,0,MAX(0,IF((W$6-$E$3)&lt;1,0,IFERROR(LOOKUP(2,1/('Feijão 2ª safra'!$E22:INDEX('Feijão 2ª safra'!$E22:$Z22,MIN(W$6-$E$3,22))&lt;&gt;""),'Feijão 2ª safra'!$E22:INDEX('Feijão 2ª safra'!$E22:$Z22,MIN(W$6-$E$3,22))),0))-IF($G$2,0,IF((W$6-$G$3)&lt;1,0,IFERROR(LOOKUP(2,1/('Feijão 2ª safra'!$E22:INDEX('Feijão 2ª safra'!$E22:$Z22,MIN(W$6-$G$3,22))&lt;&gt;""),'Feijão 2ª safra'!$E22:INDEX('Feijão 2ª safra'!$E22:$Z22,MIN(W$6-$G$3,22))),0)))))</f>
        <v>0</v>
      </c>
      <c r="X24" s="27" t="n">
        <f aca="false">IF(COUNT('Feijão 2ª safra'!$E22:$Z22)=0,0,MAX(0,IF((X$6-$E$3)&lt;1,0,IFERROR(LOOKUP(2,1/('Feijão 2ª safra'!$E22:INDEX('Feijão 2ª safra'!$E22:$Z22,MIN(X$6-$E$3,22))&lt;&gt;""),'Feijão 2ª safra'!$E22:INDEX('Feijão 2ª safra'!$E22:$Z22,MIN(X$6-$E$3,22))),0))-IF($G$2,0,IF((X$6-$G$3)&lt;1,0,IFERROR(LOOKUP(2,1/('Feijão 2ª safra'!$E22:INDEX('Feijão 2ª safra'!$E22:$Z22,MIN(X$6-$G$3,22))&lt;&gt;""),'Feijão 2ª safra'!$E22:INDEX('Feijão 2ª safra'!$E22:$Z22,MIN(X$6-$G$3,22))),0)))))</f>
        <v>0</v>
      </c>
      <c r="Y24" s="27" t="n">
        <f aca="false">IF(COUNT('Feijão 2ª safra'!$E22:$Z22)=0,0,MAX(0,IF((Y$6-$E$3)&lt;1,0,IFERROR(LOOKUP(2,1/('Feijão 2ª safra'!$E22:INDEX('Feijão 2ª safra'!$E22:$Z22,MIN(Y$6-$E$3,22))&lt;&gt;""),'Feijão 2ª safra'!$E22:INDEX('Feijão 2ª safra'!$E22:$Z22,MIN(Y$6-$E$3,22))),0))-IF($G$2,0,IF((Y$6-$G$3)&lt;1,0,IFERROR(LOOKUP(2,1/('Feijão 2ª safra'!$E22:INDEX('Feijão 2ª safra'!$E22:$Z22,MIN(Y$6-$G$3,22))&lt;&gt;""),'Feijão 2ª safra'!$E22:INDEX('Feijão 2ª safra'!$E22:$Z22,MIN(Y$6-$G$3,22))),0)))))</f>
        <v>0</v>
      </c>
      <c r="Z24" s="27" t="n">
        <f aca="false">IF(COUNT('Feijão 2ª safra'!$E22:$Z22)=0,0,MAX(0,IF((Z$6-$E$3)&lt;1,0,IFERROR(LOOKUP(2,1/('Feijão 2ª safra'!$E22:INDEX('Feijão 2ª safra'!$E22:$Z22,MIN(Z$6-$E$3,22))&lt;&gt;""),'Feijão 2ª safra'!$E22:INDEX('Feijão 2ª safra'!$E22:$Z22,MIN(Z$6-$E$3,22))),0))-IF($G$2,0,IF((Z$6-$G$3)&lt;1,0,IFERROR(LOOKUP(2,1/('Feijão 2ª safra'!$E22:INDEX('Feijão 2ª safra'!$E22:$Z22,MIN(Z$6-$G$3,22))&lt;&gt;""),'Feijão 2ª safra'!$E22:INDEX('Feijão 2ª safra'!$E22:$Z22,MIN(Z$6-$G$3,22))),0)))))</f>
        <v>0</v>
      </c>
      <c r="AA24" s="27" t="n">
        <f aca="false">IF(COUNT('Feijão 2ª safra'!$E22:$Z22)=0,0,MAX(0,IF((AA$6-$E$3)&lt;1,0,IFERROR(LOOKUP(2,1/('Feijão 2ª safra'!$E22:INDEX('Feijão 2ª safra'!$E22:$Z22,MIN(AA$6-$E$3,22))&lt;&gt;""),'Feijão 2ª safra'!$E22:INDEX('Feijão 2ª safra'!$E22:$Z22,MIN(AA$6-$E$3,22))),0))-IF($G$2,0,IF((AA$6-$G$3)&lt;1,0,IFERROR(LOOKUP(2,1/('Feijão 2ª safra'!$E22:INDEX('Feijão 2ª safra'!$E22:$Z22,MIN(AA$6-$G$3,22))&lt;&gt;""),'Feijão 2ª safra'!$E22:INDEX('Feijão 2ª safra'!$E22:$Z22,MIN(AA$6-$G$3,22))),0)))))</f>
        <v>0</v>
      </c>
      <c r="AB24" s="27" t="n">
        <f aca="false">IF(COUNT('Feijão 2ª safra'!$E22:$Z22)=0,0,MAX(0,IF((AB$6-$E$3)&lt;1,0,IFERROR(LOOKUP(2,1/('Feijão 2ª safra'!$E22:INDEX('Feijão 2ª safra'!$E22:$Z22,MIN(AB$6-$E$3,22))&lt;&gt;""),'Feijão 2ª safra'!$E22:INDEX('Feijão 2ª safra'!$E22:$Z22,MIN(AB$6-$E$3,22))),0))-IF($G$2,0,IF((AB$6-$G$3)&lt;1,0,IFERROR(LOOKUP(2,1/('Feijão 2ª safra'!$E22:INDEX('Feijão 2ª safra'!$E22:$Z22,MIN(AB$6-$G$3,22))&lt;&gt;""),'Feijão 2ª safra'!$E22:INDEX('Feijão 2ª safra'!$E22:$Z22,MIN(AB$6-$G$3,22))),0)))))</f>
        <v>0</v>
      </c>
      <c r="AC24" s="27" t="n">
        <f aca="false">IF(COUNT('Feijão 2ª safra'!$E22:$Z22)=0,0,MAX(0,IF((AC$6-$E$3)&lt;1,0,IFERROR(LOOKUP(2,1/('Feijão 2ª safra'!$E22:INDEX('Feijão 2ª safra'!$E22:$Z22,MIN(AC$6-$E$3,22))&lt;&gt;""),'Feijão 2ª safra'!$E22:INDEX('Feijão 2ª safra'!$E22:$Z22,MIN(AC$6-$E$3,22))),0))-IF($G$2,0,IF((AC$6-$G$3)&lt;1,0,IFERROR(LOOKUP(2,1/('Feijão 2ª safra'!$E22:INDEX('Feijão 2ª safra'!$E22:$Z22,MIN(AC$6-$G$3,22))&lt;&gt;""),'Feijão 2ª safra'!$E22:INDEX('Feijão 2ª safra'!$E22:$Z22,MIN(AC$6-$G$3,22))),0)))))</f>
        <v>0</v>
      </c>
      <c r="AD24" s="27" t="n">
        <f aca="false">IF(COUNT('Feijão 2ª safra'!$E22:$Z22)=0,0,MAX(0,IF((AD$6-$E$3)&lt;1,0,IFERROR(LOOKUP(2,1/('Feijão 2ª safra'!$E22:INDEX('Feijão 2ª safra'!$E22:$Z22,MIN(AD$6-$E$3,22))&lt;&gt;""),'Feijão 2ª safra'!$E22:INDEX('Feijão 2ª safra'!$E22:$Z22,MIN(AD$6-$E$3,22))),0))-IF($G$2,0,IF((AD$6-$G$3)&lt;1,0,IFERROR(LOOKUP(2,1/('Feijão 2ª safra'!$E22:INDEX('Feijão 2ª safra'!$E22:$Z22,MIN(AD$6-$G$3,22))&lt;&gt;""),'Feijão 2ª safra'!$E22:INDEX('Feijão 2ª safra'!$E22:$Z22,MIN(AD$6-$G$3,22))),0)))))</f>
        <v>0</v>
      </c>
      <c r="AE24" s="27" t="n">
        <f aca="false">IF(COUNT('Feijão 2ª safra'!$E22:$Z22)=0,0,MAX(0,IF((AE$6-$E$3)&lt;1,0,IFERROR(LOOKUP(2,1/('Feijão 2ª safra'!$E22:INDEX('Feijão 2ª safra'!$E22:$Z22,MIN(AE$6-$E$3,22))&lt;&gt;""),'Feijão 2ª safra'!$E22:INDEX('Feijão 2ª safra'!$E22:$Z22,MIN(AE$6-$E$3,22))),0))-IF($G$2,0,IF((AE$6-$G$3)&lt;1,0,IFERROR(LOOKUP(2,1/('Feijão 2ª safra'!$E22:INDEX('Feijão 2ª safra'!$E22:$Z22,MIN(AE$6-$G$3,22))&lt;&gt;""),'Feijão 2ª safra'!$E22:INDEX('Feijão 2ª safra'!$E22:$Z22,MIN(AE$6-$G$3,22))),0)))))</f>
        <v>0</v>
      </c>
      <c r="AF24" s="27" t="n">
        <f aca="false">IF(COUNT('Feijão 2ª safra'!$E22:$Z22)=0,0,MAX(0,IF((AF$6-$E$3)&lt;1,0,IFERROR(LOOKUP(2,1/('Feijão 2ª safra'!$E22:INDEX('Feijão 2ª safra'!$E22:$Z22,MIN(AF$6-$E$3,22))&lt;&gt;""),'Feijão 2ª safra'!$E22:INDEX('Feijão 2ª safra'!$E22:$Z22,MIN(AF$6-$E$3,22))),0))-IF($G$2,0,IF((AF$6-$G$3)&lt;1,0,IFERROR(LOOKUP(2,1/('Feijão 2ª safra'!$E22:INDEX('Feijão 2ª safra'!$E22:$Z22,MIN(AF$6-$G$3,22))&lt;&gt;""),'Feijão 2ª safra'!$E22:INDEX('Feijão 2ª safra'!$E22:$Z22,MIN(AF$6-$G$3,22))),0)))))</f>
        <v>0</v>
      </c>
      <c r="AG24" s="27" t="n">
        <f aca="false">IF(COUNT('Feijão 2ª safra'!$E22:$Z22)=0,0,MAX(0,IF((AG$6-$E$3)&lt;1,0,IFERROR(LOOKUP(2,1/('Feijão 2ª safra'!$E22:INDEX('Feijão 2ª safra'!$E22:$Z22,MIN(AG$6-$E$3,22))&lt;&gt;""),'Feijão 2ª safra'!$E22:INDEX('Feijão 2ª safra'!$E22:$Z22,MIN(AG$6-$E$3,22))),0))-IF($G$2,0,IF((AG$6-$G$3)&lt;1,0,IFERROR(LOOKUP(2,1/('Feijão 2ª safra'!$E22:INDEX('Feijão 2ª safra'!$E22:$Z22,MIN(AG$6-$G$3,22))&lt;&gt;""),'Feijão 2ª safra'!$E22:INDEX('Feijão 2ª safra'!$E22:$Z22,MIN(AG$6-$G$3,22))),0)))))</f>
        <v>0</v>
      </c>
      <c r="AH24" s="27" t="n">
        <f aca="false">IF(COUNT('Feijão 2ª safra'!$E22:$Z22)=0,0,MAX(0,IF((AH$6-$E$3)&lt;1,0,IFERROR(LOOKUP(2,1/('Feijão 2ª safra'!$E22:INDEX('Feijão 2ª safra'!$E22:$Z22,MIN(AH$6-$E$3,22))&lt;&gt;""),'Feijão 2ª safra'!$E22:INDEX('Feijão 2ª safra'!$E22:$Z22,MIN(AH$6-$E$3,22))),0))-IF($G$2,0,IF((AH$6-$G$3)&lt;1,0,IFERROR(LOOKUP(2,1/('Feijão 2ª safra'!$E22:INDEX('Feijão 2ª safra'!$E22:$Z22,MIN(AH$6-$G$3,22))&lt;&gt;""),'Feijão 2ª safra'!$E22:INDEX('Feijão 2ª safra'!$E22:$Z22,MIN(AH$6-$G$3,22))),0)))))</f>
        <v>0</v>
      </c>
      <c r="AI24" s="27" t="n">
        <f aca="false">IF(COUNT('Feijão 2ª safra'!$E22:$Z22)=0,0,MAX(0,IF((AI$6-$E$3)&lt;1,0,IFERROR(LOOKUP(2,1/('Feijão 2ª safra'!$E22:INDEX('Feijão 2ª safra'!$E22:$Z22,MIN(AI$6-$E$3,22))&lt;&gt;""),'Feijão 2ª safra'!$E22:INDEX('Feijão 2ª safra'!$E22:$Z22,MIN(AI$6-$E$3,22))),0))-IF($G$2,0,IF((AI$6-$G$3)&lt;1,0,IFERROR(LOOKUP(2,1/('Feijão 2ª safra'!$E22:INDEX('Feijão 2ª safra'!$E22:$Z22,MIN(AI$6-$G$3,22))&lt;&gt;""),'Feijão 2ª safra'!$E22:INDEX('Feijão 2ª safra'!$E22:$Z22,MIN(AI$6-$G$3,22))),0)))))</f>
        <v>0</v>
      </c>
      <c r="AJ24" s="27" t="n">
        <f aca="false">IF(COUNT('Feijão 2ª safra'!$E22:$Z22)=0,0,MAX(0,IF((AJ$6-$E$3)&lt;1,0,IFERROR(LOOKUP(2,1/('Feijão 2ª safra'!$E22:INDEX('Feijão 2ª safra'!$E22:$Z22,MIN(AJ$6-$E$3,22))&lt;&gt;""),'Feijão 2ª safra'!$E22:INDEX('Feijão 2ª safra'!$E22:$Z22,MIN(AJ$6-$E$3,22))),0))-IF($G$2,0,IF((AJ$6-$G$3)&lt;1,0,IFERROR(LOOKUP(2,1/('Feijão 2ª safra'!$E22:INDEX('Feijão 2ª safra'!$E22:$Z22,MIN(AJ$6-$G$3,22))&lt;&gt;""),'Feijão 2ª safra'!$E22:INDEX('Feijão 2ª safra'!$E22:$Z22,MIN(AJ$6-$G$3,22))),0)))))</f>
        <v>0</v>
      </c>
      <c r="AK24" s="27" t="n">
        <f aca="false">IF(COUNT('Feijão 2ª safra'!$E22:$Z22)=0,0,MAX(0,IF((AK$6-$E$3)&lt;1,0,IFERROR(LOOKUP(2,1/('Feijão 2ª safra'!$E22:INDEX('Feijão 2ª safra'!$E22:$Z22,MIN(AK$6-$E$3,22))&lt;&gt;""),'Feijão 2ª safra'!$E22:INDEX('Feijão 2ª safra'!$E22:$Z22,MIN(AK$6-$E$3,22))),0))-IF($G$2,0,IF((AK$6-$G$3)&lt;1,0,IFERROR(LOOKUP(2,1/('Feijão 2ª safra'!$E22:INDEX('Feijão 2ª safra'!$E22:$Z22,MIN(AK$6-$G$3,22))&lt;&gt;""),'Feijão 2ª safra'!$E22:INDEX('Feijão 2ª safra'!$E22:$Z22,MIN(AK$6-$G$3,22))),0)))))</f>
        <v>0</v>
      </c>
      <c r="AL24" s="27" t="n">
        <f aca="false">IF(COUNT('Feijão 2ª safra'!$E22:$Z22)=0,0,MAX(0,IF((AL$6-$E$3)&lt;1,0,IFERROR(LOOKUP(2,1/('Feijão 2ª safra'!$E22:INDEX('Feijão 2ª safra'!$E22:$Z22,MIN(AL$6-$E$3,22))&lt;&gt;""),'Feijão 2ª safra'!$E22:INDEX('Feijão 2ª safra'!$E22:$Z22,MIN(AL$6-$E$3,22))),0))-IF($G$2,0,IF((AL$6-$G$3)&lt;1,0,IFERROR(LOOKUP(2,1/('Feijão 2ª safra'!$E22:INDEX('Feijão 2ª safra'!$E22:$Z22,MIN(AL$6-$G$3,22))&lt;&gt;""),'Feijão 2ª safra'!$E22:INDEX('Feijão 2ª safra'!$E22:$Z22,MIN(AL$6-$G$3,22))),0)))))</f>
        <v>0</v>
      </c>
      <c r="AM24" s="27" t="n">
        <f aca="false">IF(COUNT('Feijão 2ª safra'!$E22:$Z22)=0,0,MAX(0,IF((AM$6-$E$3)&lt;1,0,IFERROR(LOOKUP(2,1/('Feijão 2ª safra'!$E22:INDEX('Feijão 2ª safra'!$E22:$Z22,MIN(AM$6-$E$3,22))&lt;&gt;""),'Feijão 2ª safra'!$E22:INDEX('Feijão 2ª safra'!$E22:$Z22,MIN(AM$6-$E$3,22))),0))-IF($G$2,0,IF((AM$6-$G$3)&lt;1,0,IFERROR(LOOKUP(2,1/('Feijão 2ª safra'!$E22:INDEX('Feijão 2ª safra'!$E22:$Z22,MIN(AM$6-$G$3,22))&lt;&gt;""),'Feijão 2ª safra'!$E22:INDEX('Feijão 2ª safra'!$E22:$Z22,MIN(AM$6-$G$3,22))),0)))))</f>
        <v>0</v>
      </c>
      <c r="AN24" s="27" t="n">
        <f aca="false">IF(COUNT('Feijão 2ª safra'!$E22:$Z22)=0,0,MAX(0,IF((AN$6-$E$3)&lt;1,0,IFERROR(LOOKUP(2,1/('Feijão 2ª safra'!$E22:INDEX('Feijão 2ª safra'!$E22:$Z22,MIN(AN$6-$E$3,22))&lt;&gt;""),'Feijão 2ª safra'!$E22:INDEX('Feijão 2ª safra'!$E22:$Z22,MIN(AN$6-$E$3,22))),0))-IF($G$2,0,IF((AN$6-$G$3)&lt;1,0,IFERROR(LOOKUP(2,1/('Feijão 2ª safra'!$E22:INDEX('Feijão 2ª safra'!$E22:$Z22,MIN(AN$6-$G$3,22))&lt;&gt;""),'Feijão 2ª safra'!$E22:INDEX('Feijão 2ª safra'!$E22:$Z22,MIN(AN$6-$G$3,22))),0)))))</f>
        <v>0</v>
      </c>
      <c r="AO24" s="27" t="n">
        <f aca="false">IF(COUNT('Feijão 2ª safra'!$E22:$Z22)=0,0,MAX(0,IF((AO$6-$E$3)&lt;1,0,IFERROR(LOOKUP(2,1/('Feijão 2ª safra'!$E22:INDEX('Feijão 2ª safra'!$E22:$Z22,MIN(AO$6-$E$3,22))&lt;&gt;""),'Feijão 2ª safra'!$E22:INDEX('Feijão 2ª safra'!$E22:$Z22,MIN(AO$6-$E$3,22))),0))-IF($G$2,0,IF((AO$6-$G$3)&lt;1,0,IFERROR(LOOKUP(2,1/('Feijão 2ª safra'!$E22:INDEX('Feijão 2ª safra'!$E22:$Z22,MIN(AO$6-$G$3,22))&lt;&gt;""),'Feijão 2ª safra'!$E22:INDEX('Feijão 2ª safra'!$E22:$Z22,MIN(AO$6-$G$3,22))),0)))))</f>
        <v>0</v>
      </c>
      <c r="AP24" s="27" t="n">
        <f aca="false">IF(COUNT('Feijão 2ª safra'!$E22:$Z22)=0,0,MAX(0,IF((AP$6-$E$3)&lt;1,0,IFERROR(LOOKUP(2,1/('Feijão 2ª safra'!$E22:INDEX('Feijão 2ª safra'!$E22:$Z22,MIN(AP$6-$E$3,22))&lt;&gt;""),'Feijão 2ª safra'!$E22:INDEX('Feijão 2ª safra'!$E22:$Z22,MIN(AP$6-$E$3,22))),0))-IF($G$2,0,IF((AP$6-$G$3)&lt;1,0,IFERROR(LOOKUP(2,1/('Feijão 2ª safra'!$E22:INDEX('Feijão 2ª safra'!$E22:$Z22,MIN(AP$6-$G$3,22))&lt;&gt;""),'Feijão 2ª safra'!$E22:INDEX('Feijão 2ª safra'!$E22:$Z22,MIN(AP$6-$G$3,22))),0)))))</f>
        <v>0</v>
      </c>
      <c r="AQ24" s="27" t="n">
        <f aca="false">IF(COUNT('Feijão 2ª safra'!$E22:$Z22)=0,0,MAX(0,IF((AQ$6-$E$3)&lt;1,0,IFERROR(LOOKUP(2,1/('Feijão 2ª safra'!$E22:INDEX('Feijão 2ª safra'!$E22:$Z22,MIN(AQ$6-$E$3,22))&lt;&gt;""),'Feijão 2ª safra'!$E22:INDEX('Feijão 2ª safra'!$E22:$Z22,MIN(AQ$6-$E$3,22))),0))-IF($G$2,0,IF((AQ$6-$G$3)&lt;1,0,IFERROR(LOOKUP(2,1/('Feijão 2ª safra'!$E22:INDEX('Feijão 2ª safra'!$E22:$Z22,MIN(AQ$6-$G$3,22))&lt;&gt;""),'Feijão 2ª safra'!$E22:INDEX('Feijão 2ª safra'!$E22:$Z22,MIN(AQ$6-$G$3,22))),0)))))</f>
        <v>0</v>
      </c>
      <c r="AR24" s="27" t="n">
        <f aca="false">IF(COUNT('Feijão 2ª safra'!$E22:$Z22)=0,0,MAX(0,IF((AR$6-$E$3)&lt;1,0,IFERROR(LOOKUP(2,1/('Feijão 2ª safra'!$E22:INDEX('Feijão 2ª safra'!$E22:$Z22,MIN(AR$6-$E$3,22))&lt;&gt;""),'Feijão 2ª safra'!$E22:INDEX('Feijão 2ª safra'!$E22:$Z22,MIN(AR$6-$E$3,22))),0))-IF($G$2,0,IF((AR$6-$G$3)&lt;1,0,IFERROR(LOOKUP(2,1/('Feijão 2ª safra'!$E22:INDEX('Feijão 2ª safra'!$E22:$Z22,MIN(AR$6-$G$3,22))&lt;&gt;""),'Feijão 2ª safra'!$E22:INDEX('Feijão 2ª safra'!$E22:$Z22,MIN(AR$6-$G$3,22))),0)))))</f>
        <v>0</v>
      </c>
      <c r="AS24" s="27" t="n">
        <f aca="false">IF(COUNT('Feijão 2ª safra'!$E22:$Z22)=0,0,MAX(0,IF((AS$6-$E$3)&lt;1,0,IFERROR(LOOKUP(2,1/('Feijão 2ª safra'!$E22:INDEX('Feijão 2ª safra'!$E22:$Z22,MIN(AS$6-$E$3,22))&lt;&gt;""),'Feijão 2ª safra'!$E22:INDEX('Feijão 2ª safra'!$E22:$Z22,MIN(AS$6-$E$3,22))),0))-IF($G$2,0,IF((AS$6-$G$3)&lt;1,0,IFERROR(LOOKUP(2,1/('Feijão 2ª safra'!$E22:INDEX('Feijão 2ª safra'!$E22:$Z22,MIN(AS$6-$G$3,22))&lt;&gt;""),'Feijão 2ª safra'!$E22:INDEX('Feijão 2ª safra'!$E22:$Z22,MIN(AS$6-$G$3,22))),0)))))</f>
        <v>0</v>
      </c>
      <c r="AT24" s="27" t="n">
        <f aca="false">IF(COUNT('Feijão 2ª safra'!$E22:$Z22)=0,0,MAX(0,IF((AT$6-$E$3)&lt;1,0,IFERROR(LOOKUP(2,1/('Feijão 2ª safra'!$E22:INDEX('Feijão 2ª safra'!$E22:$Z22,MIN(AT$6-$E$3,22))&lt;&gt;""),'Feijão 2ª safra'!$E22:INDEX('Feijão 2ª safra'!$E22:$Z22,MIN(AT$6-$E$3,22))),0))-IF($G$2,0,IF((AT$6-$G$3)&lt;1,0,IFERROR(LOOKUP(2,1/('Feijão 2ª safra'!$E22:INDEX('Feijão 2ª safra'!$E22:$Z22,MIN(AT$6-$G$3,22))&lt;&gt;""),'Feijão 2ª safra'!$E22:INDEX('Feijão 2ª safra'!$E22:$Z22,MIN(AT$6-$G$3,22))),0)))))</f>
        <v>0</v>
      </c>
      <c r="AU24" s="27" t="n">
        <f aca="false">IF(COUNT('Feijão 2ª safra'!$E22:$Z22)=0,0,MAX(0,IF((AU$6-$E$3)&lt;1,0,IFERROR(LOOKUP(2,1/('Feijão 2ª safra'!$E22:INDEX('Feijão 2ª safra'!$E22:$Z22,MIN(AU$6-$E$3,22))&lt;&gt;""),'Feijão 2ª safra'!$E22:INDEX('Feijão 2ª safra'!$E22:$Z22,MIN(AU$6-$E$3,22))),0))-IF($G$2,0,IF((AU$6-$G$3)&lt;1,0,IFERROR(LOOKUP(2,1/('Feijão 2ª safra'!$E22:INDEX('Feijão 2ª safra'!$E22:$Z22,MIN(AU$6-$G$3,22))&lt;&gt;""),'Feijão 2ª safra'!$E22:INDEX('Feijão 2ª safra'!$E22:$Z22,MIN(AU$6-$G$3,22))),0)))))</f>
        <v>0</v>
      </c>
      <c r="AV24" s="27" t="n">
        <f aca="false">IF(COUNT('Feijão 2ª safra'!$E22:$Z22)=0,0,MAX(0,IF((AV$6-$E$3)&lt;1,0,IFERROR(LOOKUP(2,1/('Feijão 2ª safra'!$E22:INDEX('Feijão 2ª safra'!$E22:$Z22,MIN(AV$6-$E$3,22))&lt;&gt;""),'Feijão 2ª safra'!$E22:INDEX('Feijão 2ª safra'!$E22:$Z22,MIN(AV$6-$E$3,22))),0))-IF($G$2,0,IF((AV$6-$G$3)&lt;1,0,IFERROR(LOOKUP(2,1/('Feijão 2ª safra'!$E22:INDEX('Feijão 2ª safra'!$E22:$Z22,MIN(AV$6-$G$3,22))&lt;&gt;""),'Feijão 2ª safra'!$E22:INDEX('Feijão 2ª safra'!$E22:$Z22,MIN(AV$6-$G$3,22))),0)))))</f>
        <v>0</v>
      </c>
      <c r="AW24" s="27" t="n">
        <f aca="false">IF(COUNT('Feijão 2ª safra'!$E22:$Z22)=0,0,MAX(0,IF((AW$6-$E$3)&lt;1,0,IFERROR(LOOKUP(2,1/('Feijão 2ª safra'!$E22:INDEX('Feijão 2ª safra'!$E22:$Z22,MIN(AW$6-$E$3,22))&lt;&gt;""),'Feijão 2ª safra'!$E22:INDEX('Feijão 2ª safra'!$E22:$Z22,MIN(AW$6-$E$3,22))),0))-IF($G$2,0,IF((AW$6-$G$3)&lt;1,0,IFERROR(LOOKUP(2,1/('Feijão 2ª safra'!$E22:INDEX('Feijão 2ª safra'!$E22:$Z22,MIN(AW$6-$G$3,22))&lt;&gt;""),'Feijão 2ª safra'!$E22:INDEX('Feijão 2ª safra'!$E22:$Z22,MIN(AW$6-$G$3,22))),0)))))</f>
        <v>0</v>
      </c>
      <c r="AX24" s="27" t="n">
        <f aca="false">IF(COUNT('Feijão 2ª safra'!$E22:$Z22)=0,0,MAX(0,IF((AX$6-$E$3)&lt;1,0,IFERROR(LOOKUP(2,1/('Feijão 2ª safra'!$E22:INDEX('Feijão 2ª safra'!$E22:$Z22,MIN(AX$6-$E$3,22))&lt;&gt;""),'Feijão 2ª safra'!$E22:INDEX('Feijão 2ª safra'!$E22:$Z22,MIN(AX$6-$E$3,22))),0))-IF($G$2,0,IF((AX$6-$G$3)&lt;1,0,IFERROR(LOOKUP(2,1/('Feijão 2ª safra'!$E22:INDEX('Feijão 2ª safra'!$E22:$Z22,MIN(AX$6-$G$3,22))&lt;&gt;""),'Feijão 2ª safra'!$E22:INDEX('Feijão 2ª safra'!$E22:$Z22,MIN(AX$6-$G$3,22))),0)))))</f>
        <v>0</v>
      </c>
      <c r="AY24" s="27" t="n">
        <f aca="false">IF(COUNT('Feijão 2ª safra'!$E22:$Z22)=0,0,MAX(0,IF((AY$6-$E$3)&lt;1,0,IFERROR(LOOKUP(2,1/('Feijão 2ª safra'!$E22:INDEX('Feijão 2ª safra'!$E22:$Z22,MIN(AY$6-$E$3,22))&lt;&gt;""),'Feijão 2ª safra'!$E22:INDEX('Feijão 2ª safra'!$E22:$Z22,MIN(AY$6-$E$3,22))),0))-IF($G$2,0,IF((AY$6-$G$3)&lt;1,0,IFERROR(LOOKUP(2,1/('Feijão 2ª safra'!$E22:INDEX('Feijão 2ª safra'!$E22:$Z22,MIN(AY$6-$G$3,22))&lt;&gt;""),'Feijão 2ª safra'!$E22:INDEX('Feijão 2ª safra'!$E22:$Z22,MIN(AY$6-$G$3,22))),0)))))</f>
        <v>0</v>
      </c>
      <c r="AZ24" s="27" t="n">
        <f aca="false">IF(COUNT('Feijão 2ª safra'!$E22:$Z22)=0,0,MAX(0,IF((AZ$6-$E$3)&lt;1,0,IFERROR(LOOKUP(2,1/('Feijão 2ª safra'!$E22:INDEX('Feijão 2ª safra'!$E22:$Z22,MIN(AZ$6-$E$3,22))&lt;&gt;""),'Feijão 2ª safra'!$E22:INDEX('Feijão 2ª safra'!$E22:$Z22,MIN(AZ$6-$E$3,22))),0))-IF($G$2,0,IF((AZ$6-$G$3)&lt;1,0,IFERROR(LOOKUP(2,1/('Feijão 2ª safra'!$E22:INDEX('Feijão 2ª safra'!$E22:$Z22,MIN(AZ$6-$G$3,22))&lt;&gt;""),'Feijão 2ª safra'!$E22:INDEX('Feijão 2ª safra'!$E22:$Z22,MIN(AZ$6-$G$3,22))),0)))))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IF(COUNT('Feijão 2ª safra'!$E23:$Z23)&gt;0,N('Feijão 2ª safra'!$D23),0)</f>
        <v>0</v>
      </c>
      <c r="E25" s="27" t="n">
        <f aca="false">IF(COUNT('Feijão 2ª safra'!$E23:$Z23)=0,0,MAX(0,IF((E$6-$E$3)&lt;1,0,IFERROR(LOOKUP(2,1/('Feijão 2ª safra'!$E23:INDEX('Feijão 2ª safra'!$E23:$Z23,MIN(E$6-$E$3,22))&lt;&gt;""),'Feijão 2ª safra'!$E23:INDEX('Feijão 2ª safra'!$E23:$Z23,MIN(E$6-$E$3,22))),0))-IF($G$2,0,IF((E$6-$G$3)&lt;1,0,IFERROR(LOOKUP(2,1/('Feijão 2ª safra'!$E23:INDEX('Feijão 2ª safra'!$E23:$Z23,MIN(E$6-$G$3,22))&lt;&gt;""),'Feijão 2ª safra'!$E23:INDEX('Feijão 2ª safra'!$E23:$Z23,MIN(E$6-$G$3,22))),0)))))</f>
        <v>0</v>
      </c>
      <c r="F25" s="27" t="n">
        <f aca="false">IF(COUNT('Feijão 2ª safra'!$E23:$Z23)=0,0,MAX(0,IF((F$6-$E$3)&lt;1,0,IFERROR(LOOKUP(2,1/('Feijão 2ª safra'!$E23:INDEX('Feijão 2ª safra'!$E23:$Z23,MIN(F$6-$E$3,22))&lt;&gt;""),'Feijão 2ª safra'!$E23:INDEX('Feijão 2ª safra'!$E23:$Z23,MIN(F$6-$E$3,22))),0))-IF($G$2,0,IF((F$6-$G$3)&lt;1,0,IFERROR(LOOKUP(2,1/('Feijão 2ª safra'!$E23:INDEX('Feijão 2ª safra'!$E23:$Z23,MIN(F$6-$G$3,22))&lt;&gt;""),'Feijão 2ª safra'!$E23:INDEX('Feijão 2ª safra'!$E23:$Z23,MIN(F$6-$G$3,22))),0)))))</f>
        <v>0</v>
      </c>
      <c r="G25" s="27" t="n">
        <f aca="false">IF(COUNT('Feijão 2ª safra'!$E23:$Z23)=0,0,MAX(0,IF((G$6-$E$3)&lt;1,0,IFERROR(LOOKUP(2,1/('Feijão 2ª safra'!$E23:INDEX('Feijão 2ª safra'!$E23:$Z23,MIN(G$6-$E$3,22))&lt;&gt;""),'Feijão 2ª safra'!$E23:INDEX('Feijão 2ª safra'!$E23:$Z23,MIN(G$6-$E$3,22))),0))-IF($G$2,0,IF((G$6-$G$3)&lt;1,0,IFERROR(LOOKUP(2,1/('Feijão 2ª safra'!$E23:INDEX('Feijão 2ª safra'!$E23:$Z23,MIN(G$6-$G$3,22))&lt;&gt;""),'Feijão 2ª safra'!$E23:INDEX('Feijão 2ª safra'!$E23:$Z23,MIN(G$6-$G$3,22))),0)))))</f>
        <v>0</v>
      </c>
      <c r="H25" s="27" t="n">
        <f aca="false">IF(COUNT('Feijão 2ª safra'!$E23:$Z23)=0,0,MAX(0,IF((H$6-$E$3)&lt;1,0,IFERROR(LOOKUP(2,1/('Feijão 2ª safra'!$E23:INDEX('Feijão 2ª safra'!$E23:$Z23,MIN(H$6-$E$3,22))&lt;&gt;""),'Feijão 2ª safra'!$E23:INDEX('Feijão 2ª safra'!$E23:$Z23,MIN(H$6-$E$3,22))),0))-IF($G$2,0,IF((H$6-$G$3)&lt;1,0,IFERROR(LOOKUP(2,1/('Feijão 2ª safra'!$E23:INDEX('Feijão 2ª safra'!$E23:$Z23,MIN(H$6-$G$3,22))&lt;&gt;""),'Feijão 2ª safra'!$E23:INDEX('Feijão 2ª safra'!$E23:$Z23,MIN(H$6-$G$3,22))),0)))))</f>
        <v>0</v>
      </c>
      <c r="I25" s="27" t="n">
        <f aca="false">IF(COUNT('Feijão 2ª safra'!$E23:$Z23)=0,0,MAX(0,IF((I$6-$E$3)&lt;1,0,IFERROR(LOOKUP(2,1/('Feijão 2ª safra'!$E23:INDEX('Feijão 2ª safra'!$E23:$Z23,MIN(I$6-$E$3,22))&lt;&gt;""),'Feijão 2ª safra'!$E23:INDEX('Feijão 2ª safra'!$E23:$Z23,MIN(I$6-$E$3,22))),0))-IF($G$2,0,IF((I$6-$G$3)&lt;1,0,IFERROR(LOOKUP(2,1/('Feijão 2ª safra'!$E23:INDEX('Feijão 2ª safra'!$E23:$Z23,MIN(I$6-$G$3,22))&lt;&gt;""),'Feijão 2ª safra'!$E23:INDEX('Feijão 2ª safra'!$E23:$Z23,MIN(I$6-$G$3,22))),0)))))</f>
        <v>0</v>
      </c>
      <c r="J25" s="27" t="n">
        <f aca="false">IF(COUNT('Feijão 2ª safra'!$E23:$Z23)=0,0,MAX(0,IF((J$6-$E$3)&lt;1,0,IFERROR(LOOKUP(2,1/('Feijão 2ª safra'!$E23:INDEX('Feijão 2ª safra'!$E23:$Z23,MIN(J$6-$E$3,22))&lt;&gt;""),'Feijão 2ª safra'!$E23:INDEX('Feijão 2ª safra'!$E23:$Z23,MIN(J$6-$E$3,22))),0))-IF($G$2,0,IF((J$6-$G$3)&lt;1,0,IFERROR(LOOKUP(2,1/('Feijão 2ª safra'!$E23:INDEX('Feijão 2ª safra'!$E23:$Z23,MIN(J$6-$G$3,22))&lt;&gt;""),'Feijão 2ª safra'!$E23:INDEX('Feijão 2ª safra'!$E23:$Z23,MIN(J$6-$G$3,22))),0)))))</f>
        <v>0</v>
      </c>
      <c r="K25" s="27" t="n">
        <f aca="false">IF(COUNT('Feijão 2ª safra'!$E23:$Z23)=0,0,MAX(0,IF((K$6-$E$3)&lt;1,0,IFERROR(LOOKUP(2,1/('Feijão 2ª safra'!$E23:INDEX('Feijão 2ª safra'!$E23:$Z23,MIN(K$6-$E$3,22))&lt;&gt;""),'Feijão 2ª safra'!$E23:INDEX('Feijão 2ª safra'!$E23:$Z23,MIN(K$6-$E$3,22))),0))-IF($G$2,0,IF((K$6-$G$3)&lt;1,0,IFERROR(LOOKUP(2,1/('Feijão 2ª safra'!$E23:INDEX('Feijão 2ª safra'!$E23:$Z23,MIN(K$6-$G$3,22))&lt;&gt;""),'Feijão 2ª safra'!$E23:INDEX('Feijão 2ª safra'!$E23:$Z23,MIN(K$6-$G$3,22))),0)))))</f>
        <v>0</v>
      </c>
      <c r="L25" s="27" t="n">
        <f aca="false">IF(COUNT('Feijão 2ª safra'!$E23:$Z23)=0,0,MAX(0,IF((L$6-$E$3)&lt;1,0,IFERROR(LOOKUP(2,1/('Feijão 2ª safra'!$E23:INDEX('Feijão 2ª safra'!$E23:$Z23,MIN(L$6-$E$3,22))&lt;&gt;""),'Feijão 2ª safra'!$E23:INDEX('Feijão 2ª safra'!$E23:$Z23,MIN(L$6-$E$3,22))),0))-IF($G$2,0,IF((L$6-$G$3)&lt;1,0,IFERROR(LOOKUP(2,1/('Feijão 2ª safra'!$E23:INDEX('Feijão 2ª safra'!$E23:$Z23,MIN(L$6-$G$3,22))&lt;&gt;""),'Feijão 2ª safra'!$E23:INDEX('Feijão 2ª safra'!$E23:$Z23,MIN(L$6-$G$3,22))),0)))))</f>
        <v>0</v>
      </c>
      <c r="M25" s="27" t="n">
        <f aca="false">IF(COUNT('Feijão 2ª safra'!$E23:$Z23)=0,0,MAX(0,IF((M$6-$E$3)&lt;1,0,IFERROR(LOOKUP(2,1/('Feijão 2ª safra'!$E23:INDEX('Feijão 2ª safra'!$E23:$Z23,MIN(M$6-$E$3,22))&lt;&gt;""),'Feijão 2ª safra'!$E23:INDEX('Feijão 2ª safra'!$E23:$Z23,MIN(M$6-$E$3,22))),0))-IF($G$2,0,IF((M$6-$G$3)&lt;1,0,IFERROR(LOOKUP(2,1/('Feijão 2ª safra'!$E23:INDEX('Feijão 2ª safra'!$E23:$Z23,MIN(M$6-$G$3,22))&lt;&gt;""),'Feijão 2ª safra'!$E23:INDEX('Feijão 2ª safra'!$E23:$Z23,MIN(M$6-$G$3,22))),0)))))</f>
        <v>0</v>
      </c>
      <c r="N25" s="27" t="n">
        <f aca="false">IF(COUNT('Feijão 2ª safra'!$E23:$Z23)=0,0,MAX(0,IF((N$6-$E$3)&lt;1,0,IFERROR(LOOKUP(2,1/('Feijão 2ª safra'!$E23:INDEX('Feijão 2ª safra'!$E23:$Z23,MIN(N$6-$E$3,22))&lt;&gt;""),'Feijão 2ª safra'!$E23:INDEX('Feijão 2ª safra'!$E23:$Z23,MIN(N$6-$E$3,22))),0))-IF($G$2,0,IF((N$6-$G$3)&lt;1,0,IFERROR(LOOKUP(2,1/('Feijão 2ª safra'!$E23:INDEX('Feijão 2ª safra'!$E23:$Z23,MIN(N$6-$G$3,22))&lt;&gt;""),'Feijão 2ª safra'!$E23:INDEX('Feijão 2ª safra'!$E23:$Z23,MIN(N$6-$G$3,22))),0)))))</f>
        <v>0</v>
      </c>
      <c r="O25" s="27" t="n">
        <f aca="false">IF(COUNT('Feijão 2ª safra'!$E23:$Z23)=0,0,MAX(0,IF((O$6-$E$3)&lt;1,0,IFERROR(LOOKUP(2,1/('Feijão 2ª safra'!$E23:INDEX('Feijão 2ª safra'!$E23:$Z23,MIN(O$6-$E$3,22))&lt;&gt;""),'Feijão 2ª safra'!$E23:INDEX('Feijão 2ª safra'!$E23:$Z23,MIN(O$6-$E$3,22))),0))-IF($G$2,0,IF((O$6-$G$3)&lt;1,0,IFERROR(LOOKUP(2,1/('Feijão 2ª safra'!$E23:INDEX('Feijão 2ª safra'!$E23:$Z23,MIN(O$6-$G$3,22))&lt;&gt;""),'Feijão 2ª safra'!$E23:INDEX('Feijão 2ª safra'!$E23:$Z23,MIN(O$6-$G$3,22))),0)))))</f>
        <v>0</v>
      </c>
      <c r="P25" s="27" t="n">
        <f aca="false">IF(COUNT('Feijão 2ª safra'!$E23:$Z23)=0,0,MAX(0,IF((P$6-$E$3)&lt;1,0,IFERROR(LOOKUP(2,1/('Feijão 2ª safra'!$E23:INDEX('Feijão 2ª safra'!$E23:$Z23,MIN(P$6-$E$3,22))&lt;&gt;""),'Feijão 2ª safra'!$E23:INDEX('Feijão 2ª safra'!$E23:$Z23,MIN(P$6-$E$3,22))),0))-IF($G$2,0,IF((P$6-$G$3)&lt;1,0,IFERROR(LOOKUP(2,1/('Feijão 2ª safra'!$E23:INDEX('Feijão 2ª safra'!$E23:$Z23,MIN(P$6-$G$3,22))&lt;&gt;""),'Feijão 2ª safra'!$E23:INDEX('Feijão 2ª safra'!$E23:$Z23,MIN(P$6-$G$3,22))),0)))))</f>
        <v>0</v>
      </c>
      <c r="Q25" s="27" t="n">
        <f aca="false">IF(COUNT('Feijão 2ª safra'!$E23:$Z23)=0,0,MAX(0,IF((Q$6-$E$3)&lt;1,0,IFERROR(LOOKUP(2,1/('Feijão 2ª safra'!$E23:INDEX('Feijão 2ª safra'!$E23:$Z23,MIN(Q$6-$E$3,22))&lt;&gt;""),'Feijão 2ª safra'!$E23:INDEX('Feijão 2ª safra'!$E23:$Z23,MIN(Q$6-$E$3,22))),0))-IF($G$2,0,IF((Q$6-$G$3)&lt;1,0,IFERROR(LOOKUP(2,1/('Feijão 2ª safra'!$E23:INDEX('Feijão 2ª safra'!$E23:$Z23,MIN(Q$6-$G$3,22))&lt;&gt;""),'Feijão 2ª safra'!$E23:INDEX('Feijão 2ª safra'!$E23:$Z23,MIN(Q$6-$G$3,22))),0)))))</f>
        <v>0</v>
      </c>
      <c r="R25" s="27" t="n">
        <f aca="false">IF(COUNT('Feijão 2ª safra'!$E23:$Z23)=0,0,MAX(0,IF((R$6-$E$3)&lt;1,0,IFERROR(LOOKUP(2,1/('Feijão 2ª safra'!$E23:INDEX('Feijão 2ª safra'!$E23:$Z23,MIN(R$6-$E$3,22))&lt;&gt;""),'Feijão 2ª safra'!$E23:INDEX('Feijão 2ª safra'!$E23:$Z23,MIN(R$6-$E$3,22))),0))-IF($G$2,0,IF((R$6-$G$3)&lt;1,0,IFERROR(LOOKUP(2,1/('Feijão 2ª safra'!$E23:INDEX('Feijão 2ª safra'!$E23:$Z23,MIN(R$6-$G$3,22))&lt;&gt;""),'Feijão 2ª safra'!$E23:INDEX('Feijão 2ª safra'!$E23:$Z23,MIN(R$6-$G$3,22))),0)))))</f>
        <v>0</v>
      </c>
      <c r="S25" s="27" t="n">
        <f aca="false">IF(COUNT('Feijão 2ª safra'!$E23:$Z23)=0,0,MAX(0,IF((S$6-$E$3)&lt;1,0,IFERROR(LOOKUP(2,1/('Feijão 2ª safra'!$E23:INDEX('Feijão 2ª safra'!$E23:$Z23,MIN(S$6-$E$3,22))&lt;&gt;""),'Feijão 2ª safra'!$E23:INDEX('Feijão 2ª safra'!$E23:$Z23,MIN(S$6-$E$3,22))),0))-IF($G$2,0,IF((S$6-$G$3)&lt;1,0,IFERROR(LOOKUP(2,1/('Feijão 2ª safra'!$E23:INDEX('Feijão 2ª safra'!$E23:$Z23,MIN(S$6-$G$3,22))&lt;&gt;""),'Feijão 2ª safra'!$E23:INDEX('Feijão 2ª safra'!$E23:$Z23,MIN(S$6-$G$3,22))),0)))))</f>
        <v>0</v>
      </c>
      <c r="T25" s="27" t="n">
        <f aca="false">IF(COUNT('Feijão 2ª safra'!$E23:$Z23)=0,0,MAX(0,IF((T$6-$E$3)&lt;1,0,IFERROR(LOOKUP(2,1/('Feijão 2ª safra'!$E23:INDEX('Feijão 2ª safra'!$E23:$Z23,MIN(T$6-$E$3,22))&lt;&gt;""),'Feijão 2ª safra'!$E23:INDEX('Feijão 2ª safra'!$E23:$Z23,MIN(T$6-$E$3,22))),0))-IF($G$2,0,IF((T$6-$G$3)&lt;1,0,IFERROR(LOOKUP(2,1/('Feijão 2ª safra'!$E23:INDEX('Feijão 2ª safra'!$E23:$Z23,MIN(T$6-$G$3,22))&lt;&gt;""),'Feijão 2ª safra'!$E23:INDEX('Feijão 2ª safra'!$E23:$Z23,MIN(T$6-$G$3,22))),0)))))</f>
        <v>0</v>
      </c>
      <c r="U25" s="27" t="n">
        <f aca="false">IF(COUNT('Feijão 2ª safra'!$E23:$Z23)=0,0,MAX(0,IF((U$6-$E$3)&lt;1,0,IFERROR(LOOKUP(2,1/('Feijão 2ª safra'!$E23:INDEX('Feijão 2ª safra'!$E23:$Z23,MIN(U$6-$E$3,22))&lt;&gt;""),'Feijão 2ª safra'!$E23:INDEX('Feijão 2ª safra'!$E23:$Z23,MIN(U$6-$E$3,22))),0))-IF($G$2,0,IF((U$6-$G$3)&lt;1,0,IFERROR(LOOKUP(2,1/('Feijão 2ª safra'!$E23:INDEX('Feijão 2ª safra'!$E23:$Z23,MIN(U$6-$G$3,22))&lt;&gt;""),'Feijão 2ª safra'!$E23:INDEX('Feijão 2ª safra'!$E23:$Z23,MIN(U$6-$G$3,22))),0)))))</f>
        <v>0</v>
      </c>
      <c r="V25" s="27" t="n">
        <f aca="false">IF(COUNT('Feijão 2ª safra'!$E23:$Z23)=0,0,MAX(0,IF((V$6-$E$3)&lt;1,0,IFERROR(LOOKUP(2,1/('Feijão 2ª safra'!$E23:INDEX('Feijão 2ª safra'!$E23:$Z23,MIN(V$6-$E$3,22))&lt;&gt;""),'Feijão 2ª safra'!$E23:INDEX('Feijão 2ª safra'!$E23:$Z23,MIN(V$6-$E$3,22))),0))-IF($G$2,0,IF((V$6-$G$3)&lt;1,0,IFERROR(LOOKUP(2,1/('Feijão 2ª safra'!$E23:INDEX('Feijão 2ª safra'!$E23:$Z23,MIN(V$6-$G$3,22))&lt;&gt;""),'Feijão 2ª safra'!$E23:INDEX('Feijão 2ª safra'!$E23:$Z23,MIN(V$6-$G$3,22))),0)))))</f>
        <v>0</v>
      </c>
      <c r="W25" s="27" t="n">
        <f aca="false">IF(COUNT('Feijão 2ª safra'!$E23:$Z23)=0,0,MAX(0,IF((W$6-$E$3)&lt;1,0,IFERROR(LOOKUP(2,1/('Feijão 2ª safra'!$E23:INDEX('Feijão 2ª safra'!$E23:$Z23,MIN(W$6-$E$3,22))&lt;&gt;""),'Feijão 2ª safra'!$E23:INDEX('Feijão 2ª safra'!$E23:$Z23,MIN(W$6-$E$3,22))),0))-IF($G$2,0,IF((W$6-$G$3)&lt;1,0,IFERROR(LOOKUP(2,1/('Feijão 2ª safra'!$E23:INDEX('Feijão 2ª safra'!$E23:$Z23,MIN(W$6-$G$3,22))&lt;&gt;""),'Feijão 2ª safra'!$E23:INDEX('Feijão 2ª safra'!$E23:$Z23,MIN(W$6-$G$3,22))),0)))))</f>
        <v>0</v>
      </c>
      <c r="X25" s="27" t="n">
        <f aca="false">IF(COUNT('Feijão 2ª safra'!$E23:$Z23)=0,0,MAX(0,IF((X$6-$E$3)&lt;1,0,IFERROR(LOOKUP(2,1/('Feijão 2ª safra'!$E23:INDEX('Feijão 2ª safra'!$E23:$Z23,MIN(X$6-$E$3,22))&lt;&gt;""),'Feijão 2ª safra'!$E23:INDEX('Feijão 2ª safra'!$E23:$Z23,MIN(X$6-$E$3,22))),0))-IF($G$2,0,IF((X$6-$G$3)&lt;1,0,IFERROR(LOOKUP(2,1/('Feijão 2ª safra'!$E23:INDEX('Feijão 2ª safra'!$E23:$Z23,MIN(X$6-$G$3,22))&lt;&gt;""),'Feijão 2ª safra'!$E23:INDEX('Feijão 2ª safra'!$E23:$Z23,MIN(X$6-$G$3,22))),0)))))</f>
        <v>0</v>
      </c>
      <c r="Y25" s="27" t="n">
        <f aca="false">IF(COUNT('Feijão 2ª safra'!$E23:$Z23)=0,0,MAX(0,IF((Y$6-$E$3)&lt;1,0,IFERROR(LOOKUP(2,1/('Feijão 2ª safra'!$E23:INDEX('Feijão 2ª safra'!$E23:$Z23,MIN(Y$6-$E$3,22))&lt;&gt;""),'Feijão 2ª safra'!$E23:INDEX('Feijão 2ª safra'!$E23:$Z23,MIN(Y$6-$E$3,22))),0))-IF($G$2,0,IF((Y$6-$G$3)&lt;1,0,IFERROR(LOOKUP(2,1/('Feijão 2ª safra'!$E23:INDEX('Feijão 2ª safra'!$E23:$Z23,MIN(Y$6-$G$3,22))&lt;&gt;""),'Feijão 2ª safra'!$E23:INDEX('Feijão 2ª safra'!$E23:$Z23,MIN(Y$6-$G$3,22))),0)))))</f>
        <v>0</v>
      </c>
      <c r="Z25" s="27" t="n">
        <f aca="false">IF(COUNT('Feijão 2ª safra'!$E23:$Z23)=0,0,MAX(0,IF((Z$6-$E$3)&lt;1,0,IFERROR(LOOKUP(2,1/('Feijão 2ª safra'!$E23:INDEX('Feijão 2ª safra'!$E23:$Z23,MIN(Z$6-$E$3,22))&lt;&gt;""),'Feijão 2ª safra'!$E23:INDEX('Feijão 2ª safra'!$E23:$Z23,MIN(Z$6-$E$3,22))),0))-IF($G$2,0,IF((Z$6-$G$3)&lt;1,0,IFERROR(LOOKUP(2,1/('Feijão 2ª safra'!$E23:INDEX('Feijão 2ª safra'!$E23:$Z23,MIN(Z$6-$G$3,22))&lt;&gt;""),'Feijão 2ª safra'!$E23:INDEX('Feijão 2ª safra'!$E23:$Z23,MIN(Z$6-$G$3,22))),0)))))</f>
        <v>0</v>
      </c>
      <c r="AA25" s="27" t="n">
        <f aca="false">IF(COUNT('Feijão 2ª safra'!$E23:$Z23)=0,0,MAX(0,IF((AA$6-$E$3)&lt;1,0,IFERROR(LOOKUP(2,1/('Feijão 2ª safra'!$E23:INDEX('Feijão 2ª safra'!$E23:$Z23,MIN(AA$6-$E$3,22))&lt;&gt;""),'Feijão 2ª safra'!$E23:INDEX('Feijão 2ª safra'!$E23:$Z23,MIN(AA$6-$E$3,22))),0))-IF($G$2,0,IF((AA$6-$G$3)&lt;1,0,IFERROR(LOOKUP(2,1/('Feijão 2ª safra'!$E23:INDEX('Feijão 2ª safra'!$E23:$Z23,MIN(AA$6-$G$3,22))&lt;&gt;""),'Feijão 2ª safra'!$E23:INDEX('Feijão 2ª safra'!$E23:$Z23,MIN(AA$6-$G$3,22))),0)))))</f>
        <v>0</v>
      </c>
      <c r="AB25" s="27" t="n">
        <f aca="false">IF(COUNT('Feijão 2ª safra'!$E23:$Z23)=0,0,MAX(0,IF((AB$6-$E$3)&lt;1,0,IFERROR(LOOKUP(2,1/('Feijão 2ª safra'!$E23:INDEX('Feijão 2ª safra'!$E23:$Z23,MIN(AB$6-$E$3,22))&lt;&gt;""),'Feijão 2ª safra'!$E23:INDEX('Feijão 2ª safra'!$E23:$Z23,MIN(AB$6-$E$3,22))),0))-IF($G$2,0,IF((AB$6-$G$3)&lt;1,0,IFERROR(LOOKUP(2,1/('Feijão 2ª safra'!$E23:INDEX('Feijão 2ª safra'!$E23:$Z23,MIN(AB$6-$G$3,22))&lt;&gt;""),'Feijão 2ª safra'!$E23:INDEX('Feijão 2ª safra'!$E23:$Z23,MIN(AB$6-$G$3,22))),0)))))</f>
        <v>0</v>
      </c>
      <c r="AC25" s="27" t="n">
        <f aca="false">IF(COUNT('Feijão 2ª safra'!$E23:$Z23)=0,0,MAX(0,IF((AC$6-$E$3)&lt;1,0,IFERROR(LOOKUP(2,1/('Feijão 2ª safra'!$E23:INDEX('Feijão 2ª safra'!$E23:$Z23,MIN(AC$6-$E$3,22))&lt;&gt;""),'Feijão 2ª safra'!$E23:INDEX('Feijão 2ª safra'!$E23:$Z23,MIN(AC$6-$E$3,22))),0))-IF($G$2,0,IF((AC$6-$G$3)&lt;1,0,IFERROR(LOOKUP(2,1/('Feijão 2ª safra'!$E23:INDEX('Feijão 2ª safra'!$E23:$Z23,MIN(AC$6-$G$3,22))&lt;&gt;""),'Feijão 2ª safra'!$E23:INDEX('Feijão 2ª safra'!$E23:$Z23,MIN(AC$6-$G$3,22))),0)))))</f>
        <v>0</v>
      </c>
      <c r="AD25" s="27" t="n">
        <f aca="false">IF(COUNT('Feijão 2ª safra'!$E23:$Z23)=0,0,MAX(0,IF((AD$6-$E$3)&lt;1,0,IFERROR(LOOKUP(2,1/('Feijão 2ª safra'!$E23:INDEX('Feijão 2ª safra'!$E23:$Z23,MIN(AD$6-$E$3,22))&lt;&gt;""),'Feijão 2ª safra'!$E23:INDEX('Feijão 2ª safra'!$E23:$Z23,MIN(AD$6-$E$3,22))),0))-IF($G$2,0,IF((AD$6-$G$3)&lt;1,0,IFERROR(LOOKUP(2,1/('Feijão 2ª safra'!$E23:INDEX('Feijão 2ª safra'!$E23:$Z23,MIN(AD$6-$G$3,22))&lt;&gt;""),'Feijão 2ª safra'!$E23:INDEX('Feijão 2ª safra'!$E23:$Z23,MIN(AD$6-$G$3,22))),0)))))</f>
        <v>0</v>
      </c>
      <c r="AE25" s="27" t="n">
        <f aca="false">IF(COUNT('Feijão 2ª safra'!$E23:$Z23)=0,0,MAX(0,IF((AE$6-$E$3)&lt;1,0,IFERROR(LOOKUP(2,1/('Feijão 2ª safra'!$E23:INDEX('Feijão 2ª safra'!$E23:$Z23,MIN(AE$6-$E$3,22))&lt;&gt;""),'Feijão 2ª safra'!$E23:INDEX('Feijão 2ª safra'!$E23:$Z23,MIN(AE$6-$E$3,22))),0))-IF($G$2,0,IF((AE$6-$G$3)&lt;1,0,IFERROR(LOOKUP(2,1/('Feijão 2ª safra'!$E23:INDEX('Feijão 2ª safra'!$E23:$Z23,MIN(AE$6-$G$3,22))&lt;&gt;""),'Feijão 2ª safra'!$E23:INDEX('Feijão 2ª safra'!$E23:$Z23,MIN(AE$6-$G$3,22))),0)))))</f>
        <v>0</v>
      </c>
      <c r="AF25" s="27" t="n">
        <f aca="false">IF(COUNT('Feijão 2ª safra'!$E23:$Z23)=0,0,MAX(0,IF((AF$6-$E$3)&lt;1,0,IFERROR(LOOKUP(2,1/('Feijão 2ª safra'!$E23:INDEX('Feijão 2ª safra'!$E23:$Z23,MIN(AF$6-$E$3,22))&lt;&gt;""),'Feijão 2ª safra'!$E23:INDEX('Feijão 2ª safra'!$E23:$Z23,MIN(AF$6-$E$3,22))),0))-IF($G$2,0,IF((AF$6-$G$3)&lt;1,0,IFERROR(LOOKUP(2,1/('Feijão 2ª safra'!$E23:INDEX('Feijão 2ª safra'!$E23:$Z23,MIN(AF$6-$G$3,22))&lt;&gt;""),'Feijão 2ª safra'!$E23:INDEX('Feijão 2ª safra'!$E23:$Z23,MIN(AF$6-$G$3,22))),0)))))</f>
        <v>0</v>
      </c>
      <c r="AG25" s="27" t="n">
        <f aca="false">IF(COUNT('Feijão 2ª safra'!$E23:$Z23)=0,0,MAX(0,IF((AG$6-$E$3)&lt;1,0,IFERROR(LOOKUP(2,1/('Feijão 2ª safra'!$E23:INDEX('Feijão 2ª safra'!$E23:$Z23,MIN(AG$6-$E$3,22))&lt;&gt;""),'Feijão 2ª safra'!$E23:INDEX('Feijão 2ª safra'!$E23:$Z23,MIN(AG$6-$E$3,22))),0))-IF($G$2,0,IF((AG$6-$G$3)&lt;1,0,IFERROR(LOOKUP(2,1/('Feijão 2ª safra'!$E23:INDEX('Feijão 2ª safra'!$E23:$Z23,MIN(AG$6-$G$3,22))&lt;&gt;""),'Feijão 2ª safra'!$E23:INDEX('Feijão 2ª safra'!$E23:$Z23,MIN(AG$6-$G$3,22))),0)))))</f>
        <v>0</v>
      </c>
      <c r="AH25" s="27" t="n">
        <f aca="false">IF(COUNT('Feijão 2ª safra'!$E23:$Z23)=0,0,MAX(0,IF((AH$6-$E$3)&lt;1,0,IFERROR(LOOKUP(2,1/('Feijão 2ª safra'!$E23:INDEX('Feijão 2ª safra'!$E23:$Z23,MIN(AH$6-$E$3,22))&lt;&gt;""),'Feijão 2ª safra'!$E23:INDEX('Feijão 2ª safra'!$E23:$Z23,MIN(AH$6-$E$3,22))),0))-IF($G$2,0,IF((AH$6-$G$3)&lt;1,0,IFERROR(LOOKUP(2,1/('Feijão 2ª safra'!$E23:INDEX('Feijão 2ª safra'!$E23:$Z23,MIN(AH$6-$G$3,22))&lt;&gt;""),'Feijão 2ª safra'!$E23:INDEX('Feijão 2ª safra'!$E23:$Z23,MIN(AH$6-$G$3,22))),0)))))</f>
        <v>0</v>
      </c>
      <c r="AI25" s="27" t="n">
        <f aca="false">IF(COUNT('Feijão 2ª safra'!$E23:$Z23)=0,0,MAX(0,IF((AI$6-$E$3)&lt;1,0,IFERROR(LOOKUP(2,1/('Feijão 2ª safra'!$E23:INDEX('Feijão 2ª safra'!$E23:$Z23,MIN(AI$6-$E$3,22))&lt;&gt;""),'Feijão 2ª safra'!$E23:INDEX('Feijão 2ª safra'!$E23:$Z23,MIN(AI$6-$E$3,22))),0))-IF($G$2,0,IF((AI$6-$G$3)&lt;1,0,IFERROR(LOOKUP(2,1/('Feijão 2ª safra'!$E23:INDEX('Feijão 2ª safra'!$E23:$Z23,MIN(AI$6-$G$3,22))&lt;&gt;""),'Feijão 2ª safra'!$E23:INDEX('Feijão 2ª safra'!$E23:$Z23,MIN(AI$6-$G$3,22))),0)))))</f>
        <v>0</v>
      </c>
      <c r="AJ25" s="27" t="n">
        <f aca="false">IF(COUNT('Feijão 2ª safra'!$E23:$Z23)=0,0,MAX(0,IF((AJ$6-$E$3)&lt;1,0,IFERROR(LOOKUP(2,1/('Feijão 2ª safra'!$E23:INDEX('Feijão 2ª safra'!$E23:$Z23,MIN(AJ$6-$E$3,22))&lt;&gt;""),'Feijão 2ª safra'!$E23:INDEX('Feijão 2ª safra'!$E23:$Z23,MIN(AJ$6-$E$3,22))),0))-IF($G$2,0,IF((AJ$6-$G$3)&lt;1,0,IFERROR(LOOKUP(2,1/('Feijão 2ª safra'!$E23:INDEX('Feijão 2ª safra'!$E23:$Z23,MIN(AJ$6-$G$3,22))&lt;&gt;""),'Feijão 2ª safra'!$E23:INDEX('Feijão 2ª safra'!$E23:$Z23,MIN(AJ$6-$G$3,22))),0)))))</f>
        <v>0</v>
      </c>
      <c r="AK25" s="27" t="n">
        <f aca="false">IF(COUNT('Feijão 2ª safra'!$E23:$Z23)=0,0,MAX(0,IF((AK$6-$E$3)&lt;1,0,IFERROR(LOOKUP(2,1/('Feijão 2ª safra'!$E23:INDEX('Feijão 2ª safra'!$E23:$Z23,MIN(AK$6-$E$3,22))&lt;&gt;""),'Feijão 2ª safra'!$E23:INDEX('Feijão 2ª safra'!$E23:$Z23,MIN(AK$6-$E$3,22))),0))-IF($G$2,0,IF((AK$6-$G$3)&lt;1,0,IFERROR(LOOKUP(2,1/('Feijão 2ª safra'!$E23:INDEX('Feijão 2ª safra'!$E23:$Z23,MIN(AK$6-$G$3,22))&lt;&gt;""),'Feijão 2ª safra'!$E23:INDEX('Feijão 2ª safra'!$E23:$Z23,MIN(AK$6-$G$3,22))),0)))))</f>
        <v>0</v>
      </c>
      <c r="AL25" s="27" t="n">
        <f aca="false">IF(COUNT('Feijão 2ª safra'!$E23:$Z23)=0,0,MAX(0,IF((AL$6-$E$3)&lt;1,0,IFERROR(LOOKUP(2,1/('Feijão 2ª safra'!$E23:INDEX('Feijão 2ª safra'!$E23:$Z23,MIN(AL$6-$E$3,22))&lt;&gt;""),'Feijão 2ª safra'!$E23:INDEX('Feijão 2ª safra'!$E23:$Z23,MIN(AL$6-$E$3,22))),0))-IF($G$2,0,IF((AL$6-$G$3)&lt;1,0,IFERROR(LOOKUP(2,1/('Feijão 2ª safra'!$E23:INDEX('Feijão 2ª safra'!$E23:$Z23,MIN(AL$6-$G$3,22))&lt;&gt;""),'Feijão 2ª safra'!$E23:INDEX('Feijão 2ª safra'!$E23:$Z23,MIN(AL$6-$G$3,22))),0)))))</f>
        <v>0</v>
      </c>
      <c r="AM25" s="27" t="n">
        <f aca="false">IF(COUNT('Feijão 2ª safra'!$E23:$Z23)=0,0,MAX(0,IF((AM$6-$E$3)&lt;1,0,IFERROR(LOOKUP(2,1/('Feijão 2ª safra'!$E23:INDEX('Feijão 2ª safra'!$E23:$Z23,MIN(AM$6-$E$3,22))&lt;&gt;""),'Feijão 2ª safra'!$E23:INDEX('Feijão 2ª safra'!$E23:$Z23,MIN(AM$6-$E$3,22))),0))-IF($G$2,0,IF((AM$6-$G$3)&lt;1,0,IFERROR(LOOKUP(2,1/('Feijão 2ª safra'!$E23:INDEX('Feijão 2ª safra'!$E23:$Z23,MIN(AM$6-$G$3,22))&lt;&gt;""),'Feijão 2ª safra'!$E23:INDEX('Feijão 2ª safra'!$E23:$Z23,MIN(AM$6-$G$3,22))),0)))))</f>
        <v>0</v>
      </c>
      <c r="AN25" s="27" t="n">
        <f aca="false">IF(COUNT('Feijão 2ª safra'!$E23:$Z23)=0,0,MAX(0,IF((AN$6-$E$3)&lt;1,0,IFERROR(LOOKUP(2,1/('Feijão 2ª safra'!$E23:INDEX('Feijão 2ª safra'!$E23:$Z23,MIN(AN$6-$E$3,22))&lt;&gt;""),'Feijão 2ª safra'!$E23:INDEX('Feijão 2ª safra'!$E23:$Z23,MIN(AN$6-$E$3,22))),0))-IF($G$2,0,IF((AN$6-$G$3)&lt;1,0,IFERROR(LOOKUP(2,1/('Feijão 2ª safra'!$E23:INDEX('Feijão 2ª safra'!$E23:$Z23,MIN(AN$6-$G$3,22))&lt;&gt;""),'Feijão 2ª safra'!$E23:INDEX('Feijão 2ª safra'!$E23:$Z23,MIN(AN$6-$G$3,22))),0)))))</f>
        <v>0</v>
      </c>
      <c r="AO25" s="27" t="n">
        <f aca="false">IF(COUNT('Feijão 2ª safra'!$E23:$Z23)=0,0,MAX(0,IF((AO$6-$E$3)&lt;1,0,IFERROR(LOOKUP(2,1/('Feijão 2ª safra'!$E23:INDEX('Feijão 2ª safra'!$E23:$Z23,MIN(AO$6-$E$3,22))&lt;&gt;""),'Feijão 2ª safra'!$E23:INDEX('Feijão 2ª safra'!$E23:$Z23,MIN(AO$6-$E$3,22))),0))-IF($G$2,0,IF((AO$6-$G$3)&lt;1,0,IFERROR(LOOKUP(2,1/('Feijão 2ª safra'!$E23:INDEX('Feijão 2ª safra'!$E23:$Z23,MIN(AO$6-$G$3,22))&lt;&gt;""),'Feijão 2ª safra'!$E23:INDEX('Feijão 2ª safra'!$E23:$Z23,MIN(AO$6-$G$3,22))),0)))))</f>
        <v>0</v>
      </c>
      <c r="AP25" s="27" t="n">
        <f aca="false">IF(COUNT('Feijão 2ª safra'!$E23:$Z23)=0,0,MAX(0,IF((AP$6-$E$3)&lt;1,0,IFERROR(LOOKUP(2,1/('Feijão 2ª safra'!$E23:INDEX('Feijão 2ª safra'!$E23:$Z23,MIN(AP$6-$E$3,22))&lt;&gt;""),'Feijão 2ª safra'!$E23:INDEX('Feijão 2ª safra'!$E23:$Z23,MIN(AP$6-$E$3,22))),0))-IF($G$2,0,IF((AP$6-$G$3)&lt;1,0,IFERROR(LOOKUP(2,1/('Feijão 2ª safra'!$E23:INDEX('Feijão 2ª safra'!$E23:$Z23,MIN(AP$6-$G$3,22))&lt;&gt;""),'Feijão 2ª safra'!$E23:INDEX('Feijão 2ª safra'!$E23:$Z23,MIN(AP$6-$G$3,22))),0)))))</f>
        <v>0</v>
      </c>
      <c r="AQ25" s="27" t="n">
        <f aca="false">IF(COUNT('Feijão 2ª safra'!$E23:$Z23)=0,0,MAX(0,IF((AQ$6-$E$3)&lt;1,0,IFERROR(LOOKUP(2,1/('Feijão 2ª safra'!$E23:INDEX('Feijão 2ª safra'!$E23:$Z23,MIN(AQ$6-$E$3,22))&lt;&gt;""),'Feijão 2ª safra'!$E23:INDEX('Feijão 2ª safra'!$E23:$Z23,MIN(AQ$6-$E$3,22))),0))-IF($G$2,0,IF((AQ$6-$G$3)&lt;1,0,IFERROR(LOOKUP(2,1/('Feijão 2ª safra'!$E23:INDEX('Feijão 2ª safra'!$E23:$Z23,MIN(AQ$6-$G$3,22))&lt;&gt;""),'Feijão 2ª safra'!$E23:INDEX('Feijão 2ª safra'!$E23:$Z23,MIN(AQ$6-$G$3,22))),0)))))</f>
        <v>0</v>
      </c>
      <c r="AR25" s="27" t="n">
        <f aca="false">IF(COUNT('Feijão 2ª safra'!$E23:$Z23)=0,0,MAX(0,IF((AR$6-$E$3)&lt;1,0,IFERROR(LOOKUP(2,1/('Feijão 2ª safra'!$E23:INDEX('Feijão 2ª safra'!$E23:$Z23,MIN(AR$6-$E$3,22))&lt;&gt;""),'Feijão 2ª safra'!$E23:INDEX('Feijão 2ª safra'!$E23:$Z23,MIN(AR$6-$E$3,22))),0))-IF($G$2,0,IF((AR$6-$G$3)&lt;1,0,IFERROR(LOOKUP(2,1/('Feijão 2ª safra'!$E23:INDEX('Feijão 2ª safra'!$E23:$Z23,MIN(AR$6-$G$3,22))&lt;&gt;""),'Feijão 2ª safra'!$E23:INDEX('Feijão 2ª safra'!$E23:$Z23,MIN(AR$6-$G$3,22))),0)))))</f>
        <v>0</v>
      </c>
      <c r="AS25" s="27" t="n">
        <f aca="false">IF(COUNT('Feijão 2ª safra'!$E23:$Z23)=0,0,MAX(0,IF((AS$6-$E$3)&lt;1,0,IFERROR(LOOKUP(2,1/('Feijão 2ª safra'!$E23:INDEX('Feijão 2ª safra'!$E23:$Z23,MIN(AS$6-$E$3,22))&lt;&gt;""),'Feijão 2ª safra'!$E23:INDEX('Feijão 2ª safra'!$E23:$Z23,MIN(AS$6-$E$3,22))),0))-IF($G$2,0,IF((AS$6-$G$3)&lt;1,0,IFERROR(LOOKUP(2,1/('Feijão 2ª safra'!$E23:INDEX('Feijão 2ª safra'!$E23:$Z23,MIN(AS$6-$G$3,22))&lt;&gt;""),'Feijão 2ª safra'!$E23:INDEX('Feijão 2ª safra'!$E23:$Z23,MIN(AS$6-$G$3,22))),0)))))</f>
        <v>0</v>
      </c>
      <c r="AT25" s="27" t="n">
        <f aca="false">IF(COUNT('Feijão 2ª safra'!$E23:$Z23)=0,0,MAX(0,IF((AT$6-$E$3)&lt;1,0,IFERROR(LOOKUP(2,1/('Feijão 2ª safra'!$E23:INDEX('Feijão 2ª safra'!$E23:$Z23,MIN(AT$6-$E$3,22))&lt;&gt;""),'Feijão 2ª safra'!$E23:INDEX('Feijão 2ª safra'!$E23:$Z23,MIN(AT$6-$E$3,22))),0))-IF($G$2,0,IF((AT$6-$G$3)&lt;1,0,IFERROR(LOOKUP(2,1/('Feijão 2ª safra'!$E23:INDEX('Feijão 2ª safra'!$E23:$Z23,MIN(AT$6-$G$3,22))&lt;&gt;""),'Feijão 2ª safra'!$E23:INDEX('Feijão 2ª safra'!$E23:$Z23,MIN(AT$6-$G$3,22))),0)))))</f>
        <v>0</v>
      </c>
      <c r="AU25" s="27" t="n">
        <f aca="false">IF(COUNT('Feijão 2ª safra'!$E23:$Z23)=0,0,MAX(0,IF((AU$6-$E$3)&lt;1,0,IFERROR(LOOKUP(2,1/('Feijão 2ª safra'!$E23:INDEX('Feijão 2ª safra'!$E23:$Z23,MIN(AU$6-$E$3,22))&lt;&gt;""),'Feijão 2ª safra'!$E23:INDEX('Feijão 2ª safra'!$E23:$Z23,MIN(AU$6-$E$3,22))),0))-IF($G$2,0,IF((AU$6-$G$3)&lt;1,0,IFERROR(LOOKUP(2,1/('Feijão 2ª safra'!$E23:INDEX('Feijão 2ª safra'!$E23:$Z23,MIN(AU$6-$G$3,22))&lt;&gt;""),'Feijão 2ª safra'!$E23:INDEX('Feijão 2ª safra'!$E23:$Z23,MIN(AU$6-$G$3,22))),0)))))</f>
        <v>0</v>
      </c>
      <c r="AV25" s="27" t="n">
        <f aca="false">IF(COUNT('Feijão 2ª safra'!$E23:$Z23)=0,0,MAX(0,IF((AV$6-$E$3)&lt;1,0,IFERROR(LOOKUP(2,1/('Feijão 2ª safra'!$E23:INDEX('Feijão 2ª safra'!$E23:$Z23,MIN(AV$6-$E$3,22))&lt;&gt;""),'Feijão 2ª safra'!$E23:INDEX('Feijão 2ª safra'!$E23:$Z23,MIN(AV$6-$E$3,22))),0))-IF($G$2,0,IF((AV$6-$G$3)&lt;1,0,IFERROR(LOOKUP(2,1/('Feijão 2ª safra'!$E23:INDEX('Feijão 2ª safra'!$E23:$Z23,MIN(AV$6-$G$3,22))&lt;&gt;""),'Feijão 2ª safra'!$E23:INDEX('Feijão 2ª safra'!$E23:$Z23,MIN(AV$6-$G$3,22))),0)))))</f>
        <v>0</v>
      </c>
      <c r="AW25" s="27" t="n">
        <f aca="false">IF(COUNT('Feijão 2ª safra'!$E23:$Z23)=0,0,MAX(0,IF((AW$6-$E$3)&lt;1,0,IFERROR(LOOKUP(2,1/('Feijão 2ª safra'!$E23:INDEX('Feijão 2ª safra'!$E23:$Z23,MIN(AW$6-$E$3,22))&lt;&gt;""),'Feijão 2ª safra'!$E23:INDEX('Feijão 2ª safra'!$E23:$Z23,MIN(AW$6-$E$3,22))),0))-IF($G$2,0,IF((AW$6-$G$3)&lt;1,0,IFERROR(LOOKUP(2,1/('Feijão 2ª safra'!$E23:INDEX('Feijão 2ª safra'!$E23:$Z23,MIN(AW$6-$G$3,22))&lt;&gt;""),'Feijão 2ª safra'!$E23:INDEX('Feijão 2ª safra'!$E23:$Z23,MIN(AW$6-$G$3,22))),0)))))</f>
        <v>0</v>
      </c>
      <c r="AX25" s="27" t="n">
        <f aca="false">IF(COUNT('Feijão 2ª safra'!$E23:$Z23)=0,0,MAX(0,IF((AX$6-$E$3)&lt;1,0,IFERROR(LOOKUP(2,1/('Feijão 2ª safra'!$E23:INDEX('Feijão 2ª safra'!$E23:$Z23,MIN(AX$6-$E$3,22))&lt;&gt;""),'Feijão 2ª safra'!$E23:INDEX('Feijão 2ª safra'!$E23:$Z23,MIN(AX$6-$E$3,22))),0))-IF($G$2,0,IF((AX$6-$G$3)&lt;1,0,IFERROR(LOOKUP(2,1/('Feijão 2ª safra'!$E23:INDEX('Feijão 2ª safra'!$E23:$Z23,MIN(AX$6-$G$3,22))&lt;&gt;""),'Feijão 2ª safra'!$E23:INDEX('Feijão 2ª safra'!$E23:$Z23,MIN(AX$6-$G$3,22))),0)))))</f>
        <v>0</v>
      </c>
      <c r="AY25" s="27" t="n">
        <f aca="false">IF(COUNT('Feijão 2ª safra'!$E23:$Z23)=0,0,MAX(0,IF((AY$6-$E$3)&lt;1,0,IFERROR(LOOKUP(2,1/('Feijão 2ª safra'!$E23:INDEX('Feijão 2ª safra'!$E23:$Z23,MIN(AY$6-$E$3,22))&lt;&gt;""),'Feijão 2ª safra'!$E23:INDEX('Feijão 2ª safra'!$E23:$Z23,MIN(AY$6-$E$3,22))),0))-IF($G$2,0,IF((AY$6-$G$3)&lt;1,0,IFERROR(LOOKUP(2,1/('Feijão 2ª safra'!$E23:INDEX('Feijão 2ª safra'!$E23:$Z23,MIN(AY$6-$G$3,22))&lt;&gt;""),'Feijão 2ª safra'!$E23:INDEX('Feijão 2ª safra'!$E23:$Z23,MIN(AY$6-$G$3,22))),0)))))</f>
        <v>0</v>
      </c>
      <c r="AZ25" s="27" t="n">
        <f aca="false">IF(COUNT('Feijão 2ª safra'!$E23:$Z23)=0,0,MAX(0,IF((AZ$6-$E$3)&lt;1,0,IFERROR(LOOKUP(2,1/('Feijão 2ª safra'!$E23:INDEX('Feijão 2ª safra'!$E23:$Z23,MIN(AZ$6-$E$3,22))&lt;&gt;""),'Feijão 2ª safra'!$E23:INDEX('Feijão 2ª safra'!$E23:$Z23,MIN(AZ$6-$E$3,22))),0))-IF($G$2,0,IF((AZ$6-$G$3)&lt;1,0,IFERROR(LOOKUP(2,1/('Feijão 2ª safra'!$E23:INDEX('Feijão 2ª safra'!$E23:$Z23,MIN(AZ$6-$G$3,22))&lt;&gt;""),'Feijão 2ª safra'!$E23:INDEX('Feijão 2ª safra'!$E23:$Z23,MIN(AZ$6-$G$3,22))),0)))))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IF(COUNT('Feijão 2ª safra'!$E24:$Z24)&gt;0,N('Feijão 2ª safra'!$D24),0)</f>
        <v>0</v>
      </c>
      <c r="E26" s="27" t="n">
        <f aca="false">IF(COUNT('Feijão 2ª safra'!$E24:$Z24)=0,0,MAX(0,IF((E$6-$E$3)&lt;1,0,IFERROR(LOOKUP(2,1/('Feijão 2ª safra'!$E24:INDEX('Feijão 2ª safra'!$E24:$Z24,MIN(E$6-$E$3,22))&lt;&gt;""),'Feijão 2ª safra'!$E24:INDEX('Feijão 2ª safra'!$E24:$Z24,MIN(E$6-$E$3,22))),0))-IF($G$2,0,IF((E$6-$G$3)&lt;1,0,IFERROR(LOOKUP(2,1/('Feijão 2ª safra'!$E24:INDEX('Feijão 2ª safra'!$E24:$Z24,MIN(E$6-$G$3,22))&lt;&gt;""),'Feijão 2ª safra'!$E24:INDEX('Feijão 2ª safra'!$E24:$Z24,MIN(E$6-$G$3,22))),0)))))</f>
        <v>0</v>
      </c>
      <c r="F26" s="27" t="n">
        <f aca="false">IF(COUNT('Feijão 2ª safra'!$E24:$Z24)=0,0,MAX(0,IF((F$6-$E$3)&lt;1,0,IFERROR(LOOKUP(2,1/('Feijão 2ª safra'!$E24:INDEX('Feijão 2ª safra'!$E24:$Z24,MIN(F$6-$E$3,22))&lt;&gt;""),'Feijão 2ª safra'!$E24:INDEX('Feijão 2ª safra'!$E24:$Z24,MIN(F$6-$E$3,22))),0))-IF($G$2,0,IF((F$6-$G$3)&lt;1,0,IFERROR(LOOKUP(2,1/('Feijão 2ª safra'!$E24:INDEX('Feijão 2ª safra'!$E24:$Z24,MIN(F$6-$G$3,22))&lt;&gt;""),'Feijão 2ª safra'!$E24:INDEX('Feijão 2ª safra'!$E24:$Z24,MIN(F$6-$G$3,22))),0)))))</f>
        <v>0</v>
      </c>
      <c r="G26" s="27" t="n">
        <f aca="false">IF(COUNT('Feijão 2ª safra'!$E24:$Z24)=0,0,MAX(0,IF((G$6-$E$3)&lt;1,0,IFERROR(LOOKUP(2,1/('Feijão 2ª safra'!$E24:INDEX('Feijão 2ª safra'!$E24:$Z24,MIN(G$6-$E$3,22))&lt;&gt;""),'Feijão 2ª safra'!$E24:INDEX('Feijão 2ª safra'!$E24:$Z24,MIN(G$6-$E$3,22))),0))-IF($G$2,0,IF((G$6-$G$3)&lt;1,0,IFERROR(LOOKUP(2,1/('Feijão 2ª safra'!$E24:INDEX('Feijão 2ª safra'!$E24:$Z24,MIN(G$6-$G$3,22))&lt;&gt;""),'Feijão 2ª safra'!$E24:INDEX('Feijão 2ª safra'!$E24:$Z24,MIN(G$6-$G$3,22))),0)))))</f>
        <v>0</v>
      </c>
      <c r="H26" s="27" t="n">
        <f aca="false">IF(COUNT('Feijão 2ª safra'!$E24:$Z24)=0,0,MAX(0,IF((H$6-$E$3)&lt;1,0,IFERROR(LOOKUP(2,1/('Feijão 2ª safra'!$E24:INDEX('Feijão 2ª safra'!$E24:$Z24,MIN(H$6-$E$3,22))&lt;&gt;""),'Feijão 2ª safra'!$E24:INDEX('Feijão 2ª safra'!$E24:$Z24,MIN(H$6-$E$3,22))),0))-IF($G$2,0,IF((H$6-$G$3)&lt;1,0,IFERROR(LOOKUP(2,1/('Feijão 2ª safra'!$E24:INDEX('Feijão 2ª safra'!$E24:$Z24,MIN(H$6-$G$3,22))&lt;&gt;""),'Feijão 2ª safra'!$E24:INDEX('Feijão 2ª safra'!$E24:$Z24,MIN(H$6-$G$3,22))),0)))))</f>
        <v>0</v>
      </c>
      <c r="I26" s="27" t="n">
        <f aca="false">IF(COUNT('Feijão 2ª safra'!$E24:$Z24)=0,0,MAX(0,IF((I$6-$E$3)&lt;1,0,IFERROR(LOOKUP(2,1/('Feijão 2ª safra'!$E24:INDEX('Feijão 2ª safra'!$E24:$Z24,MIN(I$6-$E$3,22))&lt;&gt;""),'Feijão 2ª safra'!$E24:INDEX('Feijão 2ª safra'!$E24:$Z24,MIN(I$6-$E$3,22))),0))-IF($G$2,0,IF((I$6-$G$3)&lt;1,0,IFERROR(LOOKUP(2,1/('Feijão 2ª safra'!$E24:INDEX('Feijão 2ª safra'!$E24:$Z24,MIN(I$6-$G$3,22))&lt;&gt;""),'Feijão 2ª safra'!$E24:INDEX('Feijão 2ª safra'!$E24:$Z24,MIN(I$6-$G$3,22))),0)))))</f>
        <v>0</v>
      </c>
      <c r="J26" s="27" t="n">
        <f aca="false">IF(COUNT('Feijão 2ª safra'!$E24:$Z24)=0,0,MAX(0,IF((J$6-$E$3)&lt;1,0,IFERROR(LOOKUP(2,1/('Feijão 2ª safra'!$E24:INDEX('Feijão 2ª safra'!$E24:$Z24,MIN(J$6-$E$3,22))&lt;&gt;""),'Feijão 2ª safra'!$E24:INDEX('Feijão 2ª safra'!$E24:$Z24,MIN(J$6-$E$3,22))),0))-IF($G$2,0,IF((J$6-$G$3)&lt;1,0,IFERROR(LOOKUP(2,1/('Feijão 2ª safra'!$E24:INDEX('Feijão 2ª safra'!$E24:$Z24,MIN(J$6-$G$3,22))&lt;&gt;""),'Feijão 2ª safra'!$E24:INDEX('Feijão 2ª safra'!$E24:$Z24,MIN(J$6-$G$3,22))),0)))))</f>
        <v>0</v>
      </c>
      <c r="K26" s="27" t="n">
        <f aca="false">IF(COUNT('Feijão 2ª safra'!$E24:$Z24)=0,0,MAX(0,IF((K$6-$E$3)&lt;1,0,IFERROR(LOOKUP(2,1/('Feijão 2ª safra'!$E24:INDEX('Feijão 2ª safra'!$E24:$Z24,MIN(K$6-$E$3,22))&lt;&gt;""),'Feijão 2ª safra'!$E24:INDEX('Feijão 2ª safra'!$E24:$Z24,MIN(K$6-$E$3,22))),0))-IF($G$2,0,IF((K$6-$G$3)&lt;1,0,IFERROR(LOOKUP(2,1/('Feijão 2ª safra'!$E24:INDEX('Feijão 2ª safra'!$E24:$Z24,MIN(K$6-$G$3,22))&lt;&gt;""),'Feijão 2ª safra'!$E24:INDEX('Feijão 2ª safra'!$E24:$Z24,MIN(K$6-$G$3,22))),0)))))</f>
        <v>0</v>
      </c>
      <c r="L26" s="27" t="n">
        <f aca="false">IF(COUNT('Feijão 2ª safra'!$E24:$Z24)=0,0,MAX(0,IF((L$6-$E$3)&lt;1,0,IFERROR(LOOKUP(2,1/('Feijão 2ª safra'!$E24:INDEX('Feijão 2ª safra'!$E24:$Z24,MIN(L$6-$E$3,22))&lt;&gt;""),'Feijão 2ª safra'!$E24:INDEX('Feijão 2ª safra'!$E24:$Z24,MIN(L$6-$E$3,22))),0))-IF($G$2,0,IF((L$6-$G$3)&lt;1,0,IFERROR(LOOKUP(2,1/('Feijão 2ª safra'!$E24:INDEX('Feijão 2ª safra'!$E24:$Z24,MIN(L$6-$G$3,22))&lt;&gt;""),'Feijão 2ª safra'!$E24:INDEX('Feijão 2ª safra'!$E24:$Z24,MIN(L$6-$G$3,22))),0)))))</f>
        <v>0</v>
      </c>
      <c r="M26" s="27" t="n">
        <f aca="false">IF(COUNT('Feijão 2ª safra'!$E24:$Z24)=0,0,MAX(0,IF((M$6-$E$3)&lt;1,0,IFERROR(LOOKUP(2,1/('Feijão 2ª safra'!$E24:INDEX('Feijão 2ª safra'!$E24:$Z24,MIN(M$6-$E$3,22))&lt;&gt;""),'Feijão 2ª safra'!$E24:INDEX('Feijão 2ª safra'!$E24:$Z24,MIN(M$6-$E$3,22))),0))-IF($G$2,0,IF((M$6-$G$3)&lt;1,0,IFERROR(LOOKUP(2,1/('Feijão 2ª safra'!$E24:INDEX('Feijão 2ª safra'!$E24:$Z24,MIN(M$6-$G$3,22))&lt;&gt;""),'Feijão 2ª safra'!$E24:INDEX('Feijão 2ª safra'!$E24:$Z24,MIN(M$6-$G$3,22))),0)))))</f>
        <v>0</v>
      </c>
      <c r="N26" s="27" t="n">
        <f aca="false">IF(COUNT('Feijão 2ª safra'!$E24:$Z24)=0,0,MAX(0,IF((N$6-$E$3)&lt;1,0,IFERROR(LOOKUP(2,1/('Feijão 2ª safra'!$E24:INDEX('Feijão 2ª safra'!$E24:$Z24,MIN(N$6-$E$3,22))&lt;&gt;""),'Feijão 2ª safra'!$E24:INDEX('Feijão 2ª safra'!$E24:$Z24,MIN(N$6-$E$3,22))),0))-IF($G$2,0,IF((N$6-$G$3)&lt;1,0,IFERROR(LOOKUP(2,1/('Feijão 2ª safra'!$E24:INDEX('Feijão 2ª safra'!$E24:$Z24,MIN(N$6-$G$3,22))&lt;&gt;""),'Feijão 2ª safra'!$E24:INDEX('Feijão 2ª safra'!$E24:$Z24,MIN(N$6-$G$3,22))),0)))))</f>
        <v>0</v>
      </c>
      <c r="O26" s="27" t="n">
        <f aca="false">IF(COUNT('Feijão 2ª safra'!$E24:$Z24)=0,0,MAX(0,IF((O$6-$E$3)&lt;1,0,IFERROR(LOOKUP(2,1/('Feijão 2ª safra'!$E24:INDEX('Feijão 2ª safra'!$E24:$Z24,MIN(O$6-$E$3,22))&lt;&gt;""),'Feijão 2ª safra'!$E24:INDEX('Feijão 2ª safra'!$E24:$Z24,MIN(O$6-$E$3,22))),0))-IF($G$2,0,IF((O$6-$G$3)&lt;1,0,IFERROR(LOOKUP(2,1/('Feijão 2ª safra'!$E24:INDEX('Feijão 2ª safra'!$E24:$Z24,MIN(O$6-$G$3,22))&lt;&gt;""),'Feijão 2ª safra'!$E24:INDEX('Feijão 2ª safra'!$E24:$Z24,MIN(O$6-$G$3,22))),0)))))</f>
        <v>0</v>
      </c>
      <c r="P26" s="27" t="n">
        <f aca="false">IF(COUNT('Feijão 2ª safra'!$E24:$Z24)=0,0,MAX(0,IF((P$6-$E$3)&lt;1,0,IFERROR(LOOKUP(2,1/('Feijão 2ª safra'!$E24:INDEX('Feijão 2ª safra'!$E24:$Z24,MIN(P$6-$E$3,22))&lt;&gt;""),'Feijão 2ª safra'!$E24:INDEX('Feijão 2ª safra'!$E24:$Z24,MIN(P$6-$E$3,22))),0))-IF($G$2,0,IF((P$6-$G$3)&lt;1,0,IFERROR(LOOKUP(2,1/('Feijão 2ª safra'!$E24:INDEX('Feijão 2ª safra'!$E24:$Z24,MIN(P$6-$G$3,22))&lt;&gt;""),'Feijão 2ª safra'!$E24:INDEX('Feijão 2ª safra'!$E24:$Z24,MIN(P$6-$G$3,22))),0)))))</f>
        <v>0</v>
      </c>
      <c r="Q26" s="27" t="n">
        <f aca="false">IF(COUNT('Feijão 2ª safra'!$E24:$Z24)=0,0,MAX(0,IF((Q$6-$E$3)&lt;1,0,IFERROR(LOOKUP(2,1/('Feijão 2ª safra'!$E24:INDEX('Feijão 2ª safra'!$E24:$Z24,MIN(Q$6-$E$3,22))&lt;&gt;""),'Feijão 2ª safra'!$E24:INDEX('Feijão 2ª safra'!$E24:$Z24,MIN(Q$6-$E$3,22))),0))-IF($G$2,0,IF((Q$6-$G$3)&lt;1,0,IFERROR(LOOKUP(2,1/('Feijão 2ª safra'!$E24:INDEX('Feijão 2ª safra'!$E24:$Z24,MIN(Q$6-$G$3,22))&lt;&gt;""),'Feijão 2ª safra'!$E24:INDEX('Feijão 2ª safra'!$E24:$Z24,MIN(Q$6-$G$3,22))),0)))))</f>
        <v>0</v>
      </c>
      <c r="R26" s="27" t="n">
        <f aca="false">IF(COUNT('Feijão 2ª safra'!$E24:$Z24)=0,0,MAX(0,IF((R$6-$E$3)&lt;1,0,IFERROR(LOOKUP(2,1/('Feijão 2ª safra'!$E24:INDEX('Feijão 2ª safra'!$E24:$Z24,MIN(R$6-$E$3,22))&lt;&gt;""),'Feijão 2ª safra'!$E24:INDEX('Feijão 2ª safra'!$E24:$Z24,MIN(R$6-$E$3,22))),0))-IF($G$2,0,IF((R$6-$G$3)&lt;1,0,IFERROR(LOOKUP(2,1/('Feijão 2ª safra'!$E24:INDEX('Feijão 2ª safra'!$E24:$Z24,MIN(R$6-$G$3,22))&lt;&gt;""),'Feijão 2ª safra'!$E24:INDEX('Feijão 2ª safra'!$E24:$Z24,MIN(R$6-$G$3,22))),0)))))</f>
        <v>0</v>
      </c>
      <c r="S26" s="27" t="n">
        <f aca="false">IF(COUNT('Feijão 2ª safra'!$E24:$Z24)=0,0,MAX(0,IF((S$6-$E$3)&lt;1,0,IFERROR(LOOKUP(2,1/('Feijão 2ª safra'!$E24:INDEX('Feijão 2ª safra'!$E24:$Z24,MIN(S$6-$E$3,22))&lt;&gt;""),'Feijão 2ª safra'!$E24:INDEX('Feijão 2ª safra'!$E24:$Z24,MIN(S$6-$E$3,22))),0))-IF($G$2,0,IF((S$6-$G$3)&lt;1,0,IFERROR(LOOKUP(2,1/('Feijão 2ª safra'!$E24:INDEX('Feijão 2ª safra'!$E24:$Z24,MIN(S$6-$G$3,22))&lt;&gt;""),'Feijão 2ª safra'!$E24:INDEX('Feijão 2ª safra'!$E24:$Z24,MIN(S$6-$G$3,22))),0)))))</f>
        <v>0</v>
      </c>
      <c r="T26" s="27" t="n">
        <f aca="false">IF(COUNT('Feijão 2ª safra'!$E24:$Z24)=0,0,MAX(0,IF((T$6-$E$3)&lt;1,0,IFERROR(LOOKUP(2,1/('Feijão 2ª safra'!$E24:INDEX('Feijão 2ª safra'!$E24:$Z24,MIN(T$6-$E$3,22))&lt;&gt;""),'Feijão 2ª safra'!$E24:INDEX('Feijão 2ª safra'!$E24:$Z24,MIN(T$6-$E$3,22))),0))-IF($G$2,0,IF((T$6-$G$3)&lt;1,0,IFERROR(LOOKUP(2,1/('Feijão 2ª safra'!$E24:INDEX('Feijão 2ª safra'!$E24:$Z24,MIN(T$6-$G$3,22))&lt;&gt;""),'Feijão 2ª safra'!$E24:INDEX('Feijão 2ª safra'!$E24:$Z24,MIN(T$6-$G$3,22))),0)))))</f>
        <v>0</v>
      </c>
      <c r="U26" s="27" t="n">
        <f aca="false">IF(COUNT('Feijão 2ª safra'!$E24:$Z24)=0,0,MAX(0,IF((U$6-$E$3)&lt;1,0,IFERROR(LOOKUP(2,1/('Feijão 2ª safra'!$E24:INDEX('Feijão 2ª safra'!$E24:$Z24,MIN(U$6-$E$3,22))&lt;&gt;""),'Feijão 2ª safra'!$E24:INDEX('Feijão 2ª safra'!$E24:$Z24,MIN(U$6-$E$3,22))),0))-IF($G$2,0,IF((U$6-$G$3)&lt;1,0,IFERROR(LOOKUP(2,1/('Feijão 2ª safra'!$E24:INDEX('Feijão 2ª safra'!$E24:$Z24,MIN(U$6-$G$3,22))&lt;&gt;""),'Feijão 2ª safra'!$E24:INDEX('Feijão 2ª safra'!$E24:$Z24,MIN(U$6-$G$3,22))),0)))))</f>
        <v>0</v>
      </c>
      <c r="V26" s="27" t="n">
        <f aca="false">IF(COUNT('Feijão 2ª safra'!$E24:$Z24)=0,0,MAX(0,IF((V$6-$E$3)&lt;1,0,IFERROR(LOOKUP(2,1/('Feijão 2ª safra'!$E24:INDEX('Feijão 2ª safra'!$E24:$Z24,MIN(V$6-$E$3,22))&lt;&gt;""),'Feijão 2ª safra'!$E24:INDEX('Feijão 2ª safra'!$E24:$Z24,MIN(V$6-$E$3,22))),0))-IF($G$2,0,IF((V$6-$G$3)&lt;1,0,IFERROR(LOOKUP(2,1/('Feijão 2ª safra'!$E24:INDEX('Feijão 2ª safra'!$E24:$Z24,MIN(V$6-$G$3,22))&lt;&gt;""),'Feijão 2ª safra'!$E24:INDEX('Feijão 2ª safra'!$E24:$Z24,MIN(V$6-$G$3,22))),0)))))</f>
        <v>0</v>
      </c>
      <c r="W26" s="27" t="n">
        <f aca="false">IF(COUNT('Feijão 2ª safra'!$E24:$Z24)=0,0,MAX(0,IF((W$6-$E$3)&lt;1,0,IFERROR(LOOKUP(2,1/('Feijão 2ª safra'!$E24:INDEX('Feijão 2ª safra'!$E24:$Z24,MIN(W$6-$E$3,22))&lt;&gt;""),'Feijão 2ª safra'!$E24:INDEX('Feijão 2ª safra'!$E24:$Z24,MIN(W$6-$E$3,22))),0))-IF($G$2,0,IF((W$6-$G$3)&lt;1,0,IFERROR(LOOKUP(2,1/('Feijão 2ª safra'!$E24:INDEX('Feijão 2ª safra'!$E24:$Z24,MIN(W$6-$G$3,22))&lt;&gt;""),'Feijão 2ª safra'!$E24:INDEX('Feijão 2ª safra'!$E24:$Z24,MIN(W$6-$G$3,22))),0)))))</f>
        <v>0</v>
      </c>
      <c r="X26" s="27" t="n">
        <f aca="false">IF(COUNT('Feijão 2ª safra'!$E24:$Z24)=0,0,MAX(0,IF((X$6-$E$3)&lt;1,0,IFERROR(LOOKUP(2,1/('Feijão 2ª safra'!$E24:INDEX('Feijão 2ª safra'!$E24:$Z24,MIN(X$6-$E$3,22))&lt;&gt;""),'Feijão 2ª safra'!$E24:INDEX('Feijão 2ª safra'!$E24:$Z24,MIN(X$6-$E$3,22))),0))-IF($G$2,0,IF((X$6-$G$3)&lt;1,0,IFERROR(LOOKUP(2,1/('Feijão 2ª safra'!$E24:INDEX('Feijão 2ª safra'!$E24:$Z24,MIN(X$6-$G$3,22))&lt;&gt;""),'Feijão 2ª safra'!$E24:INDEX('Feijão 2ª safra'!$E24:$Z24,MIN(X$6-$G$3,22))),0)))))</f>
        <v>0</v>
      </c>
      <c r="Y26" s="27" t="n">
        <f aca="false">IF(COUNT('Feijão 2ª safra'!$E24:$Z24)=0,0,MAX(0,IF((Y$6-$E$3)&lt;1,0,IFERROR(LOOKUP(2,1/('Feijão 2ª safra'!$E24:INDEX('Feijão 2ª safra'!$E24:$Z24,MIN(Y$6-$E$3,22))&lt;&gt;""),'Feijão 2ª safra'!$E24:INDEX('Feijão 2ª safra'!$E24:$Z24,MIN(Y$6-$E$3,22))),0))-IF($G$2,0,IF((Y$6-$G$3)&lt;1,0,IFERROR(LOOKUP(2,1/('Feijão 2ª safra'!$E24:INDEX('Feijão 2ª safra'!$E24:$Z24,MIN(Y$6-$G$3,22))&lt;&gt;""),'Feijão 2ª safra'!$E24:INDEX('Feijão 2ª safra'!$E24:$Z24,MIN(Y$6-$G$3,22))),0)))))</f>
        <v>0</v>
      </c>
      <c r="Z26" s="27" t="n">
        <f aca="false">IF(COUNT('Feijão 2ª safra'!$E24:$Z24)=0,0,MAX(0,IF((Z$6-$E$3)&lt;1,0,IFERROR(LOOKUP(2,1/('Feijão 2ª safra'!$E24:INDEX('Feijão 2ª safra'!$E24:$Z24,MIN(Z$6-$E$3,22))&lt;&gt;""),'Feijão 2ª safra'!$E24:INDEX('Feijão 2ª safra'!$E24:$Z24,MIN(Z$6-$E$3,22))),0))-IF($G$2,0,IF((Z$6-$G$3)&lt;1,0,IFERROR(LOOKUP(2,1/('Feijão 2ª safra'!$E24:INDEX('Feijão 2ª safra'!$E24:$Z24,MIN(Z$6-$G$3,22))&lt;&gt;""),'Feijão 2ª safra'!$E24:INDEX('Feijão 2ª safra'!$E24:$Z24,MIN(Z$6-$G$3,22))),0)))))</f>
        <v>0</v>
      </c>
      <c r="AA26" s="27" t="n">
        <f aca="false">IF(COUNT('Feijão 2ª safra'!$E24:$Z24)=0,0,MAX(0,IF((AA$6-$E$3)&lt;1,0,IFERROR(LOOKUP(2,1/('Feijão 2ª safra'!$E24:INDEX('Feijão 2ª safra'!$E24:$Z24,MIN(AA$6-$E$3,22))&lt;&gt;""),'Feijão 2ª safra'!$E24:INDEX('Feijão 2ª safra'!$E24:$Z24,MIN(AA$6-$E$3,22))),0))-IF($G$2,0,IF((AA$6-$G$3)&lt;1,0,IFERROR(LOOKUP(2,1/('Feijão 2ª safra'!$E24:INDEX('Feijão 2ª safra'!$E24:$Z24,MIN(AA$6-$G$3,22))&lt;&gt;""),'Feijão 2ª safra'!$E24:INDEX('Feijão 2ª safra'!$E24:$Z24,MIN(AA$6-$G$3,22))),0)))))</f>
        <v>0</v>
      </c>
      <c r="AB26" s="27" t="n">
        <f aca="false">IF(COUNT('Feijão 2ª safra'!$E24:$Z24)=0,0,MAX(0,IF((AB$6-$E$3)&lt;1,0,IFERROR(LOOKUP(2,1/('Feijão 2ª safra'!$E24:INDEX('Feijão 2ª safra'!$E24:$Z24,MIN(AB$6-$E$3,22))&lt;&gt;""),'Feijão 2ª safra'!$E24:INDEX('Feijão 2ª safra'!$E24:$Z24,MIN(AB$6-$E$3,22))),0))-IF($G$2,0,IF((AB$6-$G$3)&lt;1,0,IFERROR(LOOKUP(2,1/('Feijão 2ª safra'!$E24:INDEX('Feijão 2ª safra'!$E24:$Z24,MIN(AB$6-$G$3,22))&lt;&gt;""),'Feijão 2ª safra'!$E24:INDEX('Feijão 2ª safra'!$E24:$Z24,MIN(AB$6-$G$3,22))),0)))))</f>
        <v>0</v>
      </c>
      <c r="AC26" s="27" t="n">
        <f aca="false">IF(COUNT('Feijão 2ª safra'!$E24:$Z24)=0,0,MAX(0,IF((AC$6-$E$3)&lt;1,0,IFERROR(LOOKUP(2,1/('Feijão 2ª safra'!$E24:INDEX('Feijão 2ª safra'!$E24:$Z24,MIN(AC$6-$E$3,22))&lt;&gt;""),'Feijão 2ª safra'!$E24:INDEX('Feijão 2ª safra'!$E24:$Z24,MIN(AC$6-$E$3,22))),0))-IF($G$2,0,IF((AC$6-$G$3)&lt;1,0,IFERROR(LOOKUP(2,1/('Feijão 2ª safra'!$E24:INDEX('Feijão 2ª safra'!$E24:$Z24,MIN(AC$6-$G$3,22))&lt;&gt;""),'Feijão 2ª safra'!$E24:INDEX('Feijão 2ª safra'!$E24:$Z24,MIN(AC$6-$G$3,22))),0)))))</f>
        <v>0</v>
      </c>
      <c r="AD26" s="27" t="n">
        <f aca="false">IF(COUNT('Feijão 2ª safra'!$E24:$Z24)=0,0,MAX(0,IF((AD$6-$E$3)&lt;1,0,IFERROR(LOOKUP(2,1/('Feijão 2ª safra'!$E24:INDEX('Feijão 2ª safra'!$E24:$Z24,MIN(AD$6-$E$3,22))&lt;&gt;""),'Feijão 2ª safra'!$E24:INDEX('Feijão 2ª safra'!$E24:$Z24,MIN(AD$6-$E$3,22))),0))-IF($G$2,0,IF((AD$6-$G$3)&lt;1,0,IFERROR(LOOKUP(2,1/('Feijão 2ª safra'!$E24:INDEX('Feijão 2ª safra'!$E24:$Z24,MIN(AD$6-$G$3,22))&lt;&gt;""),'Feijão 2ª safra'!$E24:INDEX('Feijão 2ª safra'!$E24:$Z24,MIN(AD$6-$G$3,22))),0)))))</f>
        <v>0</v>
      </c>
      <c r="AE26" s="27" t="n">
        <f aca="false">IF(COUNT('Feijão 2ª safra'!$E24:$Z24)=0,0,MAX(0,IF((AE$6-$E$3)&lt;1,0,IFERROR(LOOKUP(2,1/('Feijão 2ª safra'!$E24:INDEX('Feijão 2ª safra'!$E24:$Z24,MIN(AE$6-$E$3,22))&lt;&gt;""),'Feijão 2ª safra'!$E24:INDEX('Feijão 2ª safra'!$E24:$Z24,MIN(AE$6-$E$3,22))),0))-IF($G$2,0,IF((AE$6-$G$3)&lt;1,0,IFERROR(LOOKUP(2,1/('Feijão 2ª safra'!$E24:INDEX('Feijão 2ª safra'!$E24:$Z24,MIN(AE$6-$G$3,22))&lt;&gt;""),'Feijão 2ª safra'!$E24:INDEX('Feijão 2ª safra'!$E24:$Z24,MIN(AE$6-$G$3,22))),0)))))</f>
        <v>0</v>
      </c>
      <c r="AF26" s="27" t="n">
        <f aca="false">IF(COUNT('Feijão 2ª safra'!$E24:$Z24)=0,0,MAX(0,IF((AF$6-$E$3)&lt;1,0,IFERROR(LOOKUP(2,1/('Feijão 2ª safra'!$E24:INDEX('Feijão 2ª safra'!$E24:$Z24,MIN(AF$6-$E$3,22))&lt;&gt;""),'Feijão 2ª safra'!$E24:INDEX('Feijão 2ª safra'!$E24:$Z24,MIN(AF$6-$E$3,22))),0))-IF($G$2,0,IF((AF$6-$G$3)&lt;1,0,IFERROR(LOOKUP(2,1/('Feijão 2ª safra'!$E24:INDEX('Feijão 2ª safra'!$E24:$Z24,MIN(AF$6-$G$3,22))&lt;&gt;""),'Feijão 2ª safra'!$E24:INDEX('Feijão 2ª safra'!$E24:$Z24,MIN(AF$6-$G$3,22))),0)))))</f>
        <v>0</v>
      </c>
      <c r="AG26" s="27" t="n">
        <f aca="false">IF(COUNT('Feijão 2ª safra'!$E24:$Z24)=0,0,MAX(0,IF((AG$6-$E$3)&lt;1,0,IFERROR(LOOKUP(2,1/('Feijão 2ª safra'!$E24:INDEX('Feijão 2ª safra'!$E24:$Z24,MIN(AG$6-$E$3,22))&lt;&gt;""),'Feijão 2ª safra'!$E24:INDEX('Feijão 2ª safra'!$E24:$Z24,MIN(AG$6-$E$3,22))),0))-IF($G$2,0,IF((AG$6-$G$3)&lt;1,0,IFERROR(LOOKUP(2,1/('Feijão 2ª safra'!$E24:INDEX('Feijão 2ª safra'!$E24:$Z24,MIN(AG$6-$G$3,22))&lt;&gt;""),'Feijão 2ª safra'!$E24:INDEX('Feijão 2ª safra'!$E24:$Z24,MIN(AG$6-$G$3,22))),0)))))</f>
        <v>0</v>
      </c>
      <c r="AH26" s="27" t="n">
        <f aca="false">IF(COUNT('Feijão 2ª safra'!$E24:$Z24)=0,0,MAX(0,IF((AH$6-$E$3)&lt;1,0,IFERROR(LOOKUP(2,1/('Feijão 2ª safra'!$E24:INDEX('Feijão 2ª safra'!$E24:$Z24,MIN(AH$6-$E$3,22))&lt;&gt;""),'Feijão 2ª safra'!$E24:INDEX('Feijão 2ª safra'!$E24:$Z24,MIN(AH$6-$E$3,22))),0))-IF($G$2,0,IF((AH$6-$G$3)&lt;1,0,IFERROR(LOOKUP(2,1/('Feijão 2ª safra'!$E24:INDEX('Feijão 2ª safra'!$E24:$Z24,MIN(AH$6-$G$3,22))&lt;&gt;""),'Feijão 2ª safra'!$E24:INDEX('Feijão 2ª safra'!$E24:$Z24,MIN(AH$6-$G$3,22))),0)))))</f>
        <v>0</v>
      </c>
      <c r="AI26" s="27" t="n">
        <f aca="false">IF(COUNT('Feijão 2ª safra'!$E24:$Z24)=0,0,MAX(0,IF((AI$6-$E$3)&lt;1,0,IFERROR(LOOKUP(2,1/('Feijão 2ª safra'!$E24:INDEX('Feijão 2ª safra'!$E24:$Z24,MIN(AI$6-$E$3,22))&lt;&gt;""),'Feijão 2ª safra'!$E24:INDEX('Feijão 2ª safra'!$E24:$Z24,MIN(AI$6-$E$3,22))),0))-IF($G$2,0,IF((AI$6-$G$3)&lt;1,0,IFERROR(LOOKUP(2,1/('Feijão 2ª safra'!$E24:INDEX('Feijão 2ª safra'!$E24:$Z24,MIN(AI$6-$G$3,22))&lt;&gt;""),'Feijão 2ª safra'!$E24:INDEX('Feijão 2ª safra'!$E24:$Z24,MIN(AI$6-$G$3,22))),0)))))</f>
        <v>0</v>
      </c>
      <c r="AJ26" s="27" t="n">
        <f aca="false">IF(COUNT('Feijão 2ª safra'!$E24:$Z24)=0,0,MAX(0,IF((AJ$6-$E$3)&lt;1,0,IFERROR(LOOKUP(2,1/('Feijão 2ª safra'!$E24:INDEX('Feijão 2ª safra'!$E24:$Z24,MIN(AJ$6-$E$3,22))&lt;&gt;""),'Feijão 2ª safra'!$E24:INDEX('Feijão 2ª safra'!$E24:$Z24,MIN(AJ$6-$E$3,22))),0))-IF($G$2,0,IF((AJ$6-$G$3)&lt;1,0,IFERROR(LOOKUP(2,1/('Feijão 2ª safra'!$E24:INDEX('Feijão 2ª safra'!$E24:$Z24,MIN(AJ$6-$G$3,22))&lt;&gt;""),'Feijão 2ª safra'!$E24:INDEX('Feijão 2ª safra'!$E24:$Z24,MIN(AJ$6-$G$3,22))),0)))))</f>
        <v>0</v>
      </c>
      <c r="AK26" s="27" t="n">
        <f aca="false">IF(COUNT('Feijão 2ª safra'!$E24:$Z24)=0,0,MAX(0,IF((AK$6-$E$3)&lt;1,0,IFERROR(LOOKUP(2,1/('Feijão 2ª safra'!$E24:INDEX('Feijão 2ª safra'!$E24:$Z24,MIN(AK$6-$E$3,22))&lt;&gt;""),'Feijão 2ª safra'!$E24:INDEX('Feijão 2ª safra'!$E24:$Z24,MIN(AK$6-$E$3,22))),0))-IF($G$2,0,IF((AK$6-$G$3)&lt;1,0,IFERROR(LOOKUP(2,1/('Feijão 2ª safra'!$E24:INDEX('Feijão 2ª safra'!$E24:$Z24,MIN(AK$6-$G$3,22))&lt;&gt;""),'Feijão 2ª safra'!$E24:INDEX('Feijão 2ª safra'!$E24:$Z24,MIN(AK$6-$G$3,22))),0)))))</f>
        <v>0</v>
      </c>
      <c r="AL26" s="27" t="n">
        <f aca="false">IF(COUNT('Feijão 2ª safra'!$E24:$Z24)=0,0,MAX(0,IF((AL$6-$E$3)&lt;1,0,IFERROR(LOOKUP(2,1/('Feijão 2ª safra'!$E24:INDEX('Feijão 2ª safra'!$E24:$Z24,MIN(AL$6-$E$3,22))&lt;&gt;""),'Feijão 2ª safra'!$E24:INDEX('Feijão 2ª safra'!$E24:$Z24,MIN(AL$6-$E$3,22))),0))-IF($G$2,0,IF((AL$6-$G$3)&lt;1,0,IFERROR(LOOKUP(2,1/('Feijão 2ª safra'!$E24:INDEX('Feijão 2ª safra'!$E24:$Z24,MIN(AL$6-$G$3,22))&lt;&gt;""),'Feijão 2ª safra'!$E24:INDEX('Feijão 2ª safra'!$E24:$Z24,MIN(AL$6-$G$3,22))),0)))))</f>
        <v>0</v>
      </c>
      <c r="AM26" s="27" t="n">
        <f aca="false">IF(COUNT('Feijão 2ª safra'!$E24:$Z24)=0,0,MAX(0,IF((AM$6-$E$3)&lt;1,0,IFERROR(LOOKUP(2,1/('Feijão 2ª safra'!$E24:INDEX('Feijão 2ª safra'!$E24:$Z24,MIN(AM$6-$E$3,22))&lt;&gt;""),'Feijão 2ª safra'!$E24:INDEX('Feijão 2ª safra'!$E24:$Z24,MIN(AM$6-$E$3,22))),0))-IF($G$2,0,IF((AM$6-$G$3)&lt;1,0,IFERROR(LOOKUP(2,1/('Feijão 2ª safra'!$E24:INDEX('Feijão 2ª safra'!$E24:$Z24,MIN(AM$6-$G$3,22))&lt;&gt;""),'Feijão 2ª safra'!$E24:INDEX('Feijão 2ª safra'!$E24:$Z24,MIN(AM$6-$G$3,22))),0)))))</f>
        <v>0</v>
      </c>
      <c r="AN26" s="27" t="n">
        <f aca="false">IF(COUNT('Feijão 2ª safra'!$E24:$Z24)=0,0,MAX(0,IF((AN$6-$E$3)&lt;1,0,IFERROR(LOOKUP(2,1/('Feijão 2ª safra'!$E24:INDEX('Feijão 2ª safra'!$E24:$Z24,MIN(AN$6-$E$3,22))&lt;&gt;""),'Feijão 2ª safra'!$E24:INDEX('Feijão 2ª safra'!$E24:$Z24,MIN(AN$6-$E$3,22))),0))-IF($G$2,0,IF((AN$6-$G$3)&lt;1,0,IFERROR(LOOKUP(2,1/('Feijão 2ª safra'!$E24:INDEX('Feijão 2ª safra'!$E24:$Z24,MIN(AN$6-$G$3,22))&lt;&gt;""),'Feijão 2ª safra'!$E24:INDEX('Feijão 2ª safra'!$E24:$Z24,MIN(AN$6-$G$3,22))),0)))))</f>
        <v>0</v>
      </c>
      <c r="AO26" s="27" t="n">
        <f aca="false">IF(COUNT('Feijão 2ª safra'!$E24:$Z24)=0,0,MAX(0,IF((AO$6-$E$3)&lt;1,0,IFERROR(LOOKUP(2,1/('Feijão 2ª safra'!$E24:INDEX('Feijão 2ª safra'!$E24:$Z24,MIN(AO$6-$E$3,22))&lt;&gt;""),'Feijão 2ª safra'!$E24:INDEX('Feijão 2ª safra'!$E24:$Z24,MIN(AO$6-$E$3,22))),0))-IF($G$2,0,IF((AO$6-$G$3)&lt;1,0,IFERROR(LOOKUP(2,1/('Feijão 2ª safra'!$E24:INDEX('Feijão 2ª safra'!$E24:$Z24,MIN(AO$6-$G$3,22))&lt;&gt;""),'Feijão 2ª safra'!$E24:INDEX('Feijão 2ª safra'!$E24:$Z24,MIN(AO$6-$G$3,22))),0)))))</f>
        <v>0</v>
      </c>
      <c r="AP26" s="27" t="n">
        <f aca="false">IF(COUNT('Feijão 2ª safra'!$E24:$Z24)=0,0,MAX(0,IF((AP$6-$E$3)&lt;1,0,IFERROR(LOOKUP(2,1/('Feijão 2ª safra'!$E24:INDEX('Feijão 2ª safra'!$E24:$Z24,MIN(AP$6-$E$3,22))&lt;&gt;""),'Feijão 2ª safra'!$E24:INDEX('Feijão 2ª safra'!$E24:$Z24,MIN(AP$6-$E$3,22))),0))-IF($G$2,0,IF((AP$6-$G$3)&lt;1,0,IFERROR(LOOKUP(2,1/('Feijão 2ª safra'!$E24:INDEX('Feijão 2ª safra'!$E24:$Z24,MIN(AP$6-$G$3,22))&lt;&gt;""),'Feijão 2ª safra'!$E24:INDEX('Feijão 2ª safra'!$E24:$Z24,MIN(AP$6-$G$3,22))),0)))))</f>
        <v>0</v>
      </c>
      <c r="AQ26" s="27" t="n">
        <f aca="false">IF(COUNT('Feijão 2ª safra'!$E24:$Z24)=0,0,MAX(0,IF((AQ$6-$E$3)&lt;1,0,IFERROR(LOOKUP(2,1/('Feijão 2ª safra'!$E24:INDEX('Feijão 2ª safra'!$E24:$Z24,MIN(AQ$6-$E$3,22))&lt;&gt;""),'Feijão 2ª safra'!$E24:INDEX('Feijão 2ª safra'!$E24:$Z24,MIN(AQ$6-$E$3,22))),0))-IF($G$2,0,IF((AQ$6-$G$3)&lt;1,0,IFERROR(LOOKUP(2,1/('Feijão 2ª safra'!$E24:INDEX('Feijão 2ª safra'!$E24:$Z24,MIN(AQ$6-$G$3,22))&lt;&gt;""),'Feijão 2ª safra'!$E24:INDEX('Feijão 2ª safra'!$E24:$Z24,MIN(AQ$6-$G$3,22))),0)))))</f>
        <v>0</v>
      </c>
      <c r="AR26" s="27" t="n">
        <f aca="false">IF(COUNT('Feijão 2ª safra'!$E24:$Z24)=0,0,MAX(0,IF((AR$6-$E$3)&lt;1,0,IFERROR(LOOKUP(2,1/('Feijão 2ª safra'!$E24:INDEX('Feijão 2ª safra'!$E24:$Z24,MIN(AR$6-$E$3,22))&lt;&gt;""),'Feijão 2ª safra'!$E24:INDEX('Feijão 2ª safra'!$E24:$Z24,MIN(AR$6-$E$3,22))),0))-IF($G$2,0,IF((AR$6-$G$3)&lt;1,0,IFERROR(LOOKUP(2,1/('Feijão 2ª safra'!$E24:INDEX('Feijão 2ª safra'!$E24:$Z24,MIN(AR$6-$G$3,22))&lt;&gt;""),'Feijão 2ª safra'!$E24:INDEX('Feijão 2ª safra'!$E24:$Z24,MIN(AR$6-$G$3,22))),0)))))</f>
        <v>0</v>
      </c>
      <c r="AS26" s="27" t="n">
        <f aca="false">IF(COUNT('Feijão 2ª safra'!$E24:$Z24)=0,0,MAX(0,IF((AS$6-$E$3)&lt;1,0,IFERROR(LOOKUP(2,1/('Feijão 2ª safra'!$E24:INDEX('Feijão 2ª safra'!$E24:$Z24,MIN(AS$6-$E$3,22))&lt;&gt;""),'Feijão 2ª safra'!$E24:INDEX('Feijão 2ª safra'!$E24:$Z24,MIN(AS$6-$E$3,22))),0))-IF($G$2,0,IF((AS$6-$G$3)&lt;1,0,IFERROR(LOOKUP(2,1/('Feijão 2ª safra'!$E24:INDEX('Feijão 2ª safra'!$E24:$Z24,MIN(AS$6-$G$3,22))&lt;&gt;""),'Feijão 2ª safra'!$E24:INDEX('Feijão 2ª safra'!$E24:$Z24,MIN(AS$6-$G$3,22))),0)))))</f>
        <v>0</v>
      </c>
      <c r="AT26" s="27" t="n">
        <f aca="false">IF(COUNT('Feijão 2ª safra'!$E24:$Z24)=0,0,MAX(0,IF((AT$6-$E$3)&lt;1,0,IFERROR(LOOKUP(2,1/('Feijão 2ª safra'!$E24:INDEX('Feijão 2ª safra'!$E24:$Z24,MIN(AT$6-$E$3,22))&lt;&gt;""),'Feijão 2ª safra'!$E24:INDEX('Feijão 2ª safra'!$E24:$Z24,MIN(AT$6-$E$3,22))),0))-IF($G$2,0,IF((AT$6-$G$3)&lt;1,0,IFERROR(LOOKUP(2,1/('Feijão 2ª safra'!$E24:INDEX('Feijão 2ª safra'!$E24:$Z24,MIN(AT$6-$G$3,22))&lt;&gt;""),'Feijão 2ª safra'!$E24:INDEX('Feijão 2ª safra'!$E24:$Z24,MIN(AT$6-$G$3,22))),0)))))</f>
        <v>0</v>
      </c>
      <c r="AU26" s="27" t="n">
        <f aca="false">IF(COUNT('Feijão 2ª safra'!$E24:$Z24)=0,0,MAX(0,IF((AU$6-$E$3)&lt;1,0,IFERROR(LOOKUP(2,1/('Feijão 2ª safra'!$E24:INDEX('Feijão 2ª safra'!$E24:$Z24,MIN(AU$6-$E$3,22))&lt;&gt;""),'Feijão 2ª safra'!$E24:INDEX('Feijão 2ª safra'!$E24:$Z24,MIN(AU$6-$E$3,22))),0))-IF($G$2,0,IF((AU$6-$G$3)&lt;1,0,IFERROR(LOOKUP(2,1/('Feijão 2ª safra'!$E24:INDEX('Feijão 2ª safra'!$E24:$Z24,MIN(AU$6-$G$3,22))&lt;&gt;""),'Feijão 2ª safra'!$E24:INDEX('Feijão 2ª safra'!$E24:$Z24,MIN(AU$6-$G$3,22))),0)))))</f>
        <v>0</v>
      </c>
      <c r="AV26" s="27" t="n">
        <f aca="false">IF(COUNT('Feijão 2ª safra'!$E24:$Z24)=0,0,MAX(0,IF((AV$6-$E$3)&lt;1,0,IFERROR(LOOKUP(2,1/('Feijão 2ª safra'!$E24:INDEX('Feijão 2ª safra'!$E24:$Z24,MIN(AV$6-$E$3,22))&lt;&gt;""),'Feijão 2ª safra'!$E24:INDEX('Feijão 2ª safra'!$E24:$Z24,MIN(AV$6-$E$3,22))),0))-IF($G$2,0,IF((AV$6-$G$3)&lt;1,0,IFERROR(LOOKUP(2,1/('Feijão 2ª safra'!$E24:INDEX('Feijão 2ª safra'!$E24:$Z24,MIN(AV$6-$G$3,22))&lt;&gt;""),'Feijão 2ª safra'!$E24:INDEX('Feijão 2ª safra'!$E24:$Z24,MIN(AV$6-$G$3,22))),0)))))</f>
        <v>0</v>
      </c>
      <c r="AW26" s="27" t="n">
        <f aca="false">IF(COUNT('Feijão 2ª safra'!$E24:$Z24)=0,0,MAX(0,IF((AW$6-$E$3)&lt;1,0,IFERROR(LOOKUP(2,1/('Feijão 2ª safra'!$E24:INDEX('Feijão 2ª safra'!$E24:$Z24,MIN(AW$6-$E$3,22))&lt;&gt;""),'Feijão 2ª safra'!$E24:INDEX('Feijão 2ª safra'!$E24:$Z24,MIN(AW$6-$E$3,22))),0))-IF($G$2,0,IF((AW$6-$G$3)&lt;1,0,IFERROR(LOOKUP(2,1/('Feijão 2ª safra'!$E24:INDEX('Feijão 2ª safra'!$E24:$Z24,MIN(AW$6-$G$3,22))&lt;&gt;""),'Feijão 2ª safra'!$E24:INDEX('Feijão 2ª safra'!$E24:$Z24,MIN(AW$6-$G$3,22))),0)))))</f>
        <v>0</v>
      </c>
      <c r="AX26" s="27" t="n">
        <f aca="false">IF(COUNT('Feijão 2ª safra'!$E24:$Z24)=0,0,MAX(0,IF((AX$6-$E$3)&lt;1,0,IFERROR(LOOKUP(2,1/('Feijão 2ª safra'!$E24:INDEX('Feijão 2ª safra'!$E24:$Z24,MIN(AX$6-$E$3,22))&lt;&gt;""),'Feijão 2ª safra'!$E24:INDEX('Feijão 2ª safra'!$E24:$Z24,MIN(AX$6-$E$3,22))),0))-IF($G$2,0,IF((AX$6-$G$3)&lt;1,0,IFERROR(LOOKUP(2,1/('Feijão 2ª safra'!$E24:INDEX('Feijão 2ª safra'!$E24:$Z24,MIN(AX$6-$G$3,22))&lt;&gt;""),'Feijão 2ª safra'!$E24:INDEX('Feijão 2ª safra'!$E24:$Z24,MIN(AX$6-$G$3,22))),0)))))</f>
        <v>0</v>
      </c>
      <c r="AY26" s="27" t="n">
        <f aca="false">IF(COUNT('Feijão 2ª safra'!$E24:$Z24)=0,0,MAX(0,IF((AY$6-$E$3)&lt;1,0,IFERROR(LOOKUP(2,1/('Feijão 2ª safra'!$E24:INDEX('Feijão 2ª safra'!$E24:$Z24,MIN(AY$6-$E$3,22))&lt;&gt;""),'Feijão 2ª safra'!$E24:INDEX('Feijão 2ª safra'!$E24:$Z24,MIN(AY$6-$E$3,22))),0))-IF($G$2,0,IF((AY$6-$G$3)&lt;1,0,IFERROR(LOOKUP(2,1/('Feijão 2ª safra'!$E24:INDEX('Feijão 2ª safra'!$E24:$Z24,MIN(AY$6-$G$3,22))&lt;&gt;""),'Feijão 2ª safra'!$E24:INDEX('Feijão 2ª safra'!$E24:$Z24,MIN(AY$6-$G$3,22))),0)))))</f>
        <v>0</v>
      </c>
      <c r="AZ26" s="27" t="n">
        <f aca="false">IF(COUNT('Feijão 2ª safra'!$E24:$Z24)=0,0,MAX(0,IF((AZ$6-$E$3)&lt;1,0,IFERROR(LOOKUP(2,1/('Feijão 2ª safra'!$E24:INDEX('Feijão 2ª safra'!$E24:$Z24,MIN(AZ$6-$E$3,22))&lt;&gt;""),'Feijão 2ª safra'!$E24:INDEX('Feijão 2ª safra'!$E24:$Z24,MIN(AZ$6-$E$3,22))),0))-IF($G$2,0,IF((AZ$6-$G$3)&lt;1,0,IFERROR(LOOKUP(2,1/('Feijão 2ª safra'!$E24:INDEX('Feijão 2ª safra'!$E24:$Z24,MIN(AZ$6-$G$3,22))&lt;&gt;""),'Feijão 2ª safra'!$E24:INDEX('Feijão 2ª safra'!$E24:$Z24,MIN(AZ$6-$G$3,22))),0)))))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IF(COUNT('Feijão 2ª safra'!$E25:$Z25)&gt;0,N('Feijão 2ª safra'!$D25),0)</f>
        <v>0</v>
      </c>
      <c r="E27" s="27" t="n">
        <f aca="false">IF(COUNT('Feijão 2ª safra'!$E25:$Z25)=0,0,MAX(0,IF((E$6-$E$3)&lt;1,0,IFERROR(LOOKUP(2,1/('Feijão 2ª safra'!$E25:INDEX('Feijão 2ª safra'!$E25:$Z25,MIN(E$6-$E$3,22))&lt;&gt;""),'Feijão 2ª safra'!$E25:INDEX('Feijão 2ª safra'!$E25:$Z25,MIN(E$6-$E$3,22))),0))-IF($G$2,0,IF((E$6-$G$3)&lt;1,0,IFERROR(LOOKUP(2,1/('Feijão 2ª safra'!$E25:INDEX('Feijão 2ª safra'!$E25:$Z25,MIN(E$6-$G$3,22))&lt;&gt;""),'Feijão 2ª safra'!$E25:INDEX('Feijão 2ª safra'!$E25:$Z25,MIN(E$6-$G$3,22))),0)))))</f>
        <v>0</v>
      </c>
      <c r="F27" s="27" t="n">
        <f aca="false">IF(COUNT('Feijão 2ª safra'!$E25:$Z25)=0,0,MAX(0,IF((F$6-$E$3)&lt;1,0,IFERROR(LOOKUP(2,1/('Feijão 2ª safra'!$E25:INDEX('Feijão 2ª safra'!$E25:$Z25,MIN(F$6-$E$3,22))&lt;&gt;""),'Feijão 2ª safra'!$E25:INDEX('Feijão 2ª safra'!$E25:$Z25,MIN(F$6-$E$3,22))),0))-IF($G$2,0,IF((F$6-$G$3)&lt;1,0,IFERROR(LOOKUP(2,1/('Feijão 2ª safra'!$E25:INDEX('Feijão 2ª safra'!$E25:$Z25,MIN(F$6-$G$3,22))&lt;&gt;""),'Feijão 2ª safra'!$E25:INDEX('Feijão 2ª safra'!$E25:$Z25,MIN(F$6-$G$3,22))),0)))))</f>
        <v>0</v>
      </c>
      <c r="G27" s="27" t="n">
        <f aca="false">IF(COUNT('Feijão 2ª safra'!$E25:$Z25)=0,0,MAX(0,IF((G$6-$E$3)&lt;1,0,IFERROR(LOOKUP(2,1/('Feijão 2ª safra'!$E25:INDEX('Feijão 2ª safra'!$E25:$Z25,MIN(G$6-$E$3,22))&lt;&gt;""),'Feijão 2ª safra'!$E25:INDEX('Feijão 2ª safra'!$E25:$Z25,MIN(G$6-$E$3,22))),0))-IF($G$2,0,IF((G$6-$G$3)&lt;1,0,IFERROR(LOOKUP(2,1/('Feijão 2ª safra'!$E25:INDEX('Feijão 2ª safra'!$E25:$Z25,MIN(G$6-$G$3,22))&lt;&gt;""),'Feijão 2ª safra'!$E25:INDEX('Feijão 2ª safra'!$E25:$Z25,MIN(G$6-$G$3,22))),0)))))</f>
        <v>0</v>
      </c>
      <c r="H27" s="27" t="n">
        <f aca="false">IF(COUNT('Feijão 2ª safra'!$E25:$Z25)=0,0,MAX(0,IF((H$6-$E$3)&lt;1,0,IFERROR(LOOKUP(2,1/('Feijão 2ª safra'!$E25:INDEX('Feijão 2ª safra'!$E25:$Z25,MIN(H$6-$E$3,22))&lt;&gt;""),'Feijão 2ª safra'!$E25:INDEX('Feijão 2ª safra'!$E25:$Z25,MIN(H$6-$E$3,22))),0))-IF($G$2,0,IF((H$6-$G$3)&lt;1,0,IFERROR(LOOKUP(2,1/('Feijão 2ª safra'!$E25:INDEX('Feijão 2ª safra'!$E25:$Z25,MIN(H$6-$G$3,22))&lt;&gt;""),'Feijão 2ª safra'!$E25:INDEX('Feijão 2ª safra'!$E25:$Z25,MIN(H$6-$G$3,22))),0)))))</f>
        <v>0</v>
      </c>
      <c r="I27" s="27" t="n">
        <f aca="false">IF(COUNT('Feijão 2ª safra'!$E25:$Z25)=0,0,MAX(0,IF((I$6-$E$3)&lt;1,0,IFERROR(LOOKUP(2,1/('Feijão 2ª safra'!$E25:INDEX('Feijão 2ª safra'!$E25:$Z25,MIN(I$6-$E$3,22))&lt;&gt;""),'Feijão 2ª safra'!$E25:INDEX('Feijão 2ª safra'!$E25:$Z25,MIN(I$6-$E$3,22))),0))-IF($G$2,0,IF((I$6-$G$3)&lt;1,0,IFERROR(LOOKUP(2,1/('Feijão 2ª safra'!$E25:INDEX('Feijão 2ª safra'!$E25:$Z25,MIN(I$6-$G$3,22))&lt;&gt;""),'Feijão 2ª safra'!$E25:INDEX('Feijão 2ª safra'!$E25:$Z25,MIN(I$6-$G$3,22))),0)))))</f>
        <v>0</v>
      </c>
      <c r="J27" s="27" t="n">
        <f aca="false">IF(COUNT('Feijão 2ª safra'!$E25:$Z25)=0,0,MAX(0,IF((J$6-$E$3)&lt;1,0,IFERROR(LOOKUP(2,1/('Feijão 2ª safra'!$E25:INDEX('Feijão 2ª safra'!$E25:$Z25,MIN(J$6-$E$3,22))&lt;&gt;""),'Feijão 2ª safra'!$E25:INDEX('Feijão 2ª safra'!$E25:$Z25,MIN(J$6-$E$3,22))),0))-IF($G$2,0,IF((J$6-$G$3)&lt;1,0,IFERROR(LOOKUP(2,1/('Feijão 2ª safra'!$E25:INDEX('Feijão 2ª safra'!$E25:$Z25,MIN(J$6-$G$3,22))&lt;&gt;""),'Feijão 2ª safra'!$E25:INDEX('Feijão 2ª safra'!$E25:$Z25,MIN(J$6-$G$3,22))),0)))))</f>
        <v>0</v>
      </c>
      <c r="K27" s="27" t="n">
        <f aca="false">IF(COUNT('Feijão 2ª safra'!$E25:$Z25)=0,0,MAX(0,IF((K$6-$E$3)&lt;1,0,IFERROR(LOOKUP(2,1/('Feijão 2ª safra'!$E25:INDEX('Feijão 2ª safra'!$E25:$Z25,MIN(K$6-$E$3,22))&lt;&gt;""),'Feijão 2ª safra'!$E25:INDEX('Feijão 2ª safra'!$E25:$Z25,MIN(K$6-$E$3,22))),0))-IF($G$2,0,IF((K$6-$G$3)&lt;1,0,IFERROR(LOOKUP(2,1/('Feijão 2ª safra'!$E25:INDEX('Feijão 2ª safra'!$E25:$Z25,MIN(K$6-$G$3,22))&lt;&gt;""),'Feijão 2ª safra'!$E25:INDEX('Feijão 2ª safra'!$E25:$Z25,MIN(K$6-$G$3,22))),0)))))</f>
        <v>0</v>
      </c>
      <c r="L27" s="27" t="n">
        <f aca="false">IF(COUNT('Feijão 2ª safra'!$E25:$Z25)=0,0,MAX(0,IF((L$6-$E$3)&lt;1,0,IFERROR(LOOKUP(2,1/('Feijão 2ª safra'!$E25:INDEX('Feijão 2ª safra'!$E25:$Z25,MIN(L$6-$E$3,22))&lt;&gt;""),'Feijão 2ª safra'!$E25:INDEX('Feijão 2ª safra'!$E25:$Z25,MIN(L$6-$E$3,22))),0))-IF($G$2,0,IF((L$6-$G$3)&lt;1,0,IFERROR(LOOKUP(2,1/('Feijão 2ª safra'!$E25:INDEX('Feijão 2ª safra'!$E25:$Z25,MIN(L$6-$G$3,22))&lt;&gt;""),'Feijão 2ª safra'!$E25:INDEX('Feijão 2ª safra'!$E25:$Z25,MIN(L$6-$G$3,22))),0)))))</f>
        <v>0</v>
      </c>
      <c r="M27" s="27" t="n">
        <f aca="false">IF(COUNT('Feijão 2ª safra'!$E25:$Z25)=0,0,MAX(0,IF((M$6-$E$3)&lt;1,0,IFERROR(LOOKUP(2,1/('Feijão 2ª safra'!$E25:INDEX('Feijão 2ª safra'!$E25:$Z25,MIN(M$6-$E$3,22))&lt;&gt;""),'Feijão 2ª safra'!$E25:INDEX('Feijão 2ª safra'!$E25:$Z25,MIN(M$6-$E$3,22))),0))-IF($G$2,0,IF((M$6-$G$3)&lt;1,0,IFERROR(LOOKUP(2,1/('Feijão 2ª safra'!$E25:INDEX('Feijão 2ª safra'!$E25:$Z25,MIN(M$6-$G$3,22))&lt;&gt;""),'Feijão 2ª safra'!$E25:INDEX('Feijão 2ª safra'!$E25:$Z25,MIN(M$6-$G$3,22))),0)))))</f>
        <v>0</v>
      </c>
      <c r="N27" s="27" t="n">
        <f aca="false">IF(COUNT('Feijão 2ª safra'!$E25:$Z25)=0,0,MAX(0,IF((N$6-$E$3)&lt;1,0,IFERROR(LOOKUP(2,1/('Feijão 2ª safra'!$E25:INDEX('Feijão 2ª safra'!$E25:$Z25,MIN(N$6-$E$3,22))&lt;&gt;""),'Feijão 2ª safra'!$E25:INDEX('Feijão 2ª safra'!$E25:$Z25,MIN(N$6-$E$3,22))),0))-IF($G$2,0,IF((N$6-$G$3)&lt;1,0,IFERROR(LOOKUP(2,1/('Feijão 2ª safra'!$E25:INDEX('Feijão 2ª safra'!$E25:$Z25,MIN(N$6-$G$3,22))&lt;&gt;""),'Feijão 2ª safra'!$E25:INDEX('Feijão 2ª safra'!$E25:$Z25,MIN(N$6-$G$3,22))),0)))))</f>
        <v>0</v>
      </c>
      <c r="O27" s="27" t="n">
        <f aca="false">IF(COUNT('Feijão 2ª safra'!$E25:$Z25)=0,0,MAX(0,IF((O$6-$E$3)&lt;1,0,IFERROR(LOOKUP(2,1/('Feijão 2ª safra'!$E25:INDEX('Feijão 2ª safra'!$E25:$Z25,MIN(O$6-$E$3,22))&lt;&gt;""),'Feijão 2ª safra'!$E25:INDEX('Feijão 2ª safra'!$E25:$Z25,MIN(O$6-$E$3,22))),0))-IF($G$2,0,IF((O$6-$G$3)&lt;1,0,IFERROR(LOOKUP(2,1/('Feijão 2ª safra'!$E25:INDEX('Feijão 2ª safra'!$E25:$Z25,MIN(O$6-$G$3,22))&lt;&gt;""),'Feijão 2ª safra'!$E25:INDEX('Feijão 2ª safra'!$E25:$Z25,MIN(O$6-$G$3,22))),0)))))</f>
        <v>0</v>
      </c>
      <c r="P27" s="27" t="n">
        <f aca="false">IF(COUNT('Feijão 2ª safra'!$E25:$Z25)=0,0,MAX(0,IF((P$6-$E$3)&lt;1,0,IFERROR(LOOKUP(2,1/('Feijão 2ª safra'!$E25:INDEX('Feijão 2ª safra'!$E25:$Z25,MIN(P$6-$E$3,22))&lt;&gt;""),'Feijão 2ª safra'!$E25:INDEX('Feijão 2ª safra'!$E25:$Z25,MIN(P$6-$E$3,22))),0))-IF($G$2,0,IF((P$6-$G$3)&lt;1,0,IFERROR(LOOKUP(2,1/('Feijão 2ª safra'!$E25:INDEX('Feijão 2ª safra'!$E25:$Z25,MIN(P$6-$G$3,22))&lt;&gt;""),'Feijão 2ª safra'!$E25:INDEX('Feijão 2ª safra'!$E25:$Z25,MIN(P$6-$G$3,22))),0)))))</f>
        <v>0</v>
      </c>
      <c r="Q27" s="27" t="n">
        <f aca="false">IF(COUNT('Feijão 2ª safra'!$E25:$Z25)=0,0,MAX(0,IF((Q$6-$E$3)&lt;1,0,IFERROR(LOOKUP(2,1/('Feijão 2ª safra'!$E25:INDEX('Feijão 2ª safra'!$E25:$Z25,MIN(Q$6-$E$3,22))&lt;&gt;""),'Feijão 2ª safra'!$E25:INDEX('Feijão 2ª safra'!$E25:$Z25,MIN(Q$6-$E$3,22))),0))-IF($G$2,0,IF((Q$6-$G$3)&lt;1,0,IFERROR(LOOKUP(2,1/('Feijão 2ª safra'!$E25:INDEX('Feijão 2ª safra'!$E25:$Z25,MIN(Q$6-$G$3,22))&lt;&gt;""),'Feijão 2ª safra'!$E25:INDEX('Feijão 2ª safra'!$E25:$Z25,MIN(Q$6-$G$3,22))),0)))))</f>
        <v>0</v>
      </c>
      <c r="R27" s="27" t="n">
        <f aca="false">IF(COUNT('Feijão 2ª safra'!$E25:$Z25)=0,0,MAX(0,IF((R$6-$E$3)&lt;1,0,IFERROR(LOOKUP(2,1/('Feijão 2ª safra'!$E25:INDEX('Feijão 2ª safra'!$E25:$Z25,MIN(R$6-$E$3,22))&lt;&gt;""),'Feijão 2ª safra'!$E25:INDEX('Feijão 2ª safra'!$E25:$Z25,MIN(R$6-$E$3,22))),0))-IF($G$2,0,IF((R$6-$G$3)&lt;1,0,IFERROR(LOOKUP(2,1/('Feijão 2ª safra'!$E25:INDEX('Feijão 2ª safra'!$E25:$Z25,MIN(R$6-$G$3,22))&lt;&gt;""),'Feijão 2ª safra'!$E25:INDEX('Feijão 2ª safra'!$E25:$Z25,MIN(R$6-$G$3,22))),0)))))</f>
        <v>0</v>
      </c>
      <c r="S27" s="27" t="n">
        <f aca="false">IF(COUNT('Feijão 2ª safra'!$E25:$Z25)=0,0,MAX(0,IF((S$6-$E$3)&lt;1,0,IFERROR(LOOKUP(2,1/('Feijão 2ª safra'!$E25:INDEX('Feijão 2ª safra'!$E25:$Z25,MIN(S$6-$E$3,22))&lt;&gt;""),'Feijão 2ª safra'!$E25:INDEX('Feijão 2ª safra'!$E25:$Z25,MIN(S$6-$E$3,22))),0))-IF($G$2,0,IF((S$6-$G$3)&lt;1,0,IFERROR(LOOKUP(2,1/('Feijão 2ª safra'!$E25:INDEX('Feijão 2ª safra'!$E25:$Z25,MIN(S$6-$G$3,22))&lt;&gt;""),'Feijão 2ª safra'!$E25:INDEX('Feijão 2ª safra'!$E25:$Z25,MIN(S$6-$G$3,22))),0)))))</f>
        <v>0</v>
      </c>
      <c r="T27" s="27" t="n">
        <f aca="false">IF(COUNT('Feijão 2ª safra'!$E25:$Z25)=0,0,MAX(0,IF((T$6-$E$3)&lt;1,0,IFERROR(LOOKUP(2,1/('Feijão 2ª safra'!$E25:INDEX('Feijão 2ª safra'!$E25:$Z25,MIN(T$6-$E$3,22))&lt;&gt;""),'Feijão 2ª safra'!$E25:INDEX('Feijão 2ª safra'!$E25:$Z25,MIN(T$6-$E$3,22))),0))-IF($G$2,0,IF((T$6-$G$3)&lt;1,0,IFERROR(LOOKUP(2,1/('Feijão 2ª safra'!$E25:INDEX('Feijão 2ª safra'!$E25:$Z25,MIN(T$6-$G$3,22))&lt;&gt;""),'Feijão 2ª safra'!$E25:INDEX('Feijão 2ª safra'!$E25:$Z25,MIN(T$6-$G$3,22))),0)))))</f>
        <v>0</v>
      </c>
      <c r="U27" s="27" t="n">
        <f aca="false">IF(COUNT('Feijão 2ª safra'!$E25:$Z25)=0,0,MAX(0,IF((U$6-$E$3)&lt;1,0,IFERROR(LOOKUP(2,1/('Feijão 2ª safra'!$E25:INDEX('Feijão 2ª safra'!$E25:$Z25,MIN(U$6-$E$3,22))&lt;&gt;""),'Feijão 2ª safra'!$E25:INDEX('Feijão 2ª safra'!$E25:$Z25,MIN(U$6-$E$3,22))),0))-IF($G$2,0,IF((U$6-$G$3)&lt;1,0,IFERROR(LOOKUP(2,1/('Feijão 2ª safra'!$E25:INDEX('Feijão 2ª safra'!$E25:$Z25,MIN(U$6-$G$3,22))&lt;&gt;""),'Feijão 2ª safra'!$E25:INDEX('Feijão 2ª safra'!$E25:$Z25,MIN(U$6-$G$3,22))),0)))))</f>
        <v>0</v>
      </c>
      <c r="V27" s="27" t="n">
        <f aca="false">IF(COUNT('Feijão 2ª safra'!$E25:$Z25)=0,0,MAX(0,IF((V$6-$E$3)&lt;1,0,IFERROR(LOOKUP(2,1/('Feijão 2ª safra'!$E25:INDEX('Feijão 2ª safra'!$E25:$Z25,MIN(V$6-$E$3,22))&lt;&gt;""),'Feijão 2ª safra'!$E25:INDEX('Feijão 2ª safra'!$E25:$Z25,MIN(V$6-$E$3,22))),0))-IF($G$2,0,IF((V$6-$G$3)&lt;1,0,IFERROR(LOOKUP(2,1/('Feijão 2ª safra'!$E25:INDEX('Feijão 2ª safra'!$E25:$Z25,MIN(V$6-$G$3,22))&lt;&gt;""),'Feijão 2ª safra'!$E25:INDEX('Feijão 2ª safra'!$E25:$Z25,MIN(V$6-$G$3,22))),0)))))</f>
        <v>0</v>
      </c>
      <c r="W27" s="27" t="n">
        <f aca="false">IF(COUNT('Feijão 2ª safra'!$E25:$Z25)=0,0,MAX(0,IF((W$6-$E$3)&lt;1,0,IFERROR(LOOKUP(2,1/('Feijão 2ª safra'!$E25:INDEX('Feijão 2ª safra'!$E25:$Z25,MIN(W$6-$E$3,22))&lt;&gt;""),'Feijão 2ª safra'!$E25:INDEX('Feijão 2ª safra'!$E25:$Z25,MIN(W$6-$E$3,22))),0))-IF($G$2,0,IF((W$6-$G$3)&lt;1,0,IFERROR(LOOKUP(2,1/('Feijão 2ª safra'!$E25:INDEX('Feijão 2ª safra'!$E25:$Z25,MIN(W$6-$G$3,22))&lt;&gt;""),'Feijão 2ª safra'!$E25:INDEX('Feijão 2ª safra'!$E25:$Z25,MIN(W$6-$G$3,22))),0)))))</f>
        <v>0</v>
      </c>
      <c r="X27" s="27" t="n">
        <f aca="false">IF(COUNT('Feijão 2ª safra'!$E25:$Z25)=0,0,MAX(0,IF((X$6-$E$3)&lt;1,0,IFERROR(LOOKUP(2,1/('Feijão 2ª safra'!$E25:INDEX('Feijão 2ª safra'!$E25:$Z25,MIN(X$6-$E$3,22))&lt;&gt;""),'Feijão 2ª safra'!$E25:INDEX('Feijão 2ª safra'!$E25:$Z25,MIN(X$6-$E$3,22))),0))-IF($G$2,0,IF((X$6-$G$3)&lt;1,0,IFERROR(LOOKUP(2,1/('Feijão 2ª safra'!$E25:INDEX('Feijão 2ª safra'!$E25:$Z25,MIN(X$6-$G$3,22))&lt;&gt;""),'Feijão 2ª safra'!$E25:INDEX('Feijão 2ª safra'!$E25:$Z25,MIN(X$6-$G$3,22))),0)))))</f>
        <v>0</v>
      </c>
      <c r="Y27" s="27" t="n">
        <f aca="false">IF(COUNT('Feijão 2ª safra'!$E25:$Z25)=0,0,MAX(0,IF((Y$6-$E$3)&lt;1,0,IFERROR(LOOKUP(2,1/('Feijão 2ª safra'!$E25:INDEX('Feijão 2ª safra'!$E25:$Z25,MIN(Y$6-$E$3,22))&lt;&gt;""),'Feijão 2ª safra'!$E25:INDEX('Feijão 2ª safra'!$E25:$Z25,MIN(Y$6-$E$3,22))),0))-IF($G$2,0,IF((Y$6-$G$3)&lt;1,0,IFERROR(LOOKUP(2,1/('Feijão 2ª safra'!$E25:INDEX('Feijão 2ª safra'!$E25:$Z25,MIN(Y$6-$G$3,22))&lt;&gt;""),'Feijão 2ª safra'!$E25:INDEX('Feijão 2ª safra'!$E25:$Z25,MIN(Y$6-$G$3,22))),0)))))</f>
        <v>0</v>
      </c>
      <c r="Z27" s="27" t="n">
        <f aca="false">IF(COUNT('Feijão 2ª safra'!$E25:$Z25)=0,0,MAX(0,IF((Z$6-$E$3)&lt;1,0,IFERROR(LOOKUP(2,1/('Feijão 2ª safra'!$E25:INDEX('Feijão 2ª safra'!$E25:$Z25,MIN(Z$6-$E$3,22))&lt;&gt;""),'Feijão 2ª safra'!$E25:INDEX('Feijão 2ª safra'!$E25:$Z25,MIN(Z$6-$E$3,22))),0))-IF($G$2,0,IF((Z$6-$G$3)&lt;1,0,IFERROR(LOOKUP(2,1/('Feijão 2ª safra'!$E25:INDEX('Feijão 2ª safra'!$E25:$Z25,MIN(Z$6-$G$3,22))&lt;&gt;""),'Feijão 2ª safra'!$E25:INDEX('Feijão 2ª safra'!$E25:$Z25,MIN(Z$6-$G$3,22))),0)))))</f>
        <v>0</v>
      </c>
      <c r="AA27" s="27" t="n">
        <f aca="false">IF(COUNT('Feijão 2ª safra'!$E25:$Z25)=0,0,MAX(0,IF((AA$6-$E$3)&lt;1,0,IFERROR(LOOKUP(2,1/('Feijão 2ª safra'!$E25:INDEX('Feijão 2ª safra'!$E25:$Z25,MIN(AA$6-$E$3,22))&lt;&gt;""),'Feijão 2ª safra'!$E25:INDEX('Feijão 2ª safra'!$E25:$Z25,MIN(AA$6-$E$3,22))),0))-IF($G$2,0,IF((AA$6-$G$3)&lt;1,0,IFERROR(LOOKUP(2,1/('Feijão 2ª safra'!$E25:INDEX('Feijão 2ª safra'!$E25:$Z25,MIN(AA$6-$G$3,22))&lt;&gt;""),'Feijão 2ª safra'!$E25:INDEX('Feijão 2ª safra'!$E25:$Z25,MIN(AA$6-$G$3,22))),0)))))</f>
        <v>0</v>
      </c>
      <c r="AB27" s="27" t="n">
        <f aca="false">IF(COUNT('Feijão 2ª safra'!$E25:$Z25)=0,0,MAX(0,IF((AB$6-$E$3)&lt;1,0,IFERROR(LOOKUP(2,1/('Feijão 2ª safra'!$E25:INDEX('Feijão 2ª safra'!$E25:$Z25,MIN(AB$6-$E$3,22))&lt;&gt;""),'Feijão 2ª safra'!$E25:INDEX('Feijão 2ª safra'!$E25:$Z25,MIN(AB$6-$E$3,22))),0))-IF($G$2,0,IF((AB$6-$G$3)&lt;1,0,IFERROR(LOOKUP(2,1/('Feijão 2ª safra'!$E25:INDEX('Feijão 2ª safra'!$E25:$Z25,MIN(AB$6-$G$3,22))&lt;&gt;""),'Feijão 2ª safra'!$E25:INDEX('Feijão 2ª safra'!$E25:$Z25,MIN(AB$6-$G$3,22))),0)))))</f>
        <v>0</v>
      </c>
      <c r="AC27" s="27" t="n">
        <f aca="false">IF(COUNT('Feijão 2ª safra'!$E25:$Z25)=0,0,MAX(0,IF((AC$6-$E$3)&lt;1,0,IFERROR(LOOKUP(2,1/('Feijão 2ª safra'!$E25:INDEX('Feijão 2ª safra'!$E25:$Z25,MIN(AC$6-$E$3,22))&lt;&gt;""),'Feijão 2ª safra'!$E25:INDEX('Feijão 2ª safra'!$E25:$Z25,MIN(AC$6-$E$3,22))),0))-IF($G$2,0,IF((AC$6-$G$3)&lt;1,0,IFERROR(LOOKUP(2,1/('Feijão 2ª safra'!$E25:INDEX('Feijão 2ª safra'!$E25:$Z25,MIN(AC$6-$G$3,22))&lt;&gt;""),'Feijão 2ª safra'!$E25:INDEX('Feijão 2ª safra'!$E25:$Z25,MIN(AC$6-$G$3,22))),0)))))</f>
        <v>0</v>
      </c>
      <c r="AD27" s="27" t="n">
        <f aca="false">IF(COUNT('Feijão 2ª safra'!$E25:$Z25)=0,0,MAX(0,IF((AD$6-$E$3)&lt;1,0,IFERROR(LOOKUP(2,1/('Feijão 2ª safra'!$E25:INDEX('Feijão 2ª safra'!$E25:$Z25,MIN(AD$6-$E$3,22))&lt;&gt;""),'Feijão 2ª safra'!$E25:INDEX('Feijão 2ª safra'!$E25:$Z25,MIN(AD$6-$E$3,22))),0))-IF($G$2,0,IF((AD$6-$G$3)&lt;1,0,IFERROR(LOOKUP(2,1/('Feijão 2ª safra'!$E25:INDEX('Feijão 2ª safra'!$E25:$Z25,MIN(AD$6-$G$3,22))&lt;&gt;""),'Feijão 2ª safra'!$E25:INDEX('Feijão 2ª safra'!$E25:$Z25,MIN(AD$6-$G$3,22))),0)))))</f>
        <v>0</v>
      </c>
      <c r="AE27" s="27" t="n">
        <f aca="false">IF(COUNT('Feijão 2ª safra'!$E25:$Z25)=0,0,MAX(0,IF((AE$6-$E$3)&lt;1,0,IFERROR(LOOKUP(2,1/('Feijão 2ª safra'!$E25:INDEX('Feijão 2ª safra'!$E25:$Z25,MIN(AE$6-$E$3,22))&lt;&gt;""),'Feijão 2ª safra'!$E25:INDEX('Feijão 2ª safra'!$E25:$Z25,MIN(AE$6-$E$3,22))),0))-IF($G$2,0,IF((AE$6-$G$3)&lt;1,0,IFERROR(LOOKUP(2,1/('Feijão 2ª safra'!$E25:INDEX('Feijão 2ª safra'!$E25:$Z25,MIN(AE$6-$G$3,22))&lt;&gt;""),'Feijão 2ª safra'!$E25:INDEX('Feijão 2ª safra'!$E25:$Z25,MIN(AE$6-$G$3,22))),0)))))</f>
        <v>0</v>
      </c>
      <c r="AF27" s="27" t="n">
        <f aca="false">IF(COUNT('Feijão 2ª safra'!$E25:$Z25)=0,0,MAX(0,IF((AF$6-$E$3)&lt;1,0,IFERROR(LOOKUP(2,1/('Feijão 2ª safra'!$E25:INDEX('Feijão 2ª safra'!$E25:$Z25,MIN(AF$6-$E$3,22))&lt;&gt;""),'Feijão 2ª safra'!$E25:INDEX('Feijão 2ª safra'!$E25:$Z25,MIN(AF$6-$E$3,22))),0))-IF($G$2,0,IF((AF$6-$G$3)&lt;1,0,IFERROR(LOOKUP(2,1/('Feijão 2ª safra'!$E25:INDEX('Feijão 2ª safra'!$E25:$Z25,MIN(AF$6-$G$3,22))&lt;&gt;""),'Feijão 2ª safra'!$E25:INDEX('Feijão 2ª safra'!$E25:$Z25,MIN(AF$6-$G$3,22))),0)))))</f>
        <v>0</v>
      </c>
      <c r="AG27" s="27" t="n">
        <f aca="false">IF(COUNT('Feijão 2ª safra'!$E25:$Z25)=0,0,MAX(0,IF((AG$6-$E$3)&lt;1,0,IFERROR(LOOKUP(2,1/('Feijão 2ª safra'!$E25:INDEX('Feijão 2ª safra'!$E25:$Z25,MIN(AG$6-$E$3,22))&lt;&gt;""),'Feijão 2ª safra'!$E25:INDEX('Feijão 2ª safra'!$E25:$Z25,MIN(AG$6-$E$3,22))),0))-IF($G$2,0,IF((AG$6-$G$3)&lt;1,0,IFERROR(LOOKUP(2,1/('Feijão 2ª safra'!$E25:INDEX('Feijão 2ª safra'!$E25:$Z25,MIN(AG$6-$G$3,22))&lt;&gt;""),'Feijão 2ª safra'!$E25:INDEX('Feijão 2ª safra'!$E25:$Z25,MIN(AG$6-$G$3,22))),0)))))</f>
        <v>0</v>
      </c>
      <c r="AH27" s="27" t="n">
        <f aca="false">IF(COUNT('Feijão 2ª safra'!$E25:$Z25)=0,0,MAX(0,IF((AH$6-$E$3)&lt;1,0,IFERROR(LOOKUP(2,1/('Feijão 2ª safra'!$E25:INDEX('Feijão 2ª safra'!$E25:$Z25,MIN(AH$6-$E$3,22))&lt;&gt;""),'Feijão 2ª safra'!$E25:INDEX('Feijão 2ª safra'!$E25:$Z25,MIN(AH$6-$E$3,22))),0))-IF($G$2,0,IF((AH$6-$G$3)&lt;1,0,IFERROR(LOOKUP(2,1/('Feijão 2ª safra'!$E25:INDEX('Feijão 2ª safra'!$E25:$Z25,MIN(AH$6-$G$3,22))&lt;&gt;""),'Feijão 2ª safra'!$E25:INDEX('Feijão 2ª safra'!$E25:$Z25,MIN(AH$6-$G$3,22))),0)))))</f>
        <v>0</v>
      </c>
      <c r="AI27" s="27" t="n">
        <f aca="false">IF(COUNT('Feijão 2ª safra'!$E25:$Z25)=0,0,MAX(0,IF((AI$6-$E$3)&lt;1,0,IFERROR(LOOKUP(2,1/('Feijão 2ª safra'!$E25:INDEX('Feijão 2ª safra'!$E25:$Z25,MIN(AI$6-$E$3,22))&lt;&gt;""),'Feijão 2ª safra'!$E25:INDEX('Feijão 2ª safra'!$E25:$Z25,MIN(AI$6-$E$3,22))),0))-IF($G$2,0,IF((AI$6-$G$3)&lt;1,0,IFERROR(LOOKUP(2,1/('Feijão 2ª safra'!$E25:INDEX('Feijão 2ª safra'!$E25:$Z25,MIN(AI$6-$G$3,22))&lt;&gt;""),'Feijão 2ª safra'!$E25:INDEX('Feijão 2ª safra'!$E25:$Z25,MIN(AI$6-$G$3,22))),0)))))</f>
        <v>0</v>
      </c>
      <c r="AJ27" s="27" t="n">
        <f aca="false">IF(COUNT('Feijão 2ª safra'!$E25:$Z25)=0,0,MAX(0,IF((AJ$6-$E$3)&lt;1,0,IFERROR(LOOKUP(2,1/('Feijão 2ª safra'!$E25:INDEX('Feijão 2ª safra'!$E25:$Z25,MIN(AJ$6-$E$3,22))&lt;&gt;""),'Feijão 2ª safra'!$E25:INDEX('Feijão 2ª safra'!$E25:$Z25,MIN(AJ$6-$E$3,22))),0))-IF($G$2,0,IF((AJ$6-$G$3)&lt;1,0,IFERROR(LOOKUP(2,1/('Feijão 2ª safra'!$E25:INDEX('Feijão 2ª safra'!$E25:$Z25,MIN(AJ$6-$G$3,22))&lt;&gt;""),'Feijão 2ª safra'!$E25:INDEX('Feijão 2ª safra'!$E25:$Z25,MIN(AJ$6-$G$3,22))),0)))))</f>
        <v>0</v>
      </c>
      <c r="AK27" s="27" t="n">
        <f aca="false">IF(COUNT('Feijão 2ª safra'!$E25:$Z25)=0,0,MAX(0,IF((AK$6-$E$3)&lt;1,0,IFERROR(LOOKUP(2,1/('Feijão 2ª safra'!$E25:INDEX('Feijão 2ª safra'!$E25:$Z25,MIN(AK$6-$E$3,22))&lt;&gt;""),'Feijão 2ª safra'!$E25:INDEX('Feijão 2ª safra'!$E25:$Z25,MIN(AK$6-$E$3,22))),0))-IF($G$2,0,IF((AK$6-$G$3)&lt;1,0,IFERROR(LOOKUP(2,1/('Feijão 2ª safra'!$E25:INDEX('Feijão 2ª safra'!$E25:$Z25,MIN(AK$6-$G$3,22))&lt;&gt;""),'Feijão 2ª safra'!$E25:INDEX('Feijão 2ª safra'!$E25:$Z25,MIN(AK$6-$G$3,22))),0)))))</f>
        <v>0</v>
      </c>
      <c r="AL27" s="27" t="n">
        <f aca="false">IF(COUNT('Feijão 2ª safra'!$E25:$Z25)=0,0,MAX(0,IF((AL$6-$E$3)&lt;1,0,IFERROR(LOOKUP(2,1/('Feijão 2ª safra'!$E25:INDEX('Feijão 2ª safra'!$E25:$Z25,MIN(AL$6-$E$3,22))&lt;&gt;""),'Feijão 2ª safra'!$E25:INDEX('Feijão 2ª safra'!$E25:$Z25,MIN(AL$6-$E$3,22))),0))-IF($G$2,0,IF((AL$6-$G$3)&lt;1,0,IFERROR(LOOKUP(2,1/('Feijão 2ª safra'!$E25:INDEX('Feijão 2ª safra'!$E25:$Z25,MIN(AL$6-$G$3,22))&lt;&gt;""),'Feijão 2ª safra'!$E25:INDEX('Feijão 2ª safra'!$E25:$Z25,MIN(AL$6-$G$3,22))),0)))))</f>
        <v>0</v>
      </c>
      <c r="AM27" s="27" t="n">
        <f aca="false">IF(COUNT('Feijão 2ª safra'!$E25:$Z25)=0,0,MAX(0,IF((AM$6-$E$3)&lt;1,0,IFERROR(LOOKUP(2,1/('Feijão 2ª safra'!$E25:INDEX('Feijão 2ª safra'!$E25:$Z25,MIN(AM$6-$E$3,22))&lt;&gt;""),'Feijão 2ª safra'!$E25:INDEX('Feijão 2ª safra'!$E25:$Z25,MIN(AM$6-$E$3,22))),0))-IF($G$2,0,IF((AM$6-$G$3)&lt;1,0,IFERROR(LOOKUP(2,1/('Feijão 2ª safra'!$E25:INDEX('Feijão 2ª safra'!$E25:$Z25,MIN(AM$6-$G$3,22))&lt;&gt;""),'Feijão 2ª safra'!$E25:INDEX('Feijão 2ª safra'!$E25:$Z25,MIN(AM$6-$G$3,22))),0)))))</f>
        <v>0</v>
      </c>
      <c r="AN27" s="27" t="n">
        <f aca="false">IF(COUNT('Feijão 2ª safra'!$E25:$Z25)=0,0,MAX(0,IF((AN$6-$E$3)&lt;1,0,IFERROR(LOOKUP(2,1/('Feijão 2ª safra'!$E25:INDEX('Feijão 2ª safra'!$E25:$Z25,MIN(AN$6-$E$3,22))&lt;&gt;""),'Feijão 2ª safra'!$E25:INDEX('Feijão 2ª safra'!$E25:$Z25,MIN(AN$6-$E$3,22))),0))-IF($G$2,0,IF((AN$6-$G$3)&lt;1,0,IFERROR(LOOKUP(2,1/('Feijão 2ª safra'!$E25:INDEX('Feijão 2ª safra'!$E25:$Z25,MIN(AN$6-$G$3,22))&lt;&gt;""),'Feijão 2ª safra'!$E25:INDEX('Feijão 2ª safra'!$E25:$Z25,MIN(AN$6-$G$3,22))),0)))))</f>
        <v>0</v>
      </c>
      <c r="AO27" s="27" t="n">
        <f aca="false">IF(COUNT('Feijão 2ª safra'!$E25:$Z25)=0,0,MAX(0,IF((AO$6-$E$3)&lt;1,0,IFERROR(LOOKUP(2,1/('Feijão 2ª safra'!$E25:INDEX('Feijão 2ª safra'!$E25:$Z25,MIN(AO$6-$E$3,22))&lt;&gt;""),'Feijão 2ª safra'!$E25:INDEX('Feijão 2ª safra'!$E25:$Z25,MIN(AO$6-$E$3,22))),0))-IF($G$2,0,IF((AO$6-$G$3)&lt;1,0,IFERROR(LOOKUP(2,1/('Feijão 2ª safra'!$E25:INDEX('Feijão 2ª safra'!$E25:$Z25,MIN(AO$6-$G$3,22))&lt;&gt;""),'Feijão 2ª safra'!$E25:INDEX('Feijão 2ª safra'!$E25:$Z25,MIN(AO$6-$G$3,22))),0)))))</f>
        <v>0</v>
      </c>
      <c r="AP27" s="27" t="n">
        <f aca="false">IF(COUNT('Feijão 2ª safra'!$E25:$Z25)=0,0,MAX(0,IF((AP$6-$E$3)&lt;1,0,IFERROR(LOOKUP(2,1/('Feijão 2ª safra'!$E25:INDEX('Feijão 2ª safra'!$E25:$Z25,MIN(AP$6-$E$3,22))&lt;&gt;""),'Feijão 2ª safra'!$E25:INDEX('Feijão 2ª safra'!$E25:$Z25,MIN(AP$6-$E$3,22))),0))-IF($G$2,0,IF((AP$6-$G$3)&lt;1,0,IFERROR(LOOKUP(2,1/('Feijão 2ª safra'!$E25:INDEX('Feijão 2ª safra'!$E25:$Z25,MIN(AP$6-$G$3,22))&lt;&gt;""),'Feijão 2ª safra'!$E25:INDEX('Feijão 2ª safra'!$E25:$Z25,MIN(AP$6-$G$3,22))),0)))))</f>
        <v>0</v>
      </c>
      <c r="AQ27" s="27" t="n">
        <f aca="false">IF(COUNT('Feijão 2ª safra'!$E25:$Z25)=0,0,MAX(0,IF((AQ$6-$E$3)&lt;1,0,IFERROR(LOOKUP(2,1/('Feijão 2ª safra'!$E25:INDEX('Feijão 2ª safra'!$E25:$Z25,MIN(AQ$6-$E$3,22))&lt;&gt;""),'Feijão 2ª safra'!$E25:INDEX('Feijão 2ª safra'!$E25:$Z25,MIN(AQ$6-$E$3,22))),0))-IF($G$2,0,IF((AQ$6-$G$3)&lt;1,0,IFERROR(LOOKUP(2,1/('Feijão 2ª safra'!$E25:INDEX('Feijão 2ª safra'!$E25:$Z25,MIN(AQ$6-$G$3,22))&lt;&gt;""),'Feijão 2ª safra'!$E25:INDEX('Feijão 2ª safra'!$E25:$Z25,MIN(AQ$6-$G$3,22))),0)))))</f>
        <v>0</v>
      </c>
      <c r="AR27" s="27" t="n">
        <f aca="false">IF(COUNT('Feijão 2ª safra'!$E25:$Z25)=0,0,MAX(0,IF((AR$6-$E$3)&lt;1,0,IFERROR(LOOKUP(2,1/('Feijão 2ª safra'!$E25:INDEX('Feijão 2ª safra'!$E25:$Z25,MIN(AR$6-$E$3,22))&lt;&gt;""),'Feijão 2ª safra'!$E25:INDEX('Feijão 2ª safra'!$E25:$Z25,MIN(AR$6-$E$3,22))),0))-IF($G$2,0,IF((AR$6-$G$3)&lt;1,0,IFERROR(LOOKUP(2,1/('Feijão 2ª safra'!$E25:INDEX('Feijão 2ª safra'!$E25:$Z25,MIN(AR$6-$G$3,22))&lt;&gt;""),'Feijão 2ª safra'!$E25:INDEX('Feijão 2ª safra'!$E25:$Z25,MIN(AR$6-$G$3,22))),0)))))</f>
        <v>0</v>
      </c>
      <c r="AS27" s="27" t="n">
        <f aca="false">IF(COUNT('Feijão 2ª safra'!$E25:$Z25)=0,0,MAX(0,IF((AS$6-$E$3)&lt;1,0,IFERROR(LOOKUP(2,1/('Feijão 2ª safra'!$E25:INDEX('Feijão 2ª safra'!$E25:$Z25,MIN(AS$6-$E$3,22))&lt;&gt;""),'Feijão 2ª safra'!$E25:INDEX('Feijão 2ª safra'!$E25:$Z25,MIN(AS$6-$E$3,22))),0))-IF($G$2,0,IF((AS$6-$G$3)&lt;1,0,IFERROR(LOOKUP(2,1/('Feijão 2ª safra'!$E25:INDEX('Feijão 2ª safra'!$E25:$Z25,MIN(AS$6-$G$3,22))&lt;&gt;""),'Feijão 2ª safra'!$E25:INDEX('Feijão 2ª safra'!$E25:$Z25,MIN(AS$6-$G$3,22))),0)))))</f>
        <v>0</v>
      </c>
      <c r="AT27" s="27" t="n">
        <f aca="false">IF(COUNT('Feijão 2ª safra'!$E25:$Z25)=0,0,MAX(0,IF((AT$6-$E$3)&lt;1,0,IFERROR(LOOKUP(2,1/('Feijão 2ª safra'!$E25:INDEX('Feijão 2ª safra'!$E25:$Z25,MIN(AT$6-$E$3,22))&lt;&gt;""),'Feijão 2ª safra'!$E25:INDEX('Feijão 2ª safra'!$E25:$Z25,MIN(AT$6-$E$3,22))),0))-IF($G$2,0,IF((AT$6-$G$3)&lt;1,0,IFERROR(LOOKUP(2,1/('Feijão 2ª safra'!$E25:INDEX('Feijão 2ª safra'!$E25:$Z25,MIN(AT$6-$G$3,22))&lt;&gt;""),'Feijão 2ª safra'!$E25:INDEX('Feijão 2ª safra'!$E25:$Z25,MIN(AT$6-$G$3,22))),0)))))</f>
        <v>0</v>
      </c>
      <c r="AU27" s="27" t="n">
        <f aca="false">IF(COUNT('Feijão 2ª safra'!$E25:$Z25)=0,0,MAX(0,IF((AU$6-$E$3)&lt;1,0,IFERROR(LOOKUP(2,1/('Feijão 2ª safra'!$E25:INDEX('Feijão 2ª safra'!$E25:$Z25,MIN(AU$6-$E$3,22))&lt;&gt;""),'Feijão 2ª safra'!$E25:INDEX('Feijão 2ª safra'!$E25:$Z25,MIN(AU$6-$E$3,22))),0))-IF($G$2,0,IF((AU$6-$G$3)&lt;1,0,IFERROR(LOOKUP(2,1/('Feijão 2ª safra'!$E25:INDEX('Feijão 2ª safra'!$E25:$Z25,MIN(AU$6-$G$3,22))&lt;&gt;""),'Feijão 2ª safra'!$E25:INDEX('Feijão 2ª safra'!$E25:$Z25,MIN(AU$6-$G$3,22))),0)))))</f>
        <v>0</v>
      </c>
      <c r="AV27" s="27" t="n">
        <f aca="false">IF(COUNT('Feijão 2ª safra'!$E25:$Z25)=0,0,MAX(0,IF((AV$6-$E$3)&lt;1,0,IFERROR(LOOKUP(2,1/('Feijão 2ª safra'!$E25:INDEX('Feijão 2ª safra'!$E25:$Z25,MIN(AV$6-$E$3,22))&lt;&gt;""),'Feijão 2ª safra'!$E25:INDEX('Feijão 2ª safra'!$E25:$Z25,MIN(AV$6-$E$3,22))),0))-IF($G$2,0,IF((AV$6-$G$3)&lt;1,0,IFERROR(LOOKUP(2,1/('Feijão 2ª safra'!$E25:INDEX('Feijão 2ª safra'!$E25:$Z25,MIN(AV$6-$G$3,22))&lt;&gt;""),'Feijão 2ª safra'!$E25:INDEX('Feijão 2ª safra'!$E25:$Z25,MIN(AV$6-$G$3,22))),0)))))</f>
        <v>0</v>
      </c>
      <c r="AW27" s="27" t="n">
        <f aca="false">IF(COUNT('Feijão 2ª safra'!$E25:$Z25)=0,0,MAX(0,IF((AW$6-$E$3)&lt;1,0,IFERROR(LOOKUP(2,1/('Feijão 2ª safra'!$E25:INDEX('Feijão 2ª safra'!$E25:$Z25,MIN(AW$6-$E$3,22))&lt;&gt;""),'Feijão 2ª safra'!$E25:INDEX('Feijão 2ª safra'!$E25:$Z25,MIN(AW$6-$E$3,22))),0))-IF($G$2,0,IF((AW$6-$G$3)&lt;1,0,IFERROR(LOOKUP(2,1/('Feijão 2ª safra'!$E25:INDEX('Feijão 2ª safra'!$E25:$Z25,MIN(AW$6-$G$3,22))&lt;&gt;""),'Feijão 2ª safra'!$E25:INDEX('Feijão 2ª safra'!$E25:$Z25,MIN(AW$6-$G$3,22))),0)))))</f>
        <v>0</v>
      </c>
      <c r="AX27" s="27" t="n">
        <f aca="false">IF(COUNT('Feijão 2ª safra'!$E25:$Z25)=0,0,MAX(0,IF((AX$6-$E$3)&lt;1,0,IFERROR(LOOKUP(2,1/('Feijão 2ª safra'!$E25:INDEX('Feijão 2ª safra'!$E25:$Z25,MIN(AX$6-$E$3,22))&lt;&gt;""),'Feijão 2ª safra'!$E25:INDEX('Feijão 2ª safra'!$E25:$Z25,MIN(AX$6-$E$3,22))),0))-IF($G$2,0,IF((AX$6-$G$3)&lt;1,0,IFERROR(LOOKUP(2,1/('Feijão 2ª safra'!$E25:INDEX('Feijão 2ª safra'!$E25:$Z25,MIN(AX$6-$G$3,22))&lt;&gt;""),'Feijão 2ª safra'!$E25:INDEX('Feijão 2ª safra'!$E25:$Z25,MIN(AX$6-$G$3,22))),0)))))</f>
        <v>0</v>
      </c>
      <c r="AY27" s="27" t="n">
        <f aca="false">IF(COUNT('Feijão 2ª safra'!$E25:$Z25)=0,0,MAX(0,IF((AY$6-$E$3)&lt;1,0,IFERROR(LOOKUP(2,1/('Feijão 2ª safra'!$E25:INDEX('Feijão 2ª safra'!$E25:$Z25,MIN(AY$6-$E$3,22))&lt;&gt;""),'Feijão 2ª safra'!$E25:INDEX('Feijão 2ª safra'!$E25:$Z25,MIN(AY$6-$E$3,22))),0))-IF($G$2,0,IF((AY$6-$G$3)&lt;1,0,IFERROR(LOOKUP(2,1/('Feijão 2ª safra'!$E25:INDEX('Feijão 2ª safra'!$E25:$Z25,MIN(AY$6-$G$3,22))&lt;&gt;""),'Feijão 2ª safra'!$E25:INDEX('Feijão 2ª safra'!$E25:$Z25,MIN(AY$6-$G$3,22))),0)))))</f>
        <v>0</v>
      </c>
      <c r="AZ27" s="27" t="n">
        <f aca="false">IF(COUNT('Feijão 2ª safra'!$E25:$Z25)=0,0,MAX(0,IF((AZ$6-$E$3)&lt;1,0,IFERROR(LOOKUP(2,1/('Feijão 2ª safra'!$E25:INDEX('Feijão 2ª safra'!$E25:$Z25,MIN(AZ$6-$E$3,22))&lt;&gt;""),'Feijão 2ª safra'!$E25:INDEX('Feijão 2ª safra'!$E25:$Z25,MIN(AZ$6-$E$3,22))),0))-IF($G$2,0,IF((AZ$6-$G$3)&lt;1,0,IFERROR(LOOKUP(2,1/('Feijão 2ª safra'!$E25:INDEX('Feijão 2ª safra'!$E25:$Z25,MIN(AZ$6-$G$3,22))&lt;&gt;""),'Feijão 2ª safra'!$E25:INDEX('Feijão 2ª safra'!$E25:$Z25,MIN(AZ$6-$G$3,22))),0)))))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IF(COUNT('Feijão 2ª safra'!$E26:$Z26)&gt;0,N('Feijão 2ª safra'!$D26),0)</f>
        <v>0</v>
      </c>
      <c r="E28" s="27" t="n">
        <f aca="false">IF(COUNT('Feijão 2ª safra'!$E26:$Z26)=0,0,MAX(0,IF((E$6-$E$3)&lt;1,0,IFERROR(LOOKUP(2,1/('Feijão 2ª safra'!$E26:INDEX('Feijão 2ª safra'!$E26:$Z26,MIN(E$6-$E$3,22))&lt;&gt;""),'Feijão 2ª safra'!$E26:INDEX('Feijão 2ª safra'!$E26:$Z26,MIN(E$6-$E$3,22))),0))-IF($G$2,0,IF((E$6-$G$3)&lt;1,0,IFERROR(LOOKUP(2,1/('Feijão 2ª safra'!$E26:INDEX('Feijão 2ª safra'!$E26:$Z26,MIN(E$6-$G$3,22))&lt;&gt;""),'Feijão 2ª safra'!$E26:INDEX('Feijão 2ª safra'!$E26:$Z26,MIN(E$6-$G$3,22))),0)))))</f>
        <v>0</v>
      </c>
      <c r="F28" s="27" t="n">
        <f aca="false">IF(COUNT('Feijão 2ª safra'!$E26:$Z26)=0,0,MAX(0,IF((F$6-$E$3)&lt;1,0,IFERROR(LOOKUP(2,1/('Feijão 2ª safra'!$E26:INDEX('Feijão 2ª safra'!$E26:$Z26,MIN(F$6-$E$3,22))&lt;&gt;""),'Feijão 2ª safra'!$E26:INDEX('Feijão 2ª safra'!$E26:$Z26,MIN(F$6-$E$3,22))),0))-IF($G$2,0,IF((F$6-$G$3)&lt;1,0,IFERROR(LOOKUP(2,1/('Feijão 2ª safra'!$E26:INDEX('Feijão 2ª safra'!$E26:$Z26,MIN(F$6-$G$3,22))&lt;&gt;""),'Feijão 2ª safra'!$E26:INDEX('Feijão 2ª safra'!$E26:$Z26,MIN(F$6-$G$3,22))),0)))))</f>
        <v>0</v>
      </c>
      <c r="G28" s="27" t="n">
        <f aca="false">IF(COUNT('Feijão 2ª safra'!$E26:$Z26)=0,0,MAX(0,IF((G$6-$E$3)&lt;1,0,IFERROR(LOOKUP(2,1/('Feijão 2ª safra'!$E26:INDEX('Feijão 2ª safra'!$E26:$Z26,MIN(G$6-$E$3,22))&lt;&gt;""),'Feijão 2ª safra'!$E26:INDEX('Feijão 2ª safra'!$E26:$Z26,MIN(G$6-$E$3,22))),0))-IF($G$2,0,IF((G$6-$G$3)&lt;1,0,IFERROR(LOOKUP(2,1/('Feijão 2ª safra'!$E26:INDEX('Feijão 2ª safra'!$E26:$Z26,MIN(G$6-$G$3,22))&lt;&gt;""),'Feijão 2ª safra'!$E26:INDEX('Feijão 2ª safra'!$E26:$Z26,MIN(G$6-$G$3,22))),0)))))</f>
        <v>0</v>
      </c>
      <c r="H28" s="27" t="n">
        <f aca="false">IF(COUNT('Feijão 2ª safra'!$E26:$Z26)=0,0,MAX(0,IF((H$6-$E$3)&lt;1,0,IFERROR(LOOKUP(2,1/('Feijão 2ª safra'!$E26:INDEX('Feijão 2ª safra'!$E26:$Z26,MIN(H$6-$E$3,22))&lt;&gt;""),'Feijão 2ª safra'!$E26:INDEX('Feijão 2ª safra'!$E26:$Z26,MIN(H$6-$E$3,22))),0))-IF($G$2,0,IF((H$6-$G$3)&lt;1,0,IFERROR(LOOKUP(2,1/('Feijão 2ª safra'!$E26:INDEX('Feijão 2ª safra'!$E26:$Z26,MIN(H$6-$G$3,22))&lt;&gt;""),'Feijão 2ª safra'!$E26:INDEX('Feijão 2ª safra'!$E26:$Z26,MIN(H$6-$G$3,22))),0)))))</f>
        <v>0</v>
      </c>
      <c r="I28" s="27" t="n">
        <f aca="false">IF(COUNT('Feijão 2ª safra'!$E26:$Z26)=0,0,MAX(0,IF((I$6-$E$3)&lt;1,0,IFERROR(LOOKUP(2,1/('Feijão 2ª safra'!$E26:INDEX('Feijão 2ª safra'!$E26:$Z26,MIN(I$6-$E$3,22))&lt;&gt;""),'Feijão 2ª safra'!$E26:INDEX('Feijão 2ª safra'!$E26:$Z26,MIN(I$6-$E$3,22))),0))-IF($G$2,0,IF((I$6-$G$3)&lt;1,0,IFERROR(LOOKUP(2,1/('Feijão 2ª safra'!$E26:INDEX('Feijão 2ª safra'!$E26:$Z26,MIN(I$6-$G$3,22))&lt;&gt;""),'Feijão 2ª safra'!$E26:INDEX('Feijão 2ª safra'!$E26:$Z26,MIN(I$6-$G$3,22))),0)))))</f>
        <v>0</v>
      </c>
      <c r="J28" s="27" t="n">
        <f aca="false">IF(COUNT('Feijão 2ª safra'!$E26:$Z26)=0,0,MAX(0,IF((J$6-$E$3)&lt;1,0,IFERROR(LOOKUP(2,1/('Feijão 2ª safra'!$E26:INDEX('Feijão 2ª safra'!$E26:$Z26,MIN(J$6-$E$3,22))&lt;&gt;""),'Feijão 2ª safra'!$E26:INDEX('Feijão 2ª safra'!$E26:$Z26,MIN(J$6-$E$3,22))),0))-IF($G$2,0,IF((J$6-$G$3)&lt;1,0,IFERROR(LOOKUP(2,1/('Feijão 2ª safra'!$E26:INDEX('Feijão 2ª safra'!$E26:$Z26,MIN(J$6-$G$3,22))&lt;&gt;""),'Feijão 2ª safra'!$E26:INDEX('Feijão 2ª safra'!$E26:$Z26,MIN(J$6-$G$3,22))),0)))))</f>
        <v>0</v>
      </c>
      <c r="K28" s="27" t="n">
        <f aca="false">IF(COUNT('Feijão 2ª safra'!$E26:$Z26)=0,0,MAX(0,IF((K$6-$E$3)&lt;1,0,IFERROR(LOOKUP(2,1/('Feijão 2ª safra'!$E26:INDEX('Feijão 2ª safra'!$E26:$Z26,MIN(K$6-$E$3,22))&lt;&gt;""),'Feijão 2ª safra'!$E26:INDEX('Feijão 2ª safra'!$E26:$Z26,MIN(K$6-$E$3,22))),0))-IF($G$2,0,IF((K$6-$G$3)&lt;1,0,IFERROR(LOOKUP(2,1/('Feijão 2ª safra'!$E26:INDEX('Feijão 2ª safra'!$E26:$Z26,MIN(K$6-$G$3,22))&lt;&gt;""),'Feijão 2ª safra'!$E26:INDEX('Feijão 2ª safra'!$E26:$Z26,MIN(K$6-$G$3,22))),0)))))</f>
        <v>0</v>
      </c>
      <c r="L28" s="27" t="n">
        <f aca="false">IF(COUNT('Feijão 2ª safra'!$E26:$Z26)=0,0,MAX(0,IF((L$6-$E$3)&lt;1,0,IFERROR(LOOKUP(2,1/('Feijão 2ª safra'!$E26:INDEX('Feijão 2ª safra'!$E26:$Z26,MIN(L$6-$E$3,22))&lt;&gt;""),'Feijão 2ª safra'!$E26:INDEX('Feijão 2ª safra'!$E26:$Z26,MIN(L$6-$E$3,22))),0))-IF($G$2,0,IF((L$6-$G$3)&lt;1,0,IFERROR(LOOKUP(2,1/('Feijão 2ª safra'!$E26:INDEX('Feijão 2ª safra'!$E26:$Z26,MIN(L$6-$G$3,22))&lt;&gt;""),'Feijão 2ª safra'!$E26:INDEX('Feijão 2ª safra'!$E26:$Z26,MIN(L$6-$G$3,22))),0)))))</f>
        <v>0</v>
      </c>
      <c r="M28" s="27" t="n">
        <f aca="false">IF(COUNT('Feijão 2ª safra'!$E26:$Z26)=0,0,MAX(0,IF((M$6-$E$3)&lt;1,0,IFERROR(LOOKUP(2,1/('Feijão 2ª safra'!$E26:INDEX('Feijão 2ª safra'!$E26:$Z26,MIN(M$6-$E$3,22))&lt;&gt;""),'Feijão 2ª safra'!$E26:INDEX('Feijão 2ª safra'!$E26:$Z26,MIN(M$6-$E$3,22))),0))-IF($G$2,0,IF((M$6-$G$3)&lt;1,0,IFERROR(LOOKUP(2,1/('Feijão 2ª safra'!$E26:INDEX('Feijão 2ª safra'!$E26:$Z26,MIN(M$6-$G$3,22))&lt;&gt;""),'Feijão 2ª safra'!$E26:INDEX('Feijão 2ª safra'!$E26:$Z26,MIN(M$6-$G$3,22))),0)))))</f>
        <v>0</v>
      </c>
      <c r="N28" s="27" t="n">
        <f aca="false">IF(COUNT('Feijão 2ª safra'!$E26:$Z26)=0,0,MAX(0,IF((N$6-$E$3)&lt;1,0,IFERROR(LOOKUP(2,1/('Feijão 2ª safra'!$E26:INDEX('Feijão 2ª safra'!$E26:$Z26,MIN(N$6-$E$3,22))&lt;&gt;""),'Feijão 2ª safra'!$E26:INDEX('Feijão 2ª safra'!$E26:$Z26,MIN(N$6-$E$3,22))),0))-IF($G$2,0,IF((N$6-$G$3)&lt;1,0,IFERROR(LOOKUP(2,1/('Feijão 2ª safra'!$E26:INDEX('Feijão 2ª safra'!$E26:$Z26,MIN(N$6-$G$3,22))&lt;&gt;""),'Feijão 2ª safra'!$E26:INDEX('Feijão 2ª safra'!$E26:$Z26,MIN(N$6-$G$3,22))),0)))))</f>
        <v>0</v>
      </c>
      <c r="O28" s="27" t="n">
        <f aca="false">IF(COUNT('Feijão 2ª safra'!$E26:$Z26)=0,0,MAX(0,IF((O$6-$E$3)&lt;1,0,IFERROR(LOOKUP(2,1/('Feijão 2ª safra'!$E26:INDEX('Feijão 2ª safra'!$E26:$Z26,MIN(O$6-$E$3,22))&lt;&gt;""),'Feijão 2ª safra'!$E26:INDEX('Feijão 2ª safra'!$E26:$Z26,MIN(O$6-$E$3,22))),0))-IF($G$2,0,IF((O$6-$G$3)&lt;1,0,IFERROR(LOOKUP(2,1/('Feijão 2ª safra'!$E26:INDEX('Feijão 2ª safra'!$E26:$Z26,MIN(O$6-$G$3,22))&lt;&gt;""),'Feijão 2ª safra'!$E26:INDEX('Feijão 2ª safra'!$E26:$Z26,MIN(O$6-$G$3,22))),0)))))</f>
        <v>0</v>
      </c>
      <c r="P28" s="27" t="n">
        <f aca="false">IF(COUNT('Feijão 2ª safra'!$E26:$Z26)=0,0,MAX(0,IF((P$6-$E$3)&lt;1,0,IFERROR(LOOKUP(2,1/('Feijão 2ª safra'!$E26:INDEX('Feijão 2ª safra'!$E26:$Z26,MIN(P$6-$E$3,22))&lt;&gt;""),'Feijão 2ª safra'!$E26:INDEX('Feijão 2ª safra'!$E26:$Z26,MIN(P$6-$E$3,22))),0))-IF($G$2,0,IF((P$6-$G$3)&lt;1,0,IFERROR(LOOKUP(2,1/('Feijão 2ª safra'!$E26:INDEX('Feijão 2ª safra'!$E26:$Z26,MIN(P$6-$G$3,22))&lt;&gt;""),'Feijão 2ª safra'!$E26:INDEX('Feijão 2ª safra'!$E26:$Z26,MIN(P$6-$G$3,22))),0)))))</f>
        <v>0</v>
      </c>
      <c r="Q28" s="27" t="n">
        <f aca="false">IF(COUNT('Feijão 2ª safra'!$E26:$Z26)=0,0,MAX(0,IF((Q$6-$E$3)&lt;1,0,IFERROR(LOOKUP(2,1/('Feijão 2ª safra'!$E26:INDEX('Feijão 2ª safra'!$E26:$Z26,MIN(Q$6-$E$3,22))&lt;&gt;""),'Feijão 2ª safra'!$E26:INDEX('Feijão 2ª safra'!$E26:$Z26,MIN(Q$6-$E$3,22))),0))-IF($G$2,0,IF((Q$6-$G$3)&lt;1,0,IFERROR(LOOKUP(2,1/('Feijão 2ª safra'!$E26:INDEX('Feijão 2ª safra'!$E26:$Z26,MIN(Q$6-$G$3,22))&lt;&gt;""),'Feijão 2ª safra'!$E26:INDEX('Feijão 2ª safra'!$E26:$Z26,MIN(Q$6-$G$3,22))),0)))))</f>
        <v>0</v>
      </c>
      <c r="R28" s="27" t="n">
        <f aca="false">IF(COUNT('Feijão 2ª safra'!$E26:$Z26)=0,0,MAX(0,IF((R$6-$E$3)&lt;1,0,IFERROR(LOOKUP(2,1/('Feijão 2ª safra'!$E26:INDEX('Feijão 2ª safra'!$E26:$Z26,MIN(R$6-$E$3,22))&lt;&gt;""),'Feijão 2ª safra'!$E26:INDEX('Feijão 2ª safra'!$E26:$Z26,MIN(R$6-$E$3,22))),0))-IF($G$2,0,IF((R$6-$G$3)&lt;1,0,IFERROR(LOOKUP(2,1/('Feijão 2ª safra'!$E26:INDEX('Feijão 2ª safra'!$E26:$Z26,MIN(R$6-$G$3,22))&lt;&gt;""),'Feijão 2ª safra'!$E26:INDEX('Feijão 2ª safra'!$E26:$Z26,MIN(R$6-$G$3,22))),0)))))</f>
        <v>0</v>
      </c>
      <c r="S28" s="27" t="n">
        <f aca="false">IF(COUNT('Feijão 2ª safra'!$E26:$Z26)=0,0,MAX(0,IF((S$6-$E$3)&lt;1,0,IFERROR(LOOKUP(2,1/('Feijão 2ª safra'!$E26:INDEX('Feijão 2ª safra'!$E26:$Z26,MIN(S$6-$E$3,22))&lt;&gt;""),'Feijão 2ª safra'!$E26:INDEX('Feijão 2ª safra'!$E26:$Z26,MIN(S$6-$E$3,22))),0))-IF($G$2,0,IF((S$6-$G$3)&lt;1,0,IFERROR(LOOKUP(2,1/('Feijão 2ª safra'!$E26:INDEX('Feijão 2ª safra'!$E26:$Z26,MIN(S$6-$G$3,22))&lt;&gt;""),'Feijão 2ª safra'!$E26:INDEX('Feijão 2ª safra'!$E26:$Z26,MIN(S$6-$G$3,22))),0)))))</f>
        <v>0</v>
      </c>
      <c r="T28" s="27" t="n">
        <f aca="false">IF(COUNT('Feijão 2ª safra'!$E26:$Z26)=0,0,MAX(0,IF((T$6-$E$3)&lt;1,0,IFERROR(LOOKUP(2,1/('Feijão 2ª safra'!$E26:INDEX('Feijão 2ª safra'!$E26:$Z26,MIN(T$6-$E$3,22))&lt;&gt;""),'Feijão 2ª safra'!$E26:INDEX('Feijão 2ª safra'!$E26:$Z26,MIN(T$6-$E$3,22))),0))-IF($G$2,0,IF((T$6-$G$3)&lt;1,0,IFERROR(LOOKUP(2,1/('Feijão 2ª safra'!$E26:INDEX('Feijão 2ª safra'!$E26:$Z26,MIN(T$6-$G$3,22))&lt;&gt;""),'Feijão 2ª safra'!$E26:INDEX('Feijão 2ª safra'!$E26:$Z26,MIN(T$6-$G$3,22))),0)))))</f>
        <v>0</v>
      </c>
      <c r="U28" s="27" t="n">
        <f aca="false">IF(COUNT('Feijão 2ª safra'!$E26:$Z26)=0,0,MAX(0,IF((U$6-$E$3)&lt;1,0,IFERROR(LOOKUP(2,1/('Feijão 2ª safra'!$E26:INDEX('Feijão 2ª safra'!$E26:$Z26,MIN(U$6-$E$3,22))&lt;&gt;""),'Feijão 2ª safra'!$E26:INDEX('Feijão 2ª safra'!$E26:$Z26,MIN(U$6-$E$3,22))),0))-IF($G$2,0,IF((U$6-$G$3)&lt;1,0,IFERROR(LOOKUP(2,1/('Feijão 2ª safra'!$E26:INDEX('Feijão 2ª safra'!$E26:$Z26,MIN(U$6-$G$3,22))&lt;&gt;""),'Feijão 2ª safra'!$E26:INDEX('Feijão 2ª safra'!$E26:$Z26,MIN(U$6-$G$3,22))),0)))))</f>
        <v>0</v>
      </c>
      <c r="V28" s="27" t="n">
        <f aca="false">IF(COUNT('Feijão 2ª safra'!$E26:$Z26)=0,0,MAX(0,IF((V$6-$E$3)&lt;1,0,IFERROR(LOOKUP(2,1/('Feijão 2ª safra'!$E26:INDEX('Feijão 2ª safra'!$E26:$Z26,MIN(V$6-$E$3,22))&lt;&gt;""),'Feijão 2ª safra'!$E26:INDEX('Feijão 2ª safra'!$E26:$Z26,MIN(V$6-$E$3,22))),0))-IF($G$2,0,IF((V$6-$G$3)&lt;1,0,IFERROR(LOOKUP(2,1/('Feijão 2ª safra'!$E26:INDEX('Feijão 2ª safra'!$E26:$Z26,MIN(V$6-$G$3,22))&lt;&gt;""),'Feijão 2ª safra'!$E26:INDEX('Feijão 2ª safra'!$E26:$Z26,MIN(V$6-$G$3,22))),0)))))</f>
        <v>0</v>
      </c>
      <c r="W28" s="27" t="n">
        <f aca="false">IF(COUNT('Feijão 2ª safra'!$E26:$Z26)=0,0,MAX(0,IF((W$6-$E$3)&lt;1,0,IFERROR(LOOKUP(2,1/('Feijão 2ª safra'!$E26:INDEX('Feijão 2ª safra'!$E26:$Z26,MIN(W$6-$E$3,22))&lt;&gt;""),'Feijão 2ª safra'!$E26:INDEX('Feijão 2ª safra'!$E26:$Z26,MIN(W$6-$E$3,22))),0))-IF($G$2,0,IF((W$6-$G$3)&lt;1,0,IFERROR(LOOKUP(2,1/('Feijão 2ª safra'!$E26:INDEX('Feijão 2ª safra'!$E26:$Z26,MIN(W$6-$G$3,22))&lt;&gt;""),'Feijão 2ª safra'!$E26:INDEX('Feijão 2ª safra'!$E26:$Z26,MIN(W$6-$G$3,22))),0)))))</f>
        <v>0</v>
      </c>
      <c r="X28" s="27" t="n">
        <f aca="false">IF(COUNT('Feijão 2ª safra'!$E26:$Z26)=0,0,MAX(0,IF((X$6-$E$3)&lt;1,0,IFERROR(LOOKUP(2,1/('Feijão 2ª safra'!$E26:INDEX('Feijão 2ª safra'!$E26:$Z26,MIN(X$6-$E$3,22))&lt;&gt;""),'Feijão 2ª safra'!$E26:INDEX('Feijão 2ª safra'!$E26:$Z26,MIN(X$6-$E$3,22))),0))-IF($G$2,0,IF((X$6-$G$3)&lt;1,0,IFERROR(LOOKUP(2,1/('Feijão 2ª safra'!$E26:INDEX('Feijão 2ª safra'!$E26:$Z26,MIN(X$6-$G$3,22))&lt;&gt;""),'Feijão 2ª safra'!$E26:INDEX('Feijão 2ª safra'!$E26:$Z26,MIN(X$6-$G$3,22))),0)))))</f>
        <v>0</v>
      </c>
      <c r="Y28" s="27" t="n">
        <f aca="false">IF(COUNT('Feijão 2ª safra'!$E26:$Z26)=0,0,MAX(0,IF((Y$6-$E$3)&lt;1,0,IFERROR(LOOKUP(2,1/('Feijão 2ª safra'!$E26:INDEX('Feijão 2ª safra'!$E26:$Z26,MIN(Y$6-$E$3,22))&lt;&gt;""),'Feijão 2ª safra'!$E26:INDEX('Feijão 2ª safra'!$E26:$Z26,MIN(Y$6-$E$3,22))),0))-IF($G$2,0,IF((Y$6-$G$3)&lt;1,0,IFERROR(LOOKUP(2,1/('Feijão 2ª safra'!$E26:INDEX('Feijão 2ª safra'!$E26:$Z26,MIN(Y$6-$G$3,22))&lt;&gt;""),'Feijão 2ª safra'!$E26:INDEX('Feijão 2ª safra'!$E26:$Z26,MIN(Y$6-$G$3,22))),0)))))</f>
        <v>0</v>
      </c>
      <c r="Z28" s="27" t="n">
        <f aca="false">IF(COUNT('Feijão 2ª safra'!$E26:$Z26)=0,0,MAX(0,IF((Z$6-$E$3)&lt;1,0,IFERROR(LOOKUP(2,1/('Feijão 2ª safra'!$E26:INDEX('Feijão 2ª safra'!$E26:$Z26,MIN(Z$6-$E$3,22))&lt;&gt;""),'Feijão 2ª safra'!$E26:INDEX('Feijão 2ª safra'!$E26:$Z26,MIN(Z$6-$E$3,22))),0))-IF($G$2,0,IF((Z$6-$G$3)&lt;1,0,IFERROR(LOOKUP(2,1/('Feijão 2ª safra'!$E26:INDEX('Feijão 2ª safra'!$E26:$Z26,MIN(Z$6-$G$3,22))&lt;&gt;""),'Feijão 2ª safra'!$E26:INDEX('Feijão 2ª safra'!$E26:$Z26,MIN(Z$6-$G$3,22))),0)))))</f>
        <v>0</v>
      </c>
      <c r="AA28" s="27" t="n">
        <f aca="false">IF(COUNT('Feijão 2ª safra'!$E26:$Z26)=0,0,MAX(0,IF((AA$6-$E$3)&lt;1,0,IFERROR(LOOKUP(2,1/('Feijão 2ª safra'!$E26:INDEX('Feijão 2ª safra'!$E26:$Z26,MIN(AA$6-$E$3,22))&lt;&gt;""),'Feijão 2ª safra'!$E26:INDEX('Feijão 2ª safra'!$E26:$Z26,MIN(AA$6-$E$3,22))),0))-IF($G$2,0,IF((AA$6-$G$3)&lt;1,0,IFERROR(LOOKUP(2,1/('Feijão 2ª safra'!$E26:INDEX('Feijão 2ª safra'!$E26:$Z26,MIN(AA$6-$G$3,22))&lt;&gt;""),'Feijão 2ª safra'!$E26:INDEX('Feijão 2ª safra'!$E26:$Z26,MIN(AA$6-$G$3,22))),0)))))</f>
        <v>0</v>
      </c>
      <c r="AB28" s="27" t="n">
        <f aca="false">IF(COUNT('Feijão 2ª safra'!$E26:$Z26)=0,0,MAX(0,IF((AB$6-$E$3)&lt;1,0,IFERROR(LOOKUP(2,1/('Feijão 2ª safra'!$E26:INDEX('Feijão 2ª safra'!$E26:$Z26,MIN(AB$6-$E$3,22))&lt;&gt;""),'Feijão 2ª safra'!$E26:INDEX('Feijão 2ª safra'!$E26:$Z26,MIN(AB$6-$E$3,22))),0))-IF($G$2,0,IF((AB$6-$G$3)&lt;1,0,IFERROR(LOOKUP(2,1/('Feijão 2ª safra'!$E26:INDEX('Feijão 2ª safra'!$E26:$Z26,MIN(AB$6-$G$3,22))&lt;&gt;""),'Feijão 2ª safra'!$E26:INDEX('Feijão 2ª safra'!$E26:$Z26,MIN(AB$6-$G$3,22))),0)))))</f>
        <v>0</v>
      </c>
      <c r="AC28" s="27" t="n">
        <f aca="false">IF(COUNT('Feijão 2ª safra'!$E26:$Z26)=0,0,MAX(0,IF((AC$6-$E$3)&lt;1,0,IFERROR(LOOKUP(2,1/('Feijão 2ª safra'!$E26:INDEX('Feijão 2ª safra'!$E26:$Z26,MIN(AC$6-$E$3,22))&lt;&gt;""),'Feijão 2ª safra'!$E26:INDEX('Feijão 2ª safra'!$E26:$Z26,MIN(AC$6-$E$3,22))),0))-IF($G$2,0,IF((AC$6-$G$3)&lt;1,0,IFERROR(LOOKUP(2,1/('Feijão 2ª safra'!$E26:INDEX('Feijão 2ª safra'!$E26:$Z26,MIN(AC$6-$G$3,22))&lt;&gt;""),'Feijão 2ª safra'!$E26:INDEX('Feijão 2ª safra'!$E26:$Z26,MIN(AC$6-$G$3,22))),0)))))</f>
        <v>0</v>
      </c>
      <c r="AD28" s="27" t="n">
        <f aca="false">IF(COUNT('Feijão 2ª safra'!$E26:$Z26)=0,0,MAX(0,IF((AD$6-$E$3)&lt;1,0,IFERROR(LOOKUP(2,1/('Feijão 2ª safra'!$E26:INDEX('Feijão 2ª safra'!$E26:$Z26,MIN(AD$6-$E$3,22))&lt;&gt;""),'Feijão 2ª safra'!$E26:INDEX('Feijão 2ª safra'!$E26:$Z26,MIN(AD$6-$E$3,22))),0))-IF($G$2,0,IF((AD$6-$G$3)&lt;1,0,IFERROR(LOOKUP(2,1/('Feijão 2ª safra'!$E26:INDEX('Feijão 2ª safra'!$E26:$Z26,MIN(AD$6-$G$3,22))&lt;&gt;""),'Feijão 2ª safra'!$E26:INDEX('Feijão 2ª safra'!$E26:$Z26,MIN(AD$6-$G$3,22))),0)))))</f>
        <v>0</v>
      </c>
      <c r="AE28" s="27" t="n">
        <f aca="false">IF(COUNT('Feijão 2ª safra'!$E26:$Z26)=0,0,MAX(0,IF((AE$6-$E$3)&lt;1,0,IFERROR(LOOKUP(2,1/('Feijão 2ª safra'!$E26:INDEX('Feijão 2ª safra'!$E26:$Z26,MIN(AE$6-$E$3,22))&lt;&gt;""),'Feijão 2ª safra'!$E26:INDEX('Feijão 2ª safra'!$E26:$Z26,MIN(AE$6-$E$3,22))),0))-IF($G$2,0,IF((AE$6-$G$3)&lt;1,0,IFERROR(LOOKUP(2,1/('Feijão 2ª safra'!$E26:INDEX('Feijão 2ª safra'!$E26:$Z26,MIN(AE$6-$G$3,22))&lt;&gt;""),'Feijão 2ª safra'!$E26:INDEX('Feijão 2ª safra'!$E26:$Z26,MIN(AE$6-$G$3,22))),0)))))</f>
        <v>0</v>
      </c>
      <c r="AF28" s="27" t="n">
        <f aca="false">IF(COUNT('Feijão 2ª safra'!$E26:$Z26)=0,0,MAX(0,IF((AF$6-$E$3)&lt;1,0,IFERROR(LOOKUP(2,1/('Feijão 2ª safra'!$E26:INDEX('Feijão 2ª safra'!$E26:$Z26,MIN(AF$6-$E$3,22))&lt;&gt;""),'Feijão 2ª safra'!$E26:INDEX('Feijão 2ª safra'!$E26:$Z26,MIN(AF$6-$E$3,22))),0))-IF($G$2,0,IF((AF$6-$G$3)&lt;1,0,IFERROR(LOOKUP(2,1/('Feijão 2ª safra'!$E26:INDEX('Feijão 2ª safra'!$E26:$Z26,MIN(AF$6-$G$3,22))&lt;&gt;""),'Feijão 2ª safra'!$E26:INDEX('Feijão 2ª safra'!$E26:$Z26,MIN(AF$6-$G$3,22))),0)))))</f>
        <v>0</v>
      </c>
      <c r="AG28" s="27" t="n">
        <f aca="false">IF(COUNT('Feijão 2ª safra'!$E26:$Z26)=0,0,MAX(0,IF((AG$6-$E$3)&lt;1,0,IFERROR(LOOKUP(2,1/('Feijão 2ª safra'!$E26:INDEX('Feijão 2ª safra'!$E26:$Z26,MIN(AG$6-$E$3,22))&lt;&gt;""),'Feijão 2ª safra'!$E26:INDEX('Feijão 2ª safra'!$E26:$Z26,MIN(AG$6-$E$3,22))),0))-IF($G$2,0,IF((AG$6-$G$3)&lt;1,0,IFERROR(LOOKUP(2,1/('Feijão 2ª safra'!$E26:INDEX('Feijão 2ª safra'!$E26:$Z26,MIN(AG$6-$G$3,22))&lt;&gt;""),'Feijão 2ª safra'!$E26:INDEX('Feijão 2ª safra'!$E26:$Z26,MIN(AG$6-$G$3,22))),0)))))</f>
        <v>0</v>
      </c>
      <c r="AH28" s="27" t="n">
        <f aca="false">IF(COUNT('Feijão 2ª safra'!$E26:$Z26)=0,0,MAX(0,IF((AH$6-$E$3)&lt;1,0,IFERROR(LOOKUP(2,1/('Feijão 2ª safra'!$E26:INDEX('Feijão 2ª safra'!$E26:$Z26,MIN(AH$6-$E$3,22))&lt;&gt;""),'Feijão 2ª safra'!$E26:INDEX('Feijão 2ª safra'!$E26:$Z26,MIN(AH$6-$E$3,22))),0))-IF($G$2,0,IF((AH$6-$G$3)&lt;1,0,IFERROR(LOOKUP(2,1/('Feijão 2ª safra'!$E26:INDEX('Feijão 2ª safra'!$E26:$Z26,MIN(AH$6-$G$3,22))&lt;&gt;""),'Feijão 2ª safra'!$E26:INDEX('Feijão 2ª safra'!$E26:$Z26,MIN(AH$6-$G$3,22))),0)))))</f>
        <v>0</v>
      </c>
      <c r="AI28" s="27" t="n">
        <f aca="false">IF(COUNT('Feijão 2ª safra'!$E26:$Z26)=0,0,MAX(0,IF((AI$6-$E$3)&lt;1,0,IFERROR(LOOKUP(2,1/('Feijão 2ª safra'!$E26:INDEX('Feijão 2ª safra'!$E26:$Z26,MIN(AI$6-$E$3,22))&lt;&gt;""),'Feijão 2ª safra'!$E26:INDEX('Feijão 2ª safra'!$E26:$Z26,MIN(AI$6-$E$3,22))),0))-IF($G$2,0,IF((AI$6-$G$3)&lt;1,0,IFERROR(LOOKUP(2,1/('Feijão 2ª safra'!$E26:INDEX('Feijão 2ª safra'!$E26:$Z26,MIN(AI$6-$G$3,22))&lt;&gt;""),'Feijão 2ª safra'!$E26:INDEX('Feijão 2ª safra'!$E26:$Z26,MIN(AI$6-$G$3,22))),0)))))</f>
        <v>0</v>
      </c>
      <c r="AJ28" s="27" t="n">
        <f aca="false">IF(COUNT('Feijão 2ª safra'!$E26:$Z26)=0,0,MAX(0,IF((AJ$6-$E$3)&lt;1,0,IFERROR(LOOKUP(2,1/('Feijão 2ª safra'!$E26:INDEX('Feijão 2ª safra'!$E26:$Z26,MIN(AJ$6-$E$3,22))&lt;&gt;""),'Feijão 2ª safra'!$E26:INDEX('Feijão 2ª safra'!$E26:$Z26,MIN(AJ$6-$E$3,22))),0))-IF($G$2,0,IF((AJ$6-$G$3)&lt;1,0,IFERROR(LOOKUP(2,1/('Feijão 2ª safra'!$E26:INDEX('Feijão 2ª safra'!$E26:$Z26,MIN(AJ$6-$G$3,22))&lt;&gt;""),'Feijão 2ª safra'!$E26:INDEX('Feijão 2ª safra'!$E26:$Z26,MIN(AJ$6-$G$3,22))),0)))))</f>
        <v>0</v>
      </c>
      <c r="AK28" s="27" t="n">
        <f aca="false">IF(COUNT('Feijão 2ª safra'!$E26:$Z26)=0,0,MAX(0,IF((AK$6-$E$3)&lt;1,0,IFERROR(LOOKUP(2,1/('Feijão 2ª safra'!$E26:INDEX('Feijão 2ª safra'!$E26:$Z26,MIN(AK$6-$E$3,22))&lt;&gt;""),'Feijão 2ª safra'!$E26:INDEX('Feijão 2ª safra'!$E26:$Z26,MIN(AK$6-$E$3,22))),0))-IF($G$2,0,IF((AK$6-$G$3)&lt;1,0,IFERROR(LOOKUP(2,1/('Feijão 2ª safra'!$E26:INDEX('Feijão 2ª safra'!$E26:$Z26,MIN(AK$6-$G$3,22))&lt;&gt;""),'Feijão 2ª safra'!$E26:INDEX('Feijão 2ª safra'!$E26:$Z26,MIN(AK$6-$G$3,22))),0)))))</f>
        <v>0</v>
      </c>
      <c r="AL28" s="27" t="n">
        <f aca="false">IF(COUNT('Feijão 2ª safra'!$E26:$Z26)=0,0,MAX(0,IF((AL$6-$E$3)&lt;1,0,IFERROR(LOOKUP(2,1/('Feijão 2ª safra'!$E26:INDEX('Feijão 2ª safra'!$E26:$Z26,MIN(AL$6-$E$3,22))&lt;&gt;""),'Feijão 2ª safra'!$E26:INDEX('Feijão 2ª safra'!$E26:$Z26,MIN(AL$6-$E$3,22))),0))-IF($G$2,0,IF((AL$6-$G$3)&lt;1,0,IFERROR(LOOKUP(2,1/('Feijão 2ª safra'!$E26:INDEX('Feijão 2ª safra'!$E26:$Z26,MIN(AL$6-$G$3,22))&lt;&gt;""),'Feijão 2ª safra'!$E26:INDEX('Feijão 2ª safra'!$E26:$Z26,MIN(AL$6-$G$3,22))),0)))))</f>
        <v>0</v>
      </c>
      <c r="AM28" s="27" t="n">
        <f aca="false">IF(COUNT('Feijão 2ª safra'!$E26:$Z26)=0,0,MAX(0,IF((AM$6-$E$3)&lt;1,0,IFERROR(LOOKUP(2,1/('Feijão 2ª safra'!$E26:INDEX('Feijão 2ª safra'!$E26:$Z26,MIN(AM$6-$E$3,22))&lt;&gt;""),'Feijão 2ª safra'!$E26:INDEX('Feijão 2ª safra'!$E26:$Z26,MIN(AM$6-$E$3,22))),0))-IF($G$2,0,IF((AM$6-$G$3)&lt;1,0,IFERROR(LOOKUP(2,1/('Feijão 2ª safra'!$E26:INDEX('Feijão 2ª safra'!$E26:$Z26,MIN(AM$6-$G$3,22))&lt;&gt;""),'Feijão 2ª safra'!$E26:INDEX('Feijão 2ª safra'!$E26:$Z26,MIN(AM$6-$G$3,22))),0)))))</f>
        <v>0</v>
      </c>
      <c r="AN28" s="27" t="n">
        <f aca="false">IF(COUNT('Feijão 2ª safra'!$E26:$Z26)=0,0,MAX(0,IF((AN$6-$E$3)&lt;1,0,IFERROR(LOOKUP(2,1/('Feijão 2ª safra'!$E26:INDEX('Feijão 2ª safra'!$E26:$Z26,MIN(AN$6-$E$3,22))&lt;&gt;""),'Feijão 2ª safra'!$E26:INDEX('Feijão 2ª safra'!$E26:$Z26,MIN(AN$6-$E$3,22))),0))-IF($G$2,0,IF((AN$6-$G$3)&lt;1,0,IFERROR(LOOKUP(2,1/('Feijão 2ª safra'!$E26:INDEX('Feijão 2ª safra'!$E26:$Z26,MIN(AN$6-$G$3,22))&lt;&gt;""),'Feijão 2ª safra'!$E26:INDEX('Feijão 2ª safra'!$E26:$Z26,MIN(AN$6-$G$3,22))),0)))))</f>
        <v>0</v>
      </c>
      <c r="AO28" s="27" t="n">
        <f aca="false">IF(COUNT('Feijão 2ª safra'!$E26:$Z26)=0,0,MAX(0,IF((AO$6-$E$3)&lt;1,0,IFERROR(LOOKUP(2,1/('Feijão 2ª safra'!$E26:INDEX('Feijão 2ª safra'!$E26:$Z26,MIN(AO$6-$E$3,22))&lt;&gt;""),'Feijão 2ª safra'!$E26:INDEX('Feijão 2ª safra'!$E26:$Z26,MIN(AO$6-$E$3,22))),0))-IF($G$2,0,IF((AO$6-$G$3)&lt;1,0,IFERROR(LOOKUP(2,1/('Feijão 2ª safra'!$E26:INDEX('Feijão 2ª safra'!$E26:$Z26,MIN(AO$6-$G$3,22))&lt;&gt;""),'Feijão 2ª safra'!$E26:INDEX('Feijão 2ª safra'!$E26:$Z26,MIN(AO$6-$G$3,22))),0)))))</f>
        <v>0</v>
      </c>
      <c r="AP28" s="27" t="n">
        <f aca="false">IF(COUNT('Feijão 2ª safra'!$E26:$Z26)=0,0,MAX(0,IF((AP$6-$E$3)&lt;1,0,IFERROR(LOOKUP(2,1/('Feijão 2ª safra'!$E26:INDEX('Feijão 2ª safra'!$E26:$Z26,MIN(AP$6-$E$3,22))&lt;&gt;""),'Feijão 2ª safra'!$E26:INDEX('Feijão 2ª safra'!$E26:$Z26,MIN(AP$6-$E$3,22))),0))-IF($G$2,0,IF((AP$6-$G$3)&lt;1,0,IFERROR(LOOKUP(2,1/('Feijão 2ª safra'!$E26:INDEX('Feijão 2ª safra'!$E26:$Z26,MIN(AP$6-$G$3,22))&lt;&gt;""),'Feijão 2ª safra'!$E26:INDEX('Feijão 2ª safra'!$E26:$Z26,MIN(AP$6-$G$3,22))),0)))))</f>
        <v>0</v>
      </c>
      <c r="AQ28" s="27" t="n">
        <f aca="false">IF(COUNT('Feijão 2ª safra'!$E26:$Z26)=0,0,MAX(0,IF((AQ$6-$E$3)&lt;1,0,IFERROR(LOOKUP(2,1/('Feijão 2ª safra'!$E26:INDEX('Feijão 2ª safra'!$E26:$Z26,MIN(AQ$6-$E$3,22))&lt;&gt;""),'Feijão 2ª safra'!$E26:INDEX('Feijão 2ª safra'!$E26:$Z26,MIN(AQ$6-$E$3,22))),0))-IF($G$2,0,IF((AQ$6-$G$3)&lt;1,0,IFERROR(LOOKUP(2,1/('Feijão 2ª safra'!$E26:INDEX('Feijão 2ª safra'!$E26:$Z26,MIN(AQ$6-$G$3,22))&lt;&gt;""),'Feijão 2ª safra'!$E26:INDEX('Feijão 2ª safra'!$E26:$Z26,MIN(AQ$6-$G$3,22))),0)))))</f>
        <v>0</v>
      </c>
      <c r="AR28" s="27" t="n">
        <f aca="false">IF(COUNT('Feijão 2ª safra'!$E26:$Z26)=0,0,MAX(0,IF((AR$6-$E$3)&lt;1,0,IFERROR(LOOKUP(2,1/('Feijão 2ª safra'!$E26:INDEX('Feijão 2ª safra'!$E26:$Z26,MIN(AR$6-$E$3,22))&lt;&gt;""),'Feijão 2ª safra'!$E26:INDEX('Feijão 2ª safra'!$E26:$Z26,MIN(AR$6-$E$3,22))),0))-IF($G$2,0,IF((AR$6-$G$3)&lt;1,0,IFERROR(LOOKUP(2,1/('Feijão 2ª safra'!$E26:INDEX('Feijão 2ª safra'!$E26:$Z26,MIN(AR$6-$G$3,22))&lt;&gt;""),'Feijão 2ª safra'!$E26:INDEX('Feijão 2ª safra'!$E26:$Z26,MIN(AR$6-$G$3,22))),0)))))</f>
        <v>0</v>
      </c>
      <c r="AS28" s="27" t="n">
        <f aca="false">IF(COUNT('Feijão 2ª safra'!$E26:$Z26)=0,0,MAX(0,IF((AS$6-$E$3)&lt;1,0,IFERROR(LOOKUP(2,1/('Feijão 2ª safra'!$E26:INDEX('Feijão 2ª safra'!$E26:$Z26,MIN(AS$6-$E$3,22))&lt;&gt;""),'Feijão 2ª safra'!$E26:INDEX('Feijão 2ª safra'!$E26:$Z26,MIN(AS$6-$E$3,22))),0))-IF($G$2,0,IF((AS$6-$G$3)&lt;1,0,IFERROR(LOOKUP(2,1/('Feijão 2ª safra'!$E26:INDEX('Feijão 2ª safra'!$E26:$Z26,MIN(AS$6-$G$3,22))&lt;&gt;""),'Feijão 2ª safra'!$E26:INDEX('Feijão 2ª safra'!$E26:$Z26,MIN(AS$6-$G$3,22))),0)))))</f>
        <v>0</v>
      </c>
      <c r="AT28" s="27" t="n">
        <f aca="false">IF(COUNT('Feijão 2ª safra'!$E26:$Z26)=0,0,MAX(0,IF((AT$6-$E$3)&lt;1,0,IFERROR(LOOKUP(2,1/('Feijão 2ª safra'!$E26:INDEX('Feijão 2ª safra'!$E26:$Z26,MIN(AT$6-$E$3,22))&lt;&gt;""),'Feijão 2ª safra'!$E26:INDEX('Feijão 2ª safra'!$E26:$Z26,MIN(AT$6-$E$3,22))),0))-IF($G$2,0,IF((AT$6-$G$3)&lt;1,0,IFERROR(LOOKUP(2,1/('Feijão 2ª safra'!$E26:INDEX('Feijão 2ª safra'!$E26:$Z26,MIN(AT$6-$G$3,22))&lt;&gt;""),'Feijão 2ª safra'!$E26:INDEX('Feijão 2ª safra'!$E26:$Z26,MIN(AT$6-$G$3,22))),0)))))</f>
        <v>0</v>
      </c>
      <c r="AU28" s="27" t="n">
        <f aca="false">IF(COUNT('Feijão 2ª safra'!$E26:$Z26)=0,0,MAX(0,IF((AU$6-$E$3)&lt;1,0,IFERROR(LOOKUP(2,1/('Feijão 2ª safra'!$E26:INDEX('Feijão 2ª safra'!$E26:$Z26,MIN(AU$6-$E$3,22))&lt;&gt;""),'Feijão 2ª safra'!$E26:INDEX('Feijão 2ª safra'!$E26:$Z26,MIN(AU$6-$E$3,22))),0))-IF($G$2,0,IF((AU$6-$G$3)&lt;1,0,IFERROR(LOOKUP(2,1/('Feijão 2ª safra'!$E26:INDEX('Feijão 2ª safra'!$E26:$Z26,MIN(AU$6-$G$3,22))&lt;&gt;""),'Feijão 2ª safra'!$E26:INDEX('Feijão 2ª safra'!$E26:$Z26,MIN(AU$6-$G$3,22))),0)))))</f>
        <v>0</v>
      </c>
      <c r="AV28" s="27" t="n">
        <f aca="false">IF(COUNT('Feijão 2ª safra'!$E26:$Z26)=0,0,MAX(0,IF((AV$6-$E$3)&lt;1,0,IFERROR(LOOKUP(2,1/('Feijão 2ª safra'!$E26:INDEX('Feijão 2ª safra'!$E26:$Z26,MIN(AV$6-$E$3,22))&lt;&gt;""),'Feijão 2ª safra'!$E26:INDEX('Feijão 2ª safra'!$E26:$Z26,MIN(AV$6-$E$3,22))),0))-IF($G$2,0,IF((AV$6-$G$3)&lt;1,0,IFERROR(LOOKUP(2,1/('Feijão 2ª safra'!$E26:INDEX('Feijão 2ª safra'!$E26:$Z26,MIN(AV$6-$G$3,22))&lt;&gt;""),'Feijão 2ª safra'!$E26:INDEX('Feijão 2ª safra'!$E26:$Z26,MIN(AV$6-$G$3,22))),0)))))</f>
        <v>0</v>
      </c>
      <c r="AW28" s="27" t="n">
        <f aca="false">IF(COUNT('Feijão 2ª safra'!$E26:$Z26)=0,0,MAX(0,IF((AW$6-$E$3)&lt;1,0,IFERROR(LOOKUP(2,1/('Feijão 2ª safra'!$E26:INDEX('Feijão 2ª safra'!$E26:$Z26,MIN(AW$6-$E$3,22))&lt;&gt;""),'Feijão 2ª safra'!$E26:INDEX('Feijão 2ª safra'!$E26:$Z26,MIN(AW$6-$E$3,22))),0))-IF($G$2,0,IF((AW$6-$G$3)&lt;1,0,IFERROR(LOOKUP(2,1/('Feijão 2ª safra'!$E26:INDEX('Feijão 2ª safra'!$E26:$Z26,MIN(AW$6-$G$3,22))&lt;&gt;""),'Feijão 2ª safra'!$E26:INDEX('Feijão 2ª safra'!$E26:$Z26,MIN(AW$6-$G$3,22))),0)))))</f>
        <v>0</v>
      </c>
      <c r="AX28" s="27" t="n">
        <f aca="false">IF(COUNT('Feijão 2ª safra'!$E26:$Z26)=0,0,MAX(0,IF((AX$6-$E$3)&lt;1,0,IFERROR(LOOKUP(2,1/('Feijão 2ª safra'!$E26:INDEX('Feijão 2ª safra'!$E26:$Z26,MIN(AX$6-$E$3,22))&lt;&gt;""),'Feijão 2ª safra'!$E26:INDEX('Feijão 2ª safra'!$E26:$Z26,MIN(AX$6-$E$3,22))),0))-IF($G$2,0,IF((AX$6-$G$3)&lt;1,0,IFERROR(LOOKUP(2,1/('Feijão 2ª safra'!$E26:INDEX('Feijão 2ª safra'!$E26:$Z26,MIN(AX$6-$G$3,22))&lt;&gt;""),'Feijão 2ª safra'!$E26:INDEX('Feijão 2ª safra'!$E26:$Z26,MIN(AX$6-$G$3,22))),0)))))</f>
        <v>0</v>
      </c>
      <c r="AY28" s="27" t="n">
        <f aca="false">IF(COUNT('Feijão 2ª safra'!$E26:$Z26)=0,0,MAX(0,IF((AY$6-$E$3)&lt;1,0,IFERROR(LOOKUP(2,1/('Feijão 2ª safra'!$E26:INDEX('Feijão 2ª safra'!$E26:$Z26,MIN(AY$6-$E$3,22))&lt;&gt;""),'Feijão 2ª safra'!$E26:INDEX('Feijão 2ª safra'!$E26:$Z26,MIN(AY$6-$E$3,22))),0))-IF($G$2,0,IF((AY$6-$G$3)&lt;1,0,IFERROR(LOOKUP(2,1/('Feijão 2ª safra'!$E26:INDEX('Feijão 2ª safra'!$E26:$Z26,MIN(AY$6-$G$3,22))&lt;&gt;""),'Feijão 2ª safra'!$E26:INDEX('Feijão 2ª safra'!$E26:$Z26,MIN(AY$6-$G$3,22))),0)))))</f>
        <v>0</v>
      </c>
      <c r="AZ28" s="27" t="n">
        <f aca="false">IF(COUNT('Feijão 2ª safra'!$E26:$Z26)=0,0,MAX(0,IF((AZ$6-$E$3)&lt;1,0,IFERROR(LOOKUP(2,1/('Feijão 2ª safra'!$E26:INDEX('Feijão 2ª safra'!$E26:$Z26,MIN(AZ$6-$E$3,22))&lt;&gt;""),'Feijão 2ª safra'!$E26:INDEX('Feijão 2ª safra'!$E26:$Z26,MIN(AZ$6-$E$3,22))),0))-IF($G$2,0,IF((AZ$6-$G$3)&lt;1,0,IFERROR(LOOKUP(2,1/('Feijão 2ª safra'!$E26:INDEX('Feijão 2ª safra'!$E26:$Z26,MIN(AZ$6-$G$3,22))&lt;&gt;""),'Feijão 2ª safra'!$E26:INDEX('Feijão 2ª safra'!$E26:$Z26,MIN(AZ$6-$G$3,22))),0)))))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IF(COUNT('Feijão 2ª safra'!$E27:$Z27)&gt;0,N('Feijão 2ª safra'!$D27),0)</f>
        <v>0</v>
      </c>
      <c r="E29" s="27" t="n">
        <f aca="false">IF(COUNT('Feijão 2ª safra'!$E27:$Z27)=0,0,MAX(0,IF((E$6-$E$3)&lt;1,0,IFERROR(LOOKUP(2,1/('Feijão 2ª safra'!$E27:INDEX('Feijão 2ª safra'!$E27:$Z27,MIN(E$6-$E$3,22))&lt;&gt;""),'Feijão 2ª safra'!$E27:INDEX('Feijão 2ª safra'!$E27:$Z27,MIN(E$6-$E$3,22))),0))-IF($G$2,0,IF((E$6-$G$3)&lt;1,0,IFERROR(LOOKUP(2,1/('Feijão 2ª safra'!$E27:INDEX('Feijão 2ª safra'!$E27:$Z27,MIN(E$6-$G$3,22))&lt;&gt;""),'Feijão 2ª safra'!$E27:INDEX('Feijão 2ª safra'!$E27:$Z27,MIN(E$6-$G$3,22))),0)))))</f>
        <v>0</v>
      </c>
      <c r="F29" s="27" t="n">
        <f aca="false">IF(COUNT('Feijão 2ª safra'!$E27:$Z27)=0,0,MAX(0,IF((F$6-$E$3)&lt;1,0,IFERROR(LOOKUP(2,1/('Feijão 2ª safra'!$E27:INDEX('Feijão 2ª safra'!$E27:$Z27,MIN(F$6-$E$3,22))&lt;&gt;""),'Feijão 2ª safra'!$E27:INDEX('Feijão 2ª safra'!$E27:$Z27,MIN(F$6-$E$3,22))),0))-IF($G$2,0,IF((F$6-$G$3)&lt;1,0,IFERROR(LOOKUP(2,1/('Feijão 2ª safra'!$E27:INDEX('Feijão 2ª safra'!$E27:$Z27,MIN(F$6-$G$3,22))&lt;&gt;""),'Feijão 2ª safra'!$E27:INDEX('Feijão 2ª safra'!$E27:$Z27,MIN(F$6-$G$3,22))),0)))))</f>
        <v>0</v>
      </c>
      <c r="G29" s="27" t="n">
        <f aca="false">IF(COUNT('Feijão 2ª safra'!$E27:$Z27)=0,0,MAX(0,IF((G$6-$E$3)&lt;1,0,IFERROR(LOOKUP(2,1/('Feijão 2ª safra'!$E27:INDEX('Feijão 2ª safra'!$E27:$Z27,MIN(G$6-$E$3,22))&lt;&gt;""),'Feijão 2ª safra'!$E27:INDEX('Feijão 2ª safra'!$E27:$Z27,MIN(G$6-$E$3,22))),0))-IF($G$2,0,IF((G$6-$G$3)&lt;1,0,IFERROR(LOOKUP(2,1/('Feijão 2ª safra'!$E27:INDEX('Feijão 2ª safra'!$E27:$Z27,MIN(G$6-$G$3,22))&lt;&gt;""),'Feijão 2ª safra'!$E27:INDEX('Feijão 2ª safra'!$E27:$Z27,MIN(G$6-$G$3,22))),0)))))</f>
        <v>0</v>
      </c>
      <c r="H29" s="27" t="n">
        <f aca="false">IF(COUNT('Feijão 2ª safra'!$E27:$Z27)=0,0,MAX(0,IF((H$6-$E$3)&lt;1,0,IFERROR(LOOKUP(2,1/('Feijão 2ª safra'!$E27:INDEX('Feijão 2ª safra'!$E27:$Z27,MIN(H$6-$E$3,22))&lt;&gt;""),'Feijão 2ª safra'!$E27:INDEX('Feijão 2ª safra'!$E27:$Z27,MIN(H$6-$E$3,22))),0))-IF($G$2,0,IF((H$6-$G$3)&lt;1,0,IFERROR(LOOKUP(2,1/('Feijão 2ª safra'!$E27:INDEX('Feijão 2ª safra'!$E27:$Z27,MIN(H$6-$G$3,22))&lt;&gt;""),'Feijão 2ª safra'!$E27:INDEX('Feijão 2ª safra'!$E27:$Z27,MIN(H$6-$G$3,22))),0)))))</f>
        <v>0</v>
      </c>
      <c r="I29" s="27" t="n">
        <f aca="false">IF(COUNT('Feijão 2ª safra'!$E27:$Z27)=0,0,MAX(0,IF((I$6-$E$3)&lt;1,0,IFERROR(LOOKUP(2,1/('Feijão 2ª safra'!$E27:INDEX('Feijão 2ª safra'!$E27:$Z27,MIN(I$6-$E$3,22))&lt;&gt;""),'Feijão 2ª safra'!$E27:INDEX('Feijão 2ª safra'!$E27:$Z27,MIN(I$6-$E$3,22))),0))-IF($G$2,0,IF((I$6-$G$3)&lt;1,0,IFERROR(LOOKUP(2,1/('Feijão 2ª safra'!$E27:INDEX('Feijão 2ª safra'!$E27:$Z27,MIN(I$6-$G$3,22))&lt;&gt;""),'Feijão 2ª safra'!$E27:INDEX('Feijão 2ª safra'!$E27:$Z27,MIN(I$6-$G$3,22))),0)))))</f>
        <v>0</v>
      </c>
      <c r="J29" s="27" t="n">
        <f aca="false">IF(COUNT('Feijão 2ª safra'!$E27:$Z27)=0,0,MAX(0,IF((J$6-$E$3)&lt;1,0,IFERROR(LOOKUP(2,1/('Feijão 2ª safra'!$E27:INDEX('Feijão 2ª safra'!$E27:$Z27,MIN(J$6-$E$3,22))&lt;&gt;""),'Feijão 2ª safra'!$E27:INDEX('Feijão 2ª safra'!$E27:$Z27,MIN(J$6-$E$3,22))),0))-IF($G$2,0,IF((J$6-$G$3)&lt;1,0,IFERROR(LOOKUP(2,1/('Feijão 2ª safra'!$E27:INDEX('Feijão 2ª safra'!$E27:$Z27,MIN(J$6-$G$3,22))&lt;&gt;""),'Feijão 2ª safra'!$E27:INDEX('Feijão 2ª safra'!$E27:$Z27,MIN(J$6-$G$3,22))),0)))))</f>
        <v>0</v>
      </c>
      <c r="K29" s="27" t="n">
        <f aca="false">IF(COUNT('Feijão 2ª safra'!$E27:$Z27)=0,0,MAX(0,IF((K$6-$E$3)&lt;1,0,IFERROR(LOOKUP(2,1/('Feijão 2ª safra'!$E27:INDEX('Feijão 2ª safra'!$E27:$Z27,MIN(K$6-$E$3,22))&lt;&gt;""),'Feijão 2ª safra'!$E27:INDEX('Feijão 2ª safra'!$E27:$Z27,MIN(K$6-$E$3,22))),0))-IF($G$2,0,IF((K$6-$G$3)&lt;1,0,IFERROR(LOOKUP(2,1/('Feijão 2ª safra'!$E27:INDEX('Feijão 2ª safra'!$E27:$Z27,MIN(K$6-$G$3,22))&lt;&gt;""),'Feijão 2ª safra'!$E27:INDEX('Feijão 2ª safra'!$E27:$Z27,MIN(K$6-$G$3,22))),0)))))</f>
        <v>0</v>
      </c>
      <c r="L29" s="27" t="n">
        <f aca="false">IF(COUNT('Feijão 2ª safra'!$E27:$Z27)=0,0,MAX(0,IF((L$6-$E$3)&lt;1,0,IFERROR(LOOKUP(2,1/('Feijão 2ª safra'!$E27:INDEX('Feijão 2ª safra'!$E27:$Z27,MIN(L$6-$E$3,22))&lt;&gt;""),'Feijão 2ª safra'!$E27:INDEX('Feijão 2ª safra'!$E27:$Z27,MIN(L$6-$E$3,22))),0))-IF($G$2,0,IF((L$6-$G$3)&lt;1,0,IFERROR(LOOKUP(2,1/('Feijão 2ª safra'!$E27:INDEX('Feijão 2ª safra'!$E27:$Z27,MIN(L$6-$G$3,22))&lt;&gt;""),'Feijão 2ª safra'!$E27:INDEX('Feijão 2ª safra'!$E27:$Z27,MIN(L$6-$G$3,22))),0)))))</f>
        <v>0</v>
      </c>
      <c r="M29" s="27" t="n">
        <f aca="false">IF(COUNT('Feijão 2ª safra'!$E27:$Z27)=0,0,MAX(0,IF((M$6-$E$3)&lt;1,0,IFERROR(LOOKUP(2,1/('Feijão 2ª safra'!$E27:INDEX('Feijão 2ª safra'!$E27:$Z27,MIN(M$6-$E$3,22))&lt;&gt;""),'Feijão 2ª safra'!$E27:INDEX('Feijão 2ª safra'!$E27:$Z27,MIN(M$6-$E$3,22))),0))-IF($G$2,0,IF((M$6-$G$3)&lt;1,0,IFERROR(LOOKUP(2,1/('Feijão 2ª safra'!$E27:INDEX('Feijão 2ª safra'!$E27:$Z27,MIN(M$6-$G$3,22))&lt;&gt;""),'Feijão 2ª safra'!$E27:INDEX('Feijão 2ª safra'!$E27:$Z27,MIN(M$6-$G$3,22))),0)))))</f>
        <v>0</v>
      </c>
      <c r="N29" s="27" t="n">
        <f aca="false">IF(COUNT('Feijão 2ª safra'!$E27:$Z27)=0,0,MAX(0,IF((N$6-$E$3)&lt;1,0,IFERROR(LOOKUP(2,1/('Feijão 2ª safra'!$E27:INDEX('Feijão 2ª safra'!$E27:$Z27,MIN(N$6-$E$3,22))&lt;&gt;""),'Feijão 2ª safra'!$E27:INDEX('Feijão 2ª safra'!$E27:$Z27,MIN(N$6-$E$3,22))),0))-IF($G$2,0,IF((N$6-$G$3)&lt;1,0,IFERROR(LOOKUP(2,1/('Feijão 2ª safra'!$E27:INDEX('Feijão 2ª safra'!$E27:$Z27,MIN(N$6-$G$3,22))&lt;&gt;""),'Feijão 2ª safra'!$E27:INDEX('Feijão 2ª safra'!$E27:$Z27,MIN(N$6-$G$3,22))),0)))))</f>
        <v>0</v>
      </c>
      <c r="O29" s="27" t="n">
        <f aca="false">IF(COUNT('Feijão 2ª safra'!$E27:$Z27)=0,0,MAX(0,IF((O$6-$E$3)&lt;1,0,IFERROR(LOOKUP(2,1/('Feijão 2ª safra'!$E27:INDEX('Feijão 2ª safra'!$E27:$Z27,MIN(O$6-$E$3,22))&lt;&gt;""),'Feijão 2ª safra'!$E27:INDEX('Feijão 2ª safra'!$E27:$Z27,MIN(O$6-$E$3,22))),0))-IF($G$2,0,IF((O$6-$G$3)&lt;1,0,IFERROR(LOOKUP(2,1/('Feijão 2ª safra'!$E27:INDEX('Feijão 2ª safra'!$E27:$Z27,MIN(O$6-$G$3,22))&lt;&gt;""),'Feijão 2ª safra'!$E27:INDEX('Feijão 2ª safra'!$E27:$Z27,MIN(O$6-$G$3,22))),0)))))</f>
        <v>0</v>
      </c>
      <c r="P29" s="27" t="n">
        <f aca="false">IF(COUNT('Feijão 2ª safra'!$E27:$Z27)=0,0,MAX(0,IF((P$6-$E$3)&lt;1,0,IFERROR(LOOKUP(2,1/('Feijão 2ª safra'!$E27:INDEX('Feijão 2ª safra'!$E27:$Z27,MIN(P$6-$E$3,22))&lt;&gt;""),'Feijão 2ª safra'!$E27:INDEX('Feijão 2ª safra'!$E27:$Z27,MIN(P$6-$E$3,22))),0))-IF($G$2,0,IF((P$6-$G$3)&lt;1,0,IFERROR(LOOKUP(2,1/('Feijão 2ª safra'!$E27:INDEX('Feijão 2ª safra'!$E27:$Z27,MIN(P$6-$G$3,22))&lt;&gt;""),'Feijão 2ª safra'!$E27:INDEX('Feijão 2ª safra'!$E27:$Z27,MIN(P$6-$G$3,22))),0)))))</f>
        <v>0</v>
      </c>
      <c r="Q29" s="27" t="n">
        <f aca="false">IF(COUNT('Feijão 2ª safra'!$E27:$Z27)=0,0,MAX(0,IF((Q$6-$E$3)&lt;1,0,IFERROR(LOOKUP(2,1/('Feijão 2ª safra'!$E27:INDEX('Feijão 2ª safra'!$E27:$Z27,MIN(Q$6-$E$3,22))&lt;&gt;""),'Feijão 2ª safra'!$E27:INDEX('Feijão 2ª safra'!$E27:$Z27,MIN(Q$6-$E$3,22))),0))-IF($G$2,0,IF((Q$6-$G$3)&lt;1,0,IFERROR(LOOKUP(2,1/('Feijão 2ª safra'!$E27:INDEX('Feijão 2ª safra'!$E27:$Z27,MIN(Q$6-$G$3,22))&lt;&gt;""),'Feijão 2ª safra'!$E27:INDEX('Feijão 2ª safra'!$E27:$Z27,MIN(Q$6-$G$3,22))),0)))))</f>
        <v>0</v>
      </c>
      <c r="R29" s="27" t="n">
        <f aca="false">IF(COUNT('Feijão 2ª safra'!$E27:$Z27)=0,0,MAX(0,IF((R$6-$E$3)&lt;1,0,IFERROR(LOOKUP(2,1/('Feijão 2ª safra'!$E27:INDEX('Feijão 2ª safra'!$E27:$Z27,MIN(R$6-$E$3,22))&lt;&gt;""),'Feijão 2ª safra'!$E27:INDEX('Feijão 2ª safra'!$E27:$Z27,MIN(R$6-$E$3,22))),0))-IF($G$2,0,IF((R$6-$G$3)&lt;1,0,IFERROR(LOOKUP(2,1/('Feijão 2ª safra'!$E27:INDEX('Feijão 2ª safra'!$E27:$Z27,MIN(R$6-$G$3,22))&lt;&gt;""),'Feijão 2ª safra'!$E27:INDEX('Feijão 2ª safra'!$E27:$Z27,MIN(R$6-$G$3,22))),0)))))</f>
        <v>0</v>
      </c>
      <c r="S29" s="27" t="n">
        <f aca="false">IF(COUNT('Feijão 2ª safra'!$E27:$Z27)=0,0,MAX(0,IF((S$6-$E$3)&lt;1,0,IFERROR(LOOKUP(2,1/('Feijão 2ª safra'!$E27:INDEX('Feijão 2ª safra'!$E27:$Z27,MIN(S$6-$E$3,22))&lt;&gt;""),'Feijão 2ª safra'!$E27:INDEX('Feijão 2ª safra'!$E27:$Z27,MIN(S$6-$E$3,22))),0))-IF($G$2,0,IF((S$6-$G$3)&lt;1,0,IFERROR(LOOKUP(2,1/('Feijão 2ª safra'!$E27:INDEX('Feijão 2ª safra'!$E27:$Z27,MIN(S$6-$G$3,22))&lt;&gt;""),'Feijão 2ª safra'!$E27:INDEX('Feijão 2ª safra'!$E27:$Z27,MIN(S$6-$G$3,22))),0)))))</f>
        <v>0</v>
      </c>
      <c r="T29" s="27" t="n">
        <f aca="false">IF(COUNT('Feijão 2ª safra'!$E27:$Z27)=0,0,MAX(0,IF((T$6-$E$3)&lt;1,0,IFERROR(LOOKUP(2,1/('Feijão 2ª safra'!$E27:INDEX('Feijão 2ª safra'!$E27:$Z27,MIN(T$6-$E$3,22))&lt;&gt;""),'Feijão 2ª safra'!$E27:INDEX('Feijão 2ª safra'!$E27:$Z27,MIN(T$6-$E$3,22))),0))-IF($G$2,0,IF((T$6-$G$3)&lt;1,0,IFERROR(LOOKUP(2,1/('Feijão 2ª safra'!$E27:INDEX('Feijão 2ª safra'!$E27:$Z27,MIN(T$6-$G$3,22))&lt;&gt;""),'Feijão 2ª safra'!$E27:INDEX('Feijão 2ª safra'!$E27:$Z27,MIN(T$6-$G$3,22))),0)))))</f>
        <v>0</v>
      </c>
      <c r="U29" s="27" t="n">
        <f aca="false">IF(COUNT('Feijão 2ª safra'!$E27:$Z27)=0,0,MAX(0,IF((U$6-$E$3)&lt;1,0,IFERROR(LOOKUP(2,1/('Feijão 2ª safra'!$E27:INDEX('Feijão 2ª safra'!$E27:$Z27,MIN(U$6-$E$3,22))&lt;&gt;""),'Feijão 2ª safra'!$E27:INDEX('Feijão 2ª safra'!$E27:$Z27,MIN(U$6-$E$3,22))),0))-IF($G$2,0,IF((U$6-$G$3)&lt;1,0,IFERROR(LOOKUP(2,1/('Feijão 2ª safra'!$E27:INDEX('Feijão 2ª safra'!$E27:$Z27,MIN(U$6-$G$3,22))&lt;&gt;""),'Feijão 2ª safra'!$E27:INDEX('Feijão 2ª safra'!$E27:$Z27,MIN(U$6-$G$3,22))),0)))))</f>
        <v>0</v>
      </c>
      <c r="V29" s="27" t="n">
        <f aca="false">IF(COUNT('Feijão 2ª safra'!$E27:$Z27)=0,0,MAX(0,IF((V$6-$E$3)&lt;1,0,IFERROR(LOOKUP(2,1/('Feijão 2ª safra'!$E27:INDEX('Feijão 2ª safra'!$E27:$Z27,MIN(V$6-$E$3,22))&lt;&gt;""),'Feijão 2ª safra'!$E27:INDEX('Feijão 2ª safra'!$E27:$Z27,MIN(V$6-$E$3,22))),0))-IF($G$2,0,IF((V$6-$G$3)&lt;1,0,IFERROR(LOOKUP(2,1/('Feijão 2ª safra'!$E27:INDEX('Feijão 2ª safra'!$E27:$Z27,MIN(V$6-$G$3,22))&lt;&gt;""),'Feijão 2ª safra'!$E27:INDEX('Feijão 2ª safra'!$E27:$Z27,MIN(V$6-$G$3,22))),0)))))</f>
        <v>0</v>
      </c>
      <c r="W29" s="27" t="n">
        <f aca="false">IF(COUNT('Feijão 2ª safra'!$E27:$Z27)=0,0,MAX(0,IF((W$6-$E$3)&lt;1,0,IFERROR(LOOKUP(2,1/('Feijão 2ª safra'!$E27:INDEX('Feijão 2ª safra'!$E27:$Z27,MIN(W$6-$E$3,22))&lt;&gt;""),'Feijão 2ª safra'!$E27:INDEX('Feijão 2ª safra'!$E27:$Z27,MIN(W$6-$E$3,22))),0))-IF($G$2,0,IF((W$6-$G$3)&lt;1,0,IFERROR(LOOKUP(2,1/('Feijão 2ª safra'!$E27:INDEX('Feijão 2ª safra'!$E27:$Z27,MIN(W$6-$G$3,22))&lt;&gt;""),'Feijão 2ª safra'!$E27:INDEX('Feijão 2ª safra'!$E27:$Z27,MIN(W$6-$G$3,22))),0)))))</f>
        <v>0</v>
      </c>
      <c r="X29" s="27" t="n">
        <f aca="false">IF(COUNT('Feijão 2ª safra'!$E27:$Z27)=0,0,MAX(0,IF((X$6-$E$3)&lt;1,0,IFERROR(LOOKUP(2,1/('Feijão 2ª safra'!$E27:INDEX('Feijão 2ª safra'!$E27:$Z27,MIN(X$6-$E$3,22))&lt;&gt;""),'Feijão 2ª safra'!$E27:INDEX('Feijão 2ª safra'!$E27:$Z27,MIN(X$6-$E$3,22))),0))-IF($G$2,0,IF((X$6-$G$3)&lt;1,0,IFERROR(LOOKUP(2,1/('Feijão 2ª safra'!$E27:INDEX('Feijão 2ª safra'!$E27:$Z27,MIN(X$6-$G$3,22))&lt;&gt;""),'Feijão 2ª safra'!$E27:INDEX('Feijão 2ª safra'!$E27:$Z27,MIN(X$6-$G$3,22))),0)))))</f>
        <v>0</v>
      </c>
      <c r="Y29" s="27" t="n">
        <f aca="false">IF(COUNT('Feijão 2ª safra'!$E27:$Z27)=0,0,MAX(0,IF((Y$6-$E$3)&lt;1,0,IFERROR(LOOKUP(2,1/('Feijão 2ª safra'!$E27:INDEX('Feijão 2ª safra'!$E27:$Z27,MIN(Y$6-$E$3,22))&lt;&gt;""),'Feijão 2ª safra'!$E27:INDEX('Feijão 2ª safra'!$E27:$Z27,MIN(Y$6-$E$3,22))),0))-IF($G$2,0,IF((Y$6-$G$3)&lt;1,0,IFERROR(LOOKUP(2,1/('Feijão 2ª safra'!$E27:INDEX('Feijão 2ª safra'!$E27:$Z27,MIN(Y$6-$G$3,22))&lt;&gt;""),'Feijão 2ª safra'!$E27:INDEX('Feijão 2ª safra'!$E27:$Z27,MIN(Y$6-$G$3,22))),0)))))</f>
        <v>0</v>
      </c>
      <c r="Z29" s="27" t="n">
        <f aca="false">IF(COUNT('Feijão 2ª safra'!$E27:$Z27)=0,0,MAX(0,IF((Z$6-$E$3)&lt;1,0,IFERROR(LOOKUP(2,1/('Feijão 2ª safra'!$E27:INDEX('Feijão 2ª safra'!$E27:$Z27,MIN(Z$6-$E$3,22))&lt;&gt;""),'Feijão 2ª safra'!$E27:INDEX('Feijão 2ª safra'!$E27:$Z27,MIN(Z$6-$E$3,22))),0))-IF($G$2,0,IF((Z$6-$G$3)&lt;1,0,IFERROR(LOOKUP(2,1/('Feijão 2ª safra'!$E27:INDEX('Feijão 2ª safra'!$E27:$Z27,MIN(Z$6-$G$3,22))&lt;&gt;""),'Feijão 2ª safra'!$E27:INDEX('Feijão 2ª safra'!$E27:$Z27,MIN(Z$6-$G$3,22))),0)))))</f>
        <v>0</v>
      </c>
      <c r="AA29" s="27" t="n">
        <f aca="false">IF(COUNT('Feijão 2ª safra'!$E27:$Z27)=0,0,MAX(0,IF((AA$6-$E$3)&lt;1,0,IFERROR(LOOKUP(2,1/('Feijão 2ª safra'!$E27:INDEX('Feijão 2ª safra'!$E27:$Z27,MIN(AA$6-$E$3,22))&lt;&gt;""),'Feijão 2ª safra'!$E27:INDEX('Feijão 2ª safra'!$E27:$Z27,MIN(AA$6-$E$3,22))),0))-IF($G$2,0,IF((AA$6-$G$3)&lt;1,0,IFERROR(LOOKUP(2,1/('Feijão 2ª safra'!$E27:INDEX('Feijão 2ª safra'!$E27:$Z27,MIN(AA$6-$G$3,22))&lt;&gt;""),'Feijão 2ª safra'!$E27:INDEX('Feijão 2ª safra'!$E27:$Z27,MIN(AA$6-$G$3,22))),0)))))</f>
        <v>0</v>
      </c>
      <c r="AB29" s="27" t="n">
        <f aca="false">IF(COUNT('Feijão 2ª safra'!$E27:$Z27)=0,0,MAX(0,IF((AB$6-$E$3)&lt;1,0,IFERROR(LOOKUP(2,1/('Feijão 2ª safra'!$E27:INDEX('Feijão 2ª safra'!$E27:$Z27,MIN(AB$6-$E$3,22))&lt;&gt;""),'Feijão 2ª safra'!$E27:INDEX('Feijão 2ª safra'!$E27:$Z27,MIN(AB$6-$E$3,22))),0))-IF($G$2,0,IF((AB$6-$G$3)&lt;1,0,IFERROR(LOOKUP(2,1/('Feijão 2ª safra'!$E27:INDEX('Feijão 2ª safra'!$E27:$Z27,MIN(AB$6-$G$3,22))&lt;&gt;""),'Feijão 2ª safra'!$E27:INDEX('Feijão 2ª safra'!$E27:$Z27,MIN(AB$6-$G$3,22))),0)))))</f>
        <v>0</v>
      </c>
      <c r="AC29" s="27" t="n">
        <f aca="false">IF(COUNT('Feijão 2ª safra'!$E27:$Z27)=0,0,MAX(0,IF((AC$6-$E$3)&lt;1,0,IFERROR(LOOKUP(2,1/('Feijão 2ª safra'!$E27:INDEX('Feijão 2ª safra'!$E27:$Z27,MIN(AC$6-$E$3,22))&lt;&gt;""),'Feijão 2ª safra'!$E27:INDEX('Feijão 2ª safra'!$E27:$Z27,MIN(AC$6-$E$3,22))),0))-IF($G$2,0,IF((AC$6-$G$3)&lt;1,0,IFERROR(LOOKUP(2,1/('Feijão 2ª safra'!$E27:INDEX('Feijão 2ª safra'!$E27:$Z27,MIN(AC$6-$G$3,22))&lt;&gt;""),'Feijão 2ª safra'!$E27:INDEX('Feijão 2ª safra'!$E27:$Z27,MIN(AC$6-$G$3,22))),0)))))</f>
        <v>0</v>
      </c>
      <c r="AD29" s="27" t="n">
        <f aca="false">IF(COUNT('Feijão 2ª safra'!$E27:$Z27)=0,0,MAX(0,IF((AD$6-$E$3)&lt;1,0,IFERROR(LOOKUP(2,1/('Feijão 2ª safra'!$E27:INDEX('Feijão 2ª safra'!$E27:$Z27,MIN(AD$6-$E$3,22))&lt;&gt;""),'Feijão 2ª safra'!$E27:INDEX('Feijão 2ª safra'!$E27:$Z27,MIN(AD$6-$E$3,22))),0))-IF($G$2,0,IF((AD$6-$G$3)&lt;1,0,IFERROR(LOOKUP(2,1/('Feijão 2ª safra'!$E27:INDEX('Feijão 2ª safra'!$E27:$Z27,MIN(AD$6-$G$3,22))&lt;&gt;""),'Feijão 2ª safra'!$E27:INDEX('Feijão 2ª safra'!$E27:$Z27,MIN(AD$6-$G$3,22))),0)))))</f>
        <v>0</v>
      </c>
      <c r="AE29" s="27" t="n">
        <f aca="false">IF(COUNT('Feijão 2ª safra'!$E27:$Z27)=0,0,MAX(0,IF((AE$6-$E$3)&lt;1,0,IFERROR(LOOKUP(2,1/('Feijão 2ª safra'!$E27:INDEX('Feijão 2ª safra'!$E27:$Z27,MIN(AE$6-$E$3,22))&lt;&gt;""),'Feijão 2ª safra'!$E27:INDEX('Feijão 2ª safra'!$E27:$Z27,MIN(AE$6-$E$3,22))),0))-IF($G$2,0,IF((AE$6-$G$3)&lt;1,0,IFERROR(LOOKUP(2,1/('Feijão 2ª safra'!$E27:INDEX('Feijão 2ª safra'!$E27:$Z27,MIN(AE$6-$G$3,22))&lt;&gt;""),'Feijão 2ª safra'!$E27:INDEX('Feijão 2ª safra'!$E27:$Z27,MIN(AE$6-$G$3,22))),0)))))</f>
        <v>0</v>
      </c>
      <c r="AF29" s="27" t="n">
        <f aca="false">IF(COUNT('Feijão 2ª safra'!$E27:$Z27)=0,0,MAX(0,IF((AF$6-$E$3)&lt;1,0,IFERROR(LOOKUP(2,1/('Feijão 2ª safra'!$E27:INDEX('Feijão 2ª safra'!$E27:$Z27,MIN(AF$6-$E$3,22))&lt;&gt;""),'Feijão 2ª safra'!$E27:INDEX('Feijão 2ª safra'!$E27:$Z27,MIN(AF$6-$E$3,22))),0))-IF($G$2,0,IF((AF$6-$G$3)&lt;1,0,IFERROR(LOOKUP(2,1/('Feijão 2ª safra'!$E27:INDEX('Feijão 2ª safra'!$E27:$Z27,MIN(AF$6-$G$3,22))&lt;&gt;""),'Feijão 2ª safra'!$E27:INDEX('Feijão 2ª safra'!$E27:$Z27,MIN(AF$6-$G$3,22))),0)))))</f>
        <v>0</v>
      </c>
      <c r="AG29" s="27" t="n">
        <f aca="false">IF(COUNT('Feijão 2ª safra'!$E27:$Z27)=0,0,MAX(0,IF((AG$6-$E$3)&lt;1,0,IFERROR(LOOKUP(2,1/('Feijão 2ª safra'!$E27:INDEX('Feijão 2ª safra'!$E27:$Z27,MIN(AG$6-$E$3,22))&lt;&gt;""),'Feijão 2ª safra'!$E27:INDEX('Feijão 2ª safra'!$E27:$Z27,MIN(AG$6-$E$3,22))),0))-IF($G$2,0,IF((AG$6-$G$3)&lt;1,0,IFERROR(LOOKUP(2,1/('Feijão 2ª safra'!$E27:INDEX('Feijão 2ª safra'!$E27:$Z27,MIN(AG$6-$G$3,22))&lt;&gt;""),'Feijão 2ª safra'!$E27:INDEX('Feijão 2ª safra'!$E27:$Z27,MIN(AG$6-$G$3,22))),0)))))</f>
        <v>0</v>
      </c>
      <c r="AH29" s="27" t="n">
        <f aca="false">IF(COUNT('Feijão 2ª safra'!$E27:$Z27)=0,0,MAX(0,IF((AH$6-$E$3)&lt;1,0,IFERROR(LOOKUP(2,1/('Feijão 2ª safra'!$E27:INDEX('Feijão 2ª safra'!$E27:$Z27,MIN(AH$6-$E$3,22))&lt;&gt;""),'Feijão 2ª safra'!$E27:INDEX('Feijão 2ª safra'!$E27:$Z27,MIN(AH$6-$E$3,22))),0))-IF($G$2,0,IF((AH$6-$G$3)&lt;1,0,IFERROR(LOOKUP(2,1/('Feijão 2ª safra'!$E27:INDEX('Feijão 2ª safra'!$E27:$Z27,MIN(AH$6-$G$3,22))&lt;&gt;""),'Feijão 2ª safra'!$E27:INDEX('Feijão 2ª safra'!$E27:$Z27,MIN(AH$6-$G$3,22))),0)))))</f>
        <v>0</v>
      </c>
      <c r="AI29" s="27" t="n">
        <f aca="false">IF(COUNT('Feijão 2ª safra'!$E27:$Z27)=0,0,MAX(0,IF((AI$6-$E$3)&lt;1,0,IFERROR(LOOKUP(2,1/('Feijão 2ª safra'!$E27:INDEX('Feijão 2ª safra'!$E27:$Z27,MIN(AI$6-$E$3,22))&lt;&gt;""),'Feijão 2ª safra'!$E27:INDEX('Feijão 2ª safra'!$E27:$Z27,MIN(AI$6-$E$3,22))),0))-IF($G$2,0,IF((AI$6-$G$3)&lt;1,0,IFERROR(LOOKUP(2,1/('Feijão 2ª safra'!$E27:INDEX('Feijão 2ª safra'!$E27:$Z27,MIN(AI$6-$G$3,22))&lt;&gt;""),'Feijão 2ª safra'!$E27:INDEX('Feijão 2ª safra'!$E27:$Z27,MIN(AI$6-$G$3,22))),0)))))</f>
        <v>0</v>
      </c>
      <c r="AJ29" s="27" t="n">
        <f aca="false">IF(COUNT('Feijão 2ª safra'!$E27:$Z27)=0,0,MAX(0,IF((AJ$6-$E$3)&lt;1,0,IFERROR(LOOKUP(2,1/('Feijão 2ª safra'!$E27:INDEX('Feijão 2ª safra'!$E27:$Z27,MIN(AJ$6-$E$3,22))&lt;&gt;""),'Feijão 2ª safra'!$E27:INDEX('Feijão 2ª safra'!$E27:$Z27,MIN(AJ$6-$E$3,22))),0))-IF($G$2,0,IF((AJ$6-$G$3)&lt;1,0,IFERROR(LOOKUP(2,1/('Feijão 2ª safra'!$E27:INDEX('Feijão 2ª safra'!$E27:$Z27,MIN(AJ$6-$G$3,22))&lt;&gt;""),'Feijão 2ª safra'!$E27:INDEX('Feijão 2ª safra'!$E27:$Z27,MIN(AJ$6-$G$3,22))),0)))))</f>
        <v>0</v>
      </c>
      <c r="AK29" s="27" t="n">
        <f aca="false">IF(COUNT('Feijão 2ª safra'!$E27:$Z27)=0,0,MAX(0,IF((AK$6-$E$3)&lt;1,0,IFERROR(LOOKUP(2,1/('Feijão 2ª safra'!$E27:INDEX('Feijão 2ª safra'!$E27:$Z27,MIN(AK$6-$E$3,22))&lt;&gt;""),'Feijão 2ª safra'!$E27:INDEX('Feijão 2ª safra'!$E27:$Z27,MIN(AK$6-$E$3,22))),0))-IF($G$2,0,IF((AK$6-$G$3)&lt;1,0,IFERROR(LOOKUP(2,1/('Feijão 2ª safra'!$E27:INDEX('Feijão 2ª safra'!$E27:$Z27,MIN(AK$6-$G$3,22))&lt;&gt;""),'Feijão 2ª safra'!$E27:INDEX('Feijão 2ª safra'!$E27:$Z27,MIN(AK$6-$G$3,22))),0)))))</f>
        <v>0</v>
      </c>
      <c r="AL29" s="27" t="n">
        <f aca="false">IF(COUNT('Feijão 2ª safra'!$E27:$Z27)=0,0,MAX(0,IF((AL$6-$E$3)&lt;1,0,IFERROR(LOOKUP(2,1/('Feijão 2ª safra'!$E27:INDEX('Feijão 2ª safra'!$E27:$Z27,MIN(AL$6-$E$3,22))&lt;&gt;""),'Feijão 2ª safra'!$E27:INDEX('Feijão 2ª safra'!$E27:$Z27,MIN(AL$6-$E$3,22))),0))-IF($G$2,0,IF((AL$6-$G$3)&lt;1,0,IFERROR(LOOKUP(2,1/('Feijão 2ª safra'!$E27:INDEX('Feijão 2ª safra'!$E27:$Z27,MIN(AL$6-$G$3,22))&lt;&gt;""),'Feijão 2ª safra'!$E27:INDEX('Feijão 2ª safra'!$E27:$Z27,MIN(AL$6-$G$3,22))),0)))))</f>
        <v>0</v>
      </c>
      <c r="AM29" s="27" t="n">
        <f aca="false">IF(COUNT('Feijão 2ª safra'!$E27:$Z27)=0,0,MAX(0,IF((AM$6-$E$3)&lt;1,0,IFERROR(LOOKUP(2,1/('Feijão 2ª safra'!$E27:INDEX('Feijão 2ª safra'!$E27:$Z27,MIN(AM$6-$E$3,22))&lt;&gt;""),'Feijão 2ª safra'!$E27:INDEX('Feijão 2ª safra'!$E27:$Z27,MIN(AM$6-$E$3,22))),0))-IF($G$2,0,IF((AM$6-$G$3)&lt;1,0,IFERROR(LOOKUP(2,1/('Feijão 2ª safra'!$E27:INDEX('Feijão 2ª safra'!$E27:$Z27,MIN(AM$6-$G$3,22))&lt;&gt;""),'Feijão 2ª safra'!$E27:INDEX('Feijão 2ª safra'!$E27:$Z27,MIN(AM$6-$G$3,22))),0)))))</f>
        <v>0</v>
      </c>
      <c r="AN29" s="27" t="n">
        <f aca="false">IF(COUNT('Feijão 2ª safra'!$E27:$Z27)=0,0,MAX(0,IF((AN$6-$E$3)&lt;1,0,IFERROR(LOOKUP(2,1/('Feijão 2ª safra'!$E27:INDEX('Feijão 2ª safra'!$E27:$Z27,MIN(AN$6-$E$3,22))&lt;&gt;""),'Feijão 2ª safra'!$E27:INDEX('Feijão 2ª safra'!$E27:$Z27,MIN(AN$6-$E$3,22))),0))-IF($G$2,0,IF((AN$6-$G$3)&lt;1,0,IFERROR(LOOKUP(2,1/('Feijão 2ª safra'!$E27:INDEX('Feijão 2ª safra'!$E27:$Z27,MIN(AN$6-$G$3,22))&lt;&gt;""),'Feijão 2ª safra'!$E27:INDEX('Feijão 2ª safra'!$E27:$Z27,MIN(AN$6-$G$3,22))),0)))))</f>
        <v>0</v>
      </c>
      <c r="AO29" s="27" t="n">
        <f aca="false">IF(COUNT('Feijão 2ª safra'!$E27:$Z27)=0,0,MAX(0,IF((AO$6-$E$3)&lt;1,0,IFERROR(LOOKUP(2,1/('Feijão 2ª safra'!$E27:INDEX('Feijão 2ª safra'!$E27:$Z27,MIN(AO$6-$E$3,22))&lt;&gt;""),'Feijão 2ª safra'!$E27:INDEX('Feijão 2ª safra'!$E27:$Z27,MIN(AO$6-$E$3,22))),0))-IF($G$2,0,IF((AO$6-$G$3)&lt;1,0,IFERROR(LOOKUP(2,1/('Feijão 2ª safra'!$E27:INDEX('Feijão 2ª safra'!$E27:$Z27,MIN(AO$6-$G$3,22))&lt;&gt;""),'Feijão 2ª safra'!$E27:INDEX('Feijão 2ª safra'!$E27:$Z27,MIN(AO$6-$G$3,22))),0)))))</f>
        <v>0</v>
      </c>
      <c r="AP29" s="27" t="n">
        <f aca="false">IF(COUNT('Feijão 2ª safra'!$E27:$Z27)=0,0,MAX(0,IF((AP$6-$E$3)&lt;1,0,IFERROR(LOOKUP(2,1/('Feijão 2ª safra'!$E27:INDEX('Feijão 2ª safra'!$E27:$Z27,MIN(AP$6-$E$3,22))&lt;&gt;""),'Feijão 2ª safra'!$E27:INDEX('Feijão 2ª safra'!$E27:$Z27,MIN(AP$6-$E$3,22))),0))-IF($G$2,0,IF((AP$6-$G$3)&lt;1,0,IFERROR(LOOKUP(2,1/('Feijão 2ª safra'!$E27:INDEX('Feijão 2ª safra'!$E27:$Z27,MIN(AP$6-$G$3,22))&lt;&gt;""),'Feijão 2ª safra'!$E27:INDEX('Feijão 2ª safra'!$E27:$Z27,MIN(AP$6-$G$3,22))),0)))))</f>
        <v>0</v>
      </c>
      <c r="AQ29" s="27" t="n">
        <f aca="false">IF(COUNT('Feijão 2ª safra'!$E27:$Z27)=0,0,MAX(0,IF((AQ$6-$E$3)&lt;1,0,IFERROR(LOOKUP(2,1/('Feijão 2ª safra'!$E27:INDEX('Feijão 2ª safra'!$E27:$Z27,MIN(AQ$6-$E$3,22))&lt;&gt;""),'Feijão 2ª safra'!$E27:INDEX('Feijão 2ª safra'!$E27:$Z27,MIN(AQ$6-$E$3,22))),0))-IF($G$2,0,IF((AQ$6-$G$3)&lt;1,0,IFERROR(LOOKUP(2,1/('Feijão 2ª safra'!$E27:INDEX('Feijão 2ª safra'!$E27:$Z27,MIN(AQ$6-$G$3,22))&lt;&gt;""),'Feijão 2ª safra'!$E27:INDEX('Feijão 2ª safra'!$E27:$Z27,MIN(AQ$6-$G$3,22))),0)))))</f>
        <v>0</v>
      </c>
      <c r="AR29" s="27" t="n">
        <f aca="false">IF(COUNT('Feijão 2ª safra'!$E27:$Z27)=0,0,MAX(0,IF((AR$6-$E$3)&lt;1,0,IFERROR(LOOKUP(2,1/('Feijão 2ª safra'!$E27:INDEX('Feijão 2ª safra'!$E27:$Z27,MIN(AR$6-$E$3,22))&lt;&gt;""),'Feijão 2ª safra'!$E27:INDEX('Feijão 2ª safra'!$E27:$Z27,MIN(AR$6-$E$3,22))),0))-IF($G$2,0,IF((AR$6-$G$3)&lt;1,0,IFERROR(LOOKUP(2,1/('Feijão 2ª safra'!$E27:INDEX('Feijão 2ª safra'!$E27:$Z27,MIN(AR$6-$G$3,22))&lt;&gt;""),'Feijão 2ª safra'!$E27:INDEX('Feijão 2ª safra'!$E27:$Z27,MIN(AR$6-$G$3,22))),0)))))</f>
        <v>0</v>
      </c>
      <c r="AS29" s="27" t="n">
        <f aca="false">IF(COUNT('Feijão 2ª safra'!$E27:$Z27)=0,0,MAX(0,IF((AS$6-$E$3)&lt;1,0,IFERROR(LOOKUP(2,1/('Feijão 2ª safra'!$E27:INDEX('Feijão 2ª safra'!$E27:$Z27,MIN(AS$6-$E$3,22))&lt;&gt;""),'Feijão 2ª safra'!$E27:INDEX('Feijão 2ª safra'!$E27:$Z27,MIN(AS$6-$E$3,22))),0))-IF($G$2,0,IF((AS$6-$G$3)&lt;1,0,IFERROR(LOOKUP(2,1/('Feijão 2ª safra'!$E27:INDEX('Feijão 2ª safra'!$E27:$Z27,MIN(AS$6-$G$3,22))&lt;&gt;""),'Feijão 2ª safra'!$E27:INDEX('Feijão 2ª safra'!$E27:$Z27,MIN(AS$6-$G$3,22))),0)))))</f>
        <v>0</v>
      </c>
      <c r="AT29" s="27" t="n">
        <f aca="false">IF(COUNT('Feijão 2ª safra'!$E27:$Z27)=0,0,MAX(0,IF((AT$6-$E$3)&lt;1,0,IFERROR(LOOKUP(2,1/('Feijão 2ª safra'!$E27:INDEX('Feijão 2ª safra'!$E27:$Z27,MIN(AT$6-$E$3,22))&lt;&gt;""),'Feijão 2ª safra'!$E27:INDEX('Feijão 2ª safra'!$E27:$Z27,MIN(AT$6-$E$3,22))),0))-IF($G$2,0,IF((AT$6-$G$3)&lt;1,0,IFERROR(LOOKUP(2,1/('Feijão 2ª safra'!$E27:INDEX('Feijão 2ª safra'!$E27:$Z27,MIN(AT$6-$G$3,22))&lt;&gt;""),'Feijão 2ª safra'!$E27:INDEX('Feijão 2ª safra'!$E27:$Z27,MIN(AT$6-$G$3,22))),0)))))</f>
        <v>0</v>
      </c>
      <c r="AU29" s="27" t="n">
        <f aca="false">IF(COUNT('Feijão 2ª safra'!$E27:$Z27)=0,0,MAX(0,IF((AU$6-$E$3)&lt;1,0,IFERROR(LOOKUP(2,1/('Feijão 2ª safra'!$E27:INDEX('Feijão 2ª safra'!$E27:$Z27,MIN(AU$6-$E$3,22))&lt;&gt;""),'Feijão 2ª safra'!$E27:INDEX('Feijão 2ª safra'!$E27:$Z27,MIN(AU$6-$E$3,22))),0))-IF($G$2,0,IF((AU$6-$G$3)&lt;1,0,IFERROR(LOOKUP(2,1/('Feijão 2ª safra'!$E27:INDEX('Feijão 2ª safra'!$E27:$Z27,MIN(AU$6-$G$3,22))&lt;&gt;""),'Feijão 2ª safra'!$E27:INDEX('Feijão 2ª safra'!$E27:$Z27,MIN(AU$6-$G$3,22))),0)))))</f>
        <v>0</v>
      </c>
      <c r="AV29" s="27" t="n">
        <f aca="false">IF(COUNT('Feijão 2ª safra'!$E27:$Z27)=0,0,MAX(0,IF((AV$6-$E$3)&lt;1,0,IFERROR(LOOKUP(2,1/('Feijão 2ª safra'!$E27:INDEX('Feijão 2ª safra'!$E27:$Z27,MIN(AV$6-$E$3,22))&lt;&gt;""),'Feijão 2ª safra'!$E27:INDEX('Feijão 2ª safra'!$E27:$Z27,MIN(AV$6-$E$3,22))),0))-IF($G$2,0,IF((AV$6-$G$3)&lt;1,0,IFERROR(LOOKUP(2,1/('Feijão 2ª safra'!$E27:INDEX('Feijão 2ª safra'!$E27:$Z27,MIN(AV$6-$G$3,22))&lt;&gt;""),'Feijão 2ª safra'!$E27:INDEX('Feijão 2ª safra'!$E27:$Z27,MIN(AV$6-$G$3,22))),0)))))</f>
        <v>0</v>
      </c>
      <c r="AW29" s="27" t="n">
        <f aca="false">IF(COUNT('Feijão 2ª safra'!$E27:$Z27)=0,0,MAX(0,IF((AW$6-$E$3)&lt;1,0,IFERROR(LOOKUP(2,1/('Feijão 2ª safra'!$E27:INDEX('Feijão 2ª safra'!$E27:$Z27,MIN(AW$6-$E$3,22))&lt;&gt;""),'Feijão 2ª safra'!$E27:INDEX('Feijão 2ª safra'!$E27:$Z27,MIN(AW$6-$E$3,22))),0))-IF($G$2,0,IF((AW$6-$G$3)&lt;1,0,IFERROR(LOOKUP(2,1/('Feijão 2ª safra'!$E27:INDEX('Feijão 2ª safra'!$E27:$Z27,MIN(AW$6-$G$3,22))&lt;&gt;""),'Feijão 2ª safra'!$E27:INDEX('Feijão 2ª safra'!$E27:$Z27,MIN(AW$6-$G$3,22))),0)))))</f>
        <v>0</v>
      </c>
      <c r="AX29" s="27" t="n">
        <f aca="false">IF(COUNT('Feijão 2ª safra'!$E27:$Z27)=0,0,MAX(0,IF((AX$6-$E$3)&lt;1,0,IFERROR(LOOKUP(2,1/('Feijão 2ª safra'!$E27:INDEX('Feijão 2ª safra'!$E27:$Z27,MIN(AX$6-$E$3,22))&lt;&gt;""),'Feijão 2ª safra'!$E27:INDEX('Feijão 2ª safra'!$E27:$Z27,MIN(AX$6-$E$3,22))),0))-IF($G$2,0,IF((AX$6-$G$3)&lt;1,0,IFERROR(LOOKUP(2,1/('Feijão 2ª safra'!$E27:INDEX('Feijão 2ª safra'!$E27:$Z27,MIN(AX$6-$G$3,22))&lt;&gt;""),'Feijão 2ª safra'!$E27:INDEX('Feijão 2ª safra'!$E27:$Z27,MIN(AX$6-$G$3,22))),0)))))</f>
        <v>0</v>
      </c>
      <c r="AY29" s="27" t="n">
        <f aca="false">IF(COUNT('Feijão 2ª safra'!$E27:$Z27)=0,0,MAX(0,IF((AY$6-$E$3)&lt;1,0,IFERROR(LOOKUP(2,1/('Feijão 2ª safra'!$E27:INDEX('Feijão 2ª safra'!$E27:$Z27,MIN(AY$6-$E$3,22))&lt;&gt;""),'Feijão 2ª safra'!$E27:INDEX('Feijão 2ª safra'!$E27:$Z27,MIN(AY$6-$E$3,22))),0))-IF($G$2,0,IF((AY$6-$G$3)&lt;1,0,IFERROR(LOOKUP(2,1/('Feijão 2ª safra'!$E27:INDEX('Feijão 2ª safra'!$E27:$Z27,MIN(AY$6-$G$3,22))&lt;&gt;""),'Feijão 2ª safra'!$E27:INDEX('Feijão 2ª safra'!$E27:$Z27,MIN(AY$6-$G$3,22))),0)))))</f>
        <v>0</v>
      </c>
      <c r="AZ29" s="27" t="n">
        <f aca="false">IF(COUNT('Feijão 2ª safra'!$E27:$Z27)=0,0,MAX(0,IF((AZ$6-$E$3)&lt;1,0,IFERROR(LOOKUP(2,1/('Feijão 2ª safra'!$E27:INDEX('Feijão 2ª safra'!$E27:$Z27,MIN(AZ$6-$E$3,22))&lt;&gt;""),'Feijão 2ª safra'!$E27:INDEX('Feijão 2ª safra'!$E27:$Z27,MIN(AZ$6-$E$3,22))),0))-IF($G$2,0,IF((AZ$6-$G$3)&lt;1,0,IFERROR(LOOKUP(2,1/('Feijão 2ª safra'!$E27:INDEX('Feijão 2ª safra'!$E27:$Z27,MIN(AZ$6-$G$3,22))&lt;&gt;""),'Feijão 2ª safra'!$E27:INDEX('Feijão 2ª safra'!$E27:$Z27,MIN(AZ$6-$G$3,22))),0)))))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IF(COUNT('Feijão 2ª safra'!$E28:$Z28)&gt;0,N('Feijão 2ª safra'!$D28),0)</f>
        <v>0</v>
      </c>
      <c r="E30" s="27" t="n">
        <f aca="false">IF(COUNT('Feijão 2ª safra'!$E28:$Z28)=0,0,MAX(0,IF((E$6-$E$3)&lt;1,0,IFERROR(LOOKUP(2,1/('Feijão 2ª safra'!$E28:INDEX('Feijão 2ª safra'!$E28:$Z28,MIN(E$6-$E$3,22))&lt;&gt;""),'Feijão 2ª safra'!$E28:INDEX('Feijão 2ª safra'!$E28:$Z28,MIN(E$6-$E$3,22))),0))-IF($G$2,0,IF((E$6-$G$3)&lt;1,0,IFERROR(LOOKUP(2,1/('Feijão 2ª safra'!$E28:INDEX('Feijão 2ª safra'!$E28:$Z28,MIN(E$6-$G$3,22))&lt;&gt;""),'Feijão 2ª safra'!$E28:INDEX('Feijão 2ª safra'!$E28:$Z28,MIN(E$6-$G$3,22))),0)))))</f>
        <v>0</v>
      </c>
      <c r="F30" s="27" t="n">
        <f aca="false">IF(COUNT('Feijão 2ª safra'!$E28:$Z28)=0,0,MAX(0,IF((F$6-$E$3)&lt;1,0,IFERROR(LOOKUP(2,1/('Feijão 2ª safra'!$E28:INDEX('Feijão 2ª safra'!$E28:$Z28,MIN(F$6-$E$3,22))&lt;&gt;""),'Feijão 2ª safra'!$E28:INDEX('Feijão 2ª safra'!$E28:$Z28,MIN(F$6-$E$3,22))),0))-IF($G$2,0,IF((F$6-$G$3)&lt;1,0,IFERROR(LOOKUP(2,1/('Feijão 2ª safra'!$E28:INDEX('Feijão 2ª safra'!$E28:$Z28,MIN(F$6-$G$3,22))&lt;&gt;""),'Feijão 2ª safra'!$E28:INDEX('Feijão 2ª safra'!$E28:$Z28,MIN(F$6-$G$3,22))),0)))))</f>
        <v>0</v>
      </c>
      <c r="G30" s="27" t="n">
        <f aca="false">IF(COUNT('Feijão 2ª safra'!$E28:$Z28)=0,0,MAX(0,IF((G$6-$E$3)&lt;1,0,IFERROR(LOOKUP(2,1/('Feijão 2ª safra'!$E28:INDEX('Feijão 2ª safra'!$E28:$Z28,MIN(G$6-$E$3,22))&lt;&gt;""),'Feijão 2ª safra'!$E28:INDEX('Feijão 2ª safra'!$E28:$Z28,MIN(G$6-$E$3,22))),0))-IF($G$2,0,IF((G$6-$G$3)&lt;1,0,IFERROR(LOOKUP(2,1/('Feijão 2ª safra'!$E28:INDEX('Feijão 2ª safra'!$E28:$Z28,MIN(G$6-$G$3,22))&lt;&gt;""),'Feijão 2ª safra'!$E28:INDEX('Feijão 2ª safra'!$E28:$Z28,MIN(G$6-$G$3,22))),0)))))</f>
        <v>0</v>
      </c>
      <c r="H30" s="27" t="n">
        <f aca="false">IF(COUNT('Feijão 2ª safra'!$E28:$Z28)=0,0,MAX(0,IF((H$6-$E$3)&lt;1,0,IFERROR(LOOKUP(2,1/('Feijão 2ª safra'!$E28:INDEX('Feijão 2ª safra'!$E28:$Z28,MIN(H$6-$E$3,22))&lt;&gt;""),'Feijão 2ª safra'!$E28:INDEX('Feijão 2ª safra'!$E28:$Z28,MIN(H$6-$E$3,22))),0))-IF($G$2,0,IF((H$6-$G$3)&lt;1,0,IFERROR(LOOKUP(2,1/('Feijão 2ª safra'!$E28:INDEX('Feijão 2ª safra'!$E28:$Z28,MIN(H$6-$G$3,22))&lt;&gt;""),'Feijão 2ª safra'!$E28:INDEX('Feijão 2ª safra'!$E28:$Z28,MIN(H$6-$G$3,22))),0)))))</f>
        <v>0</v>
      </c>
      <c r="I30" s="27" t="n">
        <f aca="false">IF(COUNT('Feijão 2ª safra'!$E28:$Z28)=0,0,MAX(0,IF((I$6-$E$3)&lt;1,0,IFERROR(LOOKUP(2,1/('Feijão 2ª safra'!$E28:INDEX('Feijão 2ª safra'!$E28:$Z28,MIN(I$6-$E$3,22))&lt;&gt;""),'Feijão 2ª safra'!$E28:INDEX('Feijão 2ª safra'!$E28:$Z28,MIN(I$6-$E$3,22))),0))-IF($G$2,0,IF((I$6-$G$3)&lt;1,0,IFERROR(LOOKUP(2,1/('Feijão 2ª safra'!$E28:INDEX('Feijão 2ª safra'!$E28:$Z28,MIN(I$6-$G$3,22))&lt;&gt;""),'Feijão 2ª safra'!$E28:INDEX('Feijão 2ª safra'!$E28:$Z28,MIN(I$6-$G$3,22))),0)))))</f>
        <v>0</v>
      </c>
      <c r="J30" s="27" t="n">
        <f aca="false">IF(COUNT('Feijão 2ª safra'!$E28:$Z28)=0,0,MAX(0,IF((J$6-$E$3)&lt;1,0,IFERROR(LOOKUP(2,1/('Feijão 2ª safra'!$E28:INDEX('Feijão 2ª safra'!$E28:$Z28,MIN(J$6-$E$3,22))&lt;&gt;""),'Feijão 2ª safra'!$E28:INDEX('Feijão 2ª safra'!$E28:$Z28,MIN(J$6-$E$3,22))),0))-IF($G$2,0,IF((J$6-$G$3)&lt;1,0,IFERROR(LOOKUP(2,1/('Feijão 2ª safra'!$E28:INDEX('Feijão 2ª safra'!$E28:$Z28,MIN(J$6-$G$3,22))&lt;&gt;""),'Feijão 2ª safra'!$E28:INDEX('Feijão 2ª safra'!$E28:$Z28,MIN(J$6-$G$3,22))),0)))))</f>
        <v>0</v>
      </c>
      <c r="K30" s="27" t="n">
        <f aca="false">IF(COUNT('Feijão 2ª safra'!$E28:$Z28)=0,0,MAX(0,IF((K$6-$E$3)&lt;1,0,IFERROR(LOOKUP(2,1/('Feijão 2ª safra'!$E28:INDEX('Feijão 2ª safra'!$E28:$Z28,MIN(K$6-$E$3,22))&lt;&gt;""),'Feijão 2ª safra'!$E28:INDEX('Feijão 2ª safra'!$E28:$Z28,MIN(K$6-$E$3,22))),0))-IF($G$2,0,IF((K$6-$G$3)&lt;1,0,IFERROR(LOOKUP(2,1/('Feijão 2ª safra'!$E28:INDEX('Feijão 2ª safra'!$E28:$Z28,MIN(K$6-$G$3,22))&lt;&gt;""),'Feijão 2ª safra'!$E28:INDEX('Feijão 2ª safra'!$E28:$Z28,MIN(K$6-$G$3,22))),0)))))</f>
        <v>0</v>
      </c>
      <c r="L30" s="27" t="n">
        <f aca="false">IF(COUNT('Feijão 2ª safra'!$E28:$Z28)=0,0,MAX(0,IF((L$6-$E$3)&lt;1,0,IFERROR(LOOKUP(2,1/('Feijão 2ª safra'!$E28:INDEX('Feijão 2ª safra'!$E28:$Z28,MIN(L$6-$E$3,22))&lt;&gt;""),'Feijão 2ª safra'!$E28:INDEX('Feijão 2ª safra'!$E28:$Z28,MIN(L$6-$E$3,22))),0))-IF($G$2,0,IF((L$6-$G$3)&lt;1,0,IFERROR(LOOKUP(2,1/('Feijão 2ª safra'!$E28:INDEX('Feijão 2ª safra'!$E28:$Z28,MIN(L$6-$G$3,22))&lt;&gt;""),'Feijão 2ª safra'!$E28:INDEX('Feijão 2ª safra'!$E28:$Z28,MIN(L$6-$G$3,22))),0)))))</f>
        <v>0</v>
      </c>
      <c r="M30" s="27" t="n">
        <f aca="false">IF(COUNT('Feijão 2ª safra'!$E28:$Z28)=0,0,MAX(0,IF((M$6-$E$3)&lt;1,0,IFERROR(LOOKUP(2,1/('Feijão 2ª safra'!$E28:INDEX('Feijão 2ª safra'!$E28:$Z28,MIN(M$6-$E$3,22))&lt;&gt;""),'Feijão 2ª safra'!$E28:INDEX('Feijão 2ª safra'!$E28:$Z28,MIN(M$6-$E$3,22))),0))-IF($G$2,0,IF((M$6-$G$3)&lt;1,0,IFERROR(LOOKUP(2,1/('Feijão 2ª safra'!$E28:INDEX('Feijão 2ª safra'!$E28:$Z28,MIN(M$6-$G$3,22))&lt;&gt;""),'Feijão 2ª safra'!$E28:INDEX('Feijão 2ª safra'!$E28:$Z28,MIN(M$6-$G$3,22))),0)))))</f>
        <v>0</v>
      </c>
      <c r="N30" s="27" t="n">
        <f aca="false">IF(COUNT('Feijão 2ª safra'!$E28:$Z28)=0,0,MAX(0,IF((N$6-$E$3)&lt;1,0,IFERROR(LOOKUP(2,1/('Feijão 2ª safra'!$E28:INDEX('Feijão 2ª safra'!$E28:$Z28,MIN(N$6-$E$3,22))&lt;&gt;""),'Feijão 2ª safra'!$E28:INDEX('Feijão 2ª safra'!$E28:$Z28,MIN(N$6-$E$3,22))),0))-IF($G$2,0,IF((N$6-$G$3)&lt;1,0,IFERROR(LOOKUP(2,1/('Feijão 2ª safra'!$E28:INDEX('Feijão 2ª safra'!$E28:$Z28,MIN(N$6-$G$3,22))&lt;&gt;""),'Feijão 2ª safra'!$E28:INDEX('Feijão 2ª safra'!$E28:$Z28,MIN(N$6-$G$3,22))),0)))))</f>
        <v>0</v>
      </c>
      <c r="O30" s="27" t="n">
        <f aca="false">IF(COUNT('Feijão 2ª safra'!$E28:$Z28)=0,0,MAX(0,IF((O$6-$E$3)&lt;1,0,IFERROR(LOOKUP(2,1/('Feijão 2ª safra'!$E28:INDEX('Feijão 2ª safra'!$E28:$Z28,MIN(O$6-$E$3,22))&lt;&gt;""),'Feijão 2ª safra'!$E28:INDEX('Feijão 2ª safra'!$E28:$Z28,MIN(O$6-$E$3,22))),0))-IF($G$2,0,IF((O$6-$G$3)&lt;1,0,IFERROR(LOOKUP(2,1/('Feijão 2ª safra'!$E28:INDEX('Feijão 2ª safra'!$E28:$Z28,MIN(O$6-$G$3,22))&lt;&gt;""),'Feijão 2ª safra'!$E28:INDEX('Feijão 2ª safra'!$E28:$Z28,MIN(O$6-$G$3,22))),0)))))</f>
        <v>0</v>
      </c>
      <c r="P30" s="27" t="n">
        <f aca="false">IF(COUNT('Feijão 2ª safra'!$E28:$Z28)=0,0,MAX(0,IF((P$6-$E$3)&lt;1,0,IFERROR(LOOKUP(2,1/('Feijão 2ª safra'!$E28:INDEX('Feijão 2ª safra'!$E28:$Z28,MIN(P$6-$E$3,22))&lt;&gt;""),'Feijão 2ª safra'!$E28:INDEX('Feijão 2ª safra'!$E28:$Z28,MIN(P$6-$E$3,22))),0))-IF($G$2,0,IF((P$6-$G$3)&lt;1,0,IFERROR(LOOKUP(2,1/('Feijão 2ª safra'!$E28:INDEX('Feijão 2ª safra'!$E28:$Z28,MIN(P$6-$G$3,22))&lt;&gt;""),'Feijão 2ª safra'!$E28:INDEX('Feijão 2ª safra'!$E28:$Z28,MIN(P$6-$G$3,22))),0)))))</f>
        <v>0</v>
      </c>
      <c r="Q30" s="27" t="n">
        <f aca="false">IF(COUNT('Feijão 2ª safra'!$E28:$Z28)=0,0,MAX(0,IF((Q$6-$E$3)&lt;1,0,IFERROR(LOOKUP(2,1/('Feijão 2ª safra'!$E28:INDEX('Feijão 2ª safra'!$E28:$Z28,MIN(Q$6-$E$3,22))&lt;&gt;""),'Feijão 2ª safra'!$E28:INDEX('Feijão 2ª safra'!$E28:$Z28,MIN(Q$6-$E$3,22))),0))-IF($G$2,0,IF((Q$6-$G$3)&lt;1,0,IFERROR(LOOKUP(2,1/('Feijão 2ª safra'!$E28:INDEX('Feijão 2ª safra'!$E28:$Z28,MIN(Q$6-$G$3,22))&lt;&gt;""),'Feijão 2ª safra'!$E28:INDEX('Feijão 2ª safra'!$E28:$Z28,MIN(Q$6-$G$3,22))),0)))))</f>
        <v>0</v>
      </c>
      <c r="R30" s="27" t="n">
        <f aca="false">IF(COUNT('Feijão 2ª safra'!$E28:$Z28)=0,0,MAX(0,IF((R$6-$E$3)&lt;1,0,IFERROR(LOOKUP(2,1/('Feijão 2ª safra'!$E28:INDEX('Feijão 2ª safra'!$E28:$Z28,MIN(R$6-$E$3,22))&lt;&gt;""),'Feijão 2ª safra'!$E28:INDEX('Feijão 2ª safra'!$E28:$Z28,MIN(R$6-$E$3,22))),0))-IF($G$2,0,IF((R$6-$G$3)&lt;1,0,IFERROR(LOOKUP(2,1/('Feijão 2ª safra'!$E28:INDEX('Feijão 2ª safra'!$E28:$Z28,MIN(R$6-$G$3,22))&lt;&gt;""),'Feijão 2ª safra'!$E28:INDEX('Feijão 2ª safra'!$E28:$Z28,MIN(R$6-$G$3,22))),0)))))</f>
        <v>0</v>
      </c>
      <c r="S30" s="27" t="n">
        <f aca="false">IF(COUNT('Feijão 2ª safra'!$E28:$Z28)=0,0,MAX(0,IF((S$6-$E$3)&lt;1,0,IFERROR(LOOKUP(2,1/('Feijão 2ª safra'!$E28:INDEX('Feijão 2ª safra'!$E28:$Z28,MIN(S$6-$E$3,22))&lt;&gt;""),'Feijão 2ª safra'!$E28:INDEX('Feijão 2ª safra'!$E28:$Z28,MIN(S$6-$E$3,22))),0))-IF($G$2,0,IF((S$6-$G$3)&lt;1,0,IFERROR(LOOKUP(2,1/('Feijão 2ª safra'!$E28:INDEX('Feijão 2ª safra'!$E28:$Z28,MIN(S$6-$G$3,22))&lt;&gt;""),'Feijão 2ª safra'!$E28:INDEX('Feijão 2ª safra'!$E28:$Z28,MIN(S$6-$G$3,22))),0)))))</f>
        <v>0</v>
      </c>
      <c r="T30" s="27" t="n">
        <f aca="false">IF(COUNT('Feijão 2ª safra'!$E28:$Z28)=0,0,MAX(0,IF((T$6-$E$3)&lt;1,0,IFERROR(LOOKUP(2,1/('Feijão 2ª safra'!$E28:INDEX('Feijão 2ª safra'!$E28:$Z28,MIN(T$6-$E$3,22))&lt;&gt;""),'Feijão 2ª safra'!$E28:INDEX('Feijão 2ª safra'!$E28:$Z28,MIN(T$6-$E$3,22))),0))-IF($G$2,0,IF((T$6-$G$3)&lt;1,0,IFERROR(LOOKUP(2,1/('Feijão 2ª safra'!$E28:INDEX('Feijão 2ª safra'!$E28:$Z28,MIN(T$6-$G$3,22))&lt;&gt;""),'Feijão 2ª safra'!$E28:INDEX('Feijão 2ª safra'!$E28:$Z28,MIN(T$6-$G$3,22))),0)))))</f>
        <v>0</v>
      </c>
      <c r="U30" s="27" t="n">
        <f aca="false">IF(COUNT('Feijão 2ª safra'!$E28:$Z28)=0,0,MAX(0,IF((U$6-$E$3)&lt;1,0,IFERROR(LOOKUP(2,1/('Feijão 2ª safra'!$E28:INDEX('Feijão 2ª safra'!$E28:$Z28,MIN(U$6-$E$3,22))&lt;&gt;""),'Feijão 2ª safra'!$E28:INDEX('Feijão 2ª safra'!$E28:$Z28,MIN(U$6-$E$3,22))),0))-IF($G$2,0,IF((U$6-$G$3)&lt;1,0,IFERROR(LOOKUP(2,1/('Feijão 2ª safra'!$E28:INDEX('Feijão 2ª safra'!$E28:$Z28,MIN(U$6-$G$3,22))&lt;&gt;""),'Feijão 2ª safra'!$E28:INDEX('Feijão 2ª safra'!$E28:$Z28,MIN(U$6-$G$3,22))),0)))))</f>
        <v>0</v>
      </c>
      <c r="V30" s="27" t="n">
        <f aca="false">IF(COUNT('Feijão 2ª safra'!$E28:$Z28)=0,0,MAX(0,IF((V$6-$E$3)&lt;1,0,IFERROR(LOOKUP(2,1/('Feijão 2ª safra'!$E28:INDEX('Feijão 2ª safra'!$E28:$Z28,MIN(V$6-$E$3,22))&lt;&gt;""),'Feijão 2ª safra'!$E28:INDEX('Feijão 2ª safra'!$E28:$Z28,MIN(V$6-$E$3,22))),0))-IF($G$2,0,IF((V$6-$G$3)&lt;1,0,IFERROR(LOOKUP(2,1/('Feijão 2ª safra'!$E28:INDEX('Feijão 2ª safra'!$E28:$Z28,MIN(V$6-$G$3,22))&lt;&gt;""),'Feijão 2ª safra'!$E28:INDEX('Feijão 2ª safra'!$E28:$Z28,MIN(V$6-$G$3,22))),0)))))</f>
        <v>0</v>
      </c>
      <c r="W30" s="27" t="n">
        <f aca="false">IF(COUNT('Feijão 2ª safra'!$E28:$Z28)=0,0,MAX(0,IF((W$6-$E$3)&lt;1,0,IFERROR(LOOKUP(2,1/('Feijão 2ª safra'!$E28:INDEX('Feijão 2ª safra'!$E28:$Z28,MIN(W$6-$E$3,22))&lt;&gt;""),'Feijão 2ª safra'!$E28:INDEX('Feijão 2ª safra'!$E28:$Z28,MIN(W$6-$E$3,22))),0))-IF($G$2,0,IF((W$6-$G$3)&lt;1,0,IFERROR(LOOKUP(2,1/('Feijão 2ª safra'!$E28:INDEX('Feijão 2ª safra'!$E28:$Z28,MIN(W$6-$G$3,22))&lt;&gt;""),'Feijão 2ª safra'!$E28:INDEX('Feijão 2ª safra'!$E28:$Z28,MIN(W$6-$G$3,22))),0)))))</f>
        <v>0</v>
      </c>
      <c r="X30" s="27" t="n">
        <f aca="false">IF(COUNT('Feijão 2ª safra'!$E28:$Z28)=0,0,MAX(0,IF((X$6-$E$3)&lt;1,0,IFERROR(LOOKUP(2,1/('Feijão 2ª safra'!$E28:INDEX('Feijão 2ª safra'!$E28:$Z28,MIN(X$6-$E$3,22))&lt;&gt;""),'Feijão 2ª safra'!$E28:INDEX('Feijão 2ª safra'!$E28:$Z28,MIN(X$6-$E$3,22))),0))-IF($G$2,0,IF((X$6-$G$3)&lt;1,0,IFERROR(LOOKUP(2,1/('Feijão 2ª safra'!$E28:INDEX('Feijão 2ª safra'!$E28:$Z28,MIN(X$6-$G$3,22))&lt;&gt;""),'Feijão 2ª safra'!$E28:INDEX('Feijão 2ª safra'!$E28:$Z28,MIN(X$6-$G$3,22))),0)))))</f>
        <v>0</v>
      </c>
      <c r="Y30" s="27" t="n">
        <f aca="false">IF(COUNT('Feijão 2ª safra'!$E28:$Z28)=0,0,MAX(0,IF((Y$6-$E$3)&lt;1,0,IFERROR(LOOKUP(2,1/('Feijão 2ª safra'!$E28:INDEX('Feijão 2ª safra'!$E28:$Z28,MIN(Y$6-$E$3,22))&lt;&gt;""),'Feijão 2ª safra'!$E28:INDEX('Feijão 2ª safra'!$E28:$Z28,MIN(Y$6-$E$3,22))),0))-IF($G$2,0,IF((Y$6-$G$3)&lt;1,0,IFERROR(LOOKUP(2,1/('Feijão 2ª safra'!$E28:INDEX('Feijão 2ª safra'!$E28:$Z28,MIN(Y$6-$G$3,22))&lt;&gt;""),'Feijão 2ª safra'!$E28:INDEX('Feijão 2ª safra'!$E28:$Z28,MIN(Y$6-$G$3,22))),0)))))</f>
        <v>0</v>
      </c>
      <c r="Z30" s="27" t="n">
        <f aca="false">IF(COUNT('Feijão 2ª safra'!$E28:$Z28)=0,0,MAX(0,IF((Z$6-$E$3)&lt;1,0,IFERROR(LOOKUP(2,1/('Feijão 2ª safra'!$E28:INDEX('Feijão 2ª safra'!$E28:$Z28,MIN(Z$6-$E$3,22))&lt;&gt;""),'Feijão 2ª safra'!$E28:INDEX('Feijão 2ª safra'!$E28:$Z28,MIN(Z$6-$E$3,22))),0))-IF($G$2,0,IF((Z$6-$G$3)&lt;1,0,IFERROR(LOOKUP(2,1/('Feijão 2ª safra'!$E28:INDEX('Feijão 2ª safra'!$E28:$Z28,MIN(Z$6-$G$3,22))&lt;&gt;""),'Feijão 2ª safra'!$E28:INDEX('Feijão 2ª safra'!$E28:$Z28,MIN(Z$6-$G$3,22))),0)))))</f>
        <v>0</v>
      </c>
      <c r="AA30" s="27" t="n">
        <f aca="false">IF(COUNT('Feijão 2ª safra'!$E28:$Z28)=0,0,MAX(0,IF((AA$6-$E$3)&lt;1,0,IFERROR(LOOKUP(2,1/('Feijão 2ª safra'!$E28:INDEX('Feijão 2ª safra'!$E28:$Z28,MIN(AA$6-$E$3,22))&lt;&gt;""),'Feijão 2ª safra'!$E28:INDEX('Feijão 2ª safra'!$E28:$Z28,MIN(AA$6-$E$3,22))),0))-IF($G$2,0,IF((AA$6-$G$3)&lt;1,0,IFERROR(LOOKUP(2,1/('Feijão 2ª safra'!$E28:INDEX('Feijão 2ª safra'!$E28:$Z28,MIN(AA$6-$G$3,22))&lt;&gt;""),'Feijão 2ª safra'!$E28:INDEX('Feijão 2ª safra'!$E28:$Z28,MIN(AA$6-$G$3,22))),0)))))</f>
        <v>0</v>
      </c>
      <c r="AB30" s="27" t="n">
        <f aca="false">IF(COUNT('Feijão 2ª safra'!$E28:$Z28)=0,0,MAX(0,IF((AB$6-$E$3)&lt;1,0,IFERROR(LOOKUP(2,1/('Feijão 2ª safra'!$E28:INDEX('Feijão 2ª safra'!$E28:$Z28,MIN(AB$6-$E$3,22))&lt;&gt;""),'Feijão 2ª safra'!$E28:INDEX('Feijão 2ª safra'!$E28:$Z28,MIN(AB$6-$E$3,22))),0))-IF($G$2,0,IF((AB$6-$G$3)&lt;1,0,IFERROR(LOOKUP(2,1/('Feijão 2ª safra'!$E28:INDEX('Feijão 2ª safra'!$E28:$Z28,MIN(AB$6-$G$3,22))&lt;&gt;""),'Feijão 2ª safra'!$E28:INDEX('Feijão 2ª safra'!$E28:$Z28,MIN(AB$6-$G$3,22))),0)))))</f>
        <v>0</v>
      </c>
      <c r="AC30" s="27" t="n">
        <f aca="false">IF(COUNT('Feijão 2ª safra'!$E28:$Z28)=0,0,MAX(0,IF((AC$6-$E$3)&lt;1,0,IFERROR(LOOKUP(2,1/('Feijão 2ª safra'!$E28:INDEX('Feijão 2ª safra'!$E28:$Z28,MIN(AC$6-$E$3,22))&lt;&gt;""),'Feijão 2ª safra'!$E28:INDEX('Feijão 2ª safra'!$E28:$Z28,MIN(AC$6-$E$3,22))),0))-IF($G$2,0,IF((AC$6-$G$3)&lt;1,0,IFERROR(LOOKUP(2,1/('Feijão 2ª safra'!$E28:INDEX('Feijão 2ª safra'!$E28:$Z28,MIN(AC$6-$G$3,22))&lt;&gt;""),'Feijão 2ª safra'!$E28:INDEX('Feijão 2ª safra'!$E28:$Z28,MIN(AC$6-$G$3,22))),0)))))</f>
        <v>0</v>
      </c>
      <c r="AD30" s="27" t="n">
        <f aca="false">IF(COUNT('Feijão 2ª safra'!$E28:$Z28)=0,0,MAX(0,IF((AD$6-$E$3)&lt;1,0,IFERROR(LOOKUP(2,1/('Feijão 2ª safra'!$E28:INDEX('Feijão 2ª safra'!$E28:$Z28,MIN(AD$6-$E$3,22))&lt;&gt;""),'Feijão 2ª safra'!$E28:INDEX('Feijão 2ª safra'!$E28:$Z28,MIN(AD$6-$E$3,22))),0))-IF($G$2,0,IF((AD$6-$G$3)&lt;1,0,IFERROR(LOOKUP(2,1/('Feijão 2ª safra'!$E28:INDEX('Feijão 2ª safra'!$E28:$Z28,MIN(AD$6-$G$3,22))&lt;&gt;""),'Feijão 2ª safra'!$E28:INDEX('Feijão 2ª safra'!$E28:$Z28,MIN(AD$6-$G$3,22))),0)))))</f>
        <v>0</v>
      </c>
      <c r="AE30" s="27" t="n">
        <f aca="false">IF(COUNT('Feijão 2ª safra'!$E28:$Z28)=0,0,MAX(0,IF((AE$6-$E$3)&lt;1,0,IFERROR(LOOKUP(2,1/('Feijão 2ª safra'!$E28:INDEX('Feijão 2ª safra'!$E28:$Z28,MIN(AE$6-$E$3,22))&lt;&gt;""),'Feijão 2ª safra'!$E28:INDEX('Feijão 2ª safra'!$E28:$Z28,MIN(AE$6-$E$3,22))),0))-IF($G$2,0,IF((AE$6-$G$3)&lt;1,0,IFERROR(LOOKUP(2,1/('Feijão 2ª safra'!$E28:INDEX('Feijão 2ª safra'!$E28:$Z28,MIN(AE$6-$G$3,22))&lt;&gt;""),'Feijão 2ª safra'!$E28:INDEX('Feijão 2ª safra'!$E28:$Z28,MIN(AE$6-$G$3,22))),0)))))</f>
        <v>0</v>
      </c>
      <c r="AF30" s="27" t="n">
        <f aca="false">IF(COUNT('Feijão 2ª safra'!$E28:$Z28)=0,0,MAX(0,IF((AF$6-$E$3)&lt;1,0,IFERROR(LOOKUP(2,1/('Feijão 2ª safra'!$E28:INDEX('Feijão 2ª safra'!$E28:$Z28,MIN(AF$6-$E$3,22))&lt;&gt;""),'Feijão 2ª safra'!$E28:INDEX('Feijão 2ª safra'!$E28:$Z28,MIN(AF$6-$E$3,22))),0))-IF($G$2,0,IF((AF$6-$G$3)&lt;1,0,IFERROR(LOOKUP(2,1/('Feijão 2ª safra'!$E28:INDEX('Feijão 2ª safra'!$E28:$Z28,MIN(AF$6-$G$3,22))&lt;&gt;""),'Feijão 2ª safra'!$E28:INDEX('Feijão 2ª safra'!$E28:$Z28,MIN(AF$6-$G$3,22))),0)))))</f>
        <v>0</v>
      </c>
      <c r="AG30" s="27" t="n">
        <f aca="false">IF(COUNT('Feijão 2ª safra'!$E28:$Z28)=0,0,MAX(0,IF((AG$6-$E$3)&lt;1,0,IFERROR(LOOKUP(2,1/('Feijão 2ª safra'!$E28:INDEX('Feijão 2ª safra'!$E28:$Z28,MIN(AG$6-$E$3,22))&lt;&gt;""),'Feijão 2ª safra'!$E28:INDEX('Feijão 2ª safra'!$E28:$Z28,MIN(AG$6-$E$3,22))),0))-IF($G$2,0,IF((AG$6-$G$3)&lt;1,0,IFERROR(LOOKUP(2,1/('Feijão 2ª safra'!$E28:INDEX('Feijão 2ª safra'!$E28:$Z28,MIN(AG$6-$G$3,22))&lt;&gt;""),'Feijão 2ª safra'!$E28:INDEX('Feijão 2ª safra'!$E28:$Z28,MIN(AG$6-$G$3,22))),0)))))</f>
        <v>0</v>
      </c>
      <c r="AH30" s="27" t="n">
        <f aca="false">IF(COUNT('Feijão 2ª safra'!$E28:$Z28)=0,0,MAX(0,IF((AH$6-$E$3)&lt;1,0,IFERROR(LOOKUP(2,1/('Feijão 2ª safra'!$E28:INDEX('Feijão 2ª safra'!$E28:$Z28,MIN(AH$6-$E$3,22))&lt;&gt;""),'Feijão 2ª safra'!$E28:INDEX('Feijão 2ª safra'!$E28:$Z28,MIN(AH$6-$E$3,22))),0))-IF($G$2,0,IF((AH$6-$G$3)&lt;1,0,IFERROR(LOOKUP(2,1/('Feijão 2ª safra'!$E28:INDEX('Feijão 2ª safra'!$E28:$Z28,MIN(AH$6-$G$3,22))&lt;&gt;""),'Feijão 2ª safra'!$E28:INDEX('Feijão 2ª safra'!$E28:$Z28,MIN(AH$6-$G$3,22))),0)))))</f>
        <v>0</v>
      </c>
      <c r="AI30" s="27" t="n">
        <f aca="false">IF(COUNT('Feijão 2ª safra'!$E28:$Z28)=0,0,MAX(0,IF((AI$6-$E$3)&lt;1,0,IFERROR(LOOKUP(2,1/('Feijão 2ª safra'!$E28:INDEX('Feijão 2ª safra'!$E28:$Z28,MIN(AI$6-$E$3,22))&lt;&gt;""),'Feijão 2ª safra'!$E28:INDEX('Feijão 2ª safra'!$E28:$Z28,MIN(AI$6-$E$3,22))),0))-IF($G$2,0,IF((AI$6-$G$3)&lt;1,0,IFERROR(LOOKUP(2,1/('Feijão 2ª safra'!$E28:INDEX('Feijão 2ª safra'!$E28:$Z28,MIN(AI$6-$G$3,22))&lt;&gt;""),'Feijão 2ª safra'!$E28:INDEX('Feijão 2ª safra'!$E28:$Z28,MIN(AI$6-$G$3,22))),0)))))</f>
        <v>0</v>
      </c>
      <c r="AJ30" s="27" t="n">
        <f aca="false">IF(COUNT('Feijão 2ª safra'!$E28:$Z28)=0,0,MAX(0,IF((AJ$6-$E$3)&lt;1,0,IFERROR(LOOKUP(2,1/('Feijão 2ª safra'!$E28:INDEX('Feijão 2ª safra'!$E28:$Z28,MIN(AJ$6-$E$3,22))&lt;&gt;""),'Feijão 2ª safra'!$E28:INDEX('Feijão 2ª safra'!$E28:$Z28,MIN(AJ$6-$E$3,22))),0))-IF($G$2,0,IF((AJ$6-$G$3)&lt;1,0,IFERROR(LOOKUP(2,1/('Feijão 2ª safra'!$E28:INDEX('Feijão 2ª safra'!$E28:$Z28,MIN(AJ$6-$G$3,22))&lt;&gt;""),'Feijão 2ª safra'!$E28:INDEX('Feijão 2ª safra'!$E28:$Z28,MIN(AJ$6-$G$3,22))),0)))))</f>
        <v>0</v>
      </c>
      <c r="AK30" s="27" t="n">
        <f aca="false">IF(COUNT('Feijão 2ª safra'!$E28:$Z28)=0,0,MAX(0,IF((AK$6-$E$3)&lt;1,0,IFERROR(LOOKUP(2,1/('Feijão 2ª safra'!$E28:INDEX('Feijão 2ª safra'!$E28:$Z28,MIN(AK$6-$E$3,22))&lt;&gt;""),'Feijão 2ª safra'!$E28:INDEX('Feijão 2ª safra'!$E28:$Z28,MIN(AK$6-$E$3,22))),0))-IF($G$2,0,IF((AK$6-$G$3)&lt;1,0,IFERROR(LOOKUP(2,1/('Feijão 2ª safra'!$E28:INDEX('Feijão 2ª safra'!$E28:$Z28,MIN(AK$6-$G$3,22))&lt;&gt;""),'Feijão 2ª safra'!$E28:INDEX('Feijão 2ª safra'!$E28:$Z28,MIN(AK$6-$G$3,22))),0)))))</f>
        <v>0</v>
      </c>
      <c r="AL30" s="27" t="n">
        <f aca="false">IF(COUNT('Feijão 2ª safra'!$E28:$Z28)=0,0,MAX(0,IF((AL$6-$E$3)&lt;1,0,IFERROR(LOOKUP(2,1/('Feijão 2ª safra'!$E28:INDEX('Feijão 2ª safra'!$E28:$Z28,MIN(AL$6-$E$3,22))&lt;&gt;""),'Feijão 2ª safra'!$E28:INDEX('Feijão 2ª safra'!$E28:$Z28,MIN(AL$6-$E$3,22))),0))-IF($G$2,0,IF((AL$6-$G$3)&lt;1,0,IFERROR(LOOKUP(2,1/('Feijão 2ª safra'!$E28:INDEX('Feijão 2ª safra'!$E28:$Z28,MIN(AL$6-$G$3,22))&lt;&gt;""),'Feijão 2ª safra'!$E28:INDEX('Feijão 2ª safra'!$E28:$Z28,MIN(AL$6-$G$3,22))),0)))))</f>
        <v>0</v>
      </c>
      <c r="AM30" s="27" t="n">
        <f aca="false">IF(COUNT('Feijão 2ª safra'!$E28:$Z28)=0,0,MAX(0,IF((AM$6-$E$3)&lt;1,0,IFERROR(LOOKUP(2,1/('Feijão 2ª safra'!$E28:INDEX('Feijão 2ª safra'!$E28:$Z28,MIN(AM$6-$E$3,22))&lt;&gt;""),'Feijão 2ª safra'!$E28:INDEX('Feijão 2ª safra'!$E28:$Z28,MIN(AM$6-$E$3,22))),0))-IF($G$2,0,IF((AM$6-$G$3)&lt;1,0,IFERROR(LOOKUP(2,1/('Feijão 2ª safra'!$E28:INDEX('Feijão 2ª safra'!$E28:$Z28,MIN(AM$6-$G$3,22))&lt;&gt;""),'Feijão 2ª safra'!$E28:INDEX('Feijão 2ª safra'!$E28:$Z28,MIN(AM$6-$G$3,22))),0)))))</f>
        <v>0</v>
      </c>
      <c r="AN30" s="27" t="n">
        <f aca="false">IF(COUNT('Feijão 2ª safra'!$E28:$Z28)=0,0,MAX(0,IF((AN$6-$E$3)&lt;1,0,IFERROR(LOOKUP(2,1/('Feijão 2ª safra'!$E28:INDEX('Feijão 2ª safra'!$E28:$Z28,MIN(AN$6-$E$3,22))&lt;&gt;""),'Feijão 2ª safra'!$E28:INDEX('Feijão 2ª safra'!$E28:$Z28,MIN(AN$6-$E$3,22))),0))-IF($G$2,0,IF((AN$6-$G$3)&lt;1,0,IFERROR(LOOKUP(2,1/('Feijão 2ª safra'!$E28:INDEX('Feijão 2ª safra'!$E28:$Z28,MIN(AN$6-$G$3,22))&lt;&gt;""),'Feijão 2ª safra'!$E28:INDEX('Feijão 2ª safra'!$E28:$Z28,MIN(AN$6-$G$3,22))),0)))))</f>
        <v>0</v>
      </c>
      <c r="AO30" s="27" t="n">
        <f aca="false">IF(COUNT('Feijão 2ª safra'!$E28:$Z28)=0,0,MAX(0,IF((AO$6-$E$3)&lt;1,0,IFERROR(LOOKUP(2,1/('Feijão 2ª safra'!$E28:INDEX('Feijão 2ª safra'!$E28:$Z28,MIN(AO$6-$E$3,22))&lt;&gt;""),'Feijão 2ª safra'!$E28:INDEX('Feijão 2ª safra'!$E28:$Z28,MIN(AO$6-$E$3,22))),0))-IF($G$2,0,IF((AO$6-$G$3)&lt;1,0,IFERROR(LOOKUP(2,1/('Feijão 2ª safra'!$E28:INDEX('Feijão 2ª safra'!$E28:$Z28,MIN(AO$6-$G$3,22))&lt;&gt;""),'Feijão 2ª safra'!$E28:INDEX('Feijão 2ª safra'!$E28:$Z28,MIN(AO$6-$G$3,22))),0)))))</f>
        <v>0</v>
      </c>
      <c r="AP30" s="27" t="n">
        <f aca="false">IF(COUNT('Feijão 2ª safra'!$E28:$Z28)=0,0,MAX(0,IF((AP$6-$E$3)&lt;1,0,IFERROR(LOOKUP(2,1/('Feijão 2ª safra'!$E28:INDEX('Feijão 2ª safra'!$E28:$Z28,MIN(AP$6-$E$3,22))&lt;&gt;""),'Feijão 2ª safra'!$E28:INDEX('Feijão 2ª safra'!$E28:$Z28,MIN(AP$6-$E$3,22))),0))-IF($G$2,0,IF((AP$6-$G$3)&lt;1,0,IFERROR(LOOKUP(2,1/('Feijão 2ª safra'!$E28:INDEX('Feijão 2ª safra'!$E28:$Z28,MIN(AP$6-$G$3,22))&lt;&gt;""),'Feijão 2ª safra'!$E28:INDEX('Feijão 2ª safra'!$E28:$Z28,MIN(AP$6-$G$3,22))),0)))))</f>
        <v>0</v>
      </c>
      <c r="AQ30" s="27" t="n">
        <f aca="false">IF(COUNT('Feijão 2ª safra'!$E28:$Z28)=0,0,MAX(0,IF((AQ$6-$E$3)&lt;1,0,IFERROR(LOOKUP(2,1/('Feijão 2ª safra'!$E28:INDEX('Feijão 2ª safra'!$E28:$Z28,MIN(AQ$6-$E$3,22))&lt;&gt;""),'Feijão 2ª safra'!$E28:INDEX('Feijão 2ª safra'!$E28:$Z28,MIN(AQ$6-$E$3,22))),0))-IF($G$2,0,IF((AQ$6-$G$3)&lt;1,0,IFERROR(LOOKUP(2,1/('Feijão 2ª safra'!$E28:INDEX('Feijão 2ª safra'!$E28:$Z28,MIN(AQ$6-$G$3,22))&lt;&gt;""),'Feijão 2ª safra'!$E28:INDEX('Feijão 2ª safra'!$E28:$Z28,MIN(AQ$6-$G$3,22))),0)))))</f>
        <v>0</v>
      </c>
      <c r="AR30" s="27" t="n">
        <f aca="false">IF(COUNT('Feijão 2ª safra'!$E28:$Z28)=0,0,MAX(0,IF((AR$6-$E$3)&lt;1,0,IFERROR(LOOKUP(2,1/('Feijão 2ª safra'!$E28:INDEX('Feijão 2ª safra'!$E28:$Z28,MIN(AR$6-$E$3,22))&lt;&gt;""),'Feijão 2ª safra'!$E28:INDEX('Feijão 2ª safra'!$E28:$Z28,MIN(AR$6-$E$3,22))),0))-IF($G$2,0,IF((AR$6-$G$3)&lt;1,0,IFERROR(LOOKUP(2,1/('Feijão 2ª safra'!$E28:INDEX('Feijão 2ª safra'!$E28:$Z28,MIN(AR$6-$G$3,22))&lt;&gt;""),'Feijão 2ª safra'!$E28:INDEX('Feijão 2ª safra'!$E28:$Z28,MIN(AR$6-$G$3,22))),0)))))</f>
        <v>0</v>
      </c>
      <c r="AS30" s="27" t="n">
        <f aca="false">IF(COUNT('Feijão 2ª safra'!$E28:$Z28)=0,0,MAX(0,IF((AS$6-$E$3)&lt;1,0,IFERROR(LOOKUP(2,1/('Feijão 2ª safra'!$E28:INDEX('Feijão 2ª safra'!$E28:$Z28,MIN(AS$6-$E$3,22))&lt;&gt;""),'Feijão 2ª safra'!$E28:INDEX('Feijão 2ª safra'!$E28:$Z28,MIN(AS$6-$E$3,22))),0))-IF($G$2,0,IF((AS$6-$G$3)&lt;1,0,IFERROR(LOOKUP(2,1/('Feijão 2ª safra'!$E28:INDEX('Feijão 2ª safra'!$E28:$Z28,MIN(AS$6-$G$3,22))&lt;&gt;""),'Feijão 2ª safra'!$E28:INDEX('Feijão 2ª safra'!$E28:$Z28,MIN(AS$6-$G$3,22))),0)))))</f>
        <v>0</v>
      </c>
      <c r="AT30" s="27" t="n">
        <f aca="false">IF(COUNT('Feijão 2ª safra'!$E28:$Z28)=0,0,MAX(0,IF((AT$6-$E$3)&lt;1,0,IFERROR(LOOKUP(2,1/('Feijão 2ª safra'!$E28:INDEX('Feijão 2ª safra'!$E28:$Z28,MIN(AT$6-$E$3,22))&lt;&gt;""),'Feijão 2ª safra'!$E28:INDEX('Feijão 2ª safra'!$E28:$Z28,MIN(AT$6-$E$3,22))),0))-IF($G$2,0,IF((AT$6-$G$3)&lt;1,0,IFERROR(LOOKUP(2,1/('Feijão 2ª safra'!$E28:INDEX('Feijão 2ª safra'!$E28:$Z28,MIN(AT$6-$G$3,22))&lt;&gt;""),'Feijão 2ª safra'!$E28:INDEX('Feijão 2ª safra'!$E28:$Z28,MIN(AT$6-$G$3,22))),0)))))</f>
        <v>0</v>
      </c>
      <c r="AU30" s="27" t="n">
        <f aca="false">IF(COUNT('Feijão 2ª safra'!$E28:$Z28)=0,0,MAX(0,IF((AU$6-$E$3)&lt;1,0,IFERROR(LOOKUP(2,1/('Feijão 2ª safra'!$E28:INDEX('Feijão 2ª safra'!$E28:$Z28,MIN(AU$6-$E$3,22))&lt;&gt;""),'Feijão 2ª safra'!$E28:INDEX('Feijão 2ª safra'!$E28:$Z28,MIN(AU$6-$E$3,22))),0))-IF($G$2,0,IF((AU$6-$G$3)&lt;1,0,IFERROR(LOOKUP(2,1/('Feijão 2ª safra'!$E28:INDEX('Feijão 2ª safra'!$E28:$Z28,MIN(AU$6-$G$3,22))&lt;&gt;""),'Feijão 2ª safra'!$E28:INDEX('Feijão 2ª safra'!$E28:$Z28,MIN(AU$6-$G$3,22))),0)))))</f>
        <v>0</v>
      </c>
      <c r="AV30" s="27" t="n">
        <f aca="false">IF(COUNT('Feijão 2ª safra'!$E28:$Z28)=0,0,MAX(0,IF((AV$6-$E$3)&lt;1,0,IFERROR(LOOKUP(2,1/('Feijão 2ª safra'!$E28:INDEX('Feijão 2ª safra'!$E28:$Z28,MIN(AV$6-$E$3,22))&lt;&gt;""),'Feijão 2ª safra'!$E28:INDEX('Feijão 2ª safra'!$E28:$Z28,MIN(AV$6-$E$3,22))),0))-IF($G$2,0,IF((AV$6-$G$3)&lt;1,0,IFERROR(LOOKUP(2,1/('Feijão 2ª safra'!$E28:INDEX('Feijão 2ª safra'!$E28:$Z28,MIN(AV$6-$G$3,22))&lt;&gt;""),'Feijão 2ª safra'!$E28:INDEX('Feijão 2ª safra'!$E28:$Z28,MIN(AV$6-$G$3,22))),0)))))</f>
        <v>0</v>
      </c>
      <c r="AW30" s="27" t="n">
        <f aca="false">IF(COUNT('Feijão 2ª safra'!$E28:$Z28)=0,0,MAX(0,IF((AW$6-$E$3)&lt;1,0,IFERROR(LOOKUP(2,1/('Feijão 2ª safra'!$E28:INDEX('Feijão 2ª safra'!$E28:$Z28,MIN(AW$6-$E$3,22))&lt;&gt;""),'Feijão 2ª safra'!$E28:INDEX('Feijão 2ª safra'!$E28:$Z28,MIN(AW$6-$E$3,22))),0))-IF($G$2,0,IF((AW$6-$G$3)&lt;1,0,IFERROR(LOOKUP(2,1/('Feijão 2ª safra'!$E28:INDEX('Feijão 2ª safra'!$E28:$Z28,MIN(AW$6-$G$3,22))&lt;&gt;""),'Feijão 2ª safra'!$E28:INDEX('Feijão 2ª safra'!$E28:$Z28,MIN(AW$6-$G$3,22))),0)))))</f>
        <v>0</v>
      </c>
      <c r="AX30" s="27" t="n">
        <f aca="false">IF(COUNT('Feijão 2ª safra'!$E28:$Z28)=0,0,MAX(0,IF((AX$6-$E$3)&lt;1,0,IFERROR(LOOKUP(2,1/('Feijão 2ª safra'!$E28:INDEX('Feijão 2ª safra'!$E28:$Z28,MIN(AX$6-$E$3,22))&lt;&gt;""),'Feijão 2ª safra'!$E28:INDEX('Feijão 2ª safra'!$E28:$Z28,MIN(AX$6-$E$3,22))),0))-IF($G$2,0,IF((AX$6-$G$3)&lt;1,0,IFERROR(LOOKUP(2,1/('Feijão 2ª safra'!$E28:INDEX('Feijão 2ª safra'!$E28:$Z28,MIN(AX$6-$G$3,22))&lt;&gt;""),'Feijão 2ª safra'!$E28:INDEX('Feijão 2ª safra'!$E28:$Z28,MIN(AX$6-$G$3,22))),0)))))</f>
        <v>0</v>
      </c>
      <c r="AY30" s="27" t="n">
        <f aca="false">IF(COUNT('Feijão 2ª safra'!$E28:$Z28)=0,0,MAX(0,IF((AY$6-$E$3)&lt;1,0,IFERROR(LOOKUP(2,1/('Feijão 2ª safra'!$E28:INDEX('Feijão 2ª safra'!$E28:$Z28,MIN(AY$6-$E$3,22))&lt;&gt;""),'Feijão 2ª safra'!$E28:INDEX('Feijão 2ª safra'!$E28:$Z28,MIN(AY$6-$E$3,22))),0))-IF($G$2,0,IF((AY$6-$G$3)&lt;1,0,IFERROR(LOOKUP(2,1/('Feijão 2ª safra'!$E28:INDEX('Feijão 2ª safra'!$E28:$Z28,MIN(AY$6-$G$3,22))&lt;&gt;""),'Feijão 2ª safra'!$E28:INDEX('Feijão 2ª safra'!$E28:$Z28,MIN(AY$6-$G$3,22))),0)))))</f>
        <v>0</v>
      </c>
      <c r="AZ30" s="27" t="n">
        <f aca="false">IF(COUNT('Feijão 2ª safra'!$E28:$Z28)=0,0,MAX(0,IF((AZ$6-$E$3)&lt;1,0,IFERROR(LOOKUP(2,1/('Feijão 2ª safra'!$E28:INDEX('Feijão 2ª safra'!$E28:$Z28,MIN(AZ$6-$E$3,22))&lt;&gt;""),'Feijão 2ª safra'!$E28:INDEX('Feijão 2ª safra'!$E28:$Z28,MIN(AZ$6-$E$3,22))),0))-IF($G$2,0,IF((AZ$6-$G$3)&lt;1,0,IFERROR(LOOKUP(2,1/('Feijão 2ª safra'!$E28:INDEX('Feijão 2ª safra'!$E28:$Z28,MIN(AZ$6-$G$3,22))&lt;&gt;""),'Feijão 2ª safra'!$E28:INDEX('Feijão 2ª safra'!$E28:$Z28,MIN(AZ$6-$G$3,22))),0)))))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IF(COUNT('Feijão 2ª safra'!$E29:$Z29)&gt;0,N('Feijão 2ª safra'!$D29),0)</f>
        <v>0</v>
      </c>
      <c r="E31" s="27" t="n">
        <f aca="false">IF(COUNT('Feijão 2ª safra'!$E29:$Z29)=0,0,MAX(0,IF((E$6-$E$3)&lt;1,0,IFERROR(LOOKUP(2,1/('Feijão 2ª safra'!$E29:INDEX('Feijão 2ª safra'!$E29:$Z29,MIN(E$6-$E$3,22))&lt;&gt;""),'Feijão 2ª safra'!$E29:INDEX('Feijão 2ª safra'!$E29:$Z29,MIN(E$6-$E$3,22))),0))-IF($G$2,0,IF((E$6-$G$3)&lt;1,0,IFERROR(LOOKUP(2,1/('Feijão 2ª safra'!$E29:INDEX('Feijão 2ª safra'!$E29:$Z29,MIN(E$6-$G$3,22))&lt;&gt;""),'Feijão 2ª safra'!$E29:INDEX('Feijão 2ª safra'!$E29:$Z29,MIN(E$6-$G$3,22))),0)))))</f>
        <v>0</v>
      </c>
      <c r="F31" s="27" t="n">
        <f aca="false">IF(COUNT('Feijão 2ª safra'!$E29:$Z29)=0,0,MAX(0,IF((F$6-$E$3)&lt;1,0,IFERROR(LOOKUP(2,1/('Feijão 2ª safra'!$E29:INDEX('Feijão 2ª safra'!$E29:$Z29,MIN(F$6-$E$3,22))&lt;&gt;""),'Feijão 2ª safra'!$E29:INDEX('Feijão 2ª safra'!$E29:$Z29,MIN(F$6-$E$3,22))),0))-IF($G$2,0,IF((F$6-$G$3)&lt;1,0,IFERROR(LOOKUP(2,1/('Feijão 2ª safra'!$E29:INDEX('Feijão 2ª safra'!$E29:$Z29,MIN(F$6-$G$3,22))&lt;&gt;""),'Feijão 2ª safra'!$E29:INDEX('Feijão 2ª safra'!$E29:$Z29,MIN(F$6-$G$3,22))),0)))))</f>
        <v>0</v>
      </c>
      <c r="G31" s="27" t="n">
        <f aca="false">IF(COUNT('Feijão 2ª safra'!$E29:$Z29)=0,0,MAX(0,IF((G$6-$E$3)&lt;1,0,IFERROR(LOOKUP(2,1/('Feijão 2ª safra'!$E29:INDEX('Feijão 2ª safra'!$E29:$Z29,MIN(G$6-$E$3,22))&lt;&gt;""),'Feijão 2ª safra'!$E29:INDEX('Feijão 2ª safra'!$E29:$Z29,MIN(G$6-$E$3,22))),0))-IF($G$2,0,IF((G$6-$G$3)&lt;1,0,IFERROR(LOOKUP(2,1/('Feijão 2ª safra'!$E29:INDEX('Feijão 2ª safra'!$E29:$Z29,MIN(G$6-$G$3,22))&lt;&gt;""),'Feijão 2ª safra'!$E29:INDEX('Feijão 2ª safra'!$E29:$Z29,MIN(G$6-$G$3,22))),0)))))</f>
        <v>0</v>
      </c>
      <c r="H31" s="27" t="n">
        <f aca="false">IF(COUNT('Feijão 2ª safra'!$E29:$Z29)=0,0,MAX(0,IF((H$6-$E$3)&lt;1,0,IFERROR(LOOKUP(2,1/('Feijão 2ª safra'!$E29:INDEX('Feijão 2ª safra'!$E29:$Z29,MIN(H$6-$E$3,22))&lt;&gt;""),'Feijão 2ª safra'!$E29:INDEX('Feijão 2ª safra'!$E29:$Z29,MIN(H$6-$E$3,22))),0))-IF($G$2,0,IF((H$6-$G$3)&lt;1,0,IFERROR(LOOKUP(2,1/('Feijão 2ª safra'!$E29:INDEX('Feijão 2ª safra'!$E29:$Z29,MIN(H$6-$G$3,22))&lt;&gt;""),'Feijão 2ª safra'!$E29:INDEX('Feijão 2ª safra'!$E29:$Z29,MIN(H$6-$G$3,22))),0)))))</f>
        <v>0</v>
      </c>
      <c r="I31" s="27" t="n">
        <f aca="false">IF(COUNT('Feijão 2ª safra'!$E29:$Z29)=0,0,MAX(0,IF((I$6-$E$3)&lt;1,0,IFERROR(LOOKUP(2,1/('Feijão 2ª safra'!$E29:INDEX('Feijão 2ª safra'!$E29:$Z29,MIN(I$6-$E$3,22))&lt;&gt;""),'Feijão 2ª safra'!$E29:INDEX('Feijão 2ª safra'!$E29:$Z29,MIN(I$6-$E$3,22))),0))-IF($G$2,0,IF((I$6-$G$3)&lt;1,0,IFERROR(LOOKUP(2,1/('Feijão 2ª safra'!$E29:INDEX('Feijão 2ª safra'!$E29:$Z29,MIN(I$6-$G$3,22))&lt;&gt;""),'Feijão 2ª safra'!$E29:INDEX('Feijão 2ª safra'!$E29:$Z29,MIN(I$6-$G$3,22))),0)))))</f>
        <v>0</v>
      </c>
      <c r="J31" s="27" t="n">
        <f aca="false">IF(COUNT('Feijão 2ª safra'!$E29:$Z29)=0,0,MAX(0,IF((J$6-$E$3)&lt;1,0,IFERROR(LOOKUP(2,1/('Feijão 2ª safra'!$E29:INDEX('Feijão 2ª safra'!$E29:$Z29,MIN(J$6-$E$3,22))&lt;&gt;""),'Feijão 2ª safra'!$E29:INDEX('Feijão 2ª safra'!$E29:$Z29,MIN(J$6-$E$3,22))),0))-IF($G$2,0,IF((J$6-$G$3)&lt;1,0,IFERROR(LOOKUP(2,1/('Feijão 2ª safra'!$E29:INDEX('Feijão 2ª safra'!$E29:$Z29,MIN(J$6-$G$3,22))&lt;&gt;""),'Feijão 2ª safra'!$E29:INDEX('Feijão 2ª safra'!$E29:$Z29,MIN(J$6-$G$3,22))),0)))))</f>
        <v>0</v>
      </c>
      <c r="K31" s="27" t="n">
        <f aca="false">IF(COUNT('Feijão 2ª safra'!$E29:$Z29)=0,0,MAX(0,IF((K$6-$E$3)&lt;1,0,IFERROR(LOOKUP(2,1/('Feijão 2ª safra'!$E29:INDEX('Feijão 2ª safra'!$E29:$Z29,MIN(K$6-$E$3,22))&lt;&gt;""),'Feijão 2ª safra'!$E29:INDEX('Feijão 2ª safra'!$E29:$Z29,MIN(K$6-$E$3,22))),0))-IF($G$2,0,IF((K$6-$G$3)&lt;1,0,IFERROR(LOOKUP(2,1/('Feijão 2ª safra'!$E29:INDEX('Feijão 2ª safra'!$E29:$Z29,MIN(K$6-$G$3,22))&lt;&gt;""),'Feijão 2ª safra'!$E29:INDEX('Feijão 2ª safra'!$E29:$Z29,MIN(K$6-$G$3,22))),0)))))</f>
        <v>0</v>
      </c>
      <c r="L31" s="27" t="n">
        <f aca="false">IF(COUNT('Feijão 2ª safra'!$E29:$Z29)=0,0,MAX(0,IF((L$6-$E$3)&lt;1,0,IFERROR(LOOKUP(2,1/('Feijão 2ª safra'!$E29:INDEX('Feijão 2ª safra'!$E29:$Z29,MIN(L$6-$E$3,22))&lt;&gt;""),'Feijão 2ª safra'!$E29:INDEX('Feijão 2ª safra'!$E29:$Z29,MIN(L$6-$E$3,22))),0))-IF($G$2,0,IF((L$6-$G$3)&lt;1,0,IFERROR(LOOKUP(2,1/('Feijão 2ª safra'!$E29:INDEX('Feijão 2ª safra'!$E29:$Z29,MIN(L$6-$G$3,22))&lt;&gt;""),'Feijão 2ª safra'!$E29:INDEX('Feijão 2ª safra'!$E29:$Z29,MIN(L$6-$G$3,22))),0)))))</f>
        <v>0</v>
      </c>
      <c r="M31" s="27" t="n">
        <f aca="false">IF(COUNT('Feijão 2ª safra'!$E29:$Z29)=0,0,MAX(0,IF((M$6-$E$3)&lt;1,0,IFERROR(LOOKUP(2,1/('Feijão 2ª safra'!$E29:INDEX('Feijão 2ª safra'!$E29:$Z29,MIN(M$6-$E$3,22))&lt;&gt;""),'Feijão 2ª safra'!$E29:INDEX('Feijão 2ª safra'!$E29:$Z29,MIN(M$6-$E$3,22))),0))-IF($G$2,0,IF((M$6-$G$3)&lt;1,0,IFERROR(LOOKUP(2,1/('Feijão 2ª safra'!$E29:INDEX('Feijão 2ª safra'!$E29:$Z29,MIN(M$6-$G$3,22))&lt;&gt;""),'Feijão 2ª safra'!$E29:INDEX('Feijão 2ª safra'!$E29:$Z29,MIN(M$6-$G$3,22))),0)))))</f>
        <v>0</v>
      </c>
      <c r="N31" s="27" t="n">
        <f aca="false">IF(COUNT('Feijão 2ª safra'!$E29:$Z29)=0,0,MAX(0,IF((N$6-$E$3)&lt;1,0,IFERROR(LOOKUP(2,1/('Feijão 2ª safra'!$E29:INDEX('Feijão 2ª safra'!$E29:$Z29,MIN(N$6-$E$3,22))&lt;&gt;""),'Feijão 2ª safra'!$E29:INDEX('Feijão 2ª safra'!$E29:$Z29,MIN(N$6-$E$3,22))),0))-IF($G$2,0,IF((N$6-$G$3)&lt;1,0,IFERROR(LOOKUP(2,1/('Feijão 2ª safra'!$E29:INDEX('Feijão 2ª safra'!$E29:$Z29,MIN(N$6-$G$3,22))&lt;&gt;""),'Feijão 2ª safra'!$E29:INDEX('Feijão 2ª safra'!$E29:$Z29,MIN(N$6-$G$3,22))),0)))))</f>
        <v>0</v>
      </c>
      <c r="O31" s="27" t="n">
        <f aca="false">IF(COUNT('Feijão 2ª safra'!$E29:$Z29)=0,0,MAX(0,IF((O$6-$E$3)&lt;1,0,IFERROR(LOOKUP(2,1/('Feijão 2ª safra'!$E29:INDEX('Feijão 2ª safra'!$E29:$Z29,MIN(O$6-$E$3,22))&lt;&gt;""),'Feijão 2ª safra'!$E29:INDEX('Feijão 2ª safra'!$E29:$Z29,MIN(O$6-$E$3,22))),0))-IF($G$2,0,IF((O$6-$G$3)&lt;1,0,IFERROR(LOOKUP(2,1/('Feijão 2ª safra'!$E29:INDEX('Feijão 2ª safra'!$E29:$Z29,MIN(O$6-$G$3,22))&lt;&gt;""),'Feijão 2ª safra'!$E29:INDEX('Feijão 2ª safra'!$E29:$Z29,MIN(O$6-$G$3,22))),0)))))</f>
        <v>0</v>
      </c>
      <c r="P31" s="27" t="n">
        <f aca="false">IF(COUNT('Feijão 2ª safra'!$E29:$Z29)=0,0,MAX(0,IF((P$6-$E$3)&lt;1,0,IFERROR(LOOKUP(2,1/('Feijão 2ª safra'!$E29:INDEX('Feijão 2ª safra'!$E29:$Z29,MIN(P$6-$E$3,22))&lt;&gt;""),'Feijão 2ª safra'!$E29:INDEX('Feijão 2ª safra'!$E29:$Z29,MIN(P$6-$E$3,22))),0))-IF($G$2,0,IF((P$6-$G$3)&lt;1,0,IFERROR(LOOKUP(2,1/('Feijão 2ª safra'!$E29:INDEX('Feijão 2ª safra'!$E29:$Z29,MIN(P$6-$G$3,22))&lt;&gt;""),'Feijão 2ª safra'!$E29:INDEX('Feijão 2ª safra'!$E29:$Z29,MIN(P$6-$G$3,22))),0)))))</f>
        <v>0</v>
      </c>
      <c r="Q31" s="27" t="n">
        <f aca="false">IF(COUNT('Feijão 2ª safra'!$E29:$Z29)=0,0,MAX(0,IF((Q$6-$E$3)&lt;1,0,IFERROR(LOOKUP(2,1/('Feijão 2ª safra'!$E29:INDEX('Feijão 2ª safra'!$E29:$Z29,MIN(Q$6-$E$3,22))&lt;&gt;""),'Feijão 2ª safra'!$E29:INDEX('Feijão 2ª safra'!$E29:$Z29,MIN(Q$6-$E$3,22))),0))-IF($G$2,0,IF((Q$6-$G$3)&lt;1,0,IFERROR(LOOKUP(2,1/('Feijão 2ª safra'!$E29:INDEX('Feijão 2ª safra'!$E29:$Z29,MIN(Q$6-$G$3,22))&lt;&gt;""),'Feijão 2ª safra'!$E29:INDEX('Feijão 2ª safra'!$E29:$Z29,MIN(Q$6-$G$3,22))),0)))))</f>
        <v>0</v>
      </c>
      <c r="R31" s="27" t="n">
        <f aca="false">IF(COUNT('Feijão 2ª safra'!$E29:$Z29)=0,0,MAX(0,IF((R$6-$E$3)&lt;1,0,IFERROR(LOOKUP(2,1/('Feijão 2ª safra'!$E29:INDEX('Feijão 2ª safra'!$E29:$Z29,MIN(R$6-$E$3,22))&lt;&gt;""),'Feijão 2ª safra'!$E29:INDEX('Feijão 2ª safra'!$E29:$Z29,MIN(R$6-$E$3,22))),0))-IF($G$2,0,IF((R$6-$G$3)&lt;1,0,IFERROR(LOOKUP(2,1/('Feijão 2ª safra'!$E29:INDEX('Feijão 2ª safra'!$E29:$Z29,MIN(R$6-$G$3,22))&lt;&gt;""),'Feijão 2ª safra'!$E29:INDEX('Feijão 2ª safra'!$E29:$Z29,MIN(R$6-$G$3,22))),0)))))</f>
        <v>0</v>
      </c>
      <c r="S31" s="27" t="n">
        <f aca="false">IF(COUNT('Feijão 2ª safra'!$E29:$Z29)=0,0,MAX(0,IF((S$6-$E$3)&lt;1,0,IFERROR(LOOKUP(2,1/('Feijão 2ª safra'!$E29:INDEX('Feijão 2ª safra'!$E29:$Z29,MIN(S$6-$E$3,22))&lt;&gt;""),'Feijão 2ª safra'!$E29:INDEX('Feijão 2ª safra'!$E29:$Z29,MIN(S$6-$E$3,22))),0))-IF($G$2,0,IF((S$6-$G$3)&lt;1,0,IFERROR(LOOKUP(2,1/('Feijão 2ª safra'!$E29:INDEX('Feijão 2ª safra'!$E29:$Z29,MIN(S$6-$G$3,22))&lt;&gt;""),'Feijão 2ª safra'!$E29:INDEX('Feijão 2ª safra'!$E29:$Z29,MIN(S$6-$G$3,22))),0)))))</f>
        <v>0</v>
      </c>
      <c r="T31" s="27" t="n">
        <f aca="false">IF(COUNT('Feijão 2ª safra'!$E29:$Z29)=0,0,MAX(0,IF((T$6-$E$3)&lt;1,0,IFERROR(LOOKUP(2,1/('Feijão 2ª safra'!$E29:INDEX('Feijão 2ª safra'!$E29:$Z29,MIN(T$6-$E$3,22))&lt;&gt;""),'Feijão 2ª safra'!$E29:INDEX('Feijão 2ª safra'!$E29:$Z29,MIN(T$6-$E$3,22))),0))-IF($G$2,0,IF((T$6-$G$3)&lt;1,0,IFERROR(LOOKUP(2,1/('Feijão 2ª safra'!$E29:INDEX('Feijão 2ª safra'!$E29:$Z29,MIN(T$6-$G$3,22))&lt;&gt;""),'Feijão 2ª safra'!$E29:INDEX('Feijão 2ª safra'!$E29:$Z29,MIN(T$6-$G$3,22))),0)))))</f>
        <v>0</v>
      </c>
      <c r="U31" s="27" t="n">
        <f aca="false">IF(COUNT('Feijão 2ª safra'!$E29:$Z29)=0,0,MAX(0,IF((U$6-$E$3)&lt;1,0,IFERROR(LOOKUP(2,1/('Feijão 2ª safra'!$E29:INDEX('Feijão 2ª safra'!$E29:$Z29,MIN(U$6-$E$3,22))&lt;&gt;""),'Feijão 2ª safra'!$E29:INDEX('Feijão 2ª safra'!$E29:$Z29,MIN(U$6-$E$3,22))),0))-IF($G$2,0,IF((U$6-$G$3)&lt;1,0,IFERROR(LOOKUP(2,1/('Feijão 2ª safra'!$E29:INDEX('Feijão 2ª safra'!$E29:$Z29,MIN(U$6-$G$3,22))&lt;&gt;""),'Feijão 2ª safra'!$E29:INDEX('Feijão 2ª safra'!$E29:$Z29,MIN(U$6-$G$3,22))),0)))))</f>
        <v>0</v>
      </c>
      <c r="V31" s="27" t="n">
        <f aca="false">IF(COUNT('Feijão 2ª safra'!$E29:$Z29)=0,0,MAX(0,IF((V$6-$E$3)&lt;1,0,IFERROR(LOOKUP(2,1/('Feijão 2ª safra'!$E29:INDEX('Feijão 2ª safra'!$E29:$Z29,MIN(V$6-$E$3,22))&lt;&gt;""),'Feijão 2ª safra'!$E29:INDEX('Feijão 2ª safra'!$E29:$Z29,MIN(V$6-$E$3,22))),0))-IF($G$2,0,IF((V$6-$G$3)&lt;1,0,IFERROR(LOOKUP(2,1/('Feijão 2ª safra'!$E29:INDEX('Feijão 2ª safra'!$E29:$Z29,MIN(V$6-$G$3,22))&lt;&gt;""),'Feijão 2ª safra'!$E29:INDEX('Feijão 2ª safra'!$E29:$Z29,MIN(V$6-$G$3,22))),0)))))</f>
        <v>0</v>
      </c>
      <c r="W31" s="27" t="n">
        <f aca="false">IF(COUNT('Feijão 2ª safra'!$E29:$Z29)=0,0,MAX(0,IF((W$6-$E$3)&lt;1,0,IFERROR(LOOKUP(2,1/('Feijão 2ª safra'!$E29:INDEX('Feijão 2ª safra'!$E29:$Z29,MIN(W$6-$E$3,22))&lt;&gt;""),'Feijão 2ª safra'!$E29:INDEX('Feijão 2ª safra'!$E29:$Z29,MIN(W$6-$E$3,22))),0))-IF($G$2,0,IF((W$6-$G$3)&lt;1,0,IFERROR(LOOKUP(2,1/('Feijão 2ª safra'!$E29:INDEX('Feijão 2ª safra'!$E29:$Z29,MIN(W$6-$G$3,22))&lt;&gt;""),'Feijão 2ª safra'!$E29:INDEX('Feijão 2ª safra'!$E29:$Z29,MIN(W$6-$G$3,22))),0)))))</f>
        <v>0</v>
      </c>
      <c r="X31" s="27" t="n">
        <f aca="false">IF(COUNT('Feijão 2ª safra'!$E29:$Z29)=0,0,MAX(0,IF((X$6-$E$3)&lt;1,0,IFERROR(LOOKUP(2,1/('Feijão 2ª safra'!$E29:INDEX('Feijão 2ª safra'!$E29:$Z29,MIN(X$6-$E$3,22))&lt;&gt;""),'Feijão 2ª safra'!$E29:INDEX('Feijão 2ª safra'!$E29:$Z29,MIN(X$6-$E$3,22))),0))-IF($G$2,0,IF((X$6-$G$3)&lt;1,0,IFERROR(LOOKUP(2,1/('Feijão 2ª safra'!$E29:INDEX('Feijão 2ª safra'!$E29:$Z29,MIN(X$6-$G$3,22))&lt;&gt;""),'Feijão 2ª safra'!$E29:INDEX('Feijão 2ª safra'!$E29:$Z29,MIN(X$6-$G$3,22))),0)))))</f>
        <v>0</v>
      </c>
      <c r="Y31" s="27" t="n">
        <f aca="false">IF(COUNT('Feijão 2ª safra'!$E29:$Z29)=0,0,MAX(0,IF((Y$6-$E$3)&lt;1,0,IFERROR(LOOKUP(2,1/('Feijão 2ª safra'!$E29:INDEX('Feijão 2ª safra'!$E29:$Z29,MIN(Y$6-$E$3,22))&lt;&gt;""),'Feijão 2ª safra'!$E29:INDEX('Feijão 2ª safra'!$E29:$Z29,MIN(Y$6-$E$3,22))),0))-IF($G$2,0,IF((Y$6-$G$3)&lt;1,0,IFERROR(LOOKUP(2,1/('Feijão 2ª safra'!$E29:INDEX('Feijão 2ª safra'!$E29:$Z29,MIN(Y$6-$G$3,22))&lt;&gt;""),'Feijão 2ª safra'!$E29:INDEX('Feijão 2ª safra'!$E29:$Z29,MIN(Y$6-$G$3,22))),0)))))</f>
        <v>0</v>
      </c>
      <c r="Z31" s="27" t="n">
        <f aca="false">IF(COUNT('Feijão 2ª safra'!$E29:$Z29)=0,0,MAX(0,IF((Z$6-$E$3)&lt;1,0,IFERROR(LOOKUP(2,1/('Feijão 2ª safra'!$E29:INDEX('Feijão 2ª safra'!$E29:$Z29,MIN(Z$6-$E$3,22))&lt;&gt;""),'Feijão 2ª safra'!$E29:INDEX('Feijão 2ª safra'!$E29:$Z29,MIN(Z$6-$E$3,22))),0))-IF($G$2,0,IF((Z$6-$G$3)&lt;1,0,IFERROR(LOOKUP(2,1/('Feijão 2ª safra'!$E29:INDEX('Feijão 2ª safra'!$E29:$Z29,MIN(Z$6-$G$3,22))&lt;&gt;""),'Feijão 2ª safra'!$E29:INDEX('Feijão 2ª safra'!$E29:$Z29,MIN(Z$6-$G$3,22))),0)))))</f>
        <v>0</v>
      </c>
      <c r="AA31" s="27" t="n">
        <f aca="false">IF(COUNT('Feijão 2ª safra'!$E29:$Z29)=0,0,MAX(0,IF((AA$6-$E$3)&lt;1,0,IFERROR(LOOKUP(2,1/('Feijão 2ª safra'!$E29:INDEX('Feijão 2ª safra'!$E29:$Z29,MIN(AA$6-$E$3,22))&lt;&gt;""),'Feijão 2ª safra'!$E29:INDEX('Feijão 2ª safra'!$E29:$Z29,MIN(AA$6-$E$3,22))),0))-IF($G$2,0,IF((AA$6-$G$3)&lt;1,0,IFERROR(LOOKUP(2,1/('Feijão 2ª safra'!$E29:INDEX('Feijão 2ª safra'!$E29:$Z29,MIN(AA$6-$G$3,22))&lt;&gt;""),'Feijão 2ª safra'!$E29:INDEX('Feijão 2ª safra'!$E29:$Z29,MIN(AA$6-$G$3,22))),0)))))</f>
        <v>0</v>
      </c>
      <c r="AB31" s="27" t="n">
        <f aca="false">IF(COUNT('Feijão 2ª safra'!$E29:$Z29)=0,0,MAX(0,IF((AB$6-$E$3)&lt;1,0,IFERROR(LOOKUP(2,1/('Feijão 2ª safra'!$E29:INDEX('Feijão 2ª safra'!$E29:$Z29,MIN(AB$6-$E$3,22))&lt;&gt;""),'Feijão 2ª safra'!$E29:INDEX('Feijão 2ª safra'!$E29:$Z29,MIN(AB$6-$E$3,22))),0))-IF($G$2,0,IF((AB$6-$G$3)&lt;1,0,IFERROR(LOOKUP(2,1/('Feijão 2ª safra'!$E29:INDEX('Feijão 2ª safra'!$E29:$Z29,MIN(AB$6-$G$3,22))&lt;&gt;""),'Feijão 2ª safra'!$E29:INDEX('Feijão 2ª safra'!$E29:$Z29,MIN(AB$6-$G$3,22))),0)))))</f>
        <v>0</v>
      </c>
      <c r="AC31" s="27" t="n">
        <f aca="false">IF(COUNT('Feijão 2ª safra'!$E29:$Z29)=0,0,MAX(0,IF((AC$6-$E$3)&lt;1,0,IFERROR(LOOKUP(2,1/('Feijão 2ª safra'!$E29:INDEX('Feijão 2ª safra'!$E29:$Z29,MIN(AC$6-$E$3,22))&lt;&gt;""),'Feijão 2ª safra'!$E29:INDEX('Feijão 2ª safra'!$E29:$Z29,MIN(AC$6-$E$3,22))),0))-IF($G$2,0,IF((AC$6-$G$3)&lt;1,0,IFERROR(LOOKUP(2,1/('Feijão 2ª safra'!$E29:INDEX('Feijão 2ª safra'!$E29:$Z29,MIN(AC$6-$G$3,22))&lt;&gt;""),'Feijão 2ª safra'!$E29:INDEX('Feijão 2ª safra'!$E29:$Z29,MIN(AC$6-$G$3,22))),0)))))</f>
        <v>0</v>
      </c>
      <c r="AD31" s="27" t="n">
        <f aca="false">IF(COUNT('Feijão 2ª safra'!$E29:$Z29)=0,0,MAX(0,IF((AD$6-$E$3)&lt;1,0,IFERROR(LOOKUP(2,1/('Feijão 2ª safra'!$E29:INDEX('Feijão 2ª safra'!$E29:$Z29,MIN(AD$6-$E$3,22))&lt;&gt;""),'Feijão 2ª safra'!$E29:INDEX('Feijão 2ª safra'!$E29:$Z29,MIN(AD$6-$E$3,22))),0))-IF($G$2,0,IF((AD$6-$G$3)&lt;1,0,IFERROR(LOOKUP(2,1/('Feijão 2ª safra'!$E29:INDEX('Feijão 2ª safra'!$E29:$Z29,MIN(AD$6-$G$3,22))&lt;&gt;""),'Feijão 2ª safra'!$E29:INDEX('Feijão 2ª safra'!$E29:$Z29,MIN(AD$6-$G$3,22))),0)))))</f>
        <v>0</v>
      </c>
      <c r="AE31" s="27" t="n">
        <f aca="false">IF(COUNT('Feijão 2ª safra'!$E29:$Z29)=0,0,MAX(0,IF((AE$6-$E$3)&lt;1,0,IFERROR(LOOKUP(2,1/('Feijão 2ª safra'!$E29:INDEX('Feijão 2ª safra'!$E29:$Z29,MIN(AE$6-$E$3,22))&lt;&gt;""),'Feijão 2ª safra'!$E29:INDEX('Feijão 2ª safra'!$E29:$Z29,MIN(AE$6-$E$3,22))),0))-IF($G$2,0,IF((AE$6-$G$3)&lt;1,0,IFERROR(LOOKUP(2,1/('Feijão 2ª safra'!$E29:INDEX('Feijão 2ª safra'!$E29:$Z29,MIN(AE$6-$G$3,22))&lt;&gt;""),'Feijão 2ª safra'!$E29:INDEX('Feijão 2ª safra'!$E29:$Z29,MIN(AE$6-$G$3,22))),0)))))</f>
        <v>0</v>
      </c>
      <c r="AF31" s="27" t="n">
        <f aca="false">IF(COUNT('Feijão 2ª safra'!$E29:$Z29)=0,0,MAX(0,IF((AF$6-$E$3)&lt;1,0,IFERROR(LOOKUP(2,1/('Feijão 2ª safra'!$E29:INDEX('Feijão 2ª safra'!$E29:$Z29,MIN(AF$6-$E$3,22))&lt;&gt;""),'Feijão 2ª safra'!$E29:INDEX('Feijão 2ª safra'!$E29:$Z29,MIN(AF$6-$E$3,22))),0))-IF($G$2,0,IF((AF$6-$G$3)&lt;1,0,IFERROR(LOOKUP(2,1/('Feijão 2ª safra'!$E29:INDEX('Feijão 2ª safra'!$E29:$Z29,MIN(AF$6-$G$3,22))&lt;&gt;""),'Feijão 2ª safra'!$E29:INDEX('Feijão 2ª safra'!$E29:$Z29,MIN(AF$6-$G$3,22))),0)))))</f>
        <v>0</v>
      </c>
      <c r="AG31" s="27" t="n">
        <f aca="false">IF(COUNT('Feijão 2ª safra'!$E29:$Z29)=0,0,MAX(0,IF((AG$6-$E$3)&lt;1,0,IFERROR(LOOKUP(2,1/('Feijão 2ª safra'!$E29:INDEX('Feijão 2ª safra'!$E29:$Z29,MIN(AG$6-$E$3,22))&lt;&gt;""),'Feijão 2ª safra'!$E29:INDEX('Feijão 2ª safra'!$E29:$Z29,MIN(AG$6-$E$3,22))),0))-IF($G$2,0,IF((AG$6-$G$3)&lt;1,0,IFERROR(LOOKUP(2,1/('Feijão 2ª safra'!$E29:INDEX('Feijão 2ª safra'!$E29:$Z29,MIN(AG$6-$G$3,22))&lt;&gt;""),'Feijão 2ª safra'!$E29:INDEX('Feijão 2ª safra'!$E29:$Z29,MIN(AG$6-$G$3,22))),0)))))</f>
        <v>0</v>
      </c>
      <c r="AH31" s="27" t="n">
        <f aca="false">IF(COUNT('Feijão 2ª safra'!$E29:$Z29)=0,0,MAX(0,IF((AH$6-$E$3)&lt;1,0,IFERROR(LOOKUP(2,1/('Feijão 2ª safra'!$E29:INDEX('Feijão 2ª safra'!$E29:$Z29,MIN(AH$6-$E$3,22))&lt;&gt;""),'Feijão 2ª safra'!$E29:INDEX('Feijão 2ª safra'!$E29:$Z29,MIN(AH$6-$E$3,22))),0))-IF($G$2,0,IF((AH$6-$G$3)&lt;1,0,IFERROR(LOOKUP(2,1/('Feijão 2ª safra'!$E29:INDEX('Feijão 2ª safra'!$E29:$Z29,MIN(AH$6-$G$3,22))&lt;&gt;""),'Feijão 2ª safra'!$E29:INDEX('Feijão 2ª safra'!$E29:$Z29,MIN(AH$6-$G$3,22))),0)))))</f>
        <v>0</v>
      </c>
      <c r="AI31" s="27" t="n">
        <f aca="false">IF(COUNT('Feijão 2ª safra'!$E29:$Z29)=0,0,MAX(0,IF((AI$6-$E$3)&lt;1,0,IFERROR(LOOKUP(2,1/('Feijão 2ª safra'!$E29:INDEX('Feijão 2ª safra'!$E29:$Z29,MIN(AI$6-$E$3,22))&lt;&gt;""),'Feijão 2ª safra'!$E29:INDEX('Feijão 2ª safra'!$E29:$Z29,MIN(AI$6-$E$3,22))),0))-IF($G$2,0,IF((AI$6-$G$3)&lt;1,0,IFERROR(LOOKUP(2,1/('Feijão 2ª safra'!$E29:INDEX('Feijão 2ª safra'!$E29:$Z29,MIN(AI$6-$G$3,22))&lt;&gt;""),'Feijão 2ª safra'!$E29:INDEX('Feijão 2ª safra'!$E29:$Z29,MIN(AI$6-$G$3,22))),0)))))</f>
        <v>0</v>
      </c>
      <c r="AJ31" s="27" t="n">
        <f aca="false">IF(COUNT('Feijão 2ª safra'!$E29:$Z29)=0,0,MAX(0,IF((AJ$6-$E$3)&lt;1,0,IFERROR(LOOKUP(2,1/('Feijão 2ª safra'!$E29:INDEX('Feijão 2ª safra'!$E29:$Z29,MIN(AJ$6-$E$3,22))&lt;&gt;""),'Feijão 2ª safra'!$E29:INDEX('Feijão 2ª safra'!$E29:$Z29,MIN(AJ$6-$E$3,22))),0))-IF($G$2,0,IF((AJ$6-$G$3)&lt;1,0,IFERROR(LOOKUP(2,1/('Feijão 2ª safra'!$E29:INDEX('Feijão 2ª safra'!$E29:$Z29,MIN(AJ$6-$G$3,22))&lt;&gt;""),'Feijão 2ª safra'!$E29:INDEX('Feijão 2ª safra'!$E29:$Z29,MIN(AJ$6-$G$3,22))),0)))))</f>
        <v>0</v>
      </c>
      <c r="AK31" s="27" t="n">
        <f aca="false">IF(COUNT('Feijão 2ª safra'!$E29:$Z29)=0,0,MAX(0,IF((AK$6-$E$3)&lt;1,0,IFERROR(LOOKUP(2,1/('Feijão 2ª safra'!$E29:INDEX('Feijão 2ª safra'!$E29:$Z29,MIN(AK$6-$E$3,22))&lt;&gt;""),'Feijão 2ª safra'!$E29:INDEX('Feijão 2ª safra'!$E29:$Z29,MIN(AK$6-$E$3,22))),0))-IF($G$2,0,IF((AK$6-$G$3)&lt;1,0,IFERROR(LOOKUP(2,1/('Feijão 2ª safra'!$E29:INDEX('Feijão 2ª safra'!$E29:$Z29,MIN(AK$6-$G$3,22))&lt;&gt;""),'Feijão 2ª safra'!$E29:INDEX('Feijão 2ª safra'!$E29:$Z29,MIN(AK$6-$G$3,22))),0)))))</f>
        <v>0</v>
      </c>
      <c r="AL31" s="27" t="n">
        <f aca="false">IF(COUNT('Feijão 2ª safra'!$E29:$Z29)=0,0,MAX(0,IF((AL$6-$E$3)&lt;1,0,IFERROR(LOOKUP(2,1/('Feijão 2ª safra'!$E29:INDEX('Feijão 2ª safra'!$E29:$Z29,MIN(AL$6-$E$3,22))&lt;&gt;""),'Feijão 2ª safra'!$E29:INDEX('Feijão 2ª safra'!$E29:$Z29,MIN(AL$6-$E$3,22))),0))-IF($G$2,0,IF((AL$6-$G$3)&lt;1,0,IFERROR(LOOKUP(2,1/('Feijão 2ª safra'!$E29:INDEX('Feijão 2ª safra'!$E29:$Z29,MIN(AL$6-$G$3,22))&lt;&gt;""),'Feijão 2ª safra'!$E29:INDEX('Feijão 2ª safra'!$E29:$Z29,MIN(AL$6-$G$3,22))),0)))))</f>
        <v>0</v>
      </c>
      <c r="AM31" s="27" t="n">
        <f aca="false">IF(COUNT('Feijão 2ª safra'!$E29:$Z29)=0,0,MAX(0,IF((AM$6-$E$3)&lt;1,0,IFERROR(LOOKUP(2,1/('Feijão 2ª safra'!$E29:INDEX('Feijão 2ª safra'!$E29:$Z29,MIN(AM$6-$E$3,22))&lt;&gt;""),'Feijão 2ª safra'!$E29:INDEX('Feijão 2ª safra'!$E29:$Z29,MIN(AM$6-$E$3,22))),0))-IF($G$2,0,IF((AM$6-$G$3)&lt;1,0,IFERROR(LOOKUP(2,1/('Feijão 2ª safra'!$E29:INDEX('Feijão 2ª safra'!$E29:$Z29,MIN(AM$6-$G$3,22))&lt;&gt;""),'Feijão 2ª safra'!$E29:INDEX('Feijão 2ª safra'!$E29:$Z29,MIN(AM$6-$G$3,22))),0)))))</f>
        <v>0</v>
      </c>
      <c r="AN31" s="27" t="n">
        <f aca="false">IF(COUNT('Feijão 2ª safra'!$E29:$Z29)=0,0,MAX(0,IF((AN$6-$E$3)&lt;1,0,IFERROR(LOOKUP(2,1/('Feijão 2ª safra'!$E29:INDEX('Feijão 2ª safra'!$E29:$Z29,MIN(AN$6-$E$3,22))&lt;&gt;""),'Feijão 2ª safra'!$E29:INDEX('Feijão 2ª safra'!$E29:$Z29,MIN(AN$6-$E$3,22))),0))-IF($G$2,0,IF((AN$6-$G$3)&lt;1,0,IFERROR(LOOKUP(2,1/('Feijão 2ª safra'!$E29:INDEX('Feijão 2ª safra'!$E29:$Z29,MIN(AN$6-$G$3,22))&lt;&gt;""),'Feijão 2ª safra'!$E29:INDEX('Feijão 2ª safra'!$E29:$Z29,MIN(AN$6-$G$3,22))),0)))))</f>
        <v>0</v>
      </c>
      <c r="AO31" s="27" t="n">
        <f aca="false">IF(COUNT('Feijão 2ª safra'!$E29:$Z29)=0,0,MAX(0,IF((AO$6-$E$3)&lt;1,0,IFERROR(LOOKUP(2,1/('Feijão 2ª safra'!$E29:INDEX('Feijão 2ª safra'!$E29:$Z29,MIN(AO$6-$E$3,22))&lt;&gt;""),'Feijão 2ª safra'!$E29:INDEX('Feijão 2ª safra'!$E29:$Z29,MIN(AO$6-$E$3,22))),0))-IF($G$2,0,IF((AO$6-$G$3)&lt;1,0,IFERROR(LOOKUP(2,1/('Feijão 2ª safra'!$E29:INDEX('Feijão 2ª safra'!$E29:$Z29,MIN(AO$6-$G$3,22))&lt;&gt;""),'Feijão 2ª safra'!$E29:INDEX('Feijão 2ª safra'!$E29:$Z29,MIN(AO$6-$G$3,22))),0)))))</f>
        <v>0</v>
      </c>
      <c r="AP31" s="27" t="n">
        <f aca="false">IF(COUNT('Feijão 2ª safra'!$E29:$Z29)=0,0,MAX(0,IF((AP$6-$E$3)&lt;1,0,IFERROR(LOOKUP(2,1/('Feijão 2ª safra'!$E29:INDEX('Feijão 2ª safra'!$E29:$Z29,MIN(AP$6-$E$3,22))&lt;&gt;""),'Feijão 2ª safra'!$E29:INDEX('Feijão 2ª safra'!$E29:$Z29,MIN(AP$6-$E$3,22))),0))-IF($G$2,0,IF((AP$6-$G$3)&lt;1,0,IFERROR(LOOKUP(2,1/('Feijão 2ª safra'!$E29:INDEX('Feijão 2ª safra'!$E29:$Z29,MIN(AP$6-$G$3,22))&lt;&gt;""),'Feijão 2ª safra'!$E29:INDEX('Feijão 2ª safra'!$E29:$Z29,MIN(AP$6-$G$3,22))),0)))))</f>
        <v>0</v>
      </c>
      <c r="AQ31" s="27" t="n">
        <f aca="false">IF(COUNT('Feijão 2ª safra'!$E29:$Z29)=0,0,MAX(0,IF((AQ$6-$E$3)&lt;1,0,IFERROR(LOOKUP(2,1/('Feijão 2ª safra'!$E29:INDEX('Feijão 2ª safra'!$E29:$Z29,MIN(AQ$6-$E$3,22))&lt;&gt;""),'Feijão 2ª safra'!$E29:INDEX('Feijão 2ª safra'!$E29:$Z29,MIN(AQ$6-$E$3,22))),0))-IF($G$2,0,IF((AQ$6-$G$3)&lt;1,0,IFERROR(LOOKUP(2,1/('Feijão 2ª safra'!$E29:INDEX('Feijão 2ª safra'!$E29:$Z29,MIN(AQ$6-$G$3,22))&lt;&gt;""),'Feijão 2ª safra'!$E29:INDEX('Feijão 2ª safra'!$E29:$Z29,MIN(AQ$6-$G$3,22))),0)))))</f>
        <v>0</v>
      </c>
      <c r="AR31" s="27" t="n">
        <f aca="false">IF(COUNT('Feijão 2ª safra'!$E29:$Z29)=0,0,MAX(0,IF((AR$6-$E$3)&lt;1,0,IFERROR(LOOKUP(2,1/('Feijão 2ª safra'!$E29:INDEX('Feijão 2ª safra'!$E29:$Z29,MIN(AR$6-$E$3,22))&lt;&gt;""),'Feijão 2ª safra'!$E29:INDEX('Feijão 2ª safra'!$E29:$Z29,MIN(AR$6-$E$3,22))),0))-IF($G$2,0,IF((AR$6-$G$3)&lt;1,0,IFERROR(LOOKUP(2,1/('Feijão 2ª safra'!$E29:INDEX('Feijão 2ª safra'!$E29:$Z29,MIN(AR$6-$G$3,22))&lt;&gt;""),'Feijão 2ª safra'!$E29:INDEX('Feijão 2ª safra'!$E29:$Z29,MIN(AR$6-$G$3,22))),0)))))</f>
        <v>0</v>
      </c>
      <c r="AS31" s="27" t="n">
        <f aca="false">IF(COUNT('Feijão 2ª safra'!$E29:$Z29)=0,0,MAX(0,IF((AS$6-$E$3)&lt;1,0,IFERROR(LOOKUP(2,1/('Feijão 2ª safra'!$E29:INDEX('Feijão 2ª safra'!$E29:$Z29,MIN(AS$6-$E$3,22))&lt;&gt;""),'Feijão 2ª safra'!$E29:INDEX('Feijão 2ª safra'!$E29:$Z29,MIN(AS$6-$E$3,22))),0))-IF($G$2,0,IF((AS$6-$G$3)&lt;1,0,IFERROR(LOOKUP(2,1/('Feijão 2ª safra'!$E29:INDEX('Feijão 2ª safra'!$E29:$Z29,MIN(AS$6-$G$3,22))&lt;&gt;""),'Feijão 2ª safra'!$E29:INDEX('Feijão 2ª safra'!$E29:$Z29,MIN(AS$6-$G$3,22))),0)))))</f>
        <v>0</v>
      </c>
      <c r="AT31" s="27" t="n">
        <f aca="false">IF(COUNT('Feijão 2ª safra'!$E29:$Z29)=0,0,MAX(0,IF((AT$6-$E$3)&lt;1,0,IFERROR(LOOKUP(2,1/('Feijão 2ª safra'!$E29:INDEX('Feijão 2ª safra'!$E29:$Z29,MIN(AT$6-$E$3,22))&lt;&gt;""),'Feijão 2ª safra'!$E29:INDEX('Feijão 2ª safra'!$E29:$Z29,MIN(AT$6-$E$3,22))),0))-IF($G$2,0,IF((AT$6-$G$3)&lt;1,0,IFERROR(LOOKUP(2,1/('Feijão 2ª safra'!$E29:INDEX('Feijão 2ª safra'!$E29:$Z29,MIN(AT$6-$G$3,22))&lt;&gt;""),'Feijão 2ª safra'!$E29:INDEX('Feijão 2ª safra'!$E29:$Z29,MIN(AT$6-$G$3,22))),0)))))</f>
        <v>0</v>
      </c>
      <c r="AU31" s="27" t="n">
        <f aca="false">IF(COUNT('Feijão 2ª safra'!$E29:$Z29)=0,0,MAX(0,IF((AU$6-$E$3)&lt;1,0,IFERROR(LOOKUP(2,1/('Feijão 2ª safra'!$E29:INDEX('Feijão 2ª safra'!$E29:$Z29,MIN(AU$6-$E$3,22))&lt;&gt;""),'Feijão 2ª safra'!$E29:INDEX('Feijão 2ª safra'!$E29:$Z29,MIN(AU$6-$E$3,22))),0))-IF($G$2,0,IF((AU$6-$G$3)&lt;1,0,IFERROR(LOOKUP(2,1/('Feijão 2ª safra'!$E29:INDEX('Feijão 2ª safra'!$E29:$Z29,MIN(AU$6-$G$3,22))&lt;&gt;""),'Feijão 2ª safra'!$E29:INDEX('Feijão 2ª safra'!$E29:$Z29,MIN(AU$6-$G$3,22))),0)))))</f>
        <v>0</v>
      </c>
      <c r="AV31" s="27" t="n">
        <f aca="false">IF(COUNT('Feijão 2ª safra'!$E29:$Z29)=0,0,MAX(0,IF((AV$6-$E$3)&lt;1,0,IFERROR(LOOKUP(2,1/('Feijão 2ª safra'!$E29:INDEX('Feijão 2ª safra'!$E29:$Z29,MIN(AV$6-$E$3,22))&lt;&gt;""),'Feijão 2ª safra'!$E29:INDEX('Feijão 2ª safra'!$E29:$Z29,MIN(AV$6-$E$3,22))),0))-IF($G$2,0,IF((AV$6-$G$3)&lt;1,0,IFERROR(LOOKUP(2,1/('Feijão 2ª safra'!$E29:INDEX('Feijão 2ª safra'!$E29:$Z29,MIN(AV$6-$G$3,22))&lt;&gt;""),'Feijão 2ª safra'!$E29:INDEX('Feijão 2ª safra'!$E29:$Z29,MIN(AV$6-$G$3,22))),0)))))</f>
        <v>0</v>
      </c>
      <c r="AW31" s="27" t="n">
        <f aca="false">IF(COUNT('Feijão 2ª safra'!$E29:$Z29)=0,0,MAX(0,IF((AW$6-$E$3)&lt;1,0,IFERROR(LOOKUP(2,1/('Feijão 2ª safra'!$E29:INDEX('Feijão 2ª safra'!$E29:$Z29,MIN(AW$6-$E$3,22))&lt;&gt;""),'Feijão 2ª safra'!$E29:INDEX('Feijão 2ª safra'!$E29:$Z29,MIN(AW$6-$E$3,22))),0))-IF($G$2,0,IF((AW$6-$G$3)&lt;1,0,IFERROR(LOOKUP(2,1/('Feijão 2ª safra'!$E29:INDEX('Feijão 2ª safra'!$E29:$Z29,MIN(AW$6-$G$3,22))&lt;&gt;""),'Feijão 2ª safra'!$E29:INDEX('Feijão 2ª safra'!$E29:$Z29,MIN(AW$6-$G$3,22))),0)))))</f>
        <v>0</v>
      </c>
      <c r="AX31" s="27" t="n">
        <f aca="false">IF(COUNT('Feijão 2ª safra'!$E29:$Z29)=0,0,MAX(0,IF((AX$6-$E$3)&lt;1,0,IFERROR(LOOKUP(2,1/('Feijão 2ª safra'!$E29:INDEX('Feijão 2ª safra'!$E29:$Z29,MIN(AX$6-$E$3,22))&lt;&gt;""),'Feijão 2ª safra'!$E29:INDEX('Feijão 2ª safra'!$E29:$Z29,MIN(AX$6-$E$3,22))),0))-IF($G$2,0,IF((AX$6-$G$3)&lt;1,0,IFERROR(LOOKUP(2,1/('Feijão 2ª safra'!$E29:INDEX('Feijão 2ª safra'!$E29:$Z29,MIN(AX$6-$G$3,22))&lt;&gt;""),'Feijão 2ª safra'!$E29:INDEX('Feijão 2ª safra'!$E29:$Z29,MIN(AX$6-$G$3,22))),0)))))</f>
        <v>0</v>
      </c>
      <c r="AY31" s="27" t="n">
        <f aca="false">IF(COUNT('Feijão 2ª safra'!$E29:$Z29)=0,0,MAX(0,IF((AY$6-$E$3)&lt;1,0,IFERROR(LOOKUP(2,1/('Feijão 2ª safra'!$E29:INDEX('Feijão 2ª safra'!$E29:$Z29,MIN(AY$6-$E$3,22))&lt;&gt;""),'Feijão 2ª safra'!$E29:INDEX('Feijão 2ª safra'!$E29:$Z29,MIN(AY$6-$E$3,22))),0))-IF($G$2,0,IF((AY$6-$G$3)&lt;1,0,IFERROR(LOOKUP(2,1/('Feijão 2ª safra'!$E29:INDEX('Feijão 2ª safra'!$E29:$Z29,MIN(AY$6-$G$3,22))&lt;&gt;""),'Feijão 2ª safra'!$E29:INDEX('Feijão 2ª safra'!$E29:$Z29,MIN(AY$6-$G$3,22))),0)))))</f>
        <v>0</v>
      </c>
      <c r="AZ31" s="27" t="n">
        <f aca="false">IF(COUNT('Feijão 2ª safra'!$E29:$Z29)=0,0,MAX(0,IF((AZ$6-$E$3)&lt;1,0,IFERROR(LOOKUP(2,1/('Feijão 2ª safra'!$E29:INDEX('Feijão 2ª safra'!$E29:$Z29,MIN(AZ$6-$E$3,22))&lt;&gt;""),'Feijão 2ª safra'!$E29:INDEX('Feijão 2ª safra'!$E29:$Z29,MIN(AZ$6-$E$3,22))),0))-IF($G$2,0,IF((AZ$6-$G$3)&lt;1,0,IFERROR(LOOKUP(2,1/('Feijão 2ª safra'!$E29:INDEX('Feijão 2ª safra'!$E29:$Z29,MIN(AZ$6-$G$3,22))&lt;&gt;""),'Feijão 2ª safra'!$E29:INDEX('Feijão 2ª safra'!$E29:$Z29,MIN(AZ$6-$G$3,22))),0)))))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IF(COUNT('Feijão 2ª safra'!$E30:$Z30)&gt;0,N('Feijão 2ª safra'!$D30),0)</f>
        <v>0</v>
      </c>
      <c r="E32" s="27" t="n">
        <f aca="false">IF(COUNT('Feijão 2ª safra'!$E30:$Z30)=0,0,MAX(0,IF((E$6-$E$3)&lt;1,0,IFERROR(LOOKUP(2,1/('Feijão 2ª safra'!$E30:INDEX('Feijão 2ª safra'!$E30:$Z30,MIN(E$6-$E$3,22))&lt;&gt;""),'Feijão 2ª safra'!$E30:INDEX('Feijão 2ª safra'!$E30:$Z30,MIN(E$6-$E$3,22))),0))-IF($G$2,0,IF((E$6-$G$3)&lt;1,0,IFERROR(LOOKUP(2,1/('Feijão 2ª safra'!$E30:INDEX('Feijão 2ª safra'!$E30:$Z30,MIN(E$6-$G$3,22))&lt;&gt;""),'Feijão 2ª safra'!$E30:INDEX('Feijão 2ª safra'!$E30:$Z30,MIN(E$6-$G$3,22))),0)))))</f>
        <v>0</v>
      </c>
      <c r="F32" s="27" t="n">
        <f aca="false">IF(COUNT('Feijão 2ª safra'!$E30:$Z30)=0,0,MAX(0,IF((F$6-$E$3)&lt;1,0,IFERROR(LOOKUP(2,1/('Feijão 2ª safra'!$E30:INDEX('Feijão 2ª safra'!$E30:$Z30,MIN(F$6-$E$3,22))&lt;&gt;""),'Feijão 2ª safra'!$E30:INDEX('Feijão 2ª safra'!$E30:$Z30,MIN(F$6-$E$3,22))),0))-IF($G$2,0,IF((F$6-$G$3)&lt;1,0,IFERROR(LOOKUP(2,1/('Feijão 2ª safra'!$E30:INDEX('Feijão 2ª safra'!$E30:$Z30,MIN(F$6-$G$3,22))&lt;&gt;""),'Feijão 2ª safra'!$E30:INDEX('Feijão 2ª safra'!$E30:$Z30,MIN(F$6-$G$3,22))),0)))))</f>
        <v>0</v>
      </c>
      <c r="G32" s="27" t="n">
        <f aca="false">IF(COUNT('Feijão 2ª safra'!$E30:$Z30)=0,0,MAX(0,IF((G$6-$E$3)&lt;1,0,IFERROR(LOOKUP(2,1/('Feijão 2ª safra'!$E30:INDEX('Feijão 2ª safra'!$E30:$Z30,MIN(G$6-$E$3,22))&lt;&gt;""),'Feijão 2ª safra'!$E30:INDEX('Feijão 2ª safra'!$E30:$Z30,MIN(G$6-$E$3,22))),0))-IF($G$2,0,IF((G$6-$G$3)&lt;1,0,IFERROR(LOOKUP(2,1/('Feijão 2ª safra'!$E30:INDEX('Feijão 2ª safra'!$E30:$Z30,MIN(G$6-$G$3,22))&lt;&gt;""),'Feijão 2ª safra'!$E30:INDEX('Feijão 2ª safra'!$E30:$Z30,MIN(G$6-$G$3,22))),0)))))</f>
        <v>0</v>
      </c>
      <c r="H32" s="27" t="n">
        <f aca="false">IF(COUNT('Feijão 2ª safra'!$E30:$Z30)=0,0,MAX(0,IF((H$6-$E$3)&lt;1,0,IFERROR(LOOKUP(2,1/('Feijão 2ª safra'!$E30:INDEX('Feijão 2ª safra'!$E30:$Z30,MIN(H$6-$E$3,22))&lt;&gt;""),'Feijão 2ª safra'!$E30:INDEX('Feijão 2ª safra'!$E30:$Z30,MIN(H$6-$E$3,22))),0))-IF($G$2,0,IF((H$6-$G$3)&lt;1,0,IFERROR(LOOKUP(2,1/('Feijão 2ª safra'!$E30:INDEX('Feijão 2ª safra'!$E30:$Z30,MIN(H$6-$G$3,22))&lt;&gt;""),'Feijão 2ª safra'!$E30:INDEX('Feijão 2ª safra'!$E30:$Z30,MIN(H$6-$G$3,22))),0)))))</f>
        <v>0</v>
      </c>
      <c r="I32" s="27" t="n">
        <f aca="false">IF(COUNT('Feijão 2ª safra'!$E30:$Z30)=0,0,MAX(0,IF((I$6-$E$3)&lt;1,0,IFERROR(LOOKUP(2,1/('Feijão 2ª safra'!$E30:INDEX('Feijão 2ª safra'!$E30:$Z30,MIN(I$6-$E$3,22))&lt;&gt;""),'Feijão 2ª safra'!$E30:INDEX('Feijão 2ª safra'!$E30:$Z30,MIN(I$6-$E$3,22))),0))-IF($G$2,0,IF((I$6-$G$3)&lt;1,0,IFERROR(LOOKUP(2,1/('Feijão 2ª safra'!$E30:INDEX('Feijão 2ª safra'!$E30:$Z30,MIN(I$6-$G$3,22))&lt;&gt;""),'Feijão 2ª safra'!$E30:INDEX('Feijão 2ª safra'!$E30:$Z30,MIN(I$6-$G$3,22))),0)))))</f>
        <v>0</v>
      </c>
      <c r="J32" s="27" t="n">
        <f aca="false">IF(COUNT('Feijão 2ª safra'!$E30:$Z30)=0,0,MAX(0,IF((J$6-$E$3)&lt;1,0,IFERROR(LOOKUP(2,1/('Feijão 2ª safra'!$E30:INDEX('Feijão 2ª safra'!$E30:$Z30,MIN(J$6-$E$3,22))&lt;&gt;""),'Feijão 2ª safra'!$E30:INDEX('Feijão 2ª safra'!$E30:$Z30,MIN(J$6-$E$3,22))),0))-IF($G$2,0,IF((J$6-$G$3)&lt;1,0,IFERROR(LOOKUP(2,1/('Feijão 2ª safra'!$E30:INDEX('Feijão 2ª safra'!$E30:$Z30,MIN(J$6-$G$3,22))&lt;&gt;""),'Feijão 2ª safra'!$E30:INDEX('Feijão 2ª safra'!$E30:$Z30,MIN(J$6-$G$3,22))),0)))))</f>
        <v>0</v>
      </c>
      <c r="K32" s="27" t="n">
        <f aca="false">IF(COUNT('Feijão 2ª safra'!$E30:$Z30)=0,0,MAX(0,IF((K$6-$E$3)&lt;1,0,IFERROR(LOOKUP(2,1/('Feijão 2ª safra'!$E30:INDEX('Feijão 2ª safra'!$E30:$Z30,MIN(K$6-$E$3,22))&lt;&gt;""),'Feijão 2ª safra'!$E30:INDEX('Feijão 2ª safra'!$E30:$Z30,MIN(K$6-$E$3,22))),0))-IF($G$2,0,IF((K$6-$G$3)&lt;1,0,IFERROR(LOOKUP(2,1/('Feijão 2ª safra'!$E30:INDEX('Feijão 2ª safra'!$E30:$Z30,MIN(K$6-$G$3,22))&lt;&gt;""),'Feijão 2ª safra'!$E30:INDEX('Feijão 2ª safra'!$E30:$Z30,MIN(K$6-$G$3,22))),0)))))</f>
        <v>0</v>
      </c>
      <c r="L32" s="27" t="n">
        <f aca="false">IF(COUNT('Feijão 2ª safra'!$E30:$Z30)=0,0,MAX(0,IF((L$6-$E$3)&lt;1,0,IFERROR(LOOKUP(2,1/('Feijão 2ª safra'!$E30:INDEX('Feijão 2ª safra'!$E30:$Z30,MIN(L$6-$E$3,22))&lt;&gt;""),'Feijão 2ª safra'!$E30:INDEX('Feijão 2ª safra'!$E30:$Z30,MIN(L$6-$E$3,22))),0))-IF($G$2,0,IF((L$6-$G$3)&lt;1,0,IFERROR(LOOKUP(2,1/('Feijão 2ª safra'!$E30:INDEX('Feijão 2ª safra'!$E30:$Z30,MIN(L$6-$G$3,22))&lt;&gt;""),'Feijão 2ª safra'!$E30:INDEX('Feijão 2ª safra'!$E30:$Z30,MIN(L$6-$G$3,22))),0)))))</f>
        <v>0</v>
      </c>
      <c r="M32" s="27" t="n">
        <f aca="false">IF(COUNT('Feijão 2ª safra'!$E30:$Z30)=0,0,MAX(0,IF((M$6-$E$3)&lt;1,0,IFERROR(LOOKUP(2,1/('Feijão 2ª safra'!$E30:INDEX('Feijão 2ª safra'!$E30:$Z30,MIN(M$6-$E$3,22))&lt;&gt;""),'Feijão 2ª safra'!$E30:INDEX('Feijão 2ª safra'!$E30:$Z30,MIN(M$6-$E$3,22))),0))-IF($G$2,0,IF((M$6-$G$3)&lt;1,0,IFERROR(LOOKUP(2,1/('Feijão 2ª safra'!$E30:INDEX('Feijão 2ª safra'!$E30:$Z30,MIN(M$6-$G$3,22))&lt;&gt;""),'Feijão 2ª safra'!$E30:INDEX('Feijão 2ª safra'!$E30:$Z30,MIN(M$6-$G$3,22))),0)))))</f>
        <v>0</v>
      </c>
      <c r="N32" s="27" t="n">
        <f aca="false">IF(COUNT('Feijão 2ª safra'!$E30:$Z30)=0,0,MAX(0,IF((N$6-$E$3)&lt;1,0,IFERROR(LOOKUP(2,1/('Feijão 2ª safra'!$E30:INDEX('Feijão 2ª safra'!$E30:$Z30,MIN(N$6-$E$3,22))&lt;&gt;""),'Feijão 2ª safra'!$E30:INDEX('Feijão 2ª safra'!$E30:$Z30,MIN(N$6-$E$3,22))),0))-IF($G$2,0,IF((N$6-$G$3)&lt;1,0,IFERROR(LOOKUP(2,1/('Feijão 2ª safra'!$E30:INDEX('Feijão 2ª safra'!$E30:$Z30,MIN(N$6-$G$3,22))&lt;&gt;""),'Feijão 2ª safra'!$E30:INDEX('Feijão 2ª safra'!$E30:$Z30,MIN(N$6-$G$3,22))),0)))))</f>
        <v>0</v>
      </c>
      <c r="O32" s="27" t="n">
        <f aca="false">IF(COUNT('Feijão 2ª safra'!$E30:$Z30)=0,0,MAX(0,IF((O$6-$E$3)&lt;1,0,IFERROR(LOOKUP(2,1/('Feijão 2ª safra'!$E30:INDEX('Feijão 2ª safra'!$E30:$Z30,MIN(O$6-$E$3,22))&lt;&gt;""),'Feijão 2ª safra'!$E30:INDEX('Feijão 2ª safra'!$E30:$Z30,MIN(O$6-$E$3,22))),0))-IF($G$2,0,IF((O$6-$G$3)&lt;1,0,IFERROR(LOOKUP(2,1/('Feijão 2ª safra'!$E30:INDEX('Feijão 2ª safra'!$E30:$Z30,MIN(O$6-$G$3,22))&lt;&gt;""),'Feijão 2ª safra'!$E30:INDEX('Feijão 2ª safra'!$E30:$Z30,MIN(O$6-$G$3,22))),0)))))</f>
        <v>0</v>
      </c>
      <c r="P32" s="27" t="n">
        <f aca="false">IF(COUNT('Feijão 2ª safra'!$E30:$Z30)=0,0,MAX(0,IF((P$6-$E$3)&lt;1,0,IFERROR(LOOKUP(2,1/('Feijão 2ª safra'!$E30:INDEX('Feijão 2ª safra'!$E30:$Z30,MIN(P$6-$E$3,22))&lt;&gt;""),'Feijão 2ª safra'!$E30:INDEX('Feijão 2ª safra'!$E30:$Z30,MIN(P$6-$E$3,22))),0))-IF($G$2,0,IF((P$6-$G$3)&lt;1,0,IFERROR(LOOKUP(2,1/('Feijão 2ª safra'!$E30:INDEX('Feijão 2ª safra'!$E30:$Z30,MIN(P$6-$G$3,22))&lt;&gt;""),'Feijão 2ª safra'!$E30:INDEX('Feijão 2ª safra'!$E30:$Z30,MIN(P$6-$G$3,22))),0)))))</f>
        <v>0</v>
      </c>
      <c r="Q32" s="27" t="n">
        <f aca="false">IF(COUNT('Feijão 2ª safra'!$E30:$Z30)=0,0,MAX(0,IF((Q$6-$E$3)&lt;1,0,IFERROR(LOOKUP(2,1/('Feijão 2ª safra'!$E30:INDEX('Feijão 2ª safra'!$E30:$Z30,MIN(Q$6-$E$3,22))&lt;&gt;""),'Feijão 2ª safra'!$E30:INDEX('Feijão 2ª safra'!$E30:$Z30,MIN(Q$6-$E$3,22))),0))-IF($G$2,0,IF((Q$6-$G$3)&lt;1,0,IFERROR(LOOKUP(2,1/('Feijão 2ª safra'!$E30:INDEX('Feijão 2ª safra'!$E30:$Z30,MIN(Q$6-$G$3,22))&lt;&gt;""),'Feijão 2ª safra'!$E30:INDEX('Feijão 2ª safra'!$E30:$Z30,MIN(Q$6-$G$3,22))),0)))))</f>
        <v>0</v>
      </c>
      <c r="R32" s="27" t="n">
        <f aca="false">IF(COUNT('Feijão 2ª safra'!$E30:$Z30)=0,0,MAX(0,IF((R$6-$E$3)&lt;1,0,IFERROR(LOOKUP(2,1/('Feijão 2ª safra'!$E30:INDEX('Feijão 2ª safra'!$E30:$Z30,MIN(R$6-$E$3,22))&lt;&gt;""),'Feijão 2ª safra'!$E30:INDEX('Feijão 2ª safra'!$E30:$Z30,MIN(R$6-$E$3,22))),0))-IF($G$2,0,IF((R$6-$G$3)&lt;1,0,IFERROR(LOOKUP(2,1/('Feijão 2ª safra'!$E30:INDEX('Feijão 2ª safra'!$E30:$Z30,MIN(R$6-$G$3,22))&lt;&gt;""),'Feijão 2ª safra'!$E30:INDEX('Feijão 2ª safra'!$E30:$Z30,MIN(R$6-$G$3,22))),0)))))</f>
        <v>0</v>
      </c>
      <c r="S32" s="27" t="n">
        <f aca="false">IF(COUNT('Feijão 2ª safra'!$E30:$Z30)=0,0,MAX(0,IF((S$6-$E$3)&lt;1,0,IFERROR(LOOKUP(2,1/('Feijão 2ª safra'!$E30:INDEX('Feijão 2ª safra'!$E30:$Z30,MIN(S$6-$E$3,22))&lt;&gt;""),'Feijão 2ª safra'!$E30:INDEX('Feijão 2ª safra'!$E30:$Z30,MIN(S$6-$E$3,22))),0))-IF($G$2,0,IF((S$6-$G$3)&lt;1,0,IFERROR(LOOKUP(2,1/('Feijão 2ª safra'!$E30:INDEX('Feijão 2ª safra'!$E30:$Z30,MIN(S$6-$G$3,22))&lt;&gt;""),'Feijão 2ª safra'!$E30:INDEX('Feijão 2ª safra'!$E30:$Z30,MIN(S$6-$G$3,22))),0)))))</f>
        <v>0</v>
      </c>
      <c r="T32" s="27" t="n">
        <f aca="false">IF(COUNT('Feijão 2ª safra'!$E30:$Z30)=0,0,MAX(0,IF((T$6-$E$3)&lt;1,0,IFERROR(LOOKUP(2,1/('Feijão 2ª safra'!$E30:INDEX('Feijão 2ª safra'!$E30:$Z30,MIN(T$6-$E$3,22))&lt;&gt;""),'Feijão 2ª safra'!$E30:INDEX('Feijão 2ª safra'!$E30:$Z30,MIN(T$6-$E$3,22))),0))-IF($G$2,0,IF((T$6-$G$3)&lt;1,0,IFERROR(LOOKUP(2,1/('Feijão 2ª safra'!$E30:INDEX('Feijão 2ª safra'!$E30:$Z30,MIN(T$6-$G$3,22))&lt;&gt;""),'Feijão 2ª safra'!$E30:INDEX('Feijão 2ª safra'!$E30:$Z30,MIN(T$6-$G$3,22))),0)))))</f>
        <v>0</v>
      </c>
      <c r="U32" s="27" t="n">
        <f aca="false">IF(COUNT('Feijão 2ª safra'!$E30:$Z30)=0,0,MAX(0,IF((U$6-$E$3)&lt;1,0,IFERROR(LOOKUP(2,1/('Feijão 2ª safra'!$E30:INDEX('Feijão 2ª safra'!$E30:$Z30,MIN(U$6-$E$3,22))&lt;&gt;""),'Feijão 2ª safra'!$E30:INDEX('Feijão 2ª safra'!$E30:$Z30,MIN(U$6-$E$3,22))),0))-IF($G$2,0,IF((U$6-$G$3)&lt;1,0,IFERROR(LOOKUP(2,1/('Feijão 2ª safra'!$E30:INDEX('Feijão 2ª safra'!$E30:$Z30,MIN(U$6-$G$3,22))&lt;&gt;""),'Feijão 2ª safra'!$E30:INDEX('Feijão 2ª safra'!$E30:$Z30,MIN(U$6-$G$3,22))),0)))))</f>
        <v>0</v>
      </c>
      <c r="V32" s="27" t="n">
        <f aca="false">IF(COUNT('Feijão 2ª safra'!$E30:$Z30)=0,0,MAX(0,IF((V$6-$E$3)&lt;1,0,IFERROR(LOOKUP(2,1/('Feijão 2ª safra'!$E30:INDEX('Feijão 2ª safra'!$E30:$Z30,MIN(V$6-$E$3,22))&lt;&gt;""),'Feijão 2ª safra'!$E30:INDEX('Feijão 2ª safra'!$E30:$Z30,MIN(V$6-$E$3,22))),0))-IF($G$2,0,IF((V$6-$G$3)&lt;1,0,IFERROR(LOOKUP(2,1/('Feijão 2ª safra'!$E30:INDEX('Feijão 2ª safra'!$E30:$Z30,MIN(V$6-$G$3,22))&lt;&gt;""),'Feijão 2ª safra'!$E30:INDEX('Feijão 2ª safra'!$E30:$Z30,MIN(V$6-$G$3,22))),0)))))</f>
        <v>0</v>
      </c>
      <c r="W32" s="27" t="n">
        <f aca="false">IF(COUNT('Feijão 2ª safra'!$E30:$Z30)=0,0,MAX(0,IF((W$6-$E$3)&lt;1,0,IFERROR(LOOKUP(2,1/('Feijão 2ª safra'!$E30:INDEX('Feijão 2ª safra'!$E30:$Z30,MIN(W$6-$E$3,22))&lt;&gt;""),'Feijão 2ª safra'!$E30:INDEX('Feijão 2ª safra'!$E30:$Z30,MIN(W$6-$E$3,22))),0))-IF($G$2,0,IF((W$6-$G$3)&lt;1,0,IFERROR(LOOKUP(2,1/('Feijão 2ª safra'!$E30:INDEX('Feijão 2ª safra'!$E30:$Z30,MIN(W$6-$G$3,22))&lt;&gt;""),'Feijão 2ª safra'!$E30:INDEX('Feijão 2ª safra'!$E30:$Z30,MIN(W$6-$G$3,22))),0)))))</f>
        <v>0</v>
      </c>
      <c r="X32" s="27" t="n">
        <f aca="false">IF(COUNT('Feijão 2ª safra'!$E30:$Z30)=0,0,MAX(0,IF((X$6-$E$3)&lt;1,0,IFERROR(LOOKUP(2,1/('Feijão 2ª safra'!$E30:INDEX('Feijão 2ª safra'!$E30:$Z30,MIN(X$6-$E$3,22))&lt;&gt;""),'Feijão 2ª safra'!$E30:INDEX('Feijão 2ª safra'!$E30:$Z30,MIN(X$6-$E$3,22))),0))-IF($G$2,0,IF((X$6-$G$3)&lt;1,0,IFERROR(LOOKUP(2,1/('Feijão 2ª safra'!$E30:INDEX('Feijão 2ª safra'!$E30:$Z30,MIN(X$6-$G$3,22))&lt;&gt;""),'Feijão 2ª safra'!$E30:INDEX('Feijão 2ª safra'!$E30:$Z30,MIN(X$6-$G$3,22))),0)))))</f>
        <v>0</v>
      </c>
      <c r="Y32" s="27" t="n">
        <f aca="false">IF(COUNT('Feijão 2ª safra'!$E30:$Z30)=0,0,MAX(0,IF((Y$6-$E$3)&lt;1,0,IFERROR(LOOKUP(2,1/('Feijão 2ª safra'!$E30:INDEX('Feijão 2ª safra'!$E30:$Z30,MIN(Y$6-$E$3,22))&lt;&gt;""),'Feijão 2ª safra'!$E30:INDEX('Feijão 2ª safra'!$E30:$Z30,MIN(Y$6-$E$3,22))),0))-IF($G$2,0,IF((Y$6-$G$3)&lt;1,0,IFERROR(LOOKUP(2,1/('Feijão 2ª safra'!$E30:INDEX('Feijão 2ª safra'!$E30:$Z30,MIN(Y$6-$G$3,22))&lt;&gt;""),'Feijão 2ª safra'!$E30:INDEX('Feijão 2ª safra'!$E30:$Z30,MIN(Y$6-$G$3,22))),0)))))</f>
        <v>0</v>
      </c>
      <c r="Z32" s="27" t="n">
        <f aca="false">IF(COUNT('Feijão 2ª safra'!$E30:$Z30)=0,0,MAX(0,IF((Z$6-$E$3)&lt;1,0,IFERROR(LOOKUP(2,1/('Feijão 2ª safra'!$E30:INDEX('Feijão 2ª safra'!$E30:$Z30,MIN(Z$6-$E$3,22))&lt;&gt;""),'Feijão 2ª safra'!$E30:INDEX('Feijão 2ª safra'!$E30:$Z30,MIN(Z$6-$E$3,22))),0))-IF($G$2,0,IF((Z$6-$G$3)&lt;1,0,IFERROR(LOOKUP(2,1/('Feijão 2ª safra'!$E30:INDEX('Feijão 2ª safra'!$E30:$Z30,MIN(Z$6-$G$3,22))&lt;&gt;""),'Feijão 2ª safra'!$E30:INDEX('Feijão 2ª safra'!$E30:$Z30,MIN(Z$6-$G$3,22))),0)))))</f>
        <v>0</v>
      </c>
      <c r="AA32" s="27" t="n">
        <f aca="false">IF(COUNT('Feijão 2ª safra'!$E30:$Z30)=0,0,MAX(0,IF((AA$6-$E$3)&lt;1,0,IFERROR(LOOKUP(2,1/('Feijão 2ª safra'!$E30:INDEX('Feijão 2ª safra'!$E30:$Z30,MIN(AA$6-$E$3,22))&lt;&gt;""),'Feijão 2ª safra'!$E30:INDEX('Feijão 2ª safra'!$E30:$Z30,MIN(AA$6-$E$3,22))),0))-IF($G$2,0,IF((AA$6-$G$3)&lt;1,0,IFERROR(LOOKUP(2,1/('Feijão 2ª safra'!$E30:INDEX('Feijão 2ª safra'!$E30:$Z30,MIN(AA$6-$G$3,22))&lt;&gt;""),'Feijão 2ª safra'!$E30:INDEX('Feijão 2ª safra'!$E30:$Z30,MIN(AA$6-$G$3,22))),0)))))</f>
        <v>0</v>
      </c>
      <c r="AB32" s="27" t="n">
        <f aca="false">IF(COUNT('Feijão 2ª safra'!$E30:$Z30)=0,0,MAX(0,IF((AB$6-$E$3)&lt;1,0,IFERROR(LOOKUP(2,1/('Feijão 2ª safra'!$E30:INDEX('Feijão 2ª safra'!$E30:$Z30,MIN(AB$6-$E$3,22))&lt;&gt;""),'Feijão 2ª safra'!$E30:INDEX('Feijão 2ª safra'!$E30:$Z30,MIN(AB$6-$E$3,22))),0))-IF($G$2,0,IF((AB$6-$G$3)&lt;1,0,IFERROR(LOOKUP(2,1/('Feijão 2ª safra'!$E30:INDEX('Feijão 2ª safra'!$E30:$Z30,MIN(AB$6-$G$3,22))&lt;&gt;""),'Feijão 2ª safra'!$E30:INDEX('Feijão 2ª safra'!$E30:$Z30,MIN(AB$6-$G$3,22))),0)))))</f>
        <v>0</v>
      </c>
      <c r="AC32" s="27" t="n">
        <f aca="false">IF(COUNT('Feijão 2ª safra'!$E30:$Z30)=0,0,MAX(0,IF((AC$6-$E$3)&lt;1,0,IFERROR(LOOKUP(2,1/('Feijão 2ª safra'!$E30:INDEX('Feijão 2ª safra'!$E30:$Z30,MIN(AC$6-$E$3,22))&lt;&gt;""),'Feijão 2ª safra'!$E30:INDEX('Feijão 2ª safra'!$E30:$Z30,MIN(AC$6-$E$3,22))),0))-IF($G$2,0,IF((AC$6-$G$3)&lt;1,0,IFERROR(LOOKUP(2,1/('Feijão 2ª safra'!$E30:INDEX('Feijão 2ª safra'!$E30:$Z30,MIN(AC$6-$G$3,22))&lt;&gt;""),'Feijão 2ª safra'!$E30:INDEX('Feijão 2ª safra'!$E30:$Z30,MIN(AC$6-$G$3,22))),0)))))</f>
        <v>0</v>
      </c>
      <c r="AD32" s="27" t="n">
        <f aca="false">IF(COUNT('Feijão 2ª safra'!$E30:$Z30)=0,0,MAX(0,IF((AD$6-$E$3)&lt;1,0,IFERROR(LOOKUP(2,1/('Feijão 2ª safra'!$E30:INDEX('Feijão 2ª safra'!$E30:$Z30,MIN(AD$6-$E$3,22))&lt;&gt;""),'Feijão 2ª safra'!$E30:INDEX('Feijão 2ª safra'!$E30:$Z30,MIN(AD$6-$E$3,22))),0))-IF($G$2,0,IF((AD$6-$G$3)&lt;1,0,IFERROR(LOOKUP(2,1/('Feijão 2ª safra'!$E30:INDEX('Feijão 2ª safra'!$E30:$Z30,MIN(AD$6-$G$3,22))&lt;&gt;""),'Feijão 2ª safra'!$E30:INDEX('Feijão 2ª safra'!$E30:$Z30,MIN(AD$6-$G$3,22))),0)))))</f>
        <v>0</v>
      </c>
      <c r="AE32" s="27" t="n">
        <f aca="false">IF(COUNT('Feijão 2ª safra'!$E30:$Z30)=0,0,MAX(0,IF((AE$6-$E$3)&lt;1,0,IFERROR(LOOKUP(2,1/('Feijão 2ª safra'!$E30:INDEX('Feijão 2ª safra'!$E30:$Z30,MIN(AE$6-$E$3,22))&lt;&gt;""),'Feijão 2ª safra'!$E30:INDEX('Feijão 2ª safra'!$E30:$Z30,MIN(AE$6-$E$3,22))),0))-IF($G$2,0,IF((AE$6-$G$3)&lt;1,0,IFERROR(LOOKUP(2,1/('Feijão 2ª safra'!$E30:INDEX('Feijão 2ª safra'!$E30:$Z30,MIN(AE$6-$G$3,22))&lt;&gt;""),'Feijão 2ª safra'!$E30:INDEX('Feijão 2ª safra'!$E30:$Z30,MIN(AE$6-$G$3,22))),0)))))</f>
        <v>0</v>
      </c>
      <c r="AF32" s="27" t="n">
        <f aca="false">IF(COUNT('Feijão 2ª safra'!$E30:$Z30)=0,0,MAX(0,IF((AF$6-$E$3)&lt;1,0,IFERROR(LOOKUP(2,1/('Feijão 2ª safra'!$E30:INDEX('Feijão 2ª safra'!$E30:$Z30,MIN(AF$6-$E$3,22))&lt;&gt;""),'Feijão 2ª safra'!$E30:INDEX('Feijão 2ª safra'!$E30:$Z30,MIN(AF$6-$E$3,22))),0))-IF($G$2,0,IF((AF$6-$G$3)&lt;1,0,IFERROR(LOOKUP(2,1/('Feijão 2ª safra'!$E30:INDEX('Feijão 2ª safra'!$E30:$Z30,MIN(AF$6-$G$3,22))&lt;&gt;""),'Feijão 2ª safra'!$E30:INDEX('Feijão 2ª safra'!$E30:$Z30,MIN(AF$6-$G$3,22))),0)))))</f>
        <v>0</v>
      </c>
      <c r="AG32" s="27" t="n">
        <f aca="false">IF(COUNT('Feijão 2ª safra'!$E30:$Z30)=0,0,MAX(0,IF((AG$6-$E$3)&lt;1,0,IFERROR(LOOKUP(2,1/('Feijão 2ª safra'!$E30:INDEX('Feijão 2ª safra'!$E30:$Z30,MIN(AG$6-$E$3,22))&lt;&gt;""),'Feijão 2ª safra'!$E30:INDEX('Feijão 2ª safra'!$E30:$Z30,MIN(AG$6-$E$3,22))),0))-IF($G$2,0,IF((AG$6-$G$3)&lt;1,0,IFERROR(LOOKUP(2,1/('Feijão 2ª safra'!$E30:INDEX('Feijão 2ª safra'!$E30:$Z30,MIN(AG$6-$G$3,22))&lt;&gt;""),'Feijão 2ª safra'!$E30:INDEX('Feijão 2ª safra'!$E30:$Z30,MIN(AG$6-$G$3,22))),0)))))</f>
        <v>0</v>
      </c>
      <c r="AH32" s="27" t="n">
        <f aca="false">IF(COUNT('Feijão 2ª safra'!$E30:$Z30)=0,0,MAX(0,IF((AH$6-$E$3)&lt;1,0,IFERROR(LOOKUP(2,1/('Feijão 2ª safra'!$E30:INDEX('Feijão 2ª safra'!$E30:$Z30,MIN(AH$6-$E$3,22))&lt;&gt;""),'Feijão 2ª safra'!$E30:INDEX('Feijão 2ª safra'!$E30:$Z30,MIN(AH$6-$E$3,22))),0))-IF($G$2,0,IF((AH$6-$G$3)&lt;1,0,IFERROR(LOOKUP(2,1/('Feijão 2ª safra'!$E30:INDEX('Feijão 2ª safra'!$E30:$Z30,MIN(AH$6-$G$3,22))&lt;&gt;""),'Feijão 2ª safra'!$E30:INDEX('Feijão 2ª safra'!$E30:$Z30,MIN(AH$6-$G$3,22))),0)))))</f>
        <v>0</v>
      </c>
      <c r="AI32" s="27" t="n">
        <f aca="false">IF(COUNT('Feijão 2ª safra'!$E30:$Z30)=0,0,MAX(0,IF((AI$6-$E$3)&lt;1,0,IFERROR(LOOKUP(2,1/('Feijão 2ª safra'!$E30:INDEX('Feijão 2ª safra'!$E30:$Z30,MIN(AI$6-$E$3,22))&lt;&gt;""),'Feijão 2ª safra'!$E30:INDEX('Feijão 2ª safra'!$E30:$Z30,MIN(AI$6-$E$3,22))),0))-IF($G$2,0,IF((AI$6-$G$3)&lt;1,0,IFERROR(LOOKUP(2,1/('Feijão 2ª safra'!$E30:INDEX('Feijão 2ª safra'!$E30:$Z30,MIN(AI$6-$G$3,22))&lt;&gt;""),'Feijão 2ª safra'!$E30:INDEX('Feijão 2ª safra'!$E30:$Z30,MIN(AI$6-$G$3,22))),0)))))</f>
        <v>0</v>
      </c>
      <c r="AJ32" s="27" t="n">
        <f aca="false">IF(COUNT('Feijão 2ª safra'!$E30:$Z30)=0,0,MAX(0,IF((AJ$6-$E$3)&lt;1,0,IFERROR(LOOKUP(2,1/('Feijão 2ª safra'!$E30:INDEX('Feijão 2ª safra'!$E30:$Z30,MIN(AJ$6-$E$3,22))&lt;&gt;""),'Feijão 2ª safra'!$E30:INDEX('Feijão 2ª safra'!$E30:$Z30,MIN(AJ$6-$E$3,22))),0))-IF($G$2,0,IF((AJ$6-$G$3)&lt;1,0,IFERROR(LOOKUP(2,1/('Feijão 2ª safra'!$E30:INDEX('Feijão 2ª safra'!$E30:$Z30,MIN(AJ$6-$G$3,22))&lt;&gt;""),'Feijão 2ª safra'!$E30:INDEX('Feijão 2ª safra'!$E30:$Z30,MIN(AJ$6-$G$3,22))),0)))))</f>
        <v>0</v>
      </c>
      <c r="AK32" s="27" t="n">
        <f aca="false">IF(COUNT('Feijão 2ª safra'!$E30:$Z30)=0,0,MAX(0,IF((AK$6-$E$3)&lt;1,0,IFERROR(LOOKUP(2,1/('Feijão 2ª safra'!$E30:INDEX('Feijão 2ª safra'!$E30:$Z30,MIN(AK$6-$E$3,22))&lt;&gt;""),'Feijão 2ª safra'!$E30:INDEX('Feijão 2ª safra'!$E30:$Z30,MIN(AK$6-$E$3,22))),0))-IF($G$2,0,IF((AK$6-$G$3)&lt;1,0,IFERROR(LOOKUP(2,1/('Feijão 2ª safra'!$E30:INDEX('Feijão 2ª safra'!$E30:$Z30,MIN(AK$6-$G$3,22))&lt;&gt;""),'Feijão 2ª safra'!$E30:INDEX('Feijão 2ª safra'!$E30:$Z30,MIN(AK$6-$G$3,22))),0)))))</f>
        <v>0</v>
      </c>
      <c r="AL32" s="27" t="n">
        <f aca="false">IF(COUNT('Feijão 2ª safra'!$E30:$Z30)=0,0,MAX(0,IF((AL$6-$E$3)&lt;1,0,IFERROR(LOOKUP(2,1/('Feijão 2ª safra'!$E30:INDEX('Feijão 2ª safra'!$E30:$Z30,MIN(AL$6-$E$3,22))&lt;&gt;""),'Feijão 2ª safra'!$E30:INDEX('Feijão 2ª safra'!$E30:$Z30,MIN(AL$6-$E$3,22))),0))-IF($G$2,0,IF((AL$6-$G$3)&lt;1,0,IFERROR(LOOKUP(2,1/('Feijão 2ª safra'!$E30:INDEX('Feijão 2ª safra'!$E30:$Z30,MIN(AL$6-$G$3,22))&lt;&gt;""),'Feijão 2ª safra'!$E30:INDEX('Feijão 2ª safra'!$E30:$Z30,MIN(AL$6-$G$3,22))),0)))))</f>
        <v>0</v>
      </c>
      <c r="AM32" s="27" t="n">
        <f aca="false">IF(COUNT('Feijão 2ª safra'!$E30:$Z30)=0,0,MAX(0,IF((AM$6-$E$3)&lt;1,0,IFERROR(LOOKUP(2,1/('Feijão 2ª safra'!$E30:INDEX('Feijão 2ª safra'!$E30:$Z30,MIN(AM$6-$E$3,22))&lt;&gt;""),'Feijão 2ª safra'!$E30:INDEX('Feijão 2ª safra'!$E30:$Z30,MIN(AM$6-$E$3,22))),0))-IF($G$2,0,IF((AM$6-$G$3)&lt;1,0,IFERROR(LOOKUP(2,1/('Feijão 2ª safra'!$E30:INDEX('Feijão 2ª safra'!$E30:$Z30,MIN(AM$6-$G$3,22))&lt;&gt;""),'Feijão 2ª safra'!$E30:INDEX('Feijão 2ª safra'!$E30:$Z30,MIN(AM$6-$G$3,22))),0)))))</f>
        <v>0</v>
      </c>
      <c r="AN32" s="27" t="n">
        <f aca="false">IF(COUNT('Feijão 2ª safra'!$E30:$Z30)=0,0,MAX(0,IF((AN$6-$E$3)&lt;1,0,IFERROR(LOOKUP(2,1/('Feijão 2ª safra'!$E30:INDEX('Feijão 2ª safra'!$E30:$Z30,MIN(AN$6-$E$3,22))&lt;&gt;""),'Feijão 2ª safra'!$E30:INDEX('Feijão 2ª safra'!$E30:$Z30,MIN(AN$6-$E$3,22))),0))-IF($G$2,0,IF((AN$6-$G$3)&lt;1,0,IFERROR(LOOKUP(2,1/('Feijão 2ª safra'!$E30:INDEX('Feijão 2ª safra'!$E30:$Z30,MIN(AN$6-$G$3,22))&lt;&gt;""),'Feijão 2ª safra'!$E30:INDEX('Feijão 2ª safra'!$E30:$Z30,MIN(AN$6-$G$3,22))),0)))))</f>
        <v>0</v>
      </c>
      <c r="AO32" s="27" t="n">
        <f aca="false">IF(COUNT('Feijão 2ª safra'!$E30:$Z30)=0,0,MAX(0,IF((AO$6-$E$3)&lt;1,0,IFERROR(LOOKUP(2,1/('Feijão 2ª safra'!$E30:INDEX('Feijão 2ª safra'!$E30:$Z30,MIN(AO$6-$E$3,22))&lt;&gt;""),'Feijão 2ª safra'!$E30:INDEX('Feijão 2ª safra'!$E30:$Z30,MIN(AO$6-$E$3,22))),0))-IF($G$2,0,IF((AO$6-$G$3)&lt;1,0,IFERROR(LOOKUP(2,1/('Feijão 2ª safra'!$E30:INDEX('Feijão 2ª safra'!$E30:$Z30,MIN(AO$6-$G$3,22))&lt;&gt;""),'Feijão 2ª safra'!$E30:INDEX('Feijão 2ª safra'!$E30:$Z30,MIN(AO$6-$G$3,22))),0)))))</f>
        <v>0</v>
      </c>
      <c r="AP32" s="27" t="n">
        <f aca="false">IF(COUNT('Feijão 2ª safra'!$E30:$Z30)=0,0,MAX(0,IF((AP$6-$E$3)&lt;1,0,IFERROR(LOOKUP(2,1/('Feijão 2ª safra'!$E30:INDEX('Feijão 2ª safra'!$E30:$Z30,MIN(AP$6-$E$3,22))&lt;&gt;""),'Feijão 2ª safra'!$E30:INDEX('Feijão 2ª safra'!$E30:$Z30,MIN(AP$6-$E$3,22))),0))-IF($G$2,0,IF((AP$6-$G$3)&lt;1,0,IFERROR(LOOKUP(2,1/('Feijão 2ª safra'!$E30:INDEX('Feijão 2ª safra'!$E30:$Z30,MIN(AP$6-$G$3,22))&lt;&gt;""),'Feijão 2ª safra'!$E30:INDEX('Feijão 2ª safra'!$E30:$Z30,MIN(AP$6-$G$3,22))),0)))))</f>
        <v>0</v>
      </c>
      <c r="AQ32" s="27" t="n">
        <f aca="false">IF(COUNT('Feijão 2ª safra'!$E30:$Z30)=0,0,MAX(0,IF((AQ$6-$E$3)&lt;1,0,IFERROR(LOOKUP(2,1/('Feijão 2ª safra'!$E30:INDEX('Feijão 2ª safra'!$E30:$Z30,MIN(AQ$6-$E$3,22))&lt;&gt;""),'Feijão 2ª safra'!$E30:INDEX('Feijão 2ª safra'!$E30:$Z30,MIN(AQ$6-$E$3,22))),0))-IF($G$2,0,IF((AQ$6-$G$3)&lt;1,0,IFERROR(LOOKUP(2,1/('Feijão 2ª safra'!$E30:INDEX('Feijão 2ª safra'!$E30:$Z30,MIN(AQ$6-$G$3,22))&lt;&gt;""),'Feijão 2ª safra'!$E30:INDEX('Feijão 2ª safra'!$E30:$Z30,MIN(AQ$6-$G$3,22))),0)))))</f>
        <v>0</v>
      </c>
      <c r="AR32" s="27" t="n">
        <f aca="false">IF(COUNT('Feijão 2ª safra'!$E30:$Z30)=0,0,MAX(0,IF((AR$6-$E$3)&lt;1,0,IFERROR(LOOKUP(2,1/('Feijão 2ª safra'!$E30:INDEX('Feijão 2ª safra'!$E30:$Z30,MIN(AR$6-$E$3,22))&lt;&gt;""),'Feijão 2ª safra'!$E30:INDEX('Feijão 2ª safra'!$E30:$Z30,MIN(AR$6-$E$3,22))),0))-IF($G$2,0,IF((AR$6-$G$3)&lt;1,0,IFERROR(LOOKUP(2,1/('Feijão 2ª safra'!$E30:INDEX('Feijão 2ª safra'!$E30:$Z30,MIN(AR$6-$G$3,22))&lt;&gt;""),'Feijão 2ª safra'!$E30:INDEX('Feijão 2ª safra'!$E30:$Z30,MIN(AR$6-$G$3,22))),0)))))</f>
        <v>0</v>
      </c>
      <c r="AS32" s="27" t="n">
        <f aca="false">IF(COUNT('Feijão 2ª safra'!$E30:$Z30)=0,0,MAX(0,IF((AS$6-$E$3)&lt;1,0,IFERROR(LOOKUP(2,1/('Feijão 2ª safra'!$E30:INDEX('Feijão 2ª safra'!$E30:$Z30,MIN(AS$6-$E$3,22))&lt;&gt;""),'Feijão 2ª safra'!$E30:INDEX('Feijão 2ª safra'!$E30:$Z30,MIN(AS$6-$E$3,22))),0))-IF($G$2,0,IF((AS$6-$G$3)&lt;1,0,IFERROR(LOOKUP(2,1/('Feijão 2ª safra'!$E30:INDEX('Feijão 2ª safra'!$E30:$Z30,MIN(AS$6-$G$3,22))&lt;&gt;""),'Feijão 2ª safra'!$E30:INDEX('Feijão 2ª safra'!$E30:$Z30,MIN(AS$6-$G$3,22))),0)))))</f>
        <v>0</v>
      </c>
      <c r="AT32" s="27" t="n">
        <f aca="false">IF(COUNT('Feijão 2ª safra'!$E30:$Z30)=0,0,MAX(0,IF((AT$6-$E$3)&lt;1,0,IFERROR(LOOKUP(2,1/('Feijão 2ª safra'!$E30:INDEX('Feijão 2ª safra'!$E30:$Z30,MIN(AT$6-$E$3,22))&lt;&gt;""),'Feijão 2ª safra'!$E30:INDEX('Feijão 2ª safra'!$E30:$Z30,MIN(AT$6-$E$3,22))),0))-IF($G$2,0,IF((AT$6-$G$3)&lt;1,0,IFERROR(LOOKUP(2,1/('Feijão 2ª safra'!$E30:INDEX('Feijão 2ª safra'!$E30:$Z30,MIN(AT$6-$G$3,22))&lt;&gt;""),'Feijão 2ª safra'!$E30:INDEX('Feijão 2ª safra'!$E30:$Z30,MIN(AT$6-$G$3,22))),0)))))</f>
        <v>0</v>
      </c>
      <c r="AU32" s="27" t="n">
        <f aca="false">IF(COUNT('Feijão 2ª safra'!$E30:$Z30)=0,0,MAX(0,IF((AU$6-$E$3)&lt;1,0,IFERROR(LOOKUP(2,1/('Feijão 2ª safra'!$E30:INDEX('Feijão 2ª safra'!$E30:$Z30,MIN(AU$6-$E$3,22))&lt;&gt;""),'Feijão 2ª safra'!$E30:INDEX('Feijão 2ª safra'!$E30:$Z30,MIN(AU$6-$E$3,22))),0))-IF($G$2,0,IF((AU$6-$G$3)&lt;1,0,IFERROR(LOOKUP(2,1/('Feijão 2ª safra'!$E30:INDEX('Feijão 2ª safra'!$E30:$Z30,MIN(AU$6-$G$3,22))&lt;&gt;""),'Feijão 2ª safra'!$E30:INDEX('Feijão 2ª safra'!$E30:$Z30,MIN(AU$6-$G$3,22))),0)))))</f>
        <v>0</v>
      </c>
      <c r="AV32" s="27" t="n">
        <f aca="false">IF(COUNT('Feijão 2ª safra'!$E30:$Z30)=0,0,MAX(0,IF((AV$6-$E$3)&lt;1,0,IFERROR(LOOKUP(2,1/('Feijão 2ª safra'!$E30:INDEX('Feijão 2ª safra'!$E30:$Z30,MIN(AV$6-$E$3,22))&lt;&gt;""),'Feijão 2ª safra'!$E30:INDEX('Feijão 2ª safra'!$E30:$Z30,MIN(AV$6-$E$3,22))),0))-IF($G$2,0,IF((AV$6-$G$3)&lt;1,0,IFERROR(LOOKUP(2,1/('Feijão 2ª safra'!$E30:INDEX('Feijão 2ª safra'!$E30:$Z30,MIN(AV$6-$G$3,22))&lt;&gt;""),'Feijão 2ª safra'!$E30:INDEX('Feijão 2ª safra'!$E30:$Z30,MIN(AV$6-$G$3,22))),0)))))</f>
        <v>0</v>
      </c>
      <c r="AW32" s="27" t="n">
        <f aca="false">IF(COUNT('Feijão 2ª safra'!$E30:$Z30)=0,0,MAX(0,IF((AW$6-$E$3)&lt;1,0,IFERROR(LOOKUP(2,1/('Feijão 2ª safra'!$E30:INDEX('Feijão 2ª safra'!$E30:$Z30,MIN(AW$6-$E$3,22))&lt;&gt;""),'Feijão 2ª safra'!$E30:INDEX('Feijão 2ª safra'!$E30:$Z30,MIN(AW$6-$E$3,22))),0))-IF($G$2,0,IF((AW$6-$G$3)&lt;1,0,IFERROR(LOOKUP(2,1/('Feijão 2ª safra'!$E30:INDEX('Feijão 2ª safra'!$E30:$Z30,MIN(AW$6-$G$3,22))&lt;&gt;""),'Feijão 2ª safra'!$E30:INDEX('Feijão 2ª safra'!$E30:$Z30,MIN(AW$6-$G$3,22))),0)))))</f>
        <v>0</v>
      </c>
      <c r="AX32" s="27" t="n">
        <f aca="false">IF(COUNT('Feijão 2ª safra'!$E30:$Z30)=0,0,MAX(0,IF((AX$6-$E$3)&lt;1,0,IFERROR(LOOKUP(2,1/('Feijão 2ª safra'!$E30:INDEX('Feijão 2ª safra'!$E30:$Z30,MIN(AX$6-$E$3,22))&lt;&gt;""),'Feijão 2ª safra'!$E30:INDEX('Feijão 2ª safra'!$E30:$Z30,MIN(AX$6-$E$3,22))),0))-IF($G$2,0,IF((AX$6-$G$3)&lt;1,0,IFERROR(LOOKUP(2,1/('Feijão 2ª safra'!$E30:INDEX('Feijão 2ª safra'!$E30:$Z30,MIN(AX$6-$G$3,22))&lt;&gt;""),'Feijão 2ª safra'!$E30:INDEX('Feijão 2ª safra'!$E30:$Z30,MIN(AX$6-$G$3,22))),0)))))</f>
        <v>0</v>
      </c>
      <c r="AY32" s="27" t="n">
        <f aca="false">IF(COUNT('Feijão 2ª safra'!$E30:$Z30)=0,0,MAX(0,IF((AY$6-$E$3)&lt;1,0,IFERROR(LOOKUP(2,1/('Feijão 2ª safra'!$E30:INDEX('Feijão 2ª safra'!$E30:$Z30,MIN(AY$6-$E$3,22))&lt;&gt;""),'Feijão 2ª safra'!$E30:INDEX('Feijão 2ª safra'!$E30:$Z30,MIN(AY$6-$E$3,22))),0))-IF($G$2,0,IF((AY$6-$G$3)&lt;1,0,IFERROR(LOOKUP(2,1/('Feijão 2ª safra'!$E30:INDEX('Feijão 2ª safra'!$E30:$Z30,MIN(AY$6-$G$3,22))&lt;&gt;""),'Feijão 2ª safra'!$E30:INDEX('Feijão 2ª safra'!$E30:$Z30,MIN(AY$6-$G$3,22))),0)))))</f>
        <v>0</v>
      </c>
      <c r="AZ32" s="27" t="n">
        <f aca="false">IF(COUNT('Feijão 2ª safra'!$E30:$Z30)=0,0,MAX(0,IF((AZ$6-$E$3)&lt;1,0,IFERROR(LOOKUP(2,1/('Feijão 2ª safra'!$E30:INDEX('Feijão 2ª safra'!$E30:$Z30,MIN(AZ$6-$E$3,22))&lt;&gt;""),'Feijão 2ª safra'!$E30:INDEX('Feijão 2ª safra'!$E30:$Z30,MIN(AZ$6-$E$3,22))),0))-IF($G$2,0,IF((AZ$6-$G$3)&lt;1,0,IFERROR(LOOKUP(2,1/('Feijão 2ª safra'!$E30:INDEX('Feijão 2ª safra'!$E30:$Z30,MIN(AZ$6-$G$3,22))&lt;&gt;""),'Feijão 2ª safra'!$E30:INDEX('Feijão 2ª safra'!$E30:$Z30,MIN(AZ$6-$G$3,22))),0)))))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IF(COUNT('Feijão 2ª safra'!$E31:$Z31)&gt;0,N('Feijão 2ª safra'!$D31),0)</f>
        <v>0</v>
      </c>
      <c r="E33" s="27" t="n">
        <f aca="false">IF(COUNT('Feijão 2ª safra'!$E31:$Z31)=0,0,MAX(0,IF((E$6-$E$3)&lt;1,0,IFERROR(LOOKUP(2,1/('Feijão 2ª safra'!$E31:INDEX('Feijão 2ª safra'!$E31:$Z31,MIN(E$6-$E$3,22))&lt;&gt;""),'Feijão 2ª safra'!$E31:INDEX('Feijão 2ª safra'!$E31:$Z31,MIN(E$6-$E$3,22))),0))-IF($G$2,0,IF((E$6-$G$3)&lt;1,0,IFERROR(LOOKUP(2,1/('Feijão 2ª safra'!$E31:INDEX('Feijão 2ª safra'!$E31:$Z31,MIN(E$6-$G$3,22))&lt;&gt;""),'Feijão 2ª safra'!$E31:INDEX('Feijão 2ª safra'!$E31:$Z31,MIN(E$6-$G$3,22))),0)))))</f>
        <v>0</v>
      </c>
      <c r="F33" s="27" t="n">
        <f aca="false">IF(COUNT('Feijão 2ª safra'!$E31:$Z31)=0,0,MAX(0,IF((F$6-$E$3)&lt;1,0,IFERROR(LOOKUP(2,1/('Feijão 2ª safra'!$E31:INDEX('Feijão 2ª safra'!$E31:$Z31,MIN(F$6-$E$3,22))&lt;&gt;""),'Feijão 2ª safra'!$E31:INDEX('Feijão 2ª safra'!$E31:$Z31,MIN(F$6-$E$3,22))),0))-IF($G$2,0,IF((F$6-$G$3)&lt;1,0,IFERROR(LOOKUP(2,1/('Feijão 2ª safra'!$E31:INDEX('Feijão 2ª safra'!$E31:$Z31,MIN(F$6-$G$3,22))&lt;&gt;""),'Feijão 2ª safra'!$E31:INDEX('Feijão 2ª safra'!$E31:$Z31,MIN(F$6-$G$3,22))),0)))))</f>
        <v>0</v>
      </c>
      <c r="G33" s="27" t="n">
        <f aca="false">IF(COUNT('Feijão 2ª safra'!$E31:$Z31)=0,0,MAX(0,IF((G$6-$E$3)&lt;1,0,IFERROR(LOOKUP(2,1/('Feijão 2ª safra'!$E31:INDEX('Feijão 2ª safra'!$E31:$Z31,MIN(G$6-$E$3,22))&lt;&gt;""),'Feijão 2ª safra'!$E31:INDEX('Feijão 2ª safra'!$E31:$Z31,MIN(G$6-$E$3,22))),0))-IF($G$2,0,IF((G$6-$G$3)&lt;1,0,IFERROR(LOOKUP(2,1/('Feijão 2ª safra'!$E31:INDEX('Feijão 2ª safra'!$E31:$Z31,MIN(G$6-$G$3,22))&lt;&gt;""),'Feijão 2ª safra'!$E31:INDEX('Feijão 2ª safra'!$E31:$Z31,MIN(G$6-$G$3,22))),0)))))</f>
        <v>0</v>
      </c>
      <c r="H33" s="27" t="n">
        <f aca="false">IF(COUNT('Feijão 2ª safra'!$E31:$Z31)=0,0,MAX(0,IF((H$6-$E$3)&lt;1,0,IFERROR(LOOKUP(2,1/('Feijão 2ª safra'!$E31:INDEX('Feijão 2ª safra'!$E31:$Z31,MIN(H$6-$E$3,22))&lt;&gt;""),'Feijão 2ª safra'!$E31:INDEX('Feijão 2ª safra'!$E31:$Z31,MIN(H$6-$E$3,22))),0))-IF($G$2,0,IF((H$6-$G$3)&lt;1,0,IFERROR(LOOKUP(2,1/('Feijão 2ª safra'!$E31:INDEX('Feijão 2ª safra'!$E31:$Z31,MIN(H$6-$G$3,22))&lt;&gt;""),'Feijão 2ª safra'!$E31:INDEX('Feijão 2ª safra'!$E31:$Z31,MIN(H$6-$G$3,22))),0)))))</f>
        <v>0</v>
      </c>
      <c r="I33" s="27" t="n">
        <f aca="false">IF(COUNT('Feijão 2ª safra'!$E31:$Z31)=0,0,MAX(0,IF((I$6-$E$3)&lt;1,0,IFERROR(LOOKUP(2,1/('Feijão 2ª safra'!$E31:INDEX('Feijão 2ª safra'!$E31:$Z31,MIN(I$6-$E$3,22))&lt;&gt;""),'Feijão 2ª safra'!$E31:INDEX('Feijão 2ª safra'!$E31:$Z31,MIN(I$6-$E$3,22))),0))-IF($G$2,0,IF((I$6-$G$3)&lt;1,0,IFERROR(LOOKUP(2,1/('Feijão 2ª safra'!$E31:INDEX('Feijão 2ª safra'!$E31:$Z31,MIN(I$6-$G$3,22))&lt;&gt;""),'Feijão 2ª safra'!$E31:INDEX('Feijão 2ª safra'!$E31:$Z31,MIN(I$6-$G$3,22))),0)))))</f>
        <v>0</v>
      </c>
      <c r="J33" s="27" t="n">
        <f aca="false">IF(COUNT('Feijão 2ª safra'!$E31:$Z31)=0,0,MAX(0,IF((J$6-$E$3)&lt;1,0,IFERROR(LOOKUP(2,1/('Feijão 2ª safra'!$E31:INDEX('Feijão 2ª safra'!$E31:$Z31,MIN(J$6-$E$3,22))&lt;&gt;""),'Feijão 2ª safra'!$E31:INDEX('Feijão 2ª safra'!$E31:$Z31,MIN(J$6-$E$3,22))),0))-IF($G$2,0,IF((J$6-$G$3)&lt;1,0,IFERROR(LOOKUP(2,1/('Feijão 2ª safra'!$E31:INDEX('Feijão 2ª safra'!$E31:$Z31,MIN(J$6-$G$3,22))&lt;&gt;""),'Feijão 2ª safra'!$E31:INDEX('Feijão 2ª safra'!$E31:$Z31,MIN(J$6-$G$3,22))),0)))))</f>
        <v>0</v>
      </c>
      <c r="K33" s="27" t="n">
        <f aca="false">IF(COUNT('Feijão 2ª safra'!$E31:$Z31)=0,0,MAX(0,IF((K$6-$E$3)&lt;1,0,IFERROR(LOOKUP(2,1/('Feijão 2ª safra'!$E31:INDEX('Feijão 2ª safra'!$E31:$Z31,MIN(K$6-$E$3,22))&lt;&gt;""),'Feijão 2ª safra'!$E31:INDEX('Feijão 2ª safra'!$E31:$Z31,MIN(K$6-$E$3,22))),0))-IF($G$2,0,IF((K$6-$G$3)&lt;1,0,IFERROR(LOOKUP(2,1/('Feijão 2ª safra'!$E31:INDEX('Feijão 2ª safra'!$E31:$Z31,MIN(K$6-$G$3,22))&lt;&gt;""),'Feijão 2ª safra'!$E31:INDEX('Feijão 2ª safra'!$E31:$Z31,MIN(K$6-$G$3,22))),0)))))</f>
        <v>0</v>
      </c>
      <c r="L33" s="27" t="n">
        <f aca="false">IF(COUNT('Feijão 2ª safra'!$E31:$Z31)=0,0,MAX(0,IF((L$6-$E$3)&lt;1,0,IFERROR(LOOKUP(2,1/('Feijão 2ª safra'!$E31:INDEX('Feijão 2ª safra'!$E31:$Z31,MIN(L$6-$E$3,22))&lt;&gt;""),'Feijão 2ª safra'!$E31:INDEX('Feijão 2ª safra'!$E31:$Z31,MIN(L$6-$E$3,22))),0))-IF($G$2,0,IF((L$6-$G$3)&lt;1,0,IFERROR(LOOKUP(2,1/('Feijão 2ª safra'!$E31:INDEX('Feijão 2ª safra'!$E31:$Z31,MIN(L$6-$G$3,22))&lt;&gt;""),'Feijão 2ª safra'!$E31:INDEX('Feijão 2ª safra'!$E31:$Z31,MIN(L$6-$G$3,22))),0)))))</f>
        <v>0</v>
      </c>
      <c r="M33" s="27" t="n">
        <f aca="false">IF(COUNT('Feijão 2ª safra'!$E31:$Z31)=0,0,MAX(0,IF((M$6-$E$3)&lt;1,0,IFERROR(LOOKUP(2,1/('Feijão 2ª safra'!$E31:INDEX('Feijão 2ª safra'!$E31:$Z31,MIN(M$6-$E$3,22))&lt;&gt;""),'Feijão 2ª safra'!$E31:INDEX('Feijão 2ª safra'!$E31:$Z31,MIN(M$6-$E$3,22))),0))-IF($G$2,0,IF((M$6-$G$3)&lt;1,0,IFERROR(LOOKUP(2,1/('Feijão 2ª safra'!$E31:INDEX('Feijão 2ª safra'!$E31:$Z31,MIN(M$6-$G$3,22))&lt;&gt;""),'Feijão 2ª safra'!$E31:INDEX('Feijão 2ª safra'!$E31:$Z31,MIN(M$6-$G$3,22))),0)))))</f>
        <v>0</v>
      </c>
      <c r="N33" s="27" t="n">
        <f aca="false">IF(COUNT('Feijão 2ª safra'!$E31:$Z31)=0,0,MAX(0,IF((N$6-$E$3)&lt;1,0,IFERROR(LOOKUP(2,1/('Feijão 2ª safra'!$E31:INDEX('Feijão 2ª safra'!$E31:$Z31,MIN(N$6-$E$3,22))&lt;&gt;""),'Feijão 2ª safra'!$E31:INDEX('Feijão 2ª safra'!$E31:$Z31,MIN(N$6-$E$3,22))),0))-IF($G$2,0,IF((N$6-$G$3)&lt;1,0,IFERROR(LOOKUP(2,1/('Feijão 2ª safra'!$E31:INDEX('Feijão 2ª safra'!$E31:$Z31,MIN(N$6-$G$3,22))&lt;&gt;""),'Feijão 2ª safra'!$E31:INDEX('Feijão 2ª safra'!$E31:$Z31,MIN(N$6-$G$3,22))),0)))))</f>
        <v>0</v>
      </c>
      <c r="O33" s="27" t="n">
        <f aca="false">IF(COUNT('Feijão 2ª safra'!$E31:$Z31)=0,0,MAX(0,IF((O$6-$E$3)&lt;1,0,IFERROR(LOOKUP(2,1/('Feijão 2ª safra'!$E31:INDEX('Feijão 2ª safra'!$E31:$Z31,MIN(O$6-$E$3,22))&lt;&gt;""),'Feijão 2ª safra'!$E31:INDEX('Feijão 2ª safra'!$E31:$Z31,MIN(O$6-$E$3,22))),0))-IF($G$2,0,IF((O$6-$G$3)&lt;1,0,IFERROR(LOOKUP(2,1/('Feijão 2ª safra'!$E31:INDEX('Feijão 2ª safra'!$E31:$Z31,MIN(O$6-$G$3,22))&lt;&gt;""),'Feijão 2ª safra'!$E31:INDEX('Feijão 2ª safra'!$E31:$Z31,MIN(O$6-$G$3,22))),0)))))</f>
        <v>0</v>
      </c>
      <c r="P33" s="27" t="n">
        <f aca="false">IF(COUNT('Feijão 2ª safra'!$E31:$Z31)=0,0,MAX(0,IF((P$6-$E$3)&lt;1,0,IFERROR(LOOKUP(2,1/('Feijão 2ª safra'!$E31:INDEX('Feijão 2ª safra'!$E31:$Z31,MIN(P$6-$E$3,22))&lt;&gt;""),'Feijão 2ª safra'!$E31:INDEX('Feijão 2ª safra'!$E31:$Z31,MIN(P$6-$E$3,22))),0))-IF($G$2,0,IF((P$6-$G$3)&lt;1,0,IFERROR(LOOKUP(2,1/('Feijão 2ª safra'!$E31:INDEX('Feijão 2ª safra'!$E31:$Z31,MIN(P$6-$G$3,22))&lt;&gt;""),'Feijão 2ª safra'!$E31:INDEX('Feijão 2ª safra'!$E31:$Z31,MIN(P$6-$G$3,22))),0)))))</f>
        <v>0</v>
      </c>
      <c r="Q33" s="27" t="n">
        <f aca="false">IF(COUNT('Feijão 2ª safra'!$E31:$Z31)=0,0,MAX(0,IF((Q$6-$E$3)&lt;1,0,IFERROR(LOOKUP(2,1/('Feijão 2ª safra'!$E31:INDEX('Feijão 2ª safra'!$E31:$Z31,MIN(Q$6-$E$3,22))&lt;&gt;""),'Feijão 2ª safra'!$E31:INDEX('Feijão 2ª safra'!$E31:$Z31,MIN(Q$6-$E$3,22))),0))-IF($G$2,0,IF((Q$6-$G$3)&lt;1,0,IFERROR(LOOKUP(2,1/('Feijão 2ª safra'!$E31:INDEX('Feijão 2ª safra'!$E31:$Z31,MIN(Q$6-$G$3,22))&lt;&gt;""),'Feijão 2ª safra'!$E31:INDEX('Feijão 2ª safra'!$E31:$Z31,MIN(Q$6-$G$3,22))),0)))))</f>
        <v>0</v>
      </c>
      <c r="R33" s="27" t="n">
        <f aca="false">IF(COUNT('Feijão 2ª safra'!$E31:$Z31)=0,0,MAX(0,IF((R$6-$E$3)&lt;1,0,IFERROR(LOOKUP(2,1/('Feijão 2ª safra'!$E31:INDEX('Feijão 2ª safra'!$E31:$Z31,MIN(R$6-$E$3,22))&lt;&gt;""),'Feijão 2ª safra'!$E31:INDEX('Feijão 2ª safra'!$E31:$Z31,MIN(R$6-$E$3,22))),0))-IF($G$2,0,IF((R$6-$G$3)&lt;1,0,IFERROR(LOOKUP(2,1/('Feijão 2ª safra'!$E31:INDEX('Feijão 2ª safra'!$E31:$Z31,MIN(R$6-$G$3,22))&lt;&gt;""),'Feijão 2ª safra'!$E31:INDEX('Feijão 2ª safra'!$E31:$Z31,MIN(R$6-$G$3,22))),0)))))</f>
        <v>0</v>
      </c>
      <c r="S33" s="27" t="n">
        <f aca="false">IF(COUNT('Feijão 2ª safra'!$E31:$Z31)=0,0,MAX(0,IF((S$6-$E$3)&lt;1,0,IFERROR(LOOKUP(2,1/('Feijão 2ª safra'!$E31:INDEX('Feijão 2ª safra'!$E31:$Z31,MIN(S$6-$E$3,22))&lt;&gt;""),'Feijão 2ª safra'!$E31:INDEX('Feijão 2ª safra'!$E31:$Z31,MIN(S$6-$E$3,22))),0))-IF($G$2,0,IF((S$6-$G$3)&lt;1,0,IFERROR(LOOKUP(2,1/('Feijão 2ª safra'!$E31:INDEX('Feijão 2ª safra'!$E31:$Z31,MIN(S$6-$G$3,22))&lt;&gt;""),'Feijão 2ª safra'!$E31:INDEX('Feijão 2ª safra'!$E31:$Z31,MIN(S$6-$G$3,22))),0)))))</f>
        <v>0</v>
      </c>
      <c r="T33" s="27" t="n">
        <f aca="false">IF(COUNT('Feijão 2ª safra'!$E31:$Z31)=0,0,MAX(0,IF((T$6-$E$3)&lt;1,0,IFERROR(LOOKUP(2,1/('Feijão 2ª safra'!$E31:INDEX('Feijão 2ª safra'!$E31:$Z31,MIN(T$6-$E$3,22))&lt;&gt;""),'Feijão 2ª safra'!$E31:INDEX('Feijão 2ª safra'!$E31:$Z31,MIN(T$6-$E$3,22))),0))-IF($G$2,0,IF((T$6-$G$3)&lt;1,0,IFERROR(LOOKUP(2,1/('Feijão 2ª safra'!$E31:INDEX('Feijão 2ª safra'!$E31:$Z31,MIN(T$6-$G$3,22))&lt;&gt;""),'Feijão 2ª safra'!$E31:INDEX('Feijão 2ª safra'!$E31:$Z31,MIN(T$6-$G$3,22))),0)))))</f>
        <v>0</v>
      </c>
      <c r="U33" s="27" t="n">
        <f aca="false">IF(COUNT('Feijão 2ª safra'!$E31:$Z31)=0,0,MAX(0,IF((U$6-$E$3)&lt;1,0,IFERROR(LOOKUP(2,1/('Feijão 2ª safra'!$E31:INDEX('Feijão 2ª safra'!$E31:$Z31,MIN(U$6-$E$3,22))&lt;&gt;""),'Feijão 2ª safra'!$E31:INDEX('Feijão 2ª safra'!$E31:$Z31,MIN(U$6-$E$3,22))),0))-IF($G$2,0,IF((U$6-$G$3)&lt;1,0,IFERROR(LOOKUP(2,1/('Feijão 2ª safra'!$E31:INDEX('Feijão 2ª safra'!$E31:$Z31,MIN(U$6-$G$3,22))&lt;&gt;""),'Feijão 2ª safra'!$E31:INDEX('Feijão 2ª safra'!$E31:$Z31,MIN(U$6-$G$3,22))),0)))))</f>
        <v>0</v>
      </c>
      <c r="V33" s="27" t="n">
        <f aca="false">IF(COUNT('Feijão 2ª safra'!$E31:$Z31)=0,0,MAX(0,IF((V$6-$E$3)&lt;1,0,IFERROR(LOOKUP(2,1/('Feijão 2ª safra'!$E31:INDEX('Feijão 2ª safra'!$E31:$Z31,MIN(V$6-$E$3,22))&lt;&gt;""),'Feijão 2ª safra'!$E31:INDEX('Feijão 2ª safra'!$E31:$Z31,MIN(V$6-$E$3,22))),0))-IF($G$2,0,IF((V$6-$G$3)&lt;1,0,IFERROR(LOOKUP(2,1/('Feijão 2ª safra'!$E31:INDEX('Feijão 2ª safra'!$E31:$Z31,MIN(V$6-$G$3,22))&lt;&gt;""),'Feijão 2ª safra'!$E31:INDEX('Feijão 2ª safra'!$E31:$Z31,MIN(V$6-$G$3,22))),0)))))</f>
        <v>0</v>
      </c>
      <c r="W33" s="27" t="n">
        <f aca="false">IF(COUNT('Feijão 2ª safra'!$E31:$Z31)=0,0,MAX(0,IF((W$6-$E$3)&lt;1,0,IFERROR(LOOKUP(2,1/('Feijão 2ª safra'!$E31:INDEX('Feijão 2ª safra'!$E31:$Z31,MIN(W$6-$E$3,22))&lt;&gt;""),'Feijão 2ª safra'!$E31:INDEX('Feijão 2ª safra'!$E31:$Z31,MIN(W$6-$E$3,22))),0))-IF($G$2,0,IF((W$6-$G$3)&lt;1,0,IFERROR(LOOKUP(2,1/('Feijão 2ª safra'!$E31:INDEX('Feijão 2ª safra'!$E31:$Z31,MIN(W$6-$G$3,22))&lt;&gt;""),'Feijão 2ª safra'!$E31:INDEX('Feijão 2ª safra'!$E31:$Z31,MIN(W$6-$G$3,22))),0)))))</f>
        <v>0</v>
      </c>
      <c r="X33" s="27" t="n">
        <f aca="false">IF(COUNT('Feijão 2ª safra'!$E31:$Z31)=0,0,MAX(0,IF((X$6-$E$3)&lt;1,0,IFERROR(LOOKUP(2,1/('Feijão 2ª safra'!$E31:INDEX('Feijão 2ª safra'!$E31:$Z31,MIN(X$6-$E$3,22))&lt;&gt;""),'Feijão 2ª safra'!$E31:INDEX('Feijão 2ª safra'!$E31:$Z31,MIN(X$6-$E$3,22))),0))-IF($G$2,0,IF((X$6-$G$3)&lt;1,0,IFERROR(LOOKUP(2,1/('Feijão 2ª safra'!$E31:INDEX('Feijão 2ª safra'!$E31:$Z31,MIN(X$6-$G$3,22))&lt;&gt;""),'Feijão 2ª safra'!$E31:INDEX('Feijão 2ª safra'!$E31:$Z31,MIN(X$6-$G$3,22))),0)))))</f>
        <v>0</v>
      </c>
      <c r="Y33" s="27" t="n">
        <f aca="false">IF(COUNT('Feijão 2ª safra'!$E31:$Z31)=0,0,MAX(0,IF((Y$6-$E$3)&lt;1,0,IFERROR(LOOKUP(2,1/('Feijão 2ª safra'!$E31:INDEX('Feijão 2ª safra'!$E31:$Z31,MIN(Y$6-$E$3,22))&lt;&gt;""),'Feijão 2ª safra'!$E31:INDEX('Feijão 2ª safra'!$E31:$Z31,MIN(Y$6-$E$3,22))),0))-IF($G$2,0,IF((Y$6-$G$3)&lt;1,0,IFERROR(LOOKUP(2,1/('Feijão 2ª safra'!$E31:INDEX('Feijão 2ª safra'!$E31:$Z31,MIN(Y$6-$G$3,22))&lt;&gt;""),'Feijão 2ª safra'!$E31:INDEX('Feijão 2ª safra'!$E31:$Z31,MIN(Y$6-$G$3,22))),0)))))</f>
        <v>0</v>
      </c>
      <c r="Z33" s="27" t="n">
        <f aca="false">IF(COUNT('Feijão 2ª safra'!$E31:$Z31)=0,0,MAX(0,IF((Z$6-$E$3)&lt;1,0,IFERROR(LOOKUP(2,1/('Feijão 2ª safra'!$E31:INDEX('Feijão 2ª safra'!$E31:$Z31,MIN(Z$6-$E$3,22))&lt;&gt;""),'Feijão 2ª safra'!$E31:INDEX('Feijão 2ª safra'!$E31:$Z31,MIN(Z$6-$E$3,22))),0))-IF($G$2,0,IF((Z$6-$G$3)&lt;1,0,IFERROR(LOOKUP(2,1/('Feijão 2ª safra'!$E31:INDEX('Feijão 2ª safra'!$E31:$Z31,MIN(Z$6-$G$3,22))&lt;&gt;""),'Feijão 2ª safra'!$E31:INDEX('Feijão 2ª safra'!$E31:$Z31,MIN(Z$6-$G$3,22))),0)))))</f>
        <v>0</v>
      </c>
      <c r="AA33" s="27" t="n">
        <f aca="false">IF(COUNT('Feijão 2ª safra'!$E31:$Z31)=0,0,MAX(0,IF((AA$6-$E$3)&lt;1,0,IFERROR(LOOKUP(2,1/('Feijão 2ª safra'!$E31:INDEX('Feijão 2ª safra'!$E31:$Z31,MIN(AA$6-$E$3,22))&lt;&gt;""),'Feijão 2ª safra'!$E31:INDEX('Feijão 2ª safra'!$E31:$Z31,MIN(AA$6-$E$3,22))),0))-IF($G$2,0,IF((AA$6-$G$3)&lt;1,0,IFERROR(LOOKUP(2,1/('Feijão 2ª safra'!$E31:INDEX('Feijão 2ª safra'!$E31:$Z31,MIN(AA$6-$G$3,22))&lt;&gt;""),'Feijão 2ª safra'!$E31:INDEX('Feijão 2ª safra'!$E31:$Z31,MIN(AA$6-$G$3,22))),0)))))</f>
        <v>0</v>
      </c>
      <c r="AB33" s="27" t="n">
        <f aca="false">IF(COUNT('Feijão 2ª safra'!$E31:$Z31)=0,0,MAX(0,IF((AB$6-$E$3)&lt;1,0,IFERROR(LOOKUP(2,1/('Feijão 2ª safra'!$E31:INDEX('Feijão 2ª safra'!$E31:$Z31,MIN(AB$6-$E$3,22))&lt;&gt;""),'Feijão 2ª safra'!$E31:INDEX('Feijão 2ª safra'!$E31:$Z31,MIN(AB$6-$E$3,22))),0))-IF($G$2,0,IF((AB$6-$G$3)&lt;1,0,IFERROR(LOOKUP(2,1/('Feijão 2ª safra'!$E31:INDEX('Feijão 2ª safra'!$E31:$Z31,MIN(AB$6-$G$3,22))&lt;&gt;""),'Feijão 2ª safra'!$E31:INDEX('Feijão 2ª safra'!$E31:$Z31,MIN(AB$6-$G$3,22))),0)))))</f>
        <v>0</v>
      </c>
      <c r="AC33" s="27" t="n">
        <f aca="false">IF(COUNT('Feijão 2ª safra'!$E31:$Z31)=0,0,MAX(0,IF((AC$6-$E$3)&lt;1,0,IFERROR(LOOKUP(2,1/('Feijão 2ª safra'!$E31:INDEX('Feijão 2ª safra'!$E31:$Z31,MIN(AC$6-$E$3,22))&lt;&gt;""),'Feijão 2ª safra'!$E31:INDEX('Feijão 2ª safra'!$E31:$Z31,MIN(AC$6-$E$3,22))),0))-IF($G$2,0,IF((AC$6-$G$3)&lt;1,0,IFERROR(LOOKUP(2,1/('Feijão 2ª safra'!$E31:INDEX('Feijão 2ª safra'!$E31:$Z31,MIN(AC$6-$G$3,22))&lt;&gt;""),'Feijão 2ª safra'!$E31:INDEX('Feijão 2ª safra'!$E31:$Z31,MIN(AC$6-$G$3,22))),0)))))</f>
        <v>0</v>
      </c>
      <c r="AD33" s="27" t="n">
        <f aca="false">IF(COUNT('Feijão 2ª safra'!$E31:$Z31)=0,0,MAX(0,IF((AD$6-$E$3)&lt;1,0,IFERROR(LOOKUP(2,1/('Feijão 2ª safra'!$E31:INDEX('Feijão 2ª safra'!$E31:$Z31,MIN(AD$6-$E$3,22))&lt;&gt;""),'Feijão 2ª safra'!$E31:INDEX('Feijão 2ª safra'!$E31:$Z31,MIN(AD$6-$E$3,22))),0))-IF($G$2,0,IF((AD$6-$G$3)&lt;1,0,IFERROR(LOOKUP(2,1/('Feijão 2ª safra'!$E31:INDEX('Feijão 2ª safra'!$E31:$Z31,MIN(AD$6-$G$3,22))&lt;&gt;""),'Feijão 2ª safra'!$E31:INDEX('Feijão 2ª safra'!$E31:$Z31,MIN(AD$6-$G$3,22))),0)))))</f>
        <v>0</v>
      </c>
      <c r="AE33" s="27" t="n">
        <f aca="false">IF(COUNT('Feijão 2ª safra'!$E31:$Z31)=0,0,MAX(0,IF((AE$6-$E$3)&lt;1,0,IFERROR(LOOKUP(2,1/('Feijão 2ª safra'!$E31:INDEX('Feijão 2ª safra'!$E31:$Z31,MIN(AE$6-$E$3,22))&lt;&gt;""),'Feijão 2ª safra'!$E31:INDEX('Feijão 2ª safra'!$E31:$Z31,MIN(AE$6-$E$3,22))),0))-IF($G$2,0,IF((AE$6-$G$3)&lt;1,0,IFERROR(LOOKUP(2,1/('Feijão 2ª safra'!$E31:INDEX('Feijão 2ª safra'!$E31:$Z31,MIN(AE$6-$G$3,22))&lt;&gt;""),'Feijão 2ª safra'!$E31:INDEX('Feijão 2ª safra'!$E31:$Z31,MIN(AE$6-$G$3,22))),0)))))</f>
        <v>0</v>
      </c>
      <c r="AF33" s="27" t="n">
        <f aca="false">IF(COUNT('Feijão 2ª safra'!$E31:$Z31)=0,0,MAX(0,IF((AF$6-$E$3)&lt;1,0,IFERROR(LOOKUP(2,1/('Feijão 2ª safra'!$E31:INDEX('Feijão 2ª safra'!$E31:$Z31,MIN(AF$6-$E$3,22))&lt;&gt;""),'Feijão 2ª safra'!$E31:INDEX('Feijão 2ª safra'!$E31:$Z31,MIN(AF$6-$E$3,22))),0))-IF($G$2,0,IF((AF$6-$G$3)&lt;1,0,IFERROR(LOOKUP(2,1/('Feijão 2ª safra'!$E31:INDEX('Feijão 2ª safra'!$E31:$Z31,MIN(AF$6-$G$3,22))&lt;&gt;""),'Feijão 2ª safra'!$E31:INDEX('Feijão 2ª safra'!$E31:$Z31,MIN(AF$6-$G$3,22))),0)))))</f>
        <v>0</v>
      </c>
      <c r="AG33" s="27" t="n">
        <f aca="false">IF(COUNT('Feijão 2ª safra'!$E31:$Z31)=0,0,MAX(0,IF((AG$6-$E$3)&lt;1,0,IFERROR(LOOKUP(2,1/('Feijão 2ª safra'!$E31:INDEX('Feijão 2ª safra'!$E31:$Z31,MIN(AG$6-$E$3,22))&lt;&gt;""),'Feijão 2ª safra'!$E31:INDEX('Feijão 2ª safra'!$E31:$Z31,MIN(AG$6-$E$3,22))),0))-IF($G$2,0,IF((AG$6-$G$3)&lt;1,0,IFERROR(LOOKUP(2,1/('Feijão 2ª safra'!$E31:INDEX('Feijão 2ª safra'!$E31:$Z31,MIN(AG$6-$G$3,22))&lt;&gt;""),'Feijão 2ª safra'!$E31:INDEX('Feijão 2ª safra'!$E31:$Z31,MIN(AG$6-$G$3,22))),0)))))</f>
        <v>0</v>
      </c>
      <c r="AH33" s="27" t="n">
        <f aca="false">IF(COUNT('Feijão 2ª safra'!$E31:$Z31)=0,0,MAX(0,IF((AH$6-$E$3)&lt;1,0,IFERROR(LOOKUP(2,1/('Feijão 2ª safra'!$E31:INDEX('Feijão 2ª safra'!$E31:$Z31,MIN(AH$6-$E$3,22))&lt;&gt;""),'Feijão 2ª safra'!$E31:INDEX('Feijão 2ª safra'!$E31:$Z31,MIN(AH$6-$E$3,22))),0))-IF($G$2,0,IF((AH$6-$G$3)&lt;1,0,IFERROR(LOOKUP(2,1/('Feijão 2ª safra'!$E31:INDEX('Feijão 2ª safra'!$E31:$Z31,MIN(AH$6-$G$3,22))&lt;&gt;""),'Feijão 2ª safra'!$E31:INDEX('Feijão 2ª safra'!$E31:$Z31,MIN(AH$6-$G$3,22))),0)))))</f>
        <v>0</v>
      </c>
      <c r="AI33" s="27" t="n">
        <f aca="false">IF(COUNT('Feijão 2ª safra'!$E31:$Z31)=0,0,MAX(0,IF((AI$6-$E$3)&lt;1,0,IFERROR(LOOKUP(2,1/('Feijão 2ª safra'!$E31:INDEX('Feijão 2ª safra'!$E31:$Z31,MIN(AI$6-$E$3,22))&lt;&gt;""),'Feijão 2ª safra'!$E31:INDEX('Feijão 2ª safra'!$E31:$Z31,MIN(AI$6-$E$3,22))),0))-IF($G$2,0,IF((AI$6-$G$3)&lt;1,0,IFERROR(LOOKUP(2,1/('Feijão 2ª safra'!$E31:INDEX('Feijão 2ª safra'!$E31:$Z31,MIN(AI$6-$G$3,22))&lt;&gt;""),'Feijão 2ª safra'!$E31:INDEX('Feijão 2ª safra'!$E31:$Z31,MIN(AI$6-$G$3,22))),0)))))</f>
        <v>0</v>
      </c>
      <c r="AJ33" s="27" t="n">
        <f aca="false">IF(COUNT('Feijão 2ª safra'!$E31:$Z31)=0,0,MAX(0,IF((AJ$6-$E$3)&lt;1,0,IFERROR(LOOKUP(2,1/('Feijão 2ª safra'!$E31:INDEX('Feijão 2ª safra'!$E31:$Z31,MIN(AJ$6-$E$3,22))&lt;&gt;""),'Feijão 2ª safra'!$E31:INDEX('Feijão 2ª safra'!$E31:$Z31,MIN(AJ$6-$E$3,22))),0))-IF($G$2,0,IF((AJ$6-$G$3)&lt;1,0,IFERROR(LOOKUP(2,1/('Feijão 2ª safra'!$E31:INDEX('Feijão 2ª safra'!$E31:$Z31,MIN(AJ$6-$G$3,22))&lt;&gt;""),'Feijão 2ª safra'!$E31:INDEX('Feijão 2ª safra'!$E31:$Z31,MIN(AJ$6-$G$3,22))),0)))))</f>
        <v>0</v>
      </c>
      <c r="AK33" s="27" t="n">
        <f aca="false">IF(COUNT('Feijão 2ª safra'!$E31:$Z31)=0,0,MAX(0,IF((AK$6-$E$3)&lt;1,0,IFERROR(LOOKUP(2,1/('Feijão 2ª safra'!$E31:INDEX('Feijão 2ª safra'!$E31:$Z31,MIN(AK$6-$E$3,22))&lt;&gt;""),'Feijão 2ª safra'!$E31:INDEX('Feijão 2ª safra'!$E31:$Z31,MIN(AK$6-$E$3,22))),0))-IF($G$2,0,IF((AK$6-$G$3)&lt;1,0,IFERROR(LOOKUP(2,1/('Feijão 2ª safra'!$E31:INDEX('Feijão 2ª safra'!$E31:$Z31,MIN(AK$6-$G$3,22))&lt;&gt;""),'Feijão 2ª safra'!$E31:INDEX('Feijão 2ª safra'!$E31:$Z31,MIN(AK$6-$G$3,22))),0)))))</f>
        <v>0</v>
      </c>
      <c r="AL33" s="27" t="n">
        <f aca="false">IF(COUNT('Feijão 2ª safra'!$E31:$Z31)=0,0,MAX(0,IF((AL$6-$E$3)&lt;1,0,IFERROR(LOOKUP(2,1/('Feijão 2ª safra'!$E31:INDEX('Feijão 2ª safra'!$E31:$Z31,MIN(AL$6-$E$3,22))&lt;&gt;""),'Feijão 2ª safra'!$E31:INDEX('Feijão 2ª safra'!$E31:$Z31,MIN(AL$6-$E$3,22))),0))-IF($G$2,0,IF((AL$6-$G$3)&lt;1,0,IFERROR(LOOKUP(2,1/('Feijão 2ª safra'!$E31:INDEX('Feijão 2ª safra'!$E31:$Z31,MIN(AL$6-$G$3,22))&lt;&gt;""),'Feijão 2ª safra'!$E31:INDEX('Feijão 2ª safra'!$E31:$Z31,MIN(AL$6-$G$3,22))),0)))))</f>
        <v>0</v>
      </c>
      <c r="AM33" s="27" t="n">
        <f aca="false">IF(COUNT('Feijão 2ª safra'!$E31:$Z31)=0,0,MAX(0,IF((AM$6-$E$3)&lt;1,0,IFERROR(LOOKUP(2,1/('Feijão 2ª safra'!$E31:INDEX('Feijão 2ª safra'!$E31:$Z31,MIN(AM$6-$E$3,22))&lt;&gt;""),'Feijão 2ª safra'!$E31:INDEX('Feijão 2ª safra'!$E31:$Z31,MIN(AM$6-$E$3,22))),0))-IF($G$2,0,IF((AM$6-$G$3)&lt;1,0,IFERROR(LOOKUP(2,1/('Feijão 2ª safra'!$E31:INDEX('Feijão 2ª safra'!$E31:$Z31,MIN(AM$6-$G$3,22))&lt;&gt;""),'Feijão 2ª safra'!$E31:INDEX('Feijão 2ª safra'!$E31:$Z31,MIN(AM$6-$G$3,22))),0)))))</f>
        <v>0</v>
      </c>
      <c r="AN33" s="27" t="n">
        <f aca="false">IF(COUNT('Feijão 2ª safra'!$E31:$Z31)=0,0,MAX(0,IF((AN$6-$E$3)&lt;1,0,IFERROR(LOOKUP(2,1/('Feijão 2ª safra'!$E31:INDEX('Feijão 2ª safra'!$E31:$Z31,MIN(AN$6-$E$3,22))&lt;&gt;""),'Feijão 2ª safra'!$E31:INDEX('Feijão 2ª safra'!$E31:$Z31,MIN(AN$6-$E$3,22))),0))-IF($G$2,0,IF((AN$6-$G$3)&lt;1,0,IFERROR(LOOKUP(2,1/('Feijão 2ª safra'!$E31:INDEX('Feijão 2ª safra'!$E31:$Z31,MIN(AN$6-$G$3,22))&lt;&gt;""),'Feijão 2ª safra'!$E31:INDEX('Feijão 2ª safra'!$E31:$Z31,MIN(AN$6-$G$3,22))),0)))))</f>
        <v>0</v>
      </c>
      <c r="AO33" s="27" t="n">
        <f aca="false">IF(COUNT('Feijão 2ª safra'!$E31:$Z31)=0,0,MAX(0,IF((AO$6-$E$3)&lt;1,0,IFERROR(LOOKUP(2,1/('Feijão 2ª safra'!$E31:INDEX('Feijão 2ª safra'!$E31:$Z31,MIN(AO$6-$E$3,22))&lt;&gt;""),'Feijão 2ª safra'!$E31:INDEX('Feijão 2ª safra'!$E31:$Z31,MIN(AO$6-$E$3,22))),0))-IF($G$2,0,IF((AO$6-$G$3)&lt;1,0,IFERROR(LOOKUP(2,1/('Feijão 2ª safra'!$E31:INDEX('Feijão 2ª safra'!$E31:$Z31,MIN(AO$6-$G$3,22))&lt;&gt;""),'Feijão 2ª safra'!$E31:INDEX('Feijão 2ª safra'!$E31:$Z31,MIN(AO$6-$G$3,22))),0)))))</f>
        <v>0</v>
      </c>
      <c r="AP33" s="27" t="n">
        <f aca="false">IF(COUNT('Feijão 2ª safra'!$E31:$Z31)=0,0,MAX(0,IF((AP$6-$E$3)&lt;1,0,IFERROR(LOOKUP(2,1/('Feijão 2ª safra'!$E31:INDEX('Feijão 2ª safra'!$E31:$Z31,MIN(AP$6-$E$3,22))&lt;&gt;""),'Feijão 2ª safra'!$E31:INDEX('Feijão 2ª safra'!$E31:$Z31,MIN(AP$6-$E$3,22))),0))-IF($G$2,0,IF((AP$6-$G$3)&lt;1,0,IFERROR(LOOKUP(2,1/('Feijão 2ª safra'!$E31:INDEX('Feijão 2ª safra'!$E31:$Z31,MIN(AP$6-$G$3,22))&lt;&gt;""),'Feijão 2ª safra'!$E31:INDEX('Feijão 2ª safra'!$E31:$Z31,MIN(AP$6-$G$3,22))),0)))))</f>
        <v>0</v>
      </c>
      <c r="AQ33" s="27" t="n">
        <f aca="false">IF(COUNT('Feijão 2ª safra'!$E31:$Z31)=0,0,MAX(0,IF((AQ$6-$E$3)&lt;1,0,IFERROR(LOOKUP(2,1/('Feijão 2ª safra'!$E31:INDEX('Feijão 2ª safra'!$E31:$Z31,MIN(AQ$6-$E$3,22))&lt;&gt;""),'Feijão 2ª safra'!$E31:INDEX('Feijão 2ª safra'!$E31:$Z31,MIN(AQ$6-$E$3,22))),0))-IF($G$2,0,IF((AQ$6-$G$3)&lt;1,0,IFERROR(LOOKUP(2,1/('Feijão 2ª safra'!$E31:INDEX('Feijão 2ª safra'!$E31:$Z31,MIN(AQ$6-$G$3,22))&lt;&gt;""),'Feijão 2ª safra'!$E31:INDEX('Feijão 2ª safra'!$E31:$Z31,MIN(AQ$6-$G$3,22))),0)))))</f>
        <v>0</v>
      </c>
      <c r="AR33" s="27" t="n">
        <f aca="false">IF(COUNT('Feijão 2ª safra'!$E31:$Z31)=0,0,MAX(0,IF((AR$6-$E$3)&lt;1,0,IFERROR(LOOKUP(2,1/('Feijão 2ª safra'!$E31:INDEX('Feijão 2ª safra'!$E31:$Z31,MIN(AR$6-$E$3,22))&lt;&gt;""),'Feijão 2ª safra'!$E31:INDEX('Feijão 2ª safra'!$E31:$Z31,MIN(AR$6-$E$3,22))),0))-IF($G$2,0,IF((AR$6-$G$3)&lt;1,0,IFERROR(LOOKUP(2,1/('Feijão 2ª safra'!$E31:INDEX('Feijão 2ª safra'!$E31:$Z31,MIN(AR$6-$G$3,22))&lt;&gt;""),'Feijão 2ª safra'!$E31:INDEX('Feijão 2ª safra'!$E31:$Z31,MIN(AR$6-$G$3,22))),0)))))</f>
        <v>0</v>
      </c>
      <c r="AS33" s="27" t="n">
        <f aca="false">IF(COUNT('Feijão 2ª safra'!$E31:$Z31)=0,0,MAX(0,IF((AS$6-$E$3)&lt;1,0,IFERROR(LOOKUP(2,1/('Feijão 2ª safra'!$E31:INDEX('Feijão 2ª safra'!$E31:$Z31,MIN(AS$6-$E$3,22))&lt;&gt;""),'Feijão 2ª safra'!$E31:INDEX('Feijão 2ª safra'!$E31:$Z31,MIN(AS$6-$E$3,22))),0))-IF($G$2,0,IF((AS$6-$G$3)&lt;1,0,IFERROR(LOOKUP(2,1/('Feijão 2ª safra'!$E31:INDEX('Feijão 2ª safra'!$E31:$Z31,MIN(AS$6-$G$3,22))&lt;&gt;""),'Feijão 2ª safra'!$E31:INDEX('Feijão 2ª safra'!$E31:$Z31,MIN(AS$6-$G$3,22))),0)))))</f>
        <v>0</v>
      </c>
      <c r="AT33" s="27" t="n">
        <f aca="false">IF(COUNT('Feijão 2ª safra'!$E31:$Z31)=0,0,MAX(0,IF((AT$6-$E$3)&lt;1,0,IFERROR(LOOKUP(2,1/('Feijão 2ª safra'!$E31:INDEX('Feijão 2ª safra'!$E31:$Z31,MIN(AT$6-$E$3,22))&lt;&gt;""),'Feijão 2ª safra'!$E31:INDEX('Feijão 2ª safra'!$E31:$Z31,MIN(AT$6-$E$3,22))),0))-IF($G$2,0,IF((AT$6-$G$3)&lt;1,0,IFERROR(LOOKUP(2,1/('Feijão 2ª safra'!$E31:INDEX('Feijão 2ª safra'!$E31:$Z31,MIN(AT$6-$G$3,22))&lt;&gt;""),'Feijão 2ª safra'!$E31:INDEX('Feijão 2ª safra'!$E31:$Z31,MIN(AT$6-$G$3,22))),0)))))</f>
        <v>0</v>
      </c>
      <c r="AU33" s="27" t="n">
        <f aca="false">IF(COUNT('Feijão 2ª safra'!$E31:$Z31)=0,0,MAX(0,IF((AU$6-$E$3)&lt;1,0,IFERROR(LOOKUP(2,1/('Feijão 2ª safra'!$E31:INDEX('Feijão 2ª safra'!$E31:$Z31,MIN(AU$6-$E$3,22))&lt;&gt;""),'Feijão 2ª safra'!$E31:INDEX('Feijão 2ª safra'!$E31:$Z31,MIN(AU$6-$E$3,22))),0))-IF($G$2,0,IF((AU$6-$G$3)&lt;1,0,IFERROR(LOOKUP(2,1/('Feijão 2ª safra'!$E31:INDEX('Feijão 2ª safra'!$E31:$Z31,MIN(AU$6-$G$3,22))&lt;&gt;""),'Feijão 2ª safra'!$E31:INDEX('Feijão 2ª safra'!$E31:$Z31,MIN(AU$6-$G$3,22))),0)))))</f>
        <v>0</v>
      </c>
      <c r="AV33" s="27" t="n">
        <f aca="false">IF(COUNT('Feijão 2ª safra'!$E31:$Z31)=0,0,MAX(0,IF((AV$6-$E$3)&lt;1,0,IFERROR(LOOKUP(2,1/('Feijão 2ª safra'!$E31:INDEX('Feijão 2ª safra'!$E31:$Z31,MIN(AV$6-$E$3,22))&lt;&gt;""),'Feijão 2ª safra'!$E31:INDEX('Feijão 2ª safra'!$E31:$Z31,MIN(AV$6-$E$3,22))),0))-IF($G$2,0,IF((AV$6-$G$3)&lt;1,0,IFERROR(LOOKUP(2,1/('Feijão 2ª safra'!$E31:INDEX('Feijão 2ª safra'!$E31:$Z31,MIN(AV$6-$G$3,22))&lt;&gt;""),'Feijão 2ª safra'!$E31:INDEX('Feijão 2ª safra'!$E31:$Z31,MIN(AV$6-$G$3,22))),0)))))</f>
        <v>0</v>
      </c>
      <c r="AW33" s="27" t="n">
        <f aca="false">IF(COUNT('Feijão 2ª safra'!$E31:$Z31)=0,0,MAX(0,IF((AW$6-$E$3)&lt;1,0,IFERROR(LOOKUP(2,1/('Feijão 2ª safra'!$E31:INDEX('Feijão 2ª safra'!$E31:$Z31,MIN(AW$6-$E$3,22))&lt;&gt;""),'Feijão 2ª safra'!$E31:INDEX('Feijão 2ª safra'!$E31:$Z31,MIN(AW$6-$E$3,22))),0))-IF($G$2,0,IF((AW$6-$G$3)&lt;1,0,IFERROR(LOOKUP(2,1/('Feijão 2ª safra'!$E31:INDEX('Feijão 2ª safra'!$E31:$Z31,MIN(AW$6-$G$3,22))&lt;&gt;""),'Feijão 2ª safra'!$E31:INDEX('Feijão 2ª safra'!$E31:$Z31,MIN(AW$6-$G$3,22))),0)))))</f>
        <v>0</v>
      </c>
      <c r="AX33" s="27" t="n">
        <f aca="false">IF(COUNT('Feijão 2ª safra'!$E31:$Z31)=0,0,MAX(0,IF((AX$6-$E$3)&lt;1,0,IFERROR(LOOKUP(2,1/('Feijão 2ª safra'!$E31:INDEX('Feijão 2ª safra'!$E31:$Z31,MIN(AX$6-$E$3,22))&lt;&gt;""),'Feijão 2ª safra'!$E31:INDEX('Feijão 2ª safra'!$E31:$Z31,MIN(AX$6-$E$3,22))),0))-IF($G$2,0,IF((AX$6-$G$3)&lt;1,0,IFERROR(LOOKUP(2,1/('Feijão 2ª safra'!$E31:INDEX('Feijão 2ª safra'!$E31:$Z31,MIN(AX$6-$G$3,22))&lt;&gt;""),'Feijão 2ª safra'!$E31:INDEX('Feijão 2ª safra'!$E31:$Z31,MIN(AX$6-$G$3,22))),0)))))</f>
        <v>0</v>
      </c>
      <c r="AY33" s="27" t="n">
        <f aca="false">IF(COUNT('Feijão 2ª safra'!$E31:$Z31)=0,0,MAX(0,IF((AY$6-$E$3)&lt;1,0,IFERROR(LOOKUP(2,1/('Feijão 2ª safra'!$E31:INDEX('Feijão 2ª safra'!$E31:$Z31,MIN(AY$6-$E$3,22))&lt;&gt;""),'Feijão 2ª safra'!$E31:INDEX('Feijão 2ª safra'!$E31:$Z31,MIN(AY$6-$E$3,22))),0))-IF($G$2,0,IF((AY$6-$G$3)&lt;1,0,IFERROR(LOOKUP(2,1/('Feijão 2ª safra'!$E31:INDEX('Feijão 2ª safra'!$E31:$Z31,MIN(AY$6-$G$3,22))&lt;&gt;""),'Feijão 2ª safra'!$E31:INDEX('Feijão 2ª safra'!$E31:$Z31,MIN(AY$6-$G$3,22))),0)))))</f>
        <v>0</v>
      </c>
      <c r="AZ33" s="27" t="n">
        <f aca="false">IF(COUNT('Feijão 2ª safra'!$E31:$Z31)=0,0,MAX(0,IF((AZ$6-$E$3)&lt;1,0,IFERROR(LOOKUP(2,1/('Feijão 2ª safra'!$E31:INDEX('Feijão 2ª safra'!$E31:$Z31,MIN(AZ$6-$E$3,22))&lt;&gt;""),'Feijão 2ª safra'!$E31:INDEX('Feijão 2ª safra'!$E31:$Z31,MIN(AZ$6-$E$3,22))),0))-IF($G$2,0,IF((AZ$6-$G$3)&lt;1,0,IFERROR(LOOKUP(2,1/('Feijão 2ª safra'!$E31:INDEX('Feijão 2ª safra'!$E31:$Z31,MIN(AZ$6-$G$3,22))&lt;&gt;""),'Feijão 2ª safra'!$E31:INDEX('Feijão 2ª safra'!$E31:$Z31,MIN(AZ$6-$G$3,22))),0)))))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IF(COUNT('Feijão 2ª safra'!$E32:$Z32)&gt;0,N('Feijão 2ª safra'!$D32),0)</f>
        <v>0</v>
      </c>
      <c r="E34" s="27" t="n">
        <f aca="false">IF(COUNT('Feijão 2ª safra'!$E32:$Z32)=0,0,MAX(0,IF((E$6-$E$3)&lt;1,0,IFERROR(LOOKUP(2,1/('Feijão 2ª safra'!$E32:INDEX('Feijão 2ª safra'!$E32:$Z32,MIN(E$6-$E$3,22))&lt;&gt;""),'Feijão 2ª safra'!$E32:INDEX('Feijão 2ª safra'!$E32:$Z32,MIN(E$6-$E$3,22))),0))-IF($G$2,0,IF((E$6-$G$3)&lt;1,0,IFERROR(LOOKUP(2,1/('Feijão 2ª safra'!$E32:INDEX('Feijão 2ª safra'!$E32:$Z32,MIN(E$6-$G$3,22))&lt;&gt;""),'Feijão 2ª safra'!$E32:INDEX('Feijão 2ª safra'!$E32:$Z32,MIN(E$6-$G$3,22))),0)))))</f>
        <v>0</v>
      </c>
      <c r="F34" s="27" t="n">
        <f aca="false">IF(COUNT('Feijão 2ª safra'!$E32:$Z32)=0,0,MAX(0,IF((F$6-$E$3)&lt;1,0,IFERROR(LOOKUP(2,1/('Feijão 2ª safra'!$E32:INDEX('Feijão 2ª safra'!$E32:$Z32,MIN(F$6-$E$3,22))&lt;&gt;""),'Feijão 2ª safra'!$E32:INDEX('Feijão 2ª safra'!$E32:$Z32,MIN(F$6-$E$3,22))),0))-IF($G$2,0,IF((F$6-$G$3)&lt;1,0,IFERROR(LOOKUP(2,1/('Feijão 2ª safra'!$E32:INDEX('Feijão 2ª safra'!$E32:$Z32,MIN(F$6-$G$3,22))&lt;&gt;""),'Feijão 2ª safra'!$E32:INDEX('Feijão 2ª safra'!$E32:$Z32,MIN(F$6-$G$3,22))),0)))))</f>
        <v>0</v>
      </c>
      <c r="G34" s="27" t="n">
        <f aca="false">IF(COUNT('Feijão 2ª safra'!$E32:$Z32)=0,0,MAX(0,IF((G$6-$E$3)&lt;1,0,IFERROR(LOOKUP(2,1/('Feijão 2ª safra'!$E32:INDEX('Feijão 2ª safra'!$E32:$Z32,MIN(G$6-$E$3,22))&lt;&gt;""),'Feijão 2ª safra'!$E32:INDEX('Feijão 2ª safra'!$E32:$Z32,MIN(G$6-$E$3,22))),0))-IF($G$2,0,IF((G$6-$G$3)&lt;1,0,IFERROR(LOOKUP(2,1/('Feijão 2ª safra'!$E32:INDEX('Feijão 2ª safra'!$E32:$Z32,MIN(G$6-$G$3,22))&lt;&gt;""),'Feijão 2ª safra'!$E32:INDEX('Feijão 2ª safra'!$E32:$Z32,MIN(G$6-$G$3,22))),0)))))</f>
        <v>0</v>
      </c>
      <c r="H34" s="27" t="n">
        <f aca="false">IF(COUNT('Feijão 2ª safra'!$E32:$Z32)=0,0,MAX(0,IF((H$6-$E$3)&lt;1,0,IFERROR(LOOKUP(2,1/('Feijão 2ª safra'!$E32:INDEX('Feijão 2ª safra'!$E32:$Z32,MIN(H$6-$E$3,22))&lt;&gt;""),'Feijão 2ª safra'!$E32:INDEX('Feijão 2ª safra'!$E32:$Z32,MIN(H$6-$E$3,22))),0))-IF($G$2,0,IF((H$6-$G$3)&lt;1,0,IFERROR(LOOKUP(2,1/('Feijão 2ª safra'!$E32:INDEX('Feijão 2ª safra'!$E32:$Z32,MIN(H$6-$G$3,22))&lt;&gt;""),'Feijão 2ª safra'!$E32:INDEX('Feijão 2ª safra'!$E32:$Z32,MIN(H$6-$G$3,22))),0)))))</f>
        <v>0</v>
      </c>
      <c r="I34" s="27" t="n">
        <f aca="false">IF(COUNT('Feijão 2ª safra'!$E32:$Z32)=0,0,MAX(0,IF((I$6-$E$3)&lt;1,0,IFERROR(LOOKUP(2,1/('Feijão 2ª safra'!$E32:INDEX('Feijão 2ª safra'!$E32:$Z32,MIN(I$6-$E$3,22))&lt;&gt;""),'Feijão 2ª safra'!$E32:INDEX('Feijão 2ª safra'!$E32:$Z32,MIN(I$6-$E$3,22))),0))-IF($G$2,0,IF((I$6-$G$3)&lt;1,0,IFERROR(LOOKUP(2,1/('Feijão 2ª safra'!$E32:INDEX('Feijão 2ª safra'!$E32:$Z32,MIN(I$6-$G$3,22))&lt;&gt;""),'Feijão 2ª safra'!$E32:INDEX('Feijão 2ª safra'!$E32:$Z32,MIN(I$6-$G$3,22))),0)))))</f>
        <v>0</v>
      </c>
      <c r="J34" s="27" t="n">
        <f aca="false">IF(COUNT('Feijão 2ª safra'!$E32:$Z32)=0,0,MAX(0,IF((J$6-$E$3)&lt;1,0,IFERROR(LOOKUP(2,1/('Feijão 2ª safra'!$E32:INDEX('Feijão 2ª safra'!$E32:$Z32,MIN(J$6-$E$3,22))&lt;&gt;""),'Feijão 2ª safra'!$E32:INDEX('Feijão 2ª safra'!$E32:$Z32,MIN(J$6-$E$3,22))),0))-IF($G$2,0,IF((J$6-$G$3)&lt;1,0,IFERROR(LOOKUP(2,1/('Feijão 2ª safra'!$E32:INDEX('Feijão 2ª safra'!$E32:$Z32,MIN(J$6-$G$3,22))&lt;&gt;""),'Feijão 2ª safra'!$E32:INDEX('Feijão 2ª safra'!$E32:$Z32,MIN(J$6-$G$3,22))),0)))))</f>
        <v>0</v>
      </c>
      <c r="K34" s="27" t="n">
        <f aca="false">IF(COUNT('Feijão 2ª safra'!$E32:$Z32)=0,0,MAX(0,IF((K$6-$E$3)&lt;1,0,IFERROR(LOOKUP(2,1/('Feijão 2ª safra'!$E32:INDEX('Feijão 2ª safra'!$E32:$Z32,MIN(K$6-$E$3,22))&lt;&gt;""),'Feijão 2ª safra'!$E32:INDEX('Feijão 2ª safra'!$E32:$Z32,MIN(K$6-$E$3,22))),0))-IF($G$2,0,IF((K$6-$G$3)&lt;1,0,IFERROR(LOOKUP(2,1/('Feijão 2ª safra'!$E32:INDEX('Feijão 2ª safra'!$E32:$Z32,MIN(K$6-$G$3,22))&lt;&gt;""),'Feijão 2ª safra'!$E32:INDEX('Feijão 2ª safra'!$E32:$Z32,MIN(K$6-$G$3,22))),0)))))</f>
        <v>0</v>
      </c>
      <c r="L34" s="27" t="n">
        <f aca="false">IF(COUNT('Feijão 2ª safra'!$E32:$Z32)=0,0,MAX(0,IF((L$6-$E$3)&lt;1,0,IFERROR(LOOKUP(2,1/('Feijão 2ª safra'!$E32:INDEX('Feijão 2ª safra'!$E32:$Z32,MIN(L$6-$E$3,22))&lt;&gt;""),'Feijão 2ª safra'!$E32:INDEX('Feijão 2ª safra'!$E32:$Z32,MIN(L$6-$E$3,22))),0))-IF($G$2,0,IF((L$6-$G$3)&lt;1,0,IFERROR(LOOKUP(2,1/('Feijão 2ª safra'!$E32:INDEX('Feijão 2ª safra'!$E32:$Z32,MIN(L$6-$G$3,22))&lt;&gt;""),'Feijão 2ª safra'!$E32:INDEX('Feijão 2ª safra'!$E32:$Z32,MIN(L$6-$G$3,22))),0)))))</f>
        <v>0</v>
      </c>
      <c r="M34" s="27" t="n">
        <f aca="false">IF(COUNT('Feijão 2ª safra'!$E32:$Z32)=0,0,MAX(0,IF((M$6-$E$3)&lt;1,0,IFERROR(LOOKUP(2,1/('Feijão 2ª safra'!$E32:INDEX('Feijão 2ª safra'!$E32:$Z32,MIN(M$6-$E$3,22))&lt;&gt;""),'Feijão 2ª safra'!$E32:INDEX('Feijão 2ª safra'!$E32:$Z32,MIN(M$6-$E$3,22))),0))-IF($G$2,0,IF((M$6-$G$3)&lt;1,0,IFERROR(LOOKUP(2,1/('Feijão 2ª safra'!$E32:INDEX('Feijão 2ª safra'!$E32:$Z32,MIN(M$6-$G$3,22))&lt;&gt;""),'Feijão 2ª safra'!$E32:INDEX('Feijão 2ª safra'!$E32:$Z32,MIN(M$6-$G$3,22))),0)))))</f>
        <v>0</v>
      </c>
      <c r="N34" s="27" t="n">
        <f aca="false">IF(COUNT('Feijão 2ª safra'!$E32:$Z32)=0,0,MAX(0,IF((N$6-$E$3)&lt;1,0,IFERROR(LOOKUP(2,1/('Feijão 2ª safra'!$E32:INDEX('Feijão 2ª safra'!$E32:$Z32,MIN(N$6-$E$3,22))&lt;&gt;""),'Feijão 2ª safra'!$E32:INDEX('Feijão 2ª safra'!$E32:$Z32,MIN(N$6-$E$3,22))),0))-IF($G$2,0,IF((N$6-$G$3)&lt;1,0,IFERROR(LOOKUP(2,1/('Feijão 2ª safra'!$E32:INDEX('Feijão 2ª safra'!$E32:$Z32,MIN(N$6-$G$3,22))&lt;&gt;""),'Feijão 2ª safra'!$E32:INDEX('Feijão 2ª safra'!$E32:$Z32,MIN(N$6-$G$3,22))),0)))))</f>
        <v>0</v>
      </c>
      <c r="O34" s="27" t="n">
        <f aca="false">IF(COUNT('Feijão 2ª safra'!$E32:$Z32)=0,0,MAX(0,IF((O$6-$E$3)&lt;1,0,IFERROR(LOOKUP(2,1/('Feijão 2ª safra'!$E32:INDEX('Feijão 2ª safra'!$E32:$Z32,MIN(O$6-$E$3,22))&lt;&gt;""),'Feijão 2ª safra'!$E32:INDEX('Feijão 2ª safra'!$E32:$Z32,MIN(O$6-$E$3,22))),0))-IF($G$2,0,IF((O$6-$G$3)&lt;1,0,IFERROR(LOOKUP(2,1/('Feijão 2ª safra'!$E32:INDEX('Feijão 2ª safra'!$E32:$Z32,MIN(O$6-$G$3,22))&lt;&gt;""),'Feijão 2ª safra'!$E32:INDEX('Feijão 2ª safra'!$E32:$Z32,MIN(O$6-$G$3,22))),0)))))</f>
        <v>0</v>
      </c>
      <c r="P34" s="27" t="n">
        <f aca="false">IF(COUNT('Feijão 2ª safra'!$E32:$Z32)=0,0,MAX(0,IF((P$6-$E$3)&lt;1,0,IFERROR(LOOKUP(2,1/('Feijão 2ª safra'!$E32:INDEX('Feijão 2ª safra'!$E32:$Z32,MIN(P$6-$E$3,22))&lt;&gt;""),'Feijão 2ª safra'!$E32:INDEX('Feijão 2ª safra'!$E32:$Z32,MIN(P$6-$E$3,22))),0))-IF($G$2,0,IF((P$6-$G$3)&lt;1,0,IFERROR(LOOKUP(2,1/('Feijão 2ª safra'!$E32:INDEX('Feijão 2ª safra'!$E32:$Z32,MIN(P$6-$G$3,22))&lt;&gt;""),'Feijão 2ª safra'!$E32:INDEX('Feijão 2ª safra'!$E32:$Z32,MIN(P$6-$G$3,22))),0)))))</f>
        <v>0</v>
      </c>
      <c r="Q34" s="27" t="n">
        <f aca="false">IF(COUNT('Feijão 2ª safra'!$E32:$Z32)=0,0,MAX(0,IF((Q$6-$E$3)&lt;1,0,IFERROR(LOOKUP(2,1/('Feijão 2ª safra'!$E32:INDEX('Feijão 2ª safra'!$E32:$Z32,MIN(Q$6-$E$3,22))&lt;&gt;""),'Feijão 2ª safra'!$E32:INDEX('Feijão 2ª safra'!$E32:$Z32,MIN(Q$6-$E$3,22))),0))-IF($G$2,0,IF((Q$6-$G$3)&lt;1,0,IFERROR(LOOKUP(2,1/('Feijão 2ª safra'!$E32:INDEX('Feijão 2ª safra'!$E32:$Z32,MIN(Q$6-$G$3,22))&lt;&gt;""),'Feijão 2ª safra'!$E32:INDEX('Feijão 2ª safra'!$E32:$Z32,MIN(Q$6-$G$3,22))),0)))))</f>
        <v>0</v>
      </c>
      <c r="R34" s="27" t="n">
        <f aca="false">IF(COUNT('Feijão 2ª safra'!$E32:$Z32)=0,0,MAX(0,IF((R$6-$E$3)&lt;1,0,IFERROR(LOOKUP(2,1/('Feijão 2ª safra'!$E32:INDEX('Feijão 2ª safra'!$E32:$Z32,MIN(R$6-$E$3,22))&lt;&gt;""),'Feijão 2ª safra'!$E32:INDEX('Feijão 2ª safra'!$E32:$Z32,MIN(R$6-$E$3,22))),0))-IF($G$2,0,IF((R$6-$G$3)&lt;1,0,IFERROR(LOOKUP(2,1/('Feijão 2ª safra'!$E32:INDEX('Feijão 2ª safra'!$E32:$Z32,MIN(R$6-$G$3,22))&lt;&gt;""),'Feijão 2ª safra'!$E32:INDEX('Feijão 2ª safra'!$E32:$Z32,MIN(R$6-$G$3,22))),0)))))</f>
        <v>0</v>
      </c>
      <c r="S34" s="27" t="n">
        <f aca="false">IF(COUNT('Feijão 2ª safra'!$E32:$Z32)=0,0,MAX(0,IF((S$6-$E$3)&lt;1,0,IFERROR(LOOKUP(2,1/('Feijão 2ª safra'!$E32:INDEX('Feijão 2ª safra'!$E32:$Z32,MIN(S$6-$E$3,22))&lt;&gt;""),'Feijão 2ª safra'!$E32:INDEX('Feijão 2ª safra'!$E32:$Z32,MIN(S$6-$E$3,22))),0))-IF($G$2,0,IF((S$6-$G$3)&lt;1,0,IFERROR(LOOKUP(2,1/('Feijão 2ª safra'!$E32:INDEX('Feijão 2ª safra'!$E32:$Z32,MIN(S$6-$G$3,22))&lt;&gt;""),'Feijão 2ª safra'!$E32:INDEX('Feijão 2ª safra'!$E32:$Z32,MIN(S$6-$G$3,22))),0)))))</f>
        <v>0</v>
      </c>
      <c r="T34" s="27" t="n">
        <f aca="false">IF(COUNT('Feijão 2ª safra'!$E32:$Z32)=0,0,MAX(0,IF((T$6-$E$3)&lt;1,0,IFERROR(LOOKUP(2,1/('Feijão 2ª safra'!$E32:INDEX('Feijão 2ª safra'!$E32:$Z32,MIN(T$6-$E$3,22))&lt;&gt;""),'Feijão 2ª safra'!$E32:INDEX('Feijão 2ª safra'!$E32:$Z32,MIN(T$6-$E$3,22))),0))-IF($G$2,0,IF((T$6-$G$3)&lt;1,0,IFERROR(LOOKUP(2,1/('Feijão 2ª safra'!$E32:INDEX('Feijão 2ª safra'!$E32:$Z32,MIN(T$6-$G$3,22))&lt;&gt;""),'Feijão 2ª safra'!$E32:INDEX('Feijão 2ª safra'!$E32:$Z32,MIN(T$6-$G$3,22))),0)))))</f>
        <v>0</v>
      </c>
      <c r="U34" s="27" t="n">
        <f aca="false">IF(COUNT('Feijão 2ª safra'!$E32:$Z32)=0,0,MAX(0,IF((U$6-$E$3)&lt;1,0,IFERROR(LOOKUP(2,1/('Feijão 2ª safra'!$E32:INDEX('Feijão 2ª safra'!$E32:$Z32,MIN(U$6-$E$3,22))&lt;&gt;""),'Feijão 2ª safra'!$E32:INDEX('Feijão 2ª safra'!$E32:$Z32,MIN(U$6-$E$3,22))),0))-IF($G$2,0,IF((U$6-$G$3)&lt;1,0,IFERROR(LOOKUP(2,1/('Feijão 2ª safra'!$E32:INDEX('Feijão 2ª safra'!$E32:$Z32,MIN(U$6-$G$3,22))&lt;&gt;""),'Feijão 2ª safra'!$E32:INDEX('Feijão 2ª safra'!$E32:$Z32,MIN(U$6-$G$3,22))),0)))))</f>
        <v>0</v>
      </c>
      <c r="V34" s="27" t="n">
        <f aca="false">IF(COUNT('Feijão 2ª safra'!$E32:$Z32)=0,0,MAX(0,IF((V$6-$E$3)&lt;1,0,IFERROR(LOOKUP(2,1/('Feijão 2ª safra'!$E32:INDEX('Feijão 2ª safra'!$E32:$Z32,MIN(V$6-$E$3,22))&lt;&gt;""),'Feijão 2ª safra'!$E32:INDEX('Feijão 2ª safra'!$E32:$Z32,MIN(V$6-$E$3,22))),0))-IF($G$2,0,IF((V$6-$G$3)&lt;1,0,IFERROR(LOOKUP(2,1/('Feijão 2ª safra'!$E32:INDEX('Feijão 2ª safra'!$E32:$Z32,MIN(V$6-$G$3,22))&lt;&gt;""),'Feijão 2ª safra'!$E32:INDEX('Feijão 2ª safra'!$E32:$Z32,MIN(V$6-$G$3,22))),0)))))</f>
        <v>0</v>
      </c>
      <c r="W34" s="27" t="n">
        <f aca="false">IF(COUNT('Feijão 2ª safra'!$E32:$Z32)=0,0,MAX(0,IF((W$6-$E$3)&lt;1,0,IFERROR(LOOKUP(2,1/('Feijão 2ª safra'!$E32:INDEX('Feijão 2ª safra'!$E32:$Z32,MIN(W$6-$E$3,22))&lt;&gt;""),'Feijão 2ª safra'!$E32:INDEX('Feijão 2ª safra'!$E32:$Z32,MIN(W$6-$E$3,22))),0))-IF($G$2,0,IF((W$6-$G$3)&lt;1,0,IFERROR(LOOKUP(2,1/('Feijão 2ª safra'!$E32:INDEX('Feijão 2ª safra'!$E32:$Z32,MIN(W$6-$G$3,22))&lt;&gt;""),'Feijão 2ª safra'!$E32:INDEX('Feijão 2ª safra'!$E32:$Z32,MIN(W$6-$G$3,22))),0)))))</f>
        <v>0</v>
      </c>
      <c r="X34" s="27" t="n">
        <f aca="false">IF(COUNT('Feijão 2ª safra'!$E32:$Z32)=0,0,MAX(0,IF((X$6-$E$3)&lt;1,0,IFERROR(LOOKUP(2,1/('Feijão 2ª safra'!$E32:INDEX('Feijão 2ª safra'!$E32:$Z32,MIN(X$6-$E$3,22))&lt;&gt;""),'Feijão 2ª safra'!$E32:INDEX('Feijão 2ª safra'!$E32:$Z32,MIN(X$6-$E$3,22))),0))-IF($G$2,0,IF((X$6-$G$3)&lt;1,0,IFERROR(LOOKUP(2,1/('Feijão 2ª safra'!$E32:INDEX('Feijão 2ª safra'!$E32:$Z32,MIN(X$6-$G$3,22))&lt;&gt;""),'Feijão 2ª safra'!$E32:INDEX('Feijão 2ª safra'!$E32:$Z32,MIN(X$6-$G$3,22))),0)))))</f>
        <v>0</v>
      </c>
      <c r="Y34" s="27" t="n">
        <f aca="false">IF(COUNT('Feijão 2ª safra'!$E32:$Z32)=0,0,MAX(0,IF((Y$6-$E$3)&lt;1,0,IFERROR(LOOKUP(2,1/('Feijão 2ª safra'!$E32:INDEX('Feijão 2ª safra'!$E32:$Z32,MIN(Y$6-$E$3,22))&lt;&gt;""),'Feijão 2ª safra'!$E32:INDEX('Feijão 2ª safra'!$E32:$Z32,MIN(Y$6-$E$3,22))),0))-IF($G$2,0,IF((Y$6-$G$3)&lt;1,0,IFERROR(LOOKUP(2,1/('Feijão 2ª safra'!$E32:INDEX('Feijão 2ª safra'!$E32:$Z32,MIN(Y$6-$G$3,22))&lt;&gt;""),'Feijão 2ª safra'!$E32:INDEX('Feijão 2ª safra'!$E32:$Z32,MIN(Y$6-$G$3,22))),0)))))</f>
        <v>0</v>
      </c>
      <c r="Z34" s="27" t="n">
        <f aca="false">IF(COUNT('Feijão 2ª safra'!$E32:$Z32)=0,0,MAX(0,IF((Z$6-$E$3)&lt;1,0,IFERROR(LOOKUP(2,1/('Feijão 2ª safra'!$E32:INDEX('Feijão 2ª safra'!$E32:$Z32,MIN(Z$6-$E$3,22))&lt;&gt;""),'Feijão 2ª safra'!$E32:INDEX('Feijão 2ª safra'!$E32:$Z32,MIN(Z$6-$E$3,22))),0))-IF($G$2,0,IF((Z$6-$G$3)&lt;1,0,IFERROR(LOOKUP(2,1/('Feijão 2ª safra'!$E32:INDEX('Feijão 2ª safra'!$E32:$Z32,MIN(Z$6-$G$3,22))&lt;&gt;""),'Feijão 2ª safra'!$E32:INDEX('Feijão 2ª safra'!$E32:$Z32,MIN(Z$6-$G$3,22))),0)))))</f>
        <v>0</v>
      </c>
      <c r="AA34" s="27" t="n">
        <f aca="false">IF(COUNT('Feijão 2ª safra'!$E32:$Z32)=0,0,MAX(0,IF((AA$6-$E$3)&lt;1,0,IFERROR(LOOKUP(2,1/('Feijão 2ª safra'!$E32:INDEX('Feijão 2ª safra'!$E32:$Z32,MIN(AA$6-$E$3,22))&lt;&gt;""),'Feijão 2ª safra'!$E32:INDEX('Feijão 2ª safra'!$E32:$Z32,MIN(AA$6-$E$3,22))),0))-IF($G$2,0,IF((AA$6-$G$3)&lt;1,0,IFERROR(LOOKUP(2,1/('Feijão 2ª safra'!$E32:INDEX('Feijão 2ª safra'!$E32:$Z32,MIN(AA$6-$G$3,22))&lt;&gt;""),'Feijão 2ª safra'!$E32:INDEX('Feijão 2ª safra'!$E32:$Z32,MIN(AA$6-$G$3,22))),0)))))</f>
        <v>0</v>
      </c>
      <c r="AB34" s="27" t="n">
        <f aca="false">IF(COUNT('Feijão 2ª safra'!$E32:$Z32)=0,0,MAX(0,IF((AB$6-$E$3)&lt;1,0,IFERROR(LOOKUP(2,1/('Feijão 2ª safra'!$E32:INDEX('Feijão 2ª safra'!$E32:$Z32,MIN(AB$6-$E$3,22))&lt;&gt;""),'Feijão 2ª safra'!$E32:INDEX('Feijão 2ª safra'!$E32:$Z32,MIN(AB$6-$E$3,22))),0))-IF($G$2,0,IF((AB$6-$G$3)&lt;1,0,IFERROR(LOOKUP(2,1/('Feijão 2ª safra'!$E32:INDEX('Feijão 2ª safra'!$E32:$Z32,MIN(AB$6-$G$3,22))&lt;&gt;""),'Feijão 2ª safra'!$E32:INDEX('Feijão 2ª safra'!$E32:$Z32,MIN(AB$6-$G$3,22))),0)))))</f>
        <v>0</v>
      </c>
      <c r="AC34" s="27" t="n">
        <f aca="false">IF(COUNT('Feijão 2ª safra'!$E32:$Z32)=0,0,MAX(0,IF((AC$6-$E$3)&lt;1,0,IFERROR(LOOKUP(2,1/('Feijão 2ª safra'!$E32:INDEX('Feijão 2ª safra'!$E32:$Z32,MIN(AC$6-$E$3,22))&lt;&gt;""),'Feijão 2ª safra'!$E32:INDEX('Feijão 2ª safra'!$E32:$Z32,MIN(AC$6-$E$3,22))),0))-IF($G$2,0,IF((AC$6-$G$3)&lt;1,0,IFERROR(LOOKUP(2,1/('Feijão 2ª safra'!$E32:INDEX('Feijão 2ª safra'!$E32:$Z32,MIN(AC$6-$G$3,22))&lt;&gt;""),'Feijão 2ª safra'!$E32:INDEX('Feijão 2ª safra'!$E32:$Z32,MIN(AC$6-$G$3,22))),0)))))</f>
        <v>0</v>
      </c>
      <c r="AD34" s="27" t="n">
        <f aca="false">IF(COUNT('Feijão 2ª safra'!$E32:$Z32)=0,0,MAX(0,IF((AD$6-$E$3)&lt;1,0,IFERROR(LOOKUP(2,1/('Feijão 2ª safra'!$E32:INDEX('Feijão 2ª safra'!$E32:$Z32,MIN(AD$6-$E$3,22))&lt;&gt;""),'Feijão 2ª safra'!$E32:INDEX('Feijão 2ª safra'!$E32:$Z32,MIN(AD$6-$E$3,22))),0))-IF($G$2,0,IF((AD$6-$G$3)&lt;1,0,IFERROR(LOOKUP(2,1/('Feijão 2ª safra'!$E32:INDEX('Feijão 2ª safra'!$E32:$Z32,MIN(AD$6-$G$3,22))&lt;&gt;""),'Feijão 2ª safra'!$E32:INDEX('Feijão 2ª safra'!$E32:$Z32,MIN(AD$6-$G$3,22))),0)))))</f>
        <v>0</v>
      </c>
      <c r="AE34" s="27" t="n">
        <f aca="false">IF(COUNT('Feijão 2ª safra'!$E32:$Z32)=0,0,MAX(0,IF((AE$6-$E$3)&lt;1,0,IFERROR(LOOKUP(2,1/('Feijão 2ª safra'!$E32:INDEX('Feijão 2ª safra'!$E32:$Z32,MIN(AE$6-$E$3,22))&lt;&gt;""),'Feijão 2ª safra'!$E32:INDEX('Feijão 2ª safra'!$E32:$Z32,MIN(AE$6-$E$3,22))),0))-IF($G$2,0,IF((AE$6-$G$3)&lt;1,0,IFERROR(LOOKUP(2,1/('Feijão 2ª safra'!$E32:INDEX('Feijão 2ª safra'!$E32:$Z32,MIN(AE$6-$G$3,22))&lt;&gt;""),'Feijão 2ª safra'!$E32:INDEX('Feijão 2ª safra'!$E32:$Z32,MIN(AE$6-$G$3,22))),0)))))</f>
        <v>0</v>
      </c>
      <c r="AF34" s="27" t="n">
        <f aca="false">IF(COUNT('Feijão 2ª safra'!$E32:$Z32)=0,0,MAX(0,IF((AF$6-$E$3)&lt;1,0,IFERROR(LOOKUP(2,1/('Feijão 2ª safra'!$E32:INDEX('Feijão 2ª safra'!$E32:$Z32,MIN(AF$6-$E$3,22))&lt;&gt;""),'Feijão 2ª safra'!$E32:INDEX('Feijão 2ª safra'!$E32:$Z32,MIN(AF$6-$E$3,22))),0))-IF($G$2,0,IF((AF$6-$G$3)&lt;1,0,IFERROR(LOOKUP(2,1/('Feijão 2ª safra'!$E32:INDEX('Feijão 2ª safra'!$E32:$Z32,MIN(AF$6-$G$3,22))&lt;&gt;""),'Feijão 2ª safra'!$E32:INDEX('Feijão 2ª safra'!$E32:$Z32,MIN(AF$6-$G$3,22))),0)))))</f>
        <v>0</v>
      </c>
      <c r="AG34" s="27" t="n">
        <f aca="false">IF(COUNT('Feijão 2ª safra'!$E32:$Z32)=0,0,MAX(0,IF((AG$6-$E$3)&lt;1,0,IFERROR(LOOKUP(2,1/('Feijão 2ª safra'!$E32:INDEX('Feijão 2ª safra'!$E32:$Z32,MIN(AG$6-$E$3,22))&lt;&gt;""),'Feijão 2ª safra'!$E32:INDEX('Feijão 2ª safra'!$E32:$Z32,MIN(AG$6-$E$3,22))),0))-IF($G$2,0,IF((AG$6-$G$3)&lt;1,0,IFERROR(LOOKUP(2,1/('Feijão 2ª safra'!$E32:INDEX('Feijão 2ª safra'!$E32:$Z32,MIN(AG$6-$G$3,22))&lt;&gt;""),'Feijão 2ª safra'!$E32:INDEX('Feijão 2ª safra'!$E32:$Z32,MIN(AG$6-$G$3,22))),0)))))</f>
        <v>0</v>
      </c>
      <c r="AH34" s="27" t="n">
        <f aca="false">IF(COUNT('Feijão 2ª safra'!$E32:$Z32)=0,0,MAX(0,IF((AH$6-$E$3)&lt;1,0,IFERROR(LOOKUP(2,1/('Feijão 2ª safra'!$E32:INDEX('Feijão 2ª safra'!$E32:$Z32,MIN(AH$6-$E$3,22))&lt;&gt;""),'Feijão 2ª safra'!$E32:INDEX('Feijão 2ª safra'!$E32:$Z32,MIN(AH$6-$E$3,22))),0))-IF($G$2,0,IF((AH$6-$G$3)&lt;1,0,IFERROR(LOOKUP(2,1/('Feijão 2ª safra'!$E32:INDEX('Feijão 2ª safra'!$E32:$Z32,MIN(AH$6-$G$3,22))&lt;&gt;""),'Feijão 2ª safra'!$E32:INDEX('Feijão 2ª safra'!$E32:$Z32,MIN(AH$6-$G$3,22))),0)))))</f>
        <v>0</v>
      </c>
      <c r="AI34" s="27" t="n">
        <f aca="false">IF(COUNT('Feijão 2ª safra'!$E32:$Z32)=0,0,MAX(0,IF((AI$6-$E$3)&lt;1,0,IFERROR(LOOKUP(2,1/('Feijão 2ª safra'!$E32:INDEX('Feijão 2ª safra'!$E32:$Z32,MIN(AI$6-$E$3,22))&lt;&gt;""),'Feijão 2ª safra'!$E32:INDEX('Feijão 2ª safra'!$E32:$Z32,MIN(AI$6-$E$3,22))),0))-IF($G$2,0,IF((AI$6-$G$3)&lt;1,0,IFERROR(LOOKUP(2,1/('Feijão 2ª safra'!$E32:INDEX('Feijão 2ª safra'!$E32:$Z32,MIN(AI$6-$G$3,22))&lt;&gt;""),'Feijão 2ª safra'!$E32:INDEX('Feijão 2ª safra'!$E32:$Z32,MIN(AI$6-$G$3,22))),0)))))</f>
        <v>0</v>
      </c>
      <c r="AJ34" s="27" t="n">
        <f aca="false">IF(COUNT('Feijão 2ª safra'!$E32:$Z32)=0,0,MAX(0,IF((AJ$6-$E$3)&lt;1,0,IFERROR(LOOKUP(2,1/('Feijão 2ª safra'!$E32:INDEX('Feijão 2ª safra'!$E32:$Z32,MIN(AJ$6-$E$3,22))&lt;&gt;""),'Feijão 2ª safra'!$E32:INDEX('Feijão 2ª safra'!$E32:$Z32,MIN(AJ$6-$E$3,22))),0))-IF($G$2,0,IF((AJ$6-$G$3)&lt;1,0,IFERROR(LOOKUP(2,1/('Feijão 2ª safra'!$E32:INDEX('Feijão 2ª safra'!$E32:$Z32,MIN(AJ$6-$G$3,22))&lt;&gt;""),'Feijão 2ª safra'!$E32:INDEX('Feijão 2ª safra'!$E32:$Z32,MIN(AJ$6-$G$3,22))),0)))))</f>
        <v>0</v>
      </c>
      <c r="AK34" s="27" t="n">
        <f aca="false">IF(COUNT('Feijão 2ª safra'!$E32:$Z32)=0,0,MAX(0,IF((AK$6-$E$3)&lt;1,0,IFERROR(LOOKUP(2,1/('Feijão 2ª safra'!$E32:INDEX('Feijão 2ª safra'!$E32:$Z32,MIN(AK$6-$E$3,22))&lt;&gt;""),'Feijão 2ª safra'!$E32:INDEX('Feijão 2ª safra'!$E32:$Z32,MIN(AK$6-$E$3,22))),0))-IF($G$2,0,IF((AK$6-$G$3)&lt;1,0,IFERROR(LOOKUP(2,1/('Feijão 2ª safra'!$E32:INDEX('Feijão 2ª safra'!$E32:$Z32,MIN(AK$6-$G$3,22))&lt;&gt;""),'Feijão 2ª safra'!$E32:INDEX('Feijão 2ª safra'!$E32:$Z32,MIN(AK$6-$G$3,22))),0)))))</f>
        <v>0</v>
      </c>
      <c r="AL34" s="27" t="n">
        <f aca="false">IF(COUNT('Feijão 2ª safra'!$E32:$Z32)=0,0,MAX(0,IF((AL$6-$E$3)&lt;1,0,IFERROR(LOOKUP(2,1/('Feijão 2ª safra'!$E32:INDEX('Feijão 2ª safra'!$E32:$Z32,MIN(AL$6-$E$3,22))&lt;&gt;""),'Feijão 2ª safra'!$E32:INDEX('Feijão 2ª safra'!$E32:$Z32,MIN(AL$6-$E$3,22))),0))-IF($G$2,0,IF((AL$6-$G$3)&lt;1,0,IFERROR(LOOKUP(2,1/('Feijão 2ª safra'!$E32:INDEX('Feijão 2ª safra'!$E32:$Z32,MIN(AL$6-$G$3,22))&lt;&gt;""),'Feijão 2ª safra'!$E32:INDEX('Feijão 2ª safra'!$E32:$Z32,MIN(AL$6-$G$3,22))),0)))))</f>
        <v>0</v>
      </c>
      <c r="AM34" s="27" t="n">
        <f aca="false">IF(COUNT('Feijão 2ª safra'!$E32:$Z32)=0,0,MAX(0,IF((AM$6-$E$3)&lt;1,0,IFERROR(LOOKUP(2,1/('Feijão 2ª safra'!$E32:INDEX('Feijão 2ª safra'!$E32:$Z32,MIN(AM$6-$E$3,22))&lt;&gt;""),'Feijão 2ª safra'!$E32:INDEX('Feijão 2ª safra'!$E32:$Z32,MIN(AM$6-$E$3,22))),0))-IF($G$2,0,IF((AM$6-$G$3)&lt;1,0,IFERROR(LOOKUP(2,1/('Feijão 2ª safra'!$E32:INDEX('Feijão 2ª safra'!$E32:$Z32,MIN(AM$6-$G$3,22))&lt;&gt;""),'Feijão 2ª safra'!$E32:INDEX('Feijão 2ª safra'!$E32:$Z32,MIN(AM$6-$G$3,22))),0)))))</f>
        <v>0</v>
      </c>
      <c r="AN34" s="27" t="n">
        <f aca="false">IF(COUNT('Feijão 2ª safra'!$E32:$Z32)=0,0,MAX(0,IF((AN$6-$E$3)&lt;1,0,IFERROR(LOOKUP(2,1/('Feijão 2ª safra'!$E32:INDEX('Feijão 2ª safra'!$E32:$Z32,MIN(AN$6-$E$3,22))&lt;&gt;""),'Feijão 2ª safra'!$E32:INDEX('Feijão 2ª safra'!$E32:$Z32,MIN(AN$6-$E$3,22))),0))-IF($G$2,0,IF((AN$6-$G$3)&lt;1,0,IFERROR(LOOKUP(2,1/('Feijão 2ª safra'!$E32:INDEX('Feijão 2ª safra'!$E32:$Z32,MIN(AN$6-$G$3,22))&lt;&gt;""),'Feijão 2ª safra'!$E32:INDEX('Feijão 2ª safra'!$E32:$Z32,MIN(AN$6-$G$3,22))),0)))))</f>
        <v>0</v>
      </c>
      <c r="AO34" s="27" t="n">
        <f aca="false">IF(COUNT('Feijão 2ª safra'!$E32:$Z32)=0,0,MAX(0,IF((AO$6-$E$3)&lt;1,0,IFERROR(LOOKUP(2,1/('Feijão 2ª safra'!$E32:INDEX('Feijão 2ª safra'!$E32:$Z32,MIN(AO$6-$E$3,22))&lt;&gt;""),'Feijão 2ª safra'!$E32:INDEX('Feijão 2ª safra'!$E32:$Z32,MIN(AO$6-$E$3,22))),0))-IF($G$2,0,IF((AO$6-$G$3)&lt;1,0,IFERROR(LOOKUP(2,1/('Feijão 2ª safra'!$E32:INDEX('Feijão 2ª safra'!$E32:$Z32,MIN(AO$6-$G$3,22))&lt;&gt;""),'Feijão 2ª safra'!$E32:INDEX('Feijão 2ª safra'!$E32:$Z32,MIN(AO$6-$G$3,22))),0)))))</f>
        <v>0</v>
      </c>
      <c r="AP34" s="27" t="n">
        <f aca="false">IF(COUNT('Feijão 2ª safra'!$E32:$Z32)=0,0,MAX(0,IF((AP$6-$E$3)&lt;1,0,IFERROR(LOOKUP(2,1/('Feijão 2ª safra'!$E32:INDEX('Feijão 2ª safra'!$E32:$Z32,MIN(AP$6-$E$3,22))&lt;&gt;""),'Feijão 2ª safra'!$E32:INDEX('Feijão 2ª safra'!$E32:$Z32,MIN(AP$6-$E$3,22))),0))-IF($G$2,0,IF((AP$6-$G$3)&lt;1,0,IFERROR(LOOKUP(2,1/('Feijão 2ª safra'!$E32:INDEX('Feijão 2ª safra'!$E32:$Z32,MIN(AP$6-$G$3,22))&lt;&gt;""),'Feijão 2ª safra'!$E32:INDEX('Feijão 2ª safra'!$E32:$Z32,MIN(AP$6-$G$3,22))),0)))))</f>
        <v>0</v>
      </c>
      <c r="AQ34" s="27" t="n">
        <f aca="false">IF(COUNT('Feijão 2ª safra'!$E32:$Z32)=0,0,MAX(0,IF((AQ$6-$E$3)&lt;1,0,IFERROR(LOOKUP(2,1/('Feijão 2ª safra'!$E32:INDEX('Feijão 2ª safra'!$E32:$Z32,MIN(AQ$6-$E$3,22))&lt;&gt;""),'Feijão 2ª safra'!$E32:INDEX('Feijão 2ª safra'!$E32:$Z32,MIN(AQ$6-$E$3,22))),0))-IF($G$2,0,IF((AQ$6-$G$3)&lt;1,0,IFERROR(LOOKUP(2,1/('Feijão 2ª safra'!$E32:INDEX('Feijão 2ª safra'!$E32:$Z32,MIN(AQ$6-$G$3,22))&lt;&gt;""),'Feijão 2ª safra'!$E32:INDEX('Feijão 2ª safra'!$E32:$Z32,MIN(AQ$6-$G$3,22))),0)))))</f>
        <v>0</v>
      </c>
      <c r="AR34" s="27" t="n">
        <f aca="false">IF(COUNT('Feijão 2ª safra'!$E32:$Z32)=0,0,MAX(0,IF((AR$6-$E$3)&lt;1,0,IFERROR(LOOKUP(2,1/('Feijão 2ª safra'!$E32:INDEX('Feijão 2ª safra'!$E32:$Z32,MIN(AR$6-$E$3,22))&lt;&gt;""),'Feijão 2ª safra'!$E32:INDEX('Feijão 2ª safra'!$E32:$Z32,MIN(AR$6-$E$3,22))),0))-IF($G$2,0,IF((AR$6-$G$3)&lt;1,0,IFERROR(LOOKUP(2,1/('Feijão 2ª safra'!$E32:INDEX('Feijão 2ª safra'!$E32:$Z32,MIN(AR$6-$G$3,22))&lt;&gt;""),'Feijão 2ª safra'!$E32:INDEX('Feijão 2ª safra'!$E32:$Z32,MIN(AR$6-$G$3,22))),0)))))</f>
        <v>0</v>
      </c>
      <c r="AS34" s="27" t="n">
        <f aca="false">IF(COUNT('Feijão 2ª safra'!$E32:$Z32)=0,0,MAX(0,IF((AS$6-$E$3)&lt;1,0,IFERROR(LOOKUP(2,1/('Feijão 2ª safra'!$E32:INDEX('Feijão 2ª safra'!$E32:$Z32,MIN(AS$6-$E$3,22))&lt;&gt;""),'Feijão 2ª safra'!$E32:INDEX('Feijão 2ª safra'!$E32:$Z32,MIN(AS$6-$E$3,22))),0))-IF($G$2,0,IF((AS$6-$G$3)&lt;1,0,IFERROR(LOOKUP(2,1/('Feijão 2ª safra'!$E32:INDEX('Feijão 2ª safra'!$E32:$Z32,MIN(AS$6-$G$3,22))&lt;&gt;""),'Feijão 2ª safra'!$E32:INDEX('Feijão 2ª safra'!$E32:$Z32,MIN(AS$6-$G$3,22))),0)))))</f>
        <v>0</v>
      </c>
      <c r="AT34" s="27" t="n">
        <f aca="false">IF(COUNT('Feijão 2ª safra'!$E32:$Z32)=0,0,MAX(0,IF((AT$6-$E$3)&lt;1,0,IFERROR(LOOKUP(2,1/('Feijão 2ª safra'!$E32:INDEX('Feijão 2ª safra'!$E32:$Z32,MIN(AT$6-$E$3,22))&lt;&gt;""),'Feijão 2ª safra'!$E32:INDEX('Feijão 2ª safra'!$E32:$Z32,MIN(AT$6-$E$3,22))),0))-IF($G$2,0,IF((AT$6-$G$3)&lt;1,0,IFERROR(LOOKUP(2,1/('Feijão 2ª safra'!$E32:INDEX('Feijão 2ª safra'!$E32:$Z32,MIN(AT$6-$G$3,22))&lt;&gt;""),'Feijão 2ª safra'!$E32:INDEX('Feijão 2ª safra'!$E32:$Z32,MIN(AT$6-$G$3,22))),0)))))</f>
        <v>0</v>
      </c>
      <c r="AU34" s="27" t="n">
        <f aca="false">IF(COUNT('Feijão 2ª safra'!$E32:$Z32)=0,0,MAX(0,IF((AU$6-$E$3)&lt;1,0,IFERROR(LOOKUP(2,1/('Feijão 2ª safra'!$E32:INDEX('Feijão 2ª safra'!$E32:$Z32,MIN(AU$6-$E$3,22))&lt;&gt;""),'Feijão 2ª safra'!$E32:INDEX('Feijão 2ª safra'!$E32:$Z32,MIN(AU$6-$E$3,22))),0))-IF($G$2,0,IF((AU$6-$G$3)&lt;1,0,IFERROR(LOOKUP(2,1/('Feijão 2ª safra'!$E32:INDEX('Feijão 2ª safra'!$E32:$Z32,MIN(AU$6-$G$3,22))&lt;&gt;""),'Feijão 2ª safra'!$E32:INDEX('Feijão 2ª safra'!$E32:$Z32,MIN(AU$6-$G$3,22))),0)))))</f>
        <v>0</v>
      </c>
      <c r="AV34" s="27" t="n">
        <f aca="false">IF(COUNT('Feijão 2ª safra'!$E32:$Z32)=0,0,MAX(0,IF((AV$6-$E$3)&lt;1,0,IFERROR(LOOKUP(2,1/('Feijão 2ª safra'!$E32:INDEX('Feijão 2ª safra'!$E32:$Z32,MIN(AV$6-$E$3,22))&lt;&gt;""),'Feijão 2ª safra'!$E32:INDEX('Feijão 2ª safra'!$E32:$Z32,MIN(AV$6-$E$3,22))),0))-IF($G$2,0,IF((AV$6-$G$3)&lt;1,0,IFERROR(LOOKUP(2,1/('Feijão 2ª safra'!$E32:INDEX('Feijão 2ª safra'!$E32:$Z32,MIN(AV$6-$G$3,22))&lt;&gt;""),'Feijão 2ª safra'!$E32:INDEX('Feijão 2ª safra'!$E32:$Z32,MIN(AV$6-$G$3,22))),0)))))</f>
        <v>0</v>
      </c>
      <c r="AW34" s="27" t="n">
        <f aca="false">IF(COUNT('Feijão 2ª safra'!$E32:$Z32)=0,0,MAX(0,IF((AW$6-$E$3)&lt;1,0,IFERROR(LOOKUP(2,1/('Feijão 2ª safra'!$E32:INDEX('Feijão 2ª safra'!$E32:$Z32,MIN(AW$6-$E$3,22))&lt;&gt;""),'Feijão 2ª safra'!$E32:INDEX('Feijão 2ª safra'!$E32:$Z32,MIN(AW$6-$E$3,22))),0))-IF($G$2,0,IF((AW$6-$G$3)&lt;1,0,IFERROR(LOOKUP(2,1/('Feijão 2ª safra'!$E32:INDEX('Feijão 2ª safra'!$E32:$Z32,MIN(AW$6-$G$3,22))&lt;&gt;""),'Feijão 2ª safra'!$E32:INDEX('Feijão 2ª safra'!$E32:$Z32,MIN(AW$6-$G$3,22))),0)))))</f>
        <v>0</v>
      </c>
      <c r="AX34" s="27" t="n">
        <f aca="false">IF(COUNT('Feijão 2ª safra'!$E32:$Z32)=0,0,MAX(0,IF((AX$6-$E$3)&lt;1,0,IFERROR(LOOKUP(2,1/('Feijão 2ª safra'!$E32:INDEX('Feijão 2ª safra'!$E32:$Z32,MIN(AX$6-$E$3,22))&lt;&gt;""),'Feijão 2ª safra'!$E32:INDEX('Feijão 2ª safra'!$E32:$Z32,MIN(AX$6-$E$3,22))),0))-IF($G$2,0,IF((AX$6-$G$3)&lt;1,0,IFERROR(LOOKUP(2,1/('Feijão 2ª safra'!$E32:INDEX('Feijão 2ª safra'!$E32:$Z32,MIN(AX$6-$G$3,22))&lt;&gt;""),'Feijão 2ª safra'!$E32:INDEX('Feijão 2ª safra'!$E32:$Z32,MIN(AX$6-$G$3,22))),0)))))</f>
        <v>0</v>
      </c>
      <c r="AY34" s="27" t="n">
        <f aca="false">IF(COUNT('Feijão 2ª safra'!$E32:$Z32)=0,0,MAX(0,IF((AY$6-$E$3)&lt;1,0,IFERROR(LOOKUP(2,1/('Feijão 2ª safra'!$E32:INDEX('Feijão 2ª safra'!$E32:$Z32,MIN(AY$6-$E$3,22))&lt;&gt;""),'Feijão 2ª safra'!$E32:INDEX('Feijão 2ª safra'!$E32:$Z32,MIN(AY$6-$E$3,22))),0))-IF($G$2,0,IF((AY$6-$G$3)&lt;1,0,IFERROR(LOOKUP(2,1/('Feijão 2ª safra'!$E32:INDEX('Feijão 2ª safra'!$E32:$Z32,MIN(AY$6-$G$3,22))&lt;&gt;""),'Feijão 2ª safra'!$E32:INDEX('Feijão 2ª safra'!$E32:$Z32,MIN(AY$6-$G$3,22))),0)))))</f>
        <v>0</v>
      </c>
      <c r="AZ34" s="27" t="n">
        <f aca="false">IF(COUNT('Feijão 2ª safra'!$E32:$Z32)=0,0,MAX(0,IF((AZ$6-$E$3)&lt;1,0,IFERROR(LOOKUP(2,1/('Feijão 2ª safra'!$E32:INDEX('Feijão 2ª safra'!$E32:$Z32,MIN(AZ$6-$E$3,22))&lt;&gt;""),'Feijão 2ª safra'!$E32:INDEX('Feijão 2ª safra'!$E32:$Z32,MIN(AZ$6-$E$3,22))),0))-IF($G$2,0,IF((AZ$6-$G$3)&lt;1,0,IFERROR(LOOKUP(2,1/('Feijão 2ª safra'!$E32:INDEX('Feijão 2ª safra'!$E32:$Z32,MIN(AZ$6-$G$3,22))&lt;&gt;""),'Feijão 2ª safra'!$E32:INDEX('Feijão 2ª safra'!$E32:$Z32,MIN(AZ$6-$G$3,22))),0)))))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IF(COUNT('Feijão 2ª safra'!$E33:$Z33)&gt;0,N('Feijão 2ª safra'!$D33),0)</f>
        <v>0</v>
      </c>
      <c r="E35" s="27" t="n">
        <f aca="false">IF(COUNT('Feijão 2ª safra'!$E33:$Z33)=0,0,MAX(0,IF((E$6-$E$3)&lt;1,0,IFERROR(LOOKUP(2,1/('Feijão 2ª safra'!$E33:INDEX('Feijão 2ª safra'!$E33:$Z33,MIN(E$6-$E$3,22))&lt;&gt;""),'Feijão 2ª safra'!$E33:INDEX('Feijão 2ª safra'!$E33:$Z33,MIN(E$6-$E$3,22))),0))-IF($G$2,0,IF((E$6-$G$3)&lt;1,0,IFERROR(LOOKUP(2,1/('Feijão 2ª safra'!$E33:INDEX('Feijão 2ª safra'!$E33:$Z33,MIN(E$6-$G$3,22))&lt;&gt;""),'Feijão 2ª safra'!$E33:INDEX('Feijão 2ª safra'!$E33:$Z33,MIN(E$6-$G$3,22))),0)))))</f>
        <v>0</v>
      </c>
      <c r="F35" s="27" t="n">
        <f aca="false">IF(COUNT('Feijão 2ª safra'!$E33:$Z33)=0,0,MAX(0,IF((F$6-$E$3)&lt;1,0,IFERROR(LOOKUP(2,1/('Feijão 2ª safra'!$E33:INDEX('Feijão 2ª safra'!$E33:$Z33,MIN(F$6-$E$3,22))&lt;&gt;""),'Feijão 2ª safra'!$E33:INDEX('Feijão 2ª safra'!$E33:$Z33,MIN(F$6-$E$3,22))),0))-IF($G$2,0,IF((F$6-$G$3)&lt;1,0,IFERROR(LOOKUP(2,1/('Feijão 2ª safra'!$E33:INDEX('Feijão 2ª safra'!$E33:$Z33,MIN(F$6-$G$3,22))&lt;&gt;""),'Feijão 2ª safra'!$E33:INDEX('Feijão 2ª safra'!$E33:$Z33,MIN(F$6-$G$3,22))),0)))))</f>
        <v>0</v>
      </c>
      <c r="G35" s="27" t="n">
        <f aca="false">IF(COUNT('Feijão 2ª safra'!$E33:$Z33)=0,0,MAX(0,IF((G$6-$E$3)&lt;1,0,IFERROR(LOOKUP(2,1/('Feijão 2ª safra'!$E33:INDEX('Feijão 2ª safra'!$E33:$Z33,MIN(G$6-$E$3,22))&lt;&gt;""),'Feijão 2ª safra'!$E33:INDEX('Feijão 2ª safra'!$E33:$Z33,MIN(G$6-$E$3,22))),0))-IF($G$2,0,IF((G$6-$G$3)&lt;1,0,IFERROR(LOOKUP(2,1/('Feijão 2ª safra'!$E33:INDEX('Feijão 2ª safra'!$E33:$Z33,MIN(G$6-$G$3,22))&lt;&gt;""),'Feijão 2ª safra'!$E33:INDEX('Feijão 2ª safra'!$E33:$Z33,MIN(G$6-$G$3,22))),0)))))</f>
        <v>0</v>
      </c>
      <c r="H35" s="27" t="n">
        <f aca="false">IF(COUNT('Feijão 2ª safra'!$E33:$Z33)=0,0,MAX(0,IF((H$6-$E$3)&lt;1,0,IFERROR(LOOKUP(2,1/('Feijão 2ª safra'!$E33:INDEX('Feijão 2ª safra'!$E33:$Z33,MIN(H$6-$E$3,22))&lt;&gt;""),'Feijão 2ª safra'!$E33:INDEX('Feijão 2ª safra'!$E33:$Z33,MIN(H$6-$E$3,22))),0))-IF($G$2,0,IF((H$6-$G$3)&lt;1,0,IFERROR(LOOKUP(2,1/('Feijão 2ª safra'!$E33:INDEX('Feijão 2ª safra'!$E33:$Z33,MIN(H$6-$G$3,22))&lt;&gt;""),'Feijão 2ª safra'!$E33:INDEX('Feijão 2ª safra'!$E33:$Z33,MIN(H$6-$G$3,22))),0)))))</f>
        <v>0</v>
      </c>
      <c r="I35" s="27" t="n">
        <f aca="false">IF(COUNT('Feijão 2ª safra'!$E33:$Z33)=0,0,MAX(0,IF((I$6-$E$3)&lt;1,0,IFERROR(LOOKUP(2,1/('Feijão 2ª safra'!$E33:INDEX('Feijão 2ª safra'!$E33:$Z33,MIN(I$6-$E$3,22))&lt;&gt;""),'Feijão 2ª safra'!$E33:INDEX('Feijão 2ª safra'!$E33:$Z33,MIN(I$6-$E$3,22))),0))-IF($G$2,0,IF((I$6-$G$3)&lt;1,0,IFERROR(LOOKUP(2,1/('Feijão 2ª safra'!$E33:INDEX('Feijão 2ª safra'!$E33:$Z33,MIN(I$6-$G$3,22))&lt;&gt;""),'Feijão 2ª safra'!$E33:INDEX('Feijão 2ª safra'!$E33:$Z33,MIN(I$6-$G$3,22))),0)))))</f>
        <v>0</v>
      </c>
      <c r="J35" s="27" t="n">
        <f aca="false">IF(COUNT('Feijão 2ª safra'!$E33:$Z33)=0,0,MAX(0,IF((J$6-$E$3)&lt;1,0,IFERROR(LOOKUP(2,1/('Feijão 2ª safra'!$E33:INDEX('Feijão 2ª safra'!$E33:$Z33,MIN(J$6-$E$3,22))&lt;&gt;""),'Feijão 2ª safra'!$E33:INDEX('Feijão 2ª safra'!$E33:$Z33,MIN(J$6-$E$3,22))),0))-IF($G$2,0,IF((J$6-$G$3)&lt;1,0,IFERROR(LOOKUP(2,1/('Feijão 2ª safra'!$E33:INDEX('Feijão 2ª safra'!$E33:$Z33,MIN(J$6-$G$3,22))&lt;&gt;""),'Feijão 2ª safra'!$E33:INDEX('Feijão 2ª safra'!$E33:$Z33,MIN(J$6-$G$3,22))),0)))))</f>
        <v>0</v>
      </c>
      <c r="K35" s="27" t="n">
        <f aca="false">IF(COUNT('Feijão 2ª safra'!$E33:$Z33)=0,0,MAX(0,IF((K$6-$E$3)&lt;1,0,IFERROR(LOOKUP(2,1/('Feijão 2ª safra'!$E33:INDEX('Feijão 2ª safra'!$E33:$Z33,MIN(K$6-$E$3,22))&lt;&gt;""),'Feijão 2ª safra'!$E33:INDEX('Feijão 2ª safra'!$E33:$Z33,MIN(K$6-$E$3,22))),0))-IF($G$2,0,IF((K$6-$G$3)&lt;1,0,IFERROR(LOOKUP(2,1/('Feijão 2ª safra'!$E33:INDEX('Feijão 2ª safra'!$E33:$Z33,MIN(K$6-$G$3,22))&lt;&gt;""),'Feijão 2ª safra'!$E33:INDEX('Feijão 2ª safra'!$E33:$Z33,MIN(K$6-$G$3,22))),0)))))</f>
        <v>0</v>
      </c>
      <c r="L35" s="27" t="n">
        <f aca="false">IF(COUNT('Feijão 2ª safra'!$E33:$Z33)=0,0,MAX(0,IF((L$6-$E$3)&lt;1,0,IFERROR(LOOKUP(2,1/('Feijão 2ª safra'!$E33:INDEX('Feijão 2ª safra'!$E33:$Z33,MIN(L$6-$E$3,22))&lt;&gt;""),'Feijão 2ª safra'!$E33:INDEX('Feijão 2ª safra'!$E33:$Z33,MIN(L$6-$E$3,22))),0))-IF($G$2,0,IF((L$6-$G$3)&lt;1,0,IFERROR(LOOKUP(2,1/('Feijão 2ª safra'!$E33:INDEX('Feijão 2ª safra'!$E33:$Z33,MIN(L$6-$G$3,22))&lt;&gt;""),'Feijão 2ª safra'!$E33:INDEX('Feijão 2ª safra'!$E33:$Z33,MIN(L$6-$G$3,22))),0)))))</f>
        <v>0</v>
      </c>
      <c r="M35" s="27" t="n">
        <f aca="false">IF(COUNT('Feijão 2ª safra'!$E33:$Z33)=0,0,MAX(0,IF((M$6-$E$3)&lt;1,0,IFERROR(LOOKUP(2,1/('Feijão 2ª safra'!$E33:INDEX('Feijão 2ª safra'!$E33:$Z33,MIN(M$6-$E$3,22))&lt;&gt;""),'Feijão 2ª safra'!$E33:INDEX('Feijão 2ª safra'!$E33:$Z33,MIN(M$6-$E$3,22))),0))-IF($G$2,0,IF((M$6-$G$3)&lt;1,0,IFERROR(LOOKUP(2,1/('Feijão 2ª safra'!$E33:INDEX('Feijão 2ª safra'!$E33:$Z33,MIN(M$6-$G$3,22))&lt;&gt;""),'Feijão 2ª safra'!$E33:INDEX('Feijão 2ª safra'!$E33:$Z33,MIN(M$6-$G$3,22))),0)))))</f>
        <v>0</v>
      </c>
      <c r="N35" s="27" t="n">
        <f aca="false">IF(COUNT('Feijão 2ª safra'!$E33:$Z33)=0,0,MAX(0,IF((N$6-$E$3)&lt;1,0,IFERROR(LOOKUP(2,1/('Feijão 2ª safra'!$E33:INDEX('Feijão 2ª safra'!$E33:$Z33,MIN(N$6-$E$3,22))&lt;&gt;""),'Feijão 2ª safra'!$E33:INDEX('Feijão 2ª safra'!$E33:$Z33,MIN(N$6-$E$3,22))),0))-IF($G$2,0,IF((N$6-$G$3)&lt;1,0,IFERROR(LOOKUP(2,1/('Feijão 2ª safra'!$E33:INDEX('Feijão 2ª safra'!$E33:$Z33,MIN(N$6-$G$3,22))&lt;&gt;""),'Feijão 2ª safra'!$E33:INDEX('Feijão 2ª safra'!$E33:$Z33,MIN(N$6-$G$3,22))),0)))))</f>
        <v>0</v>
      </c>
      <c r="O35" s="27" t="n">
        <f aca="false">IF(COUNT('Feijão 2ª safra'!$E33:$Z33)=0,0,MAX(0,IF((O$6-$E$3)&lt;1,0,IFERROR(LOOKUP(2,1/('Feijão 2ª safra'!$E33:INDEX('Feijão 2ª safra'!$E33:$Z33,MIN(O$6-$E$3,22))&lt;&gt;""),'Feijão 2ª safra'!$E33:INDEX('Feijão 2ª safra'!$E33:$Z33,MIN(O$6-$E$3,22))),0))-IF($G$2,0,IF((O$6-$G$3)&lt;1,0,IFERROR(LOOKUP(2,1/('Feijão 2ª safra'!$E33:INDEX('Feijão 2ª safra'!$E33:$Z33,MIN(O$6-$G$3,22))&lt;&gt;""),'Feijão 2ª safra'!$E33:INDEX('Feijão 2ª safra'!$E33:$Z33,MIN(O$6-$G$3,22))),0)))))</f>
        <v>0</v>
      </c>
      <c r="P35" s="27" t="n">
        <f aca="false">IF(COUNT('Feijão 2ª safra'!$E33:$Z33)=0,0,MAX(0,IF((P$6-$E$3)&lt;1,0,IFERROR(LOOKUP(2,1/('Feijão 2ª safra'!$E33:INDEX('Feijão 2ª safra'!$E33:$Z33,MIN(P$6-$E$3,22))&lt;&gt;""),'Feijão 2ª safra'!$E33:INDEX('Feijão 2ª safra'!$E33:$Z33,MIN(P$6-$E$3,22))),0))-IF($G$2,0,IF((P$6-$G$3)&lt;1,0,IFERROR(LOOKUP(2,1/('Feijão 2ª safra'!$E33:INDEX('Feijão 2ª safra'!$E33:$Z33,MIN(P$6-$G$3,22))&lt;&gt;""),'Feijão 2ª safra'!$E33:INDEX('Feijão 2ª safra'!$E33:$Z33,MIN(P$6-$G$3,22))),0)))))</f>
        <v>0</v>
      </c>
      <c r="Q35" s="27" t="n">
        <f aca="false">IF(COUNT('Feijão 2ª safra'!$E33:$Z33)=0,0,MAX(0,IF((Q$6-$E$3)&lt;1,0,IFERROR(LOOKUP(2,1/('Feijão 2ª safra'!$E33:INDEX('Feijão 2ª safra'!$E33:$Z33,MIN(Q$6-$E$3,22))&lt;&gt;""),'Feijão 2ª safra'!$E33:INDEX('Feijão 2ª safra'!$E33:$Z33,MIN(Q$6-$E$3,22))),0))-IF($G$2,0,IF((Q$6-$G$3)&lt;1,0,IFERROR(LOOKUP(2,1/('Feijão 2ª safra'!$E33:INDEX('Feijão 2ª safra'!$E33:$Z33,MIN(Q$6-$G$3,22))&lt;&gt;""),'Feijão 2ª safra'!$E33:INDEX('Feijão 2ª safra'!$E33:$Z33,MIN(Q$6-$G$3,22))),0)))))</f>
        <v>0</v>
      </c>
      <c r="R35" s="27" t="n">
        <f aca="false">IF(COUNT('Feijão 2ª safra'!$E33:$Z33)=0,0,MAX(0,IF((R$6-$E$3)&lt;1,0,IFERROR(LOOKUP(2,1/('Feijão 2ª safra'!$E33:INDEX('Feijão 2ª safra'!$E33:$Z33,MIN(R$6-$E$3,22))&lt;&gt;""),'Feijão 2ª safra'!$E33:INDEX('Feijão 2ª safra'!$E33:$Z33,MIN(R$6-$E$3,22))),0))-IF($G$2,0,IF((R$6-$G$3)&lt;1,0,IFERROR(LOOKUP(2,1/('Feijão 2ª safra'!$E33:INDEX('Feijão 2ª safra'!$E33:$Z33,MIN(R$6-$G$3,22))&lt;&gt;""),'Feijão 2ª safra'!$E33:INDEX('Feijão 2ª safra'!$E33:$Z33,MIN(R$6-$G$3,22))),0)))))</f>
        <v>0</v>
      </c>
      <c r="S35" s="27" t="n">
        <f aca="false">IF(COUNT('Feijão 2ª safra'!$E33:$Z33)=0,0,MAX(0,IF((S$6-$E$3)&lt;1,0,IFERROR(LOOKUP(2,1/('Feijão 2ª safra'!$E33:INDEX('Feijão 2ª safra'!$E33:$Z33,MIN(S$6-$E$3,22))&lt;&gt;""),'Feijão 2ª safra'!$E33:INDEX('Feijão 2ª safra'!$E33:$Z33,MIN(S$6-$E$3,22))),0))-IF($G$2,0,IF((S$6-$G$3)&lt;1,0,IFERROR(LOOKUP(2,1/('Feijão 2ª safra'!$E33:INDEX('Feijão 2ª safra'!$E33:$Z33,MIN(S$6-$G$3,22))&lt;&gt;""),'Feijão 2ª safra'!$E33:INDEX('Feijão 2ª safra'!$E33:$Z33,MIN(S$6-$G$3,22))),0)))))</f>
        <v>0</v>
      </c>
      <c r="T35" s="27" t="n">
        <f aca="false">IF(COUNT('Feijão 2ª safra'!$E33:$Z33)=0,0,MAX(0,IF((T$6-$E$3)&lt;1,0,IFERROR(LOOKUP(2,1/('Feijão 2ª safra'!$E33:INDEX('Feijão 2ª safra'!$E33:$Z33,MIN(T$6-$E$3,22))&lt;&gt;""),'Feijão 2ª safra'!$E33:INDEX('Feijão 2ª safra'!$E33:$Z33,MIN(T$6-$E$3,22))),0))-IF($G$2,0,IF((T$6-$G$3)&lt;1,0,IFERROR(LOOKUP(2,1/('Feijão 2ª safra'!$E33:INDEX('Feijão 2ª safra'!$E33:$Z33,MIN(T$6-$G$3,22))&lt;&gt;""),'Feijão 2ª safra'!$E33:INDEX('Feijão 2ª safra'!$E33:$Z33,MIN(T$6-$G$3,22))),0)))))</f>
        <v>0</v>
      </c>
      <c r="U35" s="27" t="n">
        <f aca="false">IF(COUNT('Feijão 2ª safra'!$E33:$Z33)=0,0,MAX(0,IF((U$6-$E$3)&lt;1,0,IFERROR(LOOKUP(2,1/('Feijão 2ª safra'!$E33:INDEX('Feijão 2ª safra'!$E33:$Z33,MIN(U$6-$E$3,22))&lt;&gt;""),'Feijão 2ª safra'!$E33:INDEX('Feijão 2ª safra'!$E33:$Z33,MIN(U$6-$E$3,22))),0))-IF($G$2,0,IF((U$6-$G$3)&lt;1,0,IFERROR(LOOKUP(2,1/('Feijão 2ª safra'!$E33:INDEX('Feijão 2ª safra'!$E33:$Z33,MIN(U$6-$G$3,22))&lt;&gt;""),'Feijão 2ª safra'!$E33:INDEX('Feijão 2ª safra'!$E33:$Z33,MIN(U$6-$G$3,22))),0)))))</f>
        <v>0</v>
      </c>
      <c r="V35" s="27" t="n">
        <f aca="false">IF(COUNT('Feijão 2ª safra'!$E33:$Z33)=0,0,MAX(0,IF((V$6-$E$3)&lt;1,0,IFERROR(LOOKUP(2,1/('Feijão 2ª safra'!$E33:INDEX('Feijão 2ª safra'!$E33:$Z33,MIN(V$6-$E$3,22))&lt;&gt;""),'Feijão 2ª safra'!$E33:INDEX('Feijão 2ª safra'!$E33:$Z33,MIN(V$6-$E$3,22))),0))-IF($G$2,0,IF((V$6-$G$3)&lt;1,0,IFERROR(LOOKUP(2,1/('Feijão 2ª safra'!$E33:INDEX('Feijão 2ª safra'!$E33:$Z33,MIN(V$6-$G$3,22))&lt;&gt;""),'Feijão 2ª safra'!$E33:INDEX('Feijão 2ª safra'!$E33:$Z33,MIN(V$6-$G$3,22))),0)))))</f>
        <v>0</v>
      </c>
      <c r="W35" s="27" t="n">
        <f aca="false">IF(COUNT('Feijão 2ª safra'!$E33:$Z33)=0,0,MAX(0,IF((W$6-$E$3)&lt;1,0,IFERROR(LOOKUP(2,1/('Feijão 2ª safra'!$E33:INDEX('Feijão 2ª safra'!$E33:$Z33,MIN(W$6-$E$3,22))&lt;&gt;""),'Feijão 2ª safra'!$E33:INDEX('Feijão 2ª safra'!$E33:$Z33,MIN(W$6-$E$3,22))),0))-IF($G$2,0,IF((W$6-$G$3)&lt;1,0,IFERROR(LOOKUP(2,1/('Feijão 2ª safra'!$E33:INDEX('Feijão 2ª safra'!$E33:$Z33,MIN(W$6-$G$3,22))&lt;&gt;""),'Feijão 2ª safra'!$E33:INDEX('Feijão 2ª safra'!$E33:$Z33,MIN(W$6-$G$3,22))),0)))))</f>
        <v>0</v>
      </c>
      <c r="X35" s="27" t="n">
        <f aca="false">IF(COUNT('Feijão 2ª safra'!$E33:$Z33)=0,0,MAX(0,IF((X$6-$E$3)&lt;1,0,IFERROR(LOOKUP(2,1/('Feijão 2ª safra'!$E33:INDEX('Feijão 2ª safra'!$E33:$Z33,MIN(X$6-$E$3,22))&lt;&gt;""),'Feijão 2ª safra'!$E33:INDEX('Feijão 2ª safra'!$E33:$Z33,MIN(X$6-$E$3,22))),0))-IF($G$2,0,IF((X$6-$G$3)&lt;1,0,IFERROR(LOOKUP(2,1/('Feijão 2ª safra'!$E33:INDEX('Feijão 2ª safra'!$E33:$Z33,MIN(X$6-$G$3,22))&lt;&gt;""),'Feijão 2ª safra'!$E33:INDEX('Feijão 2ª safra'!$E33:$Z33,MIN(X$6-$G$3,22))),0)))))</f>
        <v>0</v>
      </c>
      <c r="Y35" s="27" t="n">
        <f aca="false">IF(COUNT('Feijão 2ª safra'!$E33:$Z33)=0,0,MAX(0,IF((Y$6-$E$3)&lt;1,0,IFERROR(LOOKUP(2,1/('Feijão 2ª safra'!$E33:INDEX('Feijão 2ª safra'!$E33:$Z33,MIN(Y$6-$E$3,22))&lt;&gt;""),'Feijão 2ª safra'!$E33:INDEX('Feijão 2ª safra'!$E33:$Z33,MIN(Y$6-$E$3,22))),0))-IF($G$2,0,IF((Y$6-$G$3)&lt;1,0,IFERROR(LOOKUP(2,1/('Feijão 2ª safra'!$E33:INDEX('Feijão 2ª safra'!$E33:$Z33,MIN(Y$6-$G$3,22))&lt;&gt;""),'Feijão 2ª safra'!$E33:INDEX('Feijão 2ª safra'!$E33:$Z33,MIN(Y$6-$G$3,22))),0)))))</f>
        <v>0</v>
      </c>
      <c r="Z35" s="27" t="n">
        <f aca="false">IF(COUNT('Feijão 2ª safra'!$E33:$Z33)=0,0,MAX(0,IF((Z$6-$E$3)&lt;1,0,IFERROR(LOOKUP(2,1/('Feijão 2ª safra'!$E33:INDEX('Feijão 2ª safra'!$E33:$Z33,MIN(Z$6-$E$3,22))&lt;&gt;""),'Feijão 2ª safra'!$E33:INDEX('Feijão 2ª safra'!$E33:$Z33,MIN(Z$6-$E$3,22))),0))-IF($G$2,0,IF((Z$6-$G$3)&lt;1,0,IFERROR(LOOKUP(2,1/('Feijão 2ª safra'!$E33:INDEX('Feijão 2ª safra'!$E33:$Z33,MIN(Z$6-$G$3,22))&lt;&gt;""),'Feijão 2ª safra'!$E33:INDEX('Feijão 2ª safra'!$E33:$Z33,MIN(Z$6-$G$3,22))),0)))))</f>
        <v>0</v>
      </c>
      <c r="AA35" s="27" t="n">
        <f aca="false">IF(COUNT('Feijão 2ª safra'!$E33:$Z33)=0,0,MAX(0,IF((AA$6-$E$3)&lt;1,0,IFERROR(LOOKUP(2,1/('Feijão 2ª safra'!$E33:INDEX('Feijão 2ª safra'!$E33:$Z33,MIN(AA$6-$E$3,22))&lt;&gt;""),'Feijão 2ª safra'!$E33:INDEX('Feijão 2ª safra'!$E33:$Z33,MIN(AA$6-$E$3,22))),0))-IF($G$2,0,IF((AA$6-$G$3)&lt;1,0,IFERROR(LOOKUP(2,1/('Feijão 2ª safra'!$E33:INDEX('Feijão 2ª safra'!$E33:$Z33,MIN(AA$6-$G$3,22))&lt;&gt;""),'Feijão 2ª safra'!$E33:INDEX('Feijão 2ª safra'!$E33:$Z33,MIN(AA$6-$G$3,22))),0)))))</f>
        <v>0</v>
      </c>
      <c r="AB35" s="27" t="n">
        <f aca="false">IF(COUNT('Feijão 2ª safra'!$E33:$Z33)=0,0,MAX(0,IF((AB$6-$E$3)&lt;1,0,IFERROR(LOOKUP(2,1/('Feijão 2ª safra'!$E33:INDEX('Feijão 2ª safra'!$E33:$Z33,MIN(AB$6-$E$3,22))&lt;&gt;""),'Feijão 2ª safra'!$E33:INDEX('Feijão 2ª safra'!$E33:$Z33,MIN(AB$6-$E$3,22))),0))-IF($G$2,0,IF((AB$6-$G$3)&lt;1,0,IFERROR(LOOKUP(2,1/('Feijão 2ª safra'!$E33:INDEX('Feijão 2ª safra'!$E33:$Z33,MIN(AB$6-$G$3,22))&lt;&gt;""),'Feijão 2ª safra'!$E33:INDEX('Feijão 2ª safra'!$E33:$Z33,MIN(AB$6-$G$3,22))),0)))))</f>
        <v>0</v>
      </c>
      <c r="AC35" s="27" t="n">
        <f aca="false">IF(COUNT('Feijão 2ª safra'!$E33:$Z33)=0,0,MAX(0,IF((AC$6-$E$3)&lt;1,0,IFERROR(LOOKUP(2,1/('Feijão 2ª safra'!$E33:INDEX('Feijão 2ª safra'!$E33:$Z33,MIN(AC$6-$E$3,22))&lt;&gt;""),'Feijão 2ª safra'!$E33:INDEX('Feijão 2ª safra'!$E33:$Z33,MIN(AC$6-$E$3,22))),0))-IF($G$2,0,IF((AC$6-$G$3)&lt;1,0,IFERROR(LOOKUP(2,1/('Feijão 2ª safra'!$E33:INDEX('Feijão 2ª safra'!$E33:$Z33,MIN(AC$6-$G$3,22))&lt;&gt;""),'Feijão 2ª safra'!$E33:INDEX('Feijão 2ª safra'!$E33:$Z33,MIN(AC$6-$G$3,22))),0)))))</f>
        <v>0</v>
      </c>
      <c r="AD35" s="27" t="n">
        <f aca="false">IF(COUNT('Feijão 2ª safra'!$E33:$Z33)=0,0,MAX(0,IF((AD$6-$E$3)&lt;1,0,IFERROR(LOOKUP(2,1/('Feijão 2ª safra'!$E33:INDEX('Feijão 2ª safra'!$E33:$Z33,MIN(AD$6-$E$3,22))&lt;&gt;""),'Feijão 2ª safra'!$E33:INDEX('Feijão 2ª safra'!$E33:$Z33,MIN(AD$6-$E$3,22))),0))-IF($G$2,0,IF((AD$6-$G$3)&lt;1,0,IFERROR(LOOKUP(2,1/('Feijão 2ª safra'!$E33:INDEX('Feijão 2ª safra'!$E33:$Z33,MIN(AD$6-$G$3,22))&lt;&gt;""),'Feijão 2ª safra'!$E33:INDEX('Feijão 2ª safra'!$E33:$Z33,MIN(AD$6-$G$3,22))),0)))))</f>
        <v>0</v>
      </c>
      <c r="AE35" s="27" t="n">
        <f aca="false">IF(COUNT('Feijão 2ª safra'!$E33:$Z33)=0,0,MAX(0,IF((AE$6-$E$3)&lt;1,0,IFERROR(LOOKUP(2,1/('Feijão 2ª safra'!$E33:INDEX('Feijão 2ª safra'!$E33:$Z33,MIN(AE$6-$E$3,22))&lt;&gt;""),'Feijão 2ª safra'!$E33:INDEX('Feijão 2ª safra'!$E33:$Z33,MIN(AE$6-$E$3,22))),0))-IF($G$2,0,IF((AE$6-$G$3)&lt;1,0,IFERROR(LOOKUP(2,1/('Feijão 2ª safra'!$E33:INDEX('Feijão 2ª safra'!$E33:$Z33,MIN(AE$6-$G$3,22))&lt;&gt;""),'Feijão 2ª safra'!$E33:INDEX('Feijão 2ª safra'!$E33:$Z33,MIN(AE$6-$G$3,22))),0)))))</f>
        <v>0</v>
      </c>
      <c r="AF35" s="27" t="n">
        <f aca="false">IF(COUNT('Feijão 2ª safra'!$E33:$Z33)=0,0,MAX(0,IF((AF$6-$E$3)&lt;1,0,IFERROR(LOOKUP(2,1/('Feijão 2ª safra'!$E33:INDEX('Feijão 2ª safra'!$E33:$Z33,MIN(AF$6-$E$3,22))&lt;&gt;""),'Feijão 2ª safra'!$E33:INDEX('Feijão 2ª safra'!$E33:$Z33,MIN(AF$6-$E$3,22))),0))-IF($G$2,0,IF((AF$6-$G$3)&lt;1,0,IFERROR(LOOKUP(2,1/('Feijão 2ª safra'!$E33:INDEX('Feijão 2ª safra'!$E33:$Z33,MIN(AF$6-$G$3,22))&lt;&gt;""),'Feijão 2ª safra'!$E33:INDEX('Feijão 2ª safra'!$E33:$Z33,MIN(AF$6-$G$3,22))),0)))))</f>
        <v>0</v>
      </c>
      <c r="AG35" s="27" t="n">
        <f aca="false">IF(COUNT('Feijão 2ª safra'!$E33:$Z33)=0,0,MAX(0,IF((AG$6-$E$3)&lt;1,0,IFERROR(LOOKUP(2,1/('Feijão 2ª safra'!$E33:INDEX('Feijão 2ª safra'!$E33:$Z33,MIN(AG$6-$E$3,22))&lt;&gt;""),'Feijão 2ª safra'!$E33:INDEX('Feijão 2ª safra'!$E33:$Z33,MIN(AG$6-$E$3,22))),0))-IF($G$2,0,IF((AG$6-$G$3)&lt;1,0,IFERROR(LOOKUP(2,1/('Feijão 2ª safra'!$E33:INDEX('Feijão 2ª safra'!$E33:$Z33,MIN(AG$6-$G$3,22))&lt;&gt;""),'Feijão 2ª safra'!$E33:INDEX('Feijão 2ª safra'!$E33:$Z33,MIN(AG$6-$G$3,22))),0)))))</f>
        <v>0</v>
      </c>
      <c r="AH35" s="27" t="n">
        <f aca="false">IF(COUNT('Feijão 2ª safra'!$E33:$Z33)=0,0,MAX(0,IF((AH$6-$E$3)&lt;1,0,IFERROR(LOOKUP(2,1/('Feijão 2ª safra'!$E33:INDEX('Feijão 2ª safra'!$E33:$Z33,MIN(AH$6-$E$3,22))&lt;&gt;""),'Feijão 2ª safra'!$E33:INDEX('Feijão 2ª safra'!$E33:$Z33,MIN(AH$6-$E$3,22))),0))-IF($G$2,0,IF((AH$6-$G$3)&lt;1,0,IFERROR(LOOKUP(2,1/('Feijão 2ª safra'!$E33:INDEX('Feijão 2ª safra'!$E33:$Z33,MIN(AH$6-$G$3,22))&lt;&gt;""),'Feijão 2ª safra'!$E33:INDEX('Feijão 2ª safra'!$E33:$Z33,MIN(AH$6-$G$3,22))),0)))))</f>
        <v>0</v>
      </c>
      <c r="AI35" s="27" t="n">
        <f aca="false">IF(COUNT('Feijão 2ª safra'!$E33:$Z33)=0,0,MAX(0,IF((AI$6-$E$3)&lt;1,0,IFERROR(LOOKUP(2,1/('Feijão 2ª safra'!$E33:INDEX('Feijão 2ª safra'!$E33:$Z33,MIN(AI$6-$E$3,22))&lt;&gt;""),'Feijão 2ª safra'!$E33:INDEX('Feijão 2ª safra'!$E33:$Z33,MIN(AI$6-$E$3,22))),0))-IF($G$2,0,IF((AI$6-$G$3)&lt;1,0,IFERROR(LOOKUP(2,1/('Feijão 2ª safra'!$E33:INDEX('Feijão 2ª safra'!$E33:$Z33,MIN(AI$6-$G$3,22))&lt;&gt;""),'Feijão 2ª safra'!$E33:INDEX('Feijão 2ª safra'!$E33:$Z33,MIN(AI$6-$G$3,22))),0)))))</f>
        <v>0</v>
      </c>
      <c r="AJ35" s="27" t="n">
        <f aca="false">IF(COUNT('Feijão 2ª safra'!$E33:$Z33)=0,0,MAX(0,IF((AJ$6-$E$3)&lt;1,0,IFERROR(LOOKUP(2,1/('Feijão 2ª safra'!$E33:INDEX('Feijão 2ª safra'!$E33:$Z33,MIN(AJ$6-$E$3,22))&lt;&gt;""),'Feijão 2ª safra'!$E33:INDEX('Feijão 2ª safra'!$E33:$Z33,MIN(AJ$6-$E$3,22))),0))-IF($G$2,0,IF((AJ$6-$G$3)&lt;1,0,IFERROR(LOOKUP(2,1/('Feijão 2ª safra'!$E33:INDEX('Feijão 2ª safra'!$E33:$Z33,MIN(AJ$6-$G$3,22))&lt;&gt;""),'Feijão 2ª safra'!$E33:INDEX('Feijão 2ª safra'!$E33:$Z33,MIN(AJ$6-$G$3,22))),0)))))</f>
        <v>0</v>
      </c>
      <c r="AK35" s="27" t="n">
        <f aca="false">IF(COUNT('Feijão 2ª safra'!$E33:$Z33)=0,0,MAX(0,IF((AK$6-$E$3)&lt;1,0,IFERROR(LOOKUP(2,1/('Feijão 2ª safra'!$E33:INDEX('Feijão 2ª safra'!$E33:$Z33,MIN(AK$6-$E$3,22))&lt;&gt;""),'Feijão 2ª safra'!$E33:INDEX('Feijão 2ª safra'!$E33:$Z33,MIN(AK$6-$E$3,22))),0))-IF($G$2,0,IF((AK$6-$G$3)&lt;1,0,IFERROR(LOOKUP(2,1/('Feijão 2ª safra'!$E33:INDEX('Feijão 2ª safra'!$E33:$Z33,MIN(AK$6-$G$3,22))&lt;&gt;""),'Feijão 2ª safra'!$E33:INDEX('Feijão 2ª safra'!$E33:$Z33,MIN(AK$6-$G$3,22))),0)))))</f>
        <v>0</v>
      </c>
      <c r="AL35" s="27" t="n">
        <f aca="false">IF(COUNT('Feijão 2ª safra'!$E33:$Z33)=0,0,MAX(0,IF((AL$6-$E$3)&lt;1,0,IFERROR(LOOKUP(2,1/('Feijão 2ª safra'!$E33:INDEX('Feijão 2ª safra'!$E33:$Z33,MIN(AL$6-$E$3,22))&lt;&gt;""),'Feijão 2ª safra'!$E33:INDEX('Feijão 2ª safra'!$E33:$Z33,MIN(AL$6-$E$3,22))),0))-IF($G$2,0,IF((AL$6-$G$3)&lt;1,0,IFERROR(LOOKUP(2,1/('Feijão 2ª safra'!$E33:INDEX('Feijão 2ª safra'!$E33:$Z33,MIN(AL$6-$G$3,22))&lt;&gt;""),'Feijão 2ª safra'!$E33:INDEX('Feijão 2ª safra'!$E33:$Z33,MIN(AL$6-$G$3,22))),0)))))</f>
        <v>0</v>
      </c>
      <c r="AM35" s="27" t="n">
        <f aca="false">IF(COUNT('Feijão 2ª safra'!$E33:$Z33)=0,0,MAX(0,IF((AM$6-$E$3)&lt;1,0,IFERROR(LOOKUP(2,1/('Feijão 2ª safra'!$E33:INDEX('Feijão 2ª safra'!$E33:$Z33,MIN(AM$6-$E$3,22))&lt;&gt;""),'Feijão 2ª safra'!$E33:INDEX('Feijão 2ª safra'!$E33:$Z33,MIN(AM$6-$E$3,22))),0))-IF($G$2,0,IF((AM$6-$G$3)&lt;1,0,IFERROR(LOOKUP(2,1/('Feijão 2ª safra'!$E33:INDEX('Feijão 2ª safra'!$E33:$Z33,MIN(AM$6-$G$3,22))&lt;&gt;""),'Feijão 2ª safra'!$E33:INDEX('Feijão 2ª safra'!$E33:$Z33,MIN(AM$6-$G$3,22))),0)))))</f>
        <v>0</v>
      </c>
      <c r="AN35" s="27" t="n">
        <f aca="false">IF(COUNT('Feijão 2ª safra'!$E33:$Z33)=0,0,MAX(0,IF((AN$6-$E$3)&lt;1,0,IFERROR(LOOKUP(2,1/('Feijão 2ª safra'!$E33:INDEX('Feijão 2ª safra'!$E33:$Z33,MIN(AN$6-$E$3,22))&lt;&gt;""),'Feijão 2ª safra'!$E33:INDEX('Feijão 2ª safra'!$E33:$Z33,MIN(AN$6-$E$3,22))),0))-IF($G$2,0,IF((AN$6-$G$3)&lt;1,0,IFERROR(LOOKUP(2,1/('Feijão 2ª safra'!$E33:INDEX('Feijão 2ª safra'!$E33:$Z33,MIN(AN$6-$G$3,22))&lt;&gt;""),'Feijão 2ª safra'!$E33:INDEX('Feijão 2ª safra'!$E33:$Z33,MIN(AN$6-$G$3,22))),0)))))</f>
        <v>0</v>
      </c>
      <c r="AO35" s="27" t="n">
        <f aca="false">IF(COUNT('Feijão 2ª safra'!$E33:$Z33)=0,0,MAX(0,IF((AO$6-$E$3)&lt;1,0,IFERROR(LOOKUP(2,1/('Feijão 2ª safra'!$E33:INDEX('Feijão 2ª safra'!$E33:$Z33,MIN(AO$6-$E$3,22))&lt;&gt;""),'Feijão 2ª safra'!$E33:INDEX('Feijão 2ª safra'!$E33:$Z33,MIN(AO$6-$E$3,22))),0))-IF($G$2,0,IF((AO$6-$G$3)&lt;1,0,IFERROR(LOOKUP(2,1/('Feijão 2ª safra'!$E33:INDEX('Feijão 2ª safra'!$E33:$Z33,MIN(AO$6-$G$3,22))&lt;&gt;""),'Feijão 2ª safra'!$E33:INDEX('Feijão 2ª safra'!$E33:$Z33,MIN(AO$6-$G$3,22))),0)))))</f>
        <v>0</v>
      </c>
      <c r="AP35" s="27" t="n">
        <f aca="false">IF(COUNT('Feijão 2ª safra'!$E33:$Z33)=0,0,MAX(0,IF((AP$6-$E$3)&lt;1,0,IFERROR(LOOKUP(2,1/('Feijão 2ª safra'!$E33:INDEX('Feijão 2ª safra'!$E33:$Z33,MIN(AP$6-$E$3,22))&lt;&gt;""),'Feijão 2ª safra'!$E33:INDEX('Feijão 2ª safra'!$E33:$Z33,MIN(AP$6-$E$3,22))),0))-IF($G$2,0,IF((AP$6-$G$3)&lt;1,0,IFERROR(LOOKUP(2,1/('Feijão 2ª safra'!$E33:INDEX('Feijão 2ª safra'!$E33:$Z33,MIN(AP$6-$G$3,22))&lt;&gt;""),'Feijão 2ª safra'!$E33:INDEX('Feijão 2ª safra'!$E33:$Z33,MIN(AP$6-$G$3,22))),0)))))</f>
        <v>0</v>
      </c>
      <c r="AQ35" s="27" t="n">
        <f aca="false">IF(COUNT('Feijão 2ª safra'!$E33:$Z33)=0,0,MAX(0,IF((AQ$6-$E$3)&lt;1,0,IFERROR(LOOKUP(2,1/('Feijão 2ª safra'!$E33:INDEX('Feijão 2ª safra'!$E33:$Z33,MIN(AQ$6-$E$3,22))&lt;&gt;""),'Feijão 2ª safra'!$E33:INDEX('Feijão 2ª safra'!$E33:$Z33,MIN(AQ$6-$E$3,22))),0))-IF($G$2,0,IF((AQ$6-$G$3)&lt;1,0,IFERROR(LOOKUP(2,1/('Feijão 2ª safra'!$E33:INDEX('Feijão 2ª safra'!$E33:$Z33,MIN(AQ$6-$G$3,22))&lt;&gt;""),'Feijão 2ª safra'!$E33:INDEX('Feijão 2ª safra'!$E33:$Z33,MIN(AQ$6-$G$3,22))),0)))))</f>
        <v>0</v>
      </c>
      <c r="AR35" s="27" t="n">
        <f aca="false">IF(COUNT('Feijão 2ª safra'!$E33:$Z33)=0,0,MAX(0,IF((AR$6-$E$3)&lt;1,0,IFERROR(LOOKUP(2,1/('Feijão 2ª safra'!$E33:INDEX('Feijão 2ª safra'!$E33:$Z33,MIN(AR$6-$E$3,22))&lt;&gt;""),'Feijão 2ª safra'!$E33:INDEX('Feijão 2ª safra'!$E33:$Z33,MIN(AR$6-$E$3,22))),0))-IF($G$2,0,IF((AR$6-$G$3)&lt;1,0,IFERROR(LOOKUP(2,1/('Feijão 2ª safra'!$E33:INDEX('Feijão 2ª safra'!$E33:$Z33,MIN(AR$6-$G$3,22))&lt;&gt;""),'Feijão 2ª safra'!$E33:INDEX('Feijão 2ª safra'!$E33:$Z33,MIN(AR$6-$G$3,22))),0)))))</f>
        <v>0</v>
      </c>
      <c r="AS35" s="27" t="n">
        <f aca="false">IF(COUNT('Feijão 2ª safra'!$E33:$Z33)=0,0,MAX(0,IF((AS$6-$E$3)&lt;1,0,IFERROR(LOOKUP(2,1/('Feijão 2ª safra'!$E33:INDEX('Feijão 2ª safra'!$E33:$Z33,MIN(AS$6-$E$3,22))&lt;&gt;""),'Feijão 2ª safra'!$E33:INDEX('Feijão 2ª safra'!$E33:$Z33,MIN(AS$6-$E$3,22))),0))-IF($G$2,0,IF((AS$6-$G$3)&lt;1,0,IFERROR(LOOKUP(2,1/('Feijão 2ª safra'!$E33:INDEX('Feijão 2ª safra'!$E33:$Z33,MIN(AS$6-$G$3,22))&lt;&gt;""),'Feijão 2ª safra'!$E33:INDEX('Feijão 2ª safra'!$E33:$Z33,MIN(AS$6-$G$3,22))),0)))))</f>
        <v>0</v>
      </c>
      <c r="AT35" s="27" t="n">
        <f aca="false">IF(COUNT('Feijão 2ª safra'!$E33:$Z33)=0,0,MAX(0,IF((AT$6-$E$3)&lt;1,0,IFERROR(LOOKUP(2,1/('Feijão 2ª safra'!$E33:INDEX('Feijão 2ª safra'!$E33:$Z33,MIN(AT$6-$E$3,22))&lt;&gt;""),'Feijão 2ª safra'!$E33:INDEX('Feijão 2ª safra'!$E33:$Z33,MIN(AT$6-$E$3,22))),0))-IF($G$2,0,IF((AT$6-$G$3)&lt;1,0,IFERROR(LOOKUP(2,1/('Feijão 2ª safra'!$E33:INDEX('Feijão 2ª safra'!$E33:$Z33,MIN(AT$6-$G$3,22))&lt;&gt;""),'Feijão 2ª safra'!$E33:INDEX('Feijão 2ª safra'!$E33:$Z33,MIN(AT$6-$G$3,22))),0)))))</f>
        <v>0</v>
      </c>
      <c r="AU35" s="27" t="n">
        <f aca="false">IF(COUNT('Feijão 2ª safra'!$E33:$Z33)=0,0,MAX(0,IF((AU$6-$E$3)&lt;1,0,IFERROR(LOOKUP(2,1/('Feijão 2ª safra'!$E33:INDEX('Feijão 2ª safra'!$E33:$Z33,MIN(AU$6-$E$3,22))&lt;&gt;""),'Feijão 2ª safra'!$E33:INDEX('Feijão 2ª safra'!$E33:$Z33,MIN(AU$6-$E$3,22))),0))-IF($G$2,0,IF((AU$6-$G$3)&lt;1,0,IFERROR(LOOKUP(2,1/('Feijão 2ª safra'!$E33:INDEX('Feijão 2ª safra'!$E33:$Z33,MIN(AU$6-$G$3,22))&lt;&gt;""),'Feijão 2ª safra'!$E33:INDEX('Feijão 2ª safra'!$E33:$Z33,MIN(AU$6-$G$3,22))),0)))))</f>
        <v>0</v>
      </c>
      <c r="AV35" s="27" t="n">
        <f aca="false">IF(COUNT('Feijão 2ª safra'!$E33:$Z33)=0,0,MAX(0,IF((AV$6-$E$3)&lt;1,0,IFERROR(LOOKUP(2,1/('Feijão 2ª safra'!$E33:INDEX('Feijão 2ª safra'!$E33:$Z33,MIN(AV$6-$E$3,22))&lt;&gt;""),'Feijão 2ª safra'!$E33:INDEX('Feijão 2ª safra'!$E33:$Z33,MIN(AV$6-$E$3,22))),0))-IF($G$2,0,IF((AV$6-$G$3)&lt;1,0,IFERROR(LOOKUP(2,1/('Feijão 2ª safra'!$E33:INDEX('Feijão 2ª safra'!$E33:$Z33,MIN(AV$6-$G$3,22))&lt;&gt;""),'Feijão 2ª safra'!$E33:INDEX('Feijão 2ª safra'!$E33:$Z33,MIN(AV$6-$G$3,22))),0)))))</f>
        <v>0</v>
      </c>
      <c r="AW35" s="27" t="n">
        <f aca="false">IF(COUNT('Feijão 2ª safra'!$E33:$Z33)=0,0,MAX(0,IF((AW$6-$E$3)&lt;1,0,IFERROR(LOOKUP(2,1/('Feijão 2ª safra'!$E33:INDEX('Feijão 2ª safra'!$E33:$Z33,MIN(AW$6-$E$3,22))&lt;&gt;""),'Feijão 2ª safra'!$E33:INDEX('Feijão 2ª safra'!$E33:$Z33,MIN(AW$6-$E$3,22))),0))-IF($G$2,0,IF((AW$6-$G$3)&lt;1,0,IFERROR(LOOKUP(2,1/('Feijão 2ª safra'!$E33:INDEX('Feijão 2ª safra'!$E33:$Z33,MIN(AW$6-$G$3,22))&lt;&gt;""),'Feijão 2ª safra'!$E33:INDEX('Feijão 2ª safra'!$E33:$Z33,MIN(AW$6-$G$3,22))),0)))))</f>
        <v>0</v>
      </c>
      <c r="AX35" s="27" t="n">
        <f aca="false">IF(COUNT('Feijão 2ª safra'!$E33:$Z33)=0,0,MAX(0,IF((AX$6-$E$3)&lt;1,0,IFERROR(LOOKUP(2,1/('Feijão 2ª safra'!$E33:INDEX('Feijão 2ª safra'!$E33:$Z33,MIN(AX$6-$E$3,22))&lt;&gt;""),'Feijão 2ª safra'!$E33:INDEX('Feijão 2ª safra'!$E33:$Z33,MIN(AX$6-$E$3,22))),0))-IF($G$2,0,IF((AX$6-$G$3)&lt;1,0,IFERROR(LOOKUP(2,1/('Feijão 2ª safra'!$E33:INDEX('Feijão 2ª safra'!$E33:$Z33,MIN(AX$6-$G$3,22))&lt;&gt;""),'Feijão 2ª safra'!$E33:INDEX('Feijão 2ª safra'!$E33:$Z33,MIN(AX$6-$G$3,22))),0)))))</f>
        <v>0</v>
      </c>
      <c r="AY35" s="27" t="n">
        <f aca="false">IF(COUNT('Feijão 2ª safra'!$E33:$Z33)=0,0,MAX(0,IF((AY$6-$E$3)&lt;1,0,IFERROR(LOOKUP(2,1/('Feijão 2ª safra'!$E33:INDEX('Feijão 2ª safra'!$E33:$Z33,MIN(AY$6-$E$3,22))&lt;&gt;""),'Feijão 2ª safra'!$E33:INDEX('Feijão 2ª safra'!$E33:$Z33,MIN(AY$6-$E$3,22))),0))-IF($G$2,0,IF((AY$6-$G$3)&lt;1,0,IFERROR(LOOKUP(2,1/('Feijão 2ª safra'!$E33:INDEX('Feijão 2ª safra'!$E33:$Z33,MIN(AY$6-$G$3,22))&lt;&gt;""),'Feijão 2ª safra'!$E33:INDEX('Feijão 2ª safra'!$E33:$Z33,MIN(AY$6-$G$3,22))),0)))))</f>
        <v>0</v>
      </c>
      <c r="AZ35" s="27" t="n">
        <f aca="false">IF(COUNT('Feijão 2ª safra'!$E33:$Z33)=0,0,MAX(0,IF((AZ$6-$E$3)&lt;1,0,IFERROR(LOOKUP(2,1/('Feijão 2ª safra'!$E33:INDEX('Feijão 2ª safra'!$E33:$Z33,MIN(AZ$6-$E$3,22))&lt;&gt;""),'Feijão 2ª safra'!$E33:INDEX('Feijão 2ª safra'!$E33:$Z33,MIN(AZ$6-$E$3,22))),0))-IF($G$2,0,IF((AZ$6-$G$3)&lt;1,0,IFERROR(LOOKUP(2,1/('Feijão 2ª safra'!$E33:INDEX('Feijão 2ª safra'!$E33:$Z33,MIN(AZ$6-$G$3,22))&lt;&gt;""),'Feijão 2ª safra'!$E33:INDEX('Feijão 2ª safra'!$E33:$Z33,MIN(AZ$6-$G$3,22))),0)))))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IF(COUNT('Feijão 2ª safra'!$E34:$Z34)&gt;0,N('Feijão 2ª safra'!$D34),0)</f>
        <v>0</v>
      </c>
      <c r="E36" s="27" t="n">
        <f aca="false">IF(COUNT('Feijão 2ª safra'!$E34:$Z34)=0,0,MAX(0,IF((E$6-$E$3)&lt;1,0,IFERROR(LOOKUP(2,1/('Feijão 2ª safra'!$E34:INDEX('Feijão 2ª safra'!$E34:$Z34,MIN(E$6-$E$3,22))&lt;&gt;""),'Feijão 2ª safra'!$E34:INDEX('Feijão 2ª safra'!$E34:$Z34,MIN(E$6-$E$3,22))),0))-IF($G$2,0,IF((E$6-$G$3)&lt;1,0,IFERROR(LOOKUP(2,1/('Feijão 2ª safra'!$E34:INDEX('Feijão 2ª safra'!$E34:$Z34,MIN(E$6-$G$3,22))&lt;&gt;""),'Feijão 2ª safra'!$E34:INDEX('Feijão 2ª safra'!$E34:$Z34,MIN(E$6-$G$3,22))),0)))))</f>
        <v>0</v>
      </c>
      <c r="F36" s="27" t="n">
        <f aca="false">IF(COUNT('Feijão 2ª safra'!$E34:$Z34)=0,0,MAX(0,IF((F$6-$E$3)&lt;1,0,IFERROR(LOOKUP(2,1/('Feijão 2ª safra'!$E34:INDEX('Feijão 2ª safra'!$E34:$Z34,MIN(F$6-$E$3,22))&lt;&gt;""),'Feijão 2ª safra'!$E34:INDEX('Feijão 2ª safra'!$E34:$Z34,MIN(F$6-$E$3,22))),0))-IF($G$2,0,IF((F$6-$G$3)&lt;1,0,IFERROR(LOOKUP(2,1/('Feijão 2ª safra'!$E34:INDEX('Feijão 2ª safra'!$E34:$Z34,MIN(F$6-$G$3,22))&lt;&gt;""),'Feijão 2ª safra'!$E34:INDEX('Feijão 2ª safra'!$E34:$Z34,MIN(F$6-$G$3,22))),0)))))</f>
        <v>0</v>
      </c>
      <c r="G36" s="27" t="n">
        <f aca="false">IF(COUNT('Feijão 2ª safra'!$E34:$Z34)=0,0,MAX(0,IF((G$6-$E$3)&lt;1,0,IFERROR(LOOKUP(2,1/('Feijão 2ª safra'!$E34:INDEX('Feijão 2ª safra'!$E34:$Z34,MIN(G$6-$E$3,22))&lt;&gt;""),'Feijão 2ª safra'!$E34:INDEX('Feijão 2ª safra'!$E34:$Z34,MIN(G$6-$E$3,22))),0))-IF($G$2,0,IF((G$6-$G$3)&lt;1,0,IFERROR(LOOKUP(2,1/('Feijão 2ª safra'!$E34:INDEX('Feijão 2ª safra'!$E34:$Z34,MIN(G$6-$G$3,22))&lt;&gt;""),'Feijão 2ª safra'!$E34:INDEX('Feijão 2ª safra'!$E34:$Z34,MIN(G$6-$G$3,22))),0)))))</f>
        <v>0</v>
      </c>
      <c r="H36" s="27" t="n">
        <f aca="false">IF(COUNT('Feijão 2ª safra'!$E34:$Z34)=0,0,MAX(0,IF((H$6-$E$3)&lt;1,0,IFERROR(LOOKUP(2,1/('Feijão 2ª safra'!$E34:INDEX('Feijão 2ª safra'!$E34:$Z34,MIN(H$6-$E$3,22))&lt;&gt;""),'Feijão 2ª safra'!$E34:INDEX('Feijão 2ª safra'!$E34:$Z34,MIN(H$6-$E$3,22))),0))-IF($G$2,0,IF((H$6-$G$3)&lt;1,0,IFERROR(LOOKUP(2,1/('Feijão 2ª safra'!$E34:INDEX('Feijão 2ª safra'!$E34:$Z34,MIN(H$6-$G$3,22))&lt;&gt;""),'Feijão 2ª safra'!$E34:INDEX('Feijão 2ª safra'!$E34:$Z34,MIN(H$6-$G$3,22))),0)))))</f>
        <v>0</v>
      </c>
      <c r="I36" s="27" t="n">
        <f aca="false">IF(COUNT('Feijão 2ª safra'!$E34:$Z34)=0,0,MAX(0,IF((I$6-$E$3)&lt;1,0,IFERROR(LOOKUP(2,1/('Feijão 2ª safra'!$E34:INDEX('Feijão 2ª safra'!$E34:$Z34,MIN(I$6-$E$3,22))&lt;&gt;""),'Feijão 2ª safra'!$E34:INDEX('Feijão 2ª safra'!$E34:$Z34,MIN(I$6-$E$3,22))),0))-IF($G$2,0,IF((I$6-$G$3)&lt;1,0,IFERROR(LOOKUP(2,1/('Feijão 2ª safra'!$E34:INDEX('Feijão 2ª safra'!$E34:$Z34,MIN(I$6-$G$3,22))&lt;&gt;""),'Feijão 2ª safra'!$E34:INDEX('Feijão 2ª safra'!$E34:$Z34,MIN(I$6-$G$3,22))),0)))))</f>
        <v>0</v>
      </c>
      <c r="J36" s="27" t="n">
        <f aca="false">IF(COUNT('Feijão 2ª safra'!$E34:$Z34)=0,0,MAX(0,IF((J$6-$E$3)&lt;1,0,IFERROR(LOOKUP(2,1/('Feijão 2ª safra'!$E34:INDEX('Feijão 2ª safra'!$E34:$Z34,MIN(J$6-$E$3,22))&lt;&gt;""),'Feijão 2ª safra'!$E34:INDEX('Feijão 2ª safra'!$E34:$Z34,MIN(J$6-$E$3,22))),0))-IF($G$2,0,IF((J$6-$G$3)&lt;1,0,IFERROR(LOOKUP(2,1/('Feijão 2ª safra'!$E34:INDEX('Feijão 2ª safra'!$E34:$Z34,MIN(J$6-$G$3,22))&lt;&gt;""),'Feijão 2ª safra'!$E34:INDEX('Feijão 2ª safra'!$E34:$Z34,MIN(J$6-$G$3,22))),0)))))</f>
        <v>0</v>
      </c>
      <c r="K36" s="27" t="n">
        <f aca="false">IF(COUNT('Feijão 2ª safra'!$E34:$Z34)=0,0,MAX(0,IF((K$6-$E$3)&lt;1,0,IFERROR(LOOKUP(2,1/('Feijão 2ª safra'!$E34:INDEX('Feijão 2ª safra'!$E34:$Z34,MIN(K$6-$E$3,22))&lt;&gt;""),'Feijão 2ª safra'!$E34:INDEX('Feijão 2ª safra'!$E34:$Z34,MIN(K$6-$E$3,22))),0))-IF($G$2,0,IF((K$6-$G$3)&lt;1,0,IFERROR(LOOKUP(2,1/('Feijão 2ª safra'!$E34:INDEX('Feijão 2ª safra'!$E34:$Z34,MIN(K$6-$G$3,22))&lt;&gt;""),'Feijão 2ª safra'!$E34:INDEX('Feijão 2ª safra'!$E34:$Z34,MIN(K$6-$G$3,22))),0)))))</f>
        <v>0</v>
      </c>
      <c r="L36" s="27" t="n">
        <f aca="false">IF(COUNT('Feijão 2ª safra'!$E34:$Z34)=0,0,MAX(0,IF((L$6-$E$3)&lt;1,0,IFERROR(LOOKUP(2,1/('Feijão 2ª safra'!$E34:INDEX('Feijão 2ª safra'!$E34:$Z34,MIN(L$6-$E$3,22))&lt;&gt;""),'Feijão 2ª safra'!$E34:INDEX('Feijão 2ª safra'!$E34:$Z34,MIN(L$6-$E$3,22))),0))-IF($G$2,0,IF((L$6-$G$3)&lt;1,0,IFERROR(LOOKUP(2,1/('Feijão 2ª safra'!$E34:INDEX('Feijão 2ª safra'!$E34:$Z34,MIN(L$6-$G$3,22))&lt;&gt;""),'Feijão 2ª safra'!$E34:INDEX('Feijão 2ª safra'!$E34:$Z34,MIN(L$6-$G$3,22))),0)))))</f>
        <v>0</v>
      </c>
      <c r="M36" s="27" t="n">
        <f aca="false">IF(COUNT('Feijão 2ª safra'!$E34:$Z34)=0,0,MAX(0,IF((M$6-$E$3)&lt;1,0,IFERROR(LOOKUP(2,1/('Feijão 2ª safra'!$E34:INDEX('Feijão 2ª safra'!$E34:$Z34,MIN(M$6-$E$3,22))&lt;&gt;""),'Feijão 2ª safra'!$E34:INDEX('Feijão 2ª safra'!$E34:$Z34,MIN(M$6-$E$3,22))),0))-IF($G$2,0,IF((M$6-$G$3)&lt;1,0,IFERROR(LOOKUP(2,1/('Feijão 2ª safra'!$E34:INDEX('Feijão 2ª safra'!$E34:$Z34,MIN(M$6-$G$3,22))&lt;&gt;""),'Feijão 2ª safra'!$E34:INDEX('Feijão 2ª safra'!$E34:$Z34,MIN(M$6-$G$3,22))),0)))))</f>
        <v>0</v>
      </c>
      <c r="N36" s="27" t="n">
        <f aca="false">IF(COUNT('Feijão 2ª safra'!$E34:$Z34)=0,0,MAX(0,IF((N$6-$E$3)&lt;1,0,IFERROR(LOOKUP(2,1/('Feijão 2ª safra'!$E34:INDEX('Feijão 2ª safra'!$E34:$Z34,MIN(N$6-$E$3,22))&lt;&gt;""),'Feijão 2ª safra'!$E34:INDEX('Feijão 2ª safra'!$E34:$Z34,MIN(N$6-$E$3,22))),0))-IF($G$2,0,IF((N$6-$G$3)&lt;1,0,IFERROR(LOOKUP(2,1/('Feijão 2ª safra'!$E34:INDEX('Feijão 2ª safra'!$E34:$Z34,MIN(N$6-$G$3,22))&lt;&gt;""),'Feijão 2ª safra'!$E34:INDEX('Feijão 2ª safra'!$E34:$Z34,MIN(N$6-$G$3,22))),0)))))</f>
        <v>0</v>
      </c>
      <c r="O36" s="27" t="n">
        <f aca="false">IF(COUNT('Feijão 2ª safra'!$E34:$Z34)=0,0,MAX(0,IF((O$6-$E$3)&lt;1,0,IFERROR(LOOKUP(2,1/('Feijão 2ª safra'!$E34:INDEX('Feijão 2ª safra'!$E34:$Z34,MIN(O$6-$E$3,22))&lt;&gt;""),'Feijão 2ª safra'!$E34:INDEX('Feijão 2ª safra'!$E34:$Z34,MIN(O$6-$E$3,22))),0))-IF($G$2,0,IF((O$6-$G$3)&lt;1,0,IFERROR(LOOKUP(2,1/('Feijão 2ª safra'!$E34:INDEX('Feijão 2ª safra'!$E34:$Z34,MIN(O$6-$G$3,22))&lt;&gt;""),'Feijão 2ª safra'!$E34:INDEX('Feijão 2ª safra'!$E34:$Z34,MIN(O$6-$G$3,22))),0)))))</f>
        <v>0</v>
      </c>
      <c r="P36" s="27" t="n">
        <f aca="false">IF(COUNT('Feijão 2ª safra'!$E34:$Z34)=0,0,MAX(0,IF((P$6-$E$3)&lt;1,0,IFERROR(LOOKUP(2,1/('Feijão 2ª safra'!$E34:INDEX('Feijão 2ª safra'!$E34:$Z34,MIN(P$6-$E$3,22))&lt;&gt;""),'Feijão 2ª safra'!$E34:INDEX('Feijão 2ª safra'!$E34:$Z34,MIN(P$6-$E$3,22))),0))-IF($G$2,0,IF((P$6-$G$3)&lt;1,0,IFERROR(LOOKUP(2,1/('Feijão 2ª safra'!$E34:INDEX('Feijão 2ª safra'!$E34:$Z34,MIN(P$6-$G$3,22))&lt;&gt;""),'Feijão 2ª safra'!$E34:INDEX('Feijão 2ª safra'!$E34:$Z34,MIN(P$6-$G$3,22))),0)))))</f>
        <v>0</v>
      </c>
      <c r="Q36" s="27" t="n">
        <f aca="false">IF(COUNT('Feijão 2ª safra'!$E34:$Z34)=0,0,MAX(0,IF((Q$6-$E$3)&lt;1,0,IFERROR(LOOKUP(2,1/('Feijão 2ª safra'!$E34:INDEX('Feijão 2ª safra'!$E34:$Z34,MIN(Q$6-$E$3,22))&lt;&gt;""),'Feijão 2ª safra'!$E34:INDEX('Feijão 2ª safra'!$E34:$Z34,MIN(Q$6-$E$3,22))),0))-IF($G$2,0,IF((Q$6-$G$3)&lt;1,0,IFERROR(LOOKUP(2,1/('Feijão 2ª safra'!$E34:INDEX('Feijão 2ª safra'!$E34:$Z34,MIN(Q$6-$G$3,22))&lt;&gt;""),'Feijão 2ª safra'!$E34:INDEX('Feijão 2ª safra'!$E34:$Z34,MIN(Q$6-$G$3,22))),0)))))</f>
        <v>0</v>
      </c>
      <c r="R36" s="27" t="n">
        <f aca="false">IF(COUNT('Feijão 2ª safra'!$E34:$Z34)=0,0,MAX(0,IF((R$6-$E$3)&lt;1,0,IFERROR(LOOKUP(2,1/('Feijão 2ª safra'!$E34:INDEX('Feijão 2ª safra'!$E34:$Z34,MIN(R$6-$E$3,22))&lt;&gt;""),'Feijão 2ª safra'!$E34:INDEX('Feijão 2ª safra'!$E34:$Z34,MIN(R$6-$E$3,22))),0))-IF($G$2,0,IF((R$6-$G$3)&lt;1,0,IFERROR(LOOKUP(2,1/('Feijão 2ª safra'!$E34:INDEX('Feijão 2ª safra'!$E34:$Z34,MIN(R$6-$G$3,22))&lt;&gt;""),'Feijão 2ª safra'!$E34:INDEX('Feijão 2ª safra'!$E34:$Z34,MIN(R$6-$G$3,22))),0)))))</f>
        <v>0</v>
      </c>
      <c r="S36" s="27" t="n">
        <f aca="false">IF(COUNT('Feijão 2ª safra'!$E34:$Z34)=0,0,MAX(0,IF((S$6-$E$3)&lt;1,0,IFERROR(LOOKUP(2,1/('Feijão 2ª safra'!$E34:INDEX('Feijão 2ª safra'!$E34:$Z34,MIN(S$6-$E$3,22))&lt;&gt;""),'Feijão 2ª safra'!$E34:INDEX('Feijão 2ª safra'!$E34:$Z34,MIN(S$6-$E$3,22))),0))-IF($G$2,0,IF((S$6-$G$3)&lt;1,0,IFERROR(LOOKUP(2,1/('Feijão 2ª safra'!$E34:INDEX('Feijão 2ª safra'!$E34:$Z34,MIN(S$6-$G$3,22))&lt;&gt;""),'Feijão 2ª safra'!$E34:INDEX('Feijão 2ª safra'!$E34:$Z34,MIN(S$6-$G$3,22))),0)))))</f>
        <v>0</v>
      </c>
      <c r="T36" s="27" t="n">
        <f aca="false">IF(COUNT('Feijão 2ª safra'!$E34:$Z34)=0,0,MAX(0,IF((T$6-$E$3)&lt;1,0,IFERROR(LOOKUP(2,1/('Feijão 2ª safra'!$E34:INDEX('Feijão 2ª safra'!$E34:$Z34,MIN(T$6-$E$3,22))&lt;&gt;""),'Feijão 2ª safra'!$E34:INDEX('Feijão 2ª safra'!$E34:$Z34,MIN(T$6-$E$3,22))),0))-IF($G$2,0,IF((T$6-$G$3)&lt;1,0,IFERROR(LOOKUP(2,1/('Feijão 2ª safra'!$E34:INDEX('Feijão 2ª safra'!$E34:$Z34,MIN(T$6-$G$3,22))&lt;&gt;""),'Feijão 2ª safra'!$E34:INDEX('Feijão 2ª safra'!$E34:$Z34,MIN(T$6-$G$3,22))),0)))))</f>
        <v>0</v>
      </c>
      <c r="U36" s="27" t="n">
        <f aca="false">IF(COUNT('Feijão 2ª safra'!$E34:$Z34)=0,0,MAX(0,IF((U$6-$E$3)&lt;1,0,IFERROR(LOOKUP(2,1/('Feijão 2ª safra'!$E34:INDEX('Feijão 2ª safra'!$E34:$Z34,MIN(U$6-$E$3,22))&lt;&gt;""),'Feijão 2ª safra'!$E34:INDEX('Feijão 2ª safra'!$E34:$Z34,MIN(U$6-$E$3,22))),0))-IF($G$2,0,IF((U$6-$G$3)&lt;1,0,IFERROR(LOOKUP(2,1/('Feijão 2ª safra'!$E34:INDEX('Feijão 2ª safra'!$E34:$Z34,MIN(U$6-$G$3,22))&lt;&gt;""),'Feijão 2ª safra'!$E34:INDEX('Feijão 2ª safra'!$E34:$Z34,MIN(U$6-$G$3,22))),0)))))</f>
        <v>0</v>
      </c>
      <c r="V36" s="27" t="n">
        <f aca="false">IF(COUNT('Feijão 2ª safra'!$E34:$Z34)=0,0,MAX(0,IF((V$6-$E$3)&lt;1,0,IFERROR(LOOKUP(2,1/('Feijão 2ª safra'!$E34:INDEX('Feijão 2ª safra'!$E34:$Z34,MIN(V$6-$E$3,22))&lt;&gt;""),'Feijão 2ª safra'!$E34:INDEX('Feijão 2ª safra'!$E34:$Z34,MIN(V$6-$E$3,22))),0))-IF($G$2,0,IF((V$6-$G$3)&lt;1,0,IFERROR(LOOKUP(2,1/('Feijão 2ª safra'!$E34:INDEX('Feijão 2ª safra'!$E34:$Z34,MIN(V$6-$G$3,22))&lt;&gt;""),'Feijão 2ª safra'!$E34:INDEX('Feijão 2ª safra'!$E34:$Z34,MIN(V$6-$G$3,22))),0)))))</f>
        <v>0</v>
      </c>
      <c r="W36" s="27" t="n">
        <f aca="false">IF(COUNT('Feijão 2ª safra'!$E34:$Z34)=0,0,MAX(0,IF((W$6-$E$3)&lt;1,0,IFERROR(LOOKUP(2,1/('Feijão 2ª safra'!$E34:INDEX('Feijão 2ª safra'!$E34:$Z34,MIN(W$6-$E$3,22))&lt;&gt;""),'Feijão 2ª safra'!$E34:INDEX('Feijão 2ª safra'!$E34:$Z34,MIN(W$6-$E$3,22))),0))-IF($G$2,0,IF((W$6-$G$3)&lt;1,0,IFERROR(LOOKUP(2,1/('Feijão 2ª safra'!$E34:INDEX('Feijão 2ª safra'!$E34:$Z34,MIN(W$6-$G$3,22))&lt;&gt;""),'Feijão 2ª safra'!$E34:INDEX('Feijão 2ª safra'!$E34:$Z34,MIN(W$6-$G$3,22))),0)))))</f>
        <v>0</v>
      </c>
      <c r="X36" s="27" t="n">
        <f aca="false">IF(COUNT('Feijão 2ª safra'!$E34:$Z34)=0,0,MAX(0,IF((X$6-$E$3)&lt;1,0,IFERROR(LOOKUP(2,1/('Feijão 2ª safra'!$E34:INDEX('Feijão 2ª safra'!$E34:$Z34,MIN(X$6-$E$3,22))&lt;&gt;""),'Feijão 2ª safra'!$E34:INDEX('Feijão 2ª safra'!$E34:$Z34,MIN(X$6-$E$3,22))),0))-IF($G$2,0,IF((X$6-$G$3)&lt;1,0,IFERROR(LOOKUP(2,1/('Feijão 2ª safra'!$E34:INDEX('Feijão 2ª safra'!$E34:$Z34,MIN(X$6-$G$3,22))&lt;&gt;""),'Feijão 2ª safra'!$E34:INDEX('Feijão 2ª safra'!$E34:$Z34,MIN(X$6-$G$3,22))),0)))))</f>
        <v>0</v>
      </c>
      <c r="Y36" s="27" t="n">
        <f aca="false">IF(COUNT('Feijão 2ª safra'!$E34:$Z34)=0,0,MAX(0,IF((Y$6-$E$3)&lt;1,0,IFERROR(LOOKUP(2,1/('Feijão 2ª safra'!$E34:INDEX('Feijão 2ª safra'!$E34:$Z34,MIN(Y$6-$E$3,22))&lt;&gt;""),'Feijão 2ª safra'!$E34:INDEX('Feijão 2ª safra'!$E34:$Z34,MIN(Y$6-$E$3,22))),0))-IF($G$2,0,IF((Y$6-$G$3)&lt;1,0,IFERROR(LOOKUP(2,1/('Feijão 2ª safra'!$E34:INDEX('Feijão 2ª safra'!$E34:$Z34,MIN(Y$6-$G$3,22))&lt;&gt;""),'Feijão 2ª safra'!$E34:INDEX('Feijão 2ª safra'!$E34:$Z34,MIN(Y$6-$G$3,22))),0)))))</f>
        <v>0</v>
      </c>
      <c r="Z36" s="27" t="n">
        <f aca="false">IF(COUNT('Feijão 2ª safra'!$E34:$Z34)=0,0,MAX(0,IF((Z$6-$E$3)&lt;1,0,IFERROR(LOOKUP(2,1/('Feijão 2ª safra'!$E34:INDEX('Feijão 2ª safra'!$E34:$Z34,MIN(Z$6-$E$3,22))&lt;&gt;""),'Feijão 2ª safra'!$E34:INDEX('Feijão 2ª safra'!$E34:$Z34,MIN(Z$6-$E$3,22))),0))-IF($G$2,0,IF((Z$6-$G$3)&lt;1,0,IFERROR(LOOKUP(2,1/('Feijão 2ª safra'!$E34:INDEX('Feijão 2ª safra'!$E34:$Z34,MIN(Z$6-$G$3,22))&lt;&gt;""),'Feijão 2ª safra'!$E34:INDEX('Feijão 2ª safra'!$E34:$Z34,MIN(Z$6-$G$3,22))),0)))))</f>
        <v>0</v>
      </c>
      <c r="AA36" s="27" t="n">
        <f aca="false">IF(COUNT('Feijão 2ª safra'!$E34:$Z34)=0,0,MAX(0,IF((AA$6-$E$3)&lt;1,0,IFERROR(LOOKUP(2,1/('Feijão 2ª safra'!$E34:INDEX('Feijão 2ª safra'!$E34:$Z34,MIN(AA$6-$E$3,22))&lt;&gt;""),'Feijão 2ª safra'!$E34:INDEX('Feijão 2ª safra'!$E34:$Z34,MIN(AA$6-$E$3,22))),0))-IF($G$2,0,IF((AA$6-$G$3)&lt;1,0,IFERROR(LOOKUP(2,1/('Feijão 2ª safra'!$E34:INDEX('Feijão 2ª safra'!$E34:$Z34,MIN(AA$6-$G$3,22))&lt;&gt;""),'Feijão 2ª safra'!$E34:INDEX('Feijão 2ª safra'!$E34:$Z34,MIN(AA$6-$G$3,22))),0)))))</f>
        <v>0</v>
      </c>
      <c r="AB36" s="27" t="n">
        <f aca="false">IF(COUNT('Feijão 2ª safra'!$E34:$Z34)=0,0,MAX(0,IF((AB$6-$E$3)&lt;1,0,IFERROR(LOOKUP(2,1/('Feijão 2ª safra'!$E34:INDEX('Feijão 2ª safra'!$E34:$Z34,MIN(AB$6-$E$3,22))&lt;&gt;""),'Feijão 2ª safra'!$E34:INDEX('Feijão 2ª safra'!$E34:$Z34,MIN(AB$6-$E$3,22))),0))-IF($G$2,0,IF((AB$6-$G$3)&lt;1,0,IFERROR(LOOKUP(2,1/('Feijão 2ª safra'!$E34:INDEX('Feijão 2ª safra'!$E34:$Z34,MIN(AB$6-$G$3,22))&lt;&gt;""),'Feijão 2ª safra'!$E34:INDEX('Feijão 2ª safra'!$E34:$Z34,MIN(AB$6-$G$3,22))),0)))))</f>
        <v>0</v>
      </c>
      <c r="AC36" s="27" t="n">
        <f aca="false">IF(COUNT('Feijão 2ª safra'!$E34:$Z34)=0,0,MAX(0,IF((AC$6-$E$3)&lt;1,0,IFERROR(LOOKUP(2,1/('Feijão 2ª safra'!$E34:INDEX('Feijão 2ª safra'!$E34:$Z34,MIN(AC$6-$E$3,22))&lt;&gt;""),'Feijão 2ª safra'!$E34:INDEX('Feijão 2ª safra'!$E34:$Z34,MIN(AC$6-$E$3,22))),0))-IF($G$2,0,IF((AC$6-$G$3)&lt;1,0,IFERROR(LOOKUP(2,1/('Feijão 2ª safra'!$E34:INDEX('Feijão 2ª safra'!$E34:$Z34,MIN(AC$6-$G$3,22))&lt;&gt;""),'Feijão 2ª safra'!$E34:INDEX('Feijão 2ª safra'!$E34:$Z34,MIN(AC$6-$G$3,22))),0)))))</f>
        <v>0</v>
      </c>
      <c r="AD36" s="27" t="n">
        <f aca="false">IF(COUNT('Feijão 2ª safra'!$E34:$Z34)=0,0,MAX(0,IF((AD$6-$E$3)&lt;1,0,IFERROR(LOOKUP(2,1/('Feijão 2ª safra'!$E34:INDEX('Feijão 2ª safra'!$E34:$Z34,MIN(AD$6-$E$3,22))&lt;&gt;""),'Feijão 2ª safra'!$E34:INDEX('Feijão 2ª safra'!$E34:$Z34,MIN(AD$6-$E$3,22))),0))-IF($G$2,0,IF((AD$6-$G$3)&lt;1,0,IFERROR(LOOKUP(2,1/('Feijão 2ª safra'!$E34:INDEX('Feijão 2ª safra'!$E34:$Z34,MIN(AD$6-$G$3,22))&lt;&gt;""),'Feijão 2ª safra'!$E34:INDEX('Feijão 2ª safra'!$E34:$Z34,MIN(AD$6-$G$3,22))),0)))))</f>
        <v>0</v>
      </c>
      <c r="AE36" s="27" t="n">
        <f aca="false">IF(COUNT('Feijão 2ª safra'!$E34:$Z34)=0,0,MAX(0,IF((AE$6-$E$3)&lt;1,0,IFERROR(LOOKUP(2,1/('Feijão 2ª safra'!$E34:INDEX('Feijão 2ª safra'!$E34:$Z34,MIN(AE$6-$E$3,22))&lt;&gt;""),'Feijão 2ª safra'!$E34:INDEX('Feijão 2ª safra'!$E34:$Z34,MIN(AE$6-$E$3,22))),0))-IF($G$2,0,IF((AE$6-$G$3)&lt;1,0,IFERROR(LOOKUP(2,1/('Feijão 2ª safra'!$E34:INDEX('Feijão 2ª safra'!$E34:$Z34,MIN(AE$6-$G$3,22))&lt;&gt;""),'Feijão 2ª safra'!$E34:INDEX('Feijão 2ª safra'!$E34:$Z34,MIN(AE$6-$G$3,22))),0)))))</f>
        <v>0</v>
      </c>
      <c r="AF36" s="27" t="n">
        <f aca="false">IF(COUNT('Feijão 2ª safra'!$E34:$Z34)=0,0,MAX(0,IF((AF$6-$E$3)&lt;1,0,IFERROR(LOOKUP(2,1/('Feijão 2ª safra'!$E34:INDEX('Feijão 2ª safra'!$E34:$Z34,MIN(AF$6-$E$3,22))&lt;&gt;""),'Feijão 2ª safra'!$E34:INDEX('Feijão 2ª safra'!$E34:$Z34,MIN(AF$6-$E$3,22))),0))-IF($G$2,0,IF((AF$6-$G$3)&lt;1,0,IFERROR(LOOKUP(2,1/('Feijão 2ª safra'!$E34:INDEX('Feijão 2ª safra'!$E34:$Z34,MIN(AF$6-$G$3,22))&lt;&gt;""),'Feijão 2ª safra'!$E34:INDEX('Feijão 2ª safra'!$E34:$Z34,MIN(AF$6-$G$3,22))),0)))))</f>
        <v>0</v>
      </c>
      <c r="AG36" s="27" t="n">
        <f aca="false">IF(COUNT('Feijão 2ª safra'!$E34:$Z34)=0,0,MAX(0,IF((AG$6-$E$3)&lt;1,0,IFERROR(LOOKUP(2,1/('Feijão 2ª safra'!$E34:INDEX('Feijão 2ª safra'!$E34:$Z34,MIN(AG$6-$E$3,22))&lt;&gt;""),'Feijão 2ª safra'!$E34:INDEX('Feijão 2ª safra'!$E34:$Z34,MIN(AG$6-$E$3,22))),0))-IF($G$2,0,IF((AG$6-$G$3)&lt;1,0,IFERROR(LOOKUP(2,1/('Feijão 2ª safra'!$E34:INDEX('Feijão 2ª safra'!$E34:$Z34,MIN(AG$6-$G$3,22))&lt;&gt;""),'Feijão 2ª safra'!$E34:INDEX('Feijão 2ª safra'!$E34:$Z34,MIN(AG$6-$G$3,22))),0)))))</f>
        <v>0</v>
      </c>
      <c r="AH36" s="27" t="n">
        <f aca="false">IF(COUNT('Feijão 2ª safra'!$E34:$Z34)=0,0,MAX(0,IF((AH$6-$E$3)&lt;1,0,IFERROR(LOOKUP(2,1/('Feijão 2ª safra'!$E34:INDEX('Feijão 2ª safra'!$E34:$Z34,MIN(AH$6-$E$3,22))&lt;&gt;""),'Feijão 2ª safra'!$E34:INDEX('Feijão 2ª safra'!$E34:$Z34,MIN(AH$6-$E$3,22))),0))-IF($G$2,0,IF((AH$6-$G$3)&lt;1,0,IFERROR(LOOKUP(2,1/('Feijão 2ª safra'!$E34:INDEX('Feijão 2ª safra'!$E34:$Z34,MIN(AH$6-$G$3,22))&lt;&gt;""),'Feijão 2ª safra'!$E34:INDEX('Feijão 2ª safra'!$E34:$Z34,MIN(AH$6-$G$3,22))),0)))))</f>
        <v>0</v>
      </c>
      <c r="AI36" s="27" t="n">
        <f aca="false">IF(COUNT('Feijão 2ª safra'!$E34:$Z34)=0,0,MAX(0,IF((AI$6-$E$3)&lt;1,0,IFERROR(LOOKUP(2,1/('Feijão 2ª safra'!$E34:INDEX('Feijão 2ª safra'!$E34:$Z34,MIN(AI$6-$E$3,22))&lt;&gt;""),'Feijão 2ª safra'!$E34:INDEX('Feijão 2ª safra'!$E34:$Z34,MIN(AI$6-$E$3,22))),0))-IF($G$2,0,IF((AI$6-$G$3)&lt;1,0,IFERROR(LOOKUP(2,1/('Feijão 2ª safra'!$E34:INDEX('Feijão 2ª safra'!$E34:$Z34,MIN(AI$6-$G$3,22))&lt;&gt;""),'Feijão 2ª safra'!$E34:INDEX('Feijão 2ª safra'!$E34:$Z34,MIN(AI$6-$G$3,22))),0)))))</f>
        <v>0</v>
      </c>
      <c r="AJ36" s="27" t="n">
        <f aca="false">IF(COUNT('Feijão 2ª safra'!$E34:$Z34)=0,0,MAX(0,IF((AJ$6-$E$3)&lt;1,0,IFERROR(LOOKUP(2,1/('Feijão 2ª safra'!$E34:INDEX('Feijão 2ª safra'!$E34:$Z34,MIN(AJ$6-$E$3,22))&lt;&gt;""),'Feijão 2ª safra'!$E34:INDEX('Feijão 2ª safra'!$E34:$Z34,MIN(AJ$6-$E$3,22))),0))-IF($G$2,0,IF((AJ$6-$G$3)&lt;1,0,IFERROR(LOOKUP(2,1/('Feijão 2ª safra'!$E34:INDEX('Feijão 2ª safra'!$E34:$Z34,MIN(AJ$6-$G$3,22))&lt;&gt;""),'Feijão 2ª safra'!$E34:INDEX('Feijão 2ª safra'!$E34:$Z34,MIN(AJ$6-$G$3,22))),0)))))</f>
        <v>0</v>
      </c>
      <c r="AK36" s="27" t="n">
        <f aca="false">IF(COUNT('Feijão 2ª safra'!$E34:$Z34)=0,0,MAX(0,IF((AK$6-$E$3)&lt;1,0,IFERROR(LOOKUP(2,1/('Feijão 2ª safra'!$E34:INDEX('Feijão 2ª safra'!$E34:$Z34,MIN(AK$6-$E$3,22))&lt;&gt;""),'Feijão 2ª safra'!$E34:INDEX('Feijão 2ª safra'!$E34:$Z34,MIN(AK$6-$E$3,22))),0))-IF($G$2,0,IF((AK$6-$G$3)&lt;1,0,IFERROR(LOOKUP(2,1/('Feijão 2ª safra'!$E34:INDEX('Feijão 2ª safra'!$E34:$Z34,MIN(AK$6-$G$3,22))&lt;&gt;""),'Feijão 2ª safra'!$E34:INDEX('Feijão 2ª safra'!$E34:$Z34,MIN(AK$6-$G$3,22))),0)))))</f>
        <v>0</v>
      </c>
      <c r="AL36" s="27" t="n">
        <f aca="false">IF(COUNT('Feijão 2ª safra'!$E34:$Z34)=0,0,MAX(0,IF((AL$6-$E$3)&lt;1,0,IFERROR(LOOKUP(2,1/('Feijão 2ª safra'!$E34:INDEX('Feijão 2ª safra'!$E34:$Z34,MIN(AL$6-$E$3,22))&lt;&gt;""),'Feijão 2ª safra'!$E34:INDEX('Feijão 2ª safra'!$E34:$Z34,MIN(AL$6-$E$3,22))),0))-IF($G$2,0,IF((AL$6-$G$3)&lt;1,0,IFERROR(LOOKUP(2,1/('Feijão 2ª safra'!$E34:INDEX('Feijão 2ª safra'!$E34:$Z34,MIN(AL$6-$G$3,22))&lt;&gt;""),'Feijão 2ª safra'!$E34:INDEX('Feijão 2ª safra'!$E34:$Z34,MIN(AL$6-$G$3,22))),0)))))</f>
        <v>0</v>
      </c>
      <c r="AM36" s="27" t="n">
        <f aca="false">IF(COUNT('Feijão 2ª safra'!$E34:$Z34)=0,0,MAX(0,IF((AM$6-$E$3)&lt;1,0,IFERROR(LOOKUP(2,1/('Feijão 2ª safra'!$E34:INDEX('Feijão 2ª safra'!$E34:$Z34,MIN(AM$6-$E$3,22))&lt;&gt;""),'Feijão 2ª safra'!$E34:INDEX('Feijão 2ª safra'!$E34:$Z34,MIN(AM$6-$E$3,22))),0))-IF($G$2,0,IF((AM$6-$G$3)&lt;1,0,IFERROR(LOOKUP(2,1/('Feijão 2ª safra'!$E34:INDEX('Feijão 2ª safra'!$E34:$Z34,MIN(AM$6-$G$3,22))&lt;&gt;""),'Feijão 2ª safra'!$E34:INDEX('Feijão 2ª safra'!$E34:$Z34,MIN(AM$6-$G$3,22))),0)))))</f>
        <v>0</v>
      </c>
      <c r="AN36" s="27" t="n">
        <f aca="false">IF(COUNT('Feijão 2ª safra'!$E34:$Z34)=0,0,MAX(0,IF((AN$6-$E$3)&lt;1,0,IFERROR(LOOKUP(2,1/('Feijão 2ª safra'!$E34:INDEX('Feijão 2ª safra'!$E34:$Z34,MIN(AN$6-$E$3,22))&lt;&gt;""),'Feijão 2ª safra'!$E34:INDEX('Feijão 2ª safra'!$E34:$Z34,MIN(AN$6-$E$3,22))),0))-IF($G$2,0,IF((AN$6-$G$3)&lt;1,0,IFERROR(LOOKUP(2,1/('Feijão 2ª safra'!$E34:INDEX('Feijão 2ª safra'!$E34:$Z34,MIN(AN$6-$G$3,22))&lt;&gt;""),'Feijão 2ª safra'!$E34:INDEX('Feijão 2ª safra'!$E34:$Z34,MIN(AN$6-$G$3,22))),0)))))</f>
        <v>0</v>
      </c>
      <c r="AO36" s="27" t="n">
        <f aca="false">IF(COUNT('Feijão 2ª safra'!$E34:$Z34)=0,0,MAX(0,IF((AO$6-$E$3)&lt;1,0,IFERROR(LOOKUP(2,1/('Feijão 2ª safra'!$E34:INDEX('Feijão 2ª safra'!$E34:$Z34,MIN(AO$6-$E$3,22))&lt;&gt;""),'Feijão 2ª safra'!$E34:INDEX('Feijão 2ª safra'!$E34:$Z34,MIN(AO$6-$E$3,22))),0))-IF($G$2,0,IF((AO$6-$G$3)&lt;1,0,IFERROR(LOOKUP(2,1/('Feijão 2ª safra'!$E34:INDEX('Feijão 2ª safra'!$E34:$Z34,MIN(AO$6-$G$3,22))&lt;&gt;""),'Feijão 2ª safra'!$E34:INDEX('Feijão 2ª safra'!$E34:$Z34,MIN(AO$6-$G$3,22))),0)))))</f>
        <v>0</v>
      </c>
      <c r="AP36" s="27" t="n">
        <f aca="false">IF(COUNT('Feijão 2ª safra'!$E34:$Z34)=0,0,MAX(0,IF((AP$6-$E$3)&lt;1,0,IFERROR(LOOKUP(2,1/('Feijão 2ª safra'!$E34:INDEX('Feijão 2ª safra'!$E34:$Z34,MIN(AP$6-$E$3,22))&lt;&gt;""),'Feijão 2ª safra'!$E34:INDEX('Feijão 2ª safra'!$E34:$Z34,MIN(AP$6-$E$3,22))),0))-IF($G$2,0,IF((AP$6-$G$3)&lt;1,0,IFERROR(LOOKUP(2,1/('Feijão 2ª safra'!$E34:INDEX('Feijão 2ª safra'!$E34:$Z34,MIN(AP$6-$G$3,22))&lt;&gt;""),'Feijão 2ª safra'!$E34:INDEX('Feijão 2ª safra'!$E34:$Z34,MIN(AP$6-$G$3,22))),0)))))</f>
        <v>0</v>
      </c>
      <c r="AQ36" s="27" t="n">
        <f aca="false">IF(COUNT('Feijão 2ª safra'!$E34:$Z34)=0,0,MAX(0,IF((AQ$6-$E$3)&lt;1,0,IFERROR(LOOKUP(2,1/('Feijão 2ª safra'!$E34:INDEX('Feijão 2ª safra'!$E34:$Z34,MIN(AQ$6-$E$3,22))&lt;&gt;""),'Feijão 2ª safra'!$E34:INDEX('Feijão 2ª safra'!$E34:$Z34,MIN(AQ$6-$E$3,22))),0))-IF($G$2,0,IF((AQ$6-$G$3)&lt;1,0,IFERROR(LOOKUP(2,1/('Feijão 2ª safra'!$E34:INDEX('Feijão 2ª safra'!$E34:$Z34,MIN(AQ$6-$G$3,22))&lt;&gt;""),'Feijão 2ª safra'!$E34:INDEX('Feijão 2ª safra'!$E34:$Z34,MIN(AQ$6-$G$3,22))),0)))))</f>
        <v>0</v>
      </c>
      <c r="AR36" s="27" t="n">
        <f aca="false">IF(COUNT('Feijão 2ª safra'!$E34:$Z34)=0,0,MAX(0,IF((AR$6-$E$3)&lt;1,0,IFERROR(LOOKUP(2,1/('Feijão 2ª safra'!$E34:INDEX('Feijão 2ª safra'!$E34:$Z34,MIN(AR$6-$E$3,22))&lt;&gt;""),'Feijão 2ª safra'!$E34:INDEX('Feijão 2ª safra'!$E34:$Z34,MIN(AR$6-$E$3,22))),0))-IF($G$2,0,IF((AR$6-$G$3)&lt;1,0,IFERROR(LOOKUP(2,1/('Feijão 2ª safra'!$E34:INDEX('Feijão 2ª safra'!$E34:$Z34,MIN(AR$6-$G$3,22))&lt;&gt;""),'Feijão 2ª safra'!$E34:INDEX('Feijão 2ª safra'!$E34:$Z34,MIN(AR$6-$G$3,22))),0)))))</f>
        <v>0</v>
      </c>
      <c r="AS36" s="27" t="n">
        <f aca="false">IF(COUNT('Feijão 2ª safra'!$E34:$Z34)=0,0,MAX(0,IF((AS$6-$E$3)&lt;1,0,IFERROR(LOOKUP(2,1/('Feijão 2ª safra'!$E34:INDEX('Feijão 2ª safra'!$E34:$Z34,MIN(AS$6-$E$3,22))&lt;&gt;""),'Feijão 2ª safra'!$E34:INDEX('Feijão 2ª safra'!$E34:$Z34,MIN(AS$6-$E$3,22))),0))-IF($G$2,0,IF((AS$6-$G$3)&lt;1,0,IFERROR(LOOKUP(2,1/('Feijão 2ª safra'!$E34:INDEX('Feijão 2ª safra'!$E34:$Z34,MIN(AS$6-$G$3,22))&lt;&gt;""),'Feijão 2ª safra'!$E34:INDEX('Feijão 2ª safra'!$E34:$Z34,MIN(AS$6-$G$3,22))),0)))))</f>
        <v>0</v>
      </c>
      <c r="AT36" s="27" t="n">
        <f aca="false">IF(COUNT('Feijão 2ª safra'!$E34:$Z34)=0,0,MAX(0,IF((AT$6-$E$3)&lt;1,0,IFERROR(LOOKUP(2,1/('Feijão 2ª safra'!$E34:INDEX('Feijão 2ª safra'!$E34:$Z34,MIN(AT$6-$E$3,22))&lt;&gt;""),'Feijão 2ª safra'!$E34:INDEX('Feijão 2ª safra'!$E34:$Z34,MIN(AT$6-$E$3,22))),0))-IF($G$2,0,IF((AT$6-$G$3)&lt;1,0,IFERROR(LOOKUP(2,1/('Feijão 2ª safra'!$E34:INDEX('Feijão 2ª safra'!$E34:$Z34,MIN(AT$6-$G$3,22))&lt;&gt;""),'Feijão 2ª safra'!$E34:INDEX('Feijão 2ª safra'!$E34:$Z34,MIN(AT$6-$G$3,22))),0)))))</f>
        <v>0</v>
      </c>
      <c r="AU36" s="27" t="n">
        <f aca="false">IF(COUNT('Feijão 2ª safra'!$E34:$Z34)=0,0,MAX(0,IF((AU$6-$E$3)&lt;1,0,IFERROR(LOOKUP(2,1/('Feijão 2ª safra'!$E34:INDEX('Feijão 2ª safra'!$E34:$Z34,MIN(AU$6-$E$3,22))&lt;&gt;""),'Feijão 2ª safra'!$E34:INDEX('Feijão 2ª safra'!$E34:$Z34,MIN(AU$6-$E$3,22))),0))-IF($G$2,0,IF((AU$6-$G$3)&lt;1,0,IFERROR(LOOKUP(2,1/('Feijão 2ª safra'!$E34:INDEX('Feijão 2ª safra'!$E34:$Z34,MIN(AU$6-$G$3,22))&lt;&gt;""),'Feijão 2ª safra'!$E34:INDEX('Feijão 2ª safra'!$E34:$Z34,MIN(AU$6-$G$3,22))),0)))))</f>
        <v>0</v>
      </c>
      <c r="AV36" s="27" t="n">
        <f aca="false">IF(COUNT('Feijão 2ª safra'!$E34:$Z34)=0,0,MAX(0,IF((AV$6-$E$3)&lt;1,0,IFERROR(LOOKUP(2,1/('Feijão 2ª safra'!$E34:INDEX('Feijão 2ª safra'!$E34:$Z34,MIN(AV$6-$E$3,22))&lt;&gt;""),'Feijão 2ª safra'!$E34:INDEX('Feijão 2ª safra'!$E34:$Z34,MIN(AV$6-$E$3,22))),0))-IF($G$2,0,IF((AV$6-$G$3)&lt;1,0,IFERROR(LOOKUP(2,1/('Feijão 2ª safra'!$E34:INDEX('Feijão 2ª safra'!$E34:$Z34,MIN(AV$6-$G$3,22))&lt;&gt;""),'Feijão 2ª safra'!$E34:INDEX('Feijão 2ª safra'!$E34:$Z34,MIN(AV$6-$G$3,22))),0)))))</f>
        <v>0</v>
      </c>
      <c r="AW36" s="27" t="n">
        <f aca="false">IF(COUNT('Feijão 2ª safra'!$E34:$Z34)=0,0,MAX(0,IF((AW$6-$E$3)&lt;1,0,IFERROR(LOOKUP(2,1/('Feijão 2ª safra'!$E34:INDEX('Feijão 2ª safra'!$E34:$Z34,MIN(AW$6-$E$3,22))&lt;&gt;""),'Feijão 2ª safra'!$E34:INDEX('Feijão 2ª safra'!$E34:$Z34,MIN(AW$6-$E$3,22))),0))-IF($G$2,0,IF((AW$6-$G$3)&lt;1,0,IFERROR(LOOKUP(2,1/('Feijão 2ª safra'!$E34:INDEX('Feijão 2ª safra'!$E34:$Z34,MIN(AW$6-$G$3,22))&lt;&gt;""),'Feijão 2ª safra'!$E34:INDEX('Feijão 2ª safra'!$E34:$Z34,MIN(AW$6-$G$3,22))),0)))))</f>
        <v>0</v>
      </c>
      <c r="AX36" s="27" t="n">
        <f aca="false">IF(COUNT('Feijão 2ª safra'!$E34:$Z34)=0,0,MAX(0,IF((AX$6-$E$3)&lt;1,0,IFERROR(LOOKUP(2,1/('Feijão 2ª safra'!$E34:INDEX('Feijão 2ª safra'!$E34:$Z34,MIN(AX$6-$E$3,22))&lt;&gt;""),'Feijão 2ª safra'!$E34:INDEX('Feijão 2ª safra'!$E34:$Z34,MIN(AX$6-$E$3,22))),0))-IF($G$2,0,IF((AX$6-$G$3)&lt;1,0,IFERROR(LOOKUP(2,1/('Feijão 2ª safra'!$E34:INDEX('Feijão 2ª safra'!$E34:$Z34,MIN(AX$6-$G$3,22))&lt;&gt;""),'Feijão 2ª safra'!$E34:INDEX('Feijão 2ª safra'!$E34:$Z34,MIN(AX$6-$G$3,22))),0)))))</f>
        <v>0</v>
      </c>
      <c r="AY36" s="27" t="n">
        <f aca="false">IF(COUNT('Feijão 2ª safra'!$E34:$Z34)=0,0,MAX(0,IF((AY$6-$E$3)&lt;1,0,IFERROR(LOOKUP(2,1/('Feijão 2ª safra'!$E34:INDEX('Feijão 2ª safra'!$E34:$Z34,MIN(AY$6-$E$3,22))&lt;&gt;""),'Feijão 2ª safra'!$E34:INDEX('Feijão 2ª safra'!$E34:$Z34,MIN(AY$6-$E$3,22))),0))-IF($G$2,0,IF((AY$6-$G$3)&lt;1,0,IFERROR(LOOKUP(2,1/('Feijão 2ª safra'!$E34:INDEX('Feijão 2ª safra'!$E34:$Z34,MIN(AY$6-$G$3,22))&lt;&gt;""),'Feijão 2ª safra'!$E34:INDEX('Feijão 2ª safra'!$E34:$Z34,MIN(AY$6-$G$3,22))),0)))))</f>
        <v>0</v>
      </c>
      <c r="AZ36" s="27" t="n">
        <f aca="false">IF(COUNT('Feijão 2ª safra'!$E34:$Z34)=0,0,MAX(0,IF((AZ$6-$E$3)&lt;1,0,IFERROR(LOOKUP(2,1/('Feijão 2ª safra'!$E34:INDEX('Feijão 2ª safra'!$E34:$Z34,MIN(AZ$6-$E$3,22))&lt;&gt;""),'Feijão 2ª safra'!$E34:INDEX('Feijão 2ª safra'!$E34:$Z34,MIN(AZ$6-$E$3,22))),0))-IF($G$2,0,IF((AZ$6-$G$3)&lt;1,0,IFERROR(LOOKUP(2,1/('Feijão 2ª safra'!$E34:INDEX('Feijão 2ª safra'!$E34:$Z34,MIN(AZ$6-$G$3,22))&lt;&gt;""),'Feijão 2ª safra'!$E34:INDEX('Feijão 2ª safra'!$E34:$Z34,MIN(AZ$6-$G$3,22))),0)))))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IF(COUNT('Feijão 2ª safra'!$E35:$Z35)&gt;0,N('Feijão 2ª safra'!$D35),0)</f>
        <v>0</v>
      </c>
      <c r="E37" s="27" t="n">
        <f aca="false">IF(COUNT('Feijão 2ª safra'!$E35:$Z35)=0,0,MAX(0,IF((E$6-$E$3)&lt;1,0,IFERROR(LOOKUP(2,1/('Feijão 2ª safra'!$E35:INDEX('Feijão 2ª safra'!$E35:$Z35,MIN(E$6-$E$3,22))&lt;&gt;""),'Feijão 2ª safra'!$E35:INDEX('Feijão 2ª safra'!$E35:$Z35,MIN(E$6-$E$3,22))),0))-IF($G$2,0,IF((E$6-$G$3)&lt;1,0,IFERROR(LOOKUP(2,1/('Feijão 2ª safra'!$E35:INDEX('Feijão 2ª safra'!$E35:$Z35,MIN(E$6-$G$3,22))&lt;&gt;""),'Feijão 2ª safra'!$E35:INDEX('Feijão 2ª safra'!$E35:$Z35,MIN(E$6-$G$3,22))),0)))))</f>
        <v>0</v>
      </c>
      <c r="F37" s="27" t="n">
        <f aca="false">IF(COUNT('Feijão 2ª safra'!$E35:$Z35)=0,0,MAX(0,IF((F$6-$E$3)&lt;1,0,IFERROR(LOOKUP(2,1/('Feijão 2ª safra'!$E35:INDEX('Feijão 2ª safra'!$E35:$Z35,MIN(F$6-$E$3,22))&lt;&gt;""),'Feijão 2ª safra'!$E35:INDEX('Feijão 2ª safra'!$E35:$Z35,MIN(F$6-$E$3,22))),0))-IF($G$2,0,IF((F$6-$G$3)&lt;1,0,IFERROR(LOOKUP(2,1/('Feijão 2ª safra'!$E35:INDEX('Feijão 2ª safra'!$E35:$Z35,MIN(F$6-$G$3,22))&lt;&gt;""),'Feijão 2ª safra'!$E35:INDEX('Feijão 2ª safra'!$E35:$Z35,MIN(F$6-$G$3,22))),0)))))</f>
        <v>0</v>
      </c>
      <c r="G37" s="27" t="n">
        <f aca="false">IF(COUNT('Feijão 2ª safra'!$E35:$Z35)=0,0,MAX(0,IF((G$6-$E$3)&lt;1,0,IFERROR(LOOKUP(2,1/('Feijão 2ª safra'!$E35:INDEX('Feijão 2ª safra'!$E35:$Z35,MIN(G$6-$E$3,22))&lt;&gt;""),'Feijão 2ª safra'!$E35:INDEX('Feijão 2ª safra'!$E35:$Z35,MIN(G$6-$E$3,22))),0))-IF($G$2,0,IF((G$6-$G$3)&lt;1,0,IFERROR(LOOKUP(2,1/('Feijão 2ª safra'!$E35:INDEX('Feijão 2ª safra'!$E35:$Z35,MIN(G$6-$G$3,22))&lt;&gt;""),'Feijão 2ª safra'!$E35:INDEX('Feijão 2ª safra'!$E35:$Z35,MIN(G$6-$G$3,22))),0)))))</f>
        <v>0</v>
      </c>
      <c r="H37" s="27" t="n">
        <f aca="false">IF(COUNT('Feijão 2ª safra'!$E35:$Z35)=0,0,MAX(0,IF((H$6-$E$3)&lt;1,0,IFERROR(LOOKUP(2,1/('Feijão 2ª safra'!$E35:INDEX('Feijão 2ª safra'!$E35:$Z35,MIN(H$6-$E$3,22))&lt;&gt;""),'Feijão 2ª safra'!$E35:INDEX('Feijão 2ª safra'!$E35:$Z35,MIN(H$6-$E$3,22))),0))-IF($G$2,0,IF((H$6-$G$3)&lt;1,0,IFERROR(LOOKUP(2,1/('Feijão 2ª safra'!$E35:INDEX('Feijão 2ª safra'!$E35:$Z35,MIN(H$6-$G$3,22))&lt;&gt;""),'Feijão 2ª safra'!$E35:INDEX('Feijão 2ª safra'!$E35:$Z35,MIN(H$6-$G$3,22))),0)))))</f>
        <v>0</v>
      </c>
      <c r="I37" s="27" t="n">
        <f aca="false">IF(COUNT('Feijão 2ª safra'!$E35:$Z35)=0,0,MAX(0,IF((I$6-$E$3)&lt;1,0,IFERROR(LOOKUP(2,1/('Feijão 2ª safra'!$E35:INDEX('Feijão 2ª safra'!$E35:$Z35,MIN(I$6-$E$3,22))&lt;&gt;""),'Feijão 2ª safra'!$E35:INDEX('Feijão 2ª safra'!$E35:$Z35,MIN(I$6-$E$3,22))),0))-IF($G$2,0,IF((I$6-$G$3)&lt;1,0,IFERROR(LOOKUP(2,1/('Feijão 2ª safra'!$E35:INDEX('Feijão 2ª safra'!$E35:$Z35,MIN(I$6-$G$3,22))&lt;&gt;""),'Feijão 2ª safra'!$E35:INDEX('Feijão 2ª safra'!$E35:$Z35,MIN(I$6-$G$3,22))),0)))))</f>
        <v>0</v>
      </c>
      <c r="J37" s="27" t="n">
        <f aca="false">IF(COUNT('Feijão 2ª safra'!$E35:$Z35)=0,0,MAX(0,IF((J$6-$E$3)&lt;1,0,IFERROR(LOOKUP(2,1/('Feijão 2ª safra'!$E35:INDEX('Feijão 2ª safra'!$E35:$Z35,MIN(J$6-$E$3,22))&lt;&gt;""),'Feijão 2ª safra'!$E35:INDEX('Feijão 2ª safra'!$E35:$Z35,MIN(J$6-$E$3,22))),0))-IF($G$2,0,IF((J$6-$G$3)&lt;1,0,IFERROR(LOOKUP(2,1/('Feijão 2ª safra'!$E35:INDEX('Feijão 2ª safra'!$E35:$Z35,MIN(J$6-$G$3,22))&lt;&gt;""),'Feijão 2ª safra'!$E35:INDEX('Feijão 2ª safra'!$E35:$Z35,MIN(J$6-$G$3,22))),0)))))</f>
        <v>0</v>
      </c>
      <c r="K37" s="27" t="n">
        <f aca="false">IF(COUNT('Feijão 2ª safra'!$E35:$Z35)=0,0,MAX(0,IF((K$6-$E$3)&lt;1,0,IFERROR(LOOKUP(2,1/('Feijão 2ª safra'!$E35:INDEX('Feijão 2ª safra'!$E35:$Z35,MIN(K$6-$E$3,22))&lt;&gt;""),'Feijão 2ª safra'!$E35:INDEX('Feijão 2ª safra'!$E35:$Z35,MIN(K$6-$E$3,22))),0))-IF($G$2,0,IF((K$6-$G$3)&lt;1,0,IFERROR(LOOKUP(2,1/('Feijão 2ª safra'!$E35:INDEX('Feijão 2ª safra'!$E35:$Z35,MIN(K$6-$G$3,22))&lt;&gt;""),'Feijão 2ª safra'!$E35:INDEX('Feijão 2ª safra'!$E35:$Z35,MIN(K$6-$G$3,22))),0)))))</f>
        <v>0</v>
      </c>
      <c r="L37" s="27" t="n">
        <f aca="false">IF(COUNT('Feijão 2ª safra'!$E35:$Z35)=0,0,MAX(0,IF((L$6-$E$3)&lt;1,0,IFERROR(LOOKUP(2,1/('Feijão 2ª safra'!$E35:INDEX('Feijão 2ª safra'!$E35:$Z35,MIN(L$6-$E$3,22))&lt;&gt;""),'Feijão 2ª safra'!$E35:INDEX('Feijão 2ª safra'!$E35:$Z35,MIN(L$6-$E$3,22))),0))-IF($G$2,0,IF((L$6-$G$3)&lt;1,0,IFERROR(LOOKUP(2,1/('Feijão 2ª safra'!$E35:INDEX('Feijão 2ª safra'!$E35:$Z35,MIN(L$6-$G$3,22))&lt;&gt;""),'Feijão 2ª safra'!$E35:INDEX('Feijão 2ª safra'!$E35:$Z35,MIN(L$6-$G$3,22))),0)))))</f>
        <v>0</v>
      </c>
      <c r="M37" s="27" t="n">
        <f aca="false">IF(COUNT('Feijão 2ª safra'!$E35:$Z35)=0,0,MAX(0,IF((M$6-$E$3)&lt;1,0,IFERROR(LOOKUP(2,1/('Feijão 2ª safra'!$E35:INDEX('Feijão 2ª safra'!$E35:$Z35,MIN(M$6-$E$3,22))&lt;&gt;""),'Feijão 2ª safra'!$E35:INDEX('Feijão 2ª safra'!$E35:$Z35,MIN(M$6-$E$3,22))),0))-IF($G$2,0,IF((M$6-$G$3)&lt;1,0,IFERROR(LOOKUP(2,1/('Feijão 2ª safra'!$E35:INDEX('Feijão 2ª safra'!$E35:$Z35,MIN(M$6-$G$3,22))&lt;&gt;""),'Feijão 2ª safra'!$E35:INDEX('Feijão 2ª safra'!$E35:$Z35,MIN(M$6-$G$3,22))),0)))))</f>
        <v>0</v>
      </c>
      <c r="N37" s="27" t="n">
        <f aca="false">IF(COUNT('Feijão 2ª safra'!$E35:$Z35)=0,0,MAX(0,IF((N$6-$E$3)&lt;1,0,IFERROR(LOOKUP(2,1/('Feijão 2ª safra'!$E35:INDEX('Feijão 2ª safra'!$E35:$Z35,MIN(N$6-$E$3,22))&lt;&gt;""),'Feijão 2ª safra'!$E35:INDEX('Feijão 2ª safra'!$E35:$Z35,MIN(N$6-$E$3,22))),0))-IF($G$2,0,IF((N$6-$G$3)&lt;1,0,IFERROR(LOOKUP(2,1/('Feijão 2ª safra'!$E35:INDEX('Feijão 2ª safra'!$E35:$Z35,MIN(N$6-$G$3,22))&lt;&gt;""),'Feijão 2ª safra'!$E35:INDEX('Feijão 2ª safra'!$E35:$Z35,MIN(N$6-$G$3,22))),0)))))</f>
        <v>0</v>
      </c>
      <c r="O37" s="27" t="n">
        <f aca="false">IF(COUNT('Feijão 2ª safra'!$E35:$Z35)=0,0,MAX(0,IF((O$6-$E$3)&lt;1,0,IFERROR(LOOKUP(2,1/('Feijão 2ª safra'!$E35:INDEX('Feijão 2ª safra'!$E35:$Z35,MIN(O$6-$E$3,22))&lt;&gt;""),'Feijão 2ª safra'!$E35:INDEX('Feijão 2ª safra'!$E35:$Z35,MIN(O$6-$E$3,22))),0))-IF($G$2,0,IF((O$6-$G$3)&lt;1,0,IFERROR(LOOKUP(2,1/('Feijão 2ª safra'!$E35:INDEX('Feijão 2ª safra'!$E35:$Z35,MIN(O$6-$G$3,22))&lt;&gt;""),'Feijão 2ª safra'!$E35:INDEX('Feijão 2ª safra'!$E35:$Z35,MIN(O$6-$G$3,22))),0)))))</f>
        <v>0</v>
      </c>
      <c r="P37" s="27" t="n">
        <f aca="false">IF(COUNT('Feijão 2ª safra'!$E35:$Z35)=0,0,MAX(0,IF((P$6-$E$3)&lt;1,0,IFERROR(LOOKUP(2,1/('Feijão 2ª safra'!$E35:INDEX('Feijão 2ª safra'!$E35:$Z35,MIN(P$6-$E$3,22))&lt;&gt;""),'Feijão 2ª safra'!$E35:INDEX('Feijão 2ª safra'!$E35:$Z35,MIN(P$6-$E$3,22))),0))-IF($G$2,0,IF((P$6-$G$3)&lt;1,0,IFERROR(LOOKUP(2,1/('Feijão 2ª safra'!$E35:INDEX('Feijão 2ª safra'!$E35:$Z35,MIN(P$6-$G$3,22))&lt;&gt;""),'Feijão 2ª safra'!$E35:INDEX('Feijão 2ª safra'!$E35:$Z35,MIN(P$6-$G$3,22))),0)))))</f>
        <v>0</v>
      </c>
      <c r="Q37" s="27" t="n">
        <f aca="false">IF(COUNT('Feijão 2ª safra'!$E35:$Z35)=0,0,MAX(0,IF((Q$6-$E$3)&lt;1,0,IFERROR(LOOKUP(2,1/('Feijão 2ª safra'!$E35:INDEX('Feijão 2ª safra'!$E35:$Z35,MIN(Q$6-$E$3,22))&lt;&gt;""),'Feijão 2ª safra'!$E35:INDEX('Feijão 2ª safra'!$E35:$Z35,MIN(Q$6-$E$3,22))),0))-IF($G$2,0,IF((Q$6-$G$3)&lt;1,0,IFERROR(LOOKUP(2,1/('Feijão 2ª safra'!$E35:INDEX('Feijão 2ª safra'!$E35:$Z35,MIN(Q$6-$G$3,22))&lt;&gt;""),'Feijão 2ª safra'!$E35:INDEX('Feijão 2ª safra'!$E35:$Z35,MIN(Q$6-$G$3,22))),0)))))</f>
        <v>0</v>
      </c>
      <c r="R37" s="27" t="n">
        <f aca="false">IF(COUNT('Feijão 2ª safra'!$E35:$Z35)=0,0,MAX(0,IF((R$6-$E$3)&lt;1,0,IFERROR(LOOKUP(2,1/('Feijão 2ª safra'!$E35:INDEX('Feijão 2ª safra'!$E35:$Z35,MIN(R$6-$E$3,22))&lt;&gt;""),'Feijão 2ª safra'!$E35:INDEX('Feijão 2ª safra'!$E35:$Z35,MIN(R$6-$E$3,22))),0))-IF($G$2,0,IF((R$6-$G$3)&lt;1,0,IFERROR(LOOKUP(2,1/('Feijão 2ª safra'!$E35:INDEX('Feijão 2ª safra'!$E35:$Z35,MIN(R$6-$G$3,22))&lt;&gt;""),'Feijão 2ª safra'!$E35:INDEX('Feijão 2ª safra'!$E35:$Z35,MIN(R$6-$G$3,22))),0)))))</f>
        <v>0</v>
      </c>
      <c r="S37" s="27" t="n">
        <f aca="false">IF(COUNT('Feijão 2ª safra'!$E35:$Z35)=0,0,MAX(0,IF((S$6-$E$3)&lt;1,0,IFERROR(LOOKUP(2,1/('Feijão 2ª safra'!$E35:INDEX('Feijão 2ª safra'!$E35:$Z35,MIN(S$6-$E$3,22))&lt;&gt;""),'Feijão 2ª safra'!$E35:INDEX('Feijão 2ª safra'!$E35:$Z35,MIN(S$6-$E$3,22))),0))-IF($G$2,0,IF((S$6-$G$3)&lt;1,0,IFERROR(LOOKUP(2,1/('Feijão 2ª safra'!$E35:INDEX('Feijão 2ª safra'!$E35:$Z35,MIN(S$6-$G$3,22))&lt;&gt;""),'Feijão 2ª safra'!$E35:INDEX('Feijão 2ª safra'!$E35:$Z35,MIN(S$6-$G$3,22))),0)))))</f>
        <v>0</v>
      </c>
      <c r="T37" s="27" t="n">
        <f aca="false">IF(COUNT('Feijão 2ª safra'!$E35:$Z35)=0,0,MAX(0,IF((T$6-$E$3)&lt;1,0,IFERROR(LOOKUP(2,1/('Feijão 2ª safra'!$E35:INDEX('Feijão 2ª safra'!$E35:$Z35,MIN(T$6-$E$3,22))&lt;&gt;""),'Feijão 2ª safra'!$E35:INDEX('Feijão 2ª safra'!$E35:$Z35,MIN(T$6-$E$3,22))),0))-IF($G$2,0,IF((T$6-$G$3)&lt;1,0,IFERROR(LOOKUP(2,1/('Feijão 2ª safra'!$E35:INDEX('Feijão 2ª safra'!$E35:$Z35,MIN(T$6-$G$3,22))&lt;&gt;""),'Feijão 2ª safra'!$E35:INDEX('Feijão 2ª safra'!$E35:$Z35,MIN(T$6-$G$3,22))),0)))))</f>
        <v>0</v>
      </c>
      <c r="U37" s="27" t="n">
        <f aca="false">IF(COUNT('Feijão 2ª safra'!$E35:$Z35)=0,0,MAX(0,IF((U$6-$E$3)&lt;1,0,IFERROR(LOOKUP(2,1/('Feijão 2ª safra'!$E35:INDEX('Feijão 2ª safra'!$E35:$Z35,MIN(U$6-$E$3,22))&lt;&gt;""),'Feijão 2ª safra'!$E35:INDEX('Feijão 2ª safra'!$E35:$Z35,MIN(U$6-$E$3,22))),0))-IF($G$2,0,IF((U$6-$G$3)&lt;1,0,IFERROR(LOOKUP(2,1/('Feijão 2ª safra'!$E35:INDEX('Feijão 2ª safra'!$E35:$Z35,MIN(U$6-$G$3,22))&lt;&gt;""),'Feijão 2ª safra'!$E35:INDEX('Feijão 2ª safra'!$E35:$Z35,MIN(U$6-$G$3,22))),0)))))</f>
        <v>0</v>
      </c>
      <c r="V37" s="27" t="n">
        <f aca="false">IF(COUNT('Feijão 2ª safra'!$E35:$Z35)=0,0,MAX(0,IF((V$6-$E$3)&lt;1,0,IFERROR(LOOKUP(2,1/('Feijão 2ª safra'!$E35:INDEX('Feijão 2ª safra'!$E35:$Z35,MIN(V$6-$E$3,22))&lt;&gt;""),'Feijão 2ª safra'!$E35:INDEX('Feijão 2ª safra'!$E35:$Z35,MIN(V$6-$E$3,22))),0))-IF($G$2,0,IF((V$6-$G$3)&lt;1,0,IFERROR(LOOKUP(2,1/('Feijão 2ª safra'!$E35:INDEX('Feijão 2ª safra'!$E35:$Z35,MIN(V$6-$G$3,22))&lt;&gt;""),'Feijão 2ª safra'!$E35:INDEX('Feijão 2ª safra'!$E35:$Z35,MIN(V$6-$G$3,22))),0)))))</f>
        <v>0</v>
      </c>
      <c r="W37" s="27" t="n">
        <f aca="false">IF(COUNT('Feijão 2ª safra'!$E35:$Z35)=0,0,MAX(0,IF((W$6-$E$3)&lt;1,0,IFERROR(LOOKUP(2,1/('Feijão 2ª safra'!$E35:INDEX('Feijão 2ª safra'!$E35:$Z35,MIN(W$6-$E$3,22))&lt;&gt;""),'Feijão 2ª safra'!$E35:INDEX('Feijão 2ª safra'!$E35:$Z35,MIN(W$6-$E$3,22))),0))-IF($G$2,0,IF((W$6-$G$3)&lt;1,0,IFERROR(LOOKUP(2,1/('Feijão 2ª safra'!$E35:INDEX('Feijão 2ª safra'!$E35:$Z35,MIN(W$6-$G$3,22))&lt;&gt;""),'Feijão 2ª safra'!$E35:INDEX('Feijão 2ª safra'!$E35:$Z35,MIN(W$6-$G$3,22))),0)))))</f>
        <v>0</v>
      </c>
      <c r="X37" s="27" t="n">
        <f aca="false">IF(COUNT('Feijão 2ª safra'!$E35:$Z35)=0,0,MAX(0,IF((X$6-$E$3)&lt;1,0,IFERROR(LOOKUP(2,1/('Feijão 2ª safra'!$E35:INDEX('Feijão 2ª safra'!$E35:$Z35,MIN(X$6-$E$3,22))&lt;&gt;""),'Feijão 2ª safra'!$E35:INDEX('Feijão 2ª safra'!$E35:$Z35,MIN(X$6-$E$3,22))),0))-IF($G$2,0,IF((X$6-$G$3)&lt;1,0,IFERROR(LOOKUP(2,1/('Feijão 2ª safra'!$E35:INDEX('Feijão 2ª safra'!$E35:$Z35,MIN(X$6-$G$3,22))&lt;&gt;""),'Feijão 2ª safra'!$E35:INDEX('Feijão 2ª safra'!$E35:$Z35,MIN(X$6-$G$3,22))),0)))))</f>
        <v>0</v>
      </c>
      <c r="Y37" s="27" t="n">
        <f aca="false">IF(COUNT('Feijão 2ª safra'!$E35:$Z35)=0,0,MAX(0,IF((Y$6-$E$3)&lt;1,0,IFERROR(LOOKUP(2,1/('Feijão 2ª safra'!$E35:INDEX('Feijão 2ª safra'!$E35:$Z35,MIN(Y$6-$E$3,22))&lt;&gt;""),'Feijão 2ª safra'!$E35:INDEX('Feijão 2ª safra'!$E35:$Z35,MIN(Y$6-$E$3,22))),0))-IF($G$2,0,IF((Y$6-$G$3)&lt;1,0,IFERROR(LOOKUP(2,1/('Feijão 2ª safra'!$E35:INDEX('Feijão 2ª safra'!$E35:$Z35,MIN(Y$6-$G$3,22))&lt;&gt;""),'Feijão 2ª safra'!$E35:INDEX('Feijão 2ª safra'!$E35:$Z35,MIN(Y$6-$G$3,22))),0)))))</f>
        <v>0</v>
      </c>
      <c r="Z37" s="27" t="n">
        <f aca="false">IF(COUNT('Feijão 2ª safra'!$E35:$Z35)=0,0,MAX(0,IF((Z$6-$E$3)&lt;1,0,IFERROR(LOOKUP(2,1/('Feijão 2ª safra'!$E35:INDEX('Feijão 2ª safra'!$E35:$Z35,MIN(Z$6-$E$3,22))&lt;&gt;""),'Feijão 2ª safra'!$E35:INDEX('Feijão 2ª safra'!$E35:$Z35,MIN(Z$6-$E$3,22))),0))-IF($G$2,0,IF((Z$6-$G$3)&lt;1,0,IFERROR(LOOKUP(2,1/('Feijão 2ª safra'!$E35:INDEX('Feijão 2ª safra'!$E35:$Z35,MIN(Z$6-$G$3,22))&lt;&gt;""),'Feijão 2ª safra'!$E35:INDEX('Feijão 2ª safra'!$E35:$Z35,MIN(Z$6-$G$3,22))),0)))))</f>
        <v>0</v>
      </c>
      <c r="AA37" s="27" t="n">
        <f aca="false">IF(COUNT('Feijão 2ª safra'!$E35:$Z35)=0,0,MAX(0,IF((AA$6-$E$3)&lt;1,0,IFERROR(LOOKUP(2,1/('Feijão 2ª safra'!$E35:INDEX('Feijão 2ª safra'!$E35:$Z35,MIN(AA$6-$E$3,22))&lt;&gt;""),'Feijão 2ª safra'!$E35:INDEX('Feijão 2ª safra'!$E35:$Z35,MIN(AA$6-$E$3,22))),0))-IF($G$2,0,IF((AA$6-$G$3)&lt;1,0,IFERROR(LOOKUP(2,1/('Feijão 2ª safra'!$E35:INDEX('Feijão 2ª safra'!$E35:$Z35,MIN(AA$6-$G$3,22))&lt;&gt;""),'Feijão 2ª safra'!$E35:INDEX('Feijão 2ª safra'!$E35:$Z35,MIN(AA$6-$G$3,22))),0)))))</f>
        <v>0</v>
      </c>
      <c r="AB37" s="27" t="n">
        <f aca="false">IF(COUNT('Feijão 2ª safra'!$E35:$Z35)=0,0,MAX(0,IF((AB$6-$E$3)&lt;1,0,IFERROR(LOOKUP(2,1/('Feijão 2ª safra'!$E35:INDEX('Feijão 2ª safra'!$E35:$Z35,MIN(AB$6-$E$3,22))&lt;&gt;""),'Feijão 2ª safra'!$E35:INDEX('Feijão 2ª safra'!$E35:$Z35,MIN(AB$6-$E$3,22))),0))-IF($G$2,0,IF((AB$6-$G$3)&lt;1,0,IFERROR(LOOKUP(2,1/('Feijão 2ª safra'!$E35:INDEX('Feijão 2ª safra'!$E35:$Z35,MIN(AB$6-$G$3,22))&lt;&gt;""),'Feijão 2ª safra'!$E35:INDEX('Feijão 2ª safra'!$E35:$Z35,MIN(AB$6-$G$3,22))),0)))))</f>
        <v>0</v>
      </c>
      <c r="AC37" s="27" t="n">
        <f aca="false">IF(COUNT('Feijão 2ª safra'!$E35:$Z35)=0,0,MAX(0,IF((AC$6-$E$3)&lt;1,0,IFERROR(LOOKUP(2,1/('Feijão 2ª safra'!$E35:INDEX('Feijão 2ª safra'!$E35:$Z35,MIN(AC$6-$E$3,22))&lt;&gt;""),'Feijão 2ª safra'!$E35:INDEX('Feijão 2ª safra'!$E35:$Z35,MIN(AC$6-$E$3,22))),0))-IF($G$2,0,IF((AC$6-$G$3)&lt;1,0,IFERROR(LOOKUP(2,1/('Feijão 2ª safra'!$E35:INDEX('Feijão 2ª safra'!$E35:$Z35,MIN(AC$6-$G$3,22))&lt;&gt;""),'Feijão 2ª safra'!$E35:INDEX('Feijão 2ª safra'!$E35:$Z35,MIN(AC$6-$G$3,22))),0)))))</f>
        <v>0</v>
      </c>
      <c r="AD37" s="27" t="n">
        <f aca="false">IF(COUNT('Feijão 2ª safra'!$E35:$Z35)=0,0,MAX(0,IF((AD$6-$E$3)&lt;1,0,IFERROR(LOOKUP(2,1/('Feijão 2ª safra'!$E35:INDEX('Feijão 2ª safra'!$E35:$Z35,MIN(AD$6-$E$3,22))&lt;&gt;""),'Feijão 2ª safra'!$E35:INDEX('Feijão 2ª safra'!$E35:$Z35,MIN(AD$6-$E$3,22))),0))-IF($G$2,0,IF((AD$6-$G$3)&lt;1,0,IFERROR(LOOKUP(2,1/('Feijão 2ª safra'!$E35:INDEX('Feijão 2ª safra'!$E35:$Z35,MIN(AD$6-$G$3,22))&lt;&gt;""),'Feijão 2ª safra'!$E35:INDEX('Feijão 2ª safra'!$E35:$Z35,MIN(AD$6-$G$3,22))),0)))))</f>
        <v>0</v>
      </c>
      <c r="AE37" s="27" t="n">
        <f aca="false">IF(COUNT('Feijão 2ª safra'!$E35:$Z35)=0,0,MAX(0,IF((AE$6-$E$3)&lt;1,0,IFERROR(LOOKUP(2,1/('Feijão 2ª safra'!$E35:INDEX('Feijão 2ª safra'!$E35:$Z35,MIN(AE$6-$E$3,22))&lt;&gt;""),'Feijão 2ª safra'!$E35:INDEX('Feijão 2ª safra'!$E35:$Z35,MIN(AE$6-$E$3,22))),0))-IF($G$2,0,IF((AE$6-$G$3)&lt;1,0,IFERROR(LOOKUP(2,1/('Feijão 2ª safra'!$E35:INDEX('Feijão 2ª safra'!$E35:$Z35,MIN(AE$6-$G$3,22))&lt;&gt;""),'Feijão 2ª safra'!$E35:INDEX('Feijão 2ª safra'!$E35:$Z35,MIN(AE$6-$G$3,22))),0)))))</f>
        <v>0</v>
      </c>
      <c r="AF37" s="27" t="n">
        <f aca="false">IF(COUNT('Feijão 2ª safra'!$E35:$Z35)=0,0,MAX(0,IF((AF$6-$E$3)&lt;1,0,IFERROR(LOOKUP(2,1/('Feijão 2ª safra'!$E35:INDEX('Feijão 2ª safra'!$E35:$Z35,MIN(AF$6-$E$3,22))&lt;&gt;""),'Feijão 2ª safra'!$E35:INDEX('Feijão 2ª safra'!$E35:$Z35,MIN(AF$6-$E$3,22))),0))-IF($G$2,0,IF((AF$6-$G$3)&lt;1,0,IFERROR(LOOKUP(2,1/('Feijão 2ª safra'!$E35:INDEX('Feijão 2ª safra'!$E35:$Z35,MIN(AF$6-$G$3,22))&lt;&gt;""),'Feijão 2ª safra'!$E35:INDEX('Feijão 2ª safra'!$E35:$Z35,MIN(AF$6-$G$3,22))),0)))))</f>
        <v>0</v>
      </c>
      <c r="AG37" s="27" t="n">
        <f aca="false">IF(COUNT('Feijão 2ª safra'!$E35:$Z35)=0,0,MAX(0,IF((AG$6-$E$3)&lt;1,0,IFERROR(LOOKUP(2,1/('Feijão 2ª safra'!$E35:INDEX('Feijão 2ª safra'!$E35:$Z35,MIN(AG$6-$E$3,22))&lt;&gt;""),'Feijão 2ª safra'!$E35:INDEX('Feijão 2ª safra'!$E35:$Z35,MIN(AG$6-$E$3,22))),0))-IF($G$2,0,IF((AG$6-$G$3)&lt;1,0,IFERROR(LOOKUP(2,1/('Feijão 2ª safra'!$E35:INDEX('Feijão 2ª safra'!$E35:$Z35,MIN(AG$6-$G$3,22))&lt;&gt;""),'Feijão 2ª safra'!$E35:INDEX('Feijão 2ª safra'!$E35:$Z35,MIN(AG$6-$G$3,22))),0)))))</f>
        <v>0</v>
      </c>
      <c r="AH37" s="27" t="n">
        <f aca="false">IF(COUNT('Feijão 2ª safra'!$E35:$Z35)=0,0,MAX(0,IF((AH$6-$E$3)&lt;1,0,IFERROR(LOOKUP(2,1/('Feijão 2ª safra'!$E35:INDEX('Feijão 2ª safra'!$E35:$Z35,MIN(AH$6-$E$3,22))&lt;&gt;""),'Feijão 2ª safra'!$E35:INDEX('Feijão 2ª safra'!$E35:$Z35,MIN(AH$6-$E$3,22))),0))-IF($G$2,0,IF((AH$6-$G$3)&lt;1,0,IFERROR(LOOKUP(2,1/('Feijão 2ª safra'!$E35:INDEX('Feijão 2ª safra'!$E35:$Z35,MIN(AH$6-$G$3,22))&lt;&gt;""),'Feijão 2ª safra'!$E35:INDEX('Feijão 2ª safra'!$E35:$Z35,MIN(AH$6-$G$3,22))),0)))))</f>
        <v>0</v>
      </c>
      <c r="AI37" s="27" t="n">
        <f aca="false">IF(COUNT('Feijão 2ª safra'!$E35:$Z35)=0,0,MAX(0,IF((AI$6-$E$3)&lt;1,0,IFERROR(LOOKUP(2,1/('Feijão 2ª safra'!$E35:INDEX('Feijão 2ª safra'!$E35:$Z35,MIN(AI$6-$E$3,22))&lt;&gt;""),'Feijão 2ª safra'!$E35:INDEX('Feijão 2ª safra'!$E35:$Z35,MIN(AI$6-$E$3,22))),0))-IF($G$2,0,IF((AI$6-$G$3)&lt;1,0,IFERROR(LOOKUP(2,1/('Feijão 2ª safra'!$E35:INDEX('Feijão 2ª safra'!$E35:$Z35,MIN(AI$6-$G$3,22))&lt;&gt;""),'Feijão 2ª safra'!$E35:INDEX('Feijão 2ª safra'!$E35:$Z35,MIN(AI$6-$G$3,22))),0)))))</f>
        <v>0</v>
      </c>
      <c r="AJ37" s="27" t="n">
        <f aca="false">IF(COUNT('Feijão 2ª safra'!$E35:$Z35)=0,0,MAX(0,IF((AJ$6-$E$3)&lt;1,0,IFERROR(LOOKUP(2,1/('Feijão 2ª safra'!$E35:INDEX('Feijão 2ª safra'!$E35:$Z35,MIN(AJ$6-$E$3,22))&lt;&gt;""),'Feijão 2ª safra'!$E35:INDEX('Feijão 2ª safra'!$E35:$Z35,MIN(AJ$6-$E$3,22))),0))-IF($G$2,0,IF((AJ$6-$G$3)&lt;1,0,IFERROR(LOOKUP(2,1/('Feijão 2ª safra'!$E35:INDEX('Feijão 2ª safra'!$E35:$Z35,MIN(AJ$6-$G$3,22))&lt;&gt;""),'Feijão 2ª safra'!$E35:INDEX('Feijão 2ª safra'!$E35:$Z35,MIN(AJ$6-$G$3,22))),0)))))</f>
        <v>0</v>
      </c>
      <c r="AK37" s="27" t="n">
        <f aca="false">IF(COUNT('Feijão 2ª safra'!$E35:$Z35)=0,0,MAX(0,IF((AK$6-$E$3)&lt;1,0,IFERROR(LOOKUP(2,1/('Feijão 2ª safra'!$E35:INDEX('Feijão 2ª safra'!$E35:$Z35,MIN(AK$6-$E$3,22))&lt;&gt;""),'Feijão 2ª safra'!$E35:INDEX('Feijão 2ª safra'!$E35:$Z35,MIN(AK$6-$E$3,22))),0))-IF($G$2,0,IF((AK$6-$G$3)&lt;1,0,IFERROR(LOOKUP(2,1/('Feijão 2ª safra'!$E35:INDEX('Feijão 2ª safra'!$E35:$Z35,MIN(AK$6-$G$3,22))&lt;&gt;""),'Feijão 2ª safra'!$E35:INDEX('Feijão 2ª safra'!$E35:$Z35,MIN(AK$6-$G$3,22))),0)))))</f>
        <v>0</v>
      </c>
      <c r="AL37" s="27" t="n">
        <f aca="false">IF(COUNT('Feijão 2ª safra'!$E35:$Z35)=0,0,MAX(0,IF((AL$6-$E$3)&lt;1,0,IFERROR(LOOKUP(2,1/('Feijão 2ª safra'!$E35:INDEX('Feijão 2ª safra'!$E35:$Z35,MIN(AL$6-$E$3,22))&lt;&gt;""),'Feijão 2ª safra'!$E35:INDEX('Feijão 2ª safra'!$E35:$Z35,MIN(AL$6-$E$3,22))),0))-IF($G$2,0,IF((AL$6-$G$3)&lt;1,0,IFERROR(LOOKUP(2,1/('Feijão 2ª safra'!$E35:INDEX('Feijão 2ª safra'!$E35:$Z35,MIN(AL$6-$G$3,22))&lt;&gt;""),'Feijão 2ª safra'!$E35:INDEX('Feijão 2ª safra'!$E35:$Z35,MIN(AL$6-$G$3,22))),0)))))</f>
        <v>0</v>
      </c>
      <c r="AM37" s="27" t="n">
        <f aca="false">IF(COUNT('Feijão 2ª safra'!$E35:$Z35)=0,0,MAX(0,IF((AM$6-$E$3)&lt;1,0,IFERROR(LOOKUP(2,1/('Feijão 2ª safra'!$E35:INDEX('Feijão 2ª safra'!$E35:$Z35,MIN(AM$6-$E$3,22))&lt;&gt;""),'Feijão 2ª safra'!$E35:INDEX('Feijão 2ª safra'!$E35:$Z35,MIN(AM$6-$E$3,22))),0))-IF($G$2,0,IF((AM$6-$G$3)&lt;1,0,IFERROR(LOOKUP(2,1/('Feijão 2ª safra'!$E35:INDEX('Feijão 2ª safra'!$E35:$Z35,MIN(AM$6-$G$3,22))&lt;&gt;""),'Feijão 2ª safra'!$E35:INDEX('Feijão 2ª safra'!$E35:$Z35,MIN(AM$6-$G$3,22))),0)))))</f>
        <v>0</v>
      </c>
      <c r="AN37" s="27" t="n">
        <f aca="false">IF(COUNT('Feijão 2ª safra'!$E35:$Z35)=0,0,MAX(0,IF((AN$6-$E$3)&lt;1,0,IFERROR(LOOKUP(2,1/('Feijão 2ª safra'!$E35:INDEX('Feijão 2ª safra'!$E35:$Z35,MIN(AN$6-$E$3,22))&lt;&gt;""),'Feijão 2ª safra'!$E35:INDEX('Feijão 2ª safra'!$E35:$Z35,MIN(AN$6-$E$3,22))),0))-IF($G$2,0,IF((AN$6-$G$3)&lt;1,0,IFERROR(LOOKUP(2,1/('Feijão 2ª safra'!$E35:INDEX('Feijão 2ª safra'!$E35:$Z35,MIN(AN$6-$G$3,22))&lt;&gt;""),'Feijão 2ª safra'!$E35:INDEX('Feijão 2ª safra'!$E35:$Z35,MIN(AN$6-$G$3,22))),0)))))</f>
        <v>0</v>
      </c>
      <c r="AO37" s="27" t="n">
        <f aca="false">IF(COUNT('Feijão 2ª safra'!$E35:$Z35)=0,0,MAX(0,IF((AO$6-$E$3)&lt;1,0,IFERROR(LOOKUP(2,1/('Feijão 2ª safra'!$E35:INDEX('Feijão 2ª safra'!$E35:$Z35,MIN(AO$6-$E$3,22))&lt;&gt;""),'Feijão 2ª safra'!$E35:INDEX('Feijão 2ª safra'!$E35:$Z35,MIN(AO$6-$E$3,22))),0))-IF($G$2,0,IF((AO$6-$G$3)&lt;1,0,IFERROR(LOOKUP(2,1/('Feijão 2ª safra'!$E35:INDEX('Feijão 2ª safra'!$E35:$Z35,MIN(AO$6-$G$3,22))&lt;&gt;""),'Feijão 2ª safra'!$E35:INDEX('Feijão 2ª safra'!$E35:$Z35,MIN(AO$6-$G$3,22))),0)))))</f>
        <v>0</v>
      </c>
      <c r="AP37" s="27" t="n">
        <f aca="false">IF(COUNT('Feijão 2ª safra'!$E35:$Z35)=0,0,MAX(0,IF((AP$6-$E$3)&lt;1,0,IFERROR(LOOKUP(2,1/('Feijão 2ª safra'!$E35:INDEX('Feijão 2ª safra'!$E35:$Z35,MIN(AP$6-$E$3,22))&lt;&gt;""),'Feijão 2ª safra'!$E35:INDEX('Feijão 2ª safra'!$E35:$Z35,MIN(AP$6-$E$3,22))),0))-IF($G$2,0,IF((AP$6-$G$3)&lt;1,0,IFERROR(LOOKUP(2,1/('Feijão 2ª safra'!$E35:INDEX('Feijão 2ª safra'!$E35:$Z35,MIN(AP$6-$G$3,22))&lt;&gt;""),'Feijão 2ª safra'!$E35:INDEX('Feijão 2ª safra'!$E35:$Z35,MIN(AP$6-$G$3,22))),0)))))</f>
        <v>0</v>
      </c>
      <c r="AQ37" s="27" t="n">
        <f aca="false">IF(COUNT('Feijão 2ª safra'!$E35:$Z35)=0,0,MAX(0,IF((AQ$6-$E$3)&lt;1,0,IFERROR(LOOKUP(2,1/('Feijão 2ª safra'!$E35:INDEX('Feijão 2ª safra'!$E35:$Z35,MIN(AQ$6-$E$3,22))&lt;&gt;""),'Feijão 2ª safra'!$E35:INDEX('Feijão 2ª safra'!$E35:$Z35,MIN(AQ$6-$E$3,22))),0))-IF($G$2,0,IF((AQ$6-$G$3)&lt;1,0,IFERROR(LOOKUP(2,1/('Feijão 2ª safra'!$E35:INDEX('Feijão 2ª safra'!$E35:$Z35,MIN(AQ$6-$G$3,22))&lt;&gt;""),'Feijão 2ª safra'!$E35:INDEX('Feijão 2ª safra'!$E35:$Z35,MIN(AQ$6-$G$3,22))),0)))))</f>
        <v>0</v>
      </c>
      <c r="AR37" s="27" t="n">
        <f aca="false">IF(COUNT('Feijão 2ª safra'!$E35:$Z35)=0,0,MAX(0,IF((AR$6-$E$3)&lt;1,0,IFERROR(LOOKUP(2,1/('Feijão 2ª safra'!$E35:INDEX('Feijão 2ª safra'!$E35:$Z35,MIN(AR$6-$E$3,22))&lt;&gt;""),'Feijão 2ª safra'!$E35:INDEX('Feijão 2ª safra'!$E35:$Z35,MIN(AR$6-$E$3,22))),0))-IF($G$2,0,IF((AR$6-$G$3)&lt;1,0,IFERROR(LOOKUP(2,1/('Feijão 2ª safra'!$E35:INDEX('Feijão 2ª safra'!$E35:$Z35,MIN(AR$6-$G$3,22))&lt;&gt;""),'Feijão 2ª safra'!$E35:INDEX('Feijão 2ª safra'!$E35:$Z35,MIN(AR$6-$G$3,22))),0)))))</f>
        <v>0</v>
      </c>
      <c r="AS37" s="27" t="n">
        <f aca="false">IF(COUNT('Feijão 2ª safra'!$E35:$Z35)=0,0,MAX(0,IF((AS$6-$E$3)&lt;1,0,IFERROR(LOOKUP(2,1/('Feijão 2ª safra'!$E35:INDEX('Feijão 2ª safra'!$E35:$Z35,MIN(AS$6-$E$3,22))&lt;&gt;""),'Feijão 2ª safra'!$E35:INDEX('Feijão 2ª safra'!$E35:$Z35,MIN(AS$6-$E$3,22))),0))-IF($G$2,0,IF((AS$6-$G$3)&lt;1,0,IFERROR(LOOKUP(2,1/('Feijão 2ª safra'!$E35:INDEX('Feijão 2ª safra'!$E35:$Z35,MIN(AS$6-$G$3,22))&lt;&gt;""),'Feijão 2ª safra'!$E35:INDEX('Feijão 2ª safra'!$E35:$Z35,MIN(AS$6-$G$3,22))),0)))))</f>
        <v>0</v>
      </c>
      <c r="AT37" s="27" t="n">
        <f aca="false">IF(COUNT('Feijão 2ª safra'!$E35:$Z35)=0,0,MAX(0,IF((AT$6-$E$3)&lt;1,0,IFERROR(LOOKUP(2,1/('Feijão 2ª safra'!$E35:INDEX('Feijão 2ª safra'!$E35:$Z35,MIN(AT$6-$E$3,22))&lt;&gt;""),'Feijão 2ª safra'!$E35:INDEX('Feijão 2ª safra'!$E35:$Z35,MIN(AT$6-$E$3,22))),0))-IF($G$2,0,IF((AT$6-$G$3)&lt;1,0,IFERROR(LOOKUP(2,1/('Feijão 2ª safra'!$E35:INDEX('Feijão 2ª safra'!$E35:$Z35,MIN(AT$6-$G$3,22))&lt;&gt;""),'Feijão 2ª safra'!$E35:INDEX('Feijão 2ª safra'!$E35:$Z35,MIN(AT$6-$G$3,22))),0)))))</f>
        <v>0</v>
      </c>
      <c r="AU37" s="27" t="n">
        <f aca="false">IF(COUNT('Feijão 2ª safra'!$E35:$Z35)=0,0,MAX(0,IF((AU$6-$E$3)&lt;1,0,IFERROR(LOOKUP(2,1/('Feijão 2ª safra'!$E35:INDEX('Feijão 2ª safra'!$E35:$Z35,MIN(AU$6-$E$3,22))&lt;&gt;""),'Feijão 2ª safra'!$E35:INDEX('Feijão 2ª safra'!$E35:$Z35,MIN(AU$6-$E$3,22))),0))-IF($G$2,0,IF((AU$6-$G$3)&lt;1,0,IFERROR(LOOKUP(2,1/('Feijão 2ª safra'!$E35:INDEX('Feijão 2ª safra'!$E35:$Z35,MIN(AU$6-$G$3,22))&lt;&gt;""),'Feijão 2ª safra'!$E35:INDEX('Feijão 2ª safra'!$E35:$Z35,MIN(AU$6-$G$3,22))),0)))))</f>
        <v>0</v>
      </c>
      <c r="AV37" s="27" t="n">
        <f aca="false">IF(COUNT('Feijão 2ª safra'!$E35:$Z35)=0,0,MAX(0,IF((AV$6-$E$3)&lt;1,0,IFERROR(LOOKUP(2,1/('Feijão 2ª safra'!$E35:INDEX('Feijão 2ª safra'!$E35:$Z35,MIN(AV$6-$E$3,22))&lt;&gt;""),'Feijão 2ª safra'!$E35:INDEX('Feijão 2ª safra'!$E35:$Z35,MIN(AV$6-$E$3,22))),0))-IF($G$2,0,IF((AV$6-$G$3)&lt;1,0,IFERROR(LOOKUP(2,1/('Feijão 2ª safra'!$E35:INDEX('Feijão 2ª safra'!$E35:$Z35,MIN(AV$6-$G$3,22))&lt;&gt;""),'Feijão 2ª safra'!$E35:INDEX('Feijão 2ª safra'!$E35:$Z35,MIN(AV$6-$G$3,22))),0)))))</f>
        <v>0</v>
      </c>
      <c r="AW37" s="27" t="n">
        <f aca="false">IF(COUNT('Feijão 2ª safra'!$E35:$Z35)=0,0,MAX(0,IF((AW$6-$E$3)&lt;1,0,IFERROR(LOOKUP(2,1/('Feijão 2ª safra'!$E35:INDEX('Feijão 2ª safra'!$E35:$Z35,MIN(AW$6-$E$3,22))&lt;&gt;""),'Feijão 2ª safra'!$E35:INDEX('Feijão 2ª safra'!$E35:$Z35,MIN(AW$6-$E$3,22))),0))-IF($G$2,0,IF((AW$6-$G$3)&lt;1,0,IFERROR(LOOKUP(2,1/('Feijão 2ª safra'!$E35:INDEX('Feijão 2ª safra'!$E35:$Z35,MIN(AW$6-$G$3,22))&lt;&gt;""),'Feijão 2ª safra'!$E35:INDEX('Feijão 2ª safra'!$E35:$Z35,MIN(AW$6-$G$3,22))),0)))))</f>
        <v>0</v>
      </c>
      <c r="AX37" s="27" t="n">
        <f aca="false">IF(COUNT('Feijão 2ª safra'!$E35:$Z35)=0,0,MAX(0,IF((AX$6-$E$3)&lt;1,0,IFERROR(LOOKUP(2,1/('Feijão 2ª safra'!$E35:INDEX('Feijão 2ª safra'!$E35:$Z35,MIN(AX$6-$E$3,22))&lt;&gt;""),'Feijão 2ª safra'!$E35:INDEX('Feijão 2ª safra'!$E35:$Z35,MIN(AX$6-$E$3,22))),0))-IF($G$2,0,IF((AX$6-$G$3)&lt;1,0,IFERROR(LOOKUP(2,1/('Feijão 2ª safra'!$E35:INDEX('Feijão 2ª safra'!$E35:$Z35,MIN(AX$6-$G$3,22))&lt;&gt;""),'Feijão 2ª safra'!$E35:INDEX('Feijão 2ª safra'!$E35:$Z35,MIN(AX$6-$G$3,22))),0)))))</f>
        <v>0</v>
      </c>
      <c r="AY37" s="27" t="n">
        <f aca="false">IF(COUNT('Feijão 2ª safra'!$E35:$Z35)=0,0,MAX(0,IF((AY$6-$E$3)&lt;1,0,IFERROR(LOOKUP(2,1/('Feijão 2ª safra'!$E35:INDEX('Feijão 2ª safra'!$E35:$Z35,MIN(AY$6-$E$3,22))&lt;&gt;""),'Feijão 2ª safra'!$E35:INDEX('Feijão 2ª safra'!$E35:$Z35,MIN(AY$6-$E$3,22))),0))-IF($G$2,0,IF((AY$6-$G$3)&lt;1,0,IFERROR(LOOKUP(2,1/('Feijão 2ª safra'!$E35:INDEX('Feijão 2ª safra'!$E35:$Z35,MIN(AY$6-$G$3,22))&lt;&gt;""),'Feijão 2ª safra'!$E35:INDEX('Feijão 2ª safra'!$E35:$Z35,MIN(AY$6-$G$3,22))),0)))))</f>
        <v>0</v>
      </c>
      <c r="AZ37" s="27" t="n">
        <f aca="false">IF(COUNT('Feijão 2ª safra'!$E35:$Z35)=0,0,MAX(0,IF((AZ$6-$E$3)&lt;1,0,IFERROR(LOOKUP(2,1/('Feijão 2ª safra'!$E35:INDEX('Feijão 2ª safra'!$E35:$Z35,MIN(AZ$6-$E$3,22))&lt;&gt;""),'Feijão 2ª safra'!$E35:INDEX('Feijão 2ª safra'!$E35:$Z35,MIN(AZ$6-$E$3,22))),0))-IF($G$2,0,IF((AZ$6-$G$3)&lt;1,0,IFERROR(LOOKUP(2,1/('Feijão 2ª safra'!$E35:INDEX('Feijão 2ª safra'!$E35:$Z35,MIN(AZ$6-$G$3,22))&lt;&gt;""),'Feijão 2ª safra'!$E35:INDEX('Feijão 2ª safra'!$E35:$Z35,MIN(AZ$6-$G$3,22))),0)))))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IF(COUNT('Feijão 2ª safra'!$E36:$Z36)&gt;0,N('Feijão 2ª safra'!$D36),0)</f>
        <v>0</v>
      </c>
      <c r="E38" s="27" t="n">
        <f aca="false">IF(COUNT('Feijão 2ª safra'!$E36:$Z36)=0,0,MAX(0,IF((E$6-$E$3)&lt;1,0,IFERROR(LOOKUP(2,1/('Feijão 2ª safra'!$E36:INDEX('Feijão 2ª safra'!$E36:$Z36,MIN(E$6-$E$3,22))&lt;&gt;""),'Feijão 2ª safra'!$E36:INDEX('Feijão 2ª safra'!$E36:$Z36,MIN(E$6-$E$3,22))),0))-IF($G$2,0,IF((E$6-$G$3)&lt;1,0,IFERROR(LOOKUP(2,1/('Feijão 2ª safra'!$E36:INDEX('Feijão 2ª safra'!$E36:$Z36,MIN(E$6-$G$3,22))&lt;&gt;""),'Feijão 2ª safra'!$E36:INDEX('Feijão 2ª safra'!$E36:$Z36,MIN(E$6-$G$3,22))),0)))))</f>
        <v>0</v>
      </c>
      <c r="F38" s="27" t="n">
        <f aca="false">IF(COUNT('Feijão 2ª safra'!$E36:$Z36)=0,0,MAX(0,IF((F$6-$E$3)&lt;1,0,IFERROR(LOOKUP(2,1/('Feijão 2ª safra'!$E36:INDEX('Feijão 2ª safra'!$E36:$Z36,MIN(F$6-$E$3,22))&lt;&gt;""),'Feijão 2ª safra'!$E36:INDEX('Feijão 2ª safra'!$E36:$Z36,MIN(F$6-$E$3,22))),0))-IF($G$2,0,IF((F$6-$G$3)&lt;1,0,IFERROR(LOOKUP(2,1/('Feijão 2ª safra'!$E36:INDEX('Feijão 2ª safra'!$E36:$Z36,MIN(F$6-$G$3,22))&lt;&gt;""),'Feijão 2ª safra'!$E36:INDEX('Feijão 2ª safra'!$E36:$Z36,MIN(F$6-$G$3,22))),0)))))</f>
        <v>0</v>
      </c>
      <c r="G38" s="27" t="n">
        <f aca="false">IF(COUNT('Feijão 2ª safra'!$E36:$Z36)=0,0,MAX(0,IF((G$6-$E$3)&lt;1,0,IFERROR(LOOKUP(2,1/('Feijão 2ª safra'!$E36:INDEX('Feijão 2ª safra'!$E36:$Z36,MIN(G$6-$E$3,22))&lt;&gt;""),'Feijão 2ª safra'!$E36:INDEX('Feijão 2ª safra'!$E36:$Z36,MIN(G$6-$E$3,22))),0))-IF($G$2,0,IF((G$6-$G$3)&lt;1,0,IFERROR(LOOKUP(2,1/('Feijão 2ª safra'!$E36:INDEX('Feijão 2ª safra'!$E36:$Z36,MIN(G$6-$G$3,22))&lt;&gt;""),'Feijão 2ª safra'!$E36:INDEX('Feijão 2ª safra'!$E36:$Z36,MIN(G$6-$G$3,22))),0)))))</f>
        <v>0</v>
      </c>
      <c r="H38" s="27" t="n">
        <f aca="false">IF(COUNT('Feijão 2ª safra'!$E36:$Z36)=0,0,MAX(0,IF((H$6-$E$3)&lt;1,0,IFERROR(LOOKUP(2,1/('Feijão 2ª safra'!$E36:INDEX('Feijão 2ª safra'!$E36:$Z36,MIN(H$6-$E$3,22))&lt;&gt;""),'Feijão 2ª safra'!$E36:INDEX('Feijão 2ª safra'!$E36:$Z36,MIN(H$6-$E$3,22))),0))-IF($G$2,0,IF((H$6-$G$3)&lt;1,0,IFERROR(LOOKUP(2,1/('Feijão 2ª safra'!$E36:INDEX('Feijão 2ª safra'!$E36:$Z36,MIN(H$6-$G$3,22))&lt;&gt;""),'Feijão 2ª safra'!$E36:INDEX('Feijão 2ª safra'!$E36:$Z36,MIN(H$6-$G$3,22))),0)))))</f>
        <v>0</v>
      </c>
      <c r="I38" s="27" t="n">
        <f aca="false">IF(COUNT('Feijão 2ª safra'!$E36:$Z36)=0,0,MAX(0,IF((I$6-$E$3)&lt;1,0,IFERROR(LOOKUP(2,1/('Feijão 2ª safra'!$E36:INDEX('Feijão 2ª safra'!$E36:$Z36,MIN(I$6-$E$3,22))&lt;&gt;""),'Feijão 2ª safra'!$E36:INDEX('Feijão 2ª safra'!$E36:$Z36,MIN(I$6-$E$3,22))),0))-IF($G$2,0,IF((I$6-$G$3)&lt;1,0,IFERROR(LOOKUP(2,1/('Feijão 2ª safra'!$E36:INDEX('Feijão 2ª safra'!$E36:$Z36,MIN(I$6-$G$3,22))&lt;&gt;""),'Feijão 2ª safra'!$E36:INDEX('Feijão 2ª safra'!$E36:$Z36,MIN(I$6-$G$3,22))),0)))))</f>
        <v>0</v>
      </c>
      <c r="J38" s="27" t="n">
        <f aca="false">IF(COUNT('Feijão 2ª safra'!$E36:$Z36)=0,0,MAX(0,IF((J$6-$E$3)&lt;1,0,IFERROR(LOOKUP(2,1/('Feijão 2ª safra'!$E36:INDEX('Feijão 2ª safra'!$E36:$Z36,MIN(J$6-$E$3,22))&lt;&gt;""),'Feijão 2ª safra'!$E36:INDEX('Feijão 2ª safra'!$E36:$Z36,MIN(J$6-$E$3,22))),0))-IF($G$2,0,IF((J$6-$G$3)&lt;1,0,IFERROR(LOOKUP(2,1/('Feijão 2ª safra'!$E36:INDEX('Feijão 2ª safra'!$E36:$Z36,MIN(J$6-$G$3,22))&lt;&gt;""),'Feijão 2ª safra'!$E36:INDEX('Feijão 2ª safra'!$E36:$Z36,MIN(J$6-$G$3,22))),0)))))</f>
        <v>0</v>
      </c>
      <c r="K38" s="27" t="n">
        <f aca="false">IF(COUNT('Feijão 2ª safra'!$E36:$Z36)=0,0,MAX(0,IF((K$6-$E$3)&lt;1,0,IFERROR(LOOKUP(2,1/('Feijão 2ª safra'!$E36:INDEX('Feijão 2ª safra'!$E36:$Z36,MIN(K$6-$E$3,22))&lt;&gt;""),'Feijão 2ª safra'!$E36:INDEX('Feijão 2ª safra'!$E36:$Z36,MIN(K$6-$E$3,22))),0))-IF($G$2,0,IF((K$6-$G$3)&lt;1,0,IFERROR(LOOKUP(2,1/('Feijão 2ª safra'!$E36:INDEX('Feijão 2ª safra'!$E36:$Z36,MIN(K$6-$G$3,22))&lt;&gt;""),'Feijão 2ª safra'!$E36:INDEX('Feijão 2ª safra'!$E36:$Z36,MIN(K$6-$G$3,22))),0)))))</f>
        <v>0</v>
      </c>
      <c r="L38" s="27" t="n">
        <f aca="false">IF(COUNT('Feijão 2ª safra'!$E36:$Z36)=0,0,MAX(0,IF((L$6-$E$3)&lt;1,0,IFERROR(LOOKUP(2,1/('Feijão 2ª safra'!$E36:INDEX('Feijão 2ª safra'!$E36:$Z36,MIN(L$6-$E$3,22))&lt;&gt;""),'Feijão 2ª safra'!$E36:INDEX('Feijão 2ª safra'!$E36:$Z36,MIN(L$6-$E$3,22))),0))-IF($G$2,0,IF((L$6-$G$3)&lt;1,0,IFERROR(LOOKUP(2,1/('Feijão 2ª safra'!$E36:INDEX('Feijão 2ª safra'!$E36:$Z36,MIN(L$6-$G$3,22))&lt;&gt;""),'Feijão 2ª safra'!$E36:INDEX('Feijão 2ª safra'!$E36:$Z36,MIN(L$6-$G$3,22))),0)))))</f>
        <v>0</v>
      </c>
      <c r="M38" s="27" t="n">
        <f aca="false">IF(COUNT('Feijão 2ª safra'!$E36:$Z36)=0,0,MAX(0,IF((M$6-$E$3)&lt;1,0,IFERROR(LOOKUP(2,1/('Feijão 2ª safra'!$E36:INDEX('Feijão 2ª safra'!$E36:$Z36,MIN(M$6-$E$3,22))&lt;&gt;""),'Feijão 2ª safra'!$E36:INDEX('Feijão 2ª safra'!$E36:$Z36,MIN(M$6-$E$3,22))),0))-IF($G$2,0,IF((M$6-$G$3)&lt;1,0,IFERROR(LOOKUP(2,1/('Feijão 2ª safra'!$E36:INDEX('Feijão 2ª safra'!$E36:$Z36,MIN(M$6-$G$3,22))&lt;&gt;""),'Feijão 2ª safra'!$E36:INDEX('Feijão 2ª safra'!$E36:$Z36,MIN(M$6-$G$3,22))),0)))))</f>
        <v>0</v>
      </c>
      <c r="N38" s="27" t="n">
        <f aca="false">IF(COUNT('Feijão 2ª safra'!$E36:$Z36)=0,0,MAX(0,IF((N$6-$E$3)&lt;1,0,IFERROR(LOOKUP(2,1/('Feijão 2ª safra'!$E36:INDEX('Feijão 2ª safra'!$E36:$Z36,MIN(N$6-$E$3,22))&lt;&gt;""),'Feijão 2ª safra'!$E36:INDEX('Feijão 2ª safra'!$E36:$Z36,MIN(N$6-$E$3,22))),0))-IF($G$2,0,IF((N$6-$G$3)&lt;1,0,IFERROR(LOOKUP(2,1/('Feijão 2ª safra'!$E36:INDEX('Feijão 2ª safra'!$E36:$Z36,MIN(N$6-$G$3,22))&lt;&gt;""),'Feijão 2ª safra'!$E36:INDEX('Feijão 2ª safra'!$E36:$Z36,MIN(N$6-$G$3,22))),0)))))</f>
        <v>0</v>
      </c>
      <c r="O38" s="27" t="n">
        <f aca="false">IF(COUNT('Feijão 2ª safra'!$E36:$Z36)=0,0,MAX(0,IF((O$6-$E$3)&lt;1,0,IFERROR(LOOKUP(2,1/('Feijão 2ª safra'!$E36:INDEX('Feijão 2ª safra'!$E36:$Z36,MIN(O$6-$E$3,22))&lt;&gt;""),'Feijão 2ª safra'!$E36:INDEX('Feijão 2ª safra'!$E36:$Z36,MIN(O$6-$E$3,22))),0))-IF($G$2,0,IF((O$6-$G$3)&lt;1,0,IFERROR(LOOKUP(2,1/('Feijão 2ª safra'!$E36:INDEX('Feijão 2ª safra'!$E36:$Z36,MIN(O$6-$G$3,22))&lt;&gt;""),'Feijão 2ª safra'!$E36:INDEX('Feijão 2ª safra'!$E36:$Z36,MIN(O$6-$G$3,22))),0)))))</f>
        <v>0</v>
      </c>
      <c r="P38" s="27" t="n">
        <f aca="false">IF(COUNT('Feijão 2ª safra'!$E36:$Z36)=0,0,MAX(0,IF((P$6-$E$3)&lt;1,0,IFERROR(LOOKUP(2,1/('Feijão 2ª safra'!$E36:INDEX('Feijão 2ª safra'!$E36:$Z36,MIN(P$6-$E$3,22))&lt;&gt;""),'Feijão 2ª safra'!$E36:INDEX('Feijão 2ª safra'!$E36:$Z36,MIN(P$6-$E$3,22))),0))-IF($G$2,0,IF((P$6-$G$3)&lt;1,0,IFERROR(LOOKUP(2,1/('Feijão 2ª safra'!$E36:INDEX('Feijão 2ª safra'!$E36:$Z36,MIN(P$6-$G$3,22))&lt;&gt;""),'Feijão 2ª safra'!$E36:INDEX('Feijão 2ª safra'!$E36:$Z36,MIN(P$6-$G$3,22))),0)))))</f>
        <v>0</v>
      </c>
      <c r="Q38" s="27" t="n">
        <f aca="false">IF(COUNT('Feijão 2ª safra'!$E36:$Z36)=0,0,MAX(0,IF((Q$6-$E$3)&lt;1,0,IFERROR(LOOKUP(2,1/('Feijão 2ª safra'!$E36:INDEX('Feijão 2ª safra'!$E36:$Z36,MIN(Q$6-$E$3,22))&lt;&gt;""),'Feijão 2ª safra'!$E36:INDEX('Feijão 2ª safra'!$E36:$Z36,MIN(Q$6-$E$3,22))),0))-IF($G$2,0,IF((Q$6-$G$3)&lt;1,0,IFERROR(LOOKUP(2,1/('Feijão 2ª safra'!$E36:INDEX('Feijão 2ª safra'!$E36:$Z36,MIN(Q$6-$G$3,22))&lt;&gt;""),'Feijão 2ª safra'!$E36:INDEX('Feijão 2ª safra'!$E36:$Z36,MIN(Q$6-$G$3,22))),0)))))</f>
        <v>0</v>
      </c>
      <c r="R38" s="27" t="n">
        <f aca="false">IF(COUNT('Feijão 2ª safra'!$E36:$Z36)=0,0,MAX(0,IF((R$6-$E$3)&lt;1,0,IFERROR(LOOKUP(2,1/('Feijão 2ª safra'!$E36:INDEX('Feijão 2ª safra'!$E36:$Z36,MIN(R$6-$E$3,22))&lt;&gt;""),'Feijão 2ª safra'!$E36:INDEX('Feijão 2ª safra'!$E36:$Z36,MIN(R$6-$E$3,22))),0))-IF($G$2,0,IF((R$6-$G$3)&lt;1,0,IFERROR(LOOKUP(2,1/('Feijão 2ª safra'!$E36:INDEX('Feijão 2ª safra'!$E36:$Z36,MIN(R$6-$G$3,22))&lt;&gt;""),'Feijão 2ª safra'!$E36:INDEX('Feijão 2ª safra'!$E36:$Z36,MIN(R$6-$G$3,22))),0)))))</f>
        <v>0</v>
      </c>
      <c r="S38" s="27" t="n">
        <f aca="false">IF(COUNT('Feijão 2ª safra'!$E36:$Z36)=0,0,MAX(0,IF((S$6-$E$3)&lt;1,0,IFERROR(LOOKUP(2,1/('Feijão 2ª safra'!$E36:INDEX('Feijão 2ª safra'!$E36:$Z36,MIN(S$6-$E$3,22))&lt;&gt;""),'Feijão 2ª safra'!$E36:INDEX('Feijão 2ª safra'!$E36:$Z36,MIN(S$6-$E$3,22))),0))-IF($G$2,0,IF((S$6-$G$3)&lt;1,0,IFERROR(LOOKUP(2,1/('Feijão 2ª safra'!$E36:INDEX('Feijão 2ª safra'!$E36:$Z36,MIN(S$6-$G$3,22))&lt;&gt;""),'Feijão 2ª safra'!$E36:INDEX('Feijão 2ª safra'!$E36:$Z36,MIN(S$6-$G$3,22))),0)))))</f>
        <v>0</v>
      </c>
      <c r="T38" s="27" t="n">
        <f aca="false">IF(COUNT('Feijão 2ª safra'!$E36:$Z36)=0,0,MAX(0,IF((T$6-$E$3)&lt;1,0,IFERROR(LOOKUP(2,1/('Feijão 2ª safra'!$E36:INDEX('Feijão 2ª safra'!$E36:$Z36,MIN(T$6-$E$3,22))&lt;&gt;""),'Feijão 2ª safra'!$E36:INDEX('Feijão 2ª safra'!$E36:$Z36,MIN(T$6-$E$3,22))),0))-IF($G$2,0,IF((T$6-$G$3)&lt;1,0,IFERROR(LOOKUP(2,1/('Feijão 2ª safra'!$E36:INDEX('Feijão 2ª safra'!$E36:$Z36,MIN(T$6-$G$3,22))&lt;&gt;""),'Feijão 2ª safra'!$E36:INDEX('Feijão 2ª safra'!$E36:$Z36,MIN(T$6-$G$3,22))),0)))))</f>
        <v>0</v>
      </c>
      <c r="U38" s="27" t="n">
        <f aca="false">IF(COUNT('Feijão 2ª safra'!$E36:$Z36)=0,0,MAX(0,IF((U$6-$E$3)&lt;1,0,IFERROR(LOOKUP(2,1/('Feijão 2ª safra'!$E36:INDEX('Feijão 2ª safra'!$E36:$Z36,MIN(U$6-$E$3,22))&lt;&gt;""),'Feijão 2ª safra'!$E36:INDEX('Feijão 2ª safra'!$E36:$Z36,MIN(U$6-$E$3,22))),0))-IF($G$2,0,IF((U$6-$G$3)&lt;1,0,IFERROR(LOOKUP(2,1/('Feijão 2ª safra'!$E36:INDEX('Feijão 2ª safra'!$E36:$Z36,MIN(U$6-$G$3,22))&lt;&gt;""),'Feijão 2ª safra'!$E36:INDEX('Feijão 2ª safra'!$E36:$Z36,MIN(U$6-$G$3,22))),0)))))</f>
        <v>0</v>
      </c>
      <c r="V38" s="27" t="n">
        <f aca="false">IF(COUNT('Feijão 2ª safra'!$E36:$Z36)=0,0,MAX(0,IF((V$6-$E$3)&lt;1,0,IFERROR(LOOKUP(2,1/('Feijão 2ª safra'!$E36:INDEX('Feijão 2ª safra'!$E36:$Z36,MIN(V$6-$E$3,22))&lt;&gt;""),'Feijão 2ª safra'!$E36:INDEX('Feijão 2ª safra'!$E36:$Z36,MIN(V$6-$E$3,22))),0))-IF($G$2,0,IF((V$6-$G$3)&lt;1,0,IFERROR(LOOKUP(2,1/('Feijão 2ª safra'!$E36:INDEX('Feijão 2ª safra'!$E36:$Z36,MIN(V$6-$G$3,22))&lt;&gt;""),'Feijão 2ª safra'!$E36:INDEX('Feijão 2ª safra'!$E36:$Z36,MIN(V$6-$G$3,22))),0)))))</f>
        <v>0</v>
      </c>
      <c r="W38" s="27" t="n">
        <f aca="false">IF(COUNT('Feijão 2ª safra'!$E36:$Z36)=0,0,MAX(0,IF((W$6-$E$3)&lt;1,0,IFERROR(LOOKUP(2,1/('Feijão 2ª safra'!$E36:INDEX('Feijão 2ª safra'!$E36:$Z36,MIN(W$6-$E$3,22))&lt;&gt;""),'Feijão 2ª safra'!$E36:INDEX('Feijão 2ª safra'!$E36:$Z36,MIN(W$6-$E$3,22))),0))-IF($G$2,0,IF((W$6-$G$3)&lt;1,0,IFERROR(LOOKUP(2,1/('Feijão 2ª safra'!$E36:INDEX('Feijão 2ª safra'!$E36:$Z36,MIN(W$6-$G$3,22))&lt;&gt;""),'Feijão 2ª safra'!$E36:INDEX('Feijão 2ª safra'!$E36:$Z36,MIN(W$6-$G$3,22))),0)))))</f>
        <v>0</v>
      </c>
      <c r="X38" s="27" t="n">
        <f aca="false">IF(COUNT('Feijão 2ª safra'!$E36:$Z36)=0,0,MAX(0,IF((X$6-$E$3)&lt;1,0,IFERROR(LOOKUP(2,1/('Feijão 2ª safra'!$E36:INDEX('Feijão 2ª safra'!$E36:$Z36,MIN(X$6-$E$3,22))&lt;&gt;""),'Feijão 2ª safra'!$E36:INDEX('Feijão 2ª safra'!$E36:$Z36,MIN(X$6-$E$3,22))),0))-IF($G$2,0,IF((X$6-$G$3)&lt;1,0,IFERROR(LOOKUP(2,1/('Feijão 2ª safra'!$E36:INDEX('Feijão 2ª safra'!$E36:$Z36,MIN(X$6-$G$3,22))&lt;&gt;""),'Feijão 2ª safra'!$E36:INDEX('Feijão 2ª safra'!$E36:$Z36,MIN(X$6-$G$3,22))),0)))))</f>
        <v>0</v>
      </c>
      <c r="Y38" s="27" t="n">
        <f aca="false">IF(COUNT('Feijão 2ª safra'!$E36:$Z36)=0,0,MAX(0,IF((Y$6-$E$3)&lt;1,0,IFERROR(LOOKUP(2,1/('Feijão 2ª safra'!$E36:INDEX('Feijão 2ª safra'!$E36:$Z36,MIN(Y$6-$E$3,22))&lt;&gt;""),'Feijão 2ª safra'!$E36:INDEX('Feijão 2ª safra'!$E36:$Z36,MIN(Y$6-$E$3,22))),0))-IF($G$2,0,IF((Y$6-$G$3)&lt;1,0,IFERROR(LOOKUP(2,1/('Feijão 2ª safra'!$E36:INDEX('Feijão 2ª safra'!$E36:$Z36,MIN(Y$6-$G$3,22))&lt;&gt;""),'Feijão 2ª safra'!$E36:INDEX('Feijão 2ª safra'!$E36:$Z36,MIN(Y$6-$G$3,22))),0)))))</f>
        <v>0</v>
      </c>
      <c r="Z38" s="27" t="n">
        <f aca="false">IF(COUNT('Feijão 2ª safra'!$E36:$Z36)=0,0,MAX(0,IF((Z$6-$E$3)&lt;1,0,IFERROR(LOOKUP(2,1/('Feijão 2ª safra'!$E36:INDEX('Feijão 2ª safra'!$E36:$Z36,MIN(Z$6-$E$3,22))&lt;&gt;""),'Feijão 2ª safra'!$E36:INDEX('Feijão 2ª safra'!$E36:$Z36,MIN(Z$6-$E$3,22))),0))-IF($G$2,0,IF((Z$6-$G$3)&lt;1,0,IFERROR(LOOKUP(2,1/('Feijão 2ª safra'!$E36:INDEX('Feijão 2ª safra'!$E36:$Z36,MIN(Z$6-$G$3,22))&lt;&gt;""),'Feijão 2ª safra'!$E36:INDEX('Feijão 2ª safra'!$E36:$Z36,MIN(Z$6-$G$3,22))),0)))))</f>
        <v>0</v>
      </c>
      <c r="AA38" s="27" t="n">
        <f aca="false">IF(COUNT('Feijão 2ª safra'!$E36:$Z36)=0,0,MAX(0,IF((AA$6-$E$3)&lt;1,0,IFERROR(LOOKUP(2,1/('Feijão 2ª safra'!$E36:INDEX('Feijão 2ª safra'!$E36:$Z36,MIN(AA$6-$E$3,22))&lt;&gt;""),'Feijão 2ª safra'!$E36:INDEX('Feijão 2ª safra'!$E36:$Z36,MIN(AA$6-$E$3,22))),0))-IF($G$2,0,IF((AA$6-$G$3)&lt;1,0,IFERROR(LOOKUP(2,1/('Feijão 2ª safra'!$E36:INDEX('Feijão 2ª safra'!$E36:$Z36,MIN(AA$6-$G$3,22))&lt;&gt;""),'Feijão 2ª safra'!$E36:INDEX('Feijão 2ª safra'!$E36:$Z36,MIN(AA$6-$G$3,22))),0)))))</f>
        <v>0</v>
      </c>
      <c r="AB38" s="27" t="n">
        <f aca="false">IF(COUNT('Feijão 2ª safra'!$E36:$Z36)=0,0,MAX(0,IF((AB$6-$E$3)&lt;1,0,IFERROR(LOOKUP(2,1/('Feijão 2ª safra'!$E36:INDEX('Feijão 2ª safra'!$E36:$Z36,MIN(AB$6-$E$3,22))&lt;&gt;""),'Feijão 2ª safra'!$E36:INDEX('Feijão 2ª safra'!$E36:$Z36,MIN(AB$6-$E$3,22))),0))-IF($G$2,0,IF((AB$6-$G$3)&lt;1,0,IFERROR(LOOKUP(2,1/('Feijão 2ª safra'!$E36:INDEX('Feijão 2ª safra'!$E36:$Z36,MIN(AB$6-$G$3,22))&lt;&gt;""),'Feijão 2ª safra'!$E36:INDEX('Feijão 2ª safra'!$E36:$Z36,MIN(AB$6-$G$3,22))),0)))))</f>
        <v>0</v>
      </c>
      <c r="AC38" s="27" t="n">
        <f aca="false">IF(COUNT('Feijão 2ª safra'!$E36:$Z36)=0,0,MAX(0,IF((AC$6-$E$3)&lt;1,0,IFERROR(LOOKUP(2,1/('Feijão 2ª safra'!$E36:INDEX('Feijão 2ª safra'!$E36:$Z36,MIN(AC$6-$E$3,22))&lt;&gt;""),'Feijão 2ª safra'!$E36:INDEX('Feijão 2ª safra'!$E36:$Z36,MIN(AC$6-$E$3,22))),0))-IF($G$2,0,IF((AC$6-$G$3)&lt;1,0,IFERROR(LOOKUP(2,1/('Feijão 2ª safra'!$E36:INDEX('Feijão 2ª safra'!$E36:$Z36,MIN(AC$6-$G$3,22))&lt;&gt;""),'Feijão 2ª safra'!$E36:INDEX('Feijão 2ª safra'!$E36:$Z36,MIN(AC$6-$G$3,22))),0)))))</f>
        <v>0</v>
      </c>
      <c r="AD38" s="27" t="n">
        <f aca="false">IF(COUNT('Feijão 2ª safra'!$E36:$Z36)=0,0,MAX(0,IF((AD$6-$E$3)&lt;1,0,IFERROR(LOOKUP(2,1/('Feijão 2ª safra'!$E36:INDEX('Feijão 2ª safra'!$E36:$Z36,MIN(AD$6-$E$3,22))&lt;&gt;""),'Feijão 2ª safra'!$E36:INDEX('Feijão 2ª safra'!$E36:$Z36,MIN(AD$6-$E$3,22))),0))-IF($G$2,0,IF((AD$6-$G$3)&lt;1,0,IFERROR(LOOKUP(2,1/('Feijão 2ª safra'!$E36:INDEX('Feijão 2ª safra'!$E36:$Z36,MIN(AD$6-$G$3,22))&lt;&gt;""),'Feijão 2ª safra'!$E36:INDEX('Feijão 2ª safra'!$E36:$Z36,MIN(AD$6-$G$3,22))),0)))))</f>
        <v>0</v>
      </c>
      <c r="AE38" s="27" t="n">
        <f aca="false">IF(COUNT('Feijão 2ª safra'!$E36:$Z36)=0,0,MAX(0,IF((AE$6-$E$3)&lt;1,0,IFERROR(LOOKUP(2,1/('Feijão 2ª safra'!$E36:INDEX('Feijão 2ª safra'!$E36:$Z36,MIN(AE$6-$E$3,22))&lt;&gt;""),'Feijão 2ª safra'!$E36:INDEX('Feijão 2ª safra'!$E36:$Z36,MIN(AE$6-$E$3,22))),0))-IF($G$2,0,IF((AE$6-$G$3)&lt;1,0,IFERROR(LOOKUP(2,1/('Feijão 2ª safra'!$E36:INDEX('Feijão 2ª safra'!$E36:$Z36,MIN(AE$6-$G$3,22))&lt;&gt;""),'Feijão 2ª safra'!$E36:INDEX('Feijão 2ª safra'!$E36:$Z36,MIN(AE$6-$G$3,22))),0)))))</f>
        <v>0</v>
      </c>
      <c r="AF38" s="27" t="n">
        <f aca="false">IF(COUNT('Feijão 2ª safra'!$E36:$Z36)=0,0,MAX(0,IF((AF$6-$E$3)&lt;1,0,IFERROR(LOOKUP(2,1/('Feijão 2ª safra'!$E36:INDEX('Feijão 2ª safra'!$E36:$Z36,MIN(AF$6-$E$3,22))&lt;&gt;""),'Feijão 2ª safra'!$E36:INDEX('Feijão 2ª safra'!$E36:$Z36,MIN(AF$6-$E$3,22))),0))-IF($G$2,0,IF((AF$6-$G$3)&lt;1,0,IFERROR(LOOKUP(2,1/('Feijão 2ª safra'!$E36:INDEX('Feijão 2ª safra'!$E36:$Z36,MIN(AF$6-$G$3,22))&lt;&gt;""),'Feijão 2ª safra'!$E36:INDEX('Feijão 2ª safra'!$E36:$Z36,MIN(AF$6-$G$3,22))),0)))))</f>
        <v>0</v>
      </c>
      <c r="AG38" s="27" t="n">
        <f aca="false">IF(COUNT('Feijão 2ª safra'!$E36:$Z36)=0,0,MAX(0,IF((AG$6-$E$3)&lt;1,0,IFERROR(LOOKUP(2,1/('Feijão 2ª safra'!$E36:INDEX('Feijão 2ª safra'!$E36:$Z36,MIN(AG$6-$E$3,22))&lt;&gt;""),'Feijão 2ª safra'!$E36:INDEX('Feijão 2ª safra'!$E36:$Z36,MIN(AG$6-$E$3,22))),0))-IF($G$2,0,IF((AG$6-$G$3)&lt;1,0,IFERROR(LOOKUP(2,1/('Feijão 2ª safra'!$E36:INDEX('Feijão 2ª safra'!$E36:$Z36,MIN(AG$6-$G$3,22))&lt;&gt;""),'Feijão 2ª safra'!$E36:INDEX('Feijão 2ª safra'!$E36:$Z36,MIN(AG$6-$G$3,22))),0)))))</f>
        <v>0</v>
      </c>
      <c r="AH38" s="27" t="n">
        <f aca="false">IF(COUNT('Feijão 2ª safra'!$E36:$Z36)=0,0,MAX(0,IF((AH$6-$E$3)&lt;1,0,IFERROR(LOOKUP(2,1/('Feijão 2ª safra'!$E36:INDEX('Feijão 2ª safra'!$E36:$Z36,MIN(AH$6-$E$3,22))&lt;&gt;""),'Feijão 2ª safra'!$E36:INDEX('Feijão 2ª safra'!$E36:$Z36,MIN(AH$6-$E$3,22))),0))-IF($G$2,0,IF((AH$6-$G$3)&lt;1,0,IFERROR(LOOKUP(2,1/('Feijão 2ª safra'!$E36:INDEX('Feijão 2ª safra'!$E36:$Z36,MIN(AH$6-$G$3,22))&lt;&gt;""),'Feijão 2ª safra'!$E36:INDEX('Feijão 2ª safra'!$E36:$Z36,MIN(AH$6-$G$3,22))),0)))))</f>
        <v>0</v>
      </c>
      <c r="AI38" s="27" t="n">
        <f aca="false">IF(COUNT('Feijão 2ª safra'!$E36:$Z36)=0,0,MAX(0,IF((AI$6-$E$3)&lt;1,0,IFERROR(LOOKUP(2,1/('Feijão 2ª safra'!$E36:INDEX('Feijão 2ª safra'!$E36:$Z36,MIN(AI$6-$E$3,22))&lt;&gt;""),'Feijão 2ª safra'!$E36:INDEX('Feijão 2ª safra'!$E36:$Z36,MIN(AI$6-$E$3,22))),0))-IF($G$2,0,IF((AI$6-$G$3)&lt;1,0,IFERROR(LOOKUP(2,1/('Feijão 2ª safra'!$E36:INDEX('Feijão 2ª safra'!$E36:$Z36,MIN(AI$6-$G$3,22))&lt;&gt;""),'Feijão 2ª safra'!$E36:INDEX('Feijão 2ª safra'!$E36:$Z36,MIN(AI$6-$G$3,22))),0)))))</f>
        <v>0</v>
      </c>
      <c r="AJ38" s="27" t="n">
        <f aca="false">IF(COUNT('Feijão 2ª safra'!$E36:$Z36)=0,0,MAX(0,IF((AJ$6-$E$3)&lt;1,0,IFERROR(LOOKUP(2,1/('Feijão 2ª safra'!$E36:INDEX('Feijão 2ª safra'!$E36:$Z36,MIN(AJ$6-$E$3,22))&lt;&gt;""),'Feijão 2ª safra'!$E36:INDEX('Feijão 2ª safra'!$E36:$Z36,MIN(AJ$6-$E$3,22))),0))-IF($G$2,0,IF((AJ$6-$G$3)&lt;1,0,IFERROR(LOOKUP(2,1/('Feijão 2ª safra'!$E36:INDEX('Feijão 2ª safra'!$E36:$Z36,MIN(AJ$6-$G$3,22))&lt;&gt;""),'Feijão 2ª safra'!$E36:INDEX('Feijão 2ª safra'!$E36:$Z36,MIN(AJ$6-$G$3,22))),0)))))</f>
        <v>0</v>
      </c>
      <c r="AK38" s="27" t="n">
        <f aca="false">IF(COUNT('Feijão 2ª safra'!$E36:$Z36)=0,0,MAX(0,IF((AK$6-$E$3)&lt;1,0,IFERROR(LOOKUP(2,1/('Feijão 2ª safra'!$E36:INDEX('Feijão 2ª safra'!$E36:$Z36,MIN(AK$6-$E$3,22))&lt;&gt;""),'Feijão 2ª safra'!$E36:INDEX('Feijão 2ª safra'!$E36:$Z36,MIN(AK$6-$E$3,22))),0))-IF($G$2,0,IF((AK$6-$G$3)&lt;1,0,IFERROR(LOOKUP(2,1/('Feijão 2ª safra'!$E36:INDEX('Feijão 2ª safra'!$E36:$Z36,MIN(AK$6-$G$3,22))&lt;&gt;""),'Feijão 2ª safra'!$E36:INDEX('Feijão 2ª safra'!$E36:$Z36,MIN(AK$6-$G$3,22))),0)))))</f>
        <v>0</v>
      </c>
      <c r="AL38" s="27" t="n">
        <f aca="false">IF(COUNT('Feijão 2ª safra'!$E36:$Z36)=0,0,MAX(0,IF((AL$6-$E$3)&lt;1,0,IFERROR(LOOKUP(2,1/('Feijão 2ª safra'!$E36:INDEX('Feijão 2ª safra'!$E36:$Z36,MIN(AL$6-$E$3,22))&lt;&gt;""),'Feijão 2ª safra'!$E36:INDEX('Feijão 2ª safra'!$E36:$Z36,MIN(AL$6-$E$3,22))),0))-IF($G$2,0,IF((AL$6-$G$3)&lt;1,0,IFERROR(LOOKUP(2,1/('Feijão 2ª safra'!$E36:INDEX('Feijão 2ª safra'!$E36:$Z36,MIN(AL$6-$G$3,22))&lt;&gt;""),'Feijão 2ª safra'!$E36:INDEX('Feijão 2ª safra'!$E36:$Z36,MIN(AL$6-$G$3,22))),0)))))</f>
        <v>0</v>
      </c>
      <c r="AM38" s="27" t="n">
        <f aca="false">IF(COUNT('Feijão 2ª safra'!$E36:$Z36)=0,0,MAX(0,IF((AM$6-$E$3)&lt;1,0,IFERROR(LOOKUP(2,1/('Feijão 2ª safra'!$E36:INDEX('Feijão 2ª safra'!$E36:$Z36,MIN(AM$6-$E$3,22))&lt;&gt;""),'Feijão 2ª safra'!$E36:INDEX('Feijão 2ª safra'!$E36:$Z36,MIN(AM$6-$E$3,22))),0))-IF($G$2,0,IF((AM$6-$G$3)&lt;1,0,IFERROR(LOOKUP(2,1/('Feijão 2ª safra'!$E36:INDEX('Feijão 2ª safra'!$E36:$Z36,MIN(AM$6-$G$3,22))&lt;&gt;""),'Feijão 2ª safra'!$E36:INDEX('Feijão 2ª safra'!$E36:$Z36,MIN(AM$6-$G$3,22))),0)))))</f>
        <v>0</v>
      </c>
      <c r="AN38" s="27" t="n">
        <f aca="false">IF(COUNT('Feijão 2ª safra'!$E36:$Z36)=0,0,MAX(0,IF((AN$6-$E$3)&lt;1,0,IFERROR(LOOKUP(2,1/('Feijão 2ª safra'!$E36:INDEX('Feijão 2ª safra'!$E36:$Z36,MIN(AN$6-$E$3,22))&lt;&gt;""),'Feijão 2ª safra'!$E36:INDEX('Feijão 2ª safra'!$E36:$Z36,MIN(AN$6-$E$3,22))),0))-IF($G$2,0,IF((AN$6-$G$3)&lt;1,0,IFERROR(LOOKUP(2,1/('Feijão 2ª safra'!$E36:INDEX('Feijão 2ª safra'!$E36:$Z36,MIN(AN$6-$G$3,22))&lt;&gt;""),'Feijão 2ª safra'!$E36:INDEX('Feijão 2ª safra'!$E36:$Z36,MIN(AN$6-$G$3,22))),0)))))</f>
        <v>0</v>
      </c>
      <c r="AO38" s="27" t="n">
        <f aca="false">IF(COUNT('Feijão 2ª safra'!$E36:$Z36)=0,0,MAX(0,IF((AO$6-$E$3)&lt;1,0,IFERROR(LOOKUP(2,1/('Feijão 2ª safra'!$E36:INDEX('Feijão 2ª safra'!$E36:$Z36,MIN(AO$6-$E$3,22))&lt;&gt;""),'Feijão 2ª safra'!$E36:INDEX('Feijão 2ª safra'!$E36:$Z36,MIN(AO$6-$E$3,22))),0))-IF($G$2,0,IF((AO$6-$G$3)&lt;1,0,IFERROR(LOOKUP(2,1/('Feijão 2ª safra'!$E36:INDEX('Feijão 2ª safra'!$E36:$Z36,MIN(AO$6-$G$3,22))&lt;&gt;""),'Feijão 2ª safra'!$E36:INDEX('Feijão 2ª safra'!$E36:$Z36,MIN(AO$6-$G$3,22))),0)))))</f>
        <v>0</v>
      </c>
      <c r="AP38" s="27" t="n">
        <f aca="false">IF(COUNT('Feijão 2ª safra'!$E36:$Z36)=0,0,MAX(0,IF((AP$6-$E$3)&lt;1,0,IFERROR(LOOKUP(2,1/('Feijão 2ª safra'!$E36:INDEX('Feijão 2ª safra'!$E36:$Z36,MIN(AP$6-$E$3,22))&lt;&gt;""),'Feijão 2ª safra'!$E36:INDEX('Feijão 2ª safra'!$E36:$Z36,MIN(AP$6-$E$3,22))),0))-IF($G$2,0,IF((AP$6-$G$3)&lt;1,0,IFERROR(LOOKUP(2,1/('Feijão 2ª safra'!$E36:INDEX('Feijão 2ª safra'!$E36:$Z36,MIN(AP$6-$G$3,22))&lt;&gt;""),'Feijão 2ª safra'!$E36:INDEX('Feijão 2ª safra'!$E36:$Z36,MIN(AP$6-$G$3,22))),0)))))</f>
        <v>0</v>
      </c>
      <c r="AQ38" s="27" t="n">
        <f aca="false">IF(COUNT('Feijão 2ª safra'!$E36:$Z36)=0,0,MAX(0,IF((AQ$6-$E$3)&lt;1,0,IFERROR(LOOKUP(2,1/('Feijão 2ª safra'!$E36:INDEX('Feijão 2ª safra'!$E36:$Z36,MIN(AQ$6-$E$3,22))&lt;&gt;""),'Feijão 2ª safra'!$E36:INDEX('Feijão 2ª safra'!$E36:$Z36,MIN(AQ$6-$E$3,22))),0))-IF($G$2,0,IF((AQ$6-$G$3)&lt;1,0,IFERROR(LOOKUP(2,1/('Feijão 2ª safra'!$E36:INDEX('Feijão 2ª safra'!$E36:$Z36,MIN(AQ$6-$G$3,22))&lt;&gt;""),'Feijão 2ª safra'!$E36:INDEX('Feijão 2ª safra'!$E36:$Z36,MIN(AQ$6-$G$3,22))),0)))))</f>
        <v>0</v>
      </c>
      <c r="AR38" s="27" t="n">
        <f aca="false">IF(COUNT('Feijão 2ª safra'!$E36:$Z36)=0,0,MAX(0,IF((AR$6-$E$3)&lt;1,0,IFERROR(LOOKUP(2,1/('Feijão 2ª safra'!$E36:INDEX('Feijão 2ª safra'!$E36:$Z36,MIN(AR$6-$E$3,22))&lt;&gt;""),'Feijão 2ª safra'!$E36:INDEX('Feijão 2ª safra'!$E36:$Z36,MIN(AR$6-$E$3,22))),0))-IF($G$2,0,IF((AR$6-$G$3)&lt;1,0,IFERROR(LOOKUP(2,1/('Feijão 2ª safra'!$E36:INDEX('Feijão 2ª safra'!$E36:$Z36,MIN(AR$6-$G$3,22))&lt;&gt;""),'Feijão 2ª safra'!$E36:INDEX('Feijão 2ª safra'!$E36:$Z36,MIN(AR$6-$G$3,22))),0)))))</f>
        <v>0</v>
      </c>
      <c r="AS38" s="27" t="n">
        <f aca="false">IF(COUNT('Feijão 2ª safra'!$E36:$Z36)=0,0,MAX(0,IF((AS$6-$E$3)&lt;1,0,IFERROR(LOOKUP(2,1/('Feijão 2ª safra'!$E36:INDEX('Feijão 2ª safra'!$E36:$Z36,MIN(AS$6-$E$3,22))&lt;&gt;""),'Feijão 2ª safra'!$E36:INDEX('Feijão 2ª safra'!$E36:$Z36,MIN(AS$6-$E$3,22))),0))-IF($G$2,0,IF((AS$6-$G$3)&lt;1,0,IFERROR(LOOKUP(2,1/('Feijão 2ª safra'!$E36:INDEX('Feijão 2ª safra'!$E36:$Z36,MIN(AS$6-$G$3,22))&lt;&gt;""),'Feijão 2ª safra'!$E36:INDEX('Feijão 2ª safra'!$E36:$Z36,MIN(AS$6-$G$3,22))),0)))))</f>
        <v>0</v>
      </c>
      <c r="AT38" s="27" t="n">
        <f aca="false">IF(COUNT('Feijão 2ª safra'!$E36:$Z36)=0,0,MAX(0,IF((AT$6-$E$3)&lt;1,0,IFERROR(LOOKUP(2,1/('Feijão 2ª safra'!$E36:INDEX('Feijão 2ª safra'!$E36:$Z36,MIN(AT$6-$E$3,22))&lt;&gt;""),'Feijão 2ª safra'!$E36:INDEX('Feijão 2ª safra'!$E36:$Z36,MIN(AT$6-$E$3,22))),0))-IF($G$2,0,IF((AT$6-$G$3)&lt;1,0,IFERROR(LOOKUP(2,1/('Feijão 2ª safra'!$E36:INDEX('Feijão 2ª safra'!$E36:$Z36,MIN(AT$6-$G$3,22))&lt;&gt;""),'Feijão 2ª safra'!$E36:INDEX('Feijão 2ª safra'!$E36:$Z36,MIN(AT$6-$G$3,22))),0)))))</f>
        <v>0</v>
      </c>
      <c r="AU38" s="27" t="n">
        <f aca="false">IF(COUNT('Feijão 2ª safra'!$E36:$Z36)=0,0,MAX(0,IF((AU$6-$E$3)&lt;1,0,IFERROR(LOOKUP(2,1/('Feijão 2ª safra'!$E36:INDEX('Feijão 2ª safra'!$E36:$Z36,MIN(AU$6-$E$3,22))&lt;&gt;""),'Feijão 2ª safra'!$E36:INDEX('Feijão 2ª safra'!$E36:$Z36,MIN(AU$6-$E$3,22))),0))-IF($G$2,0,IF((AU$6-$G$3)&lt;1,0,IFERROR(LOOKUP(2,1/('Feijão 2ª safra'!$E36:INDEX('Feijão 2ª safra'!$E36:$Z36,MIN(AU$6-$G$3,22))&lt;&gt;""),'Feijão 2ª safra'!$E36:INDEX('Feijão 2ª safra'!$E36:$Z36,MIN(AU$6-$G$3,22))),0)))))</f>
        <v>0</v>
      </c>
      <c r="AV38" s="27" t="n">
        <f aca="false">IF(COUNT('Feijão 2ª safra'!$E36:$Z36)=0,0,MAX(0,IF((AV$6-$E$3)&lt;1,0,IFERROR(LOOKUP(2,1/('Feijão 2ª safra'!$E36:INDEX('Feijão 2ª safra'!$E36:$Z36,MIN(AV$6-$E$3,22))&lt;&gt;""),'Feijão 2ª safra'!$E36:INDEX('Feijão 2ª safra'!$E36:$Z36,MIN(AV$6-$E$3,22))),0))-IF($G$2,0,IF((AV$6-$G$3)&lt;1,0,IFERROR(LOOKUP(2,1/('Feijão 2ª safra'!$E36:INDEX('Feijão 2ª safra'!$E36:$Z36,MIN(AV$6-$G$3,22))&lt;&gt;""),'Feijão 2ª safra'!$E36:INDEX('Feijão 2ª safra'!$E36:$Z36,MIN(AV$6-$G$3,22))),0)))))</f>
        <v>0</v>
      </c>
      <c r="AW38" s="27" t="n">
        <f aca="false">IF(COUNT('Feijão 2ª safra'!$E36:$Z36)=0,0,MAX(0,IF((AW$6-$E$3)&lt;1,0,IFERROR(LOOKUP(2,1/('Feijão 2ª safra'!$E36:INDEX('Feijão 2ª safra'!$E36:$Z36,MIN(AW$6-$E$3,22))&lt;&gt;""),'Feijão 2ª safra'!$E36:INDEX('Feijão 2ª safra'!$E36:$Z36,MIN(AW$6-$E$3,22))),0))-IF($G$2,0,IF((AW$6-$G$3)&lt;1,0,IFERROR(LOOKUP(2,1/('Feijão 2ª safra'!$E36:INDEX('Feijão 2ª safra'!$E36:$Z36,MIN(AW$6-$G$3,22))&lt;&gt;""),'Feijão 2ª safra'!$E36:INDEX('Feijão 2ª safra'!$E36:$Z36,MIN(AW$6-$G$3,22))),0)))))</f>
        <v>0</v>
      </c>
      <c r="AX38" s="27" t="n">
        <f aca="false">IF(COUNT('Feijão 2ª safra'!$E36:$Z36)=0,0,MAX(0,IF((AX$6-$E$3)&lt;1,0,IFERROR(LOOKUP(2,1/('Feijão 2ª safra'!$E36:INDEX('Feijão 2ª safra'!$E36:$Z36,MIN(AX$6-$E$3,22))&lt;&gt;""),'Feijão 2ª safra'!$E36:INDEX('Feijão 2ª safra'!$E36:$Z36,MIN(AX$6-$E$3,22))),0))-IF($G$2,0,IF((AX$6-$G$3)&lt;1,0,IFERROR(LOOKUP(2,1/('Feijão 2ª safra'!$E36:INDEX('Feijão 2ª safra'!$E36:$Z36,MIN(AX$6-$G$3,22))&lt;&gt;""),'Feijão 2ª safra'!$E36:INDEX('Feijão 2ª safra'!$E36:$Z36,MIN(AX$6-$G$3,22))),0)))))</f>
        <v>0</v>
      </c>
      <c r="AY38" s="27" t="n">
        <f aca="false">IF(COUNT('Feijão 2ª safra'!$E36:$Z36)=0,0,MAX(0,IF((AY$6-$E$3)&lt;1,0,IFERROR(LOOKUP(2,1/('Feijão 2ª safra'!$E36:INDEX('Feijão 2ª safra'!$E36:$Z36,MIN(AY$6-$E$3,22))&lt;&gt;""),'Feijão 2ª safra'!$E36:INDEX('Feijão 2ª safra'!$E36:$Z36,MIN(AY$6-$E$3,22))),0))-IF($G$2,0,IF((AY$6-$G$3)&lt;1,0,IFERROR(LOOKUP(2,1/('Feijão 2ª safra'!$E36:INDEX('Feijão 2ª safra'!$E36:$Z36,MIN(AY$6-$G$3,22))&lt;&gt;""),'Feijão 2ª safra'!$E36:INDEX('Feijão 2ª safra'!$E36:$Z36,MIN(AY$6-$G$3,22))),0)))))</f>
        <v>0</v>
      </c>
      <c r="AZ38" s="27" t="n">
        <f aca="false">IF(COUNT('Feijão 2ª safra'!$E36:$Z36)=0,0,MAX(0,IF((AZ$6-$E$3)&lt;1,0,IFERROR(LOOKUP(2,1/('Feijão 2ª safra'!$E36:INDEX('Feijão 2ª safra'!$E36:$Z36,MIN(AZ$6-$E$3,22))&lt;&gt;""),'Feijão 2ª safra'!$E36:INDEX('Feijão 2ª safra'!$E36:$Z36,MIN(AZ$6-$E$3,22))),0))-IF($G$2,0,IF((AZ$6-$G$3)&lt;1,0,IFERROR(LOOKUP(2,1/('Feijão 2ª safra'!$E36:INDEX('Feijão 2ª safra'!$E36:$Z36,MIN(AZ$6-$G$3,22))&lt;&gt;""),'Feijão 2ª safra'!$E36:INDEX('Feijão 2ª safra'!$E36:$Z36,MIN(AZ$6-$G$3,22))),0)))))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IF(COUNT('Feijão 2ª safra'!$E37:$Z37)&gt;0,N('Feijão 2ª safra'!$D37),0)</f>
        <v>0</v>
      </c>
      <c r="E39" s="27" t="n">
        <f aca="false">IF(COUNT('Feijão 2ª safra'!$E37:$Z37)=0,0,MAX(0,IF((E$6-$E$3)&lt;1,0,IFERROR(LOOKUP(2,1/('Feijão 2ª safra'!$E37:INDEX('Feijão 2ª safra'!$E37:$Z37,MIN(E$6-$E$3,22))&lt;&gt;""),'Feijão 2ª safra'!$E37:INDEX('Feijão 2ª safra'!$E37:$Z37,MIN(E$6-$E$3,22))),0))-IF($G$2,0,IF((E$6-$G$3)&lt;1,0,IFERROR(LOOKUP(2,1/('Feijão 2ª safra'!$E37:INDEX('Feijão 2ª safra'!$E37:$Z37,MIN(E$6-$G$3,22))&lt;&gt;""),'Feijão 2ª safra'!$E37:INDEX('Feijão 2ª safra'!$E37:$Z37,MIN(E$6-$G$3,22))),0)))))</f>
        <v>0</v>
      </c>
      <c r="F39" s="27" t="n">
        <f aca="false">IF(COUNT('Feijão 2ª safra'!$E37:$Z37)=0,0,MAX(0,IF((F$6-$E$3)&lt;1,0,IFERROR(LOOKUP(2,1/('Feijão 2ª safra'!$E37:INDEX('Feijão 2ª safra'!$E37:$Z37,MIN(F$6-$E$3,22))&lt;&gt;""),'Feijão 2ª safra'!$E37:INDEX('Feijão 2ª safra'!$E37:$Z37,MIN(F$6-$E$3,22))),0))-IF($G$2,0,IF((F$6-$G$3)&lt;1,0,IFERROR(LOOKUP(2,1/('Feijão 2ª safra'!$E37:INDEX('Feijão 2ª safra'!$E37:$Z37,MIN(F$6-$G$3,22))&lt;&gt;""),'Feijão 2ª safra'!$E37:INDEX('Feijão 2ª safra'!$E37:$Z37,MIN(F$6-$G$3,22))),0)))))</f>
        <v>0</v>
      </c>
      <c r="G39" s="27" t="n">
        <f aca="false">IF(COUNT('Feijão 2ª safra'!$E37:$Z37)=0,0,MAX(0,IF((G$6-$E$3)&lt;1,0,IFERROR(LOOKUP(2,1/('Feijão 2ª safra'!$E37:INDEX('Feijão 2ª safra'!$E37:$Z37,MIN(G$6-$E$3,22))&lt;&gt;""),'Feijão 2ª safra'!$E37:INDEX('Feijão 2ª safra'!$E37:$Z37,MIN(G$6-$E$3,22))),0))-IF($G$2,0,IF((G$6-$G$3)&lt;1,0,IFERROR(LOOKUP(2,1/('Feijão 2ª safra'!$E37:INDEX('Feijão 2ª safra'!$E37:$Z37,MIN(G$6-$G$3,22))&lt;&gt;""),'Feijão 2ª safra'!$E37:INDEX('Feijão 2ª safra'!$E37:$Z37,MIN(G$6-$G$3,22))),0)))))</f>
        <v>0</v>
      </c>
      <c r="H39" s="27" t="n">
        <f aca="false">IF(COUNT('Feijão 2ª safra'!$E37:$Z37)=0,0,MAX(0,IF((H$6-$E$3)&lt;1,0,IFERROR(LOOKUP(2,1/('Feijão 2ª safra'!$E37:INDEX('Feijão 2ª safra'!$E37:$Z37,MIN(H$6-$E$3,22))&lt;&gt;""),'Feijão 2ª safra'!$E37:INDEX('Feijão 2ª safra'!$E37:$Z37,MIN(H$6-$E$3,22))),0))-IF($G$2,0,IF((H$6-$G$3)&lt;1,0,IFERROR(LOOKUP(2,1/('Feijão 2ª safra'!$E37:INDEX('Feijão 2ª safra'!$E37:$Z37,MIN(H$6-$G$3,22))&lt;&gt;""),'Feijão 2ª safra'!$E37:INDEX('Feijão 2ª safra'!$E37:$Z37,MIN(H$6-$G$3,22))),0)))))</f>
        <v>0</v>
      </c>
      <c r="I39" s="27" t="n">
        <f aca="false">IF(COUNT('Feijão 2ª safra'!$E37:$Z37)=0,0,MAX(0,IF((I$6-$E$3)&lt;1,0,IFERROR(LOOKUP(2,1/('Feijão 2ª safra'!$E37:INDEX('Feijão 2ª safra'!$E37:$Z37,MIN(I$6-$E$3,22))&lt;&gt;""),'Feijão 2ª safra'!$E37:INDEX('Feijão 2ª safra'!$E37:$Z37,MIN(I$6-$E$3,22))),0))-IF($G$2,0,IF((I$6-$G$3)&lt;1,0,IFERROR(LOOKUP(2,1/('Feijão 2ª safra'!$E37:INDEX('Feijão 2ª safra'!$E37:$Z37,MIN(I$6-$G$3,22))&lt;&gt;""),'Feijão 2ª safra'!$E37:INDEX('Feijão 2ª safra'!$E37:$Z37,MIN(I$6-$G$3,22))),0)))))</f>
        <v>0</v>
      </c>
      <c r="J39" s="27" t="n">
        <f aca="false">IF(COUNT('Feijão 2ª safra'!$E37:$Z37)=0,0,MAX(0,IF((J$6-$E$3)&lt;1,0,IFERROR(LOOKUP(2,1/('Feijão 2ª safra'!$E37:INDEX('Feijão 2ª safra'!$E37:$Z37,MIN(J$6-$E$3,22))&lt;&gt;""),'Feijão 2ª safra'!$E37:INDEX('Feijão 2ª safra'!$E37:$Z37,MIN(J$6-$E$3,22))),0))-IF($G$2,0,IF((J$6-$G$3)&lt;1,0,IFERROR(LOOKUP(2,1/('Feijão 2ª safra'!$E37:INDEX('Feijão 2ª safra'!$E37:$Z37,MIN(J$6-$G$3,22))&lt;&gt;""),'Feijão 2ª safra'!$E37:INDEX('Feijão 2ª safra'!$E37:$Z37,MIN(J$6-$G$3,22))),0)))))</f>
        <v>0</v>
      </c>
      <c r="K39" s="27" t="n">
        <f aca="false">IF(COUNT('Feijão 2ª safra'!$E37:$Z37)=0,0,MAX(0,IF((K$6-$E$3)&lt;1,0,IFERROR(LOOKUP(2,1/('Feijão 2ª safra'!$E37:INDEX('Feijão 2ª safra'!$E37:$Z37,MIN(K$6-$E$3,22))&lt;&gt;""),'Feijão 2ª safra'!$E37:INDEX('Feijão 2ª safra'!$E37:$Z37,MIN(K$6-$E$3,22))),0))-IF($G$2,0,IF((K$6-$G$3)&lt;1,0,IFERROR(LOOKUP(2,1/('Feijão 2ª safra'!$E37:INDEX('Feijão 2ª safra'!$E37:$Z37,MIN(K$6-$G$3,22))&lt;&gt;""),'Feijão 2ª safra'!$E37:INDEX('Feijão 2ª safra'!$E37:$Z37,MIN(K$6-$G$3,22))),0)))))</f>
        <v>0</v>
      </c>
      <c r="L39" s="27" t="n">
        <f aca="false">IF(COUNT('Feijão 2ª safra'!$E37:$Z37)=0,0,MAX(0,IF((L$6-$E$3)&lt;1,0,IFERROR(LOOKUP(2,1/('Feijão 2ª safra'!$E37:INDEX('Feijão 2ª safra'!$E37:$Z37,MIN(L$6-$E$3,22))&lt;&gt;""),'Feijão 2ª safra'!$E37:INDEX('Feijão 2ª safra'!$E37:$Z37,MIN(L$6-$E$3,22))),0))-IF($G$2,0,IF((L$6-$G$3)&lt;1,0,IFERROR(LOOKUP(2,1/('Feijão 2ª safra'!$E37:INDEX('Feijão 2ª safra'!$E37:$Z37,MIN(L$6-$G$3,22))&lt;&gt;""),'Feijão 2ª safra'!$E37:INDEX('Feijão 2ª safra'!$E37:$Z37,MIN(L$6-$G$3,22))),0)))))</f>
        <v>0</v>
      </c>
      <c r="M39" s="27" t="n">
        <f aca="false">IF(COUNT('Feijão 2ª safra'!$E37:$Z37)=0,0,MAX(0,IF((M$6-$E$3)&lt;1,0,IFERROR(LOOKUP(2,1/('Feijão 2ª safra'!$E37:INDEX('Feijão 2ª safra'!$E37:$Z37,MIN(M$6-$E$3,22))&lt;&gt;""),'Feijão 2ª safra'!$E37:INDEX('Feijão 2ª safra'!$E37:$Z37,MIN(M$6-$E$3,22))),0))-IF($G$2,0,IF((M$6-$G$3)&lt;1,0,IFERROR(LOOKUP(2,1/('Feijão 2ª safra'!$E37:INDEX('Feijão 2ª safra'!$E37:$Z37,MIN(M$6-$G$3,22))&lt;&gt;""),'Feijão 2ª safra'!$E37:INDEX('Feijão 2ª safra'!$E37:$Z37,MIN(M$6-$G$3,22))),0)))))</f>
        <v>0</v>
      </c>
      <c r="N39" s="27" t="n">
        <f aca="false">IF(COUNT('Feijão 2ª safra'!$E37:$Z37)=0,0,MAX(0,IF((N$6-$E$3)&lt;1,0,IFERROR(LOOKUP(2,1/('Feijão 2ª safra'!$E37:INDEX('Feijão 2ª safra'!$E37:$Z37,MIN(N$6-$E$3,22))&lt;&gt;""),'Feijão 2ª safra'!$E37:INDEX('Feijão 2ª safra'!$E37:$Z37,MIN(N$6-$E$3,22))),0))-IF($G$2,0,IF((N$6-$G$3)&lt;1,0,IFERROR(LOOKUP(2,1/('Feijão 2ª safra'!$E37:INDEX('Feijão 2ª safra'!$E37:$Z37,MIN(N$6-$G$3,22))&lt;&gt;""),'Feijão 2ª safra'!$E37:INDEX('Feijão 2ª safra'!$E37:$Z37,MIN(N$6-$G$3,22))),0)))))</f>
        <v>0</v>
      </c>
      <c r="O39" s="27" t="n">
        <f aca="false">IF(COUNT('Feijão 2ª safra'!$E37:$Z37)=0,0,MAX(0,IF((O$6-$E$3)&lt;1,0,IFERROR(LOOKUP(2,1/('Feijão 2ª safra'!$E37:INDEX('Feijão 2ª safra'!$E37:$Z37,MIN(O$6-$E$3,22))&lt;&gt;""),'Feijão 2ª safra'!$E37:INDEX('Feijão 2ª safra'!$E37:$Z37,MIN(O$6-$E$3,22))),0))-IF($G$2,0,IF((O$6-$G$3)&lt;1,0,IFERROR(LOOKUP(2,1/('Feijão 2ª safra'!$E37:INDEX('Feijão 2ª safra'!$E37:$Z37,MIN(O$6-$G$3,22))&lt;&gt;""),'Feijão 2ª safra'!$E37:INDEX('Feijão 2ª safra'!$E37:$Z37,MIN(O$6-$G$3,22))),0)))))</f>
        <v>0</v>
      </c>
      <c r="P39" s="27" t="n">
        <f aca="false">IF(COUNT('Feijão 2ª safra'!$E37:$Z37)=0,0,MAX(0,IF((P$6-$E$3)&lt;1,0,IFERROR(LOOKUP(2,1/('Feijão 2ª safra'!$E37:INDEX('Feijão 2ª safra'!$E37:$Z37,MIN(P$6-$E$3,22))&lt;&gt;""),'Feijão 2ª safra'!$E37:INDEX('Feijão 2ª safra'!$E37:$Z37,MIN(P$6-$E$3,22))),0))-IF($G$2,0,IF((P$6-$G$3)&lt;1,0,IFERROR(LOOKUP(2,1/('Feijão 2ª safra'!$E37:INDEX('Feijão 2ª safra'!$E37:$Z37,MIN(P$6-$G$3,22))&lt;&gt;""),'Feijão 2ª safra'!$E37:INDEX('Feijão 2ª safra'!$E37:$Z37,MIN(P$6-$G$3,22))),0)))))</f>
        <v>0</v>
      </c>
      <c r="Q39" s="27" t="n">
        <f aca="false">IF(COUNT('Feijão 2ª safra'!$E37:$Z37)=0,0,MAX(0,IF((Q$6-$E$3)&lt;1,0,IFERROR(LOOKUP(2,1/('Feijão 2ª safra'!$E37:INDEX('Feijão 2ª safra'!$E37:$Z37,MIN(Q$6-$E$3,22))&lt;&gt;""),'Feijão 2ª safra'!$E37:INDEX('Feijão 2ª safra'!$E37:$Z37,MIN(Q$6-$E$3,22))),0))-IF($G$2,0,IF((Q$6-$G$3)&lt;1,0,IFERROR(LOOKUP(2,1/('Feijão 2ª safra'!$E37:INDEX('Feijão 2ª safra'!$E37:$Z37,MIN(Q$6-$G$3,22))&lt;&gt;""),'Feijão 2ª safra'!$E37:INDEX('Feijão 2ª safra'!$E37:$Z37,MIN(Q$6-$G$3,22))),0)))))</f>
        <v>0</v>
      </c>
      <c r="R39" s="27" t="n">
        <f aca="false">IF(COUNT('Feijão 2ª safra'!$E37:$Z37)=0,0,MAX(0,IF((R$6-$E$3)&lt;1,0,IFERROR(LOOKUP(2,1/('Feijão 2ª safra'!$E37:INDEX('Feijão 2ª safra'!$E37:$Z37,MIN(R$6-$E$3,22))&lt;&gt;""),'Feijão 2ª safra'!$E37:INDEX('Feijão 2ª safra'!$E37:$Z37,MIN(R$6-$E$3,22))),0))-IF($G$2,0,IF((R$6-$G$3)&lt;1,0,IFERROR(LOOKUP(2,1/('Feijão 2ª safra'!$E37:INDEX('Feijão 2ª safra'!$E37:$Z37,MIN(R$6-$G$3,22))&lt;&gt;""),'Feijão 2ª safra'!$E37:INDEX('Feijão 2ª safra'!$E37:$Z37,MIN(R$6-$G$3,22))),0)))))</f>
        <v>0</v>
      </c>
      <c r="S39" s="27" t="n">
        <f aca="false">IF(COUNT('Feijão 2ª safra'!$E37:$Z37)=0,0,MAX(0,IF((S$6-$E$3)&lt;1,0,IFERROR(LOOKUP(2,1/('Feijão 2ª safra'!$E37:INDEX('Feijão 2ª safra'!$E37:$Z37,MIN(S$6-$E$3,22))&lt;&gt;""),'Feijão 2ª safra'!$E37:INDEX('Feijão 2ª safra'!$E37:$Z37,MIN(S$6-$E$3,22))),0))-IF($G$2,0,IF((S$6-$G$3)&lt;1,0,IFERROR(LOOKUP(2,1/('Feijão 2ª safra'!$E37:INDEX('Feijão 2ª safra'!$E37:$Z37,MIN(S$6-$G$3,22))&lt;&gt;""),'Feijão 2ª safra'!$E37:INDEX('Feijão 2ª safra'!$E37:$Z37,MIN(S$6-$G$3,22))),0)))))</f>
        <v>0</v>
      </c>
      <c r="T39" s="27" t="n">
        <f aca="false">IF(COUNT('Feijão 2ª safra'!$E37:$Z37)=0,0,MAX(0,IF((T$6-$E$3)&lt;1,0,IFERROR(LOOKUP(2,1/('Feijão 2ª safra'!$E37:INDEX('Feijão 2ª safra'!$E37:$Z37,MIN(T$6-$E$3,22))&lt;&gt;""),'Feijão 2ª safra'!$E37:INDEX('Feijão 2ª safra'!$E37:$Z37,MIN(T$6-$E$3,22))),0))-IF($G$2,0,IF((T$6-$G$3)&lt;1,0,IFERROR(LOOKUP(2,1/('Feijão 2ª safra'!$E37:INDEX('Feijão 2ª safra'!$E37:$Z37,MIN(T$6-$G$3,22))&lt;&gt;""),'Feijão 2ª safra'!$E37:INDEX('Feijão 2ª safra'!$E37:$Z37,MIN(T$6-$G$3,22))),0)))))</f>
        <v>0</v>
      </c>
      <c r="U39" s="27" t="n">
        <f aca="false">IF(COUNT('Feijão 2ª safra'!$E37:$Z37)=0,0,MAX(0,IF((U$6-$E$3)&lt;1,0,IFERROR(LOOKUP(2,1/('Feijão 2ª safra'!$E37:INDEX('Feijão 2ª safra'!$E37:$Z37,MIN(U$6-$E$3,22))&lt;&gt;""),'Feijão 2ª safra'!$E37:INDEX('Feijão 2ª safra'!$E37:$Z37,MIN(U$6-$E$3,22))),0))-IF($G$2,0,IF((U$6-$G$3)&lt;1,0,IFERROR(LOOKUP(2,1/('Feijão 2ª safra'!$E37:INDEX('Feijão 2ª safra'!$E37:$Z37,MIN(U$6-$G$3,22))&lt;&gt;""),'Feijão 2ª safra'!$E37:INDEX('Feijão 2ª safra'!$E37:$Z37,MIN(U$6-$G$3,22))),0)))))</f>
        <v>0</v>
      </c>
      <c r="V39" s="27" t="n">
        <f aca="false">IF(COUNT('Feijão 2ª safra'!$E37:$Z37)=0,0,MAX(0,IF((V$6-$E$3)&lt;1,0,IFERROR(LOOKUP(2,1/('Feijão 2ª safra'!$E37:INDEX('Feijão 2ª safra'!$E37:$Z37,MIN(V$6-$E$3,22))&lt;&gt;""),'Feijão 2ª safra'!$E37:INDEX('Feijão 2ª safra'!$E37:$Z37,MIN(V$6-$E$3,22))),0))-IF($G$2,0,IF((V$6-$G$3)&lt;1,0,IFERROR(LOOKUP(2,1/('Feijão 2ª safra'!$E37:INDEX('Feijão 2ª safra'!$E37:$Z37,MIN(V$6-$G$3,22))&lt;&gt;""),'Feijão 2ª safra'!$E37:INDEX('Feijão 2ª safra'!$E37:$Z37,MIN(V$6-$G$3,22))),0)))))</f>
        <v>0</v>
      </c>
      <c r="W39" s="27" t="n">
        <f aca="false">IF(COUNT('Feijão 2ª safra'!$E37:$Z37)=0,0,MAX(0,IF((W$6-$E$3)&lt;1,0,IFERROR(LOOKUP(2,1/('Feijão 2ª safra'!$E37:INDEX('Feijão 2ª safra'!$E37:$Z37,MIN(W$6-$E$3,22))&lt;&gt;""),'Feijão 2ª safra'!$E37:INDEX('Feijão 2ª safra'!$E37:$Z37,MIN(W$6-$E$3,22))),0))-IF($G$2,0,IF((W$6-$G$3)&lt;1,0,IFERROR(LOOKUP(2,1/('Feijão 2ª safra'!$E37:INDEX('Feijão 2ª safra'!$E37:$Z37,MIN(W$6-$G$3,22))&lt;&gt;""),'Feijão 2ª safra'!$E37:INDEX('Feijão 2ª safra'!$E37:$Z37,MIN(W$6-$G$3,22))),0)))))</f>
        <v>0</v>
      </c>
      <c r="X39" s="27" t="n">
        <f aca="false">IF(COUNT('Feijão 2ª safra'!$E37:$Z37)=0,0,MAX(0,IF((X$6-$E$3)&lt;1,0,IFERROR(LOOKUP(2,1/('Feijão 2ª safra'!$E37:INDEX('Feijão 2ª safra'!$E37:$Z37,MIN(X$6-$E$3,22))&lt;&gt;""),'Feijão 2ª safra'!$E37:INDEX('Feijão 2ª safra'!$E37:$Z37,MIN(X$6-$E$3,22))),0))-IF($G$2,0,IF((X$6-$G$3)&lt;1,0,IFERROR(LOOKUP(2,1/('Feijão 2ª safra'!$E37:INDEX('Feijão 2ª safra'!$E37:$Z37,MIN(X$6-$G$3,22))&lt;&gt;""),'Feijão 2ª safra'!$E37:INDEX('Feijão 2ª safra'!$E37:$Z37,MIN(X$6-$G$3,22))),0)))))</f>
        <v>0</v>
      </c>
      <c r="Y39" s="27" t="n">
        <f aca="false">IF(COUNT('Feijão 2ª safra'!$E37:$Z37)=0,0,MAX(0,IF((Y$6-$E$3)&lt;1,0,IFERROR(LOOKUP(2,1/('Feijão 2ª safra'!$E37:INDEX('Feijão 2ª safra'!$E37:$Z37,MIN(Y$6-$E$3,22))&lt;&gt;""),'Feijão 2ª safra'!$E37:INDEX('Feijão 2ª safra'!$E37:$Z37,MIN(Y$6-$E$3,22))),0))-IF($G$2,0,IF((Y$6-$G$3)&lt;1,0,IFERROR(LOOKUP(2,1/('Feijão 2ª safra'!$E37:INDEX('Feijão 2ª safra'!$E37:$Z37,MIN(Y$6-$G$3,22))&lt;&gt;""),'Feijão 2ª safra'!$E37:INDEX('Feijão 2ª safra'!$E37:$Z37,MIN(Y$6-$G$3,22))),0)))))</f>
        <v>0</v>
      </c>
      <c r="Z39" s="27" t="n">
        <f aca="false">IF(COUNT('Feijão 2ª safra'!$E37:$Z37)=0,0,MAX(0,IF((Z$6-$E$3)&lt;1,0,IFERROR(LOOKUP(2,1/('Feijão 2ª safra'!$E37:INDEX('Feijão 2ª safra'!$E37:$Z37,MIN(Z$6-$E$3,22))&lt;&gt;""),'Feijão 2ª safra'!$E37:INDEX('Feijão 2ª safra'!$E37:$Z37,MIN(Z$6-$E$3,22))),0))-IF($G$2,0,IF((Z$6-$G$3)&lt;1,0,IFERROR(LOOKUP(2,1/('Feijão 2ª safra'!$E37:INDEX('Feijão 2ª safra'!$E37:$Z37,MIN(Z$6-$G$3,22))&lt;&gt;""),'Feijão 2ª safra'!$E37:INDEX('Feijão 2ª safra'!$E37:$Z37,MIN(Z$6-$G$3,22))),0)))))</f>
        <v>0</v>
      </c>
      <c r="AA39" s="27" t="n">
        <f aca="false">IF(COUNT('Feijão 2ª safra'!$E37:$Z37)=0,0,MAX(0,IF((AA$6-$E$3)&lt;1,0,IFERROR(LOOKUP(2,1/('Feijão 2ª safra'!$E37:INDEX('Feijão 2ª safra'!$E37:$Z37,MIN(AA$6-$E$3,22))&lt;&gt;""),'Feijão 2ª safra'!$E37:INDEX('Feijão 2ª safra'!$E37:$Z37,MIN(AA$6-$E$3,22))),0))-IF($G$2,0,IF((AA$6-$G$3)&lt;1,0,IFERROR(LOOKUP(2,1/('Feijão 2ª safra'!$E37:INDEX('Feijão 2ª safra'!$E37:$Z37,MIN(AA$6-$G$3,22))&lt;&gt;""),'Feijão 2ª safra'!$E37:INDEX('Feijão 2ª safra'!$E37:$Z37,MIN(AA$6-$G$3,22))),0)))))</f>
        <v>0</v>
      </c>
      <c r="AB39" s="27" t="n">
        <f aca="false">IF(COUNT('Feijão 2ª safra'!$E37:$Z37)=0,0,MAX(0,IF((AB$6-$E$3)&lt;1,0,IFERROR(LOOKUP(2,1/('Feijão 2ª safra'!$E37:INDEX('Feijão 2ª safra'!$E37:$Z37,MIN(AB$6-$E$3,22))&lt;&gt;""),'Feijão 2ª safra'!$E37:INDEX('Feijão 2ª safra'!$E37:$Z37,MIN(AB$6-$E$3,22))),0))-IF($G$2,0,IF((AB$6-$G$3)&lt;1,0,IFERROR(LOOKUP(2,1/('Feijão 2ª safra'!$E37:INDEX('Feijão 2ª safra'!$E37:$Z37,MIN(AB$6-$G$3,22))&lt;&gt;""),'Feijão 2ª safra'!$E37:INDEX('Feijão 2ª safra'!$E37:$Z37,MIN(AB$6-$G$3,22))),0)))))</f>
        <v>0</v>
      </c>
      <c r="AC39" s="27" t="n">
        <f aca="false">IF(COUNT('Feijão 2ª safra'!$E37:$Z37)=0,0,MAX(0,IF((AC$6-$E$3)&lt;1,0,IFERROR(LOOKUP(2,1/('Feijão 2ª safra'!$E37:INDEX('Feijão 2ª safra'!$E37:$Z37,MIN(AC$6-$E$3,22))&lt;&gt;""),'Feijão 2ª safra'!$E37:INDEX('Feijão 2ª safra'!$E37:$Z37,MIN(AC$6-$E$3,22))),0))-IF($G$2,0,IF((AC$6-$G$3)&lt;1,0,IFERROR(LOOKUP(2,1/('Feijão 2ª safra'!$E37:INDEX('Feijão 2ª safra'!$E37:$Z37,MIN(AC$6-$G$3,22))&lt;&gt;""),'Feijão 2ª safra'!$E37:INDEX('Feijão 2ª safra'!$E37:$Z37,MIN(AC$6-$G$3,22))),0)))))</f>
        <v>0</v>
      </c>
      <c r="AD39" s="27" t="n">
        <f aca="false">IF(COUNT('Feijão 2ª safra'!$E37:$Z37)=0,0,MAX(0,IF((AD$6-$E$3)&lt;1,0,IFERROR(LOOKUP(2,1/('Feijão 2ª safra'!$E37:INDEX('Feijão 2ª safra'!$E37:$Z37,MIN(AD$6-$E$3,22))&lt;&gt;""),'Feijão 2ª safra'!$E37:INDEX('Feijão 2ª safra'!$E37:$Z37,MIN(AD$6-$E$3,22))),0))-IF($G$2,0,IF((AD$6-$G$3)&lt;1,0,IFERROR(LOOKUP(2,1/('Feijão 2ª safra'!$E37:INDEX('Feijão 2ª safra'!$E37:$Z37,MIN(AD$6-$G$3,22))&lt;&gt;""),'Feijão 2ª safra'!$E37:INDEX('Feijão 2ª safra'!$E37:$Z37,MIN(AD$6-$G$3,22))),0)))))</f>
        <v>0</v>
      </c>
      <c r="AE39" s="27" t="n">
        <f aca="false">IF(COUNT('Feijão 2ª safra'!$E37:$Z37)=0,0,MAX(0,IF((AE$6-$E$3)&lt;1,0,IFERROR(LOOKUP(2,1/('Feijão 2ª safra'!$E37:INDEX('Feijão 2ª safra'!$E37:$Z37,MIN(AE$6-$E$3,22))&lt;&gt;""),'Feijão 2ª safra'!$E37:INDEX('Feijão 2ª safra'!$E37:$Z37,MIN(AE$6-$E$3,22))),0))-IF($G$2,0,IF((AE$6-$G$3)&lt;1,0,IFERROR(LOOKUP(2,1/('Feijão 2ª safra'!$E37:INDEX('Feijão 2ª safra'!$E37:$Z37,MIN(AE$6-$G$3,22))&lt;&gt;""),'Feijão 2ª safra'!$E37:INDEX('Feijão 2ª safra'!$E37:$Z37,MIN(AE$6-$G$3,22))),0)))))</f>
        <v>0</v>
      </c>
      <c r="AF39" s="27" t="n">
        <f aca="false">IF(COUNT('Feijão 2ª safra'!$E37:$Z37)=0,0,MAX(0,IF((AF$6-$E$3)&lt;1,0,IFERROR(LOOKUP(2,1/('Feijão 2ª safra'!$E37:INDEX('Feijão 2ª safra'!$E37:$Z37,MIN(AF$6-$E$3,22))&lt;&gt;""),'Feijão 2ª safra'!$E37:INDEX('Feijão 2ª safra'!$E37:$Z37,MIN(AF$6-$E$3,22))),0))-IF($G$2,0,IF((AF$6-$G$3)&lt;1,0,IFERROR(LOOKUP(2,1/('Feijão 2ª safra'!$E37:INDEX('Feijão 2ª safra'!$E37:$Z37,MIN(AF$6-$G$3,22))&lt;&gt;""),'Feijão 2ª safra'!$E37:INDEX('Feijão 2ª safra'!$E37:$Z37,MIN(AF$6-$G$3,22))),0)))))</f>
        <v>0</v>
      </c>
      <c r="AG39" s="27" t="n">
        <f aca="false">IF(COUNT('Feijão 2ª safra'!$E37:$Z37)=0,0,MAX(0,IF((AG$6-$E$3)&lt;1,0,IFERROR(LOOKUP(2,1/('Feijão 2ª safra'!$E37:INDEX('Feijão 2ª safra'!$E37:$Z37,MIN(AG$6-$E$3,22))&lt;&gt;""),'Feijão 2ª safra'!$E37:INDEX('Feijão 2ª safra'!$E37:$Z37,MIN(AG$6-$E$3,22))),0))-IF($G$2,0,IF((AG$6-$G$3)&lt;1,0,IFERROR(LOOKUP(2,1/('Feijão 2ª safra'!$E37:INDEX('Feijão 2ª safra'!$E37:$Z37,MIN(AG$6-$G$3,22))&lt;&gt;""),'Feijão 2ª safra'!$E37:INDEX('Feijão 2ª safra'!$E37:$Z37,MIN(AG$6-$G$3,22))),0)))))</f>
        <v>0</v>
      </c>
      <c r="AH39" s="27" t="n">
        <f aca="false">IF(COUNT('Feijão 2ª safra'!$E37:$Z37)=0,0,MAX(0,IF((AH$6-$E$3)&lt;1,0,IFERROR(LOOKUP(2,1/('Feijão 2ª safra'!$E37:INDEX('Feijão 2ª safra'!$E37:$Z37,MIN(AH$6-$E$3,22))&lt;&gt;""),'Feijão 2ª safra'!$E37:INDEX('Feijão 2ª safra'!$E37:$Z37,MIN(AH$6-$E$3,22))),0))-IF($G$2,0,IF((AH$6-$G$3)&lt;1,0,IFERROR(LOOKUP(2,1/('Feijão 2ª safra'!$E37:INDEX('Feijão 2ª safra'!$E37:$Z37,MIN(AH$6-$G$3,22))&lt;&gt;""),'Feijão 2ª safra'!$E37:INDEX('Feijão 2ª safra'!$E37:$Z37,MIN(AH$6-$G$3,22))),0)))))</f>
        <v>0</v>
      </c>
      <c r="AI39" s="27" t="n">
        <f aca="false">IF(COUNT('Feijão 2ª safra'!$E37:$Z37)=0,0,MAX(0,IF((AI$6-$E$3)&lt;1,0,IFERROR(LOOKUP(2,1/('Feijão 2ª safra'!$E37:INDEX('Feijão 2ª safra'!$E37:$Z37,MIN(AI$6-$E$3,22))&lt;&gt;""),'Feijão 2ª safra'!$E37:INDEX('Feijão 2ª safra'!$E37:$Z37,MIN(AI$6-$E$3,22))),0))-IF($G$2,0,IF((AI$6-$G$3)&lt;1,0,IFERROR(LOOKUP(2,1/('Feijão 2ª safra'!$E37:INDEX('Feijão 2ª safra'!$E37:$Z37,MIN(AI$6-$G$3,22))&lt;&gt;""),'Feijão 2ª safra'!$E37:INDEX('Feijão 2ª safra'!$E37:$Z37,MIN(AI$6-$G$3,22))),0)))))</f>
        <v>0</v>
      </c>
      <c r="AJ39" s="27" t="n">
        <f aca="false">IF(COUNT('Feijão 2ª safra'!$E37:$Z37)=0,0,MAX(0,IF((AJ$6-$E$3)&lt;1,0,IFERROR(LOOKUP(2,1/('Feijão 2ª safra'!$E37:INDEX('Feijão 2ª safra'!$E37:$Z37,MIN(AJ$6-$E$3,22))&lt;&gt;""),'Feijão 2ª safra'!$E37:INDEX('Feijão 2ª safra'!$E37:$Z37,MIN(AJ$6-$E$3,22))),0))-IF($G$2,0,IF((AJ$6-$G$3)&lt;1,0,IFERROR(LOOKUP(2,1/('Feijão 2ª safra'!$E37:INDEX('Feijão 2ª safra'!$E37:$Z37,MIN(AJ$6-$G$3,22))&lt;&gt;""),'Feijão 2ª safra'!$E37:INDEX('Feijão 2ª safra'!$E37:$Z37,MIN(AJ$6-$G$3,22))),0)))))</f>
        <v>0</v>
      </c>
      <c r="AK39" s="27" t="n">
        <f aca="false">IF(COUNT('Feijão 2ª safra'!$E37:$Z37)=0,0,MAX(0,IF((AK$6-$E$3)&lt;1,0,IFERROR(LOOKUP(2,1/('Feijão 2ª safra'!$E37:INDEX('Feijão 2ª safra'!$E37:$Z37,MIN(AK$6-$E$3,22))&lt;&gt;""),'Feijão 2ª safra'!$E37:INDEX('Feijão 2ª safra'!$E37:$Z37,MIN(AK$6-$E$3,22))),0))-IF($G$2,0,IF((AK$6-$G$3)&lt;1,0,IFERROR(LOOKUP(2,1/('Feijão 2ª safra'!$E37:INDEX('Feijão 2ª safra'!$E37:$Z37,MIN(AK$6-$G$3,22))&lt;&gt;""),'Feijão 2ª safra'!$E37:INDEX('Feijão 2ª safra'!$E37:$Z37,MIN(AK$6-$G$3,22))),0)))))</f>
        <v>0</v>
      </c>
      <c r="AL39" s="27" t="n">
        <f aca="false">IF(COUNT('Feijão 2ª safra'!$E37:$Z37)=0,0,MAX(0,IF((AL$6-$E$3)&lt;1,0,IFERROR(LOOKUP(2,1/('Feijão 2ª safra'!$E37:INDEX('Feijão 2ª safra'!$E37:$Z37,MIN(AL$6-$E$3,22))&lt;&gt;""),'Feijão 2ª safra'!$E37:INDEX('Feijão 2ª safra'!$E37:$Z37,MIN(AL$6-$E$3,22))),0))-IF($G$2,0,IF((AL$6-$G$3)&lt;1,0,IFERROR(LOOKUP(2,1/('Feijão 2ª safra'!$E37:INDEX('Feijão 2ª safra'!$E37:$Z37,MIN(AL$6-$G$3,22))&lt;&gt;""),'Feijão 2ª safra'!$E37:INDEX('Feijão 2ª safra'!$E37:$Z37,MIN(AL$6-$G$3,22))),0)))))</f>
        <v>0</v>
      </c>
      <c r="AM39" s="27" t="n">
        <f aca="false">IF(COUNT('Feijão 2ª safra'!$E37:$Z37)=0,0,MAX(0,IF((AM$6-$E$3)&lt;1,0,IFERROR(LOOKUP(2,1/('Feijão 2ª safra'!$E37:INDEX('Feijão 2ª safra'!$E37:$Z37,MIN(AM$6-$E$3,22))&lt;&gt;""),'Feijão 2ª safra'!$E37:INDEX('Feijão 2ª safra'!$E37:$Z37,MIN(AM$6-$E$3,22))),0))-IF($G$2,0,IF((AM$6-$G$3)&lt;1,0,IFERROR(LOOKUP(2,1/('Feijão 2ª safra'!$E37:INDEX('Feijão 2ª safra'!$E37:$Z37,MIN(AM$6-$G$3,22))&lt;&gt;""),'Feijão 2ª safra'!$E37:INDEX('Feijão 2ª safra'!$E37:$Z37,MIN(AM$6-$G$3,22))),0)))))</f>
        <v>0</v>
      </c>
      <c r="AN39" s="27" t="n">
        <f aca="false">IF(COUNT('Feijão 2ª safra'!$E37:$Z37)=0,0,MAX(0,IF((AN$6-$E$3)&lt;1,0,IFERROR(LOOKUP(2,1/('Feijão 2ª safra'!$E37:INDEX('Feijão 2ª safra'!$E37:$Z37,MIN(AN$6-$E$3,22))&lt;&gt;""),'Feijão 2ª safra'!$E37:INDEX('Feijão 2ª safra'!$E37:$Z37,MIN(AN$6-$E$3,22))),0))-IF($G$2,0,IF((AN$6-$G$3)&lt;1,0,IFERROR(LOOKUP(2,1/('Feijão 2ª safra'!$E37:INDEX('Feijão 2ª safra'!$E37:$Z37,MIN(AN$6-$G$3,22))&lt;&gt;""),'Feijão 2ª safra'!$E37:INDEX('Feijão 2ª safra'!$E37:$Z37,MIN(AN$6-$G$3,22))),0)))))</f>
        <v>0</v>
      </c>
      <c r="AO39" s="27" t="n">
        <f aca="false">IF(COUNT('Feijão 2ª safra'!$E37:$Z37)=0,0,MAX(0,IF((AO$6-$E$3)&lt;1,0,IFERROR(LOOKUP(2,1/('Feijão 2ª safra'!$E37:INDEX('Feijão 2ª safra'!$E37:$Z37,MIN(AO$6-$E$3,22))&lt;&gt;""),'Feijão 2ª safra'!$E37:INDEX('Feijão 2ª safra'!$E37:$Z37,MIN(AO$6-$E$3,22))),0))-IF($G$2,0,IF((AO$6-$G$3)&lt;1,0,IFERROR(LOOKUP(2,1/('Feijão 2ª safra'!$E37:INDEX('Feijão 2ª safra'!$E37:$Z37,MIN(AO$6-$G$3,22))&lt;&gt;""),'Feijão 2ª safra'!$E37:INDEX('Feijão 2ª safra'!$E37:$Z37,MIN(AO$6-$G$3,22))),0)))))</f>
        <v>0</v>
      </c>
      <c r="AP39" s="27" t="n">
        <f aca="false">IF(COUNT('Feijão 2ª safra'!$E37:$Z37)=0,0,MAX(0,IF((AP$6-$E$3)&lt;1,0,IFERROR(LOOKUP(2,1/('Feijão 2ª safra'!$E37:INDEX('Feijão 2ª safra'!$E37:$Z37,MIN(AP$6-$E$3,22))&lt;&gt;""),'Feijão 2ª safra'!$E37:INDEX('Feijão 2ª safra'!$E37:$Z37,MIN(AP$6-$E$3,22))),0))-IF($G$2,0,IF((AP$6-$G$3)&lt;1,0,IFERROR(LOOKUP(2,1/('Feijão 2ª safra'!$E37:INDEX('Feijão 2ª safra'!$E37:$Z37,MIN(AP$6-$G$3,22))&lt;&gt;""),'Feijão 2ª safra'!$E37:INDEX('Feijão 2ª safra'!$E37:$Z37,MIN(AP$6-$G$3,22))),0)))))</f>
        <v>0</v>
      </c>
      <c r="AQ39" s="27" t="n">
        <f aca="false">IF(COUNT('Feijão 2ª safra'!$E37:$Z37)=0,0,MAX(0,IF((AQ$6-$E$3)&lt;1,0,IFERROR(LOOKUP(2,1/('Feijão 2ª safra'!$E37:INDEX('Feijão 2ª safra'!$E37:$Z37,MIN(AQ$6-$E$3,22))&lt;&gt;""),'Feijão 2ª safra'!$E37:INDEX('Feijão 2ª safra'!$E37:$Z37,MIN(AQ$6-$E$3,22))),0))-IF($G$2,0,IF((AQ$6-$G$3)&lt;1,0,IFERROR(LOOKUP(2,1/('Feijão 2ª safra'!$E37:INDEX('Feijão 2ª safra'!$E37:$Z37,MIN(AQ$6-$G$3,22))&lt;&gt;""),'Feijão 2ª safra'!$E37:INDEX('Feijão 2ª safra'!$E37:$Z37,MIN(AQ$6-$G$3,22))),0)))))</f>
        <v>0</v>
      </c>
      <c r="AR39" s="27" t="n">
        <f aca="false">IF(COUNT('Feijão 2ª safra'!$E37:$Z37)=0,0,MAX(0,IF((AR$6-$E$3)&lt;1,0,IFERROR(LOOKUP(2,1/('Feijão 2ª safra'!$E37:INDEX('Feijão 2ª safra'!$E37:$Z37,MIN(AR$6-$E$3,22))&lt;&gt;""),'Feijão 2ª safra'!$E37:INDEX('Feijão 2ª safra'!$E37:$Z37,MIN(AR$6-$E$3,22))),0))-IF($G$2,0,IF((AR$6-$G$3)&lt;1,0,IFERROR(LOOKUP(2,1/('Feijão 2ª safra'!$E37:INDEX('Feijão 2ª safra'!$E37:$Z37,MIN(AR$6-$G$3,22))&lt;&gt;""),'Feijão 2ª safra'!$E37:INDEX('Feijão 2ª safra'!$E37:$Z37,MIN(AR$6-$G$3,22))),0)))))</f>
        <v>0</v>
      </c>
      <c r="AS39" s="27" t="n">
        <f aca="false">IF(COUNT('Feijão 2ª safra'!$E37:$Z37)=0,0,MAX(0,IF((AS$6-$E$3)&lt;1,0,IFERROR(LOOKUP(2,1/('Feijão 2ª safra'!$E37:INDEX('Feijão 2ª safra'!$E37:$Z37,MIN(AS$6-$E$3,22))&lt;&gt;""),'Feijão 2ª safra'!$E37:INDEX('Feijão 2ª safra'!$E37:$Z37,MIN(AS$6-$E$3,22))),0))-IF($G$2,0,IF((AS$6-$G$3)&lt;1,0,IFERROR(LOOKUP(2,1/('Feijão 2ª safra'!$E37:INDEX('Feijão 2ª safra'!$E37:$Z37,MIN(AS$6-$G$3,22))&lt;&gt;""),'Feijão 2ª safra'!$E37:INDEX('Feijão 2ª safra'!$E37:$Z37,MIN(AS$6-$G$3,22))),0)))))</f>
        <v>0</v>
      </c>
      <c r="AT39" s="27" t="n">
        <f aca="false">IF(COUNT('Feijão 2ª safra'!$E37:$Z37)=0,0,MAX(0,IF((AT$6-$E$3)&lt;1,0,IFERROR(LOOKUP(2,1/('Feijão 2ª safra'!$E37:INDEX('Feijão 2ª safra'!$E37:$Z37,MIN(AT$6-$E$3,22))&lt;&gt;""),'Feijão 2ª safra'!$E37:INDEX('Feijão 2ª safra'!$E37:$Z37,MIN(AT$6-$E$3,22))),0))-IF($G$2,0,IF((AT$6-$G$3)&lt;1,0,IFERROR(LOOKUP(2,1/('Feijão 2ª safra'!$E37:INDEX('Feijão 2ª safra'!$E37:$Z37,MIN(AT$6-$G$3,22))&lt;&gt;""),'Feijão 2ª safra'!$E37:INDEX('Feijão 2ª safra'!$E37:$Z37,MIN(AT$6-$G$3,22))),0)))))</f>
        <v>0</v>
      </c>
      <c r="AU39" s="27" t="n">
        <f aca="false">IF(COUNT('Feijão 2ª safra'!$E37:$Z37)=0,0,MAX(0,IF((AU$6-$E$3)&lt;1,0,IFERROR(LOOKUP(2,1/('Feijão 2ª safra'!$E37:INDEX('Feijão 2ª safra'!$E37:$Z37,MIN(AU$6-$E$3,22))&lt;&gt;""),'Feijão 2ª safra'!$E37:INDEX('Feijão 2ª safra'!$E37:$Z37,MIN(AU$6-$E$3,22))),0))-IF($G$2,0,IF((AU$6-$G$3)&lt;1,0,IFERROR(LOOKUP(2,1/('Feijão 2ª safra'!$E37:INDEX('Feijão 2ª safra'!$E37:$Z37,MIN(AU$6-$G$3,22))&lt;&gt;""),'Feijão 2ª safra'!$E37:INDEX('Feijão 2ª safra'!$E37:$Z37,MIN(AU$6-$G$3,22))),0)))))</f>
        <v>0</v>
      </c>
      <c r="AV39" s="27" t="n">
        <f aca="false">IF(COUNT('Feijão 2ª safra'!$E37:$Z37)=0,0,MAX(0,IF((AV$6-$E$3)&lt;1,0,IFERROR(LOOKUP(2,1/('Feijão 2ª safra'!$E37:INDEX('Feijão 2ª safra'!$E37:$Z37,MIN(AV$6-$E$3,22))&lt;&gt;""),'Feijão 2ª safra'!$E37:INDEX('Feijão 2ª safra'!$E37:$Z37,MIN(AV$6-$E$3,22))),0))-IF($G$2,0,IF((AV$6-$G$3)&lt;1,0,IFERROR(LOOKUP(2,1/('Feijão 2ª safra'!$E37:INDEX('Feijão 2ª safra'!$E37:$Z37,MIN(AV$6-$G$3,22))&lt;&gt;""),'Feijão 2ª safra'!$E37:INDEX('Feijão 2ª safra'!$E37:$Z37,MIN(AV$6-$G$3,22))),0)))))</f>
        <v>0</v>
      </c>
      <c r="AW39" s="27" t="n">
        <f aca="false">IF(COUNT('Feijão 2ª safra'!$E37:$Z37)=0,0,MAX(0,IF((AW$6-$E$3)&lt;1,0,IFERROR(LOOKUP(2,1/('Feijão 2ª safra'!$E37:INDEX('Feijão 2ª safra'!$E37:$Z37,MIN(AW$6-$E$3,22))&lt;&gt;""),'Feijão 2ª safra'!$E37:INDEX('Feijão 2ª safra'!$E37:$Z37,MIN(AW$6-$E$3,22))),0))-IF($G$2,0,IF((AW$6-$G$3)&lt;1,0,IFERROR(LOOKUP(2,1/('Feijão 2ª safra'!$E37:INDEX('Feijão 2ª safra'!$E37:$Z37,MIN(AW$6-$G$3,22))&lt;&gt;""),'Feijão 2ª safra'!$E37:INDEX('Feijão 2ª safra'!$E37:$Z37,MIN(AW$6-$G$3,22))),0)))))</f>
        <v>0</v>
      </c>
      <c r="AX39" s="27" t="n">
        <f aca="false">IF(COUNT('Feijão 2ª safra'!$E37:$Z37)=0,0,MAX(0,IF((AX$6-$E$3)&lt;1,0,IFERROR(LOOKUP(2,1/('Feijão 2ª safra'!$E37:INDEX('Feijão 2ª safra'!$E37:$Z37,MIN(AX$6-$E$3,22))&lt;&gt;""),'Feijão 2ª safra'!$E37:INDEX('Feijão 2ª safra'!$E37:$Z37,MIN(AX$6-$E$3,22))),0))-IF($G$2,0,IF((AX$6-$G$3)&lt;1,0,IFERROR(LOOKUP(2,1/('Feijão 2ª safra'!$E37:INDEX('Feijão 2ª safra'!$E37:$Z37,MIN(AX$6-$G$3,22))&lt;&gt;""),'Feijão 2ª safra'!$E37:INDEX('Feijão 2ª safra'!$E37:$Z37,MIN(AX$6-$G$3,22))),0)))))</f>
        <v>0</v>
      </c>
      <c r="AY39" s="27" t="n">
        <f aca="false">IF(COUNT('Feijão 2ª safra'!$E37:$Z37)=0,0,MAX(0,IF((AY$6-$E$3)&lt;1,0,IFERROR(LOOKUP(2,1/('Feijão 2ª safra'!$E37:INDEX('Feijão 2ª safra'!$E37:$Z37,MIN(AY$6-$E$3,22))&lt;&gt;""),'Feijão 2ª safra'!$E37:INDEX('Feijão 2ª safra'!$E37:$Z37,MIN(AY$6-$E$3,22))),0))-IF($G$2,0,IF((AY$6-$G$3)&lt;1,0,IFERROR(LOOKUP(2,1/('Feijão 2ª safra'!$E37:INDEX('Feijão 2ª safra'!$E37:$Z37,MIN(AY$6-$G$3,22))&lt;&gt;""),'Feijão 2ª safra'!$E37:INDEX('Feijão 2ª safra'!$E37:$Z37,MIN(AY$6-$G$3,22))),0)))))</f>
        <v>0</v>
      </c>
      <c r="AZ39" s="27" t="n">
        <f aca="false">IF(COUNT('Feijão 2ª safra'!$E37:$Z37)=0,0,MAX(0,IF((AZ$6-$E$3)&lt;1,0,IFERROR(LOOKUP(2,1/('Feijão 2ª safra'!$E37:INDEX('Feijão 2ª safra'!$E37:$Z37,MIN(AZ$6-$E$3,22))&lt;&gt;""),'Feijão 2ª safra'!$E37:INDEX('Feijão 2ª safra'!$E37:$Z37,MIN(AZ$6-$E$3,22))),0))-IF($G$2,0,IF((AZ$6-$G$3)&lt;1,0,IFERROR(LOOKUP(2,1/('Feijão 2ª safra'!$E37:INDEX('Feijão 2ª safra'!$E37:$Z37,MIN(AZ$6-$G$3,22))&lt;&gt;""),'Feijão 2ª safra'!$E37:INDEX('Feijão 2ª safra'!$E37:$Z37,MIN(AZ$6-$G$3,22))),0)))))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IF(COUNT('Feijão 2ª safra'!$E38:$Z38)&gt;0,N('Feijão 2ª safra'!$D38),0)</f>
        <v>0</v>
      </c>
      <c r="E40" s="27" t="n">
        <f aca="false">IF(COUNT('Feijão 2ª safra'!$E38:$Z38)=0,0,MAX(0,IF((E$6-$E$3)&lt;1,0,IFERROR(LOOKUP(2,1/('Feijão 2ª safra'!$E38:INDEX('Feijão 2ª safra'!$E38:$Z38,MIN(E$6-$E$3,22))&lt;&gt;""),'Feijão 2ª safra'!$E38:INDEX('Feijão 2ª safra'!$E38:$Z38,MIN(E$6-$E$3,22))),0))-IF($G$2,0,IF((E$6-$G$3)&lt;1,0,IFERROR(LOOKUP(2,1/('Feijão 2ª safra'!$E38:INDEX('Feijão 2ª safra'!$E38:$Z38,MIN(E$6-$G$3,22))&lt;&gt;""),'Feijão 2ª safra'!$E38:INDEX('Feijão 2ª safra'!$E38:$Z38,MIN(E$6-$G$3,22))),0)))))</f>
        <v>0</v>
      </c>
      <c r="F40" s="27" t="n">
        <f aca="false">IF(COUNT('Feijão 2ª safra'!$E38:$Z38)=0,0,MAX(0,IF((F$6-$E$3)&lt;1,0,IFERROR(LOOKUP(2,1/('Feijão 2ª safra'!$E38:INDEX('Feijão 2ª safra'!$E38:$Z38,MIN(F$6-$E$3,22))&lt;&gt;""),'Feijão 2ª safra'!$E38:INDEX('Feijão 2ª safra'!$E38:$Z38,MIN(F$6-$E$3,22))),0))-IF($G$2,0,IF((F$6-$G$3)&lt;1,0,IFERROR(LOOKUP(2,1/('Feijão 2ª safra'!$E38:INDEX('Feijão 2ª safra'!$E38:$Z38,MIN(F$6-$G$3,22))&lt;&gt;""),'Feijão 2ª safra'!$E38:INDEX('Feijão 2ª safra'!$E38:$Z38,MIN(F$6-$G$3,22))),0)))))</f>
        <v>0</v>
      </c>
      <c r="G40" s="27" t="n">
        <f aca="false">IF(COUNT('Feijão 2ª safra'!$E38:$Z38)=0,0,MAX(0,IF((G$6-$E$3)&lt;1,0,IFERROR(LOOKUP(2,1/('Feijão 2ª safra'!$E38:INDEX('Feijão 2ª safra'!$E38:$Z38,MIN(G$6-$E$3,22))&lt;&gt;""),'Feijão 2ª safra'!$E38:INDEX('Feijão 2ª safra'!$E38:$Z38,MIN(G$6-$E$3,22))),0))-IF($G$2,0,IF((G$6-$G$3)&lt;1,0,IFERROR(LOOKUP(2,1/('Feijão 2ª safra'!$E38:INDEX('Feijão 2ª safra'!$E38:$Z38,MIN(G$6-$G$3,22))&lt;&gt;""),'Feijão 2ª safra'!$E38:INDEX('Feijão 2ª safra'!$E38:$Z38,MIN(G$6-$G$3,22))),0)))))</f>
        <v>0</v>
      </c>
      <c r="H40" s="27" t="n">
        <f aca="false">IF(COUNT('Feijão 2ª safra'!$E38:$Z38)=0,0,MAX(0,IF((H$6-$E$3)&lt;1,0,IFERROR(LOOKUP(2,1/('Feijão 2ª safra'!$E38:INDEX('Feijão 2ª safra'!$E38:$Z38,MIN(H$6-$E$3,22))&lt;&gt;""),'Feijão 2ª safra'!$E38:INDEX('Feijão 2ª safra'!$E38:$Z38,MIN(H$6-$E$3,22))),0))-IF($G$2,0,IF((H$6-$G$3)&lt;1,0,IFERROR(LOOKUP(2,1/('Feijão 2ª safra'!$E38:INDEX('Feijão 2ª safra'!$E38:$Z38,MIN(H$6-$G$3,22))&lt;&gt;""),'Feijão 2ª safra'!$E38:INDEX('Feijão 2ª safra'!$E38:$Z38,MIN(H$6-$G$3,22))),0)))))</f>
        <v>0</v>
      </c>
      <c r="I40" s="27" t="n">
        <f aca="false">IF(COUNT('Feijão 2ª safra'!$E38:$Z38)=0,0,MAX(0,IF((I$6-$E$3)&lt;1,0,IFERROR(LOOKUP(2,1/('Feijão 2ª safra'!$E38:INDEX('Feijão 2ª safra'!$E38:$Z38,MIN(I$6-$E$3,22))&lt;&gt;""),'Feijão 2ª safra'!$E38:INDEX('Feijão 2ª safra'!$E38:$Z38,MIN(I$6-$E$3,22))),0))-IF($G$2,0,IF((I$6-$G$3)&lt;1,0,IFERROR(LOOKUP(2,1/('Feijão 2ª safra'!$E38:INDEX('Feijão 2ª safra'!$E38:$Z38,MIN(I$6-$G$3,22))&lt;&gt;""),'Feijão 2ª safra'!$E38:INDEX('Feijão 2ª safra'!$E38:$Z38,MIN(I$6-$G$3,22))),0)))))</f>
        <v>0</v>
      </c>
      <c r="J40" s="27" t="n">
        <f aca="false">IF(COUNT('Feijão 2ª safra'!$E38:$Z38)=0,0,MAX(0,IF((J$6-$E$3)&lt;1,0,IFERROR(LOOKUP(2,1/('Feijão 2ª safra'!$E38:INDEX('Feijão 2ª safra'!$E38:$Z38,MIN(J$6-$E$3,22))&lt;&gt;""),'Feijão 2ª safra'!$E38:INDEX('Feijão 2ª safra'!$E38:$Z38,MIN(J$6-$E$3,22))),0))-IF($G$2,0,IF((J$6-$G$3)&lt;1,0,IFERROR(LOOKUP(2,1/('Feijão 2ª safra'!$E38:INDEX('Feijão 2ª safra'!$E38:$Z38,MIN(J$6-$G$3,22))&lt;&gt;""),'Feijão 2ª safra'!$E38:INDEX('Feijão 2ª safra'!$E38:$Z38,MIN(J$6-$G$3,22))),0)))))</f>
        <v>0</v>
      </c>
      <c r="K40" s="27" t="n">
        <f aca="false">IF(COUNT('Feijão 2ª safra'!$E38:$Z38)=0,0,MAX(0,IF((K$6-$E$3)&lt;1,0,IFERROR(LOOKUP(2,1/('Feijão 2ª safra'!$E38:INDEX('Feijão 2ª safra'!$E38:$Z38,MIN(K$6-$E$3,22))&lt;&gt;""),'Feijão 2ª safra'!$E38:INDEX('Feijão 2ª safra'!$E38:$Z38,MIN(K$6-$E$3,22))),0))-IF($G$2,0,IF((K$6-$G$3)&lt;1,0,IFERROR(LOOKUP(2,1/('Feijão 2ª safra'!$E38:INDEX('Feijão 2ª safra'!$E38:$Z38,MIN(K$6-$G$3,22))&lt;&gt;""),'Feijão 2ª safra'!$E38:INDEX('Feijão 2ª safra'!$E38:$Z38,MIN(K$6-$G$3,22))),0)))))</f>
        <v>0</v>
      </c>
      <c r="L40" s="27" t="n">
        <f aca="false">IF(COUNT('Feijão 2ª safra'!$E38:$Z38)=0,0,MAX(0,IF((L$6-$E$3)&lt;1,0,IFERROR(LOOKUP(2,1/('Feijão 2ª safra'!$E38:INDEX('Feijão 2ª safra'!$E38:$Z38,MIN(L$6-$E$3,22))&lt;&gt;""),'Feijão 2ª safra'!$E38:INDEX('Feijão 2ª safra'!$E38:$Z38,MIN(L$6-$E$3,22))),0))-IF($G$2,0,IF((L$6-$G$3)&lt;1,0,IFERROR(LOOKUP(2,1/('Feijão 2ª safra'!$E38:INDEX('Feijão 2ª safra'!$E38:$Z38,MIN(L$6-$G$3,22))&lt;&gt;""),'Feijão 2ª safra'!$E38:INDEX('Feijão 2ª safra'!$E38:$Z38,MIN(L$6-$G$3,22))),0)))))</f>
        <v>0</v>
      </c>
      <c r="M40" s="27" t="n">
        <f aca="false">IF(COUNT('Feijão 2ª safra'!$E38:$Z38)=0,0,MAX(0,IF((M$6-$E$3)&lt;1,0,IFERROR(LOOKUP(2,1/('Feijão 2ª safra'!$E38:INDEX('Feijão 2ª safra'!$E38:$Z38,MIN(M$6-$E$3,22))&lt;&gt;""),'Feijão 2ª safra'!$E38:INDEX('Feijão 2ª safra'!$E38:$Z38,MIN(M$6-$E$3,22))),0))-IF($G$2,0,IF((M$6-$G$3)&lt;1,0,IFERROR(LOOKUP(2,1/('Feijão 2ª safra'!$E38:INDEX('Feijão 2ª safra'!$E38:$Z38,MIN(M$6-$G$3,22))&lt;&gt;""),'Feijão 2ª safra'!$E38:INDEX('Feijão 2ª safra'!$E38:$Z38,MIN(M$6-$G$3,22))),0)))))</f>
        <v>0</v>
      </c>
      <c r="N40" s="27" t="n">
        <f aca="false">IF(COUNT('Feijão 2ª safra'!$E38:$Z38)=0,0,MAX(0,IF((N$6-$E$3)&lt;1,0,IFERROR(LOOKUP(2,1/('Feijão 2ª safra'!$E38:INDEX('Feijão 2ª safra'!$E38:$Z38,MIN(N$6-$E$3,22))&lt;&gt;""),'Feijão 2ª safra'!$E38:INDEX('Feijão 2ª safra'!$E38:$Z38,MIN(N$6-$E$3,22))),0))-IF($G$2,0,IF((N$6-$G$3)&lt;1,0,IFERROR(LOOKUP(2,1/('Feijão 2ª safra'!$E38:INDEX('Feijão 2ª safra'!$E38:$Z38,MIN(N$6-$G$3,22))&lt;&gt;""),'Feijão 2ª safra'!$E38:INDEX('Feijão 2ª safra'!$E38:$Z38,MIN(N$6-$G$3,22))),0)))))</f>
        <v>0</v>
      </c>
      <c r="O40" s="27" t="n">
        <f aca="false">IF(COUNT('Feijão 2ª safra'!$E38:$Z38)=0,0,MAX(0,IF((O$6-$E$3)&lt;1,0,IFERROR(LOOKUP(2,1/('Feijão 2ª safra'!$E38:INDEX('Feijão 2ª safra'!$E38:$Z38,MIN(O$6-$E$3,22))&lt;&gt;""),'Feijão 2ª safra'!$E38:INDEX('Feijão 2ª safra'!$E38:$Z38,MIN(O$6-$E$3,22))),0))-IF($G$2,0,IF((O$6-$G$3)&lt;1,0,IFERROR(LOOKUP(2,1/('Feijão 2ª safra'!$E38:INDEX('Feijão 2ª safra'!$E38:$Z38,MIN(O$6-$G$3,22))&lt;&gt;""),'Feijão 2ª safra'!$E38:INDEX('Feijão 2ª safra'!$E38:$Z38,MIN(O$6-$G$3,22))),0)))))</f>
        <v>0</v>
      </c>
      <c r="P40" s="27" t="n">
        <f aca="false">IF(COUNT('Feijão 2ª safra'!$E38:$Z38)=0,0,MAX(0,IF((P$6-$E$3)&lt;1,0,IFERROR(LOOKUP(2,1/('Feijão 2ª safra'!$E38:INDEX('Feijão 2ª safra'!$E38:$Z38,MIN(P$6-$E$3,22))&lt;&gt;""),'Feijão 2ª safra'!$E38:INDEX('Feijão 2ª safra'!$E38:$Z38,MIN(P$6-$E$3,22))),0))-IF($G$2,0,IF((P$6-$G$3)&lt;1,0,IFERROR(LOOKUP(2,1/('Feijão 2ª safra'!$E38:INDEX('Feijão 2ª safra'!$E38:$Z38,MIN(P$6-$G$3,22))&lt;&gt;""),'Feijão 2ª safra'!$E38:INDEX('Feijão 2ª safra'!$E38:$Z38,MIN(P$6-$G$3,22))),0)))))</f>
        <v>0</v>
      </c>
      <c r="Q40" s="27" t="n">
        <f aca="false">IF(COUNT('Feijão 2ª safra'!$E38:$Z38)=0,0,MAX(0,IF((Q$6-$E$3)&lt;1,0,IFERROR(LOOKUP(2,1/('Feijão 2ª safra'!$E38:INDEX('Feijão 2ª safra'!$E38:$Z38,MIN(Q$6-$E$3,22))&lt;&gt;""),'Feijão 2ª safra'!$E38:INDEX('Feijão 2ª safra'!$E38:$Z38,MIN(Q$6-$E$3,22))),0))-IF($G$2,0,IF((Q$6-$G$3)&lt;1,0,IFERROR(LOOKUP(2,1/('Feijão 2ª safra'!$E38:INDEX('Feijão 2ª safra'!$E38:$Z38,MIN(Q$6-$G$3,22))&lt;&gt;""),'Feijão 2ª safra'!$E38:INDEX('Feijão 2ª safra'!$E38:$Z38,MIN(Q$6-$G$3,22))),0)))))</f>
        <v>0</v>
      </c>
      <c r="R40" s="27" t="n">
        <f aca="false">IF(COUNT('Feijão 2ª safra'!$E38:$Z38)=0,0,MAX(0,IF((R$6-$E$3)&lt;1,0,IFERROR(LOOKUP(2,1/('Feijão 2ª safra'!$E38:INDEX('Feijão 2ª safra'!$E38:$Z38,MIN(R$6-$E$3,22))&lt;&gt;""),'Feijão 2ª safra'!$E38:INDEX('Feijão 2ª safra'!$E38:$Z38,MIN(R$6-$E$3,22))),0))-IF($G$2,0,IF((R$6-$G$3)&lt;1,0,IFERROR(LOOKUP(2,1/('Feijão 2ª safra'!$E38:INDEX('Feijão 2ª safra'!$E38:$Z38,MIN(R$6-$G$3,22))&lt;&gt;""),'Feijão 2ª safra'!$E38:INDEX('Feijão 2ª safra'!$E38:$Z38,MIN(R$6-$G$3,22))),0)))))</f>
        <v>0</v>
      </c>
      <c r="S40" s="27" t="n">
        <f aca="false">IF(COUNT('Feijão 2ª safra'!$E38:$Z38)=0,0,MAX(0,IF((S$6-$E$3)&lt;1,0,IFERROR(LOOKUP(2,1/('Feijão 2ª safra'!$E38:INDEX('Feijão 2ª safra'!$E38:$Z38,MIN(S$6-$E$3,22))&lt;&gt;""),'Feijão 2ª safra'!$E38:INDEX('Feijão 2ª safra'!$E38:$Z38,MIN(S$6-$E$3,22))),0))-IF($G$2,0,IF((S$6-$G$3)&lt;1,0,IFERROR(LOOKUP(2,1/('Feijão 2ª safra'!$E38:INDEX('Feijão 2ª safra'!$E38:$Z38,MIN(S$6-$G$3,22))&lt;&gt;""),'Feijão 2ª safra'!$E38:INDEX('Feijão 2ª safra'!$E38:$Z38,MIN(S$6-$G$3,22))),0)))))</f>
        <v>0</v>
      </c>
      <c r="T40" s="27" t="n">
        <f aca="false">IF(COUNT('Feijão 2ª safra'!$E38:$Z38)=0,0,MAX(0,IF((T$6-$E$3)&lt;1,0,IFERROR(LOOKUP(2,1/('Feijão 2ª safra'!$E38:INDEX('Feijão 2ª safra'!$E38:$Z38,MIN(T$6-$E$3,22))&lt;&gt;""),'Feijão 2ª safra'!$E38:INDEX('Feijão 2ª safra'!$E38:$Z38,MIN(T$6-$E$3,22))),0))-IF($G$2,0,IF((T$6-$G$3)&lt;1,0,IFERROR(LOOKUP(2,1/('Feijão 2ª safra'!$E38:INDEX('Feijão 2ª safra'!$E38:$Z38,MIN(T$6-$G$3,22))&lt;&gt;""),'Feijão 2ª safra'!$E38:INDEX('Feijão 2ª safra'!$E38:$Z38,MIN(T$6-$G$3,22))),0)))))</f>
        <v>0</v>
      </c>
      <c r="U40" s="27" t="n">
        <f aca="false">IF(COUNT('Feijão 2ª safra'!$E38:$Z38)=0,0,MAX(0,IF((U$6-$E$3)&lt;1,0,IFERROR(LOOKUP(2,1/('Feijão 2ª safra'!$E38:INDEX('Feijão 2ª safra'!$E38:$Z38,MIN(U$6-$E$3,22))&lt;&gt;""),'Feijão 2ª safra'!$E38:INDEX('Feijão 2ª safra'!$E38:$Z38,MIN(U$6-$E$3,22))),0))-IF($G$2,0,IF((U$6-$G$3)&lt;1,0,IFERROR(LOOKUP(2,1/('Feijão 2ª safra'!$E38:INDEX('Feijão 2ª safra'!$E38:$Z38,MIN(U$6-$G$3,22))&lt;&gt;""),'Feijão 2ª safra'!$E38:INDEX('Feijão 2ª safra'!$E38:$Z38,MIN(U$6-$G$3,22))),0)))))</f>
        <v>0</v>
      </c>
      <c r="V40" s="27" t="n">
        <f aca="false">IF(COUNT('Feijão 2ª safra'!$E38:$Z38)=0,0,MAX(0,IF((V$6-$E$3)&lt;1,0,IFERROR(LOOKUP(2,1/('Feijão 2ª safra'!$E38:INDEX('Feijão 2ª safra'!$E38:$Z38,MIN(V$6-$E$3,22))&lt;&gt;""),'Feijão 2ª safra'!$E38:INDEX('Feijão 2ª safra'!$E38:$Z38,MIN(V$6-$E$3,22))),0))-IF($G$2,0,IF((V$6-$G$3)&lt;1,0,IFERROR(LOOKUP(2,1/('Feijão 2ª safra'!$E38:INDEX('Feijão 2ª safra'!$E38:$Z38,MIN(V$6-$G$3,22))&lt;&gt;""),'Feijão 2ª safra'!$E38:INDEX('Feijão 2ª safra'!$E38:$Z38,MIN(V$6-$G$3,22))),0)))))</f>
        <v>0</v>
      </c>
      <c r="W40" s="27" t="n">
        <f aca="false">IF(COUNT('Feijão 2ª safra'!$E38:$Z38)=0,0,MAX(0,IF((W$6-$E$3)&lt;1,0,IFERROR(LOOKUP(2,1/('Feijão 2ª safra'!$E38:INDEX('Feijão 2ª safra'!$E38:$Z38,MIN(W$6-$E$3,22))&lt;&gt;""),'Feijão 2ª safra'!$E38:INDEX('Feijão 2ª safra'!$E38:$Z38,MIN(W$6-$E$3,22))),0))-IF($G$2,0,IF((W$6-$G$3)&lt;1,0,IFERROR(LOOKUP(2,1/('Feijão 2ª safra'!$E38:INDEX('Feijão 2ª safra'!$E38:$Z38,MIN(W$6-$G$3,22))&lt;&gt;""),'Feijão 2ª safra'!$E38:INDEX('Feijão 2ª safra'!$E38:$Z38,MIN(W$6-$G$3,22))),0)))))</f>
        <v>0</v>
      </c>
      <c r="X40" s="27" t="n">
        <f aca="false">IF(COUNT('Feijão 2ª safra'!$E38:$Z38)=0,0,MAX(0,IF((X$6-$E$3)&lt;1,0,IFERROR(LOOKUP(2,1/('Feijão 2ª safra'!$E38:INDEX('Feijão 2ª safra'!$E38:$Z38,MIN(X$6-$E$3,22))&lt;&gt;""),'Feijão 2ª safra'!$E38:INDEX('Feijão 2ª safra'!$E38:$Z38,MIN(X$6-$E$3,22))),0))-IF($G$2,0,IF((X$6-$G$3)&lt;1,0,IFERROR(LOOKUP(2,1/('Feijão 2ª safra'!$E38:INDEX('Feijão 2ª safra'!$E38:$Z38,MIN(X$6-$G$3,22))&lt;&gt;""),'Feijão 2ª safra'!$E38:INDEX('Feijão 2ª safra'!$E38:$Z38,MIN(X$6-$G$3,22))),0)))))</f>
        <v>0</v>
      </c>
      <c r="Y40" s="27" t="n">
        <f aca="false">IF(COUNT('Feijão 2ª safra'!$E38:$Z38)=0,0,MAX(0,IF((Y$6-$E$3)&lt;1,0,IFERROR(LOOKUP(2,1/('Feijão 2ª safra'!$E38:INDEX('Feijão 2ª safra'!$E38:$Z38,MIN(Y$6-$E$3,22))&lt;&gt;""),'Feijão 2ª safra'!$E38:INDEX('Feijão 2ª safra'!$E38:$Z38,MIN(Y$6-$E$3,22))),0))-IF($G$2,0,IF((Y$6-$G$3)&lt;1,0,IFERROR(LOOKUP(2,1/('Feijão 2ª safra'!$E38:INDEX('Feijão 2ª safra'!$E38:$Z38,MIN(Y$6-$G$3,22))&lt;&gt;""),'Feijão 2ª safra'!$E38:INDEX('Feijão 2ª safra'!$E38:$Z38,MIN(Y$6-$G$3,22))),0)))))</f>
        <v>0</v>
      </c>
      <c r="Z40" s="27" t="n">
        <f aca="false">IF(COUNT('Feijão 2ª safra'!$E38:$Z38)=0,0,MAX(0,IF((Z$6-$E$3)&lt;1,0,IFERROR(LOOKUP(2,1/('Feijão 2ª safra'!$E38:INDEX('Feijão 2ª safra'!$E38:$Z38,MIN(Z$6-$E$3,22))&lt;&gt;""),'Feijão 2ª safra'!$E38:INDEX('Feijão 2ª safra'!$E38:$Z38,MIN(Z$6-$E$3,22))),0))-IF($G$2,0,IF((Z$6-$G$3)&lt;1,0,IFERROR(LOOKUP(2,1/('Feijão 2ª safra'!$E38:INDEX('Feijão 2ª safra'!$E38:$Z38,MIN(Z$6-$G$3,22))&lt;&gt;""),'Feijão 2ª safra'!$E38:INDEX('Feijão 2ª safra'!$E38:$Z38,MIN(Z$6-$G$3,22))),0)))))</f>
        <v>0</v>
      </c>
      <c r="AA40" s="27" t="n">
        <f aca="false">IF(COUNT('Feijão 2ª safra'!$E38:$Z38)=0,0,MAX(0,IF((AA$6-$E$3)&lt;1,0,IFERROR(LOOKUP(2,1/('Feijão 2ª safra'!$E38:INDEX('Feijão 2ª safra'!$E38:$Z38,MIN(AA$6-$E$3,22))&lt;&gt;""),'Feijão 2ª safra'!$E38:INDEX('Feijão 2ª safra'!$E38:$Z38,MIN(AA$6-$E$3,22))),0))-IF($G$2,0,IF((AA$6-$G$3)&lt;1,0,IFERROR(LOOKUP(2,1/('Feijão 2ª safra'!$E38:INDEX('Feijão 2ª safra'!$E38:$Z38,MIN(AA$6-$G$3,22))&lt;&gt;""),'Feijão 2ª safra'!$E38:INDEX('Feijão 2ª safra'!$E38:$Z38,MIN(AA$6-$G$3,22))),0)))))</f>
        <v>0</v>
      </c>
      <c r="AB40" s="27" t="n">
        <f aca="false">IF(COUNT('Feijão 2ª safra'!$E38:$Z38)=0,0,MAX(0,IF((AB$6-$E$3)&lt;1,0,IFERROR(LOOKUP(2,1/('Feijão 2ª safra'!$E38:INDEX('Feijão 2ª safra'!$E38:$Z38,MIN(AB$6-$E$3,22))&lt;&gt;""),'Feijão 2ª safra'!$E38:INDEX('Feijão 2ª safra'!$E38:$Z38,MIN(AB$6-$E$3,22))),0))-IF($G$2,0,IF((AB$6-$G$3)&lt;1,0,IFERROR(LOOKUP(2,1/('Feijão 2ª safra'!$E38:INDEX('Feijão 2ª safra'!$E38:$Z38,MIN(AB$6-$G$3,22))&lt;&gt;""),'Feijão 2ª safra'!$E38:INDEX('Feijão 2ª safra'!$E38:$Z38,MIN(AB$6-$G$3,22))),0)))))</f>
        <v>0</v>
      </c>
      <c r="AC40" s="27" t="n">
        <f aca="false">IF(COUNT('Feijão 2ª safra'!$E38:$Z38)=0,0,MAX(0,IF((AC$6-$E$3)&lt;1,0,IFERROR(LOOKUP(2,1/('Feijão 2ª safra'!$E38:INDEX('Feijão 2ª safra'!$E38:$Z38,MIN(AC$6-$E$3,22))&lt;&gt;""),'Feijão 2ª safra'!$E38:INDEX('Feijão 2ª safra'!$E38:$Z38,MIN(AC$6-$E$3,22))),0))-IF($G$2,0,IF((AC$6-$G$3)&lt;1,0,IFERROR(LOOKUP(2,1/('Feijão 2ª safra'!$E38:INDEX('Feijão 2ª safra'!$E38:$Z38,MIN(AC$6-$G$3,22))&lt;&gt;""),'Feijão 2ª safra'!$E38:INDEX('Feijão 2ª safra'!$E38:$Z38,MIN(AC$6-$G$3,22))),0)))))</f>
        <v>0</v>
      </c>
      <c r="AD40" s="27" t="n">
        <f aca="false">IF(COUNT('Feijão 2ª safra'!$E38:$Z38)=0,0,MAX(0,IF((AD$6-$E$3)&lt;1,0,IFERROR(LOOKUP(2,1/('Feijão 2ª safra'!$E38:INDEX('Feijão 2ª safra'!$E38:$Z38,MIN(AD$6-$E$3,22))&lt;&gt;""),'Feijão 2ª safra'!$E38:INDEX('Feijão 2ª safra'!$E38:$Z38,MIN(AD$6-$E$3,22))),0))-IF($G$2,0,IF((AD$6-$G$3)&lt;1,0,IFERROR(LOOKUP(2,1/('Feijão 2ª safra'!$E38:INDEX('Feijão 2ª safra'!$E38:$Z38,MIN(AD$6-$G$3,22))&lt;&gt;""),'Feijão 2ª safra'!$E38:INDEX('Feijão 2ª safra'!$E38:$Z38,MIN(AD$6-$G$3,22))),0)))))</f>
        <v>0</v>
      </c>
      <c r="AE40" s="27" t="n">
        <f aca="false">IF(COUNT('Feijão 2ª safra'!$E38:$Z38)=0,0,MAX(0,IF((AE$6-$E$3)&lt;1,0,IFERROR(LOOKUP(2,1/('Feijão 2ª safra'!$E38:INDEX('Feijão 2ª safra'!$E38:$Z38,MIN(AE$6-$E$3,22))&lt;&gt;""),'Feijão 2ª safra'!$E38:INDEX('Feijão 2ª safra'!$E38:$Z38,MIN(AE$6-$E$3,22))),0))-IF($G$2,0,IF((AE$6-$G$3)&lt;1,0,IFERROR(LOOKUP(2,1/('Feijão 2ª safra'!$E38:INDEX('Feijão 2ª safra'!$E38:$Z38,MIN(AE$6-$G$3,22))&lt;&gt;""),'Feijão 2ª safra'!$E38:INDEX('Feijão 2ª safra'!$E38:$Z38,MIN(AE$6-$G$3,22))),0)))))</f>
        <v>0</v>
      </c>
      <c r="AF40" s="27" t="n">
        <f aca="false">IF(COUNT('Feijão 2ª safra'!$E38:$Z38)=0,0,MAX(0,IF((AF$6-$E$3)&lt;1,0,IFERROR(LOOKUP(2,1/('Feijão 2ª safra'!$E38:INDEX('Feijão 2ª safra'!$E38:$Z38,MIN(AF$6-$E$3,22))&lt;&gt;""),'Feijão 2ª safra'!$E38:INDEX('Feijão 2ª safra'!$E38:$Z38,MIN(AF$6-$E$3,22))),0))-IF($G$2,0,IF((AF$6-$G$3)&lt;1,0,IFERROR(LOOKUP(2,1/('Feijão 2ª safra'!$E38:INDEX('Feijão 2ª safra'!$E38:$Z38,MIN(AF$6-$G$3,22))&lt;&gt;""),'Feijão 2ª safra'!$E38:INDEX('Feijão 2ª safra'!$E38:$Z38,MIN(AF$6-$G$3,22))),0)))))</f>
        <v>0</v>
      </c>
      <c r="AG40" s="27" t="n">
        <f aca="false">IF(COUNT('Feijão 2ª safra'!$E38:$Z38)=0,0,MAX(0,IF((AG$6-$E$3)&lt;1,0,IFERROR(LOOKUP(2,1/('Feijão 2ª safra'!$E38:INDEX('Feijão 2ª safra'!$E38:$Z38,MIN(AG$6-$E$3,22))&lt;&gt;""),'Feijão 2ª safra'!$E38:INDEX('Feijão 2ª safra'!$E38:$Z38,MIN(AG$6-$E$3,22))),0))-IF($G$2,0,IF((AG$6-$G$3)&lt;1,0,IFERROR(LOOKUP(2,1/('Feijão 2ª safra'!$E38:INDEX('Feijão 2ª safra'!$E38:$Z38,MIN(AG$6-$G$3,22))&lt;&gt;""),'Feijão 2ª safra'!$E38:INDEX('Feijão 2ª safra'!$E38:$Z38,MIN(AG$6-$G$3,22))),0)))))</f>
        <v>0</v>
      </c>
      <c r="AH40" s="27" t="n">
        <f aca="false">IF(COUNT('Feijão 2ª safra'!$E38:$Z38)=0,0,MAX(0,IF((AH$6-$E$3)&lt;1,0,IFERROR(LOOKUP(2,1/('Feijão 2ª safra'!$E38:INDEX('Feijão 2ª safra'!$E38:$Z38,MIN(AH$6-$E$3,22))&lt;&gt;""),'Feijão 2ª safra'!$E38:INDEX('Feijão 2ª safra'!$E38:$Z38,MIN(AH$6-$E$3,22))),0))-IF($G$2,0,IF((AH$6-$G$3)&lt;1,0,IFERROR(LOOKUP(2,1/('Feijão 2ª safra'!$E38:INDEX('Feijão 2ª safra'!$E38:$Z38,MIN(AH$6-$G$3,22))&lt;&gt;""),'Feijão 2ª safra'!$E38:INDEX('Feijão 2ª safra'!$E38:$Z38,MIN(AH$6-$G$3,22))),0)))))</f>
        <v>0</v>
      </c>
      <c r="AI40" s="27" t="n">
        <f aca="false">IF(COUNT('Feijão 2ª safra'!$E38:$Z38)=0,0,MAX(0,IF((AI$6-$E$3)&lt;1,0,IFERROR(LOOKUP(2,1/('Feijão 2ª safra'!$E38:INDEX('Feijão 2ª safra'!$E38:$Z38,MIN(AI$6-$E$3,22))&lt;&gt;""),'Feijão 2ª safra'!$E38:INDEX('Feijão 2ª safra'!$E38:$Z38,MIN(AI$6-$E$3,22))),0))-IF($G$2,0,IF((AI$6-$G$3)&lt;1,0,IFERROR(LOOKUP(2,1/('Feijão 2ª safra'!$E38:INDEX('Feijão 2ª safra'!$E38:$Z38,MIN(AI$6-$G$3,22))&lt;&gt;""),'Feijão 2ª safra'!$E38:INDEX('Feijão 2ª safra'!$E38:$Z38,MIN(AI$6-$G$3,22))),0)))))</f>
        <v>0</v>
      </c>
      <c r="AJ40" s="27" t="n">
        <f aca="false">IF(COUNT('Feijão 2ª safra'!$E38:$Z38)=0,0,MAX(0,IF((AJ$6-$E$3)&lt;1,0,IFERROR(LOOKUP(2,1/('Feijão 2ª safra'!$E38:INDEX('Feijão 2ª safra'!$E38:$Z38,MIN(AJ$6-$E$3,22))&lt;&gt;""),'Feijão 2ª safra'!$E38:INDEX('Feijão 2ª safra'!$E38:$Z38,MIN(AJ$6-$E$3,22))),0))-IF($G$2,0,IF((AJ$6-$G$3)&lt;1,0,IFERROR(LOOKUP(2,1/('Feijão 2ª safra'!$E38:INDEX('Feijão 2ª safra'!$E38:$Z38,MIN(AJ$6-$G$3,22))&lt;&gt;""),'Feijão 2ª safra'!$E38:INDEX('Feijão 2ª safra'!$E38:$Z38,MIN(AJ$6-$G$3,22))),0)))))</f>
        <v>0</v>
      </c>
      <c r="AK40" s="27" t="n">
        <f aca="false">IF(COUNT('Feijão 2ª safra'!$E38:$Z38)=0,0,MAX(0,IF((AK$6-$E$3)&lt;1,0,IFERROR(LOOKUP(2,1/('Feijão 2ª safra'!$E38:INDEX('Feijão 2ª safra'!$E38:$Z38,MIN(AK$6-$E$3,22))&lt;&gt;""),'Feijão 2ª safra'!$E38:INDEX('Feijão 2ª safra'!$E38:$Z38,MIN(AK$6-$E$3,22))),0))-IF($G$2,0,IF((AK$6-$G$3)&lt;1,0,IFERROR(LOOKUP(2,1/('Feijão 2ª safra'!$E38:INDEX('Feijão 2ª safra'!$E38:$Z38,MIN(AK$6-$G$3,22))&lt;&gt;""),'Feijão 2ª safra'!$E38:INDEX('Feijão 2ª safra'!$E38:$Z38,MIN(AK$6-$G$3,22))),0)))))</f>
        <v>0</v>
      </c>
      <c r="AL40" s="27" t="n">
        <f aca="false">IF(COUNT('Feijão 2ª safra'!$E38:$Z38)=0,0,MAX(0,IF((AL$6-$E$3)&lt;1,0,IFERROR(LOOKUP(2,1/('Feijão 2ª safra'!$E38:INDEX('Feijão 2ª safra'!$E38:$Z38,MIN(AL$6-$E$3,22))&lt;&gt;""),'Feijão 2ª safra'!$E38:INDEX('Feijão 2ª safra'!$E38:$Z38,MIN(AL$6-$E$3,22))),0))-IF($G$2,0,IF((AL$6-$G$3)&lt;1,0,IFERROR(LOOKUP(2,1/('Feijão 2ª safra'!$E38:INDEX('Feijão 2ª safra'!$E38:$Z38,MIN(AL$6-$G$3,22))&lt;&gt;""),'Feijão 2ª safra'!$E38:INDEX('Feijão 2ª safra'!$E38:$Z38,MIN(AL$6-$G$3,22))),0)))))</f>
        <v>0</v>
      </c>
      <c r="AM40" s="27" t="n">
        <f aca="false">IF(COUNT('Feijão 2ª safra'!$E38:$Z38)=0,0,MAX(0,IF((AM$6-$E$3)&lt;1,0,IFERROR(LOOKUP(2,1/('Feijão 2ª safra'!$E38:INDEX('Feijão 2ª safra'!$E38:$Z38,MIN(AM$6-$E$3,22))&lt;&gt;""),'Feijão 2ª safra'!$E38:INDEX('Feijão 2ª safra'!$E38:$Z38,MIN(AM$6-$E$3,22))),0))-IF($G$2,0,IF((AM$6-$G$3)&lt;1,0,IFERROR(LOOKUP(2,1/('Feijão 2ª safra'!$E38:INDEX('Feijão 2ª safra'!$E38:$Z38,MIN(AM$6-$G$3,22))&lt;&gt;""),'Feijão 2ª safra'!$E38:INDEX('Feijão 2ª safra'!$E38:$Z38,MIN(AM$6-$G$3,22))),0)))))</f>
        <v>0</v>
      </c>
      <c r="AN40" s="27" t="n">
        <f aca="false">IF(COUNT('Feijão 2ª safra'!$E38:$Z38)=0,0,MAX(0,IF((AN$6-$E$3)&lt;1,0,IFERROR(LOOKUP(2,1/('Feijão 2ª safra'!$E38:INDEX('Feijão 2ª safra'!$E38:$Z38,MIN(AN$6-$E$3,22))&lt;&gt;""),'Feijão 2ª safra'!$E38:INDEX('Feijão 2ª safra'!$E38:$Z38,MIN(AN$6-$E$3,22))),0))-IF($G$2,0,IF((AN$6-$G$3)&lt;1,0,IFERROR(LOOKUP(2,1/('Feijão 2ª safra'!$E38:INDEX('Feijão 2ª safra'!$E38:$Z38,MIN(AN$6-$G$3,22))&lt;&gt;""),'Feijão 2ª safra'!$E38:INDEX('Feijão 2ª safra'!$E38:$Z38,MIN(AN$6-$G$3,22))),0)))))</f>
        <v>0</v>
      </c>
      <c r="AO40" s="27" t="n">
        <f aca="false">IF(COUNT('Feijão 2ª safra'!$E38:$Z38)=0,0,MAX(0,IF((AO$6-$E$3)&lt;1,0,IFERROR(LOOKUP(2,1/('Feijão 2ª safra'!$E38:INDEX('Feijão 2ª safra'!$E38:$Z38,MIN(AO$6-$E$3,22))&lt;&gt;""),'Feijão 2ª safra'!$E38:INDEX('Feijão 2ª safra'!$E38:$Z38,MIN(AO$6-$E$3,22))),0))-IF($G$2,0,IF((AO$6-$G$3)&lt;1,0,IFERROR(LOOKUP(2,1/('Feijão 2ª safra'!$E38:INDEX('Feijão 2ª safra'!$E38:$Z38,MIN(AO$6-$G$3,22))&lt;&gt;""),'Feijão 2ª safra'!$E38:INDEX('Feijão 2ª safra'!$E38:$Z38,MIN(AO$6-$G$3,22))),0)))))</f>
        <v>0</v>
      </c>
      <c r="AP40" s="27" t="n">
        <f aca="false">IF(COUNT('Feijão 2ª safra'!$E38:$Z38)=0,0,MAX(0,IF((AP$6-$E$3)&lt;1,0,IFERROR(LOOKUP(2,1/('Feijão 2ª safra'!$E38:INDEX('Feijão 2ª safra'!$E38:$Z38,MIN(AP$6-$E$3,22))&lt;&gt;""),'Feijão 2ª safra'!$E38:INDEX('Feijão 2ª safra'!$E38:$Z38,MIN(AP$6-$E$3,22))),0))-IF($G$2,0,IF((AP$6-$G$3)&lt;1,0,IFERROR(LOOKUP(2,1/('Feijão 2ª safra'!$E38:INDEX('Feijão 2ª safra'!$E38:$Z38,MIN(AP$6-$G$3,22))&lt;&gt;""),'Feijão 2ª safra'!$E38:INDEX('Feijão 2ª safra'!$E38:$Z38,MIN(AP$6-$G$3,22))),0)))))</f>
        <v>0</v>
      </c>
      <c r="AQ40" s="27" t="n">
        <f aca="false">IF(COUNT('Feijão 2ª safra'!$E38:$Z38)=0,0,MAX(0,IF((AQ$6-$E$3)&lt;1,0,IFERROR(LOOKUP(2,1/('Feijão 2ª safra'!$E38:INDEX('Feijão 2ª safra'!$E38:$Z38,MIN(AQ$6-$E$3,22))&lt;&gt;""),'Feijão 2ª safra'!$E38:INDEX('Feijão 2ª safra'!$E38:$Z38,MIN(AQ$6-$E$3,22))),0))-IF($G$2,0,IF((AQ$6-$G$3)&lt;1,0,IFERROR(LOOKUP(2,1/('Feijão 2ª safra'!$E38:INDEX('Feijão 2ª safra'!$E38:$Z38,MIN(AQ$6-$G$3,22))&lt;&gt;""),'Feijão 2ª safra'!$E38:INDEX('Feijão 2ª safra'!$E38:$Z38,MIN(AQ$6-$G$3,22))),0)))))</f>
        <v>0</v>
      </c>
      <c r="AR40" s="27" t="n">
        <f aca="false">IF(COUNT('Feijão 2ª safra'!$E38:$Z38)=0,0,MAX(0,IF((AR$6-$E$3)&lt;1,0,IFERROR(LOOKUP(2,1/('Feijão 2ª safra'!$E38:INDEX('Feijão 2ª safra'!$E38:$Z38,MIN(AR$6-$E$3,22))&lt;&gt;""),'Feijão 2ª safra'!$E38:INDEX('Feijão 2ª safra'!$E38:$Z38,MIN(AR$6-$E$3,22))),0))-IF($G$2,0,IF((AR$6-$G$3)&lt;1,0,IFERROR(LOOKUP(2,1/('Feijão 2ª safra'!$E38:INDEX('Feijão 2ª safra'!$E38:$Z38,MIN(AR$6-$G$3,22))&lt;&gt;""),'Feijão 2ª safra'!$E38:INDEX('Feijão 2ª safra'!$E38:$Z38,MIN(AR$6-$G$3,22))),0)))))</f>
        <v>0</v>
      </c>
      <c r="AS40" s="27" t="n">
        <f aca="false">IF(COUNT('Feijão 2ª safra'!$E38:$Z38)=0,0,MAX(0,IF((AS$6-$E$3)&lt;1,0,IFERROR(LOOKUP(2,1/('Feijão 2ª safra'!$E38:INDEX('Feijão 2ª safra'!$E38:$Z38,MIN(AS$6-$E$3,22))&lt;&gt;""),'Feijão 2ª safra'!$E38:INDEX('Feijão 2ª safra'!$E38:$Z38,MIN(AS$6-$E$3,22))),0))-IF($G$2,0,IF((AS$6-$G$3)&lt;1,0,IFERROR(LOOKUP(2,1/('Feijão 2ª safra'!$E38:INDEX('Feijão 2ª safra'!$E38:$Z38,MIN(AS$6-$G$3,22))&lt;&gt;""),'Feijão 2ª safra'!$E38:INDEX('Feijão 2ª safra'!$E38:$Z38,MIN(AS$6-$G$3,22))),0)))))</f>
        <v>0</v>
      </c>
      <c r="AT40" s="27" t="n">
        <f aca="false">IF(COUNT('Feijão 2ª safra'!$E38:$Z38)=0,0,MAX(0,IF((AT$6-$E$3)&lt;1,0,IFERROR(LOOKUP(2,1/('Feijão 2ª safra'!$E38:INDEX('Feijão 2ª safra'!$E38:$Z38,MIN(AT$6-$E$3,22))&lt;&gt;""),'Feijão 2ª safra'!$E38:INDEX('Feijão 2ª safra'!$E38:$Z38,MIN(AT$6-$E$3,22))),0))-IF($G$2,0,IF((AT$6-$G$3)&lt;1,0,IFERROR(LOOKUP(2,1/('Feijão 2ª safra'!$E38:INDEX('Feijão 2ª safra'!$E38:$Z38,MIN(AT$6-$G$3,22))&lt;&gt;""),'Feijão 2ª safra'!$E38:INDEX('Feijão 2ª safra'!$E38:$Z38,MIN(AT$6-$G$3,22))),0)))))</f>
        <v>0</v>
      </c>
      <c r="AU40" s="27" t="n">
        <f aca="false">IF(COUNT('Feijão 2ª safra'!$E38:$Z38)=0,0,MAX(0,IF((AU$6-$E$3)&lt;1,0,IFERROR(LOOKUP(2,1/('Feijão 2ª safra'!$E38:INDEX('Feijão 2ª safra'!$E38:$Z38,MIN(AU$6-$E$3,22))&lt;&gt;""),'Feijão 2ª safra'!$E38:INDEX('Feijão 2ª safra'!$E38:$Z38,MIN(AU$6-$E$3,22))),0))-IF($G$2,0,IF((AU$6-$G$3)&lt;1,0,IFERROR(LOOKUP(2,1/('Feijão 2ª safra'!$E38:INDEX('Feijão 2ª safra'!$E38:$Z38,MIN(AU$6-$G$3,22))&lt;&gt;""),'Feijão 2ª safra'!$E38:INDEX('Feijão 2ª safra'!$E38:$Z38,MIN(AU$6-$G$3,22))),0)))))</f>
        <v>0</v>
      </c>
      <c r="AV40" s="27" t="n">
        <f aca="false">IF(COUNT('Feijão 2ª safra'!$E38:$Z38)=0,0,MAX(0,IF((AV$6-$E$3)&lt;1,0,IFERROR(LOOKUP(2,1/('Feijão 2ª safra'!$E38:INDEX('Feijão 2ª safra'!$E38:$Z38,MIN(AV$6-$E$3,22))&lt;&gt;""),'Feijão 2ª safra'!$E38:INDEX('Feijão 2ª safra'!$E38:$Z38,MIN(AV$6-$E$3,22))),0))-IF($G$2,0,IF((AV$6-$G$3)&lt;1,0,IFERROR(LOOKUP(2,1/('Feijão 2ª safra'!$E38:INDEX('Feijão 2ª safra'!$E38:$Z38,MIN(AV$6-$G$3,22))&lt;&gt;""),'Feijão 2ª safra'!$E38:INDEX('Feijão 2ª safra'!$E38:$Z38,MIN(AV$6-$G$3,22))),0)))))</f>
        <v>0</v>
      </c>
      <c r="AW40" s="27" t="n">
        <f aca="false">IF(COUNT('Feijão 2ª safra'!$E38:$Z38)=0,0,MAX(0,IF((AW$6-$E$3)&lt;1,0,IFERROR(LOOKUP(2,1/('Feijão 2ª safra'!$E38:INDEX('Feijão 2ª safra'!$E38:$Z38,MIN(AW$6-$E$3,22))&lt;&gt;""),'Feijão 2ª safra'!$E38:INDEX('Feijão 2ª safra'!$E38:$Z38,MIN(AW$6-$E$3,22))),0))-IF($G$2,0,IF((AW$6-$G$3)&lt;1,0,IFERROR(LOOKUP(2,1/('Feijão 2ª safra'!$E38:INDEX('Feijão 2ª safra'!$E38:$Z38,MIN(AW$6-$G$3,22))&lt;&gt;""),'Feijão 2ª safra'!$E38:INDEX('Feijão 2ª safra'!$E38:$Z38,MIN(AW$6-$G$3,22))),0)))))</f>
        <v>0</v>
      </c>
      <c r="AX40" s="27" t="n">
        <f aca="false">IF(COUNT('Feijão 2ª safra'!$E38:$Z38)=0,0,MAX(0,IF((AX$6-$E$3)&lt;1,0,IFERROR(LOOKUP(2,1/('Feijão 2ª safra'!$E38:INDEX('Feijão 2ª safra'!$E38:$Z38,MIN(AX$6-$E$3,22))&lt;&gt;""),'Feijão 2ª safra'!$E38:INDEX('Feijão 2ª safra'!$E38:$Z38,MIN(AX$6-$E$3,22))),0))-IF($G$2,0,IF((AX$6-$G$3)&lt;1,0,IFERROR(LOOKUP(2,1/('Feijão 2ª safra'!$E38:INDEX('Feijão 2ª safra'!$E38:$Z38,MIN(AX$6-$G$3,22))&lt;&gt;""),'Feijão 2ª safra'!$E38:INDEX('Feijão 2ª safra'!$E38:$Z38,MIN(AX$6-$G$3,22))),0)))))</f>
        <v>0</v>
      </c>
      <c r="AY40" s="27" t="n">
        <f aca="false">IF(COUNT('Feijão 2ª safra'!$E38:$Z38)=0,0,MAX(0,IF((AY$6-$E$3)&lt;1,0,IFERROR(LOOKUP(2,1/('Feijão 2ª safra'!$E38:INDEX('Feijão 2ª safra'!$E38:$Z38,MIN(AY$6-$E$3,22))&lt;&gt;""),'Feijão 2ª safra'!$E38:INDEX('Feijão 2ª safra'!$E38:$Z38,MIN(AY$6-$E$3,22))),0))-IF($G$2,0,IF((AY$6-$G$3)&lt;1,0,IFERROR(LOOKUP(2,1/('Feijão 2ª safra'!$E38:INDEX('Feijão 2ª safra'!$E38:$Z38,MIN(AY$6-$G$3,22))&lt;&gt;""),'Feijão 2ª safra'!$E38:INDEX('Feijão 2ª safra'!$E38:$Z38,MIN(AY$6-$G$3,22))),0)))))</f>
        <v>0</v>
      </c>
      <c r="AZ40" s="27" t="n">
        <f aca="false">IF(COUNT('Feijão 2ª safra'!$E38:$Z38)=0,0,MAX(0,IF((AZ$6-$E$3)&lt;1,0,IFERROR(LOOKUP(2,1/('Feijão 2ª safra'!$E38:INDEX('Feijão 2ª safra'!$E38:$Z38,MIN(AZ$6-$E$3,22))&lt;&gt;""),'Feijão 2ª safra'!$E38:INDEX('Feijão 2ª safra'!$E38:$Z38,MIN(AZ$6-$E$3,22))),0))-IF($G$2,0,IF((AZ$6-$G$3)&lt;1,0,IFERROR(LOOKUP(2,1/('Feijão 2ª safra'!$E38:INDEX('Feijão 2ª safra'!$E38:$Z38,MIN(AZ$6-$G$3,22))&lt;&gt;""),'Feijão 2ª safra'!$E38:INDEX('Feijão 2ª safra'!$E38:$Z38,MIN(AZ$6-$G$3,22))),0)))))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IF(COUNT('Feijão 2ª safra'!$E39:$Z39)&gt;0,N('Feijão 2ª safra'!$D39),0)</f>
        <v>0</v>
      </c>
      <c r="E41" s="27" t="n">
        <f aca="false">IF(COUNT('Feijão 2ª safra'!$E39:$Z39)=0,0,MAX(0,IF((E$6-$E$3)&lt;1,0,IFERROR(LOOKUP(2,1/('Feijão 2ª safra'!$E39:INDEX('Feijão 2ª safra'!$E39:$Z39,MIN(E$6-$E$3,22))&lt;&gt;""),'Feijão 2ª safra'!$E39:INDEX('Feijão 2ª safra'!$E39:$Z39,MIN(E$6-$E$3,22))),0))-IF($G$2,0,IF((E$6-$G$3)&lt;1,0,IFERROR(LOOKUP(2,1/('Feijão 2ª safra'!$E39:INDEX('Feijão 2ª safra'!$E39:$Z39,MIN(E$6-$G$3,22))&lt;&gt;""),'Feijão 2ª safra'!$E39:INDEX('Feijão 2ª safra'!$E39:$Z39,MIN(E$6-$G$3,22))),0)))))</f>
        <v>0</v>
      </c>
      <c r="F41" s="27" t="n">
        <f aca="false">IF(COUNT('Feijão 2ª safra'!$E39:$Z39)=0,0,MAX(0,IF((F$6-$E$3)&lt;1,0,IFERROR(LOOKUP(2,1/('Feijão 2ª safra'!$E39:INDEX('Feijão 2ª safra'!$E39:$Z39,MIN(F$6-$E$3,22))&lt;&gt;""),'Feijão 2ª safra'!$E39:INDEX('Feijão 2ª safra'!$E39:$Z39,MIN(F$6-$E$3,22))),0))-IF($G$2,0,IF((F$6-$G$3)&lt;1,0,IFERROR(LOOKUP(2,1/('Feijão 2ª safra'!$E39:INDEX('Feijão 2ª safra'!$E39:$Z39,MIN(F$6-$G$3,22))&lt;&gt;""),'Feijão 2ª safra'!$E39:INDEX('Feijão 2ª safra'!$E39:$Z39,MIN(F$6-$G$3,22))),0)))))</f>
        <v>0</v>
      </c>
      <c r="G41" s="27" t="n">
        <f aca="false">IF(COUNT('Feijão 2ª safra'!$E39:$Z39)=0,0,MAX(0,IF((G$6-$E$3)&lt;1,0,IFERROR(LOOKUP(2,1/('Feijão 2ª safra'!$E39:INDEX('Feijão 2ª safra'!$E39:$Z39,MIN(G$6-$E$3,22))&lt;&gt;""),'Feijão 2ª safra'!$E39:INDEX('Feijão 2ª safra'!$E39:$Z39,MIN(G$6-$E$3,22))),0))-IF($G$2,0,IF((G$6-$G$3)&lt;1,0,IFERROR(LOOKUP(2,1/('Feijão 2ª safra'!$E39:INDEX('Feijão 2ª safra'!$E39:$Z39,MIN(G$6-$G$3,22))&lt;&gt;""),'Feijão 2ª safra'!$E39:INDEX('Feijão 2ª safra'!$E39:$Z39,MIN(G$6-$G$3,22))),0)))))</f>
        <v>0</v>
      </c>
      <c r="H41" s="27" t="n">
        <f aca="false">IF(COUNT('Feijão 2ª safra'!$E39:$Z39)=0,0,MAX(0,IF((H$6-$E$3)&lt;1,0,IFERROR(LOOKUP(2,1/('Feijão 2ª safra'!$E39:INDEX('Feijão 2ª safra'!$E39:$Z39,MIN(H$6-$E$3,22))&lt;&gt;""),'Feijão 2ª safra'!$E39:INDEX('Feijão 2ª safra'!$E39:$Z39,MIN(H$6-$E$3,22))),0))-IF($G$2,0,IF((H$6-$G$3)&lt;1,0,IFERROR(LOOKUP(2,1/('Feijão 2ª safra'!$E39:INDEX('Feijão 2ª safra'!$E39:$Z39,MIN(H$6-$G$3,22))&lt;&gt;""),'Feijão 2ª safra'!$E39:INDEX('Feijão 2ª safra'!$E39:$Z39,MIN(H$6-$G$3,22))),0)))))</f>
        <v>0</v>
      </c>
      <c r="I41" s="27" t="n">
        <f aca="false">IF(COUNT('Feijão 2ª safra'!$E39:$Z39)=0,0,MAX(0,IF((I$6-$E$3)&lt;1,0,IFERROR(LOOKUP(2,1/('Feijão 2ª safra'!$E39:INDEX('Feijão 2ª safra'!$E39:$Z39,MIN(I$6-$E$3,22))&lt;&gt;""),'Feijão 2ª safra'!$E39:INDEX('Feijão 2ª safra'!$E39:$Z39,MIN(I$6-$E$3,22))),0))-IF($G$2,0,IF((I$6-$G$3)&lt;1,0,IFERROR(LOOKUP(2,1/('Feijão 2ª safra'!$E39:INDEX('Feijão 2ª safra'!$E39:$Z39,MIN(I$6-$G$3,22))&lt;&gt;""),'Feijão 2ª safra'!$E39:INDEX('Feijão 2ª safra'!$E39:$Z39,MIN(I$6-$G$3,22))),0)))))</f>
        <v>0</v>
      </c>
      <c r="J41" s="27" t="n">
        <f aca="false">IF(COUNT('Feijão 2ª safra'!$E39:$Z39)=0,0,MAX(0,IF((J$6-$E$3)&lt;1,0,IFERROR(LOOKUP(2,1/('Feijão 2ª safra'!$E39:INDEX('Feijão 2ª safra'!$E39:$Z39,MIN(J$6-$E$3,22))&lt;&gt;""),'Feijão 2ª safra'!$E39:INDEX('Feijão 2ª safra'!$E39:$Z39,MIN(J$6-$E$3,22))),0))-IF($G$2,0,IF((J$6-$G$3)&lt;1,0,IFERROR(LOOKUP(2,1/('Feijão 2ª safra'!$E39:INDEX('Feijão 2ª safra'!$E39:$Z39,MIN(J$6-$G$3,22))&lt;&gt;""),'Feijão 2ª safra'!$E39:INDEX('Feijão 2ª safra'!$E39:$Z39,MIN(J$6-$G$3,22))),0)))))</f>
        <v>0</v>
      </c>
      <c r="K41" s="27" t="n">
        <f aca="false">IF(COUNT('Feijão 2ª safra'!$E39:$Z39)=0,0,MAX(0,IF((K$6-$E$3)&lt;1,0,IFERROR(LOOKUP(2,1/('Feijão 2ª safra'!$E39:INDEX('Feijão 2ª safra'!$E39:$Z39,MIN(K$6-$E$3,22))&lt;&gt;""),'Feijão 2ª safra'!$E39:INDEX('Feijão 2ª safra'!$E39:$Z39,MIN(K$6-$E$3,22))),0))-IF($G$2,0,IF((K$6-$G$3)&lt;1,0,IFERROR(LOOKUP(2,1/('Feijão 2ª safra'!$E39:INDEX('Feijão 2ª safra'!$E39:$Z39,MIN(K$6-$G$3,22))&lt;&gt;""),'Feijão 2ª safra'!$E39:INDEX('Feijão 2ª safra'!$E39:$Z39,MIN(K$6-$G$3,22))),0)))))</f>
        <v>0</v>
      </c>
      <c r="L41" s="27" t="n">
        <f aca="false">IF(COUNT('Feijão 2ª safra'!$E39:$Z39)=0,0,MAX(0,IF((L$6-$E$3)&lt;1,0,IFERROR(LOOKUP(2,1/('Feijão 2ª safra'!$E39:INDEX('Feijão 2ª safra'!$E39:$Z39,MIN(L$6-$E$3,22))&lt;&gt;""),'Feijão 2ª safra'!$E39:INDEX('Feijão 2ª safra'!$E39:$Z39,MIN(L$6-$E$3,22))),0))-IF($G$2,0,IF((L$6-$G$3)&lt;1,0,IFERROR(LOOKUP(2,1/('Feijão 2ª safra'!$E39:INDEX('Feijão 2ª safra'!$E39:$Z39,MIN(L$6-$G$3,22))&lt;&gt;""),'Feijão 2ª safra'!$E39:INDEX('Feijão 2ª safra'!$E39:$Z39,MIN(L$6-$G$3,22))),0)))))</f>
        <v>0</v>
      </c>
      <c r="M41" s="27" t="n">
        <f aca="false">IF(COUNT('Feijão 2ª safra'!$E39:$Z39)=0,0,MAX(0,IF((M$6-$E$3)&lt;1,0,IFERROR(LOOKUP(2,1/('Feijão 2ª safra'!$E39:INDEX('Feijão 2ª safra'!$E39:$Z39,MIN(M$6-$E$3,22))&lt;&gt;""),'Feijão 2ª safra'!$E39:INDEX('Feijão 2ª safra'!$E39:$Z39,MIN(M$6-$E$3,22))),0))-IF($G$2,0,IF((M$6-$G$3)&lt;1,0,IFERROR(LOOKUP(2,1/('Feijão 2ª safra'!$E39:INDEX('Feijão 2ª safra'!$E39:$Z39,MIN(M$6-$G$3,22))&lt;&gt;""),'Feijão 2ª safra'!$E39:INDEX('Feijão 2ª safra'!$E39:$Z39,MIN(M$6-$G$3,22))),0)))))</f>
        <v>0</v>
      </c>
      <c r="N41" s="27" t="n">
        <f aca="false">IF(COUNT('Feijão 2ª safra'!$E39:$Z39)=0,0,MAX(0,IF((N$6-$E$3)&lt;1,0,IFERROR(LOOKUP(2,1/('Feijão 2ª safra'!$E39:INDEX('Feijão 2ª safra'!$E39:$Z39,MIN(N$6-$E$3,22))&lt;&gt;""),'Feijão 2ª safra'!$E39:INDEX('Feijão 2ª safra'!$E39:$Z39,MIN(N$6-$E$3,22))),0))-IF($G$2,0,IF((N$6-$G$3)&lt;1,0,IFERROR(LOOKUP(2,1/('Feijão 2ª safra'!$E39:INDEX('Feijão 2ª safra'!$E39:$Z39,MIN(N$6-$G$3,22))&lt;&gt;""),'Feijão 2ª safra'!$E39:INDEX('Feijão 2ª safra'!$E39:$Z39,MIN(N$6-$G$3,22))),0)))))</f>
        <v>0</v>
      </c>
      <c r="O41" s="27" t="n">
        <f aca="false">IF(COUNT('Feijão 2ª safra'!$E39:$Z39)=0,0,MAX(0,IF((O$6-$E$3)&lt;1,0,IFERROR(LOOKUP(2,1/('Feijão 2ª safra'!$E39:INDEX('Feijão 2ª safra'!$E39:$Z39,MIN(O$6-$E$3,22))&lt;&gt;""),'Feijão 2ª safra'!$E39:INDEX('Feijão 2ª safra'!$E39:$Z39,MIN(O$6-$E$3,22))),0))-IF($G$2,0,IF((O$6-$G$3)&lt;1,0,IFERROR(LOOKUP(2,1/('Feijão 2ª safra'!$E39:INDEX('Feijão 2ª safra'!$E39:$Z39,MIN(O$6-$G$3,22))&lt;&gt;""),'Feijão 2ª safra'!$E39:INDEX('Feijão 2ª safra'!$E39:$Z39,MIN(O$6-$G$3,22))),0)))))</f>
        <v>0</v>
      </c>
      <c r="P41" s="27" t="n">
        <f aca="false">IF(COUNT('Feijão 2ª safra'!$E39:$Z39)=0,0,MAX(0,IF((P$6-$E$3)&lt;1,0,IFERROR(LOOKUP(2,1/('Feijão 2ª safra'!$E39:INDEX('Feijão 2ª safra'!$E39:$Z39,MIN(P$6-$E$3,22))&lt;&gt;""),'Feijão 2ª safra'!$E39:INDEX('Feijão 2ª safra'!$E39:$Z39,MIN(P$6-$E$3,22))),0))-IF($G$2,0,IF((P$6-$G$3)&lt;1,0,IFERROR(LOOKUP(2,1/('Feijão 2ª safra'!$E39:INDEX('Feijão 2ª safra'!$E39:$Z39,MIN(P$6-$G$3,22))&lt;&gt;""),'Feijão 2ª safra'!$E39:INDEX('Feijão 2ª safra'!$E39:$Z39,MIN(P$6-$G$3,22))),0)))))</f>
        <v>0</v>
      </c>
      <c r="Q41" s="27" t="n">
        <f aca="false">IF(COUNT('Feijão 2ª safra'!$E39:$Z39)=0,0,MAX(0,IF((Q$6-$E$3)&lt;1,0,IFERROR(LOOKUP(2,1/('Feijão 2ª safra'!$E39:INDEX('Feijão 2ª safra'!$E39:$Z39,MIN(Q$6-$E$3,22))&lt;&gt;""),'Feijão 2ª safra'!$E39:INDEX('Feijão 2ª safra'!$E39:$Z39,MIN(Q$6-$E$3,22))),0))-IF($G$2,0,IF((Q$6-$G$3)&lt;1,0,IFERROR(LOOKUP(2,1/('Feijão 2ª safra'!$E39:INDEX('Feijão 2ª safra'!$E39:$Z39,MIN(Q$6-$G$3,22))&lt;&gt;""),'Feijão 2ª safra'!$E39:INDEX('Feijão 2ª safra'!$E39:$Z39,MIN(Q$6-$G$3,22))),0)))))</f>
        <v>0</v>
      </c>
      <c r="R41" s="27" t="n">
        <f aca="false">IF(COUNT('Feijão 2ª safra'!$E39:$Z39)=0,0,MAX(0,IF((R$6-$E$3)&lt;1,0,IFERROR(LOOKUP(2,1/('Feijão 2ª safra'!$E39:INDEX('Feijão 2ª safra'!$E39:$Z39,MIN(R$6-$E$3,22))&lt;&gt;""),'Feijão 2ª safra'!$E39:INDEX('Feijão 2ª safra'!$E39:$Z39,MIN(R$6-$E$3,22))),0))-IF($G$2,0,IF((R$6-$G$3)&lt;1,0,IFERROR(LOOKUP(2,1/('Feijão 2ª safra'!$E39:INDEX('Feijão 2ª safra'!$E39:$Z39,MIN(R$6-$G$3,22))&lt;&gt;""),'Feijão 2ª safra'!$E39:INDEX('Feijão 2ª safra'!$E39:$Z39,MIN(R$6-$G$3,22))),0)))))</f>
        <v>0</v>
      </c>
      <c r="S41" s="27" t="n">
        <f aca="false">IF(COUNT('Feijão 2ª safra'!$E39:$Z39)=0,0,MAX(0,IF((S$6-$E$3)&lt;1,0,IFERROR(LOOKUP(2,1/('Feijão 2ª safra'!$E39:INDEX('Feijão 2ª safra'!$E39:$Z39,MIN(S$6-$E$3,22))&lt;&gt;""),'Feijão 2ª safra'!$E39:INDEX('Feijão 2ª safra'!$E39:$Z39,MIN(S$6-$E$3,22))),0))-IF($G$2,0,IF((S$6-$G$3)&lt;1,0,IFERROR(LOOKUP(2,1/('Feijão 2ª safra'!$E39:INDEX('Feijão 2ª safra'!$E39:$Z39,MIN(S$6-$G$3,22))&lt;&gt;""),'Feijão 2ª safra'!$E39:INDEX('Feijão 2ª safra'!$E39:$Z39,MIN(S$6-$G$3,22))),0)))))</f>
        <v>0</v>
      </c>
      <c r="T41" s="27" t="n">
        <f aca="false">IF(COUNT('Feijão 2ª safra'!$E39:$Z39)=0,0,MAX(0,IF((T$6-$E$3)&lt;1,0,IFERROR(LOOKUP(2,1/('Feijão 2ª safra'!$E39:INDEX('Feijão 2ª safra'!$E39:$Z39,MIN(T$6-$E$3,22))&lt;&gt;""),'Feijão 2ª safra'!$E39:INDEX('Feijão 2ª safra'!$E39:$Z39,MIN(T$6-$E$3,22))),0))-IF($G$2,0,IF((T$6-$G$3)&lt;1,0,IFERROR(LOOKUP(2,1/('Feijão 2ª safra'!$E39:INDEX('Feijão 2ª safra'!$E39:$Z39,MIN(T$6-$G$3,22))&lt;&gt;""),'Feijão 2ª safra'!$E39:INDEX('Feijão 2ª safra'!$E39:$Z39,MIN(T$6-$G$3,22))),0)))))</f>
        <v>0</v>
      </c>
      <c r="U41" s="27" t="n">
        <f aca="false">IF(COUNT('Feijão 2ª safra'!$E39:$Z39)=0,0,MAX(0,IF((U$6-$E$3)&lt;1,0,IFERROR(LOOKUP(2,1/('Feijão 2ª safra'!$E39:INDEX('Feijão 2ª safra'!$E39:$Z39,MIN(U$6-$E$3,22))&lt;&gt;""),'Feijão 2ª safra'!$E39:INDEX('Feijão 2ª safra'!$E39:$Z39,MIN(U$6-$E$3,22))),0))-IF($G$2,0,IF((U$6-$G$3)&lt;1,0,IFERROR(LOOKUP(2,1/('Feijão 2ª safra'!$E39:INDEX('Feijão 2ª safra'!$E39:$Z39,MIN(U$6-$G$3,22))&lt;&gt;""),'Feijão 2ª safra'!$E39:INDEX('Feijão 2ª safra'!$E39:$Z39,MIN(U$6-$G$3,22))),0)))))</f>
        <v>0</v>
      </c>
      <c r="V41" s="27" t="n">
        <f aca="false">IF(COUNT('Feijão 2ª safra'!$E39:$Z39)=0,0,MAX(0,IF((V$6-$E$3)&lt;1,0,IFERROR(LOOKUP(2,1/('Feijão 2ª safra'!$E39:INDEX('Feijão 2ª safra'!$E39:$Z39,MIN(V$6-$E$3,22))&lt;&gt;""),'Feijão 2ª safra'!$E39:INDEX('Feijão 2ª safra'!$E39:$Z39,MIN(V$6-$E$3,22))),0))-IF($G$2,0,IF((V$6-$G$3)&lt;1,0,IFERROR(LOOKUP(2,1/('Feijão 2ª safra'!$E39:INDEX('Feijão 2ª safra'!$E39:$Z39,MIN(V$6-$G$3,22))&lt;&gt;""),'Feijão 2ª safra'!$E39:INDEX('Feijão 2ª safra'!$E39:$Z39,MIN(V$6-$G$3,22))),0)))))</f>
        <v>0</v>
      </c>
      <c r="W41" s="27" t="n">
        <f aca="false">IF(COUNT('Feijão 2ª safra'!$E39:$Z39)=0,0,MAX(0,IF((W$6-$E$3)&lt;1,0,IFERROR(LOOKUP(2,1/('Feijão 2ª safra'!$E39:INDEX('Feijão 2ª safra'!$E39:$Z39,MIN(W$6-$E$3,22))&lt;&gt;""),'Feijão 2ª safra'!$E39:INDEX('Feijão 2ª safra'!$E39:$Z39,MIN(W$6-$E$3,22))),0))-IF($G$2,0,IF((W$6-$G$3)&lt;1,0,IFERROR(LOOKUP(2,1/('Feijão 2ª safra'!$E39:INDEX('Feijão 2ª safra'!$E39:$Z39,MIN(W$6-$G$3,22))&lt;&gt;""),'Feijão 2ª safra'!$E39:INDEX('Feijão 2ª safra'!$E39:$Z39,MIN(W$6-$G$3,22))),0)))))</f>
        <v>0</v>
      </c>
      <c r="X41" s="27" t="n">
        <f aca="false">IF(COUNT('Feijão 2ª safra'!$E39:$Z39)=0,0,MAX(0,IF((X$6-$E$3)&lt;1,0,IFERROR(LOOKUP(2,1/('Feijão 2ª safra'!$E39:INDEX('Feijão 2ª safra'!$E39:$Z39,MIN(X$6-$E$3,22))&lt;&gt;""),'Feijão 2ª safra'!$E39:INDEX('Feijão 2ª safra'!$E39:$Z39,MIN(X$6-$E$3,22))),0))-IF($G$2,0,IF((X$6-$G$3)&lt;1,0,IFERROR(LOOKUP(2,1/('Feijão 2ª safra'!$E39:INDEX('Feijão 2ª safra'!$E39:$Z39,MIN(X$6-$G$3,22))&lt;&gt;""),'Feijão 2ª safra'!$E39:INDEX('Feijão 2ª safra'!$E39:$Z39,MIN(X$6-$G$3,22))),0)))))</f>
        <v>0</v>
      </c>
      <c r="Y41" s="27" t="n">
        <f aca="false">IF(COUNT('Feijão 2ª safra'!$E39:$Z39)=0,0,MAX(0,IF((Y$6-$E$3)&lt;1,0,IFERROR(LOOKUP(2,1/('Feijão 2ª safra'!$E39:INDEX('Feijão 2ª safra'!$E39:$Z39,MIN(Y$6-$E$3,22))&lt;&gt;""),'Feijão 2ª safra'!$E39:INDEX('Feijão 2ª safra'!$E39:$Z39,MIN(Y$6-$E$3,22))),0))-IF($G$2,0,IF((Y$6-$G$3)&lt;1,0,IFERROR(LOOKUP(2,1/('Feijão 2ª safra'!$E39:INDEX('Feijão 2ª safra'!$E39:$Z39,MIN(Y$6-$G$3,22))&lt;&gt;""),'Feijão 2ª safra'!$E39:INDEX('Feijão 2ª safra'!$E39:$Z39,MIN(Y$6-$G$3,22))),0)))))</f>
        <v>0</v>
      </c>
      <c r="Z41" s="27" t="n">
        <f aca="false">IF(COUNT('Feijão 2ª safra'!$E39:$Z39)=0,0,MAX(0,IF((Z$6-$E$3)&lt;1,0,IFERROR(LOOKUP(2,1/('Feijão 2ª safra'!$E39:INDEX('Feijão 2ª safra'!$E39:$Z39,MIN(Z$6-$E$3,22))&lt;&gt;""),'Feijão 2ª safra'!$E39:INDEX('Feijão 2ª safra'!$E39:$Z39,MIN(Z$6-$E$3,22))),0))-IF($G$2,0,IF((Z$6-$G$3)&lt;1,0,IFERROR(LOOKUP(2,1/('Feijão 2ª safra'!$E39:INDEX('Feijão 2ª safra'!$E39:$Z39,MIN(Z$6-$G$3,22))&lt;&gt;""),'Feijão 2ª safra'!$E39:INDEX('Feijão 2ª safra'!$E39:$Z39,MIN(Z$6-$G$3,22))),0)))))</f>
        <v>0</v>
      </c>
      <c r="AA41" s="27" t="n">
        <f aca="false">IF(COUNT('Feijão 2ª safra'!$E39:$Z39)=0,0,MAX(0,IF((AA$6-$E$3)&lt;1,0,IFERROR(LOOKUP(2,1/('Feijão 2ª safra'!$E39:INDEX('Feijão 2ª safra'!$E39:$Z39,MIN(AA$6-$E$3,22))&lt;&gt;""),'Feijão 2ª safra'!$E39:INDEX('Feijão 2ª safra'!$E39:$Z39,MIN(AA$6-$E$3,22))),0))-IF($G$2,0,IF((AA$6-$G$3)&lt;1,0,IFERROR(LOOKUP(2,1/('Feijão 2ª safra'!$E39:INDEX('Feijão 2ª safra'!$E39:$Z39,MIN(AA$6-$G$3,22))&lt;&gt;""),'Feijão 2ª safra'!$E39:INDEX('Feijão 2ª safra'!$E39:$Z39,MIN(AA$6-$G$3,22))),0)))))</f>
        <v>0</v>
      </c>
      <c r="AB41" s="27" t="n">
        <f aca="false">IF(COUNT('Feijão 2ª safra'!$E39:$Z39)=0,0,MAX(0,IF((AB$6-$E$3)&lt;1,0,IFERROR(LOOKUP(2,1/('Feijão 2ª safra'!$E39:INDEX('Feijão 2ª safra'!$E39:$Z39,MIN(AB$6-$E$3,22))&lt;&gt;""),'Feijão 2ª safra'!$E39:INDEX('Feijão 2ª safra'!$E39:$Z39,MIN(AB$6-$E$3,22))),0))-IF($G$2,0,IF((AB$6-$G$3)&lt;1,0,IFERROR(LOOKUP(2,1/('Feijão 2ª safra'!$E39:INDEX('Feijão 2ª safra'!$E39:$Z39,MIN(AB$6-$G$3,22))&lt;&gt;""),'Feijão 2ª safra'!$E39:INDEX('Feijão 2ª safra'!$E39:$Z39,MIN(AB$6-$G$3,22))),0)))))</f>
        <v>0</v>
      </c>
      <c r="AC41" s="27" t="n">
        <f aca="false">IF(COUNT('Feijão 2ª safra'!$E39:$Z39)=0,0,MAX(0,IF((AC$6-$E$3)&lt;1,0,IFERROR(LOOKUP(2,1/('Feijão 2ª safra'!$E39:INDEX('Feijão 2ª safra'!$E39:$Z39,MIN(AC$6-$E$3,22))&lt;&gt;""),'Feijão 2ª safra'!$E39:INDEX('Feijão 2ª safra'!$E39:$Z39,MIN(AC$6-$E$3,22))),0))-IF($G$2,0,IF((AC$6-$G$3)&lt;1,0,IFERROR(LOOKUP(2,1/('Feijão 2ª safra'!$E39:INDEX('Feijão 2ª safra'!$E39:$Z39,MIN(AC$6-$G$3,22))&lt;&gt;""),'Feijão 2ª safra'!$E39:INDEX('Feijão 2ª safra'!$E39:$Z39,MIN(AC$6-$G$3,22))),0)))))</f>
        <v>0</v>
      </c>
      <c r="AD41" s="27" t="n">
        <f aca="false">IF(COUNT('Feijão 2ª safra'!$E39:$Z39)=0,0,MAX(0,IF((AD$6-$E$3)&lt;1,0,IFERROR(LOOKUP(2,1/('Feijão 2ª safra'!$E39:INDEX('Feijão 2ª safra'!$E39:$Z39,MIN(AD$6-$E$3,22))&lt;&gt;""),'Feijão 2ª safra'!$E39:INDEX('Feijão 2ª safra'!$E39:$Z39,MIN(AD$6-$E$3,22))),0))-IF($G$2,0,IF((AD$6-$G$3)&lt;1,0,IFERROR(LOOKUP(2,1/('Feijão 2ª safra'!$E39:INDEX('Feijão 2ª safra'!$E39:$Z39,MIN(AD$6-$G$3,22))&lt;&gt;""),'Feijão 2ª safra'!$E39:INDEX('Feijão 2ª safra'!$E39:$Z39,MIN(AD$6-$G$3,22))),0)))))</f>
        <v>0</v>
      </c>
      <c r="AE41" s="27" t="n">
        <f aca="false">IF(COUNT('Feijão 2ª safra'!$E39:$Z39)=0,0,MAX(0,IF((AE$6-$E$3)&lt;1,0,IFERROR(LOOKUP(2,1/('Feijão 2ª safra'!$E39:INDEX('Feijão 2ª safra'!$E39:$Z39,MIN(AE$6-$E$3,22))&lt;&gt;""),'Feijão 2ª safra'!$E39:INDEX('Feijão 2ª safra'!$E39:$Z39,MIN(AE$6-$E$3,22))),0))-IF($G$2,0,IF((AE$6-$G$3)&lt;1,0,IFERROR(LOOKUP(2,1/('Feijão 2ª safra'!$E39:INDEX('Feijão 2ª safra'!$E39:$Z39,MIN(AE$6-$G$3,22))&lt;&gt;""),'Feijão 2ª safra'!$E39:INDEX('Feijão 2ª safra'!$E39:$Z39,MIN(AE$6-$G$3,22))),0)))))</f>
        <v>0</v>
      </c>
      <c r="AF41" s="27" t="n">
        <f aca="false">IF(COUNT('Feijão 2ª safra'!$E39:$Z39)=0,0,MAX(0,IF((AF$6-$E$3)&lt;1,0,IFERROR(LOOKUP(2,1/('Feijão 2ª safra'!$E39:INDEX('Feijão 2ª safra'!$E39:$Z39,MIN(AF$6-$E$3,22))&lt;&gt;""),'Feijão 2ª safra'!$E39:INDEX('Feijão 2ª safra'!$E39:$Z39,MIN(AF$6-$E$3,22))),0))-IF($G$2,0,IF((AF$6-$G$3)&lt;1,0,IFERROR(LOOKUP(2,1/('Feijão 2ª safra'!$E39:INDEX('Feijão 2ª safra'!$E39:$Z39,MIN(AF$6-$G$3,22))&lt;&gt;""),'Feijão 2ª safra'!$E39:INDEX('Feijão 2ª safra'!$E39:$Z39,MIN(AF$6-$G$3,22))),0)))))</f>
        <v>0</v>
      </c>
      <c r="AG41" s="27" t="n">
        <f aca="false">IF(COUNT('Feijão 2ª safra'!$E39:$Z39)=0,0,MAX(0,IF((AG$6-$E$3)&lt;1,0,IFERROR(LOOKUP(2,1/('Feijão 2ª safra'!$E39:INDEX('Feijão 2ª safra'!$E39:$Z39,MIN(AG$6-$E$3,22))&lt;&gt;""),'Feijão 2ª safra'!$E39:INDEX('Feijão 2ª safra'!$E39:$Z39,MIN(AG$6-$E$3,22))),0))-IF($G$2,0,IF((AG$6-$G$3)&lt;1,0,IFERROR(LOOKUP(2,1/('Feijão 2ª safra'!$E39:INDEX('Feijão 2ª safra'!$E39:$Z39,MIN(AG$6-$G$3,22))&lt;&gt;""),'Feijão 2ª safra'!$E39:INDEX('Feijão 2ª safra'!$E39:$Z39,MIN(AG$6-$G$3,22))),0)))))</f>
        <v>0</v>
      </c>
      <c r="AH41" s="27" t="n">
        <f aca="false">IF(COUNT('Feijão 2ª safra'!$E39:$Z39)=0,0,MAX(0,IF((AH$6-$E$3)&lt;1,0,IFERROR(LOOKUP(2,1/('Feijão 2ª safra'!$E39:INDEX('Feijão 2ª safra'!$E39:$Z39,MIN(AH$6-$E$3,22))&lt;&gt;""),'Feijão 2ª safra'!$E39:INDEX('Feijão 2ª safra'!$E39:$Z39,MIN(AH$6-$E$3,22))),0))-IF($G$2,0,IF((AH$6-$G$3)&lt;1,0,IFERROR(LOOKUP(2,1/('Feijão 2ª safra'!$E39:INDEX('Feijão 2ª safra'!$E39:$Z39,MIN(AH$6-$G$3,22))&lt;&gt;""),'Feijão 2ª safra'!$E39:INDEX('Feijão 2ª safra'!$E39:$Z39,MIN(AH$6-$G$3,22))),0)))))</f>
        <v>0</v>
      </c>
      <c r="AI41" s="27" t="n">
        <f aca="false">IF(COUNT('Feijão 2ª safra'!$E39:$Z39)=0,0,MAX(0,IF((AI$6-$E$3)&lt;1,0,IFERROR(LOOKUP(2,1/('Feijão 2ª safra'!$E39:INDEX('Feijão 2ª safra'!$E39:$Z39,MIN(AI$6-$E$3,22))&lt;&gt;""),'Feijão 2ª safra'!$E39:INDEX('Feijão 2ª safra'!$E39:$Z39,MIN(AI$6-$E$3,22))),0))-IF($G$2,0,IF((AI$6-$G$3)&lt;1,0,IFERROR(LOOKUP(2,1/('Feijão 2ª safra'!$E39:INDEX('Feijão 2ª safra'!$E39:$Z39,MIN(AI$6-$G$3,22))&lt;&gt;""),'Feijão 2ª safra'!$E39:INDEX('Feijão 2ª safra'!$E39:$Z39,MIN(AI$6-$G$3,22))),0)))))</f>
        <v>0</v>
      </c>
      <c r="AJ41" s="27" t="n">
        <f aca="false">IF(COUNT('Feijão 2ª safra'!$E39:$Z39)=0,0,MAX(0,IF((AJ$6-$E$3)&lt;1,0,IFERROR(LOOKUP(2,1/('Feijão 2ª safra'!$E39:INDEX('Feijão 2ª safra'!$E39:$Z39,MIN(AJ$6-$E$3,22))&lt;&gt;""),'Feijão 2ª safra'!$E39:INDEX('Feijão 2ª safra'!$E39:$Z39,MIN(AJ$6-$E$3,22))),0))-IF($G$2,0,IF((AJ$6-$G$3)&lt;1,0,IFERROR(LOOKUP(2,1/('Feijão 2ª safra'!$E39:INDEX('Feijão 2ª safra'!$E39:$Z39,MIN(AJ$6-$G$3,22))&lt;&gt;""),'Feijão 2ª safra'!$E39:INDEX('Feijão 2ª safra'!$E39:$Z39,MIN(AJ$6-$G$3,22))),0)))))</f>
        <v>0</v>
      </c>
      <c r="AK41" s="27" t="n">
        <f aca="false">IF(COUNT('Feijão 2ª safra'!$E39:$Z39)=0,0,MAX(0,IF((AK$6-$E$3)&lt;1,0,IFERROR(LOOKUP(2,1/('Feijão 2ª safra'!$E39:INDEX('Feijão 2ª safra'!$E39:$Z39,MIN(AK$6-$E$3,22))&lt;&gt;""),'Feijão 2ª safra'!$E39:INDEX('Feijão 2ª safra'!$E39:$Z39,MIN(AK$6-$E$3,22))),0))-IF($G$2,0,IF((AK$6-$G$3)&lt;1,0,IFERROR(LOOKUP(2,1/('Feijão 2ª safra'!$E39:INDEX('Feijão 2ª safra'!$E39:$Z39,MIN(AK$6-$G$3,22))&lt;&gt;""),'Feijão 2ª safra'!$E39:INDEX('Feijão 2ª safra'!$E39:$Z39,MIN(AK$6-$G$3,22))),0)))))</f>
        <v>0</v>
      </c>
      <c r="AL41" s="27" t="n">
        <f aca="false">IF(COUNT('Feijão 2ª safra'!$E39:$Z39)=0,0,MAX(0,IF((AL$6-$E$3)&lt;1,0,IFERROR(LOOKUP(2,1/('Feijão 2ª safra'!$E39:INDEX('Feijão 2ª safra'!$E39:$Z39,MIN(AL$6-$E$3,22))&lt;&gt;""),'Feijão 2ª safra'!$E39:INDEX('Feijão 2ª safra'!$E39:$Z39,MIN(AL$6-$E$3,22))),0))-IF($G$2,0,IF((AL$6-$G$3)&lt;1,0,IFERROR(LOOKUP(2,1/('Feijão 2ª safra'!$E39:INDEX('Feijão 2ª safra'!$E39:$Z39,MIN(AL$6-$G$3,22))&lt;&gt;""),'Feijão 2ª safra'!$E39:INDEX('Feijão 2ª safra'!$E39:$Z39,MIN(AL$6-$G$3,22))),0)))))</f>
        <v>0</v>
      </c>
      <c r="AM41" s="27" t="n">
        <f aca="false">IF(COUNT('Feijão 2ª safra'!$E39:$Z39)=0,0,MAX(0,IF((AM$6-$E$3)&lt;1,0,IFERROR(LOOKUP(2,1/('Feijão 2ª safra'!$E39:INDEX('Feijão 2ª safra'!$E39:$Z39,MIN(AM$6-$E$3,22))&lt;&gt;""),'Feijão 2ª safra'!$E39:INDEX('Feijão 2ª safra'!$E39:$Z39,MIN(AM$6-$E$3,22))),0))-IF($G$2,0,IF((AM$6-$G$3)&lt;1,0,IFERROR(LOOKUP(2,1/('Feijão 2ª safra'!$E39:INDEX('Feijão 2ª safra'!$E39:$Z39,MIN(AM$6-$G$3,22))&lt;&gt;""),'Feijão 2ª safra'!$E39:INDEX('Feijão 2ª safra'!$E39:$Z39,MIN(AM$6-$G$3,22))),0)))))</f>
        <v>0</v>
      </c>
      <c r="AN41" s="27" t="n">
        <f aca="false">IF(COUNT('Feijão 2ª safra'!$E39:$Z39)=0,0,MAX(0,IF((AN$6-$E$3)&lt;1,0,IFERROR(LOOKUP(2,1/('Feijão 2ª safra'!$E39:INDEX('Feijão 2ª safra'!$E39:$Z39,MIN(AN$6-$E$3,22))&lt;&gt;""),'Feijão 2ª safra'!$E39:INDEX('Feijão 2ª safra'!$E39:$Z39,MIN(AN$6-$E$3,22))),0))-IF($G$2,0,IF((AN$6-$G$3)&lt;1,0,IFERROR(LOOKUP(2,1/('Feijão 2ª safra'!$E39:INDEX('Feijão 2ª safra'!$E39:$Z39,MIN(AN$6-$G$3,22))&lt;&gt;""),'Feijão 2ª safra'!$E39:INDEX('Feijão 2ª safra'!$E39:$Z39,MIN(AN$6-$G$3,22))),0)))))</f>
        <v>0</v>
      </c>
      <c r="AO41" s="27" t="n">
        <f aca="false">IF(COUNT('Feijão 2ª safra'!$E39:$Z39)=0,0,MAX(0,IF((AO$6-$E$3)&lt;1,0,IFERROR(LOOKUP(2,1/('Feijão 2ª safra'!$E39:INDEX('Feijão 2ª safra'!$E39:$Z39,MIN(AO$6-$E$3,22))&lt;&gt;""),'Feijão 2ª safra'!$E39:INDEX('Feijão 2ª safra'!$E39:$Z39,MIN(AO$6-$E$3,22))),0))-IF($G$2,0,IF((AO$6-$G$3)&lt;1,0,IFERROR(LOOKUP(2,1/('Feijão 2ª safra'!$E39:INDEX('Feijão 2ª safra'!$E39:$Z39,MIN(AO$6-$G$3,22))&lt;&gt;""),'Feijão 2ª safra'!$E39:INDEX('Feijão 2ª safra'!$E39:$Z39,MIN(AO$6-$G$3,22))),0)))))</f>
        <v>0</v>
      </c>
      <c r="AP41" s="27" t="n">
        <f aca="false">IF(COUNT('Feijão 2ª safra'!$E39:$Z39)=0,0,MAX(0,IF((AP$6-$E$3)&lt;1,0,IFERROR(LOOKUP(2,1/('Feijão 2ª safra'!$E39:INDEX('Feijão 2ª safra'!$E39:$Z39,MIN(AP$6-$E$3,22))&lt;&gt;""),'Feijão 2ª safra'!$E39:INDEX('Feijão 2ª safra'!$E39:$Z39,MIN(AP$6-$E$3,22))),0))-IF($G$2,0,IF((AP$6-$G$3)&lt;1,0,IFERROR(LOOKUP(2,1/('Feijão 2ª safra'!$E39:INDEX('Feijão 2ª safra'!$E39:$Z39,MIN(AP$6-$G$3,22))&lt;&gt;""),'Feijão 2ª safra'!$E39:INDEX('Feijão 2ª safra'!$E39:$Z39,MIN(AP$6-$G$3,22))),0)))))</f>
        <v>0</v>
      </c>
      <c r="AQ41" s="27" t="n">
        <f aca="false">IF(COUNT('Feijão 2ª safra'!$E39:$Z39)=0,0,MAX(0,IF((AQ$6-$E$3)&lt;1,0,IFERROR(LOOKUP(2,1/('Feijão 2ª safra'!$E39:INDEX('Feijão 2ª safra'!$E39:$Z39,MIN(AQ$6-$E$3,22))&lt;&gt;""),'Feijão 2ª safra'!$E39:INDEX('Feijão 2ª safra'!$E39:$Z39,MIN(AQ$6-$E$3,22))),0))-IF($G$2,0,IF((AQ$6-$G$3)&lt;1,0,IFERROR(LOOKUP(2,1/('Feijão 2ª safra'!$E39:INDEX('Feijão 2ª safra'!$E39:$Z39,MIN(AQ$6-$G$3,22))&lt;&gt;""),'Feijão 2ª safra'!$E39:INDEX('Feijão 2ª safra'!$E39:$Z39,MIN(AQ$6-$G$3,22))),0)))))</f>
        <v>0</v>
      </c>
      <c r="AR41" s="27" t="n">
        <f aca="false">IF(COUNT('Feijão 2ª safra'!$E39:$Z39)=0,0,MAX(0,IF((AR$6-$E$3)&lt;1,0,IFERROR(LOOKUP(2,1/('Feijão 2ª safra'!$E39:INDEX('Feijão 2ª safra'!$E39:$Z39,MIN(AR$6-$E$3,22))&lt;&gt;""),'Feijão 2ª safra'!$E39:INDEX('Feijão 2ª safra'!$E39:$Z39,MIN(AR$6-$E$3,22))),0))-IF($G$2,0,IF((AR$6-$G$3)&lt;1,0,IFERROR(LOOKUP(2,1/('Feijão 2ª safra'!$E39:INDEX('Feijão 2ª safra'!$E39:$Z39,MIN(AR$6-$G$3,22))&lt;&gt;""),'Feijão 2ª safra'!$E39:INDEX('Feijão 2ª safra'!$E39:$Z39,MIN(AR$6-$G$3,22))),0)))))</f>
        <v>0</v>
      </c>
      <c r="AS41" s="27" t="n">
        <f aca="false">IF(COUNT('Feijão 2ª safra'!$E39:$Z39)=0,0,MAX(0,IF((AS$6-$E$3)&lt;1,0,IFERROR(LOOKUP(2,1/('Feijão 2ª safra'!$E39:INDEX('Feijão 2ª safra'!$E39:$Z39,MIN(AS$6-$E$3,22))&lt;&gt;""),'Feijão 2ª safra'!$E39:INDEX('Feijão 2ª safra'!$E39:$Z39,MIN(AS$6-$E$3,22))),0))-IF($G$2,0,IF((AS$6-$G$3)&lt;1,0,IFERROR(LOOKUP(2,1/('Feijão 2ª safra'!$E39:INDEX('Feijão 2ª safra'!$E39:$Z39,MIN(AS$6-$G$3,22))&lt;&gt;""),'Feijão 2ª safra'!$E39:INDEX('Feijão 2ª safra'!$E39:$Z39,MIN(AS$6-$G$3,22))),0)))))</f>
        <v>0</v>
      </c>
      <c r="AT41" s="27" t="n">
        <f aca="false">IF(COUNT('Feijão 2ª safra'!$E39:$Z39)=0,0,MAX(0,IF((AT$6-$E$3)&lt;1,0,IFERROR(LOOKUP(2,1/('Feijão 2ª safra'!$E39:INDEX('Feijão 2ª safra'!$E39:$Z39,MIN(AT$6-$E$3,22))&lt;&gt;""),'Feijão 2ª safra'!$E39:INDEX('Feijão 2ª safra'!$E39:$Z39,MIN(AT$6-$E$3,22))),0))-IF($G$2,0,IF((AT$6-$G$3)&lt;1,0,IFERROR(LOOKUP(2,1/('Feijão 2ª safra'!$E39:INDEX('Feijão 2ª safra'!$E39:$Z39,MIN(AT$6-$G$3,22))&lt;&gt;""),'Feijão 2ª safra'!$E39:INDEX('Feijão 2ª safra'!$E39:$Z39,MIN(AT$6-$G$3,22))),0)))))</f>
        <v>0</v>
      </c>
      <c r="AU41" s="27" t="n">
        <f aca="false">IF(COUNT('Feijão 2ª safra'!$E39:$Z39)=0,0,MAX(0,IF((AU$6-$E$3)&lt;1,0,IFERROR(LOOKUP(2,1/('Feijão 2ª safra'!$E39:INDEX('Feijão 2ª safra'!$E39:$Z39,MIN(AU$6-$E$3,22))&lt;&gt;""),'Feijão 2ª safra'!$E39:INDEX('Feijão 2ª safra'!$E39:$Z39,MIN(AU$6-$E$3,22))),0))-IF($G$2,0,IF((AU$6-$G$3)&lt;1,0,IFERROR(LOOKUP(2,1/('Feijão 2ª safra'!$E39:INDEX('Feijão 2ª safra'!$E39:$Z39,MIN(AU$6-$G$3,22))&lt;&gt;""),'Feijão 2ª safra'!$E39:INDEX('Feijão 2ª safra'!$E39:$Z39,MIN(AU$6-$G$3,22))),0)))))</f>
        <v>0</v>
      </c>
      <c r="AV41" s="27" t="n">
        <f aca="false">IF(COUNT('Feijão 2ª safra'!$E39:$Z39)=0,0,MAX(0,IF((AV$6-$E$3)&lt;1,0,IFERROR(LOOKUP(2,1/('Feijão 2ª safra'!$E39:INDEX('Feijão 2ª safra'!$E39:$Z39,MIN(AV$6-$E$3,22))&lt;&gt;""),'Feijão 2ª safra'!$E39:INDEX('Feijão 2ª safra'!$E39:$Z39,MIN(AV$6-$E$3,22))),0))-IF($G$2,0,IF((AV$6-$G$3)&lt;1,0,IFERROR(LOOKUP(2,1/('Feijão 2ª safra'!$E39:INDEX('Feijão 2ª safra'!$E39:$Z39,MIN(AV$6-$G$3,22))&lt;&gt;""),'Feijão 2ª safra'!$E39:INDEX('Feijão 2ª safra'!$E39:$Z39,MIN(AV$6-$G$3,22))),0)))))</f>
        <v>0</v>
      </c>
      <c r="AW41" s="27" t="n">
        <f aca="false">IF(COUNT('Feijão 2ª safra'!$E39:$Z39)=0,0,MAX(0,IF((AW$6-$E$3)&lt;1,0,IFERROR(LOOKUP(2,1/('Feijão 2ª safra'!$E39:INDEX('Feijão 2ª safra'!$E39:$Z39,MIN(AW$6-$E$3,22))&lt;&gt;""),'Feijão 2ª safra'!$E39:INDEX('Feijão 2ª safra'!$E39:$Z39,MIN(AW$6-$E$3,22))),0))-IF($G$2,0,IF((AW$6-$G$3)&lt;1,0,IFERROR(LOOKUP(2,1/('Feijão 2ª safra'!$E39:INDEX('Feijão 2ª safra'!$E39:$Z39,MIN(AW$6-$G$3,22))&lt;&gt;""),'Feijão 2ª safra'!$E39:INDEX('Feijão 2ª safra'!$E39:$Z39,MIN(AW$6-$G$3,22))),0)))))</f>
        <v>0</v>
      </c>
      <c r="AX41" s="27" t="n">
        <f aca="false">IF(COUNT('Feijão 2ª safra'!$E39:$Z39)=0,0,MAX(0,IF((AX$6-$E$3)&lt;1,0,IFERROR(LOOKUP(2,1/('Feijão 2ª safra'!$E39:INDEX('Feijão 2ª safra'!$E39:$Z39,MIN(AX$6-$E$3,22))&lt;&gt;""),'Feijão 2ª safra'!$E39:INDEX('Feijão 2ª safra'!$E39:$Z39,MIN(AX$6-$E$3,22))),0))-IF($G$2,0,IF((AX$6-$G$3)&lt;1,0,IFERROR(LOOKUP(2,1/('Feijão 2ª safra'!$E39:INDEX('Feijão 2ª safra'!$E39:$Z39,MIN(AX$6-$G$3,22))&lt;&gt;""),'Feijão 2ª safra'!$E39:INDEX('Feijão 2ª safra'!$E39:$Z39,MIN(AX$6-$G$3,22))),0)))))</f>
        <v>0</v>
      </c>
      <c r="AY41" s="27" t="n">
        <f aca="false">IF(COUNT('Feijão 2ª safra'!$E39:$Z39)=0,0,MAX(0,IF((AY$6-$E$3)&lt;1,0,IFERROR(LOOKUP(2,1/('Feijão 2ª safra'!$E39:INDEX('Feijão 2ª safra'!$E39:$Z39,MIN(AY$6-$E$3,22))&lt;&gt;""),'Feijão 2ª safra'!$E39:INDEX('Feijão 2ª safra'!$E39:$Z39,MIN(AY$6-$E$3,22))),0))-IF($G$2,0,IF((AY$6-$G$3)&lt;1,0,IFERROR(LOOKUP(2,1/('Feijão 2ª safra'!$E39:INDEX('Feijão 2ª safra'!$E39:$Z39,MIN(AY$6-$G$3,22))&lt;&gt;""),'Feijão 2ª safra'!$E39:INDEX('Feijão 2ª safra'!$E39:$Z39,MIN(AY$6-$G$3,22))),0)))))</f>
        <v>0</v>
      </c>
      <c r="AZ41" s="27" t="n">
        <f aca="false">IF(COUNT('Feijão 2ª safra'!$E39:$Z39)=0,0,MAX(0,IF((AZ$6-$E$3)&lt;1,0,IFERROR(LOOKUP(2,1/('Feijão 2ª safra'!$E39:INDEX('Feijão 2ª safra'!$E39:$Z39,MIN(AZ$6-$E$3,22))&lt;&gt;""),'Feijão 2ª safra'!$E39:INDEX('Feijão 2ª safra'!$E39:$Z39,MIN(AZ$6-$E$3,22))),0))-IF($G$2,0,IF((AZ$6-$G$3)&lt;1,0,IFERROR(LOOKUP(2,1/('Feijão 2ª safra'!$E39:INDEX('Feijão 2ª safra'!$E39:$Z39,MIN(AZ$6-$G$3,22))&lt;&gt;""),'Feijão 2ª safra'!$E39:INDEX('Feijão 2ª safra'!$E39:$Z39,MIN(AZ$6-$G$3,22))),0)))))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IF(COUNT('Feijão 2ª safra'!$E40:$Z40)&gt;0,N('Feijão 2ª safra'!$D40),0)</f>
        <v>0</v>
      </c>
      <c r="E42" s="27" t="n">
        <f aca="false">IF(COUNT('Feijão 2ª safra'!$E40:$Z40)=0,0,MAX(0,IF((E$6-$E$3)&lt;1,0,IFERROR(LOOKUP(2,1/('Feijão 2ª safra'!$E40:INDEX('Feijão 2ª safra'!$E40:$Z40,MIN(E$6-$E$3,22))&lt;&gt;""),'Feijão 2ª safra'!$E40:INDEX('Feijão 2ª safra'!$E40:$Z40,MIN(E$6-$E$3,22))),0))-IF($G$2,0,IF((E$6-$G$3)&lt;1,0,IFERROR(LOOKUP(2,1/('Feijão 2ª safra'!$E40:INDEX('Feijão 2ª safra'!$E40:$Z40,MIN(E$6-$G$3,22))&lt;&gt;""),'Feijão 2ª safra'!$E40:INDEX('Feijão 2ª safra'!$E40:$Z40,MIN(E$6-$G$3,22))),0)))))</f>
        <v>0</v>
      </c>
      <c r="F42" s="27" t="n">
        <f aca="false">IF(COUNT('Feijão 2ª safra'!$E40:$Z40)=0,0,MAX(0,IF((F$6-$E$3)&lt;1,0,IFERROR(LOOKUP(2,1/('Feijão 2ª safra'!$E40:INDEX('Feijão 2ª safra'!$E40:$Z40,MIN(F$6-$E$3,22))&lt;&gt;""),'Feijão 2ª safra'!$E40:INDEX('Feijão 2ª safra'!$E40:$Z40,MIN(F$6-$E$3,22))),0))-IF($G$2,0,IF((F$6-$G$3)&lt;1,0,IFERROR(LOOKUP(2,1/('Feijão 2ª safra'!$E40:INDEX('Feijão 2ª safra'!$E40:$Z40,MIN(F$6-$G$3,22))&lt;&gt;""),'Feijão 2ª safra'!$E40:INDEX('Feijão 2ª safra'!$E40:$Z40,MIN(F$6-$G$3,22))),0)))))</f>
        <v>0</v>
      </c>
      <c r="G42" s="27" t="n">
        <f aca="false">IF(COUNT('Feijão 2ª safra'!$E40:$Z40)=0,0,MAX(0,IF((G$6-$E$3)&lt;1,0,IFERROR(LOOKUP(2,1/('Feijão 2ª safra'!$E40:INDEX('Feijão 2ª safra'!$E40:$Z40,MIN(G$6-$E$3,22))&lt;&gt;""),'Feijão 2ª safra'!$E40:INDEX('Feijão 2ª safra'!$E40:$Z40,MIN(G$6-$E$3,22))),0))-IF($G$2,0,IF((G$6-$G$3)&lt;1,0,IFERROR(LOOKUP(2,1/('Feijão 2ª safra'!$E40:INDEX('Feijão 2ª safra'!$E40:$Z40,MIN(G$6-$G$3,22))&lt;&gt;""),'Feijão 2ª safra'!$E40:INDEX('Feijão 2ª safra'!$E40:$Z40,MIN(G$6-$G$3,22))),0)))))</f>
        <v>0</v>
      </c>
      <c r="H42" s="27" t="n">
        <f aca="false">IF(COUNT('Feijão 2ª safra'!$E40:$Z40)=0,0,MAX(0,IF((H$6-$E$3)&lt;1,0,IFERROR(LOOKUP(2,1/('Feijão 2ª safra'!$E40:INDEX('Feijão 2ª safra'!$E40:$Z40,MIN(H$6-$E$3,22))&lt;&gt;""),'Feijão 2ª safra'!$E40:INDEX('Feijão 2ª safra'!$E40:$Z40,MIN(H$6-$E$3,22))),0))-IF($G$2,0,IF((H$6-$G$3)&lt;1,0,IFERROR(LOOKUP(2,1/('Feijão 2ª safra'!$E40:INDEX('Feijão 2ª safra'!$E40:$Z40,MIN(H$6-$G$3,22))&lt;&gt;""),'Feijão 2ª safra'!$E40:INDEX('Feijão 2ª safra'!$E40:$Z40,MIN(H$6-$G$3,22))),0)))))</f>
        <v>0</v>
      </c>
      <c r="I42" s="27" t="n">
        <f aca="false">IF(COUNT('Feijão 2ª safra'!$E40:$Z40)=0,0,MAX(0,IF((I$6-$E$3)&lt;1,0,IFERROR(LOOKUP(2,1/('Feijão 2ª safra'!$E40:INDEX('Feijão 2ª safra'!$E40:$Z40,MIN(I$6-$E$3,22))&lt;&gt;""),'Feijão 2ª safra'!$E40:INDEX('Feijão 2ª safra'!$E40:$Z40,MIN(I$6-$E$3,22))),0))-IF($G$2,0,IF((I$6-$G$3)&lt;1,0,IFERROR(LOOKUP(2,1/('Feijão 2ª safra'!$E40:INDEX('Feijão 2ª safra'!$E40:$Z40,MIN(I$6-$G$3,22))&lt;&gt;""),'Feijão 2ª safra'!$E40:INDEX('Feijão 2ª safra'!$E40:$Z40,MIN(I$6-$G$3,22))),0)))))</f>
        <v>0</v>
      </c>
      <c r="J42" s="27" t="n">
        <f aca="false">IF(COUNT('Feijão 2ª safra'!$E40:$Z40)=0,0,MAX(0,IF((J$6-$E$3)&lt;1,0,IFERROR(LOOKUP(2,1/('Feijão 2ª safra'!$E40:INDEX('Feijão 2ª safra'!$E40:$Z40,MIN(J$6-$E$3,22))&lt;&gt;""),'Feijão 2ª safra'!$E40:INDEX('Feijão 2ª safra'!$E40:$Z40,MIN(J$6-$E$3,22))),0))-IF($G$2,0,IF((J$6-$G$3)&lt;1,0,IFERROR(LOOKUP(2,1/('Feijão 2ª safra'!$E40:INDEX('Feijão 2ª safra'!$E40:$Z40,MIN(J$6-$G$3,22))&lt;&gt;""),'Feijão 2ª safra'!$E40:INDEX('Feijão 2ª safra'!$E40:$Z40,MIN(J$6-$G$3,22))),0)))))</f>
        <v>0</v>
      </c>
      <c r="K42" s="27" t="n">
        <f aca="false">IF(COUNT('Feijão 2ª safra'!$E40:$Z40)=0,0,MAX(0,IF((K$6-$E$3)&lt;1,0,IFERROR(LOOKUP(2,1/('Feijão 2ª safra'!$E40:INDEX('Feijão 2ª safra'!$E40:$Z40,MIN(K$6-$E$3,22))&lt;&gt;""),'Feijão 2ª safra'!$E40:INDEX('Feijão 2ª safra'!$E40:$Z40,MIN(K$6-$E$3,22))),0))-IF($G$2,0,IF((K$6-$G$3)&lt;1,0,IFERROR(LOOKUP(2,1/('Feijão 2ª safra'!$E40:INDEX('Feijão 2ª safra'!$E40:$Z40,MIN(K$6-$G$3,22))&lt;&gt;""),'Feijão 2ª safra'!$E40:INDEX('Feijão 2ª safra'!$E40:$Z40,MIN(K$6-$G$3,22))),0)))))</f>
        <v>0</v>
      </c>
      <c r="L42" s="27" t="n">
        <f aca="false">IF(COUNT('Feijão 2ª safra'!$E40:$Z40)=0,0,MAX(0,IF((L$6-$E$3)&lt;1,0,IFERROR(LOOKUP(2,1/('Feijão 2ª safra'!$E40:INDEX('Feijão 2ª safra'!$E40:$Z40,MIN(L$6-$E$3,22))&lt;&gt;""),'Feijão 2ª safra'!$E40:INDEX('Feijão 2ª safra'!$E40:$Z40,MIN(L$6-$E$3,22))),0))-IF($G$2,0,IF((L$6-$G$3)&lt;1,0,IFERROR(LOOKUP(2,1/('Feijão 2ª safra'!$E40:INDEX('Feijão 2ª safra'!$E40:$Z40,MIN(L$6-$G$3,22))&lt;&gt;""),'Feijão 2ª safra'!$E40:INDEX('Feijão 2ª safra'!$E40:$Z40,MIN(L$6-$G$3,22))),0)))))</f>
        <v>0</v>
      </c>
      <c r="M42" s="27" t="n">
        <f aca="false">IF(COUNT('Feijão 2ª safra'!$E40:$Z40)=0,0,MAX(0,IF((M$6-$E$3)&lt;1,0,IFERROR(LOOKUP(2,1/('Feijão 2ª safra'!$E40:INDEX('Feijão 2ª safra'!$E40:$Z40,MIN(M$6-$E$3,22))&lt;&gt;""),'Feijão 2ª safra'!$E40:INDEX('Feijão 2ª safra'!$E40:$Z40,MIN(M$6-$E$3,22))),0))-IF($G$2,0,IF((M$6-$G$3)&lt;1,0,IFERROR(LOOKUP(2,1/('Feijão 2ª safra'!$E40:INDEX('Feijão 2ª safra'!$E40:$Z40,MIN(M$6-$G$3,22))&lt;&gt;""),'Feijão 2ª safra'!$E40:INDEX('Feijão 2ª safra'!$E40:$Z40,MIN(M$6-$G$3,22))),0)))))</f>
        <v>0</v>
      </c>
      <c r="N42" s="27" t="n">
        <f aca="false">IF(COUNT('Feijão 2ª safra'!$E40:$Z40)=0,0,MAX(0,IF((N$6-$E$3)&lt;1,0,IFERROR(LOOKUP(2,1/('Feijão 2ª safra'!$E40:INDEX('Feijão 2ª safra'!$E40:$Z40,MIN(N$6-$E$3,22))&lt;&gt;""),'Feijão 2ª safra'!$E40:INDEX('Feijão 2ª safra'!$E40:$Z40,MIN(N$6-$E$3,22))),0))-IF($G$2,0,IF((N$6-$G$3)&lt;1,0,IFERROR(LOOKUP(2,1/('Feijão 2ª safra'!$E40:INDEX('Feijão 2ª safra'!$E40:$Z40,MIN(N$6-$G$3,22))&lt;&gt;""),'Feijão 2ª safra'!$E40:INDEX('Feijão 2ª safra'!$E40:$Z40,MIN(N$6-$G$3,22))),0)))))</f>
        <v>0</v>
      </c>
      <c r="O42" s="27" t="n">
        <f aca="false">IF(COUNT('Feijão 2ª safra'!$E40:$Z40)=0,0,MAX(0,IF((O$6-$E$3)&lt;1,0,IFERROR(LOOKUP(2,1/('Feijão 2ª safra'!$E40:INDEX('Feijão 2ª safra'!$E40:$Z40,MIN(O$6-$E$3,22))&lt;&gt;""),'Feijão 2ª safra'!$E40:INDEX('Feijão 2ª safra'!$E40:$Z40,MIN(O$6-$E$3,22))),0))-IF($G$2,0,IF((O$6-$G$3)&lt;1,0,IFERROR(LOOKUP(2,1/('Feijão 2ª safra'!$E40:INDEX('Feijão 2ª safra'!$E40:$Z40,MIN(O$6-$G$3,22))&lt;&gt;""),'Feijão 2ª safra'!$E40:INDEX('Feijão 2ª safra'!$E40:$Z40,MIN(O$6-$G$3,22))),0)))))</f>
        <v>0</v>
      </c>
      <c r="P42" s="27" t="n">
        <f aca="false">IF(COUNT('Feijão 2ª safra'!$E40:$Z40)=0,0,MAX(0,IF((P$6-$E$3)&lt;1,0,IFERROR(LOOKUP(2,1/('Feijão 2ª safra'!$E40:INDEX('Feijão 2ª safra'!$E40:$Z40,MIN(P$6-$E$3,22))&lt;&gt;""),'Feijão 2ª safra'!$E40:INDEX('Feijão 2ª safra'!$E40:$Z40,MIN(P$6-$E$3,22))),0))-IF($G$2,0,IF((P$6-$G$3)&lt;1,0,IFERROR(LOOKUP(2,1/('Feijão 2ª safra'!$E40:INDEX('Feijão 2ª safra'!$E40:$Z40,MIN(P$6-$G$3,22))&lt;&gt;""),'Feijão 2ª safra'!$E40:INDEX('Feijão 2ª safra'!$E40:$Z40,MIN(P$6-$G$3,22))),0)))))</f>
        <v>0</v>
      </c>
      <c r="Q42" s="27" t="n">
        <f aca="false">IF(COUNT('Feijão 2ª safra'!$E40:$Z40)=0,0,MAX(0,IF((Q$6-$E$3)&lt;1,0,IFERROR(LOOKUP(2,1/('Feijão 2ª safra'!$E40:INDEX('Feijão 2ª safra'!$E40:$Z40,MIN(Q$6-$E$3,22))&lt;&gt;""),'Feijão 2ª safra'!$E40:INDEX('Feijão 2ª safra'!$E40:$Z40,MIN(Q$6-$E$3,22))),0))-IF($G$2,0,IF((Q$6-$G$3)&lt;1,0,IFERROR(LOOKUP(2,1/('Feijão 2ª safra'!$E40:INDEX('Feijão 2ª safra'!$E40:$Z40,MIN(Q$6-$G$3,22))&lt;&gt;""),'Feijão 2ª safra'!$E40:INDEX('Feijão 2ª safra'!$E40:$Z40,MIN(Q$6-$G$3,22))),0)))))</f>
        <v>0</v>
      </c>
      <c r="R42" s="27" t="n">
        <f aca="false">IF(COUNT('Feijão 2ª safra'!$E40:$Z40)=0,0,MAX(0,IF((R$6-$E$3)&lt;1,0,IFERROR(LOOKUP(2,1/('Feijão 2ª safra'!$E40:INDEX('Feijão 2ª safra'!$E40:$Z40,MIN(R$6-$E$3,22))&lt;&gt;""),'Feijão 2ª safra'!$E40:INDEX('Feijão 2ª safra'!$E40:$Z40,MIN(R$6-$E$3,22))),0))-IF($G$2,0,IF((R$6-$G$3)&lt;1,0,IFERROR(LOOKUP(2,1/('Feijão 2ª safra'!$E40:INDEX('Feijão 2ª safra'!$E40:$Z40,MIN(R$6-$G$3,22))&lt;&gt;""),'Feijão 2ª safra'!$E40:INDEX('Feijão 2ª safra'!$E40:$Z40,MIN(R$6-$G$3,22))),0)))))</f>
        <v>0</v>
      </c>
      <c r="S42" s="27" t="n">
        <f aca="false">IF(COUNT('Feijão 2ª safra'!$E40:$Z40)=0,0,MAX(0,IF((S$6-$E$3)&lt;1,0,IFERROR(LOOKUP(2,1/('Feijão 2ª safra'!$E40:INDEX('Feijão 2ª safra'!$E40:$Z40,MIN(S$6-$E$3,22))&lt;&gt;""),'Feijão 2ª safra'!$E40:INDEX('Feijão 2ª safra'!$E40:$Z40,MIN(S$6-$E$3,22))),0))-IF($G$2,0,IF((S$6-$G$3)&lt;1,0,IFERROR(LOOKUP(2,1/('Feijão 2ª safra'!$E40:INDEX('Feijão 2ª safra'!$E40:$Z40,MIN(S$6-$G$3,22))&lt;&gt;""),'Feijão 2ª safra'!$E40:INDEX('Feijão 2ª safra'!$E40:$Z40,MIN(S$6-$G$3,22))),0)))))</f>
        <v>0</v>
      </c>
      <c r="T42" s="27" t="n">
        <f aca="false">IF(COUNT('Feijão 2ª safra'!$E40:$Z40)=0,0,MAX(0,IF((T$6-$E$3)&lt;1,0,IFERROR(LOOKUP(2,1/('Feijão 2ª safra'!$E40:INDEX('Feijão 2ª safra'!$E40:$Z40,MIN(T$6-$E$3,22))&lt;&gt;""),'Feijão 2ª safra'!$E40:INDEX('Feijão 2ª safra'!$E40:$Z40,MIN(T$6-$E$3,22))),0))-IF($G$2,0,IF((T$6-$G$3)&lt;1,0,IFERROR(LOOKUP(2,1/('Feijão 2ª safra'!$E40:INDEX('Feijão 2ª safra'!$E40:$Z40,MIN(T$6-$G$3,22))&lt;&gt;""),'Feijão 2ª safra'!$E40:INDEX('Feijão 2ª safra'!$E40:$Z40,MIN(T$6-$G$3,22))),0)))))</f>
        <v>0</v>
      </c>
      <c r="U42" s="27" t="n">
        <f aca="false">IF(COUNT('Feijão 2ª safra'!$E40:$Z40)=0,0,MAX(0,IF((U$6-$E$3)&lt;1,0,IFERROR(LOOKUP(2,1/('Feijão 2ª safra'!$E40:INDEX('Feijão 2ª safra'!$E40:$Z40,MIN(U$6-$E$3,22))&lt;&gt;""),'Feijão 2ª safra'!$E40:INDEX('Feijão 2ª safra'!$E40:$Z40,MIN(U$6-$E$3,22))),0))-IF($G$2,0,IF((U$6-$G$3)&lt;1,0,IFERROR(LOOKUP(2,1/('Feijão 2ª safra'!$E40:INDEX('Feijão 2ª safra'!$E40:$Z40,MIN(U$6-$G$3,22))&lt;&gt;""),'Feijão 2ª safra'!$E40:INDEX('Feijão 2ª safra'!$E40:$Z40,MIN(U$6-$G$3,22))),0)))))</f>
        <v>0</v>
      </c>
      <c r="V42" s="27" t="n">
        <f aca="false">IF(COUNT('Feijão 2ª safra'!$E40:$Z40)=0,0,MAX(0,IF((V$6-$E$3)&lt;1,0,IFERROR(LOOKUP(2,1/('Feijão 2ª safra'!$E40:INDEX('Feijão 2ª safra'!$E40:$Z40,MIN(V$6-$E$3,22))&lt;&gt;""),'Feijão 2ª safra'!$E40:INDEX('Feijão 2ª safra'!$E40:$Z40,MIN(V$6-$E$3,22))),0))-IF($G$2,0,IF((V$6-$G$3)&lt;1,0,IFERROR(LOOKUP(2,1/('Feijão 2ª safra'!$E40:INDEX('Feijão 2ª safra'!$E40:$Z40,MIN(V$6-$G$3,22))&lt;&gt;""),'Feijão 2ª safra'!$E40:INDEX('Feijão 2ª safra'!$E40:$Z40,MIN(V$6-$G$3,22))),0)))))</f>
        <v>0</v>
      </c>
      <c r="W42" s="27" t="n">
        <f aca="false">IF(COUNT('Feijão 2ª safra'!$E40:$Z40)=0,0,MAX(0,IF((W$6-$E$3)&lt;1,0,IFERROR(LOOKUP(2,1/('Feijão 2ª safra'!$E40:INDEX('Feijão 2ª safra'!$E40:$Z40,MIN(W$6-$E$3,22))&lt;&gt;""),'Feijão 2ª safra'!$E40:INDEX('Feijão 2ª safra'!$E40:$Z40,MIN(W$6-$E$3,22))),0))-IF($G$2,0,IF((W$6-$G$3)&lt;1,0,IFERROR(LOOKUP(2,1/('Feijão 2ª safra'!$E40:INDEX('Feijão 2ª safra'!$E40:$Z40,MIN(W$6-$G$3,22))&lt;&gt;""),'Feijão 2ª safra'!$E40:INDEX('Feijão 2ª safra'!$E40:$Z40,MIN(W$6-$G$3,22))),0)))))</f>
        <v>0</v>
      </c>
      <c r="X42" s="27" t="n">
        <f aca="false">IF(COUNT('Feijão 2ª safra'!$E40:$Z40)=0,0,MAX(0,IF((X$6-$E$3)&lt;1,0,IFERROR(LOOKUP(2,1/('Feijão 2ª safra'!$E40:INDEX('Feijão 2ª safra'!$E40:$Z40,MIN(X$6-$E$3,22))&lt;&gt;""),'Feijão 2ª safra'!$E40:INDEX('Feijão 2ª safra'!$E40:$Z40,MIN(X$6-$E$3,22))),0))-IF($G$2,0,IF((X$6-$G$3)&lt;1,0,IFERROR(LOOKUP(2,1/('Feijão 2ª safra'!$E40:INDEX('Feijão 2ª safra'!$E40:$Z40,MIN(X$6-$G$3,22))&lt;&gt;""),'Feijão 2ª safra'!$E40:INDEX('Feijão 2ª safra'!$E40:$Z40,MIN(X$6-$G$3,22))),0)))))</f>
        <v>0</v>
      </c>
      <c r="Y42" s="27" t="n">
        <f aca="false">IF(COUNT('Feijão 2ª safra'!$E40:$Z40)=0,0,MAX(0,IF((Y$6-$E$3)&lt;1,0,IFERROR(LOOKUP(2,1/('Feijão 2ª safra'!$E40:INDEX('Feijão 2ª safra'!$E40:$Z40,MIN(Y$6-$E$3,22))&lt;&gt;""),'Feijão 2ª safra'!$E40:INDEX('Feijão 2ª safra'!$E40:$Z40,MIN(Y$6-$E$3,22))),0))-IF($G$2,0,IF((Y$6-$G$3)&lt;1,0,IFERROR(LOOKUP(2,1/('Feijão 2ª safra'!$E40:INDEX('Feijão 2ª safra'!$E40:$Z40,MIN(Y$6-$G$3,22))&lt;&gt;""),'Feijão 2ª safra'!$E40:INDEX('Feijão 2ª safra'!$E40:$Z40,MIN(Y$6-$G$3,22))),0)))))</f>
        <v>0</v>
      </c>
      <c r="Z42" s="27" t="n">
        <f aca="false">IF(COUNT('Feijão 2ª safra'!$E40:$Z40)=0,0,MAX(0,IF((Z$6-$E$3)&lt;1,0,IFERROR(LOOKUP(2,1/('Feijão 2ª safra'!$E40:INDEX('Feijão 2ª safra'!$E40:$Z40,MIN(Z$6-$E$3,22))&lt;&gt;""),'Feijão 2ª safra'!$E40:INDEX('Feijão 2ª safra'!$E40:$Z40,MIN(Z$6-$E$3,22))),0))-IF($G$2,0,IF((Z$6-$G$3)&lt;1,0,IFERROR(LOOKUP(2,1/('Feijão 2ª safra'!$E40:INDEX('Feijão 2ª safra'!$E40:$Z40,MIN(Z$6-$G$3,22))&lt;&gt;""),'Feijão 2ª safra'!$E40:INDEX('Feijão 2ª safra'!$E40:$Z40,MIN(Z$6-$G$3,22))),0)))))</f>
        <v>0</v>
      </c>
      <c r="AA42" s="27" t="n">
        <f aca="false">IF(COUNT('Feijão 2ª safra'!$E40:$Z40)=0,0,MAX(0,IF((AA$6-$E$3)&lt;1,0,IFERROR(LOOKUP(2,1/('Feijão 2ª safra'!$E40:INDEX('Feijão 2ª safra'!$E40:$Z40,MIN(AA$6-$E$3,22))&lt;&gt;""),'Feijão 2ª safra'!$E40:INDEX('Feijão 2ª safra'!$E40:$Z40,MIN(AA$6-$E$3,22))),0))-IF($G$2,0,IF((AA$6-$G$3)&lt;1,0,IFERROR(LOOKUP(2,1/('Feijão 2ª safra'!$E40:INDEX('Feijão 2ª safra'!$E40:$Z40,MIN(AA$6-$G$3,22))&lt;&gt;""),'Feijão 2ª safra'!$E40:INDEX('Feijão 2ª safra'!$E40:$Z40,MIN(AA$6-$G$3,22))),0)))))</f>
        <v>0</v>
      </c>
      <c r="AB42" s="27" t="n">
        <f aca="false">IF(COUNT('Feijão 2ª safra'!$E40:$Z40)=0,0,MAX(0,IF((AB$6-$E$3)&lt;1,0,IFERROR(LOOKUP(2,1/('Feijão 2ª safra'!$E40:INDEX('Feijão 2ª safra'!$E40:$Z40,MIN(AB$6-$E$3,22))&lt;&gt;""),'Feijão 2ª safra'!$E40:INDEX('Feijão 2ª safra'!$E40:$Z40,MIN(AB$6-$E$3,22))),0))-IF($G$2,0,IF((AB$6-$G$3)&lt;1,0,IFERROR(LOOKUP(2,1/('Feijão 2ª safra'!$E40:INDEX('Feijão 2ª safra'!$E40:$Z40,MIN(AB$6-$G$3,22))&lt;&gt;""),'Feijão 2ª safra'!$E40:INDEX('Feijão 2ª safra'!$E40:$Z40,MIN(AB$6-$G$3,22))),0)))))</f>
        <v>0</v>
      </c>
      <c r="AC42" s="27" t="n">
        <f aca="false">IF(COUNT('Feijão 2ª safra'!$E40:$Z40)=0,0,MAX(0,IF((AC$6-$E$3)&lt;1,0,IFERROR(LOOKUP(2,1/('Feijão 2ª safra'!$E40:INDEX('Feijão 2ª safra'!$E40:$Z40,MIN(AC$6-$E$3,22))&lt;&gt;""),'Feijão 2ª safra'!$E40:INDEX('Feijão 2ª safra'!$E40:$Z40,MIN(AC$6-$E$3,22))),0))-IF($G$2,0,IF((AC$6-$G$3)&lt;1,0,IFERROR(LOOKUP(2,1/('Feijão 2ª safra'!$E40:INDEX('Feijão 2ª safra'!$E40:$Z40,MIN(AC$6-$G$3,22))&lt;&gt;""),'Feijão 2ª safra'!$E40:INDEX('Feijão 2ª safra'!$E40:$Z40,MIN(AC$6-$G$3,22))),0)))))</f>
        <v>0</v>
      </c>
      <c r="AD42" s="27" t="n">
        <f aca="false">IF(COUNT('Feijão 2ª safra'!$E40:$Z40)=0,0,MAX(0,IF((AD$6-$E$3)&lt;1,0,IFERROR(LOOKUP(2,1/('Feijão 2ª safra'!$E40:INDEX('Feijão 2ª safra'!$E40:$Z40,MIN(AD$6-$E$3,22))&lt;&gt;""),'Feijão 2ª safra'!$E40:INDEX('Feijão 2ª safra'!$E40:$Z40,MIN(AD$6-$E$3,22))),0))-IF($G$2,0,IF((AD$6-$G$3)&lt;1,0,IFERROR(LOOKUP(2,1/('Feijão 2ª safra'!$E40:INDEX('Feijão 2ª safra'!$E40:$Z40,MIN(AD$6-$G$3,22))&lt;&gt;""),'Feijão 2ª safra'!$E40:INDEX('Feijão 2ª safra'!$E40:$Z40,MIN(AD$6-$G$3,22))),0)))))</f>
        <v>0</v>
      </c>
      <c r="AE42" s="27" t="n">
        <f aca="false">IF(COUNT('Feijão 2ª safra'!$E40:$Z40)=0,0,MAX(0,IF((AE$6-$E$3)&lt;1,0,IFERROR(LOOKUP(2,1/('Feijão 2ª safra'!$E40:INDEX('Feijão 2ª safra'!$E40:$Z40,MIN(AE$6-$E$3,22))&lt;&gt;""),'Feijão 2ª safra'!$E40:INDEX('Feijão 2ª safra'!$E40:$Z40,MIN(AE$6-$E$3,22))),0))-IF($G$2,0,IF((AE$6-$G$3)&lt;1,0,IFERROR(LOOKUP(2,1/('Feijão 2ª safra'!$E40:INDEX('Feijão 2ª safra'!$E40:$Z40,MIN(AE$6-$G$3,22))&lt;&gt;""),'Feijão 2ª safra'!$E40:INDEX('Feijão 2ª safra'!$E40:$Z40,MIN(AE$6-$G$3,22))),0)))))</f>
        <v>0</v>
      </c>
      <c r="AF42" s="27" t="n">
        <f aca="false">IF(COUNT('Feijão 2ª safra'!$E40:$Z40)=0,0,MAX(0,IF((AF$6-$E$3)&lt;1,0,IFERROR(LOOKUP(2,1/('Feijão 2ª safra'!$E40:INDEX('Feijão 2ª safra'!$E40:$Z40,MIN(AF$6-$E$3,22))&lt;&gt;""),'Feijão 2ª safra'!$E40:INDEX('Feijão 2ª safra'!$E40:$Z40,MIN(AF$6-$E$3,22))),0))-IF($G$2,0,IF((AF$6-$G$3)&lt;1,0,IFERROR(LOOKUP(2,1/('Feijão 2ª safra'!$E40:INDEX('Feijão 2ª safra'!$E40:$Z40,MIN(AF$6-$G$3,22))&lt;&gt;""),'Feijão 2ª safra'!$E40:INDEX('Feijão 2ª safra'!$E40:$Z40,MIN(AF$6-$G$3,22))),0)))))</f>
        <v>0</v>
      </c>
      <c r="AG42" s="27" t="n">
        <f aca="false">IF(COUNT('Feijão 2ª safra'!$E40:$Z40)=0,0,MAX(0,IF((AG$6-$E$3)&lt;1,0,IFERROR(LOOKUP(2,1/('Feijão 2ª safra'!$E40:INDEX('Feijão 2ª safra'!$E40:$Z40,MIN(AG$6-$E$3,22))&lt;&gt;""),'Feijão 2ª safra'!$E40:INDEX('Feijão 2ª safra'!$E40:$Z40,MIN(AG$6-$E$3,22))),0))-IF($G$2,0,IF((AG$6-$G$3)&lt;1,0,IFERROR(LOOKUP(2,1/('Feijão 2ª safra'!$E40:INDEX('Feijão 2ª safra'!$E40:$Z40,MIN(AG$6-$G$3,22))&lt;&gt;""),'Feijão 2ª safra'!$E40:INDEX('Feijão 2ª safra'!$E40:$Z40,MIN(AG$6-$G$3,22))),0)))))</f>
        <v>0</v>
      </c>
      <c r="AH42" s="27" t="n">
        <f aca="false">IF(COUNT('Feijão 2ª safra'!$E40:$Z40)=0,0,MAX(0,IF((AH$6-$E$3)&lt;1,0,IFERROR(LOOKUP(2,1/('Feijão 2ª safra'!$E40:INDEX('Feijão 2ª safra'!$E40:$Z40,MIN(AH$6-$E$3,22))&lt;&gt;""),'Feijão 2ª safra'!$E40:INDEX('Feijão 2ª safra'!$E40:$Z40,MIN(AH$6-$E$3,22))),0))-IF($G$2,0,IF((AH$6-$G$3)&lt;1,0,IFERROR(LOOKUP(2,1/('Feijão 2ª safra'!$E40:INDEX('Feijão 2ª safra'!$E40:$Z40,MIN(AH$6-$G$3,22))&lt;&gt;""),'Feijão 2ª safra'!$E40:INDEX('Feijão 2ª safra'!$E40:$Z40,MIN(AH$6-$G$3,22))),0)))))</f>
        <v>0</v>
      </c>
      <c r="AI42" s="27" t="n">
        <f aca="false">IF(COUNT('Feijão 2ª safra'!$E40:$Z40)=0,0,MAX(0,IF((AI$6-$E$3)&lt;1,0,IFERROR(LOOKUP(2,1/('Feijão 2ª safra'!$E40:INDEX('Feijão 2ª safra'!$E40:$Z40,MIN(AI$6-$E$3,22))&lt;&gt;""),'Feijão 2ª safra'!$E40:INDEX('Feijão 2ª safra'!$E40:$Z40,MIN(AI$6-$E$3,22))),0))-IF($G$2,0,IF((AI$6-$G$3)&lt;1,0,IFERROR(LOOKUP(2,1/('Feijão 2ª safra'!$E40:INDEX('Feijão 2ª safra'!$E40:$Z40,MIN(AI$6-$G$3,22))&lt;&gt;""),'Feijão 2ª safra'!$E40:INDEX('Feijão 2ª safra'!$E40:$Z40,MIN(AI$6-$G$3,22))),0)))))</f>
        <v>0</v>
      </c>
      <c r="AJ42" s="27" t="n">
        <f aca="false">IF(COUNT('Feijão 2ª safra'!$E40:$Z40)=0,0,MAX(0,IF((AJ$6-$E$3)&lt;1,0,IFERROR(LOOKUP(2,1/('Feijão 2ª safra'!$E40:INDEX('Feijão 2ª safra'!$E40:$Z40,MIN(AJ$6-$E$3,22))&lt;&gt;""),'Feijão 2ª safra'!$E40:INDEX('Feijão 2ª safra'!$E40:$Z40,MIN(AJ$6-$E$3,22))),0))-IF($G$2,0,IF((AJ$6-$G$3)&lt;1,0,IFERROR(LOOKUP(2,1/('Feijão 2ª safra'!$E40:INDEX('Feijão 2ª safra'!$E40:$Z40,MIN(AJ$6-$G$3,22))&lt;&gt;""),'Feijão 2ª safra'!$E40:INDEX('Feijão 2ª safra'!$E40:$Z40,MIN(AJ$6-$G$3,22))),0)))))</f>
        <v>0</v>
      </c>
      <c r="AK42" s="27" t="n">
        <f aca="false">IF(COUNT('Feijão 2ª safra'!$E40:$Z40)=0,0,MAX(0,IF((AK$6-$E$3)&lt;1,0,IFERROR(LOOKUP(2,1/('Feijão 2ª safra'!$E40:INDEX('Feijão 2ª safra'!$E40:$Z40,MIN(AK$6-$E$3,22))&lt;&gt;""),'Feijão 2ª safra'!$E40:INDEX('Feijão 2ª safra'!$E40:$Z40,MIN(AK$6-$E$3,22))),0))-IF($G$2,0,IF((AK$6-$G$3)&lt;1,0,IFERROR(LOOKUP(2,1/('Feijão 2ª safra'!$E40:INDEX('Feijão 2ª safra'!$E40:$Z40,MIN(AK$6-$G$3,22))&lt;&gt;""),'Feijão 2ª safra'!$E40:INDEX('Feijão 2ª safra'!$E40:$Z40,MIN(AK$6-$G$3,22))),0)))))</f>
        <v>0</v>
      </c>
      <c r="AL42" s="27" t="n">
        <f aca="false">IF(COUNT('Feijão 2ª safra'!$E40:$Z40)=0,0,MAX(0,IF((AL$6-$E$3)&lt;1,0,IFERROR(LOOKUP(2,1/('Feijão 2ª safra'!$E40:INDEX('Feijão 2ª safra'!$E40:$Z40,MIN(AL$6-$E$3,22))&lt;&gt;""),'Feijão 2ª safra'!$E40:INDEX('Feijão 2ª safra'!$E40:$Z40,MIN(AL$6-$E$3,22))),0))-IF($G$2,0,IF((AL$6-$G$3)&lt;1,0,IFERROR(LOOKUP(2,1/('Feijão 2ª safra'!$E40:INDEX('Feijão 2ª safra'!$E40:$Z40,MIN(AL$6-$G$3,22))&lt;&gt;""),'Feijão 2ª safra'!$E40:INDEX('Feijão 2ª safra'!$E40:$Z40,MIN(AL$6-$G$3,22))),0)))))</f>
        <v>0</v>
      </c>
      <c r="AM42" s="27" t="n">
        <f aca="false">IF(COUNT('Feijão 2ª safra'!$E40:$Z40)=0,0,MAX(0,IF((AM$6-$E$3)&lt;1,0,IFERROR(LOOKUP(2,1/('Feijão 2ª safra'!$E40:INDEX('Feijão 2ª safra'!$E40:$Z40,MIN(AM$6-$E$3,22))&lt;&gt;""),'Feijão 2ª safra'!$E40:INDEX('Feijão 2ª safra'!$E40:$Z40,MIN(AM$6-$E$3,22))),0))-IF($G$2,0,IF((AM$6-$G$3)&lt;1,0,IFERROR(LOOKUP(2,1/('Feijão 2ª safra'!$E40:INDEX('Feijão 2ª safra'!$E40:$Z40,MIN(AM$6-$G$3,22))&lt;&gt;""),'Feijão 2ª safra'!$E40:INDEX('Feijão 2ª safra'!$E40:$Z40,MIN(AM$6-$G$3,22))),0)))))</f>
        <v>0</v>
      </c>
      <c r="AN42" s="27" t="n">
        <f aca="false">IF(COUNT('Feijão 2ª safra'!$E40:$Z40)=0,0,MAX(0,IF((AN$6-$E$3)&lt;1,0,IFERROR(LOOKUP(2,1/('Feijão 2ª safra'!$E40:INDEX('Feijão 2ª safra'!$E40:$Z40,MIN(AN$6-$E$3,22))&lt;&gt;""),'Feijão 2ª safra'!$E40:INDEX('Feijão 2ª safra'!$E40:$Z40,MIN(AN$6-$E$3,22))),0))-IF($G$2,0,IF((AN$6-$G$3)&lt;1,0,IFERROR(LOOKUP(2,1/('Feijão 2ª safra'!$E40:INDEX('Feijão 2ª safra'!$E40:$Z40,MIN(AN$6-$G$3,22))&lt;&gt;""),'Feijão 2ª safra'!$E40:INDEX('Feijão 2ª safra'!$E40:$Z40,MIN(AN$6-$G$3,22))),0)))))</f>
        <v>0</v>
      </c>
      <c r="AO42" s="27" t="n">
        <f aca="false">IF(COUNT('Feijão 2ª safra'!$E40:$Z40)=0,0,MAX(0,IF((AO$6-$E$3)&lt;1,0,IFERROR(LOOKUP(2,1/('Feijão 2ª safra'!$E40:INDEX('Feijão 2ª safra'!$E40:$Z40,MIN(AO$6-$E$3,22))&lt;&gt;""),'Feijão 2ª safra'!$E40:INDEX('Feijão 2ª safra'!$E40:$Z40,MIN(AO$6-$E$3,22))),0))-IF($G$2,0,IF((AO$6-$G$3)&lt;1,0,IFERROR(LOOKUP(2,1/('Feijão 2ª safra'!$E40:INDEX('Feijão 2ª safra'!$E40:$Z40,MIN(AO$6-$G$3,22))&lt;&gt;""),'Feijão 2ª safra'!$E40:INDEX('Feijão 2ª safra'!$E40:$Z40,MIN(AO$6-$G$3,22))),0)))))</f>
        <v>0</v>
      </c>
      <c r="AP42" s="27" t="n">
        <f aca="false">IF(COUNT('Feijão 2ª safra'!$E40:$Z40)=0,0,MAX(0,IF((AP$6-$E$3)&lt;1,0,IFERROR(LOOKUP(2,1/('Feijão 2ª safra'!$E40:INDEX('Feijão 2ª safra'!$E40:$Z40,MIN(AP$6-$E$3,22))&lt;&gt;""),'Feijão 2ª safra'!$E40:INDEX('Feijão 2ª safra'!$E40:$Z40,MIN(AP$6-$E$3,22))),0))-IF($G$2,0,IF((AP$6-$G$3)&lt;1,0,IFERROR(LOOKUP(2,1/('Feijão 2ª safra'!$E40:INDEX('Feijão 2ª safra'!$E40:$Z40,MIN(AP$6-$G$3,22))&lt;&gt;""),'Feijão 2ª safra'!$E40:INDEX('Feijão 2ª safra'!$E40:$Z40,MIN(AP$6-$G$3,22))),0)))))</f>
        <v>0</v>
      </c>
      <c r="AQ42" s="27" t="n">
        <f aca="false">IF(COUNT('Feijão 2ª safra'!$E40:$Z40)=0,0,MAX(0,IF((AQ$6-$E$3)&lt;1,0,IFERROR(LOOKUP(2,1/('Feijão 2ª safra'!$E40:INDEX('Feijão 2ª safra'!$E40:$Z40,MIN(AQ$6-$E$3,22))&lt;&gt;""),'Feijão 2ª safra'!$E40:INDEX('Feijão 2ª safra'!$E40:$Z40,MIN(AQ$6-$E$3,22))),0))-IF($G$2,0,IF((AQ$6-$G$3)&lt;1,0,IFERROR(LOOKUP(2,1/('Feijão 2ª safra'!$E40:INDEX('Feijão 2ª safra'!$E40:$Z40,MIN(AQ$6-$G$3,22))&lt;&gt;""),'Feijão 2ª safra'!$E40:INDEX('Feijão 2ª safra'!$E40:$Z40,MIN(AQ$6-$G$3,22))),0)))))</f>
        <v>0</v>
      </c>
      <c r="AR42" s="27" t="n">
        <f aca="false">IF(COUNT('Feijão 2ª safra'!$E40:$Z40)=0,0,MAX(0,IF((AR$6-$E$3)&lt;1,0,IFERROR(LOOKUP(2,1/('Feijão 2ª safra'!$E40:INDEX('Feijão 2ª safra'!$E40:$Z40,MIN(AR$6-$E$3,22))&lt;&gt;""),'Feijão 2ª safra'!$E40:INDEX('Feijão 2ª safra'!$E40:$Z40,MIN(AR$6-$E$3,22))),0))-IF($G$2,0,IF((AR$6-$G$3)&lt;1,0,IFERROR(LOOKUP(2,1/('Feijão 2ª safra'!$E40:INDEX('Feijão 2ª safra'!$E40:$Z40,MIN(AR$6-$G$3,22))&lt;&gt;""),'Feijão 2ª safra'!$E40:INDEX('Feijão 2ª safra'!$E40:$Z40,MIN(AR$6-$G$3,22))),0)))))</f>
        <v>0</v>
      </c>
      <c r="AS42" s="27" t="n">
        <f aca="false">IF(COUNT('Feijão 2ª safra'!$E40:$Z40)=0,0,MAX(0,IF((AS$6-$E$3)&lt;1,0,IFERROR(LOOKUP(2,1/('Feijão 2ª safra'!$E40:INDEX('Feijão 2ª safra'!$E40:$Z40,MIN(AS$6-$E$3,22))&lt;&gt;""),'Feijão 2ª safra'!$E40:INDEX('Feijão 2ª safra'!$E40:$Z40,MIN(AS$6-$E$3,22))),0))-IF($G$2,0,IF((AS$6-$G$3)&lt;1,0,IFERROR(LOOKUP(2,1/('Feijão 2ª safra'!$E40:INDEX('Feijão 2ª safra'!$E40:$Z40,MIN(AS$6-$G$3,22))&lt;&gt;""),'Feijão 2ª safra'!$E40:INDEX('Feijão 2ª safra'!$E40:$Z40,MIN(AS$6-$G$3,22))),0)))))</f>
        <v>0</v>
      </c>
      <c r="AT42" s="27" t="n">
        <f aca="false">IF(COUNT('Feijão 2ª safra'!$E40:$Z40)=0,0,MAX(0,IF((AT$6-$E$3)&lt;1,0,IFERROR(LOOKUP(2,1/('Feijão 2ª safra'!$E40:INDEX('Feijão 2ª safra'!$E40:$Z40,MIN(AT$6-$E$3,22))&lt;&gt;""),'Feijão 2ª safra'!$E40:INDEX('Feijão 2ª safra'!$E40:$Z40,MIN(AT$6-$E$3,22))),0))-IF($G$2,0,IF((AT$6-$G$3)&lt;1,0,IFERROR(LOOKUP(2,1/('Feijão 2ª safra'!$E40:INDEX('Feijão 2ª safra'!$E40:$Z40,MIN(AT$6-$G$3,22))&lt;&gt;""),'Feijão 2ª safra'!$E40:INDEX('Feijão 2ª safra'!$E40:$Z40,MIN(AT$6-$G$3,22))),0)))))</f>
        <v>0</v>
      </c>
      <c r="AU42" s="27" t="n">
        <f aca="false">IF(COUNT('Feijão 2ª safra'!$E40:$Z40)=0,0,MAX(0,IF((AU$6-$E$3)&lt;1,0,IFERROR(LOOKUP(2,1/('Feijão 2ª safra'!$E40:INDEX('Feijão 2ª safra'!$E40:$Z40,MIN(AU$6-$E$3,22))&lt;&gt;""),'Feijão 2ª safra'!$E40:INDEX('Feijão 2ª safra'!$E40:$Z40,MIN(AU$6-$E$3,22))),0))-IF($G$2,0,IF((AU$6-$G$3)&lt;1,0,IFERROR(LOOKUP(2,1/('Feijão 2ª safra'!$E40:INDEX('Feijão 2ª safra'!$E40:$Z40,MIN(AU$6-$G$3,22))&lt;&gt;""),'Feijão 2ª safra'!$E40:INDEX('Feijão 2ª safra'!$E40:$Z40,MIN(AU$6-$G$3,22))),0)))))</f>
        <v>0</v>
      </c>
      <c r="AV42" s="27" t="n">
        <f aca="false">IF(COUNT('Feijão 2ª safra'!$E40:$Z40)=0,0,MAX(0,IF((AV$6-$E$3)&lt;1,0,IFERROR(LOOKUP(2,1/('Feijão 2ª safra'!$E40:INDEX('Feijão 2ª safra'!$E40:$Z40,MIN(AV$6-$E$3,22))&lt;&gt;""),'Feijão 2ª safra'!$E40:INDEX('Feijão 2ª safra'!$E40:$Z40,MIN(AV$6-$E$3,22))),0))-IF($G$2,0,IF((AV$6-$G$3)&lt;1,0,IFERROR(LOOKUP(2,1/('Feijão 2ª safra'!$E40:INDEX('Feijão 2ª safra'!$E40:$Z40,MIN(AV$6-$G$3,22))&lt;&gt;""),'Feijão 2ª safra'!$E40:INDEX('Feijão 2ª safra'!$E40:$Z40,MIN(AV$6-$G$3,22))),0)))))</f>
        <v>0</v>
      </c>
      <c r="AW42" s="27" t="n">
        <f aca="false">IF(COUNT('Feijão 2ª safra'!$E40:$Z40)=0,0,MAX(0,IF((AW$6-$E$3)&lt;1,0,IFERROR(LOOKUP(2,1/('Feijão 2ª safra'!$E40:INDEX('Feijão 2ª safra'!$E40:$Z40,MIN(AW$6-$E$3,22))&lt;&gt;""),'Feijão 2ª safra'!$E40:INDEX('Feijão 2ª safra'!$E40:$Z40,MIN(AW$6-$E$3,22))),0))-IF($G$2,0,IF((AW$6-$G$3)&lt;1,0,IFERROR(LOOKUP(2,1/('Feijão 2ª safra'!$E40:INDEX('Feijão 2ª safra'!$E40:$Z40,MIN(AW$6-$G$3,22))&lt;&gt;""),'Feijão 2ª safra'!$E40:INDEX('Feijão 2ª safra'!$E40:$Z40,MIN(AW$6-$G$3,22))),0)))))</f>
        <v>0</v>
      </c>
      <c r="AX42" s="27" t="n">
        <f aca="false">IF(COUNT('Feijão 2ª safra'!$E40:$Z40)=0,0,MAX(0,IF((AX$6-$E$3)&lt;1,0,IFERROR(LOOKUP(2,1/('Feijão 2ª safra'!$E40:INDEX('Feijão 2ª safra'!$E40:$Z40,MIN(AX$6-$E$3,22))&lt;&gt;""),'Feijão 2ª safra'!$E40:INDEX('Feijão 2ª safra'!$E40:$Z40,MIN(AX$6-$E$3,22))),0))-IF($G$2,0,IF((AX$6-$G$3)&lt;1,0,IFERROR(LOOKUP(2,1/('Feijão 2ª safra'!$E40:INDEX('Feijão 2ª safra'!$E40:$Z40,MIN(AX$6-$G$3,22))&lt;&gt;""),'Feijão 2ª safra'!$E40:INDEX('Feijão 2ª safra'!$E40:$Z40,MIN(AX$6-$G$3,22))),0)))))</f>
        <v>0</v>
      </c>
      <c r="AY42" s="27" t="n">
        <f aca="false">IF(COUNT('Feijão 2ª safra'!$E40:$Z40)=0,0,MAX(0,IF((AY$6-$E$3)&lt;1,0,IFERROR(LOOKUP(2,1/('Feijão 2ª safra'!$E40:INDEX('Feijão 2ª safra'!$E40:$Z40,MIN(AY$6-$E$3,22))&lt;&gt;""),'Feijão 2ª safra'!$E40:INDEX('Feijão 2ª safra'!$E40:$Z40,MIN(AY$6-$E$3,22))),0))-IF($G$2,0,IF((AY$6-$G$3)&lt;1,0,IFERROR(LOOKUP(2,1/('Feijão 2ª safra'!$E40:INDEX('Feijão 2ª safra'!$E40:$Z40,MIN(AY$6-$G$3,22))&lt;&gt;""),'Feijão 2ª safra'!$E40:INDEX('Feijão 2ª safra'!$E40:$Z40,MIN(AY$6-$G$3,22))),0)))))</f>
        <v>0</v>
      </c>
      <c r="AZ42" s="27" t="n">
        <f aca="false">IF(COUNT('Feijão 2ª safra'!$E40:$Z40)=0,0,MAX(0,IF((AZ$6-$E$3)&lt;1,0,IFERROR(LOOKUP(2,1/('Feijão 2ª safra'!$E40:INDEX('Feijão 2ª safra'!$E40:$Z40,MIN(AZ$6-$E$3,22))&lt;&gt;""),'Feijão 2ª safra'!$E40:INDEX('Feijão 2ª safra'!$E40:$Z40,MIN(AZ$6-$E$3,22))),0))-IF($G$2,0,IF((AZ$6-$G$3)&lt;1,0,IFERROR(LOOKUP(2,1/('Feijão 2ª safra'!$E40:INDEX('Feijão 2ª safra'!$E40:$Z40,MIN(AZ$6-$G$3,22))&lt;&gt;""),'Feijão 2ª safra'!$E40:INDEX('Feijão 2ª safra'!$E40:$Z40,MIN(AZ$6-$G$3,22))),0)))))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IF(COUNT('Feijão 2ª safra'!$E41:$Z41)&gt;0,N('Feijão 2ª safra'!$D41),0)</f>
        <v>0</v>
      </c>
      <c r="E43" s="27" t="n">
        <f aca="false">IF(COUNT('Feijão 2ª safra'!$E41:$Z41)=0,0,MAX(0,IF((E$6-$E$3)&lt;1,0,IFERROR(LOOKUP(2,1/('Feijão 2ª safra'!$E41:INDEX('Feijão 2ª safra'!$E41:$Z41,MIN(E$6-$E$3,22))&lt;&gt;""),'Feijão 2ª safra'!$E41:INDEX('Feijão 2ª safra'!$E41:$Z41,MIN(E$6-$E$3,22))),0))-IF($G$2,0,IF((E$6-$G$3)&lt;1,0,IFERROR(LOOKUP(2,1/('Feijão 2ª safra'!$E41:INDEX('Feijão 2ª safra'!$E41:$Z41,MIN(E$6-$G$3,22))&lt;&gt;""),'Feijão 2ª safra'!$E41:INDEX('Feijão 2ª safra'!$E41:$Z41,MIN(E$6-$G$3,22))),0)))))</f>
        <v>0</v>
      </c>
      <c r="F43" s="27" t="n">
        <f aca="false">IF(COUNT('Feijão 2ª safra'!$E41:$Z41)=0,0,MAX(0,IF((F$6-$E$3)&lt;1,0,IFERROR(LOOKUP(2,1/('Feijão 2ª safra'!$E41:INDEX('Feijão 2ª safra'!$E41:$Z41,MIN(F$6-$E$3,22))&lt;&gt;""),'Feijão 2ª safra'!$E41:INDEX('Feijão 2ª safra'!$E41:$Z41,MIN(F$6-$E$3,22))),0))-IF($G$2,0,IF((F$6-$G$3)&lt;1,0,IFERROR(LOOKUP(2,1/('Feijão 2ª safra'!$E41:INDEX('Feijão 2ª safra'!$E41:$Z41,MIN(F$6-$G$3,22))&lt;&gt;""),'Feijão 2ª safra'!$E41:INDEX('Feijão 2ª safra'!$E41:$Z41,MIN(F$6-$G$3,22))),0)))))</f>
        <v>0</v>
      </c>
      <c r="G43" s="27" t="n">
        <f aca="false">IF(COUNT('Feijão 2ª safra'!$E41:$Z41)=0,0,MAX(0,IF((G$6-$E$3)&lt;1,0,IFERROR(LOOKUP(2,1/('Feijão 2ª safra'!$E41:INDEX('Feijão 2ª safra'!$E41:$Z41,MIN(G$6-$E$3,22))&lt;&gt;""),'Feijão 2ª safra'!$E41:INDEX('Feijão 2ª safra'!$E41:$Z41,MIN(G$6-$E$3,22))),0))-IF($G$2,0,IF((G$6-$G$3)&lt;1,0,IFERROR(LOOKUP(2,1/('Feijão 2ª safra'!$E41:INDEX('Feijão 2ª safra'!$E41:$Z41,MIN(G$6-$G$3,22))&lt;&gt;""),'Feijão 2ª safra'!$E41:INDEX('Feijão 2ª safra'!$E41:$Z41,MIN(G$6-$G$3,22))),0)))))</f>
        <v>0</v>
      </c>
      <c r="H43" s="27" t="n">
        <f aca="false">IF(COUNT('Feijão 2ª safra'!$E41:$Z41)=0,0,MAX(0,IF((H$6-$E$3)&lt;1,0,IFERROR(LOOKUP(2,1/('Feijão 2ª safra'!$E41:INDEX('Feijão 2ª safra'!$E41:$Z41,MIN(H$6-$E$3,22))&lt;&gt;""),'Feijão 2ª safra'!$E41:INDEX('Feijão 2ª safra'!$E41:$Z41,MIN(H$6-$E$3,22))),0))-IF($G$2,0,IF((H$6-$G$3)&lt;1,0,IFERROR(LOOKUP(2,1/('Feijão 2ª safra'!$E41:INDEX('Feijão 2ª safra'!$E41:$Z41,MIN(H$6-$G$3,22))&lt;&gt;""),'Feijão 2ª safra'!$E41:INDEX('Feijão 2ª safra'!$E41:$Z41,MIN(H$6-$G$3,22))),0)))))</f>
        <v>0</v>
      </c>
      <c r="I43" s="27" t="n">
        <f aca="false">IF(COUNT('Feijão 2ª safra'!$E41:$Z41)=0,0,MAX(0,IF((I$6-$E$3)&lt;1,0,IFERROR(LOOKUP(2,1/('Feijão 2ª safra'!$E41:INDEX('Feijão 2ª safra'!$E41:$Z41,MIN(I$6-$E$3,22))&lt;&gt;""),'Feijão 2ª safra'!$E41:INDEX('Feijão 2ª safra'!$E41:$Z41,MIN(I$6-$E$3,22))),0))-IF($G$2,0,IF((I$6-$G$3)&lt;1,0,IFERROR(LOOKUP(2,1/('Feijão 2ª safra'!$E41:INDEX('Feijão 2ª safra'!$E41:$Z41,MIN(I$6-$G$3,22))&lt;&gt;""),'Feijão 2ª safra'!$E41:INDEX('Feijão 2ª safra'!$E41:$Z41,MIN(I$6-$G$3,22))),0)))))</f>
        <v>0</v>
      </c>
      <c r="J43" s="27" t="n">
        <f aca="false">IF(COUNT('Feijão 2ª safra'!$E41:$Z41)=0,0,MAX(0,IF((J$6-$E$3)&lt;1,0,IFERROR(LOOKUP(2,1/('Feijão 2ª safra'!$E41:INDEX('Feijão 2ª safra'!$E41:$Z41,MIN(J$6-$E$3,22))&lt;&gt;""),'Feijão 2ª safra'!$E41:INDEX('Feijão 2ª safra'!$E41:$Z41,MIN(J$6-$E$3,22))),0))-IF($G$2,0,IF((J$6-$G$3)&lt;1,0,IFERROR(LOOKUP(2,1/('Feijão 2ª safra'!$E41:INDEX('Feijão 2ª safra'!$E41:$Z41,MIN(J$6-$G$3,22))&lt;&gt;""),'Feijão 2ª safra'!$E41:INDEX('Feijão 2ª safra'!$E41:$Z41,MIN(J$6-$G$3,22))),0)))))</f>
        <v>0</v>
      </c>
      <c r="K43" s="27" t="n">
        <f aca="false">IF(COUNT('Feijão 2ª safra'!$E41:$Z41)=0,0,MAX(0,IF((K$6-$E$3)&lt;1,0,IFERROR(LOOKUP(2,1/('Feijão 2ª safra'!$E41:INDEX('Feijão 2ª safra'!$E41:$Z41,MIN(K$6-$E$3,22))&lt;&gt;""),'Feijão 2ª safra'!$E41:INDEX('Feijão 2ª safra'!$E41:$Z41,MIN(K$6-$E$3,22))),0))-IF($G$2,0,IF((K$6-$G$3)&lt;1,0,IFERROR(LOOKUP(2,1/('Feijão 2ª safra'!$E41:INDEX('Feijão 2ª safra'!$E41:$Z41,MIN(K$6-$G$3,22))&lt;&gt;""),'Feijão 2ª safra'!$E41:INDEX('Feijão 2ª safra'!$E41:$Z41,MIN(K$6-$G$3,22))),0)))))</f>
        <v>0</v>
      </c>
      <c r="L43" s="27" t="n">
        <f aca="false">IF(COUNT('Feijão 2ª safra'!$E41:$Z41)=0,0,MAX(0,IF((L$6-$E$3)&lt;1,0,IFERROR(LOOKUP(2,1/('Feijão 2ª safra'!$E41:INDEX('Feijão 2ª safra'!$E41:$Z41,MIN(L$6-$E$3,22))&lt;&gt;""),'Feijão 2ª safra'!$E41:INDEX('Feijão 2ª safra'!$E41:$Z41,MIN(L$6-$E$3,22))),0))-IF($G$2,0,IF((L$6-$G$3)&lt;1,0,IFERROR(LOOKUP(2,1/('Feijão 2ª safra'!$E41:INDEX('Feijão 2ª safra'!$E41:$Z41,MIN(L$6-$G$3,22))&lt;&gt;""),'Feijão 2ª safra'!$E41:INDEX('Feijão 2ª safra'!$E41:$Z41,MIN(L$6-$G$3,22))),0)))))</f>
        <v>0</v>
      </c>
      <c r="M43" s="27" t="n">
        <f aca="false">IF(COUNT('Feijão 2ª safra'!$E41:$Z41)=0,0,MAX(0,IF((M$6-$E$3)&lt;1,0,IFERROR(LOOKUP(2,1/('Feijão 2ª safra'!$E41:INDEX('Feijão 2ª safra'!$E41:$Z41,MIN(M$6-$E$3,22))&lt;&gt;""),'Feijão 2ª safra'!$E41:INDEX('Feijão 2ª safra'!$E41:$Z41,MIN(M$6-$E$3,22))),0))-IF($G$2,0,IF((M$6-$G$3)&lt;1,0,IFERROR(LOOKUP(2,1/('Feijão 2ª safra'!$E41:INDEX('Feijão 2ª safra'!$E41:$Z41,MIN(M$6-$G$3,22))&lt;&gt;""),'Feijão 2ª safra'!$E41:INDEX('Feijão 2ª safra'!$E41:$Z41,MIN(M$6-$G$3,22))),0)))))</f>
        <v>0</v>
      </c>
      <c r="N43" s="27" t="n">
        <f aca="false">IF(COUNT('Feijão 2ª safra'!$E41:$Z41)=0,0,MAX(0,IF((N$6-$E$3)&lt;1,0,IFERROR(LOOKUP(2,1/('Feijão 2ª safra'!$E41:INDEX('Feijão 2ª safra'!$E41:$Z41,MIN(N$6-$E$3,22))&lt;&gt;""),'Feijão 2ª safra'!$E41:INDEX('Feijão 2ª safra'!$E41:$Z41,MIN(N$6-$E$3,22))),0))-IF($G$2,0,IF((N$6-$G$3)&lt;1,0,IFERROR(LOOKUP(2,1/('Feijão 2ª safra'!$E41:INDEX('Feijão 2ª safra'!$E41:$Z41,MIN(N$6-$G$3,22))&lt;&gt;""),'Feijão 2ª safra'!$E41:INDEX('Feijão 2ª safra'!$E41:$Z41,MIN(N$6-$G$3,22))),0)))))</f>
        <v>0</v>
      </c>
      <c r="O43" s="27" t="n">
        <f aca="false">IF(COUNT('Feijão 2ª safra'!$E41:$Z41)=0,0,MAX(0,IF((O$6-$E$3)&lt;1,0,IFERROR(LOOKUP(2,1/('Feijão 2ª safra'!$E41:INDEX('Feijão 2ª safra'!$E41:$Z41,MIN(O$6-$E$3,22))&lt;&gt;""),'Feijão 2ª safra'!$E41:INDEX('Feijão 2ª safra'!$E41:$Z41,MIN(O$6-$E$3,22))),0))-IF($G$2,0,IF((O$6-$G$3)&lt;1,0,IFERROR(LOOKUP(2,1/('Feijão 2ª safra'!$E41:INDEX('Feijão 2ª safra'!$E41:$Z41,MIN(O$6-$G$3,22))&lt;&gt;""),'Feijão 2ª safra'!$E41:INDEX('Feijão 2ª safra'!$E41:$Z41,MIN(O$6-$G$3,22))),0)))))</f>
        <v>0</v>
      </c>
      <c r="P43" s="27" t="n">
        <f aca="false">IF(COUNT('Feijão 2ª safra'!$E41:$Z41)=0,0,MAX(0,IF((P$6-$E$3)&lt;1,0,IFERROR(LOOKUP(2,1/('Feijão 2ª safra'!$E41:INDEX('Feijão 2ª safra'!$E41:$Z41,MIN(P$6-$E$3,22))&lt;&gt;""),'Feijão 2ª safra'!$E41:INDEX('Feijão 2ª safra'!$E41:$Z41,MIN(P$6-$E$3,22))),0))-IF($G$2,0,IF((P$6-$G$3)&lt;1,0,IFERROR(LOOKUP(2,1/('Feijão 2ª safra'!$E41:INDEX('Feijão 2ª safra'!$E41:$Z41,MIN(P$6-$G$3,22))&lt;&gt;""),'Feijão 2ª safra'!$E41:INDEX('Feijão 2ª safra'!$E41:$Z41,MIN(P$6-$G$3,22))),0)))))</f>
        <v>0</v>
      </c>
      <c r="Q43" s="27" t="n">
        <f aca="false">IF(COUNT('Feijão 2ª safra'!$E41:$Z41)=0,0,MAX(0,IF((Q$6-$E$3)&lt;1,0,IFERROR(LOOKUP(2,1/('Feijão 2ª safra'!$E41:INDEX('Feijão 2ª safra'!$E41:$Z41,MIN(Q$6-$E$3,22))&lt;&gt;""),'Feijão 2ª safra'!$E41:INDEX('Feijão 2ª safra'!$E41:$Z41,MIN(Q$6-$E$3,22))),0))-IF($G$2,0,IF((Q$6-$G$3)&lt;1,0,IFERROR(LOOKUP(2,1/('Feijão 2ª safra'!$E41:INDEX('Feijão 2ª safra'!$E41:$Z41,MIN(Q$6-$G$3,22))&lt;&gt;""),'Feijão 2ª safra'!$E41:INDEX('Feijão 2ª safra'!$E41:$Z41,MIN(Q$6-$G$3,22))),0)))))</f>
        <v>0</v>
      </c>
      <c r="R43" s="27" t="n">
        <f aca="false">IF(COUNT('Feijão 2ª safra'!$E41:$Z41)=0,0,MAX(0,IF((R$6-$E$3)&lt;1,0,IFERROR(LOOKUP(2,1/('Feijão 2ª safra'!$E41:INDEX('Feijão 2ª safra'!$E41:$Z41,MIN(R$6-$E$3,22))&lt;&gt;""),'Feijão 2ª safra'!$E41:INDEX('Feijão 2ª safra'!$E41:$Z41,MIN(R$6-$E$3,22))),0))-IF($G$2,0,IF((R$6-$G$3)&lt;1,0,IFERROR(LOOKUP(2,1/('Feijão 2ª safra'!$E41:INDEX('Feijão 2ª safra'!$E41:$Z41,MIN(R$6-$G$3,22))&lt;&gt;""),'Feijão 2ª safra'!$E41:INDEX('Feijão 2ª safra'!$E41:$Z41,MIN(R$6-$G$3,22))),0)))))</f>
        <v>0</v>
      </c>
      <c r="S43" s="27" t="n">
        <f aca="false">IF(COUNT('Feijão 2ª safra'!$E41:$Z41)=0,0,MAX(0,IF((S$6-$E$3)&lt;1,0,IFERROR(LOOKUP(2,1/('Feijão 2ª safra'!$E41:INDEX('Feijão 2ª safra'!$E41:$Z41,MIN(S$6-$E$3,22))&lt;&gt;""),'Feijão 2ª safra'!$E41:INDEX('Feijão 2ª safra'!$E41:$Z41,MIN(S$6-$E$3,22))),0))-IF($G$2,0,IF((S$6-$G$3)&lt;1,0,IFERROR(LOOKUP(2,1/('Feijão 2ª safra'!$E41:INDEX('Feijão 2ª safra'!$E41:$Z41,MIN(S$6-$G$3,22))&lt;&gt;""),'Feijão 2ª safra'!$E41:INDEX('Feijão 2ª safra'!$E41:$Z41,MIN(S$6-$G$3,22))),0)))))</f>
        <v>0</v>
      </c>
      <c r="T43" s="27" t="n">
        <f aca="false">IF(COUNT('Feijão 2ª safra'!$E41:$Z41)=0,0,MAX(0,IF((T$6-$E$3)&lt;1,0,IFERROR(LOOKUP(2,1/('Feijão 2ª safra'!$E41:INDEX('Feijão 2ª safra'!$E41:$Z41,MIN(T$6-$E$3,22))&lt;&gt;""),'Feijão 2ª safra'!$E41:INDEX('Feijão 2ª safra'!$E41:$Z41,MIN(T$6-$E$3,22))),0))-IF($G$2,0,IF((T$6-$G$3)&lt;1,0,IFERROR(LOOKUP(2,1/('Feijão 2ª safra'!$E41:INDEX('Feijão 2ª safra'!$E41:$Z41,MIN(T$6-$G$3,22))&lt;&gt;""),'Feijão 2ª safra'!$E41:INDEX('Feijão 2ª safra'!$E41:$Z41,MIN(T$6-$G$3,22))),0)))))</f>
        <v>0</v>
      </c>
      <c r="U43" s="27" t="n">
        <f aca="false">IF(COUNT('Feijão 2ª safra'!$E41:$Z41)=0,0,MAX(0,IF((U$6-$E$3)&lt;1,0,IFERROR(LOOKUP(2,1/('Feijão 2ª safra'!$E41:INDEX('Feijão 2ª safra'!$E41:$Z41,MIN(U$6-$E$3,22))&lt;&gt;""),'Feijão 2ª safra'!$E41:INDEX('Feijão 2ª safra'!$E41:$Z41,MIN(U$6-$E$3,22))),0))-IF($G$2,0,IF((U$6-$G$3)&lt;1,0,IFERROR(LOOKUP(2,1/('Feijão 2ª safra'!$E41:INDEX('Feijão 2ª safra'!$E41:$Z41,MIN(U$6-$G$3,22))&lt;&gt;""),'Feijão 2ª safra'!$E41:INDEX('Feijão 2ª safra'!$E41:$Z41,MIN(U$6-$G$3,22))),0)))))</f>
        <v>0</v>
      </c>
      <c r="V43" s="27" t="n">
        <f aca="false">IF(COUNT('Feijão 2ª safra'!$E41:$Z41)=0,0,MAX(0,IF((V$6-$E$3)&lt;1,0,IFERROR(LOOKUP(2,1/('Feijão 2ª safra'!$E41:INDEX('Feijão 2ª safra'!$E41:$Z41,MIN(V$6-$E$3,22))&lt;&gt;""),'Feijão 2ª safra'!$E41:INDEX('Feijão 2ª safra'!$E41:$Z41,MIN(V$6-$E$3,22))),0))-IF($G$2,0,IF((V$6-$G$3)&lt;1,0,IFERROR(LOOKUP(2,1/('Feijão 2ª safra'!$E41:INDEX('Feijão 2ª safra'!$E41:$Z41,MIN(V$6-$G$3,22))&lt;&gt;""),'Feijão 2ª safra'!$E41:INDEX('Feijão 2ª safra'!$E41:$Z41,MIN(V$6-$G$3,22))),0)))))</f>
        <v>0</v>
      </c>
      <c r="W43" s="27" t="n">
        <f aca="false">IF(COUNT('Feijão 2ª safra'!$E41:$Z41)=0,0,MAX(0,IF((W$6-$E$3)&lt;1,0,IFERROR(LOOKUP(2,1/('Feijão 2ª safra'!$E41:INDEX('Feijão 2ª safra'!$E41:$Z41,MIN(W$6-$E$3,22))&lt;&gt;""),'Feijão 2ª safra'!$E41:INDEX('Feijão 2ª safra'!$E41:$Z41,MIN(W$6-$E$3,22))),0))-IF($G$2,0,IF((W$6-$G$3)&lt;1,0,IFERROR(LOOKUP(2,1/('Feijão 2ª safra'!$E41:INDEX('Feijão 2ª safra'!$E41:$Z41,MIN(W$6-$G$3,22))&lt;&gt;""),'Feijão 2ª safra'!$E41:INDEX('Feijão 2ª safra'!$E41:$Z41,MIN(W$6-$G$3,22))),0)))))</f>
        <v>0</v>
      </c>
      <c r="X43" s="27" t="n">
        <f aca="false">IF(COUNT('Feijão 2ª safra'!$E41:$Z41)=0,0,MAX(0,IF((X$6-$E$3)&lt;1,0,IFERROR(LOOKUP(2,1/('Feijão 2ª safra'!$E41:INDEX('Feijão 2ª safra'!$E41:$Z41,MIN(X$6-$E$3,22))&lt;&gt;""),'Feijão 2ª safra'!$E41:INDEX('Feijão 2ª safra'!$E41:$Z41,MIN(X$6-$E$3,22))),0))-IF($G$2,0,IF((X$6-$G$3)&lt;1,0,IFERROR(LOOKUP(2,1/('Feijão 2ª safra'!$E41:INDEX('Feijão 2ª safra'!$E41:$Z41,MIN(X$6-$G$3,22))&lt;&gt;""),'Feijão 2ª safra'!$E41:INDEX('Feijão 2ª safra'!$E41:$Z41,MIN(X$6-$G$3,22))),0)))))</f>
        <v>0</v>
      </c>
      <c r="Y43" s="27" t="n">
        <f aca="false">IF(COUNT('Feijão 2ª safra'!$E41:$Z41)=0,0,MAX(0,IF((Y$6-$E$3)&lt;1,0,IFERROR(LOOKUP(2,1/('Feijão 2ª safra'!$E41:INDEX('Feijão 2ª safra'!$E41:$Z41,MIN(Y$6-$E$3,22))&lt;&gt;""),'Feijão 2ª safra'!$E41:INDEX('Feijão 2ª safra'!$E41:$Z41,MIN(Y$6-$E$3,22))),0))-IF($G$2,0,IF((Y$6-$G$3)&lt;1,0,IFERROR(LOOKUP(2,1/('Feijão 2ª safra'!$E41:INDEX('Feijão 2ª safra'!$E41:$Z41,MIN(Y$6-$G$3,22))&lt;&gt;""),'Feijão 2ª safra'!$E41:INDEX('Feijão 2ª safra'!$E41:$Z41,MIN(Y$6-$G$3,22))),0)))))</f>
        <v>0</v>
      </c>
      <c r="Z43" s="27" t="n">
        <f aca="false">IF(COUNT('Feijão 2ª safra'!$E41:$Z41)=0,0,MAX(0,IF((Z$6-$E$3)&lt;1,0,IFERROR(LOOKUP(2,1/('Feijão 2ª safra'!$E41:INDEX('Feijão 2ª safra'!$E41:$Z41,MIN(Z$6-$E$3,22))&lt;&gt;""),'Feijão 2ª safra'!$E41:INDEX('Feijão 2ª safra'!$E41:$Z41,MIN(Z$6-$E$3,22))),0))-IF($G$2,0,IF((Z$6-$G$3)&lt;1,0,IFERROR(LOOKUP(2,1/('Feijão 2ª safra'!$E41:INDEX('Feijão 2ª safra'!$E41:$Z41,MIN(Z$6-$G$3,22))&lt;&gt;""),'Feijão 2ª safra'!$E41:INDEX('Feijão 2ª safra'!$E41:$Z41,MIN(Z$6-$G$3,22))),0)))))</f>
        <v>0</v>
      </c>
      <c r="AA43" s="27" t="n">
        <f aca="false">IF(COUNT('Feijão 2ª safra'!$E41:$Z41)=0,0,MAX(0,IF((AA$6-$E$3)&lt;1,0,IFERROR(LOOKUP(2,1/('Feijão 2ª safra'!$E41:INDEX('Feijão 2ª safra'!$E41:$Z41,MIN(AA$6-$E$3,22))&lt;&gt;""),'Feijão 2ª safra'!$E41:INDEX('Feijão 2ª safra'!$E41:$Z41,MIN(AA$6-$E$3,22))),0))-IF($G$2,0,IF((AA$6-$G$3)&lt;1,0,IFERROR(LOOKUP(2,1/('Feijão 2ª safra'!$E41:INDEX('Feijão 2ª safra'!$E41:$Z41,MIN(AA$6-$G$3,22))&lt;&gt;""),'Feijão 2ª safra'!$E41:INDEX('Feijão 2ª safra'!$E41:$Z41,MIN(AA$6-$G$3,22))),0)))))</f>
        <v>0</v>
      </c>
      <c r="AB43" s="27" t="n">
        <f aca="false">IF(COUNT('Feijão 2ª safra'!$E41:$Z41)=0,0,MAX(0,IF((AB$6-$E$3)&lt;1,0,IFERROR(LOOKUP(2,1/('Feijão 2ª safra'!$E41:INDEX('Feijão 2ª safra'!$E41:$Z41,MIN(AB$6-$E$3,22))&lt;&gt;""),'Feijão 2ª safra'!$E41:INDEX('Feijão 2ª safra'!$E41:$Z41,MIN(AB$6-$E$3,22))),0))-IF($G$2,0,IF((AB$6-$G$3)&lt;1,0,IFERROR(LOOKUP(2,1/('Feijão 2ª safra'!$E41:INDEX('Feijão 2ª safra'!$E41:$Z41,MIN(AB$6-$G$3,22))&lt;&gt;""),'Feijão 2ª safra'!$E41:INDEX('Feijão 2ª safra'!$E41:$Z41,MIN(AB$6-$G$3,22))),0)))))</f>
        <v>0</v>
      </c>
      <c r="AC43" s="27" t="n">
        <f aca="false">IF(COUNT('Feijão 2ª safra'!$E41:$Z41)=0,0,MAX(0,IF((AC$6-$E$3)&lt;1,0,IFERROR(LOOKUP(2,1/('Feijão 2ª safra'!$E41:INDEX('Feijão 2ª safra'!$E41:$Z41,MIN(AC$6-$E$3,22))&lt;&gt;""),'Feijão 2ª safra'!$E41:INDEX('Feijão 2ª safra'!$E41:$Z41,MIN(AC$6-$E$3,22))),0))-IF($G$2,0,IF((AC$6-$G$3)&lt;1,0,IFERROR(LOOKUP(2,1/('Feijão 2ª safra'!$E41:INDEX('Feijão 2ª safra'!$E41:$Z41,MIN(AC$6-$G$3,22))&lt;&gt;""),'Feijão 2ª safra'!$E41:INDEX('Feijão 2ª safra'!$E41:$Z41,MIN(AC$6-$G$3,22))),0)))))</f>
        <v>0</v>
      </c>
      <c r="AD43" s="27" t="n">
        <f aca="false">IF(COUNT('Feijão 2ª safra'!$E41:$Z41)=0,0,MAX(0,IF((AD$6-$E$3)&lt;1,0,IFERROR(LOOKUP(2,1/('Feijão 2ª safra'!$E41:INDEX('Feijão 2ª safra'!$E41:$Z41,MIN(AD$6-$E$3,22))&lt;&gt;""),'Feijão 2ª safra'!$E41:INDEX('Feijão 2ª safra'!$E41:$Z41,MIN(AD$6-$E$3,22))),0))-IF($G$2,0,IF((AD$6-$G$3)&lt;1,0,IFERROR(LOOKUP(2,1/('Feijão 2ª safra'!$E41:INDEX('Feijão 2ª safra'!$E41:$Z41,MIN(AD$6-$G$3,22))&lt;&gt;""),'Feijão 2ª safra'!$E41:INDEX('Feijão 2ª safra'!$E41:$Z41,MIN(AD$6-$G$3,22))),0)))))</f>
        <v>0</v>
      </c>
      <c r="AE43" s="27" t="n">
        <f aca="false">IF(COUNT('Feijão 2ª safra'!$E41:$Z41)=0,0,MAX(0,IF((AE$6-$E$3)&lt;1,0,IFERROR(LOOKUP(2,1/('Feijão 2ª safra'!$E41:INDEX('Feijão 2ª safra'!$E41:$Z41,MIN(AE$6-$E$3,22))&lt;&gt;""),'Feijão 2ª safra'!$E41:INDEX('Feijão 2ª safra'!$E41:$Z41,MIN(AE$6-$E$3,22))),0))-IF($G$2,0,IF((AE$6-$G$3)&lt;1,0,IFERROR(LOOKUP(2,1/('Feijão 2ª safra'!$E41:INDEX('Feijão 2ª safra'!$E41:$Z41,MIN(AE$6-$G$3,22))&lt;&gt;""),'Feijão 2ª safra'!$E41:INDEX('Feijão 2ª safra'!$E41:$Z41,MIN(AE$6-$G$3,22))),0)))))</f>
        <v>0</v>
      </c>
      <c r="AF43" s="27" t="n">
        <f aca="false">IF(COUNT('Feijão 2ª safra'!$E41:$Z41)=0,0,MAX(0,IF((AF$6-$E$3)&lt;1,0,IFERROR(LOOKUP(2,1/('Feijão 2ª safra'!$E41:INDEX('Feijão 2ª safra'!$E41:$Z41,MIN(AF$6-$E$3,22))&lt;&gt;""),'Feijão 2ª safra'!$E41:INDEX('Feijão 2ª safra'!$E41:$Z41,MIN(AF$6-$E$3,22))),0))-IF($G$2,0,IF((AF$6-$G$3)&lt;1,0,IFERROR(LOOKUP(2,1/('Feijão 2ª safra'!$E41:INDEX('Feijão 2ª safra'!$E41:$Z41,MIN(AF$6-$G$3,22))&lt;&gt;""),'Feijão 2ª safra'!$E41:INDEX('Feijão 2ª safra'!$E41:$Z41,MIN(AF$6-$G$3,22))),0)))))</f>
        <v>0</v>
      </c>
      <c r="AG43" s="27" t="n">
        <f aca="false">IF(COUNT('Feijão 2ª safra'!$E41:$Z41)=0,0,MAX(0,IF((AG$6-$E$3)&lt;1,0,IFERROR(LOOKUP(2,1/('Feijão 2ª safra'!$E41:INDEX('Feijão 2ª safra'!$E41:$Z41,MIN(AG$6-$E$3,22))&lt;&gt;""),'Feijão 2ª safra'!$E41:INDEX('Feijão 2ª safra'!$E41:$Z41,MIN(AG$6-$E$3,22))),0))-IF($G$2,0,IF((AG$6-$G$3)&lt;1,0,IFERROR(LOOKUP(2,1/('Feijão 2ª safra'!$E41:INDEX('Feijão 2ª safra'!$E41:$Z41,MIN(AG$6-$G$3,22))&lt;&gt;""),'Feijão 2ª safra'!$E41:INDEX('Feijão 2ª safra'!$E41:$Z41,MIN(AG$6-$G$3,22))),0)))))</f>
        <v>0</v>
      </c>
      <c r="AH43" s="27" t="n">
        <f aca="false">IF(COUNT('Feijão 2ª safra'!$E41:$Z41)=0,0,MAX(0,IF((AH$6-$E$3)&lt;1,0,IFERROR(LOOKUP(2,1/('Feijão 2ª safra'!$E41:INDEX('Feijão 2ª safra'!$E41:$Z41,MIN(AH$6-$E$3,22))&lt;&gt;""),'Feijão 2ª safra'!$E41:INDEX('Feijão 2ª safra'!$E41:$Z41,MIN(AH$6-$E$3,22))),0))-IF($G$2,0,IF((AH$6-$G$3)&lt;1,0,IFERROR(LOOKUP(2,1/('Feijão 2ª safra'!$E41:INDEX('Feijão 2ª safra'!$E41:$Z41,MIN(AH$6-$G$3,22))&lt;&gt;""),'Feijão 2ª safra'!$E41:INDEX('Feijão 2ª safra'!$E41:$Z41,MIN(AH$6-$G$3,22))),0)))))</f>
        <v>0</v>
      </c>
      <c r="AI43" s="27" t="n">
        <f aca="false">IF(COUNT('Feijão 2ª safra'!$E41:$Z41)=0,0,MAX(0,IF((AI$6-$E$3)&lt;1,0,IFERROR(LOOKUP(2,1/('Feijão 2ª safra'!$E41:INDEX('Feijão 2ª safra'!$E41:$Z41,MIN(AI$6-$E$3,22))&lt;&gt;""),'Feijão 2ª safra'!$E41:INDEX('Feijão 2ª safra'!$E41:$Z41,MIN(AI$6-$E$3,22))),0))-IF($G$2,0,IF((AI$6-$G$3)&lt;1,0,IFERROR(LOOKUP(2,1/('Feijão 2ª safra'!$E41:INDEX('Feijão 2ª safra'!$E41:$Z41,MIN(AI$6-$G$3,22))&lt;&gt;""),'Feijão 2ª safra'!$E41:INDEX('Feijão 2ª safra'!$E41:$Z41,MIN(AI$6-$G$3,22))),0)))))</f>
        <v>0</v>
      </c>
      <c r="AJ43" s="27" t="n">
        <f aca="false">IF(COUNT('Feijão 2ª safra'!$E41:$Z41)=0,0,MAX(0,IF((AJ$6-$E$3)&lt;1,0,IFERROR(LOOKUP(2,1/('Feijão 2ª safra'!$E41:INDEX('Feijão 2ª safra'!$E41:$Z41,MIN(AJ$6-$E$3,22))&lt;&gt;""),'Feijão 2ª safra'!$E41:INDEX('Feijão 2ª safra'!$E41:$Z41,MIN(AJ$6-$E$3,22))),0))-IF($G$2,0,IF((AJ$6-$G$3)&lt;1,0,IFERROR(LOOKUP(2,1/('Feijão 2ª safra'!$E41:INDEX('Feijão 2ª safra'!$E41:$Z41,MIN(AJ$6-$G$3,22))&lt;&gt;""),'Feijão 2ª safra'!$E41:INDEX('Feijão 2ª safra'!$E41:$Z41,MIN(AJ$6-$G$3,22))),0)))))</f>
        <v>0</v>
      </c>
      <c r="AK43" s="27" t="n">
        <f aca="false">IF(COUNT('Feijão 2ª safra'!$E41:$Z41)=0,0,MAX(0,IF((AK$6-$E$3)&lt;1,0,IFERROR(LOOKUP(2,1/('Feijão 2ª safra'!$E41:INDEX('Feijão 2ª safra'!$E41:$Z41,MIN(AK$6-$E$3,22))&lt;&gt;""),'Feijão 2ª safra'!$E41:INDEX('Feijão 2ª safra'!$E41:$Z41,MIN(AK$6-$E$3,22))),0))-IF($G$2,0,IF((AK$6-$G$3)&lt;1,0,IFERROR(LOOKUP(2,1/('Feijão 2ª safra'!$E41:INDEX('Feijão 2ª safra'!$E41:$Z41,MIN(AK$6-$G$3,22))&lt;&gt;""),'Feijão 2ª safra'!$E41:INDEX('Feijão 2ª safra'!$E41:$Z41,MIN(AK$6-$G$3,22))),0)))))</f>
        <v>0</v>
      </c>
      <c r="AL43" s="27" t="n">
        <f aca="false">IF(COUNT('Feijão 2ª safra'!$E41:$Z41)=0,0,MAX(0,IF((AL$6-$E$3)&lt;1,0,IFERROR(LOOKUP(2,1/('Feijão 2ª safra'!$E41:INDEX('Feijão 2ª safra'!$E41:$Z41,MIN(AL$6-$E$3,22))&lt;&gt;""),'Feijão 2ª safra'!$E41:INDEX('Feijão 2ª safra'!$E41:$Z41,MIN(AL$6-$E$3,22))),0))-IF($G$2,0,IF((AL$6-$G$3)&lt;1,0,IFERROR(LOOKUP(2,1/('Feijão 2ª safra'!$E41:INDEX('Feijão 2ª safra'!$E41:$Z41,MIN(AL$6-$G$3,22))&lt;&gt;""),'Feijão 2ª safra'!$E41:INDEX('Feijão 2ª safra'!$E41:$Z41,MIN(AL$6-$G$3,22))),0)))))</f>
        <v>0</v>
      </c>
      <c r="AM43" s="27" t="n">
        <f aca="false">IF(COUNT('Feijão 2ª safra'!$E41:$Z41)=0,0,MAX(0,IF((AM$6-$E$3)&lt;1,0,IFERROR(LOOKUP(2,1/('Feijão 2ª safra'!$E41:INDEX('Feijão 2ª safra'!$E41:$Z41,MIN(AM$6-$E$3,22))&lt;&gt;""),'Feijão 2ª safra'!$E41:INDEX('Feijão 2ª safra'!$E41:$Z41,MIN(AM$6-$E$3,22))),0))-IF($G$2,0,IF((AM$6-$G$3)&lt;1,0,IFERROR(LOOKUP(2,1/('Feijão 2ª safra'!$E41:INDEX('Feijão 2ª safra'!$E41:$Z41,MIN(AM$6-$G$3,22))&lt;&gt;""),'Feijão 2ª safra'!$E41:INDEX('Feijão 2ª safra'!$E41:$Z41,MIN(AM$6-$G$3,22))),0)))))</f>
        <v>0</v>
      </c>
      <c r="AN43" s="27" t="n">
        <f aca="false">IF(COUNT('Feijão 2ª safra'!$E41:$Z41)=0,0,MAX(0,IF((AN$6-$E$3)&lt;1,0,IFERROR(LOOKUP(2,1/('Feijão 2ª safra'!$E41:INDEX('Feijão 2ª safra'!$E41:$Z41,MIN(AN$6-$E$3,22))&lt;&gt;""),'Feijão 2ª safra'!$E41:INDEX('Feijão 2ª safra'!$E41:$Z41,MIN(AN$6-$E$3,22))),0))-IF($G$2,0,IF((AN$6-$G$3)&lt;1,0,IFERROR(LOOKUP(2,1/('Feijão 2ª safra'!$E41:INDEX('Feijão 2ª safra'!$E41:$Z41,MIN(AN$6-$G$3,22))&lt;&gt;""),'Feijão 2ª safra'!$E41:INDEX('Feijão 2ª safra'!$E41:$Z41,MIN(AN$6-$G$3,22))),0)))))</f>
        <v>0</v>
      </c>
      <c r="AO43" s="27" t="n">
        <f aca="false">IF(COUNT('Feijão 2ª safra'!$E41:$Z41)=0,0,MAX(0,IF((AO$6-$E$3)&lt;1,0,IFERROR(LOOKUP(2,1/('Feijão 2ª safra'!$E41:INDEX('Feijão 2ª safra'!$E41:$Z41,MIN(AO$6-$E$3,22))&lt;&gt;""),'Feijão 2ª safra'!$E41:INDEX('Feijão 2ª safra'!$E41:$Z41,MIN(AO$6-$E$3,22))),0))-IF($G$2,0,IF((AO$6-$G$3)&lt;1,0,IFERROR(LOOKUP(2,1/('Feijão 2ª safra'!$E41:INDEX('Feijão 2ª safra'!$E41:$Z41,MIN(AO$6-$G$3,22))&lt;&gt;""),'Feijão 2ª safra'!$E41:INDEX('Feijão 2ª safra'!$E41:$Z41,MIN(AO$6-$G$3,22))),0)))))</f>
        <v>0</v>
      </c>
      <c r="AP43" s="27" t="n">
        <f aca="false">IF(COUNT('Feijão 2ª safra'!$E41:$Z41)=0,0,MAX(0,IF((AP$6-$E$3)&lt;1,0,IFERROR(LOOKUP(2,1/('Feijão 2ª safra'!$E41:INDEX('Feijão 2ª safra'!$E41:$Z41,MIN(AP$6-$E$3,22))&lt;&gt;""),'Feijão 2ª safra'!$E41:INDEX('Feijão 2ª safra'!$E41:$Z41,MIN(AP$6-$E$3,22))),0))-IF($G$2,0,IF((AP$6-$G$3)&lt;1,0,IFERROR(LOOKUP(2,1/('Feijão 2ª safra'!$E41:INDEX('Feijão 2ª safra'!$E41:$Z41,MIN(AP$6-$G$3,22))&lt;&gt;""),'Feijão 2ª safra'!$E41:INDEX('Feijão 2ª safra'!$E41:$Z41,MIN(AP$6-$G$3,22))),0)))))</f>
        <v>0</v>
      </c>
      <c r="AQ43" s="27" t="n">
        <f aca="false">IF(COUNT('Feijão 2ª safra'!$E41:$Z41)=0,0,MAX(0,IF((AQ$6-$E$3)&lt;1,0,IFERROR(LOOKUP(2,1/('Feijão 2ª safra'!$E41:INDEX('Feijão 2ª safra'!$E41:$Z41,MIN(AQ$6-$E$3,22))&lt;&gt;""),'Feijão 2ª safra'!$E41:INDEX('Feijão 2ª safra'!$E41:$Z41,MIN(AQ$6-$E$3,22))),0))-IF($G$2,0,IF((AQ$6-$G$3)&lt;1,0,IFERROR(LOOKUP(2,1/('Feijão 2ª safra'!$E41:INDEX('Feijão 2ª safra'!$E41:$Z41,MIN(AQ$6-$G$3,22))&lt;&gt;""),'Feijão 2ª safra'!$E41:INDEX('Feijão 2ª safra'!$E41:$Z41,MIN(AQ$6-$G$3,22))),0)))))</f>
        <v>0</v>
      </c>
      <c r="AR43" s="27" t="n">
        <f aca="false">IF(COUNT('Feijão 2ª safra'!$E41:$Z41)=0,0,MAX(0,IF((AR$6-$E$3)&lt;1,0,IFERROR(LOOKUP(2,1/('Feijão 2ª safra'!$E41:INDEX('Feijão 2ª safra'!$E41:$Z41,MIN(AR$6-$E$3,22))&lt;&gt;""),'Feijão 2ª safra'!$E41:INDEX('Feijão 2ª safra'!$E41:$Z41,MIN(AR$6-$E$3,22))),0))-IF($G$2,0,IF((AR$6-$G$3)&lt;1,0,IFERROR(LOOKUP(2,1/('Feijão 2ª safra'!$E41:INDEX('Feijão 2ª safra'!$E41:$Z41,MIN(AR$6-$G$3,22))&lt;&gt;""),'Feijão 2ª safra'!$E41:INDEX('Feijão 2ª safra'!$E41:$Z41,MIN(AR$6-$G$3,22))),0)))))</f>
        <v>0</v>
      </c>
      <c r="AS43" s="27" t="n">
        <f aca="false">IF(COUNT('Feijão 2ª safra'!$E41:$Z41)=0,0,MAX(0,IF((AS$6-$E$3)&lt;1,0,IFERROR(LOOKUP(2,1/('Feijão 2ª safra'!$E41:INDEX('Feijão 2ª safra'!$E41:$Z41,MIN(AS$6-$E$3,22))&lt;&gt;""),'Feijão 2ª safra'!$E41:INDEX('Feijão 2ª safra'!$E41:$Z41,MIN(AS$6-$E$3,22))),0))-IF($G$2,0,IF((AS$6-$G$3)&lt;1,0,IFERROR(LOOKUP(2,1/('Feijão 2ª safra'!$E41:INDEX('Feijão 2ª safra'!$E41:$Z41,MIN(AS$6-$G$3,22))&lt;&gt;""),'Feijão 2ª safra'!$E41:INDEX('Feijão 2ª safra'!$E41:$Z41,MIN(AS$6-$G$3,22))),0)))))</f>
        <v>0</v>
      </c>
      <c r="AT43" s="27" t="n">
        <f aca="false">IF(COUNT('Feijão 2ª safra'!$E41:$Z41)=0,0,MAX(0,IF((AT$6-$E$3)&lt;1,0,IFERROR(LOOKUP(2,1/('Feijão 2ª safra'!$E41:INDEX('Feijão 2ª safra'!$E41:$Z41,MIN(AT$6-$E$3,22))&lt;&gt;""),'Feijão 2ª safra'!$E41:INDEX('Feijão 2ª safra'!$E41:$Z41,MIN(AT$6-$E$3,22))),0))-IF($G$2,0,IF((AT$6-$G$3)&lt;1,0,IFERROR(LOOKUP(2,1/('Feijão 2ª safra'!$E41:INDEX('Feijão 2ª safra'!$E41:$Z41,MIN(AT$6-$G$3,22))&lt;&gt;""),'Feijão 2ª safra'!$E41:INDEX('Feijão 2ª safra'!$E41:$Z41,MIN(AT$6-$G$3,22))),0)))))</f>
        <v>0</v>
      </c>
      <c r="AU43" s="27" t="n">
        <f aca="false">IF(COUNT('Feijão 2ª safra'!$E41:$Z41)=0,0,MAX(0,IF((AU$6-$E$3)&lt;1,0,IFERROR(LOOKUP(2,1/('Feijão 2ª safra'!$E41:INDEX('Feijão 2ª safra'!$E41:$Z41,MIN(AU$6-$E$3,22))&lt;&gt;""),'Feijão 2ª safra'!$E41:INDEX('Feijão 2ª safra'!$E41:$Z41,MIN(AU$6-$E$3,22))),0))-IF($G$2,0,IF((AU$6-$G$3)&lt;1,0,IFERROR(LOOKUP(2,1/('Feijão 2ª safra'!$E41:INDEX('Feijão 2ª safra'!$E41:$Z41,MIN(AU$6-$G$3,22))&lt;&gt;""),'Feijão 2ª safra'!$E41:INDEX('Feijão 2ª safra'!$E41:$Z41,MIN(AU$6-$G$3,22))),0)))))</f>
        <v>0</v>
      </c>
      <c r="AV43" s="27" t="n">
        <f aca="false">IF(COUNT('Feijão 2ª safra'!$E41:$Z41)=0,0,MAX(0,IF((AV$6-$E$3)&lt;1,0,IFERROR(LOOKUP(2,1/('Feijão 2ª safra'!$E41:INDEX('Feijão 2ª safra'!$E41:$Z41,MIN(AV$6-$E$3,22))&lt;&gt;""),'Feijão 2ª safra'!$E41:INDEX('Feijão 2ª safra'!$E41:$Z41,MIN(AV$6-$E$3,22))),0))-IF($G$2,0,IF((AV$6-$G$3)&lt;1,0,IFERROR(LOOKUP(2,1/('Feijão 2ª safra'!$E41:INDEX('Feijão 2ª safra'!$E41:$Z41,MIN(AV$6-$G$3,22))&lt;&gt;""),'Feijão 2ª safra'!$E41:INDEX('Feijão 2ª safra'!$E41:$Z41,MIN(AV$6-$G$3,22))),0)))))</f>
        <v>0</v>
      </c>
      <c r="AW43" s="27" t="n">
        <f aca="false">IF(COUNT('Feijão 2ª safra'!$E41:$Z41)=0,0,MAX(0,IF((AW$6-$E$3)&lt;1,0,IFERROR(LOOKUP(2,1/('Feijão 2ª safra'!$E41:INDEX('Feijão 2ª safra'!$E41:$Z41,MIN(AW$6-$E$3,22))&lt;&gt;""),'Feijão 2ª safra'!$E41:INDEX('Feijão 2ª safra'!$E41:$Z41,MIN(AW$6-$E$3,22))),0))-IF($G$2,0,IF((AW$6-$G$3)&lt;1,0,IFERROR(LOOKUP(2,1/('Feijão 2ª safra'!$E41:INDEX('Feijão 2ª safra'!$E41:$Z41,MIN(AW$6-$G$3,22))&lt;&gt;""),'Feijão 2ª safra'!$E41:INDEX('Feijão 2ª safra'!$E41:$Z41,MIN(AW$6-$G$3,22))),0)))))</f>
        <v>0</v>
      </c>
      <c r="AX43" s="27" t="n">
        <f aca="false">IF(COUNT('Feijão 2ª safra'!$E41:$Z41)=0,0,MAX(0,IF((AX$6-$E$3)&lt;1,0,IFERROR(LOOKUP(2,1/('Feijão 2ª safra'!$E41:INDEX('Feijão 2ª safra'!$E41:$Z41,MIN(AX$6-$E$3,22))&lt;&gt;""),'Feijão 2ª safra'!$E41:INDEX('Feijão 2ª safra'!$E41:$Z41,MIN(AX$6-$E$3,22))),0))-IF($G$2,0,IF((AX$6-$G$3)&lt;1,0,IFERROR(LOOKUP(2,1/('Feijão 2ª safra'!$E41:INDEX('Feijão 2ª safra'!$E41:$Z41,MIN(AX$6-$G$3,22))&lt;&gt;""),'Feijão 2ª safra'!$E41:INDEX('Feijão 2ª safra'!$E41:$Z41,MIN(AX$6-$G$3,22))),0)))))</f>
        <v>0</v>
      </c>
      <c r="AY43" s="27" t="n">
        <f aca="false">IF(COUNT('Feijão 2ª safra'!$E41:$Z41)=0,0,MAX(0,IF((AY$6-$E$3)&lt;1,0,IFERROR(LOOKUP(2,1/('Feijão 2ª safra'!$E41:INDEX('Feijão 2ª safra'!$E41:$Z41,MIN(AY$6-$E$3,22))&lt;&gt;""),'Feijão 2ª safra'!$E41:INDEX('Feijão 2ª safra'!$E41:$Z41,MIN(AY$6-$E$3,22))),0))-IF($G$2,0,IF((AY$6-$G$3)&lt;1,0,IFERROR(LOOKUP(2,1/('Feijão 2ª safra'!$E41:INDEX('Feijão 2ª safra'!$E41:$Z41,MIN(AY$6-$G$3,22))&lt;&gt;""),'Feijão 2ª safra'!$E41:INDEX('Feijão 2ª safra'!$E41:$Z41,MIN(AY$6-$G$3,22))),0)))))</f>
        <v>0</v>
      </c>
      <c r="AZ43" s="27" t="n">
        <f aca="false">IF(COUNT('Feijão 2ª safra'!$E41:$Z41)=0,0,MAX(0,IF((AZ$6-$E$3)&lt;1,0,IFERROR(LOOKUP(2,1/('Feijão 2ª safra'!$E41:INDEX('Feijão 2ª safra'!$E41:$Z41,MIN(AZ$6-$E$3,22))&lt;&gt;""),'Feijão 2ª safra'!$E41:INDEX('Feijão 2ª safra'!$E41:$Z41,MIN(AZ$6-$E$3,22))),0))-IF($G$2,0,IF((AZ$6-$G$3)&lt;1,0,IFERROR(LOOKUP(2,1/('Feijão 2ª safra'!$E41:INDEX('Feijão 2ª safra'!$E41:$Z41,MIN(AZ$6-$G$3,22))&lt;&gt;""),'Feijão 2ª safra'!$E41:INDEX('Feijão 2ª safra'!$E41:$Z41,MIN(AZ$6-$G$3,22))),0)))))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IF(COUNT('Feijão 2ª safra'!$E42:$Z42)&gt;0,N('Feijão 2ª safra'!$D42),0)</f>
        <v>0</v>
      </c>
      <c r="E44" s="27" t="n">
        <f aca="false">IF(COUNT('Feijão 2ª safra'!$E42:$Z42)=0,0,MAX(0,IF((E$6-$E$3)&lt;1,0,IFERROR(LOOKUP(2,1/('Feijão 2ª safra'!$E42:INDEX('Feijão 2ª safra'!$E42:$Z42,MIN(E$6-$E$3,22))&lt;&gt;""),'Feijão 2ª safra'!$E42:INDEX('Feijão 2ª safra'!$E42:$Z42,MIN(E$6-$E$3,22))),0))-IF($G$2,0,IF((E$6-$G$3)&lt;1,0,IFERROR(LOOKUP(2,1/('Feijão 2ª safra'!$E42:INDEX('Feijão 2ª safra'!$E42:$Z42,MIN(E$6-$G$3,22))&lt;&gt;""),'Feijão 2ª safra'!$E42:INDEX('Feijão 2ª safra'!$E42:$Z42,MIN(E$6-$G$3,22))),0)))))</f>
        <v>0</v>
      </c>
      <c r="F44" s="27" t="n">
        <f aca="false">IF(COUNT('Feijão 2ª safra'!$E42:$Z42)=0,0,MAX(0,IF((F$6-$E$3)&lt;1,0,IFERROR(LOOKUP(2,1/('Feijão 2ª safra'!$E42:INDEX('Feijão 2ª safra'!$E42:$Z42,MIN(F$6-$E$3,22))&lt;&gt;""),'Feijão 2ª safra'!$E42:INDEX('Feijão 2ª safra'!$E42:$Z42,MIN(F$6-$E$3,22))),0))-IF($G$2,0,IF((F$6-$G$3)&lt;1,0,IFERROR(LOOKUP(2,1/('Feijão 2ª safra'!$E42:INDEX('Feijão 2ª safra'!$E42:$Z42,MIN(F$6-$G$3,22))&lt;&gt;""),'Feijão 2ª safra'!$E42:INDEX('Feijão 2ª safra'!$E42:$Z42,MIN(F$6-$G$3,22))),0)))))</f>
        <v>0</v>
      </c>
      <c r="G44" s="27" t="n">
        <f aca="false">IF(COUNT('Feijão 2ª safra'!$E42:$Z42)=0,0,MAX(0,IF((G$6-$E$3)&lt;1,0,IFERROR(LOOKUP(2,1/('Feijão 2ª safra'!$E42:INDEX('Feijão 2ª safra'!$E42:$Z42,MIN(G$6-$E$3,22))&lt;&gt;""),'Feijão 2ª safra'!$E42:INDEX('Feijão 2ª safra'!$E42:$Z42,MIN(G$6-$E$3,22))),0))-IF($G$2,0,IF((G$6-$G$3)&lt;1,0,IFERROR(LOOKUP(2,1/('Feijão 2ª safra'!$E42:INDEX('Feijão 2ª safra'!$E42:$Z42,MIN(G$6-$G$3,22))&lt;&gt;""),'Feijão 2ª safra'!$E42:INDEX('Feijão 2ª safra'!$E42:$Z42,MIN(G$6-$G$3,22))),0)))))</f>
        <v>0</v>
      </c>
      <c r="H44" s="27" t="n">
        <f aca="false">IF(COUNT('Feijão 2ª safra'!$E42:$Z42)=0,0,MAX(0,IF((H$6-$E$3)&lt;1,0,IFERROR(LOOKUP(2,1/('Feijão 2ª safra'!$E42:INDEX('Feijão 2ª safra'!$E42:$Z42,MIN(H$6-$E$3,22))&lt;&gt;""),'Feijão 2ª safra'!$E42:INDEX('Feijão 2ª safra'!$E42:$Z42,MIN(H$6-$E$3,22))),0))-IF($G$2,0,IF((H$6-$G$3)&lt;1,0,IFERROR(LOOKUP(2,1/('Feijão 2ª safra'!$E42:INDEX('Feijão 2ª safra'!$E42:$Z42,MIN(H$6-$G$3,22))&lt;&gt;""),'Feijão 2ª safra'!$E42:INDEX('Feijão 2ª safra'!$E42:$Z42,MIN(H$6-$G$3,22))),0)))))</f>
        <v>0</v>
      </c>
      <c r="I44" s="27" t="n">
        <f aca="false">IF(COUNT('Feijão 2ª safra'!$E42:$Z42)=0,0,MAX(0,IF((I$6-$E$3)&lt;1,0,IFERROR(LOOKUP(2,1/('Feijão 2ª safra'!$E42:INDEX('Feijão 2ª safra'!$E42:$Z42,MIN(I$6-$E$3,22))&lt;&gt;""),'Feijão 2ª safra'!$E42:INDEX('Feijão 2ª safra'!$E42:$Z42,MIN(I$6-$E$3,22))),0))-IF($G$2,0,IF((I$6-$G$3)&lt;1,0,IFERROR(LOOKUP(2,1/('Feijão 2ª safra'!$E42:INDEX('Feijão 2ª safra'!$E42:$Z42,MIN(I$6-$G$3,22))&lt;&gt;""),'Feijão 2ª safra'!$E42:INDEX('Feijão 2ª safra'!$E42:$Z42,MIN(I$6-$G$3,22))),0)))))</f>
        <v>0</v>
      </c>
      <c r="J44" s="27" t="n">
        <f aca="false">IF(COUNT('Feijão 2ª safra'!$E42:$Z42)=0,0,MAX(0,IF((J$6-$E$3)&lt;1,0,IFERROR(LOOKUP(2,1/('Feijão 2ª safra'!$E42:INDEX('Feijão 2ª safra'!$E42:$Z42,MIN(J$6-$E$3,22))&lt;&gt;""),'Feijão 2ª safra'!$E42:INDEX('Feijão 2ª safra'!$E42:$Z42,MIN(J$6-$E$3,22))),0))-IF($G$2,0,IF((J$6-$G$3)&lt;1,0,IFERROR(LOOKUP(2,1/('Feijão 2ª safra'!$E42:INDEX('Feijão 2ª safra'!$E42:$Z42,MIN(J$6-$G$3,22))&lt;&gt;""),'Feijão 2ª safra'!$E42:INDEX('Feijão 2ª safra'!$E42:$Z42,MIN(J$6-$G$3,22))),0)))))</f>
        <v>0</v>
      </c>
      <c r="K44" s="27" t="n">
        <f aca="false">IF(COUNT('Feijão 2ª safra'!$E42:$Z42)=0,0,MAX(0,IF((K$6-$E$3)&lt;1,0,IFERROR(LOOKUP(2,1/('Feijão 2ª safra'!$E42:INDEX('Feijão 2ª safra'!$E42:$Z42,MIN(K$6-$E$3,22))&lt;&gt;""),'Feijão 2ª safra'!$E42:INDEX('Feijão 2ª safra'!$E42:$Z42,MIN(K$6-$E$3,22))),0))-IF($G$2,0,IF((K$6-$G$3)&lt;1,0,IFERROR(LOOKUP(2,1/('Feijão 2ª safra'!$E42:INDEX('Feijão 2ª safra'!$E42:$Z42,MIN(K$6-$G$3,22))&lt;&gt;""),'Feijão 2ª safra'!$E42:INDEX('Feijão 2ª safra'!$E42:$Z42,MIN(K$6-$G$3,22))),0)))))</f>
        <v>0</v>
      </c>
      <c r="L44" s="27" t="n">
        <f aca="false">IF(COUNT('Feijão 2ª safra'!$E42:$Z42)=0,0,MAX(0,IF((L$6-$E$3)&lt;1,0,IFERROR(LOOKUP(2,1/('Feijão 2ª safra'!$E42:INDEX('Feijão 2ª safra'!$E42:$Z42,MIN(L$6-$E$3,22))&lt;&gt;""),'Feijão 2ª safra'!$E42:INDEX('Feijão 2ª safra'!$E42:$Z42,MIN(L$6-$E$3,22))),0))-IF($G$2,0,IF((L$6-$G$3)&lt;1,0,IFERROR(LOOKUP(2,1/('Feijão 2ª safra'!$E42:INDEX('Feijão 2ª safra'!$E42:$Z42,MIN(L$6-$G$3,22))&lt;&gt;""),'Feijão 2ª safra'!$E42:INDEX('Feijão 2ª safra'!$E42:$Z42,MIN(L$6-$G$3,22))),0)))))</f>
        <v>0</v>
      </c>
      <c r="M44" s="27" t="n">
        <f aca="false">IF(COUNT('Feijão 2ª safra'!$E42:$Z42)=0,0,MAX(0,IF((M$6-$E$3)&lt;1,0,IFERROR(LOOKUP(2,1/('Feijão 2ª safra'!$E42:INDEX('Feijão 2ª safra'!$E42:$Z42,MIN(M$6-$E$3,22))&lt;&gt;""),'Feijão 2ª safra'!$E42:INDEX('Feijão 2ª safra'!$E42:$Z42,MIN(M$6-$E$3,22))),0))-IF($G$2,0,IF((M$6-$G$3)&lt;1,0,IFERROR(LOOKUP(2,1/('Feijão 2ª safra'!$E42:INDEX('Feijão 2ª safra'!$E42:$Z42,MIN(M$6-$G$3,22))&lt;&gt;""),'Feijão 2ª safra'!$E42:INDEX('Feijão 2ª safra'!$E42:$Z42,MIN(M$6-$G$3,22))),0)))))</f>
        <v>0</v>
      </c>
      <c r="N44" s="27" t="n">
        <f aca="false">IF(COUNT('Feijão 2ª safra'!$E42:$Z42)=0,0,MAX(0,IF((N$6-$E$3)&lt;1,0,IFERROR(LOOKUP(2,1/('Feijão 2ª safra'!$E42:INDEX('Feijão 2ª safra'!$E42:$Z42,MIN(N$6-$E$3,22))&lt;&gt;""),'Feijão 2ª safra'!$E42:INDEX('Feijão 2ª safra'!$E42:$Z42,MIN(N$6-$E$3,22))),0))-IF($G$2,0,IF((N$6-$G$3)&lt;1,0,IFERROR(LOOKUP(2,1/('Feijão 2ª safra'!$E42:INDEX('Feijão 2ª safra'!$E42:$Z42,MIN(N$6-$G$3,22))&lt;&gt;""),'Feijão 2ª safra'!$E42:INDEX('Feijão 2ª safra'!$E42:$Z42,MIN(N$6-$G$3,22))),0)))))</f>
        <v>0</v>
      </c>
      <c r="O44" s="27" t="n">
        <f aca="false">IF(COUNT('Feijão 2ª safra'!$E42:$Z42)=0,0,MAX(0,IF((O$6-$E$3)&lt;1,0,IFERROR(LOOKUP(2,1/('Feijão 2ª safra'!$E42:INDEX('Feijão 2ª safra'!$E42:$Z42,MIN(O$6-$E$3,22))&lt;&gt;""),'Feijão 2ª safra'!$E42:INDEX('Feijão 2ª safra'!$E42:$Z42,MIN(O$6-$E$3,22))),0))-IF($G$2,0,IF((O$6-$G$3)&lt;1,0,IFERROR(LOOKUP(2,1/('Feijão 2ª safra'!$E42:INDEX('Feijão 2ª safra'!$E42:$Z42,MIN(O$6-$G$3,22))&lt;&gt;""),'Feijão 2ª safra'!$E42:INDEX('Feijão 2ª safra'!$E42:$Z42,MIN(O$6-$G$3,22))),0)))))</f>
        <v>0</v>
      </c>
      <c r="P44" s="27" t="n">
        <f aca="false">IF(COUNT('Feijão 2ª safra'!$E42:$Z42)=0,0,MAX(0,IF((P$6-$E$3)&lt;1,0,IFERROR(LOOKUP(2,1/('Feijão 2ª safra'!$E42:INDEX('Feijão 2ª safra'!$E42:$Z42,MIN(P$6-$E$3,22))&lt;&gt;""),'Feijão 2ª safra'!$E42:INDEX('Feijão 2ª safra'!$E42:$Z42,MIN(P$6-$E$3,22))),0))-IF($G$2,0,IF((P$6-$G$3)&lt;1,0,IFERROR(LOOKUP(2,1/('Feijão 2ª safra'!$E42:INDEX('Feijão 2ª safra'!$E42:$Z42,MIN(P$6-$G$3,22))&lt;&gt;""),'Feijão 2ª safra'!$E42:INDEX('Feijão 2ª safra'!$E42:$Z42,MIN(P$6-$G$3,22))),0)))))</f>
        <v>0</v>
      </c>
      <c r="Q44" s="27" t="n">
        <f aca="false">IF(COUNT('Feijão 2ª safra'!$E42:$Z42)=0,0,MAX(0,IF((Q$6-$E$3)&lt;1,0,IFERROR(LOOKUP(2,1/('Feijão 2ª safra'!$E42:INDEX('Feijão 2ª safra'!$E42:$Z42,MIN(Q$6-$E$3,22))&lt;&gt;""),'Feijão 2ª safra'!$E42:INDEX('Feijão 2ª safra'!$E42:$Z42,MIN(Q$6-$E$3,22))),0))-IF($G$2,0,IF((Q$6-$G$3)&lt;1,0,IFERROR(LOOKUP(2,1/('Feijão 2ª safra'!$E42:INDEX('Feijão 2ª safra'!$E42:$Z42,MIN(Q$6-$G$3,22))&lt;&gt;""),'Feijão 2ª safra'!$E42:INDEX('Feijão 2ª safra'!$E42:$Z42,MIN(Q$6-$G$3,22))),0)))))</f>
        <v>0</v>
      </c>
      <c r="R44" s="27" t="n">
        <f aca="false">IF(COUNT('Feijão 2ª safra'!$E42:$Z42)=0,0,MAX(0,IF((R$6-$E$3)&lt;1,0,IFERROR(LOOKUP(2,1/('Feijão 2ª safra'!$E42:INDEX('Feijão 2ª safra'!$E42:$Z42,MIN(R$6-$E$3,22))&lt;&gt;""),'Feijão 2ª safra'!$E42:INDEX('Feijão 2ª safra'!$E42:$Z42,MIN(R$6-$E$3,22))),0))-IF($G$2,0,IF((R$6-$G$3)&lt;1,0,IFERROR(LOOKUP(2,1/('Feijão 2ª safra'!$E42:INDEX('Feijão 2ª safra'!$E42:$Z42,MIN(R$6-$G$3,22))&lt;&gt;""),'Feijão 2ª safra'!$E42:INDEX('Feijão 2ª safra'!$E42:$Z42,MIN(R$6-$G$3,22))),0)))))</f>
        <v>0</v>
      </c>
      <c r="S44" s="27" t="n">
        <f aca="false">IF(COUNT('Feijão 2ª safra'!$E42:$Z42)=0,0,MAX(0,IF((S$6-$E$3)&lt;1,0,IFERROR(LOOKUP(2,1/('Feijão 2ª safra'!$E42:INDEX('Feijão 2ª safra'!$E42:$Z42,MIN(S$6-$E$3,22))&lt;&gt;""),'Feijão 2ª safra'!$E42:INDEX('Feijão 2ª safra'!$E42:$Z42,MIN(S$6-$E$3,22))),0))-IF($G$2,0,IF((S$6-$G$3)&lt;1,0,IFERROR(LOOKUP(2,1/('Feijão 2ª safra'!$E42:INDEX('Feijão 2ª safra'!$E42:$Z42,MIN(S$6-$G$3,22))&lt;&gt;""),'Feijão 2ª safra'!$E42:INDEX('Feijão 2ª safra'!$E42:$Z42,MIN(S$6-$G$3,22))),0)))))</f>
        <v>0</v>
      </c>
      <c r="T44" s="27" t="n">
        <f aca="false">IF(COUNT('Feijão 2ª safra'!$E42:$Z42)=0,0,MAX(0,IF((T$6-$E$3)&lt;1,0,IFERROR(LOOKUP(2,1/('Feijão 2ª safra'!$E42:INDEX('Feijão 2ª safra'!$E42:$Z42,MIN(T$6-$E$3,22))&lt;&gt;""),'Feijão 2ª safra'!$E42:INDEX('Feijão 2ª safra'!$E42:$Z42,MIN(T$6-$E$3,22))),0))-IF($G$2,0,IF((T$6-$G$3)&lt;1,0,IFERROR(LOOKUP(2,1/('Feijão 2ª safra'!$E42:INDEX('Feijão 2ª safra'!$E42:$Z42,MIN(T$6-$G$3,22))&lt;&gt;""),'Feijão 2ª safra'!$E42:INDEX('Feijão 2ª safra'!$E42:$Z42,MIN(T$6-$G$3,22))),0)))))</f>
        <v>0</v>
      </c>
      <c r="U44" s="27" t="n">
        <f aca="false">IF(COUNT('Feijão 2ª safra'!$E42:$Z42)=0,0,MAX(0,IF((U$6-$E$3)&lt;1,0,IFERROR(LOOKUP(2,1/('Feijão 2ª safra'!$E42:INDEX('Feijão 2ª safra'!$E42:$Z42,MIN(U$6-$E$3,22))&lt;&gt;""),'Feijão 2ª safra'!$E42:INDEX('Feijão 2ª safra'!$E42:$Z42,MIN(U$6-$E$3,22))),0))-IF($G$2,0,IF((U$6-$G$3)&lt;1,0,IFERROR(LOOKUP(2,1/('Feijão 2ª safra'!$E42:INDEX('Feijão 2ª safra'!$E42:$Z42,MIN(U$6-$G$3,22))&lt;&gt;""),'Feijão 2ª safra'!$E42:INDEX('Feijão 2ª safra'!$E42:$Z42,MIN(U$6-$G$3,22))),0)))))</f>
        <v>0</v>
      </c>
      <c r="V44" s="27" t="n">
        <f aca="false">IF(COUNT('Feijão 2ª safra'!$E42:$Z42)=0,0,MAX(0,IF((V$6-$E$3)&lt;1,0,IFERROR(LOOKUP(2,1/('Feijão 2ª safra'!$E42:INDEX('Feijão 2ª safra'!$E42:$Z42,MIN(V$6-$E$3,22))&lt;&gt;""),'Feijão 2ª safra'!$E42:INDEX('Feijão 2ª safra'!$E42:$Z42,MIN(V$6-$E$3,22))),0))-IF($G$2,0,IF((V$6-$G$3)&lt;1,0,IFERROR(LOOKUP(2,1/('Feijão 2ª safra'!$E42:INDEX('Feijão 2ª safra'!$E42:$Z42,MIN(V$6-$G$3,22))&lt;&gt;""),'Feijão 2ª safra'!$E42:INDEX('Feijão 2ª safra'!$E42:$Z42,MIN(V$6-$G$3,22))),0)))))</f>
        <v>0</v>
      </c>
      <c r="W44" s="27" t="n">
        <f aca="false">IF(COUNT('Feijão 2ª safra'!$E42:$Z42)=0,0,MAX(0,IF((W$6-$E$3)&lt;1,0,IFERROR(LOOKUP(2,1/('Feijão 2ª safra'!$E42:INDEX('Feijão 2ª safra'!$E42:$Z42,MIN(W$6-$E$3,22))&lt;&gt;""),'Feijão 2ª safra'!$E42:INDEX('Feijão 2ª safra'!$E42:$Z42,MIN(W$6-$E$3,22))),0))-IF($G$2,0,IF((W$6-$G$3)&lt;1,0,IFERROR(LOOKUP(2,1/('Feijão 2ª safra'!$E42:INDEX('Feijão 2ª safra'!$E42:$Z42,MIN(W$6-$G$3,22))&lt;&gt;""),'Feijão 2ª safra'!$E42:INDEX('Feijão 2ª safra'!$E42:$Z42,MIN(W$6-$G$3,22))),0)))))</f>
        <v>0</v>
      </c>
      <c r="X44" s="27" t="n">
        <f aca="false">IF(COUNT('Feijão 2ª safra'!$E42:$Z42)=0,0,MAX(0,IF((X$6-$E$3)&lt;1,0,IFERROR(LOOKUP(2,1/('Feijão 2ª safra'!$E42:INDEX('Feijão 2ª safra'!$E42:$Z42,MIN(X$6-$E$3,22))&lt;&gt;""),'Feijão 2ª safra'!$E42:INDEX('Feijão 2ª safra'!$E42:$Z42,MIN(X$6-$E$3,22))),0))-IF($G$2,0,IF((X$6-$G$3)&lt;1,0,IFERROR(LOOKUP(2,1/('Feijão 2ª safra'!$E42:INDEX('Feijão 2ª safra'!$E42:$Z42,MIN(X$6-$G$3,22))&lt;&gt;""),'Feijão 2ª safra'!$E42:INDEX('Feijão 2ª safra'!$E42:$Z42,MIN(X$6-$G$3,22))),0)))))</f>
        <v>0</v>
      </c>
      <c r="Y44" s="27" t="n">
        <f aca="false">IF(COUNT('Feijão 2ª safra'!$E42:$Z42)=0,0,MAX(0,IF((Y$6-$E$3)&lt;1,0,IFERROR(LOOKUP(2,1/('Feijão 2ª safra'!$E42:INDEX('Feijão 2ª safra'!$E42:$Z42,MIN(Y$6-$E$3,22))&lt;&gt;""),'Feijão 2ª safra'!$E42:INDEX('Feijão 2ª safra'!$E42:$Z42,MIN(Y$6-$E$3,22))),0))-IF($G$2,0,IF((Y$6-$G$3)&lt;1,0,IFERROR(LOOKUP(2,1/('Feijão 2ª safra'!$E42:INDEX('Feijão 2ª safra'!$E42:$Z42,MIN(Y$6-$G$3,22))&lt;&gt;""),'Feijão 2ª safra'!$E42:INDEX('Feijão 2ª safra'!$E42:$Z42,MIN(Y$6-$G$3,22))),0)))))</f>
        <v>0</v>
      </c>
      <c r="Z44" s="27" t="n">
        <f aca="false">IF(COUNT('Feijão 2ª safra'!$E42:$Z42)=0,0,MAX(0,IF((Z$6-$E$3)&lt;1,0,IFERROR(LOOKUP(2,1/('Feijão 2ª safra'!$E42:INDEX('Feijão 2ª safra'!$E42:$Z42,MIN(Z$6-$E$3,22))&lt;&gt;""),'Feijão 2ª safra'!$E42:INDEX('Feijão 2ª safra'!$E42:$Z42,MIN(Z$6-$E$3,22))),0))-IF($G$2,0,IF((Z$6-$G$3)&lt;1,0,IFERROR(LOOKUP(2,1/('Feijão 2ª safra'!$E42:INDEX('Feijão 2ª safra'!$E42:$Z42,MIN(Z$6-$G$3,22))&lt;&gt;""),'Feijão 2ª safra'!$E42:INDEX('Feijão 2ª safra'!$E42:$Z42,MIN(Z$6-$G$3,22))),0)))))</f>
        <v>0</v>
      </c>
      <c r="AA44" s="27" t="n">
        <f aca="false">IF(COUNT('Feijão 2ª safra'!$E42:$Z42)=0,0,MAX(0,IF((AA$6-$E$3)&lt;1,0,IFERROR(LOOKUP(2,1/('Feijão 2ª safra'!$E42:INDEX('Feijão 2ª safra'!$E42:$Z42,MIN(AA$6-$E$3,22))&lt;&gt;""),'Feijão 2ª safra'!$E42:INDEX('Feijão 2ª safra'!$E42:$Z42,MIN(AA$6-$E$3,22))),0))-IF($G$2,0,IF((AA$6-$G$3)&lt;1,0,IFERROR(LOOKUP(2,1/('Feijão 2ª safra'!$E42:INDEX('Feijão 2ª safra'!$E42:$Z42,MIN(AA$6-$G$3,22))&lt;&gt;""),'Feijão 2ª safra'!$E42:INDEX('Feijão 2ª safra'!$E42:$Z42,MIN(AA$6-$G$3,22))),0)))))</f>
        <v>0</v>
      </c>
      <c r="AB44" s="27" t="n">
        <f aca="false">IF(COUNT('Feijão 2ª safra'!$E42:$Z42)=0,0,MAX(0,IF((AB$6-$E$3)&lt;1,0,IFERROR(LOOKUP(2,1/('Feijão 2ª safra'!$E42:INDEX('Feijão 2ª safra'!$E42:$Z42,MIN(AB$6-$E$3,22))&lt;&gt;""),'Feijão 2ª safra'!$E42:INDEX('Feijão 2ª safra'!$E42:$Z42,MIN(AB$6-$E$3,22))),0))-IF($G$2,0,IF((AB$6-$G$3)&lt;1,0,IFERROR(LOOKUP(2,1/('Feijão 2ª safra'!$E42:INDEX('Feijão 2ª safra'!$E42:$Z42,MIN(AB$6-$G$3,22))&lt;&gt;""),'Feijão 2ª safra'!$E42:INDEX('Feijão 2ª safra'!$E42:$Z42,MIN(AB$6-$G$3,22))),0)))))</f>
        <v>0</v>
      </c>
      <c r="AC44" s="27" t="n">
        <f aca="false">IF(COUNT('Feijão 2ª safra'!$E42:$Z42)=0,0,MAX(0,IF((AC$6-$E$3)&lt;1,0,IFERROR(LOOKUP(2,1/('Feijão 2ª safra'!$E42:INDEX('Feijão 2ª safra'!$E42:$Z42,MIN(AC$6-$E$3,22))&lt;&gt;""),'Feijão 2ª safra'!$E42:INDEX('Feijão 2ª safra'!$E42:$Z42,MIN(AC$6-$E$3,22))),0))-IF($G$2,0,IF((AC$6-$G$3)&lt;1,0,IFERROR(LOOKUP(2,1/('Feijão 2ª safra'!$E42:INDEX('Feijão 2ª safra'!$E42:$Z42,MIN(AC$6-$G$3,22))&lt;&gt;""),'Feijão 2ª safra'!$E42:INDEX('Feijão 2ª safra'!$E42:$Z42,MIN(AC$6-$G$3,22))),0)))))</f>
        <v>0</v>
      </c>
      <c r="AD44" s="27" t="n">
        <f aca="false">IF(COUNT('Feijão 2ª safra'!$E42:$Z42)=0,0,MAX(0,IF((AD$6-$E$3)&lt;1,0,IFERROR(LOOKUP(2,1/('Feijão 2ª safra'!$E42:INDEX('Feijão 2ª safra'!$E42:$Z42,MIN(AD$6-$E$3,22))&lt;&gt;""),'Feijão 2ª safra'!$E42:INDEX('Feijão 2ª safra'!$E42:$Z42,MIN(AD$6-$E$3,22))),0))-IF($G$2,0,IF((AD$6-$G$3)&lt;1,0,IFERROR(LOOKUP(2,1/('Feijão 2ª safra'!$E42:INDEX('Feijão 2ª safra'!$E42:$Z42,MIN(AD$6-$G$3,22))&lt;&gt;""),'Feijão 2ª safra'!$E42:INDEX('Feijão 2ª safra'!$E42:$Z42,MIN(AD$6-$G$3,22))),0)))))</f>
        <v>0</v>
      </c>
      <c r="AE44" s="27" t="n">
        <f aca="false">IF(COUNT('Feijão 2ª safra'!$E42:$Z42)=0,0,MAX(0,IF((AE$6-$E$3)&lt;1,0,IFERROR(LOOKUP(2,1/('Feijão 2ª safra'!$E42:INDEX('Feijão 2ª safra'!$E42:$Z42,MIN(AE$6-$E$3,22))&lt;&gt;""),'Feijão 2ª safra'!$E42:INDEX('Feijão 2ª safra'!$E42:$Z42,MIN(AE$6-$E$3,22))),0))-IF($G$2,0,IF((AE$6-$G$3)&lt;1,0,IFERROR(LOOKUP(2,1/('Feijão 2ª safra'!$E42:INDEX('Feijão 2ª safra'!$E42:$Z42,MIN(AE$6-$G$3,22))&lt;&gt;""),'Feijão 2ª safra'!$E42:INDEX('Feijão 2ª safra'!$E42:$Z42,MIN(AE$6-$G$3,22))),0)))))</f>
        <v>0</v>
      </c>
      <c r="AF44" s="27" t="n">
        <f aca="false">IF(COUNT('Feijão 2ª safra'!$E42:$Z42)=0,0,MAX(0,IF((AF$6-$E$3)&lt;1,0,IFERROR(LOOKUP(2,1/('Feijão 2ª safra'!$E42:INDEX('Feijão 2ª safra'!$E42:$Z42,MIN(AF$6-$E$3,22))&lt;&gt;""),'Feijão 2ª safra'!$E42:INDEX('Feijão 2ª safra'!$E42:$Z42,MIN(AF$6-$E$3,22))),0))-IF($G$2,0,IF((AF$6-$G$3)&lt;1,0,IFERROR(LOOKUP(2,1/('Feijão 2ª safra'!$E42:INDEX('Feijão 2ª safra'!$E42:$Z42,MIN(AF$6-$G$3,22))&lt;&gt;""),'Feijão 2ª safra'!$E42:INDEX('Feijão 2ª safra'!$E42:$Z42,MIN(AF$6-$G$3,22))),0)))))</f>
        <v>0</v>
      </c>
      <c r="AG44" s="27" t="n">
        <f aca="false">IF(COUNT('Feijão 2ª safra'!$E42:$Z42)=0,0,MAX(0,IF((AG$6-$E$3)&lt;1,0,IFERROR(LOOKUP(2,1/('Feijão 2ª safra'!$E42:INDEX('Feijão 2ª safra'!$E42:$Z42,MIN(AG$6-$E$3,22))&lt;&gt;""),'Feijão 2ª safra'!$E42:INDEX('Feijão 2ª safra'!$E42:$Z42,MIN(AG$6-$E$3,22))),0))-IF($G$2,0,IF((AG$6-$G$3)&lt;1,0,IFERROR(LOOKUP(2,1/('Feijão 2ª safra'!$E42:INDEX('Feijão 2ª safra'!$E42:$Z42,MIN(AG$6-$G$3,22))&lt;&gt;""),'Feijão 2ª safra'!$E42:INDEX('Feijão 2ª safra'!$E42:$Z42,MIN(AG$6-$G$3,22))),0)))))</f>
        <v>0</v>
      </c>
      <c r="AH44" s="27" t="n">
        <f aca="false">IF(COUNT('Feijão 2ª safra'!$E42:$Z42)=0,0,MAX(0,IF((AH$6-$E$3)&lt;1,0,IFERROR(LOOKUP(2,1/('Feijão 2ª safra'!$E42:INDEX('Feijão 2ª safra'!$E42:$Z42,MIN(AH$6-$E$3,22))&lt;&gt;""),'Feijão 2ª safra'!$E42:INDEX('Feijão 2ª safra'!$E42:$Z42,MIN(AH$6-$E$3,22))),0))-IF($G$2,0,IF((AH$6-$G$3)&lt;1,0,IFERROR(LOOKUP(2,1/('Feijão 2ª safra'!$E42:INDEX('Feijão 2ª safra'!$E42:$Z42,MIN(AH$6-$G$3,22))&lt;&gt;""),'Feijão 2ª safra'!$E42:INDEX('Feijão 2ª safra'!$E42:$Z42,MIN(AH$6-$G$3,22))),0)))))</f>
        <v>0</v>
      </c>
      <c r="AI44" s="27" t="n">
        <f aca="false">IF(COUNT('Feijão 2ª safra'!$E42:$Z42)=0,0,MAX(0,IF((AI$6-$E$3)&lt;1,0,IFERROR(LOOKUP(2,1/('Feijão 2ª safra'!$E42:INDEX('Feijão 2ª safra'!$E42:$Z42,MIN(AI$6-$E$3,22))&lt;&gt;""),'Feijão 2ª safra'!$E42:INDEX('Feijão 2ª safra'!$E42:$Z42,MIN(AI$6-$E$3,22))),0))-IF($G$2,0,IF((AI$6-$G$3)&lt;1,0,IFERROR(LOOKUP(2,1/('Feijão 2ª safra'!$E42:INDEX('Feijão 2ª safra'!$E42:$Z42,MIN(AI$6-$G$3,22))&lt;&gt;""),'Feijão 2ª safra'!$E42:INDEX('Feijão 2ª safra'!$E42:$Z42,MIN(AI$6-$G$3,22))),0)))))</f>
        <v>0</v>
      </c>
      <c r="AJ44" s="27" t="n">
        <f aca="false">IF(COUNT('Feijão 2ª safra'!$E42:$Z42)=0,0,MAX(0,IF((AJ$6-$E$3)&lt;1,0,IFERROR(LOOKUP(2,1/('Feijão 2ª safra'!$E42:INDEX('Feijão 2ª safra'!$E42:$Z42,MIN(AJ$6-$E$3,22))&lt;&gt;""),'Feijão 2ª safra'!$E42:INDEX('Feijão 2ª safra'!$E42:$Z42,MIN(AJ$6-$E$3,22))),0))-IF($G$2,0,IF((AJ$6-$G$3)&lt;1,0,IFERROR(LOOKUP(2,1/('Feijão 2ª safra'!$E42:INDEX('Feijão 2ª safra'!$E42:$Z42,MIN(AJ$6-$G$3,22))&lt;&gt;""),'Feijão 2ª safra'!$E42:INDEX('Feijão 2ª safra'!$E42:$Z42,MIN(AJ$6-$G$3,22))),0)))))</f>
        <v>0</v>
      </c>
      <c r="AK44" s="27" t="n">
        <f aca="false">IF(COUNT('Feijão 2ª safra'!$E42:$Z42)=0,0,MAX(0,IF((AK$6-$E$3)&lt;1,0,IFERROR(LOOKUP(2,1/('Feijão 2ª safra'!$E42:INDEX('Feijão 2ª safra'!$E42:$Z42,MIN(AK$6-$E$3,22))&lt;&gt;""),'Feijão 2ª safra'!$E42:INDEX('Feijão 2ª safra'!$E42:$Z42,MIN(AK$6-$E$3,22))),0))-IF($G$2,0,IF((AK$6-$G$3)&lt;1,0,IFERROR(LOOKUP(2,1/('Feijão 2ª safra'!$E42:INDEX('Feijão 2ª safra'!$E42:$Z42,MIN(AK$6-$G$3,22))&lt;&gt;""),'Feijão 2ª safra'!$E42:INDEX('Feijão 2ª safra'!$E42:$Z42,MIN(AK$6-$G$3,22))),0)))))</f>
        <v>0</v>
      </c>
      <c r="AL44" s="27" t="n">
        <f aca="false">IF(COUNT('Feijão 2ª safra'!$E42:$Z42)=0,0,MAX(0,IF((AL$6-$E$3)&lt;1,0,IFERROR(LOOKUP(2,1/('Feijão 2ª safra'!$E42:INDEX('Feijão 2ª safra'!$E42:$Z42,MIN(AL$6-$E$3,22))&lt;&gt;""),'Feijão 2ª safra'!$E42:INDEX('Feijão 2ª safra'!$E42:$Z42,MIN(AL$6-$E$3,22))),0))-IF($G$2,0,IF((AL$6-$G$3)&lt;1,0,IFERROR(LOOKUP(2,1/('Feijão 2ª safra'!$E42:INDEX('Feijão 2ª safra'!$E42:$Z42,MIN(AL$6-$G$3,22))&lt;&gt;""),'Feijão 2ª safra'!$E42:INDEX('Feijão 2ª safra'!$E42:$Z42,MIN(AL$6-$G$3,22))),0)))))</f>
        <v>0</v>
      </c>
      <c r="AM44" s="27" t="n">
        <f aca="false">IF(COUNT('Feijão 2ª safra'!$E42:$Z42)=0,0,MAX(0,IF((AM$6-$E$3)&lt;1,0,IFERROR(LOOKUP(2,1/('Feijão 2ª safra'!$E42:INDEX('Feijão 2ª safra'!$E42:$Z42,MIN(AM$6-$E$3,22))&lt;&gt;""),'Feijão 2ª safra'!$E42:INDEX('Feijão 2ª safra'!$E42:$Z42,MIN(AM$6-$E$3,22))),0))-IF($G$2,0,IF((AM$6-$G$3)&lt;1,0,IFERROR(LOOKUP(2,1/('Feijão 2ª safra'!$E42:INDEX('Feijão 2ª safra'!$E42:$Z42,MIN(AM$6-$G$3,22))&lt;&gt;""),'Feijão 2ª safra'!$E42:INDEX('Feijão 2ª safra'!$E42:$Z42,MIN(AM$6-$G$3,22))),0)))))</f>
        <v>0</v>
      </c>
      <c r="AN44" s="27" t="n">
        <f aca="false">IF(COUNT('Feijão 2ª safra'!$E42:$Z42)=0,0,MAX(0,IF((AN$6-$E$3)&lt;1,0,IFERROR(LOOKUP(2,1/('Feijão 2ª safra'!$E42:INDEX('Feijão 2ª safra'!$E42:$Z42,MIN(AN$6-$E$3,22))&lt;&gt;""),'Feijão 2ª safra'!$E42:INDEX('Feijão 2ª safra'!$E42:$Z42,MIN(AN$6-$E$3,22))),0))-IF($G$2,0,IF((AN$6-$G$3)&lt;1,0,IFERROR(LOOKUP(2,1/('Feijão 2ª safra'!$E42:INDEX('Feijão 2ª safra'!$E42:$Z42,MIN(AN$6-$G$3,22))&lt;&gt;""),'Feijão 2ª safra'!$E42:INDEX('Feijão 2ª safra'!$E42:$Z42,MIN(AN$6-$G$3,22))),0)))))</f>
        <v>0</v>
      </c>
      <c r="AO44" s="27" t="n">
        <f aca="false">IF(COUNT('Feijão 2ª safra'!$E42:$Z42)=0,0,MAX(0,IF((AO$6-$E$3)&lt;1,0,IFERROR(LOOKUP(2,1/('Feijão 2ª safra'!$E42:INDEX('Feijão 2ª safra'!$E42:$Z42,MIN(AO$6-$E$3,22))&lt;&gt;""),'Feijão 2ª safra'!$E42:INDEX('Feijão 2ª safra'!$E42:$Z42,MIN(AO$6-$E$3,22))),0))-IF($G$2,0,IF((AO$6-$G$3)&lt;1,0,IFERROR(LOOKUP(2,1/('Feijão 2ª safra'!$E42:INDEX('Feijão 2ª safra'!$E42:$Z42,MIN(AO$6-$G$3,22))&lt;&gt;""),'Feijão 2ª safra'!$E42:INDEX('Feijão 2ª safra'!$E42:$Z42,MIN(AO$6-$G$3,22))),0)))))</f>
        <v>0</v>
      </c>
      <c r="AP44" s="27" t="n">
        <f aca="false">IF(COUNT('Feijão 2ª safra'!$E42:$Z42)=0,0,MAX(0,IF((AP$6-$E$3)&lt;1,0,IFERROR(LOOKUP(2,1/('Feijão 2ª safra'!$E42:INDEX('Feijão 2ª safra'!$E42:$Z42,MIN(AP$6-$E$3,22))&lt;&gt;""),'Feijão 2ª safra'!$E42:INDEX('Feijão 2ª safra'!$E42:$Z42,MIN(AP$6-$E$3,22))),0))-IF($G$2,0,IF((AP$6-$G$3)&lt;1,0,IFERROR(LOOKUP(2,1/('Feijão 2ª safra'!$E42:INDEX('Feijão 2ª safra'!$E42:$Z42,MIN(AP$6-$G$3,22))&lt;&gt;""),'Feijão 2ª safra'!$E42:INDEX('Feijão 2ª safra'!$E42:$Z42,MIN(AP$6-$G$3,22))),0)))))</f>
        <v>0</v>
      </c>
      <c r="AQ44" s="27" t="n">
        <f aca="false">IF(COUNT('Feijão 2ª safra'!$E42:$Z42)=0,0,MAX(0,IF((AQ$6-$E$3)&lt;1,0,IFERROR(LOOKUP(2,1/('Feijão 2ª safra'!$E42:INDEX('Feijão 2ª safra'!$E42:$Z42,MIN(AQ$6-$E$3,22))&lt;&gt;""),'Feijão 2ª safra'!$E42:INDEX('Feijão 2ª safra'!$E42:$Z42,MIN(AQ$6-$E$3,22))),0))-IF($G$2,0,IF((AQ$6-$G$3)&lt;1,0,IFERROR(LOOKUP(2,1/('Feijão 2ª safra'!$E42:INDEX('Feijão 2ª safra'!$E42:$Z42,MIN(AQ$6-$G$3,22))&lt;&gt;""),'Feijão 2ª safra'!$E42:INDEX('Feijão 2ª safra'!$E42:$Z42,MIN(AQ$6-$G$3,22))),0)))))</f>
        <v>0</v>
      </c>
      <c r="AR44" s="27" t="n">
        <f aca="false">IF(COUNT('Feijão 2ª safra'!$E42:$Z42)=0,0,MAX(0,IF((AR$6-$E$3)&lt;1,0,IFERROR(LOOKUP(2,1/('Feijão 2ª safra'!$E42:INDEX('Feijão 2ª safra'!$E42:$Z42,MIN(AR$6-$E$3,22))&lt;&gt;""),'Feijão 2ª safra'!$E42:INDEX('Feijão 2ª safra'!$E42:$Z42,MIN(AR$6-$E$3,22))),0))-IF($G$2,0,IF((AR$6-$G$3)&lt;1,0,IFERROR(LOOKUP(2,1/('Feijão 2ª safra'!$E42:INDEX('Feijão 2ª safra'!$E42:$Z42,MIN(AR$6-$G$3,22))&lt;&gt;""),'Feijão 2ª safra'!$E42:INDEX('Feijão 2ª safra'!$E42:$Z42,MIN(AR$6-$G$3,22))),0)))))</f>
        <v>0</v>
      </c>
      <c r="AS44" s="27" t="n">
        <f aca="false">IF(COUNT('Feijão 2ª safra'!$E42:$Z42)=0,0,MAX(0,IF((AS$6-$E$3)&lt;1,0,IFERROR(LOOKUP(2,1/('Feijão 2ª safra'!$E42:INDEX('Feijão 2ª safra'!$E42:$Z42,MIN(AS$6-$E$3,22))&lt;&gt;""),'Feijão 2ª safra'!$E42:INDEX('Feijão 2ª safra'!$E42:$Z42,MIN(AS$6-$E$3,22))),0))-IF($G$2,0,IF((AS$6-$G$3)&lt;1,0,IFERROR(LOOKUP(2,1/('Feijão 2ª safra'!$E42:INDEX('Feijão 2ª safra'!$E42:$Z42,MIN(AS$6-$G$3,22))&lt;&gt;""),'Feijão 2ª safra'!$E42:INDEX('Feijão 2ª safra'!$E42:$Z42,MIN(AS$6-$G$3,22))),0)))))</f>
        <v>0</v>
      </c>
      <c r="AT44" s="27" t="n">
        <f aca="false">IF(COUNT('Feijão 2ª safra'!$E42:$Z42)=0,0,MAX(0,IF((AT$6-$E$3)&lt;1,0,IFERROR(LOOKUP(2,1/('Feijão 2ª safra'!$E42:INDEX('Feijão 2ª safra'!$E42:$Z42,MIN(AT$6-$E$3,22))&lt;&gt;""),'Feijão 2ª safra'!$E42:INDEX('Feijão 2ª safra'!$E42:$Z42,MIN(AT$6-$E$3,22))),0))-IF($G$2,0,IF((AT$6-$G$3)&lt;1,0,IFERROR(LOOKUP(2,1/('Feijão 2ª safra'!$E42:INDEX('Feijão 2ª safra'!$E42:$Z42,MIN(AT$6-$G$3,22))&lt;&gt;""),'Feijão 2ª safra'!$E42:INDEX('Feijão 2ª safra'!$E42:$Z42,MIN(AT$6-$G$3,22))),0)))))</f>
        <v>0</v>
      </c>
      <c r="AU44" s="27" t="n">
        <f aca="false">IF(COUNT('Feijão 2ª safra'!$E42:$Z42)=0,0,MAX(0,IF((AU$6-$E$3)&lt;1,0,IFERROR(LOOKUP(2,1/('Feijão 2ª safra'!$E42:INDEX('Feijão 2ª safra'!$E42:$Z42,MIN(AU$6-$E$3,22))&lt;&gt;""),'Feijão 2ª safra'!$E42:INDEX('Feijão 2ª safra'!$E42:$Z42,MIN(AU$6-$E$3,22))),0))-IF($G$2,0,IF((AU$6-$G$3)&lt;1,0,IFERROR(LOOKUP(2,1/('Feijão 2ª safra'!$E42:INDEX('Feijão 2ª safra'!$E42:$Z42,MIN(AU$6-$G$3,22))&lt;&gt;""),'Feijão 2ª safra'!$E42:INDEX('Feijão 2ª safra'!$E42:$Z42,MIN(AU$6-$G$3,22))),0)))))</f>
        <v>0</v>
      </c>
      <c r="AV44" s="27" t="n">
        <f aca="false">IF(COUNT('Feijão 2ª safra'!$E42:$Z42)=0,0,MAX(0,IF((AV$6-$E$3)&lt;1,0,IFERROR(LOOKUP(2,1/('Feijão 2ª safra'!$E42:INDEX('Feijão 2ª safra'!$E42:$Z42,MIN(AV$6-$E$3,22))&lt;&gt;""),'Feijão 2ª safra'!$E42:INDEX('Feijão 2ª safra'!$E42:$Z42,MIN(AV$6-$E$3,22))),0))-IF($G$2,0,IF((AV$6-$G$3)&lt;1,0,IFERROR(LOOKUP(2,1/('Feijão 2ª safra'!$E42:INDEX('Feijão 2ª safra'!$E42:$Z42,MIN(AV$6-$G$3,22))&lt;&gt;""),'Feijão 2ª safra'!$E42:INDEX('Feijão 2ª safra'!$E42:$Z42,MIN(AV$6-$G$3,22))),0)))))</f>
        <v>0</v>
      </c>
      <c r="AW44" s="27" t="n">
        <f aca="false">IF(COUNT('Feijão 2ª safra'!$E42:$Z42)=0,0,MAX(0,IF((AW$6-$E$3)&lt;1,0,IFERROR(LOOKUP(2,1/('Feijão 2ª safra'!$E42:INDEX('Feijão 2ª safra'!$E42:$Z42,MIN(AW$6-$E$3,22))&lt;&gt;""),'Feijão 2ª safra'!$E42:INDEX('Feijão 2ª safra'!$E42:$Z42,MIN(AW$6-$E$3,22))),0))-IF($G$2,0,IF((AW$6-$G$3)&lt;1,0,IFERROR(LOOKUP(2,1/('Feijão 2ª safra'!$E42:INDEX('Feijão 2ª safra'!$E42:$Z42,MIN(AW$6-$G$3,22))&lt;&gt;""),'Feijão 2ª safra'!$E42:INDEX('Feijão 2ª safra'!$E42:$Z42,MIN(AW$6-$G$3,22))),0)))))</f>
        <v>0</v>
      </c>
      <c r="AX44" s="27" t="n">
        <f aca="false">IF(COUNT('Feijão 2ª safra'!$E42:$Z42)=0,0,MAX(0,IF((AX$6-$E$3)&lt;1,0,IFERROR(LOOKUP(2,1/('Feijão 2ª safra'!$E42:INDEX('Feijão 2ª safra'!$E42:$Z42,MIN(AX$6-$E$3,22))&lt;&gt;""),'Feijão 2ª safra'!$E42:INDEX('Feijão 2ª safra'!$E42:$Z42,MIN(AX$6-$E$3,22))),0))-IF($G$2,0,IF((AX$6-$G$3)&lt;1,0,IFERROR(LOOKUP(2,1/('Feijão 2ª safra'!$E42:INDEX('Feijão 2ª safra'!$E42:$Z42,MIN(AX$6-$G$3,22))&lt;&gt;""),'Feijão 2ª safra'!$E42:INDEX('Feijão 2ª safra'!$E42:$Z42,MIN(AX$6-$G$3,22))),0)))))</f>
        <v>0</v>
      </c>
      <c r="AY44" s="27" t="n">
        <f aca="false">IF(COUNT('Feijão 2ª safra'!$E42:$Z42)=0,0,MAX(0,IF((AY$6-$E$3)&lt;1,0,IFERROR(LOOKUP(2,1/('Feijão 2ª safra'!$E42:INDEX('Feijão 2ª safra'!$E42:$Z42,MIN(AY$6-$E$3,22))&lt;&gt;""),'Feijão 2ª safra'!$E42:INDEX('Feijão 2ª safra'!$E42:$Z42,MIN(AY$6-$E$3,22))),0))-IF($G$2,0,IF((AY$6-$G$3)&lt;1,0,IFERROR(LOOKUP(2,1/('Feijão 2ª safra'!$E42:INDEX('Feijão 2ª safra'!$E42:$Z42,MIN(AY$6-$G$3,22))&lt;&gt;""),'Feijão 2ª safra'!$E42:INDEX('Feijão 2ª safra'!$E42:$Z42,MIN(AY$6-$G$3,22))),0)))))</f>
        <v>0</v>
      </c>
      <c r="AZ44" s="27" t="n">
        <f aca="false">IF(COUNT('Feijão 2ª safra'!$E42:$Z42)=0,0,MAX(0,IF((AZ$6-$E$3)&lt;1,0,IFERROR(LOOKUP(2,1/('Feijão 2ª safra'!$E42:INDEX('Feijão 2ª safra'!$E42:$Z42,MIN(AZ$6-$E$3,22))&lt;&gt;""),'Feijão 2ª safra'!$E42:INDEX('Feijão 2ª safra'!$E42:$Z42,MIN(AZ$6-$E$3,22))),0))-IF($G$2,0,IF((AZ$6-$G$3)&lt;1,0,IFERROR(LOOKUP(2,1/('Feijão 2ª safra'!$E42:INDEX('Feijão 2ª safra'!$E42:$Z42,MIN(AZ$6-$G$3,22))&lt;&gt;""),'Feijão 2ª safra'!$E42:INDEX('Feijão 2ª safra'!$E42:$Z42,MIN(AZ$6-$G$3,22))),0)))))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IF(COUNT('Feijão 2ª safra'!$E43:$Z43)&gt;0,N('Feijão 2ª safra'!$D43),0)</f>
        <v>0</v>
      </c>
      <c r="E45" s="27" t="n">
        <f aca="false">IF(COUNT('Feijão 2ª safra'!$E43:$Z43)=0,0,MAX(0,IF((E$6-$E$3)&lt;1,0,IFERROR(LOOKUP(2,1/('Feijão 2ª safra'!$E43:INDEX('Feijão 2ª safra'!$E43:$Z43,MIN(E$6-$E$3,22))&lt;&gt;""),'Feijão 2ª safra'!$E43:INDEX('Feijão 2ª safra'!$E43:$Z43,MIN(E$6-$E$3,22))),0))-IF($G$2,0,IF((E$6-$G$3)&lt;1,0,IFERROR(LOOKUP(2,1/('Feijão 2ª safra'!$E43:INDEX('Feijão 2ª safra'!$E43:$Z43,MIN(E$6-$G$3,22))&lt;&gt;""),'Feijão 2ª safra'!$E43:INDEX('Feijão 2ª safra'!$E43:$Z43,MIN(E$6-$G$3,22))),0)))))</f>
        <v>0</v>
      </c>
      <c r="F45" s="27" t="n">
        <f aca="false">IF(COUNT('Feijão 2ª safra'!$E43:$Z43)=0,0,MAX(0,IF((F$6-$E$3)&lt;1,0,IFERROR(LOOKUP(2,1/('Feijão 2ª safra'!$E43:INDEX('Feijão 2ª safra'!$E43:$Z43,MIN(F$6-$E$3,22))&lt;&gt;""),'Feijão 2ª safra'!$E43:INDEX('Feijão 2ª safra'!$E43:$Z43,MIN(F$6-$E$3,22))),0))-IF($G$2,0,IF((F$6-$G$3)&lt;1,0,IFERROR(LOOKUP(2,1/('Feijão 2ª safra'!$E43:INDEX('Feijão 2ª safra'!$E43:$Z43,MIN(F$6-$G$3,22))&lt;&gt;""),'Feijão 2ª safra'!$E43:INDEX('Feijão 2ª safra'!$E43:$Z43,MIN(F$6-$G$3,22))),0)))))</f>
        <v>0</v>
      </c>
      <c r="G45" s="27" t="n">
        <f aca="false">IF(COUNT('Feijão 2ª safra'!$E43:$Z43)=0,0,MAX(0,IF((G$6-$E$3)&lt;1,0,IFERROR(LOOKUP(2,1/('Feijão 2ª safra'!$E43:INDEX('Feijão 2ª safra'!$E43:$Z43,MIN(G$6-$E$3,22))&lt;&gt;""),'Feijão 2ª safra'!$E43:INDEX('Feijão 2ª safra'!$E43:$Z43,MIN(G$6-$E$3,22))),0))-IF($G$2,0,IF((G$6-$G$3)&lt;1,0,IFERROR(LOOKUP(2,1/('Feijão 2ª safra'!$E43:INDEX('Feijão 2ª safra'!$E43:$Z43,MIN(G$6-$G$3,22))&lt;&gt;""),'Feijão 2ª safra'!$E43:INDEX('Feijão 2ª safra'!$E43:$Z43,MIN(G$6-$G$3,22))),0)))))</f>
        <v>0</v>
      </c>
      <c r="H45" s="27" t="n">
        <f aca="false">IF(COUNT('Feijão 2ª safra'!$E43:$Z43)=0,0,MAX(0,IF((H$6-$E$3)&lt;1,0,IFERROR(LOOKUP(2,1/('Feijão 2ª safra'!$E43:INDEX('Feijão 2ª safra'!$E43:$Z43,MIN(H$6-$E$3,22))&lt;&gt;""),'Feijão 2ª safra'!$E43:INDEX('Feijão 2ª safra'!$E43:$Z43,MIN(H$6-$E$3,22))),0))-IF($G$2,0,IF((H$6-$G$3)&lt;1,0,IFERROR(LOOKUP(2,1/('Feijão 2ª safra'!$E43:INDEX('Feijão 2ª safra'!$E43:$Z43,MIN(H$6-$G$3,22))&lt;&gt;""),'Feijão 2ª safra'!$E43:INDEX('Feijão 2ª safra'!$E43:$Z43,MIN(H$6-$G$3,22))),0)))))</f>
        <v>0</v>
      </c>
      <c r="I45" s="27" t="n">
        <f aca="false">IF(COUNT('Feijão 2ª safra'!$E43:$Z43)=0,0,MAX(0,IF((I$6-$E$3)&lt;1,0,IFERROR(LOOKUP(2,1/('Feijão 2ª safra'!$E43:INDEX('Feijão 2ª safra'!$E43:$Z43,MIN(I$6-$E$3,22))&lt;&gt;""),'Feijão 2ª safra'!$E43:INDEX('Feijão 2ª safra'!$E43:$Z43,MIN(I$6-$E$3,22))),0))-IF($G$2,0,IF((I$6-$G$3)&lt;1,0,IFERROR(LOOKUP(2,1/('Feijão 2ª safra'!$E43:INDEX('Feijão 2ª safra'!$E43:$Z43,MIN(I$6-$G$3,22))&lt;&gt;""),'Feijão 2ª safra'!$E43:INDEX('Feijão 2ª safra'!$E43:$Z43,MIN(I$6-$G$3,22))),0)))))</f>
        <v>0</v>
      </c>
      <c r="J45" s="27" t="n">
        <f aca="false">IF(COUNT('Feijão 2ª safra'!$E43:$Z43)=0,0,MAX(0,IF((J$6-$E$3)&lt;1,0,IFERROR(LOOKUP(2,1/('Feijão 2ª safra'!$E43:INDEX('Feijão 2ª safra'!$E43:$Z43,MIN(J$6-$E$3,22))&lt;&gt;""),'Feijão 2ª safra'!$E43:INDEX('Feijão 2ª safra'!$E43:$Z43,MIN(J$6-$E$3,22))),0))-IF($G$2,0,IF((J$6-$G$3)&lt;1,0,IFERROR(LOOKUP(2,1/('Feijão 2ª safra'!$E43:INDEX('Feijão 2ª safra'!$E43:$Z43,MIN(J$6-$G$3,22))&lt;&gt;""),'Feijão 2ª safra'!$E43:INDEX('Feijão 2ª safra'!$E43:$Z43,MIN(J$6-$G$3,22))),0)))))</f>
        <v>0</v>
      </c>
      <c r="K45" s="27" t="n">
        <f aca="false">IF(COUNT('Feijão 2ª safra'!$E43:$Z43)=0,0,MAX(0,IF((K$6-$E$3)&lt;1,0,IFERROR(LOOKUP(2,1/('Feijão 2ª safra'!$E43:INDEX('Feijão 2ª safra'!$E43:$Z43,MIN(K$6-$E$3,22))&lt;&gt;""),'Feijão 2ª safra'!$E43:INDEX('Feijão 2ª safra'!$E43:$Z43,MIN(K$6-$E$3,22))),0))-IF($G$2,0,IF((K$6-$G$3)&lt;1,0,IFERROR(LOOKUP(2,1/('Feijão 2ª safra'!$E43:INDEX('Feijão 2ª safra'!$E43:$Z43,MIN(K$6-$G$3,22))&lt;&gt;""),'Feijão 2ª safra'!$E43:INDEX('Feijão 2ª safra'!$E43:$Z43,MIN(K$6-$G$3,22))),0)))))</f>
        <v>0</v>
      </c>
      <c r="L45" s="27" t="n">
        <f aca="false">IF(COUNT('Feijão 2ª safra'!$E43:$Z43)=0,0,MAX(0,IF((L$6-$E$3)&lt;1,0,IFERROR(LOOKUP(2,1/('Feijão 2ª safra'!$E43:INDEX('Feijão 2ª safra'!$E43:$Z43,MIN(L$6-$E$3,22))&lt;&gt;""),'Feijão 2ª safra'!$E43:INDEX('Feijão 2ª safra'!$E43:$Z43,MIN(L$6-$E$3,22))),0))-IF($G$2,0,IF((L$6-$G$3)&lt;1,0,IFERROR(LOOKUP(2,1/('Feijão 2ª safra'!$E43:INDEX('Feijão 2ª safra'!$E43:$Z43,MIN(L$6-$G$3,22))&lt;&gt;""),'Feijão 2ª safra'!$E43:INDEX('Feijão 2ª safra'!$E43:$Z43,MIN(L$6-$G$3,22))),0)))))</f>
        <v>0</v>
      </c>
      <c r="M45" s="27" t="n">
        <f aca="false">IF(COUNT('Feijão 2ª safra'!$E43:$Z43)=0,0,MAX(0,IF((M$6-$E$3)&lt;1,0,IFERROR(LOOKUP(2,1/('Feijão 2ª safra'!$E43:INDEX('Feijão 2ª safra'!$E43:$Z43,MIN(M$6-$E$3,22))&lt;&gt;""),'Feijão 2ª safra'!$E43:INDEX('Feijão 2ª safra'!$E43:$Z43,MIN(M$6-$E$3,22))),0))-IF($G$2,0,IF((M$6-$G$3)&lt;1,0,IFERROR(LOOKUP(2,1/('Feijão 2ª safra'!$E43:INDEX('Feijão 2ª safra'!$E43:$Z43,MIN(M$6-$G$3,22))&lt;&gt;""),'Feijão 2ª safra'!$E43:INDEX('Feijão 2ª safra'!$E43:$Z43,MIN(M$6-$G$3,22))),0)))))</f>
        <v>0</v>
      </c>
      <c r="N45" s="27" t="n">
        <f aca="false">IF(COUNT('Feijão 2ª safra'!$E43:$Z43)=0,0,MAX(0,IF((N$6-$E$3)&lt;1,0,IFERROR(LOOKUP(2,1/('Feijão 2ª safra'!$E43:INDEX('Feijão 2ª safra'!$E43:$Z43,MIN(N$6-$E$3,22))&lt;&gt;""),'Feijão 2ª safra'!$E43:INDEX('Feijão 2ª safra'!$E43:$Z43,MIN(N$6-$E$3,22))),0))-IF($G$2,0,IF((N$6-$G$3)&lt;1,0,IFERROR(LOOKUP(2,1/('Feijão 2ª safra'!$E43:INDEX('Feijão 2ª safra'!$E43:$Z43,MIN(N$6-$G$3,22))&lt;&gt;""),'Feijão 2ª safra'!$E43:INDEX('Feijão 2ª safra'!$E43:$Z43,MIN(N$6-$G$3,22))),0)))))</f>
        <v>0</v>
      </c>
      <c r="O45" s="27" t="n">
        <f aca="false">IF(COUNT('Feijão 2ª safra'!$E43:$Z43)=0,0,MAX(0,IF((O$6-$E$3)&lt;1,0,IFERROR(LOOKUP(2,1/('Feijão 2ª safra'!$E43:INDEX('Feijão 2ª safra'!$E43:$Z43,MIN(O$6-$E$3,22))&lt;&gt;""),'Feijão 2ª safra'!$E43:INDEX('Feijão 2ª safra'!$E43:$Z43,MIN(O$6-$E$3,22))),0))-IF($G$2,0,IF((O$6-$G$3)&lt;1,0,IFERROR(LOOKUP(2,1/('Feijão 2ª safra'!$E43:INDEX('Feijão 2ª safra'!$E43:$Z43,MIN(O$6-$G$3,22))&lt;&gt;""),'Feijão 2ª safra'!$E43:INDEX('Feijão 2ª safra'!$E43:$Z43,MIN(O$6-$G$3,22))),0)))))</f>
        <v>0</v>
      </c>
      <c r="P45" s="27" t="n">
        <f aca="false">IF(COUNT('Feijão 2ª safra'!$E43:$Z43)=0,0,MAX(0,IF((P$6-$E$3)&lt;1,0,IFERROR(LOOKUP(2,1/('Feijão 2ª safra'!$E43:INDEX('Feijão 2ª safra'!$E43:$Z43,MIN(P$6-$E$3,22))&lt;&gt;""),'Feijão 2ª safra'!$E43:INDEX('Feijão 2ª safra'!$E43:$Z43,MIN(P$6-$E$3,22))),0))-IF($G$2,0,IF((P$6-$G$3)&lt;1,0,IFERROR(LOOKUP(2,1/('Feijão 2ª safra'!$E43:INDEX('Feijão 2ª safra'!$E43:$Z43,MIN(P$6-$G$3,22))&lt;&gt;""),'Feijão 2ª safra'!$E43:INDEX('Feijão 2ª safra'!$E43:$Z43,MIN(P$6-$G$3,22))),0)))))</f>
        <v>0</v>
      </c>
      <c r="Q45" s="27" t="n">
        <f aca="false">IF(COUNT('Feijão 2ª safra'!$E43:$Z43)=0,0,MAX(0,IF((Q$6-$E$3)&lt;1,0,IFERROR(LOOKUP(2,1/('Feijão 2ª safra'!$E43:INDEX('Feijão 2ª safra'!$E43:$Z43,MIN(Q$6-$E$3,22))&lt;&gt;""),'Feijão 2ª safra'!$E43:INDEX('Feijão 2ª safra'!$E43:$Z43,MIN(Q$6-$E$3,22))),0))-IF($G$2,0,IF((Q$6-$G$3)&lt;1,0,IFERROR(LOOKUP(2,1/('Feijão 2ª safra'!$E43:INDEX('Feijão 2ª safra'!$E43:$Z43,MIN(Q$6-$G$3,22))&lt;&gt;""),'Feijão 2ª safra'!$E43:INDEX('Feijão 2ª safra'!$E43:$Z43,MIN(Q$6-$G$3,22))),0)))))</f>
        <v>0</v>
      </c>
      <c r="R45" s="27" t="n">
        <f aca="false">IF(COUNT('Feijão 2ª safra'!$E43:$Z43)=0,0,MAX(0,IF((R$6-$E$3)&lt;1,0,IFERROR(LOOKUP(2,1/('Feijão 2ª safra'!$E43:INDEX('Feijão 2ª safra'!$E43:$Z43,MIN(R$6-$E$3,22))&lt;&gt;""),'Feijão 2ª safra'!$E43:INDEX('Feijão 2ª safra'!$E43:$Z43,MIN(R$6-$E$3,22))),0))-IF($G$2,0,IF((R$6-$G$3)&lt;1,0,IFERROR(LOOKUP(2,1/('Feijão 2ª safra'!$E43:INDEX('Feijão 2ª safra'!$E43:$Z43,MIN(R$6-$G$3,22))&lt;&gt;""),'Feijão 2ª safra'!$E43:INDEX('Feijão 2ª safra'!$E43:$Z43,MIN(R$6-$G$3,22))),0)))))</f>
        <v>0</v>
      </c>
      <c r="S45" s="27" t="n">
        <f aca="false">IF(COUNT('Feijão 2ª safra'!$E43:$Z43)=0,0,MAX(0,IF((S$6-$E$3)&lt;1,0,IFERROR(LOOKUP(2,1/('Feijão 2ª safra'!$E43:INDEX('Feijão 2ª safra'!$E43:$Z43,MIN(S$6-$E$3,22))&lt;&gt;""),'Feijão 2ª safra'!$E43:INDEX('Feijão 2ª safra'!$E43:$Z43,MIN(S$6-$E$3,22))),0))-IF($G$2,0,IF((S$6-$G$3)&lt;1,0,IFERROR(LOOKUP(2,1/('Feijão 2ª safra'!$E43:INDEX('Feijão 2ª safra'!$E43:$Z43,MIN(S$6-$G$3,22))&lt;&gt;""),'Feijão 2ª safra'!$E43:INDEX('Feijão 2ª safra'!$E43:$Z43,MIN(S$6-$G$3,22))),0)))))</f>
        <v>0</v>
      </c>
      <c r="T45" s="27" t="n">
        <f aca="false">IF(COUNT('Feijão 2ª safra'!$E43:$Z43)=0,0,MAX(0,IF((T$6-$E$3)&lt;1,0,IFERROR(LOOKUP(2,1/('Feijão 2ª safra'!$E43:INDEX('Feijão 2ª safra'!$E43:$Z43,MIN(T$6-$E$3,22))&lt;&gt;""),'Feijão 2ª safra'!$E43:INDEX('Feijão 2ª safra'!$E43:$Z43,MIN(T$6-$E$3,22))),0))-IF($G$2,0,IF((T$6-$G$3)&lt;1,0,IFERROR(LOOKUP(2,1/('Feijão 2ª safra'!$E43:INDEX('Feijão 2ª safra'!$E43:$Z43,MIN(T$6-$G$3,22))&lt;&gt;""),'Feijão 2ª safra'!$E43:INDEX('Feijão 2ª safra'!$E43:$Z43,MIN(T$6-$G$3,22))),0)))))</f>
        <v>0</v>
      </c>
      <c r="U45" s="27" t="n">
        <f aca="false">IF(COUNT('Feijão 2ª safra'!$E43:$Z43)=0,0,MAX(0,IF((U$6-$E$3)&lt;1,0,IFERROR(LOOKUP(2,1/('Feijão 2ª safra'!$E43:INDEX('Feijão 2ª safra'!$E43:$Z43,MIN(U$6-$E$3,22))&lt;&gt;""),'Feijão 2ª safra'!$E43:INDEX('Feijão 2ª safra'!$E43:$Z43,MIN(U$6-$E$3,22))),0))-IF($G$2,0,IF((U$6-$G$3)&lt;1,0,IFERROR(LOOKUP(2,1/('Feijão 2ª safra'!$E43:INDEX('Feijão 2ª safra'!$E43:$Z43,MIN(U$6-$G$3,22))&lt;&gt;""),'Feijão 2ª safra'!$E43:INDEX('Feijão 2ª safra'!$E43:$Z43,MIN(U$6-$G$3,22))),0)))))</f>
        <v>0</v>
      </c>
      <c r="V45" s="27" t="n">
        <f aca="false">IF(COUNT('Feijão 2ª safra'!$E43:$Z43)=0,0,MAX(0,IF((V$6-$E$3)&lt;1,0,IFERROR(LOOKUP(2,1/('Feijão 2ª safra'!$E43:INDEX('Feijão 2ª safra'!$E43:$Z43,MIN(V$6-$E$3,22))&lt;&gt;""),'Feijão 2ª safra'!$E43:INDEX('Feijão 2ª safra'!$E43:$Z43,MIN(V$6-$E$3,22))),0))-IF($G$2,0,IF((V$6-$G$3)&lt;1,0,IFERROR(LOOKUP(2,1/('Feijão 2ª safra'!$E43:INDEX('Feijão 2ª safra'!$E43:$Z43,MIN(V$6-$G$3,22))&lt;&gt;""),'Feijão 2ª safra'!$E43:INDEX('Feijão 2ª safra'!$E43:$Z43,MIN(V$6-$G$3,22))),0)))))</f>
        <v>0</v>
      </c>
      <c r="W45" s="27" t="n">
        <f aca="false">IF(COUNT('Feijão 2ª safra'!$E43:$Z43)=0,0,MAX(0,IF((W$6-$E$3)&lt;1,0,IFERROR(LOOKUP(2,1/('Feijão 2ª safra'!$E43:INDEX('Feijão 2ª safra'!$E43:$Z43,MIN(W$6-$E$3,22))&lt;&gt;""),'Feijão 2ª safra'!$E43:INDEX('Feijão 2ª safra'!$E43:$Z43,MIN(W$6-$E$3,22))),0))-IF($G$2,0,IF((W$6-$G$3)&lt;1,0,IFERROR(LOOKUP(2,1/('Feijão 2ª safra'!$E43:INDEX('Feijão 2ª safra'!$E43:$Z43,MIN(W$6-$G$3,22))&lt;&gt;""),'Feijão 2ª safra'!$E43:INDEX('Feijão 2ª safra'!$E43:$Z43,MIN(W$6-$G$3,22))),0)))))</f>
        <v>0</v>
      </c>
      <c r="X45" s="27" t="n">
        <f aca="false">IF(COUNT('Feijão 2ª safra'!$E43:$Z43)=0,0,MAX(0,IF((X$6-$E$3)&lt;1,0,IFERROR(LOOKUP(2,1/('Feijão 2ª safra'!$E43:INDEX('Feijão 2ª safra'!$E43:$Z43,MIN(X$6-$E$3,22))&lt;&gt;""),'Feijão 2ª safra'!$E43:INDEX('Feijão 2ª safra'!$E43:$Z43,MIN(X$6-$E$3,22))),0))-IF($G$2,0,IF((X$6-$G$3)&lt;1,0,IFERROR(LOOKUP(2,1/('Feijão 2ª safra'!$E43:INDEX('Feijão 2ª safra'!$E43:$Z43,MIN(X$6-$G$3,22))&lt;&gt;""),'Feijão 2ª safra'!$E43:INDEX('Feijão 2ª safra'!$E43:$Z43,MIN(X$6-$G$3,22))),0)))))</f>
        <v>0</v>
      </c>
      <c r="Y45" s="27" t="n">
        <f aca="false">IF(COUNT('Feijão 2ª safra'!$E43:$Z43)=0,0,MAX(0,IF((Y$6-$E$3)&lt;1,0,IFERROR(LOOKUP(2,1/('Feijão 2ª safra'!$E43:INDEX('Feijão 2ª safra'!$E43:$Z43,MIN(Y$6-$E$3,22))&lt;&gt;""),'Feijão 2ª safra'!$E43:INDEX('Feijão 2ª safra'!$E43:$Z43,MIN(Y$6-$E$3,22))),0))-IF($G$2,0,IF((Y$6-$G$3)&lt;1,0,IFERROR(LOOKUP(2,1/('Feijão 2ª safra'!$E43:INDEX('Feijão 2ª safra'!$E43:$Z43,MIN(Y$6-$G$3,22))&lt;&gt;""),'Feijão 2ª safra'!$E43:INDEX('Feijão 2ª safra'!$E43:$Z43,MIN(Y$6-$G$3,22))),0)))))</f>
        <v>0</v>
      </c>
      <c r="Z45" s="27" t="n">
        <f aca="false">IF(COUNT('Feijão 2ª safra'!$E43:$Z43)=0,0,MAX(0,IF((Z$6-$E$3)&lt;1,0,IFERROR(LOOKUP(2,1/('Feijão 2ª safra'!$E43:INDEX('Feijão 2ª safra'!$E43:$Z43,MIN(Z$6-$E$3,22))&lt;&gt;""),'Feijão 2ª safra'!$E43:INDEX('Feijão 2ª safra'!$E43:$Z43,MIN(Z$6-$E$3,22))),0))-IF($G$2,0,IF((Z$6-$G$3)&lt;1,0,IFERROR(LOOKUP(2,1/('Feijão 2ª safra'!$E43:INDEX('Feijão 2ª safra'!$E43:$Z43,MIN(Z$6-$G$3,22))&lt;&gt;""),'Feijão 2ª safra'!$E43:INDEX('Feijão 2ª safra'!$E43:$Z43,MIN(Z$6-$G$3,22))),0)))))</f>
        <v>0</v>
      </c>
      <c r="AA45" s="27" t="n">
        <f aca="false">IF(COUNT('Feijão 2ª safra'!$E43:$Z43)=0,0,MAX(0,IF((AA$6-$E$3)&lt;1,0,IFERROR(LOOKUP(2,1/('Feijão 2ª safra'!$E43:INDEX('Feijão 2ª safra'!$E43:$Z43,MIN(AA$6-$E$3,22))&lt;&gt;""),'Feijão 2ª safra'!$E43:INDEX('Feijão 2ª safra'!$E43:$Z43,MIN(AA$6-$E$3,22))),0))-IF($G$2,0,IF((AA$6-$G$3)&lt;1,0,IFERROR(LOOKUP(2,1/('Feijão 2ª safra'!$E43:INDEX('Feijão 2ª safra'!$E43:$Z43,MIN(AA$6-$G$3,22))&lt;&gt;""),'Feijão 2ª safra'!$E43:INDEX('Feijão 2ª safra'!$E43:$Z43,MIN(AA$6-$G$3,22))),0)))))</f>
        <v>0</v>
      </c>
      <c r="AB45" s="27" t="n">
        <f aca="false">IF(COUNT('Feijão 2ª safra'!$E43:$Z43)=0,0,MAX(0,IF((AB$6-$E$3)&lt;1,0,IFERROR(LOOKUP(2,1/('Feijão 2ª safra'!$E43:INDEX('Feijão 2ª safra'!$E43:$Z43,MIN(AB$6-$E$3,22))&lt;&gt;""),'Feijão 2ª safra'!$E43:INDEX('Feijão 2ª safra'!$E43:$Z43,MIN(AB$6-$E$3,22))),0))-IF($G$2,0,IF((AB$6-$G$3)&lt;1,0,IFERROR(LOOKUP(2,1/('Feijão 2ª safra'!$E43:INDEX('Feijão 2ª safra'!$E43:$Z43,MIN(AB$6-$G$3,22))&lt;&gt;""),'Feijão 2ª safra'!$E43:INDEX('Feijão 2ª safra'!$E43:$Z43,MIN(AB$6-$G$3,22))),0)))))</f>
        <v>0</v>
      </c>
      <c r="AC45" s="27" t="n">
        <f aca="false">IF(COUNT('Feijão 2ª safra'!$E43:$Z43)=0,0,MAX(0,IF((AC$6-$E$3)&lt;1,0,IFERROR(LOOKUP(2,1/('Feijão 2ª safra'!$E43:INDEX('Feijão 2ª safra'!$E43:$Z43,MIN(AC$6-$E$3,22))&lt;&gt;""),'Feijão 2ª safra'!$E43:INDEX('Feijão 2ª safra'!$E43:$Z43,MIN(AC$6-$E$3,22))),0))-IF($G$2,0,IF((AC$6-$G$3)&lt;1,0,IFERROR(LOOKUP(2,1/('Feijão 2ª safra'!$E43:INDEX('Feijão 2ª safra'!$E43:$Z43,MIN(AC$6-$G$3,22))&lt;&gt;""),'Feijão 2ª safra'!$E43:INDEX('Feijão 2ª safra'!$E43:$Z43,MIN(AC$6-$G$3,22))),0)))))</f>
        <v>0</v>
      </c>
      <c r="AD45" s="27" t="n">
        <f aca="false">IF(COUNT('Feijão 2ª safra'!$E43:$Z43)=0,0,MAX(0,IF((AD$6-$E$3)&lt;1,0,IFERROR(LOOKUP(2,1/('Feijão 2ª safra'!$E43:INDEX('Feijão 2ª safra'!$E43:$Z43,MIN(AD$6-$E$3,22))&lt;&gt;""),'Feijão 2ª safra'!$E43:INDEX('Feijão 2ª safra'!$E43:$Z43,MIN(AD$6-$E$3,22))),0))-IF($G$2,0,IF((AD$6-$G$3)&lt;1,0,IFERROR(LOOKUP(2,1/('Feijão 2ª safra'!$E43:INDEX('Feijão 2ª safra'!$E43:$Z43,MIN(AD$6-$G$3,22))&lt;&gt;""),'Feijão 2ª safra'!$E43:INDEX('Feijão 2ª safra'!$E43:$Z43,MIN(AD$6-$G$3,22))),0)))))</f>
        <v>0</v>
      </c>
      <c r="AE45" s="27" t="n">
        <f aca="false">IF(COUNT('Feijão 2ª safra'!$E43:$Z43)=0,0,MAX(0,IF((AE$6-$E$3)&lt;1,0,IFERROR(LOOKUP(2,1/('Feijão 2ª safra'!$E43:INDEX('Feijão 2ª safra'!$E43:$Z43,MIN(AE$6-$E$3,22))&lt;&gt;""),'Feijão 2ª safra'!$E43:INDEX('Feijão 2ª safra'!$E43:$Z43,MIN(AE$6-$E$3,22))),0))-IF($G$2,0,IF((AE$6-$G$3)&lt;1,0,IFERROR(LOOKUP(2,1/('Feijão 2ª safra'!$E43:INDEX('Feijão 2ª safra'!$E43:$Z43,MIN(AE$6-$G$3,22))&lt;&gt;""),'Feijão 2ª safra'!$E43:INDEX('Feijão 2ª safra'!$E43:$Z43,MIN(AE$6-$G$3,22))),0)))))</f>
        <v>0</v>
      </c>
      <c r="AF45" s="27" t="n">
        <f aca="false">IF(COUNT('Feijão 2ª safra'!$E43:$Z43)=0,0,MAX(0,IF((AF$6-$E$3)&lt;1,0,IFERROR(LOOKUP(2,1/('Feijão 2ª safra'!$E43:INDEX('Feijão 2ª safra'!$E43:$Z43,MIN(AF$6-$E$3,22))&lt;&gt;""),'Feijão 2ª safra'!$E43:INDEX('Feijão 2ª safra'!$E43:$Z43,MIN(AF$6-$E$3,22))),0))-IF($G$2,0,IF((AF$6-$G$3)&lt;1,0,IFERROR(LOOKUP(2,1/('Feijão 2ª safra'!$E43:INDEX('Feijão 2ª safra'!$E43:$Z43,MIN(AF$6-$G$3,22))&lt;&gt;""),'Feijão 2ª safra'!$E43:INDEX('Feijão 2ª safra'!$E43:$Z43,MIN(AF$6-$G$3,22))),0)))))</f>
        <v>0</v>
      </c>
      <c r="AG45" s="27" t="n">
        <f aca="false">IF(COUNT('Feijão 2ª safra'!$E43:$Z43)=0,0,MAX(0,IF((AG$6-$E$3)&lt;1,0,IFERROR(LOOKUP(2,1/('Feijão 2ª safra'!$E43:INDEX('Feijão 2ª safra'!$E43:$Z43,MIN(AG$6-$E$3,22))&lt;&gt;""),'Feijão 2ª safra'!$E43:INDEX('Feijão 2ª safra'!$E43:$Z43,MIN(AG$6-$E$3,22))),0))-IF($G$2,0,IF((AG$6-$G$3)&lt;1,0,IFERROR(LOOKUP(2,1/('Feijão 2ª safra'!$E43:INDEX('Feijão 2ª safra'!$E43:$Z43,MIN(AG$6-$G$3,22))&lt;&gt;""),'Feijão 2ª safra'!$E43:INDEX('Feijão 2ª safra'!$E43:$Z43,MIN(AG$6-$G$3,22))),0)))))</f>
        <v>0</v>
      </c>
      <c r="AH45" s="27" t="n">
        <f aca="false">IF(COUNT('Feijão 2ª safra'!$E43:$Z43)=0,0,MAX(0,IF((AH$6-$E$3)&lt;1,0,IFERROR(LOOKUP(2,1/('Feijão 2ª safra'!$E43:INDEX('Feijão 2ª safra'!$E43:$Z43,MIN(AH$6-$E$3,22))&lt;&gt;""),'Feijão 2ª safra'!$E43:INDEX('Feijão 2ª safra'!$E43:$Z43,MIN(AH$6-$E$3,22))),0))-IF($G$2,0,IF((AH$6-$G$3)&lt;1,0,IFERROR(LOOKUP(2,1/('Feijão 2ª safra'!$E43:INDEX('Feijão 2ª safra'!$E43:$Z43,MIN(AH$6-$G$3,22))&lt;&gt;""),'Feijão 2ª safra'!$E43:INDEX('Feijão 2ª safra'!$E43:$Z43,MIN(AH$6-$G$3,22))),0)))))</f>
        <v>0</v>
      </c>
      <c r="AI45" s="27" t="n">
        <f aca="false">IF(COUNT('Feijão 2ª safra'!$E43:$Z43)=0,0,MAX(0,IF((AI$6-$E$3)&lt;1,0,IFERROR(LOOKUP(2,1/('Feijão 2ª safra'!$E43:INDEX('Feijão 2ª safra'!$E43:$Z43,MIN(AI$6-$E$3,22))&lt;&gt;""),'Feijão 2ª safra'!$E43:INDEX('Feijão 2ª safra'!$E43:$Z43,MIN(AI$6-$E$3,22))),0))-IF($G$2,0,IF((AI$6-$G$3)&lt;1,0,IFERROR(LOOKUP(2,1/('Feijão 2ª safra'!$E43:INDEX('Feijão 2ª safra'!$E43:$Z43,MIN(AI$6-$G$3,22))&lt;&gt;""),'Feijão 2ª safra'!$E43:INDEX('Feijão 2ª safra'!$E43:$Z43,MIN(AI$6-$G$3,22))),0)))))</f>
        <v>0</v>
      </c>
      <c r="AJ45" s="27" t="n">
        <f aca="false">IF(COUNT('Feijão 2ª safra'!$E43:$Z43)=0,0,MAX(0,IF((AJ$6-$E$3)&lt;1,0,IFERROR(LOOKUP(2,1/('Feijão 2ª safra'!$E43:INDEX('Feijão 2ª safra'!$E43:$Z43,MIN(AJ$6-$E$3,22))&lt;&gt;""),'Feijão 2ª safra'!$E43:INDEX('Feijão 2ª safra'!$E43:$Z43,MIN(AJ$6-$E$3,22))),0))-IF($G$2,0,IF((AJ$6-$G$3)&lt;1,0,IFERROR(LOOKUP(2,1/('Feijão 2ª safra'!$E43:INDEX('Feijão 2ª safra'!$E43:$Z43,MIN(AJ$6-$G$3,22))&lt;&gt;""),'Feijão 2ª safra'!$E43:INDEX('Feijão 2ª safra'!$E43:$Z43,MIN(AJ$6-$G$3,22))),0)))))</f>
        <v>0</v>
      </c>
      <c r="AK45" s="27" t="n">
        <f aca="false">IF(COUNT('Feijão 2ª safra'!$E43:$Z43)=0,0,MAX(0,IF((AK$6-$E$3)&lt;1,0,IFERROR(LOOKUP(2,1/('Feijão 2ª safra'!$E43:INDEX('Feijão 2ª safra'!$E43:$Z43,MIN(AK$6-$E$3,22))&lt;&gt;""),'Feijão 2ª safra'!$E43:INDEX('Feijão 2ª safra'!$E43:$Z43,MIN(AK$6-$E$3,22))),0))-IF($G$2,0,IF((AK$6-$G$3)&lt;1,0,IFERROR(LOOKUP(2,1/('Feijão 2ª safra'!$E43:INDEX('Feijão 2ª safra'!$E43:$Z43,MIN(AK$6-$G$3,22))&lt;&gt;""),'Feijão 2ª safra'!$E43:INDEX('Feijão 2ª safra'!$E43:$Z43,MIN(AK$6-$G$3,22))),0)))))</f>
        <v>0</v>
      </c>
      <c r="AL45" s="27" t="n">
        <f aca="false">IF(COUNT('Feijão 2ª safra'!$E43:$Z43)=0,0,MAX(0,IF((AL$6-$E$3)&lt;1,0,IFERROR(LOOKUP(2,1/('Feijão 2ª safra'!$E43:INDEX('Feijão 2ª safra'!$E43:$Z43,MIN(AL$6-$E$3,22))&lt;&gt;""),'Feijão 2ª safra'!$E43:INDEX('Feijão 2ª safra'!$E43:$Z43,MIN(AL$6-$E$3,22))),0))-IF($G$2,0,IF((AL$6-$G$3)&lt;1,0,IFERROR(LOOKUP(2,1/('Feijão 2ª safra'!$E43:INDEX('Feijão 2ª safra'!$E43:$Z43,MIN(AL$6-$G$3,22))&lt;&gt;""),'Feijão 2ª safra'!$E43:INDEX('Feijão 2ª safra'!$E43:$Z43,MIN(AL$6-$G$3,22))),0)))))</f>
        <v>0</v>
      </c>
      <c r="AM45" s="27" t="n">
        <f aca="false">IF(COUNT('Feijão 2ª safra'!$E43:$Z43)=0,0,MAX(0,IF((AM$6-$E$3)&lt;1,0,IFERROR(LOOKUP(2,1/('Feijão 2ª safra'!$E43:INDEX('Feijão 2ª safra'!$E43:$Z43,MIN(AM$6-$E$3,22))&lt;&gt;""),'Feijão 2ª safra'!$E43:INDEX('Feijão 2ª safra'!$E43:$Z43,MIN(AM$6-$E$3,22))),0))-IF($G$2,0,IF((AM$6-$G$3)&lt;1,0,IFERROR(LOOKUP(2,1/('Feijão 2ª safra'!$E43:INDEX('Feijão 2ª safra'!$E43:$Z43,MIN(AM$6-$G$3,22))&lt;&gt;""),'Feijão 2ª safra'!$E43:INDEX('Feijão 2ª safra'!$E43:$Z43,MIN(AM$6-$G$3,22))),0)))))</f>
        <v>0</v>
      </c>
      <c r="AN45" s="27" t="n">
        <f aca="false">IF(COUNT('Feijão 2ª safra'!$E43:$Z43)=0,0,MAX(0,IF((AN$6-$E$3)&lt;1,0,IFERROR(LOOKUP(2,1/('Feijão 2ª safra'!$E43:INDEX('Feijão 2ª safra'!$E43:$Z43,MIN(AN$6-$E$3,22))&lt;&gt;""),'Feijão 2ª safra'!$E43:INDEX('Feijão 2ª safra'!$E43:$Z43,MIN(AN$6-$E$3,22))),0))-IF($G$2,0,IF((AN$6-$G$3)&lt;1,0,IFERROR(LOOKUP(2,1/('Feijão 2ª safra'!$E43:INDEX('Feijão 2ª safra'!$E43:$Z43,MIN(AN$6-$G$3,22))&lt;&gt;""),'Feijão 2ª safra'!$E43:INDEX('Feijão 2ª safra'!$E43:$Z43,MIN(AN$6-$G$3,22))),0)))))</f>
        <v>0</v>
      </c>
      <c r="AO45" s="27" t="n">
        <f aca="false">IF(COUNT('Feijão 2ª safra'!$E43:$Z43)=0,0,MAX(0,IF((AO$6-$E$3)&lt;1,0,IFERROR(LOOKUP(2,1/('Feijão 2ª safra'!$E43:INDEX('Feijão 2ª safra'!$E43:$Z43,MIN(AO$6-$E$3,22))&lt;&gt;""),'Feijão 2ª safra'!$E43:INDEX('Feijão 2ª safra'!$E43:$Z43,MIN(AO$6-$E$3,22))),0))-IF($G$2,0,IF((AO$6-$G$3)&lt;1,0,IFERROR(LOOKUP(2,1/('Feijão 2ª safra'!$E43:INDEX('Feijão 2ª safra'!$E43:$Z43,MIN(AO$6-$G$3,22))&lt;&gt;""),'Feijão 2ª safra'!$E43:INDEX('Feijão 2ª safra'!$E43:$Z43,MIN(AO$6-$G$3,22))),0)))))</f>
        <v>0</v>
      </c>
      <c r="AP45" s="27" t="n">
        <f aca="false">IF(COUNT('Feijão 2ª safra'!$E43:$Z43)=0,0,MAX(0,IF((AP$6-$E$3)&lt;1,0,IFERROR(LOOKUP(2,1/('Feijão 2ª safra'!$E43:INDEX('Feijão 2ª safra'!$E43:$Z43,MIN(AP$6-$E$3,22))&lt;&gt;""),'Feijão 2ª safra'!$E43:INDEX('Feijão 2ª safra'!$E43:$Z43,MIN(AP$6-$E$3,22))),0))-IF($G$2,0,IF((AP$6-$G$3)&lt;1,0,IFERROR(LOOKUP(2,1/('Feijão 2ª safra'!$E43:INDEX('Feijão 2ª safra'!$E43:$Z43,MIN(AP$6-$G$3,22))&lt;&gt;""),'Feijão 2ª safra'!$E43:INDEX('Feijão 2ª safra'!$E43:$Z43,MIN(AP$6-$G$3,22))),0)))))</f>
        <v>0</v>
      </c>
      <c r="AQ45" s="27" t="n">
        <f aca="false">IF(COUNT('Feijão 2ª safra'!$E43:$Z43)=0,0,MAX(0,IF((AQ$6-$E$3)&lt;1,0,IFERROR(LOOKUP(2,1/('Feijão 2ª safra'!$E43:INDEX('Feijão 2ª safra'!$E43:$Z43,MIN(AQ$6-$E$3,22))&lt;&gt;""),'Feijão 2ª safra'!$E43:INDEX('Feijão 2ª safra'!$E43:$Z43,MIN(AQ$6-$E$3,22))),0))-IF($G$2,0,IF((AQ$6-$G$3)&lt;1,0,IFERROR(LOOKUP(2,1/('Feijão 2ª safra'!$E43:INDEX('Feijão 2ª safra'!$E43:$Z43,MIN(AQ$6-$G$3,22))&lt;&gt;""),'Feijão 2ª safra'!$E43:INDEX('Feijão 2ª safra'!$E43:$Z43,MIN(AQ$6-$G$3,22))),0)))))</f>
        <v>0</v>
      </c>
      <c r="AR45" s="27" t="n">
        <f aca="false">IF(COUNT('Feijão 2ª safra'!$E43:$Z43)=0,0,MAX(0,IF((AR$6-$E$3)&lt;1,0,IFERROR(LOOKUP(2,1/('Feijão 2ª safra'!$E43:INDEX('Feijão 2ª safra'!$E43:$Z43,MIN(AR$6-$E$3,22))&lt;&gt;""),'Feijão 2ª safra'!$E43:INDEX('Feijão 2ª safra'!$E43:$Z43,MIN(AR$6-$E$3,22))),0))-IF($G$2,0,IF((AR$6-$G$3)&lt;1,0,IFERROR(LOOKUP(2,1/('Feijão 2ª safra'!$E43:INDEX('Feijão 2ª safra'!$E43:$Z43,MIN(AR$6-$G$3,22))&lt;&gt;""),'Feijão 2ª safra'!$E43:INDEX('Feijão 2ª safra'!$E43:$Z43,MIN(AR$6-$G$3,22))),0)))))</f>
        <v>0</v>
      </c>
      <c r="AS45" s="27" t="n">
        <f aca="false">IF(COUNT('Feijão 2ª safra'!$E43:$Z43)=0,0,MAX(0,IF((AS$6-$E$3)&lt;1,0,IFERROR(LOOKUP(2,1/('Feijão 2ª safra'!$E43:INDEX('Feijão 2ª safra'!$E43:$Z43,MIN(AS$6-$E$3,22))&lt;&gt;""),'Feijão 2ª safra'!$E43:INDEX('Feijão 2ª safra'!$E43:$Z43,MIN(AS$6-$E$3,22))),0))-IF($G$2,0,IF((AS$6-$G$3)&lt;1,0,IFERROR(LOOKUP(2,1/('Feijão 2ª safra'!$E43:INDEX('Feijão 2ª safra'!$E43:$Z43,MIN(AS$6-$G$3,22))&lt;&gt;""),'Feijão 2ª safra'!$E43:INDEX('Feijão 2ª safra'!$E43:$Z43,MIN(AS$6-$G$3,22))),0)))))</f>
        <v>0</v>
      </c>
      <c r="AT45" s="27" t="n">
        <f aca="false">IF(COUNT('Feijão 2ª safra'!$E43:$Z43)=0,0,MAX(0,IF((AT$6-$E$3)&lt;1,0,IFERROR(LOOKUP(2,1/('Feijão 2ª safra'!$E43:INDEX('Feijão 2ª safra'!$E43:$Z43,MIN(AT$6-$E$3,22))&lt;&gt;""),'Feijão 2ª safra'!$E43:INDEX('Feijão 2ª safra'!$E43:$Z43,MIN(AT$6-$E$3,22))),0))-IF($G$2,0,IF((AT$6-$G$3)&lt;1,0,IFERROR(LOOKUP(2,1/('Feijão 2ª safra'!$E43:INDEX('Feijão 2ª safra'!$E43:$Z43,MIN(AT$6-$G$3,22))&lt;&gt;""),'Feijão 2ª safra'!$E43:INDEX('Feijão 2ª safra'!$E43:$Z43,MIN(AT$6-$G$3,22))),0)))))</f>
        <v>0</v>
      </c>
      <c r="AU45" s="27" t="n">
        <f aca="false">IF(COUNT('Feijão 2ª safra'!$E43:$Z43)=0,0,MAX(0,IF((AU$6-$E$3)&lt;1,0,IFERROR(LOOKUP(2,1/('Feijão 2ª safra'!$E43:INDEX('Feijão 2ª safra'!$E43:$Z43,MIN(AU$6-$E$3,22))&lt;&gt;""),'Feijão 2ª safra'!$E43:INDEX('Feijão 2ª safra'!$E43:$Z43,MIN(AU$6-$E$3,22))),0))-IF($G$2,0,IF((AU$6-$G$3)&lt;1,0,IFERROR(LOOKUP(2,1/('Feijão 2ª safra'!$E43:INDEX('Feijão 2ª safra'!$E43:$Z43,MIN(AU$6-$G$3,22))&lt;&gt;""),'Feijão 2ª safra'!$E43:INDEX('Feijão 2ª safra'!$E43:$Z43,MIN(AU$6-$G$3,22))),0)))))</f>
        <v>0</v>
      </c>
      <c r="AV45" s="27" t="n">
        <f aca="false">IF(COUNT('Feijão 2ª safra'!$E43:$Z43)=0,0,MAX(0,IF((AV$6-$E$3)&lt;1,0,IFERROR(LOOKUP(2,1/('Feijão 2ª safra'!$E43:INDEX('Feijão 2ª safra'!$E43:$Z43,MIN(AV$6-$E$3,22))&lt;&gt;""),'Feijão 2ª safra'!$E43:INDEX('Feijão 2ª safra'!$E43:$Z43,MIN(AV$6-$E$3,22))),0))-IF($G$2,0,IF((AV$6-$G$3)&lt;1,0,IFERROR(LOOKUP(2,1/('Feijão 2ª safra'!$E43:INDEX('Feijão 2ª safra'!$E43:$Z43,MIN(AV$6-$G$3,22))&lt;&gt;""),'Feijão 2ª safra'!$E43:INDEX('Feijão 2ª safra'!$E43:$Z43,MIN(AV$6-$G$3,22))),0)))))</f>
        <v>0</v>
      </c>
      <c r="AW45" s="27" t="n">
        <f aca="false">IF(COUNT('Feijão 2ª safra'!$E43:$Z43)=0,0,MAX(0,IF((AW$6-$E$3)&lt;1,0,IFERROR(LOOKUP(2,1/('Feijão 2ª safra'!$E43:INDEX('Feijão 2ª safra'!$E43:$Z43,MIN(AW$6-$E$3,22))&lt;&gt;""),'Feijão 2ª safra'!$E43:INDEX('Feijão 2ª safra'!$E43:$Z43,MIN(AW$6-$E$3,22))),0))-IF($G$2,0,IF((AW$6-$G$3)&lt;1,0,IFERROR(LOOKUP(2,1/('Feijão 2ª safra'!$E43:INDEX('Feijão 2ª safra'!$E43:$Z43,MIN(AW$6-$G$3,22))&lt;&gt;""),'Feijão 2ª safra'!$E43:INDEX('Feijão 2ª safra'!$E43:$Z43,MIN(AW$6-$G$3,22))),0)))))</f>
        <v>0</v>
      </c>
      <c r="AX45" s="27" t="n">
        <f aca="false">IF(COUNT('Feijão 2ª safra'!$E43:$Z43)=0,0,MAX(0,IF((AX$6-$E$3)&lt;1,0,IFERROR(LOOKUP(2,1/('Feijão 2ª safra'!$E43:INDEX('Feijão 2ª safra'!$E43:$Z43,MIN(AX$6-$E$3,22))&lt;&gt;""),'Feijão 2ª safra'!$E43:INDEX('Feijão 2ª safra'!$E43:$Z43,MIN(AX$6-$E$3,22))),0))-IF($G$2,0,IF((AX$6-$G$3)&lt;1,0,IFERROR(LOOKUP(2,1/('Feijão 2ª safra'!$E43:INDEX('Feijão 2ª safra'!$E43:$Z43,MIN(AX$6-$G$3,22))&lt;&gt;""),'Feijão 2ª safra'!$E43:INDEX('Feijão 2ª safra'!$E43:$Z43,MIN(AX$6-$G$3,22))),0)))))</f>
        <v>0</v>
      </c>
      <c r="AY45" s="27" t="n">
        <f aca="false">IF(COUNT('Feijão 2ª safra'!$E43:$Z43)=0,0,MAX(0,IF((AY$6-$E$3)&lt;1,0,IFERROR(LOOKUP(2,1/('Feijão 2ª safra'!$E43:INDEX('Feijão 2ª safra'!$E43:$Z43,MIN(AY$6-$E$3,22))&lt;&gt;""),'Feijão 2ª safra'!$E43:INDEX('Feijão 2ª safra'!$E43:$Z43,MIN(AY$6-$E$3,22))),0))-IF($G$2,0,IF((AY$6-$G$3)&lt;1,0,IFERROR(LOOKUP(2,1/('Feijão 2ª safra'!$E43:INDEX('Feijão 2ª safra'!$E43:$Z43,MIN(AY$6-$G$3,22))&lt;&gt;""),'Feijão 2ª safra'!$E43:INDEX('Feijão 2ª safra'!$E43:$Z43,MIN(AY$6-$G$3,22))),0)))))</f>
        <v>0</v>
      </c>
      <c r="AZ45" s="27" t="n">
        <f aca="false">IF(COUNT('Feijão 2ª safra'!$E43:$Z43)=0,0,MAX(0,IF((AZ$6-$E$3)&lt;1,0,IFERROR(LOOKUP(2,1/('Feijão 2ª safra'!$E43:INDEX('Feijão 2ª safra'!$E43:$Z43,MIN(AZ$6-$E$3,22))&lt;&gt;""),'Feijão 2ª safra'!$E43:INDEX('Feijão 2ª safra'!$E43:$Z43,MIN(AZ$6-$E$3,22))),0))-IF($G$2,0,IF((AZ$6-$G$3)&lt;1,0,IFERROR(LOOKUP(2,1/('Feijão 2ª safra'!$E43:INDEX('Feijão 2ª safra'!$E43:$Z43,MIN(AZ$6-$G$3,22))&lt;&gt;""),'Feijão 2ª safra'!$E43:INDEX('Feijão 2ª safra'!$E43:$Z43,MIN(AZ$6-$G$3,22))),0)))))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IF(COUNT('Feijão 2ª safra'!$E44:$Z44)&gt;0,N('Feijão 2ª safra'!$D44),0)</f>
        <v>0</v>
      </c>
      <c r="E46" s="27" t="n">
        <f aca="false">IF(COUNT('Feijão 2ª safra'!$E44:$Z44)=0,0,MAX(0,IF((E$6-$E$3)&lt;1,0,IFERROR(LOOKUP(2,1/('Feijão 2ª safra'!$E44:INDEX('Feijão 2ª safra'!$E44:$Z44,MIN(E$6-$E$3,22))&lt;&gt;""),'Feijão 2ª safra'!$E44:INDEX('Feijão 2ª safra'!$E44:$Z44,MIN(E$6-$E$3,22))),0))-IF($G$2,0,IF((E$6-$G$3)&lt;1,0,IFERROR(LOOKUP(2,1/('Feijão 2ª safra'!$E44:INDEX('Feijão 2ª safra'!$E44:$Z44,MIN(E$6-$G$3,22))&lt;&gt;""),'Feijão 2ª safra'!$E44:INDEX('Feijão 2ª safra'!$E44:$Z44,MIN(E$6-$G$3,22))),0)))))</f>
        <v>0</v>
      </c>
      <c r="F46" s="27" t="n">
        <f aca="false">IF(COUNT('Feijão 2ª safra'!$E44:$Z44)=0,0,MAX(0,IF((F$6-$E$3)&lt;1,0,IFERROR(LOOKUP(2,1/('Feijão 2ª safra'!$E44:INDEX('Feijão 2ª safra'!$E44:$Z44,MIN(F$6-$E$3,22))&lt;&gt;""),'Feijão 2ª safra'!$E44:INDEX('Feijão 2ª safra'!$E44:$Z44,MIN(F$6-$E$3,22))),0))-IF($G$2,0,IF((F$6-$G$3)&lt;1,0,IFERROR(LOOKUP(2,1/('Feijão 2ª safra'!$E44:INDEX('Feijão 2ª safra'!$E44:$Z44,MIN(F$6-$G$3,22))&lt;&gt;""),'Feijão 2ª safra'!$E44:INDEX('Feijão 2ª safra'!$E44:$Z44,MIN(F$6-$G$3,22))),0)))))</f>
        <v>0</v>
      </c>
      <c r="G46" s="27" t="n">
        <f aca="false">IF(COUNT('Feijão 2ª safra'!$E44:$Z44)=0,0,MAX(0,IF((G$6-$E$3)&lt;1,0,IFERROR(LOOKUP(2,1/('Feijão 2ª safra'!$E44:INDEX('Feijão 2ª safra'!$E44:$Z44,MIN(G$6-$E$3,22))&lt;&gt;""),'Feijão 2ª safra'!$E44:INDEX('Feijão 2ª safra'!$E44:$Z44,MIN(G$6-$E$3,22))),0))-IF($G$2,0,IF((G$6-$G$3)&lt;1,0,IFERROR(LOOKUP(2,1/('Feijão 2ª safra'!$E44:INDEX('Feijão 2ª safra'!$E44:$Z44,MIN(G$6-$G$3,22))&lt;&gt;""),'Feijão 2ª safra'!$E44:INDEX('Feijão 2ª safra'!$E44:$Z44,MIN(G$6-$G$3,22))),0)))))</f>
        <v>0</v>
      </c>
      <c r="H46" s="27" t="n">
        <f aca="false">IF(COUNT('Feijão 2ª safra'!$E44:$Z44)=0,0,MAX(0,IF((H$6-$E$3)&lt;1,0,IFERROR(LOOKUP(2,1/('Feijão 2ª safra'!$E44:INDEX('Feijão 2ª safra'!$E44:$Z44,MIN(H$6-$E$3,22))&lt;&gt;""),'Feijão 2ª safra'!$E44:INDEX('Feijão 2ª safra'!$E44:$Z44,MIN(H$6-$E$3,22))),0))-IF($G$2,0,IF((H$6-$G$3)&lt;1,0,IFERROR(LOOKUP(2,1/('Feijão 2ª safra'!$E44:INDEX('Feijão 2ª safra'!$E44:$Z44,MIN(H$6-$G$3,22))&lt;&gt;""),'Feijão 2ª safra'!$E44:INDEX('Feijão 2ª safra'!$E44:$Z44,MIN(H$6-$G$3,22))),0)))))</f>
        <v>0</v>
      </c>
      <c r="I46" s="27" t="n">
        <f aca="false">IF(COUNT('Feijão 2ª safra'!$E44:$Z44)=0,0,MAX(0,IF((I$6-$E$3)&lt;1,0,IFERROR(LOOKUP(2,1/('Feijão 2ª safra'!$E44:INDEX('Feijão 2ª safra'!$E44:$Z44,MIN(I$6-$E$3,22))&lt;&gt;""),'Feijão 2ª safra'!$E44:INDEX('Feijão 2ª safra'!$E44:$Z44,MIN(I$6-$E$3,22))),0))-IF($G$2,0,IF((I$6-$G$3)&lt;1,0,IFERROR(LOOKUP(2,1/('Feijão 2ª safra'!$E44:INDEX('Feijão 2ª safra'!$E44:$Z44,MIN(I$6-$G$3,22))&lt;&gt;""),'Feijão 2ª safra'!$E44:INDEX('Feijão 2ª safra'!$E44:$Z44,MIN(I$6-$G$3,22))),0)))))</f>
        <v>0</v>
      </c>
      <c r="J46" s="27" t="n">
        <f aca="false">IF(COUNT('Feijão 2ª safra'!$E44:$Z44)=0,0,MAX(0,IF((J$6-$E$3)&lt;1,0,IFERROR(LOOKUP(2,1/('Feijão 2ª safra'!$E44:INDEX('Feijão 2ª safra'!$E44:$Z44,MIN(J$6-$E$3,22))&lt;&gt;""),'Feijão 2ª safra'!$E44:INDEX('Feijão 2ª safra'!$E44:$Z44,MIN(J$6-$E$3,22))),0))-IF($G$2,0,IF((J$6-$G$3)&lt;1,0,IFERROR(LOOKUP(2,1/('Feijão 2ª safra'!$E44:INDEX('Feijão 2ª safra'!$E44:$Z44,MIN(J$6-$G$3,22))&lt;&gt;""),'Feijão 2ª safra'!$E44:INDEX('Feijão 2ª safra'!$E44:$Z44,MIN(J$6-$G$3,22))),0)))))</f>
        <v>0</v>
      </c>
      <c r="K46" s="27" t="n">
        <f aca="false">IF(COUNT('Feijão 2ª safra'!$E44:$Z44)=0,0,MAX(0,IF((K$6-$E$3)&lt;1,0,IFERROR(LOOKUP(2,1/('Feijão 2ª safra'!$E44:INDEX('Feijão 2ª safra'!$E44:$Z44,MIN(K$6-$E$3,22))&lt;&gt;""),'Feijão 2ª safra'!$E44:INDEX('Feijão 2ª safra'!$E44:$Z44,MIN(K$6-$E$3,22))),0))-IF($G$2,0,IF((K$6-$G$3)&lt;1,0,IFERROR(LOOKUP(2,1/('Feijão 2ª safra'!$E44:INDEX('Feijão 2ª safra'!$E44:$Z44,MIN(K$6-$G$3,22))&lt;&gt;""),'Feijão 2ª safra'!$E44:INDEX('Feijão 2ª safra'!$E44:$Z44,MIN(K$6-$G$3,22))),0)))))</f>
        <v>0</v>
      </c>
      <c r="L46" s="27" t="n">
        <f aca="false">IF(COUNT('Feijão 2ª safra'!$E44:$Z44)=0,0,MAX(0,IF((L$6-$E$3)&lt;1,0,IFERROR(LOOKUP(2,1/('Feijão 2ª safra'!$E44:INDEX('Feijão 2ª safra'!$E44:$Z44,MIN(L$6-$E$3,22))&lt;&gt;""),'Feijão 2ª safra'!$E44:INDEX('Feijão 2ª safra'!$E44:$Z44,MIN(L$6-$E$3,22))),0))-IF($G$2,0,IF((L$6-$G$3)&lt;1,0,IFERROR(LOOKUP(2,1/('Feijão 2ª safra'!$E44:INDEX('Feijão 2ª safra'!$E44:$Z44,MIN(L$6-$G$3,22))&lt;&gt;""),'Feijão 2ª safra'!$E44:INDEX('Feijão 2ª safra'!$E44:$Z44,MIN(L$6-$G$3,22))),0)))))</f>
        <v>0</v>
      </c>
      <c r="M46" s="27" t="n">
        <f aca="false">IF(COUNT('Feijão 2ª safra'!$E44:$Z44)=0,0,MAX(0,IF((M$6-$E$3)&lt;1,0,IFERROR(LOOKUP(2,1/('Feijão 2ª safra'!$E44:INDEX('Feijão 2ª safra'!$E44:$Z44,MIN(M$6-$E$3,22))&lt;&gt;""),'Feijão 2ª safra'!$E44:INDEX('Feijão 2ª safra'!$E44:$Z44,MIN(M$6-$E$3,22))),0))-IF($G$2,0,IF((M$6-$G$3)&lt;1,0,IFERROR(LOOKUP(2,1/('Feijão 2ª safra'!$E44:INDEX('Feijão 2ª safra'!$E44:$Z44,MIN(M$6-$G$3,22))&lt;&gt;""),'Feijão 2ª safra'!$E44:INDEX('Feijão 2ª safra'!$E44:$Z44,MIN(M$6-$G$3,22))),0)))))</f>
        <v>0</v>
      </c>
      <c r="N46" s="27" t="n">
        <f aca="false">IF(COUNT('Feijão 2ª safra'!$E44:$Z44)=0,0,MAX(0,IF((N$6-$E$3)&lt;1,0,IFERROR(LOOKUP(2,1/('Feijão 2ª safra'!$E44:INDEX('Feijão 2ª safra'!$E44:$Z44,MIN(N$6-$E$3,22))&lt;&gt;""),'Feijão 2ª safra'!$E44:INDEX('Feijão 2ª safra'!$E44:$Z44,MIN(N$6-$E$3,22))),0))-IF($G$2,0,IF((N$6-$G$3)&lt;1,0,IFERROR(LOOKUP(2,1/('Feijão 2ª safra'!$E44:INDEX('Feijão 2ª safra'!$E44:$Z44,MIN(N$6-$G$3,22))&lt;&gt;""),'Feijão 2ª safra'!$E44:INDEX('Feijão 2ª safra'!$E44:$Z44,MIN(N$6-$G$3,22))),0)))))</f>
        <v>0</v>
      </c>
      <c r="O46" s="27" t="n">
        <f aca="false">IF(COUNT('Feijão 2ª safra'!$E44:$Z44)=0,0,MAX(0,IF((O$6-$E$3)&lt;1,0,IFERROR(LOOKUP(2,1/('Feijão 2ª safra'!$E44:INDEX('Feijão 2ª safra'!$E44:$Z44,MIN(O$6-$E$3,22))&lt;&gt;""),'Feijão 2ª safra'!$E44:INDEX('Feijão 2ª safra'!$E44:$Z44,MIN(O$6-$E$3,22))),0))-IF($G$2,0,IF((O$6-$G$3)&lt;1,0,IFERROR(LOOKUP(2,1/('Feijão 2ª safra'!$E44:INDEX('Feijão 2ª safra'!$E44:$Z44,MIN(O$6-$G$3,22))&lt;&gt;""),'Feijão 2ª safra'!$E44:INDEX('Feijão 2ª safra'!$E44:$Z44,MIN(O$6-$G$3,22))),0)))))</f>
        <v>0</v>
      </c>
      <c r="P46" s="27" t="n">
        <f aca="false">IF(COUNT('Feijão 2ª safra'!$E44:$Z44)=0,0,MAX(0,IF((P$6-$E$3)&lt;1,0,IFERROR(LOOKUP(2,1/('Feijão 2ª safra'!$E44:INDEX('Feijão 2ª safra'!$E44:$Z44,MIN(P$6-$E$3,22))&lt;&gt;""),'Feijão 2ª safra'!$E44:INDEX('Feijão 2ª safra'!$E44:$Z44,MIN(P$6-$E$3,22))),0))-IF($G$2,0,IF((P$6-$G$3)&lt;1,0,IFERROR(LOOKUP(2,1/('Feijão 2ª safra'!$E44:INDEX('Feijão 2ª safra'!$E44:$Z44,MIN(P$6-$G$3,22))&lt;&gt;""),'Feijão 2ª safra'!$E44:INDEX('Feijão 2ª safra'!$E44:$Z44,MIN(P$6-$G$3,22))),0)))))</f>
        <v>0</v>
      </c>
      <c r="Q46" s="27" t="n">
        <f aca="false">IF(COUNT('Feijão 2ª safra'!$E44:$Z44)=0,0,MAX(0,IF((Q$6-$E$3)&lt;1,0,IFERROR(LOOKUP(2,1/('Feijão 2ª safra'!$E44:INDEX('Feijão 2ª safra'!$E44:$Z44,MIN(Q$6-$E$3,22))&lt;&gt;""),'Feijão 2ª safra'!$E44:INDEX('Feijão 2ª safra'!$E44:$Z44,MIN(Q$6-$E$3,22))),0))-IF($G$2,0,IF((Q$6-$G$3)&lt;1,0,IFERROR(LOOKUP(2,1/('Feijão 2ª safra'!$E44:INDEX('Feijão 2ª safra'!$E44:$Z44,MIN(Q$6-$G$3,22))&lt;&gt;""),'Feijão 2ª safra'!$E44:INDEX('Feijão 2ª safra'!$E44:$Z44,MIN(Q$6-$G$3,22))),0)))))</f>
        <v>0</v>
      </c>
      <c r="R46" s="27" t="n">
        <f aca="false">IF(COUNT('Feijão 2ª safra'!$E44:$Z44)=0,0,MAX(0,IF((R$6-$E$3)&lt;1,0,IFERROR(LOOKUP(2,1/('Feijão 2ª safra'!$E44:INDEX('Feijão 2ª safra'!$E44:$Z44,MIN(R$6-$E$3,22))&lt;&gt;""),'Feijão 2ª safra'!$E44:INDEX('Feijão 2ª safra'!$E44:$Z44,MIN(R$6-$E$3,22))),0))-IF($G$2,0,IF((R$6-$G$3)&lt;1,0,IFERROR(LOOKUP(2,1/('Feijão 2ª safra'!$E44:INDEX('Feijão 2ª safra'!$E44:$Z44,MIN(R$6-$G$3,22))&lt;&gt;""),'Feijão 2ª safra'!$E44:INDEX('Feijão 2ª safra'!$E44:$Z44,MIN(R$6-$G$3,22))),0)))))</f>
        <v>0</v>
      </c>
      <c r="S46" s="27" t="n">
        <f aca="false">IF(COUNT('Feijão 2ª safra'!$E44:$Z44)=0,0,MAX(0,IF((S$6-$E$3)&lt;1,0,IFERROR(LOOKUP(2,1/('Feijão 2ª safra'!$E44:INDEX('Feijão 2ª safra'!$E44:$Z44,MIN(S$6-$E$3,22))&lt;&gt;""),'Feijão 2ª safra'!$E44:INDEX('Feijão 2ª safra'!$E44:$Z44,MIN(S$6-$E$3,22))),0))-IF($G$2,0,IF((S$6-$G$3)&lt;1,0,IFERROR(LOOKUP(2,1/('Feijão 2ª safra'!$E44:INDEX('Feijão 2ª safra'!$E44:$Z44,MIN(S$6-$G$3,22))&lt;&gt;""),'Feijão 2ª safra'!$E44:INDEX('Feijão 2ª safra'!$E44:$Z44,MIN(S$6-$G$3,22))),0)))))</f>
        <v>0</v>
      </c>
      <c r="T46" s="27" t="n">
        <f aca="false">IF(COUNT('Feijão 2ª safra'!$E44:$Z44)=0,0,MAX(0,IF((T$6-$E$3)&lt;1,0,IFERROR(LOOKUP(2,1/('Feijão 2ª safra'!$E44:INDEX('Feijão 2ª safra'!$E44:$Z44,MIN(T$6-$E$3,22))&lt;&gt;""),'Feijão 2ª safra'!$E44:INDEX('Feijão 2ª safra'!$E44:$Z44,MIN(T$6-$E$3,22))),0))-IF($G$2,0,IF((T$6-$G$3)&lt;1,0,IFERROR(LOOKUP(2,1/('Feijão 2ª safra'!$E44:INDEX('Feijão 2ª safra'!$E44:$Z44,MIN(T$6-$G$3,22))&lt;&gt;""),'Feijão 2ª safra'!$E44:INDEX('Feijão 2ª safra'!$E44:$Z44,MIN(T$6-$G$3,22))),0)))))</f>
        <v>0</v>
      </c>
      <c r="U46" s="27" t="n">
        <f aca="false">IF(COUNT('Feijão 2ª safra'!$E44:$Z44)=0,0,MAX(0,IF((U$6-$E$3)&lt;1,0,IFERROR(LOOKUP(2,1/('Feijão 2ª safra'!$E44:INDEX('Feijão 2ª safra'!$E44:$Z44,MIN(U$6-$E$3,22))&lt;&gt;""),'Feijão 2ª safra'!$E44:INDEX('Feijão 2ª safra'!$E44:$Z44,MIN(U$6-$E$3,22))),0))-IF($G$2,0,IF((U$6-$G$3)&lt;1,0,IFERROR(LOOKUP(2,1/('Feijão 2ª safra'!$E44:INDEX('Feijão 2ª safra'!$E44:$Z44,MIN(U$6-$G$3,22))&lt;&gt;""),'Feijão 2ª safra'!$E44:INDEX('Feijão 2ª safra'!$E44:$Z44,MIN(U$6-$G$3,22))),0)))))</f>
        <v>0</v>
      </c>
      <c r="V46" s="27" t="n">
        <f aca="false">IF(COUNT('Feijão 2ª safra'!$E44:$Z44)=0,0,MAX(0,IF((V$6-$E$3)&lt;1,0,IFERROR(LOOKUP(2,1/('Feijão 2ª safra'!$E44:INDEX('Feijão 2ª safra'!$E44:$Z44,MIN(V$6-$E$3,22))&lt;&gt;""),'Feijão 2ª safra'!$E44:INDEX('Feijão 2ª safra'!$E44:$Z44,MIN(V$6-$E$3,22))),0))-IF($G$2,0,IF((V$6-$G$3)&lt;1,0,IFERROR(LOOKUP(2,1/('Feijão 2ª safra'!$E44:INDEX('Feijão 2ª safra'!$E44:$Z44,MIN(V$6-$G$3,22))&lt;&gt;""),'Feijão 2ª safra'!$E44:INDEX('Feijão 2ª safra'!$E44:$Z44,MIN(V$6-$G$3,22))),0)))))</f>
        <v>0</v>
      </c>
      <c r="W46" s="27" t="n">
        <f aca="false">IF(COUNT('Feijão 2ª safra'!$E44:$Z44)=0,0,MAX(0,IF((W$6-$E$3)&lt;1,0,IFERROR(LOOKUP(2,1/('Feijão 2ª safra'!$E44:INDEX('Feijão 2ª safra'!$E44:$Z44,MIN(W$6-$E$3,22))&lt;&gt;""),'Feijão 2ª safra'!$E44:INDEX('Feijão 2ª safra'!$E44:$Z44,MIN(W$6-$E$3,22))),0))-IF($G$2,0,IF((W$6-$G$3)&lt;1,0,IFERROR(LOOKUP(2,1/('Feijão 2ª safra'!$E44:INDEX('Feijão 2ª safra'!$E44:$Z44,MIN(W$6-$G$3,22))&lt;&gt;""),'Feijão 2ª safra'!$E44:INDEX('Feijão 2ª safra'!$E44:$Z44,MIN(W$6-$G$3,22))),0)))))</f>
        <v>0</v>
      </c>
      <c r="X46" s="27" t="n">
        <f aca="false">IF(COUNT('Feijão 2ª safra'!$E44:$Z44)=0,0,MAX(0,IF((X$6-$E$3)&lt;1,0,IFERROR(LOOKUP(2,1/('Feijão 2ª safra'!$E44:INDEX('Feijão 2ª safra'!$E44:$Z44,MIN(X$6-$E$3,22))&lt;&gt;""),'Feijão 2ª safra'!$E44:INDEX('Feijão 2ª safra'!$E44:$Z44,MIN(X$6-$E$3,22))),0))-IF($G$2,0,IF((X$6-$G$3)&lt;1,0,IFERROR(LOOKUP(2,1/('Feijão 2ª safra'!$E44:INDEX('Feijão 2ª safra'!$E44:$Z44,MIN(X$6-$G$3,22))&lt;&gt;""),'Feijão 2ª safra'!$E44:INDEX('Feijão 2ª safra'!$E44:$Z44,MIN(X$6-$G$3,22))),0)))))</f>
        <v>0</v>
      </c>
      <c r="Y46" s="27" t="n">
        <f aca="false">IF(COUNT('Feijão 2ª safra'!$E44:$Z44)=0,0,MAX(0,IF((Y$6-$E$3)&lt;1,0,IFERROR(LOOKUP(2,1/('Feijão 2ª safra'!$E44:INDEX('Feijão 2ª safra'!$E44:$Z44,MIN(Y$6-$E$3,22))&lt;&gt;""),'Feijão 2ª safra'!$E44:INDEX('Feijão 2ª safra'!$E44:$Z44,MIN(Y$6-$E$3,22))),0))-IF($G$2,0,IF((Y$6-$G$3)&lt;1,0,IFERROR(LOOKUP(2,1/('Feijão 2ª safra'!$E44:INDEX('Feijão 2ª safra'!$E44:$Z44,MIN(Y$6-$G$3,22))&lt;&gt;""),'Feijão 2ª safra'!$E44:INDEX('Feijão 2ª safra'!$E44:$Z44,MIN(Y$6-$G$3,22))),0)))))</f>
        <v>0</v>
      </c>
      <c r="Z46" s="27" t="n">
        <f aca="false">IF(COUNT('Feijão 2ª safra'!$E44:$Z44)=0,0,MAX(0,IF((Z$6-$E$3)&lt;1,0,IFERROR(LOOKUP(2,1/('Feijão 2ª safra'!$E44:INDEX('Feijão 2ª safra'!$E44:$Z44,MIN(Z$6-$E$3,22))&lt;&gt;""),'Feijão 2ª safra'!$E44:INDEX('Feijão 2ª safra'!$E44:$Z44,MIN(Z$6-$E$3,22))),0))-IF($G$2,0,IF((Z$6-$G$3)&lt;1,0,IFERROR(LOOKUP(2,1/('Feijão 2ª safra'!$E44:INDEX('Feijão 2ª safra'!$E44:$Z44,MIN(Z$6-$G$3,22))&lt;&gt;""),'Feijão 2ª safra'!$E44:INDEX('Feijão 2ª safra'!$E44:$Z44,MIN(Z$6-$G$3,22))),0)))))</f>
        <v>0</v>
      </c>
      <c r="AA46" s="27" t="n">
        <f aca="false">IF(COUNT('Feijão 2ª safra'!$E44:$Z44)=0,0,MAX(0,IF((AA$6-$E$3)&lt;1,0,IFERROR(LOOKUP(2,1/('Feijão 2ª safra'!$E44:INDEX('Feijão 2ª safra'!$E44:$Z44,MIN(AA$6-$E$3,22))&lt;&gt;""),'Feijão 2ª safra'!$E44:INDEX('Feijão 2ª safra'!$E44:$Z44,MIN(AA$6-$E$3,22))),0))-IF($G$2,0,IF((AA$6-$G$3)&lt;1,0,IFERROR(LOOKUP(2,1/('Feijão 2ª safra'!$E44:INDEX('Feijão 2ª safra'!$E44:$Z44,MIN(AA$6-$G$3,22))&lt;&gt;""),'Feijão 2ª safra'!$E44:INDEX('Feijão 2ª safra'!$E44:$Z44,MIN(AA$6-$G$3,22))),0)))))</f>
        <v>0</v>
      </c>
      <c r="AB46" s="27" t="n">
        <f aca="false">IF(COUNT('Feijão 2ª safra'!$E44:$Z44)=0,0,MAX(0,IF((AB$6-$E$3)&lt;1,0,IFERROR(LOOKUP(2,1/('Feijão 2ª safra'!$E44:INDEX('Feijão 2ª safra'!$E44:$Z44,MIN(AB$6-$E$3,22))&lt;&gt;""),'Feijão 2ª safra'!$E44:INDEX('Feijão 2ª safra'!$E44:$Z44,MIN(AB$6-$E$3,22))),0))-IF($G$2,0,IF((AB$6-$G$3)&lt;1,0,IFERROR(LOOKUP(2,1/('Feijão 2ª safra'!$E44:INDEX('Feijão 2ª safra'!$E44:$Z44,MIN(AB$6-$G$3,22))&lt;&gt;""),'Feijão 2ª safra'!$E44:INDEX('Feijão 2ª safra'!$E44:$Z44,MIN(AB$6-$G$3,22))),0)))))</f>
        <v>0</v>
      </c>
      <c r="AC46" s="27" t="n">
        <f aca="false">IF(COUNT('Feijão 2ª safra'!$E44:$Z44)=0,0,MAX(0,IF((AC$6-$E$3)&lt;1,0,IFERROR(LOOKUP(2,1/('Feijão 2ª safra'!$E44:INDEX('Feijão 2ª safra'!$E44:$Z44,MIN(AC$6-$E$3,22))&lt;&gt;""),'Feijão 2ª safra'!$E44:INDEX('Feijão 2ª safra'!$E44:$Z44,MIN(AC$6-$E$3,22))),0))-IF($G$2,0,IF((AC$6-$G$3)&lt;1,0,IFERROR(LOOKUP(2,1/('Feijão 2ª safra'!$E44:INDEX('Feijão 2ª safra'!$E44:$Z44,MIN(AC$6-$G$3,22))&lt;&gt;""),'Feijão 2ª safra'!$E44:INDEX('Feijão 2ª safra'!$E44:$Z44,MIN(AC$6-$G$3,22))),0)))))</f>
        <v>0</v>
      </c>
      <c r="AD46" s="27" t="n">
        <f aca="false">IF(COUNT('Feijão 2ª safra'!$E44:$Z44)=0,0,MAX(0,IF((AD$6-$E$3)&lt;1,0,IFERROR(LOOKUP(2,1/('Feijão 2ª safra'!$E44:INDEX('Feijão 2ª safra'!$E44:$Z44,MIN(AD$6-$E$3,22))&lt;&gt;""),'Feijão 2ª safra'!$E44:INDEX('Feijão 2ª safra'!$E44:$Z44,MIN(AD$6-$E$3,22))),0))-IF($G$2,0,IF((AD$6-$G$3)&lt;1,0,IFERROR(LOOKUP(2,1/('Feijão 2ª safra'!$E44:INDEX('Feijão 2ª safra'!$E44:$Z44,MIN(AD$6-$G$3,22))&lt;&gt;""),'Feijão 2ª safra'!$E44:INDEX('Feijão 2ª safra'!$E44:$Z44,MIN(AD$6-$G$3,22))),0)))))</f>
        <v>0</v>
      </c>
      <c r="AE46" s="27" t="n">
        <f aca="false">IF(COUNT('Feijão 2ª safra'!$E44:$Z44)=0,0,MAX(0,IF((AE$6-$E$3)&lt;1,0,IFERROR(LOOKUP(2,1/('Feijão 2ª safra'!$E44:INDEX('Feijão 2ª safra'!$E44:$Z44,MIN(AE$6-$E$3,22))&lt;&gt;""),'Feijão 2ª safra'!$E44:INDEX('Feijão 2ª safra'!$E44:$Z44,MIN(AE$6-$E$3,22))),0))-IF($G$2,0,IF((AE$6-$G$3)&lt;1,0,IFERROR(LOOKUP(2,1/('Feijão 2ª safra'!$E44:INDEX('Feijão 2ª safra'!$E44:$Z44,MIN(AE$6-$G$3,22))&lt;&gt;""),'Feijão 2ª safra'!$E44:INDEX('Feijão 2ª safra'!$E44:$Z44,MIN(AE$6-$G$3,22))),0)))))</f>
        <v>0</v>
      </c>
      <c r="AF46" s="27" t="n">
        <f aca="false">IF(COUNT('Feijão 2ª safra'!$E44:$Z44)=0,0,MAX(0,IF((AF$6-$E$3)&lt;1,0,IFERROR(LOOKUP(2,1/('Feijão 2ª safra'!$E44:INDEX('Feijão 2ª safra'!$E44:$Z44,MIN(AF$6-$E$3,22))&lt;&gt;""),'Feijão 2ª safra'!$E44:INDEX('Feijão 2ª safra'!$E44:$Z44,MIN(AF$6-$E$3,22))),0))-IF($G$2,0,IF((AF$6-$G$3)&lt;1,0,IFERROR(LOOKUP(2,1/('Feijão 2ª safra'!$E44:INDEX('Feijão 2ª safra'!$E44:$Z44,MIN(AF$6-$G$3,22))&lt;&gt;""),'Feijão 2ª safra'!$E44:INDEX('Feijão 2ª safra'!$E44:$Z44,MIN(AF$6-$G$3,22))),0)))))</f>
        <v>0</v>
      </c>
      <c r="AG46" s="27" t="n">
        <f aca="false">IF(COUNT('Feijão 2ª safra'!$E44:$Z44)=0,0,MAX(0,IF((AG$6-$E$3)&lt;1,0,IFERROR(LOOKUP(2,1/('Feijão 2ª safra'!$E44:INDEX('Feijão 2ª safra'!$E44:$Z44,MIN(AG$6-$E$3,22))&lt;&gt;""),'Feijão 2ª safra'!$E44:INDEX('Feijão 2ª safra'!$E44:$Z44,MIN(AG$6-$E$3,22))),0))-IF($G$2,0,IF((AG$6-$G$3)&lt;1,0,IFERROR(LOOKUP(2,1/('Feijão 2ª safra'!$E44:INDEX('Feijão 2ª safra'!$E44:$Z44,MIN(AG$6-$G$3,22))&lt;&gt;""),'Feijão 2ª safra'!$E44:INDEX('Feijão 2ª safra'!$E44:$Z44,MIN(AG$6-$G$3,22))),0)))))</f>
        <v>0</v>
      </c>
      <c r="AH46" s="27" t="n">
        <f aca="false">IF(COUNT('Feijão 2ª safra'!$E44:$Z44)=0,0,MAX(0,IF((AH$6-$E$3)&lt;1,0,IFERROR(LOOKUP(2,1/('Feijão 2ª safra'!$E44:INDEX('Feijão 2ª safra'!$E44:$Z44,MIN(AH$6-$E$3,22))&lt;&gt;""),'Feijão 2ª safra'!$E44:INDEX('Feijão 2ª safra'!$E44:$Z44,MIN(AH$6-$E$3,22))),0))-IF($G$2,0,IF((AH$6-$G$3)&lt;1,0,IFERROR(LOOKUP(2,1/('Feijão 2ª safra'!$E44:INDEX('Feijão 2ª safra'!$E44:$Z44,MIN(AH$6-$G$3,22))&lt;&gt;""),'Feijão 2ª safra'!$E44:INDEX('Feijão 2ª safra'!$E44:$Z44,MIN(AH$6-$G$3,22))),0)))))</f>
        <v>0</v>
      </c>
      <c r="AI46" s="27" t="n">
        <f aca="false">IF(COUNT('Feijão 2ª safra'!$E44:$Z44)=0,0,MAX(0,IF((AI$6-$E$3)&lt;1,0,IFERROR(LOOKUP(2,1/('Feijão 2ª safra'!$E44:INDEX('Feijão 2ª safra'!$E44:$Z44,MIN(AI$6-$E$3,22))&lt;&gt;""),'Feijão 2ª safra'!$E44:INDEX('Feijão 2ª safra'!$E44:$Z44,MIN(AI$6-$E$3,22))),0))-IF($G$2,0,IF((AI$6-$G$3)&lt;1,0,IFERROR(LOOKUP(2,1/('Feijão 2ª safra'!$E44:INDEX('Feijão 2ª safra'!$E44:$Z44,MIN(AI$6-$G$3,22))&lt;&gt;""),'Feijão 2ª safra'!$E44:INDEX('Feijão 2ª safra'!$E44:$Z44,MIN(AI$6-$G$3,22))),0)))))</f>
        <v>0</v>
      </c>
      <c r="AJ46" s="27" t="n">
        <f aca="false">IF(COUNT('Feijão 2ª safra'!$E44:$Z44)=0,0,MAX(0,IF((AJ$6-$E$3)&lt;1,0,IFERROR(LOOKUP(2,1/('Feijão 2ª safra'!$E44:INDEX('Feijão 2ª safra'!$E44:$Z44,MIN(AJ$6-$E$3,22))&lt;&gt;""),'Feijão 2ª safra'!$E44:INDEX('Feijão 2ª safra'!$E44:$Z44,MIN(AJ$6-$E$3,22))),0))-IF($G$2,0,IF((AJ$6-$G$3)&lt;1,0,IFERROR(LOOKUP(2,1/('Feijão 2ª safra'!$E44:INDEX('Feijão 2ª safra'!$E44:$Z44,MIN(AJ$6-$G$3,22))&lt;&gt;""),'Feijão 2ª safra'!$E44:INDEX('Feijão 2ª safra'!$E44:$Z44,MIN(AJ$6-$G$3,22))),0)))))</f>
        <v>0</v>
      </c>
      <c r="AK46" s="27" t="n">
        <f aca="false">IF(COUNT('Feijão 2ª safra'!$E44:$Z44)=0,0,MAX(0,IF((AK$6-$E$3)&lt;1,0,IFERROR(LOOKUP(2,1/('Feijão 2ª safra'!$E44:INDEX('Feijão 2ª safra'!$E44:$Z44,MIN(AK$6-$E$3,22))&lt;&gt;""),'Feijão 2ª safra'!$E44:INDEX('Feijão 2ª safra'!$E44:$Z44,MIN(AK$6-$E$3,22))),0))-IF($G$2,0,IF((AK$6-$G$3)&lt;1,0,IFERROR(LOOKUP(2,1/('Feijão 2ª safra'!$E44:INDEX('Feijão 2ª safra'!$E44:$Z44,MIN(AK$6-$G$3,22))&lt;&gt;""),'Feijão 2ª safra'!$E44:INDEX('Feijão 2ª safra'!$E44:$Z44,MIN(AK$6-$G$3,22))),0)))))</f>
        <v>0</v>
      </c>
      <c r="AL46" s="27" t="n">
        <f aca="false">IF(COUNT('Feijão 2ª safra'!$E44:$Z44)=0,0,MAX(0,IF((AL$6-$E$3)&lt;1,0,IFERROR(LOOKUP(2,1/('Feijão 2ª safra'!$E44:INDEX('Feijão 2ª safra'!$E44:$Z44,MIN(AL$6-$E$3,22))&lt;&gt;""),'Feijão 2ª safra'!$E44:INDEX('Feijão 2ª safra'!$E44:$Z44,MIN(AL$6-$E$3,22))),0))-IF($G$2,0,IF((AL$6-$G$3)&lt;1,0,IFERROR(LOOKUP(2,1/('Feijão 2ª safra'!$E44:INDEX('Feijão 2ª safra'!$E44:$Z44,MIN(AL$6-$G$3,22))&lt;&gt;""),'Feijão 2ª safra'!$E44:INDEX('Feijão 2ª safra'!$E44:$Z44,MIN(AL$6-$G$3,22))),0)))))</f>
        <v>0</v>
      </c>
      <c r="AM46" s="27" t="n">
        <f aca="false">IF(COUNT('Feijão 2ª safra'!$E44:$Z44)=0,0,MAX(0,IF((AM$6-$E$3)&lt;1,0,IFERROR(LOOKUP(2,1/('Feijão 2ª safra'!$E44:INDEX('Feijão 2ª safra'!$E44:$Z44,MIN(AM$6-$E$3,22))&lt;&gt;""),'Feijão 2ª safra'!$E44:INDEX('Feijão 2ª safra'!$E44:$Z44,MIN(AM$6-$E$3,22))),0))-IF($G$2,0,IF((AM$6-$G$3)&lt;1,0,IFERROR(LOOKUP(2,1/('Feijão 2ª safra'!$E44:INDEX('Feijão 2ª safra'!$E44:$Z44,MIN(AM$6-$G$3,22))&lt;&gt;""),'Feijão 2ª safra'!$E44:INDEX('Feijão 2ª safra'!$E44:$Z44,MIN(AM$6-$G$3,22))),0)))))</f>
        <v>0</v>
      </c>
      <c r="AN46" s="27" t="n">
        <f aca="false">IF(COUNT('Feijão 2ª safra'!$E44:$Z44)=0,0,MAX(0,IF((AN$6-$E$3)&lt;1,0,IFERROR(LOOKUP(2,1/('Feijão 2ª safra'!$E44:INDEX('Feijão 2ª safra'!$E44:$Z44,MIN(AN$6-$E$3,22))&lt;&gt;""),'Feijão 2ª safra'!$E44:INDEX('Feijão 2ª safra'!$E44:$Z44,MIN(AN$6-$E$3,22))),0))-IF($G$2,0,IF((AN$6-$G$3)&lt;1,0,IFERROR(LOOKUP(2,1/('Feijão 2ª safra'!$E44:INDEX('Feijão 2ª safra'!$E44:$Z44,MIN(AN$6-$G$3,22))&lt;&gt;""),'Feijão 2ª safra'!$E44:INDEX('Feijão 2ª safra'!$E44:$Z44,MIN(AN$6-$G$3,22))),0)))))</f>
        <v>0</v>
      </c>
      <c r="AO46" s="27" t="n">
        <f aca="false">IF(COUNT('Feijão 2ª safra'!$E44:$Z44)=0,0,MAX(0,IF((AO$6-$E$3)&lt;1,0,IFERROR(LOOKUP(2,1/('Feijão 2ª safra'!$E44:INDEX('Feijão 2ª safra'!$E44:$Z44,MIN(AO$6-$E$3,22))&lt;&gt;""),'Feijão 2ª safra'!$E44:INDEX('Feijão 2ª safra'!$E44:$Z44,MIN(AO$6-$E$3,22))),0))-IF($G$2,0,IF((AO$6-$G$3)&lt;1,0,IFERROR(LOOKUP(2,1/('Feijão 2ª safra'!$E44:INDEX('Feijão 2ª safra'!$E44:$Z44,MIN(AO$6-$G$3,22))&lt;&gt;""),'Feijão 2ª safra'!$E44:INDEX('Feijão 2ª safra'!$E44:$Z44,MIN(AO$6-$G$3,22))),0)))))</f>
        <v>0</v>
      </c>
      <c r="AP46" s="27" t="n">
        <f aca="false">IF(COUNT('Feijão 2ª safra'!$E44:$Z44)=0,0,MAX(0,IF((AP$6-$E$3)&lt;1,0,IFERROR(LOOKUP(2,1/('Feijão 2ª safra'!$E44:INDEX('Feijão 2ª safra'!$E44:$Z44,MIN(AP$6-$E$3,22))&lt;&gt;""),'Feijão 2ª safra'!$E44:INDEX('Feijão 2ª safra'!$E44:$Z44,MIN(AP$6-$E$3,22))),0))-IF($G$2,0,IF((AP$6-$G$3)&lt;1,0,IFERROR(LOOKUP(2,1/('Feijão 2ª safra'!$E44:INDEX('Feijão 2ª safra'!$E44:$Z44,MIN(AP$6-$G$3,22))&lt;&gt;""),'Feijão 2ª safra'!$E44:INDEX('Feijão 2ª safra'!$E44:$Z44,MIN(AP$6-$G$3,22))),0)))))</f>
        <v>0</v>
      </c>
      <c r="AQ46" s="27" t="n">
        <f aca="false">IF(COUNT('Feijão 2ª safra'!$E44:$Z44)=0,0,MAX(0,IF((AQ$6-$E$3)&lt;1,0,IFERROR(LOOKUP(2,1/('Feijão 2ª safra'!$E44:INDEX('Feijão 2ª safra'!$E44:$Z44,MIN(AQ$6-$E$3,22))&lt;&gt;""),'Feijão 2ª safra'!$E44:INDEX('Feijão 2ª safra'!$E44:$Z44,MIN(AQ$6-$E$3,22))),0))-IF($G$2,0,IF((AQ$6-$G$3)&lt;1,0,IFERROR(LOOKUP(2,1/('Feijão 2ª safra'!$E44:INDEX('Feijão 2ª safra'!$E44:$Z44,MIN(AQ$6-$G$3,22))&lt;&gt;""),'Feijão 2ª safra'!$E44:INDEX('Feijão 2ª safra'!$E44:$Z44,MIN(AQ$6-$G$3,22))),0)))))</f>
        <v>0</v>
      </c>
      <c r="AR46" s="27" t="n">
        <f aca="false">IF(COUNT('Feijão 2ª safra'!$E44:$Z44)=0,0,MAX(0,IF((AR$6-$E$3)&lt;1,0,IFERROR(LOOKUP(2,1/('Feijão 2ª safra'!$E44:INDEX('Feijão 2ª safra'!$E44:$Z44,MIN(AR$6-$E$3,22))&lt;&gt;""),'Feijão 2ª safra'!$E44:INDEX('Feijão 2ª safra'!$E44:$Z44,MIN(AR$6-$E$3,22))),0))-IF($G$2,0,IF((AR$6-$G$3)&lt;1,0,IFERROR(LOOKUP(2,1/('Feijão 2ª safra'!$E44:INDEX('Feijão 2ª safra'!$E44:$Z44,MIN(AR$6-$G$3,22))&lt;&gt;""),'Feijão 2ª safra'!$E44:INDEX('Feijão 2ª safra'!$E44:$Z44,MIN(AR$6-$G$3,22))),0)))))</f>
        <v>0</v>
      </c>
      <c r="AS46" s="27" t="n">
        <f aca="false">IF(COUNT('Feijão 2ª safra'!$E44:$Z44)=0,0,MAX(0,IF((AS$6-$E$3)&lt;1,0,IFERROR(LOOKUP(2,1/('Feijão 2ª safra'!$E44:INDEX('Feijão 2ª safra'!$E44:$Z44,MIN(AS$6-$E$3,22))&lt;&gt;""),'Feijão 2ª safra'!$E44:INDEX('Feijão 2ª safra'!$E44:$Z44,MIN(AS$6-$E$3,22))),0))-IF($G$2,0,IF((AS$6-$G$3)&lt;1,0,IFERROR(LOOKUP(2,1/('Feijão 2ª safra'!$E44:INDEX('Feijão 2ª safra'!$E44:$Z44,MIN(AS$6-$G$3,22))&lt;&gt;""),'Feijão 2ª safra'!$E44:INDEX('Feijão 2ª safra'!$E44:$Z44,MIN(AS$6-$G$3,22))),0)))))</f>
        <v>0</v>
      </c>
      <c r="AT46" s="27" t="n">
        <f aca="false">IF(COUNT('Feijão 2ª safra'!$E44:$Z44)=0,0,MAX(0,IF((AT$6-$E$3)&lt;1,0,IFERROR(LOOKUP(2,1/('Feijão 2ª safra'!$E44:INDEX('Feijão 2ª safra'!$E44:$Z44,MIN(AT$6-$E$3,22))&lt;&gt;""),'Feijão 2ª safra'!$E44:INDEX('Feijão 2ª safra'!$E44:$Z44,MIN(AT$6-$E$3,22))),0))-IF($G$2,0,IF((AT$6-$G$3)&lt;1,0,IFERROR(LOOKUP(2,1/('Feijão 2ª safra'!$E44:INDEX('Feijão 2ª safra'!$E44:$Z44,MIN(AT$6-$G$3,22))&lt;&gt;""),'Feijão 2ª safra'!$E44:INDEX('Feijão 2ª safra'!$E44:$Z44,MIN(AT$6-$G$3,22))),0)))))</f>
        <v>0</v>
      </c>
      <c r="AU46" s="27" t="n">
        <f aca="false">IF(COUNT('Feijão 2ª safra'!$E44:$Z44)=0,0,MAX(0,IF((AU$6-$E$3)&lt;1,0,IFERROR(LOOKUP(2,1/('Feijão 2ª safra'!$E44:INDEX('Feijão 2ª safra'!$E44:$Z44,MIN(AU$6-$E$3,22))&lt;&gt;""),'Feijão 2ª safra'!$E44:INDEX('Feijão 2ª safra'!$E44:$Z44,MIN(AU$6-$E$3,22))),0))-IF($G$2,0,IF((AU$6-$G$3)&lt;1,0,IFERROR(LOOKUP(2,1/('Feijão 2ª safra'!$E44:INDEX('Feijão 2ª safra'!$E44:$Z44,MIN(AU$6-$G$3,22))&lt;&gt;""),'Feijão 2ª safra'!$E44:INDEX('Feijão 2ª safra'!$E44:$Z44,MIN(AU$6-$G$3,22))),0)))))</f>
        <v>0</v>
      </c>
      <c r="AV46" s="27" t="n">
        <f aca="false">IF(COUNT('Feijão 2ª safra'!$E44:$Z44)=0,0,MAX(0,IF((AV$6-$E$3)&lt;1,0,IFERROR(LOOKUP(2,1/('Feijão 2ª safra'!$E44:INDEX('Feijão 2ª safra'!$E44:$Z44,MIN(AV$6-$E$3,22))&lt;&gt;""),'Feijão 2ª safra'!$E44:INDEX('Feijão 2ª safra'!$E44:$Z44,MIN(AV$6-$E$3,22))),0))-IF($G$2,0,IF((AV$6-$G$3)&lt;1,0,IFERROR(LOOKUP(2,1/('Feijão 2ª safra'!$E44:INDEX('Feijão 2ª safra'!$E44:$Z44,MIN(AV$6-$G$3,22))&lt;&gt;""),'Feijão 2ª safra'!$E44:INDEX('Feijão 2ª safra'!$E44:$Z44,MIN(AV$6-$G$3,22))),0)))))</f>
        <v>0</v>
      </c>
      <c r="AW46" s="27" t="n">
        <f aca="false">IF(COUNT('Feijão 2ª safra'!$E44:$Z44)=0,0,MAX(0,IF((AW$6-$E$3)&lt;1,0,IFERROR(LOOKUP(2,1/('Feijão 2ª safra'!$E44:INDEX('Feijão 2ª safra'!$E44:$Z44,MIN(AW$6-$E$3,22))&lt;&gt;""),'Feijão 2ª safra'!$E44:INDEX('Feijão 2ª safra'!$E44:$Z44,MIN(AW$6-$E$3,22))),0))-IF($G$2,0,IF((AW$6-$G$3)&lt;1,0,IFERROR(LOOKUP(2,1/('Feijão 2ª safra'!$E44:INDEX('Feijão 2ª safra'!$E44:$Z44,MIN(AW$6-$G$3,22))&lt;&gt;""),'Feijão 2ª safra'!$E44:INDEX('Feijão 2ª safra'!$E44:$Z44,MIN(AW$6-$G$3,22))),0)))))</f>
        <v>0</v>
      </c>
      <c r="AX46" s="27" t="n">
        <f aca="false">IF(COUNT('Feijão 2ª safra'!$E44:$Z44)=0,0,MAX(0,IF((AX$6-$E$3)&lt;1,0,IFERROR(LOOKUP(2,1/('Feijão 2ª safra'!$E44:INDEX('Feijão 2ª safra'!$E44:$Z44,MIN(AX$6-$E$3,22))&lt;&gt;""),'Feijão 2ª safra'!$E44:INDEX('Feijão 2ª safra'!$E44:$Z44,MIN(AX$6-$E$3,22))),0))-IF($G$2,0,IF((AX$6-$G$3)&lt;1,0,IFERROR(LOOKUP(2,1/('Feijão 2ª safra'!$E44:INDEX('Feijão 2ª safra'!$E44:$Z44,MIN(AX$6-$G$3,22))&lt;&gt;""),'Feijão 2ª safra'!$E44:INDEX('Feijão 2ª safra'!$E44:$Z44,MIN(AX$6-$G$3,22))),0)))))</f>
        <v>0</v>
      </c>
      <c r="AY46" s="27" t="n">
        <f aca="false">IF(COUNT('Feijão 2ª safra'!$E44:$Z44)=0,0,MAX(0,IF((AY$6-$E$3)&lt;1,0,IFERROR(LOOKUP(2,1/('Feijão 2ª safra'!$E44:INDEX('Feijão 2ª safra'!$E44:$Z44,MIN(AY$6-$E$3,22))&lt;&gt;""),'Feijão 2ª safra'!$E44:INDEX('Feijão 2ª safra'!$E44:$Z44,MIN(AY$6-$E$3,22))),0))-IF($G$2,0,IF((AY$6-$G$3)&lt;1,0,IFERROR(LOOKUP(2,1/('Feijão 2ª safra'!$E44:INDEX('Feijão 2ª safra'!$E44:$Z44,MIN(AY$6-$G$3,22))&lt;&gt;""),'Feijão 2ª safra'!$E44:INDEX('Feijão 2ª safra'!$E44:$Z44,MIN(AY$6-$G$3,22))),0)))))</f>
        <v>0</v>
      </c>
      <c r="AZ46" s="27" t="n">
        <f aca="false">IF(COUNT('Feijão 2ª safra'!$E44:$Z44)=0,0,MAX(0,IF((AZ$6-$E$3)&lt;1,0,IFERROR(LOOKUP(2,1/('Feijão 2ª safra'!$E44:INDEX('Feijão 2ª safra'!$E44:$Z44,MIN(AZ$6-$E$3,22))&lt;&gt;""),'Feijão 2ª safra'!$E44:INDEX('Feijão 2ª safra'!$E44:$Z44,MIN(AZ$6-$E$3,22))),0))-IF($G$2,0,IF((AZ$6-$G$3)&lt;1,0,IFERROR(LOOKUP(2,1/('Feijão 2ª safra'!$E44:INDEX('Feijão 2ª safra'!$E44:$Z44,MIN(AZ$6-$G$3,22))&lt;&gt;""),'Feijão 2ª safra'!$E44:INDEX('Feijão 2ª safra'!$E44:$Z44,MIN(AZ$6-$G$3,22))),0)))))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IF(COUNT('Feijão 2ª safra'!$E45:$Z45)&gt;0,N('Feijão 2ª safra'!$D45),0)</f>
        <v>0</v>
      </c>
      <c r="E47" s="27" t="n">
        <f aca="false">IF(COUNT('Feijão 2ª safra'!$E45:$Z45)=0,0,MAX(0,IF((E$6-$E$3)&lt;1,0,IFERROR(LOOKUP(2,1/('Feijão 2ª safra'!$E45:INDEX('Feijão 2ª safra'!$E45:$Z45,MIN(E$6-$E$3,22))&lt;&gt;""),'Feijão 2ª safra'!$E45:INDEX('Feijão 2ª safra'!$E45:$Z45,MIN(E$6-$E$3,22))),0))-IF($G$2,0,IF((E$6-$G$3)&lt;1,0,IFERROR(LOOKUP(2,1/('Feijão 2ª safra'!$E45:INDEX('Feijão 2ª safra'!$E45:$Z45,MIN(E$6-$G$3,22))&lt;&gt;""),'Feijão 2ª safra'!$E45:INDEX('Feijão 2ª safra'!$E45:$Z45,MIN(E$6-$G$3,22))),0)))))</f>
        <v>0</v>
      </c>
      <c r="F47" s="27" t="n">
        <f aca="false">IF(COUNT('Feijão 2ª safra'!$E45:$Z45)=0,0,MAX(0,IF((F$6-$E$3)&lt;1,0,IFERROR(LOOKUP(2,1/('Feijão 2ª safra'!$E45:INDEX('Feijão 2ª safra'!$E45:$Z45,MIN(F$6-$E$3,22))&lt;&gt;""),'Feijão 2ª safra'!$E45:INDEX('Feijão 2ª safra'!$E45:$Z45,MIN(F$6-$E$3,22))),0))-IF($G$2,0,IF((F$6-$G$3)&lt;1,0,IFERROR(LOOKUP(2,1/('Feijão 2ª safra'!$E45:INDEX('Feijão 2ª safra'!$E45:$Z45,MIN(F$6-$G$3,22))&lt;&gt;""),'Feijão 2ª safra'!$E45:INDEX('Feijão 2ª safra'!$E45:$Z45,MIN(F$6-$G$3,22))),0)))))</f>
        <v>0</v>
      </c>
      <c r="G47" s="27" t="n">
        <f aca="false">IF(COUNT('Feijão 2ª safra'!$E45:$Z45)=0,0,MAX(0,IF((G$6-$E$3)&lt;1,0,IFERROR(LOOKUP(2,1/('Feijão 2ª safra'!$E45:INDEX('Feijão 2ª safra'!$E45:$Z45,MIN(G$6-$E$3,22))&lt;&gt;""),'Feijão 2ª safra'!$E45:INDEX('Feijão 2ª safra'!$E45:$Z45,MIN(G$6-$E$3,22))),0))-IF($G$2,0,IF((G$6-$G$3)&lt;1,0,IFERROR(LOOKUP(2,1/('Feijão 2ª safra'!$E45:INDEX('Feijão 2ª safra'!$E45:$Z45,MIN(G$6-$G$3,22))&lt;&gt;""),'Feijão 2ª safra'!$E45:INDEX('Feijão 2ª safra'!$E45:$Z45,MIN(G$6-$G$3,22))),0)))))</f>
        <v>0</v>
      </c>
      <c r="H47" s="27" t="n">
        <f aca="false">IF(COUNT('Feijão 2ª safra'!$E45:$Z45)=0,0,MAX(0,IF((H$6-$E$3)&lt;1,0,IFERROR(LOOKUP(2,1/('Feijão 2ª safra'!$E45:INDEX('Feijão 2ª safra'!$E45:$Z45,MIN(H$6-$E$3,22))&lt;&gt;""),'Feijão 2ª safra'!$E45:INDEX('Feijão 2ª safra'!$E45:$Z45,MIN(H$6-$E$3,22))),0))-IF($G$2,0,IF((H$6-$G$3)&lt;1,0,IFERROR(LOOKUP(2,1/('Feijão 2ª safra'!$E45:INDEX('Feijão 2ª safra'!$E45:$Z45,MIN(H$6-$G$3,22))&lt;&gt;""),'Feijão 2ª safra'!$E45:INDEX('Feijão 2ª safra'!$E45:$Z45,MIN(H$6-$G$3,22))),0)))))</f>
        <v>0</v>
      </c>
      <c r="I47" s="27" t="n">
        <f aca="false">IF(COUNT('Feijão 2ª safra'!$E45:$Z45)=0,0,MAX(0,IF((I$6-$E$3)&lt;1,0,IFERROR(LOOKUP(2,1/('Feijão 2ª safra'!$E45:INDEX('Feijão 2ª safra'!$E45:$Z45,MIN(I$6-$E$3,22))&lt;&gt;""),'Feijão 2ª safra'!$E45:INDEX('Feijão 2ª safra'!$E45:$Z45,MIN(I$6-$E$3,22))),0))-IF($G$2,0,IF((I$6-$G$3)&lt;1,0,IFERROR(LOOKUP(2,1/('Feijão 2ª safra'!$E45:INDEX('Feijão 2ª safra'!$E45:$Z45,MIN(I$6-$G$3,22))&lt;&gt;""),'Feijão 2ª safra'!$E45:INDEX('Feijão 2ª safra'!$E45:$Z45,MIN(I$6-$G$3,22))),0)))))</f>
        <v>0</v>
      </c>
      <c r="J47" s="27" t="n">
        <f aca="false">IF(COUNT('Feijão 2ª safra'!$E45:$Z45)=0,0,MAX(0,IF((J$6-$E$3)&lt;1,0,IFERROR(LOOKUP(2,1/('Feijão 2ª safra'!$E45:INDEX('Feijão 2ª safra'!$E45:$Z45,MIN(J$6-$E$3,22))&lt;&gt;""),'Feijão 2ª safra'!$E45:INDEX('Feijão 2ª safra'!$E45:$Z45,MIN(J$6-$E$3,22))),0))-IF($G$2,0,IF((J$6-$G$3)&lt;1,0,IFERROR(LOOKUP(2,1/('Feijão 2ª safra'!$E45:INDEX('Feijão 2ª safra'!$E45:$Z45,MIN(J$6-$G$3,22))&lt;&gt;""),'Feijão 2ª safra'!$E45:INDEX('Feijão 2ª safra'!$E45:$Z45,MIN(J$6-$G$3,22))),0)))))</f>
        <v>0</v>
      </c>
      <c r="K47" s="27" t="n">
        <f aca="false">IF(COUNT('Feijão 2ª safra'!$E45:$Z45)=0,0,MAX(0,IF((K$6-$E$3)&lt;1,0,IFERROR(LOOKUP(2,1/('Feijão 2ª safra'!$E45:INDEX('Feijão 2ª safra'!$E45:$Z45,MIN(K$6-$E$3,22))&lt;&gt;""),'Feijão 2ª safra'!$E45:INDEX('Feijão 2ª safra'!$E45:$Z45,MIN(K$6-$E$3,22))),0))-IF($G$2,0,IF((K$6-$G$3)&lt;1,0,IFERROR(LOOKUP(2,1/('Feijão 2ª safra'!$E45:INDEX('Feijão 2ª safra'!$E45:$Z45,MIN(K$6-$G$3,22))&lt;&gt;""),'Feijão 2ª safra'!$E45:INDEX('Feijão 2ª safra'!$E45:$Z45,MIN(K$6-$G$3,22))),0)))))</f>
        <v>0</v>
      </c>
      <c r="L47" s="27" t="n">
        <f aca="false">IF(COUNT('Feijão 2ª safra'!$E45:$Z45)=0,0,MAX(0,IF((L$6-$E$3)&lt;1,0,IFERROR(LOOKUP(2,1/('Feijão 2ª safra'!$E45:INDEX('Feijão 2ª safra'!$E45:$Z45,MIN(L$6-$E$3,22))&lt;&gt;""),'Feijão 2ª safra'!$E45:INDEX('Feijão 2ª safra'!$E45:$Z45,MIN(L$6-$E$3,22))),0))-IF($G$2,0,IF((L$6-$G$3)&lt;1,0,IFERROR(LOOKUP(2,1/('Feijão 2ª safra'!$E45:INDEX('Feijão 2ª safra'!$E45:$Z45,MIN(L$6-$G$3,22))&lt;&gt;""),'Feijão 2ª safra'!$E45:INDEX('Feijão 2ª safra'!$E45:$Z45,MIN(L$6-$G$3,22))),0)))))</f>
        <v>0</v>
      </c>
      <c r="M47" s="27" t="n">
        <f aca="false">IF(COUNT('Feijão 2ª safra'!$E45:$Z45)=0,0,MAX(0,IF((M$6-$E$3)&lt;1,0,IFERROR(LOOKUP(2,1/('Feijão 2ª safra'!$E45:INDEX('Feijão 2ª safra'!$E45:$Z45,MIN(M$6-$E$3,22))&lt;&gt;""),'Feijão 2ª safra'!$E45:INDEX('Feijão 2ª safra'!$E45:$Z45,MIN(M$6-$E$3,22))),0))-IF($G$2,0,IF((M$6-$G$3)&lt;1,0,IFERROR(LOOKUP(2,1/('Feijão 2ª safra'!$E45:INDEX('Feijão 2ª safra'!$E45:$Z45,MIN(M$6-$G$3,22))&lt;&gt;""),'Feijão 2ª safra'!$E45:INDEX('Feijão 2ª safra'!$E45:$Z45,MIN(M$6-$G$3,22))),0)))))</f>
        <v>0</v>
      </c>
      <c r="N47" s="27" t="n">
        <f aca="false">IF(COUNT('Feijão 2ª safra'!$E45:$Z45)=0,0,MAX(0,IF((N$6-$E$3)&lt;1,0,IFERROR(LOOKUP(2,1/('Feijão 2ª safra'!$E45:INDEX('Feijão 2ª safra'!$E45:$Z45,MIN(N$6-$E$3,22))&lt;&gt;""),'Feijão 2ª safra'!$E45:INDEX('Feijão 2ª safra'!$E45:$Z45,MIN(N$6-$E$3,22))),0))-IF($G$2,0,IF((N$6-$G$3)&lt;1,0,IFERROR(LOOKUP(2,1/('Feijão 2ª safra'!$E45:INDEX('Feijão 2ª safra'!$E45:$Z45,MIN(N$6-$G$3,22))&lt;&gt;""),'Feijão 2ª safra'!$E45:INDEX('Feijão 2ª safra'!$E45:$Z45,MIN(N$6-$G$3,22))),0)))))</f>
        <v>0</v>
      </c>
      <c r="O47" s="27" t="n">
        <f aca="false">IF(COUNT('Feijão 2ª safra'!$E45:$Z45)=0,0,MAX(0,IF((O$6-$E$3)&lt;1,0,IFERROR(LOOKUP(2,1/('Feijão 2ª safra'!$E45:INDEX('Feijão 2ª safra'!$E45:$Z45,MIN(O$6-$E$3,22))&lt;&gt;""),'Feijão 2ª safra'!$E45:INDEX('Feijão 2ª safra'!$E45:$Z45,MIN(O$6-$E$3,22))),0))-IF($G$2,0,IF((O$6-$G$3)&lt;1,0,IFERROR(LOOKUP(2,1/('Feijão 2ª safra'!$E45:INDEX('Feijão 2ª safra'!$E45:$Z45,MIN(O$6-$G$3,22))&lt;&gt;""),'Feijão 2ª safra'!$E45:INDEX('Feijão 2ª safra'!$E45:$Z45,MIN(O$6-$G$3,22))),0)))))</f>
        <v>0</v>
      </c>
      <c r="P47" s="27" t="n">
        <f aca="false">IF(COUNT('Feijão 2ª safra'!$E45:$Z45)=0,0,MAX(0,IF((P$6-$E$3)&lt;1,0,IFERROR(LOOKUP(2,1/('Feijão 2ª safra'!$E45:INDEX('Feijão 2ª safra'!$E45:$Z45,MIN(P$6-$E$3,22))&lt;&gt;""),'Feijão 2ª safra'!$E45:INDEX('Feijão 2ª safra'!$E45:$Z45,MIN(P$6-$E$3,22))),0))-IF($G$2,0,IF((P$6-$G$3)&lt;1,0,IFERROR(LOOKUP(2,1/('Feijão 2ª safra'!$E45:INDEX('Feijão 2ª safra'!$E45:$Z45,MIN(P$6-$G$3,22))&lt;&gt;""),'Feijão 2ª safra'!$E45:INDEX('Feijão 2ª safra'!$E45:$Z45,MIN(P$6-$G$3,22))),0)))))</f>
        <v>0</v>
      </c>
      <c r="Q47" s="27" t="n">
        <f aca="false">IF(COUNT('Feijão 2ª safra'!$E45:$Z45)=0,0,MAX(0,IF((Q$6-$E$3)&lt;1,0,IFERROR(LOOKUP(2,1/('Feijão 2ª safra'!$E45:INDEX('Feijão 2ª safra'!$E45:$Z45,MIN(Q$6-$E$3,22))&lt;&gt;""),'Feijão 2ª safra'!$E45:INDEX('Feijão 2ª safra'!$E45:$Z45,MIN(Q$6-$E$3,22))),0))-IF($G$2,0,IF((Q$6-$G$3)&lt;1,0,IFERROR(LOOKUP(2,1/('Feijão 2ª safra'!$E45:INDEX('Feijão 2ª safra'!$E45:$Z45,MIN(Q$6-$G$3,22))&lt;&gt;""),'Feijão 2ª safra'!$E45:INDEX('Feijão 2ª safra'!$E45:$Z45,MIN(Q$6-$G$3,22))),0)))))</f>
        <v>0</v>
      </c>
      <c r="R47" s="27" t="n">
        <f aca="false">IF(COUNT('Feijão 2ª safra'!$E45:$Z45)=0,0,MAX(0,IF((R$6-$E$3)&lt;1,0,IFERROR(LOOKUP(2,1/('Feijão 2ª safra'!$E45:INDEX('Feijão 2ª safra'!$E45:$Z45,MIN(R$6-$E$3,22))&lt;&gt;""),'Feijão 2ª safra'!$E45:INDEX('Feijão 2ª safra'!$E45:$Z45,MIN(R$6-$E$3,22))),0))-IF($G$2,0,IF((R$6-$G$3)&lt;1,0,IFERROR(LOOKUP(2,1/('Feijão 2ª safra'!$E45:INDEX('Feijão 2ª safra'!$E45:$Z45,MIN(R$6-$G$3,22))&lt;&gt;""),'Feijão 2ª safra'!$E45:INDEX('Feijão 2ª safra'!$E45:$Z45,MIN(R$6-$G$3,22))),0)))))</f>
        <v>0</v>
      </c>
      <c r="S47" s="27" t="n">
        <f aca="false">IF(COUNT('Feijão 2ª safra'!$E45:$Z45)=0,0,MAX(0,IF((S$6-$E$3)&lt;1,0,IFERROR(LOOKUP(2,1/('Feijão 2ª safra'!$E45:INDEX('Feijão 2ª safra'!$E45:$Z45,MIN(S$6-$E$3,22))&lt;&gt;""),'Feijão 2ª safra'!$E45:INDEX('Feijão 2ª safra'!$E45:$Z45,MIN(S$6-$E$3,22))),0))-IF($G$2,0,IF((S$6-$G$3)&lt;1,0,IFERROR(LOOKUP(2,1/('Feijão 2ª safra'!$E45:INDEX('Feijão 2ª safra'!$E45:$Z45,MIN(S$6-$G$3,22))&lt;&gt;""),'Feijão 2ª safra'!$E45:INDEX('Feijão 2ª safra'!$E45:$Z45,MIN(S$6-$G$3,22))),0)))))</f>
        <v>0</v>
      </c>
      <c r="T47" s="27" t="n">
        <f aca="false">IF(COUNT('Feijão 2ª safra'!$E45:$Z45)=0,0,MAX(0,IF((T$6-$E$3)&lt;1,0,IFERROR(LOOKUP(2,1/('Feijão 2ª safra'!$E45:INDEX('Feijão 2ª safra'!$E45:$Z45,MIN(T$6-$E$3,22))&lt;&gt;""),'Feijão 2ª safra'!$E45:INDEX('Feijão 2ª safra'!$E45:$Z45,MIN(T$6-$E$3,22))),0))-IF($G$2,0,IF((T$6-$G$3)&lt;1,0,IFERROR(LOOKUP(2,1/('Feijão 2ª safra'!$E45:INDEX('Feijão 2ª safra'!$E45:$Z45,MIN(T$6-$G$3,22))&lt;&gt;""),'Feijão 2ª safra'!$E45:INDEX('Feijão 2ª safra'!$E45:$Z45,MIN(T$6-$G$3,22))),0)))))</f>
        <v>0</v>
      </c>
      <c r="U47" s="27" t="n">
        <f aca="false">IF(COUNT('Feijão 2ª safra'!$E45:$Z45)=0,0,MAX(0,IF((U$6-$E$3)&lt;1,0,IFERROR(LOOKUP(2,1/('Feijão 2ª safra'!$E45:INDEX('Feijão 2ª safra'!$E45:$Z45,MIN(U$6-$E$3,22))&lt;&gt;""),'Feijão 2ª safra'!$E45:INDEX('Feijão 2ª safra'!$E45:$Z45,MIN(U$6-$E$3,22))),0))-IF($G$2,0,IF((U$6-$G$3)&lt;1,0,IFERROR(LOOKUP(2,1/('Feijão 2ª safra'!$E45:INDEX('Feijão 2ª safra'!$E45:$Z45,MIN(U$6-$G$3,22))&lt;&gt;""),'Feijão 2ª safra'!$E45:INDEX('Feijão 2ª safra'!$E45:$Z45,MIN(U$6-$G$3,22))),0)))))</f>
        <v>0</v>
      </c>
      <c r="V47" s="27" t="n">
        <f aca="false">IF(COUNT('Feijão 2ª safra'!$E45:$Z45)=0,0,MAX(0,IF((V$6-$E$3)&lt;1,0,IFERROR(LOOKUP(2,1/('Feijão 2ª safra'!$E45:INDEX('Feijão 2ª safra'!$E45:$Z45,MIN(V$6-$E$3,22))&lt;&gt;""),'Feijão 2ª safra'!$E45:INDEX('Feijão 2ª safra'!$E45:$Z45,MIN(V$6-$E$3,22))),0))-IF($G$2,0,IF((V$6-$G$3)&lt;1,0,IFERROR(LOOKUP(2,1/('Feijão 2ª safra'!$E45:INDEX('Feijão 2ª safra'!$E45:$Z45,MIN(V$6-$G$3,22))&lt;&gt;""),'Feijão 2ª safra'!$E45:INDEX('Feijão 2ª safra'!$E45:$Z45,MIN(V$6-$G$3,22))),0)))))</f>
        <v>0</v>
      </c>
      <c r="W47" s="27" t="n">
        <f aca="false">IF(COUNT('Feijão 2ª safra'!$E45:$Z45)=0,0,MAX(0,IF((W$6-$E$3)&lt;1,0,IFERROR(LOOKUP(2,1/('Feijão 2ª safra'!$E45:INDEX('Feijão 2ª safra'!$E45:$Z45,MIN(W$6-$E$3,22))&lt;&gt;""),'Feijão 2ª safra'!$E45:INDEX('Feijão 2ª safra'!$E45:$Z45,MIN(W$6-$E$3,22))),0))-IF($G$2,0,IF((W$6-$G$3)&lt;1,0,IFERROR(LOOKUP(2,1/('Feijão 2ª safra'!$E45:INDEX('Feijão 2ª safra'!$E45:$Z45,MIN(W$6-$G$3,22))&lt;&gt;""),'Feijão 2ª safra'!$E45:INDEX('Feijão 2ª safra'!$E45:$Z45,MIN(W$6-$G$3,22))),0)))))</f>
        <v>0</v>
      </c>
      <c r="X47" s="27" t="n">
        <f aca="false">IF(COUNT('Feijão 2ª safra'!$E45:$Z45)=0,0,MAX(0,IF((X$6-$E$3)&lt;1,0,IFERROR(LOOKUP(2,1/('Feijão 2ª safra'!$E45:INDEX('Feijão 2ª safra'!$E45:$Z45,MIN(X$6-$E$3,22))&lt;&gt;""),'Feijão 2ª safra'!$E45:INDEX('Feijão 2ª safra'!$E45:$Z45,MIN(X$6-$E$3,22))),0))-IF($G$2,0,IF((X$6-$G$3)&lt;1,0,IFERROR(LOOKUP(2,1/('Feijão 2ª safra'!$E45:INDEX('Feijão 2ª safra'!$E45:$Z45,MIN(X$6-$G$3,22))&lt;&gt;""),'Feijão 2ª safra'!$E45:INDEX('Feijão 2ª safra'!$E45:$Z45,MIN(X$6-$G$3,22))),0)))))</f>
        <v>0</v>
      </c>
      <c r="Y47" s="27" t="n">
        <f aca="false">IF(COUNT('Feijão 2ª safra'!$E45:$Z45)=0,0,MAX(0,IF((Y$6-$E$3)&lt;1,0,IFERROR(LOOKUP(2,1/('Feijão 2ª safra'!$E45:INDEX('Feijão 2ª safra'!$E45:$Z45,MIN(Y$6-$E$3,22))&lt;&gt;""),'Feijão 2ª safra'!$E45:INDEX('Feijão 2ª safra'!$E45:$Z45,MIN(Y$6-$E$3,22))),0))-IF($G$2,0,IF((Y$6-$G$3)&lt;1,0,IFERROR(LOOKUP(2,1/('Feijão 2ª safra'!$E45:INDEX('Feijão 2ª safra'!$E45:$Z45,MIN(Y$6-$G$3,22))&lt;&gt;""),'Feijão 2ª safra'!$E45:INDEX('Feijão 2ª safra'!$E45:$Z45,MIN(Y$6-$G$3,22))),0)))))</f>
        <v>0</v>
      </c>
      <c r="Z47" s="27" t="n">
        <f aca="false">IF(COUNT('Feijão 2ª safra'!$E45:$Z45)=0,0,MAX(0,IF((Z$6-$E$3)&lt;1,0,IFERROR(LOOKUP(2,1/('Feijão 2ª safra'!$E45:INDEX('Feijão 2ª safra'!$E45:$Z45,MIN(Z$6-$E$3,22))&lt;&gt;""),'Feijão 2ª safra'!$E45:INDEX('Feijão 2ª safra'!$E45:$Z45,MIN(Z$6-$E$3,22))),0))-IF($G$2,0,IF((Z$6-$G$3)&lt;1,0,IFERROR(LOOKUP(2,1/('Feijão 2ª safra'!$E45:INDEX('Feijão 2ª safra'!$E45:$Z45,MIN(Z$6-$G$3,22))&lt;&gt;""),'Feijão 2ª safra'!$E45:INDEX('Feijão 2ª safra'!$E45:$Z45,MIN(Z$6-$G$3,22))),0)))))</f>
        <v>0</v>
      </c>
      <c r="AA47" s="27" t="n">
        <f aca="false">IF(COUNT('Feijão 2ª safra'!$E45:$Z45)=0,0,MAX(0,IF((AA$6-$E$3)&lt;1,0,IFERROR(LOOKUP(2,1/('Feijão 2ª safra'!$E45:INDEX('Feijão 2ª safra'!$E45:$Z45,MIN(AA$6-$E$3,22))&lt;&gt;""),'Feijão 2ª safra'!$E45:INDEX('Feijão 2ª safra'!$E45:$Z45,MIN(AA$6-$E$3,22))),0))-IF($G$2,0,IF((AA$6-$G$3)&lt;1,0,IFERROR(LOOKUP(2,1/('Feijão 2ª safra'!$E45:INDEX('Feijão 2ª safra'!$E45:$Z45,MIN(AA$6-$G$3,22))&lt;&gt;""),'Feijão 2ª safra'!$E45:INDEX('Feijão 2ª safra'!$E45:$Z45,MIN(AA$6-$G$3,22))),0)))))</f>
        <v>0</v>
      </c>
      <c r="AB47" s="27" t="n">
        <f aca="false">IF(COUNT('Feijão 2ª safra'!$E45:$Z45)=0,0,MAX(0,IF((AB$6-$E$3)&lt;1,0,IFERROR(LOOKUP(2,1/('Feijão 2ª safra'!$E45:INDEX('Feijão 2ª safra'!$E45:$Z45,MIN(AB$6-$E$3,22))&lt;&gt;""),'Feijão 2ª safra'!$E45:INDEX('Feijão 2ª safra'!$E45:$Z45,MIN(AB$6-$E$3,22))),0))-IF($G$2,0,IF((AB$6-$G$3)&lt;1,0,IFERROR(LOOKUP(2,1/('Feijão 2ª safra'!$E45:INDEX('Feijão 2ª safra'!$E45:$Z45,MIN(AB$6-$G$3,22))&lt;&gt;""),'Feijão 2ª safra'!$E45:INDEX('Feijão 2ª safra'!$E45:$Z45,MIN(AB$6-$G$3,22))),0)))))</f>
        <v>0</v>
      </c>
      <c r="AC47" s="27" t="n">
        <f aca="false">IF(COUNT('Feijão 2ª safra'!$E45:$Z45)=0,0,MAX(0,IF((AC$6-$E$3)&lt;1,0,IFERROR(LOOKUP(2,1/('Feijão 2ª safra'!$E45:INDEX('Feijão 2ª safra'!$E45:$Z45,MIN(AC$6-$E$3,22))&lt;&gt;""),'Feijão 2ª safra'!$E45:INDEX('Feijão 2ª safra'!$E45:$Z45,MIN(AC$6-$E$3,22))),0))-IF($G$2,0,IF((AC$6-$G$3)&lt;1,0,IFERROR(LOOKUP(2,1/('Feijão 2ª safra'!$E45:INDEX('Feijão 2ª safra'!$E45:$Z45,MIN(AC$6-$G$3,22))&lt;&gt;""),'Feijão 2ª safra'!$E45:INDEX('Feijão 2ª safra'!$E45:$Z45,MIN(AC$6-$G$3,22))),0)))))</f>
        <v>0</v>
      </c>
      <c r="AD47" s="27" t="n">
        <f aca="false">IF(COUNT('Feijão 2ª safra'!$E45:$Z45)=0,0,MAX(0,IF((AD$6-$E$3)&lt;1,0,IFERROR(LOOKUP(2,1/('Feijão 2ª safra'!$E45:INDEX('Feijão 2ª safra'!$E45:$Z45,MIN(AD$6-$E$3,22))&lt;&gt;""),'Feijão 2ª safra'!$E45:INDEX('Feijão 2ª safra'!$E45:$Z45,MIN(AD$6-$E$3,22))),0))-IF($G$2,0,IF((AD$6-$G$3)&lt;1,0,IFERROR(LOOKUP(2,1/('Feijão 2ª safra'!$E45:INDEX('Feijão 2ª safra'!$E45:$Z45,MIN(AD$6-$G$3,22))&lt;&gt;""),'Feijão 2ª safra'!$E45:INDEX('Feijão 2ª safra'!$E45:$Z45,MIN(AD$6-$G$3,22))),0)))))</f>
        <v>0</v>
      </c>
      <c r="AE47" s="27" t="n">
        <f aca="false">IF(COUNT('Feijão 2ª safra'!$E45:$Z45)=0,0,MAX(0,IF((AE$6-$E$3)&lt;1,0,IFERROR(LOOKUP(2,1/('Feijão 2ª safra'!$E45:INDEX('Feijão 2ª safra'!$E45:$Z45,MIN(AE$6-$E$3,22))&lt;&gt;""),'Feijão 2ª safra'!$E45:INDEX('Feijão 2ª safra'!$E45:$Z45,MIN(AE$6-$E$3,22))),0))-IF($G$2,0,IF((AE$6-$G$3)&lt;1,0,IFERROR(LOOKUP(2,1/('Feijão 2ª safra'!$E45:INDEX('Feijão 2ª safra'!$E45:$Z45,MIN(AE$6-$G$3,22))&lt;&gt;""),'Feijão 2ª safra'!$E45:INDEX('Feijão 2ª safra'!$E45:$Z45,MIN(AE$6-$G$3,22))),0)))))</f>
        <v>0</v>
      </c>
      <c r="AF47" s="27" t="n">
        <f aca="false">IF(COUNT('Feijão 2ª safra'!$E45:$Z45)=0,0,MAX(0,IF((AF$6-$E$3)&lt;1,0,IFERROR(LOOKUP(2,1/('Feijão 2ª safra'!$E45:INDEX('Feijão 2ª safra'!$E45:$Z45,MIN(AF$6-$E$3,22))&lt;&gt;""),'Feijão 2ª safra'!$E45:INDEX('Feijão 2ª safra'!$E45:$Z45,MIN(AF$6-$E$3,22))),0))-IF($G$2,0,IF((AF$6-$G$3)&lt;1,0,IFERROR(LOOKUP(2,1/('Feijão 2ª safra'!$E45:INDEX('Feijão 2ª safra'!$E45:$Z45,MIN(AF$6-$G$3,22))&lt;&gt;""),'Feijão 2ª safra'!$E45:INDEX('Feijão 2ª safra'!$E45:$Z45,MIN(AF$6-$G$3,22))),0)))))</f>
        <v>0</v>
      </c>
      <c r="AG47" s="27" t="n">
        <f aca="false">IF(COUNT('Feijão 2ª safra'!$E45:$Z45)=0,0,MAX(0,IF((AG$6-$E$3)&lt;1,0,IFERROR(LOOKUP(2,1/('Feijão 2ª safra'!$E45:INDEX('Feijão 2ª safra'!$E45:$Z45,MIN(AG$6-$E$3,22))&lt;&gt;""),'Feijão 2ª safra'!$E45:INDEX('Feijão 2ª safra'!$E45:$Z45,MIN(AG$6-$E$3,22))),0))-IF($G$2,0,IF((AG$6-$G$3)&lt;1,0,IFERROR(LOOKUP(2,1/('Feijão 2ª safra'!$E45:INDEX('Feijão 2ª safra'!$E45:$Z45,MIN(AG$6-$G$3,22))&lt;&gt;""),'Feijão 2ª safra'!$E45:INDEX('Feijão 2ª safra'!$E45:$Z45,MIN(AG$6-$G$3,22))),0)))))</f>
        <v>0</v>
      </c>
      <c r="AH47" s="27" t="n">
        <f aca="false">IF(COUNT('Feijão 2ª safra'!$E45:$Z45)=0,0,MAX(0,IF((AH$6-$E$3)&lt;1,0,IFERROR(LOOKUP(2,1/('Feijão 2ª safra'!$E45:INDEX('Feijão 2ª safra'!$E45:$Z45,MIN(AH$6-$E$3,22))&lt;&gt;""),'Feijão 2ª safra'!$E45:INDEX('Feijão 2ª safra'!$E45:$Z45,MIN(AH$6-$E$3,22))),0))-IF($G$2,0,IF((AH$6-$G$3)&lt;1,0,IFERROR(LOOKUP(2,1/('Feijão 2ª safra'!$E45:INDEX('Feijão 2ª safra'!$E45:$Z45,MIN(AH$6-$G$3,22))&lt;&gt;""),'Feijão 2ª safra'!$E45:INDEX('Feijão 2ª safra'!$E45:$Z45,MIN(AH$6-$G$3,22))),0)))))</f>
        <v>0</v>
      </c>
      <c r="AI47" s="27" t="n">
        <f aca="false">IF(COUNT('Feijão 2ª safra'!$E45:$Z45)=0,0,MAX(0,IF((AI$6-$E$3)&lt;1,0,IFERROR(LOOKUP(2,1/('Feijão 2ª safra'!$E45:INDEX('Feijão 2ª safra'!$E45:$Z45,MIN(AI$6-$E$3,22))&lt;&gt;""),'Feijão 2ª safra'!$E45:INDEX('Feijão 2ª safra'!$E45:$Z45,MIN(AI$6-$E$3,22))),0))-IF($G$2,0,IF((AI$6-$G$3)&lt;1,0,IFERROR(LOOKUP(2,1/('Feijão 2ª safra'!$E45:INDEX('Feijão 2ª safra'!$E45:$Z45,MIN(AI$6-$G$3,22))&lt;&gt;""),'Feijão 2ª safra'!$E45:INDEX('Feijão 2ª safra'!$E45:$Z45,MIN(AI$6-$G$3,22))),0)))))</f>
        <v>0</v>
      </c>
      <c r="AJ47" s="27" t="n">
        <f aca="false">IF(COUNT('Feijão 2ª safra'!$E45:$Z45)=0,0,MAX(0,IF((AJ$6-$E$3)&lt;1,0,IFERROR(LOOKUP(2,1/('Feijão 2ª safra'!$E45:INDEX('Feijão 2ª safra'!$E45:$Z45,MIN(AJ$6-$E$3,22))&lt;&gt;""),'Feijão 2ª safra'!$E45:INDEX('Feijão 2ª safra'!$E45:$Z45,MIN(AJ$6-$E$3,22))),0))-IF($G$2,0,IF((AJ$6-$G$3)&lt;1,0,IFERROR(LOOKUP(2,1/('Feijão 2ª safra'!$E45:INDEX('Feijão 2ª safra'!$E45:$Z45,MIN(AJ$6-$G$3,22))&lt;&gt;""),'Feijão 2ª safra'!$E45:INDEX('Feijão 2ª safra'!$E45:$Z45,MIN(AJ$6-$G$3,22))),0)))))</f>
        <v>0</v>
      </c>
      <c r="AK47" s="27" t="n">
        <f aca="false">IF(COUNT('Feijão 2ª safra'!$E45:$Z45)=0,0,MAX(0,IF((AK$6-$E$3)&lt;1,0,IFERROR(LOOKUP(2,1/('Feijão 2ª safra'!$E45:INDEX('Feijão 2ª safra'!$E45:$Z45,MIN(AK$6-$E$3,22))&lt;&gt;""),'Feijão 2ª safra'!$E45:INDEX('Feijão 2ª safra'!$E45:$Z45,MIN(AK$6-$E$3,22))),0))-IF($G$2,0,IF((AK$6-$G$3)&lt;1,0,IFERROR(LOOKUP(2,1/('Feijão 2ª safra'!$E45:INDEX('Feijão 2ª safra'!$E45:$Z45,MIN(AK$6-$G$3,22))&lt;&gt;""),'Feijão 2ª safra'!$E45:INDEX('Feijão 2ª safra'!$E45:$Z45,MIN(AK$6-$G$3,22))),0)))))</f>
        <v>0</v>
      </c>
      <c r="AL47" s="27" t="n">
        <f aca="false">IF(COUNT('Feijão 2ª safra'!$E45:$Z45)=0,0,MAX(0,IF((AL$6-$E$3)&lt;1,0,IFERROR(LOOKUP(2,1/('Feijão 2ª safra'!$E45:INDEX('Feijão 2ª safra'!$E45:$Z45,MIN(AL$6-$E$3,22))&lt;&gt;""),'Feijão 2ª safra'!$E45:INDEX('Feijão 2ª safra'!$E45:$Z45,MIN(AL$6-$E$3,22))),0))-IF($G$2,0,IF((AL$6-$G$3)&lt;1,0,IFERROR(LOOKUP(2,1/('Feijão 2ª safra'!$E45:INDEX('Feijão 2ª safra'!$E45:$Z45,MIN(AL$6-$G$3,22))&lt;&gt;""),'Feijão 2ª safra'!$E45:INDEX('Feijão 2ª safra'!$E45:$Z45,MIN(AL$6-$G$3,22))),0)))))</f>
        <v>0</v>
      </c>
      <c r="AM47" s="27" t="n">
        <f aca="false">IF(COUNT('Feijão 2ª safra'!$E45:$Z45)=0,0,MAX(0,IF((AM$6-$E$3)&lt;1,0,IFERROR(LOOKUP(2,1/('Feijão 2ª safra'!$E45:INDEX('Feijão 2ª safra'!$E45:$Z45,MIN(AM$6-$E$3,22))&lt;&gt;""),'Feijão 2ª safra'!$E45:INDEX('Feijão 2ª safra'!$E45:$Z45,MIN(AM$6-$E$3,22))),0))-IF($G$2,0,IF((AM$6-$G$3)&lt;1,0,IFERROR(LOOKUP(2,1/('Feijão 2ª safra'!$E45:INDEX('Feijão 2ª safra'!$E45:$Z45,MIN(AM$6-$G$3,22))&lt;&gt;""),'Feijão 2ª safra'!$E45:INDEX('Feijão 2ª safra'!$E45:$Z45,MIN(AM$6-$G$3,22))),0)))))</f>
        <v>0</v>
      </c>
      <c r="AN47" s="27" t="n">
        <f aca="false">IF(COUNT('Feijão 2ª safra'!$E45:$Z45)=0,0,MAX(0,IF((AN$6-$E$3)&lt;1,0,IFERROR(LOOKUP(2,1/('Feijão 2ª safra'!$E45:INDEX('Feijão 2ª safra'!$E45:$Z45,MIN(AN$6-$E$3,22))&lt;&gt;""),'Feijão 2ª safra'!$E45:INDEX('Feijão 2ª safra'!$E45:$Z45,MIN(AN$6-$E$3,22))),0))-IF($G$2,0,IF((AN$6-$G$3)&lt;1,0,IFERROR(LOOKUP(2,1/('Feijão 2ª safra'!$E45:INDEX('Feijão 2ª safra'!$E45:$Z45,MIN(AN$6-$G$3,22))&lt;&gt;""),'Feijão 2ª safra'!$E45:INDEX('Feijão 2ª safra'!$E45:$Z45,MIN(AN$6-$G$3,22))),0)))))</f>
        <v>0</v>
      </c>
      <c r="AO47" s="27" t="n">
        <f aca="false">IF(COUNT('Feijão 2ª safra'!$E45:$Z45)=0,0,MAX(0,IF((AO$6-$E$3)&lt;1,0,IFERROR(LOOKUP(2,1/('Feijão 2ª safra'!$E45:INDEX('Feijão 2ª safra'!$E45:$Z45,MIN(AO$6-$E$3,22))&lt;&gt;""),'Feijão 2ª safra'!$E45:INDEX('Feijão 2ª safra'!$E45:$Z45,MIN(AO$6-$E$3,22))),0))-IF($G$2,0,IF((AO$6-$G$3)&lt;1,0,IFERROR(LOOKUP(2,1/('Feijão 2ª safra'!$E45:INDEX('Feijão 2ª safra'!$E45:$Z45,MIN(AO$6-$G$3,22))&lt;&gt;""),'Feijão 2ª safra'!$E45:INDEX('Feijão 2ª safra'!$E45:$Z45,MIN(AO$6-$G$3,22))),0)))))</f>
        <v>0</v>
      </c>
      <c r="AP47" s="27" t="n">
        <f aca="false">IF(COUNT('Feijão 2ª safra'!$E45:$Z45)=0,0,MAX(0,IF((AP$6-$E$3)&lt;1,0,IFERROR(LOOKUP(2,1/('Feijão 2ª safra'!$E45:INDEX('Feijão 2ª safra'!$E45:$Z45,MIN(AP$6-$E$3,22))&lt;&gt;""),'Feijão 2ª safra'!$E45:INDEX('Feijão 2ª safra'!$E45:$Z45,MIN(AP$6-$E$3,22))),0))-IF($G$2,0,IF((AP$6-$G$3)&lt;1,0,IFERROR(LOOKUP(2,1/('Feijão 2ª safra'!$E45:INDEX('Feijão 2ª safra'!$E45:$Z45,MIN(AP$6-$G$3,22))&lt;&gt;""),'Feijão 2ª safra'!$E45:INDEX('Feijão 2ª safra'!$E45:$Z45,MIN(AP$6-$G$3,22))),0)))))</f>
        <v>0</v>
      </c>
      <c r="AQ47" s="27" t="n">
        <f aca="false">IF(COUNT('Feijão 2ª safra'!$E45:$Z45)=0,0,MAX(0,IF((AQ$6-$E$3)&lt;1,0,IFERROR(LOOKUP(2,1/('Feijão 2ª safra'!$E45:INDEX('Feijão 2ª safra'!$E45:$Z45,MIN(AQ$6-$E$3,22))&lt;&gt;""),'Feijão 2ª safra'!$E45:INDEX('Feijão 2ª safra'!$E45:$Z45,MIN(AQ$6-$E$3,22))),0))-IF($G$2,0,IF((AQ$6-$G$3)&lt;1,0,IFERROR(LOOKUP(2,1/('Feijão 2ª safra'!$E45:INDEX('Feijão 2ª safra'!$E45:$Z45,MIN(AQ$6-$G$3,22))&lt;&gt;""),'Feijão 2ª safra'!$E45:INDEX('Feijão 2ª safra'!$E45:$Z45,MIN(AQ$6-$G$3,22))),0)))))</f>
        <v>0</v>
      </c>
      <c r="AR47" s="27" t="n">
        <f aca="false">IF(COUNT('Feijão 2ª safra'!$E45:$Z45)=0,0,MAX(0,IF((AR$6-$E$3)&lt;1,0,IFERROR(LOOKUP(2,1/('Feijão 2ª safra'!$E45:INDEX('Feijão 2ª safra'!$E45:$Z45,MIN(AR$6-$E$3,22))&lt;&gt;""),'Feijão 2ª safra'!$E45:INDEX('Feijão 2ª safra'!$E45:$Z45,MIN(AR$6-$E$3,22))),0))-IF($G$2,0,IF((AR$6-$G$3)&lt;1,0,IFERROR(LOOKUP(2,1/('Feijão 2ª safra'!$E45:INDEX('Feijão 2ª safra'!$E45:$Z45,MIN(AR$6-$G$3,22))&lt;&gt;""),'Feijão 2ª safra'!$E45:INDEX('Feijão 2ª safra'!$E45:$Z45,MIN(AR$6-$G$3,22))),0)))))</f>
        <v>0</v>
      </c>
      <c r="AS47" s="27" t="n">
        <f aca="false">IF(COUNT('Feijão 2ª safra'!$E45:$Z45)=0,0,MAX(0,IF((AS$6-$E$3)&lt;1,0,IFERROR(LOOKUP(2,1/('Feijão 2ª safra'!$E45:INDEX('Feijão 2ª safra'!$E45:$Z45,MIN(AS$6-$E$3,22))&lt;&gt;""),'Feijão 2ª safra'!$E45:INDEX('Feijão 2ª safra'!$E45:$Z45,MIN(AS$6-$E$3,22))),0))-IF($G$2,0,IF((AS$6-$G$3)&lt;1,0,IFERROR(LOOKUP(2,1/('Feijão 2ª safra'!$E45:INDEX('Feijão 2ª safra'!$E45:$Z45,MIN(AS$6-$G$3,22))&lt;&gt;""),'Feijão 2ª safra'!$E45:INDEX('Feijão 2ª safra'!$E45:$Z45,MIN(AS$6-$G$3,22))),0)))))</f>
        <v>0</v>
      </c>
      <c r="AT47" s="27" t="n">
        <f aca="false">IF(COUNT('Feijão 2ª safra'!$E45:$Z45)=0,0,MAX(0,IF((AT$6-$E$3)&lt;1,0,IFERROR(LOOKUP(2,1/('Feijão 2ª safra'!$E45:INDEX('Feijão 2ª safra'!$E45:$Z45,MIN(AT$6-$E$3,22))&lt;&gt;""),'Feijão 2ª safra'!$E45:INDEX('Feijão 2ª safra'!$E45:$Z45,MIN(AT$6-$E$3,22))),0))-IF($G$2,0,IF((AT$6-$G$3)&lt;1,0,IFERROR(LOOKUP(2,1/('Feijão 2ª safra'!$E45:INDEX('Feijão 2ª safra'!$E45:$Z45,MIN(AT$6-$G$3,22))&lt;&gt;""),'Feijão 2ª safra'!$E45:INDEX('Feijão 2ª safra'!$E45:$Z45,MIN(AT$6-$G$3,22))),0)))))</f>
        <v>0</v>
      </c>
      <c r="AU47" s="27" t="n">
        <f aca="false">IF(COUNT('Feijão 2ª safra'!$E45:$Z45)=0,0,MAX(0,IF((AU$6-$E$3)&lt;1,0,IFERROR(LOOKUP(2,1/('Feijão 2ª safra'!$E45:INDEX('Feijão 2ª safra'!$E45:$Z45,MIN(AU$6-$E$3,22))&lt;&gt;""),'Feijão 2ª safra'!$E45:INDEX('Feijão 2ª safra'!$E45:$Z45,MIN(AU$6-$E$3,22))),0))-IF($G$2,0,IF((AU$6-$G$3)&lt;1,0,IFERROR(LOOKUP(2,1/('Feijão 2ª safra'!$E45:INDEX('Feijão 2ª safra'!$E45:$Z45,MIN(AU$6-$G$3,22))&lt;&gt;""),'Feijão 2ª safra'!$E45:INDEX('Feijão 2ª safra'!$E45:$Z45,MIN(AU$6-$G$3,22))),0)))))</f>
        <v>0</v>
      </c>
      <c r="AV47" s="27" t="n">
        <f aca="false">IF(COUNT('Feijão 2ª safra'!$E45:$Z45)=0,0,MAX(0,IF((AV$6-$E$3)&lt;1,0,IFERROR(LOOKUP(2,1/('Feijão 2ª safra'!$E45:INDEX('Feijão 2ª safra'!$E45:$Z45,MIN(AV$6-$E$3,22))&lt;&gt;""),'Feijão 2ª safra'!$E45:INDEX('Feijão 2ª safra'!$E45:$Z45,MIN(AV$6-$E$3,22))),0))-IF($G$2,0,IF((AV$6-$G$3)&lt;1,0,IFERROR(LOOKUP(2,1/('Feijão 2ª safra'!$E45:INDEX('Feijão 2ª safra'!$E45:$Z45,MIN(AV$6-$G$3,22))&lt;&gt;""),'Feijão 2ª safra'!$E45:INDEX('Feijão 2ª safra'!$E45:$Z45,MIN(AV$6-$G$3,22))),0)))))</f>
        <v>0</v>
      </c>
      <c r="AW47" s="27" t="n">
        <f aca="false">IF(COUNT('Feijão 2ª safra'!$E45:$Z45)=0,0,MAX(0,IF((AW$6-$E$3)&lt;1,0,IFERROR(LOOKUP(2,1/('Feijão 2ª safra'!$E45:INDEX('Feijão 2ª safra'!$E45:$Z45,MIN(AW$6-$E$3,22))&lt;&gt;""),'Feijão 2ª safra'!$E45:INDEX('Feijão 2ª safra'!$E45:$Z45,MIN(AW$6-$E$3,22))),0))-IF($G$2,0,IF((AW$6-$G$3)&lt;1,0,IFERROR(LOOKUP(2,1/('Feijão 2ª safra'!$E45:INDEX('Feijão 2ª safra'!$E45:$Z45,MIN(AW$6-$G$3,22))&lt;&gt;""),'Feijão 2ª safra'!$E45:INDEX('Feijão 2ª safra'!$E45:$Z45,MIN(AW$6-$G$3,22))),0)))))</f>
        <v>0</v>
      </c>
      <c r="AX47" s="27" t="n">
        <f aca="false">IF(COUNT('Feijão 2ª safra'!$E45:$Z45)=0,0,MAX(0,IF((AX$6-$E$3)&lt;1,0,IFERROR(LOOKUP(2,1/('Feijão 2ª safra'!$E45:INDEX('Feijão 2ª safra'!$E45:$Z45,MIN(AX$6-$E$3,22))&lt;&gt;""),'Feijão 2ª safra'!$E45:INDEX('Feijão 2ª safra'!$E45:$Z45,MIN(AX$6-$E$3,22))),0))-IF($G$2,0,IF((AX$6-$G$3)&lt;1,0,IFERROR(LOOKUP(2,1/('Feijão 2ª safra'!$E45:INDEX('Feijão 2ª safra'!$E45:$Z45,MIN(AX$6-$G$3,22))&lt;&gt;""),'Feijão 2ª safra'!$E45:INDEX('Feijão 2ª safra'!$E45:$Z45,MIN(AX$6-$G$3,22))),0)))))</f>
        <v>0</v>
      </c>
      <c r="AY47" s="27" t="n">
        <f aca="false">IF(COUNT('Feijão 2ª safra'!$E45:$Z45)=0,0,MAX(0,IF((AY$6-$E$3)&lt;1,0,IFERROR(LOOKUP(2,1/('Feijão 2ª safra'!$E45:INDEX('Feijão 2ª safra'!$E45:$Z45,MIN(AY$6-$E$3,22))&lt;&gt;""),'Feijão 2ª safra'!$E45:INDEX('Feijão 2ª safra'!$E45:$Z45,MIN(AY$6-$E$3,22))),0))-IF($G$2,0,IF((AY$6-$G$3)&lt;1,0,IFERROR(LOOKUP(2,1/('Feijão 2ª safra'!$E45:INDEX('Feijão 2ª safra'!$E45:$Z45,MIN(AY$6-$G$3,22))&lt;&gt;""),'Feijão 2ª safra'!$E45:INDEX('Feijão 2ª safra'!$E45:$Z45,MIN(AY$6-$G$3,22))),0)))))</f>
        <v>0</v>
      </c>
      <c r="AZ47" s="27" t="n">
        <f aca="false">IF(COUNT('Feijão 2ª safra'!$E45:$Z45)=0,0,MAX(0,IF((AZ$6-$E$3)&lt;1,0,IFERROR(LOOKUP(2,1/('Feijão 2ª safra'!$E45:INDEX('Feijão 2ª safra'!$E45:$Z45,MIN(AZ$6-$E$3,22))&lt;&gt;""),'Feijão 2ª safra'!$E45:INDEX('Feijão 2ª safra'!$E45:$Z45,MIN(AZ$6-$E$3,22))),0))-IF($G$2,0,IF((AZ$6-$G$3)&lt;1,0,IFERROR(LOOKUP(2,1/('Feijão 2ª safra'!$E45:INDEX('Feijão 2ª safra'!$E45:$Z45,MIN(AZ$6-$G$3,22))&lt;&gt;""),'Feijão 2ª safra'!$E45:INDEX('Feijão 2ª safra'!$E45:$Z45,MIN(AZ$6-$G$3,22))),0)))))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IF(COUNT('Feijão 2ª safra'!$E46:$Z46)&gt;0,N('Feijão 2ª safra'!$D46),0)</f>
        <v>0</v>
      </c>
      <c r="E48" s="27" t="n">
        <f aca="false">IF(COUNT('Feijão 2ª safra'!$E46:$Z46)=0,0,MAX(0,IF((E$6-$E$3)&lt;1,0,IFERROR(LOOKUP(2,1/('Feijão 2ª safra'!$E46:INDEX('Feijão 2ª safra'!$E46:$Z46,MIN(E$6-$E$3,22))&lt;&gt;""),'Feijão 2ª safra'!$E46:INDEX('Feijão 2ª safra'!$E46:$Z46,MIN(E$6-$E$3,22))),0))-IF($G$2,0,IF((E$6-$G$3)&lt;1,0,IFERROR(LOOKUP(2,1/('Feijão 2ª safra'!$E46:INDEX('Feijão 2ª safra'!$E46:$Z46,MIN(E$6-$G$3,22))&lt;&gt;""),'Feijão 2ª safra'!$E46:INDEX('Feijão 2ª safra'!$E46:$Z46,MIN(E$6-$G$3,22))),0)))))</f>
        <v>0</v>
      </c>
      <c r="F48" s="27" t="n">
        <f aca="false">IF(COUNT('Feijão 2ª safra'!$E46:$Z46)=0,0,MAX(0,IF((F$6-$E$3)&lt;1,0,IFERROR(LOOKUP(2,1/('Feijão 2ª safra'!$E46:INDEX('Feijão 2ª safra'!$E46:$Z46,MIN(F$6-$E$3,22))&lt;&gt;""),'Feijão 2ª safra'!$E46:INDEX('Feijão 2ª safra'!$E46:$Z46,MIN(F$6-$E$3,22))),0))-IF($G$2,0,IF((F$6-$G$3)&lt;1,0,IFERROR(LOOKUP(2,1/('Feijão 2ª safra'!$E46:INDEX('Feijão 2ª safra'!$E46:$Z46,MIN(F$6-$G$3,22))&lt;&gt;""),'Feijão 2ª safra'!$E46:INDEX('Feijão 2ª safra'!$E46:$Z46,MIN(F$6-$G$3,22))),0)))))</f>
        <v>0</v>
      </c>
      <c r="G48" s="27" t="n">
        <f aca="false">IF(COUNT('Feijão 2ª safra'!$E46:$Z46)=0,0,MAX(0,IF((G$6-$E$3)&lt;1,0,IFERROR(LOOKUP(2,1/('Feijão 2ª safra'!$E46:INDEX('Feijão 2ª safra'!$E46:$Z46,MIN(G$6-$E$3,22))&lt;&gt;""),'Feijão 2ª safra'!$E46:INDEX('Feijão 2ª safra'!$E46:$Z46,MIN(G$6-$E$3,22))),0))-IF($G$2,0,IF((G$6-$G$3)&lt;1,0,IFERROR(LOOKUP(2,1/('Feijão 2ª safra'!$E46:INDEX('Feijão 2ª safra'!$E46:$Z46,MIN(G$6-$G$3,22))&lt;&gt;""),'Feijão 2ª safra'!$E46:INDEX('Feijão 2ª safra'!$E46:$Z46,MIN(G$6-$G$3,22))),0)))))</f>
        <v>0</v>
      </c>
      <c r="H48" s="27" t="n">
        <f aca="false">IF(COUNT('Feijão 2ª safra'!$E46:$Z46)=0,0,MAX(0,IF((H$6-$E$3)&lt;1,0,IFERROR(LOOKUP(2,1/('Feijão 2ª safra'!$E46:INDEX('Feijão 2ª safra'!$E46:$Z46,MIN(H$6-$E$3,22))&lt;&gt;""),'Feijão 2ª safra'!$E46:INDEX('Feijão 2ª safra'!$E46:$Z46,MIN(H$6-$E$3,22))),0))-IF($G$2,0,IF((H$6-$G$3)&lt;1,0,IFERROR(LOOKUP(2,1/('Feijão 2ª safra'!$E46:INDEX('Feijão 2ª safra'!$E46:$Z46,MIN(H$6-$G$3,22))&lt;&gt;""),'Feijão 2ª safra'!$E46:INDEX('Feijão 2ª safra'!$E46:$Z46,MIN(H$6-$G$3,22))),0)))))</f>
        <v>0</v>
      </c>
      <c r="I48" s="27" t="n">
        <f aca="false">IF(COUNT('Feijão 2ª safra'!$E46:$Z46)=0,0,MAX(0,IF((I$6-$E$3)&lt;1,0,IFERROR(LOOKUP(2,1/('Feijão 2ª safra'!$E46:INDEX('Feijão 2ª safra'!$E46:$Z46,MIN(I$6-$E$3,22))&lt;&gt;""),'Feijão 2ª safra'!$E46:INDEX('Feijão 2ª safra'!$E46:$Z46,MIN(I$6-$E$3,22))),0))-IF($G$2,0,IF((I$6-$G$3)&lt;1,0,IFERROR(LOOKUP(2,1/('Feijão 2ª safra'!$E46:INDEX('Feijão 2ª safra'!$E46:$Z46,MIN(I$6-$G$3,22))&lt;&gt;""),'Feijão 2ª safra'!$E46:INDEX('Feijão 2ª safra'!$E46:$Z46,MIN(I$6-$G$3,22))),0)))))</f>
        <v>0</v>
      </c>
      <c r="J48" s="27" t="n">
        <f aca="false">IF(COUNT('Feijão 2ª safra'!$E46:$Z46)=0,0,MAX(0,IF((J$6-$E$3)&lt;1,0,IFERROR(LOOKUP(2,1/('Feijão 2ª safra'!$E46:INDEX('Feijão 2ª safra'!$E46:$Z46,MIN(J$6-$E$3,22))&lt;&gt;""),'Feijão 2ª safra'!$E46:INDEX('Feijão 2ª safra'!$E46:$Z46,MIN(J$6-$E$3,22))),0))-IF($G$2,0,IF((J$6-$G$3)&lt;1,0,IFERROR(LOOKUP(2,1/('Feijão 2ª safra'!$E46:INDEX('Feijão 2ª safra'!$E46:$Z46,MIN(J$6-$G$3,22))&lt;&gt;""),'Feijão 2ª safra'!$E46:INDEX('Feijão 2ª safra'!$E46:$Z46,MIN(J$6-$G$3,22))),0)))))</f>
        <v>0</v>
      </c>
      <c r="K48" s="27" t="n">
        <f aca="false">IF(COUNT('Feijão 2ª safra'!$E46:$Z46)=0,0,MAX(0,IF((K$6-$E$3)&lt;1,0,IFERROR(LOOKUP(2,1/('Feijão 2ª safra'!$E46:INDEX('Feijão 2ª safra'!$E46:$Z46,MIN(K$6-$E$3,22))&lt;&gt;""),'Feijão 2ª safra'!$E46:INDEX('Feijão 2ª safra'!$E46:$Z46,MIN(K$6-$E$3,22))),0))-IF($G$2,0,IF((K$6-$G$3)&lt;1,0,IFERROR(LOOKUP(2,1/('Feijão 2ª safra'!$E46:INDEX('Feijão 2ª safra'!$E46:$Z46,MIN(K$6-$G$3,22))&lt;&gt;""),'Feijão 2ª safra'!$E46:INDEX('Feijão 2ª safra'!$E46:$Z46,MIN(K$6-$G$3,22))),0)))))</f>
        <v>0</v>
      </c>
      <c r="L48" s="27" t="n">
        <f aca="false">IF(COUNT('Feijão 2ª safra'!$E46:$Z46)=0,0,MAX(0,IF((L$6-$E$3)&lt;1,0,IFERROR(LOOKUP(2,1/('Feijão 2ª safra'!$E46:INDEX('Feijão 2ª safra'!$E46:$Z46,MIN(L$6-$E$3,22))&lt;&gt;""),'Feijão 2ª safra'!$E46:INDEX('Feijão 2ª safra'!$E46:$Z46,MIN(L$6-$E$3,22))),0))-IF($G$2,0,IF((L$6-$G$3)&lt;1,0,IFERROR(LOOKUP(2,1/('Feijão 2ª safra'!$E46:INDEX('Feijão 2ª safra'!$E46:$Z46,MIN(L$6-$G$3,22))&lt;&gt;""),'Feijão 2ª safra'!$E46:INDEX('Feijão 2ª safra'!$E46:$Z46,MIN(L$6-$G$3,22))),0)))))</f>
        <v>0</v>
      </c>
      <c r="M48" s="27" t="n">
        <f aca="false">IF(COUNT('Feijão 2ª safra'!$E46:$Z46)=0,0,MAX(0,IF((M$6-$E$3)&lt;1,0,IFERROR(LOOKUP(2,1/('Feijão 2ª safra'!$E46:INDEX('Feijão 2ª safra'!$E46:$Z46,MIN(M$6-$E$3,22))&lt;&gt;""),'Feijão 2ª safra'!$E46:INDEX('Feijão 2ª safra'!$E46:$Z46,MIN(M$6-$E$3,22))),0))-IF($G$2,0,IF((M$6-$G$3)&lt;1,0,IFERROR(LOOKUP(2,1/('Feijão 2ª safra'!$E46:INDEX('Feijão 2ª safra'!$E46:$Z46,MIN(M$6-$G$3,22))&lt;&gt;""),'Feijão 2ª safra'!$E46:INDEX('Feijão 2ª safra'!$E46:$Z46,MIN(M$6-$G$3,22))),0)))))</f>
        <v>0</v>
      </c>
      <c r="N48" s="27" t="n">
        <f aca="false">IF(COUNT('Feijão 2ª safra'!$E46:$Z46)=0,0,MAX(0,IF((N$6-$E$3)&lt;1,0,IFERROR(LOOKUP(2,1/('Feijão 2ª safra'!$E46:INDEX('Feijão 2ª safra'!$E46:$Z46,MIN(N$6-$E$3,22))&lt;&gt;""),'Feijão 2ª safra'!$E46:INDEX('Feijão 2ª safra'!$E46:$Z46,MIN(N$6-$E$3,22))),0))-IF($G$2,0,IF((N$6-$G$3)&lt;1,0,IFERROR(LOOKUP(2,1/('Feijão 2ª safra'!$E46:INDEX('Feijão 2ª safra'!$E46:$Z46,MIN(N$6-$G$3,22))&lt;&gt;""),'Feijão 2ª safra'!$E46:INDEX('Feijão 2ª safra'!$E46:$Z46,MIN(N$6-$G$3,22))),0)))))</f>
        <v>0</v>
      </c>
      <c r="O48" s="27" t="n">
        <f aca="false">IF(COUNT('Feijão 2ª safra'!$E46:$Z46)=0,0,MAX(0,IF((O$6-$E$3)&lt;1,0,IFERROR(LOOKUP(2,1/('Feijão 2ª safra'!$E46:INDEX('Feijão 2ª safra'!$E46:$Z46,MIN(O$6-$E$3,22))&lt;&gt;""),'Feijão 2ª safra'!$E46:INDEX('Feijão 2ª safra'!$E46:$Z46,MIN(O$6-$E$3,22))),0))-IF($G$2,0,IF((O$6-$G$3)&lt;1,0,IFERROR(LOOKUP(2,1/('Feijão 2ª safra'!$E46:INDEX('Feijão 2ª safra'!$E46:$Z46,MIN(O$6-$G$3,22))&lt;&gt;""),'Feijão 2ª safra'!$E46:INDEX('Feijão 2ª safra'!$E46:$Z46,MIN(O$6-$G$3,22))),0)))))</f>
        <v>0</v>
      </c>
      <c r="P48" s="27" t="n">
        <f aca="false">IF(COUNT('Feijão 2ª safra'!$E46:$Z46)=0,0,MAX(0,IF((P$6-$E$3)&lt;1,0,IFERROR(LOOKUP(2,1/('Feijão 2ª safra'!$E46:INDEX('Feijão 2ª safra'!$E46:$Z46,MIN(P$6-$E$3,22))&lt;&gt;""),'Feijão 2ª safra'!$E46:INDEX('Feijão 2ª safra'!$E46:$Z46,MIN(P$6-$E$3,22))),0))-IF($G$2,0,IF((P$6-$G$3)&lt;1,0,IFERROR(LOOKUP(2,1/('Feijão 2ª safra'!$E46:INDEX('Feijão 2ª safra'!$E46:$Z46,MIN(P$6-$G$3,22))&lt;&gt;""),'Feijão 2ª safra'!$E46:INDEX('Feijão 2ª safra'!$E46:$Z46,MIN(P$6-$G$3,22))),0)))))</f>
        <v>0</v>
      </c>
      <c r="Q48" s="27" t="n">
        <f aca="false">IF(COUNT('Feijão 2ª safra'!$E46:$Z46)=0,0,MAX(0,IF((Q$6-$E$3)&lt;1,0,IFERROR(LOOKUP(2,1/('Feijão 2ª safra'!$E46:INDEX('Feijão 2ª safra'!$E46:$Z46,MIN(Q$6-$E$3,22))&lt;&gt;""),'Feijão 2ª safra'!$E46:INDEX('Feijão 2ª safra'!$E46:$Z46,MIN(Q$6-$E$3,22))),0))-IF($G$2,0,IF((Q$6-$G$3)&lt;1,0,IFERROR(LOOKUP(2,1/('Feijão 2ª safra'!$E46:INDEX('Feijão 2ª safra'!$E46:$Z46,MIN(Q$6-$G$3,22))&lt;&gt;""),'Feijão 2ª safra'!$E46:INDEX('Feijão 2ª safra'!$E46:$Z46,MIN(Q$6-$G$3,22))),0)))))</f>
        <v>0</v>
      </c>
      <c r="R48" s="27" t="n">
        <f aca="false">IF(COUNT('Feijão 2ª safra'!$E46:$Z46)=0,0,MAX(0,IF((R$6-$E$3)&lt;1,0,IFERROR(LOOKUP(2,1/('Feijão 2ª safra'!$E46:INDEX('Feijão 2ª safra'!$E46:$Z46,MIN(R$6-$E$3,22))&lt;&gt;""),'Feijão 2ª safra'!$E46:INDEX('Feijão 2ª safra'!$E46:$Z46,MIN(R$6-$E$3,22))),0))-IF($G$2,0,IF((R$6-$G$3)&lt;1,0,IFERROR(LOOKUP(2,1/('Feijão 2ª safra'!$E46:INDEX('Feijão 2ª safra'!$E46:$Z46,MIN(R$6-$G$3,22))&lt;&gt;""),'Feijão 2ª safra'!$E46:INDEX('Feijão 2ª safra'!$E46:$Z46,MIN(R$6-$G$3,22))),0)))))</f>
        <v>0</v>
      </c>
      <c r="S48" s="27" t="n">
        <f aca="false">IF(COUNT('Feijão 2ª safra'!$E46:$Z46)=0,0,MAX(0,IF((S$6-$E$3)&lt;1,0,IFERROR(LOOKUP(2,1/('Feijão 2ª safra'!$E46:INDEX('Feijão 2ª safra'!$E46:$Z46,MIN(S$6-$E$3,22))&lt;&gt;""),'Feijão 2ª safra'!$E46:INDEX('Feijão 2ª safra'!$E46:$Z46,MIN(S$6-$E$3,22))),0))-IF($G$2,0,IF((S$6-$G$3)&lt;1,0,IFERROR(LOOKUP(2,1/('Feijão 2ª safra'!$E46:INDEX('Feijão 2ª safra'!$E46:$Z46,MIN(S$6-$G$3,22))&lt;&gt;""),'Feijão 2ª safra'!$E46:INDEX('Feijão 2ª safra'!$E46:$Z46,MIN(S$6-$G$3,22))),0)))))</f>
        <v>0</v>
      </c>
      <c r="T48" s="27" t="n">
        <f aca="false">IF(COUNT('Feijão 2ª safra'!$E46:$Z46)=0,0,MAX(0,IF((T$6-$E$3)&lt;1,0,IFERROR(LOOKUP(2,1/('Feijão 2ª safra'!$E46:INDEX('Feijão 2ª safra'!$E46:$Z46,MIN(T$6-$E$3,22))&lt;&gt;""),'Feijão 2ª safra'!$E46:INDEX('Feijão 2ª safra'!$E46:$Z46,MIN(T$6-$E$3,22))),0))-IF($G$2,0,IF((T$6-$G$3)&lt;1,0,IFERROR(LOOKUP(2,1/('Feijão 2ª safra'!$E46:INDEX('Feijão 2ª safra'!$E46:$Z46,MIN(T$6-$G$3,22))&lt;&gt;""),'Feijão 2ª safra'!$E46:INDEX('Feijão 2ª safra'!$E46:$Z46,MIN(T$6-$G$3,22))),0)))))</f>
        <v>0</v>
      </c>
      <c r="U48" s="27" t="n">
        <f aca="false">IF(COUNT('Feijão 2ª safra'!$E46:$Z46)=0,0,MAX(0,IF((U$6-$E$3)&lt;1,0,IFERROR(LOOKUP(2,1/('Feijão 2ª safra'!$E46:INDEX('Feijão 2ª safra'!$E46:$Z46,MIN(U$6-$E$3,22))&lt;&gt;""),'Feijão 2ª safra'!$E46:INDEX('Feijão 2ª safra'!$E46:$Z46,MIN(U$6-$E$3,22))),0))-IF($G$2,0,IF((U$6-$G$3)&lt;1,0,IFERROR(LOOKUP(2,1/('Feijão 2ª safra'!$E46:INDEX('Feijão 2ª safra'!$E46:$Z46,MIN(U$6-$G$3,22))&lt;&gt;""),'Feijão 2ª safra'!$E46:INDEX('Feijão 2ª safra'!$E46:$Z46,MIN(U$6-$G$3,22))),0)))))</f>
        <v>0</v>
      </c>
      <c r="V48" s="27" t="n">
        <f aca="false">IF(COUNT('Feijão 2ª safra'!$E46:$Z46)=0,0,MAX(0,IF((V$6-$E$3)&lt;1,0,IFERROR(LOOKUP(2,1/('Feijão 2ª safra'!$E46:INDEX('Feijão 2ª safra'!$E46:$Z46,MIN(V$6-$E$3,22))&lt;&gt;""),'Feijão 2ª safra'!$E46:INDEX('Feijão 2ª safra'!$E46:$Z46,MIN(V$6-$E$3,22))),0))-IF($G$2,0,IF((V$6-$G$3)&lt;1,0,IFERROR(LOOKUP(2,1/('Feijão 2ª safra'!$E46:INDEX('Feijão 2ª safra'!$E46:$Z46,MIN(V$6-$G$3,22))&lt;&gt;""),'Feijão 2ª safra'!$E46:INDEX('Feijão 2ª safra'!$E46:$Z46,MIN(V$6-$G$3,22))),0)))))</f>
        <v>0</v>
      </c>
      <c r="W48" s="27" t="n">
        <f aca="false">IF(COUNT('Feijão 2ª safra'!$E46:$Z46)=0,0,MAX(0,IF((W$6-$E$3)&lt;1,0,IFERROR(LOOKUP(2,1/('Feijão 2ª safra'!$E46:INDEX('Feijão 2ª safra'!$E46:$Z46,MIN(W$6-$E$3,22))&lt;&gt;""),'Feijão 2ª safra'!$E46:INDEX('Feijão 2ª safra'!$E46:$Z46,MIN(W$6-$E$3,22))),0))-IF($G$2,0,IF((W$6-$G$3)&lt;1,0,IFERROR(LOOKUP(2,1/('Feijão 2ª safra'!$E46:INDEX('Feijão 2ª safra'!$E46:$Z46,MIN(W$6-$G$3,22))&lt;&gt;""),'Feijão 2ª safra'!$E46:INDEX('Feijão 2ª safra'!$E46:$Z46,MIN(W$6-$G$3,22))),0)))))</f>
        <v>0</v>
      </c>
      <c r="X48" s="27" t="n">
        <f aca="false">IF(COUNT('Feijão 2ª safra'!$E46:$Z46)=0,0,MAX(0,IF((X$6-$E$3)&lt;1,0,IFERROR(LOOKUP(2,1/('Feijão 2ª safra'!$E46:INDEX('Feijão 2ª safra'!$E46:$Z46,MIN(X$6-$E$3,22))&lt;&gt;""),'Feijão 2ª safra'!$E46:INDEX('Feijão 2ª safra'!$E46:$Z46,MIN(X$6-$E$3,22))),0))-IF($G$2,0,IF((X$6-$G$3)&lt;1,0,IFERROR(LOOKUP(2,1/('Feijão 2ª safra'!$E46:INDEX('Feijão 2ª safra'!$E46:$Z46,MIN(X$6-$G$3,22))&lt;&gt;""),'Feijão 2ª safra'!$E46:INDEX('Feijão 2ª safra'!$E46:$Z46,MIN(X$6-$G$3,22))),0)))))</f>
        <v>0</v>
      </c>
      <c r="Y48" s="27" t="n">
        <f aca="false">IF(COUNT('Feijão 2ª safra'!$E46:$Z46)=0,0,MAX(0,IF((Y$6-$E$3)&lt;1,0,IFERROR(LOOKUP(2,1/('Feijão 2ª safra'!$E46:INDEX('Feijão 2ª safra'!$E46:$Z46,MIN(Y$6-$E$3,22))&lt;&gt;""),'Feijão 2ª safra'!$E46:INDEX('Feijão 2ª safra'!$E46:$Z46,MIN(Y$6-$E$3,22))),0))-IF($G$2,0,IF((Y$6-$G$3)&lt;1,0,IFERROR(LOOKUP(2,1/('Feijão 2ª safra'!$E46:INDEX('Feijão 2ª safra'!$E46:$Z46,MIN(Y$6-$G$3,22))&lt;&gt;""),'Feijão 2ª safra'!$E46:INDEX('Feijão 2ª safra'!$E46:$Z46,MIN(Y$6-$G$3,22))),0)))))</f>
        <v>0</v>
      </c>
      <c r="Z48" s="27" t="n">
        <f aca="false">IF(COUNT('Feijão 2ª safra'!$E46:$Z46)=0,0,MAX(0,IF((Z$6-$E$3)&lt;1,0,IFERROR(LOOKUP(2,1/('Feijão 2ª safra'!$E46:INDEX('Feijão 2ª safra'!$E46:$Z46,MIN(Z$6-$E$3,22))&lt;&gt;""),'Feijão 2ª safra'!$E46:INDEX('Feijão 2ª safra'!$E46:$Z46,MIN(Z$6-$E$3,22))),0))-IF($G$2,0,IF((Z$6-$G$3)&lt;1,0,IFERROR(LOOKUP(2,1/('Feijão 2ª safra'!$E46:INDEX('Feijão 2ª safra'!$E46:$Z46,MIN(Z$6-$G$3,22))&lt;&gt;""),'Feijão 2ª safra'!$E46:INDEX('Feijão 2ª safra'!$E46:$Z46,MIN(Z$6-$G$3,22))),0)))))</f>
        <v>0</v>
      </c>
      <c r="AA48" s="27" t="n">
        <f aca="false">IF(COUNT('Feijão 2ª safra'!$E46:$Z46)=0,0,MAX(0,IF((AA$6-$E$3)&lt;1,0,IFERROR(LOOKUP(2,1/('Feijão 2ª safra'!$E46:INDEX('Feijão 2ª safra'!$E46:$Z46,MIN(AA$6-$E$3,22))&lt;&gt;""),'Feijão 2ª safra'!$E46:INDEX('Feijão 2ª safra'!$E46:$Z46,MIN(AA$6-$E$3,22))),0))-IF($G$2,0,IF((AA$6-$G$3)&lt;1,0,IFERROR(LOOKUP(2,1/('Feijão 2ª safra'!$E46:INDEX('Feijão 2ª safra'!$E46:$Z46,MIN(AA$6-$G$3,22))&lt;&gt;""),'Feijão 2ª safra'!$E46:INDEX('Feijão 2ª safra'!$E46:$Z46,MIN(AA$6-$G$3,22))),0)))))</f>
        <v>0</v>
      </c>
      <c r="AB48" s="27" t="n">
        <f aca="false">IF(COUNT('Feijão 2ª safra'!$E46:$Z46)=0,0,MAX(0,IF((AB$6-$E$3)&lt;1,0,IFERROR(LOOKUP(2,1/('Feijão 2ª safra'!$E46:INDEX('Feijão 2ª safra'!$E46:$Z46,MIN(AB$6-$E$3,22))&lt;&gt;""),'Feijão 2ª safra'!$E46:INDEX('Feijão 2ª safra'!$E46:$Z46,MIN(AB$6-$E$3,22))),0))-IF($G$2,0,IF((AB$6-$G$3)&lt;1,0,IFERROR(LOOKUP(2,1/('Feijão 2ª safra'!$E46:INDEX('Feijão 2ª safra'!$E46:$Z46,MIN(AB$6-$G$3,22))&lt;&gt;""),'Feijão 2ª safra'!$E46:INDEX('Feijão 2ª safra'!$E46:$Z46,MIN(AB$6-$G$3,22))),0)))))</f>
        <v>0</v>
      </c>
      <c r="AC48" s="27" t="n">
        <f aca="false">IF(COUNT('Feijão 2ª safra'!$E46:$Z46)=0,0,MAX(0,IF((AC$6-$E$3)&lt;1,0,IFERROR(LOOKUP(2,1/('Feijão 2ª safra'!$E46:INDEX('Feijão 2ª safra'!$E46:$Z46,MIN(AC$6-$E$3,22))&lt;&gt;""),'Feijão 2ª safra'!$E46:INDEX('Feijão 2ª safra'!$E46:$Z46,MIN(AC$6-$E$3,22))),0))-IF($G$2,0,IF((AC$6-$G$3)&lt;1,0,IFERROR(LOOKUP(2,1/('Feijão 2ª safra'!$E46:INDEX('Feijão 2ª safra'!$E46:$Z46,MIN(AC$6-$G$3,22))&lt;&gt;""),'Feijão 2ª safra'!$E46:INDEX('Feijão 2ª safra'!$E46:$Z46,MIN(AC$6-$G$3,22))),0)))))</f>
        <v>0</v>
      </c>
      <c r="AD48" s="27" t="n">
        <f aca="false">IF(COUNT('Feijão 2ª safra'!$E46:$Z46)=0,0,MAX(0,IF((AD$6-$E$3)&lt;1,0,IFERROR(LOOKUP(2,1/('Feijão 2ª safra'!$E46:INDEX('Feijão 2ª safra'!$E46:$Z46,MIN(AD$6-$E$3,22))&lt;&gt;""),'Feijão 2ª safra'!$E46:INDEX('Feijão 2ª safra'!$E46:$Z46,MIN(AD$6-$E$3,22))),0))-IF($G$2,0,IF((AD$6-$G$3)&lt;1,0,IFERROR(LOOKUP(2,1/('Feijão 2ª safra'!$E46:INDEX('Feijão 2ª safra'!$E46:$Z46,MIN(AD$6-$G$3,22))&lt;&gt;""),'Feijão 2ª safra'!$E46:INDEX('Feijão 2ª safra'!$E46:$Z46,MIN(AD$6-$G$3,22))),0)))))</f>
        <v>0</v>
      </c>
      <c r="AE48" s="27" t="n">
        <f aca="false">IF(COUNT('Feijão 2ª safra'!$E46:$Z46)=0,0,MAX(0,IF((AE$6-$E$3)&lt;1,0,IFERROR(LOOKUP(2,1/('Feijão 2ª safra'!$E46:INDEX('Feijão 2ª safra'!$E46:$Z46,MIN(AE$6-$E$3,22))&lt;&gt;""),'Feijão 2ª safra'!$E46:INDEX('Feijão 2ª safra'!$E46:$Z46,MIN(AE$6-$E$3,22))),0))-IF($G$2,0,IF((AE$6-$G$3)&lt;1,0,IFERROR(LOOKUP(2,1/('Feijão 2ª safra'!$E46:INDEX('Feijão 2ª safra'!$E46:$Z46,MIN(AE$6-$G$3,22))&lt;&gt;""),'Feijão 2ª safra'!$E46:INDEX('Feijão 2ª safra'!$E46:$Z46,MIN(AE$6-$G$3,22))),0)))))</f>
        <v>0</v>
      </c>
      <c r="AF48" s="27" t="n">
        <f aca="false">IF(COUNT('Feijão 2ª safra'!$E46:$Z46)=0,0,MAX(0,IF((AF$6-$E$3)&lt;1,0,IFERROR(LOOKUP(2,1/('Feijão 2ª safra'!$E46:INDEX('Feijão 2ª safra'!$E46:$Z46,MIN(AF$6-$E$3,22))&lt;&gt;""),'Feijão 2ª safra'!$E46:INDEX('Feijão 2ª safra'!$E46:$Z46,MIN(AF$6-$E$3,22))),0))-IF($G$2,0,IF((AF$6-$G$3)&lt;1,0,IFERROR(LOOKUP(2,1/('Feijão 2ª safra'!$E46:INDEX('Feijão 2ª safra'!$E46:$Z46,MIN(AF$6-$G$3,22))&lt;&gt;""),'Feijão 2ª safra'!$E46:INDEX('Feijão 2ª safra'!$E46:$Z46,MIN(AF$6-$G$3,22))),0)))))</f>
        <v>0</v>
      </c>
      <c r="AG48" s="27" t="n">
        <f aca="false">IF(COUNT('Feijão 2ª safra'!$E46:$Z46)=0,0,MAX(0,IF((AG$6-$E$3)&lt;1,0,IFERROR(LOOKUP(2,1/('Feijão 2ª safra'!$E46:INDEX('Feijão 2ª safra'!$E46:$Z46,MIN(AG$6-$E$3,22))&lt;&gt;""),'Feijão 2ª safra'!$E46:INDEX('Feijão 2ª safra'!$E46:$Z46,MIN(AG$6-$E$3,22))),0))-IF($G$2,0,IF((AG$6-$G$3)&lt;1,0,IFERROR(LOOKUP(2,1/('Feijão 2ª safra'!$E46:INDEX('Feijão 2ª safra'!$E46:$Z46,MIN(AG$6-$G$3,22))&lt;&gt;""),'Feijão 2ª safra'!$E46:INDEX('Feijão 2ª safra'!$E46:$Z46,MIN(AG$6-$G$3,22))),0)))))</f>
        <v>0</v>
      </c>
      <c r="AH48" s="27" t="n">
        <f aca="false">IF(COUNT('Feijão 2ª safra'!$E46:$Z46)=0,0,MAX(0,IF((AH$6-$E$3)&lt;1,0,IFERROR(LOOKUP(2,1/('Feijão 2ª safra'!$E46:INDEX('Feijão 2ª safra'!$E46:$Z46,MIN(AH$6-$E$3,22))&lt;&gt;""),'Feijão 2ª safra'!$E46:INDEX('Feijão 2ª safra'!$E46:$Z46,MIN(AH$6-$E$3,22))),0))-IF($G$2,0,IF((AH$6-$G$3)&lt;1,0,IFERROR(LOOKUP(2,1/('Feijão 2ª safra'!$E46:INDEX('Feijão 2ª safra'!$E46:$Z46,MIN(AH$6-$G$3,22))&lt;&gt;""),'Feijão 2ª safra'!$E46:INDEX('Feijão 2ª safra'!$E46:$Z46,MIN(AH$6-$G$3,22))),0)))))</f>
        <v>0</v>
      </c>
      <c r="AI48" s="27" t="n">
        <f aca="false">IF(COUNT('Feijão 2ª safra'!$E46:$Z46)=0,0,MAX(0,IF((AI$6-$E$3)&lt;1,0,IFERROR(LOOKUP(2,1/('Feijão 2ª safra'!$E46:INDEX('Feijão 2ª safra'!$E46:$Z46,MIN(AI$6-$E$3,22))&lt;&gt;""),'Feijão 2ª safra'!$E46:INDEX('Feijão 2ª safra'!$E46:$Z46,MIN(AI$6-$E$3,22))),0))-IF($G$2,0,IF((AI$6-$G$3)&lt;1,0,IFERROR(LOOKUP(2,1/('Feijão 2ª safra'!$E46:INDEX('Feijão 2ª safra'!$E46:$Z46,MIN(AI$6-$G$3,22))&lt;&gt;""),'Feijão 2ª safra'!$E46:INDEX('Feijão 2ª safra'!$E46:$Z46,MIN(AI$6-$G$3,22))),0)))))</f>
        <v>0</v>
      </c>
      <c r="AJ48" s="27" t="n">
        <f aca="false">IF(COUNT('Feijão 2ª safra'!$E46:$Z46)=0,0,MAX(0,IF((AJ$6-$E$3)&lt;1,0,IFERROR(LOOKUP(2,1/('Feijão 2ª safra'!$E46:INDEX('Feijão 2ª safra'!$E46:$Z46,MIN(AJ$6-$E$3,22))&lt;&gt;""),'Feijão 2ª safra'!$E46:INDEX('Feijão 2ª safra'!$E46:$Z46,MIN(AJ$6-$E$3,22))),0))-IF($G$2,0,IF((AJ$6-$G$3)&lt;1,0,IFERROR(LOOKUP(2,1/('Feijão 2ª safra'!$E46:INDEX('Feijão 2ª safra'!$E46:$Z46,MIN(AJ$6-$G$3,22))&lt;&gt;""),'Feijão 2ª safra'!$E46:INDEX('Feijão 2ª safra'!$E46:$Z46,MIN(AJ$6-$G$3,22))),0)))))</f>
        <v>0</v>
      </c>
      <c r="AK48" s="27" t="n">
        <f aca="false">IF(COUNT('Feijão 2ª safra'!$E46:$Z46)=0,0,MAX(0,IF((AK$6-$E$3)&lt;1,0,IFERROR(LOOKUP(2,1/('Feijão 2ª safra'!$E46:INDEX('Feijão 2ª safra'!$E46:$Z46,MIN(AK$6-$E$3,22))&lt;&gt;""),'Feijão 2ª safra'!$E46:INDEX('Feijão 2ª safra'!$E46:$Z46,MIN(AK$6-$E$3,22))),0))-IF($G$2,0,IF((AK$6-$G$3)&lt;1,0,IFERROR(LOOKUP(2,1/('Feijão 2ª safra'!$E46:INDEX('Feijão 2ª safra'!$E46:$Z46,MIN(AK$6-$G$3,22))&lt;&gt;""),'Feijão 2ª safra'!$E46:INDEX('Feijão 2ª safra'!$E46:$Z46,MIN(AK$6-$G$3,22))),0)))))</f>
        <v>0</v>
      </c>
      <c r="AL48" s="27" t="n">
        <f aca="false">IF(COUNT('Feijão 2ª safra'!$E46:$Z46)=0,0,MAX(0,IF((AL$6-$E$3)&lt;1,0,IFERROR(LOOKUP(2,1/('Feijão 2ª safra'!$E46:INDEX('Feijão 2ª safra'!$E46:$Z46,MIN(AL$6-$E$3,22))&lt;&gt;""),'Feijão 2ª safra'!$E46:INDEX('Feijão 2ª safra'!$E46:$Z46,MIN(AL$6-$E$3,22))),0))-IF($G$2,0,IF((AL$6-$G$3)&lt;1,0,IFERROR(LOOKUP(2,1/('Feijão 2ª safra'!$E46:INDEX('Feijão 2ª safra'!$E46:$Z46,MIN(AL$6-$G$3,22))&lt;&gt;""),'Feijão 2ª safra'!$E46:INDEX('Feijão 2ª safra'!$E46:$Z46,MIN(AL$6-$G$3,22))),0)))))</f>
        <v>0</v>
      </c>
      <c r="AM48" s="27" t="n">
        <f aca="false">IF(COUNT('Feijão 2ª safra'!$E46:$Z46)=0,0,MAX(0,IF((AM$6-$E$3)&lt;1,0,IFERROR(LOOKUP(2,1/('Feijão 2ª safra'!$E46:INDEX('Feijão 2ª safra'!$E46:$Z46,MIN(AM$6-$E$3,22))&lt;&gt;""),'Feijão 2ª safra'!$E46:INDEX('Feijão 2ª safra'!$E46:$Z46,MIN(AM$6-$E$3,22))),0))-IF($G$2,0,IF((AM$6-$G$3)&lt;1,0,IFERROR(LOOKUP(2,1/('Feijão 2ª safra'!$E46:INDEX('Feijão 2ª safra'!$E46:$Z46,MIN(AM$6-$G$3,22))&lt;&gt;""),'Feijão 2ª safra'!$E46:INDEX('Feijão 2ª safra'!$E46:$Z46,MIN(AM$6-$G$3,22))),0)))))</f>
        <v>0</v>
      </c>
      <c r="AN48" s="27" t="n">
        <f aca="false">IF(COUNT('Feijão 2ª safra'!$E46:$Z46)=0,0,MAX(0,IF((AN$6-$E$3)&lt;1,0,IFERROR(LOOKUP(2,1/('Feijão 2ª safra'!$E46:INDEX('Feijão 2ª safra'!$E46:$Z46,MIN(AN$6-$E$3,22))&lt;&gt;""),'Feijão 2ª safra'!$E46:INDEX('Feijão 2ª safra'!$E46:$Z46,MIN(AN$6-$E$3,22))),0))-IF($G$2,0,IF((AN$6-$G$3)&lt;1,0,IFERROR(LOOKUP(2,1/('Feijão 2ª safra'!$E46:INDEX('Feijão 2ª safra'!$E46:$Z46,MIN(AN$6-$G$3,22))&lt;&gt;""),'Feijão 2ª safra'!$E46:INDEX('Feijão 2ª safra'!$E46:$Z46,MIN(AN$6-$G$3,22))),0)))))</f>
        <v>0</v>
      </c>
      <c r="AO48" s="27" t="n">
        <f aca="false">IF(COUNT('Feijão 2ª safra'!$E46:$Z46)=0,0,MAX(0,IF((AO$6-$E$3)&lt;1,0,IFERROR(LOOKUP(2,1/('Feijão 2ª safra'!$E46:INDEX('Feijão 2ª safra'!$E46:$Z46,MIN(AO$6-$E$3,22))&lt;&gt;""),'Feijão 2ª safra'!$E46:INDEX('Feijão 2ª safra'!$E46:$Z46,MIN(AO$6-$E$3,22))),0))-IF($G$2,0,IF((AO$6-$G$3)&lt;1,0,IFERROR(LOOKUP(2,1/('Feijão 2ª safra'!$E46:INDEX('Feijão 2ª safra'!$E46:$Z46,MIN(AO$6-$G$3,22))&lt;&gt;""),'Feijão 2ª safra'!$E46:INDEX('Feijão 2ª safra'!$E46:$Z46,MIN(AO$6-$G$3,22))),0)))))</f>
        <v>0</v>
      </c>
      <c r="AP48" s="27" t="n">
        <f aca="false">IF(COUNT('Feijão 2ª safra'!$E46:$Z46)=0,0,MAX(0,IF((AP$6-$E$3)&lt;1,0,IFERROR(LOOKUP(2,1/('Feijão 2ª safra'!$E46:INDEX('Feijão 2ª safra'!$E46:$Z46,MIN(AP$6-$E$3,22))&lt;&gt;""),'Feijão 2ª safra'!$E46:INDEX('Feijão 2ª safra'!$E46:$Z46,MIN(AP$6-$E$3,22))),0))-IF($G$2,0,IF((AP$6-$G$3)&lt;1,0,IFERROR(LOOKUP(2,1/('Feijão 2ª safra'!$E46:INDEX('Feijão 2ª safra'!$E46:$Z46,MIN(AP$6-$G$3,22))&lt;&gt;""),'Feijão 2ª safra'!$E46:INDEX('Feijão 2ª safra'!$E46:$Z46,MIN(AP$6-$G$3,22))),0)))))</f>
        <v>0</v>
      </c>
      <c r="AQ48" s="27" t="n">
        <f aca="false">IF(COUNT('Feijão 2ª safra'!$E46:$Z46)=0,0,MAX(0,IF((AQ$6-$E$3)&lt;1,0,IFERROR(LOOKUP(2,1/('Feijão 2ª safra'!$E46:INDEX('Feijão 2ª safra'!$E46:$Z46,MIN(AQ$6-$E$3,22))&lt;&gt;""),'Feijão 2ª safra'!$E46:INDEX('Feijão 2ª safra'!$E46:$Z46,MIN(AQ$6-$E$3,22))),0))-IF($G$2,0,IF((AQ$6-$G$3)&lt;1,0,IFERROR(LOOKUP(2,1/('Feijão 2ª safra'!$E46:INDEX('Feijão 2ª safra'!$E46:$Z46,MIN(AQ$6-$G$3,22))&lt;&gt;""),'Feijão 2ª safra'!$E46:INDEX('Feijão 2ª safra'!$E46:$Z46,MIN(AQ$6-$G$3,22))),0)))))</f>
        <v>0</v>
      </c>
      <c r="AR48" s="27" t="n">
        <f aca="false">IF(COUNT('Feijão 2ª safra'!$E46:$Z46)=0,0,MAX(0,IF((AR$6-$E$3)&lt;1,0,IFERROR(LOOKUP(2,1/('Feijão 2ª safra'!$E46:INDEX('Feijão 2ª safra'!$E46:$Z46,MIN(AR$6-$E$3,22))&lt;&gt;""),'Feijão 2ª safra'!$E46:INDEX('Feijão 2ª safra'!$E46:$Z46,MIN(AR$6-$E$3,22))),0))-IF($G$2,0,IF((AR$6-$G$3)&lt;1,0,IFERROR(LOOKUP(2,1/('Feijão 2ª safra'!$E46:INDEX('Feijão 2ª safra'!$E46:$Z46,MIN(AR$6-$G$3,22))&lt;&gt;""),'Feijão 2ª safra'!$E46:INDEX('Feijão 2ª safra'!$E46:$Z46,MIN(AR$6-$G$3,22))),0)))))</f>
        <v>0</v>
      </c>
      <c r="AS48" s="27" t="n">
        <f aca="false">IF(COUNT('Feijão 2ª safra'!$E46:$Z46)=0,0,MAX(0,IF((AS$6-$E$3)&lt;1,0,IFERROR(LOOKUP(2,1/('Feijão 2ª safra'!$E46:INDEX('Feijão 2ª safra'!$E46:$Z46,MIN(AS$6-$E$3,22))&lt;&gt;""),'Feijão 2ª safra'!$E46:INDEX('Feijão 2ª safra'!$E46:$Z46,MIN(AS$6-$E$3,22))),0))-IF($G$2,0,IF((AS$6-$G$3)&lt;1,0,IFERROR(LOOKUP(2,1/('Feijão 2ª safra'!$E46:INDEX('Feijão 2ª safra'!$E46:$Z46,MIN(AS$6-$G$3,22))&lt;&gt;""),'Feijão 2ª safra'!$E46:INDEX('Feijão 2ª safra'!$E46:$Z46,MIN(AS$6-$G$3,22))),0)))))</f>
        <v>0</v>
      </c>
      <c r="AT48" s="27" t="n">
        <f aca="false">IF(COUNT('Feijão 2ª safra'!$E46:$Z46)=0,0,MAX(0,IF((AT$6-$E$3)&lt;1,0,IFERROR(LOOKUP(2,1/('Feijão 2ª safra'!$E46:INDEX('Feijão 2ª safra'!$E46:$Z46,MIN(AT$6-$E$3,22))&lt;&gt;""),'Feijão 2ª safra'!$E46:INDEX('Feijão 2ª safra'!$E46:$Z46,MIN(AT$6-$E$3,22))),0))-IF($G$2,0,IF((AT$6-$G$3)&lt;1,0,IFERROR(LOOKUP(2,1/('Feijão 2ª safra'!$E46:INDEX('Feijão 2ª safra'!$E46:$Z46,MIN(AT$6-$G$3,22))&lt;&gt;""),'Feijão 2ª safra'!$E46:INDEX('Feijão 2ª safra'!$E46:$Z46,MIN(AT$6-$G$3,22))),0)))))</f>
        <v>0</v>
      </c>
      <c r="AU48" s="27" t="n">
        <f aca="false">IF(COUNT('Feijão 2ª safra'!$E46:$Z46)=0,0,MAX(0,IF((AU$6-$E$3)&lt;1,0,IFERROR(LOOKUP(2,1/('Feijão 2ª safra'!$E46:INDEX('Feijão 2ª safra'!$E46:$Z46,MIN(AU$6-$E$3,22))&lt;&gt;""),'Feijão 2ª safra'!$E46:INDEX('Feijão 2ª safra'!$E46:$Z46,MIN(AU$6-$E$3,22))),0))-IF($G$2,0,IF((AU$6-$G$3)&lt;1,0,IFERROR(LOOKUP(2,1/('Feijão 2ª safra'!$E46:INDEX('Feijão 2ª safra'!$E46:$Z46,MIN(AU$6-$G$3,22))&lt;&gt;""),'Feijão 2ª safra'!$E46:INDEX('Feijão 2ª safra'!$E46:$Z46,MIN(AU$6-$G$3,22))),0)))))</f>
        <v>0</v>
      </c>
      <c r="AV48" s="27" t="n">
        <f aca="false">IF(COUNT('Feijão 2ª safra'!$E46:$Z46)=0,0,MAX(0,IF((AV$6-$E$3)&lt;1,0,IFERROR(LOOKUP(2,1/('Feijão 2ª safra'!$E46:INDEX('Feijão 2ª safra'!$E46:$Z46,MIN(AV$6-$E$3,22))&lt;&gt;""),'Feijão 2ª safra'!$E46:INDEX('Feijão 2ª safra'!$E46:$Z46,MIN(AV$6-$E$3,22))),0))-IF($G$2,0,IF((AV$6-$G$3)&lt;1,0,IFERROR(LOOKUP(2,1/('Feijão 2ª safra'!$E46:INDEX('Feijão 2ª safra'!$E46:$Z46,MIN(AV$6-$G$3,22))&lt;&gt;""),'Feijão 2ª safra'!$E46:INDEX('Feijão 2ª safra'!$E46:$Z46,MIN(AV$6-$G$3,22))),0)))))</f>
        <v>0</v>
      </c>
      <c r="AW48" s="27" t="n">
        <f aca="false">IF(COUNT('Feijão 2ª safra'!$E46:$Z46)=0,0,MAX(0,IF((AW$6-$E$3)&lt;1,0,IFERROR(LOOKUP(2,1/('Feijão 2ª safra'!$E46:INDEX('Feijão 2ª safra'!$E46:$Z46,MIN(AW$6-$E$3,22))&lt;&gt;""),'Feijão 2ª safra'!$E46:INDEX('Feijão 2ª safra'!$E46:$Z46,MIN(AW$6-$E$3,22))),0))-IF($G$2,0,IF((AW$6-$G$3)&lt;1,0,IFERROR(LOOKUP(2,1/('Feijão 2ª safra'!$E46:INDEX('Feijão 2ª safra'!$E46:$Z46,MIN(AW$6-$G$3,22))&lt;&gt;""),'Feijão 2ª safra'!$E46:INDEX('Feijão 2ª safra'!$E46:$Z46,MIN(AW$6-$G$3,22))),0)))))</f>
        <v>0</v>
      </c>
      <c r="AX48" s="27" t="n">
        <f aca="false">IF(COUNT('Feijão 2ª safra'!$E46:$Z46)=0,0,MAX(0,IF((AX$6-$E$3)&lt;1,0,IFERROR(LOOKUP(2,1/('Feijão 2ª safra'!$E46:INDEX('Feijão 2ª safra'!$E46:$Z46,MIN(AX$6-$E$3,22))&lt;&gt;""),'Feijão 2ª safra'!$E46:INDEX('Feijão 2ª safra'!$E46:$Z46,MIN(AX$6-$E$3,22))),0))-IF($G$2,0,IF((AX$6-$G$3)&lt;1,0,IFERROR(LOOKUP(2,1/('Feijão 2ª safra'!$E46:INDEX('Feijão 2ª safra'!$E46:$Z46,MIN(AX$6-$G$3,22))&lt;&gt;""),'Feijão 2ª safra'!$E46:INDEX('Feijão 2ª safra'!$E46:$Z46,MIN(AX$6-$G$3,22))),0)))))</f>
        <v>0</v>
      </c>
      <c r="AY48" s="27" t="n">
        <f aca="false">IF(COUNT('Feijão 2ª safra'!$E46:$Z46)=0,0,MAX(0,IF((AY$6-$E$3)&lt;1,0,IFERROR(LOOKUP(2,1/('Feijão 2ª safra'!$E46:INDEX('Feijão 2ª safra'!$E46:$Z46,MIN(AY$6-$E$3,22))&lt;&gt;""),'Feijão 2ª safra'!$E46:INDEX('Feijão 2ª safra'!$E46:$Z46,MIN(AY$6-$E$3,22))),0))-IF($G$2,0,IF((AY$6-$G$3)&lt;1,0,IFERROR(LOOKUP(2,1/('Feijão 2ª safra'!$E46:INDEX('Feijão 2ª safra'!$E46:$Z46,MIN(AY$6-$G$3,22))&lt;&gt;""),'Feijão 2ª safra'!$E46:INDEX('Feijão 2ª safra'!$E46:$Z46,MIN(AY$6-$G$3,22))),0)))))</f>
        <v>0</v>
      </c>
      <c r="AZ48" s="27" t="n">
        <f aca="false">IF(COUNT('Feijão 2ª safra'!$E46:$Z46)=0,0,MAX(0,IF((AZ$6-$E$3)&lt;1,0,IFERROR(LOOKUP(2,1/('Feijão 2ª safra'!$E46:INDEX('Feijão 2ª safra'!$E46:$Z46,MIN(AZ$6-$E$3,22))&lt;&gt;""),'Feijão 2ª safra'!$E46:INDEX('Feijão 2ª safra'!$E46:$Z46,MIN(AZ$6-$E$3,22))),0))-IF($G$2,0,IF((AZ$6-$G$3)&lt;1,0,IFERROR(LOOKUP(2,1/('Feijão 2ª safra'!$E46:INDEX('Feijão 2ª safra'!$E46:$Z46,MIN(AZ$6-$G$3,22))&lt;&gt;""),'Feijão 2ª safra'!$E46:INDEX('Feijão 2ª safra'!$E46:$Z46,MIN(AZ$6-$G$3,22))),0)))))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IF(COUNT('Feijão 2ª safra'!$E47:$Z47)&gt;0,N('Feijão 2ª safra'!$D47),0)</f>
        <v>0</v>
      </c>
      <c r="E49" s="27" t="n">
        <f aca="false">IF(COUNT('Feijão 2ª safra'!$E47:$Z47)=0,0,MAX(0,IF((E$6-$E$3)&lt;1,0,IFERROR(LOOKUP(2,1/('Feijão 2ª safra'!$E47:INDEX('Feijão 2ª safra'!$E47:$Z47,MIN(E$6-$E$3,22))&lt;&gt;""),'Feijão 2ª safra'!$E47:INDEX('Feijão 2ª safra'!$E47:$Z47,MIN(E$6-$E$3,22))),0))-IF($G$2,0,IF((E$6-$G$3)&lt;1,0,IFERROR(LOOKUP(2,1/('Feijão 2ª safra'!$E47:INDEX('Feijão 2ª safra'!$E47:$Z47,MIN(E$6-$G$3,22))&lt;&gt;""),'Feijão 2ª safra'!$E47:INDEX('Feijão 2ª safra'!$E47:$Z47,MIN(E$6-$G$3,22))),0)))))</f>
        <v>0</v>
      </c>
      <c r="F49" s="27" t="n">
        <f aca="false">IF(COUNT('Feijão 2ª safra'!$E47:$Z47)=0,0,MAX(0,IF((F$6-$E$3)&lt;1,0,IFERROR(LOOKUP(2,1/('Feijão 2ª safra'!$E47:INDEX('Feijão 2ª safra'!$E47:$Z47,MIN(F$6-$E$3,22))&lt;&gt;""),'Feijão 2ª safra'!$E47:INDEX('Feijão 2ª safra'!$E47:$Z47,MIN(F$6-$E$3,22))),0))-IF($G$2,0,IF((F$6-$G$3)&lt;1,0,IFERROR(LOOKUP(2,1/('Feijão 2ª safra'!$E47:INDEX('Feijão 2ª safra'!$E47:$Z47,MIN(F$6-$G$3,22))&lt;&gt;""),'Feijão 2ª safra'!$E47:INDEX('Feijão 2ª safra'!$E47:$Z47,MIN(F$6-$G$3,22))),0)))))</f>
        <v>0</v>
      </c>
      <c r="G49" s="27" t="n">
        <f aca="false">IF(COUNT('Feijão 2ª safra'!$E47:$Z47)=0,0,MAX(0,IF((G$6-$E$3)&lt;1,0,IFERROR(LOOKUP(2,1/('Feijão 2ª safra'!$E47:INDEX('Feijão 2ª safra'!$E47:$Z47,MIN(G$6-$E$3,22))&lt;&gt;""),'Feijão 2ª safra'!$E47:INDEX('Feijão 2ª safra'!$E47:$Z47,MIN(G$6-$E$3,22))),0))-IF($G$2,0,IF((G$6-$G$3)&lt;1,0,IFERROR(LOOKUP(2,1/('Feijão 2ª safra'!$E47:INDEX('Feijão 2ª safra'!$E47:$Z47,MIN(G$6-$G$3,22))&lt;&gt;""),'Feijão 2ª safra'!$E47:INDEX('Feijão 2ª safra'!$E47:$Z47,MIN(G$6-$G$3,22))),0)))))</f>
        <v>0</v>
      </c>
      <c r="H49" s="27" t="n">
        <f aca="false">IF(COUNT('Feijão 2ª safra'!$E47:$Z47)=0,0,MAX(0,IF((H$6-$E$3)&lt;1,0,IFERROR(LOOKUP(2,1/('Feijão 2ª safra'!$E47:INDEX('Feijão 2ª safra'!$E47:$Z47,MIN(H$6-$E$3,22))&lt;&gt;""),'Feijão 2ª safra'!$E47:INDEX('Feijão 2ª safra'!$E47:$Z47,MIN(H$6-$E$3,22))),0))-IF($G$2,0,IF((H$6-$G$3)&lt;1,0,IFERROR(LOOKUP(2,1/('Feijão 2ª safra'!$E47:INDEX('Feijão 2ª safra'!$E47:$Z47,MIN(H$6-$G$3,22))&lt;&gt;""),'Feijão 2ª safra'!$E47:INDEX('Feijão 2ª safra'!$E47:$Z47,MIN(H$6-$G$3,22))),0)))))</f>
        <v>0</v>
      </c>
      <c r="I49" s="27" t="n">
        <f aca="false">IF(COUNT('Feijão 2ª safra'!$E47:$Z47)=0,0,MAX(0,IF((I$6-$E$3)&lt;1,0,IFERROR(LOOKUP(2,1/('Feijão 2ª safra'!$E47:INDEX('Feijão 2ª safra'!$E47:$Z47,MIN(I$6-$E$3,22))&lt;&gt;""),'Feijão 2ª safra'!$E47:INDEX('Feijão 2ª safra'!$E47:$Z47,MIN(I$6-$E$3,22))),0))-IF($G$2,0,IF((I$6-$G$3)&lt;1,0,IFERROR(LOOKUP(2,1/('Feijão 2ª safra'!$E47:INDEX('Feijão 2ª safra'!$E47:$Z47,MIN(I$6-$G$3,22))&lt;&gt;""),'Feijão 2ª safra'!$E47:INDEX('Feijão 2ª safra'!$E47:$Z47,MIN(I$6-$G$3,22))),0)))))</f>
        <v>0</v>
      </c>
      <c r="J49" s="27" t="n">
        <f aca="false">IF(COUNT('Feijão 2ª safra'!$E47:$Z47)=0,0,MAX(0,IF((J$6-$E$3)&lt;1,0,IFERROR(LOOKUP(2,1/('Feijão 2ª safra'!$E47:INDEX('Feijão 2ª safra'!$E47:$Z47,MIN(J$6-$E$3,22))&lt;&gt;""),'Feijão 2ª safra'!$E47:INDEX('Feijão 2ª safra'!$E47:$Z47,MIN(J$6-$E$3,22))),0))-IF($G$2,0,IF((J$6-$G$3)&lt;1,0,IFERROR(LOOKUP(2,1/('Feijão 2ª safra'!$E47:INDEX('Feijão 2ª safra'!$E47:$Z47,MIN(J$6-$G$3,22))&lt;&gt;""),'Feijão 2ª safra'!$E47:INDEX('Feijão 2ª safra'!$E47:$Z47,MIN(J$6-$G$3,22))),0)))))</f>
        <v>0</v>
      </c>
      <c r="K49" s="27" t="n">
        <f aca="false">IF(COUNT('Feijão 2ª safra'!$E47:$Z47)=0,0,MAX(0,IF((K$6-$E$3)&lt;1,0,IFERROR(LOOKUP(2,1/('Feijão 2ª safra'!$E47:INDEX('Feijão 2ª safra'!$E47:$Z47,MIN(K$6-$E$3,22))&lt;&gt;""),'Feijão 2ª safra'!$E47:INDEX('Feijão 2ª safra'!$E47:$Z47,MIN(K$6-$E$3,22))),0))-IF($G$2,0,IF((K$6-$G$3)&lt;1,0,IFERROR(LOOKUP(2,1/('Feijão 2ª safra'!$E47:INDEX('Feijão 2ª safra'!$E47:$Z47,MIN(K$6-$G$3,22))&lt;&gt;""),'Feijão 2ª safra'!$E47:INDEX('Feijão 2ª safra'!$E47:$Z47,MIN(K$6-$G$3,22))),0)))))</f>
        <v>0</v>
      </c>
      <c r="L49" s="27" t="n">
        <f aca="false">IF(COUNT('Feijão 2ª safra'!$E47:$Z47)=0,0,MAX(0,IF((L$6-$E$3)&lt;1,0,IFERROR(LOOKUP(2,1/('Feijão 2ª safra'!$E47:INDEX('Feijão 2ª safra'!$E47:$Z47,MIN(L$6-$E$3,22))&lt;&gt;""),'Feijão 2ª safra'!$E47:INDEX('Feijão 2ª safra'!$E47:$Z47,MIN(L$6-$E$3,22))),0))-IF($G$2,0,IF((L$6-$G$3)&lt;1,0,IFERROR(LOOKUP(2,1/('Feijão 2ª safra'!$E47:INDEX('Feijão 2ª safra'!$E47:$Z47,MIN(L$6-$G$3,22))&lt;&gt;""),'Feijão 2ª safra'!$E47:INDEX('Feijão 2ª safra'!$E47:$Z47,MIN(L$6-$G$3,22))),0)))))</f>
        <v>0</v>
      </c>
      <c r="M49" s="27" t="n">
        <f aca="false">IF(COUNT('Feijão 2ª safra'!$E47:$Z47)=0,0,MAX(0,IF((M$6-$E$3)&lt;1,0,IFERROR(LOOKUP(2,1/('Feijão 2ª safra'!$E47:INDEX('Feijão 2ª safra'!$E47:$Z47,MIN(M$6-$E$3,22))&lt;&gt;""),'Feijão 2ª safra'!$E47:INDEX('Feijão 2ª safra'!$E47:$Z47,MIN(M$6-$E$3,22))),0))-IF($G$2,0,IF((M$6-$G$3)&lt;1,0,IFERROR(LOOKUP(2,1/('Feijão 2ª safra'!$E47:INDEX('Feijão 2ª safra'!$E47:$Z47,MIN(M$6-$G$3,22))&lt;&gt;""),'Feijão 2ª safra'!$E47:INDEX('Feijão 2ª safra'!$E47:$Z47,MIN(M$6-$G$3,22))),0)))))</f>
        <v>0</v>
      </c>
      <c r="N49" s="27" t="n">
        <f aca="false">IF(COUNT('Feijão 2ª safra'!$E47:$Z47)=0,0,MAX(0,IF((N$6-$E$3)&lt;1,0,IFERROR(LOOKUP(2,1/('Feijão 2ª safra'!$E47:INDEX('Feijão 2ª safra'!$E47:$Z47,MIN(N$6-$E$3,22))&lt;&gt;""),'Feijão 2ª safra'!$E47:INDEX('Feijão 2ª safra'!$E47:$Z47,MIN(N$6-$E$3,22))),0))-IF($G$2,0,IF((N$6-$G$3)&lt;1,0,IFERROR(LOOKUP(2,1/('Feijão 2ª safra'!$E47:INDEX('Feijão 2ª safra'!$E47:$Z47,MIN(N$6-$G$3,22))&lt;&gt;""),'Feijão 2ª safra'!$E47:INDEX('Feijão 2ª safra'!$E47:$Z47,MIN(N$6-$G$3,22))),0)))))</f>
        <v>0</v>
      </c>
      <c r="O49" s="27" t="n">
        <f aca="false">IF(COUNT('Feijão 2ª safra'!$E47:$Z47)=0,0,MAX(0,IF((O$6-$E$3)&lt;1,0,IFERROR(LOOKUP(2,1/('Feijão 2ª safra'!$E47:INDEX('Feijão 2ª safra'!$E47:$Z47,MIN(O$6-$E$3,22))&lt;&gt;""),'Feijão 2ª safra'!$E47:INDEX('Feijão 2ª safra'!$E47:$Z47,MIN(O$6-$E$3,22))),0))-IF($G$2,0,IF((O$6-$G$3)&lt;1,0,IFERROR(LOOKUP(2,1/('Feijão 2ª safra'!$E47:INDEX('Feijão 2ª safra'!$E47:$Z47,MIN(O$6-$G$3,22))&lt;&gt;""),'Feijão 2ª safra'!$E47:INDEX('Feijão 2ª safra'!$E47:$Z47,MIN(O$6-$G$3,22))),0)))))</f>
        <v>0</v>
      </c>
      <c r="P49" s="27" t="n">
        <f aca="false">IF(COUNT('Feijão 2ª safra'!$E47:$Z47)=0,0,MAX(0,IF((P$6-$E$3)&lt;1,0,IFERROR(LOOKUP(2,1/('Feijão 2ª safra'!$E47:INDEX('Feijão 2ª safra'!$E47:$Z47,MIN(P$6-$E$3,22))&lt;&gt;""),'Feijão 2ª safra'!$E47:INDEX('Feijão 2ª safra'!$E47:$Z47,MIN(P$6-$E$3,22))),0))-IF($G$2,0,IF((P$6-$G$3)&lt;1,0,IFERROR(LOOKUP(2,1/('Feijão 2ª safra'!$E47:INDEX('Feijão 2ª safra'!$E47:$Z47,MIN(P$6-$G$3,22))&lt;&gt;""),'Feijão 2ª safra'!$E47:INDEX('Feijão 2ª safra'!$E47:$Z47,MIN(P$6-$G$3,22))),0)))))</f>
        <v>0</v>
      </c>
      <c r="Q49" s="27" t="n">
        <f aca="false">IF(COUNT('Feijão 2ª safra'!$E47:$Z47)=0,0,MAX(0,IF((Q$6-$E$3)&lt;1,0,IFERROR(LOOKUP(2,1/('Feijão 2ª safra'!$E47:INDEX('Feijão 2ª safra'!$E47:$Z47,MIN(Q$6-$E$3,22))&lt;&gt;""),'Feijão 2ª safra'!$E47:INDEX('Feijão 2ª safra'!$E47:$Z47,MIN(Q$6-$E$3,22))),0))-IF($G$2,0,IF((Q$6-$G$3)&lt;1,0,IFERROR(LOOKUP(2,1/('Feijão 2ª safra'!$E47:INDEX('Feijão 2ª safra'!$E47:$Z47,MIN(Q$6-$G$3,22))&lt;&gt;""),'Feijão 2ª safra'!$E47:INDEX('Feijão 2ª safra'!$E47:$Z47,MIN(Q$6-$G$3,22))),0)))))</f>
        <v>0</v>
      </c>
      <c r="R49" s="27" t="n">
        <f aca="false">IF(COUNT('Feijão 2ª safra'!$E47:$Z47)=0,0,MAX(0,IF((R$6-$E$3)&lt;1,0,IFERROR(LOOKUP(2,1/('Feijão 2ª safra'!$E47:INDEX('Feijão 2ª safra'!$E47:$Z47,MIN(R$6-$E$3,22))&lt;&gt;""),'Feijão 2ª safra'!$E47:INDEX('Feijão 2ª safra'!$E47:$Z47,MIN(R$6-$E$3,22))),0))-IF($G$2,0,IF((R$6-$G$3)&lt;1,0,IFERROR(LOOKUP(2,1/('Feijão 2ª safra'!$E47:INDEX('Feijão 2ª safra'!$E47:$Z47,MIN(R$6-$G$3,22))&lt;&gt;""),'Feijão 2ª safra'!$E47:INDEX('Feijão 2ª safra'!$E47:$Z47,MIN(R$6-$G$3,22))),0)))))</f>
        <v>0</v>
      </c>
      <c r="S49" s="27" t="n">
        <f aca="false">IF(COUNT('Feijão 2ª safra'!$E47:$Z47)=0,0,MAX(0,IF((S$6-$E$3)&lt;1,0,IFERROR(LOOKUP(2,1/('Feijão 2ª safra'!$E47:INDEX('Feijão 2ª safra'!$E47:$Z47,MIN(S$6-$E$3,22))&lt;&gt;""),'Feijão 2ª safra'!$E47:INDEX('Feijão 2ª safra'!$E47:$Z47,MIN(S$6-$E$3,22))),0))-IF($G$2,0,IF((S$6-$G$3)&lt;1,0,IFERROR(LOOKUP(2,1/('Feijão 2ª safra'!$E47:INDEX('Feijão 2ª safra'!$E47:$Z47,MIN(S$6-$G$3,22))&lt;&gt;""),'Feijão 2ª safra'!$E47:INDEX('Feijão 2ª safra'!$E47:$Z47,MIN(S$6-$G$3,22))),0)))))</f>
        <v>0</v>
      </c>
      <c r="T49" s="27" t="n">
        <f aca="false">IF(COUNT('Feijão 2ª safra'!$E47:$Z47)=0,0,MAX(0,IF((T$6-$E$3)&lt;1,0,IFERROR(LOOKUP(2,1/('Feijão 2ª safra'!$E47:INDEX('Feijão 2ª safra'!$E47:$Z47,MIN(T$6-$E$3,22))&lt;&gt;""),'Feijão 2ª safra'!$E47:INDEX('Feijão 2ª safra'!$E47:$Z47,MIN(T$6-$E$3,22))),0))-IF($G$2,0,IF((T$6-$G$3)&lt;1,0,IFERROR(LOOKUP(2,1/('Feijão 2ª safra'!$E47:INDEX('Feijão 2ª safra'!$E47:$Z47,MIN(T$6-$G$3,22))&lt;&gt;""),'Feijão 2ª safra'!$E47:INDEX('Feijão 2ª safra'!$E47:$Z47,MIN(T$6-$G$3,22))),0)))))</f>
        <v>0</v>
      </c>
      <c r="U49" s="27" t="n">
        <f aca="false">IF(COUNT('Feijão 2ª safra'!$E47:$Z47)=0,0,MAX(0,IF((U$6-$E$3)&lt;1,0,IFERROR(LOOKUP(2,1/('Feijão 2ª safra'!$E47:INDEX('Feijão 2ª safra'!$E47:$Z47,MIN(U$6-$E$3,22))&lt;&gt;""),'Feijão 2ª safra'!$E47:INDEX('Feijão 2ª safra'!$E47:$Z47,MIN(U$6-$E$3,22))),0))-IF($G$2,0,IF((U$6-$G$3)&lt;1,0,IFERROR(LOOKUP(2,1/('Feijão 2ª safra'!$E47:INDEX('Feijão 2ª safra'!$E47:$Z47,MIN(U$6-$G$3,22))&lt;&gt;""),'Feijão 2ª safra'!$E47:INDEX('Feijão 2ª safra'!$E47:$Z47,MIN(U$6-$G$3,22))),0)))))</f>
        <v>0</v>
      </c>
      <c r="V49" s="27" t="n">
        <f aca="false">IF(COUNT('Feijão 2ª safra'!$E47:$Z47)=0,0,MAX(0,IF((V$6-$E$3)&lt;1,0,IFERROR(LOOKUP(2,1/('Feijão 2ª safra'!$E47:INDEX('Feijão 2ª safra'!$E47:$Z47,MIN(V$6-$E$3,22))&lt;&gt;""),'Feijão 2ª safra'!$E47:INDEX('Feijão 2ª safra'!$E47:$Z47,MIN(V$6-$E$3,22))),0))-IF($G$2,0,IF((V$6-$G$3)&lt;1,0,IFERROR(LOOKUP(2,1/('Feijão 2ª safra'!$E47:INDEX('Feijão 2ª safra'!$E47:$Z47,MIN(V$6-$G$3,22))&lt;&gt;""),'Feijão 2ª safra'!$E47:INDEX('Feijão 2ª safra'!$E47:$Z47,MIN(V$6-$G$3,22))),0)))))</f>
        <v>0</v>
      </c>
      <c r="W49" s="27" t="n">
        <f aca="false">IF(COUNT('Feijão 2ª safra'!$E47:$Z47)=0,0,MAX(0,IF((W$6-$E$3)&lt;1,0,IFERROR(LOOKUP(2,1/('Feijão 2ª safra'!$E47:INDEX('Feijão 2ª safra'!$E47:$Z47,MIN(W$6-$E$3,22))&lt;&gt;""),'Feijão 2ª safra'!$E47:INDEX('Feijão 2ª safra'!$E47:$Z47,MIN(W$6-$E$3,22))),0))-IF($G$2,0,IF((W$6-$G$3)&lt;1,0,IFERROR(LOOKUP(2,1/('Feijão 2ª safra'!$E47:INDEX('Feijão 2ª safra'!$E47:$Z47,MIN(W$6-$G$3,22))&lt;&gt;""),'Feijão 2ª safra'!$E47:INDEX('Feijão 2ª safra'!$E47:$Z47,MIN(W$6-$G$3,22))),0)))))</f>
        <v>0</v>
      </c>
      <c r="X49" s="27" t="n">
        <f aca="false">IF(COUNT('Feijão 2ª safra'!$E47:$Z47)=0,0,MAX(0,IF((X$6-$E$3)&lt;1,0,IFERROR(LOOKUP(2,1/('Feijão 2ª safra'!$E47:INDEX('Feijão 2ª safra'!$E47:$Z47,MIN(X$6-$E$3,22))&lt;&gt;""),'Feijão 2ª safra'!$E47:INDEX('Feijão 2ª safra'!$E47:$Z47,MIN(X$6-$E$3,22))),0))-IF($G$2,0,IF((X$6-$G$3)&lt;1,0,IFERROR(LOOKUP(2,1/('Feijão 2ª safra'!$E47:INDEX('Feijão 2ª safra'!$E47:$Z47,MIN(X$6-$G$3,22))&lt;&gt;""),'Feijão 2ª safra'!$E47:INDEX('Feijão 2ª safra'!$E47:$Z47,MIN(X$6-$G$3,22))),0)))))</f>
        <v>0</v>
      </c>
      <c r="Y49" s="27" t="n">
        <f aca="false">IF(COUNT('Feijão 2ª safra'!$E47:$Z47)=0,0,MAX(0,IF((Y$6-$E$3)&lt;1,0,IFERROR(LOOKUP(2,1/('Feijão 2ª safra'!$E47:INDEX('Feijão 2ª safra'!$E47:$Z47,MIN(Y$6-$E$3,22))&lt;&gt;""),'Feijão 2ª safra'!$E47:INDEX('Feijão 2ª safra'!$E47:$Z47,MIN(Y$6-$E$3,22))),0))-IF($G$2,0,IF((Y$6-$G$3)&lt;1,0,IFERROR(LOOKUP(2,1/('Feijão 2ª safra'!$E47:INDEX('Feijão 2ª safra'!$E47:$Z47,MIN(Y$6-$G$3,22))&lt;&gt;""),'Feijão 2ª safra'!$E47:INDEX('Feijão 2ª safra'!$E47:$Z47,MIN(Y$6-$G$3,22))),0)))))</f>
        <v>0</v>
      </c>
      <c r="Z49" s="27" t="n">
        <f aca="false">IF(COUNT('Feijão 2ª safra'!$E47:$Z47)=0,0,MAX(0,IF((Z$6-$E$3)&lt;1,0,IFERROR(LOOKUP(2,1/('Feijão 2ª safra'!$E47:INDEX('Feijão 2ª safra'!$E47:$Z47,MIN(Z$6-$E$3,22))&lt;&gt;""),'Feijão 2ª safra'!$E47:INDEX('Feijão 2ª safra'!$E47:$Z47,MIN(Z$6-$E$3,22))),0))-IF($G$2,0,IF((Z$6-$G$3)&lt;1,0,IFERROR(LOOKUP(2,1/('Feijão 2ª safra'!$E47:INDEX('Feijão 2ª safra'!$E47:$Z47,MIN(Z$6-$G$3,22))&lt;&gt;""),'Feijão 2ª safra'!$E47:INDEX('Feijão 2ª safra'!$E47:$Z47,MIN(Z$6-$G$3,22))),0)))))</f>
        <v>0</v>
      </c>
      <c r="AA49" s="27" t="n">
        <f aca="false">IF(COUNT('Feijão 2ª safra'!$E47:$Z47)=0,0,MAX(0,IF((AA$6-$E$3)&lt;1,0,IFERROR(LOOKUP(2,1/('Feijão 2ª safra'!$E47:INDEX('Feijão 2ª safra'!$E47:$Z47,MIN(AA$6-$E$3,22))&lt;&gt;""),'Feijão 2ª safra'!$E47:INDEX('Feijão 2ª safra'!$E47:$Z47,MIN(AA$6-$E$3,22))),0))-IF($G$2,0,IF((AA$6-$G$3)&lt;1,0,IFERROR(LOOKUP(2,1/('Feijão 2ª safra'!$E47:INDEX('Feijão 2ª safra'!$E47:$Z47,MIN(AA$6-$G$3,22))&lt;&gt;""),'Feijão 2ª safra'!$E47:INDEX('Feijão 2ª safra'!$E47:$Z47,MIN(AA$6-$G$3,22))),0)))))</f>
        <v>0</v>
      </c>
      <c r="AB49" s="27" t="n">
        <f aca="false">IF(COUNT('Feijão 2ª safra'!$E47:$Z47)=0,0,MAX(0,IF((AB$6-$E$3)&lt;1,0,IFERROR(LOOKUP(2,1/('Feijão 2ª safra'!$E47:INDEX('Feijão 2ª safra'!$E47:$Z47,MIN(AB$6-$E$3,22))&lt;&gt;""),'Feijão 2ª safra'!$E47:INDEX('Feijão 2ª safra'!$E47:$Z47,MIN(AB$6-$E$3,22))),0))-IF($G$2,0,IF((AB$6-$G$3)&lt;1,0,IFERROR(LOOKUP(2,1/('Feijão 2ª safra'!$E47:INDEX('Feijão 2ª safra'!$E47:$Z47,MIN(AB$6-$G$3,22))&lt;&gt;""),'Feijão 2ª safra'!$E47:INDEX('Feijão 2ª safra'!$E47:$Z47,MIN(AB$6-$G$3,22))),0)))))</f>
        <v>0</v>
      </c>
      <c r="AC49" s="27" t="n">
        <f aca="false">IF(COUNT('Feijão 2ª safra'!$E47:$Z47)=0,0,MAX(0,IF((AC$6-$E$3)&lt;1,0,IFERROR(LOOKUP(2,1/('Feijão 2ª safra'!$E47:INDEX('Feijão 2ª safra'!$E47:$Z47,MIN(AC$6-$E$3,22))&lt;&gt;""),'Feijão 2ª safra'!$E47:INDEX('Feijão 2ª safra'!$E47:$Z47,MIN(AC$6-$E$3,22))),0))-IF($G$2,0,IF((AC$6-$G$3)&lt;1,0,IFERROR(LOOKUP(2,1/('Feijão 2ª safra'!$E47:INDEX('Feijão 2ª safra'!$E47:$Z47,MIN(AC$6-$G$3,22))&lt;&gt;""),'Feijão 2ª safra'!$E47:INDEX('Feijão 2ª safra'!$E47:$Z47,MIN(AC$6-$G$3,22))),0)))))</f>
        <v>0</v>
      </c>
      <c r="AD49" s="27" t="n">
        <f aca="false">IF(COUNT('Feijão 2ª safra'!$E47:$Z47)=0,0,MAX(0,IF((AD$6-$E$3)&lt;1,0,IFERROR(LOOKUP(2,1/('Feijão 2ª safra'!$E47:INDEX('Feijão 2ª safra'!$E47:$Z47,MIN(AD$6-$E$3,22))&lt;&gt;""),'Feijão 2ª safra'!$E47:INDEX('Feijão 2ª safra'!$E47:$Z47,MIN(AD$6-$E$3,22))),0))-IF($G$2,0,IF((AD$6-$G$3)&lt;1,0,IFERROR(LOOKUP(2,1/('Feijão 2ª safra'!$E47:INDEX('Feijão 2ª safra'!$E47:$Z47,MIN(AD$6-$G$3,22))&lt;&gt;""),'Feijão 2ª safra'!$E47:INDEX('Feijão 2ª safra'!$E47:$Z47,MIN(AD$6-$G$3,22))),0)))))</f>
        <v>0</v>
      </c>
      <c r="AE49" s="27" t="n">
        <f aca="false">IF(COUNT('Feijão 2ª safra'!$E47:$Z47)=0,0,MAX(0,IF((AE$6-$E$3)&lt;1,0,IFERROR(LOOKUP(2,1/('Feijão 2ª safra'!$E47:INDEX('Feijão 2ª safra'!$E47:$Z47,MIN(AE$6-$E$3,22))&lt;&gt;""),'Feijão 2ª safra'!$E47:INDEX('Feijão 2ª safra'!$E47:$Z47,MIN(AE$6-$E$3,22))),0))-IF($G$2,0,IF((AE$6-$G$3)&lt;1,0,IFERROR(LOOKUP(2,1/('Feijão 2ª safra'!$E47:INDEX('Feijão 2ª safra'!$E47:$Z47,MIN(AE$6-$G$3,22))&lt;&gt;""),'Feijão 2ª safra'!$E47:INDEX('Feijão 2ª safra'!$E47:$Z47,MIN(AE$6-$G$3,22))),0)))))</f>
        <v>0</v>
      </c>
      <c r="AF49" s="27" t="n">
        <f aca="false">IF(COUNT('Feijão 2ª safra'!$E47:$Z47)=0,0,MAX(0,IF((AF$6-$E$3)&lt;1,0,IFERROR(LOOKUP(2,1/('Feijão 2ª safra'!$E47:INDEX('Feijão 2ª safra'!$E47:$Z47,MIN(AF$6-$E$3,22))&lt;&gt;""),'Feijão 2ª safra'!$E47:INDEX('Feijão 2ª safra'!$E47:$Z47,MIN(AF$6-$E$3,22))),0))-IF($G$2,0,IF((AF$6-$G$3)&lt;1,0,IFERROR(LOOKUP(2,1/('Feijão 2ª safra'!$E47:INDEX('Feijão 2ª safra'!$E47:$Z47,MIN(AF$6-$G$3,22))&lt;&gt;""),'Feijão 2ª safra'!$E47:INDEX('Feijão 2ª safra'!$E47:$Z47,MIN(AF$6-$G$3,22))),0)))))</f>
        <v>0</v>
      </c>
      <c r="AG49" s="27" t="n">
        <f aca="false">IF(COUNT('Feijão 2ª safra'!$E47:$Z47)=0,0,MAX(0,IF((AG$6-$E$3)&lt;1,0,IFERROR(LOOKUP(2,1/('Feijão 2ª safra'!$E47:INDEX('Feijão 2ª safra'!$E47:$Z47,MIN(AG$6-$E$3,22))&lt;&gt;""),'Feijão 2ª safra'!$E47:INDEX('Feijão 2ª safra'!$E47:$Z47,MIN(AG$6-$E$3,22))),0))-IF($G$2,0,IF((AG$6-$G$3)&lt;1,0,IFERROR(LOOKUP(2,1/('Feijão 2ª safra'!$E47:INDEX('Feijão 2ª safra'!$E47:$Z47,MIN(AG$6-$G$3,22))&lt;&gt;""),'Feijão 2ª safra'!$E47:INDEX('Feijão 2ª safra'!$E47:$Z47,MIN(AG$6-$G$3,22))),0)))))</f>
        <v>0</v>
      </c>
      <c r="AH49" s="27" t="n">
        <f aca="false">IF(COUNT('Feijão 2ª safra'!$E47:$Z47)=0,0,MAX(0,IF((AH$6-$E$3)&lt;1,0,IFERROR(LOOKUP(2,1/('Feijão 2ª safra'!$E47:INDEX('Feijão 2ª safra'!$E47:$Z47,MIN(AH$6-$E$3,22))&lt;&gt;""),'Feijão 2ª safra'!$E47:INDEX('Feijão 2ª safra'!$E47:$Z47,MIN(AH$6-$E$3,22))),0))-IF($G$2,0,IF((AH$6-$G$3)&lt;1,0,IFERROR(LOOKUP(2,1/('Feijão 2ª safra'!$E47:INDEX('Feijão 2ª safra'!$E47:$Z47,MIN(AH$6-$G$3,22))&lt;&gt;""),'Feijão 2ª safra'!$E47:INDEX('Feijão 2ª safra'!$E47:$Z47,MIN(AH$6-$G$3,22))),0)))))</f>
        <v>0</v>
      </c>
      <c r="AI49" s="27" t="n">
        <f aca="false">IF(COUNT('Feijão 2ª safra'!$E47:$Z47)=0,0,MAX(0,IF((AI$6-$E$3)&lt;1,0,IFERROR(LOOKUP(2,1/('Feijão 2ª safra'!$E47:INDEX('Feijão 2ª safra'!$E47:$Z47,MIN(AI$6-$E$3,22))&lt;&gt;""),'Feijão 2ª safra'!$E47:INDEX('Feijão 2ª safra'!$E47:$Z47,MIN(AI$6-$E$3,22))),0))-IF($G$2,0,IF((AI$6-$G$3)&lt;1,0,IFERROR(LOOKUP(2,1/('Feijão 2ª safra'!$E47:INDEX('Feijão 2ª safra'!$E47:$Z47,MIN(AI$6-$G$3,22))&lt;&gt;""),'Feijão 2ª safra'!$E47:INDEX('Feijão 2ª safra'!$E47:$Z47,MIN(AI$6-$G$3,22))),0)))))</f>
        <v>0</v>
      </c>
      <c r="AJ49" s="27" t="n">
        <f aca="false">IF(COUNT('Feijão 2ª safra'!$E47:$Z47)=0,0,MAX(0,IF((AJ$6-$E$3)&lt;1,0,IFERROR(LOOKUP(2,1/('Feijão 2ª safra'!$E47:INDEX('Feijão 2ª safra'!$E47:$Z47,MIN(AJ$6-$E$3,22))&lt;&gt;""),'Feijão 2ª safra'!$E47:INDEX('Feijão 2ª safra'!$E47:$Z47,MIN(AJ$6-$E$3,22))),0))-IF($G$2,0,IF((AJ$6-$G$3)&lt;1,0,IFERROR(LOOKUP(2,1/('Feijão 2ª safra'!$E47:INDEX('Feijão 2ª safra'!$E47:$Z47,MIN(AJ$6-$G$3,22))&lt;&gt;""),'Feijão 2ª safra'!$E47:INDEX('Feijão 2ª safra'!$E47:$Z47,MIN(AJ$6-$G$3,22))),0)))))</f>
        <v>0</v>
      </c>
      <c r="AK49" s="27" t="n">
        <f aca="false">IF(COUNT('Feijão 2ª safra'!$E47:$Z47)=0,0,MAX(0,IF((AK$6-$E$3)&lt;1,0,IFERROR(LOOKUP(2,1/('Feijão 2ª safra'!$E47:INDEX('Feijão 2ª safra'!$E47:$Z47,MIN(AK$6-$E$3,22))&lt;&gt;""),'Feijão 2ª safra'!$E47:INDEX('Feijão 2ª safra'!$E47:$Z47,MIN(AK$6-$E$3,22))),0))-IF($G$2,0,IF((AK$6-$G$3)&lt;1,0,IFERROR(LOOKUP(2,1/('Feijão 2ª safra'!$E47:INDEX('Feijão 2ª safra'!$E47:$Z47,MIN(AK$6-$G$3,22))&lt;&gt;""),'Feijão 2ª safra'!$E47:INDEX('Feijão 2ª safra'!$E47:$Z47,MIN(AK$6-$G$3,22))),0)))))</f>
        <v>0</v>
      </c>
      <c r="AL49" s="27" t="n">
        <f aca="false">IF(COUNT('Feijão 2ª safra'!$E47:$Z47)=0,0,MAX(0,IF((AL$6-$E$3)&lt;1,0,IFERROR(LOOKUP(2,1/('Feijão 2ª safra'!$E47:INDEX('Feijão 2ª safra'!$E47:$Z47,MIN(AL$6-$E$3,22))&lt;&gt;""),'Feijão 2ª safra'!$E47:INDEX('Feijão 2ª safra'!$E47:$Z47,MIN(AL$6-$E$3,22))),0))-IF($G$2,0,IF((AL$6-$G$3)&lt;1,0,IFERROR(LOOKUP(2,1/('Feijão 2ª safra'!$E47:INDEX('Feijão 2ª safra'!$E47:$Z47,MIN(AL$6-$G$3,22))&lt;&gt;""),'Feijão 2ª safra'!$E47:INDEX('Feijão 2ª safra'!$E47:$Z47,MIN(AL$6-$G$3,22))),0)))))</f>
        <v>0</v>
      </c>
      <c r="AM49" s="27" t="n">
        <f aca="false">IF(COUNT('Feijão 2ª safra'!$E47:$Z47)=0,0,MAX(0,IF((AM$6-$E$3)&lt;1,0,IFERROR(LOOKUP(2,1/('Feijão 2ª safra'!$E47:INDEX('Feijão 2ª safra'!$E47:$Z47,MIN(AM$6-$E$3,22))&lt;&gt;""),'Feijão 2ª safra'!$E47:INDEX('Feijão 2ª safra'!$E47:$Z47,MIN(AM$6-$E$3,22))),0))-IF($G$2,0,IF((AM$6-$G$3)&lt;1,0,IFERROR(LOOKUP(2,1/('Feijão 2ª safra'!$E47:INDEX('Feijão 2ª safra'!$E47:$Z47,MIN(AM$6-$G$3,22))&lt;&gt;""),'Feijão 2ª safra'!$E47:INDEX('Feijão 2ª safra'!$E47:$Z47,MIN(AM$6-$G$3,22))),0)))))</f>
        <v>0</v>
      </c>
      <c r="AN49" s="27" t="n">
        <f aca="false">IF(COUNT('Feijão 2ª safra'!$E47:$Z47)=0,0,MAX(0,IF((AN$6-$E$3)&lt;1,0,IFERROR(LOOKUP(2,1/('Feijão 2ª safra'!$E47:INDEX('Feijão 2ª safra'!$E47:$Z47,MIN(AN$6-$E$3,22))&lt;&gt;""),'Feijão 2ª safra'!$E47:INDEX('Feijão 2ª safra'!$E47:$Z47,MIN(AN$6-$E$3,22))),0))-IF($G$2,0,IF((AN$6-$G$3)&lt;1,0,IFERROR(LOOKUP(2,1/('Feijão 2ª safra'!$E47:INDEX('Feijão 2ª safra'!$E47:$Z47,MIN(AN$6-$G$3,22))&lt;&gt;""),'Feijão 2ª safra'!$E47:INDEX('Feijão 2ª safra'!$E47:$Z47,MIN(AN$6-$G$3,22))),0)))))</f>
        <v>0</v>
      </c>
      <c r="AO49" s="27" t="n">
        <f aca="false">IF(COUNT('Feijão 2ª safra'!$E47:$Z47)=0,0,MAX(0,IF((AO$6-$E$3)&lt;1,0,IFERROR(LOOKUP(2,1/('Feijão 2ª safra'!$E47:INDEX('Feijão 2ª safra'!$E47:$Z47,MIN(AO$6-$E$3,22))&lt;&gt;""),'Feijão 2ª safra'!$E47:INDEX('Feijão 2ª safra'!$E47:$Z47,MIN(AO$6-$E$3,22))),0))-IF($G$2,0,IF((AO$6-$G$3)&lt;1,0,IFERROR(LOOKUP(2,1/('Feijão 2ª safra'!$E47:INDEX('Feijão 2ª safra'!$E47:$Z47,MIN(AO$6-$G$3,22))&lt;&gt;""),'Feijão 2ª safra'!$E47:INDEX('Feijão 2ª safra'!$E47:$Z47,MIN(AO$6-$G$3,22))),0)))))</f>
        <v>0</v>
      </c>
      <c r="AP49" s="27" t="n">
        <f aca="false">IF(COUNT('Feijão 2ª safra'!$E47:$Z47)=0,0,MAX(0,IF((AP$6-$E$3)&lt;1,0,IFERROR(LOOKUP(2,1/('Feijão 2ª safra'!$E47:INDEX('Feijão 2ª safra'!$E47:$Z47,MIN(AP$6-$E$3,22))&lt;&gt;""),'Feijão 2ª safra'!$E47:INDEX('Feijão 2ª safra'!$E47:$Z47,MIN(AP$6-$E$3,22))),0))-IF($G$2,0,IF((AP$6-$G$3)&lt;1,0,IFERROR(LOOKUP(2,1/('Feijão 2ª safra'!$E47:INDEX('Feijão 2ª safra'!$E47:$Z47,MIN(AP$6-$G$3,22))&lt;&gt;""),'Feijão 2ª safra'!$E47:INDEX('Feijão 2ª safra'!$E47:$Z47,MIN(AP$6-$G$3,22))),0)))))</f>
        <v>0</v>
      </c>
      <c r="AQ49" s="27" t="n">
        <f aca="false">IF(COUNT('Feijão 2ª safra'!$E47:$Z47)=0,0,MAX(0,IF((AQ$6-$E$3)&lt;1,0,IFERROR(LOOKUP(2,1/('Feijão 2ª safra'!$E47:INDEX('Feijão 2ª safra'!$E47:$Z47,MIN(AQ$6-$E$3,22))&lt;&gt;""),'Feijão 2ª safra'!$E47:INDEX('Feijão 2ª safra'!$E47:$Z47,MIN(AQ$6-$E$3,22))),0))-IF($G$2,0,IF((AQ$6-$G$3)&lt;1,0,IFERROR(LOOKUP(2,1/('Feijão 2ª safra'!$E47:INDEX('Feijão 2ª safra'!$E47:$Z47,MIN(AQ$6-$G$3,22))&lt;&gt;""),'Feijão 2ª safra'!$E47:INDEX('Feijão 2ª safra'!$E47:$Z47,MIN(AQ$6-$G$3,22))),0)))))</f>
        <v>0</v>
      </c>
      <c r="AR49" s="27" t="n">
        <f aca="false">IF(COUNT('Feijão 2ª safra'!$E47:$Z47)=0,0,MAX(0,IF((AR$6-$E$3)&lt;1,0,IFERROR(LOOKUP(2,1/('Feijão 2ª safra'!$E47:INDEX('Feijão 2ª safra'!$E47:$Z47,MIN(AR$6-$E$3,22))&lt;&gt;""),'Feijão 2ª safra'!$E47:INDEX('Feijão 2ª safra'!$E47:$Z47,MIN(AR$6-$E$3,22))),0))-IF($G$2,0,IF((AR$6-$G$3)&lt;1,0,IFERROR(LOOKUP(2,1/('Feijão 2ª safra'!$E47:INDEX('Feijão 2ª safra'!$E47:$Z47,MIN(AR$6-$G$3,22))&lt;&gt;""),'Feijão 2ª safra'!$E47:INDEX('Feijão 2ª safra'!$E47:$Z47,MIN(AR$6-$G$3,22))),0)))))</f>
        <v>0</v>
      </c>
      <c r="AS49" s="27" t="n">
        <f aca="false">IF(COUNT('Feijão 2ª safra'!$E47:$Z47)=0,0,MAX(0,IF((AS$6-$E$3)&lt;1,0,IFERROR(LOOKUP(2,1/('Feijão 2ª safra'!$E47:INDEX('Feijão 2ª safra'!$E47:$Z47,MIN(AS$6-$E$3,22))&lt;&gt;""),'Feijão 2ª safra'!$E47:INDEX('Feijão 2ª safra'!$E47:$Z47,MIN(AS$6-$E$3,22))),0))-IF($G$2,0,IF((AS$6-$G$3)&lt;1,0,IFERROR(LOOKUP(2,1/('Feijão 2ª safra'!$E47:INDEX('Feijão 2ª safra'!$E47:$Z47,MIN(AS$6-$G$3,22))&lt;&gt;""),'Feijão 2ª safra'!$E47:INDEX('Feijão 2ª safra'!$E47:$Z47,MIN(AS$6-$G$3,22))),0)))))</f>
        <v>0</v>
      </c>
      <c r="AT49" s="27" t="n">
        <f aca="false">IF(COUNT('Feijão 2ª safra'!$E47:$Z47)=0,0,MAX(0,IF((AT$6-$E$3)&lt;1,0,IFERROR(LOOKUP(2,1/('Feijão 2ª safra'!$E47:INDEX('Feijão 2ª safra'!$E47:$Z47,MIN(AT$6-$E$3,22))&lt;&gt;""),'Feijão 2ª safra'!$E47:INDEX('Feijão 2ª safra'!$E47:$Z47,MIN(AT$6-$E$3,22))),0))-IF($G$2,0,IF((AT$6-$G$3)&lt;1,0,IFERROR(LOOKUP(2,1/('Feijão 2ª safra'!$E47:INDEX('Feijão 2ª safra'!$E47:$Z47,MIN(AT$6-$G$3,22))&lt;&gt;""),'Feijão 2ª safra'!$E47:INDEX('Feijão 2ª safra'!$E47:$Z47,MIN(AT$6-$G$3,22))),0)))))</f>
        <v>0</v>
      </c>
      <c r="AU49" s="27" t="n">
        <f aca="false">IF(COUNT('Feijão 2ª safra'!$E47:$Z47)=0,0,MAX(0,IF((AU$6-$E$3)&lt;1,0,IFERROR(LOOKUP(2,1/('Feijão 2ª safra'!$E47:INDEX('Feijão 2ª safra'!$E47:$Z47,MIN(AU$6-$E$3,22))&lt;&gt;""),'Feijão 2ª safra'!$E47:INDEX('Feijão 2ª safra'!$E47:$Z47,MIN(AU$6-$E$3,22))),0))-IF($G$2,0,IF((AU$6-$G$3)&lt;1,0,IFERROR(LOOKUP(2,1/('Feijão 2ª safra'!$E47:INDEX('Feijão 2ª safra'!$E47:$Z47,MIN(AU$6-$G$3,22))&lt;&gt;""),'Feijão 2ª safra'!$E47:INDEX('Feijão 2ª safra'!$E47:$Z47,MIN(AU$6-$G$3,22))),0)))))</f>
        <v>0</v>
      </c>
      <c r="AV49" s="27" t="n">
        <f aca="false">IF(COUNT('Feijão 2ª safra'!$E47:$Z47)=0,0,MAX(0,IF((AV$6-$E$3)&lt;1,0,IFERROR(LOOKUP(2,1/('Feijão 2ª safra'!$E47:INDEX('Feijão 2ª safra'!$E47:$Z47,MIN(AV$6-$E$3,22))&lt;&gt;""),'Feijão 2ª safra'!$E47:INDEX('Feijão 2ª safra'!$E47:$Z47,MIN(AV$6-$E$3,22))),0))-IF($G$2,0,IF((AV$6-$G$3)&lt;1,0,IFERROR(LOOKUP(2,1/('Feijão 2ª safra'!$E47:INDEX('Feijão 2ª safra'!$E47:$Z47,MIN(AV$6-$G$3,22))&lt;&gt;""),'Feijão 2ª safra'!$E47:INDEX('Feijão 2ª safra'!$E47:$Z47,MIN(AV$6-$G$3,22))),0)))))</f>
        <v>0</v>
      </c>
      <c r="AW49" s="27" t="n">
        <f aca="false">IF(COUNT('Feijão 2ª safra'!$E47:$Z47)=0,0,MAX(0,IF((AW$6-$E$3)&lt;1,0,IFERROR(LOOKUP(2,1/('Feijão 2ª safra'!$E47:INDEX('Feijão 2ª safra'!$E47:$Z47,MIN(AW$6-$E$3,22))&lt;&gt;""),'Feijão 2ª safra'!$E47:INDEX('Feijão 2ª safra'!$E47:$Z47,MIN(AW$6-$E$3,22))),0))-IF($G$2,0,IF((AW$6-$G$3)&lt;1,0,IFERROR(LOOKUP(2,1/('Feijão 2ª safra'!$E47:INDEX('Feijão 2ª safra'!$E47:$Z47,MIN(AW$6-$G$3,22))&lt;&gt;""),'Feijão 2ª safra'!$E47:INDEX('Feijão 2ª safra'!$E47:$Z47,MIN(AW$6-$G$3,22))),0)))))</f>
        <v>0</v>
      </c>
      <c r="AX49" s="27" t="n">
        <f aca="false">IF(COUNT('Feijão 2ª safra'!$E47:$Z47)=0,0,MAX(0,IF((AX$6-$E$3)&lt;1,0,IFERROR(LOOKUP(2,1/('Feijão 2ª safra'!$E47:INDEX('Feijão 2ª safra'!$E47:$Z47,MIN(AX$6-$E$3,22))&lt;&gt;""),'Feijão 2ª safra'!$E47:INDEX('Feijão 2ª safra'!$E47:$Z47,MIN(AX$6-$E$3,22))),0))-IF($G$2,0,IF((AX$6-$G$3)&lt;1,0,IFERROR(LOOKUP(2,1/('Feijão 2ª safra'!$E47:INDEX('Feijão 2ª safra'!$E47:$Z47,MIN(AX$6-$G$3,22))&lt;&gt;""),'Feijão 2ª safra'!$E47:INDEX('Feijão 2ª safra'!$E47:$Z47,MIN(AX$6-$G$3,22))),0)))))</f>
        <v>0</v>
      </c>
      <c r="AY49" s="27" t="n">
        <f aca="false">IF(COUNT('Feijão 2ª safra'!$E47:$Z47)=0,0,MAX(0,IF((AY$6-$E$3)&lt;1,0,IFERROR(LOOKUP(2,1/('Feijão 2ª safra'!$E47:INDEX('Feijão 2ª safra'!$E47:$Z47,MIN(AY$6-$E$3,22))&lt;&gt;""),'Feijão 2ª safra'!$E47:INDEX('Feijão 2ª safra'!$E47:$Z47,MIN(AY$6-$E$3,22))),0))-IF($G$2,0,IF((AY$6-$G$3)&lt;1,0,IFERROR(LOOKUP(2,1/('Feijão 2ª safra'!$E47:INDEX('Feijão 2ª safra'!$E47:$Z47,MIN(AY$6-$G$3,22))&lt;&gt;""),'Feijão 2ª safra'!$E47:INDEX('Feijão 2ª safra'!$E47:$Z47,MIN(AY$6-$G$3,22))),0)))))</f>
        <v>0</v>
      </c>
      <c r="AZ49" s="27" t="n">
        <f aca="false">IF(COUNT('Feijão 2ª safra'!$E47:$Z47)=0,0,MAX(0,IF((AZ$6-$E$3)&lt;1,0,IFERROR(LOOKUP(2,1/('Feijão 2ª safra'!$E47:INDEX('Feijão 2ª safra'!$E47:$Z47,MIN(AZ$6-$E$3,22))&lt;&gt;""),'Feijão 2ª safra'!$E47:INDEX('Feijão 2ª safra'!$E47:$Z47,MIN(AZ$6-$E$3,22))),0))-IF($G$2,0,IF((AZ$6-$G$3)&lt;1,0,IFERROR(LOOKUP(2,1/('Feijão 2ª safra'!$E47:INDEX('Feijão 2ª safra'!$E47:$Z47,MIN(AZ$6-$G$3,22))&lt;&gt;""),'Feijão 2ª safra'!$E47:INDEX('Feijão 2ª safra'!$E47:$Z47,MIN(AZ$6-$G$3,22))),0)))))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IF(COUNT('Feijão 2ª safra'!$E48:$Z48)&gt;0,N('Feijão 2ª safra'!$D48),0)</f>
        <v>0</v>
      </c>
      <c r="E50" s="27" t="n">
        <f aca="false">IF(COUNT('Feijão 2ª safra'!$E48:$Z48)=0,0,MAX(0,IF((E$6-$E$3)&lt;1,0,IFERROR(LOOKUP(2,1/('Feijão 2ª safra'!$E48:INDEX('Feijão 2ª safra'!$E48:$Z48,MIN(E$6-$E$3,22))&lt;&gt;""),'Feijão 2ª safra'!$E48:INDEX('Feijão 2ª safra'!$E48:$Z48,MIN(E$6-$E$3,22))),0))-IF($G$2,0,IF((E$6-$G$3)&lt;1,0,IFERROR(LOOKUP(2,1/('Feijão 2ª safra'!$E48:INDEX('Feijão 2ª safra'!$E48:$Z48,MIN(E$6-$G$3,22))&lt;&gt;""),'Feijão 2ª safra'!$E48:INDEX('Feijão 2ª safra'!$E48:$Z48,MIN(E$6-$G$3,22))),0)))))</f>
        <v>0</v>
      </c>
      <c r="F50" s="27" t="n">
        <f aca="false">IF(COUNT('Feijão 2ª safra'!$E48:$Z48)=0,0,MAX(0,IF((F$6-$E$3)&lt;1,0,IFERROR(LOOKUP(2,1/('Feijão 2ª safra'!$E48:INDEX('Feijão 2ª safra'!$E48:$Z48,MIN(F$6-$E$3,22))&lt;&gt;""),'Feijão 2ª safra'!$E48:INDEX('Feijão 2ª safra'!$E48:$Z48,MIN(F$6-$E$3,22))),0))-IF($G$2,0,IF((F$6-$G$3)&lt;1,0,IFERROR(LOOKUP(2,1/('Feijão 2ª safra'!$E48:INDEX('Feijão 2ª safra'!$E48:$Z48,MIN(F$6-$G$3,22))&lt;&gt;""),'Feijão 2ª safra'!$E48:INDEX('Feijão 2ª safra'!$E48:$Z48,MIN(F$6-$G$3,22))),0)))))</f>
        <v>0</v>
      </c>
      <c r="G50" s="27" t="n">
        <f aca="false">IF(COUNT('Feijão 2ª safra'!$E48:$Z48)=0,0,MAX(0,IF((G$6-$E$3)&lt;1,0,IFERROR(LOOKUP(2,1/('Feijão 2ª safra'!$E48:INDEX('Feijão 2ª safra'!$E48:$Z48,MIN(G$6-$E$3,22))&lt;&gt;""),'Feijão 2ª safra'!$E48:INDEX('Feijão 2ª safra'!$E48:$Z48,MIN(G$6-$E$3,22))),0))-IF($G$2,0,IF((G$6-$G$3)&lt;1,0,IFERROR(LOOKUP(2,1/('Feijão 2ª safra'!$E48:INDEX('Feijão 2ª safra'!$E48:$Z48,MIN(G$6-$G$3,22))&lt;&gt;""),'Feijão 2ª safra'!$E48:INDEX('Feijão 2ª safra'!$E48:$Z48,MIN(G$6-$G$3,22))),0)))))</f>
        <v>0</v>
      </c>
      <c r="H50" s="27" t="n">
        <f aca="false">IF(COUNT('Feijão 2ª safra'!$E48:$Z48)=0,0,MAX(0,IF((H$6-$E$3)&lt;1,0,IFERROR(LOOKUP(2,1/('Feijão 2ª safra'!$E48:INDEX('Feijão 2ª safra'!$E48:$Z48,MIN(H$6-$E$3,22))&lt;&gt;""),'Feijão 2ª safra'!$E48:INDEX('Feijão 2ª safra'!$E48:$Z48,MIN(H$6-$E$3,22))),0))-IF($G$2,0,IF((H$6-$G$3)&lt;1,0,IFERROR(LOOKUP(2,1/('Feijão 2ª safra'!$E48:INDEX('Feijão 2ª safra'!$E48:$Z48,MIN(H$6-$G$3,22))&lt;&gt;""),'Feijão 2ª safra'!$E48:INDEX('Feijão 2ª safra'!$E48:$Z48,MIN(H$6-$G$3,22))),0)))))</f>
        <v>0</v>
      </c>
      <c r="I50" s="27" t="n">
        <f aca="false">IF(COUNT('Feijão 2ª safra'!$E48:$Z48)=0,0,MAX(0,IF((I$6-$E$3)&lt;1,0,IFERROR(LOOKUP(2,1/('Feijão 2ª safra'!$E48:INDEX('Feijão 2ª safra'!$E48:$Z48,MIN(I$6-$E$3,22))&lt;&gt;""),'Feijão 2ª safra'!$E48:INDEX('Feijão 2ª safra'!$E48:$Z48,MIN(I$6-$E$3,22))),0))-IF($G$2,0,IF((I$6-$G$3)&lt;1,0,IFERROR(LOOKUP(2,1/('Feijão 2ª safra'!$E48:INDEX('Feijão 2ª safra'!$E48:$Z48,MIN(I$6-$G$3,22))&lt;&gt;""),'Feijão 2ª safra'!$E48:INDEX('Feijão 2ª safra'!$E48:$Z48,MIN(I$6-$G$3,22))),0)))))</f>
        <v>0</v>
      </c>
      <c r="J50" s="27" t="n">
        <f aca="false">IF(COUNT('Feijão 2ª safra'!$E48:$Z48)=0,0,MAX(0,IF((J$6-$E$3)&lt;1,0,IFERROR(LOOKUP(2,1/('Feijão 2ª safra'!$E48:INDEX('Feijão 2ª safra'!$E48:$Z48,MIN(J$6-$E$3,22))&lt;&gt;""),'Feijão 2ª safra'!$E48:INDEX('Feijão 2ª safra'!$E48:$Z48,MIN(J$6-$E$3,22))),0))-IF($G$2,0,IF((J$6-$G$3)&lt;1,0,IFERROR(LOOKUP(2,1/('Feijão 2ª safra'!$E48:INDEX('Feijão 2ª safra'!$E48:$Z48,MIN(J$6-$G$3,22))&lt;&gt;""),'Feijão 2ª safra'!$E48:INDEX('Feijão 2ª safra'!$E48:$Z48,MIN(J$6-$G$3,22))),0)))))</f>
        <v>0</v>
      </c>
      <c r="K50" s="27" t="n">
        <f aca="false">IF(COUNT('Feijão 2ª safra'!$E48:$Z48)=0,0,MAX(0,IF((K$6-$E$3)&lt;1,0,IFERROR(LOOKUP(2,1/('Feijão 2ª safra'!$E48:INDEX('Feijão 2ª safra'!$E48:$Z48,MIN(K$6-$E$3,22))&lt;&gt;""),'Feijão 2ª safra'!$E48:INDEX('Feijão 2ª safra'!$E48:$Z48,MIN(K$6-$E$3,22))),0))-IF($G$2,0,IF((K$6-$G$3)&lt;1,0,IFERROR(LOOKUP(2,1/('Feijão 2ª safra'!$E48:INDEX('Feijão 2ª safra'!$E48:$Z48,MIN(K$6-$G$3,22))&lt;&gt;""),'Feijão 2ª safra'!$E48:INDEX('Feijão 2ª safra'!$E48:$Z48,MIN(K$6-$G$3,22))),0)))))</f>
        <v>0</v>
      </c>
      <c r="L50" s="27" t="n">
        <f aca="false">IF(COUNT('Feijão 2ª safra'!$E48:$Z48)=0,0,MAX(0,IF((L$6-$E$3)&lt;1,0,IFERROR(LOOKUP(2,1/('Feijão 2ª safra'!$E48:INDEX('Feijão 2ª safra'!$E48:$Z48,MIN(L$6-$E$3,22))&lt;&gt;""),'Feijão 2ª safra'!$E48:INDEX('Feijão 2ª safra'!$E48:$Z48,MIN(L$6-$E$3,22))),0))-IF($G$2,0,IF((L$6-$G$3)&lt;1,0,IFERROR(LOOKUP(2,1/('Feijão 2ª safra'!$E48:INDEX('Feijão 2ª safra'!$E48:$Z48,MIN(L$6-$G$3,22))&lt;&gt;""),'Feijão 2ª safra'!$E48:INDEX('Feijão 2ª safra'!$E48:$Z48,MIN(L$6-$G$3,22))),0)))))</f>
        <v>0</v>
      </c>
      <c r="M50" s="27" t="n">
        <f aca="false">IF(COUNT('Feijão 2ª safra'!$E48:$Z48)=0,0,MAX(0,IF((M$6-$E$3)&lt;1,0,IFERROR(LOOKUP(2,1/('Feijão 2ª safra'!$E48:INDEX('Feijão 2ª safra'!$E48:$Z48,MIN(M$6-$E$3,22))&lt;&gt;""),'Feijão 2ª safra'!$E48:INDEX('Feijão 2ª safra'!$E48:$Z48,MIN(M$6-$E$3,22))),0))-IF($G$2,0,IF((M$6-$G$3)&lt;1,0,IFERROR(LOOKUP(2,1/('Feijão 2ª safra'!$E48:INDEX('Feijão 2ª safra'!$E48:$Z48,MIN(M$6-$G$3,22))&lt;&gt;""),'Feijão 2ª safra'!$E48:INDEX('Feijão 2ª safra'!$E48:$Z48,MIN(M$6-$G$3,22))),0)))))</f>
        <v>0</v>
      </c>
      <c r="N50" s="27" t="n">
        <f aca="false">IF(COUNT('Feijão 2ª safra'!$E48:$Z48)=0,0,MAX(0,IF((N$6-$E$3)&lt;1,0,IFERROR(LOOKUP(2,1/('Feijão 2ª safra'!$E48:INDEX('Feijão 2ª safra'!$E48:$Z48,MIN(N$6-$E$3,22))&lt;&gt;""),'Feijão 2ª safra'!$E48:INDEX('Feijão 2ª safra'!$E48:$Z48,MIN(N$6-$E$3,22))),0))-IF($G$2,0,IF((N$6-$G$3)&lt;1,0,IFERROR(LOOKUP(2,1/('Feijão 2ª safra'!$E48:INDEX('Feijão 2ª safra'!$E48:$Z48,MIN(N$6-$G$3,22))&lt;&gt;""),'Feijão 2ª safra'!$E48:INDEX('Feijão 2ª safra'!$E48:$Z48,MIN(N$6-$G$3,22))),0)))))</f>
        <v>0</v>
      </c>
      <c r="O50" s="27" t="n">
        <f aca="false">IF(COUNT('Feijão 2ª safra'!$E48:$Z48)=0,0,MAX(0,IF((O$6-$E$3)&lt;1,0,IFERROR(LOOKUP(2,1/('Feijão 2ª safra'!$E48:INDEX('Feijão 2ª safra'!$E48:$Z48,MIN(O$6-$E$3,22))&lt;&gt;""),'Feijão 2ª safra'!$E48:INDEX('Feijão 2ª safra'!$E48:$Z48,MIN(O$6-$E$3,22))),0))-IF($G$2,0,IF((O$6-$G$3)&lt;1,0,IFERROR(LOOKUP(2,1/('Feijão 2ª safra'!$E48:INDEX('Feijão 2ª safra'!$E48:$Z48,MIN(O$6-$G$3,22))&lt;&gt;""),'Feijão 2ª safra'!$E48:INDEX('Feijão 2ª safra'!$E48:$Z48,MIN(O$6-$G$3,22))),0)))))</f>
        <v>0</v>
      </c>
      <c r="P50" s="27" t="n">
        <f aca="false">IF(COUNT('Feijão 2ª safra'!$E48:$Z48)=0,0,MAX(0,IF((P$6-$E$3)&lt;1,0,IFERROR(LOOKUP(2,1/('Feijão 2ª safra'!$E48:INDEX('Feijão 2ª safra'!$E48:$Z48,MIN(P$6-$E$3,22))&lt;&gt;""),'Feijão 2ª safra'!$E48:INDEX('Feijão 2ª safra'!$E48:$Z48,MIN(P$6-$E$3,22))),0))-IF($G$2,0,IF((P$6-$G$3)&lt;1,0,IFERROR(LOOKUP(2,1/('Feijão 2ª safra'!$E48:INDEX('Feijão 2ª safra'!$E48:$Z48,MIN(P$6-$G$3,22))&lt;&gt;""),'Feijão 2ª safra'!$E48:INDEX('Feijão 2ª safra'!$E48:$Z48,MIN(P$6-$G$3,22))),0)))))</f>
        <v>0</v>
      </c>
      <c r="Q50" s="27" t="n">
        <f aca="false">IF(COUNT('Feijão 2ª safra'!$E48:$Z48)=0,0,MAX(0,IF((Q$6-$E$3)&lt;1,0,IFERROR(LOOKUP(2,1/('Feijão 2ª safra'!$E48:INDEX('Feijão 2ª safra'!$E48:$Z48,MIN(Q$6-$E$3,22))&lt;&gt;""),'Feijão 2ª safra'!$E48:INDEX('Feijão 2ª safra'!$E48:$Z48,MIN(Q$6-$E$3,22))),0))-IF($G$2,0,IF((Q$6-$G$3)&lt;1,0,IFERROR(LOOKUP(2,1/('Feijão 2ª safra'!$E48:INDEX('Feijão 2ª safra'!$E48:$Z48,MIN(Q$6-$G$3,22))&lt;&gt;""),'Feijão 2ª safra'!$E48:INDEX('Feijão 2ª safra'!$E48:$Z48,MIN(Q$6-$G$3,22))),0)))))</f>
        <v>0</v>
      </c>
      <c r="R50" s="27" t="n">
        <f aca="false">IF(COUNT('Feijão 2ª safra'!$E48:$Z48)=0,0,MAX(0,IF((R$6-$E$3)&lt;1,0,IFERROR(LOOKUP(2,1/('Feijão 2ª safra'!$E48:INDEX('Feijão 2ª safra'!$E48:$Z48,MIN(R$6-$E$3,22))&lt;&gt;""),'Feijão 2ª safra'!$E48:INDEX('Feijão 2ª safra'!$E48:$Z48,MIN(R$6-$E$3,22))),0))-IF($G$2,0,IF((R$6-$G$3)&lt;1,0,IFERROR(LOOKUP(2,1/('Feijão 2ª safra'!$E48:INDEX('Feijão 2ª safra'!$E48:$Z48,MIN(R$6-$G$3,22))&lt;&gt;""),'Feijão 2ª safra'!$E48:INDEX('Feijão 2ª safra'!$E48:$Z48,MIN(R$6-$G$3,22))),0)))))</f>
        <v>0</v>
      </c>
      <c r="S50" s="27" t="n">
        <f aca="false">IF(COUNT('Feijão 2ª safra'!$E48:$Z48)=0,0,MAX(0,IF((S$6-$E$3)&lt;1,0,IFERROR(LOOKUP(2,1/('Feijão 2ª safra'!$E48:INDEX('Feijão 2ª safra'!$E48:$Z48,MIN(S$6-$E$3,22))&lt;&gt;""),'Feijão 2ª safra'!$E48:INDEX('Feijão 2ª safra'!$E48:$Z48,MIN(S$6-$E$3,22))),0))-IF($G$2,0,IF((S$6-$G$3)&lt;1,0,IFERROR(LOOKUP(2,1/('Feijão 2ª safra'!$E48:INDEX('Feijão 2ª safra'!$E48:$Z48,MIN(S$6-$G$3,22))&lt;&gt;""),'Feijão 2ª safra'!$E48:INDEX('Feijão 2ª safra'!$E48:$Z48,MIN(S$6-$G$3,22))),0)))))</f>
        <v>0</v>
      </c>
      <c r="T50" s="27" t="n">
        <f aca="false">IF(COUNT('Feijão 2ª safra'!$E48:$Z48)=0,0,MAX(0,IF((T$6-$E$3)&lt;1,0,IFERROR(LOOKUP(2,1/('Feijão 2ª safra'!$E48:INDEX('Feijão 2ª safra'!$E48:$Z48,MIN(T$6-$E$3,22))&lt;&gt;""),'Feijão 2ª safra'!$E48:INDEX('Feijão 2ª safra'!$E48:$Z48,MIN(T$6-$E$3,22))),0))-IF($G$2,0,IF((T$6-$G$3)&lt;1,0,IFERROR(LOOKUP(2,1/('Feijão 2ª safra'!$E48:INDEX('Feijão 2ª safra'!$E48:$Z48,MIN(T$6-$G$3,22))&lt;&gt;""),'Feijão 2ª safra'!$E48:INDEX('Feijão 2ª safra'!$E48:$Z48,MIN(T$6-$G$3,22))),0)))))</f>
        <v>0</v>
      </c>
      <c r="U50" s="27" t="n">
        <f aca="false">IF(COUNT('Feijão 2ª safra'!$E48:$Z48)=0,0,MAX(0,IF((U$6-$E$3)&lt;1,0,IFERROR(LOOKUP(2,1/('Feijão 2ª safra'!$E48:INDEX('Feijão 2ª safra'!$E48:$Z48,MIN(U$6-$E$3,22))&lt;&gt;""),'Feijão 2ª safra'!$E48:INDEX('Feijão 2ª safra'!$E48:$Z48,MIN(U$6-$E$3,22))),0))-IF($G$2,0,IF((U$6-$G$3)&lt;1,0,IFERROR(LOOKUP(2,1/('Feijão 2ª safra'!$E48:INDEX('Feijão 2ª safra'!$E48:$Z48,MIN(U$6-$G$3,22))&lt;&gt;""),'Feijão 2ª safra'!$E48:INDEX('Feijão 2ª safra'!$E48:$Z48,MIN(U$6-$G$3,22))),0)))))</f>
        <v>0</v>
      </c>
      <c r="V50" s="27" t="n">
        <f aca="false">IF(COUNT('Feijão 2ª safra'!$E48:$Z48)=0,0,MAX(0,IF((V$6-$E$3)&lt;1,0,IFERROR(LOOKUP(2,1/('Feijão 2ª safra'!$E48:INDEX('Feijão 2ª safra'!$E48:$Z48,MIN(V$6-$E$3,22))&lt;&gt;""),'Feijão 2ª safra'!$E48:INDEX('Feijão 2ª safra'!$E48:$Z48,MIN(V$6-$E$3,22))),0))-IF($G$2,0,IF((V$6-$G$3)&lt;1,0,IFERROR(LOOKUP(2,1/('Feijão 2ª safra'!$E48:INDEX('Feijão 2ª safra'!$E48:$Z48,MIN(V$6-$G$3,22))&lt;&gt;""),'Feijão 2ª safra'!$E48:INDEX('Feijão 2ª safra'!$E48:$Z48,MIN(V$6-$G$3,22))),0)))))</f>
        <v>0</v>
      </c>
      <c r="W50" s="27" t="n">
        <f aca="false">IF(COUNT('Feijão 2ª safra'!$E48:$Z48)=0,0,MAX(0,IF((W$6-$E$3)&lt;1,0,IFERROR(LOOKUP(2,1/('Feijão 2ª safra'!$E48:INDEX('Feijão 2ª safra'!$E48:$Z48,MIN(W$6-$E$3,22))&lt;&gt;""),'Feijão 2ª safra'!$E48:INDEX('Feijão 2ª safra'!$E48:$Z48,MIN(W$6-$E$3,22))),0))-IF($G$2,0,IF((W$6-$G$3)&lt;1,0,IFERROR(LOOKUP(2,1/('Feijão 2ª safra'!$E48:INDEX('Feijão 2ª safra'!$E48:$Z48,MIN(W$6-$G$3,22))&lt;&gt;""),'Feijão 2ª safra'!$E48:INDEX('Feijão 2ª safra'!$E48:$Z48,MIN(W$6-$G$3,22))),0)))))</f>
        <v>0</v>
      </c>
      <c r="X50" s="27" t="n">
        <f aca="false">IF(COUNT('Feijão 2ª safra'!$E48:$Z48)=0,0,MAX(0,IF((X$6-$E$3)&lt;1,0,IFERROR(LOOKUP(2,1/('Feijão 2ª safra'!$E48:INDEX('Feijão 2ª safra'!$E48:$Z48,MIN(X$6-$E$3,22))&lt;&gt;""),'Feijão 2ª safra'!$E48:INDEX('Feijão 2ª safra'!$E48:$Z48,MIN(X$6-$E$3,22))),0))-IF($G$2,0,IF((X$6-$G$3)&lt;1,0,IFERROR(LOOKUP(2,1/('Feijão 2ª safra'!$E48:INDEX('Feijão 2ª safra'!$E48:$Z48,MIN(X$6-$G$3,22))&lt;&gt;""),'Feijão 2ª safra'!$E48:INDEX('Feijão 2ª safra'!$E48:$Z48,MIN(X$6-$G$3,22))),0)))))</f>
        <v>0</v>
      </c>
      <c r="Y50" s="27" t="n">
        <f aca="false">IF(COUNT('Feijão 2ª safra'!$E48:$Z48)=0,0,MAX(0,IF((Y$6-$E$3)&lt;1,0,IFERROR(LOOKUP(2,1/('Feijão 2ª safra'!$E48:INDEX('Feijão 2ª safra'!$E48:$Z48,MIN(Y$6-$E$3,22))&lt;&gt;""),'Feijão 2ª safra'!$E48:INDEX('Feijão 2ª safra'!$E48:$Z48,MIN(Y$6-$E$3,22))),0))-IF($G$2,0,IF((Y$6-$G$3)&lt;1,0,IFERROR(LOOKUP(2,1/('Feijão 2ª safra'!$E48:INDEX('Feijão 2ª safra'!$E48:$Z48,MIN(Y$6-$G$3,22))&lt;&gt;""),'Feijão 2ª safra'!$E48:INDEX('Feijão 2ª safra'!$E48:$Z48,MIN(Y$6-$G$3,22))),0)))))</f>
        <v>0</v>
      </c>
      <c r="Z50" s="27" t="n">
        <f aca="false">IF(COUNT('Feijão 2ª safra'!$E48:$Z48)=0,0,MAX(0,IF((Z$6-$E$3)&lt;1,0,IFERROR(LOOKUP(2,1/('Feijão 2ª safra'!$E48:INDEX('Feijão 2ª safra'!$E48:$Z48,MIN(Z$6-$E$3,22))&lt;&gt;""),'Feijão 2ª safra'!$E48:INDEX('Feijão 2ª safra'!$E48:$Z48,MIN(Z$6-$E$3,22))),0))-IF($G$2,0,IF((Z$6-$G$3)&lt;1,0,IFERROR(LOOKUP(2,1/('Feijão 2ª safra'!$E48:INDEX('Feijão 2ª safra'!$E48:$Z48,MIN(Z$6-$G$3,22))&lt;&gt;""),'Feijão 2ª safra'!$E48:INDEX('Feijão 2ª safra'!$E48:$Z48,MIN(Z$6-$G$3,22))),0)))))</f>
        <v>0</v>
      </c>
      <c r="AA50" s="27" t="n">
        <f aca="false">IF(COUNT('Feijão 2ª safra'!$E48:$Z48)=0,0,MAX(0,IF((AA$6-$E$3)&lt;1,0,IFERROR(LOOKUP(2,1/('Feijão 2ª safra'!$E48:INDEX('Feijão 2ª safra'!$E48:$Z48,MIN(AA$6-$E$3,22))&lt;&gt;""),'Feijão 2ª safra'!$E48:INDEX('Feijão 2ª safra'!$E48:$Z48,MIN(AA$6-$E$3,22))),0))-IF($G$2,0,IF((AA$6-$G$3)&lt;1,0,IFERROR(LOOKUP(2,1/('Feijão 2ª safra'!$E48:INDEX('Feijão 2ª safra'!$E48:$Z48,MIN(AA$6-$G$3,22))&lt;&gt;""),'Feijão 2ª safra'!$E48:INDEX('Feijão 2ª safra'!$E48:$Z48,MIN(AA$6-$G$3,22))),0)))))</f>
        <v>0</v>
      </c>
      <c r="AB50" s="27" t="n">
        <f aca="false">IF(COUNT('Feijão 2ª safra'!$E48:$Z48)=0,0,MAX(0,IF((AB$6-$E$3)&lt;1,0,IFERROR(LOOKUP(2,1/('Feijão 2ª safra'!$E48:INDEX('Feijão 2ª safra'!$E48:$Z48,MIN(AB$6-$E$3,22))&lt;&gt;""),'Feijão 2ª safra'!$E48:INDEX('Feijão 2ª safra'!$E48:$Z48,MIN(AB$6-$E$3,22))),0))-IF($G$2,0,IF((AB$6-$G$3)&lt;1,0,IFERROR(LOOKUP(2,1/('Feijão 2ª safra'!$E48:INDEX('Feijão 2ª safra'!$E48:$Z48,MIN(AB$6-$G$3,22))&lt;&gt;""),'Feijão 2ª safra'!$E48:INDEX('Feijão 2ª safra'!$E48:$Z48,MIN(AB$6-$G$3,22))),0)))))</f>
        <v>0</v>
      </c>
      <c r="AC50" s="27" t="n">
        <f aca="false">IF(COUNT('Feijão 2ª safra'!$E48:$Z48)=0,0,MAX(0,IF((AC$6-$E$3)&lt;1,0,IFERROR(LOOKUP(2,1/('Feijão 2ª safra'!$E48:INDEX('Feijão 2ª safra'!$E48:$Z48,MIN(AC$6-$E$3,22))&lt;&gt;""),'Feijão 2ª safra'!$E48:INDEX('Feijão 2ª safra'!$E48:$Z48,MIN(AC$6-$E$3,22))),0))-IF($G$2,0,IF((AC$6-$G$3)&lt;1,0,IFERROR(LOOKUP(2,1/('Feijão 2ª safra'!$E48:INDEX('Feijão 2ª safra'!$E48:$Z48,MIN(AC$6-$G$3,22))&lt;&gt;""),'Feijão 2ª safra'!$E48:INDEX('Feijão 2ª safra'!$E48:$Z48,MIN(AC$6-$G$3,22))),0)))))</f>
        <v>0</v>
      </c>
      <c r="AD50" s="27" t="n">
        <f aca="false">IF(COUNT('Feijão 2ª safra'!$E48:$Z48)=0,0,MAX(0,IF((AD$6-$E$3)&lt;1,0,IFERROR(LOOKUP(2,1/('Feijão 2ª safra'!$E48:INDEX('Feijão 2ª safra'!$E48:$Z48,MIN(AD$6-$E$3,22))&lt;&gt;""),'Feijão 2ª safra'!$E48:INDEX('Feijão 2ª safra'!$E48:$Z48,MIN(AD$6-$E$3,22))),0))-IF($G$2,0,IF((AD$6-$G$3)&lt;1,0,IFERROR(LOOKUP(2,1/('Feijão 2ª safra'!$E48:INDEX('Feijão 2ª safra'!$E48:$Z48,MIN(AD$6-$G$3,22))&lt;&gt;""),'Feijão 2ª safra'!$E48:INDEX('Feijão 2ª safra'!$E48:$Z48,MIN(AD$6-$G$3,22))),0)))))</f>
        <v>0</v>
      </c>
      <c r="AE50" s="27" t="n">
        <f aca="false">IF(COUNT('Feijão 2ª safra'!$E48:$Z48)=0,0,MAX(0,IF((AE$6-$E$3)&lt;1,0,IFERROR(LOOKUP(2,1/('Feijão 2ª safra'!$E48:INDEX('Feijão 2ª safra'!$E48:$Z48,MIN(AE$6-$E$3,22))&lt;&gt;""),'Feijão 2ª safra'!$E48:INDEX('Feijão 2ª safra'!$E48:$Z48,MIN(AE$6-$E$3,22))),0))-IF($G$2,0,IF((AE$6-$G$3)&lt;1,0,IFERROR(LOOKUP(2,1/('Feijão 2ª safra'!$E48:INDEX('Feijão 2ª safra'!$E48:$Z48,MIN(AE$6-$G$3,22))&lt;&gt;""),'Feijão 2ª safra'!$E48:INDEX('Feijão 2ª safra'!$E48:$Z48,MIN(AE$6-$G$3,22))),0)))))</f>
        <v>0</v>
      </c>
      <c r="AF50" s="27" t="n">
        <f aca="false">IF(COUNT('Feijão 2ª safra'!$E48:$Z48)=0,0,MAX(0,IF((AF$6-$E$3)&lt;1,0,IFERROR(LOOKUP(2,1/('Feijão 2ª safra'!$E48:INDEX('Feijão 2ª safra'!$E48:$Z48,MIN(AF$6-$E$3,22))&lt;&gt;""),'Feijão 2ª safra'!$E48:INDEX('Feijão 2ª safra'!$E48:$Z48,MIN(AF$6-$E$3,22))),0))-IF($G$2,0,IF((AF$6-$G$3)&lt;1,0,IFERROR(LOOKUP(2,1/('Feijão 2ª safra'!$E48:INDEX('Feijão 2ª safra'!$E48:$Z48,MIN(AF$6-$G$3,22))&lt;&gt;""),'Feijão 2ª safra'!$E48:INDEX('Feijão 2ª safra'!$E48:$Z48,MIN(AF$6-$G$3,22))),0)))))</f>
        <v>0</v>
      </c>
      <c r="AG50" s="27" t="n">
        <f aca="false">IF(COUNT('Feijão 2ª safra'!$E48:$Z48)=0,0,MAX(0,IF((AG$6-$E$3)&lt;1,0,IFERROR(LOOKUP(2,1/('Feijão 2ª safra'!$E48:INDEX('Feijão 2ª safra'!$E48:$Z48,MIN(AG$6-$E$3,22))&lt;&gt;""),'Feijão 2ª safra'!$E48:INDEX('Feijão 2ª safra'!$E48:$Z48,MIN(AG$6-$E$3,22))),0))-IF($G$2,0,IF((AG$6-$G$3)&lt;1,0,IFERROR(LOOKUP(2,1/('Feijão 2ª safra'!$E48:INDEX('Feijão 2ª safra'!$E48:$Z48,MIN(AG$6-$G$3,22))&lt;&gt;""),'Feijão 2ª safra'!$E48:INDEX('Feijão 2ª safra'!$E48:$Z48,MIN(AG$6-$G$3,22))),0)))))</f>
        <v>0</v>
      </c>
      <c r="AH50" s="27" t="n">
        <f aca="false">IF(COUNT('Feijão 2ª safra'!$E48:$Z48)=0,0,MAX(0,IF((AH$6-$E$3)&lt;1,0,IFERROR(LOOKUP(2,1/('Feijão 2ª safra'!$E48:INDEX('Feijão 2ª safra'!$E48:$Z48,MIN(AH$6-$E$3,22))&lt;&gt;""),'Feijão 2ª safra'!$E48:INDEX('Feijão 2ª safra'!$E48:$Z48,MIN(AH$6-$E$3,22))),0))-IF($G$2,0,IF((AH$6-$G$3)&lt;1,0,IFERROR(LOOKUP(2,1/('Feijão 2ª safra'!$E48:INDEX('Feijão 2ª safra'!$E48:$Z48,MIN(AH$6-$G$3,22))&lt;&gt;""),'Feijão 2ª safra'!$E48:INDEX('Feijão 2ª safra'!$E48:$Z48,MIN(AH$6-$G$3,22))),0)))))</f>
        <v>0</v>
      </c>
      <c r="AI50" s="27" t="n">
        <f aca="false">IF(COUNT('Feijão 2ª safra'!$E48:$Z48)=0,0,MAX(0,IF((AI$6-$E$3)&lt;1,0,IFERROR(LOOKUP(2,1/('Feijão 2ª safra'!$E48:INDEX('Feijão 2ª safra'!$E48:$Z48,MIN(AI$6-$E$3,22))&lt;&gt;""),'Feijão 2ª safra'!$E48:INDEX('Feijão 2ª safra'!$E48:$Z48,MIN(AI$6-$E$3,22))),0))-IF($G$2,0,IF((AI$6-$G$3)&lt;1,0,IFERROR(LOOKUP(2,1/('Feijão 2ª safra'!$E48:INDEX('Feijão 2ª safra'!$E48:$Z48,MIN(AI$6-$G$3,22))&lt;&gt;""),'Feijão 2ª safra'!$E48:INDEX('Feijão 2ª safra'!$E48:$Z48,MIN(AI$6-$G$3,22))),0)))))</f>
        <v>0</v>
      </c>
      <c r="AJ50" s="27" t="n">
        <f aca="false">IF(COUNT('Feijão 2ª safra'!$E48:$Z48)=0,0,MAX(0,IF((AJ$6-$E$3)&lt;1,0,IFERROR(LOOKUP(2,1/('Feijão 2ª safra'!$E48:INDEX('Feijão 2ª safra'!$E48:$Z48,MIN(AJ$6-$E$3,22))&lt;&gt;""),'Feijão 2ª safra'!$E48:INDEX('Feijão 2ª safra'!$E48:$Z48,MIN(AJ$6-$E$3,22))),0))-IF($G$2,0,IF((AJ$6-$G$3)&lt;1,0,IFERROR(LOOKUP(2,1/('Feijão 2ª safra'!$E48:INDEX('Feijão 2ª safra'!$E48:$Z48,MIN(AJ$6-$G$3,22))&lt;&gt;""),'Feijão 2ª safra'!$E48:INDEX('Feijão 2ª safra'!$E48:$Z48,MIN(AJ$6-$G$3,22))),0)))))</f>
        <v>0</v>
      </c>
      <c r="AK50" s="27" t="n">
        <f aca="false">IF(COUNT('Feijão 2ª safra'!$E48:$Z48)=0,0,MAX(0,IF((AK$6-$E$3)&lt;1,0,IFERROR(LOOKUP(2,1/('Feijão 2ª safra'!$E48:INDEX('Feijão 2ª safra'!$E48:$Z48,MIN(AK$6-$E$3,22))&lt;&gt;""),'Feijão 2ª safra'!$E48:INDEX('Feijão 2ª safra'!$E48:$Z48,MIN(AK$6-$E$3,22))),0))-IF($G$2,0,IF((AK$6-$G$3)&lt;1,0,IFERROR(LOOKUP(2,1/('Feijão 2ª safra'!$E48:INDEX('Feijão 2ª safra'!$E48:$Z48,MIN(AK$6-$G$3,22))&lt;&gt;""),'Feijão 2ª safra'!$E48:INDEX('Feijão 2ª safra'!$E48:$Z48,MIN(AK$6-$G$3,22))),0)))))</f>
        <v>0</v>
      </c>
      <c r="AL50" s="27" t="n">
        <f aca="false">IF(COUNT('Feijão 2ª safra'!$E48:$Z48)=0,0,MAX(0,IF((AL$6-$E$3)&lt;1,0,IFERROR(LOOKUP(2,1/('Feijão 2ª safra'!$E48:INDEX('Feijão 2ª safra'!$E48:$Z48,MIN(AL$6-$E$3,22))&lt;&gt;""),'Feijão 2ª safra'!$E48:INDEX('Feijão 2ª safra'!$E48:$Z48,MIN(AL$6-$E$3,22))),0))-IF($G$2,0,IF((AL$6-$G$3)&lt;1,0,IFERROR(LOOKUP(2,1/('Feijão 2ª safra'!$E48:INDEX('Feijão 2ª safra'!$E48:$Z48,MIN(AL$6-$G$3,22))&lt;&gt;""),'Feijão 2ª safra'!$E48:INDEX('Feijão 2ª safra'!$E48:$Z48,MIN(AL$6-$G$3,22))),0)))))</f>
        <v>0</v>
      </c>
      <c r="AM50" s="27" t="n">
        <f aca="false">IF(COUNT('Feijão 2ª safra'!$E48:$Z48)=0,0,MAX(0,IF((AM$6-$E$3)&lt;1,0,IFERROR(LOOKUP(2,1/('Feijão 2ª safra'!$E48:INDEX('Feijão 2ª safra'!$E48:$Z48,MIN(AM$6-$E$3,22))&lt;&gt;""),'Feijão 2ª safra'!$E48:INDEX('Feijão 2ª safra'!$E48:$Z48,MIN(AM$6-$E$3,22))),0))-IF($G$2,0,IF((AM$6-$G$3)&lt;1,0,IFERROR(LOOKUP(2,1/('Feijão 2ª safra'!$E48:INDEX('Feijão 2ª safra'!$E48:$Z48,MIN(AM$6-$G$3,22))&lt;&gt;""),'Feijão 2ª safra'!$E48:INDEX('Feijão 2ª safra'!$E48:$Z48,MIN(AM$6-$G$3,22))),0)))))</f>
        <v>0</v>
      </c>
      <c r="AN50" s="27" t="n">
        <f aca="false">IF(COUNT('Feijão 2ª safra'!$E48:$Z48)=0,0,MAX(0,IF((AN$6-$E$3)&lt;1,0,IFERROR(LOOKUP(2,1/('Feijão 2ª safra'!$E48:INDEX('Feijão 2ª safra'!$E48:$Z48,MIN(AN$6-$E$3,22))&lt;&gt;""),'Feijão 2ª safra'!$E48:INDEX('Feijão 2ª safra'!$E48:$Z48,MIN(AN$6-$E$3,22))),0))-IF($G$2,0,IF((AN$6-$G$3)&lt;1,0,IFERROR(LOOKUP(2,1/('Feijão 2ª safra'!$E48:INDEX('Feijão 2ª safra'!$E48:$Z48,MIN(AN$6-$G$3,22))&lt;&gt;""),'Feijão 2ª safra'!$E48:INDEX('Feijão 2ª safra'!$E48:$Z48,MIN(AN$6-$G$3,22))),0)))))</f>
        <v>0</v>
      </c>
      <c r="AO50" s="27" t="n">
        <f aca="false">IF(COUNT('Feijão 2ª safra'!$E48:$Z48)=0,0,MAX(0,IF((AO$6-$E$3)&lt;1,0,IFERROR(LOOKUP(2,1/('Feijão 2ª safra'!$E48:INDEX('Feijão 2ª safra'!$E48:$Z48,MIN(AO$6-$E$3,22))&lt;&gt;""),'Feijão 2ª safra'!$E48:INDEX('Feijão 2ª safra'!$E48:$Z48,MIN(AO$6-$E$3,22))),0))-IF($G$2,0,IF((AO$6-$G$3)&lt;1,0,IFERROR(LOOKUP(2,1/('Feijão 2ª safra'!$E48:INDEX('Feijão 2ª safra'!$E48:$Z48,MIN(AO$6-$G$3,22))&lt;&gt;""),'Feijão 2ª safra'!$E48:INDEX('Feijão 2ª safra'!$E48:$Z48,MIN(AO$6-$G$3,22))),0)))))</f>
        <v>0</v>
      </c>
      <c r="AP50" s="27" t="n">
        <f aca="false">IF(COUNT('Feijão 2ª safra'!$E48:$Z48)=0,0,MAX(0,IF((AP$6-$E$3)&lt;1,0,IFERROR(LOOKUP(2,1/('Feijão 2ª safra'!$E48:INDEX('Feijão 2ª safra'!$E48:$Z48,MIN(AP$6-$E$3,22))&lt;&gt;""),'Feijão 2ª safra'!$E48:INDEX('Feijão 2ª safra'!$E48:$Z48,MIN(AP$6-$E$3,22))),0))-IF($G$2,0,IF((AP$6-$G$3)&lt;1,0,IFERROR(LOOKUP(2,1/('Feijão 2ª safra'!$E48:INDEX('Feijão 2ª safra'!$E48:$Z48,MIN(AP$6-$G$3,22))&lt;&gt;""),'Feijão 2ª safra'!$E48:INDEX('Feijão 2ª safra'!$E48:$Z48,MIN(AP$6-$G$3,22))),0)))))</f>
        <v>0</v>
      </c>
      <c r="AQ50" s="27" t="n">
        <f aca="false">IF(COUNT('Feijão 2ª safra'!$E48:$Z48)=0,0,MAX(0,IF((AQ$6-$E$3)&lt;1,0,IFERROR(LOOKUP(2,1/('Feijão 2ª safra'!$E48:INDEX('Feijão 2ª safra'!$E48:$Z48,MIN(AQ$6-$E$3,22))&lt;&gt;""),'Feijão 2ª safra'!$E48:INDEX('Feijão 2ª safra'!$E48:$Z48,MIN(AQ$6-$E$3,22))),0))-IF($G$2,0,IF((AQ$6-$G$3)&lt;1,0,IFERROR(LOOKUP(2,1/('Feijão 2ª safra'!$E48:INDEX('Feijão 2ª safra'!$E48:$Z48,MIN(AQ$6-$G$3,22))&lt;&gt;""),'Feijão 2ª safra'!$E48:INDEX('Feijão 2ª safra'!$E48:$Z48,MIN(AQ$6-$G$3,22))),0)))))</f>
        <v>0</v>
      </c>
      <c r="AR50" s="27" t="n">
        <f aca="false">IF(COUNT('Feijão 2ª safra'!$E48:$Z48)=0,0,MAX(0,IF((AR$6-$E$3)&lt;1,0,IFERROR(LOOKUP(2,1/('Feijão 2ª safra'!$E48:INDEX('Feijão 2ª safra'!$E48:$Z48,MIN(AR$6-$E$3,22))&lt;&gt;""),'Feijão 2ª safra'!$E48:INDEX('Feijão 2ª safra'!$E48:$Z48,MIN(AR$6-$E$3,22))),0))-IF($G$2,0,IF((AR$6-$G$3)&lt;1,0,IFERROR(LOOKUP(2,1/('Feijão 2ª safra'!$E48:INDEX('Feijão 2ª safra'!$E48:$Z48,MIN(AR$6-$G$3,22))&lt;&gt;""),'Feijão 2ª safra'!$E48:INDEX('Feijão 2ª safra'!$E48:$Z48,MIN(AR$6-$G$3,22))),0)))))</f>
        <v>0</v>
      </c>
      <c r="AS50" s="27" t="n">
        <f aca="false">IF(COUNT('Feijão 2ª safra'!$E48:$Z48)=0,0,MAX(0,IF((AS$6-$E$3)&lt;1,0,IFERROR(LOOKUP(2,1/('Feijão 2ª safra'!$E48:INDEX('Feijão 2ª safra'!$E48:$Z48,MIN(AS$6-$E$3,22))&lt;&gt;""),'Feijão 2ª safra'!$E48:INDEX('Feijão 2ª safra'!$E48:$Z48,MIN(AS$6-$E$3,22))),0))-IF($G$2,0,IF((AS$6-$G$3)&lt;1,0,IFERROR(LOOKUP(2,1/('Feijão 2ª safra'!$E48:INDEX('Feijão 2ª safra'!$E48:$Z48,MIN(AS$6-$G$3,22))&lt;&gt;""),'Feijão 2ª safra'!$E48:INDEX('Feijão 2ª safra'!$E48:$Z48,MIN(AS$6-$G$3,22))),0)))))</f>
        <v>0</v>
      </c>
      <c r="AT50" s="27" t="n">
        <f aca="false">IF(COUNT('Feijão 2ª safra'!$E48:$Z48)=0,0,MAX(0,IF((AT$6-$E$3)&lt;1,0,IFERROR(LOOKUP(2,1/('Feijão 2ª safra'!$E48:INDEX('Feijão 2ª safra'!$E48:$Z48,MIN(AT$6-$E$3,22))&lt;&gt;""),'Feijão 2ª safra'!$E48:INDEX('Feijão 2ª safra'!$E48:$Z48,MIN(AT$6-$E$3,22))),0))-IF($G$2,0,IF((AT$6-$G$3)&lt;1,0,IFERROR(LOOKUP(2,1/('Feijão 2ª safra'!$E48:INDEX('Feijão 2ª safra'!$E48:$Z48,MIN(AT$6-$G$3,22))&lt;&gt;""),'Feijão 2ª safra'!$E48:INDEX('Feijão 2ª safra'!$E48:$Z48,MIN(AT$6-$G$3,22))),0)))))</f>
        <v>0</v>
      </c>
      <c r="AU50" s="27" t="n">
        <f aca="false">IF(COUNT('Feijão 2ª safra'!$E48:$Z48)=0,0,MAX(0,IF((AU$6-$E$3)&lt;1,0,IFERROR(LOOKUP(2,1/('Feijão 2ª safra'!$E48:INDEX('Feijão 2ª safra'!$E48:$Z48,MIN(AU$6-$E$3,22))&lt;&gt;""),'Feijão 2ª safra'!$E48:INDEX('Feijão 2ª safra'!$E48:$Z48,MIN(AU$6-$E$3,22))),0))-IF($G$2,0,IF((AU$6-$G$3)&lt;1,0,IFERROR(LOOKUP(2,1/('Feijão 2ª safra'!$E48:INDEX('Feijão 2ª safra'!$E48:$Z48,MIN(AU$6-$G$3,22))&lt;&gt;""),'Feijão 2ª safra'!$E48:INDEX('Feijão 2ª safra'!$E48:$Z48,MIN(AU$6-$G$3,22))),0)))))</f>
        <v>0</v>
      </c>
      <c r="AV50" s="27" t="n">
        <f aca="false">IF(COUNT('Feijão 2ª safra'!$E48:$Z48)=0,0,MAX(0,IF((AV$6-$E$3)&lt;1,0,IFERROR(LOOKUP(2,1/('Feijão 2ª safra'!$E48:INDEX('Feijão 2ª safra'!$E48:$Z48,MIN(AV$6-$E$3,22))&lt;&gt;""),'Feijão 2ª safra'!$E48:INDEX('Feijão 2ª safra'!$E48:$Z48,MIN(AV$6-$E$3,22))),0))-IF($G$2,0,IF((AV$6-$G$3)&lt;1,0,IFERROR(LOOKUP(2,1/('Feijão 2ª safra'!$E48:INDEX('Feijão 2ª safra'!$E48:$Z48,MIN(AV$6-$G$3,22))&lt;&gt;""),'Feijão 2ª safra'!$E48:INDEX('Feijão 2ª safra'!$E48:$Z48,MIN(AV$6-$G$3,22))),0)))))</f>
        <v>0</v>
      </c>
      <c r="AW50" s="27" t="n">
        <f aca="false">IF(COUNT('Feijão 2ª safra'!$E48:$Z48)=0,0,MAX(0,IF((AW$6-$E$3)&lt;1,0,IFERROR(LOOKUP(2,1/('Feijão 2ª safra'!$E48:INDEX('Feijão 2ª safra'!$E48:$Z48,MIN(AW$6-$E$3,22))&lt;&gt;""),'Feijão 2ª safra'!$E48:INDEX('Feijão 2ª safra'!$E48:$Z48,MIN(AW$6-$E$3,22))),0))-IF($G$2,0,IF((AW$6-$G$3)&lt;1,0,IFERROR(LOOKUP(2,1/('Feijão 2ª safra'!$E48:INDEX('Feijão 2ª safra'!$E48:$Z48,MIN(AW$6-$G$3,22))&lt;&gt;""),'Feijão 2ª safra'!$E48:INDEX('Feijão 2ª safra'!$E48:$Z48,MIN(AW$6-$G$3,22))),0)))))</f>
        <v>0</v>
      </c>
      <c r="AX50" s="27" t="n">
        <f aca="false">IF(COUNT('Feijão 2ª safra'!$E48:$Z48)=0,0,MAX(0,IF((AX$6-$E$3)&lt;1,0,IFERROR(LOOKUP(2,1/('Feijão 2ª safra'!$E48:INDEX('Feijão 2ª safra'!$E48:$Z48,MIN(AX$6-$E$3,22))&lt;&gt;""),'Feijão 2ª safra'!$E48:INDEX('Feijão 2ª safra'!$E48:$Z48,MIN(AX$6-$E$3,22))),0))-IF($G$2,0,IF((AX$6-$G$3)&lt;1,0,IFERROR(LOOKUP(2,1/('Feijão 2ª safra'!$E48:INDEX('Feijão 2ª safra'!$E48:$Z48,MIN(AX$6-$G$3,22))&lt;&gt;""),'Feijão 2ª safra'!$E48:INDEX('Feijão 2ª safra'!$E48:$Z48,MIN(AX$6-$G$3,22))),0)))))</f>
        <v>0</v>
      </c>
      <c r="AY50" s="27" t="n">
        <f aca="false">IF(COUNT('Feijão 2ª safra'!$E48:$Z48)=0,0,MAX(0,IF((AY$6-$E$3)&lt;1,0,IFERROR(LOOKUP(2,1/('Feijão 2ª safra'!$E48:INDEX('Feijão 2ª safra'!$E48:$Z48,MIN(AY$6-$E$3,22))&lt;&gt;""),'Feijão 2ª safra'!$E48:INDEX('Feijão 2ª safra'!$E48:$Z48,MIN(AY$6-$E$3,22))),0))-IF($G$2,0,IF((AY$6-$G$3)&lt;1,0,IFERROR(LOOKUP(2,1/('Feijão 2ª safra'!$E48:INDEX('Feijão 2ª safra'!$E48:$Z48,MIN(AY$6-$G$3,22))&lt;&gt;""),'Feijão 2ª safra'!$E48:INDEX('Feijão 2ª safra'!$E48:$Z48,MIN(AY$6-$G$3,22))),0)))))</f>
        <v>0</v>
      </c>
      <c r="AZ50" s="27" t="n">
        <f aca="false">IF(COUNT('Feijão 2ª safra'!$E48:$Z48)=0,0,MAX(0,IF((AZ$6-$E$3)&lt;1,0,IFERROR(LOOKUP(2,1/('Feijão 2ª safra'!$E48:INDEX('Feijão 2ª safra'!$E48:$Z48,MIN(AZ$6-$E$3,22))&lt;&gt;""),'Feijão 2ª safra'!$E48:INDEX('Feijão 2ª safra'!$E48:$Z48,MIN(AZ$6-$E$3,22))),0))-IF($G$2,0,IF((AZ$6-$G$3)&lt;1,0,IFERROR(LOOKUP(2,1/('Feijão 2ª safra'!$E48:INDEX('Feijão 2ª safra'!$E48:$Z48,MIN(AZ$6-$G$3,22))&lt;&gt;""),'Feijão 2ª safra'!$E48:INDEX('Feijão 2ª safra'!$E48:$Z48,MIN(AZ$6-$G$3,22))),0)))))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IF(COUNT('Feijão 2ª safra'!$E49:$Z49)&gt;0,N('Feijão 2ª safra'!$D49),0)</f>
        <v>0</v>
      </c>
      <c r="E51" s="27" t="n">
        <f aca="false">IF(COUNT('Feijão 2ª safra'!$E49:$Z49)=0,0,MAX(0,IF((E$6-$E$3)&lt;1,0,IFERROR(LOOKUP(2,1/('Feijão 2ª safra'!$E49:INDEX('Feijão 2ª safra'!$E49:$Z49,MIN(E$6-$E$3,22))&lt;&gt;""),'Feijão 2ª safra'!$E49:INDEX('Feijão 2ª safra'!$E49:$Z49,MIN(E$6-$E$3,22))),0))-IF($G$2,0,IF((E$6-$G$3)&lt;1,0,IFERROR(LOOKUP(2,1/('Feijão 2ª safra'!$E49:INDEX('Feijão 2ª safra'!$E49:$Z49,MIN(E$6-$G$3,22))&lt;&gt;""),'Feijão 2ª safra'!$E49:INDEX('Feijão 2ª safra'!$E49:$Z49,MIN(E$6-$G$3,22))),0)))))</f>
        <v>0</v>
      </c>
      <c r="F51" s="27" t="n">
        <f aca="false">IF(COUNT('Feijão 2ª safra'!$E49:$Z49)=0,0,MAX(0,IF((F$6-$E$3)&lt;1,0,IFERROR(LOOKUP(2,1/('Feijão 2ª safra'!$E49:INDEX('Feijão 2ª safra'!$E49:$Z49,MIN(F$6-$E$3,22))&lt;&gt;""),'Feijão 2ª safra'!$E49:INDEX('Feijão 2ª safra'!$E49:$Z49,MIN(F$6-$E$3,22))),0))-IF($G$2,0,IF((F$6-$G$3)&lt;1,0,IFERROR(LOOKUP(2,1/('Feijão 2ª safra'!$E49:INDEX('Feijão 2ª safra'!$E49:$Z49,MIN(F$6-$G$3,22))&lt;&gt;""),'Feijão 2ª safra'!$E49:INDEX('Feijão 2ª safra'!$E49:$Z49,MIN(F$6-$G$3,22))),0)))))</f>
        <v>0</v>
      </c>
      <c r="G51" s="27" t="n">
        <f aca="false">IF(COUNT('Feijão 2ª safra'!$E49:$Z49)=0,0,MAX(0,IF((G$6-$E$3)&lt;1,0,IFERROR(LOOKUP(2,1/('Feijão 2ª safra'!$E49:INDEX('Feijão 2ª safra'!$E49:$Z49,MIN(G$6-$E$3,22))&lt;&gt;""),'Feijão 2ª safra'!$E49:INDEX('Feijão 2ª safra'!$E49:$Z49,MIN(G$6-$E$3,22))),0))-IF($G$2,0,IF((G$6-$G$3)&lt;1,0,IFERROR(LOOKUP(2,1/('Feijão 2ª safra'!$E49:INDEX('Feijão 2ª safra'!$E49:$Z49,MIN(G$6-$G$3,22))&lt;&gt;""),'Feijão 2ª safra'!$E49:INDEX('Feijão 2ª safra'!$E49:$Z49,MIN(G$6-$G$3,22))),0)))))</f>
        <v>0</v>
      </c>
      <c r="H51" s="27" t="n">
        <f aca="false">IF(COUNT('Feijão 2ª safra'!$E49:$Z49)=0,0,MAX(0,IF((H$6-$E$3)&lt;1,0,IFERROR(LOOKUP(2,1/('Feijão 2ª safra'!$E49:INDEX('Feijão 2ª safra'!$E49:$Z49,MIN(H$6-$E$3,22))&lt;&gt;""),'Feijão 2ª safra'!$E49:INDEX('Feijão 2ª safra'!$E49:$Z49,MIN(H$6-$E$3,22))),0))-IF($G$2,0,IF((H$6-$G$3)&lt;1,0,IFERROR(LOOKUP(2,1/('Feijão 2ª safra'!$E49:INDEX('Feijão 2ª safra'!$E49:$Z49,MIN(H$6-$G$3,22))&lt;&gt;""),'Feijão 2ª safra'!$E49:INDEX('Feijão 2ª safra'!$E49:$Z49,MIN(H$6-$G$3,22))),0)))))</f>
        <v>0</v>
      </c>
      <c r="I51" s="27" t="n">
        <f aca="false">IF(COUNT('Feijão 2ª safra'!$E49:$Z49)=0,0,MAX(0,IF((I$6-$E$3)&lt;1,0,IFERROR(LOOKUP(2,1/('Feijão 2ª safra'!$E49:INDEX('Feijão 2ª safra'!$E49:$Z49,MIN(I$6-$E$3,22))&lt;&gt;""),'Feijão 2ª safra'!$E49:INDEX('Feijão 2ª safra'!$E49:$Z49,MIN(I$6-$E$3,22))),0))-IF($G$2,0,IF((I$6-$G$3)&lt;1,0,IFERROR(LOOKUP(2,1/('Feijão 2ª safra'!$E49:INDEX('Feijão 2ª safra'!$E49:$Z49,MIN(I$6-$G$3,22))&lt;&gt;""),'Feijão 2ª safra'!$E49:INDEX('Feijão 2ª safra'!$E49:$Z49,MIN(I$6-$G$3,22))),0)))))</f>
        <v>0</v>
      </c>
      <c r="J51" s="27" t="n">
        <f aca="false">IF(COUNT('Feijão 2ª safra'!$E49:$Z49)=0,0,MAX(0,IF((J$6-$E$3)&lt;1,0,IFERROR(LOOKUP(2,1/('Feijão 2ª safra'!$E49:INDEX('Feijão 2ª safra'!$E49:$Z49,MIN(J$6-$E$3,22))&lt;&gt;""),'Feijão 2ª safra'!$E49:INDEX('Feijão 2ª safra'!$E49:$Z49,MIN(J$6-$E$3,22))),0))-IF($G$2,0,IF((J$6-$G$3)&lt;1,0,IFERROR(LOOKUP(2,1/('Feijão 2ª safra'!$E49:INDEX('Feijão 2ª safra'!$E49:$Z49,MIN(J$6-$G$3,22))&lt;&gt;""),'Feijão 2ª safra'!$E49:INDEX('Feijão 2ª safra'!$E49:$Z49,MIN(J$6-$G$3,22))),0)))))</f>
        <v>0</v>
      </c>
      <c r="K51" s="27" t="n">
        <f aca="false">IF(COUNT('Feijão 2ª safra'!$E49:$Z49)=0,0,MAX(0,IF((K$6-$E$3)&lt;1,0,IFERROR(LOOKUP(2,1/('Feijão 2ª safra'!$E49:INDEX('Feijão 2ª safra'!$E49:$Z49,MIN(K$6-$E$3,22))&lt;&gt;""),'Feijão 2ª safra'!$E49:INDEX('Feijão 2ª safra'!$E49:$Z49,MIN(K$6-$E$3,22))),0))-IF($G$2,0,IF((K$6-$G$3)&lt;1,0,IFERROR(LOOKUP(2,1/('Feijão 2ª safra'!$E49:INDEX('Feijão 2ª safra'!$E49:$Z49,MIN(K$6-$G$3,22))&lt;&gt;""),'Feijão 2ª safra'!$E49:INDEX('Feijão 2ª safra'!$E49:$Z49,MIN(K$6-$G$3,22))),0)))))</f>
        <v>0</v>
      </c>
      <c r="L51" s="27" t="n">
        <f aca="false">IF(COUNT('Feijão 2ª safra'!$E49:$Z49)=0,0,MAX(0,IF((L$6-$E$3)&lt;1,0,IFERROR(LOOKUP(2,1/('Feijão 2ª safra'!$E49:INDEX('Feijão 2ª safra'!$E49:$Z49,MIN(L$6-$E$3,22))&lt;&gt;""),'Feijão 2ª safra'!$E49:INDEX('Feijão 2ª safra'!$E49:$Z49,MIN(L$6-$E$3,22))),0))-IF($G$2,0,IF((L$6-$G$3)&lt;1,0,IFERROR(LOOKUP(2,1/('Feijão 2ª safra'!$E49:INDEX('Feijão 2ª safra'!$E49:$Z49,MIN(L$6-$G$3,22))&lt;&gt;""),'Feijão 2ª safra'!$E49:INDEX('Feijão 2ª safra'!$E49:$Z49,MIN(L$6-$G$3,22))),0)))))</f>
        <v>0</v>
      </c>
      <c r="M51" s="27" t="n">
        <f aca="false">IF(COUNT('Feijão 2ª safra'!$E49:$Z49)=0,0,MAX(0,IF((M$6-$E$3)&lt;1,0,IFERROR(LOOKUP(2,1/('Feijão 2ª safra'!$E49:INDEX('Feijão 2ª safra'!$E49:$Z49,MIN(M$6-$E$3,22))&lt;&gt;""),'Feijão 2ª safra'!$E49:INDEX('Feijão 2ª safra'!$E49:$Z49,MIN(M$6-$E$3,22))),0))-IF($G$2,0,IF((M$6-$G$3)&lt;1,0,IFERROR(LOOKUP(2,1/('Feijão 2ª safra'!$E49:INDEX('Feijão 2ª safra'!$E49:$Z49,MIN(M$6-$G$3,22))&lt;&gt;""),'Feijão 2ª safra'!$E49:INDEX('Feijão 2ª safra'!$E49:$Z49,MIN(M$6-$G$3,22))),0)))))</f>
        <v>0</v>
      </c>
      <c r="N51" s="27" t="n">
        <f aca="false">IF(COUNT('Feijão 2ª safra'!$E49:$Z49)=0,0,MAX(0,IF((N$6-$E$3)&lt;1,0,IFERROR(LOOKUP(2,1/('Feijão 2ª safra'!$E49:INDEX('Feijão 2ª safra'!$E49:$Z49,MIN(N$6-$E$3,22))&lt;&gt;""),'Feijão 2ª safra'!$E49:INDEX('Feijão 2ª safra'!$E49:$Z49,MIN(N$6-$E$3,22))),0))-IF($G$2,0,IF((N$6-$G$3)&lt;1,0,IFERROR(LOOKUP(2,1/('Feijão 2ª safra'!$E49:INDEX('Feijão 2ª safra'!$E49:$Z49,MIN(N$6-$G$3,22))&lt;&gt;""),'Feijão 2ª safra'!$E49:INDEX('Feijão 2ª safra'!$E49:$Z49,MIN(N$6-$G$3,22))),0)))))</f>
        <v>0</v>
      </c>
      <c r="O51" s="27" t="n">
        <f aca="false">IF(COUNT('Feijão 2ª safra'!$E49:$Z49)=0,0,MAX(0,IF((O$6-$E$3)&lt;1,0,IFERROR(LOOKUP(2,1/('Feijão 2ª safra'!$E49:INDEX('Feijão 2ª safra'!$E49:$Z49,MIN(O$6-$E$3,22))&lt;&gt;""),'Feijão 2ª safra'!$E49:INDEX('Feijão 2ª safra'!$E49:$Z49,MIN(O$6-$E$3,22))),0))-IF($G$2,0,IF((O$6-$G$3)&lt;1,0,IFERROR(LOOKUP(2,1/('Feijão 2ª safra'!$E49:INDEX('Feijão 2ª safra'!$E49:$Z49,MIN(O$6-$G$3,22))&lt;&gt;""),'Feijão 2ª safra'!$E49:INDEX('Feijão 2ª safra'!$E49:$Z49,MIN(O$6-$G$3,22))),0)))))</f>
        <v>0</v>
      </c>
      <c r="P51" s="27" t="n">
        <f aca="false">IF(COUNT('Feijão 2ª safra'!$E49:$Z49)=0,0,MAX(0,IF((P$6-$E$3)&lt;1,0,IFERROR(LOOKUP(2,1/('Feijão 2ª safra'!$E49:INDEX('Feijão 2ª safra'!$E49:$Z49,MIN(P$6-$E$3,22))&lt;&gt;""),'Feijão 2ª safra'!$E49:INDEX('Feijão 2ª safra'!$E49:$Z49,MIN(P$6-$E$3,22))),0))-IF($G$2,0,IF((P$6-$G$3)&lt;1,0,IFERROR(LOOKUP(2,1/('Feijão 2ª safra'!$E49:INDEX('Feijão 2ª safra'!$E49:$Z49,MIN(P$6-$G$3,22))&lt;&gt;""),'Feijão 2ª safra'!$E49:INDEX('Feijão 2ª safra'!$E49:$Z49,MIN(P$6-$G$3,22))),0)))))</f>
        <v>0</v>
      </c>
      <c r="Q51" s="27" t="n">
        <f aca="false">IF(COUNT('Feijão 2ª safra'!$E49:$Z49)=0,0,MAX(0,IF((Q$6-$E$3)&lt;1,0,IFERROR(LOOKUP(2,1/('Feijão 2ª safra'!$E49:INDEX('Feijão 2ª safra'!$E49:$Z49,MIN(Q$6-$E$3,22))&lt;&gt;""),'Feijão 2ª safra'!$E49:INDEX('Feijão 2ª safra'!$E49:$Z49,MIN(Q$6-$E$3,22))),0))-IF($G$2,0,IF((Q$6-$G$3)&lt;1,0,IFERROR(LOOKUP(2,1/('Feijão 2ª safra'!$E49:INDEX('Feijão 2ª safra'!$E49:$Z49,MIN(Q$6-$G$3,22))&lt;&gt;""),'Feijão 2ª safra'!$E49:INDEX('Feijão 2ª safra'!$E49:$Z49,MIN(Q$6-$G$3,22))),0)))))</f>
        <v>0</v>
      </c>
      <c r="R51" s="27" t="n">
        <f aca="false">IF(COUNT('Feijão 2ª safra'!$E49:$Z49)=0,0,MAX(0,IF((R$6-$E$3)&lt;1,0,IFERROR(LOOKUP(2,1/('Feijão 2ª safra'!$E49:INDEX('Feijão 2ª safra'!$E49:$Z49,MIN(R$6-$E$3,22))&lt;&gt;""),'Feijão 2ª safra'!$E49:INDEX('Feijão 2ª safra'!$E49:$Z49,MIN(R$6-$E$3,22))),0))-IF($G$2,0,IF((R$6-$G$3)&lt;1,0,IFERROR(LOOKUP(2,1/('Feijão 2ª safra'!$E49:INDEX('Feijão 2ª safra'!$E49:$Z49,MIN(R$6-$G$3,22))&lt;&gt;""),'Feijão 2ª safra'!$E49:INDEX('Feijão 2ª safra'!$E49:$Z49,MIN(R$6-$G$3,22))),0)))))</f>
        <v>0</v>
      </c>
      <c r="S51" s="27" t="n">
        <f aca="false">IF(COUNT('Feijão 2ª safra'!$E49:$Z49)=0,0,MAX(0,IF((S$6-$E$3)&lt;1,0,IFERROR(LOOKUP(2,1/('Feijão 2ª safra'!$E49:INDEX('Feijão 2ª safra'!$E49:$Z49,MIN(S$6-$E$3,22))&lt;&gt;""),'Feijão 2ª safra'!$E49:INDEX('Feijão 2ª safra'!$E49:$Z49,MIN(S$6-$E$3,22))),0))-IF($G$2,0,IF((S$6-$G$3)&lt;1,0,IFERROR(LOOKUP(2,1/('Feijão 2ª safra'!$E49:INDEX('Feijão 2ª safra'!$E49:$Z49,MIN(S$6-$G$3,22))&lt;&gt;""),'Feijão 2ª safra'!$E49:INDEX('Feijão 2ª safra'!$E49:$Z49,MIN(S$6-$G$3,22))),0)))))</f>
        <v>0</v>
      </c>
      <c r="T51" s="27" t="n">
        <f aca="false">IF(COUNT('Feijão 2ª safra'!$E49:$Z49)=0,0,MAX(0,IF((T$6-$E$3)&lt;1,0,IFERROR(LOOKUP(2,1/('Feijão 2ª safra'!$E49:INDEX('Feijão 2ª safra'!$E49:$Z49,MIN(T$6-$E$3,22))&lt;&gt;""),'Feijão 2ª safra'!$E49:INDEX('Feijão 2ª safra'!$E49:$Z49,MIN(T$6-$E$3,22))),0))-IF($G$2,0,IF((T$6-$G$3)&lt;1,0,IFERROR(LOOKUP(2,1/('Feijão 2ª safra'!$E49:INDEX('Feijão 2ª safra'!$E49:$Z49,MIN(T$6-$G$3,22))&lt;&gt;""),'Feijão 2ª safra'!$E49:INDEX('Feijão 2ª safra'!$E49:$Z49,MIN(T$6-$G$3,22))),0)))))</f>
        <v>0</v>
      </c>
      <c r="U51" s="27" t="n">
        <f aca="false">IF(COUNT('Feijão 2ª safra'!$E49:$Z49)=0,0,MAX(0,IF((U$6-$E$3)&lt;1,0,IFERROR(LOOKUP(2,1/('Feijão 2ª safra'!$E49:INDEX('Feijão 2ª safra'!$E49:$Z49,MIN(U$6-$E$3,22))&lt;&gt;""),'Feijão 2ª safra'!$E49:INDEX('Feijão 2ª safra'!$E49:$Z49,MIN(U$6-$E$3,22))),0))-IF($G$2,0,IF((U$6-$G$3)&lt;1,0,IFERROR(LOOKUP(2,1/('Feijão 2ª safra'!$E49:INDEX('Feijão 2ª safra'!$E49:$Z49,MIN(U$6-$G$3,22))&lt;&gt;""),'Feijão 2ª safra'!$E49:INDEX('Feijão 2ª safra'!$E49:$Z49,MIN(U$6-$G$3,22))),0)))))</f>
        <v>0</v>
      </c>
      <c r="V51" s="27" t="n">
        <f aca="false">IF(COUNT('Feijão 2ª safra'!$E49:$Z49)=0,0,MAX(0,IF((V$6-$E$3)&lt;1,0,IFERROR(LOOKUP(2,1/('Feijão 2ª safra'!$E49:INDEX('Feijão 2ª safra'!$E49:$Z49,MIN(V$6-$E$3,22))&lt;&gt;""),'Feijão 2ª safra'!$E49:INDEX('Feijão 2ª safra'!$E49:$Z49,MIN(V$6-$E$3,22))),0))-IF($G$2,0,IF((V$6-$G$3)&lt;1,0,IFERROR(LOOKUP(2,1/('Feijão 2ª safra'!$E49:INDEX('Feijão 2ª safra'!$E49:$Z49,MIN(V$6-$G$3,22))&lt;&gt;""),'Feijão 2ª safra'!$E49:INDEX('Feijão 2ª safra'!$E49:$Z49,MIN(V$6-$G$3,22))),0)))))</f>
        <v>0</v>
      </c>
      <c r="W51" s="27" t="n">
        <f aca="false">IF(COUNT('Feijão 2ª safra'!$E49:$Z49)=0,0,MAX(0,IF((W$6-$E$3)&lt;1,0,IFERROR(LOOKUP(2,1/('Feijão 2ª safra'!$E49:INDEX('Feijão 2ª safra'!$E49:$Z49,MIN(W$6-$E$3,22))&lt;&gt;""),'Feijão 2ª safra'!$E49:INDEX('Feijão 2ª safra'!$E49:$Z49,MIN(W$6-$E$3,22))),0))-IF($G$2,0,IF((W$6-$G$3)&lt;1,0,IFERROR(LOOKUP(2,1/('Feijão 2ª safra'!$E49:INDEX('Feijão 2ª safra'!$E49:$Z49,MIN(W$6-$G$3,22))&lt;&gt;""),'Feijão 2ª safra'!$E49:INDEX('Feijão 2ª safra'!$E49:$Z49,MIN(W$6-$G$3,22))),0)))))</f>
        <v>0</v>
      </c>
      <c r="X51" s="27" t="n">
        <f aca="false">IF(COUNT('Feijão 2ª safra'!$E49:$Z49)=0,0,MAX(0,IF((X$6-$E$3)&lt;1,0,IFERROR(LOOKUP(2,1/('Feijão 2ª safra'!$E49:INDEX('Feijão 2ª safra'!$E49:$Z49,MIN(X$6-$E$3,22))&lt;&gt;""),'Feijão 2ª safra'!$E49:INDEX('Feijão 2ª safra'!$E49:$Z49,MIN(X$6-$E$3,22))),0))-IF($G$2,0,IF((X$6-$G$3)&lt;1,0,IFERROR(LOOKUP(2,1/('Feijão 2ª safra'!$E49:INDEX('Feijão 2ª safra'!$E49:$Z49,MIN(X$6-$G$3,22))&lt;&gt;""),'Feijão 2ª safra'!$E49:INDEX('Feijão 2ª safra'!$E49:$Z49,MIN(X$6-$G$3,22))),0)))))</f>
        <v>0</v>
      </c>
      <c r="Y51" s="27" t="n">
        <f aca="false">IF(COUNT('Feijão 2ª safra'!$E49:$Z49)=0,0,MAX(0,IF((Y$6-$E$3)&lt;1,0,IFERROR(LOOKUP(2,1/('Feijão 2ª safra'!$E49:INDEX('Feijão 2ª safra'!$E49:$Z49,MIN(Y$6-$E$3,22))&lt;&gt;""),'Feijão 2ª safra'!$E49:INDEX('Feijão 2ª safra'!$E49:$Z49,MIN(Y$6-$E$3,22))),0))-IF($G$2,0,IF((Y$6-$G$3)&lt;1,0,IFERROR(LOOKUP(2,1/('Feijão 2ª safra'!$E49:INDEX('Feijão 2ª safra'!$E49:$Z49,MIN(Y$6-$G$3,22))&lt;&gt;""),'Feijão 2ª safra'!$E49:INDEX('Feijão 2ª safra'!$E49:$Z49,MIN(Y$6-$G$3,22))),0)))))</f>
        <v>0</v>
      </c>
      <c r="Z51" s="27" t="n">
        <f aca="false">IF(COUNT('Feijão 2ª safra'!$E49:$Z49)=0,0,MAX(0,IF((Z$6-$E$3)&lt;1,0,IFERROR(LOOKUP(2,1/('Feijão 2ª safra'!$E49:INDEX('Feijão 2ª safra'!$E49:$Z49,MIN(Z$6-$E$3,22))&lt;&gt;""),'Feijão 2ª safra'!$E49:INDEX('Feijão 2ª safra'!$E49:$Z49,MIN(Z$6-$E$3,22))),0))-IF($G$2,0,IF((Z$6-$G$3)&lt;1,0,IFERROR(LOOKUP(2,1/('Feijão 2ª safra'!$E49:INDEX('Feijão 2ª safra'!$E49:$Z49,MIN(Z$6-$G$3,22))&lt;&gt;""),'Feijão 2ª safra'!$E49:INDEX('Feijão 2ª safra'!$E49:$Z49,MIN(Z$6-$G$3,22))),0)))))</f>
        <v>0</v>
      </c>
      <c r="AA51" s="27" t="n">
        <f aca="false">IF(COUNT('Feijão 2ª safra'!$E49:$Z49)=0,0,MAX(0,IF((AA$6-$E$3)&lt;1,0,IFERROR(LOOKUP(2,1/('Feijão 2ª safra'!$E49:INDEX('Feijão 2ª safra'!$E49:$Z49,MIN(AA$6-$E$3,22))&lt;&gt;""),'Feijão 2ª safra'!$E49:INDEX('Feijão 2ª safra'!$E49:$Z49,MIN(AA$6-$E$3,22))),0))-IF($G$2,0,IF((AA$6-$G$3)&lt;1,0,IFERROR(LOOKUP(2,1/('Feijão 2ª safra'!$E49:INDEX('Feijão 2ª safra'!$E49:$Z49,MIN(AA$6-$G$3,22))&lt;&gt;""),'Feijão 2ª safra'!$E49:INDEX('Feijão 2ª safra'!$E49:$Z49,MIN(AA$6-$G$3,22))),0)))))</f>
        <v>0</v>
      </c>
      <c r="AB51" s="27" t="n">
        <f aca="false">IF(COUNT('Feijão 2ª safra'!$E49:$Z49)=0,0,MAX(0,IF((AB$6-$E$3)&lt;1,0,IFERROR(LOOKUP(2,1/('Feijão 2ª safra'!$E49:INDEX('Feijão 2ª safra'!$E49:$Z49,MIN(AB$6-$E$3,22))&lt;&gt;""),'Feijão 2ª safra'!$E49:INDEX('Feijão 2ª safra'!$E49:$Z49,MIN(AB$6-$E$3,22))),0))-IF($G$2,0,IF((AB$6-$G$3)&lt;1,0,IFERROR(LOOKUP(2,1/('Feijão 2ª safra'!$E49:INDEX('Feijão 2ª safra'!$E49:$Z49,MIN(AB$6-$G$3,22))&lt;&gt;""),'Feijão 2ª safra'!$E49:INDEX('Feijão 2ª safra'!$E49:$Z49,MIN(AB$6-$G$3,22))),0)))))</f>
        <v>0</v>
      </c>
      <c r="AC51" s="27" t="n">
        <f aca="false">IF(COUNT('Feijão 2ª safra'!$E49:$Z49)=0,0,MAX(0,IF((AC$6-$E$3)&lt;1,0,IFERROR(LOOKUP(2,1/('Feijão 2ª safra'!$E49:INDEX('Feijão 2ª safra'!$E49:$Z49,MIN(AC$6-$E$3,22))&lt;&gt;""),'Feijão 2ª safra'!$E49:INDEX('Feijão 2ª safra'!$E49:$Z49,MIN(AC$6-$E$3,22))),0))-IF($G$2,0,IF((AC$6-$G$3)&lt;1,0,IFERROR(LOOKUP(2,1/('Feijão 2ª safra'!$E49:INDEX('Feijão 2ª safra'!$E49:$Z49,MIN(AC$6-$G$3,22))&lt;&gt;""),'Feijão 2ª safra'!$E49:INDEX('Feijão 2ª safra'!$E49:$Z49,MIN(AC$6-$G$3,22))),0)))))</f>
        <v>0</v>
      </c>
      <c r="AD51" s="27" t="n">
        <f aca="false">IF(COUNT('Feijão 2ª safra'!$E49:$Z49)=0,0,MAX(0,IF((AD$6-$E$3)&lt;1,0,IFERROR(LOOKUP(2,1/('Feijão 2ª safra'!$E49:INDEX('Feijão 2ª safra'!$E49:$Z49,MIN(AD$6-$E$3,22))&lt;&gt;""),'Feijão 2ª safra'!$E49:INDEX('Feijão 2ª safra'!$E49:$Z49,MIN(AD$6-$E$3,22))),0))-IF($G$2,0,IF((AD$6-$G$3)&lt;1,0,IFERROR(LOOKUP(2,1/('Feijão 2ª safra'!$E49:INDEX('Feijão 2ª safra'!$E49:$Z49,MIN(AD$6-$G$3,22))&lt;&gt;""),'Feijão 2ª safra'!$E49:INDEX('Feijão 2ª safra'!$E49:$Z49,MIN(AD$6-$G$3,22))),0)))))</f>
        <v>0</v>
      </c>
      <c r="AE51" s="27" t="n">
        <f aca="false">IF(COUNT('Feijão 2ª safra'!$E49:$Z49)=0,0,MAX(0,IF((AE$6-$E$3)&lt;1,0,IFERROR(LOOKUP(2,1/('Feijão 2ª safra'!$E49:INDEX('Feijão 2ª safra'!$E49:$Z49,MIN(AE$6-$E$3,22))&lt;&gt;""),'Feijão 2ª safra'!$E49:INDEX('Feijão 2ª safra'!$E49:$Z49,MIN(AE$6-$E$3,22))),0))-IF($G$2,0,IF((AE$6-$G$3)&lt;1,0,IFERROR(LOOKUP(2,1/('Feijão 2ª safra'!$E49:INDEX('Feijão 2ª safra'!$E49:$Z49,MIN(AE$6-$G$3,22))&lt;&gt;""),'Feijão 2ª safra'!$E49:INDEX('Feijão 2ª safra'!$E49:$Z49,MIN(AE$6-$G$3,22))),0)))))</f>
        <v>0</v>
      </c>
      <c r="AF51" s="27" t="n">
        <f aca="false">IF(COUNT('Feijão 2ª safra'!$E49:$Z49)=0,0,MAX(0,IF((AF$6-$E$3)&lt;1,0,IFERROR(LOOKUP(2,1/('Feijão 2ª safra'!$E49:INDEX('Feijão 2ª safra'!$E49:$Z49,MIN(AF$6-$E$3,22))&lt;&gt;""),'Feijão 2ª safra'!$E49:INDEX('Feijão 2ª safra'!$E49:$Z49,MIN(AF$6-$E$3,22))),0))-IF($G$2,0,IF((AF$6-$G$3)&lt;1,0,IFERROR(LOOKUP(2,1/('Feijão 2ª safra'!$E49:INDEX('Feijão 2ª safra'!$E49:$Z49,MIN(AF$6-$G$3,22))&lt;&gt;""),'Feijão 2ª safra'!$E49:INDEX('Feijão 2ª safra'!$E49:$Z49,MIN(AF$6-$G$3,22))),0)))))</f>
        <v>0</v>
      </c>
      <c r="AG51" s="27" t="n">
        <f aca="false">IF(COUNT('Feijão 2ª safra'!$E49:$Z49)=0,0,MAX(0,IF((AG$6-$E$3)&lt;1,0,IFERROR(LOOKUP(2,1/('Feijão 2ª safra'!$E49:INDEX('Feijão 2ª safra'!$E49:$Z49,MIN(AG$6-$E$3,22))&lt;&gt;""),'Feijão 2ª safra'!$E49:INDEX('Feijão 2ª safra'!$E49:$Z49,MIN(AG$6-$E$3,22))),0))-IF($G$2,0,IF((AG$6-$G$3)&lt;1,0,IFERROR(LOOKUP(2,1/('Feijão 2ª safra'!$E49:INDEX('Feijão 2ª safra'!$E49:$Z49,MIN(AG$6-$G$3,22))&lt;&gt;""),'Feijão 2ª safra'!$E49:INDEX('Feijão 2ª safra'!$E49:$Z49,MIN(AG$6-$G$3,22))),0)))))</f>
        <v>0</v>
      </c>
      <c r="AH51" s="27" t="n">
        <f aca="false">IF(COUNT('Feijão 2ª safra'!$E49:$Z49)=0,0,MAX(0,IF((AH$6-$E$3)&lt;1,0,IFERROR(LOOKUP(2,1/('Feijão 2ª safra'!$E49:INDEX('Feijão 2ª safra'!$E49:$Z49,MIN(AH$6-$E$3,22))&lt;&gt;""),'Feijão 2ª safra'!$E49:INDEX('Feijão 2ª safra'!$E49:$Z49,MIN(AH$6-$E$3,22))),0))-IF($G$2,0,IF((AH$6-$G$3)&lt;1,0,IFERROR(LOOKUP(2,1/('Feijão 2ª safra'!$E49:INDEX('Feijão 2ª safra'!$E49:$Z49,MIN(AH$6-$G$3,22))&lt;&gt;""),'Feijão 2ª safra'!$E49:INDEX('Feijão 2ª safra'!$E49:$Z49,MIN(AH$6-$G$3,22))),0)))))</f>
        <v>0</v>
      </c>
      <c r="AI51" s="27" t="n">
        <f aca="false">IF(COUNT('Feijão 2ª safra'!$E49:$Z49)=0,0,MAX(0,IF((AI$6-$E$3)&lt;1,0,IFERROR(LOOKUP(2,1/('Feijão 2ª safra'!$E49:INDEX('Feijão 2ª safra'!$E49:$Z49,MIN(AI$6-$E$3,22))&lt;&gt;""),'Feijão 2ª safra'!$E49:INDEX('Feijão 2ª safra'!$E49:$Z49,MIN(AI$6-$E$3,22))),0))-IF($G$2,0,IF((AI$6-$G$3)&lt;1,0,IFERROR(LOOKUP(2,1/('Feijão 2ª safra'!$E49:INDEX('Feijão 2ª safra'!$E49:$Z49,MIN(AI$6-$G$3,22))&lt;&gt;""),'Feijão 2ª safra'!$E49:INDEX('Feijão 2ª safra'!$E49:$Z49,MIN(AI$6-$G$3,22))),0)))))</f>
        <v>0</v>
      </c>
      <c r="AJ51" s="27" t="n">
        <f aca="false">IF(COUNT('Feijão 2ª safra'!$E49:$Z49)=0,0,MAX(0,IF((AJ$6-$E$3)&lt;1,0,IFERROR(LOOKUP(2,1/('Feijão 2ª safra'!$E49:INDEX('Feijão 2ª safra'!$E49:$Z49,MIN(AJ$6-$E$3,22))&lt;&gt;""),'Feijão 2ª safra'!$E49:INDEX('Feijão 2ª safra'!$E49:$Z49,MIN(AJ$6-$E$3,22))),0))-IF($G$2,0,IF((AJ$6-$G$3)&lt;1,0,IFERROR(LOOKUP(2,1/('Feijão 2ª safra'!$E49:INDEX('Feijão 2ª safra'!$E49:$Z49,MIN(AJ$6-$G$3,22))&lt;&gt;""),'Feijão 2ª safra'!$E49:INDEX('Feijão 2ª safra'!$E49:$Z49,MIN(AJ$6-$G$3,22))),0)))))</f>
        <v>0</v>
      </c>
      <c r="AK51" s="27" t="n">
        <f aca="false">IF(COUNT('Feijão 2ª safra'!$E49:$Z49)=0,0,MAX(0,IF((AK$6-$E$3)&lt;1,0,IFERROR(LOOKUP(2,1/('Feijão 2ª safra'!$E49:INDEX('Feijão 2ª safra'!$E49:$Z49,MIN(AK$6-$E$3,22))&lt;&gt;""),'Feijão 2ª safra'!$E49:INDEX('Feijão 2ª safra'!$E49:$Z49,MIN(AK$6-$E$3,22))),0))-IF($G$2,0,IF((AK$6-$G$3)&lt;1,0,IFERROR(LOOKUP(2,1/('Feijão 2ª safra'!$E49:INDEX('Feijão 2ª safra'!$E49:$Z49,MIN(AK$6-$G$3,22))&lt;&gt;""),'Feijão 2ª safra'!$E49:INDEX('Feijão 2ª safra'!$E49:$Z49,MIN(AK$6-$G$3,22))),0)))))</f>
        <v>0</v>
      </c>
      <c r="AL51" s="27" t="n">
        <f aca="false">IF(COUNT('Feijão 2ª safra'!$E49:$Z49)=0,0,MAX(0,IF((AL$6-$E$3)&lt;1,0,IFERROR(LOOKUP(2,1/('Feijão 2ª safra'!$E49:INDEX('Feijão 2ª safra'!$E49:$Z49,MIN(AL$6-$E$3,22))&lt;&gt;""),'Feijão 2ª safra'!$E49:INDEX('Feijão 2ª safra'!$E49:$Z49,MIN(AL$6-$E$3,22))),0))-IF($G$2,0,IF((AL$6-$G$3)&lt;1,0,IFERROR(LOOKUP(2,1/('Feijão 2ª safra'!$E49:INDEX('Feijão 2ª safra'!$E49:$Z49,MIN(AL$6-$G$3,22))&lt;&gt;""),'Feijão 2ª safra'!$E49:INDEX('Feijão 2ª safra'!$E49:$Z49,MIN(AL$6-$G$3,22))),0)))))</f>
        <v>0</v>
      </c>
      <c r="AM51" s="27" t="n">
        <f aca="false">IF(COUNT('Feijão 2ª safra'!$E49:$Z49)=0,0,MAX(0,IF((AM$6-$E$3)&lt;1,0,IFERROR(LOOKUP(2,1/('Feijão 2ª safra'!$E49:INDEX('Feijão 2ª safra'!$E49:$Z49,MIN(AM$6-$E$3,22))&lt;&gt;""),'Feijão 2ª safra'!$E49:INDEX('Feijão 2ª safra'!$E49:$Z49,MIN(AM$6-$E$3,22))),0))-IF($G$2,0,IF((AM$6-$G$3)&lt;1,0,IFERROR(LOOKUP(2,1/('Feijão 2ª safra'!$E49:INDEX('Feijão 2ª safra'!$E49:$Z49,MIN(AM$6-$G$3,22))&lt;&gt;""),'Feijão 2ª safra'!$E49:INDEX('Feijão 2ª safra'!$E49:$Z49,MIN(AM$6-$G$3,22))),0)))))</f>
        <v>0</v>
      </c>
      <c r="AN51" s="27" t="n">
        <f aca="false">IF(COUNT('Feijão 2ª safra'!$E49:$Z49)=0,0,MAX(0,IF((AN$6-$E$3)&lt;1,0,IFERROR(LOOKUP(2,1/('Feijão 2ª safra'!$E49:INDEX('Feijão 2ª safra'!$E49:$Z49,MIN(AN$6-$E$3,22))&lt;&gt;""),'Feijão 2ª safra'!$E49:INDEX('Feijão 2ª safra'!$E49:$Z49,MIN(AN$6-$E$3,22))),0))-IF($G$2,0,IF((AN$6-$G$3)&lt;1,0,IFERROR(LOOKUP(2,1/('Feijão 2ª safra'!$E49:INDEX('Feijão 2ª safra'!$E49:$Z49,MIN(AN$6-$G$3,22))&lt;&gt;""),'Feijão 2ª safra'!$E49:INDEX('Feijão 2ª safra'!$E49:$Z49,MIN(AN$6-$G$3,22))),0)))))</f>
        <v>0</v>
      </c>
      <c r="AO51" s="27" t="n">
        <f aca="false">IF(COUNT('Feijão 2ª safra'!$E49:$Z49)=0,0,MAX(0,IF((AO$6-$E$3)&lt;1,0,IFERROR(LOOKUP(2,1/('Feijão 2ª safra'!$E49:INDEX('Feijão 2ª safra'!$E49:$Z49,MIN(AO$6-$E$3,22))&lt;&gt;""),'Feijão 2ª safra'!$E49:INDEX('Feijão 2ª safra'!$E49:$Z49,MIN(AO$6-$E$3,22))),0))-IF($G$2,0,IF((AO$6-$G$3)&lt;1,0,IFERROR(LOOKUP(2,1/('Feijão 2ª safra'!$E49:INDEX('Feijão 2ª safra'!$E49:$Z49,MIN(AO$6-$G$3,22))&lt;&gt;""),'Feijão 2ª safra'!$E49:INDEX('Feijão 2ª safra'!$E49:$Z49,MIN(AO$6-$G$3,22))),0)))))</f>
        <v>0</v>
      </c>
      <c r="AP51" s="27" t="n">
        <f aca="false">IF(COUNT('Feijão 2ª safra'!$E49:$Z49)=0,0,MAX(0,IF((AP$6-$E$3)&lt;1,0,IFERROR(LOOKUP(2,1/('Feijão 2ª safra'!$E49:INDEX('Feijão 2ª safra'!$E49:$Z49,MIN(AP$6-$E$3,22))&lt;&gt;""),'Feijão 2ª safra'!$E49:INDEX('Feijão 2ª safra'!$E49:$Z49,MIN(AP$6-$E$3,22))),0))-IF($G$2,0,IF((AP$6-$G$3)&lt;1,0,IFERROR(LOOKUP(2,1/('Feijão 2ª safra'!$E49:INDEX('Feijão 2ª safra'!$E49:$Z49,MIN(AP$6-$G$3,22))&lt;&gt;""),'Feijão 2ª safra'!$E49:INDEX('Feijão 2ª safra'!$E49:$Z49,MIN(AP$6-$G$3,22))),0)))))</f>
        <v>0</v>
      </c>
      <c r="AQ51" s="27" t="n">
        <f aca="false">IF(COUNT('Feijão 2ª safra'!$E49:$Z49)=0,0,MAX(0,IF((AQ$6-$E$3)&lt;1,0,IFERROR(LOOKUP(2,1/('Feijão 2ª safra'!$E49:INDEX('Feijão 2ª safra'!$E49:$Z49,MIN(AQ$6-$E$3,22))&lt;&gt;""),'Feijão 2ª safra'!$E49:INDEX('Feijão 2ª safra'!$E49:$Z49,MIN(AQ$6-$E$3,22))),0))-IF($G$2,0,IF((AQ$6-$G$3)&lt;1,0,IFERROR(LOOKUP(2,1/('Feijão 2ª safra'!$E49:INDEX('Feijão 2ª safra'!$E49:$Z49,MIN(AQ$6-$G$3,22))&lt;&gt;""),'Feijão 2ª safra'!$E49:INDEX('Feijão 2ª safra'!$E49:$Z49,MIN(AQ$6-$G$3,22))),0)))))</f>
        <v>0</v>
      </c>
      <c r="AR51" s="27" t="n">
        <f aca="false">IF(COUNT('Feijão 2ª safra'!$E49:$Z49)=0,0,MAX(0,IF((AR$6-$E$3)&lt;1,0,IFERROR(LOOKUP(2,1/('Feijão 2ª safra'!$E49:INDEX('Feijão 2ª safra'!$E49:$Z49,MIN(AR$6-$E$3,22))&lt;&gt;""),'Feijão 2ª safra'!$E49:INDEX('Feijão 2ª safra'!$E49:$Z49,MIN(AR$6-$E$3,22))),0))-IF($G$2,0,IF((AR$6-$G$3)&lt;1,0,IFERROR(LOOKUP(2,1/('Feijão 2ª safra'!$E49:INDEX('Feijão 2ª safra'!$E49:$Z49,MIN(AR$6-$G$3,22))&lt;&gt;""),'Feijão 2ª safra'!$E49:INDEX('Feijão 2ª safra'!$E49:$Z49,MIN(AR$6-$G$3,22))),0)))))</f>
        <v>0</v>
      </c>
      <c r="AS51" s="27" t="n">
        <f aca="false">IF(COUNT('Feijão 2ª safra'!$E49:$Z49)=0,0,MAX(0,IF((AS$6-$E$3)&lt;1,0,IFERROR(LOOKUP(2,1/('Feijão 2ª safra'!$E49:INDEX('Feijão 2ª safra'!$E49:$Z49,MIN(AS$6-$E$3,22))&lt;&gt;""),'Feijão 2ª safra'!$E49:INDEX('Feijão 2ª safra'!$E49:$Z49,MIN(AS$6-$E$3,22))),0))-IF($G$2,0,IF((AS$6-$G$3)&lt;1,0,IFERROR(LOOKUP(2,1/('Feijão 2ª safra'!$E49:INDEX('Feijão 2ª safra'!$E49:$Z49,MIN(AS$6-$G$3,22))&lt;&gt;""),'Feijão 2ª safra'!$E49:INDEX('Feijão 2ª safra'!$E49:$Z49,MIN(AS$6-$G$3,22))),0)))))</f>
        <v>0</v>
      </c>
      <c r="AT51" s="27" t="n">
        <f aca="false">IF(COUNT('Feijão 2ª safra'!$E49:$Z49)=0,0,MAX(0,IF((AT$6-$E$3)&lt;1,0,IFERROR(LOOKUP(2,1/('Feijão 2ª safra'!$E49:INDEX('Feijão 2ª safra'!$E49:$Z49,MIN(AT$6-$E$3,22))&lt;&gt;""),'Feijão 2ª safra'!$E49:INDEX('Feijão 2ª safra'!$E49:$Z49,MIN(AT$6-$E$3,22))),0))-IF($G$2,0,IF((AT$6-$G$3)&lt;1,0,IFERROR(LOOKUP(2,1/('Feijão 2ª safra'!$E49:INDEX('Feijão 2ª safra'!$E49:$Z49,MIN(AT$6-$G$3,22))&lt;&gt;""),'Feijão 2ª safra'!$E49:INDEX('Feijão 2ª safra'!$E49:$Z49,MIN(AT$6-$G$3,22))),0)))))</f>
        <v>0</v>
      </c>
      <c r="AU51" s="27" t="n">
        <f aca="false">IF(COUNT('Feijão 2ª safra'!$E49:$Z49)=0,0,MAX(0,IF((AU$6-$E$3)&lt;1,0,IFERROR(LOOKUP(2,1/('Feijão 2ª safra'!$E49:INDEX('Feijão 2ª safra'!$E49:$Z49,MIN(AU$6-$E$3,22))&lt;&gt;""),'Feijão 2ª safra'!$E49:INDEX('Feijão 2ª safra'!$E49:$Z49,MIN(AU$6-$E$3,22))),0))-IF($G$2,0,IF((AU$6-$G$3)&lt;1,0,IFERROR(LOOKUP(2,1/('Feijão 2ª safra'!$E49:INDEX('Feijão 2ª safra'!$E49:$Z49,MIN(AU$6-$G$3,22))&lt;&gt;""),'Feijão 2ª safra'!$E49:INDEX('Feijão 2ª safra'!$E49:$Z49,MIN(AU$6-$G$3,22))),0)))))</f>
        <v>0</v>
      </c>
      <c r="AV51" s="27" t="n">
        <f aca="false">IF(COUNT('Feijão 2ª safra'!$E49:$Z49)=0,0,MAX(0,IF((AV$6-$E$3)&lt;1,0,IFERROR(LOOKUP(2,1/('Feijão 2ª safra'!$E49:INDEX('Feijão 2ª safra'!$E49:$Z49,MIN(AV$6-$E$3,22))&lt;&gt;""),'Feijão 2ª safra'!$E49:INDEX('Feijão 2ª safra'!$E49:$Z49,MIN(AV$6-$E$3,22))),0))-IF($G$2,0,IF((AV$6-$G$3)&lt;1,0,IFERROR(LOOKUP(2,1/('Feijão 2ª safra'!$E49:INDEX('Feijão 2ª safra'!$E49:$Z49,MIN(AV$6-$G$3,22))&lt;&gt;""),'Feijão 2ª safra'!$E49:INDEX('Feijão 2ª safra'!$E49:$Z49,MIN(AV$6-$G$3,22))),0)))))</f>
        <v>0</v>
      </c>
      <c r="AW51" s="27" t="n">
        <f aca="false">IF(COUNT('Feijão 2ª safra'!$E49:$Z49)=0,0,MAX(0,IF((AW$6-$E$3)&lt;1,0,IFERROR(LOOKUP(2,1/('Feijão 2ª safra'!$E49:INDEX('Feijão 2ª safra'!$E49:$Z49,MIN(AW$6-$E$3,22))&lt;&gt;""),'Feijão 2ª safra'!$E49:INDEX('Feijão 2ª safra'!$E49:$Z49,MIN(AW$6-$E$3,22))),0))-IF($G$2,0,IF((AW$6-$G$3)&lt;1,0,IFERROR(LOOKUP(2,1/('Feijão 2ª safra'!$E49:INDEX('Feijão 2ª safra'!$E49:$Z49,MIN(AW$6-$G$3,22))&lt;&gt;""),'Feijão 2ª safra'!$E49:INDEX('Feijão 2ª safra'!$E49:$Z49,MIN(AW$6-$G$3,22))),0)))))</f>
        <v>0</v>
      </c>
      <c r="AX51" s="27" t="n">
        <f aca="false">IF(COUNT('Feijão 2ª safra'!$E49:$Z49)=0,0,MAX(0,IF((AX$6-$E$3)&lt;1,0,IFERROR(LOOKUP(2,1/('Feijão 2ª safra'!$E49:INDEX('Feijão 2ª safra'!$E49:$Z49,MIN(AX$6-$E$3,22))&lt;&gt;""),'Feijão 2ª safra'!$E49:INDEX('Feijão 2ª safra'!$E49:$Z49,MIN(AX$6-$E$3,22))),0))-IF($G$2,0,IF((AX$6-$G$3)&lt;1,0,IFERROR(LOOKUP(2,1/('Feijão 2ª safra'!$E49:INDEX('Feijão 2ª safra'!$E49:$Z49,MIN(AX$6-$G$3,22))&lt;&gt;""),'Feijão 2ª safra'!$E49:INDEX('Feijão 2ª safra'!$E49:$Z49,MIN(AX$6-$G$3,22))),0)))))</f>
        <v>0</v>
      </c>
      <c r="AY51" s="27" t="n">
        <f aca="false">IF(COUNT('Feijão 2ª safra'!$E49:$Z49)=0,0,MAX(0,IF((AY$6-$E$3)&lt;1,0,IFERROR(LOOKUP(2,1/('Feijão 2ª safra'!$E49:INDEX('Feijão 2ª safra'!$E49:$Z49,MIN(AY$6-$E$3,22))&lt;&gt;""),'Feijão 2ª safra'!$E49:INDEX('Feijão 2ª safra'!$E49:$Z49,MIN(AY$6-$E$3,22))),0))-IF($G$2,0,IF((AY$6-$G$3)&lt;1,0,IFERROR(LOOKUP(2,1/('Feijão 2ª safra'!$E49:INDEX('Feijão 2ª safra'!$E49:$Z49,MIN(AY$6-$G$3,22))&lt;&gt;""),'Feijão 2ª safra'!$E49:INDEX('Feijão 2ª safra'!$E49:$Z49,MIN(AY$6-$G$3,22))),0)))))</f>
        <v>0</v>
      </c>
      <c r="AZ51" s="27" t="n">
        <f aca="false">IF(COUNT('Feijão 2ª safra'!$E49:$Z49)=0,0,MAX(0,IF((AZ$6-$E$3)&lt;1,0,IFERROR(LOOKUP(2,1/('Feijão 2ª safra'!$E49:INDEX('Feijão 2ª safra'!$E49:$Z49,MIN(AZ$6-$E$3,22))&lt;&gt;""),'Feijão 2ª safra'!$E49:INDEX('Feijão 2ª safra'!$E49:$Z49,MIN(AZ$6-$E$3,22))),0))-IF($G$2,0,IF((AZ$6-$G$3)&lt;1,0,IFERROR(LOOKUP(2,1/('Feijão 2ª safra'!$E49:INDEX('Feijão 2ª safra'!$E49:$Z49,MIN(AZ$6-$G$3,22))&lt;&gt;""),'Feijão 2ª safra'!$E49:INDEX('Feijão 2ª safra'!$E49:$Z49,MIN(AZ$6-$G$3,22))),0)))))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IF(COUNT('Feijão 2ª safra'!$E50:$Z50)&gt;0,N('Feijão 2ª safra'!$D50),0)</f>
        <v>0</v>
      </c>
      <c r="E52" s="27" t="n">
        <f aca="false">IF(COUNT('Feijão 2ª safra'!$E50:$Z50)=0,0,MAX(0,IF((E$6-$E$3)&lt;1,0,IFERROR(LOOKUP(2,1/('Feijão 2ª safra'!$E50:INDEX('Feijão 2ª safra'!$E50:$Z50,MIN(E$6-$E$3,22))&lt;&gt;""),'Feijão 2ª safra'!$E50:INDEX('Feijão 2ª safra'!$E50:$Z50,MIN(E$6-$E$3,22))),0))-IF($G$2,0,IF((E$6-$G$3)&lt;1,0,IFERROR(LOOKUP(2,1/('Feijão 2ª safra'!$E50:INDEX('Feijão 2ª safra'!$E50:$Z50,MIN(E$6-$G$3,22))&lt;&gt;""),'Feijão 2ª safra'!$E50:INDEX('Feijão 2ª safra'!$E50:$Z50,MIN(E$6-$G$3,22))),0)))))</f>
        <v>0</v>
      </c>
      <c r="F52" s="27" t="n">
        <f aca="false">IF(COUNT('Feijão 2ª safra'!$E50:$Z50)=0,0,MAX(0,IF((F$6-$E$3)&lt;1,0,IFERROR(LOOKUP(2,1/('Feijão 2ª safra'!$E50:INDEX('Feijão 2ª safra'!$E50:$Z50,MIN(F$6-$E$3,22))&lt;&gt;""),'Feijão 2ª safra'!$E50:INDEX('Feijão 2ª safra'!$E50:$Z50,MIN(F$6-$E$3,22))),0))-IF($G$2,0,IF((F$6-$G$3)&lt;1,0,IFERROR(LOOKUP(2,1/('Feijão 2ª safra'!$E50:INDEX('Feijão 2ª safra'!$E50:$Z50,MIN(F$6-$G$3,22))&lt;&gt;""),'Feijão 2ª safra'!$E50:INDEX('Feijão 2ª safra'!$E50:$Z50,MIN(F$6-$G$3,22))),0)))))</f>
        <v>0</v>
      </c>
      <c r="G52" s="27" t="n">
        <f aca="false">IF(COUNT('Feijão 2ª safra'!$E50:$Z50)=0,0,MAX(0,IF((G$6-$E$3)&lt;1,0,IFERROR(LOOKUP(2,1/('Feijão 2ª safra'!$E50:INDEX('Feijão 2ª safra'!$E50:$Z50,MIN(G$6-$E$3,22))&lt;&gt;""),'Feijão 2ª safra'!$E50:INDEX('Feijão 2ª safra'!$E50:$Z50,MIN(G$6-$E$3,22))),0))-IF($G$2,0,IF((G$6-$G$3)&lt;1,0,IFERROR(LOOKUP(2,1/('Feijão 2ª safra'!$E50:INDEX('Feijão 2ª safra'!$E50:$Z50,MIN(G$6-$G$3,22))&lt;&gt;""),'Feijão 2ª safra'!$E50:INDEX('Feijão 2ª safra'!$E50:$Z50,MIN(G$6-$G$3,22))),0)))))</f>
        <v>0</v>
      </c>
      <c r="H52" s="27" t="n">
        <f aca="false">IF(COUNT('Feijão 2ª safra'!$E50:$Z50)=0,0,MAX(0,IF((H$6-$E$3)&lt;1,0,IFERROR(LOOKUP(2,1/('Feijão 2ª safra'!$E50:INDEX('Feijão 2ª safra'!$E50:$Z50,MIN(H$6-$E$3,22))&lt;&gt;""),'Feijão 2ª safra'!$E50:INDEX('Feijão 2ª safra'!$E50:$Z50,MIN(H$6-$E$3,22))),0))-IF($G$2,0,IF((H$6-$G$3)&lt;1,0,IFERROR(LOOKUP(2,1/('Feijão 2ª safra'!$E50:INDEX('Feijão 2ª safra'!$E50:$Z50,MIN(H$6-$G$3,22))&lt;&gt;""),'Feijão 2ª safra'!$E50:INDEX('Feijão 2ª safra'!$E50:$Z50,MIN(H$6-$G$3,22))),0)))))</f>
        <v>0</v>
      </c>
      <c r="I52" s="27" t="n">
        <f aca="false">IF(COUNT('Feijão 2ª safra'!$E50:$Z50)=0,0,MAX(0,IF((I$6-$E$3)&lt;1,0,IFERROR(LOOKUP(2,1/('Feijão 2ª safra'!$E50:INDEX('Feijão 2ª safra'!$E50:$Z50,MIN(I$6-$E$3,22))&lt;&gt;""),'Feijão 2ª safra'!$E50:INDEX('Feijão 2ª safra'!$E50:$Z50,MIN(I$6-$E$3,22))),0))-IF($G$2,0,IF((I$6-$G$3)&lt;1,0,IFERROR(LOOKUP(2,1/('Feijão 2ª safra'!$E50:INDEX('Feijão 2ª safra'!$E50:$Z50,MIN(I$6-$G$3,22))&lt;&gt;""),'Feijão 2ª safra'!$E50:INDEX('Feijão 2ª safra'!$E50:$Z50,MIN(I$6-$G$3,22))),0)))))</f>
        <v>0</v>
      </c>
      <c r="J52" s="27" t="n">
        <f aca="false">IF(COUNT('Feijão 2ª safra'!$E50:$Z50)=0,0,MAX(0,IF((J$6-$E$3)&lt;1,0,IFERROR(LOOKUP(2,1/('Feijão 2ª safra'!$E50:INDEX('Feijão 2ª safra'!$E50:$Z50,MIN(J$6-$E$3,22))&lt;&gt;""),'Feijão 2ª safra'!$E50:INDEX('Feijão 2ª safra'!$E50:$Z50,MIN(J$6-$E$3,22))),0))-IF($G$2,0,IF((J$6-$G$3)&lt;1,0,IFERROR(LOOKUP(2,1/('Feijão 2ª safra'!$E50:INDEX('Feijão 2ª safra'!$E50:$Z50,MIN(J$6-$G$3,22))&lt;&gt;""),'Feijão 2ª safra'!$E50:INDEX('Feijão 2ª safra'!$E50:$Z50,MIN(J$6-$G$3,22))),0)))))</f>
        <v>0</v>
      </c>
      <c r="K52" s="27" t="n">
        <f aca="false">IF(COUNT('Feijão 2ª safra'!$E50:$Z50)=0,0,MAX(0,IF((K$6-$E$3)&lt;1,0,IFERROR(LOOKUP(2,1/('Feijão 2ª safra'!$E50:INDEX('Feijão 2ª safra'!$E50:$Z50,MIN(K$6-$E$3,22))&lt;&gt;""),'Feijão 2ª safra'!$E50:INDEX('Feijão 2ª safra'!$E50:$Z50,MIN(K$6-$E$3,22))),0))-IF($G$2,0,IF((K$6-$G$3)&lt;1,0,IFERROR(LOOKUP(2,1/('Feijão 2ª safra'!$E50:INDEX('Feijão 2ª safra'!$E50:$Z50,MIN(K$6-$G$3,22))&lt;&gt;""),'Feijão 2ª safra'!$E50:INDEX('Feijão 2ª safra'!$E50:$Z50,MIN(K$6-$G$3,22))),0)))))</f>
        <v>0</v>
      </c>
      <c r="L52" s="27" t="n">
        <f aca="false">IF(COUNT('Feijão 2ª safra'!$E50:$Z50)=0,0,MAX(0,IF((L$6-$E$3)&lt;1,0,IFERROR(LOOKUP(2,1/('Feijão 2ª safra'!$E50:INDEX('Feijão 2ª safra'!$E50:$Z50,MIN(L$6-$E$3,22))&lt;&gt;""),'Feijão 2ª safra'!$E50:INDEX('Feijão 2ª safra'!$E50:$Z50,MIN(L$6-$E$3,22))),0))-IF($G$2,0,IF((L$6-$G$3)&lt;1,0,IFERROR(LOOKUP(2,1/('Feijão 2ª safra'!$E50:INDEX('Feijão 2ª safra'!$E50:$Z50,MIN(L$6-$G$3,22))&lt;&gt;""),'Feijão 2ª safra'!$E50:INDEX('Feijão 2ª safra'!$E50:$Z50,MIN(L$6-$G$3,22))),0)))))</f>
        <v>0</v>
      </c>
      <c r="M52" s="27" t="n">
        <f aca="false">IF(COUNT('Feijão 2ª safra'!$E50:$Z50)=0,0,MAX(0,IF((M$6-$E$3)&lt;1,0,IFERROR(LOOKUP(2,1/('Feijão 2ª safra'!$E50:INDEX('Feijão 2ª safra'!$E50:$Z50,MIN(M$6-$E$3,22))&lt;&gt;""),'Feijão 2ª safra'!$E50:INDEX('Feijão 2ª safra'!$E50:$Z50,MIN(M$6-$E$3,22))),0))-IF($G$2,0,IF((M$6-$G$3)&lt;1,0,IFERROR(LOOKUP(2,1/('Feijão 2ª safra'!$E50:INDEX('Feijão 2ª safra'!$E50:$Z50,MIN(M$6-$G$3,22))&lt;&gt;""),'Feijão 2ª safra'!$E50:INDEX('Feijão 2ª safra'!$E50:$Z50,MIN(M$6-$G$3,22))),0)))))</f>
        <v>0</v>
      </c>
      <c r="N52" s="27" t="n">
        <f aca="false">IF(COUNT('Feijão 2ª safra'!$E50:$Z50)=0,0,MAX(0,IF((N$6-$E$3)&lt;1,0,IFERROR(LOOKUP(2,1/('Feijão 2ª safra'!$E50:INDEX('Feijão 2ª safra'!$E50:$Z50,MIN(N$6-$E$3,22))&lt;&gt;""),'Feijão 2ª safra'!$E50:INDEX('Feijão 2ª safra'!$E50:$Z50,MIN(N$6-$E$3,22))),0))-IF($G$2,0,IF((N$6-$G$3)&lt;1,0,IFERROR(LOOKUP(2,1/('Feijão 2ª safra'!$E50:INDEX('Feijão 2ª safra'!$E50:$Z50,MIN(N$6-$G$3,22))&lt;&gt;""),'Feijão 2ª safra'!$E50:INDEX('Feijão 2ª safra'!$E50:$Z50,MIN(N$6-$G$3,22))),0)))))</f>
        <v>0</v>
      </c>
      <c r="O52" s="27" t="n">
        <f aca="false">IF(COUNT('Feijão 2ª safra'!$E50:$Z50)=0,0,MAX(0,IF((O$6-$E$3)&lt;1,0,IFERROR(LOOKUP(2,1/('Feijão 2ª safra'!$E50:INDEX('Feijão 2ª safra'!$E50:$Z50,MIN(O$6-$E$3,22))&lt;&gt;""),'Feijão 2ª safra'!$E50:INDEX('Feijão 2ª safra'!$E50:$Z50,MIN(O$6-$E$3,22))),0))-IF($G$2,0,IF((O$6-$G$3)&lt;1,0,IFERROR(LOOKUP(2,1/('Feijão 2ª safra'!$E50:INDEX('Feijão 2ª safra'!$E50:$Z50,MIN(O$6-$G$3,22))&lt;&gt;""),'Feijão 2ª safra'!$E50:INDEX('Feijão 2ª safra'!$E50:$Z50,MIN(O$6-$G$3,22))),0)))))</f>
        <v>0</v>
      </c>
      <c r="P52" s="27" t="n">
        <f aca="false">IF(COUNT('Feijão 2ª safra'!$E50:$Z50)=0,0,MAX(0,IF((P$6-$E$3)&lt;1,0,IFERROR(LOOKUP(2,1/('Feijão 2ª safra'!$E50:INDEX('Feijão 2ª safra'!$E50:$Z50,MIN(P$6-$E$3,22))&lt;&gt;""),'Feijão 2ª safra'!$E50:INDEX('Feijão 2ª safra'!$E50:$Z50,MIN(P$6-$E$3,22))),0))-IF($G$2,0,IF((P$6-$G$3)&lt;1,0,IFERROR(LOOKUP(2,1/('Feijão 2ª safra'!$E50:INDEX('Feijão 2ª safra'!$E50:$Z50,MIN(P$6-$G$3,22))&lt;&gt;""),'Feijão 2ª safra'!$E50:INDEX('Feijão 2ª safra'!$E50:$Z50,MIN(P$6-$G$3,22))),0)))))</f>
        <v>0</v>
      </c>
      <c r="Q52" s="27" t="n">
        <f aca="false">IF(COUNT('Feijão 2ª safra'!$E50:$Z50)=0,0,MAX(0,IF((Q$6-$E$3)&lt;1,0,IFERROR(LOOKUP(2,1/('Feijão 2ª safra'!$E50:INDEX('Feijão 2ª safra'!$E50:$Z50,MIN(Q$6-$E$3,22))&lt;&gt;""),'Feijão 2ª safra'!$E50:INDEX('Feijão 2ª safra'!$E50:$Z50,MIN(Q$6-$E$3,22))),0))-IF($G$2,0,IF((Q$6-$G$3)&lt;1,0,IFERROR(LOOKUP(2,1/('Feijão 2ª safra'!$E50:INDEX('Feijão 2ª safra'!$E50:$Z50,MIN(Q$6-$G$3,22))&lt;&gt;""),'Feijão 2ª safra'!$E50:INDEX('Feijão 2ª safra'!$E50:$Z50,MIN(Q$6-$G$3,22))),0)))))</f>
        <v>0</v>
      </c>
      <c r="R52" s="27" t="n">
        <f aca="false">IF(COUNT('Feijão 2ª safra'!$E50:$Z50)=0,0,MAX(0,IF((R$6-$E$3)&lt;1,0,IFERROR(LOOKUP(2,1/('Feijão 2ª safra'!$E50:INDEX('Feijão 2ª safra'!$E50:$Z50,MIN(R$6-$E$3,22))&lt;&gt;""),'Feijão 2ª safra'!$E50:INDEX('Feijão 2ª safra'!$E50:$Z50,MIN(R$6-$E$3,22))),0))-IF($G$2,0,IF((R$6-$G$3)&lt;1,0,IFERROR(LOOKUP(2,1/('Feijão 2ª safra'!$E50:INDEX('Feijão 2ª safra'!$E50:$Z50,MIN(R$6-$G$3,22))&lt;&gt;""),'Feijão 2ª safra'!$E50:INDEX('Feijão 2ª safra'!$E50:$Z50,MIN(R$6-$G$3,22))),0)))))</f>
        <v>0</v>
      </c>
      <c r="S52" s="27" t="n">
        <f aca="false">IF(COUNT('Feijão 2ª safra'!$E50:$Z50)=0,0,MAX(0,IF((S$6-$E$3)&lt;1,0,IFERROR(LOOKUP(2,1/('Feijão 2ª safra'!$E50:INDEX('Feijão 2ª safra'!$E50:$Z50,MIN(S$6-$E$3,22))&lt;&gt;""),'Feijão 2ª safra'!$E50:INDEX('Feijão 2ª safra'!$E50:$Z50,MIN(S$6-$E$3,22))),0))-IF($G$2,0,IF((S$6-$G$3)&lt;1,0,IFERROR(LOOKUP(2,1/('Feijão 2ª safra'!$E50:INDEX('Feijão 2ª safra'!$E50:$Z50,MIN(S$6-$G$3,22))&lt;&gt;""),'Feijão 2ª safra'!$E50:INDEX('Feijão 2ª safra'!$E50:$Z50,MIN(S$6-$G$3,22))),0)))))</f>
        <v>0</v>
      </c>
      <c r="T52" s="27" t="n">
        <f aca="false">IF(COUNT('Feijão 2ª safra'!$E50:$Z50)=0,0,MAX(0,IF((T$6-$E$3)&lt;1,0,IFERROR(LOOKUP(2,1/('Feijão 2ª safra'!$E50:INDEX('Feijão 2ª safra'!$E50:$Z50,MIN(T$6-$E$3,22))&lt;&gt;""),'Feijão 2ª safra'!$E50:INDEX('Feijão 2ª safra'!$E50:$Z50,MIN(T$6-$E$3,22))),0))-IF($G$2,0,IF((T$6-$G$3)&lt;1,0,IFERROR(LOOKUP(2,1/('Feijão 2ª safra'!$E50:INDEX('Feijão 2ª safra'!$E50:$Z50,MIN(T$6-$G$3,22))&lt;&gt;""),'Feijão 2ª safra'!$E50:INDEX('Feijão 2ª safra'!$E50:$Z50,MIN(T$6-$G$3,22))),0)))))</f>
        <v>0</v>
      </c>
      <c r="U52" s="27" t="n">
        <f aca="false">IF(COUNT('Feijão 2ª safra'!$E50:$Z50)=0,0,MAX(0,IF((U$6-$E$3)&lt;1,0,IFERROR(LOOKUP(2,1/('Feijão 2ª safra'!$E50:INDEX('Feijão 2ª safra'!$E50:$Z50,MIN(U$6-$E$3,22))&lt;&gt;""),'Feijão 2ª safra'!$E50:INDEX('Feijão 2ª safra'!$E50:$Z50,MIN(U$6-$E$3,22))),0))-IF($G$2,0,IF((U$6-$G$3)&lt;1,0,IFERROR(LOOKUP(2,1/('Feijão 2ª safra'!$E50:INDEX('Feijão 2ª safra'!$E50:$Z50,MIN(U$6-$G$3,22))&lt;&gt;""),'Feijão 2ª safra'!$E50:INDEX('Feijão 2ª safra'!$E50:$Z50,MIN(U$6-$G$3,22))),0)))))</f>
        <v>0</v>
      </c>
      <c r="V52" s="27" t="n">
        <f aca="false">IF(COUNT('Feijão 2ª safra'!$E50:$Z50)=0,0,MAX(0,IF((V$6-$E$3)&lt;1,0,IFERROR(LOOKUP(2,1/('Feijão 2ª safra'!$E50:INDEX('Feijão 2ª safra'!$E50:$Z50,MIN(V$6-$E$3,22))&lt;&gt;""),'Feijão 2ª safra'!$E50:INDEX('Feijão 2ª safra'!$E50:$Z50,MIN(V$6-$E$3,22))),0))-IF($G$2,0,IF((V$6-$G$3)&lt;1,0,IFERROR(LOOKUP(2,1/('Feijão 2ª safra'!$E50:INDEX('Feijão 2ª safra'!$E50:$Z50,MIN(V$6-$G$3,22))&lt;&gt;""),'Feijão 2ª safra'!$E50:INDEX('Feijão 2ª safra'!$E50:$Z50,MIN(V$6-$G$3,22))),0)))))</f>
        <v>0</v>
      </c>
      <c r="W52" s="27" t="n">
        <f aca="false">IF(COUNT('Feijão 2ª safra'!$E50:$Z50)=0,0,MAX(0,IF((W$6-$E$3)&lt;1,0,IFERROR(LOOKUP(2,1/('Feijão 2ª safra'!$E50:INDEX('Feijão 2ª safra'!$E50:$Z50,MIN(W$6-$E$3,22))&lt;&gt;""),'Feijão 2ª safra'!$E50:INDEX('Feijão 2ª safra'!$E50:$Z50,MIN(W$6-$E$3,22))),0))-IF($G$2,0,IF((W$6-$G$3)&lt;1,0,IFERROR(LOOKUP(2,1/('Feijão 2ª safra'!$E50:INDEX('Feijão 2ª safra'!$E50:$Z50,MIN(W$6-$G$3,22))&lt;&gt;""),'Feijão 2ª safra'!$E50:INDEX('Feijão 2ª safra'!$E50:$Z50,MIN(W$6-$G$3,22))),0)))))</f>
        <v>0</v>
      </c>
      <c r="X52" s="27" t="n">
        <f aca="false">IF(COUNT('Feijão 2ª safra'!$E50:$Z50)=0,0,MAX(0,IF((X$6-$E$3)&lt;1,0,IFERROR(LOOKUP(2,1/('Feijão 2ª safra'!$E50:INDEX('Feijão 2ª safra'!$E50:$Z50,MIN(X$6-$E$3,22))&lt;&gt;""),'Feijão 2ª safra'!$E50:INDEX('Feijão 2ª safra'!$E50:$Z50,MIN(X$6-$E$3,22))),0))-IF($G$2,0,IF((X$6-$G$3)&lt;1,0,IFERROR(LOOKUP(2,1/('Feijão 2ª safra'!$E50:INDEX('Feijão 2ª safra'!$E50:$Z50,MIN(X$6-$G$3,22))&lt;&gt;""),'Feijão 2ª safra'!$E50:INDEX('Feijão 2ª safra'!$E50:$Z50,MIN(X$6-$G$3,22))),0)))))</f>
        <v>0</v>
      </c>
      <c r="Y52" s="27" t="n">
        <f aca="false">IF(COUNT('Feijão 2ª safra'!$E50:$Z50)=0,0,MAX(0,IF((Y$6-$E$3)&lt;1,0,IFERROR(LOOKUP(2,1/('Feijão 2ª safra'!$E50:INDEX('Feijão 2ª safra'!$E50:$Z50,MIN(Y$6-$E$3,22))&lt;&gt;""),'Feijão 2ª safra'!$E50:INDEX('Feijão 2ª safra'!$E50:$Z50,MIN(Y$6-$E$3,22))),0))-IF($G$2,0,IF((Y$6-$G$3)&lt;1,0,IFERROR(LOOKUP(2,1/('Feijão 2ª safra'!$E50:INDEX('Feijão 2ª safra'!$E50:$Z50,MIN(Y$6-$G$3,22))&lt;&gt;""),'Feijão 2ª safra'!$E50:INDEX('Feijão 2ª safra'!$E50:$Z50,MIN(Y$6-$G$3,22))),0)))))</f>
        <v>0</v>
      </c>
      <c r="Z52" s="27" t="n">
        <f aca="false">IF(COUNT('Feijão 2ª safra'!$E50:$Z50)=0,0,MAX(0,IF((Z$6-$E$3)&lt;1,0,IFERROR(LOOKUP(2,1/('Feijão 2ª safra'!$E50:INDEX('Feijão 2ª safra'!$E50:$Z50,MIN(Z$6-$E$3,22))&lt;&gt;""),'Feijão 2ª safra'!$E50:INDEX('Feijão 2ª safra'!$E50:$Z50,MIN(Z$6-$E$3,22))),0))-IF($G$2,0,IF((Z$6-$G$3)&lt;1,0,IFERROR(LOOKUP(2,1/('Feijão 2ª safra'!$E50:INDEX('Feijão 2ª safra'!$E50:$Z50,MIN(Z$6-$G$3,22))&lt;&gt;""),'Feijão 2ª safra'!$E50:INDEX('Feijão 2ª safra'!$E50:$Z50,MIN(Z$6-$G$3,22))),0)))))</f>
        <v>0</v>
      </c>
      <c r="AA52" s="27" t="n">
        <f aca="false">IF(COUNT('Feijão 2ª safra'!$E50:$Z50)=0,0,MAX(0,IF((AA$6-$E$3)&lt;1,0,IFERROR(LOOKUP(2,1/('Feijão 2ª safra'!$E50:INDEX('Feijão 2ª safra'!$E50:$Z50,MIN(AA$6-$E$3,22))&lt;&gt;""),'Feijão 2ª safra'!$E50:INDEX('Feijão 2ª safra'!$E50:$Z50,MIN(AA$6-$E$3,22))),0))-IF($G$2,0,IF((AA$6-$G$3)&lt;1,0,IFERROR(LOOKUP(2,1/('Feijão 2ª safra'!$E50:INDEX('Feijão 2ª safra'!$E50:$Z50,MIN(AA$6-$G$3,22))&lt;&gt;""),'Feijão 2ª safra'!$E50:INDEX('Feijão 2ª safra'!$E50:$Z50,MIN(AA$6-$G$3,22))),0)))))</f>
        <v>0</v>
      </c>
      <c r="AB52" s="27" t="n">
        <f aca="false">IF(COUNT('Feijão 2ª safra'!$E50:$Z50)=0,0,MAX(0,IF((AB$6-$E$3)&lt;1,0,IFERROR(LOOKUP(2,1/('Feijão 2ª safra'!$E50:INDEX('Feijão 2ª safra'!$E50:$Z50,MIN(AB$6-$E$3,22))&lt;&gt;""),'Feijão 2ª safra'!$E50:INDEX('Feijão 2ª safra'!$E50:$Z50,MIN(AB$6-$E$3,22))),0))-IF($G$2,0,IF((AB$6-$G$3)&lt;1,0,IFERROR(LOOKUP(2,1/('Feijão 2ª safra'!$E50:INDEX('Feijão 2ª safra'!$E50:$Z50,MIN(AB$6-$G$3,22))&lt;&gt;""),'Feijão 2ª safra'!$E50:INDEX('Feijão 2ª safra'!$E50:$Z50,MIN(AB$6-$G$3,22))),0)))))</f>
        <v>0</v>
      </c>
      <c r="AC52" s="27" t="n">
        <f aca="false">IF(COUNT('Feijão 2ª safra'!$E50:$Z50)=0,0,MAX(0,IF((AC$6-$E$3)&lt;1,0,IFERROR(LOOKUP(2,1/('Feijão 2ª safra'!$E50:INDEX('Feijão 2ª safra'!$E50:$Z50,MIN(AC$6-$E$3,22))&lt;&gt;""),'Feijão 2ª safra'!$E50:INDEX('Feijão 2ª safra'!$E50:$Z50,MIN(AC$6-$E$3,22))),0))-IF($G$2,0,IF((AC$6-$G$3)&lt;1,0,IFERROR(LOOKUP(2,1/('Feijão 2ª safra'!$E50:INDEX('Feijão 2ª safra'!$E50:$Z50,MIN(AC$6-$G$3,22))&lt;&gt;""),'Feijão 2ª safra'!$E50:INDEX('Feijão 2ª safra'!$E50:$Z50,MIN(AC$6-$G$3,22))),0)))))</f>
        <v>0</v>
      </c>
      <c r="AD52" s="27" t="n">
        <f aca="false">IF(COUNT('Feijão 2ª safra'!$E50:$Z50)=0,0,MAX(0,IF((AD$6-$E$3)&lt;1,0,IFERROR(LOOKUP(2,1/('Feijão 2ª safra'!$E50:INDEX('Feijão 2ª safra'!$E50:$Z50,MIN(AD$6-$E$3,22))&lt;&gt;""),'Feijão 2ª safra'!$E50:INDEX('Feijão 2ª safra'!$E50:$Z50,MIN(AD$6-$E$3,22))),0))-IF($G$2,0,IF((AD$6-$G$3)&lt;1,0,IFERROR(LOOKUP(2,1/('Feijão 2ª safra'!$E50:INDEX('Feijão 2ª safra'!$E50:$Z50,MIN(AD$6-$G$3,22))&lt;&gt;""),'Feijão 2ª safra'!$E50:INDEX('Feijão 2ª safra'!$E50:$Z50,MIN(AD$6-$G$3,22))),0)))))</f>
        <v>0</v>
      </c>
      <c r="AE52" s="27" t="n">
        <f aca="false">IF(COUNT('Feijão 2ª safra'!$E50:$Z50)=0,0,MAX(0,IF((AE$6-$E$3)&lt;1,0,IFERROR(LOOKUP(2,1/('Feijão 2ª safra'!$E50:INDEX('Feijão 2ª safra'!$E50:$Z50,MIN(AE$6-$E$3,22))&lt;&gt;""),'Feijão 2ª safra'!$E50:INDEX('Feijão 2ª safra'!$E50:$Z50,MIN(AE$6-$E$3,22))),0))-IF($G$2,0,IF((AE$6-$G$3)&lt;1,0,IFERROR(LOOKUP(2,1/('Feijão 2ª safra'!$E50:INDEX('Feijão 2ª safra'!$E50:$Z50,MIN(AE$6-$G$3,22))&lt;&gt;""),'Feijão 2ª safra'!$E50:INDEX('Feijão 2ª safra'!$E50:$Z50,MIN(AE$6-$G$3,22))),0)))))</f>
        <v>0</v>
      </c>
      <c r="AF52" s="27" t="n">
        <f aca="false">IF(COUNT('Feijão 2ª safra'!$E50:$Z50)=0,0,MAX(0,IF((AF$6-$E$3)&lt;1,0,IFERROR(LOOKUP(2,1/('Feijão 2ª safra'!$E50:INDEX('Feijão 2ª safra'!$E50:$Z50,MIN(AF$6-$E$3,22))&lt;&gt;""),'Feijão 2ª safra'!$E50:INDEX('Feijão 2ª safra'!$E50:$Z50,MIN(AF$6-$E$3,22))),0))-IF($G$2,0,IF((AF$6-$G$3)&lt;1,0,IFERROR(LOOKUP(2,1/('Feijão 2ª safra'!$E50:INDEX('Feijão 2ª safra'!$E50:$Z50,MIN(AF$6-$G$3,22))&lt;&gt;""),'Feijão 2ª safra'!$E50:INDEX('Feijão 2ª safra'!$E50:$Z50,MIN(AF$6-$G$3,22))),0)))))</f>
        <v>0</v>
      </c>
      <c r="AG52" s="27" t="n">
        <f aca="false">IF(COUNT('Feijão 2ª safra'!$E50:$Z50)=0,0,MAX(0,IF((AG$6-$E$3)&lt;1,0,IFERROR(LOOKUP(2,1/('Feijão 2ª safra'!$E50:INDEX('Feijão 2ª safra'!$E50:$Z50,MIN(AG$6-$E$3,22))&lt;&gt;""),'Feijão 2ª safra'!$E50:INDEX('Feijão 2ª safra'!$E50:$Z50,MIN(AG$6-$E$3,22))),0))-IF($G$2,0,IF((AG$6-$G$3)&lt;1,0,IFERROR(LOOKUP(2,1/('Feijão 2ª safra'!$E50:INDEX('Feijão 2ª safra'!$E50:$Z50,MIN(AG$6-$G$3,22))&lt;&gt;""),'Feijão 2ª safra'!$E50:INDEX('Feijão 2ª safra'!$E50:$Z50,MIN(AG$6-$G$3,22))),0)))))</f>
        <v>0</v>
      </c>
      <c r="AH52" s="27" t="n">
        <f aca="false">IF(COUNT('Feijão 2ª safra'!$E50:$Z50)=0,0,MAX(0,IF((AH$6-$E$3)&lt;1,0,IFERROR(LOOKUP(2,1/('Feijão 2ª safra'!$E50:INDEX('Feijão 2ª safra'!$E50:$Z50,MIN(AH$6-$E$3,22))&lt;&gt;""),'Feijão 2ª safra'!$E50:INDEX('Feijão 2ª safra'!$E50:$Z50,MIN(AH$6-$E$3,22))),0))-IF($G$2,0,IF((AH$6-$G$3)&lt;1,0,IFERROR(LOOKUP(2,1/('Feijão 2ª safra'!$E50:INDEX('Feijão 2ª safra'!$E50:$Z50,MIN(AH$6-$G$3,22))&lt;&gt;""),'Feijão 2ª safra'!$E50:INDEX('Feijão 2ª safra'!$E50:$Z50,MIN(AH$6-$G$3,22))),0)))))</f>
        <v>0</v>
      </c>
      <c r="AI52" s="27" t="n">
        <f aca="false">IF(COUNT('Feijão 2ª safra'!$E50:$Z50)=0,0,MAX(0,IF((AI$6-$E$3)&lt;1,0,IFERROR(LOOKUP(2,1/('Feijão 2ª safra'!$E50:INDEX('Feijão 2ª safra'!$E50:$Z50,MIN(AI$6-$E$3,22))&lt;&gt;""),'Feijão 2ª safra'!$E50:INDEX('Feijão 2ª safra'!$E50:$Z50,MIN(AI$6-$E$3,22))),0))-IF($G$2,0,IF((AI$6-$G$3)&lt;1,0,IFERROR(LOOKUP(2,1/('Feijão 2ª safra'!$E50:INDEX('Feijão 2ª safra'!$E50:$Z50,MIN(AI$6-$G$3,22))&lt;&gt;""),'Feijão 2ª safra'!$E50:INDEX('Feijão 2ª safra'!$E50:$Z50,MIN(AI$6-$G$3,22))),0)))))</f>
        <v>0</v>
      </c>
      <c r="AJ52" s="27" t="n">
        <f aca="false">IF(COUNT('Feijão 2ª safra'!$E50:$Z50)=0,0,MAX(0,IF((AJ$6-$E$3)&lt;1,0,IFERROR(LOOKUP(2,1/('Feijão 2ª safra'!$E50:INDEX('Feijão 2ª safra'!$E50:$Z50,MIN(AJ$6-$E$3,22))&lt;&gt;""),'Feijão 2ª safra'!$E50:INDEX('Feijão 2ª safra'!$E50:$Z50,MIN(AJ$6-$E$3,22))),0))-IF($G$2,0,IF((AJ$6-$G$3)&lt;1,0,IFERROR(LOOKUP(2,1/('Feijão 2ª safra'!$E50:INDEX('Feijão 2ª safra'!$E50:$Z50,MIN(AJ$6-$G$3,22))&lt;&gt;""),'Feijão 2ª safra'!$E50:INDEX('Feijão 2ª safra'!$E50:$Z50,MIN(AJ$6-$G$3,22))),0)))))</f>
        <v>0</v>
      </c>
      <c r="AK52" s="27" t="n">
        <f aca="false">IF(COUNT('Feijão 2ª safra'!$E50:$Z50)=0,0,MAX(0,IF((AK$6-$E$3)&lt;1,0,IFERROR(LOOKUP(2,1/('Feijão 2ª safra'!$E50:INDEX('Feijão 2ª safra'!$E50:$Z50,MIN(AK$6-$E$3,22))&lt;&gt;""),'Feijão 2ª safra'!$E50:INDEX('Feijão 2ª safra'!$E50:$Z50,MIN(AK$6-$E$3,22))),0))-IF($G$2,0,IF((AK$6-$G$3)&lt;1,0,IFERROR(LOOKUP(2,1/('Feijão 2ª safra'!$E50:INDEX('Feijão 2ª safra'!$E50:$Z50,MIN(AK$6-$G$3,22))&lt;&gt;""),'Feijão 2ª safra'!$E50:INDEX('Feijão 2ª safra'!$E50:$Z50,MIN(AK$6-$G$3,22))),0)))))</f>
        <v>0</v>
      </c>
      <c r="AL52" s="27" t="n">
        <f aca="false">IF(COUNT('Feijão 2ª safra'!$E50:$Z50)=0,0,MAX(0,IF((AL$6-$E$3)&lt;1,0,IFERROR(LOOKUP(2,1/('Feijão 2ª safra'!$E50:INDEX('Feijão 2ª safra'!$E50:$Z50,MIN(AL$6-$E$3,22))&lt;&gt;""),'Feijão 2ª safra'!$E50:INDEX('Feijão 2ª safra'!$E50:$Z50,MIN(AL$6-$E$3,22))),0))-IF($G$2,0,IF((AL$6-$G$3)&lt;1,0,IFERROR(LOOKUP(2,1/('Feijão 2ª safra'!$E50:INDEX('Feijão 2ª safra'!$E50:$Z50,MIN(AL$6-$G$3,22))&lt;&gt;""),'Feijão 2ª safra'!$E50:INDEX('Feijão 2ª safra'!$E50:$Z50,MIN(AL$6-$G$3,22))),0)))))</f>
        <v>0</v>
      </c>
      <c r="AM52" s="27" t="n">
        <f aca="false">IF(COUNT('Feijão 2ª safra'!$E50:$Z50)=0,0,MAX(0,IF((AM$6-$E$3)&lt;1,0,IFERROR(LOOKUP(2,1/('Feijão 2ª safra'!$E50:INDEX('Feijão 2ª safra'!$E50:$Z50,MIN(AM$6-$E$3,22))&lt;&gt;""),'Feijão 2ª safra'!$E50:INDEX('Feijão 2ª safra'!$E50:$Z50,MIN(AM$6-$E$3,22))),0))-IF($G$2,0,IF((AM$6-$G$3)&lt;1,0,IFERROR(LOOKUP(2,1/('Feijão 2ª safra'!$E50:INDEX('Feijão 2ª safra'!$E50:$Z50,MIN(AM$6-$G$3,22))&lt;&gt;""),'Feijão 2ª safra'!$E50:INDEX('Feijão 2ª safra'!$E50:$Z50,MIN(AM$6-$G$3,22))),0)))))</f>
        <v>0</v>
      </c>
      <c r="AN52" s="27" t="n">
        <f aca="false">IF(COUNT('Feijão 2ª safra'!$E50:$Z50)=0,0,MAX(0,IF((AN$6-$E$3)&lt;1,0,IFERROR(LOOKUP(2,1/('Feijão 2ª safra'!$E50:INDEX('Feijão 2ª safra'!$E50:$Z50,MIN(AN$6-$E$3,22))&lt;&gt;""),'Feijão 2ª safra'!$E50:INDEX('Feijão 2ª safra'!$E50:$Z50,MIN(AN$6-$E$3,22))),0))-IF($G$2,0,IF((AN$6-$G$3)&lt;1,0,IFERROR(LOOKUP(2,1/('Feijão 2ª safra'!$E50:INDEX('Feijão 2ª safra'!$E50:$Z50,MIN(AN$6-$G$3,22))&lt;&gt;""),'Feijão 2ª safra'!$E50:INDEX('Feijão 2ª safra'!$E50:$Z50,MIN(AN$6-$G$3,22))),0)))))</f>
        <v>0</v>
      </c>
      <c r="AO52" s="27" t="n">
        <f aca="false">IF(COUNT('Feijão 2ª safra'!$E50:$Z50)=0,0,MAX(0,IF((AO$6-$E$3)&lt;1,0,IFERROR(LOOKUP(2,1/('Feijão 2ª safra'!$E50:INDEX('Feijão 2ª safra'!$E50:$Z50,MIN(AO$6-$E$3,22))&lt;&gt;""),'Feijão 2ª safra'!$E50:INDEX('Feijão 2ª safra'!$E50:$Z50,MIN(AO$6-$E$3,22))),0))-IF($G$2,0,IF((AO$6-$G$3)&lt;1,0,IFERROR(LOOKUP(2,1/('Feijão 2ª safra'!$E50:INDEX('Feijão 2ª safra'!$E50:$Z50,MIN(AO$6-$G$3,22))&lt;&gt;""),'Feijão 2ª safra'!$E50:INDEX('Feijão 2ª safra'!$E50:$Z50,MIN(AO$6-$G$3,22))),0)))))</f>
        <v>0</v>
      </c>
      <c r="AP52" s="27" t="n">
        <f aca="false">IF(COUNT('Feijão 2ª safra'!$E50:$Z50)=0,0,MAX(0,IF((AP$6-$E$3)&lt;1,0,IFERROR(LOOKUP(2,1/('Feijão 2ª safra'!$E50:INDEX('Feijão 2ª safra'!$E50:$Z50,MIN(AP$6-$E$3,22))&lt;&gt;""),'Feijão 2ª safra'!$E50:INDEX('Feijão 2ª safra'!$E50:$Z50,MIN(AP$6-$E$3,22))),0))-IF($G$2,0,IF((AP$6-$G$3)&lt;1,0,IFERROR(LOOKUP(2,1/('Feijão 2ª safra'!$E50:INDEX('Feijão 2ª safra'!$E50:$Z50,MIN(AP$6-$G$3,22))&lt;&gt;""),'Feijão 2ª safra'!$E50:INDEX('Feijão 2ª safra'!$E50:$Z50,MIN(AP$6-$G$3,22))),0)))))</f>
        <v>0</v>
      </c>
      <c r="AQ52" s="27" t="n">
        <f aca="false">IF(COUNT('Feijão 2ª safra'!$E50:$Z50)=0,0,MAX(0,IF((AQ$6-$E$3)&lt;1,0,IFERROR(LOOKUP(2,1/('Feijão 2ª safra'!$E50:INDEX('Feijão 2ª safra'!$E50:$Z50,MIN(AQ$6-$E$3,22))&lt;&gt;""),'Feijão 2ª safra'!$E50:INDEX('Feijão 2ª safra'!$E50:$Z50,MIN(AQ$6-$E$3,22))),0))-IF($G$2,0,IF((AQ$6-$G$3)&lt;1,0,IFERROR(LOOKUP(2,1/('Feijão 2ª safra'!$E50:INDEX('Feijão 2ª safra'!$E50:$Z50,MIN(AQ$6-$G$3,22))&lt;&gt;""),'Feijão 2ª safra'!$E50:INDEX('Feijão 2ª safra'!$E50:$Z50,MIN(AQ$6-$G$3,22))),0)))))</f>
        <v>0</v>
      </c>
      <c r="AR52" s="27" t="n">
        <f aca="false">IF(COUNT('Feijão 2ª safra'!$E50:$Z50)=0,0,MAX(0,IF((AR$6-$E$3)&lt;1,0,IFERROR(LOOKUP(2,1/('Feijão 2ª safra'!$E50:INDEX('Feijão 2ª safra'!$E50:$Z50,MIN(AR$6-$E$3,22))&lt;&gt;""),'Feijão 2ª safra'!$E50:INDEX('Feijão 2ª safra'!$E50:$Z50,MIN(AR$6-$E$3,22))),0))-IF($G$2,0,IF((AR$6-$G$3)&lt;1,0,IFERROR(LOOKUP(2,1/('Feijão 2ª safra'!$E50:INDEX('Feijão 2ª safra'!$E50:$Z50,MIN(AR$6-$G$3,22))&lt;&gt;""),'Feijão 2ª safra'!$E50:INDEX('Feijão 2ª safra'!$E50:$Z50,MIN(AR$6-$G$3,22))),0)))))</f>
        <v>0</v>
      </c>
      <c r="AS52" s="27" t="n">
        <f aca="false">IF(COUNT('Feijão 2ª safra'!$E50:$Z50)=0,0,MAX(0,IF((AS$6-$E$3)&lt;1,0,IFERROR(LOOKUP(2,1/('Feijão 2ª safra'!$E50:INDEX('Feijão 2ª safra'!$E50:$Z50,MIN(AS$6-$E$3,22))&lt;&gt;""),'Feijão 2ª safra'!$E50:INDEX('Feijão 2ª safra'!$E50:$Z50,MIN(AS$6-$E$3,22))),0))-IF($G$2,0,IF((AS$6-$G$3)&lt;1,0,IFERROR(LOOKUP(2,1/('Feijão 2ª safra'!$E50:INDEX('Feijão 2ª safra'!$E50:$Z50,MIN(AS$6-$G$3,22))&lt;&gt;""),'Feijão 2ª safra'!$E50:INDEX('Feijão 2ª safra'!$E50:$Z50,MIN(AS$6-$G$3,22))),0)))))</f>
        <v>0</v>
      </c>
      <c r="AT52" s="27" t="n">
        <f aca="false">IF(COUNT('Feijão 2ª safra'!$E50:$Z50)=0,0,MAX(0,IF((AT$6-$E$3)&lt;1,0,IFERROR(LOOKUP(2,1/('Feijão 2ª safra'!$E50:INDEX('Feijão 2ª safra'!$E50:$Z50,MIN(AT$6-$E$3,22))&lt;&gt;""),'Feijão 2ª safra'!$E50:INDEX('Feijão 2ª safra'!$E50:$Z50,MIN(AT$6-$E$3,22))),0))-IF($G$2,0,IF((AT$6-$G$3)&lt;1,0,IFERROR(LOOKUP(2,1/('Feijão 2ª safra'!$E50:INDEX('Feijão 2ª safra'!$E50:$Z50,MIN(AT$6-$G$3,22))&lt;&gt;""),'Feijão 2ª safra'!$E50:INDEX('Feijão 2ª safra'!$E50:$Z50,MIN(AT$6-$G$3,22))),0)))))</f>
        <v>0</v>
      </c>
      <c r="AU52" s="27" t="n">
        <f aca="false">IF(COUNT('Feijão 2ª safra'!$E50:$Z50)=0,0,MAX(0,IF((AU$6-$E$3)&lt;1,0,IFERROR(LOOKUP(2,1/('Feijão 2ª safra'!$E50:INDEX('Feijão 2ª safra'!$E50:$Z50,MIN(AU$6-$E$3,22))&lt;&gt;""),'Feijão 2ª safra'!$E50:INDEX('Feijão 2ª safra'!$E50:$Z50,MIN(AU$6-$E$3,22))),0))-IF($G$2,0,IF((AU$6-$G$3)&lt;1,0,IFERROR(LOOKUP(2,1/('Feijão 2ª safra'!$E50:INDEX('Feijão 2ª safra'!$E50:$Z50,MIN(AU$6-$G$3,22))&lt;&gt;""),'Feijão 2ª safra'!$E50:INDEX('Feijão 2ª safra'!$E50:$Z50,MIN(AU$6-$G$3,22))),0)))))</f>
        <v>0</v>
      </c>
      <c r="AV52" s="27" t="n">
        <f aca="false">IF(COUNT('Feijão 2ª safra'!$E50:$Z50)=0,0,MAX(0,IF((AV$6-$E$3)&lt;1,0,IFERROR(LOOKUP(2,1/('Feijão 2ª safra'!$E50:INDEX('Feijão 2ª safra'!$E50:$Z50,MIN(AV$6-$E$3,22))&lt;&gt;""),'Feijão 2ª safra'!$E50:INDEX('Feijão 2ª safra'!$E50:$Z50,MIN(AV$6-$E$3,22))),0))-IF($G$2,0,IF((AV$6-$G$3)&lt;1,0,IFERROR(LOOKUP(2,1/('Feijão 2ª safra'!$E50:INDEX('Feijão 2ª safra'!$E50:$Z50,MIN(AV$6-$G$3,22))&lt;&gt;""),'Feijão 2ª safra'!$E50:INDEX('Feijão 2ª safra'!$E50:$Z50,MIN(AV$6-$G$3,22))),0)))))</f>
        <v>0</v>
      </c>
      <c r="AW52" s="27" t="n">
        <f aca="false">IF(COUNT('Feijão 2ª safra'!$E50:$Z50)=0,0,MAX(0,IF((AW$6-$E$3)&lt;1,0,IFERROR(LOOKUP(2,1/('Feijão 2ª safra'!$E50:INDEX('Feijão 2ª safra'!$E50:$Z50,MIN(AW$6-$E$3,22))&lt;&gt;""),'Feijão 2ª safra'!$E50:INDEX('Feijão 2ª safra'!$E50:$Z50,MIN(AW$6-$E$3,22))),0))-IF($G$2,0,IF((AW$6-$G$3)&lt;1,0,IFERROR(LOOKUP(2,1/('Feijão 2ª safra'!$E50:INDEX('Feijão 2ª safra'!$E50:$Z50,MIN(AW$6-$G$3,22))&lt;&gt;""),'Feijão 2ª safra'!$E50:INDEX('Feijão 2ª safra'!$E50:$Z50,MIN(AW$6-$G$3,22))),0)))))</f>
        <v>0</v>
      </c>
      <c r="AX52" s="27" t="n">
        <f aca="false">IF(COUNT('Feijão 2ª safra'!$E50:$Z50)=0,0,MAX(0,IF((AX$6-$E$3)&lt;1,0,IFERROR(LOOKUP(2,1/('Feijão 2ª safra'!$E50:INDEX('Feijão 2ª safra'!$E50:$Z50,MIN(AX$6-$E$3,22))&lt;&gt;""),'Feijão 2ª safra'!$E50:INDEX('Feijão 2ª safra'!$E50:$Z50,MIN(AX$6-$E$3,22))),0))-IF($G$2,0,IF((AX$6-$G$3)&lt;1,0,IFERROR(LOOKUP(2,1/('Feijão 2ª safra'!$E50:INDEX('Feijão 2ª safra'!$E50:$Z50,MIN(AX$6-$G$3,22))&lt;&gt;""),'Feijão 2ª safra'!$E50:INDEX('Feijão 2ª safra'!$E50:$Z50,MIN(AX$6-$G$3,22))),0)))))</f>
        <v>0</v>
      </c>
      <c r="AY52" s="27" t="n">
        <f aca="false">IF(COUNT('Feijão 2ª safra'!$E50:$Z50)=0,0,MAX(0,IF((AY$6-$E$3)&lt;1,0,IFERROR(LOOKUP(2,1/('Feijão 2ª safra'!$E50:INDEX('Feijão 2ª safra'!$E50:$Z50,MIN(AY$6-$E$3,22))&lt;&gt;""),'Feijão 2ª safra'!$E50:INDEX('Feijão 2ª safra'!$E50:$Z50,MIN(AY$6-$E$3,22))),0))-IF($G$2,0,IF((AY$6-$G$3)&lt;1,0,IFERROR(LOOKUP(2,1/('Feijão 2ª safra'!$E50:INDEX('Feijão 2ª safra'!$E50:$Z50,MIN(AY$6-$G$3,22))&lt;&gt;""),'Feijão 2ª safra'!$E50:INDEX('Feijão 2ª safra'!$E50:$Z50,MIN(AY$6-$G$3,22))),0)))))</f>
        <v>0</v>
      </c>
      <c r="AZ52" s="27" t="n">
        <f aca="false">IF(COUNT('Feijão 2ª safra'!$E50:$Z50)=0,0,MAX(0,IF((AZ$6-$E$3)&lt;1,0,IFERROR(LOOKUP(2,1/('Feijão 2ª safra'!$E50:INDEX('Feijão 2ª safra'!$E50:$Z50,MIN(AZ$6-$E$3,22))&lt;&gt;""),'Feijão 2ª safra'!$E50:INDEX('Feijão 2ª safra'!$E50:$Z50,MIN(AZ$6-$E$3,22))),0))-IF($G$2,0,IF((AZ$6-$G$3)&lt;1,0,IFERROR(LOOKUP(2,1/('Feijão 2ª safra'!$E50:INDEX('Feijão 2ª safra'!$E50:$Z50,MIN(AZ$6-$G$3,22))&lt;&gt;""),'Feijão 2ª safra'!$E50:INDEX('Feijão 2ª safra'!$E50:$Z50,MIN(AZ$6-$G$3,22))),0)))))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IF(COUNT('Feijão 2ª safra'!$E51:$Z51)&gt;0,N('Feijão 2ª safra'!$D51),0)</f>
        <v>0</v>
      </c>
      <c r="E53" s="27" t="n">
        <f aca="false">IF(COUNT('Feijão 2ª safra'!$E51:$Z51)=0,0,MAX(0,IF((E$6-$E$3)&lt;1,0,IFERROR(LOOKUP(2,1/('Feijão 2ª safra'!$E51:INDEX('Feijão 2ª safra'!$E51:$Z51,MIN(E$6-$E$3,22))&lt;&gt;""),'Feijão 2ª safra'!$E51:INDEX('Feijão 2ª safra'!$E51:$Z51,MIN(E$6-$E$3,22))),0))-IF($G$2,0,IF((E$6-$G$3)&lt;1,0,IFERROR(LOOKUP(2,1/('Feijão 2ª safra'!$E51:INDEX('Feijão 2ª safra'!$E51:$Z51,MIN(E$6-$G$3,22))&lt;&gt;""),'Feijão 2ª safra'!$E51:INDEX('Feijão 2ª safra'!$E51:$Z51,MIN(E$6-$G$3,22))),0)))))</f>
        <v>0</v>
      </c>
      <c r="F53" s="27" t="n">
        <f aca="false">IF(COUNT('Feijão 2ª safra'!$E51:$Z51)=0,0,MAX(0,IF((F$6-$E$3)&lt;1,0,IFERROR(LOOKUP(2,1/('Feijão 2ª safra'!$E51:INDEX('Feijão 2ª safra'!$E51:$Z51,MIN(F$6-$E$3,22))&lt;&gt;""),'Feijão 2ª safra'!$E51:INDEX('Feijão 2ª safra'!$E51:$Z51,MIN(F$6-$E$3,22))),0))-IF($G$2,0,IF((F$6-$G$3)&lt;1,0,IFERROR(LOOKUP(2,1/('Feijão 2ª safra'!$E51:INDEX('Feijão 2ª safra'!$E51:$Z51,MIN(F$6-$G$3,22))&lt;&gt;""),'Feijão 2ª safra'!$E51:INDEX('Feijão 2ª safra'!$E51:$Z51,MIN(F$6-$G$3,22))),0)))))</f>
        <v>0</v>
      </c>
      <c r="G53" s="27" t="n">
        <f aca="false">IF(COUNT('Feijão 2ª safra'!$E51:$Z51)=0,0,MAX(0,IF((G$6-$E$3)&lt;1,0,IFERROR(LOOKUP(2,1/('Feijão 2ª safra'!$E51:INDEX('Feijão 2ª safra'!$E51:$Z51,MIN(G$6-$E$3,22))&lt;&gt;""),'Feijão 2ª safra'!$E51:INDEX('Feijão 2ª safra'!$E51:$Z51,MIN(G$6-$E$3,22))),0))-IF($G$2,0,IF((G$6-$G$3)&lt;1,0,IFERROR(LOOKUP(2,1/('Feijão 2ª safra'!$E51:INDEX('Feijão 2ª safra'!$E51:$Z51,MIN(G$6-$G$3,22))&lt;&gt;""),'Feijão 2ª safra'!$E51:INDEX('Feijão 2ª safra'!$E51:$Z51,MIN(G$6-$G$3,22))),0)))))</f>
        <v>0</v>
      </c>
      <c r="H53" s="27" t="n">
        <f aca="false">IF(COUNT('Feijão 2ª safra'!$E51:$Z51)=0,0,MAX(0,IF((H$6-$E$3)&lt;1,0,IFERROR(LOOKUP(2,1/('Feijão 2ª safra'!$E51:INDEX('Feijão 2ª safra'!$E51:$Z51,MIN(H$6-$E$3,22))&lt;&gt;""),'Feijão 2ª safra'!$E51:INDEX('Feijão 2ª safra'!$E51:$Z51,MIN(H$6-$E$3,22))),0))-IF($G$2,0,IF((H$6-$G$3)&lt;1,0,IFERROR(LOOKUP(2,1/('Feijão 2ª safra'!$E51:INDEX('Feijão 2ª safra'!$E51:$Z51,MIN(H$6-$G$3,22))&lt;&gt;""),'Feijão 2ª safra'!$E51:INDEX('Feijão 2ª safra'!$E51:$Z51,MIN(H$6-$G$3,22))),0)))))</f>
        <v>0</v>
      </c>
      <c r="I53" s="27" t="n">
        <f aca="false">IF(COUNT('Feijão 2ª safra'!$E51:$Z51)=0,0,MAX(0,IF((I$6-$E$3)&lt;1,0,IFERROR(LOOKUP(2,1/('Feijão 2ª safra'!$E51:INDEX('Feijão 2ª safra'!$E51:$Z51,MIN(I$6-$E$3,22))&lt;&gt;""),'Feijão 2ª safra'!$E51:INDEX('Feijão 2ª safra'!$E51:$Z51,MIN(I$6-$E$3,22))),0))-IF($G$2,0,IF((I$6-$G$3)&lt;1,0,IFERROR(LOOKUP(2,1/('Feijão 2ª safra'!$E51:INDEX('Feijão 2ª safra'!$E51:$Z51,MIN(I$6-$G$3,22))&lt;&gt;""),'Feijão 2ª safra'!$E51:INDEX('Feijão 2ª safra'!$E51:$Z51,MIN(I$6-$G$3,22))),0)))))</f>
        <v>0</v>
      </c>
      <c r="J53" s="27" t="n">
        <f aca="false">IF(COUNT('Feijão 2ª safra'!$E51:$Z51)=0,0,MAX(0,IF((J$6-$E$3)&lt;1,0,IFERROR(LOOKUP(2,1/('Feijão 2ª safra'!$E51:INDEX('Feijão 2ª safra'!$E51:$Z51,MIN(J$6-$E$3,22))&lt;&gt;""),'Feijão 2ª safra'!$E51:INDEX('Feijão 2ª safra'!$E51:$Z51,MIN(J$6-$E$3,22))),0))-IF($G$2,0,IF((J$6-$G$3)&lt;1,0,IFERROR(LOOKUP(2,1/('Feijão 2ª safra'!$E51:INDEX('Feijão 2ª safra'!$E51:$Z51,MIN(J$6-$G$3,22))&lt;&gt;""),'Feijão 2ª safra'!$E51:INDEX('Feijão 2ª safra'!$E51:$Z51,MIN(J$6-$G$3,22))),0)))))</f>
        <v>0</v>
      </c>
      <c r="K53" s="27" t="n">
        <f aca="false">IF(COUNT('Feijão 2ª safra'!$E51:$Z51)=0,0,MAX(0,IF((K$6-$E$3)&lt;1,0,IFERROR(LOOKUP(2,1/('Feijão 2ª safra'!$E51:INDEX('Feijão 2ª safra'!$E51:$Z51,MIN(K$6-$E$3,22))&lt;&gt;""),'Feijão 2ª safra'!$E51:INDEX('Feijão 2ª safra'!$E51:$Z51,MIN(K$6-$E$3,22))),0))-IF($G$2,0,IF((K$6-$G$3)&lt;1,0,IFERROR(LOOKUP(2,1/('Feijão 2ª safra'!$E51:INDEX('Feijão 2ª safra'!$E51:$Z51,MIN(K$6-$G$3,22))&lt;&gt;""),'Feijão 2ª safra'!$E51:INDEX('Feijão 2ª safra'!$E51:$Z51,MIN(K$6-$G$3,22))),0)))))</f>
        <v>0</v>
      </c>
      <c r="L53" s="27" t="n">
        <f aca="false">IF(COUNT('Feijão 2ª safra'!$E51:$Z51)=0,0,MAX(0,IF((L$6-$E$3)&lt;1,0,IFERROR(LOOKUP(2,1/('Feijão 2ª safra'!$E51:INDEX('Feijão 2ª safra'!$E51:$Z51,MIN(L$6-$E$3,22))&lt;&gt;""),'Feijão 2ª safra'!$E51:INDEX('Feijão 2ª safra'!$E51:$Z51,MIN(L$6-$E$3,22))),0))-IF($G$2,0,IF((L$6-$G$3)&lt;1,0,IFERROR(LOOKUP(2,1/('Feijão 2ª safra'!$E51:INDEX('Feijão 2ª safra'!$E51:$Z51,MIN(L$6-$G$3,22))&lt;&gt;""),'Feijão 2ª safra'!$E51:INDEX('Feijão 2ª safra'!$E51:$Z51,MIN(L$6-$G$3,22))),0)))))</f>
        <v>0</v>
      </c>
      <c r="M53" s="27" t="n">
        <f aca="false">IF(COUNT('Feijão 2ª safra'!$E51:$Z51)=0,0,MAX(0,IF((M$6-$E$3)&lt;1,0,IFERROR(LOOKUP(2,1/('Feijão 2ª safra'!$E51:INDEX('Feijão 2ª safra'!$E51:$Z51,MIN(M$6-$E$3,22))&lt;&gt;""),'Feijão 2ª safra'!$E51:INDEX('Feijão 2ª safra'!$E51:$Z51,MIN(M$6-$E$3,22))),0))-IF($G$2,0,IF((M$6-$G$3)&lt;1,0,IFERROR(LOOKUP(2,1/('Feijão 2ª safra'!$E51:INDEX('Feijão 2ª safra'!$E51:$Z51,MIN(M$6-$G$3,22))&lt;&gt;""),'Feijão 2ª safra'!$E51:INDEX('Feijão 2ª safra'!$E51:$Z51,MIN(M$6-$G$3,22))),0)))))</f>
        <v>0</v>
      </c>
      <c r="N53" s="27" t="n">
        <f aca="false">IF(COUNT('Feijão 2ª safra'!$E51:$Z51)=0,0,MAX(0,IF((N$6-$E$3)&lt;1,0,IFERROR(LOOKUP(2,1/('Feijão 2ª safra'!$E51:INDEX('Feijão 2ª safra'!$E51:$Z51,MIN(N$6-$E$3,22))&lt;&gt;""),'Feijão 2ª safra'!$E51:INDEX('Feijão 2ª safra'!$E51:$Z51,MIN(N$6-$E$3,22))),0))-IF($G$2,0,IF((N$6-$G$3)&lt;1,0,IFERROR(LOOKUP(2,1/('Feijão 2ª safra'!$E51:INDEX('Feijão 2ª safra'!$E51:$Z51,MIN(N$6-$G$3,22))&lt;&gt;""),'Feijão 2ª safra'!$E51:INDEX('Feijão 2ª safra'!$E51:$Z51,MIN(N$6-$G$3,22))),0)))))</f>
        <v>0</v>
      </c>
      <c r="O53" s="27" t="n">
        <f aca="false">IF(COUNT('Feijão 2ª safra'!$E51:$Z51)=0,0,MAX(0,IF((O$6-$E$3)&lt;1,0,IFERROR(LOOKUP(2,1/('Feijão 2ª safra'!$E51:INDEX('Feijão 2ª safra'!$E51:$Z51,MIN(O$6-$E$3,22))&lt;&gt;""),'Feijão 2ª safra'!$E51:INDEX('Feijão 2ª safra'!$E51:$Z51,MIN(O$6-$E$3,22))),0))-IF($G$2,0,IF((O$6-$G$3)&lt;1,0,IFERROR(LOOKUP(2,1/('Feijão 2ª safra'!$E51:INDEX('Feijão 2ª safra'!$E51:$Z51,MIN(O$6-$G$3,22))&lt;&gt;""),'Feijão 2ª safra'!$E51:INDEX('Feijão 2ª safra'!$E51:$Z51,MIN(O$6-$G$3,22))),0)))))</f>
        <v>0</v>
      </c>
      <c r="P53" s="27" t="n">
        <f aca="false">IF(COUNT('Feijão 2ª safra'!$E51:$Z51)=0,0,MAX(0,IF((P$6-$E$3)&lt;1,0,IFERROR(LOOKUP(2,1/('Feijão 2ª safra'!$E51:INDEX('Feijão 2ª safra'!$E51:$Z51,MIN(P$6-$E$3,22))&lt;&gt;""),'Feijão 2ª safra'!$E51:INDEX('Feijão 2ª safra'!$E51:$Z51,MIN(P$6-$E$3,22))),0))-IF($G$2,0,IF((P$6-$G$3)&lt;1,0,IFERROR(LOOKUP(2,1/('Feijão 2ª safra'!$E51:INDEX('Feijão 2ª safra'!$E51:$Z51,MIN(P$6-$G$3,22))&lt;&gt;""),'Feijão 2ª safra'!$E51:INDEX('Feijão 2ª safra'!$E51:$Z51,MIN(P$6-$G$3,22))),0)))))</f>
        <v>0</v>
      </c>
      <c r="Q53" s="27" t="n">
        <f aca="false">IF(COUNT('Feijão 2ª safra'!$E51:$Z51)=0,0,MAX(0,IF((Q$6-$E$3)&lt;1,0,IFERROR(LOOKUP(2,1/('Feijão 2ª safra'!$E51:INDEX('Feijão 2ª safra'!$E51:$Z51,MIN(Q$6-$E$3,22))&lt;&gt;""),'Feijão 2ª safra'!$E51:INDEX('Feijão 2ª safra'!$E51:$Z51,MIN(Q$6-$E$3,22))),0))-IF($G$2,0,IF((Q$6-$G$3)&lt;1,0,IFERROR(LOOKUP(2,1/('Feijão 2ª safra'!$E51:INDEX('Feijão 2ª safra'!$E51:$Z51,MIN(Q$6-$G$3,22))&lt;&gt;""),'Feijão 2ª safra'!$E51:INDEX('Feijão 2ª safra'!$E51:$Z51,MIN(Q$6-$G$3,22))),0)))))</f>
        <v>0</v>
      </c>
      <c r="R53" s="27" t="n">
        <f aca="false">IF(COUNT('Feijão 2ª safra'!$E51:$Z51)=0,0,MAX(0,IF((R$6-$E$3)&lt;1,0,IFERROR(LOOKUP(2,1/('Feijão 2ª safra'!$E51:INDEX('Feijão 2ª safra'!$E51:$Z51,MIN(R$6-$E$3,22))&lt;&gt;""),'Feijão 2ª safra'!$E51:INDEX('Feijão 2ª safra'!$E51:$Z51,MIN(R$6-$E$3,22))),0))-IF($G$2,0,IF((R$6-$G$3)&lt;1,0,IFERROR(LOOKUP(2,1/('Feijão 2ª safra'!$E51:INDEX('Feijão 2ª safra'!$E51:$Z51,MIN(R$6-$G$3,22))&lt;&gt;""),'Feijão 2ª safra'!$E51:INDEX('Feijão 2ª safra'!$E51:$Z51,MIN(R$6-$G$3,22))),0)))))</f>
        <v>0</v>
      </c>
      <c r="S53" s="27" t="n">
        <f aca="false">IF(COUNT('Feijão 2ª safra'!$E51:$Z51)=0,0,MAX(0,IF((S$6-$E$3)&lt;1,0,IFERROR(LOOKUP(2,1/('Feijão 2ª safra'!$E51:INDEX('Feijão 2ª safra'!$E51:$Z51,MIN(S$6-$E$3,22))&lt;&gt;""),'Feijão 2ª safra'!$E51:INDEX('Feijão 2ª safra'!$E51:$Z51,MIN(S$6-$E$3,22))),0))-IF($G$2,0,IF((S$6-$G$3)&lt;1,0,IFERROR(LOOKUP(2,1/('Feijão 2ª safra'!$E51:INDEX('Feijão 2ª safra'!$E51:$Z51,MIN(S$6-$G$3,22))&lt;&gt;""),'Feijão 2ª safra'!$E51:INDEX('Feijão 2ª safra'!$E51:$Z51,MIN(S$6-$G$3,22))),0)))))</f>
        <v>0</v>
      </c>
      <c r="T53" s="27" t="n">
        <f aca="false">IF(COUNT('Feijão 2ª safra'!$E51:$Z51)=0,0,MAX(0,IF((T$6-$E$3)&lt;1,0,IFERROR(LOOKUP(2,1/('Feijão 2ª safra'!$E51:INDEX('Feijão 2ª safra'!$E51:$Z51,MIN(T$6-$E$3,22))&lt;&gt;""),'Feijão 2ª safra'!$E51:INDEX('Feijão 2ª safra'!$E51:$Z51,MIN(T$6-$E$3,22))),0))-IF($G$2,0,IF((T$6-$G$3)&lt;1,0,IFERROR(LOOKUP(2,1/('Feijão 2ª safra'!$E51:INDEX('Feijão 2ª safra'!$E51:$Z51,MIN(T$6-$G$3,22))&lt;&gt;""),'Feijão 2ª safra'!$E51:INDEX('Feijão 2ª safra'!$E51:$Z51,MIN(T$6-$G$3,22))),0)))))</f>
        <v>0</v>
      </c>
      <c r="U53" s="27" t="n">
        <f aca="false">IF(COUNT('Feijão 2ª safra'!$E51:$Z51)=0,0,MAX(0,IF((U$6-$E$3)&lt;1,0,IFERROR(LOOKUP(2,1/('Feijão 2ª safra'!$E51:INDEX('Feijão 2ª safra'!$E51:$Z51,MIN(U$6-$E$3,22))&lt;&gt;""),'Feijão 2ª safra'!$E51:INDEX('Feijão 2ª safra'!$E51:$Z51,MIN(U$6-$E$3,22))),0))-IF($G$2,0,IF((U$6-$G$3)&lt;1,0,IFERROR(LOOKUP(2,1/('Feijão 2ª safra'!$E51:INDEX('Feijão 2ª safra'!$E51:$Z51,MIN(U$6-$G$3,22))&lt;&gt;""),'Feijão 2ª safra'!$E51:INDEX('Feijão 2ª safra'!$E51:$Z51,MIN(U$6-$G$3,22))),0)))))</f>
        <v>0</v>
      </c>
      <c r="V53" s="27" t="n">
        <f aca="false">IF(COUNT('Feijão 2ª safra'!$E51:$Z51)=0,0,MAX(0,IF((V$6-$E$3)&lt;1,0,IFERROR(LOOKUP(2,1/('Feijão 2ª safra'!$E51:INDEX('Feijão 2ª safra'!$E51:$Z51,MIN(V$6-$E$3,22))&lt;&gt;""),'Feijão 2ª safra'!$E51:INDEX('Feijão 2ª safra'!$E51:$Z51,MIN(V$6-$E$3,22))),0))-IF($G$2,0,IF((V$6-$G$3)&lt;1,0,IFERROR(LOOKUP(2,1/('Feijão 2ª safra'!$E51:INDEX('Feijão 2ª safra'!$E51:$Z51,MIN(V$6-$G$3,22))&lt;&gt;""),'Feijão 2ª safra'!$E51:INDEX('Feijão 2ª safra'!$E51:$Z51,MIN(V$6-$G$3,22))),0)))))</f>
        <v>0</v>
      </c>
      <c r="W53" s="27" t="n">
        <f aca="false">IF(COUNT('Feijão 2ª safra'!$E51:$Z51)=0,0,MAX(0,IF((W$6-$E$3)&lt;1,0,IFERROR(LOOKUP(2,1/('Feijão 2ª safra'!$E51:INDEX('Feijão 2ª safra'!$E51:$Z51,MIN(W$6-$E$3,22))&lt;&gt;""),'Feijão 2ª safra'!$E51:INDEX('Feijão 2ª safra'!$E51:$Z51,MIN(W$6-$E$3,22))),0))-IF($G$2,0,IF((W$6-$G$3)&lt;1,0,IFERROR(LOOKUP(2,1/('Feijão 2ª safra'!$E51:INDEX('Feijão 2ª safra'!$E51:$Z51,MIN(W$6-$G$3,22))&lt;&gt;""),'Feijão 2ª safra'!$E51:INDEX('Feijão 2ª safra'!$E51:$Z51,MIN(W$6-$G$3,22))),0)))))</f>
        <v>0</v>
      </c>
      <c r="X53" s="27" t="n">
        <f aca="false">IF(COUNT('Feijão 2ª safra'!$E51:$Z51)=0,0,MAX(0,IF((X$6-$E$3)&lt;1,0,IFERROR(LOOKUP(2,1/('Feijão 2ª safra'!$E51:INDEX('Feijão 2ª safra'!$E51:$Z51,MIN(X$6-$E$3,22))&lt;&gt;""),'Feijão 2ª safra'!$E51:INDEX('Feijão 2ª safra'!$E51:$Z51,MIN(X$6-$E$3,22))),0))-IF($G$2,0,IF((X$6-$G$3)&lt;1,0,IFERROR(LOOKUP(2,1/('Feijão 2ª safra'!$E51:INDEX('Feijão 2ª safra'!$E51:$Z51,MIN(X$6-$G$3,22))&lt;&gt;""),'Feijão 2ª safra'!$E51:INDEX('Feijão 2ª safra'!$E51:$Z51,MIN(X$6-$G$3,22))),0)))))</f>
        <v>0</v>
      </c>
      <c r="Y53" s="27" t="n">
        <f aca="false">IF(COUNT('Feijão 2ª safra'!$E51:$Z51)=0,0,MAX(0,IF((Y$6-$E$3)&lt;1,0,IFERROR(LOOKUP(2,1/('Feijão 2ª safra'!$E51:INDEX('Feijão 2ª safra'!$E51:$Z51,MIN(Y$6-$E$3,22))&lt;&gt;""),'Feijão 2ª safra'!$E51:INDEX('Feijão 2ª safra'!$E51:$Z51,MIN(Y$6-$E$3,22))),0))-IF($G$2,0,IF((Y$6-$G$3)&lt;1,0,IFERROR(LOOKUP(2,1/('Feijão 2ª safra'!$E51:INDEX('Feijão 2ª safra'!$E51:$Z51,MIN(Y$6-$G$3,22))&lt;&gt;""),'Feijão 2ª safra'!$E51:INDEX('Feijão 2ª safra'!$E51:$Z51,MIN(Y$6-$G$3,22))),0)))))</f>
        <v>0</v>
      </c>
      <c r="Z53" s="27" t="n">
        <f aca="false">IF(COUNT('Feijão 2ª safra'!$E51:$Z51)=0,0,MAX(0,IF((Z$6-$E$3)&lt;1,0,IFERROR(LOOKUP(2,1/('Feijão 2ª safra'!$E51:INDEX('Feijão 2ª safra'!$E51:$Z51,MIN(Z$6-$E$3,22))&lt;&gt;""),'Feijão 2ª safra'!$E51:INDEX('Feijão 2ª safra'!$E51:$Z51,MIN(Z$6-$E$3,22))),0))-IF($G$2,0,IF((Z$6-$G$3)&lt;1,0,IFERROR(LOOKUP(2,1/('Feijão 2ª safra'!$E51:INDEX('Feijão 2ª safra'!$E51:$Z51,MIN(Z$6-$G$3,22))&lt;&gt;""),'Feijão 2ª safra'!$E51:INDEX('Feijão 2ª safra'!$E51:$Z51,MIN(Z$6-$G$3,22))),0)))))</f>
        <v>0</v>
      </c>
      <c r="AA53" s="27" t="n">
        <f aca="false">IF(COUNT('Feijão 2ª safra'!$E51:$Z51)=0,0,MAX(0,IF((AA$6-$E$3)&lt;1,0,IFERROR(LOOKUP(2,1/('Feijão 2ª safra'!$E51:INDEX('Feijão 2ª safra'!$E51:$Z51,MIN(AA$6-$E$3,22))&lt;&gt;""),'Feijão 2ª safra'!$E51:INDEX('Feijão 2ª safra'!$E51:$Z51,MIN(AA$6-$E$3,22))),0))-IF($G$2,0,IF((AA$6-$G$3)&lt;1,0,IFERROR(LOOKUP(2,1/('Feijão 2ª safra'!$E51:INDEX('Feijão 2ª safra'!$E51:$Z51,MIN(AA$6-$G$3,22))&lt;&gt;""),'Feijão 2ª safra'!$E51:INDEX('Feijão 2ª safra'!$E51:$Z51,MIN(AA$6-$G$3,22))),0)))))</f>
        <v>0</v>
      </c>
      <c r="AB53" s="27" t="n">
        <f aca="false">IF(COUNT('Feijão 2ª safra'!$E51:$Z51)=0,0,MAX(0,IF((AB$6-$E$3)&lt;1,0,IFERROR(LOOKUP(2,1/('Feijão 2ª safra'!$E51:INDEX('Feijão 2ª safra'!$E51:$Z51,MIN(AB$6-$E$3,22))&lt;&gt;""),'Feijão 2ª safra'!$E51:INDEX('Feijão 2ª safra'!$E51:$Z51,MIN(AB$6-$E$3,22))),0))-IF($G$2,0,IF((AB$6-$G$3)&lt;1,0,IFERROR(LOOKUP(2,1/('Feijão 2ª safra'!$E51:INDEX('Feijão 2ª safra'!$E51:$Z51,MIN(AB$6-$G$3,22))&lt;&gt;""),'Feijão 2ª safra'!$E51:INDEX('Feijão 2ª safra'!$E51:$Z51,MIN(AB$6-$G$3,22))),0)))))</f>
        <v>0</v>
      </c>
      <c r="AC53" s="27" t="n">
        <f aca="false">IF(COUNT('Feijão 2ª safra'!$E51:$Z51)=0,0,MAX(0,IF((AC$6-$E$3)&lt;1,0,IFERROR(LOOKUP(2,1/('Feijão 2ª safra'!$E51:INDEX('Feijão 2ª safra'!$E51:$Z51,MIN(AC$6-$E$3,22))&lt;&gt;""),'Feijão 2ª safra'!$E51:INDEX('Feijão 2ª safra'!$E51:$Z51,MIN(AC$6-$E$3,22))),0))-IF($G$2,0,IF((AC$6-$G$3)&lt;1,0,IFERROR(LOOKUP(2,1/('Feijão 2ª safra'!$E51:INDEX('Feijão 2ª safra'!$E51:$Z51,MIN(AC$6-$G$3,22))&lt;&gt;""),'Feijão 2ª safra'!$E51:INDEX('Feijão 2ª safra'!$E51:$Z51,MIN(AC$6-$G$3,22))),0)))))</f>
        <v>0</v>
      </c>
      <c r="AD53" s="27" t="n">
        <f aca="false">IF(COUNT('Feijão 2ª safra'!$E51:$Z51)=0,0,MAX(0,IF((AD$6-$E$3)&lt;1,0,IFERROR(LOOKUP(2,1/('Feijão 2ª safra'!$E51:INDEX('Feijão 2ª safra'!$E51:$Z51,MIN(AD$6-$E$3,22))&lt;&gt;""),'Feijão 2ª safra'!$E51:INDEX('Feijão 2ª safra'!$E51:$Z51,MIN(AD$6-$E$3,22))),0))-IF($G$2,0,IF((AD$6-$G$3)&lt;1,0,IFERROR(LOOKUP(2,1/('Feijão 2ª safra'!$E51:INDEX('Feijão 2ª safra'!$E51:$Z51,MIN(AD$6-$G$3,22))&lt;&gt;""),'Feijão 2ª safra'!$E51:INDEX('Feijão 2ª safra'!$E51:$Z51,MIN(AD$6-$G$3,22))),0)))))</f>
        <v>0</v>
      </c>
      <c r="AE53" s="27" t="n">
        <f aca="false">IF(COUNT('Feijão 2ª safra'!$E51:$Z51)=0,0,MAX(0,IF((AE$6-$E$3)&lt;1,0,IFERROR(LOOKUP(2,1/('Feijão 2ª safra'!$E51:INDEX('Feijão 2ª safra'!$E51:$Z51,MIN(AE$6-$E$3,22))&lt;&gt;""),'Feijão 2ª safra'!$E51:INDEX('Feijão 2ª safra'!$E51:$Z51,MIN(AE$6-$E$3,22))),0))-IF($G$2,0,IF((AE$6-$G$3)&lt;1,0,IFERROR(LOOKUP(2,1/('Feijão 2ª safra'!$E51:INDEX('Feijão 2ª safra'!$E51:$Z51,MIN(AE$6-$G$3,22))&lt;&gt;""),'Feijão 2ª safra'!$E51:INDEX('Feijão 2ª safra'!$E51:$Z51,MIN(AE$6-$G$3,22))),0)))))</f>
        <v>0</v>
      </c>
      <c r="AF53" s="27" t="n">
        <f aca="false">IF(COUNT('Feijão 2ª safra'!$E51:$Z51)=0,0,MAX(0,IF((AF$6-$E$3)&lt;1,0,IFERROR(LOOKUP(2,1/('Feijão 2ª safra'!$E51:INDEX('Feijão 2ª safra'!$E51:$Z51,MIN(AF$6-$E$3,22))&lt;&gt;""),'Feijão 2ª safra'!$E51:INDEX('Feijão 2ª safra'!$E51:$Z51,MIN(AF$6-$E$3,22))),0))-IF($G$2,0,IF((AF$6-$G$3)&lt;1,0,IFERROR(LOOKUP(2,1/('Feijão 2ª safra'!$E51:INDEX('Feijão 2ª safra'!$E51:$Z51,MIN(AF$6-$G$3,22))&lt;&gt;""),'Feijão 2ª safra'!$E51:INDEX('Feijão 2ª safra'!$E51:$Z51,MIN(AF$6-$G$3,22))),0)))))</f>
        <v>0</v>
      </c>
      <c r="AG53" s="27" t="n">
        <f aca="false">IF(COUNT('Feijão 2ª safra'!$E51:$Z51)=0,0,MAX(0,IF((AG$6-$E$3)&lt;1,0,IFERROR(LOOKUP(2,1/('Feijão 2ª safra'!$E51:INDEX('Feijão 2ª safra'!$E51:$Z51,MIN(AG$6-$E$3,22))&lt;&gt;""),'Feijão 2ª safra'!$E51:INDEX('Feijão 2ª safra'!$E51:$Z51,MIN(AG$6-$E$3,22))),0))-IF($G$2,0,IF((AG$6-$G$3)&lt;1,0,IFERROR(LOOKUP(2,1/('Feijão 2ª safra'!$E51:INDEX('Feijão 2ª safra'!$E51:$Z51,MIN(AG$6-$G$3,22))&lt;&gt;""),'Feijão 2ª safra'!$E51:INDEX('Feijão 2ª safra'!$E51:$Z51,MIN(AG$6-$G$3,22))),0)))))</f>
        <v>0</v>
      </c>
      <c r="AH53" s="27" t="n">
        <f aca="false">IF(COUNT('Feijão 2ª safra'!$E51:$Z51)=0,0,MAX(0,IF((AH$6-$E$3)&lt;1,0,IFERROR(LOOKUP(2,1/('Feijão 2ª safra'!$E51:INDEX('Feijão 2ª safra'!$E51:$Z51,MIN(AH$6-$E$3,22))&lt;&gt;""),'Feijão 2ª safra'!$E51:INDEX('Feijão 2ª safra'!$E51:$Z51,MIN(AH$6-$E$3,22))),0))-IF($G$2,0,IF((AH$6-$G$3)&lt;1,0,IFERROR(LOOKUP(2,1/('Feijão 2ª safra'!$E51:INDEX('Feijão 2ª safra'!$E51:$Z51,MIN(AH$6-$G$3,22))&lt;&gt;""),'Feijão 2ª safra'!$E51:INDEX('Feijão 2ª safra'!$E51:$Z51,MIN(AH$6-$G$3,22))),0)))))</f>
        <v>0</v>
      </c>
      <c r="AI53" s="27" t="n">
        <f aca="false">IF(COUNT('Feijão 2ª safra'!$E51:$Z51)=0,0,MAX(0,IF((AI$6-$E$3)&lt;1,0,IFERROR(LOOKUP(2,1/('Feijão 2ª safra'!$E51:INDEX('Feijão 2ª safra'!$E51:$Z51,MIN(AI$6-$E$3,22))&lt;&gt;""),'Feijão 2ª safra'!$E51:INDEX('Feijão 2ª safra'!$E51:$Z51,MIN(AI$6-$E$3,22))),0))-IF($G$2,0,IF((AI$6-$G$3)&lt;1,0,IFERROR(LOOKUP(2,1/('Feijão 2ª safra'!$E51:INDEX('Feijão 2ª safra'!$E51:$Z51,MIN(AI$6-$G$3,22))&lt;&gt;""),'Feijão 2ª safra'!$E51:INDEX('Feijão 2ª safra'!$E51:$Z51,MIN(AI$6-$G$3,22))),0)))))</f>
        <v>0</v>
      </c>
      <c r="AJ53" s="27" t="n">
        <f aca="false">IF(COUNT('Feijão 2ª safra'!$E51:$Z51)=0,0,MAX(0,IF((AJ$6-$E$3)&lt;1,0,IFERROR(LOOKUP(2,1/('Feijão 2ª safra'!$E51:INDEX('Feijão 2ª safra'!$E51:$Z51,MIN(AJ$6-$E$3,22))&lt;&gt;""),'Feijão 2ª safra'!$E51:INDEX('Feijão 2ª safra'!$E51:$Z51,MIN(AJ$6-$E$3,22))),0))-IF($G$2,0,IF((AJ$6-$G$3)&lt;1,0,IFERROR(LOOKUP(2,1/('Feijão 2ª safra'!$E51:INDEX('Feijão 2ª safra'!$E51:$Z51,MIN(AJ$6-$G$3,22))&lt;&gt;""),'Feijão 2ª safra'!$E51:INDEX('Feijão 2ª safra'!$E51:$Z51,MIN(AJ$6-$G$3,22))),0)))))</f>
        <v>0</v>
      </c>
      <c r="AK53" s="27" t="n">
        <f aca="false">IF(COUNT('Feijão 2ª safra'!$E51:$Z51)=0,0,MAX(0,IF((AK$6-$E$3)&lt;1,0,IFERROR(LOOKUP(2,1/('Feijão 2ª safra'!$E51:INDEX('Feijão 2ª safra'!$E51:$Z51,MIN(AK$6-$E$3,22))&lt;&gt;""),'Feijão 2ª safra'!$E51:INDEX('Feijão 2ª safra'!$E51:$Z51,MIN(AK$6-$E$3,22))),0))-IF($G$2,0,IF((AK$6-$G$3)&lt;1,0,IFERROR(LOOKUP(2,1/('Feijão 2ª safra'!$E51:INDEX('Feijão 2ª safra'!$E51:$Z51,MIN(AK$6-$G$3,22))&lt;&gt;""),'Feijão 2ª safra'!$E51:INDEX('Feijão 2ª safra'!$E51:$Z51,MIN(AK$6-$G$3,22))),0)))))</f>
        <v>0</v>
      </c>
      <c r="AL53" s="27" t="n">
        <f aca="false">IF(COUNT('Feijão 2ª safra'!$E51:$Z51)=0,0,MAX(0,IF((AL$6-$E$3)&lt;1,0,IFERROR(LOOKUP(2,1/('Feijão 2ª safra'!$E51:INDEX('Feijão 2ª safra'!$E51:$Z51,MIN(AL$6-$E$3,22))&lt;&gt;""),'Feijão 2ª safra'!$E51:INDEX('Feijão 2ª safra'!$E51:$Z51,MIN(AL$6-$E$3,22))),0))-IF($G$2,0,IF((AL$6-$G$3)&lt;1,0,IFERROR(LOOKUP(2,1/('Feijão 2ª safra'!$E51:INDEX('Feijão 2ª safra'!$E51:$Z51,MIN(AL$6-$G$3,22))&lt;&gt;""),'Feijão 2ª safra'!$E51:INDEX('Feijão 2ª safra'!$E51:$Z51,MIN(AL$6-$G$3,22))),0)))))</f>
        <v>0</v>
      </c>
      <c r="AM53" s="27" t="n">
        <f aca="false">IF(COUNT('Feijão 2ª safra'!$E51:$Z51)=0,0,MAX(0,IF((AM$6-$E$3)&lt;1,0,IFERROR(LOOKUP(2,1/('Feijão 2ª safra'!$E51:INDEX('Feijão 2ª safra'!$E51:$Z51,MIN(AM$6-$E$3,22))&lt;&gt;""),'Feijão 2ª safra'!$E51:INDEX('Feijão 2ª safra'!$E51:$Z51,MIN(AM$6-$E$3,22))),0))-IF($G$2,0,IF((AM$6-$G$3)&lt;1,0,IFERROR(LOOKUP(2,1/('Feijão 2ª safra'!$E51:INDEX('Feijão 2ª safra'!$E51:$Z51,MIN(AM$6-$G$3,22))&lt;&gt;""),'Feijão 2ª safra'!$E51:INDEX('Feijão 2ª safra'!$E51:$Z51,MIN(AM$6-$G$3,22))),0)))))</f>
        <v>0</v>
      </c>
      <c r="AN53" s="27" t="n">
        <f aca="false">IF(COUNT('Feijão 2ª safra'!$E51:$Z51)=0,0,MAX(0,IF((AN$6-$E$3)&lt;1,0,IFERROR(LOOKUP(2,1/('Feijão 2ª safra'!$E51:INDEX('Feijão 2ª safra'!$E51:$Z51,MIN(AN$6-$E$3,22))&lt;&gt;""),'Feijão 2ª safra'!$E51:INDEX('Feijão 2ª safra'!$E51:$Z51,MIN(AN$6-$E$3,22))),0))-IF($G$2,0,IF((AN$6-$G$3)&lt;1,0,IFERROR(LOOKUP(2,1/('Feijão 2ª safra'!$E51:INDEX('Feijão 2ª safra'!$E51:$Z51,MIN(AN$6-$G$3,22))&lt;&gt;""),'Feijão 2ª safra'!$E51:INDEX('Feijão 2ª safra'!$E51:$Z51,MIN(AN$6-$G$3,22))),0)))))</f>
        <v>0</v>
      </c>
      <c r="AO53" s="27" t="n">
        <f aca="false">IF(COUNT('Feijão 2ª safra'!$E51:$Z51)=0,0,MAX(0,IF((AO$6-$E$3)&lt;1,0,IFERROR(LOOKUP(2,1/('Feijão 2ª safra'!$E51:INDEX('Feijão 2ª safra'!$E51:$Z51,MIN(AO$6-$E$3,22))&lt;&gt;""),'Feijão 2ª safra'!$E51:INDEX('Feijão 2ª safra'!$E51:$Z51,MIN(AO$6-$E$3,22))),0))-IF($G$2,0,IF((AO$6-$G$3)&lt;1,0,IFERROR(LOOKUP(2,1/('Feijão 2ª safra'!$E51:INDEX('Feijão 2ª safra'!$E51:$Z51,MIN(AO$6-$G$3,22))&lt;&gt;""),'Feijão 2ª safra'!$E51:INDEX('Feijão 2ª safra'!$E51:$Z51,MIN(AO$6-$G$3,22))),0)))))</f>
        <v>0</v>
      </c>
      <c r="AP53" s="27" t="n">
        <f aca="false">IF(COUNT('Feijão 2ª safra'!$E51:$Z51)=0,0,MAX(0,IF((AP$6-$E$3)&lt;1,0,IFERROR(LOOKUP(2,1/('Feijão 2ª safra'!$E51:INDEX('Feijão 2ª safra'!$E51:$Z51,MIN(AP$6-$E$3,22))&lt;&gt;""),'Feijão 2ª safra'!$E51:INDEX('Feijão 2ª safra'!$E51:$Z51,MIN(AP$6-$E$3,22))),0))-IF($G$2,0,IF((AP$6-$G$3)&lt;1,0,IFERROR(LOOKUP(2,1/('Feijão 2ª safra'!$E51:INDEX('Feijão 2ª safra'!$E51:$Z51,MIN(AP$6-$G$3,22))&lt;&gt;""),'Feijão 2ª safra'!$E51:INDEX('Feijão 2ª safra'!$E51:$Z51,MIN(AP$6-$G$3,22))),0)))))</f>
        <v>0</v>
      </c>
      <c r="AQ53" s="27" t="n">
        <f aca="false">IF(COUNT('Feijão 2ª safra'!$E51:$Z51)=0,0,MAX(0,IF((AQ$6-$E$3)&lt;1,0,IFERROR(LOOKUP(2,1/('Feijão 2ª safra'!$E51:INDEX('Feijão 2ª safra'!$E51:$Z51,MIN(AQ$6-$E$3,22))&lt;&gt;""),'Feijão 2ª safra'!$E51:INDEX('Feijão 2ª safra'!$E51:$Z51,MIN(AQ$6-$E$3,22))),0))-IF($G$2,0,IF((AQ$6-$G$3)&lt;1,0,IFERROR(LOOKUP(2,1/('Feijão 2ª safra'!$E51:INDEX('Feijão 2ª safra'!$E51:$Z51,MIN(AQ$6-$G$3,22))&lt;&gt;""),'Feijão 2ª safra'!$E51:INDEX('Feijão 2ª safra'!$E51:$Z51,MIN(AQ$6-$G$3,22))),0)))))</f>
        <v>0</v>
      </c>
      <c r="AR53" s="27" t="n">
        <f aca="false">IF(COUNT('Feijão 2ª safra'!$E51:$Z51)=0,0,MAX(0,IF((AR$6-$E$3)&lt;1,0,IFERROR(LOOKUP(2,1/('Feijão 2ª safra'!$E51:INDEX('Feijão 2ª safra'!$E51:$Z51,MIN(AR$6-$E$3,22))&lt;&gt;""),'Feijão 2ª safra'!$E51:INDEX('Feijão 2ª safra'!$E51:$Z51,MIN(AR$6-$E$3,22))),0))-IF($G$2,0,IF((AR$6-$G$3)&lt;1,0,IFERROR(LOOKUP(2,1/('Feijão 2ª safra'!$E51:INDEX('Feijão 2ª safra'!$E51:$Z51,MIN(AR$6-$G$3,22))&lt;&gt;""),'Feijão 2ª safra'!$E51:INDEX('Feijão 2ª safra'!$E51:$Z51,MIN(AR$6-$G$3,22))),0)))))</f>
        <v>0</v>
      </c>
      <c r="AS53" s="27" t="n">
        <f aca="false">IF(COUNT('Feijão 2ª safra'!$E51:$Z51)=0,0,MAX(0,IF((AS$6-$E$3)&lt;1,0,IFERROR(LOOKUP(2,1/('Feijão 2ª safra'!$E51:INDEX('Feijão 2ª safra'!$E51:$Z51,MIN(AS$6-$E$3,22))&lt;&gt;""),'Feijão 2ª safra'!$E51:INDEX('Feijão 2ª safra'!$E51:$Z51,MIN(AS$6-$E$3,22))),0))-IF($G$2,0,IF((AS$6-$G$3)&lt;1,0,IFERROR(LOOKUP(2,1/('Feijão 2ª safra'!$E51:INDEX('Feijão 2ª safra'!$E51:$Z51,MIN(AS$6-$G$3,22))&lt;&gt;""),'Feijão 2ª safra'!$E51:INDEX('Feijão 2ª safra'!$E51:$Z51,MIN(AS$6-$G$3,22))),0)))))</f>
        <v>0</v>
      </c>
      <c r="AT53" s="27" t="n">
        <f aca="false">IF(COUNT('Feijão 2ª safra'!$E51:$Z51)=0,0,MAX(0,IF((AT$6-$E$3)&lt;1,0,IFERROR(LOOKUP(2,1/('Feijão 2ª safra'!$E51:INDEX('Feijão 2ª safra'!$E51:$Z51,MIN(AT$6-$E$3,22))&lt;&gt;""),'Feijão 2ª safra'!$E51:INDEX('Feijão 2ª safra'!$E51:$Z51,MIN(AT$6-$E$3,22))),0))-IF($G$2,0,IF((AT$6-$G$3)&lt;1,0,IFERROR(LOOKUP(2,1/('Feijão 2ª safra'!$E51:INDEX('Feijão 2ª safra'!$E51:$Z51,MIN(AT$6-$G$3,22))&lt;&gt;""),'Feijão 2ª safra'!$E51:INDEX('Feijão 2ª safra'!$E51:$Z51,MIN(AT$6-$G$3,22))),0)))))</f>
        <v>0</v>
      </c>
      <c r="AU53" s="27" t="n">
        <f aca="false">IF(COUNT('Feijão 2ª safra'!$E51:$Z51)=0,0,MAX(0,IF((AU$6-$E$3)&lt;1,0,IFERROR(LOOKUP(2,1/('Feijão 2ª safra'!$E51:INDEX('Feijão 2ª safra'!$E51:$Z51,MIN(AU$6-$E$3,22))&lt;&gt;""),'Feijão 2ª safra'!$E51:INDEX('Feijão 2ª safra'!$E51:$Z51,MIN(AU$6-$E$3,22))),0))-IF($G$2,0,IF((AU$6-$G$3)&lt;1,0,IFERROR(LOOKUP(2,1/('Feijão 2ª safra'!$E51:INDEX('Feijão 2ª safra'!$E51:$Z51,MIN(AU$6-$G$3,22))&lt;&gt;""),'Feijão 2ª safra'!$E51:INDEX('Feijão 2ª safra'!$E51:$Z51,MIN(AU$6-$G$3,22))),0)))))</f>
        <v>0</v>
      </c>
      <c r="AV53" s="27" t="n">
        <f aca="false">IF(COUNT('Feijão 2ª safra'!$E51:$Z51)=0,0,MAX(0,IF((AV$6-$E$3)&lt;1,0,IFERROR(LOOKUP(2,1/('Feijão 2ª safra'!$E51:INDEX('Feijão 2ª safra'!$E51:$Z51,MIN(AV$6-$E$3,22))&lt;&gt;""),'Feijão 2ª safra'!$E51:INDEX('Feijão 2ª safra'!$E51:$Z51,MIN(AV$6-$E$3,22))),0))-IF($G$2,0,IF((AV$6-$G$3)&lt;1,0,IFERROR(LOOKUP(2,1/('Feijão 2ª safra'!$E51:INDEX('Feijão 2ª safra'!$E51:$Z51,MIN(AV$6-$G$3,22))&lt;&gt;""),'Feijão 2ª safra'!$E51:INDEX('Feijão 2ª safra'!$E51:$Z51,MIN(AV$6-$G$3,22))),0)))))</f>
        <v>0</v>
      </c>
      <c r="AW53" s="27" t="n">
        <f aca="false">IF(COUNT('Feijão 2ª safra'!$E51:$Z51)=0,0,MAX(0,IF((AW$6-$E$3)&lt;1,0,IFERROR(LOOKUP(2,1/('Feijão 2ª safra'!$E51:INDEX('Feijão 2ª safra'!$E51:$Z51,MIN(AW$6-$E$3,22))&lt;&gt;""),'Feijão 2ª safra'!$E51:INDEX('Feijão 2ª safra'!$E51:$Z51,MIN(AW$6-$E$3,22))),0))-IF($G$2,0,IF((AW$6-$G$3)&lt;1,0,IFERROR(LOOKUP(2,1/('Feijão 2ª safra'!$E51:INDEX('Feijão 2ª safra'!$E51:$Z51,MIN(AW$6-$G$3,22))&lt;&gt;""),'Feijão 2ª safra'!$E51:INDEX('Feijão 2ª safra'!$E51:$Z51,MIN(AW$6-$G$3,22))),0)))))</f>
        <v>0</v>
      </c>
      <c r="AX53" s="27" t="n">
        <f aca="false">IF(COUNT('Feijão 2ª safra'!$E51:$Z51)=0,0,MAX(0,IF((AX$6-$E$3)&lt;1,0,IFERROR(LOOKUP(2,1/('Feijão 2ª safra'!$E51:INDEX('Feijão 2ª safra'!$E51:$Z51,MIN(AX$6-$E$3,22))&lt;&gt;""),'Feijão 2ª safra'!$E51:INDEX('Feijão 2ª safra'!$E51:$Z51,MIN(AX$6-$E$3,22))),0))-IF($G$2,0,IF((AX$6-$G$3)&lt;1,0,IFERROR(LOOKUP(2,1/('Feijão 2ª safra'!$E51:INDEX('Feijão 2ª safra'!$E51:$Z51,MIN(AX$6-$G$3,22))&lt;&gt;""),'Feijão 2ª safra'!$E51:INDEX('Feijão 2ª safra'!$E51:$Z51,MIN(AX$6-$G$3,22))),0)))))</f>
        <v>0</v>
      </c>
      <c r="AY53" s="27" t="n">
        <f aca="false">IF(COUNT('Feijão 2ª safra'!$E51:$Z51)=0,0,MAX(0,IF((AY$6-$E$3)&lt;1,0,IFERROR(LOOKUP(2,1/('Feijão 2ª safra'!$E51:INDEX('Feijão 2ª safra'!$E51:$Z51,MIN(AY$6-$E$3,22))&lt;&gt;""),'Feijão 2ª safra'!$E51:INDEX('Feijão 2ª safra'!$E51:$Z51,MIN(AY$6-$E$3,22))),0))-IF($G$2,0,IF((AY$6-$G$3)&lt;1,0,IFERROR(LOOKUP(2,1/('Feijão 2ª safra'!$E51:INDEX('Feijão 2ª safra'!$E51:$Z51,MIN(AY$6-$G$3,22))&lt;&gt;""),'Feijão 2ª safra'!$E51:INDEX('Feijão 2ª safra'!$E51:$Z51,MIN(AY$6-$G$3,22))),0)))))</f>
        <v>0</v>
      </c>
      <c r="AZ53" s="27" t="n">
        <f aca="false">IF(COUNT('Feijão 2ª safra'!$E51:$Z51)=0,0,MAX(0,IF((AZ$6-$E$3)&lt;1,0,IFERROR(LOOKUP(2,1/('Feijão 2ª safra'!$E51:INDEX('Feijão 2ª safra'!$E51:$Z51,MIN(AZ$6-$E$3,22))&lt;&gt;""),'Feijão 2ª safra'!$E51:INDEX('Feijão 2ª safra'!$E51:$Z51,MIN(AZ$6-$E$3,22))),0))-IF($G$2,0,IF((AZ$6-$G$3)&lt;1,0,IFERROR(LOOKUP(2,1/('Feijão 2ª safra'!$E51:INDEX('Feijão 2ª safra'!$E51:$Z51,MIN(AZ$6-$G$3,22))&lt;&gt;""),'Feijão 2ª safra'!$E51:INDEX('Feijão 2ª safra'!$E51:$Z51,MIN(AZ$6-$G$3,22))),0)))))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IF(COUNT('Feijão 2ª safra'!$E52:$Z52)&gt;0,N('Feijão 2ª safra'!$D52),0)</f>
        <v>0</v>
      </c>
      <c r="E54" s="27" t="n">
        <f aca="false">IF(COUNT('Feijão 2ª safra'!$E52:$Z52)=0,0,MAX(0,IF((E$6-$E$3)&lt;1,0,IFERROR(LOOKUP(2,1/('Feijão 2ª safra'!$E52:INDEX('Feijão 2ª safra'!$E52:$Z52,MIN(E$6-$E$3,22))&lt;&gt;""),'Feijão 2ª safra'!$E52:INDEX('Feijão 2ª safra'!$E52:$Z52,MIN(E$6-$E$3,22))),0))-IF($G$2,0,IF((E$6-$G$3)&lt;1,0,IFERROR(LOOKUP(2,1/('Feijão 2ª safra'!$E52:INDEX('Feijão 2ª safra'!$E52:$Z52,MIN(E$6-$G$3,22))&lt;&gt;""),'Feijão 2ª safra'!$E52:INDEX('Feijão 2ª safra'!$E52:$Z52,MIN(E$6-$G$3,22))),0)))))</f>
        <v>0</v>
      </c>
      <c r="F54" s="27" t="n">
        <f aca="false">IF(COUNT('Feijão 2ª safra'!$E52:$Z52)=0,0,MAX(0,IF((F$6-$E$3)&lt;1,0,IFERROR(LOOKUP(2,1/('Feijão 2ª safra'!$E52:INDEX('Feijão 2ª safra'!$E52:$Z52,MIN(F$6-$E$3,22))&lt;&gt;""),'Feijão 2ª safra'!$E52:INDEX('Feijão 2ª safra'!$E52:$Z52,MIN(F$6-$E$3,22))),0))-IF($G$2,0,IF((F$6-$G$3)&lt;1,0,IFERROR(LOOKUP(2,1/('Feijão 2ª safra'!$E52:INDEX('Feijão 2ª safra'!$E52:$Z52,MIN(F$6-$G$3,22))&lt;&gt;""),'Feijão 2ª safra'!$E52:INDEX('Feijão 2ª safra'!$E52:$Z52,MIN(F$6-$G$3,22))),0)))))</f>
        <v>0</v>
      </c>
      <c r="G54" s="27" t="n">
        <f aca="false">IF(COUNT('Feijão 2ª safra'!$E52:$Z52)=0,0,MAX(0,IF((G$6-$E$3)&lt;1,0,IFERROR(LOOKUP(2,1/('Feijão 2ª safra'!$E52:INDEX('Feijão 2ª safra'!$E52:$Z52,MIN(G$6-$E$3,22))&lt;&gt;""),'Feijão 2ª safra'!$E52:INDEX('Feijão 2ª safra'!$E52:$Z52,MIN(G$6-$E$3,22))),0))-IF($G$2,0,IF((G$6-$G$3)&lt;1,0,IFERROR(LOOKUP(2,1/('Feijão 2ª safra'!$E52:INDEX('Feijão 2ª safra'!$E52:$Z52,MIN(G$6-$G$3,22))&lt;&gt;""),'Feijão 2ª safra'!$E52:INDEX('Feijão 2ª safra'!$E52:$Z52,MIN(G$6-$G$3,22))),0)))))</f>
        <v>0</v>
      </c>
      <c r="H54" s="27" t="n">
        <f aca="false">IF(COUNT('Feijão 2ª safra'!$E52:$Z52)=0,0,MAX(0,IF((H$6-$E$3)&lt;1,0,IFERROR(LOOKUP(2,1/('Feijão 2ª safra'!$E52:INDEX('Feijão 2ª safra'!$E52:$Z52,MIN(H$6-$E$3,22))&lt;&gt;""),'Feijão 2ª safra'!$E52:INDEX('Feijão 2ª safra'!$E52:$Z52,MIN(H$6-$E$3,22))),0))-IF($G$2,0,IF((H$6-$G$3)&lt;1,0,IFERROR(LOOKUP(2,1/('Feijão 2ª safra'!$E52:INDEX('Feijão 2ª safra'!$E52:$Z52,MIN(H$6-$G$3,22))&lt;&gt;""),'Feijão 2ª safra'!$E52:INDEX('Feijão 2ª safra'!$E52:$Z52,MIN(H$6-$G$3,22))),0)))))</f>
        <v>0</v>
      </c>
      <c r="I54" s="27" t="n">
        <f aca="false">IF(COUNT('Feijão 2ª safra'!$E52:$Z52)=0,0,MAX(0,IF((I$6-$E$3)&lt;1,0,IFERROR(LOOKUP(2,1/('Feijão 2ª safra'!$E52:INDEX('Feijão 2ª safra'!$E52:$Z52,MIN(I$6-$E$3,22))&lt;&gt;""),'Feijão 2ª safra'!$E52:INDEX('Feijão 2ª safra'!$E52:$Z52,MIN(I$6-$E$3,22))),0))-IF($G$2,0,IF((I$6-$G$3)&lt;1,0,IFERROR(LOOKUP(2,1/('Feijão 2ª safra'!$E52:INDEX('Feijão 2ª safra'!$E52:$Z52,MIN(I$6-$G$3,22))&lt;&gt;""),'Feijão 2ª safra'!$E52:INDEX('Feijão 2ª safra'!$E52:$Z52,MIN(I$6-$G$3,22))),0)))))</f>
        <v>0</v>
      </c>
      <c r="J54" s="27" t="n">
        <f aca="false">IF(COUNT('Feijão 2ª safra'!$E52:$Z52)=0,0,MAX(0,IF((J$6-$E$3)&lt;1,0,IFERROR(LOOKUP(2,1/('Feijão 2ª safra'!$E52:INDEX('Feijão 2ª safra'!$E52:$Z52,MIN(J$6-$E$3,22))&lt;&gt;""),'Feijão 2ª safra'!$E52:INDEX('Feijão 2ª safra'!$E52:$Z52,MIN(J$6-$E$3,22))),0))-IF($G$2,0,IF((J$6-$G$3)&lt;1,0,IFERROR(LOOKUP(2,1/('Feijão 2ª safra'!$E52:INDEX('Feijão 2ª safra'!$E52:$Z52,MIN(J$6-$G$3,22))&lt;&gt;""),'Feijão 2ª safra'!$E52:INDEX('Feijão 2ª safra'!$E52:$Z52,MIN(J$6-$G$3,22))),0)))))</f>
        <v>0</v>
      </c>
      <c r="K54" s="27" t="n">
        <f aca="false">IF(COUNT('Feijão 2ª safra'!$E52:$Z52)=0,0,MAX(0,IF((K$6-$E$3)&lt;1,0,IFERROR(LOOKUP(2,1/('Feijão 2ª safra'!$E52:INDEX('Feijão 2ª safra'!$E52:$Z52,MIN(K$6-$E$3,22))&lt;&gt;""),'Feijão 2ª safra'!$E52:INDEX('Feijão 2ª safra'!$E52:$Z52,MIN(K$6-$E$3,22))),0))-IF($G$2,0,IF((K$6-$G$3)&lt;1,0,IFERROR(LOOKUP(2,1/('Feijão 2ª safra'!$E52:INDEX('Feijão 2ª safra'!$E52:$Z52,MIN(K$6-$G$3,22))&lt;&gt;""),'Feijão 2ª safra'!$E52:INDEX('Feijão 2ª safra'!$E52:$Z52,MIN(K$6-$G$3,22))),0)))))</f>
        <v>0</v>
      </c>
      <c r="L54" s="27" t="n">
        <f aca="false">IF(COUNT('Feijão 2ª safra'!$E52:$Z52)=0,0,MAX(0,IF((L$6-$E$3)&lt;1,0,IFERROR(LOOKUP(2,1/('Feijão 2ª safra'!$E52:INDEX('Feijão 2ª safra'!$E52:$Z52,MIN(L$6-$E$3,22))&lt;&gt;""),'Feijão 2ª safra'!$E52:INDEX('Feijão 2ª safra'!$E52:$Z52,MIN(L$6-$E$3,22))),0))-IF($G$2,0,IF((L$6-$G$3)&lt;1,0,IFERROR(LOOKUP(2,1/('Feijão 2ª safra'!$E52:INDEX('Feijão 2ª safra'!$E52:$Z52,MIN(L$6-$G$3,22))&lt;&gt;""),'Feijão 2ª safra'!$E52:INDEX('Feijão 2ª safra'!$E52:$Z52,MIN(L$6-$G$3,22))),0)))))</f>
        <v>0</v>
      </c>
      <c r="M54" s="27" t="n">
        <f aca="false">IF(COUNT('Feijão 2ª safra'!$E52:$Z52)=0,0,MAX(0,IF((M$6-$E$3)&lt;1,0,IFERROR(LOOKUP(2,1/('Feijão 2ª safra'!$E52:INDEX('Feijão 2ª safra'!$E52:$Z52,MIN(M$6-$E$3,22))&lt;&gt;""),'Feijão 2ª safra'!$E52:INDEX('Feijão 2ª safra'!$E52:$Z52,MIN(M$6-$E$3,22))),0))-IF($G$2,0,IF((M$6-$G$3)&lt;1,0,IFERROR(LOOKUP(2,1/('Feijão 2ª safra'!$E52:INDEX('Feijão 2ª safra'!$E52:$Z52,MIN(M$6-$G$3,22))&lt;&gt;""),'Feijão 2ª safra'!$E52:INDEX('Feijão 2ª safra'!$E52:$Z52,MIN(M$6-$G$3,22))),0)))))</f>
        <v>0</v>
      </c>
      <c r="N54" s="27" t="n">
        <f aca="false">IF(COUNT('Feijão 2ª safra'!$E52:$Z52)=0,0,MAX(0,IF((N$6-$E$3)&lt;1,0,IFERROR(LOOKUP(2,1/('Feijão 2ª safra'!$E52:INDEX('Feijão 2ª safra'!$E52:$Z52,MIN(N$6-$E$3,22))&lt;&gt;""),'Feijão 2ª safra'!$E52:INDEX('Feijão 2ª safra'!$E52:$Z52,MIN(N$6-$E$3,22))),0))-IF($G$2,0,IF((N$6-$G$3)&lt;1,0,IFERROR(LOOKUP(2,1/('Feijão 2ª safra'!$E52:INDEX('Feijão 2ª safra'!$E52:$Z52,MIN(N$6-$G$3,22))&lt;&gt;""),'Feijão 2ª safra'!$E52:INDEX('Feijão 2ª safra'!$E52:$Z52,MIN(N$6-$G$3,22))),0)))))</f>
        <v>0</v>
      </c>
      <c r="O54" s="27" t="n">
        <f aca="false">IF(COUNT('Feijão 2ª safra'!$E52:$Z52)=0,0,MAX(0,IF((O$6-$E$3)&lt;1,0,IFERROR(LOOKUP(2,1/('Feijão 2ª safra'!$E52:INDEX('Feijão 2ª safra'!$E52:$Z52,MIN(O$6-$E$3,22))&lt;&gt;""),'Feijão 2ª safra'!$E52:INDEX('Feijão 2ª safra'!$E52:$Z52,MIN(O$6-$E$3,22))),0))-IF($G$2,0,IF((O$6-$G$3)&lt;1,0,IFERROR(LOOKUP(2,1/('Feijão 2ª safra'!$E52:INDEX('Feijão 2ª safra'!$E52:$Z52,MIN(O$6-$G$3,22))&lt;&gt;""),'Feijão 2ª safra'!$E52:INDEX('Feijão 2ª safra'!$E52:$Z52,MIN(O$6-$G$3,22))),0)))))</f>
        <v>0</v>
      </c>
      <c r="P54" s="27" t="n">
        <f aca="false">IF(COUNT('Feijão 2ª safra'!$E52:$Z52)=0,0,MAX(0,IF((P$6-$E$3)&lt;1,0,IFERROR(LOOKUP(2,1/('Feijão 2ª safra'!$E52:INDEX('Feijão 2ª safra'!$E52:$Z52,MIN(P$6-$E$3,22))&lt;&gt;""),'Feijão 2ª safra'!$E52:INDEX('Feijão 2ª safra'!$E52:$Z52,MIN(P$6-$E$3,22))),0))-IF($G$2,0,IF((P$6-$G$3)&lt;1,0,IFERROR(LOOKUP(2,1/('Feijão 2ª safra'!$E52:INDEX('Feijão 2ª safra'!$E52:$Z52,MIN(P$6-$G$3,22))&lt;&gt;""),'Feijão 2ª safra'!$E52:INDEX('Feijão 2ª safra'!$E52:$Z52,MIN(P$6-$G$3,22))),0)))))</f>
        <v>0</v>
      </c>
      <c r="Q54" s="27" t="n">
        <f aca="false">IF(COUNT('Feijão 2ª safra'!$E52:$Z52)=0,0,MAX(0,IF((Q$6-$E$3)&lt;1,0,IFERROR(LOOKUP(2,1/('Feijão 2ª safra'!$E52:INDEX('Feijão 2ª safra'!$E52:$Z52,MIN(Q$6-$E$3,22))&lt;&gt;""),'Feijão 2ª safra'!$E52:INDEX('Feijão 2ª safra'!$E52:$Z52,MIN(Q$6-$E$3,22))),0))-IF($G$2,0,IF((Q$6-$G$3)&lt;1,0,IFERROR(LOOKUP(2,1/('Feijão 2ª safra'!$E52:INDEX('Feijão 2ª safra'!$E52:$Z52,MIN(Q$6-$G$3,22))&lt;&gt;""),'Feijão 2ª safra'!$E52:INDEX('Feijão 2ª safra'!$E52:$Z52,MIN(Q$6-$G$3,22))),0)))))</f>
        <v>0</v>
      </c>
      <c r="R54" s="27" t="n">
        <f aca="false">IF(COUNT('Feijão 2ª safra'!$E52:$Z52)=0,0,MAX(0,IF((R$6-$E$3)&lt;1,0,IFERROR(LOOKUP(2,1/('Feijão 2ª safra'!$E52:INDEX('Feijão 2ª safra'!$E52:$Z52,MIN(R$6-$E$3,22))&lt;&gt;""),'Feijão 2ª safra'!$E52:INDEX('Feijão 2ª safra'!$E52:$Z52,MIN(R$6-$E$3,22))),0))-IF($G$2,0,IF((R$6-$G$3)&lt;1,0,IFERROR(LOOKUP(2,1/('Feijão 2ª safra'!$E52:INDEX('Feijão 2ª safra'!$E52:$Z52,MIN(R$6-$G$3,22))&lt;&gt;""),'Feijão 2ª safra'!$E52:INDEX('Feijão 2ª safra'!$E52:$Z52,MIN(R$6-$G$3,22))),0)))))</f>
        <v>0</v>
      </c>
      <c r="S54" s="27" t="n">
        <f aca="false">IF(COUNT('Feijão 2ª safra'!$E52:$Z52)=0,0,MAX(0,IF((S$6-$E$3)&lt;1,0,IFERROR(LOOKUP(2,1/('Feijão 2ª safra'!$E52:INDEX('Feijão 2ª safra'!$E52:$Z52,MIN(S$6-$E$3,22))&lt;&gt;""),'Feijão 2ª safra'!$E52:INDEX('Feijão 2ª safra'!$E52:$Z52,MIN(S$6-$E$3,22))),0))-IF($G$2,0,IF((S$6-$G$3)&lt;1,0,IFERROR(LOOKUP(2,1/('Feijão 2ª safra'!$E52:INDEX('Feijão 2ª safra'!$E52:$Z52,MIN(S$6-$G$3,22))&lt;&gt;""),'Feijão 2ª safra'!$E52:INDEX('Feijão 2ª safra'!$E52:$Z52,MIN(S$6-$G$3,22))),0)))))</f>
        <v>0</v>
      </c>
      <c r="T54" s="27" t="n">
        <f aca="false">IF(COUNT('Feijão 2ª safra'!$E52:$Z52)=0,0,MAX(0,IF((T$6-$E$3)&lt;1,0,IFERROR(LOOKUP(2,1/('Feijão 2ª safra'!$E52:INDEX('Feijão 2ª safra'!$E52:$Z52,MIN(T$6-$E$3,22))&lt;&gt;""),'Feijão 2ª safra'!$E52:INDEX('Feijão 2ª safra'!$E52:$Z52,MIN(T$6-$E$3,22))),0))-IF($G$2,0,IF((T$6-$G$3)&lt;1,0,IFERROR(LOOKUP(2,1/('Feijão 2ª safra'!$E52:INDEX('Feijão 2ª safra'!$E52:$Z52,MIN(T$6-$G$3,22))&lt;&gt;""),'Feijão 2ª safra'!$E52:INDEX('Feijão 2ª safra'!$E52:$Z52,MIN(T$6-$G$3,22))),0)))))</f>
        <v>0</v>
      </c>
      <c r="U54" s="27" t="n">
        <f aca="false">IF(COUNT('Feijão 2ª safra'!$E52:$Z52)=0,0,MAX(0,IF((U$6-$E$3)&lt;1,0,IFERROR(LOOKUP(2,1/('Feijão 2ª safra'!$E52:INDEX('Feijão 2ª safra'!$E52:$Z52,MIN(U$6-$E$3,22))&lt;&gt;""),'Feijão 2ª safra'!$E52:INDEX('Feijão 2ª safra'!$E52:$Z52,MIN(U$6-$E$3,22))),0))-IF($G$2,0,IF((U$6-$G$3)&lt;1,0,IFERROR(LOOKUP(2,1/('Feijão 2ª safra'!$E52:INDEX('Feijão 2ª safra'!$E52:$Z52,MIN(U$6-$G$3,22))&lt;&gt;""),'Feijão 2ª safra'!$E52:INDEX('Feijão 2ª safra'!$E52:$Z52,MIN(U$6-$G$3,22))),0)))))</f>
        <v>0</v>
      </c>
      <c r="V54" s="27" t="n">
        <f aca="false">IF(COUNT('Feijão 2ª safra'!$E52:$Z52)=0,0,MAX(0,IF((V$6-$E$3)&lt;1,0,IFERROR(LOOKUP(2,1/('Feijão 2ª safra'!$E52:INDEX('Feijão 2ª safra'!$E52:$Z52,MIN(V$6-$E$3,22))&lt;&gt;""),'Feijão 2ª safra'!$E52:INDEX('Feijão 2ª safra'!$E52:$Z52,MIN(V$6-$E$3,22))),0))-IF($G$2,0,IF((V$6-$G$3)&lt;1,0,IFERROR(LOOKUP(2,1/('Feijão 2ª safra'!$E52:INDEX('Feijão 2ª safra'!$E52:$Z52,MIN(V$6-$G$3,22))&lt;&gt;""),'Feijão 2ª safra'!$E52:INDEX('Feijão 2ª safra'!$E52:$Z52,MIN(V$6-$G$3,22))),0)))))</f>
        <v>0</v>
      </c>
      <c r="W54" s="27" t="n">
        <f aca="false">IF(COUNT('Feijão 2ª safra'!$E52:$Z52)=0,0,MAX(0,IF((W$6-$E$3)&lt;1,0,IFERROR(LOOKUP(2,1/('Feijão 2ª safra'!$E52:INDEX('Feijão 2ª safra'!$E52:$Z52,MIN(W$6-$E$3,22))&lt;&gt;""),'Feijão 2ª safra'!$E52:INDEX('Feijão 2ª safra'!$E52:$Z52,MIN(W$6-$E$3,22))),0))-IF($G$2,0,IF((W$6-$G$3)&lt;1,0,IFERROR(LOOKUP(2,1/('Feijão 2ª safra'!$E52:INDEX('Feijão 2ª safra'!$E52:$Z52,MIN(W$6-$G$3,22))&lt;&gt;""),'Feijão 2ª safra'!$E52:INDEX('Feijão 2ª safra'!$E52:$Z52,MIN(W$6-$G$3,22))),0)))))</f>
        <v>0</v>
      </c>
      <c r="X54" s="27" t="n">
        <f aca="false">IF(COUNT('Feijão 2ª safra'!$E52:$Z52)=0,0,MAX(0,IF((X$6-$E$3)&lt;1,0,IFERROR(LOOKUP(2,1/('Feijão 2ª safra'!$E52:INDEX('Feijão 2ª safra'!$E52:$Z52,MIN(X$6-$E$3,22))&lt;&gt;""),'Feijão 2ª safra'!$E52:INDEX('Feijão 2ª safra'!$E52:$Z52,MIN(X$6-$E$3,22))),0))-IF($G$2,0,IF((X$6-$G$3)&lt;1,0,IFERROR(LOOKUP(2,1/('Feijão 2ª safra'!$E52:INDEX('Feijão 2ª safra'!$E52:$Z52,MIN(X$6-$G$3,22))&lt;&gt;""),'Feijão 2ª safra'!$E52:INDEX('Feijão 2ª safra'!$E52:$Z52,MIN(X$6-$G$3,22))),0)))))</f>
        <v>0</v>
      </c>
      <c r="Y54" s="27" t="n">
        <f aca="false">IF(COUNT('Feijão 2ª safra'!$E52:$Z52)=0,0,MAX(0,IF((Y$6-$E$3)&lt;1,0,IFERROR(LOOKUP(2,1/('Feijão 2ª safra'!$E52:INDEX('Feijão 2ª safra'!$E52:$Z52,MIN(Y$6-$E$3,22))&lt;&gt;""),'Feijão 2ª safra'!$E52:INDEX('Feijão 2ª safra'!$E52:$Z52,MIN(Y$6-$E$3,22))),0))-IF($G$2,0,IF((Y$6-$G$3)&lt;1,0,IFERROR(LOOKUP(2,1/('Feijão 2ª safra'!$E52:INDEX('Feijão 2ª safra'!$E52:$Z52,MIN(Y$6-$G$3,22))&lt;&gt;""),'Feijão 2ª safra'!$E52:INDEX('Feijão 2ª safra'!$E52:$Z52,MIN(Y$6-$G$3,22))),0)))))</f>
        <v>0</v>
      </c>
      <c r="Z54" s="27" t="n">
        <f aca="false">IF(COUNT('Feijão 2ª safra'!$E52:$Z52)=0,0,MAX(0,IF((Z$6-$E$3)&lt;1,0,IFERROR(LOOKUP(2,1/('Feijão 2ª safra'!$E52:INDEX('Feijão 2ª safra'!$E52:$Z52,MIN(Z$6-$E$3,22))&lt;&gt;""),'Feijão 2ª safra'!$E52:INDEX('Feijão 2ª safra'!$E52:$Z52,MIN(Z$6-$E$3,22))),0))-IF($G$2,0,IF((Z$6-$G$3)&lt;1,0,IFERROR(LOOKUP(2,1/('Feijão 2ª safra'!$E52:INDEX('Feijão 2ª safra'!$E52:$Z52,MIN(Z$6-$G$3,22))&lt;&gt;""),'Feijão 2ª safra'!$E52:INDEX('Feijão 2ª safra'!$E52:$Z52,MIN(Z$6-$G$3,22))),0)))))</f>
        <v>0</v>
      </c>
      <c r="AA54" s="27" t="n">
        <f aca="false">IF(COUNT('Feijão 2ª safra'!$E52:$Z52)=0,0,MAX(0,IF((AA$6-$E$3)&lt;1,0,IFERROR(LOOKUP(2,1/('Feijão 2ª safra'!$E52:INDEX('Feijão 2ª safra'!$E52:$Z52,MIN(AA$6-$E$3,22))&lt;&gt;""),'Feijão 2ª safra'!$E52:INDEX('Feijão 2ª safra'!$E52:$Z52,MIN(AA$6-$E$3,22))),0))-IF($G$2,0,IF((AA$6-$G$3)&lt;1,0,IFERROR(LOOKUP(2,1/('Feijão 2ª safra'!$E52:INDEX('Feijão 2ª safra'!$E52:$Z52,MIN(AA$6-$G$3,22))&lt;&gt;""),'Feijão 2ª safra'!$E52:INDEX('Feijão 2ª safra'!$E52:$Z52,MIN(AA$6-$G$3,22))),0)))))</f>
        <v>0</v>
      </c>
      <c r="AB54" s="27" t="n">
        <f aca="false">IF(COUNT('Feijão 2ª safra'!$E52:$Z52)=0,0,MAX(0,IF((AB$6-$E$3)&lt;1,0,IFERROR(LOOKUP(2,1/('Feijão 2ª safra'!$E52:INDEX('Feijão 2ª safra'!$E52:$Z52,MIN(AB$6-$E$3,22))&lt;&gt;""),'Feijão 2ª safra'!$E52:INDEX('Feijão 2ª safra'!$E52:$Z52,MIN(AB$6-$E$3,22))),0))-IF($G$2,0,IF((AB$6-$G$3)&lt;1,0,IFERROR(LOOKUP(2,1/('Feijão 2ª safra'!$E52:INDEX('Feijão 2ª safra'!$E52:$Z52,MIN(AB$6-$G$3,22))&lt;&gt;""),'Feijão 2ª safra'!$E52:INDEX('Feijão 2ª safra'!$E52:$Z52,MIN(AB$6-$G$3,22))),0)))))</f>
        <v>0</v>
      </c>
      <c r="AC54" s="27" t="n">
        <f aca="false">IF(COUNT('Feijão 2ª safra'!$E52:$Z52)=0,0,MAX(0,IF((AC$6-$E$3)&lt;1,0,IFERROR(LOOKUP(2,1/('Feijão 2ª safra'!$E52:INDEX('Feijão 2ª safra'!$E52:$Z52,MIN(AC$6-$E$3,22))&lt;&gt;""),'Feijão 2ª safra'!$E52:INDEX('Feijão 2ª safra'!$E52:$Z52,MIN(AC$6-$E$3,22))),0))-IF($G$2,0,IF((AC$6-$G$3)&lt;1,0,IFERROR(LOOKUP(2,1/('Feijão 2ª safra'!$E52:INDEX('Feijão 2ª safra'!$E52:$Z52,MIN(AC$6-$G$3,22))&lt;&gt;""),'Feijão 2ª safra'!$E52:INDEX('Feijão 2ª safra'!$E52:$Z52,MIN(AC$6-$G$3,22))),0)))))</f>
        <v>0</v>
      </c>
      <c r="AD54" s="27" t="n">
        <f aca="false">IF(COUNT('Feijão 2ª safra'!$E52:$Z52)=0,0,MAX(0,IF((AD$6-$E$3)&lt;1,0,IFERROR(LOOKUP(2,1/('Feijão 2ª safra'!$E52:INDEX('Feijão 2ª safra'!$E52:$Z52,MIN(AD$6-$E$3,22))&lt;&gt;""),'Feijão 2ª safra'!$E52:INDEX('Feijão 2ª safra'!$E52:$Z52,MIN(AD$6-$E$3,22))),0))-IF($G$2,0,IF((AD$6-$G$3)&lt;1,0,IFERROR(LOOKUP(2,1/('Feijão 2ª safra'!$E52:INDEX('Feijão 2ª safra'!$E52:$Z52,MIN(AD$6-$G$3,22))&lt;&gt;""),'Feijão 2ª safra'!$E52:INDEX('Feijão 2ª safra'!$E52:$Z52,MIN(AD$6-$G$3,22))),0)))))</f>
        <v>0</v>
      </c>
      <c r="AE54" s="27" t="n">
        <f aca="false">IF(COUNT('Feijão 2ª safra'!$E52:$Z52)=0,0,MAX(0,IF((AE$6-$E$3)&lt;1,0,IFERROR(LOOKUP(2,1/('Feijão 2ª safra'!$E52:INDEX('Feijão 2ª safra'!$E52:$Z52,MIN(AE$6-$E$3,22))&lt;&gt;""),'Feijão 2ª safra'!$E52:INDEX('Feijão 2ª safra'!$E52:$Z52,MIN(AE$6-$E$3,22))),0))-IF($G$2,0,IF((AE$6-$G$3)&lt;1,0,IFERROR(LOOKUP(2,1/('Feijão 2ª safra'!$E52:INDEX('Feijão 2ª safra'!$E52:$Z52,MIN(AE$6-$G$3,22))&lt;&gt;""),'Feijão 2ª safra'!$E52:INDEX('Feijão 2ª safra'!$E52:$Z52,MIN(AE$6-$G$3,22))),0)))))</f>
        <v>0</v>
      </c>
      <c r="AF54" s="27" t="n">
        <f aca="false">IF(COUNT('Feijão 2ª safra'!$E52:$Z52)=0,0,MAX(0,IF((AF$6-$E$3)&lt;1,0,IFERROR(LOOKUP(2,1/('Feijão 2ª safra'!$E52:INDEX('Feijão 2ª safra'!$E52:$Z52,MIN(AF$6-$E$3,22))&lt;&gt;""),'Feijão 2ª safra'!$E52:INDEX('Feijão 2ª safra'!$E52:$Z52,MIN(AF$6-$E$3,22))),0))-IF($G$2,0,IF((AF$6-$G$3)&lt;1,0,IFERROR(LOOKUP(2,1/('Feijão 2ª safra'!$E52:INDEX('Feijão 2ª safra'!$E52:$Z52,MIN(AF$6-$G$3,22))&lt;&gt;""),'Feijão 2ª safra'!$E52:INDEX('Feijão 2ª safra'!$E52:$Z52,MIN(AF$6-$G$3,22))),0)))))</f>
        <v>0</v>
      </c>
      <c r="AG54" s="27" t="n">
        <f aca="false">IF(COUNT('Feijão 2ª safra'!$E52:$Z52)=0,0,MAX(0,IF((AG$6-$E$3)&lt;1,0,IFERROR(LOOKUP(2,1/('Feijão 2ª safra'!$E52:INDEX('Feijão 2ª safra'!$E52:$Z52,MIN(AG$6-$E$3,22))&lt;&gt;""),'Feijão 2ª safra'!$E52:INDEX('Feijão 2ª safra'!$E52:$Z52,MIN(AG$6-$E$3,22))),0))-IF($G$2,0,IF((AG$6-$G$3)&lt;1,0,IFERROR(LOOKUP(2,1/('Feijão 2ª safra'!$E52:INDEX('Feijão 2ª safra'!$E52:$Z52,MIN(AG$6-$G$3,22))&lt;&gt;""),'Feijão 2ª safra'!$E52:INDEX('Feijão 2ª safra'!$E52:$Z52,MIN(AG$6-$G$3,22))),0)))))</f>
        <v>0</v>
      </c>
      <c r="AH54" s="27" t="n">
        <f aca="false">IF(COUNT('Feijão 2ª safra'!$E52:$Z52)=0,0,MAX(0,IF((AH$6-$E$3)&lt;1,0,IFERROR(LOOKUP(2,1/('Feijão 2ª safra'!$E52:INDEX('Feijão 2ª safra'!$E52:$Z52,MIN(AH$6-$E$3,22))&lt;&gt;""),'Feijão 2ª safra'!$E52:INDEX('Feijão 2ª safra'!$E52:$Z52,MIN(AH$6-$E$3,22))),0))-IF($G$2,0,IF((AH$6-$G$3)&lt;1,0,IFERROR(LOOKUP(2,1/('Feijão 2ª safra'!$E52:INDEX('Feijão 2ª safra'!$E52:$Z52,MIN(AH$6-$G$3,22))&lt;&gt;""),'Feijão 2ª safra'!$E52:INDEX('Feijão 2ª safra'!$E52:$Z52,MIN(AH$6-$G$3,22))),0)))))</f>
        <v>0</v>
      </c>
      <c r="AI54" s="27" t="n">
        <f aca="false">IF(COUNT('Feijão 2ª safra'!$E52:$Z52)=0,0,MAX(0,IF((AI$6-$E$3)&lt;1,0,IFERROR(LOOKUP(2,1/('Feijão 2ª safra'!$E52:INDEX('Feijão 2ª safra'!$E52:$Z52,MIN(AI$6-$E$3,22))&lt;&gt;""),'Feijão 2ª safra'!$E52:INDEX('Feijão 2ª safra'!$E52:$Z52,MIN(AI$6-$E$3,22))),0))-IF($G$2,0,IF((AI$6-$G$3)&lt;1,0,IFERROR(LOOKUP(2,1/('Feijão 2ª safra'!$E52:INDEX('Feijão 2ª safra'!$E52:$Z52,MIN(AI$6-$G$3,22))&lt;&gt;""),'Feijão 2ª safra'!$E52:INDEX('Feijão 2ª safra'!$E52:$Z52,MIN(AI$6-$G$3,22))),0)))))</f>
        <v>0</v>
      </c>
      <c r="AJ54" s="27" t="n">
        <f aca="false">IF(COUNT('Feijão 2ª safra'!$E52:$Z52)=0,0,MAX(0,IF((AJ$6-$E$3)&lt;1,0,IFERROR(LOOKUP(2,1/('Feijão 2ª safra'!$E52:INDEX('Feijão 2ª safra'!$E52:$Z52,MIN(AJ$6-$E$3,22))&lt;&gt;""),'Feijão 2ª safra'!$E52:INDEX('Feijão 2ª safra'!$E52:$Z52,MIN(AJ$6-$E$3,22))),0))-IF($G$2,0,IF((AJ$6-$G$3)&lt;1,0,IFERROR(LOOKUP(2,1/('Feijão 2ª safra'!$E52:INDEX('Feijão 2ª safra'!$E52:$Z52,MIN(AJ$6-$G$3,22))&lt;&gt;""),'Feijão 2ª safra'!$E52:INDEX('Feijão 2ª safra'!$E52:$Z52,MIN(AJ$6-$G$3,22))),0)))))</f>
        <v>0</v>
      </c>
      <c r="AK54" s="27" t="n">
        <f aca="false">IF(COUNT('Feijão 2ª safra'!$E52:$Z52)=0,0,MAX(0,IF((AK$6-$E$3)&lt;1,0,IFERROR(LOOKUP(2,1/('Feijão 2ª safra'!$E52:INDEX('Feijão 2ª safra'!$E52:$Z52,MIN(AK$6-$E$3,22))&lt;&gt;""),'Feijão 2ª safra'!$E52:INDEX('Feijão 2ª safra'!$E52:$Z52,MIN(AK$6-$E$3,22))),0))-IF($G$2,0,IF((AK$6-$G$3)&lt;1,0,IFERROR(LOOKUP(2,1/('Feijão 2ª safra'!$E52:INDEX('Feijão 2ª safra'!$E52:$Z52,MIN(AK$6-$G$3,22))&lt;&gt;""),'Feijão 2ª safra'!$E52:INDEX('Feijão 2ª safra'!$E52:$Z52,MIN(AK$6-$G$3,22))),0)))))</f>
        <v>0</v>
      </c>
      <c r="AL54" s="27" t="n">
        <f aca="false">IF(COUNT('Feijão 2ª safra'!$E52:$Z52)=0,0,MAX(0,IF((AL$6-$E$3)&lt;1,0,IFERROR(LOOKUP(2,1/('Feijão 2ª safra'!$E52:INDEX('Feijão 2ª safra'!$E52:$Z52,MIN(AL$6-$E$3,22))&lt;&gt;""),'Feijão 2ª safra'!$E52:INDEX('Feijão 2ª safra'!$E52:$Z52,MIN(AL$6-$E$3,22))),0))-IF($G$2,0,IF((AL$6-$G$3)&lt;1,0,IFERROR(LOOKUP(2,1/('Feijão 2ª safra'!$E52:INDEX('Feijão 2ª safra'!$E52:$Z52,MIN(AL$6-$G$3,22))&lt;&gt;""),'Feijão 2ª safra'!$E52:INDEX('Feijão 2ª safra'!$E52:$Z52,MIN(AL$6-$G$3,22))),0)))))</f>
        <v>0</v>
      </c>
      <c r="AM54" s="27" t="n">
        <f aca="false">IF(COUNT('Feijão 2ª safra'!$E52:$Z52)=0,0,MAX(0,IF((AM$6-$E$3)&lt;1,0,IFERROR(LOOKUP(2,1/('Feijão 2ª safra'!$E52:INDEX('Feijão 2ª safra'!$E52:$Z52,MIN(AM$6-$E$3,22))&lt;&gt;""),'Feijão 2ª safra'!$E52:INDEX('Feijão 2ª safra'!$E52:$Z52,MIN(AM$6-$E$3,22))),0))-IF($G$2,0,IF((AM$6-$G$3)&lt;1,0,IFERROR(LOOKUP(2,1/('Feijão 2ª safra'!$E52:INDEX('Feijão 2ª safra'!$E52:$Z52,MIN(AM$6-$G$3,22))&lt;&gt;""),'Feijão 2ª safra'!$E52:INDEX('Feijão 2ª safra'!$E52:$Z52,MIN(AM$6-$G$3,22))),0)))))</f>
        <v>0</v>
      </c>
      <c r="AN54" s="27" t="n">
        <f aca="false">IF(COUNT('Feijão 2ª safra'!$E52:$Z52)=0,0,MAX(0,IF((AN$6-$E$3)&lt;1,0,IFERROR(LOOKUP(2,1/('Feijão 2ª safra'!$E52:INDEX('Feijão 2ª safra'!$E52:$Z52,MIN(AN$6-$E$3,22))&lt;&gt;""),'Feijão 2ª safra'!$E52:INDEX('Feijão 2ª safra'!$E52:$Z52,MIN(AN$6-$E$3,22))),0))-IF($G$2,0,IF((AN$6-$G$3)&lt;1,0,IFERROR(LOOKUP(2,1/('Feijão 2ª safra'!$E52:INDEX('Feijão 2ª safra'!$E52:$Z52,MIN(AN$6-$G$3,22))&lt;&gt;""),'Feijão 2ª safra'!$E52:INDEX('Feijão 2ª safra'!$E52:$Z52,MIN(AN$6-$G$3,22))),0)))))</f>
        <v>0</v>
      </c>
      <c r="AO54" s="27" t="n">
        <f aca="false">IF(COUNT('Feijão 2ª safra'!$E52:$Z52)=0,0,MAX(0,IF((AO$6-$E$3)&lt;1,0,IFERROR(LOOKUP(2,1/('Feijão 2ª safra'!$E52:INDEX('Feijão 2ª safra'!$E52:$Z52,MIN(AO$6-$E$3,22))&lt;&gt;""),'Feijão 2ª safra'!$E52:INDEX('Feijão 2ª safra'!$E52:$Z52,MIN(AO$6-$E$3,22))),0))-IF($G$2,0,IF((AO$6-$G$3)&lt;1,0,IFERROR(LOOKUP(2,1/('Feijão 2ª safra'!$E52:INDEX('Feijão 2ª safra'!$E52:$Z52,MIN(AO$6-$G$3,22))&lt;&gt;""),'Feijão 2ª safra'!$E52:INDEX('Feijão 2ª safra'!$E52:$Z52,MIN(AO$6-$G$3,22))),0)))))</f>
        <v>0</v>
      </c>
      <c r="AP54" s="27" t="n">
        <f aca="false">IF(COUNT('Feijão 2ª safra'!$E52:$Z52)=0,0,MAX(0,IF((AP$6-$E$3)&lt;1,0,IFERROR(LOOKUP(2,1/('Feijão 2ª safra'!$E52:INDEX('Feijão 2ª safra'!$E52:$Z52,MIN(AP$6-$E$3,22))&lt;&gt;""),'Feijão 2ª safra'!$E52:INDEX('Feijão 2ª safra'!$E52:$Z52,MIN(AP$6-$E$3,22))),0))-IF($G$2,0,IF((AP$6-$G$3)&lt;1,0,IFERROR(LOOKUP(2,1/('Feijão 2ª safra'!$E52:INDEX('Feijão 2ª safra'!$E52:$Z52,MIN(AP$6-$G$3,22))&lt;&gt;""),'Feijão 2ª safra'!$E52:INDEX('Feijão 2ª safra'!$E52:$Z52,MIN(AP$6-$G$3,22))),0)))))</f>
        <v>0</v>
      </c>
      <c r="AQ54" s="27" t="n">
        <f aca="false">IF(COUNT('Feijão 2ª safra'!$E52:$Z52)=0,0,MAX(0,IF((AQ$6-$E$3)&lt;1,0,IFERROR(LOOKUP(2,1/('Feijão 2ª safra'!$E52:INDEX('Feijão 2ª safra'!$E52:$Z52,MIN(AQ$6-$E$3,22))&lt;&gt;""),'Feijão 2ª safra'!$E52:INDEX('Feijão 2ª safra'!$E52:$Z52,MIN(AQ$6-$E$3,22))),0))-IF($G$2,0,IF((AQ$6-$G$3)&lt;1,0,IFERROR(LOOKUP(2,1/('Feijão 2ª safra'!$E52:INDEX('Feijão 2ª safra'!$E52:$Z52,MIN(AQ$6-$G$3,22))&lt;&gt;""),'Feijão 2ª safra'!$E52:INDEX('Feijão 2ª safra'!$E52:$Z52,MIN(AQ$6-$G$3,22))),0)))))</f>
        <v>0</v>
      </c>
      <c r="AR54" s="27" t="n">
        <f aca="false">IF(COUNT('Feijão 2ª safra'!$E52:$Z52)=0,0,MAX(0,IF((AR$6-$E$3)&lt;1,0,IFERROR(LOOKUP(2,1/('Feijão 2ª safra'!$E52:INDEX('Feijão 2ª safra'!$E52:$Z52,MIN(AR$6-$E$3,22))&lt;&gt;""),'Feijão 2ª safra'!$E52:INDEX('Feijão 2ª safra'!$E52:$Z52,MIN(AR$6-$E$3,22))),0))-IF($G$2,0,IF((AR$6-$G$3)&lt;1,0,IFERROR(LOOKUP(2,1/('Feijão 2ª safra'!$E52:INDEX('Feijão 2ª safra'!$E52:$Z52,MIN(AR$6-$G$3,22))&lt;&gt;""),'Feijão 2ª safra'!$E52:INDEX('Feijão 2ª safra'!$E52:$Z52,MIN(AR$6-$G$3,22))),0)))))</f>
        <v>0</v>
      </c>
      <c r="AS54" s="27" t="n">
        <f aca="false">IF(COUNT('Feijão 2ª safra'!$E52:$Z52)=0,0,MAX(0,IF((AS$6-$E$3)&lt;1,0,IFERROR(LOOKUP(2,1/('Feijão 2ª safra'!$E52:INDEX('Feijão 2ª safra'!$E52:$Z52,MIN(AS$6-$E$3,22))&lt;&gt;""),'Feijão 2ª safra'!$E52:INDEX('Feijão 2ª safra'!$E52:$Z52,MIN(AS$6-$E$3,22))),0))-IF($G$2,0,IF((AS$6-$G$3)&lt;1,0,IFERROR(LOOKUP(2,1/('Feijão 2ª safra'!$E52:INDEX('Feijão 2ª safra'!$E52:$Z52,MIN(AS$6-$G$3,22))&lt;&gt;""),'Feijão 2ª safra'!$E52:INDEX('Feijão 2ª safra'!$E52:$Z52,MIN(AS$6-$G$3,22))),0)))))</f>
        <v>0</v>
      </c>
      <c r="AT54" s="27" t="n">
        <f aca="false">IF(COUNT('Feijão 2ª safra'!$E52:$Z52)=0,0,MAX(0,IF((AT$6-$E$3)&lt;1,0,IFERROR(LOOKUP(2,1/('Feijão 2ª safra'!$E52:INDEX('Feijão 2ª safra'!$E52:$Z52,MIN(AT$6-$E$3,22))&lt;&gt;""),'Feijão 2ª safra'!$E52:INDEX('Feijão 2ª safra'!$E52:$Z52,MIN(AT$6-$E$3,22))),0))-IF($G$2,0,IF((AT$6-$G$3)&lt;1,0,IFERROR(LOOKUP(2,1/('Feijão 2ª safra'!$E52:INDEX('Feijão 2ª safra'!$E52:$Z52,MIN(AT$6-$G$3,22))&lt;&gt;""),'Feijão 2ª safra'!$E52:INDEX('Feijão 2ª safra'!$E52:$Z52,MIN(AT$6-$G$3,22))),0)))))</f>
        <v>0</v>
      </c>
      <c r="AU54" s="27" t="n">
        <f aca="false">IF(COUNT('Feijão 2ª safra'!$E52:$Z52)=0,0,MAX(0,IF((AU$6-$E$3)&lt;1,0,IFERROR(LOOKUP(2,1/('Feijão 2ª safra'!$E52:INDEX('Feijão 2ª safra'!$E52:$Z52,MIN(AU$6-$E$3,22))&lt;&gt;""),'Feijão 2ª safra'!$E52:INDEX('Feijão 2ª safra'!$E52:$Z52,MIN(AU$6-$E$3,22))),0))-IF($G$2,0,IF((AU$6-$G$3)&lt;1,0,IFERROR(LOOKUP(2,1/('Feijão 2ª safra'!$E52:INDEX('Feijão 2ª safra'!$E52:$Z52,MIN(AU$6-$G$3,22))&lt;&gt;""),'Feijão 2ª safra'!$E52:INDEX('Feijão 2ª safra'!$E52:$Z52,MIN(AU$6-$G$3,22))),0)))))</f>
        <v>0</v>
      </c>
      <c r="AV54" s="27" t="n">
        <f aca="false">IF(COUNT('Feijão 2ª safra'!$E52:$Z52)=0,0,MAX(0,IF((AV$6-$E$3)&lt;1,0,IFERROR(LOOKUP(2,1/('Feijão 2ª safra'!$E52:INDEX('Feijão 2ª safra'!$E52:$Z52,MIN(AV$6-$E$3,22))&lt;&gt;""),'Feijão 2ª safra'!$E52:INDEX('Feijão 2ª safra'!$E52:$Z52,MIN(AV$6-$E$3,22))),0))-IF($G$2,0,IF((AV$6-$G$3)&lt;1,0,IFERROR(LOOKUP(2,1/('Feijão 2ª safra'!$E52:INDEX('Feijão 2ª safra'!$E52:$Z52,MIN(AV$6-$G$3,22))&lt;&gt;""),'Feijão 2ª safra'!$E52:INDEX('Feijão 2ª safra'!$E52:$Z52,MIN(AV$6-$G$3,22))),0)))))</f>
        <v>0</v>
      </c>
      <c r="AW54" s="27" t="n">
        <f aca="false">IF(COUNT('Feijão 2ª safra'!$E52:$Z52)=0,0,MAX(0,IF((AW$6-$E$3)&lt;1,0,IFERROR(LOOKUP(2,1/('Feijão 2ª safra'!$E52:INDEX('Feijão 2ª safra'!$E52:$Z52,MIN(AW$6-$E$3,22))&lt;&gt;""),'Feijão 2ª safra'!$E52:INDEX('Feijão 2ª safra'!$E52:$Z52,MIN(AW$6-$E$3,22))),0))-IF($G$2,0,IF((AW$6-$G$3)&lt;1,0,IFERROR(LOOKUP(2,1/('Feijão 2ª safra'!$E52:INDEX('Feijão 2ª safra'!$E52:$Z52,MIN(AW$6-$G$3,22))&lt;&gt;""),'Feijão 2ª safra'!$E52:INDEX('Feijão 2ª safra'!$E52:$Z52,MIN(AW$6-$G$3,22))),0)))))</f>
        <v>0</v>
      </c>
      <c r="AX54" s="27" t="n">
        <f aca="false">IF(COUNT('Feijão 2ª safra'!$E52:$Z52)=0,0,MAX(0,IF((AX$6-$E$3)&lt;1,0,IFERROR(LOOKUP(2,1/('Feijão 2ª safra'!$E52:INDEX('Feijão 2ª safra'!$E52:$Z52,MIN(AX$6-$E$3,22))&lt;&gt;""),'Feijão 2ª safra'!$E52:INDEX('Feijão 2ª safra'!$E52:$Z52,MIN(AX$6-$E$3,22))),0))-IF($G$2,0,IF((AX$6-$G$3)&lt;1,0,IFERROR(LOOKUP(2,1/('Feijão 2ª safra'!$E52:INDEX('Feijão 2ª safra'!$E52:$Z52,MIN(AX$6-$G$3,22))&lt;&gt;""),'Feijão 2ª safra'!$E52:INDEX('Feijão 2ª safra'!$E52:$Z52,MIN(AX$6-$G$3,22))),0)))))</f>
        <v>0</v>
      </c>
      <c r="AY54" s="27" t="n">
        <f aca="false">IF(COUNT('Feijão 2ª safra'!$E52:$Z52)=0,0,MAX(0,IF((AY$6-$E$3)&lt;1,0,IFERROR(LOOKUP(2,1/('Feijão 2ª safra'!$E52:INDEX('Feijão 2ª safra'!$E52:$Z52,MIN(AY$6-$E$3,22))&lt;&gt;""),'Feijão 2ª safra'!$E52:INDEX('Feijão 2ª safra'!$E52:$Z52,MIN(AY$6-$E$3,22))),0))-IF($G$2,0,IF((AY$6-$G$3)&lt;1,0,IFERROR(LOOKUP(2,1/('Feijão 2ª safra'!$E52:INDEX('Feijão 2ª safra'!$E52:$Z52,MIN(AY$6-$G$3,22))&lt;&gt;""),'Feijão 2ª safra'!$E52:INDEX('Feijão 2ª safra'!$E52:$Z52,MIN(AY$6-$G$3,22))),0)))))</f>
        <v>0</v>
      </c>
      <c r="AZ54" s="27" t="n">
        <f aca="false">IF(COUNT('Feijão 2ª safra'!$E52:$Z52)=0,0,MAX(0,IF((AZ$6-$E$3)&lt;1,0,IFERROR(LOOKUP(2,1/('Feijão 2ª safra'!$E52:INDEX('Feijão 2ª safra'!$E52:$Z52,MIN(AZ$6-$E$3,22))&lt;&gt;""),'Feijão 2ª safra'!$E52:INDEX('Feijão 2ª safra'!$E52:$Z52,MIN(AZ$6-$E$3,22))),0))-IF($G$2,0,IF((AZ$6-$G$3)&lt;1,0,IFERROR(LOOKUP(2,1/('Feijão 2ª safra'!$E52:INDEX('Feijão 2ª safra'!$E52:$Z52,MIN(AZ$6-$G$3,22))&lt;&gt;""),'Feijão 2ª safra'!$E52:INDEX('Feijão 2ª safra'!$E52:$Z52,MIN(AZ$6-$G$3,22))),0)))))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IF(COUNT('Feijão 2ª safra'!$E53:$Z53)&gt;0,N('Feijão 2ª safra'!$D53),0)</f>
        <v>0</v>
      </c>
      <c r="E55" s="27" t="n">
        <f aca="false">IF(COUNT('Feijão 2ª safra'!$E53:$Z53)=0,0,MAX(0,IF((E$6-$E$3)&lt;1,0,IFERROR(LOOKUP(2,1/('Feijão 2ª safra'!$E53:INDEX('Feijão 2ª safra'!$E53:$Z53,MIN(E$6-$E$3,22))&lt;&gt;""),'Feijão 2ª safra'!$E53:INDEX('Feijão 2ª safra'!$E53:$Z53,MIN(E$6-$E$3,22))),0))-IF($G$2,0,IF((E$6-$G$3)&lt;1,0,IFERROR(LOOKUP(2,1/('Feijão 2ª safra'!$E53:INDEX('Feijão 2ª safra'!$E53:$Z53,MIN(E$6-$G$3,22))&lt;&gt;""),'Feijão 2ª safra'!$E53:INDEX('Feijão 2ª safra'!$E53:$Z53,MIN(E$6-$G$3,22))),0)))))</f>
        <v>0</v>
      </c>
      <c r="F55" s="27" t="n">
        <f aca="false">IF(COUNT('Feijão 2ª safra'!$E53:$Z53)=0,0,MAX(0,IF((F$6-$E$3)&lt;1,0,IFERROR(LOOKUP(2,1/('Feijão 2ª safra'!$E53:INDEX('Feijão 2ª safra'!$E53:$Z53,MIN(F$6-$E$3,22))&lt;&gt;""),'Feijão 2ª safra'!$E53:INDEX('Feijão 2ª safra'!$E53:$Z53,MIN(F$6-$E$3,22))),0))-IF($G$2,0,IF((F$6-$G$3)&lt;1,0,IFERROR(LOOKUP(2,1/('Feijão 2ª safra'!$E53:INDEX('Feijão 2ª safra'!$E53:$Z53,MIN(F$6-$G$3,22))&lt;&gt;""),'Feijão 2ª safra'!$E53:INDEX('Feijão 2ª safra'!$E53:$Z53,MIN(F$6-$G$3,22))),0)))))</f>
        <v>0</v>
      </c>
      <c r="G55" s="27" t="n">
        <f aca="false">IF(COUNT('Feijão 2ª safra'!$E53:$Z53)=0,0,MAX(0,IF((G$6-$E$3)&lt;1,0,IFERROR(LOOKUP(2,1/('Feijão 2ª safra'!$E53:INDEX('Feijão 2ª safra'!$E53:$Z53,MIN(G$6-$E$3,22))&lt;&gt;""),'Feijão 2ª safra'!$E53:INDEX('Feijão 2ª safra'!$E53:$Z53,MIN(G$6-$E$3,22))),0))-IF($G$2,0,IF((G$6-$G$3)&lt;1,0,IFERROR(LOOKUP(2,1/('Feijão 2ª safra'!$E53:INDEX('Feijão 2ª safra'!$E53:$Z53,MIN(G$6-$G$3,22))&lt;&gt;""),'Feijão 2ª safra'!$E53:INDEX('Feijão 2ª safra'!$E53:$Z53,MIN(G$6-$G$3,22))),0)))))</f>
        <v>0</v>
      </c>
      <c r="H55" s="27" t="n">
        <f aca="false">IF(COUNT('Feijão 2ª safra'!$E53:$Z53)=0,0,MAX(0,IF((H$6-$E$3)&lt;1,0,IFERROR(LOOKUP(2,1/('Feijão 2ª safra'!$E53:INDEX('Feijão 2ª safra'!$E53:$Z53,MIN(H$6-$E$3,22))&lt;&gt;""),'Feijão 2ª safra'!$E53:INDEX('Feijão 2ª safra'!$E53:$Z53,MIN(H$6-$E$3,22))),0))-IF($G$2,0,IF((H$6-$G$3)&lt;1,0,IFERROR(LOOKUP(2,1/('Feijão 2ª safra'!$E53:INDEX('Feijão 2ª safra'!$E53:$Z53,MIN(H$6-$G$3,22))&lt;&gt;""),'Feijão 2ª safra'!$E53:INDEX('Feijão 2ª safra'!$E53:$Z53,MIN(H$6-$G$3,22))),0)))))</f>
        <v>0</v>
      </c>
      <c r="I55" s="27" t="n">
        <f aca="false">IF(COUNT('Feijão 2ª safra'!$E53:$Z53)=0,0,MAX(0,IF((I$6-$E$3)&lt;1,0,IFERROR(LOOKUP(2,1/('Feijão 2ª safra'!$E53:INDEX('Feijão 2ª safra'!$E53:$Z53,MIN(I$6-$E$3,22))&lt;&gt;""),'Feijão 2ª safra'!$E53:INDEX('Feijão 2ª safra'!$E53:$Z53,MIN(I$6-$E$3,22))),0))-IF($G$2,0,IF((I$6-$G$3)&lt;1,0,IFERROR(LOOKUP(2,1/('Feijão 2ª safra'!$E53:INDEX('Feijão 2ª safra'!$E53:$Z53,MIN(I$6-$G$3,22))&lt;&gt;""),'Feijão 2ª safra'!$E53:INDEX('Feijão 2ª safra'!$E53:$Z53,MIN(I$6-$G$3,22))),0)))))</f>
        <v>0</v>
      </c>
      <c r="J55" s="27" t="n">
        <f aca="false">IF(COUNT('Feijão 2ª safra'!$E53:$Z53)=0,0,MAX(0,IF((J$6-$E$3)&lt;1,0,IFERROR(LOOKUP(2,1/('Feijão 2ª safra'!$E53:INDEX('Feijão 2ª safra'!$E53:$Z53,MIN(J$6-$E$3,22))&lt;&gt;""),'Feijão 2ª safra'!$E53:INDEX('Feijão 2ª safra'!$E53:$Z53,MIN(J$6-$E$3,22))),0))-IF($G$2,0,IF((J$6-$G$3)&lt;1,0,IFERROR(LOOKUP(2,1/('Feijão 2ª safra'!$E53:INDEX('Feijão 2ª safra'!$E53:$Z53,MIN(J$6-$G$3,22))&lt;&gt;""),'Feijão 2ª safra'!$E53:INDEX('Feijão 2ª safra'!$E53:$Z53,MIN(J$6-$G$3,22))),0)))))</f>
        <v>0</v>
      </c>
      <c r="K55" s="27" t="n">
        <f aca="false">IF(COUNT('Feijão 2ª safra'!$E53:$Z53)=0,0,MAX(0,IF((K$6-$E$3)&lt;1,0,IFERROR(LOOKUP(2,1/('Feijão 2ª safra'!$E53:INDEX('Feijão 2ª safra'!$E53:$Z53,MIN(K$6-$E$3,22))&lt;&gt;""),'Feijão 2ª safra'!$E53:INDEX('Feijão 2ª safra'!$E53:$Z53,MIN(K$6-$E$3,22))),0))-IF($G$2,0,IF((K$6-$G$3)&lt;1,0,IFERROR(LOOKUP(2,1/('Feijão 2ª safra'!$E53:INDEX('Feijão 2ª safra'!$E53:$Z53,MIN(K$6-$G$3,22))&lt;&gt;""),'Feijão 2ª safra'!$E53:INDEX('Feijão 2ª safra'!$E53:$Z53,MIN(K$6-$G$3,22))),0)))))</f>
        <v>0</v>
      </c>
      <c r="L55" s="27" t="n">
        <f aca="false">IF(COUNT('Feijão 2ª safra'!$E53:$Z53)=0,0,MAX(0,IF((L$6-$E$3)&lt;1,0,IFERROR(LOOKUP(2,1/('Feijão 2ª safra'!$E53:INDEX('Feijão 2ª safra'!$E53:$Z53,MIN(L$6-$E$3,22))&lt;&gt;""),'Feijão 2ª safra'!$E53:INDEX('Feijão 2ª safra'!$E53:$Z53,MIN(L$6-$E$3,22))),0))-IF($G$2,0,IF((L$6-$G$3)&lt;1,0,IFERROR(LOOKUP(2,1/('Feijão 2ª safra'!$E53:INDEX('Feijão 2ª safra'!$E53:$Z53,MIN(L$6-$G$3,22))&lt;&gt;""),'Feijão 2ª safra'!$E53:INDEX('Feijão 2ª safra'!$E53:$Z53,MIN(L$6-$G$3,22))),0)))))</f>
        <v>0</v>
      </c>
      <c r="M55" s="27" t="n">
        <f aca="false">IF(COUNT('Feijão 2ª safra'!$E53:$Z53)=0,0,MAX(0,IF((M$6-$E$3)&lt;1,0,IFERROR(LOOKUP(2,1/('Feijão 2ª safra'!$E53:INDEX('Feijão 2ª safra'!$E53:$Z53,MIN(M$6-$E$3,22))&lt;&gt;""),'Feijão 2ª safra'!$E53:INDEX('Feijão 2ª safra'!$E53:$Z53,MIN(M$6-$E$3,22))),0))-IF($G$2,0,IF((M$6-$G$3)&lt;1,0,IFERROR(LOOKUP(2,1/('Feijão 2ª safra'!$E53:INDEX('Feijão 2ª safra'!$E53:$Z53,MIN(M$6-$G$3,22))&lt;&gt;""),'Feijão 2ª safra'!$E53:INDEX('Feijão 2ª safra'!$E53:$Z53,MIN(M$6-$G$3,22))),0)))))</f>
        <v>0</v>
      </c>
      <c r="N55" s="27" t="n">
        <f aca="false">IF(COUNT('Feijão 2ª safra'!$E53:$Z53)=0,0,MAX(0,IF((N$6-$E$3)&lt;1,0,IFERROR(LOOKUP(2,1/('Feijão 2ª safra'!$E53:INDEX('Feijão 2ª safra'!$E53:$Z53,MIN(N$6-$E$3,22))&lt;&gt;""),'Feijão 2ª safra'!$E53:INDEX('Feijão 2ª safra'!$E53:$Z53,MIN(N$6-$E$3,22))),0))-IF($G$2,0,IF((N$6-$G$3)&lt;1,0,IFERROR(LOOKUP(2,1/('Feijão 2ª safra'!$E53:INDEX('Feijão 2ª safra'!$E53:$Z53,MIN(N$6-$G$3,22))&lt;&gt;""),'Feijão 2ª safra'!$E53:INDEX('Feijão 2ª safra'!$E53:$Z53,MIN(N$6-$G$3,22))),0)))))</f>
        <v>0</v>
      </c>
      <c r="O55" s="27" t="n">
        <f aca="false">IF(COUNT('Feijão 2ª safra'!$E53:$Z53)=0,0,MAX(0,IF((O$6-$E$3)&lt;1,0,IFERROR(LOOKUP(2,1/('Feijão 2ª safra'!$E53:INDEX('Feijão 2ª safra'!$E53:$Z53,MIN(O$6-$E$3,22))&lt;&gt;""),'Feijão 2ª safra'!$E53:INDEX('Feijão 2ª safra'!$E53:$Z53,MIN(O$6-$E$3,22))),0))-IF($G$2,0,IF((O$6-$G$3)&lt;1,0,IFERROR(LOOKUP(2,1/('Feijão 2ª safra'!$E53:INDEX('Feijão 2ª safra'!$E53:$Z53,MIN(O$6-$G$3,22))&lt;&gt;""),'Feijão 2ª safra'!$E53:INDEX('Feijão 2ª safra'!$E53:$Z53,MIN(O$6-$G$3,22))),0)))))</f>
        <v>0</v>
      </c>
      <c r="P55" s="27" t="n">
        <f aca="false">IF(COUNT('Feijão 2ª safra'!$E53:$Z53)=0,0,MAX(0,IF((P$6-$E$3)&lt;1,0,IFERROR(LOOKUP(2,1/('Feijão 2ª safra'!$E53:INDEX('Feijão 2ª safra'!$E53:$Z53,MIN(P$6-$E$3,22))&lt;&gt;""),'Feijão 2ª safra'!$E53:INDEX('Feijão 2ª safra'!$E53:$Z53,MIN(P$6-$E$3,22))),0))-IF($G$2,0,IF((P$6-$G$3)&lt;1,0,IFERROR(LOOKUP(2,1/('Feijão 2ª safra'!$E53:INDEX('Feijão 2ª safra'!$E53:$Z53,MIN(P$6-$G$3,22))&lt;&gt;""),'Feijão 2ª safra'!$E53:INDEX('Feijão 2ª safra'!$E53:$Z53,MIN(P$6-$G$3,22))),0)))))</f>
        <v>0</v>
      </c>
      <c r="Q55" s="27" t="n">
        <f aca="false">IF(COUNT('Feijão 2ª safra'!$E53:$Z53)=0,0,MAX(0,IF((Q$6-$E$3)&lt;1,0,IFERROR(LOOKUP(2,1/('Feijão 2ª safra'!$E53:INDEX('Feijão 2ª safra'!$E53:$Z53,MIN(Q$6-$E$3,22))&lt;&gt;""),'Feijão 2ª safra'!$E53:INDEX('Feijão 2ª safra'!$E53:$Z53,MIN(Q$6-$E$3,22))),0))-IF($G$2,0,IF((Q$6-$G$3)&lt;1,0,IFERROR(LOOKUP(2,1/('Feijão 2ª safra'!$E53:INDEX('Feijão 2ª safra'!$E53:$Z53,MIN(Q$6-$G$3,22))&lt;&gt;""),'Feijão 2ª safra'!$E53:INDEX('Feijão 2ª safra'!$E53:$Z53,MIN(Q$6-$G$3,22))),0)))))</f>
        <v>0</v>
      </c>
      <c r="R55" s="27" t="n">
        <f aca="false">IF(COUNT('Feijão 2ª safra'!$E53:$Z53)=0,0,MAX(0,IF((R$6-$E$3)&lt;1,0,IFERROR(LOOKUP(2,1/('Feijão 2ª safra'!$E53:INDEX('Feijão 2ª safra'!$E53:$Z53,MIN(R$6-$E$3,22))&lt;&gt;""),'Feijão 2ª safra'!$E53:INDEX('Feijão 2ª safra'!$E53:$Z53,MIN(R$6-$E$3,22))),0))-IF($G$2,0,IF((R$6-$G$3)&lt;1,0,IFERROR(LOOKUP(2,1/('Feijão 2ª safra'!$E53:INDEX('Feijão 2ª safra'!$E53:$Z53,MIN(R$6-$G$3,22))&lt;&gt;""),'Feijão 2ª safra'!$E53:INDEX('Feijão 2ª safra'!$E53:$Z53,MIN(R$6-$G$3,22))),0)))))</f>
        <v>0</v>
      </c>
      <c r="S55" s="27" t="n">
        <f aca="false">IF(COUNT('Feijão 2ª safra'!$E53:$Z53)=0,0,MAX(0,IF((S$6-$E$3)&lt;1,0,IFERROR(LOOKUP(2,1/('Feijão 2ª safra'!$E53:INDEX('Feijão 2ª safra'!$E53:$Z53,MIN(S$6-$E$3,22))&lt;&gt;""),'Feijão 2ª safra'!$E53:INDEX('Feijão 2ª safra'!$E53:$Z53,MIN(S$6-$E$3,22))),0))-IF($G$2,0,IF((S$6-$G$3)&lt;1,0,IFERROR(LOOKUP(2,1/('Feijão 2ª safra'!$E53:INDEX('Feijão 2ª safra'!$E53:$Z53,MIN(S$6-$G$3,22))&lt;&gt;""),'Feijão 2ª safra'!$E53:INDEX('Feijão 2ª safra'!$E53:$Z53,MIN(S$6-$G$3,22))),0)))))</f>
        <v>0</v>
      </c>
      <c r="T55" s="27" t="n">
        <f aca="false">IF(COUNT('Feijão 2ª safra'!$E53:$Z53)=0,0,MAX(0,IF((T$6-$E$3)&lt;1,0,IFERROR(LOOKUP(2,1/('Feijão 2ª safra'!$E53:INDEX('Feijão 2ª safra'!$E53:$Z53,MIN(T$6-$E$3,22))&lt;&gt;""),'Feijão 2ª safra'!$E53:INDEX('Feijão 2ª safra'!$E53:$Z53,MIN(T$6-$E$3,22))),0))-IF($G$2,0,IF((T$6-$G$3)&lt;1,0,IFERROR(LOOKUP(2,1/('Feijão 2ª safra'!$E53:INDEX('Feijão 2ª safra'!$E53:$Z53,MIN(T$6-$G$3,22))&lt;&gt;""),'Feijão 2ª safra'!$E53:INDEX('Feijão 2ª safra'!$E53:$Z53,MIN(T$6-$G$3,22))),0)))))</f>
        <v>0</v>
      </c>
      <c r="U55" s="27" t="n">
        <f aca="false">IF(COUNT('Feijão 2ª safra'!$E53:$Z53)=0,0,MAX(0,IF((U$6-$E$3)&lt;1,0,IFERROR(LOOKUP(2,1/('Feijão 2ª safra'!$E53:INDEX('Feijão 2ª safra'!$E53:$Z53,MIN(U$6-$E$3,22))&lt;&gt;""),'Feijão 2ª safra'!$E53:INDEX('Feijão 2ª safra'!$E53:$Z53,MIN(U$6-$E$3,22))),0))-IF($G$2,0,IF((U$6-$G$3)&lt;1,0,IFERROR(LOOKUP(2,1/('Feijão 2ª safra'!$E53:INDEX('Feijão 2ª safra'!$E53:$Z53,MIN(U$6-$G$3,22))&lt;&gt;""),'Feijão 2ª safra'!$E53:INDEX('Feijão 2ª safra'!$E53:$Z53,MIN(U$6-$G$3,22))),0)))))</f>
        <v>0</v>
      </c>
      <c r="V55" s="27" t="n">
        <f aca="false">IF(COUNT('Feijão 2ª safra'!$E53:$Z53)=0,0,MAX(0,IF((V$6-$E$3)&lt;1,0,IFERROR(LOOKUP(2,1/('Feijão 2ª safra'!$E53:INDEX('Feijão 2ª safra'!$E53:$Z53,MIN(V$6-$E$3,22))&lt;&gt;""),'Feijão 2ª safra'!$E53:INDEX('Feijão 2ª safra'!$E53:$Z53,MIN(V$6-$E$3,22))),0))-IF($G$2,0,IF((V$6-$G$3)&lt;1,0,IFERROR(LOOKUP(2,1/('Feijão 2ª safra'!$E53:INDEX('Feijão 2ª safra'!$E53:$Z53,MIN(V$6-$G$3,22))&lt;&gt;""),'Feijão 2ª safra'!$E53:INDEX('Feijão 2ª safra'!$E53:$Z53,MIN(V$6-$G$3,22))),0)))))</f>
        <v>0</v>
      </c>
      <c r="W55" s="27" t="n">
        <f aca="false">IF(COUNT('Feijão 2ª safra'!$E53:$Z53)=0,0,MAX(0,IF((W$6-$E$3)&lt;1,0,IFERROR(LOOKUP(2,1/('Feijão 2ª safra'!$E53:INDEX('Feijão 2ª safra'!$E53:$Z53,MIN(W$6-$E$3,22))&lt;&gt;""),'Feijão 2ª safra'!$E53:INDEX('Feijão 2ª safra'!$E53:$Z53,MIN(W$6-$E$3,22))),0))-IF($G$2,0,IF((W$6-$G$3)&lt;1,0,IFERROR(LOOKUP(2,1/('Feijão 2ª safra'!$E53:INDEX('Feijão 2ª safra'!$E53:$Z53,MIN(W$6-$G$3,22))&lt;&gt;""),'Feijão 2ª safra'!$E53:INDEX('Feijão 2ª safra'!$E53:$Z53,MIN(W$6-$G$3,22))),0)))))</f>
        <v>0</v>
      </c>
      <c r="X55" s="27" t="n">
        <f aca="false">IF(COUNT('Feijão 2ª safra'!$E53:$Z53)=0,0,MAX(0,IF((X$6-$E$3)&lt;1,0,IFERROR(LOOKUP(2,1/('Feijão 2ª safra'!$E53:INDEX('Feijão 2ª safra'!$E53:$Z53,MIN(X$6-$E$3,22))&lt;&gt;""),'Feijão 2ª safra'!$E53:INDEX('Feijão 2ª safra'!$E53:$Z53,MIN(X$6-$E$3,22))),0))-IF($G$2,0,IF((X$6-$G$3)&lt;1,0,IFERROR(LOOKUP(2,1/('Feijão 2ª safra'!$E53:INDEX('Feijão 2ª safra'!$E53:$Z53,MIN(X$6-$G$3,22))&lt;&gt;""),'Feijão 2ª safra'!$E53:INDEX('Feijão 2ª safra'!$E53:$Z53,MIN(X$6-$G$3,22))),0)))))</f>
        <v>0</v>
      </c>
      <c r="Y55" s="27" t="n">
        <f aca="false">IF(COUNT('Feijão 2ª safra'!$E53:$Z53)=0,0,MAX(0,IF((Y$6-$E$3)&lt;1,0,IFERROR(LOOKUP(2,1/('Feijão 2ª safra'!$E53:INDEX('Feijão 2ª safra'!$E53:$Z53,MIN(Y$6-$E$3,22))&lt;&gt;""),'Feijão 2ª safra'!$E53:INDEX('Feijão 2ª safra'!$E53:$Z53,MIN(Y$6-$E$3,22))),0))-IF($G$2,0,IF((Y$6-$G$3)&lt;1,0,IFERROR(LOOKUP(2,1/('Feijão 2ª safra'!$E53:INDEX('Feijão 2ª safra'!$E53:$Z53,MIN(Y$6-$G$3,22))&lt;&gt;""),'Feijão 2ª safra'!$E53:INDEX('Feijão 2ª safra'!$E53:$Z53,MIN(Y$6-$G$3,22))),0)))))</f>
        <v>0</v>
      </c>
      <c r="Z55" s="27" t="n">
        <f aca="false">IF(COUNT('Feijão 2ª safra'!$E53:$Z53)=0,0,MAX(0,IF((Z$6-$E$3)&lt;1,0,IFERROR(LOOKUP(2,1/('Feijão 2ª safra'!$E53:INDEX('Feijão 2ª safra'!$E53:$Z53,MIN(Z$6-$E$3,22))&lt;&gt;""),'Feijão 2ª safra'!$E53:INDEX('Feijão 2ª safra'!$E53:$Z53,MIN(Z$6-$E$3,22))),0))-IF($G$2,0,IF((Z$6-$G$3)&lt;1,0,IFERROR(LOOKUP(2,1/('Feijão 2ª safra'!$E53:INDEX('Feijão 2ª safra'!$E53:$Z53,MIN(Z$6-$G$3,22))&lt;&gt;""),'Feijão 2ª safra'!$E53:INDEX('Feijão 2ª safra'!$E53:$Z53,MIN(Z$6-$G$3,22))),0)))))</f>
        <v>0</v>
      </c>
      <c r="AA55" s="27" t="n">
        <f aca="false">IF(COUNT('Feijão 2ª safra'!$E53:$Z53)=0,0,MAX(0,IF((AA$6-$E$3)&lt;1,0,IFERROR(LOOKUP(2,1/('Feijão 2ª safra'!$E53:INDEX('Feijão 2ª safra'!$E53:$Z53,MIN(AA$6-$E$3,22))&lt;&gt;""),'Feijão 2ª safra'!$E53:INDEX('Feijão 2ª safra'!$E53:$Z53,MIN(AA$6-$E$3,22))),0))-IF($G$2,0,IF((AA$6-$G$3)&lt;1,0,IFERROR(LOOKUP(2,1/('Feijão 2ª safra'!$E53:INDEX('Feijão 2ª safra'!$E53:$Z53,MIN(AA$6-$G$3,22))&lt;&gt;""),'Feijão 2ª safra'!$E53:INDEX('Feijão 2ª safra'!$E53:$Z53,MIN(AA$6-$G$3,22))),0)))))</f>
        <v>0</v>
      </c>
      <c r="AB55" s="27" t="n">
        <f aca="false">IF(COUNT('Feijão 2ª safra'!$E53:$Z53)=0,0,MAX(0,IF((AB$6-$E$3)&lt;1,0,IFERROR(LOOKUP(2,1/('Feijão 2ª safra'!$E53:INDEX('Feijão 2ª safra'!$E53:$Z53,MIN(AB$6-$E$3,22))&lt;&gt;""),'Feijão 2ª safra'!$E53:INDEX('Feijão 2ª safra'!$E53:$Z53,MIN(AB$6-$E$3,22))),0))-IF($G$2,0,IF((AB$6-$G$3)&lt;1,0,IFERROR(LOOKUP(2,1/('Feijão 2ª safra'!$E53:INDEX('Feijão 2ª safra'!$E53:$Z53,MIN(AB$6-$G$3,22))&lt;&gt;""),'Feijão 2ª safra'!$E53:INDEX('Feijão 2ª safra'!$E53:$Z53,MIN(AB$6-$G$3,22))),0)))))</f>
        <v>0</v>
      </c>
      <c r="AC55" s="27" t="n">
        <f aca="false">IF(COUNT('Feijão 2ª safra'!$E53:$Z53)=0,0,MAX(0,IF((AC$6-$E$3)&lt;1,0,IFERROR(LOOKUP(2,1/('Feijão 2ª safra'!$E53:INDEX('Feijão 2ª safra'!$E53:$Z53,MIN(AC$6-$E$3,22))&lt;&gt;""),'Feijão 2ª safra'!$E53:INDEX('Feijão 2ª safra'!$E53:$Z53,MIN(AC$6-$E$3,22))),0))-IF($G$2,0,IF((AC$6-$G$3)&lt;1,0,IFERROR(LOOKUP(2,1/('Feijão 2ª safra'!$E53:INDEX('Feijão 2ª safra'!$E53:$Z53,MIN(AC$6-$G$3,22))&lt;&gt;""),'Feijão 2ª safra'!$E53:INDEX('Feijão 2ª safra'!$E53:$Z53,MIN(AC$6-$G$3,22))),0)))))</f>
        <v>0</v>
      </c>
      <c r="AD55" s="27" t="n">
        <f aca="false">IF(COUNT('Feijão 2ª safra'!$E53:$Z53)=0,0,MAX(0,IF((AD$6-$E$3)&lt;1,0,IFERROR(LOOKUP(2,1/('Feijão 2ª safra'!$E53:INDEX('Feijão 2ª safra'!$E53:$Z53,MIN(AD$6-$E$3,22))&lt;&gt;""),'Feijão 2ª safra'!$E53:INDEX('Feijão 2ª safra'!$E53:$Z53,MIN(AD$6-$E$3,22))),0))-IF($G$2,0,IF((AD$6-$G$3)&lt;1,0,IFERROR(LOOKUP(2,1/('Feijão 2ª safra'!$E53:INDEX('Feijão 2ª safra'!$E53:$Z53,MIN(AD$6-$G$3,22))&lt;&gt;""),'Feijão 2ª safra'!$E53:INDEX('Feijão 2ª safra'!$E53:$Z53,MIN(AD$6-$G$3,22))),0)))))</f>
        <v>0</v>
      </c>
      <c r="AE55" s="27" t="n">
        <f aca="false">IF(COUNT('Feijão 2ª safra'!$E53:$Z53)=0,0,MAX(0,IF((AE$6-$E$3)&lt;1,0,IFERROR(LOOKUP(2,1/('Feijão 2ª safra'!$E53:INDEX('Feijão 2ª safra'!$E53:$Z53,MIN(AE$6-$E$3,22))&lt;&gt;""),'Feijão 2ª safra'!$E53:INDEX('Feijão 2ª safra'!$E53:$Z53,MIN(AE$6-$E$3,22))),0))-IF($G$2,0,IF((AE$6-$G$3)&lt;1,0,IFERROR(LOOKUP(2,1/('Feijão 2ª safra'!$E53:INDEX('Feijão 2ª safra'!$E53:$Z53,MIN(AE$6-$G$3,22))&lt;&gt;""),'Feijão 2ª safra'!$E53:INDEX('Feijão 2ª safra'!$E53:$Z53,MIN(AE$6-$G$3,22))),0)))))</f>
        <v>0</v>
      </c>
      <c r="AF55" s="27" t="n">
        <f aca="false">IF(COUNT('Feijão 2ª safra'!$E53:$Z53)=0,0,MAX(0,IF((AF$6-$E$3)&lt;1,0,IFERROR(LOOKUP(2,1/('Feijão 2ª safra'!$E53:INDEX('Feijão 2ª safra'!$E53:$Z53,MIN(AF$6-$E$3,22))&lt;&gt;""),'Feijão 2ª safra'!$E53:INDEX('Feijão 2ª safra'!$E53:$Z53,MIN(AF$6-$E$3,22))),0))-IF($G$2,0,IF((AF$6-$G$3)&lt;1,0,IFERROR(LOOKUP(2,1/('Feijão 2ª safra'!$E53:INDEX('Feijão 2ª safra'!$E53:$Z53,MIN(AF$6-$G$3,22))&lt;&gt;""),'Feijão 2ª safra'!$E53:INDEX('Feijão 2ª safra'!$E53:$Z53,MIN(AF$6-$G$3,22))),0)))))</f>
        <v>0</v>
      </c>
      <c r="AG55" s="27" t="n">
        <f aca="false">IF(COUNT('Feijão 2ª safra'!$E53:$Z53)=0,0,MAX(0,IF((AG$6-$E$3)&lt;1,0,IFERROR(LOOKUP(2,1/('Feijão 2ª safra'!$E53:INDEX('Feijão 2ª safra'!$E53:$Z53,MIN(AG$6-$E$3,22))&lt;&gt;""),'Feijão 2ª safra'!$E53:INDEX('Feijão 2ª safra'!$E53:$Z53,MIN(AG$6-$E$3,22))),0))-IF($G$2,0,IF((AG$6-$G$3)&lt;1,0,IFERROR(LOOKUP(2,1/('Feijão 2ª safra'!$E53:INDEX('Feijão 2ª safra'!$E53:$Z53,MIN(AG$6-$G$3,22))&lt;&gt;""),'Feijão 2ª safra'!$E53:INDEX('Feijão 2ª safra'!$E53:$Z53,MIN(AG$6-$G$3,22))),0)))))</f>
        <v>0</v>
      </c>
      <c r="AH55" s="27" t="n">
        <f aca="false">IF(COUNT('Feijão 2ª safra'!$E53:$Z53)=0,0,MAX(0,IF((AH$6-$E$3)&lt;1,0,IFERROR(LOOKUP(2,1/('Feijão 2ª safra'!$E53:INDEX('Feijão 2ª safra'!$E53:$Z53,MIN(AH$6-$E$3,22))&lt;&gt;""),'Feijão 2ª safra'!$E53:INDEX('Feijão 2ª safra'!$E53:$Z53,MIN(AH$6-$E$3,22))),0))-IF($G$2,0,IF((AH$6-$G$3)&lt;1,0,IFERROR(LOOKUP(2,1/('Feijão 2ª safra'!$E53:INDEX('Feijão 2ª safra'!$E53:$Z53,MIN(AH$6-$G$3,22))&lt;&gt;""),'Feijão 2ª safra'!$E53:INDEX('Feijão 2ª safra'!$E53:$Z53,MIN(AH$6-$G$3,22))),0)))))</f>
        <v>0</v>
      </c>
      <c r="AI55" s="27" t="n">
        <f aca="false">IF(COUNT('Feijão 2ª safra'!$E53:$Z53)=0,0,MAX(0,IF((AI$6-$E$3)&lt;1,0,IFERROR(LOOKUP(2,1/('Feijão 2ª safra'!$E53:INDEX('Feijão 2ª safra'!$E53:$Z53,MIN(AI$6-$E$3,22))&lt;&gt;""),'Feijão 2ª safra'!$E53:INDEX('Feijão 2ª safra'!$E53:$Z53,MIN(AI$6-$E$3,22))),0))-IF($G$2,0,IF((AI$6-$G$3)&lt;1,0,IFERROR(LOOKUP(2,1/('Feijão 2ª safra'!$E53:INDEX('Feijão 2ª safra'!$E53:$Z53,MIN(AI$6-$G$3,22))&lt;&gt;""),'Feijão 2ª safra'!$E53:INDEX('Feijão 2ª safra'!$E53:$Z53,MIN(AI$6-$G$3,22))),0)))))</f>
        <v>0</v>
      </c>
      <c r="AJ55" s="27" t="n">
        <f aca="false">IF(COUNT('Feijão 2ª safra'!$E53:$Z53)=0,0,MAX(0,IF((AJ$6-$E$3)&lt;1,0,IFERROR(LOOKUP(2,1/('Feijão 2ª safra'!$E53:INDEX('Feijão 2ª safra'!$E53:$Z53,MIN(AJ$6-$E$3,22))&lt;&gt;""),'Feijão 2ª safra'!$E53:INDEX('Feijão 2ª safra'!$E53:$Z53,MIN(AJ$6-$E$3,22))),0))-IF($G$2,0,IF((AJ$6-$G$3)&lt;1,0,IFERROR(LOOKUP(2,1/('Feijão 2ª safra'!$E53:INDEX('Feijão 2ª safra'!$E53:$Z53,MIN(AJ$6-$G$3,22))&lt;&gt;""),'Feijão 2ª safra'!$E53:INDEX('Feijão 2ª safra'!$E53:$Z53,MIN(AJ$6-$G$3,22))),0)))))</f>
        <v>0</v>
      </c>
      <c r="AK55" s="27" t="n">
        <f aca="false">IF(COUNT('Feijão 2ª safra'!$E53:$Z53)=0,0,MAX(0,IF((AK$6-$E$3)&lt;1,0,IFERROR(LOOKUP(2,1/('Feijão 2ª safra'!$E53:INDEX('Feijão 2ª safra'!$E53:$Z53,MIN(AK$6-$E$3,22))&lt;&gt;""),'Feijão 2ª safra'!$E53:INDEX('Feijão 2ª safra'!$E53:$Z53,MIN(AK$6-$E$3,22))),0))-IF($G$2,0,IF((AK$6-$G$3)&lt;1,0,IFERROR(LOOKUP(2,1/('Feijão 2ª safra'!$E53:INDEX('Feijão 2ª safra'!$E53:$Z53,MIN(AK$6-$G$3,22))&lt;&gt;""),'Feijão 2ª safra'!$E53:INDEX('Feijão 2ª safra'!$E53:$Z53,MIN(AK$6-$G$3,22))),0)))))</f>
        <v>0</v>
      </c>
      <c r="AL55" s="27" t="n">
        <f aca="false">IF(COUNT('Feijão 2ª safra'!$E53:$Z53)=0,0,MAX(0,IF((AL$6-$E$3)&lt;1,0,IFERROR(LOOKUP(2,1/('Feijão 2ª safra'!$E53:INDEX('Feijão 2ª safra'!$E53:$Z53,MIN(AL$6-$E$3,22))&lt;&gt;""),'Feijão 2ª safra'!$E53:INDEX('Feijão 2ª safra'!$E53:$Z53,MIN(AL$6-$E$3,22))),0))-IF($G$2,0,IF((AL$6-$G$3)&lt;1,0,IFERROR(LOOKUP(2,1/('Feijão 2ª safra'!$E53:INDEX('Feijão 2ª safra'!$E53:$Z53,MIN(AL$6-$G$3,22))&lt;&gt;""),'Feijão 2ª safra'!$E53:INDEX('Feijão 2ª safra'!$E53:$Z53,MIN(AL$6-$G$3,22))),0)))))</f>
        <v>0</v>
      </c>
      <c r="AM55" s="27" t="n">
        <f aca="false">IF(COUNT('Feijão 2ª safra'!$E53:$Z53)=0,0,MAX(0,IF((AM$6-$E$3)&lt;1,0,IFERROR(LOOKUP(2,1/('Feijão 2ª safra'!$E53:INDEX('Feijão 2ª safra'!$E53:$Z53,MIN(AM$6-$E$3,22))&lt;&gt;""),'Feijão 2ª safra'!$E53:INDEX('Feijão 2ª safra'!$E53:$Z53,MIN(AM$6-$E$3,22))),0))-IF($G$2,0,IF((AM$6-$G$3)&lt;1,0,IFERROR(LOOKUP(2,1/('Feijão 2ª safra'!$E53:INDEX('Feijão 2ª safra'!$E53:$Z53,MIN(AM$6-$G$3,22))&lt;&gt;""),'Feijão 2ª safra'!$E53:INDEX('Feijão 2ª safra'!$E53:$Z53,MIN(AM$6-$G$3,22))),0)))))</f>
        <v>0</v>
      </c>
      <c r="AN55" s="27" t="n">
        <f aca="false">IF(COUNT('Feijão 2ª safra'!$E53:$Z53)=0,0,MAX(0,IF((AN$6-$E$3)&lt;1,0,IFERROR(LOOKUP(2,1/('Feijão 2ª safra'!$E53:INDEX('Feijão 2ª safra'!$E53:$Z53,MIN(AN$6-$E$3,22))&lt;&gt;""),'Feijão 2ª safra'!$E53:INDEX('Feijão 2ª safra'!$E53:$Z53,MIN(AN$6-$E$3,22))),0))-IF($G$2,0,IF((AN$6-$G$3)&lt;1,0,IFERROR(LOOKUP(2,1/('Feijão 2ª safra'!$E53:INDEX('Feijão 2ª safra'!$E53:$Z53,MIN(AN$6-$G$3,22))&lt;&gt;""),'Feijão 2ª safra'!$E53:INDEX('Feijão 2ª safra'!$E53:$Z53,MIN(AN$6-$G$3,22))),0)))))</f>
        <v>0</v>
      </c>
      <c r="AO55" s="27" t="n">
        <f aca="false">IF(COUNT('Feijão 2ª safra'!$E53:$Z53)=0,0,MAX(0,IF((AO$6-$E$3)&lt;1,0,IFERROR(LOOKUP(2,1/('Feijão 2ª safra'!$E53:INDEX('Feijão 2ª safra'!$E53:$Z53,MIN(AO$6-$E$3,22))&lt;&gt;""),'Feijão 2ª safra'!$E53:INDEX('Feijão 2ª safra'!$E53:$Z53,MIN(AO$6-$E$3,22))),0))-IF($G$2,0,IF((AO$6-$G$3)&lt;1,0,IFERROR(LOOKUP(2,1/('Feijão 2ª safra'!$E53:INDEX('Feijão 2ª safra'!$E53:$Z53,MIN(AO$6-$G$3,22))&lt;&gt;""),'Feijão 2ª safra'!$E53:INDEX('Feijão 2ª safra'!$E53:$Z53,MIN(AO$6-$G$3,22))),0)))))</f>
        <v>0</v>
      </c>
      <c r="AP55" s="27" t="n">
        <f aca="false">IF(COUNT('Feijão 2ª safra'!$E53:$Z53)=0,0,MAX(0,IF((AP$6-$E$3)&lt;1,0,IFERROR(LOOKUP(2,1/('Feijão 2ª safra'!$E53:INDEX('Feijão 2ª safra'!$E53:$Z53,MIN(AP$6-$E$3,22))&lt;&gt;""),'Feijão 2ª safra'!$E53:INDEX('Feijão 2ª safra'!$E53:$Z53,MIN(AP$6-$E$3,22))),0))-IF($G$2,0,IF((AP$6-$G$3)&lt;1,0,IFERROR(LOOKUP(2,1/('Feijão 2ª safra'!$E53:INDEX('Feijão 2ª safra'!$E53:$Z53,MIN(AP$6-$G$3,22))&lt;&gt;""),'Feijão 2ª safra'!$E53:INDEX('Feijão 2ª safra'!$E53:$Z53,MIN(AP$6-$G$3,22))),0)))))</f>
        <v>0</v>
      </c>
      <c r="AQ55" s="27" t="n">
        <f aca="false">IF(COUNT('Feijão 2ª safra'!$E53:$Z53)=0,0,MAX(0,IF((AQ$6-$E$3)&lt;1,0,IFERROR(LOOKUP(2,1/('Feijão 2ª safra'!$E53:INDEX('Feijão 2ª safra'!$E53:$Z53,MIN(AQ$6-$E$3,22))&lt;&gt;""),'Feijão 2ª safra'!$E53:INDEX('Feijão 2ª safra'!$E53:$Z53,MIN(AQ$6-$E$3,22))),0))-IF($G$2,0,IF((AQ$6-$G$3)&lt;1,0,IFERROR(LOOKUP(2,1/('Feijão 2ª safra'!$E53:INDEX('Feijão 2ª safra'!$E53:$Z53,MIN(AQ$6-$G$3,22))&lt;&gt;""),'Feijão 2ª safra'!$E53:INDEX('Feijão 2ª safra'!$E53:$Z53,MIN(AQ$6-$G$3,22))),0)))))</f>
        <v>0</v>
      </c>
      <c r="AR55" s="27" t="n">
        <f aca="false">IF(COUNT('Feijão 2ª safra'!$E53:$Z53)=0,0,MAX(0,IF((AR$6-$E$3)&lt;1,0,IFERROR(LOOKUP(2,1/('Feijão 2ª safra'!$E53:INDEX('Feijão 2ª safra'!$E53:$Z53,MIN(AR$6-$E$3,22))&lt;&gt;""),'Feijão 2ª safra'!$E53:INDEX('Feijão 2ª safra'!$E53:$Z53,MIN(AR$6-$E$3,22))),0))-IF($G$2,0,IF((AR$6-$G$3)&lt;1,0,IFERROR(LOOKUP(2,1/('Feijão 2ª safra'!$E53:INDEX('Feijão 2ª safra'!$E53:$Z53,MIN(AR$6-$G$3,22))&lt;&gt;""),'Feijão 2ª safra'!$E53:INDEX('Feijão 2ª safra'!$E53:$Z53,MIN(AR$6-$G$3,22))),0)))))</f>
        <v>0</v>
      </c>
      <c r="AS55" s="27" t="n">
        <f aca="false">IF(COUNT('Feijão 2ª safra'!$E53:$Z53)=0,0,MAX(0,IF((AS$6-$E$3)&lt;1,0,IFERROR(LOOKUP(2,1/('Feijão 2ª safra'!$E53:INDEX('Feijão 2ª safra'!$E53:$Z53,MIN(AS$6-$E$3,22))&lt;&gt;""),'Feijão 2ª safra'!$E53:INDEX('Feijão 2ª safra'!$E53:$Z53,MIN(AS$6-$E$3,22))),0))-IF($G$2,0,IF((AS$6-$G$3)&lt;1,0,IFERROR(LOOKUP(2,1/('Feijão 2ª safra'!$E53:INDEX('Feijão 2ª safra'!$E53:$Z53,MIN(AS$6-$G$3,22))&lt;&gt;""),'Feijão 2ª safra'!$E53:INDEX('Feijão 2ª safra'!$E53:$Z53,MIN(AS$6-$G$3,22))),0)))))</f>
        <v>0</v>
      </c>
      <c r="AT55" s="27" t="n">
        <f aca="false">IF(COUNT('Feijão 2ª safra'!$E53:$Z53)=0,0,MAX(0,IF((AT$6-$E$3)&lt;1,0,IFERROR(LOOKUP(2,1/('Feijão 2ª safra'!$E53:INDEX('Feijão 2ª safra'!$E53:$Z53,MIN(AT$6-$E$3,22))&lt;&gt;""),'Feijão 2ª safra'!$E53:INDEX('Feijão 2ª safra'!$E53:$Z53,MIN(AT$6-$E$3,22))),0))-IF($G$2,0,IF((AT$6-$G$3)&lt;1,0,IFERROR(LOOKUP(2,1/('Feijão 2ª safra'!$E53:INDEX('Feijão 2ª safra'!$E53:$Z53,MIN(AT$6-$G$3,22))&lt;&gt;""),'Feijão 2ª safra'!$E53:INDEX('Feijão 2ª safra'!$E53:$Z53,MIN(AT$6-$G$3,22))),0)))))</f>
        <v>0</v>
      </c>
      <c r="AU55" s="27" t="n">
        <f aca="false">IF(COUNT('Feijão 2ª safra'!$E53:$Z53)=0,0,MAX(0,IF((AU$6-$E$3)&lt;1,0,IFERROR(LOOKUP(2,1/('Feijão 2ª safra'!$E53:INDEX('Feijão 2ª safra'!$E53:$Z53,MIN(AU$6-$E$3,22))&lt;&gt;""),'Feijão 2ª safra'!$E53:INDEX('Feijão 2ª safra'!$E53:$Z53,MIN(AU$6-$E$3,22))),0))-IF($G$2,0,IF((AU$6-$G$3)&lt;1,0,IFERROR(LOOKUP(2,1/('Feijão 2ª safra'!$E53:INDEX('Feijão 2ª safra'!$E53:$Z53,MIN(AU$6-$G$3,22))&lt;&gt;""),'Feijão 2ª safra'!$E53:INDEX('Feijão 2ª safra'!$E53:$Z53,MIN(AU$6-$G$3,22))),0)))))</f>
        <v>0</v>
      </c>
      <c r="AV55" s="27" t="n">
        <f aca="false">IF(COUNT('Feijão 2ª safra'!$E53:$Z53)=0,0,MAX(0,IF((AV$6-$E$3)&lt;1,0,IFERROR(LOOKUP(2,1/('Feijão 2ª safra'!$E53:INDEX('Feijão 2ª safra'!$E53:$Z53,MIN(AV$6-$E$3,22))&lt;&gt;""),'Feijão 2ª safra'!$E53:INDEX('Feijão 2ª safra'!$E53:$Z53,MIN(AV$6-$E$3,22))),0))-IF($G$2,0,IF((AV$6-$G$3)&lt;1,0,IFERROR(LOOKUP(2,1/('Feijão 2ª safra'!$E53:INDEX('Feijão 2ª safra'!$E53:$Z53,MIN(AV$6-$G$3,22))&lt;&gt;""),'Feijão 2ª safra'!$E53:INDEX('Feijão 2ª safra'!$E53:$Z53,MIN(AV$6-$G$3,22))),0)))))</f>
        <v>0</v>
      </c>
      <c r="AW55" s="27" t="n">
        <f aca="false">IF(COUNT('Feijão 2ª safra'!$E53:$Z53)=0,0,MAX(0,IF((AW$6-$E$3)&lt;1,0,IFERROR(LOOKUP(2,1/('Feijão 2ª safra'!$E53:INDEX('Feijão 2ª safra'!$E53:$Z53,MIN(AW$6-$E$3,22))&lt;&gt;""),'Feijão 2ª safra'!$E53:INDEX('Feijão 2ª safra'!$E53:$Z53,MIN(AW$6-$E$3,22))),0))-IF($G$2,0,IF((AW$6-$G$3)&lt;1,0,IFERROR(LOOKUP(2,1/('Feijão 2ª safra'!$E53:INDEX('Feijão 2ª safra'!$E53:$Z53,MIN(AW$6-$G$3,22))&lt;&gt;""),'Feijão 2ª safra'!$E53:INDEX('Feijão 2ª safra'!$E53:$Z53,MIN(AW$6-$G$3,22))),0)))))</f>
        <v>0</v>
      </c>
      <c r="AX55" s="27" t="n">
        <f aca="false">IF(COUNT('Feijão 2ª safra'!$E53:$Z53)=0,0,MAX(0,IF((AX$6-$E$3)&lt;1,0,IFERROR(LOOKUP(2,1/('Feijão 2ª safra'!$E53:INDEX('Feijão 2ª safra'!$E53:$Z53,MIN(AX$6-$E$3,22))&lt;&gt;""),'Feijão 2ª safra'!$E53:INDEX('Feijão 2ª safra'!$E53:$Z53,MIN(AX$6-$E$3,22))),0))-IF($G$2,0,IF((AX$6-$G$3)&lt;1,0,IFERROR(LOOKUP(2,1/('Feijão 2ª safra'!$E53:INDEX('Feijão 2ª safra'!$E53:$Z53,MIN(AX$6-$G$3,22))&lt;&gt;""),'Feijão 2ª safra'!$E53:INDEX('Feijão 2ª safra'!$E53:$Z53,MIN(AX$6-$G$3,22))),0)))))</f>
        <v>0</v>
      </c>
      <c r="AY55" s="27" t="n">
        <f aca="false">IF(COUNT('Feijão 2ª safra'!$E53:$Z53)=0,0,MAX(0,IF((AY$6-$E$3)&lt;1,0,IFERROR(LOOKUP(2,1/('Feijão 2ª safra'!$E53:INDEX('Feijão 2ª safra'!$E53:$Z53,MIN(AY$6-$E$3,22))&lt;&gt;""),'Feijão 2ª safra'!$E53:INDEX('Feijão 2ª safra'!$E53:$Z53,MIN(AY$6-$E$3,22))),0))-IF($G$2,0,IF((AY$6-$G$3)&lt;1,0,IFERROR(LOOKUP(2,1/('Feijão 2ª safra'!$E53:INDEX('Feijão 2ª safra'!$E53:$Z53,MIN(AY$6-$G$3,22))&lt;&gt;""),'Feijão 2ª safra'!$E53:INDEX('Feijão 2ª safra'!$E53:$Z53,MIN(AY$6-$G$3,22))),0)))))</f>
        <v>0</v>
      </c>
      <c r="AZ55" s="27" t="n">
        <f aca="false">IF(COUNT('Feijão 2ª safra'!$E53:$Z53)=0,0,MAX(0,IF((AZ$6-$E$3)&lt;1,0,IFERROR(LOOKUP(2,1/('Feijão 2ª safra'!$E53:INDEX('Feijão 2ª safra'!$E53:$Z53,MIN(AZ$6-$E$3,22))&lt;&gt;""),'Feijão 2ª safra'!$E53:INDEX('Feijão 2ª safra'!$E53:$Z53,MIN(AZ$6-$E$3,22))),0))-IF($G$2,0,IF((AZ$6-$G$3)&lt;1,0,IFERROR(LOOKUP(2,1/('Feijão 2ª safra'!$E53:INDEX('Feijão 2ª safra'!$E53:$Z53,MIN(AZ$6-$G$3,22))&lt;&gt;""),'Feijão 2ª safra'!$E53:INDEX('Feijão 2ª safra'!$E53:$Z53,MIN(AZ$6-$G$3,22))),0)))))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IF(COUNT('Feijão 2ª safra'!$E54:$Z54)&gt;0,N('Feijão 2ª safra'!$D54),0)</f>
        <v>0</v>
      </c>
      <c r="E56" s="27" t="n">
        <f aca="false">IF(COUNT('Feijão 2ª safra'!$E54:$Z54)=0,0,MAX(0,IF((E$6-$E$3)&lt;1,0,IFERROR(LOOKUP(2,1/('Feijão 2ª safra'!$E54:INDEX('Feijão 2ª safra'!$E54:$Z54,MIN(E$6-$E$3,22))&lt;&gt;""),'Feijão 2ª safra'!$E54:INDEX('Feijão 2ª safra'!$E54:$Z54,MIN(E$6-$E$3,22))),0))-IF($G$2,0,IF((E$6-$G$3)&lt;1,0,IFERROR(LOOKUP(2,1/('Feijão 2ª safra'!$E54:INDEX('Feijão 2ª safra'!$E54:$Z54,MIN(E$6-$G$3,22))&lt;&gt;""),'Feijão 2ª safra'!$E54:INDEX('Feijão 2ª safra'!$E54:$Z54,MIN(E$6-$G$3,22))),0)))))</f>
        <v>0</v>
      </c>
      <c r="F56" s="27" t="n">
        <f aca="false">IF(COUNT('Feijão 2ª safra'!$E54:$Z54)=0,0,MAX(0,IF((F$6-$E$3)&lt;1,0,IFERROR(LOOKUP(2,1/('Feijão 2ª safra'!$E54:INDEX('Feijão 2ª safra'!$E54:$Z54,MIN(F$6-$E$3,22))&lt;&gt;""),'Feijão 2ª safra'!$E54:INDEX('Feijão 2ª safra'!$E54:$Z54,MIN(F$6-$E$3,22))),0))-IF($G$2,0,IF((F$6-$G$3)&lt;1,0,IFERROR(LOOKUP(2,1/('Feijão 2ª safra'!$E54:INDEX('Feijão 2ª safra'!$E54:$Z54,MIN(F$6-$G$3,22))&lt;&gt;""),'Feijão 2ª safra'!$E54:INDEX('Feijão 2ª safra'!$E54:$Z54,MIN(F$6-$G$3,22))),0)))))</f>
        <v>0</v>
      </c>
      <c r="G56" s="27" t="n">
        <f aca="false">IF(COUNT('Feijão 2ª safra'!$E54:$Z54)=0,0,MAX(0,IF((G$6-$E$3)&lt;1,0,IFERROR(LOOKUP(2,1/('Feijão 2ª safra'!$E54:INDEX('Feijão 2ª safra'!$E54:$Z54,MIN(G$6-$E$3,22))&lt;&gt;""),'Feijão 2ª safra'!$E54:INDEX('Feijão 2ª safra'!$E54:$Z54,MIN(G$6-$E$3,22))),0))-IF($G$2,0,IF((G$6-$G$3)&lt;1,0,IFERROR(LOOKUP(2,1/('Feijão 2ª safra'!$E54:INDEX('Feijão 2ª safra'!$E54:$Z54,MIN(G$6-$G$3,22))&lt;&gt;""),'Feijão 2ª safra'!$E54:INDEX('Feijão 2ª safra'!$E54:$Z54,MIN(G$6-$G$3,22))),0)))))</f>
        <v>0</v>
      </c>
      <c r="H56" s="27" t="n">
        <f aca="false">IF(COUNT('Feijão 2ª safra'!$E54:$Z54)=0,0,MAX(0,IF((H$6-$E$3)&lt;1,0,IFERROR(LOOKUP(2,1/('Feijão 2ª safra'!$E54:INDEX('Feijão 2ª safra'!$E54:$Z54,MIN(H$6-$E$3,22))&lt;&gt;""),'Feijão 2ª safra'!$E54:INDEX('Feijão 2ª safra'!$E54:$Z54,MIN(H$6-$E$3,22))),0))-IF($G$2,0,IF((H$6-$G$3)&lt;1,0,IFERROR(LOOKUP(2,1/('Feijão 2ª safra'!$E54:INDEX('Feijão 2ª safra'!$E54:$Z54,MIN(H$6-$G$3,22))&lt;&gt;""),'Feijão 2ª safra'!$E54:INDEX('Feijão 2ª safra'!$E54:$Z54,MIN(H$6-$G$3,22))),0)))))</f>
        <v>0</v>
      </c>
      <c r="I56" s="27" t="n">
        <f aca="false">IF(COUNT('Feijão 2ª safra'!$E54:$Z54)=0,0,MAX(0,IF((I$6-$E$3)&lt;1,0,IFERROR(LOOKUP(2,1/('Feijão 2ª safra'!$E54:INDEX('Feijão 2ª safra'!$E54:$Z54,MIN(I$6-$E$3,22))&lt;&gt;""),'Feijão 2ª safra'!$E54:INDEX('Feijão 2ª safra'!$E54:$Z54,MIN(I$6-$E$3,22))),0))-IF($G$2,0,IF((I$6-$G$3)&lt;1,0,IFERROR(LOOKUP(2,1/('Feijão 2ª safra'!$E54:INDEX('Feijão 2ª safra'!$E54:$Z54,MIN(I$6-$G$3,22))&lt;&gt;""),'Feijão 2ª safra'!$E54:INDEX('Feijão 2ª safra'!$E54:$Z54,MIN(I$6-$G$3,22))),0)))))</f>
        <v>0</v>
      </c>
      <c r="J56" s="27" t="n">
        <f aca="false">IF(COUNT('Feijão 2ª safra'!$E54:$Z54)=0,0,MAX(0,IF((J$6-$E$3)&lt;1,0,IFERROR(LOOKUP(2,1/('Feijão 2ª safra'!$E54:INDEX('Feijão 2ª safra'!$E54:$Z54,MIN(J$6-$E$3,22))&lt;&gt;""),'Feijão 2ª safra'!$E54:INDEX('Feijão 2ª safra'!$E54:$Z54,MIN(J$6-$E$3,22))),0))-IF($G$2,0,IF((J$6-$G$3)&lt;1,0,IFERROR(LOOKUP(2,1/('Feijão 2ª safra'!$E54:INDEX('Feijão 2ª safra'!$E54:$Z54,MIN(J$6-$G$3,22))&lt;&gt;""),'Feijão 2ª safra'!$E54:INDEX('Feijão 2ª safra'!$E54:$Z54,MIN(J$6-$G$3,22))),0)))))</f>
        <v>0</v>
      </c>
      <c r="K56" s="27" t="n">
        <f aca="false">IF(COUNT('Feijão 2ª safra'!$E54:$Z54)=0,0,MAX(0,IF((K$6-$E$3)&lt;1,0,IFERROR(LOOKUP(2,1/('Feijão 2ª safra'!$E54:INDEX('Feijão 2ª safra'!$E54:$Z54,MIN(K$6-$E$3,22))&lt;&gt;""),'Feijão 2ª safra'!$E54:INDEX('Feijão 2ª safra'!$E54:$Z54,MIN(K$6-$E$3,22))),0))-IF($G$2,0,IF((K$6-$G$3)&lt;1,0,IFERROR(LOOKUP(2,1/('Feijão 2ª safra'!$E54:INDEX('Feijão 2ª safra'!$E54:$Z54,MIN(K$6-$G$3,22))&lt;&gt;""),'Feijão 2ª safra'!$E54:INDEX('Feijão 2ª safra'!$E54:$Z54,MIN(K$6-$G$3,22))),0)))))</f>
        <v>0</v>
      </c>
      <c r="L56" s="27" t="n">
        <f aca="false">IF(COUNT('Feijão 2ª safra'!$E54:$Z54)=0,0,MAX(0,IF((L$6-$E$3)&lt;1,0,IFERROR(LOOKUP(2,1/('Feijão 2ª safra'!$E54:INDEX('Feijão 2ª safra'!$E54:$Z54,MIN(L$6-$E$3,22))&lt;&gt;""),'Feijão 2ª safra'!$E54:INDEX('Feijão 2ª safra'!$E54:$Z54,MIN(L$6-$E$3,22))),0))-IF($G$2,0,IF((L$6-$G$3)&lt;1,0,IFERROR(LOOKUP(2,1/('Feijão 2ª safra'!$E54:INDEX('Feijão 2ª safra'!$E54:$Z54,MIN(L$6-$G$3,22))&lt;&gt;""),'Feijão 2ª safra'!$E54:INDEX('Feijão 2ª safra'!$E54:$Z54,MIN(L$6-$G$3,22))),0)))))</f>
        <v>0</v>
      </c>
      <c r="M56" s="27" t="n">
        <f aca="false">IF(COUNT('Feijão 2ª safra'!$E54:$Z54)=0,0,MAX(0,IF((M$6-$E$3)&lt;1,0,IFERROR(LOOKUP(2,1/('Feijão 2ª safra'!$E54:INDEX('Feijão 2ª safra'!$E54:$Z54,MIN(M$6-$E$3,22))&lt;&gt;""),'Feijão 2ª safra'!$E54:INDEX('Feijão 2ª safra'!$E54:$Z54,MIN(M$6-$E$3,22))),0))-IF($G$2,0,IF((M$6-$G$3)&lt;1,0,IFERROR(LOOKUP(2,1/('Feijão 2ª safra'!$E54:INDEX('Feijão 2ª safra'!$E54:$Z54,MIN(M$6-$G$3,22))&lt;&gt;""),'Feijão 2ª safra'!$E54:INDEX('Feijão 2ª safra'!$E54:$Z54,MIN(M$6-$G$3,22))),0)))))</f>
        <v>0</v>
      </c>
      <c r="N56" s="27" t="n">
        <f aca="false">IF(COUNT('Feijão 2ª safra'!$E54:$Z54)=0,0,MAX(0,IF((N$6-$E$3)&lt;1,0,IFERROR(LOOKUP(2,1/('Feijão 2ª safra'!$E54:INDEX('Feijão 2ª safra'!$E54:$Z54,MIN(N$6-$E$3,22))&lt;&gt;""),'Feijão 2ª safra'!$E54:INDEX('Feijão 2ª safra'!$E54:$Z54,MIN(N$6-$E$3,22))),0))-IF($G$2,0,IF((N$6-$G$3)&lt;1,0,IFERROR(LOOKUP(2,1/('Feijão 2ª safra'!$E54:INDEX('Feijão 2ª safra'!$E54:$Z54,MIN(N$6-$G$3,22))&lt;&gt;""),'Feijão 2ª safra'!$E54:INDEX('Feijão 2ª safra'!$E54:$Z54,MIN(N$6-$G$3,22))),0)))))</f>
        <v>0</v>
      </c>
      <c r="O56" s="27" t="n">
        <f aca="false">IF(COUNT('Feijão 2ª safra'!$E54:$Z54)=0,0,MAX(0,IF((O$6-$E$3)&lt;1,0,IFERROR(LOOKUP(2,1/('Feijão 2ª safra'!$E54:INDEX('Feijão 2ª safra'!$E54:$Z54,MIN(O$6-$E$3,22))&lt;&gt;""),'Feijão 2ª safra'!$E54:INDEX('Feijão 2ª safra'!$E54:$Z54,MIN(O$6-$E$3,22))),0))-IF($G$2,0,IF((O$6-$G$3)&lt;1,0,IFERROR(LOOKUP(2,1/('Feijão 2ª safra'!$E54:INDEX('Feijão 2ª safra'!$E54:$Z54,MIN(O$6-$G$3,22))&lt;&gt;""),'Feijão 2ª safra'!$E54:INDEX('Feijão 2ª safra'!$E54:$Z54,MIN(O$6-$G$3,22))),0)))))</f>
        <v>0</v>
      </c>
      <c r="P56" s="27" t="n">
        <f aca="false">IF(COUNT('Feijão 2ª safra'!$E54:$Z54)=0,0,MAX(0,IF((P$6-$E$3)&lt;1,0,IFERROR(LOOKUP(2,1/('Feijão 2ª safra'!$E54:INDEX('Feijão 2ª safra'!$E54:$Z54,MIN(P$6-$E$3,22))&lt;&gt;""),'Feijão 2ª safra'!$E54:INDEX('Feijão 2ª safra'!$E54:$Z54,MIN(P$6-$E$3,22))),0))-IF($G$2,0,IF((P$6-$G$3)&lt;1,0,IFERROR(LOOKUP(2,1/('Feijão 2ª safra'!$E54:INDEX('Feijão 2ª safra'!$E54:$Z54,MIN(P$6-$G$3,22))&lt;&gt;""),'Feijão 2ª safra'!$E54:INDEX('Feijão 2ª safra'!$E54:$Z54,MIN(P$6-$G$3,22))),0)))))</f>
        <v>0</v>
      </c>
      <c r="Q56" s="27" t="n">
        <f aca="false">IF(COUNT('Feijão 2ª safra'!$E54:$Z54)=0,0,MAX(0,IF((Q$6-$E$3)&lt;1,0,IFERROR(LOOKUP(2,1/('Feijão 2ª safra'!$E54:INDEX('Feijão 2ª safra'!$E54:$Z54,MIN(Q$6-$E$3,22))&lt;&gt;""),'Feijão 2ª safra'!$E54:INDEX('Feijão 2ª safra'!$E54:$Z54,MIN(Q$6-$E$3,22))),0))-IF($G$2,0,IF((Q$6-$G$3)&lt;1,0,IFERROR(LOOKUP(2,1/('Feijão 2ª safra'!$E54:INDEX('Feijão 2ª safra'!$E54:$Z54,MIN(Q$6-$G$3,22))&lt;&gt;""),'Feijão 2ª safra'!$E54:INDEX('Feijão 2ª safra'!$E54:$Z54,MIN(Q$6-$G$3,22))),0)))))</f>
        <v>0</v>
      </c>
      <c r="R56" s="27" t="n">
        <f aca="false">IF(COUNT('Feijão 2ª safra'!$E54:$Z54)=0,0,MAX(0,IF((R$6-$E$3)&lt;1,0,IFERROR(LOOKUP(2,1/('Feijão 2ª safra'!$E54:INDEX('Feijão 2ª safra'!$E54:$Z54,MIN(R$6-$E$3,22))&lt;&gt;""),'Feijão 2ª safra'!$E54:INDEX('Feijão 2ª safra'!$E54:$Z54,MIN(R$6-$E$3,22))),0))-IF($G$2,0,IF((R$6-$G$3)&lt;1,0,IFERROR(LOOKUP(2,1/('Feijão 2ª safra'!$E54:INDEX('Feijão 2ª safra'!$E54:$Z54,MIN(R$6-$G$3,22))&lt;&gt;""),'Feijão 2ª safra'!$E54:INDEX('Feijão 2ª safra'!$E54:$Z54,MIN(R$6-$G$3,22))),0)))))</f>
        <v>0</v>
      </c>
      <c r="S56" s="27" t="n">
        <f aca="false">IF(COUNT('Feijão 2ª safra'!$E54:$Z54)=0,0,MAX(0,IF((S$6-$E$3)&lt;1,0,IFERROR(LOOKUP(2,1/('Feijão 2ª safra'!$E54:INDEX('Feijão 2ª safra'!$E54:$Z54,MIN(S$6-$E$3,22))&lt;&gt;""),'Feijão 2ª safra'!$E54:INDEX('Feijão 2ª safra'!$E54:$Z54,MIN(S$6-$E$3,22))),0))-IF($G$2,0,IF((S$6-$G$3)&lt;1,0,IFERROR(LOOKUP(2,1/('Feijão 2ª safra'!$E54:INDEX('Feijão 2ª safra'!$E54:$Z54,MIN(S$6-$G$3,22))&lt;&gt;""),'Feijão 2ª safra'!$E54:INDEX('Feijão 2ª safra'!$E54:$Z54,MIN(S$6-$G$3,22))),0)))))</f>
        <v>0</v>
      </c>
      <c r="T56" s="27" t="n">
        <f aca="false">IF(COUNT('Feijão 2ª safra'!$E54:$Z54)=0,0,MAX(0,IF((T$6-$E$3)&lt;1,0,IFERROR(LOOKUP(2,1/('Feijão 2ª safra'!$E54:INDEX('Feijão 2ª safra'!$E54:$Z54,MIN(T$6-$E$3,22))&lt;&gt;""),'Feijão 2ª safra'!$E54:INDEX('Feijão 2ª safra'!$E54:$Z54,MIN(T$6-$E$3,22))),0))-IF($G$2,0,IF((T$6-$G$3)&lt;1,0,IFERROR(LOOKUP(2,1/('Feijão 2ª safra'!$E54:INDEX('Feijão 2ª safra'!$E54:$Z54,MIN(T$6-$G$3,22))&lt;&gt;""),'Feijão 2ª safra'!$E54:INDEX('Feijão 2ª safra'!$E54:$Z54,MIN(T$6-$G$3,22))),0)))))</f>
        <v>0</v>
      </c>
      <c r="U56" s="27" t="n">
        <f aca="false">IF(COUNT('Feijão 2ª safra'!$E54:$Z54)=0,0,MAX(0,IF((U$6-$E$3)&lt;1,0,IFERROR(LOOKUP(2,1/('Feijão 2ª safra'!$E54:INDEX('Feijão 2ª safra'!$E54:$Z54,MIN(U$6-$E$3,22))&lt;&gt;""),'Feijão 2ª safra'!$E54:INDEX('Feijão 2ª safra'!$E54:$Z54,MIN(U$6-$E$3,22))),0))-IF($G$2,0,IF((U$6-$G$3)&lt;1,0,IFERROR(LOOKUP(2,1/('Feijão 2ª safra'!$E54:INDEX('Feijão 2ª safra'!$E54:$Z54,MIN(U$6-$G$3,22))&lt;&gt;""),'Feijão 2ª safra'!$E54:INDEX('Feijão 2ª safra'!$E54:$Z54,MIN(U$6-$G$3,22))),0)))))</f>
        <v>0</v>
      </c>
      <c r="V56" s="27" t="n">
        <f aca="false">IF(COUNT('Feijão 2ª safra'!$E54:$Z54)=0,0,MAX(0,IF((V$6-$E$3)&lt;1,0,IFERROR(LOOKUP(2,1/('Feijão 2ª safra'!$E54:INDEX('Feijão 2ª safra'!$E54:$Z54,MIN(V$6-$E$3,22))&lt;&gt;""),'Feijão 2ª safra'!$E54:INDEX('Feijão 2ª safra'!$E54:$Z54,MIN(V$6-$E$3,22))),0))-IF($G$2,0,IF((V$6-$G$3)&lt;1,0,IFERROR(LOOKUP(2,1/('Feijão 2ª safra'!$E54:INDEX('Feijão 2ª safra'!$E54:$Z54,MIN(V$6-$G$3,22))&lt;&gt;""),'Feijão 2ª safra'!$E54:INDEX('Feijão 2ª safra'!$E54:$Z54,MIN(V$6-$G$3,22))),0)))))</f>
        <v>0</v>
      </c>
      <c r="W56" s="27" t="n">
        <f aca="false">IF(COUNT('Feijão 2ª safra'!$E54:$Z54)=0,0,MAX(0,IF((W$6-$E$3)&lt;1,0,IFERROR(LOOKUP(2,1/('Feijão 2ª safra'!$E54:INDEX('Feijão 2ª safra'!$E54:$Z54,MIN(W$6-$E$3,22))&lt;&gt;""),'Feijão 2ª safra'!$E54:INDEX('Feijão 2ª safra'!$E54:$Z54,MIN(W$6-$E$3,22))),0))-IF($G$2,0,IF((W$6-$G$3)&lt;1,0,IFERROR(LOOKUP(2,1/('Feijão 2ª safra'!$E54:INDEX('Feijão 2ª safra'!$E54:$Z54,MIN(W$6-$G$3,22))&lt;&gt;""),'Feijão 2ª safra'!$E54:INDEX('Feijão 2ª safra'!$E54:$Z54,MIN(W$6-$G$3,22))),0)))))</f>
        <v>0</v>
      </c>
      <c r="X56" s="27" t="n">
        <f aca="false">IF(COUNT('Feijão 2ª safra'!$E54:$Z54)=0,0,MAX(0,IF((X$6-$E$3)&lt;1,0,IFERROR(LOOKUP(2,1/('Feijão 2ª safra'!$E54:INDEX('Feijão 2ª safra'!$E54:$Z54,MIN(X$6-$E$3,22))&lt;&gt;""),'Feijão 2ª safra'!$E54:INDEX('Feijão 2ª safra'!$E54:$Z54,MIN(X$6-$E$3,22))),0))-IF($G$2,0,IF((X$6-$G$3)&lt;1,0,IFERROR(LOOKUP(2,1/('Feijão 2ª safra'!$E54:INDEX('Feijão 2ª safra'!$E54:$Z54,MIN(X$6-$G$3,22))&lt;&gt;""),'Feijão 2ª safra'!$E54:INDEX('Feijão 2ª safra'!$E54:$Z54,MIN(X$6-$G$3,22))),0)))))</f>
        <v>0</v>
      </c>
      <c r="Y56" s="27" t="n">
        <f aca="false">IF(COUNT('Feijão 2ª safra'!$E54:$Z54)=0,0,MAX(0,IF((Y$6-$E$3)&lt;1,0,IFERROR(LOOKUP(2,1/('Feijão 2ª safra'!$E54:INDEX('Feijão 2ª safra'!$E54:$Z54,MIN(Y$6-$E$3,22))&lt;&gt;""),'Feijão 2ª safra'!$E54:INDEX('Feijão 2ª safra'!$E54:$Z54,MIN(Y$6-$E$3,22))),0))-IF($G$2,0,IF((Y$6-$G$3)&lt;1,0,IFERROR(LOOKUP(2,1/('Feijão 2ª safra'!$E54:INDEX('Feijão 2ª safra'!$E54:$Z54,MIN(Y$6-$G$3,22))&lt;&gt;""),'Feijão 2ª safra'!$E54:INDEX('Feijão 2ª safra'!$E54:$Z54,MIN(Y$6-$G$3,22))),0)))))</f>
        <v>0</v>
      </c>
      <c r="Z56" s="27" t="n">
        <f aca="false">IF(COUNT('Feijão 2ª safra'!$E54:$Z54)=0,0,MAX(0,IF((Z$6-$E$3)&lt;1,0,IFERROR(LOOKUP(2,1/('Feijão 2ª safra'!$E54:INDEX('Feijão 2ª safra'!$E54:$Z54,MIN(Z$6-$E$3,22))&lt;&gt;""),'Feijão 2ª safra'!$E54:INDEX('Feijão 2ª safra'!$E54:$Z54,MIN(Z$6-$E$3,22))),0))-IF($G$2,0,IF((Z$6-$G$3)&lt;1,0,IFERROR(LOOKUP(2,1/('Feijão 2ª safra'!$E54:INDEX('Feijão 2ª safra'!$E54:$Z54,MIN(Z$6-$G$3,22))&lt;&gt;""),'Feijão 2ª safra'!$E54:INDEX('Feijão 2ª safra'!$E54:$Z54,MIN(Z$6-$G$3,22))),0)))))</f>
        <v>0</v>
      </c>
      <c r="AA56" s="27" t="n">
        <f aca="false">IF(COUNT('Feijão 2ª safra'!$E54:$Z54)=0,0,MAX(0,IF((AA$6-$E$3)&lt;1,0,IFERROR(LOOKUP(2,1/('Feijão 2ª safra'!$E54:INDEX('Feijão 2ª safra'!$E54:$Z54,MIN(AA$6-$E$3,22))&lt;&gt;""),'Feijão 2ª safra'!$E54:INDEX('Feijão 2ª safra'!$E54:$Z54,MIN(AA$6-$E$3,22))),0))-IF($G$2,0,IF((AA$6-$G$3)&lt;1,0,IFERROR(LOOKUP(2,1/('Feijão 2ª safra'!$E54:INDEX('Feijão 2ª safra'!$E54:$Z54,MIN(AA$6-$G$3,22))&lt;&gt;""),'Feijão 2ª safra'!$E54:INDEX('Feijão 2ª safra'!$E54:$Z54,MIN(AA$6-$G$3,22))),0)))))</f>
        <v>0</v>
      </c>
      <c r="AB56" s="27" t="n">
        <f aca="false">IF(COUNT('Feijão 2ª safra'!$E54:$Z54)=0,0,MAX(0,IF((AB$6-$E$3)&lt;1,0,IFERROR(LOOKUP(2,1/('Feijão 2ª safra'!$E54:INDEX('Feijão 2ª safra'!$E54:$Z54,MIN(AB$6-$E$3,22))&lt;&gt;""),'Feijão 2ª safra'!$E54:INDEX('Feijão 2ª safra'!$E54:$Z54,MIN(AB$6-$E$3,22))),0))-IF($G$2,0,IF((AB$6-$G$3)&lt;1,0,IFERROR(LOOKUP(2,1/('Feijão 2ª safra'!$E54:INDEX('Feijão 2ª safra'!$E54:$Z54,MIN(AB$6-$G$3,22))&lt;&gt;""),'Feijão 2ª safra'!$E54:INDEX('Feijão 2ª safra'!$E54:$Z54,MIN(AB$6-$G$3,22))),0)))))</f>
        <v>0</v>
      </c>
      <c r="AC56" s="27" t="n">
        <f aca="false">IF(COUNT('Feijão 2ª safra'!$E54:$Z54)=0,0,MAX(0,IF((AC$6-$E$3)&lt;1,0,IFERROR(LOOKUP(2,1/('Feijão 2ª safra'!$E54:INDEX('Feijão 2ª safra'!$E54:$Z54,MIN(AC$6-$E$3,22))&lt;&gt;""),'Feijão 2ª safra'!$E54:INDEX('Feijão 2ª safra'!$E54:$Z54,MIN(AC$6-$E$3,22))),0))-IF($G$2,0,IF((AC$6-$G$3)&lt;1,0,IFERROR(LOOKUP(2,1/('Feijão 2ª safra'!$E54:INDEX('Feijão 2ª safra'!$E54:$Z54,MIN(AC$6-$G$3,22))&lt;&gt;""),'Feijão 2ª safra'!$E54:INDEX('Feijão 2ª safra'!$E54:$Z54,MIN(AC$6-$G$3,22))),0)))))</f>
        <v>0</v>
      </c>
      <c r="AD56" s="27" t="n">
        <f aca="false">IF(COUNT('Feijão 2ª safra'!$E54:$Z54)=0,0,MAX(0,IF((AD$6-$E$3)&lt;1,0,IFERROR(LOOKUP(2,1/('Feijão 2ª safra'!$E54:INDEX('Feijão 2ª safra'!$E54:$Z54,MIN(AD$6-$E$3,22))&lt;&gt;""),'Feijão 2ª safra'!$E54:INDEX('Feijão 2ª safra'!$E54:$Z54,MIN(AD$6-$E$3,22))),0))-IF($G$2,0,IF((AD$6-$G$3)&lt;1,0,IFERROR(LOOKUP(2,1/('Feijão 2ª safra'!$E54:INDEX('Feijão 2ª safra'!$E54:$Z54,MIN(AD$6-$G$3,22))&lt;&gt;""),'Feijão 2ª safra'!$E54:INDEX('Feijão 2ª safra'!$E54:$Z54,MIN(AD$6-$G$3,22))),0)))))</f>
        <v>0</v>
      </c>
      <c r="AE56" s="27" t="n">
        <f aca="false">IF(COUNT('Feijão 2ª safra'!$E54:$Z54)=0,0,MAX(0,IF((AE$6-$E$3)&lt;1,0,IFERROR(LOOKUP(2,1/('Feijão 2ª safra'!$E54:INDEX('Feijão 2ª safra'!$E54:$Z54,MIN(AE$6-$E$3,22))&lt;&gt;""),'Feijão 2ª safra'!$E54:INDEX('Feijão 2ª safra'!$E54:$Z54,MIN(AE$6-$E$3,22))),0))-IF($G$2,0,IF((AE$6-$G$3)&lt;1,0,IFERROR(LOOKUP(2,1/('Feijão 2ª safra'!$E54:INDEX('Feijão 2ª safra'!$E54:$Z54,MIN(AE$6-$G$3,22))&lt;&gt;""),'Feijão 2ª safra'!$E54:INDEX('Feijão 2ª safra'!$E54:$Z54,MIN(AE$6-$G$3,22))),0)))))</f>
        <v>0</v>
      </c>
      <c r="AF56" s="27" t="n">
        <f aca="false">IF(COUNT('Feijão 2ª safra'!$E54:$Z54)=0,0,MAX(0,IF((AF$6-$E$3)&lt;1,0,IFERROR(LOOKUP(2,1/('Feijão 2ª safra'!$E54:INDEX('Feijão 2ª safra'!$E54:$Z54,MIN(AF$6-$E$3,22))&lt;&gt;""),'Feijão 2ª safra'!$E54:INDEX('Feijão 2ª safra'!$E54:$Z54,MIN(AF$6-$E$3,22))),0))-IF($G$2,0,IF((AF$6-$G$3)&lt;1,0,IFERROR(LOOKUP(2,1/('Feijão 2ª safra'!$E54:INDEX('Feijão 2ª safra'!$E54:$Z54,MIN(AF$6-$G$3,22))&lt;&gt;""),'Feijão 2ª safra'!$E54:INDEX('Feijão 2ª safra'!$E54:$Z54,MIN(AF$6-$G$3,22))),0)))))</f>
        <v>0</v>
      </c>
      <c r="AG56" s="27" t="n">
        <f aca="false">IF(COUNT('Feijão 2ª safra'!$E54:$Z54)=0,0,MAX(0,IF((AG$6-$E$3)&lt;1,0,IFERROR(LOOKUP(2,1/('Feijão 2ª safra'!$E54:INDEX('Feijão 2ª safra'!$E54:$Z54,MIN(AG$6-$E$3,22))&lt;&gt;""),'Feijão 2ª safra'!$E54:INDEX('Feijão 2ª safra'!$E54:$Z54,MIN(AG$6-$E$3,22))),0))-IF($G$2,0,IF((AG$6-$G$3)&lt;1,0,IFERROR(LOOKUP(2,1/('Feijão 2ª safra'!$E54:INDEX('Feijão 2ª safra'!$E54:$Z54,MIN(AG$6-$G$3,22))&lt;&gt;""),'Feijão 2ª safra'!$E54:INDEX('Feijão 2ª safra'!$E54:$Z54,MIN(AG$6-$G$3,22))),0)))))</f>
        <v>0</v>
      </c>
      <c r="AH56" s="27" t="n">
        <f aca="false">IF(COUNT('Feijão 2ª safra'!$E54:$Z54)=0,0,MAX(0,IF((AH$6-$E$3)&lt;1,0,IFERROR(LOOKUP(2,1/('Feijão 2ª safra'!$E54:INDEX('Feijão 2ª safra'!$E54:$Z54,MIN(AH$6-$E$3,22))&lt;&gt;""),'Feijão 2ª safra'!$E54:INDEX('Feijão 2ª safra'!$E54:$Z54,MIN(AH$6-$E$3,22))),0))-IF($G$2,0,IF((AH$6-$G$3)&lt;1,0,IFERROR(LOOKUP(2,1/('Feijão 2ª safra'!$E54:INDEX('Feijão 2ª safra'!$E54:$Z54,MIN(AH$6-$G$3,22))&lt;&gt;""),'Feijão 2ª safra'!$E54:INDEX('Feijão 2ª safra'!$E54:$Z54,MIN(AH$6-$G$3,22))),0)))))</f>
        <v>0</v>
      </c>
      <c r="AI56" s="27" t="n">
        <f aca="false">IF(COUNT('Feijão 2ª safra'!$E54:$Z54)=0,0,MAX(0,IF((AI$6-$E$3)&lt;1,0,IFERROR(LOOKUP(2,1/('Feijão 2ª safra'!$E54:INDEX('Feijão 2ª safra'!$E54:$Z54,MIN(AI$6-$E$3,22))&lt;&gt;""),'Feijão 2ª safra'!$E54:INDEX('Feijão 2ª safra'!$E54:$Z54,MIN(AI$6-$E$3,22))),0))-IF($G$2,0,IF((AI$6-$G$3)&lt;1,0,IFERROR(LOOKUP(2,1/('Feijão 2ª safra'!$E54:INDEX('Feijão 2ª safra'!$E54:$Z54,MIN(AI$6-$G$3,22))&lt;&gt;""),'Feijão 2ª safra'!$E54:INDEX('Feijão 2ª safra'!$E54:$Z54,MIN(AI$6-$G$3,22))),0)))))</f>
        <v>0</v>
      </c>
      <c r="AJ56" s="27" t="n">
        <f aca="false">IF(COUNT('Feijão 2ª safra'!$E54:$Z54)=0,0,MAX(0,IF((AJ$6-$E$3)&lt;1,0,IFERROR(LOOKUP(2,1/('Feijão 2ª safra'!$E54:INDEX('Feijão 2ª safra'!$E54:$Z54,MIN(AJ$6-$E$3,22))&lt;&gt;""),'Feijão 2ª safra'!$E54:INDEX('Feijão 2ª safra'!$E54:$Z54,MIN(AJ$6-$E$3,22))),0))-IF($G$2,0,IF((AJ$6-$G$3)&lt;1,0,IFERROR(LOOKUP(2,1/('Feijão 2ª safra'!$E54:INDEX('Feijão 2ª safra'!$E54:$Z54,MIN(AJ$6-$G$3,22))&lt;&gt;""),'Feijão 2ª safra'!$E54:INDEX('Feijão 2ª safra'!$E54:$Z54,MIN(AJ$6-$G$3,22))),0)))))</f>
        <v>0</v>
      </c>
      <c r="AK56" s="27" t="n">
        <f aca="false">IF(COUNT('Feijão 2ª safra'!$E54:$Z54)=0,0,MAX(0,IF((AK$6-$E$3)&lt;1,0,IFERROR(LOOKUP(2,1/('Feijão 2ª safra'!$E54:INDEX('Feijão 2ª safra'!$E54:$Z54,MIN(AK$6-$E$3,22))&lt;&gt;""),'Feijão 2ª safra'!$E54:INDEX('Feijão 2ª safra'!$E54:$Z54,MIN(AK$6-$E$3,22))),0))-IF($G$2,0,IF((AK$6-$G$3)&lt;1,0,IFERROR(LOOKUP(2,1/('Feijão 2ª safra'!$E54:INDEX('Feijão 2ª safra'!$E54:$Z54,MIN(AK$6-$G$3,22))&lt;&gt;""),'Feijão 2ª safra'!$E54:INDEX('Feijão 2ª safra'!$E54:$Z54,MIN(AK$6-$G$3,22))),0)))))</f>
        <v>0</v>
      </c>
      <c r="AL56" s="27" t="n">
        <f aca="false">IF(COUNT('Feijão 2ª safra'!$E54:$Z54)=0,0,MAX(0,IF((AL$6-$E$3)&lt;1,0,IFERROR(LOOKUP(2,1/('Feijão 2ª safra'!$E54:INDEX('Feijão 2ª safra'!$E54:$Z54,MIN(AL$6-$E$3,22))&lt;&gt;""),'Feijão 2ª safra'!$E54:INDEX('Feijão 2ª safra'!$E54:$Z54,MIN(AL$6-$E$3,22))),0))-IF($G$2,0,IF((AL$6-$G$3)&lt;1,0,IFERROR(LOOKUP(2,1/('Feijão 2ª safra'!$E54:INDEX('Feijão 2ª safra'!$E54:$Z54,MIN(AL$6-$G$3,22))&lt;&gt;""),'Feijão 2ª safra'!$E54:INDEX('Feijão 2ª safra'!$E54:$Z54,MIN(AL$6-$G$3,22))),0)))))</f>
        <v>0</v>
      </c>
      <c r="AM56" s="27" t="n">
        <f aca="false">IF(COUNT('Feijão 2ª safra'!$E54:$Z54)=0,0,MAX(0,IF((AM$6-$E$3)&lt;1,0,IFERROR(LOOKUP(2,1/('Feijão 2ª safra'!$E54:INDEX('Feijão 2ª safra'!$E54:$Z54,MIN(AM$6-$E$3,22))&lt;&gt;""),'Feijão 2ª safra'!$E54:INDEX('Feijão 2ª safra'!$E54:$Z54,MIN(AM$6-$E$3,22))),0))-IF($G$2,0,IF((AM$6-$G$3)&lt;1,0,IFERROR(LOOKUP(2,1/('Feijão 2ª safra'!$E54:INDEX('Feijão 2ª safra'!$E54:$Z54,MIN(AM$6-$G$3,22))&lt;&gt;""),'Feijão 2ª safra'!$E54:INDEX('Feijão 2ª safra'!$E54:$Z54,MIN(AM$6-$G$3,22))),0)))))</f>
        <v>0</v>
      </c>
      <c r="AN56" s="27" t="n">
        <f aca="false">IF(COUNT('Feijão 2ª safra'!$E54:$Z54)=0,0,MAX(0,IF((AN$6-$E$3)&lt;1,0,IFERROR(LOOKUP(2,1/('Feijão 2ª safra'!$E54:INDEX('Feijão 2ª safra'!$E54:$Z54,MIN(AN$6-$E$3,22))&lt;&gt;""),'Feijão 2ª safra'!$E54:INDEX('Feijão 2ª safra'!$E54:$Z54,MIN(AN$6-$E$3,22))),0))-IF($G$2,0,IF((AN$6-$G$3)&lt;1,0,IFERROR(LOOKUP(2,1/('Feijão 2ª safra'!$E54:INDEX('Feijão 2ª safra'!$E54:$Z54,MIN(AN$6-$G$3,22))&lt;&gt;""),'Feijão 2ª safra'!$E54:INDEX('Feijão 2ª safra'!$E54:$Z54,MIN(AN$6-$G$3,22))),0)))))</f>
        <v>0</v>
      </c>
      <c r="AO56" s="27" t="n">
        <f aca="false">IF(COUNT('Feijão 2ª safra'!$E54:$Z54)=0,0,MAX(0,IF((AO$6-$E$3)&lt;1,0,IFERROR(LOOKUP(2,1/('Feijão 2ª safra'!$E54:INDEX('Feijão 2ª safra'!$E54:$Z54,MIN(AO$6-$E$3,22))&lt;&gt;""),'Feijão 2ª safra'!$E54:INDEX('Feijão 2ª safra'!$E54:$Z54,MIN(AO$6-$E$3,22))),0))-IF($G$2,0,IF((AO$6-$G$3)&lt;1,0,IFERROR(LOOKUP(2,1/('Feijão 2ª safra'!$E54:INDEX('Feijão 2ª safra'!$E54:$Z54,MIN(AO$6-$G$3,22))&lt;&gt;""),'Feijão 2ª safra'!$E54:INDEX('Feijão 2ª safra'!$E54:$Z54,MIN(AO$6-$G$3,22))),0)))))</f>
        <v>0</v>
      </c>
      <c r="AP56" s="27" t="n">
        <f aca="false">IF(COUNT('Feijão 2ª safra'!$E54:$Z54)=0,0,MAX(0,IF((AP$6-$E$3)&lt;1,0,IFERROR(LOOKUP(2,1/('Feijão 2ª safra'!$E54:INDEX('Feijão 2ª safra'!$E54:$Z54,MIN(AP$6-$E$3,22))&lt;&gt;""),'Feijão 2ª safra'!$E54:INDEX('Feijão 2ª safra'!$E54:$Z54,MIN(AP$6-$E$3,22))),0))-IF($G$2,0,IF((AP$6-$G$3)&lt;1,0,IFERROR(LOOKUP(2,1/('Feijão 2ª safra'!$E54:INDEX('Feijão 2ª safra'!$E54:$Z54,MIN(AP$6-$G$3,22))&lt;&gt;""),'Feijão 2ª safra'!$E54:INDEX('Feijão 2ª safra'!$E54:$Z54,MIN(AP$6-$G$3,22))),0)))))</f>
        <v>0</v>
      </c>
      <c r="AQ56" s="27" t="n">
        <f aca="false">IF(COUNT('Feijão 2ª safra'!$E54:$Z54)=0,0,MAX(0,IF((AQ$6-$E$3)&lt;1,0,IFERROR(LOOKUP(2,1/('Feijão 2ª safra'!$E54:INDEX('Feijão 2ª safra'!$E54:$Z54,MIN(AQ$6-$E$3,22))&lt;&gt;""),'Feijão 2ª safra'!$E54:INDEX('Feijão 2ª safra'!$E54:$Z54,MIN(AQ$6-$E$3,22))),0))-IF($G$2,0,IF((AQ$6-$G$3)&lt;1,0,IFERROR(LOOKUP(2,1/('Feijão 2ª safra'!$E54:INDEX('Feijão 2ª safra'!$E54:$Z54,MIN(AQ$6-$G$3,22))&lt;&gt;""),'Feijão 2ª safra'!$E54:INDEX('Feijão 2ª safra'!$E54:$Z54,MIN(AQ$6-$G$3,22))),0)))))</f>
        <v>0</v>
      </c>
      <c r="AR56" s="27" t="n">
        <f aca="false">IF(COUNT('Feijão 2ª safra'!$E54:$Z54)=0,0,MAX(0,IF((AR$6-$E$3)&lt;1,0,IFERROR(LOOKUP(2,1/('Feijão 2ª safra'!$E54:INDEX('Feijão 2ª safra'!$E54:$Z54,MIN(AR$6-$E$3,22))&lt;&gt;""),'Feijão 2ª safra'!$E54:INDEX('Feijão 2ª safra'!$E54:$Z54,MIN(AR$6-$E$3,22))),0))-IF($G$2,0,IF((AR$6-$G$3)&lt;1,0,IFERROR(LOOKUP(2,1/('Feijão 2ª safra'!$E54:INDEX('Feijão 2ª safra'!$E54:$Z54,MIN(AR$6-$G$3,22))&lt;&gt;""),'Feijão 2ª safra'!$E54:INDEX('Feijão 2ª safra'!$E54:$Z54,MIN(AR$6-$G$3,22))),0)))))</f>
        <v>0</v>
      </c>
      <c r="AS56" s="27" t="n">
        <f aca="false">IF(COUNT('Feijão 2ª safra'!$E54:$Z54)=0,0,MAX(0,IF((AS$6-$E$3)&lt;1,0,IFERROR(LOOKUP(2,1/('Feijão 2ª safra'!$E54:INDEX('Feijão 2ª safra'!$E54:$Z54,MIN(AS$6-$E$3,22))&lt;&gt;""),'Feijão 2ª safra'!$E54:INDEX('Feijão 2ª safra'!$E54:$Z54,MIN(AS$6-$E$3,22))),0))-IF($G$2,0,IF((AS$6-$G$3)&lt;1,0,IFERROR(LOOKUP(2,1/('Feijão 2ª safra'!$E54:INDEX('Feijão 2ª safra'!$E54:$Z54,MIN(AS$6-$G$3,22))&lt;&gt;""),'Feijão 2ª safra'!$E54:INDEX('Feijão 2ª safra'!$E54:$Z54,MIN(AS$6-$G$3,22))),0)))))</f>
        <v>0</v>
      </c>
      <c r="AT56" s="27" t="n">
        <f aca="false">IF(COUNT('Feijão 2ª safra'!$E54:$Z54)=0,0,MAX(0,IF((AT$6-$E$3)&lt;1,0,IFERROR(LOOKUP(2,1/('Feijão 2ª safra'!$E54:INDEX('Feijão 2ª safra'!$E54:$Z54,MIN(AT$6-$E$3,22))&lt;&gt;""),'Feijão 2ª safra'!$E54:INDEX('Feijão 2ª safra'!$E54:$Z54,MIN(AT$6-$E$3,22))),0))-IF($G$2,0,IF((AT$6-$G$3)&lt;1,0,IFERROR(LOOKUP(2,1/('Feijão 2ª safra'!$E54:INDEX('Feijão 2ª safra'!$E54:$Z54,MIN(AT$6-$G$3,22))&lt;&gt;""),'Feijão 2ª safra'!$E54:INDEX('Feijão 2ª safra'!$E54:$Z54,MIN(AT$6-$G$3,22))),0)))))</f>
        <v>0</v>
      </c>
      <c r="AU56" s="27" t="n">
        <f aca="false">IF(COUNT('Feijão 2ª safra'!$E54:$Z54)=0,0,MAX(0,IF((AU$6-$E$3)&lt;1,0,IFERROR(LOOKUP(2,1/('Feijão 2ª safra'!$E54:INDEX('Feijão 2ª safra'!$E54:$Z54,MIN(AU$6-$E$3,22))&lt;&gt;""),'Feijão 2ª safra'!$E54:INDEX('Feijão 2ª safra'!$E54:$Z54,MIN(AU$6-$E$3,22))),0))-IF($G$2,0,IF((AU$6-$G$3)&lt;1,0,IFERROR(LOOKUP(2,1/('Feijão 2ª safra'!$E54:INDEX('Feijão 2ª safra'!$E54:$Z54,MIN(AU$6-$G$3,22))&lt;&gt;""),'Feijão 2ª safra'!$E54:INDEX('Feijão 2ª safra'!$E54:$Z54,MIN(AU$6-$G$3,22))),0)))))</f>
        <v>0</v>
      </c>
      <c r="AV56" s="27" t="n">
        <f aca="false">IF(COUNT('Feijão 2ª safra'!$E54:$Z54)=0,0,MAX(0,IF((AV$6-$E$3)&lt;1,0,IFERROR(LOOKUP(2,1/('Feijão 2ª safra'!$E54:INDEX('Feijão 2ª safra'!$E54:$Z54,MIN(AV$6-$E$3,22))&lt;&gt;""),'Feijão 2ª safra'!$E54:INDEX('Feijão 2ª safra'!$E54:$Z54,MIN(AV$6-$E$3,22))),0))-IF($G$2,0,IF((AV$6-$G$3)&lt;1,0,IFERROR(LOOKUP(2,1/('Feijão 2ª safra'!$E54:INDEX('Feijão 2ª safra'!$E54:$Z54,MIN(AV$6-$G$3,22))&lt;&gt;""),'Feijão 2ª safra'!$E54:INDEX('Feijão 2ª safra'!$E54:$Z54,MIN(AV$6-$G$3,22))),0)))))</f>
        <v>0</v>
      </c>
      <c r="AW56" s="27" t="n">
        <f aca="false">IF(COUNT('Feijão 2ª safra'!$E54:$Z54)=0,0,MAX(0,IF((AW$6-$E$3)&lt;1,0,IFERROR(LOOKUP(2,1/('Feijão 2ª safra'!$E54:INDEX('Feijão 2ª safra'!$E54:$Z54,MIN(AW$6-$E$3,22))&lt;&gt;""),'Feijão 2ª safra'!$E54:INDEX('Feijão 2ª safra'!$E54:$Z54,MIN(AW$6-$E$3,22))),0))-IF($G$2,0,IF((AW$6-$G$3)&lt;1,0,IFERROR(LOOKUP(2,1/('Feijão 2ª safra'!$E54:INDEX('Feijão 2ª safra'!$E54:$Z54,MIN(AW$6-$G$3,22))&lt;&gt;""),'Feijão 2ª safra'!$E54:INDEX('Feijão 2ª safra'!$E54:$Z54,MIN(AW$6-$G$3,22))),0)))))</f>
        <v>0</v>
      </c>
      <c r="AX56" s="27" t="n">
        <f aca="false">IF(COUNT('Feijão 2ª safra'!$E54:$Z54)=0,0,MAX(0,IF((AX$6-$E$3)&lt;1,0,IFERROR(LOOKUP(2,1/('Feijão 2ª safra'!$E54:INDEX('Feijão 2ª safra'!$E54:$Z54,MIN(AX$6-$E$3,22))&lt;&gt;""),'Feijão 2ª safra'!$E54:INDEX('Feijão 2ª safra'!$E54:$Z54,MIN(AX$6-$E$3,22))),0))-IF($G$2,0,IF((AX$6-$G$3)&lt;1,0,IFERROR(LOOKUP(2,1/('Feijão 2ª safra'!$E54:INDEX('Feijão 2ª safra'!$E54:$Z54,MIN(AX$6-$G$3,22))&lt;&gt;""),'Feijão 2ª safra'!$E54:INDEX('Feijão 2ª safra'!$E54:$Z54,MIN(AX$6-$G$3,22))),0)))))</f>
        <v>0</v>
      </c>
      <c r="AY56" s="27" t="n">
        <f aca="false">IF(COUNT('Feijão 2ª safra'!$E54:$Z54)=0,0,MAX(0,IF((AY$6-$E$3)&lt;1,0,IFERROR(LOOKUP(2,1/('Feijão 2ª safra'!$E54:INDEX('Feijão 2ª safra'!$E54:$Z54,MIN(AY$6-$E$3,22))&lt;&gt;""),'Feijão 2ª safra'!$E54:INDEX('Feijão 2ª safra'!$E54:$Z54,MIN(AY$6-$E$3,22))),0))-IF($G$2,0,IF((AY$6-$G$3)&lt;1,0,IFERROR(LOOKUP(2,1/('Feijão 2ª safra'!$E54:INDEX('Feijão 2ª safra'!$E54:$Z54,MIN(AY$6-$G$3,22))&lt;&gt;""),'Feijão 2ª safra'!$E54:INDEX('Feijão 2ª safra'!$E54:$Z54,MIN(AY$6-$G$3,22))),0)))))</f>
        <v>0</v>
      </c>
      <c r="AZ56" s="27" t="n">
        <f aca="false">IF(COUNT('Feijão 2ª safra'!$E54:$Z54)=0,0,MAX(0,IF((AZ$6-$E$3)&lt;1,0,IFERROR(LOOKUP(2,1/('Feijão 2ª safra'!$E54:INDEX('Feijão 2ª safra'!$E54:$Z54,MIN(AZ$6-$E$3,22))&lt;&gt;""),'Feijão 2ª safra'!$E54:INDEX('Feijão 2ª safra'!$E54:$Z54,MIN(AZ$6-$E$3,22))),0))-IF($G$2,0,IF((AZ$6-$G$3)&lt;1,0,IFERROR(LOOKUP(2,1/('Feijão 2ª safra'!$E54:INDEX('Feijão 2ª safra'!$E54:$Z54,MIN(AZ$6-$G$3,22))&lt;&gt;""),'Feijão 2ª safra'!$E54:INDEX('Feijão 2ª safra'!$E54:$Z54,MIN(AZ$6-$G$3,22))),0)))))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IF(COUNT('Feijão 2ª safra'!$E55:$Z55)&gt;0,N('Feijão 2ª safra'!$D55),0)</f>
        <v>0</v>
      </c>
      <c r="E57" s="27" t="n">
        <f aca="false">IF(COUNT('Feijão 2ª safra'!$E55:$Z55)=0,0,MAX(0,IF((E$6-$E$3)&lt;1,0,IFERROR(LOOKUP(2,1/('Feijão 2ª safra'!$E55:INDEX('Feijão 2ª safra'!$E55:$Z55,MIN(E$6-$E$3,22))&lt;&gt;""),'Feijão 2ª safra'!$E55:INDEX('Feijão 2ª safra'!$E55:$Z55,MIN(E$6-$E$3,22))),0))-IF($G$2,0,IF((E$6-$G$3)&lt;1,0,IFERROR(LOOKUP(2,1/('Feijão 2ª safra'!$E55:INDEX('Feijão 2ª safra'!$E55:$Z55,MIN(E$6-$G$3,22))&lt;&gt;""),'Feijão 2ª safra'!$E55:INDEX('Feijão 2ª safra'!$E55:$Z55,MIN(E$6-$G$3,22))),0)))))</f>
        <v>0</v>
      </c>
      <c r="F57" s="27" t="n">
        <f aca="false">IF(COUNT('Feijão 2ª safra'!$E55:$Z55)=0,0,MAX(0,IF((F$6-$E$3)&lt;1,0,IFERROR(LOOKUP(2,1/('Feijão 2ª safra'!$E55:INDEX('Feijão 2ª safra'!$E55:$Z55,MIN(F$6-$E$3,22))&lt;&gt;""),'Feijão 2ª safra'!$E55:INDEX('Feijão 2ª safra'!$E55:$Z55,MIN(F$6-$E$3,22))),0))-IF($G$2,0,IF((F$6-$G$3)&lt;1,0,IFERROR(LOOKUP(2,1/('Feijão 2ª safra'!$E55:INDEX('Feijão 2ª safra'!$E55:$Z55,MIN(F$6-$G$3,22))&lt;&gt;""),'Feijão 2ª safra'!$E55:INDEX('Feijão 2ª safra'!$E55:$Z55,MIN(F$6-$G$3,22))),0)))))</f>
        <v>0</v>
      </c>
      <c r="G57" s="27" t="n">
        <f aca="false">IF(COUNT('Feijão 2ª safra'!$E55:$Z55)=0,0,MAX(0,IF((G$6-$E$3)&lt;1,0,IFERROR(LOOKUP(2,1/('Feijão 2ª safra'!$E55:INDEX('Feijão 2ª safra'!$E55:$Z55,MIN(G$6-$E$3,22))&lt;&gt;""),'Feijão 2ª safra'!$E55:INDEX('Feijão 2ª safra'!$E55:$Z55,MIN(G$6-$E$3,22))),0))-IF($G$2,0,IF((G$6-$G$3)&lt;1,0,IFERROR(LOOKUP(2,1/('Feijão 2ª safra'!$E55:INDEX('Feijão 2ª safra'!$E55:$Z55,MIN(G$6-$G$3,22))&lt;&gt;""),'Feijão 2ª safra'!$E55:INDEX('Feijão 2ª safra'!$E55:$Z55,MIN(G$6-$G$3,22))),0)))))</f>
        <v>0</v>
      </c>
      <c r="H57" s="27" t="n">
        <f aca="false">IF(COUNT('Feijão 2ª safra'!$E55:$Z55)=0,0,MAX(0,IF((H$6-$E$3)&lt;1,0,IFERROR(LOOKUP(2,1/('Feijão 2ª safra'!$E55:INDEX('Feijão 2ª safra'!$E55:$Z55,MIN(H$6-$E$3,22))&lt;&gt;""),'Feijão 2ª safra'!$E55:INDEX('Feijão 2ª safra'!$E55:$Z55,MIN(H$6-$E$3,22))),0))-IF($G$2,0,IF((H$6-$G$3)&lt;1,0,IFERROR(LOOKUP(2,1/('Feijão 2ª safra'!$E55:INDEX('Feijão 2ª safra'!$E55:$Z55,MIN(H$6-$G$3,22))&lt;&gt;""),'Feijão 2ª safra'!$E55:INDEX('Feijão 2ª safra'!$E55:$Z55,MIN(H$6-$G$3,22))),0)))))</f>
        <v>0</v>
      </c>
      <c r="I57" s="27" t="n">
        <f aca="false">IF(COUNT('Feijão 2ª safra'!$E55:$Z55)=0,0,MAX(0,IF((I$6-$E$3)&lt;1,0,IFERROR(LOOKUP(2,1/('Feijão 2ª safra'!$E55:INDEX('Feijão 2ª safra'!$E55:$Z55,MIN(I$6-$E$3,22))&lt;&gt;""),'Feijão 2ª safra'!$E55:INDEX('Feijão 2ª safra'!$E55:$Z55,MIN(I$6-$E$3,22))),0))-IF($G$2,0,IF((I$6-$G$3)&lt;1,0,IFERROR(LOOKUP(2,1/('Feijão 2ª safra'!$E55:INDEX('Feijão 2ª safra'!$E55:$Z55,MIN(I$6-$G$3,22))&lt;&gt;""),'Feijão 2ª safra'!$E55:INDEX('Feijão 2ª safra'!$E55:$Z55,MIN(I$6-$G$3,22))),0)))))</f>
        <v>0</v>
      </c>
      <c r="J57" s="27" t="n">
        <f aca="false">IF(COUNT('Feijão 2ª safra'!$E55:$Z55)=0,0,MAX(0,IF((J$6-$E$3)&lt;1,0,IFERROR(LOOKUP(2,1/('Feijão 2ª safra'!$E55:INDEX('Feijão 2ª safra'!$E55:$Z55,MIN(J$6-$E$3,22))&lt;&gt;""),'Feijão 2ª safra'!$E55:INDEX('Feijão 2ª safra'!$E55:$Z55,MIN(J$6-$E$3,22))),0))-IF($G$2,0,IF((J$6-$G$3)&lt;1,0,IFERROR(LOOKUP(2,1/('Feijão 2ª safra'!$E55:INDEX('Feijão 2ª safra'!$E55:$Z55,MIN(J$6-$G$3,22))&lt;&gt;""),'Feijão 2ª safra'!$E55:INDEX('Feijão 2ª safra'!$E55:$Z55,MIN(J$6-$G$3,22))),0)))))</f>
        <v>0</v>
      </c>
      <c r="K57" s="27" t="n">
        <f aca="false">IF(COUNT('Feijão 2ª safra'!$E55:$Z55)=0,0,MAX(0,IF((K$6-$E$3)&lt;1,0,IFERROR(LOOKUP(2,1/('Feijão 2ª safra'!$E55:INDEX('Feijão 2ª safra'!$E55:$Z55,MIN(K$6-$E$3,22))&lt;&gt;""),'Feijão 2ª safra'!$E55:INDEX('Feijão 2ª safra'!$E55:$Z55,MIN(K$6-$E$3,22))),0))-IF($G$2,0,IF((K$6-$G$3)&lt;1,0,IFERROR(LOOKUP(2,1/('Feijão 2ª safra'!$E55:INDEX('Feijão 2ª safra'!$E55:$Z55,MIN(K$6-$G$3,22))&lt;&gt;""),'Feijão 2ª safra'!$E55:INDEX('Feijão 2ª safra'!$E55:$Z55,MIN(K$6-$G$3,22))),0)))))</f>
        <v>0</v>
      </c>
      <c r="L57" s="27" t="n">
        <f aca="false">IF(COUNT('Feijão 2ª safra'!$E55:$Z55)=0,0,MAX(0,IF((L$6-$E$3)&lt;1,0,IFERROR(LOOKUP(2,1/('Feijão 2ª safra'!$E55:INDEX('Feijão 2ª safra'!$E55:$Z55,MIN(L$6-$E$3,22))&lt;&gt;""),'Feijão 2ª safra'!$E55:INDEX('Feijão 2ª safra'!$E55:$Z55,MIN(L$6-$E$3,22))),0))-IF($G$2,0,IF((L$6-$G$3)&lt;1,0,IFERROR(LOOKUP(2,1/('Feijão 2ª safra'!$E55:INDEX('Feijão 2ª safra'!$E55:$Z55,MIN(L$6-$G$3,22))&lt;&gt;""),'Feijão 2ª safra'!$E55:INDEX('Feijão 2ª safra'!$E55:$Z55,MIN(L$6-$G$3,22))),0)))))</f>
        <v>0</v>
      </c>
      <c r="M57" s="27" t="n">
        <f aca="false">IF(COUNT('Feijão 2ª safra'!$E55:$Z55)=0,0,MAX(0,IF((M$6-$E$3)&lt;1,0,IFERROR(LOOKUP(2,1/('Feijão 2ª safra'!$E55:INDEX('Feijão 2ª safra'!$E55:$Z55,MIN(M$6-$E$3,22))&lt;&gt;""),'Feijão 2ª safra'!$E55:INDEX('Feijão 2ª safra'!$E55:$Z55,MIN(M$6-$E$3,22))),0))-IF($G$2,0,IF((M$6-$G$3)&lt;1,0,IFERROR(LOOKUP(2,1/('Feijão 2ª safra'!$E55:INDEX('Feijão 2ª safra'!$E55:$Z55,MIN(M$6-$G$3,22))&lt;&gt;""),'Feijão 2ª safra'!$E55:INDEX('Feijão 2ª safra'!$E55:$Z55,MIN(M$6-$G$3,22))),0)))))</f>
        <v>0</v>
      </c>
      <c r="N57" s="27" t="n">
        <f aca="false">IF(COUNT('Feijão 2ª safra'!$E55:$Z55)=0,0,MAX(0,IF((N$6-$E$3)&lt;1,0,IFERROR(LOOKUP(2,1/('Feijão 2ª safra'!$E55:INDEX('Feijão 2ª safra'!$E55:$Z55,MIN(N$6-$E$3,22))&lt;&gt;""),'Feijão 2ª safra'!$E55:INDEX('Feijão 2ª safra'!$E55:$Z55,MIN(N$6-$E$3,22))),0))-IF($G$2,0,IF((N$6-$G$3)&lt;1,0,IFERROR(LOOKUP(2,1/('Feijão 2ª safra'!$E55:INDEX('Feijão 2ª safra'!$E55:$Z55,MIN(N$6-$G$3,22))&lt;&gt;""),'Feijão 2ª safra'!$E55:INDEX('Feijão 2ª safra'!$E55:$Z55,MIN(N$6-$G$3,22))),0)))))</f>
        <v>0</v>
      </c>
      <c r="O57" s="27" t="n">
        <f aca="false">IF(COUNT('Feijão 2ª safra'!$E55:$Z55)=0,0,MAX(0,IF((O$6-$E$3)&lt;1,0,IFERROR(LOOKUP(2,1/('Feijão 2ª safra'!$E55:INDEX('Feijão 2ª safra'!$E55:$Z55,MIN(O$6-$E$3,22))&lt;&gt;""),'Feijão 2ª safra'!$E55:INDEX('Feijão 2ª safra'!$E55:$Z55,MIN(O$6-$E$3,22))),0))-IF($G$2,0,IF((O$6-$G$3)&lt;1,0,IFERROR(LOOKUP(2,1/('Feijão 2ª safra'!$E55:INDEX('Feijão 2ª safra'!$E55:$Z55,MIN(O$6-$G$3,22))&lt;&gt;""),'Feijão 2ª safra'!$E55:INDEX('Feijão 2ª safra'!$E55:$Z55,MIN(O$6-$G$3,22))),0)))))</f>
        <v>0</v>
      </c>
      <c r="P57" s="27" t="n">
        <f aca="false">IF(COUNT('Feijão 2ª safra'!$E55:$Z55)=0,0,MAX(0,IF((P$6-$E$3)&lt;1,0,IFERROR(LOOKUP(2,1/('Feijão 2ª safra'!$E55:INDEX('Feijão 2ª safra'!$E55:$Z55,MIN(P$6-$E$3,22))&lt;&gt;""),'Feijão 2ª safra'!$E55:INDEX('Feijão 2ª safra'!$E55:$Z55,MIN(P$6-$E$3,22))),0))-IF($G$2,0,IF((P$6-$G$3)&lt;1,0,IFERROR(LOOKUP(2,1/('Feijão 2ª safra'!$E55:INDEX('Feijão 2ª safra'!$E55:$Z55,MIN(P$6-$G$3,22))&lt;&gt;""),'Feijão 2ª safra'!$E55:INDEX('Feijão 2ª safra'!$E55:$Z55,MIN(P$6-$G$3,22))),0)))))</f>
        <v>0</v>
      </c>
      <c r="Q57" s="27" t="n">
        <f aca="false">IF(COUNT('Feijão 2ª safra'!$E55:$Z55)=0,0,MAX(0,IF((Q$6-$E$3)&lt;1,0,IFERROR(LOOKUP(2,1/('Feijão 2ª safra'!$E55:INDEX('Feijão 2ª safra'!$E55:$Z55,MIN(Q$6-$E$3,22))&lt;&gt;""),'Feijão 2ª safra'!$E55:INDEX('Feijão 2ª safra'!$E55:$Z55,MIN(Q$6-$E$3,22))),0))-IF($G$2,0,IF((Q$6-$G$3)&lt;1,0,IFERROR(LOOKUP(2,1/('Feijão 2ª safra'!$E55:INDEX('Feijão 2ª safra'!$E55:$Z55,MIN(Q$6-$G$3,22))&lt;&gt;""),'Feijão 2ª safra'!$E55:INDEX('Feijão 2ª safra'!$E55:$Z55,MIN(Q$6-$G$3,22))),0)))))</f>
        <v>0</v>
      </c>
      <c r="R57" s="27" t="n">
        <f aca="false">IF(COUNT('Feijão 2ª safra'!$E55:$Z55)=0,0,MAX(0,IF((R$6-$E$3)&lt;1,0,IFERROR(LOOKUP(2,1/('Feijão 2ª safra'!$E55:INDEX('Feijão 2ª safra'!$E55:$Z55,MIN(R$6-$E$3,22))&lt;&gt;""),'Feijão 2ª safra'!$E55:INDEX('Feijão 2ª safra'!$E55:$Z55,MIN(R$6-$E$3,22))),0))-IF($G$2,0,IF((R$6-$G$3)&lt;1,0,IFERROR(LOOKUP(2,1/('Feijão 2ª safra'!$E55:INDEX('Feijão 2ª safra'!$E55:$Z55,MIN(R$6-$G$3,22))&lt;&gt;""),'Feijão 2ª safra'!$E55:INDEX('Feijão 2ª safra'!$E55:$Z55,MIN(R$6-$G$3,22))),0)))))</f>
        <v>0</v>
      </c>
      <c r="S57" s="27" t="n">
        <f aca="false">IF(COUNT('Feijão 2ª safra'!$E55:$Z55)=0,0,MAX(0,IF((S$6-$E$3)&lt;1,0,IFERROR(LOOKUP(2,1/('Feijão 2ª safra'!$E55:INDEX('Feijão 2ª safra'!$E55:$Z55,MIN(S$6-$E$3,22))&lt;&gt;""),'Feijão 2ª safra'!$E55:INDEX('Feijão 2ª safra'!$E55:$Z55,MIN(S$6-$E$3,22))),0))-IF($G$2,0,IF((S$6-$G$3)&lt;1,0,IFERROR(LOOKUP(2,1/('Feijão 2ª safra'!$E55:INDEX('Feijão 2ª safra'!$E55:$Z55,MIN(S$6-$G$3,22))&lt;&gt;""),'Feijão 2ª safra'!$E55:INDEX('Feijão 2ª safra'!$E55:$Z55,MIN(S$6-$G$3,22))),0)))))</f>
        <v>0</v>
      </c>
      <c r="T57" s="27" t="n">
        <f aca="false">IF(COUNT('Feijão 2ª safra'!$E55:$Z55)=0,0,MAX(0,IF((T$6-$E$3)&lt;1,0,IFERROR(LOOKUP(2,1/('Feijão 2ª safra'!$E55:INDEX('Feijão 2ª safra'!$E55:$Z55,MIN(T$6-$E$3,22))&lt;&gt;""),'Feijão 2ª safra'!$E55:INDEX('Feijão 2ª safra'!$E55:$Z55,MIN(T$6-$E$3,22))),0))-IF($G$2,0,IF((T$6-$G$3)&lt;1,0,IFERROR(LOOKUP(2,1/('Feijão 2ª safra'!$E55:INDEX('Feijão 2ª safra'!$E55:$Z55,MIN(T$6-$G$3,22))&lt;&gt;""),'Feijão 2ª safra'!$E55:INDEX('Feijão 2ª safra'!$E55:$Z55,MIN(T$6-$G$3,22))),0)))))</f>
        <v>0</v>
      </c>
      <c r="U57" s="27" t="n">
        <f aca="false">IF(COUNT('Feijão 2ª safra'!$E55:$Z55)=0,0,MAX(0,IF((U$6-$E$3)&lt;1,0,IFERROR(LOOKUP(2,1/('Feijão 2ª safra'!$E55:INDEX('Feijão 2ª safra'!$E55:$Z55,MIN(U$6-$E$3,22))&lt;&gt;""),'Feijão 2ª safra'!$E55:INDEX('Feijão 2ª safra'!$E55:$Z55,MIN(U$6-$E$3,22))),0))-IF($G$2,0,IF((U$6-$G$3)&lt;1,0,IFERROR(LOOKUP(2,1/('Feijão 2ª safra'!$E55:INDEX('Feijão 2ª safra'!$E55:$Z55,MIN(U$6-$G$3,22))&lt;&gt;""),'Feijão 2ª safra'!$E55:INDEX('Feijão 2ª safra'!$E55:$Z55,MIN(U$6-$G$3,22))),0)))))</f>
        <v>0</v>
      </c>
      <c r="V57" s="27" t="n">
        <f aca="false">IF(COUNT('Feijão 2ª safra'!$E55:$Z55)=0,0,MAX(0,IF((V$6-$E$3)&lt;1,0,IFERROR(LOOKUP(2,1/('Feijão 2ª safra'!$E55:INDEX('Feijão 2ª safra'!$E55:$Z55,MIN(V$6-$E$3,22))&lt;&gt;""),'Feijão 2ª safra'!$E55:INDEX('Feijão 2ª safra'!$E55:$Z55,MIN(V$6-$E$3,22))),0))-IF($G$2,0,IF((V$6-$G$3)&lt;1,0,IFERROR(LOOKUP(2,1/('Feijão 2ª safra'!$E55:INDEX('Feijão 2ª safra'!$E55:$Z55,MIN(V$6-$G$3,22))&lt;&gt;""),'Feijão 2ª safra'!$E55:INDEX('Feijão 2ª safra'!$E55:$Z55,MIN(V$6-$G$3,22))),0)))))</f>
        <v>0</v>
      </c>
      <c r="W57" s="27" t="n">
        <f aca="false">IF(COUNT('Feijão 2ª safra'!$E55:$Z55)=0,0,MAX(0,IF((W$6-$E$3)&lt;1,0,IFERROR(LOOKUP(2,1/('Feijão 2ª safra'!$E55:INDEX('Feijão 2ª safra'!$E55:$Z55,MIN(W$6-$E$3,22))&lt;&gt;""),'Feijão 2ª safra'!$E55:INDEX('Feijão 2ª safra'!$E55:$Z55,MIN(W$6-$E$3,22))),0))-IF($G$2,0,IF((W$6-$G$3)&lt;1,0,IFERROR(LOOKUP(2,1/('Feijão 2ª safra'!$E55:INDEX('Feijão 2ª safra'!$E55:$Z55,MIN(W$6-$G$3,22))&lt;&gt;""),'Feijão 2ª safra'!$E55:INDEX('Feijão 2ª safra'!$E55:$Z55,MIN(W$6-$G$3,22))),0)))))</f>
        <v>0</v>
      </c>
      <c r="X57" s="27" t="n">
        <f aca="false">IF(COUNT('Feijão 2ª safra'!$E55:$Z55)=0,0,MAX(0,IF((X$6-$E$3)&lt;1,0,IFERROR(LOOKUP(2,1/('Feijão 2ª safra'!$E55:INDEX('Feijão 2ª safra'!$E55:$Z55,MIN(X$6-$E$3,22))&lt;&gt;""),'Feijão 2ª safra'!$E55:INDEX('Feijão 2ª safra'!$E55:$Z55,MIN(X$6-$E$3,22))),0))-IF($G$2,0,IF((X$6-$G$3)&lt;1,0,IFERROR(LOOKUP(2,1/('Feijão 2ª safra'!$E55:INDEX('Feijão 2ª safra'!$E55:$Z55,MIN(X$6-$G$3,22))&lt;&gt;""),'Feijão 2ª safra'!$E55:INDEX('Feijão 2ª safra'!$E55:$Z55,MIN(X$6-$G$3,22))),0)))))</f>
        <v>0</v>
      </c>
      <c r="Y57" s="27" t="n">
        <f aca="false">IF(COUNT('Feijão 2ª safra'!$E55:$Z55)=0,0,MAX(0,IF((Y$6-$E$3)&lt;1,0,IFERROR(LOOKUP(2,1/('Feijão 2ª safra'!$E55:INDEX('Feijão 2ª safra'!$E55:$Z55,MIN(Y$6-$E$3,22))&lt;&gt;""),'Feijão 2ª safra'!$E55:INDEX('Feijão 2ª safra'!$E55:$Z55,MIN(Y$6-$E$3,22))),0))-IF($G$2,0,IF((Y$6-$G$3)&lt;1,0,IFERROR(LOOKUP(2,1/('Feijão 2ª safra'!$E55:INDEX('Feijão 2ª safra'!$E55:$Z55,MIN(Y$6-$G$3,22))&lt;&gt;""),'Feijão 2ª safra'!$E55:INDEX('Feijão 2ª safra'!$E55:$Z55,MIN(Y$6-$G$3,22))),0)))))</f>
        <v>0</v>
      </c>
      <c r="Z57" s="27" t="n">
        <f aca="false">IF(COUNT('Feijão 2ª safra'!$E55:$Z55)=0,0,MAX(0,IF((Z$6-$E$3)&lt;1,0,IFERROR(LOOKUP(2,1/('Feijão 2ª safra'!$E55:INDEX('Feijão 2ª safra'!$E55:$Z55,MIN(Z$6-$E$3,22))&lt;&gt;""),'Feijão 2ª safra'!$E55:INDEX('Feijão 2ª safra'!$E55:$Z55,MIN(Z$6-$E$3,22))),0))-IF($G$2,0,IF((Z$6-$G$3)&lt;1,0,IFERROR(LOOKUP(2,1/('Feijão 2ª safra'!$E55:INDEX('Feijão 2ª safra'!$E55:$Z55,MIN(Z$6-$G$3,22))&lt;&gt;""),'Feijão 2ª safra'!$E55:INDEX('Feijão 2ª safra'!$E55:$Z55,MIN(Z$6-$G$3,22))),0)))))</f>
        <v>0</v>
      </c>
      <c r="AA57" s="27" t="n">
        <f aca="false">IF(COUNT('Feijão 2ª safra'!$E55:$Z55)=0,0,MAX(0,IF((AA$6-$E$3)&lt;1,0,IFERROR(LOOKUP(2,1/('Feijão 2ª safra'!$E55:INDEX('Feijão 2ª safra'!$E55:$Z55,MIN(AA$6-$E$3,22))&lt;&gt;""),'Feijão 2ª safra'!$E55:INDEX('Feijão 2ª safra'!$E55:$Z55,MIN(AA$6-$E$3,22))),0))-IF($G$2,0,IF((AA$6-$G$3)&lt;1,0,IFERROR(LOOKUP(2,1/('Feijão 2ª safra'!$E55:INDEX('Feijão 2ª safra'!$E55:$Z55,MIN(AA$6-$G$3,22))&lt;&gt;""),'Feijão 2ª safra'!$E55:INDEX('Feijão 2ª safra'!$E55:$Z55,MIN(AA$6-$G$3,22))),0)))))</f>
        <v>0</v>
      </c>
      <c r="AB57" s="27" t="n">
        <f aca="false">IF(COUNT('Feijão 2ª safra'!$E55:$Z55)=0,0,MAX(0,IF((AB$6-$E$3)&lt;1,0,IFERROR(LOOKUP(2,1/('Feijão 2ª safra'!$E55:INDEX('Feijão 2ª safra'!$E55:$Z55,MIN(AB$6-$E$3,22))&lt;&gt;""),'Feijão 2ª safra'!$E55:INDEX('Feijão 2ª safra'!$E55:$Z55,MIN(AB$6-$E$3,22))),0))-IF($G$2,0,IF((AB$6-$G$3)&lt;1,0,IFERROR(LOOKUP(2,1/('Feijão 2ª safra'!$E55:INDEX('Feijão 2ª safra'!$E55:$Z55,MIN(AB$6-$G$3,22))&lt;&gt;""),'Feijão 2ª safra'!$E55:INDEX('Feijão 2ª safra'!$E55:$Z55,MIN(AB$6-$G$3,22))),0)))))</f>
        <v>0</v>
      </c>
      <c r="AC57" s="27" t="n">
        <f aca="false">IF(COUNT('Feijão 2ª safra'!$E55:$Z55)=0,0,MAX(0,IF((AC$6-$E$3)&lt;1,0,IFERROR(LOOKUP(2,1/('Feijão 2ª safra'!$E55:INDEX('Feijão 2ª safra'!$E55:$Z55,MIN(AC$6-$E$3,22))&lt;&gt;""),'Feijão 2ª safra'!$E55:INDEX('Feijão 2ª safra'!$E55:$Z55,MIN(AC$6-$E$3,22))),0))-IF($G$2,0,IF((AC$6-$G$3)&lt;1,0,IFERROR(LOOKUP(2,1/('Feijão 2ª safra'!$E55:INDEX('Feijão 2ª safra'!$E55:$Z55,MIN(AC$6-$G$3,22))&lt;&gt;""),'Feijão 2ª safra'!$E55:INDEX('Feijão 2ª safra'!$E55:$Z55,MIN(AC$6-$G$3,22))),0)))))</f>
        <v>0</v>
      </c>
      <c r="AD57" s="27" t="n">
        <f aca="false">IF(COUNT('Feijão 2ª safra'!$E55:$Z55)=0,0,MAX(0,IF((AD$6-$E$3)&lt;1,0,IFERROR(LOOKUP(2,1/('Feijão 2ª safra'!$E55:INDEX('Feijão 2ª safra'!$E55:$Z55,MIN(AD$6-$E$3,22))&lt;&gt;""),'Feijão 2ª safra'!$E55:INDEX('Feijão 2ª safra'!$E55:$Z55,MIN(AD$6-$E$3,22))),0))-IF($G$2,0,IF((AD$6-$G$3)&lt;1,0,IFERROR(LOOKUP(2,1/('Feijão 2ª safra'!$E55:INDEX('Feijão 2ª safra'!$E55:$Z55,MIN(AD$6-$G$3,22))&lt;&gt;""),'Feijão 2ª safra'!$E55:INDEX('Feijão 2ª safra'!$E55:$Z55,MIN(AD$6-$G$3,22))),0)))))</f>
        <v>0</v>
      </c>
      <c r="AE57" s="27" t="n">
        <f aca="false">IF(COUNT('Feijão 2ª safra'!$E55:$Z55)=0,0,MAX(0,IF((AE$6-$E$3)&lt;1,0,IFERROR(LOOKUP(2,1/('Feijão 2ª safra'!$E55:INDEX('Feijão 2ª safra'!$E55:$Z55,MIN(AE$6-$E$3,22))&lt;&gt;""),'Feijão 2ª safra'!$E55:INDEX('Feijão 2ª safra'!$E55:$Z55,MIN(AE$6-$E$3,22))),0))-IF($G$2,0,IF((AE$6-$G$3)&lt;1,0,IFERROR(LOOKUP(2,1/('Feijão 2ª safra'!$E55:INDEX('Feijão 2ª safra'!$E55:$Z55,MIN(AE$6-$G$3,22))&lt;&gt;""),'Feijão 2ª safra'!$E55:INDEX('Feijão 2ª safra'!$E55:$Z55,MIN(AE$6-$G$3,22))),0)))))</f>
        <v>0</v>
      </c>
      <c r="AF57" s="27" t="n">
        <f aca="false">IF(COUNT('Feijão 2ª safra'!$E55:$Z55)=0,0,MAX(0,IF((AF$6-$E$3)&lt;1,0,IFERROR(LOOKUP(2,1/('Feijão 2ª safra'!$E55:INDEX('Feijão 2ª safra'!$E55:$Z55,MIN(AF$6-$E$3,22))&lt;&gt;""),'Feijão 2ª safra'!$E55:INDEX('Feijão 2ª safra'!$E55:$Z55,MIN(AF$6-$E$3,22))),0))-IF($G$2,0,IF((AF$6-$G$3)&lt;1,0,IFERROR(LOOKUP(2,1/('Feijão 2ª safra'!$E55:INDEX('Feijão 2ª safra'!$E55:$Z55,MIN(AF$6-$G$3,22))&lt;&gt;""),'Feijão 2ª safra'!$E55:INDEX('Feijão 2ª safra'!$E55:$Z55,MIN(AF$6-$G$3,22))),0)))))</f>
        <v>0</v>
      </c>
      <c r="AG57" s="27" t="n">
        <f aca="false">IF(COUNT('Feijão 2ª safra'!$E55:$Z55)=0,0,MAX(0,IF((AG$6-$E$3)&lt;1,0,IFERROR(LOOKUP(2,1/('Feijão 2ª safra'!$E55:INDEX('Feijão 2ª safra'!$E55:$Z55,MIN(AG$6-$E$3,22))&lt;&gt;""),'Feijão 2ª safra'!$E55:INDEX('Feijão 2ª safra'!$E55:$Z55,MIN(AG$6-$E$3,22))),0))-IF($G$2,0,IF((AG$6-$G$3)&lt;1,0,IFERROR(LOOKUP(2,1/('Feijão 2ª safra'!$E55:INDEX('Feijão 2ª safra'!$E55:$Z55,MIN(AG$6-$G$3,22))&lt;&gt;""),'Feijão 2ª safra'!$E55:INDEX('Feijão 2ª safra'!$E55:$Z55,MIN(AG$6-$G$3,22))),0)))))</f>
        <v>0</v>
      </c>
      <c r="AH57" s="27" t="n">
        <f aca="false">IF(COUNT('Feijão 2ª safra'!$E55:$Z55)=0,0,MAX(0,IF((AH$6-$E$3)&lt;1,0,IFERROR(LOOKUP(2,1/('Feijão 2ª safra'!$E55:INDEX('Feijão 2ª safra'!$E55:$Z55,MIN(AH$6-$E$3,22))&lt;&gt;""),'Feijão 2ª safra'!$E55:INDEX('Feijão 2ª safra'!$E55:$Z55,MIN(AH$6-$E$3,22))),0))-IF($G$2,0,IF((AH$6-$G$3)&lt;1,0,IFERROR(LOOKUP(2,1/('Feijão 2ª safra'!$E55:INDEX('Feijão 2ª safra'!$E55:$Z55,MIN(AH$6-$G$3,22))&lt;&gt;""),'Feijão 2ª safra'!$E55:INDEX('Feijão 2ª safra'!$E55:$Z55,MIN(AH$6-$G$3,22))),0)))))</f>
        <v>0</v>
      </c>
      <c r="AI57" s="27" t="n">
        <f aca="false">IF(COUNT('Feijão 2ª safra'!$E55:$Z55)=0,0,MAX(0,IF((AI$6-$E$3)&lt;1,0,IFERROR(LOOKUP(2,1/('Feijão 2ª safra'!$E55:INDEX('Feijão 2ª safra'!$E55:$Z55,MIN(AI$6-$E$3,22))&lt;&gt;""),'Feijão 2ª safra'!$E55:INDEX('Feijão 2ª safra'!$E55:$Z55,MIN(AI$6-$E$3,22))),0))-IF($G$2,0,IF((AI$6-$G$3)&lt;1,0,IFERROR(LOOKUP(2,1/('Feijão 2ª safra'!$E55:INDEX('Feijão 2ª safra'!$E55:$Z55,MIN(AI$6-$G$3,22))&lt;&gt;""),'Feijão 2ª safra'!$E55:INDEX('Feijão 2ª safra'!$E55:$Z55,MIN(AI$6-$G$3,22))),0)))))</f>
        <v>0</v>
      </c>
      <c r="AJ57" s="27" t="n">
        <f aca="false">IF(COUNT('Feijão 2ª safra'!$E55:$Z55)=0,0,MAX(0,IF((AJ$6-$E$3)&lt;1,0,IFERROR(LOOKUP(2,1/('Feijão 2ª safra'!$E55:INDEX('Feijão 2ª safra'!$E55:$Z55,MIN(AJ$6-$E$3,22))&lt;&gt;""),'Feijão 2ª safra'!$E55:INDEX('Feijão 2ª safra'!$E55:$Z55,MIN(AJ$6-$E$3,22))),0))-IF($G$2,0,IF((AJ$6-$G$3)&lt;1,0,IFERROR(LOOKUP(2,1/('Feijão 2ª safra'!$E55:INDEX('Feijão 2ª safra'!$E55:$Z55,MIN(AJ$6-$G$3,22))&lt;&gt;""),'Feijão 2ª safra'!$E55:INDEX('Feijão 2ª safra'!$E55:$Z55,MIN(AJ$6-$G$3,22))),0)))))</f>
        <v>0</v>
      </c>
      <c r="AK57" s="27" t="n">
        <f aca="false">IF(COUNT('Feijão 2ª safra'!$E55:$Z55)=0,0,MAX(0,IF((AK$6-$E$3)&lt;1,0,IFERROR(LOOKUP(2,1/('Feijão 2ª safra'!$E55:INDEX('Feijão 2ª safra'!$E55:$Z55,MIN(AK$6-$E$3,22))&lt;&gt;""),'Feijão 2ª safra'!$E55:INDEX('Feijão 2ª safra'!$E55:$Z55,MIN(AK$6-$E$3,22))),0))-IF($G$2,0,IF((AK$6-$G$3)&lt;1,0,IFERROR(LOOKUP(2,1/('Feijão 2ª safra'!$E55:INDEX('Feijão 2ª safra'!$E55:$Z55,MIN(AK$6-$G$3,22))&lt;&gt;""),'Feijão 2ª safra'!$E55:INDEX('Feijão 2ª safra'!$E55:$Z55,MIN(AK$6-$G$3,22))),0)))))</f>
        <v>0</v>
      </c>
      <c r="AL57" s="27" t="n">
        <f aca="false">IF(COUNT('Feijão 2ª safra'!$E55:$Z55)=0,0,MAX(0,IF((AL$6-$E$3)&lt;1,0,IFERROR(LOOKUP(2,1/('Feijão 2ª safra'!$E55:INDEX('Feijão 2ª safra'!$E55:$Z55,MIN(AL$6-$E$3,22))&lt;&gt;""),'Feijão 2ª safra'!$E55:INDEX('Feijão 2ª safra'!$E55:$Z55,MIN(AL$6-$E$3,22))),0))-IF($G$2,0,IF((AL$6-$G$3)&lt;1,0,IFERROR(LOOKUP(2,1/('Feijão 2ª safra'!$E55:INDEX('Feijão 2ª safra'!$E55:$Z55,MIN(AL$6-$G$3,22))&lt;&gt;""),'Feijão 2ª safra'!$E55:INDEX('Feijão 2ª safra'!$E55:$Z55,MIN(AL$6-$G$3,22))),0)))))</f>
        <v>0</v>
      </c>
      <c r="AM57" s="27" t="n">
        <f aca="false">IF(COUNT('Feijão 2ª safra'!$E55:$Z55)=0,0,MAX(0,IF((AM$6-$E$3)&lt;1,0,IFERROR(LOOKUP(2,1/('Feijão 2ª safra'!$E55:INDEX('Feijão 2ª safra'!$E55:$Z55,MIN(AM$6-$E$3,22))&lt;&gt;""),'Feijão 2ª safra'!$E55:INDEX('Feijão 2ª safra'!$E55:$Z55,MIN(AM$6-$E$3,22))),0))-IF($G$2,0,IF((AM$6-$G$3)&lt;1,0,IFERROR(LOOKUP(2,1/('Feijão 2ª safra'!$E55:INDEX('Feijão 2ª safra'!$E55:$Z55,MIN(AM$6-$G$3,22))&lt;&gt;""),'Feijão 2ª safra'!$E55:INDEX('Feijão 2ª safra'!$E55:$Z55,MIN(AM$6-$G$3,22))),0)))))</f>
        <v>0</v>
      </c>
      <c r="AN57" s="27" t="n">
        <f aca="false">IF(COUNT('Feijão 2ª safra'!$E55:$Z55)=0,0,MAX(0,IF((AN$6-$E$3)&lt;1,0,IFERROR(LOOKUP(2,1/('Feijão 2ª safra'!$E55:INDEX('Feijão 2ª safra'!$E55:$Z55,MIN(AN$6-$E$3,22))&lt;&gt;""),'Feijão 2ª safra'!$E55:INDEX('Feijão 2ª safra'!$E55:$Z55,MIN(AN$6-$E$3,22))),0))-IF($G$2,0,IF((AN$6-$G$3)&lt;1,0,IFERROR(LOOKUP(2,1/('Feijão 2ª safra'!$E55:INDEX('Feijão 2ª safra'!$E55:$Z55,MIN(AN$6-$G$3,22))&lt;&gt;""),'Feijão 2ª safra'!$E55:INDEX('Feijão 2ª safra'!$E55:$Z55,MIN(AN$6-$G$3,22))),0)))))</f>
        <v>0</v>
      </c>
      <c r="AO57" s="27" t="n">
        <f aca="false">IF(COUNT('Feijão 2ª safra'!$E55:$Z55)=0,0,MAX(0,IF((AO$6-$E$3)&lt;1,0,IFERROR(LOOKUP(2,1/('Feijão 2ª safra'!$E55:INDEX('Feijão 2ª safra'!$E55:$Z55,MIN(AO$6-$E$3,22))&lt;&gt;""),'Feijão 2ª safra'!$E55:INDEX('Feijão 2ª safra'!$E55:$Z55,MIN(AO$6-$E$3,22))),0))-IF($G$2,0,IF((AO$6-$G$3)&lt;1,0,IFERROR(LOOKUP(2,1/('Feijão 2ª safra'!$E55:INDEX('Feijão 2ª safra'!$E55:$Z55,MIN(AO$6-$G$3,22))&lt;&gt;""),'Feijão 2ª safra'!$E55:INDEX('Feijão 2ª safra'!$E55:$Z55,MIN(AO$6-$G$3,22))),0)))))</f>
        <v>0</v>
      </c>
      <c r="AP57" s="27" t="n">
        <f aca="false">IF(COUNT('Feijão 2ª safra'!$E55:$Z55)=0,0,MAX(0,IF((AP$6-$E$3)&lt;1,0,IFERROR(LOOKUP(2,1/('Feijão 2ª safra'!$E55:INDEX('Feijão 2ª safra'!$E55:$Z55,MIN(AP$6-$E$3,22))&lt;&gt;""),'Feijão 2ª safra'!$E55:INDEX('Feijão 2ª safra'!$E55:$Z55,MIN(AP$6-$E$3,22))),0))-IF($G$2,0,IF((AP$6-$G$3)&lt;1,0,IFERROR(LOOKUP(2,1/('Feijão 2ª safra'!$E55:INDEX('Feijão 2ª safra'!$E55:$Z55,MIN(AP$6-$G$3,22))&lt;&gt;""),'Feijão 2ª safra'!$E55:INDEX('Feijão 2ª safra'!$E55:$Z55,MIN(AP$6-$G$3,22))),0)))))</f>
        <v>0</v>
      </c>
      <c r="AQ57" s="27" t="n">
        <f aca="false">IF(COUNT('Feijão 2ª safra'!$E55:$Z55)=0,0,MAX(0,IF((AQ$6-$E$3)&lt;1,0,IFERROR(LOOKUP(2,1/('Feijão 2ª safra'!$E55:INDEX('Feijão 2ª safra'!$E55:$Z55,MIN(AQ$6-$E$3,22))&lt;&gt;""),'Feijão 2ª safra'!$E55:INDEX('Feijão 2ª safra'!$E55:$Z55,MIN(AQ$6-$E$3,22))),0))-IF($G$2,0,IF((AQ$6-$G$3)&lt;1,0,IFERROR(LOOKUP(2,1/('Feijão 2ª safra'!$E55:INDEX('Feijão 2ª safra'!$E55:$Z55,MIN(AQ$6-$G$3,22))&lt;&gt;""),'Feijão 2ª safra'!$E55:INDEX('Feijão 2ª safra'!$E55:$Z55,MIN(AQ$6-$G$3,22))),0)))))</f>
        <v>0</v>
      </c>
      <c r="AR57" s="27" t="n">
        <f aca="false">IF(COUNT('Feijão 2ª safra'!$E55:$Z55)=0,0,MAX(0,IF((AR$6-$E$3)&lt;1,0,IFERROR(LOOKUP(2,1/('Feijão 2ª safra'!$E55:INDEX('Feijão 2ª safra'!$E55:$Z55,MIN(AR$6-$E$3,22))&lt;&gt;""),'Feijão 2ª safra'!$E55:INDEX('Feijão 2ª safra'!$E55:$Z55,MIN(AR$6-$E$3,22))),0))-IF($G$2,0,IF((AR$6-$G$3)&lt;1,0,IFERROR(LOOKUP(2,1/('Feijão 2ª safra'!$E55:INDEX('Feijão 2ª safra'!$E55:$Z55,MIN(AR$6-$G$3,22))&lt;&gt;""),'Feijão 2ª safra'!$E55:INDEX('Feijão 2ª safra'!$E55:$Z55,MIN(AR$6-$G$3,22))),0)))))</f>
        <v>0</v>
      </c>
      <c r="AS57" s="27" t="n">
        <f aca="false">IF(COUNT('Feijão 2ª safra'!$E55:$Z55)=0,0,MAX(0,IF((AS$6-$E$3)&lt;1,0,IFERROR(LOOKUP(2,1/('Feijão 2ª safra'!$E55:INDEX('Feijão 2ª safra'!$E55:$Z55,MIN(AS$6-$E$3,22))&lt;&gt;""),'Feijão 2ª safra'!$E55:INDEX('Feijão 2ª safra'!$E55:$Z55,MIN(AS$6-$E$3,22))),0))-IF($G$2,0,IF((AS$6-$G$3)&lt;1,0,IFERROR(LOOKUP(2,1/('Feijão 2ª safra'!$E55:INDEX('Feijão 2ª safra'!$E55:$Z55,MIN(AS$6-$G$3,22))&lt;&gt;""),'Feijão 2ª safra'!$E55:INDEX('Feijão 2ª safra'!$E55:$Z55,MIN(AS$6-$G$3,22))),0)))))</f>
        <v>0</v>
      </c>
      <c r="AT57" s="27" t="n">
        <f aca="false">IF(COUNT('Feijão 2ª safra'!$E55:$Z55)=0,0,MAX(0,IF((AT$6-$E$3)&lt;1,0,IFERROR(LOOKUP(2,1/('Feijão 2ª safra'!$E55:INDEX('Feijão 2ª safra'!$E55:$Z55,MIN(AT$6-$E$3,22))&lt;&gt;""),'Feijão 2ª safra'!$E55:INDEX('Feijão 2ª safra'!$E55:$Z55,MIN(AT$6-$E$3,22))),0))-IF($G$2,0,IF((AT$6-$G$3)&lt;1,0,IFERROR(LOOKUP(2,1/('Feijão 2ª safra'!$E55:INDEX('Feijão 2ª safra'!$E55:$Z55,MIN(AT$6-$G$3,22))&lt;&gt;""),'Feijão 2ª safra'!$E55:INDEX('Feijão 2ª safra'!$E55:$Z55,MIN(AT$6-$G$3,22))),0)))))</f>
        <v>0</v>
      </c>
      <c r="AU57" s="27" t="n">
        <f aca="false">IF(COUNT('Feijão 2ª safra'!$E55:$Z55)=0,0,MAX(0,IF((AU$6-$E$3)&lt;1,0,IFERROR(LOOKUP(2,1/('Feijão 2ª safra'!$E55:INDEX('Feijão 2ª safra'!$E55:$Z55,MIN(AU$6-$E$3,22))&lt;&gt;""),'Feijão 2ª safra'!$E55:INDEX('Feijão 2ª safra'!$E55:$Z55,MIN(AU$6-$E$3,22))),0))-IF($G$2,0,IF((AU$6-$G$3)&lt;1,0,IFERROR(LOOKUP(2,1/('Feijão 2ª safra'!$E55:INDEX('Feijão 2ª safra'!$E55:$Z55,MIN(AU$6-$G$3,22))&lt;&gt;""),'Feijão 2ª safra'!$E55:INDEX('Feijão 2ª safra'!$E55:$Z55,MIN(AU$6-$G$3,22))),0)))))</f>
        <v>0</v>
      </c>
      <c r="AV57" s="27" t="n">
        <f aca="false">IF(COUNT('Feijão 2ª safra'!$E55:$Z55)=0,0,MAX(0,IF((AV$6-$E$3)&lt;1,0,IFERROR(LOOKUP(2,1/('Feijão 2ª safra'!$E55:INDEX('Feijão 2ª safra'!$E55:$Z55,MIN(AV$6-$E$3,22))&lt;&gt;""),'Feijão 2ª safra'!$E55:INDEX('Feijão 2ª safra'!$E55:$Z55,MIN(AV$6-$E$3,22))),0))-IF($G$2,0,IF((AV$6-$G$3)&lt;1,0,IFERROR(LOOKUP(2,1/('Feijão 2ª safra'!$E55:INDEX('Feijão 2ª safra'!$E55:$Z55,MIN(AV$6-$G$3,22))&lt;&gt;""),'Feijão 2ª safra'!$E55:INDEX('Feijão 2ª safra'!$E55:$Z55,MIN(AV$6-$G$3,22))),0)))))</f>
        <v>0</v>
      </c>
      <c r="AW57" s="27" t="n">
        <f aca="false">IF(COUNT('Feijão 2ª safra'!$E55:$Z55)=0,0,MAX(0,IF((AW$6-$E$3)&lt;1,0,IFERROR(LOOKUP(2,1/('Feijão 2ª safra'!$E55:INDEX('Feijão 2ª safra'!$E55:$Z55,MIN(AW$6-$E$3,22))&lt;&gt;""),'Feijão 2ª safra'!$E55:INDEX('Feijão 2ª safra'!$E55:$Z55,MIN(AW$6-$E$3,22))),0))-IF($G$2,0,IF((AW$6-$G$3)&lt;1,0,IFERROR(LOOKUP(2,1/('Feijão 2ª safra'!$E55:INDEX('Feijão 2ª safra'!$E55:$Z55,MIN(AW$6-$G$3,22))&lt;&gt;""),'Feijão 2ª safra'!$E55:INDEX('Feijão 2ª safra'!$E55:$Z55,MIN(AW$6-$G$3,22))),0)))))</f>
        <v>0</v>
      </c>
      <c r="AX57" s="27" t="n">
        <f aca="false">IF(COUNT('Feijão 2ª safra'!$E55:$Z55)=0,0,MAX(0,IF((AX$6-$E$3)&lt;1,0,IFERROR(LOOKUP(2,1/('Feijão 2ª safra'!$E55:INDEX('Feijão 2ª safra'!$E55:$Z55,MIN(AX$6-$E$3,22))&lt;&gt;""),'Feijão 2ª safra'!$E55:INDEX('Feijão 2ª safra'!$E55:$Z55,MIN(AX$6-$E$3,22))),0))-IF($G$2,0,IF((AX$6-$G$3)&lt;1,0,IFERROR(LOOKUP(2,1/('Feijão 2ª safra'!$E55:INDEX('Feijão 2ª safra'!$E55:$Z55,MIN(AX$6-$G$3,22))&lt;&gt;""),'Feijão 2ª safra'!$E55:INDEX('Feijão 2ª safra'!$E55:$Z55,MIN(AX$6-$G$3,22))),0)))))</f>
        <v>0</v>
      </c>
      <c r="AY57" s="27" t="n">
        <f aca="false">IF(COUNT('Feijão 2ª safra'!$E55:$Z55)=0,0,MAX(0,IF((AY$6-$E$3)&lt;1,0,IFERROR(LOOKUP(2,1/('Feijão 2ª safra'!$E55:INDEX('Feijão 2ª safra'!$E55:$Z55,MIN(AY$6-$E$3,22))&lt;&gt;""),'Feijão 2ª safra'!$E55:INDEX('Feijão 2ª safra'!$E55:$Z55,MIN(AY$6-$E$3,22))),0))-IF($G$2,0,IF((AY$6-$G$3)&lt;1,0,IFERROR(LOOKUP(2,1/('Feijão 2ª safra'!$E55:INDEX('Feijão 2ª safra'!$E55:$Z55,MIN(AY$6-$G$3,22))&lt;&gt;""),'Feijão 2ª safra'!$E55:INDEX('Feijão 2ª safra'!$E55:$Z55,MIN(AY$6-$G$3,22))),0)))))</f>
        <v>0</v>
      </c>
      <c r="AZ57" s="27" t="n">
        <f aca="false">IF(COUNT('Feijão 2ª safra'!$E55:$Z55)=0,0,MAX(0,IF((AZ$6-$E$3)&lt;1,0,IFERROR(LOOKUP(2,1/('Feijão 2ª safra'!$E55:INDEX('Feijão 2ª safra'!$E55:$Z55,MIN(AZ$6-$E$3,22))&lt;&gt;""),'Feijão 2ª safra'!$E55:INDEX('Feijão 2ª safra'!$E55:$Z55,MIN(AZ$6-$E$3,22))),0))-IF($G$2,0,IF((AZ$6-$G$3)&lt;1,0,IFERROR(LOOKUP(2,1/('Feijão 2ª safra'!$E55:INDEX('Feijão 2ª safra'!$E55:$Z55,MIN(AZ$6-$G$3,22))&lt;&gt;""),'Feijão 2ª safra'!$E55:INDEX('Feijão 2ª safra'!$E55:$Z55,MIN(AZ$6-$G$3,22))),0)))))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IF(COUNT('Feijão 2ª safra'!$E56:$Z56)&gt;0,N('Feijão 2ª safra'!$D56),0)</f>
        <v>0</v>
      </c>
      <c r="E58" s="27" t="n">
        <f aca="false">IF(COUNT('Feijão 2ª safra'!$E56:$Z56)=0,0,MAX(0,IF((E$6-$E$3)&lt;1,0,IFERROR(LOOKUP(2,1/('Feijão 2ª safra'!$E56:INDEX('Feijão 2ª safra'!$E56:$Z56,MIN(E$6-$E$3,22))&lt;&gt;""),'Feijão 2ª safra'!$E56:INDEX('Feijão 2ª safra'!$E56:$Z56,MIN(E$6-$E$3,22))),0))-IF($G$2,0,IF((E$6-$G$3)&lt;1,0,IFERROR(LOOKUP(2,1/('Feijão 2ª safra'!$E56:INDEX('Feijão 2ª safra'!$E56:$Z56,MIN(E$6-$G$3,22))&lt;&gt;""),'Feijão 2ª safra'!$E56:INDEX('Feijão 2ª safra'!$E56:$Z56,MIN(E$6-$G$3,22))),0)))))</f>
        <v>0</v>
      </c>
      <c r="F58" s="27" t="n">
        <f aca="false">IF(COUNT('Feijão 2ª safra'!$E56:$Z56)=0,0,MAX(0,IF((F$6-$E$3)&lt;1,0,IFERROR(LOOKUP(2,1/('Feijão 2ª safra'!$E56:INDEX('Feijão 2ª safra'!$E56:$Z56,MIN(F$6-$E$3,22))&lt;&gt;""),'Feijão 2ª safra'!$E56:INDEX('Feijão 2ª safra'!$E56:$Z56,MIN(F$6-$E$3,22))),0))-IF($G$2,0,IF((F$6-$G$3)&lt;1,0,IFERROR(LOOKUP(2,1/('Feijão 2ª safra'!$E56:INDEX('Feijão 2ª safra'!$E56:$Z56,MIN(F$6-$G$3,22))&lt;&gt;""),'Feijão 2ª safra'!$E56:INDEX('Feijão 2ª safra'!$E56:$Z56,MIN(F$6-$G$3,22))),0)))))</f>
        <v>0</v>
      </c>
      <c r="G58" s="27" t="n">
        <f aca="false">IF(COUNT('Feijão 2ª safra'!$E56:$Z56)=0,0,MAX(0,IF((G$6-$E$3)&lt;1,0,IFERROR(LOOKUP(2,1/('Feijão 2ª safra'!$E56:INDEX('Feijão 2ª safra'!$E56:$Z56,MIN(G$6-$E$3,22))&lt;&gt;""),'Feijão 2ª safra'!$E56:INDEX('Feijão 2ª safra'!$E56:$Z56,MIN(G$6-$E$3,22))),0))-IF($G$2,0,IF((G$6-$G$3)&lt;1,0,IFERROR(LOOKUP(2,1/('Feijão 2ª safra'!$E56:INDEX('Feijão 2ª safra'!$E56:$Z56,MIN(G$6-$G$3,22))&lt;&gt;""),'Feijão 2ª safra'!$E56:INDEX('Feijão 2ª safra'!$E56:$Z56,MIN(G$6-$G$3,22))),0)))))</f>
        <v>0</v>
      </c>
      <c r="H58" s="27" t="n">
        <f aca="false">IF(COUNT('Feijão 2ª safra'!$E56:$Z56)=0,0,MAX(0,IF((H$6-$E$3)&lt;1,0,IFERROR(LOOKUP(2,1/('Feijão 2ª safra'!$E56:INDEX('Feijão 2ª safra'!$E56:$Z56,MIN(H$6-$E$3,22))&lt;&gt;""),'Feijão 2ª safra'!$E56:INDEX('Feijão 2ª safra'!$E56:$Z56,MIN(H$6-$E$3,22))),0))-IF($G$2,0,IF((H$6-$G$3)&lt;1,0,IFERROR(LOOKUP(2,1/('Feijão 2ª safra'!$E56:INDEX('Feijão 2ª safra'!$E56:$Z56,MIN(H$6-$G$3,22))&lt;&gt;""),'Feijão 2ª safra'!$E56:INDEX('Feijão 2ª safra'!$E56:$Z56,MIN(H$6-$G$3,22))),0)))))</f>
        <v>0</v>
      </c>
      <c r="I58" s="27" t="n">
        <f aca="false">IF(COUNT('Feijão 2ª safra'!$E56:$Z56)=0,0,MAX(0,IF((I$6-$E$3)&lt;1,0,IFERROR(LOOKUP(2,1/('Feijão 2ª safra'!$E56:INDEX('Feijão 2ª safra'!$E56:$Z56,MIN(I$6-$E$3,22))&lt;&gt;""),'Feijão 2ª safra'!$E56:INDEX('Feijão 2ª safra'!$E56:$Z56,MIN(I$6-$E$3,22))),0))-IF($G$2,0,IF((I$6-$G$3)&lt;1,0,IFERROR(LOOKUP(2,1/('Feijão 2ª safra'!$E56:INDEX('Feijão 2ª safra'!$E56:$Z56,MIN(I$6-$G$3,22))&lt;&gt;""),'Feijão 2ª safra'!$E56:INDEX('Feijão 2ª safra'!$E56:$Z56,MIN(I$6-$G$3,22))),0)))))</f>
        <v>0</v>
      </c>
      <c r="J58" s="27" t="n">
        <f aca="false">IF(COUNT('Feijão 2ª safra'!$E56:$Z56)=0,0,MAX(0,IF((J$6-$E$3)&lt;1,0,IFERROR(LOOKUP(2,1/('Feijão 2ª safra'!$E56:INDEX('Feijão 2ª safra'!$E56:$Z56,MIN(J$6-$E$3,22))&lt;&gt;""),'Feijão 2ª safra'!$E56:INDEX('Feijão 2ª safra'!$E56:$Z56,MIN(J$6-$E$3,22))),0))-IF($G$2,0,IF((J$6-$G$3)&lt;1,0,IFERROR(LOOKUP(2,1/('Feijão 2ª safra'!$E56:INDEX('Feijão 2ª safra'!$E56:$Z56,MIN(J$6-$G$3,22))&lt;&gt;""),'Feijão 2ª safra'!$E56:INDEX('Feijão 2ª safra'!$E56:$Z56,MIN(J$6-$G$3,22))),0)))))</f>
        <v>0</v>
      </c>
      <c r="K58" s="27" t="n">
        <f aca="false">IF(COUNT('Feijão 2ª safra'!$E56:$Z56)=0,0,MAX(0,IF((K$6-$E$3)&lt;1,0,IFERROR(LOOKUP(2,1/('Feijão 2ª safra'!$E56:INDEX('Feijão 2ª safra'!$E56:$Z56,MIN(K$6-$E$3,22))&lt;&gt;""),'Feijão 2ª safra'!$E56:INDEX('Feijão 2ª safra'!$E56:$Z56,MIN(K$6-$E$3,22))),0))-IF($G$2,0,IF((K$6-$G$3)&lt;1,0,IFERROR(LOOKUP(2,1/('Feijão 2ª safra'!$E56:INDEX('Feijão 2ª safra'!$E56:$Z56,MIN(K$6-$G$3,22))&lt;&gt;""),'Feijão 2ª safra'!$E56:INDEX('Feijão 2ª safra'!$E56:$Z56,MIN(K$6-$G$3,22))),0)))))</f>
        <v>0</v>
      </c>
      <c r="L58" s="27" t="n">
        <f aca="false">IF(COUNT('Feijão 2ª safra'!$E56:$Z56)=0,0,MAX(0,IF((L$6-$E$3)&lt;1,0,IFERROR(LOOKUP(2,1/('Feijão 2ª safra'!$E56:INDEX('Feijão 2ª safra'!$E56:$Z56,MIN(L$6-$E$3,22))&lt;&gt;""),'Feijão 2ª safra'!$E56:INDEX('Feijão 2ª safra'!$E56:$Z56,MIN(L$6-$E$3,22))),0))-IF($G$2,0,IF((L$6-$G$3)&lt;1,0,IFERROR(LOOKUP(2,1/('Feijão 2ª safra'!$E56:INDEX('Feijão 2ª safra'!$E56:$Z56,MIN(L$6-$G$3,22))&lt;&gt;""),'Feijão 2ª safra'!$E56:INDEX('Feijão 2ª safra'!$E56:$Z56,MIN(L$6-$G$3,22))),0)))))</f>
        <v>0</v>
      </c>
      <c r="M58" s="27" t="n">
        <f aca="false">IF(COUNT('Feijão 2ª safra'!$E56:$Z56)=0,0,MAX(0,IF((M$6-$E$3)&lt;1,0,IFERROR(LOOKUP(2,1/('Feijão 2ª safra'!$E56:INDEX('Feijão 2ª safra'!$E56:$Z56,MIN(M$6-$E$3,22))&lt;&gt;""),'Feijão 2ª safra'!$E56:INDEX('Feijão 2ª safra'!$E56:$Z56,MIN(M$6-$E$3,22))),0))-IF($G$2,0,IF((M$6-$G$3)&lt;1,0,IFERROR(LOOKUP(2,1/('Feijão 2ª safra'!$E56:INDEX('Feijão 2ª safra'!$E56:$Z56,MIN(M$6-$G$3,22))&lt;&gt;""),'Feijão 2ª safra'!$E56:INDEX('Feijão 2ª safra'!$E56:$Z56,MIN(M$6-$G$3,22))),0)))))</f>
        <v>0</v>
      </c>
      <c r="N58" s="27" t="n">
        <f aca="false">IF(COUNT('Feijão 2ª safra'!$E56:$Z56)=0,0,MAX(0,IF((N$6-$E$3)&lt;1,0,IFERROR(LOOKUP(2,1/('Feijão 2ª safra'!$E56:INDEX('Feijão 2ª safra'!$E56:$Z56,MIN(N$6-$E$3,22))&lt;&gt;""),'Feijão 2ª safra'!$E56:INDEX('Feijão 2ª safra'!$E56:$Z56,MIN(N$6-$E$3,22))),0))-IF($G$2,0,IF((N$6-$G$3)&lt;1,0,IFERROR(LOOKUP(2,1/('Feijão 2ª safra'!$E56:INDEX('Feijão 2ª safra'!$E56:$Z56,MIN(N$6-$G$3,22))&lt;&gt;""),'Feijão 2ª safra'!$E56:INDEX('Feijão 2ª safra'!$E56:$Z56,MIN(N$6-$G$3,22))),0)))))</f>
        <v>0</v>
      </c>
      <c r="O58" s="27" t="n">
        <f aca="false">IF(COUNT('Feijão 2ª safra'!$E56:$Z56)=0,0,MAX(0,IF((O$6-$E$3)&lt;1,0,IFERROR(LOOKUP(2,1/('Feijão 2ª safra'!$E56:INDEX('Feijão 2ª safra'!$E56:$Z56,MIN(O$6-$E$3,22))&lt;&gt;""),'Feijão 2ª safra'!$E56:INDEX('Feijão 2ª safra'!$E56:$Z56,MIN(O$6-$E$3,22))),0))-IF($G$2,0,IF((O$6-$G$3)&lt;1,0,IFERROR(LOOKUP(2,1/('Feijão 2ª safra'!$E56:INDEX('Feijão 2ª safra'!$E56:$Z56,MIN(O$6-$G$3,22))&lt;&gt;""),'Feijão 2ª safra'!$E56:INDEX('Feijão 2ª safra'!$E56:$Z56,MIN(O$6-$G$3,22))),0)))))</f>
        <v>0</v>
      </c>
      <c r="P58" s="27" t="n">
        <f aca="false">IF(COUNT('Feijão 2ª safra'!$E56:$Z56)=0,0,MAX(0,IF((P$6-$E$3)&lt;1,0,IFERROR(LOOKUP(2,1/('Feijão 2ª safra'!$E56:INDEX('Feijão 2ª safra'!$E56:$Z56,MIN(P$6-$E$3,22))&lt;&gt;""),'Feijão 2ª safra'!$E56:INDEX('Feijão 2ª safra'!$E56:$Z56,MIN(P$6-$E$3,22))),0))-IF($G$2,0,IF((P$6-$G$3)&lt;1,0,IFERROR(LOOKUP(2,1/('Feijão 2ª safra'!$E56:INDEX('Feijão 2ª safra'!$E56:$Z56,MIN(P$6-$G$3,22))&lt;&gt;""),'Feijão 2ª safra'!$E56:INDEX('Feijão 2ª safra'!$E56:$Z56,MIN(P$6-$G$3,22))),0)))))</f>
        <v>0</v>
      </c>
      <c r="Q58" s="27" t="n">
        <f aca="false">IF(COUNT('Feijão 2ª safra'!$E56:$Z56)=0,0,MAX(0,IF((Q$6-$E$3)&lt;1,0,IFERROR(LOOKUP(2,1/('Feijão 2ª safra'!$E56:INDEX('Feijão 2ª safra'!$E56:$Z56,MIN(Q$6-$E$3,22))&lt;&gt;""),'Feijão 2ª safra'!$E56:INDEX('Feijão 2ª safra'!$E56:$Z56,MIN(Q$6-$E$3,22))),0))-IF($G$2,0,IF((Q$6-$G$3)&lt;1,0,IFERROR(LOOKUP(2,1/('Feijão 2ª safra'!$E56:INDEX('Feijão 2ª safra'!$E56:$Z56,MIN(Q$6-$G$3,22))&lt;&gt;""),'Feijão 2ª safra'!$E56:INDEX('Feijão 2ª safra'!$E56:$Z56,MIN(Q$6-$G$3,22))),0)))))</f>
        <v>0</v>
      </c>
      <c r="R58" s="27" t="n">
        <f aca="false">IF(COUNT('Feijão 2ª safra'!$E56:$Z56)=0,0,MAX(0,IF((R$6-$E$3)&lt;1,0,IFERROR(LOOKUP(2,1/('Feijão 2ª safra'!$E56:INDEX('Feijão 2ª safra'!$E56:$Z56,MIN(R$6-$E$3,22))&lt;&gt;""),'Feijão 2ª safra'!$E56:INDEX('Feijão 2ª safra'!$E56:$Z56,MIN(R$6-$E$3,22))),0))-IF($G$2,0,IF((R$6-$G$3)&lt;1,0,IFERROR(LOOKUP(2,1/('Feijão 2ª safra'!$E56:INDEX('Feijão 2ª safra'!$E56:$Z56,MIN(R$6-$G$3,22))&lt;&gt;""),'Feijão 2ª safra'!$E56:INDEX('Feijão 2ª safra'!$E56:$Z56,MIN(R$6-$G$3,22))),0)))))</f>
        <v>0</v>
      </c>
      <c r="S58" s="27" t="n">
        <f aca="false">IF(COUNT('Feijão 2ª safra'!$E56:$Z56)=0,0,MAX(0,IF((S$6-$E$3)&lt;1,0,IFERROR(LOOKUP(2,1/('Feijão 2ª safra'!$E56:INDEX('Feijão 2ª safra'!$E56:$Z56,MIN(S$6-$E$3,22))&lt;&gt;""),'Feijão 2ª safra'!$E56:INDEX('Feijão 2ª safra'!$E56:$Z56,MIN(S$6-$E$3,22))),0))-IF($G$2,0,IF((S$6-$G$3)&lt;1,0,IFERROR(LOOKUP(2,1/('Feijão 2ª safra'!$E56:INDEX('Feijão 2ª safra'!$E56:$Z56,MIN(S$6-$G$3,22))&lt;&gt;""),'Feijão 2ª safra'!$E56:INDEX('Feijão 2ª safra'!$E56:$Z56,MIN(S$6-$G$3,22))),0)))))</f>
        <v>0</v>
      </c>
      <c r="T58" s="27" t="n">
        <f aca="false">IF(COUNT('Feijão 2ª safra'!$E56:$Z56)=0,0,MAX(0,IF((T$6-$E$3)&lt;1,0,IFERROR(LOOKUP(2,1/('Feijão 2ª safra'!$E56:INDEX('Feijão 2ª safra'!$E56:$Z56,MIN(T$6-$E$3,22))&lt;&gt;""),'Feijão 2ª safra'!$E56:INDEX('Feijão 2ª safra'!$E56:$Z56,MIN(T$6-$E$3,22))),0))-IF($G$2,0,IF((T$6-$G$3)&lt;1,0,IFERROR(LOOKUP(2,1/('Feijão 2ª safra'!$E56:INDEX('Feijão 2ª safra'!$E56:$Z56,MIN(T$6-$G$3,22))&lt;&gt;""),'Feijão 2ª safra'!$E56:INDEX('Feijão 2ª safra'!$E56:$Z56,MIN(T$6-$G$3,22))),0)))))</f>
        <v>0</v>
      </c>
      <c r="U58" s="27" t="n">
        <f aca="false">IF(COUNT('Feijão 2ª safra'!$E56:$Z56)=0,0,MAX(0,IF((U$6-$E$3)&lt;1,0,IFERROR(LOOKUP(2,1/('Feijão 2ª safra'!$E56:INDEX('Feijão 2ª safra'!$E56:$Z56,MIN(U$6-$E$3,22))&lt;&gt;""),'Feijão 2ª safra'!$E56:INDEX('Feijão 2ª safra'!$E56:$Z56,MIN(U$6-$E$3,22))),0))-IF($G$2,0,IF((U$6-$G$3)&lt;1,0,IFERROR(LOOKUP(2,1/('Feijão 2ª safra'!$E56:INDEX('Feijão 2ª safra'!$E56:$Z56,MIN(U$6-$G$3,22))&lt;&gt;""),'Feijão 2ª safra'!$E56:INDEX('Feijão 2ª safra'!$E56:$Z56,MIN(U$6-$G$3,22))),0)))))</f>
        <v>0</v>
      </c>
      <c r="V58" s="27" t="n">
        <f aca="false">IF(COUNT('Feijão 2ª safra'!$E56:$Z56)=0,0,MAX(0,IF((V$6-$E$3)&lt;1,0,IFERROR(LOOKUP(2,1/('Feijão 2ª safra'!$E56:INDEX('Feijão 2ª safra'!$E56:$Z56,MIN(V$6-$E$3,22))&lt;&gt;""),'Feijão 2ª safra'!$E56:INDEX('Feijão 2ª safra'!$E56:$Z56,MIN(V$6-$E$3,22))),0))-IF($G$2,0,IF((V$6-$G$3)&lt;1,0,IFERROR(LOOKUP(2,1/('Feijão 2ª safra'!$E56:INDEX('Feijão 2ª safra'!$E56:$Z56,MIN(V$6-$G$3,22))&lt;&gt;""),'Feijão 2ª safra'!$E56:INDEX('Feijão 2ª safra'!$E56:$Z56,MIN(V$6-$G$3,22))),0)))))</f>
        <v>0</v>
      </c>
      <c r="W58" s="27" t="n">
        <f aca="false">IF(COUNT('Feijão 2ª safra'!$E56:$Z56)=0,0,MAX(0,IF((W$6-$E$3)&lt;1,0,IFERROR(LOOKUP(2,1/('Feijão 2ª safra'!$E56:INDEX('Feijão 2ª safra'!$E56:$Z56,MIN(W$6-$E$3,22))&lt;&gt;""),'Feijão 2ª safra'!$E56:INDEX('Feijão 2ª safra'!$E56:$Z56,MIN(W$6-$E$3,22))),0))-IF($G$2,0,IF((W$6-$G$3)&lt;1,0,IFERROR(LOOKUP(2,1/('Feijão 2ª safra'!$E56:INDEX('Feijão 2ª safra'!$E56:$Z56,MIN(W$6-$G$3,22))&lt;&gt;""),'Feijão 2ª safra'!$E56:INDEX('Feijão 2ª safra'!$E56:$Z56,MIN(W$6-$G$3,22))),0)))))</f>
        <v>0</v>
      </c>
      <c r="X58" s="27" t="n">
        <f aca="false">IF(COUNT('Feijão 2ª safra'!$E56:$Z56)=0,0,MAX(0,IF((X$6-$E$3)&lt;1,0,IFERROR(LOOKUP(2,1/('Feijão 2ª safra'!$E56:INDEX('Feijão 2ª safra'!$E56:$Z56,MIN(X$6-$E$3,22))&lt;&gt;""),'Feijão 2ª safra'!$E56:INDEX('Feijão 2ª safra'!$E56:$Z56,MIN(X$6-$E$3,22))),0))-IF($G$2,0,IF((X$6-$G$3)&lt;1,0,IFERROR(LOOKUP(2,1/('Feijão 2ª safra'!$E56:INDEX('Feijão 2ª safra'!$E56:$Z56,MIN(X$6-$G$3,22))&lt;&gt;""),'Feijão 2ª safra'!$E56:INDEX('Feijão 2ª safra'!$E56:$Z56,MIN(X$6-$G$3,22))),0)))))</f>
        <v>0</v>
      </c>
      <c r="Y58" s="27" t="n">
        <f aca="false">IF(COUNT('Feijão 2ª safra'!$E56:$Z56)=0,0,MAX(0,IF((Y$6-$E$3)&lt;1,0,IFERROR(LOOKUP(2,1/('Feijão 2ª safra'!$E56:INDEX('Feijão 2ª safra'!$E56:$Z56,MIN(Y$6-$E$3,22))&lt;&gt;""),'Feijão 2ª safra'!$E56:INDEX('Feijão 2ª safra'!$E56:$Z56,MIN(Y$6-$E$3,22))),0))-IF($G$2,0,IF((Y$6-$G$3)&lt;1,0,IFERROR(LOOKUP(2,1/('Feijão 2ª safra'!$E56:INDEX('Feijão 2ª safra'!$E56:$Z56,MIN(Y$6-$G$3,22))&lt;&gt;""),'Feijão 2ª safra'!$E56:INDEX('Feijão 2ª safra'!$E56:$Z56,MIN(Y$6-$G$3,22))),0)))))</f>
        <v>0</v>
      </c>
      <c r="Z58" s="27" t="n">
        <f aca="false">IF(COUNT('Feijão 2ª safra'!$E56:$Z56)=0,0,MAX(0,IF((Z$6-$E$3)&lt;1,0,IFERROR(LOOKUP(2,1/('Feijão 2ª safra'!$E56:INDEX('Feijão 2ª safra'!$E56:$Z56,MIN(Z$6-$E$3,22))&lt;&gt;""),'Feijão 2ª safra'!$E56:INDEX('Feijão 2ª safra'!$E56:$Z56,MIN(Z$6-$E$3,22))),0))-IF($G$2,0,IF((Z$6-$G$3)&lt;1,0,IFERROR(LOOKUP(2,1/('Feijão 2ª safra'!$E56:INDEX('Feijão 2ª safra'!$E56:$Z56,MIN(Z$6-$G$3,22))&lt;&gt;""),'Feijão 2ª safra'!$E56:INDEX('Feijão 2ª safra'!$E56:$Z56,MIN(Z$6-$G$3,22))),0)))))</f>
        <v>0</v>
      </c>
      <c r="AA58" s="27" t="n">
        <f aca="false">IF(COUNT('Feijão 2ª safra'!$E56:$Z56)=0,0,MAX(0,IF((AA$6-$E$3)&lt;1,0,IFERROR(LOOKUP(2,1/('Feijão 2ª safra'!$E56:INDEX('Feijão 2ª safra'!$E56:$Z56,MIN(AA$6-$E$3,22))&lt;&gt;""),'Feijão 2ª safra'!$E56:INDEX('Feijão 2ª safra'!$E56:$Z56,MIN(AA$6-$E$3,22))),0))-IF($G$2,0,IF((AA$6-$G$3)&lt;1,0,IFERROR(LOOKUP(2,1/('Feijão 2ª safra'!$E56:INDEX('Feijão 2ª safra'!$E56:$Z56,MIN(AA$6-$G$3,22))&lt;&gt;""),'Feijão 2ª safra'!$E56:INDEX('Feijão 2ª safra'!$E56:$Z56,MIN(AA$6-$G$3,22))),0)))))</f>
        <v>0</v>
      </c>
      <c r="AB58" s="27" t="n">
        <f aca="false">IF(COUNT('Feijão 2ª safra'!$E56:$Z56)=0,0,MAX(0,IF((AB$6-$E$3)&lt;1,0,IFERROR(LOOKUP(2,1/('Feijão 2ª safra'!$E56:INDEX('Feijão 2ª safra'!$E56:$Z56,MIN(AB$6-$E$3,22))&lt;&gt;""),'Feijão 2ª safra'!$E56:INDEX('Feijão 2ª safra'!$E56:$Z56,MIN(AB$6-$E$3,22))),0))-IF($G$2,0,IF((AB$6-$G$3)&lt;1,0,IFERROR(LOOKUP(2,1/('Feijão 2ª safra'!$E56:INDEX('Feijão 2ª safra'!$E56:$Z56,MIN(AB$6-$G$3,22))&lt;&gt;""),'Feijão 2ª safra'!$E56:INDEX('Feijão 2ª safra'!$E56:$Z56,MIN(AB$6-$G$3,22))),0)))))</f>
        <v>0</v>
      </c>
      <c r="AC58" s="27" t="n">
        <f aca="false">IF(COUNT('Feijão 2ª safra'!$E56:$Z56)=0,0,MAX(0,IF((AC$6-$E$3)&lt;1,0,IFERROR(LOOKUP(2,1/('Feijão 2ª safra'!$E56:INDEX('Feijão 2ª safra'!$E56:$Z56,MIN(AC$6-$E$3,22))&lt;&gt;""),'Feijão 2ª safra'!$E56:INDEX('Feijão 2ª safra'!$E56:$Z56,MIN(AC$6-$E$3,22))),0))-IF($G$2,0,IF((AC$6-$G$3)&lt;1,0,IFERROR(LOOKUP(2,1/('Feijão 2ª safra'!$E56:INDEX('Feijão 2ª safra'!$E56:$Z56,MIN(AC$6-$G$3,22))&lt;&gt;""),'Feijão 2ª safra'!$E56:INDEX('Feijão 2ª safra'!$E56:$Z56,MIN(AC$6-$G$3,22))),0)))))</f>
        <v>0</v>
      </c>
      <c r="AD58" s="27" t="n">
        <f aca="false">IF(COUNT('Feijão 2ª safra'!$E56:$Z56)=0,0,MAX(0,IF((AD$6-$E$3)&lt;1,0,IFERROR(LOOKUP(2,1/('Feijão 2ª safra'!$E56:INDEX('Feijão 2ª safra'!$E56:$Z56,MIN(AD$6-$E$3,22))&lt;&gt;""),'Feijão 2ª safra'!$E56:INDEX('Feijão 2ª safra'!$E56:$Z56,MIN(AD$6-$E$3,22))),0))-IF($G$2,0,IF((AD$6-$G$3)&lt;1,0,IFERROR(LOOKUP(2,1/('Feijão 2ª safra'!$E56:INDEX('Feijão 2ª safra'!$E56:$Z56,MIN(AD$6-$G$3,22))&lt;&gt;""),'Feijão 2ª safra'!$E56:INDEX('Feijão 2ª safra'!$E56:$Z56,MIN(AD$6-$G$3,22))),0)))))</f>
        <v>0</v>
      </c>
      <c r="AE58" s="27" t="n">
        <f aca="false">IF(COUNT('Feijão 2ª safra'!$E56:$Z56)=0,0,MAX(0,IF((AE$6-$E$3)&lt;1,0,IFERROR(LOOKUP(2,1/('Feijão 2ª safra'!$E56:INDEX('Feijão 2ª safra'!$E56:$Z56,MIN(AE$6-$E$3,22))&lt;&gt;""),'Feijão 2ª safra'!$E56:INDEX('Feijão 2ª safra'!$E56:$Z56,MIN(AE$6-$E$3,22))),0))-IF($G$2,0,IF((AE$6-$G$3)&lt;1,0,IFERROR(LOOKUP(2,1/('Feijão 2ª safra'!$E56:INDEX('Feijão 2ª safra'!$E56:$Z56,MIN(AE$6-$G$3,22))&lt;&gt;""),'Feijão 2ª safra'!$E56:INDEX('Feijão 2ª safra'!$E56:$Z56,MIN(AE$6-$G$3,22))),0)))))</f>
        <v>0</v>
      </c>
      <c r="AF58" s="27" t="n">
        <f aca="false">IF(COUNT('Feijão 2ª safra'!$E56:$Z56)=0,0,MAX(0,IF((AF$6-$E$3)&lt;1,0,IFERROR(LOOKUP(2,1/('Feijão 2ª safra'!$E56:INDEX('Feijão 2ª safra'!$E56:$Z56,MIN(AF$6-$E$3,22))&lt;&gt;""),'Feijão 2ª safra'!$E56:INDEX('Feijão 2ª safra'!$E56:$Z56,MIN(AF$6-$E$3,22))),0))-IF($G$2,0,IF((AF$6-$G$3)&lt;1,0,IFERROR(LOOKUP(2,1/('Feijão 2ª safra'!$E56:INDEX('Feijão 2ª safra'!$E56:$Z56,MIN(AF$6-$G$3,22))&lt;&gt;""),'Feijão 2ª safra'!$E56:INDEX('Feijão 2ª safra'!$E56:$Z56,MIN(AF$6-$G$3,22))),0)))))</f>
        <v>0</v>
      </c>
      <c r="AG58" s="27" t="n">
        <f aca="false">IF(COUNT('Feijão 2ª safra'!$E56:$Z56)=0,0,MAX(0,IF((AG$6-$E$3)&lt;1,0,IFERROR(LOOKUP(2,1/('Feijão 2ª safra'!$E56:INDEX('Feijão 2ª safra'!$E56:$Z56,MIN(AG$6-$E$3,22))&lt;&gt;""),'Feijão 2ª safra'!$E56:INDEX('Feijão 2ª safra'!$E56:$Z56,MIN(AG$6-$E$3,22))),0))-IF($G$2,0,IF((AG$6-$G$3)&lt;1,0,IFERROR(LOOKUP(2,1/('Feijão 2ª safra'!$E56:INDEX('Feijão 2ª safra'!$E56:$Z56,MIN(AG$6-$G$3,22))&lt;&gt;""),'Feijão 2ª safra'!$E56:INDEX('Feijão 2ª safra'!$E56:$Z56,MIN(AG$6-$G$3,22))),0)))))</f>
        <v>0</v>
      </c>
      <c r="AH58" s="27" t="n">
        <f aca="false">IF(COUNT('Feijão 2ª safra'!$E56:$Z56)=0,0,MAX(0,IF((AH$6-$E$3)&lt;1,0,IFERROR(LOOKUP(2,1/('Feijão 2ª safra'!$E56:INDEX('Feijão 2ª safra'!$E56:$Z56,MIN(AH$6-$E$3,22))&lt;&gt;""),'Feijão 2ª safra'!$E56:INDEX('Feijão 2ª safra'!$E56:$Z56,MIN(AH$6-$E$3,22))),0))-IF($G$2,0,IF((AH$6-$G$3)&lt;1,0,IFERROR(LOOKUP(2,1/('Feijão 2ª safra'!$E56:INDEX('Feijão 2ª safra'!$E56:$Z56,MIN(AH$6-$G$3,22))&lt;&gt;""),'Feijão 2ª safra'!$E56:INDEX('Feijão 2ª safra'!$E56:$Z56,MIN(AH$6-$G$3,22))),0)))))</f>
        <v>0</v>
      </c>
      <c r="AI58" s="27" t="n">
        <f aca="false">IF(COUNT('Feijão 2ª safra'!$E56:$Z56)=0,0,MAX(0,IF((AI$6-$E$3)&lt;1,0,IFERROR(LOOKUP(2,1/('Feijão 2ª safra'!$E56:INDEX('Feijão 2ª safra'!$E56:$Z56,MIN(AI$6-$E$3,22))&lt;&gt;""),'Feijão 2ª safra'!$E56:INDEX('Feijão 2ª safra'!$E56:$Z56,MIN(AI$6-$E$3,22))),0))-IF($G$2,0,IF((AI$6-$G$3)&lt;1,0,IFERROR(LOOKUP(2,1/('Feijão 2ª safra'!$E56:INDEX('Feijão 2ª safra'!$E56:$Z56,MIN(AI$6-$G$3,22))&lt;&gt;""),'Feijão 2ª safra'!$E56:INDEX('Feijão 2ª safra'!$E56:$Z56,MIN(AI$6-$G$3,22))),0)))))</f>
        <v>0</v>
      </c>
      <c r="AJ58" s="27" t="n">
        <f aca="false">IF(COUNT('Feijão 2ª safra'!$E56:$Z56)=0,0,MAX(0,IF((AJ$6-$E$3)&lt;1,0,IFERROR(LOOKUP(2,1/('Feijão 2ª safra'!$E56:INDEX('Feijão 2ª safra'!$E56:$Z56,MIN(AJ$6-$E$3,22))&lt;&gt;""),'Feijão 2ª safra'!$E56:INDEX('Feijão 2ª safra'!$E56:$Z56,MIN(AJ$6-$E$3,22))),0))-IF($G$2,0,IF((AJ$6-$G$3)&lt;1,0,IFERROR(LOOKUP(2,1/('Feijão 2ª safra'!$E56:INDEX('Feijão 2ª safra'!$E56:$Z56,MIN(AJ$6-$G$3,22))&lt;&gt;""),'Feijão 2ª safra'!$E56:INDEX('Feijão 2ª safra'!$E56:$Z56,MIN(AJ$6-$G$3,22))),0)))))</f>
        <v>0</v>
      </c>
      <c r="AK58" s="27" t="n">
        <f aca="false">IF(COUNT('Feijão 2ª safra'!$E56:$Z56)=0,0,MAX(0,IF((AK$6-$E$3)&lt;1,0,IFERROR(LOOKUP(2,1/('Feijão 2ª safra'!$E56:INDEX('Feijão 2ª safra'!$E56:$Z56,MIN(AK$6-$E$3,22))&lt;&gt;""),'Feijão 2ª safra'!$E56:INDEX('Feijão 2ª safra'!$E56:$Z56,MIN(AK$6-$E$3,22))),0))-IF($G$2,0,IF((AK$6-$G$3)&lt;1,0,IFERROR(LOOKUP(2,1/('Feijão 2ª safra'!$E56:INDEX('Feijão 2ª safra'!$E56:$Z56,MIN(AK$6-$G$3,22))&lt;&gt;""),'Feijão 2ª safra'!$E56:INDEX('Feijão 2ª safra'!$E56:$Z56,MIN(AK$6-$G$3,22))),0)))))</f>
        <v>0</v>
      </c>
      <c r="AL58" s="27" t="n">
        <f aca="false">IF(COUNT('Feijão 2ª safra'!$E56:$Z56)=0,0,MAX(0,IF((AL$6-$E$3)&lt;1,0,IFERROR(LOOKUP(2,1/('Feijão 2ª safra'!$E56:INDEX('Feijão 2ª safra'!$E56:$Z56,MIN(AL$6-$E$3,22))&lt;&gt;""),'Feijão 2ª safra'!$E56:INDEX('Feijão 2ª safra'!$E56:$Z56,MIN(AL$6-$E$3,22))),0))-IF($G$2,0,IF((AL$6-$G$3)&lt;1,0,IFERROR(LOOKUP(2,1/('Feijão 2ª safra'!$E56:INDEX('Feijão 2ª safra'!$E56:$Z56,MIN(AL$6-$G$3,22))&lt;&gt;""),'Feijão 2ª safra'!$E56:INDEX('Feijão 2ª safra'!$E56:$Z56,MIN(AL$6-$G$3,22))),0)))))</f>
        <v>0</v>
      </c>
      <c r="AM58" s="27" t="n">
        <f aca="false">IF(COUNT('Feijão 2ª safra'!$E56:$Z56)=0,0,MAX(0,IF((AM$6-$E$3)&lt;1,0,IFERROR(LOOKUP(2,1/('Feijão 2ª safra'!$E56:INDEX('Feijão 2ª safra'!$E56:$Z56,MIN(AM$6-$E$3,22))&lt;&gt;""),'Feijão 2ª safra'!$E56:INDEX('Feijão 2ª safra'!$E56:$Z56,MIN(AM$6-$E$3,22))),0))-IF($G$2,0,IF((AM$6-$G$3)&lt;1,0,IFERROR(LOOKUP(2,1/('Feijão 2ª safra'!$E56:INDEX('Feijão 2ª safra'!$E56:$Z56,MIN(AM$6-$G$3,22))&lt;&gt;""),'Feijão 2ª safra'!$E56:INDEX('Feijão 2ª safra'!$E56:$Z56,MIN(AM$6-$G$3,22))),0)))))</f>
        <v>0</v>
      </c>
      <c r="AN58" s="27" t="n">
        <f aca="false">IF(COUNT('Feijão 2ª safra'!$E56:$Z56)=0,0,MAX(0,IF((AN$6-$E$3)&lt;1,0,IFERROR(LOOKUP(2,1/('Feijão 2ª safra'!$E56:INDEX('Feijão 2ª safra'!$E56:$Z56,MIN(AN$6-$E$3,22))&lt;&gt;""),'Feijão 2ª safra'!$E56:INDEX('Feijão 2ª safra'!$E56:$Z56,MIN(AN$6-$E$3,22))),0))-IF($G$2,0,IF((AN$6-$G$3)&lt;1,0,IFERROR(LOOKUP(2,1/('Feijão 2ª safra'!$E56:INDEX('Feijão 2ª safra'!$E56:$Z56,MIN(AN$6-$G$3,22))&lt;&gt;""),'Feijão 2ª safra'!$E56:INDEX('Feijão 2ª safra'!$E56:$Z56,MIN(AN$6-$G$3,22))),0)))))</f>
        <v>0</v>
      </c>
      <c r="AO58" s="27" t="n">
        <f aca="false">IF(COUNT('Feijão 2ª safra'!$E56:$Z56)=0,0,MAX(0,IF((AO$6-$E$3)&lt;1,0,IFERROR(LOOKUP(2,1/('Feijão 2ª safra'!$E56:INDEX('Feijão 2ª safra'!$E56:$Z56,MIN(AO$6-$E$3,22))&lt;&gt;""),'Feijão 2ª safra'!$E56:INDEX('Feijão 2ª safra'!$E56:$Z56,MIN(AO$6-$E$3,22))),0))-IF($G$2,0,IF((AO$6-$G$3)&lt;1,0,IFERROR(LOOKUP(2,1/('Feijão 2ª safra'!$E56:INDEX('Feijão 2ª safra'!$E56:$Z56,MIN(AO$6-$G$3,22))&lt;&gt;""),'Feijão 2ª safra'!$E56:INDEX('Feijão 2ª safra'!$E56:$Z56,MIN(AO$6-$G$3,22))),0)))))</f>
        <v>0</v>
      </c>
      <c r="AP58" s="27" t="n">
        <f aca="false">IF(COUNT('Feijão 2ª safra'!$E56:$Z56)=0,0,MAX(0,IF((AP$6-$E$3)&lt;1,0,IFERROR(LOOKUP(2,1/('Feijão 2ª safra'!$E56:INDEX('Feijão 2ª safra'!$E56:$Z56,MIN(AP$6-$E$3,22))&lt;&gt;""),'Feijão 2ª safra'!$E56:INDEX('Feijão 2ª safra'!$E56:$Z56,MIN(AP$6-$E$3,22))),0))-IF($G$2,0,IF((AP$6-$G$3)&lt;1,0,IFERROR(LOOKUP(2,1/('Feijão 2ª safra'!$E56:INDEX('Feijão 2ª safra'!$E56:$Z56,MIN(AP$6-$G$3,22))&lt;&gt;""),'Feijão 2ª safra'!$E56:INDEX('Feijão 2ª safra'!$E56:$Z56,MIN(AP$6-$G$3,22))),0)))))</f>
        <v>0</v>
      </c>
      <c r="AQ58" s="27" t="n">
        <f aca="false">IF(COUNT('Feijão 2ª safra'!$E56:$Z56)=0,0,MAX(0,IF((AQ$6-$E$3)&lt;1,0,IFERROR(LOOKUP(2,1/('Feijão 2ª safra'!$E56:INDEX('Feijão 2ª safra'!$E56:$Z56,MIN(AQ$6-$E$3,22))&lt;&gt;""),'Feijão 2ª safra'!$E56:INDEX('Feijão 2ª safra'!$E56:$Z56,MIN(AQ$6-$E$3,22))),0))-IF($G$2,0,IF((AQ$6-$G$3)&lt;1,0,IFERROR(LOOKUP(2,1/('Feijão 2ª safra'!$E56:INDEX('Feijão 2ª safra'!$E56:$Z56,MIN(AQ$6-$G$3,22))&lt;&gt;""),'Feijão 2ª safra'!$E56:INDEX('Feijão 2ª safra'!$E56:$Z56,MIN(AQ$6-$G$3,22))),0)))))</f>
        <v>0</v>
      </c>
      <c r="AR58" s="27" t="n">
        <f aca="false">IF(COUNT('Feijão 2ª safra'!$E56:$Z56)=0,0,MAX(0,IF((AR$6-$E$3)&lt;1,0,IFERROR(LOOKUP(2,1/('Feijão 2ª safra'!$E56:INDEX('Feijão 2ª safra'!$E56:$Z56,MIN(AR$6-$E$3,22))&lt;&gt;""),'Feijão 2ª safra'!$E56:INDEX('Feijão 2ª safra'!$E56:$Z56,MIN(AR$6-$E$3,22))),0))-IF($G$2,0,IF((AR$6-$G$3)&lt;1,0,IFERROR(LOOKUP(2,1/('Feijão 2ª safra'!$E56:INDEX('Feijão 2ª safra'!$E56:$Z56,MIN(AR$6-$G$3,22))&lt;&gt;""),'Feijão 2ª safra'!$E56:INDEX('Feijão 2ª safra'!$E56:$Z56,MIN(AR$6-$G$3,22))),0)))))</f>
        <v>0</v>
      </c>
      <c r="AS58" s="27" t="n">
        <f aca="false">IF(COUNT('Feijão 2ª safra'!$E56:$Z56)=0,0,MAX(0,IF((AS$6-$E$3)&lt;1,0,IFERROR(LOOKUP(2,1/('Feijão 2ª safra'!$E56:INDEX('Feijão 2ª safra'!$E56:$Z56,MIN(AS$6-$E$3,22))&lt;&gt;""),'Feijão 2ª safra'!$E56:INDEX('Feijão 2ª safra'!$E56:$Z56,MIN(AS$6-$E$3,22))),0))-IF($G$2,0,IF((AS$6-$G$3)&lt;1,0,IFERROR(LOOKUP(2,1/('Feijão 2ª safra'!$E56:INDEX('Feijão 2ª safra'!$E56:$Z56,MIN(AS$6-$G$3,22))&lt;&gt;""),'Feijão 2ª safra'!$E56:INDEX('Feijão 2ª safra'!$E56:$Z56,MIN(AS$6-$G$3,22))),0)))))</f>
        <v>0</v>
      </c>
      <c r="AT58" s="27" t="n">
        <f aca="false">IF(COUNT('Feijão 2ª safra'!$E56:$Z56)=0,0,MAX(0,IF((AT$6-$E$3)&lt;1,0,IFERROR(LOOKUP(2,1/('Feijão 2ª safra'!$E56:INDEX('Feijão 2ª safra'!$E56:$Z56,MIN(AT$6-$E$3,22))&lt;&gt;""),'Feijão 2ª safra'!$E56:INDEX('Feijão 2ª safra'!$E56:$Z56,MIN(AT$6-$E$3,22))),0))-IF($G$2,0,IF((AT$6-$G$3)&lt;1,0,IFERROR(LOOKUP(2,1/('Feijão 2ª safra'!$E56:INDEX('Feijão 2ª safra'!$E56:$Z56,MIN(AT$6-$G$3,22))&lt;&gt;""),'Feijão 2ª safra'!$E56:INDEX('Feijão 2ª safra'!$E56:$Z56,MIN(AT$6-$G$3,22))),0)))))</f>
        <v>0</v>
      </c>
      <c r="AU58" s="27" t="n">
        <f aca="false">IF(COUNT('Feijão 2ª safra'!$E56:$Z56)=0,0,MAX(0,IF((AU$6-$E$3)&lt;1,0,IFERROR(LOOKUP(2,1/('Feijão 2ª safra'!$E56:INDEX('Feijão 2ª safra'!$E56:$Z56,MIN(AU$6-$E$3,22))&lt;&gt;""),'Feijão 2ª safra'!$E56:INDEX('Feijão 2ª safra'!$E56:$Z56,MIN(AU$6-$E$3,22))),0))-IF($G$2,0,IF((AU$6-$G$3)&lt;1,0,IFERROR(LOOKUP(2,1/('Feijão 2ª safra'!$E56:INDEX('Feijão 2ª safra'!$E56:$Z56,MIN(AU$6-$G$3,22))&lt;&gt;""),'Feijão 2ª safra'!$E56:INDEX('Feijão 2ª safra'!$E56:$Z56,MIN(AU$6-$G$3,22))),0)))))</f>
        <v>0</v>
      </c>
      <c r="AV58" s="27" t="n">
        <f aca="false">IF(COUNT('Feijão 2ª safra'!$E56:$Z56)=0,0,MAX(0,IF((AV$6-$E$3)&lt;1,0,IFERROR(LOOKUP(2,1/('Feijão 2ª safra'!$E56:INDEX('Feijão 2ª safra'!$E56:$Z56,MIN(AV$6-$E$3,22))&lt;&gt;""),'Feijão 2ª safra'!$E56:INDEX('Feijão 2ª safra'!$E56:$Z56,MIN(AV$6-$E$3,22))),0))-IF($G$2,0,IF((AV$6-$G$3)&lt;1,0,IFERROR(LOOKUP(2,1/('Feijão 2ª safra'!$E56:INDEX('Feijão 2ª safra'!$E56:$Z56,MIN(AV$6-$G$3,22))&lt;&gt;""),'Feijão 2ª safra'!$E56:INDEX('Feijão 2ª safra'!$E56:$Z56,MIN(AV$6-$G$3,22))),0)))))</f>
        <v>0</v>
      </c>
      <c r="AW58" s="27" t="n">
        <f aca="false">IF(COUNT('Feijão 2ª safra'!$E56:$Z56)=0,0,MAX(0,IF((AW$6-$E$3)&lt;1,0,IFERROR(LOOKUP(2,1/('Feijão 2ª safra'!$E56:INDEX('Feijão 2ª safra'!$E56:$Z56,MIN(AW$6-$E$3,22))&lt;&gt;""),'Feijão 2ª safra'!$E56:INDEX('Feijão 2ª safra'!$E56:$Z56,MIN(AW$6-$E$3,22))),0))-IF($G$2,0,IF((AW$6-$G$3)&lt;1,0,IFERROR(LOOKUP(2,1/('Feijão 2ª safra'!$E56:INDEX('Feijão 2ª safra'!$E56:$Z56,MIN(AW$6-$G$3,22))&lt;&gt;""),'Feijão 2ª safra'!$E56:INDEX('Feijão 2ª safra'!$E56:$Z56,MIN(AW$6-$G$3,22))),0)))))</f>
        <v>0</v>
      </c>
      <c r="AX58" s="27" t="n">
        <f aca="false">IF(COUNT('Feijão 2ª safra'!$E56:$Z56)=0,0,MAX(0,IF((AX$6-$E$3)&lt;1,0,IFERROR(LOOKUP(2,1/('Feijão 2ª safra'!$E56:INDEX('Feijão 2ª safra'!$E56:$Z56,MIN(AX$6-$E$3,22))&lt;&gt;""),'Feijão 2ª safra'!$E56:INDEX('Feijão 2ª safra'!$E56:$Z56,MIN(AX$6-$E$3,22))),0))-IF($G$2,0,IF((AX$6-$G$3)&lt;1,0,IFERROR(LOOKUP(2,1/('Feijão 2ª safra'!$E56:INDEX('Feijão 2ª safra'!$E56:$Z56,MIN(AX$6-$G$3,22))&lt;&gt;""),'Feijão 2ª safra'!$E56:INDEX('Feijão 2ª safra'!$E56:$Z56,MIN(AX$6-$G$3,22))),0)))))</f>
        <v>0</v>
      </c>
      <c r="AY58" s="27" t="n">
        <f aca="false">IF(COUNT('Feijão 2ª safra'!$E56:$Z56)=0,0,MAX(0,IF((AY$6-$E$3)&lt;1,0,IFERROR(LOOKUP(2,1/('Feijão 2ª safra'!$E56:INDEX('Feijão 2ª safra'!$E56:$Z56,MIN(AY$6-$E$3,22))&lt;&gt;""),'Feijão 2ª safra'!$E56:INDEX('Feijão 2ª safra'!$E56:$Z56,MIN(AY$6-$E$3,22))),0))-IF($G$2,0,IF((AY$6-$G$3)&lt;1,0,IFERROR(LOOKUP(2,1/('Feijão 2ª safra'!$E56:INDEX('Feijão 2ª safra'!$E56:$Z56,MIN(AY$6-$G$3,22))&lt;&gt;""),'Feijão 2ª safra'!$E56:INDEX('Feijão 2ª safra'!$E56:$Z56,MIN(AY$6-$G$3,22))),0)))))</f>
        <v>0</v>
      </c>
      <c r="AZ58" s="27" t="n">
        <f aca="false">IF(COUNT('Feijão 2ª safra'!$E56:$Z56)=0,0,MAX(0,IF((AZ$6-$E$3)&lt;1,0,IFERROR(LOOKUP(2,1/('Feijão 2ª safra'!$E56:INDEX('Feijão 2ª safra'!$E56:$Z56,MIN(AZ$6-$E$3,22))&lt;&gt;""),'Feijão 2ª safra'!$E56:INDEX('Feijão 2ª safra'!$E56:$Z56,MIN(AZ$6-$E$3,22))),0))-IF($G$2,0,IF((AZ$6-$G$3)&lt;1,0,IFERROR(LOOKUP(2,1/('Feijão 2ª safra'!$E56:INDEX('Feijão 2ª safra'!$E56:$Z56,MIN(AZ$6-$G$3,22))&lt;&gt;""),'Feijão 2ª safra'!$E56:INDEX('Feijão 2ª safra'!$E56:$Z56,MIN(AZ$6-$G$3,22))),0)))))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IF(COUNT('Feijão 2ª safra'!$E57:$Z57)&gt;0,N('Feijão 2ª safra'!$D57),0)</f>
        <v>0</v>
      </c>
      <c r="E59" s="27" t="n">
        <f aca="false">IF(COUNT('Feijão 2ª safra'!$E57:$Z57)=0,0,MAX(0,IF((E$6-$E$3)&lt;1,0,IFERROR(LOOKUP(2,1/('Feijão 2ª safra'!$E57:INDEX('Feijão 2ª safra'!$E57:$Z57,MIN(E$6-$E$3,22))&lt;&gt;""),'Feijão 2ª safra'!$E57:INDEX('Feijão 2ª safra'!$E57:$Z57,MIN(E$6-$E$3,22))),0))-IF($G$2,0,IF((E$6-$G$3)&lt;1,0,IFERROR(LOOKUP(2,1/('Feijão 2ª safra'!$E57:INDEX('Feijão 2ª safra'!$E57:$Z57,MIN(E$6-$G$3,22))&lt;&gt;""),'Feijão 2ª safra'!$E57:INDEX('Feijão 2ª safra'!$E57:$Z57,MIN(E$6-$G$3,22))),0)))))</f>
        <v>0</v>
      </c>
      <c r="F59" s="27" t="n">
        <f aca="false">IF(COUNT('Feijão 2ª safra'!$E57:$Z57)=0,0,MAX(0,IF((F$6-$E$3)&lt;1,0,IFERROR(LOOKUP(2,1/('Feijão 2ª safra'!$E57:INDEX('Feijão 2ª safra'!$E57:$Z57,MIN(F$6-$E$3,22))&lt;&gt;""),'Feijão 2ª safra'!$E57:INDEX('Feijão 2ª safra'!$E57:$Z57,MIN(F$6-$E$3,22))),0))-IF($G$2,0,IF((F$6-$G$3)&lt;1,0,IFERROR(LOOKUP(2,1/('Feijão 2ª safra'!$E57:INDEX('Feijão 2ª safra'!$E57:$Z57,MIN(F$6-$G$3,22))&lt;&gt;""),'Feijão 2ª safra'!$E57:INDEX('Feijão 2ª safra'!$E57:$Z57,MIN(F$6-$G$3,22))),0)))))</f>
        <v>0</v>
      </c>
      <c r="G59" s="27" t="n">
        <f aca="false">IF(COUNT('Feijão 2ª safra'!$E57:$Z57)=0,0,MAX(0,IF((G$6-$E$3)&lt;1,0,IFERROR(LOOKUP(2,1/('Feijão 2ª safra'!$E57:INDEX('Feijão 2ª safra'!$E57:$Z57,MIN(G$6-$E$3,22))&lt;&gt;""),'Feijão 2ª safra'!$E57:INDEX('Feijão 2ª safra'!$E57:$Z57,MIN(G$6-$E$3,22))),0))-IF($G$2,0,IF((G$6-$G$3)&lt;1,0,IFERROR(LOOKUP(2,1/('Feijão 2ª safra'!$E57:INDEX('Feijão 2ª safra'!$E57:$Z57,MIN(G$6-$G$3,22))&lt;&gt;""),'Feijão 2ª safra'!$E57:INDEX('Feijão 2ª safra'!$E57:$Z57,MIN(G$6-$G$3,22))),0)))))</f>
        <v>0</v>
      </c>
      <c r="H59" s="27" t="n">
        <f aca="false">IF(COUNT('Feijão 2ª safra'!$E57:$Z57)=0,0,MAX(0,IF((H$6-$E$3)&lt;1,0,IFERROR(LOOKUP(2,1/('Feijão 2ª safra'!$E57:INDEX('Feijão 2ª safra'!$E57:$Z57,MIN(H$6-$E$3,22))&lt;&gt;""),'Feijão 2ª safra'!$E57:INDEX('Feijão 2ª safra'!$E57:$Z57,MIN(H$6-$E$3,22))),0))-IF($G$2,0,IF((H$6-$G$3)&lt;1,0,IFERROR(LOOKUP(2,1/('Feijão 2ª safra'!$E57:INDEX('Feijão 2ª safra'!$E57:$Z57,MIN(H$6-$G$3,22))&lt;&gt;""),'Feijão 2ª safra'!$E57:INDEX('Feijão 2ª safra'!$E57:$Z57,MIN(H$6-$G$3,22))),0)))))</f>
        <v>0</v>
      </c>
      <c r="I59" s="27" t="n">
        <f aca="false">IF(COUNT('Feijão 2ª safra'!$E57:$Z57)=0,0,MAX(0,IF((I$6-$E$3)&lt;1,0,IFERROR(LOOKUP(2,1/('Feijão 2ª safra'!$E57:INDEX('Feijão 2ª safra'!$E57:$Z57,MIN(I$6-$E$3,22))&lt;&gt;""),'Feijão 2ª safra'!$E57:INDEX('Feijão 2ª safra'!$E57:$Z57,MIN(I$6-$E$3,22))),0))-IF($G$2,0,IF((I$6-$G$3)&lt;1,0,IFERROR(LOOKUP(2,1/('Feijão 2ª safra'!$E57:INDEX('Feijão 2ª safra'!$E57:$Z57,MIN(I$6-$G$3,22))&lt;&gt;""),'Feijão 2ª safra'!$E57:INDEX('Feijão 2ª safra'!$E57:$Z57,MIN(I$6-$G$3,22))),0)))))</f>
        <v>0</v>
      </c>
      <c r="J59" s="27" t="n">
        <f aca="false">IF(COUNT('Feijão 2ª safra'!$E57:$Z57)=0,0,MAX(0,IF((J$6-$E$3)&lt;1,0,IFERROR(LOOKUP(2,1/('Feijão 2ª safra'!$E57:INDEX('Feijão 2ª safra'!$E57:$Z57,MIN(J$6-$E$3,22))&lt;&gt;""),'Feijão 2ª safra'!$E57:INDEX('Feijão 2ª safra'!$E57:$Z57,MIN(J$6-$E$3,22))),0))-IF($G$2,0,IF((J$6-$G$3)&lt;1,0,IFERROR(LOOKUP(2,1/('Feijão 2ª safra'!$E57:INDEX('Feijão 2ª safra'!$E57:$Z57,MIN(J$6-$G$3,22))&lt;&gt;""),'Feijão 2ª safra'!$E57:INDEX('Feijão 2ª safra'!$E57:$Z57,MIN(J$6-$G$3,22))),0)))))</f>
        <v>0</v>
      </c>
      <c r="K59" s="27" t="n">
        <f aca="false">IF(COUNT('Feijão 2ª safra'!$E57:$Z57)=0,0,MAX(0,IF((K$6-$E$3)&lt;1,0,IFERROR(LOOKUP(2,1/('Feijão 2ª safra'!$E57:INDEX('Feijão 2ª safra'!$E57:$Z57,MIN(K$6-$E$3,22))&lt;&gt;""),'Feijão 2ª safra'!$E57:INDEX('Feijão 2ª safra'!$E57:$Z57,MIN(K$6-$E$3,22))),0))-IF($G$2,0,IF((K$6-$G$3)&lt;1,0,IFERROR(LOOKUP(2,1/('Feijão 2ª safra'!$E57:INDEX('Feijão 2ª safra'!$E57:$Z57,MIN(K$6-$G$3,22))&lt;&gt;""),'Feijão 2ª safra'!$E57:INDEX('Feijão 2ª safra'!$E57:$Z57,MIN(K$6-$G$3,22))),0)))))</f>
        <v>0</v>
      </c>
      <c r="L59" s="27" t="n">
        <f aca="false">IF(COUNT('Feijão 2ª safra'!$E57:$Z57)=0,0,MAX(0,IF((L$6-$E$3)&lt;1,0,IFERROR(LOOKUP(2,1/('Feijão 2ª safra'!$E57:INDEX('Feijão 2ª safra'!$E57:$Z57,MIN(L$6-$E$3,22))&lt;&gt;""),'Feijão 2ª safra'!$E57:INDEX('Feijão 2ª safra'!$E57:$Z57,MIN(L$6-$E$3,22))),0))-IF($G$2,0,IF((L$6-$G$3)&lt;1,0,IFERROR(LOOKUP(2,1/('Feijão 2ª safra'!$E57:INDEX('Feijão 2ª safra'!$E57:$Z57,MIN(L$6-$G$3,22))&lt;&gt;""),'Feijão 2ª safra'!$E57:INDEX('Feijão 2ª safra'!$E57:$Z57,MIN(L$6-$G$3,22))),0)))))</f>
        <v>0</v>
      </c>
      <c r="M59" s="27" t="n">
        <f aca="false">IF(COUNT('Feijão 2ª safra'!$E57:$Z57)=0,0,MAX(0,IF((M$6-$E$3)&lt;1,0,IFERROR(LOOKUP(2,1/('Feijão 2ª safra'!$E57:INDEX('Feijão 2ª safra'!$E57:$Z57,MIN(M$6-$E$3,22))&lt;&gt;""),'Feijão 2ª safra'!$E57:INDEX('Feijão 2ª safra'!$E57:$Z57,MIN(M$6-$E$3,22))),0))-IF($G$2,0,IF((M$6-$G$3)&lt;1,0,IFERROR(LOOKUP(2,1/('Feijão 2ª safra'!$E57:INDEX('Feijão 2ª safra'!$E57:$Z57,MIN(M$6-$G$3,22))&lt;&gt;""),'Feijão 2ª safra'!$E57:INDEX('Feijão 2ª safra'!$E57:$Z57,MIN(M$6-$G$3,22))),0)))))</f>
        <v>0</v>
      </c>
      <c r="N59" s="27" t="n">
        <f aca="false">IF(COUNT('Feijão 2ª safra'!$E57:$Z57)=0,0,MAX(0,IF((N$6-$E$3)&lt;1,0,IFERROR(LOOKUP(2,1/('Feijão 2ª safra'!$E57:INDEX('Feijão 2ª safra'!$E57:$Z57,MIN(N$6-$E$3,22))&lt;&gt;""),'Feijão 2ª safra'!$E57:INDEX('Feijão 2ª safra'!$E57:$Z57,MIN(N$6-$E$3,22))),0))-IF($G$2,0,IF((N$6-$G$3)&lt;1,0,IFERROR(LOOKUP(2,1/('Feijão 2ª safra'!$E57:INDEX('Feijão 2ª safra'!$E57:$Z57,MIN(N$6-$G$3,22))&lt;&gt;""),'Feijão 2ª safra'!$E57:INDEX('Feijão 2ª safra'!$E57:$Z57,MIN(N$6-$G$3,22))),0)))))</f>
        <v>0</v>
      </c>
      <c r="O59" s="27" t="n">
        <f aca="false">IF(COUNT('Feijão 2ª safra'!$E57:$Z57)=0,0,MAX(0,IF((O$6-$E$3)&lt;1,0,IFERROR(LOOKUP(2,1/('Feijão 2ª safra'!$E57:INDEX('Feijão 2ª safra'!$E57:$Z57,MIN(O$6-$E$3,22))&lt;&gt;""),'Feijão 2ª safra'!$E57:INDEX('Feijão 2ª safra'!$E57:$Z57,MIN(O$6-$E$3,22))),0))-IF($G$2,0,IF((O$6-$G$3)&lt;1,0,IFERROR(LOOKUP(2,1/('Feijão 2ª safra'!$E57:INDEX('Feijão 2ª safra'!$E57:$Z57,MIN(O$6-$G$3,22))&lt;&gt;""),'Feijão 2ª safra'!$E57:INDEX('Feijão 2ª safra'!$E57:$Z57,MIN(O$6-$G$3,22))),0)))))</f>
        <v>0</v>
      </c>
      <c r="P59" s="27" t="n">
        <f aca="false">IF(COUNT('Feijão 2ª safra'!$E57:$Z57)=0,0,MAX(0,IF((P$6-$E$3)&lt;1,0,IFERROR(LOOKUP(2,1/('Feijão 2ª safra'!$E57:INDEX('Feijão 2ª safra'!$E57:$Z57,MIN(P$6-$E$3,22))&lt;&gt;""),'Feijão 2ª safra'!$E57:INDEX('Feijão 2ª safra'!$E57:$Z57,MIN(P$6-$E$3,22))),0))-IF($G$2,0,IF((P$6-$G$3)&lt;1,0,IFERROR(LOOKUP(2,1/('Feijão 2ª safra'!$E57:INDEX('Feijão 2ª safra'!$E57:$Z57,MIN(P$6-$G$3,22))&lt;&gt;""),'Feijão 2ª safra'!$E57:INDEX('Feijão 2ª safra'!$E57:$Z57,MIN(P$6-$G$3,22))),0)))))</f>
        <v>0</v>
      </c>
      <c r="Q59" s="27" t="n">
        <f aca="false">IF(COUNT('Feijão 2ª safra'!$E57:$Z57)=0,0,MAX(0,IF((Q$6-$E$3)&lt;1,0,IFERROR(LOOKUP(2,1/('Feijão 2ª safra'!$E57:INDEX('Feijão 2ª safra'!$E57:$Z57,MIN(Q$6-$E$3,22))&lt;&gt;""),'Feijão 2ª safra'!$E57:INDEX('Feijão 2ª safra'!$E57:$Z57,MIN(Q$6-$E$3,22))),0))-IF($G$2,0,IF((Q$6-$G$3)&lt;1,0,IFERROR(LOOKUP(2,1/('Feijão 2ª safra'!$E57:INDEX('Feijão 2ª safra'!$E57:$Z57,MIN(Q$6-$G$3,22))&lt;&gt;""),'Feijão 2ª safra'!$E57:INDEX('Feijão 2ª safra'!$E57:$Z57,MIN(Q$6-$G$3,22))),0)))))</f>
        <v>0</v>
      </c>
      <c r="R59" s="27" t="n">
        <f aca="false">IF(COUNT('Feijão 2ª safra'!$E57:$Z57)=0,0,MAX(0,IF((R$6-$E$3)&lt;1,0,IFERROR(LOOKUP(2,1/('Feijão 2ª safra'!$E57:INDEX('Feijão 2ª safra'!$E57:$Z57,MIN(R$6-$E$3,22))&lt;&gt;""),'Feijão 2ª safra'!$E57:INDEX('Feijão 2ª safra'!$E57:$Z57,MIN(R$6-$E$3,22))),0))-IF($G$2,0,IF((R$6-$G$3)&lt;1,0,IFERROR(LOOKUP(2,1/('Feijão 2ª safra'!$E57:INDEX('Feijão 2ª safra'!$E57:$Z57,MIN(R$6-$G$3,22))&lt;&gt;""),'Feijão 2ª safra'!$E57:INDEX('Feijão 2ª safra'!$E57:$Z57,MIN(R$6-$G$3,22))),0)))))</f>
        <v>0</v>
      </c>
      <c r="S59" s="27" t="n">
        <f aca="false">IF(COUNT('Feijão 2ª safra'!$E57:$Z57)=0,0,MAX(0,IF((S$6-$E$3)&lt;1,0,IFERROR(LOOKUP(2,1/('Feijão 2ª safra'!$E57:INDEX('Feijão 2ª safra'!$E57:$Z57,MIN(S$6-$E$3,22))&lt;&gt;""),'Feijão 2ª safra'!$E57:INDEX('Feijão 2ª safra'!$E57:$Z57,MIN(S$6-$E$3,22))),0))-IF($G$2,0,IF((S$6-$G$3)&lt;1,0,IFERROR(LOOKUP(2,1/('Feijão 2ª safra'!$E57:INDEX('Feijão 2ª safra'!$E57:$Z57,MIN(S$6-$G$3,22))&lt;&gt;""),'Feijão 2ª safra'!$E57:INDEX('Feijão 2ª safra'!$E57:$Z57,MIN(S$6-$G$3,22))),0)))))</f>
        <v>0</v>
      </c>
      <c r="T59" s="27" t="n">
        <f aca="false">IF(COUNT('Feijão 2ª safra'!$E57:$Z57)=0,0,MAX(0,IF((T$6-$E$3)&lt;1,0,IFERROR(LOOKUP(2,1/('Feijão 2ª safra'!$E57:INDEX('Feijão 2ª safra'!$E57:$Z57,MIN(T$6-$E$3,22))&lt;&gt;""),'Feijão 2ª safra'!$E57:INDEX('Feijão 2ª safra'!$E57:$Z57,MIN(T$6-$E$3,22))),0))-IF($G$2,0,IF((T$6-$G$3)&lt;1,0,IFERROR(LOOKUP(2,1/('Feijão 2ª safra'!$E57:INDEX('Feijão 2ª safra'!$E57:$Z57,MIN(T$6-$G$3,22))&lt;&gt;""),'Feijão 2ª safra'!$E57:INDEX('Feijão 2ª safra'!$E57:$Z57,MIN(T$6-$G$3,22))),0)))))</f>
        <v>0</v>
      </c>
      <c r="U59" s="27" t="n">
        <f aca="false">IF(COUNT('Feijão 2ª safra'!$E57:$Z57)=0,0,MAX(0,IF((U$6-$E$3)&lt;1,0,IFERROR(LOOKUP(2,1/('Feijão 2ª safra'!$E57:INDEX('Feijão 2ª safra'!$E57:$Z57,MIN(U$6-$E$3,22))&lt;&gt;""),'Feijão 2ª safra'!$E57:INDEX('Feijão 2ª safra'!$E57:$Z57,MIN(U$6-$E$3,22))),0))-IF($G$2,0,IF((U$6-$G$3)&lt;1,0,IFERROR(LOOKUP(2,1/('Feijão 2ª safra'!$E57:INDEX('Feijão 2ª safra'!$E57:$Z57,MIN(U$6-$G$3,22))&lt;&gt;""),'Feijão 2ª safra'!$E57:INDEX('Feijão 2ª safra'!$E57:$Z57,MIN(U$6-$G$3,22))),0)))))</f>
        <v>0</v>
      </c>
      <c r="V59" s="27" t="n">
        <f aca="false">IF(COUNT('Feijão 2ª safra'!$E57:$Z57)=0,0,MAX(0,IF((V$6-$E$3)&lt;1,0,IFERROR(LOOKUP(2,1/('Feijão 2ª safra'!$E57:INDEX('Feijão 2ª safra'!$E57:$Z57,MIN(V$6-$E$3,22))&lt;&gt;""),'Feijão 2ª safra'!$E57:INDEX('Feijão 2ª safra'!$E57:$Z57,MIN(V$6-$E$3,22))),0))-IF($G$2,0,IF((V$6-$G$3)&lt;1,0,IFERROR(LOOKUP(2,1/('Feijão 2ª safra'!$E57:INDEX('Feijão 2ª safra'!$E57:$Z57,MIN(V$6-$G$3,22))&lt;&gt;""),'Feijão 2ª safra'!$E57:INDEX('Feijão 2ª safra'!$E57:$Z57,MIN(V$6-$G$3,22))),0)))))</f>
        <v>0</v>
      </c>
      <c r="W59" s="27" t="n">
        <f aca="false">IF(COUNT('Feijão 2ª safra'!$E57:$Z57)=0,0,MAX(0,IF((W$6-$E$3)&lt;1,0,IFERROR(LOOKUP(2,1/('Feijão 2ª safra'!$E57:INDEX('Feijão 2ª safra'!$E57:$Z57,MIN(W$6-$E$3,22))&lt;&gt;""),'Feijão 2ª safra'!$E57:INDEX('Feijão 2ª safra'!$E57:$Z57,MIN(W$6-$E$3,22))),0))-IF($G$2,0,IF((W$6-$G$3)&lt;1,0,IFERROR(LOOKUP(2,1/('Feijão 2ª safra'!$E57:INDEX('Feijão 2ª safra'!$E57:$Z57,MIN(W$6-$G$3,22))&lt;&gt;""),'Feijão 2ª safra'!$E57:INDEX('Feijão 2ª safra'!$E57:$Z57,MIN(W$6-$G$3,22))),0)))))</f>
        <v>0</v>
      </c>
      <c r="X59" s="27" t="n">
        <f aca="false">IF(COUNT('Feijão 2ª safra'!$E57:$Z57)=0,0,MAX(0,IF((X$6-$E$3)&lt;1,0,IFERROR(LOOKUP(2,1/('Feijão 2ª safra'!$E57:INDEX('Feijão 2ª safra'!$E57:$Z57,MIN(X$6-$E$3,22))&lt;&gt;""),'Feijão 2ª safra'!$E57:INDEX('Feijão 2ª safra'!$E57:$Z57,MIN(X$6-$E$3,22))),0))-IF($G$2,0,IF((X$6-$G$3)&lt;1,0,IFERROR(LOOKUP(2,1/('Feijão 2ª safra'!$E57:INDEX('Feijão 2ª safra'!$E57:$Z57,MIN(X$6-$G$3,22))&lt;&gt;""),'Feijão 2ª safra'!$E57:INDEX('Feijão 2ª safra'!$E57:$Z57,MIN(X$6-$G$3,22))),0)))))</f>
        <v>0</v>
      </c>
      <c r="Y59" s="27" t="n">
        <f aca="false">IF(COUNT('Feijão 2ª safra'!$E57:$Z57)=0,0,MAX(0,IF((Y$6-$E$3)&lt;1,0,IFERROR(LOOKUP(2,1/('Feijão 2ª safra'!$E57:INDEX('Feijão 2ª safra'!$E57:$Z57,MIN(Y$6-$E$3,22))&lt;&gt;""),'Feijão 2ª safra'!$E57:INDEX('Feijão 2ª safra'!$E57:$Z57,MIN(Y$6-$E$3,22))),0))-IF($G$2,0,IF((Y$6-$G$3)&lt;1,0,IFERROR(LOOKUP(2,1/('Feijão 2ª safra'!$E57:INDEX('Feijão 2ª safra'!$E57:$Z57,MIN(Y$6-$G$3,22))&lt;&gt;""),'Feijão 2ª safra'!$E57:INDEX('Feijão 2ª safra'!$E57:$Z57,MIN(Y$6-$G$3,22))),0)))))</f>
        <v>0</v>
      </c>
      <c r="Z59" s="27" t="n">
        <f aca="false">IF(COUNT('Feijão 2ª safra'!$E57:$Z57)=0,0,MAX(0,IF((Z$6-$E$3)&lt;1,0,IFERROR(LOOKUP(2,1/('Feijão 2ª safra'!$E57:INDEX('Feijão 2ª safra'!$E57:$Z57,MIN(Z$6-$E$3,22))&lt;&gt;""),'Feijão 2ª safra'!$E57:INDEX('Feijão 2ª safra'!$E57:$Z57,MIN(Z$6-$E$3,22))),0))-IF($G$2,0,IF((Z$6-$G$3)&lt;1,0,IFERROR(LOOKUP(2,1/('Feijão 2ª safra'!$E57:INDEX('Feijão 2ª safra'!$E57:$Z57,MIN(Z$6-$G$3,22))&lt;&gt;""),'Feijão 2ª safra'!$E57:INDEX('Feijão 2ª safra'!$E57:$Z57,MIN(Z$6-$G$3,22))),0)))))</f>
        <v>0</v>
      </c>
      <c r="AA59" s="27" t="n">
        <f aca="false">IF(COUNT('Feijão 2ª safra'!$E57:$Z57)=0,0,MAX(0,IF((AA$6-$E$3)&lt;1,0,IFERROR(LOOKUP(2,1/('Feijão 2ª safra'!$E57:INDEX('Feijão 2ª safra'!$E57:$Z57,MIN(AA$6-$E$3,22))&lt;&gt;""),'Feijão 2ª safra'!$E57:INDEX('Feijão 2ª safra'!$E57:$Z57,MIN(AA$6-$E$3,22))),0))-IF($G$2,0,IF((AA$6-$G$3)&lt;1,0,IFERROR(LOOKUP(2,1/('Feijão 2ª safra'!$E57:INDEX('Feijão 2ª safra'!$E57:$Z57,MIN(AA$6-$G$3,22))&lt;&gt;""),'Feijão 2ª safra'!$E57:INDEX('Feijão 2ª safra'!$E57:$Z57,MIN(AA$6-$G$3,22))),0)))))</f>
        <v>0</v>
      </c>
      <c r="AB59" s="27" t="n">
        <f aca="false">IF(COUNT('Feijão 2ª safra'!$E57:$Z57)=0,0,MAX(0,IF((AB$6-$E$3)&lt;1,0,IFERROR(LOOKUP(2,1/('Feijão 2ª safra'!$E57:INDEX('Feijão 2ª safra'!$E57:$Z57,MIN(AB$6-$E$3,22))&lt;&gt;""),'Feijão 2ª safra'!$E57:INDEX('Feijão 2ª safra'!$E57:$Z57,MIN(AB$6-$E$3,22))),0))-IF($G$2,0,IF((AB$6-$G$3)&lt;1,0,IFERROR(LOOKUP(2,1/('Feijão 2ª safra'!$E57:INDEX('Feijão 2ª safra'!$E57:$Z57,MIN(AB$6-$G$3,22))&lt;&gt;""),'Feijão 2ª safra'!$E57:INDEX('Feijão 2ª safra'!$E57:$Z57,MIN(AB$6-$G$3,22))),0)))))</f>
        <v>0</v>
      </c>
      <c r="AC59" s="27" t="n">
        <f aca="false">IF(COUNT('Feijão 2ª safra'!$E57:$Z57)=0,0,MAX(0,IF((AC$6-$E$3)&lt;1,0,IFERROR(LOOKUP(2,1/('Feijão 2ª safra'!$E57:INDEX('Feijão 2ª safra'!$E57:$Z57,MIN(AC$6-$E$3,22))&lt;&gt;""),'Feijão 2ª safra'!$E57:INDEX('Feijão 2ª safra'!$E57:$Z57,MIN(AC$6-$E$3,22))),0))-IF($G$2,0,IF((AC$6-$G$3)&lt;1,0,IFERROR(LOOKUP(2,1/('Feijão 2ª safra'!$E57:INDEX('Feijão 2ª safra'!$E57:$Z57,MIN(AC$6-$G$3,22))&lt;&gt;""),'Feijão 2ª safra'!$E57:INDEX('Feijão 2ª safra'!$E57:$Z57,MIN(AC$6-$G$3,22))),0)))))</f>
        <v>0</v>
      </c>
      <c r="AD59" s="27" t="n">
        <f aca="false">IF(COUNT('Feijão 2ª safra'!$E57:$Z57)=0,0,MAX(0,IF((AD$6-$E$3)&lt;1,0,IFERROR(LOOKUP(2,1/('Feijão 2ª safra'!$E57:INDEX('Feijão 2ª safra'!$E57:$Z57,MIN(AD$6-$E$3,22))&lt;&gt;""),'Feijão 2ª safra'!$E57:INDEX('Feijão 2ª safra'!$E57:$Z57,MIN(AD$6-$E$3,22))),0))-IF($G$2,0,IF((AD$6-$G$3)&lt;1,0,IFERROR(LOOKUP(2,1/('Feijão 2ª safra'!$E57:INDEX('Feijão 2ª safra'!$E57:$Z57,MIN(AD$6-$G$3,22))&lt;&gt;""),'Feijão 2ª safra'!$E57:INDEX('Feijão 2ª safra'!$E57:$Z57,MIN(AD$6-$G$3,22))),0)))))</f>
        <v>0</v>
      </c>
      <c r="AE59" s="27" t="n">
        <f aca="false">IF(COUNT('Feijão 2ª safra'!$E57:$Z57)=0,0,MAX(0,IF((AE$6-$E$3)&lt;1,0,IFERROR(LOOKUP(2,1/('Feijão 2ª safra'!$E57:INDEX('Feijão 2ª safra'!$E57:$Z57,MIN(AE$6-$E$3,22))&lt;&gt;""),'Feijão 2ª safra'!$E57:INDEX('Feijão 2ª safra'!$E57:$Z57,MIN(AE$6-$E$3,22))),0))-IF($G$2,0,IF((AE$6-$G$3)&lt;1,0,IFERROR(LOOKUP(2,1/('Feijão 2ª safra'!$E57:INDEX('Feijão 2ª safra'!$E57:$Z57,MIN(AE$6-$G$3,22))&lt;&gt;""),'Feijão 2ª safra'!$E57:INDEX('Feijão 2ª safra'!$E57:$Z57,MIN(AE$6-$G$3,22))),0)))))</f>
        <v>0</v>
      </c>
      <c r="AF59" s="27" t="n">
        <f aca="false">IF(COUNT('Feijão 2ª safra'!$E57:$Z57)=0,0,MAX(0,IF((AF$6-$E$3)&lt;1,0,IFERROR(LOOKUP(2,1/('Feijão 2ª safra'!$E57:INDEX('Feijão 2ª safra'!$E57:$Z57,MIN(AF$6-$E$3,22))&lt;&gt;""),'Feijão 2ª safra'!$E57:INDEX('Feijão 2ª safra'!$E57:$Z57,MIN(AF$6-$E$3,22))),0))-IF($G$2,0,IF((AF$6-$G$3)&lt;1,0,IFERROR(LOOKUP(2,1/('Feijão 2ª safra'!$E57:INDEX('Feijão 2ª safra'!$E57:$Z57,MIN(AF$6-$G$3,22))&lt;&gt;""),'Feijão 2ª safra'!$E57:INDEX('Feijão 2ª safra'!$E57:$Z57,MIN(AF$6-$G$3,22))),0)))))</f>
        <v>0</v>
      </c>
      <c r="AG59" s="27" t="n">
        <f aca="false">IF(COUNT('Feijão 2ª safra'!$E57:$Z57)=0,0,MAX(0,IF((AG$6-$E$3)&lt;1,0,IFERROR(LOOKUP(2,1/('Feijão 2ª safra'!$E57:INDEX('Feijão 2ª safra'!$E57:$Z57,MIN(AG$6-$E$3,22))&lt;&gt;""),'Feijão 2ª safra'!$E57:INDEX('Feijão 2ª safra'!$E57:$Z57,MIN(AG$6-$E$3,22))),0))-IF($G$2,0,IF((AG$6-$G$3)&lt;1,0,IFERROR(LOOKUP(2,1/('Feijão 2ª safra'!$E57:INDEX('Feijão 2ª safra'!$E57:$Z57,MIN(AG$6-$G$3,22))&lt;&gt;""),'Feijão 2ª safra'!$E57:INDEX('Feijão 2ª safra'!$E57:$Z57,MIN(AG$6-$G$3,22))),0)))))</f>
        <v>0</v>
      </c>
      <c r="AH59" s="27" t="n">
        <f aca="false">IF(COUNT('Feijão 2ª safra'!$E57:$Z57)=0,0,MAX(0,IF((AH$6-$E$3)&lt;1,0,IFERROR(LOOKUP(2,1/('Feijão 2ª safra'!$E57:INDEX('Feijão 2ª safra'!$E57:$Z57,MIN(AH$6-$E$3,22))&lt;&gt;""),'Feijão 2ª safra'!$E57:INDEX('Feijão 2ª safra'!$E57:$Z57,MIN(AH$6-$E$3,22))),0))-IF($G$2,0,IF((AH$6-$G$3)&lt;1,0,IFERROR(LOOKUP(2,1/('Feijão 2ª safra'!$E57:INDEX('Feijão 2ª safra'!$E57:$Z57,MIN(AH$6-$G$3,22))&lt;&gt;""),'Feijão 2ª safra'!$E57:INDEX('Feijão 2ª safra'!$E57:$Z57,MIN(AH$6-$G$3,22))),0)))))</f>
        <v>0</v>
      </c>
      <c r="AI59" s="27" t="n">
        <f aca="false">IF(COUNT('Feijão 2ª safra'!$E57:$Z57)=0,0,MAX(0,IF((AI$6-$E$3)&lt;1,0,IFERROR(LOOKUP(2,1/('Feijão 2ª safra'!$E57:INDEX('Feijão 2ª safra'!$E57:$Z57,MIN(AI$6-$E$3,22))&lt;&gt;""),'Feijão 2ª safra'!$E57:INDEX('Feijão 2ª safra'!$E57:$Z57,MIN(AI$6-$E$3,22))),0))-IF($G$2,0,IF((AI$6-$G$3)&lt;1,0,IFERROR(LOOKUP(2,1/('Feijão 2ª safra'!$E57:INDEX('Feijão 2ª safra'!$E57:$Z57,MIN(AI$6-$G$3,22))&lt;&gt;""),'Feijão 2ª safra'!$E57:INDEX('Feijão 2ª safra'!$E57:$Z57,MIN(AI$6-$G$3,22))),0)))))</f>
        <v>0</v>
      </c>
      <c r="AJ59" s="27" t="n">
        <f aca="false">IF(COUNT('Feijão 2ª safra'!$E57:$Z57)=0,0,MAX(0,IF((AJ$6-$E$3)&lt;1,0,IFERROR(LOOKUP(2,1/('Feijão 2ª safra'!$E57:INDEX('Feijão 2ª safra'!$E57:$Z57,MIN(AJ$6-$E$3,22))&lt;&gt;""),'Feijão 2ª safra'!$E57:INDEX('Feijão 2ª safra'!$E57:$Z57,MIN(AJ$6-$E$3,22))),0))-IF($G$2,0,IF((AJ$6-$G$3)&lt;1,0,IFERROR(LOOKUP(2,1/('Feijão 2ª safra'!$E57:INDEX('Feijão 2ª safra'!$E57:$Z57,MIN(AJ$6-$G$3,22))&lt;&gt;""),'Feijão 2ª safra'!$E57:INDEX('Feijão 2ª safra'!$E57:$Z57,MIN(AJ$6-$G$3,22))),0)))))</f>
        <v>0</v>
      </c>
      <c r="AK59" s="27" t="n">
        <f aca="false">IF(COUNT('Feijão 2ª safra'!$E57:$Z57)=0,0,MAX(0,IF((AK$6-$E$3)&lt;1,0,IFERROR(LOOKUP(2,1/('Feijão 2ª safra'!$E57:INDEX('Feijão 2ª safra'!$E57:$Z57,MIN(AK$6-$E$3,22))&lt;&gt;""),'Feijão 2ª safra'!$E57:INDEX('Feijão 2ª safra'!$E57:$Z57,MIN(AK$6-$E$3,22))),0))-IF($G$2,0,IF((AK$6-$G$3)&lt;1,0,IFERROR(LOOKUP(2,1/('Feijão 2ª safra'!$E57:INDEX('Feijão 2ª safra'!$E57:$Z57,MIN(AK$6-$G$3,22))&lt;&gt;""),'Feijão 2ª safra'!$E57:INDEX('Feijão 2ª safra'!$E57:$Z57,MIN(AK$6-$G$3,22))),0)))))</f>
        <v>0</v>
      </c>
      <c r="AL59" s="27" t="n">
        <f aca="false">IF(COUNT('Feijão 2ª safra'!$E57:$Z57)=0,0,MAX(0,IF((AL$6-$E$3)&lt;1,0,IFERROR(LOOKUP(2,1/('Feijão 2ª safra'!$E57:INDEX('Feijão 2ª safra'!$E57:$Z57,MIN(AL$6-$E$3,22))&lt;&gt;""),'Feijão 2ª safra'!$E57:INDEX('Feijão 2ª safra'!$E57:$Z57,MIN(AL$6-$E$3,22))),0))-IF($G$2,0,IF((AL$6-$G$3)&lt;1,0,IFERROR(LOOKUP(2,1/('Feijão 2ª safra'!$E57:INDEX('Feijão 2ª safra'!$E57:$Z57,MIN(AL$6-$G$3,22))&lt;&gt;""),'Feijão 2ª safra'!$E57:INDEX('Feijão 2ª safra'!$E57:$Z57,MIN(AL$6-$G$3,22))),0)))))</f>
        <v>0</v>
      </c>
      <c r="AM59" s="27" t="n">
        <f aca="false">IF(COUNT('Feijão 2ª safra'!$E57:$Z57)=0,0,MAX(0,IF((AM$6-$E$3)&lt;1,0,IFERROR(LOOKUP(2,1/('Feijão 2ª safra'!$E57:INDEX('Feijão 2ª safra'!$E57:$Z57,MIN(AM$6-$E$3,22))&lt;&gt;""),'Feijão 2ª safra'!$E57:INDEX('Feijão 2ª safra'!$E57:$Z57,MIN(AM$6-$E$3,22))),0))-IF($G$2,0,IF((AM$6-$G$3)&lt;1,0,IFERROR(LOOKUP(2,1/('Feijão 2ª safra'!$E57:INDEX('Feijão 2ª safra'!$E57:$Z57,MIN(AM$6-$G$3,22))&lt;&gt;""),'Feijão 2ª safra'!$E57:INDEX('Feijão 2ª safra'!$E57:$Z57,MIN(AM$6-$G$3,22))),0)))))</f>
        <v>0</v>
      </c>
      <c r="AN59" s="27" t="n">
        <f aca="false">IF(COUNT('Feijão 2ª safra'!$E57:$Z57)=0,0,MAX(0,IF((AN$6-$E$3)&lt;1,0,IFERROR(LOOKUP(2,1/('Feijão 2ª safra'!$E57:INDEX('Feijão 2ª safra'!$E57:$Z57,MIN(AN$6-$E$3,22))&lt;&gt;""),'Feijão 2ª safra'!$E57:INDEX('Feijão 2ª safra'!$E57:$Z57,MIN(AN$6-$E$3,22))),0))-IF($G$2,0,IF((AN$6-$G$3)&lt;1,0,IFERROR(LOOKUP(2,1/('Feijão 2ª safra'!$E57:INDEX('Feijão 2ª safra'!$E57:$Z57,MIN(AN$6-$G$3,22))&lt;&gt;""),'Feijão 2ª safra'!$E57:INDEX('Feijão 2ª safra'!$E57:$Z57,MIN(AN$6-$G$3,22))),0)))))</f>
        <v>0</v>
      </c>
      <c r="AO59" s="27" t="n">
        <f aca="false">IF(COUNT('Feijão 2ª safra'!$E57:$Z57)=0,0,MAX(0,IF((AO$6-$E$3)&lt;1,0,IFERROR(LOOKUP(2,1/('Feijão 2ª safra'!$E57:INDEX('Feijão 2ª safra'!$E57:$Z57,MIN(AO$6-$E$3,22))&lt;&gt;""),'Feijão 2ª safra'!$E57:INDEX('Feijão 2ª safra'!$E57:$Z57,MIN(AO$6-$E$3,22))),0))-IF($G$2,0,IF((AO$6-$G$3)&lt;1,0,IFERROR(LOOKUP(2,1/('Feijão 2ª safra'!$E57:INDEX('Feijão 2ª safra'!$E57:$Z57,MIN(AO$6-$G$3,22))&lt;&gt;""),'Feijão 2ª safra'!$E57:INDEX('Feijão 2ª safra'!$E57:$Z57,MIN(AO$6-$G$3,22))),0)))))</f>
        <v>0</v>
      </c>
      <c r="AP59" s="27" t="n">
        <f aca="false">IF(COUNT('Feijão 2ª safra'!$E57:$Z57)=0,0,MAX(0,IF((AP$6-$E$3)&lt;1,0,IFERROR(LOOKUP(2,1/('Feijão 2ª safra'!$E57:INDEX('Feijão 2ª safra'!$E57:$Z57,MIN(AP$6-$E$3,22))&lt;&gt;""),'Feijão 2ª safra'!$E57:INDEX('Feijão 2ª safra'!$E57:$Z57,MIN(AP$6-$E$3,22))),0))-IF($G$2,0,IF((AP$6-$G$3)&lt;1,0,IFERROR(LOOKUP(2,1/('Feijão 2ª safra'!$E57:INDEX('Feijão 2ª safra'!$E57:$Z57,MIN(AP$6-$G$3,22))&lt;&gt;""),'Feijão 2ª safra'!$E57:INDEX('Feijão 2ª safra'!$E57:$Z57,MIN(AP$6-$G$3,22))),0)))))</f>
        <v>0</v>
      </c>
      <c r="AQ59" s="27" t="n">
        <f aca="false">IF(COUNT('Feijão 2ª safra'!$E57:$Z57)=0,0,MAX(0,IF((AQ$6-$E$3)&lt;1,0,IFERROR(LOOKUP(2,1/('Feijão 2ª safra'!$E57:INDEX('Feijão 2ª safra'!$E57:$Z57,MIN(AQ$6-$E$3,22))&lt;&gt;""),'Feijão 2ª safra'!$E57:INDEX('Feijão 2ª safra'!$E57:$Z57,MIN(AQ$6-$E$3,22))),0))-IF($G$2,0,IF((AQ$6-$G$3)&lt;1,0,IFERROR(LOOKUP(2,1/('Feijão 2ª safra'!$E57:INDEX('Feijão 2ª safra'!$E57:$Z57,MIN(AQ$6-$G$3,22))&lt;&gt;""),'Feijão 2ª safra'!$E57:INDEX('Feijão 2ª safra'!$E57:$Z57,MIN(AQ$6-$G$3,22))),0)))))</f>
        <v>0</v>
      </c>
      <c r="AR59" s="27" t="n">
        <f aca="false">IF(COUNT('Feijão 2ª safra'!$E57:$Z57)=0,0,MAX(0,IF((AR$6-$E$3)&lt;1,0,IFERROR(LOOKUP(2,1/('Feijão 2ª safra'!$E57:INDEX('Feijão 2ª safra'!$E57:$Z57,MIN(AR$6-$E$3,22))&lt;&gt;""),'Feijão 2ª safra'!$E57:INDEX('Feijão 2ª safra'!$E57:$Z57,MIN(AR$6-$E$3,22))),0))-IF($G$2,0,IF((AR$6-$G$3)&lt;1,0,IFERROR(LOOKUP(2,1/('Feijão 2ª safra'!$E57:INDEX('Feijão 2ª safra'!$E57:$Z57,MIN(AR$6-$G$3,22))&lt;&gt;""),'Feijão 2ª safra'!$E57:INDEX('Feijão 2ª safra'!$E57:$Z57,MIN(AR$6-$G$3,22))),0)))))</f>
        <v>0</v>
      </c>
      <c r="AS59" s="27" t="n">
        <f aca="false">IF(COUNT('Feijão 2ª safra'!$E57:$Z57)=0,0,MAX(0,IF((AS$6-$E$3)&lt;1,0,IFERROR(LOOKUP(2,1/('Feijão 2ª safra'!$E57:INDEX('Feijão 2ª safra'!$E57:$Z57,MIN(AS$6-$E$3,22))&lt;&gt;""),'Feijão 2ª safra'!$E57:INDEX('Feijão 2ª safra'!$E57:$Z57,MIN(AS$6-$E$3,22))),0))-IF($G$2,0,IF((AS$6-$G$3)&lt;1,0,IFERROR(LOOKUP(2,1/('Feijão 2ª safra'!$E57:INDEX('Feijão 2ª safra'!$E57:$Z57,MIN(AS$6-$G$3,22))&lt;&gt;""),'Feijão 2ª safra'!$E57:INDEX('Feijão 2ª safra'!$E57:$Z57,MIN(AS$6-$G$3,22))),0)))))</f>
        <v>0</v>
      </c>
      <c r="AT59" s="27" t="n">
        <f aca="false">IF(COUNT('Feijão 2ª safra'!$E57:$Z57)=0,0,MAX(0,IF((AT$6-$E$3)&lt;1,0,IFERROR(LOOKUP(2,1/('Feijão 2ª safra'!$E57:INDEX('Feijão 2ª safra'!$E57:$Z57,MIN(AT$6-$E$3,22))&lt;&gt;""),'Feijão 2ª safra'!$E57:INDEX('Feijão 2ª safra'!$E57:$Z57,MIN(AT$6-$E$3,22))),0))-IF($G$2,0,IF((AT$6-$G$3)&lt;1,0,IFERROR(LOOKUP(2,1/('Feijão 2ª safra'!$E57:INDEX('Feijão 2ª safra'!$E57:$Z57,MIN(AT$6-$G$3,22))&lt;&gt;""),'Feijão 2ª safra'!$E57:INDEX('Feijão 2ª safra'!$E57:$Z57,MIN(AT$6-$G$3,22))),0)))))</f>
        <v>0</v>
      </c>
      <c r="AU59" s="27" t="n">
        <f aca="false">IF(COUNT('Feijão 2ª safra'!$E57:$Z57)=0,0,MAX(0,IF((AU$6-$E$3)&lt;1,0,IFERROR(LOOKUP(2,1/('Feijão 2ª safra'!$E57:INDEX('Feijão 2ª safra'!$E57:$Z57,MIN(AU$6-$E$3,22))&lt;&gt;""),'Feijão 2ª safra'!$E57:INDEX('Feijão 2ª safra'!$E57:$Z57,MIN(AU$6-$E$3,22))),0))-IF($G$2,0,IF((AU$6-$G$3)&lt;1,0,IFERROR(LOOKUP(2,1/('Feijão 2ª safra'!$E57:INDEX('Feijão 2ª safra'!$E57:$Z57,MIN(AU$6-$G$3,22))&lt;&gt;""),'Feijão 2ª safra'!$E57:INDEX('Feijão 2ª safra'!$E57:$Z57,MIN(AU$6-$G$3,22))),0)))))</f>
        <v>0</v>
      </c>
      <c r="AV59" s="27" t="n">
        <f aca="false">IF(COUNT('Feijão 2ª safra'!$E57:$Z57)=0,0,MAX(0,IF((AV$6-$E$3)&lt;1,0,IFERROR(LOOKUP(2,1/('Feijão 2ª safra'!$E57:INDEX('Feijão 2ª safra'!$E57:$Z57,MIN(AV$6-$E$3,22))&lt;&gt;""),'Feijão 2ª safra'!$E57:INDEX('Feijão 2ª safra'!$E57:$Z57,MIN(AV$6-$E$3,22))),0))-IF($G$2,0,IF((AV$6-$G$3)&lt;1,0,IFERROR(LOOKUP(2,1/('Feijão 2ª safra'!$E57:INDEX('Feijão 2ª safra'!$E57:$Z57,MIN(AV$6-$G$3,22))&lt;&gt;""),'Feijão 2ª safra'!$E57:INDEX('Feijão 2ª safra'!$E57:$Z57,MIN(AV$6-$G$3,22))),0)))))</f>
        <v>0</v>
      </c>
      <c r="AW59" s="27" t="n">
        <f aca="false">IF(COUNT('Feijão 2ª safra'!$E57:$Z57)=0,0,MAX(0,IF((AW$6-$E$3)&lt;1,0,IFERROR(LOOKUP(2,1/('Feijão 2ª safra'!$E57:INDEX('Feijão 2ª safra'!$E57:$Z57,MIN(AW$6-$E$3,22))&lt;&gt;""),'Feijão 2ª safra'!$E57:INDEX('Feijão 2ª safra'!$E57:$Z57,MIN(AW$6-$E$3,22))),0))-IF($G$2,0,IF((AW$6-$G$3)&lt;1,0,IFERROR(LOOKUP(2,1/('Feijão 2ª safra'!$E57:INDEX('Feijão 2ª safra'!$E57:$Z57,MIN(AW$6-$G$3,22))&lt;&gt;""),'Feijão 2ª safra'!$E57:INDEX('Feijão 2ª safra'!$E57:$Z57,MIN(AW$6-$G$3,22))),0)))))</f>
        <v>0</v>
      </c>
      <c r="AX59" s="27" t="n">
        <f aca="false">IF(COUNT('Feijão 2ª safra'!$E57:$Z57)=0,0,MAX(0,IF((AX$6-$E$3)&lt;1,0,IFERROR(LOOKUP(2,1/('Feijão 2ª safra'!$E57:INDEX('Feijão 2ª safra'!$E57:$Z57,MIN(AX$6-$E$3,22))&lt;&gt;""),'Feijão 2ª safra'!$E57:INDEX('Feijão 2ª safra'!$E57:$Z57,MIN(AX$6-$E$3,22))),0))-IF($G$2,0,IF((AX$6-$G$3)&lt;1,0,IFERROR(LOOKUP(2,1/('Feijão 2ª safra'!$E57:INDEX('Feijão 2ª safra'!$E57:$Z57,MIN(AX$6-$G$3,22))&lt;&gt;""),'Feijão 2ª safra'!$E57:INDEX('Feijão 2ª safra'!$E57:$Z57,MIN(AX$6-$G$3,22))),0)))))</f>
        <v>0</v>
      </c>
      <c r="AY59" s="27" t="n">
        <f aca="false">IF(COUNT('Feijão 2ª safra'!$E57:$Z57)=0,0,MAX(0,IF((AY$6-$E$3)&lt;1,0,IFERROR(LOOKUP(2,1/('Feijão 2ª safra'!$E57:INDEX('Feijão 2ª safra'!$E57:$Z57,MIN(AY$6-$E$3,22))&lt;&gt;""),'Feijão 2ª safra'!$E57:INDEX('Feijão 2ª safra'!$E57:$Z57,MIN(AY$6-$E$3,22))),0))-IF($G$2,0,IF((AY$6-$G$3)&lt;1,0,IFERROR(LOOKUP(2,1/('Feijão 2ª safra'!$E57:INDEX('Feijão 2ª safra'!$E57:$Z57,MIN(AY$6-$G$3,22))&lt;&gt;""),'Feijão 2ª safra'!$E57:INDEX('Feijão 2ª safra'!$E57:$Z57,MIN(AY$6-$G$3,22))),0)))))</f>
        <v>0</v>
      </c>
      <c r="AZ59" s="27" t="n">
        <f aca="false">IF(COUNT('Feijão 2ª safra'!$E57:$Z57)=0,0,MAX(0,IF((AZ$6-$E$3)&lt;1,0,IFERROR(LOOKUP(2,1/('Feijão 2ª safra'!$E57:INDEX('Feijão 2ª safra'!$E57:$Z57,MIN(AZ$6-$E$3,22))&lt;&gt;""),'Feijão 2ª safra'!$E57:INDEX('Feijão 2ª safra'!$E57:$Z57,MIN(AZ$6-$E$3,22))),0))-IF($G$2,0,IF((AZ$6-$G$3)&lt;1,0,IFERROR(LOOKUP(2,1/('Feijão 2ª safra'!$E57:INDEX('Feijão 2ª safra'!$E57:$Z57,MIN(AZ$6-$G$3,22))&lt;&gt;""),'Feijão 2ª safra'!$E57:INDEX('Feijão 2ª safra'!$E57:$Z57,MIN(AZ$6-$G$3,22))),0)))))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IF(COUNT('Feijão 2ª safra'!$E58:$Z58)&gt;0,N('Feijão 2ª safra'!$D58),0)</f>
        <v>0</v>
      </c>
      <c r="E60" s="27" t="n">
        <f aca="false">IF(COUNT('Feijão 2ª safra'!$E58:$Z58)=0,0,MAX(0,IF((E$6-$E$3)&lt;1,0,IFERROR(LOOKUP(2,1/('Feijão 2ª safra'!$E58:INDEX('Feijão 2ª safra'!$E58:$Z58,MIN(E$6-$E$3,22))&lt;&gt;""),'Feijão 2ª safra'!$E58:INDEX('Feijão 2ª safra'!$E58:$Z58,MIN(E$6-$E$3,22))),0))-IF($G$2,0,IF((E$6-$G$3)&lt;1,0,IFERROR(LOOKUP(2,1/('Feijão 2ª safra'!$E58:INDEX('Feijão 2ª safra'!$E58:$Z58,MIN(E$6-$G$3,22))&lt;&gt;""),'Feijão 2ª safra'!$E58:INDEX('Feijão 2ª safra'!$E58:$Z58,MIN(E$6-$G$3,22))),0)))))</f>
        <v>0</v>
      </c>
      <c r="F60" s="27" t="n">
        <f aca="false">IF(COUNT('Feijão 2ª safra'!$E58:$Z58)=0,0,MAX(0,IF((F$6-$E$3)&lt;1,0,IFERROR(LOOKUP(2,1/('Feijão 2ª safra'!$E58:INDEX('Feijão 2ª safra'!$E58:$Z58,MIN(F$6-$E$3,22))&lt;&gt;""),'Feijão 2ª safra'!$E58:INDEX('Feijão 2ª safra'!$E58:$Z58,MIN(F$6-$E$3,22))),0))-IF($G$2,0,IF((F$6-$G$3)&lt;1,0,IFERROR(LOOKUP(2,1/('Feijão 2ª safra'!$E58:INDEX('Feijão 2ª safra'!$E58:$Z58,MIN(F$6-$G$3,22))&lt;&gt;""),'Feijão 2ª safra'!$E58:INDEX('Feijão 2ª safra'!$E58:$Z58,MIN(F$6-$G$3,22))),0)))))</f>
        <v>0</v>
      </c>
      <c r="G60" s="27" t="n">
        <f aca="false">IF(COUNT('Feijão 2ª safra'!$E58:$Z58)=0,0,MAX(0,IF((G$6-$E$3)&lt;1,0,IFERROR(LOOKUP(2,1/('Feijão 2ª safra'!$E58:INDEX('Feijão 2ª safra'!$E58:$Z58,MIN(G$6-$E$3,22))&lt;&gt;""),'Feijão 2ª safra'!$E58:INDEX('Feijão 2ª safra'!$E58:$Z58,MIN(G$6-$E$3,22))),0))-IF($G$2,0,IF((G$6-$G$3)&lt;1,0,IFERROR(LOOKUP(2,1/('Feijão 2ª safra'!$E58:INDEX('Feijão 2ª safra'!$E58:$Z58,MIN(G$6-$G$3,22))&lt;&gt;""),'Feijão 2ª safra'!$E58:INDEX('Feijão 2ª safra'!$E58:$Z58,MIN(G$6-$G$3,22))),0)))))</f>
        <v>0</v>
      </c>
      <c r="H60" s="27" t="n">
        <f aca="false">IF(COUNT('Feijão 2ª safra'!$E58:$Z58)=0,0,MAX(0,IF((H$6-$E$3)&lt;1,0,IFERROR(LOOKUP(2,1/('Feijão 2ª safra'!$E58:INDEX('Feijão 2ª safra'!$E58:$Z58,MIN(H$6-$E$3,22))&lt;&gt;""),'Feijão 2ª safra'!$E58:INDEX('Feijão 2ª safra'!$E58:$Z58,MIN(H$6-$E$3,22))),0))-IF($G$2,0,IF((H$6-$G$3)&lt;1,0,IFERROR(LOOKUP(2,1/('Feijão 2ª safra'!$E58:INDEX('Feijão 2ª safra'!$E58:$Z58,MIN(H$6-$G$3,22))&lt;&gt;""),'Feijão 2ª safra'!$E58:INDEX('Feijão 2ª safra'!$E58:$Z58,MIN(H$6-$G$3,22))),0)))))</f>
        <v>0</v>
      </c>
      <c r="I60" s="27" t="n">
        <f aca="false">IF(COUNT('Feijão 2ª safra'!$E58:$Z58)=0,0,MAX(0,IF((I$6-$E$3)&lt;1,0,IFERROR(LOOKUP(2,1/('Feijão 2ª safra'!$E58:INDEX('Feijão 2ª safra'!$E58:$Z58,MIN(I$6-$E$3,22))&lt;&gt;""),'Feijão 2ª safra'!$E58:INDEX('Feijão 2ª safra'!$E58:$Z58,MIN(I$6-$E$3,22))),0))-IF($G$2,0,IF((I$6-$G$3)&lt;1,0,IFERROR(LOOKUP(2,1/('Feijão 2ª safra'!$E58:INDEX('Feijão 2ª safra'!$E58:$Z58,MIN(I$6-$G$3,22))&lt;&gt;""),'Feijão 2ª safra'!$E58:INDEX('Feijão 2ª safra'!$E58:$Z58,MIN(I$6-$G$3,22))),0)))))</f>
        <v>0</v>
      </c>
      <c r="J60" s="27" t="n">
        <f aca="false">IF(COUNT('Feijão 2ª safra'!$E58:$Z58)=0,0,MAX(0,IF((J$6-$E$3)&lt;1,0,IFERROR(LOOKUP(2,1/('Feijão 2ª safra'!$E58:INDEX('Feijão 2ª safra'!$E58:$Z58,MIN(J$6-$E$3,22))&lt;&gt;""),'Feijão 2ª safra'!$E58:INDEX('Feijão 2ª safra'!$E58:$Z58,MIN(J$6-$E$3,22))),0))-IF($G$2,0,IF((J$6-$G$3)&lt;1,0,IFERROR(LOOKUP(2,1/('Feijão 2ª safra'!$E58:INDEX('Feijão 2ª safra'!$E58:$Z58,MIN(J$6-$G$3,22))&lt;&gt;""),'Feijão 2ª safra'!$E58:INDEX('Feijão 2ª safra'!$E58:$Z58,MIN(J$6-$G$3,22))),0)))))</f>
        <v>0</v>
      </c>
      <c r="K60" s="27" t="n">
        <f aca="false">IF(COUNT('Feijão 2ª safra'!$E58:$Z58)=0,0,MAX(0,IF((K$6-$E$3)&lt;1,0,IFERROR(LOOKUP(2,1/('Feijão 2ª safra'!$E58:INDEX('Feijão 2ª safra'!$E58:$Z58,MIN(K$6-$E$3,22))&lt;&gt;""),'Feijão 2ª safra'!$E58:INDEX('Feijão 2ª safra'!$E58:$Z58,MIN(K$6-$E$3,22))),0))-IF($G$2,0,IF((K$6-$G$3)&lt;1,0,IFERROR(LOOKUP(2,1/('Feijão 2ª safra'!$E58:INDEX('Feijão 2ª safra'!$E58:$Z58,MIN(K$6-$G$3,22))&lt;&gt;""),'Feijão 2ª safra'!$E58:INDEX('Feijão 2ª safra'!$E58:$Z58,MIN(K$6-$G$3,22))),0)))))</f>
        <v>0</v>
      </c>
      <c r="L60" s="27" t="n">
        <f aca="false">IF(COUNT('Feijão 2ª safra'!$E58:$Z58)=0,0,MAX(0,IF((L$6-$E$3)&lt;1,0,IFERROR(LOOKUP(2,1/('Feijão 2ª safra'!$E58:INDEX('Feijão 2ª safra'!$E58:$Z58,MIN(L$6-$E$3,22))&lt;&gt;""),'Feijão 2ª safra'!$E58:INDEX('Feijão 2ª safra'!$E58:$Z58,MIN(L$6-$E$3,22))),0))-IF($G$2,0,IF((L$6-$G$3)&lt;1,0,IFERROR(LOOKUP(2,1/('Feijão 2ª safra'!$E58:INDEX('Feijão 2ª safra'!$E58:$Z58,MIN(L$6-$G$3,22))&lt;&gt;""),'Feijão 2ª safra'!$E58:INDEX('Feijão 2ª safra'!$E58:$Z58,MIN(L$6-$G$3,22))),0)))))</f>
        <v>0</v>
      </c>
      <c r="M60" s="27" t="n">
        <f aca="false">IF(COUNT('Feijão 2ª safra'!$E58:$Z58)=0,0,MAX(0,IF((M$6-$E$3)&lt;1,0,IFERROR(LOOKUP(2,1/('Feijão 2ª safra'!$E58:INDEX('Feijão 2ª safra'!$E58:$Z58,MIN(M$6-$E$3,22))&lt;&gt;""),'Feijão 2ª safra'!$E58:INDEX('Feijão 2ª safra'!$E58:$Z58,MIN(M$6-$E$3,22))),0))-IF($G$2,0,IF((M$6-$G$3)&lt;1,0,IFERROR(LOOKUP(2,1/('Feijão 2ª safra'!$E58:INDEX('Feijão 2ª safra'!$E58:$Z58,MIN(M$6-$G$3,22))&lt;&gt;""),'Feijão 2ª safra'!$E58:INDEX('Feijão 2ª safra'!$E58:$Z58,MIN(M$6-$G$3,22))),0)))))</f>
        <v>0</v>
      </c>
      <c r="N60" s="27" t="n">
        <f aca="false">IF(COUNT('Feijão 2ª safra'!$E58:$Z58)=0,0,MAX(0,IF((N$6-$E$3)&lt;1,0,IFERROR(LOOKUP(2,1/('Feijão 2ª safra'!$E58:INDEX('Feijão 2ª safra'!$E58:$Z58,MIN(N$6-$E$3,22))&lt;&gt;""),'Feijão 2ª safra'!$E58:INDEX('Feijão 2ª safra'!$E58:$Z58,MIN(N$6-$E$3,22))),0))-IF($G$2,0,IF((N$6-$G$3)&lt;1,0,IFERROR(LOOKUP(2,1/('Feijão 2ª safra'!$E58:INDEX('Feijão 2ª safra'!$E58:$Z58,MIN(N$6-$G$3,22))&lt;&gt;""),'Feijão 2ª safra'!$E58:INDEX('Feijão 2ª safra'!$E58:$Z58,MIN(N$6-$G$3,22))),0)))))</f>
        <v>0</v>
      </c>
      <c r="O60" s="27" t="n">
        <f aca="false">IF(COUNT('Feijão 2ª safra'!$E58:$Z58)=0,0,MAX(0,IF((O$6-$E$3)&lt;1,0,IFERROR(LOOKUP(2,1/('Feijão 2ª safra'!$E58:INDEX('Feijão 2ª safra'!$E58:$Z58,MIN(O$6-$E$3,22))&lt;&gt;""),'Feijão 2ª safra'!$E58:INDEX('Feijão 2ª safra'!$E58:$Z58,MIN(O$6-$E$3,22))),0))-IF($G$2,0,IF((O$6-$G$3)&lt;1,0,IFERROR(LOOKUP(2,1/('Feijão 2ª safra'!$E58:INDEX('Feijão 2ª safra'!$E58:$Z58,MIN(O$6-$G$3,22))&lt;&gt;""),'Feijão 2ª safra'!$E58:INDEX('Feijão 2ª safra'!$E58:$Z58,MIN(O$6-$G$3,22))),0)))))</f>
        <v>0</v>
      </c>
      <c r="P60" s="27" t="n">
        <f aca="false">IF(COUNT('Feijão 2ª safra'!$E58:$Z58)=0,0,MAX(0,IF((P$6-$E$3)&lt;1,0,IFERROR(LOOKUP(2,1/('Feijão 2ª safra'!$E58:INDEX('Feijão 2ª safra'!$E58:$Z58,MIN(P$6-$E$3,22))&lt;&gt;""),'Feijão 2ª safra'!$E58:INDEX('Feijão 2ª safra'!$E58:$Z58,MIN(P$6-$E$3,22))),0))-IF($G$2,0,IF((P$6-$G$3)&lt;1,0,IFERROR(LOOKUP(2,1/('Feijão 2ª safra'!$E58:INDEX('Feijão 2ª safra'!$E58:$Z58,MIN(P$6-$G$3,22))&lt;&gt;""),'Feijão 2ª safra'!$E58:INDEX('Feijão 2ª safra'!$E58:$Z58,MIN(P$6-$G$3,22))),0)))))</f>
        <v>0</v>
      </c>
      <c r="Q60" s="27" t="n">
        <f aca="false">IF(COUNT('Feijão 2ª safra'!$E58:$Z58)=0,0,MAX(0,IF((Q$6-$E$3)&lt;1,0,IFERROR(LOOKUP(2,1/('Feijão 2ª safra'!$E58:INDEX('Feijão 2ª safra'!$E58:$Z58,MIN(Q$6-$E$3,22))&lt;&gt;""),'Feijão 2ª safra'!$E58:INDEX('Feijão 2ª safra'!$E58:$Z58,MIN(Q$6-$E$3,22))),0))-IF($G$2,0,IF((Q$6-$G$3)&lt;1,0,IFERROR(LOOKUP(2,1/('Feijão 2ª safra'!$E58:INDEX('Feijão 2ª safra'!$E58:$Z58,MIN(Q$6-$G$3,22))&lt;&gt;""),'Feijão 2ª safra'!$E58:INDEX('Feijão 2ª safra'!$E58:$Z58,MIN(Q$6-$G$3,22))),0)))))</f>
        <v>0</v>
      </c>
      <c r="R60" s="27" t="n">
        <f aca="false">IF(COUNT('Feijão 2ª safra'!$E58:$Z58)=0,0,MAX(0,IF((R$6-$E$3)&lt;1,0,IFERROR(LOOKUP(2,1/('Feijão 2ª safra'!$E58:INDEX('Feijão 2ª safra'!$E58:$Z58,MIN(R$6-$E$3,22))&lt;&gt;""),'Feijão 2ª safra'!$E58:INDEX('Feijão 2ª safra'!$E58:$Z58,MIN(R$6-$E$3,22))),0))-IF($G$2,0,IF((R$6-$G$3)&lt;1,0,IFERROR(LOOKUP(2,1/('Feijão 2ª safra'!$E58:INDEX('Feijão 2ª safra'!$E58:$Z58,MIN(R$6-$G$3,22))&lt;&gt;""),'Feijão 2ª safra'!$E58:INDEX('Feijão 2ª safra'!$E58:$Z58,MIN(R$6-$G$3,22))),0)))))</f>
        <v>0</v>
      </c>
      <c r="S60" s="27" t="n">
        <f aca="false">IF(COUNT('Feijão 2ª safra'!$E58:$Z58)=0,0,MAX(0,IF((S$6-$E$3)&lt;1,0,IFERROR(LOOKUP(2,1/('Feijão 2ª safra'!$E58:INDEX('Feijão 2ª safra'!$E58:$Z58,MIN(S$6-$E$3,22))&lt;&gt;""),'Feijão 2ª safra'!$E58:INDEX('Feijão 2ª safra'!$E58:$Z58,MIN(S$6-$E$3,22))),0))-IF($G$2,0,IF((S$6-$G$3)&lt;1,0,IFERROR(LOOKUP(2,1/('Feijão 2ª safra'!$E58:INDEX('Feijão 2ª safra'!$E58:$Z58,MIN(S$6-$G$3,22))&lt;&gt;""),'Feijão 2ª safra'!$E58:INDEX('Feijão 2ª safra'!$E58:$Z58,MIN(S$6-$G$3,22))),0)))))</f>
        <v>0</v>
      </c>
      <c r="T60" s="27" t="n">
        <f aca="false">IF(COUNT('Feijão 2ª safra'!$E58:$Z58)=0,0,MAX(0,IF((T$6-$E$3)&lt;1,0,IFERROR(LOOKUP(2,1/('Feijão 2ª safra'!$E58:INDEX('Feijão 2ª safra'!$E58:$Z58,MIN(T$6-$E$3,22))&lt;&gt;""),'Feijão 2ª safra'!$E58:INDEX('Feijão 2ª safra'!$E58:$Z58,MIN(T$6-$E$3,22))),0))-IF($G$2,0,IF((T$6-$G$3)&lt;1,0,IFERROR(LOOKUP(2,1/('Feijão 2ª safra'!$E58:INDEX('Feijão 2ª safra'!$E58:$Z58,MIN(T$6-$G$3,22))&lt;&gt;""),'Feijão 2ª safra'!$E58:INDEX('Feijão 2ª safra'!$E58:$Z58,MIN(T$6-$G$3,22))),0)))))</f>
        <v>0</v>
      </c>
      <c r="U60" s="27" t="n">
        <f aca="false">IF(COUNT('Feijão 2ª safra'!$E58:$Z58)=0,0,MAX(0,IF((U$6-$E$3)&lt;1,0,IFERROR(LOOKUP(2,1/('Feijão 2ª safra'!$E58:INDEX('Feijão 2ª safra'!$E58:$Z58,MIN(U$6-$E$3,22))&lt;&gt;""),'Feijão 2ª safra'!$E58:INDEX('Feijão 2ª safra'!$E58:$Z58,MIN(U$6-$E$3,22))),0))-IF($G$2,0,IF((U$6-$G$3)&lt;1,0,IFERROR(LOOKUP(2,1/('Feijão 2ª safra'!$E58:INDEX('Feijão 2ª safra'!$E58:$Z58,MIN(U$6-$G$3,22))&lt;&gt;""),'Feijão 2ª safra'!$E58:INDEX('Feijão 2ª safra'!$E58:$Z58,MIN(U$6-$G$3,22))),0)))))</f>
        <v>0</v>
      </c>
      <c r="V60" s="27" t="n">
        <f aca="false">IF(COUNT('Feijão 2ª safra'!$E58:$Z58)=0,0,MAX(0,IF((V$6-$E$3)&lt;1,0,IFERROR(LOOKUP(2,1/('Feijão 2ª safra'!$E58:INDEX('Feijão 2ª safra'!$E58:$Z58,MIN(V$6-$E$3,22))&lt;&gt;""),'Feijão 2ª safra'!$E58:INDEX('Feijão 2ª safra'!$E58:$Z58,MIN(V$6-$E$3,22))),0))-IF($G$2,0,IF((V$6-$G$3)&lt;1,0,IFERROR(LOOKUP(2,1/('Feijão 2ª safra'!$E58:INDEX('Feijão 2ª safra'!$E58:$Z58,MIN(V$6-$G$3,22))&lt;&gt;""),'Feijão 2ª safra'!$E58:INDEX('Feijão 2ª safra'!$E58:$Z58,MIN(V$6-$G$3,22))),0)))))</f>
        <v>0</v>
      </c>
      <c r="W60" s="27" t="n">
        <f aca="false">IF(COUNT('Feijão 2ª safra'!$E58:$Z58)=0,0,MAX(0,IF((W$6-$E$3)&lt;1,0,IFERROR(LOOKUP(2,1/('Feijão 2ª safra'!$E58:INDEX('Feijão 2ª safra'!$E58:$Z58,MIN(W$6-$E$3,22))&lt;&gt;""),'Feijão 2ª safra'!$E58:INDEX('Feijão 2ª safra'!$E58:$Z58,MIN(W$6-$E$3,22))),0))-IF($G$2,0,IF((W$6-$G$3)&lt;1,0,IFERROR(LOOKUP(2,1/('Feijão 2ª safra'!$E58:INDEX('Feijão 2ª safra'!$E58:$Z58,MIN(W$6-$G$3,22))&lt;&gt;""),'Feijão 2ª safra'!$E58:INDEX('Feijão 2ª safra'!$E58:$Z58,MIN(W$6-$G$3,22))),0)))))</f>
        <v>0</v>
      </c>
      <c r="X60" s="27" t="n">
        <f aca="false">IF(COUNT('Feijão 2ª safra'!$E58:$Z58)=0,0,MAX(0,IF((X$6-$E$3)&lt;1,0,IFERROR(LOOKUP(2,1/('Feijão 2ª safra'!$E58:INDEX('Feijão 2ª safra'!$E58:$Z58,MIN(X$6-$E$3,22))&lt;&gt;""),'Feijão 2ª safra'!$E58:INDEX('Feijão 2ª safra'!$E58:$Z58,MIN(X$6-$E$3,22))),0))-IF($G$2,0,IF((X$6-$G$3)&lt;1,0,IFERROR(LOOKUP(2,1/('Feijão 2ª safra'!$E58:INDEX('Feijão 2ª safra'!$E58:$Z58,MIN(X$6-$G$3,22))&lt;&gt;""),'Feijão 2ª safra'!$E58:INDEX('Feijão 2ª safra'!$E58:$Z58,MIN(X$6-$G$3,22))),0)))))</f>
        <v>0</v>
      </c>
      <c r="Y60" s="27" t="n">
        <f aca="false">IF(COUNT('Feijão 2ª safra'!$E58:$Z58)=0,0,MAX(0,IF((Y$6-$E$3)&lt;1,0,IFERROR(LOOKUP(2,1/('Feijão 2ª safra'!$E58:INDEX('Feijão 2ª safra'!$E58:$Z58,MIN(Y$6-$E$3,22))&lt;&gt;""),'Feijão 2ª safra'!$E58:INDEX('Feijão 2ª safra'!$E58:$Z58,MIN(Y$6-$E$3,22))),0))-IF($G$2,0,IF((Y$6-$G$3)&lt;1,0,IFERROR(LOOKUP(2,1/('Feijão 2ª safra'!$E58:INDEX('Feijão 2ª safra'!$E58:$Z58,MIN(Y$6-$G$3,22))&lt;&gt;""),'Feijão 2ª safra'!$E58:INDEX('Feijão 2ª safra'!$E58:$Z58,MIN(Y$6-$G$3,22))),0)))))</f>
        <v>0</v>
      </c>
      <c r="Z60" s="27" t="n">
        <f aca="false">IF(COUNT('Feijão 2ª safra'!$E58:$Z58)=0,0,MAX(0,IF((Z$6-$E$3)&lt;1,0,IFERROR(LOOKUP(2,1/('Feijão 2ª safra'!$E58:INDEX('Feijão 2ª safra'!$E58:$Z58,MIN(Z$6-$E$3,22))&lt;&gt;""),'Feijão 2ª safra'!$E58:INDEX('Feijão 2ª safra'!$E58:$Z58,MIN(Z$6-$E$3,22))),0))-IF($G$2,0,IF((Z$6-$G$3)&lt;1,0,IFERROR(LOOKUP(2,1/('Feijão 2ª safra'!$E58:INDEX('Feijão 2ª safra'!$E58:$Z58,MIN(Z$6-$G$3,22))&lt;&gt;""),'Feijão 2ª safra'!$E58:INDEX('Feijão 2ª safra'!$E58:$Z58,MIN(Z$6-$G$3,22))),0)))))</f>
        <v>0</v>
      </c>
      <c r="AA60" s="27" t="n">
        <f aca="false">IF(COUNT('Feijão 2ª safra'!$E58:$Z58)=0,0,MAX(0,IF((AA$6-$E$3)&lt;1,0,IFERROR(LOOKUP(2,1/('Feijão 2ª safra'!$E58:INDEX('Feijão 2ª safra'!$E58:$Z58,MIN(AA$6-$E$3,22))&lt;&gt;""),'Feijão 2ª safra'!$E58:INDEX('Feijão 2ª safra'!$E58:$Z58,MIN(AA$6-$E$3,22))),0))-IF($G$2,0,IF((AA$6-$G$3)&lt;1,0,IFERROR(LOOKUP(2,1/('Feijão 2ª safra'!$E58:INDEX('Feijão 2ª safra'!$E58:$Z58,MIN(AA$6-$G$3,22))&lt;&gt;""),'Feijão 2ª safra'!$E58:INDEX('Feijão 2ª safra'!$E58:$Z58,MIN(AA$6-$G$3,22))),0)))))</f>
        <v>0</v>
      </c>
      <c r="AB60" s="27" t="n">
        <f aca="false">IF(COUNT('Feijão 2ª safra'!$E58:$Z58)=0,0,MAX(0,IF((AB$6-$E$3)&lt;1,0,IFERROR(LOOKUP(2,1/('Feijão 2ª safra'!$E58:INDEX('Feijão 2ª safra'!$E58:$Z58,MIN(AB$6-$E$3,22))&lt;&gt;""),'Feijão 2ª safra'!$E58:INDEX('Feijão 2ª safra'!$E58:$Z58,MIN(AB$6-$E$3,22))),0))-IF($G$2,0,IF((AB$6-$G$3)&lt;1,0,IFERROR(LOOKUP(2,1/('Feijão 2ª safra'!$E58:INDEX('Feijão 2ª safra'!$E58:$Z58,MIN(AB$6-$G$3,22))&lt;&gt;""),'Feijão 2ª safra'!$E58:INDEX('Feijão 2ª safra'!$E58:$Z58,MIN(AB$6-$G$3,22))),0)))))</f>
        <v>0</v>
      </c>
      <c r="AC60" s="27" t="n">
        <f aca="false">IF(COUNT('Feijão 2ª safra'!$E58:$Z58)=0,0,MAX(0,IF((AC$6-$E$3)&lt;1,0,IFERROR(LOOKUP(2,1/('Feijão 2ª safra'!$E58:INDEX('Feijão 2ª safra'!$E58:$Z58,MIN(AC$6-$E$3,22))&lt;&gt;""),'Feijão 2ª safra'!$E58:INDEX('Feijão 2ª safra'!$E58:$Z58,MIN(AC$6-$E$3,22))),0))-IF($G$2,0,IF((AC$6-$G$3)&lt;1,0,IFERROR(LOOKUP(2,1/('Feijão 2ª safra'!$E58:INDEX('Feijão 2ª safra'!$E58:$Z58,MIN(AC$6-$G$3,22))&lt;&gt;""),'Feijão 2ª safra'!$E58:INDEX('Feijão 2ª safra'!$E58:$Z58,MIN(AC$6-$G$3,22))),0)))))</f>
        <v>0</v>
      </c>
      <c r="AD60" s="27" t="n">
        <f aca="false">IF(COUNT('Feijão 2ª safra'!$E58:$Z58)=0,0,MAX(0,IF((AD$6-$E$3)&lt;1,0,IFERROR(LOOKUP(2,1/('Feijão 2ª safra'!$E58:INDEX('Feijão 2ª safra'!$E58:$Z58,MIN(AD$6-$E$3,22))&lt;&gt;""),'Feijão 2ª safra'!$E58:INDEX('Feijão 2ª safra'!$E58:$Z58,MIN(AD$6-$E$3,22))),0))-IF($G$2,0,IF((AD$6-$G$3)&lt;1,0,IFERROR(LOOKUP(2,1/('Feijão 2ª safra'!$E58:INDEX('Feijão 2ª safra'!$E58:$Z58,MIN(AD$6-$G$3,22))&lt;&gt;""),'Feijão 2ª safra'!$E58:INDEX('Feijão 2ª safra'!$E58:$Z58,MIN(AD$6-$G$3,22))),0)))))</f>
        <v>0</v>
      </c>
      <c r="AE60" s="27" t="n">
        <f aca="false">IF(COUNT('Feijão 2ª safra'!$E58:$Z58)=0,0,MAX(0,IF((AE$6-$E$3)&lt;1,0,IFERROR(LOOKUP(2,1/('Feijão 2ª safra'!$E58:INDEX('Feijão 2ª safra'!$E58:$Z58,MIN(AE$6-$E$3,22))&lt;&gt;""),'Feijão 2ª safra'!$E58:INDEX('Feijão 2ª safra'!$E58:$Z58,MIN(AE$6-$E$3,22))),0))-IF($G$2,0,IF((AE$6-$G$3)&lt;1,0,IFERROR(LOOKUP(2,1/('Feijão 2ª safra'!$E58:INDEX('Feijão 2ª safra'!$E58:$Z58,MIN(AE$6-$G$3,22))&lt;&gt;""),'Feijão 2ª safra'!$E58:INDEX('Feijão 2ª safra'!$E58:$Z58,MIN(AE$6-$G$3,22))),0)))))</f>
        <v>0</v>
      </c>
      <c r="AF60" s="27" t="n">
        <f aca="false">IF(COUNT('Feijão 2ª safra'!$E58:$Z58)=0,0,MAX(0,IF((AF$6-$E$3)&lt;1,0,IFERROR(LOOKUP(2,1/('Feijão 2ª safra'!$E58:INDEX('Feijão 2ª safra'!$E58:$Z58,MIN(AF$6-$E$3,22))&lt;&gt;""),'Feijão 2ª safra'!$E58:INDEX('Feijão 2ª safra'!$E58:$Z58,MIN(AF$6-$E$3,22))),0))-IF($G$2,0,IF((AF$6-$G$3)&lt;1,0,IFERROR(LOOKUP(2,1/('Feijão 2ª safra'!$E58:INDEX('Feijão 2ª safra'!$E58:$Z58,MIN(AF$6-$G$3,22))&lt;&gt;""),'Feijão 2ª safra'!$E58:INDEX('Feijão 2ª safra'!$E58:$Z58,MIN(AF$6-$G$3,22))),0)))))</f>
        <v>0</v>
      </c>
      <c r="AG60" s="27" t="n">
        <f aca="false">IF(COUNT('Feijão 2ª safra'!$E58:$Z58)=0,0,MAX(0,IF((AG$6-$E$3)&lt;1,0,IFERROR(LOOKUP(2,1/('Feijão 2ª safra'!$E58:INDEX('Feijão 2ª safra'!$E58:$Z58,MIN(AG$6-$E$3,22))&lt;&gt;""),'Feijão 2ª safra'!$E58:INDEX('Feijão 2ª safra'!$E58:$Z58,MIN(AG$6-$E$3,22))),0))-IF($G$2,0,IF((AG$6-$G$3)&lt;1,0,IFERROR(LOOKUP(2,1/('Feijão 2ª safra'!$E58:INDEX('Feijão 2ª safra'!$E58:$Z58,MIN(AG$6-$G$3,22))&lt;&gt;""),'Feijão 2ª safra'!$E58:INDEX('Feijão 2ª safra'!$E58:$Z58,MIN(AG$6-$G$3,22))),0)))))</f>
        <v>0</v>
      </c>
      <c r="AH60" s="27" t="n">
        <f aca="false">IF(COUNT('Feijão 2ª safra'!$E58:$Z58)=0,0,MAX(0,IF((AH$6-$E$3)&lt;1,0,IFERROR(LOOKUP(2,1/('Feijão 2ª safra'!$E58:INDEX('Feijão 2ª safra'!$E58:$Z58,MIN(AH$6-$E$3,22))&lt;&gt;""),'Feijão 2ª safra'!$E58:INDEX('Feijão 2ª safra'!$E58:$Z58,MIN(AH$6-$E$3,22))),0))-IF($G$2,0,IF((AH$6-$G$3)&lt;1,0,IFERROR(LOOKUP(2,1/('Feijão 2ª safra'!$E58:INDEX('Feijão 2ª safra'!$E58:$Z58,MIN(AH$6-$G$3,22))&lt;&gt;""),'Feijão 2ª safra'!$E58:INDEX('Feijão 2ª safra'!$E58:$Z58,MIN(AH$6-$G$3,22))),0)))))</f>
        <v>0</v>
      </c>
      <c r="AI60" s="27" t="n">
        <f aca="false">IF(COUNT('Feijão 2ª safra'!$E58:$Z58)=0,0,MAX(0,IF((AI$6-$E$3)&lt;1,0,IFERROR(LOOKUP(2,1/('Feijão 2ª safra'!$E58:INDEX('Feijão 2ª safra'!$E58:$Z58,MIN(AI$6-$E$3,22))&lt;&gt;""),'Feijão 2ª safra'!$E58:INDEX('Feijão 2ª safra'!$E58:$Z58,MIN(AI$6-$E$3,22))),0))-IF($G$2,0,IF((AI$6-$G$3)&lt;1,0,IFERROR(LOOKUP(2,1/('Feijão 2ª safra'!$E58:INDEX('Feijão 2ª safra'!$E58:$Z58,MIN(AI$6-$G$3,22))&lt;&gt;""),'Feijão 2ª safra'!$E58:INDEX('Feijão 2ª safra'!$E58:$Z58,MIN(AI$6-$G$3,22))),0)))))</f>
        <v>0</v>
      </c>
      <c r="AJ60" s="27" t="n">
        <f aca="false">IF(COUNT('Feijão 2ª safra'!$E58:$Z58)=0,0,MAX(0,IF((AJ$6-$E$3)&lt;1,0,IFERROR(LOOKUP(2,1/('Feijão 2ª safra'!$E58:INDEX('Feijão 2ª safra'!$E58:$Z58,MIN(AJ$6-$E$3,22))&lt;&gt;""),'Feijão 2ª safra'!$E58:INDEX('Feijão 2ª safra'!$E58:$Z58,MIN(AJ$6-$E$3,22))),0))-IF($G$2,0,IF((AJ$6-$G$3)&lt;1,0,IFERROR(LOOKUP(2,1/('Feijão 2ª safra'!$E58:INDEX('Feijão 2ª safra'!$E58:$Z58,MIN(AJ$6-$G$3,22))&lt;&gt;""),'Feijão 2ª safra'!$E58:INDEX('Feijão 2ª safra'!$E58:$Z58,MIN(AJ$6-$G$3,22))),0)))))</f>
        <v>0</v>
      </c>
      <c r="AK60" s="27" t="n">
        <f aca="false">IF(COUNT('Feijão 2ª safra'!$E58:$Z58)=0,0,MAX(0,IF((AK$6-$E$3)&lt;1,0,IFERROR(LOOKUP(2,1/('Feijão 2ª safra'!$E58:INDEX('Feijão 2ª safra'!$E58:$Z58,MIN(AK$6-$E$3,22))&lt;&gt;""),'Feijão 2ª safra'!$E58:INDEX('Feijão 2ª safra'!$E58:$Z58,MIN(AK$6-$E$3,22))),0))-IF($G$2,0,IF((AK$6-$G$3)&lt;1,0,IFERROR(LOOKUP(2,1/('Feijão 2ª safra'!$E58:INDEX('Feijão 2ª safra'!$E58:$Z58,MIN(AK$6-$G$3,22))&lt;&gt;""),'Feijão 2ª safra'!$E58:INDEX('Feijão 2ª safra'!$E58:$Z58,MIN(AK$6-$G$3,22))),0)))))</f>
        <v>0</v>
      </c>
      <c r="AL60" s="27" t="n">
        <f aca="false">IF(COUNT('Feijão 2ª safra'!$E58:$Z58)=0,0,MAX(0,IF((AL$6-$E$3)&lt;1,0,IFERROR(LOOKUP(2,1/('Feijão 2ª safra'!$E58:INDEX('Feijão 2ª safra'!$E58:$Z58,MIN(AL$6-$E$3,22))&lt;&gt;""),'Feijão 2ª safra'!$E58:INDEX('Feijão 2ª safra'!$E58:$Z58,MIN(AL$6-$E$3,22))),0))-IF($G$2,0,IF((AL$6-$G$3)&lt;1,0,IFERROR(LOOKUP(2,1/('Feijão 2ª safra'!$E58:INDEX('Feijão 2ª safra'!$E58:$Z58,MIN(AL$6-$G$3,22))&lt;&gt;""),'Feijão 2ª safra'!$E58:INDEX('Feijão 2ª safra'!$E58:$Z58,MIN(AL$6-$G$3,22))),0)))))</f>
        <v>0</v>
      </c>
      <c r="AM60" s="27" t="n">
        <f aca="false">IF(COUNT('Feijão 2ª safra'!$E58:$Z58)=0,0,MAX(0,IF((AM$6-$E$3)&lt;1,0,IFERROR(LOOKUP(2,1/('Feijão 2ª safra'!$E58:INDEX('Feijão 2ª safra'!$E58:$Z58,MIN(AM$6-$E$3,22))&lt;&gt;""),'Feijão 2ª safra'!$E58:INDEX('Feijão 2ª safra'!$E58:$Z58,MIN(AM$6-$E$3,22))),0))-IF($G$2,0,IF((AM$6-$G$3)&lt;1,0,IFERROR(LOOKUP(2,1/('Feijão 2ª safra'!$E58:INDEX('Feijão 2ª safra'!$E58:$Z58,MIN(AM$6-$G$3,22))&lt;&gt;""),'Feijão 2ª safra'!$E58:INDEX('Feijão 2ª safra'!$E58:$Z58,MIN(AM$6-$G$3,22))),0)))))</f>
        <v>0</v>
      </c>
      <c r="AN60" s="27" t="n">
        <f aca="false">IF(COUNT('Feijão 2ª safra'!$E58:$Z58)=0,0,MAX(0,IF((AN$6-$E$3)&lt;1,0,IFERROR(LOOKUP(2,1/('Feijão 2ª safra'!$E58:INDEX('Feijão 2ª safra'!$E58:$Z58,MIN(AN$6-$E$3,22))&lt;&gt;""),'Feijão 2ª safra'!$E58:INDEX('Feijão 2ª safra'!$E58:$Z58,MIN(AN$6-$E$3,22))),0))-IF($G$2,0,IF((AN$6-$G$3)&lt;1,0,IFERROR(LOOKUP(2,1/('Feijão 2ª safra'!$E58:INDEX('Feijão 2ª safra'!$E58:$Z58,MIN(AN$6-$G$3,22))&lt;&gt;""),'Feijão 2ª safra'!$E58:INDEX('Feijão 2ª safra'!$E58:$Z58,MIN(AN$6-$G$3,22))),0)))))</f>
        <v>0</v>
      </c>
      <c r="AO60" s="27" t="n">
        <f aca="false">IF(COUNT('Feijão 2ª safra'!$E58:$Z58)=0,0,MAX(0,IF((AO$6-$E$3)&lt;1,0,IFERROR(LOOKUP(2,1/('Feijão 2ª safra'!$E58:INDEX('Feijão 2ª safra'!$E58:$Z58,MIN(AO$6-$E$3,22))&lt;&gt;""),'Feijão 2ª safra'!$E58:INDEX('Feijão 2ª safra'!$E58:$Z58,MIN(AO$6-$E$3,22))),0))-IF($G$2,0,IF((AO$6-$G$3)&lt;1,0,IFERROR(LOOKUP(2,1/('Feijão 2ª safra'!$E58:INDEX('Feijão 2ª safra'!$E58:$Z58,MIN(AO$6-$G$3,22))&lt;&gt;""),'Feijão 2ª safra'!$E58:INDEX('Feijão 2ª safra'!$E58:$Z58,MIN(AO$6-$G$3,22))),0)))))</f>
        <v>0</v>
      </c>
      <c r="AP60" s="27" t="n">
        <f aca="false">IF(COUNT('Feijão 2ª safra'!$E58:$Z58)=0,0,MAX(0,IF((AP$6-$E$3)&lt;1,0,IFERROR(LOOKUP(2,1/('Feijão 2ª safra'!$E58:INDEX('Feijão 2ª safra'!$E58:$Z58,MIN(AP$6-$E$3,22))&lt;&gt;""),'Feijão 2ª safra'!$E58:INDEX('Feijão 2ª safra'!$E58:$Z58,MIN(AP$6-$E$3,22))),0))-IF($G$2,0,IF((AP$6-$G$3)&lt;1,0,IFERROR(LOOKUP(2,1/('Feijão 2ª safra'!$E58:INDEX('Feijão 2ª safra'!$E58:$Z58,MIN(AP$6-$G$3,22))&lt;&gt;""),'Feijão 2ª safra'!$E58:INDEX('Feijão 2ª safra'!$E58:$Z58,MIN(AP$6-$G$3,22))),0)))))</f>
        <v>0</v>
      </c>
      <c r="AQ60" s="27" t="n">
        <f aca="false">IF(COUNT('Feijão 2ª safra'!$E58:$Z58)=0,0,MAX(0,IF((AQ$6-$E$3)&lt;1,0,IFERROR(LOOKUP(2,1/('Feijão 2ª safra'!$E58:INDEX('Feijão 2ª safra'!$E58:$Z58,MIN(AQ$6-$E$3,22))&lt;&gt;""),'Feijão 2ª safra'!$E58:INDEX('Feijão 2ª safra'!$E58:$Z58,MIN(AQ$6-$E$3,22))),0))-IF($G$2,0,IF((AQ$6-$G$3)&lt;1,0,IFERROR(LOOKUP(2,1/('Feijão 2ª safra'!$E58:INDEX('Feijão 2ª safra'!$E58:$Z58,MIN(AQ$6-$G$3,22))&lt;&gt;""),'Feijão 2ª safra'!$E58:INDEX('Feijão 2ª safra'!$E58:$Z58,MIN(AQ$6-$G$3,22))),0)))))</f>
        <v>0</v>
      </c>
      <c r="AR60" s="27" t="n">
        <f aca="false">IF(COUNT('Feijão 2ª safra'!$E58:$Z58)=0,0,MAX(0,IF((AR$6-$E$3)&lt;1,0,IFERROR(LOOKUP(2,1/('Feijão 2ª safra'!$E58:INDEX('Feijão 2ª safra'!$E58:$Z58,MIN(AR$6-$E$3,22))&lt;&gt;""),'Feijão 2ª safra'!$E58:INDEX('Feijão 2ª safra'!$E58:$Z58,MIN(AR$6-$E$3,22))),0))-IF($G$2,0,IF((AR$6-$G$3)&lt;1,0,IFERROR(LOOKUP(2,1/('Feijão 2ª safra'!$E58:INDEX('Feijão 2ª safra'!$E58:$Z58,MIN(AR$6-$G$3,22))&lt;&gt;""),'Feijão 2ª safra'!$E58:INDEX('Feijão 2ª safra'!$E58:$Z58,MIN(AR$6-$G$3,22))),0)))))</f>
        <v>0</v>
      </c>
      <c r="AS60" s="27" t="n">
        <f aca="false">IF(COUNT('Feijão 2ª safra'!$E58:$Z58)=0,0,MAX(0,IF((AS$6-$E$3)&lt;1,0,IFERROR(LOOKUP(2,1/('Feijão 2ª safra'!$E58:INDEX('Feijão 2ª safra'!$E58:$Z58,MIN(AS$6-$E$3,22))&lt;&gt;""),'Feijão 2ª safra'!$E58:INDEX('Feijão 2ª safra'!$E58:$Z58,MIN(AS$6-$E$3,22))),0))-IF($G$2,0,IF((AS$6-$G$3)&lt;1,0,IFERROR(LOOKUP(2,1/('Feijão 2ª safra'!$E58:INDEX('Feijão 2ª safra'!$E58:$Z58,MIN(AS$6-$G$3,22))&lt;&gt;""),'Feijão 2ª safra'!$E58:INDEX('Feijão 2ª safra'!$E58:$Z58,MIN(AS$6-$G$3,22))),0)))))</f>
        <v>0</v>
      </c>
      <c r="AT60" s="27" t="n">
        <f aca="false">IF(COUNT('Feijão 2ª safra'!$E58:$Z58)=0,0,MAX(0,IF((AT$6-$E$3)&lt;1,0,IFERROR(LOOKUP(2,1/('Feijão 2ª safra'!$E58:INDEX('Feijão 2ª safra'!$E58:$Z58,MIN(AT$6-$E$3,22))&lt;&gt;""),'Feijão 2ª safra'!$E58:INDEX('Feijão 2ª safra'!$E58:$Z58,MIN(AT$6-$E$3,22))),0))-IF($G$2,0,IF((AT$6-$G$3)&lt;1,0,IFERROR(LOOKUP(2,1/('Feijão 2ª safra'!$E58:INDEX('Feijão 2ª safra'!$E58:$Z58,MIN(AT$6-$G$3,22))&lt;&gt;""),'Feijão 2ª safra'!$E58:INDEX('Feijão 2ª safra'!$E58:$Z58,MIN(AT$6-$G$3,22))),0)))))</f>
        <v>0</v>
      </c>
      <c r="AU60" s="27" t="n">
        <f aca="false">IF(COUNT('Feijão 2ª safra'!$E58:$Z58)=0,0,MAX(0,IF((AU$6-$E$3)&lt;1,0,IFERROR(LOOKUP(2,1/('Feijão 2ª safra'!$E58:INDEX('Feijão 2ª safra'!$E58:$Z58,MIN(AU$6-$E$3,22))&lt;&gt;""),'Feijão 2ª safra'!$E58:INDEX('Feijão 2ª safra'!$E58:$Z58,MIN(AU$6-$E$3,22))),0))-IF($G$2,0,IF((AU$6-$G$3)&lt;1,0,IFERROR(LOOKUP(2,1/('Feijão 2ª safra'!$E58:INDEX('Feijão 2ª safra'!$E58:$Z58,MIN(AU$6-$G$3,22))&lt;&gt;""),'Feijão 2ª safra'!$E58:INDEX('Feijão 2ª safra'!$E58:$Z58,MIN(AU$6-$G$3,22))),0)))))</f>
        <v>0</v>
      </c>
      <c r="AV60" s="27" t="n">
        <f aca="false">IF(COUNT('Feijão 2ª safra'!$E58:$Z58)=0,0,MAX(0,IF((AV$6-$E$3)&lt;1,0,IFERROR(LOOKUP(2,1/('Feijão 2ª safra'!$E58:INDEX('Feijão 2ª safra'!$E58:$Z58,MIN(AV$6-$E$3,22))&lt;&gt;""),'Feijão 2ª safra'!$E58:INDEX('Feijão 2ª safra'!$E58:$Z58,MIN(AV$6-$E$3,22))),0))-IF($G$2,0,IF((AV$6-$G$3)&lt;1,0,IFERROR(LOOKUP(2,1/('Feijão 2ª safra'!$E58:INDEX('Feijão 2ª safra'!$E58:$Z58,MIN(AV$6-$G$3,22))&lt;&gt;""),'Feijão 2ª safra'!$E58:INDEX('Feijão 2ª safra'!$E58:$Z58,MIN(AV$6-$G$3,22))),0)))))</f>
        <v>0</v>
      </c>
      <c r="AW60" s="27" t="n">
        <f aca="false">IF(COUNT('Feijão 2ª safra'!$E58:$Z58)=0,0,MAX(0,IF((AW$6-$E$3)&lt;1,0,IFERROR(LOOKUP(2,1/('Feijão 2ª safra'!$E58:INDEX('Feijão 2ª safra'!$E58:$Z58,MIN(AW$6-$E$3,22))&lt;&gt;""),'Feijão 2ª safra'!$E58:INDEX('Feijão 2ª safra'!$E58:$Z58,MIN(AW$6-$E$3,22))),0))-IF($G$2,0,IF((AW$6-$G$3)&lt;1,0,IFERROR(LOOKUP(2,1/('Feijão 2ª safra'!$E58:INDEX('Feijão 2ª safra'!$E58:$Z58,MIN(AW$6-$G$3,22))&lt;&gt;""),'Feijão 2ª safra'!$E58:INDEX('Feijão 2ª safra'!$E58:$Z58,MIN(AW$6-$G$3,22))),0)))))</f>
        <v>0</v>
      </c>
      <c r="AX60" s="27" t="n">
        <f aca="false">IF(COUNT('Feijão 2ª safra'!$E58:$Z58)=0,0,MAX(0,IF((AX$6-$E$3)&lt;1,0,IFERROR(LOOKUP(2,1/('Feijão 2ª safra'!$E58:INDEX('Feijão 2ª safra'!$E58:$Z58,MIN(AX$6-$E$3,22))&lt;&gt;""),'Feijão 2ª safra'!$E58:INDEX('Feijão 2ª safra'!$E58:$Z58,MIN(AX$6-$E$3,22))),0))-IF($G$2,0,IF((AX$6-$G$3)&lt;1,0,IFERROR(LOOKUP(2,1/('Feijão 2ª safra'!$E58:INDEX('Feijão 2ª safra'!$E58:$Z58,MIN(AX$6-$G$3,22))&lt;&gt;""),'Feijão 2ª safra'!$E58:INDEX('Feijão 2ª safra'!$E58:$Z58,MIN(AX$6-$G$3,22))),0)))))</f>
        <v>0</v>
      </c>
      <c r="AY60" s="27" t="n">
        <f aca="false">IF(COUNT('Feijão 2ª safra'!$E58:$Z58)=0,0,MAX(0,IF((AY$6-$E$3)&lt;1,0,IFERROR(LOOKUP(2,1/('Feijão 2ª safra'!$E58:INDEX('Feijão 2ª safra'!$E58:$Z58,MIN(AY$6-$E$3,22))&lt;&gt;""),'Feijão 2ª safra'!$E58:INDEX('Feijão 2ª safra'!$E58:$Z58,MIN(AY$6-$E$3,22))),0))-IF($G$2,0,IF((AY$6-$G$3)&lt;1,0,IFERROR(LOOKUP(2,1/('Feijão 2ª safra'!$E58:INDEX('Feijão 2ª safra'!$E58:$Z58,MIN(AY$6-$G$3,22))&lt;&gt;""),'Feijão 2ª safra'!$E58:INDEX('Feijão 2ª safra'!$E58:$Z58,MIN(AY$6-$G$3,22))),0)))))</f>
        <v>0</v>
      </c>
      <c r="AZ60" s="27" t="n">
        <f aca="false">IF(COUNT('Feijão 2ª safra'!$E58:$Z58)=0,0,MAX(0,IF((AZ$6-$E$3)&lt;1,0,IFERROR(LOOKUP(2,1/('Feijão 2ª safra'!$E58:INDEX('Feijão 2ª safra'!$E58:$Z58,MIN(AZ$6-$E$3,22))&lt;&gt;""),'Feijão 2ª safra'!$E58:INDEX('Feijão 2ª safra'!$E58:$Z58,MIN(AZ$6-$E$3,22))),0))-IF($G$2,0,IF((AZ$6-$G$3)&lt;1,0,IFERROR(LOOKUP(2,1/('Feijão 2ª safra'!$E58:INDEX('Feijão 2ª safra'!$E58:$Z58,MIN(AZ$6-$G$3,22))&lt;&gt;""),'Feijão 2ª safra'!$E58:INDEX('Feijão 2ª safra'!$E58:$Z58,MIN(AZ$6-$G$3,22))),0)))))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IF(COUNT('Feijão 2ª safra'!$E59:$Z59)&gt;0,N('Feijão 2ª safra'!$D59),0)</f>
        <v>0</v>
      </c>
      <c r="E61" s="27" t="n">
        <f aca="false">IF(COUNT('Feijão 2ª safra'!$E59:$Z59)=0,0,MAX(0,IF((E$6-$E$3)&lt;1,0,IFERROR(LOOKUP(2,1/('Feijão 2ª safra'!$E59:INDEX('Feijão 2ª safra'!$E59:$Z59,MIN(E$6-$E$3,22))&lt;&gt;""),'Feijão 2ª safra'!$E59:INDEX('Feijão 2ª safra'!$E59:$Z59,MIN(E$6-$E$3,22))),0))-IF($G$2,0,IF((E$6-$G$3)&lt;1,0,IFERROR(LOOKUP(2,1/('Feijão 2ª safra'!$E59:INDEX('Feijão 2ª safra'!$E59:$Z59,MIN(E$6-$G$3,22))&lt;&gt;""),'Feijão 2ª safra'!$E59:INDEX('Feijão 2ª safra'!$E59:$Z59,MIN(E$6-$G$3,22))),0)))))</f>
        <v>0</v>
      </c>
      <c r="F61" s="27" t="n">
        <f aca="false">IF(COUNT('Feijão 2ª safra'!$E59:$Z59)=0,0,MAX(0,IF((F$6-$E$3)&lt;1,0,IFERROR(LOOKUP(2,1/('Feijão 2ª safra'!$E59:INDEX('Feijão 2ª safra'!$E59:$Z59,MIN(F$6-$E$3,22))&lt;&gt;""),'Feijão 2ª safra'!$E59:INDEX('Feijão 2ª safra'!$E59:$Z59,MIN(F$6-$E$3,22))),0))-IF($G$2,0,IF((F$6-$G$3)&lt;1,0,IFERROR(LOOKUP(2,1/('Feijão 2ª safra'!$E59:INDEX('Feijão 2ª safra'!$E59:$Z59,MIN(F$6-$G$3,22))&lt;&gt;""),'Feijão 2ª safra'!$E59:INDEX('Feijão 2ª safra'!$E59:$Z59,MIN(F$6-$G$3,22))),0)))))</f>
        <v>0</v>
      </c>
      <c r="G61" s="27" t="n">
        <f aca="false">IF(COUNT('Feijão 2ª safra'!$E59:$Z59)=0,0,MAX(0,IF((G$6-$E$3)&lt;1,0,IFERROR(LOOKUP(2,1/('Feijão 2ª safra'!$E59:INDEX('Feijão 2ª safra'!$E59:$Z59,MIN(G$6-$E$3,22))&lt;&gt;""),'Feijão 2ª safra'!$E59:INDEX('Feijão 2ª safra'!$E59:$Z59,MIN(G$6-$E$3,22))),0))-IF($G$2,0,IF((G$6-$G$3)&lt;1,0,IFERROR(LOOKUP(2,1/('Feijão 2ª safra'!$E59:INDEX('Feijão 2ª safra'!$E59:$Z59,MIN(G$6-$G$3,22))&lt;&gt;""),'Feijão 2ª safra'!$E59:INDEX('Feijão 2ª safra'!$E59:$Z59,MIN(G$6-$G$3,22))),0)))))</f>
        <v>0</v>
      </c>
      <c r="H61" s="27" t="n">
        <f aca="false">IF(COUNT('Feijão 2ª safra'!$E59:$Z59)=0,0,MAX(0,IF((H$6-$E$3)&lt;1,0,IFERROR(LOOKUP(2,1/('Feijão 2ª safra'!$E59:INDEX('Feijão 2ª safra'!$E59:$Z59,MIN(H$6-$E$3,22))&lt;&gt;""),'Feijão 2ª safra'!$E59:INDEX('Feijão 2ª safra'!$E59:$Z59,MIN(H$6-$E$3,22))),0))-IF($G$2,0,IF((H$6-$G$3)&lt;1,0,IFERROR(LOOKUP(2,1/('Feijão 2ª safra'!$E59:INDEX('Feijão 2ª safra'!$E59:$Z59,MIN(H$6-$G$3,22))&lt;&gt;""),'Feijão 2ª safra'!$E59:INDEX('Feijão 2ª safra'!$E59:$Z59,MIN(H$6-$G$3,22))),0)))))</f>
        <v>0</v>
      </c>
      <c r="I61" s="27" t="n">
        <f aca="false">IF(COUNT('Feijão 2ª safra'!$E59:$Z59)=0,0,MAX(0,IF((I$6-$E$3)&lt;1,0,IFERROR(LOOKUP(2,1/('Feijão 2ª safra'!$E59:INDEX('Feijão 2ª safra'!$E59:$Z59,MIN(I$6-$E$3,22))&lt;&gt;""),'Feijão 2ª safra'!$E59:INDEX('Feijão 2ª safra'!$E59:$Z59,MIN(I$6-$E$3,22))),0))-IF($G$2,0,IF((I$6-$G$3)&lt;1,0,IFERROR(LOOKUP(2,1/('Feijão 2ª safra'!$E59:INDEX('Feijão 2ª safra'!$E59:$Z59,MIN(I$6-$G$3,22))&lt;&gt;""),'Feijão 2ª safra'!$E59:INDEX('Feijão 2ª safra'!$E59:$Z59,MIN(I$6-$G$3,22))),0)))))</f>
        <v>0</v>
      </c>
      <c r="J61" s="27" t="n">
        <f aca="false">IF(COUNT('Feijão 2ª safra'!$E59:$Z59)=0,0,MAX(0,IF((J$6-$E$3)&lt;1,0,IFERROR(LOOKUP(2,1/('Feijão 2ª safra'!$E59:INDEX('Feijão 2ª safra'!$E59:$Z59,MIN(J$6-$E$3,22))&lt;&gt;""),'Feijão 2ª safra'!$E59:INDEX('Feijão 2ª safra'!$E59:$Z59,MIN(J$6-$E$3,22))),0))-IF($G$2,0,IF((J$6-$G$3)&lt;1,0,IFERROR(LOOKUP(2,1/('Feijão 2ª safra'!$E59:INDEX('Feijão 2ª safra'!$E59:$Z59,MIN(J$6-$G$3,22))&lt;&gt;""),'Feijão 2ª safra'!$E59:INDEX('Feijão 2ª safra'!$E59:$Z59,MIN(J$6-$G$3,22))),0)))))</f>
        <v>0</v>
      </c>
      <c r="K61" s="27" t="n">
        <f aca="false">IF(COUNT('Feijão 2ª safra'!$E59:$Z59)=0,0,MAX(0,IF((K$6-$E$3)&lt;1,0,IFERROR(LOOKUP(2,1/('Feijão 2ª safra'!$E59:INDEX('Feijão 2ª safra'!$E59:$Z59,MIN(K$6-$E$3,22))&lt;&gt;""),'Feijão 2ª safra'!$E59:INDEX('Feijão 2ª safra'!$E59:$Z59,MIN(K$6-$E$3,22))),0))-IF($G$2,0,IF((K$6-$G$3)&lt;1,0,IFERROR(LOOKUP(2,1/('Feijão 2ª safra'!$E59:INDEX('Feijão 2ª safra'!$E59:$Z59,MIN(K$6-$G$3,22))&lt;&gt;""),'Feijão 2ª safra'!$E59:INDEX('Feijão 2ª safra'!$E59:$Z59,MIN(K$6-$G$3,22))),0)))))</f>
        <v>0</v>
      </c>
      <c r="L61" s="27" t="n">
        <f aca="false">IF(COUNT('Feijão 2ª safra'!$E59:$Z59)=0,0,MAX(0,IF((L$6-$E$3)&lt;1,0,IFERROR(LOOKUP(2,1/('Feijão 2ª safra'!$E59:INDEX('Feijão 2ª safra'!$E59:$Z59,MIN(L$6-$E$3,22))&lt;&gt;""),'Feijão 2ª safra'!$E59:INDEX('Feijão 2ª safra'!$E59:$Z59,MIN(L$6-$E$3,22))),0))-IF($G$2,0,IF((L$6-$G$3)&lt;1,0,IFERROR(LOOKUP(2,1/('Feijão 2ª safra'!$E59:INDEX('Feijão 2ª safra'!$E59:$Z59,MIN(L$6-$G$3,22))&lt;&gt;""),'Feijão 2ª safra'!$E59:INDEX('Feijão 2ª safra'!$E59:$Z59,MIN(L$6-$G$3,22))),0)))))</f>
        <v>0</v>
      </c>
      <c r="M61" s="27" t="n">
        <f aca="false">IF(COUNT('Feijão 2ª safra'!$E59:$Z59)=0,0,MAX(0,IF((M$6-$E$3)&lt;1,0,IFERROR(LOOKUP(2,1/('Feijão 2ª safra'!$E59:INDEX('Feijão 2ª safra'!$E59:$Z59,MIN(M$6-$E$3,22))&lt;&gt;""),'Feijão 2ª safra'!$E59:INDEX('Feijão 2ª safra'!$E59:$Z59,MIN(M$6-$E$3,22))),0))-IF($G$2,0,IF((M$6-$G$3)&lt;1,0,IFERROR(LOOKUP(2,1/('Feijão 2ª safra'!$E59:INDEX('Feijão 2ª safra'!$E59:$Z59,MIN(M$6-$G$3,22))&lt;&gt;""),'Feijão 2ª safra'!$E59:INDEX('Feijão 2ª safra'!$E59:$Z59,MIN(M$6-$G$3,22))),0)))))</f>
        <v>0</v>
      </c>
      <c r="N61" s="27" t="n">
        <f aca="false">IF(COUNT('Feijão 2ª safra'!$E59:$Z59)=0,0,MAX(0,IF((N$6-$E$3)&lt;1,0,IFERROR(LOOKUP(2,1/('Feijão 2ª safra'!$E59:INDEX('Feijão 2ª safra'!$E59:$Z59,MIN(N$6-$E$3,22))&lt;&gt;""),'Feijão 2ª safra'!$E59:INDEX('Feijão 2ª safra'!$E59:$Z59,MIN(N$6-$E$3,22))),0))-IF($G$2,0,IF((N$6-$G$3)&lt;1,0,IFERROR(LOOKUP(2,1/('Feijão 2ª safra'!$E59:INDEX('Feijão 2ª safra'!$E59:$Z59,MIN(N$6-$G$3,22))&lt;&gt;""),'Feijão 2ª safra'!$E59:INDEX('Feijão 2ª safra'!$E59:$Z59,MIN(N$6-$G$3,22))),0)))))</f>
        <v>0</v>
      </c>
      <c r="O61" s="27" t="n">
        <f aca="false">IF(COUNT('Feijão 2ª safra'!$E59:$Z59)=0,0,MAX(0,IF((O$6-$E$3)&lt;1,0,IFERROR(LOOKUP(2,1/('Feijão 2ª safra'!$E59:INDEX('Feijão 2ª safra'!$E59:$Z59,MIN(O$6-$E$3,22))&lt;&gt;""),'Feijão 2ª safra'!$E59:INDEX('Feijão 2ª safra'!$E59:$Z59,MIN(O$6-$E$3,22))),0))-IF($G$2,0,IF((O$6-$G$3)&lt;1,0,IFERROR(LOOKUP(2,1/('Feijão 2ª safra'!$E59:INDEX('Feijão 2ª safra'!$E59:$Z59,MIN(O$6-$G$3,22))&lt;&gt;""),'Feijão 2ª safra'!$E59:INDEX('Feijão 2ª safra'!$E59:$Z59,MIN(O$6-$G$3,22))),0)))))</f>
        <v>0</v>
      </c>
      <c r="P61" s="27" t="n">
        <f aca="false">IF(COUNT('Feijão 2ª safra'!$E59:$Z59)=0,0,MAX(0,IF((P$6-$E$3)&lt;1,0,IFERROR(LOOKUP(2,1/('Feijão 2ª safra'!$E59:INDEX('Feijão 2ª safra'!$E59:$Z59,MIN(P$6-$E$3,22))&lt;&gt;""),'Feijão 2ª safra'!$E59:INDEX('Feijão 2ª safra'!$E59:$Z59,MIN(P$6-$E$3,22))),0))-IF($G$2,0,IF((P$6-$G$3)&lt;1,0,IFERROR(LOOKUP(2,1/('Feijão 2ª safra'!$E59:INDEX('Feijão 2ª safra'!$E59:$Z59,MIN(P$6-$G$3,22))&lt;&gt;""),'Feijão 2ª safra'!$E59:INDEX('Feijão 2ª safra'!$E59:$Z59,MIN(P$6-$G$3,22))),0)))))</f>
        <v>0</v>
      </c>
      <c r="Q61" s="27" t="n">
        <f aca="false">IF(COUNT('Feijão 2ª safra'!$E59:$Z59)=0,0,MAX(0,IF((Q$6-$E$3)&lt;1,0,IFERROR(LOOKUP(2,1/('Feijão 2ª safra'!$E59:INDEX('Feijão 2ª safra'!$E59:$Z59,MIN(Q$6-$E$3,22))&lt;&gt;""),'Feijão 2ª safra'!$E59:INDEX('Feijão 2ª safra'!$E59:$Z59,MIN(Q$6-$E$3,22))),0))-IF($G$2,0,IF((Q$6-$G$3)&lt;1,0,IFERROR(LOOKUP(2,1/('Feijão 2ª safra'!$E59:INDEX('Feijão 2ª safra'!$E59:$Z59,MIN(Q$6-$G$3,22))&lt;&gt;""),'Feijão 2ª safra'!$E59:INDEX('Feijão 2ª safra'!$E59:$Z59,MIN(Q$6-$G$3,22))),0)))))</f>
        <v>0</v>
      </c>
      <c r="R61" s="27" t="n">
        <f aca="false">IF(COUNT('Feijão 2ª safra'!$E59:$Z59)=0,0,MAX(0,IF((R$6-$E$3)&lt;1,0,IFERROR(LOOKUP(2,1/('Feijão 2ª safra'!$E59:INDEX('Feijão 2ª safra'!$E59:$Z59,MIN(R$6-$E$3,22))&lt;&gt;""),'Feijão 2ª safra'!$E59:INDEX('Feijão 2ª safra'!$E59:$Z59,MIN(R$6-$E$3,22))),0))-IF($G$2,0,IF((R$6-$G$3)&lt;1,0,IFERROR(LOOKUP(2,1/('Feijão 2ª safra'!$E59:INDEX('Feijão 2ª safra'!$E59:$Z59,MIN(R$6-$G$3,22))&lt;&gt;""),'Feijão 2ª safra'!$E59:INDEX('Feijão 2ª safra'!$E59:$Z59,MIN(R$6-$G$3,22))),0)))))</f>
        <v>0</v>
      </c>
      <c r="S61" s="27" t="n">
        <f aca="false">IF(COUNT('Feijão 2ª safra'!$E59:$Z59)=0,0,MAX(0,IF((S$6-$E$3)&lt;1,0,IFERROR(LOOKUP(2,1/('Feijão 2ª safra'!$E59:INDEX('Feijão 2ª safra'!$E59:$Z59,MIN(S$6-$E$3,22))&lt;&gt;""),'Feijão 2ª safra'!$E59:INDEX('Feijão 2ª safra'!$E59:$Z59,MIN(S$6-$E$3,22))),0))-IF($G$2,0,IF((S$6-$G$3)&lt;1,0,IFERROR(LOOKUP(2,1/('Feijão 2ª safra'!$E59:INDEX('Feijão 2ª safra'!$E59:$Z59,MIN(S$6-$G$3,22))&lt;&gt;""),'Feijão 2ª safra'!$E59:INDEX('Feijão 2ª safra'!$E59:$Z59,MIN(S$6-$G$3,22))),0)))))</f>
        <v>0</v>
      </c>
      <c r="T61" s="27" t="n">
        <f aca="false">IF(COUNT('Feijão 2ª safra'!$E59:$Z59)=0,0,MAX(0,IF((T$6-$E$3)&lt;1,0,IFERROR(LOOKUP(2,1/('Feijão 2ª safra'!$E59:INDEX('Feijão 2ª safra'!$E59:$Z59,MIN(T$6-$E$3,22))&lt;&gt;""),'Feijão 2ª safra'!$E59:INDEX('Feijão 2ª safra'!$E59:$Z59,MIN(T$6-$E$3,22))),0))-IF($G$2,0,IF((T$6-$G$3)&lt;1,0,IFERROR(LOOKUP(2,1/('Feijão 2ª safra'!$E59:INDEX('Feijão 2ª safra'!$E59:$Z59,MIN(T$6-$G$3,22))&lt;&gt;""),'Feijão 2ª safra'!$E59:INDEX('Feijão 2ª safra'!$E59:$Z59,MIN(T$6-$G$3,22))),0)))))</f>
        <v>0</v>
      </c>
      <c r="U61" s="27" t="n">
        <f aca="false">IF(COUNT('Feijão 2ª safra'!$E59:$Z59)=0,0,MAX(0,IF((U$6-$E$3)&lt;1,0,IFERROR(LOOKUP(2,1/('Feijão 2ª safra'!$E59:INDEX('Feijão 2ª safra'!$E59:$Z59,MIN(U$6-$E$3,22))&lt;&gt;""),'Feijão 2ª safra'!$E59:INDEX('Feijão 2ª safra'!$E59:$Z59,MIN(U$6-$E$3,22))),0))-IF($G$2,0,IF((U$6-$G$3)&lt;1,0,IFERROR(LOOKUP(2,1/('Feijão 2ª safra'!$E59:INDEX('Feijão 2ª safra'!$E59:$Z59,MIN(U$6-$G$3,22))&lt;&gt;""),'Feijão 2ª safra'!$E59:INDEX('Feijão 2ª safra'!$E59:$Z59,MIN(U$6-$G$3,22))),0)))))</f>
        <v>0</v>
      </c>
      <c r="V61" s="27" t="n">
        <f aca="false">IF(COUNT('Feijão 2ª safra'!$E59:$Z59)=0,0,MAX(0,IF((V$6-$E$3)&lt;1,0,IFERROR(LOOKUP(2,1/('Feijão 2ª safra'!$E59:INDEX('Feijão 2ª safra'!$E59:$Z59,MIN(V$6-$E$3,22))&lt;&gt;""),'Feijão 2ª safra'!$E59:INDEX('Feijão 2ª safra'!$E59:$Z59,MIN(V$6-$E$3,22))),0))-IF($G$2,0,IF((V$6-$G$3)&lt;1,0,IFERROR(LOOKUP(2,1/('Feijão 2ª safra'!$E59:INDEX('Feijão 2ª safra'!$E59:$Z59,MIN(V$6-$G$3,22))&lt;&gt;""),'Feijão 2ª safra'!$E59:INDEX('Feijão 2ª safra'!$E59:$Z59,MIN(V$6-$G$3,22))),0)))))</f>
        <v>0</v>
      </c>
      <c r="W61" s="27" t="n">
        <f aca="false">IF(COUNT('Feijão 2ª safra'!$E59:$Z59)=0,0,MAX(0,IF((W$6-$E$3)&lt;1,0,IFERROR(LOOKUP(2,1/('Feijão 2ª safra'!$E59:INDEX('Feijão 2ª safra'!$E59:$Z59,MIN(W$6-$E$3,22))&lt;&gt;""),'Feijão 2ª safra'!$E59:INDEX('Feijão 2ª safra'!$E59:$Z59,MIN(W$6-$E$3,22))),0))-IF($G$2,0,IF((W$6-$G$3)&lt;1,0,IFERROR(LOOKUP(2,1/('Feijão 2ª safra'!$E59:INDEX('Feijão 2ª safra'!$E59:$Z59,MIN(W$6-$G$3,22))&lt;&gt;""),'Feijão 2ª safra'!$E59:INDEX('Feijão 2ª safra'!$E59:$Z59,MIN(W$6-$G$3,22))),0)))))</f>
        <v>0</v>
      </c>
      <c r="X61" s="27" t="n">
        <f aca="false">IF(COUNT('Feijão 2ª safra'!$E59:$Z59)=0,0,MAX(0,IF((X$6-$E$3)&lt;1,0,IFERROR(LOOKUP(2,1/('Feijão 2ª safra'!$E59:INDEX('Feijão 2ª safra'!$E59:$Z59,MIN(X$6-$E$3,22))&lt;&gt;""),'Feijão 2ª safra'!$E59:INDEX('Feijão 2ª safra'!$E59:$Z59,MIN(X$6-$E$3,22))),0))-IF($G$2,0,IF((X$6-$G$3)&lt;1,0,IFERROR(LOOKUP(2,1/('Feijão 2ª safra'!$E59:INDEX('Feijão 2ª safra'!$E59:$Z59,MIN(X$6-$G$3,22))&lt;&gt;""),'Feijão 2ª safra'!$E59:INDEX('Feijão 2ª safra'!$E59:$Z59,MIN(X$6-$G$3,22))),0)))))</f>
        <v>0</v>
      </c>
      <c r="Y61" s="27" t="n">
        <f aca="false">IF(COUNT('Feijão 2ª safra'!$E59:$Z59)=0,0,MAX(0,IF((Y$6-$E$3)&lt;1,0,IFERROR(LOOKUP(2,1/('Feijão 2ª safra'!$E59:INDEX('Feijão 2ª safra'!$E59:$Z59,MIN(Y$6-$E$3,22))&lt;&gt;""),'Feijão 2ª safra'!$E59:INDEX('Feijão 2ª safra'!$E59:$Z59,MIN(Y$6-$E$3,22))),0))-IF($G$2,0,IF((Y$6-$G$3)&lt;1,0,IFERROR(LOOKUP(2,1/('Feijão 2ª safra'!$E59:INDEX('Feijão 2ª safra'!$E59:$Z59,MIN(Y$6-$G$3,22))&lt;&gt;""),'Feijão 2ª safra'!$E59:INDEX('Feijão 2ª safra'!$E59:$Z59,MIN(Y$6-$G$3,22))),0)))))</f>
        <v>0</v>
      </c>
      <c r="Z61" s="27" t="n">
        <f aca="false">IF(COUNT('Feijão 2ª safra'!$E59:$Z59)=0,0,MAX(0,IF((Z$6-$E$3)&lt;1,0,IFERROR(LOOKUP(2,1/('Feijão 2ª safra'!$E59:INDEX('Feijão 2ª safra'!$E59:$Z59,MIN(Z$6-$E$3,22))&lt;&gt;""),'Feijão 2ª safra'!$E59:INDEX('Feijão 2ª safra'!$E59:$Z59,MIN(Z$6-$E$3,22))),0))-IF($G$2,0,IF((Z$6-$G$3)&lt;1,0,IFERROR(LOOKUP(2,1/('Feijão 2ª safra'!$E59:INDEX('Feijão 2ª safra'!$E59:$Z59,MIN(Z$6-$G$3,22))&lt;&gt;""),'Feijão 2ª safra'!$E59:INDEX('Feijão 2ª safra'!$E59:$Z59,MIN(Z$6-$G$3,22))),0)))))</f>
        <v>0</v>
      </c>
      <c r="AA61" s="27" t="n">
        <f aca="false">IF(COUNT('Feijão 2ª safra'!$E59:$Z59)=0,0,MAX(0,IF((AA$6-$E$3)&lt;1,0,IFERROR(LOOKUP(2,1/('Feijão 2ª safra'!$E59:INDEX('Feijão 2ª safra'!$E59:$Z59,MIN(AA$6-$E$3,22))&lt;&gt;""),'Feijão 2ª safra'!$E59:INDEX('Feijão 2ª safra'!$E59:$Z59,MIN(AA$6-$E$3,22))),0))-IF($G$2,0,IF((AA$6-$G$3)&lt;1,0,IFERROR(LOOKUP(2,1/('Feijão 2ª safra'!$E59:INDEX('Feijão 2ª safra'!$E59:$Z59,MIN(AA$6-$G$3,22))&lt;&gt;""),'Feijão 2ª safra'!$E59:INDEX('Feijão 2ª safra'!$E59:$Z59,MIN(AA$6-$G$3,22))),0)))))</f>
        <v>0</v>
      </c>
      <c r="AB61" s="27" t="n">
        <f aca="false">IF(COUNT('Feijão 2ª safra'!$E59:$Z59)=0,0,MAX(0,IF((AB$6-$E$3)&lt;1,0,IFERROR(LOOKUP(2,1/('Feijão 2ª safra'!$E59:INDEX('Feijão 2ª safra'!$E59:$Z59,MIN(AB$6-$E$3,22))&lt;&gt;""),'Feijão 2ª safra'!$E59:INDEX('Feijão 2ª safra'!$E59:$Z59,MIN(AB$6-$E$3,22))),0))-IF($G$2,0,IF((AB$6-$G$3)&lt;1,0,IFERROR(LOOKUP(2,1/('Feijão 2ª safra'!$E59:INDEX('Feijão 2ª safra'!$E59:$Z59,MIN(AB$6-$G$3,22))&lt;&gt;""),'Feijão 2ª safra'!$E59:INDEX('Feijão 2ª safra'!$E59:$Z59,MIN(AB$6-$G$3,22))),0)))))</f>
        <v>0</v>
      </c>
      <c r="AC61" s="27" t="n">
        <f aca="false">IF(COUNT('Feijão 2ª safra'!$E59:$Z59)=0,0,MAX(0,IF((AC$6-$E$3)&lt;1,0,IFERROR(LOOKUP(2,1/('Feijão 2ª safra'!$E59:INDEX('Feijão 2ª safra'!$E59:$Z59,MIN(AC$6-$E$3,22))&lt;&gt;""),'Feijão 2ª safra'!$E59:INDEX('Feijão 2ª safra'!$E59:$Z59,MIN(AC$6-$E$3,22))),0))-IF($G$2,0,IF((AC$6-$G$3)&lt;1,0,IFERROR(LOOKUP(2,1/('Feijão 2ª safra'!$E59:INDEX('Feijão 2ª safra'!$E59:$Z59,MIN(AC$6-$G$3,22))&lt;&gt;""),'Feijão 2ª safra'!$E59:INDEX('Feijão 2ª safra'!$E59:$Z59,MIN(AC$6-$G$3,22))),0)))))</f>
        <v>0</v>
      </c>
      <c r="AD61" s="27" t="n">
        <f aca="false">IF(COUNT('Feijão 2ª safra'!$E59:$Z59)=0,0,MAX(0,IF((AD$6-$E$3)&lt;1,0,IFERROR(LOOKUP(2,1/('Feijão 2ª safra'!$E59:INDEX('Feijão 2ª safra'!$E59:$Z59,MIN(AD$6-$E$3,22))&lt;&gt;""),'Feijão 2ª safra'!$E59:INDEX('Feijão 2ª safra'!$E59:$Z59,MIN(AD$6-$E$3,22))),0))-IF($G$2,0,IF((AD$6-$G$3)&lt;1,0,IFERROR(LOOKUP(2,1/('Feijão 2ª safra'!$E59:INDEX('Feijão 2ª safra'!$E59:$Z59,MIN(AD$6-$G$3,22))&lt;&gt;""),'Feijão 2ª safra'!$E59:INDEX('Feijão 2ª safra'!$E59:$Z59,MIN(AD$6-$G$3,22))),0)))))</f>
        <v>0</v>
      </c>
      <c r="AE61" s="27" t="n">
        <f aca="false">IF(COUNT('Feijão 2ª safra'!$E59:$Z59)=0,0,MAX(0,IF((AE$6-$E$3)&lt;1,0,IFERROR(LOOKUP(2,1/('Feijão 2ª safra'!$E59:INDEX('Feijão 2ª safra'!$E59:$Z59,MIN(AE$6-$E$3,22))&lt;&gt;""),'Feijão 2ª safra'!$E59:INDEX('Feijão 2ª safra'!$E59:$Z59,MIN(AE$6-$E$3,22))),0))-IF($G$2,0,IF((AE$6-$G$3)&lt;1,0,IFERROR(LOOKUP(2,1/('Feijão 2ª safra'!$E59:INDEX('Feijão 2ª safra'!$E59:$Z59,MIN(AE$6-$G$3,22))&lt;&gt;""),'Feijão 2ª safra'!$E59:INDEX('Feijão 2ª safra'!$E59:$Z59,MIN(AE$6-$G$3,22))),0)))))</f>
        <v>0</v>
      </c>
      <c r="AF61" s="27" t="n">
        <f aca="false">IF(COUNT('Feijão 2ª safra'!$E59:$Z59)=0,0,MAX(0,IF((AF$6-$E$3)&lt;1,0,IFERROR(LOOKUP(2,1/('Feijão 2ª safra'!$E59:INDEX('Feijão 2ª safra'!$E59:$Z59,MIN(AF$6-$E$3,22))&lt;&gt;""),'Feijão 2ª safra'!$E59:INDEX('Feijão 2ª safra'!$E59:$Z59,MIN(AF$6-$E$3,22))),0))-IF($G$2,0,IF((AF$6-$G$3)&lt;1,0,IFERROR(LOOKUP(2,1/('Feijão 2ª safra'!$E59:INDEX('Feijão 2ª safra'!$E59:$Z59,MIN(AF$6-$G$3,22))&lt;&gt;""),'Feijão 2ª safra'!$E59:INDEX('Feijão 2ª safra'!$E59:$Z59,MIN(AF$6-$G$3,22))),0)))))</f>
        <v>0</v>
      </c>
      <c r="AG61" s="27" t="n">
        <f aca="false">IF(COUNT('Feijão 2ª safra'!$E59:$Z59)=0,0,MAX(0,IF((AG$6-$E$3)&lt;1,0,IFERROR(LOOKUP(2,1/('Feijão 2ª safra'!$E59:INDEX('Feijão 2ª safra'!$E59:$Z59,MIN(AG$6-$E$3,22))&lt;&gt;""),'Feijão 2ª safra'!$E59:INDEX('Feijão 2ª safra'!$E59:$Z59,MIN(AG$6-$E$3,22))),0))-IF($G$2,0,IF((AG$6-$G$3)&lt;1,0,IFERROR(LOOKUP(2,1/('Feijão 2ª safra'!$E59:INDEX('Feijão 2ª safra'!$E59:$Z59,MIN(AG$6-$G$3,22))&lt;&gt;""),'Feijão 2ª safra'!$E59:INDEX('Feijão 2ª safra'!$E59:$Z59,MIN(AG$6-$G$3,22))),0)))))</f>
        <v>0</v>
      </c>
      <c r="AH61" s="27" t="n">
        <f aca="false">IF(COUNT('Feijão 2ª safra'!$E59:$Z59)=0,0,MAX(0,IF((AH$6-$E$3)&lt;1,0,IFERROR(LOOKUP(2,1/('Feijão 2ª safra'!$E59:INDEX('Feijão 2ª safra'!$E59:$Z59,MIN(AH$6-$E$3,22))&lt;&gt;""),'Feijão 2ª safra'!$E59:INDEX('Feijão 2ª safra'!$E59:$Z59,MIN(AH$6-$E$3,22))),0))-IF($G$2,0,IF((AH$6-$G$3)&lt;1,0,IFERROR(LOOKUP(2,1/('Feijão 2ª safra'!$E59:INDEX('Feijão 2ª safra'!$E59:$Z59,MIN(AH$6-$G$3,22))&lt;&gt;""),'Feijão 2ª safra'!$E59:INDEX('Feijão 2ª safra'!$E59:$Z59,MIN(AH$6-$G$3,22))),0)))))</f>
        <v>0</v>
      </c>
      <c r="AI61" s="27" t="n">
        <f aca="false">IF(COUNT('Feijão 2ª safra'!$E59:$Z59)=0,0,MAX(0,IF((AI$6-$E$3)&lt;1,0,IFERROR(LOOKUP(2,1/('Feijão 2ª safra'!$E59:INDEX('Feijão 2ª safra'!$E59:$Z59,MIN(AI$6-$E$3,22))&lt;&gt;""),'Feijão 2ª safra'!$E59:INDEX('Feijão 2ª safra'!$E59:$Z59,MIN(AI$6-$E$3,22))),0))-IF($G$2,0,IF((AI$6-$G$3)&lt;1,0,IFERROR(LOOKUP(2,1/('Feijão 2ª safra'!$E59:INDEX('Feijão 2ª safra'!$E59:$Z59,MIN(AI$6-$G$3,22))&lt;&gt;""),'Feijão 2ª safra'!$E59:INDEX('Feijão 2ª safra'!$E59:$Z59,MIN(AI$6-$G$3,22))),0)))))</f>
        <v>0</v>
      </c>
      <c r="AJ61" s="27" t="n">
        <f aca="false">IF(COUNT('Feijão 2ª safra'!$E59:$Z59)=0,0,MAX(0,IF((AJ$6-$E$3)&lt;1,0,IFERROR(LOOKUP(2,1/('Feijão 2ª safra'!$E59:INDEX('Feijão 2ª safra'!$E59:$Z59,MIN(AJ$6-$E$3,22))&lt;&gt;""),'Feijão 2ª safra'!$E59:INDEX('Feijão 2ª safra'!$E59:$Z59,MIN(AJ$6-$E$3,22))),0))-IF($G$2,0,IF((AJ$6-$G$3)&lt;1,0,IFERROR(LOOKUP(2,1/('Feijão 2ª safra'!$E59:INDEX('Feijão 2ª safra'!$E59:$Z59,MIN(AJ$6-$G$3,22))&lt;&gt;""),'Feijão 2ª safra'!$E59:INDEX('Feijão 2ª safra'!$E59:$Z59,MIN(AJ$6-$G$3,22))),0)))))</f>
        <v>0</v>
      </c>
      <c r="AK61" s="27" t="n">
        <f aca="false">IF(COUNT('Feijão 2ª safra'!$E59:$Z59)=0,0,MAX(0,IF((AK$6-$E$3)&lt;1,0,IFERROR(LOOKUP(2,1/('Feijão 2ª safra'!$E59:INDEX('Feijão 2ª safra'!$E59:$Z59,MIN(AK$6-$E$3,22))&lt;&gt;""),'Feijão 2ª safra'!$E59:INDEX('Feijão 2ª safra'!$E59:$Z59,MIN(AK$6-$E$3,22))),0))-IF($G$2,0,IF((AK$6-$G$3)&lt;1,0,IFERROR(LOOKUP(2,1/('Feijão 2ª safra'!$E59:INDEX('Feijão 2ª safra'!$E59:$Z59,MIN(AK$6-$G$3,22))&lt;&gt;""),'Feijão 2ª safra'!$E59:INDEX('Feijão 2ª safra'!$E59:$Z59,MIN(AK$6-$G$3,22))),0)))))</f>
        <v>0</v>
      </c>
      <c r="AL61" s="27" t="n">
        <f aca="false">IF(COUNT('Feijão 2ª safra'!$E59:$Z59)=0,0,MAX(0,IF((AL$6-$E$3)&lt;1,0,IFERROR(LOOKUP(2,1/('Feijão 2ª safra'!$E59:INDEX('Feijão 2ª safra'!$E59:$Z59,MIN(AL$6-$E$3,22))&lt;&gt;""),'Feijão 2ª safra'!$E59:INDEX('Feijão 2ª safra'!$E59:$Z59,MIN(AL$6-$E$3,22))),0))-IF($G$2,0,IF((AL$6-$G$3)&lt;1,0,IFERROR(LOOKUP(2,1/('Feijão 2ª safra'!$E59:INDEX('Feijão 2ª safra'!$E59:$Z59,MIN(AL$6-$G$3,22))&lt;&gt;""),'Feijão 2ª safra'!$E59:INDEX('Feijão 2ª safra'!$E59:$Z59,MIN(AL$6-$G$3,22))),0)))))</f>
        <v>0</v>
      </c>
      <c r="AM61" s="27" t="n">
        <f aca="false">IF(COUNT('Feijão 2ª safra'!$E59:$Z59)=0,0,MAX(0,IF((AM$6-$E$3)&lt;1,0,IFERROR(LOOKUP(2,1/('Feijão 2ª safra'!$E59:INDEX('Feijão 2ª safra'!$E59:$Z59,MIN(AM$6-$E$3,22))&lt;&gt;""),'Feijão 2ª safra'!$E59:INDEX('Feijão 2ª safra'!$E59:$Z59,MIN(AM$6-$E$3,22))),0))-IF($G$2,0,IF((AM$6-$G$3)&lt;1,0,IFERROR(LOOKUP(2,1/('Feijão 2ª safra'!$E59:INDEX('Feijão 2ª safra'!$E59:$Z59,MIN(AM$6-$G$3,22))&lt;&gt;""),'Feijão 2ª safra'!$E59:INDEX('Feijão 2ª safra'!$E59:$Z59,MIN(AM$6-$G$3,22))),0)))))</f>
        <v>0</v>
      </c>
      <c r="AN61" s="27" t="n">
        <f aca="false">IF(COUNT('Feijão 2ª safra'!$E59:$Z59)=0,0,MAX(0,IF((AN$6-$E$3)&lt;1,0,IFERROR(LOOKUP(2,1/('Feijão 2ª safra'!$E59:INDEX('Feijão 2ª safra'!$E59:$Z59,MIN(AN$6-$E$3,22))&lt;&gt;""),'Feijão 2ª safra'!$E59:INDEX('Feijão 2ª safra'!$E59:$Z59,MIN(AN$6-$E$3,22))),0))-IF($G$2,0,IF((AN$6-$G$3)&lt;1,0,IFERROR(LOOKUP(2,1/('Feijão 2ª safra'!$E59:INDEX('Feijão 2ª safra'!$E59:$Z59,MIN(AN$6-$G$3,22))&lt;&gt;""),'Feijão 2ª safra'!$E59:INDEX('Feijão 2ª safra'!$E59:$Z59,MIN(AN$6-$G$3,22))),0)))))</f>
        <v>0</v>
      </c>
      <c r="AO61" s="27" t="n">
        <f aca="false">IF(COUNT('Feijão 2ª safra'!$E59:$Z59)=0,0,MAX(0,IF((AO$6-$E$3)&lt;1,0,IFERROR(LOOKUP(2,1/('Feijão 2ª safra'!$E59:INDEX('Feijão 2ª safra'!$E59:$Z59,MIN(AO$6-$E$3,22))&lt;&gt;""),'Feijão 2ª safra'!$E59:INDEX('Feijão 2ª safra'!$E59:$Z59,MIN(AO$6-$E$3,22))),0))-IF($G$2,0,IF((AO$6-$G$3)&lt;1,0,IFERROR(LOOKUP(2,1/('Feijão 2ª safra'!$E59:INDEX('Feijão 2ª safra'!$E59:$Z59,MIN(AO$6-$G$3,22))&lt;&gt;""),'Feijão 2ª safra'!$E59:INDEX('Feijão 2ª safra'!$E59:$Z59,MIN(AO$6-$G$3,22))),0)))))</f>
        <v>0</v>
      </c>
      <c r="AP61" s="27" t="n">
        <f aca="false">IF(COUNT('Feijão 2ª safra'!$E59:$Z59)=0,0,MAX(0,IF((AP$6-$E$3)&lt;1,0,IFERROR(LOOKUP(2,1/('Feijão 2ª safra'!$E59:INDEX('Feijão 2ª safra'!$E59:$Z59,MIN(AP$6-$E$3,22))&lt;&gt;""),'Feijão 2ª safra'!$E59:INDEX('Feijão 2ª safra'!$E59:$Z59,MIN(AP$6-$E$3,22))),0))-IF($G$2,0,IF((AP$6-$G$3)&lt;1,0,IFERROR(LOOKUP(2,1/('Feijão 2ª safra'!$E59:INDEX('Feijão 2ª safra'!$E59:$Z59,MIN(AP$6-$G$3,22))&lt;&gt;""),'Feijão 2ª safra'!$E59:INDEX('Feijão 2ª safra'!$E59:$Z59,MIN(AP$6-$G$3,22))),0)))))</f>
        <v>0</v>
      </c>
      <c r="AQ61" s="27" t="n">
        <f aca="false">IF(COUNT('Feijão 2ª safra'!$E59:$Z59)=0,0,MAX(0,IF((AQ$6-$E$3)&lt;1,0,IFERROR(LOOKUP(2,1/('Feijão 2ª safra'!$E59:INDEX('Feijão 2ª safra'!$E59:$Z59,MIN(AQ$6-$E$3,22))&lt;&gt;""),'Feijão 2ª safra'!$E59:INDEX('Feijão 2ª safra'!$E59:$Z59,MIN(AQ$6-$E$3,22))),0))-IF($G$2,0,IF((AQ$6-$G$3)&lt;1,0,IFERROR(LOOKUP(2,1/('Feijão 2ª safra'!$E59:INDEX('Feijão 2ª safra'!$E59:$Z59,MIN(AQ$6-$G$3,22))&lt;&gt;""),'Feijão 2ª safra'!$E59:INDEX('Feijão 2ª safra'!$E59:$Z59,MIN(AQ$6-$G$3,22))),0)))))</f>
        <v>0</v>
      </c>
      <c r="AR61" s="27" t="n">
        <f aca="false">IF(COUNT('Feijão 2ª safra'!$E59:$Z59)=0,0,MAX(0,IF((AR$6-$E$3)&lt;1,0,IFERROR(LOOKUP(2,1/('Feijão 2ª safra'!$E59:INDEX('Feijão 2ª safra'!$E59:$Z59,MIN(AR$6-$E$3,22))&lt;&gt;""),'Feijão 2ª safra'!$E59:INDEX('Feijão 2ª safra'!$E59:$Z59,MIN(AR$6-$E$3,22))),0))-IF($G$2,0,IF((AR$6-$G$3)&lt;1,0,IFERROR(LOOKUP(2,1/('Feijão 2ª safra'!$E59:INDEX('Feijão 2ª safra'!$E59:$Z59,MIN(AR$6-$G$3,22))&lt;&gt;""),'Feijão 2ª safra'!$E59:INDEX('Feijão 2ª safra'!$E59:$Z59,MIN(AR$6-$G$3,22))),0)))))</f>
        <v>0</v>
      </c>
      <c r="AS61" s="27" t="n">
        <f aca="false">IF(COUNT('Feijão 2ª safra'!$E59:$Z59)=0,0,MAX(0,IF((AS$6-$E$3)&lt;1,0,IFERROR(LOOKUP(2,1/('Feijão 2ª safra'!$E59:INDEX('Feijão 2ª safra'!$E59:$Z59,MIN(AS$6-$E$3,22))&lt;&gt;""),'Feijão 2ª safra'!$E59:INDEX('Feijão 2ª safra'!$E59:$Z59,MIN(AS$6-$E$3,22))),0))-IF($G$2,0,IF((AS$6-$G$3)&lt;1,0,IFERROR(LOOKUP(2,1/('Feijão 2ª safra'!$E59:INDEX('Feijão 2ª safra'!$E59:$Z59,MIN(AS$6-$G$3,22))&lt;&gt;""),'Feijão 2ª safra'!$E59:INDEX('Feijão 2ª safra'!$E59:$Z59,MIN(AS$6-$G$3,22))),0)))))</f>
        <v>0</v>
      </c>
      <c r="AT61" s="27" t="n">
        <f aca="false">IF(COUNT('Feijão 2ª safra'!$E59:$Z59)=0,0,MAX(0,IF((AT$6-$E$3)&lt;1,0,IFERROR(LOOKUP(2,1/('Feijão 2ª safra'!$E59:INDEX('Feijão 2ª safra'!$E59:$Z59,MIN(AT$6-$E$3,22))&lt;&gt;""),'Feijão 2ª safra'!$E59:INDEX('Feijão 2ª safra'!$E59:$Z59,MIN(AT$6-$E$3,22))),0))-IF($G$2,0,IF((AT$6-$G$3)&lt;1,0,IFERROR(LOOKUP(2,1/('Feijão 2ª safra'!$E59:INDEX('Feijão 2ª safra'!$E59:$Z59,MIN(AT$6-$G$3,22))&lt;&gt;""),'Feijão 2ª safra'!$E59:INDEX('Feijão 2ª safra'!$E59:$Z59,MIN(AT$6-$G$3,22))),0)))))</f>
        <v>0</v>
      </c>
      <c r="AU61" s="27" t="n">
        <f aca="false">IF(COUNT('Feijão 2ª safra'!$E59:$Z59)=0,0,MAX(0,IF((AU$6-$E$3)&lt;1,0,IFERROR(LOOKUP(2,1/('Feijão 2ª safra'!$E59:INDEX('Feijão 2ª safra'!$E59:$Z59,MIN(AU$6-$E$3,22))&lt;&gt;""),'Feijão 2ª safra'!$E59:INDEX('Feijão 2ª safra'!$E59:$Z59,MIN(AU$6-$E$3,22))),0))-IF($G$2,0,IF((AU$6-$G$3)&lt;1,0,IFERROR(LOOKUP(2,1/('Feijão 2ª safra'!$E59:INDEX('Feijão 2ª safra'!$E59:$Z59,MIN(AU$6-$G$3,22))&lt;&gt;""),'Feijão 2ª safra'!$E59:INDEX('Feijão 2ª safra'!$E59:$Z59,MIN(AU$6-$G$3,22))),0)))))</f>
        <v>0</v>
      </c>
      <c r="AV61" s="27" t="n">
        <f aca="false">IF(COUNT('Feijão 2ª safra'!$E59:$Z59)=0,0,MAX(0,IF((AV$6-$E$3)&lt;1,0,IFERROR(LOOKUP(2,1/('Feijão 2ª safra'!$E59:INDEX('Feijão 2ª safra'!$E59:$Z59,MIN(AV$6-$E$3,22))&lt;&gt;""),'Feijão 2ª safra'!$E59:INDEX('Feijão 2ª safra'!$E59:$Z59,MIN(AV$6-$E$3,22))),0))-IF($G$2,0,IF((AV$6-$G$3)&lt;1,0,IFERROR(LOOKUP(2,1/('Feijão 2ª safra'!$E59:INDEX('Feijão 2ª safra'!$E59:$Z59,MIN(AV$6-$G$3,22))&lt;&gt;""),'Feijão 2ª safra'!$E59:INDEX('Feijão 2ª safra'!$E59:$Z59,MIN(AV$6-$G$3,22))),0)))))</f>
        <v>0</v>
      </c>
      <c r="AW61" s="27" t="n">
        <f aca="false">IF(COUNT('Feijão 2ª safra'!$E59:$Z59)=0,0,MAX(0,IF((AW$6-$E$3)&lt;1,0,IFERROR(LOOKUP(2,1/('Feijão 2ª safra'!$E59:INDEX('Feijão 2ª safra'!$E59:$Z59,MIN(AW$6-$E$3,22))&lt;&gt;""),'Feijão 2ª safra'!$E59:INDEX('Feijão 2ª safra'!$E59:$Z59,MIN(AW$6-$E$3,22))),0))-IF($G$2,0,IF((AW$6-$G$3)&lt;1,0,IFERROR(LOOKUP(2,1/('Feijão 2ª safra'!$E59:INDEX('Feijão 2ª safra'!$E59:$Z59,MIN(AW$6-$G$3,22))&lt;&gt;""),'Feijão 2ª safra'!$E59:INDEX('Feijão 2ª safra'!$E59:$Z59,MIN(AW$6-$G$3,22))),0)))))</f>
        <v>0</v>
      </c>
      <c r="AX61" s="27" t="n">
        <f aca="false">IF(COUNT('Feijão 2ª safra'!$E59:$Z59)=0,0,MAX(0,IF((AX$6-$E$3)&lt;1,0,IFERROR(LOOKUP(2,1/('Feijão 2ª safra'!$E59:INDEX('Feijão 2ª safra'!$E59:$Z59,MIN(AX$6-$E$3,22))&lt;&gt;""),'Feijão 2ª safra'!$E59:INDEX('Feijão 2ª safra'!$E59:$Z59,MIN(AX$6-$E$3,22))),0))-IF($G$2,0,IF((AX$6-$G$3)&lt;1,0,IFERROR(LOOKUP(2,1/('Feijão 2ª safra'!$E59:INDEX('Feijão 2ª safra'!$E59:$Z59,MIN(AX$6-$G$3,22))&lt;&gt;""),'Feijão 2ª safra'!$E59:INDEX('Feijão 2ª safra'!$E59:$Z59,MIN(AX$6-$G$3,22))),0)))))</f>
        <v>0</v>
      </c>
      <c r="AY61" s="27" t="n">
        <f aca="false">IF(COUNT('Feijão 2ª safra'!$E59:$Z59)=0,0,MAX(0,IF((AY$6-$E$3)&lt;1,0,IFERROR(LOOKUP(2,1/('Feijão 2ª safra'!$E59:INDEX('Feijão 2ª safra'!$E59:$Z59,MIN(AY$6-$E$3,22))&lt;&gt;""),'Feijão 2ª safra'!$E59:INDEX('Feijão 2ª safra'!$E59:$Z59,MIN(AY$6-$E$3,22))),0))-IF($G$2,0,IF((AY$6-$G$3)&lt;1,0,IFERROR(LOOKUP(2,1/('Feijão 2ª safra'!$E59:INDEX('Feijão 2ª safra'!$E59:$Z59,MIN(AY$6-$G$3,22))&lt;&gt;""),'Feijão 2ª safra'!$E59:INDEX('Feijão 2ª safra'!$E59:$Z59,MIN(AY$6-$G$3,22))),0)))))</f>
        <v>0</v>
      </c>
      <c r="AZ61" s="27" t="n">
        <f aca="false">IF(COUNT('Feijão 2ª safra'!$E59:$Z59)=0,0,MAX(0,IF((AZ$6-$E$3)&lt;1,0,IFERROR(LOOKUP(2,1/('Feijão 2ª safra'!$E59:INDEX('Feijão 2ª safra'!$E59:$Z59,MIN(AZ$6-$E$3,22))&lt;&gt;""),'Feijão 2ª safra'!$E59:INDEX('Feijão 2ª safra'!$E59:$Z59,MIN(AZ$6-$E$3,22))),0))-IF($G$2,0,IF((AZ$6-$G$3)&lt;1,0,IFERROR(LOOKUP(2,1/('Feijão 2ª safra'!$E59:INDEX('Feijão 2ª safra'!$E59:$Z59,MIN(AZ$6-$G$3,22))&lt;&gt;""),'Feijão 2ª safra'!$E59:INDEX('Feijão 2ª safra'!$E59:$Z59,MIN(AZ$6-$G$3,22))),0)))))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IF(COUNT('Feijão 2ª safra'!$E60:$Z60)&gt;0,N('Feijão 2ª safra'!$D60),0)</f>
        <v>0</v>
      </c>
      <c r="E62" s="27" t="n">
        <f aca="false">IF(COUNT('Feijão 2ª safra'!$E60:$Z60)=0,0,MAX(0,IF((E$6-$E$3)&lt;1,0,IFERROR(LOOKUP(2,1/('Feijão 2ª safra'!$E60:INDEX('Feijão 2ª safra'!$E60:$Z60,MIN(E$6-$E$3,22))&lt;&gt;""),'Feijão 2ª safra'!$E60:INDEX('Feijão 2ª safra'!$E60:$Z60,MIN(E$6-$E$3,22))),0))-IF($G$2,0,IF((E$6-$G$3)&lt;1,0,IFERROR(LOOKUP(2,1/('Feijão 2ª safra'!$E60:INDEX('Feijão 2ª safra'!$E60:$Z60,MIN(E$6-$G$3,22))&lt;&gt;""),'Feijão 2ª safra'!$E60:INDEX('Feijão 2ª safra'!$E60:$Z60,MIN(E$6-$G$3,22))),0)))))</f>
        <v>0</v>
      </c>
      <c r="F62" s="27" t="n">
        <f aca="false">IF(COUNT('Feijão 2ª safra'!$E60:$Z60)=0,0,MAX(0,IF((F$6-$E$3)&lt;1,0,IFERROR(LOOKUP(2,1/('Feijão 2ª safra'!$E60:INDEX('Feijão 2ª safra'!$E60:$Z60,MIN(F$6-$E$3,22))&lt;&gt;""),'Feijão 2ª safra'!$E60:INDEX('Feijão 2ª safra'!$E60:$Z60,MIN(F$6-$E$3,22))),0))-IF($G$2,0,IF((F$6-$G$3)&lt;1,0,IFERROR(LOOKUP(2,1/('Feijão 2ª safra'!$E60:INDEX('Feijão 2ª safra'!$E60:$Z60,MIN(F$6-$G$3,22))&lt;&gt;""),'Feijão 2ª safra'!$E60:INDEX('Feijão 2ª safra'!$E60:$Z60,MIN(F$6-$G$3,22))),0)))))</f>
        <v>0</v>
      </c>
      <c r="G62" s="27" t="n">
        <f aca="false">IF(COUNT('Feijão 2ª safra'!$E60:$Z60)=0,0,MAX(0,IF((G$6-$E$3)&lt;1,0,IFERROR(LOOKUP(2,1/('Feijão 2ª safra'!$E60:INDEX('Feijão 2ª safra'!$E60:$Z60,MIN(G$6-$E$3,22))&lt;&gt;""),'Feijão 2ª safra'!$E60:INDEX('Feijão 2ª safra'!$E60:$Z60,MIN(G$6-$E$3,22))),0))-IF($G$2,0,IF((G$6-$G$3)&lt;1,0,IFERROR(LOOKUP(2,1/('Feijão 2ª safra'!$E60:INDEX('Feijão 2ª safra'!$E60:$Z60,MIN(G$6-$G$3,22))&lt;&gt;""),'Feijão 2ª safra'!$E60:INDEX('Feijão 2ª safra'!$E60:$Z60,MIN(G$6-$G$3,22))),0)))))</f>
        <v>0</v>
      </c>
      <c r="H62" s="27" t="n">
        <f aca="false">IF(COUNT('Feijão 2ª safra'!$E60:$Z60)=0,0,MAX(0,IF((H$6-$E$3)&lt;1,0,IFERROR(LOOKUP(2,1/('Feijão 2ª safra'!$E60:INDEX('Feijão 2ª safra'!$E60:$Z60,MIN(H$6-$E$3,22))&lt;&gt;""),'Feijão 2ª safra'!$E60:INDEX('Feijão 2ª safra'!$E60:$Z60,MIN(H$6-$E$3,22))),0))-IF($G$2,0,IF((H$6-$G$3)&lt;1,0,IFERROR(LOOKUP(2,1/('Feijão 2ª safra'!$E60:INDEX('Feijão 2ª safra'!$E60:$Z60,MIN(H$6-$G$3,22))&lt;&gt;""),'Feijão 2ª safra'!$E60:INDEX('Feijão 2ª safra'!$E60:$Z60,MIN(H$6-$G$3,22))),0)))))</f>
        <v>0</v>
      </c>
      <c r="I62" s="27" t="n">
        <f aca="false">IF(COUNT('Feijão 2ª safra'!$E60:$Z60)=0,0,MAX(0,IF((I$6-$E$3)&lt;1,0,IFERROR(LOOKUP(2,1/('Feijão 2ª safra'!$E60:INDEX('Feijão 2ª safra'!$E60:$Z60,MIN(I$6-$E$3,22))&lt;&gt;""),'Feijão 2ª safra'!$E60:INDEX('Feijão 2ª safra'!$E60:$Z60,MIN(I$6-$E$3,22))),0))-IF($G$2,0,IF((I$6-$G$3)&lt;1,0,IFERROR(LOOKUP(2,1/('Feijão 2ª safra'!$E60:INDEX('Feijão 2ª safra'!$E60:$Z60,MIN(I$6-$G$3,22))&lt;&gt;""),'Feijão 2ª safra'!$E60:INDEX('Feijão 2ª safra'!$E60:$Z60,MIN(I$6-$G$3,22))),0)))))</f>
        <v>0</v>
      </c>
      <c r="J62" s="27" t="n">
        <f aca="false">IF(COUNT('Feijão 2ª safra'!$E60:$Z60)=0,0,MAX(0,IF((J$6-$E$3)&lt;1,0,IFERROR(LOOKUP(2,1/('Feijão 2ª safra'!$E60:INDEX('Feijão 2ª safra'!$E60:$Z60,MIN(J$6-$E$3,22))&lt;&gt;""),'Feijão 2ª safra'!$E60:INDEX('Feijão 2ª safra'!$E60:$Z60,MIN(J$6-$E$3,22))),0))-IF($G$2,0,IF((J$6-$G$3)&lt;1,0,IFERROR(LOOKUP(2,1/('Feijão 2ª safra'!$E60:INDEX('Feijão 2ª safra'!$E60:$Z60,MIN(J$6-$G$3,22))&lt;&gt;""),'Feijão 2ª safra'!$E60:INDEX('Feijão 2ª safra'!$E60:$Z60,MIN(J$6-$G$3,22))),0)))))</f>
        <v>0</v>
      </c>
      <c r="K62" s="27" t="n">
        <f aca="false">IF(COUNT('Feijão 2ª safra'!$E60:$Z60)=0,0,MAX(0,IF((K$6-$E$3)&lt;1,0,IFERROR(LOOKUP(2,1/('Feijão 2ª safra'!$E60:INDEX('Feijão 2ª safra'!$E60:$Z60,MIN(K$6-$E$3,22))&lt;&gt;""),'Feijão 2ª safra'!$E60:INDEX('Feijão 2ª safra'!$E60:$Z60,MIN(K$6-$E$3,22))),0))-IF($G$2,0,IF((K$6-$G$3)&lt;1,0,IFERROR(LOOKUP(2,1/('Feijão 2ª safra'!$E60:INDEX('Feijão 2ª safra'!$E60:$Z60,MIN(K$6-$G$3,22))&lt;&gt;""),'Feijão 2ª safra'!$E60:INDEX('Feijão 2ª safra'!$E60:$Z60,MIN(K$6-$G$3,22))),0)))))</f>
        <v>0</v>
      </c>
      <c r="L62" s="27" t="n">
        <f aca="false">IF(COUNT('Feijão 2ª safra'!$E60:$Z60)=0,0,MAX(0,IF((L$6-$E$3)&lt;1,0,IFERROR(LOOKUP(2,1/('Feijão 2ª safra'!$E60:INDEX('Feijão 2ª safra'!$E60:$Z60,MIN(L$6-$E$3,22))&lt;&gt;""),'Feijão 2ª safra'!$E60:INDEX('Feijão 2ª safra'!$E60:$Z60,MIN(L$6-$E$3,22))),0))-IF($G$2,0,IF((L$6-$G$3)&lt;1,0,IFERROR(LOOKUP(2,1/('Feijão 2ª safra'!$E60:INDEX('Feijão 2ª safra'!$E60:$Z60,MIN(L$6-$G$3,22))&lt;&gt;""),'Feijão 2ª safra'!$E60:INDEX('Feijão 2ª safra'!$E60:$Z60,MIN(L$6-$G$3,22))),0)))))</f>
        <v>0</v>
      </c>
      <c r="M62" s="27" t="n">
        <f aca="false">IF(COUNT('Feijão 2ª safra'!$E60:$Z60)=0,0,MAX(0,IF((M$6-$E$3)&lt;1,0,IFERROR(LOOKUP(2,1/('Feijão 2ª safra'!$E60:INDEX('Feijão 2ª safra'!$E60:$Z60,MIN(M$6-$E$3,22))&lt;&gt;""),'Feijão 2ª safra'!$E60:INDEX('Feijão 2ª safra'!$E60:$Z60,MIN(M$6-$E$3,22))),0))-IF($G$2,0,IF((M$6-$G$3)&lt;1,0,IFERROR(LOOKUP(2,1/('Feijão 2ª safra'!$E60:INDEX('Feijão 2ª safra'!$E60:$Z60,MIN(M$6-$G$3,22))&lt;&gt;""),'Feijão 2ª safra'!$E60:INDEX('Feijão 2ª safra'!$E60:$Z60,MIN(M$6-$G$3,22))),0)))))</f>
        <v>0</v>
      </c>
      <c r="N62" s="27" t="n">
        <f aca="false">IF(COUNT('Feijão 2ª safra'!$E60:$Z60)=0,0,MAX(0,IF((N$6-$E$3)&lt;1,0,IFERROR(LOOKUP(2,1/('Feijão 2ª safra'!$E60:INDEX('Feijão 2ª safra'!$E60:$Z60,MIN(N$6-$E$3,22))&lt;&gt;""),'Feijão 2ª safra'!$E60:INDEX('Feijão 2ª safra'!$E60:$Z60,MIN(N$6-$E$3,22))),0))-IF($G$2,0,IF((N$6-$G$3)&lt;1,0,IFERROR(LOOKUP(2,1/('Feijão 2ª safra'!$E60:INDEX('Feijão 2ª safra'!$E60:$Z60,MIN(N$6-$G$3,22))&lt;&gt;""),'Feijão 2ª safra'!$E60:INDEX('Feijão 2ª safra'!$E60:$Z60,MIN(N$6-$G$3,22))),0)))))</f>
        <v>0</v>
      </c>
      <c r="O62" s="27" t="n">
        <f aca="false">IF(COUNT('Feijão 2ª safra'!$E60:$Z60)=0,0,MAX(0,IF((O$6-$E$3)&lt;1,0,IFERROR(LOOKUP(2,1/('Feijão 2ª safra'!$E60:INDEX('Feijão 2ª safra'!$E60:$Z60,MIN(O$6-$E$3,22))&lt;&gt;""),'Feijão 2ª safra'!$E60:INDEX('Feijão 2ª safra'!$E60:$Z60,MIN(O$6-$E$3,22))),0))-IF($G$2,0,IF((O$6-$G$3)&lt;1,0,IFERROR(LOOKUP(2,1/('Feijão 2ª safra'!$E60:INDEX('Feijão 2ª safra'!$E60:$Z60,MIN(O$6-$G$3,22))&lt;&gt;""),'Feijão 2ª safra'!$E60:INDEX('Feijão 2ª safra'!$E60:$Z60,MIN(O$6-$G$3,22))),0)))))</f>
        <v>0</v>
      </c>
      <c r="P62" s="27" t="n">
        <f aca="false">IF(COUNT('Feijão 2ª safra'!$E60:$Z60)=0,0,MAX(0,IF((P$6-$E$3)&lt;1,0,IFERROR(LOOKUP(2,1/('Feijão 2ª safra'!$E60:INDEX('Feijão 2ª safra'!$E60:$Z60,MIN(P$6-$E$3,22))&lt;&gt;""),'Feijão 2ª safra'!$E60:INDEX('Feijão 2ª safra'!$E60:$Z60,MIN(P$6-$E$3,22))),0))-IF($G$2,0,IF((P$6-$G$3)&lt;1,0,IFERROR(LOOKUP(2,1/('Feijão 2ª safra'!$E60:INDEX('Feijão 2ª safra'!$E60:$Z60,MIN(P$6-$G$3,22))&lt;&gt;""),'Feijão 2ª safra'!$E60:INDEX('Feijão 2ª safra'!$E60:$Z60,MIN(P$6-$G$3,22))),0)))))</f>
        <v>0</v>
      </c>
      <c r="Q62" s="27" t="n">
        <f aca="false">IF(COUNT('Feijão 2ª safra'!$E60:$Z60)=0,0,MAX(0,IF((Q$6-$E$3)&lt;1,0,IFERROR(LOOKUP(2,1/('Feijão 2ª safra'!$E60:INDEX('Feijão 2ª safra'!$E60:$Z60,MIN(Q$6-$E$3,22))&lt;&gt;""),'Feijão 2ª safra'!$E60:INDEX('Feijão 2ª safra'!$E60:$Z60,MIN(Q$6-$E$3,22))),0))-IF($G$2,0,IF((Q$6-$G$3)&lt;1,0,IFERROR(LOOKUP(2,1/('Feijão 2ª safra'!$E60:INDEX('Feijão 2ª safra'!$E60:$Z60,MIN(Q$6-$G$3,22))&lt;&gt;""),'Feijão 2ª safra'!$E60:INDEX('Feijão 2ª safra'!$E60:$Z60,MIN(Q$6-$G$3,22))),0)))))</f>
        <v>0</v>
      </c>
      <c r="R62" s="27" t="n">
        <f aca="false">IF(COUNT('Feijão 2ª safra'!$E60:$Z60)=0,0,MAX(0,IF((R$6-$E$3)&lt;1,0,IFERROR(LOOKUP(2,1/('Feijão 2ª safra'!$E60:INDEX('Feijão 2ª safra'!$E60:$Z60,MIN(R$6-$E$3,22))&lt;&gt;""),'Feijão 2ª safra'!$E60:INDEX('Feijão 2ª safra'!$E60:$Z60,MIN(R$6-$E$3,22))),0))-IF($G$2,0,IF((R$6-$G$3)&lt;1,0,IFERROR(LOOKUP(2,1/('Feijão 2ª safra'!$E60:INDEX('Feijão 2ª safra'!$E60:$Z60,MIN(R$6-$G$3,22))&lt;&gt;""),'Feijão 2ª safra'!$E60:INDEX('Feijão 2ª safra'!$E60:$Z60,MIN(R$6-$G$3,22))),0)))))</f>
        <v>0</v>
      </c>
      <c r="S62" s="27" t="n">
        <f aca="false">IF(COUNT('Feijão 2ª safra'!$E60:$Z60)=0,0,MAX(0,IF((S$6-$E$3)&lt;1,0,IFERROR(LOOKUP(2,1/('Feijão 2ª safra'!$E60:INDEX('Feijão 2ª safra'!$E60:$Z60,MIN(S$6-$E$3,22))&lt;&gt;""),'Feijão 2ª safra'!$E60:INDEX('Feijão 2ª safra'!$E60:$Z60,MIN(S$6-$E$3,22))),0))-IF($G$2,0,IF((S$6-$G$3)&lt;1,0,IFERROR(LOOKUP(2,1/('Feijão 2ª safra'!$E60:INDEX('Feijão 2ª safra'!$E60:$Z60,MIN(S$6-$G$3,22))&lt;&gt;""),'Feijão 2ª safra'!$E60:INDEX('Feijão 2ª safra'!$E60:$Z60,MIN(S$6-$G$3,22))),0)))))</f>
        <v>0</v>
      </c>
      <c r="T62" s="27" t="n">
        <f aca="false">IF(COUNT('Feijão 2ª safra'!$E60:$Z60)=0,0,MAX(0,IF((T$6-$E$3)&lt;1,0,IFERROR(LOOKUP(2,1/('Feijão 2ª safra'!$E60:INDEX('Feijão 2ª safra'!$E60:$Z60,MIN(T$6-$E$3,22))&lt;&gt;""),'Feijão 2ª safra'!$E60:INDEX('Feijão 2ª safra'!$E60:$Z60,MIN(T$6-$E$3,22))),0))-IF($G$2,0,IF((T$6-$G$3)&lt;1,0,IFERROR(LOOKUP(2,1/('Feijão 2ª safra'!$E60:INDEX('Feijão 2ª safra'!$E60:$Z60,MIN(T$6-$G$3,22))&lt;&gt;""),'Feijão 2ª safra'!$E60:INDEX('Feijão 2ª safra'!$E60:$Z60,MIN(T$6-$G$3,22))),0)))))</f>
        <v>0</v>
      </c>
      <c r="U62" s="27" t="n">
        <f aca="false">IF(COUNT('Feijão 2ª safra'!$E60:$Z60)=0,0,MAX(0,IF((U$6-$E$3)&lt;1,0,IFERROR(LOOKUP(2,1/('Feijão 2ª safra'!$E60:INDEX('Feijão 2ª safra'!$E60:$Z60,MIN(U$6-$E$3,22))&lt;&gt;""),'Feijão 2ª safra'!$E60:INDEX('Feijão 2ª safra'!$E60:$Z60,MIN(U$6-$E$3,22))),0))-IF($G$2,0,IF((U$6-$G$3)&lt;1,0,IFERROR(LOOKUP(2,1/('Feijão 2ª safra'!$E60:INDEX('Feijão 2ª safra'!$E60:$Z60,MIN(U$6-$G$3,22))&lt;&gt;""),'Feijão 2ª safra'!$E60:INDEX('Feijão 2ª safra'!$E60:$Z60,MIN(U$6-$G$3,22))),0)))))</f>
        <v>0</v>
      </c>
      <c r="V62" s="27" t="n">
        <f aca="false">IF(COUNT('Feijão 2ª safra'!$E60:$Z60)=0,0,MAX(0,IF((V$6-$E$3)&lt;1,0,IFERROR(LOOKUP(2,1/('Feijão 2ª safra'!$E60:INDEX('Feijão 2ª safra'!$E60:$Z60,MIN(V$6-$E$3,22))&lt;&gt;""),'Feijão 2ª safra'!$E60:INDEX('Feijão 2ª safra'!$E60:$Z60,MIN(V$6-$E$3,22))),0))-IF($G$2,0,IF((V$6-$G$3)&lt;1,0,IFERROR(LOOKUP(2,1/('Feijão 2ª safra'!$E60:INDEX('Feijão 2ª safra'!$E60:$Z60,MIN(V$6-$G$3,22))&lt;&gt;""),'Feijão 2ª safra'!$E60:INDEX('Feijão 2ª safra'!$E60:$Z60,MIN(V$6-$G$3,22))),0)))))</f>
        <v>0</v>
      </c>
      <c r="W62" s="27" t="n">
        <f aca="false">IF(COUNT('Feijão 2ª safra'!$E60:$Z60)=0,0,MAX(0,IF((W$6-$E$3)&lt;1,0,IFERROR(LOOKUP(2,1/('Feijão 2ª safra'!$E60:INDEX('Feijão 2ª safra'!$E60:$Z60,MIN(W$6-$E$3,22))&lt;&gt;""),'Feijão 2ª safra'!$E60:INDEX('Feijão 2ª safra'!$E60:$Z60,MIN(W$6-$E$3,22))),0))-IF($G$2,0,IF((W$6-$G$3)&lt;1,0,IFERROR(LOOKUP(2,1/('Feijão 2ª safra'!$E60:INDEX('Feijão 2ª safra'!$E60:$Z60,MIN(W$6-$G$3,22))&lt;&gt;""),'Feijão 2ª safra'!$E60:INDEX('Feijão 2ª safra'!$E60:$Z60,MIN(W$6-$G$3,22))),0)))))</f>
        <v>0</v>
      </c>
      <c r="X62" s="27" t="n">
        <f aca="false">IF(COUNT('Feijão 2ª safra'!$E60:$Z60)=0,0,MAX(0,IF((X$6-$E$3)&lt;1,0,IFERROR(LOOKUP(2,1/('Feijão 2ª safra'!$E60:INDEX('Feijão 2ª safra'!$E60:$Z60,MIN(X$6-$E$3,22))&lt;&gt;""),'Feijão 2ª safra'!$E60:INDEX('Feijão 2ª safra'!$E60:$Z60,MIN(X$6-$E$3,22))),0))-IF($G$2,0,IF((X$6-$G$3)&lt;1,0,IFERROR(LOOKUP(2,1/('Feijão 2ª safra'!$E60:INDEX('Feijão 2ª safra'!$E60:$Z60,MIN(X$6-$G$3,22))&lt;&gt;""),'Feijão 2ª safra'!$E60:INDEX('Feijão 2ª safra'!$E60:$Z60,MIN(X$6-$G$3,22))),0)))))</f>
        <v>0</v>
      </c>
      <c r="Y62" s="27" t="n">
        <f aca="false">IF(COUNT('Feijão 2ª safra'!$E60:$Z60)=0,0,MAX(0,IF((Y$6-$E$3)&lt;1,0,IFERROR(LOOKUP(2,1/('Feijão 2ª safra'!$E60:INDEX('Feijão 2ª safra'!$E60:$Z60,MIN(Y$6-$E$3,22))&lt;&gt;""),'Feijão 2ª safra'!$E60:INDEX('Feijão 2ª safra'!$E60:$Z60,MIN(Y$6-$E$3,22))),0))-IF($G$2,0,IF((Y$6-$G$3)&lt;1,0,IFERROR(LOOKUP(2,1/('Feijão 2ª safra'!$E60:INDEX('Feijão 2ª safra'!$E60:$Z60,MIN(Y$6-$G$3,22))&lt;&gt;""),'Feijão 2ª safra'!$E60:INDEX('Feijão 2ª safra'!$E60:$Z60,MIN(Y$6-$G$3,22))),0)))))</f>
        <v>0</v>
      </c>
      <c r="Z62" s="27" t="n">
        <f aca="false">IF(COUNT('Feijão 2ª safra'!$E60:$Z60)=0,0,MAX(0,IF((Z$6-$E$3)&lt;1,0,IFERROR(LOOKUP(2,1/('Feijão 2ª safra'!$E60:INDEX('Feijão 2ª safra'!$E60:$Z60,MIN(Z$6-$E$3,22))&lt;&gt;""),'Feijão 2ª safra'!$E60:INDEX('Feijão 2ª safra'!$E60:$Z60,MIN(Z$6-$E$3,22))),0))-IF($G$2,0,IF((Z$6-$G$3)&lt;1,0,IFERROR(LOOKUP(2,1/('Feijão 2ª safra'!$E60:INDEX('Feijão 2ª safra'!$E60:$Z60,MIN(Z$6-$G$3,22))&lt;&gt;""),'Feijão 2ª safra'!$E60:INDEX('Feijão 2ª safra'!$E60:$Z60,MIN(Z$6-$G$3,22))),0)))))</f>
        <v>0</v>
      </c>
      <c r="AA62" s="27" t="n">
        <f aca="false">IF(COUNT('Feijão 2ª safra'!$E60:$Z60)=0,0,MAX(0,IF((AA$6-$E$3)&lt;1,0,IFERROR(LOOKUP(2,1/('Feijão 2ª safra'!$E60:INDEX('Feijão 2ª safra'!$E60:$Z60,MIN(AA$6-$E$3,22))&lt;&gt;""),'Feijão 2ª safra'!$E60:INDEX('Feijão 2ª safra'!$E60:$Z60,MIN(AA$6-$E$3,22))),0))-IF($G$2,0,IF((AA$6-$G$3)&lt;1,0,IFERROR(LOOKUP(2,1/('Feijão 2ª safra'!$E60:INDEX('Feijão 2ª safra'!$E60:$Z60,MIN(AA$6-$G$3,22))&lt;&gt;""),'Feijão 2ª safra'!$E60:INDEX('Feijão 2ª safra'!$E60:$Z60,MIN(AA$6-$G$3,22))),0)))))</f>
        <v>0</v>
      </c>
      <c r="AB62" s="27" t="n">
        <f aca="false">IF(COUNT('Feijão 2ª safra'!$E60:$Z60)=0,0,MAX(0,IF((AB$6-$E$3)&lt;1,0,IFERROR(LOOKUP(2,1/('Feijão 2ª safra'!$E60:INDEX('Feijão 2ª safra'!$E60:$Z60,MIN(AB$6-$E$3,22))&lt;&gt;""),'Feijão 2ª safra'!$E60:INDEX('Feijão 2ª safra'!$E60:$Z60,MIN(AB$6-$E$3,22))),0))-IF($G$2,0,IF((AB$6-$G$3)&lt;1,0,IFERROR(LOOKUP(2,1/('Feijão 2ª safra'!$E60:INDEX('Feijão 2ª safra'!$E60:$Z60,MIN(AB$6-$G$3,22))&lt;&gt;""),'Feijão 2ª safra'!$E60:INDEX('Feijão 2ª safra'!$E60:$Z60,MIN(AB$6-$G$3,22))),0)))))</f>
        <v>0</v>
      </c>
      <c r="AC62" s="27" t="n">
        <f aca="false">IF(COUNT('Feijão 2ª safra'!$E60:$Z60)=0,0,MAX(0,IF((AC$6-$E$3)&lt;1,0,IFERROR(LOOKUP(2,1/('Feijão 2ª safra'!$E60:INDEX('Feijão 2ª safra'!$E60:$Z60,MIN(AC$6-$E$3,22))&lt;&gt;""),'Feijão 2ª safra'!$E60:INDEX('Feijão 2ª safra'!$E60:$Z60,MIN(AC$6-$E$3,22))),0))-IF($G$2,0,IF((AC$6-$G$3)&lt;1,0,IFERROR(LOOKUP(2,1/('Feijão 2ª safra'!$E60:INDEX('Feijão 2ª safra'!$E60:$Z60,MIN(AC$6-$G$3,22))&lt;&gt;""),'Feijão 2ª safra'!$E60:INDEX('Feijão 2ª safra'!$E60:$Z60,MIN(AC$6-$G$3,22))),0)))))</f>
        <v>0</v>
      </c>
      <c r="AD62" s="27" t="n">
        <f aca="false">IF(COUNT('Feijão 2ª safra'!$E60:$Z60)=0,0,MAX(0,IF((AD$6-$E$3)&lt;1,0,IFERROR(LOOKUP(2,1/('Feijão 2ª safra'!$E60:INDEX('Feijão 2ª safra'!$E60:$Z60,MIN(AD$6-$E$3,22))&lt;&gt;""),'Feijão 2ª safra'!$E60:INDEX('Feijão 2ª safra'!$E60:$Z60,MIN(AD$6-$E$3,22))),0))-IF($G$2,0,IF((AD$6-$G$3)&lt;1,0,IFERROR(LOOKUP(2,1/('Feijão 2ª safra'!$E60:INDEX('Feijão 2ª safra'!$E60:$Z60,MIN(AD$6-$G$3,22))&lt;&gt;""),'Feijão 2ª safra'!$E60:INDEX('Feijão 2ª safra'!$E60:$Z60,MIN(AD$6-$G$3,22))),0)))))</f>
        <v>0</v>
      </c>
      <c r="AE62" s="27" t="n">
        <f aca="false">IF(COUNT('Feijão 2ª safra'!$E60:$Z60)=0,0,MAX(0,IF((AE$6-$E$3)&lt;1,0,IFERROR(LOOKUP(2,1/('Feijão 2ª safra'!$E60:INDEX('Feijão 2ª safra'!$E60:$Z60,MIN(AE$6-$E$3,22))&lt;&gt;""),'Feijão 2ª safra'!$E60:INDEX('Feijão 2ª safra'!$E60:$Z60,MIN(AE$6-$E$3,22))),0))-IF($G$2,0,IF((AE$6-$G$3)&lt;1,0,IFERROR(LOOKUP(2,1/('Feijão 2ª safra'!$E60:INDEX('Feijão 2ª safra'!$E60:$Z60,MIN(AE$6-$G$3,22))&lt;&gt;""),'Feijão 2ª safra'!$E60:INDEX('Feijão 2ª safra'!$E60:$Z60,MIN(AE$6-$G$3,22))),0)))))</f>
        <v>0</v>
      </c>
      <c r="AF62" s="27" t="n">
        <f aca="false">IF(COUNT('Feijão 2ª safra'!$E60:$Z60)=0,0,MAX(0,IF((AF$6-$E$3)&lt;1,0,IFERROR(LOOKUP(2,1/('Feijão 2ª safra'!$E60:INDEX('Feijão 2ª safra'!$E60:$Z60,MIN(AF$6-$E$3,22))&lt;&gt;""),'Feijão 2ª safra'!$E60:INDEX('Feijão 2ª safra'!$E60:$Z60,MIN(AF$6-$E$3,22))),0))-IF($G$2,0,IF((AF$6-$G$3)&lt;1,0,IFERROR(LOOKUP(2,1/('Feijão 2ª safra'!$E60:INDEX('Feijão 2ª safra'!$E60:$Z60,MIN(AF$6-$G$3,22))&lt;&gt;""),'Feijão 2ª safra'!$E60:INDEX('Feijão 2ª safra'!$E60:$Z60,MIN(AF$6-$G$3,22))),0)))))</f>
        <v>0</v>
      </c>
      <c r="AG62" s="27" t="n">
        <f aca="false">IF(COUNT('Feijão 2ª safra'!$E60:$Z60)=0,0,MAX(0,IF((AG$6-$E$3)&lt;1,0,IFERROR(LOOKUP(2,1/('Feijão 2ª safra'!$E60:INDEX('Feijão 2ª safra'!$E60:$Z60,MIN(AG$6-$E$3,22))&lt;&gt;""),'Feijão 2ª safra'!$E60:INDEX('Feijão 2ª safra'!$E60:$Z60,MIN(AG$6-$E$3,22))),0))-IF($G$2,0,IF((AG$6-$G$3)&lt;1,0,IFERROR(LOOKUP(2,1/('Feijão 2ª safra'!$E60:INDEX('Feijão 2ª safra'!$E60:$Z60,MIN(AG$6-$G$3,22))&lt;&gt;""),'Feijão 2ª safra'!$E60:INDEX('Feijão 2ª safra'!$E60:$Z60,MIN(AG$6-$G$3,22))),0)))))</f>
        <v>0</v>
      </c>
      <c r="AH62" s="27" t="n">
        <f aca="false">IF(COUNT('Feijão 2ª safra'!$E60:$Z60)=0,0,MAX(0,IF((AH$6-$E$3)&lt;1,0,IFERROR(LOOKUP(2,1/('Feijão 2ª safra'!$E60:INDEX('Feijão 2ª safra'!$E60:$Z60,MIN(AH$6-$E$3,22))&lt;&gt;""),'Feijão 2ª safra'!$E60:INDEX('Feijão 2ª safra'!$E60:$Z60,MIN(AH$6-$E$3,22))),0))-IF($G$2,0,IF((AH$6-$G$3)&lt;1,0,IFERROR(LOOKUP(2,1/('Feijão 2ª safra'!$E60:INDEX('Feijão 2ª safra'!$E60:$Z60,MIN(AH$6-$G$3,22))&lt;&gt;""),'Feijão 2ª safra'!$E60:INDEX('Feijão 2ª safra'!$E60:$Z60,MIN(AH$6-$G$3,22))),0)))))</f>
        <v>0</v>
      </c>
      <c r="AI62" s="27" t="n">
        <f aca="false">IF(COUNT('Feijão 2ª safra'!$E60:$Z60)=0,0,MAX(0,IF((AI$6-$E$3)&lt;1,0,IFERROR(LOOKUP(2,1/('Feijão 2ª safra'!$E60:INDEX('Feijão 2ª safra'!$E60:$Z60,MIN(AI$6-$E$3,22))&lt;&gt;""),'Feijão 2ª safra'!$E60:INDEX('Feijão 2ª safra'!$E60:$Z60,MIN(AI$6-$E$3,22))),0))-IF($G$2,0,IF((AI$6-$G$3)&lt;1,0,IFERROR(LOOKUP(2,1/('Feijão 2ª safra'!$E60:INDEX('Feijão 2ª safra'!$E60:$Z60,MIN(AI$6-$G$3,22))&lt;&gt;""),'Feijão 2ª safra'!$E60:INDEX('Feijão 2ª safra'!$E60:$Z60,MIN(AI$6-$G$3,22))),0)))))</f>
        <v>0</v>
      </c>
      <c r="AJ62" s="27" t="n">
        <f aca="false">IF(COUNT('Feijão 2ª safra'!$E60:$Z60)=0,0,MAX(0,IF((AJ$6-$E$3)&lt;1,0,IFERROR(LOOKUP(2,1/('Feijão 2ª safra'!$E60:INDEX('Feijão 2ª safra'!$E60:$Z60,MIN(AJ$6-$E$3,22))&lt;&gt;""),'Feijão 2ª safra'!$E60:INDEX('Feijão 2ª safra'!$E60:$Z60,MIN(AJ$6-$E$3,22))),0))-IF($G$2,0,IF((AJ$6-$G$3)&lt;1,0,IFERROR(LOOKUP(2,1/('Feijão 2ª safra'!$E60:INDEX('Feijão 2ª safra'!$E60:$Z60,MIN(AJ$6-$G$3,22))&lt;&gt;""),'Feijão 2ª safra'!$E60:INDEX('Feijão 2ª safra'!$E60:$Z60,MIN(AJ$6-$G$3,22))),0)))))</f>
        <v>0</v>
      </c>
      <c r="AK62" s="27" t="n">
        <f aca="false">IF(COUNT('Feijão 2ª safra'!$E60:$Z60)=0,0,MAX(0,IF((AK$6-$E$3)&lt;1,0,IFERROR(LOOKUP(2,1/('Feijão 2ª safra'!$E60:INDEX('Feijão 2ª safra'!$E60:$Z60,MIN(AK$6-$E$3,22))&lt;&gt;""),'Feijão 2ª safra'!$E60:INDEX('Feijão 2ª safra'!$E60:$Z60,MIN(AK$6-$E$3,22))),0))-IF($G$2,0,IF((AK$6-$G$3)&lt;1,0,IFERROR(LOOKUP(2,1/('Feijão 2ª safra'!$E60:INDEX('Feijão 2ª safra'!$E60:$Z60,MIN(AK$6-$G$3,22))&lt;&gt;""),'Feijão 2ª safra'!$E60:INDEX('Feijão 2ª safra'!$E60:$Z60,MIN(AK$6-$G$3,22))),0)))))</f>
        <v>0</v>
      </c>
      <c r="AL62" s="27" t="n">
        <f aca="false">IF(COUNT('Feijão 2ª safra'!$E60:$Z60)=0,0,MAX(0,IF((AL$6-$E$3)&lt;1,0,IFERROR(LOOKUP(2,1/('Feijão 2ª safra'!$E60:INDEX('Feijão 2ª safra'!$E60:$Z60,MIN(AL$6-$E$3,22))&lt;&gt;""),'Feijão 2ª safra'!$E60:INDEX('Feijão 2ª safra'!$E60:$Z60,MIN(AL$6-$E$3,22))),0))-IF($G$2,0,IF((AL$6-$G$3)&lt;1,0,IFERROR(LOOKUP(2,1/('Feijão 2ª safra'!$E60:INDEX('Feijão 2ª safra'!$E60:$Z60,MIN(AL$6-$G$3,22))&lt;&gt;""),'Feijão 2ª safra'!$E60:INDEX('Feijão 2ª safra'!$E60:$Z60,MIN(AL$6-$G$3,22))),0)))))</f>
        <v>0</v>
      </c>
      <c r="AM62" s="27" t="n">
        <f aca="false">IF(COUNT('Feijão 2ª safra'!$E60:$Z60)=0,0,MAX(0,IF((AM$6-$E$3)&lt;1,0,IFERROR(LOOKUP(2,1/('Feijão 2ª safra'!$E60:INDEX('Feijão 2ª safra'!$E60:$Z60,MIN(AM$6-$E$3,22))&lt;&gt;""),'Feijão 2ª safra'!$E60:INDEX('Feijão 2ª safra'!$E60:$Z60,MIN(AM$6-$E$3,22))),0))-IF($G$2,0,IF((AM$6-$G$3)&lt;1,0,IFERROR(LOOKUP(2,1/('Feijão 2ª safra'!$E60:INDEX('Feijão 2ª safra'!$E60:$Z60,MIN(AM$6-$G$3,22))&lt;&gt;""),'Feijão 2ª safra'!$E60:INDEX('Feijão 2ª safra'!$E60:$Z60,MIN(AM$6-$G$3,22))),0)))))</f>
        <v>0</v>
      </c>
      <c r="AN62" s="27" t="n">
        <f aca="false">IF(COUNT('Feijão 2ª safra'!$E60:$Z60)=0,0,MAX(0,IF((AN$6-$E$3)&lt;1,0,IFERROR(LOOKUP(2,1/('Feijão 2ª safra'!$E60:INDEX('Feijão 2ª safra'!$E60:$Z60,MIN(AN$6-$E$3,22))&lt;&gt;""),'Feijão 2ª safra'!$E60:INDEX('Feijão 2ª safra'!$E60:$Z60,MIN(AN$6-$E$3,22))),0))-IF($G$2,0,IF((AN$6-$G$3)&lt;1,0,IFERROR(LOOKUP(2,1/('Feijão 2ª safra'!$E60:INDEX('Feijão 2ª safra'!$E60:$Z60,MIN(AN$6-$G$3,22))&lt;&gt;""),'Feijão 2ª safra'!$E60:INDEX('Feijão 2ª safra'!$E60:$Z60,MIN(AN$6-$G$3,22))),0)))))</f>
        <v>0</v>
      </c>
      <c r="AO62" s="27" t="n">
        <f aca="false">IF(COUNT('Feijão 2ª safra'!$E60:$Z60)=0,0,MAX(0,IF((AO$6-$E$3)&lt;1,0,IFERROR(LOOKUP(2,1/('Feijão 2ª safra'!$E60:INDEX('Feijão 2ª safra'!$E60:$Z60,MIN(AO$6-$E$3,22))&lt;&gt;""),'Feijão 2ª safra'!$E60:INDEX('Feijão 2ª safra'!$E60:$Z60,MIN(AO$6-$E$3,22))),0))-IF($G$2,0,IF((AO$6-$G$3)&lt;1,0,IFERROR(LOOKUP(2,1/('Feijão 2ª safra'!$E60:INDEX('Feijão 2ª safra'!$E60:$Z60,MIN(AO$6-$G$3,22))&lt;&gt;""),'Feijão 2ª safra'!$E60:INDEX('Feijão 2ª safra'!$E60:$Z60,MIN(AO$6-$G$3,22))),0)))))</f>
        <v>0</v>
      </c>
      <c r="AP62" s="27" t="n">
        <f aca="false">IF(COUNT('Feijão 2ª safra'!$E60:$Z60)=0,0,MAX(0,IF((AP$6-$E$3)&lt;1,0,IFERROR(LOOKUP(2,1/('Feijão 2ª safra'!$E60:INDEX('Feijão 2ª safra'!$E60:$Z60,MIN(AP$6-$E$3,22))&lt;&gt;""),'Feijão 2ª safra'!$E60:INDEX('Feijão 2ª safra'!$E60:$Z60,MIN(AP$6-$E$3,22))),0))-IF($G$2,0,IF((AP$6-$G$3)&lt;1,0,IFERROR(LOOKUP(2,1/('Feijão 2ª safra'!$E60:INDEX('Feijão 2ª safra'!$E60:$Z60,MIN(AP$6-$G$3,22))&lt;&gt;""),'Feijão 2ª safra'!$E60:INDEX('Feijão 2ª safra'!$E60:$Z60,MIN(AP$6-$G$3,22))),0)))))</f>
        <v>0</v>
      </c>
      <c r="AQ62" s="27" t="n">
        <f aca="false">IF(COUNT('Feijão 2ª safra'!$E60:$Z60)=0,0,MAX(0,IF((AQ$6-$E$3)&lt;1,0,IFERROR(LOOKUP(2,1/('Feijão 2ª safra'!$E60:INDEX('Feijão 2ª safra'!$E60:$Z60,MIN(AQ$6-$E$3,22))&lt;&gt;""),'Feijão 2ª safra'!$E60:INDEX('Feijão 2ª safra'!$E60:$Z60,MIN(AQ$6-$E$3,22))),0))-IF($G$2,0,IF((AQ$6-$G$3)&lt;1,0,IFERROR(LOOKUP(2,1/('Feijão 2ª safra'!$E60:INDEX('Feijão 2ª safra'!$E60:$Z60,MIN(AQ$6-$G$3,22))&lt;&gt;""),'Feijão 2ª safra'!$E60:INDEX('Feijão 2ª safra'!$E60:$Z60,MIN(AQ$6-$G$3,22))),0)))))</f>
        <v>0</v>
      </c>
      <c r="AR62" s="27" t="n">
        <f aca="false">IF(COUNT('Feijão 2ª safra'!$E60:$Z60)=0,0,MAX(0,IF((AR$6-$E$3)&lt;1,0,IFERROR(LOOKUP(2,1/('Feijão 2ª safra'!$E60:INDEX('Feijão 2ª safra'!$E60:$Z60,MIN(AR$6-$E$3,22))&lt;&gt;""),'Feijão 2ª safra'!$E60:INDEX('Feijão 2ª safra'!$E60:$Z60,MIN(AR$6-$E$3,22))),0))-IF($G$2,0,IF((AR$6-$G$3)&lt;1,0,IFERROR(LOOKUP(2,1/('Feijão 2ª safra'!$E60:INDEX('Feijão 2ª safra'!$E60:$Z60,MIN(AR$6-$G$3,22))&lt;&gt;""),'Feijão 2ª safra'!$E60:INDEX('Feijão 2ª safra'!$E60:$Z60,MIN(AR$6-$G$3,22))),0)))))</f>
        <v>0</v>
      </c>
      <c r="AS62" s="27" t="n">
        <f aca="false">IF(COUNT('Feijão 2ª safra'!$E60:$Z60)=0,0,MAX(0,IF((AS$6-$E$3)&lt;1,0,IFERROR(LOOKUP(2,1/('Feijão 2ª safra'!$E60:INDEX('Feijão 2ª safra'!$E60:$Z60,MIN(AS$6-$E$3,22))&lt;&gt;""),'Feijão 2ª safra'!$E60:INDEX('Feijão 2ª safra'!$E60:$Z60,MIN(AS$6-$E$3,22))),0))-IF($G$2,0,IF((AS$6-$G$3)&lt;1,0,IFERROR(LOOKUP(2,1/('Feijão 2ª safra'!$E60:INDEX('Feijão 2ª safra'!$E60:$Z60,MIN(AS$6-$G$3,22))&lt;&gt;""),'Feijão 2ª safra'!$E60:INDEX('Feijão 2ª safra'!$E60:$Z60,MIN(AS$6-$G$3,22))),0)))))</f>
        <v>0</v>
      </c>
      <c r="AT62" s="27" t="n">
        <f aca="false">IF(COUNT('Feijão 2ª safra'!$E60:$Z60)=0,0,MAX(0,IF((AT$6-$E$3)&lt;1,0,IFERROR(LOOKUP(2,1/('Feijão 2ª safra'!$E60:INDEX('Feijão 2ª safra'!$E60:$Z60,MIN(AT$6-$E$3,22))&lt;&gt;""),'Feijão 2ª safra'!$E60:INDEX('Feijão 2ª safra'!$E60:$Z60,MIN(AT$6-$E$3,22))),0))-IF($G$2,0,IF((AT$6-$G$3)&lt;1,0,IFERROR(LOOKUP(2,1/('Feijão 2ª safra'!$E60:INDEX('Feijão 2ª safra'!$E60:$Z60,MIN(AT$6-$G$3,22))&lt;&gt;""),'Feijão 2ª safra'!$E60:INDEX('Feijão 2ª safra'!$E60:$Z60,MIN(AT$6-$G$3,22))),0)))))</f>
        <v>0</v>
      </c>
      <c r="AU62" s="27" t="n">
        <f aca="false">IF(COUNT('Feijão 2ª safra'!$E60:$Z60)=0,0,MAX(0,IF((AU$6-$E$3)&lt;1,0,IFERROR(LOOKUP(2,1/('Feijão 2ª safra'!$E60:INDEX('Feijão 2ª safra'!$E60:$Z60,MIN(AU$6-$E$3,22))&lt;&gt;""),'Feijão 2ª safra'!$E60:INDEX('Feijão 2ª safra'!$E60:$Z60,MIN(AU$6-$E$3,22))),0))-IF($G$2,0,IF((AU$6-$G$3)&lt;1,0,IFERROR(LOOKUP(2,1/('Feijão 2ª safra'!$E60:INDEX('Feijão 2ª safra'!$E60:$Z60,MIN(AU$6-$G$3,22))&lt;&gt;""),'Feijão 2ª safra'!$E60:INDEX('Feijão 2ª safra'!$E60:$Z60,MIN(AU$6-$G$3,22))),0)))))</f>
        <v>0</v>
      </c>
      <c r="AV62" s="27" t="n">
        <f aca="false">IF(COUNT('Feijão 2ª safra'!$E60:$Z60)=0,0,MAX(0,IF((AV$6-$E$3)&lt;1,0,IFERROR(LOOKUP(2,1/('Feijão 2ª safra'!$E60:INDEX('Feijão 2ª safra'!$E60:$Z60,MIN(AV$6-$E$3,22))&lt;&gt;""),'Feijão 2ª safra'!$E60:INDEX('Feijão 2ª safra'!$E60:$Z60,MIN(AV$6-$E$3,22))),0))-IF($G$2,0,IF((AV$6-$G$3)&lt;1,0,IFERROR(LOOKUP(2,1/('Feijão 2ª safra'!$E60:INDEX('Feijão 2ª safra'!$E60:$Z60,MIN(AV$6-$G$3,22))&lt;&gt;""),'Feijão 2ª safra'!$E60:INDEX('Feijão 2ª safra'!$E60:$Z60,MIN(AV$6-$G$3,22))),0)))))</f>
        <v>0</v>
      </c>
      <c r="AW62" s="27" t="n">
        <f aca="false">IF(COUNT('Feijão 2ª safra'!$E60:$Z60)=0,0,MAX(0,IF((AW$6-$E$3)&lt;1,0,IFERROR(LOOKUP(2,1/('Feijão 2ª safra'!$E60:INDEX('Feijão 2ª safra'!$E60:$Z60,MIN(AW$6-$E$3,22))&lt;&gt;""),'Feijão 2ª safra'!$E60:INDEX('Feijão 2ª safra'!$E60:$Z60,MIN(AW$6-$E$3,22))),0))-IF($G$2,0,IF((AW$6-$G$3)&lt;1,0,IFERROR(LOOKUP(2,1/('Feijão 2ª safra'!$E60:INDEX('Feijão 2ª safra'!$E60:$Z60,MIN(AW$6-$G$3,22))&lt;&gt;""),'Feijão 2ª safra'!$E60:INDEX('Feijão 2ª safra'!$E60:$Z60,MIN(AW$6-$G$3,22))),0)))))</f>
        <v>0</v>
      </c>
      <c r="AX62" s="27" t="n">
        <f aca="false">IF(COUNT('Feijão 2ª safra'!$E60:$Z60)=0,0,MAX(0,IF((AX$6-$E$3)&lt;1,0,IFERROR(LOOKUP(2,1/('Feijão 2ª safra'!$E60:INDEX('Feijão 2ª safra'!$E60:$Z60,MIN(AX$6-$E$3,22))&lt;&gt;""),'Feijão 2ª safra'!$E60:INDEX('Feijão 2ª safra'!$E60:$Z60,MIN(AX$6-$E$3,22))),0))-IF($G$2,0,IF((AX$6-$G$3)&lt;1,0,IFERROR(LOOKUP(2,1/('Feijão 2ª safra'!$E60:INDEX('Feijão 2ª safra'!$E60:$Z60,MIN(AX$6-$G$3,22))&lt;&gt;""),'Feijão 2ª safra'!$E60:INDEX('Feijão 2ª safra'!$E60:$Z60,MIN(AX$6-$G$3,22))),0)))))</f>
        <v>0</v>
      </c>
      <c r="AY62" s="27" t="n">
        <f aca="false">IF(COUNT('Feijão 2ª safra'!$E60:$Z60)=0,0,MAX(0,IF((AY$6-$E$3)&lt;1,0,IFERROR(LOOKUP(2,1/('Feijão 2ª safra'!$E60:INDEX('Feijão 2ª safra'!$E60:$Z60,MIN(AY$6-$E$3,22))&lt;&gt;""),'Feijão 2ª safra'!$E60:INDEX('Feijão 2ª safra'!$E60:$Z60,MIN(AY$6-$E$3,22))),0))-IF($G$2,0,IF((AY$6-$G$3)&lt;1,0,IFERROR(LOOKUP(2,1/('Feijão 2ª safra'!$E60:INDEX('Feijão 2ª safra'!$E60:$Z60,MIN(AY$6-$G$3,22))&lt;&gt;""),'Feijão 2ª safra'!$E60:INDEX('Feijão 2ª safra'!$E60:$Z60,MIN(AY$6-$G$3,22))),0)))))</f>
        <v>0</v>
      </c>
      <c r="AZ62" s="27" t="n">
        <f aca="false">IF(COUNT('Feijão 2ª safra'!$E60:$Z60)=0,0,MAX(0,IF((AZ$6-$E$3)&lt;1,0,IFERROR(LOOKUP(2,1/('Feijão 2ª safra'!$E60:INDEX('Feijão 2ª safra'!$E60:$Z60,MIN(AZ$6-$E$3,22))&lt;&gt;""),'Feijão 2ª safra'!$E60:INDEX('Feijão 2ª safra'!$E60:$Z60,MIN(AZ$6-$E$3,22))),0))-IF($G$2,0,IF((AZ$6-$G$3)&lt;1,0,IFERROR(LOOKUP(2,1/('Feijão 2ª safra'!$E60:INDEX('Feijão 2ª safra'!$E60:$Z60,MIN(AZ$6-$G$3,22))&lt;&gt;""),'Feijão 2ª safra'!$E60:INDEX('Feijão 2ª safra'!$E60:$Z60,MIN(AZ$6-$G$3,22))),0)))))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IF(COUNT('Feijão 2ª safra'!$E61:$Z61)&gt;0,N('Feijão 2ª safra'!$D61),0)</f>
        <v>0</v>
      </c>
      <c r="E63" s="27" t="n">
        <f aca="false">IF(COUNT('Feijão 2ª safra'!$E61:$Z61)=0,0,MAX(0,IF((E$6-$E$3)&lt;1,0,IFERROR(LOOKUP(2,1/('Feijão 2ª safra'!$E61:INDEX('Feijão 2ª safra'!$E61:$Z61,MIN(E$6-$E$3,22))&lt;&gt;""),'Feijão 2ª safra'!$E61:INDEX('Feijão 2ª safra'!$E61:$Z61,MIN(E$6-$E$3,22))),0))-IF($G$2,0,IF((E$6-$G$3)&lt;1,0,IFERROR(LOOKUP(2,1/('Feijão 2ª safra'!$E61:INDEX('Feijão 2ª safra'!$E61:$Z61,MIN(E$6-$G$3,22))&lt;&gt;""),'Feijão 2ª safra'!$E61:INDEX('Feijão 2ª safra'!$E61:$Z61,MIN(E$6-$G$3,22))),0)))))</f>
        <v>0</v>
      </c>
      <c r="F63" s="27" t="n">
        <f aca="false">IF(COUNT('Feijão 2ª safra'!$E61:$Z61)=0,0,MAX(0,IF((F$6-$E$3)&lt;1,0,IFERROR(LOOKUP(2,1/('Feijão 2ª safra'!$E61:INDEX('Feijão 2ª safra'!$E61:$Z61,MIN(F$6-$E$3,22))&lt;&gt;""),'Feijão 2ª safra'!$E61:INDEX('Feijão 2ª safra'!$E61:$Z61,MIN(F$6-$E$3,22))),0))-IF($G$2,0,IF((F$6-$G$3)&lt;1,0,IFERROR(LOOKUP(2,1/('Feijão 2ª safra'!$E61:INDEX('Feijão 2ª safra'!$E61:$Z61,MIN(F$6-$G$3,22))&lt;&gt;""),'Feijão 2ª safra'!$E61:INDEX('Feijão 2ª safra'!$E61:$Z61,MIN(F$6-$G$3,22))),0)))))</f>
        <v>0</v>
      </c>
      <c r="G63" s="27" t="n">
        <f aca="false">IF(COUNT('Feijão 2ª safra'!$E61:$Z61)=0,0,MAX(0,IF((G$6-$E$3)&lt;1,0,IFERROR(LOOKUP(2,1/('Feijão 2ª safra'!$E61:INDEX('Feijão 2ª safra'!$E61:$Z61,MIN(G$6-$E$3,22))&lt;&gt;""),'Feijão 2ª safra'!$E61:INDEX('Feijão 2ª safra'!$E61:$Z61,MIN(G$6-$E$3,22))),0))-IF($G$2,0,IF((G$6-$G$3)&lt;1,0,IFERROR(LOOKUP(2,1/('Feijão 2ª safra'!$E61:INDEX('Feijão 2ª safra'!$E61:$Z61,MIN(G$6-$G$3,22))&lt;&gt;""),'Feijão 2ª safra'!$E61:INDEX('Feijão 2ª safra'!$E61:$Z61,MIN(G$6-$G$3,22))),0)))))</f>
        <v>0</v>
      </c>
      <c r="H63" s="27" t="n">
        <f aca="false">IF(COUNT('Feijão 2ª safra'!$E61:$Z61)=0,0,MAX(0,IF((H$6-$E$3)&lt;1,0,IFERROR(LOOKUP(2,1/('Feijão 2ª safra'!$E61:INDEX('Feijão 2ª safra'!$E61:$Z61,MIN(H$6-$E$3,22))&lt;&gt;""),'Feijão 2ª safra'!$E61:INDEX('Feijão 2ª safra'!$E61:$Z61,MIN(H$6-$E$3,22))),0))-IF($G$2,0,IF((H$6-$G$3)&lt;1,0,IFERROR(LOOKUP(2,1/('Feijão 2ª safra'!$E61:INDEX('Feijão 2ª safra'!$E61:$Z61,MIN(H$6-$G$3,22))&lt;&gt;""),'Feijão 2ª safra'!$E61:INDEX('Feijão 2ª safra'!$E61:$Z61,MIN(H$6-$G$3,22))),0)))))</f>
        <v>0</v>
      </c>
      <c r="I63" s="27" t="n">
        <f aca="false">IF(COUNT('Feijão 2ª safra'!$E61:$Z61)=0,0,MAX(0,IF((I$6-$E$3)&lt;1,0,IFERROR(LOOKUP(2,1/('Feijão 2ª safra'!$E61:INDEX('Feijão 2ª safra'!$E61:$Z61,MIN(I$6-$E$3,22))&lt;&gt;""),'Feijão 2ª safra'!$E61:INDEX('Feijão 2ª safra'!$E61:$Z61,MIN(I$6-$E$3,22))),0))-IF($G$2,0,IF((I$6-$G$3)&lt;1,0,IFERROR(LOOKUP(2,1/('Feijão 2ª safra'!$E61:INDEX('Feijão 2ª safra'!$E61:$Z61,MIN(I$6-$G$3,22))&lt;&gt;""),'Feijão 2ª safra'!$E61:INDEX('Feijão 2ª safra'!$E61:$Z61,MIN(I$6-$G$3,22))),0)))))</f>
        <v>0</v>
      </c>
      <c r="J63" s="27" t="n">
        <f aca="false">IF(COUNT('Feijão 2ª safra'!$E61:$Z61)=0,0,MAX(0,IF((J$6-$E$3)&lt;1,0,IFERROR(LOOKUP(2,1/('Feijão 2ª safra'!$E61:INDEX('Feijão 2ª safra'!$E61:$Z61,MIN(J$6-$E$3,22))&lt;&gt;""),'Feijão 2ª safra'!$E61:INDEX('Feijão 2ª safra'!$E61:$Z61,MIN(J$6-$E$3,22))),0))-IF($G$2,0,IF((J$6-$G$3)&lt;1,0,IFERROR(LOOKUP(2,1/('Feijão 2ª safra'!$E61:INDEX('Feijão 2ª safra'!$E61:$Z61,MIN(J$6-$G$3,22))&lt;&gt;""),'Feijão 2ª safra'!$E61:INDEX('Feijão 2ª safra'!$E61:$Z61,MIN(J$6-$G$3,22))),0)))))</f>
        <v>0</v>
      </c>
      <c r="K63" s="27" t="n">
        <f aca="false">IF(COUNT('Feijão 2ª safra'!$E61:$Z61)=0,0,MAX(0,IF((K$6-$E$3)&lt;1,0,IFERROR(LOOKUP(2,1/('Feijão 2ª safra'!$E61:INDEX('Feijão 2ª safra'!$E61:$Z61,MIN(K$6-$E$3,22))&lt;&gt;""),'Feijão 2ª safra'!$E61:INDEX('Feijão 2ª safra'!$E61:$Z61,MIN(K$6-$E$3,22))),0))-IF($G$2,0,IF((K$6-$G$3)&lt;1,0,IFERROR(LOOKUP(2,1/('Feijão 2ª safra'!$E61:INDEX('Feijão 2ª safra'!$E61:$Z61,MIN(K$6-$G$3,22))&lt;&gt;""),'Feijão 2ª safra'!$E61:INDEX('Feijão 2ª safra'!$E61:$Z61,MIN(K$6-$G$3,22))),0)))))</f>
        <v>0</v>
      </c>
      <c r="L63" s="27" t="n">
        <f aca="false">IF(COUNT('Feijão 2ª safra'!$E61:$Z61)=0,0,MAX(0,IF((L$6-$E$3)&lt;1,0,IFERROR(LOOKUP(2,1/('Feijão 2ª safra'!$E61:INDEX('Feijão 2ª safra'!$E61:$Z61,MIN(L$6-$E$3,22))&lt;&gt;""),'Feijão 2ª safra'!$E61:INDEX('Feijão 2ª safra'!$E61:$Z61,MIN(L$6-$E$3,22))),0))-IF($G$2,0,IF((L$6-$G$3)&lt;1,0,IFERROR(LOOKUP(2,1/('Feijão 2ª safra'!$E61:INDEX('Feijão 2ª safra'!$E61:$Z61,MIN(L$6-$G$3,22))&lt;&gt;""),'Feijão 2ª safra'!$E61:INDEX('Feijão 2ª safra'!$E61:$Z61,MIN(L$6-$G$3,22))),0)))))</f>
        <v>0</v>
      </c>
      <c r="M63" s="27" t="n">
        <f aca="false">IF(COUNT('Feijão 2ª safra'!$E61:$Z61)=0,0,MAX(0,IF((M$6-$E$3)&lt;1,0,IFERROR(LOOKUP(2,1/('Feijão 2ª safra'!$E61:INDEX('Feijão 2ª safra'!$E61:$Z61,MIN(M$6-$E$3,22))&lt;&gt;""),'Feijão 2ª safra'!$E61:INDEX('Feijão 2ª safra'!$E61:$Z61,MIN(M$6-$E$3,22))),0))-IF($G$2,0,IF((M$6-$G$3)&lt;1,0,IFERROR(LOOKUP(2,1/('Feijão 2ª safra'!$E61:INDEX('Feijão 2ª safra'!$E61:$Z61,MIN(M$6-$G$3,22))&lt;&gt;""),'Feijão 2ª safra'!$E61:INDEX('Feijão 2ª safra'!$E61:$Z61,MIN(M$6-$G$3,22))),0)))))</f>
        <v>0</v>
      </c>
      <c r="N63" s="27" t="n">
        <f aca="false">IF(COUNT('Feijão 2ª safra'!$E61:$Z61)=0,0,MAX(0,IF((N$6-$E$3)&lt;1,0,IFERROR(LOOKUP(2,1/('Feijão 2ª safra'!$E61:INDEX('Feijão 2ª safra'!$E61:$Z61,MIN(N$6-$E$3,22))&lt;&gt;""),'Feijão 2ª safra'!$E61:INDEX('Feijão 2ª safra'!$E61:$Z61,MIN(N$6-$E$3,22))),0))-IF($G$2,0,IF((N$6-$G$3)&lt;1,0,IFERROR(LOOKUP(2,1/('Feijão 2ª safra'!$E61:INDEX('Feijão 2ª safra'!$E61:$Z61,MIN(N$6-$G$3,22))&lt;&gt;""),'Feijão 2ª safra'!$E61:INDEX('Feijão 2ª safra'!$E61:$Z61,MIN(N$6-$G$3,22))),0)))))</f>
        <v>0</v>
      </c>
      <c r="O63" s="27" t="n">
        <f aca="false">IF(COUNT('Feijão 2ª safra'!$E61:$Z61)=0,0,MAX(0,IF((O$6-$E$3)&lt;1,0,IFERROR(LOOKUP(2,1/('Feijão 2ª safra'!$E61:INDEX('Feijão 2ª safra'!$E61:$Z61,MIN(O$6-$E$3,22))&lt;&gt;""),'Feijão 2ª safra'!$E61:INDEX('Feijão 2ª safra'!$E61:$Z61,MIN(O$6-$E$3,22))),0))-IF($G$2,0,IF((O$6-$G$3)&lt;1,0,IFERROR(LOOKUP(2,1/('Feijão 2ª safra'!$E61:INDEX('Feijão 2ª safra'!$E61:$Z61,MIN(O$6-$G$3,22))&lt;&gt;""),'Feijão 2ª safra'!$E61:INDEX('Feijão 2ª safra'!$E61:$Z61,MIN(O$6-$G$3,22))),0)))))</f>
        <v>0</v>
      </c>
      <c r="P63" s="27" t="n">
        <f aca="false">IF(COUNT('Feijão 2ª safra'!$E61:$Z61)=0,0,MAX(0,IF((P$6-$E$3)&lt;1,0,IFERROR(LOOKUP(2,1/('Feijão 2ª safra'!$E61:INDEX('Feijão 2ª safra'!$E61:$Z61,MIN(P$6-$E$3,22))&lt;&gt;""),'Feijão 2ª safra'!$E61:INDEX('Feijão 2ª safra'!$E61:$Z61,MIN(P$6-$E$3,22))),0))-IF($G$2,0,IF((P$6-$G$3)&lt;1,0,IFERROR(LOOKUP(2,1/('Feijão 2ª safra'!$E61:INDEX('Feijão 2ª safra'!$E61:$Z61,MIN(P$6-$G$3,22))&lt;&gt;""),'Feijão 2ª safra'!$E61:INDEX('Feijão 2ª safra'!$E61:$Z61,MIN(P$6-$G$3,22))),0)))))</f>
        <v>0</v>
      </c>
      <c r="Q63" s="27" t="n">
        <f aca="false">IF(COUNT('Feijão 2ª safra'!$E61:$Z61)=0,0,MAX(0,IF((Q$6-$E$3)&lt;1,0,IFERROR(LOOKUP(2,1/('Feijão 2ª safra'!$E61:INDEX('Feijão 2ª safra'!$E61:$Z61,MIN(Q$6-$E$3,22))&lt;&gt;""),'Feijão 2ª safra'!$E61:INDEX('Feijão 2ª safra'!$E61:$Z61,MIN(Q$6-$E$3,22))),0))-IF($G$2,0,IF((Q$6-$G$3)&lt;1,0,IFERROR(LOOKUP(2,1/('Feijão 2ª safra'!$E61:INDEX('Feijão 2ª safra'!$E61:$Z61,MIN(Q$6-$G$3,22))&lt;&gt;""),'Feijão 2ª safra'!$E61:INDEX('Feijão 2ª safra'!$E61:$Z61,MIN(Q$6-$G$3,22))),0)))))</f>
        <v>0</v>
      </c>
      <c r="R63" s="27" t="n">
        <f aca="false">IF(COUNT('Feijão 2ª safra'!$E61:$Z61)=0,0,MAX(0,IF((R$6-$E$3)&lt;1,0,IFERROR(LOOKUP(2,1/('Feijão 2ª safra'!$E61:INDEX('Feijão 2ª safra'!$E61:$Z61,MIN(R$6-$E$3,22))&lt;&gt;""),'Feijão 2ª safra'!$E61:INDEX('Feijão 2ª safra'!$E61:$Z61,MIN(R$6-$E$3,22))),0))-IF($G$2,0,IF((R$6-$G$3)&lt;1,0,IFERROR(LOOKUP(2,1/('Feijão 2ª safra'!$E61:INDEX('Feijão 2ª safra'!$E61:$Z61,MIN(R$6-$G$3,22))&lt;&gt;""),'Feijão 2ª safra'!$E61:INDEX('Feijão 2ª safra'!$E61:$Z61,MIN(R$6-$G$3,22))),0)))))</f>
        <v>0</v>
      </c>
      <c r="S63" s="27" t="n">
        <f aca="false">IF(COUNT('Feijão 2ª safra'!$E61:$Z61)=0,0,MAX(0,IF((S$6-$E$3)&lt;1,0,IFERROR(LOOKUP(2,1/('Feijão 2ª safra'!$E61:INDEX('Feijão 2ª safra'!$E61:$Z61,MIN(S$6-$E$3,22))&lt;&gt;""),'Feijão 2ª safra'!$E61:INDEX('Feijão 2ª safra'!$E61:$Z61,MIN(S$6-$E$3,22))),0))-IF($G$2,0,IF((S$6-$G$3)&lt;1,0,IFERROR(LOOKUP(2,1/('Feijão 2ª safra'!$E61:INDEX('Feijão 2ª safra'!$E61:$Z61,MIN(S$6-$G$3,22))&lt;&gt;""),'Feijão 2ª safra'!$E61:INDEX('Feijão 2ª safra'!$E61:$Z61,MIN(S$6-$G$3,22))),0)))))</f>
        <v>0</v>
      </c>
      <c r="T63" s="27" t="n">
        <f aca="false">IF(COUNT('Feijão 2ª safra'!$E61:$Z61)=0,0,MAX(0,IF((T$6-$E$3)&lt;1,0,IFERROR(LOOKUP(2,1/('Feijão 2ª safra'!$E61:INDEX('Feijão 2ª safra'!$E61:$Z61,MIN(T$6-$E$3,22))&lt;&gt;""),'Feijão 2ª safra'!$E61:INDEX('Feijão 2ª safra'!$E61:$Z61,MIN(T$6-$E$3,22))),0))-IF($G$2,0,IF((T$6-$G$3)&lt;1,0,IFERROR(LOOKUP(2,1/('Feijão 2ª safra'!$E61:INDEX('Feijão 2ª safra'!$E61:$Z61,MIN(T$6-$G$3,22))&lt;&gt;""),'Feijão 2ª safra'!$E61:INDEX('Feijão 2ª safra'!$E61:$Z61,MIN(T$6-$G$3,22))),0)))))</f>
        <v>0</v>
      </c>
      <c r="U63" s="27" t="n">
        <f aca="false">IF(COUNT('Feijão 2ª safra'!$E61:$Z61)=0,0,MAX(0,IF((U$6-$E$3)&lt;1,0,IFERROR(LOOKUP(2,1/('Feijão 2ª safra'!$E61:INDEX('Feijão 2ª safra'!$E61:$Z61,MIN(U$6-$E$3,22))&lt;&gt;""),'Feijão 2ª safra'!$E61:INDEX('Feijão 2ª safra'!$E61:$Z61,MIN(U$6-$E$3,22))),0))-IF($G$2,0,IF((U$6-$G$3)&lt;1,0,IFERROR(LOOKUP(2,1/('Feijão 2ª safra'!$E61:INDEX('Feijão 2ª safra'!$E61:$Z61,MIN(U$6-$G$3,22))&lt;&gt;""),'Feijão 2ª safra'!$E61:INDEX('Feijão 2ª safra'!$E61:$Z61,MIN(U$6-$G$3,22))),0)))))</f>
        <v>0</v>
      </c>
      <c r="V63" s="27" t="n">
        <f aca="false">IF(COUNT('Feijão 2ª safra'!$E61:$Z61)=0,0,MAX(0,IF((V$6-$E$3)&lt;1,0,IFERROR(LOOKUP(2,1/('Feijão 2ª safra'!$E61:INDEX('Feijão 2ª safra'!$E61:$Z61,MIN(V$6-$E$3,22))&lt;&gt;""),'Feijão 2ª safra'!$E61:INDEX('Feijão 2ª safra'!$E61:$Z61,MIN(V$6-$E$3,22))),0))-IF($G$2,0,IF((V$6-$G$3)&lt;1,0,IFERROR(LOOKUP(2,1/('Feijão 2ª safra'!$E61:INDEX('Feijão 2ª safra'!$E61:$Z61,MIN(V$6-$G$3,22))&lt;&gt;""),'Feijão 2ª safra'!$E61:INDEX('Feijão 2ª safra'!$E61:$Z61,MIN(V$6-$G$3,22))),0)))))</f>
        <v>0</v>
      </c>
      <c r="W63" s="27" t="n">
        <f aca="false">IF(COUNT('Feijão 2ª safra'!$E61:$Z61)=0,0,MAX(0,IF((W$6-$E$3)&lt;1,0,IFERROR(LOOKUP(2,1/('Feijão 2ª safra'!$E61:INDEX('Feijão 2ª safra'!$E61:$Z61,MIN(W$6-$E$3,22))&lt;&gt;""),'Feijão 2ª safra'!$E61:INDEX('Feijão 2ª safra'!$E61:$Z61,MIN(W$6-$E$3,22))),0))-IF($G$2,0,IF((W$6-$G$3)&lt;1,0,IFERROR(LOOKUP(2,1/('Feijão 2ª safra'!$E61:INDEX('Feijão 2ª safra'!$E61:$Z61,MIN(W$6-$G$3,22))&lt;&gt;""),'Feijão 2ª safra'!$E61:INDEX('Feijão 2ª safra'!$E61:$Z61,MIN(W$6-$G$3,22))),0)))))</f>
        <v>0</v>
      </c>
      <c r="X63" s="27" t="n">
        <f aca="false">IF(COUNT('Feijão 2ª safra'!$E61:$Z61)=0,0,MAX(0,IF((X$6-$E$3)&lt;1,0,IFERROR(LOOKUP(2,1/('Feijão 2ª safra'!$E61:INDEX('Feijão 2ª safra'!$E61:$Z61,MIN(X$6-$E$3,22))&lt;&gt;""),'Feijão 2ª safra'!$E61:INDEX('Feijão 2ª safra'!$E61:$Z61,MIN(X$6-$E$3,22))),0))-IF($G$2,0,IF((X$6-$G$3)&lt;1,0,IFERROR(LOOKUP(2,1/('Feijão 2ª safra'!$E61:INDEX('Feijão 2ª safra'!$E61:$Z61,MIN(X$6-$G$3,22))&lt;&gt;""),'Feijão 2ª safra'!$E61:INDEX('Feijão 2ª safra'!$E61:$Z61,MIN(X$6-$G$3,22))),0)))))</f>
        <v>0</v>
      </c>
      <c r="Y63" s="27" t="n">
        <f aca="false">IF(COUNT('Feijão 2ª safra'!$E61:$Z61)=0,0,MAX(0,IF((Y$6-$E$3)&lt;1,0,IFERROR(LOOKUP(2,1/('Feijão 2ª safra'!$E61:INDEX('Feijão 2ª safra'!$E61:$Z61,MIN(Y$6-$E$3,22))&lt;&gt;""),'Feijão 2ª safra'!$E61:INDEX('Feijão 2ª safra'!$E61:$Z61,MIN(Y$6-$E$3,22))),0))-IF($G$2,0,IF((Y$6-$G$3)&lt;1,0,IFERROR(LOOKUP(2,1/('Feijão 2ª safra'!$E61:INDEX('Feijão 2ª safra'!$E61:$Z61,MIN(Y$6-$G$3,22))&lt;&gt;""),'Feijão 2ª safra'!$E61:INDEX('Feijão 2ª safra'!$E61:$Z61,MIN(Y$6-$G$3,22))),0)))))</f>
        <v>0</v>
      </c>
      <c r="Z63" s="27" t="n">
        <f aca="false">IF(COUNT('Feijão 2ª safra'!$E61:$Z61)=0,0,MAX(0,IF((Z$6-$E$3)&lt;1,0,IFERROR(LOOKUP(2,1/('Feijão 2ª safra'!$E61:INDEX('Feijão 2ª safra'!$E61:$Z61,MIN(Z$6-$E$3,22))&lt;&gt;""),'Feijão 2ª safra'!$E61:INDEX('Feijão 2ª safra'!$E61:$Z61,MIN(Z$6-$E$3,22))),0))-IF($G$2,0,IF((Z$6-$G$3)&lt;1,0,IFERROR(LOOKUP(2,1/('Feijão 2ª safra'!$E61:INDEX('Feijão 2ª safra'!$E61:$Z61,MIN(Z$6-$G$3,22))&lt;&gt;""),'Feijão 2ª safra'!$E61:INDEX('Feijão 2ª safra'!$E61:$Z61,MIN(Z$6-$G$3,22))),0)))))</f>
        <v>0</v>
      </c>
      <c r="AA63" s="27" t="n">
        <f aca="false">IF(COUNT('Feijão 2ª safra'!$E61:$Z61)=0,0,MAX(0,IF((AA$6-$E$3)&lt;1,0,IFERROR(LOOKUP(2,1/('Feijão 2ª safra'!$E61:INDEX('Feijão 2ª safra'!$E61:$Z61,MIN(AA$6-$E$3,22))&lt;&gt;""),'Feijão 2ª safra'!$E61:INDEX('Feijão 2ª safra'!$E61:$Z61,MIN(AA$6-$E$3,22))),0))-IF($G$2,0,IF((AA$6-$G$3)&lt;1,0,IFERROR(LOOKUP(2,1/('Feijão 2ª safra'!$E61:INDEX('Feijão 2ª safra'!$E61:$Z61,MIN(AA$6-$G$3,22))&lt;&gt;""),'Feijão 2ª safra'!$E61:INDEX('Feijão 2ª safra'!$E61:$Z61,MIN(AA$6-$G$3,22))),0)))))</f>
        <v>0</v>
      </c>
      <c r="AB63" s="27" t="n">
        <f aca="false">IF(COUNT('Feijão 2ª safra'!$E61:$Z61)=0,0,MAX(0,IF((AB$6-$E$3)&lt;1,0,IFERROR(LOOKUP(2,1/('Feijão 2ª safra'!$E61:INDEX('Feijão 2ª safra'!$E61:$Z61,MIN(AB$6-$E$3,22))&lt;&gt;""),'Feijão 2ª safra'!$E61:INDEX('Feijão 2ª safra'!$E61:$Z61,MIN(AB$6-$E$3,22))),0))-IF($G$2,0,IF((AB$6-$G$3)&lt;1,0,IFERROR(LOOKUP(2,1/('Feijão 2ª safra'!$E61:INDEX('Feijão 2ª safra'!$E61:$Z61,MIN(AB$6-$G$3,22))&lt;&gt;""),'Feijão 2ª safra'!$E61:INDEX('Feijão 2ª safra'!$E61:$Z61,MIN(AB$6-$G$3,22))),0)))))</f>
        <v>0</v>
      </c>
      <c r="AC63" s="27" t="n">
        <f aca="false">IF(COUNT('Feijão 2ª safra'!$E61:$Z61)=0,0,MAX(0,IF((AC$6-$E$3)&lt;1,0,IFERROR(LOOKUP(2,1/('Feijão 2ª safra'!$E61:INDEX('Feijão 2ª safra'!$E61:$Z61,MIN(AC$6-$E$3,22))&lt;&gt;""),'Feijão 2ª safra'!$E61:INDEX('Feijão 2ª safra'!$E61:$Z61,MIN(AC$6-$E$3,22))),0))-IF($G$2,0,IF((AC$6-$G$3)&lt;1,0,IFERROR(LOOKUP(2,1/('Feijão 2ª safra'!$E61:INDEX('Feijão 2ª safra'!$E61:$Z61,MIN(AC$6-$G$3,22))&lt;&gt;""),'Feijão 2ª safra'!$E61:INDEX('Feijão 2ª safra'!$E61:$Z61,MIN(AC$6-$G$3,22))),0)))))</f>
        <v>0</v>
      </c>
      <c r="AD63" s="27" t="n">
        <f aca="false">IF(COUNT('Feijão 2ª safra'!$E61:$Z61)=0,0,MAX(0,IF((AD$6-$E$3)&lt;1,0,IFERROR(LOOKUP(2,1/('Feijão 2ª safra'!$E61:INDEX('Feijão 2ª safra'!$E61:$Z61,MIN(AD$6-$E$3,22))&lt;&gt;""),'Feijão 2ª safra'!$E61:INDEX('Feijão 2ª safra'!$E61:$Z61,MIN(AD$6-$E$3,22))),0))-IF($G$2,0,IF((AD$6-$G$3)&lt;1,0,IFERROR(LOOKUP(2,1/('Feijão 2ª safra'!$E61:INDEX('Feijão 2ª safra'!$E61:$Z61,MIN(AD$6-$G$3,22))&lt;&gt;""),'Feijão 2ª safra'!$E61:INDEX('Feijão 2ª safra'!$E61:$Z61,MIN(AD$6-$G$3,22))),0)))))</f>
        <v>0</v>
      </c>
      <c r="AE63" s="27" t="n">
        <f aca="false">IF(COUNT('Feijão 2ª safra'!$E61:$Z61)=0,0,MAX(0,IF((AE$6-$E$3)&lt;1,0,IFERROR(LOOKUP(2,1/('Feijão 2ª safra'!$E61:INDEX('Feijão 2ª safra'!$E61:$Z61,MIN(AE$6-$E$3,22))&lt;&gt;""),'Feijão 2ª safra'!$E61:INDEX('Feijão 2ª safra'!$E61:$Z61,MIN(AE$6-$E$3,22))),0))-IF($G$2,0,IF((AE$6-$G$3)&lt;1,0,IFERROR(LOOKUP(2,1/('Feijão 2ª safra'!$E61:INDEX('Feijão 2ª safra'!$E61:$Z61,MIN(AE$6-$G$3,22))&lt;&gt;""),'Feijão 2ª safra'!$E61:INDEX('Feijão 2ª safra'!$E61:$Z61,MIN(AE$6-$G$3,22))),0)))))</f>
        <v>0</v>
      </c>
      <c r="AF63" s="27" t="n">
        <f aca="false">IF(COUNT('Feijão 2ª safra'!$E61:$Z61)=0,0,MAX(0,IF((AF$6-$E$3)&lt;1,0,IFERROR(LOOKUP(2,1/('Feijão 2ª safra'!$E61:INDEX('Feijão 2ª safra'!$E61:$Z61,MIN(AF$6-$E$3,22))&lt;&gt;""),'Feijão 2ª safra'!$E61:INDEX('Feijão 2ª safra'!$E61:$Z61,MIN(AF$6-$E$3,22))),0))-IF($G$2,0,IF((AF$6-$G$3)&lt;1,0,IFERROR(LOOKUP(2,1/('Feijão 2ª safra'!$E61:INDEX('Feijão 2ª safra'!$E61:$Z61,MIN(AF$6-$G$3,22))&lt;&gt;""),'Feijão 2ª safra'!$E61:INDEX('Feijão 2ª safra'!$E61:$Z61,MIN(AF$6-$G$3,22))),0)))))</f>
        <v>0</v>
      </c>
      <c r="AG63" s="27" t="n">
        <f aca="false">IF(COUNT('Feijão 2ª safra'!$E61:$Z61)=0,0,MAX(0,IF((AG$6-$E$3)&lt;1,0,IFERROR(LOOKUP(2,1/('Feijão 2ª safra'!$E61:INDEX('Feijão 2ª safra'!$E61:$Z61,MIN(AG$6-$E$3,22))&lt;&gt;""),'Feijão 2ª safra'!$E61:INDEX('Feijão 2ª safra'!$E61:$Z61,MIN(AG$6-$E$3,22))),0))-IF($G$2,0,IF((AG$6-$G$3)&lt;1,0,IFERROR(LOOKUP(2,1/('Feijão 2ª safra'!$E61:INDEX('Feijão 2ª safra'!$E61:$Z61,MIN(AG$6-$G$3,22))&lt;&gt;""),'Feijão 2ª safra'!$E61:INDEX('Feijão 2ª safra'!$E61:$Z61,MIN(AG$6-$G$3,22))),0)))))</f>
        <v>0</v>
      </c>
      <c r="AH63" s="27" t="n">
        <f aca="false">IF(COUNT('Feijão 2ª safra'!$E61:$Z61)=0,0,MAX(0,IF((AH$6-$E$3)&lt;1,0,IFERROR(LOOKUP(2,1/('Feijão 2ª safra'!$E61:INDEX('Feijão 2ª safra'!$E61:$Z61,MIN(AH$6-$E$3,22))&lt;&gt;""),'Feijão 2ª safra'!$E61:INDEX('Feijão 2ª safra'!$E61:$Z61,MIN(AH$6-$E$3,22))),0))-IF($G$2,0,IF((AH$6-$G$3)&lt;1,0,IFERROR(LOOKUP(2,1/('Feijão 2ª safra'!$E61:INDEX('Feijão 2ª safra'!$E61:$Z61,MIN(AH$6-$G$3,22))&lt;&gt;""),'Feijão 2ª safra'!$E61:INDEX('Feijão 2ª safra'!$E61:$Z61,MIN(AH$6-$G$3,22))),0)))))</f>
        <v>0</v>
      </c>
      <c r="AI63" s="27" t="n">
        <f aca="false">IF(COUNT('Feijão 2ª safra'!$E61:$Z61)=0,0,MAX(0,IF((AI$6-$E$3)&lt;1,0,IFERROR(LOOKUP(2,1/('Feijão 2ª safra'!$E61:INDEX('Feijão 2ª safra'!$E61:$Z61,MIN(AI$6-$E$3,22))&lt;&gt;""),'Feijão 2ª safra'!$E61:INDEX('Feijão 2ª safra'!$E61:$Z61,MIN(AI$6-$E$3,22))),0))-IF($G$2,0,IF((AI$6-$G$3)&lt;1,0,IFERROR(LOOKUP(2,1/('Feijão 2ª safra'!$E61:INDEX('Feijão 2ª safra'!$E61:$Z61,MIN(AI$6-$G$3,22))&lt;&gt;""),'Feijão 2ª safra'!$E61:INDEX('Feijão 2ª safra'!$E61:$Z61,MIN(AI$6-$G$3,22))),0)))))</f>
        <v>0</v>
      </c>
      <c r="AJ63" s="27" t="n">
        <f aca="false">IF(COUNT('Feijão 2ª safra'!$E61:$Z61)=0,0,MAX(0,IF((AJ$6-$E$3)&lt;1,0,IFERROR(LOOKUP(2,1/('Feijão 2ª safra'!$E61:INDEX('Feijão 2ª safra'!$E61:$Z61,MIN(AJ$6-$E$3,22))&lt;&gt;""),'Feijão 2ª safra'!$E61:INDEX('Feijão 2ª safra'!$E61:$Z61,MIN(AJ$6-$E$3,22))),0))-IF($G$2,0,IF((AJ$6-$G$3)&lt;1,0,IFERROR(LOOKUP(2,1/('Feijão 2ª safra'!$E61:INDEX('Feijão 2ª safra'!$E61:$Z61,MIN(AJ$6-$G$3,22))&lt;&gt;""),'Feijão 2ª safra'!$E61:INDEX('Feijão 2ª safra'!$E61:$Z61,MIN(AJ$6-$G$3,22))),0)))))</f>
        <v>0</v>
      </c>
      <c r="AK63" s="27" t="n">
        <f aca="false">IF(COUNT('Feijão 2ª safra'!$E61:$Z61)=0,0,MAX(0,IF((AK$6-$E$3)&lt;1,0,IFERROR(LOOKUP(2,1/('Feijão 2ª safra'!$E61:INDEX('Feijão 2ª safra'!$E61:$Z61,MIN(AK$6-$E$3,22))&lt;&gt;""),'Feijão 2ª safra'!$E61:INDEX('Feijão 2ª safra'!$E61:$Z61,MIN(AK$6-$E$3,22))),0))-IF($G$2,0,IF((AK$6-$G$3)&lt;1,0,IFERROR(LOOKUP(2,1/('Feijão 2ª safra'!$E61:INDEX('Feijão 2ª safra'!$E61:$Z61,MIN(AK$6-$G$3,22))&lt;&gt;""),'Feijão 2ª safra'!$E61:INDEX('Feijão 2ª safra'!$E61:$Z61,MIN(AK$6-$G$3,22))),0)))))</f>
        <v>0</v>
      </c>
      <c r="AL63" s="27" t="n">
        <f aca="false">IF(COUNT('Feijão 2ª safra'!$E61:$Z61)=0,0,MAX(0,IF((AL$6-$E$3)&lt;1,0,IFERROR(LOOKUP(2,1/('Feijão 2ª safra'!$E61:INDEX('Feijão 2ª safra'!$E61:$Z61,MIN(AL$6-$E$3,22))&lt;&gt;""),'Feijão 2ª safra'!$E61:INDEX('Feijão 2ª safra'!$E61:$Z61,MIN(AL$6-$E$3,22))),0))-IF($G$2,0,IF((AL$6-$G$3)&lt;1,0,IFERROR(LOOKUP(2,1/('Feijão 2ª safra'!$E61:INDEX('Feijão 2ª safra'!$E61:$Z61,MIN(AL$6-$G$3,22))&lt;&gt;""),'Feijão 2ª safra'!$E61:INDEX('Feijão 2ª safra'!$E61:$Z61,MIN(AL$6-$G$3,22))),0)))))</f>
        <v>0</v>
      </c>
      <c r="AM63" s="27" t="n">
        <f aca="false">IF(COUNT('Feijão 2ª safra'!$E61:$Z61)=0,0,MAX(0,IF((AM$6-$E$3)&lt;1,0,IFERROR(LOOKUP(2,1/('Feijão 2ª safra'!$E61:INDEX('Feijão 2ª safra'!$E61:$Z61,MIN(AM$6-$E$3,22))&lt;&gt;""),'Feijão 2ª safra'!$E61:INDEX('Feijão 2ª safra'!$E61:$Z61,MIN(AM$6-$E$3,22))),0))-IF($G$2,0,IF((AM$6-$G$3)&lt;1,0,IFERROR(LOOKUP(2,1/('Feijão 2ª safra'!$E61:INDEX('Feijão 2ª safra'!$E61:$Z61,MIN(AM$6-$G$3,22))&lt;&gt;""),'Feijão 2ª safra'!$E61:INDEX('Feijão 2ª safra'!$E61:$Z61,MIN(AM$6-$G$3,22))),0)))))</f>
        <v>0</v>
      </c>
      <c r="AN63" s="27" t="n">
        <f aca="false">IF(COUNT('Feijão 2ª safra'!$E61:$Z61)=0,0,MAX(0,IF((AN$6-$E$3)&lt;1,0,IFERROR(LOOKUP(2,1/('Feijão 2ª safra'!$E61:INDEX('Feijão 2ª safra'!$E61:$Z61,MIN(AN$6-$E$3,22))&lt;&gt;""),'Feijão 2ª safra'!$E61:INDEX('Feijão 2ª safra'!$E61:$Z61,MIN(AN$6-$E$3,22))),0))-IF($G$2,0,IF((AN$6-$G$3)&lt;1,0,IFERROR(LOOKUP(2,1/('Feijão 2ª safra'!$E61:INDEX('Feijão 2ª safra'!$E61:$Z61,MIN(AN$6-$G$3,22))&lt;&gt;""),'Feijão 2ª safra'!$E61:INDEX('Feijão 2ª safra'!$E61:$Z61,MIN(AN$6-$G$3,22))),0)))))</f>
        <v>0</v>
      </c>
      <c r="AO63" s="27" t="n">
        <f aca="false">IF(COUNT('Feijão 2ª safra'!$E61:$Z61)=0,0,MAX(0,IF((AO$6-$E$3)&lt;1,0,IFERROR(LOOKUP(2,1/('Feijão 2ª safra'!$E61:INDEX('Feijão 2ª safra'!$E61:$Z61,MIN(AO$6-$E$3,22))&lt;&gt;""),'Feijão 2ª safra'!$E61:INDEX('Feijão 2ª safra'!$E61:$Z61,MIN(AO$6-$E$3,22))),0))-IF($G$2,0,IF((AO$6-$G$3)&lt;1,0,IFERROR(LOOKUP(2,1/('Feijão 2ª safra'!$E61:INDEX('Feijão 2ª safra'!$E61:$Z61,MIN(AO$6-$G$3,22))&lt;&gt;""),'Feijão 2ª safra'!$E61:INDEX('Feijão 2ª safra'!$E61:$Z61,MIN(AO$6-$G$3,22))),0)))))</f>
        <v>0</v>
      </c>
      <c r="AP63" s="27" t="n">
        <f aca="false">IF(COUNT('Feijão 2ª safra'!$E61:$Z61)=0,0,MAX(0,IF((AP$6-$E$3)&lt;1,0,IFERROR(LOOKUP(2,1/('Feijão 2ª safra'!$E61:INDEX('Feijão 2ª safra'!$E61:$Z61,MIN(AP$6-$E$3,22))&lt;&gt;""),'Feijão 2ª safra'!$E61:INDEX('Feijão 2ª safra'!$E61:$Z61,MIN(AP$6-$E$3,22))),0))-IF($G$2,0,IF((AP$6-$G$3)&lt;1,0,IFERROR(LOOKUP(2,1/('Feijão 2ª safra'!$E61:INDEX('Feijão 2ª safra'!$E61:$Z61,MIN(AP$6-$G$3,22))&lt;&gt;""),'Feijão 2ª safra'!$E61:INDEX('Feijão 2ª safra'!$E61:$Z61,MIN(AP$6-$G$3,22))),0)))))</f>
        <v>0</v>
      </c>
      <c r="AQ63" s="27" t="n">
        <f aca="false">IF(COUNT('Feijão 2ª safra'!$E61:$Z61)=0,0,MAX(0,IF((AQ$6-$E$3)&lt;1,0,IFERROR(LOOKUP(2,1/('Feijão 2ª safra'!$E61:INDEX('Feijão 2ª safra'!$E61:$Z61,MIN(AQ$6-$E$3,22))&lt;&gt;""),'Feijão 2ª safra'!$E61:INDEX('Feijão 2ª safra'!$E61:$Z61,MIN(AQ$6-$E$3,22))),0))-IF($G$2,0,IF((AQ$6-$G$3)&lt;1,0,IFERROR(LOOKUP(2,1/('Feijão 2ª safra'!$E61:INDEX('Feijão 2ª safra'!$E61:$Z61,MIN(AQ$6-$G$3,22))&lt;&gt;""),'Feijão 2ª safra'!$E61:INDEX('Feijão 2ª safra'!$E61:$Z61,MIN(AQ$6-$G$3,22))),0)))))</f>
        <v>0</v>
      </c>
      <c r="AR63" s="27" t="n">
        <f aca="false">IF(COUNT('Feijão 2ª safra'!$E61:$Z61)=0,0,MAX(0,IF((AR$6-$E$3)&lt;1,0,IFERROR(LOOKUP(2,1/('Feijão 2ª safra'!$E61:INDEX('Feijão 2ª safra'!$E61:$Z61,MIN(AR$6-$E$3,22))&lt;&gt;""),'Feijão 2ª safra'!$E61:INDEX('Feijão 2ª safra'!$E61:$Z61,MIN(AR$6-$E$3,22))),0))-IF($G$2,0,IF((AR$6-$G$3)&lt;1,0,IFERROR(LOOKUP(2,1/('Feijão 2ª safra'!$E61:INDEX('Feijão 2ª safra'!$E61:$Z61,MIN(AR$6-$G$3,22))&lt;&gt;""),'Feijão 2ª safra'!$E61:INDEX('Feijão 2ª safra'!$E61:$Z61,MIN(AR$6-$G$3,22))),0)))))</f>
        <v>0</v>
      </c>
      <c r="AS63" s="27" t="n">
        <f aca="false">IF(COUNT('Feijão 2ª safra'!$E61:$Z61)=0,0,MAX(0,IF((AS$6-$E$3)&lt;1,0,IFERROR(LOOKUP(2,1/('Feijão 2ª safra'!$E61:INDEX('Feijão 2ª safra'!$E61:$Z61,MIN(AS$6-$E$3,22))&lt;&gt;""),'Feijão 2ª safra'!$E61:INDEX('Feijão 2ª safra'!$E61:$Z61,MIN(AS$6-$E$3,22))),0))-IF($G$2,0,IF((AS$6-$G$3)&lt;1,0,IFERROR(LOOKUP(2,1/('Feijão 2ª safra'!$E61:INDEX('Feijão 2ª safra'!$E61:$Z61,MIN(AS$6-$G$3,22))&lt;&gt;""),'Feijão 2ª safra'!$E61:INDEX('Feijão 2ª safra'!$E61:$Z61,MIN(AS$6-$G$3,22))),0)))))</f>
        <v>0</v>
      </c>
      <c r="AT63" s="27" t="n">
        <f aca="false">IF(COUNT('Feijão 2ª safra'!$E61:$Z61)=0,0,MAX(0,IF((AT$6-$E$3)&lt;1,0,IFERROR(LOOKUP(2,1/('Feijão 2ª safra'!$E61:INDEX('Feijão 2ª safra'!$E61:$Z61,MIN(AT$6-$E$3,22))&lt;&gt;""),'Feijão 2ª safra'!$E61:INDEX('Feijão 2ª safra'!$E61:$Z61,MIN(AT$6-$E$3,22))),0))-IF($G$2,0,IF((AT$6-$G$3)&lt;1,0,IFERROR(LOOKUP(2,1/('Feijão 2ª safra'!$E61:INDEX('Feijão 2ª safra'!$E61:$Z61,MIN(AT$6-$G$3,22))&lt;&gt;""),'Feijão 2ª safra'!$E61:INDEX('Feijão 2ª safra'!$E61:$Z61,MIN(AT$6-$G$3,22))),0)))))</f>
        <v>0</v>
      </c>
      <c r="AU63" s="27" t="n">
        <f aca="false">IF(COUNT('Feijão 2ª safra'!$E61:$Z61)=0,0,MAX(0,IF((AU$6-$E$3)&lt;1,0,IFERROR(LOOKUP(2,1/('Feijão 2ª safra'!$E61:INDEX('Feijão 2ª safra'!$E61:$Z61,MIN(AU$6-$E$3,22))&lt;&gt;""),'Feijão 2ª safra'!$E61:INDEX('Feijão 2ª safra'!$E61:$Z61,MIN(AU$6-$E$3,22))),0))-IF($G$2,0,IF((AU$6-$G$3)&lt;1,0,IFERROR(LOOKUP(2,1/('Feijão 2ª safra'!$E61:INDEX('Feijão 2ª safra'!$E61:$Z61,MIN(AU$6-$G$3,22))&lt;&gt;""),'Feijão 2ª safra'!$E61:INDEX('Feijão 2ª safra'!$E61:$Z61,MIN(AU$6-$G$3,22))),0)))))</f>
        <v>0</v>
      </c>
      <c r="AV63" s="27" t="n">
        <f aca="false">IF(COUNT('Feijão 2ª safra'!$E61:$Z61)=0,0,MAX(0,IF((AV$6-$E$3)&lt;1,0,IFERROR(LOOKUP(2,1/('Feijão 2ª safra'!$E61:INDEX('Feijão 2ª safra'!$E61:$Z61,MIN(AV$6-$E$3,22))&lt;&gt;""),'Feijão 2ª safra'!$E61:INDEX('Feijão 2ª safra'!$E61:$Z61,MIN(AV$6-$E$3,22))),0))-IF($G$2,0,IF((AV$6-$G$3)&lt;1,0,IFERROR(LOOKUP(2,1/('Feijão 2ª safra'!$E61:INDEX('Feijão 2ª safra'!$E61:$Z61,MIN(AV$6-$G$3,22))&lt;&gt;""),'Feijão 2ª safra'!$E61:INDEX('Feijão 2ª safra'!$E61:$Z61,MIN(AV$6-$G$3,22))),0)))))</f>
        <v>0</v>
      </c>
      <c r="AW63" s="27" t="n">
        <f aca="false">IF(COUNT('Feijão 2ª safra'!$E61:$Z61)=0,0,MAX(0,IF((AW$6-$E$3)&lt;1,0,IFERROR(LOOKUP(2,1/('Feijão 2ª safra'!$E61:INDEX('Feijão 2ª safra'!$E61:$Z61,MIN(AW$6-$E$3,22))&lt;&gt;""),'Feijão 2ª safra'!$E61:INDEX('Feijão 2ª safra'!$E61:$Z61,MIN(AW$6-$E$3,22))),0))-IF($G$2,0,IF((AW$6-$G$3)&lt;1,0,IFERROR(LOOKUP(2,1/('Feijão 2ª safra'!$E61:INDEX('Feijão 2ª safra'!$E61:$Z61,MIN(AW$6-$G$3,22))&lt;&gt;""),'Feijão 2ª safra'!$E61:INDEX('Feijão 2ª safra'!$E61:$Z61,MIN(AW$6-$G$3,22))),0)))))</f>
        <v>0</v>
      </c>
      <c r="AX63" s="27" t="n">
        <f aca="false">IF(COUNT('Feijão 2ª safra'!$E61:$Z61)=0,0,MAX(0,IF((AX$6-$E$3)&lt;1,0,IFERROR(LOOKUP(2,1/('Feijão 2ª safra'!$E61:INDEX('Feijão 2ª safra'!$E61:$Z61,MIN(AX$6-$E$3,22))&lt;&gt;""),'Feijão 2ª safra'!$E61:INDEX('Feijão 2ª safra'!$E61:$Z61,MIN(AX$6-$E$3,22))),0))-IF($G$2,0,IF((AX$6-$G$3)&lt;1,0,IFERROR(LOOKUP(2,1/('Feijão 2ª safra'!$E61:INDEX('Feijão 2ª safra'!$E61:$Z61,MIN(AX$6-$G$3,22))&lt;&gt;""),'Feijão 2ª safra'!$E61:INDEX('Feijão 2ª safra'!$E61:$Z61,MIN(AX$6-$G$3,22))),0)))))</f>
        <v>0</v>
      </c>
      <c r="AY63" s="27" t="n">
        <f aca="false">IF(COUNT('Feijão 2ª safra'!$E61:$Z61)=0,0,MAX(0,IF((AY$6-$E$3)&lt;1,0,IFERROR(LOOKUP(2,1/('Feijão 2ª safra'!$E61:INDEX('Feijão 2ª safra'!$E61:$Z61,MIN(AY$6-$E$3,22))&lt;&gt;""),'Feijão 2ª safra'!$E61:INDEX('Feijão 2ª safra'!$E61:$Z61,MIN(AY$6-$E$3,22))),0))-IF($G$2,0,IF((AY$6-$G$3)&lt;1,0,IFERROR(LOOKUP(2,1/('Feijão 2ª safra'!$E61:INDEX('Feijão 2ª safra'!$E61:$Z61,MIN(AY$6-$G$3,22))&lt;&gt;""),'Feijão 2ª safra'!$E61:INDEX('Feijão 2ª safra'!$E61:$Z61,MIN(AY$6-$G$3,22))),0)))))</f>
        <v>0</v>
      </c>
      <c r="AZ63" s="27" t="n">
        <f aca="false">IF(COUNT('Feijão 2ª safra'!$E61:$Z61)=0,0,MAX(0,IF((AZ$6-$E$3)&lt;1,0,IFERROR(LOOKUP(2,1/('Feijão 2ª safra'!$E61:INDEX('Feijão 2ª safra'!$E61:$Z61,MIN(AZ$6-$E$3,22))&lt;&gt;""),'Feijão 2ª safra'!$E61:INDEX('Feijão 2ª safra'!$E61:$Z61,MIN(AZ$6-$E$3,22))),0))-IF($G$2,0,IF((AZ$6-$G$3)&lt;1,0,IFERROR(LOOKUP(2,1/('Feijão 2ª safra'!$E61:INDEX('Feijão 2ª safra'!$E61:$Z61,MIN(AZ$6-$G$3,22))&lt;&gt;""),'Feijão 2ª safra'!$E61:INDEX('Feijão 2ª safra'!$E61:$Z61,MIN(AZ$6-$G$3,22))),0)))))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IF(COUNT('Feijão 2ª safra'!$E62:$Z62)&gt;0,N('Feijão 2ª safra'!$D62),0)</f>
        <v>0</v>
      </c>
      <c r="E64" s="27" t="n">
        <f aca="false">IF(COUNT('Feijão 2ª safra'!$E62:$Z62)=0,0,MAX(0,IF((E$6-$E$3)&lt;1,0,IFERROR(LOOKUP(2,1/('Feijão 2ª safra'!$E62:INDEX('Feijão 2ª safra'!$E62:$Z62,MIN(E$6-$E$3,22))&lt;&gt;""),'Feijão 2ª safra'!$E62:INDEX('Feijão 2ª safra'!$E62:$Z62,MIN(E$6-$E$3,22))),0))-IF($G$2,0,IF((E$6-$G$3)&lt;1,0,IFERROR(LOOKUP(2,1/('Feijão 2ª safra'!$E62:INDEX('Feijão 2ª safra'!$E62:$Z62,MIN(E$6-$G$3,22))&lt;&gt;""),'Feijão 2ª safra'!$E62:INDEX('Feijão 2ª safra'!$E62:$Z62,MIN(E$6-$G$3,22))),0)))))</f>
        <v>0</v>
      </c>
      <c r="F64" s="27" t="n">
        <f aca="false">IF(COUNT('Feijão 2ª safra'!$E62:$Z62)=0,0,MAX(0,IF((F$6-$E$3)&lt;1,0,IFERROR(LOOKUP(2,1/('Feijão 2ª safra'!$E62:INDEX('Feijão 2ª safra'!$E62:$Z62,MIN(F$6-$E$3,22))&lt;&gt;""),'Feijão 2ª safra'!$E62:INDEX('Feijão 2ª safra'!$E62:$Z62,MIN(F$6-$E$3,22))),0))-IF($G$2,0,IF((F$6-$G$3)&lt;1,0,IFERROR(LOOKUP(2,1/('Feijão 2ª safra'!$E62:INDEX('Feijão 2ª safra'!$E62:$Z62,MIN(F$6-$G$3,22))&lt;&gt;""),'Feijão 2ª safra'!$E62:INDEX('Feijão 2ª safra'!$E62:$Z62,MIN(F$6-$G$3,22))),0)))))</f>
        <v>0</v>
      </c>
      <c r="G64" s="27" t="n">
        <f aca="false">IF(COUNT('Feijão 2ª safra'!$E62:$Z62)=0,0,MAX(0,IF((G$6-$E$3)&lt;1,0,IFERROR(LOOKUP(2,1/('Feijão 2ª safra'!$E62:INDEX('Feijão 2ª safra'!$E62:$Z62,MIN(G$6-$E$3,22))&lt;&gt;""),'Feijão 2ª safra'!$E62:INDEX('Feijão 2ª safra'!$E62:$Z62,MIN(G$6-$E$3,22))),0))-IF($G$2,0,IF((G$6-$G$3)&lt;1,0,IFERROR(LOOKUP(2,1/('Feijão 2ª safra'!$E62:INDEX('Feijão 2ª safra'!$E62:$Z62,MIN(G$6-$G$3,22))&lt;&gt;""),'Feijão 2ª safra'!$E62:INDEX('Feijão 2ª safra'!$E62:$Z62,MIN(G$6-$G$3,22))),0)))))</f>
        <v>0</v>
      </c>
      <c r="H64" s="27" t="n">
        <f aca="false">IF(COUNT('Feijão 2ª safra'!$E62:$Z62)=0,0,MAX(0,IF((H$6-$E$3)&lt;1,0,IFERROR(LOOKUP(2,1/('Feijão 2ª safra'!$E62:INDEX('Feijão 2ª safra'!$E62:$Z62,MIN(H$6-$E$3,22))&lt;&gt;""),'Feijão 2ª safra'!$E62:INDEX('Feijão 2ª safra'!$E62:$Z62,MIN(H$6-$E$3,22))),0))-IF($G$2,0,IF((H$6-$G$3)&lt;1,0,IFERROR(LOOKUP(2,1/('Feijão 2ª safra'!$E62:INDEX('Feijão 2ª safra'!$E62:$Z62,MIN(H$6-$G$3,22))&lt;&gt;""),'Feijão 2ª safra'!$E62:INDEX('Feijão 2ª safra'!$E62:$Z62,MIN(H$6-$G$3,22))),0)))))</f>
        <v>0</v>
      </c>
      <c r="I64" s="27" t="n">
        <f aca="false">IF(COUNT('Feijão 2ª safra'!$E62:$Z62)=0,0,MAX(0,IF((I$6-$E$3)&lt;1,0,IFERROR(LOOKUP(2,1/('Feijão 2ª safra'!$E62:INDEX('Feijão 2ª safra'!$E62:$Z62,MIN(I$6-$E$3,22))&lt;&gt;""),'Feijão 2ª safra'!$E62:INDEX('Feijão 2ª safra'!$E62:$Z62,MIN(I$6-$E$3,22))),0))-IF($G$2,0,IF((I$6-$G$3)&lt;1,0,IFERROR(LOOKUP(2,1/('Feijão 2ª safra'!$E62:INDEX('Feijão 2ª safra'!$E62:$Z62,MIN(I$6-$G$3,22))&lt;&gt;""),'Feijão 2ª safra'!$E62:INDEX('Feijão 2ª safra'!$E62:$Z62,MIN(I$6-$G$3,22))),0)))))</f>
        <v>0</v>
      </c>
      <c r="J64" s="27" t="n">
        <f aca="false">IF(COUNT('Feijão 2ª safra'!$E62:$Z62)=0,0,MAX(0,IF((J$6-$E$3)&lt;1,0,IFERROR(LOOKUP(2,1/('Feijão 2ª safra'!$E62:INDEX('Feijão 2ª safra'!$E62:$Z62,MIN(J$6-$E$3,22))&lt;&gt;""),'Feijão 2ª safra'!$E62:INDEX('Feijão 2ª safra'!$E62:$Z62,MIN(J$6-$E$3,22))),0))-IF($G$2,0,IF((J$6-$G$3)&lt;1,0,IFERROR(LOOKUP(2,1/('Feijão 2ª safra'!$E62:INDEX('Feijão 2ª safra'!$E62:$Z62,MIN(J$6-$G$3,22))&lt;&gt;""),'Feijão 2ª safra'!$E62:INDEX('Feijão 2ª safra'!$E62:$Z62,MIN(J$6-$G$3,22))),0)))))</f>
        <v>0</v>
      </c>
      <c r="K64" s="27" t="n">
        <f aca="false">IF(COUNT('Feijão 2ª safra'!$E62:$Z62)=0,0,MAX(0,IF((K$6-$E$3)&lt;1,0,IFERROR(LOOKUP(2,1/('Feijão 2ª safra'!$E62:INDEX('Feijão 2ª safra'!$E62:$Z62,MIN(K$6-$E$3,22))&lt;&gt;""),'Feijão 2ª safra'!$E62:INDEX('Feijão 2ª safra'!$E62:$Z62,MIN(K$6-$E$3,22))),0))-IF($G$2,0,IF((K$6-$G$3)&lt;1,0,IFERROR(LOOKUP(2,1/('Feijão 2ª safra'!$E62:INDEX('Feijão 2ª safra'!$E62:$Z62,MIN(K$6-$G$3,22))&lt;&gt;""),'Feijão 2ª safra'!$E62:INDEX('Feijão 2ª safra'!$E62:$Z62,MIN(K$6-$G$3,22))),0)))))</f>
        <v>0</v>
      </c>
      <c r="L64" s="27" t="n">
        <f aca="false">IF(COUNT('Feijão 2ª safra'!$E62:$Z62)=0,0,MAX(0,IF((L$6-$E$3)&lt;1,0,IFERROR(LOOKUP(2,1/('Feijão 2ª safra'!$E62:INDEX('Feijão 2ª safra'!$E62:$Z62,MIN(L$6-$E$3,22))&lt;&gt;""),'Feijão 2ª safra'!$E62:INDEX('Feijão 2ª safra'!$E62:$Z62,MIN(L$6-$E$3,22))),0))-IF($G$2,0,IF((L$6-$G$3)&lt;1,0,IFERROR(LOOKUP(2,1/('Feijão 2ª safra'!$E62:INDEX('Feijão 2ª safra'!$E62:$Z62,MIN(L$6-$G$3,22))&lt;&gt;""),'Feijão 2ª safra'!$E62:INDEX('Feijão 2ª safra'!$E62:$Z62,MIN(L$6-$G$3,22))),0)))))</f>
        <v>0</v>
      </c>
      <c r="M64" s="27" t="n">
        <f aca="false">IF(COUNT('Feijão 2ª safra'!$E62:$Z62)=0,0,MAX(0,IF((M$6-$E$3)&lt;1,0,IFERROR(LOOKUP(2,1/('Feijão 2ª safra'!$E62:INDEX('Feijão 2ª safra'!$E62:$Z62,MIN(M$6-$E$3,22))&lt;&gt;""),'Feijão 2ª safra'!$E62:INDEX('Feijão 2ª safra'!$E62:$Z62,MIN(M$6-$E$3,22))),0))-IF($G$2,0,IF((M$6-$G$3)&lt;1,0,IFERROR(LOOKUP(2,1/('Feijão 2ª safra'!$E62:INDEX('Feijão 2ª safra'!$E62:$Z62,MIN(M$6-$G$3,22))&lt;&gt;""),'Feijão 2ª safra'!$E62:INDEX('Feijão 2ª safra'!$E62:$Z62,MIN(M$6-$G$3,22))),0)))))</f>
        <v>0</v>
      </c>
      <c r="N64" s="27" t="n">
        <f aca="false">IF(COUNT('Feijão 2ª safra'!$E62:$Z62)=0,0,MAX(0,IF((N$6-$E$3)&lt;1,0,IFERROR(LOOKUP(2,1/('Feijão 2ª safra'!$E62:INDEX('Feijão 2ª safra'!$E62:$Z62,MIN(N$6-$E$3,22))&lt;&gt;""),'Feijão 2ª safra'!$E62:INDEX('Feijão 2ª safra'!$E62:$Z62,MIN(N$6-$E$3,22))),0))-IF($G$2,0,IF((N$6-$G$3)&lt;1,0,IFERROR(LOOKUP(2,1/('Feijão 2ª safra'!$E62:INDEX('Feijão 2ª safra'!$E62:$Z62,MIN(N$6-$G$3,22))&lt;&gt;""),'Feijão 2ª safra'!$E62:INDEX('Feijão 2ª safra'!$E62:$Z62,MIN(N$6-$G$3,22))),0)))))</f>
        <v>0</v>
      </c>
      <c r="O64" s="27" t="n">
        <f aca="false">IF(COUNT('Feijão 2ª safra'!$E62:$Z62)=0,0,MAX(0,IF((O$6-$E$3)&lt;1,0,IFERROR(LOOKUP(2,1/('Feijão 2ª safra'!$E62:INDEX('Feijão 2ª safra'!$E62:$Z62,MIN(O$6-$E$3,22))&lt;&gt;""),'Feijão 2ª safra'!$E62:INDEX('Feijão 2ª safra'!$E62:$Z62,MIN(O$6-$E$3,22))),0))-IF($G$2,0,IF((O$6-$G$3)&lt;1,0,IFERROR(LOOKUP(2,1/('Feijão 2ª safra'!$E62:INDEX('Feijão 2ª safra'!$E62:$Z62,MIN(O$6-$G$3,22))&lt;&gt;""),'Feijão 2ª safra'!$E62:INDEX('Feijão 2ª safra'!$E62:$Z62,MIN(O$6-$G$3,22))),0)))))</f>
        <v>0</v>
      </c>
      <c r="P64" s="27" t="n">
        <f aca="false">IF(COUNT('Feijão 2ª safra'!$E62:$Z62)=0,0,MAX(0,IF((P$6-$E$3)&lt;1,0,IFERROR(LOOKUP(2,1/('Feijão 2ª safra'!$E62:INDEX('Feijão 2ª safra'!$E62:$Z62,MIN(P$6-$E$3,22))&lt;&gt;""),'Feijão 2ª safra'!$E62:INDEX('Feijão 2ª safra'!$E62:$Z62,MIN(P$6-$E$3,22))),0))-IF($G$2,0,IF((P$6-$G$3)&lt;1,0,IFERROR(LOOKUP(2,1/('Feijão 2ª safra'!$E62:INDEX('Feijão 2ª safra'!$E62:$Z62,MIN(P$6-$G$3,22))&lt;&gt;""),'Feijão 2ª safra'!$E62:INDEX('Feijão 2ª safra'!$E62:$Z62,MIN(P$6-$G$3,22))),0)))))</f>
        <v>0</v>
      </c>
      <c r="Q64" s="27" t="n">
        <f aca="false">IF(COUNT('Feijão 2ª safra'!$E62:$Z62)=0,0,MAX(0,IF((Q$6-$E$3)&lt;1,0,IFERROR(LOOKUP(2,1/('Feijão 2ª safra'!$E62:INDEX('Feijão 2ª safra'!$E62:$Z62,MIN(Q$6-$E$3,22))&lt;&gt;""),'Feijão 2ª safra'!$E62:INDEX('Feijão 2ª safra'!$E62:$Z62,MIN(Q$6-$E$3,22))),0))-IF($G$2,0,IF((Q$6-$G$3)&lt;1,0,IFERROR(LOOKUP(2,1/('Feijão 2ª safra'!$E62:INDEX('Feijão 2ª safra'!$E62:$Z62,MIN(Q$6-$G$3,22))&lt;&gt;""),'Feijão 2ª safra'!$E62:INDEX('Feijão 2ª safra'!$E62:$Z62,MIN(Q$6-$G$3,22))),0)))))</f>
        <v>0</v>
      </c>
      <c r="R64" s="27" t="n">
        <f aca="false">IF(COUNT('Feijão 2ª safra'!$E62:$Z62)=0,0,MAX(0,IF((R$6-$E$3)&lt;1,0,IFERROR(LOOKUP(2,1/('Feijão 2ª safra'!$E62:INDEX('Feijão 2ª safra'!$E62:$Z62,MIN(R$6-$E$3,22))&lt;&gt;""),'Feijão 2ª safra'!$E62:INDEX('Feijão 2ª safra'!$E62:$Z62,MIN(R$6-$E$3,22))),0))-IF($G$2,0,IF((R$6-$G$3)&lt;1,0,IFERROR(LOOKUP(2,1/('Feijão 2ª safra'!$E62:INDEX('Feijão 2ª safra'!$E62:$Z62,MIN(R$6-$G$3,22))&lt;&gt;""),'Feijão 2ª safra'!$E62:INDEX('Feijão 2ª safra'!$E62:$Z62,MIN(R$6-$G$3,22))),0)))))</f>
        <v>0</v>
      </c>
      <c r="S64" s="27" t="n">
        <f aca="false">IF(COUNT('Feijão 2ª safra'!$E62:$Z62)=0,0,MAX(0,IF((S$6-$E$3)&lt;1,0,IFERROR(LOOKUP(2,1/('Feijão 2ª safra'!$E62:INDEX('Feijão 2ª safra'!$E62:$Z62,MIN(S$6-$E$3,22))&lt;&gt;""),'Feijão 2ª safra'!$E62:INDEX('Feijão 2ª safra'!$E62:$Z62,MIN(S$6-$E$3,22))),0))-IF($G$2,0,IF((S$6-$G$3)&lt;1,0,IFERROR(LOOKUP(2,1/('Feijão 2ª safra'!$E62:INDEX('Feijão 2ª safra'!$E62:$Z62,MIN(S$6-$G$3,22))&lt;&gt;""),'Feijão 2ª safra'!$E62:INDEX('Feijão 2ª safra'!$E62:$Z62,MIN(S$6-$G$3,22))),0)))))</f>
        <v>0</v>
      </c>
      <c r="T64" s="27" t="n">
        <f aca="false">IF(COUNT('Feijão 2ª safra'!$E62:$Z62)=0,0,MAX(0,IF((T$6-$E$3)&lt;1,0,IFERROR(LOOKUP(2,1/('Feijão 2ª safra'!$E62:INDEX('Feijão 2ª safra'!$E62:$Z62,MIN(T$6-$E$3,22))&lt;&gt;""),'Feijão 2ª safra'!$E62:INDEX('Feijão 2ª safra'!$E62:$Z62,MIN(T$6-$E$3,22))),0))-IF($G$2,0,IF((T$6-$G$3)&lt;1,0,IFERROR(LOOKUP(2,1/('Feijão 2ª safra'!$E62:INDEX('Feijão 2ª safra'!$E62:$Z62,MIN(T$6-$G$3,22))&lt;&gt;""),'Feijão 2ª safra'!$E62:INDEX('Feijão 2ª safra'!$E62:$Z62,MIN(T$6-$G$3,22))),0)))))</f>
        <v>0</v>
      </c>
      <c r="U64" s="27" t="n">
        <f aca="false">IF(COUNT('Feijão 2ª safra'!$E62:$Z62)=0,0,MAX(0,IF((U$6-$E$3)&lt;1,0,IFERROR(LOOKUP(2,1/('Feijão 2ª safra'!$E62:INDEX('Feijão 2ª safra'!$E62:$Z62,MIN(U$6-$E$3,22))&lt;&gt;""),'Feijão 2ª safra'!$E62:INDEX('Feijão 2ª safra'!$E62:$Z62,MIN(U$6-$E$3,22))),0))-IF($G$2,0,IF((U$6-$G$3)&lt;1,0,IFERROR(LOOKUP(2,1/('Feijão 2ª safra'!$E62:INDEX('Feijão 2ª safra'!$E62:$Z62,MIN(U$6-$G$3,22))&lt;&gt;""),'Feijão 2ª safra'!$E62:INDEX('Feijão 2ª safra'!$E62:$Z62,MIN(U$6-$G$3,22))),0)))))</f>
        <v>0</v>
      </c>
      <c r="V64" s="27" t="n">
        <f aca="false">IF(COUNT('Feijão 2ª safra'!$E62:$Z62)=0,0,MAX(0,IF((V$6-$E$3)&lt;1,0,IFERROR(LOOKUP(2,1/('Feijão 2ª safra'!$E62:INDEX('Feijão 2ª safra'!$E62:$Z62,MIN(V$6-$E$3,22))&lt;&gt;""),'Feijão 2ª safra'!$E62:INDEX('Feijão 2ª safra'!$E62:$Z62,MIN(V$6-$E$3,22))),0))-IF($G$2,0,IF((V$6-$G$3)&lt;1,0,IFERROR(LOOKUP(2,1/('Feijão 2ª safra'!$E62:INDEX('Feijão 2ª safra'!$E62:$Z62,MIN(V$6-$G$3,22))&lt;&gt;""),'Feijão 2ª safra'!$E62:INDEX('Feijão 2ª safra'!$E62:$Z62,MIN(V$6-$G$3,22))),0)))))</f>
        <v>0</v>
      </c>
      <c r="W64" s="27" t="n">
        <f aca="false">IF(COUNT('Feijão 2ª safra'!$E62:$Z62)=0,0,MAX(0,IF((W$6-$E$3)&lt;1,0,IFERROR(LOOKUP(2,1/('Feijão 2ª safra'!$E62:INDEX('Feijão 2ª safra'!$E62:$Z62,MIN(W$6-$E$3,22))&lt;&gt;""),'Feijão 2ª safra'!$E62:INDEX('Feijão 2ª safra'!$E62:$Z62,MIN(W$6-$E$3,22))),0))-IF($G$2,0,IF((W$6-$G$3)&lt;1,0,IFERROR(LOOKUP(2,1/('Feijão 2ª safra'!$E62:INDEX('Feijão 2ª safra'!$E62:$Z62,MIN(W$6-$G$3,22))&lt;&gt;""),'Feijão 2ª safra'!$E62:INDEX('Feijão 2ª safra'!$E62:$Z62,MIN(W$6-$G$3,22))),0)))))</f>
        <v>0</v>
      </c>
      <c r="X64" s="27" t="n">
        <f aca="false">IF(COUNT('Feijão 2ª safra'!$E62:$Z62)=0,0,MAX(0,IF((X$6-$E$3)&lt;1,0,IFERROR(LOOKUP(2,1/('Feijão 2ª safra'!$E62:INDEX('Feijão 2ª safra'!$E62:$Z62,MIN(X$6-$E$3,22))&lt;&gt;""),'Feijão 2ª safra'!$E62:INDEX('Feijão 2ª safra'!$E62:$Z62,MIN(X$6-$E$3,22))),0))-IF($G$2,0,IF((X$6-$G$3)&lt;1,0,IFERROR(LOOKUP(2,1/('Feijão 2ª safra'!$E62:INDEX('Feijão 2ª safra'!$E62:$Z62,MIN(X$6-$G$3,22))&lt;&gt;""),'Feijão 2ª safra'!$E62:INDEX('Feijão 2ª safra'!$E62:$Z62,MIN(X$6-$G$3,22))),0)))))</f>
        <v>0</v>
      </c>
      <c r="Y64" s="27" t="n">
        <f aca="false">IF(COUNT('Feijão 2ª safra'!$E62:$Z62)=0,0,MAX(0,IF((Y$6-$E$3)&lt;1,0,IFERROR(LOOKUP(2,1/('Feijão 2ª safra'!$E62:INDEX('Feijão 2ª safra'!$E62:$Z62,MIN(Y$6-$E$3,22))&lt;&gt;""),'Feijão 2ª safra'!$E62:INDEX('Feijão 2ª safra'!$E62:$Z62,MIN(Y$6-$E$3,22))),0))-IF($G$2,0,IF((Y$6-$G$3)&lt;1,0,IFERROR(LOOKUP(2,1/('Feijão 2ª safra'!$E62:INDEX('Feijão 2ª safra'!$E62:$Z62,MIN(Y$6-$G$3,22))&lt;&gt;""),'Feijão 2ª safra'!$E62:INDEX('Feijão 2ª safra'!$E62:$Z62,MIN(Y$6-$G$3,22))),0)))))</f>
        <v>0</v>
      </c>
      <c r="Z64" s="27" t="n">
        <f aca="false">IF(COUNT('Feijão 2ª safra'!$E62:$Z62)=0,0,MAX(0,IF((Z$6-$E$3)&lt;1,0,IFERROR(LOOKUP(2,1/('Feijão 2ª safra'!$E62:INDEX('Feijão 2ª safra'!$E62:$Z62,MIN(Z$6-$E$3,22))&lt;&gt;""),'Feijão 2ª safra'!$E62:INDEX('Feijão 2ª safra'!$E62:$Z62,MIN(Z$6-$E$3,22))),0))-IF($G$2,0,IF((Z$6-$G$3)&lt;1,0,IFERROR(LOOKUP(2,1/('Feijão 2ª safra'!$E62:INDEX('Feijão 2ª safra'!$E62:$Z62,MIN(Z$6-$G$3,22))&lt;&gt;""),'Feijão 2ª safra'!$E62:INDEX('Feijão 2ª safra'!$E62:$Z62,MIN(Z$6-$G$3,22))),0)))))</f>
        <v>0</v>
      </c>
      <c r="AA64" s="27" t="n">
        <f aca="false">IF(COUNT('Feijão 2ª safra'!$E62:$Z62)=0,0,MAX(0,IF((AA$6-$E$3)&lt;1,0,IFERROR(LOOKUP(2,1/('Feijão 2ª safra'!$E62:INDEX('Feijão 2ª safra'!$E62:$Z62,MIN(AA$6-$E$3,22))&lt;&gt;""),'Feijão 2ª safra'!$E62:INDEX('Feijão 2ª safra'!$E62:$Z62,MIN(AA$6-$E$3,22))),0))-IF($G$2,0,IF((AA$6-$G$3)&lt;1,0,IFERROR(LOOKUP(2,1/('Feijão 2ª safra'!$E62:INDEX('Feijão 2ª safra'!$E62:$Z62,MIN(AA$6-$G$3,22))&lt;&gt;""),'Feijão 2ª safra'!$E62:INDEX('Feijão 2ª safra'!$E62:$Z62,MIN(AA$6-$G$3,22))),0)))))</f>
        <v>0</v>
      </c>
      <c r="AB64" s="27" t="n">
        <f aca="false">IF(COUNT('Feijão 2ª safra'!$E62:$Z62)=0,0,MAX(0,IF((AB$6-$E$3)&lt;1,0,IFERROR(LOOKUP(2,1/('Feijão 2ª safra'!$E62:INDEX('Feijão 2ª safra'!$E62:$Z62,MIN(AB$6-$E$3,22))&lt;&gt;""),'Feijão 2ª safra'!$E62:INDEX('Feijão 2ª safra'!$E62:$Z62,MIN(AB$6-$E$3,22))),0))-IF($G$2,0,IF((AB$6-$G$3)&lt;1,0,IFERROR(LOOKUP(2,1/('Feijão 2ª safra'!$E62:INDEX('Feijão 2ª safra'!$E62:$Z62,MIN(AB$6-$G$3,22))&lt;&gt;""),'Feijão 2ª safra'!$E62:INDEX('Feijão 2ª safra'!$E62:$Z62,MIN(AB$6-$G$3,22))),0)))))</f>
        <v>0</v>
      </c>
      <c r="AC64" s="27" t="n">
        <f aca="false">IF(COUNT('Feijão 2ª safra'!$E62:$Z62)=0,0,MAX(0,IF((AC$6-$E$3)&lt;1,0,IFERROR(LOOKUP(2,1/('Feijão 2ª safra'!$E62:INDEX('Feijão 2ª safra'!$E62:$Z62,MIN(AC$6-$E$3,22))&lt;&gt;""),'Feijão 2ª safra'!$E62:INDEX('Feijão 2ª safra'!$E62:$Z62,MIN(AC$6-$E$3,22))),0))-IF($G$2,0,IF((AC$6-$G$3)&lt;1,0,IFERROR(LOOKUP(2,1/('Feijão 2ª safra'!$E62:INDEX('Feijão 2ª safra'!$E62:$Z62,MIN(AC$6-$G$3,22))&lt;&gt;""),'Feijão 2ª safra'!$E62:INDEX('Feijão 2ª safra'!$E62:$Z62,MIN(AC$6-$G$3,22))),0)))))</f>
        <v>0</v>
      </c>
      <c r="AD64" s="27" t="n">
        <f aca="false">IF(COUNT('Feijão 2ª safra'!$E62:$Z62)=0,0,MAX(0,IF((AD$6-$E$3)&lt;1,0,IFERROR(LOOKUP(2,1/('Feijão 2ª safra'!$E62:INDEX('Feijão 2ª safra'!$E62:$Z62,MIN(AD$6-$E$3,22))&lt;&gt;""),'Feijão 2ª safra'!$E62:INDEX('Feijão 2ª safra'!$E62:$Z62,MIN(AD$6-$E$3,22))),0))-IF($G$2,0,IF((AD$6-$G$3)&lt;1,0,IFERROR(LOOKUP(2,1/('Feijão 2ª safra'!$E62:INDEX('Feijão 2ª safra'!$E62:$Z62,MIN(AD$6-$G$3,22))&lt;&gt;""),'Feijão 2ª safra'!$E62:INDEX('Feijão 2ª safra'!$E62:$Z62,MIN(AD$6-$G$3,22))),0)))))</f>
        <v>0</v>
      </c>
      <c r="AE64" s="27" t="n">
        <f aca="false">IF(COUNT('Feijão 2ª safra'!$E62:$Z62)=0,0,MAX(0,IF((AE$6-$E$3)&lt;1,0,IFERROR(LOOKUP(2,1/('Feijão 2ª safra'!$E62:INDEX('Feijão 2ª safra'!$E62:$Z62,MIN(AE$6-$E$3,22))&lt;&gt;""),'Feijão 2ª safra'!$E62:INDEX('Feijão 2ª safra'!$E62:$Z62,MIN(AE$6-$E$3,22))),0))-IF($G$2,0,IF((AE$6-$G$3)&lt;1,0,IFERROR(LOOKUP(2,1/('Feijão 2ª safra'!$E62:INDEX('Feijão 2ª safra'!$E62:$Z62,MIN(AE$6-$G$3,22))&lt;&gt;""),'Feijão 2ª safra'!$E62:INDEX('Feijão 2ª safra'!$E62:$Z62,MIN(AE$6-$G$3,22))),0)))))</f>
        <v>0</v>
      </c>
      <c r="AF64" s="27" t="n">
        <f aca="false">IF(COUNT('Feijão 2ª safra'!$E62:$Z62)=0,0,MAX(0,IF((AF$6-$E$3)&lt;1,0,IFERROR(LOOKUP(2,1/('Feijão 2ª safra'!$E62:INDEX('Feijão 2ª safra'!$E62:$Z62,MIN(AF$6-$E$3,22))&lt;&gt;""),'Feijão 2ª safra'!$E62:INDEX('Feijão 2ª safra'!$E62:$Z62,MIN(AF$6-$E$3,22))),0))-IF($G$2,0,IF((AF$6-$G$3)&lt;1,0,IFERROR(LOOKUP(2,1/('Feijão 2ª safra'!$E62:INDEX('Feijão 2ª safra'!$E62:$Z62,MIN(AF$6-$G$3,22))&lt;&gt;""),'Feijão 2ª safra'!$E62:INDEX('Feijão 2ª safra'!$E62:$Z62,MIN(AF$6-$G$3,22))),0)))))</f>
        <v>0</v>
      </c>
      <c r="AG64" s="27" t="n">
        <f aca="false">IF(COUNT('Feijão 2ª safra'!$E62:$Z62)=0,0,MAX(0,IF((AG$6-$E$3)&lt;1,0,IFERROR(LOOKUP(2,1/('Feijão 2ª safra'!$E62:INDEX('Feijão 2ª safra'!$E62:$Z62,MIN(AG$6-$E$3,22))&lt;&gt;""),'Feijão 2ª safra'!$E62:INDEX('Feijão 2ª safra'!$E62:$Z62,MIN(AG$6-$E$3,22))),0))-IF($G$2,0,IF((AG$6-$G$3)&lt;1,0,IFERROR(LOOKUP(2,1/('Feijão 2ª safra'!$E62:INDEX('Feijão 2ª safra'!$E62:$Z62,MIN(AG$6-$G$3,22))&lt;&gt;""),'Feijão 2ª safra'!$E62:INDEX('Feijão 2ª safra'!$E62:$Z62,MIN(AG$6-$G$3,22))),0)))))</f>
        <v>0</v>
      </c>
      <c r="AH64" s="27" t="n">
        <f aca="false">IF(COUNT('Feijão 2ª safra'!$E62:$Z62)=0,0,MAX(0,IF((AH$6-$E$3)&lt;1,0,IFERROR(LOOKUP(2,1/('Feijão 2ª safra'!$E62:INDEX('Feijão 2ª safra'!$E62:$Z62,MIN(AH$6-$E$3,22))&lt;&gt;""),'Feijão 2ª safra'!$E62:INDEX('Feijão 2ª safra'!$E62:$Z62,MIN(AH$6-$E$3,22))),0))-IF($G$2,0,IF((AH$6-$G$3)&lt;1,0,IFERROR(LOOKUP(2,1/('Feijão 2ª safra'!$E62:INDEX('Feijão 2ª safra'!$E62:$Z62,MIN(AH$6-$G$3,22))&lt;&gt;""),'Feijão 2ª safra'!$E62:INDEX('Feijão 2ª safra'!$E62:$Z62,MIN(AH$6-$G$3,22))),0)))))</f>
        <v>0</v>
      </c>
      <c r="AI64" s="27" t="n">
        <f aca="false">IF(COUNT('Feijão 2ª safra'!$E62:$Z62)=0,0,MAX(0,IF((AI$6-$E$3)&lt;1,0,IFERROR(LOOKUP(2,1/('Feijão 2ª safra'!$E62:INDEX('Feijão 2ª safra'!$E62:$Z62,MIN(AI$6-$E$3,22))&lt;&gt;""),'Feijão 2ª safra'!$E62:INDEX('Feijão 2ª safra'!$E62:$Z62,MIN(AI$6-$E$3,22))),0))-IF($G$2,0,IF((AI$6-$G$3)&lt;1,0,IFERROR(LOOKUP(2,1/('Feijão 2ª safra'!$E62:INDEX('Feijão 2ª safra'!$E62:$Z62,MIN(AI$6-$G$3,22))&lt;&gt;""),'Feijão 2ª safra'!$E62:INDEX('Feijão 2ª safra'!$E62:$Z62,MIN(AI$6-$G$3,22))),0)))))</f>
        <v>0</v>
      </c>
      <c r="AJ64" s="27" t="n">
        <f aca="false">IF(COUNT('Feijão 2ª safra'!$E62:$Z62)=0,0,MAX(0,IF((AJ$6-$E$3)&lt;1,0,IFERROR(LOOKUP(2,1/('Feijão 2ª safra'!$E62:INDEX('Feijão 2ª safra'!$E62:$Z62,MIN(AJ$6-$E$3,22))&lt;&gt;""),'Feijão 2ª safra'!$E62:INDEX('Feijão 2ª safra'!$E62:$Z62,MIN(AJ$6-$E$3,22))),0))-IF($G$2,0,IF((AJ$6-$G$3)&lt;1,0,IFERROR(LOOKUP(2,1/('Feijão 2ª safra'!$E62:INDEX('Feijão 2ª safra'!$E62:$Z62,MIN(AJ$6-$G$3,22))&lt;&gt;""),'Feijão 2ª safra'!$E62:INDEX('Feijão 2ª safra'!$E62:$Z62,MIN(AJ$6-$G$3,22))),0)))))</f>
        <v>0</v>
      </c>
      <c r="AK64" s="27" t="n">
        <f aca="false">IF(COUNT('Feijão 2ª safra'!$E62:$Z62)=0,0,MAX(0,IF((AK$6-$E$3)&lt;1,0,IFERROR(LOOKUP(2,1/('Feijão 2ª safra'!$E62:INDEX('Feijão 2ª safra'!$E62:$Z62,MIN(AK$6-$E$3,22))&lt;&gt;""),'Feijão 2ª safra'!$E62:INDEX('Feijão 2ª safra'!$E62:$Z62,MIN(AK$6-$E$3,22))),0))-IF($G$2,0,IF((AK$6-$G$3)&lt;1,0,IFERROR(LOOKUP(2,1/('Feijão 2ª safra'!$E62:INDEX('Feijão 2ª safra'!$E62:$Z62,MIN(AK$6-$G$3,22))&lt;&gt;""),'Feijão 2ª safra'!$E62:INDEX('Feijão 2ª safra'!$E62:$Z62,MIN(AK$6-$G$3,22))),0)))))</f>
        <v>0</v>
      </c>
      <c r="AL64" s="27" t="n">
        <f aca="false">IF(COUNT('Feijão 2ª safra'!$E62:$Z62)=0,0,MAX(0,IF((AL$6-$E$3)&lt;1,0,IFERROR(LOOKUP(2,1/('Feijão 2ª safra'!$E62:INDEX('Feijão 2ª safra'!$E62:$Z62,MIN(AL$6-$E$3,22))&lt;&gt;""),'Feijão 2ª safra'!$E62:INDEX('Feijão 2ª safra'!$E62:$Z62,MIN(AL$6-$E$3,22))),0))-IF($G$2,0,IF((AL$6-$G$3)&lt;1,0,IFERROR(LOOKUP(2,1/('Feijão 2ª safra'!$E62:INDEX('Feijão 2ª safra'!$E62:$Z62,MIN(AL$6-$G$3,22))&lt;&gt;""),'Feijão 2ª safra'!$E62:INDEX('Feijão 2ª safra'!$E62:$Z62,MIN(AL$6-$G$3,22))),0)))))</f>
        <v>0</v>
      </c>
      <c r="AM64" s="27" t="n">
        <f aca="false">IF(COUNT('Feijão 2ª safra'!$E62:$Z62)=0,0,MAX(0,IF((AM$6-$E$3)&lt;1,0,IFERROR(LOOKUP(2,1/('Feijão 2ª safra'!$E62:INDEX('Feijão 2ª safra'!$E62:$Z62,MIN(AM$6-$E$3,22))&lt;&gt;""),'Feijão 2ª safra'!$E62:INDEX('Feijão 2ª safra'!$E62:$Z62,MIN(AM$6-$E$3,22))),0))-IF($G$2,0,IF((AM$6-$G$3)&lt;1,0,IFERROR(LOOKUP(2,1/('Feijão 2ª safra'!$E62:INDEX('Feijão 2ª safra'!$E62:$Z62,MIN(AM$6-$G$3,22))&lt;&gt;""),'Feijão 2ª safra'!$E62:INDEX('Feijão 2ª safra'!$E62:$Z62,MIN(AM$6-$G$3,22))),0)))))</f>
        <v>0</v>
      </c>
      <c r="AN64" s="27" t="n">
        <f aca="false">IF(COUNT('Feijão 2ª safra'!$E62:$Z62)=0,0,MAX(0,IF((AN$6-$E$3)&lt;1,0,IFERROR(LOOKUP(2,1/('Feijão 2ª safra'!$E62:INDEX('Feijão 2ª safra'!$E62:$Z62,MIN(AN$6-$E$3,22))&lt;&gt;""),'Feijão 2ª safra'!$E62:INDEX('Feijão 2ª safra'!$E62:$Z62,MIN(AN$6-$E$3,22))),0))-IF($G$2,0,IF((AN$6-$G$3)&lt;1,0,IFERROR(LOOKUP(2,1/('Feijão 2ª safra'!$E62:INDEX('Feijão 2ª safra'!$E62:$Z62,MIN(AN$6-$G$3,22))&lt;&gt;""),'Feijão 2ª safra'!$E62:INDEX('Feijão 2ª safra'!$E62:$Z62,MIN(AN$6-$G$3,22))),0)))))</f>
        <v>0</v>
      </c>
      <c r="AO64" s="27" t="n">
        <f aca="false">IF(COUNT('Feijão 2ª safra'!$E62:$Z62)=0,0,MAX(0,IF((AO$6-$E$3)&lt;1,0,IFERROR(LOOKUP(2,1/('Feijão 2ª safra'!$E62:INDEX('Feijão 2ª safra'!$E62:$Z62,MIN(AO$6-$E$3,22))&lt;&gt;""),'Feijão 2ª safra'!$E62:INDEX('Feijão 2ª safra'!$E62:$Z62,MIN(AO$6-$E$3,22))),0))-IF($G$2,0,IF((AO$6-$G$3)&lt;1,0,IFERROR(LOOKUP(2,1/('Feijão 2ª safra'!$E62:INDEX('Feijão 2ª safra'!$E62:$Z62,MIN(AO$6-$G$3,22))&lt;&gt;""),'Feijão 2ª safra'!$E62:INDEX('Feijão 2ª safra'!$E62:$Z62,MIN(AO$6-$G$3,22))),0)))))</f>
        <v>0</v>
      </c>
      <c r="AP64" s="27" t="n">
        <f aca="false">IF(COUNT('Feijão 2ª safra'!$E62:$Z62)=0,0,MAX(0,IF((AP$6-$E$3)&lt;1,0,IFERROR(LOOKUP(2,1/('Feijão 2ª safra'!$E62:INDEX('Feijão 2ª safra'!$E62:$Z62,MIN(AP$6-$E$3,22))&lt;&gt;""),'Feijão 2ª safra'!$E62:INDEX('Feijão 2ª safra'!$E62:$Z62,MIN(AP$6-$E$3,22))),0))-IF($G$2,0,IF((AP$6-$G$3)&lt;1,0,IFERROR(LOOKUP(2,1/('Feijão 2ª safra'!$E62:INDEX('Feijão 2ª safra'!$E62:$Z62,MIN(AP$6-$G$3,22))&lt;&gt;""),'Feijão 2ª safra'!$E62:INDEX('Feijão 2ª safra'!$E62:$Z62,MIN(AP$6-$G$3,22))),0)))))</f>
        <v>0</v>
      </c>
      <c r="AQ64" s="27" t="n">
        <f aca="false">IF(COUNT('Feijão 2ª safra'!$E62:$Z62)=0,0,MAX(0,IF((AQ$6-$E$3)&lt;1,0,IFERROR(LOOKUP(2,1/('Feijão 2ª safra'!$E62:INDEX('Feijão 2ª safra'!$E62:$Z62,MIN(AQ$6-$E$3,22))&lt;&gt;""),'Feijão 2ª safra'!$E62:INDEX('Feijão 2ª safra'!$E62:$Z62,MIN(AQ$6-$E$3,22))),0))-IF($G$2,0,IF((AQ$6-$G$3)&lt;1,0,IFERROR(LOOKUP(2,1/('Feijão 2ª safra'!$E62:INDEX('Feijão 2ª safra'!$E62:$Z62,MIN(AQ$6-$G$3,22))&lt;&gt;""),'Feijão 2ª safra'!$E62:INDEX('Feijão 2ª safra'!$E62:$Z62,MIN(AQ$6-$G$3,22))),0)))))</f>
        <v>0</v>
      </c>
      <c r="AR64" s="27" t="n">
        <f aca="false">IF(COUNT('Feijão 2ª safra'!$E62:$Z62)=0,0,MAX(0,IF((AR$6-$E$3)&lt;1,0,IFERROR(LOOKUP(2,1/('Feijão 2ª safra'!$E62:INDEX('Feijão 2ª safra'!$E62:$Z62,MIN(AR$6-$E$3,22))&lt;&gt;""),'Feijão 2ª safra'!$E62:INDEX('Feijão 2ª safra'!$E62:$Z62,MIN(AR$6-$E$3,22))),0))-IF($G$2,0,IF((AR$6-$G$3)&lt;1,0,IFERROR(LOOKUP(2,1/('Feijão 2ª safra'!$E62:INDEX('Feijão 2ª safra'!$E62:$Z62,MIN(AR$6-$G$3,22))&lt;&gt;""),'Feijão 2ª safra'!$E62:INDEX('Feijão 2ª safra'!$E62:$Z62,MIN(AR$6-$G$3,22))),0)))))</f>
        <v>0</v>
      </c>
      <c r="AS64" s="27" t="n">
        <f aca="false">IF(COUNT('Feijão 2ª safra'!$E62:$Z62)=0,0,MAX(0,IF((AS$6-$E$3)&lt;1,0,IFERROR(LOOKUP(2,1/('Feijão 2ª safra'!$E62:INDEX('Feijão 2ª safra'!$E62:$Z62,MIN(AS$6-$E$3,22))&lt;&gt;""),'Feijão 2ª safra'!$E62:INDEX('Feijão 2ª safra'!$E62:$Z62,MIN(AS$6-$E$3,22))),0))-IF($G$2,0,IF((AS$6-$G$3)&lt;1,0,IFERROR(LOOKUP(2,1/('Feijão 2ª safra'!$E62:INDEX('Feijão 2ª safra'!$E62:$Z62,MIN(AS$6-$G$3,22))&lt;&gt;""),'Feijão 2ª safra'!$E62:INDEX('Feijão 2ª safra'!$E62:$Z62,MIN(AS$6-$G$3,22))),0)))))</f>
        <v>0</v>
      </c>
      <c r="AT64" s="27" t="n">
        <f aca="false">IF(COUNT('Feijão 2ª safra'!$E62:$Z62)=0,0,MAX(0,IF((AT$6-$E$3)&lt;1,0,IFERROR(LOOKUP(2,1/('Feijão 2ª safra'!$E62:INDEX('Feijão 2ª safra'!$E62:$Z62,MIN(AT$6-$E$3,22))&lt;&gt;""),'Feijão 2ª safra'!$E62:INDEX('Feijão 2ª safra'!$E62:$Z62,MIN(AT$6-$E$3,22))),0))-IF($G$2,0,IF((AT$6-$G$3)&lt;1,0,IFERROR(LOOKUP(2,1/('Feijão 2ª safra'!$E62:INDEX('Feijão 2ª safra'!$E62:$Z62,MIN(AT$6-$G$3,22))&lt;&gt;""),'Feijão 2ª safra'!$E62:INDEX('Feijão 2ª safra'!$E62:$Z62,MIN(AT$6-$G$3,22))),0)))))</f>
        <v>0</v>
      </c>
      <c r="AU64" s="27" t="n">
        <f aca="false">IF(COUNT('Feijão 2ª safra'!$E62:$Z62)=0,0,MAX(0,IF((AU$6-$E$3)&lt;1,0,IFERROR(LOOKUP(2,1/('Feijão 2ª safra'!$E62:INDEX('Feijão 2ª safra'!$E62:$Z62,MIN(AU$6-$E$3,22))&lt;&gt;""),'Feijão 2ª safra'!$E62:INDEX('Feijão 2ª safra'!$E62:$Z62,MIN(AU$6-$E$3,22))),0))-IF($G$2,0,IF((AU$6-$G$3)&lt;1,0,IFERROR(LOOKUP(2,1/('Feijão 2ª safra'!$E62:INDEX('Feijão 2ª safra'!$E62:$Z62,MIN(AU$6-$G$3,22))&lt;&gt;""),'Feijão 2ª safra'!$E62:INDEX('Feijão 2ª safra'!$E62:$Z62,MIN(AU$6-$G$3,22))),0)))))</f>
        <v>0</v>
      </c>
      <c r="AV64" s="27" t="n">
        <f aca="false">IF(COUNT('Feijão 2ª safra'!$E62:$Z62)=0,0,MAX(0,IF((AV$6-$E$3)&lt;1,0,IFERROR(LOOKUP(2,1/('Feijão 2ª safra'!$E62:INDEX('Feijão 2ª safra'!$E62:$Z62,MIN(AV$6-$E$3,22))&lt;&gt;""),'Feijão 2ª safra'!$E62:INDEX('Feijão 2ª safra'!$E62:$Z62,MIN(AV$6-$E$3,22))),0))-IF($G$2,0,IF((AV$6-$G$3)&lt;1,0,IFERROR(LOOKUP(2,1/('Feijão 2ª safra'!$E62:INDEX('Feijão 2ª safra'!$E62:$Z62,MIN(AV$6-$G$3,22))&lt;&gt;""),'Feijão 2ª safra'!$E62:INDEX('Feijão 2ª safra'!$E62:$Z62,MIN(AV$6-$G$3,22))),0)))))</f>
        <v>0</v>
      </c>
      <c r="AW64" s="27" t="n">
        <f aca="false">IF(COUNT('Feijão 2ª safra'!$E62:$Z62)=0,0,MAX(0,IF((AW$6-$E$3)&lt;1,0,IFERROR(LOOKUP(2,1/('Feijão 2ª safra'!$E62:INDEX('Feijão 2ª safra'!$E62:$Z62,MIN(AW$6-$E$3,22))&lt;&gt;""),'Feijão 2ª safra'!$E62:INDEX('Feijão 2ª safra'!$E62:$Z62,MIN(AW$6-$E$3,22))),0))-IF($G$2,0,IF((AW$6-$G$3)&lt;1,0,IFERROR(LOOKUP(2,1/('Feijão 2ª safra'!$E62:INDEX('Feijão 2ª safra'!$E62:$Z62,MIN(AW$6-$G$3,22))&lt;&gt;""),'Feijão 2ª safra'!$E62:INDEX('Feijão 2ª safra'!$E62:$Z62,MIN(AW$6-$G$3,22))),0)))))</f>
        <v>0</v>
      </c>
      <c r="AX64" s="27" t="n">
        <f aca="false">IF(COUNT('Feijão 2ª safra'!$E62:$Z62)=0,0,MAX(0,IF((AX$6-$E$3)&lt;1,0,IFERROR(LOOKUP(2,1/('Feijão 2ª safra'!$E62:INDEX('Feijão 2ª safra'!$E62:$Z62,MIN(AX$6-$E$3,22))&lt;&gt;""),'Feijão 2ª safra'!$E62:INDEX('Feijão 2ª safra'!$E62:$Z62,MIN(AX$6-$E$3,22))),0))-IF($G$2,0,IF((AX$6-$G$3)&lt;1,0,IFERROR(LOOKUP(2,1/('Feijão 2ª safra'!$E62:INDEX('Feijão 2ª safra'!$E62:$Z62,MIN(AX$6-$G$3,22))&lt;&gt;""),'Feijão 2ª safra'!$E62:INDEX('Feijão 2ª safra'!$E62:$Z62,MIN(AX$6-$G$3,22))),0)))))</f>
        <v>0</v>
      </c>
      <c r="AY64" s="27" t="n">
        <f aca="false">IF(COUNT('Feijão 2ª safra'!$E62:$Z62)=0,0,MAX(0,IF((AY$6-$E$3)&lt;1,0,IFERROR(LOOKUP(2,1/('Feijão 2ª safra'!$E62:INDEX('Feijão 2ª safra'!$E62:$Z62,MIN(AY$6-$E$3,22))&lt;&gt;""),'Feijão 2ª safra'!$E62:INDEX('Feijão 2ª safra'!$E62:$Z62,MIN(AY$6-$E$3,22))),0))-IF($G$2,0,IF((AY$6-$G$3)&lt;1,0,IFERROR(LOOKUP(2,1/('Feijão 2ª safra'!$E62:INDEX('Feijão 2ª safra'!$E62:$Z62,MIN(AY$6-$G$3,22))&lt;&gt;""),'Feijão 2ª safra'!$E62:INDEX('Feijão 2ª safra'!$E62:$Z62,MIN(AY$6-$G$3,22))),0)))))</f>
        <v>0</v>
      </c>
      <c r="AZ64" s="27" t="n">
        <f aca="false">IF(COUNT('Feijão 2ª safra'!$E62:$Z62)=0,0,MAX(0,IF((AZ$6-$E$3)&lt;1,0,IFERROR(LOOKUP(2,1/('Feijão 2ª safra'!$E62:INDEX('Feijão 2ª safra'!$E62:$Z62,MIN(AZ$6-$E$3,22))&lt;&gt;""),'Feijão 2ª safra'!$E62:INDEX('Feijão 2ª safra'!$E62:$Z62,MIN(AZ$6-$E$3,22))),0))-IF($G$2,0,IF((AZ$6-$G$3)&lt;1,0,IFERROR(LOOKUP(2,1/('Feijão 2ª safra'!$E62:INDEX('Feijão 2ª safra'!$E62:$Z62,MIN(AZ$6-$G$3,22))&lt;&gt;""),'Feijão 2ª safra'!$E62:INDEX('Feijão 2ª safra'!$E62:$Z62,MIN(AZ$6-$G$3,22))),0)))))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IF(COUNT('Feijão 2ª safra'!$E63:$Z63)&gt;0,N('Feijão 2ª safra'!$D63),0)</f>
        <v>0</v>
      </c>
      <c r="E65" s="27" t="n">
        <f aca="false">IF(COUNT('Feijão 2ª safra'!$E63:$Z63)=0,0,MAX(0,IF((E$6-$E$3)&lt;1,0,IFERROR(LOOKUP(2,1/('Feijão 2ª safra'!$E63:INDEX('Feijão 2ª safra'!$E63:$Z63,MIN(E$6-$E$3,22))&lt;&gt;""),'Feijão 2ª safra'!$E63:INDEX('Feijão 2ª safra'!$E63:$Z63,MIN(E$6-$E$3,22))),0))-IF($G$2,0,IF((E$6-$G$3)&lt;1,0,IFERROR(LOOKUP(2,1/('Feijão 2ª safra'!$E63:INDEX('Feijão 2ª safra'!$E63:$Z63,MIN(E$6-$G$3,22))&lt;&gt;""),'Feijão 2ª safra'!$E63:INDEX('Feijão 2ª safra'!$E63:$Z63,MIN(E$6-$G$3,22))),0)))))</f>
        <v>0</v>
      </c>
      <c r="F65" s="27" t="n">
        <f aca="false">IF(COUNT('Feijão 2ª safra'!$E63:$Z63)=0,0,MAX(0,IF((F$6-$E$3)&lt;1,0,IFERROR(LOOKUP(2,1/('Feijão 2ª safra'!$E63:INDEX('Feijão 2ª safra'!$E63:$Z63,MIN(F$6-$E$3,22))&lt;&gt;""),'Feijão 2ª safra'!$E63:INDEX('Feijão 2ª safra'!$E63:$Z63,MIN(F$6-$E$3,22))),0))-IF($G$2,0,IF((F$6-$G$3)&lt;1,0,IFERROR(LOOKUP(2,1/('Feijão 2ª safra'!$E63:INDEX('Feijão 2ª safra'!$E63:$Z63,MIN(F$6-$G$3,22))&lt;&gt;""),'Feijão 2ª safra'!$E63:INDEX('Feijão 2ª safra'!$E63:$Z63,MIN(F$6-$G$3,22))),0)))))</f>
        <v>0</v>
      </c>
      <c r="G65" s="27" t="n">
        <f aca="false">IF(COUNT('Feijão 2ª safra'!$E63:$Z63)=0,0,MAX(0,IF((G$6-$E$3)&lt;1,0,IFERROR(LOOKUP(2,1/('Feijão 2ª safra'!$E63:INDEX('Feijão 2ª safra'!$E63:$Z63,MIN(G$6-$E$3,22))&lt;&gt;""),'Feijão 2ª safra'!$E63:INDEX('Feijão 2ª safra'!$E63:$Z63,MIN(G$6-$E$3,22))),0))-IF($G$2,0,IF((G$6-$G$3)&lt;1,0,IFERROR(LOOKUP(2,1/('Feijão 2ª safra'!$E63:INDEX('Feijão 2ª safra'!$E63:$Z63,MIN(G$6-$G$3,22))&lt;&gt;""),'Feijão 2ª safra'!$E63:INDEX('Feijão 2ª safra'!$E63:$Z63,MIN(G$6-$G$3,22))),0)))))</f>
        <v>0</v>
      </c>
      <c r="H65" s="27" t="n">
        <f aca="false">IF(COUNT('Feijão 2ª safra'!$E63:$Z63)=0,0,MAX(0,IF((H$6-$E$3)&lt;1,0,IFERROR(LOOKUP(2,1/('Feijão 2ª safra'!$E63:INDEX('Feijão 2ª safra'!$E63:$Z63,MIN(H$6-$E$3,22))&lt;&gt;""),'Feijão 2ª safra'!$E63:INDEX('Feijão 2ª safra'!$E63:$Z63,MIN(H$6-$E$3,22))),0))-IF($G$2,0,IF((H$6-$G$3)&lt;1,0,IFERROR(LOOKUP(2,1/('Feijão 2ª safra'!$E63:INDEX('Feijão 2ª safra'!$E63:$Z63,MIN(H$6-$G$3,22))&lt;&gt;""),'Feijão 2ª safra'!$E63:INDEX('Feijão 2ª safra'!$E63:$Z63,MIN(H$6-$G$3,22))),0)))))</f>
        <v>0</v>
      </c>
      <c r="I65" s="27" t="n">
        <f aca="false">IF(COUNT('Feijão 2ª safra'!$E63:$Z63)=0,0,MAX(0,IF((I$6-$E$3)&lt;1,0,IFERROR(LOOKUP(2,1/('Feijão 2ª safra'!$E63:INDEX('Feijão 2ª safra'!$E63:$Z63,MIN(I$6-$E$3,22))&lt;&gt;""),'Feijão 2ª safra'!$E63:INDEX('Feijão 2ª safra'!$E63:$Z63,MIN(I$6-$E$3,22))),0))-IF($G$2,0,IF((I$6-$G$3)&lt;1,0,IFERROR(LOOKUP(2,1/('Feijão 2ª safra'!$E63:INDEX('Feijão 2ª safra'!$E63:$Z63,MIN(I$6-$G$3,22))&lt;&gt;""),'Feijão 2ª safra'!$E63:INDEX('Feijão 2ª safra'!$E63:$Z63,MIN(I$6-$G$3,22))),0)))))</f>
        <v>0</v>
      </c>
      <c r="J65" s="27" t="n">
        <f aca="false">IF(COUNT('Feijão 2ª safra'!$E63:$Z63)=0,0,MAX(0,IF((J$6-$E$3)&lt;1,0,IFERROR(LOOKUP(2,1/('Feijão 2ª safra'!$E63:INDEX('Feijão 2ª safra'!$E63:$Z63,MIN(J$6-$E$3,22))&lt;&gt;""),'Feijão 2ª safra'!$E63:INDEX('Feijão 2ª safra'!$E63:$Z63,MIN(J$6-$E$3,22))),0))-IF($G$2,0,IF((J$6-$G$3)&lt;1,0,IFERROR(LOOKUP(2,1/('Feijão 2ª safra'!$E63:INDEX('Feijão 2ª safra'!$E63:$Z63,MIN(J$6-$G$3,22))&lt;&gt;""),'Feijão 2ª safra'!$E63:INDEX('Feijão 2ª safra'!$E63:$Z63,MIN(J$6-$G$3,22))),0)))))</f>
        <v>0</v>
      </c>
      <c r="K65" s="27" t="n">
        <f aca="false">IF(COUNT('Feijão 2ª safra'!$E63:$Z63)=0,0,MAX(0,IF((K$6-$E$3)&lt;1,0,IFERROR(LOOKUP(2,1/('Feijão 2ª safra'!$E63:INDEX('Feijão 2ª safra'!$E63:$Z63,MIN(K$6-$E$3,22))&lt;&gt;""),'Feijão 2ª safra'!$E63:INDEX('Feijão 2ª safra'!$E63:$Z63,MIN(K$6-$E$3,22))),0))-IF($G$2,0,IF((K$6-$G$3)&lt;1,0,IFERROR(LOOKUP(2,1/('Feijão 2ª safra'!$E63:INDEX('Feijão 2ª safra'!$E63:$Z63,MIN(K$6-$G$3,22))&lt;&gt;""),'Feijão 2ª safra'!$E63:INDEX('Feijão 2ª safra'!$E63:$Z63,MIN(K$6-$G$3,22))),0)))))</f>
        <v>0</v>
      </c>
      <c r="L65" s="27" t="n">
        <f aca="false">IF(COUNT('Feijão 2ª safra'!$E63:$Z63)=0,0,MAX(0,IF((L$6-$E$3)&lt;1,0,IFERROR(LOOKUP(2,1/('Feijão 2ª safra'!$E63:INDEX('Feijão 2ª safra'!$E63:$Z63,MIN(L$6-$E$3,22))&lt;&gt;""),'Feijão 2ª safra'!$E63:INDEX('Feijão 2ª safra'!$E63:$Z63,MIN(L$6-$E$3,22))),0))-IF($G$2,0,IF((L$6-$G$3)&lt;1,0,IFERROR(LOOKUP(2,1/('Feijão 2ª safra'!$E63:INDEX('Feijão 2ª safra'!$E63:$Z63,MIN(L$6-$G$3,22))&lt;&gt;""),'Feijão 2ª safra'!$E63:INDEX('Feijão 2ª safra'!$E63:$Z63,MIN(L$6-$G$3,22))),0)))))</f>
        <v>0</v>
      </c>
      <c r="M65" s="27" t="n">
        <f aca="false">IF(COUNT('Feijão 2ª safra'!$E63:$Z63)=0,0,MAX(0,IF((M$6-$E$3)&lt;1,0,IFERROR(LOOKUP(2,1/('Feijão 2ª safra'!$E63:INDEX('Feijão 2ª safra'!$E63:$Z63,MIN(M$6-$E$3,22))&lt;&gt;""),'Feijão 2ª safra'!$E63:INDEX('Feijão 2ª safra'!$E63:$Z63,MIN(M$6-$E$3,22))),0))-IF($G$2,0,IF((M$6-$G$3)&lt;1,0,IFERROR(LOOKUP(2,1/('Feijão 2ª safra'!$E63:INDEX('Feijão 2ª safra'!$E63:$Z63,MIN(M$6-$G$3,22))&lt;&gt;""),'Feijão 2ª safra'!$E63:INDEX('Feijão 2ª safra'!$E63:$Z63,MIN(M$6-$G$3,22))),0)))))</f>
        <v>0</v>
      </c>
      <c r="N65" s="27" t="n">
        <f aca="false">IF(COUNT('Feijão 2ª safra'!$E63:$Z63)=0,0,MAX(0,IF((N$6-$E$3)&lt;1,0,IFERROR(LOOKUP(2,1/('Feijão 2ª safra'!$E63:INDEX('Feijão 2ª safra'!$E63:$Z63,MIN(N$6-$E$3,22))&lt;&gt;""),'Feijão 2ª safra'!$E63:INDEX('Feijão 2ª safra'!$E63:$Z63,MIN(N$6-$E$3,22))),0))-IF($G$2,0,IF((N$6-$G$3)&lt;1,0,IFERROR(LOOKUP(2,1/('Feijão 2ª safra'!$E63:INDEX('Feijão 2ª safra'!$E63:$Z63,MIN(N$6-$G$3,22))&lt;&gt;""),'Feijão 2ª safra'!$E63:INDEX('Feijão 2ª safra'!$E63:$Z63,MIN(N$6-$G$3,22))),0)))))</f>
        <v>0</v>
      </c>
      <c r="O65" s="27" t="n">
        <f aca="false">IF(COUNT('Feijão 2ª safra'!$E63:$Z63)=0,0,MAX(0,IF((O$6-$E$3)&lt;1,0,IFERROR(LOOKUP(2,1/('Feijão 2ª safra'!$E63:INDEX('Feijão 2ª safra'!$E63:$Z63,MIN(O$6-$E$3,22))&lt;&gt;""),'Feijão 2ª safra'!$E63:INDEX('Feijão 2ª safra'!$E63:$Z63,MIN(O$6-$E$3,22))),0))-IF($G$2,0,IF((O$6-$G$3)&lt;1,0,IFERROR(LOOKUP(2,1/('Feijão 2ª safra'!$E63:INDEX('Feijão 2ª safra'!$E63:$Z63,MIN(O$6-$G$3,22))&lt;&gt;""),'Feijão 2ª safra'!$E63:INDEX('Feijão 2ª safra'!$E63:$Z63,MIN(O$6-$G$3,22))),0)))))</f>
        <v>0</v>
      </c>
      <c r="P65" s="27" t="n">
        <f aca="false">IF(COUNT('Feijão 2ª safra'!$E63:$Z63)=0,0,MAX(0,IF((P$6-$E$3)&lt;1,0,IFERROR(LOOKUP(2,1/('Feijão 2ª safra'!$E63:INDEX('Feijão 2ª safra'!$E63:$Z63,MIN(P$6-$E$3,22))&lt;&gt;""),'Feijão 2ª safra'!$E63:INDEX('Feijão 2ª safra'!$E63:$Z63,MIN(P$6-$E$3,22))),0))-IF($G$2,0,IF((P$6-$G$3)&lt;1,0,IFERROR(LOOKUP(2,1/('Feijão 2ª safra'!$E63:INDEX('Feijão 2ª safra'!$E63:$Z63,MIN(P$6-$G$3,22))&lt;&gt;""),'Feijão 2ª safra'!$E63:INDEX('Feijão 2ª safra'!$E63:$Z63,MIN(P$6-$G$3,22))),0)))))</f>
        <v>0</v>
      </c>
      <c r="Q65" s="27" t="n">
        <f aca="false">IF(COUNT('Feijão 2ª safra'!$E63:$Z63)=0,0,MAX(0,IF((Q$6-$E$3)&lt;1,0,IFERROR(LOOKUP(2,1/('Feijão 2ª safra'!$E63:INDEX('Feijão 2ª safra'!$E63:$Z63,MIN(Q$6-$E$3,22))&lt;&gt;""),'Feijão 2ª safra'!$E63:INDEX('Feijão 2ª safra'!$E63:$Z63,MIN(Q$6-$E$3,22))),0))-IF($G$2,0,IF((Q$6-$G$3)&lt;1,0,IFERROR(LOOKUP(2,1/('Feijão 2ª safra'!$E63:INDEX('Feijão 2ª safra'!$E63:$Z63,MIN(Q$6-$G$3,22))&lt;&gt;""),'Feijão 2ª safra'!$E63:INDEX('Feijão 2ª safra'!$E63:$Z63,MIN(Q$6-$G$3,22))),0)))))</f>
        <v>0</v>
      </c>
      <c r="R65" s="27" t="n">
        <f aca="false">IF(COUNT('Feijão 2ª safra'!$E63:$Z63)=0,0,MAX(0,IF((R$6-$E$3)&lt;1,0,IFERROR(LOOKUP(2,1/('Feijão 2ª safra'!$E63:INDEX('Feijão 2ª safra'!$E63:$Z63,MIN(R$6-$E$3,22))&lt;&gt;""),'Feijão 2ª safra'!$E63:INDEX('Feijão 2ª safra'!$E63:$Z63,MIN(R$6-$E$3,22))),0))-IF($G$2,0,IF((R$6-$G$3)&lt;1,0,IFERROR(LOOKUP(2,1/('Feijão 2ª safra'!$E63:INDEX('Feijão 2ª safra'!$E63:$Z63,MIN(R$6-$G$3,22))&lt;&gt;""),'Feijão 2ª safra'!$E63:INDEX('Feijão 2ª safra'!$E63:$Z63,MIN(R$6-$G$3,22))),0)))))</f>
        <v>0</v>
      </c>
      <c r="S65" s="27" t="n">
        <f aca="false">IF(COUNT('Feijão 2ª safra'!$E63:$Z63)=0,0,MAX(0,IF((S$6-$E$3)&lt;1,0,IFERROR(LOOKUP(2,1/('Feijão 2ª safra'!$E63:INDEX('Feijão 2ª safra'!$E63:$Z63,MIN(S$6-$E$3,22))&lt;&gt;""),'Feijão 2ª safra'!$E63:INDEX('Feijão 2ª safra'!$E63:$Z63,MIN(S$6-$E$3,22))),0))-IF($G$2,0,IF((S$6-$G$3)&lt;1,0,IFERROR(LOOKUP(2,1/('Feijão 2ª safra'!$E63:INDEX('Feijão 2ª safra'!$E63:$Z63,MIN(S$6-$G$3,22))&lt;&gt;""),'Feijão 2ª safra'!$E63:INDEX('Feijão 2ª safra'!$E63:$Z63,MIN(S$6-$G$3,22))),0)))))</f>
        <v>0</v>
      </c>
      <c r="T65" s="27" t="n">
        <f aca="false">IF(COUNT('Feijão 2ª safra'!$E63:$Z63)=0,0,MAX(0,IF((T$6-$E$3)&lt;1,0,IFERROR(LOOKUP(2,1/('Feijão 2ª safra'!$E63:INDEX('Feijão 2ª safra'!$E63:$Z63,MIN(T$6-$E$3,22))&lt;&gt;""),'Feijão 2ª safra'!$E63:INDEX('Feijão 2ª safra'!$E63:$Z63,MIN(T$6-$E$3,22))),0))-IF($G$2,0,IF((T$6-$G$3)&lt;1,0,IFERROR(LOOKUP(2,1/('Feijão 2ª safra'!$E63:INDEX('Feijão 2ª safra'!$E63:$Z63,MIN(T$6-$G$3,22))&lt;&gt;""),'Feijão 2ª safra'!$E63:INDEX('Feijão 2ª safra'!$E63:$Z63,MIN(T$6-$G$3,22))),0)))))</f>
        <v>0</v>
      </c>
      <c r="U65" s="27" t="n">
        <f aca="false">IF(COUNT('Feijão 2ª safra'!$E63:$Z63)=0,0,MAX(0,IF((U$6-$E$3)&lt;1,0,IFERROR(LOOKUP(2,1/('Feijão 2ª safra'!$E63:INDEX('Feijão 2ª safra'!$E63:$Z63,MIN(U$6-$E$3,22))&lt;&gt;""),'Feijão 2ª safra'!$E63:INDEX('Feijão 2ª safra'!$E63:$Z63,MIN(U$6-$E$3,22))),0))-IF($G$2,0,IF((U$6-$G$3)&lt;1,0,IFERROR(LOOKUP(2,1/('Feijão 2ª safra'!$E63:INDEX('Feijão 2ª safra'!$E63:$Z63,MIN(U$6-$G$3,22))&lt;&gt;""),'Feijão 2ª safra'!$E63:INDEX('Feijão 2ª safra'!$E63:$Z63,MIN(U$6-$G$3,22))),0)))))</f>
        <v>0</v>
      </c>
      <c r="V65" s="27" t="n">
        <f aca="false">IF(COUNT('Feijão 2ª safra'!$E63:$Z63)=0,0,MAX(0,IF((V$6-$E$3)&lt;1,0,IFERROR(LOOKUP(2,1/('Feijão 2ª safra'!$E63:INDEX('Feijão 2ª safra'!$E63:$Z63,MIN(V$6-$E$3,22))&lt;&gt;""),'Feijão 2ª safra'!$E63:INDEX('Feijão 2ª safra'!$E63:$Z63,MIN(V$6-$E$3,22))),0))-IF($G$2,0,IF((V$6-$G$3)&lt;1,0,IFERROR(LOOKUP(2,1/('Feijão 2ª safra'!$E63:INDEX('Feijão 2ª safra'!$E63:$Z63,MIN(V$6-$G$3,22))&lt;&gt;""),'Feijão 2ª safra'!$E63:INDEX('Feijão 2ª safra'!$E63:$Z63,MIN(V$6-$G$3,22))),0)))))</f>
        <v>0</v>
      </c>
      <c r="W65" s="27" t="n">
        <f aca="false">IF(COUNT('Feijão 2ª safra'!$E63:$Z63)=0,0,MAX(0,IF((W$6-$E$3)&lt;1,0,IFERROR(LOOKUP(2,1/('Feijão 2ª safra'!$E63:INDEX('Feijão 2ª safra'!$E63:$Z63,MIN(W$6-$E$3,22))&lt;&gt;""),'Feijão 2ª safra'!$E63:INDEX('Feijão 2ª safra'!$E63:$Z63,MIN(W$6-$E$3,22))),0))-IF($G$2,0,IF((W$6-$G$3)&lt;1,0,IFERROR(LOOKUP(2,1/('Feijão 2ª safra'!$E63:INDEX('Feijão 2ª safra'!$E63:$Z63,MIN(W$6-$G$3,22))&lt;&gt;""),'Feijão 2ª safra'!$E63:INDEX('Feijão 2ª safra'!$E63:$Z63,MIN(W$6-$G$3,22))),0)))))</f>
        <v>0</v>
      </c>
      <c r="X65" s="27" t="n">
        <f aca="false">IF(COUNT('Feijão 2ª safra'!$E63:$Z63)=0,0,MAX(0,IF((X$6-$E$3)&lt;1,0,IFERROR(LOOKUP(2,1/('Feijão 2ª safra'!$E63:INDEX('Feijão 2ª safra'!$E63:$Z63,MIN(X$6-$E$3,22))&lt;&gt;""),'Feijão 2ª safra'!$E63:INDEX('Feijão 2ª safra'!$E63:$Z63,MIN(X$6-$E$3,22))),0))-IF($G$2,0,IF((X$6-$G$3)&lt;1,0,IFERROR(LOOKUP(2,1/('Feijão 2ª safra'!$E63:INDEX('Feijão 2ª safra'!$E63:$Z63,MIN(X$6-$G$3,22))&lt;&gt;""),'Feijão 2ª safra'!$E63:INDEX('Feijão 2ª safra'!$E63:$Z63,MIN(X$6-$G$3,22))),0)))))</f>
        <v>0</v>
      </c>
      <c r="Y65" s="27" t="n">
        <f aca="false">IF(COUNT('Feijão 2ª safra'!$E63:$Z63)=0,0,MAX(0,IF((Y$6-$E$3)&lt;1,0,IFERROR(LOOKUP(2,1/('Feijão 2ª safra'!$E63:INDEX('Feijão 2ª safra'!$E63:$Z63,MIN(Y$6-$E$3,22))&lt;&gt;""),'Feijão 2ª safra'!$E63:INDEX('Feijão 2ª safra'!$E63:$Z63,MIN(Y$6-$E$3,22))),0))-IF($G$2,0,IF((Y$6-$G$3)&lt;1,0,IFERROR(LOOKUP(2,1/('Feijão 2ª safra'!$E63:INDEX('Feijão 2ª safra'!$E63:$Z63,MIN(Y$6-$G$3,22))&lt;&gt;""),'Feijão 2ª safra'!$E63:INDEX('Feijão 2ª safra'!$E63:$Z63,MIN(Y$6-$G$3,22))),0)))))</f>
        <v>0</v>
      </c>
      <c r="Z65" s="27" t="n">
        <f aca="false">IF(COUNT('Feijão 2ª safra'!$E63:$Z63)=0,0,MAX(0,IF((Z$6-$E$3)&lt;1,0,IFERROR(LOOKUP(2,1/('Feijão 2ª safra'!$E63:INDEX('Feijão 2ª safra'!$E63:$Z63,MIN(Z$6-$E$3,22))&lt;&gt;""),'Feijão 2ª safra'!$E63:INDEX('Feijão 2ª safra'!$E63:$Z63,MIN(Z$6-$E$3,22))),0))-IF($G$2,0,IF((Z$6-$G$3)&lt;1,0,IFERROR(LOOKUP(2,1/('Feijão 2ª safra'!$E63:INDEX('Feijão 2ª safra'!$E63:$Z63,MIN(Z$6-$G$3,22))&lt;&gt;""),'Feijão 2ª safra'!$E63:INDEX('Feijão 2ª safra'!$E63:$Z63,MIN(Z$6-$G$3,22))),0)))))</f>
        <v>0</v>
      </c>
      <c r="AA65" s="27" t="n">
        <f aca="false">IF(COUNT('Feijão 2ª safra'!$E63:$Z63)=0,0,MAX(0,IF((AA$6-$E$3)&lt;1,0,IFERROR(LOOKUP(2,1/('Feijão 2ª safra'!$E63:INDEX('Feijão 2ª safra'!$E63:$Z63,MIN(AA$6-$E$3,22))&lt;&gt;""),'Feijão 2ª safra'!$E63:INDEX('Feijão 2ª safra'!$E63:$Z63,MIN(AA$6-$E$3,22))),0))-IF($G$2,0,IF((AA$6-$G$3)&lt;1,0,IFERROR(LOOKUP(2,1/('Feijão 2ª safra'!$E63:INDEX('Feijão 2ª safra'!$E63:$Z63,MIN(AA$6-$G$3,22))&lt;&gt;""),'Feijão 2ª safra'!$E63:INDEX('Feijão 2ª safra'!$E63:$Z63,MIN(AA$6-$G$3,22))),0)))))</f>
        <v>0</v>
      </c>
      <c r="AB65" s="27" t="n">
        <f aca="false">IF(COUNT('Feijão 2ª safra'!$E63:$Z63)=0,0,MAX(0,IF((AB$6-$E$3)&lt;1,0,IFERROR(LOOKUP(2,1/('Feijão 2ª safra'!$E63:INDEX('Feijão 2ª safra'!$E63:$Z63,MIN(AB$6-$E$3,22))&lt;&gt;""),'Feijão 2ª safra'!$E63:INDEX('Feijão 2ª safra'!$E63:$Z63,MIN(AB$6-$E$3,22))),0))-IF($G$2,0,IF((AB$6-$G$3)&lt;1,0,IFERROR(LOOKUP(2,1/('Feijão 2ª safra'!$E63:INDEX('Feijão 2ª safra'!$E63:$Z63,MIN(AB$6-$G$3,22))&lt;&gt;""),'Feijão 2ª safra'!$E63:INDEX('Feijão 2ª safra'!$E63:$Z63,MIN(AB$6-$G$3,22))),0)))))</f>
        <v>0</v>
      </c>
      <c r="AC65" s="27" t="n">
        <f aca="false">IF(COUNT('Feijão 2ª safra'!$E63:$Z63)=0,0,MAX(0,IF((AC$6-$E$3)&lt;1,0,IFERROR(LOOKUP(2,1/('Feijão 2ª safra'!$E63:INDEX('Feijão 2ª safra'!$E63:$Z63,MIN(AC$6-$E$3,22))&lt;&gt;""),'Feijão 2ª safra'!$E63:INDEX('Feijão 2ª safra'!$E63:$Z63,MIN(AC$6-$E$3,22))),0))-IF($G$2,0,IF((AC$6-$G$3)&lt;1,0,IFERROR(LOOKUP(2,1/('Feijão 2ª safra'!$E63:INDEX('Feijão 2ª safra'!$E63:$Z63,MIN(AC$6-$G$3,22))&lt;&gt;""),'Feijão 2ª safra'!$E63:INDEX('Feijão 2ª safra'!$E63:$Z63,MIN(AC$6-$G$3,22))),0)))))</f>
        <v>0</v>
      </c>
      <c r="AD65" s="27" t="n">
        <f aca="false">IF(COUNT('Feijão 2ª safra'!$E63:$Z63)=0,0,MAX(0,IF((AD$6-$E$3)&lt;1,0,IFERROR(LOOKUP(2,1/('Feijão 2ª safra'!$E63:INDEX('Feijão 2ª safra'!$E63:$Z63,MIN(AD$6-$E$3,22))&lt;&gt;""),'Feijão 2ª safra'!$E63:INDEX('Feijão 2ª safra'!$E63:$Z63,MIN(AD$6-$E$3,22))),0))-IF($G$2,0,IF((AD$6-$G$3)&lt;1,0,IFERROR(LOOKUP(2,1/('Feijão 2ª safra'!$E63:INDEX('Feijão 2ª safra'!$E63:$Z63,MIN(AD$6-$G$3,22))&lt;&gt;""),'Feijão 2ª safra'!$E63:INDEX('Feijão 2ª safra'!$E63:$Z63,MIN(AD$6-$G$3,22))),0)))))</f>
        <v>0</v>
      </c>
      <c r="AE65" s="27" t="n">
        <f aca="false">IF(COUNT('Feijão 2ª safra'!$E63:$Z63)=0,0,MAX(0,IF((AE$6-$E$3)&lt;1,0,IFERROR(LOOKUP(2,1/('Feijão 2ª safra'!$E63:INDEX('Feijão 2ª safra'!$E63:$Z63,MIN(AE$6-$E$3,22))&lt;&gt;""),'Feijão 2ª safra'!$E63:INDEX('Feijão 2ª safra'!$E63:$Z63,MIN(AE$6-$E$3,22))),0))-IF($G$2,0,IF((AE$6-$G$3)&lt;1,0,IFERROR(LOOKUP(2,1/('Feijão 2ª safra'!$E63:INDEX('Feijão 2ª safra'!$E63:$Z63,MIN(AE$6-$G$3,22))&lt;&gt;""),'Feijão 2ª safra'!$E63:INDEX('Feijão 2ª safra'!$E63:$Z63,MIN(AE$6-$G$3,22))),0)))))</f>
        <v>0</v>
      </c>
      <c r="AF65" s="27" t="n">
        <f aca="false">IF(COUNT('Feijão 2ª safra'!$E63:$Z63)=0,0,MAX(0,IF((AF$6-$E$3)&lt;1,0,IFERROR(LOOKUP(2,1/('Feijão 2ª safra'!$E63:INDEX('Feijão 2ª safra'!$E63:$Z63,MIN(AF$6-$E$3,22))&lt;&gt;""),'Feijão 2ª safra'!$E63:INDEX('Feijão 2ª safra'!$E63:$Z63,MIN(AF$6-$E$3,22))),0))-IF($G$2,0,IF((AF$6-$G$3)&lt;1,0,IFERROR(LOOKUP(2,1/('Feijão 2ª safra'!$E63:INDEX('Feijão 2ª safra'!$E63:$Z63,MIN(AF$6-$G$3,22))&lt;&gt;""),'Feijão 2ª safra'!$E63:INDEX('Feijão 2ª safra'!$E63:$Z63,MIN(AF$6-$G$3,22))),0)))))</f>
        <v>0</v>
      </c>
      <c r="AG65" s="27" t="n">
        <f aca="false">IF(COUNT('Feijão 2ª safra'!$E63:$Z63)=0,0,MAX(0,IF((AG$6-$E$3)&lt;1,0,IFERROR(LOOKUP(2,1/('Feijão 2ª safra'!$E63:INDEX('Feijão 2ª safra'!$E63:$Z63,MIN(AG$6-$E$3,22))&lt;&gt;""),'Feijão 2ª safra'!$E63:INDEX('Feijão 2ª safra'!$E63:$Z63,MIN(AG$6-$E$3,22))),0))-IF($G$2,0,IF((AG$6-$G$3)&lt;1,0,IFERROR(LOOKUP(2,1/('Feijão 2ª safra'!$E63:INDEX('Feijão 2ª safra'!$E63:$Z63,MIN(AG$6-$G$3,22))&lt;&gt;""),'Feijão 2ª safra'!$E63:INDEX('Feijão 2ª safra'!$E63:$Z63,MIN(AG$6-$G$3,22))),0)))))</f>
        <v>0</v>
      </c>
      <c r="AH65" s="27" t="n">
        <f aca="false">IF(COUNT('Feijão 2ª safra'!$E63:$Z63)=0,0,MAX(0,IF((AH$6-$E$3)&lt;1,0,IFERROR(LOOKUP(2,1/('Feijão 2ª safra'!$E63:INDEX('Feijão 2ª safra'!$E63:$Z63,MIN(AH$6-$E$3,22))&lt;&gt;""),'Feijão 2ª safra'!$E63:INDEX('Feijão 2ª safra'!$E63:$Z63,MIN(AH$6-$E$3,22))),0))-IF($G$2,0,IF((AH$6-$G$3)&lt;1,0,IFERROR(LOOKUP(2,1/('Feijão 2ª safra'!$E63:INDEX('Feijão 2ª safra'!$E63:$Z63,MIN(AH$6-$G$3,22))&lt;&gt;""),'Feijão 2ª safra'!$E63:INDEX('Feijão 2ª safra'!$E63:$Z63,MIN(AH$6-$G$3,22))),0)))))</f>
        <v>0</v>
      </c>
      <c r="AI65" s="27" t="n">
        <f aca="false">IF(COUNT('Feijão 2ª safra'!$E63:$Z63)=0,0,MAX(0,IF((AI$6-$E$3)&lt;1,0,IFERROR(LOOKUP(2,1/('Feijão 2ª safra'!$E63:INDEX('Feijão 2ª safra'!$E63:$Z63,MIN(AI$6-$E$3,22))&lt;&gt;""),'Feijão 2ª safra'!$E63:INDEX('Feijão 2ª safra'!$E63:$Z63,MIN(AI$6-$E$3,22))),0))-IF($G$2,0,IF((AI$6-$G$3)&lt;1,0,IFERROR(LOOKUP(2,1/('Feijão 2ª safra'!$E63:INDEX('Feijão 2ª safra'!$E63:$Z63,MIN(AI$6-$G$3,22))&lt;&gt;""),'Feijão 2ª safra'!$E63:INDEX('Feijão 2ª safra'!$E63:$Z63,MIN(AI$6-$G$3,22))),0)))))</f>
        <v>0</v>
      </c>
      <c r="AJ65" s="27" t="n">
        <f aca="false">IF(COUNT('Feijão 2ª safra'!$E63:$Z63)=0,0,MAX(0,IF((AJ$6-$E$3)&lt;1,0,IFERROR(LOOKUP(2,1/('Feijão 2ª safra'!$E63:INDEX('Feijão 2ª safra'!$E63:$Z63,MIN(AJ$6-$E$3,22))&lt;&gt;""),'Feijão 2ª safra'!$E63:INDEX('Feijão 2ª safra'!$E63:$Z63,MIN(AJ$6-$E$3,22))),0))-IF($G$2,0,IF((AJ$6-$G$3)&lt;1,0,IFERROR(LOOKUP(2,1/('Feijão 2ª safra'!$E63:INDEX('Feijão 2ª safra'!$E63:$Z63,MIN(AJ$6-$G$3,22))&lt;&gt;""),'Feijão 2ª safra'!$E63:INDEX('Feijão 2ª safra'!$E63:$Z63,MIN(AJ$6-$G$3,22))),0)))))</f>
        <v>0</v>
      </c>
      <c r="AK65" s="27" t="n">
        <f aca="false">IF(COUNT('Feijão 2ª safra'!$E63:$Z63)=0,0,MAX(0,IF((AK$6-$E$3)&lt;1,0,IFERROR(LOOKUP(2,1/('Feijão 2ª safra'!$E63:INDEX('Feijão 2ª safra'!$E63:$Z63,MIN(AK$6-$E$3,22))&lt;&gt;""),'Feijão 2ª safra'!$E63:INDEX('Feijão 2ª safra'!$E63:$Z63,MIN(AK$6-$E$3,22))),0))-IF($G$2,0,IF((AK$6-$G$3)&lt;1,0,IFERROR(LOOKUP(2,1/('Feijão 2ª safra'!$E63:INDEX('Feijão 2ª safra'!$E63:$Z63,MIN(AK$6-$G$3,22))&lt;&gt;""),'Feijão 2ª safra'!$E63:INDEX('Feijão 2ª safra'!$E63:$Z63,MIN(AK$6-$G$3,22))),0)))))</f>
        <v>0</v>
      </c>
      <c r="AL65" s="27" t="n">
        <f aca="false">IF(COUNT('Feijão 2ª safra'!$E63:$Z63)=0,0,MAX(0,IF((AL$6-$E$3)&lt;1,0,IFERROR(LOOKUP(2,1/('Feijão 2ª safra'!$E63:INDEX('Feijão 2ª safra'!$E63:$Z63,MIN(AL$6-$E$3,22))&lt;&gt;""),'Feijão 2ª safra'!$E63:INDEX('Feijão 2ª safra'!$E63:$Z63,MIN(AL$6-$E$3,22))),0))-IF($G$2,0,IF((AL$6-$G$3)&lt;1,0,IFERROR(LOOKUP(2,1/('Feijão 2ª safra'!$E63:INDEX('Feijão 2ª safra'!$E63:$Z63,MIN(AL$6-$G$3,22))&lt;&gt;""),'Feijão 2ª safra'!$E63:INDEX('Feijão 2ª safra'!$E63:$Z63,MIN(AL$6-$G$3,22))),0)))))</f>
        <v>0</v>
      </c>
      <c r="AM65" s="27" t="n">
        <f aca="false">IF(COUNT('Feijão 2ª safra'!$E63:$Z63)=0,0,MAX(0,IF((AM$6-$E$3)&lt;1,0,IFERROR(LOOKUP(2,1/('Feijão 2ª safra'!$E63:INDEX('Feijão 2ª safra'!$E63:$Z63,MIN(AM$6-$E$3,22))&lt;&gt;""),'Feijão 2ª safra'!$E63:INDEX('Feijão 2ª safra'!$E63:$Z63,MIN(AM$6-$E$3,22))),0))-IF($G$2,0,IF((AM$6-$G$3)&lt;1,0,IFERROR(LOOKUP(2,1/('Feijão 2ª safra'!$E63:INDEX('Feijão 2ª safra'!$E63:$Z63,MIN(AM$6-$G$3,22))&lt;&gt;""),'Feijão 2ª safra'!$E63:INDEX('Feijão 2ª safra'!$E63:$Z63,MIN(AM$6-$G$3,22))),0)))))</f>
        <v>0</v>
      </c>
      <c r="AN65" s="27" t="n">
        <f aca="false">IF(COUNT('Feijão 2ª safra'!$E63:$Z63)=0,0,MAX(0,IF((AN$6-$E$3)&lt;1,0,IFERROR(LOOKUP(2,1/('Feijão 2ª safra'!$E63:INDEX('Feijão 2ª safra'!$E63:$Z63,MIN(AN$6-$E$3,22))&lt;&gt;""),'Feijão 2ª safra'!$E63:INDEX('Feijão 2ª safra'!$E63:$Z63,MIN(AN$6-$E$3,22))),0))-IF($G$2,0,IF((AN$6-$G$3)&lt;1,0,IFERROR(LOOKUP(2,1/('Feijão 2ª safra'!$E63:INDEX('Feijão 2ª safra'!$E63:$Z63,MIN(AN$6-$G$3,22))&lt;&gt;""),'Feijão 2ª safra'!$E63:INDEX('Feijão 2ª safra'!$E63:$Z63,MIN(AN$6-$G$3,22))),0)))))</f>
        <v>0</v>
      </c>
      <c r="AO65" s="27" t="n">
        <f aca="false">IF(COUNT('Feijão 2ª safra'!$E63:$Z63)=0,0,MAX(0,IF((AO$6-$E$3)&lt;1,0,IFERROR(LOOKUP(2,1/('Feijão 2ª safra'!$E63:INDEX('Feijão 2ª safra'!$E63:$Z63,MIN(AO$6-$E$3,22))&lt;&gt;""),'Feijão 2ª safra'!$E63:INDEX('Feijão 2ª safra'!$E63:$Z63,MIN(AO$6-$E$3,22))),0))-IF($G$2,0,IF((AO$6-$G$3)&lt;1,0,IFERROR(LOOKUP(2,1/('Feijão 2ª safra'!$E63:INDEX('Feijão 2ª safra'!$E63:$Z63,MIN(AO$6-$G$3,22))&lt;&gt;""),'Feijão 2ª safra'!$E63:INDEX('Feijão 2ª safra'!$E63:$Z63,MIN(AO$6-$G$3,22))),0)))))</f>
        <v>0</v>
      </c>
      <c r="AP65" s="27" t="n">
        <f aca="false">IF(COUNT('Feijão 2ª safra'!$E63:$Z63)=0,0,MAX(0,IF((AP$6-$E$3)&lt;1,0,IFERROR(LOOKUP(2,1/('Feijão 2ª safra'!$E63:INDEX('Feijão 2ª safra'!$E63:$Z63,MIN(AP$6-$E$3,22))&lt;&gt;""),'Feijão 2ª safra'!$E63:INDEX('Feijão 2ª safra'!$E63:$Z63,MIN(AP$6-$E$3,22))),0))-IF($G$2,0,IF((AP$6-$G$3)&lt;1,0,IFERROR(LOOKUP(2,1/('Feijão 2ª safra'!$E63:INDEX('Feijão 2ª safra'!$E63:$Z63,MIN(AP$6-$G$3,22))&lt;&gt;""),'Feijão 2ª safra'!$E63:INDEX('Feijão 2ª safra'!$E63:$Z63,MIN(AP$6-$G$3,22))),0)))))</f>
        <v>0</v>
      </c>
      <c r="AQ65" s="27" t="n">
        <f aca="false">IF(COUNT('Feijão 2ª safra'!$E63:$Z63)=0,0,MAX(0,IF((AQ$6-$E$3)&lt;1,0,IFERROR(LOOKUP(2,1/('Feijão 2ª safra'!$E63:INDEX('Feijão 2ª safra'!$E63:$Z63,MIN(AQ$6-$E$3,22))&lt;&gt;""),'Feijão 2ª safra'!$E63:INDEX('Feijão 2ª safra'!$E63:$Z63,MIN(AQ$6-$E$3,22))),0))-IF($G$2,0,IF((AQ$6-$G$3)&lt;1,0,IFERROR(LOOKUP(2,1/('Feijão 2ª safra'!$E63:INDEX('Feijão 2ª safra'!$E63:$Z63,MIN(AQ$6-$G$3,22))&lt;&gt;""),'Feijão 2ª safra'!$E63:INDEX('Feijão 2ª safra'!$E63:$Z63,MIN(AQ$6-$G$3,22))),0)))))</f>
        <v>0</v>
      </c>
      <c r="AR65" s="27" t="n">
        <f aca="false">IF(COUNT('Feijão 2ª safra'!$E63:$Z63)=0,0,MAX(0,IF((AR$6-$E$3)&lt;1,0,IFERROR(LOOKUP(2,1/('Feijão 2ª safra'!$E63:INDEX('Feijão 2ª safra'!$E63:$Z63,MIN(AR$6-$E$3,22))&lt;&gt;""),'Feijão 2ª safra'!$E63:INDEX('Feijão 2ª safra'!$E63:$Z63,MIN(AR$6-$E$3,22))),0))-IF($G$2,0,IF((AR$6-$G$3)&lt;1,0,IFERROR(LOOKUP(2,1/('Feijão 2ª safra'!$E63:INDEX('Feijão 2ª safra'!$E63:$Z63,MIN(AR$6-$G$3,22))&lt;&gt;""),'Feijão 2ª safra'!$E63:INDEX('Feijão 2ª safra'!$E63:$Z63,MIN(AR$6-$G$3,22))),0)))))</f>
        <v>0</v>
      </c>
      <c r="AS65" s="27" t="n">
        <f aca="false">IF(COUNT('Feijão 2ª safra'!$E63:$Z63)=0,0,MAX(0,IF((AS$6-$E$3)&lt;1,0,IFERROR(LOOKUP(2,1/('Feijão 2ª safra'!$E63:INDEX('Feijão 2ª safra'!$E63:$Z63,MIN(AS$6-$E$3,22))&lt;&gt;""),'Feijão 2ª safra'!$E63:INDEX('Feijão 2ª safra'!$E63:$Z63,MIN(AS$6-$E$3,22))),0))-IF($G$2,0,IF((AS$6-$G$3)&lt;1,0,IFERROR(LOOKUP(2,1/('Feijão 2ª safra'!$E63:INDEX('Feijão 2ª safra'!$E63:$Z63,MIN(AS$6-$G$3,22))&lt;&gt;""),'Feijão 2ª safra'!$E63:INDEX('Feijão 2ª safra'!$E63:$Z63,MIN(AS$6-$G$3,22))),0)))))</f>
        <v>0</v>
      </c>
      <c r="AT65" s="27" t="n">
        <f aca="false">IF(COUNT('Feijão 2ª safra'!$E63:$Z63)=0,0,MAX(0,IF((AT$6-$E$3)&lt;1,0,IFERROR(LOOKUP(2,1/('Feijão 2ª safra'!$E63:INDEX('Feijão 2ª safra'!$E63:$Z63,MIN(AT$6-$E$3,22))&lt;&gt;""),'Feijão 2ª safra'!$E63:INDEX('Feijão 2ª safra'!$E63:$Z63,MIN(AT$6-$E$3,22))),0))-IF($G$2,0,IF((AT$6-$G$3)&lt;1,0,IFERROR(LOOKUP(2,1/('Feijão 2ª safra'!$E63:INDEX('Feijão 2ª safra'!$E63:$Z63,MIN(AT$6-$G$3,22))&lt;&gt;""),'Feijão 2ª safra'!$E63:INDEX('Feijão 2ª safra'!$E63:$Z63,MIN(AT$6-$G$3,22))),0)))))</f>
        <v>0</v>
      </c>
      <c r="AU65" s="27" t="n">
        <f aca="false">IF(COUNT('Feijão 2ª safra'!$E63:$Z63)=0,0,MAX(0,IF((AU$6-$E$3)&lt;1,0,IFERROR(LOOKUP(2,1/('Feijão 2ª safra'!$E63:INDEX('Feijão 2ª safra'!$E63:$Z63,MIN(AU$6-$E$3,22))&lt;&gt;""),'Feijão 2ª safra'!$E63:INDEX('Feijão 2ª safra'!$E63:$Z63,MIN(AU$6-$E$3,22))),0))-IF($G$2,0,IF((AU$6-$G$3)&lt;1,0,IFERROR(LOOKUP(2,1/('Feijão 2ª safra'!$E63:INDEX('Feijão 2ª safra'!$E63:$Z63,MIN(AU$6-$G$3,22))&lt;&gt;""),'Feijão 2ª safra'!$E63:INDEX('Feijão 2ª safra'!$E63:$Z63,MIN(AU$6-$G$3,22))),0)))))</f>
        <v>0</v>
      </c>
      <c r="AV65" s="27" t="n">
        <f aca="false">IF(COUNT('Feijão 2ª safra'!$E63:$Z63)=0,0,MAX(0,IF((AV$6-$E$3)&lt;1,0,IFERROR(LOOKUP(2,1/('Feijão 2ª safra'!$E63:INDEX('Feijão 2ª safra'!$E63:$Z63,MIN(AV$6-$E$3,22))&lt;&gt;""),'Feijão 2ª safra'!$E63:INDEX('Feijão 2ª safra'!$E63:$Z63,MIN(AV$6-$E$3,22))),0))-IF($G$2,0,IF((AV$6-$G$3)&lt;1,0,IFERROR(LOOKUP(2,1/('Feijão 2ª safra'!$E63:INDEX('Feijão 2ª safra'!$E63:$Z63,MIN(AV$6-$G$3,22))&lt;&gt;""),'Feijão 2ª safra'!$E63:INDEX('Feijão 2ª safra'!$E63:$Z63,MIN(AV$6-$G$3,22))),0)))))</f>
        <v>0</v>
      </c>
      <c r="AW65" s="27" t="n">
        <f aca="false">IF(COUNT('Feijão 2ª safra'!$E63:$Z63)=0,0,MAX(0,IF((AW$6-$E$3)&lt;1,0,IFERROR(LOOKUP(2,1/('Feijão 2ª safra'!$E63:INDEX('Feijão 2ª safra'!$E63:$Z63,MIN(AW$6-$E$3,22))&lt;&gt;""),'Feijão 2ª safra'!$E63:INDEX('Feijão 2ª safra'!$E63:$Z63,MIN(AW$6-$E$3,22))),0))-IF($G$2,0,IF((AW$6-$G$3)&lt;1,0,IFERROR(LOOKUP(2,1/('Feijão 2ª safra'!$E63:INDEX('Feijão 2ª safra'!$E63:$Z63,MIN(AW$6-$G$3,22))&lt;&gt;""),'Feijão 2ª safra'!$E63:INDEX('Feijão 2ª safra'!$E63:$Z63,MIN(AW$6-$G$3,22))),0)))))</f>
        <v>0</v>
      </c>
      <c r="AX65" s="27" t="n">
        <f aca="false">IF(COUNT('Feijão 2ª safra'!$E63:$Z63)=0,0,MAX(0,IF((AX$6-$E$3)&lt;1,0,IFERROR(LOOKUP(2,1/('Feijão 2ª safra'!$E63:INDEX('Feijão 2ª safra'!$E63:$Z63,MIN(AX$6-$E$3,22))&lt;&gt;""),'Feijão 2ª safra'!$E63:INDEX('Feijão 2ª safra'!$E63:$Z63,MIN(AX$6-$E$3,22))),0))-IF($G$2,0,IF((AX$6-$G$3)&lt;1,0,IFERROR(LOOKUP(2,1/('Feijão 2ª safra'!$E63:INDEX('Feijão 2ª safra'!$E63:$Z63,MIN(AX$6-$G$3,22))&lt;&gt;""),'Feijão 2ª safra'!$E63:INDEX('Feijão 2ª safra'!$E63:$Z63,MIN(AX$6-$G$3,22))),0)))))</f>
        <v>0</v>
      </c>
      <c r="AY65" s="27" t="n">
        <f aca="false">IF(COUNT('Feijão 2ª safra'!$E63:$Z63)=0,0,MAX(0,IF((AY$6-$E$3)&lt;1,0,IFERROR(LOOKUP(2,1/('Feijão 2ª safra'!$E63:INDEX('Feijão 2ª safra'!$E63:$Z63,MIN(AY$6-$E$3,22))&lt;&gt;""),'Feijão 2ª safra'!$E63:INDEX('Feijão 2ª safra'!$E63:$Z63,MIN(AY$6-$E$3,22))),0))-IF($G$2,0,IF((AY$6-$G$3)&lt;1,0,IFERROR(LOOKUP(2,1/('Feijão 2ª safra'!$E63:INDEX('Feijão 2ª safra'!$E63:$Z63,MIN(AY$6-$G$3,22))&lt;&gt;""),'Feijão 2ª safra'!$E63:INDEX('Feijão 2ª safra'!$E63:$Z63,MIN(AY$6-$G$3,22))),0)))))</f>
        <v>0</v>
      </c>
      <c r="AZ65" s="27" t="n">
        <f aca="false">IF(COUNT('Feijão 2ª safra'!$E63:$Z63)=0,0,MAX(0,IF((AZ$6-$E$3)&lt;1,0,IFERROR(LOOKUP(2,1/('Feijão 2ª safra'!$E63:INDEX('Feijão 2ª safra'!$E63:$Z63,MIN(AZ$6-$E$3,22))&lt;&gt;""),'Feijão 2ª safra'!$E63:INDEX('Feijão 2ª safra'!$E63:$Z63,MIN(AZ$6-$E$3,22))),0))-IF($G$2,0,IF((AZ$6-$G$3)&lt;1,0,IFERROR(LOOKUP(2,1/('Feijão 2ª safra'!$E63:INDEX('Feijão 2ª safra'!$E63:$Z63,MIN(AZ$6-$G$3,22))&lt;&gt;""),'Feijão 2ª safra'!$E63:INDEX('Feijão 2ª safra'!$E63:$Z63,MIN(AZ$6-$G$3,22))),0)))))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IF(COUNT('Feijão 2ª safra'!$E64:$Z64)&gt;0,N('Feijão 2ª safra'!$D64),0)</f>
        <v>0</v>
      </c>
      <c r="E66" s="27" t="n">
        <f aca="false">IF(COUNT('Feijão 2ª safra'!$E64:$Z64)=0,0,MAX(0,IF((E$6-$E$3)&lt;1,0,IFERROR(LOOKUP(2,1/('Feijão 2ª safra'!$E64:INDEX('Feijão 2ª safra'!$E64:$Z64,MIN(E$6-$E$3,22))&lt;&gt;""),'Feijão 2ª safra'!$E64:INDEX('Feijão 2ª safra'!$E64:$Z64,MIN(E$6-$E$3,22))),0))-IF($G$2,0,IF((E$6-$G$3)&lt;1,0,IFERROR(LOOKUP(2,1/('Feijão 2ª safra'!$E64:INDEX('Feijão 2ª safra'!$E64:$Z64,MIN(E$6-$G$3,22))&lt;&gt;""),'Feijão 2ª safra'!$E64:INDEX('Feijão 2ª safra'!$E64:$Z64,MIN(E$6-$G$3,22))),0)))))</f>
        <v>0</v>
      </c>
      <c r="F66" s="27" t="n">
        <f aca="false">IF(COUNT('Feijão 2ª safra'!$E64:$Z64)=0,0,MAX(0,IF((F$6-$E$3)&lt;1,0,IFERROR(LOOKUP(2,1/('Feijão 2ª safra'!$E64:INDEX('Feijão 2ª safra'!$E64:$Z64,MIN(F$6-$E$3,22))&lt;&gt;""),'Feijão 2ª safra'!$E64:INDEX('Feijão 2ª safra'!$E64:$Z64,MIN(F$6-$E$3,22))),0))-IF($G$2,0,IF((F$6-$G$3)&lt;1,0,IFERROR(LOOKUP(2,1/('Feijão 2ª safra'!$E64:INDEX('Feijão 2ª safra'!$E64:$Z64,MIN(F$6-$G$3,22))&lt;&gt;""),'Feijão 2ª safra'!$E64:INDEX('Feijão 2ª safra'!$E64:$Z64,MIN(F$6-$G$3,22))),0)))))</f>
        <v>0</v>
      </c>
      <c r="G66" s="27" t="n">
        <f aca="false">IF(COUNT('Feijão 2ª safra'!$E64:$Z64)=0,0,MAX(0,IF((G$6-$E$3)&lt;1,0,IFERROR(LOOKUP(2,1/('Feijão 2ª safra'!$E64:INDEX('Feijão 2ª safra'!$E64:$Z64,MIN(G$6-$E$3,22))&lt;&gt;""),'Feijão 2ª safra'!$E64:INDEX('Feijão 2ª safra'!$E64:$Z64,MIN(G$6-$E$3,22))),0))-IF($G$2,0,IF((G$6-$G$3)&lt;1,0,IFERROR(LOOKUP(2,1/('Feijão 2ª safra'!$E64:INDEX('Feijão 2ª safra'!$E64:$Z64,MIN(G$6-$G$3,22))&lt;&gt;""),'Feijão 2ª safra'!$E64:INDEX('Feijão 2ª safra'!$E64:$Z64,MIN(G$6-$G$3,22))),0)))))</f>
        <v>0</v>
      </c>
      <c r="H66" s="27" t="n">
        <f aca="false">IF(COUNT('Feijão 2ª safra'!$E64:$Z64)=0,0,MAX(0,IF((H$6-$E$3)&lt;1,0,IFERROR(LOOKUP(2,1/('Feijão 2ª safra'!$E64:INDEX('Feijão 2ª safra'!$E64:$Z64,MIN(H$6-$E$3,22))&lt;&gt;""),'Feijão 2ª safra'!$E64:INDEX('Feijão 2ª safra'!$E64:$Z64,MIN(H$6-$E$3,22))),0))-IF($G$2,0,IF((H$6-$G$3)&lt;1,0,IFERROR(LOOKUP(2,1/('Feijão 2ª safra'!$E64:INDEX('Feijão 2ª safra'!$E64:$Z64,MIN(H$6-$G$3,22))&lt;&gt;""),'Feijão 2ª safra'!$E64:INDEX('Feijão 2ª safra'!$E64:$Z64,MIN(H$6-$G$3,22))),0)))))</f>
        <v>0</v>
      </c>
      <c r="I66" s="27" t="n">
        <f aca="false">IF(COUNT('Feijão 2ª safra'!$E64:$Z64)=0,0,MAX(0,IF((I$6-$E$3)&lt;1,0,IFERROR(LOOKUP(2,1/('Feijão 2ª safra'!$E64:INDEX('Feijão 2ª safra'!$E64:$Z64,MIN(I$6-$E$3,22))&lt;&gt;""),'Feijão 2ª safra'!$E64:INDEX('Feijão 2ª safra'!$E64:$Z64,MIN(I$6-$E$3,22))),0))-IF($G$2,0,IF((I$6-$G$3)&lt;1,0,IFERROR(LOOKUP(2,1/('Feijão 2ª safra'!$E64:INDEX('Feijão 2ª safra'!$E64:$Z64,MIN(I$6-$G$3,22))&lt;&gt;""),'Feijão 2ª safra'!$E64:INDEX('Feijão 2ª safra'!$E64:$Z64,MIN(I$6-$G$3,22))),0)))))</f>
        <v>0</v>
      </c>
      <c r="J66" s="27" t="n">
        <f aca="false">IF(COUNT('Feijão 2ª safra'!$E64:$Z64)=0,0,MAX(0,IF((J$6-$E$3)&lt;1,0,IFERROR(LOOKUP(2,1/('Feijão 2ª safra'!$E64:INDEX('Feijão 2ª safra'!$E64:$Z64,MIN(J$6-$E$3,22))&lt;&gt;""),'Feijão 2ª safra'!$E64:INDEX('Feijão 2ª safra'!$E64:$Z64,MIN(J$6-$E$3,22))),0))-IF($G$2,0,IF((J$6-$G$3)&lt;1,0,IFERROR(LOOKUP(2,1/('Feijão 2ª safra'!$E64:INDEX('Feijão 2ª safra'!$E64:$Z64,MIN(J$6-$G$3,22))&lt;&gt;""),'Feijão 2ª safra'!$E64:INDEX('Feijão 2ª safra'!$E64:$Z64,MIN(J$6-$G$3,22))),0)))))</f>
        <v>0</v>
      </c>
      <c r="K66" s="27" t="n">
        <f aca="false">IF(COUNT('Feijão 2ª safra'!$E64:$Z64)=0,0,MAX(0,IF((K$6-$E$3)&lt;1,0,IFERROR(LOOKUP(2,1/('Feijão 2ª safra'!$E64:INDEX('Feijão 2ª safra'!$E64:$Z64,MIN(K$6-$E$3,22))&lt;&gt;""),'Feijão 2ª safra'!$E64:INDEX('Feijão 2ª safra'!$E64:$Z64,MIN(K$6-$E$3,22))),0))-IF($G$2,0,IF((K$6-$G$3)&lt;1,0,IFERROR(LOOKUP(2,1/('Feijão 2ª safra'!$E64:INDEX('Feijão 2ª safra'!$E64:$Z64,MIN(K$6-$G$3,22))&lt;&gt;""),'Feijão 2ª safra'!$E64:INDEX('Feijão 2ª safra'!$E64:$Z64,MIN(K$6-$G$3,22))),0)))))</f>
        <v>0</v>
      </c>
      <c r="L66" s="27" t="n">
        <f aca="false">IF(COUNT('Feijão 2ª safra'!$E64:$Z64)=0,0,MAX(0,IF((L$6-$E$3)&lt;1,0,IFERROR(LOOKUP(2,1/('Feijão 2ª safra'!$E64:INDEX('Feijão 2ª safra'!$E64:$Z64,MIN(L$6-$E$3,22))&lt;&gt;""),'Feijão 2ª safra'!$E64:INDEX('Feijão 2ª safra'!$E64:$Z64,MIN(L$6-$E$3,22))),0))-IF($G$2,0,IF((L$6-$G$3)&lt;1,0,IFERROR(LOOKUP(2,1/('Feijão 2ª safra'!$E64:INDEX('Feijão 2ª safra'!$E64:$Z64,MIN(L$6-$G$3,22))&lt;&gt;""),'Feijão 2ª safra'!$E64:INDEX('Feijão 2ª safra'!$E64:$Z64,MIN(L$6-$G$3,22))),0)))))</f>
        <v>0</v>
      </c>
      <c r="M66" s="27" t="n">
        <f aca="false">IF(COUNT('Feijão 2ª safra'!$E64:$Z64)=0,0,MAX(0,IF((M$6-$E$3)&lt;1,0,IFERROR(LOOKUP(2,1/('Feijão 2ª safra'!$E64:INDEX('Feijão 2ª safra'!$E64:$Z64,MIN(M$6-$E$3,22))&lt;&gt;""),'Feijão 2ª safra'!$E64:INDEX('Feijão 2ª safra'!$E64:$Z64,MIN(M$6-$E$3,22))),0))-IF($G$2,0,IF((M$6-$G$3)&lt;1,0,IFERROR(LOOKUP(2,1/('Feijão 2ª safra'!$E64:INDEX('Feijão 2ª safra'!$E64:$Z64,MIN(M$6-$G$3,22))&lt;&gt;""),'Feijão 2ª safra'!$E64:INDEX('Feijão 2ª safra'!$E64:$Z64,MIN(M$6-$G$3,22))),0)))))</f>
        <v>0</v>
      </c>
      <c r="N66" s="27" t="n">
        <f aca="false">IF(COUNT('Feijão 2ª safra'!$E64:$Z64)=0,0,MAX(0,IF((N$6-$E$3)&lt;1,0,IFERROR(LOOKUP(2,1/('Feijão 2ª safra'!$E64:INDEX('Feijão 2ª safra'!$E64:$Z64,MIN(N$6-$E$3,22))&lt;&gt;""),'Feijão 2ª safra'!$E64:INDEX('Feijão 2ª safra'!$E64:$Z64,MIN(N$6-$E$3,22))),0))-IF($G$2,0,IF((N$6-$G$3)&lt;1,0,IFERROR(LOOKUP(2,1/('Feijão 2ª safra'!$E64:INDEX('Feijão 2ª safra'!$E64:$Z64,MIN(N$6-$G$3,22))&lt;&gt;""),'Feijão 2ª safra'!$E64:INDEX('Feijão 2ª safra'!$E64:$Z64,MIN(N$6-$G$3,22))),0)))))</f>
        <v>0</v>
      </c>
      <c r="O66" s="27" t="n">
        <f aca="false">IF(COUNT('Feijão 2ª safra'!$E64:$Z64)=0,0,MAX(0,IF((O$6-$E$3)&lt;1,0,IFERROR(LOOKUP(2,1/('Feijão 2ª safra'!$E64:INDEX('Feijão 2ª safra'!$E64:$Z64,MIN(O$6-$E$3,22))&lt;&gt;""),'Feijão 2ª safra'!$E64:INDEX('Feijão 2ª safra'!$E64:$Z64,MIN(O$6-$E$3,22))),0))-IF($G$2,0,IF((O$6-$G$3)&lt;1,0,IFERROR(LOOKUP(2,1/('Feijão 2ª safra'!$E64:INDEX('Feijão 2ª safra'!$E64:$Z64,MIN(O$6-$G$3,22))&lt;&gt;""),'Feijão 2ª safra'!$E64:INDEX('Feijão 2ª safra'!$E64:$Z64,MIN(O$6-$G$3,22))),0)))))</f>
        <v>0</v>
      </c>
      <c r="P66" s="27" t="n">
        <f aca="false">IF(COUNT('Feijão 2ª safra'!$E64:$Z64)=0,0,MAX(0,IF((P$6-$E$3)&lt;1,0,IFERROR(LOOKUP(2,1/('Feijão 2ª safra'!$E64:INDEX('Feijão 2ª safra'!$E64:$Z64,MIN(P$6-$E$3,22))&lt;&gt;""),'Feijão 2ª safra'!$E64:INDEX('Feijão 2ª safra'!$E64:$Z64,MIN(P$6-$E$3,22))),0))-IF($G$2,0,IF((P$6-$G$3)&lt;1,0,IFERROR(LOOKUP(2,1/('Feijão 2ª safra'!$E64:INDEX('Feijão 2ª safra'!$E64:$Z64,MIN(P$6-$G$3,22))&lt;&gt;""),'Feijão 2ª safra'!$E64:INDEX('Feijão 2ª safra'!$E64:$Z64,MIN(P$6-$G$3,22))),0)))))</f>
        <v>0</v>
      </c>
      <c r="Q66" s="27" t="n">
        <f aca="false">IF(COUNT('Feijão 2ª safra'!$E64:$Z64)=0,0,MAX(0,IF((Q$6-$E$3)&lt;1,0,IFERROR(LOOKUP(2,1/('Feijão 2ª safra'!$E64:INDEX('Feijão 2ª safra'!$E64:$Z64,MIN(Q$6-$E$3,22))&lt;&gt;""),'Feijão 2ª safra'!$E64:INDEX('Feijão 2ª safra'!$E64:$Z64,MIN(Q$6-$E$3,22))),0))-IF($G$2,0,IF((Q$6-$G$3)&lt;1,0,IFERROR(LOOKUP(2,1/('Feijão 2ª safra'!$E64:INDEX('Feijão 2ª safra'!$E64:$Z64,MIN(Q$6-$G$3,22))&lt;&gt;""),'Feijão 2ª safra'!$E64:INDEX('Feijão 2ª safra'!$E64:$Z64,MIN(Q$6-$G$3,22))),0)))))</f>
        <v>0</v>
      </c>
      <c r="R66" s="27" t="n">
        <f aca="false">IF(COUNT('Feijão 2ª safra'!$E64:$Z64)=0,0,MAX(0,IF((R$6-$E$3)&lt;1,0,IFERROR(LOOKUP(2,1/('Feijão 2ª safra'!$E64:INDEX('Feijão 2ª safra'!$E64:$Z64,MIN(R$6-$E$3,22))&lt;&gt;""),'Feijão 2ª safra'!$E64:INDEX('Feijão 2ª safra'!$E64:$Z64,MIN(R$6-$E$3,22))),0))-IF($G$2,0,IF((R$6-$G$3)&lt;1,0,IFERROR(LOOKUP(2,1/('Feijão 2ª safra'!$E64:INDEX('Feijão 2ª safra'!$E64:$Z64,MIN(R$6-$G$3,22))&lt;&gt;""),'Feijão 2ª safra'!$E64:INDEX('Feijão 2ª safra'!$E64:$Z64,MIN(R$6-$G$3,22))),0)))))</f>
        <v>0</v>
      </c>
      <c r="S66" s="27" t="n">
        <f aca="false">IF(COUNT('Feijão 2ª safra'!$E64:$Z64)=0,0,MAX(0,IF((S$6-$E$3)&lt;1,0,IFERROR(LOOKUP(2,1/('Feijão 2ª safra'!$E64:INDEX('Feijão 2ª safra'!$E64:$Z64,MIN(S$6-$E$3,22))&lt;&gt;""),'Feijão 2ª safra'!$E64:INDEX('Feijão 2ª safra'!$E64:$Z64,MIN(S$6-$E$3,22))),0))-IF($G$2,0,IF((S$6-$G$3)&lt;1,0,IFERROR(LOOKUP(2,1/('Feijão 2ª safra'!$E64:INDEX('Feijão 2ª safra'!$E64:$Z64,MIN(S$6-$G$3,22))&lt;&gt;""),'Feijão 2ª safra'!$E64:INDEX('Feijão 2ª safra'!$E64:$Z64,MIN(S$6-$G$3,22))),0)))))</f>
        <v>0</v>
      </c>
      <c r="T66" s="27" t="n">
        <f aca="false">IF(COUNT('Feijão 2ª safra'!$E64:$Z64)=0,0,MAX(0,IF((T$6-$E$3)&lt;1,0,IFERROR(LOOKUP(2,1/('Feijão 2ª safra'!$E64:INDEX('Feijão 2ª safra'!$E64:$Z64,MIN(T$6-$E$3,22))&lt;&gt;""),'Feijão 2ª safra'!$E64:INDEX('Feijão 2ª safra'!$E64:$Z64,MIN(T$6-$E$3,22))),0))-IF($G$2,0,IF((T$6-$G$3)&lt;1,0,IFERROR(LOOKUP(2,1/('Feijão 2ª safra'!$E64:INDEX('Feijão 2ª safra'!$E64:$Z64,MIN(T$6-$G$3,22))&lt;&gt;""),'Feijão 2ª safra'!$E64:INDEX('Feijão 2ª safra'!$E64:$Z64,MIN(T$6-$G$3,22))),0)))))</f>
        <v>0</v>
      </c>
      <c r="U66" s="27" t="n">
        <f aca="false">IF(COUNT('Feijão 2ª safra'!$E64:$Z64)=0,0,MAX(0,IF((U$6-$E$3)&lt;1,0,IFERROR(LOOKUP(2,1/('Feijão 2ª safra'!$E64:INDEX('Feijão 2ª safra'!$E64:$Z64,MIN(U$6-$E$3,22))&lt;&gt;""),'Feijão 2ª safra'!$E64:INDEX('Feijão 2ª safra'!$E64:$Z64,MIN(U$6-$E$3,22))),0))-IF($G$2,0,IF((U$6-$G$3)&lt;1,0,IFERROR(LOOKUP(2,1/('Feijão 2ª safra'!$E64:INDEX('Feijão 2ª safra'!$E64:$Z64,MIN(U$6-$G$3,22))&lt;&gt;""),'Feijão 2ª safra'!$E64:INDEX('Feijão 2ª safra'!$E64:$Z64,MIN(U$6-$G$3,22))),0)))))</f>
        <v>0</v>
      </c>
      <c r="V66" s="27" t="n">
        <f aca="false">IF(COUNT('Feijão 2ª safra'!$E64:$Z64)=0,0,MAX(0,IF((V$6-$E$3)&lt;1,0,IFERROR(LOOKUP(2,1/('Feijão 2ª safra'!$E64:INDEX('Feijão 2ª safra'!$E64:$Z64,MIN(V$6-$E$3,22))&lt;&gt;""),'Feijão 2ª safra'!$E64:INDEX('Feijão 2ª safra'!$E64:$Z64,MIN(V$6-$E$3,22))),0))-IF($G$2,0,IF((V$6-$G$3)&lt;1,0,IFERROR(LOOKUP(2,1/('Feijão 2ª safra'!$E64:INDEX('Feijão 2ª safra'!$E64:$Z64,MIN(V$6-$G$3,22))&lt;&gt;""),'Feijão 2ª safra'!$E64:INDEX('Feijão 2ª safra'!$E64:$Z64,MIN(V$6-$G$3,22))),0)))))</f>
        <v>0</v>
      </c>
      <c r="W66" s="27" t="n">
        <f aca="false">IF(COUNT('Feijão 2ª safra'!$E64:$Z64)=0,0,MAX(0,IF((W$6-$E$3)&lt;1,0,IFERROR(LOOKUP(2,1/('Feijão 2ª safra'!$E64:INDEX('Feijão 2ª safra'!$E64:$Z64,MIN(W$6-$E$3,22))&lt;&gt;""),'Feijão 2ª safra'!$E64:INDEX('Feijão 2ª safra'!$E64:$Z64,MIN(W$6-$E$3,22))),0))-IF($G$2,0,IF((W$6-$G$3)&lt;1,0,IFERROR(LOOKUP(2,1/('Feijão 2ª safra'!$E64:INDEX('Feijão 2ª safra'!$E64:$Z64,MIN(W$6-$G$3,22))&lt;&gt;""),'Feijão 2ª safra'!$E64:INDEX('Feijão 2ª safra'!$E64:$Z64,MIN(W$6-$G$3,22))),0)))))</f>
        <v>0</v>
      </c>
      <c r="X66" s="27" t="n">
        <f aca="false">IF(COUNT('Feijão 2ª safra'!$E64:$Z64)=0,0,MAX(0,IF((X$6-$E$3)&lt;1,0,IFERROR(LOOKUP(2,1/('Feijão 2ª safra'!$E64:INDEX('Feijão 2ª safra'!$E64:$Z64,MIN(X$6-$E$3,22))&lt;&gt;""),'Feijão 2ª safra'!$E64:INDEX('Feijão 2ª safra'!$E64:$Z64,MIN(X$6-$E$3,22))),0))-IF($G$2,0,IF((X$6-$G$3)&lt;1,0,IFERROR(LOOKUP(2,1/('Feijão 2ª safra'!$E64:INDEX('Feijão 2ª safra'!$E64:$Z64,MIN(X$6-$G$3,22))&lt;&gt;""),'Feijão 2ª safra'!$E64:INDEX('Feijão 2ª safra'!$E64:$Z64,MIN(X$6-$G$3,22))),0)))))</f>
        <v>0</v>
      </c>
      <c r="Y66" s="27" t="n">
        <f aca="false">IF(COUNT('Feijão 2ª safra'!$E64:$Z64)=0,0,MAX(0,IF((Y$6-$E$3)&lt;1,0,IFERROR(LOOKUP(2,1/('Feijão 2ª safra'!$E64:INDEX('Feijão 2ª safra'!$E64:$Z64,MIN(Y$6-$E$3,22))&lt;&gt;""),'Feijão 2ª safra'!$E64:INDEX('Feijão 2ª safra'!$E64:$Z64,MIN(Y$6-$E$3,22))),0))-IF($G$2,0,IF((Y$6-$G$3)&lt;1,0,IFERROR(LOOKUP(2,1/('Feijão 2ª safra'!$E64:INDEX('Feijão 2ª safra'!$E64:$Z64,MIN(Y$6-$G$3,22))&lt;&gt;""),'Feijão 2ª safra'!$E64:INDEX('Feijão 2ª safra'!$E64:$Z64,MIN(Y$6-$G$3,22))),0)))))</f>
        <v>0</v>
      </c>
      <c r="Z66" s="27" t="n">
        <f aca="false">IF(COUNT('Feijão 2ª safra'!$E64:$Z64)=0,0,MAX(0,IF((Z$6-$E$3)&lt;1,0,IFERROR(LOOKUP(2,1/('Feijão 2ª safra'!$E64:INDEX('Feijão 2ª safra'!$E64:$Z64,MIN(Z$6-$E$3,22))&lt;&gt;""),'Feijão 2ª safra'!$E64:INDEX('Feijão 2ª safra'!$E64:$Z64,MIN(Z$6-$E$3,22))),0))-IF($G$2,0,IF((Z$6-$G$3)&lt;1,0,IFERROR(LOOKUP(2,1/('Feijão 2ª safra'!$E64:INDEX('Feijão 2ª safra'!$E64:$Z64,MIN(Z$6-$G$3,22))&lt;&gt;""),'Feijão 2ª safra'!$E64:INDEX('Feijão 2ª safra'!$E64:$Z64,MIN(Z$6-$G$3,22))),0)))))</f>
        <v>0</v>
      </c>
      <c r="AA66" s="27" t="n">
        <f aca="false">IF(COUNT('Feijão 2ª safra'!$E64:$Z64)=0,0,MAX(0,IF((AA$6-$E$3)&lt;1,0,IFERROR(LOOKUP(2,1/('Feijão 2ª safra'!$E64:INDEX('Feijão 2ª safra'!$E64:$Z64,MIN(AA$6-$E$3,22))&lt;&gt;""),'Feijão 2ª safra'!$E64:INDEX('Feijão 2ª safra'!$E64:$Z64,MIN(AA$6-$E$3,22))),0))-IF($G$2,0,IF((AA$6-$G$3)&lt;1,0,IFERROR(LOOKUP(2,1/('Feijão 2ª safra'!$E64:INDEX('Feijão 2ª safra'!$E64:$Z64,MIN(AA$6-$G$3,22))&lt;&gt;""),'Feijão 2ª safra'!$E64:INDEX('Feijão 2ª safra'!$E64:$Z64,MIN(AA$6-$G$3,22))),0)))))</f>
        <v>0</v>
      </c>
      <c r="AB66" s="27" t="n">
        <f aca="false">IF(COUNT('Feijão 2ª safra'!$E64:$Z64)=0,0,MAX(0,IF((AB$6-$E$3)&lt;1,0,IFERROR(LOOKUP(2,1/('Feijão 2ª safra'!$E64:INDEX('Feijão 2ª safra'!$E64:$Z64,MIN(AB$6-$E$3,22))&lt;&gt;""),'Feijão 2ª safra'!$E64:INDEX('Feijão 2ª safra'!$E64:$Z64,MIN(AB$6-$E$3,22))),0))-IF($G$2,0,IF((AB$6-$G$3)&lt;1,0,IFERROR(LOOKUP(2,1/('Feijão 2ª safra'!$E64:INDEX('Feijão 2ª safra'!$E64:$Z64,MIN(AB$6-$G$3,22))&lt;&gt;""),'Feijão 2ª safra'!$E64:INDEX('Feijão 2ª safra'!$E64:$Z64,MIN(AB$6-$G$3,22))),0)))))</f>
        <v>0</v>
      </c>
      <c r="AC66" s="27" t="n">
        <f aca="false">IF(COUNT('Feijão 2ª safra'!$E64:$Z64)=0,0,MAX(0,IF((AC$6-$E$3)&lt;1,0,IFERROR(LOOKUP(2,1/('Feijão 2ª safra'!$E64:INDEX('Feijão 2ª safra'!$E64:$Z64,MIN(AC$6-$E$3,22))&lt;&gt;""),'Feijão 2ª safra'!$E64:INDEX('Feijão 2ª safra'!$E64:$Z64,MIN(AC$6-$E$3,22))),0))-IF($G$2,0,IF((AC$6-$G$3)&lt;1,0,IFERROR(LOOKUP(2,1/('Feijão 2ª safra'!$E64:INDEX('Feijão 2ª safra'!$E64:$Z64,MIN(AC$6-$G$3,22))&lt;&gt;""),'Feijão 2ª safra'!$E64:INDEX('Feijão 2ª safra'!$E64:$Z64,MIN(AC$6-$G$3,22))),0)))))</f>
        <v>0</v>
      </c>
      <c r="AD66" s="27" t="n">
        <f aca="false">IF(COUNT('Feijão 2ª safra'!$E64:$Z64)=0,0,MAX(0,IF((AD$6-$E$3)&lt;1,0,IFERROR(LOOKUP(2,1/('Feijão 2ª safra'!$E64:INDEX('Feijão 2ª safra'!$E64:$Z64,MIN(AD$6-$E$3,22))&lt;&gt;""),'Feijão 2ª safra'!$E64:INDEX('Feijão 2ª safra'!$E64:$Z64,MIN(AD$6-$E$3,22))),0))-IF($G$2,0,IF((AD$6-$G$3)&lt;1,0,IFERROR(LOOKUP(2,1/('Feijão 2ª safra'!$E64:INDEX('Feijão 2ª safra'!$E64:$Z64,MIN(AD$6-$G$3,22))&lt;&gt;""),'Feijão 2ª safra'!$E64:INDEX('Feijão 2ª safra'!$E64:$Z64,MIN(AD$6-$G$3,22))),0)))))</f>
        <v>0</v>
      </c>
      <c r="AE66" s="27" t="n">
        <f aca="false">IF(COUNT('Feijão 2ª safra'!$E64:$Z64)=0,0,MAX(0,IF((AE$6-$E$3)&lt;1,0,IFERROR(LOOKUP(2,1/('Feijão 2ª safra'!$E64:INDEX('Feijão 2ª safra'!$E64:$Z64,MIN(AE$6-$E$3,22))&lt;&gt;""),'Feijão 2ª safra'!$E64:INDEX('Feijão 2ª safra'!$E64:$Z64,MIN(AE$6-$E$3,22))),0))-IF($G$2,0,IF((AE$6-$G$3)&lt;1,0,IFERROR(LOOKUP(2,1/('Feijão 2ª safra'!$E64:INDEX('Feijão 2ª safra'!$E64:$Z64,MIN(AE$6-$G$3,22))&lt;&gt;""),'Feijão 2ª safra'!$E64:INDEX('Feijão 2ª safra'!$E64:$Z64,MIN(AE$6-$G$3,22))),0)))))</f>
        <v>0</v>
      </c>
      <c r="AF66" s="27" t="n">
        <f aca="false">IF(COUNT('Feijão 2ª safra'!$E64:$Z64)=0,0,MAX(0,IF((AF$6-$E$3)&lt;1,0,IFERROR(LOOKUP(2,1/('Feijão 2ª safra'!$E64:INDEX('Feijão 2ª safra'!$E64:$Z64,MIN(AF$6-$E$3,22))&lt;&gt;""),'Feijão 2ª safra'!$E64:INDEX('Feijão 2ª safra'!$E64:$Z64,MIN(AF$6-$E$3,22))),0))-IF($G$2,0,IF((AF$6-$G$3)&lt;1,0,IFERROR(LOOKUP(2,1/('Feijão 2ª safra'!$E64:INDEX('Feijão 2ª safra'!$E64:$Z64,MIN(AF$6-$G$3,22))&lt;&gt;""),'Feijão 2ª safra'!$E64:INDEX('Feijão 2ª safra'!$E64:$Z64,MIN(AF$6-$G$3,22))),0)))))</f>
        <v>0</v>
      </c>
      <c r="AG66" s="27" t="n">
        <f aca="false">IF(COUNT('Feijão 2ª safra'!$E64:$Z64)=0,0,MAX(0,IF((AG$6-$E$3)&lt;1,0,IFERROR(LOOKUP(2,1/('Feijão 2ª safra'!$E64:INDEX('Feijão 2ª safra'!$E64:$Z64,MIN(AG$6-$E$3,22))&lt;&gt;""),'Feijão 2ª safra'!$E64:INDEX('Feijão 2ª safra'!$E64:$Z64,MIN(AG$6-$E$3,22))),0))-IF($G$2,0,IF((AG$6-$G$3)&lt;1,0,IFERROR(LOOKUP(2,1/('Feijão 2ª safra'!$E64:INDEX('Feijão 2ª safra'!$E64:$Z64,MIN(AG$6-$G$3,22))&lt;&gt;""),'Feijão 2ª safra'!$E64:INDEX('Feijão 2ª safra'!$E64:$Z64,MIN(AG$6-$G$3,22))),0)))))</f>
        <v>0</v>
      </c>
      <c r="AH66" s="27" t="n">
        <f aca="false">IF(COUNT('Feijão 2ª safra'!$E64:$Z64)=0,0,MAX(0,IF((AH$6-$E$3)&lt;1,0,IFERROR(LOOKUP(2,1/('Feijão 2ª safra'!$E64:INDEX('Feijão 2ª safra'!$E64:$Z64,MIN(AH$6-$E$3,22))&lt;&gt;""),'Feijão 2ª safra'!$E64:INDEX('Feijão 2ª safra'!$E64:$Z64,MIN(AH$6-$E$3,22))),0))-IF($G$2,0,IF((AH$6-$G$3)&lt;1,0,IFERROR(LOOKUP(2,1/('Feijão 2ª safra'!$E64:INDEX('Feijão 2ª safra'!$E64:$Z64,MIN(AH$6-$G$3,22))&lt;&gt;""),'Feijão 2ª safra'!$E64:INDEX('Feijão 2ª safra'!$E64:$Z64,MIN(AH$6-$G$3,22))),0)))))</f>
        <v>0</v>
      </c>
      <c r="AI66" s="27" t="n">
        <f aca="false">IF(COUNT('Feijão 2ª safra'!$E64:$Z64)=0,0,MAX(0,IF((AI$6-$E$3)&lt;1,0,IFERROR(LOOKUP(2,1/('Feijão 2ª safra'!$E64:INDEX('Feijão 2ª safra'!$E64:$Z64,MIN(AI$6-$E$3,22))&lt;&gt;""),'Feijão 2ª safra'!$E64:INDEX('Feijão 2ª safra'!$E64:$Z64,MIN(AI$6-$E$3,22))),0))-IF($G$2,0,IF((AI$6-$G$3)&lt;1,0,IFERROR(LOOKUP(2,1/('Feijão 2ª safra'!$E64:INDEX('Feijão 2ª safra'!$E64:$Z64,MIN(AI$6-$G$3,22))&lt;&gt;""),'Feijão 2ª safra'!$E64:INDEX('Feijão 2ª safra'!$E64:$Z64,MIN(AI$6-$G$3,22))),0)))))</f>
        <v>0</v>
      </c>
      <c r="AJ66" s="27" t="n">
        <f aca="false">IF(COUNT('Feijão 2ª safra'!$E64:$Z64)=0,0,MAX(0,IF((AJ$6-$E$3)&lt;1,0,IFERROR(LOOKUP(2,1/('Feijão 2ª safra'!$E64:INDEX('Feijão 2ª safra'!$E64:$Z64,MIN(AJ$6-$E$3,22))&lt;&gt;""),'Feijão 2ª safra'!$E64:INDEX('Feijão 2ª safra'!$E64:$Z64,MIN(AJ$6-$E$3,22))),0))-IF($G$2,0,IF((AJ$6-$G$3)&lt;1,0,IFERROR(LOOKUP(2,1/('Feijão 2ª safra'!$E64:INDEX('Feijão 2ª safra'!$E64:$Z64,MIN(AJ$6-$G$3,22))&lt;&gt;""),'Feijão 2ª safra'!$E64:INDEX('Feijão 2ª safra'!$E64:$Z64,MIN(AJ$6-$G$3,22))),0)))))</f>
        <v>0</v>
      </c>
      <c r="AK66" s="27" t="n">
        <f aca="false">IF(COUNT('Feijão 2ª safra'!$E64:$Z64)=0,0,MAX(0,IF((AK$6-$E$3)&lt;1,0,IFERROR(LOOKUP(2,1/('Feijão 2ª safra'!$E64:INDEX('Feijão 2ª safra'!$E64:$Z64,MIN(AK$6-$E$3,22))&lt;&gt;""),'Feijão 2ª safra'!$E64:INDEX('Feijão 2ª safra'!$E64:$Z64,MIN(AK$6-$E$3,22))),0))-IF($G$2,0,IF((AK$6-$G$3)&lt;1,0,IFERROR(LOOKUP(2,1/('Feijão 2ª safra'!$E64:INDEX('Feijão 2ª safra'!$E64:$Z64,MIN(AK$6-$G$3,22))&lt;&gt;""),'Feijão 2ª safra'!$E64:INDEX('Feijão 2ª safra'!$E64:$Z64,MIN(AK$6-$G$3,22))),0)))))</f>
        <v>0</v>
      </c>
      <c r="AL66" s="27" t="n">
        <f aca="false">IF(COUNT('Feijão 2ª safra'!$E64:$Z64)=0,0,MAX(0,IF((AL$6-$E$3)&lt;1,0,IFERROR(LOOKUP(2,1/('Feijão 2ª safra'!$E64:INDEX('Feijão 2ª safra'!$E64:$Z64,MIN(AL$6-$E$3,22))&lt;&gt;""),'Feijão 2ª safra'!$E64:INDEX('Feijão 2ª safra'!$E64:$Z64,MIN(AL$6-$E$3,22))),0))-IF($G$2,0,IF((AL$6-$G$3)&lt;1,0,IFERROR(LOOKUP(2,1/('Feijão 2ª safra'!$E64:INDEX('Feijão 2ª safra'!$E64:$Z64,MIN(AL$6-$G$3,22))&lt;&gt;""),'Feijão 2ª safra'!$E64:INDEX('Feijão 2ª safra'!$E64:$Z64,MIN(AL$6-$G$3,22))),0)))))</f>
        <v>0</v>
      </c>
      <c r="AM66" s="27" t="n">
        <f aca="false">IF(COUNT('Feijão 2ª safra'!$E64:$Z64)=0,0,MAX(0,IF((AM$6-$E$3)&lt;1,0,IFERROR(LOOKUP(2,1/('Feijão 2ª safra'!$E64:INDEX('Feijão 2ª safra'!$E64:$Z64,MIN(AM$6-$E$3,22))&lt;&gt;""),'Feijão 2ª safra'!$E64:INDEX('Feijão 2ª safra'!$E64:$Z64,MIN(AM$6-$E$3,22))),0))-IF($G$2,0,IF((AM$6-$G$3)&lt;1,0,IFERROR(LOOKUP(2,1/('Feijão 2ª safra'!$E64:INDEX('Feijão 2ª safra'!$E64:$Z64,MIN(AM$6-$G$3,22))&lt;&gt;""),'Feijão 2ª safra'!$E64:INDEX('Feijão 2ª safra'!$E64:$Z64,MIN(AM$6-$G$3,22))),0)))))</f>
        <v>0</v>
      </c>
      <c r="AN66" s="27" t="n">
        <f aca="false">IF(COUNT('Feijão 2ª safra'!$E64:$Z64)=0,0,MAX(0,IF((AN$6-$E$3)&lt;1,0,IFERROR(LOOKUP(2,1/('Feijão 2ª safra'!$E64:INDEX('Feijão 2ª safra'!$E64:$Z64,MIN(AN$6-$E$3,22))&lt;&gt;""),'Feijão 2ª safra'!$E64:INDEX('Feijão 2ª safra'!$E64:$Z64,MIN(AN$6-$E$3,22))),0))-IF($G$2,0,IF((AN$6-$G$3)&lt;1,0,IFERROR(LOOKUP(2,1/('Feijão 2ª safra'!$E64:INDEX('Feijão 2ª safra'!$E64:$Z64,MIN(AN$6-$G$3,22))&lt;&gt;""),'Feijão 2ª safra'!$E64:INDEX('Feijão 2ª safra'!$E64:$Z64,MIN(AN$6-$G$3,22))),0)))))</f>
        <v>0</v>
      </c>
      <c r="AO66" s="27" t="n">
        <f aca="false">IF(COUNT('Feijão 2ª safra'!$E64:$Z64)=0,0,MAX(0,IF((AO$6-$E$3)&lt;1,0,IFERROR(LOOKUP(2,1/('Feijão 2ª safra'!$E64:INDEX('Feijão 2ª safra'!$E64:$Z64,MIN(AO$6-$E$3,22))&lt;&gt;""),'Feijão 2ª safra'!$E64:INDEX('Feijão 2ª safra'!$E64:$Z64,MIN(AO$6-$E$3,22))),0))-IF($G$2,0,IF((AO$6-$G$3)&lt;1,0,IFERROR(LOOKUP(2,1/('Feijão 2ª safra'!$E64:INDEX('Feijão 2ª safra'!$E64:$Z64,MIN(AO$6-$G$3,22))&lt;&gt;""),'Feijão 2ª safra'!$E64:INDEX('Feijão 2ª safra'!$E64:$Z64,MIN(AO$6-$G$3,22))),0)))))</f>
        <v>0</v>
      </c>
      <c r="AP66" s="27" t="n">
        <f aca="false">IF(COUNT('Feijão 2ª safra'!$E64:$Z64)=0,0,MAX(0,IF((AP$6-$E$3)&lt;1,0,IFERROR(LOOKUP(2,1/('Feijão 2ª safra'!$E64:INDEX('Feijão 2ª safra'!$E64:$Z64,MIN(AP$6-$E$3,22))&lt;&gt;""),'Feijão 2ª safra'!$E64:INDEX('Feijão 2ª safra'!$E64:$Z64,MIN(AP$6-$E$3,22))),0))-IF($G$2,0,IF((AP$6-$G$3)&lt;1,0,IFERROR(LOOKUP(2,1/('Feijão 2ª safra'!$E64:INDEX('Feijão 2ª safra'!$E64:$Z64,MIN(AP$6-$G$3,22))&lt;&gt;""),'Feijão 2ª safra'!$E64:INDEX('Feijão 2ª safra'!$E64:$Z64,MIN(AP$6-$G$3,22))),0)))))</f>
        <v>0</v>
      </c>
      <c r="AQ66" s="27" t="n">
        <f aca="false">IF(COUNT('Feijão 2ª safra'!$E64:$Z64)=0,0,MAX(0,IF((AQ$6-$E$3)&lt;1,0,IFERROR(LOOKUP(2,1/('Feijão 2ª safra'!$E64:INDEX('Feijão 2ª safra'!$E64:$Z64,MIN(AQ$6-$E$3,22))&lt;&gt;""),'Feijão 2ª safra'!$E64:INDEX('Feijão 2ª safra'!$E64:$Z64,MIN(AQ$6-$E$3,22))),0))-IF($G$2,0,IF((AQ$6-$G$3)&lt;1,0,IFERROR(LOOKUP(2,1/('Feijão 2ª safra'!$E64:INDEX('Feijão 2ª safra'!$E64:$Z64,MIN(AQ$6-$G$3,22))&lt;&gt;""),'Feijão 2ª safra'!$E64:INDEX('Feijão 2ª safra'!$E64:$Z64,MIN(AQ$6-$G$3,22))),0)))))</f>
        <v>0</v>
      </c>
      <c r="AR66" s="27" t="n">
        <f aca="false">IF(COUNT('Feijão 2ª safra'!$E64:$Z64)=0,0,MAX(0,IF((AR$6-$E$3)&lt;1,0,IFERROR(LOOKUP(2,1/('Feijão 2ª safra'!$E64:INDEX('Feijão 2ª safra'!$E64:$Z64,MIN(AR$6-$E$3,22))&lt;&gt;""),'Feijão 2ª safra'!$E64:INDEX('Feijão 2ª safra'!$E64:$Z64,MIN(AR$6-$E$3,22))),0))-IF($G$2,0,IF((AR$6-$G$3)&lt;1,0,IFERROR(LOOKUP(2,1/('Feijão 2ª safra'!$E64:INDEX('Feijão 2ª safra'!$E64:$Z64,MIN(AR$6-$G$3,22))&lt;&gt;""),'Feijão 2ª safra'!$E64:INDEX('Feijão 2ª safra'!$E64:$Z64,MIN(AR$6-$G$3,22))),0)))))</f>
        <v>0</v>
      </c>
      <c r="AS66" s="27" t="n">
        <f aca="false">IF(COUNT('Feijão 2ª safra'!$E64:$Z64)=0,0,MAX(0,IF((AS$6-$E$3)&lt;1,0,IFERROR(LOOKUP(2,1/('Feijão 2ª safra'!$E64:INDEX('Feijão 2ª safra'!$E64:$Z64,MIN(AS$6-$E$3,22))&lt;&gt;""),'Feijão 2ª safra'!$E64:INDEX('Feijão 2ª safra'!$E64:$Z64,MIN(AS$6-$E$3,22))),0))-IF($G$2,0,IF((AS$6-$G$3)&lt;1,0,IFERROR(LOOKUP(2,1/('Feijão 2ª safra'!$E64:INDEX('Feijão 2ª safra'!$E64:$Z64,MIN(AS$6-$G$3,22))&lt;&gt;""),'Feijão 2ª safra'!$E64:INDEX('Feijão 2ª safra'!$E64:$Z64,MIN(AS$6-$G$3,22))),0)))))</f>
        <v>0</v>
      </c>
      <c r="AT66" s="27" t="n">
        <f aca="false">IF(COUNT('Feijão 2ª safra'!$E64:$Z64)=0,0,MAX(0,IF((AT$6-$E$3)&lt;1,0,IFERROR(LOOKUP(2,1/('Feijão 2ª safra'!$E64:INDEX('Feijão 2ª safra'!$E64:$Z64,MIN(AT$6-$E$3,22))&lt;&gt;""),'Feijão 2ª safra'!$E64:INDEX('Feijão 2ª safra'!$E64:$Z64,MIN(AT$6-$E$3,22))),0))-IF($G$2,0,IF((AT$6-$G$3)&lt;1,0,IFERROR(LOOKUP(2,1/('Feijão 2ª safra'!$E64:INDEX('Feijão 2ª safra'!$E64:$Z64,MIN(AT$6-$G$3,22))&lt;&gt;""),'Feijão 2ª safra'!$E64:INDEX('Feijão 2ª safra'!$E64:$Z64,MIN(AT$6-$G$3,22))),0)))))</f>
        <v>0</v>
      </c>
      <c r="AU66" s="27" t="n">
        <f aca="false">IF(COUNT('Feijão 2ª safra'!$E64:$Z64)=0,0,MAX(0,IF((AU$6-$E$3)&lt;1,0,IFERROR(LOOKUP(2,1/('Feijão 2ª safra'!$E64:INDEX('Feijão 2ª safra'!$E64:$Z64,MIN(AU$6-$E$3,22))&lt;&gt;""),'Feijão 2ª safra'!$E64:INDEX('Feijão 2ª safra'!$E64:$Z64,MIN(AU$6-$E$3,22))),0))-IF($G$2,0,IF((AU$6-$G$3)&lt;1,0,IFERROR(LOOKUP(2,1/('Feijão 2ª safra'!$E64:INDEX('Feijão 2ª safra'!$E64:$Z64,MIN(AU$6-$G$3,22))&lt;&gt;""),'Feijão 2ª safra'!$E64:INDEX('Feijão 2ª safra'!$E64:$Z64,MIN(AU$6-$G$3,22))),0)))))</f>
        <v>0</v>
      </c>
      <c r="AV66" s="27" t="n">
        <f aca="false">IF(COUNT('Feijão 2ª safra'!$E64:$Z64)=0,0,MAX(0,IF((AV$6-$E$3)&lt;1,0,IFERROR(LOOKUP(2,1/('Feijão 2ª safra'!$E64:INDEX('Feijão 2ª safra'!$E64:$Z64,MIN(AV$6-$E$3,22))&lt;&gt;""),'Feijão 2ª safra'!$E64:INDEX('Feijão 2ª safra'!$E64:$Z64,MIN(AV$6-$E$3,22))),0))-IF($G$2,0,IF((AV$6-$G$3)&lt;1,0,IFERROR(LOOKUP(2,1/('Feijão 2ª safra'!$E64:INDEX('Feijão 2ª safra'!$E64:$Z64,MIN(AV$6-$G$3,22))&lt;&gt;""),'Feijão 2ª safra'!$E64:INDEX('Feijão 2ª safra'!$E64:$Z64,MIN(AV$6-$G$3,22))),0)))))</f>
        <v>0</v>
      </c>
      <c r="AW66" s="27" t="n">
        <f aca="false">IF(COUNT('Feijão 2ª safra'!$E64:$Z64)=0,0,MAX(0,IF((AW$6-$E$3)&lt;1,0,IFERROR(LOOKUP(2,1/('Feijão 2ª safra'!$E64:INDEX('Feijão 2ª safra'!$E64:$Z64,MIN(AW$6-$E$3,22))&lt;&gt;""),'Feijão 2ª safra'!$E64:INDEX('Feijão 2ª safra'!$E64:$Z64,MIN(AW$6-$E$3,22))),0))-IF($G$2,0,IF((AW$6-$G$3)&lt;1,0,IFERROR(LOOKUP(2,1/('Feijão 2ª safra'!$E64:INDEX('Feijão 2ª safra'!$E64:$Z64,MIN(AW$6-$G$3,22))&lt;&gt;""),'Feijão 2ª safra'!$E64:INDEX('Feijão 2ª safra'!$E64:$Z64,MIN(AW$6-$G$3,22))),0)))))</f>
        <v>0</v>
      </c>
      <c r="AX66" s="27" t="n">
        <f aca="false">IF(COUNT('Feijão 2ª safra'!$E64:$Z64)=0,0,MAX(0,IF((AX$6-$E$3)&lt;1,0,IFERROR(LOOKUP(2,1/('Feijão 2ª safra'!$E64:INDEX('Feijão 2ª safra'!$E64:$Z64,MIN(AX$6-$E$3,22))&lt;&gt;""),'Feijão 2ª safra'!$E64:INDEX('Feijão 2ª safra'!$E64:$Z64,MIN(AX$6-$E$3,22))),0))-IF($G$2,0,IF((AX$6-$G$3)&lt;1,0,IFERROR(LOOKUP(2,1/('Feijão 2ª safra'!$E64:INDEX('Feijão 2ª safra'!$E64:$Z64,MIN(AX$6-$G$3,22))&lt;&gt;""),'Feijão 2ª safra'!$E64:INDEX('Feijão 2ª safra'!$E64:$Z64,MIN(AX$6-$G$3,22))),0)))))</f>
        <v>0</v>
      </c>
      <c r="AY66" s="27" t="n">
        <f aca="false">IF(COUNT('Feijão 2ª safra'!$E64:$Z64)=0,0,MAX(0,IF((AY$6-$E$3)&lt;1,0,IFERROR(LOOKUP(2,1/('Feijão 2ª safra'!$E64:INDEX('Feijão 2ª safra'!$E64:$Z64,MIN(AY$6-$E$3,22))&lt;&gt;""),'Feijão 2ª safra'!$E64:INDEX('Feijão 2ª safra'!$E64:$Z64,MIN(AY$6-$E$3,22))),0))-IF($G$2,0,IF((AY$6-$G$3)&lt;1,0,IFERROR(LOOKUP(2,1/('Feijão 2ª safra'!$E64:INDEX('Feijão 2ª safra'!$E64:$Z64,MIN(AY$6-$G$3,22))&lt;&gt;""),'Feijão 2ª safra'!$E64:INDEX('Feijão 2ª safra'!$E64:$Z64,MIN(AY$6-$G$3,22))),0)))))</f>
        <v>0</v>
      </c>
      <c r="AZ66" s="27" t="n">
        <f aca="false">IF(COUNT('Feijão 2ª safra'!$E64:$Z64)=0,0,MAX(0,IF((AZ$6-$E$3)&lt;1,0,IFERROR(LOOKUP(2,1/('Feijão 2ª safra'!$E64:INDEX('Feijão 2ª safra'!$E64:$Z64,MIN(AZ$6-$E$3,22))&lt;&gt;""),'Feijão 2ª safra'!$E64:INDEX('Feijão 2ª safra'!$E64:$Z64,MIN(AZ$6-$E$3,22))),0))-IF($G$2,0,IF((AZ$6-$G$3)&lt;1,0,IFERROR(LOOKUP(2,1/('Feijão 2ª safra'!$E64:INDEX('Feijão 2ª safra'!$E64:$Z64,MIN(AZ$6-$G$3,22))&lt;&gt;""),'Feijão 2ª safra'!$E64:INDEX('Feijão 2ª safra'!$E64:$Z64,MIN(AZ$6-$G$3,22))),0)))))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IF(COUNT('Feijão 2ª safra'!$E65:$Z65)&gt;0,N('Feijão 2ª safra'!$D65),0)</f>
        <v>0</v>
      </c>
      <c r="E67" s="27" t="n">
        <f aca="false">IF(COUNT('Feijão 2ª safra'!$E65:$Z65)=0,0,MAX(0,IF((E$6-$E$3)&lt;1,0,IFERROR(LOOKUP(2,1/('Feijão 2ª safra'!$E65:INDEX('Feijão 2ª safra'!$E65:$Z65,MIN(E$6-$E$3,22))&lt;&gt;""),'Feijão 2ª safra'!$E65:INDEX('Feijão 2ª safra'!$E65:$Z65,MIN(E$6-$E$3,22))),0))-IF($G$2,0,IF((E$6-$G$3)&lt;1,0,IFERROR(LOOKUP(2,1/('Feijão 2ª safra'!$E65:INDEX('Feijão 2ª safra'!$E65:$Z65,MIN(E$6-$G$3,22))&lt;&gt;""),'Feijão 2ª safra'!$E65:INDEX('Feijão 2ª safra'!$E65:$Z65,MIN(E$6-$G$3,22))),0)))))</f>
        <v>0</v>
      </c>
      <c r="F67" s="27" t="n">
        <f aca="false">IF(COUNT('Feijão 2ª safra'!$E65:$Z65)=0,0,MAX(0,IF((F$6-$E$3)&lt;1,0,IFERROR(LOOKUP(2,1/('Feijão 2ª safra'!$E65:INDEX('Feijão 2ª safra'!$E65:$Z65,MIN(F$6-$E$3,22))&lt;&gt;""),'Feijão 2ª safra'!$E65:INDEX('Feijão 2ª safra'!$E65:$Z65,MIN(F$6-$E$3,22))),0))-IF($G$2,0,IF((F$6-$G$3)&lt;1,0,IFERROR(LOOKUP(2,1/('Feijão 2ª safra'!$E65:INDEX('Feijão 2ª safra'!$E65:$Z65,MIN(F$6-$G$3,22))&lt;&gt;""),'Feijão 2ª safra'!$E65:INDEX('Feijão 2ª safra'!$E65:$Z65,MIN(F$6-$G$3,22))),0)))))</f>
        <v>0</v>
      </c>
      <c r="G67" s="27" t="n">
        <f aca="false">IF(COUNT('Feijão 2ª safra'!$E65:$Z65)=0,0,MAX(0,IF((G$6-$E$3)&lt;1,0,IFERROR(LOOKUP(2,1/('Feijão 2ª safra'!$E65:INDEX('Feijão 2ª safra'!$E65:$Z65,MIN(G$6-$E$3,22))&lt;&gt;""),'Feijão 2ª safra'!$E65:INDEX('Feijão 2ª safra'!$E65:$Z65,MIN(G$6-$E$3,22))),0))-IF($G$2,0,IF((G$6-$G$3)&lt;1,0,IFERROR(LOOKUP(2,1/('Feijão 2ª safra'!$E65:INDEX('Feijão 2ª safra'!$E65:$Z65,MIN(G$6-$G$3,22))&lt;&gt;""),'Feijão 2ª safra'!$E65:INDEX('Feijão 2ª safra'!$E65:$Z65,MIN(G$6-$G$3,22))),0)))))</f>
        <v>0</v>
      </c>
      <c r="H67" s="27" t="n">
        <f aca="false">IF(COUNT('Feijão 2ª safra'!$E65:$Z65)=0,0,MAX(0,IF((H$6-$E$3)&lt;1,0,IFERROR(LOOKUP(2,1/('Feijão 2ª safra'!$E65:INDEX('Feijão 2ª safra'!$E65:$Z65,MIN(H$6-$E$3,22))&lt;&gt;""),'Feijão 2ª safra'!$E65:INDEX('Feijão 2ª safra'!$E65:$Z65,MIN(H$6-$E$3,22))),0))-IF($G$2,0,IF((H$6-$G$3)&lt;1,0,IFERROR(LOOKUP(2,1/('Feijão 2ª safra'!$E65:INDEX('Feijão 2ª safra'!$E65:$Z65,MIN(H$6-$G$3,22))&lt;&gt;""),'Feijão 2ª safra'!$E65:INDEX('Feijão 2ª safra'!$E65:$Z65,MIN(H$6-$G$3,22))),0)))))</f>
        <v>0</v>
      </c>
      <c r="I67" s="27" t="n">
        <f aca="false">IF(COUNT('Feijão 2ª safra'!$E65:$Z65)=0,0,MAX(0,IF((I$6-$E$3)&lt;1,0,IFERROR(LOOKUP(2,1/('Feijão 2ª safra'!$E65:INDEX('Feijão 2ª safra'!$E65:$Z65,MIN(I$6-$E$3,22))&lt;&gt;""),'Feijão 2ª safra'!$E65:INDEX('Feijão 2ª safra'!$E65:$Z65,MIN(I$6-$E$3,22))),0))-IF($G$2,0,IF((I$6-$G$3)&lt;1,0,IFERROR(LOOKUP(2,1/('Feijão 2ª safra'!$E65:INDEX('Feijão 2ª safra'!$E65:$Z65,MIN(I$6-$G$3,22))&lt;&gt;""),'Feijão 2ª safra'!$E65:INDEX('Feijão 2ª safra'!$E65:$Z65,MIN(I$6-$G$3,22))),0)))))</f>
        <v>0</v>
      </c>
      <c r="J67" s="27" t="n">
        <f aca="false">IF(COUNT('Feijão 2ª safra'!$E65:$Z65)=0,0,MAX(0,IF((J$6-$E$3)&lt;1,0,IFERROR(LOOKUP(2,1/('Feijão 2ª safra'!$E65:INDEX('Feijão 2ª safra'!$E65:$Z65,MIN(J$6-$E$3,22))&lt;&gt;""),'Feijão 2ª safra'!$E65:INDEX('Feijão 2ª safra'!$E65:$Z65,MIN(J$6-$E$3,22))),0))-IF($G$2,0,IF((J$6-$G$3)&lt;1,0,IFERROR(LOOKUP(2,1/('Feijão 2ª safra'!$E65:INDEX('Feijão 2ª safra'!$E65:$Z65,MIN(J$6-$G$3,22))&lt;&gt;""),'Feijão 2ª safra'!$E65:INDEX('Feijão 2ª safra'!$E65:$Z65,MIN(J$6-$G$3,22))),0)))))</f>
        <v>0</v>
      </c>
      <c r="K67" s="27" t="n">
        <f aca="false">IF(COUNT('Feijão 2ª safra'!$E65:$Z65)=0,0,MAX(0,IF((K$6-$E$3)&lt;1,0,IFERROR(LOOKUP(2,1/('Feijão 2ª safra'!$E65:INDEX('Feijão 2ª safra'!$E65:$Z65,MIN(K$6-$E$3,22))&lt;&gt;""),'Feijão 2ª safra'!$E65:INDEX('Feijão 2ª safra'!$E65:$Z65,MIN(K$6-$E$3,22))),0))-IF($G$2,0,IF((K$6-$G$3)&lt;1,0,IFERROR(LOOKUP(2,1/('Feijão 2ª safra'!$E65:INDEX('Feijão 2ª safra'!$E65:$Z65,MIN(K$6-$G$3,22))&lt;&gt;""),'Feijão 2ª safra'!$E65:INDEX('Feijão 2ª safra'!$E65:$Z65,MIN(K$6-$G$3,22))),0)))))</f>
        <v>0</v>
      </c>
      <c r="L67" s="27" t="n">
        <f aca="false">IF(COUNT('Feijão 2ª safra'!$E65:$Z65)=0,0,MAX(0,IF((L$6-$E$3)&lt;1,0,IFERROR(LOOKUP(2,1/('Feijão 2ª safra'!$E65:INDEX('Feijão 2ª safra'!$E65:$Z65,MIN(L$6-$E$3,22))&lt;&gt;""),'Feijão 2ª safra'!$E65:INDEX('Feijão 2ª safra'!$E65:$Z65,MIN(L$6-$E$3,22))),0))-IF($G$2,0,IF((L$6-$G$3)&lt;1,0,IFERROR(LOOKUP(2,1/('Feijão 2ª safra'!$E65:INDEX('Feijão 2ª safra'!$E65:$Z65,MIN(L$6-$G$3,22))&lt;&gt;""),'Feijão 2ª safra'!$E65:INDEX('Feijão 2ª safra'!$E65:$Z65,MIN(L$6-$G$3,22))),0)))))</f>
        <v>0</v>
      </c>
      <c r="M67" s="27" t="n">
        <f aca="false">IF(COUNT('Feijão 2ª safra'!$E65:$Z65)=0,0,MAX(0,IF((M$6-$E$3)&lt;1,0,IFERROR(LOOKUP(2,1/('Feijão 2ª safra'!$E65:INDEX('Feijão 2ª safra'!$E65:$Z65,MIN(M$6-$E$3,22))&lt;&gt;""),'Feijão 2ª safra'!$E65:INDEX('Feijão 2ª safra'!$E65:$Z65,MIN(M$6-$E$3,22))),0))-IF($G$2,0,IF((M$6-$G$3)&lt;1,0,IFERROR(LOOKUP(2,1/('Feijão 2ª safra'!$E65:INDEX('Feijão 2ª safra'!$E65:$Z65,MIN(M$6-$G$3,22))&lt;&gt;""),'Feijão 2ª safra'!$E65:INDEX('Feijão 2ª safra'!$E65:$Z65,MIN(M$6-$G$3,22))),0)))))</f>
        <v>0</v>
      </c>
      <c r="N67" s="27" t="n">
        <f aca="false">IF(COUNT('Feijão 2ª safra'!$E65:$Z65)=0,0,MAX(0,IF((N$6-$E$3)&lt;1,0,IFERROR(LOOKUP(2,1/('Feijão 2ª safra'!$E65:INDEX('Feijão 2ª safra'!$E65:$Z65,MIN(N$6-$E$3,22))&lt;&gt;""),'Feijão 2ª safra'!$E65:INDEX('Feijão 2ª safra'!$E65:$Z65,MIN(N$6-$E$3,22))),0))-IF($G$2,0,IF((N$6-$G$3)&lt;1,0,IFERROR(LOOKUP(2,1/('Feijão 2ª safra'!$E65:INDEX('Feijão 2ª safra'!$E65:$Z65,MIN(N$6-$G$3,22))&lt;&gt;""),'Feijão 2ª safra'!$E65:INDEX('Feijão 2ª safra'!$E65:$Z65,MIN(N$6-$G$3,22))),0)))))</f>
        <v>0</v>
      </c>
      <c r="O67" s="27" t="n">
        <f aca="false">IF(COUNT('Feijão 2ª safra'!$E65:$Z65)=0,0,MAX(0,IF((O$6-$E$3)&lt;1,0,IFERROR(LOOKUP(2,1/('Feijão 2ª safra'!$E65:INDEX('Feijão 2ª safra'!$E65:$Z65,MIN(O$6-$E$3,22))&lt;&gt;""),'Feijão 2ª safra'!$E65:INDEX('Feijão 2ª safra'!$E65:$Z65,MIN(O$6-$E$3,22))),0))-IF($G$2,0,IF((O$6-$G$3)&lt;1,0,IFERROR(LOOKUP(2,1/('Feijão 2ª safra'!$E65:INDEX('Feijão 2ª safra'!$E65:$Z65,MIN(O$6-$G$3,22))&lt;&gt;""),'Feijão 2ª safra'!$E65:INDEX('Feijão 2ª safra'!$E65:$Z65,MIN(O$6-$G$3,22))),0)))))</f>
        <v>0</v>
      </c>
      <c r="P67" s="27" t="n">
        <f aca="false">IF(COUNT('Feijão 2ª safra'!$E65:$Z65)=0,0,MAX(0,IF((P$6-$E$3)&lt;1,0,IFERROR(LOOKUP(2,1/('Feijão 2ª safra'!$E65:INDEX('Feijão 2ª safra'!$E65:$Z65,MIN(P$6-$E$3,22))&lt;&gt;""),'Feijão 2ª safra'!$E65:INDEX('Feijão 2ª safra'!$E65:$Z65,MIN(P$6-$E$3,22))),0))-IF($G$2,0,IF((P$6-$G$3)&lt;1,0,IFERROR(LOOKUP(2,1/('Feijão 2ª safra'!$E65:INDEX('Feijão 2ª safra'!$E65:$Z65,MIN(P$6-$G$3,22))&lt;&gt;""),'Feijão 2ª safra'!$E65:INDEX('Feijão 2ª safra'!$E65:$Z65,MIN(P$6-$G$3,22))),0)))))</f>
        <v>0</v>
      </c>
      <c r="Q67" s="27" t="n">
        <f aca="false">IF(COUNT('Feijão 2ª safra'!$E65:$Z65)=0,0,MAX(0,IF((Q$6-$E$3)&lt;1,0,IFERROR(LOOKUP(2,1/('Feijão 2ª safra'!$E65:INDEX('Feijão 2ª safra'!$E65:$Z65,MIN(Q$6-$E$3,22))&lt;&gt;""),'Feijão 2ª safra'!$E65:INDEX('Feijão 2ª safra'!$E65:$Z65,MIN(Q$6-$E$3,22))),0))-IF($G$2,0,IF((Q$6-$G$3)&lt;1,0,IFERROR(LOOKUP(2,1/('Feijão 2ª safra'!$E65:INDEX('Feijão 2ª safra'!$E65:$Z65,MIN(Q$6-$G$3,22))&lt;&gt;""),'Feijão 2ª safra'!$E65:INDEX('Feijão 2ª safra'!$E65:$Z65,MIN(Q$6-$G$3,22))),0)))))</f>
        <v>0</v>
      </c>
      <c r="R67" s="27" t="n">
        <f aca="false">IF(COUNT('Feijão 2ª safra'!$E65:$Z65)=0,0,MAX(0,IF((R$6-$E$3)&lt;1,0,IFERROR(LOOKUP(2,1/('Feijão 2ª safra'!$E65:INDEX('Feijão 2ª safra'!$E65:$Z65,MIN(R$6-$E$3,22))&lt;&gt;""),'Feijão 2ª safra'!$E65:INDEX('Feijão 2ª safra'!$E65:$Z65,MIN(R$6-$E$3,22))),0))-IF($G$2,0,IF((R$6-$G$3)&lt;1,0,IFERROR(LOOKUP(2,1/('Feijão 2ª safra'!$E65:INDEX('Feijão 2ª safra'!$E65:$Z65,MIN(R$6-$G$3,22))&lt;&gt;""),'Feijão 2ª safra'!$E65:INDEX('Feijão 2ª safra'!$E65:$Z65,MIN(R$6-$G$3,22))),0)))))</f>
        <v>0</v>
      </c>
      <c r="S67" s="27" t="n">
        <f aca="false">IF(COUNT('Feijão 2ª safra'!$E65:$Z65)=0,0,MAX(0,IF((S$6-$E$3)&lt;1,0,IFERROR(LOOKUP(2,1/('Feijão 2ª safra'!$E65:INDEX('Feijão 2ª safra'!$E65:$Z65,MIN(S$6-$E$3,22))&lt;&gt;""),'Feijão 2ª safra'!$E65:INDEX('Feijão 2ª safra'!$E65:$Z65,MIN(S$6-$E$3,22))),0))-IF($G$2,0,IF((S$6-$G$3)&lt;1,0,IFERROR(LOOKUP(2,1/('Feijão 2ª safra'!$E65:INDEX('Feijão 2ª safra'!$E65:$Z65,MIN(S$6-$G$3,22))&lt;&gt;""),'Feijão 2ª safra'!$E65:INDEX('Feijão 2ª safra'!$E65:$Z65,MIN(S$6-$G$3,22))),0)))))</f>
        <v>0</v>
      </c>
      <c r="T67" s="27" t="n">
        <f aca="false">IF(COUNT('Feijão 2ª safra'!$E65:$Z65)=0,0,MAX(0,IF((T$6-$E$3)&lt;1,0,IFERROR(LOOKUP(2,1/('Feijão 2ª safra'!$E65:INDEX('Feijão 2ª safra'!$E65:$Z65,MIN(T$6-$E$3,22))&lt;&gt;""),'Feijão 2ª safra'!$E65:INDEX('Feijão 2ª safra'!$E65:$Z65,MIN(T$6-$E$3,22))),0))-IF($G$2,0,IF((T$6-$G$3)&lt;1,0,IFERROR(LOOKUP(2,1/('Feijão 2ª safra'!$E65:INDEX('Feijão 2ª safra'!$E65:$Z65,MIN(T$6-$G$3,22))&lt;&gt;""),'Feijão 2ª safra'!$E65:INDEX('Feijão 2ª safra'!$E65:$Z65,MIN(T$6-$G$3,22))),0)))))</f>
        <v>0</v>
      </c>
      <c r="U67" s="27" t="n">
        <f aca="false">IF(COUNT('Feijão 2ª safra'!$E65:$Z65)=0,0,MAX(0,IF((U$6-$E$3)&lt;1,0,IFERROR(LOOKUP(2,1/('Feijão 2ª safra'!$E65:INDEX('Feijão 2ª safra'!$E65:$Z65,MIN(U$6-$E$3,22))&lt;&gt;""),'Feijão 2ª safra'!$E65:INDEX('Feijão 2ª safra'!$E65:$Z65,MIN(U$6-$E$3,22))),0))-IF($G$2,0,IF((U$6-$G$3)&lt;1,0,IFERROR(LOOKUP(2,1/('Feijão 2ª safra'!$E65:INDEX('Feijão 2ª safra'!$E65:$Z65,MIN(U$6-$G$3,22))&lt;&gt;""),'Feijão 2ª safra'!$E65:INDEX('Feijão 2ª safra'!$E65:$Z65,MIN(U$6-$G$3,22))),0)))))</f>
        <v>0</v>
      </c>
      <c r="V67" s="27" t="n">
        <f aca="false">IF(COUNT('Feijão 2ª safra'!$E65:$Z65)=0,0,MAX(0,IF((V$6-$E$3)&lt;1,0,IFERROR(LOOKUP(2,1/('Feijão 2ª safra'!$E65:INDEX('Feijão 2ª safra'!$E65:$Z65,MIN(V$6-$E$3,22))&lt;&gt;""),'Feijão 2ª safra'!$E65:INDEX('Feijão 2ª safra'!$E65:$Z65,MIN(V$6-$E$3,22))),0))-IF($G$2,0,IF((V$6-$G$3)&lt;1,0,IFERROR(LOOKUP(2,1/('Feijão 2ª safra'!$E65:INDEX('Feijão 2ª safra'!$E65:$Z65,MIN(V$6-$G$3,22))&lt;&gt;""),'Feijão 2ª safra'!$E65:INDEX('Feijão 2ª safra'!$E65:$Z65,MIN(V$6-$G$3,22))),0)))))</f>
        <v>0</v>
      </c>
      <c r="W67" s="27" t="n">
        <f aca="false">IF(COUNT('Feijão 2ª safra'!$E65:$Z65)=0,0,MAX(0,IF((W$6-$E$3)&lt;1,0,IFERROR(LOOKUP(2,1/('Feijão 2ª safra'!$E65:INDEX('Feijão 2ª safra'!$E65:$Z65,MIN(W$6-$E$3,22))&lt;&gt;""),'Feijão 2ª safra'!$E65:INDEX('Feijão 2ª safra'!$E65:$Z65,MIN(W$6-$E$3,22))),0))-IF($G$2,0,IF((W$6-$G$3)&lt;1,0,IFERROR(LOOKUP(2,1/('Feijão 2ª safra'!$E65:INDEX('Feijão 2ª safra'!$E65:$Z65,MIN(W$6-$G$3,22))&lt;&gt;""),'Feijão 2ª safra'!$E65:INDEX('Feijão 2ª safra'!$E65:$Z65,MIN(W$6-$G$3,22))),0)))))</f>
        <v>0</v>
      </c>
      <c r="X67" s="27" t="n">
        <f aca="false">IF(COUNT('Feijão 2ª safra'!$E65:$Z65)=0,0,MAX(0,IF((X$6-$E$3)&lt;1,0,IFERROR(LOOKUP(2,1/('Feijão 2ª safra'!$E65:INDEX('Feijão 2ª safra'!$E65:$Z65,MIN(X$6-$E$3,22))&lt;&gt;""),'Feijão 2ª safra'!$E65:INDEX('Feijão 2ª safra'!$E65:$Z65,MIN(X$6-$E$3,22))),0))-IF($G$2,0,IF((X$6-$G$3)&lt;1,0,IFERROR(LOOKUP(2,1/('Feijão 2ª safra'!$E65:INDEX('Feijão 2ª safra'!$E65:$Z65,MIN(X$6-$G$3,22))&lt;&gt;""),'Feijão 2ª safra'!$E65:INDEX('Feijão 2ª safra'!$E65:$Z65,MIN(X$6-$G$3,22))),0)))))</f>
        <v>0</v>
      </c>
      <c r="Y67" s="27" t="n">
        <f aca="false">IF(COUNT('Feijão 2ª safra'!$E65:$Z65)=0,0,MAX(0,IF((Y$6-$E$3)&lt;1,0,IFERROR(LOOKUP(2,1/('Feijão 2ª safra'!$E65:INDEX('Feijão 2ª safra'!$E65:$Z65,MIN(Y$6-$E$3,22))&lt;&gt;""),'Feijão 2ª safra'!$E65:INDEX('Feijão 2ª safra'!$E65:$Z65,MIN(Y$6-$E$3,22))),0))-IF($G$2,0,IF((Y$6-$G$3)&lt;1,0,IFERROR(LOOKUP(2,1/('Feijão 2ª safra'!$E65:INDEX('Feijão 2ª safra'!$E65:$Z65,MIN(Y$6-$G$3,22))&lt;&gt;""),'Feijão 2ª safra'!$E65:INDEX('Feijão 2ª safra'!$E65:$Z65,MIN(Y$6-$G$3,22))),0)))))</f>
        <v>0</v>
      </c>
      <c r="Z67" s="27" t="n">
        <f aca="false">IF(COUNT('Feijão 2ª safra'!$E65:$Z65)=0,0,MAX(0,IF((Z$6-$E$3)&lt;1,0,IFERROR(LOOKUP(2,1/('Feijão 2ª safra'!$E65:INDEX('Feijão 2ª safra'!$E65:$Z65,MIN(Z$6-$E$3,22))&lt;&gt;""),'Feijão 2ª safra'!$E65:INDEX('Feijão 2ª safra'!$E65:$Z65,MIN(Z$6-$E$3,22))),0))-IF($G$2,0,IF((Z$6-$G$3)&lt;1,0,IFERROR(LOOKUP(2,1/('Feijão 2ª safra'!$E65:INDEX('Feijão 2ª safra'!$E65:$Z65,MIN(Z$6-$G$3,22))&lt;&gt;""),'Feijão 2ª safra'!$E65:INDEX('Feijão 2ª safra'!$E65:$Z65,MIN(Z$6-$G$3,22))),0)))))</f>
        <v>0</v>
      </c>
      <c r="AA67" s="27" t="n">
        <f aca="false">IF(COUNT('Feijão 2ª safra'!$E65:$Z65)=0,0,MAX(0,IF((AA$6-$E$3)&lt;1,0,IFERROR(LOOKUP(2,1/('Feijão 2ª safra'!$E65:INDEX('Feijão 2ª safra'!$E65:$Z65,MIN(AA$6-$E$3,22))&lt;&gt;""),'Feijão 2ª safra'!$E65:INDEX('Feijão 2ª safra'!$E65:$Z65,MIN(AA$6-$E$3,22))),0))-IF($G$2,0,IF((AA$6-$G$3)&lt;1,0,IFERROR(LOOKUP(2,1/('Feijão 2ª safra'!$E65:INDEX('Feijão 2ª safra'!$E65:$Z65,MIN(AA$6-$G$3,22))&lt;&gt;""),'Feijão 2ª safra'!$E65:INDEX('Feijão 2ª safra'!$E65:$Z65,MIN(AA$6-$G$3,22))),0)))))</f>
        <v>0</v>
      </c>
      <c r="AB67" s="27" t="n">
        <f aca="false">IF(COUNT('Feijão 2ª safra'!$E65:$Z65)=0,0,MAX(0,IF((AB$6-$E$3)&lt;1,0,IFERROR(LOOKUP(2,1/('Feijão 2ª safra'!$E65:INDEX('Feijão 2ª safra'!$E65:$Z65,MIN(AB$6-$E$3,22))&lt;&gt;""),'Feijão 2ª safra'!$E65:INDEX('Feijão 2ª safra'!$E65:$Z65,MIN(AB$6-$E$3,22))),0))-IF($G$2,0,IF((AB$6-$G$3)&lt;1,0,IFERROR(LOOKUP(2,1/('Feijão 2ª safra'!$E65:INDEX('Feijão 2ª safra'!$E65:$Z65,MIN(AB$6-$G$3,22))&lt;&gt;""),'Feijão 2ª safra'!$E65:INDEX('Feijão 2ª safra'!$E65:$Z65,MIN(AB$6-$G$3,22))),0)))))</f>
        <v>0</v>
      </c>
      <c r="AC67" s="27" t="n">
        <f aca="false">IF(COUNT('Feijão 2ª safra'!$E65:$Z65)=0,0,MAX(0,IF((AC$6-$E$3)&lt;1,0,IFERROR(LOOKUP(2,1/('Feijão 2ª safra'!$E65:INDEX('Feijão 2ª safra'!$E65:$Z65,MIN(AC$6-$E$3,22))&lt;&gt;""),'Feijão 2ª safra'!$E65:INDEX('Feijão 2ª safra'!$E65:$Z65,MIN(AC$6-$E$3,22))),0))-IF($G$2,0,IF((AC$6-$G$3)&lt;1,0,IFERROR(LOOKUP(2,1/('Feijão 2ª safra'!$E65:INDEX('Feijão 2ª safra'!$E65:$Z65,MIN(AC$6-$G$3,22))&lt;&gt;""),'Feijão 2ª safra'!$E65:INDEX('Feijão 2ª safra'!$E65:$Z65,MIN(AC$6-$G$3,22))),0)))))</f>
        <v>0</v>
      </c>
      <c r="AD67" s="27" t="n">
        <f aca="false">IF(COUNT('Feijão 2ª safra'!$E65:$Z65)=0,0,MAX(0,IF((AD$6-$E$3)&lt;1,0,IFERROR(LOOKUP(2,1/('Feijão 2ª safra'!$E65:INDEX('Feijão 2ª safra'!$E65:$Z65,MIN(AD$6-$E$3,22))&lt;&gt;""),'Feijão 2ª safra'!$E65:INDEX('Feijão 2ª safra'!$E65:$Z65,MIN(AD$6-$E$3,22))),0))-IF($G$2,0,IF((AD$6-$G$3)&lt;1,0,IFERROR(LOOKUP(2,1/('Feijão 2ª safra'!$E65:INDEX('Feijão 2ª safra'!$E65:$Z65,MIN(AD$6-$G$3,22))&lt;&gt;""),'Feijão 2ª safra'!$E65:INDEX('Feijão 2ª safra'!$E65:$Z65,MIN(AD$6-$G$3,22))),0)))))</f>
        <v>0</v>
      </c>
      <c r="AE67" s="27" t="n">
        <f aca="false">IF(COUNT('Feijão 2ª safra'!$E65:$Z65)=0,0,MAX(0,IF((AE$6-$E$3)&lt;1,0,IFERROR(LOOKUP(2,1/('Feijão 2ª safra'!$E65:INDEX('Feijão 2ª safra'!$E65:$Z65,MIN(AE$6-$E$3,22))&lt;&gt;""),'Feijão 2ª safra'!$E65:INDEX('Feijão 2ª safra'!$E65:$Z65,MIN(AE$6-$E$3,22))),0))-IF($G$2,0,IF((AE$6-$G$3)&lt;1,0,IFERROR(LOOKUP(2,1/('Feijão 2ª safra'!$E65:INDEX('Feijão 2ª safra'!$E65:$Z65,MIN(AE$6-$G$3,22))&lt;&gt;""),'Feijão 2ª safra'!$E65:INDEX('Feijão 2ª safra'!$E65:$Z65,MIN(AE$6-$G$3,22))),0)))))</f>
        <v>0</v>
      </c>
      <c r="AF67" s="27" t="n">
        <f aca="false">IF(COUNT('Feijão 2ª safra'!$E65:$Z65)=0,0,MAX(0,IF((AF$6-$E$3)&lt;1,0,IFERROR(LOOKUP(2,1/('Feijão 2ª safra'!$E65:INDEX('Feijão 2ª safra'!$E65:$Z65,MIN(AF$6-$E$3,22))&lt;&gt;""),'Feijão 2ª safra'!$E65:INDEX('Feijão 2ª safra'!$E65:$Z65,MIN(AF$6-$E$3,22))),0))-IF($G$2,0,IF((AF$6-$G$3)&lt;1,0,IFERROR(LOOKUP(2,1/('Feijão 2ª safra'!$E65:INDEX('Feijão 2ª safra'!$E65:$Z65,MIN(AF$6-$G$3,22))&lt;&gt;""),'Feijão 2ª safra'!$E65:INDEX('Feijão 2ª safra'!$E65:$Z65,MIN(AF$6-$G$3,22))),0)))))</f>
        <v>0</v>
      </c>
      <c r="AG67" s="27" t="n">
        <f aca="false">IF(COUNT('Feijão 2ª safra'!$E65:$Z65)=0,0,MAX(0,IF((AG$6-$E$3)&lt;1,0,IFERROR(LOOKUP(2,1/('Feijão 2ª safra'!$E65:INDEX('Feijão 2ª safra'!$E65:$Z65,MIN(AG$6-$E$3,22))&lt;&gt;""),'Feijão 2ª safra'!$E65:INDEX('Feijão 2ª safra'!$E65:$Z65,MIN(AG$6-$E$3,22))),0))-IF($G$2,0,IF((AG$6-$G$3)&lt;1,0,IFERROR(LOOKUP(2,1/('Feijão 2ª safra'!$E65:INDEX('Feijão 2ª safra'!$E65:$Z65,MIN(AG$6-$G$3,22))&lt;&gt;""),'Feijão 2ª safra'!$E65:INDEX('Feijão 2ª safra'!$E65:$Z65,MIN(AG$6-$G$3,22))),0)))))</f>
        <v>0</v>
      </c>
      <c r="AH67" s="27" t="n">
        <f aca="false">IF(COUNT('Feijão 2ª safra'!$E65:$Z65)=0,0,MAX(0,IF((AH$6-$E$3)&lt;1,0,IFERROR(LOOKUP(2,1/('Feijão 2ª safra'!$E65:INDEX('Feijão 2ª safra'!$E65:$Z65,MIN(AH$6-$E$3,22))&lt;&gt;""),'Feijão 2ª safra'!$E65:INDEX('Feijão 2ª safra'!$E65:$Z65,MIN(AH$6-$E$3,22))),0))-IF($G$2,0,IF((AH$6-$G$3)&lt;1,0,IFERROR(LOOKUP(2,1/('Feijão 2ª safra'!$E65:INDEX('Feijão 2ª safra'!$E65:$Z65,MIN(AH$6-$G$3,22))&lt;&gt;""),'Feijão 2ª safra'!$E65:INDEX('Feijão 2ª safra'!$E65:$Z65,MIN(AH$6-$G$3,22))),0)))))</f>
        <v>0</v>
      </c>
      <c r="AI67" s="27" t="n">
        <f aca="false">IF(COUNT('Feijão 2ª safra'!$E65:$Z65)=0,0,MAX(0,IF((AI$6-$E$3)&lt;1,0,IFERROR(LOOKUP(2,1/('Feijão 2ª safra'!$E65:INDEX('Feijão 2ª safra'!$E65:$Z65,MIN(AI$6-$E$3,22))&lt;&gt;""),'Feijão 2ª safra'!$E65:INDEX('Feijão 2ª safra'!$E65:$Z65,MIN(AI$6-$E$3,22))),0))-IF($G$2,0,IF((AI$6-$G$3)&lt;1,0,IFERROR(LOOKUP(2,1/('Feijão 2ª safra'!$E65:INDEX('Feijão 2ª safra'!$E65:$Z65,MIN(AI$6-$G$3,22))&lt;&gt;""),'Feijão 2ª safra'!$E65:INDEX('Feijão 2ª safra'!$E65:$Z65,MIN(AI$6-$G$3,22))),0)))))</f>
        <v>0</v>
      </c>
      <c r="AJ67" s="27" t="n">
        <f aca="false">IF(COUNT('Feijão 2ª safra'!$E65:$Z65)=0,0,MAX(0,IF((AJ$6-$E$3)&lt;1,0,IFERROR(LOOKUP(2,1/('Feijão 2ª safra'!$E65:INDEX('Feijão 2ª safra'!$E65:$Z65,MIN(AJ$6-$E$3,22))&lt;&gt;""),'Feijão 2ª safra'!$E65:INDEX('Feijão 2ª safra'!$E65:$Z65,MIN(AJ$6-$E$3,22))),0))-IF($G$2,0,IF((AJ$6-$G$3)&lt;1,0,IFERROR(LOOKUP(2,1/('Feijão 2ª safra'!$E65:INDEX('Feijão 2ª safra'!$E65:$Z65,MIN(AJ$6-$G$3,22))&lt;&gt;""),'Feijão 2ª safra'!$E65:INDEX('Feijão 2ª safra'!$E65:$Z65,MIN(AJ$6-$G$3,22))),0)))))</f>
        <v>0</v>
      </c>
      <c r="AK67" s="27" t="n">
        <f aca="false">IF(COUNT('Feijão 2ª safra'!$E65:$Z65)=0,0,MAX(0,IF((AK$6-$E$3)&lt;1,0,IFERROR(LOOKUP(2,1/('Feijão 2ª safra'!$E65:INDEX('Feijão 2ª safra'!$E65:$Z65,MIN(AK$6-$E$3,22))&lt;&gt;""),'Feijão 2ª safra'!$E65:INDEX('Feijão 2ª safra'!$E65:$Z65,MIN(AK$6-$E$3,22))),0))-IF($G$2,0,IF((AK$6-$G$3)&lt;1,0,IFERROR(LOOKUP(2,1/('Feijão 2ª safra'!$E65:INDEX('Feijão 2ª safra'!$E65:$Z65,MIN(AK$6-$G$3,22))&lt;&gt;""),'Feijão 2ª safra'!$E65:INDEX('Feijão 2ª safra'!$E65:$Z65,MIN(AK$6-$G$3,22))),0)))))</f>
        <v>0</v>
      </c>
      <c r="AL67" s="27" t="n">
        <f aca="false">IF(COUNT('Feijão 2ª safra'!$E65:$Z65)=0,0,MAX(0,IF((AL$6-$E$3)&lt;1,0,IFERROR(LOOKUP(2,1/('Feijão 2ª safra'!$E65:INDEX('Feijão 2ª safra'!$E65:$Z65,MIN(AL$6-$E$3,22))&lt;&gt;""),'Feijão 2ª safra'!$E65:INDEX('Feijão 2ª safra'!$E65:$Z65,MIN(AL$6-$E$3,22))),0))-IF($G$2,0,IF((AL$6-$G$3)&lt;1,0,IFERROR(LOOKUP(2,1/('Feijão 2ª safra'!$E65:INDEX('Feijão 2ª safra'!$E65:$Z65,MIN(AL$6-$G$3,22))&lt;&gt;""),'Feijão 2ª safra'!$E65:INDEX('Feijão 2ª safra'!$E65:$Z65,MIN(AL$6-$G$3,22))),0)))))</f>
        <v>0</v>
      </c>
      <c r="AM67" s="27" t="n">
        <f aca="false">IF(COUNT('Feijão 2ª safra'!$E65:$Z65)=0,0,MAX(0,IF((AM$6-$E$3)&lt;1,0,IFERROR(LOOKUP(2,1/('Feijão 2ª safra'!$E65:INDEX('Feijão 2ª safra'!$E65:$Z65,MIN(AM$6-$E$3,22))&lt;&gt;""),'Feijão 2ª safra'!$E65:INDEX('Feijão 2ª safra'!$E65:$Z65,MIN(AM$6-$E$3,22))),0))-IF($G$2,0,IF((AM$6-$G$3)&lt;1,0,IFERROR(LOOKUP(2,1/('Feijão 2ª safra'!$E65:INDEX('Feijão 2ª safra'!$E65:$Z65,MIN(AM$6-$G$3,22))&lt;&gt;""),'Feijão 2ª safra'!$E65:INDEX('Feijão 2ª safra'!$E65:$Z65,MIN(AM$6-$G$3,22))),0)))))</f>
        <v>0</v>
      </c>
      <c r="AN67" s="27" t="n">
        <f aca="false">IF(COUNT('Feijão 2ª safra'!$E65:$Z65)=0,0,MAX(0,IF((AN$6-$E$3)&lt;1,0,IFERROR(LOOKUP(2,1/('Feijão 2ª safra'!$E65:INDEX('Feijão 2ª safra'!$E65:$Z65,MIN(AN$6-$E$3,22))&lt;&gt;""),'Feijão 2ª safra'!$E65:INDEX('Feijão 2ª safra'!$E65:$Z65,MIN(AN$6-$E$3,22))),0))-IF($G$2,0,IF((AN$6-$G$3)&lt;1,0,IFERROR(LOOKUP(2,1/('Feijão 2ª safra'!$E65:INDEX('Feijão 2ª safra'!$E65:$Z65,MIN(AN$6-$G$3,22))&lt;&gt;""),'Feijão 2ª safra'!$E65:INDEX('Feijão 2ª safra'!$E65:$Z65,MIN(AN$6-$G$3,22))),0)))))</f>
        <v>0</v>
      </c>
      <c r="AO67" s="27" t="n">
        <f aca="false">IF(COUNT('Feijão 2ª safra'!$E65:$Z65)=0,0,MAX(0,IF((AO$6-$E$3)&lt;1,0,IFERROR(LOOKUP(2,1/('Feijão 2ª safra'!$E65:INDEX('Feijão 2ª safra'!$E65:$Z65,MIN(AO$6-$E$3,22))&lt;&gt;""),'Feijão 2ª safra'!$E65:INDEX('Feijão 2ª safra'!$E65:$Z65,MIN(AO$6-$E$3,22))),0))-IF($G$2,0,IF((AO$6-$G$3)&lt;1,0,IFERROR(LOOKUP(2,1/('Feijão 2ª safra'!$E65:INDEX('Feijão 2ª safra'!$E65:$Z65,MIN(AO$6-$G$3,22))&lt;&gt;""),'Feijão 2ª safra'!$E65:INDEX('Feijão 2ª safra'!$E65:$Z65,MIN(AO$6-$G$3,22))),0)))))</f>
        <v>0</v>
      </c>
      <c r="AP67" s="27" t="n">
        <f aca="false">IF(COUNT('Feijão 2ª safra'!$E65:$Z65)=0,0,MAX(0,IF((AP$6-$E$3)&lt;1,0,IFERROR(LOOKUP(2,1/('Feijão 2ª safra'!$E65:INDEX('Feijão 2ª safra'!$E65:$Z65,MIN(AP$6-$E$3,22))&lt;&gt;""),'Feijão 2ª safra'!$E65:INDEX('Feijão 2ª safra'!$E65:$Z65,MIN(AP$6-$E$3,22))),0))-IF($G$2,0,IF((AP$6-$G$3)&lt;1,0,IFERROR(LOOKUP(2,1/('Feijão 2ª safra'!$E65:INDEX('Feijão 2ª safra'!$E65:$Z65,MIN(AP$6-$G$3,22))&lt;&gt;""),'Feijão 2ª safra'!$E65:INDEX('Feijão 2ª safra'!$E65:$Z65,MIN(AP$6-$G$3,22))),0)))))</f>
        <v>0</v>
      </c>
      <c r="AQ67" s="27" t="n">
        <f aca="false">IF(COUNT('Feijão 2ª safra'!$E65:$Z65)=0,0,MAX(0,IF((AQ$6-$E$3)&lt;1,0,IFERROR(LOOKUP(2,1/('Feijão 2ª safra'!$E65:INDEX('Feijão 2ª safra'!$E65:$Z65,MIN(AQ$6-$E$3,22))&lt;&gt;""),'Feijão 2ª safra'!$E65:INDEX('Feijão 2ª safra'!$E65:$Z65,MIN(AQ$6-$E$3,22))),0))-IF($G$2,0,IF((AQ$6-$G$3)&lt;1,0,IFERROR(LOOKUP(2,1/('Feijão 2ª safra'!$E65:INDEX('Feijão 2ª safra'!$E65:$Z65,MIN(AQ$6-$G$3,22))&lt;&gt;""),'Feijão 2ª safra'!$E65:INDEX('Feijão 2ª safra'!$E65:$Z65,MIN(AQ$6-$G$3,22))),0)))))</f>
        <v>0</v>
      </c>
      <c r="AR67" s="27" t="n">
        <f aca="false">IF(COUNT('Feijão 2ª safra'!$E65:$Z65)=0,0,MAX(0,IF((AR$6-$E$3)&lt;1,0,IFERROR(LOOKUP(2,1/('Feijão 2ª safra'!$E65:INDEX('Feijão 2ª safra'!$E65:$Z65,MIN(AR$6-$E$3,22))&lt;&gt;""),'Feijão 2ª safra'!$E65:INDEX('Feijão 2ª safra'!$E65:$Z65,MIN(AR$6-$E$3,22))),0))-IF($G$2,0,IF((AR$6-$G$3)&lt;1,0,IFERROR(LOOKUP(2,1/('Feijão 2ª safra'!$E65:INDEX('Feijão 2ª safra'!$E65:$Z65,MIN(AR$6-$G$3,22))&lt;&gt;""),'Feijão 2ª safra'!$E65:INDEX('Feijão 2ª safra'!$E65:$Z65,MIN(AR$6-$G$3,22))),0)))))</f>
        <v>0</v>
      </c>
      <c r="AS67" s="27" t="n">
        <f aca="false">IF(COUNT('Feijão 2ª safra'!$E65:$Z65)=0,0,MAX(0,IF((AS$6-$E$3)&lt;1,0,IFERROR(LOOKUP(2,1/('Feijão 2ª safra'!$E65:INDEX('Feijão 2ª safra'!$E65:$Z65,MIN(AS$6-$E$3,22))&lt;&gt;""),'Feijão 2ª safra'!$E65:INDEX('Feijão 2ª safra'!$E65:$Z65,MIN(AS$6-$E$3,22))),0))-IF($G$2,0,IF((AS$6-$G$3)&lt;1,0,IFERROR(LOOKUP(2,1/('Feijão 2ª safra'!$E65:INDEX('Feijão 2ª safra'!$E65:$Z65,MIN(AS$6-$G$3,22))&lt;&gt;""),'Feijão 2ª safra'!$E65:INDEX('Feijão 2ª safra'!$E65:$Z65,MIN(AS$6-$G$3,22))),0)))))</f>
        <v>0</v>
      </c>
      <c r="AT67" s="27" t="n">
        <f aca="false">IF(COUNT('Feijão 2ª safra'!$E65:$Z65)=0,0,MAX(0,IF((AT$6-$E$3)&lt;1,0,IFERROR(LOOKUP(2,1/('Feijão 2ª safra'!$E65:INDEX('Feijão 2ª safra'!$E65:$Z65,MIN(AT$6-$E$3,22))&lt;&gt;""),'Feijão 2ª safra'!$E65:INDEX('Feijão 2ª safra'!$E65:$Z65,MIN(AT$6-$E$3,22))),0))-IF($G$2,0,IF((AT$6-$G$3)&lt;1,0,IFERROR(LOOKUP(2,1/('Feijão 2ª safra'!$E65:INDEX('Feijão 2ª safra'!$E65:$Z65,MIN(AT$6-$G$3,22))&lt;&gt;""),'Feijão 2ª safra'!$E65:INDEX('Feijão 2ª safra'!$E65:$Z65,MIN(AT$6-$G$3,22))),0)))))</f>
        <v>0</v>
      </c>
      <c r="AU67" s="27" t="n">
        <f aca="false">IF(COUNT('Feijão 2ª safra'!$E65:$Z65)=0,0,MAX(0,IF((AU$6-$E$3)&lt;1,0,IFERROR(LOOKUP(2,1/('Feijão 2ª safra'!$E65:INDEX('Feijão 2ª safra'!$E65:$Z65,MIN(AU$6-$E$3,22))&lt;&gt;""),'Feijão 2ª safra'!$E65:INDEX('Feijão 2ª safra'!$E65:$Z65,MIN(AU$6-$E$3,22))),0))-IF($G$2,0,IF((AU$6-$G$3)&lt;1,0,IFERROR(LOOKUP(2,1/('Feijão 2ª safra'!$E65:INDEX('Feijão 2ª safra'!$E65:$Z65,MIN(AU$6-$G$3,22))&lt;&gt;""),'Feijão 2ª safra'!$E65:INDEX('Feijão 2ª safra'!$E65:$Z65,MIN(AU$6-$G$3,22))),0)))))</f>
        <v>0</v>
      </c>
      <c r="AV67" s="27" t="n">
        <f aca="false">IF(COUNT('Feijão 2ª safra'!$E65:$Z65)=0,0,MAX(0,IF((AV$6-$E$3)&lt;1,0,IFERROR(LOOKUP(2,1/('Feijão 2ª safra'!$E65:INDEX('Feijão 2ª safra'!$E65:$Z65,MIN(AV$6-$E$3,22))&lt;&gt;""),'Feijão 2ª safra'!$E65:INDEX('Feijão 2ª safra'!$E65:$Z65,MIN(AV$6-$E$3,22))),0))-IF($G$2,0,IF((AV$6-$G$3)&lt;1,0,IFERROR(LOOKUP(2,1/('Feijão 2ª safra'!$E65:INDEX('Feijão 2ª safra'!$E65:$Z65,MIN(AV$6-$G$3,22))&lt;&gt;""),'Feijão 2ª safra'!$E65:INDEX('Feijão 2ª safra'!$E65:$Z65,MIN(AV$6-$G$3,22))),0)))))</f>
        <v>0</v>
      </c>
      <c r="AW67" s="27" t="n">
        <f aca="false">IF(COUNT('Feijão 2ª safra'!$E65:$Z65)=0,0,MAX(0,IF((AW$6-$E$3)&lt;1,0,IFERROR(LOOKUP(2,1/('Feijão 2ª safra'!$E65:INDEX('Feijão 2ª safra'!$E65:$Z65,MIN(AW$6-$E$3,22))&lt;&gt;""),'Feijão 2ª safra'!$E65:INDEX('Feijão 2ª safra'!$E65:$Z65,MIN(AW$6-$E$3,22))),0))-IF($G$2,0,IF((AW$6-$G$3)&lt;1,0,IFERROR(LOOKUP(2,1/('Feijão 2ª safra'!$E65:INDEX('Feijão 2ª safra'!$E65:$Z65,MIN(AW$6-$G$3,22))&lt;&gt;""),'Feijão 2ª safra'!$E65:INDEX('Feijão 2ª safra'!$E65:$Z65,MIN(AW$6-$G$3,22))),0)))))</f>
        <v>0</v>
      </c>
      <c r="AX67" s="27" t="n">
        <f aca="false">IF(COUNT('Feijão 2ª safra'!$E65:$Z65)=0,0,MAX(0,IF((AX$6-$E$3)&lt;1,0,IFERROR(LOOKUP(2,1/('Feijão 2ª safra'!$E65:INDEX('Feijão 2ª safra'!$E65:$Z65,MIN(AX$6-$E$3,22))&lt;&gt;""),'Feijão 2ª safra'!$E65:INDEX('Feijão 2ª safra'!$E65:$Z65,MIN(AX$6-$E$3,22))),0))-IF($G$2,0,IF((AX$6-$G$3)&lt;1,0,IFERROR(LOOKUP(2,1/('Feijão 2ª safra'!$E65:INDEX('Feijão 2ª safra'!$E65:$Z65,MIN(AX$6-$G$3,22))&lt;&gt;""),'Feijão 2ª safra'!$E65:INDEX('Feijão 2ª safra'!$E65:$Z65,MIN(AX$6-$G$3,22))),0)))))</f>
        <v>0</v>
      </c>
      <c r="AY67" s="27" t="n">
        <f aca="false">IF(COUNT('Feijão 2ª safra'!$E65:$Z65)=0,0,MAX(0,IF((AY$6-$E$3)&lt;1,0,IFERROR(LOOKUP(2,1/('Feijão 2ª safra'!$E65:INDEX('Feijão 2ª safra'!$E65:$Z65,MIN(AY$6-$E$3,22))&lt;&gt;""),'Feijão 2ª safra'!$E65:INDEX('Feijão 2ª safra'!$E65:$Z65,MIN(AY$6-$E$3,22))),0))-IF($G$2,0,IF((AY$6-$G$3)&lt;1,0,IFERROR(LOOKUP(2,1/('Feijão 2ª safra'!$E65:INDEX('Feijão 2ª safra'!$E65:$Z65,MIN(AY$6-$G$3,22))&lt;&gt;""),'Feijão 2ª safra'!$E65:INDEX('Feijão 2ª safra'!$E65:$Z65,MIN(AY$6-$G$3,22))),0)))))</f>
        <v>0</v>
      </c>
      <c r="AZ67" s="27" t="n">
        <f aca="false">IF(COUNT('Feijão 2ª safra'!$E65:$Z65)=0,0,MAX(0,IF((AZ$6-$E$3)&lt;1,0,IFERROR(LOOKUP(2,1/('Feijão 2ª safra'!$E65:INDEX('Feijão 2ª safra'!$E65:$Z65,MIN(AZ$6-$E$3,22))&lt;&gt;""),'Feijão 2ª safra'!$E65:INDEX('Feijão 2ª safra'!$E65:$Z65,MIN(AZ$6-$E$3,22))),0))-IF($G$2,0,IF((AZ$6-$G$3)&lt;1,0,IFERROR(LOOKUP(2,1/('Feijão 2ª safra'!$E65:INDEX('Feijão 2ª safra'!$E65:$Z65,MIN(AZ$6-$G$3,22))&lt;&gt;""),'Feijão 2ª safra'!$E65:INDEX('Feijão 2ª safra'!$E65:$Z65,MIN(AZ$6-$G$3,22))),0)))))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IF(COUNT('Feijão 2ª safra'!$E66:$Z66)&gt;0,N('Feijão 2ª safra'!$D66),0)</f>
        <v>0</v>
      </c>
      <c r="E68" s="27" t="n">
        <f aca="false">IF(COUNT('Feijão 2ª safra'!$E66:$Z66)=0,0,MAX(0,IF((E$6-$E$3)&lt;1,0,IFERROR(LOOKUP(2,1/('Feijão 2ª safra'!$E66:INDEX('Feijão 2ª safra'!$E66:$Z66,MIN(E$6-$E$3,22))&lt;&gt;""),'Feijão 2ª safra'!$E66:INDEX('Feijão 2ª safra'!$E66:$Z66,MIN(E$6-$E$3,22))),0))-IF($G$2,0,IF((E$6-$G$3)&lt;1,0,IFERROR(LOOKUP(2,1/('Feijão 2ª safra'!$E66:INDEX('Feijão 2ª safra'!$E66:$Z66,MIN(E$6-$G$3,22))&lt;&gt;""),'Feijão 2ª safra'!$E66:INDEX('Feijão 2ª safra'!$E66:$Z66,MIN(E$6-$G$3,22))),0)))))</f>
        <v>0</v>
      </c>
      <c r="F68" s="27" t="n">
        <f aca="false">IF(COUNT('Feijão 2ª safra'!$E66:$Z66)=0,0,MAX(0,IF((F$6-$E$3)&lt;1,0,IFERROR(LOOKUP(2,1/('Feijão 2ª safra'!$E66:INDEX('Feijão 2ª safra'!$E66:$Z66,MIN(F$6-$E$3,22))&lt;&gt;""),'Feijão 2ª safra'!$E66:INDEX('Feijão 2ª safra'!$E66:$Z66,MIN(F$6-$E$3,22))),0))-IF($G$2,0,IF((F$6-$G$3)&lt;1,0,IFERROR(LOOKUP(2,1/('Feijão 2ª safra'!$E66:INDEX('Feijão 2ª safra'!$E66:$Z66,MIN(F$6-$G$3,22))&lt;&gt;""),'Feijão 2ª safra'!$E66:INDEX('Feijão 2ª safra'!$E66:$Z66,MIN(F$6-$G$3,22))),0)))))</f>
        <v>0</v>
      </c>
      <c r="G68" s="27" t="n">
        <f aca="false">IF(COUNT('Feijão 2ª safra'!$E66:$Z66)=0,0,MAX(0,IF((G$6-$E$3)&lt;1,0,IFERROR(LOOKUP(2,1/('Feijão 2ª safra'!$E66:INDEX('Feijão 2ª safra'!$E66:$Z66,MIN(G$6-$E$3,22))&lt;&gt;""),'Feijão 2ª safra'!$E66:INDEX('Feijão 2ª safra'!$E66:$Z66,MIN(G$6-$E$3,22))),0))-IF($G$2,0,IF((G$6-$G$3)&lt;1,0,IFERROR(LOOKUP(2,1/('Feijão 2ª safra'!$E66:INDEX('Feijão 2ª safra'!$E66:$Z66,MIN(G$6-$G$3,22))&lt;&gt;""),'Feijão 2ª safra'!$E66:INDEX('Feijão 2ª safra'!$E66:$Z66,MIN(G$6-$G$3,22))),0)))))</f>
        <v>0</v>
      </c>
      <c r="H68" s="27" t="n">
        <f aca="false">IF(COUNT('Feijão 2ª safra'!$E66:$Z66)=0,0,MAX(0,IF((H$6-$E$3)&lt;1,0,IFERROR(LOOKUP(2,1/('Feijão 2ª safra'!$E66:INDEX('Feijão 2ª safra'!$E66:$Z66,MIN(H$6-$E$3,22))&lt;&gt;""),'Feijão 2ª safra'!$E66:INDEX('Feijão 2ª safra'!$E66:$Z66,MIN(H$6-$E$3,22))),0))-IF($G$2,0,IF((H$6-$G$3)&lt;1,0,IFERROR(LOOKUP(2,1/('Feijão 2ª safra'!$E66:INDEX('Feijão 2ª safra'!$E66:$Z66,MIN(H$6-$G$3,22))&lt;&gt;""),'Feijão 2ª safra'!$E66:INDEX('Feijão 2ª safra'!$E66:$Z66,MIN(H$6-$G$3,22))),0)))))</f>
        <v>0</v>
      </c>
      <c r="I68" s="27" t="n">
        <f aca="false">IF(COUNT('Feijão 2ª safra'!$E66:$Z66)=0,0,MAX(0,IF((I$6-$E$3)&lt;1,0,IFERROR(LOOKUP(2,1/('Feijão 2ª safra'!$E66:INDEX('Feijão 2ª safra'!$E66:$Z66,MIN(I$6-$E$3,22))&lt;&gt;""),'Feijão 2ª safra'!$E66:INDEX('Feijão 2ª safra'!$E66:$Z66,MIN(I$6-$E$3,22))),0))-IF($G$2,0,IF((I$6-$G$3)&lt;1,0,IFERROR(LOOKUP(2,1/('Feijão 2ª safra'!$E66:INDEX('Feijão 2ª safra'!$E66:$Z66,MIN(I$6-$G$3,22))&lt;&gt;""),'Feijão 2ª safra'!$E66:INDEX('Feijão 2ª safra'!$E66:$Z66,MIN(I$6-$G$3,22))),0)))))</f>
        <v>0</v>
      </c>
      <c r="J68" s="27" t="n">
        <f aca="false">IF(COUNT('Feijão 2ª safra'!$E66:$Z66)=0,0,MAX(0,IF((J$6-$E$3)&lt;1,0,IFERROR(LOOKUP(2,1/('Feijão 2ª safra'!$E66:INDEX('Feijão 2ª safra'!$E66:$Z66,MIN(J$6-$E$3,22))&lt;&gt;""),'Feijão 2ª safra'!$E66:INDEX('Feijão 2ª safra'!$E66:$Z66,MIN(J$6-$E$3,22))),0))-IF($G$2,0,IF((J$6-$G$3)&lt;1,0,IFERROR(LOOKUP(2,1/('Feijão 2ª safra'!$E66:INDEX('Feijão 2ª safra'!$E66:$Z66,MIN(J$6-$G$3,22))&lt;&gt;""),'Feijão 2ª safra'!$E66:INDEX('Feijão 2ª safra'!$E66:$Z66,MIN(J$6-$G$3,22))),0)))))</f>
        <v>0</v>
      </c>
      <c r="K68" s="27" t="n">
        <f aca="false">IF(COUNT('Feijão 2ª safra'!$E66:$Z66)=0,0,MAX(0,IF((K$6-$E$3)&lt;1,0,IFERROR(LOOKUP(2,1/('Feijão 2ª safra'!$E66:INDEX('Feijão 2ª safra'!$E66:$Z66,MIN(K$6-$E$3,22))&lt;&gt;""),'Feijão 2ª safra'!$E66:INDEX('Feijão 2ª safra'!$E66:$Z66,MIN(K$6-$E$3,22))),0))-IF($G$2,0,IF((K$6-$G$3)&lt;1,0,IFERROR(LOOKUP(2,1/('Feijão 2ª safra'!$E66:INDEX('Feijão 2ª safra'!$E66:$Z66,MIN(K$6-$G$3,22))&lt;&gt;""),'Feijão 2ª safra'!$E66:INDEX('Feijão 2ª safra'!$E66:$Z66,MIN(K$6-$G$3,22))),0)))))</f>
        <v>0</v>
      </c>
      <c r="L68" s="27" t="n">
        <f aca="false">IF(COUNT('Feijão 2ª safra'!$E66:$Z66)=0,0,MAX(0,IF((L$6-$E$3)&lt;1,0,IFERROR(LOOKUP(2,1/('Feijão 2ª safra'!$E66:INDEX('Feijão 2ª safra'!$E66:$Z66,MIN(L$6-$E$3,22))&lt;&gt;""),'Feijão 2ª safra'!$E66:INDEX('Feijão 2ª safra'!$E66:$Z66,MIN(L$6-$E$3,22))),0))-IF($G$2,0,IF((L$6-$G$3)&lt;1,0,IFERROR(LOOKUP(2,1/('Feijão 2ª safra'!$E66:INDEX('Feijão 2ª safra'!$E66:$Z66,MIN(L$6-$G$3,22))&lt;&gt;""),'Feijão 2ª safra'!$E66:INDEX('Feijão 2ª safra'!$E66:$Z66,MIN(L$6-$G$3,22))),0)))))</f>
        <v>0</v>
      </c>
      <c r="M68" s="27" t="n">
        <f aca="false">IF(COUNT('Feijão 2ª safra'!$E66:$Z66)=0,0,MAX(0,IF((M$6-$E$3)&lt;1,0,IFERROR(LOOKUP(2,1/('Feijão 2ª safra'!$E66:INDEX('Feijão 2ª safra'!$E66:$Z66,MIN(M$6-$E$3,22))&lt;&gt;""),'Feijão 2ª safra'!$E66:INDEX('Feijão 2ª safra'!$E66:$Z66,MIN(M$6-$E$3,22))),0))-IF($G$2,0,IF((M$6-$G$3)&lt;1,0,IFERROR(LOOKUP(2,1/('Feijão 2ª safra'!$E66:INDEX('Feijão 2ª safra'!$E66:$Z66,MIN(M$6-$G$3,22))&lt;&gt;""),'Feijão 2ª safra'!$E66:INDEX('Feijão 2ª safra'!$E66:$Z66,MIN(M$6-$G$3,22))),0)))))</f>
        <v>0</v>
      </c>
      <c r="N68" s="27" t="n">
        <f aca="false">IF(COUNT('Feijão 2ª safra'!$E66:$Z66)=0,0,MAX(0,IF((N$6-$E$3)&lt;1,0,IFERROR(LOOKUP(2,1/('Feijão 2ª safra'!$E66:INDEX('Feijão 2ª safra'!$E66:$Z66,MIN(N$6-$E$3,22))&lt;&gt;""),'Feijão 2ª safra'!$E66:INDEX('Feijão 2ª safra'!$E66:$Z66,MIN(N$6-$E$3,22))),0))-IF($G$2,0,IF((N$6-$G$3)&lt;1,0,IFERROR(LOOKUP(2,1/('Feijão 2ª safra'!$E66:INDEX('Feijão 2ª safra'!$E66:$Z66,MIN(N$6-$G$3,22))&lt;&gt;""),'Feijão 2ª safra'!$E66:INDEX('Feijão 2ª safra'!$E66:$Z66,MIN(N$6-$G$3,22))),0)))))</f>
        <v>0</v>
      </c>
      <c r="O68" s="27" t="n">
        <f aca="false">IF(COUNT('Feijão 2ª safra'!$E66:$Z66)=0,0,MAX(0,IF((O$6-$E$3)&lt;1,0,IFERROR(LOOKUP(2,1/('Feijão 2ª safra'!$E66:INDEX('Feijão 2ª safra'!$E66:$Z66,MIN(O$6-$E$3,22))&lt;&gt;""),'Feijão 2ª safra'!$E66:INDEX('Feijão 2ª safra'!$E66:$Z66,MIN(O$6-$E$3,22))),0))-IF($G$2,0,IF((O$6-$G$3)&lt;1,0,IFERROR(LOOKUP(2,1/('Feijão 2ª safra'!$E66:INDEX('Feijão 2ª safra'!$E66:$Z66,MIN(O$6-$G$3,22))&lt;&gt;""),'Feijão 2ª safra'!$E66:INDEX('Feijão 2ª safra'!$E66:$Z66,MIN(O$6-$G$3,22))),0)))))</f>
        <v>0</v>
      </c>
      <c r="P68" s="27" t="n">
        <f aca="false">IF(COUNT('Feijão 2ª safra'!$E66:$Z66)=0,0,MAX(0,IF((P$6-$E$3)&lt;1,0,IFERROR(LOOKUP(2,1/('Feijão 2ª safra'!$E66:INDEX('Feijão 2ª safra'!$E66:$Z66,MIN(P$6-$E$3,22))&lt;&gt;""),'Feijão 2ª safra'!$E66:INDEX('Feijão 2ª safra'!$E66:$Z66,MIN(P$6-$E$3,22))),0))-IF($G$2,0,IF((P$6-$G$3)&lt;1,0,IFERROR(LOOKUP(2,1/('Feijão 2ª safra'!$E66:INDEX('Feijão 2ª safra'!$E66:$Z66,MIN(P$6-$G$3,22))&lt;&gt;""),'Feijão 2ª safra'!$E66:INDEX('Feijão 2ª safra'!$E66:$Z66,MIN(P$6-$G$3,22))),0)))))</f>
        <v>0</v>
      </c>
      <c r="Q68" s="27" t="n">
        <f aca="false">IF(COUNT('Feijão 2ª safra'!$E66:$Z66)=0,0,MAX(0,IF((Q$6-$E$3)&lt;1,0,IFERROR(LOOKUP(2,1/('Feijão 2ª safra'!$E66:INDEX('Feijão 2ª safra'!$E66:$Z66,MIN(Q$6-$E$3,22))&lt;&gt;""),'Feijão 2ª safra'!$E66:INDEX('Feijão 2ª safra'!$E66:$Z66,MIN(Q$6-$E$3,22))),0))-IF($G$2,0,IF((Q$6-$G$3)&lt;1,0,IFERROR(LOOKUP(2,1/('Feijão 2ª safra'!$E66:INDEX('Feijão 2ª safra'!$E66:$Z66,MIN(Q$6-$G$3,22))&lt;&gt;""),'Feijão 2ª safra'!$E66:INDEX('Feijão 2ª safra'!$E66:$Z66,MIN(Q$6-$G$3,22))),0)))))</f>
        <v>0</v>
      </c>
      <c r="R68" s="27" t="n">
        <f aca="false">IF(COUNT('Feijão 2ª safra'!$E66:$Z66)=0,0,MAX(0,IF((R$6-$E$3)&lt;1,0,IFERROR(LOOKUP(2,1/('Feijão 2ª safra'!$E66:INDEX('Feijão 2ª safra'!$E66:$Z66,MIN(R$6-$E$3,22))&lt;&gt;""),'Feijão 2ª safra'!$E66:INDEX('Feijão 2ª safra'!$E66:$Z66,MIN(R$6-$E$3,22))),0))-IF($G$2,0,IF((R$6-$G$3)&lt;1,0,IFERROR(LOOKUP(2,1/('Feijão 2ª safra'!$E66:INDEX('Feijão 2ª safra'!$E66:$Z66,MIN(R$6-$G$3,22))&lt;&gt;""),'Feijão 2ª safra'!$E66:INDEX('Feijão 2ª safra'!$E66:$Z66,MIN(R$6-$G$3,22))),0)))))</f>
        <v>0</v>
      </c>
      <c r="S68" s="27" t="n">
        <f aca="false">IF(COUNT('Feijão 2ª safra'!$E66:$Z66)=0,0,MAX(0,IF((S$6-$E$3)&lt;1,0,IFERROR(LOOKUP(2,1/('Feijão 2ª safra'!$E66:INDEX('Feijão 2ª safra'!$E66:$Z66,MIN(S$6-$E$3,22))&lt;&gt;""),'Feijão 2ª safra'!$E66:INDEX('Feijão 2ª safra'!$E66:$Z66,MIN(S$6-$E$3,22))),0))-IF($G$2,0,IF((S$6-$G$3)&lt;1,0,IFERROR(LOOKUP(2,1/('Feijão 2ª safra'!$E66:INDEX('Feijão 2ª safra'!$E66:$Z66,MIN(S$6-$G$3,22))&lt;&gt;""),'Feijão 2ª safra'!$E66:INDEX('Feijão 2ª safra'!$E66:$Z66,MIN(S$6-$G$3,22))),0)))))</f>
        <v>0</v>
      </c>
      <c r="T68" s="27" t="n">
        <f aca="false">IF(COUNT('Feijão 2ª safra'!$E66:$Z66)=0,0,MAX(0,IF((T$6-$E$3)&lt;1,0,IFERROR(LOOKUP(2,1/('Feijão 2ª safra'!$E66:INDEX('Feijão 2ª safra'!$E66:$Z66,MIN(T$6-$E$3,22))&lt;&gt;""),'Feijão 2ª safra'!$E66:INDEX('Feijão 2ª safra'!$E66:$Z66,MIN(T$6-$E$3,22))),0))-IF($G$2,0,IF((T$6-$G$3)&lt;1,0,IFERROR(LOOKUP(2,1/('Feijão 2ª safra'!$E66:INDEX('Feijão 2ª safra'!$E66:$Z66,MIN(T$6-$G$3,22))&lt;&gt;""),'Feijão 2ª safra'!$E66:INDEX('Feijão 2ª safra'!$E66:$Z66,MIN(T$6-$G$3,22))),0)))))</f>
        <v>0</v>
      </c>
      <c r="U68" s="27" t="n">
        <f aca="false">IF(COUNT('Feijão 2ª safra'!$E66:$Z66)=0,0,MAX(0,IF((U$6-$E$3)&lt;1,0,IFERROR(LOOKUP(2,1/('Feijão 2ª safra'!$E66:INDEX('Feijão 2ª safra'!$E66:$Z66,MIN(U$6-$E$3,22))&lt;&gt;""),'Feijão 2ª safra'!$E66:INDEX('Feijão 2ª safra'!$E66:$Z66,MIN(U$6-$E$3,22))),0))-IF($G$2,0,IF((U$6-$G$3)&lt;1,0,IFERROR(LOOKUP(2,1/('Feijão 2ª safra'!$E66:INDEX('Feijão 2ª safra'!$E66:$Z66,MIN(U$6-$G$3,22))&lt;&gt;""),'Feijão 2ª safra'!$E66:INDEX('Feijão 2ª safra'!$E66:$Z66,MIN(U$6-$G$3,22))),0)))))</f>
        <v>0</v>
      </c>
      <c r="V68" s="27" t="n">
        <f aca="false">IF(COUNT('Feijão 2ª safra'!$E66:$Z66)=0,0,MAX(0,IF((V$6-$E$3)&lt;1,0,IFERROR(LOOKUP(2,1/('Feijão 2ª safra'!$E66:INDEX('Feijão 2ª safra'!$E66:$Z66,MIN(V$6-$E$3,22))&lt;&gt;""),'Feijão 2ª safra'!$E66:INDEX('Feijão 2ª safra'!$E66:$Z66,MIN(V$6-$E$3,22))),0))-IF($G$2,0,IF((V$6-$G$3)&lt;1,0,IFERROR(LOOKUP(2,1/('Feijão 2ª safra'!$E66:INDEX('Feijão 2ª safra'!$E66:$Z66,MIN(V$6-$G$3,22))&lt;&gt;""),'Feijão 2ª safra'!$E66:INDEX('Feijão 2ª safra'!$E66:$Z66,MIN(V$6-$G$3,22))),0)))))</f>
        <v>0</v>
      </c>
      <c r="W68" s="27" t="n">
        <f aca="false">IF(COUNT('Feijão 2ª safra'!$E66:$Z66)=0,0,MAX(0,IF((W$6-$E$3)&lt;1,0,IFERROR(LOOKUP(2,1/('Feijão 2ª safra'!$E66:INDEX('Feijão 2ª safra'!$E66:$Z66,MIN(W$6-$E$3,22))&lt;&gt;""),'Feijão 2ª safra'!$E66:INDEX('Feijão 2ª safra'!$E66:$Z66,MIN(W$6-$E$3,22))),0))-IF($G$2,0,IF((W$6-$G$3)&lt;1,0,IFERROR(LOOKUP(2,1/('Feijão 2ª safra'!$E66:INDEX('Feijão 2ª safra'!$E66:$Z66,MIN(W$6-$G$3,22))&lt;&gt;""),'Feijão 2ª safra'!$E66:INDEX('Feijão 2ª safra'!$E66:$Z66,MIN(W$6-$G$3,22))),0)))))</f>
        <v>0</v>
      </c>
      <c r="X68" s="27" t="n">
        <f aca="false">IF(COUNT('Feijão 2ª safra'!$E66:$Z66)=0,0,MAX(0,IF((X$6-$E$3)&lt;1,0,IFERROR(LOOKUP(2,1/('Feijão 2ª safra'!$E66:INDEX('Feijão 2ª safra'!$E66:$Z66,MIN(X$6-$E$3,22))&lt;&gt;""),'Feijão 2ª safra'!$E66:INDEX('Feijão 2ª safra'!$E66:$Z66,MIN(X$6-$E$3,22))),0))-IF($G$2,0,IF((X$6-$G$3)&lt;1,0,IFERROR(LOOKUP(2,1/('Feijão 2ª safra'!$E66:INDEX('Feijão 2ª safra'!$E66:$Z66,MIN(X$6-$G$3,22))&lt;&gt;""),'Feijão 2ª safra'!$E66:INDEX('Feijão 2ª safra'!$E66:$Z66,MIN(X$6-$G$3,22))),0)))))</f>
        <v>0</v>
      </c>
      <c r="Y68" s="27" t="n">
        <f aca="false">IF(COUNT('Feijão 2ª safra'!$E66:$Z66)=0,0,MAX(0,IF((Y$6-$E$3)&lt;1,0,IFERROR(LOOKUP(2,1/('Feijão 2ª safra'!$E66:INDEX('Feijão 2ª safra'!$E66:$Z66,MIN(Y$6-$E$3,22))&lt;&gt;""),'Feijão 2ª safra'!$E66:INDEX('Feijão 2ª safra'!$E66:$Z66,MIN(Y$6-$E$3,22))),0))-IF($G$2,0,IF((Y$6-$G$3)&lt;1,0,IFERROR(LOOKUP(2,1/('Feijão 2ª safra'!$E66:INDEX('Feijão 2ª safra'!$E66:$Z66,MIN(Y$6-$G$3,22))&lt;&gt;""),'Feijão 2ª safra'!$E66:INDEX('Feijão 2ª safra'!$E66:$Z66,MIN(Y$6-$G$3,22))),0)))))</f>
        <v>0</v>
      </c>
      <c r="Z68" s="27" t="n">
        <f aca="false">IF(COUNT('Feijão 2ª safra'!$E66:$Z66)=0,0,MAX(0,IF((Z$6-$E$3)&lt;1,0,IFERROR(LOOKUP(2,1/('Feijão 2ª safra'!$E66:INDEX('Feijão 2ª safra'!$E66:$Z66,MIN(Z$6-$E$3,22))&lt;&gt;""),'Feijão 2ª safra'!$E66:INDEX('Feijão 2ª safra'!$E66:$Z66,MIN(Z$6-$E$3,22))),0))-IF($G$2,0,IF((Z$6-$G$3)&lt;1,0,IFERROR(LOOKUP(2,1/('Feijão 2ª safra'!$E66:INDEX('Feijão 2ª safra'!$E66:$Z66,MIN(Z$6-$G$3,22))&lt;&gt;""),'Feijão 2ª safra'!$E66:INDEX('Feijão 2ª safra'!$E66:$Z66,MIN(Z$6-$G$3,22))),0)))))</f>
        <v>0</v>
      </c>
      <c r="AA68" s="27" t="n">
        <f aca="false">IF(COUNT('Feijão 2ª safra'!$E66:$Z66)=0,0,MAX(0,IF((AA$6-$E$3)&lt;1,0,IFERROR(LOOKUP(2,1/('Feijão 2ª safra'!$E66:INDEX('Feijão 2ª safra'!$E66:$Z66,MIN(AA$6-$E$3,22))&lt;&gt;""),'Feijão 2ª safra'!$E66:INDEX('Feijão 2ª safra'!$E66:$Z66,MIN(AA$6-$E$3,22))),0))-IF($G$2,0,IF((AA$6-$G$3)&lt;1,0,IFERROR(LOOKUP(2,1/('Feijão 2ª safra'!$E66:INDEX('Feijão 2ª safra'!$E66:$Z66,MIN(AA$6-$G$3,22))&lt;&gt;""),'Feijão 2ª safra'!$E66:INDEX('Feijão 2ª safra'!$E66:$Z66,MIN(AA$6-$G$3,22))),0)))))</f>
        <v>0</v>
      </c>
      <c r="AB68" s="27" t="n">
        <f aca="false">IF(COUNT('Feijão 2ª safra'!$E66:$Z66)=0,0,MAX(0,IF((AB$6-$E$3)&lt;1,0,IFERROR(LOOKUP(2,1/('Feijão 2ª safra'!$E66:INDEX('Feijão 2ª safra'!$E66:$Z66,MIN(AB$6-$E$3,22))&lt;&gt;""),'Feijão 2ª safra'!$E66:INDEX('Feijão 2ª safra'!$E66:$Z66,MIN(AB$6-$E$3,22))),0))-IF($G$2,0,IF((AB$6-$G$3)&lt;1,0,IFERROR(LOOKUP(2,1/('Feijão 2ª safra'!$E66:INDEX('Feijão 2ª safra'!$E66:$Z66,MIN(AB$6-$G$3,22))&lt;&gt;""),'Feijão 2ª safra'!$E66:INDEX('Feijão 2ª safra'!$E66:$Z66,MIN(AB$6-$G$3,22))),0)))))</f>
        <v>0</v>
      </c>
      <c r="AC68" s="27" t="n">
        <f aca="false">IF(COUNT('Feijão 2ª safra'!$E66:$Z66)=0,0,MAX(0,IF((AC$6-$E$3)&lt;1,0,IFERROR(LOOKUP(2,1/('Feijão 2ª safra'!$E66:INDEX('Feijão 2ª safra'!$E66:$Z66,MIN(AC$6-$E$3,22))&lt;&gt;""),'Feijão 2ª safra'!$E66:INDEX('Feijão 2ª safra'!$E66:$Z66,MIN(AC$6-$E$3,22))),0))-IF($G$2,0,IF((AC$6-$G$3)&lt;1,0,IFERROR(LOOKUP(2,1/('Feijão 2ª safra'!$E66:INDEX('Feijão 2ª safra'!$E66:$Z66,MIN(AC$6-$G$3,22))&lt;&gt;""),'Feijão 2ª safra'!$E66:INDEX('Feijão 2ª safra'!$E66:$Z66,MIN(AC$6-$G$3,22))),0)))))</f>
        <v>0</v>
      </c>
      <c r="AD68" s="27" t="n">
        <f aca="false">IF(COUNT('Feijão 2ª safra'!$E66:$Z66)=0,0,MAX(0,IF((AD$6-$E$3)&lt;1,0,IFERROR(LOOKUP(2,1/('Feijão 2ª safra'!$E66:INDEX('Feijão 2ª safra'!$E66:$Z66,MIN(AD$6-$E$3,22))&lt;&gt;""),'Feijão 2ª safra'!$E66:INDEX('Feijão 2ª safra'!$E66:$Z66,MIN(AD$6-$E$3,22))),0))-IF($G$2,0,IF((AD$6-$G$3)&lt;1,0,IFERROR(LOOKUP(2,1/('Feijão 2ª safra'!$E66:INDEX('Feijão 2ª safra'!$E66:$Z66,MIN(AD$6-$G$3,22))&lt;&gt;""),'Feijão 2ª safra'!$E66:INDEX('Feijão 2ª safra'!$E66:$Z66,MIN(AD$6-$G$3,22))),0)))))</f>
        <v>0</v>
      </c>
      <c r="AE68" s="27" t="n">
        <f aca="false">IF(COUNT('Feijão 2ª safra'!$E66:$Z66)=0,0,MAX(0,IF((AE$6-$E$3)&lt;1,0,IFERROR(LOOKUP(2,1/('Feijão 2ª safra'!$E66:INDEX('Feijão 2ª safra'!$E66:$Z66,MIN(AE$6-$E$3,22))&lt;&gt;""),'Feijão 2ª safra'!$E66:INDEX('Feijão 2ª safra'!$E66:$Z66,MIN(AE$6-$E$3,22))),0))-IF($G$2,0,IF((AE$6-$G$3)&lt;1,0,IFERROR(LOOKUP(2,1/('Feijão 2ª safra'!$E66:INDEX('Feijão 2ª safra'!$E66:$Z66,MIN(AE$6-$G$3,22))&lt;&gt;""),'Feijão 2ª safra'!$E66:INDEX('Feijão 2ª safra'!$E66:$Z66,MIN(AE$6-$G$3,22))),0)))))</f>
        <v>0</v>
      </c>
      <c r="AF68" s="27" t="n">
        <f aca="false">IF(COUNT('Feijão 2ª safra'!$E66:$Z66)=0,0,MAX(0,IF((AF$6-$E$3)&lt;1,0,IFERROR(LOOKUP(2,1/('Feijão 2ª safra'!$E66:INDEX('Feijão 2ª safra'!$E66:$Z66,MIN(AF$6-$E$3,22))&lt;&gt;""),'Feijão 2ª safra'!$E66:INDEX('Feijão 2ª safra'!$E66:$Z66,MIN(AF$6-$E$3,22))),0))-IF($G$2,0,IF((AF$6-$G$3)&lt;1,0,IFERROR(LOOKUP(2,1/('Feijão 2ª safra'!$E66:INDEX('Feijão 2ª safra'!$E66:$Z66,MIN(AF$6-$G$3,22))&lt;&gt;""),'Feijão 2ª safra'!$E66:INDEX('Feijão 2ª safra'!$E66:$Z66,MIN(AF$6-$G$3,22))),0)))))</f>
        <v>0</v>
      </c>
      <c r="AG68" s="27" t="n">
        <f aca="false">IF(COUNT('Feijão 2ª safra'!$E66:$Z66)=0,0,MAX(0,IF((AG$6-$E$3)&lt;1,0,IFERROR(LOOKUP(2,1/('Feijão 2ª safra'!$E66:INDEX('Feijão 2ª safra'!$E66:$Z66,MIN(AG$6-$E$3,22))&lt;&gt;""),'Feijão 2ª safra'!$E66:INDEX('Feijão 2ª safra'!$E66:$Z66,MIN(AG$6-$E$3,22))),0))-IF($G$2,0,IF((AG$6-$G$3)&lt;1,0,IFERROR(LOOKUP(2,1/('Feijão 2ª safra'!$E66:INDEX('Feijão 2ª safra'!$E66:$Z66,MIN(AG$6-$G$3,22))&lt;&gt;""),'Feijão 2ª safra'!$E66:INDEX('Feijão 2ª safra'!$E66:$Z66,MIN(AG$6-$G$3,22))),0)))))</f>
        <v>0</v>
      </c>
      <c r="AH68" s="27" t="n">
        <f aca="false">IF(COUNT('Feijão 2ª safra'!$E66:$Z66)=0,0,MAX(0,IF((AH$6-$E$3)&lt;1,0,IFERROR(LOOKUP(2,1/('Feijão 2ª safra'!$E66:INDEX('Feijão 2ª safra'!$E66:$Z66,MIN(AH$6-$E$3,22))&lt;&gt;""),'Feijão 2ª safra'!$E66:INDEX('Feijão 2ª safra'!$E66:$Z66,MIN(AH$6-$E$3,22))),0))-IF($G$2,0,IF((AH$6-$G$3)&lt;1,0,IFERROR(LOOKUP(2,1/('Feijão 2ª safra'!$E66:INDEX('Feijão 2ª safra'!$E66:$Z66,MIN(AH$6-$G$3,22))&lt;&gt;""),'Feijão 2ª safra'!$E66:INDEX('Feijão 2ª safra'!$E66:$Z66,MIN(AH$6-$G$3,22))),0)))))</f>
        <v>0</v>
      </c>
      <c r="AI68" s="27" t="n">
        <f aca="false">IF(COUNT('Feijão 2ª safra'!$E66:$Z66)=0,0,MAX(0,IF((AI$6-$E$3)&lt;1,0,IFERROR(LOOKUP(2,1/('Feijão 2ª safra'!$E66:INDEX('Feijão 2ª safra'!$E66:$Z66,MIN(AI$6-$E$3,22))&lt;&gt;""),'Feijão 2ª safra'!$E66:INDEX('Feijão 2ª safra'!$E66:$Z66,MIN(AI$6-$E$3,22))),0))-IF($G$2,0,IF((AI$6-$G$3)&lt;1,0,IFERROR(LOOKUP(2,1/('Feijão 2ª safra'!$E66:INDEX('Feijão 2ª safra'!$E66:$Z66,MIN(AI$6-$G$3,22))&lt;&gt;""),'Feijão 2ª safra'!$E66:INDEX('Feijão 2ª safra'!$E66:$Z66,MIN(AI$6-$G$3,22))),0)))))</f>
        <v>0</v>
      </c>
      <c r="AJ68" s="27" t="n">
        <f aca="false">IF(COUNT('Feijão 2ª safra'!$E66:$Z66)=0,0,MAX(0,IF((AJ$6-$E$3)&lt;1,0,IFERROR(LOOKUP(2,1/('Feijão 2ª safra'!$E66:INDEX('Feijão 2ª safra'!$E66:$Z66,MIN(AJ$6-$E$3,22))&lt;&gt;""),'Feijão 2ª safra'!$E66:INDEX('Feijão 2ª safra'!$E66:$Z66,MIN(AJ$6-$E$3,22))),0))-IF($G$2,0,IF((AJ$6-$G$3)&lt;1,0,IFERROR(LOOKUP(2,1/('Feijão 2ª safra'!$E66:INDEX('Feijão 2ª safra'!$E66:$Z66,MIN(AJ$6-$G$3,22))&lt;&gt;""),'Feijão 2ª safra'!$E66:INDEX('Feijão 2ª safra'!$E66:$Z66,MIN(AJ$6-$G$3,22))),0)))))</f>
        <v>0</v>
      </c>
      <c r="AK68" s="27" t="n">
        <f aca="false">IF(COUNT('Feijão 2ª safra'!$E66:$Z66)=0,0,MAX(0,IF((AK$6-$E$3)&lt;1,0,IFERROR(LOOKUP(2,1/('Feijão 2ª safra'!$E66:INDEX('Feijão 2ª safra'!$E66:$Z66,MIN(AK$6-$E$3,22))&lt;&gt;""),'Feijão 2ª safra'!$E66:INDEX('Feijão 2ª safra'!$E66:$Z66,MIN(AK$6-$E$3,22))),0))-IF($G$2,0,IF((AK$6-$G$3)&lt;1,0,IFERROR(LOOKUP(2,1/('Feijão 2ª safra'!$E66:INDEX('Feijão 2ª safra'!$E66:$Z66,MIN(AK$6-$G$3,22))&lt;&gt;""),'Feijão 2ª safra'!$E66:INDEX('Feijão 2ª safra'!$E66:$Z66,MIN(AK$6-$G$3,22))),0)))))</f>
        <v>0</v>
      </c>
      <c r="AL68" s="27" t="n">
        <f aca="false">IF(COUNT('Feijão 2ª safra'!$E66:$Z66)=0,0,MAX(0,IF((AL$6-$E$3)&lt;1,0,IFERROR(LOOKUP(2,1/('Feijão 2ª safra'!$E66:INDEX('Feijão 2ª safra'!$E66:$Z66,MIN(AL$6-$E$3,22))&lt;&gt;""),'Feijão 2ª safra'!$E66:INDEX('Feijão 2ª safra'!$E66:$Z66,MIN(AL$6-$E$3,22))),0))-IF($G$2,0,IF((AL$6-$G$3)&lt;1,0,IFERROR(LOOKUP(2,1/('Feijão 2ª safra'!$E66:INDEX('Feijão 2ª safra'!$E66:$Z66,MIN(AL$6-$G$3,22))&lt;&gt;""),'Feijão 2ª safra'!$E66:INDEX('Feijão 2ª safra'!$E66:$Z66,MIN(AL$6-$G$3,22))),0)))))</f>
        <v>0</v>
      </c>
      <c r="AM68" s="27" t="n">
        <f aca="false">IF(COUNT('Feijão 2ª safra'!$E66:$Z66)=0,0,MAX(0,IF((AM$6-$E$3)&lt;1,0,IFERROR(LOOKUP(2,1/('Feijão 2ª safra'!$E66:INDEX('Feijão 2ª safra'!$E66:$Z66,MIN(AM$6-$E$3,22))&lt;&gt;""),'Feijão 2ª safra'!$E66:INDEX('Feijão 2ª safra'!$E66:$Z66,MIN(AM$6-$E$3,22))),0))-IF($G$2,0,IF((AM$6-$G$3)&lt;1,0,IFERROR(LOOKUP(2,1/('Feijão 2ª safra'!$E66:INDEX('Feijão 2ª safra'!$E66:$Z66,MIN(AM$6-$G$3,22))&lt;&gt;""),'Feijão 2ª safra'!$E66:INDEX('Feijão 2ª safra'!$E66:$Z66,MIN(AM$6-$G$3,22))),0)))))</f>
        <v>0</v>
      </c>
      <c r="AN68" s="27" t="n">
        <f aca="false">IF(COUNT('Feijão 2ª safra'!$E66:$Z66)=0,0,MAX(0,IF((AN$6-$E$3)&lt;1,0,IFERROR(LOOKUP(2,1/('Feijão 2ª safra'!$E66:INDEX('Feijão 2ª safra'!$E66:$Z66,MIN(AN$6-$E$3,22))&lt;&gt;""),'Feijão 2ª safra'!$E66:INDEX('Feijão 2ª safra'!$E66:$Z66,MIN(AN$6-$E$3,22))),0))-IF($G$2,0,IF((AN$6-$G$3)&lt;1,0,IFERROR(LOOKUP(2,1/('Feijão 2ª safra'!$E66:INDEX('Feijão 2ª safra'!$E66:$Z66,MIN(AN$6-$G$3,22))&lt;&gt;""),'Feijão 2ª safra'!$E66:INDEX('Feijão 2ª safra'!$E66:$Z66,MIN(AN$6-$G$3,22))),0)))))</f>
        <v>0</v>
      </c>
      <c r="AO68" s="27" t="n">
        <f aca="false">IF(COUNT('Feijão 2ª safra'!$E66:$Z66)=0,0,MAX(0,IF((AO$6-$E$3)&lt;1,0,IFERROR(LOOKUP(2,1/('Feijão 2ª safra'!$E66:INDEX('Feijão 2ª safra'!$E66:$Z66,MIN(AO$6-$E$3,22))&lt;&gt;""),'Feijão 2ª safra'!$E66:INDEX('Feijão 2ª safra'!$E66:$Z66,MIN(AO$6-$E$3,22))),0))-IF($G$2,0,IF((AO$6-$G$3)&lt;1,0,IFERROR(LOOKUP(2,1/('Feijão 2ª safra'!$E66:INDEX('Feijão 2ª safra'!$E66:$Z66,MIN(AO$6-$G$3,22))&lt;&gt;""),'Feijão 2ª safra'!$E66:INDEX('Feijão 2ª safra'!$E66:$Z66,MIN(AO$6-$G$3,22))),0)))))</f>
        <v>0</v>
      </c>
      <c r="AP68" s="27" t="n">
        <f aca="false">IF(COUNT('Feijão 2ª safra'!$E66:$Z66)=0,0,MAX(0,IF((AP$6-$E$3)&lt;1,0,IFERROR(LOOKUP(2,1/('Feijão 2ª safra'!$E66:INDEX('Feijão 2ª safra'!$E66:$Z66,MIN(AP$6-$E$3,22))&lt;&gt;""),'Feijão 2ª safra'!$E66:INDEX('Feijão 2ª safra'!$E66:$Z66,MIN(AP$6-$E$3,22))),0))-IF($G$2,0,IF((AP$6-$G$3)&lt;1,0,IFERROR(LOOKUP(2,1/('Feijão 2ª safra'!$E66:INDEX('Feijão 2ª safra'!$E66:$Z66,MIN(AP$6-$G$3,22))&lt;&gt;""),'Feijão 2ª safra'!$E66:INDEX('Feijão 2ª safra'!$E66:$Z66,MIN(AP$6-$G$3,22))),0)))))</f>
        <v>0</v>
      </c>
      <c r="AQ68" s="27" t="n">
        <f aca="false">IF(COUNT('Feijão 2ª safra'!$E66:$Z66)=0,0,MAX(0,IF((AQ$6-$E$3)&lt;1,0,IFERROR(LOOKUP(2,1/('Feijão 2ª safra'!$E66:INDEX('Feijão 2ª safra'!$E66:$Z66,MIN(AQ$6-$E$3,22))&lt;&gt;""),'Feijão 2ª safra'!$E66:INDEX('Feijão 2ª safra'!$E66:$Z66,MIN(AQ$6-$E$3,22))),0))-IF($G$2,0,IF((AQ$6-$G$3)&lt;1,0,IFERROR(LOOKUP(2,1/('Feijão 2ª safra'!$E66:INDEX('Feijão 2ª safra'!$E66:$Z66,MIN(AQ$6-$G$3,22))&lt;&gt;""),'Feijão 2ª safra'!$E66:INDEX('Feijão 2ª safra'!$E66:$Z66,MIN(AQ$6-$G$3,22))),0)))))</f>
        <v>0</v>
      </c>
      <c r="AR68" s="27" t="n">
        <f aca="false">IF(COUNT('Feijão 2ª safra'!$E66:$Z66)=0,0,MAX(0,IF((AR$6-$E$3)&lt;1,0,IFERROR(LOOKUP(2,1/('Feijão 2ª safra'!$E66:INDEX('Feijão 2ª safra'!$E66:$Z66,MIN(AR$6-$E$3,22))&lt;&gt;""),'Feijão 2ª safra'!$E66:INDEX('Feijão 2ª safra'!$E66:$Z66,MIN(AR$6-$E$3,22))),0))-IF($G$2,0,IF((AR$6-$G$3)&lt;1,0,IFERROR(LOOKUP(2,1/('Feijão 2ª safra'!$E66:INDEX('Feijão 2ª safra'!$E66:$Z66,MIN(AR$6-$G$3,22))&lt;&gt;""),'Feijão 2ª safra'!$E66:INDEX('Feijão 2ª safra'!$E66:$Z66,MIN(AR$6-$G$3,22))),0)))))</f>
        <v>0</v>
      </c>
      <c r="AS68" s="27" t="n">
        <f aca="false">IF(COUNT('Feijão 2ª safra'!$E66:$Z66)=0,0,MAX(0,IF((AS$6-$E$3)&lt;1,0,IFERROR(LOOKUP(2,1/('Feijão 2ª safra'!$E66:INDEX('Feijão 2ª safra'!$E66:$Z66,MIN(AS$6-$E$3,22))&lt;&gt;""),'Feijão 2ª safra'!$E66:INDEX('Feijão 2ª safra'!$E66:$Z66,MIN(AS$6-$E$3,22))),0))-IF($G$2,0,IF((AS$6-$G$3)&lt;1,0,IFERROR(LOOKUP(2,1/('Feijão 2ª safra'!$E66:INDEX('Feijão 2ª safra'!$E66:$Z66,MIN(AS$6-$G$3,22))&lt;&gt;""),'Feijão 2ª safra'!$E66:INDEX('Feijão 2ª safra'!$E66:$Z66,MIN(AS$6-$G$3,22))),0)))))</f>
        <v>0</v>
      </c>
      <c r="AT68" s="27" t="n">
        <f aca="false">IF(COUNT('Feijão 2ª safra'!$E66:$Z66)=0,0,MAX(0,IF((AT$6-$E$3)&lt;1,0,IFERROR(LOOKUP(2,1/('Feijão 2ª safra'!$E66:INDEX('Feijão 2ª safra'!$E66:$Z66,MIN(AT$6-$E$3,22))&lt;&gt;""),'Feijão 2ª safra'!$E66:INDEX('Feijão 2ª safra'!$E66:$Z66,MIN(AT$6-$E$3,22))),0))-IF($G$2,0,IF((AT$6-$G$3)&lt;1,0,IFERROR(LOOKUP(2,1/('Feijão 2ª safra'!$E66:INDEX('Feijão 2ª safra'!$E66:$Z66,MIN(AT$6-$G$3,22))&lt;&gt;""),'Feijão 2ª safra'!$E66:INDEX('Feijão 2ª safra'!$E66:$Z66,MIN(AT$6-$G$3,22))),0)))))</f>
        <v>0</v>
      </c>
      <c r="AU68" s="27" t="n">
        <f aca="false">IF(COUNT('Feijão 2ª safra'!$E66:$Z66)=0,0,MAX(0,IF((AU$6-$E$3)&lt;1,0,IFERROR(LOOKUP(2,1/('Feijão 2ª safra'!$E66:INDEX('Feijão 2ª safra'!$E66:$Z66,MIN(AU$6-$E$3,22))&lt;&gt;""),'Feijão 2ª safra'!$E66:INDEX('Feijão 2ª safra'!$E66:$Z66,MIN(AU$6-$E$3,22))),0))-IF($G$2,0,IF((AU$6-$G$3)&lt;1,0,IFERROR(LOOKUP(2,1/('Feijão 2ª safra'!$E66:INDEX('Feijão 2ª safra'!$E66:$Z66,MIN(AU$6-$G$3,22))&lt;&gt;""),'Feijão 2ª safra'!$E66:INDEX('Feijão 2ª safra'!$E66:$Z66,MIN(AU$6-$G$3,22))),0)))))</f>
        <v>0</v>
      </c>
      <c r="AV68" s="27" t="n">
        <f aca="false">IF(COUNT('Feijão 2ª safra'!$E66:$Z66)=0,0,MAX(0,IF((AV$6-$E$3)&lt;1,0,IFERROR(LOOKUP(2,1/('Feijão 2ª safra'!$E66:INDEX('Feijão 2ª safra'!$E66:$Z66,MIN(AV$6-$E$3,22))&lt;&gt;""),'Feijão 2ª safra'!$E66:INDEX('Feijão 2ª safra'!$E66:$Z66,MIN(AV$6-$E$3,22))),0))-IF($G$2,0,IF((AV$6-$G$3)&lt;1,0,IFERROR(LOOKUP(2,1/('Feijão 2ª safra'!$E66:INDEX('Feijão 2ª safra'!$E66:$Z66,MIN(AV$6-$G$3,22))&lt;&gt;""),'Feijão 2ª safra'!$E66:INDEX('Feijão 2ª safra'!$E66:$Z66,MIN(AV$6-$G$3,22))),0)))))</f>
        <v>0</v>
      </c>
      <c r="AW68" s="27" t="n">
        <f aca="false">IF(COUNT('Feijão 2ª safra'!$E66:$Z66)=0,0,MAX(0,IF((AW$6-$E$3)&lt;1,0,IFERROR(LOOKUP(2,1/('Feijão 2ª safra'!$E66:INDEX('Feijão 2ª safra'!$E66:$Z66,MIN(AW$6-$E$3,22))&lt;&gt;""),'Feijão 2ª safra'!$E66:INDEX('Feijão 2ª safra'!$E66:$Z66,MIN(AW$6-$E$3,22))),0))-IF($G$2,0,IF((AW$6-$G$3)&lt;1,0,IFERROR(LOOKUP(2,1/('Feijão 2ª safra'!$E66:INDEX('Feijão 2ª safra'!$E66:$Z66,MIN(AW$6-$G$3,22))&lt;&gt;""),'Feijão 2ª safra'!$E66:INDEX('Feijão 2ª safra'!$E66:$Z66,MIN(AW$6-$G$3,22))),0)))))</f>
        <v>0</v>
      </c>
      <c r="AX68" s="27" t="n">
        <f aca="false">IF(COUNT('Feijão 2ª safra'!$E66:$Z66)=0,0,MAX(0,IF((AX$6-$E$3)&lt;1,0,IFERROR(LOOKUP(2,1/('Feijão 2ª safra'!$E66:INDEX('Feijão 2ª safra'!$E66:$Z66,MIN(AX$6-$E$3,22))&lt;&gt;""),'Feijão 2ª safra'!$E66:INDEX('Feijão 2ª safra'!$E66:$Z66,MIN(AX$6-$E$3,22))),0))-IF($G$2,0,IF((AX$6-$G$3)&lt;1,0,IFERROR(LOOKUP(2,1/('Feijão 2ª safra'!$E66:INDEX('Feijão 2ª safra'!$E66:$Z66,MIN(AX$6-$G$3,22))&lt;&gt;""),'Feijão 2ª safra'!$E66:INDEX('Feijão 2ª safra'!$E66:$Z66,MIN(AX$6-$G$3,22))),0)))))</f>
        <v>0</v>
      </c>
      <c r="AY68" s="27" t="n">
        <f aca="false">IF(COUNT('Feijão 2ª safra'!$E66:$Z66)=0,0,MAX(0,IF((AY$6-$E$3)&lt;1,0,IFERROR(LOOKUP(2,1/('Feijão 2ª safra'!$E66:INDEX('Feijão 2ª safra'!$E66:$Z66,MIN(AY$6-$E$3,22))&lt;&gt;""),'Feijão 2ª safra'!$E66:INDEX('Feijão 2ª safra'!$E66:$Z66,MIN(AY$6-$E$3,22))),0))-IF($G$2,0,IF((AY$6-$G$3)&lt;1,0,IFERROR(LOOKUP(2,1/('Feijão 2ª safra'!$E66:INDEX('Feijão 2ª safra'!$E66:$Z66,MIN(AY$6-$G$3,22))&lt;&gt;""),'Feijão 2ª safra'!$E66:INDEX('Feijão 2ª safra'!$E66:$Z66,MIN(AY$6-$G$3,22))),0)))))</f>
        <v>0</v>
      </c>
      <c r="AZ68" s="27" t="n">
        <f aca="false">IF(COUNT('Feijão 2ª safra'!$E66:$Z66)=0,0,MAX(0,IF((AZ$6-$E$3)&lt;1,0,IFERROR(LOOKUP(2,1/('Feijão 2ª safra'!$E66:INDEX('Feijão 2ª safra'!$E66:$Z66,MIN(AZ$6-$E$3,22))&lt;&gt;""),'Feijão 2ª safra'!$E66:INDEX('Feijão 2ª safra'!$E66:$Z66,MIN(AZ$6-$E$3,22))),0))-IF($G$2,0,IF((AZ$6-$G$3)&lt;1,0,IFERROR(LOOKUP(2,1/('Feijão 2ª safra'!$E66:INDEX('Feijão 2ª safra'!$E66:$Z66,MIN(AZ$6-$G$3,22))&lt;&gt;""),'Feijão 2ª safra'!$E66:INDEX('Feijão 2ª safra'!$E66:$Z66,MIN(AZ$6-$G$3,22))),0)))))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IF(COUNT('Feijão 2ª safra'!$E67:$Z67)&gt;0,N('Feijão 2ª safra'!$D67),0)</f>
        <v>0</v>
      </c>
      <c r="E69" s="27" t="n">
        <f aca="false">IF(COUNT('Feijão 2ª safra'!$E67:$Z67)=0,0,MAX(0,IF((E$6-$E$3)&lt;1,0,IFERROR(LOOKUP(2,1/('Feijão 2ª safra'!$E67:INDEX('Feijão 2ª safra'!$E67:$Z67,MIN(E$6-$E$3,22))&lt;&gt;""),'Feijão 2ª safra'!$E67:INDEX('Feijão 2ª safra'!$E67:$Z67,MIN(E$6-$E$3,22))),0))-IF($G$2,0,IF((E$6-$G$3)&lt;1,0,IFERROR(LOOKUP(2,1/('Feijão 2ª safra'!$E67:INDEX('Feijão 2ª safra'!$E67:$Z67,MIN(E$6-$G$3,22))&lt;&gt;""),'Feijão 2ª safra'!$E67:INDEX('Feijão 2ª safra'!$E67:$Z67,MIN(E$6-$G$3,22))),0)))))</f>
        <v>0</v>
      </c>
      <c r="F69" s="27" t="n">
        <f aca="false">IF(COUNT('Feijão 2ª safra'!$E67:$Z67)=0,0,MAX(0,IF((F$6-$E$3)&lt;1,0,IFERROR(LOOKUP(2,1/('Feijão 2ª safra'!$E67:INDEX('Feijão 2ª safra'!$E67:$Z67,MIN(F$6-$E$3,22))&lt;&gt;""),'Feijão 2ª safra'!$E67:INDEX('Feijão 2ª safra'!$E67:$Z67,MIN(F$6-$E$3,22))),0))-IF($G$2,0,IF((F$6-$G$3)&lt;1,0,IFERROR(LOOKUP(2,1/('Feijão 2ª safra'!$E67:INDEX('Feijão 2ª safra'!$E67:$Z67,MIN(F$6-$G$3,22))&lt;&gt;""),'Feijão 2ª safra'!$E67:INDEX('Feijão 2ª safra'!$E67:$Z67,MIN(F$6-$G$3,22))),0)))))</f>
        <v>0</v>
      </c>
      <c r="G69" s="27" t="n">
        <f aca="false">IF(COUNT('Feijão 2ª safra'!$E67:$Z67)=0,0,MAX(0,IF((G$6-$E$3)&lt;1,0,IFERROR(LOOKUP(2,1/('Feijão 2ª safra'!$E67:INDEX('Feijão 2ª safra'!$E67:$Z67,MIN(G$6-$E$3,22))&lt;&gt;""),'Feijão 2ª safra'!$E67:INDEX('Feijão 2ª safra'!$E67:$Z67,MIN(G$6-$E$3,22))),0))-IF($G$2,0,IF((G$6-$G$3)&lt;1,0,IFERROR(LOOKUP(2,1/('Feijão 2ª safra'!$E67:INDEX('Feijão 2ª safra'!$E67:$Z67,MIN(G$6-$G$3,22))&lt;&gt;""),'Feijão 2ª safra'!$E67:INDEX('Feijão 2ª safra'!$E67:$Z67,MIN(G$6-$G$3,22))),0)))))</f>
        <v>0</v>
      </c>
      <c r="H69" s="27" t="n">
        <f aca="false">IF(COUNT('Feijão 2ª safra'!$E67:$Z67)=0,0,MAX(0,IF((H$6-$E$3)&lt;1,0,IFERROR(LOOKUP(2,1/('Feijão 2ª safra'!$E67:INDEX('Feijão 2ª safra'!$E67:$Z67,MIN(H$6-$E$3,22))&lt;&gt;""),'Feijão 2ª safra'!$E67:INDEX('Feijão 2ª safra'!$E67:$Z67,MIN(H$6-$E$3,22))),0))-IF($G$2,0,IF((H$6-$G$3)&lt;1,0,IFERROR(LOOKUP(2,1/('Feijão 2ª safra'!$E67:INDEX('Feijão 2ª safra'!$E67:$Z67,MIN(H$6-$G$3,22))&lt;&gt;""),'Feijão 2ª safra'!$E67:INDEX('Feijão 2ª safra'!$E67:$Z67,MIN(H$6-$G$3,22))),0)))))</f>
        <v>0</v>
      </c>
      <c r="I69" s="27" t="n">
        <f aca="false">IF(COUNT('Feijão 2ª safra'!$E67:$Z67)=0,0,MAX(0,IF((I$6-$E$3)&lt;1,0,IFERROR(LOOKUP(2,1/('Feijão 2ª safra'!$E67:INDEX('Feijão 2ª safra'!$E67:$Z67,MIN(I$6-$E$3,22))&lt;&gt;""),'Feijão 2ª safra'!$E67:INDEX('Feijão 2ª safra'!$E67:$Z67,MIN(I$6-$E$3,22))),0))-IF($G$2,0,IF((I$6-$G$3)&lt;1,0,IFERROR(LOOKUP(2,1/('Feijão 2ª safra'!$E67:INDEX('Feijão 2ª safra'!$E67:$Z67,MIN(I$6-$G$3,22))&lt;&gt;""),'Feijão 2ª safra'!$E67:INDEX('Feijão 2ª safra'!$E67:$Z67,MIN(I$6-$G$3,22))),0)))))</f>
        <v>0</v>
      </c>
      <c r="J69" s="27" t="n">
        <f aca="false">IF(COUNT('Feijão 2ª safra'!$E67:$Z67)=0,0,MAX(0,IF((J$6-$E$3)&lt;1,0,IFERROR(LOOKUP(2,1/('Feijão 2ª safra'!$E67:INDEX('Feijão 2ª safra'!$E67:$Z67,MIN(J$6-$E$3,22))&lt;&gt;""),'Feijão 2ª safra'!$E67:INDEX('Feijão 2ª safra'!$E67:$Z67,MIN(J$6-$E$3,22))),0))-IF($G$2,0,IF((J$6-$G$3)&lt;1,0,IFERROR(LOOKUP(2,1/('Feijão 2ª safra'!$E67:INDEX('Feijão 2ª safra'!$E67:$Z67,MIN(J$6-$G$3,22))&lt;&gt;""),'Feijão 2ª safra'!$E67:INDEX('Feijão 2ª safra'!$E67:$Z67,MIN(J$6-$G$3,22))),0)))))</f>
        <v>0</v>
      </c>
      <c r="K69" s="27" t="n">
        <f aca="false">IF(COUNT('Feijão 2ª safra'!$E67:$Z67)=0,0,MAX(0,IF((K$6-$E$3)&lt;1,0,IFERROR(LOOKUP(2,1/('Feijão 2ª safra'!$E67:INDEX('Feijão 2ª safra'!$E67:$Z67,MIN(K$6-$E$3,22))&lt;&gt;""),'Feijão 2ª safra'!$E67:INDEX('Feijão 2ª safra'!$E67:$Z67,MIN(K$6-$E$3,22))),0))-IF($G$2,0,IF((K$6-$G$3)&lt;1,0,IFERROR(LOOKUP(2,1/('Feijão 2ª safra'!$E67:INDEX('Feijão 2ª safra'!$E67:$Z67,MIN(K$6-$G$3,22))&lt;&gt;""),'Feijão 2ª safra'!$E67:INDEX('Feijão 2ª safra'!$E67:$Z67,MIN(K$6-$G$3,22))),0)))))</f>
        <v>0</v>
      </c>
      <c r="L69" s="27" t="n">
        <f aca="false">IF(COUNT('Feijão 2ª safra'!$E67:$Z67)=0,0,MAX(0,IF((L$6-$E$3)&lt;1,0,IFERROR(LOOKUP(2,1/('Feijão 2ª safra'!$E67:INDEX('Feijão 2ª safra'!$E67:$Z67,MIN(L$6-$E$3,22))&lt;&gt;""),'Feijão 2ª safra'!$E67:INDEX('Feijão 2ª safra'!$E67:$Z67,MIN(L$6-$E$3,22))),0))-IF($G$2,0,IF((L$6-$G$3)&lt;1,0,IFERROR(LOOKUP(2,1/('Feijão 2ª safra'!$E67:INDEX('Feijão 2ª safra'!$E67:$Z67,MIN(L$6-$G$3,22))&lt;&gt;""),'Feijão 2ª safra'!$E67:INDEX('Feijão 2ª safra'!$E67:$Z67,MIN(L$6-$G$3,22))),0)))))</f>
        <v>0</v>
      </c>
      <c r="M69" s="27" t="n">
        <f aca="false">IF(COUNT('Feijão 2ª safra'!$E67:$Z67)=0,0,MAX(0,IF((M$6-$E$3)&lt;1,0,IFERROR(LOOKUP(2,1/('Feijão 2ª safra'!$E67:INDEX('Feijão 2ª safra'!$E67:$Z67,MIN(M$6-$E$3,22))&lt;&gt;""),'Feijão 2ª safra'!$E67:INDEX('Feijão 2ª safra'!$E67:$Z67,MIN(M$6-$E$3,22))),0))-IF($G$2,0,IF((M$6-$G$3)&lt;1,0,IFERROR(LOOKUP(2,1/('Feijão 2ª safra'!$E67:INDEX('Feijão 2ª safra'!$E67:$Z67,MIN(M$6-$G$3,22))&lt;&gt;""),'Feijão 2ª safra'!$E67:INDEX('Feijão 2ª safra'!$E67:$Z67,MIN(M$6-$G$3,22))),0)))))</f>
        <v>0</v>
      </c>
      <c r="N69" s="27" t="n">
        <f aca="false">IF(COUNT('Feijão 2ª safra'!$E67:$Z67)=0,0,MAX(0,IF((N$6-$E$3)&lt;1,0,IFERROR(LOOKUP(2,1/('Feijão 2ª safra'!$E67:INDEX('Feijão 2ª safra'!$E67:$Z67,MIN(N$6-$E$3,22))&lt;&gt;""),'Feijão 2ª safra'!$E67:INDEX('Feijão 2ª safra'!$E67:$Z67,MIN(N$6-$E$3,22))),0))-IF($G$2,0,IF((N$6-$G$3)&lt;1,0,IFERROR(LOOKUP(2,1/('Feijão 2ª safra'!$E67:INDEX('Feijão 2ª safra'!$E67:$Z67,MIN(N$6-$G$3,22))&lt;&gt;""),'Feijão 2ª safra'!$E67:INDEX('Feijão 2ª safra'!$E67:$Z67,MIN(N$6-$G$3,22))),0)))))</f>
        <v>0</v>
      </c>
      <c r="O69" s="27" t="n">
        <f aca="false">IF(COUNT('Feijão 2ª safra'!$E67:$Z67)=0,0,MAX(0,IF((O$6-$E$3)&lt;1,0,IFERROR(LOOKUP(2,1/('Feijão 2ª safra'!$E67:INDEX('Feijão 2ª safra'!$E67:$Z67,MIN(O$6-$E$3,22))&lt;&gt;""),'Feijão 2ª safra'!$E67:INDEX('Feijão 2ª safra'!$E67:$Z67,MIN(O$6-$E$3,22))),0))-IF($G$2,0,IF((O$6-$G$3)&lt;1,0,IFERROR(LOOKUP(2,1/('Feijão 2ª safra'!$E67:INDEX('Feijão 2ª safra'!$E67:$Z67,MIN(O$6-$G$3,22))&lt;&gt;""),'Feijão 2ª safra'!$E67:INDEX('Feijão 2ª safra'!$E67:$Z67,MIN(O$6-$G$3,22))),0)))))</f>
        <v>0</v>
      </c>
      <c r="P69" s="27" t="n">
        <f aca="false">IF(COUNT('Feijão 2ª safra'!$E67:$Z67)=0,0,MAX(0,IF((P$6-$E$3)&lt;1,0,IFERROR(LOOKUP(2,1/('Feijão 2ª safra'!$E67:INDEX('Feijão 2ª safra'!$E67:$Z67,MIN(P$6-$E$3,22))&lt;&gt;""),'Feijão 2ª safra'!$E67:INDEX('Feijão 2ª safra'!$E67:$Z67,MIN(P$6-$E$3,22))),0))-IF($G$2,0,IF((P$6-$G$3)&lt;1,0,IFERROR(LOOKUP(2,1/('Feijão 2ª safra'!$E67:INDEX('Feijão 2ª safra'!$E67:$Z67,MIN(P$6-$G$3,22))&lt;&gt;""),'Feijão 2ª safra'!$E67:INDEX('Feijão 2ª safra'!$E67:$Z67,MIN(P$6-$G$3,22))),0)))))</f>
        <v>0</v>
      </c>
      <c r="Q69" s="27" t="n">
        <f aca="false">IF(COUNT('Feijão 2ª safra'!$E67:$Z67)=0,0,MAX(0,IF((Q$6-$E$3)&lt;1,0,IFERROR(LOOKUP(2,1/('Feijão 2ª safra'!$E67:INDEX('Feijão 2ª safra'!$E67:$Z67,MIN(Q$6-$E$3,22))&lt;&gt;""),'Feijão 2ª safra'!$E67:INDEX('Feijão 2ª safra'!$E67:$Z67,MIN(Q$6-$E$3,22))),0))-IF($G$2,0,IF((Q$6-$G$3)&lt;1,0,IFERROR(LOOKUP(2,1/('Feijão 2ª safra'!$E67:INDEX('Feijão 2ª safra'!$E67:$Z67,MIN(Q$6-$G$3,22))&lt;&gt;""),'Feijão 2ª safra'!$E67:INDEX('Feijão 2ª safra'!$E67:$Z67,MIN(Q$6-$G$3,22))),0)))))</f>
        <v>0</v>
      </c>
      <c r="R69" s="27" t="n">
        <f aca="false">IF(COUNT('Feijão 2ª safra'!$E67:$Z67)=0,0,MAX(0,IF((R$6-$E$3)&lt;1,0,IFERROR(LOOKUP(2,1/('Feijão 2ª safra'!$E67:INDEX('Feijão 2ª safra'!$E67:$Z67,MIN(R$6-$E$3,22))&lt;&gt;""),'Feijão 2ª safra'!$E67:INDEX('Feijão 2ª safra'!$E67:$Z67,MIN(R$6-$E$3,22))),0))-IF($G$2,0,IF((R$6-$G$3)&lt;1,0,IFERROR(LOOKUP(2,1/('Feijão 2ª safra'!$E67:INDEX('Feijão 2ª safra'!$E67:$Z67,MIN(R$6-$G$3,22))&lt;&gt;""),'Feijão 2ª safra'!$E67:INDEX('Feijão 2ª safra'!$E67:$Z67,MIN(R$6-$G$3,22))),0)))))</f>
        <v>0</v>
      </c>
      <c r="S69" s="27" t="n">
        <f aca="false">IF(COUNT('Feijão 2ª safra'!$E67:$Z67)=0,0,MAX(0,IF((S$6-$E$3)&lt;1,0,IFERROR(LOOKUP(2,1/('Feijão 2ª safra'!$E67:INDEX('Feijão 2ª safra'!$E67:$Z67,MIN(S$6-$E$3,22))&lt;&gt;""),'Feijão 2ª safra'!$E67:INDEX('Feijão 2ª safra'!$E67:$Z67,MIN(S$6-$E$3,22))),0))-IF($G$2,0,IF((S$6-$G$3)&lt;1,0,IFERROR(LOOKUP(2,1/('Feijão 2ª safra'!$E67:INDEX('Feijão 2ª safra'!$E67:$Z67,MIN(S$6-$G$3,22))&lt;&gt;""),'Feijão 2ª safra'!$E67:INDEX('Feijão 2ª safra'!$E67:$Z67,MIN(S$6-$G$3,22))),0)))))</f>
        <v>0</v>
      </c>
      <c r="T69" s="27" t="n">
        <f aca="false">IF(COUNT('Feijão 2ª safra'!$E67:$Z67)=0,0,MAX(0,IF((T$6-$E$3)&lt;1,0,IFERROR(LOOKUP(2,1/('Feijão 2ª safra'!$E67:INDEX('Feijão 2ª safra'!$E67:$Z67,MIN(T$6-$E$3,22))&lt;&gt;""),'Feijão 2ª safra'!$E67:INDEX('Feijão 2ª safra'!$E67:$Z67,MIN(T$6-$E$3,22))),0))-IF($G$2,0,IF((T$6-$G$3)&lt;1,0,IFERROR(LOOKUP(2,1/('Feijão 2ª safra'!$E67:INDEX('Feijão 2ª safra'!$E67:$Z67,MIN(T$6-$G$3,22))&lt;&gt;""),'Feijão 2ª safra'!$E67:INDEX('Feijão 2ª safra'!$E67:$Z67,MIN(T$6-$G$3,22))),0)))))</f>
        <v>0</v>
      </c>
      <c r="U69" s="27" t="n">
        <f aca="false">IF(COUNT('Feijão 2ª safra'!$E67:$Z67)=0,0,MAX(0,IF((U$6-$E$3)&lt;1,0,IFERROR(LOOKUP(2,1/('Feijão 2ª safra'!$E67:INDEX('Feijão 2ª safra'!$E67:$Z67,MIN(U$6-$E$3,22))&lt;&gt;""),'Feijão 2ª safra'!$E67:INDEX('Feijão 2ª safra'!$E67:$Z67,MIN(U$6-$E$3,22))),0))-IF($G$2,0,IF((U$6-$G$3)&lt;1,0,IFERROR(LOOKUP(2,1/('Feijão 2ª safra'!$E67:INDEX('Feijão 2ª safra'!$E67:$Z67,MIN(U$6-$G$3,22))&lt;&gt;""),'Feijão 2ª safra'!$E67:INDEX('Feijão 2ª safra'!$E67:$Z67,MIN(U$6-$G$3,22))),0)))))</f>
        <v>0</v>
      </c>
      <c r="V69" s="27" t="n">
        <f aca="false">IF(COUNT('Feijão 2ª safra'!$E67:$Z67)=0,0,MAX(0,IF((V$6-$E$3)&lt;1,0,IFERROR(LOOKUP(2,1/('Feijão 2ª safra'!$E67:INDEX('Feijão 2ª safra'!$E67:$Z67,MIN(V$6-$E$3,22))&lt;&gt;""),'Feijão 2ª safra'!$E67:INDEX('Feijão 2ª safra'!$E67:$Z67,MIN(V$6-$E$3,22))),0))-IF($G$2,0,IF((V$6-$G$3)&lt;1,0,IFERROR(LOOKUP(2,1/('Feijão 2ª safra'!$E67:INDEX('Feijão 2ª safra'!$E67:$Z67,MIN(V$6-$G$3,22))&lt;&gt;""),'Feijão 2ª safra'!$E67:INDEX('Feijão 2ª safra'!$E67:$Z67,MIN(V$6-$G$3,22))),0)))))</f>
        <v>0</v>
      </c>
      <c r="W69" s="27" t="n">
        <f aca="false">IF(COUNT('Feijão 2ª safra'!$E67:$Z67)=0,0,MAX(0,IF((W$6-$E$3)&lt;1,0,IFERROR(LOOKUP(2,1/('Feijão 2ª safra'!$E67:INDEX('Feijão 2ª safra'!$E67:$Z67,MIN(W$6-$E$3,22))&lt;&gt;""),'Feijão 2ª safra'!$E67:INDEX('Feijão 2ª safra'!$E67:$Z67,MIN(W$6-$E$3,22))),0))-IF($G$2,0,IF((W$6-$G$3)&lt;1,0,IFERROR(LOOKUP(2,1/('Feijão 2ª safra'!$E67:INDEX('Feijão 2ª safra'!$E67:$Z67,MIN(W$6-$G$3,22))&lt;&gt;""),'Feijão 2ª safra'!$E67:INDEX('Feijão 2ª safra'!$E67:$Z67,MIN(W$6-$G$3,22))),0)))))</f>
        <v>0</v>
      </c>
      <c r="X69" s="27" t="n">
        <f aca="false">IF(COUNT('Feijão 2ª safra'!$E67:$Z67)=0,0,MAX(0,IF((X$6-$E$3)&lt;1,0,IFERROR(LOOKUP(2,1/('Feijão 2ª safra'!$E67:INDEX('Feijão 2ª safra'!$E67:$Z67,MIN(X$6-$E$3,22))&lt;&gt;""),'Feijão 2ª safra'!$E67:INDEX('Feijão 2ª safra'!$E67:$Z67,MIN(X$6-$E$3,22))),0))-IF($G$2,0,IF((X$6-$G$3)&lt;1,0,IFERROR(LOOKUP(2,1/('Feijão 2ª safra'!$E67:INDEX('Feijão 2ª safra'!$E67:$Z67,MIN(X$6-$G$3,22))&lt;&gt;""),'Feijão 2ª safra'!$E67:INDEX('Feijão 2ª safra'!$E67:$Z67,MIN(X$6-$G$3,22))),0)))))</f>
        <v>0</v>
      </c>
      <c r="Y69" s="27" t="n">
        <f aca="false">IF(COUNT('Feijão 2ª safra'!$E67:$Z67)=0,0,MAX(0,IF((Y$6-$E$3)&lt;1,0,IFERROR(LOOKUP(2,1/('Feijão 2ª safra'!$E67:INDEX('Feijão 2ª safra'!$E67:$Z67,MIN(Y$6-$E$3,22))&lt;&gt;""),'Feijão 2ª safra'!$E67:INDEX('Feijão 2ª safra'!$E67:$Z67,MIN(Y$6-$E$3,22))),0))-IF($G$2,0,IF((Y$6-$G$3)&lt;1,0,IFERROR(LOOKUP(2,1/('Feijão 2ª safra'!$E67:INDEX('Feijão 2ª safra'!$E67:$Z67,MIN(Y$6-$G$3,22))&lt;&gt;""),'Feijão 2ª safra'!$E67:INDEX('Feijão 2ª safra'!$E67:$Z67,MIN(Y$6-$G$3,22))),0)))))</f>
        <v>0</v>
      </c>
      <c r="Z69" s="27" t="n">
        <f aca="false">IF(COUNT('Feijão 2ª safra'!$E67:$Z67)=0,0,MAX(0,IF((Z$6-$E$3)&lt;1,0,IFERROR(LOOKUP(2,1/('Feijão 2ª safra'!$E67:INDEX('Feijão 2ª safra'!$E67:$Z67,MIN(Z$6-$E$3,22))&lt;&gt;""),'Feijão 2ª safra'!$E67:INDEX('Feijão 2ª safra'!$E67:$Z67,MIN(Z$6-$E$3,22))),0))-IF($G$2,0,IF((Z$6-$G$3)&lt;1,0,IFERROR(LOOKUP(2,1/('Feijão 2ª safra'!$E67:INDEX('Feijão 2ª safra'!$E67:$Z67,MIN(Z$6-$G$3,22))&lt;&gt;""),'Feijão 2ª safra'!$E67:INDEX('Feijão 2ª safra'!$E67:$Z67,MIN(Z$6-$G$3,22))),0)))))</f>
        <v>0</v>
      </c>
      <c r="AA69" s="27" t="n">
        <f aca="false">IF(COUNT('Feijão 2ª safra'!$E67:$Z67)=0,0,MAX(0,IF((AA$6-$E$3)&lt;1,0,IFERROR(LOOKUP(2,1/('Feijão 2ª safra'!$E67:INDEX('Feijão 2ª safra'!$E67:$Z67,MIN(AA$6-$E$3,22))&lt;&gt;""),'Feijão 2ª safra'!$E67:INDEX('Feijão 2ª safra'!$E67:$Z67,MIN(AA$6-$E$3,22))),0))-IF($G$2,0,IF((AA$6-$G$3)&lt;1,0,IFERROR(LOOKUP(2,1/('Feijão 2ª safra'!$E67:INDEX('Feijão 2ª safra'!$E67:$Z67,MIN(AA$6-$G$3,22))&lt;&gt;""),'Feijão 2ª safra'!$E67:INDEX('Feijão 2ª safra'!$E67:$Z67,MIN(AA$6-$G$3,22))),0)))))</f>
        <v>0</v>
      </c>
      <c r="AB69" s="27" t="n">
        <f aca="false">IF(COUNT('Feijão 2ª safra'!$E67:$Z67)=0,0,MAX(0,IF((AB$6-$E$3)&lt;1,0,IFERROR(LOOKUP(2,1/('Feijão 2ª safra'!$E67:INDEX('Feijão 2ª safra'!$E67:$Z67,MIN(AB$6-$E$3,22))&lt;&gt;""),'Feijão 2ª safra'!$E67:INDEX('Feijão 2ª safra'!$E67:$Z67,MIN(AB$6-$E$3,22))),0))-IF($G$2,0,IF((AB$6-$G$3)&lt;1,0,IFERROR(LOOKUP(2,1/('Feijão 2ª safra'!$E67:INDEX('Feijão 2ª safra'!$E67:$Z67,MIN(AB$6-$G$3,22))&lt;&gt;""),'Feijão 2ª safra'!$E67:INDEX('Feijão 2ª safra'!$E67:$Z67,MIN(AB$6-$G$3,22))),0)))))</f>
        <v>0</v>
      </c>
      <c r="AC69" s="27" t="n">
        <f aca="false">IF(COUNT('Feijão 2ª safra'!$E67:$Z67)=0,0,MAX(0,IF((AC$6-$E$3)&lt;1,0,IFERROR(LOOKUP(2,1/('Feijão 2ª safra'!$E67:INDEX('Feijão 2ª safra'!$E67:$Z67,MIN(AC$6-$E$3,22))&lt;&gt;""),'Feijão 2ª safra'!$E67:INDEX('Feijão 2ª safra'!$E67:$Z67,MIN(AC$6-$E$3,22))),0))-IF($G$2,0,IF((AC$6-$G$3)&lt;1,0,IFERROR(LOOKUP(2,1/('Feijão 2ª safra'!$E67:INDEX('Feijão 2ª safra'!$E67:$Z67,MIN(AC$6-$G$3,22))&lt;&gt;""),'Feijão 2ª safra'!$E67:INDEX('Feijão 2ª safra'!$E67:$Z67,MIN(AC$6-$G$3,22))),0)))))</f>
        <v>0</v>
      </c>
      <c r="AD69" s="27" t="n">
        <f aca="false">IF(COUNT('Feijão 2ª safra'!$E67:$Z67)=0,0,MAX(0,IF((AD$6-$E$3)&lt;1,0,IFERROR(LOOKUP(2,1/('Feijão 2ª safra'!$E67:INDEX('Feijão 2ª safra'!$E67:$Z67,MIN(AD$6-$E$3,22))&lt;&gt;""),'Feijão 2ª safra'!$E67:INDEX('Feijão 2ª safra'!$E67:$Z67,MIN(AD$6-$E$3,22))),0))-IF($G$2,0,IF((AD$6-$G$3)&lt;1,0,IFERROR(LOOKUP(2,1/('Feijão 2ª safra'!$E67:INDEX('Feijão 2ª safra'!$E67:$Z67,MIN(AD$6-$G$3,22))&lt;&gt;""),'Feijão 2ª safra'!$E67:INDEX('Feijão 2ª safra'!$E67:$Z67,MIN(AD$6-$G$3,22))),0)))))</f>
        <v>0</v>
      </c>
      <c r="AE69" s="27" t="n">
        <f aca="false">IF(COUNT('Feijão 2ª safra'!$E67:$Z67)=0,0,MAX(0,IF((AE$6-$E$3)&lt;1,0,IFERROR(LOOKUP(2,1/('Feijão 2ª safra'!$E67:INDEX('Feijão 2ª safra'!$E67:$Z67,MIN(AE$6-$E$3,22))&lt;&gt;""),'Feijão 2ª safra'!$E67:INDEX('Feijão 2ª safra'!$E67:$Z67,MIN(AE$6-$E$3,22))),0))-IF($G$2,0,IF((AE$6-$G$3)&lt;1,0,IFERROR(LOOKUP(2,1/('Feijão 2ª safra'!$E67:INDEX('Feijão 2ª safra'!$E67:$Z67,MIN(AE$6-$G$3,22))&lt;&gt;""),'Feijão 2ª safra'!$E67:INDEX('Feijão 2ª safra'!$E67:$Z67,MIN(AE$6-$G$3,22))),0)))))</f>
        <v>0</v>
      </c>
      <c r="AF69" s="27" t="n">
        <f aca="false">IF(COUNT('Feijão 2ª safra'!$E67:$Z67)=0,0,MAX(0,IF((AF$6-$E$3)&lt;1,0,IFERROR(LOOKUP(2,1/('Feijão 2ª safra'!$E67:INDEX('Feijão 2ª safra'!$E67:$Z67,MIN(AF$6-$E$3,22))&lt;&gt;""),'Feijão 2ª safra'!$E67:INDEX('Feijão 2ª safra'!$E67:$Z67,MIN(AF$6-$E$3,22))),0))-IF($G$2,0,IF((AF$6-$G$3)&lt;1,0,IFERROR(LOOKUP(2,1/('Feijão 2ª safra'!$E67:INDEX('Feijão 2ª safra'!$E67:$Z67,MIN(AF$6-$G$3,22))&lt;&gt;""),'Feijão 2ª safra'!$E67:INDEX('Feijão 2ª safra'!$E67:$Z67,MIN(AF$6-$G$3,22))),0)))))</f>
        <v>0</v>
      </c>
      <c r="AG69" s="27" t="n">
        <f aca="false">IF(COUNT('Feijão 2ª safra'!$E67:$Z67)=0,0,MAX(0,IF((AG$6-$E$3)&lt;1,0,IFERROR(LOOKUP(2,1/('Feijão 2ª safra'!$E67:INDEX('Feijão 2ª safra'!$E67:$Z67,MIN(AG$6-$E$3,22))&lt;&gt;""),'Feijão 2ª safra'!$E67:INDEX('Feijão 2ª safra'!$E67:$Z67,MIN(AG$6-$E$3,22))),0))-IF($G$2,0,IF((AG$6-$G$3)&lt;1,0,IFERROR(LOOKUP(2,1/('Feijão 2ª safra'!$E67:INDEX('Feijão 2ª safra'!$E67:$Z67,MIN(AG$6-$G$3,22))&lt;&gt;""),'Feijão 2ª safra'!$E67:INDEX('Feijão 2ª safra'!$E67:$Z67,MIN(AG$6-$G$3,22))),0)))))</f>
        <v>0</v>
      </c>
      <c r="AH69" s="27" t="n">
        <f aca="false">IF(COUNT('Feijão 2ª safra'!$E67:$Z67)=0,0,MAX(0,IF((AH$6-$E$3)&lt;1,0,IFERROR(LOOKUP(2,1/('Feijão 2ª safra'!$E67:INDEX('Feijão 2ª safra'!$E67:$Z67,MIN(AH$6-$E$3,22))&lt;&gt;""),'Feijão 2ª safra'!$E67:INDEX('Feijão 2ª safra'!$E67:$Z67,MIN(AH$6-$E$3,22))),0))-IF($G$2,0,IF((AH$6-$G$3)&lt;1,0,IFERROR(LOOKUP(2,1/('Feijão 2ª safra'!$E67:INDEX('Feijão 2ª safra'!$E67:$Z67,MIN(AH$6-$G$3,22))&lt;&gt;""),'Feijão 2ª safra'!$E67:INDEX('Feijão 2ª safra'!$E67:$Z67,MIN(AH$6-$G$3,22))),0)))))</f>
        <v>0</v>
      </c>
      <c r="AI69" s="27" t="n">
        <f aca="false">IF(COUNT('Feijão 2ª safra'!$E67:$Z67)=0,0,MAX(0,IF((AI$6-$E$3)&lt;1,0,IFERROR(LOOKUP(2,1/('Feijão 2ª safra'!$E67:INDEX('Feijão 2ª safra'!$E67:$Z67,MIN(AI$6-$E$3,22))&lt;&gt;""),'Feijão 2ª safra'!$E67:INDEX('Feijão 2ª safra'!$E67:$Z67,MIN(AI$6-$E$3,22))),0))-IF($G$2,0,IF((AI$6-$G$3)&lt;1,0,IFERROR(LOOKUP(2,1/('Feijão 2ª safra'!$E67:INDEX('Feijão 2ª safra'!$E67:$Z67,MIN(AI$6-$G$3,22))&lt;&gt;""),'Feijão 2ª safra'!$E67:INDEX('Feijão 2ª safra'!$E67:$Z67,MIN(AI$6-$G$3,22))),0)))))</f>
        <v>0</v>
      </c>
      <c r="AJ69" s="27" t="n">
        <f aca="false">IF(COUNT('Feijão 2ª safra'!$E67:$Z67)=0,0,MAX(0,IF((AJ$6-$E$3)&lt;1,0,IFERROR(LOOKUP(2,1/('Feijão 2ª safra'!$E67:INDEX('Feijão 2ª safra'!$E67:$Z67,MIN(AJ$6-$E$3,22))&lt;&gt;""),'Feijão 2ª safra'!$E67:INDEX('Feijão 2ª safra'!$E67:$Z67,MIN(AJ$6-$E$3,22))),0))-IF($G$2,0,IF((AJ$6-$G$3)&lt;1,0,IFERROR(LOOKUP(2,1/('Feijão 2ª safra'!$E67:INDEX('Feijão 2ª safra'!$E67:$Z67,MIN(AJ$6-$G$3,22))&lt;&gt;""),'Feijão 2ª safra'!$E67:INDEX('Feijão 2ª safra'!$E67:$Z67,MIN(AJ$6-$G$3,22))),0)))))</f>
        <v>0</v>
      </c>
      <c r="AK69" s="27" t="n">
        <f aca="false">IF(COUNT('Feijão 2ª safra'!$E67:$Z67)=0,0,MAX(0,IF((AK$6-$E$3)&lt;1,0,IFERROR(LOOKUP(2,1/('Feijão 2ª safra'!$E67:INDEX('Feijão 2ª safra'!$E67:$Z67,MIN(AK$6-$E$3,22))&lt;&gt;""),'Feijão 2ª safra'!$E67:INDEX('Feijão 2ª safra'!$E67:$Z67,MIN(AK$6-$E$3,22))),0))-IF($G$2,0,IF((AK$6-$G$3)&lt;1,0,IFERROR(LOOKUP(2,1/('Feijão 2ª safra'!$E67:INDEX('Feijão 2ª safra'!$E67:$Z67,MIN(AK$6-$G$3,22))&lt;&gt;""),'Feijão 2ª safra'!$E67:INDEX('Feijão 2ª safra'!$E67:$Z67,MIN(AK$6-$G$3,22))),0)))))</f>
        <v>0</v>
      </c>
      <c r="AL69" s="27" t="n">
        <f aca="false">IF(COUNT('Feijão 2ª safra'!$E67:$Z67)=0,0,MAX(0,IF((AL$6-$E$3)&lt;1,0,IFERROR(LOOKUP(2,1/('Feijão 2ª safra'!$E67:INDEX('Feijão 2ª safra'!$E67:$Z67,MIN(AL$6-$E$3,22))&lt;&gt;""),'Feijão 2ª safra'!$E67:INDEX('Feijão 2ª safra'!$E67:$Z67,MIN(AL$6-$E$3,22))),0))-IF($G$2,0,IF((AL$6-$G$3)&lt;1,0,IFERROR(LOOKUP(2,1/('Feijão 2ª safra'!$E67:INDEX('Feijão 2ª safra'!$E67:$Z67,MIN(AL$6-$G$3,22))&lt;&gt;""),'Feijão 2ª safra'!$E67:INDEX('Feijão 2ª safra'!$E67:$Z67,MIN(AL$6-$G$3,22))),0)))))</f>
        <v>0</v>
      </c>
      <c r="AM69" s="27" t="n">
        <f aca="false">IF(COUNT('Feijão 2ª safra'!$E67:$Z67)=0,0,MAX(0,IF((AM$6-$E$3)&lt;1,0,IFERROR(LOOKUP(2,1/('Feijão 2ª safra'!$E67:INDEX('Feijão 2ª safra'!$E67:$Z67,MIN(AM$6-$E$3,22))&lt;&gt;""),'Feijão 2ª safra'!$E67:INDEX('Feijão 2ª safra'!$E67:$Z67,MIN(AM$6-$E$3,22))),0))-IF($G$2,0,IF((AM$6-$G$3)&lt;1,0,IFERROR(LOOKUP(2,1/('Feijão 2ª safra'!$E67:INDEX('Feijão 2ª safra'!$E67:$Z67,MIN(AM$6-$G$3,22))&lt;&gt;""),'Feijão 2ª safra'!$E67:INDEX('Feijão 2ª safra'!$E67:$Z67,MIN(AM$6-$G$3,22))),0)))))</f>
        <v>0</v>
      </c>
      <c r="AN69" s="27" t="n">
        <f aca="false">IF(COUNT('Feijão 2ª safra'!$E67:$Z67)=0,0,MAX(0,IF((AN$6-$E$3)&lt;1,0,IFERROR(LOOKUP(2,1/('Feijão 2ª safra'!$E67:INDEX('Feijão 2ª safra'!$E67:$Z67,MIN(AN$6-$E$3,22))&lt;&gt;""),'Feijão 2ª safra'!$E67:INDEX('Feijão 2ª safra'!$E67:$Z67,MIN(AN$6-$E$3,22))),0))-IF($G$2,0,IF((AN$6-$G$3)&lt;1,0,IFERROR(LOOKUP(2,1/('Feijão 2ª safra'!$E67:INDEX('Feijão 2ª safra'!$E67:$Z67,MIN(AN$6-$G$3,22))&lt;&gt;""),'Feijão 2ª safra'!$E67:INDEX('Feijão 2ª safra'!$E67:$Z67,MIN(AN$6-$G$3,22))),0)))))</f>
        <v>0</v>
      </c>
      <c r="AO69" s="27" t="n">
        <f aca="false">IF(COUNT('Feijão 2ª safra'!$E67:$Z67)=0,0,MAX(0,IF((AO$6-$E$3)&lt;1,0,IFERROR(LOOKUP(2,1/('Feijão 2ª safra'!$E67:INDEX('Feijão 2ª safra'!$E67:$Z67,MIN(AO$6-$E$3,22))&lt;&gt;""),'Feijão 2ª safra'!$E67:INDEX('Feijão 2ª safra'!$E67:$Z67,MIN(AO$6-$E$3,22))),0))-IF($G$2,0,IF((AO$6-$G$3)&lt;1,0,IFERROR(LOOKUP(2,1/('Feijão 2ª safra'!$E67:INDEX('Feijão 2ª safra'!$E67:$Z67,MIN(AO$6-$G$3,22))&lt;&gt;""),'Feijão 2ª safra'!$E67:INDEX('Feijão 2ª safra'!$E67:$Z67,MIN(AO$6-$G$3,22))),0)))))</f>
        <v>0</v>
      </c>
      <c r="AP69" s="27" t="n">
        <f aca="false">IF(COUNT('Feijão 2ª safra'!$E67:$Z67)=0,0,MAX(0,IF((AP$6-$E$3)&lt;1,0,IFERROR(LOOKUP(2,1/('Feijão 2ª safra'!$E67:INDEX('Feijão 2ª safra'!$E67:$Z67,MIN(AP$6-$E$3,22))&lt;&gt;""),'Feijão 2ª safra'!$E67:INDEX('Feijão 2ª safra'!$E67:$Z67,MIN(AP$6-$E$3,22))),0))-IF($G$2,0,IF((AP$6-$G$3)&lt;1,0,IFERROR(LOOKUP(2,1/('Feijão 2ª safra'!$E67:INDEX('Feijão 2ª safra'!$E67:$Z67,MIN(AP$6-$G$3,22))&lt;&gt;""),'Feijão 2ª safra'!$E67:INDEX('Feijão 2ª safra'!$E67:$Z67,MIN(AP$6-$G$3,22))),0)))))</f>
        <v>0</v>
      </c>
      <c r="AQ69" s="27" t="n">
        <f aca="false">IF(COUNT('Feijão 2ª safra'!$E67:$Z67)=0,0,MAX(0,IF((AQ$6-$E$3)&lt;1,0,IFERROR(LOOKUP(2,1/('Feijão 2ª safra'!$E67:INDEX('Feijão 2ª safra'!$E67:$Z67,MIN(AQ$6-$E$3,22))&lt;&gt;""),'Feijão 2ª safra'!$E67:INDEX('Feijão 2ª safra'!$E67:$Z67,MIN(AQ$6-$E$3,22))),0))-IF($G$2,0,IF((AQ$6-$G$3)&lt;1,0,IFERROR(LOOKUP(2,1/('Feijão 2ª safra'!$E67:INDEX('Feijão 2ª safra'!$E67:$Z67,MIN(AQ$6-$G$3,22))&lt;&gt;""),'Feijão 2ª safra'!$E67:INDEX('Feijão 2ª safra'!$E67:$Z67,MIN(AQ$6-$G$3,22))),0)))))</f>
        <v>0</v>
      </c>
      <c r="AR69" s="27" t="n">
        <f aca="false">IF(COUNT('Feijão 2ª safra'!$E67:$Z67)=0,0,MAX(0,IF((AR$6-$E$3)&lt;1,0,IFERROR(LOOKUP(2,1/('Feijão 2ª safra'!$E67:INDEX('Feijão 2ª safra'!$E67:$Z67,MIN(AR$6-$E$3,22))&lt;&gt;""),'Feijão 2ª safra'!$E67:INDEX('Feijão 2ª safra'!$E67:$Z67,MIN(AR$6-$E$3,22))),0))-IF($G$2,0,IF((AR$6-$G$3)&lt;1,0,IFERROR(LOOKUP(2,1/('Feijão 2ª safra'!$E67:INDEX('Feijão 2ª safra'!$E67:$Z67,MIN(AR$6-$G$3,22))&lt;&gt;""),'Feijão 2ª safra'!$E67:INDEX('Feijão 2ª safra'!$E67:$Z67,MIN(AR$6-$G$3,22))),0)))))</f>
        <v>0</v>
      </c>
      <c r="AS69" s="27" t="n">
        <f aca="false">IF(COUNT('Feijão 2ª safra'!$E67:$Z67)=0,0,MAX(0,IF((AS$6-$E$3)&lt;1,0,IFERROR(LOOKUP(2,1/('Feijão 2ª safra'!$E67:INDEX('Feijão 2ª safra'!$E67:$Z67,MIN(AS$6-$E$3,22))&lt;&gt;""),'Feijão 2ª safra'!$E67:INDEX('Feijão 2ª safra'!$E67:$Z67,MIN(AS$6-$E$3,22))),0))-IF($G$2,0,IF((AS$6-$G$3)&lt;1,0,IFERROR(LOOKUP(2,1/('Feijão 2ª safra'!$E67:INDEX('Feijão 2ª safra'!$E67:$Z67,MIN(AS$6-$G$3,22))&lt;&gt;""),'Feijão 2ª safra'!$E67:INDEX('Feijão 2ª safra'!$E67:$Z67,MIN(AS$6-$G$3,22))),0)))))</f>
        <v>0</v>
      </c>
      <c r="AT69" s="27" t="n">
        <f aca="false">IF(COUNT('Feijão 2ª safra'!$E67:$Z67)=0,0,MAX(0,IF((AT$6-$E$3)&lt;1,0,IFERROR(LOOKUP(2,1/('Feijão 2ª safra'!$E67:INDEX('Feijão 2ª safra'!$E67:$Z67,MIN(AT$6-$E$3,22))&lt;&gt;""),'Feijão 2ª safra'!$E67:INDEX('Feijão 2ª safra'!$E67:$Z67,MIN(AT$6-$E$3,22))),0))-IF($G$2,0,IF((AT$6-$G$3)&lt;1,0,IFERROR(LOOKUP(2,1/('Feijão 2ª safra'!$E67:INDEX('Feijão 2ª safra'!$E67:$Z67,MIN(AT$6-$G$3,22))&lt;&gt;""),'Feijão 2ª safra'!$E67:INDEX('Feijão 2ª safra'!$E67:$Z67,MIN(AT$6-$G$3,22))),0)))))</f>
        <v>0</v>
      </c>
      <c r="AU69" s="27" t="n">
        <f aca="false">IF(COUNT('Feijão 2ª safra'!$E67:$Z67)=0,0,MAX(0,IF((AU$6-$E$3)&lt;1,0,IFERROR(LOOKUP(2,1/('Feijão 2ª safra'!$E67:INDEX('Feijão 2ª safra'!$E67:$Z67,MIN(AU$6-$E$3,22))&lt;&gt;""),'Feijão 2ª safra'!$E67:INDEX('Feijão 2ª safra'!$E67:$Z67,MIN(AU$6-$E$3,22))),0))-IF($G$2,0,IF((AU$6-$G$3)&lt;1,0,IFERROR(LOOKUP(2,1/('Feijão 2ª safra'!$E67:INDEX('Feijão 2ª safra'!$E67:$Z67,MIN(AU$6-$G$3,22))&lt;&gt;""),'Feijão 2ª safra'!$E67:INDEX('Feijão 2ª safra'!$E67:$Z67,MIN(AU$6-$G$3,22))),0)))))</f>
        <v>0</v>
      </c>
      <c r="AV69" s="27" t="n">
        <f aca="false">IF(COUNT('Feijão 2ª safra'!$E67:$Z67)=0,0,MAX(0,IF((AV$6-$E$3)&lt;1,0,IFERROR(LOOKUP(2,1/('Feijão 2ª safra'!$E67:INDEX('Feijão 2ª safra'!$E67:$Z67,MIN(AV$6-$E$3,22))&lt;&gt;""),'Feijão 2ª safra'!$E67:INDEX('Feijão 2ª safra'!$E67:$Z67,MIN(AV$6-$E$3,22))),0))-IF($G$2,0,IF((AV$6-$G$3)&lt;1,0,IFERROR(LOOKUP(2,1/('Feijão 2ª safra'!$E67:INDEX('Feijão 2ª safra'!$E67:$Z67,MIN(AV$6-$G$3,22))&lt;&gt;""),'Feijão 2ª safra'!$E67:INDEX('Feijão 2ª safra'!$E67:$Z67,MIN(AV$6-$G$3,22))),0)))))</f>
        <v>0</v>
      </c>
      <c r="AW69" s="27" t="n">
        <f aca="false">IF(COUNT('Feijão 2ª safra'!$E67:$Z67)=0,0,MAX(0,IF((AW$6-$E$3)&lt;1,0,IFERROR(LOOKUP(2,1/('Feijão 2ª safra'!$E67:INDEX('Feijão 2ª safra'!$E67:$Z67,MIN(AW$6-$E$3,22))&lt;&gt;""),'Feijão 2ª safra'!$E67:INDEX('Feijão 2ª safra'!$E67:$Z67,MIN(AW$6-$E$3,22))),0))-IF($G$2,0,IF((AW$6-$G$3)&lt;1,0,IFERROR(LOOKUP(2,1/('Feijão 2ª safra'!$E67:INDEX('Feijão 2ª safra'!$E67:$Z67,MIN(AW$6-$G$3,22))&lt;&gt;""),'Feijão 2ª safra'!$E67:INDEX('Feijão 2ª safra'!$E67:$Z67,MIN(AW$6-$G$3,22))),0)))))</f>
        <v>0</v>
      </c>
      <c r="AX69" s="27" t="n">
        <f aca="false">IF(COUNT('Feijão 2ª safra'!$E67:$Z67)=0,0,MAX(0,IF((AX$6-$E$3)&lt;1,0,IFERROR(LOOKUP(2,1/('Feijão 2ª safra'!$E67:INDEX('Feijão 2ª safra'!$E67:$Z67,MIN(AX$6-$E$3,22))&lt;&gt;""),'Feijão 2ª safra'!$E67:INDEX('Feijão 2ª safra'!$E67:$Z67,MIN(AX$6-$E$3,22))),0))-IF($G$2,0,IF((AX$6-$G$3)&lt;1,0,IFERROR(LOOKUP(2,1/('Feijão 2ª safra'!$E67:INDEX('Feijão 2ª safra'!$E67:$Z67,MIN(AX$6-$G$3,22))&lt;&gt;""),'Feijão 2ª safra'!$E67:INDEX('Feijão 2ª safra'!$E67:$Z67,MIN(AX$6-$G$3,22))),0)))))</f>
        <v>0</v>
      </c>
      <c r="AY69" s="27" t="n">
        <f aca="false">IF(COUNT('Feijão 2ª safra'!$E67:$Z67)=0,0,MAX(0,IF((AY$6-$E$3)&lt;1,0,IFERROR(LOOKUP(2,1/('Feijão 2ª safra'!$E67:INDEX('Feijão 2ª safra'!$E67:$Z67,MIN(AY$6-$E$3,22))&lt;&gt;""),'Feijão 2ª safra'!$E67:INDEX('Feijão 2ª safra'!$E67:$Z67,MIN(AY$6-$E$3,22))),0))-IF($G$2,0,IF((AY$6-$G$3)&lt;1,0,IFERROR(LOOKUP(2,1/('Feijão 2ª safra'!$E67:INDEX('Feijão 2ª safra'!$E67:$Z67,MIN(AY$6-$G$3,22))&lt;&gt;""),'Feijão 2ª safra'!$E67:INDEX('Feijão 2ª safra'!$E67:$Z67,MIN(AY$6-$G$3,22))),0)))))</f>
        <v>0</v>
      </c>
      <c r="AZ69" s="27" t="n">
        <f aca="false">IF(COUNT('Feijão 2ª safra'!$E67:$Z67)=0,0,MAX(0,IF((AZ$6-$E$3)&lt;1,0,IFERROR(LOOKUP(2,1/('Feijão 2ª safra'!$E67:INDEX('Feijão 2ª safra'!$E67:$Z67,MIN(AZ$6-$E$3,22))&lt;&gt;""),'Feijão 2ª safra'!$E67:INDEX('Feijão 2ª safra'!$E67:$Z67,MIN(AZ$6-$E$3,22))),0))-IF($G$2,0,IF((AZ$6-$G$3)&lt;1,0,IFERROR(LOOKUP(2,1/('Feijão 2ª safra'!$E67:INDEX('Feijão 2ª safra'!$E67:$Z67,MIN(AZ$6-$G$3,22))&lt;&gt;""),'Feijão 2ª safra'!$E67:INDEX('Feijão 2ª safra'!$E67:$Z67,MIN(AZ$6-$G$3,22))),0)))))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IF(COUNT('Feijão 2ª safra'!$E68:$Z68)&gt;0,N('Feijão 2ª safra'!$D68),0)</f>
        <v>0</v>
      </c>
      <c r="E70" s="27" t="n">
        <f aca="false">IF(COUNT('Feijão 2ª safra'!$E68:$Z68)=0,0,MAX(0,IF((E$6-$E$3)&lt;1,0,IFERROR(LOOKUP(2,1/('Feijão 2ª safra'!$E68:INDEX('Feijão 2ª safra'!$E68:$Z68,MIN(E$6-$E$3,22))&lt;&gt;""),'Feijão 2ª safra'!$E68:INDEX('Feijão 2ª safra'!$E68:$Z68,MIN(E$6-$E$3,22))),0))-IF($G$2,0,IF((E$6-$G$3)&lt;1,0,IFERROR(LOOKUP(2,1/('Feijão 2ª safra'!$E68:INDEX('Feijão 2ª safra'!$E68:$Z68,MIN(E$6-$G$3,22))&lt;&gt;""),'Feijão 2ª safra'!$E68:INDEX('Feijão 2ª safra'!$E68:$Z68,MIN(E$6-$G$3,22))),0)))))</f>
        <v>0</v>
      </c>
      <c r="F70" s="27" t="n">
        <f aca="false">IF(COUNT('Feijão 2ª safra'!$E68:$Z68)=0,0,MAX(0,IF((F$6-$E$3)&lt;1,0,IFERROR(LOOKUP(2,1/('Feijão 2ª safra'!$E68:INDEX('Feijão 2ª safra'!$E68:$Z68,MIN(F$6-$E$3,22))&lt;&gt;""),'Feijão 2ª safra'!$E68:INDEX('Feijão 2ª safra'!$E68:$Z68,MIN(F$6-$E$3,22))),0))-IF($G$2,0,IF((F$6-$G$3)&lt;1,0,IFERROR(LOOKUP(2,1/('Feijão 2ª safra'!$E68:INDEX('Feijão 2ª safra'!$E68:$Z68,MIN(F$6-$G$3,22))&lt;&gt;""),'Feijão 2ª safra'!$E68:INDEX('Feijão 2ª safra'!$E68:$Z68,MIN(F$6-$G$3,22))),0)))))</f>
        <v>0</v>
      </c>
      <c r="G70" s="27" t="n">
        <f aca="false">IF(COUNT('Feijão 2ª safra'!$E68:$Z68)=0,0,MAX(0,IF((G$6-$E$3)&lt;1,0,IFERROR(LOOKUP(2,1/('Feijão 2ª safra'!$E68:INDEX('Feijão 2ª safra'!$E68:$Z68,MIN(G$6-$E$3,22))&lt;&gt;""),'Feijão 2ª safra'!$E68:INDEX('Feijão 2ª safra'!$E68:$Z68,MIN(G$6-$E$3,22))),0))-IF($G$2,0,IF((G$6-$G$3)&lt;1,0,IFERROR(LOOKUP(2,1/('Feijão 2ª safra'!$E68:INDEX('Feijão 2ª safra'!$E68:$Z68,MIN(G$6-$G$3,22))&lt;&gt;""),'Feijão 2ª safra'!$E68:INDEX('Feijão 2ª safra'!$E68:$Z68,MIN(G$6-$G$3,22))),0)))))</f>
        <v>0</v>
      </c>
      <c r="H70" s="27" t="n">
        <f aca="false">IF(COUNT('Feijão 2ª safra'!$E68:$Z68)=0,0,MAX(0,IF((H$6-$E$3)&lt;1,0,IFERROR(LOOKUP(2,1/('Feijão 2ª safra'!$E68:INDEX('Feijão 2ª safra'!$E68:$Z68,MIN(H$6-$E$3,22))&lt;&gt;""),'Feijão 2ª safra'!$E68:INDEX('Feijão 2ª safra'!$E68:$Z68,MIN(H$6-$E$3,22))),0))-IF($G$2,0,IF((H$6-$G$3)&lt;1,0,IFERROR(LOOKUP(2,1/('Feijão 2ª safra'!$E68:INDEX('Feijão 2ª safra'!$E68:$Z68,MIN(H$6-$G$3,22))&lt;&gt;""),'Feijão 2ª safra'!$E68:INDEX('Feijão 2ª safra'!$E68:$Z68,MIN(H$6-$G$3,22))),0)))))</f>
        <v>0</v>
      </c>
      <c r="I70" s="27" t="n">
        <f aca="false">IF(COUNT('Feijão 2ª safra'!$E68:$Z68)=0,0,MAX(0,IF((I$6-$E$3)&lt;1,0,IFERROR(LOOKUP(2,1/('Feijão 2ª safra'!$E68:INDEX('Feijão 2ª safra'!$E68:$Z68,MIN(I$6-$E$3,22))&lt;&gt;""),'Feijão 2ª safra'!$E68:INDEX('Feijão 2ª safra'!$E68:$Z68,MIN(I$6-$E$3,22))),0))-IF($G$2,0,IF((I$6-$G$3)&lt;1,0,IFERROR(LOOKUP(2,1/('Feijão 2ª safra'!$E68:INDEX('Feijão 2ª safra'!$E68:$Z68,MIN(I$6-$G$3,22))&lt;&gt;""),'Feijão 2ª safra'!$E68:INDEX('Feijão 2ª safra'!$E68:$Z68,MIN(I$6-$G$3,22))),0)))))</f>
        <v>0</v>
      </c>
      <c r="J70" s="27" t="n">
        <f aca="false">IF(COUNT('Feijão 2ª safra'!$E68:$Z68)=0,0,MAX(0,IF((J$6-$E$3)&lt;1,0,IFERROR(LOOKUP(2,1/('Feijão 2ª safra'!$E68:INDEX('Feijão 2ª safra'!$E68:$Z68,MIN(J$6-$E$3,22))&lt;&gt;""),'Feijão 2ª safra'!$E68:INDEX('Feijão 2ª safra'!$E68:$Z68,MIN(J$6-$E$3,22))),0))-IF($G$2,0,IF((J$6-$G$3)&lt;1,0,IFERROR(LOOKUP(2,1/('Feijão 2ª safra'!$E68:INDEX('Feijão 2ª safra'!$E68:$Z68,MIN(J$6-$G$3,22))&lt;&gt;""),'Feijão 2ª safra'!$E68:INDEX('Feijão 2ª safra'!$E68:$Z68,MIN(J$6-$G$3,22))),0)))))</f>
        <v>0</v>
      </c>
      <c r="K70" s="27" t="n">
        <f aca="false">IF(COUNT('Feijão 2ª safra'!$E68:$Z68)=0,0,MAX(0,IF((K$6-$E$3)&lt;1,0,IFERROR(LOOKUP(2,1/('Feijão 2ª safra'!$E68:INDEX('Feijão 2ª safra'!$E68:$Z68,MIN(K$6-$E$3,22))&lt;&gt;""),'Feijão 2ª safra'!$E68:INDEX('Feijão 2ª safra'!$E68:$Z68,MIN(K$6-$E$3,22))),0))-IF($G$2,0,IF((K$6-$G$3)&lt;1,0,IFERROR(LOOKUP(2,1/('Feijão 2ª safra'!$E68:INDEX('Feijão 2ª safra'!$E68:$Z68,MIN(K$6-$G$3,22))&lt;&gt;""),'Feijão 2ª safra'!$E68:INDEX('Feijão 2ª safra'!$E68:$Z68,MIN(K$6-$G$3,22))),0)))))</f>
        <v>0</v>
      </c>
      <c r="L70" s="27" t="n">
        <f aca="false">IF(COUNT('Feijão 2ª safra'!$E68:$Z68)=0,0,MAX(0,IF((L$6-$E$3)&lt;1,0,IFERROR(LOOKUP(2,1/('Feijão 2ª safra'!$E68:INDEX('Feijão 2ª safra'!$E68:$Z68,MIN(L$6-$E$3,22))&lt;&gt;""),'Feijão 2ª safra'!$E68:INDEX('Feijão 2ª safra'!$E68:$Z68,MIN(L$6-$E$3,22))),0))-IF($G$2,0,IF((L$6-$G$3)&lt;1,0,IFERROR(LOOKUP(2,1/('Feijão 2ª safra'!$E68:INDEX('Feijão 2ª safra'!$E68:$Z68,MIN(L$6-$G$3,22))&lt;&gt;""),'Feijão 2ª safra'!$E68:INDEX('Feijão 2ª safra'!$E68:$Z68,MIN(L$6-$G$3,22))),0)))))</f>
        <v>0</v>
      </c>
      <c r="M70" s="27" t="n">
        <f aca="false">IF(COUNT('Feijão 2ª safra'!$E68:$Z68)=0,0,MAX(0,IF((M$6-$E$3)&lt;1,0,IFERROR(LOOKUP(2,1/('Feijão 2ª safra'!$E68:INDEX('Feijão 2ª safra'!$E68:$Z68,MIN(M$6-$E$3,22))&lt;&gt;""),'Feijão 2ª safra'!$E68:INDEX('Feijão 2ª safra'!$E68:$Z68,MIN(M$6-$E$3,22))),0))-IF($G$2,0,IF((M$6-$G$3)&lt;1,0,IFERROR(LOOKUP(2,1/('Feijão 2ª safra'!$E68:INDEX('Feijão 2ª safra'!$E68:$Z68,MIN(M$6-$G$3,22))&lt;&gt;""),'Feijão 2ª safra'!$E68:INDEX('Feijão 2ª safra'!$E68:$Z68,MIN(M$6-$G$3,22))),0)))))</f>
        <v>0</v>
      </c>
      <c r="N70" s="27" t="n">
        <f aca="false">IF(COUNT('Feijão 2ª safra'!$E68:$Z68)=0,0,MAX(0,IF((N$6-$E$3)&lt;1,0,IFERROR(LOOKUP(2,1/('Feijão 2ª safra'!$E68:INDEX('Feijão 2ª safra'!$E68:$Z68,MIN(N$6-$E$3,22))&lt;&gt;""),'Feijão 2ª safra'!$E68:INDEX('Feijão 2ª safra'!$E68:$Z68,MIN(N$6-$E$3,22))),0))-IF($G$2,0,IF((N$6-$G$3)&lt;1,0,IFERROR(LOOKUP(2,1/('Feijão 2ª safra'!$E68:INDEX('Feijão 2ª safra'!$E68:$Z68,MIN(N$6-$G$3,22))&lt;&gt;""),'Feijão 2ª safra'!$E68:INDEX('Feijão 2ª safra'!$E68:$Z68,MIN(N$6-$G$3,22))),0)))))</f>
        <v>0</v>
      </c>
      <c r="O70" s="27" t="n">
        <f aca="false">IF(COUNT('Feijão 2ª safra'!$E68:$Z68)=0,0,MAX(0,IF((O$6-$E$3)&lt;1,0,IFERROR(LOOKUP(2,1/('Feijão 2ª safra'!$E68:INDEX('Feijão 2ª safra'!$E68:$Z68,MIN(O$6-$E$3,22))&lt;&gt;""),'Feijão 2ª safra'!$E68:INDEX('Feijão 2ª safra'!$E68:$Z68,MIN(O$6-$E$3,22))),0))-IF($G$2,0,IF((O$6-$G$3)&lt;1,0,IFERROR(LOOKUP(2,1/('Feijão 2ª safra'!$E68:INDEX('Feijão 2ª safra'!$E68:$Z68,MIN(O$6-$G$3,22))&lt;&gt;""),'Feijão 2ª safra'!$E68:INDEX('Feijão 2ª safra'!$E68:$Z68,MIN(O$6-$G$3,22))),0)))))</f>
        <v>0</v>
      </c>
      <c r="P70" s="27" t="n">
        <f aca="false">IF(COUNT('Feijão 2ª safra'!$E68:$Z68)=0,0,MAX(0,IF((P$6-$E$3)&lt;1,0,IFERROR(LOOKUP(2,1/('Feijão 2ª safra'!$E68:INDEX('Feijão 2ª safra'!$E68:$Z68,MIN(P$6-$E$3,22))&lt;&gt;""),'Feijão 2ª safra'!$E68:INDEX('Feijão 2ª safra'!$E68:$Z68,MIN(P$6-$E$3,22))),0))-IF($G$2,0,IF((P$6-$G$3)&lt;1,0,IFERROR(LOOKUP(2,1/('Feijão 2ª safra'!$E68:INDEX('Feijão 2ª safra'!$E68:$Z68,MIN(P$6-$G$3,22))&lt;&gt;""),'Feijão 2ª safra'!$E68:INDEX('Feijão 2ª safra'!$E68:$Z68,MIN(P$6-$G$3,22))),0)))))</f>
        <v>0</v>
      </c>
      <c r="Q70" s="27" t="n">
        <f aca="false">IF(COUNT('Feijão 2ª safra'!$E68:$Z68)=0,0,MAX(0,IF((Q$6-$E$3)&lt;1,0,IFERROR(LOOKUP(2,1/('Feijão 2ª safra'!$E68:INDEX('Feijão 2ª safra'!$E68:$Z68,MIN(Q$6-$E$3,22))&lt;&gt;""),'Feijão 2ª safra'!$E68:INDEX('Feijão 2ª safra'!$E68:$Z68,MIN(Q$6-$E$3,22))),0))-IF($G$2,0,IF((Q$6-$G$3)&lt;1,0,IFERROR(LOOKUP(2,1/('Feijão 2ª safra'!$E68:INDEX('Feijão 2ª safra'!$E68:$Z68,MIN(Q$6-$G$3,22))&lt;&gt;""),'Feijão 2ª safra'!$E68:INDEX('Feijão 2ª safra'!$E68:$Z68,MIN(Q$6-$G$3,22))),0)))))</f>
        <v>0</v>
      </c>
      <c r="R70" s="27" t="n">
        <f aca="false">IF(COUNT('Feijão 2ª safra'!$E68:$Z68)=0,0,MAX(0,IF((R$6-$E$3)&lt;1,0,IFERROR(LOOKUP(2,1/('Feijão 2ª safra'!$E68:INDEX('Feijão 2ª safra'!$E68:$Z68,MIN(R$6-$E$3,22))&lt;&gt;""),'Feijão 2ª safra'!$E68:INDEX('Feijão 2ª safra'!$E68:$Z68,MIN(R$6-$E$3,22))),0))-IF($G$2,0,IF((R$6-$G$3)&lt;1,0,IFERROR(LOOKUP(2,1/('Feijão 2ª safra'!$E68:INDEX('Feijão 2ª safra'!$E68:$Z68,MIN(R$6-$G$3,22))&lt;&gt;""),'Feijão 2ª safra'!$E68:INDEX('Feijão 2ª safra'!$E68:$Z68,MIN(R$6-$G$3,22))),0)))))</f>
        <v>0</v>
      </c>
      <c r="S70" s="27" t="n">
        <f aca="false">IF(COUNT('Feijão 2ª safra'!$E68:$Z68)=0,0,MAX(0,IF((S$6-$E$3)&lt;1,0,IFERROR(LOOKUP(2,1/('Feijão 2ª safra'!$E68:INDEX('Feijão 2ª safra'!$E68:$Z68,MIN(S$6-$E$3,22))&lt;&gt;""),'Feijão 2ª safra'!$E68:INDEX('Feijão 2ª safra'!$E68:$Z68,MIN(S$6-$E$3,22))),0))-IF($G$2,0,IF((S$6-$G$3)&lt;1,0,IFERROR(LOOKUP(2,1/('Feijão 2ª safra'!$E68:INDEX('Feijão 2ª safra'!$E68:$Z68,MIN(S$6-$G$3,22))&lt;&gt;""),'Feijão 2ª safra'!$E68:INDEX('Feijão 2ª safra'!$E68:$Z68,MIN(S$6-$G$3,22))),0)))))</f>
        <v>0</v>
      </c>
      <c r="T70" s="27" t="n">
        <f aca="false">IF(COUNT('Feijão 2ª safra'!$E68:$Z68)=0,0,MAX(0,IF((T$6-$E$3)&lt;1,0,IFERROR(LOOKUP(2,1/('Feijão 2ª safra'!$E68:INDEX('Feijão 2ª safra'!$E68:$Z68,MIN(T$6-$E$3,22))&lt;&gt;""),'Feijão 2ª safra'!$E68:INDEX('Feijão 2ª safra'!$E68:$Z68,MIN(T$6-$E$3,22))),0))-IF($G$2,0,IF((T$6-$G$3)&lt;1,0,IFERROR(LOOKUP(2,1/('Feijão 2ª safra'!$E68:INDEX('Feijão 2ª safra'!$E68:$Z68,MIN(T$6-$G$3,22))&lt;&gt;""),'Feijão 2ª safra'!$E68:INDEX('Feijão 2ª safra'!$E68:$Z68,MIN(T$6-$G$3,22))),0)))))</f>
        <v>0</v>
      </c>
      <c r="U70" s="27" t="n">
        <f aca="false">IF(COUNT('Feijão 2ª safra'!$E68:$Z68)=0,0,MAX(0,IF((U$6-$E$3)&lt;1,0,IFERROR(LOOKUP(2,1/('Feijão 2ª safra'!$E68:INDEX('Feijão 2ª safra'!$E68:$Z68,MIN(U$6-$E$3,22))&lt;&gt;""),'Feijão 2ª safra'!$E68:INDEX('Feijão 2ª safra'!$E68:$Z68,MIN(U$6-$E$3,22))),0))-IF($G$2,0,IF((U$6-$G$3)&lt;1,0,IFERROR(LOOKUP(2,1/('Feijão 2ª safra'!$E68:INDEX('Feijão 2ª safra'!$E68:$Z68,MIN(U$6-$G$3,22))&lt;&gt;""),'Feijão 2ª safra'!$E68:INDEX('Feijão 2ª safra'!$E68:$Z68,MIN(U$6-$G$3,22))),0)))))</f>
        <v>0</v>
      </c>
      <c r="V70" s="27" t="n">
        <f aca="false">IF(COUNT('Feijão 2ª safra'!$E68:$Z68)=0,0,MAX(0,IF((V$6-$E$3)&lt;1,0,IFERROR(LOOKUP(2,1/('Feijão 2ª safra'!$E68:INDEX('Feijão 2ª safra'!$E68:$Z68,MIN(V$6-$E$3,22))&lt;&gt;""),'Feijão 2ª safra'!$E68:INDEX('Feijão 2ª safra'!$E68:$Z68,MIN(V$6-$E$3,22))),0))-IF($G$2,0,IF((V$6-$G$3)&lt;1,0,IFERROR(LOOKUP(2,1/('Feijão 2ª safra'!$E68:INDEX('Feijão 2ª safra'!$E68:$Z68,MIN(V$6-$G$3,22))&lt;&gt;""),'Feijão 2ª safra'!$E68:INDEX('Feijão 2ª safra'!$E68:$Z68,MIN(V$6-$G$3,22))),0)))))</f>
        <v>0</v>
      </c>
      <c r="W70" s="27" t="n">
        <f aca="false">IF(COUNT('Feijão 2ª safra'!$E68:$Z68)=0,0,MAX(0,IF((W$6-$E$3)&lt;1,0,IFERROR(LOOKUP(2,1/('Feijão 2ª safra'!$E68:INDEX('Feijão 2ª safra'!$E68:$Z68,MIN(W$6-$E$3,22))&lt;&gt;""),'Feijão 2ª safra'!$E68:INDEX('Feijão 2ª safra'!$E68:$Z68,MIN(W$6-$E$3,22))),0))-IF($G$2,0,IF((W$6-$G$3)&lt;1,0,IFERROR(LOOKUP(2,1/('Feijão 2ª safra'!$E68:INDEX('Feijão 2ª safra'!$E68:$Z68,MIN(W$6-$G$3,22))&lt;&gt;""),'Feijão 2ª safra'!$E68:INDEX('Feijão 2ª safra'!$E68:$Z68,MIN(W$6-$G$3,22))),0)))))</f>
        <v>0</v>
      </c>
      <c r="X70" s="27" t="n">
        <f aca="false">IF(COUNT('Feijão 2ª safra'!$E68:$Z68)=0,0,MAX(0,IF((X$6-$E$3)&lt;1,0,IFERROR(LOOKUP(2,1/('Feijão 2ª safra'!$E68:INDEX('Feijão 2ª safra'!$E68:$Z68,MIN(X$6-$E$3,22))&lt;&gt;""),'Feijão 2ª safra'!$E68:INDEX('Feijão 2ª safra'!$E68:$Z68,MIN(X$6-$E$3,22))),0))-IF($G$2,0,IF((X$6-$G$3)&lt;1,0,IFERROR(LOOKUP(2,1/('Feijão 2ª safra'!$E68:INDEX('Feijão 2ª safra'!$E68:$Z68,MIN(X$6-$G$3,22))&lt;&gt;""),'Feijão 2ª safra'!$E68:INDEX('Feijão 2ª safra'!$E68:$Z68,MIN(X$6-$G$3,22))),0)))))</f>
        <v>0</v>
      </c>
      <c r="Y70" s="27" t="n">
        <f aca="false">IF(COUNT('Feijão 2ª safra'!$E68:$Z68)=0,0,MAX(0,IF((Y$6-$E$3)&lt;1,0,IFERROR(LOOKUP(2,1/('Feijão 2ª safra'!$E68:INDEX('Feijão 2ª safra'!$E68:$Z68,MIN(Y$6-$E$3,22))&lt;&gt;""),'Feijão 2ª safra'!$E68:INDEX('Feijão 2ª safra'!$E68:$Z68,MIN(Y$6-$E$3,22))),0))-IF($G$2,0,IF((Y$6-$G$3)&lt;1,0,IFERROR(LOOKUP(2,1/('Feijão 2ª safra'!$E68:INDEX('Feijão 2ª safra'!$E68:$Z68,MIN(Y$6-$G$3,22))&lt;&gt;""),'Feijão 2ª safra'!$E68:INDEX('Feijão 2ª safra'!$E68:$Z68,MIN(Y$6-$G$3,22))),0)))))</f>
        <v>0</v>
      </c>
      <c r="Z70" s="27" t="n">
        <f aca="false">IF(COUNT('Feijão 2ª safra'!$E68:$Z68)=0,0,MAX(0,IF((Z$6-$E$3)&lt;1,0,IFERROR(LOOKUP(2,1/('Feijão 2ª safra'!$E68:INDEX('Feijão 2ª safra'!$E68:$Z68,MIN(Z$6-$E$3,22))&lt;&gt;""),'Feijão 2ª safra'!$E68:INDEX('Feijão 2ª safra'!$E68:$Z68,MIN(Z$6-$E$3,22))),0))-IF($G$2,0,IF((Z$6-$G$3)&lt;1,0,IFERROR(LOOKUP(2,1/('Feijão 2ª safra'!$E68:INDEX('Feijão 2ª safra'!$E68:$Z68,MIN(Z$6-$G$3,22))&lt;&gt;""),'Feijão 2ª safra'!$E68:INDEX('Feijão 2ª safra'!$E68:$Z68,MIN(Z$6-$G$3,22))),0)))))</f>
        <v>0</v>
      </c>
      <c r="AA70" s="27" t="n">
        <f aca="false">IF(COUNT('Feijão 2ª safra'!$E68:$Z68)=0,0,MAX(0,IF((AA$6-$E$3)&lt;1,0,IFERROR(LOOKUP(2,1/('Feijão 2ª safra'!$E68:INDEX('Feijão 2ª safra'!$E68:$Z68,MIN(AA$6-$E$3,22))&lt;&gt;""),'Feijão 2ª safra'!$E68:INDEX('Feijão 2ª safra'!$E68:$Z68,MIN(AA$6-$E$3,22))),0))-IF($G$2,0,IF((AA$6-$G$3)&lt;1,0,IFERROR(LOOKUP(2,1/('Feijão 2ª safra'!$E68:INDEX('Feijão 2ª safra'!$E68:$Z68,MIN(AA$6-$G$3,22))&lt;&gt;""),'Feijão 2ª safra'!$E68:INDEX('Feijão 2ª safra'!$E68:$Z68,MIN(AA$6-$G$3,22))),0)))))</f>
        <v>0</v>
      </c>
      <c r="AB70" s="27" t="n">
        <f aca="false">IF(COUNT('Feijão 2ª safra'!$E68:$Z68)=0,0,MAX(0,IF((AB$6-$E$3)&lt;1,0,IFERROR(LOOKUP(2,1/('Feijão 2ª safra'!$E68:INDEX('Feijão 2ª safra'!$E68:$Z68,MIN(AB$6-$E$3,22))&lt;&gt;""),'Feijão 2ª safra'!$E68:INDEX('Feijão 2ª safra'!$E68:$Z68,MIN(AB$6-$E$3,22))),0))-IF($G$2,0,IF((AB$6-$G$3)&lt;1,0,IFERROR(LOOKUP(2,1/('Feijão 2ª safra'!$E68:INDEX('Feijão 2ª safra'!$E68:$Z68,MIN(AB$6-$G$3,22))&lt;&gt;""),'Feijão 2ª safra'!$E68:INDEX('Feijão 2ª safra'!$E68:$Z68,MIN(AB$6-$G$3,22))),0)))))</f>
        <v>0</v>
      </c>
      <c r="AC70" s="27" t="n">
        <f aca="false">IF(COUNT('Feijão 2ª safra'!$E68:$Z68)=0,0,MAX(0,IF((AC$6-$E$3)&lt;1,0,IFERROR(LOOKUP(2,1/('Feijão 2ª safra'!$E68:INDEX('Feijão 2ª safra'!$E68:$Z68,MIN(AC$6-$E$3,22))&lt;&gt;""),'Feijão 2ª safra'!$E68:INDEX('Feijão 2ª safra'!$E68:$Z68,MIN(AC$6-$E$3,22))),0))-IF($G$2,0,IF((AC$6-$G$3)&lt;1,0,IFERROR(LOOKUP(2,1/('Feijão 2ª safra'!$E68:INDEX('Feijão 2ª safra'!$E68:$Z68,MIN(AC$6-$G$3,22))&lt;&gt;""),'Feijão 2ª safra'!$E68:INDEX('Feijão 2ª safra'!$E68:$Z68,MIN(AC$6-$G$3,22))),0)))))</f>
        <v>0</v>
      </c>
      <c r="AD70" s="27" t="n">
        <f aca="false">IF(COUNT('Feijão 2ª safra'!$E68:$Z68)=0,0,MAX(0,IF((AD$6-$E$3)&lt;1,0,IFERROR(LOOKUP(2,1/('Feijão 2ª safra'!$E68:INDEX('Feijão 2ª safra'!$E68:$Z68,MIN(AD$6-$E$3,22))&lt;&gt;""),'Feijão 2ª safra'!$E68:INDEX('Feijão 2ª safra'!$E68:$Z68,MIN(AD$6-$E$3,22))),0))-IF($G$2,0,IF((AD$6-$G$3)&lt;1,0,IFERROR(LOOKUP(2,1/('Feijão 2ª safra'!$E68:INDEX('Feijão 2ª safra'!$E68:$Z68,MIN(AD$6-$G$3,22))&lt;&gt;""),'Feijão 2ª safra'!$E68:INDEX('Feijão 2ª safra'!$E68:$Z68,MIN(AD$6-$G$3,22))),0)))))</f>
        <v>0</v>
      </c>
      <c r="AE70" s="27" t="n">
        <f aca="false">IF(COUNT('Feijão 2ª safra'!$E68:$Z68)=0,0,MAX(0,IF((AE$6-$E$3)&lt;1,0,IFERROR(LOOKUP(2,1/('Feijão 2ª safra'!$E68:INDEX('Feijão 2ª safra'!$E68:$Z68,MIN(AE$6-$E$3,22))&lt;&gt;""),'Feijão 2ª safra'!$E68:INDEX('Feijão 2ª safra'!$E68:$Z68,MIN(AE$6-$E$3,22))),0))-IF($G$2,0,IF((AE$6-$G$3)&lt;1,0,IFERROR(LOOKUP(2,1/('Feijão 2ª safra'!$E68:INDEX('Feijão 2ª safra'!$E68:$Z68,MIN(AE$6-$G$3,22))&lt;&gt;""),'Feijão 2ª safra'!$E68:INDEX('Feijão 2ª safra'!$E68:$Z68,MIN(AE$6-$G$3,22))),0)))))</f>
        <v>0</v>
      </c>
      <c r="AF70" s="27" t="n">
        <f aca="false">IF(COUNT('Feijão 2ª safra'!$E68:$Z68)=0,0,MAX(0,IF((AF$6-$E$3)&lt;1,0,IFERROR(LOOKUP(2,1/('Feijão 2ª safra'!$E68:INDEX('Feijão 2ª safra'!$E68:$Z68,MIN(AF$6-$E$3,22))&lt;&gt;""),'Feijão 2ª safra'!$E68:INDEX('Feijão 2ª safra'!$E68:$Z68,MIN(AF$6-$E$3,22))),0))-IF($G$2,0,IF((AF$6-$G$3)&lt;1,0,IFERROR(LOOKUP(2,1/('Feijão 2ª safra'!$E68:INDEX('Feijão 2ª safra'!$E68:$Z68,MIN(AF$6-$G$3,22))&lt;&gt;""),'Feijão 2ª safra'!$E68:INDEX('Feijão 2ª safra'!$E68:$Z68,MIN(AF$6-$G$3,22))),0)))))</f>
        <v>0</v>
      </c>
      <c r="AG70" s="27" t="n">
        <f aca="false">IF(COUNT('Feijão 2ª safra'!$E68:$Z68)=0,0,MAX(0,IF((AG$6-$E$3)&lt;1,0,IFERROR(LOOKUP(2,1/('Feijão 2ª safra'!$E68:INDEX('Feijão 2ª safra'!$E68:$Z68,MIN(AG$6-$E$3,22))&lt;&gt;""),'Feijão 2ª safra'!$E68:INDEX('Feijão 2ª safra'!$E68:$Z68,MIN(AG$6-$E$3,22))),0))-IF($G$2,0,IF((AG$6-$G$3)&lt;1,0,IFERROR(LOOKUP(2,1/('Feijão 2ª safra'!$E68:INDEX('Feijão 2ª safra'!$E68:$Z68,MIN(AG$6-$G$3,22))&lt;&gt;""),'Feijão 2ª safra'!$E68:INDEX('Feijão 2ª safra'!$E68:$Z68,MIN(AG$6-$G$3,22))),0)))))</f>
        <v>0</v>
      </c>
      <c r="AH70" s="27" t="n">
        <f aca="false">IF(COUNT('Feijão 2ª safra'!$E68:$Z68)=0,0,MAX(0,IF((AH$6-$E$3)&lt;1,0,IFERROR(LOOKUP(2,1/('Feijão 2ª safra'!$E68:INDEX('Feijão 2ª safra'!$E68:$Z68,MIN(AH$6-$E$3,22))&lt;&gt;""),'Feijão 2ª safra'!$E68:INDEX('Feijão 2ª safra'!$E68:$Z68,MIN(AH$6-$E$3,22))),0))-IF($G$2,0,IF((AH$6-$G$3)&lt;1,0,IFERROR(LOOKUP(2,1/('Feijão 2ª safra'!$E68:INDEX('Feijão 2ª safra'!$E68:$Z68,MIN(AH$6-$G$3,22))&lt;&gt;""),'Feijão 2ª safra'!$E68:INDEX('Feijão 2ª safra'!$E68:$Z68,MIN(AH$6-$G$3,22))),0)))))</f>
        <v>0</v>
      </c>
      <c r="AI70" s="27" t="n">
        <f aca="false">IF(COUNT('Feijão 2ª safra'!$E68:$Z68)=0,0,MAX(0,IF((AI$6-$E$3)&lt;1,0,IFERROR(LOOKUP(2,1/('Feijão 2ª safra'!$E68:INDEX('Feijão 2ª safra'!$E68:$Z68,MIN(AI$6-$E$3,22))&lt;&gt;""),'Feijão 2ª safra'!$E68:INDEX('Feijão 2ª safra'!$E68:$Z68,MIN(AI$6-$E$3,22))),0))-IF($G$2,0,IF((AI$6-$G$3)&lt;1,0,IFERROR(LOOKUP(2,1/('Feijão 2ª safra'!$E68:INDEX('Feijão 2ª safra'!$E68:$Z68,MIN(AI$6-$G$3,22))&lt;&gt;""),'Feijão 2ª safra'!$E68:INDEX('Feijão 2ª safra'!$E68:$Z68,MIN(AI$6-$G$3,22))),0)))))</f>
        <v>0</v>
      </c>
      <c r="AJ70" s="27" t="n">
        <f aca="false">IF(COUNT('Feijão 2ª safra'!$E68:$Z68)=0,0,MAX(0,IF((AJ$6-$E$3)&lt;1,0,IFERROR(LOOKUP(2,1/('Feijão 2ª safra'!$E68:INDEX('Feijão 2ª safra'!$E68:$Z68,MIN(AJ$6-$E$3,22))&lt;&gt;""),'Feijão 2ª safra'!$E68:INDEX('Feijão 2ª safra'!$E68:$Z68,MIN(AJ$6-$E$3,22))),0))-IF($G$2,0,IF((AJ$6-$G$3)&lt;1,0,IFERROR(LOOKUP(2,1/('Feijão 2ª safra'!$E68:INDEX('Feijão 2ª safra'!$E68:$Z68,MIN(AJ$6-$G$3,22))&lt;&gt;""),'Feijão 2ª safra'!$E68:INDEX('Feijão 2ª safra'!$E68:$Z68,MIN(AJ$6-$G$3,22))),0)))))</f>
        <v>0</v>
      </c>
      <c r="AK70" s="27" t="n">
        <f aca="false">IF(COUNT('Feijão 2ª safra'!$E68:$Z68)=0,0,MAX(0,IF((AK$6-$E$3)&lt;1,0,IFERROR(LOOKUP(2,1/('Feijão 2ª safra'!$E68:INDEX('Feijão 2ª safra'!$E68:$Z68,MIN(AK$6-$E$3,22))&lt;&gt;""),'Feijão 2ª safra'!$E68:INDEX('Feijão 2ª safra'!$E68:$Z68,MIN(AK$6-$E$3,22))),0))-IF($G$2,0,IF((AK$6-$G$3)&lt;1,0,IFERROR(LOOKUP(2,1/('Feijão 2ª safra'!$E68:INDEX('Feijão 2ª safra'!$E68:$Z68,MIN(AK$6-$G$3,22))&lt;&gt;""),'Feijão 2ª safra'!$E68:INDEX('Feijão 2ª safra'!$E68:$Z68,MIN(AK$6-$G$3,22))),0)))))</f>
        <v>0</v>
      </c>
      <c r="AL70" s="27" t="n">
        <f aca="false">IF(COUNT('Feijão 2ª safra'!$E68:$Z68)=0,0,MAX(0,IF((AL$6-$E$3)&lt;1,0,IFERROR(LOOKUP(2,1/('Feijão 2ª safra'!$E68:INDEX('Feijão 2ª safra'!$E68:$Z68,MIN(AL$6-$E$3,22))&lt;&gt;""),'Feijão 2ª safra'!$E68:INDEX('Feijão 2ª safra'!$E68:$Z68,MIN(AL$6-$E$3,22))),0))-IF($G$2,0,IF((AL$6-$G$3)&lt;1,0,IFERROR(LOOKUP(2,1/('Feijão 2ª safra'!$E68:INDEX('Feijão 2ª safra'!$E68:$Z68,MIN(AL$6-$G$3,22))&lt;&gt;""),'Feijão 2ª safra'!$E68:INDEX('Feijão 2ª safra'!$E68:$Z68,MIN(AL$6-$G$3,22))),0)))))</f>
        <v>0</v>
      </c>
      <c r="AM70" s="27" t="n">
        <f aca="false">IF(COUNT('Feijão 2ª safra'!$E68:$Z68)=0,0,MAX(0,IF((AM$6-$E$3)&lt;1,0,IFERROR(LOOKUP(2,1/('Feijão 2ª safra'!$E68:INDEX('Feijão 2ª safra'!$E68:$Z68,MIN(AM$6-$E$3,22))&lt;&gt;""),'Feijão 2ª safra'!$E68:INDEX('Feijão 2ª safra'!$E68:$Z68,MIN(AM$6-$E$3,22))),0))-IF($G$2,0,IF((AM$6-$G$3)&lt;1,0,IFERROR(LOOKUP(2,1/('Feijão 2ª safra'!$E68:INDEX('Feijão 2ª safra'!$E68:$Z68,MIN(AM$6-$G$3,22))&lt;&gt;""),'Feijão 2ª safra'!$E68:INDEX('Feijão 2ª safra'!$E68:$Z68,MIN(AM$6-$G$3,22))),0)))))</f>
        <v>0</v>
      </c>
      <c r="AN70" s="27" t="n">
        <f aca="false">IF(COUNT('Feijão 2ª safra'!$E68:$Z68)=0,0,MAX(0,IF((AN$6-$E$3)&lt;1,0,IFERROR(LOOKUP(2,1/('Feijão 2ª safra'!$E68:INDEX('Feijão 2ª safra'!$E68:$Z68,MIN(AN$6-$E$3,22))&lt;&gt;""),'Feijão 2ª safra'!$E68:INDEX('Feijão 2ª safra'!$E68:$Z68,MIN(AN$6-$E$3,22))),0))-IF($G$2,0,IF((AN$6-$G$3)&lt;1,0,IFERROR(LOOKUP(2,1/('Feijão 2ª safra'!$E68:INDEX('Feijão 2ª safra'!$E68:$Z68,MIN(AN$6-$G$3,22))&lt;&gt;""),'Feijão 2ª safra'!$E68:INDEX('Feijão 2ª safra'!$E68:$Z68,MIN(AN$6-$G$3,22))),0)))))</f>
        <v>0</v>
      </c>
      <c r="AO70" s="27" t="n">
        <f aca="false">IF(COUNT('Feijão 2ª safra'!$E68:$Z68)=0,0,MAX(0,IF((AO$6-$E$3)&lt;1,0,IFERROR(LOOKUP(2,1/('Feijão 2ª safra'!$E68:INDEX('Feijão 2ª safra'!$E68:$Z68,MIN(AO$6-$E$3,22))&lt;&gt;""),'Feijão 2ª safra'!$E68:INDEX('Feijão 2ª safra'!$E68:$Z68,MIN(AO$6-$E$3,22))),0))-IF($G$2,0,IF((AO$6-$G$3)&lt;1,0,IFERROR(LOOKUP(2,1/('Feijão 2ª safra'!$E68:INDEX('Feijão 2ª safra'!$E68:$Z68,MIN(AO$6-$G$3,22))&lt;&gt;""),'Feijão 2ª safra'!$E68:INDEX('Feijão 2ª safra'!$E68:$Z68,MIN(AO$6-$G$3,22))),0)))))</f>
        <v>0</v>
      </c>
      <c r="AP70" s="27" t="n">
        <f aca="false">IF(COUNT('Feijão 2ª safra'!$E68:$Z68)=0,0,MAX(0,IF((AP$6-$E$3)&lt;1,0,IFERROR(LOOKUP(2,1/('Feijão 2ª safra'!$E68:INDEX('Feijão 2ª safra'!$E68:$Z68,MIN(AP$6-$E$3,22))&lt;&gt;""),'Feijão 2ª safra'!$E68:INDEX('Feijão 2ª safra'!$E68:$Z68,MIN(AP$6-$E$3,22))),0))-IF($G$2,0,IF((AP$6-$G$3)&lt;1,0,IFERROR(LOOKUP(2,1/('Feijão 2ª safra'!$E68:INDEX('Feijão 2ª safra'!$E68:$Z68,MIN(AP$6-$G$3,22))&lt;&gt;""),'Feijão 2ª safra'!$E68:INDEX('Feijão 2ª safra'!$E68:$Z68,MIN(AP$6-$G$3,22))),0)))))</f>
        <v>0</v>
      </c>
      <c r="AQ70" s="27" t="n">
        <f aca="false">IF(COUNT('Feijão 2ª safra'!$E68:$Z68)=0,0,MAX(0,IF((AQ$6-$E$3)&lt;1,0,IFERROR(LOOKUP(2,1/('Feijão 2ª safra'!$E68:INDEX('Feijão 2ª safra'!$E68:$Z68,MIN(AQ$6-$E$3,22))&lt;&gt;""),'Feijão 2ª safra'!$E68:INDEX('Feijão 2ª safra'!$E68:$Z68,MIN(AQ$6-$E$3,22))),0))-IF($G$2,0,IF((AQ$6-$G$3)&lt;1,0,IFERROR(LOOKUP(2,1/('Feijão 2ª safra'!$E68:INDEX('Feijão 2ª safra'!$E68:$Z68,MIN(AQ$6-$G$3,22))&lt;&gt;""),'Feijão 2ª safra'!$E68:INDEX('Feijão 2ª safra'!$E68:$Z68,MIN(AQ$6-$G$3,22))),0)))))</f>
        <v>0</v>
      </c>
      <c r="AR70" s="27" t="n">
        <f aca="false">IF(COUNT('Feijão 2ª safra'!$E68:$Z68)=0,0,MAX(0,IF((AR$6-$E$3)&lt;1,0,IFERROR(LOOKUP(2,1/('Feijão 2ª safra'!$E68:INDEX('Feijão 2ª safra'!$E68:$Z68,MIN(AR$6-$E$3,22))&lt;&gt;""),'Feijão 2ª safra'!$E68:INDEX('Feijão 2ª safra'!$E68:$Z68,MIN(AR$6-$E$3,22))),0))-IF($G$2,0,IF((AR$6-$G$3)&lt;1,0,IFERROR(LOOKUP(2,1/('Feijão 2ª safra'!$E68:INDEX('Feijão 2ª safra'!$E68:$Z68,MIN(AR$6-$G$3,22))&lt;&gt;""),'Feijão 2ª safra'!$E68:INDEX('Feijão 2ª safra'!$E68:$Z68,MIN(AR$6-$G$3,22))),0)))))</f>
        <v>0</v>
      </c>
      <c r="AS70" s="27" t="n">
        <f aca="false">IF(COUNT('Feijão 2ª safra'!$E68:$Z68)=0,0,MAX(0,IF((AS$6-$E$3)&lt;1,0,IFERROR(LOOKUP(2,1/('Feijão 2ª safra'!$E68:INDEX('Feijão 2ª safra'!$E68:$Z68,MIN(AS$6-$E$3,22))&lt;&gt;""),'Feijão 2ª safra'!$E68:INDEX('Feijão 2ª safra'!$E68:$Z68,MIN(AS$6-$E$3,22))),0))-IF($G$2,0,IF((AS$6-$G$3)&lt;1,0,IFERROR(LOOKUP(2,1/('Feijão 2ª safra'!$E68:INDEX('Feijão 2ª safra'!$E68:$Z68,MIN(AS$6-$G$3,22))&lt;&gt;""),'Feijão 2ª safra'!$E68:INDEX('Feijão 2ª safra'!$E68:$Z68,MIN(AS$6-$G$3,22))),0)))))</f>
        <v>0</v>
      </c>
      <c r="AT70" s="27" t="n">
        <f aca="false">IF(COUNT('Feijão 2ª safra'!$E68:$Z68)=0,0,MAX(0,IF((AT$6-$E$3)&lt;1,0,IFERROR(LOOKUP(2,1/('Feijão 2ª safra'!$E68:INDEX('Feijão 2ª safra'!$E68:$Z68,MIN(AT$6-$E$3,22))&lt;&gt;""),'Feijão 2ª safra'!$E68:INDEX('Feijão 2ª safra'!$E68:$Z68,MIN(AT$6-$E$3,22))),0))-IF($G$2,0,IF((AT$6-$G$3)&lt;1,0,IFERROR(LOOKUP(2,1/('Feijão 2ª safra'!$E68:INDEX('Feijão 2ª safra'!$E68:$Z68,MIN(AT$6-$G$3,22))&lt;&gt;""),'Feijão 2ª safra'!$E68:INDEX('Feijão 2ª safra'!$E68:$Z68,MIN(AT$6-$G$3,22))),0)))))</f>
        <v>0</v>
      </c>
      <c r="AU70" s="27" t="n">
        <f aca="false">IF(COUNT('Feijão 2ª safra'!$E68:$Z68)=0,0,MAX(0,IF((AU$6-$E$3)&lt;1,0,IFERROR(LOOKUP(2,1/('Feijão 2ª safra'!$E68:INDEX('Feijão 2ª safra'!$E68:$Z68,MIN(AU$6-$E$3,22))&lt;&gt;""),'Feijão 2ª safra'!$E68:INDEX('Feijão 2ª safra'!$E68:$Z68,MIN(AU$6-$E$3,22))),0))-IF($G$2,0,IF((AU$6-$G$3)&lt;1,0,IFERROR(LOOKUP(2,1/('Feijão 2ª safra'!$E68:INDEX('Feijão 2ª safra'!$E68:$Z68,MIN(AU$6-$G$3,22))&lt;&gt;""),'Feijão 2ª safra'!$E68:INDEX('Feijão 2ª safra'!$E68:$Z68,MIN(AU$6-$G$3,22))),0)))))</f>
        <v>0</v>
      </c>
      <c r="AV70" s="27" t="n">
        <f aca="false">IF(COUNT('Feijão 2ª safra'!$E68:$Z68)=0,0,MAX(0,IF((AV$6-$E$3)&lt;1,0,IFERROR(LOOKUP(2,1/('Feijão 2ª safra'!$E68:INDEX('Feijão 2ª safra'!$E68:$Z68,MIN(AV$6-$E$3,22))&lt;&gt;""),'Feijão 2ª safra'!$E68:INDEX('Feijão 2ª safra'!$E68:$Z68,MIN(AV$6-$E$3,22))),0))-IF($G$2,0,IF((AV$6-$G$3)&lt;1,0,IFERROR(LOOKUP(2,1/('Feijão 2ª safra'!$E68:INDEX('Feijão 2ª safra'!$E68:$Z68,MIN(AV$6-$G$3,22))&lt;&gt;""),'Feijão 2ª safra'!$E68:INDEX('Feijão 2ª safra'!$E68:$Z68,MIN(AV$6-$G$3,22))),0)))))</f>
        <v>0</v>
      </c>
      <c r="AW70" s="27" t="n">
        <f aca="false">IF(COUNT('Feijão 2ª safra'!$E68:$Z68)=0,0,MAX(0,IF((AW$6-$E$3)&lt;1,0,IFERROR(LOOKUP(2,1/('Feijão 2ª safra'!$E68:INDEX('Feijão 2ª safra'!$E68:$Z68,MIN(AW$6-$E$3,22))&lt;&gt;""),'Feijão 2ª safra'!$E68:INDEX('Feijão 2ª safra'!$E68:$Z68,MIN(AW$6-$E$3,22))),0))-IF($G$2,0,IF((AW$6-$G$3)&lt;1,0,IFERROR(LOOKUP(2,1/('Feijão 2ª safra'!$E68:INDEX('Feijão 2ª safra'!$E68:$Z68,MIN(AW$6-$G$3,22))&lt;&gt;""),'Feijão 2ª safra'!$E68:INDEX('Feijão 2ª safra'!$E68:$Z68,MIN(AW$6-$G$3,22))),0)))))</f>
        <v>0</v>
      </c>
      <c r="AX70" s="27" t="n">
        <f aca="false">IF(COUNT('Feijão 2ª safra'!$E68:$Z68)=0,0,MAX(0,IF((AX$6-$E$3)&lt;1,0,IFERROR(LOOKUP(2,1/('Feijão 2ª safra'!$E68:INDEX('Feijão 2ª safra'!$E68:$Z68,MIN(AX$6-$E$3,22))&lt;&gt;""),'Feijão 2ª safra'!$E68:INDEX('Feijão 2ª safra'!$E68:$Z68,MIN(AX$6-$E$3,22))),0))-IF($G$2,0,IF((AX$6-$G$3)&lt;1,0,IFERROR(LOOKUP(2,1/('Feijão 2ª safra'!$E68:INDEX('Feijão 2ª safra'!$E68:$Z68,MIN(AX$6-$G$3,22))&lt;&gt;""),'Feijão 2ª safra'!$E68:INDEX('Feijão 2ª safra'!$E68:$Z68,MIN(AX$6-$G$3,22))),0)))))</f>
        <v>0</v>
      </c>
      <c r="AY70" s="27" t="n">
        <f aca="false">IF(COUNT('Feijão 2ª safra'!$E68:$Z68)=0,0,MAX(0,IF((AY$6-$E$3)&lt;1,0,IFERROR(LOOKUP(2,1/('Feijão 2ª safra'!$E68:INDEX('Feijão 2ª safra'!$E68:$Z68,MIN(AY$6-$E$3,22))&lt;&gt;""),'Feijão 2ª safra'!$E68:INDEX('Feijão 2ª safra'!$E68:$Z68,MIN(AY$6-$E$3,22))),0))-IF($G$2,0,IF((AY$6-$G$3)&lt;1,0,IFERROR(LOOKUP(2,1/('Feijão 2ª safra'!$E68:INDEX('Feijão 2ª safra'!$E68:$Z68,MIN(AY$6-$G$3,22))&lt;&gt;""),'Feijão 2ª safra'!$E68:INDEX('Feijão 2ª safra'!$E68:$Z68,MIN(AY$6-$G$3,22))),0)))))</f>
        <v>0</v>
      </c>
      <c r="AZ70" s="27" t="n">
        <f aca="false">IF(COUNT('Feijão 2ª safra'!$E68:$Z68)=0,0,MAX(0,IF((AZ$6-$E$3)&lt;1,0,IFERROR(LOOKUP(2,1/('Feijão 2ª safra'!$E68:INDEX('Feijão 2ª safra'!$E68:$Z68,MIN(AZ$6-$E$3,22))&lt;&gt;""),'Feijão 2ª safra'!$E68:INDEX('Feijão 2ª safra'!$E68:$Z68,MIN(AZ$6-$E$3,22))),0))-IF($G$2,0,IF((AZ$6-$G$3)&lt;1,0,IFERROR(LOOKUP(2,1/('Feijão 2ª safra'!$E68:INDEX('Feijão 2ª safra'!$E68:$Z68,MIN(AZ$6-$G$3,22))&lt;&gt;""),'Feijão 2ª safra'!$E68:INDEX('Feijão 2ª safra'!$E68:$Z68,MIN(AZ$6-$G$3,22))),0)))))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IF(COUNT('Feijão 2ª safra'!$E69:$Z69)&gt;0,N('Feijão 2ª safra'!$D69),0)</f>
        <v>0</v>
      </c>
      <c r="E71" s="27" t="n">
        <f aca="false">IF(COUNT('Feijão 2ª safra'!$E69:$Z69)=0,0,MAX(0,IF((E$6-$E$3)&lt;1,0,IFERROR(LOOKUP(2,1/('Feijão 2ª safra'!$E69:INDEX('Feijão 2ª safra'!$E69:$Z69,MIN(E$6-$E$3,22))&lt;&gt;""),'Feijão 2ª safra'!$E69:INDEX('Feijão 2ª safra'!$E69:$Z69,MIN(E$6-$E$3,22))),0))-IF($G$2,0,IF((E$6-$G$3)&lt;1,0,IFERROR(LOOKUP(2,1/('Feijão 2ª safra'!$E69:INDEX('Feijão 2ª safra'!$E69:$Z69,MIN(E$6-$G$3,22))&lt;&gt;""),'Feijão 2ª safra'!$E69:INDEX('Feijão 2ª safra'!$E69:$Z69,MIN(E$6-$G$3,22))),0)))))</f>
        <v>0</v>
      </c>
      <c r="F71" s="27" t="n">
        <f aca="false">IF(COUNT('Feijão 2ª safra'!$E69:$Z69)=0,0,MAX(0,IF((F$6-$E$3)&lt;1,0,IFERROR(LOOKUP(2,1/('Feijão 2ª safra'!$E69:INDEX('Feijão 2ª safra'!$E69:$Z69,MIN(F$6-$E$3,22))&lt;&gt;""),'Feijão 2ª safra'!$E69:INDEX('Feijão 2ª safra'!$E69:$Z69,MIN(F$6-$E$3,22))),0))-IF($G$2,0,IF((F$6-$G$3)&lt;1,0,IFERROR(LOOKUP(2,1/('Feijão 2ª safra'!$E69:INDEX('Feijão 2ª safra'!$E69:$Z69,MIN(F$6-$G$3,22))&lt;&gt;""),'Feijão 2ª safra'!$E69:INDEX('Feijão 2ª safra'!$E69:$Z69,MIN(F$6-$G$3,22))),0)))))</f>
        <v>0</v>
      </c>
      <c r="G71" s="27" t="n">
        <f aca="false">IF(COUNT('Feijão 2ª safra'!$E69:$Z69)=0,0,MAX(0,IF((G$6-$E$3)&lt;1,0,IFERROR(LOOKUP(2,1/('Feijão 2ª safra'!$E69:INDEX('Feijão 2ª safra'!$E69:$Z69,MIN(G$6-$E$3,22))&lt;&gt;""),'Feijão 2ª safra'!$E69:INDEX('Feijão 2ª safra'!$E69:$Z69,MIN(G$6-$E$3,22))),0))-IF($G$2,0,IF((G$6-$G$3)&lt;1,0,IFERROR(LOOKUP(2,1/('Feijão 2ª safra'!$E69:INDEX('Feijão 2ª safra'!$E69:$Z69,MIN(G$6-$G$3,22))&lt;&gt;""),'Feijão 2ª safra'!$E69:INDEX('Feijão 2ª safra'!$E69:$Z69,MIN(G$6-$G$3,22))),0)))))</f>
        <v>0</v>
      </c>
      <c r="H71" s="27" t="n">
        <f aca="false">IF(COUNT('Feijão 2ª safra'!$E69:$Z69)=0,0,MAX(0,IF((H$6-$E$3)&lt;1,0,IFERROR(LOOKUP(2,1/('Feijão 2ª safra'!$E69:INDEX('Feijão 2ª safra'!$E69:$Z69,MIN(H$6-$E$3,22))&lt;&gt;""),'Feijão 2ª safra'!$E69:INDEX('Feijão 2ª safra'!$E69:$Z69,MIN(H$6-$E$3,22))),0))-IF($G$2,0,IF((H$6-$G$3)&lt;1,0,IFERROR(LOOKUP(2,1/('Feijão 2ª safra'!$E69:INDEX('Feijão 2ª safra'!$E69:$Z69,MIN(H$6-$G$3,22))&lt;&gt;""),'Feijão 2ª safra'!$E69:INDEX('Feijão 2ª safra'!$E69:$Z69,MIN(H$6-$G$3,22))),0)))))</f>
        <v>0</v>
      </c>
      <c r="I71" s="27" t="n">
        <f aca="false">IF(COUNT('Feijão 2ª safra'!$E69:$Z69)=0,0,MAX(0,IF((I$6-$E$3)&lt;1,0,IFERROR(LOOKUP(2,1/('Feijão 2ª safra'!$E69:INDEX('Feijão 2ª safra'!$E69:$Z69,MIN(I$6-$E$3,22))&lt;&gt;""),'Feijão 2ª safra'!$E69:INDEX('Feijão 2ª safra'!$E69:$Z69,MIN(I$6-$E$3,22))),0))-IF($G$2,0,IF((I$6-$G$3)&lt;1,0,IFERROR(LOOKUP(2,1/('Feijão 2ª safra'!$E69:INDEX('Feijão 2ª safra'!$E69:$Z69,MIN(I$6-$G$3,22))&lt;&gt;""),'Feijão 2ª safra'!$E69:INDEX('Feijão 2ª safra'!$E69:$Z69,MIN(I$6-$G$3,22))),0)))))</f>
        <v>0</v>
      </c>
      <c r="J71" s="27" t="n">
        <f aca="false">IF(COUNT('Feijão 2ª safra'!$E69:$Z69)=0,0,MAX(0,IF((J$6-$E$3)&lt;1,0,IFERROR(LOOKUP(2,1/('Feijão 2ª safra'!$E69:INDEX('Feijão 2ª safra'!$E69:$Z69,MIN(J$6-$E$3,22))&lt;&gt;""),'Feijão 2ª safra'!$E69:INDEX('Feijão 2ª safra'!$E69:$Z69,MIN(J$6-$E$3,22))),0))-IF($G$2,0,IF((J$6-$G$3)&lt;1,0,IFERROR(LOOKUP(2,1/('Feijão 2ª safra'!$E69:INDEX('Feijão 2ª safra'!$E69:$Z69,MIN(J$6-$G$3,22))&lt;&gt;""),'Feijão 2ª safra'!$E69:INDEX('Feijão 2ª safra'!$E69:$Z69,MIN(J$6-$G$3,22))),0)))))</f>
        <v>0</v>
      </c>
      <c r="K71" s="27" t="n">
        <f aca="false">IF(COUNT('Feijão 2ª safra'!$E69:$Z69)=0,0,MAX(0,IF((K$6-$E$3)&lt;1,0,IFERROR(LOOKUP(2,1/('Feijão 2ª safra'!$E69:INDEX('Feijão 2ª safra'!$E69:$Z69,MIN(K$6-$E$3,22))&lt;&gt;""),'Feijão 2ª safra'!$E69:INDEX('Feijão 2ª safra'!$E69:$Z69,MIN(K$6-$E$3,22))),0))-IF($G$2,0,IF((K$6-$G$3)&lt;1,0,IFERROR(LOOKUP(2,1/('Feijão 2ª safra'!$E69:INDEX('Feijão 2ª safra'!$E69:$Z69,MIN(K$6-$G$3,22))&lt;&gt;""),'Feijão 2ª safra'!$E69:INDEX('Feijão 2ª safra'!$E69:$Z69,MIN(K$6-$G$3,22))),0)))))</f>
        <v>0</v>
      </c>
      <c r="L71" s="27" t="n">
        <f aca="false">IF(COUNT('Feijão 2ª safra'!$E69:$Z69)=0,0,MAX(0,IF((L$6-$E$3)&lt;1,0,IFERROR(LOOKUP(2,1/('Feijão 2ª safra'!$E69:INDEX('Feijão 2ª safra'!$E69:$Z69,MIN(L$6-$E$3,22))&lt;&gt;""),'Feijão 2ª safra'!$E69:INDEX('Feijão 2ª safra'!$E69:$Z69,MIN(L$6-$E$3,22))),0))-IF($G$2,0,IF((L$6-$G$3)&lt;1,0,IFERROR(LOOKUP(2,1/('Feijão 2ª safra'!$E69:INDEX('Feijão 2ª safra'!$E69:$Z69,MIN(L$6-$G$3,22))&lt;&gt;""),'Feijão 2ª safra'!$E69:INDEX('Feijão 2ª safra'!$E69:$Z69,MIN(L$6-$G$3,22))),0)))))</f>
        <v>0</v>
      </c>
      <c r="M71" s="27" t="n">
        <f aca="false">IF(COUNT('Feijão 2ª safra'!$E69:$Z69)=0,0,MAX(0,IF((M$6-$E$3)&lt;1,0,IFERROR(LOOKUP(2,1/('Feijão 2ª safra'!$E69:INDEX('Feijão 2ª safra'!$E69:$Z69,MIN(M$6-$E$3,22))&lt;&gt;""),'Feijão 2ª safra'!$E69:INDEX('Feijão 2ª safra'!$E69:$Z69,MIN(M$6-$E$3,22))),0))-IF($G$2,0,IF((M$6-$G$3)&lt;1,0,IFERROR(LOOKUP(2,1/('Feijão 2ª safra'!$E69:INDEX('Feijão 2ª safra'!$E69:$Z69,MIN(M$6-$G$3,22))&lt;&gt;""),'Feijão 2ª safra'!$E69:INDEX('Feijão 2ª safra'!$E69:$Z69,MIN(M$6-$G$3,22))),0)))))</f>
        <v>0</v>
      </c>
      <c r="N71" s="27" t="n">
        <f aca="false">IF(COUNT('Feijão 2ª safra'!$E69:$Z69)=0,0,MAX(0,IF((N$6-$E$3)&lt;1,0,IFERROR(LOOKUP(2,1/('Feijão 2ª safra'!$E69:INDEX('Feijão 2ª safra'!$E69:$Z69,MIN(N$6-$E$3,22))&lt;&gt;""),'Feijão 2ª safra'!$E69:INDEX('Feijão 2ª safra'!$E69:$Z69,MIN(N$6-$E$3,22))),0))-IF($G$2,0,IF((N$6-$G$3)&lt;1,0,IFERROR(LOOKUP(2,1/('Feijão 2ª safra'!$E69:INDEX('Feijão 2ª safra'!$E69:$Z69,MIN(N$6-$G$3,22))&lt;&gt;""),'Feijão 2ª safra'!$E69:INDEX('Feijão 2ª safra'!$E69:$Z69,MIN(N$6-$G$3,22))),0)))))</f>
        <v>0</v>
      </c>
      <c r="O71" s="27" t="n">
        <f aca="false">IF(COUNT('Feijão 2ª safra'!$E69:$Z69)=0,0,MAX(0,IF((O$6-$E$3)&lt;1,0,IFERROR(LOOKUP(2,1/('Feijão 2ª safra'!$E69:INDEX('Feijão 2ª safra'!$E69:$Z69,MIN(O$6-$E$3,22))&lt;&gt;""),'Feijão 2ª safra'!$E69:INDEX('Feijão 2ª safra'!$E69:$Z69,MIN(O$6-$E$3,22))),0))-IF($G$2,0,IF((O$6-$G$3)&lt;1,0,IFERROR(LOOKUP(2,1/('Feijão 2ª safra'!$E69:INDEX('Feijão 2ª safra'!$E69:$Z69,MIN(O$6-$G$3,22))&lt;&gt;""),'Feijão 2ª safra'!$E69:INDEX('Feijão 2ª safra'!$E69:$Z69,MIN(O$6-$G$3,22))),0)))))</f>
        <v>0</v>
      </c>
      <c r="P71" s="27" t="n">
        <f aca="false">IF(COUNT('Feijão 2ª safra'!$E69:$Z69)=0,0,MAX(0,IF((P$6-$E$3)&lt;1,0,IFERROR(LOOKUP(2,1/('Feijão 2ª safra'!$E69:INDEX('Feijão 2ª safra'!$E69:$Z69,MIN(P$6-$E$3,22))&lt;&gt;""),'Feijão 2ª safra'!$E69:INDEX('Feijão 2ª safra'!$E69:$Z69,MIN(P$6-$E$3,22))),0))-IF($G$2,0,IF((P$6-$G$3)&lt;1,0,IFERROR(LOOKUP(2,1/('Feijão 2ª safra'!$E69:INDEX('Feijão 2ª safra'!$E69:$Z69,MIN(P$6-$G$3,22))&lt;&gt;""),'Feijão 2ª safra'!$E69:INDEX('Feijão 2ª safra'!$E69:$Z69,MIN(P$6-$G$3,22))),0)))))</f>
        <v>0</v>
      </c>
      <c r="Q71" s="27" t="n">
        <f aca="false">IF(COUNT('Feijão 2ª safra'!$E69:$Z69)=0,0,MAX(0,IF((Q$6-$E$3)&lt;1,0,IFERROR(LOOKUP(2,1/('Feijão 2ª safra'!$E69:INDEX('Feijão 2ª safra'!$E69:$Z69,MIN(Q$6-$E$3,22))&lt;&gt;""),'Feijão 2ª safra'!$E69:INDEX('Feijão 2ª safra'!$E69:$Z69,MIN(Q$6-$E$3,22))),0))-IF($G$2,0,IF((Q$6-$G$3)&lt;1,0,IFERROR(LOOKUP(2,1/('Feijão 2ª safra'!$E69:INDEX('Feijão 2ª safra'!$E69:$Z69,MIN(Q$6-$G$3,22))&lt;&gt;""),'Feijão 2ª safra'!$E69:INDEX('Feijão 2ª safra'!$E69:$Z69,MIN(Q$6-$G$3,22))),0)))))</f>
        <v>0</v>
      </c>
      <c r="R71" s="27" t="n">
        <f aca="false">IF(COUNT('Feijão 2ª safra'!$E69:$Z69)=0,0,MAX(0,IF((R$6-$E$3)&lt;1,0,IFERROR(LOOKUP(2,1/('Feijão 2ª safra'!$E69:INDEX('Feijão 2ª safra'!$E69:$Z69,MIN(R$6-$E$3,22))&lt;&gt;""),'Feijão 2ª safra'!$E69:INDEX('Feijão 2ª safra'!$E69:$Z69,MIN(R$6-$E$3,22))),0))-IF($G$2,0,IF((R$6-$G$3)&lt;1,0,IFERROR(LOOKUP(2,1/('Feijão 2ª safra'!$E69:INDEX('Feijão 2ª safra'!$E69:$Z69,MIN(R$6-$G$3,22))&lt;&gt;""),'Feijão 2ª safra'!$E69:INDEX('Feijão 2ª safra'!$E69:$Z69,MIN(R$6-$G$3,22))),0)))))</f>
        <v>0</v>
      </c>
      <c r="S71" s="27" t="n">
        <f aca="false">IF(COUNT('Feijão 2ª safra'!$E69:$Z69)=0,0,MAX(0,IF((S$6-$E$3)&lt;1,0,IFERROR(LOOKUP(2,1/('Feijão 2ª safra'!$E69:INDEX('Feijão 2ª safra'!$E69:$Z69,MIN(S$6-$E$3,22))&lt;&gt;""),'Feijão 2ª safra'!$E69:INDEX('Feijão 2ª safra'!$E69:$Z69,MIN(S$6-$E$3,22))),0))-IF($G$2,0,IF((S$6-$G$3)&lt;1,0,IFERROR(LOOKUP(2,1/('Feijão 2ª safra'!$E69:INDEX('Feijão 2ª safra'!$E69:$Z69,MIN(S$6-$G$3,22))&lt;&gt;""),'Feijão 2ª safra'!$E69:INDEX('Feijão 2ª safra'!$E69:$Z69,MIN(S$6-$G$3,22))),0)))))</f>
        <v>0</v>
      </c>
      <c r="T71" s="27" t="n">
        <f aca="false">IF(COUNT('Feijão 2ª safra'!$E69:$Z69)=0,0,MAX(0,IF((T$6-$E$3)&lt;1,0,IFERROR(LOOKUP(2,1/('Feijão 2ª safra'!$E69:INDEX('Feijão 2ª safra'!$E69:$Z69,MIN(T$6-$E$3,22))&lt;&gt;""),'Feijão 2ª safra'!$E69:INDEX('Feijão 2ª safra'!$E69:$Z69,MIN(T$6-$E$3,22))),0))-IF($G$2,0,IF((T$6-$G$3)&lt;1,0,IFERROR(LOOKUP(2,1/('Feijão 2ª safra'!$E69:INDEX('Feijão 2ª safra'!$E69:$Z69,MIN(T$6-$G$3,22))&lt;&gt;""),'Feijão 2ª safra'!$E69:INDEX('Feijão 2ª safra'!$E69:$Z69,MIN(T$6-$G$3,22))),0)))))</f>
        <v>0</v>
      </c>
      <c r="U71" s="27" t="n">
        <f aca="false">IF(COUNT('Feijão 2ª safra'!$E69:$Z69)=0,0,MAX(0,IF((U$6-$E$3)&lt;1,0,IFERROR(LOOKUP(2,1/('Feijão 2ª safra'!$E69:INDEX('Feijão 2ª safra'!$E69:$Z69,MIN(U$6-$E$3,22))&lt;&gt;""),'Feijão 2ª safra'!$E69:INDEX('Feijão 2ª safra'!$E69:$Z69,MIN(U$6-$E$3,22))),0))-IF($G$2,0,IF((U$6-$G$3)&lt;1,0,IFERROR(LOOKUP(2,1/('Feijão 2ª safra'!$E69:INDEX('Feijão 2ª safra'!$E69:$Z69,MIN(U$6-$G$3,22))&lt;&gt;""),'Feijão 2ª safra'!$E69:INDEX('Feijão 2ª safra'!$E69:$Z69,MIN(U$6-$G$3,22))),0)))))</f>
        <v>0</v>
      </c>
      <c r="V71" s="27" t="n">
        <f aca="false">IF(COUNT('Feijão 2ª safra'!$E69:$Z69)=0,0,MAX(0,IF((V$6-$E$3)&lt;1,0,IFERROR(LOOKUP(2,1/('Feijão 2ª safra'!$E69:INDEX('Feijão 2ª safra'!$E69:$Z69,MIN(V$6-$E$3,22))&lt;&gt;""),'Feijão 2ª safra'!$E69:INDEX('Feijão 2ª safra'!$E69:$Z69,MIN(V$6-$E$3,22))),0))-IF($G$2,0,IF((V$6-$G$3)&lt;1,0,IFERROR(LOOKUP(2,1/('Feijão 2ª safra'!$E69:INDEX('Feijão 2ª safra'!$E69:$Z69,MIN(V$6-$G$3,22))&lt;&gt;""),'Feijão 2ª safra'!$E69:INDEX('Feijão 2ª safra'!$E69:$Z69,MIN(V$6-$G$3,22))),0)))))</f>
        <v>0</v>
      </c>
      <c r="W71" s="27" t="n">
        <f aca="false">IF(COUNT('Feijão 2ª safra'!$E69:$Z69)=0,0,MAX(0,IF((W$6-$E$3)&lt;1,0,IFERROR(LOOKUP(2,1/('Feijão 2ª safra'!$E69:INDEX('Feijão 2ª safra'!$E69:$Z69,MIN(W$6-$E$3,22))&lt;&gt;""),'Feijão 2ª safra'!$E69:INDEX('Feijão 2ª safra'!$E69:$Z69,MIN(W$6-$E$3,22))),0))-IF($G$2,0,IF((W$6-$G$3)&lt;1,0,IFERROR(LOOKUP(2,1/('Feijão 2ª safra'!$E69:INDEX('Feijão 2ª safra'!$E69:$Z69,MIN(W$6-$G$3,22))&lt;&gt;""),'Feijão 2ª safra'!$E69:INDEX('Feijão 2ª safra'!$E69:$Z69,MIN(W$6-$G$3,22))),0)))))</f>
        <v>0</v>
      </c>
      <c r="X71" s="27" t="n">
        <f aca="false">IF(COUNT('Feijão 2ª safra'!$E69:$Z69)=0,0,MAX(0,IF((X$6-$E$3)&lt;1,0,IFERROR(LOOKUP(2,1/('Feijão 2ª safra'!$E69:INDEX('Feijão 2ª safra'!$E69:$Z69,MIN(X$6-$E$3,22))&lt;&gt;""),'Feijão 2ª safra'!$E69:INDEX('Feijão 2ª safra'!$E69:$Z69,MIN(X$6-$E$3,22))),0))-IF($G$2,0,IF((X$6-$G$3)&lt;1,0,IFERROR(LOOKUP(2,1/('Feijão 2ª safra'!$E69:INDEX('Feijão 2ª safra'!$E69:$Z69,MIN(X$6-$G$3,22))&lt;&gt;""),'Feijão 2ª safra'!$E69:INDEX('Feijão 2ª safra'!$E69:$Z69,MIN(X$6-$G$3,22))),0)))))</f>
        <v>0</v>
      </c>
      <c r="Y71" s="27" t="n">
        <f aca="false">IF(COUNT('Feijão 2ª safra'!$E69:$Z69)=0,0,MAX(0,IF((Y$6-$E$3)&lt;1,0,IFERROR(LOOKUP(2,1/('Feijão 2ª safra'!$E69:INDEX('Feijão 2ª safra'!$E69:$Z69,MIN(Y$6-$E$3,22))&lt;&gt;""),'Feijão 2ª safra'!$E69:INDEX('Feijão 2ª safra'!$E69:$Z69,MIN(Y$6-$E$3,22))),0))-IF($G$2,0,IF((Y$6-$G$3)&lt;1,0,IFERROR(LOOKUP(2,1/('Feijão 2ª safra'!$E69:INDEX('Feijão 2ª safra'!$E69:$Z69,MIN(Y$6-$G$3,22))&lt;&gt;""),'Feijão 2ª safra'!$E69:INDEX('Feijão 2ª safra'!$E69:$Z69,MIN(Y$6-$G$3,22))),0)))))</f>
        <v>0</v>
      </c>
      <c r="Z71" s="27" t="n">
        <f aca="false">IF(COUNT('Feijão 2ª safra'!$E69:$Z69)=0,0,MAX(0,IF((Z$6-$E$3)&lt;1,0,IFERROR(LOOKUP(2,1/('Feijão 2ª safra'!$E69:INDEX('Feijão 2ª safra'!$E69:$Z69,MIN(Z$6-$E$3,22))&lt;&gt;""),'Feijão 2ª safra'!$E69:INDEX('Feijão 2ª safra'!$E69:$Z69,MIN(Z$6-$E$3,22))),0))-IF($G$2,0,IF((Z$6-$G$3)&lt;1,0,IFERROR(LOOKUP(2,1/('Feijão 2ª safra'!$E69:INDEX('Feijão 2ª safra'!$E69:$Z69,MIN(Z$6-$G$3,22))&lt;&gt;""),'Feijão 2ª safra'!$E69:INDEX('Feijão 2ª safra'!$E69:$Z69,MIN(Z$6-$G$3,22))),0)))))</f>
        <v>0</v>
      </c>
      <c r="AA71" s="27" t="n">
        <f aca="false">IF(COUNT('Feijão 2ª safra'!$E69:$Z69)=0,0,MAX(0,IF((AA$6-$E$3)&lt;1,0,IFERROR(LOOKUP(2,1/('Feijão 2ª safra'!$E69:INDEX('Feijão 2ª safra'!$E69:$Z69,MIN(AA$6-$E$3,22))&lt;&gt;""),'Feijão 2ª safra'!$E69:INDEX('Feijão 2ª safra'!$E69:$Z69,MIN(AA$6-$E$3,22))),0))-IF($G$2,0,IF((AA$6-$G$3)&lt;1,0,IFERROR(LOOKUP(2,1/('Feijão 2ª safra'!$E69:INDEX('Feijão 2ª safra'!$E69:$Z69,MIN(AA$6-$G$3,22))&lt;&gt;""),'Feijão 2ª safra'!$E69:INDEX('Feijão 2ª safra'!$E69:$Z69,MIN(AA$6-$G$3,22))),0)))))</f>
        <v>0</v>
      </c>
      <c r="AB71" s="27" t="n">
        <f aca="false">IF(COUNT('Feijão 2ª safra'!$E69:$Z69)=0,0,MAX(0,IF((AB$6-$E$3)&lt;1,0,IFERROR(LOOKUP(2,1/('Feijão 2ª safra'!$E69:INDEX('Feijão 2ª safra'!$E69:$Z69,MIN(AB$6-$E$3,22))&lt;&gt;""),'Feijão 2ª safra'!$E69:INDEX('Feijão 2ª safra'!$E69:$Z69,MIN(AB$6-$E$3,22))),0))-IF($G$2,0,IF((AB$6-$G$3)&lt;1,0,IFERROR(LOOKUP(2,1/('Feijão 2ª safra'!$E69:INDEX('Feijão 2ª safra'!$E69:$Z69,MIN(AB$6-$G$3,22))&lt;&gt;""),'Feijão 2ª safra'!$E69:INDEX('Feijão 2ª safra'!$E69:$Z69,MIN(AB$6-$G$3,22))),0)))))</f>
        <v>0</v>
      </c>
      <c r="AC71" s="27" t="n">
        <f aca="false">IF(COUNT('Feijão 2ª safra'!$E69:$Z69)=0,0,MAX(0,IF((AC$6-$E$3)&lt;1,0,IFERROR(LOOKUP(2,1/('Feijão 2ª safra'!$E69:INDEX('Feijão 2ª safra'!$E69:$Z69,MIN(AC$6-$E$3,22))&lt;&gt;""),'Feijão 2ª safra'!$E69:INDEX('Feijão 2ª safra'!$E69:$Z69,MIN(AC$6-$E$3,22))),0))-IF($G$2,0,IF((AC$6-$G$3)&lt;1,0,IFERROR(LOOKUP(2,1/('Feijão 2ª safra'!$E69:INDEX('Feijão 2ª safra'!$E69:$Z69,MIN(AC$6-$G$3,22))&lt;&gt;""),'Feijão 2ª safra'!$E69:INDEX('Feijão 2ª safra'!$E69:$Z69,MIN(AC$6-$G$3,22))),0)))))</f>
        <v>0</v>
      </c>
      <c r="AD71" s="27" t="n">
        <f aca="false">IF(COUNT('Feijão 2ª safra'!$E69:$Z69)=0,0,MAX(0,IF((AD$6-$E$3)&lt;1,0,IFERROR(LOOKUP(2,1/('Feijão 2ª safra'!$E69:INDEX('Feijão 2ª safra'!$E69:$Z69,MIN(AD$6-$E$3,22))&lt;&gt;""),'Feijão 2ª safra'!$E69:INDEX('Feijão 2ª safra'!$E69:$Z69,MIN(AD$6-$E$3,22))),0))-IF($G$2,0,IF((AD$6-$G$3)&lt;1,0,IFERROR(LOOKUP(2,1/('Feijão 2ª safra'!$E69:INDEX('Feijão 2ª safra'!$E69:$Z69,MIN(AD$6-$G$3,22))&lt;&gt;""),'Feijão 2ª safra'!$E69:INDEX('Feijão 2ª safra'!$E69:$Z69,MIN(AD$6-$G$3,22))),0)))))</f>
        <v>0</v>
      </c>
      <c r="AE71" s="27" t="n">
        <f aca="false">IF(COUNT('Feijão 2ª safra'!$E69:$Z69)=0,0,MAX(0,IF((AE$6-$E$3)&lt;1,0,IFERROR(LOOKUP(2,1/('Feijão 2ª safra'!$E69:INDEX('Feijão 2ª safra'!$E69:$Z69,MIN(AE$6-$E$3,22))&lt;&gt;""),'Feijão 2ª safra'!$E69:INDEX('Feijão 2ª safra'!$E69:$Z69,MIN(AE$6-$E$3,22))),0))-IF($G$2,0,IF((AE$6-$G$3)&lt;1,0,IFERROR(LOOKUP(2,1/('Feijão 2ª safra'!$E69:INDEX('Feijão 2ª safra'!$E69:$Z69,MIN(AE$6-$G$3,22))&lt;&gt;""),'Feijão 2ª safra'!$E69:INDEX('Feijão 2ª safra'!$E69:$Z69,MIN(AE$6-$G$3,22))),0)))))</f>
        <v>0</v>
      </c>
      <c r="AF71" s="27" t="n">
        <f aca="false">IF(COUNT('Feijão 2ª safra'!$E69:$Z69)=0,0,MAX(0,IF((AF$6-$E$3)&lt;1,0,IFERROR(LOOKUP(2,1/('Feijão 2ª safra'!$E69:INDEX('Feijão 2ª safra'!$E69:$Z69,MIN(AF$6-$E$3,22))&lt;&gt;""),'Feijão 2ª safra'!$E69:INDEX('Feijão 2ª safra'!$E69:$Z69,MIN(AF$6-$E$3,22))),0))-IF($G$2,0,IF((AF$6-$G$3)&lt;1,0,IFERROR(LOOKUP(2,1/('Feijão 2ª safra'!$E69:INDEX('Feijão 2ª safra'!$E69:$Z69,MIN(AF$6-$G$3,22))&lt;&gt;""),'Feijão 2ª safra'!$E69:INDEX('Feijão 2ª safra'!$E69:$Z69,MIN(AF$6-$G$3,22))),0)))))</f>
        <v>0</v>
      </c>
      <c r="AG71" s="27" t="n">
        <f aca="false">IF(COUNT('Feijão 2ª safra'!$E69:$Z69)=0,0,MAX(0,IF((AG$6-$E$3)&lt;1,0,IFERROR(LOOKUP(2,1/('Feijão 2ª safra'!$E69:INDEX('Feijão 2ª safra'!$E69:$Z69,MIN(AG$6-$E$3,22))&lt;&gt;""),'Feijão 2ª safra'!$E69:INDEX('Feijão 2ª safra'!$E69:$Z69,MIN(AG$6-$E$3,22))),0))-IF($G$2,0,IF((AG$6-$G$3)&lt;1,0,IFERROR(LOOKUP(2,1/('Feijão 2ª safra'!$E69:INDEX('Feijão 2ª safra'!$E69:$Z69,MIN(AG$6-$G$3,22))&lt;&gt;""),'Feijão 2ª safra'!$E69:INDEX('Feijão 2ª safra'!$E69:$Z69,MIN(AG$6-$G$3,22))),0)))))</f>
        <v>0</v>
      </c>
      <c r="AH71" s="27" t="n">
        <f aca="false">IF(COUNT('Feijão 2ª safra'!$E69:$Z69)=0,0,MAX(0,IF((AH$6-$E$3)&lt;1,0,IFERROR(LOOKUP(2,1/('Feijão 2ª safra'!$E69:INDEX('Feijão 2ª safra'!$E69:$Z69,MIN(AH$6-$E$3,22))&lt;&gt;""),'Feijão 2ª safra'!$E69:INDEX('Feijão 2ª safra'!$E69:$Z69,MIN(AH$6-$E$3,22))),0))-IF($G$2,0,IF((AH$6-$G$3)&lt;1,0,IFERROR(LOOKUP(2,1/('Feijão 2ª safra'!$E69:INDEX('Feijão 2ª safra'!$E69:$Z69,MIN(AH$6-$G$3,22))&lt;&gt;""),'Feijão 2ª safra'!$E69:INDEX('Feijão 2ª safra'!$E69:$Z69,MIN(AH$6-$G$3,22))),0)))))</f>
        <v>0</v>
      </c>
      <c r="AI71" s="27" t="n">
        <f aca="false">IF(COUNT('Feijão 2ª safra'!$E69:$Z69)=0,0,MAX(0,IF((AI$6-$E$3)&lt;1,0,IFERROR(LOOKUP(2,1/('Feijão 2ª safra'!$E69:INDEX('Feijão 2ª safra'!$E69:$Z69,MIN(AI$6-$E$3,22))&lt;&gt;""),'Feijão 2ª safra'!$E69:INDEX('Feijão 2ª safra'!$E69:$Z69,MIN(AI$6-$E$3,22))),0))-IF($G$2,0,IF((AI$6-$G$3)&lt;1,0,IFERROR(LOOKUP(2,1/('Feijão 2ª safra'!$E69:INDEX('Feijão 2ª safra'!$E69:$Z69,MIN(AI$6-$G$3,22))&lt;&gt;""),'Feijão 2ª safra'!$E69:INDEX('Feijão 2ª safra'!$E69:$Z69,MIN(AI$6-$G$3,22))),0)))))</f>
        <v>0</v>
      </c>
      <c r="AJ71" s="27" t="n">
        <f aca="false">IF(COUNT('Feijão 2ª safra'!$E69:$Z69)=0,0,MAX(0,IF((AJ$6-$E$3)&lt;1,0,IFERROR(LOOKUP(2,1/('Feijão 2ª safra'!$E69:INDEX('Feijão 2ª safra'!$E69:$Z69,MIN(AJ$6-$E$3,22))&lt;&gt;""),'Feijão 2ª safra'!$E69:INDEX('Feijão 2ª safra'!$E69:$Z69,MIN(AJ$6-$E$3,22))),0))-IF($G$2,0,IF((AJ$6-$G$3)&lt;1,0,IFERROR(LOOKUP(2,1/('Feijão 2ª safra'!$E69:INDEX('Feijão 2ª safra'!$E69:$Z69,MIN(AJ$6-$G$3,22))&lt;&gt;""),'Feijão 2ª safra'!$E69:INDEX('Feijão 2ª safra'!$E69:$Z69,MIN(AJ$6-$G$3,22))),0)))))</f>
        <v>0</v>
      </c>
      <c r="AK71" s="27" t="n">
        <f aca="false">IF(COUNT('Feijão 2ª safra'!$E69:$Z69)=0,0,MAX(0,IF((AK$6-$E$3)&lt;1,0,IFERROR(LOOKUP(2,1/('Feijão 2ª safra'!$E69:INDEX('Feijão 2ª safra'!$E69:$Z69,MIN(AK$6-$E$3,22))&lt;&gt;""),'Feijão 2ª safra'!$E69:INDEX('Feijão 2ª safra'!$E69:$Z69,MIN(AK$6-$E$3,22))),0))-IF($G$2,0,IF((AK$6-$G$3)&lt;1,0,IFERROR(LOOKUP(2,1/('Feijão 2ª safra'!$E69:INDEX('Feijão 2ª safra'!$E69:$Z69,MIN(AK$6-$G$3,22))&lt;&gt;""),'Feijão 2ª safra'!$E69:INDEX('Feijão 2ª safra'!$E69:$Z69,MIN(AK$6-$G$3,22))),0)))))</f>
        <v>0</v>
      </c>
      <c r="AL71" s="27" t="n">
        <f aca="false">IF(COUNT('Feijão 2ª safra'!$E69:$Z69)=0,0,MAX(0,IF((AL$6-$E$3)&lt;1,0,IFERROR(LOOKUP(2,1/('Feijão 2ª safra'!$E69:INDEX('Feijão 2ª safra'!$E69:$Z69,MIN(AL$6-$E$3,22))&lt;&gt;""),'Feijão 2ª safra'!$E69:INDEX('Feijão 2ª safra'!$E69:$Z69,MIN(AL$6-$E$3,22))),0))-IF($G$2,0,IF((AL$6-$G$3)&lt;1,0,IFERROR(LOOKUP(2,1/('Feijão 2ª safra'!$E69:INDEX('Feijão 2ª safra'!$E69:$Z69,MIN(AL$6-$G$3,22))&lt;&gt;""),'Feijão 2ª safra'!$E69:INDEX('Feijão 2ª safra'!$E69:$Z69,MIN(AL$6-$G$3,22))),0)))))</f>
        <v>0</v>
      </c>
      <c r="AM71" s="27" t="n">
        <f aca="false">IF(COUNT('Feijão 2ª safra'!$E69:$Z69)=0,0,MAX(0,IF((AM$6-$E$3)&lt;1,0,IFERROR(LOOKUP(2,1/('Feijão 2ª safra'!$E69:INDEX('Feijão 2ª safra'!$E69:$Z69,MIN(AM$6-$E$3,22))&lt;&gt;""),'Feijão 2ª safra'!$E69:INDEX('Feijão 2ª safra'!$E69:$Z69,MIN(AM$6-$E$3,22))),0))-IF($G$2,0,IF((AM$6-$G$3)&lt;1,0,IFERROR(LOOKUP(2,1/('Feijão 2ª safra'!$E69:INDEX('Feijão 2ª safra'!$E69:$Z69,MIN(AM$6-$G$3,22))&lt;&gt;""),'Feijão 2ª safra'!$E69:INDEX('Feijão 2ª safra'!$E69:$Z69,MIN(AM$6-$G$3,22))),0)))))</f>
        <v>0</v>
      </c>
      <c r="AN71" s="27" t="n">
        <f aca="false">IF(COUNT('Feijão 2ª safra'!$E69:$Z69)=0,0,MAX(0,IF((AN$6-$E$3)&lt;1,0,IFERROR(LOOKUP(2,1/('Feijão 2ª safra'!$E69:INDEX('Feijão 2ª safra'!$E69:$Z69,MIN(AN$6-$E$3,22))&lt;&gt;""),'Feijão 2ª safra'!$E69:INDEX('Feijão 2ª safra'!$E69:$Z69,MIN(AN$6-$E$3,22))),0))-IF($G$2,0,IF((AN$6-$G$3)&lt;1,0,IFERROR(LOOKUP(2,1/('Feijão 2ª safra'!$E69:INDEX('Feijão 2ª safra'!$E69:$Z69,MIN(AN$6-$G$3,22))&lt;&gt;""),'Feijão 2ª safra'!$E69:INDEX('Feijão 2ª safra'!$E69:$Z69,MIN(AN$6-$G$3,22))),0)))))</f>
        <v>0</v>
      </c>
      <c r="AO71" s="27" t="n">
        <f aca="false">IF(COUNT('Feijão 2ª safra'!$E69:$Z69)=0,0,MAX(0,IF((AO$6-$E$3)&lt;1,0,IFERROR(LOOKUP(2,1/('Feijão 2ª safra'!$E69:INDEX('Feijão 2ª safra'!$E69:$Z69,MIN(AO$6-$E$3,22))&lt;&gt;""),'Feijão 2ª safra'!$E69:INDEX('Feijão 2ª safra'!$E69:$Z69,MIN(AO$6-$E$3,22))),0))-IF($G$2,0,IF((AO$6-$G$3)&lt;1,0,IFERROR(LOOKUP(2,1/('Feijão 2ª safra'!$E69:INDEX('Feijão 2ª safra'!$E69:$Z69,MIN(AO$6-$G$3,22))&lt;&gt;""),'Feijão 2ª safra'!$E69:INDEX('Feijão 2ª safra'!$E69:$Z69,MIN(AO$6-$G$3,22))),0)))))</f>
        <v>0</v>
      </c>
      <c r="AP71" s="27" t="n">
        <f aca="false">IF(COUNT('Feijão 2ª safra'!$E69:$Z69)=0,0,MAX(0,IF((AP$6-$E$3)&lt;1,0,IFERROR(LOOKUP(2,1/('Feijão 2ª safra'!$E69:INDEX('Feijão 2ª safra'!$E69:$Z69,MIN(AP$6-$E$3,22))&lt;&gt;""),'Feijão 2ª safra'!$E69:INDEX('Feijão 2ª safra'!$E69:$Z69,MIN(AP$6-$E$3,22))),0))-IF($G$2,0,IF((AP$6-$G$3)&lt;1,0,IFERROR(LOOKUP(2,1/('Feijão 2ª safra'!$E69:INDEX('Feijão 2ª safra'!$E69:$Z69,MIN(AP$6-$G$3,22))&lt;&gt;""),'Feijão 2ª safra'!$E69:INDEX('Feijão 2ª safra'!$E69:$Z69,MIN(AP$6-$G$3,22))),0)))))</f>
        <v>0</v>
      </c>
      <c r="AQ71" s="27" t="n">
        <f aca="false">IF(COUNT('Feijão 2ª safra'!$E69:$Z69)=0,0,MAX(0,IF((AQ$6-$E$3)&lt;1,0,IFERROR(LOOKUP(2,1/('Feijão 2ª safra'!$E69:INDEX('Feijão 2ª safra'!$E69:$Z69,MIN(AQ$6-$E$3,22))&lt;&gt;""),'Feijão 2ª safra'!$E69:INDEX('Feijão 2ª safra'!$E69:$Z69,MIN(AQ$6-$E$3,22))),0))-IF($G$2,0,IF((AQ$6-$G$3)&lt;1,0,IFERROR(LOOKUP(2,1/('Feijão 2ª safra'!$E69:INDEX('Feijão 2ª safra'!$E69:$Z69,MIN(AQ$6-$G$3,22))&lt;&gt;""),'Feijão 2ª safra'!$E69:INDEX('Feijão 2ª safra'!$E69:$Z69,MIN(AQ$6-$G$3,22))),0)))))</f>
        <v>0</v>
      </c>
      <c r="AR71" s="27" t="n">
        <f aca="false">IF(COUNT('Feijão 2ª safra'!$E69:$Z69)=0,0,MAX(0,IF((AR$6-$E$3)&lt;1,0,IFERROR(LOOKUP(2,1/('Feijão 2ª safra'!$E69:INDEX('Feijão 2ª safra'!$E69:$Z69,MIN(AR$6-$E$3,22))&lt;&gt;""),'Feijão 2ª safra'!$E69:INDEX('Feijão 2ª safra'!$E69:$Z69,MIN(AR$6-$E$3,22))),0))-IF($G$2,0,IF((AR$6-$G$3)&lt;1,0,IFERROR(LOOKUP(2,1/('Feijão 2ª safra'!$E69:INDEX('Feijão 2ª safra'!$E69:$Z69,MIN(AR$6-$G$3,22))&lt;&gt;""),'Feijão 2ª safra'!$E69:INDEX('Feijão 2ª safra'!$E69:$Z69,MIN(AR$6-$G$3,22))),0)))))</f>
        <v>0</v>
      </c>
      <c r="AS71" s="27" t="n">
        <f aca="false">IF(COUNT('Feijão 2ª safra'!$E69:$Z69)=0,0,MAX(0,IF((AS$6-$E$3)&lt;1,0,IFERROR(LOOKUP(2,1/('Feijão 2ª safra'!$E69:INDEX('Feijão 2ª safra'!$E69:$Z69,MIN(AS$6-$E$3,22))&lt;&gt;""),'Feijão 2ª safra'!$E69:INDEX('Feijão 2ª safra'!$E69:$Z69,MIN(AS$6-$E$3,22))),0))-IF($G$2,0,IF((AS$6-$G$3)&lt;1,0,IFERROR(LOOKUP(2,1/('Feijão 2ª safra'!$E69:INDEX('Feijão 2ª safra'!$E69:$Z69,MIN(AS$6-$G$3,22))&lt;&gt;""),'Feijão 2ª safra'!$E69:INDEX('Feijão 2ª safra'!$E69:$Z69,MIN(AS$6-$G$3,22))),0)))))</f>
        <v>0</v>
      </c>
      <c r="AT71" s="27" t="n">
        <f aca="false">IF(COUNT('Feijão 2ª safra'!$E69:$Z69)=0,0,MAX(0,IF((AT$6-$E$3)&lt;1,0,IFERROR(LOOKUP(2,1/('Feijão 2ª safra'!$E69:INDEX('Feijão 2ª safra'!$E69:$Z69,MIN(AT$6-$E$3,22))&lt;&gt;""),'Feijão 2ª safra'!$E69:INDEX('Feijão 2ª safra'!$E69:$Z69,MIN(AT$6-$E$3,22))),0))-IF($G$2,0,IF((AT$6-$G$3)&lt;1,0,IFERROR(LOOKUP(2,1/('Feijão 2ª safra'!$E69:INDEX('Feijão 2ª safra'!$E69:$Z69,MIN(AT$6-$G$3,22))&lt;&gt;""),'Feijão 2ª safra'!$E69:INDEX('Feijão 2ª safra'!$E69:$Z69,MIN(AT$6-$G$3,22))),0)))))</f>
        <v>0</v>
      </c>
      <c r="AU71" s="27" t="n">
        <f aca="false">IF(COUNT('Feijão 2ª safra'!$E69:$Z69)=0,0,MAX(0,IF((AU$6-$E$3)&lt;1,0,IFERROR(LOOKUP(2,1/('Feijão 2ª safra'!$E69:INDEX('Feijão 2ª safra'!$E69:$Z69,MIN(AU$6-$E$3,22))&lt;&gt;""),'Feijão 2ª safra'!$E69:INDEX('Feijão 2ª safra'!$E69:$Z69,MIN(AU$6-$E$3,22))),0))-IF($G$2,0,IF((AU$6-$G$3)&lt;1,0,IFERROR(LOOKUP(2,1/('Feijão 2ª safra'!$E69:INDEX('Feijão 2ª safra'!$E69:$Z69,MIN(AU$6-$G$3,22))&lt;&gt;""),'Feijão 2ª safra'!$E69:INDEX('Feijão 2ª safra'!$E69:$Z69,MIN(AU$6-$G$3,22))),0)))))</f>
        <v>0</v>
      </c>
      <c r="AV71" s="27" t="n">
        <f aca="false">IF(COUNT('Feijão 2ª safra'!$E69:$Z69)=0,0,MAX(0,IF((AV$6-$E$3)&lt;1,0,IFERROR(LOOKUP(2,1/('Feijão 2ª safra'!$E69:INDEX('Feijão 2ª safra'!$E69:$Z69,MIN(AV$6-$E$3,22))&lt;&gt;""),'Feijão 2ª safra'!$E69:INDEX('Feijão 2ª safra'!$E69:$Z69,MIN(AV$6-$E$3,22))),0))-IF($G$2,0,IF((AV$6-$G$3)&lt;1,0,IFERROR(LOOKUP(2,1/('Feijão 2ª safra'!$E69:INDEX('Feijão 2ª safra'!$E69:$Z69,MIN(AV$6-$G$3,22))&lt;&gt;""),'Feijão 2ª safra'!$E69:INDEX('Feijão 2ª safra'!$E69:$Z69,MIN(AV$6-$G$3,22))),0)))))</f>
        <v>0</v>
      </c>
      <c r="AW71" s="27" t="n">
        <f aca="false">IF(COUNT('Feijão 2ª safra'!$E69:$Z69)=0,0,MAX(0,IF((AW$6-$E$3)&lt;1,0,IFERROR(LOOKUP(2,1/('Feijão 2ª safra'!$E69:INDEX('Feijão 2ª safra'!$E69:$Z69,MIN(AW$6-$E$3,22))&lt;&gt;""),'Feijão 2ª safra'!$E69:INDEX('Feijão 2ª safra'!$E69:$Z69,MIN(AW$6-$E$3,22))),0))-IF($G$2,0,IF((AW$6-$G$3)&lt;1,0,IFERROR(LOOKUP(2,1/('Feijão 2ª safra'!$E69:INDEX('Feijão 2ª safra'!$E69:$Z69,MIN(AW$6-$G$3,22))&lt;&gt;""),'Feijão 2ª safra'!$E69:INDEX('Feijão 2ª safra'!$E69:$Z69,MIN(AW$6-$G$3,22))),0)))))</f>
        <v>0</v>
      </c>
      <c r="AX71" s="27" t="n">
        <f aca="false">IF(COUNT('Feijão 2ª safra'!$E69:$Z69)=0,0,MAX(0,IF((AX$6-$E$3)&lt;1,0,IFERROR(LOOKUP(2,1/('Feijão 2ª safra'!$E69:INDEX('Feijão 2ª safra'!$E69:$Z69,MIN(AX$6-$E$3,22))&lt;&gt;""),'Feijão 2ª safra'!$E69:INDEX('Feijão 2ª safra'!$E69:$Z69,MIN(AX$6-$E$3,22))),0))-IF($G$2,0,IF((AX$6-$G$3)&lt;1,0,IFERROR(LOOKUP(2,1/('Feijão 2ª safra'!$E69:INDEX('Feijão 2ª safra'!$E69:$Z69,MIN(AX$6-$G$3,22))&lt;&gt;""),'Feijão 2ª safra'!$E69:INDEX('Feijão 2ª safra'!$E69:$Z69,MIN(AX$6-$G$3,22))),0)))))</f>
        <v>0</v>
      </c>
      <c r="AY71" s="27" t="n">
        <f aca="false">IF(COUNT('Feijão 2ª safra'!$E69:$Z69)=0,0,MAX(0,IF((AY$6-$E$3)&lt;1,0,IFERROR(LOOKUP(2,1/('Feijão 2ª safra'!$E69:INDEX('Feijão 2ª safra'!$E69:$Z69,MIN(AY$6-$E$3,22))&lt;&gt;""),'Feijão 2ª safra'!$E69:INDEX('Feijão 2ª safra'!$E69:$Z69,MIN(AY$6-$E$3,22))),0))-IF($G$2,0,IF((AY$6-$G$3)&lt;1,0,IFERROR(LOOKUP(2,1/('Feijão 2ª safra'!$E69:INDEX('Feijão 2ª safra'!$E69:$Z69,MIN(AY$6-$G$3,22))&lt;&gt;""),'Feijão 2ª safra'!$E69:INDEX('Feijão 2ª safra'!$E69:$Z69,MIN(AY$6-$G$3,22))),0)))))</f>
        <v>0</v>
      </c>
      <c r="AZ71" s="27" t="n">
        <f aca="false">IF(COUNT('Feijão 2ª safra'!$E69:$Z69)=0,0,MAX(0,IF((AZ$6-$E$3)&lt;1,0,IFERROR(LOOKUP(2,1/('Feijão 2ª safra'!$E69:INDEX('Feijão 2ª safra'!$E69:$Z69,MIN(AZ$6-$E$3,22))&lt;&gt;""),'Feijão 2ª safra'!$E69:INDEX('Feijão 2ª safra'!$E69:$Z69,MIN(AZ$6-$E$3,22))),0))-IF($G$2,0,IF((AZ$6-$G$3)&lt;1,0,IFERROR(LOOKUP(2,1/('Feijão 2ª safra'!$E69:INDEX('Feijão 2ª safra'!$E69:$Z69,MIN(AZ$6-$G$3,22))&lt;&gt;""),'Feijão 2ª safra'!$E69:INDEX('Feijão 2ª safra'!$E69:$Z69,MIN(AZ$6-$G$3,22))),0)))))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IF(COUNT('Feijão 2ª safra'!$E70:$Z70)&gt;0,N('Feijão 2ª safra'!$D70),0)</f>
        <v>0</v>
      </c>
      <c r="E72" s="27" t="n">
        <f aca="false">IF(COUNT('Feijão 2ª safra'!$E70:$Z70)=0,0,MAX(0,IF((E$6-$E$3)&lt;1,0,IFERROR(LOOKUP(2,1/('Feijão 2ª safra'!$E70:INDEX('Feijão 2ª safra'!$E70:$Z70,MIN(E$6-$E$3,22))&lt;&gt;""),'Feijão 2ª safra'!$E70:INDEX('Feijão 2ª safra'!$E70:$Z70,MIN(E$6-$E$3,22))),0))-IF($G$2,0,IF((E$6-$G$3)&lt;1,0,IFERROR(LOOKUP(2,1/('Feijão 2ª safra'!$E70:INDEX('Feijão 2ª safra'!$E70:$Z70,MIN(E$6-$G$3,22))&lt;&gt;""),'Feijão 2ª safra'!$E70:INDEX('Feijão 2ª safra'!$E70:$Z70,MIN(E$6-$G$3,22))),0)))))</f>
        <v>0</v>
      </c>
      <c r="F72" s="27" t="n">
        <f aca="false">IF(COUNT('Feijão 2ª safra'!$E70:$Z70)=0,0,MAX(0,IF((F$6-$E$3)&lt;1,0,IFERROR(LOOKUP(2,1/('Feijão 2ª safra'!$E70:INDEX('Feijão 2ª safra'!$E70:$Z70,MIN(F$6-$E$3,22))&lt;&gt;""),'Feijão 2ª safra'!$E70:INDEX('Feijão 2ª safra'!$E70:$Z70,MIN(F$6-$E$3,22))),0))-IF($G$2,0,IF((F$6-$G$3)&lt;1,0,IFERROR(LOOKUP(2,1/('Feijão 2ª safra'!$E70:INDEX('Feijão 2ª safra'!$E70:$Z70,MIN(F$6-$G$3,22))&lt;&gt;""),'Feijão 2ª safra'!$E70:INDEX('Feijão 2ª safra'!$E70:$Z70,MIN(F$6-$G$3,22))),0)))))</f>
        <v>0</v>
      </c>
      <c r="G72" s="27" t="n">
        <f aca="false">IF(COUNT('Feijão 2ª safra'!$E70:$Z70)=0,0,MAX(0,IF((G$6-$E$3)&lt;1,0,IFERROR(LOOKUP(2,1/('Feijão 2ª safra'!$E70:INDEX('Feijão 2ª safra'!$E70:$Z70,MIN(G$6-$E$3,22))&lt;&gt;""),'Feijão 2ª safra'!$E70:INDEX('Feijão 2ª safra'!$E70:$Z70,MIN(G$6-$E$3,22))),0))-IF($G$2,0,IF((G$6-$G$3)&lt;1,0,IFERROR(LOOKUP(2,1/('Feijão 2ª safra'!$E70:INDEX('Feijão 2ª safra'!$E70:$Z70,MIN(G$6-$G$3,22))&lt;&gt;""),'Feijão 2ª safra'!$E70:INDEX('Feijão 2ª safra'!$E70:$Z70,MIN(G$6-$G$3,22))),0)))))</f>
        <v>0</v>
      </c>
      <c r="H72" s="27" t="n">
        <f aca="false">IF(COUNT('Feijão 2ª safra'!$E70:$Z70)=0,0,MAX(0,IF((H$6-$E$3)&lt;1,0,IFERROR(LOOKUP(2,1/('Feijão 2ª safra'!$E70:INDEX('Feijão 2ª safra'!$E70:$Z70,MIN(H$6-$E$3,22))&lt;&gt;""),'Feijão 2ª safra'!$E70:INDEX('Feijão 2ª safra'!$E70:$Z70,MIN(H$6-$E$3,22))),0))-IF($G$2,0,IF((H$6-$G$3)&lt;1,0,IFERROR(LOOKUP(2,1/('Feijão 2ª safra'!$E70:INDEX('Feijão 2ª safra'!$E70:$Z70,MIN(H$6-$G$3,22))&lt;&gt;""),'Feijão 2ª safra'!$E70:INDEX('Feijão 2ª safra'!$E70:$Z70,MIN(H$6-$G$3,22))),0)))))</f>
        <v>0</v>
      </c>
      <c r="I72" s="27" t="n">
        <f aca="false">IF(COUNT('Feijão 2ª safra'!$E70:$Z70)=0,0,MAX(0,IF((I$6-$E$3)&lt;1,0,IFERROR(LOOKUP(2,1/('Feijão 2ª safra'!$E70:INDEX('Feijão 2ª safra'!$E70:$Z70,MIN(I$6-$E$3,22))&lt;&gt;""),'Feijão 2ª safra'!$E70:INDEX('Feijão 2ª safra'!$E70:$Z70,MIN(I$6-$E$3,22))),0))-IF($G$2,0,IF((I$6-$G$3)&lt;1,0,IFERROR(LOOKUP(2,1/('Feijão 2ª safra'!$E70:INDEX('Feijão 2ª safra'!$E70:$Z70,MIN(I$6-$G$3,22))&lt;&gt;""),'Feijão 2ª safra'!$E70:INDEX('Feijão 2ª safra'!$E70:$Z70,MIN(I$6-$G$3,22))),0)))))</f>
        <v>0</v>
      </c>
      <c r="J72" s="27" t="n">
        <f aca="false">IF(COUNT('Feijão 2ª safra'!$E70:$Z70)=0,0,MAX(0,IF((J$6-$E$3)&lt;1,0,IFERROR(LOOKUP(2,1/('Feijão 2ª safra'!$E70:INDEX('Feijão 2ª safra'!$E70:$Z70,MIN(J$6-$E$3,22))&lt;&gt;""),'Feijão 2ª safra'!$E70:INDEX('Feijão 2ª safra'!$E70:$Z70,MIN(J$6-$E$3,22))),0))-IF($G$2,0,IF((J$6-$G$3)&lt;1,0,IFERROR(LOOKUP(2,1/('Feijão 2ª safra'!$E70:INDEX('Feijão 2ª safra'!$E70:$Z70,MIN(J$6-$G$3,22))&lt;&gt;""),'Feijão 2ª safra'!$E70:INDEX('Feijão 2ª safra'!$E70:$Z70,MIN(J$6-$G$3,22))),0)))))</f>
        <v>0</v>
      </c>
      <c r="K72" s="27" t="n">
        <f aca="false">IF(COUNT('Feijão 2ª safra'!$E70:$Z70)=0,0,MAX(0,IF((K$6-$E$3)&lt;1,0,IFERROR(LOOKUP(2,1/('Feijão 2ª safra'!$E70:INDEX('Feijão 2ª safra'!$E70:$Z70,MIN(K$6-$E$3,22))&lt;&gt;""),'Feijão 2ª safra'!$E70:INDEX('Feijão 2ª safra'!$E70:$Z70,MIN(K$6-$E$3,22))),0))-IF($G$2,0,IF((K$6-$G$3)&lt;1,0,IFERROR(LOOKUP(2,1/('Feijão 2ª safra'!$E70:INDEX('Feijão 2ª safra'!$E70:$Z70,MIN(K$6-$G$3,22))&lt;&gt;""),'Feijão 2ª safra'!$E70:INDEX('Feijão 2ª safra'!$E70:$Z70,MIN(K$6-$G$3,22))),0)))))</f>
        <v>0</v>
      </c>
      <c r="L72" s="27" t="n">
        <f aca="false">IF(COUNT('Feijão 2ª safra'!$E70:$Z70)=0,0,MAX(0,IF((L$6-$E$3)&lt;1,0,IFERROR(LOOKUP(2,1/('Feijão 2ª safra'!$E70:INDEX('Feijão 2ª safra'!$E70:$Z70,MIN(L$6-$E$3,22))&lt;&gt;""),'Feijão 2ª safra'!$E70:INDEX('Feijão 2ª safra'!$E70:$Z70,MIN(L$6-$E$3,22))),0))-IF($G$2,0,IF((L$6-$G$3)&lt;1,0,IFERROR(LOOKUP(2,1/('Feijão 2ª safra'!$E70:INDEX('Feijão 2ª safra'!$E70:$Z70,MIN(L$6-$G$3,22))&lt;&gt;""),'Feijão 2ª safra'!$E70:INDEX('Feijão 2ª safra'!$E70:$Z70,MIN(L$6-$G$3,22))),0)))))</f>
        <v>0</v>
      </c>
      <c r="M72" s="27" t="n">
        <f aca="false">IF(COUNT('Feijão 2ª safra'!$E70:$Z70)=0,0,MAX(0,IF((M$6-$E$3)&lt;1,0,IFERROR(LOOKUP(2,1/('Feijão 2ª safra'!$E70:INDEX('Feijão 2ª safra'!$E70:$Z70,MIN(M$6-$E$3,22))&lt;&gt;""),'Feijão 2ª safra'!$E70:INDEX('Feijão 2ª safra'!$E70:$Z70,MIN(M$6-$E$3,22))),0))-IF($G$2,0,IF((M$6-$G$3)&lt;1,0,IFERROR(LOOKUP(2,1/('Feijão 2ª safra'!$E70:INDEX('Feijão 2ª safra'!$E70:$Z70,MIN(M$6-$G$3,22))&lt;&gt;""),'Feijão 2ª safra'!$E70:INDEX('Feijão 2ª safra'!$E70:$Z70,MIN(M$6-$G$3,22))),0)))))</f>
        <v>0</v>
      </c>
      <c r="N72" s="27" t="n">
        <f aca="false">IF(COUNT('Feijão 2ª safra'!$E70:$Z70)=0,0,MAX(0,IF((N$6-$E$3)&lt;1,0,IFERROR(LOOKUP(2,1/('Feijão 2ª safra'!$E70:INDEX('Feijão 2ª safra'!$E70:$Z70,MIN(N$6-$E$3,22))&lt;&gt;""),'Feijão 2ª safra'!$E70:INDEX('Feijão 2ª safra'!$E70:$Z70,MIN(N$6-$E$3,22))),0))-IF($G$2,0,IF((N$6-$G$3)&lt;1,0,IFERROR(LOOKUP(2,1/('Feijão 2ª safra'!$E70:INDEX('Feijão 2ª safra'!$E70:$Z70,MIN(N$6-$G$3,22))&lt;&gt;""),'Feijão 2ª safra'!$E70:INDEX('Feijão 2ª safra'!$E70:$Z70,MIN(N$6-$G$3,22))),0)))))</f>
        <v>0</v>
      </c>
      <c r="O72" s="27" t="n">
        <f aca="false">IF(COUNT('Feijão 2ª safra'!$E70:$Z70)=0,0,MAX(0,IF((O$6-$E$3)&lt;1,0,IFERROR(LOOKUP(2,1/('Feijão 2ª safra'!$E70:INDEX('Feijão 2ª safra'!$E70:$Z70,MIN(O$6-$E$3,22))&lt;&gt;""),'Feijão 2ª safra'!$E70:INDEX('Feijão 2ª safra'!$E70:$Z70,MIN(O$6-$E$3,22))),0))-IF($G$2,0,IF((O$6-$G$3)&lt;1,0,IFERROR(LOOKUP(2,1/('Feijão 2ª safra'!$E70:INDEX('Feijão 2ª safra'!$E70:$Z70,MIN(O$6-$G$3,22))&lt;&gt;""),'Feijão 2ª safra'!$E70:INDEX('Feijão 2ª safra'!$E70:$Z70,MIN(O$6-$G$3,22))),0)))))</f>
        <v>0</v>
      </c>
      <c r="P72" s="27" t="n">
        <f aca="false">IF(COUNT('Feijão 2ª safra'!$E70:$Z70)=0,0,MAX(0,IF((P$6-$E$3)&lt;1,0,IFERROR(LOOKUP(2,1/('Feijão 2ª safra'!$E70:INDEX('Feijão 2ª safra'!$E70:$Z70,MIN(P$6-$E$3,22))&lt;&gt;""),'Feijão 2ª safra'!$E70:INDEX('Feijão 2ª safra'!$E70:$Z70,MIN(P$6-$E$3,22))),0))-IF($G$2,0,IF((P$6-$G$3)&lt;1,0,IFERROR(LOOKUP(2,1/('Feijão 2ª safra'!$E70:INDEX('Feijão 2ª safra'!$E70:$Z70,MIN(P$6-$G$3,22))&lt;&gt;""),'Feijão 2ª safra'!$E70:INDEX('Feijão 2ª safra'!$E70:$Z70,MIN(P$6-$G$3,22))),0)))))</f>
        <v>0</v>
      </c>
      <c r="Q72" s="27" t="n">
        <f aca="false">IF(COUNT('Feijão 2ª safra'!$E70:$Z70)=0,0,MAX(0,IF((Q$6-$E$3)&lt;1,0,IFERROR(LOOKUP(2,1/('Feijão 2ª safra'!$E70:INDEX('Feijão 2ª safra'!$E70:$Z70,MIN(Q$6-$E$3,22))&lt;&gt;""),'Feijão 2ª safra'!$E70:INDEX('Feijão 2ª safra'!$E70:$Z70,MIN(Q$6-$E$3,22))),0))-IF($G$2,0,IF((Q$6-$G$3)&lt;1,0,IFERROR(LOOKUP(2,1/('Feijão 2ª safra'!$E70:INDEX('Feijão 2ª safra'!$E70:$Z70,MIN(Q$6-$G$3,22))&lt;&gt;""),'Feijão 2ª safra'!$E70:INDEX('Feijão 2ª safra'!$E70:$Z70,MIN(Q$6-$G$3,22))),0)))))</f>
        <v>0</v>
      </c>
      <c r="R72" s="27" t="n">
        <f aca="false">IF(COUNT('Feijão 2ª safra'!$E70:$Z70)=0,0,MAX(0,IF((R$6-$E$3)&lt;1,0,IFERROR(LOOKUP(2,1/('Feijão 2ª safra'!$E70:INDEX('Feijão 2ª safra'!$E70:$Z70,MIN(R$6-$E$3,22))&lt;&gt;""),'Feijão 2ª safra'!$E70:INDEX('Feijão 2ª safra'!$E70:$Z70,MIN(R$6-$E$3,22))),0))-IF($G$2,0,IF((R$6-$G$3)&lt;1,0,IFERROR(LOOKUP(2,1/('Feijão 2ª safra'!$E70:INDEX('Feijão 2ª safra'!$E70:$Z70,MIN(R$6-$G$3,22))&lt;&gt;""),'Feijão 2ª safra'!$E70:INDEX('Feijão 2ª safra'!$E70:$Z70,MIN(R$6-$G$3,22))),0)))))</f>
        <v>0</v>
      </c>
      <c r="S72" s="27" t="n">
        <f aca="false">IF(COUNT('Feijão 2ª safra'!$E70:$Z70)=0,0,MAX(0,IF((S$6-$E$3)&lt;1,0,IFERROR(LOOKUP(2,1/('Feijão 2ª safra'!$E70:INDEX('Feijão 2ª safra'!$E70:$Z70,MIN(S$6-$E$3,22))&lt;&gt;""),'Feijão 2ª safra'!$E70:INDEX('Feijão 2ª safra'!$E70:$Z70,MIN(S$6-$E$3,22))),0))-IF($G$2,0,IF((S$6-$G$3)&lt;1,0,IFERROR(LOOKUP(2,1/('Feijão 2ª safra'!$E70:INDEX('Feijão 2ª safra'!$E70:$Z70,MIN(S$6-$G$3,22))&lt;&gt;""),'Feijão 2ª safra'!$E70:INDEX('Feijão 2ª safra'!$E70:$Z70,MIN(S$6-$G$3,22))),0)))))</f>
        <v>0</v>
      </c>
      <c r="T72" s="27" t="n">
        <f aca="false">IF(COUNT('Feijão 2ª safra'!$E70:$Z70)=0,0,MAX(0,IF((T$6-$E$3)&lt;1,0,IFERROR(LOOKUP(2,1/('Feijão 2ª safra'!$E70:INDEX('Feijão 2ª safra'!$E70:$Z70,MIN(T$6-$E$3,22))&lt;&gt;""),'Feijão 2ª safra'!$E70:INDEX('Feijão 2ª safra'!$E70:$Z70,MIN(T$6-$E$3,22))),0))-IF($G$2,0,IF((T$6-$G$3)&lt;1,0,IFERROR(LOOKUP(2,1/('Feijão 2ª safra'!$E70:INDEX('Feijão 2ª safra'!$E70:$Z70,MIN(T$6-$G$3,22))&lt;&gt;""),'Feijão 2ª safra'!$E70:INDEX('Feijão 2ª safra'!$E70:$Z70,MIN(T$6-$G$3,22))),0)))))</f>
        <v>0</v>
      </c>
      <c r="U72" s="27" t="n">
        <f aca="false">IF(COUNT('Feijão 2ª safra'!$E70:$Z70)=0,0,MAX(0,IF((U$6-$E$3)&lt;1,0,IFERROR(LOOKUP(2,1/('Feijão 2ª safra'!$E70:INDEX('Feijão 2ª safra'!$E70:$Z70,MIN(U$6-$E$3,22))&lt;&gt;""),'Feijão 2ª safra'!$E70:INDEX('Feijão 2ª safra'!$E70:$Z70,MIN(U$6-$E$3,22))),0))-IF($G$2,0,IF((U$6-$G$3)&lt;1,0,IFERROR(LOOKUP(2,1/('Feijão 2ª safra'!$E70:INDEX('Feijão 2ª safra'!$E70:$Z70,MIN(U$6-$G$3,22))&lt;&gt;""),'Feijão 2ª safra'!$E70:INDEX('Feijão 2ª safra'!$E70:$Z70,MIN(U$6-$G$3,22))),0)))))</f>
        <v>0</v>
      </c>
      <c r="V72" s="27" t="n">
        <f aca="false">IF(COUNT('Feijão 2ª safra'!$E70:$Z70)=0,0,MAX(0,IF((V$6-$E$3)&lt;1,0,IFERROR(LOOKUP(2,1/('Feijão 2ª safra'!$E70:INDEX('Feijão 2ª safra'!$E70:$Z70,MIN(V$6-$E$3,22))&lt;&gt;""),'Feijão 2ª safra'!$E70:INDEX('Feijão 2ª safra'!$E70:$Z70,MIN(V$6-$E$3,22))),0))-IF($G$2,0,IF((V$6-$G$3)&lt;1,0,IFERROR(LOOKUP(2,1/('Feijão 2ª safra'!$E70:INDEX('Feijão 2ª safra'!$E70:$Z70,MIN(V$6-$G$3,22))&lt;&gt;""),'Feijão 2ª safra'!$E70:INDEX('Feijão 2ª safra'!$E70:$Z70,MIN(V$6-$G$3,22))),0)))))</f>
        <v>0</v>
      </c>
      <c r="W72" s="27" t="n">
        <f aca="false">IF(COUNT('Feijão 2ª safra'!$E70:$Z70)=0,0,MAX(0,IF((W$6-$E$3)&lt;1,0,IFERROR(LOOKUP(2,1/('Feijão 2ª safra'!$E70:INDEX('Feijão 2ª safra'!$E70:$Z70,MIN(W$6-$E$3,22))&lt;&gt;""),'Feijão 2ª safra'!$E70:INDEX('Feijão 2ª safra'!$E70:$Z70,MIN(W$6-$E$3,22))),0))-IF($G$2,0,IF((W$6-$G$3)&lt;1,0,IFERROR(LOOKUP(2,1/('Feijão 2ª safra'!$E70:INDEX('Feijão 2ª safra'!$E70:$Z70,MIN(W$6-$G$3,22))&lt;&gt;""),'Feijão 2ª safra'!$E70:INDEX('Feijão 2ª safra'!$E70:$Z70,MIN(W$6-$G$3,22))),0)))))</f>
        <v>0</v>
      </c>
      <c r="X72" s="27" t="n">
        <f aca="false">IF(COUNT('Feijão 2ª safra'!$E70:$Z70)=0,0,MAX(0,IF((X$6-$E$3)&lt;1,0,IFERROR(LOOKUP(2,1/('Feijão 2ª safra'!$E70:INDEX('Feijão 2ª safra'!$E70:$Z70,MIN(X$6-$E$3,22))&lt;&gt;""),'Feijão 2ª safra'!$E70:INDEX('Feijão 2ª safra'!$E70:$Z70,MIN(X$6-$E$3,22))),0))-IF($G$2,0,IF((X$6-$G$3)&lt;1,0,IFERROR(LOOKUP(2,1/('Feijão 2ª safra'!$E70:INDEX('Feijão 2ª safra'!$E70:$Z70,MIN(X$6-$G$3,22))&lt;&gt;""),'Feijão 2ª safra'!$E70:INDEX('Feijão 2ª safra'!$E70:$Z70,MIN(X$6-$G$3,22))),0)))))</f>
        <v>0</v>
      </c>
      <c r="Y72" s="27" t="n">
        <f aca="false">IF(COUNT('Feijão 2ª safra'!$E70:$Z70)=0,0,MAX(0,IF((Y$6-$E$3)&lt;1,0,IFERROR(LOOKUP(2,1/('Feijão 2ª safra'!$E70:INDEX('Feijão 2ª safra'!$E70:$Z70,MIN(Y$6-$E$3,22))&lt;&gt;""),'Feijão 2ª safra'!$E70:INDEX('Feijão 2ª safra'!$E70:$Z70,MIN(Y$6-$E$3,22))),0))-IF($G$2,0,IF((Y$6-$G$3)&lt;1,0,IFERROR(LOOKUP(2,1/('Feijão 2ª safra'!$E70:INDEX('Feijão 2ª safra'!$E70:$Z70,MIN(Y$6-$G$3,22))&lt;&gt;""),'Feijão 2ª safra'!$E70:INDEX('Feijão 2ª safra'!$E70:$Z70,MIN(Y$6-$G$3,22))),0)))))</f>
        <v>0</v>
      </c>
      <c r="Z72" s="27" t="n">
        <f aca="false">IF(COUNT('Feijão 2ª safra'!$E70:$Z70)=0,0,MAX(0,IF((Z$6-$E$3)&lt;1,0,IFERROR(LOOKUP(2,1/('Feijão 2ª safra'!$E70:INDEX('Feijão 2ª safra'!$E70:$Z70,MIN(Z$6-$E$3,22))&lt;&gt;""),'Feijão 2ª safra'!$E70:INDEX('Feijão 2ª safra'!$E70:$Z70,MIN(Z$6-$E$3,22))),0))-IF($G$2,0,IF((Z$6-$G$3)&lt;1,0,IFERROR(LOOKUP(2,1/('Feijão 2ª safra'!$E70:INDEX('Feijão 2ª safra'!$E70:$Z70,MIN(Z$6-$G$3,22))&lt;&gt;""),'Feijão 2ª safra'!$E70:INDEX('Feijão 2ª safra'!$E70:$Z70,MIN(Z$6-$G$3,22))),0)))))</f>
        <v>0</v>
      </c>
      <c r="AA72" s="27" t="n">
        <f aca="false">IF(COUNT('Feijão 2ª safra'!$E70:$Z70)=0,0,MAX(0,IF((AA$6-$E$3)&lt;1,0,IFERROR(LOOKUP(2,1/('Feijão 2ª safra'!$E70:INDEX('Feijão 2ª safra'!$E70:$Z70,MIN(AA$6-$E$3,22))&lt;&gt;""),'Feijão 2ª safra'!$E70:INDEX('Feijão 2ª safra'!$E70:$Z70,MIN(AA$6-$E$3,22))),0))-IF($G$2,0,IF((AA$6-$G$3)&lt;1,0,IFERROR(LOOKUP(2,1/('Feijão 2ª safra'!$E70:INDEX('Feijão 2ª safra'!$E70:$Z70,MIN(AA$6-$G$3,22))&lt;&gt;""),'Feijão 2ª safra'!$E70:INDEX('Feijão 2ª safra'!$E70:$Z70,MIN(AA$6-$G$3,22))),0)))))</f>
        <v>0</v>
      </c>
      <c r="AB72" s="27" t="n">
        <f aca="false">IF(COUNT('Feijão 2ª safra'!$E70:$Z70)=0,0,MAX(0,IF((AB$6-$E$3)&lt;1,0,IFERROR(LOOKUP(2,1/('Feijão 2ª safra'!$E70:INDEX('Feijão 2ª safra'!$E70:$Z70,MIN(AB$6-$E$3,22))&lt;&gt;""),'Feijão 2ª safra'!$E70:INDEX('Feijão 2ª safra'!$E70:$Z70,MIN(AB$6-$E$3,22))),0))-IF($G$2,0,IF((AB$6-$G$3)&lt;1,0,IFERROR(LOOKUP(2,1/('Feijão 2ª safra'!$E70:INDEX('Feijão 2ª safra'!$E70:$Z70,MIN(AB$6-$G$3,22))&lt;&gt;""),'Feijão 2ª safra'!$E70:INDEX('Feijão 2ª safra'!$E70:$Z70,MIN(AB$6-$G$3,22))),0)))))</f>
        <v>0</v>
      </c>
      <c r="AC72" s="27" t="n">
        <f aca="false">IF(COUNT('Feijão 2ª safra'!$E70:$Z70)=0,0,MAX(0,IF((AC$6-$E$3)&lt;1,0,IFERROR(LOOKUP(2,1/('Feijão 2ª safra'!$E70:INDEX('Feijão 2ª safra'!$E70:$Z70,MIN(AC$6-$E$3,22))&lt;&gt;""),'Feijão 2ª safra'!$E70:INDEX('Feijão 2ª safra'!$E70:$Z70,MIN(AC$6-$E$3,22))),0))-IF($G$2,0,IF((AC$6-$G$3)&lt;1,0,IFERROR(LOOKUP(2,1/('Feijão 2ª safra'!$E70:INDEX('Feijão 2ª safra'!$E70:$Z70,MIN(AC$6-$G$3,22))&lt;&gt;""),'Feijão 2ª safra'!$E70:INDEX('Feijão 2ª safra'!$E70:$Z70,MIN(AC$6-$G$3,22))),0)))))</f>
        <v>0</v>
      </c>
      <c r="AD72" s="27" t="n">
        <f aca="false">IF(COUNT('Feijão 2ª safra'!$E70:$Z70)=0,0,MAX(0,IF((AD$6-$E$3)&lt;1,0,IFERROR(LOOKUP(2,1/('Feijão 2ª safra'!$E70:INDEX('Feijão 2ª safra'!$E70:$Z70,MIN(AD$6-$E$3,22))&lt;&gt;""),'Feijão 2ª safra'!$E70:INDEX('Feijão 2ª safra'!$E70:$Z70,MIN(AD$6-$E$3,22))),0))-IF($G$2,0,IF((AD$6-$G$3)&lt;1,0,IFERROR(LOOKUP(2,1/('Feijão 2ª safra'!$E70:INDEX('Feijão 2ª safra'!$E70:$Z70,MIN(AD$6-$G$3,22))&lt;&gt;""),'Feijão 2ª safra'!$E70:INDEX('Feijão 2ª safra'!$E70:$Z70,MIN(AD$6-$G$3,22))),0)))))</f>
        <v>0</v>
      </c>
      <c r="AE72" s="27" t="n">
        <f aca="false">IF(COUNT('Feijão 2ª safra'!$E70:$Z70)=0,0,MAX(0,IF((AE$6-$E$3)&lt;1,0,IFERROR(LOOKUP(2,1/('Feijão 2ª safra'!$E70:INDEX('Feijão 2ª safra'!$E70:$Z70,MIN(AE$6-$E$3,22))&lt;&gt;""),'Feijão 2ª safra'!$E70:INDEX('Feijão 2ª safra'!$E70:$Z70,MIN(AE$6-$E$3,22))),0))-IF($G$2,0,IF((AE$6-$G$3)&lt;1,0,IFERROR(LOOKUP(2,1/('Feijão 2ª safra'!$E70:INDEX('Feijão 2ª safra'!$E70:$Z70,MIN(AE$6-$G$3,22))&lt;&gt;""),'Feijão 2ª safra'!$E70:INDEX('Feijão 2ª safra'!$E70:$Z70,MIN(AE$6-$G$3,22))),0)))))</f>
        <v>0</v>
      </c>
      <c r="AF72" s="27" t="n">
        <f aca="false">IF(COUNT('Feijão 2ª safra'!$E70:$Z70)=0,0,MAX(0,IF((AF$6-$E$3)&lt;1,0,IFERROR(LOOKUP(2,1/('Feijão 2ª safra'!$E70:INDEX('Feijão 2ª safra'!$E70:$Z70,MIN(AF$6-$E$3,22))&lt;&gt;""),'Feijão 2ª safra'!$E70:INDEX('Feijão 2ª safra'!$E70:$Z70,MIN(AF$6-$E$3,22))),0))-IF($G$2,0,IF((AF$6-$G$3)&lt;1,0,IFERROR(LOOKUP(2,1/('Feijão 2ª safra'!$E70:INDEX('Feijão 2ª safra'!$E70:$Z70,MIN(AF$6-$G$3,22))&lt;&gt;""),'Feijão 2ª safra'!$E70:INDEX('Feijão 2ª safra'!$E70:$Z70,MIN(AF$6-$G$3,22))),0)))))</f>
        <v>0</v>
      </c>
      <c r="AG72" s="27" t="n">
        <f aca="false">IF(COUNT('Feijão 2ª safra'!$E70:$Z70)=0,0,MAX(0,IF((AG$6-$E$3)&lt;1,0,IFERROR(LOOKUP(2,1/('Feijão 2ª safra'!$E70:INDEX('Feijão 2ª safra'!$E70:$Z70,MIN(AG$6-$E$3,22))&lt;&gt;""),'Feijão 2ª safra'!$E70:INDEX('Feijão 2ª safra'!$E70:$Z70,MIN(AG$6-$E$3,22))),0))-IF($G$2,0,IF((AG$6-$G$3)&lt;1,0,IFERROR(LOOKUP(2,1/('Feijão 2ª safra'!$E70:INDEX('Feijão 2ª safra'!$E70:$Z70,MIN(AG$6-$G$3,22))&lt;&gt;""),'Feijão 2ª safra'!$E70:INDEX('Feijão 2ª safra'!$E70:$Z70,MIN(AG$6-$G$3,22))),0)))))</f>
        <v>0</v>
      </c>
      <c r="AH72" s="27" t="n">
        <f aca="false">IF(COUNT('Feijão 2ª safra'!$E70:$Z70)=0,0,MAX(0,IF((AH$6-$E$3)&lt;1,0,IFERROR(LOOKUP(2,1/('Feijão 2ª safra'!$E70:INDEX('Feijão 2ª safra'!$E70:$Z70,MIN(AH$6-$E$3,22))&lt;&gt;""),'Feijão 2ª safra'!$E70:INDEX('Feijão 2ª safra'!$E70:$Z70,MIN(AH$6-$E$3,22))),0))-IF($G$2,0,IF((AH$6-$G$3)&lt;1,0,IFERROR(LOOKUP(2,1/('Feijão 2ª safra'!$E70:INDEX('Feijão 2ª safra'!$E70:$Z70,MIN(AH$6-$G$3,22))&lt;&gt;""),'Feijão 2ª safra'!$E70:INDEX('Feijão 2ª safra'!$E70:$Z70,MIN(AH$6-$G$3,22))),0)))))</f>
        <v>0</v>
      </c>
      <c r="AI72" s="27" t="n">
        <f aca="false">IF(COUNT('Feijão 2ª safra'!$E70:$Z70)=0,0,MAX(0,IF((AI$6-$E$3)&lt;1,0,IFERROR(LOOKUP(2,1/('Feijão 2ª safra'!$E70:INDEX('Feijão 2ª safra'!$E70:$Z70,MIN(AI$6-$E$3,22))&lt;&gt;""),'Feijão 2ª safra'!$E70:INDEX('Feijão 2ª safra'!$E70:$Z70,MIN(AI$6-$E$3,22))),0))-IF($G$2,0,IF((AI$6-$G$3)&lt;1,0,IFERROR(LOOKUP(2,1/('Feijão 2ª safra'!$E70:INDEX('Feijão 2ª safra'!$E70:$Z70,MIN(AI$6-$G$3,22))&lt;&gt;""),'Feijão 2ª safra'!$E70:INDEX('Feijão 2ª safra'!$E70:$Z70,MIN(AI$6-$G$3,22))),0)))))</f>
        <v>0</v>
      </c>
      <c r="AJ72" s="27" t="n">
        <f aca="false">IF(COUNT('Feijão 2ª safra'!$E70:$Z70)=0,0,MAX(0,IF((AJ$6-$E$3)&lt;1,0,IFERROR(LOOKUP(2,1/('Feijão 2ª safra'!$E70:INDEX('Feijão 2ª safra'!$E70:$Z70,MIN(AJ$6-$E$3,22))&lt;&gt;""),'Feijão 2ª safra'!$E70:INDEX('Feijão 2ª safra'!$E70:$Z70,MIN(AJ$6-$E$3,22))),0))-IF($G$2,0,IF((AJ$6-$G$3)&lt;1,0,IFERROR(LOOKUP(2,1/('Feijão 2ª safra'!$E70:INDEX('Feijão 2ª safra'!$E70:$Z70,MIN(AJ$6-$G$3,22))&lt;&gt;""),'Feijão 2ª safra'!$E70:INDEX('Feijão 2ª safra'!$E70:$Z70,MIN(AJ$6-$G$3,22))),0)))))</f>
        <v>0</v>
      </c>
      <c r="AK72" s="27" t="n">
        <f aca="false">IF(COUNT('Feijão 2ª safra'!$E70:$Z70)=0,0,MAX(0,IF((AK$6-$E$3)&lt;1,0,IFERROR(LOOKUP(2,1/('Feijão 2ª safra'!$E70:INDEX('Feijão 2ª safra'!$E70:$Z70,MIN(AK$6-$E$3,22))&lt;&gt;""),'Feijão 2ª safra'!$E70:INDEX('Feijão 2ª safra'!$E70:$Z70,MIN(AK$6-$E$3,22))),0))-IF($G$2,0,IF((AK$6-$G$3)&lt;1,0,IFERROR(LOOKUP(2,1/('Feijão 2ª safra'!$E70:INDEX('Feijão 2ª safra'!$E70:$Z70,MIN(AK$6-$G$3,22))&lt;&gt;""),'Feijão 2ª safra'!$E70:INDEX('Feijão 2ª safra'!$E70:$Z70,MIN(AK$6-$G$3,22))),0)))))</f>
        <v>0</v>
      </c>
      <c r="AL72" s="27" t="n">
        <f aca="false">IF(COUNT('Feijão 2ª safra'!$E70:$Z70)=0,0,MAX(0,IF((AL$6-$E$3)&lt;1,0,IFERROR(LOOKUP(2,1/('Feijão 2ª safra'!$E70:INDEX('Feijão 2ª safra'!$E70:$Z70,MIN(AL$6-$E$3,22))&lt;&gt;""),'Feijão 2ª safra'!$E70:INDEX('Feijão 2ª safra'!$E70:$Z70,MIN(AL$6-$E$3,22))),0))-IF($G$2,0,IF((AL$6-$G$3)&lt;1,0,IFERROR(LOOKUP(2,1/('Feijão 2ª safra'!$E70:INDEX('Feijão 2ª safra'!$E70:$Z70,MIN(AL$6-$G$3,22))&lt;&gt;""),'Feijão 2ª safra'!$E70:INDEX('Feijão 2ª safra'!$E70:$Z70,MIN(AL$6-$G$3,22))),0)))))</f>
        <v>0</v>
      </c>
      <c r="AM72" s="27" t="n">
        <f aca="false">IF(COUNT('Feijão 2ª safra'!$E70:$Z70)=0,0,MAX(0,IF((AM$6-$E$3)&lt;1,0,IFERROR(LOOKUP(2,1/('Feijão 2ª safra'!$E70:INDEX('Feijão 2ª safra'!$E70:$Z70,MIN(AM$6-$E$3,22))&lt;&gt;""),'Feijão 2ª safra'!$E70:INDEX('Feijão 2ª safra'!$E70:$Z70,MIN(AM$6-$E$3,22))),0))-IF($G$2,0,IF((AM$6-$G$3)&lt;1,0,IFERROR(LOOKUP(2,1/('Feijão 2ª safra'!$E70:INDEX('Feijão 2ª safra'!$E70:$Z70,MIN(AM$6-$G$3,22))&lt;&gt;""),'Feijão 2ª safra'!$E70:INDEX('Feijão 2ª safra'!$E70:$Z70,MIN(AM$6-$G$3,22))),0)))))</f>
        <v>0</v>
      </c>
      <c r="AN72" s="27" t="n">
        <f aca="false">IF(COUNT('Feijão 2ª safra'!$E70:$Z70)=0,0,MAX(0,IF((AN$6-$E$3)&lt;1,0,IFERROR(LOOKUP(2,1/('Feijão 2ª safra'!$E70:INDEX('Feijão 2ª safra'!$E70:$Z70,MIN(AN$6-$E$3,22))&lt;&gt;""),'Feijão 2ª safra'!$E70:INDEX('Feijão 2ª safra'!$E70:$Z70,MIN(AN$6-$E$3,22))),0))-IF($G$2,0,IF((AN$6-$G$3)&lt;1,0,IFERROR(LOOKUP(2,1/('Feijão 2ª safra'!$E70:INDEX('Feijão 2ª safra'!$E70:$Z70,MIN(AN$6-$G$3,22))&lt;&gt;""),'Feijão 2ª safra'!$E70:INDEX('Feijão 2ª safra'!$E70:$Z70,MIN(AN$6-$G$3,22))),0)))))</f>
        <v>0</v>
      </c>
      <c r="AO72" s="27" t="n">
        <f aca="false">IF(COUNT('Feijão 2ª safra'!$E70:$Z70)=0,0,MAX(0,IF((AO$6-$E$3)&lt;1,0,IFERROR(LOOKUP(2,1/('Feijão 2ª safra'!$E70:INDEX('Feijão 2ª safra'!$E70:$Z70,MIN(AO$6-$E$3,22))&lt;&gt;""),'Feijão 2ª safra'!$E70:INDEX('Feijão 2ª safra'!$E70:$Z70,MIN(AO$6-$E$3,22))),0))-IF($G$2,0,IF((AO$6-$G$3)&lt;1,0,IFERROR(LOOKUP(2,1/('Feijão 2ª safra'!$E70:INDEX('Feijão 2ª safra'!$E70:$Z70,MIN(AO$6-$G$3,22))&lt;&gt;""),'Feijão 2ª safra'!$E70:INDEX('Feijão 2ª safra'!$E70:$Z70,MIN(AO$6-$G$3,22))),0)))))</f>
        <v>0</v>
      </c>
      <c r="AP72" s="27" t="n">
        <f aca="false">IF(COUNT('Feijão 2ª safra'!$E70:$Z70)=0,0,MAX(0,IF((AP$6-$E$3)&lt;1,0,IFERROR(LOOKUP(2,1/('Feijão 2ª safra'!$E70:INDEX('Feijão 2ª safra'!$E70:$Z70,MIN(AP$6-$E$3,22))&lt;&gt;""),'Feijão 2ª safra'!$E70:INDEX('Feijão 2ª safra'!$E70:$Z70,MIN(AP$6-$E$3,22))),0))-IF($G$2,0,IF((AP$6-$G$3)&lt;1,0,IFERROR(LOOKUP(2,1/('Feijão 2ª safra'!$E70:INDEX('Feijão 2ª safra'!$E70:$Z70,MIN(AP$6-$G$3,22))&lt;&gt;""),'Feijão 2ª safra'!$E70:INDEX('Feijão 2ª safra'!$E70:$Z70,MIN(AP$6-$G$3,22))),0)))))</f>
        <v>0</v>
      </c>
      <c r="AQ72" s="27" t="n">
        <f aca="false">IF(COUNT('Feijão 2ª safra'!$E70:$Z70)=0,0,MAX(0,IF((AQ$6-$E$3)&lt;1,0,IFERROR(LOOKUP(2,1/('Feijão 2ª safra'!$E70:INDEX('Feijão 2ª safra'!$E70:$Z70,MIN(AQ$6-$E$3,22))&lt;&gt;""),'Feijão 2ª safra'!$E70:INDEX('Feijão 2ª safra'!$E70:$Z70,MIN(AQ$6-$E$3,22))),0))-IF($G$2,0,IF((AQ$6-$G$3)&lt;1,0,IFERROR(LOOKUP(2,1/('Feijão 2ª safra'!$E70:INDEX('Feijão 2ª safra'!$E70:$Z70,MIN(AQ$6-$G$3,22))&lt;&gt;""),'Feijão 2ª safra'!$E70:INDEX('Feijão 2ª safra'!$E70:$Z70,MIN(AQ$6-$G$3,22))),0)))))</f>
        <v>0</v>
      </c>
      <c r="AR72" s="27" t="n">
        <f aca="false">IF(COUNT('Feijão 2ª safra'!$E70:$Z70)=0,0,MAX(0,IF((AR$6-$E$3)&lt;1,0,IFERROR(LOOKUP(2,1/('Feijão 2ª safra'!$E70:INDEX('Feijão 2ª safra'!$E70:$Z70,MIN(AR$6-$E$3,22))&lt;&gt;""),'Feijão 2ª safra'!$E70:INDEX('Feijão 2ª safra'!$E70:$Z70,MIN(AR$6-$E$3,22))),0))-IF($G$2,0,IF((AR$6-$G$3)&lt;1,0,IFERROR(LOOKUP(2,1/('Feijão 2ª safra'!$E70:INDEX('Feijão 2ª safra'!$E70:$Z70,MIN(AR$6-$G$3,22))&lt;&gt;""),'Feijão 2ª safra'!$E70:INDEX('Feijão 2ª safra'!$E70:$Z70,MIN(AR$6-$G$3,22))),0)))))</f>
        <v>0</v>
      </c>
      <c r="AS72" s="27" t="n">
        <f aca="false">IF(COUNT('Feijão 2ª safra'!$E70:$Z70)=0,0,MAX(0,IF((AS$6-$E$3)&lt;1,0,IFERROR(LOOKUP(2,1/('Feijão 2ª safra'!$E70:INDEX('Feijão 2ª safra'!$E70:$Z70,MIN(AS$6-$E$3,22))&lt;&gt;""),'Feijão 2ª safra'!$E70:INDEX('Feijão 2ª safra'!$E70:$Z70,MIN(AS$6-$E$3,22))),0))-IF($G$2,0,IF((AS$6-$G$3)&lt;1,0,IFERROR(LOOKUP(2,1/('Feijão 2ª safra'!$E70:INDEX('Feijão 2ª safra'!$E70:$Z70,MIN(AS$6-$G$3,22))&lt;&gt;""),'Feijão 2ª safra'!$E70:INDEX('Feijão 2ª safra'!$E70:$Z70,MIN(AS$6-$G$3,22))),0)))))</f>
        <v>0</v>
      </c>
      <c r="AT72" s="27" t="n">
        <f aca="false">IF(COUNT('Feijão 2ª safra'!$E70:$Z70)=0,0,MAX(0,IF((AT$6-$E$3)&lt;1,0,IFERROR(LOOKUP(2,1/('Feijão 2ª safra'!$E70:INDEX('Feijão 2ª safra'!$E70:$Z70,MIN(AT$6-$E$3,22))&lt;&gt;""),'Feijão 2ª safra'!$E70:INDEX('Feijão 2ª safra'!$E70:$Z70,MIN(AT$6-$E$3,22))),0))-IF($G$2,0,IF((AT$6-$G$3)&lt;1,0,IFERROR(LOOKUP(2,1/('Feijão 2ª safra'!$E70:INDEX('Feijão 2ª safra'!$E70:$Z70,MIN(AT$6-$G$3,22))&lt;&gt;""),'Feijão 2ª safra'!$E70:INDEX('Feijão 2ª safra'!$E70:$Z70,MIN(AT$6-$G$3,22))),0)))))</f>
        <v>0</v>
      </c>
      <c r="AU72" s="27" t="n">
        <f aca="false">IF(COUNT('Feijão 2ª safra'!$E70:$Z70)=0,0,MAX(0,IF((AU$6-$E$3)&lt;1,0,IFERROR(LOOKUP(2,1/('Feijão 2ª safra'!$E70:INDEX('Feijão 2ª safra'!$E70:$Z70,MIN(AU$6-$E$3,22))&lt;&gt;""),'Feijão 2ª safra'!$E70:INDEX('Feijão 2ª safra'!$E70:$Z70,MIN(AU$6-$E$3,22))),0))-IF($G$2,0,IF((AU$6-$G$3)&lt;1,0,IFERROR(LOOKUP(2,1/('Feijão 2ª safra'!$E70:INDEX('Feijão 2ª safra'!$E70:$Z70,MIN(AU$6-$G$3,22))&lt;&gt;""),'Feijão 2ª safra'!$E70:INDEX('Feijão 2ª safra'!$E70:$Z70,MIN(AU$6-$G$3,22))),0)))))</f>
        <v>0</v>
      </c>
      <c r="AV72" s="27" t="n">
        <f aca="false">IF(COUNT('Feijão 2ª safra'!$E70:$Z70)=0,0,MAX(0,IF((AV$6-$E$3)&lt;1,0,IFERROR(LOOKUP(2,1/('Feijão 2ª safra'!$E70:INDEX('Feijão 2ª safra'!$E70:$Z70,MIN(AV$6-$E$3,22))&lt;&gt;""),'Feijão 2ª safra'!$E70:INDEX('Feijão 2ª safra'!$E70:$Z70,MIN(AV$6-$E$3,22))),0))-IF($G$2,0,IF((AV$6-$G$3)&lt;1,0,IFERROR(LOOKUP(2,1/('Feijão 2ª safra'!$E70:INDEX('Feijão 2ª safra'!$E70:$Z70,MIN(AV$6-$G$3,22))&lt;&gt;""),'Feijão 2ª safra'!$E70:INDEX('Feijão 2ª safra'!$E70:$Z70,MIN(AV$6-$G$3,22))),0)))))</f>
        <v>0</v>
      </c>
      <c r="AW72" s="27" t="n">
        <f aca="false">IF(COUNT('Feijão 2ª safra'!$E70:$Z70)=0,0,MAX(0,IF((AW$6-$E$3)&lt;1,0,IFERROR(LOOKUP(2,1/('Feijão 2ª safra'!$E70:INDEX('Feijão 2ª safra'!$E70:$Z70,MIN(AW$6-$E$3,22))&lt;&gt;""),'Feijão 2ª safra'!$E70:INDEX('Feijão 2ª safra'!$E70:$Z70,MIN(AW$6-$E$3,22))),0))-IF($G$2,0,IF((AW$6-$G$3)&lt;1,0,IFERROR(LOOKUP(2,1/('Feijão 2ª safra'!$E70:INDEX('Feijão 2ª safra'!$E70:$Z70,MIN(AW$6-$G$3,22))&lt;&gt;""),'Feijão 2ª safra'!$E70:INDEX('Feijão 2ª safra'!$E70:$Z70,MIN(AW$6-$G$3,22))),0)))))</f>
        <v>0</v>
      </c>
      <c r="AX72" s="27" t="n">
        <f aca="false">IF(COUNT('Feijão 2ª safra'!$E70:$Z70)=0,0,MAX(0,IF((AX$6-$E$3)&lt;1,0,IFERROR(LOOKUP(2,1/('Feijão 2ª safra'!$E70:INDEX('Feijão 2ª safra'!$E70:$Z70,MIN(AX$6-$E$3,22))&lt;&gt;""),'Feijão 2ª safra'!$E70:INDEX('Feijão 2ª safra'!$E70:$Z70,MIN(AX$6-$E$3,22))),0))-IF($G$2,0,IF((AX$6-$G$3)&lt;1,0,IFERROR(LOOKUP(2,1/('Feijão 2ª safra'!$E70:INDEX('Feijão 2ª safra'!$E70:$Z70,MIN(AX$6-$G$3,22))&lt;&gt;""),'Feijão 2ª safra'!$E70:INDEX('Feijão 2ª safra'!$E70:$Z70,MIN(AX$6-$G$3,22))),0)))))</f>
        <v>0</v>
      </c>
      <c r="AY72" s="27" t="n">
        <f aca="false">IF(COUNT('Feijão 2ª safra'!$E70:$Z70)=0,0,MAX(0,IF((AY$6-$E$3)&lt;1,0,IFERROR(LOOKUP(2,1/('Feijão 2ª safra'!$E70:INDEX('Feijão 2ª safra'!$E70:$Z70,MIN(AY$6-$E$3,22))&lt;&gt;""),'Feijão 2ª safra'!$E70:INDEX('Feijão 2ª safra'!$E70:$Z70,MIN(AY$6-$E$3,22))),0))-IF($G$2,0,IF((AY$6-$G$3)&lt;1,0,IFERROR(LOOKUP(2,1/('Feijão 2ª safra'!$E70:INDEX('Feijão 2ª safra'!$E70:$Z70,MIN(AY$6-$G$3,22))&lt;&gt;""),'Feijão 2ª safra'!$E70:INDEX('Feijão 2ª safra'!$E70:$Z70,MIN(AY$6-$G$3,22))),0)))))</f>
        <v>0</v>
      </c>
      <c r="AZ72" s="27" t="n">
        <f aca="false">IF(COUNT('Feijão 2ª safra'!$E70:$Z70)=0,0,MAX(0,IF((AZ$6-$E$3)&lt;1,0,IFERROR(LOOKUP(2,1/('Feijão 2ª safra'!$E70:INDEX('Feijão 2ª safra'!$E70:$Z70,MIN(AZ$6-$E$3,22))&lt;&gt;""),'Feijão 2ª safra'!$E70:INDEX('Feijão 2ª safra'!$E70:$Z70,MIN(AZ$6-$E$3,22))),0))-IF($G$2,0,IF((AZ$6-$G$3)&lt;1,0,IFERROR(LOOKUP(2,1/('Feijão 2ª safra'!$E70:INDEX('Feijão 2ª safra'!$E70:$Z70,MIN(AZ$6-$G$3,22))&lt;&gt;""),'Feijão 2ª safra'!$E70:INDEX('Feijão 2ª safra'!$E70:$Z70,MIN(AZ$6-$G$3,22))),0)))))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IF(COUNT('Feijão 2ª safra'!$E71:$Z71)&gt;0,N('Feijão 2ª safra'!$D71),0)</f>
        <v>0</v>
      </c>
      <c r="E73" s="27" t="n">
        <f aca="false">IF(COUNT('Feijão 2ª safra'!$E71:$Z71)=0,0,MAX(0,IF((E$6-$E$3)&lt;1,0,IFERROR(LOOKUP(2,1/('Feijão 2ª safra'!$E71:INDEX('Feijão 2ª safra'!$E71:$Z71,MIN(E$6-$E$3,22))&lt;&gt;""),'Feijão 2ª safra'!$E71:INDEX('Feijão 2ª safra'!$E71:$Z71,MIN(E$6-$E$3,22))),0))-IF($G$2,0,IF((E$6-$G$3)&lt;1,0,IFERROR(LOOKUP(2,1/('Feijão 2ª safra'!$E71:INDEX('Feijão 2ª safra'!$E71:$Z71,MIN(E$6-$G$3,22))&lt;&gt;""),'Feijão 2ª safra'!$E71:INDEX('Feijão 2ª safra'!$E71:$Z71,MIN(E$6-$G$3,22))),0)))))</f>
        <v>0</v>
      </c>
      <c r="F73" s="27" t="n">
        <f aca="false">IF(COUNT('Feijão 2ª safra'!$E71:$Z71)=0,0,MAX(0,IF((F$6-$E$3)&lt;1,0,IFERROR(LOOKUP(2,1/('Feijão 2ª safra'!$E71:INDEX('Feijão 2ª safra'!$E71:$Z71,MIN(F$6-$E$3,22))&lt;&gt;""),'Feijão 2ª safra'!$E71:INDEX('Feijão 2ª safra'!$E71:$Z71,MIN(F$6-$E$3,22))),0))-IF($G$2,0,IF((F$6-$G$3)&lt;1,0,IFERROR(LOOKUP(2,1/('Feijão 2ª safra'!$E71:INDEX('Feijão 2ª safra'!$E71:$Z71,MIN(F$6-$G$3,22))&lt;&gt;""),'Feijão 2ª safra'!$E71:INDEX('Feijão 2ª safra'!$E71:$Z71,MIN(F$6-$G$3,22))),0)))))</f>
        <v>0</v>
      </c>
      <c r="G73" s="27" t="n">
        <f aca="false">IF(COUNT('Feijão 2ª safra'!$E71:$Z71)=0,0,MAX(0,IF((G$6-$E$3)&lt;1,0,IFERROR(LOOKUP(2,1/('Feijão 2ª safra'!$E71:INDEX('Feijão 2ª safra'!$E71:$Z71,MIN(G$6-$E$3,22))&lt;&gt;""),'Feijão 2ª safra'!$E71:INDEX('Feijão 2ª safra'!$E71:$Z71,MIN(G$6-$E$3,22))),0))-IF($G$2,0,IF((G$6-$G$3)&lt;1,0,IFERROR(LOOKUP(2,1/('Feijão 2ª safra'!$E71:INDEX('Feijão 2ª safra'!$E71:$Z71,MIN(G$6-$G$3,22))&lt;&gt;""),'Feijão 2ª safra'!$E71:INDEX('Feijão 2ª safra'!$E71:$Z71,MIN(G$6-$G$3,22))),0)))))</f>
        <v>0</v>
      </c>
      <c r="H73" s="27" t="n">
        <f aca="false">IF(COUNT('Feijão 2ª safra'!$E71:$Z71)=0,0,MAX(0,IF((H$6-$E$3)&lt;1,0,IFERROR(LOOKUP(2,1/('Feijão 2ª safra'!$E71:INDEX('Feijão 2ª safra'!$E71:$Z71,MIN(H$6-$E$3,22))&lt;&gt;""),'Feijão 2ª safra'!$E71:INDEX('Feijão 2ª safra'!$E71:$Z71,MIN(H$6-$E$3,22))),0))-IF($G$2,0,IF((H$6-$G$3)&lt;1,0,IFERROR(LOOKUP(2,1/('Feijão 2ª safra'!$E71:INDEX('Feijão 2ª safra'!$E71:$Z71,MIN(H$6-$G$3,22))&lt;&gt;""),'Feijão 2ª safra'!$E71:INDEX('Feijão 2ª safra'!$E71:$Z71,MIN(H$6-$G$3,22))),0)))))</f>
        <v>0</v>
      </c>
      <c r="I73" s="27" t="n">
        <f aca="false">IF(COUNT('Feijão 2ª safra'!$E71:$Z71)=0,0,MAX(0,IF((I$6-$E$3)&lt;1,0,IFERROR(LOOKUP(2,1/('Feijão 2ª safra'!$E71:INDEX('Feijão 2ª safra'!$E71:$Z71,MIN(I$6-$E$3,22))&lt;&gt;""),'Feijão 2ª safra'!$E71:INDEX('Feijão 2ª safra'!$E71:$Z71,MIN(I$6-$E$3,22))),0))-IF($G$2,0,IF((I$6-$G$3)&lt;1,0,IFERROR(LOOKUP(2,1/('Feijão 2ª safra'!$E71:INDEX('Feijão 2ª safra'!$E71:$Z71,MIN(I$6-$G$3,22))&lt;&gt;""),'Feijão 2ª safra'!$E71:INDEX('Feijão 2ª safra'!$E71:$Z71,MIN(I$6-$G$3,22))),0)))))</f>
        <v>0</v>
      </c>
      <c r="J73" s="27" t="n">
        <f aca="false">IF(COUNT('Feijão 2ª safra'!$E71:$Z71)=0,0,MAX(0,IF((J$6-$E$3)&lt;1,0,IFERROR(LOOKUP(2,1/('Feijão 2ª safra'!$E71:INDEX('Feijão 2ª safra'!$E71:$Z71,MIN(J$6-$E$3,22))&lt;&gt;""),'Feijão 2ª safra'!$E71:INDEX('Feijão 2ª safra'!$E71:$Z71,MIN(J$6-$E$3,22))),0))-IF($G$2,0,IF((J$6-$G$3)&lt;1,0,IFERROR(LOOKUP(2,1/('Feijão 2ª safra'!$E71:INDEX('Feijão 2ª safra'!$E71:$Z71,MIN(J$6-$G$3,22))&lt;&gt;""),'Feijão 2ª safra'!$E71:INDEX('Feijão 2ª safra'!$E71:$Z71,MIN(J$6-$G$3,22))),0)))))</f>
        <v>0</v>
      </c>
      <c r="K73" s="27" t="n">
        <f aca="false">IF(COUNT('Feijão 2ª safra'!$E71:$Z71)=0,0,MAX(0,IF((K$6-$E$3)&lt;1,0,IFERROR(LOOKUP(2,1/('Feijão 2ª safra'!$E71:INDEX('Feijão 2ª safra'!$E71:$Z71,MIN(K$6-$E$3,22))&lt;&gt;""),'Feijão 2ª safra'!$E71:INDEX('Feijão 2ª safra'!$E71:$Z71,MIN(K$6-$E$3,22))),0))-IF($G$2,0,IF((K$6-$G$3)&lt;1,0,IFERROR(LOOKUP(2,1/('Feijão 2ª safra'!$E71:INDEX('Feijão 2ª safra'!$E71:$Z71,MIN(K$6-$G$3,22))&lt;&gt;""),'Feijão 2ª safra'!$E71:INDEX('Feijão 2ª safra'!$E71:$Z71,MIN(K$6-$G$3,22))),0)))))</f>
        <v>0</v>
      </c>
      <c r="L73" s="27" t="n">
        <f aca="false">IF(COUNT('Feijão 2ª safra'!$E71:$Z71)=0,0,MAX(0,IF((L$6-$E$3)&lt;1,0,IFERROR(LOOKUP(2,1/('Feijão 2ª safra'!$E71:INDEX('Feijão 2ª safra'!$E71:$Z71,MIN(L$6-$E$3,22))&lt;&gt;""),'Feijão 2ª safra'!$E71:INDEX('Feijão 2ª safra'!$E71:$Z71,MIN(L$6-$E$3,22))),0))-IF($G$2,0,IF((L$6-$G$3)&lt;1,0,IFERROR(LOOKUP(2,1/('Feijão 2ª safra'!$E71:INDEX('Feijão 2ª safra'!$E71:$Z71,MIN(L$6-$G$3,22))&lt;&gt;""),'Feijão 2ª safra'!$E71:INDEX('Feijão 2ª safra'!$E71:$Z71,MIN(L$6-$G$3,22))),0)))))</f>
        <v>0</v>
      </c>
      <c r="M73" s="27" t="n">
        <f aca="false">IF(COUNT('Feijão 2ª safra'!$E71:$Z71)=0,0,MAX(0,IF((M$6-$E$3)&lt;1,0,IFERROR(LOOKUP(2,1/('Feijão 2ª safra'!$E71:INDEX('Feijão 2ª safra'!$E71:$Z71,MIN(M$6-$E$3,22))&lt;&gt;""),'Feijão 2ª safra'!$E71:INDEX('Feijão 2ª safra'!$E71:$Z71,MIN(M$6-$E$3,22))),0))-IF($G$2,0,IF((M$6-$G$3)&lt;1,0,IFERROR(LOOKUP(2,1/('Feijão 2ª safra'!$E71:INDEX('Feijão 2ª safra'!$E71:$Z71,MIN(M$6-$G$3,22))&lt;&gt;""),'Feijão 2ª safra'!$E71:INDEX('Feijão 2ª safra'!$E71:$Z71,MIN(M$6-$G$3,22))),0)))))</f>
        <v>0</v>
      </c>
      <c r="N73" s="27" t="n">
        <f aca="false">IF(COUNT('Feijão 2ª safra'!$E71:$Z71)=0,0,MAX(0,IF((N$6-$E$3)&lt;1,0,IFERROR(LOOKUP(2,1/('Feijão 2ª safra'!$E71:INDEX('Feijão 2ª safra'!$E71:$Z71,MIN(N$6-$E$3,22))&lt;&gt;""),'Feijão 2ª safra'!$E71:INDEX('Feijão 2ª safra'!$E71:$Z71,MIN(N$6-$E$3,22))),0))-IF($G$2,0,IF((N$6-$G$3)&lt;1,0,IFERROR(LOOKUP(2,1/('Feijão 2ª safra'!$E71:INDEX('Feijão 2ª safra'!$E71:$Z71,MIN(N$6-$G$3,22))&lt;&gt;""),'Feijão 2ª safra'!$E71:INDEX('Feijão 2ª safra'!$E71:$Z71,MIN(N$6-$G$3,22))),0)))))</f>
        <v>0</v>
      </c>
      <c r="O73" s="27" t="n">
        <f aca="false">IF(COUNT('Feijão 2ª safra'!$E71:$Z71)=0,0,MAX(0,IF((O$6-$E$3)&lt;1,0,IFERROR(LOOKUP(2,1/('Feijão 2ª safra'!$E71:INDEX('Feijão 2ª safra'!$E71:$Z71,MIN(O$6-$E$3,22))&lt;&gt;""),'Feijão 2ª safra'!$E71:INDEX('Feijão 2ª safra'!$E71:$Z71,MIN(O$6-$E$3,22))),0))-IF($G$2,0,IF((O$6-$G$3)&lt;1,0,IFERROR(LOOKUP(2,1/('Feijão 2ª safra'!$E71:INDEX('Feijão 2ª safra'!$E71:$Z71,MIN(O$6-$G$3,22))&lt;&gt;""),'Feijão 2ª safra'!$E71:INDEX('Feijão 2ª safra'!$E71:$Z71,MIN(O$6-$G$3,22))),0)))))</f>
        <v>0</v>
      </c>
      <c r="P73" s="27" t="n">
        <f aca="false">IF(COUNT('Feijão 2ª safra'!$E71:$Z71)=0,0,MAX(0,IF((P$6-$E$3)&lt;1,0,IFERROR(LOOKUP(2,1/('Feijão 2ª safra'!$E71:INDEX('Feijão 2ª safra'!$E71:$Z71,MIN(P$6-$E$3,22))&lt;&gt;""),'Feijão 2ª safra'!$E71:INDEX('Feijão 2ª safra'!$E71:$Z71,MIN(P$6-$E$3,22))),0))-IF($G$2,0,IF((P$6-$G$3)&lt;1,0,IFERROR(LOOKUP(2,1/('Feijão 2ª safra'!$E71:INDEX('Feijão 2ª safra'!$E71:$Z71,MIN(P$6-$G$3,22))&lt;&gt;""),'Feijão 2ª safra'!$E71:INDEX('Feijão 2ª safra'!$E71:$Z71,MIN(P$6-$G$3,22))),0)))))</f>
        <v>0</v>
      </c>
      <c r="Q73" s="27" t="n">
        <f aca="false">IF(COUNT('Feijão 2ª safra'!$E71:$Z71)=0,0,MAX(0,IF((Q$6-$E$3)&lt;1,0,IFERROR(LOOKUP(2,1/('Feijão 2ª safra'!$E71:INDEX('Feijão 2ª safra'!$E71:$Z71,MIN(Q$6-$E$3,22))&lt;&gt;""),'Feijão 2ª safra'!$E71:INDEX('Feijão 2ª safra'!$E71:$Z71,MIN(Q$6-$E$3,22))),0))-IF($G$2,0,IF((Q$6-$G$3)&lt;1,0,IFERROR(LOOKUP(2,1/('Feijão 2ª safra'!$E71:INDEX('Feijão 2ª safra'!$E71:$Z71,MIN(Q$6-$G$3,22))&lt;&gt;""),'Feijão 2ª safra'!$E71:INDEX('Feijão 2ª safra'!$E71:$Z71,MIN(Q$6-$G$3,22))),0)))))</f>
        <v>0</v>
      </c>
      <c r="R73" s="27" t="n">
        <f aca="false">IF(COUNT('Feijão 2ª safra'!$E71:$Z71)=0,0,MAX(0,IF((R$6-$E$3)&lt;1,0,IFERROR(LOOKUP(2,1/('Feijão 2ª safra'!$E71:INDEX('Feijão 2ª safra'!$E71:$Z71,MIN(R$6-$E$3,22))&lt;&gt;""),'Feijão 2ª safra'!$E71:INDEX('Feijão 2ª safra'!$E71:$Z71,MIN(R$6-$E$3,22))),0))-IF($G$2,0,IF((R$6-$G$3)&lt;1,0,IFERROR(LOOKUP(2,1/('Feijão 2ª safra'!$E71:INDEX('Feijão 2ª safra'!$E71:$Z71,MIN(R$6-$G$3,22))&lt;&gt;""),'Feijão 2ª safra'!$E71:INDEX('Feijão 2ª safra'!$E71:$Z71,MIN(R$6-$G$3,22))),0)))))</f>
        <v>0</v>
      </c>
      <c r="S73" s="27" t="n">
        <f aca="false">IF(COUNT('Feijão 2ª safra'!$E71:$Z71)=0,0,MAX(0,IF((S$6-$E$3)&lt;1,0,IFERROR(LOOKUP(2,1/('Feijão 2ª safra'!$E71:INDEX('Feijão 2ª safra'!$E71:$Z71,MIN(S$6-$E$3,22))&lt;&gt;""),'Feijão 2ª safra'!$E71:INDEX('Feijão 2ª safra'!$E71:$Z71,MIN(S$6-$E$3,22))),0))-IF($G$2,0,IF((S$6-$G$3)&lt;1,0,IFERROR(LOOKUP(2,1/('Feijão 2ª safra'!$E71:INDEX('Feijão 2ª safra'!$E71:$Z71,MIN(S$6-$G$3,22))&lt;&gt;""),'Feijão 2ª safra'!$E71:INDEX('Feijão 2ª safra'!$E71:$Z71,MIN(S$6-$G$3,22))),0)))))</f>
        <v>0</v>
      </c>
      <c r="T73" s="27" t="n">
        <f aca="false">IF(COUNT('Feijão 2ª safra'!$E71:$Z71)=0,0,MAX(0,IF((T$6-$E$3)&lt;1,0,IFERROR(LOOKUP(2,1/('Feijão 2ª safra'!$E71:INDEX('Feijão 2ª safra'!$E71:$Z71,MIN(T$6-$E$3,22))&lt;&gt;""),'Feijão 2ª safra'!$E71:INDEX('Feijão 2ª safra'!$E71:$Z71,MIN(T$6-$E$3,22))),0))-IF($G$2,0,IF((T$6-$G$3)&lt;1,0,IFERROR(LOOKUP(2,1/('Feijão 2ª safra'!$E71:INDEX('Feijão 2ª safra'!$E71:$Z71,MIN(T$6-$G$3,22))&lt;&gt;""),'Feijão 2ª safra'!$E71:INDEX('Feijão 2ª safra'!$E71:$Z71,MIN(T$6-$G$3,22))),0)))))</f>
        <v>0</v>
      </c>
      <c r="U73" s="27" t="n">
        <f aca="false">IF(COUNT('Feijão 2ª safra'!$E71:$Z71)=0,0,MAX(0,IF((U$6-$E$3)&lt;1,0,IFERROR(LOOKUP(2,1/('Feijão 2ª safra'!$E71:INDEX('Feijão 2ª safra'!$E71:$Z71,MIN(U$6-$E$3,22))&lt;&gt;""),'Feijão 2ª safra'!$E71:INDEX('Feijão 2ª safra'!$E71:$Z71,MIN(U$6-$E$3,22))),0))-IF($G$2,0,IF((U$6-$G$3)&lt;1,0,IFERROR(LOOKUP(2,1/('Feijão 2ª safra'!$E71:INDEX('Feijão 2ª safra'!$E71:$Z71,MIN(U$6-$G$3,22))&lt;&gt;""),'Feijão 2ª safra'!$E71:INDEX('Feijão 2ª safra'!$E71:$Z71,MIN(U$6-$G$3,22))),0)))))</f>
        <v>0</v>
      </c>
      <c r="V73" s="27" t="n">
        <f aca="false">IF(COUNT('Feijão 2ª safra'!$E71:$Z71)=0,0,MAX(0,IF((V$6-$E$3)&lt;1,0,IFERROR(LOOKUP(2,1/('Feijão 2ª safra'!$E71:INDEX('Feijão 2ª safra'!$E71:$Z71,MIN(V$6-$E$3,22))&lt;&gt;""),'Feijão 2ª safra'!$E71:INDEX('Feijão 2ª safra'!$E71:$Z71,MIN(V$6-$E$3,22))),0))-IF($G$2,0,IF((V$6-$G$3)&lt;1,0,IFERROR(LOOKUP(2,1/('Feijão 2ª safra'!$E71:INDEX('Feijão 2ª safra'!$E71:$Z71,MIN(V$6-$G$3,22))&lt;&gt;""),'Feijão 2ª safra'!$E71:INDEX('Feijão 2ª safra'!$E71:$Z71,MIN(V$6-$G$3,22))),0)))))</f>
        <v>0</v>
      </c>
      <c r="W73" s="27" t="n">
        <f aca="false">IF(COUNT('Feijão 2ª safra'!$E71:$Z71)=0,0,MAX(0,IF((W$6-$E$3)&lt;1,0,IFERROR(LOOKUP(2,1/('Feijão 2ª safra'!$E71:INDEX('Feijão 2ª safra'!$E71:$Z71,MIN(W$6-$E$3,22))&lt;&gt;""),'Feijão 2ª safra'!$E71:INDEX('Feijão 2ª safra'!$E71:$Z71,MIN(W$6-$E$3,22))),0))-IF($G$2,0,IF((W$6-$G$3)&lt;1,0,IFERROR(LOOKUP(2,1/('Feijão 2ª safra'!$E71:INDEX('Feijão 2ª safra'!$E71:$Z71,MIN(W$6-$G$3,22))&lt;&gt;""),'Feijão 2ª safra'!$E71:INDEX('Feijão 2ª safra'!$E71:$Z71,MIN(W$6-$G$3,22))),0)))))</f>
        <v>0</v>
      </c>
      <c r="X73" s="27" t="n">
        <f aca="false">IF(COUNT('Feijão 2ª safra'!$E71:$Z71)=0,0,MAX(0,IF((X$6-$E$3)&lt;1,0,IFERROR(LOOKUP(2,1/('Feijão 2ª safra'!$E71:INDEX('Feijão 2ª safra'!$E71:$Z71,MIN(X$6-$E$3,22))&lt;&gt;""),'Feijão 2ª safra'!$E71:INDEX('Feijão 2ª safra'!$E71:$Z71,MIN(X$6-$E$3,22))),0))-IF($G$2,0,IF((X$6-$G$3)&lt;1,0,IFERROR(LOOKUP(2,1/('Feijão 2ª safra'!$E71:INDEX('Feijão 2ª safra'!$E71:$Z71,MIN(X$6-$G$3,22))&lt;&gt;""),'Feijão 2ª safra'!$E71:INDEX('Feijão 2ª safra'!$E71:$Z71,MIN(X$6-$G$3,22))),0)))))</f>
        <v>0</v>
      </c>
      <c r="Y73" s="27" t="n">
        <f aca="false">IF(COUNT('Feijão 2ª safra'!$E71:$Z71)=0,0,MAX(0,IF((Y$6-$E$3)&lt;1,0,IFERROR(LOOKUP(2,1/('Feijão 2ª safra'!$E71:INDEX('Feijão 2ª safra'!$E71:$Z71,MIN(Y$6-$E$3,22))&lt;&gt;""),'Feijão 2ª safra'!$E71:INDEX('Feijão 2ª safra'!$E71:$Z71,MIN(Y$6-$E$3,22))),0))-IF($G$2,0,IF((Y$6-$G$3)&lt;1,0,IFERROR(LOOKUP(2,1/('Feijão 2ª safra'!$E71:INDEX('Feijão 2ª safra'!$E71:$Z71,MIN(Y$6-$G$3,22))&lt;&gt;""),'Feijão 2ª safra'!$E71:INDEX('Feijão 2ª safra'!$E71:$Z71,MIN(Y$6-$G$3,22))),0)))))</f>
        <v>0</v>
      </c>
      <c r="Z73" s="27" t="n">
        <f aca="false">IF(COUNT('Feijão 2ª safra'!$E71:$Z71)=0,0,MAX(0,IF((Z$6-$E$3)&lt;1,0,IFERROR(LOOKUP(2,1/('Feijão 2ª safra'!$E71:INDEX('Feijão 2ª safra'!$E71:$Z71,MIN(Z$6-$E$3,22))&lt;&gt;""),'Feijão 2ª safra'!$E71:INDEX('Feijão 2ª safra'!$E71:$Z71,MIN(Z$6-$E$3,22))),0))-IF($G$2,0,IF((Z$6-$G$3)&lt;1,0,IFERROR(LOOKUP(2,1/('Feijão 2ª safra'!$E71:INDEX('Feijão 2ª safra'!$E71:$Z71,MIN(Z$6-$G$3,22))&lt;&gt;""),'Feijão 2ª safra'!$E71:INDEX('Feijão 2ª safra'!$E71:$Z71,MIN(Z$6-$G$3,22))),0)))))</f>
        <v>0</v>
      </c>
      <c r="AA73" s="27" t="n">
        <f aca="false">IF(COUNT('Feijão 2ª safra'!$E71:$Z71)=0,0,MAX(0,IF((AA$6-$E$3)&lt;1,0,IFERROR(LOOKUP(2,1/('Feijão 2ª safra'!$E71:INDEX('Feijão 2ª safra'!$E71:$Z71,MIN(AA$6-$E$3,22))&lt;&gt;""),'Feijão 2ª safra'!$E71:INDEX('Feijão 2ª safra'!$E71:$Z71,MIN(AA$6-$E$3,22))),0))-IF($G$2,0,IF((AA$6-$G$3)&lt;1,0,IFERROR(LOOKUP(2,1/('Feijão 2ª safra'!$E71:INDEX('Feijão 2ª safra'!$E71:$Z71,MIN(AA$6-$G$3,22))&lt;&gt;""),'Feijão 2ª safra'!$E71:INDEX('Feijão 2ª safra'!$E71:$Z71,MIN(AA$6-$G$3,22))),0)))))</f>
        <v>0</v>
      </c>
      <c r="AB73" s="27" t="n">
        <f aca="false">IF(COUNT('Feijão 2ª safra'!$E71:$Z71)=0,0,MAX(0,IF((AB$6-$E$3)&lt;1,0,IFERROR(LOOKUP(2,1/('Feijão 2ª safra'!$E71:INDEX('Feijão 2ª safra'!$E71:$Z71,MIN(AB$6-$E$3,22))&lt;&gt;""),'Feijão 2ª safra'!$E71:INDEX('Feijão 2ª safra'!$E71:$Z71,MIN(AB$6-$E$3,22))),0))-IF($G$2,0,IF((AB$6-$G$3)&lt;1,0,IFERROR(LOOKUP(2,1/('Feijão 2ª safra'!$E71:INDEX('Feijão 2ª safra'!$E71:$Z71,MIN(AB$6-$G$3,22))&lt;&gt;""),'Feijão 2ª safra'!$E71:INDEX('Feijão 2ª safra'!$E71:$Z71,MIN(AB$6-$G$3,22))),0)))))</f>
        <v>0</v>
      </c>
      <c r="AC73" s="27" t="n">
        <f aca="false">IF(COUNT('Feijão 2ª safra'!$E71:$Z71)=0,0,MAX(0,IF((AC$6-$E$3)&lt;1,0,IFERROR(LOOKUP(2,1/('Feijão 2ª safra'!$E71:INDEX('Feijão 2ª safra'!$E71:$Z71,MIN(AC$6-$E$3,22))&lt;&gt;""),'Feijão 2ª safra'!$E71:INDEX('Feijão 2ª safra'!$E71:$Z71,MIN(AC$6-$E$3,22))),0))-IF($G$2,0,IF((AC$6-$G$3)&lt;1,0,IFERROR(LOOKUP(2,1/('Feijão 2ª safra'!$E71:INDEX('Feijão 2ª safra'!$E71:$Z71,MIN(AC$6-$G$3,22))&lt;&gt;""),'Feijão 2ª safra'!$E71:INDEX('Feijão 2ª safra'!$E71:$Z71,MIN(AC$6-$G$3,22))),0)))))</f>
        <v>0</v>
      </c>
      <c r="AD73" s="27" t="n">
        <f aca="false">IF(COUNT('Feijão 2ª safra'!$E71:$Z71)=0,0,MAX(0,IF((AD$6-$E$3)&lt;1,0,IFERROR(LOOKUP(2,1/('Feijão 2ª safra'!$E71:INDEX('Feijão 2ª safra'!$E71:$Z71,MIN(AD$6-$E$3,22))&lt;&gt;""),'Feijão 2ª safra'!$E71:INDEX('Feijão 2ª safra'!$E71:$Z71,MIN(AD$6-$E$3,22))),0))-IF($G$2,0,IF((AD$6-$G$3)&lt;1,0,IFERROR(LOOKUP(2,1/('Feijão 2ª safra'!$E71:INDEX('Feijão 2ª safra'!$E71:$Z71,MIN(AD$6-$G$3,22))&lt;&gt;""),'Feijão 2ª safra'!$E71:INDEX('Feijão 2ª safra'!$E71:$Z71,MIN(AD$6-$G$3,22))),0)))))</f>
        <v>0</v>
      </c>
      <c r="AE73" s="27" t="n">
        <f aca="false">IF(COUNT('Feijão 2ª safra'!$E71:$Z71)=0,0,MAX(0,IF((AE$6-$E$3)&lt;1,0,IFERROR(LOOKUP(2,1/('Feijão 2ª safra'!$E71:INDEX('Feijão 2ª safra'!$E71:$Z71,MIN(AE$6-$E$3,22))&lt;&gt;""),'Feijão 2ª safra'!$E71:INDEX('Feijão 2ª safra'!$E71:$Z71,MIN(AE$6-$E$3,22))),0))-IF($G$2,0,IF((AE$6-$G$3)&lt;1,0,IFERROR(LOOKUP(2,1/('Feijão 2ª safra'!$E71:INDEX('Feijão 2ª safra'!$E71:$Z71,MIN(AE$6-$G$3,22))&lt;&gt;""),'Feijão 2ª safra'!$E71:INDEX('Feijão 2ª safra'!$E71:$Z71,MIN(AE$6-$G$3,22))),0)))))</f>
        <v>0</v>
      </c>
      <c r="AF73" s="27" t="n">
        <f aca="false">IF(COUNT('Feijão 2ª safra'!$E71:$Z71)=0,0,MAX(0,IF((AF$6-$E$3)&lt;1,0,IFERROR(LOOKUP(2,1/('Feijão 2ª safra'!$E71:INDEX('Feijão 2ª safra'!$E71:$Z71,MIN(AF$6-$E$3,22))&lt;&gt;""),'Feijão 2ª safra'!$E71:INDEX('Feijão 2ª safra'!$E71:$Z71,MIN(AF$6-$E$3,22))),0))-IF($G$2,0,IF((AF$6-$G$3)&lt;1,0,IFERROR(LOOKUP(2,1/('Feijão 2ª safra'!$E71:INDEX('Feijão 2ª safra'!$E71:$Z71,MIN(AF$6-$G$3,22))&lt;&gt;""),'Feijão 2ª safra'!$E71:INDEX('Feijão 2ª safra'!$E71:$Z71,MIN(AF$6-$G$3,22))),0)))))</f>
        <v>0</v>
      </c>
      <c r="AG73" s="27" t="n">
        <f aca="false">IF(COUNT('Feijão 2ª safra'!$E71:$Z71)=0,0,MAX(0,IF((AG$6-$E$3)&lt;1,0,IFERROR(LOOKUP(2,1/('Feijão 2ª safra'!$E71:INDEX('Feijão 2ª safra'!$E71:$Z71,MIN(AG$6-$E$3,22))&lt;&gt;""),'Feijão 2ª safra'!$E71:INDEX('Feijão 2ª safra'!$E71:$Z71,MIN(AG$6-$E$3,22))),0))-IF($G$2,0,IF((AG$6-$G$3)&lt;1,0,IFERROR(LOOKUP(2,1/('Feijão 2ª safra'!$E71:INDEX('Feijão 2ª safra'!$E71:$Z71,MIN(AG$6-$G$3,22))&lt;&gt;""),'Feijão 2ª safra'!$E71:INDEX('Feijão 2ª safra'!$E71:$Z71,MIN(AG$6-$G$3,22))),0)))))</f>
        <v>0</v>
      </c>
      <c r="AH73" s="27" t="n">
        <f aca="false">IF(COUNT('Feijão 2ª safra'!$E71:$Z71)=0,0,MAX(0,IF((AH$6-$E$3)&lt;1,0,IFERROR(LOOKUP(2,1/('Feijão 2ª safra'!$E71:INDEX('Feijão 2ª safra'!$E71:$Z71,MIN(AH$6-$E$3,22))&lt;&gt;""),'Feijão 2ª safra'!$E71:INDEX('Feijão 2ª safra'!$E71:$Z71,MIN(AH$6-$E$3,22))),0))-IF($G$2,0,IF((AH$6-$G$3)&lt;1,0,IFERROR(LOOKUP(2,1/('Feijão 2ª safra'!$E71:INDEX('Feijão 2ª safra'!$E71:$Z71,MIN(AH$6-$G$3,22))&lt;&gt;""),'Feijão 2ª safra'!$E71:INDEX('Feijão 2ª safra'!$E71:$Z71,MIN(AH$6-$G$3,22))),0)))))</f>
        <v>0</v>
      </c>
      <c r="AI73" s="27" t="n">
        <f aca="false">IF(COUNT('Feijão 2ª safra'!$E71:$Z71)=0,0,MAX(0,IF((AI$6-$E$3)&lt;1,0,IFERROR(LOOKUP(2,1/('Feijão 2ª safra'!$E71:INDEX('Feijão 2ª safra'!$E71:$Z71,MIN(AI$6-$E$3,22))&lt;&gt;""),'Feijão 2ª safra'!$E71:INDEX('Feijão 2ª safra'!$E71:$Z71,MIN(AI$6-$E$3,22))),0))-IF($G$2,0,IF((AI$6-$G$3)&lt;1,0,IFERROR(LOOKUP(2,1/('Feijão 2ª safra'!$E71:INDEX('Feijão 2ª safra'!$E71:$Z71,MIN(AI$6-$G$3,22))&lt;&gt;""),'Feijão 2ª safra'!$E71:INDEX('Feijão 2ª safra'!$E71:$Z71,MIN(AI$6-$G$3,22))),0)))))</f>
        <v>0</v>
      </c>
      <c r="AJ73" s="27" t="n">
        <f aca="false">IF(COUNT('Feijão 2ª safra'!$E71:$Z71)=0,0,MAX(0,IF((AJ$6-$E$3)&lt;1,0,IFERROR(LOOKUP(2,1/('Feijão 2ª safra'!$E71:INDEX('Feijão 2ª safra'!$E71:$Z71,MIN(AJ$6-$E$3,22))&lt;&gt;""),'Feijão 2ª safra'!$E71:INDEX('Feijão 2ª safra'!$E71:$Z71,MIN(AJ$6-$E$3,22))),0))-IF($G$2,0,IF((AJ$6-$G$3)&lt;1,0,IFERROR(LOOKUP(2,1/('Feijão 2ª safra'!$E71:INDEX('Feijão 2ª safra'!$E71:$Z71,MIN(AJ$6-$G$3,22))&lt;&gt;""),'Feijão 2ª safra'!$E71:INDEX('Feijão 2ª safra'!$E71:$Z71,MIN(AJ$6-$G$3,22))),0)))))</f>
        <v>0</v>
      </c>
      <c r="AK73" s="27" t="n">
        <f aca="false">IF(COUNT('Feijão 2ª safra'!$E71:$Z71)=0,0,MAX(0,IF((AK$6-$E$3)&lt;1,0,IFERROR(LOOKUP(2,1/('Feijão 2ª safra'!$E71:INDEX('Feijão 2ª safra'!$E71:$Z71,MIN(AK$6-$E$3,22))&lt;&gt;""),'Feijão 2ª safra'!$E71:INDEX('Feijão 2ª safra'!$E71:$Z71,MIN(AK$6-$E$3,22))),0))-IF($G$2,0,IF((AK$6-$G$3)&lt;1,0,IFERROR(LOOKUP(2,1/('Feijão 2ª safra'!$E71:INDEX('Feijão 2ª safra'!$E71:$Z71,MIN(AK$6-$G$3,22))&lt;&gt;""),'Feijão 2ª safra'!$E71:INDEX('Feijão 2ª safra'!$E71:$Z71,MIN(AK$6-$G$3,22))),0)))))</f>
        <v>0</v>
      </c>
      <c r="AL73" s="27" t="n">
        <f aca="false">IF(COUNT('Feijão 2ª safra'!$E71:$Z71)=0,0,MAX(0,IF((AL$6-$E$3)&lt;1,0,IFERROR(LOOKUP(2,1/('Feijão 2ª safra'!$E71:INDEX('Feijão 2ª safra'!$E71:$Z71,MIN(AL$6-$E$3,22))&lt;&gt;""),'Feijão 2ª safra'!$E71:INDEX('Feijão 2ª safra'!$E71:$Z71,MIN(AL$6-$E$3,22))),0))-IF($G$2,0,IF((AL$6-$G$3)&lt;1,0,IFERROR(LOOKUP(2,1/('Feijão 2ª safra'!$E71:INDEX('Feijão 2ª safra'!$E71:$Z71,MIN(AL$6-$G$3,22))&lt;&gt;""),'Feijão 2ª safra'!$E71:INDEX('Feijão 2ª safra'!$E71:$Z71,MIN(AL$6-$G$3,22))),0)))))</f>
        <v>0</v>
      </c>
      <c r="AM73" s="27" t="n">
        <f aca="false">IF(COUNT('Feijão 2ª safra'!$E71:$Z71)=0,0,MAX(0,IF((AM$6-$E$3)&lt;1,0,IFERROR(LOOKUP(2,1/('Feijão 2ª safra'!$E71:INDEX('Feijão 2ª safra'!$E71:$Z71,MIN(AM$6-$E$3,22))&lt;&gt;""),'Feijão 2ª safra'!$E71:INDEX('Feijão 2ª safra'!$E71:$Z71,MIN(AM$6-$E$3,22))),0))-IF($G$2,0,IF((AM$6-$G$3)&lt;1,0,IFERROR(LOOKUP(2,1/('Feijão 2ª safra'!$E71:INDEX('Feijão 2ª safra'!$E71:$Z71,MIN(AM$6-$G$3,22))&lt;&gt;""),'Feijão 2ª safra'!$E71:INDEX('Feijão 2ª safra'!$E71:$Z71,MIN(AM$6-$G$3,22))),0)))))</f>
        <v>0</v>
      </c>
      <c r="AN73" s="27" t="n">
        <f aca="false">IF(COUNT('Feijão 2ª safra'!$E71:$Z71)=0,0,MAX(0,IF((AN$6-$E$3)&lt;1,0,IFERROR(LOOKUP(2,1/('Feijão 2ª safra'!$E71:INDEX('Feijão 2ª safra'!$E71:$Z71,MIN(AN$6-$E$3,22))&lt;&gt;""),'Feijão 2ª safra'!$E71:INDEX('Feijão 2ª safra'!$E71:$Z71,MIN(AN$6-$E$3,22))),0))-IF($G$2,0,IF((AN$6-$G$3)&lt;1,0,IFERROR(LOOKUP(2,1/('Feijão 2ª safra'!$E71:INDEX('Feijão 2ª safra'!$E71:$Z71,MIN(AN$6-$G$3,22))&lt;&gt;""),'Feijão 2ª safra'!$E71:INDEX('Feijão 2ª safra'!$E71:$Z71,MIN(AN$6-$G$3,22))),0)))))</f>
        <v>0</v>
      </c>
      <c r="AO73" s="27" t="n">
        <f aca="false">IF(COUNT('Feijão 2ª safra'!$E71:$Z71)=0,0,MAX(0,IF((AO$6-$E$3)&lt;1,0,IFERROR(LOOKUP(2,1/('Feijão 2ª safra'!$E71:INDEX('Feijão 2ª safra'!$E71:$Z71,MIN(AO$6-$E$3,22))&lt;&gt;""),'Feijão 2ª safra'!$E71:INDEX('Feijão 2ª safra'!$E71:$Z71,MIN(AO$6-$E$3,22))),0))-IF($G$2,0,IF((AO$6-$G$3)&lt;1,0,IFERROR(LOOKUP(2,1/('Feijão 2ª safra'!$E71:INDEX('Feijão 2ª safra'!$E71:$Z71,MIN(AO$6-$G$3,22))&lt;&gt;""),'Feijão 2ª safra'!$E71:INDEX('Feijão 2ª safra'!$E71:$Z71,MIN(AO$6-$G$3,22))),0)))))</f>
        <v>0</v>
      </c>
      <c r="AP73" s="27" t="n">
        <f aca="false">IF(COUNT('Feijão 2ª safra'!$E71:$Z71)=0,0,MAX(0,IF((AP$6-$E$3)&lt;1,0,IFERROR(LOOKUP(2,1/('Feijão 2ª safra'!$E71:INDEX('Feijão 2ª safra'!$E71:$Z71,MIN(AP$6-$E$3,22))&lt;&gt;""),'Feijão 2ª safra'!$E71:INDEX('Feijão 2ª safra'!$E71:$Z71,MIN(AP$6-$E$3,22))),0))-IF($G$2,0,IF((AP$6-$G$3)&lt;1,0,IFERROR(LOOKUP(2,1/('Feijão 2ª safra'!$E71:INDEX('Feijão 2ª safra'!$E71:$Z71,MIN(AP$6-$G$3,22))&lt;&gt;""),'Feijão 2ª safra'!$E71:INDEX('Feijão 2ª safra'!$E71:$Z71,MIN(AP$6-$G$3,22))),0)))))</f>
        <v>0</v>
      </c>
      <c r="AQ73" s="27" t="n">
        <f aca="false">IF(COUNT('Feijão 2ª safra'!$E71:$Z71)=0,0,MAX(0,IF((AQ$6-$E$3)&lt;1,0,IFERROR(LOOKUP(2,1/('Feijão 2ª safra'!$E71:INDEX('Feijão 2ª safra'!$E71:$Z71,MIN(AQ$6-$E$3,22))&lt;&gt;""),'Feijão 2ª safra'!$E71:INDEX('Feijão 2ª safra'!$E71:$Z71,MIN(AQ$6-$E$3,22))),0))-IF($G$2,0,IF((AQ$6-$G$3)&lt;1,0,IFERROR(LOOKUP(2,1/('Feijão 2ª safra'!$E71:INDEX('Feijão 2ª safra'!$E71:$Z71,MIN(AQ$6-$G$3,22))&lt;&gt;""),'Feijão 2ª safra'!$E71:INDEX('Feijão 2ª safra'!$E71:$Z71,MIN(AQ$6-$G$3,22))),0)))))</f>
        <v>0</v>
      </c>
      <c r="AR73" s="27" t="n">
        <f aca="false">IF(COUNT('Feijão 2ª safra'!$E71:$Z71)=0,0,MAX(0,IF((AR$6-$E$3)&lt;1,0,IFERROR(LOOKUP(2,1/('Feijão 2ª safra'!$E71:INDEX('Feijão 2ª safra'!$E71:$Z71,MIN(AR$6-$E$3,22))&lt;&gt;""),'Feijão 2ª safra'!$E71:INDEX('Feijão 2ª safra'!$E71:$Z71,MIN(AR$6-$E$3,22))),0))-IF($G$2,0,IF((AR$6-$G$3)&lt;1,0,IFERROR(LOOKUP(2,1/('Feijão 2ª safra'!$E71:INDEX('Feijão 2ª safra'!$E71:$Z71,MIN(AR$6-$G$3,22))&lt;&gt;""),'Feijão 2ª safra'!$E71:INDEX('Feijão 2ª safra'!$E71:$Z71,MIN(AR$6-$G$3,22))),0)))))</f>
        <v>0</v>
      </c>
      <c r="AS73" s="27" t="n">
        <f aca="false">IF(COUNT('Feijão 2ª safra'!$E71:$Z71)=0,0,MAX(0,IF((AS$6-$E$3)&lt;1,0,IFERROR(LOOKUP(2,1/('Feijão 2ª safra'!$E71:INDEX('Feijão 2ª safra'!$E71:$Z71,MIN(AS$6-$E$3,22))&lt;&gt;""),'Feijão 2ª safra'!$E71:INDEX('Feijão 2ª safra'!$E71:$Z71,MIN(AS$6-$E$3,22))),0))-IF($G$2,0,IF((AS$6-$G$3)&lt;1,0,IFERROR(LOOKUP(2,1/('Feijão 2ª safra'!$E71:INDEX('Feijão 2ª safra'!$E71:$Z71,MIN(AS$6-$G$3,22))&lt;&gt;""),'Feijão 2ª safra'!$E71:INDEX('Feijão 2ª safra'!$E71:$Z71,MIN(AS$6-$G$3,22))),0)))))</f>
        <v>0</v>
      </c>
      <c r="AT73" s="27" t="n">
        <f aca="false">IF(COUNT('Feijão 2ª safra'!$E71:$Z71)=0,0,MAX(0,IF((AT$6-$E$3)&lt;1,0,IFERROR(LOOKUP(2,1/('Feijão 2ª safra'!$E71:INDEX('Feijão 2ª safra'!$E71:$Z71,MIN(AT$6-$E$3,22))&lt;&gt;""),'Feijão 2ª safra'!$E71:INDEX('Feijão 2ª safra'!$E71:$Z71,MIN(AT$6-$E$3,22))),0))-IF($G$2,0,IF((AT$6-$G$3)&lt;1,0,IFERROR(LOOKUP(2,1/('Feijão 2ª safra'!$E71:INDEX('Feijão 2ª safra'!$E71:$Z71,MIN(AT$6-$G$3,22))&lt;&gt;""),'Feijão 2ª safra'!$E71:INDEX('Feijão 2ª safra'!$E71:$Z71,MIN(AT$6-$G$3,22))),0)))))</f>
        <v>0</v>
      </c>
      <c r="AU73" s="27" t="n">
        <f aca="false">IF(COUNT('Feijão 2ª safra'!$E71:$Z71)=0,0,MAX(0,IF((AU$6-$E$3)&lt;1,0,IFERROR(LOOKUP(2,1/('Feijão 2ª safra'!$E71:INDEX('Feijão 2ª safra'!$E71:$Z71,MIN(AU$6-$E$3,22))&lt;&gt;""),'Feijão 2ª safra'!$E71:INDEX('Feijão 2ª safra'!$E71:$Z71,MIN(AU$6-$E$3,22))),0))-IF($G$2,0,IF((AU$6-$G$3)&lt;1,0,IFERROR(LOOKUP(2,1/('Feijão 2ª safra'!$E71:INDEX('Feijão 2ª safra'!$E71:$Z71,MIN(AU$6-$G$3,22))&lt;&gt;""),'Feijão 2ª safra'!$E71:INDEX('Feijão 2ª safra'!$E71:$Z71,MIN(AU$6-$G$3,22))),0)))))</f>
        <v>0</v>
      </c>
      <c r="AV73" s="27" t="n">
        <f aca="false">IF(COUNT('Feijão 2ª safra'!$E71:$Z71)=0,0,MAX(0,IF((AV$6-$E$3)&lt;1,0,IFERROR(LOOKUP(2,1/('Feijão 2ª safra'!$E71:INDEX('Feijão 2ª safra'!$E71:$Z71,MIN(AV$6-$E$3,22))&lt;&gt;""),'Feijão 2ª safra'!$E71:INDEX('Feijão 2ª safra'!$E71:$Z71,MIN(AV$6-$E$3,22))),0))-IF($G$2,0,IF((AV$6-$G$3)&lt;1,0,IFERROR(LOOKUP(2,1/('Feijão 2ª safra'!$E71:INDEX('Feijão 2ª safra'!$E71:$Z71,MIN(AV$6-$G$3,22))&lt;&gt;""),'Feijão 2ª safra'!$E71:INDEX('Feijão 2ª safra'!$E71:$Z71,MIN(AV$6-$G$3,22))),0)))))</f>
        <v>0</v>
      </c>
      <c r="AW73" s="27" t="n">
        <f aca="false">IF(COUNT('Feijão 2ª safra'!$E71:$Z71)=0,0,MAX(0,IF((AW$6-$E$3)&lt;1,0,IFERROR(LOOKUP(2,1/('Feijão 2ª safra'!$E71:INDEX('Feijão 2ª safra'!$E71:$Z71,MIN(AW$6-$E$3,22))&lt;&gt;""),'Feijão 2ª safra'!$E71:INDEX('Feijão 2ª safra'!$E71:$Z71,MIN(AW$6-$E$3,22))),0))-IF($G$2,0,IF((AW$6-$G$3)&lt;1,0,IFERROR(LOOKUP(2,1/('Feijão 2ª safra'!$E71:INDEX('Feijão 2ª safra'!$E71:$Z71,MIN(AW$6-$G$3,22))&lt;&gt;""),'Feijão 2ª safra'!$E71:INDEX('Feijão 2ª safra'!$E71:$Z71,MIN(AW$6-$G$3,22))),0)))))</f>
        <v>0</v>
      </c>
      <c r="AX73" s="27" t="n">
        <f aca="false">IF(COUNT('Feijão 2ª safra'!$E71:$Z71)=0,0,MAX(0,IF((AX$6-$E$3)&lt;1,0,IFERROR(LOOKUP(2,1/('Feijão 2ª safra'!$E71:INDEX('Feijão 2ª safra'!$E71:$Z71,MIN(AX$6-$E$3,22))&lt;&gt;""),'Feijão 2ª safra'!$E71:INDEX('Feijão 2ª safra'!$E71:$Z71,MIN(AX$6-$E$3,22))),0))-IF($G$2,0,IF((AX$6-$G$3)&lt;1,0,IFERROR(LOOKUP(2,1/('Feijão 2ª safra'!$E71:INDEX('Feijão 2ª safra'!$E71:$Z71,MIN(AX$6-$G$3,22))&lt;&gt;""),'Feijão 2ª safra'!$E71:INDEX('Feijão 2ª safra'!$E71:$Z71,MIN(AX$6-$G$3,22))),0)))))</f>
        <v>0</v>
      </c>
      <c r="AY73" s="27" t="n">
        <f aca="false">IF(COUNT('Feijão 2ª safra'!$E71:$Z71)=0,0,MAX(0,IF((AY$6-$E$3)&lt;1,0,IFERROR(LOOKUP(2,1/('Feijão 2ª safra'!$E71:INDEX('Feijão 2ª safra'!$E71:$Z71,MIN(AY$6-$E$3,22))&lt;&gt;""),'Feijão 2ª safra'!$E71:INDEX('Feijão 2ª safra'!$E71:$Z71,MIN(AY$6-$E$3,22))),0))-IF($G$2,0,IF((AY$6-$G$3)&lt;1,0,IFERROR(LOOKUP(2,1/('Feijão 2ª safra'!$E71:INDEX('Feijão 2ª safra'!$E71:$Z71,MIN(AY$6-$G$3,22))&lt;&gt;""),'Feijão 2ª safra'!$E71:INDEX('Feijão 2ª safra'!$E71:$Z71,MIN(AY$6-$G$3,22))),0)))))</f>
        <v>0</v>
      </c>
      <c r="AZ73" s="27" t="n">
        <f aca="false">IF(COUNT('Feijão 2ª safra'!$E71:$Z71)=0,0,MAX(0,IF((AZ$6-$E$3)&lt;1,0,IFERROR(LOOKUP(2,1/('Feijão 2ª safra'!$E71:INDEX('Feijão 2ª safra'!$E71:$Z71,MIN(AZ$6-$E$3,22))&lt;&gt;""),'Feijão 2ª safra'!$E71:INDEX('Feijão 2ª safra'!$E71:$Z71,MIN(AZ$6-$E$3,22))),0))-IF($G$2,0,IF((AZ$6-$G$3)&lt;1,0,IFERROR(LOOKUP(2,1/('Feijão 2ª safra'!$E71:INDEX('Feijão 2ª safra'!$E71:$Z71,MIN(AZ$6-$G$3,22))&lt;&gt;""),'Feijão 2ª safra'!$E71:INDEX('Feijão 2ª safra'!$E71:$Z71,MIN(AZ$6-$G$3,22))),0)))))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IF(COUNT('Feijão 2ª safra'!$E72:$Z72)&gt;0,N('Feijão 2ª safra'!$D72),0)</f>
        <v>0</v>
      </c>
      <c r="E74" s="27" t="n">
        <f aca="false">IF(COUNT('Feijão 2ª safra'!$E72:$Z72)=0,0,MAX(0,IF((E$6-$E$3)&lt;1,0,IFERROR(LOOKUP(2,1/('Feijão 2ª safra'!$E72:INDEX('Feijão 2ª safra'!$E72:$Z72,MIN(E$6-$E$3,22))&lt;&gt;""),'Feijão 2ª safra'!$E72:INDEX('Feijão 2ª safra'!$E72:$Z72,MIN(E$6-$E$3,22))),0))-IF($G$2,0,IF((E$6-$G$3)&lt;1,0,IFERROR(LOOKUP(2,1/('Feijão 2ª safra'!$E72:INDEX('Feijão 2ª safra'!$E72:$Z72,MIN(E$6-$G$3,22))&lt;&gt;""),'Feijão 2ª safra'!$E72:INDEX('Feijão 2ª safra'!$E72:$Z72,MIN(E$6-$G$3,22))),0)))))</f>
        <v>0</v>
      </c>
      <c r="F74" s="27" t="n">
        <f aca="false">IF(COUNT('Feijão 2ª safra'!$E72:$Z72)=0,0,MAX(0,IF((F$6-$E$3)&lt;1,0,IFERROR(LOOKUP(2,1/('Feijão 2ª safra'!$E72:INDEX('Feijão 2ª safra'!$E72:$Z72,MIN(F$6-$E$3,22))&lt;&gt;""),'Feijão 2ª safra'!$E72:INDEX('Feijão 2ª safra'!$E72:$Z72,MIN(F$6-$E$3,22))),0))-IF($G$2,0,IF((F$6-$G$3)&lt;1,0,IFERROR(LOOKUP(2,1/('Feijão 2ª safra'!$E72:INDEX('Feijão 2ª safra'!$E72:$Z72,MIN(F$6-$G$3,22))&lt;&gt;""),'Feijão 2ª safra'!$E72:INDEX('Feijão 2ª safra'!$E72:$Z72,MIN(F$6-$G$3,22))),0)))))</f>
        <v>0</v>
      </c>
      <c r="G74" s="27" t="n">
        <f aca="false">IF(COUNT('Feijão 2ª safra'!$E72:$Z72)=0,0,MAX(0,IF((G$6-$E$3)&lt;1,0,IFERROR(LOOKUP(2,1/('Feijão 2ª safra'!$E72:INDEX('Feijão 2ª safra'!$E72:$Z72,MIN(G$6-$E$3,22))&lt;&gt;""),'Feijão 2ª safra'!$E72:INDEX('Feijão 2ª safra'!$E72:$Z72,MIN(G$6-$E$3,22))),0))-IF($G$2,0,IF((G$6-$G$3)&lt;1,0,IFERROR(LOOKUP(2,1/('Feijão 2ª safra'!$E72:INDEX('Feijão 2ª safra'!$E72:$Z72,MIN(G$6-$G$3,22))&lt;&gt;""),'Feijão 2ª safra'!$E72:INDEX('Feijão 2ª safra'!$E72:$Z72,MIN(G$6-$G$3,22))),0)))))</f>
        <v>0</v>
      </c>
      <c r="H74" s="27" t="n">
        <f aca="false">IF(COUNT('Feijão 2ª safra'!$E72:$Z72)=0,0,MAX(0,IF((H$6-$E$3)&lt;1,0,IFERROR(LOOKUP(2,1/('Feijão 2ª safra'!$E72:INDEX('Feijão 2ª safra'!$E72:$Z72,MIN(H$6-$E$3,22))&lt;&gt;""),'Feijão 2ª safra'!$E72:INDEX('Feijão 2ª safra'!$E72:$Z72,MIN(H$6-$E$3,22))),0))-IF($G$2,0,IF((H$6-$G$3)&lt;1,0,IFERROR(LOOKUP(2,1/('Feijão 2ª safra'!$E72:INDEX('Feijão 2ª safra'!$E72:$Z72,MIN(H$6-$G$3,22))&lt;&gt;""),'Feijão 2ª safra'!$E72:INDEX('Feijão 2ª safra'!$E72:$Z72,MIN(H$6-$G$3,22))),0)))))</f>
        <v>0</v>
      </c>
      <c r="I74" s="27" t="n">
        <f aca="false">IF(COUNT('Feijão 2ª safra'!$E72:$Z72)=0,0,MAX(0,IF((I$6-$E$3)&lt;1,0,IFERROR(LOOKUP(2,1/('Feijão 2ª safra'!$E72:INDEX('Feijão 2ª safra'!$E72:$Z72,MIN(I$6-$E$3,22))&lt;&gt;""),'Feijão 2ª safra'!$E72:INDEX('Feijão 2ª safra'!$E72:$Z72,MIN(I$6-$E$3,22))),0))-IF($G$2,0,IF((I$6-$G$3)&lt;1,0,IFERROR(LOOKUP(2,1/('Feijão 2ª safra'!$E72:INDEX('Feijão 2ª safra'!$E72:$Z72,MIN(I$6-$G$3,22))&lt;&gt;""),'Feijão 2ª safra'!$E72:INDEX('Feijão 2ª safra'!$E72:$Z72,MIN(I$6-$G$3,22))),0)))))</f>
        <v>0</v>
      </c>
      <c r="J74" s="27" t="n">
        <f aca="false">IF(COUNT('Feijão 2ª safra'!$E72:$Z72)=0,0,MAX(0,IF((J$6-$E$3)&lt;1,0,IFERROR(LOOKUP(2,1/('Feijão 2ª safra'!$E72:INDEX('Feijão 2ª safra'!$E72:$Z72,MIN(J$6-$E$3,22))&lt;&gt;""),'Feijão 2ª safra'!$E72:INDEX('Feijão 2ª safra'!$E72:$Z72,MIN(J$6-$E$3,22))),0))-IF($G$2,0,IF((J$6-$G$3)&lt;1,0,IFERROR(LOOKUP(2,1/('Feijão 2ª safra'!$E72:INDEX('Feijão 2ª safra'!$E72:$Z72,MIN(J$6-$G$3,22))&lt;&gt;""),'Feijão 2ª safra'!$E72:INDEX('Feijão 2ª safra'!$E72:$Z72,MIN(J$6-$G$3,22))),0)))))</f>
        <v>0</v>
      </c>
      <c r="K74" s="27" t="n">
        <f aca="false">IF(COUNT('Feijão 2ª safra'!$E72:$Z72)=0,0,MAX(0,IF((K$6-$E$3)&lt;1,0,IFERROR(LOOKUP(2,1/('Feijão 2ª safra'!$E72:INDEX('Feijão 2ª safra'!$E72:$Z72,MIN(K$6-$E$3,22))&lt;&gt;""),'Feijão 2ª safra'!$E72:INDEX('Feijão 2ª safra'!$E72:$Z72,MIN(K$6-$E$3,22))),0))-IF($G$2,0,IF((K$6-$G$3)&lt;1,0,IFERROR(LOOKUP(2,1/('Feijão 2ª safra'!$E72:INDEX('Feijão 2ª safra'!$E72:$Z72,MIN(K$6-$G$3,22))&lt;&gt;""),'Feijão 2ª safra'!$E72:INDEX('Feijão 2ª safra'!$E72:$Z72,MIN(K$6-$G$3,22))),0)))))</f>
        <v>0</v>
      </c>
      <c r="L74" s="27" t="n">
        <f aca="false">IF(COUNT('Feijão 2ª safra'!$E72:$Z72)=0,0,MAX(0,IF((L$6-$E$3)&lt;1,0,IFERROR(LOOKUP(2,1/('Feijão 2ª safra'!$E72:INDEX('Feijão 2ª safra'!$E72:$Z72,MIN(L$6-$E$3,22))&lt;&gt;""),'Feijão 2ª safra'!$E72:INDEX('Feijão 2ª safra'!$E72:$Z72,MIN(L$6-$E$3,22))),0))-IF($G$2,0,IF((L$6-$G$3)&lt;1,0,IFERROR(LOOKUP(2,1/('Feijão 2ª safra'!$E72:INDEX('Feijão 2ª safra'!$E72:$Z72,MIN(L$6-$G$3,22))&lt;&gt;""),'Feijão 2ª safra'!$E72:INDEX('Feijão 2ª safra'!$E72:$Z72,MIN(L$6-$G$3,22))),0)))))</f>
        <v>0</v>
      </c>
      <c r="M74" s="27" t="n">
        <f aca="false">IF(COUNT('Feijão 2ª safra'!$E72:$Z72)=0,0,MAX(0,IF((M$6-$E$3)&lt;1,0,IFERROR(LOOKUP(2,1/('Feijão 2ª safra'!$E72:INDEX('Feijão 2ª safra'!$E72:$Z72,MIN(M$6-$E$3,22))&lt;&gt;""),'Feijão 2ª safra'!$E72:INDEX('Feijão 2ª safra'!$E72:$Z72,MIN(M$6-$E$3,22))),0))-IF($G$2,0,IF((M$6-$G$3)&lt;1,0,IFERROR(LOOKUP(2,1/('Feijão 2ª safra'!$E72:INDEX('Feijão 2ª safra'!$E72:$Z72,MIN(M$6-$G$3,22))&lt;&gt;""),'Feijão 2ª safra'!$E72:INDEX('Feijão 2ª safra'!$E72:$Z72,MIN(M$6-$G$3,22))),0)))))</f>
        <v>0</v>
      </c>
      <c r="N74" s="27" t="n">
        <f aca="false">IF(COUNT('Feijão 2ª safra'!$E72:$Z72)=0,0,MAX(0,IF((N$6-$E$3)&lt;1,0,IFERROR(LOOKUP(2,1/('Feijão 2ª safra'!$E72:INDEX('Feijão 2ª safra'!$E72:$Z72,MIN(N$6-$E$3,22))&lt;&gt;""),'Feijão 2ª safra'!$E72:INDEX('Feijão 2ª safra'!$E72:$Z72,MIN(N$6-$E$3,22))),0))-IF($G$2,0,IF((N$6-$G$3)&lt;1,0,IFERROR(LOOKUP(2,1/('Feijão 2ª safra'!$E72:INDEX('Feijão 2ª safra'!$E72:$Z72,MIN(N$6-$G$3,22))&lt;&gt;""),'Feijão 2ª safra'!$E72:INDEX('Feijão 2ª safra'!$E72:$Z72,MIN(N$6-$G$3,22))),0)))))</f>
        <v>0</v>
      </c>
      <c r="O74" s="27" t="n">
        <f aca="false">IF(COUNT('Feijão 2ª safra'!$E72:$Z72)=0,0,MAX(0,IF((O$6-$E$3)&lt;1,0,IFERROR(LOOKUP(2,1/('Feijão 2ª safra'!$E72:INDEX('Feijão 2ª safra'!$E72:$Z72,MIN(O$6-$E$3,22))&lt;&gt;""),'Feijão 2ª safra'!$E72:INDEX('Feijão 2ª safra'!$E72:$Z72,MIN(O$6-$E$3,22))),0))-IF($G$2,0,IF((O$6-$G$3)&lt;1,0,IFERROR(LOOKUP(2,1/('Feijão 2ª safra'!$E72:INDEX('Feijão 2ª safra'!$E72:$Z72,MIN(O$6-$G$3,22))&lt;&gt;""),'Feijão 2ª safra'!$E72:INDEX('Feijão 2ª safra'!$E72:$Z72,MIN(O$6-$G$3,22))),0)))))</f>
        <v>0</v>
      </c>
      <c r="P74" s="27" t="n">
        <f aca="false">IF(COUNT('Feijão 2ª safra'!$E72:$Z72)=0,0,MAX(0,IF((P$6-$E$3)&lt;1,0,IFERROR(LOOKUP(2,1/('Feijão 2ª safra'!$E72:INDEX('Feijão 2ª safra'!$E72:$Z72,MIN(P$6-$E$3,22))&lt;&gt;""),'Feijão 2ª safra'!$E72:INDEX('Feijão 2ª safra'!$E72:$Z72,MIN(P$6-$E$3,22))),0))-IF($G$2,0,IF((P$6-$G$3)&lt;1,0,IFERROR(LOOKUP(2,1/('Feijão 2ª safra'!$E72:INDEX('Feijão 2ª safra'!$E72:$Z72,MIN(P$6-$G$3,22))&lt;&gt;""),'Feijão 2ª safra'!$E72:INDEX('Feijão 2ª safra'!$E72:$Z72,MIN(P$6-$G$3,22))),0)))))</f>
        <v>0</v>
      </c>
      <c r="Q74" s="27" t="n">
        <f aca="false">IF(COUNT('Feijão 2ª safra'!$E72:$Z72)=0,0,MAX(0,IF((Q$6-$E$3)&lt;1,0,IFERROR(LOOKUP(2,1/('Feijão 2ª safra'!$E72:INDEX('Feijão 2ª safra'!$E72:$Z72,MIN(Q$6-$E$3,22))&lt;&gt;""),'Feijão 2ª safra'!$E72:INDEX('Feijão 2ª safra'!$E72:$Z72,MIN(Q$6-$E$3,22))),0))-IF($G$2,0,IF((Q$6-$G$3)&lt;1,0,IFERROR(LOOKUP(2,1/('Feijão 2ª safra'!$E72:INDEX('Feijão 2ª safra'!$E72:$Z72,MIN(Q$6-$G$3,22))&lt;&gt;""),'Feijão 2ª safra'!$E72:INDEX('Feijão 2ª safra'!$E72:$Z72,MIN(Q$6-$G$3,22))),0)))))</f>
        <v>0</v>
      </c>
      <c r="R74" s="27" t="n">
        <f aca="false">IF(COUNT('Feijão 2ª safra'!$E72:$Z72)=0,0,MAX(0,IF((R$6-$E$3)&lt;1,0,IFERROR(LOOKUP(2,1/('Feijão 2ª safra'!$E72:INDEX('Feijão 2ª safra'!$E72:$Z72,MIN(R$6-$E$3,22))&lt;&gt;""),'Feijão 2ª safra'!$E72:INDEX('Feijão 2ª safra'!$E72:$Z72,MIN(R$6-$E$3,22))),0))-IF($G$2,0,IF((R$6-$G$3)&lt;1,0,IFERROR(LOOKUP(2,1/('Feijão 2ª safra'!$E72:INDEX('Feijão 2ª safra'!$E72:$Z72,MIN(R$6-$G$3,22))&lt;&gt;""),'Feijão 2ª safra'!$E72:INDEX('Feijão 2ª safra'!$E72:$Z72,MIN(R$6-$G$3,22))),0)))))</f>
        <v>0</v>
      </c>
      <c r="S74" s="27" t="n">
        <f aca="false">IF(COUNT('Feijão 2ª safra'!$E72:$Z72)=0,0,MAX(0,IF((S$6-$E$3)&lt;1,0,IFERROR(LOOKUP(2,1/('Feijão 2ª safra'!$E72:INDEX('Feijão 2ª safra'!$E72:$Z72,MIN(S$6-$E$3,22))&lt;&gt;""),'Feijão 2ª safra'!$E72:INDEX('Feijão 2ª safra'!$E72:$Z72,MIN(S$6-$E$3,22))),0))-IF($G$2,0,IF((S$6-$G$3)&lt;1,0,IFERROR(LOOKUP(2,1/('Feijão 2ª safra'!$E72:INDEX('Feijão 2ª safra'!$E72:$Z72,MIN(S$6-$G$3,22))&lt;&gt;""),'Feijão 2ª safra'!$E72:INDEX('Feijão 2ª safra'!$E72:$Z72,MIN(S$6-$G$3,22))),0)))))</f>
        <v>0</v>
      </c>
      <c r="T74" s="27" t="n">
        <f aca="false">IF(COUNT('Feijão 2ª safra'!$E72:$Z72)=0,0,MAX(0,IF((T$6-$E$3)&lt;1,0,IFERROR(LOOKUP(2,1/('Feijão 2ª safra'!$E72:INDEX('Feijão 2ª safra'!$E72:$Z72,MIN(T$6-$E$3,22))&lt;&gt;""),'Feijão 2ª safra'!$E72:INDEX('Feijão 2ª safra'!$E72:$Z72,MIN(T$6-$E$3,22))),0))-IF($G$2,0,IF((T$6-$G$3)&lt;1,0,IFERROR(LOOKUP(2,1/('Feijão 2ª safra'!$E72:INDEX('Feijão 2ª safra'!$E72:$Z72,MIN(T$6-$G$3,22))&lt;&gt;""),'Feijão 2ª safra'!$E72:INDEX('Feijão 2ª safra'!$E72:$Z72,MIN(T$6-$G$3,22))),0)))))</f>
        <v>0</v>
      </c>
      <c r="U74" s="27" t="n">
        <f aca="false">IF(COUNT('Feijão 2ª safra'!$E72:$Z72)=0,0,MAX(0,IF((U$6-$E$3)&lt;1,0,IFERROR(LOOKUP(2,1/('Feijão 2ª safra'!$E72:INDEX('Feijão 2ª safra'!$E72:$Z72,MIN(U$6-$E$3,22))&lt;&gt;""),'Feijão 2ª safra'!$E72:INDEX('Feijão 2ª safra'!$E72:$Z72,MIN(U$6-$E$3,22))),0))-IF($G$2,0,IF((U$6-$G$3)&lt;1,0,IFERROR(LOOKUP(2,1/('Feijão 2ª safra'!$E72:INDEX('Feijão 2ª safra'!$E72:$Z72,MIN(U$6-$G$3,22))&lt;&gt;""),'Feijão 2ª safra'!$E72:INDEX('Feijão 2ª safra'!$E72:$Z72,MIN(U$6-$G$3,22))),0)))))</f>
        <v>0</v>
      </c>
      <c r="V74" s="27" t="n">
        <f aca="false">IF(COUNT('Feijão 2ª safra'!$E72:$Z72)=0,0,MAX(0,IF((V$6-$E$3)&lt;1,0,IFERROR(LOOKUP(2,1/('Feijão 2ª safra'!$E72:INDEX('Feijão 2ª safra'!$E72:$Z72,MIN(V$6-$E$3,22))&lt;&gt;""),'Feijão 2ª safra'!$E72:INDEX('Feijão 2ª safra'!$E72:$Z72,MIN(V$6-$E$3,22))),0))-IF($G$2,0,IF((V$6-$G$3)&lt;1,0,IFERROR(LOOKUP(2,1/('Feijão 2ª safra'!$E72:INDEX('Feijão 2ª safra'!$E72:$Z72,MIN(V$6-$G$3,22))&lt;&gt;""),'Feijão 2ª safra'!$E72:INDEX('Feijão 2ª safra'!$E72:$Z72,MIN(V$6-$G$3,22))),0)))))</f>
        <v>0</v>
      </c>
      <c r="W74" s="27" t="n">
        <f aca="false">IF(COUNT('Feijão 2ª safra'!$E72:$Z72)=0,0,MAX(0,IF((W$6-$E$3)&lt;1,0,IFERROR(LOOKUP(2,1/('Feijão 2ª safra'!$E72:INDEX('Feijão 2ª safra'!$E72:$Z72,MIN(W$6-$E$3,22))&lt;&gt;""),'Feijão 2ª safra'!$E72:INDEX('Feijão 2ª safra'!$E72:$Z72,MIN(W$6-$E$3,22))),0))-IF($G$2,0,IF((W$6-$G$3)&lt;1,0,IFERROR(LOOKUP(2,1/('Feijão 2ª safra'!$E72:INDEX('Feijão 2ª safra'!$E72:$Z72,MIN(W$6-$G$3,22))&lt;&gt;""),'Feijão 2ª safra'!$E72:INDEX('Feijão 2ª safra'!$E72:$Z72,MIN(W$6-$G$3,22))),0)))))</f>
        <v>0</v>
      </c>
      <c r="X74" s="27" t="n">
        <f aca="false">IF(COUNT('Feijão 2ª safra'!$E72:$Z72)=0,0,MAX(0,IF((X$6-$E$3)&lt;1,0,IFERROR(LOOKUP(2,1/('Feijão 2ª safra'!$E72:INDEX('Feijão 2ª safra'!$E72:$Z72,MIN(X$6-$E$3,22))&lt;&gt;""),'Feijão 2ª safra'!$E72:INDEX('Feijão 2ª safra'!$E72:$Z72,MIN(X$6-$E$3,22))),0))-IF($G$2,0,IF((X$6-$G$3)&lt;1,0,IFERROR(LOOKUP(2,1/('Feijão 2ª safra'!$E72:INDEX('Feijão 2ª safra'!$E72:$Z72,MIN(X$6-$G$3,22))&lt;&gt;""),'Feijão 2ª safra'!$E72:INDEX('Feijão 2ª safra'!$E72:$Z72,MIN(X$6-$G$3,22))),0)))))</f>
        <v>0</v>
      </c>
      <c r="Y74" s="27" t="n">
        <f aca="false">IF(COUNT('Feijão 2ª safra'!$E72:$Z72)=0,0,MAX(0,IF((Y$6-$E$3)&lt;1,0,IFERROR(LOOKUP(2,1/('Feijão 2ª safra'!$E72:INDEX('Feijão 2ª safra'!$E72:$Z72,MIN(Y$6-$E$3,22))&lt;&gt;""),'Feijão 2ª safra'!$E72:INDEX('Feijão 2ª safra'!$E72:$Z72,MIN(Y$6-$E$3,22))),0))-IF($G$2,0,IF((Y$6-$G$3)&lt;1,0,IFERROR(LOOKUP(2,1/('Feijão 2ª safra'!$E72:INDEX('Feijão 2ª safra'!$E72:$Z72,MIN(Y$6-$G$3,22))&lt;&gt;""),'Feijão 2ª safra'!$E72:INDEX('Feijão 2ª safra'!$E72:$Z72,MIN(Y$6-$G$3,22))),0)))))</f>
        <v>0</v>
      </c>
      <c r="Z74" s="27" t="n">
        <f aca="false">IF(COUNT('Feijão 2ª safra'!$E72:$Z72)=0,0,MAX(0,IF((Z$6-$E$3)&lt;1,0,IFERROR(LOOKUP(2,1/('Feijão 2ª safra'!$E72:INDEX('Feijão 2ª safra'!$E72:$Z72,MIN(Z$6-$E$3,22))&lt;&gt;""),'Feijão 2ª safra'!$E72:INDEX('Feijão 2ª safra'!$E72:$Z72,MIN(Z$6-$E$3,22))),0))-IF($G$2,0,IF((Z$6-$G$3)&lt;1,0,IFERROR(LOOKUP(2,1/('Feijão 2ª safra'!$E72:INDEX('Feijão 2ª safra'!$E72:$Z72,MIN(Z$6-$G$3,22))&lt;&gt;""),'Feijão 2ª safra'!$E72:INDEX('Feijão 2ª safra'!$E72:$Z72,MIN(Z$6-$G$3,22))),0)))))</f>
        <v>0</v>
      </c>
      <c r="AA74" s="27" t="n">
        <f aca="false">IF(COUNT('Feijão 2ª safra'!$E72:$Z72)=0,0,MAX(0,IF((AA$6-$E$3)&lt;1,0,IFERROR(LOOKUP(2,1/('Feijão 2ª safra'!$E72:INDEX('Feijão 2ª safra'!$E72:$Z72,MIN(AA$6-$E$3,22))&lt;&gt;""),'Feijão 2ª safra'!$E72:INDEX('Feijão 2ª safra'!$E72:$Z72,MIN(AA$6-$E$3,22))),0))-IF($G$2,0,IF((AA$6-$G$3)&lt;1,0,IFERROR(LOOKUP(2,1/('Feijão 2ª safra'!$E72:INDEX('Feijão 2ª safra'!$E72:$Z72,MIN(AA$6-$G$3,22))&lt;&gt;""),'Feijão 2ª safra'!$E72:INDEX('Feijão 2ª safra'!$E72:$Z72,MIN(AA$6-$G$3,22))),0)))))</f>
        <v>0</v>
      </c>
      <c r="AB74" s="27" t="n">
        <f aca="false">IF(COUNT('Feijão 2ª safra'!$E72:$Z72)=0,0,MAX(0,IF((AB$6-$E$3)&lt;1,0,IFERROR(LOOKUP(2,1/('Feijão 2ª safra'!$E72:INDEX('Feijão 2ª safra'!$E72:$Z72,MIN(AB$6-$E$3,22))&lt;&gt;""),'Feijão 2ª safra'!$E72:INDEX('Feijão 2ª safra'!$E72:$Z72,MIN(AB$6-$E$3,22))),0))-IF($G$2,0,IF((AB$6-$G$3)&lt;1,0,IFERROR(LOOKUP(2,1/('Feijão 2ª safra'!$E72:INDEX('Feijão 2ª safra'!$E72:$Z72,MIN(AB$6-$G$3,22))&lt;&gt;""),'Feijão 2ª safra'!$E72:INDEX('Feijão 2ª safra'!$E72:$Z72,MIN(AB$6-$G$3,22))),0)))))</f>
        <v>0</v>
      </c>
      <c r="AC74" s="27" t="n">
        <f aca="false">IF(COUNT('Feijão 2ª safra'!$E72:$Z72)=0,0,MAX(0,IF((AC$6-$E$3)&lt;1,0,IFERROR(LOOKUP(2,1/('Feijão 2ª safra'!$E72:INDEX('Feijão 2ª safra'!$E72:$Z72,MIN(AC$6-$E$3,22))&lt;&gt;""),'Feijão 2ª safra'!$E72:INDEX('Feijão 2ª safra'!$E72:$Z72,MIN(AC$6-$E$3,22))),0))-IF($G$2,0,IF((AC$6-$G$3)&lt;1,0,IFERROR(LOOKUP(2,1/('Feijão 2ª safra'!$E72:INDEX('Feijão 2ª safra'!$E72:$Z72,MIN(AC$6-$G$3,22))&lt;&gt;""),'Feijão 2ª safra'!$E72:INDEX('Feijão 2ª safra'!$E72:$Z72,MIN(AC$6-$G$3,22))),0)))))</f>
        <v>0</v>
      </c>
      <c r="AD74" s="27" t="n">
        <f aca="false">IF(COUNT('Feijão 2ª safra'!$E72:$Z72)=0,0,MAX(0,IF((AD$6-$E$3)&lt;1,0,IFERROR(LOOKUP(2,1/('Feijão 2ª safra'!$E72:INDEX('Feijão 2ª safra'!$E72:$Z72,MIN(AD$6-$E$3,22))&lt;&gt;""),'Feijão 2ª safra'!$E72:INDEX('Feijão 2ª safra'!$E72:$Z72,MIN(AD$6-$E$3,22))),0))-IF($G$2,0,IF((AD$6-$G$3)&lt;1,0,IFERROR(LOOKUP(2,1/('Feijão 2ª safra'!$E72:INDEX('Feijão 2ª safra'!$E72:$Z72,MIN(AD$6-$G$3,22))&lt;&gt;""),'Feijão 2ª safra'!$E72:INDEX('Feijão 2ª safra'!$E72:$Z72,MIN(AD$6-$G$3,22))),0)))))</f>
        <v>0</v>
      </c>
      <c r="AE74" s="27" t="n">
        <f aca="false">IF(COUNT('Feijão 2ª safra'!$E72:$Z72)=0,0,MAX(0,IF((AE$6-$E$3)&lt;1,0,IFERROR(LOOKUP(2,1/('Feijão 2ª safra'!$E72:INDEX('Feijão 2ª safra'!$E72:$Z72,MIN(AE$6-$E$3,22))&lt;&gt;""),'Feijão 2ª safra'!$E72:INDEX('Feijão 2ª safra'!$E72:$Z72,MIN(AE$6-$E$3,22))),0))-IF($G$2,0,IF((AE$6-$G$3)&lt;1,0,IFERROR(LOOKUP(2,1/('Feijão 2ª safra'!$E72:INDEX('Feijão 2ª safra'!$E72:$Z72,MIN(AE$6-$G$3,22))&lt;&gt;""),'Feijão 2ª safra'!$E72:INDEX('Feijão 2ª safra'!$E72:$Z72,MIN(AE$6-$G$3,22))),0)))))</f>
        <v>0</v>
      </c>
      <c r="AF74" s="27" t="n">
        <f aca="false">IF(COUNT('Feijão 2ª safra'!$E72:$Z72)=0,0,MAX(0,IF((AF$6-$E$3)&lt;1,0,IFERROR(LOOKUP(2,1/('Feijão 2ª safra'!$E72:INDEX('Feijão 2ª safra'!$E72:$Z72,MIN(AF$6-$E$3,22))&lt;&gt;""),'Feijão 2ª safra'!$E72:INDEX('Feijão 2ª safra'!$E72:$Z72,MIN(AF$6-$E$3,22))),0))-IF($G$2,0,IF((AF$6-$G$3)&lt;1,0,IFERROR(LOOKUP(2,1/('Feijão 2ª safra'!$E72:INDEX('Feijão 2ª safra'!$E72:$Z72,MIN(AF$6-$G$3,22))&lt;&gt;""),'Feijão 2ª safra'!$E72:INDEX('Feijão 2ª safra'!$E72:$Z72,MIN(AF$6-$G$3,22))),0)))))</f>
        <v>0</v>
      </c>
      <c r="AG74" s="27" t="n">
        <f aca="false">IF(COUNT('Feijão 2ª safra'!$E72:$Z72)=0,0,MAX(0,IF((AG$6-$E$3)&lt;1,0,IFERROR(LOOKUP(2,1/('Feijão 2ª safra'!$E72:INDEX('Feijão 2ª safra'!$E72:$Z72,MIN(AG$6-$E$3,22))&lt;&gt;""),'Feijão 2ª safra'!$E72:INDEX('Feijão 2ª safra'!$E72:$Z72,MIN(AG$6-$E$3,22))),0))-IF($G$2,0,IF((AG$6-$G$3)&lt;1,0,IFERROR(LOOKUP(2,1/('Feijão 2ª safra'!$E72:INDEX('Feijão 2ª safra'!$E72:$Z72,MIN(AG$6-$G$3,22))&lt;&gt;""),'Feijão 2ª safra'!$E72:INDEX('Feijão 2ª safra'!$E72:$Z72,MIN(AG$6-$G$3,22))),0)))))</f>
        <v>0</v>
      </c>
      <c r="AH74" s="27" t="n">
        <f aca="false">IF(COUNT('Feijão 2ª safra'!$E72:$Z72)=0,0,MAX(0,IF((AH$6-$E$3)&lt;1,0,IFERROR(LOOKUP(2,1/('Feijão 2ª safra'!$E72:INDEX('Feijão 2ª safra'!$E72:$Z72,MIN(AH$6-$E$3,22))&lt;&gt;""),'Feijão 2ª safra'!$E72:INDEX('Feijão 2ª safra'!$E72:$Z72,MIN(AH$6-$E$3,22))),0))-IF($G$2,0,IF((AH$6-$G$3)&lt;1,0,IFERROR(LOOKUP(2,1/('Feijão 2ª safra'!$E72:INDEX('Feijão 2ª safra'!$E72:$Z72,MIN(AH$6-$G$3,22))&lt;&gt;""),'Feijão 2ª safra'!$E72:INDEX('Feijão 2ª safra'!$E72:$Z72,MIN(AH$6-$G$3,22))),0)))))</f>
        <v>0</v>
      </c>
      <c r="AI74" s="27" t="n">
        <f aca="false">IF(COUNT('Feijão 2ª safra'!$E72:$Z72)=0,0,MAX(0,IF((AI$6-$E$3)&lt;1,0,IFERROR(LOOKUP(2,1/('Feijão 2ª safra'!$E72:INDEX('Feijão 2ª safra'!$E72:$Z72,MIN(AI$6-$E$3,22))&lt;&gt;""),'Feijão 2ª safra'!$E72:INDEX('Feijão 2ª safra'!$E72:$Z72,MIN(AI$6-$E$3,22))),0))-IF($G$2,0,IF((AI$6-$G$3)&lt;1,0,IFERROR(LOOKUP(2,1/('Feijão 2ª safra'!$E72:INDEX('Feijão 2ª safra'!$E72:$Z72,MIN(AI$6-$G$3,22))&lt;&gt;""),'Feijão 2ª safra'!$E72:INDEX('Feijão 2ª safra'!$E72:$Z72,MIN(AI$6-$G$3,22))),0)))))</f>
        <v>0</v>
      </c>
      <c r="AJ74" s="27" t="n">
        <f aca="false">IF(COUNT('Feijão 2ª safra'!$E72:$Z72)=0,0,MAX(0,IF((AJ$6-$E$3)&lt;1,0,IFERROR(LOOKUP(2,1/('Feijão 2ª safra'!$E72:INDEX('Feijão 2ª safra'!$E72:$Z72,MIN(AJ$6-$E$3,22))&lt;&gt;""),'Feijão 2ª safra'!$E72:INDEX('Feijão 2ª safra'!$E72:$Z72,MIN(AJ$6-$E$3,22))),0))-IF($G$2,0,IF((AJ$6-$G$3)&lt;1,0,IFERROR(LOOKUP(2,1/('Feijão 2ª safra'!$E72:INDEX('Feijão 2ª safra'!$E72:$Z72,MIN(AJ$6-$G$3,22))&lt;&gt;""),'Feijão 2ª safra'!$E72:INDEX('Feijão 2ª safra'!$E72:$Z72,MIN(AJ$6-$G$3,22))),0)))))</f>
        <v>0</v>
      </c>
      <c r="AK74" s="27" t="n">
        <f aca="false">IF(COUNT('Feijão 2ª safra'!$E72:$Z72)=0,0,MAX(0,IF((AK$6-$E$3)&lt;1,0,IFERROR(LOOKUP(2,1/('Feijão 2ª safra'!$E72:INDEX('Feijão 2ª safra'!$E72:$Z72,MIN(AK$6-$E$3,22))&lt;&gt;""),'Feijão 2ª safra'!$E72:INDEX('Feijão 2ª safra'!$E72:$Z72,MIN(AK$6-$E$3,22))),0))-IF($G$2,0,IF((AK$6-$G$3)&lt;1,0,IFERROR(LOOKUP(2,1/('Feijão 2ª safra'!$E72:INDEX('Feijão 2ª safra'!$E72:$Z72,MIN(AK$6-$G$3,22))&lt;&gt;""),'Feijão 2ª safra'!$E72:INDEX('Feijão 2ª safra'!$E72:$Z72,MIN(AK$6-$G$3,22))),0)))))</f>
        <v>0</v>
      </c>
      <c r="AL74" s="27" t="n">
        <f aca="false">IF(COUNT('Feijão 2ª safra'!$E72:$Z72)=0,0,MAX(0,IF((AL$6-$E$3)&lt;1,0,IFERROR(LOOKUP(2,1/('Feijão 2ª safra'!$E72:INDEX('Feijão 2ª safra'!$E72:$Z72,MIN(AL$6-$E$3,22))&lt;&gt;""),'Feijão 2ª safra'!$E72:INDEX('Feijão 2ª safra'!$E72:$Z72,MIN(AL$6-$E$3,22))),0))-IF($G$2,0,IF((AL$6-$G$3)&lt;1,0,IFERROR(LOOKUP(2,1/('Feijão 2ª safra'!$E72:INDEX('Feijão 2ª safra'!$E72:$Z72,MIN(AL$6-$G$3,22))&lt;&gt;""),'Feijão 2ª safra'!$E72:INDEX('Feijão 2ª safra'!$E72:$Z72,MIN(AL$6-$G$3,22))),0)))))</f>
        <v>0</v>
      </c>
      <c r="AM74" s="27" t="n">
        <f aca="false">IF(COUNT('Feijão 2ª safra'!$E72:$Z72)=0,0,MAX(0,IF((AM$6-$E$3)&lt;1,0,IFERROR(LOOKUP(2,1/('Feijão 2ª safra'!$E72:INDEX('Feijão 2ª safra'!$E72:$Z72,MIN(AM$6-$E$3,22))&lt;&gt;""),'Feijão 2ª safra'!$E72:INDEX('Feijão 2ª safra'!$E72:$Z72,MIN(AM$6-$E$3,22))),0))-IF($G$2,0,IF((AM$6-$G$3)&lt;1,0,IFERROR(LOOKUP(2,1/('Feijão 2ª safra'!$E72:INDEX('Feijão 2ª safra'!$E72:$Z72,MIN(AM$6-$G$3,22))&lt;&gt;""),'Feijão 2ª safra'!$E72:INDEX('Feijão 2ª safra'!$E72:$Z72,MIN(AM$6-$G$3,22))),0)))))</f>
        <v>0</v>
      </c>
      <c r="AN74" s="27" t="n">
        <f aca="false">IF(COUNT('Feijão 2ª safra'!$E72:$Z72)=0,0,MAX(0,IF((AN$6-$E$3)&lt;1,0,IFERROR(LOOKUP(2,1/('Feijão 2ª safra'!$E72:INDEX('Feijão 2ª safra'!$E72:$Z72,MIN(AN$6-$E$3,22))&lt;&gt;""),'Feijão 2ª safra'!$E72:INDEX('Feijão 2ª safra'!$E72:$Z72,MIN(AN$6-$E$3,22))),0))-IF($G$2,0,IF((AN$6-$G$3)&lt;1,0,IFERROR(LOOKUP(2,1/('Feijão 2ª safra'!$E72:INDEX('Feijão 2ª safra'!$E72:$Z72,MIN(AN$6-$G$3,22))&lt;&gt;""),'Feijão 2ª safra'!$E72:INDEX('Feijão 2ª safra'!$E72:$Z72,MIN(AN$6-$G$3,22))),0)))))</f>
        <v>0</v>
      </c>
      <c r="AO74" s="27" t="n">
        <f aca="false">IF(COUNT('Feijão 2ª safra'!$E72:$Z72)=0,0,MAX(0,IF((AO$6-$E$3)&lt;1,0,IFERROR(LOOKUP(2,1/('Feijão 2ª safra'!$E72:INDEX('Feijão 2ª safra'!$E72:$Z72,MIN(AO$6-$E$3,22))&lt;&gt;""),'Feijão 2ª safra'!$E72:INDEX('Feijão 2ª safra'!$E72:$Z72,MIN(AO$6-$E$3,22))),0))-IF($G$2,0,IF((AO$6-$G$3)&lt;1,0,IFERROR(LOOKUP(2,1/('Feijão 2ª safra'!$E72:INDEX('Feijão 2ª safra'!$E72:$Z72,MIN(AO$6-$G$3,22))&lt;&gt;""),'Feijão 2ª safra'!$E72:INDEX('Feijão 2ª safra'!$E72:$Z72,MIN(AO$6-$G$3,22))),0)))))</f>
        <v>0</v>
      </c>
      <c r="AP74" s="27" t="n">
        <f aca="false">IF(COUNT('Feijão 2ª safra'!$E72:$Z72)=0,0,MAX(0,IF((AP$6-$E$3)&lt;1,0,IFERROR(LOOKUP(2,1/('Feijão 2ª safra'!$E72:INDEX('Feijão 2ª safra'!$E72:$Z72,MIN(AP$6-$E$3,22))&lt;&gt;""),'Feijão 2ª safra'!$E72:INDEX('Feijão 2ª safra'!$E72:$Z72,MIN(AP$6-$E$3,22))),0))-IF($G$2,0,IF((AP$6-$G$3)&lt;1,0,IFERROR(LOOKUP(2,1/('Feijão 2ª safra'!$E72:INDEX('Feijão 2ª safra'!$E72:$Z72,MIN(AP$6-$G$3,22))&lt;&gt;""),'Feijão 2ª safra'!$E72:INDEX('Feijão 2ª safra'!$E72:$Z72,MIN(AP$6-$G$3,22))),0)))))</f>
        <v>0</v>
      </c>
      <c r="AQ74" s="27" t="n">
        <f aca="false">IF(COUNT('Feijão 2ª safra'!$E72:$Z72)=0,0,MAX(0,IF((AQ$6-$E$3)&lt;1,0,IFERROR(LOOKUP(2,1/('Feijão 2ª safra'!$E72:INDEX('Feijão 2ª safra'!$E72:$Z72,MIN(AQ$6-$E$3,22))&lt;&gt;""),'Feijão 2ª safra'!$E72:INDEX('Feijão 2ª safra'!$E72:$Z72,MIN(AQ$6-$E$3,22))),0))-IF($G$2,0,IF((AQ$6-$G$3)&lt;1,0,IFERROR(LOOKUP(2,1/('Feijão 2ª safra'!$E72:INDEX('Feijão 2ª safra'!$E72:$Z72,MIN(AQ$6-$G$3,22))&lt;&gt;""),'Feijão 2ª safra'!$E72:INDEX('Feijão 2ª safra'!$E72:$Z72,MIN(AQ$6-$G$3,22))),0)))))</f>
        <v>0</v>
      </c>
      <c r="AR74" s="27" t="n">
        <f aca="false">IF(COUNT('Feijão 2ª safra'!$E72:$Z72)=0,0,MAX(0,IF((AR$6-$E$3)&lt;1,0,IFERROR(LOOKUP(2,1/('Feijão 2ª safra'!$E72:INDEX('Feijão 2ª safra'!$E72:$Z72,MIN(AR$6-$E$3,22))&lt;&gt;""),'Feijão 2ª safra'!$E72:INDEX('Feijão 2ª safra'!$E72:$Z72,MIN(AR$6-$E$3,22))),0))-IF($G$2,0,IF((AR$6-$G$3)&lt;1,0,IFERROR(LOOKUP(2,1/('Feijão 2ª safra'!$E72:INDEX('Feijão 2ª safra'!$E72:$Z72,MIN(AR$6-$G$3,22))&lt;&gt;""),'Feijão 2ª safra'!$E72:INDEX('Feijão 2ª safra'!$E72:$Z72,MIN(AR$6-$G$3,22))),0)))))</f>
        <v>0</v>
      </c>
      <c r="AS74" s="27" t="n">
        <f aca="false">IF(COUNT('Feijão 2ª safra'!$E72:$Z72)=0,0,MAX(0,IF((AS$6-$E$3)&lt;1,0,IFERROR(LOOKUP(2,1/('Feijão 2ª safra'!$E72:INDEX('Feijão 2ª safra'!$E72:$Z72,MIN(AS$6-$E$3,22))&lt;&gt;""),'Feijão 2ª safra'!$E72:INDEX('Feijão 2ª safra'!$E72:$Z72,MIN(AS$6-$E$3,22))),0))-IF($G$2,0,IF((AS$6-$G$3)&lt;1,0,IFERROR(LOOKUP(2,1/('Feijão 2ª safra'!$E72:INDEX('Feijão 2ª safra'!$E72:$Z72,MIN(AS$6-$G$3,22))&lt;&gt;""),'Feijão 2ª safra'!$E72:INDEX('Feijão 2ª safra'!$E72:$Z72,MIN(AS$6-$G$3,22))),0)))))</f>
        <v>0</v>
      </c>
      <c r="AT74" s="27" t="n">
        <f aca="false">IF(COUNT('Feijão 2ª safra'!$E72:$Z72)=0,0,MAX(0,IF((AT$6-$E$3)&lt;1,0,IFERROR(LOOKUP(2,1/('Feijão 2ª safra'!$E72:INDEX('Feijão 2ª safra'!$E72:$Z72,MIN(AT$6-$E$3,22))&lt;&gt;""),'Feijão 2ª safra'!$E72:INDEX('Feijão 2ª safra'!$E72:$Z72,MIN(AT$6-$E$3,22))),0))-IF($G$2,0,IF((AT$6-$G$3)&lt;1,0,IFERROR(LOOKUP(2,1/('Feijão 2ª safra'!$E72:INDEX('Feijão 2ª safra'!$E72:$Z72,MIN(AT$6-$G$3,22))&lt;&gt;""),'Feijão 2ª safra'!$E72:INDEX('Feijão 2ª safra'!$E72:$Z72,MIN(AT$6-$G$3,22))),0)))))</f>
        <v>0</v>
      </c>
      <c r="AU74" s="27" t="n">
        <f aca="false">IF(COUNT('Feijão 2ª safra'!$E72:$Z72)=0,0,MAX(0,IF((AU$6-$E$3)&lt;1,0,IFERROR(LOOKUP(2,1/('Feijão 2ª safra'!$E72:INDEX('Feijão 2ª safra'!$E72:$Z72,MIN(AU$6-$E$3,22))&lt;&gt;""),'Feijão 2ª safra'!$E72:INDEX('Feijão 2ª safra'!$E72:$Z72,MIN(AU$6-$E$3,22))),0))-IF($G$2,0,IF((AU$6-$G$3)&lt;1,0,IFERROR(LOOKUP(2,1/('Feijão 2ª safra'!$E72:INDEX('Feijão 2ª safra'!$E72:$Z72,MIN(AU$6-$G$3,22))&lt;&gt;""),'Feijão 2ª safra'!$E72:INDEX('Feijão 2ª safra'!$E72:$Z72,MIN(AU$6-$G$3,22))),0)))))</f>
        <v>0</v>
      </c>
      <c r="AV74" s="27" t="n">
        <f aca="false">IF(COUNT('Feijão 2ª safra'!$E72:$Z72)=0,0,MAX(0,IF((AV$6-$E$3)&lt;1,0,IFERROR(LOOKUP(2,1/('Feijão 2ª safra'!$E72:INDEX('Feijão 2ª safra'!$E72:$Z72,MIN(AV$6-$E$3,22))&lt;&gt;""),'Feijão 2ª safra'!$E72:INDEX('Feijão 2ª safra'!$E72:$Z72,MIN(AV$6-$E$3,22))),0))-IF($G$2,0,IF((AV$6-$G$3)&lt;1,0,IFERROR(LOOKUP(2,1/('Feijão 2ª safra'!$E72:INDEX('Feijão 2ª safra'!$E72:$Z72,MIN(AV$6-$G$3,22))&lt;&gt;""),'Feijão 2ª safra'!$E72:INDEX('Feijão 2ª safra'!$E72:$Z72,MIN(AV$6-$G$3,22))),0)))))</f>
        <v>0</v>
      </c>
      <c r="AW74" s="27" t="n">
        <f aca="false">IF(COUNT('Feijão 2ª safra'!$E72:$Z72)=0,0,MAX(0,IF((AW$6-$E$3)&lt;1,0,IFERROR(LOOKUP(2,1/('Feijão 2ª safra'!$E72:INDEX('Feijão 2ª safra'!$E72:$Z72,MIN(AW$6-$E$3,22))&lt;&gt;""),'Feijão 2ª safra'!$E72:INDEX('Feijão 2ª safra'!$E72:$Z72,MIN(AW$6-$E$3,22))),0))-IF($G$2,0,IF((AW$6-$G$3)&lt;1,0,IFERROR(LOOKUP(2,1/('Feijão 2ª safra'!$E72:INDEX('Feijão 2ª safra'!$E72:$Z72,MIN(AW$6-$G$3,22))&lt;&gt;""),'Feijão 2ª safra'!$E72:INDEX('Feijão 2ª safra'!$E72:$Z72,MIN(AW$6-$G$3,22))),0)))))</f>
        <v>0</v>
      </c>
      <c r="AX74" s="27" t="n">
        <f aca="false">IF(COUNT('Feijão 2ª safra'!$E72:$Z72)=0,0,MAX(0,IF((AX$6-$E$3)&lt;1,0,IFERROR(LOOKUP(2,1/('Feijão 2ª safra'!$E72:INDEX('Feijão 2ª safra'!$E72:$Z72,MIN(AX$6-$E$3,22))&lt;&gt;""),'Feijão 2ª safra'!$E72:INDEX('Feijão 2ª safra'!$E72:$Z72,MIN(AX$6-$E$3,22))),0))-IF($G$2,0,IF((AX$6-$G$3)&lt;1,0,IFERROR(LOOKUP(2,1/('Feijão 2ª safra'!$E72:INDEX('Feijão 2ª safra'!$E72:$Z72,MIN(AX$6-$G$3,22))&lt;&gt;""),'Feijão 2ª safra'!$E72:INDEX('Feijão 2ª safra'!$E72:$Z72,MIN(AX$6-$G$3,22))),0)))))</f>
        <v>0</v>
      </c>
      <c r="AY74" s="27" t="n">
        <f aca="false">IF(COUNT('Feijão 2ª safra'!$E72:$Z72)=0,0,MAX(0,IF((AY$6-$E$3)&lt;1,0,IFERROR(LOOKUP(2,1/('Feijão 2ª safra'!$E72:INDEX('Feijão 2ª safra'!$E72:$Z72,MIN(AY$6-$E$3,22))&lt;&gt;""),'Feijão 2ª safra'!$E72:INDEX('Feijão 2ª safra'!$E72:$Z72,MIN(AY$6-$E$3,22))),0))-IF($G$2,0,IF((AY$6-$G$3)&lt;1,0,IFERROR(LOOKUP(2,1/('Feijão 2ª safra'!$E72:INDEX('Feijão 2ª safra'!$E72:$Z72,MIN(AY$6-$G$3,22))&lt;&gt;""),'Feijão 2ª safra'!$E72:INDEX('Feijão 2ª safra'!$E72:$Z72,MIN(AY$6-$G$3,22))),0)))))</f>
        <v>0</v>
      </c>
      <c r="AZ74" s="27" t="n">
        <f aca="false">IF(COUNT('Feijão 2ª safra'!$E72:$Z72)=0,0,MAX(0,IF((AZ$6-$E$3)&lt;1,0,IFERROR(LOOKUP(2,1/('Feijão 2ª safra'!$E72:INDEX('Feijão 2ª safra'!$E72:$Z72,MIN(AZ$6-$E$3,22))&lt;&gt;""),'Feijão 2ª safra'!$E72:INDEX('Feijão 2ª safra'!$E72:$Z72,MIN(AZ$6-$E$3,22))),0))-IF($G$2,0,IF((AZ$6-$G$3)&lt;1,0,IFERROR(LOOKUP(2,1/('Feijão 2ª safra'!$E72:INDEX('Feijão 2ª safra'!$E72:$Z72,MIN(AZ$6-$G$3,22))&lt;&gt;""),'Feijão 2ª safra'!$E72:INDEX('Feijão 2ª safra'!$E72:$Z72,MIN(AZ$6-$G$3,22))),0)))))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IF(COUNT('Feijão 2ª safra'!$E73:$Z73)&gt;0,N('Feijão 2ª safra'!$D73),0)</f>
        <v>0</v>
      </c>
      <c r="E75" s="27" t="n">
        <f aca="false">IF(COUNT('Feijão 2ª safra'!$E73:$Z73)=0,0,MAX(0,IF((E$6-$E$3)&lt;1,0,IFERROR(LOOKUP(2,1/('Feijão 2ª safra'!$E73:INDEX('Feijão 2ª safra'!$E73:$Z73,MIN(E$6-$E$3,22))&lt;&gt;""),'Feijão 2ª safra'!$E73:INDEX('Feijão 2ª safra'!$E73:$Z73,MIN(E$6-$E$3,22))),0))-IF($G$2,0,IF((E$6-$G$3)&lt;1,0,IFERROR(LOOKUP(2,1/('Feijão 2ª safra'!$E73:INDEX('Feijão 2ª safra'!$E73:$Z73,MIN(E$6-$G$3,22))&lt;&gt;""),'Feijão 2ª safra'!$E73:INDEX('Feijão 2ª safra'!$E73:$Z73,MIN(E$6-$G$3,22))),0)))))</f>
        <v>0</v>
      </c>
      <c r="F75" s="27" t="n">
        <f aca="false">IF(COUNT('Feijão 2ª safra'!$E73:$Z73)=0,0,MAX(0,IF((F$6-$E$3)&lt;1,0,IFERROR(LOOKUP(2,1/('Feijão 2ª safra'!$E73:INDEX('Feijão 2ª safra'!$E73:$Z73,MIN(F$6-$E$3,22))&lt;&gt;""),'Feijão 2ª safra'!$E73:INDEX('Feijão 2ª safra'!$E73:$Z73,MIN(F$6-$E$3,22))),0))-IF($G$2,0,IF((F$6-$G$3)&lt;1,0,IFERROR(LOOKUP(2,1/('Feijão 2ª safra'!$E73:INDEX('Feijão 2ª safra'!$E73:$Z73,MIN(F$6-$G$3,22))&lt;&gt;""),'Feijão 2ª safra'!$E73:INDEX('Feijão 2ª safra'!$E73:$Z73,MIN(F$6-$G$3,22))),0)))))</f>
        <v>0</v>
      </c>
      <c r="G75" s="27" t="n">
        <f aca="false">IF(COUNT('Feijão 2ª safra'!$E73:$Z73)=0,0,MAX(0,IF((G$6-$E$3)&lt;1,0,IFERROR(LOOKUP(2,1/('Feijão 2ª safra'!$E73:INDEX('Feijão 2ª safra'!$E73:$Z73,MIN(G$6-$E$3,22))&lt;&gt;""),'Feijão 2ª safra'!$E73:INDEX('Feijão 2ª safra'!$E73:$Z73,MIN(G$6-$E$3,22))),0))-IF($G$2,0,IF((G$6-$G$3)&lt;1,0,IFERROR(LOOKUP(2,1/('Feijão 2ª safra'!$E73:INDEX('Feijão 2ª safra'!$E73:$Z73,MIN(G$6-$G$3,22))&lt;&gt;""),'Feijão 2ª safra'!$E73:INDEX('Feijão 2ª safra'!$E73:$Z73,MIN(G$6-$G$3,22))),0)))))</f>
        <v>0</v>
      </c>
      <c r="H75" s="27" t="n">
        <f aca="false">IF(COUNT('Feijão 2ª safra'!$E73:$Z73)=0,0,MAX(0,IF((H$6-$E$3)&lt;1,0,IFERROR(LOOKUP(2,1/('Feijão 2ª safra'!$E73:INDEX('Feijão 2ª safra'!$E73:$Z73,MIN(H$6-$E$3,22))&lt;&gt;""),'Feijão 2ª safra'!$E73:INDEX('Feijão 2ª safra'!$E73:$Z73,MIN(H$6-$E$3,22))),0))-IF($G$2,0,IF((H$6-$G$3)&lt;1,0,IFERROR(LOOKUP(2,1/('Feijão 2ª safra'!$E73:INDEX('Feijão 2ª safra'!$E73:$Z73,MIN(H$6-$G$3,22))&lt;&gt;""),'Feijão 2ª safra'!$E73:INDEX('Feijão 2ª safra'!$E73:$Z73,MIN(H$6-$G$3,22))),0)))))</f>
        <v>0</v>
      </c>
      <c r="I75" s="27" t="n">
        <f aca="false">IF(COUNT('Feijão 2ª safra'!$E73:$Z73)=0,0,MAX(0,IF((I$6-$E$3)&lt;1,0,IFERROR(LOOKUP(2,1/('Feijão 2ª safra'!$E73:INDEX('Feijão 2ª safra'!$E73:$Z73,MIN(I$6-$E$3,22))&lt;&gt;""),'Feijão 2ª safra'!$E73:INDEX('Feijão 2ª safra'!$E73:$Z73,MIN(I$6-$E$3,22))),0))-IF($G$2,0,IF((I$6-$G$3)&lt;1,0,IFERROR(LOOKUP(2,1/('Feijão 2ª safra'!$E73:INDEX('Feijão 2ª safra'!$E73:$Z73,MIN(I$6-$G$3,22))&lt;&gt;""),'Feijão 2ª safra'!$E73:INDEX('Feijão 2ª safra'!$E73:$Z73,MIN(I$6-$G$3,22))),0)))))</f>
        <v>0</v>
      </c>
      <c r="J75" s="27" t="n">
        <f aca="false">IF(COUNT('Feijão 2ª safra'!$E73:$Z73)=0,0,MAX(0,IF((J$6-$E$3)&lt;1,0,IFERROR(LOOKUP(2,1/('Feijão 2ª safra'!$E73:INDEX('Feijão 2ª safra'!$E73:$Z73,MIN(J$6-$E$3,22))&lt;&gt;""),'Feijão 2ª safra'!$E73:INDEX('Feijão 2ª safra'!$E73:$Z73,MIN(J$6-$E$3,22))),0))-IF($G$2,0,IF((J$6-$G$3)&lt;1,0,IFERROR(LOOKUP(2,1/('Feijão 2ª safra'!$E73:INDEX('Feijão 2ª safra'!$E73:$Z73,MIN(J$6-$G$3,22))&lt;&gt;""),'Feijão 2ª safra'!$E73:INDEX('Feijão 2ª safra'!$E73:$Z73,MIN(J$6-$G$3,22))),0)))))</f>
        <v>0</v>
      </c>
      <c r="K75" s="27" t="n">
        <f aca="false">IF(COUNT('Feijão 2ª safra'!$E73:$Z73)=0,0,MAX(0,IF((K$6-$E$3)&lt;1,0,IFERROR(LOOKUP(2,1/('Feijão 2ª safra'!$E73:INDEX('Feijão 2ª safra'!$E73:$Z73,MIN(K$6-$E$3,22))&lt;&gt;""),'Feijão 2ª safra'!$E73:INDEX('Feijão 2ª safra'!$E73:$Z73,MIN(K$6-$E$3,22))),0))-IF($G$2,0,IF((K$6-$G$3)&lt;1,0,IFERROR(LOOKUP(2,1/('Feijão 2ª safra'!$E73:INDEX('Feijão 2ª safra'!$E73:$Z73,MIN(K$6-$G$3,22))&lt;&gt;""),'Feijão 2ª safra'!$E73:INDEX('Feijão 2ª safra'!$E73:$Z73,MIN(K$6-$G$3,22))),0)))))</f>
        <v>0</v>
      </c>
      <c r="L75" s="27" t="n">
        <f aca="false">IF(COUNT('Feijão 2ª safra'!$E73:$Z73)=0,0,MAX(0,IF((L$6-$E$3)&lt;1,0,IFERROR(LOOKUP(2,1/('Feijão 2ª safra'!$E73:INDEX('Feijão 2ª safra'!$E73:$Z73,MIN(L$6-$E$3,22))&lt;&gt;""),'Feijão 2ª safra'!$E73:INDEX('Feijão 2ª safra'!$E73:$Z73,MIN(L$6-$E$3,22))),0))-IF($G$2,0,IF((L$6-$G$3)&lt;1,0,IFERROR(LOOKUP(2,1/('Feijão 2ª safra'!$E73:INDEX('Feijão 2ª safra'!$E73:$Z73,MIN(L$6-$G$3,22))&lt;&gt;""),'Feijão 2ª safra'!$E73:INDEX('Feijão 2ª safra'!$E73:$Z73,MIN(L$6-$G$3,22))),0)))))</f>
        <v>0</v>
      </c>
      <c r="M75" s="27" t="n">
        <f aca="false">IF(COUNT('Feijão 2ª safra'!$E73:$Z73)=0,0,MAX(0,IF((M$6-$E$3)&lt;1,0,IFERROR(LOOKUP(2,1/('Feijão 2ª safra'!$E73:INDEX('Feijão 2ª safra'!$E73:$Z73,MIN(M$6-$E$3,22))&lt;&gt;""),'Feijão 2ª safra'!$E73:INDEX('Feijão 2ª safra'!$E73:$Z73,MIN(M$6-$E$3,22))),0))-IF($G$2,0,IF((M$6-$G$3)&lt;1,0,IFERROR(LOOKUP(2,1/('Feijão 2ª safra'!$E73:INDEX('Feijão 2ª safra'!$E73:$Z73,MIN(M$6-$G$3,22))&lt;&gt;""),'Feijão 2ª safra'!$E73:INDEX('Feijão 2ª safra'!$E73:$Z73,MIN(M$6-$G$3,22))),0)))))</f>
        <v>0</v>
      </c>
      <c r="N75" s="27" t="n">
        <f aca="false">IF(COUNT('Feijão 2ª safra'!$E73:$Z73)=0,0,MAX(0,IF((N$6-$E$3)&lt;1,0,IFERROR(LOOKUP(2,1/('Feijão 2ª safra'!$E73:INDEX('Feijão 2ª safra'!$E73:$Z73,MIN(N$6-$E$3,22))&lt;&gt;""),'Feijão 2ª safra'!$E73:INDEX('Feijão 2ª safra'!$E73:$Z73,MIN(N$6-$E$3,22))),0))-IF($G$2,0,IF((N$6-$G$3)&lt;1,0,IFERROR(LOOKUP(2,1/('Feijão 2ª safra'!$E73:INDEX('Feijão 2ª safra'!$E73:$Z73,MIN(N$6-$G$3,22))&lt;&gt;""),'Feijão 2ª safra'!$E73:INDEX('Feijão 2ª safra'!$E73:$Z73,MIN(N$6-$G$3,22))),0)))))</f>
        <v>0</v>
      </c>
      <c r="O75" s="27" t="n">
        <f aca="false">IF(COUNT('Feijão 2ª safra'!$E73:$Z73)=0,0,MAX(0,IF((O$6-$E$3)&lt;1,0,IFERROR(LOOKUP(2,1/('Feijão 2ª safra'!$E73:INDEX('Feijão 2ª safra'!$E73:$Z73,MIN(O$6-$E$3,22))&lt;&gt;""),'Feijão 2ª safra'!$E73:INDEX('Feijão 2ª safra'!$E73:$Z73,MIN(O$6-$E$3,22))),0))-IF($G$2,0,IF((O$6-$G$3)&lt;1,0,IFERROR(LOOKUP(2,1/('Feijão 2ª safra'!$E73:INDEX('Feijão 2ª safra'!$E73:$Z73,MIN(O$6-$G$3,22))&lt;&gt;""),'Feijão 2ª safra'!$E73:INDEX('Feijão 2ª safra'!$E73:$Z73,MIN(O$6-$G$3,22))),0)))))</f>
        <v>0</v>
      </c>
      <c r="P75" s="27" t="n">
        <f aca="false">IF(COUNT('Feijão 2ª safra'!$E73:$Z73)=0,0,MAX(0,IF((P$6-$E$3)&lt;1,0,IFERROR(LOOKUP(2,1/('Feijão 2ª safra'!$E73:INDEX('Feijão 2ª safra'!$E73:$Z73,MIN(P$6-$E$3,22))&lt;&gt;""),'Feijão 2ª safra'!$E73:INDEX('Feijão 2ª safra'!$E73:$Z73,MIN(P$6-$E$3,22))),0))-IF($G$2,0,IF((P$6-$G$3)&lt;1,0,IFERROR(LOOKUP(2,1/('Feijão 2ª safra'!$E73:INDEX('Feijão 2ª safra'!$E73:$Z73,MIN(P$6-$G$3,22))&lt;&gt;""),'Feijão 2ª safra'!$E73:INDEX('Feijão 2ª safra'!$E73:$Z73,MIN(P$6-$G$3,22))),0)))))</f>
        <v>0</v>
      </c>
      <c r="Q75" s="27" t="n">
        <f aca="false">IF(COUNT('Feijão 2ª safra'!$E73:$Z73)=0,0,MAX(0,IF((Q$6-$E$3)&lt;1,0,IFERROR(LOOKUP(2,1/('Feijão 2ª safra'!$E73:INDEX('Feijão 2ª safra'!$E73:$Z73,MIN(Q$6-$E$3,22))&lt;&gt;""),'Feijão 2ª safra'!$E73:INDEX('Feijão 2ª safra'!$E73:$Z73,MIN(Q$6-$E$3,22))),0))-IF($G$2,0,IF((Q$6-$G$3)&lt;1,0,IFERROR(LOOKUP(2,1/('Feijão 2ª safra'!$E73:INDEX('Feijão 2ª safra'!$E73:$Z73,MIN(Q$6-$G$3,22))&lt;&gt;""),'Feijão 2ª safra'!$E73:INDEX('Feijão 2ª safra'!$E73:$Z73,MIN(Q$6-$G$3,22))),0)))))</f>
        <v>0</v>
      </c>
      <c r="R75" s="27" t="n">
        <f aca="false">IF(COUNT('Feijão 2ª safra'!$E73:$Z73)=0,0,MAX(0,IF((R$6-$E$3)&lt;1,0,IFERROR(LOOKUP(2,1/('Feijão 2ª safra'!$E73:INDEX('Feijão 2ª safra'!$E73:$Z73,MIN(R$6-$E$3,22))&lt;&gt;""),'Feijão 2ª safra'!$E73:INDEX('Feijão 2ª safra'!$E73:$Z73,MIN(R$6-$E$3,22))),0))-IF($G$2,0,IF((R$6-$G$3)&lt;1,0,IFERROR(LOOKUP(2,1/('Feijão 2ª safra'!$E73:INDEX('Feijão 2ª safra'!$E73:$Z73,MIN(R$6-$G$3,22))&lt;&gt;""),'Feijão 2ª safra'!$E73:INDEX('Feijão 2ª safra'!$E73:$Z73,MIN(R$6-$G$3,22))),0)))))</f>
        <v>0</v>
      </c>
      <c r="S75" s="27" t="n">
        <f aca="false">IF(COUNT('Feijão 2ª safra'!$E73:$Z73)=0,0,MAX(0,IF((S$6-$E$3)&lt;1,0,IFERROR(LOOKUP(2,1/('Feijão 2ª safra'!$E73:INDEX('Feijão 2ª safra'!$E73:$Z73,MIN(S$6-$E$3,22))&lt;&gt;""),'Feijão 2ª safra'!$E73:INDEX('Feijão 2ª safra'!$E73:$Z73,MIN(S$6-$E$3,22))),0))-IF($G$2,0,IF((S$6-$G$3)&lt;1,0,IFERROR(LOOKUP(2,1/('Feijão 2ª safra'!$E73:INDEX('Feijão 2ª safra'!$E73:$Z73,MIN(S$6-$G$3,22))&lt;&gt;""),'Feijão 2ª safra'!$E73:INDEX('Feijão 2ª safra'!$E73:$Z73,MIN(S$6-$G$3,22))),0)))))</f>
        <v>0</v>
      </c>
      <c r="T75" s="27" t="n">
        <f aca="false">IF(COUNT('Feijão 2ª safra'!$E73:$Z73)=0,0,MAX(0,IF((T$6-$E$3)&lt;1,0,IFERROR(LOOKUP(2,1/('Feijão 2ª safra'!$E73:INDEX('Feijão 2ª safra'!$E73:$Z73,MIN(T$6-$E$3,22))&lt;&gt;""),'Feijão 2ª safra'!$E73:INDEX('Feijão 2ª safra'!$E73:$Z73,MIN(T$6-$E$3,22))),0))-IF($G$2,0,IF((T$6-$G$3)&lt;1,0,IFERROR(LOOKUP(2,1/('Feijão 2ª safra'!$E73:INDEX('Feijão 2ª safra'!$E73:$Z73,MIN(T$6-$G$3,22))&lt;&gt;""),'Feijão 2ª safra'!$E73:INDEX('Feijão 2ª safra'!$E73:$Z73,MIN(T$6-$G$3,22))),0)))))</f>
        <v>0</v>
      </c>
      <c r="U75" s="27" t="n">
        <f aca="false">IF(COUNT('Feijão 2ª safra'!$E73:$Z73)=0,0,MAX(0,IF((U$6-$E$3)&lt;1,0,IFERROR(LOOKUP(2,1/('Feijão 2ª safra'!$E73:INDEX('Feijão 2ª safra'!$E73:$Z73,MIN(U$6-$E$3,22))&lt;&gt;""),'Feijão 2ª safra'!$E73:INDEX('Feijão 2ª safra'!$E73:$Z73,MIN(U$6-$E$3,22))),0))-IF($G$2,0,IF((U$6-$G$3)&lt;1,0,IFERROR(LOOKUP(2,1/('Feijão 2ª safra'!$E73:INDEX('Feijão 2ª safra'!$E73:$Z73,MIN(U$6-$G$3,22))&lt;&gt;""),'Feijão 2ª safra'!$E73:INDEX('Feijão 2ª safra'!$E73:$Z73,MIN(U$6-$G$3,22))),0)))))</f>
        <v>0</v>
      </c>
      <c r="V75" s="27" t="n">
        <f aca="false">IF(COUNT('Feijão 2ª safra'!$E73:$Z73)=0,0,MAX(0,IF((V$6-$E$3)&lt;1,0,IFERROR(LOOKUP(2,1/('Feijão 2ª safra'!$E73:INDEX('Feijão 2ª safra'!$E73:$Z73,MIN(V$6-$E$3,22))&lt;&gt;""),'Feijão 2ª safra'!$E73:INDEX('Feijão 2ª safra'!$E73:$Z73,MIN(V$6-$E$3,22))),0))-IF($G$2,0,IF((V$6-$G$3)&lt;1,0,IFERROR(LOOKUP(2,1/('Feijão 2ª safra'!$E73:INDEX('Feijão 2ª safra'!$E73:$Z73,MIN(V$6-$G$3,22))&lt;&gt;""),'Feijão 2ª safra'!$E73:INDEX('Feijão 2ª safra'!$E73:$Z73,MIN(V$6-$G$3,22))),0)))))</f>
        <v>0</v>
      </c>
      <c r="W75" s="27" t="n">
        <f aca="false">IF(COUNT('Feijão 2ª safra'!$E73:$Z73)=0,0,MAX(0,IF((W$6-$E$3)&lt;1,0,IFERROR(LOOKUP(2,1/('Feijão 2ª safra'!$E73:INDEX('Feijão 2ª safra'!$E73:$Z73,MIN(W$6-$E$3,22))&lt;&gt;""),'Feijão 2ª safra'!$E73:INDEX('Feijão 2ª safra'!$E73:$Z73,MIN(W$6-$E$3,22))),0))-IF($G$2,0,IF((W$6-$G$3)&lt;1,0,IFERROR(LOOKUP(2,1/('Feijão 2ª safra'!$E73:INDEX('Feijão 2ª safra'!$E73:$Z73,MIN(W$6-$G$3,22))&lt;&gt;""),'Feijão 2ª safra'!$E73:INDEX('Feijão 2ª safra'!$E73:$Z73,MIN(W$6-$G$3,22))),0)))))</f>
        <v>0</v>
      </c>
      <c r="X75" s="27" t="n">
        <f aca="false">IF(COUNT('Feijão 2ª safra'!$E73:$Z73)=0,0,MAX(0,IF((X$6-$E$3)&lt;1,0,IFERROR(LOOKUP(2,1/('Feijão 2ª safra'!$E73:INDEX('Feijão 2ª safra'!$E73:$Z73,MIN(X$6-$E$3,22))&lt;&gt;""),'Feijão 2ª safra'!$E73:INDEX('Feijão 2ª safra'!$E73:$Z73,MIN(X$6-$E$3,22))),0))-IF($G$2,0,IF((X$6-$G$3)&lt;1,0,IFERROR(LOOKUP(2,1/('Feijão 2ª safra'!$E73:INDEX('Feijão 2ª safra'!$E73:$Z73,MIN(X$6-$G$3,22))&lt;&gt;""),'Feijão 2ª safra'!$E73:INDEX('Feijão 2ª safra'!$E73:$Z73,MIN(X$6-$G$3,22))),0)))))</f>
        <v>0</v>
      </c>
      <c r="Y75" s="27" t="n">
        <f aca="false">IF(COUNT('Feijão 2ª safra'!$E73:$Z73)=0,0,MAX(0,IF((Y$6-$E$3)&lt;1,0,IFERROR(LOOKUP(2,1/('Feijão 2ª safra'!$E73:INDEX('Feijão 2ª safra'!$E73:$Z73,MIN(Y$6-$E$3,22))&lt;&gt;""),'Feijão 2ª safra'!$E73:INDEX('Feijão 2ª safra'!$E73:$Z73,MIN(Y$6-$E$3,22))),0))-IF($G$2,0,IF((Y$6-$G$3)&lt;1,0,IFERROR(LOOKUP(2,1/('Feijão 2ª safra'!$E73:INDEX('Feijão 2ª safra'!$E73:$Z73,MIN(Y$6-$G$3,22))&lt;&gt;""),'Feijão 2ª safra'!$E73:INDEX('Feijão 2ª safra'!$E73:$Z73,MIN(Y$6-$G$3,22))),0)))))</f>
        <v>0</v>
      </c>
      <c r="Z75" s="27" t="n">
        <f aca="false">IF(COUNT('Feijão 2ª safra'!$E73:$Z73)=0,0,MAX(0,IF((Z$6-$E$3)&lt;1,0,IFERROR(LOOKUP(2,1/('Feijão 2ª safra'!$E73:INDEX('Feijão 2ª safra'!$E73:$Z73,MIN(Z$6-$E$3,22))&lt;&gt;""),'Feijão 2ª safra'!$E73:INDEX('Feijão 2ª safra'!$E73:$Z73,MIN(Z$6-$E$3,22))),0))-IF($G$2,0,IF((Z$6-$G$3)&lt;1,0,IFERROR(LOOKUP(2,1/('Feijão 2ª safra'!$E73:INDEX('Feijão 2ª safra'!$E73:$Z73,MIN(Z$6-$G$3,22))&lt;&gt;""),'Feijão 2ª safra'!$E73:INDEX('Feijão 2ª safra'!$E73:$Z73,MIN(Z$6-$G$3,22))),0)))))</f>
        <v>0</v>
      </c>
      <c r="AA75" s="27" t="n">
        <f aca="false">IF(COUNT('Feijão 2ª safra'!$E73:$Z73)=0,0,MAX(0,IF((AA$6-$E$3)&lt;1,0,IFERROR(LOOKUP(2,1/('Feijão 2ª safra'!$E73:INDEX('Feijão 2ª safra'!$E73:$Z73,MIN(AA$6-$E$3,22))&lt;&gt;""),'Feijão 2ª safra'!$E73:INDEX('Feijão 2ª safra'!$E73:$Z73,MIN(AA$6-$E$3,22))),0))-IF($G$2,0,IF((AA$6-$G$3)&lt;1,0,IFERROR(LOOKUP(2,1/('Feijão 2ª safra'!$E73:INDEX('Feijão 2ª safra'!$E73:$Z73,MIN(AA$6-$G$3,22))&lt;&gt;""),'Feijão 2ª safra'!$E73:INDEX('Feijão 2ª safra'!$E73:$Z73,MIN(AA$6-$G$3,22))),0)))))</f>
        <v>0</v>
      </c>
      <c r="AB75" s="27" t="n">
        <f aca="false">IF(COUNT('Feijão 2ª safra'!$E73:$Z73)=0,0,MAX(0,IF((AB$6-$E$3)&lt;1,0,IFERROR(LOOKUP(2,1/('Feijão 2ª safra'!$E73:INDEX('Feijão 2ª safra'!$E73:$Z73,MIN(AB$6-$E$3,22))&lt;&gt;""),'Feijão 2ª safra'!$E73:INDEX('Feijão 2ª safra'!$E73:$Z73,MIN(AB$6-$E$3,22))),0))-IF($G$2,0,IF((AB$6-$G$3)&lt;1,0,IFERROR(LOOKUP(2,1/('Feijão 2ª safra'!$E73:INDEX('Feijão 2ª safra'!$E73:$Z73,MIN(AB$6-$G$3,22))&lt;&gt;""),'Feijão 2ª safra'!$E73:INDEX('Feijão 2ª safra'!$E73:$Z73,MIN(AB$6-$G$3,22))),0)))))</f>
        <v>0</v>
      </c>
      <c r="AC75" s="27" t="n">
        <f aca="false">IF(COUNT('Feijão 2ª safra'!$E73:$Z73)=0,0,MAX(0,IF((AC$6-$E$3)&lt;1,0,IFERROR(LOOKUP(2,1/('Feijão 2ª safra'!$E73:INDEX('Feijão 2ª safra'!$E73:$Z73,MIN(AC$6-$E$3,22))&lt;&gt;""),'Feijão 2ª safra'!$E73:INDEX('Feijão 2ª safra'!$E73:$Z73,MIN(AC$6-$E$3,22))),0))-IF($G$2,0,IF((AC$6-$G$3)&lt;1,0,IFERROR(LOOKUP(2,1/('Feijão 2ª safra'!$E73:INDEX('Feijão 2ª safra'!$E73:$Z73,MIN(AC$6-$G$3,22))&lt;&gt;""),'Feijão 2ª safra'!$E73:INDEX('Feijão 2ª safra'!$E73:$Z73,MIN(AC$6-$G$3,22))),0)))))</f>
        <v>0</v>
      </c>
      <c r="AD75" s="27" t="n">
        <f aca="false">IF(COUNT('Feijão 2ª safra'!$E73:$Z73)=0,0,MAX(0,IF((AD$6-$E$3)&lt;1,0,IFERROR(LOOKUP(2,1/('Feijão 2ª safra'!$E73:INDEX('Feijão 2ª safra'!$E73:$Z73,MIN(AD$6-$E$3,22))&lt;&gt;""),'Feijão 2ª safra'!$E73:INDEX('Feijão 2ª safra'!$E73:$Z73,MIN(AD$6-$E$3,22))),0))-IF($G$2,0,IF((AD$6-$G$3)&lt;1,0,IFERROR(LOOKUP(2,1/('Feijão 2ª safra'!$E73:INDEX('Feijão 2ª safra'!$E73:$Z73,MIN(AD$6-$G$3,22))&lt;&gt;""),'Feijão 2ª safra'!$E73:INDEX('Feijão 2ª safra'!$E73:$Z73,MIN(AD$6-$G$3,22))),0)))))</f>
        <v>0</v>
      </c>
      <c r="AE75" s="27" t="n">
        <f aca="false">IF(COUNT('Feijão 2ª safra'!$E73:$Z73)=0,0,MAX(0,IF((AE$6-$E$3)&lt;1,0,IFERROR(LOOKUP(2,1/('Feijão 2ª safra'!$E73:INDEX('Feijão 2ª safra'!$E73:$Z73,MIN(AE$6-$E$3,22))&lt;&gt;""),'Feijão 2ª safra'!$E73:INDEX('Feijão 2ª safra'!$E73:$Z73,MIN(AE$6-$E$3,22))),0))-IF($G$2,0,IF((AE$6-$G$3)&lt;1,0,IFERROR(LOOKUP(2,1/('Feijão 2ª safra'!$E73:INDEX('Feijão 2ª safra'!$E73:$Z73,MIN(AE$6-$G$3,22))&lt;&gt;""),'Feijão 2ª safra'!$E73:INDEX('Feijão 2ª safra'!$E73:$Z73,MIN(AE$6-$G$3,22))),0)))))</f>
        <v>0</v>
      </c>
      <c r="AF75" s="27" t="n">
        <f aca="false">IF(COUNT('Feijão 2ª safra'!$E73:$Z73)=0,0,MAX(0,IF((AF$6-$E$3)&lt;1,0,IFERROR(LOOKUP(2,1/('Feijão 2ª safra'!$E73:INDEX('Feijão 2ª safra'!$E73:$Z73,MIN(AF$6-$E$3,22))&lt;&gt;""),'Feijão 2ª safra'!$E73:INDEX('Feijão 2ª safra'!$E73:$Z73,MIN(AF$6-$E$3,22))),0))-IF($G$2,0,IF((AF$6-$G$3)&lt;1,0,IFERROR(LOOKUP(2,1/('Feijão 2ª safra'!$E73:INDEX('Feijão 2ª safra'!$E73:$Z73,MIN(AF$6-$G$3,22))&lt;&gt;""),'Feijão 2ª safra'!$E73:INDEX('Feijão 2ª safra'!$E73:$Z73,MIN(AF$6-$G$3,22))),0)))))</f>
        <v>0</v>
      </c>
      <c r="AG75" s="27" t="n">
        <f aca="false">IF(COUNT('Feijão 2ª safra'!$E73:$Z73)=0,0,MAX(0,IF((AG$6-$E$3)&lt;1,0,IFERROR(LOOKUP(2,1/('Feijão 2ª safra'!$E73:INDEX('Feijão 2ª safra'!$E73:$Z73,MIN(AG$6-$E$3,22))&lt;&gt;""),'Feijão 2ª safra'!$E73:INDEX('Feijão 2ª safra'!$E73:$Z73,MIN(AG$6-$E$3,22))),0))-IF($G$2,0,IF((AG$6-$G$3)&lt;1,0,IFERROR(LOOKUP(2,1/('Feijão 2ª safra'!$E73:INDEX('Feijão 2ª safra'!$E73:$Z73,MIN(AG$6-$G$3,22))&lt;&gt;""),'Feijão 2ª safra'!$E73:INDEX('Feijão 2ª safra'!$E73:$Z73,MIN(AG$6-$G$3,22))),0)))))</f>
        <v>0</v>
      </c>
      <c r="AH75" s="27" t="n">
        <f aca="false">IF(COUNT('Feijão 2ª safra'!$E73:$Z73)=0,0,MAX(0,IF((AH$6-$E$3)&lt;1,0,IFERROR(LOOKUP(2,1/('Feijão 2ª safra'!$E73:INDEX('Feijão 2ª safra'!$E73:$Z73,MIN(AH$6-$E$3,22))&lt;&gt;""),'Feijão 2ª safra'!$E73:INDEX('Feijão 2ª safra'!$E73:$Z73,MIN(AH$6-$E$3,22))),0))-IF($G$2,0,IF((AH$6-$G$3)&lt;1,0,IFERROR(LOOKUP(2,1/('Feijão 2ª safra'!$E73:INDEX('Feijão 2ª safra'!$E73:$Z73,MIN(AH$6-$G$3,22))&lt;&gt;""),'Feijão 2ª safra'!$E73:INDEX('Feijão 2ª safra'!$E73:$Z73,MIN(AH$6-$G$3,22))),0)))))</f>
        <v>0</v>
      </c>
      <c r="AI75" s="27" t="n">
        <f aca="false">IF(COUNT('Feijão 2ª safra'!$E73:$Z73)=0,0,MAX(0,IF((AI$6-$E$3)&lt;1,0,IFERROR(LOOKUP(2,1/('Feijão 2ª safra'!$E73:INDEX('Feijão 2ª safra'!$E73:$Z73,MIN(AI$6-$E$3,22))&lt;&gt;""),'Feijão 2ª safra'!$E73:INDEX('Feijão 2ª safra'!$E73:$Z73,MIN(AI$6-$E$3,22))),0))-IF($G$2,0,IF((AI$6-$G$3)&lt;1,0,IFERROR(LOOKUP(2,1/('Feijão 2ª safra'!$E73:INDEX('Feijão 2ª safra'!$E73:$Z73,MIN(AI$6-$G$3,22))&lt;&gt;""),'Feijão 2ª safra'!$E73:INDEX('Feijão 2ª safra'!$E73:$Z73,MIN(AI$6-$G$3,22))),0)))))</f>
        <v>0</v>
      </c>
      <c r="AJ75" s="27" t="n">
        <f aca="false">IF(COUNT('Feijão 2ª safra'!$E73:$Z73)=0,0,MAX(0,IF((AJ$6-$E$3)&lt;1,0,IFERROR(LOOKUP(2,1/('Feijão 2ª safra'!$E73:INDEX('Feijão 2ª safra'!$E73:$Z73,MIN(AJ$6-$E$3,22))&lt;&gt;""),'Feijão 2ª safra'!$E73:INDEX('Feijão 2ª safra'!$E73:$Z73,MIN(AJ$6-$E$3,22))),0))-IF($G$2,0,IF((AJ$6-$G$3)&lt;1,0,IFERROR(LOOKUP(2,1/('Feijão 2ª safra'!$E73:INDEX('Feijão 2ª safra'!$E73:$Z73,MIN(AJ$6-$G$3,22))&lt;&gt;""),'Feijão 2ª safra'!$E73:INDEX('Feijão 2ª safra'!$E73:$Z73,MIN(AJ$6-$G$3,22))),0)))))</f>
        <v>0</v>
      </c>
      <c r="AK75" s="27" t="n">
        <f aca="false">IF(COUNT('Feijão 2ª safra'!$E73:$Z73)=0,0,MAX(0,IF((AK$6-$E$3)&lt;1,0,IFERROR(LOOKUP(2,1/('Feijão 2ª safra'!$E73:INDEX('Feijão 2ª safra'!$E73:$Z73,MIN(AK$6-$E$3,22))&lt;&gt;""),'Feijão 2ª safra'!$E73:INDEX('Feijão 2ª safra'!$E73:$Z73,MIN(AK$6-$E$3,22))),0))-IF($G$2,0,IF((AK$6-$G$3)&lt;1,0,IFERROR(LOOKUP(2,1/('Feijão 2ª safra'!$E73:INDEX('Feijão 2ª safra'!$E73:$Z73,MIN(AK$6-$G$3,22))&lt;&gt;""),'Feijão 2ª safra'!$E73:INDEX('Feijão 2ª safra'!$E73:$Z73,MIN(AK$6-$G$3,22))),0)))))</f>
        <v>0</v>
      </c>
      <c r="AL75" s="27" t="n">
        <f aca="false">IF(COUNT('Feijão 2ª safra'!$E73:$Z73)=0,0,MAX(0,IF((AL$6-$E$3)&lt;1,0,IFERROR(LOOKUP(2,1/('Feijão 2ª safra'!$E73:INDEX('Feijão 2ª safra'!$E73:$Z73,MIN(AL$6-$E$3,22))&lt;&gt;""),'Feijão 2ª safra'!$E73:INDEX('Feijão 2ª safra'!$E73:$Z73,MIN(AL$6-$E$3,22))),0))-IF($G$2,0,IF((AL$6-$G$3)&lt;1,0,IFERROR(LOOKUP(2,1/('Feijão 2ª safra'!$E73:INDEX('Feijão 2ª safra'!$E73:$Z73,MIN(AL$6-$G$3,22))&lt;&gt;""),'Feijão 2ª safra'!$E73:INDEX('Feijão 2ª safra'!$E73:$Z73,MIN(AL$6-$G$3,22))),0)))))</f>
        <v>0</v>
      </c>
      <c r="AM75" s="27" t="n">
        <f aca="false">IF(COUNT('Feijão 2ª safra'!$E73:$Z73)=0,0,MAX(0,IF((AM$6-$E$3)&lt;1,0,IFERROR(LOOKUP(2,1/('Feijão 2ª safra'!$E73:INDEX('Feijão 2ª safra'!$E73:$Z73,MIN(AM$6-$E$3,22))&lt;&gt;""),'Feijão 2ª safra'!$E73:INDEX('Feijão 2ª safra'!$E73:$Z73,MIN(AM$6-$E$3,22))),0))-IF($G$2,0,IF((AM$6-$G$3)&lt;1,0,IFERROR(LOOKUP(2,1/('Feijão 2ª safra'!$E73:INDEX('Feijão 2ª safra'!$E73:$Z73,MIN(AM$6-$G$3,22))&lt;&gt;""),'Feijão 2ª safra'!$E73:INDEX('Feijão 2ª safra'!$E73:$Z73,MIN(AM$6-$G$3,22))),0)))))</f>
        <v>0</v>
      </c>
      <c r="AN75" s="27" t="n">
        <f aca="false">IF(COUNT('Feijão 2ª safra'!$E73:$Z73)=0,0,MAX(0,IF((AN$6-$E$3)&lt;1,0,IFERROR(LOOKUP(2,1/('Feijão 2ª safra'!$E73:INDEX('Feijão 2ª safra'!$E73:$Z73,MIN(AN$6-$E$3,22))&lt;&gt;""),'Feijão 2ª safra'!$E73:INDEX('Feijão 2ª safra'!$E73:$Z73,MIN(AN$6-$E$3,22))),0))-IF($G$2,0,IF((AN$6-$G$3)&lt;1,0,IFERROR(LOOKUP(2,1/('Feijão 2ª safra'!$E73:INDEX('Feijão 2ª safra'!$E73:$Z73,MIN(AN$6-$G$3,22))&lt;&gt;""),'Feijão 2ª safra'!$E73:INDEX('Feijão 2ª safra'!$E73:$Z73,MIN(AN$6-$G$3,22))),0)))))</f>
        <v>0</v>
      </c>
      <c r="AO75" s="27" t="n">
        <f aca="false">IF(COUNT('Feijão 2ª safra'!$E73:$Z73)=0,0,MAX(0,IF((AO$6-$E$3)&lt;1,0,IFERROR(LOOKUP(2,1/('Feijão 2ª safra'!$E73:INDEX('Feijão 2ª safra'!$E73:$Z73,MIN(AO$6-$E$3,22))&lt;&gt;""),'Feijão 2ª safra'!$E73:INDEX('Feijão 2ª safra'!$E73:$Z73,MIN(AO$6-$E$3,22))),0))-IF($G$2,0,IF((AO$6-$G$3)&lt;1,0,IFERROR(LOOKUP(2,1/('Feijão 2ª safra'!$E73:INDEX('Feijão 2ª safra'!$E73:$Z73,MIN(AO$6-$G$3,22))&lt;&gt;""),'Feijão 2ª safra'!$E73:INDEX('Feijão 2ª safra'!$E73:$Z73,MIN(AO$6-$G$3,22))),0)))))</f>
        <v>0</v>
      </c>
      <c r="AP75" s="27" t="n">
        <f aca="false">IF(COUNT('Feijão 2ª safra'!$E73:$Z73)=0,0,MAX(0,IF((AP$6-$E$3)&lt;1,0,IFERROR(LOOKUP(2,1/('Feijão 2ª safra'!$E73:INDEX('Feijão 2ª safra'!$E73:$Z73,MIN(AP$6-$E$3,22))&lt;&gt;""),'Feijão 2ª safra'!$E73:INDEX('Feijão 2ª safra'!$E73:$Z73,MIN(AP$6-$E$3,22))),0))-IF($G$2,0,IF((AP$6-$G$3)&lt;1,0,IFERROR(LOOKUP(2,1/('Feijão 2ª safra'!$E73:INDEX('Feijão 2ª safra'!$E73:$Z73,MIN(AP$6-$G$3,22))&lt;&gt;""),'Feijão 2ª safra'!$E73:INDEX('Feijão 2ª safra'!$E73:$Z73,MIN(AP$6-$G$3,22))),0)))))</f>
        <v>0</v>
      </c>
      <c r="AQ75" s="27" t="n">
        <f aca="false">IF(COUNT('Feijão 2ª safra'!$E73:$Z73)=0,0,MAX(0,IF((AQ$6-$E$3)&lt;1,0,IFERROR(LOOKUP(2,1/('Feijão 2ª safra'!$E73:INDEX('Feijão 2ª safra'!$E73:$Z73,MIN(AQ$6-$E$3,22))&lt;&gt;""),'Feijão 2ª safra'!$E73:INDEX('Feijão 2ª safra'!$E73:$Z73,MIN(AQ$6-$E$3,22))),0))-IF($G$2,0,IF((AQ$6-$G$3)&lt;1,0,IFERROR(LOOKUP(2,1/('Feijão 2ª safra'!$E73:INDEX('Feijão 2ª safra'!$E73:$Z73,MIN(AQ$6-$G$3,22))&lt;&gt;""),'Feijão 2ª safra'!$E73:INDEX('Feijão 2ª safra'!$E73:$Z73,MIN(AQ$6-$G$3,22))),0)))))</f>
        <v>0</v>
      </c>
      <c r="AR75" s="27" t="n">
        <f aca="false">IF(COUNT('Feijão 2ª safra'!$E73:$Z73)=0,0,MAX(0,IF((AR$6-$E$3)&lt;1,0,IFERROR(LOOKUP(2,1/('Feijão 2ª safra'!$E73:INDEX('Feijão 2ª safra'!$E73:$Z73,MIN(AR$6-$E$3,22))&lt;&gt;""),'Feijão 2ª safra'!$E73:INDEX('Feijão 2ª safra'!$E73:$Z73,MIN(AR$6-$E$3,22))),0))-IF($G$2,0,IF((AR$6-$G$3)&lt;1,0,IFERROR(LOOKUP(2,1/('Feijão 2ª safra'!$E73:INDEX('Feijão 2ª safra'!$E73:$Z73,MIN(AR$6-$G$3,22))&lt;&gt;""),'Feijão 2ª safra'!$E73:INDEX('Feijão 2ª safra'!$E73:$Z73,MIN(AR$6-$G$3,22))),0)))))</f>
        <v>0</v>
      </c>
      <c r="AS75" s="27" t="n">
        <f aca="false">IF(COUNT('Feijão 2ª safra'!$E73:$Z73)=0,0,MAX(0,IF((AS$6-$E$3)&lt;1,0,IFERROR(LOOKUP(2,1/('Feijão 2ª safra'!$E73:INDEX('Feijão 2ª safra'!$E73:$Z73,MIN(AS$6-$E$3,22))&lt;&gt;""),'Feijão 2ª safra'!$E73:INDEX('Feijão 2ª safra'!$E73:$Z73,MIN(AS$6-$E$3,22))),0))-IF($G$2,0,IF((AS$6-$G$3)&lt;1,0,IFERROR(LOOKUP(2,1/('Feijão 2ª safra'!$E73:INDEX('Feijão 2ª safra'!$E73:$Z73,MIN(AS$6-$G$3,22))&lt;&gt;""),'Feijão 2ª safra'!$E73:INDEX('Feijão 2ª safra'!$E73:$Z73,MIN(AS$6-$G$3,22))),0)))))</f>
        <v>0</v>
      </c>
      <c r="AT75" s="27" t="n">
        <f aca="false">IF(COUNT('Feijão 2ª safra'!$E73:$Z73)=0,0,MAX(0,IF((AT$6-$E$3)&lt;1,0,IFERROR(LOOKUP(2,1/('Feijão 2ª safra'!$E73:INDEX('Feijão 2ª safra'!$E73:$Z73,MIN(AT$6-$E$3,22))&lt;&gt;""),'Feijão 2ª safra'!$E73:INDEX('Feijão 2ª safra'!$E73:$Z73,MIN(AT$6-$E$3,22))),0))-IF($G$2,0,IF((AT$6-$G$3)&lt;1,0,IFERROR(LOOKUP(2,1/('Feijão 2ª safra'!$E73:INDEX('Feijão 2ª safra'!$E73:$Z73,MIN(AT$6-$G$3,22))&lt;&gt;""),'Feijão 2ª safra'!$E73:INDEX('Feijão 2ª safra'!$E73:$Z73,MIN(AT$6-$G$3,22))),0)))))</f>
        <v>0</v>
      </c>
      <c r="AU75" s="27" t="n">
        <f aca="false">IF(COUNT('Feijão 2ª safra'!$E73:$Z73)=0,0,MAX(0,IF((AU$6-$E$3)&lt;1,0,IFERROR(LOOKUP(2,1/('Feijão 2ª safra'!$E73:INDEX('Feijão 2ª safra'!$E73:$Z73,MIN(AU$6-$E$3,22))&lt;&gt;""),'Feijão 2ª safra'!$E73:INDEX('Feijão 2ª safra'!$E73:$Z73,MIN(AU$6-$E$3,22))),0))-IF($G$2,0,IF((AU$6-$G$3)&lt;1,0,IFERROR(LOOKUP(2,1/('Feijão 2ª safra'!$E73:INDEX('Feijão 2ª safra'!$E73:$Z73,MIN(AU$6-$G$3,22))&lt;&gt;""),'Feijão 2ª safra'!$E73:INDEX('Feijão 2ª safra'!$E73:$Z73,MIN(AU$6-$G$3,22))),0)))))</f>
        <v>0</v>
      </c>
      <c r="AV75" s="27" t="n">
        <f aca="false">IF(COUNT('Feijão 2ª safra'!$E73:$Z73)=0,0,MAX(0,IF((AV$6-$E$3)&lt;1,0,IFERROR(LOOKUP(2,1/('Feijão 2ª safra'!$E73:INDEX('Feijão 2ª safra'!$E73:$Z73,MIN(AV$6-$E$3,22))&lt;&gt;""),'Feijão 2ª safra'!$E73:INDEX('Feijão 2ª safra'!$E73:$Z73,MIN(AV$6-$E$3,22))),0))-IF($G$2,0,IF((AV$6-$G$3)&lt;1,0,IFERROR(LOOKUP(2,1/('Feijão 2ª safra'!$E73:INDEX('Feijão 2ª safra'!$E73:$Z73,MIN(AV$6-$G$3,22))&lt;&gt;""),'Feijão 2ª safra'!$E73:INDEX('Feijão 2ª safra'!$E73:$Z73,MIN(AV$6-$G$3,22))),0)))))</f>
        <v>0</v>
      </c>
      <c r="AW75" s="27" t="n">
        <f aca="false">IF(COUNT('Feijão 2ª safra'!$E73:$Z73)=0,0,MAX(0,IF((AW$6-$E$3)&lt;1,0,IFERROR(LOOKUP(2,1/('Feijão 2ª safra'!$E73:INDEX('Feijão 2ª safra'!$E73:$Z73,MIN(AW$6-$E$3,22))&lt;&gt;""),'Feijão 2ª safra'!$E73:INDEX('Feijão 2ª safra'!$E73:$Z73,MIN(AW$6-$E$3,22))),0))-IF($G$2,0,IF((AW$6-$G$3)&lt;1,0,IFERROR(LOOKUP(2,1/('Feijão 2ª safra'!$E73:INDEX('Feijão 2ª safra'!$E73:$Z73,MIN(AW$6-$G$3,22))&lt;&gt;""),'Feijão 2ª safra'!$E73:INDEX('Feijão 2ª safra'!$E73:$Z73,MIN(AW$6-$G$3,22))),0)))))</f>
        <v>0</v>
      </c>
      <c r="AX75" s="27" t="n">
        <f aca="false">IF(COUNT('Feijão 2ª safra'!$E73:$Z73)=0,0,MAX(0,IF((AX$6-$E$3)&lt;1,0,IFERROR(LOOKUP(2,1/('Feijão 2ª safra'!$E73:INDEX('Feijão 2ª safra'!$E73:$Z73,MIN(AX$6-$E$3,22))&lt;&gt;""),'Feijão 2ª safra'!$E73:INDEX('Feijão 2ª safra'!$E73:$Z73,MIN(AX$6-$E$3,22))),0))-IF($G$2,0,IF((AX$6-$G$3)&lt;1,0,IFERROR(LOOKUP(2,1/('Feijão 2ª safra'!$E73:INDEX('Feijão 2ª safra'!$E73:$Z73,MIN(AX$6-$G$3,22))&lt;&gt;""),'Feijão 2ª safra'!$E73:INDEX('Feijão 2ª safra'!$E73:$Z73,MIN(AX$6-$G$3,22))),0)))))</f>
        <v>0</v>
      </c>
      <c r="AY75" s="27" t="n">
        <f aca="false">IF(COUNT('Feijão 2ª safra'!$E73:$Z73)=0,0,MAX(0,IF((AY$6-$E$3)&lt;1,0,IFERROR(LOOKUP(2,1/('Feijão 2ª safra'!$E73:INDEX('Feijão 2ª safra'!$E73:$Z73,MIN(AY$6-$E$3,22))&lt;&gt;""),'Feijão 2ª safra'!$E73:INDEX('Feijão 2ª safra'!$E73:$Z73,MIN(AY$6-$E$3,22))),0))-IF($G$2,0,IF((AY$6-$G$3)&lt;1,0,IFERROR(LOOKUP(2,1/('Feijão 2ª safra'!$E73:INDEX('Feijão 2ª safra'!$E73:$Z73,MIN(AY$6-$G$3,22))&lt;&gt;""),'Feijão 2ª safra'!$E73:INDEX('Feijão 2ª safra'!$E73:$Z73,MIN(AY$6-$G$3,22))),0)))))</f>
        <v>0</v>
      </c>
      <c r="AZ75" s="27" t="n">
        <f aca="false">IF(COUNT('Feijão 2ª safra'!$E73:$Z73)=0,0,MAX(0,IF((AZ$6-$E$3)&lt;1,0,IFERROR(LOOKUP(2,1/('Feijão 2ª safra'!$E73:INDEX('Feijão 2ª safra'!$E73:$Z73,MIN(AZ$6-$E$3,22))&lt;&gt;""),'Feijão 2ª safra'!$E73:INDEX('Feijão 2ª safra'!$E73:$Z73,MIN(AZ$6-$E$3,22))),0))-IF($G$2,0,IF((AZ$6-$G$3)&lt;1,0,IFERROR(LOOKUP(2,1/('Feijão 2ª safra'!$E73:INDEX('Feijão 2ª safra'!$E73:$Z73,MIN(AZ$6-$G$3,22))&lt;&gt;""),'Feijão 2ª safra'!$E73:INDEX('Feijão 2ª safra'!$E73:$Z73,MIN(AZ$6-$G$3,22))),0)))))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IF(COUNT('Feijão 2ª safra'!$E74:$Z74)&gt;0,N('Feijão 2ª safra'!$D74),0)</f>
        <v>0</v>
      </c>
      <c r="E76" s="27" t="n">
        <f aca="false">IF(COUNT('Feijão 2ª safra'!$E74:$Z74)=0,0,MAX(0,IF((E$6-$E$3)&lt;1,0,IFERROR(LOOKUP(2,1/('Feijão 2ª safra'!$E74:INDEX('Feijão 2ª safra'!$E74:$Z74,MIN(E$6-$E$3,22))&lt;&gt;""),'Feijão 2ª safra'!$E74:INDEX('Feijão 2ª safra'!$E74:$Z74,MIN(E$6-$E$3,22))),0))-IF($G$2,0,IF((E$6-$G$3)&lt;1,0,IFERROR(LOOKUP(2,1/('Feijão 2ª safra'!$E74:INDEX('Feijão 2ª safra'!$E74:$Z74,MIN(E$6-$G$3,22))&lt;&gt;""),'Feijão 2ª safra'!$E74:INDEX('Feijão 2ª safra'!$E74:$Z74,MIN(E$6-$G$3,22))),0)))))</f>
        <v>0</v>
      </c>
      <c r="F76" s="27" t="n">
        <f aca="false">IF(COUNT('Feijão 2ª safra'!$E74:$Z74)=0,0,MAX(0,IF((F$6-$E$3)&lt;1,0,IFERROR(LOOKUP(2,1/('Feijão 2ª safra'!$E74:INDEX('Feijão 2ª safra'!$E74:$Z74,MIN(F$6-$E$3,22))&lt;&gt;""),'Feijão 2ª safra'!$E74:INDEX('Feijão 2ª safra'!$E74:$Z74,MIN(F$6-$E$3,22))),0))-IF($G$2,0,IF((F$6-$G$3)&lt;1,0,IFERROR(LOOKUP(2,1/('Feijão 2ª safra'!$E74:INDEX('Feijão 2ª safra'!$E74:$Z74,MIN(F$6-$G$3,22))&lt;&gt;""),'Feijão 2ª safra'!$E74:INDEX('Feijão 2ª safra'!$E74:$Z74,MIN(F$6-$G$3,22))),0)))))</f>
        <v>0</v>
      </c>
      <c r="G76" s="27" t="n">
        <f aca="false">IF(COUNT('Feijão 2ª safra'!$E74:$Z74)=0,0,MAX(0,IF((G$6-$E$3)&lt;1,0,IFERROR(LOOKUP(2,1/('Feijão 2ª safra'!$E74:INDEX('Feijão 2ª safra'!$E74:$Z74,MIN(G$6-$E$3,22))&lt;&gt;""),'Feijão 2ª safra'!$E74:INDEX('Feijão 2ª safra'!$E74:$Z74,MIN(G$6-$E$3,22))),0))-IF($G$2,0,IF((G$6-$G$3)&lt;1,0,IFERROR(LOOKUP(2,1/('Feijão 2ª safra'!$E74:INDEX('Feijão 2ª safra'!$E74:$Z74,MIN(G$6-$G$3,22))&lt;&gt;""),'Feijão 2ª safra'!$E74:INDEX('Feijão 2ª safra'!$E74:$Z74,MIN(G$6-$G$3,22))),0)))))</f>
        <v>0</v>
      </c>
      <c r="H76" s="27" t="n">
        <f aca="false">IF(COUNT('Feijão 2ª safra'!$E74:$Z74)=0,0,MAX(0,IF((H$6-$E$3)&lt;1,0,IFERROR(LOOKUP(2,1/('Feijão 2ª safra'!$E74:INDEX('Feijão 2ª safra'!$E74:$Z74,MIN(H$6-$E$3,22))&lt;&gt;""),'Feijão 2ª safra'!$E74:INDEX('Feijão 2ª safra'!$E74:$Z74,MIN(H$6-$E$3,22))),0))-IF($G$2,0,IF((H$6-$G$3)&lt;1,0,IFERROR(LOOKUP(2,1/('Feijão 2ª safra'!$E74:INDEX('Feijão 2ª safra'!$E74:$Z74,MIN(H$6-$G$3,22))&lt;&gt;""),'Feijão 2ª safra'!$E74:INDEX('Feijão 2ª safra'!$E74:$Z74,MIN(H$6-$G$3,22))),0)))))</f>
        <v>0</v>
      </c>
      <c r="I76" s="27" t="n">
        <f aca="false">IF(COUNT('Feijão 2ª safra'!$E74:$Z74)=0,0,MAX(0,IF((I$6-$E$3)&lt;1,0,IFERROR(LOOKUP(2,1/('Feijão 2ª safra'!$E74:INDEX('Feijão 2ª safra'!$E74:$Z74,MIN(I$6-$E$3,22))&lt;&gt;""),'Feijão 2ª safra'!$E74:INDEX('Feijão 2ª safra'!$E74:$Z74,MIN(I$6-$E$3,22))),0))-IF($G$2,0,IF((I$6-$G$3)&lt;1,0,IFERROR(LOOKUP(2,1/('Feijão 2ª safra'!$E74:INDEX('Feijão 2ª safra'!$E74:$Z74,MIN(I$6-$G$3,22))&lt;&gt;""),'Feijão 2ª safra'!$E74:INDEX('Feijão 2ª safra'!$E74:$Z74,MIN(I$6-$G$3,22))),0)))))</f>
        <v>0</v>
      </c>
      <c r="J76" s="27" t="n">
        <f aca="false">IF(COUNT('Feijão 2ª safra'!$E74:$Z74)=0,0,MAX(0,IF((J$6-$E$3)&lt;1,0,IFERROR(LOOKUP(2,1/('Feijão 2ª safra'!$E74:INDEX('Feijão 2ª safra'!$E74:$Z74,MIN(J$6-$E$3,22))&lt;&gt;""),'Feijão 2ª safra'!$E74:INDEX('Feijão 2ª safra'!$E74:$Z74,MIN(J$6-$E$3,22))),0))-IF($G$2,0,IF((J$6-$G$3)&lt;1,0,IFERROR(LOOKUP(2,1/('Feijão 2ª safra'!$E74:INDEX('Feijão 2ª safra'!$E74:$Z74,MIN(J$6-$G$3,22))&lt;&gt;""),'Feijão 2ª safra'!$E74:INDEX('Feijão 2ª safra'!$E74:$Z74,MIN(J$6-$G$3,22))),0)))))</f>
        <v>0</v>
      </c>
      <c r="K76" s="27" t="n">
        <f aca="false">IF(COUNT('Feijão 2ª safra'!$E74:$Z74)=0,0,MAX(0,IF((K$6-$E$3)&lt;1,0,IFERROR(LOOKUP(2,1/('Feijão 2ª safra'!$E74:INDEX('Feijão 2ª safra'!$E74:$Z74,MIN(K$6-$E$3,22))&lt;&gt;""),'Feijão 2ª safra'!$E74:INDEX('Feijão 2ª safra'!$E74:$Z74,MIN(K$6-$E$3,22))),0))-IF($G$2,0,IF((K$6-$G$3)&lt;1,0,IFERROR(LOOKUP(2,1/('Feijão 2ª safra'!$E74:INDEX('Feijão 2ª safra'!$E74:$Z74,MIN(K$6-$G$3,22))&lt;&gt;""),'Feijão 2ª safra'!$E74:INDEX('Feijão 2ª safra'!$E74:$Z74,MIN(K$6-$G$3,22))),0)))))</f>
        <v>0</v>
      </c>
      <c r="L76" s="27" t="n">
        <f aca="false">IF(COUNT('Feijão 2ª safra'!$E74:$Z74)=0,0,MAX(0,IF((L$6-$E$3)&lt;1,0,IFERROR(LOOKUP(2,1/('Feijão 2ª safra'!$E74:INDEX('Feijão 2ª safra'!$E74:$Z74,MIN(L$6-$E$3,22))&lt;&gt;""),'Feijão 2ª safra'!$E74:INDEX('Feijão 2ª safra'!$E74:$Z74,MIN(L$6-$E$3,22))),0))-IF($G$2,0,IF((L$6-$G$3)&lt;1,0,IFERROR(LOOKUP(2,1/('Feijão 2ª safra'!$E74:INDEX('Feijão 2ª safra'!$E74:$Z74,MIN(L$6-$G$3,22))&lt;&gt;""),'Feijão 2ª safra'!$E74:INDEX('Feijão 2ª safra'!$E74:$Z74,MIN(L$6-$G$3,22))),0)))))</f>
        <v>0</v>
      </c>
      <c r="M76" s="27" t="n">
        <f aca="false">IF(COUNT('Feijão 2ª safra'!$E74:$Z74)=0,0,MAX(0,IF((M$6-$E$3)&lt;1,0,IFERROR(LOOKUP(2,1/('Feijão 2ª safra'!$E74:INDEX('Feijão 2ª safra'!$E74:$Z74,MIN(M$6-$E$3,22))&lt;&gt;""),'Feijão 2ª safra'!$E74:INDEX('Feijão 2ª safra'!$E74:$Z74,MIN(M$6-$E$3,22))),0))-IF($G$2,0,IF((M$6-$G$3)&lt;1,0,IFERROR(LOOKUP(2,1/('Feijão 2ª safra'!$E74:INDEX('Feijão 2ª safra'!$E74:$Z74,MIN(M$6-$G$3,22))&lt;&gt;""),'Feijão 2ª safra'!$E74:INDEX('Feijão 2ª safra'!$E74:$Z74,MIN(M$6-$G$3,22))),0)))))</f>
        <v>0</v>
      </c>
      <c r="N76" s="27" t="n">
        <f aca="false">IF(COUNT('Feijão 2ª safra'!$E74:$Z74)=0,0,MAX(0,IF((N$6-$E$3)&lt;1,0,IFERROR(LOOKUP(2,1/('Feijão 2ª safra'!$E74:INDEX('Feijão 2ª safra'!$E74:$Z74,MIN(N$6-$E$3,22))&lt;&gt;""),'Feijão 2ª safra'!$E74:INDEX('Feijão 2ª safra'!$E74:$Z74,MIN(N$6-$E$3,22))),0))-IF($G$2,0,IF((N$6-$G$3)&lt;1,0,IFERROR(LOOKUP(2,1/('Feijão 2ª safra'!$E74:INDEX('Feijão 2ª safra'!$E74:$Z74,MIN(N$6-$G$3,22))&lt;&gt;""),'Feijão 2ª safra'!$E74:INDEX('Feijão 2ª safra'!$E74:$Z74,MIN(N$6-$G$3,22))),0)))))</f>
        <v>0</v>
      </c>
      <c r="O76" s="27" t="n">
        <f aca="false">IF(COUNT('Feijão 2ª safra'!$E74:$Z74)=0,0,MAX(0,IF((O$6-$E$3)&lt;1,0,IFERROR(LOOKUP(2,1/('Feijão 2ª safra'!$E74:INDEX('Feijão 2ª safra'!$E74:$Z74,MIN(O$6-$E$3,22))&lt;&gt;""),'Feijão 2ª safra'!$E74:INDEX('Feijão 2ª safra'!$E74:$Z74,MIN(O$6-$E$3,22))),0))-IF($G$2,0,IF((O$6-$G$3)&lt;1,0,IFERROR(LOOKUP(2,1/('Feijão 2ª safra'!$E74:INDEX('Feijão 2ª safra'!$E74:$Z74,MIN(O$6-$G$3,22))&lt;&gt;""),'Feijão 2ª safra'!$E74:INDEX('Feijão 2ª safra'!$E74:$Z74,MIN(O$6-$G$3,22))),0)))))</f>
        <v>0</v>
      </c>
      <c r="P76" s="27" t="n">
        <f aca="false">IF(COUNT('Feijão 2ª safra'!$E74:$Z74)=0,0,MAX(0,IF((P$6-$E$3)&lt;1,0,IFERROR(LOOKUP(2,1/('Feijão 2ª safra'!$E74:INDEX('Feijão 2ª safra'!$E74:$Z74,MIN(P$6-$E$3,22))&lt;&gt;""),'Feijão 2ª safra'!$E74:INDEX('Feijão 2ª safra'!$E74:$Z74,MIN(P$6-$E$3,22))),0))-IF($G$2,0,IF((P$6-$G$3)&lt;1,0,IFERROR(LOOKUP(2,1/('Feijão 2ª safra'!$E74:INDEX('Feijão 2ª safra'!$E74:$Z74,MIN(P$6-$G$3,22))&lt;&gt;""),'Feijão 2ª safra'!$E74:INDEX('Feijão 2ª safra'!$E74:$Z74,MIN(P$6-$G$3,22))),0)))))</f>
        <v>0</v>
      </c>
      <c r="Q76" s="27" t="n">
        <f aca="false">IF(COUNT('Feijão 2ª safra'!$E74:$Z74)=0,0,MAX(0,IF((Q$6-$E$3)&lt;1,0,IFERROR(LOOKUP(2,1/('Feijão 2ª safra'!$E74:INDEX('Feijão 2ª safra'!$E74:$Z74,MIN(Q$6-$E$3,22))&lt;&gt;""),'Feijão 2ª safra'!$E74:INDEX('Feijão 2ª safra'!$E74:$Z74,MIN(Q$6-$E$3,22))),0))-IF($G$2,0,IF((Q$6-$G$3)&lt;1,0,IFERROR(LOOKUP(2,1/('Feijão 2ª safra'!$E74:INDEX('Feijão 2ª safra'!$E74:$Z74,MIN(Q$6-$G$3,22))&lt;&gt;""),'Feijão 2ª safra'!$E74:INDEX('Feijão 2ª safra'!$E74:$Z74,MIN(Q$6-$G$3,22))),0)))))</f>
        <v>0</v>
      </c>
      <c r="R76" s="27" t="n">
        <f aca="false">IF(COUNT('Feijão 2ª safra'!$E74:$Z74)=0,0,MAX(0,IF((R$6-$E$3)&lt;1,0,IFERROR(LOOKUP(2,1/('Feijão 2ª safra'!$E74:INDEX('Feijão 2ª safra'!$E74:$Z74,MIN(R$6-$E$3,22))&lt;&gt;""),'Feijão 2ª safra'!$E74:INDEX('Feijão 2ª safra'!$E74:$Z74,MIN(R$6-$E$3,22))),0))-IF($G$2,0,IF((R$6-$G$3)&lt;1,0,IFERROR(LOOKUP(2,1/('Feijão 2ª safra'!$E74:INDEX('Feijão 2ª safra'!$E74:$Z74,MIN(R$6-$G$3,22))&lt;&gt;""),'Feijão 2ª safra'!$E74:INDEX('Feijão 2ª safra'!$E74:$Z74,MIN(R$6-$G$3,22))),0)))))</f>
        <v>0</v>
      </c>
      <c r="S76" s="27" t="n">
        <f aca="false">IF(COUNT('Feijão 2ª safra'!$E74:$Z74)=0,0,MAX(0,IF((S$6-$E$3)&lt;1,0,IFERROR(LOOKUP(2,1/('Feijão 2ª safra'!$E74:INDEX('Feijão 2ª safra'!$E74:$Z74,MIN(S$6-$E$3,22))&lt;&gt;""),'Feijão 2ª safra'!$E74:INDEX('Feijão 2ª safra'!$E74:$Z74,MIN(S$6-$E$3,22))),0))-IF($G$2,0,IF((S$6-$G$3)&lt;1,0,IFERROR(LOOKUP(2,1/('Feijão 2ª safra'!$E74:INDEX('Feijão 2ª safra'!$E74:$Z74,MIN(S$6-$G$3,22))&lt;&gt;""),'Feijão 2ª safra'!$E74:INDEX('Feijão 2ª safra'!$E74:$Z74,MIN(S$6-$G$3,22))),0)))))</f>
        <v>0</v>
      </c>
      <c r="T76" s="27" t="n">
        <f aca="false">IF(COUNT('Feijão 2ª safra'!$E74:$Z74)=0,0,MAX(0,IF((T$6-$E$3)&lt;1,0,IFERROR(LOOKUP(2,1/('Feijão 2ª safra'!$E74:INDEX('Feijão 2ª safra'!$E74:$Z74,MIN(T$6-$E$3,22))&lt;&gt;""),'Feijão 2ª safra'!$E74:INDEX('Feijão 2ª safra'!$E74:$Z74,MIN(T$6-$E$3,22))),0))-IF($G$2,0,IF((T$6-$G$3)&lt;1,0,IFERROR(LOOKUP(2,1/('Feijão 2ª safra'!$E74:INDEX('Feijão 2ª safra'!$E74:$Z74,MIN(T$6-$G$3,22))&lt;&gt;""),'Feijão 2ª safra'!$E74:INDEX('Feijão 2ª safra'!$E74:$Z74,MIN(T$6-$G$3,22))),0)))))</f>
        <v>0</v>
      </c>
      <c r="U76" s="27" t="n">
        <f aca="false">IF(COUNT('Feijão 2ª safra'!$E74:$Z74)=0,0,MAX(0,IF((U$6-$E$3)&lt;1,0,IFERROR(LOOKUP(2,1/('Feijão 2ª safra'!$E74:INDEX('Feijão 2ª safra'!$E74:$Z74,MIN(U$6-$E$3,22))&lt;&gt;""),'Feijão 2ª safra'!$E74:INDEX('Feijão 2ª safra'!$E74:$Z74,MIN(U$6-$E$3,22))),0))-IF($G$2,0,IF((U$6-$G$3)&lt;1,0,IFERROR(LOOKUP(2,1/('Feijão 2ª safra'!$E74:INDEX('Feijão 2ª safra'!$E74:$Z74,MIN(U$6-$G$3,22))&lt;&gt;""),'Feijão 2ª safra'!$E74:INDEX('Feijão 2ª safra'!$E74:$Z74,MIN(U$6-$G$3,22))),0)))))</f>
        <v>0</v>
      </c>
      <c r="V76" s="27" t="n">
        <f aca="false">IF(COUNT('Feijão 2ª safra'!$E74:$Z74)=0,0,MAX(0,IF((V$6-$E$3)&lt;1,0,IFERROR(LOOKUP(2,1/('Feijão 2ª safra'!$E74:INDEX('Feijão 2ª safra'!$E74:$Z74,MIN(V$6-$E$3,22))&lt;&gt;""),'Feijão 2ª safra'!$E74:INDEX('Feijão 2ª safra'!$E74:$Z74,MIN(V$6-$E$3,22))),0))-IF($G$2,0,IF((V$6-$G$3)&lt;1,0,IFERROR(LOOKUP(2,1/('Feijão 2ª safra'!$E74:INDEX('Feijão 2ª safra'!$E74:$Z74,MIN(V$6-$G$3,22))&lt;&gt;""),'Feijão 2ª safra'!$E74:INDEX('Feijão 2ª safra'!$E74:$Z74,MIN(V$6-$G$3,22))),0)))))</f>
        <v>0</v>
      </c>
      <c r="W76" s="27" t="n">
        <f aca="false">IF(COUNT('Feijão 2ª safra'!$E74:$Z74)=0,0,MAX(0,IF((W$6-$E$3)&lt;1,0,IFERROR(LOOKUP(2,1/('Feijão 2ª safra'!$E74:INDEX('Feijão 2ª safra'!$E74:$Z74,MIN(W$6-$E$3,22))&lt;&gt;""),'Feijão 2ª safra'!$E74:INDEX('Feijão 2ª safra'!$E74:$Z74,MIN(W$6-$E$3,22))),0))-IF($G$2,0,IF((W$6-$G$3)&lt;1,0,IFERROR(LOOKUP(2,1/('Feijão 2ª safra'!$E74:INDEX('Feijão 2ª safra'!$E74:$Z74,MIN(W$6-$G$3,22))&lt;&gt;""),'Feijão 2ª safra'!$E74:INDEX('Feijão 2ª safra'!$E74:$Z74,MIN(W$6-$G$3,22))),0)))))</f>
        <v>0</v>
      </c>
      <c r="X76" s="27" t="n">
        <f aca="false">IF(COUNT('Feijão 2ª safra'!$E74:$Z74)=0,0,MAX(0,IF((X$6-$E$3)&lt;1,0,IFERROR(LOOKUP(2,1/('Feijão 2ª safra'!$E74:INDEX('Feijão 2ª safra'!$E74:$Z74,MIN(X$6-$E$3,22))&lt;&gt;""),'Feijão 2ª safra'!$E74:INDEX('Feijão 2ª safra'!$E74:$Z74,MIN(X$6-$E$3,22))),0))-IF($G$2,0,IF((X$6-$G$3)&lt;1,0,IFERROR(LOOKUP(2,1/('Feijão 2ª safra'!$E74:INDEX('Feijão 2ª safra'!$E74:$Z74,MIN(X$6-$G$3,22))&lt;&gt;""),'Feijão 2ª safra'!$E74:INDEX('Feijão 2ª safra'!$E74:$Z74,MIN(X$6-$G$3,22))),0)))))</f>
        <v>0</v>
      </c>
      <c r="Y76" s="27" t="n">
        <f aca="false">IF(COUNT('Feijão 2ª safra'!$E74:$Z74)=0,0,MAX(0,IF((Y$6-$E$3)&lt;1,0,IFERROR(LOOKUP(2,1/('Feijão 2ª safra'!$E74:INDEX('Feijão 2ª safra'!$E74:$Z74,MIN(Y$6-$E$3,22))&lt;&gt;""),'Feijão 2ª safra'!$E74:INDEX('Feijão 2ª safra'!$E74:$Z74,MIN(Y$6-$E$3,22))),0))-IF($G$2,0,IF((Y$6-$G$3)&lt;1,0,IFERROR(LOOKUP(2,1/('Feijão 2ª safra'!$E74:INDEX('Feijão 2ª safra'!$E74:$Z74,MIN(Y$6-$G$3,22))&lt;&gt;""),'Feijão 2ª safra'!$E74:INDEX('Feijão 2ª safra'!$E74:$Z74,MIN(Y$6-$G$3,22))),0)))))</f>
        <v>0</v>
      </c>
      <c r="Z76" s="27" t="n">
        <f aca="false">IF(COUNT('Feijão 2ª safra'!$E74:$Z74)=0,0,MAX(0,IF((Z$6-$E$3)&lt;1,0,IFERROR(LOOKUP(2,1/('Feijão 2ª safra'!$E74:INDEX('Feijão 2ª safra'!$E74:$Z74,MIN(Z$6-$E$3,22))&lt;&gt;""),'Feijão 2ª safra'!$E74:INDEX('Feijão 2ª safra'!$E74:$Z74,MIN(Z$6-$E$3,22))),0))-IF($G$2,0,IF((Z$6-$G$3)&lt;1,0,IFERROR(LOOKUP(2,1/('Feijão 2ª safra'!$E74:INDEX('Feijão 2ª safra'!$E74:$Z74,MIN(Z$6-$G$3,22))&lt;&gt;""),'Feijão 2ª safra'!$E74:INDEX('Feijão 2ª safra'!$E74:$Z74,MIN(Z$6-$G$3,22))),0)))))</f>
        <v>0</v>
      </c>
      <c r="AA76" s="27" t="n">
        <f aca="false">IF(COUNT('Feijão 2ª safra'!$E74:$Z74)=0,0,MAX(0,IF((AA$6-$E$3)&lt;1,0,IFERROR(LOOKUP(2,1/('Feijão 2ª safra'!$E74:INDEX('Feijão 2ª safra'!$E74:$Z74,MIN(AA$6-$E$3,22))&lt;&gt;""),'Feijão 2ª safra'!$E74:INDEX('Feijão 2ª safra'!$E74:$Z74,MIN(AA$6-$E$3,22))),0))-IF($G$2,0,IF((AA$6-$G$3)&lt;1,0,IFERROR(LOOKUP(2,1/('Feijão 2ª safra'!$E74:INDEX('Feijão 2ª safra'!$E74:$Z74,MIN(AA$6-$G$3,22))&lt;&gt;""),'Feijão 2ª safra'!$E74:INDEX('Feijão 2ª safra'!$E74:$Z74,MIN(AA$6-$G$3,22))),0)))))</f>
        <v>0</v>
      </c>
      <c r="AB76" s="27" t="n">
        <f aca="false">IF(COUNT('Feijão 2ª safra'!$E74:$Z74)=0,0,MAX(0,IF((AB$6-$E$3)&lt;1,0,IFERROR(LOOKUP(2,1/('Feijão 2ª safra'!$E74:INDEX('Feijão 2ª safra'!$E74:$Z74,MIN(AB$6-$E$3,22))&lt;&gt;""),'Feijão 2ª safra'!$E74:INDEX('Feijão 2ª safra'!$E74:$Z74,MIN(AB$6-$E$3,22))),0))-IF($G$2,0,IF((AB$6-$G$3)&lt;1,0,IFERROR(LOOKUP(2,1/('Feijão 2ª safra'!$E74:INDEX('Feijão 2ª safra'!$E74:$Z74,MIN(AB$6-$G$3,22))&lt;&gt;""),'Feijão 2ª safra'!$E74:INDEX('Feijão 2ª safra'!$E74:$Z74,MIN(AB$6-$G$3,22))),0)))))</f>
        <v>0</v>
      </c>
      <c r="AC76" s="27" t="n">
        <f aca="false">IF(COUNT('Feijão 2ª safra'!$E74:$Z74)=0,0,MAX(0,IF((AC$6-$E$3)&lt;1,0,IFERROR(LOOKUP(2,1/('Feijão 2ª safra'!$E74:INDEX('Feijão 2ª safra'!$E74:$Z74,MIN(AC$6-$E$3,22))&lt;&gt;""),'Feijão 2ª safra'!$E74:INDEX('Feijão 2ª safra'!$E74:$Z74,MIN(AC$6-$E$3,22))),0))-IF($G$2,0,IF((AC$6-$G$3)&lt;1,0,IFERROR(LOOKUP(2,1/('Feijão 2ª safra'!$E74:INDEX('Feijão 2ª safra'!$E74:$Z74,MIN(AC$6-$G$3,22))&lt;&gt;""),'Feijão 2ª safra'!$E74:INDEX('Feijão 2ª safra'!$E74:$Z74,MIN(AC$6-$G$3,22))),0)))))</f>
        <v>0</v>
      </c>
      <c r="AD76" s="27" t="n">
        <f aca="false">IF(COUNT('Feijão 2ª safra'!$E74:$Z74)=0,0,MAX(0,IF((AD$6-$E$3)&lt;1,0,IFERROR(LOOKUP(2,1/('Feijão 2ª safra'!$E74:INDEX('Feijão 2ª safra'!$E74:$Z74,MIN(AD$6-$E$3,22))&lt;&gt;""),'Feijão 2ª safra'!$E74:INDEX('Feijão 2ª safra'!$E74:$Z74,MIN(AD$6-$E$3,22))),0))-IF($G$2,0,IF((AD$6-$G$3)&lt;1,0,IFERROR(LOOKUP(2,1/('Feijão 2ª safra'!$E74:INDEX('Feijão 2ª safra'!$E74:$Z74,MIN(AD$6-$G$3,22))&lt;&gt;""),'Feijão 2ª safra'!$E74:INDEX('Feijão 2ª safra'!$E74:$Z74,MIN(AD$6-$G$3,22))),0)))))</f>
        <v>0</v>
      </c>
      <c r="AE76" s="27" t="n">
        <f aca="false">IF(COUNT('Feijão 2ª safra'!$E74:$Z74)=0,0,MAX(0,IF((AE$6-$E$3)&lt;1,0,IFERROR(LOOKUP(2,1/('Feijão 2ª safra'!$E74:INDEX('Feijão 2ª safra'!$E74:$Z74,MIN(AE$6-$E$3,22))&lt;&gt;""),'Feijão 2ª safra'!$E74:INDEX('Feijão 2ª safra'!$E74:$Z74,MIN(AE$6-$E$3,22))),0))-IF($G$2,0,IF((AE$6-$G$3)&lt;1,0,IFERROR(LOOKUP(2,1/('Feijão 2ª safra'!$E74:INDEX('Feijão 2ª safra'!$E74:$Z74,MIN(AE$6-$G$3,22))&lt;&gt;""),'Feijão 2ª safra'!$E74:INDEX('Feijão 2ª safra'!$E74:$Z74,MIN(AE$6-$G$3,22))),0)))))</f>
        <v>0</v>
      </c>
      <c r="AF76" s="27" t="n">
        <f aca="false">IF(COUNT('Feijão 2ª safra'!$E74:$Z74)=0,0,MAX(0,IF((AF$6-$E$3)&lt;1,0,IFERROR(LOOKUP(2,1/('Feijão 2ª safra'!$E74:INDEX('Feijão 2ª safra'!$E74:$Z74,MIN(AF$6-$E$3,22))&lt;&gt;""),'Feijão 2ª safra'!$E74:INDEX('Feijão 2ª safra'!$E74:$Z74,MIN(AF$6-$E$3,22))),0))-IF($G$2,0,IF((AF$6-$G$3)&lt;1,0,IFERROR(LOOKUP(2,1/('Feijão 2ª safra'!$E74:INDEX('Feijão 2ª safra'!$E74:$Z74,MIN(AF$6-$G$3,22))&lt;&gt;""),'Feijão 2ª safra'!$E74:INDEX('Feijão 2ª safra'!$E74:$Z74,MIN(AF$6-$G$3,22))),0)))))</f>
        <v>0</v>
      </c>
      <c r="AG76" s="27" t="n">
        <f aca="false">IF(COUNT('Feijão 2ª safra'!$E74:$Z74)=0,0,MAX(0,IF((AG$6-$E$3)&lt;1,0,IFERROR(LOOKUP(2,1/('Feijão 2ª safra'!$E74:INDEX('Feijão 2ª safra'!$E74:$Z74,MIN(AG$6-$E$3,22))&lt;&gt;""),'Feijão 2ª safra'!$E74:INDEX('Feijão 2ª safra'!$E74:$Z74,MIN(AG$6-$E$3,22))),0))-IF($G$2,0,IF((AG$6-$G$3)&lt;1,0,IFERROR(LOOKUP(2,1/('Feijão 2ª safra'!$E74:INDEX('Feijão 2ª safra'!$E74:$Z74,MIN(AG$6-$G$3,22))&lt;&gt;""),'Feijão 2ª safra'!$E74:INDEX('Feijão 2ª safra'!$E74:$Z74,MIN(AG$6-$G$3,22))),0)))))</f>
        <v>0</v>
      </c>
      <c r="AH76" s="27" t="n">
        <f aca="false">IF(COUNT('Feijão 2ª safra'!$E74:$Z74)=0,0,MAX(0,IF((AH$6-$E$3)&lt;1,0,IFERROR(LOOKUP(2,1/('Feijão 2ª safra'!$E74:INDEX('Feijão 2ª safra'!$E74:$Z74,MIN(AH$6-$E$3,22))&lt;&gt;""),'Feijão 2ª safra'!$E74:INDEX('Feijão 2ª safra'!$E74:$Z74,MIN(AH$6-$E$3,22))),0))-IF($G$2,0,IF((AH$6-$G$3)&lt;1,0,IFERROR(LOOKUP(2,1/('Feijão 2ª safra'!$E74:INDEX('Feijão 2ª safra'!$E74:$Z74,MIN(AH$6-$G$3,22))&lt;&gt;""),'Feijão 2ª safra'!$E74:INDEX('Feijão 2ª safra'!$E74:$Z74,MIN(AH$6-$G$3,22))),0)))))</f>
        <v>0</v>
      </c>
      <c r="AI76" s="27" t="n">
        <f aca="false">IF(COUNT('Feijão 2ª safra'!$E74:$Z74)=0,0,MAX(0,IF((AI$6-$E$3)&lt;1,0,IFERROR(LOOKUP(2,1/('Feijão 2ª safra'!$E74:INDEX('Feijão 2ª safra'!$E74:$Z74,MIN(AI$6-$E$3,22))&lt;&gt;""),'Feijão 2ª safra'!$E74:INDEX('Feijão 2ª safra'!$E74:$Z74,MIN(AI$6-$E$3,22))),0))-IF($G$2,0,IF((AI$6-$G$3)&lt;1,0,IFERROR(LOOKUP(2,1/('Feijão 2ª safra'!$E74:INDEX('Feijão 2ª safra'!$E74:$Z74,MIN(AI$6-$G$3,22))&lt;&gt;""),'Feijão 2ª safra'!$E74:INDEX('Feijão 2ª safra'!$E74:$Z74,MIN(AI$6-$G$3,22))),0)))))</f>
        <v>0</v>
      </c>
      <c r="AJ76" s="27" t="n">
        <f aca="false">IF(COUNT('Feijão 2ª safra'!$E74:$Z74)=0,0,MAX(0,IF((AJ$6-$E$3)&lt;1,0,IFERROR(LOOKUP(2,1/('Feijão 2ª safra'!$E74:INDEX('Feijão 2ª safra'!$E74:$Z74,MIN(AJ$6-$E$3,22))&lt;&gt;""),'Feijão 2ª safra'!$E74:INDEX('Feijão 2ª safra'!$E74:$Z74,MIN(AJ$6-$E$3,22))),0))-IF($G$2,0,IF((AJ$6-$G$3)&lt;1,0,IFERROR(LOOKUP(2,1/('Feijão 2ª safra'!$E74:INDEX('Feijão 2ª safra'!$E74:$Z74,MIN(AJ$6-$G$3,22))&lt;&gt;""),'Feijão 2ª safra'!$E74:INDEX('Feijão 2ª safra'!$E74:$Z74,MIN(AJ$6-$G$3,22))),0)))))</f>
        <v>0</v>
      </c>
      <c r="AK76" s="27" t="n">
        <f aca="false">IF(COUNT('Feijão 2ª safra'!$E74:$Z74)=0,0,MAX(0,IF((AK$6-$E$3)&lt;1,0,IFERROR(LOOKUP(2,1/('Feijão 2ª safra'!$E74:INDEX('Feijão 2ª safra'!$E74:$Z74,MIN(AK$6-$E$3,22))&lt;&gt;""),'Feijão 2ª safra'!$E74:INDEX('Feijão 2ª safra'!$E74:$Z74,MIN(AK$6-$E$3,22))),0))-IF($G$2,0,IF((AK$6-$G$3)&lt;1,0,IFERROR(LOOKUP(2,1/('Feijão 2ª safra'!$E74:INDEX('Feijão 2ª safra'!$E74:$Z74,MIN(AK$6-$G$3,22))&lt;&gt;""),'Feijão 2ª safra'!$E74:INDEX('Feijão 2ª safra'!$E74:$Z74,MIN(AK$6-$G$3,22))),0)))))</f>
        <v>0</v>
      </c>
      <c r="AL76" s="27" t="n">
        <f aca="false">IF(COUNT('Feijão 2ª safra'!$E74:$Z74)=0,0,MAX(0,IF((AL$6-$E$3)&lt;1,0,IFERROR(LOOKUP(2,1/('Feijão 2ª safra'!$E74:INDEX('Feijão 2ª safra'!$E74:$Z74,MIN(AL$6-$E$3,22))&lt;&gt;""),'Feijão 2ª safra'!$E74:INDEX('Feijão 2ª safra'!$E74:$Z74,MIN(AL$6-$E$3,22))),0))-IF($G$2,0,IF((AL$6-$G$3)&lt;1,0,IFERROR(LOOKUP(2,1/('Feijão 2ª safra'!$E74:INDEX('Feijão 2ª safra'!$E74:$Z74,MIN(AL$6-$G$3,22))&lt;&gt;""),'Feijão 2ª safra'!$E74:INDEX('Feijão 2ª safra'!$E74:$Z74,MIN(AL$6-$G$3,22))),0)))))</f>
        <v>0</v>
      </c>
      <c r="AM76" s="27" t="n">
        <f aca="false">IF(COUNT('Feijão 2ª safra'!$E74:$Z74)=0,0,MAX(0,IF((AM$6-$E$3)&lt;1,0,IFERROR(LOOKUP(2,1/('Feijão 2ª safra'!$E74:INDEX('Feijão 2ª safra'!$E74:$Z74,MIN(AM$6-$E$3,22))&lt;&gt;""),'Feijão 2ª safra'!$E74:INDEX('Feijão 2ª safra'!$E74:$Z74,MIN(AM$6-$E$3,22))),0))-IF($G$2,0,IF((AM$6-$G$3)&lt;1,0,IFERROR(LOOKUP(2,1/('Feijão 2ª safra'!$E74:INDEX('Feijão 2ª safra'!$E74:$Z74,MIN(AM$6-$G$3,22))&lt;&gt;""),'Feijão 2ª safra'!$E74:INDEX('Feijão 2ª safra'!$E74:$Z74,MIN(AM$6-$G$3,22))),0)))))</f>
        <v>0</v>
      </c>
      <c r="AN76" s="27" t="n">
        <f aca="false">IF(COUNT('Feijão 2ª safra'!$E74:$Z74)=0,0,MAX(0,IF((AN$6-$E$3)&lt;1,0,IFERROR(LOOKUP(2,1/('Feijão 2ª safra'!$E74:INDEX('Feijão 2ª safra'!$E74:$Z74,MIN(AN$6-$E$3,22))&lt;&gt;""),'Feijão 2ª safra'!$E74:INDEX('Feijão 2ª safra'!$E74:$Z74,MIN(AN$6-$E$3,22))),0))-IF($G$2,0,IF((AN$6-$G$3)&lt;1,0,IFERROR(LOOKUP(2,1/('Feijão 2ª safra'!$E74:INDEX('Feijão 2ª safra'!$E74:$Z74,MIN(AN$6-$G$3,22))&lt;&gt;""),'Feijão 2ª safra'!$E74:INDEX('Feijão 2ª safra'!$E74:$Z74,MIN(AN$6-$G$3,22))),0)))))</f>
        <v>0</v>
      </c>
      <c r="AO76" s="27" t="n">
        <f aca="false">IF(COUNT('Feijão 2ª safra'!$E74:$Z74)=0,0,MAX(0,IF((AO$6-$E$3)&lt;1,0,IFERROR(LOOKUP(2,1/('Feijão 2ª safra'!$E74:INDEX('Feijão 2ª safra'!$E74:$Z74,MIN(AO$6-$E$3,22))&lt;&gt;""),'Feijão 2ª safra'!$E74:INDEX('Feijão 2ª safra'!$E74:$Z74,MIN(AO$6-$E$3,22))),0))-IF($G$2,0,IF((AO$6-$G$3)&lt;1,0,IFERROR(LOOKUP(2,1/('Feijão 2ª safra'!$E74:INDEX('Feijão 2ª safra'!$E74:$Z74,MIN(AO$6-$G$3,22))&lt;&gt;""),'Feijão 2ª safra'!$E74:INDEX('Feijão 2ª safra'!$E74:$Z74,MIN(AO$6-$G$3,22))),0)))))</f>
        <v>0</v>
      </c>
      <c r="AP76" s="27" t="n">
        <f aca="false">IF(COUNT('Feijão 2ª safra'!$E74:$Z74)=0,0,MAX(0,IF((AP$6-$E$3)&lt;1,0,IFERROR(LOOKUP(2,1/('Feijão 2ª safra'!$E74:INDEX('Feijão 2ª safra'!$E74:$Z74,MIN(AP$6-$E$3,22))&lt;&gt;""),'Feijão 2ª safra'!$E74:INDEX('Feijão 2ª safra'!$E74:$Z74,MIN(AP$6-$E$3,22))),0))-IF($G$2,0,IF((AP$6-$G$3)&lt;1,0,IFERROR(LOOKUP(2,1/('Feijão 2ª safra'!$E74:INDEX('Feijão 2ª safra'!$E74:$Z74,MIN(AP$6-$G$3,22))&lt;&gt;""),'Feijão 2ª safra'!$E74:INDEX('Feijão 2ª safra'!$E74:$Z74,MIN(AP$6-$G$3,22))),0)))))</f>
        <v>0</v>
      </c>
      <c r="AQ76" s="27" t="n">
        <f aca="false">IF(COUNT('Feijão 2ª safra'!$E74:$Z74)=0,0,MAX(0,IF((AQ$6-$E$3)&lt;1,0,IFERROR(LOOKUP(2,1/('Feijão 2ª safra'!$E74:INDEX('Feijão 2ª safra'!$E74:$Z74,MIN(AQ$6-$E$3,22))&lt;&gt;""),'Feijão 2ª safra'!$E74:INDEX('Feijão 2ª safra'!$E74:$Z74,MIN(AQ$6-$E$3,22))),0))-IF($G$2,0,IF((AQ$6-$G$3)&lt;1,0,IFERROR(LOOKUP(2,1/('Feijão 2ª safra'!$E74:INDEX('Feijão 2ª safra'!$E74:$Z74,MIN(AQ$6-$G$3,22))&lt;&gt;""),'Feijão 2ª safra'!$E74:INDEX('Feijão 2ª safra'!$E74:$Z74,MIN(AQ$6-$G$3,22))),0)))))</f>
        <v>0</v>
      </c>
      <c r="AR76" s="27" t="n">
        <f aca="false">IF(COUNT('Feijão 2ª safra'!$E74:$Z74)=0,0,MAX(0,IF((AR$6-$E$3)&lt;1,0,IFERROR(LOOKUP(2,1/('Feijão 2ª safra'!$E74:INDEX('Feijão 2ª safra'!$E74:$Z74,MIN(AR$6-$E$3,22))&lt;&gt;""),'Feijão 2ª safra'!$E74:INDEX('Feijão 2ª safra'!$E74:$Z74,MIN(AR$6-$E$3,22))),0))-IF($G$2,0,IF((AR$6-$G$3)&lt;1,0,IFERROR(LOOKUP(2,1/('Feijão 2ª safra'!$E74:INDEX('Feijão 2ª safra'!$E74:$Z74,MIN(AR$6-$G$3,22))&lt;&gt;""),'Feijão 2ª safra'!$E74:INDEX('Feijão 2ª safra'!$E74:$Z74,MIN(AR$6-$G$3,22))),0)))))</f>
        <v>0</v>
      </c>
      <c r="AS76" s="27" t="n">
        <f aca="false">IF(COUNT('Feijão 2ª safra'!$E74:$Z74)=0,0,MAX(0,IF((AS$6-$E$3)&lt;1,0,IFERROR(LOOKUP(2,1/('Feijão 2ª safra'!$E74:INDEX('Feijão 2ª safra'!$E74:$Z74,MIN(AS$6-$E$3,22))&lt;&gt;""),'Feijão 2ª safra'!$E74:INDEX('Feijão 2ª safra'!$E74:$Z74,MIN(AS$6-$E$3,22))),0))-IF($G$2,0,IF((AS$6-$G$3)&lt;1,0,IFERROR(LOOKUP(2,1/('Feijão 2ª safra'!$E74:INDEX('Feijão 2ª safra'!$E74:$Z74,MIN(AS$6-$G$3,22))&lt;&gt;""),'Feijão 2ª safra'!$E74:INDEX('Feijão 2ª safra'!$E74:$Z74,MIN(AS$6-$G$3,22))),0)))))</f>
        <v>0</v>
      </c>
      <c r="AT76" s="27" t="n">
        <f aca="false">IF(COUNT('Feijão 2ª safra'!$E74:$Z74)=0,0,MAX(0,IF((AT$6-$E$3)&lt;1,0,IFERROR(LOOKUP(2,1/('Feijão 2ª safra'!$E74:INDEX('Feijão 2ª safra'!$E74:$Z74,MIN(AT$6-$E$3,22))&lt;&gt;""),'Feijão 2ª safra'!$E74:INDEX('Feijão 2ª safra'!$E74:$Z74,MIN(AT$6-$E$3,22))),0))-IF($G$2,0,IF((AT$6-$G$3)&lt;1,0,IFERROR(LOOKUP(2,1/('Feijão 2ª safra'!$E74:INDEX('Feijão 2ª safra'!$E74:$Z74,MIN(AT$6-$G$3,22))&lt;&gt;""),'Feijão 2ª safra'!$E74:INDEX('Feijão 2ª safra'!$E74:$Z74,MIN(AT$6-$G$3,22))),0)))))</f>
        <v>0</v>
      </c>
      <c r="AU76" s="27" t="n">
        <f aca="false">IF(COUNT('Feijão 2ª safra'!$E74:$Z74)=0,0,MAX(0,IF((AU$6-$E$3)&lt;1,0,IFERROR(LOOKUP(2,1/('Feijão 2ª safra'!$E74:INDEX('Feijão 2ª safra'!$E74:$Z74,MIN(AU$6-$E$3,22))&lt;&gt;""),'Feijão 2ª safra'!$E74:INDEX('Feijão 2ª safra'!$E74:$Z74,MIN(AU$6-$E$3,22))),0))-IF($G$2,0,IF((AU$6-$G$3)&lt;1,0,IFERROR(LOOKUP(2,1/('Feijão 2ª safra'!$E74:INDEX('Feijão 2ª safra'!$E74:$Z74,MIN(AU$6-$G$3,22))&lt;&gt;""),'Feijão 2ª safra'!$E74:INDEX('Feijão 2ª safra'!$E74:$Z74,MIN(AU$6-$G$3,22))),0)))))</f>
        <v>0</v>
      </c>
      <c r="AV76" s="27" t="n">
        <f aca="false">IF(COUNT('Feijão 2ª safra'!$E74:$Z74)=0,0,MAX(0,IF((AV$6-$E$3)&lt;1,0,IFERROR(LOOKUP(2,1/('Feijão 2ª safra'!$E74:INDEX('Feijão 2ª safra'!$E74:$Z74,MIN(AV$6-$E$3,22))&lt;&gt;""),'Feijão 2ª safra'!$E74:INDEX('Feijão 2ª safra'!$E74:$Z74,MIN(AV$6-$E$3,22))),0))-IF($G$2,0,IF((AV$6-$G$3)&lt;1,0,IFERROR(LOOKUP(2,1/('Feijão 2ª safra'!$E74:INDEX('Feijão 2ª safra'!$E74:$Z74,MIN(AV$6-$G$3,22))&lt;&gt;""),'Feijão 2ª safra'!$E74:INDEX('Feijão 2ª safra'!$E74:$Z74,MIN(AV$6-$G$3,22))),0)))))</f>
        <v>0</v>
      </c>
      <c r="AW76" s="27" t="n">
        <f aca="false">IF(COUNT('Feijão 2ª safra'!$E74:$Z74)=0,0,MAX(0,IF((AW$6-$E$3)&lt;1,0,IFERROR(LOOKUP(2,1/('Feijão 2ª safra'!$E74:INDEX('Feijão 2ª safra'!$E74:$Z74,MIN(AW$6-$E$3,22))&lt;&gt;""),'Feijão 2ª safra'!$E74:INDEX('Feijão 2ª safra'!$E74:$Z74,MIN(AW$6-$E$3,22))),0))-IF($G$2,0,IF((AW$6-$G$3)&lt;1,0,IFERROR(LOOKUP(2,1/('Feijão 2ª safra'!$E74:INDEX('Feijão 2ª safra'!$E74:$Z74,MIN(AW$6-$G$3,22))&lt;&gt;""),'Feijão 2ª safra'!$E74:INDEX('Feijão 2ª safra'!$E74:$Z74,MIN(AW$6-$G$3,22))),0)))))</f>
        <v>0</v>
      </c>
      <c r="AX76" s="27" t="n">
        <f aca="false">IF(COUNT('Feijão 2ª safra'!$E74:$Z74)=0,0,MAX(0,IF((AX$6-$E$3)&lt;1,0,IFERROR(LOOKUP(2,1/('Feijão 2ª safra'!$E74:INDEX('Feijão 2ª safra'!$E74:$Z74,MIN(AX$6-$E$3,22))&lt;&gt;""),'Feijão 2ª safra'!$E74:INDEX('Feijão 2ª safra'!$E74:$Z74,MIN(AX$6-$E$3,22))),0))-IF($G$2,0,IF((AX$6-$G$3)&lt;1,0,IFERROR(LOOKUP(2,1/('Feijão 2ª safra'!$E74:INDEX('Feijão 2ª safra'!$E74:$Z74,MIN(AX$6-$G$3,22))&lt;&gt;""),'Feijão 2ª safra'!$E74:INDEX('Feijão 2ª safra'!$E74:$Z74,MIN(AX$6-$G$3,22))),0)))))</f>
        <v>0</v>
      </c>
      <c r="AY76" s="27" t="n">
        <f aca="false">IF(COUNT('Feijão 2ª safra'!$E74:$Z74)=0,0,MAX(0,IF((AY$6-$E$3)&lt;1,0,IFERROR(LOOKUP(2,1/('Feijão 2ª safra'!$E74:INDEX('Feijão 2ª safra'!$E74:$Z74,MIN(AY$6-$E$3,22))&lt;&gt;""),'Feijão 2ª safra'!$E74:INDEX('Feijão 2ª safra'!$E74:$Z74,MIN(AY$6-$E$3,22))),0))-IF($G$2,0,IF((AY$6-$G$3)&lt;1,0,IFERROR(LOOKUP(2,1/('Feijão 2ª safra'!$E74:INDEX('Feijão 2ª safra'!$E74:$Z74,MIN(AY$6-$G$3,22))&lt;&gt;""),'Feijão 2ª safra'!$E74:INDEX('Feijão 2ª safra'!$E74:$Z74,MIN(AY$6-$G$3,22))),0)))))</f>
        <v>0</v>
      </c>
      <c r="AZ76" s="27" t="n">
        <f aca="false">IF(COUNT('Feijão 2ª safra'!$E74:$Z74)=0,0,MAX(0,IF((AZ$6-$E$3)&lt;1,0,IFERROR(LOOKUP(2,1/('Feijão 2ª safra'!$E74:INDEX('Feijão 2ª safra'!$E74:$Z74,MIN(AZ$6-$E$3,22))&lt;&gt;""),'Feijão 2ª safra'!$E74:INDEX('Feijão 2ª safra'!$E74:$Z74,MIN(AZ$6-$E$3,22))),0))-IF($G$2,0,IF((AZ$6-$G$3)&lt;1,0,IFERROR(LOOKUP(2,1/('Feijão 2ª safra'!$E74:INDEX('Feijão 2ª safra'!$E74:$Z74,MIN(AZ$6-$G$3,22))&lt;&gt;""),'Feijão 2ª safra'!$E74:INDEX('Feijão 2ª safra'!$E74:$Z74,MIN(AZ$6-$G$3,22))),0)))))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IF(COUNT('Feijão 2ª safra'!$E75:$Z75)&gt;0,N('Feijão 2ª safra'!$D75),0)</f>
        <v>0</v>
      </c>
      <c r="E77" s="27" t="n">
        <f aca="false">IF(COUNT('Feijão 2ª safra'!$E75:$Z75)=0,0,MAX(0,IF((E$6-$E$3)&lt;1,0,IFERROR(LOOKUP(2,1/('Feijão 2ª safra'!$E75:INDEX('Feijão 2ª safra'!$E75:$Z75,MIN(E$6-$E$3,22))&lt;&gt;""),'Feijão 2ª safra'!$E75:INDEX('Feijão 2ª safra'!$E75:$Z75,MIN(E$6-$E$3,22))),0))-IF($G$2,0,IF((E$6-$G$3)&lt;1,0,IFERROR(LOOKUP(2,1/('Feijão 2ª safra'!$E75:INDEX('Feijão 2ª safra'!$E75:$Z75,MIN(E$6-$G$3,22))&lt;&gt;""),'Feijão 2ª safra'!$E75:INDEX('Feijão 2ª safra'!$E75:$Z75,MIN(E$6-$G$3,22))),0)))))</f>
        <v>0</v>
      </c>
      <c r="F77" s="27" t="n">
        <f aca="false">IF(COUNT('Feijão 2ª safra'!$E75:$Z75)=0,0,MAX(0,IF((F$6-$E$3)&lt;1,0,IFERROR(LOOKUP(2,1/('Feijão 2ª safra'!$E75:INDEX('Feijão 2ª safra'!$E75:$Z75,MIN(F$6-$E$3,22))&lt;&gt;""),'Feijão 2ª safra'!$E75:INDEX('Feijão 2ª safra'!$E75:$Z75,MIN(F$6-$E$3,22))),0))-IF($G$2,0,IF((F$6-$G$3)&lt;1,0,IFERROR(LOOKUP(2,1/('Feijão 2ª safra'!$E75:INDEX('Feijão 2ª safra'!$E75:$Z75,MIN(F$6-$G$3,22))&lt;&gt;""),'Feijão 2ª safra'!$E75:INDEX('Feijão 2ª safra'!$E75:$Z75,MIN(F$6-$G$3,22))),0)))))</f>
        <v>0</v>
      </c>
      <c r="G77" s="27" t="n">
        <f aca="false">IF(COUNT('Feijão 2ª safra'!$E75:$Z75)=0,0,MAX(0,IF((G$6-$E$3)&lt;1,0,IFERROR(LOOKUP(2,1/('Feijão 2ª safra'!$E75:INDEX('Feijão 2ª safra'!$E75:$Z75,MIN(G$6-$E$3,22))&lt;&gt;""),'Feijão 2ª safra'!$E75:INDEX('Feijão 2ª safra'!$E75:$Z75,MIN(G$6-$E$3,22))),0))-IF($G$2,0,IF((G$6-$G$3)&lt;1,0,IFERROR(LOOKUP(2,1/('Feijão 2ª safra'!$E75:INDEX('Feijão 2ª safra'!$E75:$Z75,MIN(G$6-$G$3,22))&lt;&gt;""),'Feijão 2ª safra'!$E75:INDEX('Feijão 2ª safra'!$E75:$Z75,MIN(G$6-$G$3,22))),0)))))</f>
        <v>0</v>
      </c>
      <c r="H77" s="27" t="n">
        <f aca="false">IF(COUNT('Feijão 2ª safra'!$E75:$Z75)=0,0,MAX(0,IF((H$6-$E$3)&lt;1,0,IFERROR(LOOKUP(2,1/('Feijão 2ª safra'!$E75:INDEX('Feijão 2ª safra'!$E75:$Z75,MIN(H$6-$E$3,22))&lt;&gt;""),'Feijão 2ª safra'!$E75:INDEX('Feijão 2ª safra'!$E75:$Z75,MIN(H$6-$E$3,22))),0))-IF($G$2,0,IF((H$6-$G$3)&lt;1,0,IFERROR(LOOKUP(2,1/('Feijão 2ª safra'!$E75:INDEX('Feijão 2ª safra'!$E75:$Z75,MIN(H$6-$G$3,22))&lt;&gt;""),'Feijão 2ª safra'!$E75:INDEX('Feijão 2ª safra'!$E75:$Z75,MIN(H$6-$G$3,22))),0)))))</f>
        <v>0</v>
      </c>
      <c r="I77" s="27" t="n">
        <f aca="false">IF(COUNT('Feijão 2ª safra'!$E75:$Z75)=0,0,MAX(0,IF((I$6-$E$3)&lt;1,0,IFERROR(LOOKUP(2,1/('Feijão 2ª safra'!$E75:INDEX('Feijão 2ª safra'!$E75:$Z75,MIN(I$6-$E$3,22))&lt;&gt;""),'Feijão 2ª safra'!$E75:INDEX('Feijão 2ª safra'!$E75:$Z75,MIN(I$6-$E$3,22))),0))-IF($G$2,0,IF((I$6-$G$3)&lt;1,0,IFERROR(LOOKUP(2,1/('Feijão 2ª safra'!$E75:INDEX('Feijão 2ª safra'!$E75:$Z75,MIN(I$6-$G$3,22))&lt;&gt;""),'Feijão 2ª safra'!$E75:INDEX('Feijão 2ª safra'!$E75:$Z75,MIN(I$6-$G$3,22))),0)))))</f>
        <v>0</v>
      </c>
      <c r="J77" s="27" t="n">
        <f aca="false">IF(COUNT('Feijão 2ª safra'!$E75:$Z75)=0,0,MAX(0,IF((J$6-$E$3)&lt;1,0,IFERROR(LOOKUP(2,1/('Feijão 2ª safra'!$E75:INDEX('Feijão 2ª safra'!$E75:$Z75,MIN(J$6-$E$3,22))&lt;&gt;""),'Feijão 2ª safra'!$E75:INDEX('Feijão 2ª safra'!$E75:$Z75,MIN(J$6-$E$3,22))),0))-IF($G$2,0,IF((J$6-$G$3)&lt;1,0,IFERROR(LOOKUP(2,1/('Feijão 2ª safra'!$E75:INDEX('Feijão 2ª safra'!$E75:$Z75,MIN(J$6-$G$3,22))&lt;&gt;""),'Feijão 2ª safra'!$E75:INDEX('Feijão 2ª safra'!$E75:$Z75,MIN(J$6-$G$3,22))),0)))))</f>
        <v>0</v>
      </c>
      <c r="K77" s="27" t="n">
        <f aca="false">IF(COUNT('Feijão 2ª safra'!$E75:$Z75)=0,0,MAX(0,IF((K$6-$E$3)&lt;1,0,IFERROR(LOOKUP(2,1/('Feijão 2ª safra'!$E75:INDEX('Feijão 2ª safra'!$E75:$Z75,MIN(K$6-$E$3,22))&lt;&gt;""),'Feijão 2ª safra'!$E75:INDEX('Feijão 2ª safra'!$E75:$Z75,MIN(K$6-$E$3,22))),0))-IF($G$2,0,IF((K$6-$G$3)&lt;1,0,IFERROR(LOOKUP(2,1/('Feijão 2ª safra'!$E75:INDEX('Feijão 2ª safra'!$E75:$Z75,MIN(K$6-$G$3,22))&lt;&gt;""),'Feijão 2ª safra'!$E75:INDEX('Feijão 2ª safra'!$E75:$Z75,MIN(K$6-$G$3,22))),0)))))</f>
        <v>0</v>
      </c>
      <c r="L77" s="27" t="n">
        <f aca="false">IF(COUNT('Feijão 2ª safra'!$E75:$Z75)=0,0,MAX(0,IF((L$6-$E$3)&lt;1,0,IFERROR(LOOKUP(2,1/('Feijão 2ª safra'!$E75:INDEX('Feijão 2ª safra'!$E75:$Z75,MIN(L$6-$E$3,22))&lt;&gt;""),'Feijão 2ª safra'!$E75:INDEX('Feijão 2ª safra'!$E75:$Z75,MIN(L$6-$E$3,22))),0))-IF($G$2,0,IF((L$6-$G$3)&lt;1,0,IFERROR(LOOKUP(2,1/('Feijão 2ª safra'!$E75:INDEX('Feijão 2ª safra'!$E75:$Z75,MIN(L$6-$G$3,22))&lt;&gt;""),'Feijão 2ª safra'!$E75:INDEX('Feijão 2ª safra'!$E75:$Z75,MIN(L$6-$G$3,22))),0)))))</f>
        <v>0</v>
      </c>
      <c r="M77" s="27" t="n">
        <f aca="false">IF(COUNT('Feijão 2ª safra'!$E75:$Z75)=0,0,MAX(0,IF((M$6-$E$3)&lt;1,0,IFERROR(LOOKUP(2,1/('Feijão 2ª safra'!$E75:INDEX('Feijão 2ª safra'!$E75:$Z75,MIN(M$6-$E$3,22))&lt;&gt;""),'Feijão 2ª safra'!$E75:INDEX('Feijão 2ª safra'!$E75:$Z75,MIN(M$6-$E$3,22))),0))-IF($G$2,0,IF((M$6-$G$3)&lt;1,0,IFERROR(LOOKUP(2,1/('Feijão 2ª safra'!$E75:INDEX('Feijão 2ª safra'!$E75:$Z75,MIN(M$6-$G$3,22))&lt;&gt;""),'Feijão 2ª safra'!$E75:INDEX('Feijão 2ª safra'!$E75:$Z75,MIN(M$6-$G$3,22))),0)))))</f>
        <v>0</v>
      </c>
      <c r="N77" s="27" t="n">
        <f aca="false">IF(COUNT('Feijão 2ª safra'!$E75:$Z75)=0,0,MAX(0,IF((N$6-$E$3)&lt;1,0,IFERROR(LOOKUP(2,1/('Feijão 2ª safra'!$E75:INDEX('Feijão 2ª safra'!$E75:$Z75,MIN(N$6-$E$3,22))&lt;&gt;""),'Feijão 2ª safra'!$E75:INDEX('Feijão 2ª safra'!$E75:$Z75,MIN(N$6-$E$3,22))),0))-IF($G$2,0,IF((N$6-$G$3)&lt;1,0,IFERROR(LOOKUP(2,1/('Feijão 2ª safra'!$E75:INDEX('Feijão 2ª safra'!$E75:$Z75,MIN(N$6-$G$3,22))&lt;&gt;""),'Feijão 2ª safra'!$E75:INDEX('Feijão 2ª safra'!$E75:$Z75,MIN(N$6-$G$3,22))),0)))))</f>
        <v>0</v>
      </c>
      <c r="O77" s="27" t="n">
        <f aca="false">IF(COUNT('Feijão 2ª safra'!$E75:$Z75)=0,0,MAX(0,IF((O$6-$E$3)&lt;1,0,IFERROR(LOOKUP(2,1/('Feijão 2ª safra'!$E75:INDEX('Feijão 2ª safra'!$E75:$Z75,MIN(O$6-$E$3,22))&lt;&gt;""),'Feijão 2ª safra'!$E75:INDEX('Feijão 2ª safra'!$E75:$Z75,MIN(O$6-$E$3,22))),0))-IF($G$2,0,IF((O$6-$G$3)&lt;1,0,IFERROR(LOOKUP(2,1/('Feijão 2ª safra'!$E75:INDEX('Feijão 2ª safra'!$E75:$Z75,MIN(O$6-$G$3,22))&lt;&gt;""),'Feijão 2ª safra'!$E75:INDEX('Feijão 2ª safra'!$E75:$Z75,MIN(O$6-$G$3,22))),0)))))</f>
        <v>0</v>
      </c>
      <c r="P77" s="27" t="n">
        <f aca="false">IF(COUNT('Feijão 2ª safra'!$E75:$Z75)=0,0,MAX(0,IF((P$6-$E$3)&lt;1,0,IFERROR(LOOKUP(2,1/('Feijão 2ª safra'!$E75:INDEX('Feijão 2ª safra'!$E75:$Z75,MIN(P$6-$E$3,22))&lt;&gt;""),'Feijão 2ª safra'!$E75:INDEX('Feijão 2ª safra'!$E75:$Z75,MIN(P$6-$E$3,22))),0))-IF($G$2,0,IF((P$6-$G$3)&lt;1,0,IFERROR(LOOKUP(2,1/('Feijão 2ª safra'!$E75:INDEX('Feijão 2ª safra'!$E75:$Z75,MIN(P$6-$G$3,22))&lt;&gt;""),'Feijão 2ª safra'!$E75:INDEX('Feijão 2ª safra'!$E75:$Z75,MIN(P$6-$G$3,22))),0)))))</f>
        <v>0</v>
      </c>
      <c r="Q77" s="27" t="n">
        <f aca="false">IF(COUNT('Feijão 2ª safra'!$E75:$Z75)=0,0,MAX(0,IF((Q$6-$E$3)&lt;1,0,IFERROR(LOOKUP(2,1/('Feijão 2ª safra'!$E75:INDEX('Feijão 2ª safra'!$E75:$Z75,MIN(Q$6-$E$3,22))&lt;&gt;""),'Feijão 2ª safra'!$E75:INDEX('Feijão 2ª safra'!$E75:$Z75,MIN(Q$6-$E$3,22))),0))-IF($G$2,0,IF((Q$6-$G$3)&lt;1,0,IFERROR(LOOKUP(2,1/('Feijão 2ª safra'!$E75:INDEX('Feijão 2ª safra'!$E75:$Z75,MIN(Q$6-$G$3,22))&lt;&gt;""),'Feijão 2ª safra'!$E75:INDEX('Feijão 2ª safra'!$E75:$Z75,MIN(Q$6-$G$3,22))),0)))))</f>
        <v>0</v>
      </c>
      <c r="R77" s="27" t="n">
        <f aca="false">IF(COUNT('Feijão 2ª safra'!$E75:$Z75)=0,0,MAX(0,IF((R$6-$E$3)&lt;1,0,IFERROR(LOOKUP(2,1/('Feijão 2ª safra'!$E75:INDEX('Feijão 2ª safra'!$E75:$Z75,MIN(R$6-$E$3,22))&lt;&gt;""),'Feijão 2ª safra'!$E75:INDEX('Feijão 2ª safra'!$E75:$Z75,MIN(R$6-$E$3,22))),0))-IF($G$2,0,IF((R$6-$G$3)&lt;1,0,IFERROR(LOOKUP(2,1/('Feijão 2ª safra'!$E75:INDEX('Feijão 2ª safra'!$E75:$Z75,MIN(R$6-$G$3,22))&lt;&gt;""),'Feijão 2ª safra'!$E75:INDEX('Feijão 2ª safra'!$E75:$Z75,MIN(R$6-$G$3,22))),0)))))</f>
        <v>0</v>
      </c>
      <c r="S77" s="27" t="n">
        <f aca="false">IF(COUNT('Feijão 2ª safra'!$E75:$Z75)=0,0,MAX(0,IF((S$6-$E$3)&lt;1,0,IFERROR(LOOKUP(2,1/('Feijão 2ª safra'!$E75:INDEX('Feijão 2ª safra'!$E75:$Z75,MIN(S$6-$E$3,22))&lt;&gt;""),'Feijão 2ª safra'!$E75:INDEX('Feijão 2ª safra'!$E75:$Z75,MIN(S$6-$E$3,22))),0))-IF($G$2,0,IF((S$6-$G$3)&lt;1,0,IFERROR(LOOKUP(2,1/('Feijão 2ª safra'!$E75:INDEX('Feijão 2ª safra'!$E75:$Z75,MIN(S$6-$G$3,22))&lt;&gt;""),'Feijão 2ª safra'!$E75:INDEX('Feijão 2ª safra'!$E75:$Z75,MIN(S$6-$G$3,22))),0)))))</f>
        <v>0</v>
      </c>
      <c r="T77" s="27" t="n">
        <f aca="false">IF(COUNT('Feijão 2ª safra'!$E75:$Z75)=0,0,MAX(0,IF((T$6-$E$3)&lt;1,0,IFERROR(LOOKUP(2,1/('Feijão 2ª safra'!$E75:INDEX('Feijão 2ª safra'!$E75:$Z75,MIN(T$6-$E$3,22))&lt;&gt;""),'Feijão 2ª safra'!$E75:INDEX('Feijão 2ª safra'!$E75:$Z75,MIN(T$6-$E$3,22))),0))-IF($G$2,0,IF((T$6-$G$3)&lt;1,0,IFERROR(LOOKUP(2,1/('Feijão 2ª safra'!$E75:INDEX('Feijão 2ª safra'!$E75:$Z75,MIN(T$6-$G$3,22))&lt;&gt;""),'Feijão 2ª safra'!$E75:INDEX('Feijão 2ª safra'!$E75:$Z75,MIN(T$6-$G$3,22))),0)))))</f>
        <v>0</v>
      </c>
      <c r="U77" s="27" t="n">
        <f aca="false">IF(COUNT('Feijão 2ª safra'!$E75:$Z75)=0,0,MAX(0,IF((U$6-$E$3)&lt;1,0,IFERROR(LOOKUP(2,1/('Feijão 2ª safra'!$E75:INDEX('Feijão 2ª safra'!$E75:$Z75,MIN(U$6-$E$3,22))&lt;&gt;""),'Feijão 2ª safra'!$E75:INDEX('Feijão 2ª safra'!$E75:$Z75,MIN(U$6-$E$3,22))),0))-IF($G$2,0,IF((U$6-$G$3)&lt;1,0,IFERROR(LOOKUP(2,1/('Feijão 2ª safra'!$E75:INDEX('Feijão 2ª safra'!$E75:$Z75,MIN(U$6-$G$3,22))&lt;&gt;""),'Feijão 2ª safra'!$E75:INDEX('Feijão 2ª safra'!$E75:$Z75,MIN(U$6-$G$3,22))),0)))))</f>
        <v>0</v>
      </c>
      <c r="V77" s="27" t="n">
        <f aca="false">IF(COUNT('Feijão 2ª safra'!$E75:$Z75)=0,0,MAX(0,IF((V$6-$E$3)&lt;1,0,IFERROR(LOOKUP(2,1/('Feijão 2ª safra'!$E75:INDEX('Feijão 2ª safra'!$E75:$Z75,MIN(V$6-$E$3,22))&lt;&gt;""),'Feijão 2ª safra'!$E75:INDEX('Feijão 2ª safra'!$E75:$Z75,MIN(V$6-$E$3,22))),0))-IF($G$2,0,IF((V$6-$G$3)&lt;1,0,IFERROR(LOOKUP(2,1/('Feijão 2ª safra'!$E75:INDEX('Feijão 2ª safra'!$E75:$Z75,MIN(V$6-$G$3,22))&lt;&gt;""),'Feijão 2ª safra'!$E75:INDEX('Feijão 2ª safra'!$E75:$Z75,MIN(V$6-$G$3,22))),0)))))</f>
        <v>0</v>
      </c>
      <c r="W77" s="27" t="n">
        <f aca="false">IF(COUNT('Feijão 2ª safra'!$E75:$Z75)=0,0,MAX(0,IF((W$6-$E$3)&lt;1,0,IFERROR(LOOKUP(2,1/('Feijão 2ª safra'!$E75:INDEX('Feijão 2ª safra'!$E75:$Z75,MIN(W$6-$E$3,22))&lt;&gt;""),'Feijão 2ª safra'!$E75:INDEX('Feijão 2ª safra'!$E75:$Z75,MIN(W$6-$E$3,22))),0))-IF($G$2,0,IF((W$6-$G$3)&lt;1,0,IFERROR(LOOKUP(2,1/('Feijão 2ª safra'!$E75:INDEX('Feijão 2ª safra'!$E75:$Z75,MIN(W$6-$G$3,22))&lt;&gt;""),'Feijão 2ª safra'!$E75:INDEX('Feijão 2ª safra'!$E75:$Z75,MIN(W$6-$G$3,22))),0)))))</f>
        <v>0</v>
      </c>
      <c r="X77" s="27" t="n">
        <f aca="false">IF(COUNT('Feijão 2ª safra'!$E75:$Z75)=0,0,MAX(0,IF((X$6-$E$3)&lt;1,0,IFERROR(LOOKUP(2,1/('Feijão 2ª safra'!$E75:INDEX('Feijão 2ª safra'!$E75:$Z75,MIN(X$6-$E$3,22))&lt;&gt;""),'Feijão 2ª safra'!$E75:INDEX('Feijão 2ª safra'!$E75:$Z75,MIN(X$6-$E$3,22))),0))-IF($G$2,0,IF((X$6-$G$3)&lt;1,0,IFERROR(LOOKUP(2,1/('Feijão 2ª safra'!$E75:INDEX('Feijão 2ª safra'!$E75:$Z75,MIN(X$6-$G$3,22))&lt;&gt;""),'Feijão 2ª safra'!$E75:INDEX('Feijão 2ª safra'!$E75:$Z75,MIN(X$6-$G$3,22))),0)))))</f>
        <v>0</v>
      </c>
      <c r="Y77" s="27" t="n">
        <f aca="false">IF(COUNT('Feijão 2ª safra'!$E75:$Z75)=0,0,MAX(0,IF((Y$6-$E$3)&lt;1,0,IFERROR(LOOKUP(2,1/('Feijão 2ª safra'!$E75:INDEX('Feijão 2ª safra'!$E75:$Z75,MIN(Y$6-$E$3,22))&lt;&gt;""),'Feijão 2ª safra'!$E75:INDEX('Feijão 2ª safra'!$E75:$Z75,MIN(Y$6-$E$3,22))),0))-IF($G$2,0,IF((Y$6-$G$3)&lt;1,0,IFERROR(LOOKUP(2,1/('Feijão 2ª safra'!$E75:INDEX('Feijão 2ª safra'!$E75:$Z75,MIN(Y$6-$G$3,22))&lt;&gt;""),'Feijão 2ª safra'!$E75:INDEX('Feijão 2ª safra'!$E75:$Z75,MIN(Y$6-$G$3,22))),0)))))</f>
        <v>0</v>
      </c>
      <c r="Z77" s="27" t="n">
        <f aca="false">IF(COUNT('Feijão 2ª safra'!$E75:$Z75)=0,0,MAX(0,IF((Z$6-$E$3)&lt;1,0,IFERROR(LOOKUP(2,1/('Feijão 2ª safra'!$E75:INDEX('Feijão 2ª safra'!$E75:$Z75,MIN(Z$6-$E$3,22))&lt;&gt;""),'Feijão 2ª safra'!$E75:INDEX('Feijão 2ª safra'!$E75:$Z75,MIN(Z$6-$E$3,22))),0))-IF($G$2,0,IF((Z$6-$G$3)&lt;1,0,IFERROR(LOOKUP(2,1/('Feijão 2ª safra'!$E75:INDEX('Feijão 2ª safra'!$E75:$Z75,MIN(Z$6-$G$3,22))&lt;&gt;""),'Feijão 2ª safra'!$E75:INDEX('Feijão 2ª safra'!$E75:$Z75,MIN(Z$6-$G$3,22))),0)))))</f>
        <v>0</v>
      </c>
      <c r="AA77" s="27" t="n">
        <f aca="false">IF(COUNT('Feijão 2ª safra'!$E75:$Z75)=0,0,MAX(0,IF((AA$6-$E$3)&lt;1,0,IFERROR(LOOKUP(2,1/('Feijão 2ª safra'!$E75:INDEX('Feijão 2ª safra'!$E75:$Z75,MIN(AA$6-$E$3,22))&lt;&gt;""),'Feijão 2ª safra'!$E75:INDEX('Feijão 2ª safra'!$E75:$Z75,MIN(AA$6-$E$3,22))),0))-IF($G$2,0,IF((AA$6-$G$3)&lt;1,0,IFERROR(LOOKUP(2,1/('Feijão 2ª safra'!$E75:INDEX('Feijão 2ª safra'!$E75:$Z75,MIN(AA$6-$G$3,22))&lt;&gt;""),'Feijão 2ª safra'!$E75:INDEX('Feijão 2ª safra'!$E75:$Z75,MIN(AA$6-$G$3,22))),0)))))</f>
        <v>0</v>
      </c>
      <c r="AB77" s="27" t="n">
        <f aca="false">IF(COUNT('Feijão 2ª safra'!$E75:$Z75)=0,0,MAX(0,IF((AB$6-$E$3)&lt;1,0,IFERROR(LOOKUP(2,1/('Feijão 2ª safra'!$E75:INDEX('Feijão 2ª safra'!$E75:$Z75,MIN(AB$6-$E$3,22))&lt;&gt;""),'Feijão 2ª safra'!$E75:INDEX('Feijão 2ª safra'!$E75:$Z75,MIN(AB$6-$E$3,22))),0))-IF($G$2,0,IF((AB$6-$G$3)&lt;1,0,IFERROR(LOOKUP(2,1/('Feijão 2ª safra'!$E75:INDEX('Feijão 2ª safra'!$E75:$Z75,MIN(AB$6-$G$3,22))&lt;&gt;""),'Feijão 2ª safra'!$E75:INDEX('Feijão 2ª safra'!$E75:$Z75,MIN(AB$6-$G$3,22))),0)))))</f>
        <v>0</v>
      </c>
      <c r="AC77" s="27" t="n">
        <f aca="false">IF(COUNT('Feijão 2ª safra'!$E75:$Z75)=0,0,MAX(0,IF((AC$6-$E$3)&lt;1,0,IFERROR(LOOKUP(2,1/('Feijão 2ª safra'!$E75:INDEX('Feijão 2ª safra'!$E75:$Z75,MIN(AC$6-$E$3,22))&lt;&gt;""),'Feijão 2ª safra'!$E75:INDEX('Feijão 2ª safra'!$E75:$Z75,MIN(AC$6-$E$3,22))),0))-IF($G$2,0,IF((AC$6-$G$3)&lt;1,0,IFERROR(LOOKUP(2,1/('Feijão 2ª safra'!$E75:INDEX('Feijão 2ª safra'!$E75:$Z75,MIN(AC$6-$G$3,22))&lt;&gt;""),'Feijão 2ª safra'!$E75:INDEX('Feijão 2ª safra'!$E75:$Z75,MIN(AC$6-$G$3,22))),0)))))</f>
        <v>0</v>
      </c>
      <c r="AD77" s="27" t="n">
        <f aca="false">IF(COUNT('Feijão 2ª safra'!$E75:$Z75)=0,0,MAX(0,IF((AD$6-$E$3)&lt;1,0,IFERROR(LOOKUP(2,1/('Feijão 2ª safra'!$E75:INDEX('Feijão 2ª safra'!$E75:$Z75,MIN(AD$6-$E$3,22))&lt;&gt;""),'Feijão 2ª safra'!$E75:INDEX('Feijão 2ª safra'!$E75:$Z75,MIN(AD$6-$E$3,22))),0))-IF($G$2,0,IF((AD$6-$G$3)&lt;1,0,IFERROR(LOOKUP(2,1/('Feijão 2ª safra'!$E75:INDEX('Feijão 2ª safra'!$E75:$Z75,MIN(AD$6-$G$3,22))&lt;&gt;""),'Feijão 2ª safra'!$E75:INDEX('Feijão 2ª safra'!$E75:$Z75,MIN(AD$6-$G$3,22))),0)))))</f>
        <v>0</v>
      </c>
      <c r="AE77" s="27" t="n">
        <f aca="false">IF(COUNT('Feijão 2ª safra'!$E75:$Z75)=0,0,MAX(0,IF((AE$6-$E$3)&lt;1,0,IFERROR(LOOKUP(2,1/('Feijão 2ª safra'!$E75:INDEX('Feijão 2ª safra'!$E75:$Z75,MIN(AE$6-$E$3,22))&lt;&gt;""),'Feijão 2ª safra'!$E75:INDEX('Feijão 2ª safra'!$E75:$Z75,MIN(AE$6-$E$3,22))),0))-IF($G$2,0,IF((AE$6-$G$3)&lt;1,0,IFERROR(LOOKUP(2,1/('Feijão 2ª safra'!$E75:INDEX('Feijão 2ª safra'!$E75:$Z75,MIN(AE$6-$G$3,22))&lt;&gt;""),'Feijão 2ª safra'!$E75:INDEX('Feijão 2ª safra'!$E75:$Z75,MIN(AE$6-$G$3,22))),0)))))</f>
        <v>0</v>
      </c>
      <c r="AF77" s="27" t="n">
        <f aca="false">IF(COUNT('Feijão 2ª safra'!$E75:$Z75)=0,0,MAX(0,IF((AF$6-$E$3)&lt;1,0,IFERROR(LOOKUP(2,1/('Feijão 2ª safra'!$E75:INDEX('Feijão 2ª safra'!$E75:$Z75,MIN(AF$6-$E$3,22))&lt;&gt;""),'Feijão 2ª safra'!$E75:INDEX('Feijão 2ª safra'!$E75:$Z75,MIN(AF$6-$E$3,22))),0))-IF($G$2,0,IF((AF$6-$G$3)&lt;1,0,IFERROR(LOOKUP(2,1/('Feijão 2ª safra'!$E75:INDEX('Feijão 2ª safra'!$E75:$Z75,MIN(AF$6-$G$3,22))&lt;&gt;""),'Feijão 2ª safra'!$E75:INDEX('Feijão 2ª safra'!$E75:$Z75,MIN(AF$6-$G$3,22))),0)))))</f>
        <v>0</v>
      </c>
      <c r="AG77" s="27" t="n">
        <f aca="false">IF(COUNT('Feijão 2ª safra'!$E75:$Z75)=0,0,MAX(0,IF((AG$6-$E$3)&lt;1,0,IFERROR(LOOKUP(2,1/('Feijão 2ª safra'!$E75:INDEX('Feijão 2ª safra'!$E75:$Z75,MIN(AG$6-$E$3,22))&lt;&gt;""),'Feijão 2ª safra'!$E75:INDEX('Feijão 2ª safra'!$E75:$Z75,MIN(AG$6-$E$3,22))),0))-IF($G$2,0,IF((AG$6-$G$3)&lt;1,0,IFERROR(LOOKUP(2,1/('Feijão 2ª safra'!$E75:INDEX('Feijão 2ª safra'!$E75:$Z75,MIN(AG$6-$G$3,22))&lt;&gt;""),'Feijão 2ª safra'!$E75:INDEX('Feijão 2ª safra'!$E75:$Z75,MIN(AG$6-$G$3,22))),0)))))</f>
        <v>0</v>
      </c>
      <c r="AH77" s="27" t="n">
        <f aca="false">IF(COUNT('Feijão 2ª safra'!$E75:$Z75)=0,0,MAX(0,IF((AH$6-$E$3)&lt;1,0,IFERROR(LOOKUP(2,1/('Feijão 2ª safra'!$E75:INDEX('Feijão 2ª safra'!$E75:$Z75,MIN(AH$6-$E$3,22))&lt;&gt;""),'Feijão 2ª safra'!$E75:INDEX('Feijão 2ª safra'!$E75:$Z75,MIN(AH$6-$E$3,22))),0))-IF($G$2,0,IF((AH$6-$G$3)&lt;1,0,IFERROR(LOOKUP(2,1/('Feijão 2ª safra'!$E75:INDEX('Feijão 2ª safra'!$E75:$Z75,MIN(AH$6-$G$3,22))&lt;&gt;""),'Feijão 2ª safra'!$E75:INDEX('Feijão 2ª safra'!$E75:$Z75,MIN(AH$6-$G$3,22))),0)))))</f>
        <v>0</v>
      </c>
      <c r="AI77" s="27" t="n">
        <f aca="false">IF(COUNT('Feijão 2ª safra'!$E75:$Z75)=0,0,MAX(0,IF((AI$6-$E$3)&lt;1,0,IFERROR(LOOKUP(2,1/('Feijão 2ª safra'!$E75:INDEX('Feijão 2ª safra'!$E75:$Z75,MIN(AI$6-$E$3,22))&lt;&gt;""),'Feijão 2ª safra'!$E75:INDEX('Feijão 2ª safra'!$E75:$Z75,MIN(AI$6-$E$3,22))),0))-IF($G$2,0,IF((AI$6-$G$3)&lt;1,0,IFERROR(LOOKUP(2,1/('Feijão 2ª safra'!$E75:INDEX('Feijão 2ª safra'!$E75:$Z75,MIN(AI$6-$G$3,22))&lt;&gt;""),'Feijão 2ª safra'!$E75:INDEX('Feijão 2ª safra'!$E75:$Z75,MIN(AI$6-$G$3,22))),0)))))</f>
        <v>0</v>
      </c>
      <c r="AJ77" s="27" t="n">
        <f aca="false">IF(COUNT('Feijão 2ª safra'!$E75:$Z75)=0,0,MAX(0,IF((AJ$6-$E$3)&lt;1,0,IFERROR(LOOKUP(2,1/('Feijão 2ª safra'!$E75:INDEX('Feijão 2ª safra'!$E75:$Z75,MIN(AJ$6-$E$3,22))&lt;&gt;""),'Feijão 2ª safra'!$E75:INDEX('Feijão 2ª safra'!$E75:$Z75,MIN(AJ$6-$E$3,22))),0))-IF($G$2,0,IF((AJ$6-$G$3)&lt;1,0,IFERROR(LOOKUP(2,1/('Feijão 2ª safra'!$E75:INDEX('Feijão 2ª safra'!$E75:$Z75,MIN(AJ$6-$G$3,22))&lt;&gt;""),'Feijão 2ª safra'!$E75:INDEX('Feijão 2ª safra'!$E75:$Z75,MIN(AJ$6-$G$3,22))),0)))))</f>
        <v>0</v>
      </c>
      <c r="AK77" s="27" t="n">
        <f aca="false">IF(COUNT('Feijão 2ª safra'!$E75:$Z75)=0,0,MAX(0,IF((AK$6-$E$3)&lt;1,0,IFERROR(LOOKUP(2,1/('Feijão 2ª safra'!$E75:INDEX('Feijão 2ª safra'!$E75:$Z75,MIN(AK$6-$E$3,22))&lt;&gt;""),'Feijão 2ª safra'!$E75:INDEX('Feijão 2ª safra'!$E75:$Z75,MIN(AK$6-$E$3,22))),0))-IF($G$2,0,IF((AK$6-$G$3)&lt;1,0,IFERROR(LOOKUP(2,1/('Feijão 2ª safra'!$E75:INDEX('Feijão 2ª safra'!$E75:$Z75,MIN(AK$6-$G$3,22))&lt;&gt;""),'Feijão 2ª safra'!$E75:INDEX('Feijão 2ª safra'!$E75:$Z75,MIN(AK$6-$G$3,22))),0)))))</f>
        <v>0</v>
      </c>
      <c r="AL77" s="27" t="n">
        <f aca="false">IF(COUNT('Feijão 2ª safra'!$E75:$Z75)=0,0,MAX(0,IF((AL$6-$E$3)&lt;1,0,IFERROR(LOOKUP(2,1/('Feijão 2ª safra'!$E75:INDEX('Feijão 2ª safra'!$E75:$Z75,MIN(AL$6-$E$3,22))&lt;&gt;""),'Feijão 2ª safra'!$E75:INDEX('Feijão 2ª safra'!$E75:$Z75,MIN(AL$6-$E$3,22))),0))-IF($G$2,0,IF((AL$6-$G$3)&lt;1,0,IFERROR(LOOKUP(2,1/('Feijão 2ª safra'!$E75:INDEX('Feijão 2ª safra'!$E75:$Z75,MIN(AL$6-$G$3,22))&lt;&gt;""),'Feijão 2ª safra'!$E75:INDEX('Feijão 2ª safra'!$E75:$Z75,MIN(AL$6-$G$3,22))),0)))))</f>
        <v>0</v>
      </c>
      <c r="AM77" s="27" t="n">
        <f aca="false">IF(COUNT('Feijão 2ª safra'!$E75:$Z75)=0,0,MAX(0,IF((AM$6-$E$3)&lt;1,0,IFERROR(LOOKUP(2,1/('Feijão 2ª safra'!$E75:INDEX('Feijão 2ª safra'!$E75:$Z75,MIN(AM$6-$E$3,22))&lt;&gt;""),'Feijão 2ª safra'!$E75:INDEX('Feijão 2ª safra'!$E75:$Z75,MIN(AM$6-$E$3,22))),0))-IF($G$2,0,IF((AM$6-$G$3)&lt;1,0,IFERROR(LOOKUP(2,1/('Feijão 2ª safra'!$E75:INDEX('Feijão 2ª safra'!$E75:$Z75,MIN(AM$6-$G$3,22))&lt;&gt;""),'Feijão 2ª safra'!$E75:INDEX('Feijão 2ª safra'!$E75:$Z75,MIN(AM$6-$G$3,22))),0)))))</f>
        <v>0</v>
      </c>
      <c r="AN77" s="27" t="n">
        <f aca="false">IF(COUNT('Feijão 2ª safra'!$E75:$Z75)=0,0,MAX(0,IF((AN$6-$E$3)&lt;1,0,IFERROR(LOOKUP(2,1/('Feijão 2ª safra'!$E75:INDEX('Feijão 2ª safra'!$E75:$Z75,MIN(AN$6-$E$3,22))&lt;&gt;""),'Feijão 2ª safra'!$E75:INDEX('Feijão 2ª safra'!$E75:$Z75,MIN(AN$6-$E$3,22))),0))-IF($G$2,0,IF((AN$6-$G$3)&lt;1,0,IFERROR(LOOKUP(2,1/('Feijão 2ª safra'!$E75:INDEX('Feijão 2ª safra'!$E75:$Z75,MIN(AN$6-$G$3,22))&lt;&gt;""),'Feijão 2ª safra'!$E75:INDEX('Feijão 2ª safra'!$E75:$Z75,MIN(AN$6-$G$3,22))),0)))))</f>
        <v>0</v>
      </c>
      <c r="AO77" s="27" t="n">
        <f aca="false">IF(COUNT('Feijão 2ª safra'!$E75:$Z75)=0,0,MAX(0,IF((AO$6-$E$3)&lt;1,0,IFERROR(LOOKUP(2,1/('Feijão 2ª safra'!$E75:INDEX('Feijão 2ª safra'!$E75:$Z75,MIN(AO$6-$E$3,22))&lt;&gt;""),'Feijão 2ª safra'!$E75:INDEX('Feijão 2ª safra'!$E75:$Z75,MIN(AO$6-$E$3,22))),0))-IF($G$2,0,IF((AO$6-$G$3)&lt;1,0,IFERROR(LOOKUP(2,1/('Feijão 2ª safra'!$E75:INDEX('Feijão 2ª safra'!$E75:$Z75,MIN(AO$6-$G$3,22))&lt;&gt;""),'Feijão 2ª safra'!$E75:INDEX('Feijão 2ª safra'!$E75:$Z75,MIN(AO$6-$G$3,22))),0)))))</f>
        <v>0</v>
      </c>
      <c r="AP77" s="27" t="n">
        <f aca="false">IF(COUNT('Feijão 2ª safra'!$E75:$Z75)=0,0,MAX(0,IF((AP$6-$E$3)&lt;1,0,IFERROR(LOOKUP(2,1/('Feijão 2ª safra'!$E75:INDEX('Feijão 2ª safra'!$E75:$Z75,MIN(AP$6-$E$3,22))&lt;&gt;""),'Feijão 2ª safra'!$E75:INDEX('Feijão 2ª safra'!$E75:$Z75,MIN(AP$6-$E$3,22))),0))-IF($G$2,0,IF((AP$6-$G$3)&lt;1,0,IFERROR(LOOKUP(2,1/('Feijão 2ª safra'!$E75:INDEX('Feijão 2ª safra'!$E75:$Z75,MIN(AP$6-$G$3,22))&lt;&gt;""),'Feijão 2ª safra'!$E75:INDEX('Feijão 2ª safra'!$E75:$Z75,MIN(AP$6-$G$3,22))),0)))))</f>
        <v>0</v>
      </c>
      <c r="AQ77" s="27" t="n">
        <f aca="false">IF(COUNT('Feijão 2ª safra'!$E75:$Z75)=0,0,MAX(0,IF((AQ$6-$E$3)&lt;1,0,IFERROR(LOOKUP(2,1/('Feijão 2ª safra'!$E75:INDEX('Feijão 2ª safra'!$E75:$Z75,MIN(AQ$6-$E$3,22))&lt;&gt;""),'Feijão 2ª safra'!$E75:INDEX('Feijão 2ª safra'!$E75:$Z75,MIN(AQ$6-$E$3,22))),0))-IF($G$2,0,IF((AQ$6-$G$3)&lt;1,0,IFERROR(LOOKUP(2,1/('Feijão 2ª safra'!$E75:INDEX('Feijão 2ª safra'!$E75:$Z75,MIN(AQ$6-$G$3,22))&lt;&gt;""),'Feijão 2ª safra'!$E75:INDEX('Feijão 2ª safra'!$E75:$Z75,MIN(AQ$6-$G$3,22))),0)))))</f>
        <v>0</v>
      </c>
      <c r="AR77" s="27" t="n">
        <f aca="false">IF(COUNT('Feijão 2ª safra'!$E75:$Z75)=0,0,MAX(0,IF((AR$6-$E$3)&lt;1,0,IFERROR(LOOKUP(2,1/('Feijão 2ª safra'!$E75:INDEX('Feijão 2ª safra'!$E75:$Z75,MIN(AR$6-$E$3,22))&lt;&gt;""),'Feijão 2ª safra'!$E75:INDEX('Feijão 2ª safra'!$E75:$Z75,MIN(AR$6-$E$3,22))),0))-IF($G$2,0,IF((AR$6-$G$3)&lt;1,0,IFERROR(LOOKUP(2,1/('Feijão 2ª safra'!$E75:INDEX('Feijão 2ª safra'!$E75:$Z75,MIN(AR$6-$G$3,22))&lt;&gt;""),'Feijão 2ª safra'!$E75:INDEX('Feijão 2ª safra'!$E75:$Z75,MIN(AR$6-$G$3,22))),0)))))</f>
        <v>0</v>
      </c>
      <c r="AS77" s="27" t="n">
        <f aca="false">IF(COUNT('Feijão 2ª safra'!$E75:$Z75)=0,0,MAX(0,IF((AS$6-$E$3)&lt;1,0,IFERROR(LOOKUP(2,1/('Feijão 2ª safra'!$E75:INDEX('Feijão 2ª safra'!$E75:$Z75,MIN(AS$6-$E$3,22))&lt;&gt;""),'Feijão 2ª safra'!$E75:INDEX('Feijão 2ª safra'!$E75:$Z75,MIN(AS$6-$E$3,22))),0))-IF($G$2,0,IF((AS$6-$G$3)&lt;1,0,IFERROR(LOOKUP(2,1/('Feijão 2ª safra'!$E75:INDEX('Feijão 2ª safra'!$E75:$Z75,MIN(AS$6-$G$3,22))&lt;&gt;""),'Feijão 2ª safra'!$E75:INDEX('Feijão 2ª safra'!$E75:$Z75,MIN(AS$6-$G$3,22))),0)))))</f>
        <v>0</v>
      </c>
      <c r="AT77" s="27" t="n">
        <f aca="false">IF(COUNT('Feijão 2ª safra'!$E75:$Z75)=0,0,MAX(0,IF((AT$6-$E$3)&lt;1,0,IFERROR(LOOKUP(2,1/('Feijão 2ª safra'!$E75:INDEX('Feijão 2ª safra'!$E75:$Z75,MIN(AT$6-$E$3,22))&lt;&gt;""),'Feijão 2ª safra'!$E75:INDEX('Feijão 2ª safra'!$E75:$Z75,MIN(AT$6-$E$3,22))),0))-IF($G$2,0,IF((AT$6-$G$3)&lt;1,0,IFERROR(LOOKUP(2,1/('Feijão 2ª safra'!$E75:INDEX('Feijão 2ª safra'!$E75:$Z75,MIN(AT$6-$G$3,22))&lt;&gt;""),'Feijão 2ª safra'!$E75:INDEX('Feijão 2ª safra'!$E75:$Z75,MIN(AT$6-$G$3,22))),0)))))</f>
        <v>0</v>
      </c>
      <c r="AU77" s="27" t="n">
        <f aca="false">IF(COUNT('Feijão 2ª safra'!$E75:$Z75)=0,0,MAX(0,IF((AU$6-$E$3)&lt;1,0,IFERROR(LOOKUP(2,1/('Feijão 2ª safra'!$E75:INDEX('Feijão 2ª safra'!$E75:$Z75,MIN(AU$6-$E$3,22))&lt;&gt;""),'Feijão 2ª safra'!$E75:INDEX('Feijão 2ª safra'!$E75:$Z75,MIN(AU$6-$E$3,22))),0))-IF($G$2,0,IF((AU$6-$G$3)&lt;1,0,IFERROR(LOOKUP(2,1/('Feijão 2ª safra'!$E75:INDEX('Feijão 2ª safra'!$E75:$Z75,MIN(AU$6-$G$3,22))&lt;&gt;""),'Feijão 2ª safra'!$E75:INDEX('Feijão 2ª safra'!$E75:$Z75,MIN(AU$6-$G$3,22))),0)))))</f>
        <v>0</v>
      </c>
      <c r="AV77" s="27" t="n">
        <f aca="false">IF(COUNT('Feijão 2ª safra'!$E75:$Z75)=0,0,MAX(0,IF((AV$6-$E$3)&lt;1,0,IFERROR(LOOKUP(2,1/('Feijão 2ª safra'!$E75:INDEX('Feijão 2ª safra'!$E75:$Z75,MIN(AV$6-$E$3,22))&lt;&gt;""),'Feijão 2ª safra'!$E75:INDEX('Feijão 2ª safra'!$E75:$Z75,MIN(AV$6-$E$3,22))),0))-IF($G$2,0,IF((AV$6-$G$3)&lt;1,0,IFERROR(LOOKUP(2,1/('Feijão 2ª safra'!$E75:INDEX('Feijão 2ª safra'!$E75:$Z75,MIN(AV$6-$G$3,22))&lt;&gt;""),'Feijão 2ª safra'!$E75:INDEX('Feijão 2ª safra'!$E75:$Z75,MIN(AV$6-$G$3,22))),0)))))</f>
        <v>0</v>
      </c>
      <c r="AW77" s="27" t="n">
        <f aca="false">IF(COUNT('Feijão 2ª safra'!$E75:$Z75)=0,0,MAX(0,IF((AW$6-$E$3)&lt;1,0,IFERROR(LOOKUP(2,1/('Feijão 2ª safra'!$E75:INDEX('Feijão 2ª safra'!$E75:$Z75,MIN(AW$6-$E$3,22))&lt;&gt;""),'Feijão 2ª safra'!$E75:INDEX('Feijão 2ª safra'!$E75:$Z75,MIN(AW$6-$E$3,22))),0))-IF($G$2,0,IF((AW$6-$G$3)&lt;1,0,IFERROR(LOOKUP(2,1/('Feijão 2ª safra'!$E75:INDEX('Feijão 2ª safra'!$E75:$Z75,MIN(AW$6-$G$3,22))&lt;&gt;""),'Feijão 2ª safra'!$E75:INDEX('Feijão 2ª safra'!$E75:$Z75,MIN(AW$6-$G$3,22))),0)))))</f>
        <v>0</v>
      </c>
      <c r="AX77" s="27" t="n">
        <f aca="false">IF(COUNT('Feijão 2ª safra'!$E75:$Z75)=0,0,MAX(0,IF((AX$6-$E$3)&lt;1,0,IFERROR(LOOKUP(2,1/('Feijão 2ª safra'!$E75:INDEX('Feijão 2ª safra'!$E75:$Z75,MIN(AX$6-$E$3,22))&lt;&gt;""),'Feijão 2ª safra'!$E75:INDEX('Feijão 2ª safra'!$E75:$Z75,MIN(AX$6-$E$3,22))),0))-IF($G$2,0,IF((AX$6-$G$3)&lt;1,0,IFERROR(LOOKUP(2,1/('Feijão 2ª safra'!$E75:INDEX('Feijão 2ª safra'!$E75:$Z75,MIN(AX$6-$G$3,22))&lt;&gt;""),'Feijão 2ª safra'!$E75:INDEX('Feijão 2ª safra'!$E75:$Z75,MIN(AX$6-$G$3,22))),0)))))</f>
        <v>0</v>
      </c>
      <c r="AY77" s="27" t="n">
        <f aca="false">IF(COUNT('Feijão 2ª safra'!$E75:$Z75)=0,0,MAX(0,IF((AY$6-$E$3)&lt;1,0,IFERROR(LOOKUP(2,1/('Feijão 2ª safra'!$E75:INDEX('Feijão 2ª safra'!$E75:$Z75,MIN(AY$6-$E$3,22))&lt;&gt;""),'Feijão 2ª safra'!$E75:INDEX('Feijão 2ª safra'!$E75:$Z75,MIN(AY$6-$E$3,22))),0))-IF($G$2,0,IF((AY$6-$G$3)&lt;1,0,IFERROR(LOOKUP(2,1/('Feijão 2ª safra'!$E75:INDEX('Feijão 2ª safra'!$E75:$Z75,MIN(AY$6-$G$3,22))&lt;&gt;""),'Feijão 2ª safra'!$E75:INDEX('Feijão 2ª safra'!$E75:$Z75,MIN(AY$6-$G$3,22))),0)))))</f>
        <v>0</v>
      </c>
      <c r="AZ77" s="27" t="n">
        <f aca="false">IF(COUNT('Feijão 2ª safra'!$E75:$Z75)=0,0,MAX(0,IF((AZ$6-$E$3)&lt;1,0,IFERROR(LOOKUP(2,1/('Feijão 2ª safra'!$E75:INDEX('Feijão 2ª safra'!$E75:$Z75,MIN(AZ$6-$E$3,22))&lt;&gt;""),'Feijão 2ª safra'!$E75:INDEX('Feijão 2ª safra'!$E75:$Z75,MIN(AZ$6-$E$3,22))),0))-IF($G$2,0,IF((AZ$6-$G$3)&lt;1,0,IFERROR(LOOKUP(2,1/('Feijão 2ª safra'!$E75:INDEX('Feijão 2ª safra'!$E75:$Z75,MIN(AZ$6-$G$3,22))&lt;&gt;""),'Feijão 2ª safra'!$E75:INDEX('Feijão 2ª safra'!$E75:$Z75,MIN(AZ$6-$G$3,22))),0)))))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IF(COUNT('Feijão 2ª safra'!$E76:$Z76)&gt;0,N('Feijão 2ª safra'!$D76),0)</f>
        <v>0</v>
      </c>
      <c r="E78" s="27" t="n">
        <f aca="false">IF(COUNT('Feijão 2ª safra'!$E76:$Z76)=0,0,MAX(0,IF((E$6-$E$3)&lt;1,0,IFERROR(LOOKUP(2,1/('Feijão 2ª safra'!$E76:INDEX('Feijão 2ª safra'!$E76:$Z76,MIN(E$6-$E$3,22))&lt;&gt;""),'Feijão 2ª safra'!$E76:INDEX('Feijão 2ª safra'!$E76:$Z76,MIN(E$6-$E$3,22))),0))-IF($G$2,0,IF((E$6-$G$3)&lt;1,0,IFERROR(LOOKUP(2,1/('Feijão 2ª safra'!$E76:INDEX('Feijão 2ª safra'!$E76:$Z76,MIN(E$6-$G$3,22))&lt;&gt;""),'Feijão 2ª safra'!$E76:INDEX('Feijão 2ª safra'!$E76:$Z76,MIN(E$6-$G$3,22))),0)))))</f>
        <v>0</v>
      </c>
      <c r="F78" s="27" t="n">
        <f aca="false">IF(COUNT('Feijão 2ª safra'!$E76:$Z76)=0,0,MAX(0,IF((F$6-$E$3)&lt;1,0,IFERROR(LOOKUP(2,1/('Feijão 2ª safra'!$E76:INDEX('Feijão 2ª safra'!$E76:$Z76,MIN(F$6-$E$3,22))&lt;&gt;""),'Feijão 2ª safra'!$E76:INDEX('Feijão 2ª safra'!$E76:$Z76,MIN(F$6-$E$3,22))),0))-IF($G$2,0,IF((F$6-$G$3)&lt;1,0,IFERROR(LOOKUP(2,1/('Feijão 2ª safra'!$E76:INDEX('Feijão 2ª safra'!$E76:$Z76,MIN(F$6-$G$3,22))&lt;&gt;""),'Feijão 2ª safra'!$E76:INDEX('Feijão 2ª safra'!$E76:$Z76,MIN(F$6-$G$3,22))),0)))))</f>
        <v>0</v>
      </c>
      <c r="G78" s="27" t="n">
        <f aca="false">IF(COUNT('Feijão 2ª safra'!$E76:$Z76)=0,0,MAX(0,IF((G$6-$E$3)&lt;1,0,IFERROR(LOOKUP(2,1/('Feijão 2ª safra'!$E76:INDEX('Feijão 2ª safra'!$E76:$Z76,MIN(G$6-$E$3,22))&lt;&gt;""),'Feijão 2ª safra'!$E76:INDEX('Feijão 2ª safra'!$E76:$Z76,MIN(G$6-$E$3,22))),0))-IF($G$2,0,IF((G$6-$G$3)&lt;1,0,IFERROR(LOOKUP(2,1/('Feijão 2ª safra'!$E76:INDEX('Feijão 2ª safra'!$E76:$Z76,MIN(G$6-$G$3,22))&lt;&gt;""),'Feijão 2ª safra'!$E76:INDEX('Feijão 2ª safra'!$E76:$Z76,MIN(G$6-$G$3,22))),0)))))</f>
        <v>0</v>
      </c>
      <c r="H78" s="27" t="n">
        <f aca="false">IF(COUNT('Feijão 2ª safra'!$E76:$Z76)=0,0,MAX(0,IF((H$6-$E$3)&lt;1,0,IFERROR(LOOKUP(2,1/('Feijão 2ª safra'!$E76:INDEX('Feijão 2ª safra'!$E76:$Z76,MIN(H$6-$E$3,22))&lt;&gt;""),'Feijão 2ª safra'!$E76:INDEX('Feijão 2ª safra'!$E76:$Z76,MIN(H$6-$E$3,22))),0))-IF($G$2,0,IF((H$6-$G$3)&lt;1,0,IFERROR(LOOKUP(2,1/('Feijão 2ª safra'!$E76:INDEX('Feijão 2ª safra'!$E76:$Z76,MIN(H$6-$G$3,22))&lt;&gt;""),'Feijão 2ª safra'!$E76:INDEX('Feijão 2ª safra'!$E76:$Z76,MIN(H$6-$G$3,22))),0)))))</f>
        <v>0</v>
      </c>
      <c r="I78" s="27" t="n">
        <f aca="false">IF(COUNT('Feijão 2ª safra'!$E76:$Z76)=0,0,MAX(0,IF((I$6-$E$3)&lt;1,0,IFERROR(LOOKUP(2,1/('Feijão 2ª safra'!$E76:INDEX('Feijão 2ª safra'!$E76:$Z76,MIN(I$6-$E$3,22))&lt;&gt;""),'Feijão 2ª safra'!$E76:INDEX('Feijão 2ª safra'!$E76:$Z76,MIN(I$6-$E$3,22))),0))-IF($G$2,0,IF((I$6-$G$3)&lt;1,0,IFERROR(LOOKUP(2,1/('Feijão 2ª safra'!$E76:INDEX('Feijão 2ª safra'!$E76:$Z76,MIN(I$6-$G$3,22))&lt;&gt;""),'Feijão 2ª safra'!$E76:INDEX('Feijão 2ª safra'!$E76:$Z76,MIN(I$6-$G$3,22))),0)))))</f>
        <v>0</v>
      </c>
      <c r="J78" s="27" t="n">
        <f aca="false">IF(COUNT('Feijão 2ª safra'!$E76:$Z76)=0,0,MAX(0,IF((J$6-$E$3)&lt;1,0,IFERROR(LOOKUP(2,1/('Feijão 2ª safra'!$E76:INDEX('Feijão 2ª safra'!$E76:$Z76,MIN(J$6-$E$3,22))&lt;&gt;""),'Feijão 2ª safra'!$E76:INDEX('Feijão 2ª safra'!$E76:$Z76,MIN(J$6-$E$3,22))),0))-IF($G$2,0,IF((J$6-$G$3)&lt;1,0,IFERROR(LOOKUP(2,1/('Feijão 2ª safra'!$E76:INDEX('Feijão 2ª safra'!$E76:$Z76,MIN(J$6-$G$3,22))&lt;&gt;""),'Feijão 2ª safra'!$E76:INDEX('Feijão 2ª safra'!$E76:$Z76,MIN(J$6-$G$3,22))),0)))))</f>
        <v>0</v>
      </c>
      <c r="K78" s="27" t="n">
        <f aca="false">IF(COUNT('Feijão 2ª safra'!$E76:$Z76)=0,0,MAX(0,IF((K$6-$E$3)&lt;1,0,IFERROR(LOOKUP(2,1/('Feijão 2ª safra'!$E76:INDEX('Feijão 2ª safra'!$E76:$Z76,MIN(K$6-$E$3,22))&lt;&gt;""),'Feijão 2ª safra'!$E76:INDEX('Feijão 2ª safra'!$E76:$Z76,MIN(K$6-$E$3,22))),0))-IF($G$2,0,IF((K$6-$G$3)&lt;1,0,IFERROR(LOOKUP(2,1/('Feijão 2ª safra'!$E76:INDEX('Feijão 2ª safra'!$E76:$Z76,MIN(K$6-$G$3,22))&lt;&gt;""),'Feijão 2ª safra'!$E76:INDEX('Feijão 2ª safra'!$E76:$Z76,MIN(K$6-$G$3,22))),0)))))</f>
        <v>0</v>
      </c>
      <c r="L78" s="27" t="n">
        <f aca="false">IF(COUNT('Feijão 2ª safra'!$E76:$Z76)=0,0,MAX(0,IF((L$6-$E$3)&lt;1,0,IFERROR(LOOKUP(2,1/('Feijão 2ª safra'!$E76:INDEX('Feijão 2ª safra'!$E76:$Z76,MIN(L$6-$E$3,22))&lt;&gt;""),'Feijão 2ª safra'!$E76:INDEX('Feijão 2ª safra'!$E76:$Z76,MIN(L$6-$E$3,22))),0))-IF($G$2,0,IF((L$6-$G$3)&lt;1,0,IFERROR(LOOKUP(2,1/('Feijão 2ª safra'!$E76:INDEX('Feijão 2ª safra'!$E76:$Z76,MIN(L$6-$G$3,22))&lt;&gt;""),'Feijão 2ª safra'!$E76:INDEX('Feijão 2ª safra'!$E76:$Z76,MIN(L$6-$G$3,22))),0)))))</f>
        <v>0</v>
      </c>
      <c r="M78" s="27" t="n">
        <f aca="false">IF(COUNT('Feijão 2ª safra'!$E76:$Z76)=0,0,MAX(0,IF((M$6-$E$3)&lt;1,0,IFERROR(LOOKUP(2,1/('Feijão 2ª safra'!$E76:INDEX('Feijão 2ª safra'!$E76:$Z76,MIN(M$6-$E$3,22))&lt;&gt;""),'Feijão 2ª safra'!$E76:INDEX('Feijão 2ª safra'!$E76:$Z76,MIN(M$6-$E$3,22))),0))-IF($G$2,0,IF((M$6-$G$3)&lt;1,0,IFERROR(LOOKUP(2,1/('Feijão 2ª safra'!$E76:INDEX('Feijão 2ª safra'!$E76:$Z76,MIN(M$6-$G$3,22))&lt;&gt;""),'Feijão 2ª safra'!$E76:INDEX('Feijão 2ª safra'!$E76:$Z76,MIN(M$6-$G$3,22))),0)))))</f>
        <v>0</v>
      </c>
      <c r="N78" s="27" t="n">
        <f aca="false">IF(COUNT('Feijão 2ª safra'!$E76:$Z76)=0,0,MAX(0,IF((N$6-$E$3)&lt;1,0,IFERROR(LOOKUP(2,1/('Feijão 2ª safra'!$E76:INDEX('Feijão 2ª safra'!$E76:$Z76,MIN(N$6-$E$3,22))&lt;&gt;""),'Feijão 2ª safra'!$E76:INDEX('Feijão 2ª safra'!$E76:$Z76,MIN(N$6-$E$3,22))),0))-IF($G$2,0,IF((N$6-$G$3)&lt;1,0,IFERROR(LOOKUP(2,1/('Feijão 2ª safra'!$E76:INDEX('Feijão 2ª safra'!$E76:$Z76,MIN(N$6-$G$3,22))&lt;&gt;""),'Feijão 2ª safra'!$E76:INDEX('Feijão 2ª safra'!$E76:$Z76,MIN(N$6-$G$3,22))),0)))))</f>
        <v>0</v>
      </c>
      <c r="O78" s="27" t="n">
        <f aca="false">IF(COUNT('Feijão 2ª safra'!$E76:$Z76)=0,0,MAX(0,IF((O$6-$E$3)&lt;1,0,IFERROR(LOOKUP(2,1/('Feijão 2ª safra'!$E76:INDEX('Feijão 2ª safra'!$E76:$Z76,MIN(O$6-$E$3,22))&lt;&gt;""),'Feijão 2ª safra'!$E76:INDEX('Feijão 2ª safra'!$E76:$Z76,MIN(O$6-$E$3,22))),0))-IF($G$2,0,IF((O$6-$G$3)&lt;1,0,IFERROR(LOOKUP(2,1/('Feijão 2ª safra'!$E76:INDEX('Feijão 2ª safra'!$E76:$Z76,MIN(O$6-$G$3,22))&lt;&gt;""),'Feijão 2ª safra'!$E76:INDEX('Feijão 2ª safra'!$E76:$Z76,MIN(O$6-$G$3,22))),0)))))</f>
        <v>0</v>
      </c>
      <c r="P78" s="27" t="n">
        <f aca="false">IF(COUNT('Feijão 2ª safra'!$E76:$Z76)=0,0,MAX(0,IF((P$6-$E$3)&lt;1,0,IFERROR(LOOKUP(2,1/('Feijão 2ª safra'!$E76:INDEX('Feijão 2ª safra'!$E76:$Z76,MIN(P$6-$E$3,22))&lt;&gt;""),'Feijão 2ª safra'!$E76:INDEX('Feijão 2ª safra'!$E76:$Z76,MIN(P$6-$E$3,22))),0))-IF($G$2,0,IF((P$6-$G$3)&lt;1,0,IFERROR(LOOKUP(2,1/('Feijão 2ª safra'!$E76:INDEX('Feijão 2ª safra'!$E76:$Z76,MIN(P$6-$G$3,22))&lt;&gt;""),'Feijão 2ª safra'!$E76:INDEX('Feijão 2ª safra'!$E76:$Z76,MIN(P$6-$G$3,22))),0)))))</f>
        <v>0</v>
      </c>
      <c r="Q78" s="27" t="n">
        <f aca="false">IF(COUNT('Feijão 2ª safra'!$E76:$Z76)=0,0,MAX(0,IF((Q$6-$E$3)&lt;1,0,IFERROR(LOOKUP(2,1/('Feijão 2ª safra'!$E76:INDEX('Feijão 2ª safra'!$E76:$Z76,MIN(Q$6-$E$3,22))&lt;&gt;""),'Feijão 2ª safra'!$E76:INDEX('Feijão 2ª safra'!$E76:$Z76,MIN(Q$6-$E$3,22))),0))-IF($G$2,0,IF((Q$6-$G$3)&lt;1,0,IFERROR(LOOKUP(2,1/('Feijão 2ª safra'!$E76:INDEX('Feijão 2ª safra'!$E76:$Z76,MIN(Q$6-$G$3,22))&lt;&gt;""),'Feijão 2ª safra'!$E76:INDEX('Feijão 2ª safra'!$E76:$Z76,MIN(Q$6-$G$3,22))),0)))))</f>
        <v>0</v>
      </c>
      <c r="R78" s="27" t="n">
        <f aca="false">IF(COUNT('Feijão 2ª safra'!$E76:$Z76)=0,0,MAX(0,IF((R$6-$E$3)&lt;1,0,IFERROR(LOOKUP(2,1/('Feijão 2ª safra'!$E76:INDEX('Feijão 2ª safra'!$E76:$Z76,MIN(R$6-$E$3,22))&lt;&gt;""),'Feijão 2ª safra'!$E76:INDEX('Feijão 2ª safra'!$E76:$Z76,MIN(R$6-$E$3,22))),0))-IF($G$2,0,IF((R$6-$G$3)&lt;1,0,IFERROR(LOOKUP(2,1/('Feijão 2ª safra'!$E76:INDEX('Feijão 2ª safra'!$E76:$Z76,MIN(R$6-$G$3,22))&lt;&gt;""),'Feijão 2ª safra'!$E76:INDEX('Feijão 2ª safra'!$E76:$Z76,MIN(R$6-$G$3,22))),0)))))</f>
        <v>0</v>
      </c>
      <c r="S78" s="27" t="n">
        <f aca="false">IF(COUNT('Feijão 2ª safra'!$E76:$Z76)=0,0,MAX(0,IF((S$6-$E$3)&lt;1,0,IFERROR(LOOKUP(2,1/('Feijão 2ª safra'!$E76:INDEX('Feijão 2ª safra'!$E76:$Z76,MIN(S$6-$E$3,22))&lt;&gt;""),'Feijão 2ª safra'!$E76:INDEX('Feijão 2ª safra'!$E76:$Z76,MIN(S$6-$E$3,22))),0))-IF($G$2,0,IF((S$6-$G$3)&lt;1,0,IFERROR(LOOKUP(2,1/('Feijão 2ª safra'!$E76:INDEX('Feijão 2ª safra'!$E76:$Z76,MIN(S$6-$G$3,22))&lt;&gt;""),'Feijão 2ª safra'!$E76:INDEX('Feijão 2ª safra'!$E76:$Z76,MIN(S$6-$G$3,22))),0)))))</f>
        <v>0</v>
      </c>
      <c r="T78" s="27" t="n">
        <f aca="false">IF(COUNT('Feijão 2ª safra'!$E76:$Z76)=0,0,MAX(0,IF((T$6-$E$3)&lt;1,0,IFERROR(LOOKUP(2,1/('Feijão 2ª safra'!$E76:INDEX('Feijão 2ª safra'!$E76:$Z76,MIN(T$6-$E$3,22))&lt;&gt;""),'Feijão 2ª safra'!$E76:INDEX('Feijão 2ª safra'!$E76:$Z76,MIN(T$6-$E$3,22))),0))-IF($G$2,0,IF((T$6-$G$3)&lt;1,0,IFERROR(LOOKUP(2,1/('Feijão 2ª safra'!$E76:INDEX('Feijão 2ª safra'!$E76:$Z76,MIN(T$6-$G$3,22))&lt;&gt;""),'Feijão 2ª safra'!$E76:INDEX('Feijão 2ª safra'!$E76:$Z76,MIN(T$6-$G$3,22))),0)))))</f>
        <v>0</v>
      </c>
      <c r="U78" s="27" t="n">
        <f aca="false">IF(COUNT('Feijão 2ª safra'!$E76:$Z76)=0,0,MAX(0,IF((U$6-$E$3)&lt;1,0,IFERROR(LOOKUP(2,1/('Feijão 2ª safra'!$E76:INDEX('Feijão 2ª safra'!$E76:$Z76,MIN(U$6-$E$3,22))&lt;&gt;""),'Feijão 2ª safra'!$E76:INDEX('Feijão 2ª safra'!$E76:$Z76,MIN(U$6-$E$3,22))),0))-IF($G$2,0,IF((U$6-$G$3)&lt;1,0,IFERROR(LOOKUP(2,1/('Feijão 2ª safra'!$E76:INDEX('Feijão 2ª safra'!$E76:$Z76,MIN(U$6-$G$3,22))&lt;&gt;""),'Feijão 2ª safra'!$E76:INDEX('Feijão 2ª safra'!$E76:$Z76,MIN(U$6-$G$3,22))),0)))))</f>
        <v>0</v>
      </c>
      <c r="V78" s="27" t="n">
        <f aca="false">IF(COUNT('Feijão 2ª safra'!$E76:$Z76)=0,0,MAX(0,IF((V$6-$E$3)&lt;1,0,IFERROR(LOOKUP(2,1/('Feijão 2ª safra'!$E76:INDEX('Feijão 2ª safra'!$E76:$Z76,MIN(V$6-$E$3,22))&lt;&gt;""),'Feijão 2ª safra'!$E76:INDEX('Feijão 2ª safra'!$E76:$Z76,MIN(V$6-$E$3,22))),0))-IF($G$2,0,IF((V$6-$G$3)&lt;1,0,IFERROR(LOOKUP(2,1/('Feijão 2ª safra'!$E76:INDEX('Feijão 2ª safra'!$E76:$Z76,MIN(V$6-$G$3,22))&lt;&gt;""),'Feijão 2ª safra'!$E76:INDEX('Feijão 2ª safra'!$E76:$Z76,MIN(V$6-$G$3,22))),0)))))</f>
        <v>0</v>
      </c>
      <c r="W78" s="27" t="n">
        <f aca="false">IF(COUNT('Feijão 2ª safra'!$E76:$Z76)=0,0,MAX(0,IF((W$6-$E$3)&lt;1,0,IFERROR(LOOKUP(2,1/('Feijão 2ª safra'!$E76:INDEX('Feijão 2ª safra'!$E76:$Z76,MIN(W$6-$E$3,22))&lt;&gt;""),'Feijão 2ª safra'!$E76:INDEX('Feijão 2ª safra'!$E76:$Z76,MIN(W$6-$E$3,22))),0))-IF($G$2,0,IF((W$6-$G$3)&lt;1,0,IFERROR(LOOKUP(2,1/('Feijão 2ª safra'!$E76:INDEX('Feijão 2ª safra'!$E76:$Z76,MIN(W$6-$G$3,22))&lt;&gt;""),'Feijão 2ª safra'!$E76:INDEX('Feijão 2ª safra'!$E76:$Z76,MIN(W$6-$G$3,22))),0)))))</f>
        <v>0</v>
      </c>
      <c r="X78" s="27" t="n">
        <f aca="false">IF(COUNT('Feijão 2ª safra'!$E76:$Z76)=0,0,MAX(0,IF((X$6-$E$3)&lt;1,0,IFERROR(LOOKUP(2,1/('Feijão 2ª safra'!$E76:INDEX('Feijão 2ª safra'!$E76:$Z76,MIN(X$6-$E$3,22))&lt;&gt;""),'Feijão 2ª safra'!$E76:INDEX('Feijão 2ª safra'!$E76:$Z76,MIN(X$6-$E$3,22))),0))-IF($G$2,0,IF((X$6-$G$3)&lt;1,0,IFERROR(LOOKUP(2,1/('Feijão 2ª safra'!$E76:INDEX('Feijão 2ª safra'!$E76:$Z76,MIN(X$6-$G$3,22))&lt;&gt;""),'Feijão 2ª safra'!$E76:INDEX('Feijão 2ª safra'!$E76:$Z76,MIN(X$6-$G$3,22))),0)))))</f>
        <v>0</v>
      </c>
      <c r="Y78" s="27" t="n">
        <f aca="false">IF(COUNT('Feijão 2ª safra'!$E76:$Z76)=0,0,MAX(0,IF((Y$6-$E$3)&lt;1,0,IFERROR(LOOKUP(2,1/('Feijão 2ª safra'!$E76:INDEX('Feijão 2ª safra'!$E76:$Z76,MIN(Y$6-$E$3,22))&lt;&gt;""),'Feijão 2ª safra'!$E76:INDEX('Feijão 2ª safra'!$E76:$Z76,MIN(Y$6-$E$3,22))),0))-IF($G$2,0,IF((Y$6-$G$3)&lt;1,0,IFERROR(LOOKUP(2,1/('Feijão 2ª safra'!$E76:INDEX('Feijão 2ª safra'!$E76:$Z76,MIN(Y$6-$G$3,22))&lt;&gt;""),'Feijão 2ª safra'!$E76:INDEX('Feijão 2ª safra'!$E76:$Z76,MIN(Y$6-$G$3,22))),0)))))</f>
        <v>0</v>
      </c>
      <c r="Z78" s="27" t="n">
        <f aca="false">IF(COUNT('Feijão 2ª safra'!$E76:$Z76)=0,0,MAX(0,IF((Z$6-$E$3)&lt;1,0,IFERROR(LOOKUP(2,1/('Feijão 2ª safra'!$E76:INDEX('Feijão 2ª safra'!$E76:$Z76,MIN(Z$6-$E$3,22))&lt;&gt;""),'Feijão 2ª safra'!$E76:INDEX('Feijão 2ª safra'!$E76:$Z76,MIN(Z$6-$E$3,22))),0))-IF($G$2,0,IF((Z$6-$G$3)&lt;1,0,IFERROR(LOOKUP(2,1/('Feijão 2ª safra'!$E76:INDEX('Feijão 2ª safra'!$E76:$Z76,MIN(Z$6-$G$3,22))&lt;&gt;""),'Feijão 2ª safra'!$E76:INDEX('Feijão 2ª safra'!$E76:$Z76,MIN(Z$6-$G$3,22))),0)))))</f>
        <v>0</v>
      </c>
      <c r="AA78" s="27" t="n">
        <f aca="false">IF(COUNT('Feijão 2ª safra'!$E76:$Z76)=0,0,MAX(0,IF((AA$6-$E$3)&lt;1,0,IFERROR(LOOKUP(2,1/('Feijão 2ª safra'!$E76:INDEX('Feijão 2ª safra'!$E76:$Z76,MIN(AA$6-$E$3,22))&lt;&gt;""),'Feijão 2ª safra'!$E76:INDEX('Feijão 2ª safra'!$E76:$Z76,MIN(AA$6-$E$3,22))),0))-IF($G$2,0,IF((AA$6-$G$3)&lt;1,0,IFERROR(LOOKUP(2,1/('Feijão 2ª safra'!$E76:INDEX('Feijão 2ª safra'!$E76:$Z76,MIN(AA$6-$G$3,22))&lt;&gt;""),'Feijão 2ª safra'!$E76:INDEX('Feijão 2ª safra'!$E76:$Z76,MIN(AA$6-$G$3,22))),0)))))</f>
        <v>0</v>
      </c>
      <c r="AB78" s="27" t="n">
        <f aca="false">IF(COUNT('Feijão 2ª safra'!$E76:$Z76)=0,0,MAX(0,IF((AB$6-$E$3)&lt;1,0,IFERROR(LOOKUP(2,1/('Feijão 2ª safra'!$E76:INDEX('Feijão 2ª safra'!$E76:$Z76,MIN(AB$6-$E$3,22))&lt;&gt;""),'Feijão 2ª safra'!$E76:INDEX('Feijão 2ª safra'!$E76:$Z76,MIN(AB$6-$E$3,22))),0))-IF($G$2,0,IF((AB$6-$G$3)&lt;1,0,IFERROR(LOOKUP(2,1/('Feijão 2ª safra'!$E76:INDEX('Feijão 2ª safra'!$E76:$Z76,MIN(AB$6-$G$3,22))&lt;&gt;""),'Feijão 2ª safra'!$E76:INDEX('Feijão 2ª safra'!$E76:$Z76,MIN(AB$6-$G$3,22))),0)))))</f>
        <v>0</v>
      </c>
      <c r="AC78" s="27" t="n">
        <f aca="false">IF(COUNT('Feijão 2ª safra'!$E76:$Z76)=0,0,MAX(0,IF((AC$6-$E$3)&lt;1,0,IFERROR(LOOKUP(2,1/('Feijão 2ª safra'!$E76:INDEX('Feijão 2ª safra'!$E76:$Z76,MIN(AC$6-$E$3,22))&lt;&gt;""),'Feijão 2ª safra'!$E76:INDEX('Feijão 2ª safra'!$E76:$Z76,MIN(AC$6-$E$3,22))),0))-IF($G$2,0,IF((AC$6-$G$3)&lt;1,0,IFERROR(LOOKUP(2,1/('Feijão 2ª safra'!$E76:INDEX('Feijão 2ª safra'!$E76:$Z76,MIN(AC$6-$G$3,22))&lt;&gt;""),'Feijão 2ª safra'!$E76:INDEX('Feijão 2ª safra'!$E76:$Z76,MIN(AC$6-$G$3,22))),0)))))</f>
        <v>0</v>
      </c>
      <c r="AD78" s="27" t="n">
        <f aca="false">IF(COUNT('Feijão 2ª safra'!$E76:$Z76)=0,0,MAX(0,IF((AD$6-$E$3)&lt;1,0,IFERROR(LOOKUP(2,1/('Feijão 2ª safra'!$E76:INDEX('Feijão 2ª safra'!$E76:$Z76,MIN(AD$6-$E$3,22))&lt;&gt;""),'Feijão 2ª safra'!$E76:INDEX('Feijão 2ª safra'!$E76:$Z76,MIN(AD$6-$E$3,22))),0))-IF($G$2,0,IF((AD$6-$G$3)&lt;1,0,IFERROR(LOOKUP(2,1/('Feijão 2ª safra'!$E76:INDEX('Feijão 2ª safra'!$E76:$Z76,MIN(AD$6-$G$3,22))&lt;&gt;""),'Feijão 2ª safra'!$E76:INDEX('Feijão 2ª safra'!$E76:$Z76,MIN(AD$6-$G$3,22))),0)))))</f>
        <v>0</v>
      </c>
      <c r="AE78" s="27" t="n">
        <f aca="false">IF(COUNT('Feijão 2ª safra'!$E76:$Z76)=0,0,MAX(0,IF((AE$6-$E$3)&lt;1,0,IFERROR(LOOKUP(2,1/('Feijão 2ª safra'!$E76:INDEX('Feijão 2ª safra'!$E76:$Z76,MIN(AE$6-$E$3,22))&lt;&gt;""),'Feijão 2ª safra'!$E76:INDEX('Feijão 2ª safra'!$E76:$Z76,MIN(AE$6-$E$3,22))),0))-IF($G$2,0,IF((AE$6-$G$3)&lt;1,0,IFERROR(LOOKUP(2,1/('Feijão 2ª safra'!$E76:INDEX('Feijão 2ª safra'!$E76:$Z76,MIN(AE$6-$G$3,22))&lt;&gt;""),'Feijão 2ª safra'!$E76:INDEX('Feijão 2ª safra'!$E76:$Z76,MIN(AE$6-$G$3,22))),0)))))</f>
        <v>0</v>
      </c>
      <c r="AF78" s="27" t="n">
        <f aca="false">IF(COUNT('Feijão 2ª safra'!$E76:$Z76)=0,0,MAX(0,IF((AF$6-$E$3)&lt;1,0,IFERROR(LOOKUP(2,1/('Feijão 2ª safra'!$E76:INDEX('Feijão 2ª safra'!$E76:$Z76,MIN(AF$6-$E$3,22))&lt;&gt;""),'Feijão 2ª safra'!$E76:INDEX('Feijão 2ª safra'!$E76:$Z76,MIN(AF$6-$E$3,22))),0))-IF($G$2,0,IF((AF$6-$G$3)&lt;1,0,IFERROR(LOOKUP(2,1/('Feijão 2ª safra'!$E76:INDEX('Feijão 2ª safra'!$E76:$Z76,MIN(AF$6-$G$3,22))&lt;&gt;""),'Feijão 2ª safra'!$E76:INDEX('Feijão 2ª safra'!$E76:$Z76,MIN(AF$6-$G$3,22))),0)))))</f>
        <v>0</v>
      </c>
      <c r="AG78" s="27" t="n">
        <f aca="false">IF(COUNT('Feijão 2ª safra'!$E76:$Z76)=0,0,MAX(0,IF((AG$6-$E$3)&lt;1,0,IFERROR(LOOKUP(2,1/('Feijão 2ª safra'!$E76:INDEX('Feijão 2ª safra'!$E76:$Z76,MIN(AG$6-$E$3,22))&lt;&gt;""),'Feijão 2ª safra'!$E76:INDEX('Feijão 2ª safra'!$E76:$Z76,MIN(AG$6-$E$3,22))),0))-IF($G$2,0,IF((AG$6-$G$3)&lt;1,0,IFERROR(LOOKUP(2,1/('Feijão 2ª safra'!$E76:INDEX('Feijão 2ª safra'!$E76:$Z76,MIN(AG$6-$G$3,22))&lt;&gt;""),'Feijão 2ª safra'!$E76:INDEX('Feijão 2ª safra'!$E76:$Z76,MIN(AG$6-$G$3,22))),0)))))</f>
        <v>0</v>
      </c>
      <c r="AH78" s="27" t="n">
        <f aca="false">IF(COUNT('Feijão 2ª safra'!$E76:$Z76)=0,0,MAX(0,IF((AH$6-$E$3)&lt;1,0,IFERROR(LOOKUP(2,1/('Feijão 2ª safra'!$E76:INDEX('Feijão 2ª safra'!$E76:$Z76,MIN(AH$6-$E$3,22))&lt;&gt;""),'Feijão 2ª safra'!$E76:INDEX('Feijão 2ª safra'!$E76:$Z76,MIN(AH$6-$E$3,22))),0))-IF($G$2,0,IF((AH$6-$G$3)&lt;1,0,IFERROR(LOOKUP(2,1/('Feijão 2ª safra'!$E76:INDEX('Feijão 2ª safra'!$E76:$Z76,MIN(AH$6-$G$3,22))&lt;&gt;""),'Feijão 2ª safra'!$E76:INDEX('Feijão 2ª safra'!$E76:$Z76,MIN(AH$6-$G$3,22))),0)))))</f>
        <v>0</v>
      </c>
      <c r="AI78" s="27" t="n">
        <f aca="false">IF(COUNT('Feijão 2ª safra'!$E76:$Z76)=0,0,MAX(0,IF((AI$6-$E$3)&lt;1,0,IFERROR(LOOKUP(2,1/('Feijão 2ª safra'!$E76:INDEX('Feijão 2ª safra'!$E76:$Z76,MIN(AI$6-$E$3,22))&lt;&gt;""),'Feijão 2ª safra'!$E76:INDEX('Feijão 2ª safra'!$E76:$Z76,MIN(AI$6-$E$3,22))),0))-IF($G$2,0,IF((AI$6-$G$3)&lt;1,0,IFERROR(LOOKUP(2,1/('Feijão 2ª safra'!$E76:INDEX('Feijão 2ª safra'!$E76:$Z76,MIN(AI$6-$G$3,22))&lt;&gt;""),'Feijão 2ª safra'!$E76:INDEX('Feijão 2ª safra'!$E76:$Z76,MIN(AI$6-$G$3,22))),0)))))</f>
        <v>0</v>
      </c>
      <c r="AJ78" s="27" t="n">
        <f aca="false">IF(COUNT('Feijão 2ª safra'!$E76:$Z76)=0,0,MAX(0,IF((AJ$6-$E$3)&lt;1,0,IFERROR(LOOKUP(2,1/('Feijão 2ª safra'!$E76:INDEX('Feijão 2ª safra'!$E76:$Z76,MIN(AJ$6-$E$3,22))&lt;&gt;""),'Feijão 2ª safra'!$E76:INDEX('Feijão 2ª safra'!$E76:$Z76,MIN(AJ$6-$E$3,22))),0))-IF($G$2,0,IF((AJ$6-$G$3)&lt;1,0,IFERROR(LOOKUP(2,1/('Feijão 2ª safra'!$E76:INDEX('Feijão 2ª safra'!$E76:$Z76,MIN(AJ$6-$G$3,22))&lt;&gt;""),'Feijão 2ª safra'!$E76:INDEX('Feijão 2ª safra'!$E76:$Z76,MIN(AJ$6-$G$3,22))),0)))))</f>
        <v>0</v>
      </c>
      <c r="AK78" s="27" t="n">
        <f aca="false">IF(COUNT('Feijão 2ª safra'!$E76:$Z76)=0,0,MAX(0,IF((AK$6-$E$3)&lt;1,0,IFERROR(LOOKUP(2,1/('Feijão 2ª safra'!$E76:INDEX('Feijão 2ª safra'!$E76:$Z76,MIN(AK$6-$E$3,22))&lt;&gt;""),'Feijão 2ª safra'!$E76:INDEX('Feijão 2ª safra'!$E76:$Z76,MIN(AK$6-$E$3,22))),0))-IF($G$2,0,IF((AK$6-$G$3)&lt;1,0,IFERROR(LOOKUP(2,1/('Feijão 2ª safra'!$E76:INDEX('Feijão 2ª safra'!$E76:$Z76,MIN(AK$6-$G$3,22))&lt;&gt;""),'Feijão 2ª safra'!$E76:INDEX('Feijão 2ª safra'!$E76:$Z76,MIN(AK$6-$G$3,22))),0)))))</f>
        <v>0</v>
      </c>
      <c r="AL78" s="27" t="n">
        <f aca="false">IF(COUNT('Feijão 2ª safra'!$E76:$Z76)=0,0,MAX(0,IF((AL$6-$E$3)&lt;1,0,IFERROR(LOOKUP(2,1/('Feijão 2ª safra'!$E76:INDEX('Feijão 2ª safra'!$E76:$Z76,MIN(AL$6-$E$3,22))&lt;&gt;""),'Feijão 2ª safra'!$E76:INDEX('Feijão 2ª safra'!$E76:$Z76,MIN(AL$6-$E$3,22))),0))-IF($G$2,0,IF((AL$6-$G$3)&lt;1,0,IFERROR(LOOKUP(2,1/('Feijão 2ª safra'!$E76:INDEX('Feijão 2ª safra'!$E76:$Z76,MIN(AL$6-$G$3,22))&lt;&gt;""),'Feijão 2ª safra'!$E76:INDEX('Feijão 2ª safra'!$E76:$Z76,MIN(AL$6-$G$3,22))),0)))))</f>
        <v>0</v>
      </c>
      <c r="AM78" s="27" t="n">
        <f aca="false">IF(COUNT('Feijão 2ª safra'!$E76:$Z76)=0,0,MAX(0,IF((AM$6-$E$3)&lt;1,0,IFERROR(LOOKUP(2,1/('Feijão 2ª safra'!$E76:INDEX('Feijão 2ª safra'!$E76:$Z76,MIN(AM$6-$E$3,22))&lt;&gt;""),'Feijão 2ª safra'!$E76:INDEX('Feijão 2ª safra'!$E76:$Z76,MIN(AM$6-$E$3,22))),0))-IF($G$2,0,IF((AM$6-$G$3)&lt;1,0,IFERROR(LOOKUP(2,1/('Feijão 2ª safra'!$E76:INDEX('Feijão 2ª safra'!$E76:$Z76,MIN(AM$6-$G$3,22))&lt;&gt;""),'Feijão 2ª safra'!$E76:INDEX('Feijão 2ª safra'!$E76:$Z76,MIN(AM$6-$G$3,22))),0)))))</f>
        <v>0</v>
      </c>
      <c r="AN78" s="27" t="n">
        <f aca="false">IF(COUNT('Feijão 2ª safra'!$E76:$Z76)=0,0,MAX(0,IF((AN$6-$E$3)&lt;1,0,IFERROR(LOOKUP(2,1/('Feijão 2ª safra'!$E76:INDEX('Feijão 2ª safra'!$E76:$Z76,MIN(AN$6-$E$3,22))&lt;&gt;""),'Feijão 2ª safra'!$E76:INDEX('Feijão 2ª safra'!$E76:$Z76,MIN(AN$6-$E$3,22))),0))-IF($G$2,0,IF((AN$6-$G$3)&lt;1,0,IFERROR(LOOKUP(2,1/('Feijão 2ª safra'!$E76:INDEX('Feijão 2ª safra'!$E76:$Z76,MIN(AN$6-$G$3,22))&lt;&gt;""),'Feijão 2ª safra'!$E76:INDEX('Feijão 2ª safra'!$E76:$Z76,MIN(AN$6-$G$3,22))),0)))))</f>
        <v>0</v>
      </c>
      <c r="AO78" s="27" t="n">
        <f aca="false">IF(COUNT('Feijão 2ª safra'!$E76:$Z76)=0,0,MAX(0,IF((AO$6-$E$3)&lt;1,0,IFERROR(LOOKUP(2,1/('Feijão 2ª safra'!$E76:INDEX('Feijão 2ª safra'!$E76:$Z76,MIN(AO$6-$E$3,22))&lt;&gt;""),'Feijão 2ª safra'!$E76:INDEX('Feijão 2ª safra'!$E76:$Z76,MIN(AO$6-$E$3,22))),0))-IF($G$2,0,IF((AO$6-$G$3)&lt;1,0,IFERROR(LOOKUP(2,1/('Feijão 2ª safra'!$E76:INDEX('Feijão 2ª safra'!$E76:$Z76,MIN(AO$6-$G$3,22))&lt;&gt;""),'Feijão 2ª safra'!$E76:INDEX('Feijão 2ª safra'!$E76:$Z76,MIN(AO$6-$G$3,22))),0)))))</f>
        <v>0</v>
      </c>
      <c r="AP78" s="27" t="n">
        <f aca="false">IF(COUNT('Feijão 2ª safra'!$E76:$Z76)=0,0,MAX(0,IF((AP$6-$E$3)&lt;1,0,IFERROR(LOOKUP(2,1/('Feijão 2ª safra'!$E76:INDEX('Feijão 2ª safra'!$E76:$Z76,MIN(AP$6-$E$3,22))&lt;&gt;""),'Feijão 2ª safra'!$E76:INDEX('Feijão 2ª safra'!$E76:$Z76,MIN(AP$6-$E$3,22))),0))-IF($G$2,0,IF((AP$6-$G$3)&lt;1,0,IFERROR(LOOKUP(2,1/('Feijão 2ª safra'!$E76:INDEX('Feijão 2ª safra'!$E76:$Z76,MIN(AP$6-$G$3,22))&lt;&gt;""),'Feijão 2ª safra'!$E76:INDEX('Feijão 2ª safra'!$E76:$Z76,MIN(AP$6-$G$3,22))),0)))))</f>
        <v>0</v>
      </c>
      <c r="AQ78" s="27" t="n">
        <f aca="false">IF(COUNT('Feijão 2ª safra'!$E76:$Z76)=0,0,MAX(0,IF((AQ$6-$E$3)&lt;1,0,IFERROR(LOOKUP(2,1/('Feijão 2ª safra'!$E76:INDEX('Feijão 2ª safra'!$E76:$Z76,MIN(AQ$6-$E$3,22))&lt;&gt;""),'Feijão 2ª safra'!$E76:INDEX('Feijão 2ª safra'!$E76:$Z76,MIN(AQ$6-$E$3,22))),0))-IF($G$2,0,IF((AQ$6-$G$3)&lt;1,0,IFERROR(LOOKUP(2,1/('Feijão 2ª safra'!$E76:INDEX('Feijão 2ª safra'!$E76:$Z76,MIN(AQ$6-$G$3,22))&lt;&gt;""),'Feijão 2ª safra'!$E76:INDEX('Feijão 2ª safra'!$E76:$Z76,MIN(AQ$6-$G$3,22))),0)))))</f>
        <v>0</v>
      </c>
      <c r="AR78" s="27" t="n">
        <f aca="false">IF(COUNT('Feijão 2ª safra'!$E76:$Z76)=0,0,MAX(0,IF((AR$6-$E$3)&lt;1,0,IFERROR(LOOKUP(2,1/('Feijão 2ª safra'!$E76:INDEX('Feijão 2ª safra'!$E76:$Z76,MIN(AR$6-$E$3,22))&lt;&gt;""),'Feijão 2ª safra'!$E76:INDEX('Feijão 2ª safra'!$E76:$Z76,MIN(AR$6-$E$3,22))),0))-IF($G$2,0,IF((AR$6-$G$3)&lt;1,0,IFERROR(LOOKUP(2,1/('Feijão 2ª safra'!$E76:INDEX('Feijão 2ª safra'!$E76:$Z76,MIN(AR$6-$G$3,22))&lt;&gt;""),'Feijão 2ª safra'!$E76:INDEX('Feijão 2ª safra'!$E76:$Z76,MIN(AR$6-$G$3,22))),0)))))</f>
        <v>0</v>
      </c>
      <c r="AS78" s="27" t="n">
        <f aca="false">IF(COUNT('Feijão 2ª safra'!$E76:$Z76)=0,0,MAX(0,IF((AS$6-$E$3)&lt;1,0,IFERROR(LOOKUP(2,1/('Feijão 2ª safra'!$E76:INDEX('Feijão 2ª safra'!$E76:$Z76,MIN(AS$6-$E$3,22))&lt;&gt;""),'Feijão 2ª safra'!$E76:INDEX('Feijão 2ª safra'!$E76:$Z76,MIN(AS$6-$E$3,22))),0))-IF($G$2,0,IF((AS$6-$G$3)&lt;1,0,IFERROR(LOOKUP(2,1/('Feijão 2ª safra'!$E76:INDEX('Feijão 2ª safra'!$E76:$Z76,MIN(AS$6-$G$3,22))&lt;&gt;""),'Feijão 2ª safra'!$E76:INDEX('Feijão 2ª safra'!$E76:$Z76,MIN(AS$6-$G$3,22))),0)))))</f>
        <v>0</v>
      </c>
      <c r="AT78" s="27" t="n">
        <f aca="false">IF(COUNT('Feijão 2ª safra'!$E76:$Z76)=0,0,MAX(0,IF((AT$6-$E$3)&lt;1,0,IFERROR(LOOKUP(2,1/('Feijão 2ª safra'!$E76:INDEX('Feijão 2ª safra'!$E76:$Z76,MIN(AT$6-$E$3,22))&lt;&gt;""),'Feijão 2ª safra'!$E76:INDEX('Feijão 2ª safra'!$E76:$Z76,MIN(AT$6-$E$3,22))),0))-IF($G$2,0,IF((AT$6-$G$3)&lt;1,0,IFERROR(LOOKUP(2,1/('Feijão 2ª safra'!$E76:INDEX('Feijão 2ª safra'!$E76:$Z76,MIN(AT$6-$G$3,22))&lt;&gt;""),'Feijão 2ª safra'!$E76:INDEX('Feijão 2ª safra'!$E76:$Z76,MIN(AT$6-$G$3,22))),0)))))</f>
        <v>0</v>
      </c>
      <c r="AU78" s="27" t="n">
        <f aca="false">IF(COUNT('Feijão 2ª safra'!$E76:$Z76)=0,0,MAX(0,IF((AU$6-$E$3)&lt;1,0,IFERROR(LOOKUP(2,1/('Feijão 2ª safra'!$E76:INDEX('Feijão 2ª safra'!$E76:$Z76,MIN(AU$6-$E$3,22))&lt;&gt;""),'Feijão 2ª safra'!$E76:INDEX('Feijão 2ª safra'!$E76:$Z76,MIN(AU$6-$E$3,22))),0))-IF($G$2,0,IF((AU$6-$G$3)&lt;1,0,IFERROR(LOOKUP(2,1/('Feijão 2ª safra'!$E76:INDEX('Feijão 2ª safra'!$E76:$Z76,MIN(AU$6-$G$3,22))&lt;&gt;""),'Feijão 2ª safra'!$E76:INDEX('Feijão 2ª safra'!$E76:$Z76,MIN(AU$6-$G$3,22))),0)))))</f>
        <v>0</v>
      </c>
      <c r="AV78" s="27" t="n">
        <f aca="false">IF(COUNT('Feijão 2ª safra'!$E76:$Z76)=0,0,MAX(0,IF((AV$6-$E$3)&lt;1,0,IFERROR(LOOKUP(2,1/('Feijão 2ª safra'!$E76:INDEX('Feijão 2ª safra'!$E76:$Z76,MIN(AV$6-$E$3,22))&lt;&gt;""),'Feijão 2ª safra'!$E76:INDEX('Feijão 2ª safra'!$E76:$Z76,MIN(AV$6-$E$3,22))),0))-IF($G$2,0,IF((AV$6-$G$3)&lt;1,0,IFERROR(LOOKUP(2,1/('Feijão 2ª safra'!$E76:INDEX('Feijão 2ª safra'!$E76:$Z76,MIN(AV$6-$G$3,22))&lt;&gt;""),'Feijão 2ª safra'!$E76:INDEX('Feijão 2ª safra'!$E76:$Z76,MIN(AV$6-$G$3,22))),0)))))</f>
        <v>0</v>
      </c>
      <c r="AW78" s="27" t="n">
        <f aca="false">IF(COUNT('Feijão 2ª safra'!$E76:$Z76)=0,0,MAX(0,IF((AW$6-$E$3)&lt;1,0,IFERROR(LOOKUP(2,1/('Feijão 2ª safra'!$E76:INDEX('Feijão 2ª safra'!$E76:$Z76,MIN(AW$6-$E$3,22))&lt;&gt;""),'Feijão 2ª safra'!$E76:INDEX('Feijão 2ª safra'!$E76:$Z76,MIN(AW$6-$E$3,22))),0))-IF($G$2,0,IF((AW$6-$G$3)&lt;1,0,IFERROR(LOOKUP(2,1/('Feijão 2ª safra'!$E76:INDEX('Feijão 2ª safra'!$E76:$Z76,MIN(AW$6-$G$3,22))&lt;&gt;""),'Feijão 2ª safra'!$E76:INDEX('Feijão 2ª safra'!$E76:$Z76,MIN(AW$6-$G$3,22))),0)))))</f>
        <v>0</v>
      </c>
      <c r="AX78" s="27" t="n">
        <f aca="false">IF(COUNT('Feijão 2ª safra'!$E76:$Z76)=0,0,MAX(0,IF((AX$6-$E$3)&lt;1,0,IFERROR(LOOKUP(2,1/('Feijão 2ª safra'!$E76:INDEX('Feijão 2ª safra'!$E76:$Z76,MIN(AX$6-$E$3,22))&lt;&gt;""),'Feijão 2ª safra'!$E76:INDEX('Feijão 2ª safra'!$E76:$Z76,MIN(AX$6-$E$3,22))),0))-IF($G$2,0,IF((AX$6-$G$3)&lt;1,0,IFERROR(LOOKUP(2,1/('Feijão 2ª safra'!$E76:INDEX('Feijão 2ª safra'!$E76:$Z76,MIN(AX$6-$G$3,22))&lt;&gt;""),'Feijão 2ª safra'!$E76:INDEX('Feijão 2ª safra'!$E76:$Z76,MIN(AX$6-$G$3,22))),0)))))</f>
        <v>0</v>
      </c>
      <c r="AY78" s="27" t="n">
        <f aca="false">IF(COUNT('Feijão 2ª safra'!$E76:$Z76)=0,0,MAX(0,IF((AY$6-$E$3)&lt;1,0,IFERROR(LOOKUP(2,1/('Feijão 2ª safra'!$E76:INDEX('Feijão 2ª safra'!$E76:$Z76,MIN(AY$6-$E$3,22))&lt;&gt;""),'Feijão 2ª safra'!$E76:INDEX('Feijão 2ª safra'!$E76:$Z76,MIN(AY$6-$E$3,22))),0))-IF($G$2,0,IF((AY$6-$G$3)&lt;1,0,IFERROR(LOOKUP(2,1/('Feijão 2ª safra'!$E76:INDEX('Feijão 2ª safra'!$E76:$Z76,MIN(AY$6-$G$3,22))&lt;&gt;""),'Feijão 2ª safra'!$E76:INDEX('Feijão 2ª safra'!$E76:$Z76,MIN(AY$6-$G$3,22))),0)))))</f>
        <v>0</v>
      </c>
      <c r="AZ78" s="27" t="n">
        <f aca="false">IF(COUNT('Feijão 2ª safra'!$E76:$Z76)=0,0,MAX(0,IF((AZ$6-$E$3)&lt;1,0,IFERROR(LOOKUP(2,1/('Feijão 2ª safra'!$E76:INDEX('Feijão 2ª safra'!$E76:$Z76,MIN(AZ$6-$E$3,22))&lt;&gt;""),'Feijão 2ª safra'!$E76:INDEX('Feijão 2ª safra'!$E76:$Z76,MIN(AZ$6-$E$3,22))),0))-IF($G$2,0,IF((AZ$6-$G$3)&lt;1,0,IFERROR(LOOKUP(2,1/('Feijão 2ª safra'!$E76:INDEX('Feijão 2ª safra'!$E76:$Z76,MIN(AZ$6-$G$3,22))&lt;&gt;""),'Feijão 2ª safra'!$E76:INDEX('Feijão 2ª safra'!$E76:$Z76,MIN(AZ$6-$G$3,22))),0)))))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IF(COUNT('Feijão 2ª safra'!$E77:$Z77)&gt;0,N('Feijão 2ª safra'!$D77),0)</f>
        <v>0</v>
      </c>
      <c r="E79" s="27" t="n">
        <f aca="false">IF(COUNT('Feijão 2ª safra'!$E77:$Z77)=0,0,MAX(0,IF((E$6-$E$3)&lt;1,0,IFERROR(LOOKUP(2,1/('Feijão 2ª safra'!$E77:INDEX('Feijão 2ª safra'!$E77:$Z77,MIN(E$6-$E$3,22))&lt;&gt;""),'Feijão 2ª safra'!$E77:INDEX('Feijão 2ª safra'!$E77:$Z77,MIN(E$6-$E$3,22))),0))-IF($G$2,0,IF((E$6-$G$3)&lt;1,0,IFERROR(LOOKUP(2,1/('Feijão 2ª safra'!$E77:INDEX('Feijão 2ª safra'!$E77:$Z77,MIN(E$6-$G$3,22))&lt;&gt;""),'Feijão 2ª safra'!$E77:INDEX('Feijão 2ª safra'!$E77:$Z77,MIN(E$6-$G$3,22))),0)))))</f>
        <v>0</v>
      </c>
      <c r="F79" s="27" t="n">
        <f aca="false">IF(COUNT('Feijão 2ª safra'!$E77:$Z77)=0,0,MAX(0,IF((F$6-$E$3)&lt;1,0,IFERROR(LOOKUP(2,1/('Feijão 2ª safra'!$E77:INDEX('Feijão 2ª safra'!$E77:$Z77,MIN(F$6-$E$3,22))&lt;&gt;""),'Feijão 2ª safra'!$E77:INDEX('Feijão 2ª safra'!$E77:$Z77,MIN(F$6-$E$3,22))),0))-IF($G$2,0,IF((F$6-$G$3)&lt;1,0,IFERROR(LOOKUP(2,1/('Feijão 2ª safra'!$E77:INDEX('Feijão 2ª safra'!$E77:$Z77,MIN(F$6-$G$3,22))&lt;&gt;""),'Feijão 2ª safra'!$E77:INDEX('Feijão 2ª safra'!$E77:$Z77,MIN(F$6-$G$3,22))),0)))))</f>
        <v>0</v>
      </c>
      <c r="G79" s="27" t="n">
        <f aca="false">IF(COUNT('Feijão 2ª safra'!$E77:$Z77)=0,0,MAX(0,IF((G$6-$E$3)&lt;1,0,IFERROR(LOOKUP(2,1/('Feijão 2ª safra'!$E77:INDEX('Feijão 2ª safra'!$E77:$Z77,MIN(G$6-$E$3,22))&lt;&gt;""),'Feijão 2ª safra'!$E77:INDEX('Feijão 2ª safra'!$E77:$Z77,MIN(G$6-$E$3,22))),0))-IF($G$2,0,IF((G$6-$G$3)&lt;1,0,IFERROR(LOOKUP(2,1/('Feijão 2ª safra'!$E77:INDEX('Feijão 2ª safra'!$E77:$Z77,MIN(G$6-$G$3,22))&lt;&gt;""),'Feijão 2ª safra'!$E77:INDEX('Feijão 2ª safra'!$E77:$Z77,MIN(G$6-$G$3,22))),0)))))</f>
        <v>0</v>
      </c>
      <c r="H79" s="27" t="n">
        <f aca="false">IF(COUNT('Feijão 2ª safra'!$E77:$Z77)=0,0,MAX(0,IF((H$6-$E$3)&lt;1,0,IFERROR(LOOKUP(2,1/('Feijão 2ª safra'!$E77:INDEX('Feijão 2ª safra'!$E77:$Z77,MIN(H$6-$E$3,22))&lt;&gt;""),'Feijão 2ª safra'!$E77:INDEX('Feijão 2ª safra'!$E77:$Z77,MIN(H$6-$E$3,22))),0))-IF($G$2,0,IF((H$6-$G$3)&lt;1,0,IFERROR(LOOKUP(2,1/('Feijão 2ª safra'!$E77:INDEX('Feijão 2ª safra'!$E77:$Z77,MIN(H$6-$G$3,22))&lt;&gt;""),'Feijão 2ª safra'!$E77:INDEX('Feijão 2ª safra'!$E77:$Z77,MIN(H$6-$G$3,22))),0)))))</f>
        <v>0</v>
      </c>
      <c r="I79" s="27" t="n">
        <f aca="false">IF(COUNT('Feijão 2ª safra'!$E77:$Z77)=0,0,MAX(0,IF((I$6-$E$3)&lt;1,0,IFERROR(LOOKUP(2,1/('Feijão 2ª safra'!$E77:INDEX('Feijão 2ª safra'!$E77:$Z77,MIN(I$6-$E$3,22))&lt;&gt;""),'Feijão 2ª safra'!$E77:INDEX('Feijão 2ª safra'!$E77:$Z77,MIN(I$6-$E$3,22))),0))-IF($G$2,0,IF((I$6-$G$3)&lt;1,0,IFERROR(LOOKUP(2,1/('Feijão 2ª safra'!$E77:INDEX('Feijão 2ª safra'!$E77:$Z77,MIN(I$6-$G$3,22))&lt;&gt;""),'Feijão 2ª safra'!$E77:INDEX('Feijão 2ª safra'!$E77:$Z77,MIN(I$6-$G$3,22))),0)))))</f>
        <v>0</v>
      </c>
      <c r="J79" s="27" t="n">
        <f aca="false">IF(COUNT('Feijão 2ª safra'!$E77:$Z77)=0,0,MAX(0,IF((J$6-$E$3)&lt;1,0,IFERROR(LOOKUP(2,1/('Feijão 2ª safra'!$E77:INDEX('Feijão 2ª safra'!$E77:$Z77,MIN(J$6-$E$3,22))&lt;&gt;""),'Feijão 2ª safra'!$E77:INDEX('Feijão 2ª safra'!$E77:$Z77,MIN(J$6-$E$3,22))),0))-IF($G$2,0,IF((J$6-$G$3)&lt;1,0,IFERROR(LOOKUP(2,1/('Feijão 2ª safra'!$E77:INDEX('Feijão 2ª safra'!$E77:$Z77,MIN(J$6-$G$3,22))&lt;&gt;""),'Feijão 2ª safra'!$E77:INDEX('Feijão 2ª safra'!$E77:$Z77,MIN(J$6-$G$3,22))),0)))))</f>
        <v>0</v>
      </c>
      <c r="K79" s="27" t="n">
        <f aca="false">IF(COUNT('Feijão 2ª safra'!$E77:$Z77)=0,0,MAX(0,IF((K$6-$E$3)&lt;1,0,IFERROR(LOOKUP(2,1/('Feijão 2ª safra'!$E77:INDEX('Feijão 2ª safra'!$E77:$Z77,MIN(K$6-$E$3,22))&lt;&gt;""),'Feijão 2ª safra'!$E77:INDEX('Feijão 2ª safra'!$E77:$Z77,MIN(K$6-$E$3,22))),0))-IF($G$2,0,IF((K$6-$G$3)&lt;1,0,IFERROR(LOOKUP(2,1/('Feijão 2ª safra'!$E77:INDEX('Feijão 2ª safra'!$E77:$Z77,MIN(K$6-$G$3,22))&lt;&gt;""),'Feijão 2ª safra'!$E77:INDEX('Feijão 2ª safra'!$E77:$Z77,MIN(K$6-$G$3,22))),0)))))</f>
        <v>0</v>
      </c>
      <c r="L79" s="27" t="n">
        <f aca="false">IF(COUNT('Feijão 2ª safra'!$E77:$Z77)=0,0,MAX(0,IF((L$6-$E$3)&lt;1,0,IFERROR(LOOKUP(2,1/('Feijão 2ª safra'!$E77:INDEX('Feijão 2ª safra'!$E77:$Z77,MIN(L$6-$E$3,22))&lt;&gt;""),'Feijão 2ª safra'!$E77:INDEX('Feijão 2ª safra'!$E77:$Z77,MIN(L$6-$E$3,22))),0))-IF($G$2,0,IF((L$6-$G$3)&lt;1,0,IFERROR(LOOKUP(2,1/('Feijão 2ª safra'!$E77:INDEX('Feijão 2ª safra'!$E77:$Z77,MIN(L$6-$G$3,22))&lt;&gt;""),'Feijão 2ª safra'!$E77:INDEX('Feijão 2ª safra'!$E77:$Z77,MIN(L$6-$G$3,22))),0)))))</f>
        <v>0</v>
      </c>
      <c r="M79" s="27" t="n">
        <f aca="false">IF(COUNT('Feijão 2ª safra'!$E77:$Z77)=0,0,MAX(0,IF((M$6-$E$3)&lt;1,0,IFERROR(LOOKUP(2,1/('Feijão 2ª safra'!$E77:INDEX('Feijão 2ª safra'!$E77:$Z77,MIN(M$6-$E$3,22))&lt;&gt;""),'Feijão 2ª safra'!$E77:INDEX('Feijão 2ª safra'!$E77:$Z77,MIN(M$6-$E$3,22))),0))-IF($G$2,0,IF((M$6-$G$3)&lt;1,0,IFERROR(LOOKUP(2,1/('Feijão 2ª safra'!$E77:INDEX('Feijão 2ª safra'!$E77:$Z77,MIN(M$6-$G$3,22))&lt;&gt;""),'Feijão 2ª safra'!$E77:INDEX('Feijão 2ª safra'!$E77:$Z77,MIN(M$6-$G$3,22))),0)))))</f>
        <v>0</v>
      </c>
      <c r="N79" s="27" t="n">
        <f aca="false">IF(COUNT('Feijão 2ª safra'!$E77:$Z77)=0,0,MAX(0,IF((N$6-$E$3)&lt;1,0,IFERROR(LOOKUP(2,1/('Feijão 2ª safra'!$E77:INDEX('Feijão 2ª safra'!$E77:$Z77,MIN(N$6-$E$3,22))&lt;&gt;""),'Feijão 2ª safra'!$E77:INDEX('Feijão 2ª safra'!$E77:$Z77,MIN(N$6-$E$3,22))),0))-IF($G$2,0,IF((N$6-$G$3)&lt;1,0,IFERROR(LOOKUP(2,1/('Feijão 2ª safra'!$E77:INDEX('Feijão 2ª safra'!$E77:$Z77,MIN(N$6-$G$3,22))&lt;&gt;""),'Feijão 2ª safra'!$E77:INDEX('Feijão 2ª safra'!$E77:$Z77,MIN(N$6-$G$3,22))),0)))))</f>
        <v>0</v>
      </c>
      <c r="O79" s="27" t="n">
        <f aca="false">IF(COUNT('Feijão 2ª safra'!$E77:$Z77)=0,0,MAX(0,IF((O$6-$E$3)&lt;1,0,IFERROR(LOOKUP(2,1/('Feijão 2ª safra'!$E77:INDEX('Feijão 2ª safra'!$E77:$Z77,MIN(O$6-$E$3,22))&lt;&gt;""),'Feijão 2ª safra'!$E77:INDEX('Feijão 2ª safra'!$E77:$Z77,MIN(O$6-$E$3,22))),0))-IF($G$2,0,IF((O$6-$G$3)&lt;1,0,IFERROR(LOOKUP(2,1/('Feijão 2ª safra'!$E77:INDEX('Feijão 2ª safra'!$E77:$Z77,MIN(O$6-$G$3,22))&lt;&gt;""),'Feijão 2ª safra'!$E77:INDEX('Feijão 2ª safra'!$E77:$Z77,MIN(O$6-$G$3,22))),0)))))</f>
        <v>0</v>
      </c>
      <c r="P79" s="27" t="n">
        <f aca="false">IF(COUNT('Feijão 2ª safra'!$E77:$Z77)=0,0,MAX(0,IF((P$6-$E$3)&lt;1,0,IFERROR(LOOKUP(2,1/('Feijão 2ª safra'!$E77:INDEX('Feijão 2ª safra'!$E77:$Z77,MIN(P$6-$E$3,22))&lt;&gt;""),'Feijão 2ª safra'!$E77:INDEX('Feijão 2ª safra'!$E77:$Z77,MIN(P$6-$E$3,22))),0))-IF($G$2,0,IF((P$6-$G$3)&lt;1,0,IFERROR(LOOKUP(2,1/('Feijão 2ª safra'!$E77:INDEX('Feijão 2ª safra'!$E77:$Z77,MIN(P$6-$G$3,22))&lt;&gt;""),'Feijão 2ª safra'!$E77:INDEX('Feijão 2ª safra'!$E77:$Z77,MIN(P$6-$G$3,22))),0)))))</f>
        <v>0</v>
      </c>
      <c r="Q79" s="27" t="n">
        <f aca="false">IF(COUNT('Feijão 2ª safra'!$E77:$Z77)=0,0,MAX(0,IF((Q$6-$E$3)&lt;1,0,IFERROR(LOOKUP(2,1/('Feijão 2ª safra'!$E77:INDEX('Feijão 2ª safra'!$E77:$Z77,MIN(Q$6-$E$3,22))&lt;&gt;""),'Feijão 2ª safra'!$E77:INDEX('Feijão 2ª safra'!$E77:$Z77,MIN(Q$6-$E$3,22))),0))-IF($G$2,0,IF((Q$6-$G$3)&lt;1,0,IFERROR(LOOKUP(2,1/('Feijão 2ª safra'!$E77:INDEX('Feijão 2ª safra'!$E77:$Z77,MIN(Q$6-$G$3,22))&lt;&gt;""),'Feijão 2ª safra'!$E77:INDEX('Feijão 2ª safra'!$E77:$Z77,MIN(Q$6-$G$3,22))),0)))))</f>
        <v>0</v>
      </c>
      <c r="R79" s="27" t="n">
        <f aca="false">IF(COUNT('Feijão 2ª safra'!$E77:$Z77)=0,0,MAX(0,IF((R$6-$E$3)&lt;1,0,IFERROR(LOOKUP(2,1/('Feijão 2ª safra'!$E77:INDEX('Feijão 2ª safra'!$E77:$Z77,MIN(R$6-$E$3,22))&lt;&gt;""),'Feijão 2ª safra'!$E77:INDEX('Feijão 2ª safra'!$E77:$Z77,MIN(R$6-$E$3,22))),0))-IF($G$2,0,IF((R$6-$G$3)&lt;1,0,IFERROR(LOOKUP(2,1/('Feijão 2ª safra'!$E77:INDEX('Feijão 2ª safra'!$E77:$Z77,MIN(R$6-$G$3,22))&lt;&gt;""),'Feijão 2ª safra'!$E77:INDEX('Feijão 2ª safra'!$E77:$Z77,MIN(R$6-$G$3,22))),0)))))</f>
        <v>0</v>
      </c>
      <c r="S79" s="27" t="n">
        <f aca="false">IF(COUNT('Feijão 2ª safra'!$E77:$Z77)=0,0,MAX(0,IF((S$6-$E$3)&lt;1,0,IFERROR(LOOKUP(2,1/('Feijão 2ª safra'!$E77:INDEX('Feijão 2ª safra'!$E77:$Z77,MIN(S$6-$E$3,22))&lt;&gt;""),'Feijão 2ª safra'!$E77:INDEX('Feijão 2ª safra'!$E77:$Z77,MIN(S$6-$E$3,22))),0))-IF($G$2,0,IF((S$6-$G$3)&lt;1,0,IFERROR(LOOKUP(2,1/('Feijão 2ª safra'!$E77:INDEX('Feijão 2ª safra'!$E77:$Z77,MIN(S$6-$G$3,22))&lt;&gt;""),'Feijão 2ª safra'!$E77:INDEX('Feijão 2ª safra'!$E77:$Z77,MIN(S$6-$G$3,22))),0)))))</f>
        <v>0</v>
      </c>
      <c r="T79" s="27" t="n">
        <f aca="false">IF(COUNT('Feijão 2ª safra'!$E77:$Z77)=0,0,MAX(0,IF((T$6-$E$3)&lt;1,0,IFERROR(LOOKUP(2,1/('Feijão 2ª safra'!$E77:INDEX('Feijão 2ª safra'!$E77:$Z77,MIN(T$6-$E$3,22))&lt;&gt;""),'Feijão 2ª safra'!$E77:INDEX('Feijão 2ª safra'!$E77:$Z77,MIN(T$6-$E$3,22))),0))-IF($G$2,0,IF((T$6-$G$3)&lt;1,0,IFERROR(LOOKUP(2,1/('Feijão 2ª safra'!$E77:INDEX('Feijão 2ª safra'!$E77:$Z77,MIN(T$6-$G$3,22))&lt;&gt;""),'Feijão 2ª safra'!$E77:INDEX('Feijão 2ª safra'!$E77:$Z77,MIN(T$6-$G$3,22))),0)))))</f>
        <v>0</v>
      </c>
      <c r="U79" s="27" t="n">
        <f aca="false">IF(COUNT('Feijão 2ª safra'!$E77:$Z77)=0,0,MAX(0,IF((U$6-$E$3)&lt;1,0,IFERROR(LOOKUP(2,1/('Feijão 2ª safra'!$E77:INDEX('Feijão 2ª safra'!$E77:$Z77,MIN(U$6-$E$3,22))&lt;&gt;""),'Feijão 2ª safra'!$E77:INDEX('Feijão 2ª safra'!$E77:$Z77,MIN(U$6-$E$3,22))),0))-IF($G$2,0,IF((U$6-$G$3)&lt;1,0,IFERROR(LOOKUP(2,1/('Feijão 2ª safra'!$E77:INDEX('Feijão 2ª safra'!$E77:$Z77,MIN(U$6-$G$3,22))&lt;&gt;""),'Feijão 2ª safra'!$E77:INDEX('Feijão 2ª safra'!$E77:$Z77,MIN(U$6-$G$3,22))),0)))))</f>
        <v>0</v>
      </c>
      <c r="V79" s="27" t="n">
        <f aca="false">IF(COUNT('Feijão 2ª safra'!$E77:$Z77)=0,0,MAX(0,IF((V$6-$E$3)&lt;1,0,IFERROR(LOOKUP(2,1/('Feijão 2ª safra'!$E77:INDEX('Feijão 2ª safra'!$E77:$Z77,MIN(V$6-$E$3,22))&lt;&gt;""),'Feijão 2ª safra'!$E77:INDEX('Feijão 2ª safra'!$E77:$Z77,MIN(V$6-$E$3,22))),0))-IF($G$2,0,IF((V$6-$G$3)&lt;1,0,IFERROR(LOOKUP(2,1/('Feijão 2ª safra'!$E77:INDEX('Feijão 2ª safra'!$E77:$Z77,MIN(V$6-$G$3,22))&lt;&gt;""),'Feijão 2ª safra'!$E77:INDEX('Feijão 2ª safra'!$E77:$Z77,MIN(V$6-$G$3,22))),0)))))</f>
        <v>0</v>
      </c>
      <c r="W79" s="27" t="n">
        <f aca="false">IF(COUNT('Feijão 2ª safra'!$E77:$Z77)=0,0,MAX(0,IF((W$6-$E$3)&lt;1,0,IFERROR(LOOKUP(2,1/('Feijão 2ª safra'!$E77:INDEX('Feijão 2ª safra'!$E77:$Z77,MIN(W$6-$E$3,22))&lt;&gt;""),'Feijão 2ª safra'!$E77:INDEX('Feijão 2ª safra'!$E77:$Z77,MIN(W$6-$E$3,22))),0))-IF($G$2,0,IF((W$6-$G$3)&lt;1,0,IFERROR(LOOKUP(2,1/('Feijão 2ª safra'!$E77:INDEX('Feijão 2ª safra'!$E77:$Z77,MIN(W$6-$G$3,22))&lt;&gt;""),'Feijão 2ª safra'!$E77:INDEX('Feijão 2ª safra'!$E77:$Z77,MIN(W$6-$G$3,22))),0)))))</f>
        <v>0</v>
      </c>
      <c r="X79" s="27" t="n">
        <f aca="false">IF(COUNT('Feijão 2ª safra'!$E77:$Z77)=0,0,MAX(0,IF((X$6-$E$3)&lt;1,0,IFERROR(LOOKUP(2,1/('Feijão 2ª safra'!$E77:INDEX('Feijão 2ª safra'!$E77:$Z77,MIN(X$6-$E$3,22))&lt;&gt;""),'Feijão 2ª safra'!$E77:INDEX('Feijão 2ª safra'!$E77:$Z77,MIN(X$6-$E$3,22))),0))-IF($G$2,0,IF((X$6-$G$3)&lt;1,0,IFERROR(LOOKUP(2,1/('Feijão 2ª safra'!$E77:INDEX('Feijão 2ª safra'!$E77:$Z77,MIN(X$6-$G$3,22))&lt;&gt;""),'Feijão 2ª safra'!$E77:INDEX('Feijão 2ª safra'!$E77:$Z77,MIN(X$6-$G$3,22))),0)))))</f>
        <v>0</v>
      </c>
      <c r="Y79" s="27" t="n">
        <f aca="false">IF(COUNT('Feijão 2ª safra'!$E77:$Z77)=0,0,MAX(0,IF((Y$6-$E$3)&lt;1,0,IFERROR(LOOKUP(2,1/('Feijão 2ª safra'!$E77:INDEX('Feijão 2ª safra'!$E77:$Z77,MIN(Y$6-$E$3,22))&lt;&gt;""),'Feijão 2ª safra'!$E77:INDEX('Feijão 2ª safra'!$E77:$Z77,MIN(Y$6-$E$3,22))),0))-IF($G$2,0,IF((Y$6-$G$3)&lt;1,0,IFERROR(LOOKUP(2,1/('Feijão 2ª safra'!$E77:INDEX('Feijão 2ª safra'!$E77:$Z77,MIN(Y$6-$G$3,22))&lt;&gt;""),'Feijão 2ª safra'!$E77:INDEX('Feijão 2ª safra'!$E77:$Z77,MIN(Y$6-$G$3,22))),0)))))</f>
        <v>0</v>
      </c>
      <c r="Z79" s="27" t="n">
        <f aca="false">IF(COUNT('Feijão 2ª safra'!$E77:$Z77)=0,0,MAX(0,IF((Z$6-$E$3)&lt;1,0,IFERROR(LOOKUP(2,1/('Feijão 2ª safra'!$E77:INDEX('Feijão 2ª safra'!$E77:$Z77,MIN(Z$6-$E$3,22))&lt;&gt;""),'Feijão 2ª safra'!$E77:INDEX('Feijão 2ª safra'!$E77:$Z77,MIN(Z$6-$E$3,22))),0))-IF($G$2,0,IF((Z$6-$G$3)&lt;1,0,IFERROR(LOOKUP(2,1/('Feijão 2ª safra'!$E77:INDEX('Feijão 2ª safra'!$E77:$Z77,MIN(Z$6-$G$3,22))&lt;&gt;""),'Feijão 2ª safra'!$E77:INDEX('Feijão 2ª safra'!$E77:$Z77,MIN(Z$6-$G$3,22))),0)))))</f>
        <v>0</v>
      </c>
      <c r="AA79" s="27" t="n">
        <f aca="false">IF(COUNT('Feijão 2ª safra'!$E77:$Z77)=0,0,MAX(0,IF((AA$6-$E$3)&lt;1,0,IFERROR(LOOKUP(2,1/('Feijão 2ª safra'!$E77:INDEX('Feijão 2ª safra'!$E77:$Z77,MIN(AA$6-$E$3,22))&lt;&gt;""),'Feijão 2ª safra'!$E77:INDEX('Feijão 2ª safra'!$E77:$Z77,MIN(AA$6-$E$3,22))),0))-IF($G$2,0,IF((AA$6-$G$3)&lt;1,0,IFERROR(LOOKUP(2,1/('Feijão 2ª safra'!$E77:INDEX('Feijão 2ª safra'!$E77:$Z77,MIN(AA$6-$G$3,22))&lt;&gt;""),'Feijão 2ª safra'!$E77:INDEX('Feijão 2ª safra'!$E77:$Z77,MIN(AA$6-$G$3,22))),0)))))</f>
        <v>0</v>
      </c>
      <c r="AB79" s="27" t="n">
        <f aca="false">IF(COUNT('Feijão 2ª safra'!$E77:$Z77)=0,0,MAX(0,IF((AB$6-$E$3)&lt;1,0,IFERROR(LOOKUP(2,1/('Feijão 2ª safra'!$E77:INDEX('Feijão 2ª safra'!$E77:$Z77,MIN(AB$6-$E$3,22))&lt;&gt;""),'Feijão 2ª safra'!$E77:INDEX('Feijão 2ª safra'!$E77:$Z77,MIN(AB$6-$E$3,22))),0))-IF($G$2,0,IF((AB$6-$G$3)&lt;1,0,IFERROR(LOOKUP(2,1/('Feijão 2ª safra'!$E77:INDEX('Feijão 2ª safra'!$E77:$Z77,MIN(AB$6-$G$3,22))&lt;&gt;""),'Feijão 2ª safra'!$E77:INDEX('Feijão 2ª safra'!$E77:$Z77,MIN(AB$6-$G$3,22))),0)))))</f>
        <v>0</v>
      </c>
      <c r="AC79" s="27" t="n">
        <f aca="false">IF(COUNT('Feijão 2ª safra'!$E77:$Z77)=0,0,MAX(0,IF((AC$6-$E$3)&lt;1,0,IFERROR(LOOKUP(2,1/('Feijão 2ª safra'!$E77:INDEX('Feijão 2ª safra'!$E77:$Z77,MIN(AC$6-$E$3,22))&lt;&gt;""),'Feijão 2ª safra'!$E77:INDEX('Feijão 2ª safra'!$E77:$Z77,MIN(AC$6-$E$3,22))),0))-IF($G$2,0,IF((AC$6-$G$3)&lt;1,0,IFERROR(LOOKUP(2,1/('Feijão 2ª safra'!$E77:INDEX('Feijão 2ª safra'!$E77:$Z77,MIN(AC$6-$G$3,22))&lt;&gt;""),'Feijão 2ª safra'!$E77:INDEX('Feijão 2ª safra'!$E77:$Z77,MIN(AC$6-$G$3,22))),0)))))</f>
        <v>0</v>
      </c>
      <c r="AD79" s="27" t="n">
        <f aca="false">IF(COUNT('Feijão 2ª safra'!$E77:$Z77)=0,0,MAX(0,IF((AD$6-$E$3)&lt;1,0,IFERROR(LOOKUP(2,1/('Feijão 2ª safra'!$E77:INDEX('Feijão 2ª safra'!$E77:$Z77,MIN(AD$6-$E$3,22))&lt;&gt;""),'Feijão 2ª safra'!$E77:INDEX('Feijão 2ª safra'!$E77:$Z77,MIN(AD$6-$E$3,22))),0))-IF($G$2,0,IF((AD$6-$G$3)&lt;1,0,IFERROR(LOOKUP(2,1/('Feijão 2ª safra'!$E77:INDEX('Feijão 2ª safra'!$E77:$Z77,MIN(AD$6-$G$3,22))&lt;&gt;""),'Feijão 2ª safra'!$E77:INDEX('Feijão 2ª safra'!$E77:$Z77,MIN(AD$6-$G$3,22))),0)))))</f>
        <v>0</v>
      </c>
      <c r="AE79" s="27" t="n">
        <f aca="false">IF(COUNT('Feijão 2ª safra'!$E77:$Z77)=0,0,MAX(0,IF((AE$6-$E$3)&lt;1,0,IFERROR(LOOKUP(2,1/('Feijão 2ª safra'!$E77:INDEX('Feijão 2ª safra'!$E77:$Z77,MIN(AE$6-$E$3,22))&lt;&gt;""),'Feijão 2ª safra'!$E77:INDEX('Feijão 2ª safra'!$E77:$Z77,MIN(AE$6-$E$3,22))),0))-IF($G$2,0,IF((AE$6-$G$3)&lt;1,0,IFERROR(LOOKUP(2,1/('Feijão 2ª safra'!$E77:INDEX('Feijão 2ª safra'!$E77:$Z77,MIN(AE$6-$G$3,22))&lt;&gt;""),'Feijão 2ª safra'!$E77:INDEX('Feijão 2ª safra'!$E77:$Z77,MIN(AE$6-$G$3,22))),0)))))</f>
        <v>0</v>
      </c>
      <c r="AF79" s="27" t="n">
        <f aca="false">IF(COUNT('Feijão 2ª safra'!$E77:$Z77)=0,0,MAX(0,IF((AF$6-$E$3)&lt;1,0,IFERROR(LOOKUP(2,1/('Feijão 2ª safra'!$E77:INDEX('Feijão 2ª safra'!$E77:$Z77,MIN(AF$6-$E$3,22))&lt;&gt;""),'Feijão 2ª safra'!$E77:INDEX('Feijão 2ª safra'!$E77:$Z77,MIN(AF$6-$E$3,22))),0))-IF($G$2,0,IF((AF$6-$G$3)&lt;1,0,IFERROR(LOOKUP(2,1/('Feijão 2ª safra'!$E77:INDEX('Feijão 2ª safra'!$E77:$Z77,MIN(AF$6-$G$3,22))&lt;&gt;""),'Feijão 2ª safra'!$E77:INDEX('Feijão 2ª safra'!$E77:$Z77,MIN(AF$6-$G$3,22))),0)))))</f>
        <v>0</v>
      </c>
      <c r="AG79" s="27" t="n">
        <f aca="false">IF(COUNT('Feijão 2ª safra'!$E77:$Z77)=0,0,MAX(0,IF((AG$6-$E$3)&lt;1,0,IFERROR(LOOKUP(2,1/('Feijão 2ª safra'!$E77:INDEX('Feijão 2ª safra'!$E77:$Z77,MIN(AG$6-$E$3,22))&lt;&gt;""),'Feijão 2ª safra'!$E77:INDEX('Feijão 2ª safra'!$E77:$Z77,MIN(AG$6-$E$3,22))),0))-IF($G$2,0,IF((AG$6-$G$3)&lt;1,0,IFERROR(LOOKUP(2,1/('Feijão 2ª safra'!$E77:INDEX('Feijão 2ª safra'!$E77:$Z77,MIN(AG$6-$G$3,22))&lt;&gt;""),'Feijão 2ª safra'!$E77:INDEX('Feijão 2ª safra'!$E77:$Z77,MIN(AG$6-$G$3,22))),0)))))</f>
        <v>0</v>
      </c>
      <c r="AH79" s="27" t="n">
        <f aca="false">IF(COUNT('Feijão 2ª safra'!$E77:$Z77)=0,0,MAX(0,IF((AH$6-$E$3)&lt;1,0,IFERROR(LOOKUP(2,1/('Feijão 2ª safra'!$E77:INDEX('Feijão 2ª safra'!$E77:$Z77,MIN(AH$6-$E$3,22))&lt;&gt;""),'Feijão 2ª safra'!$E77:INDEX('Feijão 2ª safra'!$E77:$Z77,MIN(AH$6-$E$3,22))),0))-IF($G$2,0,IF((AH$6-$G$3)&lt;1,0,IFERROR(LOOKUP(2,1/('Feijão 2ª safra'!$E77:INDEX('Feijão 2ª safra'!$E77:$Z77,MIN(AH$6-$G$3,22))&lt;&gt;""),'Feijão 2ª safra'!$E77:INDEX('Feijão 2ª safra'!$E77:$Z77,MIN(AH$6-$G$3,22))),0)))))</f>
        <v>0</v>
      </c>
      <c r="AI79" s="27" t="n">
        <f aca="false">IF(COUNT('Feijão 2ª safra'!$E77:$Z77)=0,0,MAX(0,IF((AI$6-$E$3)&lt;1,0,IFERROR(LOOKUP(2,1/('Feijão 2ª safra'!$E77:INDEX('Feijão 2ª safra'!$E77:$Z77,MIN(AI$6-$E$3,22))&lt;&gt;""),'Feijão 2ª safra'!$E77:INDEX('Feijão 2ª safra'!$E77:$Z77,MIN(AI$6-$E$3,22))),0))-IF($G$2,0,IF((AI$6-$G$3)&lt;1,0,IFERROR(LOOKUP(2,1/('Feijão 2ª safra'!$E77:INDEX('Feijão 2ª safra'!$E77:$Z77,MIN(AI$6-$G$3,22))&lt;&gt;""),'Feijão 2ª safra'!$E77:INDEX('Feijão 2ª safra'!$E77:$Z77,MIN(AI$6-$G$3,22))),0)))))</f>
        <v>0</v>
      </c>
      <c r="AJ79" s="27" t="n">
        <f aca="false">IF(COUNT('Feijão 2ª safra'!$E77:$Z77)=0,0,MAX(0,IF((AJ$6-$E$3)&lt;1,0,IFERROR(LOOKUP(2,1/('Feijão 2ª safra'!$E77:INDEX('Feijão 2ª safra'!$E77:$Z77,MIN(AJ$6-$E$3,22))&lt;&gt;""),'Feijão 2ª safra'!$E77:INDEX('Feijão 2ª safra'!$E77:$Z77,MIN(AJ$6-$E$3,22))),0))-IF($G$2,0,IF((AJ$6-$G$3)&lt;1,0,IFERROR(LOOKUP(2,1/('Feijão 2ª safra'!$E77:INDEX('Feijão 2ª safra'!$E77:$Z77,MIN(AJ$6-$G$3,22))&lt;&gt;""),'Feijão 2ª safra'!$E77:INDEX('Feijão 2ª safra'!$E77:$Z77,MIN(AJ$6-$G$3,22))),0)))))</f>
        <v>0</v>
      </c>
      <c r="AK79" s="27" t="n">
        <f aca="false">IF(COUNT('Feijão 2ª safra'!$E77:$Z77)=0,0,MAX(0,IF((AK$6-$E$3)&lt;1,0,IFERROR(LOOKUP(2,1/('Feijão 2ª safra'!$E77:INDEX('Feijão 2ª safra'!$E77:$Z77,MIN(AK$6-$E$3,22))&lt;&gt;""),'Feijão 2ª safra'!$E77:INDEX('Feijão 2ª safra'!$E77:$Z77,MIN(AK$6-$E$3,22))),0))-IF($G$2,0,IF((AK$6-$G$3)&lt;1,0,IFERROR(LOOKUP(2,1/('Feijão 2ª safra'!$E77:INDEX('Feijão 2ª safra'!$E77:$Z77,MIN(AK$6-$G$3,22))&lt;&gt;""),'Feijão 2ª safra'!$E77:INDEX('Feijão 2ª safra'!$E77:$Z77,MIN(AK$6-$G$3,22))),0)))))</f>
        <v>0</v>
      </c>
      <c r="AL79" s="27" t="n">
        <f aca="false">IF(COUNT('Feijão 2ª safra'!$E77:$Z77)=0,0,MAX(0,IF((AL$6-$E$3)&lt;1,0,IFERROR(LOOKUP(2,1/('Feijão 2ª safra'!$E77:INDEX('Feijão 2ª safra'!$E77:$Z77,MIN(AL$6-$E$3,22))&lt;&gt;""),'Feijão 2ª safra'!$E77:INDEX('Feijão 2ª safra'!$E77:$Z77,MIN(AL$6-$E$3,22))),0))-IF($G$2,0,IF((AL$6-$G$3)&lt;1,0,IFERROR(LOOKUP(2,1/('Feijão 2ª safra'!$E77:INDEX('Feijão 2ª safra'!$E77:$Z77,MIN(AL$6-$G$3,22))&lt;&gt;""),'Feijão 2ª safra'!$E77:INDEX('Feijão 2ª safra'!$E77:$Z77,MIN(AL$6-$G$3,22))),0)))))</f>
        <v>0</v>
      </c>
      <c r="AM79" s="27" t="n">
        <f aca="false">IF(COUNT('Feijão 2ª safra'!$E77:$Z77)=0,0,MAX(0,IF((AM$6-$E$3)&lt;1,0,IFERROR(LOOKUP(2,1/('Feijão 2ª safra'!$E77:INDEX('Feijão 2ª safra'!$E77:$Z77,MIN(AM$6-$E$3,22))&lt;&gt;""),'Feijão 2ª safra'!$E77:INDEX('Feijão 2ª safra'!$E77:$Z77,MIN(AM$6-$E$3,22))),0))-IF($G$2,0,IF((AM$6-$G$3)&lt;1,0,IFERROR(LOOKUP(2,1/('Feijão 2ª safra'!$E77:INDEX('Feijão 2ª safra'!$E77:$Z77,MIN(AM$6-$G$3,22))&lt;&gt;""),'Feijão 2ª safra'!$E77:INDEX('Feijão 2ª safra'!$E77:$Z77,MIN(AM$6-$G$3,22))),0)))))</f>
        <v>0</v>
      </c>
      <c r="AN79" s="27" t="n">
        <f aca="false">IF(COUNT('Feijão 2ª safra'!$E77:$Z77)=0,0,MAX(0,IF((AN$6-$E$3)&lt;1,0,IFERROR(LOOKUP(2,1/('Feijão 2ª safra'!$E77:INDEX('Feijão 2ª safra'!$E77:$Z77,MIN(AN$6-$E$3,22))&lt;&gt;""),'Feijão 2ª safra'!$E77:INDEX('Feijão 2ª safra'!$E77:$Z77,MIN(AN$6-$E$3,22))),0))-IF($G$2,0,IF((AN$6-$G$3)&lt;1,0,IFERROR(LOOKUP(2,1/('Feijão 2ª safra'!$E77:INDEX('Feijão 2ª safra'!$E77:$Z77,MIN(AN$6-$G$3,22))&lt;&gt;""),'Feijão 2ª safra'!$E77:INDEX('Feijão 2ª safra'!$E77:$Z77,MIN(AN$6-$G$3,22))),0)))))</f>
        <v>0</v>
      </c>
      <c r="AO79" s="27" t="n">
        <f aca="false">IF(COUNT('Feijão 2ª safra'!$E77:$Z77)=0,0,MAX(0,IF((AO$6-$E$3)&lt;1,0,IFERROR(LOOKUP(2,1/('Feijão 2ª safra'!$E77:INDEX('Feijão 2ª safra'!$E77:$Z77,MIN(AO$6-$E$3,22))&lt;&gt;""),'Feijão 2ª safra'!$E77:INDEX('Feijão 2ª safra'!$E77:$Z77,MIN(AO$6-$E$3,22))),0))-IF($G$2,0,IF((AO$6-$G$3)&lt;1,0,IFERROR(LOOKUP(2,1/('Feijão 2ª safra'!$E77:INDEX('Feijão 2ª safra'!$E77:$Z77,MIN(AO$6-$G$3,22))&lt;&gt;""),'Feijão 2ª safra'!$E77:INDEX('Feijão 2ª safra'!$E77:$Z77,MIN(AO$6-$G$3,22))),0)))))</f>
        <v>0</v>
      </c>
      <c r="AP79" s="27" t="n">
        <f aca="false">IF(COUNT('Feijão 2ª safra'!$E77:$Z77)=0,0,MAX(0,IF((AP$6-$E$3)&lt;1,0,IFERROR(LOOKUP(2,1/('Feijão 2ª safra'!$E77:INDEX('Feijão 2ª safra'!$E77:$Z77,MIN(AP$6-$E$3,22))&lt;&gt;""),'Feijão 2ª safra'!$E77:INDEX('Feijão 2ª safra'!$E77:$Z77,MIN(AP$6-$E$3,22))),0))-IF($G$2,0,IF((AP$6-$G$3)&lt;1,0,IFERROR(LOOKUP(2,1/('Feijão 2ª safra'!$E77:INDEX('Feijão 2ª safra'!$E77:$Z77,MIN(AP$6-$G$3,22))&lt;&gt;""),'Feijão 2ª safra'!$E77:INDEX('Feijão 2ª safra'!$E77:$Z77,MIN(AP$6-$G$3,22))),0)))))</f>
        <v>0</v>
      </c>
      <c r="AQ79" s="27" t="n">
        <f aca="false">IF(COUNT('Feijão 2ª safra'!$E77:$Z77)=0,0,MAX(0,IF((AQ$6-$E$3)&lt;1,0,IFERROR(LOOKUP(2,1/('Feijão 2ª safra'!$E77:INDEX('Feijão 2ª safra'!$E77:$Z77,MIN(AQ$6-$E$3,22))&lt;&gt;""),'Feijão 2ª safra'!$E77:INDEX('Feijão 2ª safra'!$E77:$Z77,MIN(AQ$6-$E$3,22))),0))-IF($G$2,0,IF((AQ$6-$G$3)&lt;1,0,IFERROR(LOOKUP(2,1/('Feijão 2ª safra'!$E77:INDEX('Feijão 2ª safra'!$E77:$Z77,MIN(AQ$6-$G$3,22))&lt;&gt;""),'Feijão 2ª safra'!$E77:INDEX('Feijão 2ª safra'!$E77:$Z77,MIN(AQ$6-$G$3,22))),0)))))</f>
        <v>0</v>
      </c>
      <c r="AR79" s="27" t="n">
        <f aca="false">IF(COUNT('Feijão 2ª safra'!$E77:$Z77)=0,0,MAX(0,IF((AR$6-$E$3)&lt;1,0,IFERROR(LOOKUP(2,1/('Feijão 2ª safra'!$E77:INDEX('Feijão 2ª safra'!$E77:$Z77,MIN(AR$6-$E$3,22))&lt;&gt;""),'Feijão 2ª safra'!$E77:INDEX('Feijão 2ª safra'!$E77:$Z77,MIN(AR$6-$E$3,22))),0))-IF($G$2,0,IF((AR$6-$G$3)&lt;1,0,IFERROR(LOOKUP(2,1/('Feijão 2ª safra'!$E77:INDEX('Feijão 2ª safra'!$E77:$Z77,MIN(AR$6-$G$3,22))&lt;&gt;""),'Feijão 2ª safra'!$E77:INDEX('Feijão 2ª safra'!$E77:$Z77,MIN(AR$6-$G$3,22))),0)))))</f>
        <v>0</v>
      </c>
      <c r="AS79" s="27" t="n">
        <f aca="false">IF(COUNT('Feijão 2ª safra'!$E77:$Z77)=0,0,MAX(0,IF((AS$6-$E$3)&lt;1,0,IFERROR(LOOKUP(2,1/('Feijão 2ª safra'!$E77:INDEX('Feijão 2ª safra'!$E77:$Z77,MIN(AS$6-$E$3,22))&lt;&gt;""),'Feijão 2ª safra'!$E77:INDEX('Feijão 2ª safra'!$E77:$Z77,MIN(AS$6-$E$3,22))),0))-IF($G$2,0,IF((AS$6-$G$3)&lt;1,0,IFERROR(LOOKUP(2,1/('Feijão 2ª safra'!$E77:INDEX('Feijão 2ª safra'!$E77:$Z77,MIN(AS$6-$G$3,22))&lt;&gt;""),'Feijão 2ª safra'!$E77:INDEX('Feijão 2ª safra'!$E77:$Z77,MIN(AS$6-$G$3,22))),0)))))</f>
        <v>0</v>
      </c>
      <c r="AT79" s="27" t="n">
        <f aca="false">IF(COUNT('Feijão 2ª safra'!$E77:$Z77)=0,0,MAX(0,IF((AT$6-$E$3)&lt;1,0,IFERROR(LOOKUP(2,1/('Feijão 2ª safra'!$E77:INDEX('Feijão 2ª safra'!$E77:$Z77,MIN(AT$6-$E$3,22))&lt;&gt;""),'Feijão 2ª safra'!$E77:INDEX('Feijão 2ª safra'!$E77:$Z77,MIN(AT$6-$E$3,22))),0))-IF($G$2,0,IF((AT$6-$G$3)&lt;1,0,IFERROR(LOOKUP(2,1/('Feijão 2ª safra'!$E77:INDEX('Feijão 2ª safra'!$E77:$Z77,MIN(AT$6-$G$3,22))&lt;&gt;""),'Feijão 2ª safra'!$E77:INDEX('Feijão 2ª safra'!$E77:$Z77,MIN(AT$6-$G$3,22))),0)))))</f>
        <v>0</v>
      </c>
      <c r="AU79" s="27" t="n">
        <f aca="false">IF(COUNT('Feijão 2ª safra'!$E77:$Z77)=0,0,MAX(0,IF((AU$6-$E$3)&lt;1,0,IFERROR(LOOKUP(2,1/('Feijão 2ª safra'!$E77:INDEX('Feijão 2ª safra'!$E77:$Z77,MIN(AU$6-$E$3,22))&lt;&gt;""),'Feijão 2ª safra'!$E77:INDEX('Feijão 2ª safra'!$E77:$Z77,MIN(AU$6-$E$3,22))),0))-IF($G$2,0,IF((AU$6-$G$3)&lt;1,0,IFERROR(LOOKUP(2,1/('Feijão 2ª safra'!$E77:INDEX('Feijão 2ª safra'!$E77:$Z77,MIN(AU$6-$G$3,22))&lt;&gt;""),'Feijão 2ª safra'!$E77:INDEX('Feijão 2ª safra'!$E77:$Z77,MIN(AU$6-$G$3,22))),0)))))</f>
        <v>0</v>
      </c>
      <c r="AV79" s="27" t="n">
        <f aca="false">IF(COUNT('Feijão 2ª safra'!$E77:$Z77)=0,0,MAX(0,IF((AV$6-$E$3)&lt;1,0,IFERROR(LOOKUP(2,1/('Feijão 2ª safra'!$E77:INDEX('Feijão 2ª safra'!$E77:$Z77,MIN(AV$6-$E$3,22))&lt;&gt;""),'Feijão 2ª safra'!$E77:INDEX('Feijão 2ª safra'!$E77:$Z77,MIN(AV$6-$E$3,22))),0))-IF($G$2,0,IF((AV$6-$G$3)&lt;1,0,IFERROR(LOOKUP(2,1/('Feijão 2ª safra'!$E77:INDEX('Feijão 2ª safra'!$E77:$Z77,MIN(AV$6-$G$3,22))&lt;&gt;""),'Feijão 2ª safra'!$E77:INDEX('Feijão 2ª safra'!$E77:$Z77,MIN(AV$6-$G$3,22))),0)))))</f>
        <v>0</v>
      </c>
      <c r="AW79" s="27" t="n">
        <f aca="false">IF(COUNT('Feijão 2ª safra'!$E77:$Z77)=0,0,MAX(0,IF((AW$6-$E$3)&lt;1,0,IFERROR(LOOKUP(2,1/('Feijão 2ª safra'!$E77:INDEX('Feijão 2ª safra'!$E77:$Z77,MIN(AW$6-$E$3,22))&lt;&gt;""),'Feijão 2ª safra'!$E77:INDEX('Feijão 2ª safra'!$E77:$Z77,MIN(AW$6-$E$3,22))),0))-IF($G$2,0,IF((AW$6-$G$3)&lt;1,0,IFERROR(LOOKUP(2,1/('Feijão 2ª safra'!$E77:INDEX('Feijão 2ª safra'!$E77:$Z77,MIN(AW$6-$G$3,22))&lt;&gt;""),'Feijão 2ª safra'!$E77:INDEX('Feijão 2ª safra'!$E77:$Z77,MIN(AW$6-$G$3,22))),0)))))</f>
        <v>0</v>
      </c>
      <c r="AX79" s="27" t="n">
        <f aca="false">IF(COUNT('Feijão 2ª safra'!$E77:$Z77)=0,0,MAX(0,IF((AX$6-$E$3)&lt;1,0,IFERROR(LOOKUP(2,1/('Feijão 2ª safra'!$E77:INDEX('Feijão 2ª safra'!$E77:$Z77,MIN(AX$6-$E$3,22))&lt;&gt;""),'Feijão 2ª safra'!$E77:INDEX('Feijão 2ª safra'!$E77:$Z77,MIN(AX$6-$E$3,22))),0))-IF($G$2,0,IF((AX$6-$G$3)&lt;1,0,IFERROR(LOOKUP(2,1/('Feijão 2ª safra'!$E77:INDEX('Feijão 2ª safra'!$E77:$Z77,MIN(AX$6-$G$3,22))&lt;&gt;""),'Feijão 2ª safra'!$E77:INDEX('Feijão 2ª safra'!$E77:$Z77,MIN(AX$6-$G$3,22))),0)))))</f>
        <v>0</v>
      </c>
      <c r="AY79" s="27" t="n">
        <f aca="false">IF(COUNT('Feijão 2ª safra'!$E77:$Z77)=0,0,MAX(0,IF((AY$6-$E$3)&lt;1,0,IFERROR(LOOKUP(2,1/('Feijão 2ª safra'!$E77:INDEX('Feijão 2ª safra'!$E77:$Z77,MIN(AY$6-$E$3,22))&lt;&gt;""),'Feijão 2ª safra'!$E77:INDEX('Feijão 2ª safra'!$E77:$Z77,MIN(AY$6-$E$3,22))),0))-IF($G$2,0,IF((AY$6-$G$3)&lt;1,0,IFERROR(LOOKUP(2,1/('Feijão 2ª safra'!$E77:INDEX('Feijão 2ª safra'!$E77:$Z77,MIN(AY$6-$G$3,22))&lt;&gt;""),'Feijão 2ª safra'!$E77:INDEX('Feijão 2ª safra'!$E77:$Z77,MIN(AY$6-$G$3,22))),0)))))</f>
        <v>0</v>
      </c>
      <c r="AZ79" s="27" t="n">
        <f aca="false">IF(COUNT('Feijão 2ª safra'!$E77:$Z77)=0,0,MAX(0,IF((AZ$6-$E$3)&lt;1,0,IFERROR(LOOKUP(2,1/('Feijão 2ª safra'!$E77:INDEX('Feijão 2ª safra'!$E77:$Z77,MIN(AZ$6-$E$3,22))&lt;&gt;""),'Feijão 2ª safra'!$E77:INDEX('Feijão 2ª safra'!$E77:$Z77,MIN(AZ$6-$E$3,22))),0))-IF($G$2,0,IF((AZ$6-$G$3)&lt;1,0,IFERROR(LOOKUP(2,1/('Feijão 2ª safra'!$E77:INDEX('Feijão 2ª safra'!$E77:$Z77,MIN(AZ$6-$G$3,22))&lt;&gt;""),'Feijão 2ª safra'!$E77:INDEX('Feijão 2ª safra'!$E77:$Z77,MIN(AZ$6-$G$3,22))),0)))))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IF(COUNT('Feijão 2ª safra'!$E78:$Z78)&gt;0,N('Feijão 2ª safra'!$D78),0)</f>
        <v>0</v>
      </c>
      <c r="E80" s="27" t="n">
        <f aca="false">IF(COUNT('Feijão 2ª safra'!$E78:$Z78)=0,0,MAX(0,IF((E$6-$E$3)&lt;1,0,IFERROR(LOOKUP(2,1/('Feijão 2ª safra'!$E78:INDEX('Feijão 2ª safra'!$E78:$Z78,MIN(E$6-$E$3,22))&lt;&gt;""),'Feijão 2ª safra'!$E78:INDEX('Feijão 2ª safra'!$E78:$Z78,MIN(E$6-$E$3,22))),0))-IF($G$2,0,IF((E$6-$G$3)&lt;1,0,IFERROR(LOOKUP(2,1/('Feijão 2ª safra'!$E78:INDEX('Feijão 2ª safra'!$E78:$Z78,MIN(E$6-$G$3,22))&lt;&gt;""),'Feijão 2ª safra'!$E78:INDEX('Feijão 2ª safra'!$E78:$Z78,MIN(E$6-$G$3,22))),0)))))</f>
        <v>0</v>
      </c>
      <c r="F80" s="27" t="n">
        <f aca="false">IF(COUNT('Feijão 2ª safra'!$E78:$Z78)=0,0,MAX(0,IF((F$6-$E$3)&lt;1,0,IFERROR(LOOKUP(2,1/('Feijão 2ª safra'!$E78:INDEX('Feijão 2ª safra'!$E78:$Z78,MIN(F$6-$E$3,22))&lt;&gt;""),'Feijão 2ª safra'!$E78:INDEX('Feijão 2ª safra'!$E78:$Z78,MIN(F$6-$E$3,22))),0))-IF($G$2,0,IF((F$6-$G$3)&lt;1,0,IFERROR(LOOKUP(2,1/('Feijão 2ª safra'!$E78:INDEX('Feijão 2ª safra'!$E78:$Z78,MIN(F$6-$G$3,22))&lt;&gt;""),'Feijão 2ª safra'!$E78:INDEX('Feijão 2ª safra'!$E78:$Z78,MIN(F$6-$G$3,22))),0)))))</f>
        <v>0</v>
      </c>
      <c r="G80" s="27" t="n">
        <f aca="false">IF(COUNT('Feijão 2ª safra'!$E78:$Z78)=0,0,MAX(0,IF((G$6-$E$3)&lt;1,0,IFERROR(LOOKUP(2,1/('Feijão 2ª safra'!$E78:INDEX('Feijão 2ª safra'!$E78:$Z78,MIN(G$6-$E$3,22))&lt;&gt;""),'Feijão 2ª safra'!$E78:INDEX('Feijão 2ª safra'!$E78:$Z78,MIN(G$6-$E$3,22))),0))-IF($G$2,0,IF((G$6-$G$3)&lt;1,0,IFERROR(LOOKUP(2,1/('Feijão 2ª safra'!$E78:INDEX('Feijão 2ª safra'!$E78:$Z78,MIN(G$6-$G$3,22))&lt;&gt;""),'Feijão 2ª safra'!$E78:INDEX('Feijão 2ª safra'!$E78:$Z78,MIN(G$6-$G$3,22))),0)))))</f>
        <v>0</v>
      </c>
      <c r="H80" s="27" t="n">
        <f aca="false">IF(COUNT('Feijão 2ª safra'!$E78:$Z78)=0,0,MAX(0,IF((H$6-$E$3)&lt;1,0,IFERROR(LOOKUP(2,1/('Feijão 2ª safra'!$E78:INDEX('Feijão 2ª safra'!$E78:$Z78,MIN(H$6-$E$3,22))&lt;&gt;""),'Feijão 2ª safra'!$E78:INDEX('Feijão 2ª safra'!$E78:$Z78,MIN(H$6-$E$3,22))),0))-IF($G$2,0,IF((H$6-$G$3)&lt;1,0,IFERROR(LOOKUP(2,1/('Feijão 2ª safra'!$E78:INDEX('Feijão 2ª safra'!$E78:$Z78,MIN(H$6-$G$3,22))&lt;&gt;""),'Feijão 2ª safra'!$E78:INDEX('Feijão 2ª safra'!$E78:$Z78,MIN(H$6-$G$3,22))),0)))))</f>
        <v>0</v>
      </c>
      <c r="I80" s="27" t="n">
        <f aca="false">IF(COUNT('Feijão 2ª safra'!$E78:$Z78)=0,0,MAX(0,IF((I$6-$E$3)&lt;1,0,IFERROR(LOOKUP(2,1/('Feijão 2ª safra'!$E78:INDEX('Feijão 2ª safra'!$E78:$Z78,MIN(I$6-$E$3,22))&lt;&gt;""),'Feijão 2ª safra'!$E78:INDEX('Feijão 2ª safra'!$E78:$Z78,MIN(I$6-$E$3,22))),0))-IF($G$2,0,IF((I$6-$G$3)&lt;1,0,IFERROR(LOOKUP(2,1/('Feijão 2ª safra'!$E78:INDEX('Feijão 2ª safra'!$E78:$Z78,MIN(I$6-$G$3,22))&lt;&gt;""),'Feijão 2ª safra'!$E78:INDEX('Feijão 2ª safra'!$E78:$Z78,MIN(I$6-$G$3,22))),0)))))</f>
        <v>0</v>
      </c>
      <c r="J80" s="27" t="n">
        <f aca="false">IF(COUNT('Feijão 2ª safra'!$E78:$Z78)=0,0,MAX(0,IF((J$6-$E$3)&lt;1,0,IFERROR(LOOKUP(2,1/('Feijão 2ª safra'!$E78:INDEX('Feijão 2ª safra'!$E78:$Z78,MIN(J$6-$E$3,22))&lt;&gt;""),'Feijão 2ª safra'!$E78:INDEX('Feijão 2ª safra'!$E78:$Z78,MIN(J$6-$E$3,22))),0))-IF($G$2,0,IF((J$6-$G$3)&lt;1,0,IFERROR(LOOKUP(2,1/('Feijão 2ª safra'!$E78:INDEX('Feijão 2ª safra'!$E78:$Z78,MIN(J$6-$G$3,22))&lt;&gt;""),'Feijão 2ª safra'!$E78:INDEX('Feijão 2ª safra'!$E78:$Z78,MIN(J$6-$G$3,22))),0)))))</f>
        <v>0</v>
      </c>
      <c r="K80" s="27" t="n">
        <f aca="false">IF(COUNT('Feijão 2ª safra'!$E78:$Z78)=0,0,MAX(0,IF((K$6-$E$3)&lt;1,0,IFERROR(LOOKUP(2,1/('Feijão 2ª safra'!$E78:INDEX('Feijão 2ª safra'!$E78:$Z78,MIN(K$6-$E$3,22))&lt;&gt;""),'Feijão 2ª safra'!$E78:INDEX('Feijão 2ª safra'!$E78:$Z78,MIN(K$6-$E$3,22))),0))-IF($G$2,0,IF((K$6-$G$3)&lt;1,0,IFERROR(LOOKUP(2,1/('Feijão 2ª safra'!$E78:INDEX('Feijão 2ª safra'!$E78:$Z78,MIN(K$6-$G$3,22))&lt;&gt;""),'Feijão 2ª safra'!$E78:INDEX('Feijão 2ª safra'!$E78:$Z78,MIN(K$6-$G$3,22))),0)))))</f>
        <v>0</v>
      </c>
      <c r="L80" s="27" t="n">
        <f aca="false">IF(COUNT('Feijão 2ª safra'!$E78:$Z78)=0,0,MAX(0,IF((L$6-$E$3)&lt;1,0,IFERROR(LOOKUP(2,1/('Feijão 2ª safra'!$E78:INDEX('Feijão 2ª safra'!$E78:$Z78,MIN(L$6-$E$3,22))&lt;&gt;""),'Feijão 2ª safra'!$E78:INDEX('Feijão 2ª safra'!$E78:$Z78,MIN(L$6-$E$3,22))),0))-IF($G$2,0,IF((L$6-$G$3)&lt;1,0,IFERROR(LOOKUP(2,1/('Feijão 2ª safra'!$E78:INDEX('Feijão 2ª safra'!$E78:$Z78,MIN(L$6-$G$3,22))&lt;&gt;""),'Feijão 2ª safra'!$E78:INDEX('Feijão 2ª safra'!$E78:$Z78,MIN(L$6-$G$3,22))),0)))))</f>
        <v>0</v>
      </c>
      <c r="M80" s="27" t="n">
        <f aca="false">IF(COUNT('Feijão 2ª safra'!$E78:$Z78)=0,0,MAX(0,IF((M$6-$E$3)&lt;1,0,IFERROR(LOOKUP(2,1/('Feijão 2ª safra'!$E78:INDEX('Feijão 2ª safra'!$E78:$Z78,MIN(M$6-$E$3,22))&lt;&gt;""),'Feijão 2ª safra'!$E78:INDEX('Feijão 2ª safra'!$E78:$Z78,MIN(M$6-$E$3,22))),0))-IF($G$2,0,IF((M$6-$G$3)&lt;1,0,IFERROR(LOOKUP(2,1/('Feijão 2ª safra'!$E78:INDEX('Feijão 2ª safra'!$E78:$Z78,MIN(M$6-$G$3,22))&lt;&gt;""),'Feijão 2ª safra'!$E78:INDEX('Feijão 2ª safra'!$E78:$Z78,MIN(M$6-$G$3,22))),0)))))</f>
        <v>0</v>
      </c>
      <c r="N80" s="27" t="n">
        <f aca="false">IF(COUNT('Feijão 2ª safra'!$E78:$Z78)=0,0,MAX(0,IF((N$6-$E$3)&lt;1,0,IFERROR(LOOKUP(2,1/('Feijão 2ª safra'!$E78:INDEX('Feijão 2ª safra'!$E78:$Z78,MIN(N$6-$E$3,22))&lt;&gt;""),'Feijão 2ª safra'!$E78:INDEX('Feijão 2ª safra'!$E78:$Z78,MIN(N$6-$E$3,22))),0))-IF($G$2,0,IF((N$6-$G$3)&lt;1,0,IFERROR(LOOKUP(2,1/('Feijão 2ª safra'!$E78:INDEX('Feijão 2ª safra'!$E78:$Z78,MIN(N$6-$G$3,22))&lt;&gt;""),'Feijão 2ª safra'!$E78:INDEX('Feijão 2ª safra'!$E78:$Z78,MIN(N$6-$G$3,22))),0)))))</f>
        <v>0</v>
      </c>
      <c r="O80" s="27" t="n">
        <f aca="false">IF(COUNT('Feijão 2ª safra'!$E78:$Z78)=0,0,MAX(0,IF((O$6-$E$3)&lt;1,0,IFERROR(LOOKUP(2,1/('Feijão 2ª safra'!$E78:INDEX('Feijão 2ª safra'!$E78:$Z78,MIN(O$6-$E$3,22))&lt;&gt;""),'Feijão 2ª safra'!$E78:INDEX('Feijão 2ª safra'!$E78:$Z78,MIN(O$6-$E$3,22))),0))-IF($G$2,0,IF((O$6-$G$3)&lt;1,0,IFERROR(LOOKUP(2,1/('Feijão 2ª safra'!$E78:INDEX('Feijão 2ª safra'!$E78:$Z78,MIN(O$6-$G$3,22))&lt;&gt;""),'Feijão 2ª safra'!$E78:INDEX('Feijão 2ª safra'!$E78:$Z78,MIN(O$6-$G$3,22))),0)))))</f>
        <v>0</v>
      </c>
      <c r="P80" s="27" t="n">
        <f aca="false">IF(COUNT('Feijão 2ª safra'!$E78:$Z78)=0,0,MAX(0,IF((P$6-$E$3)&lt;1,0,IFERROR(LOOKUP(2,1/('Feijão 2ª safra'!$E78:INDEX('Feijão 2ª safra'!$E78:$Z78,MIN(P$6-$E$3,22))&lt;&gt;""),'Feijão 2ª safra'!$E78:INDEX('Feijão 2ª safra'!$E78:$Z78,MIN(P$6-$E$3,22))),0))-IF($G$2,0,IF((P$6-$G$3)&lt;1,0,IFERROR(LOOKUP(2,1/('Feijão 2ª safra'!$E78:INDEX('Feijão 2ª safra'!$E78:$Z78,MIN(P$6-$G$3,22))&lt;&gt;""),'Feijão 2ª safra'!$E78:INDEX('Feijão 2ª safra'!$E78:$Z78,MIN(P$6-$G$3,22))),0)))))</f>
        <v>0</v>
      </c>
      <c r="Q80" s="27" t="n">
        <f aca="false">IF(COUNT('Feijão 2ª safra'!$E78:$Z78)=0,0,MAX(0,IF((Q$6-$E$3)&lt;1,0,IFERROR(LOOKUP(2,1/('Feijão 2ª safra'!$E78:INDEX('Feijão 2ª safra'!$E78:$Z78,MIN(Q$6-$E$3,22))&lt;&gt;""),'Feijão 2ª safra'!$E78:INDEX('Feijão 2ª safra'!$E78:$Z78,MIN(Q$6-$E$3,22))),0))-IF($G$2,0,IF((Q$6-$G$3)&lt;1,0,IFERROR(LOOKUP(2,1/('Feijão 2ª safra'!$E78:INDEX('Feijão 2ª safra'!$E78:$Z78,MIN(Q$6-$G$3,22))&lt;&gt;""),'Feijão 2ª safra'!$E78:INDEX('Feijão 2ª safra'!$E78:$Z78,MIN(Q$6-$G$3,22))),0)))))</f>
        <v>0</v>
      </c>
      <c r="R80" s="27" t="n">
        <f aca="false">IF(COUNT('Feijão 2ª safra'!$E78:$Z78)=0,0,MAX(0,IF((R$6-$E$3)&lt;1,0,IFERROR(LOOKUP(2,1/('Feijão 2ª safra'!$E78:INDEX('Feijão 2ª safra'!$E78:$Z78,MIN(R$6-$E$3,22))&lt;&gt;""),'Feijão 2ª safra'!$E78:INDEX('Feijão 2ª safra'!$E78:$Z78,MIN(R$6-$E$3,22))),0))-IF($G$2,0,IF((R$6-$G$3)&lt;1,0,IFERROR(LOOKUP(2,1/('Feijão 2ª safra'!$E78:INDEX('Feijão 2ª safra'!$E78:$Z78,MIN(R$6-$G$3,22))&lt;&gt;""),'Feijão 2ª safra'!$E78:INDEX('Feijão 2ª safra'!$E78:$Z78,MIN(R$6-$G$3,22))),0)))))</f>
        <v>0</v>
      </c>
      <c r="S80" s="27" t="n">
        <f aca="false">IF(COUNT('Feijão 2ª safra'!$E78:$Z78)=0,0,MAX(0,IF((S$6-$E$3)&lt;1,0,IFERROR(LOOKUP(2,1/('Feijão 2ª safra'!$E78:INDEX('Feijão 2ª safra'!$E78:$Z78,MIN(S$6-$E$3,22))&lt;&gt;""),'Feijão 2ª safra'!$E78:INDEX('Feijão 2ª safra'!$E78:$Z78,MIN(S$6-$E$3,22))),0))-IF($G$2,0,IF((S$6-$G$3)&lt;1,0,IFERROR(LOOKUP(2,1/('Feijão 2ª safra'!$E78:INDEX('Feijão 2ª safra'!$E78:$Z78,MIN(S$6-$G$3,22))&lt;&gt;""),'Feijão 2ª safra'!$E78:INDEX('Feijão 2ª safra'!$E78:$Z78,MIN(S$6-$G$3,22))),0)))))</f>
        <v>0</v>
      </c>
      <c r="T80" s="27" t="n">
        <f aca="false">IF(COUNT('Feijão 2ª safra'!$E78:$Z78)=0,0,MAX(0,IF((T$6-$E$3)&lt;1,0,IFERROR(LOOKUP(2,1/('Feijão 2ª safra'!$E78:INDEX('Feijão 2ª safra'!$E78:$Z78,MIN(T$6-$E$3,22))&lt;&gt;""),'Feijão 2ª safra'!$E78:INDEX('Feijão 2ª safra'!$E78:$Z78,MIN(T$6-$E$3,22))),0))-IF($G$2,0,IF((T$6-$G$3)&lt;1,0,IFERROR(LOOKUP(2,1/('Feijão 2ª safra'!$E78:INDEX('Feijão 2ª safra'!$E78:$Z78,MIN(T$6-$G$3,22))&lt;&gt;""),'Feijão 2ª safra'!$E78:INDEX('Feijão 2ª safra'!$E78:$Z78,MIN(T$6-$G$3,22))),0)))))</f>
        <v>0</v>
      </c>
      <c r="U80" s="27" t="n">
        <f aca="false">IF(COUNT('Feijão 2ª safra'!$E78:$Z78)=0,0,MAX(0,IF((U$6-$E$3)&lt;1,0,IFERROR(LOOKUP(2,1/('Feijão 2ª safra'!$E78:INDEX('Feijão 2ª safra'!$E78:$Z78,MIN(U$6-$E$3,22))&lt;&gt;""),'Feijão 2ª safra'!$E78:INDEX('Feijão 2ª safra'!$E78:$Z78,MIN(U$6-$E$3,22))),0))-IF($G$2,0,IF((U$6-$G$3)&lt;1,0,IFERROR(LOOKUP(2,1/('Feijão 2ª safra'!$E78:INDEX('Feijão 2ª safra'!$E78:$Z78,MIN(U$6-$G$3,22))&lt;&gt;""),'Feijão 2ª safra'!$E78:INDEX('Feijão 2ª safra'!$E78:$Z78,MIN(U$6-$G$3,22))),0)))))</f>
        <v>0</v>
      </c>
      <c r="V80" s="27" t="n">
        <f aca="false">IF(COUNT('Feijão 2ª safra'!$E78:$Z78)=0,0,MAX(0,IF((V$6-$E$3)&lt;1,0,IFERROR(LOOKUP(2,1/('Feijão 2ª safra'!$E78:INDEX('Feijão 2ª safra'!$E78:$Z78,MIN(V$6-$E$3,22))&lt;&gt;""),'Feijão 2ª safra'!$E78:INDEX('Feijão 2ª safra'!$E78:$Z78,MIN(V$6-$E$3,22))),0))-IF($G$2,0,IF((V$6-$G$3)&lt;1,0,IFERROR(LOOKUP(2,1/('Feijão 2ª safra'!$E78:INDEX('Feijão 2ª safra'!$E78:$Z78,MIN(V$6-$G$3,22))&lt;&gt;""),'Feijão 2ª safra'!$E78:INDEX('Feijão 2ª safra'!$E78:$Z78,MIN(V$6-$G$3,22))),0)))))</f>
        <v>0</v>
      </c>
      <c r="W80" s="27" t="n">
        <f aca="false">IF(COUNT('Feijão 2ª safra'!$E78:$Z78)=0,0,MAX(0,IF((W$6-$E$3)&lt;1,0,IFERROR(LOOKUP(2,1/('Feijão 2ª safra'!$E78:INDEX('Feijão 2ª safra'!$E78:$Z78,MIN(W$6-$E$3,22))&lt;&gt;""),'Feijão 2ª safra'!$E78:INDEX('Feijão 2ª safra'!$E78:$Z78,MIN(W$6-$E$3,22))),0))-IF($G$2,0,IF((W$6-$G$3)&lt;1,0,IFERROR(LOOKUP(2,1/('Feijão 2ª safra'!$E78:INDEX('Feijão 2ª safra'!$E78:$Z78,MIN(W$6-$G$3,22))&lt;&gt;""),'Feijão 2ª safra'!$E78:INDEX('Feijão 2ª safra'!$E78:$Z78,MIN(W$6-$G$3,22))),0)))))</f>
        <v>0</v>
      </c>
      <c r="X80" s="27" t="n">
        <f aca="false">IF(COUNT('Feijão 2ª safra'!$E78:$Z78)=0,0,MAX(0,IF((X$6-$E$3)&lt;1,0,IFERROR(LOOKUP(2,1/('Feijão 2ª safra'!$E78:INDEX('Feijão 2ª safra'!$E78:$Z78,MIN(X$6-$E$3,22))&lt;&gt;""),'Feijão 2ª safra'!$E78:INDEX('Feijão 2ª safra'!$E78:$Z78,MIN(X$6-$E$3,22))),0))-IF($G$2,0,IF((X$6-$G$3)&lt;1,0,IFERROR(LOOKUP(2,1/('Feijão 2ª safra'!$E78:INDEX('Feijão 2ª safra'!$E78:$Z78,MIN(X$6-$G$3,22))&lt;&gt;""),'Feijão 2ª safra'!$E78:INDEX('Feijão 2ª safra'!$E78:$Z78,MIN(X$6-$G$3,22))),0)))))</f>
        <v>0</v>
      </c>
      <c r="Y80" s="27" t="n">
        <f aca="false">IF(COUNT('Feijão 2ª safra'!$E78:$Z78)=0,0,MAX(0,IF((Y$6-$E$3)&lt;1,0,IFERROR(LOOKUP(2,1/('Feijão 2ª safra'!$E78:INDEX('Feijão 2ª safra'!$E78:$Z78,MIN(Y$6-$E$3,22))&lt;&gt;""),'Feijão 2ª safra'!$E78:INDEX('Feijão 2ª safra'!$E78:$Z78,MIN(Y$6-$E$3,22))),0))-IF($G$2,0,IF((Y$6-$G$3)&lt;1,0,IFERROR(LOOKUP(2,1/('Feijão 2ª safra'!$E78:INDEX('Feijão 2ª safra'!$E78:$Z78,MIN(Y$6-$G$3,22))&lt;&gt;""),'Feijão 2ª safra'!$E78:INDEX('Feijão 2ª safra'!$E78:$Z78,MIN(Y$6-$G$3,22))),0)))))</f>
        <v>0</v>
      </c>
      <c r="Z80" s="27" t="n">
        <f aca="false">IF(COUNT('Feijão 2ª safra'!$E78:$Z78)=0,0,MAX(0,IF((Z$6-$E$3)&lt;1,0,IFERROR(LOOKUP(2,1/('Feijão 2ª safra'!$E78:INDEX('Feijão 2ª safra'!$E78:$Z78,MIN(Z$6-$E$3,22))&lt;&gt;""),'Feijão 2ª safra'!$E78:INDEX('Feijão 2ª safra'!$E78:$Z78,MIN(Z$6-$E$3,22))),0))-IF($G$2,0,IF((Z$6-$G$3)&lt;1,0,IFERROR(LOOKUP(2,1/('Feijão 2ª safra'!$E78:INDEX('Feijão 2ª safra'!$E78:$Z78,MIN(Z$6-$G$3,22))&lt;&gt;""),'Feijão 2ª safra'!$E78:INDEX('Feijão 2ª safra'!$E78:$Z78,MIN(Z$6-$G$3,22))),0)))))</f>
        <v>0</v>
      </c>
      <c r="AA80" s="27" t="n">
        <f aca="false">IF(COUNT('Feijão 2ª safra'!$E78:$Z78)=0,0,MAX(0,IF((AA$6-$E$3)&lt;1,0,IFERROR(LOOKUP(2,1/('Feijão 2ª safra'!$E78:INDEX('Feijão 2ª safra'!$E78:$Z78,MIN(AA$6-$E$3,22))&lt;&gt;""),'Feijão 2ª safra'!$E78:INDEX('Feijão 2ª safra'!$E78:$Z78,MIN(AA$6-$E$3,22))),0))-IF($G$2,0,IF((AA$6-$G$3)&lt;1,0,IFERROR(LOOKUP(2,1/('Feijão 2ª safra'!$E78:INDEX('Feijão 2ª safra'!$E78:$Z78,MIN(AA$6-$G$3,22))&lt;&gt;""),'Feijão 2ª safra'!$E78:INDEX('Feijão 2ª safra'!$E78:$Z78,MIN(AA$6-$G$3,22))),0)))))</f>
        <v>0</v>
      </c>
      <c r="AB80" s="27" t="n">
        <f aca="false">IF(COUNT('Feijão 2ª safra'!$E78:$Z78)=0,0,MAX(0,IF((AB$6-$E$3)&lt;1,0,IFERROR(LOOKUP(2,1/('Feijão 2ª safra'!$E78:INDEX('Feijão 2ª safra'!$E78:$Z78,MIN(AB$6-$E$3,22))&lt;&gt;""),'Feijão 2ª safra'!$E78:INDEX('Feijão 2ª safra'!$E78:$Z78,MIN(AB$6-$E$3,22))),0))-IF($G$2,0,IF((AB$6-$G$3)&lt;1,0,IFERROR(LOOKUP(2,1/('Feijão 2ª safra'!$E78:INDEX('Feijão 2ª safra'!$E78:$Z78,MIN(AB$6-$G$3,22))&lt;&gt;""),'Feijão 2ª safra'!$E78:INDEX('Feijão 2ª safra'!$E78:$Z78,MIN(AB$6-$G$3,22))),0)))))</f>
        <v>0</v>
      </c>
      <c r="AC80" s="27" t="n">
        <f aca="false">IF(COUNT('Feijão 2ª safra'!$E78:$Z78)=0,0,MAX(0,IF((AC$6-$E$3)&lt;1,0,IFERROR(LOOKUP(2,1/('Feijão 2ª safra'!$E78:INDEX('Feijão 2ª safra'!$E78:$Z78,MIN(AC$6-$E$3,22))&lt;&gt;""),'Feijão 2ª safra'!$E78:INDEX('Feijão 2ª safra'!$E78:$Z78,MIN(AC$6-$E$3,22))),0))-IF($G$2,0,IF((AC$6-$G$3)&lt;1,0,IFERROR(LOOKUP(2,1/('Feijão 2ª safra'!$E78:INDEX('Feijão 2ª safra'!$E78:$Z78,MIN(AC$6-$G$3,22))&lt;&gt;""),'Feijão 2ª safra'!$E78:INDEX('Feijão 2ª safra'!$E78:$Z78,MIN(AC$6-$G$3,22))),0)))))</f>
        <v>0</v>
      </c>
      <c r="AD80" s="27" t="n">
        <f aca="false">IF(COUNT('Feijão 2ª safra'!$E78:$Z78)=0,0,MAX(0,IF((AD$6-$E$3)&lt;1,0,IFERROR(LOOKUP(2,1/('Feijão 2ª safra'!$E78:INDEX('Feijão 2ª safra'!$E78:$Z78,MIN(AD$6-$E$3,22))&lt;&gt;""),'Feijão 2ª safra'!$E78:INDEX('Feijão 2ª safra'!$E78:$Z78,MIN(AD$6-$E$3,22))),0))-IF($G$2,0,IF((AD$6-$G$3)&lt;1,0,IFERROR(LOOKUP(2,1/('Feijão 2ª safra'!$E78:INDEX('Feijão 2ª safra'!$E78:$Z78,MIN(AD$6-$G$3,22))&lt;&gt;""),'Feijão 2ª safra'!$E78:INDEX('Feijão 2ª safra'!$E78:$Z78,MIN(AD$6-$G$3,22))),0)))))</f>
        <v>0</v>
      </c>
      <c r="AE80" s="27" t="n">
        <f aca="false">IF(COUNT('Feijão 2ª safra'!$E78:$Z78)=0,0,MAX(0,IF((AE$6-$E$3)&lt;1,0,IFERROR(LOOKUP(2,1/('Feijão 2ª safra'!$E78:INDEX('Feijão 2ª safra'!$E78:$Z78,MIN(AE$6-$E$3,22))&lt;&gt;""),'Feijão 2ª safra'!$E78:INDEX('Feijão 2ª safra'!$E78:$Z78,MIN(AE$6-$E$3,22))),0))-IF($G$2,0,IF((AE$6-$G$3)&lt;1,0,IFERROR(LOOKUP(2,1/('Feijão 2ª safra'!$E78:INDEX('Feijão 2ª safra'!$E78:$Z78,MIN(AE$6-$G$3,22))&lt;&gt;""),'Feijão 2ª safra'!$E78:INDEX('Feijão 2ª safra'!$E78:$Z78,MIN(AE$6-$G$3,22))),0)))))</f>
        <v>0</v>
      </c>
      <c r="AF80" s="27" t="n">
        <f aca="false">IF(COUNT('Feijão 2ª safra'!$E78:$Z78)=0,0,MAX(0,IF((AF$6-$E$3)&lt;1,0,IFERROR(LOOKUP(2,1/('Feijão 2ª safra'!$E78:INDEX('Feijão 2ª safra'!$E78:$Z78,MIN(AF$6-$E$3,22))&lt;&gt;""),'Feijão 2ª safra'!$E78:INDEX('Feijão 2ª safra'!$E78:$Z78,MIN(AF$6-$E$3,22))),0))-IF($G$2,0,IF((AF$6-$G$3)&lt;1,0,IFERROR(LOOKUP(2,1/('Feijão 2ª safra'!$E78:INDEX('Feijão 2ª safra'!$E78:$Z78,MIN(AF$6-$G$3,22))&lt;&gt;""),'Feijão 2ª safra'!$E78:INDEX('Feijão 2ª safra'!$E78:$Z78,MIN(AF$6-$G$3,22))),0)))))</f>
        <v>0</v>
      </c>
      <c r="AG80" s="27" t="n">
        <f aca="false">IF(COUNT('Feijão 2ª safra'!$E78:$Z78)=0,0,MAX(0,IF((AG$6-$E$3)&lt;1,0,IFERROR(LOOKUP(2,1/('Feijão 2ª safra'!$E78:INDEX('Feijão 2ª safra'!$E78:$Z78,MIN(AG$6-$E$3,22))&lt;&gt;""),'Feijão 2ª safra'!$E78:INDEX('Feijão 2ª safra'!$E78:$Z78,MIN(AG$6-$E$3,22))),0))-IF($G$2,0,IF((AG$6-$G$3)&lt;1,0,IFERROR(LOOKUP(2,1/('Feijão 2ª safra'!$E78:INDEX('Feijão 2ª safra'!$E78:$Z78,MIN(AG$6-$G$3,22))&lt;&gt;""),'Feijão 2ª safra'!$E78:INDEX('Feijão 2ª safra'!$E78:$Z78,MIN(AG$6-$G$3,22))),0)))))</f>
        <v>0</v>
      </c>
      <c r="AH80" s="27" t="n">
        <f aca="false">IF(COUNT('Feijão 2ª safra'!$E78:$Z78)=0,0,MAX(0,IF((AH$6-$E$3)&lt;1,0,IFERROR(LOOKUP(2,1/('Feijão 2ª safra'!$E78:INDEX('Feijão 2ª safra'!$E78:$Z78,MIN(AH$6-$E$3,22))&lt;&gt;""),'Feijão 2ª safra'!$E78:INDEX('Feijão 2ª safra'!$E78:$Z78,MIN(AH$6-$E$3,22))),0))-IF($G$2,0,IF((AH$6-$G$3)&lt;1,0,IFERROR(LOOKUP(2,1/('Feijão 2ª safra'!$E78:INDEX('Feijão 2ª safra'!$E78:$Z78,MIN(AH$6-$G$3,22))&lt;&gt;""),'Feijão 2ª safra'!$E78:INDEX('Feijão 2ª safra'!$E78:$Z78,MIN(AH$6-$G$3,22))),0)))))</f>
        <v>0</v>
      </c>
      <c r="AI80" s="27" t="n">
        <f aca="false">IF(COUNT('Feijão 2ª safra'!$E78:$Z78)=0,0,MAX(0,IF((AI$6-$E$3)&lt;1,0,IFERROR(LOOKUP(2,1/('Feijão 2ª safra'!$E78:INDEX('Feijão 2ª safra'!$E78:$Z78,MIN(AI$6-$E$3,22))&lt;&gt;""),'Feijão 2ª safra'!$E78:INDEX('Feijão 2ª safra'!$E78:$Z78,MIN(AI$6-$E$3,22))),0))-IF($G$2,0,IF((AI$6-$G$3)&lt;1,0,IFERROR(LOOKUP(2,1/('Feijão 2ª safra'!$E78:INDEX('Feijão 2ª safra'!$E78:$Z78,MIN(AI$6-$G$3,22))&lt;&gt;""),'Feijão 2ª safra'!$E78:INDEX('Feijão 2ª safra'!$E78:$Z78,MIN(AI$6-$G$3,22))),0)))))</f>
        <v>0</v>
      </c>
      <c r="AJ80" s="27" t="n">
        <f aca="false">IF(COUNT('Feijão 2ª safra'!$E78:$Z78)=0,0,MAX(0,IF((AJ$6-$E$3)&lt;1,0,IFERROR(LOOKUP(2,1/('Feijão 2ª safra'!$E78:INDEX('Feijão 2ª safra'!$E78:$Z78,MIN(AJ$6-$E$3,22))&lt;&gt;""),'Feijão 2ª safra'!$E78:INDEX('Feijão 2ª safra'!$E78:$Z78,MIN(AJ$6-$E$3,22))),0))-IF($G$2,0,IF((AJ$6-$G$3)&lt;1,0,IFERROR(LOOKUP(2,1/('Feijão 2ª safra'!$E78:INDEX('Feijão 2ª safra'!$E78:$Z78,MIN(AJ$6-$G$3,22))&lt;&gt;""),'Feijão 2ª safra'!$E78:INDEX('Feijão 2ª safra'!$E78:$Z78,MIN(AJ$6-$G$3,22))),0)))))</f>
        <v>0</v>
      </c>
      <c r="AK80" s="27" t="n">
        <f aca="false">IF(COUNT('Feijão 2ª safra'!$E78:$Z78)=0,0,MAX(0,IF((AK$6-$E$3)&lt;1,0,IFERROR(LOOKUP(2,1/('Feijão 2ª safra'!$E78:INDEX('Feijão 2ª safra'!$E78:$Z78,MIN(AK$6-$E$3,22))&lt;&gt;""),'Feijão 2ª safra'!$E78:INDEX('Feijão 2ª safra'!$E78:$Z78,MIN(AK$6-$E$3,22))),0))-IF($G$2,0,IF((AK$6-$G$3)&lt;1,0,IFERROR(LOOKUP(2,1/('Feijão 2ª safra'!$E78:INDEX('Feijão 2ª safra'!$E78:$Z78,MIN(AK$6-$G$3,22))&lt;&gt;""),'Feijão 2ª safra'!$E78:INDEX('Feijão 2ª safra'!$E78:$Z78,MIN(AK$6-$G$3,22))),0)))))</f>
        <v>0</v>
      </c>
      <c r="AL80" s="27" t="n">
        <f aca="false">IF(COUNT('Feijão 2ª safra'!$E78:$Z78)=0,0,MAX(0,IF((AL$6-$E$3)&lt;1,0,IFERROR(LOOKUP(2,1/('Feijão 2ª safra'!$E78:INDEX('Feijão 2ª safra'!$E78:$Z78,MIN(AL$6-$E$3,22))&lt;&gt;""),'Feijão 2ª safra'!$E78:INDEX('Feijão 2ª safra'!$E78:$Z78,MIN(AL$6-$E$3,22))),0))-IF($G$2,0,IF((AL$6-$G$3)&lt;1,0,IFERROR(LOOKUP(2,1/('Feijão 2ª safra'!$E78:INDEX('Feijão 2ª safra'!$E78:$Z78,MIN(AL$6-$G$3,22))&lt;&gt;""),'Feijão 2ª safra'!$E78:INDEX('Feijão 2ª safra'!$E78:$Z78,MIN(AL$6-$G$3,22))),0)))))</f>
        <v>0</v>
      </c>
      <c r="AM80" s="27" t="n">
        <f aca="false">IF(COUNT('Feijão 2ª safra'!$E78:$Z78)=0,0,MAX(0,IF((AM$6-$E$3)&lt;1,0,IFERROR(LOOKUP(2,1/('Feijão 2ª safra'!$E78:INDEX('Feijão 2ª safra'!$E78:$Z78,MIN(AM$6-$E$3,22))&lt;&gt;""),'Feijão 2ª safra'!$E78:INDEX('Feijão 2ª safra'!$E78:$Z78,MIN(AM$6-$E$3,22))),0))-IF($G$2,0,IF((AM$6-$G$3)&lt;1,0,IFERROR(LOOKUP(2,1/('Feijão 2ª safra'!$E78:INDEX('Feijão 2ª safra'!$E78:$Z78,MIN(AM$6-$G$3,22))&lt;&gt;""),'Feijão 2ª safra'!$E78:INDEX('Feijão 2ª safra'!$E78:$Z78,MIN(AM$6-$G$3,22))),0)))))</f>
        <v>0</v>
      </c>
      <c r="AN80" s="27" t="n">
        <f aca="false">IF(COUNT('Feijão 2ª safra'!$E78:$Z78)=0,0,MAX(0,IF((AN$6-$E$3)&lt;1,0,IFERROR(LOOKUP(2,1/('Feijão 2ª safra'!$E78:INDEX('Feijão 2ª safra'!$E78:$Z78,MIN(AN$6-$E$3,22))&lt;&gt;""),'Feijão 2ª safra'!$E78:INDEX('Feijão 2ª safra'!$E78:$Z78,MIN(AN$6-$E$3,22))),0))-IF($G$2,0,IF((AN$6-$G$3)&lt;1,0,IFERROR(LOOKUP(2,1/('Feijão 2ª safra'!$E78:INDEX('Feijão 2ª safra'!$E78:$Z78,MIN(AN$6-$G$3,22))&lt;&gt;""),'Feijão 2ª safra'!$E78:INDEX('Feijão 2ª safra'!$E78:$Z78,MIN(AN$6-$G$3,22))),0)))))</f>
        <v>0</v>
      </c>
      <c r="AO80" s="27" t="n">
        <f aca="false">IF(COUNT('Feijão 2ª safra'!$E78:$Z78)=0,0,MAX(0,IF((AO$6-$E$3)&lt;1,0,IFERROR(LOOKUP(2,1/('Feijão 2ª safra'!$E78:INDEX('Feijão 2ª safra'!$E78:$Z78,MIN(AO$6-$E$3,22))&lt;&gt;""),'Feijão 2ª safra'!$E78:INDEX('Feijão 2ª safra'!$E78:$Z78,MIN(AO$6-$E$3,22))),0))-IF($G$2,0,IF((AO$6-$G$3)&lt;1,0,IFERROR(LOOKUP(2,1/('Feijão 2ª safra'!$E78:INDEX('Feijão 2ª safra'!$E78:$Z78,MIN(AO$6-$G$3,22))&lt;&gt;""),'Feijão 2ª safra'!$E78:INDEX('Feijão 2ª safra'!$E78:$Z78,MIN(AO$6-$G$3,22))),0)))))</f>
        <v>0</v>
      </c>
      <c r="AP80" s="27" t="n">
        <f aca="false">IF(COUNT('Feijão 2ª safra'!$E78:$Z78)=0,0,MAX(0,IF((AP$6-$E$3)&lt;1,0,IFERROR(LOOKUP(2,1/('Feijão 2ª safra'!$E78:INDEX('Feijão 2ª safra'!$E78:$Z78,MIN(AP$6-$E$3,22))&lt;&gt;""),'Feijão 2ª safra'!$E78:INDEX('Feijão 2ª safra'!$E78:$Z78,MIN(AP$6-$E$3,22))),0))-IF($G$2,0,IF((AP$6-$G$3)&lt;1,0,IFERROR(LOOKUP(2,1/('Feijão 2ª safra'!$E78:INDEX('Feijão 2ª safra'!$E78:$Z78,MIN(AP$6-$G$3,22))&lt;&gt;""),'Feijão 2ª safra'!$E78:INDEX('Feijão 2ª safra'!$E78:$Z78,MIN(AP$6-$G$3,22))),0)))))</f>
        <v>0</v>
      </c>
      <c r="AQ80" s="27" t="n">
        <f aca="false">IF(COUNT('Feijão 2ª safra'!$E78:$Z78)=0,0,MAX(0,IF((AQ$6-$E$3)&lt;1,0,IFERROR(LOOKUP(2,1/('Feijão 2ª safra'!$E78:INDEX('Feijão 2ª safra'!$E78:$Z78,MIN(AQ$6-$E$3,22))&lt;&gt;""),'Feijão 2ª safra'!$E78:INDEX('Feijão 2ª safra'!$E78:$Z78,MIN(AQ$6-$E$3,22))),0))-IF($G$2,0,IF((AQ$6-$G$3)&lt;1,0,IFERROR(LOOKUP(2,1/('Feijão 2ª safra'!$E78:INDEX('Feijão 2ª safra'!$E78:$Z78,MIN(AQ$6-$G$3,22))&lt;&gt;""),'Feijão 2ª safra'!$E78:INDEX('Feijão 2ª safra'!$E78:$Z78,MIN(AQ$6-$G$3,22))),0)))))</f>
        <v>0</v>
      </c>
      <c r="AR80" s="27" t="n">
        <f aca="false">IF(COUNT('Feijão 2ª safra'!$E78:$Z78)=0,0,MAX(0,IF((AR$6-$E$3)&lt;1,0,IFERROR(LOOKUP(2,1/('Feijão 2ª safra'!$E78:INDEX('Feijão 2ª safra'!$E78:$Z78,MIN(AR$6-$E$3,22))&lt;&gt;""),'Feijão 2ª safra'!$E78:INDEX('Feijão 2ª safra'!$E78:$Z78,MIN(AR$6-$E$3,22))),0))-IF($G$2,0,IF((AR$6-$G$3)&lt;1,0,IFERROR(LOOKUP(2,1/('Feijão 2ª safra'!$E78:INDEX('Feijão 2ª safra'!$E78:$Z78,MIN(AR$6-$G$3,22))&lt;&gt;""),'Feijão 2ª safra'!$E78:INDEX('Feijão 2ª safra'!$E78:$Z78,MIN(AR$6-$G$3,22))),0)))))</f>
        <v>0</v>
      </c>
      <c r="AS80" s="27" t="n">
        <f aca="false">IF(COUNT('Feijão 2ª safra'!$E78:$Z78)=0,0,MAX(0,IF((AS$6-$E$3)&lt;1,0,IFERROR(LOOKUP(2,1/('Feijão 2ª safra'!$E78:INDEX('Feijão 2ª safra'!$E78:$Z78,MIN(AS$6-$E$3,22))&lt;&gt;""),'Feijão 2ª safra'!$E78:INDEX('Feijão 2ª safra'!$E78:$Z78,MIN(AS$6-$E$3,22))),0))-IF($G$2,0,IF((AS$6-$G$3)&lt;1,0,IFERROR(LOOKUP(2,1/('Feijão 2ª safra'!$E78:INDEX('Feijão 2ª safra'!$E78:$Z78,MIN(AS$6-$G$3,22))&lt;&gt;""),'Feijão 2ª safra'!$E78:INDEX('Feijão 2ª safra'!$E78:$Z78,MIN(AS$6-$G$3,22))),0)))))</f>
        <v>0</v>
      </c>
      <c r="AT80" s="27" t="n">
        <f aca="false">IF(COUNT('Feijão 2ª safra'!$E78:$Z78)=0,0,MAX(0,IF((AT$6-$E$3)&lt;1,0,IFERROR(LOOKUP(2,1/('Feijão 2ª safra'!$E78:INDEX('Feijão 2ª safra'!$E78:$Z78,MIN(AT$6-$E$3,22))&lt;&gt;""),'Feijão 2ª safra'!$E78:INDEX('Feijão 2ª safra'!$E78:$Z78,MIN(AT$6-$E$3,22))),0))-IF($G$2,0,IF((AT$6-$G$3)&lt;1,0,IFERROR(LOOKUP(2,1/('Feijão 2ª safra'!$E78:INDEX('Feijão 2ª safra'!$E78:$Z78,MIN(AT$6-$G$3,22))&lt;&gt;""),'Feijão 2ª safra'!$E78:INDEX('Feijão 2ª safra'!$E78:$Z78,MIN(AT$6-$G$3,22))),0)))))</f>
        <v>0</v>
      </c>
      <c r="AU80" s="27" t="n">
        <f aca="false">IF(COUNT('Feijão 2ª safra'!$E78:$Z78)=0,0,MAX(0,IF((AU$6-$E$3)&lt;1,0,IFERROR(LOOKUP(2,1/('Feijão 2ª safra'!$E78:INDEX('Feijão 2ª safra'!$E78:$Z78,MIN(AU$6-$E$3,22))&lt;&gt;""),'Feijão 2ª safra'!$E78:INDEX('Feijão 2ª safra'!$E78:$Z78,MIN(AU$6-$E$3,22))),0))-IF($G$2,0,IF((AU$6-$G$3)&lt;1,0,IFERROR(LOOKUP(2,1/('Feijão 2ª safra'!$E78:INDEX('Feijão 2ª safra'!$E78:$Z78,MIN(AU$6-$G$3,22))&lt;&gt;""),'Feijão 2ª safra'!$E78:INDEX('Feijão 2ª safra'!$E78:$Z78,MIN(AU$6-$G$3,22))),0)))))</f>
        <v>0</v>
      </c>
      <c r="AV80" s="27" t="n">
        <f aca="false">IF(COUNT('Feijão 2ª safra'!$E78:$Z78)=0,0,MAX(0,IF((AV$6-$E$3)&lt;1,0,IFERROR(LOOKUP(2,1/('Feijão 2ª safra'!$E78:INDEX('Feijão 2ª safra'!$E78:$Z78,MIN(AV$6-$E$3,22))&lt;&gt;""),'Feijão 2ª safra'!$E78:INDEX('Feijão 2ª safra'!$E78:$Z78,MIN(AV$6-$E$3,22))),0))-IF($G$2,0,IF((AV$6-$G$3)&lt;1,0,IFERROR(LOOKUP(2,1/('Feijão 2ª safra'!$E78:INDEX('Feijão 2ª safra'!$E78:$Z78,MIN(AV$6-$G$3,22))&lt;&gt;""),'Feijão 2ª safra'!$E78:INDEX('Feijão 2ª safra'!$E78:$Z78,MIN(AV$6-$G$3,22))),0)))))</f>
        <v>0</v>
      </c>
      <c r="AW80" s="27" t="n">
        <f aca="false">IF(COUNT('Feijão 2ª safra'!$E78:$Z78)=0,0,MAX(0,IF((AW$6-$E$3)&lt;1,0,IFERROR(LOOKUP(2,1/('Feijão 2ª safra'!$E78:INDEX('Feijão 2ª safra'!$E78:$Z78,MIN(AW$6-$E$3,22))&lt;&gt;""),'Feijão 2ª safra'!$E78:INDEX('Feijão 2ª safra'!$E78:$Z78,MIN(AW$6-$E$3,22))),0))-IF($G$2,0,IF((AW$6-$G$3)&lt;1,0,IFERROR(LOOKUP(2,1/('Feijão 2ª safra'!$E78:INDEX('Feijão 2ª safra'!$E78:$Z78,MIN(AW$6-$G$3,22))&lt;&gt;""),'Feijão 2ª safra'!$E78:INDEX('Feijão 2ª safra'!$E78:$Z78,MIN(AW$6-$G$3,22))),0)))))</f>
        <v>0</v>
      </c>
      <c r="AX80" s="27" t="n">
        <f aca="false">IF(COUNT('Feijão 2ª safra'!$E78:$Z78)=0,0,MAX(0,IF((AX$6-$E$3)&lt;1,0,IFERROR(LOOKUP(2,1/('Feijão 2ª safra'!$E78:INDEX('Feijão 2ª safra'!$E78:$Z78,MIN(AX$6-$E$3,22))&lt;&gt;""),'Feijão 2ª safra'!$E78:INDEX('Feijão 2ª safra'!$E78:$Z78,MIN(AX$6-$E$3,22))),0))-IF($G$2,0,IF((AX$6-$G$3)&lt;1,0,IFERROR(LOOKUP(2,1/('Feijão 2ª safra'!$E78:INDEX('Feijão 2ª safra'!$E78:$Z78,MIN(AX$6-$G$3,22))&lt;&gt;""),'Feijão 2ª safra'!$E78:INDEX('Feijão 2ª safra'!$E78:$Z78,MIN(AX$6-$G$3,22))),0)))))</f>
        <v>0</v>
      </c>
      <c r="AY80" s="27" t="n">
        <f aca="false">IF(COUNT('Feijão 2ª safra'!$E78:$Z78)=0,0,MAX(0,IF((AY$6-$E$3)&lt;1,0,IFERROR(LOOKUP(2,1/('Feijão 2ª safra'!$E78:INDEX('Feijão 2ª safra'!$E78:$Z78,MIN(AY$6-$E$3,22))&lt;&gt;""),'Feijão 2ª safra'!$E78:INDEX('Feijão 2ª safra'!$E78:$Z78,MIN(AY$6-$E$3,22))),0))-IF($G$2,0,IF((AY$6-$G$3)&lt;1,0,IFERROR(LOOKUP(2,1/('Feijão 2ª safra'!$E78:INDEX('Feijão 2ª safra'!$E78:$Z78,MIN(AY$6-$G$3,22))&lt;&gt;""),'Feijão 2ª safra'!$E78:INDEX('Feijão 2ª safra'!$E78:$Z78,MIN(AY$6-$G$3,22))),0)))))</f>
        <v>0</v>
      </c>
      <c r="AZ80" s="27" t="n">
        <f aca="false">IF(COUNT('Feijão 2ª safra'!$E78:$Z78)=0,0,MAX(0,IF((AZ$6-$E$3)&lt;1,0,IFERROR(LOOKUP(2,1/('Feijão 2ª safra'!$E78:INDEX('Feijão 2ª safra'!$E78:$Z78,MIN(AZ$6-$E$3,22))&lt;&gt;""),'Feijão 2ª safra'!$E78:INDEX('Feijão 2ª safra'!$E78:$Z78,MIN(AZ$6-$E$3,22))),0))-IF($G$2,0,IF((AZ$6-$G$3)&lt;1,0,IFERROR(LOOKUP(2,1/('Feijão 2ª safra'!$E78:INDEX('Feijão 2ª safra'!$E78:$Z78,MIN(AZ$6-$G$3,22))&lt;&gt;""),'Feijão 2ª safra'!$E78:INDEX('Feijão 2ª safra'!$E78:$Z78,MIN(AZ$6-$G$3,22))),0)))))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IF(COUNT('Feijão 2ª safra'!$E79:$Z79)&gt;0,N('Feijão 2ª safra'!$D79),0)</f>
        <v>0</v>
      </c>
      <c r="E81" s="27" t="n">
        <f aca="false">IF(COUNT('Feijão 2ª safra'!$E79:$Z79)=0,0,MAX(0,IF((E$6-$E$3)&lt;1,0,IFERROR(LOOKUP(2,1/('Feijão 2ª safra'!$E79:INDEX('Feijão 2ª safra'!$E79:$Z79,MIN(E$6-$E$3,22))&lt;&gt;""),'Feijão 2ª safra'!$E79:INDEX('Feijão 2ª safra'!$E79:$Z79,MIN(E$6-$E$3,22))),0))-IF($G$2,0,IF((E$6-$G$3)&lt;1,0,IFERROR(LOOKUP(2,1/('Feijão 2ª safra'!$E79:INDEX('Feijão 2ª safra'!$E79:$Z79,MIN(E$6-$G$3,22))&lt;&gt;""),'Feijão 2ª safra'!$E79:INDEX('Feijão 2ª safra'!$E79:$Z79,MIN(E$6-$G$3,22))),0)))))</f>
        <v>0</v>
      </c>
      <c r="F81" s="27" t="n">
        <f aca="false">IF(COUNT('Feijão 2ª safra'!$E79:$Z79)=0,0,MAX(0,IF((F$6-$E$3)&lt;1,0,IFERROR(LOOKUP(2,1/('Feijão 2ª safra'!$E79:INDEX('Feijão 2ª safra'!$E79:$Z79,MIN(F$6-$E$3,22))&lt;&gt;""),'Feijão 2ª safra'!$E79:INDEX('Feijão 2ª safra'!$E79:$Z79,MIN(F$6-$E$3,22))),0))-IF($G$2,0,IF((F$6-$G$3)&lt;1,0,IFERROR(LOOKUP(2,1/('Feijão 2ª safra'!$E79:INDEX('Feijão 2ª safra'!$E79:$Z79,MIN(F$6-$G$3,22))&lt;&gt;""),'Feijão 2ª safra'!$E79:INDEX('Feijão 2ª safra'!$E79:$Z79,MIN(F$6-$G$3,22))),0)))))</f>
        <v>0</v>
      </c>
      <c r="G81" s="27" t="n">
        <f aca="false">IF(COUNT('Feijão 2ª safra'!$E79:$Z79)=0,0,MAX(0,IF((G$6-$E$3)&lt;1,0,IFERROR(LOOKUP(2,1/('Feijão 2ª safra'!$E79:INDEX('Feijão 2ª safra'!$E79:$Z79,MIN(G$6-$E$3,22))&lt;&gt;""),'Feijão 2ª safra'!$E79:INDEX('Feijão 2ª safra'!$E79:$Z79,MIN(G$6-$E$3,22))),0))-IF($G$2,0,IF((G$6-$G$3)&lt;1,0,IFERROR(LOOKUP(2,1/('Feijão 2ª safra'!$E79:INDEX('Feijão 2ª safra'!$E79:$Z79,MIN(G$6-$G$3,22))&lt;&gt;""),'Feijão 2ª safra'!$E79:INDEX('Feijão 2ª safra'!$E79:$Z79,MIN(G$6-$G$3,22))),0)))))</f>
        <v>0</v>
      </c>
      <c r="H81" s="27" t="n">
        <f aca="false">IF(COUNT('Feijão 2ª safra'!$E79:$Z79)=0,0,MAX(0,IF((H$6-$E$3)&lt;1,0,IFERROR(LOOKUP(2,1/('Feijão 2ª safra'!$E79:INDEX('Feijão 2ª safra'!$E79:$Z79,MIN(H$6-$E$3,22))&lt;&gt;""),'Feijão 2ª safra'!$E79:INDEX('Feijão 2ª safra'!$E79:$Z79,MIN(H$6-$E$3,22))),0))-IF($G$2,0,IF((H$6-$G$3)&lt;1,0,IFERROR(LOOKUP(2,1/('Feijão 2ª safra'!$E79:INDEX('Feijão 2ª safra'!$E79:$Z79,MIN(H$6-$G$3,22))&lt;&gt;""),'Feijão 2ª safra'!$E79:INDEX('Feijão 2ª safra'!$E79:$Z79,MIN(H$6-$G$3,22))),0)))))</f>
        <v>0</v>
      </c>
      <c r="I81" s="27" t="n">
        <f aca="false">IF(COUNT('Feijão 2ª safra'!$E79:$Z79)=0,0,MAX(0,IF((I$6-$E$3)&lt;1,0,IFERROR(LOOKUP(2,1/('Feijão 2ª safra'!$E79:INDEX('Feijão 2ª safra'!$E79:$Z79,MIN(I$6-$E$3,22))&lt;&gt;""),'Feijão 2ª safra'!$E79:INDEX('Feijão 2ª safra'!$E79:$Z79,MIN(I$6-$E$3,22))),0))-IF($G$2,0,IF((I$6-$G$3)&lt;1,0,IFERROR(LOOKUP(2,1/('Feijão 2ª safra'!$E79:INDEX('Feijão 2ª safra'!$E79:$Z79,MIN(I$6-$G$3,22))&lt;&gt;""),'Feijão 2ª safra'!$E79:INDEX('Feijão 2ª safra'!$E79:$Z79,MIN(I$6-$G$3,22))),0)))))</f>
        <v>0</v>
      </c>
      <c r="J81" s="27" t="n">
        <f aca="false">IF(COUNT('Feijão 2ª safra'!$E79:$Z79)=0,0,MAX(0,IF((J$6-$E$3)&lt;1,0,IFERROR(LOOKUP(2,1/('Feijão 2ª safra'!$E79:INDEX('Feijão 2ª safra'!$E79:$Z79,MIN(J$6-$E$3,22))&lt;&gt;""),'Feijão 2ª safra'!$E79:INDEX('Feijão 2ª safra'!$E79:$Z79,MIN(J$6-$E$3,22))),0))-IF($G$2,0,IF((J$6-$G$3)&lt;1,0,IFERROR(LOOKUP(2,1/('Feijão 2ª safra'!$E79:INDEX('Feijão 2ª safra'!$E79:$Z79,MIN(J$6-$G$3,22))&lt;&gt;""),'Feijão 2ª safra'!$E79:INDEX('Feijão 2ª safra'!$E79:$Z79,MIN(J$6-$G$3,22))),0)))))</f>
        <v>0</v>
      </c>
      <c r="K81" s="27" t="n">
        <f aca="false">IF(COUNT('Feijão 2ª safra'!$E79:$Z79)=0,0,MAX(0,IF((K$6-$E$3)&lt;1,0,IFERROR(LOOKUP(2,1/('Feijão 2ª safra'!$E79:INDEX('Feijão 2ª safra'!$E79:$Z79,MIN(K$6-$E$3,22))&lt;&gt;""),'Feijão 2ª safra'!$E79:INDEX('Feijão 2ª safra'!$E79:$Z79,MIN(K$6-$E$3,22))),0))-IF($G$2,0,IF((K$6-$G$3)&lt;1,0,IFERROR(LOOKUP(2,1/('Feijão 2ª safra'!$E79:INDEX('Feijão 2ª safra'!$E79:$Z79,MIN(K$6-$G$3,22))&lt;&gt;""),'Feijão 2ª safra'!$E79:INDEX('Feijão 2ª safra'!$E79:$Z79,MIN(K$6-$G$3,22))),0)))))</f>
        <v>0</v>
      </c>
      <c r="L81" s="27" t="n">
        <f aca="false">IF(COUNT('Feijão 2ª safra'!$E79:$Z79)=0,0,MAX(0,IF((L$6-$E$3)&lt;1,0,IFERROR(LOOKUP(2,1/('Feijão 2ª safra'!$E79:INDEX('Feijão 2ª safra'!$E79:$Z79,MIN(L$6-$E$3,22))&lt;&gt;""),'Feijão 2ª safra'!$E79:INDEX('Feijão 2ª safra'!$E79:$Z79,MIN(L$6-$E$3,22))),0))-IF($G$2,0,IF((L$6-$G$3)&lt;1,0,IFERROR(LOOKUP(2,1/('Feijão 2ª safra'!$E79:INDEX('Feijão 2ª safra'!$E79:$Z79,MIN(L$6-$G$3,22))&lt;&gt;""),'Feijão 2ª safra'!$E79:INDEX('Feijão 2ª safra'!$E79:$Z79,MIN(L$6-$G$3,22))),0)))))</f>
        <v>0</v>
      </c>
      <c r="M81" s="27" t="n">
        <f aca="false">IF(COUNT('Feijão 2ª safra'!$E79:$Z79)=0,0,MAX(0,IF((M$6-$E$3)&lt;1,0,IFERROR(LOOKUP(2,1/('Feijão 2ª safra'!$E79:INDEX('Feijão 2ª safra'!$E79:$Z79,MIN(M$6-$E$3,22))&lt;&gt;""),'Feijão 2ª safra'!$E79:INDEX('Feijão 2ª safra'!$E79:$Z79,MIN(M$6-$E$3,22))),0))-IF($G$2,0,IF((M$6-$G$3)&lt;1,0,IFERROR(LOOKUP(2,1/('Feijão 2ª safra'!$E79:INDEX('Feijão 2ª safra'!$E79:$Z79,MIN(M$6-$G$3,22))&lt;&gt;""),'Feijão 2ª safra'!$E79:INDEX('Feijão 2ª safra'!$E79:$Z79,MIN(M$6-$G$3,22))),0)))))</f>
        <v>0</v>
      </c>
      <c r="N81" s="27" t="n">
        <f aca="false">IF(COUNT('Feijão 2ª safra'!$E79:$Z79)=0,0,MAX(0,IF((N$6-$E$3)&lt;1,0,IFERROR(LOOKUP(2,1/('Feijão 2ª safra'!$E79:INDEX('Feijão 2ª safra'!$E79:$Z79,MIN(N$6-$E$3,22))&lt;&gt;""),'Feijão 2ª safra'!$E79:INDEX('Feijão 2ª safra'!$E79:$Z79,MIN(N$6-$E$3,22))),0))-IF($G$2,0,IF((N$6-$G$3)&lt;1,0,IFERROR(LOOKUP(2,1/('Feijão 2ª safra'!$E79:INDEX('Feijão 2ª safra'!$E79:$Z79,MIN(N$6-$G$3,22))&lt;&gt;""),'Feijão 2ª safra'!$E79:INDEX('Feijão 2ª safra'!$E79:$Z79,MIN(N$6-$G$3,22))),0)))))</f>
        <v>0</v>
      </c>
      <c r="O81" s="27" t="n">
        <f aca="false">IF(COUNT('Feijão 2ª safra'!$E79:$Z79)=0,0,MAX(0,IF((O$6-$E$3)&lt;1,0,IFERROR(LOOKUP(2,1/('Feijão 2ª safra'!$E79:INDEX('Feijão 2ª safra'!$E79:$Z79,MIN(O$6-$E$3,22))&lt;&gt;""),'Feijão 2ª safra'!$E79:INDEX('Feijão 2ª safra'!$E79:$Z79,MIN(O$6-$E$3,22))),0))-IF($G$2,0,IF((O$6-$G$3)&lt;1,0,IFERROR(LOOKUP(2,1/('Feijão 2ª safra'!$E79:INDEX('Feijão 2ª safra'!$E79:$Z79,MIN(O$6-$G$3,22))&lt;&gt;""),'Feijão 2ª safra'!$E79:INDEX('Feijão 2ª safra'!$E79:$Z79,MIN(O$6-$G$3,22))),0)))))</f>
        <v>0</v>
      </c>
      <c r="P81" s="27" t="n">
        <f aca="false">IF(COUNT('Feijão 2ª safra'!$E79:$Z79)=0,0,MAX(0,IF((P$6-$E$3)&lt;1,0,IFERROR(LOOKUP(2,1/('Feijão 2ª safra'!$E79:INDEX('Feijão 2ª safra'!$E79:$Z79,MIN(P$6-$E$3,22))&lt;&gt;""),'Feijão 2ª safra'!$E79:INDEX('Feijão 2ª safra'!$E79:$Z79,MIN(P$6-$E$3,22))),0))-IF($G$2,0,IF((P$6-$G$3)&lt;1,0,IFERROR(LOOKUP(2,1/('Feijão 2ª safra'!$E79:INDEX('Feijão 2ª safra'!$E79:$Z79,MIN(P$6-$G$3,22))&lt;&gt;""),'Feijão 2ª safra'!$E79:INDEX('Feijão 2ª safra'!$E79:$Z79,MIN(P$6-$G$3,22))),0)))))</f>
        <v>0</v>
      </c>
      <c r="Q81" s="27" t="n">
        <f aca="false">IF(COUNT('Feijão 2ª safra'!$E79:$Z79)=0,0,MAX(0,IF((Q$6-$E$3)&lt;1,0,IFERROR(LOOKUP(2,1/('Feijão 2ª safra'!$E79:INDEX('Feijão 2ª safra'!$E79:$Z79,MIN(Q$6-$E$3,22))&lt;&gt;""),'Feijão 2ª safra'!$E79:INDEX('Feijão 2ª safra'!$E79:$Z79,MIN(Q$6-$E$3,22))),0))-IF($G$2,0,IF((Q$6-$G$3)&lt;1,0,IFERROR(LOOKUP(2,1/('Feijão 2ª safra'!$E79:INDEX('Feijão 2ª safra'!$E79:$Z79,MIN(Q$6-$G$3,22))&lt;&gt;""),'Feijão 2ª safra'!$E79:INDEX('Feijão 2ª safra'!$E79:$Z79,MIN(Q$6-$G$3,22))),0)))))</f>
        <v>0</v>
      </c>
      <c r="R81" s="27" t="n">
        <f aca="false">IF(COUNT('Feijão 2ª safra'!$E79:$Z79)=0,0,MAX(0,IF((R$6-$E$3)&lt;1,0,IFERROR(LOOKUP(2,1/('Feijão 2ª safra'!$E79:INDEX('Feijão 2ª safra'!$E79:$Z79,MIN(R$6-$E$3,22))&lt;&gt;""),'Feijão 2ª safra'!$E79:INDEX('Feijão 2ª safra'!$E79:$Z79,MIN(R$6-$E$3,22))),0))-IF($G$2,0,IF((R$6-$G$3)&lt;1,0,IFERROR(LOOKUP(2,1/('Feijão 2ª safra'!$E79:INDEX('Feijão 2ª safra'!$E79:$Z79,MIN(R$6-$G$3,22))&lt;&gt;""),'Feijão 2ª safra'!$E79:INDEX('Feijão 2ª safra'!$E79:$Z79,MIN(R$6-$G$3,22))),0)))))</f>
        <v>0</v>
      </c>
      <c r="S81" s="27" t="n">
        <f aca="false">IF(COUNT('Feijão 2ª safra'!$E79:$Z79)=0,0,MAX(0,IF((S$6-$E$3)&lt;1,0,IFERROR(LOOKUP(2,1/('Feijão 2ª safra'!$E79:INDEX('Feijão 2ª safra'!$E79:$Z79,MIN(S$6-$E$3,22))&lt;&gt;""),'Feijão 2ª safra'!$E79:INDEX('Feijão 2ª safra'!$E79:$Z79,MIN(S$6-$E$3,22))),0))-IF($G$2,0,IF((S$6-$G$3)&lt;1,0,IFERROR(LOOKUP(2,1/('Feijão 2ª safra'!$E79:INDEX('Feijão 2ª safra'!$E79:$Z79,MIN(S$6-$G$3,22))&lt;&gt;""),'Feijão 2ª safra'!$E79:INDEX('Feijão 2ª safra'!$E79:$Z79,MIN(S$6-$G$3,22))),0)))))</f>
        <v>0</v>
      </c>
      <c r="T81" s="27" t="n">
        <f aca="false">IF(COUNT('Feijão 2ª safra'!$E79:$Z79)=0,0,MAX(0,IF((T$6-$E$3)&lt;1,0,IFERROR(LOOKUP(2,1/('Feijão 2ª safra'!$E79:INDEX('Feijão 2ª safra'!$E79:$Z79,MIN(T$6-$E$3,22))&lt;&gt;""),'Feijão 2ª safra'!$E79:INDEX('Feijão 2ª safra'!$E79:$Z79,MIN(T$6-$E$3,22))),0))-IF($G$2,0,IF((T$6-$G$3)&lt;1,0,IFERROR(LOOKUP(2,1/('Feijão 2ª safra'!$E79:INDEX('Feijão 2ª safra'!$E79:$Z79,MIN(T$6-$G$3,22))&lt;&gt;""),'Feijão 2ª safra'!$E79:INDEX('Feijão 2ª safra'!$E79:$Z79,MIN(T$6-$G$3,22))),0)))))</f>
        <v>0</v>
      </c>
      <c r="U81" s="27" t="n">
        <f aca="false">IF(COUNT('Feijão 2ª safra'!$E79:$Z79)=0,0,MAX(0,IF((U$6-$E$3)&lt;1,0,IFERROR(LOOKUP(2,1/('Feijão 2ª safra'!$E79:INDEX('Feijão 2ª safra'!$E79:$Z79,MIN(U$6-$E$3,22))&lt;&gt;""),'Feijão 2ª safra'!$E79:INDEX('Feijão 2ª safra'!$E79:$Z79,MIN(U$6-$E$3,22))),0))-IF($G$2,0,IF((U$6-$G$3)&lt;1,0,IFERROR(LOOKUP(2,1/('Feijão 2ª safra'!$E79:INDEX('Feijão 2ª safra'!$E79:$Z79,MIN(U$6-$G$3,22))&lt;&gt;""),'Feijão 2ª safra'!$E79:INDEX('Feijão 2ª safra'!$E79:$Z79,MIN(U$6-$G$3,22))),0)))))</f>
        <v>0</v>
      </c>
      <c r="V81" s="27" t="n">
        <f aca="false">IF(COUNT('Feijão 2ª safra'!$E79:$Z79)=0,0,MAX(0,IF((V$6-$E$3)&lt;1,0,IFERROR(LOOKUP(2,1/('Feijão 2ª safra'!$E79:INDEX('Feijão 2ª safra'!$E79:$Z79,MIN(V$6-$E$3,22))&lt;&gt;""),'Feijão 2ª safra'!$E79:INDEX('Feijão 2ª safra'!$E79:$Z79,MIN(V$6-$E$3,22))),0))-IF($G$2,0,IF((V$6-$G$3)&lt;1,0,IFERROR(LOOKUP(2,1/('Feijão 2ª safra'!$E79:INDEX('Feijão 2ª safra'!$E79:$Z79,MIN(V$6-$G$3,22))&lt;&gt;""),'Feijão 2ª safra'!$E79:INDEX('Feijão 2ª safra'!$E79:$Z79,MIN(V$6-$G$3,22))),0)))))</f>
        <v>0</v>
      </c>
      <c r="W81" s="27" t="n">
        <f aca="false">IF(COUNT('Feijão 2ª safra'!$E79:$Z79)=0,0,MAX(0,IF((W$6-$E$3)&lt;1,0,IFERROR(LOOKUP(2,1/('Feijão 2ª safra'!$E79:INDEX('Feijão 2ª safra'!$E79:$Z79,MIN(W$6-$E$3,22))&lt;&gt;""),'Feijão 2ª safra'!$E79:INDEX('Feijão 2ª safra'!$E79:$Z79,MIN(W$6-$E$3,22))),0))-IF($G$2,0,IF((W$6-$G$3)&lt;1,0,IFERROR(LOOKUP(2,1/('Feijão 2ª safra'!$E79:INDEX('Feijão 2ª safra'!$E79:$Z79,MIN(W$6-$G$3,22))&lt;&gt;""),'Feijão 2ª safra'!$E79:INDEX('Feijão 2ª safra'!$E79:$Z79,MIN(W$6-$G$3,22))),0)))))</f>
        <v>0</v>
      </c>
      <c r="X81" s="27" t="n">
        <f aca="false">IF(COUNT('Feijão 2ª safra'!$E79:$Z79)=0,0,MAX(0,IF((X$6-$E$3)&lt;1,0,IFERROR(LOOKUP(2,1/('Feijão 2ª safra'!$E79:INDEX('Feijão 2ª safra'!$E79:$Z79,MIN(X$6-$E$3,22))&lt;&gt;""),'Feijão 2ª safra'!$E79:INDEX('Feijão 2ª safra'!$E79:$Z79,MIN(X$6-$E$3,22))),0))-IF($G$2,0,IF((X$6-$G$3)&lt;1,0,IFERROR(LOOKUP(2,1/('Feijão 2ª safra'!$E79:INDEX('Feijão 2ª safra'!$E79:$Z79,MIN(X$6-$G$3,22))&lt;&gt;""),'Feijão 2ª safra'!$E79:INDEX('Feijão 2ª safra'!$E79:$Z79,MIN(X$6-$G$3,22))),0)))))</f>
        <v>0</v>
      </c>
      <c r="Y81" s="27" t="n">
        <f aca="false">IF(COUNT('Feijão 2ª safra'!$E79:$Z79)=0,0,MAX(0,IF((Y$6-$E$3)&lt;1,0,IFERROR(LOOKUP(2,1/('Feijão 2ª safra'!$E79:INDEX('Feijão 2ª safra'!$E79:$Z79,MIN(Y$6-$E$3,22))&lt;&gt;""),'Feijão 2ª safra'!$E79:INDEX('Feijão 2ª safra'!$E79:$Z79,MIN(Y$6-$E$3,22))),0))-IF($G$2,0,IF((Y$6-$G$3)&lt;1,0,IFERROR(LOOKUP(2,1/('Feijão 2ª safra'!$E79:INDEX('Feijão 2ª safra'!$E79:$Z79,MIN(Y$6-$G$3,22))&lt;&gt;""),'Feijão 2ª safra'!$E79:INDEX('Feijão 2ª safra'!$E79:$Z79,MIN(Y$6-$G$3,22))),0)))))</f>
        <v>0</v>
      </c>
      <c r="Z81" s="27" t="n">
        <f aca="false">IF(COUNT('Feijão 2ª safra'!$E79:$Z79)=0,0,MAX(0,IF((Z$6-$E$3)&lt;1,0,IFERROR(LOOKUP(2,1/('Feijão 2ª safra'!$E79:INDEX('Feijão 2ª safra'!$E79:$Z79,MIN(Z$6-$E$3,22))&lt;&gt;""),'Feijão 2ª safra'!$E79:INDEX('Feijão 2ª safra'!$E79:$Z79,MIN(Z$6-$E$3,22))),0))-IF($G$2,0,IF((Z$6-$G$3)&lt;1,0,IFERROR(LOOKUP(2,1/('Feijão 2ª safra'!$E79:INDEX('Feijão 2ª safra'!$E79:$Z79,MIN(Z$6-$G$3,22))&lt;&gt;""),'Feijão 2ª safra'!$E79:INDEX('Feijão 2ª safra'!$E79:$Z79,MIN(Z$6-$G$3,22))),0)))))</f>
        <v>0</v>
      </c>
      <c r="AA81" s="27" t="n">
        <f aca="false">IF(COUNT('Feijão 2ª safra'!$E79:$Z79)=0,0,MAX(0,IF((AA$6-$E$3)&lt;1,0,IFERROR(LOOKUP(2,1/('Feijão 2ª safra'!$E79:INDEX('Feijão 2ª safra'!$E79:$Z79,MIN(AA$6-$E$3,22))&lt;&gt;""),'Feijão 2ª safra'!$E79:INDEX('Feijão 2ª safra'!$E79:$Z79,MIN(AA$6-$E$3,22))),0))-IF($G$2,0,IF((AA$6-$G$3)&lt;1,0,IFERROR(LOOKUP(2,1/('Feijão 2ª safra'!$E79:INDEX('Feijão 2ª safra'!$E79:$Z79,MIN(AA$6-$G$3,22))&lt;&gt;""),'Feijão 2ª safra'!$E79:INDEX('Feijão 2ª safra'!$E79:$Z79,MIN(AA$6-$G$3,22))),0)))))</f>
        <v>0</v>
      </c>
      <c r="AB81" s="27" t="n">
        <f aca="false">IF(COUNT('Feijão 2ª safra'!$E79:$Z79)=0,0,MAX(0,IF((AB$6-$E$3)&lt;1,0,IFERROR(LOOKUP(2,1/('Feijão 2ª safra'!$E79:INDEX('Feijão 2ª safra'!$E79:$Z79,MIN(AB$6-$E$3,22))&lt;&gt;""),'Feijão 2ª safra'!$E79:INDEX('Feijão 2ª safra'!$E79:$Z79,MIN(AB$6-$E$3,22))),0))-IF($G$2,0,IF((AB$6-$G$3)&lt;1,0,IFERROR(LOOKUP(2,1/('Feijão 2ª safra'!$E79:INDEX('Feijão 2ª safra'!$E79:$Z79,MIN(AB$6-$G$3,22))&lt;&gt;""),'Feijão 2ª safra'!$E79:INDEX('Feijão 2ª safra'!$E79:$Z79,MIN(AB$6-$G$3,22))),0)))))</f>
        <v>0</v>
      </c>
      <c r="AC81" s="27" t="n">
        <f aca="false">IF(COUNT('Feijão 2ª safra'!$E79:$Z79)=0,0,MAX(0,IF((AC$6-$E$3)&lt;1,0,IFERROR(LOOKUP(2,1/('Feijão 2ª safra'!$E79:INDEX('Feijão 2ª safra'!$E79:$Z79,MIN(AC$6-$E$3,22))&lt;&gt;""),'Feijão 2ª safra'!$E79:INDEX('Feijão 2ª safra'!$E79:$Z79,MIN(AC$6-$E$3,22))),0))-IF($G$2,0,IF((AC$6-$G$3)&lt;1,0,IFERROR(LOOKUP(2,1/('Feijão 2ª safra'!$E79:INDEX('Feijão 2ª safra'!$E79:$Z79,MIN(AC$6-$G$3,22))&lt;&gt;""),'Feijão 2ª safra'!$E79:INDEX('Feijão 2ª safra'!$E79:$Z79,MIN(AC$6-$G$3,22))),0)))))</f>
        <v>0</v>
      </c>
      <c r="AD81" s="27" t="n">
        <f aca="false">IF(COUNT('Feijão 2ª safra'!$E79:$Z79)=0,0,MAX(0,IF((AD$6-$E$3)&lt;1,0,IFERROR(LOOKUP(2,1/('Feijão 2ª safra'!$E79:INDEX('Feijão 2ª safra'!$E79:$Z79,MIN(AD$6-$E$3,22))&lt;&gt;""),'Feijão 2ª safra'!$E79:INDEX('Feijão 2ª safra'!$E79:$Z79,MIN(AD$6-$E$3,22))),0))-IF($G$2,0,IF((AD$6-$G$3)&lt;1,0,IFERROR(LOOKUP(2,1/('Feijão 2ª safra'!$E79:INDEX('Feijão 2ª safra'!$E79:$Z79,MIN(AD$6-$G$3,22))&lt;&gt;""),'Feijão 2ª safra'!$E79:INDEX('Feijão 2ª safra'!$E79:$Z79,MIN(AD$6-$G$3,22))),0)))))</f>
        <v>0</v>
      </c>
      <c r="AE81" s="27" t="n">
        <f aca="false">IF(COUNT('Feijão 2ª safra'!$E79:$Z79)=0,0,MAX(0,IF((AE$6-$E$3)&lt;1,0,IFERROR(LOOKUP(2,1/('Feijão 2ª safra'!$E79:INDEX('Feijão 2ª safra'!$E79:$Z79,MIN(AE$6-$E$3,22))&lt;&gt;""),'Feijão 2ª safra'!$E79:INDEX('Feijão 2ª safra'!$E79:$Z79,MIN(AE$6-$E$3,22))),0))-IF($G$2,0,IF((AE$6-$G$3)&lt;1,0,IFERROR(LOOKUP(2,1/('Feijão 2ª safra'!$E79:INDEX('Feijão 2ª safra'!$E79:$Z79,MIN(AE$6-$G$3,22))&lt;&gt;""),'Feijão 2ª safra'!$E79:INDEX('Feijão 2ª safra'!$E79:$Z79,MIN(AE$6-$G$3,22))),0)))))</f>
        <v>0</v>
      </c>
      <c r="AF81" s="27" t="n">
        <f aca="false">IF(COUNT('Feijão 2ª safra'!$E79:$Z79)=0,0,MAX(0,IF((AF$6-$E$3)&lt;1,0,IFERROR(LOOKUP(2,1/('Feijão 2ª safra'!$E79:INDEX('Feijão 2ª safra'!$E79:$Z79,MIN(AF$6-$E$3,22))&lt;&gt;""),'Feijão 2ª safra'!$E79:INDEX('Feijão 2ª safra'!$E79:$Z79,MIN(AF$6-$E$3,22))),0))-IF($G$2,0,IF((AF$6-$G$3)&lt;1,0,IFERROR(LOOKUP(2,1/('Feijão 2ª safra'!$E79:INDEX('Feijão 2ª safra'!$E79:$Z79,MIN(AF$6-$G$3,22))&lt;&gt;""),'Feijão 2ª safra'!$E79:INDEX('Feijão 2ª safra'!$E79:$Z79,MIN(AF$6-$G$3,22))),0)))))</f>
        <v>0</v>
      </c>
      <c r="AG81" s="27" t="n">
        <f aca="false">IF(COUNT('Feijão 2ª safra'!$E79:$Z79)=0,0,MAX(0,IF((AG$6-$E$3)&lt;1,0,IFERROR(LOOKUP(2,1/('Feijão 2ª safra'!$E79:INDEX('Feijão 2ª safra'!$E79:$Z79,MIN(AG$6-$E$3,22))&lt;&gt;""),'Feijão 2ª safra'!$E79:INDEX('Feijão 2ª safra'!$E79:$Z79,MIN(AG$6-$E$3,22))),0))-IF($G$2,0,IF((AG$6-$G$3)&lt;1,0,IFERROR(LOOKUP(2,1/('Feijão 2ª safra'!$E79:INDEX('Feijão 2ª safra'!$E79:$Z79,MIN(AG$6-$G$3,22))&lt;&gt;""),'Feijão 2ª safra'!$E79:INDEX('Feijão 2ª safra'!$E79:$Z79,MIN(AG$6-$G$3,22))),0)))))</f>
        <v>0</v>
      </c>
      <c r="AH81" s="27" t="n">
        <f aca="false">IF(COUNT('Feijão 2ª safra'!$E79:$Z79)=0,0,MAX(0,IF((AH$6-$E$3)&lt;1,0,IFERROR(LOOKUP(2,1/('Feijão 2ª safra'!$E79:INDEX('Feijão 2ª safra'!$E79:$Z79,MIN(AH$6-$E$3,22))&lt;&gt;""),'Feijão 2ª safra'!$E79:INDEX('Feijão 2ª safra'!$E79:$Z79,MIN(AH$6-$E$3,22))),0))-IF($G$2,0,IF((AH$6-$G$3)&lt;1,0,IFERROR(LOOKUP(2,1/('Feijão 2ª safra'!$E79:INDEX('Feijão 2ª safra'!$E79:$Z79,MIN(AH$6-$G$3,22))&lt;&gt;""),'Feijão 2ª safra'!$E79:INDEX('Feijão 2ª safra'!$E79:$Z79,MIN(AH$6-$G$3,22))),0)))))</f>
        <v>0</v>
      </c>
      <c r="AI81" s="27" t="n">
        <f aca="false">IF(COUNT('Feijão 2ª safra'!$E79:$Z79)=0,0,MAX(0,IF((AI$6-$E$3)&lt;1,0,IFERROR(LOOKUP(2,1/('Feijão 2ª safra'!$E79:INDEX('Feijão 2ª safra'!$E79:$Z79,MIN(AI$6-$E$3,22))&lt;&gt;""),'Feijão 2ª safra'!$E79:INDEX('Feijão 2ª safra'!$E79:$Z79,MIN(AI$6-$E$3,22))),0))-IF($G$2,0,IF((AI$6-$G$3)&lt;1,0,IFERROR(LOOKUP(2,1/('Feijão 2ª safra'!$E79:INDEX('Feijão 2ª safra'!$E79:$Z79,MIN(AI$6-$G$3,22))&lt;&gt;""),'Feijão 2ª safra'!$E79:INDEX('Feijão 2ª safra'!$E79:$Z79,MIN(AI$6-$G$3,22))),0)))))</f>
        <v>0</v>
      </c>
      <c r="AJ81" s="27" t="n">
        <f aca="false">IF(COUNT('Feijão 2ª safra'!$E79:$Z79)=0,0,MAX(0,IF((AJ$6-$E$3)&lt;1,0,IFERROR(LOOKUP(2,1/('Feijão 2ª safra'!$E79:INDEX('Feijão 2ª safra'!$E79:$Z79,MIN(AJ$6-$E$3,22))&lt;&gt;""),'Feijão 2ª safra'!$E79:INDEX('Feijão 2ª safra'!$E79:$Z79,MIN(AJ$6-$E$3,22))),0))-IF($G$2,0,IF((AJ$6-$G$3)&lt;1,0,IFERROR(LOOKUP(2,1/('Feijão 2ª safra'!$E79:INDEX('Feijão 2ª safra'!$E79:$Z79,MIN(AJ$6-$G$3,22))&lt;&gt;""),'Feijão 2ª safra'!$E79:INDEX('Feijão 2ª safra'!$E79:$Z79,MIN(AJ$6-$G$3,22))),0)))))</f>
        <v>0</v>
      </c>
      <c r="AK81" s="27" t="n">
        <f aca="false">IF(COUNT('Feijão 2ª safra'!$E79:$Z79)=0,0,MAX(0,IF((AK$6-$E$3)&lt;1,0,IFERROR(LOOKUP(2,1/('Feijão 2ª safra'!$E79:INDEX('Feijão 2ª safra'!$E79:$Z79,MIN(AK$6-$E$3,22))&lt;&gt;""),'Feijão 2ª safra'!$E79:INDEX('Feijão 2ª safra'!$E79:$Z79,MIN(AK$6-$E$3,22))),0))-IF($G$2,0,IF((AK$6-$G$3)&lt;1,0,IFERROR(LOOKUP(2,1/('Feijão 2ª safra'!$E79:INDEX('Feijão 2ª safra'!$E79:$Z79,MIN(AK$6-$G$3,22))&lt;&gt;""),'Feijão 2ª safra'!$E79:INDEX('Feijão 2ª safra'!$E79:$Z79,MIN(AK$6-$G$3,22))),0)))))</f>
        <v>0</v>
      </c>
      <c r="AL81" s="27" t="n">
        <f aca="false">IF(COUNT('Feijão 2ª safra'!$E79:$Z79)=0,0,MAX(0,IF((AL$6-$E$3)&lt;1,0,IFERROR(LOOKUP(2,1/('Feijão 2ª safra'!$E79:INDEX('Feijão 2ª safra'!$E79:$Z79,MIN(AL$6-$E$3,22))&lt;&gt;""),'Feijão 2ª safra'!$E79:INDEX('Feijão 2ª safra'!$E79:$Z79,MIN(AL$6-$E$3,22))),0))-IF($G$2,0,IF((AL$6-$G$3)&lt;1,0,IFERROR(LOOKUP(2,1/('Feijão 2ª safra'!$E79:INDEX('Feijão 2ª safra'!$E79:$Z79,MIN(AL$6-$G$3,22))&lt;&gt;""),'Feijão 2ª safra'!$E79:INDEX('Feijão 2ª safra'!$E79:$Z79,MIN(AL$6-$G$3,22))),0)))))</f>
        <v>0</v>
      </c>
      <c r="AM81" s="27" t="n">
        <f aca="false">IF(COUNT('Feijão 2ª safra'!$E79:$Z79)=0,0,MAX(0,IF((AM$6-$E$3)&lt;1,0,IFERROR(LOOKUP(2,1/('Feijão 2ª safra'!$E79:INDEX('Feijão 2ª safra'!$E79:$Z79,MIN(AM$6-$E$3,22))&lt;&gt;""),'Feijão 2ª safra'!$E79:INDEX('Feijão 2ª safra'!$E79:$Z79,MIN(AM$6-$E$3,22))),0))-IF($G$2,0,IF((AM$6-$G$3)&lt;1,0,IFERROR(LOOKUP(2,1/('Feijão 2ª safra'!$E79:INDEX('Feijão 2ª safra'!$E79:$Z79,MIN(AM$6-$G$3,22))&lt;&gt;""),'Feijão 2ª safra'!$E79:INDEX('Feijão 2ª safra'!$E79:$Z79,MIN(AM$6-$G$3,22))),0)))))</f>
        <v>0</v>
      </c>
      <c r="AN81" s="27" t="n">
        <f aca="false">IF(COUNT('Feijão 2ª safra'!$E79:$Z79)=0,0,MAX(0,IF((AN$6-$E$3)&lt;1,0,IFERROR(LOOKUP(2,1/('Feijão 2ª safra'!$E79:INDEX('Feijão 2ª safra'!$E79:$Z79,MIN(AN$6-$E$3,22))&lt;&gt;""),'Feijão 2ª safra'!$E79:INDEX('Feijão 2ª safra'!$E79:$Z79,MIN(AN$6-$E$3,22))),0))-IF($G$2,0,IF((AN$6-$G$3)&lt;1,0,IFERROR(LOOKUP(2,1/('Feijão 2ª safra'!$E79:INDEX('Feijão 2ª safra'!$E79:$Z79,MIN(AN$6-$G$3,22))&lt;&gt;""),'Feijão 2ª safra'!$E79:INDEX('Feijão 2ª safra'!$E79:$Z79,MIN(AN$6-$G$3,22))),0)))))</f>
        <v>0</v>
      </c>
      <c r="AO81" s="27" t="n">
        <f aca="false">IF(COUNT('Feijão 2ª safra'!$E79:$Z79)=0,0,MAX(0,IF((AO$6-$E$3)&lt;1,0,IFERROR(LOOKUP(2,1/('Feijão 2ª safra'!$E79:INDEX('Feijão 2ª safra'!$E79:$Z79,MIN(AO$6-$E$3,22))&lt;&gt;""),'Feijão 2ª safra'!$E79:INDEX('Feijão 2ª safra'!$E79:$Z79,MIN(AO$6-$E$3,22))),0))-IF($G$2,0,IF((AO$6-$G$3)&lt;1,0,IFERROR(LOOKUP(2,1/('Feijão 2ª safra'!$E79:INDEX('Feijão 2ª safra'!$E79:$Z79,MIN(AO$6-$G$3,22))&lt;&gt;""),'Feijão 2ª safra'!$E79:INDEX('Feijão 2ª safra'!$E79:$Z79,MIN(AO$6-$G$3,22))),0)))))</f>
        <v>0</v>
      </c>
      <c r="AP81" s="27" t="n">
        <f aca="false">IF(COUNT('Feijão 2ª safra'!$E79:$Z79)=0,0,MAX(0,IF((AP$6-$E$3)&lt;1,0,IFERROR(LOOKUP(2,1/('Feijão 2ª safra'!$E79:INDEX('Feijão 2ª safra'!$E79:$Z79,MIN(AP$6-$E$3,22))&lt;&gt;""),'Feijão 2ª safra'!$E79:INDEX('Feijão 2ª safra'!$E79:$Z79,MIN(AP$6-$E$3,22))),0))-IF($G$2,0,IF((AP$6-$G$3)&lt;1,0,IFERROR(LOOKUP(2,1/('Feijão 2ª safra'!$E79:INDEX('Feijão 2ª safra'!$E79:$Z79,MIN(AP$6-$G$3,22))&lt;&gt;""),'Feijão 2ª safra'!$E79:INDEX('Feijão 2ª safra'!$E79:$Z79,MIN(AP$6-$G$3,22))),0)))))</f>
        <v>0</v>
      </c>
      <c r="AQ81" s="27" t="n">
        <f aca="false">IF(COUNT('Feijão 2ª safra'!$E79:$Z79)=0,0,MAX(0,IF((AQ$6-$E$3)&lt;1,0,IFERROR(LOOKUP(2,1/('Feijão 2ª safra'!$E79:INDEX('Feijão 2ª safra'!$E79:$Z79,MIN(AQ$6-$E$3,22))&lt;&gt;""),'Feijão 2ª safra'!$E79:INDEX('Feijão 2ª safra'!$E79:$Z79,MIN(AQ$6-$E$3,22))),0))-IF($G$2,0,IF((AQ$6-$G$3)&lt;1,0,IFERROR(LOOKUP(2,1/('Feijão 2ª safra'!$E79:INDEX('Feijão 2ª safra'!$E79:$Z79,MIN(AQ$6-$G$3,22))&lt;&gt;""),'Feijão 2ª safra'!$E79:INDEX('Feijão 2ª safra'!$E79:$Z79,MIN(AQ$6-$G$3,22))),0)))))</f>
        <v>0</v>
      </c>
      <c r="AR81" s="27" t="n">
        <f aca="false">IF(COUNT('Feijão 2ª safra'!$E79:$Z79)=0,0,MAX(0,IF((AR$6-$E$3)&lt;1,0,IFERROR(LOOKUP(2,1/('Feijão 2ª safra'!$E79:INDEX('Feijão 2ª safra'!$E79:$Z79,MIN(AR$6-$E$3,22))&lt;&gt;""),'Feijão 2ª safra'!$E79:INDEX('Feijão 2ª safra'!$E79:$Z79,MIN(AR$6-$E$3,22))),0))-IF($G$2,0,IF((AR$6-$G$3)&lt;1,0,IFERROR(LOOKUP(2,1/('Feijão 2ª safra'!$E79:INDEX('Feijão 2ª safra'!$E79:$Z79,MIN(AR$6-$G$3,22))&lt;&gt;""),'Feijão 2ª safra'!$E79:INDEX('Feijão 2ª safra'!$E79:$Z79,MIN(AR$6-$G$3,22))),0)))))</f>
        <v>0</v>
      </c>
      <c r="AS81" s="27" t="n">
        <f aca="false">IF(COUNT('Feijão 2ª safra'!$E79:$Z79)=0,0,MAX(0,IF((AS$6-$E$3)&lt;1,0,IFERROR(LOOKUP(2,1/('Feijão 2ª safra'!$E79:INDEX('Feijão 2ª safra'!$E79:$Z79,MIN(AS$6-$E$3,22))&lt;&gt;""),'Feijão 2ª safra'!$E79:INDEX('Feijão 2ª safra'!$E79:$Z79,MIN(AS$6-$E$3,22))),0))-IF($G$2,0,IF((AS$6-$G$3)&lt;1,0,IFERROR(LOOKUP(2,1/('Feijão 2ª safra'!$E79:INDEX('Feijão 2ª safra'!$E79:$Z79,MIN(AS$6-$G$3,22))&lt;&gt;""),'Feijão 2ª safra'!$E79:INDEX('Feijão 2ª safra'!$E79:$Z79,MIN(AS$6-$G$3,22))),0)))))</f>
        <v>0</v>
      </c>
      <c r="AT81" s="27" t="n">
        <f aca="false">IF(COUNT('Feijão 2ª safra'!$E79:$Z79)=0,0,MAX(0,IF((AT$6-$E$3)&lt;1,0,IFERROR(LOOKUP(2,1/('Feijão 2ª safra'!$E79:INDEX('Feijão 2ª safra'!$E79:$Z79,MIN(AT$6-$E$3,22))&lt;&gt;""),'Feijão 2ª safra'!$E79:INDEX('Feijão 2ª safra'!$E79:$Z79,MIN(AT$6-$E$3,22))),0))-IF($G$2,0,IF((AT$6-$G$3)&lt;1,0,IFERROR(LOOKUP(2,1/('Feijão 2ª safra'!$E79:INDEX('Feijão 2ª safra'!$E79:$Z79,MIN(AT$6-$G$3,22))&lt;&gt;""),'Feijão 2ª safra'!$E79:INDEX('Feijão 2ª safra'!$E79:$Z79,MIN(AT$6-$G$3,22))),0)))))</f>
        <v>0</v>
      </c>
      <c r="AU81" s="27" t="n">
        <f aca="false">IF(COUNT('Feijão 2ª safra'!$E79:$Z79)=0,0,MAX(0,IF((AU$6-$E$3)&lt;1,0,IFERROR(LOOKUP(2,1/('Feijão 2ª safra'!$E79:INDEX('Feijão 2ª safra'!$E79:$Z79,MIN(AU$6-$E$3,22))&lt;&gt;""),'Feijão 2ª safra'!$E79:INDEX('Feijão 2ª safra'!$E79:$Z79,MIN(AU$6-$E$3,22))),0))-IF($G$2,0,IF((AU$6-$G$3)&lt;1,0,IFERROR(LOOKUP(2,1/('Feijão 2ª safra'!$E79:INDEX('Feijão 2ª safra'!$E79:$Z79,MIN(AU$6-$G$3,22))&lt;&gt;""),'Feijão 2ª safra'!$E79:INDEX('Feijão 2ª safra'!$E79:$Z79,MIN(AU$6-$G$3,22))),0)))))</f>
        <v>0</v>
      </c>
      <c r="AV81" s="27" t="n">
        <f aca="false">IF(COUNT('Feijão 2ª safra'!$E79:$Z79)=0,0,MAX(0,IF((AV$6-$E$3)&lt;1,0,IFERROR(LOOKUP(2,1/('Feijão 2ª safra'!$E79:INDEX('Feijão 2ª safra'!$E79:$Z79,MIN(AV$6-$E$3,22))&lt;&gt;""),'Feijão 2ª safra'!$E79:INDEX('Feijão 2ª safra'!$E79:$Z79,MIN(AV$6-$E$3,22))),0))-IF($G$2,0,IF((AV$6-$G$3)&lt;1,0,IFERROR(LOOKUP(2,1/('Feijão 2ª safra'!$E79:INDEX('Feijão 2ª safra'!$E79:$Z79,MIN(AV$6-$G$3,22))&lt;&gt;""),'Feijão 2ª safra'!$E79:INDEX('Feijão 2ª safra'!$E79:$Z79,MIN(AV$6-$G$3,22))),0)))))</f>
        <v>0</v>
      </c>
      <c r="AW81" s="27" t="n">
        <f aca="false">IF(COUNT('Feijão 2ª safra'!$E79:$Z79)=0,0,MAX(0,IF((AW$6-$E$3)&lt;1,0,IFERROR(LOOKUP(2,1/('Feijão 2ª safra'!$E79:INDEX('Feijão 2ª safra'!$E79:$Z79,MIN(AW$6-$E$3,22))&lt;&gt;""),'Feijão 2ª safra'!$E79:INDEX('Feijão 2ª safra'!$E79:$Z79,MIN(AW$6-$E$3,22))),0))-IF($G$2,0,IF((AW$6-$G$3)&lt;1,0,IFERROR(LOOKUP(2,1/('Feijão 2ª safra'!$E79:INDEX('Feijão 2ª safra'!$E79:$Z79,MIN(AW$6-$G$3,22))&lt;&gt;""),'Feijão 2ª safra'!$E79:INDEX('Feijão 2ª safra'!$E79:$Z79,MIN(AW$6-$G$3,22))),0)))))</f>
        <v>0</v>
      </c>
      <c r="AX81" s="27" t="n">
        <f aca="false">IF(COUNT('Feijão 2ª safra'!$E79:$Z79)=0,0,MAX(0,IF((AX$6-$E$3)&lt;1,0,IFERROR(LOOKUP(2,1/('Feijão 2ª safra'!$E79:INDEX('Feijão 2ª safra'!$E79:$Z79,MIN(AX$6-$E$3,22))&lt;&gt;""),'Feijão 2ª safra'!$E79:INDEX('Feijão 2ª safra'!$E79:$Z79,MIN(AX$6-$E$3,22))),0))-IF($G$2,0,IF((AX$6-$G$3)&lt;1,0,IFERROR(LOOKUP(2,1/('Feijão 2ª safra'!$E79:INDEX('Feijão 2ª safra'!$E79:$Z79,MIN(AX$6-$G$3,22))&lt;&gt;""),'Feijão 2ª safra'!$E79:INDEX('Feijão 2ª safra'!$E79:$Z79,MIN(AX$6-$G$3,22))),0)))))</f>
        <v>0</v>
      </c>
      <c r="AY81" s="27" t="n">
        <f aca="false">IF(COUNT('Feijão 2ª safra'!$E79:$Z79)=0,0,MAX(0,IF((AY$6-$E$3)&lt;1,0,IFERROR(LOOKUP(2,1/('Feijão 2ª safra'!$E79:INDEX('Feijão 2ª safra'!$E79:$Z79,MIN(AY$6-$E$3,22))&lt;&gt;""),'Feijão 2ª safra'!$E79:INDEX('Feijão 2ª safra'!$E79:$Z79,MIN(AY$6-$E$3,22))),0))-IF($G$2,0,IF((AY$6-$G$3)&lt;1,0,IFERROR(LOOKUP(2,1/('Feijão 2ª safra'!$E79:INDEX('Feijão 2ª safra'!$E79:$Z79,MIN(AY$6-$G$3,22))&lt;&gt;""),'Feijão 2ª safra'!$E79:INDEX('Feijão 2ª safra'!$E79:$Z79,MIN(AY$6-$G$3,22))),0)))))</f>
        <v>0</v>
      </c>
      <c r="AZ81" s="27" t="n">
        <f aca="false">IF(COUNT('Feijão 2ª safra'!$E79:$Z79)=0,0,MAX(0,IF((AZ$6-$E$3)&lt;1,0,IFERROR(LOOKUP(2,1/('Feijão 2ª safra'!$E79:INDEX('Feijão 2ª safra'!$E79:$Z79,MIN(AZ$6-$E$3,22))&lt;&gt;""),'Feijão 2ª safra'!$E79:INDEX('Feijão 2ª safra'!$E79:$Z79,MIN(AZ$6-$E$3,22))),0))-IF($G$2,0,IF((AZ$6-$G$3)&lt;1,0,IFERROR(LOOKUP(2,1/('Feijão 2ª safra'!$E79:INDEX('Feijão 2ª safra'!$E79:$Z79,MIN(AZ$6-$G$3,22))&lt;&gt;""),'Feijão 2ª safra'!$E79:INDEX('Feijão 2ª safra'!$E79:$Z79,MIN(AZ$6-$G$3,22))),0)))))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IF(COUNT('Feijão 2ª safra'!$E80:$Z80)&gt;0,N('Feijão 2ª safra'!$D80),0)</f>
        <v>0</v>
      </c>
      <c r="E82" s="27" t="n">
        <f aca="false">IF(COUNT('Feijão 2ª safra'!$E80:$Z80)=0,0,MAX(0,IF((E$6-$E$3)&lt;1,0,IFERROR(LOOKUP(2,1/('Feijão 2ª safra'!$E80:INDEX('Feijão 2ª safra'!$E80:$Z80,MIN(E$6-$E$3,22))&lt;&gt;""),'Feijão 2ª safra'!$E80:INDEX('Feijão 2ª safra'!$E80:$Z80,MIN(E$6-$E$3,22))),0))-IF($G$2,0,IF((E$6-$G$3)&lt;1,0,IFERROR(LOOKUP(2,1/('Feijão 2ª safra'!$E80:INDEX('Feijão 2ª safra'!$E80:$Z80,MIN(E$6-$G$3,22))&lt;&gt;""),'Feijão 2ª safra'!$E80:INDEX('Feijão 2ª safra'!$E80:$Z80,MIN(E$6-$G$3,22))),0)))))</f>
        <v>0</v>
      </c>
      <c r="F82" s="27" t="n">
        <f aca="false">IF(COUNT('Feijão 2ª safra'!$E80:$Z80)=0,0,MAX(0,IF((F$6-$E$3)&lt;1,0,IFERROR(LOOKUP(2,1/('Feijão 2ª safra'!$E80:INDEX('Feijão 2ª safra'!$E80:$Z80,MIN(F$6-$E$3,22))&lt;&gt;""),'Feijão 2ª safra'!$E80:INDEX('Feijão 2ª safra'!$E80:$Z80,MIN(F$6-$E$3,22))),0))-IF($G$2,0,IF((F$6-$G$3)&lt;1,0,IFERROR(LOOKUP(2,1/('Feijão 2ª safra'!$E80:INDEX('Feijão 2ª safra'!$E80:$Z80,MIN(F$6-$G$3,22))&lt;&gt;""),'Feijão 2ª safra'!$E80:INDEX('Feijão 2ª safra'!$E80:$Z80,MIN(F$6-$G$3,22))),0)))))</f>
        <v>0</v>
      </c>
      <c r="G82" s="27" t="n">
        <f aca="false">IF(COUNT('Feijão 2ª safra'!$E80:$Z80)=0,0,MAX(0,IF((G$6-$E$3)&lt;1,0,IFERROR(LOOKUP(2,1/('Feijão 2ª safra'!$E80:INDEX('Feijão 2ª safra'!$E80:$Z80,MIN(G$6-$E$3,22))&lt;&gt;""),'Feijão 2ª safra'!$E80:INDEX('Feijão 2ª safra'!$E80:$Z80,MIN(G$6-$E$3,22))),0))-IF($G$2,0,IF((G$6-$G$3)&lt;1,0,IFERROR(LOOKUP(2,1/('Feijão 2ª safra'!$E80:INDEX('Feijão 2ª safra'!$E80:$Z80,MIN(G$6-$G$3,22))&lt;&gt;""),'Feijão 2ª safra'!$E80:INDEX('Feijão 2ª safra'!$E80:$Z80,MIN(G$6-$G$3,22))),0)))))</f>
        <v>0</v>
      </c>
      <c r="H82" s="27" t="n">
        <f aca="false">IF(COUNT('Feijão 2ª safra'!$E80:$Z80)=0,0,MAX(0,IF((H$6-$E$3)&lt;1,0,IFERROR(LOOKUP(2,1/('Feijão 2ª safra'!$E80:INDEX('Feijão 2ª safra'!$E80:$Z80,MIN(H$6-$E$3,22))&lt;&gt;""),'Feijão 2ª safra'!$E80:INDEX('Feijão 2ª safra'!$E80:$Z80,MIN(H$6-$E$3,22))),0))-IF($G$2,0,IF((H$6-$G$3)&lt;1,0,IFERROR(LOOKUP(2,1/('Feijão 2ª safra'!$E80:INDEX('Feijão 2ª safra'!$E80:$Z80,MIN(H$6-$G$3,22))&lt;&gt;""),'Feijão 2ª safra'!$E80:INDEX('Feijão 2ª safra'!$E80:$Z80,MIN(H$6-$G$3,22))),0)))))</f>
        <v>0</v>
      </c>
      <c r="I82" s="27" t="n">
        <f aca="false">IF(COUNT('Feijão 2ª safra'!$E80:$Z80)=0,0,MAX(0,IF((I$6-$E$3)&lt;1,0,IFERROR(LOOKUP(2,1/('Feijão 2ª safra'!$E80:INDEX('Feijão 2ª safra'!$E80:$Z80,MIN(I$6-$E$3,22))&lt;&gt;""),'Feijão 2ª safra'!$E80:INDEX('Feijão 2ª safra'!$E80:$Z80,MIN(I$6-$E$3,22))),0))-IF($G$2,0,IF((I$6-$G$3)&lt;1,0,IFERROR(LOOKUP(2,1/('Feijão 2ª safra'!$E80:INDEX('Feijão 2ª safra'!$E80:$Z80,MIN(I$6-$G$3,22))&lt;&gt;""),'Feijão 2ª safra'!$E80:INDEX('Feijão 2ª safra'!$E80:$Z80,MIN(I$6-$G$3,22))),0)))))</f>
        <v>0</v>
      </c>
      <c r="J82" s="27" t="n">
        <f aca="false">IF(COUNT('Feijão 2ª safra'!$E80:$Z80)=0,0,MAX(0,IF((J$6-$E$3)&lt;1,0,IFERROR(LOOKUP(2,1/('Feijão 2ª safra'!$E80:INDEX('Feijão 2ª safra'!$E80:$Z80,MIN(J$6-$E$3,22))&lt;&gt;""),'Feijão 2ª safra'!$E80:INDEX('Feijão 2ª safra'!$E80:$Z80,MIN(J$6-$E$3,22))),0))-IF($G$2,0,IF((J$6-$G$3)&lt;1,0,IFERROR(LOOKUP(2,1/('Feijão 2ª safra'!$E80:INDEX('Feijão 2ª safra'!$E80:$Z80,MIN(J$6-$G$3,22))&lt;&gt;""),'Feijão 2ª safra'!$E80:INDEX('Feijão 2ª safra'!$E80:$Z80,MIN(J$6-$G$3,22))),0)))))</f>
        <v>0</v>
      </c>
      <c r="K82" s="27" t="n">
        <f aca="false">IF(COUNT('Feijão 2ª safra'!$E80:$Z80)=0,0,MAX(0,IF((K$6-$E$3)&lt;1,0,IFERROR(LOOKUP(2,1/('Feijão 2ª safra'!$E80:INDEX('Feijão 2ª safra'!$E80:$Z80,MIN(K$6-$E$3,22))&lt;&gt;""),'Feijão 2ª safra'!$E80:INDEX('Feijão 2ª safra'!$E80:$Z80,MIN(K$6-$E$3,22))),0))-IF($G$2,0,IF((K$6-$G$3)&lt;1,0,IFERROR(LOOKUP(2,1/('Feijão 2ª safra'!$E80:INDEX('Feijão 2ª safra'!$E80:$Z80,MIN(K$6-$G$3,22))&lt;&gt;""),'Feijão 2ª safra'!$E80:INDEX('Feijão 2ª safra'!$E80:$Z80,MIN(K$6-$G$3,22))),0)))))</f>
        <v>0</v>
      </c>
      <c r="L82" s="27" t="n">
        <f aca="false">IF(COUNT('Feijão 2ª safra'!$E80:$Z80)=0,0,MAX(0,IF((L$6-$E$3)&lt;1,0,IFERROR(LOOKUP(2,1/('Feijão 2ª safra'!$E80:INDEX('Feijão 2ª safra'!$E80:$Z80,MIN(L$6-$E$3,22))&lt;&gt;""),'Feijão 2ª safra'!$E80:INDEX('Feijão 2ª safra'!$E80:$Z80,MIN(L$6-$E$3,22))),0))-IF($G$2,0,IF((L$6-$G$3)&lt;1,0,IFERROR(LOOKUP(2,1/('Feijão 2ª safra'!$E80:INDEX('Feijão 2ª safra'!$E80:$Z80,MIN(L$6-$G$3,22))&lt;&gt;""),'Feijão 2ª safra'!$E80:INDEX('Feijão 2ª safra'!$E80:$Z80,MIN(L$6-$G$3,22))),0)))))</f>
        <v>0</v>
      </c>
      <c r="M82" s="27" t="n">
        <f aca="false">IF(COUNT('Feijão 2ª safra'!$E80:$Z80)=0,0,MAX(0,IF((M$6-$E$3)&lt;1,0,IFERROR(LOOKUP(2,1/('Feijão 2ª safra'!$E80:INDEX('Feijão 2ª safra'!$E80:$Z80,MIN(M$6-$E$3,22))&lt;&gt;""),'Feijão 2ª safra'!$E80:INDEX('Feijão 2ª safra'!$E80:$Z80,MIN(M$6-$E$3,22))),0))-IF($G$2,0,IF((M$6-$G$3)&lt;1,0,IFERROR(LOOKUP(2,1/('Feijão 2ª safra'!$E80:INDEX('Feijão 2ª safra'!$E80:$Z80,MIN(M$6-$G$3,22))&lt;&gt;""),'Feijão 2ª safra'!$E80:INDEX('Feijão 2ª safra'!$E80:$Z80,MIN(M$6-$G$3,22))),0)))))</f>
        <v>0</v>
      </c>
      <c r="N82" s="27" t="n">
        <f aca="false">IF(COUNT('Feijão 2ª safra'!$E80:$Z80)=0,0,MAX(0,IF((N$6-$E$3)&lt;1,0,IFERROR(LOOKUP(2,1/('Feijão 2ª safra'!$E80:INDEX('Feijão 2ª safra'!$E80:$Z80,MIN(N$6-$E$3,22))&lt;&gt;""),'Feijão 2ª safra'!$E80:INDEX('Feijão 2ª safra'!$E80:$Z80,MIN(N$6-$E$3,22))),0))-IF($G$2,0,IF((N$6-$G$3)&lt;1,0,IFERROR(LOOKUP(2,1/('Feijão 2ª safra'!$E80:INDEX('Feijão 2ª safra'!$E80:$Z80,MIN(N$6-$G$3,22))&lt;&gt;""),'Feijão 2ª safra'!$E80:INDEX('Feijão 2ª safra'!$E80:$Z80,MIN(N$6-$G$3,22))),0)))))</f>
        <v>0</v>
      </c>
      <c r="O82" s="27" t="n">
        <f aca="false">IF(COUNT('Feijão 2ª safra'!$E80:$Z80)=0,0,MAX(0,IF((O$6-$E$3)&lt;1,0,IFERROR(LOOKUP(2,1/('Feijão 2ª safra'!$E80:INDEX('Feijão 2ª safra'!$E80:$Z80,MIN(O$6-$E$3,22))&lt;&gt;""),'Feijão 2ª safra'!$E80:INDEX('Feijão 2ª safra'!$E80:$Z80,MIN(O$6-$E$3,22))),0))-IF($G$2,0,IF((O$6-$G$3)&lt;1,0,IFERROR(LOOKUP(2,1/('Feijão 2ª safra'!$E80:INDEX('Feijão 2ª safra'!$E80:$Z80,MIN(O$6-$G$3,22))&lt;&gt;""),'Feijão 2ª safra'!$E80:INDEX('Feijão 2ª safra'!$E80:$Z80,MIN(O$6-$G$3,22))),0)))))</f>
        <v>0</v>
      </c>
      <c r="P82" s="27" t="n">
        <f aca="false">IF(COUNT('Feijão 2ª safra'!$E80:$Z80)=0,0,MAX(0,IF((P$6-$E$3)&lt;1,0,IFERROR(LOOKUP(2,1/('Feijão 2ª safra'!$E80:INDEX('Feijão 2ª safra'!$E80:$Z80,MIN(P$6-$E$3,22))&lt;&gt;""),'Feijão 2ª safra'!$E80:INDEX('Feijão 2ª safra'!$E80:$Z80,MIN(P$6-$E$3,22))),0))-IF($G$2,0,IF((P$6-$G$3)&lt;1,0,IFERROR(LOOKUP(2,1/('Feijão 2ª safra'!$E80:INDEX('Feijão 2ª safra'!$E80:$Z80,MIN(P$6-$G$3,22))&lt;&gt;""),'Feijão 2ª safra'!$E80:INDEX('Feijão 2ª safra'!$E80:$Z80,MIN(P$6-$G$3,22))),0)))))</f>
        <v>0</v>
      </c>
      <c r="Q82" s="27" t="n">
        <f aca="false">IF(COUNT('Feijão 2ª safra'!$E80:$Z80)=0,0,MAX(0,IF((Q$6-$E$3)&lt;1,0,IFERROR(LOOKUP(2,1/('Feijão 2ª safra'!$E80:INDEX('Feijão 2ª safra'!$E80:$Z80,MIN(Q$6-$E$3,22))&lt;&gt;""),'Feijão 2ª safra'!$E80:INDEX('Feijão 2ª safra'!$E80:$Z80,MIN(Q$6-$E$3,22))),0))-IF($G$2,0,IF((Q$6-$G$3)&lt;1,0,IFERROR(LOOKUP(2,1/('Feijão 2ª safra'!$E80:INDEX('Feijão 2ª safra'!$E80:$Z80,MIN(Q$6-$G$3,22))&lt;&gt;""),'Feijão 2ª safra'!$E80:INDEX('Feijão 2ª safra'!$E80:$Z80,MIN(Q$6-$G$3,22))),0)))))</f>
        <v>0</v>
      </c>
      <c r="R82" s="27" t="n">
        <f aca="false">IF(COUNT('Feijão 2ª safra'!$E80:$Z80)=0,0,MAX(0,IF((R$6-$E$3)&lt;1,0,IFERROR(LOOKUP(2,1/('Feijão 2ª safra'!$E80:INDEX('Feijão 2ª safra'!$E80:$Z80,MIN(R$6-$E$3,22))&lt;&gt;""),'Feijão 2ª safra'!$E80:INDEX('Feijão 2ª safra'!$E80:$Z80,MIN(R$6-$E$3,22))),0))-IF($G$2,0,IF((R$6-$G$3)&lt;1,0,IFERROR(LOOKUP(2,1/('Feijão 2ª safra'!$E80:INDEX('Feijão 2ª safra'!$E80:$Z80,MIN(R$6-$G$3,22))&lt;&gt;""),'Feijão 2ª safra'!$E80:INDEX('Feijão 2ª safra'!$E80:$Z80,MIN(R$6-$G$3,22))),0)))))</f>
        <v>0</v>
      </c>
      <c r="S82" s="27" t="n">
        <f aca="false">IF(COUNT('Feijão 2ª safra'!$E80:$Z80)=0,0,MAX(0,IF((S$6-$E$3)&lt;1,0,IFERROR(LOOKUP(2,1/('Feijão 2ª safra'!$E80:INDEX('Feijão 2ª safra'!$E80:$Z80,MIN(S$6-$E$3,22))&lt;&gt;""),'Feijão 2ª safra'!$E80:INDEX('Feijão 2ª safra'!$E80:$Z80,MIN(S$6-$E$3,22))),0))-IF($G$2,0,IF((S$6-$G$3)&lt;1,0,IFERROR(LOOKUP(2,1/('Feijão 2ª safra'!$E80:INDEX('Feijão 2ª safra'!$E80:$Z80,MIN(S$6-$G$3,22))&lt;&gt;""),'Feijão 2ª safra'!$E80:INDEX('Feijão 2ª safra'!$E80:$Z80,MIN(S$6-$G$3,22))),0)))))</f>
        <v>0</v>
      </c>
      <c r="T82" s="27" t="n">
        <f aca="false">IF(COUNT('Feijão 2ª safra'!$E80:$Z80)=0,0,MAX(0,IF((T$6-$E$3)&lt;1,0,IFERROR(LOOKUP(2,1/('Feijão 2ª safra'!$E80:INDEX('Feijão 2ª safra'!$E80:$Z80,MIN(T$6-$E$3,22))&lt;&gt;""),'Feijão 2ª safra'!$E80:INDEX('Feijão 2ª safra'!$E80:$Z80,MIN(T$6-$E$3,22))),0))-IF($G$2,0,IF((T$6-$G$3)&lt;1,0,IFERROR(LOOKUP(2,1/('Feijão 2ª safra'!$E80:INDEX('Feijão 2ª safra'!$E80:$Z80,MIN(T$6-$G$3,22))&lt;&gt;""),'Feijão 2ª safra'!$E80:INDEX('Feijão 2ª safra'!$E80:$Z80,MIN(T$6-$G$3,22))),0)))))</f>
        <v>0</v>
      </c>
      <c r="U82" s="27" t="n">
        <f aca="false">IF(COUNT('Feijão 2ª safra'!$E80:$Z80)=0,0,MAX(0,IF((U$6-$E$3)&lt;1,0,IFERROR(LOOKUP(2,1/('Feijão 2ª safra'!$E80:INDEX('Feijão 2ª safra'!$E80:$Z80,MIN(U$6-$E$3,22))&lt;&gt;""),'Feijão 2ª safra'!$E80:INDEX('Feijão 2ª safra'!$E80:$Z80,MIN(U$6-$E$3,22))),0))-IF($G$2,0,IF((U$6-$G$3)&lt;1,0,IFERROR(LOOKUP(2,1/('Feijão 2ª safra'!$E80:INDEX('Feijão 2ª safra'!$E80:$Z80,MIN(U$6-$G$3,22))&lt;&gt;""),'Feijão 2ª safra'!$E80:INDEX('Feijão 2ª safra'!$E80:$Z80,MIN(U$6-$G$3,22))),0)))))</f>
        <v>0</v>
      </c>
      <c r="V82" s="27" t="n">
        <f aca="false">IF(COUNT('Feijão 2ª safra'!$E80:$Z80)=0,0,MAX(0,IF((V$6-$E$3)&lt;1,0,IFERROR(LOOKUP(2,1/('Feijão 2ª safra'!$E80:INDEX('Feijão 2ª safra'!$E80:$Z80,MIN(V$6-$E$3,22))&lt;&gt;""),'Feijão 2ª safra'!$E80:INDEX('Feijão 2ª safra'!$E80:$Z80,MIN(V$6-$E$3,22))),0))-IF($G$2,0,IF((V$6-$G$3)&lt;1,0,IFERROR(LOOKUP(2,1/('Feijão 2ª safra'!$E80:INDEX('Feijão 2ª safra'!$E80:$Z80,MIN(V$6-$G$3,22))&lt;&gt;""),'Feijão 2ª safra'!$E80:INDEX('Feijão 2ª safra'!$E80:$Z80,MIN(V$6-$G$3,22))),0)))))</f>
        <v>0</v>
      </c>
      <c r="W82" s="27" t="n">
        <f aca="false">IF(COUNT('Feijão 2ª safra'!$E80:$Z80)=0,0,MAX(0,IF((W$6-$E$3)&lt;1,0,IFERROR(LOOKUP(2,1/('Feijão 2ª safra'!$E80:INDEX('Feijão 2ª safra'!$E80:$Z80,MIN(W$6-$E$3,22))&lt;&gt;""),'Feijão 2ª safra'!$E80:INDEX('Feijão 2ª safra'!$E80:$Z80,MIN(W$6-$E$3,22))),0))-IF($G$2,0,IF((W$6-$G$3)&lt;1,0,IFERROR(LOOKUP(2,1/('Feijão 2ª safra'!$E80:INDEX('Feijão 2ª safra'!$E80:$Z80,MIN(W$6-$G$3,22))&lt;&gt;""),'Feijão 2ª safra'!$E80:INDEX('Feijão 2ª safra'!$E80:$Z80,MIN(W$6-$G$3,22))),0)))))</f>
        <v>0</v>
      </c>
      <c r="X82" s="27" t="n">
        <f aca="false">IF(COUNT('Feijão 2ª safra'!$E80:$Z80)=0,0,MAX(0,IF((X$6-$E$3)&lt;1,0,IFERROR(LOOKUP(2,1/('Feijão 2ª safra'!$E80:INDEX('Feijão 2ª safra'!$E80:$Z80,MIN(X$6-$E$3,22))&lt;&gt;""),'Feijão 2ª safra'!$E80:INDEX('Feijão 2ª safra'!$E80:$Z80,MIN(X$6-$E$3,22))),0))-IF($G$2,0,IF((X$6-$G$3)&lt;1,0,IFERROR(LOOKUP(2,1/('Feijão 2ª safra'!$E80:INDEX('Feijão 2ª safra'!$E80:$Z80,MIN(X$6-$G$3,22))&lt;&gt;""),'Feijão 2ª safra'!$E80:INDEX('Feijão 2ª safra'!$E80:$Z80,MIN(X$6-$G$3,22))),0)))))</f>
        <v>0</v>
      </c>
      <c r="Y82" s="27" t="n">
        <f aca="false">IF(COUNT('Feijão 2ª safra'!$E80:$Z80)=0,0,MAX(0,IF((Y$6-$E$3)&lt;1,0,IFERROR(LOOKUP(2,1/('Feijão 2ª safra'!$E80:INDEX('Feijão 2ª safra'!$E80:$Z80,MIN(Y$6-$E$3,22))&lt;&gt;""),'Feijão 2ª safra'!$E80:INDEX('Feijão 2ª safra'!$E80:$Z80,MIN(Y$6-$E$3,22))),0))-IF($G$2,0,IF((Y$6-$G$3)&lt;1,0,IFERROR(LOOKUP(2,1/('Feijão 2ª safra'!$E80:INDEX('Feijão 2ª safra'!$E80:$Z80,MIN(Y$6-$G$3,22))&lt;&gt;""),'Feijão 2ª safra'!$E80:INDEX('Feijão 2ª safra'!$E80:$Z80,MIN(Y$6-$G$3,22))),0)))))</f>
        <v>0</v>
      </c>
      <c r="Z82" s="27" t="n">
        <f aca="false">IF(COUNT('Feijão 2ª safra'!$E80:$Z80)=0,0,MAX(0,IF((Z$6-$E$3)&lt;1,0,IFERROR(LOOKUP(2,1/('Feijão 2ª safra'!$E80:INDEX('Feijão 2ª safra'!$E80:$Z80,MIN(Z$6-$E$3,22))&lt;&gt;""),'Feijão 2ª safra'!$E80:INDEX('Feijão 2ª safra'!$E80:$Z80,MIN(Z$6-$E$3,22))),0))-IF($G$2,0,IF((Z$6-$G$3)&lt;1,0,IFERROR(LOOKUP(2,1/('Feijão 2ª safra'!$E80:INDEX('Feijão 2ª safra'!$E80:$Z80,MIN(Z$6-$G$3,22))&lt;&gt;""),'Feijão 2ª safra'!$E80:INDEX('Feijão 2ª safra'!$E80:$Z80,MIN(Z$6-$G$3,22))),0)))))</f>
        <v>0</v>
      </c>
      <c r="AA82" s="27" t="n">
        <f aca="false">IF(COUNT('Feijão 2ª safra'!$E80:$Z80)=0,0,MAX(0,IF((AA$6-$E$3)&lt;1,0,IFERROR(LOOKUP(2,1/('Feijão 2ª safra'!$E80:INDEX('Feijão 2ª safra'!$E80:$Z80,MIN(AA$6-$E$3,22))&lt;&gt;""),'Feijão 2ª safra'!$E80:INDEX('Feijão 2ª safra'!$E80:$Z80,MIN(AA$6-$E$3,22))),0))-IF($G$2,0,IF((AA$6-$G$3)&lt;1,0,IFERROR(LOOKUP(2,1/('Feijão 2ª safra'!$E80:INDEX('Feijão 2ª safra'!$E80:$Z80,MIN(AA$6-$G$3,22))&lt;&gt;""),'Feijão 2ª safra'!$E80:INDEX('Feijão 2ª safra'!$E80:$Z80,MIN(AA$6-$G$3,22))),0)))))</f>
        <v>0</v>
      </c>
      <c r="AB82" s="27" t="n">
        <f aca="false">IF(COUNT('Feijão 2ª safra'!$E80:$Z80)=0,0,MAX(0,IF((AB$6-$E$3)&lt;1,0,IFERROR(LOOKUP(2,1/('Feijão 2ª safra'!$E80:INDEX('Feijão 2ª safra'!$E80:$Z80,MIN(AB$6-$E$3,22))&lt;&gt;""),'Feijão 2ª safra'!$E80:INDEX('Feijão 2ª safra'!$E80:$Z80,MIN(AB$6-$E$3,22))),0))-IF($G$2,0,IF((AB$6-$G$3)&lt;1,0,IFERROR(LOOKUP(2,1/('Feijão 2ª safra'!$E80:INDEX('Feijão 2ª safra'!$E80:$Z80,MIN(AB$6-$G$3,22))&lt;&gt;""),'Feijão 2ª safra'!$E80:INDEX('Feijão 2ª safra'!$E80:$Z80,MIN(AB$6-$G$3,22))),0)))))</f>
        <v>0</v>
      </c>
      <c r="AC82" s="27" t="n">
        <f aca="false">IF(COUNT('Feijão 2ª safra'!$E80:$Z80)=0,0,MAX(0,IF((AC$6-$E$3)&lt;1,0,IFERROR(LOOKUP(2,1/('Feijão 2ª safra'!$E80:INDEX('Feijão 2ª safra'!$E80:$Z80,MIN(AC$6-$E$3,22))&lt;&gt;""),'Feijão 2ª safra'!$E80:INDEX('Feijão 2ª safra'!$E80:$Z80,MIN(AC$6-$E$3,22))),0))-IF($G$2,0,IF((AC$6-$G$3)&lt;1,0,IFERROR(LOOKUP(2,1/('Feijão 2ª safra'!$E80:INDEX('Feijão 2ª safra'!$E80:$Z80,MIN(AC$6-$G$3,22))&lt;&gt;""),'Feijão 2ª safra'!$E80:INDEX('Feijão 2ª safra'!$E80:$Z80,MIN(AC$6-$G$3,22))),0)))))</f>
        <v>0</v>
      </c>
      <c r="AD82" s="27" t="n">
        <f aca="false">IF(COUNT('Feijão 2ª safra'!$E80:$Z80)=0,0,MAX(0,IF((AD$6-$E$3)&lt;1,0,IFERROR(LOOKUP(2,1/('Feijão 2ª safra'!$E80:INDEX('Feijão 2ª safra'!$E80:$Z80,MIN(AD$6-$E$3,22))&lt;&gt;""),'Feijão 2ª safra'!$E80:INDEX('Feijão 2ª safra'!$E80:$Z80,MIN(AD$6-$E$3,22))),0))-IF($G$2,0,IF((AD$6-$G$3)&lt;1,0,IFERROR(LOOKUP(2,1/('Feijão 2ª safra'!$E80:INDEX('Feijão 2ª safra'!$E80:$Z80,MIN(AD$6-$G$3,22))&lt;&gt;""),'Feijão 2ª safra'!$E80:INDEX('Feijão 2ª safra'!$E80:$Z80,MIN(AD$6-$G$3,22))),0)))))</f>
        <v>0</v>
      </c>
      <c r="AE82" s="27" t="n">
        <f aca="false">IF(COUNT('Feijão 2ª safra'!$E80:$Z80)=0,0,MAX(0,IF((AE$6-$E$3)&lt;1,0,IFERROR(LOOKUP(2,1/('Feijão 2ª safra'!$E80:INDEX('Feijão 2ª safra'!$E80:$Z80,MIN(AE$6-$E$3,22))&lt;&gt;""),'Feijão 2ª safra'!$E80:INDEX('Feijão 2ª safra'!$E80:$Z80,MIN(AE$6-$E$3,22))),0))-IF($G$2,0,IF((AE$6-$G$3)&lt;1,0,IFERROR(LOOKUP(2,1/('Feijão 2ª safra'!$E80:INDEX('Feijão 2ª safra'!$E80:$Z80,MIN(AE$6-$G$3,22))&lt;&gt;""),'Feijão 2ª safra'!$E80:INDEX('Feijão 2ª safra'!$E80:$Z80,MIN(AE$6-$G$3,22))),0)))))</f>
        <v>0</v>
      </c>
      <c r="AF82" s="27" t="n">
        <f aca="false">IF(COUNT('Feijão 2ª safra'!$E80:$Z80)=0,0,MAX(0,IF((AF$6-$E$3)&lt;1,0,IFERROR(LOOKUP(2,1/('Feijão 2ª safra'!$E80:INDEX('Feijão 2ª safra'!$E80:$Z80,MIN(AF$6-$E$3,22))&lt;&gt;""),'Feijão 2ª safra'!$E80:INDEX('Feijão 2ª safra'!$E80:$Z80,MIN(AF$6-$E$3,22))),0))-IF($G$2,0,IF((AF$6-$G$3)&lt;1,0,IFERROR(LOOKUP(2,1/('Feijão 2ª safra'!$E80:INDEX('Feijão 2ª safra'!$E80:$Z80,MIN(AF$6-$G$3,22))&lt;&gt;""),'Feijão 2ª safra'!$E80:INDEX('Feijão 2ª safra'!$E80:$Z80,MIN(AF$6-$G$3,22))),0)))))</f>
        <v>0</v>
      </c>
      <c r="AG82" s="27" t="n">
        <f aca="false">IF(COUNT('Feijão 2ª safra'!$E80:$Z80)=0,0,MAX(0,IF((AG$6-$E$3)&lt;1,0,IFERROR(LOOKUP(2,1/('Feijão 2ª safra'!$E80:INDEX('Feijão 2ª safra'!$E80:$Z80,MIN(AG$6-$E$3,22))&lt;&gt;""),'Feijão 2ª safra'!$E80:INDEX('Feijão 2ª safra'!$E80:$Z80,MIN(AG$6-$E$3,22))),0))-IF($G$2,0,IF((AG$6-$G$3)&lt;1,0,IFERROR(LOOKUP(2,1/('Feijão 2ª safra'!$E80:INDEX('Feijão 2ª safra'!$E80:$Z80,MIN(AG$6-$G$3,22))&lt;&gt;""),'Feijão 2ª safra'!$E80:INDEX('Feijão 2ª safra'!$E80:$Z80,MIN(AG$6-$G$3,22))),0)))))</f>
        <v>0</v>
      </c>
      <c r="AH82" s="27" t="n">
        <f aca="false">IF(COUNT('Feijão 2ª safra'!$E80:$Z80)=0,0,MAX(0,IF((AH$6-$E$3)&lt;1,0,IFERROR(LOOKUP(2,1/('Feijão 2ª safra'!$E80:INDEX('Feijão 2ª safra'!$E80:$Z80,MIN(AH$6-$E$3,22))&lt;&gt;""),'Feijão 2ª safra'!$E80:INDEX('Feijão 2ª safra'!$E80:$Z80,MIN(AH$6-$E$3,22))),0))-IF($G$2,0,IF((AH$6-$G$3)&lt;1,0,IFERROR(LOOKUP(2,1/('Feijão 2ª safra'!$E80:INDEX('Feijão 2ª safra'!$E80:$Z80,MIN(AH$6-$G$3,22))&lt;&gt;""),'Feijão 2ª safra'!$E80:INDEX('Feijão 2ª safra'!$E80:$Z80,MIN(AH$6-$G$3,22))),0)))))</f>
        <v>0</v>
      </c>
      <c r="AI82" s="27" t="n">
        <f aca="false">IF(COUNT('Feijão 2ª safra'!$E80:$Z80)=0,0,MAX(0,IF((AI$6-$E$3)&lt;1,0,IFERROR(LOOKUP(2,1/('Feijão 2ª safra'!$E80:INDEX('Feijão 2ª safra'!$E80:$Z80,MIN(AI$6-$E$3,22))&lt;&gt;""),'Feijão 2ª safra'!$E80:INDEX('Feijão 2ª safra'!$E80:$Z80,MIN(AI$6-$E$3,22))),0))-IF($G$2,0,IF((AI$6-$G$3)&lt;1,0,IFERROR(LOOKUP(2,1/('Feijão 2ª safra'!$E80:INDEX('Feijão 2ª safra'!$E80:$Z80,MIN(AI$6-$G$3,22))&lt;&gt;""),'Feijão 2ª safra'!$E80:INDEX('Feijão 2ª safra'!$E80:$Z80,MIN(AI$6-$G$3,22))),0)))))</f>
        <v>0</v>
      </c>
      <c r="AJ82" s="27" t="n">
        <f aca="false">IF(COUNT('Feijão 2ª safra'!$E80:$Z80)=0,0,MAX(0,IF((AJ$6-$E$3)&lt;1,0,IFERROR(LOOKUP(2,1/('Feijão 2ª safra'!$E80:INDEX('Feijão 2ª safra'!$E80:$Z80,MIN(AJ$6-$E$3,22))&lt;&gt;""),'Feijão 2ª safra'!$E80:INDEX('Feijão 2ª safra'!$E80:$Z80,MIN(AJ$6-$E$3,22))),0))-IF($G$2,0,IF((AJ$6-$G$3)&lt;1,0,IFERROR(LOOKUP(2,1/('Feijão 2ª safra'!$E80:INDEX('Feijão 2ª safra'!$E80:$Z80,MIN(AJ$6-$G$3,22))&lt;&gt;""),'Feijão 2ª safra'!$E80:INDEX('Feijão 2ª safra'!$E80:$Z80,MIN(AJ$6-$G$3,22))),0)))))</f>
        <v>0</v>
      </c>
      <c r="AK82" s="27" t="n">
        <f aca="false">IF(COUNT('Feijão 2ª safra'!$E80:$Z80)=0,0,MAX(0,IF((AK$6-$E$3)&lt;1,0,IFERROR(LOOKUP(2,1/('Feijão 2ª safra'!$E80:INDEX('Feijão 2ª safra'!$E80:$Z80,MIN(AK$6-$E$3,22))&lt;&gt;""),'Feijão 2ª safra'!$E80:INDEX('Feijão 2ª safra'!$E80:$Z80,MIN(AK$6-$E$3,22))),0))-IF($G$2,0,IF((AK$6-$G$3)&lt;1,0,IFERROR(LOOKUP(2,1/('Feijão 2ª safra'!$E80:INDEX('Feijão 2ª safra'!$E80:$Z80,MIN(AK$6-$G$3,22))&lt;&gt;""),'Feijão 2ª safra'!$E80:INDEX('Feijão 2ª safra'!$E80:$Z80,MIN(AK$6-$G$3,22))),0)))))</f>
        <v>0</v>
      </c>
      <c r="AL82" s="27" t="n">
        <f aca="false">IF(COUNT('Feijão 2ª safra'!$E80:$Z80)=0,0,MAX(0,IF((AL$6-$E$3)&lt;1,0,IFERROR(LOOKUP(2,1/('Feijão 2ª safra'!$E80:INDEX('Feijão 2ª safra'!$E80:$Z80,MIN(AL$6-$E$3,22))&lt;&gt;""),'Feijão 2ª safra'!$E80:INDEX('Feijão 2ª safra'!$E80:$Z80,MIN(AL$6-$E$3,22))),0))-IF($G$2,0,IF((AL$6-$G$3)&lt;1,0,IFERROR(LOOKUP(2,1/('Feijão 2ª safra'!$E80:INDEX('Feijão 2ª safra'!$E80:$Z80,MIN(AL$6-$G$3,22))&lt;&gt;""),'Feijão 2ª safra'!$E80:INDEX('Feijão 2ª safra'!$E80:$Z80,MIN(AL$6-$G$3,22))),0)))))</f>
        <v>0</v>
      </c>
      <c r="AM82" s="27" t="n">
        <f aca="false">IF(COUNT('Feijão 2ª safra'!$E80:$Z80)=0,0,MAX(0,IF((AM$6-$E$3)&lt;1,0,IFERROR(LOOKUP(2,1/('Feijão 2ª safra'!$E80:INDEX('Feijão 2ª safra'!$E80:$Z80,MIN(AM$6-$E$3,22))&lt;&gt;""),'Feijão 2ª safra'!$E80:INDEX('Feijão 2ª safra'!$E80:$Z80,MIN(AM$6-$E$3,22))),0))-IF($G$2,0,IF((AM$6-$G$3)&lt;1,0,IFERROR(LOOKUP(2,1/('Feijão 2ª safra'!$E80:INDEX('Feijão 2ª safra'!$E80:$Z80,MIN(AM$6-$G$3,22))&lt;&gt;""),'Feijão 2ª safra'!$E80:INDEX('Feijão 2ª safra'!$E80:$Z80,MIN(AM$6-$G$3,22))),0)))))</f>
        <v>0</v>
      </c>
      <c r="AN82" s="27" t="n">
        <f aca="false">IF(COUNT('Feijão 2ª safra'!$E80:$Z80)=0,0,MAX(0,IF((AN$6-$E$3)&lt;1,0,IFERROR(LOOKUP(2,1/('Feijão 2ª safra'!$E80:INDEX('Feijão 2ª safra'!$E80:$Z80,MIN(AN$6-$E$3,22))&lt;&gt;""),'Feijão 2ª safra'!$E80:INDEX('Feijão 2ª safra'!$E80:$Z80,MIN(AN$6-$E$3,22))),0))-IF($G$2,0,IF((AN$6-$G$3)&lt;1,0,IFERROR(LOOKUP(2,1/('Feijão 2ª safra'!$E80:INDEX('Feijão 2ª safra'!$E80:$Z80,MIN(AN$6-$G$3,22))&lt;&gt;""),'Feijão 2ª safra'!$E80:INDEX('Feijão 2ª safra'!$E80:$Z80,MIN(AN$6-$G$3,22))),0)))))</f>
        <v>0</v>
      </c>
      <c r="AO82" s="27" t="n">
        <f aca="false">IF(COUNT('Feijão 2ª safra'!$E80:$Z80)=0,0,MAX(0,IF((AO$6-$E$3)&lt;1,0,IFERROR(LOOKUP(2,1/('Feijão 2ª safra'!$E80:INDEX('Feijão 2ª safra'!$E80:$Z80,MIN(AO$6-$E$3,22))&lt;&gt;""),'Feijão 2ª safra'!$E80:INDEX('Feijão 2ª safra'!$E80:$Z80,MIN(AO$6-$E$3,22))),0))-IF($G$2,0,IF((AO$6-$G$3)&lt;1,0,IFERROR(LOOKUP(2,1/('Feijão 2ª safra'!$E80:INDEX('Feijão 2ª safra'!$E80:$Z80,MIN(AO$6-$G$3,22))&lt;&gt;""),'Feijão 2ª safra'!$E80:INDEX('Feijão 2ª safra'!$E80:$Z80,MIN(AO$6-$G$3,22))),0)))))</f>
        <v>0</v>
      </c>
      <c r="AP82" s="27" t="n">
        <f aca="false">IF(COUNT('Feijão 2ª safra'!$E80:$Z80)=0,0,MAX(0,IF((AP$6-$E$3)&lt;1,0,IFERROR(LOOKUP(2,1/('Feijão 2ª safra'!$E80:INDEX('Feijão 2ª safra'!$E80:$Z80,MIN(AP$6-$E$3,22))&lt;&gt;""),'Feijão 2ª safra'!$E80:INDEX('Feijão 2ª safra'!$E80:$Z80,MIN(AP$6-$E$3,22))),0))-IF($G$2,0,IF((AP$6-$G$3)&lt;1,0,IFERROR(LOOKUP(2,1/('Feijão 2ª safra'!$E80:INDEX('Feijão 2ª safra'!$E80:$Z80,MIN(AP$6-$G$3,22))&lt;&gt;""),'Feijão 2ª safra'!$E80:INDEX('Feijão 2ª safra'!$E80:$Z80,MIN(AP$6-$G$3,22))),0)))))</f>
        <v>0</v>
      </c>
      <c r="AQ82" s="27" t="n">
        <f aca="false">IF(COUNT('Feijão 2ª safra'!$E80:$Z80)=0,0,MAX(0,IF((AQ$6-$E$3)&lt;1,0,IFERROR(LOOKUP(2,1/('Feijão 2ª safra'!$E80:INDEX('Feijão 2ª safra'!$E80:$Z80,MIN(AQ$6-$E$3,22))&lt;&gt;""),'Feijão 2ª safra'!$E80:INDEX('Feijão 2ª safra'!$E80:$Z80,MIN(AQ$6-$E$3,22))),0))-IF($G$2,0,IF((AQ$6-$G$3)&lt;1,0,IFERROR(LOOKUP(2,1/('Feijão 2ª safra'!$E80:INDEX('Feijão 2ª safra'!$E80:$Z80,MIN(AQ$6-$G$3,22))&lt;&gt;""),'Feijão 2ª safra'!$E80:INDEX('Feijão 2ª safra'!$E80:$Z80,MIN(AQ$6-$G$3,22))),0)))))</f>
        <v>0</v>
      </c>
      <c r="AR82" s="27" t="n">
        <f aca="false">IF(COUNT('Feijão 2ª safra'!$E80:$Z80)=0,0,MAX(0,IF((AR$6-$E$3)&lt;1,0,IFERROR(LOOKUP(2,1/('Feijão 2ª safra'!$E80:INDEX('Feijão 2ª safra'!$E80:$Z80,MIN(AR$6-$E$3,22))&lt;&gt;""),'Feijão 2ª safra'!$E80:INDEX('Feijão 2ª safra'!$E80:$Z80,MIN(AR$6-$E$3,22))),0))-IF($G$2,0,IF((AR$6-$G$3)&lt;1,0,IFERROR(LOOKUP(2,1/('Feijão 2ª safra'!$E80:INDEX('Feijão 2ª safra'!$E80:$Z80,MIN(AR$6-$G$3,22))&lt;&gt;""),'Feijão 2ª safra'!$E80:INDEX('Feijão 2ª safra'!$E80:$Z80,MIN(AR$6-$G$3,22))),0)))))</f>
        <v>0</v>
      </c>
      <c r="AS82" s="27" t="n">
        <f aca="false">IF(COUNT('Feijão 2ª safra'!$E80:$Z80)=0,0,MAX(0,IF((AS$6-$E$3)&lt;1,0,IFERROR(LOOKUP(2,1/('Feijão 2ª safra'!$E80:INDEX('Feijão 2ª safra'!$E80:$Z80,MIN(AS$6-$E$3,22))&lt;&gt;""),'Feijão 2ª safra'!$E80:INDEX('Feijão 2ª safra'!$E80:$Z80,MIN(AS$6-$E$3,22))),0))-IF($G$2,0,IF((AS$6-$G$3)&lt;1,0,IFERROR(LOOKUP(2,1/('Feijão 2ª safra'!$E80:INDEX('Feijão 2ª safra'!$E80:$Z80,MIN(AS$6-$G$3,22))&lt;&gt;""),'Feijão 2ª safra'!$E80:INDEX('Feijão 2ª safra'!$E80:$Z80,MIN(AS$6-$G$3,22))),0)))))</f>
        <v>0</v>
      </c>
      <c r="AT82" s="27" t="n">
        <f aca="false">IF(COUNT('Feijão 2ª safra'!$E80:$Z80)=0,0,MAX(0,IF((AT$6-$E$3)&lt;1,0,IFERROR(LOOKUP(2,1/('Feijão 2ª safra'!$E80:INDEX('Feijão 2ª safra'!$E80:$Z80,MIN(AT$6-$E$3,22))&lt;&gt;""),'Feijão 2ª safra'!$E80:INDEX('Feijão 2ª safra'!$E80:$Z80,MIN(AT$6-$E$3,22))),0))-IF($G$2,0,IF((AT$6-$G$3)&lt;1,0,IFERROR(LOOKUP(2,1/('Feijão 2ª safra'!$E80:INDEX('Feijão 2ª safra'!$E80:$Z80,MIN(AT$6-$G$3,22))&lt;&gt;""),'Feijão 2ª safra'!$E80:INDEX('Feijão 2ª safra'!$E80:$Z80,MIN(AT$6-$G$3,22))),0)))))</f>
        <v>0</v>
      </c>
      <c r="AU82" s="27" t="n">
        <f aca="false">IF(COUNT('Feijão 2ª safra'!$E80:$Z80)=0,0,MAX(0,IF((AU$6-$E$3)&lt;1,0,IFERROR(LOOKUP(2,1/('Feijão 2ª safra'!$E80:INDEX('Feijão 2ª safra'!$E80:$Z80,MIN(AU$6-$E$3,22))&lt;&gt;""),'Feijão 2ª safra'!$E80:INDEX('Feijão 2ª safra'!$E80:$Z80,MIN(AU$6-$E$3,22))),0))-IF($G$2,0,IF((AU$6-$G$3)&lt;1,0,IFERROR(LOOKUP(2,1/('Feijão 2ª safra'!$E80:INDEX('Feijão 2ª safra'!$E80:$Z80,MIN(AU$6-$G$3,22))&lt;&gt;""),'Feijão 2ª safra'!$E80:INDEX('Feijão 2ª safra'!$E80:$Z80,MIN(AU$6-$G$3,22))),0)))))</f>
        <v>0</v>
      </c>
      <c r="AV82" s="27" t="n">
        <f aca="false">IF(COUNT('Feijão 2ª safra'!$E80:$Z80)=0,0,MAX(0,IF((AV$6-$E$3)&lt;1,0,IFERROR(LOOKUP(2,1/('Feijão 2ª safra'!$E80:INDEX('Feijão 2ª safra'!$E80:$Z80,MIN(AV$6-$E$3,22))&lt;&gt;""),'Feijão 2ª safra'!$E80:INDEX('Feijão 2ª safra'!$E80:$Z80,MIN(AV$6-$E$3,22))),0))-IF($G$2,0,IF((AV$6-$G$3)&lt;1,0,IFERROR(LOOKUP(2,1/('Feijão 2ª safra'!$E80:INDEX('Feijão 2ª safra'!$E80:$Z80,MIN(AV$6-$G$3,22))&lt;&gt;""),'Feijão 2ª safra'!$E80:INDEX('Feijão 2ª safra'!$E80:$Z80,MIN(AV$6-$G$3,22))),0)))))</f>
        <v>0</v>
      </c>
      <c r="AW82" s="27" t="n">
        <f aca="false">IF(COUNT('Feijão 2ª safra'!$E80:$Z80)=0,0,MAX(0,IF((AW$6-$E$3)&lt;1,0,IFERROR(LOOKUP(2,1/('Feijão 2ª safra'!$E80:INDEX('Feijão 2ª safra'!$E80:$Z80,MIN(AW$6-$E$3,22))&lt;&gt;""),'Feijão 2ª safra'!$E80:INDEX('Feijão 2ª safra'!$E80:$Z80,MIN(AW$6-$E$3,22))),0))-IF($G$2,0,IF((AW$6-$G$3)&lt;1,0,IFERROR(LOOKUP(2,1/('Feijão 2ª safra'!$E80:INDEX('Feijão 2ª safra'!$E80:$Z80,MIN(AW$6-$G$3,22))&lt;&gt;""),'Feijão 2ª safra'!$E80:INDEX('Feijão 2ª safra'!$E80:$Z80,MIN(AW$6-$G$3,22))),0)))))</f>
        <v>0</v>
      </c>
      <c r="AX82" s="27" t="n">
        <f aca="false">IF(COUNT('Feijão 2ª safra'!$E80:$Z80)=0,0,MAX(0,IF((AX$6-$E$3)&lt;1,0,IFERROR(LOOKUP(2,1/('Feijão 2ª safra'!$E80:INDEX('Feijão 2ª safra'!$E80:$Z80,MIN(AX$6-$E$3,22))&lt;&gt;""),'Feijão 2ª safra'!$E80:INDEX('Feijão 2ª safra'!$E80:$Z80,MIN(AX$6-$E$3,22))),0))-IF($G$2,0,IF((AX$6-$G$3)&lt;1,0,IFERROR(LOOKUP(2,1/('Feijão 2ª safra'!$E80:INDEX('Feijão 2ª safra'!$E80:$Z80,MIN(AX$6-$G$3,22))&lt;&gt;""),'Feijão 2ª safra'!$E80:INDEX('Feijão 2ª safra'!$E80:$Z80,MIN(AX$6-$G$3,22))),0)))))</f>
        <v>0</v>
      </c>
      <c r="AY82" s="27" t="n">
        <f aca="false">IF(COUNT('Feijão 2ª safra'!$E80:$Z80)=0,0,MAX(0,IF((AY$6-$E$3)&lt;1,0,IFERROR(LOOKUP(2,1/('Feijão 2ª safra'!$E80:INDEX('Feijão 2ª safra'!$E80:$Z80,MIN(AY$6-$E$3,22))&lt;&gt;""),'Feijão 2ª safra'!$E80:INDEX('Feijão 2ª safra'!$E80:$Z80,MIN(AY$6-$E$3,22))),0))-IF($G$2,0,IF((AY$6-$G$3)&lt;1,0,IFERROR(LOOKUP(2,1/('Feijão 2ª safra'!$E80:INDEX('Feijão 2ª safra'!$E80:$Z80,MIN(AY$6-$G$3,22))&lt;&gt;""),'Feijão 2ª safra'!$E80:INDEX('Feijão 2ª safra'!$E80:$Z80,MIN(AY$6-$G$3,22))),0)))))</f>
        <v>0</v>
      </c>
      <c r="AZ82" s="27" t="n">
        <f aca="false">IF(COUNT('Feijão 2ª safra'!$E80:$Z80)=0,0,MAX(0,IF((AZ$6-$E$3)&lt;1,0,IFERROR(LOOKUP(2,1/('Feijão 2ª safra'!$E80:INDEX('Feijão 2ª safra'!$E80:$Z80,MIN(AZ$6-$E$3,22))&lt;&gt;""),'Feijão 2ª safra'!$E80:INDEX('Feijão 2ª safra'!$E80:$Z80,MIN(AZ$6-$E$3,22))),0))-IF($G$2,0,IF((AZ$6-$G$3)&lt;1,0,IFERROR(LOOKUP(2,1/('Feijão 2ª safra'!$E80:INDEX('Feijão 2ª safra'!$E80:$Z80,MIN(AZ$6-$G$3,22))&lt;&gt;""),'Feijão 2ª safra'!$E80:INDEX('Feijão 2ª safra'!$E80:$Z80,MIN(AZ$6-$G$3,22))),0)))))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IF(COUNT('Feijão 2ª safra'!$E81:$Z81)&gt;0,N('Feijão 2ª safra'!$D81),0)</f>
        <v>0</v>
      </c>
      <c r="E83" s="27" t="n">
        <f aca="false">IF(COUNT('Feijão 2ª safra'!$E81:$Z81)=0,0,MAX(0,IF((E$6-$E$3)&lt;1,0,IFERROR(LOOKUP(2,1/('Feijão 2ª safra'!$E81:INDEX('Feijão 2ª safra'!$E81:$Z81,MIN(E$6-$E$3,22))&lt;&gt;""),'Feijão 2ª safra'!$E81:INDEX('Feijão 2ª safra'!$E81:$Z81,MIN(E$6-$E$3,22))),0))-IF($G$2,0,IF((E$6-$G$3)&lt;1,0,IFERROR(LOOKUP(2,1/('Feijão 2ª safra'!$E81:INDEX('Feijão 2ª safra'!$E81:$Z81,MIN(E$6-$G$3,22))&lt;&gt;""),'Feijão 2ª safra'!$E81:INDEX('Feijão 2ª safra'!$E81:$Z81,MIN(E$6-$G$3,22))),0)))))</f>
        <v>0</v>
      </c>
      <c r="F83" s="27" t="n">
        <f aca="false">IF(COUNT('Feijão 2ª safra'!$E81:$Z81)=0,0,MAX(0,IF((F$6-$E$3)&lt;1,0,IFERROR(LOOKUP(2,1/('Feijão 2ª safra'!$E81:INDEX('Feijão 2ª safra'!$E81:$Z81,MIN(F$6-$E$3,22))&lt;&gt;""),'Feijão 2ª safra'!$E81:INDEX('Feijão 2ª safra'!$E81:$Z81,MIN(F$6-$E$3,22))),0))-IF($G$2,0,IF((F$6-$G$3)&lt;1,0,IFERROR(LOOKUP(2,1/('Feijão 2ª safra'!$E81:INDEX('Feijão 2ª safra'!$E81:$Z81,MIN(F$6-$G$3,22))&lt;&gt;""),'Feijão 2ª safra'!$E81:INDEX('Feijão 2ª safra'!$E81:$Z81,MIN(F$6-$G$3,22))),0)))))</f>
        <v>0</v>
      </c>
      <c r="G83" s="27" t="n">
        <f aca="false">IF(COUNT('Feijão 2ª safra'!$E81:$Z81)=0,0,MAX(0,IF((G$6-$E$3)&lt;1,0,IFERROR(LOOKUP(2,1/('Feijão 2ª safra'!$E81:INDEX('Feijão 2ª safra'!$E81:$Z81,MIN(G$6-$E$3,22))&lt;&gt;""),'Feijão 2ª safra'!$E81:INDEX('Feijão 2ª safra'!$E81:$Z81,MIN(G$6-$E$3,22))),0))-IF($G$2,0,IF((G$6-$G$3)&lt;1,0,IFERROR(LOOKUP(2,1/('Feijão 2ª safra'!$E81:INDEX('Feijão 2ª safra'!$E81:$Z81,MIN(G$6-$G$3,22))&lt;&gt;""),'Feijão 2ª safra'!$E81:INDEX('Feijão 2ª safra'!$E81:$Z81,MIN(G$6-$G$3,22))),0)))))</f>
        <v>0</v>
      </c>
      <c r="H83" s="27" t="n">
        <f aca="false">IF(COUNT('Feijão 2ª safra'!$E81:$Z81)=0,0,MAX(0,IF((H$6-$E$3)&lt;1,0,IFERROR(LOOKUP(2,1/('Feijão 2ª safra'!$E81:INDEX('Feijão 2ª safra'!$E81:$Z81,MIN(H$6-$E$3,22))&lt;&gt;""),'Feijão 2ª safra'!$E81:INDEX('Feijão 2ª safra'!$E81:$Z81,MIN(H$6-$E$3,22))),0))-IF($G$2,0,IF((H$6-$G$3)&lt;1,0,IFERROR(LOOKUP(2,1/('Feijão 2ª safra'!$E81:INDEX('Feijão 2ª safra'!$E81:$Z81,MIN(H$6-$G$3,22))&lt;&gt;""),'Feijão 2ª safra'!$E81:INDEX('Feijão 2ª safra'!$E81:$Z81,MIN(H$6-$G$3,22))),0)))))</f>
        <v>0</v>
      </c>
      <c r="I83" s="27" t="n">
        <f aca="false">IF(COUNT('Feijão 2ª safra'!$E81:$Z81)=0,0,MAX(0,IF((I$6-$E$3)&lt;1,0,IFERROR(LOOKUP(2,1/('Feijão 2ª safra'!$E81:INDEX('Feijão 2ª safra'!$E81:$Z81,MIN(I$6-$E$3,22))&lt;&gt;""),'Feijão 2ª safra'!$E81:INDEX('Feijão 2ª safra'!$E81:$Z81,MIN(I$6-$E$3,22))),0))-IF($G$2,0,IF((I$6-$G$3)&lt;1,0,IFERROR(LOOKUP(2,1/('Feijão 2ª safra'!$E81:INDEX('Feijão 2ª safra'!$E81:$Z81,MIN(I$6-$G$3,22))&lt;&gt;""),'Feijão 2ª safra'!$E81:INDEX('Feijão 2ª safra'!$E81:$Z81,MIN(I$6-$G$3,22))),0)))))</f>
        <v>0</v>
      </c>
      <c r="J83" s="27" t="n">
        <f aca="false">IF(COUNT('Feijão 2ª safra'!$E81:$Z81)=0,0,MAX(0,IF((J$6-$E$3)&lt;1,0,IFERROR(LOOKUP(2,1/('Feijão 2ª safra'!$E81:INDEX('Feijão 2ª safra'!$E81:$Z81,MIN(J$6-$E$3,22))&lt;&gt;""),'Feijão 2ª safra'!$E81:INDEX('Feijão 2ª safra'!$E81:$Z81,MIN(J$6-$E$3,22))),0))-IF($G$2,0,IF((J$6-$G$3)&lt;1,0,IFERROR(LOOKUP(2,1/('Feijão 2ª safra'!$E81:INDEX('Feijão 2ª safra'!$E81:$Z81,MIN(J$6-$G$3,22))&lt;&gt;""),'Feijão 2ª safra'!$E81:INDEX('Feijão 2ª safra'!$E81:$Z81,MIN(J$6-$G$3,22))),0)))))</f>
        <v>0</v>
      </c>
      <c r="K83" s="27" t="n">
        <f aca="false">IF(COUNT('Feijão 2ª safra'!$E81:$Z81)=0,0,MAX(0,IF((K$6-$E$3)&lt;1,0,IFERROR(LOOKUP(2,1/('Feijão 2ª safra'!$E81:INDEX('Feijão 2ª safra'!$E81:$Z81,MIN(K$6-$E$3,22))&lt;&gt;""),'Feijão 2ª safra'!$E81:INDEX('Feijão 2ª safra'!$E81:$Z81,MIN(K$6-$E$3,22))),0))-IF($G$2,0,IF((K$6-$G$3)&lt;1,0,IFERROR(LOOKUP(2,1/('Feijão 2ª safra'!$E81:INDEX('Feijão 2ª safra'!$E81:$Z81,MIN(K$6-$G$3,22))&lt;&gt;""),'Feijão 2ª safra'!$E81:INDEX('Feijão 2ª safra'!$E81:$Z81,MIN(K$6-$G$3,22))),0)))))</f>
        <v>0</v>
      </c>
      <c r="L83" s="27" t="n">
        <f aca="false">IF(COUNT('Feijão 2ª safra'!$E81:$Z81)=0,0,MAX(0,IF((L$6-$E$3)&lt;1,0,IFERROR(LOOKUP(2,1/('Feijão 2ª safra'!$E81:INDEX('Feijão 2ª safra'!$E81:$Z81,MIN(L$6-$E$3,22))&lt;&gt;""),'Feijão 2ª safra'!$E81:INDEX('Feijão 2ª safra'!$E81:$Z81,MIN(L$6-$E$3,22))),0))-IF($G$2,0,IF((L$6-$G$3)&lt;1,0,IFERROR(LOOKUP(2,1/('Feijão 2ª safra'!$E81:INDEX('Feijão 2ª safra'!$E81:$Z81,MIN(L$6-$G$3,22))&lt;&gt;""),'Feijão 2ª safra'!$E81:INDEX('Feijão 2ª safra'!$E81:$Z81,MIN(L$6-$G$3,22))),0)))))</f>
        <v>0</v>
      </c>
      <c r="M83" s="27" t="n">
        <f aca="false">IF(COUNT('Feijão 2ª safra'!$E81:$Z81)=0,0,MAX(0,IF((M$6-$E$3)&lt;1,0,IFERROR(LOOKUP(2,1/('Feijão 2ª safra'!$E81:INDEX('Feijão 2ª safra'!$E81:$Z81,MIN(M$6-$E$3,22))&lt;&gt;""),'Feijão 2ª safra'!$E81:INDEX('Feijão 2ª safra'!$E81:$Z81,MIN(M$6-$E$3,22))),0))-IF($G$2,0,IF((M$6-$G$3)&lt;1,0,IFERROR(LOOKUP(2,1/('Feijão 2ª safra'!$E81:INDEX('Feijão 2ª safra'!$E81:$Z81,MIN(M$6-$G$3,22))&lt;&gt;""),'Feijão 2ª safra'!$E81:INDEX('Feijão 2ª safra'!$E81:$Z81,MIN(M$6-$G$3,22))),0)))))</f>
        <v>0</v>
      </c>
      <c r="N83" s="27" t="n">
        <f aca="false">IF(COUNT('Feijão 2ª safra'!$E81:$Z81)=0,0,MAX(0,IF((N$6-$E$3)&lt;1,0,IFERROR(LOOKUP(2,1/('Feijão 2ª safra'!$E81:INDEX('Feijão 2ª safra'!$E81:$Z81,MIN(N$6-$E$3,22))&lt;&gt;""),'Feijão 2ª safra'!$E81:INDEX('Feijão 2ª safra'!$E81:$Z81,MIN(N$6-$E$3,22))),0))-IF($G$2,0,IF((N$6-$G$3)&lt;1,0,IFERROR(LOOKUP(2,1/('Feijão 2ª safra'!$E81:INDEX('Feijão 2ª safra'!$E81:$Z81,MIN(N$6-$G$3,22))&lt;&gt;""),'Feijão 2ª safra'!$E81:INDEX('Feijão 2ª safra'!$E81:$Z81,MIN(N$6-$G$3,22))),0)))))</f>
        <v>0</v>
      </c>
      <c r="O83" s="27" t="n">
        <f aca="false">IF(COUNT('Feijão 2ª safra'!$E81:$Z81)=0,0,MAX(0,IF((O$6-$E$3)&lt;1,0,IFERROR(LOOKUP(2,1/('Feijão 2ª safra'!$E81:INDEX('Feijão 2ª safra'!$E81:$Z81,MIN(O$6-$E$3,22))&lt;&gt;""),'Feijão 2ª safra'!$E81:INDEX('Feijão 2ª safra'!$E81:$Z81,MIN(O$6-$E$3,22))),0))-IF($G$2,0,IF((O$6-$G$3)&lt;1,0,IFERROR(LOOKUP(2,1/('Feijão 2ª safra'!$E81:INDEX('Feijão 2ª safra'!$E81:$Z81,MIN(O$6-$G$3,22))&lt;&gt;""),'Feijão 2ª safra'!$E81:INDEX('Feijão 2ª safra'!$E81:$Z81,MIN(O$6-$G$3,22))),0)))))</f>
        <v>0</v>
      </c>
      <c r="P83" s="27" t="n">
        <f aca="false">IF(COUNT('Feijão 2ª safra'!$E81:$Z81)=0,0,MAX(0,IF((P$6-$E$3)&lt;1,0,IFERROR(LOOKUP(2,1/('Feijão 2ª safra'!$E81:INDEX('Feijão 2ª safra'!$E81:$Z81,MIN(P$6-$E$3,22))&lt;&gt;""),'Feijão 2ª safra'!$E81:INDEX('Feijão 2ª safra'!$E81:$Z81,MIN(P$6-$E$3,22))),0))-IF($G$2,0,IF((P$6-$G$3)&lt;1,0,IFERROR(LOOKUP(2,1/('Feijão 2ª safra'!$E81:INDEX('Feijão 2ª safra'!$E81:$Z81,MIN(P$6-$G$3,22))&lt;&gt;""),'Feijão 2ª safra'!$E81:INDEX('Feijão 2ª safra'!$E81:$Z81,MIN(P$6-$G$3,22))),0)))))</f>
        <v>0</v>
      </c>
      <c r="Q83" s="27" t="n">
        <f aca="false">IF(COUNT('Feijão 2ª safra'!$E81:$Z81)=0,0,MAX(0,IF((Q$6-$E$3)&lt;1,0,IFERROR(LOOKUP(2,1/('Feijão 2ª safra'!$E81:INDEX('Feijão 2ª safra'!$E81:$Z81,MIN(Q$6-$E$3,22))&lt;&gt;""),'Feijão 2ª safra'!$E81:INDEX('Feijão 2ª safra'!$E81:$Z81,MIN(Q$6-$E$3,22))),0))-IF($G$2,0,IF((Q$6-$G$3)&lt;1,0,IFERROR(LOOKUP(2,1/('Feijão 2ª safra'!$E81:INDEX('Feijão 2ª safra'!$E81:$Z81,MIN(Q$6-$G$3,22))&lt;&gt;""),'Feijão 2ª safra'!$E81:INDEX('Feijão 2ª safra'!$E81:$Z81,MIN(Q$6-$G$3,22))),0)))))</f>
        <v>0</v>
      </c>
      <c r="R83" s="27" t="n">
        <f aca="false">IF(COUNT('Feijão 2ª safra'!$E81:$Z81)=0,0,MAX(0,IF((R$6-$E$3)&lt;1,0,IFERROR(LOOKUP(2,1/('Feijão 2ª safra'!$E81:INDEX('Feijão 2ª safra'!$E81:$Z81,MIN(R$6-$E$3,22))&lt;&gt;""),'Feijão 2ª safra'!$E81:INDEX('Feijão 2ª safra'!$E81:$Z81,MIN(R$6-$E$3,22))),0))-IF($G$2,0,IF((R$6-$G$3)&lt;1,0,IFERROR(LOOKUP(2,1/('Feijão 2ª safra'!$E81:INDEX('Feijão 2ª safra'!$E81:$Z81,MIN(R$6-$G$3,22))&lt;&gt;""),'Feijão 2ª safra'!$E81:INDEX('Feijão 2ª safra'!$E81:$Z81,MIN(R$6-$G$3,22))),0)))))</f>
        <v>0</v>
      </c>
      <c r="S83" s="27" t="n">
        <f aca="false">IF(COUNT('Feijão 2ª safra'!$E81:$Z81)=0,0,MAX(0,IF((S$6-$E$3)&lt;1,0,IFERROR(LOOKUP(2,1/('Feijão 2ª safra'!$E81:INDEX('Feijão 2ª safra'!$E81:$Z81,MIN(S$6-$E$3,22))&lt;&gt;""),'Feijão 2ª safra'!$E81:INDEX('Feijão 2ª safra'!$E81:$Z81,MIN(S$6-$E$3,22))),0))-IF($G$2,0,IF((S$6-$G$3)&lt;1,0,IFERROR(LOOKUP(2,1/('Feijão 2ª safra'!$E81:INDEX('Feijão 2ª safra'!$E81:$Z81,MIN(S$6-$G$3,22))&lt;&gt;""),'Feijão 2ª safra'!$E81:INDEX('Feijão 2ª safra'!$E81:$Z81,MIN(S$6-$G$3,22))),0)))))</f>
        <v>0</v>
      </c>
      <c r="T83" s="27" t="n">
        <f aca="false">IF(COUNT('Feijão 2ª safra'!$E81:$Z81)=0,0,MAX(0,IF((T$6-$E$3)&lt;1,0,IFERROR(LOOKUP(2,1/('Feijão 2ª safra'!$E81:INDEX('Feijão 2ª safra'!$E81:$Z81,MIN(T$6-$E$3,22))&lt;&gt;""),'Feijão 2ª safra'!$E81:INDEX('Feijão 2ª safra'!$E81:$Z81,MIN(T$6-$E$3,22))),0))-IF($G$2,0,IF((T$6-$G$3)&lt;1,0,IFERROR(LOOKUP(2,1/('Feijão 2ª safra'!$E81:INDEX('Feijão 2ª safra'!$E81:$Z81,MIN(T$6-$G$3,22))&lt;&gt;""),'Feijão 2ª safra'!$E81:INDEX('Feijão 2ª safra'!$E81:$Z81,MIN(T$6-$G$3,22))),0)))))</f>
        <v>0</v>
      </c>
      <c r="U83" s="27" t="n">
        <f aca="false">IF(COUNT('Feijão 2ª safra'!$E81:$Z81)=0,0,MAX(0,IF((U$6-$E$3)&lt;1,0,IFERROR(LOOKUP(2,1/('Feijão 2ª safra'!$E81:INDEX('Feijão 2ª safra'!$E81:$Z81,MIN(U$6-$E$3,22))&lt;&gt;""),'Feijão 2ª safra'!$E81:INDEX('Feijão 2ª safra'!$E81:$Z81,MIN(U$6-$E$3,22))),0))-IF($G$2,0,IF((U$6-$G$3)&lt;1,0,IFERROR(LOOKUP(2,1/('Feijão 2ª safra'!$E81:INDEX('Feijão 2ª safra'!$E81:$Z81,MIN(U$6-$G$3,22))&lt;&gt;""),'Feijão 2ª safra'!$E81:INDEX('Feijão 2ª safra'!$E81:$Z81,MIN(U$6-$G$3,22))),0)))))</f>
        <v>0</v>
      </c>
      <c r="V83" s="27" t="n">
        <f aca="false">IF(COUNT('Feijão 2ª safra'!$E81:$Z81)=0,0,MAX(0,IF((V$6-$E$3)&lt;1,0,IFERROR(LOOKUP(2,1/('Feijão 2ª safra'!$E81:INDEX('Feijão 2ª safra'!$E81:$Z81,MIN(V$6-$E$3,22))&lt;&gt;""),'Feijão 2ª safra'!$E81:INDEX('Feijão 2ª safra'!$E81:$Z81,MIN(V$6-$E$3,22))),0))-IF($G$2,0,IF((V$6-$G$3)&lt;1,0,IFERROR(LOOKUP(2,1/('Feijão 2ª safra'!$E81:INDEX('Feijão 2ª safra'!$E81:$Z81,MIN(V$6-$G$3,22))&lt;&gt;""),'Feijão 2ª safra'!$E81:INDEX('Feijão 2ª safra'!$E81:$Z81,MIN(V$6-$G$3,22))),0)))))</f>
        <v>0</v>
      </c>
      <c r="W83" s="27" t="n">
        <f aca="false">IF(COUNT('Feijão 2ª safra'!$E81:$Z81)=0,0,MAX(0,IF((W$6-$E$3)&lt;1,0,IFERROR(LOOKUP(2,1/('Feijão 2ª safra'!$E81:INDEX('Feijão 2ª safra'!$E81:$Z81,MIN(W$6-$E$3,22))&lt;&gt;""),'Feijão 2ª safra'!$E81:INDEX('Feijão 2ª safra'!$E81:$Z81,MIN(W$6-$E$3,22))),0))-IF($G$2,0,IF((W$6-$G$3)&lt;1,0,IFERROR(LOOKUP(2,1/('Feijão 2ª safra'!$E81:INDEX('Feijão 2ª safra'!$E81:$Z81,MIN(W$6-$G$3,22))&lt;&gt;""),'Feijão 2ª safra'!$E81:INDEX('Feijão 2ª safra'!$E81:$Z81,MIN(W$6-$G$3,22))),0)))))</f>
        <v>0</v>
      </c>
      <c r="X83" s="27" t="n">
        <f aca="false">IF(COUNT('Feijão 2ª safra'!$E81:$Z81)=0,0,MAX(0,IF((X$6-$E$3)&lt;1,0,IFERROR(LOOKUP(2,1/('Feijão 2ª safra'!$E81:INDEX('Feijão 2ª safra'!$E81:$Z81,MIN(X$6-$E$3,22))&lt;&gt;""),'Feijão 2ª safra'!$E81:INDEX('Feijão 2ª safra'!$E81:$Z81,MIN(X$6-$E$3,22))),0))-IF($G$2,0,IF((X$6-$G$3)&lt;1,0,IFERROR(LOOKUP(2,1/('Feijão 2ª safra'!$E81:INDEX('Feijão 2ª safra'!$E81:$Z81,MIN(X$6-$G$3,22))&lt;&gt;""),'Feijão 2ª safra'!$E81:INDEX('Feijão 2ª safra'!$E81:$Z81,MIN(X$6-$G$3,22))),0)))))</f>
        <v>0</v>
      </c>
      <c r="Y83" s="27" t="n">
        <f aca="false">IF(COUNT('Feijão 2ª safra'!$E81:$Z81)=0,0,MAX(0,IF((Y$6-$E$3)&lt;1,0,IFERROR(LOOKUP(2,1/('Feijão 2ª safra'!$E81:INDEX('Feijão 2ª safra'!$E81:$Z81,MIN(Y$6-$E$3,22))&lt;&gt;""),'Feijão 2ª safra'!$E81:INDEX('Feijão 2ª safra'!$E81:$Z81,MIN(Y$6-$E$3,22))),0))-IF($G$2,0,IF((Y$6-$G$3)&lt;1,0,IFERROR(LOOKUP(2,1/('Feijão 2ª safra'!$E81:INDEX('Feijão 2ª safra'!$E81:$Z81,MIN(Y$6-$G$3,22))&lt;&gt;""),'Feijão 2ª safra'!$E81:INDEX('Feijão 2ª safra'!$E81:$Z81,MIN(Y$6-$G$3,22))),0)))))</f>
        <v>0</v>
      </c>
      <c r="Z83" s="27" t="n">
        <f aca="false">IF(COUNT('Feijão 2ª safra'!$E81:$Z81)=0,0,MAX(0,IF((Z$6-$E$3)&lt;1,0,IFERROR(LOOKUP(2,1/('Feijão 2ª safra'!$E81:INDEX('Feijão 2ª safra'!$E81:$Z81,MIN(Z$6-$E$3,22))&lt;&gt;""),'Feijão 2ª safra'!$E81:INDEX('Feijão 2ª safra'!$E81:$Z81,MIN(Z$6-$E$3,22))),0))-IF($G$2,0,IF((Z$6-$G$3)&lt;1,0,IFERROR(LOOKUP(2,1/('Feijão 2ª safra'!$E81:INDEX('Feijão 2ª safra'!$E81:$Z81,MIN(Z$6-$G$3,22))&lt;&gt;""),'Feijão 2ª safra'!$E81:INDEX('Feijão 2ª safra'!$E81:$Z81,MIN(Z$6-$G$3,22))),0)))))</f>
        <v>0</v>
      </c>
      <c r="AA83" s="27" t="n">
        <f aca="false">IF(COUNT('Feijão 2ª safra'!$E81:$Z81)=0,0,MAX(0,IF((AA$6-$E$3)&lt;1,0,IFERROR(LOOKUP(2,1/('Feijão 2ª safra'!$E81:INDEX('Feijão 2ª safra'!$E81:$Z81,MIN(AA$6-$E$3,22))&lt;&gt;""),'Feijão 2ª safra'!$E81:INDEX('Feijão 2ª safra'!$E81:$Z81,MIN(AA$6-$E$3,22))),0))-IF($G$2,0,IF((AA$6-$G$3)&lt;1,0,IFERROR(LOOKUP(2,1/('Feijão 2ª safra'!$E81:INDEX('Feijão 2ª safra'!$E81:$Z81,MIN(AA$6-$G$3,22))&lt;&gt;""),'Feijão 2ª safra'!$E81:INDEX('Feijão 2ª safra'!$E81:$Z81,MIN(AA$6-$G$3,22))),0)))))</f>
        <v>0</v>
      </c>
      <c r="AB83" s="27" t="n">
        <f aca="false">IF(COUNT('Feijão 2ª safra'!$E81:$Z81)=0,0,MAX(0,IF((AB$6-$E$3)&lt;1,0,IFERROR(LOOKUP(2,1/('Feijão 2ª safra'!$E81:INDEX('Feijão 2ª safra'!$E81:$Z81,MIN(AB$6-$E$3,22))&lt;&gt;""),'Feijão 2ª safra'!$E81:INDEX('Feijão 2ª safra'!$E81:$Z81,MIN(AB$6-$E$3,22))),0))-IF($G$2,0,IF((AB$6-$G$3)&lt;1,0,IFERROR(LOOKUP(2,1/('Feijão 2ª safra'!$E81:INDEX('Feijão 2ª safra'!$E81:$Z81,MIN(AB$6-$G$3,22))&lt;&gt;""),'Feijão 2ª safra'!$E81:INDEX('Feijão 2ª safra'!$E81:$Z81,MIN(AB$6-$G$3,22))),0)))))</f>
        <v>0</v>
      </c>
      <c r="AC83" s="27" t="n">
        <f aca="false">IF(COUNT('Feijão 2ª safra'!$E81:$Z81)=0,0,MAX(0,IF((AC$6-$E$3)&lt;1,0,IFERROR(LOOKUP(2,1/('Feijão 2ª safra'!$E81:INDEX('Feijão 2ª safra'!$E81:$Z81,MIN(AC$6-$E$3,22))&lt;&gt;""),'Feijão 2ª safra'!$E81:INDEX('Feijão 2ª safra'!$E81:$Z81,MIN(AC$6-$E$3,22))),0))-IF($G$2,0,IF((AC$6-$G$3)&lt;1,0,IFERROR(LOOKUP(2,1/('Feijão 2ª safra'!$E81:INDEX('Feijão 2ª safra'!$E81:$Z81,MIN(AC$6-$G$3,22))&lt;&gt;""),'Feijão 2ª safra'!$E81:INDEX('Feijão 2ª safra'!$E81:$Z81,MIN(AC$6-$G$3,22))),0)))))</f>
        <v>0</v>
      </c>
      <c r="AD83" s="27" t="n">
        <f aca="false">IF(COUNT('Feijão 2ª safra'!$E81:$Z81)=0,0,MAX(0,IF((AD$6-$E$3)&lt;1,0,IFERROR(LOOKUP(2,1/('Feijão 2ª safra'!$E81:INDEX('Feijão 2ª safra'!$E81:$Z81,MIN(AD$6-$E$3,22))&lt;&gt;""),'Feijão 2ª safra'!$E81:INDEX('Feijão 2ª safra'!$E81:$Z81,MIN(AD$6-$E$3,22))),0))-IF($G$2,0,IF((AD$6-$G$3)&lt;1,0,IFERROR(LOOKUP(2,1/('Feijão 2ª safra'!$E81:INDEX('Feijão 2ª safra'!$E81:$Z81,MIN(AD$6-$G$3,22))&lt;&gt;""),'Feijão 2ª safra'!$E81:INDEX('Feijão 2ª safra'!$E81:$Z81,MIN(AD$6-$G$3,22))),0)))))</f>
        <v>0</v>
      </c>
      <c r="AE83" s="27" t="n">
        <f aca="false">IF(COUNT('Feijão 2ª safra'!$E81:$Z81)=0,0,MAX(0,IF((AE$6-$E$3)&lt;1,0,IFERROR(LOOKUP(2,1/('Feijão 2ª safra'!$E81:INDEX('Feijão 2ª safra'!$E81:$Z81,MIN(AE$6-$E$3,22))&lt;&gt;""),'Feijão 2ª safra'!$E81:INDEX('Feijão 2ª safra'!$E81:$Z81,MIN(AE$6-$E$3,22))),0))-IF($G$2,0,IF((AE$6-$G$3)&lt;1,0,IFERROR(LOOKUP(2,1/('Feijão 2ª safra'!$E81:INDEX('Feijão 2ª safra'!$E81:$Z81,MIN(AE$6-$G$3,22))&lt;&gt;""),'Feijão 2ª safra'!$E81:INDEX('Feijão 2ª safra'!$E81:$Z81,MIN(AE$6-$G$3,22))),0)))))</f>
        <v>0</v>
      </c>
      <c r="AF83" s="27" t="n">
        <f aca="false">IF(COUNT('Feijão 2ª safra'!$E81:$Z81)=0,0,MAX(0,IF((AF$6-$E$3)&lt;1,0,IFERROR(LOOKUP(2,1/('Feijão 2ª safra'!$E81:INDEX('Feijão 2ª safra'!$E81:$Z81,MIN(AF$6-$E$3,22))&lt;&gt;""),'Feijão 2ª safra'!$E81:INDEX('Feijão 2ª safra'!$E81:$Z81,MIN(AF$6-$E$3,22))),0))-IF($G$2,0,IF((AF$6-$G$3)&lt;1,0,IFERROR(LOOKUP(2,1/('Feijão 2ª safra'!$E81:INDEX('Feijão 2ª safra'!$E81:$Z81,MIN(AF$6-$G$3,22))&lt;&gt;""),'Feijão 2ª safra'!$E81:INDEX('Feijão 2ª safra'!$E81:$Z81,MIN(AF$6-$G$3,22))),0)))))</f>
        <v>0</v>
      </c>
      <c r="AG83" s="27" t="n">
        <f aca="false">IF(COUNT('Feijão 2ª safra'!$E81:$Z81)=0,0,MAX(0,IF((AG$6-$E$3)&lt;1,0,IFERROR(LOOKUP(2,1/('Feijão 2ª safra'!$E81:INDEX('Feijão 2ª safra'!$E81:$Z81,MIN(AG$6-$E$3,22))&lt;&gt;""),'Feijão 2ª safra'!$E81:INDEX('Feijão 2ª safra'!$E81:$Z81,MIN(AG$6-$E$3,22))),0))-IF($G$2,0,IF((AG$6-$G$3)&lt;1,0,IFERROR(LOOKUP(2,1/('Feijão 2ª safra'!$E81:INDEX('Feijão 2ª safra'!$E81:$Z81,MIN(AG$6-$G$3,22))&lt;&gt;""),'Feijão 2ª safra'!$E81:INDEX('Feijão 2ª safra'!$E81:$Z81,MIN(AG$6-$G$3,22))),0)))))</f>
        <v>0</v>
      </c>
      <c r="AH83" s="27" t="n">
        <f aca="false">IF(COUNT('Feijão 2ª safra'!$E81:$Z81)=0,0,MAX(0,IF((AH$6-$E$3)&lt;1,0,IFERROR(LOOKUP(2,1/('Feijão 2ª safra'!$E81:INDEX('Feijão 2ª safra'!$E81:$Z81,MIN(AH$6-$E$3,22))&lt;&gt;""),'Feijão 2ª safra'!$E81:INDEX('Feijão 2ª safra'!$E81:$Z81,MIN(AH$6-$E$3,22))),0))-IF($G$2,0,IF((AH$6-$G$3)&lt;1,0,IFERROR(LOOKUP(2,1/('Feijão 2ª safra'!$E81:INDEX('Feijão 2ª safra'!$E81:$Z81,MIN(AH$6-$G$3,22))&lt;&gt;""),'Feijão 2ª safra'!$E81:INDEX('Feijão 2ª safra'!$E81:$Z81,MIN(AH$6-$G$3,22))),0)))))</f>
        <v>0</v>
      </c>
      <c r="AI83" s="27" t="n">
        <f aca="false">IF(COUNT('Feijão 2ª safra'!$E81:$Z81)=0,0,MAX(0,IF((AI$6-$E$3)&lt;1,0,IFERROR(LOOKUP(2,1/('Feijão 2ª safra'!$E81:INDEX('Feijão 2ª safra'!$E81:$Z81,MIN(AI$6-$E$3,22))&lt;&gt;""),'Feijão 2ª safra'!$E81:INDEX('Feijão 2ª safra'!$E81:$Z81,MIN(AI$6-$E$3,22))),0))-IF($G$2,0,IF((AI$6-$G$3)&lt;1,0,IFERROR(LOOKUP(2,1/('Feijão 2ª safra'!$E81:INDEX('Feijão 2ª safra'!$E81:$Z81,MIN(AI$6-$G$3,22))&lt;&gt;""),'Feijão 2ª safra'!$E81:INDEX('Feijão 2ª safra'!$E81:$Z81,MIN(AI$6-$G$3,22))),0)))))</f>
        <v>0</v>
      </c>
      <c r="AJ83" s="27" t="n">
        <f aca="false">IF(COUNT('Feijão 2ª safra'!$E81:$Z81)=0,0,MAX(0,IF((AJ$6-$E$3)&lt;1,0,IFERROR(LOOKUP(2,1/('Feijão 2ª safra'!$E81:INDEX('Feijão 2ª safra'!$E81:$Z81,MIN(AJ$6-$E$3,22))&lt;&gt;""),'Feijão 2ª safra'!$E81:INDEX('Feijão 2ª safra'!$E81:$Z81,MIN(AJ$6-$E$3,22))),0))-IF($G$2,0,IF((AJ$6-$G$3)&lt;1,0,IFERROR(LOOKUP(2,1/('Feijão 2ª safra'!$E81:INDEX('Feijão 2ª safra'!$E81:$Z81,MIN(AJ$6-$G$3,22))&lt;&gt;""),'Feijão 2ª safra'!$E81:INDEX('Feijão 2ª safra'!$E81:$Z81,MIN(AJ$6-$G$3,22))),0)))))</f>
        <v>0</v>
      </c>
      <c r="AK83" s="27" t="n">
        <f aca="false">IF(COUNT('Feijão 2ª safra'!$E81:$Z81)=0,0,MAX(0,IF((AK$6-$E$3)&lt;1,0,IFERROR(LOOKUP(2,1/('Feijão 2ª safra'!$E81:INDEX('Feijão 2ª safra'!$E81:$Z81,MIN(AK$6-$E$3,22))&lt;&gt;""),'Feijão 2ª safra'!$E81:INDEX('Feijão 2ª safra'!$E81:$Z81,MIN(AK$6-$E$3,22))),0))-IF($G$2,0,IF((AK$6-$G$3)&lt;1,0,IFERROR(LOOKUP(2,1/('Feijão 2ª safra'!$E81:INDEX('Feijão 2ª safra'!$E81:$Z81,MIN(AK$6-$G$3,22))&lt;&gt;""),'Feijão 2ª safra'!$E81:INDEX('Feijão 2ª safra'!$E81:$Z81,MIN(AK$6-$G$3,22))),0)))))</f>
        <v>0</v>
      </c>
      <c r="AL83" s="27" t="n">
        <f aca="false">IF(COUNT('Feijão 2ª safra'!$E81:$Z81)=0,0,MAX(0,IF((AL$6-$E$3)&lt;1,0,IFERROR(LOOKUP(2,1/('Feijão 2ª safra'!$E81:INDEX('Feijão 2ª safra'!$E81:$Z81,MIN(AL$6-$E$3,22))&lt;&gt;""),'Feijão 2ª safra'!$E81:INDEX('Feijão 2ª safra'!$E81:$Z81,MIN(AL$6-$E$3,22))),0))-IF($G$2,0,IF((AL$6-$G$3)&lt;1,0,IFERROR(LOOKUP(2,1/('Feijão 2ª safra'!$E81:INDEX('Feijão 2ª safra'!$E81:$Z81,MIN(AL$6-$G$3,22))&lt;&gt;""),'Feijão 2ª safra'!$E81:INDEX('Feijão 2ª safra'!$E81:$Z81,MIN(AL$6-$G$3,22))),0)))))</f>
        <v>0</v>
      </c>
      <c r="AM83" s="27" t="n">
        <f aca="false">IF(COUNT('Feijão 2ª safra'!$E81:$Z81)=0,0,MAX(0,IF((AM$6-$E$3)&lt;1,0,IFERROR(LOOKUP(2,1/('Feijão 2ª safra'!$E81:INDEX('Feijão 2ª safra'!$E81:$Z81,MIN(AM$6-$E$3,22))&lt;&gt;""),'Feijão 2ª safra'!$E81:INDEX('Feijão 2ª safra'!$E81:$Z81,MIN(AM$6-$E$3,22))),0))-IF($G$2,0,IF((AM$6-$G$3)&lt;1,0,IFERROR(LOOKUP(2,1/('Feijão 2ª safra'!$E81:INDEX('Feijão 2ª safra'!$E81:$Z81,MIN(AM$6-$G$3,22))&lt;&gt;""),'Feijão 2ª safra'!$E81:INDEX('Feijão 2ª safra'!$E81:$Z81,MIN(AM$6-$G$3,22))),0)))))</f>
        <v>0</v>
      </c>
      <c r="AN83" s="27" t="n">
        <f aca="false">IF(COUNT('Feijão 2ª safra'!$E81:$Z81)=0,0,MAX(0,IF((AN$6-$E$3)&lt;1,0,IFERROR(LOOKUP(2,1/('Feijão 2ª safra'!$E81:INDEX('Feijão 2ª safra'!$E81:$Z81,MIN(AN$6-$E$3,22))&lt;&gt;""),'Feijão 2ª safra'!$E81:INDEX('Feijão 2ª safra'!$E81:$Z81,MIN(AN$6-$E$3,22))),0))-IF($G$2,0,IF((AN$6-$G$3)&lt;1,0,IFERROR(LOOKUP(2,1/('Feijão 2ª safra'!$E81:INDEX('Feijão 2ª safra'!$E81:$Z81,MIN(AN$6-$G$3,22))&lt;&gt;""),'Feijão 2ª safra'!$E81:INDEX('Feijão 2ª safra'!$E81:$Z81,MIN(AN$6-$G$3,22))),0)))))</f>
        <v>0</v>
      </c>
      <c r="AO83" s="27" t="n">
        <f aca="false">IF(COUNT('Feijão 2ª safra'!$E81:$Z81)=0,0,MAX(0,IF((AO$6-$E$3)&lt;1,0,IFERROR(LOOKUP(2,1/('Feijão 2ª safra'!$E81:INDEX('Feijão 2ª safra'!$E81:$Z81,MIN(AO$6-$E$3,22))&lt;&gt;""),'Feijão 2ª safra'!$E81:INDEX('Feijão 2ª safra'!$E81:$Z81,MIN(AO$6-$E$3,22))),0))-IF($G$2,0,IF((AO$6-$G$3)&lt;1,0,IFERROR(LOOKUP(2,1/('Feijão 2ª safra'!$E81:INDEX('Feijão 2ª safra'!$E81:$Z81,MIN(AO$6-$G$3,22))&lt;&gt;""),'Feijão 2ª safra'!$E81:INDEX('Feijão 2ª safra'!$E81:$Z81,MIN(AO$6-$G$3,22))),0)))))</f>
        <v>0</v>
      </c>
      <c r="AP83" s="27" t="n">
        <f aca="false">IF(COUNT('Feijão 2ª safra'!$E81:$Z81)=0,0,MAX(0,IF((AP$6-$E$3)&lt;1,0,IFERROR(LOOKUP(2,1/('Feijão 2ª safra'!$E81:INDEX('Feijão 2ª safra'!$E81:$Z81,MIN(AP$6-$E$3,22))&lt;&gt;""),'Feijão 2ª safra'!$E81:INDEX('Feijão 2ª safra'!$E81:$Z81,MIN(AP$6-$E$3,22))),0))-IF($G$2,0,IF((AP$6-$G$3)&lt;1,0,IFERROR(LOOKUP(2,1/('Feijão 2ª safra'!$E81:INDEX('Feijão 2ª safra'!$E81:$Z81,MIN(AP$6-$G$3,22))&lt;&gt;""),'Feijão 2ª safra'!$E81:INDEX('Feijão 2ª safra'!$E81:$Z81,MIN(AP$6-$G$3,22))),0)))))</f>
        <v>0</v>
      </c>
      <c r="AQ83" s="27" t="n">
        <f aca="false">IF(COUNT('Feijão 2ª safra'!$E81:$Z81)=0,0,MAX(0,IF((AQ$6-$E$3)&lt;1,0,IFERROR(LOOKUP(2,1/('Feijão 2ª safra'!$E81:INDEX('Feijão 2ª safra'!$E81:$Z81,MIN(AQ$6-$E$3,22))&lt;&gt;""),'Feijão 2ª safra'!$E81:INDEX('Feijão 2ª safra'!$E81:$Z81,MIN(AQ$6-$E$3,22))),0))-IF($G$2,0,IF((AQ$6-$G$3)&lt;1,0,IFERROR(LOOKUP(2,1/('Feijão 2ª safra'!$E81:INDEX('Feijão 2ª safra'!$E81:$Z81,MIN(AQ$6-$G$3,22))&lt;&gt;""),'Feijão 2ª safra'!$E81:INDEX('Feijão 2ª safra'!$E81:$Z81,MIN(AQ$6-$G$3,22))),0)))))</f>
        <v>0</v>
      </c>
      <c r="AR83" s="27" t="n">
        <f aca="false">IF(COUNT('Feijão 2ª safra'!$E81:$Z81)=0,0,MAX(0,IF((AR$6-$E$3)&lt;1,0,IFERROR(LOOKUP(2,1/('Feijão 2ª safra'!$E81:INDEX('Feijão 2ª safra'!$E81:$Z81,MIN(AR$6-$E$3,22))&lt;&gt;""),'Feijão 2ª safra'!$E81:INDEX('Feijão 2ª safra'!$E81:$Z81,MIN(AR$6-$E$3,22))),0))-IF($G$2,0,IF((AR$6-$G$3)&lt;1,0,IFERROR(LOOKUP(2,1/('Feijão 2ª safra'!$E81:INDEX('Feijão 2ª safra'!$E81:$Z81,MIN(AR$6-$G$3,22))&lt;&gt;""),'Feijão 2ª safra'!$E81:INDEX('Feijão 2ª safra'!$E81:$Z81,MIN(AR$6-$G$3,22))),0)))))</f>
        <v>0</v>
      </c>
      <c r="AS83" s="27" t="n">
        <f aca="false">IF(COUNT('Feijão 2ª safra'!$E81:$Z81)=0,0,MAX(0,IF((AS$6-$E$3)&lt;1,0,IFERROR(LOOKUP(2,1/('Feijão 2ª safra'!$E81:INDEX('Feijão 2ª safra'!$E81:$Z81,MIN(AS$6-$E$3,22))&lt;&gt;""),'Feijão 2ª safra'!$E81:INDEX('Feijão 2ª safra'!$E81:$Z81,MIN(AS$6-$E$3,22))),0))-IF($G$2,0,IF((AS$6-$G$3)&lt;1,0,IFERROR(LOOKUP(2,1/('Feijão 2ª safra'!$E81:INDEX('Feijão 2ª safra'!$E81:$Z81,MIN(AS$6-$G$3,22))&lt;&gt;""),'Feijão 2ª safra'!$E81:INDEX('Feijão 2ª safra'!$E81:$Z81,MIN(AS$6-$G$3,22))),0)))))</f>
        <v>0</v>
      </c>
      <c r="AT83" s="27" t="n">
        <f aca="false">IF(COUNT('Feijão 2ª safra'!$E81:$Z81)=0,0,MAX(0,IF((AT$6-$E$3)&lt;1,0,IFERROR(LOOKUP(2,1/('Feijão 2ª safra'!$E81:INDEX('Feijão 2ª safra'!$E81:$Z81,MIN(AT$6-$E$3,22))&lt;&gt;""),'Feijão 2ª safra'!$E81:INDEX('Feijão 2ª safra'!$E81:$Z81,MIN(AT$6-$E$3,22))),0))-IF($G$2,0,IF((AT$6-$G$3)&lt;1,0,IFERROR(LOOKUP(2,1/('Feijão 2ª safra'!$E81:INDEX('Feijão 2ª safra'!$E81:$Z81,MIN(AT$6-$G$3,22))&lt;&gt;""),'Feijão 2ª safra'!$E81:INDEX('Feijão 2ª safra'!$E81:$Z81,MIN(AT$6-$G$3,22))),0)))))</f>
        <v>0</v>
      </c>
      <c r="AU83" s="27" t="n">
        <f aca="false">IF(COUNT('Feijão 2ª safra'!$E81:$Z81)=0,0,MAX(0,IF((AU$6-$E$3)&lt;1,0,IFERROR(LOOKUP(2,1/('Feijão 2ª safra'!$E81:INDEX('Feijão 2ª safra'!$E81:$Z81,MIN(AU$6-$E$3,22))&lt;&gt;""),'Feijão 2ª safra'!$E81:INDEX('Feijão 2ª safra'!$E81:$Z81,MIN(AU$6-$E$3,22))),0))-IF($G$2,0,IF((AU$6-$G$3)&lt;1,0,IFERROR(LOOKUP(2,1/('Feijão 2ª safra'!$E81:INDEX('Feijão 2ª safra'!$E81:$Z81,MIN(AU$6-$G$3,22))&lt;&gt;""),'Feijão 2ª safra'!$E81:INDEX('Feijão 2ª safra'!$E81:$Z81,MIN(AU$6-$G$3,22))),0)))))</f>
        <v>0</v>
      </c>
      <c r="AV83" s="27" t="n">
        <f aca="false">IF(COUNT('Feijão 2ª safra'!$E81:$Z81)=0,0,MAX(0,IF((AV$6-$E$3)&lt;1,0,IFERROR(LOOKUP(2,1/('Feijão 2ª safra'!$E81:INDEX('Feijão 2ª safra'!$E81:$Z81,MIN(AV$6-$E$3,22))&lt;&gt;""),'Feijão 2ª safra'!$E81:INDEX('Feijão 2ª safra'!$E81:$Z81,MIN(AV$6-$E$3,22))),0))-IF($G$2,0,IF((AV$6-$G$3)&lt;1,0,IFERROR(LOOKUP(2,1/('Feijão 2ª safra'!$E81:INDEX('Feijão 2ª safra'!$E81:$Z81,MIN(AV$6-$G$3,22))&lt;&gt;""),'Feijão 2ª safra'!$E81:INDEX('Feijão 2ª safra'!$E81:$Z81,MIN(AV$6-$G$3,22))),0)))))</f>
        <v>0</v>
      </c>
      <c r="AW83" s="27" t="n">
        <f aca="false">IF(COUNT('Feijão 2ª safra'!$E81:$Z81)=0,0,MAX(0,IF((AW$6-$E$3)&lt;1,0,IFERROR(LOOKUP(2,1/('Feijão 2ª safra'!$E81:INDEX('Feijão 2ª safra'!$E81:$Z81,MIN(AW$6-$E$3,22))&lt;&gt;""),'Feijão 2ª safra'!$E81:INDEX('Feijão 2ª safra'!$E81:$Z81,MIN(AW$6-$E$3,22))),0))-IF($G$2,0,IF((AW$6-$G$3)&lt;1,0,IFERROR(LOOKUP(2,1/('Feijão 2ª safra'!$E81:INDEX('Feijão 2ª safra'!$E81:$Z81,MIN(AW$6-$G$3,22))&lt;&gt;""),'Feijão 2ª safra'!$E81:INDEX('Feijão 2ª safra'!$E81:$Z81,MIN(AW$6-$G$3,22))),0)))))</f>
        <v>0</v>
      </c>
      <c r="AX83" s="27" t="n">
        <f aca="false">IF(COUNT('Feijão 2ª safra'!$E81:$Z81)=0,0,MAX(0,IF((AX$6-$E$3)&lt;1,0,IFERROR(LOOKUP(2,1/('Feijão 2ª safra'!$E81:INDEX('Feijão 2ª safra'!$E81:$Z81,MIN(AX$6-$E$3,22))&lt;&gt;""),'Feijão 2ª safra'!$E81:INDEX('Feijão 2ª safra'!$E81:$Z81,MIN(AX$6-$E$3,22))),0))-IF($G$2,0,IF((AX$6-$G$3)&lt;1,0,IFERROR(LOOKUP(2,1/('Feijão 2ª safra'!$E81:INDEX('Feijão 2ª safra'!$E81:$Z81,MIN(AX$6-$G$3,22))&lt;&gt;""),'Feijão 2ª safra'!$E81:INDEX('Feijão 2ª safra'!$E81:$Z81,MIN(AX$6-$G$3,22))),0)))))</f>
        <v>0</v>
      </c>
      <c r="AY83" s="27" t="n">
        <f aca="false">IF(COUNT('Feijão 2ª safra'!$E81:$Z81)=0,0,MAX(0,IF((AY$6-$E$3)&lt;1,0,IFERROR(LOOKUP(2,1/('Feijão 2ª safra'!$E81:INDEX('Feijão 2ª safra'!$E81:$Z81,MIN(AY$6-$E$3,22))&lt;&gt;""),'Feijão 2ª safra'!$E81:INDEX('Feijão 2ª safra'!$E81:$Z81,MIN(AY$6-$E$3,22))),0))-IF($G$2,0,IF((AY$6-$G$3)&lt;1,0,IFERROR(LOOKUP(2,1/('Feijão 2ª safra'!$E81:INDEX('Feijão 2ª safra'!$E81:$Z81,MIN(AY$6-$G$3,22))&lt;&gt;""),'Feijão 2ª safra'!$E81:INDEX('Feijão 2ª safra'!$E81:$Z81,MIN(AY$6-$G$3,22))),0)))))</f>
        <v>0</v>
      </c>
      <c r="AZ83" s="27" t="n">
        <f aca="false">IF(COUNT('Feijão 2ª safra'!$E81:$Z81)=0,0,MAX(0,IF((AZ$6-$E$3)&lt;1,0,IFERROR(LOOKUP(2,1/('Feijão 2ª safra'!$E81:INDEX('Feijão 2ª safra'!$E81:$Z81,MIN(AZ$6-$E$3,22))&lt;&gt;""),'Feijão 2ª safra'!$E81:INDEX('Feijão 2ª safra'!$E81:$Z81,MIN(AZ$6-$E$3,22))),0))-IF($G$2,0,IF((AZ$6-$G$3)&lt;1,0,IFERROR(LOOKUP(2,1/('Feijão 2ª safra'!$E81:INDEX('Feijão 2ª safra'!$E81:$Z81,MIN(AZ$6-$G$3,22))&lt;&gt;""),'Feijão 2ª safra'!$E81:INDEX('Feijão 2ª safra'!$E81:$Z81,MIN(AZ$6-$G$3,22))),0)))))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IF(COUNT('Feijão 2ª safra'!$E82:$Z82)&gt;0,N('Feijão 2ª safra'!$D82),0)</f>
        <v>0</v>
      </c>
      <c r="E84" s="27" t="n">
        <f aca="false">IF(COUNT('Feijão 2ª safra'!$E82:$Z82)=0,0,MAX(0,IF((E$6-$E$3)&lt;1,0,IFERROR(LOOKUP(2,1/('Feijão 2ª safra'!$E82:INDEX('Feijão 2ª safra'!$E82:$Z82,MIN(E$6-$E$3,22))&lt;&gt;""),'Feijão 2ª safra'!$E82:INDEX('Feijão 2ª safra'!$E82:$Z82,MIN(E$6-$E$3,22))),0))-IF($G$2,0,IF((E$6-$G$3)&lt;1,0,IFERROR(LOOKUP(2,1/('Feijão 2ª safra'!$E82:INDEX('Feijão 2ª safra'!$E82:$Z82,MIN(E$6-$G$3,22))&lt;&gt;""),'Feijão 2ª safra'!$E82:INDEX('Feijão 2ª safra'!$E82:$Z82,MIN(E$6-$G$3,22))),0)))))</f>
        <v>0</v>
      </c>
      <c r="F84" s="27" t="n">
        <f aca="false">IF(COUNT('Feijão 2ª safra'!$E82:$Z82)=0,0,MAX(0,IF((F$6-$E$3)&lt;1,0,IFERROR(LOOKUP(2,1/('Feijão 2ª safra'!$E82:INDEX('Feijão 2ª safra'!$E82:$Z82,MIN(F$6-$E$3,22))&lt;&gt;""),'Feijão 2ª safra'!$E82:INDEX('Feijão 2ª safra'!$E82:$Z82,MIN(F$6-$E$3,22))),0))-IF($G$2,0,IF((F$6-$G$3)&lt;1,0,IFERROR(LOOKUP(2,1/('Feijão 2ª safra'!$E82:INDEX('Feijão 2ª safra'!$E82:$Z82,MIN(F$6-$G$3,22))&lt;&gt;""),'Feijão 2ª safra'!$E82:INDEX('Feijão 2ª safra'!$E82:$Z82,MIN(F$6-$G$3,22))),0)))))</f>
        <v>0</v>
      </c>
      <c r="G84" s="27" t="n">
        <f aca="false">IF(COUNT('Feijão 2ª safra'!$E82:$Z82)=0,0,MAX(0,IF((G$6-$E$3)&lt;1,0,IFERROR(LOOKUP(2,1/('Feijão 2ª safra'!$E82:INDEX('Feijão 2ª safra'!$E82:$Z82,MIN(G$6-$E$3,22))&lt;&gt;""),'Feijão 2ª safra'!$E82:INDEX('Feijão 2ª safra'!$E82:$Z82,MIN(G$6-$E$3,22))),0))-IF($G$2,0,IF((G$6-$G$3)&lt;1,0,IFERROR(LOOKUP(2,1/('Feijão 2ª safra'!$E82:INDEX('Feijão 2ª safra'!$E82:$Z82,MIN(G$6-$G$3,22))&lt;&gt;""),'Feijão 2ª safra'!$E82:INDEX('Feijão 2ª safra'!$E82:$Z82,MIN(G$6-$G$3,22))),0)))))</f>
        <v>0</v>
      </c>
      <c r="H84" s="27" t="n">
        <f aca="false">IF(COUNT('Feijão 2ª safra'!$E82:$Z82)=0,0,MAX(0,IF((H$6-$E$3)&lt;1,0,IFERROR(LOOKUP(2,1/('Feijão 2ª safra'!$E82:INDEX('Feijão 2ª safra'!$E82:$Z82,MIN(H$6-$E$3,22))&lt;&gt;""),'Feijão 2ª safra'!$E82:INDEX('Feijão 2ª safra'!$E82:$Z82,MIN(H$6-$E$3,22))),0))-IF($G$2,0,IF((H$6-$G$3)&lt;1,0,IFERROR(LOOKUP(2,1/('Feijão 2ª safra'!$E82:INDEX('Feijão 2ª safra'!$E82:$Z82,MIN(H$6-$G$3,22))&lt;&gt;""),'Feijão 2ª safra'!$E82:INDEX('Feijão 2ª safra'!$E82:$Z82,MIN(H$6-$G$3,22))),0)))))</f>
        <v>0</v>
      </c>
      <c r="I84" s="27" t="n">
        <f aca="false">IF(COUNT('Feijão 2ª safra'!$E82:$Z82)=0,0,MAX(0,IF((I$6-$E$3)&lt;1,0,IFERROR(LOOKUP(2,1/('Feijão 2ª safra'!$E82:INDEX('Feijão 2ª safra'!$E82:$Z82,MIN(I$6-$E$3,22))&lt;&gt;""),'Feijão 2ª safra'!$E82:INDEX('Feijão 2ª safra'!$E82:$Z82,MIN(I$6-$E$3,22))),0))-IF($G$2,0,IF((I$6-$G$3)&lt;1,0,IFERROR(LOOKUP(2,1/('Feijão 2ª safra'!$E82:INDEX('Feijão 2ª safra'!$E82:$Z82,MIN(I$6-$G$3,22))&lt;&gt;""),'Feijão 2ª safra'!$E82:INDEX('Feijão 2ª safra'!$E82:$Z82,MIN(I$6-$G$3,22))),0)))))</f>
        <v>0</v>
      </c>
      <c r="J84" s="27" t="n">
        <f aca="false">IF(COUNT('Feijão 2ª safra'!$E82:$Z82)=0,0,MAX(0,IF((J$6-$E$3)&lt;1,0,IFERROR(LOOKUP(2,1/('Feijão 2ª safra'!$E82:INDEX('Feijão 2ª safra'!$E82:$Z82,MIN(J$6-$E$3,22))&lt;&gt;""),'Feijão 2ª safra'!$E82:INDEX('Feijão 2ª safra'!$E82:$Z82,MIN(J$6-$E$3,22))),0))-IF($G$2,0,IF((J$6-$G$3)&lt;1,0,IFERROR(LOOKUP(2,1/('Feijão 2ª safra'!$E82:INDEX('Feijão 2ª safra'!$E82:$Z82,MIN(J$6-$G$3,22))&lt;&gt;""),'Feijão 2ª safra'!$E82:INDEX('Feijão 2ª safra'!$E82:$Z82,MIN(J$6-$G$3,22))),0)))))</f>
        <v>0</v>
      </c>
      <c r="K84" s="27" t="n">
        <f aca="false">IF(COUNT('Feijão 2ª safra'!$E82:$Z82)=0,0,MAX(0,IF((K$6-$E$3)&lt;1,0,IFERROR(LOOKUP(2,1/('Feijão 2ª safra'!$E82:INDEX('Feijão 2ª safra'!$E82:$Z82,MIN(K$6-$E$3,22))&lt;&gt;""),'Feijão 2ª safra'!$E82:INDEX('Feijão 2ª safra'!$E82:$Z82,MIN(K$6-$E$3,22))),0))-IF($G$2,0,IF((K$6-$G$3)&lt;1,0,IFERROR(LOOKUP(2,1/('Feijão 2ª safra'!$E82:INDEX('Feijão 2ª safra'!$E82:$Z82,MIN(K$6-$G$3,22))&lt;&gt;""),'Feijão 2ª safra'!$E82:INDEX('Feijão 2ª safra'!$E82:$Z82,MIN(K$6-$G$3,22))),0)))))</f>
        <v>0</v>
      </c>
      <c r="L84" s="27" t="n">
        <f aca="false">IF(COUNT('Feijão 2ª safra'!$E82:$Z82)=0,0,MAX(0,IF((L$6-$E$3)&lt;1,0,IFERROR(LOOKUP(2,1/('Feijão 2ª safra'!$E82:INDEX('Feijão 2ª safra'!$E82:$Z82,MIN(L$6-$E$3,22))&lt;&gt;""),'Feijão 2ª safra'!$E82:INDEX('Feijão 2ª safra'!$E82:$Z82,MIN(L$6-$E$3,22))),0))-IF($G$2,0,IF((L$6-$G$3)&lt;1,0,IFERROR(LOOKUP(2,1/('Feijão 2ª safra'!$E82:INDEX('Feijão 2ª safra'!$E82:$Z82,MIN(L$6-$G$3,22))&lt;&gt;""),'Feijão 2ª safra'!$E82:INDEX('Feijão 2ª safra'!$E82:$Z82,MIN(L$6-$G$3,22))),0)))))</f>
        <v>0</v>
      </c>
      <c r="M84" s="27" t="n">
        <f aca="false">IF(COUNT('Feijão 2ª safra'!$E82:$Z82)=0,0,MAX(0,IF((M$6-$E$3)&lt;1,0,IFERROR(LOOKUP(2,1/('Feijão 2ª safra'!$E82:INDEX('Feijão 2ª safra'!$E82:$Z82,MIN(M$6-$E$3,22))&lt;&gt;""),'Feijão 2ª safra'!$E82:INDEX('Feijão 2ª safra'!$E82:$Z82,MIN(M$6-$E$3,22))),0))-IF($G$2,0,IF((M$6-$G$3)&lt;1,0,IFERROR(LOOKUP(2,1/('Feijão 2ª safra'!$E82:INDEX('Feijão 2ª safra'!$E82:$Z82,MIN(M$6-$G$3,22))&lt;&gt;""),'Feijão 2ª safra'!$E82:INDEX('Feijão 2ª safra'!$E82:$Z82,MIN(M$6-$G$3,22))),0)))))</f>
        <v>0</v>
      </c>
      <c r="N84" s="27" t="n">
        <f aca="false">IF(COUNT('Feijão 2ª safra'!$E82:$Z82)=0,0,MAX(0,IF((N$6-$E$3)&lt;1,0,IFERROR(LOOKUP(2,1/('Feijão 2ª safra'!$E82:INDEX('Feijão 2ª safra'!$E82:$Z82,MIN(N$6-$E$3,22))&lt;&gt;""),'Feijão 2ª safra'!$E82:INDEX('Feijão 2ª safra'!$E82:$Z82,MIN(N$6-$E$3,22))),0))-IF($G$2,0,IF((N$6-$G$3)&lt;1,0,IFERROR(LOOKUP(2,1/('Feijão 2ª safra'!$E82:INDEX('Feijão 2ª safra'!$E82:$Z82,MIN(N$6-$G$3,22))&lt;&gt;""),'Feijão 2ª safra'!$E82:INDEX('Feijão 2ª safra'!$E82:$Z82,MIN(N$6-$G$3,22))),0)))))</f>
        <v>0</v>
      </c>
      <c r="O84" s="27" t="n">
        <f aca="false">IF(COUNT('Feijão 2ª safra'!$E82:$Z82)=0,0,MAX(0,IF((O$6-$E$3)&lt;1,0,IFERROR(LOOKUP(2,1/('Feijão 2ª safra'!$E82:INDEX('Feijão 2ª safra'!$E82:$Z82,MIN(O$6-$E$3,22))&lt;&gt;""),'Feijão 2ª safra'!$E82:INDEX('Feijão 2ª safra'!$E82:$Z82,MIN(O$6-$E$3,22))),0))-IF($G$2,0,IF((O$6-$G$3)&lt;1,0,IFERROR(LOOKUP(2,1/('Feijão 2ª safra'!$E82:INDEX('Feijão 2ª safra'!$E82:$Z82,MIN(O$6-$G$3,22))&lt;&gt;""),'Feijão 2ª safra'!$E82:INDEX('Feijão 2ª safra'!$E82:$Z82,MIN(O$6-$G$3,22))),0)))))</f>
        <v>0</v>
      </c>
      <c r="P84" s="27" t="n">
        <f aca="false">IF(COUNT('Feijão 2ª safra'!$E82:$Z82)=0,0,MAX(0,IF((P$6-$E$3)&lt;1,0,IFERROR(LOOKUP(2,1/('Feijão 2ª safra'!$E82:INDEX('Feijão 2ª safra'!$E82:$Z82,MIN(P$6-$E$3,22))&lt;&gt;""),'Feijão 2ª safra'!$E82:INDEX('Feijão 2ª safra'!$E82:$Z82,MIN(P$6-$E$3,22))),0))-IF($G$2,0,IF((P$6-$G$3)&lt;1,0,IFERROR(LOOKUP(2,1/('Feijão 2ª safra'!$E82:INDEX('Feijão 2ª safra'!$E82:$Z82,MIN(P$6-$G$3,22))&lt;&gt;""),'Feijão 2ª safra'!$E82:INDEX('Feijão 2ª safra'!$E82:$Z82,MIN(P$6-$G$3,22))),0)))))</f>
        <v>0</v>
      </c>
      <c r="Q84" s="27" t="n">
        <f aca="false">IF(COUNT('Feijão 2ª safra'!$E82:$Z82)=0,0,MAX(0,IF((Q$6-$E$3)&lt;1,0,IFERROR(LOOKUP(2,1/('Feijão 2ª safra'!$E82:INDEX('Feijão 2ª safra'!$E82:$Z82,MIN(Q$6-$E$3,22))&lt;&gt;""),'Feijão 2ª safra'!$E82:INDEX('Feijão 2ª safra'!$E82:$Z82,MIN(Q$6-$E$3,22))),0))-IF($G$2,0,IF((Q$6-$G$3)&lt;1,0,IFERROR(LOOKUP(2,1/('Feijão 2ª safra'!$E82:INDEX('Feijão 2ª safra'!$E82:$Z82,MIN(Q$6-$G$3,22))&lt;&gt;""),'Feijão 2ª safra'!$E82:INDEX('Feijão 2ª safra'!$E82:$Z82,MIN(Q$6-$G$3,22))),0)))))</f>
        <v>0</v>
      </c>
      <c r="R84" s="27" t="n">
        <f aca="false">IF(COUNT('Feijão 2ª safra'!$E82:$Z82)=0,0,MAX(0,IF((R$6-$E$3)&lt;1,0,IFERROR(LOOKUP(2,1/('Feijão 2ª safra'!$E82:INDEX('Feijão 2ª safra'!$E82:$Z82,MIN(R$6-$E$3,22))&lt;&gt;""),'Feijão 2ª safra'!$E82:INDEX('Feijão 2ª safra'!$E82:$Z82,MIN(R$6-$E$3,22))),0))-IF($G$2,0,IF((R$6-$G$3)&lt;1,0,IFERROR(LOOKUP(2,1/('Feijão 2ª safra'!$E82:INDEX('Feijão 2ª safra'!$E82:$Z82,MIN(R$6-$G$3,22))&lt;&gt;""),'Feijão 2ª safra'!$E82:INDEX('Feijão 2ª safra'!$E82:$Z82,MIN(R$6-$G$3,22))),0)))))</f>
        <v>0</v>
      </c>
      <c r="S84" s="27" t="n">
        <f aca="false">IF(COUNT('Feijão 2ª safra'!$E82:$Z82)=0,0,MAX(0,IF((S$6-$E$3)&lt;1,0,IFERROR(LOOKUP(2,1/('Feijão 2ª safra'!$E82:INDEX('Feijão 2ª safra'!$E82:$Z82,MIN(S$6-$E$3,22))&lt;&gt;""),'Feijão 2ª safra'!$E82:INDEX('Feijão 2ª safra'!$E82:$Z82,MIN(S$6-$E$3,22))),0))-IF($G$2,0,IF((S$6-$G$3)&lt;1,0,IFERROR(LOOKUP(2,1/('Feijão 2ª safra'!$E82:INDEX('Feijão 2ª safra'!$E82:$Z82,MIN(S$6-$G$3,22))&lt;&gt;""),'Feijão 2ª safra'!$E82:INDEX('Feijão 2ª safra'!$E82:$Z82,MIN(S$6-$G$3,22))),0)))))</f>
        <v>0</v>
      </c>
      <c r="T84" s="27" t="n">
        <f aca="false">IF(COUNT('Feijão 2ª safra'!$E82:$Z82)=0,0,MAX(0,IF((T$6-$E$3)&lt;1,0,IFERROR(LOOKUP(2,1/('Feijão 2ª safra'!$E82:INDEX('Feijão 2ª safra'!$E82:$Z82,MIN(T$6-$E$3,22))&lt;&gt;""),'Feijão 2ª safra'!$E82:INDEX('Feijão 2ª safra'!$E82:$Z82,MIN(T$6-$E$3,22))),0))-IF($G$2,0,IF((T$6-$G$3)&lt;1,0,IFERROR(LOOKUP(2,1/('Feijão 2ª safra'!$E82:INDEX('Feijão 2ª safra'!$E82:$Z82,MIN(T$6-$G$3,22))&lt;&gt;""),'Feijão 2ª safra'!$E82:INDEX('Feijão 2ª safra'!$E82:$Z82,MIN(T$6-$G$3,22))),0)))))</f>
        <v>0</v>
      </c>
      <c r="U84" s="27" t="n">
        <f aca="false">IF(COUNT('Feijão 2ª safra'!$E82:$Z82)=0,0,MAX(0,IF((U$6-$E$3)&lt;1,0,IFERROR(LOOKUP(2,1/('Feijão 2ª safra'!$E82:INDEX('Feijão 2ª safra'!$E82:$Z82,MIN(U$6-$E$3,22))&lt;&gt;""),'Feijão 2ª safra'!$E82:INDEX('Feijão 2ª safra'!$E82:$Z82,MIN(U$6-$E$3,22))),0))-IF($G$2,0,IF((U$6-$G$3)&lt;1,0,IFERROR(LOOKUP(2,1/('Feijão 2ª safra'!$E82:INDEX('Feijão 2ª safra'!$E82:$Z82,MIN(U$6-$G$3,22))&lt;&gt;""),'Feijão 2ª safra'!$E82:INDEX('Feijão 2ª safra'!$E82:$Z82,MIN(U$6-$G$3,22))),0)))))</f>
        <v>0</v>
      </c>
      <c r="V84" s="27" t="n">
        <f aca="false">IF(COUNT('Feijão 2ª safra'!$E82:$Z82)=0,0,MAX(0,IF((V$6-$E$3)&lt;1,0,IFERROR(LOOKUP(2,1/('Feijão 2ª safra'!$E82:INDEX('Feijão 2ª safra'!$E82:$Z82,MIN(V$6-$E$3,22))&lt;&gt;""),'Feijão 2ª safra'!$E82:INDEX('Feijão 2ª safra'!$E82:$Z82,MIN(V$6-$E$3,22))),0))-IF($G$2,0,IF((V$6-$G$3)&lt;1,0,IFERROR(LOOKUP(2,1/('Feijão 2ª safra'!$E82:INDEX('Feijão 2ª safra'!$E82:$Z82,MIN(V$6-$G$3,22))&lt;&gt;""),'Feijão 2ª safra'!$E82:INDEX('Feijão 2ª safra'!$E82:$Z82,MIN(V$6-$G$3,22))),0)))))</f>
        <v>0</v>
      </c>
      <c r="W84" s="27" t="n">
        <f aca="false">IF(COUNT('Feijão 2ª safra'!$E82:$Z82)=0,0,MAX(0,IF((W$6-$E$3)&lt;1,0,IFERROR(LOOKUP(2,1/('Feijão 2ª safra'!$E82:INDEX('Feijão 2ª safra'!$E82:$Z82,MIN(W$6-$E$3,22))&lt;&gt;""),'Feijão 2ª safra'!$E82:INDEX('Feijão 2ª safra'!$E82:$Z82,MIN(W$6-$E$3,22))),0))-IF($G$2,0,IF((W$6-$G$3)&lt;1,0,IFERROR(LOOKUP(2,1/('Feijão 2ª safra'!$E82:INDEX('Feijão 2ª safra'!$E82:$Z82,MIN(W$6-$G$3,22))&lt;&gt;""),'Feijão 2ª safra'!$E82:INDEX('Feijão 2ª safra'!$E82:$Z82,MIN(W$6-$G$3,22))),0)))))</f>
        <v>0</v>
      </c>
      <c r="X84" s="27" t="n">
        <f aca="false">IF(COUNT('Feijão 2ª safra'!$E82:$Z82)=0,0,MAX(0,IF((X$6-$E$3)&lt;1,0,IFERROR(LOOKUP(2,1/('Feijão 2ª safra'!$E82:INDEX('Feijão 2ª safra'!$E82:$Z82,MIN(X$6-$E$3,22))&lt;&gt;""),'Feijão 2ª safra'!$E82:INDEX('Feijão 2ª safra'!$E82:$Z82,MIN(X$6-$E$3,22))),0))-IF($G$2,0,IF((X$6-$G$3)&lt;1,0,IFERROR(LOOKUP(2,1/('Feijão 2ª safra'!$E82:INDEX('Feijão 2ª safra'!$E82:$Z82,MIN(X$6-$G$3,22))&lt;&gt;""),'Feijão 2ª safra'!$E82:INDEX('Feijão 2ª safra'!$E82:$Z82,MIN(X$6-$G$3,22))),0)))))</f>
        <v>0</v>
      </c>
      <c r="Y84" s="27" t="n">
        <f aca="false">IF(COUNT('Feijão 2ª safra'!$E82:$Z82)=0,0,MAX(0,IF((Y$6-$E$3)&lt;1,0,IFERROR(LOOKUP(2,1/('Feijão 2ª safra'!$E82:INDEX('Feijão 2ª safra'!$E82:$Z82,MIN(Y$6-$E$3,22))&lt;&gt;""),'Feijão 2ª safra'!$E82:INDEX('Feijão 2ª safra'!$E82:$Z82,MIN(Y$6-$E$3,22))),0))-IF($G$2,0,IF((Y$6-$G$3)&lt;1,0,IFERROR(LOOKUP(2,1/('Feijão 2ª safra'!$E82:INDEX('Feijão 2ª safra'!$E82:$Z82,MIN(Y$6-$G$3,22))&lt;&gt;""),'Feijão 2ª safra'!$E82:INDEX('Feijão 2ª safra'!$E82:$Z82,MIN(Y$6-$G$3,22))),0)))))</f>
        <v>0</v>
      </c>
      <c r="Z84" s="27" t="n">
        <f aca="false">IF(COUNT('Feijão 2ª safra'!$E82:$Z82)=0,0,MAX(0,IF((Z$6-$E$3)&lt;1,0,IFERROR(LOOKUP(2,1/('Feijão 2ª safra'!$E82:INDEX('Feijão 2ª safra'!$E82:$Z82,MIN(Z$6-$E$3,22))&lt;&gt;""),'Feijão 2ª safra'!$E82:INDEX('Feijão 2ª safra'!$E82:$Z82,MIN(Z$6-$E$3,22))),0))-IF($G$2,0,IF((Z$6-$G$3)&lt;1,0,IFERROR(LOOKUP(2,1/('Feijão 2ª safra'!$E82:INDEX('Feijão 2ª safra'!$E82:$Z82,MIN(Z$6-$G$3,22))&lt;&gt;""),'Feijão 2ª safra'!$E82:INDEX('Feijão 2ª safra'!$E82:$Z82,MIN(Z$6-$G$3,22))),0)))))</f>
        <v>0</v>
      </c>
      <c r="AA84" s="27" t="n">
        <f aca="false">IF(COUNT('Feijão 2ª safra'!$E82:$Z82)=0,0,MAX(0,IF((AA$6-$E$3)&lt;1,0,IFERROR(LOOKUP(2,1/('Feijão 2ª safra'!$E82:INDEX('Feijão 2ª safra'!$E82:$Z82,MIN(AA$6-$E$3,22))&lt;&gt;""),'Feijão 2ª safra'!$E82:INDEX('Feijão 2ª safra'!$E82:$Z82,MIN(AA$6-$E$3,22))),0))-IF($G$2,0,IF((AA$6-$G$3)&lt;1,0,IFERROR(LOOKUP(2,1/('Feijão 2ª safra'!$E82:INDEX('Feijão 2ª safra'!$E82:$Z82,MIN(AA$6-$G$3,22))&lt;&gt;""),'Feijão 2ª safra'!$E82:INDEX('Feijão 2ª safra'!$E82:$Z82,MIN(AA$6-$G$3,22))),0)))))</f>
        <v>0</v>
      </c>
      <c r="AB84" s="27" t="n">
        <f aca="false">IF(COUNT('Feijão 2ª safra'!$E82:$Z82)=0,0,MAX(0,IF((AB$6-$E$3)&lt;1,0,IFERROR(LOOKUP(2,1/('Feijão 2ª safra'!$E82:INDEX('Feijão 2ª safra'!$E82:$Z82,MIN(AB$6-$E$3,22))&lt;&gt;""),'Feijão 2ª safra'!$E82:INDEX('Feijão 2ª safra'!$E82:$Z82,MIN(AB$6-$E$3,22))),0))-IF($G$2,0,IF((AB$6-$G$3)&lt;1,0,IFERROR(LOOKUP(2,1/('Feijão 2ª safra'!$E82:INDEX('Feijão 2ª safra'!$E82:$Z82,MIN(AB$6-$G$3,22))&lt;&gt;""),'Feijão 2ª safra'!$E82:INDEX('Feijão 2ª safra'!$E82:$Z82,MIN(AB$6-$G$3,22))),0)))))</f>
        <v>0</v>
      </c>
      <c r="AC84" s="27" t="n">
        <f aca="false">IF(COUNT('Feijão 2ª safra'!$E82:$Z82)=0,0,MAX(0,IF((AC$6-$E$3)&lt;1,0,IFERROR(LOOKUP(2,1/('Feijão 2ª safra'!$E82:INDEX('Feijão 2ª safra'!$E82:$Z82,MIN(AC$6-$E$3,22))&lt;&gt;""),'Feijão 2ª safra'!$E82:INDEX('Feijão 2ª safra'!$E82:$Z82,MIN(AC$6-$E$3,22))),0))-IF($G$2,0,IF((AC$6-$G$3)&lt;1,0,IFERROR(LOOKUP(2,1/('Feijão 2ª safra'!$E82:INDEX('Feijão 2ª safra'!$E82:$Z82,MIN(AC$6-$G$3,22))&lt;&gt;""),'Feijão 2ª safra'!$E82:INDEX('Feijão 2ª safra'!$E82:$Z82,MIN(AC$6-$G$3,22))),0)))))</f>
        <v>0</v>
      </c>
      <c r="AD84" s="27" t="n">
        <f aca="false">IF(COUNT('Feijão 2ª safra'!$E82:$Z82)=0,0,MAX(0,IF((AD$6-$E$3)&lt;1,0,IFERROR(LOOKUP(2,1/('Feijão 2ª safra'!$E82:INDEX('Feijão 2ª safra'!$E82:$Z82,MIN(AD$6-$E$3,22))&lt;&gt;""),'Feijão 2ª safra'!$E82:INDEX('Feijão 2ª safra'!$E82:$Z82,MIN(AD$6-$E$3,22))),0))-IF($G$2,0,IF((AD$6-$G$3)&lt;1,0,IFERROR(LOOKUP(2,1/('Feijão 2ª safra'!$E82:INDEX('Feijão 2ª safra'!$E82:$Z82,MIN(AD$6-$G$3,22))&lt;&gt;""),'Feijão 2ª safra'!$E82:INDEX('Feijão 2ª safra'!$E82:$Z82,MIN(AD$6-$G$3,22))),0)))))</f>
        <v>0</v>
      </c>
      <c r="AE84" s="27" t="n">
        <f aca="false">IF(COUNT('Feijão 2ª safra'!$E82:$Z82)=0,0,MAX(0,IF((AE$6-$E$3)&lt;1,0,IFERROR(LOOKUP(2,1/('Feijão 2ª safra'!$E82:INDEX('Feijão 2ª safra'!$E82:$Z82,MIN(AE$6-$E$3,22))&lt;&gt;""),'Feijão 2ª safra'!$E82:INDEX('Feijão 2ª safra'!$E82:$Z82,MIN(AE$6-$E$3,22))),0))-IF($G$2,0,IF((AE$6-$G$3)&lt;1,0,IFERROR(LOOKUP(2,1/('Feijão 2ª safra'!$E82:INDEX('Feijão 2ª safra'!$E82:$Z82,MIN(AE$6-$G$3,22))&lt;&gt;""),'Feijão 2ª safra'!$E82:INDEX('Feijão 2ª safra'!$E82:$Z82,MIN(AE$6-$G$3,22))),0)))))</f>
        <v>0</v>
      </c>
      <c r="AF84" s="27" t="n">
        <f aca="false">IF(COUNT('Feijão 2ª safra'!$E82:$Z82)=0,0,MAX(0,IF((AF$6-$E$3)&lt;1,0,IFERROR(LOOKUP(2,1/('Feijão 2ª safra'!$E82:INDEX('Feijão 2ª safra'!$E82:$Z82,MIN(AF$6-$E$3,22))&lt;&gt;""),'Feijão 2ª safra'!$E82:INDEX('Feijão 2ª safra'!$E82:$Z82,MIN(AF$6-$E$3,22))),0))-IF($G$2,0,IF((AF$6-$G$3)&lt;1,0,IFERROR(LOOKUP(2,1/('Feijão 2ª safra'!$E82:INDEX('Feijão 2ª safra'!$E82:$Z82,MIN(AF$6-$G$3,22))&lt;&gt;""),'Feijão 2ª safra'!$E82:INDEX('Feijão 2ª safra'!$E82:$Z82,MIN(AF$6-$G$3,22))),0)))))</f>
        <v>0</v>
      </c>
      <c r="AG84" s="27" t="n">
        <f aca="false">IF(COUNT('Feijão 2ª safra'!$E82:$Z82)=0,0,MAX(0,IF((AG$6-$E$3)&lt;1,0,IFERROR(LOOKUP(2,1/('Feijão 2ª safra'!$E82:INDEX('Feijão 2ª safra'!$E82:$Z82,MIN(AG$6-$E$3,22))&lt;&gt;""),'Feijão 2ª safra'!$E82:INDEX('Feijão 2ª safra'!$E82:$Z82,MIN(AG$6-$E$3,22))),0))-IF($G$2,0,IF((AG$6-$G$3)&lt;1,0,IFERROR(LOOKUP(2,1/('Feijão 2ª safra'!$E82:INDEX('Feijão 2ª safra'!$E82:$Z82,MIN(AG$6-$G$3,22))&lt;&gt;""),'Feijão 2ª safra'!$E82:INDEX('Feijão 2ª safra'!$E82:$Z82,MIN(AG$6-$G$3,22))),0)))))</f>
        <v>0</v>
      </c>
      <c r="AH84" s="27" t="n">
        <f aca="false">IF(COUNT('Feijão 2ª safra'!$E82:$Z82)=0,0,MAX(0,IF((AH$6-$E$3)&lt;1,0,IFERROR(LOOKUP(2,1/('Feijão 2ª safra'!$E82:INDEX('Feijão 2ª safra'!$E82:$Z82,MIN(AH$6-$E$3,22))&lt;&gt;""),'Feijão 2ª safra'!$E82:INDEX('Feijão 2ª safra'!$E82:$Z82,MIN(AH$6-$E$3,22))),0))-IF($G$2,0,IF((AH$6-$G$3)&lt;1,0,IFERROR(LOOKUP(2,1/('Feijão 2ª safra'!$E82:INDEX('Feijão 2ª safra'!$E82:$Z82,MIN(AH$6-$G$3,22))&lt;&gt;""),'Feijão 2ª safra'!$E82:INDEX('Feijão 2ª safra'!$E82:$Z82,MIN(AH$6-$G$3,22))),0)))))</f>
        <v>0</v>
      </c>
      <c r="AI84" s="27" t="n">
        <f aca="false">IF(COUNT('Feijão 2ª safra'!$E82:$Z82)=0,0,MAX(0,IF((AI$6-$E$3)&lt;1,0,IFERROR(LOOKUP(2,1/('Feijão 2ª safra'!$E82:INDEX('Feijão 2ª safra'!$E82:$Z82,MIN(AI$6-$E$3,22))&lt;&gt;""),'Feijão 2ª safra'!$E82:INDEX('Feijão 2ª safra'!$E82:$Z82,MIN(AI$6-$E$3,22))),0))-IF($G$2,0,IF((AI$6-$G$3)&lt;1,0,IFERROR(LOOKUP(2,1/('Feijão 2ª safra'!$E82:INDEX('Feijão 2ª safra'!$E82:$Z82,MIN(AI$6-$G$3,22))&lt;&gt;""),'Feijão 2ª safra'!$E82:INDEX('Feijão 2ª safra'!$E82:$Z82,MIN(AI$6-$G$3,22))),0)))))</f>
        <v>0</v>
      </c>
      <c r="AJ84" s="27" t="n">
        <f aca="false">IF(COUNT('Feijão 2ª safra'!$E82:$Z82)=0,0,MAX(0,IF((AJ$6-$E$3)&lt;1,0,IFERROR(LOOKUP(2,1/('Feijão 2ª safra'!$E82:INDEX('Feijão 2ª safra'!$E82:$Z82,MIN(AJ$6-$E$3,22))&lt;&gt;""),'Feijão 2ª safra'!$E82:INDEX('Feijão 2ª safra'!$E82:$Z82,MIN(AJ$6-$E$3,22))),0))-IF($G$2,0,IF((AJ$6-$G$3)&lt;1,0,IFERROR(LOOKUP(2,1/('Feijão 2ª safra'!$E82:INDEX('Feijão 2ª safra'!$E82:$Z82,MIN(AJ$6-$G$3,22))&lt;&gt;""),'Feijão 2ª safra'!$E82:INDEX('Feijão 2ª safra'!$E82:$Z82,MIN(AJ$6-$G$3,22))),0)))))</f>
        <v>0</v>
      </c>
      <c r="AK84" s="27" t="n">
        <f aca="false">IF(COUNT('Feijão 2ª safra'!$E82:$Z82)=0,0,MAX(0,IF((AK$6-$E$3)&lt;1,0,IFERROR(LOOKUP(2,1/('Feijão 2ª safra'!$E82:INDEX('Feijão 2ª safra'!$E82:$Z82,MIN(AK$6-$E$3,22))&lt;&gt;""),'Feijão 2ª safra'!$E82:INDEX('Feijão 2ª safra'!$E82:$Z82,MIN(AK$6-$E$3,22))),0))-IF($G$2,0,IF((AK$6-$G$3)&lt;1,0,IFERROR(LOOKUP(2,1/('Feijão 2ª safra'!$E82:INDEX('Feijão 2ª safra'!$E82:$Z82,MIN(AK$6-$G$3,22))&lt;&gt;""),'Feijão 2ª safra'!$E82:INDEX('Feijão 2ª safra'!$E82:$Z82,MIN(AK$6-$G$3,22))),0)))))</f>
        <v>0</v>
      </c>
      <c r="AL84" s="27" t="n">
        <f aca="false">IF(COUNT('Feijão 2ª safra'!$E82:$Z82)=0,0,MAX(0,IF((AL$6-$E$3)&lt;1,0,IFERROR(LOOKUP(2,1/('Feijão 2ª safra'!$E82:INDEX('Feijão 2ª safra'!$E82:$Z82,MIN(AL$6-$E$3,22))&lt;&gt;""),'Feijão 2ª safra'!$E82:INDEX('Feijão 2ª safra'!$E82:$Z82,MIN(AL$6-$E$3,22))),0))-IF($G$2,0,IF((AL$6-$G$3)&lt;1,0,IFERROR(LOOKUP(2,1/('Feijão 2ª safra'!$E82:INDEX('Feijão 2ª safra'!$E82:$Z82,MIN(AL$6-$G$3,22))&lt;&gt;""),'Feijão 2ª safra'!$E82:INDEX('Feijão 2ª safra'!$E82:$Z82,MIN(AL$6-$G$3,22))),0)))))</f>
        <v>0</v>
      </c>
      <c r="AM84" s="27" t="n">
        <f aca="false">IF(COUNT('Feijão 2ª safra'!$E82:$Z82)=0,0,MAX(0,IF((AM$6-$E$3)&lt;1,0,IFERROR(LOOKUP(2,1/('Feijão 2ª safra'!$E82:INDEX('Feijão 2ª safra'!$E82:$Z82,MIN(AM$6-$E$3,22))&lt;&gt;""),'Feijão 2ª safra'!$E82:INDEX('Feijão 2ª safra'!$E82:$Z82,MIN(AM$6-$E$3,22))),0))-IF($G$2,0,IF((AM$6-$G$3)&lt;1,0,IFERROR(LOOKUP(2,1/('Feijão 2ª safra'!$E82:INDEX('Feijão 2ª safra'!$E82:$Z82,MIN(AM$6-$G$3,22))&lt;&gt;""),'Feijão 2ª safra'!$E82:INDEX('Feijão 2ª safra'!$E82:$Z82,MIN(AM$6-$G$3,22))),0)))))</f>
        <v>0</v>
      </c>
      <c r="AN84" s="27" t="n">
        <f aca="false">IF(COUNT('Feijão 2ª safra'!$E82:$Z82)=0,0,MAX(0,IF((AN$6-$E$3)&lt;1,0,IFERROR(LOOKUP(2,1/('Feijão 2ª safra'!$E82:INDEX('Feijão 2ª safra'!$E82:$Z82,MIN(AN$6-$E$3,22))&lt;&gt;""),'Feijão 2ª safra'!$E82:INDEX('Feijão 2ª safra'!$E82:$Z82,MIN(AN$6-$E$3,22))),0))-IF($G$2,0,IF((AN$6-$G$3)&lt;1,0,IFERROR(LOOKUP(2,1/('Feijão 2ª safra'!$E82:INDEX('Feijão 2ª safra'!$E82:$Z82,MIN(AN$6-$G$3,22))&lt;&gt;""),'Feijão 2ª safra'!$E82:INDEX('Feijão 2ª safra'!$E82:$Z82,MIN(AN$6-$G$3,22))),0)))))</f>
        <v>0</v>
      </c>
      <c r="AO84" s="27" t="n">
        <f aca="false">IF(COUNT('Feijão 2ª safra'!$E82:$Z82)=0,0,MAX(0,IF((AO$6-$E$3)&lt;1,0,IFERROR(LOOKUP(2,1/('Feijão 2ª safra'!$E82:INDEX('Feijão 2ª safra'!$E82:$Z82,MIN(AO$6-$E$3,22))&lt;&gt;""),'Feijão 2ª safra'!$E82:INDEX('Feijão 2ª safra'!$E82:$Z82,MIN(AO$6-$E$3,22))),0))-IF($G$2,0,IF((AO$6-$G$3)&lt;1,0,IFERROR(LOOKUP(2,1/('Feijão 2ª safra'!$E82:INDEX('Feijão 2ª safra'!$E82:$Z82,MIN(AO$6-$G$3,22))&lt;&gt;""),'Feijão 2ª safra'!$E82:INDEX('Feijão 2ª safra'!$E82:$Z82,MIN(AO$6-$G$3,22))),0)))))</f>
        <v>0</v>
      </c>
      <c r="AP84" s="27" t="n">
        <f aca="false">IF(COUNT('Feijão 2ª safra'!$E82:$Z82)=0,0,MAX(0,IF((AP$6-$E$3)&lt;1,0,IFERROR(LOOKUP(2,1/('Feijão 2ª safra'!$E82:INDEX('Feijão 2ª safra'!$E82:$Z82,MIN(AP$6-$E$3,22))&lt;&gt;""),'Feijão 2ª safra'!$E82:INDEX('Feijão 2ª safra'!$E82:$Z82,MIN(AP$6-$E$3,22))),0))-IF($G$2,0,IF((AP$6-$G$3)&lt;1,0,IFERROR(LOOKUP(2,1/('Feijão 2ª safra'!$E82:INDEX('Feijão 2ª safra'!$E82:$Z82,MIN(AP$6-$G$3,22))&lt;&gt;""),'Feijão 2ª safra'!$E82:INDEX('Feijão 2ª safra'!$E82:$Z82,MIN(AP$6-$G$3,22))),0)))))</f>
        <v>0</v>
      </c>
      <c r="AQ84" s="27" t="n">
        <f aca="false">IF(COUNT('Feijão 2ª safra'!$E82:$Z82)=0,0,MAX(0,IF((AQ$6-$E$3)&lt;1,0,IFERROR(LOOKUP(2,1/('Feijão 2ª safra'!$E82:INDEX('Feijão 2ª safra'!$E82:$Z82,MIN(AQ$6-$E$3,22))&lt;&gt;""),'Feijão 2ª safra'!$E82:INDEX('Feijão 2ª safra'!$E82:$Z82,MIN(AQ$6-$E$3,22))),0))-IF($G$2,0,IF((AQ$6-$G$3)&lt;1,0,IFERROR(LOOKUP(2,1/('Feijão 2ª safra'!$E82:INDEX('Feijão 2ª safra'!$E82:$Z82,MIN(AQ$6-$G$3,22))&lt;&gt;""),'Feijão 2ª safra'!$E82:INDEX('Feijão 2ª safra'!$E82:$Z82,MIN(AQ$6-$G$3,22))),0)))))</f>
        <v>0</v>
      </c>
      <c r="AR84" s="27" t="n">
        <f aca="false">IF(COUNT('Feijão 2ª safra'!$E82:$Z82)=0,0,MAX(0,IF((AR$6-$E$3)&lt;1,0,IFERROR(LOOKUP(2,1/('Feijão 2ª safra'!$E82:INDEX('Feijão 2ª safra'!$E82:$Z82,MIN(AR$6-$E$3,22))&lt;&gt;""),'Feijão 2ª safra'!$E82:INDEX('Feijão 2ª safra'!$E82:$Z82,MIN(AR$6-$E$3,22))),0))-IF($G$2,0,IF((AR$6-$G$3)&lt;1,0,IFERROR(LOOKUP(2,1/('Feijão 2ª safra'!$E82:INDEX('Feijão 2ª safra'!$E82:$Z82,MIN(AR$6-$G$3,22))&lt;&gt;""),'Feijão 2ª safra'!$E82:INDEX('Feijão 2ª safra'!$E82:$Z82,MIN(AR$6-$G$3,22))),0)))))</f>
        <v>0</v>
      </c>
      <c r="AS84" s="27" t="n">
        <f aca="false">IF(COUNT('Feijão 2ª safra'!$E82:$Z82)=0,0,MAX(0,IF((AS$6-$E$3)&lt;1,0,IFERROR(LOOKUP(2,1/('Feijão 2ª safra'!$E82:INDEX('Feijão 2ª safra'!$E82:$Z82,MIN(AS$6-$E$3,22))&lt;&gt;""),'Feijão 2ª safra'!$E82:INDEX('Feijão 2ª safra'!$E82:$Z82,MIN(AS$6-$E$3,22))),0))-IF($G$2,0,IF((AS$6-$G$3)&lt;1,0,IFERROR(LOOKUP(2,1/('Feijão 2ª safra'!$E82:INDEX('Feijão 2ª safra'!$E82:$Z82,MIN(AS$6-$G$3,22))&lt;&gt;""),'Feijão 2ª safra'!$E82:INDEX('Feijão 2ª safra'!$E82:$Z82,MIN(AS$6-$G$3,22))),0)))))</f>
        <v>0</v>
      </c>
      <c r="AT84" s="27" t="n">
        <f aca="false">IF(COUNT('Feijão 2ª safra'!$E82:$Z82)=0,0,MAX(0,IF((AT$6-$E$3)&lt;1,0,IFERROR(LOOKUP(2,1/('Feijão 2ª safra'!$E82:INDEX('Feijão 2ª safra'!$E82:$Z82,MIN(AT$6-$E$3,22))&lt;&gt;""),'Feijão 2ª safra'!$E82:INDEX('Feijão 2ª safra'!$E82:$Z82,MIN(AT$6-$E$3,22))),0))-IF($G$2,0,IF((AT$6-$G$3)&lt;1,0,IFERROR(LOOKUP(2,1/('Feijão 2ª safra'!$E82:INDEX('Feijão 2ª safra'!$E82:$Z82,MIN(AT$6-$G$3,22))&lt;&gt;""),'Feijão 2ª safra'!$E82:INDEX('Feijão 2ª safra'!$E82:$Z82,MIN(AT$6-$G$3,22))),0)))))</f>
        <v>0</v>
      </c>
      <c r="AU84" s="27" t="n">
        <f aca="false">IF(COUNT('Feijão 2ª safra'!$E82:$Z82)=0,0,MAX(0,IF((AU$6-$E$3)&lt;1,0,IFERROR(LOOKUP(2,1/('Feijão 2ª safra'!$E82:INDEX('Feijão 2ª safra'!$E82:$Z82,MIN(AU$6-$E$3,22))&lt;&gt;""),'Feijão 2ª safra'!$E82:INDEX('Feijão 2ª safra'!$E82:$Z82,MIN(AU$6-$E$3,22))),0))-IF($G$2,0,IF((AU$6-$G$3)&lt;1,0,IFERROR(LOOKUP(2,1/('Feijão 2ª safra'!$E82:INDEX('Feijão 2ª safra'!$E82:$Z82,MIN(AU$6-$G$3,22))&lt;&gt;""),'Feijão 2ª safra'!$E82:INDEX('Feijão 2ª safra'!$E82:$Z82,MIN(AU$6-$G$3,22))),0)))))</f>
        <v>0</v>
      </c>
      <c r="AV84" s="27" t="n">
        <f aca="false">IF(COUNT('Feijão 2ª safra'!$E82:$Z82)=0,0,MAX(0,IF((AV$6-$E$3)&lt;1,0,IFERROR(LOOKUP(2,1/('Feijão 2ª safra'!$E82:INDEX('Feijão 2ª safra'!$E82:$Z82,MIN(AV$6-$E$3,22))&lt;&gt;""),'Feijão 2ª safra'!$E82:INDEX('Feijão 2ª safra'!$E82:$Z82,MIN(AV$6-$E$3,22))),0))-IF($G$2,0,IF((AV$6-$G$3)&lt;1,0,IFERROR(LOOKUP(2,1/('Feijão 2ª safra'!$E82:INDEX('Feijão 2ª safra'!$E82:$Z82,MIN(AV$6-$G$3,22))&lt;&gt;""),'Feijão 2ª safra'!$E82:INDEX('Feijão 2ª safra'!$E82:$Z82,MIN(AV$6-$G$3,22))),0)))))</f>
        <v>0</v>
      </c>
      <c r="AW84" s="27" t="n">
        <f aca="false">IF(COUNT('Feijão 2ª safra'!$E82:$Z82)=0,0,MAX(0,IF((AW$6-$E$3)&lt;1,0,IFERROR(LOOKUP(2,1/('Feijão 2ª safra'!$E82:INDEX('Feijão 2ª safra'!$E82:$Z82,MIN(AW$6-$E$3,22))&lt;&gt;""),'Feijão 2ª safra'!$E82:INDEX('Feijão 2ª safra'!$E82:$Z82,MIN(AW$6-$E$3,22))),0))-IF($G$2,0,IF((AW$6-$G$3)&lt;1,0,IFERROR(LOOKUP(2,1/('Feijão 2ª safra'!$E82:INDEX('Feijão 2ª safra'!$E82:$Z82,MIN(AW$6-$G$3,22))&lt;&gt;""),'Feijão 2ª safra'!$E82:INDEX('Feijão 2ª safra'!$E82:$Z82,MIN(AW$6-$G$3,22))),0)))))</f>
        <v>0</v>
      </c>
      <c r="AX84" s="27" t="n">
        <f aca="false">IF(COUNT('Feijão 2ª safra'!$E82:$Z82)=0,0,MAX(0,IF((AX$6-$E$3)&lt;1,0,IFERROR(LOOKUP(2,1/('Feijão 2ª safra'!$E82:INDEX('Feijão 2ª safra'!$E82:$Z82,MIN(AX$6-$E$3,22))&lt;&gt;""),'Feijão 2ª safra'!$E82:INDEX('Feijão 2ª safra'!$E82:$Z82,MIN(AX$6-$E$3,22))),0))-IF($G$2,0,IF((AX$6-$G$3)&lt;1,0,IFERROR(LOOKUP(2,1/('Feijão 2ª safra'!$E82:INDEX('Feijão 2ª safra'!$E82:$Z82,MIN(AX$6-$G$3,22))&lt;&gt;""),'Feijão 2ª safra'!$E82:INDEX('Feijão 2ª safra'!$E82:$Z82,MIN(AX$6-$G$3,22))),0)))))</f>
        <v>0</v>
      </c>
      <c r="AY84" s="27" t="n">
        <f aca="false">IF(COUNT('Feijão 2ª safra'!$E82:$Z82)=0,0,MAX(0,IF((AY$6-$E$3)&lt;1,0,IFERROR(LOOKUP(2,1/('Feijão 2ª safra'!$E82:INDEX('Feijão 2ª safra'!$E82:$Z82,MIN(AY$6-$E$3,22))&lt;&gt;""),'Feijão 2ª safra'!$E82:INDEX('Feijão 2ª safra'!$E82:$Z82,MIN(AY$6-$E$3,22))),0))-IF($G$2,0,IF((AY$6-$G$3)&lt;1,0,IFERROR(LOOKUP(2,1/('Feijão 2ª safra'!$E82:INDEX('Feijão 2ª safra'!$E82:$Z82,MIN(AY$6-$G$3,22))&lt;&gt;""),'Feijão 2ª safra'!$E82:INDEX('Feijão 2ª safra'!$E82:$Z82,MIN(AY$6-$G$3,22))),0)))))</f>
        <v>0</v>
      </c>
      <c r="AZ84" s="27" t="n">
        <f aca="false">IF(COUNT('Feijão 2ª safra'!$E82:$Z82)=0,0,MAX(0,IF((AZ$6-$E$3)&lt;1,0,IFERROR(LOOKUP(2,1/('Feijão 2ª safra'!$E82:INDEX('Feijão 2ª safra'!$E82:$Z82,MIN(AZ$6-$E$3,22))&lt;&gt;""),'Feijão 2ª safra'!$E82:INDEX('Feijão 2ª safra'!$E82:$Z82,MIN(AZ$6-$E$3,22))),0))-IF($G$2,0,IF((AZ$6-$G$3)&lt;1,0,IFERROR(LOOKUP(2,1/('Feijão 2ª safra'!$E82:INDEX('Feijão 2ª safra'!$E82:$Z82,MIN(AZ$6-$G$3,22))&lt;&gt;""),'Feijão 2ª safra'!$E82:INDEX('Feijão 2ª safra'!$E82:$Z82,MIN(AZ$6-$G$3,22))),0)))))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IF(COUNT('Feijão 2ª safra'!$E83:$Z83)&gt;0,N('Feijão 2ª safra'!$D83),0)</f>
        <v>0</v>
      </c>
      <c r="E85" s="27" t="n">
        <f aca="false">IF(COUNT('Feijão 2ª safra'!$E83:$Z83)=0,0,MAX(0,IF((E$6-$E$3)&lt;1,0,IFERROR(LOOKUP(2,1/('Feijão 2ª safra'!$E83:INDEX('Feijão 2ª safra'!$E83:$Z83,MIN(E$6-$E$3,22))&lt;&gt;""),'Feijão 2ª safra'!$E83:INDEX('Feijão 2ª safra'!$E83:$Z83,MIN(E$6-$E$3,22))),0))-IF($G$2,0,IF((E$6-$G$3)&lt;1,0,IFERROR(LOOKUP(2,1/('Feijão 2ª safra'!$E83:INDEX('Feijão 2ª safra'!$E83:$Z83,MIN(E$6-$G$3,22))&lt;&gt;""),'Feijão 2ª safra'!$E83:INDEX('Feijão 2ª safra'!$E83:$Z83,MIN(E$6-$G$3,22))),0)))))</f>
        <v>0</v>
      </c>
      <c r="F85" s="27" t="n">
        <f aca="false">IF(COUNT('Feijão 2ª safra'!$E83:$Z83)=0,0,MAX(0,IF((F$6-$E$3)&lt;1,0,IFERROR(LOOKUP(2,1/('Feijão 2ª safra'!$E83:INDEX('Feijão 2ª safra'!$E83:$Z83,MIN(F$6-$E$3,22))&lt;&gt;""),'Feijão 2ª safra'!$E83:INDEX('Feijão 2ª safra'!$E83:$Z83,MIN(F$6-$E$3,22))),0))-IF($G$2,0,IF((F$6-$G$3)&lt;1,0,IFERROR(LOOKUP(2,1/('Feijão 2ª safra'!$E83:INDEX('Feijão 2ª safra'!$E83:$Z83,MIN(F$6-$G$3,22))&lt;&gt;""),'Feijão 2ª safra'!$E83:INDEX('Feijão 2ª safra'!$E83:$Z83,MIN(F$6-$G$3,22))),0)))))</f>
        <v>0</v>
      </c>
      <c r="G85" s="27" t="n">
        <f aca="false">IF(COUNT('Feijão 2ª safra'!$E83:$Z83)=0,0,MAX(0,IF((G$6-$E$3)&lt;1,0,IFERROR(LOOKUP(2,1/('Feijão 2ª safra'!$E83:INDEX('Feijão 2ª safra'!$E83:$Z83,MIN(G$6-$E$3,22))&lt;&gt;""),'Feijão 2ª safra'!$E83:INDEX('Feijão 2ª safra'!$E83:$Z83,MIN(G$6-$E$3,22))),0))-IF($G$2,0,IF((G$6-$G$3)&lt;1,0,IFERROR(LOOKUP(2,1/('Feijão 2ª safra'!$E83:INDEX('Feijão 2ª safra'!$E83:$Z83,MIN(G$6-$G$3,22))&lt;&gt;""),'Feijão 2ª safra'!$E83:INDEX('Feijão 2ª safra'!$E83:$Z83,MIN(G$6-$G$3,22))),0)))))</f>
        <v>0</v>
      </c>
      <c r="H85" s="27" t="n">
        <f aca="false">IF(COUNT('Feijão 2ª safra'!$E83:$Z83)=0,0,MAX(0,IF((H$6-$E$3)&lt;1,0,IFERROR(LOOKUP(2,1/('Feijão 2ª safra'!$E83:INDEX('Feijão 2ª safra'!$E83:$Z83,MIN(H$6-$E$3,22))&lt;&gt;""),'Feijão 2ª safra'!$E83:INDEX('Feijão 2ª safra'!$E83:$Z83,MIN(H$6-$E$3,22))),0))-IF($G$2,0,IF((H$6-$G$3)&lt;1,0,IFERROR(LOOKUP(2,1/('Feijão 2ª safra'!$E83:INDEX('Feijão 2ª safra'!$E83:$Z83,MIN(H$6-$G$3,22))&lt;&gt;""),'Feijão 2ª safra'!$E83:INDEX('Feijão 2ª safra'!$E83:$Z83,MIN(H$6-$G$3,22))),0)))))</f>
        <v>0</v>
      </c>
      <c r="I85" s="27" t="n">
        <f aca="false">IF(COUNT('Feijão 2ª safra'!$E83:$Z83)=0,0,MAX(0,IF((I$6-$E$3)&lt;1,0,IFERROR(LOOKUP(2,1/('Feijão 2ª safra'!$E83:INDEX('Feijão 2ª safra'!$E83:$Z83,MIN(I$6-$E$3,22))&lt;&gt;""),'Feijão 2ª safra'!$E83:INDEX('Feijão 2ª safra'!$E83:$Z83,MIN(I$6-$E$3,22))),0))-IF($G$2,0,IF((I$6-$G$3)&lt;1,0,IFERROR(LOOKUP(2,1/('Feijão 2ª safra'!$E83:INDEX('Feijão 2ª safra'!$E83:$Z83,MIN(I$6-$G$3,22))&lt;&gt;""),'Feijão 2ª safra'!$E83:INDEX('Feijão 2ª safra'!$E83:$Z83,MIN(I$6-$G$3,22))),0)))))</f>
        <v>0</v>
      </c>
      <c r="J85" s="27" t="n">
        <f aca="false">IF(COUNT('Feijão 2ª safra'!$E83:$Z83)=0,0,MAX(0,IF((J$6-$E$3)&lt;1,0,IFERROR(LOOKUP(2,1/('Feijão 2ª safra'!$E83:INDEX('Feijão 2ª safra'!$E83:$Z83,MIN(J$6-$E$3,22))&lt;&gt;""),'Feijão 2ª safra'!$E83:INDEX('Feijão 2ª safra'!$E83:$Z83,MIN(J$6-$E$3,22))),0))-IF($G$2,0,IF((J$6-$G$3)&lt;1,0,IFERROR(LOOKUP(2,1/('Feijão 2ª safra'!$E83:INDEX('Feijão 2ª safra'!$E83:$Z83,MIN(J$6-$G$3,22))&lt;&gt;""),'Feijão 2ª safra'!$E83:INDEX('Feijão 2ª safra'!$E83:$Z83,MIN(J$6-$G$3,22))),0)))))</f>
        <v>0</v>
      </c>
      <c r="K85" s="27" t="n">
        <f aca="false">IF(COUNT('Feijão 2ª safra'!$E83:$Z83)=0,0,MAX(0,IF((K$6-$E$3)&lt;1,0,IFERROR(LOOKUP(2,1/('Feijão 2ª safra'!$E83:INDEX('Feijão 2ª safra'!$E83:$Z83,MIN(K$6-$E$3,22))&lt;&gt;""),'Feijão 2ª safra'!$E83:INDEX('Feijão 2ª safra'!$E83:$Z83,MIN(K$6-$E$3,22))),0))-IF($G$2,0,IF((K$6-$G$3)&lt;1,0,IFERROR(LOOKUP(2,1/('Feijão 2ª safra'!$E83:INDEX('Feijão 2ª safra'!$E83:$Z83,MIN(K$6-$G$3,22))&lt;&gt;""),'Feijão 2ª safra'!$E83:INDEX('Feijão 2ª safra'!$E83:$Z83,MIN(K$6-$G$3,22))),0)))))</f>
        <v>0</v>
      </c>
      <c r="L85" s="27" t="n">
        <f aca="false">IF(COUNT('Feijão 2ª safra'!$E83:$Z83)=0,0,MAX(0,IF((L$6-$E$3)&lt;1,0,IFERROR(LOOKUP(2,1/('Feijão 2ª safra'!$E83:INDEX('Feijão 2ª safra'!$E83:$Z83,MIN(L$6-$E$3,22))&lt;&gt;""),'Feijão 2ª safra'!$E83:INDEX('Feijão 2ª safra'!$E83:$Z83,MIN(L$6-$E$3,22))),0))-IF($G$2,0,IF((L$6-$G$3)&lt;1,0,IFERROR(LOOKUP(2,1/('Feijão 2ª safra'!$E83:INDEX('Feijão 2ª safra'!$E83:$Z83,MIN(L$6-$G$3,22))&lt;&gt;""),'Feijão 2ª safra'!$E83:INDEX('Feijão 2ª safra'!$E83:$Z83,MIN(L$6-$G$3,22))),0)))))</f>
        <v>0</v>
      </c>
      <c r="M85" s="27" t="n">
        <f aca="false">IF(COUNT('Feijão 2ª safra'!$E83:$Z83)=0,0,MAX(0,IF((M$6-$E$3)&lt;1,0,IFERROR(LOOKUP(2,1/('Feijão 2ª safra'!$E83:INDEX('Feijão 2ª safra'!$E83:$Z83,MIN(M$6-$E$3,22))&lt;&gt;""),'Feijão 2ª safra'!$E83:INDEX('Feijão 2ª safra'!$E83:$Z83,MIN(M$6-$E$3,22))),0))-IF($G$2,0,IF((M$6-$G$3)&lt;1,0,IFERROR(LOOKUP(2,1/('Feijão 2ª safra'!$E83:INDEX('Feijão 2ª safra'!$E83:$Z83,MIN(M$6-$G$3,22))&lt;&gt;""),'Feijão 2ª safra'!$E83:INDEX('Feijão 2ª safra'!$E83:$Z83,MIN(M$6-$G$3,22))),0)))))</f>
        <v>0</v>
      </c>
      <c r="N85" s="27" t="n">
        <f aca="false">IF(COUNT('Feijão 2ª safra'!$E83:$Z83)=0,0,MAX(0,IF((N$6-$E$3)&lt;1,0,IFERROR(LOOKUP(2,1/('Feijão 2ª safra'!$E83:INDEX('Feijão 2ª safra'!$E83:$Z83,MIN(N$6-$E$3,22))&lt;&gt;""),'Feijão 2ª safra'!$E83:INDEX('Feijão 2ª safra'!$E83:$Z83,MIN(N$6-$E$3,22))),0))-IF($G$2,0,IF((N$6-$G$3)&lt;1,0,IFERROR(LOOKUP(2,1/('Feijão 2ª safra'!$E83:INDEX('Feijão 2ª safra'!$E83:$Z83,MIN(N$6-$G$3,22))&lt;&gt;""),'Feijão 2ª safra'!$E83:INDEX('Feijão 2ª safra'!$E83:$Z83,MIN(N$6-$G$3,22))),0)))))</f>
        <v>0</v>
      </c>
      <c r="O85" s="27" t="n">
        <f aca="false">IF(COUNT('Feijão 2ª safra'!$E83:$Z83)=0,0,MAX(0,IF((O$6-$E$3)&lt;1,0,IFERROR(LOOKUP(2,1/('Feijão 2ª safra'!$E83:INDEX('Feijão 2ª safra'!$E83:$Z83,MIN(O$6-$E$3,22))&lt;&gt;""),'Feijão 2ª safra'!$E83:INDEX('Feijão 2ª safra'!$E83:$Z83,MIN(O$6-$E$3,22))),0))-IF($G$2,0,IF((O$6-$G$3)&lt;1,0,IFERROR(LOOKUP(2,1/('Feijão 2ª safra'!$E83:INDEX('Feijão 2ª safra'!$E83:$Z83,MIN(O$6-$G$3,22))&lt;&gt;""),'Feijão 2ª safra'!$E83:INDEX('Feijão 2ª safra'!$E83:$Z83,MIN(O$6-$G$3,22))),0)))))</f>
        <v>0</v>
      </c>
      <c r="P85" s="27" t="n">
        <f aca="false">IF(COUNT('Feijão 2ª safra'!$E83:$Z83)=0,0,MAX(0,IF((P$6-$E$3)&lt;1,0,IFERROR(LOOKUP(2,1/('Feijão 2ª safra'!$E83:INDEX('Feijão 2ª safra'!$E83:$Z83,MIN(P$6-$E$3,22))&lt;&gt;""),'Feijão 2ª safra'!$E83:INDEX('Feijão 2ª safra'!$E83:$Z83,MIN(P$6-$E$3,22))),0))-IF($G$2,0,IF((P$6-$G$3)&lt;1,0,IFERROR(LOOKUP(2,1/('Feijão 2ª safra'!$E83:INDEX('Feijão 2ª safra'!$E83:$Z83,MIN(P$6-$G$3,22))&lt;&gt;""),'Feijão 2ª safra'!$E83:INDEX('Feijão 2ª safra'!$E83:$Z83,MIN(P$6-$G$3,22))),0)))))</f>
        <v>0</v>
      </c>
      <c r="Q85" s="27" t="n">
        <f aca="false">IF(COUNT('Feijão 2ª safra'!$E83:$Z83)=0,0,MAX(0,IF((Q$6-$E$3)&lt;1,0,IFERROR(LOOKUP(2,1/('Feijão 2ª safra'!$E83:INDEX('Feijão 2ª safra'!$E83:$Z83,MIN(Q$6-$E$3,22))&lt;&gt;""),'Feijão 2ª safra'!$E83:INDEX('Feijão 2ª safra'!$E83:$Z83,MIN(Q$6-$E$3,22))),0))-IF($G$2,0,IF((Q$6-$G$3)&lt;1,0,IFERROR(LOOKUP(2,1/('Feijão 2ª safra'!$E83:INDEX('Feijão 2ª safra'!$E83:$Z83,MIN(Q$6-$G$3,22))&lt;&gt;""),'Feijão 2ª safra'!$E83:INDEX('Feijão 2ª safra'!$E83:$Z83,MIN(Q$6-$G$3,22))),0)))))</f>
        <v>0</v>
      </c>
      <c r="R85" s="27" t="n">
        <f aca="false">IF(COUNT('Feijão 2ª safra'!$E83:$Z83)=0,0,MAX(0,IF((R$6-$E$3)&lt;1,0,IFERROR(LOOKUP(2,1/('Feijão 2ª safra'!$E83:INDEX('Feijão 2ª safra'!$E83:$Z83,MIN(R$6-$E$3,22))&lt;&gt;""),'Feijão 2ª safra'!$E83:INDEX('Feijão 2ª safra'!$E83:$Z83,MIN(R$6-$E$3,22))),0))-IF($G$2,0,IF((R$6-$G$3)&lt;1,0,IFERROR(LOOKUP(2,1/('Feijão 2ª safra'!$E83:INDEX('Feijão 2ª safra'!$E83:$Z83,MIN(R$6-$G$3,22))&lt;&gt;""),'Feijão 2ª safra'!$E83:INDEX('Feijão 2ª safra'!$E83:$Z83,MIN(R$6-$G$3,22))),0)))))</f>
        <v>0</v>
      </c>
      <c r="S85" s="27" t="n">
        <f aca="false">IF(COUNT('Feijão 2ª safra'!$E83:$Z83)=0,0,MAX(0,IF((S$6-$E$3)&lt;1,0,IFERROR(LOOKUP(2,1/('Feijão 2ª safra'!$E83:INDEX('Feijão 2ª safra'!$E83:$Z83,MIN(S$6-$E$3,22))&lt;&gt;""),'Feijão 2ª safra'!$E83:INDEX('Feijão 2ª safra'!$E83:$Z83,MIN(S$6-$E$3,22))),0))-IF($G$2,0,IF((S$6-$G$3)&lt;1,0,IFERROR(LOOKUP(2,1/('Feijão 2ª safra'!$E83:INDEX('Feijão 2ª safra'!$E83:$Z83,MIN(S$6-$G$3,22))&lt;&gt;""),'Feijão 2ª safra'!$E83:INDEX('Feijão 2ª safra'!$E83:$Z83,MIN(S$6-$G$3,22))),0)))))</f>
        <v>0</v>
      </c>
      <c r="T85" s="27" t="n">
        <f aca="false">IF(COUNT('Feijão 2ª safra'!$E83:$Z83)=0,0,MAX(0,IF((T$6-$E$3)&lt;1,0,IFERROR(LOOKUP(2,1/('Feijão 2ª safra'!$E83:INDEX('Feijão 2ª safra'!$E83:$Z83,MIN(T$6-$E$3,22))&lt;&gt;""),'Feijão 2ª safra'!$E83:INDEX('Feijão 2ª safra'!$E83:$Z83,MIN(T$6-$E$3,22))),0))-IF($G$2,0,IF((T$6-$G$3)&lt;1,0,IFERROR(LOOKUP(2,1/('Feijão 2ª safra'!$E83:INDEX('Feijão 2ª safra'!$E83:$Z83,MIN(T$6-$G$3,22))&lt;&gt;""),'Feijão 2ª safra'!$E83:INDEX('Feijão 2ª safra'!$E83:$Z83,MIN(T$6-$G$3,22))),0)))))</f>
        <v>0</v>
      </c>
      <c r="U85" s="27" t="n">
        <f aca="false">IF(COUNT('Feijão 2ª safra'!$E83:$Z83)=0,0,MAX(0,IF((U$6-$E$3)&lt;1,0,IFERROR(LOOKUP(2,1/('Feijão 2ª safra'!$E83:INDEX('Feijão 2ª safra'!$E83:$Z83,MIN(U$6-$E$3,22))&lt;&gt;""),'Feijão 2ª safra'!$E83:INDEX('Feijão 2ª safra'!$E83:$Z83,MIN(U$6-$E$3,22))),0))-IF($G$2,0,IF((U$6-$G$3)&lt;1,0,IFERROR(LOOKUP(2,1/('Feijão 2ª safra'!$E83:INDEX('Feijão 2ª safra'!$E83:$Z83,MIN(U$6-$G$3,22))&lt;&gt;""),'Feijão 2ª safra'!$E83:INDEX('Feijão 2ª safra'!$E83:$Z83,MIN(U$6-$G$3,22))),0)))))</f>
        <v>0</v>
      </c>
      <c r="V85" s="27" t="n">
        <f aca="false">IF(COUNT('Feijão 2ª safra'!$E83:$Z83)=0,0,MAX(0,IF((V$6-$E$3)&lt;1,0,IFERROR(LOOKUP(2,1/('Feijão 2ª safra'!$E83:INDEX('Feijão 2ª safra'!$E83:$Z83,MIN(V$6-$E$3,22))&lt;&gt;""),'Feijão 2ª safra'!$E83:INDEX('Feijão 2ª safra'!$E83:$Z83,MIN(V$6-$E$3,22))),0))-IF($G$2,0,IF((V$6-$G$3)&lt;1,0,IFERROR(LOOKUP(2,1/('Feijão 2ª safra'!$E83:INDEX('Feijão 2ª safra'!$E83:$Z83,MIN(V$6-$G$3,22))&lt;&gt;""),'Feijão 2ª safra'!$E83:INDEX('Feijão 2ª safra'!$E83:$Z83,MIN(V$6-$G$3,22))),0)))))</f>
        <v>0</v>
      </c>
      <c r="W85" s="27" t="n">
        <f aca="false">IF(COUNT('Feijão 2ª safra'!$E83:$Z83)=0,0,MAX(0,IF((W$6-$E$3)&lt;1,0,IFERROR(LOOKUP(2,1/('Feijão 2ª safra'!$E83:INDEX('Feijão 2ª safra'!$E83:$Z83,MIN(W$6-$E$3,22))&lt;&gt;""),'Feijão 2ª safra'!$E83:INDEX('Feijão 2ª safra'!$E83:$Z83,MIN(W$6-$E$3,22))),0))-IF($G$2,0,IF((W$6-$G$3)&lt;1,0,IFERROR(LOOKUP(2,1/('Feijão 2ª safra'!$E83:INDEX('Feijão 2ª safra'!$E83:$Z83,MIN(W$6-$G$3,22))&lt;&gt;""),'Feijão 2ª safra'!$E83:INDEX('Feijão 2ª safra'!$E83:$Z83,MIN(W$6-$G$3,22))),0)))))</f>
        <v>0</v>
      </c>
      <c r="X85" s="27" t="n">
        <f aca="false">IF(COUNT('Feijão 2ª safra'!$E83:$Z83)=0,0,MAX(0,IF((X$6-$E$3)&lt;1,0,IFERROR(LOOKUP(2,1/('Feijão 2ª safra'!$E83:INDEX('Feijão 2ª safra'!$E83:$Z83,MIN(X$6-$E$3,22))&lt;&gt;""),'Feijão 2ª safra'!$E83:INDEX('Feijão 2ª safra'!$E83:$Z83,MIN(X$6-$E$3,22))),0))-IF($G$2,0,IF((X$6-$G$3)&lt;1,0,IFERROR(LOOKUP(2,1/('Feijão 2ª safra'!$E83:INDEX('Feijão 2ª safra'!$E83:$Z83,MIN(X$6-$G$3,22))&lt;&gt;""),'Feijão 2ª safra'!$E83:INDEX('Feijão 2ª safra'!$E83:$Z83,MIN(X$6-$G$3,22))),0)))))</f>
        <v>0</v>
      </c>
      <c r="Y85" s="27" t="n">
        <f aca="false">IF(COUNT('Feijão 2ª safra'!$E83:$Z83)=0,0,MAX(0,IF((Y$6-$E$3)&lt;1,0,IFERROR(LOOKUP(2,1/('Feijão 2ª safra'!$E83:INDEX('Feijão 2ª safra'!$E83:$Z83,MIN(Y$6-$E$3,22))&lt;&gt;""),'Feijão 2ª safra'!$E83:INDEX('Feijão 2ª safra'!$E83:$Z83,MIN(Y$6-$E$3,22))),0))-IF($G$2,0,IF((Y$6-$G$3)&lt;1,0,IFERROR(LOOKUP(2,1/('Feijão 2ª safra'!$E83:INDEX('Feijão 2ª safra'!$E83:$Z83,MIN(Y$6-$G$3,22))&lt;&gt;""),'Feijão 2ª safra'!$E83:INDEX('Feijão 2ª safra'!$E83:$Z83,MIN(Y$6-$G$3,22))),0)))))</f>
        <v>0</v>
      </c>
      <c r="Z85" s="27" t="n">
        <f aca="false">IF(COUNT('Feijão 2ª safra'!$E83:$Z83)=0,0,MAX(0,IF((Z$6-$E$3)&lt;1,0,IFERROR(LOOKUP(2,1/('Feijão 2ª safra'!$E83:INDEX('Feijão 2ª safra'!$E83:$Z83,MIN(Z$6-$E$3,22))&lt;&gt;""),'Feijão 2ª safra'!$E83:INDEX('Feijão 2ª safra'!$E83:$Z83,MIN(Z$6-$E$3,22))),0))-IF($G$2,0,IF((Z$6-$G$3)&lt;1,0,IFERROR(LOOKUP(2,1/('Feijão 2ª safra'!$E83:INDEX('Feijão 2ª safra'!$E83:$Z83,MIN(Z$6-$G$3,22))&lt;&gt;""),'Feijão 2ª safra'!$E83:INDEX('Feijão 2ª safra'!$E83:$Z83,MIN(Z$6-$G$3,22))),0)))))</f>
        <v>0</v>
      </c>
      <c r="AA85" s="27" t="n">
        <f aca="false">IF(COUNT('Feijão 2ª safra'!$E83:$Z83)=0,0,MAX(0,IF((AA$6-$E$3)&lt;1,0,IFERROR(LOOKUP(2,1/('Feijão 2ª safra'!$E83:INDEX('Feijão 2ª safra'!$E83:$Z83,MIN(AA$6-$E$3,22))&lt;&gt;""),'Feijão 2ª safra'!$E83:INDEX('Feijão 2ª safra'!$E83:$Z83,MIN(AA$6-$E$3,22))),0))-IF($G$2,0,IF((AA$6-$G$3)&lt;1,0,IFERROR(LOOKUP(2,1/('Feijão 2ª safra'!$E83:INDEX('Feijão 2ª safra'!$E83:$Z83,MIN(AA$6-$G$3,22))&lt;&gt;""),'Feijão 2ª safra'!$E83:INDEX('Feijão 2ª safra'!$E83:$Z83,MIN(AA$6-$G$3,22))),0)))))</f>
        <v>0</v>
      </c>
      <c r="AB85" s="27" t="n">
        <f aca="false">IF(COUNT('Feijão 2ª safra'!$E83:$Z83)=0,0,MAX(0,IF((AB$6-$E$3)&lt;1,0,IFERROR(LOOKUP(2,1/('Feijão 2ª safra'!$E83:INDEX('Feijão 2ª safra'!$E83:$Z83,MIN(AB$6-$E$3,22))&lt;&gt;""),'Feijão 2ª safra'!$E83:INDEX('Feijão 2ª safra'!$E83:$Z83,MIN(AB$6-$E$3,22))),0))-IF($G$2,0,IF((AB$6-$G$3)&lt;1,0,IFERROR(LOOKUP(2,1/('Feijão 2ª safra'!$E83:INDEX('Feijão 2ª safra'!$E83:$Z83,MIN(AB$6-$G$3,22))&lt;&gt;""),'Feijão 2ª safra'!$E83:INDEX('Feijão 2ª safra'!$E83:$Z83,MIN(AB$6-$G$3,22))),0)))))</f>
        <v>0</v>
      </c>
      <c r="AC85" s="27" t="n">
        <f aca="false">IF(COUNT('Feijão 2ª safra'!$E83:$Z83)=0,0,MAX(0,IF((AC$6-$E$3)&lt;1,0,IFERROR(LOOKUP(2,1/('Feijão 2ª safra'!$E83:INDEX('Feijão 2ª safra'!$E83:$Z83,MIN(AC$6-$E$3,22))&lt;&gt;""),'Feijão 2ª safra'!$E83:INDEX('Feijão 2ª safra'!$E83:$Z83,MIN(AC$6-$E$3,22))),0))-IF($G$2,0,IF((AC$6-$G$3)&lt;1,0,IFERROR(LOOKUP(2,1/('Feijão 2ª safra'!$E83:INDEX('Feijão 2ª safra'!$E83:$Z83,MIN(AC$6-$G$3,22))&lt;&gt;""),'Feijão 2ª safra'!$E83:INDEX('Feijão 2ª safra'!$E83:$Z83,MIN(AC$6-$G$3,22))),0)))))</f>
        <v>0</v>
      </c>
      <c r="AD85" s="27" t="n">
        <f aca="false">IF(COUNT('Feijão 2ª safra'!$E83:$Z83)=0,0,MAX(0,IF((AD$6-$E$3)&lt;1,0,IFERROR(LOOKUP(2,1/('Feijão 2ª safra'!$E83:INDEX('Feijão 2ª safra'!$E83:$Z83,MIN(AD$6-$E$3,22))&lt;&gt;""),'Feijão 2ª safra'!$E83:INDEX('Feijão 2ª safra'!$E83:$Z83,MIN(AD$6-$E$3,22))),0))-IF($G$2,0,IF((AD$6-$G$3)&lt;1,0,IFERROR(LOOKUP(2,1/('Feijão 2ª safra'!$E83:INDEX('Feijão 2ª safra'!$E83:$Z83,MIN(AD$6-$G$3,22))&lt;&gt;""),'Feijão 2ª safra'!$E83:INDEX('Feijão 2ª safra'!$E83:$Z83,MIN(AD$6-$G$3,22))),0)))))</f>
        <v>0</v>
      </c>
      <c r="AE85" s="27" t="n">
        <f aca="false">IF(COUNT('Feijão 2ª safra'!$E83:$Z83)=0,0,MAX(0,IF((AE$6-$E$3)&lt;1,0,IFERROR(LOOKUP(2,1/('Feijão 2ª safra'!$E83:INDEX('Feijão 2ª safra'!$E83:$Z83,MIN(AE$6-$E$3,22))&lt;&gt;""),'Feijão 2ª safra'!$E83:INDEX('Feijão 2ª safra'!$E83:$Z83,MIN(AE$6-$E$3,22))),0))-IF($G$2,0,IF((AE$6-$G$3)&lt;1,0,IFERROR(LOOKUP(2,1/('Feijão 2ª safra'!$E83:INDEX('Feijão 2ª safra'!$E83:$Z83,MIN(AE$6-$G$3,22))&lt;&gt;""),'Feijão 2ª safra'!$E83:INDEX('Feijão 2ª safra'!$E83:$Z83,MIN(AE$6-$G$3,22))),0)))))</f>
        <v>0</v>
      </c>
      <c r="AF85" s="27" t="n">
        <f aca="false">IF(COUNT('Feijão 2ª safra'!$E83:$Z83)=0,0,MAX(0,IF((AF$6-$E$3)&lt;1,0,IFERROR(LOOKUP(2,1/('Feijão 2ª safra'!$E83:INDEX('Feijão 2ª safra'!$E83:$Z83,MIN(AF$6-$E$3,22))&lt;&gt;""),'Feijão 2ª safra'!$E83:INDEX('Feijão 2ª safra'!$E83:$Z83,MIN(AF$6-$E$3,22))),0))-IF($G$2,0,IF((AF$6-$G$3)&lt;1,0,IFERROR(LOOKUP(2,1/('Feijão 2ª safra'!$E83:INDEX('Feijão 2ª safra'!$E83:$Z83,MIN(AF$6-$G$3,22))&lt;&gt;""),'Feijão 2ª safra'!$E83:INDEX('Feijão 2ª safra'!$E83:$Z83,MIN(AF$6-$G$3,22))),0)))))</f>
        <v>0</v>
      </c>
      <c r="AG85" s="27" t="n">
        <f aca="false">IF(COUNT('Feijão 2ª safra'!$E83:$Z83)=0,0,MAX(0,IF((AG$6-$E$3)&lt;1,0,IFERROR(LOOKUP(2,1/('Feijão 2ª safra'!$E83:INDEX('Feijão 2ª safra'!$E83:$Z83,MIN(AG$6-$E$3,22))&lt;&gt;""),'Feijão 2ª safra'!$E83:INDEX('Feijão 2ª safra'!$E83:$Z83,MIN(AG$6-$E$3,22))),0))-IF($G$2,0,IF((AG$6-$G$3)&lt;1,0,IFERROR(LOOKUP(2,1/('Feijão 2ª safra'!$E83:INDEX('Feijão 2ª safra'!$E83:$Z83,MIN(AG$6-$G$3,22))&lt;&gt;""),'Feijão 2ª safra'!$E83:INDEX('Feijão 2ª safra'!$E83:$Z83,MIN(AG$6-$G$3,22))),0)))))</f>
        <v>0</v>
      </c>
      <c r="AH85" s="27" t="n">
        <f aca="false">IF(COUNT('Feijão 2ª safra'!$E83:$Z83)=0,0,MAX(0,IF((AH$6-$E$3)&lt;1,0,IFERROR(LOOKUP(2,1/('Feijão 2ª safra'!$E83:INDEX('Feijão 2ª safra'!$E83:$Z83,MIN(AH$6-$E$3,22))&lt;&gt;""),'Feijão 2ª safra'!$E83:INDEX('Feijão 2ª safra'!$E83:$Z83,MIN(AH$6-$E$3,22))),0))-IF($G$2,0,IF((AH$6-$G$3)&lt;1,0,IFERROR(LOOKUP(2,1/('Feijão 2ª safra'!$E83:INDEX('Feijão 2ª safra'!$E83:$Z83,MIN(AH$6-$G$3,22))&lt;&gt;""),'Feijão 2ª safra'!$E83:INDEX('Feijão 2ª safra'!$E83:$Z83,MIN(AH$6-$G$3,22))),0)))))</f>
        <v>0</v>
      </c>
      <c r="AI85" s="27" t="n">
        <f aca="false">IF(COUNT('Feijão 2ª safra'!$E83:$Z83)=0,0,MAX(0,IF((AI$6-$E$3)&lt;1,0,IFERROR(LOOKUP(2,1/('Feijão 2ª safra'!$E83:INDEX('Feijão 2ª safra'!$E83:$Z83,MIN(AI$6-$E$3,22))&lt;&gt;""),'Feijão 2ª safra'!$E83:INDEX('Feijão 2ª safra'!$E83:$Z83,MIN(AI$6-$E$3,22))),0))-IF($G$2,0,IF((AI$6-$G$3)&lt;1,0,IFERROR(LOOKUP(2,1/('Feijão 2ª safra'!$E83:INDEX('Feijão 2ª safra'!$E83:$Z83,MIN(AI$6-$G$3,22))&lt;&gt;""),'Feijão 2ª safra'!$E83:INDEX('Feijão 2ª safra'!$E83:$Z83,MIN(AI$6-$G$3,22))),0)))))</f>
        <v>0</v>
      </c>
      <c r="AJ85" s="27" t="n">
        <f aca="false">IF(COUNT('Feijão 2ª safra'!$E83:$Z83)=0,0,MAX(0,IF((AJ$6-$E$3)&lt;1,0,IFERROR(LOOKUP(2,1/('Feijão 2ª safra'!$E83:INDEX('Feijão 2ª safra'!$E83:$Z83,MIN(AJ$6-$E$3,22))&lt;&gt;""),'Feijão 2ª safra'!$E83:INDEX('Feijão 2ª safra'!$E83:$Z83,MIN(AJ$6-$E$3,22))),0))-IF($G$2,0,IF((AJ$6-$G$3)&lt;1,0,IFERROR(LOOKUP(2,1/('Feijão 2ª safra'!$E83:INDEX('Feijão 2ª safra'!$E83:$Z83,MIN(AJ$6-$G$3,22))&lt;&gt;""),'Feijão 2ª safra'!$E83:INDEX('Feijão 2ª safra'!$E83:$Z83,MIN(AJ$6-$G$3,22))),0)))))</f>
        <v>0</v>
      </c>
      <c r="AK85" s="27" t="n">
        <f aca="false">IF(COUNT('Feijão 2ª safra'!$E83:$Z83)=0,0,MAX(0,IF((AK$6-$E$3)&lt;1,0,IFERROR(LOOKUP(2,1/('Feijão 2ª safra'!$E83:INDEX('Feijão 2ª safra'!$E83:$Z83,MIN(AK$6-$E$3,22))&lt;&gt;""),'Feijão 2ª safra'!$E83:INDEX('Feijão 2ª safra'!$E83:$Z83,MIN(AK$6-$E$3,22))),0))-IF($G$2,0,IF((AK$6-$G$3)&lt;1,0,IFERROR(LOOKUP(2,1/('Feijão 2ª safra'!$E83:INDEX('Feijão 2ª safra'!$E83:$Z83,MIN(AK$6-$G$3,22))&lt;&gt;""),'Feijão 2ª safra'!$E83:INDEX('Feijão 2ª safra'!$E83:$Z83,MIN(AK$6-$G$3,22))),0)))))</f>
        <v>0</v>
      </c>
      <c r="AL85" s="27" t="n">
        <f aca="false">IF(COUNT('Feijão 2ª safra'!$E83:$Z83)=0,0,MAX(0,IF((AL$6-$E$3)&lt;1,0,IFERROR(LOOKUP(2,1/('Feijão 2ª safra'!$E83:INDEX('Feijão 2ª safra'!$E83:$Z83,MIN(AL$6-$E$3,22))&lt;&gt;""),'Feijão 2ª safra'!$E83:INDEX('Feijão 2ª safra'!$E83:$Z83,MIN(AL$6-$E$3,22))),0))-IF($G$2,0,IF((AL$6-$G$3)&lt;1,0,IFERROR(LOOKUP(2,1/('Feijão 2ª safra'!$E83:INDEX('Feijão 2ª safra'!$E83:$Z83,MIN(AL$6-$G$3,22))&lt;&gt;""),'Feijão 2ª safra'!$E83:INDEX('Feijão 2ª safra'!$E83:$Z83,MIN(AL$6-$G$3,22))),0)))))</f>
        <v>0</v>
      </c>
      <c r="AM85" s="27" t="n">
        <f aca="false">IF(COUNT('Feijão 2ª safra'!$E83:$Z83)=0,0,MAX(0,IF((AM$6-$E$3)&lt;1,0,IFERROR(LOOKUP(2,1/('Feijão 2ª safra'!$E83:INDEX('Feijão 2ª safra'!$E83:$Z83,MIN(AM$6-$E$3,22))&lt;&gt;""),'Feijão 2ª safra'!$E83:INDEX('Feijão 2ª safra'!$E83:$Z83,MIN(AM$6-$E$3,22))),0))-IF($G$2,0,IF((AM$6-$G$3)&lt;1,0,IFERROR(LOOKUP(2,1/('Feijão 2ª safra'!$E83:INDEX('Feijão 2ª safra'!$E83:$Z83,MIN(AM$6-$G$3,22))&lt;&gt;""),'Feijão 2ª safra'!$E83:INDEX('Feijão 2ª safra'!$E83:$Z83,MIN(AM$6-$G$3,22))),0)))))</f>
        <v>0</v>
      </c>
      <c r="AN85" s="27" t="n">
        <f aca="false">IF(COUNT('Feijão 2ª safra'!$E83:$Z83)=0,0,MAX(0,IF((AN$6-$E$3)&lt;1,0,IFERROR(LOOKUP(2,1/('Feijão 2ª safra'!$E83:INDEX('Feijão 2ª safra'!$E83:$Z83,MIN(AN$6-$E$3,22))&lt;&gt;""),'Feijão 2ª safra'!$E83:INDEX('Feijão 2ª safra'!$E83:$Z83,MIN(AN$6-$E$3,22))),0))-IF($G$2,0,IF((AN$6-$G$3)&lt;1,0,IFERROR(LOOKUP(2,1/('Feijão 2ª safra'!$E83:INDEX('Feijão 2ª safra'!$E83:$Z83,MIN(AN$6-$G$3,22))&lt;&gt;""),'Feijão 2ª safra'!$E83:INDEX('Feijão 2ª safra'!$E83:$Z83,MIN(AN$6-$G$3,22))),0)))))</f>
        <v>0</v>
      </c>
      <c r="AO85" s="27" t="n">
        <f aca="false">IF(COUNT('Feijão 2ª safra'!$E83:$Z83)=0,0,MAX(0,IF((AO$6-$E$3)&lt;1,0,IFERROR(LOOKUP(2,1/('Feijão 2ª safra'!$E83:INDEX('Feijão 2ª safra'!$E83:$Z83,MIN(AO$6-$E$3,22))&lt;&gt;""),'Feijão 2ª safra'!$E83:INDEX('Feijão 2ª safra'!$E83:$Z83,MIN(AO$6-$E$3,22))),0))-IF($G$2,0,IF((AO$6-$G$3)&lt;1,0,IFERROR(LOOKUP(2,1/('Feijão 2ª safra'!$E83:INDEX('Feijão 2ª safra'!$E83:$Z83,MIN(AO$6-$G$3,22))&lt;&gt;""),'Feijão 2ª safra'!$E83:INDEX('Feijão 2ª safra'!$E83:$Z83,MIN(AO$6-$G$3,22))),0)))))</f>
        <v>0</v>
      </c>
      <c r="AP85" s="27" t="n">
        <f aca="false">IF(COUNT('Feijão 2ª safra'!$E83:$Z83)=0,0,MAX(0,IF((AP$6-$E$3)&lt;1,0,IFERROR(LOOKUP(2,1/('Feijão 2ª safra'!$E83:INDEX('Feijão 2ª safra'!$E83:$Z83,MIN(AP$6-$E$3,22))&lt;&gt;""),'Feijão 2ª safra'!$E83:INDEX('Feijão 2ª safra'!$E83:$Z83,MIN(AP$6-$E$3,22))),0))-IF($G$2,0,IF((AP$6-$G$3)&lt;1,0,IFERROR(LOOKUP(2,1/('Feijão 2ª safra'!$E83:INDEX('Feijão 2ª safra'!$E83:$Z83,MIN(AP$6-$G$3,22))&lt;&gt;""),'Feijão 2ª safra'!$E83:INDEX('Feijão 2ª safra'!$E83:$Z83,MIN(AP$6-$G$3,22))),0)))))</f>
        <v>0</v>
      </c>
      <c r="AQ85" s="27" t="n">
        <f aca="false">IF(COUNT('Feijão 2ª safra'!$E83:$Z83)=0,0,MAX(0,IF((AQ$6-$E$3)&lt;1,0,IFERROR(LOOKUP(2,1/('Feijão 2ª safra'!$E83:INDEX('Feijão 2ª safra'!$E83:$Z83,MIN(AQ$6-$E$3,22))&lt;&gt;""),'Feijão 2ª safra'!$E83:INDEX('Feijão 2ª safra'!$E83:$Z83,MIN(AQ$6-$E$3,22))),0))-IF($G$2,0,IF((AQ$6-$G$3)&lt;1,0,IFERROR(LOOKUP(2,1/('Feijão 2ª safra'!$E83:INDEX('Feijão 2ª safra'!$E83:$Z83,MIN(AQ$6-$G$3,22))&lt;&gt;""),'Feijão 2ª safra'!$E83:INDEX('Feijão 2ª safra'!$E83:$Z83,MIN(AQ$6-$G$3,22))),0)))))</f>
        <v>0</v>
      </c>
      <c r="AR85" s="27" t="n">
        <f aca="false">IF(COUNT('Feijão 2ª safra'!$E83:$Z83)=0,0,MAX(0,IF((AR$6-$E$3)&lt;1,0,IFERROR(LOOKUP(2,1/('Feijão 2ª safra'!$E83:INDEX('Feijão 2ª safra'!$E83:$Z83,MIN(AR$6-$E$3,22))&lt;&gt;""),'Feijão 2ª safra'!$E83:INDEX('Feijão 2ª safra'!$E83:$Z83,MIN(AR$6-$E$3,22))),0))-IF($G$2,0,IF((AR$6-$G$3)&lt;1,0,IFERROR(LOOKUP(2,1/('Feijão 2ª safra'!$E83:INDEX('Feijão 2ª safra'!$E83:$Z83,MIN(AR$6-$G$3,22))&lt;&gt;""),'Feijão 2ª safra'!$E83:INDEX('Feijão 2ª safra'!$E83:$Z83,MIN(AR$6-$G$3,22))),0)))))</f>
        <v>0</v>
      </c>
      <c r="AS85" s="27" t="n">
        <f aca="false">IF(COUNT('Feijão 2ª safra'!$E83:$Z83)=0,0,MAX(0,IF((AS$6-$E$3)&lt;1,0,IFERROR(LOOKUP(2,1/('Feijão 2ª safra'!$E83:INDEX('Feijão 2ª safra'!$E83:$Z83,MIN(AS$6-$E$3,22))&lt;&gt;""),'Feijão 2ª safra'!$E83:INDEX('Feijão 2ª safra'!$E83:$Z83,MIN(AS$6-$E$3,22))),0))-IF($G$2,0,IF((AS$6-$G$3)&lt;1,0,IFERROR(LOOKUP(2,1/('Feijão 2ª safra'!$E83:INDEX('Feijão 2ª safra'!$E83:$Z83,MIN(AS$6-$G$3,22))&lt;&gt;""),'Feijão 2ª safra'!$E83:INDEX('Feijão 2ª safra'!$E83:$Z83,MIN(AS$6-$G$3,22))),0)))))</f>
        <v>0</v>
      </c>
      <c r="AT85" s="27" t="n">
        <f aca="false">IF(COUNT('Feijão 2ª safra'!$E83:$Z83)=0,0,MAX(0,IF((AT$6-$E$3)&lt;1,0,IFERROR(LOOKUP(2,1/('Feijão 2ª safra'!$E83:INDEX('Feijão 2ª safra'!$E83:$Z83,MIN(AT$6-$E$3,22))&lt;&gt;""),'Feijão 2ª safra'!$E83:INDEX('Feijão 2ª safra'!$E83:$Z83,MIN(AT$6-$E$3,22))),0))-IF($G$2,0,IF((AT$6-$G$3)&lt;1,0,IFERROR(LOOKUP(2,1/('Feijão 2ª safra'!$E83:INDEX('Feijão 2ª safra'!$E83:$Z83,MIN(AT$6-$G$3,22))&lt;&gt;""),'Feijão 2ª safra'!$E83:INDEX('Feijão 2ª safra'!$E83:$Z83,MIN(AT$6-$G$3,22))),0)))))</f>
        <v>0</v>
      </c>
      <c r="AU85" s="27" t="n">
        <f aca="false">IF(COUNT('Feijão 2ª safra'!$E83:$Z83)=0,0,MAX(0,IF((AU$6-$E$3)&lt;1,0,IFERROR(LOOKUP(2,1/('Feijão 2ª safra'!$E83:INDEX('Feijão 2ª safra'!$E83:$Z83,MIN(AU$6-$E$3,22))&lt;&gt;""),'Feijão 2ª safra'!$E83:INDEX('Feijão 2ª safra'!$E83:$Z83,MIN(AU$6-$E$3,22))),0))-IF($G$2,0,IF((AU$6-$G$3)&lt;1,0,IFERROR(LOOKUP(2,1/('Feijão 2ª safra'!$E83:INDEX('Feijão 2ª safra'!$E83:$Z83,MIN(AU$6-$G$3,22))&lt;&gt;""),'Feijão 2ª safra'!$E83:INDEX('Feijão 2ª safra'!$E83:$Z83,MIN(AU$6-$G$3,22))),0)))))</f>
        <v>0</v>
      </c>
      <c r="AV85" s="27" t="n">
        <f aca="false">IF(COUNT('Feijão 2ª safra'!$E83:$Z83)=0,0,MAX(0,IF((AV$6-$E$3)&lt;1,0,IFERROR(LOOKUP(2,1/('Feijão 2ª safra'!$E83:INDEX('Feijão 2ª safra'!$E83:$Z83,MIN(AV$6-$E$3,22))&lt;&gt;""),'Feijão 2ª safra'!$E83:INDEX('Feijão 2ª safra'!$E83:$Z83,MIN(AV$6-$E$3,22))),0))-IF($G$2,0,IF((AV$6-$G$3)&lt;1,0,IFERROR(LOOKUP(2,1/('Feijão 2ª safra'!$E83:INDEX('Feijão 2ª safra'!$E83:$Z83,MIN(AV$6-$G$3,22))&lt;&gt;""),'Feijão 2ª safra'!$E83:INDEX('Feijão 2ª safra'!$E83:$Z83,MIN(AV$6-$G$3,22))),0)))))</f>
        <v>0</v>
      </c>
      <c r="AW85" s="27" t="n">
        <f aca="false">IF(COUNT('Feijão 2ª safra'!$E83:$Z83)=0,0,MAX(0,IF((AW$6-$E$3)&lt;1,0,IFERROR(LOOKUP(2,1/('Feijão 2ª safra'!$E83:INDEX('Feijão 2ª safra'!$E83:$Z83,MIN(AW$6-$E$3,22))&lt;&gt;""),'Feijão 2ª safra'!$E83:INDEX('Feijão 2ª safra'!$E83:$Z83,MIN(AW$6-$E$3,22))),0))-IF($G$2,0,IF((AW$6-$G$3)&lt;1,0,IFERROR(LOOKUP(2,1/('Feijão 2ª safra'!$E83:INDEX('Feijão 2ª safra'!$E83:$Z83,MIN(AW$6-$G$3,22))&lt;&gt;""),'Feijão 2ª safra'!$E83:INDEX('Feijão 2ª safra'!$E83:$Z83,MIN(AW$6-$G$3,22))),0)))))</f>
        <v>0</v>
      </c>
      <c r="AX85" s="27" t="n">
        <f aca="false">IF(COUNT('Feijão 2ª safra'!$E83:$Z83)=0,0,MAX(0,IF((AX$6-$E$3)&lt;1,0,IFERROR(LOOKUP(2,1/('Feijão 2ª safra'!$E83:INDEX('Feijão 2ª safra'!$E83:$Z83,MIN(AX$6-$E$3,22))&lt;&gt;""),'Feijão 2ª safra'!$E83:INDEX('Feijão 2ª safra'!$E83:$Z83,MIN(AX$6-$E$3,22))),0))-IF($G$2,0,IF((AX$6-$G$3)&lt;1,0,IFERROR(LOOKUP(2,1/('Feijão 2ª safra'!$E83:INDEX('Feijão 2ª safra'!$E83:$Z83,MIN(AX$6-$G$3,22))&lt;&gt;""),'Feijão 2ª safra'!$E83:INDEX('Feijão 2ª safra'!$E83:$Z83,MIN(AX$6-$G$3,22))),0)))))</f>
        <v>0</v>
      </c>
      <c r="AY85" s="27" t="n">
        <f aca="false">IF(COUNT('Feijão 2ª safra'!$E83:$Z83)=0,0,MAX(0,IF((AY$6-$E$3)&lt;1,0,IFERROR(LOOKUP(2,1/('Feijão 2ª safra'!$E83:INDEX('Feijão 2ª safra'!$E83:$Z83,MIN(AY$6-$E$3,22))&lt;&gt;""),'Feijão 2ª safra'!$E83:INDEX('Feijão 2ª safra'!$E83:$Z83,MIN(AY$6-$E$3,22))),0))-IF($G$2,0,IF((AY$6-$G$3)&lt;1,0,IFERROR(LOOKUP(2,1/('Feijão 2ª safra'!$E83:INDEX('Feijão 2ª safra'!$E83:$Z83,MIN(AY$6-$G$3,22))&lt;&gt;""),'Feijão 2ª safra'!$E83:INDEX('Feijão 2ª safra'!$E83:$Z83,MIN(AY$6-$G$3,22))),0)))))</f>
        <v>0</v>
      </c>
      <c r="AZ85" s="27" t="n">
        <f aca="false">IF(COUNT('Feijão 2ª safra'!$E83:$Z83)=0,0,MAX(0,IF((AZ$6-$E$3)&lt;1,0,IFERROR(LOOKUP(2,1/('Feijão 2ª safra'!$E83:INDEX('Feijão 2ª safra'!$E83:$Z83,MIN(AZ$6-$E$3,22))&lt;&gt;""),'Feijão 2ª safra'!$E83:INDEX('Feijão 2ª safra'!$E83:$Z83,MIN(AZ$6-$E$3,22))),0))-IF($G$2,0,IF((AZ$6-$G$3)&lt;1,0,IFERROR(LOOKUP(2,1/('Feijão 2ª safra'!$E83:INDEX('Feijão 2ª safra'!$E83:$Z83,MIN(AZ$6-$G$3,22))&lt;&gt;""),'Feijão 2ª safra'!$E83:INDEX('Feijão 2ª safra'!$E83:$Z83,MIN(AZ$6-$G$3,22))),0)))))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IF(COUNT('Feijão 2ª safra'!$E84:$Z84)&gt;0,N('Feijão 2ª safra'!$D84),0)</f>
        <v>0</v>
      </c>
      <c r="E86" s="27" t="n">
        <f aca="false">IF(COUNT('Feijão 2ª safra'!$E84:$Z84)=0,0,MAX(0,IF((E$6-$E$3)&lt;1,0,IFERROR(LOOKUP(2,1/('Feijão 2ª safra'!$E84:INDEX('Feijão 2ª safra'!$E84:$Z84,MIN(E$6-$E$3,22))&lt;&gt;""),'Feijão 2ª safra'!$E84:INDEX('Feijão 2ª safra'!$E84:$Z84,MIN(E$6-$E$3,22))),0))-IF($G$2,0,IF((E$6-$G$3)&lt;1,0,IFERROR(LOOKUP(2,1/('Feijão 2ª safra'!$E84:INDEX('Feijão 2ª safra'!$E84:$Z84,MIN(E$6-$G$3,22))&lt;&gt;""),'Feijão 2ª safra'!$E84:INDEX('Feijão 2ª safra'!$E84:$Z84,MIN(E$6-$G$3,22))),0)))))</f>
        <v>0</v>
      </c>
      <c r="F86" s="27" t="n">
        <f aca="false">IF(COUNT('Feijão 2ª safra'!$E84:$Z84)=0,0,MAX(0,IF((F$6-$E$3)&lt;1,0,IFERROR(LOOKUP(2,1/('Feijão 2ª safra'!$E84:INDEX('Feijão 2ª safra'!$E84:$Z84,MIN(F$6-$E$3,22))&lt;&gt;""),'Feijão 2ª safra'!$E84:INDEX('Feijão 2ª safra'!$E84:$Z84,MIN(F$6-$E$3,22))),0))-IF($G$2,0,IF((F$6-$G$3)&lt;1,0,IFERROR(LOOKUP(2,1/('Feijão 2ª safra'!$E84:INDEX('Feijão 2ª safra'!$E84:$Z84,MIN(F$6-$G$3,22))&lt;&gt;""),'Feijão 2ª safra'!$E84:INDEX('Feijão 2ª safra'!$E84:$Z84,MIN(F$6-$G$3,22))),0)))))</f>
        <v>0</v>
      </c>
      <c r="G86" s="27" t="n">
        <f aca="false">IF(COUNT('Feijão 2ª safra'!$E84:$Z84)=0,0,MAX(0,IF((G$6-$E$3)&lt;1,0,IFERROR(LOOKUP(2,1/('Feijão 2ª safra'!$E84:INDEX('Feijão 2ª safra'!$E84:$Z84,MIN(G$6-$E$3,22))&lt;&gt;""),'Feijão 2ª safra'!$E84:INDEX('Feijão 2ª safra'!$E84:$Z84,MIN(G$6-$E$3,22))),0))-IF($G$2,0,IF((G$6-$G$3)&lt;1,0,IFERROR(LOOKUP(2,1/('Feijão 2ª safra'!$E84:INDEX('Feijão 2ª safra'!$E84:$Z84,MIN(G$6-$G$3,22))&lt;&gt;""),'Feijão 2ª safra'!$E84:INDEX('Feijão 2ª safra'!$E84:$Z84,MIN(G$6-$G$3,22))),0)))))</f>
        <v>0</v>
      </c>
      <c r="H86" s="27" t="n">
        <f aca="false">IF(COUNT('Feijão 2ª safra'!$E84:$Z84)=0,0,MAX(0,IF((H$6-$E$3)&lt;1,0,IFERROR(LOOKUP(2,1/('Feijão 2ª safra'!$E84:INDEX('Feijão 2ª safra'!$E84:$Z84,MIN(H$6-$E$3,22))&lt;&gt;""),'Feijão 2ª safra'!$E84:INDEX('Feijão 2ª safra'!$E84:$Z84,MIN(H$6-$E$3,22))),0))-IF($G$2,0,IF((H$6-$G$3)&lt;1,0,IFERROR(LOOKUP(2,1/('Feijão 2ª safra'!$E84:INDEX('Feijão 2ª safra'!$E84:$Z84,MIN(H$6-$G$3,22))&lt;&gt;""),'Feijão 2ª safra'!$E84:INDEX('Feijão 2ª safra'!$E84:$Z84,MIN(H$6-$G$3,22))),0)))))</f>
        <v>0</v>
      </c>
      <c r="I86" s="27" t="n">
        <f aca="false">IF(COUNT('Feijão 2ª safra'!$E84:$Z84)=0,0,MAX(0,IF((I$6-$E$3)&lt;1,0,IFERROR(LOOKUP(2,1/('Feijão 2ª safra'!$E84:INDEX('Feijão 2ª safra'!$E84:$Z84,MIN(I$6-$E$3,22))&lt;&gt;""),'Feijão 2ª safra'!$E84:INDEX('Feijão 2ª safra'!$E84:$Z84,MIN(I$6-$E$3,22))),0))-IF($G$2,0,IF((I$6-$G$3)&lt;1,0,IFERROR(LOOKUP(2,1/('Feijão 2ª safra'!$E84:INDEX('Feijão 2ª safra'!$E84:$Z84,MIN(I$6-$G$3,22))&lt;&gt;""),'Feijão 2ª safra'!$E84:INDEX('Feijão 2ª safra'!$E84:$Z84,MIN(I$6-$G$3,22))),0)))))</f>
        <v>0</v>
      </c>
      <c r="J86" s="27" t="n">
        <f aca="false">IF(COUNT('Feijão 2ª safra'!$E84:$Z84)=0,0,MAX(0,IF((J$6-$E$3)&lt;1,0,IFERROR(LOOKUP(2,1/('Feijão 2ª safra'!$E84:INDEX('Feijão 2ª safra'!$E84:$Z84,MIN(J$6-$E$3,22))&lt;&gt;""),'Feijão 2ª safra'!$E84:INDEX('Feijão 2ª safra'!$E84:$Z84,MIN(J$6-$E$3,22))),0))-IF($G$2,0,IF((J$6-$G$3)&lt;1,0,IFERROR(LOOKUP(2,1/('Feijão 2ª safra'!$E84:INDEX('Feijão 2ª safra'!$E84:$Z84,MIN(J$6-$G$3,22))&lt;&gt;""),'Feijão 2ª safra'!$E84:INDEX('Feijão 2ª safra'!$E84:$Z84,MIN(J$6-$G$3,22))),0)))))</f>
        <v>0</v>
      </c>
      <c r="K86" s="27" t="n">
        <f aca="false">IF(COUNT('Feijão 2ª safra'!$E84:$Z84)=0,0,MAX(0,IF((K$6-$E$3)&lt;1,0,IFERROR(LOOKUP(2,1/('Feijão 2ª safra'!$E84:INDEX('Feijão 2ª safra'!$E84:$Z84,MIN(K$6-$E$3,22))&lt;&gt;""),'Feijão 2ª safra'!$E84:INDEX('Feijão 2ª safra'!$E84:$Z84,MIN(K$6-$E$3,22))),0))-IF($G$2,0,IF((K$6-$G$3)&lt;1,0,IFERROR(LOOKUP(2,1/('Feijão 2ª safra'!$E84:INDEX('Feijão 2ª safra'!$E84:$Z84,MIN(K$6-$G$3,22))&lt;&gt;""),'Feijão 2ª safra'!$E84:INDEX('Feijão 2ª safra'!$E84:$Z84,MIN(K$6-$G$3,22))),0)))))</f>
        <v>0</v>
      </c>
      <c r="L86" s="27" t="n">
        <f aca="false">IF(COUNT('Feijão 2ª safra'!$E84:$Z84)=0,0,MAX(0,IF((L$6-$E$3)&lt;1,0,IFERROR(LOOKUP(2,1/('Feijão 2ª safra'!$E84:INDEX('Feijão 2ª safra'!$E84:$Z84,MIN(L$6-$E$3,22))&lt;&gt;""),'Feijão 2ª safra'!$E84:INDEX('Feijão 2ª safra'!$E84:$Z84,MIN(L$6-$E$3,22))),0))-IF($G$2,0,IF((L$6-$G$3)&lt;1,0,IFERROR(LOOKUP(2,1/('Feijão 2ª safra'!$E84:INDEX('Feijão 2ª safra'!$E84:$Z84,MIN(L$6-$G$3,22))&lt;&gt;""),'Feijão 2ª safra'!$E84:INDEX('Feijão 2ª safra'!$E84:$Z84,MIN(L$6-$G$3,22))),0)))))</f>
        <v>0</v>
      </c>
      <c r="M86" s="27" t="n">
        <f aca="false">IF(COUNT('Feijão 2ª safra'!$E84:$Z84)=0,0,MAX(0,IF((M$6-$E$3)&lt;1,0,IFERROR(LOOKUP(2,1/('Feijão 2ª safra'!$E84:INDEX('Feijão 2ª safra'!$E84:$Z84,MIN(M$6-$E$3,22))&lt;&gt;""),'Feijão 2ª safra'!$E84:INDEX('Feijão 2ª safra'!$E84:$Z84,MIN(M$6-$E$3,22))),0))-IF($G$2,0,IF((M$6-$G$3)&lt;1,0,IFERROR(LOOKUP(2,1/('Feijão 2ª safra'!$E84:INDEX('Feijão 2ª safra'!$E84:$Z84,MIN(M$6-$G$3,22))&lt;&gt;""),'Feijão 2ª safra'!$E84:INDEX('Feijão 2ª safra'!$E84:$Z84,MIN(M$6-$G$3,22))),0)))))</f>
        <v>0</v>
      </c>
      <c r="N86" s="27" t="n">
        <f aca="false">IF(COUNT('Feijão 2ª safra'!$E84:$Z84)=0,0,MAX(0,IF((N$6-$E$3)&lt;1,0,IFERROR(LOOKUP(2,1/('Feijão 2ª safra'!$E84:INDEX('Feijão 2ª safra'!$E84:$Z84,MIN(N$6-$E$3,22))&lt;&gt;""),'Feijão 2ª safra'!$E84:INDEX('Feijão 2ª safra'!$E84:$Z84,MIN(N$6-$E$3,22))),0))-IF($G$2,0,IF((N$6-$G$3)&lt;1,0,IFERROR(LOOKUP(2,1/('Feijão 2ª safra'!$E84:INDEX('Feijão 2ª safra'!$E84:$Z84,MIN(N$6-$G$3,22))&lt;&gt;""),'Feijão 2ª safra'!$E84:INDEX('Feijão 2ª safra'!$E84:$Z84,MIN(N$6-$G$3,22))),0)))))</f>
        <v>0</v>
      </c>
      <c r="O86" s="27" t="n">
        <f aca="false">IF(COUNT('Feijão 2ª safra'!$E84:$Z84)=0,0,MAX(0,IF((O$6-$E$3)&lt;1,0,IFERROR(LOOKUP(2,1/('Feijão 2ª safra'!$E84:INDEX('Feijão 2ª safra'!$E84:$Z84,MIN(O$6-$E$3,22))&lt;&gt;""),'Feijão 2ª safra'!$E84:INDEX('Feijão 2ª safra'!$E84:$Z84,MIN(O$6-$E$3,22))),0))-IF($G$2,0,IF((O$6-$G$3)&lt;1,0,IFERROR(LOOKUP(2,1/('Feijão 2ª safra'!$E84:INDEX('Feijão 2ª safra'!$E84:$Z84,MIN(O$6-$G$3,22))&lt;&gt;""),'Feijão 2ª safra'!$E84:INDEX('Feijão 2ª safra'!$E84:$Z84,MIN(O$6-$G$3,22))),0)))))</f>
        <v>0</v>
      </c>
      <c r="P86" s="27" t="n">
        <f aca="false">IF(COUNT('Feijão 2ª safra'!$E84:$Z84)=0,0,MAX(0,IF((P$6-$E$3)&lt;1,0,IFERROR(LOOKUP(2,1/('Feijão 2ª safra'!$E84:INDEX('Feijão 2ª safra'!$E84:$Z84,MIN(P$6-$E$3,22))&lt;&gt;""),'Feijão 2ª safra'!$E84:INDEX('Feijão 2ª safra'!$E84:$Z84,MIN(P$6-$E$3,22))),0))-IF($G$2,0,IF((P$6-$G$3)&lt;1,0,IFERROR(LOOKUP(2,1/('Feijão 2ª safra'!$E84:INDEX('Feijão 2ª safra'!$E84:$Z84,MIN(P$6-$G$3,22))&lt;&gt;""),'Feijão 2ª safra'!$E84:INDEX('Feijão 2ª safra'!$E84:$Z84,MIN(P$6-$G$3,22))),0)))))</f>
        <v>0</v>
      </c>
      <c r="Q86" s="27" t="n">
        <f aca="false">IF(COUNT('Feijão 2ª safra'!$E84:$Z84)=0,0,MAX(0,IF((Q$6-$E$3)&lt;1,0,IFERROR(LOOKUP(2,1/('Feijão 2ª safra'!$E84:INDEX('Feijão 2ª safra'!$E84:$Z84,MIN(Q$6-$E$3,22))&lt;&gt;""),'Feijão 2ª safra'!$E84:INDEX('Feijão 2ª safra'!$E84:$Z84,MIN(Q$6-$E$3,22))),0))-IF($G$2,0,IF((Q$6-$G$3)&lt;1,0,IFERROR(LOOKUP(2,1/('Feijão 2ª safra'!$E84:INDEX('Feijão 2ª safra'!$E84:$Z84,MIN(Q$6-$G$3,22))&lt;&gt;""),'Feijão 2ª safra'!$E84:INDEX('Feijão 2ª safra'!$E84:$Z84,MIN(Q$6-$G$3,22))),0)))))</f>
        <v>0</v>
      </c>
      <c r="R86" s="27" t="n">
        <f aca="false">IF(COUNT('Feijão 2ª safra'!$E84:$Z84)=0,0,MAX(0,IF((R$6-$E$3)&lt;1,0,IFERROR(LOOKUP(2,1/('Feijão 2ª safra'!$E84:INDEX('Feijão 2ª safra'!$E84:$Z84,MIN(R$6-$E$3,22))&lt;&gt;""),'Feijão 2ª safra'!$E84:INDEX('Feijão 2ª safra'!$E84:$Z84,MIN(R$6-$E$3,22))),0))-IF($G$2,0,IF((R$6-$G$3)&lt;1,0,IFERROR(LOOKUP(2,1/('Feijão 2ª safra'!$E84:INDEX('Feijão 2ª safra'!$E84:$Z84,MIN(R$6-$G$3,22))&lt;&gt;""),'Feijão 2ª safra'!$E84:INDEX('Feijão 2ª safra'!$E84:$Z84,MIN(R$6-$G$3,22))),0)))))</f>
        <v>0</v>
      </c>
      <c r="S86" s="27" t="n">
        <f aca="false">IF(COUNT('Feijão 2ª safra'!$E84:$Z84)=0,0,MAX(0,IF((S$6-$E$3)&lt;1,0,IFERROR(LOOKUP(2,1/('Feijão 2ª safra'!$E84:INDEX('Feijão 2ª safra'!$E84:$Z84,MIN(S$6-$E$3,22))&lt;&gt;""),'Feijão 2ª safra'!$E84:INDEX('Feijão 2ª safra'!$E84:$Z84,MIN(S$6-$E$3,22))),0))-IF($G$2,0,IF((S$6-$G$3)&lt;1,0,IFERROR(LOOKUP(2,1/('Feijão 2ª safra'!$E84:INDEX('Feijão 2ª safra'!$E84:$Z84,MIN(S$6-$G$3,22))&lt;&gt;""),'Feijão 2ª safra'!$E84:INDEX('Feijão 2ª safra'!$E84:$Z84,MIN(S$6-$G$3,22))),0)))))</f>
        <v>0</v>
      </c>
      <c r="T86" s="27" t="n">
        <f aca="false">IF(COUNT('Feijão 2ª safra'!$E84:$Z84)=0,0,MAX(0,IF((T$6-$E$3)&lt;1,0,IFERROR(LOOKUP(2,1/('Feijão 2ª safra'!$E84:INDEX('Feijão 2ª safra'!$E84:$Z84,MIN(T$6-$E$3,22))&lt;&gt;""),'Feijão 2ª safra'!$E84:INDEX('Feijão 2ª safra'!$E84:$Z84,MIN(T$6-$E$3,22))),0))-IF($G$2,0,IF((T$6-$G$3)&lt;1,0,IFERROR(LOOKUP(2,1/('Feijão 2ª safra'!$E84:INDEX('Feijão 2ª safra'!$E84:$Z84,MIN(T$6-$G$3,22))&lt;&gt;""),'Feijão 2ª safra'!$E84:INDEX('Feijão 2ª safra'!$E84:$Z84,MIN(T$6-$G$3,22))),0)))))</f>
        <v>0</v>
      </c>
      <c r="U86" s="27" t="n">
        <f aca="false">IF(COUNT('Feijão 2ª safra'!$E84:$Z84)=0,0,MAX(0,IF((U$6-$E$3)&lt;1,0,IFERROR(LOOKUP(2,1/('Feijão 2ª safra'!$E84:INDEX('Feijão 2ª safra'!$E84:$Z84,MIN(U$6-$E$3,22))&lt;&gt;""),'Feijão 2ª safra'!$E84:INDEX('Feijão 2ª safra'!$E84:$Z84,MIN(U$6-$E$3,22))),0))-IF($G$2,0,IF((U$6-$G$3)&lt;1,0,IFERROR(LOOKUP(2,1/('Feijão 2ª safra'!$E84:INDEX('Feijão 2ª safra'!$E84:$Z84,MIN(U$6-$G$3,22))&lt;&gt;""),'Feijão 2ª safra'!$E84:INDEX('Feijão 2ª safra'!$E84:$Z84,MIN(U$6-$G$3,22))),0)))))</f>
        <v>0</v>
      </c>
      <c r="V86" s="27" t="n">
        <f aca="false">IF(COUNT('Feijão 2ª safra'!$E84:$Z84)=0,0,MAX(0,IF((V$6-$E$3)&lt;1,0,IFERROR(LOOKUP(2,1/('Feijão 2ª safra'!$E84:INDEX('Feijão 2ª safra'!$E84:$Z84,MIN(V$6-$E$3,22))&lt;&gt;""),'Feijão 2ª safra'!$E84:INDEX('Feijão 2ª safra'!$E84:$Z84,MIN(V$6-$E$3,22))),0))-IF($G$2,0,IF((V$6-$G$3)&lt;1,0,IFERROR(LOOKUP(2,1/('Feijão 2ª safra'!$E84:INDEX('Feijão 2ª safra'!$E84:$Z84,MIN(V$6-$G$3,22))&lt;&gt;""),'Feijão 2ª safra'!$E84:INDEX('Feijão 2ª safra'!$E84:$Z84,MIN(V$6-$G$3,22))),0)))))</f>
        <v>0</v>
      </c>
      <c r="W86" s="27" t="n">
        <f aca="false">IF(COUNT('Feijão 2ª safra'!$E84:$Z84)=0,0,MAX(0,IF((W$6-$E$3)&lt;1,0,IFERROR(LOOKUP(2,1/('Feijão 2ª safra'!$E84:INDEX('Feijão 2ª safra'!$E84:$Z84,MIN(W$6-$E$3,22))&lt;&gt;""),'Feijão 2ª safra'!$E84:INDEX('Feijão 2ª safra'!$E84:$Z84,MIN(W$6-$E$3,22))),0))-IF($G$2,0,IF((W$6-$G$3)&lt;1,0,IFERROR(LOOKUP(2,1/('Feijão 2ª safra'!$E84:INDEX('Feijão 2ª safra'!$E84:$Z84,MIN(W$6-$G$3,22))&lt;&gt;""),'Feijão 2ª safra'!$E84:INDEX('Feijão 2ª safra'!$E84:$Z84,MIN(W$6-$G$3,22))),0)))))</f>
        <v>0</v>
      </c>
      <c r="X86" s="27" t="n">
        <f aca="false">IF(COUNT('Feijão 2ª safra'!$E84:$Z84)=0,0,MAX(0,IF((X$6-$E$3)&lt;1,0,IFERROR(LOOKUP(2,1/('Feijão 2ª safra'!$E84:INDEX('Feijão 2ª safra'!$E84:$Z84,MIN(X$6-$E$3,22))&lt;&gt;""),'Feijão 2ª safra'!$E84:INDEX('Feijão 2ª safra'!$E84:$Z84,MIN(X$6-$E$3,22))),0))-IF($G$2,0,IF((X$6-$G$3)&lt;1,0,IFERROR(LOOKUP(2,1/('Feijão 2ª safra'!$E84:INDEX('Feijão 2ª safra'!$E84:$Z84,MIN(X$6-$G$3,22))&lt;&gt;""),'Feijão 2ª safra'!$E84:INDEX('Feijão 2ª safra'!$E84:$Z84,MIN(X$6-$G$3,22))),0)))))</f>
        <v>0</v>
      </c>
      <c r="Y86" s="27" t="n">
        <f aca="false">IF(COUNT('Feijão 2ª safra'!$E84:$Z84)=0,0,MAX(0,IF((Y$6-$E$3)&lt;1,0,IFERROR(LOOKUP(2,1/('Feijão 2ª safra'!$E84:INDEX('Feijão 2ª safra'!$E84:$Z84,MIN(Y$6-$E$3,22))&lt;&gt;""),'Feijão 2ª safra'!$E84:INDEX('Feijão 2ª safra'!$E84:$Z84,MIN(Y$6-$E$3,22))),0))-IF($G$2,0,IF((Y$6-$G$3)&lt;1,0,IFERROR(LOOKUP(2,1/('Feijão 2ª safra'!$E84:INDEX('Feijão 2ª safra'!$E84:$Z84,MIN(Y$6-$G$3,22))&lt;&gt;""),'Feijão 2ª safra'!$E84:INDEX('Feijão 2ª safra'!$E84:$Z84,MIN(Y$6-$G$3,22))),0)))))</f>
        <v>0</v>
      </c>
      <c r="Z86" s="27" t="n">
        <f aca="false">IF(COUNT('Feijão 2ª safra'!$E84:$Z84)=0,0,MAX(0,IF((Z$6-$E$3)&lt;1,0,IFERROR(LOOKUP(2,1/('Feijão 2ª safra'!$E84:INDEX('Feijão 2ª safra'!$E84:$Z84,MIN(Z$6-$E$3,22))&lt;&gt;""),'Feijão 2ª safra'!$E84:INDEX('Feijão 2ª safra'!$E84:$Z84,MIN(Z$6-$E$3,22))),0))-IF($G$2,0,IF((Z$6-$G$3)&lt;1,0,IFERROR(LOOKUP(2,1/('Feijão 2ª safra'!$E84:INDEX('Feijão 2ª safra'!$E84:$Z84,MIN(Z$6-$G$3,22))&lt;&gt;""),'Feijão 2ª safra'!$E84:INDEX('Feijão 2ª safra'!$E84:$Z84,MIN(Z$6-$G$3,22))),0)))))</f>
        <v>0</v>
      </c>
      <c r="AA86" s="27" t="n">
        <f aca="false">IF(COUNT('Feijão 2ª safra'!$E84:$Z84)=0,0,MAX(0,IF((AA$6-$E$3)&lt;1,0,IFERROR(LOOKUP(2,1/('Feijão 2ª safra'!$E84:INDEX('Feijão 2ª safra'!$E84:$Z84,MIN(AA$6-$E$3,22))&lt;&gt;""),'Feijão 2ª safra'!$E84:INDEX('Feijão 2ª safra'!$E84:$Z84,MIN(AA$6-$E$3,22))),0))-IF($G$2,0,IF((AA$6-$G$3)&lt;1,0,IFERROR(LOOKUP(2,1/('Feijão 2ª safra'!$E84:INDEX('Feijão 2ª safra'!$E84:$Z84,MIN(AA$6-$G$3,22))&lt;&gt;""),'Feijão 2ª safra'!$E84:INDEX('Feijão 2ª safra'!$E84:$Z84,MIN(AA$6-$G$3,22))),0)))))</f>
        <v>0</v>
      </c>
      <c r="AB86" s="27" t="n">
        <f aca="false">IF(COUNT('Feijão 2ª safra'!$E84:$Z84)=0,0,MAX(0,IF((AB$6-$E$3)&lt;1,0,IFERROR(LOOKUP(2,1/('Feijão 2ª safra'!$E84:INDEX('Feijão 2ª safra'!$E84:$Z84,MIN(AB$6-$E$3,22))&lt;&gt;""),'Feijão 2ª safra'!$E84:INDEX('Feijão 2ª safra'!$E84:$Z84,MIN(AB$6-$E$3,22))),0))-IF($G$2,0,IF((AB$6-$G$3)&lt;1,0,IFERROR(LOOKUP(2,1/('Feijão 2ª safra'!$E84:INDEX('Feijão 2ª safra'!$E84:$Z84,MIN(AB$6-$G$3,22))&lt;&gt;""),'Feijão 2ª safra'!$E84:INDEX('Feijão 2ª safra'!$E84:$Z84,MIN(AB$6-$G$3,22))),0)))))</f>
        <v>0</v>
      </c>
      <c r="AC86" s="27" t="n">
        <f aca="false">IF(COUNT('Feijão 2ª safra'!$E84:$Z84)=0,0,MAX(0,IF((AC$6-$E$3)&lt;1,0,IFERROR(LOOKUP(2,1/('Feijão 2ª safra'!$E84:INDEX('Feijão 2ª safra'!$E84:$Z84,MIN(AC$6-$E$3,22))&lt;&gt;""),'Feijão 2ª safra'!$E84:INDEX('Feijão 2ª safra'!$E84:$Z84,MIN(AC$6-$E$3,22))),0))-IF($G$2,0,IF((AC$6-$G$3)&lt;1,0,IFERROR(LOOKUP(2,1/('Feijão 2ª safra'!$E84:INDEX('Feijão 2ª safra'!$E84:$Z84,MIN(AC$6-$G$3,22))&lt;&gt;""),'Feijão 2ª safra'!$E84:INDEX('Feijão 2ª safra'!$E84:$Z84,MIN(AC$6-$G$3,22))),0)))))</f>
        <v>0</v>
      </c>
      <c r="AD86" s="27" t="n">
        <f aca="false">IF(COUNT('Feijão 2ª safra'!$E84:$Z84)=0,0,MAX(0,IF((AD$6-$E$3)&lt;1,0,IFERROR(LOOKUP(2,1/('Feijão 2ª safra'!$E84:INDEX('Feijão 2ª safra'!$E84:$Z84,MIN(AD$6-$E$3,22))&lt;&gt;""),'Feijão 2ª safra'!$E84:INDEX('Feijão 2ª safra'!$E84:$Z84,MIN(AD$6-$E$3,22))),0))-IF($G$2,0,IF((AD$6-$G$3)&lt;1,0,IFERROR(LOOKUP(2,1/('Feijão 2ª safra'!$E84:INDEX('Feijão 2ª safra'!$E84:$Z84,MIN(AD$6-$G$3,22))&lt;&gt;""),'Feijão 2ª safra'!$E84:INDEX('Feijão 2ª safra'!$E84:$Z84,MIN(AD$6-$G$3,22))),0)))))</f>
        <v>0</v>
      </c>
      <c r="AE86" s="27" t="n">
        <f aca="false">IF(COUNT('Feijão 2ª safra'!$E84:$Z84)=0,0,MAX(0,IF((AE$6-$E$3)&lt;1,0,IFERROR(LOOKUP(2,1/('Feijão 2ª safra'!$E84:INDEX('Feijão 2ª safra'!$E84:$Z84,MIN(AE$6-$E$3,22))&lt;&gt;""),'Feijão 2ª safra'!$E84:INDEX('Feijão 2ª safra'!$E84:$Z84,MIN(AE$6-$E$3,22))),0))-IF($G$2,0,IF((AE$6-$G$3)&lt;1,0,IFERROR(LOOKUP(2,1/('Feijão 2ª safra'!$E84:INDEX('Feijão 2ª safra'!$E84:$Z84,MIN(AE$6-$G$3,22))&lt;&gt;""),'Feijão 2ª safra'!$E84:INDEX('Feijão 2ª safra'!$E84:$Z84,MIN(AE$6-$G$3,22))),0)))))</f>
        <v>0</v>
      </c>
      <c r="AF86" s="27" t="n">
        <f aca="false">IF(COUNT('Feijão 2ª safra'!$E84:$Z84)=0,0,MAX(0,IF((AF$6-$E$3)&lt;1,0,IFERROR(LOOKUP(2,1/('Feijão 2ª safra'!$E84:INDEX('Feijão 2ª safra'!$E84:$Z84,MIN(AF$6-$E$3,22))&lt;&gt;""),'Feijão 2ª safra'!$E84:INDEX('Feijão 2ª safra'!$E84:$Z84,MIN(AF$6-$E$3,22))),0))-IF($G$2,0,IF((AF$6-$G$3)&lt;1,0,IFERROR(LOOKUP(2,1/('Feijão 2ª safra'!$E84:INDEX('Feijão 2ª safra'!$E84:$Z84,MIN(AF$6-$G$3,22))&lt;&gt;""),'Feijão 2ª safra'!$E84:INDEX('Feijão 2ª safra'!$E84:$Z84,MIN(AF$6-$G$3,22))),0)))))</f>
        <v>0</v>
      </c>
      <c r="AG86" s="27" t="n">
        <f aca="false">IF(COUNT('Feijão 2ª safra'!$E84:$Z84)=0,0,MAX(0,IF((AG$6-$E$3)&lt;1,0,IFERROR(LOOKUP(2,1/('Feijão 2ª safra'!$E84:INDEX('Feijão 2ª safra'!$E84:$Z84,MIN(AG$6-$E$3,22))&lt;&gt;""),'Feijão 2ª safra'!$E84:INDEX('Feijão 2ª safra'!$E84:$Z84,MIN(AG$6-$E$3,22))),0))-IF($G$2,0,IF((AG$6-$G$3)&lt;1,0,IFERROR(LOOKUP(2,1/('Feijão 2ª safra'!$E84:INDEX('Feijão 2ª safra'!$E84:$Z84,MIN(AG$6-$G$3,22))&lt;&gt;""),'Feijão 2ª safra'!$E84:INDEX('Feijão 2ª safra'!$E84:$Z84,MIN(AG$6-$G$3,22))),0)))))</f>
        <v>0</v>
      </c>
      <c r="AH86" s="27" t="n">
        <f aca="false">IF(COUNT('Feijão 2ª safra'!$E84:$Z84)=0,0,MAX(0,IF((AH$6-$E$3)&lt;1,0,IFERROR(LOOKUP(2,1/('Feijão 2ª safra'!$E84:INDEX('Feijão 2ª safra'!$E84:$Z84,MIN(AH$6-$E$3,22))&lt;&gt;""),'Feijão 2ª safra'!$E84:INDEX('Feijão 2ª safra'!$E84:$Z84,MIN(AH$6-$E$3,22))),0))-IF($G$2,0,IF((AH$6-$G$3)&lt;1,0,IFERROR(LOOKUP(2,1/('Feijão 2ª safra'!$E84:INDEX('Feijão 2ª safra'!$E84:$Z84,MIN(AH$6-$G$3,22))&lt;&gt;""),'Feijão 2ª safra'!$E84:INDEX('Feijão 2ª safra'!$E84:$Z84,MIN(AH$6-$G$3,22))),0)))))</f>
        <v>0</v>
      </c>
      <c r="AI86" s="27" t="n">
        <f aca="false">IF(COUNT('Feijão 2ª safra'!$E84:$Z84)=0,0,MAX(0,IF((AI$6-$E$3)&lt;1,0,IFERROR(LOOKUP(2,1/('Feijão 2ª safra'!$E84:INDEX('Feijão 2ª safra'!$E84:$Z84,MIN(AI$6-$E$3,22))&lt;&gt;""),'Feijão 2ª safra'!$E84:INDEX('Feijão 2ª safra'!$E84:$Z84,MIN(AI$6-$E$3,22))),0))-IF($G$2,0,IF((AI$6-$G$3)&lt;1,0,IFERROR(LOOKUP(2,1/('Feijão 2ª safra'!$E84:INDEX('Feijão 2ª safra'!$E84:$Z84,MIN(AI$6-$G$3,22))&lt;&gt;""),'Feijão 2ª safra'!$E84:INDEX('Feijão 2ª safra'!$E84:$Z84,MIN(AI$6-$G$3,22))),0)))))</f>
        <v>0</v>
      </c>
      <c r="AJ86" s="27" t="n">
        <f aca="false">IF(COUNT('Feijão 2ª safra'!$E84:$Z84)=0,0,MAX(0,IF((AJ$6-$E$3)&lt;1,0,IFERROR(LOOKUP(2,1/('Feijão 2ª safra'!$E84:INDEX('Feijão 2ª safra'!$E84:$Z84,MIN(AJ$6-$E$3,22))&lt;&gt;""),'Feijão 2ª safra'!$E84:INDEX('Feijão 2ª safra'!$E84:$Z84,MIN(AJ$6-$E$3,22))),0))-IF($G$2,0,IF((AJ$6-$G$3)&lt;1,0,IFERROR(LOOKUP(2,1/('Feijão 2ª safra'!$E84:INDEX('Feijão 2ª safra'!$E84:$Z84,MIN(AJ$6-$G$3,22))&lt;&gt;""),'Feijão 2ª safra'!$E84:INDEX('Feijão 2ª safra'!$E84:$Z84,MIN(AJ$6-$G$3,22))),0)))))</f>
        <v>0</v>
      </c>
      <c r="AK86" s="27" t="n">
        <f aca="false">IF(COUNT('Feijão 2ª safra'!$E84:$Z84)=0,0,MAX(0,IF((AK$6-$E$3)&lt;1,0,IFERROR(LOOKUP(2,1/('Feijão 2ª safra'!$E84:INDEX('Feijão 2ª safra'!$E84:$Z84,MIN(AK$6-$E$3,22))&lt;&gt;""),'Feijão 2ª safra'!$E84:INDEX('Feijão 2ª safra'!$E84:$Z84,MIN(AK$6-$E$3,22))),0))-IF($G$2,0,IF((AK$6-$G$3)&lt;1,0,IFERROR(LOOKUP(2,1/('Feijão 2ª safra'!$E84:INDEX('Feijão 2ª safra'!$E84:$Z84,MIN(AK$6-$G$3,22))&lt;&gt;""),'Feijão 2ª safra'!$E84:INDEX('Feijão 2ª safra'!$E84:$Z84,MIN(AK$6-$G$3,22))),0)))))</f>
        <v>0</v>
      </c>
      <c r="AL86" s="27" t="n">
        <f aca="false">IF(COUNT('Feijão 2ª safra'!$E84:$Z84)=0,0,MAX(0,IF((AL$6-$E$3)&lt;1,0,IFERROR(LOOKUP(2,1/('Feijão 2ª safra'!$E84:INDEX('Feijão 2ª safra'!$E84:$Z84,MIN(AL$6-$E$3,22))&lt;&gt;""),'Feijão 2ª safra'!$E84:INDEX('Feijão 2ª safra'!$E84:$Z84,MIN(AL$6-$E$3,22))),0))-IF($G$2,0,IF((AL$6-$G$3)&lt;1,0,IFERROR(LOOKUP(2,1/('Feijão 2ª safra'!$E84:INDEX('Feijão 2ª safra'!$E84:$Z84,MIN(AL$6-$G$3,22))&lt;&gt;""),'Feijão 2ª safra'!$E84:INDEX('Feijão 2ª safra'!$E84:$Z84,MIN(AL$6-$G$3,22))),0)))))</f>
        <v>0</v>
      </c>
      <c r="AM86" s="27" t="n">
        <f aca="false">IF(COUNT('Feijão 2ª safra'!$E84:$Z84)=0,0,MAX(0,IF((AM$6-$E$3)&lt;1,0,IFERROR(LOOKUP(2,1/('Feijão 2ª safra'!$E84:INDEX('Feijão 2ª safra'!$E84:$Z84,MIN(AM$6-$E$3,22))&lt;&gt;""),'Feijão 2ª safra'!$E84:INDEX('Feijão 2ª safra'!$E84:$Z84,MIN(AM$6-$E$3,22))),0))-IF($G$2,0,IF((AM$6-$G$3)&lt;1,0,IFERROR(LOOKUP(2,1/('Feijão 2ª safra'!$E84:INDEX('Feijão 2ª safra'!$E84:$Z84,MIN(AM$6-$G$3,22))&lt;&gt;""),'Feijão 2ª safra'!$E84:INDEX('Feijão 2ª safra'!$E84:$Z84,MIN(AM$6-$G$3,22))),0)))))</f>
        <v>0</v>
      </c>
      <c r="AN86" s="27" t="n">
        <f aca="false">IF(COUNT('Feijão 2ª safra'!$E84:$Z84)=0,0,MAX(0,IF((AN$6-$E$3)&lt;1,0,IFERROR(LOOKUP(2,1/('Feijão 2ª safra'!$E84:INDEX('Feijão 2ª safra'!$E84:$Z84,MIN(AN$6-$E$3,22))&lt;&gt;""),'Feijão 2ª safra'!$E84:INDEX('Feijão 2ª safra'!$E84:$Z84,MIN(AN$6-$E$3,22))),0))-IF($G$2,0,IF((AN$6-$G$3)&lt;1,0,IFERROR(LOOKUP(2,1/('Feijão 2ª safra'!$E84:INDEX('Feijão 2ª safra'!$E84:$Z84,MIN(AN$6-$G$3,22))&lt;&gt;""),'Feijão 2ª safra'!$E84:INDEX('Feijão 2ª safra'!$E84:$Z84,MIN(AN$6-$G$3,22))),0)))))</f>
        <v>0</v>
      </c>
      <c r="AO86" s="27" t="n">
        <f aca="false">IF(COUNT('Feijão 2ª safra'!$E84:$Z84)=0,0,MAX(0,IF((AO$6-$E$3)&lt;1,0,IFERROR(LOOKUP(2,1/('Feijão 2ª safra'!$E84:INDEX('Feijão 2ª safra'!$E84:$Z84,MIN(AO$6-$E$3,22))&lt;&gt;""),'Feijão 2ª safra'!$E84:INDEX('Feijão 2ª safra'!$E84:$Z84,MIN(AO$6-$E$3,22))),0))-IF($G$2,0,IF((AO$6-$G$3)&lt;1,0,IFERROR(LOOKUP(2,1/('Feijão 2ª safra'!$E84:INDEX('Feijão 2ª safra'!$E84:$Z84,MIN(AO$6-$G$3,22))&lt;&gt;""),'Feijão 2ª safra'!$E84:INDEX('Feijão 2ª safra'!$E84:$Z84,MIN(AO$6-$G$3,22))),0)))))</f>
        <v>0</v>
      </c>
      <c r="AP86" s="27" t="n">
        <f aca="false">IF(COUNT('Feijão 2ª safra'!$E84:$Z84)=0,0,MAX(0,IF((AP$6-$E$3)&lt;1,0,IFERROR(LOOKUP(2,1/('Feijão 2ª safra'!$E84:INDEX('Feijão 2ª safra'!$E84:$Z84,MIN(AP$6-$E$3,22))&lt;&gt;""),'Feijão 2ª safra'!$E84:INDEX('Feijão 2ª safra'!$E84:$Z84,MIN(AP$6-$E$3,22))),0))-IF($G$2,0,IF((AP$6-$G$3)&lt;1,0,IFERROR(LOOKUP(2,1/('Feijão 2ª safra'!$E84:INDEX('Feijão 2ª safra'!$E84:$Z84,MIN(AP$6-$G$3,22))&lt;&gt;""),'Feijão 2ª safra'!$E84:INDEX('Feijão 2ª safra'!$E84:$Z84,MIN(AP$6-$G$3,22))),0)))))</f>
        <v>0</v>
      </c>
      <c r="AQ86" s="27" t="n">
        <f aca="false">IF(COUNT('Feijão 2ª safra'!$E84:$Z84)=0,0,MAX(0,IF((AQ$6-$E$3)&lt;1,0,IFERROR(LOOKUP(2,1/('Feijão 2ª safra'!$E84:INDEX('Feijão 2ª safra'!$E84:$Z84,MIN(AQ$6-$E$3,22))&lt;&gt;""),'Feijão 2ª safra'!$E84:INDEX('Feijão 2ª safra'!$E84:$Z84,MIN(AQ$6-$E$3,22))),0))-IF($G$2,0,IF((AQ$6-$G$3)&lt;1,0,IFERROR(LOOKUP(2,1/('Feijão 2ª safra'!$E84:INDEX('Feijão 2ª safra'!$E84:$Z84,MIN(AQ$6-$G$3,22))&lt;&gt;""),'Feijão 2ª safra'!$E84:INDEX('Feijão 2ª safra'!$E84:$Z84,MIN(AQ$6-$G$3,22))),0)))))</f>
        <v>0</v>
      </c>
      <c r="AR86" s="27" t="n">
        <f aca="false">IF(COUNT('Feijão 2ª safra'!$E84:$Z84)=0,0,MAX(0,IF((AR$6-$E$3)&lt;1,0,IFERROR(LOOKUP(2,1/('Feijão 2ª safra'!$E84:INDEX('Feijão 2ª safra'!$E84:$Z84,MIN(AR$6-$E$3,22))&lt;&gt;""),'Feijão 2ª safra'!$E84:INDEX('Feijão 2ª safra'!$E84:$Z84,MIN(AR$6-$E$3,22))),0))-IF($G$2,0,IF((AR$6-$G$3)&lt;1,0,IFERROR(LOOKUP(2,1/('Feijão 2ª safra'!$E84:INDEX('Feijão 2ª safra'!$E84:$Z84,MIN(AR$6-$G$3,22))&lt;&gt;""),'Feijão 2ª safra'!$E84:INDEX('Feijão 2ª safra'!$E84:$Z84,MIN(AR$6-$G$3,22))),0)))))</f>
        <v>0</v>
      </c>
      <c r="AS86" s="27" t="n">
        <f aca="false">IF(COUNT('Feijão 2ª safra'!$E84:$Z84)=0,0,MAX(0,IF((AS$6-$E$3)&lt;1,0,IFERROR(LOOKUP(2,1/('Feijão 2ª safra'!$E84:INDEX('Feijão 2ª safra'!$E84:$Z84,MIN(AS$6-$E$3,22))&lt;&gt;""),'Feijão 2ª safra'!$E84:INDEX('Feijão 2ª safra'!$E84:$Z84,MIN(AS$6-$E$3,22))),0))-IF($G$2,0,IF((AS$6-$G$3)&lt;1,0,IFERROR(LOOKUP(2,1/('Feijão 2ª safra'!$E84:INDEX('Feijão 2ª safra'!$E84:$Z84,MIN(AS$6-$G$3,22))&lt;&gt;""),'Feijão 2ª safra'!$E84:INDEX('Feijão 2ª safra'!$E84:$Z84,MIN(AS$6-$G$3,22))),0)))))</f>
        <v>0</v>
      </c>
      <c r="AT86" s="27" t="n">
        <f aca="false">IF(COUNT('Feijão 2ª safra'!$E84:$Z84)=0,0,MAX(0,IF((AT$6-$E$3)&lt;1,0,IFERROR(LOOKUP(2,1/('Feijão 2ª safra'!$E84:INDEX('Feijão 2ª safra'!$E84:$Z84,MIN(AT$6-$E$3,22))&lt;&gt;""),'Feijão 2ª safra'!$E84:INDEX('Feijão 2ª safra'!$E84:$Z84,MIN(AT$6-$E$3,22))),0))-IF($G$2,0,IF((AT$6-$G$3)&lt;1,0,IFERROR(LOOKUP(2,1/('Feijão 2ª safra'!$E84:INDEX('Feijão 2ª safra'!$E84:$Z84,MIN(AT$6-$G$3,22))&lt;&gt;""),'Feijão 2ª safra'!$E84:INDEX('Feijão 2ª safra'!$E84:$Z84,MIN(AT$6-$G$3,22))),0)))))</f>
        <v>0</v>
      </c>
      <c r="AU86" s="27" t="n">
        <f aca="false">IF(COUNT('Feijão 2ª safra'!$E84:$Z84)=0,0,MAX(0,IF((AU$6-$E$3)&lt;1,0,IFERROR(LOOKUP(2,1/('Feijão 2ª safra'!$E84:INDEX('Feijão 2ª safra'!$E84:$Z84,MIN(AU$6-$E$3,22))&lt;&gt;""),'Feijão 2ª safra'!$E84:INDEX('Feijão 2ª safra'!$E84:$Z84,MIN(AU$6-$E$3,22))),0))-IF($G$2,0,IF((AU$6-$G$3)&lt;1,0,IFERROR(LOOKUP(2,1/('Feijão 2ª safra'!$E84:INDEX('Feijão 2ª safra'!$E84:$Z84,MIN(AU$6-$G$3,22))&lt;&gt;""),'Feijão 2ª safra'!$E84:INDEX('Feijão 2ª safra'!$E84:$Z84,MIN(AU$6-$G$3,22))),0)))))</f>
        <v>0</v>
      </c>
      <c r="AV86" s="27" t="n">
        <f aca="false">IF(COUNT('Feijão 2ª safra'!$E84:$Z84)=0,0,MAX(0,IF((AV$6-$E$3)&lt;1,0,IFERROR(LOOKUP(2,1/('Feijão 2ª safra'!$E84:INDEX('Feijão 2ª safra'!$E84:$Z84,MIN(AV$6-$E$3,22))&lt;&gt;""),'Feijão 2ª safra'!$E84:INDEX('Feijão 2ª safra'!$E84:$Z84,MIN(AV$6-$E$3,22))),0))-IF($G$2,0,IF((AV$6-$G$3)&lt;1,0,IFERROR(LOOKUP(2,1/('Feijão 2ª safra'!$E84:INDEX('Feijão 2ª safra'!$E84:$Z84,MIN(AV$6-$G$3,22))&lt;&gt;""),'Feijão 2ª safra'!$E84:INDEX('Feijão 2ª safra'!$E84:$Z84,MIN(AV$6-$G$3,22))),0)))))</f>
        <v>0</v>
      </c>
      <c r="AW86" s="27" t="n">
        <f aca="false">IF(COUNT('Feijão 2ª safra'!$E84:$Z84)=0,0,MAX(0,IF((AW$6-$E$3)&lt;1,0,IFERROR(LOOKUP(2,1/('Feijão 2ª safra'!$E84:INDEX('Feijão 2ª safra'!$E84:$Z84,MIN(AW$6-$E$3,22))&lt;&gt;""),'Feijão 2ª safra'!$E84:INDEX('Feijão 2ª safra'!$E84:$Z84,MIN(AW$6-$E$3,22))),0))-IF($G$2,0,IF((AW$6-$G$3)&lt;1,0,IFERROR(LOOKUP(2,1/('Feijão 2ª safra'!$E84:INDEX('Feijão 2ª safra'!$E84:$Z84,MIN(AW$6-$G$3,22))&lt;&gt;""),'Feijão 2ª safra'!$E84:INDEX('Feijão 2ª safra'!$E84:$Z84,MIN(AW$6-$G$3,22))),0)))))</f>
        <v>0</v>
      </c>
      <c r="AX86" s="27" t="n">
        <f aca="false">IF(COUNT('Feijão 2ª safra'!$E84:$Z84)=0,0,MAX(0,IF((AX$6-$E$3)&lt;1,0,IFERROR(LOOKUP(2,1/('Feijão 2ª safra'!$E84:INDEX('Feijão 2ª safra'!$E84:$Z84,MIN(AX$6-$E$3,22))&lt;&gt;""),'Feijão 2ª safra'!$E84:INDEX('Feijão 2ª safra'!$E84:$Z84,MIN(AX$6-$E$3,22))),0))-IF($G$2,0,IF((AX$6-$G$3)&lt;1,0,IFERROR(LOOKUP(2,1/('Feijão 2ª safra'!$E84:INDEX('Feijão 2ª safra'!$E84:$Z84,MIN(AX$6-$G$3,22))&lt;&gt;""),'Feijão 2ª safra'!$E84:INDEX('Feijão 2ª safra'!$E84:$Z84,MIN(AX$6-$G$3,22))),0)))))</f>
        <v>0</v>
      </c>
      <c r="AY86" s="27" t="n">
        <f aca="false">IF(COUNT('Feijão 2ª safra'!$E84:$Z84)=0,0,MAX(0,IF((AY$6-$E$3)&lt;1,0,IFERROR(LOOKUP(2,1/('Feijão 2ª safra'!$E84:INDEX('Feijão 2ª safra'!$E84:$Z84,MIN(AY$6-$E$3,22))&lt;&gt;""),'Feijão 2ª safra'!$E84:INDEX('Feijão 2ª safra'!$E84:$Z84,MIN(AY$6-$E$3,22))),0))-IF($G$2,0,IF((AY$6-$G$3)&lt;1,0,IFERROR(LOOKUP(2,1/('Feijão 2ª safra'!$E84:INDEX('Feijão 2ª safra'!$E84:$Z84,MIN(AY$6-$G$3,22))&lt;&gt;""),'Feijão 2ª safra'!$E84:INDEX('Feijão 2ª safra'!$E84:$Z84,MIN(AY$6-$G$3,22))),0)))))</f>
        <v>0</v>
      </c>
      <c r="AZ86" s="27" t="n">
        <f aca="false">IF(COUNT('Feijão 2ª safra'!$E84:$Z84)=0,0,MAX(0,IF((AZ$6-$E$3)&lt;1,0,IFERROR(LOOKUP(2,1/('Feijão 2ª safra'!$E84:INDEX('Feijão 2ª safra'!$E84:$Z84,MIN(AZ$6-$E$3,22))&lt;&gt;""),'Feijão 2ª safra'!$E84:INDEX('Feijão 2ª safra'!$E84:$Z84,MIN(AZ$6-$E$3,22))),0))-IF($G$2,0,IF((AZ$6-$G$3)&lt;1,0,IFERROR(LOOKUP(2,1/('Feijão 2ª safra'!$E84:INDEX('Feijão 2ª safra'!$E84:$Z84,MIN(AZ$6-$G$3,22))&lt;&gt;""),'Feijão 2ª safra'!$E84:INDEX('Feijão 2ª safra'!$E84:$Z84,MIN(AZ$6-$G$3,22))),0)))))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Parâmetros!$C$54:$C$61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314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Parâmetros!$J$12</f>
        <v>46333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46333</v>
      </c>
      <c r="F5" s="17" t="n">
        <f aca="false">$B$3+7</f>
        <v>46340</v>
      </c>
      <c r="G5" s="17" t="n">
        <f aca="false">$B$3+14</f>
        <v>46347</v>
      </c>
      <c r="H5" s="17" t="n">
        <f aca="false">$B$3+21</f>
        <v>46354</v>
      </c>
      <c r="I5" s="17" t="n">
        <f aca="false">$B$3+28</f>
        <v>46361</v>
      </c>
      <c r="J5" s="17" t="n">
        <f aca="false">$B$3+35</f>
        <v>46368</v>
      </c>
      <c r="K5" s="17" t="n">
        <f aca="false">$B$3+42</f>
        <v>46375</v>
      </c>
      <c r="L5" s="17" t="n">
        <f aca="false">$B$3+49</f>
        <v>46382</v>
      </c>
      <c r="M5" s="17" t="n">
        <f aca="false">$B$3+56</f>
        <v>46389</v>
      </c>
      <c r="N5" s="17" t="n">
        <f aca="false">$B$3+63</f>
        <v>46396</v>
      </c>
      <c r="O5" s="17" t="n">
        <f aca="false">$B$3+70</f>
        <v>46403</v>
      </c>
      <c r="P5" s="17" t="n">
        <f aca="false">$B$3+77</f>
        <v>46410</v>
      </c>
      <c r="Q5" s="17" t="n">
        <f aca="false">$B$3+84</f>
        <v>46417</v>
      </c>
      <c r="R5" s="17" t="n">
        <f aca="false">$B$3+91</f>
        <v>46424</v>
      </c>
      <c r="S5" s="17" t="n">
        <f aca="false">$B$3+98</f>
        <v>46431</v>
      </c>
      <c r="T5" s="17" t="n">
        <f aca="false">$B$3+105</f>
        <v>46438</v>
      </c>
      <c r="U5" s="17" t="n">
        <f aca="false">$B$3+112</f>
        <v>46445</v>
      </c>
      <c r="V5" s="17" t="n">
        <f aca="false">$B$3+119</f>
        <v>46452</v>
      </c>
      <c r="W5" s="17" t="n">
        <f aca="false">$B$3+126</f>
        <v>46459</v>
      </c>
      <c r="X5" s="17" t="n">
        <f aca="false">$B$3+133</f>
        <v>46466</v>
      </c>
      <c r="Y5" s="17" t="n">
        <f aca="false">$B$3+140</f>
        <v>46473</v>
      </c>
      <c r="Z5" s="17" t="n">
        <f aca="false">$B$3+147</f>
        <v>46480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315</v>
      </c>
    </row>
    <row r="2" customFormat="false" ht="15" hidden="false" customHeight="false" outlineLevel="0" collapsed="false">
      <c r="D2" s="21" t="s">
        <v>293</v>
      </c>
      <c r="E2" s="21" t="n">
        <f aca="false">MATCH("Algodão|"&amp;$B$3,Parâmetros!$G$4:$G$83,0)+3</f>
        <v>65</v>
      </c>
      <c r="F2" s="21" t="s">
        <v>294</v>
      </c>
      <c r="G2" s="22" t="b">
        <f aca="false">INDEX(Parâmetros!$A$1:$A$84,$E$2+1)&lt;&gt;"Algodão"</f>
        <v>0</v>
      </c>
    </row>
    <row r="3" customFormat="false" ht="15" hidden="false" customHeight="false" outlineLevel="0" collapsed="false">
      <c r="A3" s="13" t="s">
        <v>295</v>
      </c>
      <c r="B3" s="9" t="s">
        <v>70</v>
      </c>
      <c r="D3" s="21" t="s">
        <v>296</v>
      </c>
      <c r="E3" s="21" t="n">
        <f aca="false">ROUND(INDEX(Parâmetros!$D$1:$D$83,$E$2)/7,0)</f>
        <v>9</v>
      </c>
      <c r="F3" s="21" t="s">
        <v>297</v>
      </c>
      <c r="G3" s="21" t="n">
        <f aca="false">IF($G$2,999,ROUND(INDEX(Parâmetros!$D$1:$D$84,$E$2+1)/7,0))</f>
        <v>17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Maior demanda hídrica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Algodão!$B$3+0</f>
        <v>46333</v>
      </c>
      <c r="F7" s="17" t="n">
        <f aca="false">Algodão!$B$3+7</f>
        <v>46340</v>
      </c>
      <c r="G7" s="17" t="n">
        <f aca="false">Algodão!$B$3+14</f>
        <v>46347</v>
      </c>
      <c r="H7" s="17" t="n">
        <f aca="false">Algodão!$B$3+21</f>
        <v>46354</v>
      </c>
      <c r="I7" s="17" t="n">
        <f aca="false">Algodão!$B$3+28</f>
        <v>46361</v>
      </c>
      <c r="J7" s="17" t="n">
        <f aca="false">Algodão!$B$3+35</f>
        <v>46368</v>
      </c>
      <c r="K7" s="17" t="n">
        <f aca="false">Algodão!$B$3+42</f>
        <v>46375</v>
      </c>
      <c r="L7" s="17" t="n">
        <f aca="false">Algodão!$B$3+49</f>
        <v>46382</v>
      </c>
      <c r="M7" s="17" t="n">
        <f aca="false">Algodão!$B$3+56</f>
        <v>46389</v>
      </c>
      <c r="N7" s="17" t="n">
        <f aca="false">Algodão!$B$3+63</f>
        <v>46396</v>
      </c>
      <c r="O7" s="17" t="n">
        <f aca="false">Algodão!$B$3+70</f>
        <v>46403</v>
      </c>
      <c r="P7" s="17" t="n">
        <f aca="false">Algodão!$B$3+77</f>
        <v>46410</v>
      </c>
      <c r="Q7" s="17" t="n">
        <f aca="false">Algodão!$B$3+84</f>
        <v>46417</v>
      </c>
      <c r="R7" s="17" t="n">
        <f aca="false">Algodão!$B$3+91</f>
        <v>46424</v>
      </c>
      <c r="S7" s="17" t="n">
        <f aca="false">Algodão!$B$3+98</f>
        <v>46431</v>
      </c>
      <c r="T7" s="17" t="n">
        <f aca="false">Algodão!$B$3+105</f>
        <v>46438</v>
      </c>
      <c r="U7" s="17" t="n">
        <f aca="false">Algodão!$B$3+112</f>
        <v>46445</v>
      </c>
      <c r="V7" s="17" t="n">
        <f aca="false">Algodão!$B$3+119</f>
        <v>46452</v>
      </c>
      <c r="W7" s="17" t="n">
        <f aca="false">Algodão!$B$3+126</f>
        <v>46459</v>
      </c>
      <c r="X7" s="17" t="n">
        <f aca="false">Algodão!$B$3+133</f>
        <v>46466</v>
      </c>
      <c r="Y7" s="17" t="n">
        <f aca="false">Algodão!$B$3+140</f>
        <v>46473</v>
      </c>
      <c r="Z7" s="17" t="n">
        <f aca="false">Algodão!$B$3+147</f>
        <v>46480</v>
      </c>
      <c r="AA7" s="17" t="n">
        <f aca="false">Algodão!$B$3+154</f>
        <v>46487</v>
      </c>
      <c r="AB7" s="17" t="n">
        <f aca="false">Algodão!$B$3+161</f>
        <v>46494</v>
      </c>
      <c r="AC7" s="17" t="n">
        <f aca="false">Algodão!$B$3+168</f>
        <v>46501</v>
      </c>
      <c r="AD7" s="17" t="n">
        <f aca="false">Algodão!$B$3+175</f>
        <v>46508</v>
      </c>
      <c r="AE7" s="17" t="n">
        <f aca="false">Algodão!$B$3+182</f>
        <v>46515</v>
      </c>
      <c r="AF7" s="17" t="n">
        <f aca="false">Algodão!$B$3+189</f>
        <v>46522</v>
      </c>
      <c r="AG7" s="17" t="n">
        <f aca="false">Algodão!$B$3+196</f>
        <v>46529</v>
      </c>
      <c r="AH7" s="17" t="n">
        <f aca="false">Algodão!$B$3+203</f>
        <v>46536</v>
      </c>
      <c r="AI7" s="17" t="n">
        <f aca="false">Algodão!$B$3+210</f>
        <v>46543</v>
      </c>
      <c r="AJ7" s="17" t="n">
        <f aca="false">Algodão!$B$3+217</f>
        <v>46550</v>
      </c>
      <c r="AK7" s="17" t="n">
        <f aca="false">Algodão!$B$3+224</f>
        <v>46557</v>
      </c>
      <c r="AL7" s="17" t="n">
        <f aca="false">Algodão!$B$3+231</f>
        <v>46564</v>
      </c>
      <c r="AM7" s="17" t="n">
        <f aca="false">Algodão!$B$3+238</f>
        <v>46571</v>
      </c>
      <c r="AN7" s="17" t="n">
        <f aca="false">Algodão!$B$3+245</f>
        <v>46578</v>
      </c>
      <c r="AO7" s="17" t="n">
        <f aca="false">Algodão!$B$3+252</f>
        <v>46585</v>
      </c>
      <c r="AP7" s="17" t="n">
        <f aca="false">Algodão!$B$3+259</f>
        <v>46592</v>
      </c>
      <c r="AQ7" s="17" t="n">
        <f aca="false">Algodão!$B$3+266</f>
        <v>46599</v>
      </c>
      <c r="AR7" s="17" t="n">
        <f aca="false">Algodão!$B$3+273</f>
        <v>46606</v>
      </c>
      <c r="AS7" s="17" t="n">
        <f aca="false">Algodão!$B$3+280</f>
        <v>46613</v>
      </c>
      <c r="AT7" s="17" t="n">
        <f aca="false">Algodão!$B$3+287</f>
        <v>46620</v>
      </c>
      <c r="AU7" s="17" t="n">
        <f aca="false">Algodão!$B$3+294</f>
        <v>46627</v>
      </c>
      <c r="AV7" s="17" t="n">
        <f aca="false">Algodão!$B$3+301</f>
        <v>46634</v>
      </c>
      <c r="AW7" s="17" t="n">
        <f aca="false">Algodão!$B$3+308</f>
        <v>46641</v>
      </c>
      <c r="AX7" s="17" t="n">
        <f aca="false">Algodão!$B$3+315</f>
        <v>46648</v>
      </c>
      <c r="AY7" s="17" t="n">
        <f aca="false">Algodão!$B$3+322</f>
        <v>46655</v>
      </c>
      <c r="AZ7" s="17" t="n">
        <f aca="false">Algodão!$B$3+329</f>
        <v>46662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IF(COUNT(Algodão!$E6:$Z6)&gt;0,N(Algodão!$D6),0)</f>
        <v>0</v>
      </c>
      <c r="E8" s="27" t="n">
        <f aca="false">IF(COUNT(Algodão!$E6:$Z6)=0,0,MAX(0,IF((E$6-$E$3)&lt;1,0,IFERROR(LOOKUP(2,1/(Algodão!$E6:INDEX(Algodão!$E6:$Z6,MIN(E$6-$E$3,22))&lt;&gt;""),Algodão!$E6:INDEX(Algodão!$E6:$Z6,MIN(E$6-$E$3,22))),0))-IF($G$2,0,IF((E$6-$G$3)&lt;1,0,IFERROR(LOOKUP(2,1/(Algodão!$E6:INDEX(Algodão!$E6:$Z6,MIN(E$6-$G$3,22))&lt;&gt;""),Algodão!$E6:INDEX(Algodão!$E6:$Z6,MIN(E$6-$G$3,22))),0)))))</f>
        <v>0</v>
      </c>
      <c r="F8" s="27" t="n">
        <f aca="false">IF(COUNT(Algodão!$E6:$Z6)=0,0,MAX(0,IF((F$6-$E$3)&lt;1,0,IFERROR(LOOKUP(2,1/(Algodão!$E6:INDEX(Algodão!$E6:$Z6,MIN(F$6-$E$3,22))&lt;&gt;""),Algodão!$E6:INDEX(Algodão!$E6:$Z6,MIN(F$6-$E$3,22))),0))-IF($G$2,0,IF((F$6-$G$3)&lt;1,0,IFERROR(LOOKUP(2,1/(Algodão!$E6:INDEX(Algodão!$E6:$Z6,MIN(F$6-$G$3,22))&lt;&gt;""),Algodão!$E6:INDEX(Algodão!$E6:$Z6,MIN(F$6-$G$3,22))),0)))))</f>
        <v>0</v>
      </c>
      <c r="G8" s="27" t="n">
        <f aca="false">IF(COUNT(Algodão!$E6:$Z6)=0,0,MAX(0,IF((G$6-$E$3)&lt;1,0,IFERROR(LOOKUP(2,1/(Algodão!$E6:INDEX(Algodão!$E6:$Z6,MIN(G$6-$E$3,22))&lt;&gt;""),Algodão!$E6:INDEX(Algodão!$E6:$Z6,MIN(G$6-$E$3,22))),0))-IF($G$2,0,IF((G$6-$G$3)&lt;1,0,IFERROR(LOOKUP(2,1/(Algodão!$E6:INDEX(Algodão!$E6:$Z6,MIN(G$6-$G$3,22))&lt;&gt;""),Algodão!$E6:INDEX(Algodão!$E6:$Z6,MIN(G$6-$G$3,22))),0)))))</f>
        <v>0</v>
      </c>
      <c r="H8" s="27" t="n">
        <f aca="false">IF(COUNT(Algodão!$E6:$Z6)=0,0,MAX(0,IF((H$6-$E$3)&lt;1,0,IFERROR(LOOKUP(2,1/(Algodão!$E6:INDEX(Algodão!$E6:$Z6,MIN(H$6-$E$3,22))&lt;&gt;""),Algodão!$E6:INDEX(Algodão!$E6:$Z6,MIN(H$6-$E$3,22))),0))-IF($G$2,0,IF((H$6-$G$3)&lt;1,0,IFERROR(LOOKUP(2,1/(Algodão!$E6:INDEX(Algodão!$E6:$Z6,MIN(H$6-$G$3,22))&lt;&gt;""),Algodão!$E6:INDEX(Algodão!$E6:$Z6,MIN(H$6-$G$3,22))),0)))))</f>
        <v>0</v>
      </c>
      <c r="I8" s="27" t="n">
        <f aca="false">IF(COUNT(Algodão!$E6:$Z6)=0,0,MAX(0,IF((I$6-$E$3)&lt;1,0,IFERROR(LOOKUP(2,1/(Algodão!$E6:INDEX(Algodão!$E6:$Z6,MIN(I$6-$E$3,22))&lt;&gt;""),Algodão!$E6:INDEX(Algodão!$E6:$Z6,MIN(I$6-$E$3,22))),0))-IF($G$2,0,IF((I$6-$G$3)&lt;1,0,IFERROR(LOOKUP(2,1/(Algodão!$E6:INDEX(Algodão!$E6:$Z6,MIN(I$6-$G$3,22))&lt;&gt;""),Algodão!$E6:INDEX(Algodão!$E6:$Z6,MIN(I$6-$G$3,22))),0)))))</f>
        <v>0</v>
      </c>
      <c r="J8" s="27" t="n">
        <f aca="false">IF(COUNT(Algodão!$E6:$Z6)=0,0,MAX(0,IF((J$6-$E$3)&lt;1,0,IFERROR(LOOKUP(2,1/(Algodão!$E6:INDEX(Algodão!$E6:$Z6,MIN(J$6-$E$3,22))&lt;&gt;""),Algodão!$E6:INDEX(Algodão!$E6:$Z6,MIN(J$6-$E$3,22))),0))-IF($G$2,0,IF((J$6-$G$3)&lt;1,0,IFERROR(LOOKUP(2,1/(Algodão!$E6:INDEX(Algodão!$E6:$Z6,MIN(J$6-$G$3,22))&lt;&gt;""),Algodão!$E6:INDEX(Algodão!$E6:$Z6,MIN(J$6-$G$3,22))),0)))))</f>
        <v>0</v>
      </c>
      <c r="K8" s="27" t="n">
        <f aca="false">IF(COUNT(Algodão!$E6:$Z6)=0,0,MAX(0,IF((K$6-$E$3)&lt;1,0,IFERROR(LOOKUP(2,1/(Algodão!$E6:INDEX(Algodão!$E6:$Z6,MIN(K$6-$E$3,22))&lt;&gt;""),Algodão!$E6:INDEX(Algodão!$E6:$Z6,MIN(K$6-$E$3,22))),0))-IF($G$2,0,IF((K$6-$G$3)&lt;1,0,IFERROR(LOOKUP(2,1/(Algodão!$E6:INDEX(Algodão!$E6:$Z6,MIN(K$6-$G$3,22))&lt;&gt;""),Algodão!$E6:INDEX(Algodão!$E6:$Z6,MIN(K$6-$G$3,22))),0)))))</f>
        <v>0</v>
      </c>
      <c r="L8" s="27" t="n">
        <f aca="false">IF(COUNT(Algodão!$E6:$Z6)=0,0,MAX(0,IF((L$6-$E$3)&lt;1,0,IFERROR(LOOKUP(2,1/(Algodão!$E6:INDEX(Algodão!$E6:$Z6,MIN(L$6-$E$3,22))&lt;&gt;""),Algodão!$E6:INDEX(Algodão!$E6:$Z6,MIN(L$6-$E$3,22))),0))-IF($G$2,0,IF((L$6-$G$3)&lt;1,0,IFERROR(LOOKUP(2,1/(Algodão!$E6:INDEX(Algodão!$E6:$Z6,MIN(L$6-$G$3,22))&lt;&gt;""),Algodão!$E6:INDEX(Algodão!$E6:$Z6,MIN(L$6-$G$3,22))),0)))))</f>
        <v>0</v>
      </c>
      <c r="M8" s="27" t="n">
        <f aca="false">IF(COUNT(Algodão!$E6:$Z6)=0,0,MAX(0,IF((M$6-$E$3)&lt;1,0,IFERROR(LOOKUP(2,1/(Algodão!$E6:INDEX(Algodão!$E6:$Z6,MIN(M$6-$E$3,22))&lt;&gt;""),Algodão!$E6:INDEX(Algodão!$E6:$Z6,MIN(M$6-$E$3,22))),0))-IF($G$2,0,IF((M$6-$G$3)&lt;1,0,IFERROR(LOOKUP(2,1/(Algodão!$E6:INDEX(Algodão!$E6:$Z6,MIN(M$6-$G$3,22))&lt;&gt;""),Algodão!$E6:INDEX(Algodão!$E6:$Z6,MIN(M$6-$G$3,22))),0)))))</f>
        <v>0</v>
      </c>
      <c r="N8" s="27" t="n">
        <f aca="false">IF(COUNT(Algodão!$E6:$Z6)=0,0,MAX(0,IF((N$6-$E$3)&lt;1,0,IFERROR(LOOKUP(2,1/(Algodão!$E6:INDEX(Algodão!$E6:$Z6,MIN(N$6-$E$3,22))&lt;&gt;""),Algodão!$E6:INDEX(Algodão!$E6:$Z6,MIN(N$6-$E$3,22))),0))-IF($G$2,0,IF((N$6-$G$3)&lt;1,0,IFERROR(LOOKUP(2,1/(Algodão!$E6:INDEX(Algodão!$E6:$Z6,MIN(N$6-$G$3,22))&lt;&gt;""),Algodão!$E6:INDEX(Algodão!$E6:$Z6,MIN(N$6-$G$3,22))),0)))))</f>
        <v>0</v>
      </c>
      <c r="O8" s="27" t="n">
        <f aca="false">IF(COUNT(Algodão!$E6:$Z6)=0,0,MAX(0,IF((O$6-$E$3)&lt;1,0,IFERROR(LOOKUP(2,1/(Algodão!$E6:INDEX(Algodão!$E6:$Z6,MIN(O$6-$E$3,22))&lt;&gt;""),Algodão!$E6:INDEX(Algodão!$E6:$Z6,MIN(O$6-$E$3,22))),0))-IF($G$2,0,IF((O$6-$G$3)&lt;1,0,IFERROR(LOOKUP(2,1/(Algodão!$E6:INDEX(Algodão!$E6:$Z6,MIN(O$6-$G$3,22))&lt;&gt;""),Algodão!$E6:INDEX(Algodão!$E6:$Z6,MIN(O$6-$G$3,22))),0)))))</f>
        <v>0</v>
      </c>
      <c r="P8" s="27" t="n">
        <f aca="false">IF(COUNT(Algodão!$E6:$Z6)=0,0,MAX(0,IF((P$6-$E$3)&lt;1,0,IFERROR(LOOKUP(2,1/(Algodão!$E6:INDEX(Algodão!$E6:$Z6,MIN(P$6-$E$3,22))&lt;&gt;""),Algodão!$E6:INDEX(Algodão!$E6:$Z6,MIN(P$6-$E$3,22))),0))-IF($G$2,0,IF((P$6-$G$3)&lt;1,0,IFERROR(LOOKUP(2,1/(Algodão!$E6:INDEX(Algodão!$E6:$Z6,MIN(P$6-$G$3,22))&lt;&gt;""),Algodão!$E6:INDEX(Algodão!$E6:$Z6,MIN(P$6-$G$3,22))),0)))))</f>
        <v>0</v>
      </c>
      <c r="Q8" s="27" t="n">
        <f aca="false">IF(COUNT(Algodão!$E6:$Z6)=0,0,MAX(0,IF((Q$6-$E$3)&lt;1,0,IFERROR(LOOKUP(2,1/(Algodão!$E6:INDEX(Algodão!$E6:$Z6,MIN(Q$6-$E$3,22))&lt;&gt;""),Algodão!$E6:INDEX(Algodão!$E6:$Z6,MIN(Q$6-$E$3,22))),0))-IF($G$2,0,IF((Q$6-$G$3)&lt;1,0,IFERROR(LOOKUP(2,1/(Algodão!$E6:INDEX(Algodão!$E6:$Z6,MIN(Q$6-$G$3,22))&lt;&gt;""),Algodão!$E6:INDEX(Algodão!$E6:$Z6,MIN(Q$6-$G$3,22))),0)))))</f>
        <v>0</v>
      </c>
      <c r="R8" s="27" t="n">
        <f aca="false">IF(COUNT(Algodão!$E6:$Z6)=0,0,MAX(0,IF((R$6-$E$3)&lt;1,0,IFERROR(LOOKUP(2,1/(Algodão!$E6:INDEX(Algodão!$E6:$Z6,MIN(R$6-$E$3,22))&lt;&gt;""),Algodão!$E6:INDEX(Algodão!$E6:$Z6,MIN(R$6-$E$3,22))),0))-IF($G$2,0,IF((R$6-$G$3)&lt;1,0,IFERROR(LOOKUP(2,1/(Algodão!$E6:INDEX(Algodão!$E6:$Z6,MIN(R$6-$G$3,22))&lt;&gt;""),Algodão!$E6:INDEX(Algodão!$E6:$Z6,MIN(R$6-$G$3,22))),0)))))</f>
        <v>0</v>
      </c>
      <c r="S8" s="27" t="n">
        <f aca="false">IF(COUNT(Algodão!$E6:$Z6)=0,0,MAX(0,IF((S$6-$E$3)&lt;1,0,IFERROR(LOOKUP(2,1/(Algodão!$E6:INDEX(Algodão!$E6:$Z6,MIN(S$6-$E$3,22))&lt;&gt;""),Algodão!$E6:INDEX(Algodão!$E6:$Z6,MIN(S$6-$E$3,22))),0))-IF($G$2,0,IF((S$6-$G$3)&lt;1,0,IFERROR(LOOKUP(2,1/(Algodão!$E6:INDEX(Algodão!$E6:$Z6,MIN(S$6-$G$3,22))&lt;&gt;""),Algodão!$E6:INDEX(Algodão!$E6:$Z6,MIN(S$6-$G$3,22))),0)))))</f>
        <v>0</v>
      </c>
      <c r="T8" s="27" t="n">
        <f aca="false">IF(COUNT(Algodão!$E6:$Z6)=0,0,MAX(0,IF((T$6-$E$3)&lt;1,0,IFERROR(LOOKUP(2,1/(Algodão!$E6:INDEX(Algodão!$E6:$Z6,MIN(T$6-$E$3,22))&lt;&gt;""),Algodão!$E6:INDEX(Algodão!$E6:$Z6,MIN(T$6-$E$3,22))),0))-IF($G$2,0,IF((T$6-$G$3)&lt;1,0,IFERROR(LOOKUP(2,1/(Algodão!$E6:INDEX(Algodão!$E6:$Z6,MIN(T$6-$G$3,22))&lt;&gt;""),Algodão!$E6:INDEX(Algodão!$E6:$Z6,MIN(T$6-$G$3,22))),0)))))</f>
        <v>0</v>
      </c>
      <c r="U8" s="27" t="n">
        <f aca="false">IF(COUNT(Algodão!$E6:$Z6)=0,0,MAX(0,IF((U$6-$E$3)&lt;1,0,IFERROR(LOOKUP(2,1/(Algodão!$E6:INDEX(Algodão!$E6:$Z6,MIN(U$6-$E$3,22))&lt;&gt;""),Algodão!$E6:INDEX(Algodão!$E6:$Z6,MIN(U$6-$E$3,22))),0))-IF($G$2,0,IF((U$6-$G$3)&lt;1,0,IFERROR(LOOKUP(2,1/(Algodão!$E6:INDEX(Algodão!$E6:$Z6,MIN(U$6-$G$3,22))&lt;&gt;""),Algodão!$E6:INDEX(Algodão!$E6:$Z6,MIN(U$6-$G$3,22))),0)))))</f>
        <v>0</v>
      </c>
      <c r="V8" s="27" t="n">
        <f aca="false">IF(COUNT(Algodão!$E6:$Z6)=0,0,MAX(0,IF((V$6-$E$3)&lt;1,0,IFERROR(LOOKUP(2,1/(Algodão!$E6:INDEX(Algodão!$E6:$Z6,MIN(V$6-$E$3,22))&lt;&gt;""),Algodão!$E6:INDEX(Algodão!$E6:$Z6,MIN(V$6-$E$3,22))),0))-IF($G$2,0,IF((V$6-$G$3)&lt;1,0,IFERROR(LOOKUP(2,1/(Algodão!$E6:INDEX(Algodão!$E6:$Z6,MIN(V$6-$G$3,22))&lt;&gt;""),Algodão!$E6:INDEX(Algodão!$E6:$Z6,MIN(V$6-$G$3,22))),0)))))</f>
        <v>0</v>
      </c>
      <c r="W8" s="27" t="n">
        <f aca="false">IF(COUNT(Algodão!$E6:$Z6)=0,0,MAX(0,IF((W$6-$E$3)&lt;1,0,IFERROR(LOOKUP(2,1/(Algodão!$E6:INDEX(Algodão!$E6:$Z6,MIN(W$6-$E$3,22))&lt;&gt;""),Algodão!$E6:INDEX(Algodão!$E6:$Z6,MIN(W$6-$E$3,22))),0))-IF($G$2,0,IF((W$6-$G$3)&lt;1,0,IFERROR(LOOKUP(2,1/(Algodão!$E6:INDEX(Algodão!$E6:$Z6,MIN(W$6-$G$3,22))&lt;&gt;""),Algodão!$E6:INDEX(Algodão!$E6:$Z6,MIN(W$6-$G$3,22))),0)))))</f>
        <v>0</v>
      </c>
      <c r="X8" s="27" t="n">
        <f aca="false">IF(COUNT(Algodão!$E6:$Z6)=0,0,MAX(0,IF((X$6-$E$3)&lt;1,0,IFERROR(LOOKUP(2,1/(Algodão!$E6:INDEX(Algodão!$E6:$Z6,MIN(X$6-$E$3,22))&lt;&gt;""),Algodão!$E6:INDEX(Algodão!$E6:$Z6,MIN(X$6-$E$3,22))),0))-IF($G$2,0,IF((X$6-$G$3)&lt;1,0,IFERROR(LOOKUP(2,1/(Algodão!$E6:INDEX(Algodão!$E6:$Z6,MIN(X$6-$G$3,22))&lt;&gt;""),Algodão!$E6:INDEX(Algodão!$E6:$Z6,MIN(X$6-$G$3,22))),0)))))</f>
        <v>0</v>
      </c>
      <c r="Y8" s="27" t="n">
        <f aca="false">IF(COUNT(Algodão!$E6:$Z6)=0,0,MAX(0,IF((Y$6-$E$3)&lt;1,0,IFERROR(LOOKUP(2,1/(Algodão!$E6:INDEX(Algodão!$E6:$Z6,MIN(Y$6-$E$3,22))&lt;&gt;""),Algodão!$E6:INDEX(Algodão!$E6:$Z6,MIN(Y$6-$E$3,22))),0))-IF($G$2,0,IF((Y$6-$G$3)&lt;1,0,IFERROR(LOOKUP(2,1/(Algodão!$E6:INDEX(Algodão!$E6:$Z6,MIN(Y$6-$G$3,22))&lt;&gt;""),Algodão!$E6:INDEX(Algodão!$E6:$Z6,MIN(Y$6-$G$3,22))),0)))))</f>
        <v>0</v>
      </c>
      <c r="Z8" s="27" t="n">
        <f aca="false">IF(COUNT(Algodão!$E6:$Z6)=0,0,MAX(0,IF((Z$6-$E$3)&lt;1,0,IFERROR(LOOKUP(2,1/(Algodão!$E6:INDEX(Algodão!$E6:$Z6,MIN(Z$6-$E$3,22))&lt;&gt;""),Algodão!$E6:INDEX(Algodão!$E6:$Z6,MIN(Z$6-$E$3,22))),0))-IF($G$2,0,IF((Z$6-$G$3)&lt;1,0,IFERROR(LOOKUP(2,1/(Algodão!$E6:INDEX(Algodão!$E6:$Z6,MIN(Z$6-$G$3,22))&lt;&gt;""),Algodão!$E6:INDEX(Algodão!$E6:$Z6,MIN(Z$6-$G$3,22))),0)))))</f>
        <v>0</v>
      </c>
      <c r="AA8" s="27" t="n">
        <f aca="false">IF(COUNT(Algodão!$E6:$Z6)=0,0,MAX(0,IF((AA$6-$E$3)&lt;1,0,IFERROR(LOOKUP(2,1/(Algodão!$E6:INDEX(Algodão!$E6:$Z6,MIN(AA$6-$E$3,22))&lt;&gt;""),Algodão!$E6:INDEX(Algodão!$E6:$Z6,MIN(AA$6-$E$3,22))),0))-IF($G$2,0,IF((AA$6-$G$3)&lt;1,0,IFERROR(LOOKUP(2,1/(Algodão!$E6:INDEX(Algodão!$E6:$Z6,MIN(AA$6-$G$3,22))&lt;&gt;""),Algodão!$E6:INDEX(Algodão!$E6:$Z6,MIN(AA$6-$G$3,22))),0)))))</f>
        <v>0</v>
      </c>
      <c r="AB8" s="27" t="n">
        <f aca="false">IF(COUNT(Algodão!$E6:$Z6)=0,0,MAX(0,IF((AB$6-$E$3)&lt;1,0,IFERROR(LOOKUP(2,1/(Algodão!$E6:INDEX(Algodão!$E6:$Z6,MIN(AB$6-$E$3,22))&lt;&gt;""),Algodão!$E6:INDEX(Algodão!$E6:$Z6,MIN(AB$6-$E$3,22))),0))-IF($G$2,0,IF((AB$6-$G$3)&lt;1,0,IFERROR(LOOKUP(2,1/(Algodão!$E6:INDEX(Algodão!$E6:$Z6,MIN(AB$6-$G$3,22))&lt;&gt;""),Algodão!$E6:INDEX(Algodão!$E6:$Z6,MIN(AB$6-$G$3,22))),0)))))</f>
        <v>0</v>
      </c>
      <c r="AC8" s="27" t="n">
        <f aca="false">IF(COUNT(Algodão!$E6:$Z6)=0,0,MAX(0,IF((AC$6-$E$3)&lt;1,0,IFERROR(LOOKUP(2,1/(Algodão!$E6:INDEX(Algodão!$E6:$Z6,MIN(AC$6-$E$3,22))&lt;&gt;""),Algodão!$E6:INDEX(Algodão!$E6:$Z6,MIN(AC$6-$E$3,22))),0))-IF($G$2,0,IF((AC$6-$G$3)&lt;1,0,IFERROR(LOOKUP(2,1/(Algodão!$E6:INDEX(Algodão!$E6:$Z6,MIN(AC$6-$G$3,22))&lt;&gt;""),Algodão!$E6:INDEX(Algodão!$E6:$Z6,MIN(AC$6-$G$3,22))),0)))))</f>
        <v>0</v>
      </c>
      <c r="AD8" s="27" t="n">
        <f aca="false">IF(COUNT(Algodão!$E6:$Z6)=0,0,MAX(0,IF((AD$6-$E$3)&lt;1,0,IFERROR(LOOKUP(2,1/(Algodão!$E6:INDEX(Algodão!$E6:$Z6,MIN(AD$6-$E$3,22))&lt;&gt;""),Algodão!$E6:INDEX(Algodão!$E6:$Z6,MIN(AD$6-$E$3,22))),0))-IF($G$2,0,IF((AD$6-$G$3)&lt;1,0,IFERROR(LOOKUP(2,1/(Algodão!$E6:INDEX(Algodão!$E6:$Z6,MIN(AD$6-$G$3,22))&lt;&gt;""),Algodão!$E6:INDEX(Algodão!$E6:$Z6,MIN(AD$6-$G$3,22))),0)))))</f>
        <v>0</v>
      </c>
      <c r="AE8" s="27" t="n">
        <f aca="false">IF(COUNT(Algodão!$E6:$Z6)=0,0,MAX(0,IF((AE$6-$E$3)&lt;1,0,IFERROR(LOOKUP(2,1/(Algodão!$E6:INDEX(Algodão!$E6:$Z6,MIN(AE$6-$E$3,22))&lt;&gt;""),Algodão!$E6:INDEX(Algodão!$E6:$Z6,MIN(AE$6-$E$3,22))),0))-IF($G$2,0,IF((AE$6-$G$3)&lt;1,0,IFERROR(LOOKUP(2,1/(Algodão!$E6:INDEX(Algodão!$E6:$Z6,MIN(AE$6-$G$3,22))&lt;&gt;""),Algodão!$E6:INDEX(Algodão!$E6:$Z6,MIN(AE$6-$G$3,22))),0)))))</f>
        <v>0</v>
      </c>
      <c r="AF8" s="27" t="n">
        <f aca="false">IF(COUNT(Algodão!$E6:$Z6)=0,0,MAX(0,IF((AF$6-$E$3)&lt;1,0,IFERROR(LOOKUP(2,1/(Algodão!$E6:INDEX(Algodão!$E6:$Z6,MIN(AF$6-$E$3,22))&lt;&gt;""),Algodão!$E6:INDEX(Algodão!$E6:$Z6,MIN(AF$6-$E$3,22))),0))-IF($G$2,0,IF((AF$6-$G$3)&lt;1,0,IFERROR(LOOKUP(2,1/(Algodão!$E6:INDEX(Algodão!$E6:$Z6,MIN(AF$6-$G$3,22))&lt;&gt;""),Algodão!$E6:INDEX(Algodão!$E6:$Z6,MIN(AF$6-$G$3,22))),0)))))</f>
        <v>0</v>
      </c>
      <c r="AG8" s="27" t="n">
        <f aca="false">IF(COUNT(Algodão!$E6:$Z6)=0,0,MAX(0,IF((AG$6-$E$3)&lt;1,0,IFERROR(LOOKUP(2,1/(Algodão!$E6:INDEX(Algodão!$E6:$Z6,MIN(AG$6-$E$3,22))&lt;&gt;""),Algodão!$E6:INDEX(Algodão!$E6:$Z6,MIN(AG$6-$E$3,22))),0))-IF($G$2,0,IF((AG$6-$G$3)&lt;1,0,IFERROR(LOOKUP(2,1/(Algodão!$E6:INDEX(Algodão!$E6:$Z6,MIN(AG$6-$G$3,22))&lt;&gt;""),Algodão!$E6:INDEX(Algodão!$E6:$Z6,MIN(AG$6-$G$3,22))),0)))))</f>
        <v>0</v>
      </c>
      <c r="AH8" s="27" t="n">
        <f aca="false">IF(COUNT(Algodão!$E6:$Z6)=0,0,MAX(0,IF((AH$6-$E$3)&lt;1,0,IFERROR(LOOKUP(2,1/(Algodão!$E6:INDEX(Algodão!$E6:$Z6,MIN(AH$6-$E$3,22))&lt;&gt;""),Algodão!$E6:INDEX(Algodão!$E6:$Z6,MIN(AH$6-$E$3,22))),0))-IF($G$2,0,IF((AH$6-$G$3)&lt;1,0,IFERROR(LOOKUP(2,1/(Algodão!$E6:INDEX(Algodão!$E6:$Z6,MIN(AH$6-$G$3,22))&lt;&gt;""),Algodão!$E6:INDEX(Algodão!$E6:$Z6,MIN(AH$6-$G$3,22))),0)))))</f>
        <v>0</v>
      </c>
      <c r="AI8" s="27" t="n">
        <f aca="false">IF(COUNT(Algodão!$E6:$Z6)=0,0,MAX(0,IF((AI$6-$E$3)&lt;1,0,IFERROR(LOOKUP(2,1/(Algodão!$E6:INDEX(Algodão!$E6:$Z6,MIN(AI$6-$E$3,22))&lt;&gt;""),Algodão!$E6:INDEX(Algodão!$E6:$Z6,MIN(AI$6-$E$3,22))),0))-IF($G$2,0,IF((AI$6-$G$3)&lt;1,0,IFERROR(LOOKUP(2,1/(Algodão!$E6:INDEX(Algodão!$E6:$Z6,MIN(AI$6-$G$3,22))&lt;&gt;""),Algodão!$E6:INDEX(Algodão!$E6:$Z6,MIN(AI$6-$G$3,22))),0)))))</f>
        <v>0</v>
      </c>
      <c r="AJ8" s="27" t="n">
        <f aca="false">IF(COUNT(Algodão!$E6:$Z6)=0,0,MAX(0,IF((AJ$6-$E$3)&lt;1,0,IFERROR(LOOKUP(2,1/(Algodão!$E6:INDEX(Algodão!$E6:$Z6,MIN(AJ$6-$E$3,22))&lt;&gt;""),Algodão!$E6:INDEX(Algodão!$E6:$Z6,MIN(AJ$6-$E$3,22))),0))-IF($G$2,0,IF((AJ$6-$G$3)&lt;1,0,IFERROR(LOOKUP(2,1/(Algodão!$E6:INDEX(Algodão!$E6:$Z6,MIN(AJ$6-$G$3,22))&lt;&gt;""),Algodão!$E6:INDEX(Algodão!$E6:$Z6,MIN(AJ$6-$G$3,22))),0)))))</f>
        <v>0</v>
      </c>
      <c r="AK8" s="27" t="n">
        <f aca="false">IF(COUNT(Algodão!$E6:$Z6)=0,0,MAX(0,IF((AK$6-$E$3)&lt;1,0,IFERROR(LOOKUP(2,1/(Algodão!$E6:INDEX(Algodão!$E6:$Z6,MIN(AK$6-$E$3,22))&lt;&gt;""),Algodão!$E6:INDEX(Algodão!$E6:$Z6,MIN(AK$6-$E$3,22))),0))-IF($G$2,0,IF((AK$6-$G$3)&lt;1,0,IFERROR(LOOKUP(2,1/(Algodão!$E6:INDEX(Algodão!$E6:$Z6,MIN(AK$6-$G$3,22))&lt;&gt;""),Algodão!$E6:INDEX(Algodão!$E6:$Z6,MIN(AK$6-$G$3,22))),0)))))</f>
        <v>0</v>
      </c>
      <c r="AL8" s="27" t="n">
        <f aca="false">IF(COUNT(Algodão!$E6:$Z6)=0,0,MAX(0,IF((AL$6-$E$3)&lt;1,0,IFERROR(LOOKUP(2,1/(Algodão!$E6:INDEX(Algodão!$E6:$Z6,MIN(AL$6-$E$3,22))&lt;&gt;""),Algodão!$E6:INDEX(Algodão!$E6:$Z6,MIN(AL$6-$E$3,22))),0))-IF($G$2,0,IF((AL$6-$G$3)&lt;1,0,IFERROR(LOOKUP(2,1/(Algodão!$E6:INDEX(Algodão!$E6:$Z6,MIN(AL$6-$G$3,22))&lt;&gt;""),Algodão!$E6:INDEX(Algodão!$E6:$Z6,MIN(AL$6-$G$3,22))),0)))))</f>
        <v>0</v>
      </c>
      <c r="AM8" s="27" t="n">
        <f aca="false">IF(COUNT(Algodão!$E6:$Z6)=0,0,MAX(0,IF((AM$6-$E$3)&lt;1,0,IFERROR(LOOKUP(2,1/(Algodão!$E6:INDEX(Algodão!$E6:$Z6,MIN(AM$6-$E$3,22))&lt;&gt;""),Algodão!$E6:INDEX(Algodão!$E6:$Z6,MIN(AM$6-$E$3,22))),0))-IF($G$2,0,IF((AM$6-$G$3)&lt;1,0,IFERROR(LOOKUP(2,1/(Algodão!$E6:INDEX(Algodão!$E6:$Z6,MIN(AM$6-$G$3,22))&lt;&gt;""),Algodão!$E6:INDEX(Algodão!$E6:$Z6,MIN(AM$6-$G$3,22))),0)))))</f>
        <v>0</v>
      </c>
      <c r="AN8" s="27" t="n">
        <f aca="false">IF(COUNT(Algodão!$E6:$Z6)=0,0,MAX(0,IF((AN$6-$E$3)&lt;1,0,IFERROR(LOOKUP(2,1/(Algodão!$E6:INDEX(Algodão!$E6:$Z6,MIN(AN$6-$E$3,22))&lt;&gt;""),Algodão!$E6:INDEX(Algodão!$E6:$Z6,MIN(AN$6-$E$3,22))),0))-IF($G$2,0,IF((AN$6-$G$3)&lt;1,0,IFERROR(LOOKUP(2,1/(Algodão!$E6:INDEX(Algodão!$E6:$Z6,MIN(AN$6-$G$3,22))&lt;&gt;""),Algodão!$E6:INDEX(Algodão!$E6:$Z6,MIN(AN$6-$G$3,22))),0)))))</f>
        <v>0</v>
      </c>
      <c r="AO8" s="27" t="n">
        <f aca="false">IF(COUNT(Algodão!$E6:$Z6)=0,0,MAX(0,IF((AO$6-$E$3)&lt;1,0,IFERROR(LOOKUP(2,1/(Algodão!$E6:INDEX(Algodão!$E6:$Z6,MIN(AO$6-$E$3,22))&lt;&gt;""),Algodão!$E6:INDEX(Algodão!$E6:$Z6,MIN(AO$6-$E$3,22))),0))-IF($G$2,0,IF((AO$6-$G$3)&lt;1,0,IFERROR(LOOKUP(2,1/(Algodão!$E6:INDEX(Algodão!$E6:$Z6,MIN(AO$6-$G$3,22))&lt;&gt;""),Algodão!$E6:INDEX(Algodão!$E6:$Z6,MIN(AO$6-$G$3,22))),0)))))</f>
        <v>0</v>
      </c>
      <c r="AP8" s="27" t="n">
        <f aca="false">IF(COUNT(Algodão!$E6:$Z6)=0,0,MAX(0,IF((AP$6-$E$3)&lt;1,0,IFERROR(LOOKUP(2,1/(Algodão!$E6:INDEX(Algodão!$E6:$Z6,MIN(AP$6-$E$3,22))&lt;&gt;""),Algodão!$E6:INDEX(Algodão!$E6:$Z6,MIN(AP$6-$E$3,22))),0))-IF($G$2,0,IF((AP$6-$G$3)&lt;1,0,IFERROR(LOOKUP(2,1/(Algodão!$E6:INDEX(Algodão!$E6:$Z6,MIN(AP$6-$G$3,22))&lt;&gt;""),Algodão!$E6:INDEX(Algodão!$E6:$Z6,MIN(AP$6-$G$3,22))),0)))))</f>
        <v>0</v>
      </c>
      <c r="AQ8" s="27" t="n">
        <f aca="false">IF(COUNT(Algodão!$E6:$Z6)=0,0,MAX(0,IF((AQ$6-$E$3)&lt;1,0,IFERROR(LOOKUP(2,1/(Algodão!$E6:INDEX(Algodão!$E6:$Z6,MIN(AQ$6-$E$3,22))&lt;&gt;""),Algodão!$E6:INDEX(Algodão!$E6:$Z6,MIN(AQ$6-$E$3,22))),0))-IF($G$2,0,IF((AQ$6-$G$3)&lt;1,0,IFERROR(LOOKUP(2,1/(Algodão!$E6:INDEX(Algodão!$E6:$Z6,MIN(AQ$6-$G$3,22))&lt;&gt;""),Algodão!$E6:INDEX(Algodão!$E6:$Z6,MIN(AQ$6-$G$3,22))),0)))))</f>
        <v>0</v>
      </c>
      <c r="AR8" s="27" t="n">
        <f aca="false">IF(COUNT(Algodão!$E6:$Z6)=0,0,MAX(0,IF((AR$6-$E$3)&lt;1,0,IFERROR(LOOKUP(2,1/(Algodão!$E6:INDEX(Algodão!$E6:$Z6,MIN(AR$6-$E$3,22))&lt;&gt;""),Algodão!$E6:INDEX(Algodão!$E6:$Z6,MIN(AR$6-$E$3,22))),0))-IF($G$2,0,IF((AR$6-$G$3)&lt;1,0,IFERROR(LOOKUP(2,1/(Algodão!$E6:INDEX(Algodão!$E6:$Z6,MIN(AR$6-$G$3,22))&lt;&gt;""),Algodão!$E6:INDEX(Algodão!$E6:$Z6,MIN(AR$6-$G$3,22))),0)))))</f>
        <v>0</v>
      </c>
      <c r="AS8" s="27" t="n">
        <f aca="false">IF(COUNT(Algodão!$E6:$Z6)=0,0,MAX(0,IF((AS$6-$E$3)&lt;1,0,IFERROR(LOOKUP(2,1/(Algodão!$E6:INDEX(Algodão!$E6:$Z6,MIN(AS$6-$E$3,22))&lt;&gt;""),Algodão!$E6:INDEX(Algodão!$E6:$Z6,MIN(AS$6-$E$3,22))),0))-IF($G$2,0,IF((AS$6-$G$3)&lt;1,0,IFERROR(LOOKUP(2,1/(Algodão!$E6:INDEX(Algodão!$E6:$Z6,MIN(AS$6-$G$3,22))&lt;&gt;""),Algodão!$E6:INDEX(Algodão!$E6:$Z6,MIN(AS$6-$G$3,22))),0)))))</f>
        <v>0</v>
      </c>
      <c r="AT8" s="27" t="n">
        <f aca="false">IF(COUNT(Algodão!$E6:$Z6)=0,0,MAX(0,IF((AT$6-$E$3)&lt;1,0,IFERROR(LOOKUP(2,1/(Algodão!$E6:INDEX(Algodão!$E6:$Z6,MIN(AT$6-$E$3,22))&lt;&gt;""),Algodão!$E6:INDEX(Algodão!$E6:$Z6,MIN(AT$6-$E$3,22))),0))-IF($G$2,0,IF((AT$6-$G$3)&lt;1,0,IFERROR(LOOKUP(2,1/(Algodão!$E6:INDEX(Algodão!$E6:$Z6,MIN(AT$6-$G$3,22))&lt;&gt;""),Algodão!$E6:INDEX(Algodão!$E6:$Z6,MIN(AT$6-$G$3,22))),0)))))</f>
        <v>0</v>
      </c>
      <c r="AU8" s="27" t="n">
        <f aca="false">IF(COUNT(Algodão!$E6:$Z6)=0,0,MAX(0,IF((AU$6-$E$3)&lt;1,0,IFERROR(LOOKUP(2,1/(Algodão!$E6:INDEX(Algodão!$E6:$Z6,MIN(AU$6-$E$3,22))&lt;&gt;""),Algodão!$E6:INDEX(Algodão!$E6:$Z6,MIN(AU$6-$E$3,22))),0))-IF($G$2,0,IF((AU$6-$G$3)&lt;1,0,IFERROR(LOOKUP(2,1/(Algodão!$E6:INDEX(Algodão!$E6:$Z6,MIN(AU$6-$G$3,22))&lt;&gt;""),Algodão!$E6:INDEX(Algodão!$E6:$Z6,MIN(AU$6-$G$3,22))),0)))))</f>
        <v>0</v>
      </c>
      <c r="AV8" s="27" t="n">
        <f aca="false">IF(COUNT(Algodão!$E6:$Z6)=0,0,MAX(0,IF((AV$6-$E$3)&lt;1,0,IFERROR(LOOKUP(2,1/(Algodão!$E6:INDEX(Algodão!$E6:$Z6,MIN(AV$6-$E$3,22))&lt;&gt;""),Algodão!$E6:INDEX(Algodão!$E6:$Z6,MIN(AV$6-$E$3,22))),0))-IF($G$2,0,IF((AV$6-$G$3)&lt;1,0,IFERROR(LOOKUP(2,1/(Algodão!$E6:INDEX(Algodão!$E6:$Z6,MIN(AV$6-$G$3,22))&lt;&gt;""),Algodão!$E6:INDEX(Algodão!$E6:$Z6,MIN(AV$6-$G$3,22))),0)))))</f>
        <v>0</v>
      </c>
      <c r="AW8" s="27" t="n">
        <f aca="false">IF(COUNT(Algodão!$E6:$Z6)=0,0,MAX(0,IF((AW$6-$E$3)&lt;1,0,IFERROR(LOOKUP(2,1/(Algodão!$E6:INDEX(Algodão!$E6:$Z6,MIN(AW$6-$E$3,22))&lt;&gt;""),Algodão!$E6:INDEX(Algodão!$E6:$Z6,MIN(AW$6-$E$3,22))),0))-IF($G$2,0,IF((AW$6-$G$3)&lt;1,0,IFERROR(LOOKUP(2,1/(Algodão!$E6:INDEX(Algodão!$E6:$Z6,MIN(AW$6-$G$3,22))&lt;&gt;""),Algodão!$E6:INDEX(Algodão!$E6:$Z6,MIN(AW$6-$G$3,22))),0)))))</f>
        <v>0</v>
      </c>
      <c r="AX8" s="27" t="n">
        <f aca="false">IF(COUNT(Algodão!$E6:$Z6)=0,0,MAX(0,IF((AX$6-$E$3)&lt;1,0,IFERROR(LOOKUP(2,1/(Algodão!$E6:INDEX(Algodão!$E6:$Z6,MIN(AX$6-$E$3,22))&lt;&gt;""),Algodão!$E6:INDEX(Algodão!$E6:$Z6,MIN(AX$6-$E$3,22))),0))-IF($G$2,0,IF((AX$6-$G$3)&lt;1,0,IFERROR(LOOKUP(2,1/(Algodão!$E6:INDEX(Algodão!$E6:$Z6,MIN(AX$6-$G$3,22))&lt;&gt;""),Algodão!$E6:INDEX(Algodão!$E6:$Z6,MIN(AX$6-$G$3,22))),0)))))</f>
        <v>0</v>
      </c>
      <c r="AY8" s="27" t="n">
        <f aca="false">IF(COUNT(Algodão!$E6:$Z6)=0,0,MAX(0,IF((AY$6-$E$3)&lt;1,0,IFERROR(LOOKUP(2,1/(Algodão!$E6:INDEX(Algodão!$E6:$Z6,MIN(AY$6-$E$3,22))&lt;&gt;""),Algodão!$E6:INDEX(Algodão!$E6:$Z6,MIN(AY$6-$E$3,22))),0))-IF($G$2,0,IF((AY$6-$G$3)&lt;1,0,IFERROR(LOOKUP(2,1/(Algodão!$E6:INDEX(Algodão!$E6:$Z6,MIN(AY$6-$G$3,22))&lt;&gt;""),Algodão!$E6:INDEX(Algodão!$E6:$Z6,MIN(AY$6-$G$3,22))),0)))))</f>
        <v>0</v>
      </c>
      <c r="AZ8" s="27" t="n">
        <f aca="false">IF(COUNT(Algodão!$E6:$Z6)=0,0,MAX(0,IF((AZ$6-$E$3)&lt;1,0,IFERROR(LOOKUP(2,1/(Algodão!$E6:INDEX(Algodão!$E6:$Z6,MIN(AZ$6-$E$3,22))&lt;&gt;""),Algodão!$E6:INDEX(Algodão!$E6:$Z6,MIN(AZ$6-$E$3,22))),0))-IF($G$2,0,IF((AZ$6-$G$3)&lt;1,0,IFERROR(LOOKUP(2,1/(Algodão!$E6:INDEX(Algodão!$E6:$Z6,MIN(AZ$6-$G$3,22))&lt;&gt;""),Algodão!$E6:INDEX(Algodão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IF(COUNT(Algodão!$E7:$Z7)&gt;0,N(Algodão!$D7),0)</f>
        <v>0</v>
      </c>
      <c r="E9" s="27" t="n">
        <f aca="false">IF(COUNT(Algodão!$E7:$Z7)=0,0,MAX(0,IF((E$6-$E$3)&lt;1,0,IFERROR(LOOKUP(2,1/(Algodão!$E7:INDEX(Algodão!$E7:$Z7,MIN(E$6-$E$3,22))&lt;&gt;""),Algodão!$E7:INDEX(Algodão!$E7:$Z7,MIN(E$6-$E$3,22))),0))-IF($G$2,0,IF((E$6-$G$3)&lt;1,0,IFERROR(LOOKUP(2,1/(Algodão!$E7:INDEX(Algodão!$E7:$Z7,MIN(E$6-$G$3,22))&lt;&gt;""),Algodão!$E7:INDEX(Algodão!$E7:$Z7,MIN(E$6-$G$3,22))),0)))))</f>
        <v>0</v>
      </c>
      <c r="F9" s="27" t="n">
        <f aca="false">IF(COUNT(Algodão!$E7:$Z7)=0,0,MAX(0,IF((F$6-$E$3)&lt;1,0,IFERROR(LOOKUP(2,1/(Algodão!$E7:INDEX(Algodão!$E7:$Z7,MIN(F$6-$E$3,22))&lt;&gt;""),Algodão!$E7:INDEX(Algodão!$E7:$Z7,MIN(F$6-$E$3,22))),0))-IF($G$2,0,IF((F$6-$G$3)&lt;1,0,IFERROR(LOOKUP(2,1/(Algodão!$E7:INDEX(Algodão!$E7:$Z7,MIN(F$6-$G$3,22))&lt;&gt;""),Algodão!$E7:INDEX(Algodão!$E7:$Z7,MIN(F$6-$G$3,22))),0)))))</f>
        <v>0</v>
      </c>
      <c r="G9" s="27" t="n">
        <f aca="false">IF(COUNT(Algodão!$E7:$Z7)=0,0,MAX(0,IF((G$6-$E$3)&lt;1,0,IFERROR(LOOKUP(2,1/(Algodão!$E7:INDEX(Algodão!$E7:$Z7,MIN(G$6-$E$3,22))&lt;&gt;""),Algodão!$E7:INDEX(Algodão!$E7:$Z7,MIN(G$6-$E$3,22))),0))-IF($G$2,0,IF((G$6-$G$3)&lt;1,0,IFERROR(LOOKUP(2,1/(Algodão!$E7:INDEX(Algodão!$E7:$Z7,MIN(G$6-$G$3,22))&lt;&gt;""),Algodão!$E7:INDEX(Algodão!$E7:$Z7,MIN(G$6-$G$3,22))),0)))))</f>
        <v>0</v>
      </c>
      <c r="H9" s="27" t="n">
        <f aca="false">IF(COUNT(Algodão!$E7:$Z7)=0,0,MAX(0,IF((H$6-$E$3)&lt;1,0,IFERROR(LOOKUP(2,1/(Algodão!$E7:INDEX(Algodão!$E7:$Z7,MIN(H$6-$E$3,22))&lt;&gt;""),Algodão!$E7:INDEX(Algodão!$E7:$Z7,MIN(H$6-$E$3,22))),0))-IF($G$2,0,IF((H$6-$G$3)&lt;1,0,IFERROR(LOOKUP(2,1/(Algodão!$E7:INDEX(Algodão!$E7:$Z7,MIN(H$6-$G$3,22))&lt;&gt;""),Algodão!$E7:INDEX(Algodão!$E7:$Z7,MIN(H$6-$G$3,22))),0)))))</f>
        <v>0</v>
      </c>
      <c r="I9" s="27" t="n">
        <f aca="false">IF(COUNT(Algodão!$E7:$Z7)=0,0,MAX(0,IF((I$6-$E$3)&lt;1,0,IFERROR(LOOKUP(2,1/(Algodão!$E7:INDEX(Algodão!$E7:$Z7,MIN(I$6-$E$3,22))&lt;&gt;""),Algodão!$E7:INDEX(Algodão!$E7:$Z7,MIN(I$6-$E$3,22))),0))-IF($G$2,0,IF((I$6-$G$3)&lt;1,0,IFERROR(LOOKUP(2,1/(Algodão!$E7:INDEX(Algodão!$E7:$Z7,MIN(I$6-$G$3,22))&lt;&gt;""),Algodão!$E7:INDEX(Algodão!$E7:$Z7,MIN(I$6-$G$3,22))),0)))))</f>
        <v>0</v>
      </c>
      <c r="J9" s="27" t="n">
        <f aca="false">IF(COUNT(Algodão!$E7:$Z7)=0,0,MAX(0,IF((J$6-$E$3)&lt;1,0,IFERROR(LOOKUP(2,1/(Algodão!$E7:INDEX(Algodão!$E7:$Z7,MIN(J$6-$E$3,22))&lt;&gt;""),Algodão!$E7:INDEX(Algodão!$E7:$Z7,MIN(J$6-$E$3,22))),0))-IF($G$2,0,IF((J$6-$G$3)&lt;1,0,IFERROR(LOOKUP(2,1/(Algodão!$E7:INDEX(Algodão!$E7:$Z7,MIN(J$6-$G$3,22))&lt;&gt;""),Algodão!$E7:INDEX(Algodão!$E7:$Z7,MIN(J$6-$G$3,22))),0)))))</f>
        <v>0</v>
      </c>
      <c r="K9" s="27" t="n">
        <f aca="false">IF(COUNT(Algodão!$E7:$Z7)=0,0,MAX(0,IF((K$6-$E$3)&lt;1,0,IFERROR(LOOKUP(2,1/(Algodão!$E7:INDEX(Algodão!$E7:$Z7,MIN(K$6-$E$3,22))&lt;&gt;""),Algodão!$E7:INDEX(Algodão!$E7:$Z7,MIN(K$6-$E$3,22))),0))-IF($G$2,0,IF((K$6-$G$3)&lt;1,0,IFERROR(LOOKUP(2,1/(Algodão!$E7:INDEX(Algodão!$E7:$Z7,MIN(K$6-$G$3,22))&lt;&gt;""),Algodão!$E7:INDEX(Algodão!$E7:$Z7,MIN(K$6-$G$3,22))),0)))))</f>
        <v>0</v>
      </c>
      <c r="L9" s="27" t="n">
        <f aca="false">IF(COUNT(Algodão!$E7:$Z7)=0,0,MAX(0,IF((L$6-$E$3)&lt;1,0,IFERROR(LOOKUP(2,1/(Algodão!$E7:INDEX(Algodão!$E7:$Z7,MIN(L$6-$E$3,22))&lt;&gt;""),Algodão!$E7:INDEX(Algodão!$E7:$Z7,MIN(L$6-$E$3,22))),0))-IF($G$2,0,IF((L$6-$G$3)&lt;1,0,IFERROR(LOOKUP(2,1/(Algodão!$E7:INDEX(Algodão!$E7:$Z7,MIN(L$6-$G$3,22))&lt;&gt;""),Algodão!$E7:INDEX(Algodão!$E7:$Z7,MIN(L$6-$G$3,22))),0)))))</f>
        <v>0</v>
      </c>
      <c r="M9" s="27" t="n">
        <f aca="false">IF(COUNT(Algodão!$E7:$Z7)=0,0,MAX(0,IF((M$6-$E$3)&lt;1,0,IFERROR(LOOKUP(2,1/(Algodão!$E7:INDEX(Algodão!$E7:$Z7,MIN(M$6-$E$3,22))&lt;&gt;""),Algodão!$E7:INDEX(Algodão!$E7:$Z7,MIN(M$6-$E$3,22))),0))-IF($G$2,0,IF((M$6-$G$3)&lt;1,0,IFERROR(LOOKUP(2,1/(Algodão!$E7:INDEX(Algodão!$E7:$Z7,MIN(M$6-$G$3,22))&lt;&gt;""),Algodão!$E7:INDEX(Algodão!$E7:$Z7,MIN(M$6-$G$3,22))),0)))))</f>
        <v>0</v>
      </c>
      <c r="N9" s="27" t="n">
        <f aca="false">IF(COUNT(Algodão!$E7:$Z7)=0,0,MAX(0,IF((N$6-$E$3)&lt;1,0,IFERROR(LOOKUP(2,1/(Algodão!$E7:INDEX(Algodão!$E7:$Z7,MIN(N$6-$E$3,22))&lt;&gt;""),Algodão!$E7:INDEX(Algodão!$E7:$Z7,MIN(N$6-$E$3,22))),0))-IF($G$2,0,IF((N$6-$G$3)&lt;1,0,IFERROR(LOOKUP(2,1/(Algodão!$E7:INDEX(Algodão!$E7:$Z7,MIN(N$6-$G$3,22))&lt;&gt;""),Algodão!$E7:INDEX(Algodão!$E7:$Z7,MIN(N$6-$G$3,22))),0)))))</f>
        <v>0</v>
      </c>
      <c r="O9" s="27" t="n">
        <f aca="false">IF(COUNT(Algodão!$E7:$Z7)=0,0,MAX(0,IF((O$6-$E$3)&lt;1,0,IFERROR(LOOKUP(2,1/(Algodão!$E7:INDEX(Algodão!$E7:$Z7,MIN(O$6-$E$3,22))&lt;&gt;""),Algodão!$E7:INDEX(Algodão!$E7:$Z7,MIN(O$6-$E$3,22))),0))-IF($G$2,0,IF((O$6-$G$3)&lt;1,0,IFERROR(LOOKUP(2,1/(Algodão!$E7:INDEX(Algodão!$E7:$Z7,MIN(O$6-$G$3,22))&lt;&gt;""),Algodão!$E7:INDEX(Algodão!$E7:$Z7,MIN(O$6-$G$3,22))),0)))))</f>
        <v>0</v>
      </c>
      <c r="P9" s="27" t="n">
        <f aca="false">IF(COUNT(Algodão!$E7:$Z7)=0,0,MAX(0,IF((P$6-$E$3)&lt;1,0,IFERROR(LOOKUP(2,1/(Algodão!$E7:INDEX(Algodão!$E7:$Z7,MIN(P$6-$E$3,22))&lt;&gt;""),Algodão!$E7:INDEX(Algodão!$E7:$Z7,MIN(P$6-$E$3,22))),0))-IF($G$2,0,IF((P$6-$G$3)&lt;1,0,IFERROR(LOOKUP(2,1/(Algodão!$E7:INDEX(Algodão!$E7:$Z7,MIN(P$6-$G$3,22))&lt;&gt;""),Algodão!$E7:INDEX(Algodão!$E7:$Z7,MIN(P$6-$G$3,22))),0)))))</f>
        <v>0</v>
      </c>
      <c r="Q9" s="27" t="n">
        <f aca="false">IF(COUNT(Algodão!$E7:$Z7)=0,0,MAX(0,IF((Q$6-$E$3)&lt;1,0,IFERROR(LOOKUP(2,1/(Algodão!$E7:INDEX(Algodão!$E7:$Z7,MIN(Q$6-$E$3,22))&lt;&gt;""),Algodão!$E7:INDEX(Algodão!$E7:$Z7,MIN(Q$6-$E$3,22))),0))-IF($G$2,0,IF((Q$6-$G$3)&lt;1,0,IFERROR(LOOKUP(2,1/(Algodão!$E7:INDEX(Algodão!$E7:$Z7,MIN(Q$6-$G$3,22))&lt;&gt;""),Algodão!$E7:INDEX(Algodão!$E7:$Z7,MIN(Q$6-$G$3,22))),0)))))</f>
        <v>0</v>
      </c>
      <c r="R9" s="27" t="n">
        <f aca="false">IF(COUNT(Algodão!$E7:$Z7)=0,0,MAX(0,IF((R$6-$E$3)&lt;1,0,IFERROR(LOOKUP(2,1/(Algodão!$E7:INDEX(Algodão!$E7:$Z7,MIN(R$6-$E$3,22))&lt;&gt;""),Algodão!$E7:INDEX(Algodão!$E7:$Z7,MIN(R$6-$E$3,22))),0))-IF($G$2,0,IF((R$6-$G$3)&lt;1,0,IFERROR(LOOKUP(2,1/(Algodão!$E7:INDEX(Algodão!$E7:$Z7,MIN(R$6-$G$3,22))&lt;&gt;""),Algodão!$E7:INDEX(Algodão!$E7:$Z7,MIN(R$6-$G$3,22))),0)))))</f>
        <v>0</v>
      </c>
      <c r="S9" s="27" t="n">
        <f aca="false">IF(COUNT(Algodão!$E7:$Z7)=0,0,MAX(0,IF((S$6-$E$3)&lt;1,0,IFERROR(LOOKUP(2,1/(Algodão!$E7:INDEX(Algodão!$E7:$Z7,MIN(S$6-$E$3,22))&lt;&gt;""),Algodão!$E7:INDEX(Algodão!$E7:$Z7,MIN(S$6-$E$3,22))),0))-IF($G$2,0,IF((S$6-$G$3)&lt;1,0,IFERROR(LOOKUP(2,1/(Algodão!$E7:INDEX(Algodão!$E7:$Z7,MIN(S$6-$G$3,22))&lt;&gt;""),Algodão!$E7:INDEX(Algodão!$E7:$Z7,MIN(S$6-$G$3,22))),0)))))</f>
        <v>0</v>
      </c>
      <c r="T9" s="27" t="n">
        <f aca="false">IF(COUNT(Algodão!$E7:$Z7)=0,0,MAX(0,IF((T$6-$E$3)&lt;1,0,IFERROR(LOOKUP(2,1/(Algodão!$E7:INDEX(Algodão!$E7:$Z7,MIN(T$6-$E$3,22))&lt;&gt;""),Algodão!$E7:INDEX(Algodão!$E7:$Z7,MIN(T$6-$E$3,22))),0))-IF($G$2,0,IF((T$6-$G$3)&lt;1,0,IFERROR(LOOKUP(2,1/(Algodão!$E7:INDEX(Algodão!$E7:$Z7,MIN(T$6-$G$3,22))&lt;&gt;""),Algodão!$E7:INDEX(Algodão!$E7:$Z7,MIN(T$6-$G$3,22))),0)))))</f>
        <v>0</v>
      </c>
      <c r="U9" s="27" t="n">
        <f aca="false">IF(COUNT(Algodão!$E7:$Z7)=0,0,MAX(0,IF((U$6-$E$3)&lt;1,0,IFERROR(LOOKUP(2,1/(Algodão!$E7:INDEX(Algodão!$E7:$Z7,MIN(U$6-$E$3,22))&lt;&gt;""),Algodão!$E7:INDEX(Algodão!$E7:$Z7,MIN(U$6-$E$3,22))),0))-IF($G$2,0,IF((U$6-$G$3)&lt;1,0,IFERROR(LOOKUP(2,1/(Algodão!$E7:INDEX(Algodão!$E7:$Z7,MIN(U$6-$G$3,22))&lt;&gt;""),Algodão!$E7:INDEX(Algodão!$E7:$Z7,MIN(U$6-$G$3,22))),0)))))</f>
        <v>0</v>
      </c>
      <c r="V9" s="27" t="n">
        <f aca="false">IF(COUNT(Algodão!$E7:$Z7)=0,0,MAX(0,IF((V$6-$E$3)&lt;1,0,IFERROR(LOOKUP(2,1/(Algodão!$E7:INDEX(Algodão!$E7:$Z7,MIN(V$6-$E$3,22))&lt;&gt;""),Algodão!$E7:INDEX(Algodão!$E7:$Z7,MIN(V$6-$E$3,22))),0))-IF($G$2,0,IF((V$6-$G$3)&lt;1,0,IFERROR(LOOKUP(2,1/(Algodão!$E7:INDEX(Algodão!$E7:$Z7,MIN(V$6-$G$3,22))&lt;&gt;""),Algodão!$E7:INDEX(Algodão!$E7:$Z7,MIN(V$6-$G$3,22))),0)))))</f>
        <v>0</v>
      </c>
      <c r="W9" s="27" t="n">
        <f aca="false">IF(COUNT(Algodão!$E7:$Z7)=0,0,MAX(0,IF((W$6-$E$3)&lt;1,0,IFERROR(LOOKUP(2,1/(Algodão!$E7:INDEX(Algodão!$E7:$Z7,MIN(W$6-$E$3,22))&lt;&gt;""),Algodão!$E7:INDEX(Algodão!$E7:$Z7,MIN(W$6-$E$3,22))),0))-IF($G$2,0,IF((W$6-$G$3)&lt;1,0,IFERROR(LOOKUP(2,1/(Algodão!$E7:INDEX(Algodão!$E7:$Z7,MIN(W$6-$G$3,22))&lt;&gt;""),Algodão!$E7:INDEX(Algodão!$E7:$Z7,MIN(W$6-$G$3,22))),0)))))</f>
        <v>0</v>
      </c>
      <c r="X9" s="27" t="n">
        <f aca="false">IF(COUNT(Algodão!$E7:$Z7)=0,0,MAX(0,IF((X$6-$E$3)&lt;1,0,IFERROR(LOOKUP(2,1/(Algodão!$E7:INDEX(Algodão!$E7:$Z7,MIN(X$6-$E$3,22))&lt;&gt;""),Algodão!$E7:INDEX(Algodão!$E7:$Z7,MIN(X$6-$E$3,22))),0))-IF($G$2,0,IF((X$6-$G$3)&lt;1,0,IFERROR(LOOKUP(2,1/(Algodão!$E7:INDEX(Algodão!$E7:$Z7,MIN(X$6-$G$3,22))&lt;&gt;""),Algodão!$E7:INDEX(Algodão!$E7:$Z7,MIN(X$6-$G$3,22))),0)))))</f>
        <v>0</v>
      </c>
      <c r="Y9" s="27" t="n">
        <f aca="false">IF(COUNT(Algodão!$E7:$Z7)=0,0,MAX(0,IF((Y$6-$E$3)&lt;1,0,IFERROR(LOOKUP(2,1/(Algodão!$E7:INDEX(Algodão!$E7:$Z7,MIN(Y$6-$E$3,22))&lt;&gt;""),Algodão!$E7:INDEX(Algodão!$E7:$Z7,MIN(Y$6-$E$3,22))),0))-IF($G$2,0,IF((Y$6-$G$3)&lt;1,0,IFERROR(LOOKUP(2,1/(Algodão!$E7:INDEX(Algodão!$E7:$Z7,MIN(Y$6-$G$3,22))&lt;&gt;""),Algodão!$E7:INDEX(Algodão!$E7:$Z7,MIN(Y$6-$G$3,22))),0)))))</f>
        <v>0</v>
      </c>
      <c r="Z9" s="27" t="n">
        <f aca="false">IF(COUNT(Algodão!$E7:$Z7)=0,0,MAX(0,IF((Z$6-$E$3)&lt;1,0,IFERROR(LOOKUP(2,1/(Algodão!$E7:INDEX(Algodão!$E7:$Z7,MIN(Z$6-$E$3,22))&lt;&gt;""),Algodão!$E7:INDEX(Algodão!$E7:$Z7,MIN(Z$6-$E$3,22))),0))-IF($G$2,0,IF((Z$6-$G$3)&lt;1,0,IFERROR(LOOKUP(2,1/(Algodão!$E7:INDEX(Algodão!$E7:$Z7,MIN(Z$6-$G$3,22))&lt;&gt;""),Algodão!$E7:INDEX(Algodão!$E7:$Z7,MIN(Z$6-$G$3,22))),0)))))</f>
        <v>0</v>
      </c>
      <c r="AA9" s="27" t="n">
        <f aca="false">IF(COUNT(Algodão!$E7:$Z7)=0,0,MAX(0,IF((AA$6-$E$3)&lt;1,0,IFERROR(LOOKUP(2,1/(Algodão!$E7:INDEX(Algodão!$E7:$Z7,MIN(AA$6-$E$3,22))&lt;&gt;""),Algodão!$E7:INDEX(Algodão!$E7:$Z7,MIN(AA$6-$E$3,22))),0))-IF($G$2,0,IF((AA$6-$G$3)&lt;1,0,IFERROR(LOOKUP(2,1/(Algodão!$E7:INDEX(Algodão!$E7:$Z7,MIN(AA$6-$G$3,22))&lt;&gt;""),Algodão!$E7:INDEX(Algodão!$E7:$Z7,MIN(AA$6-$G$3,22))),0)))))</f>
        <v>0</v>
      </c>
      <c r="AB9" s="27" t="n">
        <f aca="false">IF(COUNT(Algodão!$E7:$Z7)=0,0,MAX(0,IF((AB$6-$E$3)&lt;1,0,IFERROR(LOOKUP(2,1/(Algodão!$E7:INDEX(Algodão!$E7:$Z7,MIN(AB$6-$E$3,22))&lt;&gt;""),Algodão!$E7:INDEX(Algodão!$E7:$Z7,MIN(AB$6-$E$3,22))),0))-IF($G$2,0,IF((AB$6-$G$3)&lt;1,0,IFERROR(LOOKUP(2,1/(Algodão!$E7:INDEX(Algodão!$E7:$Z7,MIN(AB$6-$G$3,22))&lt;&gt;""),Algodão!$E7:INDEX(Algodão!$E7:$Z7,MIN(AB$6-$G$3,22))),0)))))</f>
        <v>0</v>
      </c>
      <c r="AC9" s="27" t="n">
        <f aca="false">IF(COUNT(Algodão!$E7:$Z7)=0,0,MAX(0,IF((AC$6-$E$3)&lt;1,0,IFERROR(LOOKUP(2,1/(Algodão!$E7:INDEX(Algodão!$E7:$Z7,MIN(AC$6-$E$3,22))&lt;&gt;""),Algodão!$E7:INDEX(Algodão!$E7:$Z7,MIN(AC$6-$E$3,22))),0))-IF($G$2,0,IF((AC$6-$G$3)&lt;1,0,IFERROR(LOOKUP(2,1/(Algodão!$E7:INDEX(Algodão!$E7:$Z7,MIN(AC$6-$G$3,22))&lt;&gt;""),Algodão!$E7:INDEX(Algodão!$E7:$Z7,MIN(AC$6-$G$3,22))),0)))))</f>
        <v>0</v>
      </c>
      <c r="AD9" s="27" t="n">
        <f aca="false">IF(COUNT(Algodão!$E7:$Z7)=0,0,MAX(0,IF((AD$6-$E$3)&lt;1,0,IFERROR(LOOKUP(2,1/(Algodão!$E7:INDEX(Algodão!$E7:$Z7,MIN(AD$6-$E$3,22))&lt;&gt;""),Algodão!$E7:INDEX(Algodão!$E7:$Z7,MIN(AD$6-$E$3,22))),0))-IF($G$2,0,IF((AD$6-$G$3)&lt;1,0,IFERROR(LOOKUP(2,1/(Algodão!$E7:INDEX(Algodão!$E7:$Z7,MIN(AD$6-$G$3,22))&lt;&gt;""),Algodão!$E7:INDEX(Algodão!$E7:$Z7,MIN(AD$6-$G$3,22))),0)))))</f>
        <v>0</v>
      </c>
      <c r="AE9" s="27" t="n">
        <f aca="false">IF(COUNT(Algodão!$E7:$Z7)=0,0,MAX(0,IF((AE$6-$E$3)&lt;1,0,IFERROR(LOOKUP(2,1/(Algodão!$E7:INDEX(Algodão!$E7:$Z7,MIN(AE$6-$E$3,22))&lt;&gt;""),Algodão!$E7:INDEX(Algodão!$E7:$Z7,MIN(AE$6-$E$3,22))),0))-IF($G$2,0,IF((AE$6-$G$3)&lt;1,0,IFERROR(LOOKUP(2,1/(Algodão!$E7:INDEX(Algodão!$E7:$Z7,MIN(AE$6-$G$3,22))&lt;&gt;""),Algodão!$E7:INDEX(Algodão!$E7:$Z7,MIN(AE$6-$G$3,22))),0)))))</f>
        <v>0</v>
      </c>
      <c r="AF9" s="27" t="n">
        <f aca="false">IF(COUNT(Algodão!$E7:$Z7)=0,0,MAX(0,IF((AF$6-$E$3)&lt;1,0,IFERROR(LOOKUP(2,1/(Algodão!$E7:INDEX(Algodão!$E7:$Z7,MIN(AF$6-$E$3,22))&lt;&gt;""),Algodão!$E7:INDEX(Algodão!$E7:$Z7,MIN(AF$6-$E$3,22))),0))-IF($G$2,0,IF((AF$6-$G$3)&lt;1,0,IFERROR(LOOKUP(2,1/(Algodão!$E7:INDEX(Algodão!$E7:$Z7,MIN(AF$6-$G$3,22))&lt;&gt;""),Algodão!$E7:INDEX(Algodão!$E7:$Z7,MIN(AF$6-$G$3,22))),0)))))</f>
        <v>0</v>
      </c>
      <c r="AG9" s="27" t="n">
        <f aca="false">IF(COUNT(Algodão!$E7:$Z7)=0,0,MAX(0,IF((AG$6-$E$3)&lt;1,0,IFERROR(LOOKUP(2,1/(Algodão!$E7:INDEX(Algodão!$E7:$Z7,MIN(AG$6-$E$3,22))&lt;&gt;""),Algodão!$E7:INDEX(Algodão!$E7:$Z7,MIN(AG$6-$E$3,22))),0))-IF($G$2,0,IF((AG$6-$G$3)&lt;1,0,IFERROR(LOOKUP(2,1/(Algodão!$E7:INDEX(Algodão!$E7:$Z7,MIN(AG$6-$G$3,22))&lt;&gt;""),Algodão!$E7:INDEX(Algodão!$E7:$Z7,MIN(AG$6-$G$3,22))),0)))))</f>
        <v>0</v>
      </c>
      <c r="AH9" s="27" t="n">
        <f aca="false">IF(COUNT(Algodão!$E7:$Z7)=0,0,MAX(0,IF((AH$6-$E$3)&lt;1,0,IFERROR(LOOKUP(2,1/(Algodão!$E7:INDEX(Algodão!$E7:$Z7,MIN(AH$6-$E$3,22))&lt;&gt;""),Algodão!$E7:INDEX(Algodão!$E7:$Z7,MIN(AH$6-$E$3,22))),0))-IF($G$2,0,IF((AH$6-$G$3)&lt;1,0,IFERROR(LOOKUP(2,1/(Algodão!$E7:INDEX(Algodão!$E7:$Z7,MIN(AH$6-$G$3,22))&lt;&gt;""),Algodão!$E7:INDEX(Algodão!$E7:$Z7,MIN(AH$6-$G$3,22))),0)))))</f>
        <v>0</v>
      </c>
      <c r="AI9" s="27" t="n">
        <f aca="false">IF(COUNT(Algodão!$E7:$Z7)=0,0,MAX(0,IF((AI$6-$E$3)&lt;1,0,IFERROR(LOOKUP(2,1/(Algodão!$E7:INDEX(Algodão!$E7:$Z7,MIN(AI$6-$E$3,22))&lt;&gt;""),Algodão!$E7:INDEX(Algodão!$E7:$Z7,MIN(AI$6-$E$3,22))),0))-IF($G$2,0,IF((AI$6-$G$3)&lt;1,0,IFERROR(LOOKUP(2,1/(Algodão!$E7:INDEX(Algodão!$E7:$Z7,MIN(AI$6-$G$3,22))&lt;&gt;""),Algodão!$E7:INDEX(Algodão!$E7:$Z7,MIN(AI$6-$G$3,22))),0)))))</f>
        <v>0</v>
      </c>
      <c r="AJ9" s="27" t="n">
        <f aca="false">IF(COUNT(Algodão!$E7:$Z7)=0,0,MAX(0,IF((AJ$6-$E$3)&lt;1,0,IFERROR(LOOKUP(2,1/(Algodão!$E7:INDEX(Algodão!$E7:$Z7,MIN(AJ$6-$E$3,22))&lt;&gt;""),Algodão!$E7:INDEX(Algodão!$E7:$Z7,MIN(AJ$6-$E$3,22))),0))-IF($G$2,0,IF((AJ$6-$G$3)&lt;1,0,IFERROR(LOOKUP(2,1/(Algodão!$E7:INDEX(Algodão!$E7:$Z7,MIN(AJ$6-$G$3,22))&lt;&gt;""),Algodão!$E7:INDEX(Algodão!$E7:$Z7,MIN(AJ$6-$G$3,22))),0)))))</f>
        <v>0</v>
      </c>
      <c r="AK9" s="27" t="n">
        <f aca="false">IF(COUNT(Algodão!$E7:$Z7)=0,0,MAX(0,IF((AK$6-$E$3)&lt;1,0,IFERROR(LOOKUP(2,1/(Algodão!$E7:INDEX(Algodão!$E7:$Z7,MIN(AK$6-$E$3,22))&lt;&gt;""),Algodão!$E7:INDEX(Algodão!$E7:$Z7,MIN(AK$6-$E$3,22))),0))-IF($G$2,0,IF((AK$6-$G$3)&lt;1,0,IFERROR(LOOKUP(2,1/(Algodão!$E7:INDEX(Algodão!$E7:$Z7,MIN(AK$6-$G$3,22))&lt;&gt;""),Algodão!$E7:INDEX(Algodão!$E7:$Z7,MIN(AK$6-$G$3,22))),0)))))</f>
        <v>0</v>
      </c>
      <c r="AL9" s="27" t="n">
        <f aca="false">IF(COUNT(Algodão!$E7:$Z7)=0,0,MAX(0,IF((AL$6-$E$3)&lt;1,0,IFERROR(LOOKUP(2,1/(Algodão!$E7:INDEX(Algodão!$E7:$Z7,MIN(AL$6-$E$3,22))&lt;&gt;""),Algodão!$E7:INDEX(Algodão!$E7:$Z7,MIN(AL$6-$E$3,22))),0))-IF($G$2,0,IF((AL$6-$G$3)&lt;1,0,IFERROR(LOOKUP(2,1/(Algodão!$E7:INDEX(Algodão!$E7:$Z7,MIN(AL$6-$G$3,22))&lt;&gt;""),Algodão!$E7:INDEX(Algodão!$E7:$Z7,MIN(AL$6-$G$3,22))),0)))))</f>
        <v>0</v>
      </c>
      <c r="AM9" s="27" t="n">
        <f aca="false">IF(COUNT(Algodão!$E7:$Z7)=0,0,MAX(0,IF((AM$6-$E$3)&lt;1,0,IFERROR(LOOKUP(2,1/(Algodão!$E7:INDEX(Algodão!$E7:$Z7,MIN(AM$6-$E$3,22))&lt;&gt;""),Algodão!$E7:INDEX(Algodão!$E7:$Z7,MIN(AM$6-$E$3,22))),0))-IF($G$2,0,IF((AM$6-$G$3)&lt;1,0,IFERROR(LOOKUP(2,1/(Algodão!$E7:INDEX(Algodão!$E7:$Z7,MIN(AM$6-$G$3,22))&lt;&gt;""),Algodão!$E7:INDEX(Algodão!$E7:$Z7,MIN(AM$6-$G$3,22))),0)))))</f>
        <v>0</v>
      </c>
      <c r="AN9" s="27" t="n">
        <f aca="false">IF(COUNT(Algodão!$E7:$Z7)=0,0,MAX(0,IF((AN$6-$E$3)&lt;1,0,IFERROR(LOOKUP(2,1/(Algodão!$E7:INDEX(Algodão!$E7:$Z7,MIN(AN$6-$E$3,22))&lt;&gt;""),Algodão!$E7:INDEX(Algodão!$E7:$Z7,MIN(AN$6-$E$3,22))),0))-IF($G$2,0,IF((AN$6-$G$3)&lt;1,0,IFERROR(LOOKUP(2,1/(Algodão!$E7:INDEX(Algodão!$E7:$Z7,MIN(AN$6-$G$3,22))&lt;&gt;""),Algodão!$E7:INDEX(Algodão!$E7:$Z7,MIN(AN$6-$G$3,22))),0)))))</f>
        <v>0</v>
      </c>
      <c r="AO9" s="27" t="n">
        <f aca="false">IF(COUNT(Algodão!$E7:$Z7)=0,0,MAX(0,IF((AO$6-$E$3)&lt;1,0,IFERROR(LOOKUP(2,1/(Algodão!$E7:INDEX(Algodão!$E7:$Z7,MIN(AO$6-$E$3,22))&lt;&gt;""),Algodão!$E7:INDEX(Algodão!$E7:$Z7,MIN(AO$6-$E$3,22))),0))-IF($G$2,0,IF((AO$6-$G$3)&lt;1,0,IFERROR(LOOKUP(2,1/(Algodão!$E7:INDEX(Algodão!$E7:$Z7,MIN(AO$6-$G$3,22))&lt;&gt;""),Algodão!$E7:INDEX(Algodão!$E7:$Z7,MIN(AO$6-$G$3,22))),0)))))</f>
        <v>0</v>
      </c>
      <c r="AP9" s="27" t="n">
        <f aca="false">IF(COUNT(Algodão!$E7:$Z7)=0,0,MAX(0,IF((AP$6-$E$3)&lt;1,0,IFERROR(LOOKUP(2,1/(Algodão!$E7:INDEX(Algodão!$E7:$Z7,MIN(AP$6-$E$3,22))&lt;&gt;""),Algodão!$E7:INDEX(Algodão!$E7:$Z7,MIN(AP$6-$E$3,22))),0))-IF($G$2,0,IF((AP$6-$G$3)&lt;1,0,IFERROR(LOOKUP(2,1/(Algodão!$E7:INDEX(Algodão!$E7:$Z7,MIN(AP$6-$G$3,22))&lt;&gt;""),Algodão!$E7:INDEX(Algodão!$E7:$Z7,MIN(AP$6-$G$3,22))),0)))))</f>
        <v>0</v>
      </c>
      <c r="AQ9" s="27" t="n">
        <f aca="false">IF(COUNT(Algodão!$E7:$Z7)=0,0,MAX(0,IF((AQ$6-$E$3)&lt;1,0,IFERROR(LOOKUP(2,1/(Algodão!$E7:INDEX(Algodão!$E7:$Z7,MIN(AQ$6-$E$3,22))&lt;&gt;""),Algodão!$E7:INDEX(Algodão!$E7:$Z7,MIN(AQ$6-$E$3,22))),0))-IF($G$2,0,IF((AQ$6-$G$3)&lt;1,0,IFERROR(LOOKUP(2,1/(Algodão!$E7:INDEX(Algodão!$E7:$Z7,MIN(AQ$6-$G$3,22))&lt;&gt;""),Algodão!$E7:INDEX(Algodão!$E7:$Z7,MIN(AQ$6-$G$3,22))),0)))))</f>
        <v>0</v>
      </c>
      <c r="AR9" s="27" t="n">
        <f aca="false">IF(COUNT(Algodão!$E7:$Z7)=0,0,MAX(0,IF((AR$6-$E$3)&lt;1,0,IFERROR(LOOKUP(2,1/(Algodão!$E7:INDEX(Algodão!$E7:$Z7,MIN(AR$6-$E$3,22))&lt;&gt;""),Algodão!$E7:INDEX(Algodão!$E7:$Z7,MIN(AR$6-$E$3,22))),0))-IF($G$2,0,IF((AR$6-$G$3)&lt;1,0,IFERROR(LOOKUP(2,1/(Algodão!$E7:INDEX(Algodão!$E7:$Z7,MIN(AR$6-$G$3,22))&lt;&gt;""),Algodão!$E7:INDEX(Algodão!$E7:$Z7,MIN(AR$6-$G$3,22))),0)))))</f>
        <v>0</v>
      </c>
      <c r="AS9" s="27" t="n">
        <f aca="false">IF(COUNT(Algodão!$E7:$Z7)=0,0,MAX(0,IF((AS$6-$E$3)&lt;1,0,IFERROR(LOOKUP(2,1/(Algodão!$E7:INDEX(Algodão!$E7:$Z7,MIN(AS$6-$E$3,22))&lt;&gt;""),Algodão!$E7:INDEX(Algodão!$E7:$Z7,MIN(AS$6-$E$3,22))),0))-IF($G$2,0,IF((AS$6-$G$3)&lt;1,0,IFERROR(LOOKUP(2,1/(Algodão!$E7:INDEX(Algodão!$E7:$Z7,MIN(AS$6-$G$3,22))&lt;&gt;""),Algodão!$E7:INDEX(Algodão!$E7:$Z7,MIN(AS$6-$G$3,22))),0)))))</f>
        <v>0</v>
      </c>
      <c r="AT9" s="27" t="n">
        <f aca="false">IF(COUNT(Algodão!$E7:$Z7)=0,0,MAX(0,IF((AT$6-$E$3)&lt;1,0,IFERROR(LOOKUP(2,1/(Algodão!$E7:INDEX(Algodão!$E7:$Z7,MIN(AT$6-$E$3,22))&lt;&gt;""),Algodão!$E7:INDEX(Algodão!$E7:$Z7,MIN(AT$6-$E$3,22))),0))-IF($G$2,0,IF((AT$6-$G$3)&lt;1,0,IFERROR(LOOKUP(2,1/(Algodão!$E7:INDEX(Algodão!$E7:$Z7,MIN(AT$6-$G$3,22))&lt;&gt;""),Algodão!$E7:INDEX(Algodão!$E7:$Z7,MIN(AT$6-$G$3,22))),0)))))</f>
        <v>0</v>
      </c>
      <c r="AU9" s="27" t="n">
        <f aca="false">IF(COUNT(Algodão!$E7:$Z7)=0,0,MAX(0,IF((AU$6-$E$3)&lt;1,0,IFERROR(LOOKUP(2,1/(Algodão!$E7:INDEX(Algodão!$E7:$Z7,MIN(AU$6-$E$3,22))&lt;&gt;""),Algodão!$E7:INDEX(Algodão!$E7:$Z7,MIN(AU$6-$E$3,22))),0))-IF($G$2,0,IF((AU$6-$G$3)&lt;1,0,IFERROR(LOOKUP(2,1/(Algodão!$E7:INDEX(Algodão!$E7:$Z7,MIN(AU$6-$G$3,22))&lt;&gt;""),Algodão!$E7:INDEX(Algodão!$E7:$Z7,MIN(AU$6-$G$3,22))),0)))))</f>
        <v>0</v>
      </c>
      <c r="AV9" s="27" t="n">
        <f aca="false">IF(COUNT(Algodão!$E7:$Z7)=0,0,MAX(0,IF((AV$6-$E$3)&lt;1,0,IFERROR(LOOKUP(2,1/(Algodão!$E7:INDEX(Algodão!$E7:$Z7,MIN(AV$6-$E$3,22))&lt;&gt;""),Algodão!$E7:INDEX(Algodão!$E7:$Z7,MIN(AV$6-$E$3,22))),0))-IF($G$2,0,IF((AV$6-$G$3)&lt;1,0,IFERROR(LOOKUP(2,1/(Algodão!$E7:INDEX(Algodão!$E7:$Z7,MIN(AV$6-$G$3,22))&lt;&gt;""),Algodão!$E7:INDEX(Algodão!$E7:$Z7,MIN(AV$6-$G$3,22))),0)))))</f>
        <v>0</v>
      </c>
      <c r="AW9" s="27" t="n">
        <f aca="false">IF(COUNT(Algodão!$E7:$Z7)=0,0,MAX(0,IF((AW$6-$E$3)&lt;1,0,IFERROR(LOOKUP(2,1/(Algodão!$E7:INDEX(Algodão!$E7:$Z7,MIN(AW$6-$E$3,22))&lt;&gt;""),Algodão!$E7:INDEX(Algodão!$E7:$Z7,MIN(AW$6-$E$3,22))),0))-IF($G$2,0,IF((AW$6-$G$3)&lt;1,0,IFERROR(LOOKUP(2,1/(Algodão!$E7:INDEX(Algodão!$E7:$Z7,MIN(AW$6-$G$3,22))&lt;&gt;""),Algodão!$E7:INDEX(Algodão!$E7:$Z7,MIN(AW$6-$G$3,22))),0)))))</f>
        <v>0</v>
      </c>
      <c r="AX9" s="27" t="n">
        <f aca="false">IF(COUNT(Algodão!$E7:$Z7)=0,0,MAX(0,IF((AX$6-$E$3)&lt;1,0,IFERROR(LOOKUP(2,1/(Algodão!$E7:INDEX(Algodão!$E7:$Z7,MIN(AX$6-$E$3,22))&lt;&gt;""),Algodão!$E7:INDEX(Algodão!$E7:$Z7,MIN(AX$6-$E$3,22))),0))-IF($G$2,0,IF((AX$6-$G$3)&lt;1,0,IFERROR(LOOKUP(2,1/(Algodão!$E7:INDEX(Algodão!$E7:$Z7,MIN(AX$6-$G$3,22))&lt;&gt;""),Algodão!$E7:INDEX(Algodão!$E7:$Z7,MIN(AX$6-$G$3,22))),0)))))</f>
        <v>0</v>
      </c>
      <c r="AY9" s="27" t="n">
        <f aca="false">IF(COUNT(Algodão!$E7:$Z7)=0,0,MAX(0,IF((AY$6-$E$3)&lt;1,0,IFERROR(LOOKUP(2,1/(Algodão!$E7:INDEX(Algodão!$E7:$Z7,MIN(AY$6-$E$3,22))&lt;&gt;""),Algodão!$E7:INDEX(Algodão!$E7:$Z7,MIN(AY$6-$E$3,22))),0))-IF($G$2,0,IF((AY$6-$G$3)&lt;1,0,IFERROR(LOOKUP(2,1/(Algodão!$E7:INDEX(Algodão!$E7:$Z7,MIN(AY$6-$G$3,22))&lt;&gt;""),Algodão!$E7:INDEX(Algodão!$E7:$Z7,MIN(AY$6-$G$3,22))),0)))))</f>
        <v>0</v>
      </c>
      <c r="AZ9" s="27" t="n">
        <f aca="false">IF(COUNT(Algodão!$E7:$Z7)=0,0,MAX(0,IF((AZ$6-$E$3)&lt;1,0,IFERROR(LOOKUP(2,1/(Algodão!$E7:INDEX(Algodão!$E7:$Z7,MIN(AZ$6-$E$3,22))&lt;&gt;""),Algodão!$E7:INDEX(Algodão!$E7:$Z7,MIN(AZ$6-$E$3,22))),0))-IF($G$2,0,IF((AZ$6-$G$3)&lt;1,0,IFERROR(LOOKUP(2,1/(Algodão!$E7:INDEX(Algodão!$E7:$Z7,MIN(AZ$6-$G$3,22))&lt;&gt;""),Algodão!$E7:INDEX(Algodão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IF(COUNT(Algodão!$E8:$Z8)&gt;0,N(Algodão!$D8),0)</f>
        <v>0</v>
      </c>
      <c r="E10" s="27" t="n">
        <f aca="false">IF(COUNT(Algodão!$E8:$Z8)=0,0,MAX(0,IF((E$6-$E$3)&lt;1,0,IFERROR(LOOKUP(2,1/(Algodão!$E8:INDEX(Algodão!$E8:$Z8,MIN(E$6-$E$3,22))&lt;&gt;""),Algodão!$E8:INDEX(Algodão!$E8:$Z8,MIN(E$6-$E$3,22))),0))-IF($G$2,0,IF((E$6-$G$3)&lt;1,0,IFERROR(LOOKUP(2,1/(Algodão!$E8:INDEX(Algodão!$E8:$Z8,MIN(E$6-$G$3,22))&lt;&gt;""),Algodão!$E8:INDEX(Algodão!$E8:$Z8,MIN(E$6-$G$3,22))),0)))))</f>
        <v>0</v>
      </c>
      <c r="F10" s="27" t="n">
        <f aca="false">IF(COUNT(Algodão!$E8:$Z8)=0,0,MAX(0,IF((F$6-$E$3)&lt;1,0,IFERROR(LOOKUP(2,1/(Algodão!$E8:INDEX(Algodão!$E8:$Z8,MIN(F$6-$E$3,22))&lt;&gt;""),Algodão!$E8:INDEX(Algodão!$E8:$Z8,MIN(F$6-$E$3,22))),0))-IF($G$2,0,IF((F$6-$G$3)&lt;1,0,IFERROR(LOOKUP(2,1/(Algodão!$E8:INDEX(Algodão!$E8:$Z8,MIN(F$6-$G$3,22))&lt;&gt;""),Algodão!$E8:INDEX(Algodão!$E8:$Z8,MIN(F$6-$G$3,22))),0)))))</f>
        <v>0</v>
      </c>
      <c r="G10" s="27" t="n">
        <f aca="false">IF(COUNT(Algodão!$E8:$Z8)=0,0,MAX(0,IF((G$6-$E$3)&lt;1,0,IFERROR(LOOKUP(2,1/(Algodão!$E8:INDEX(Algodão!$E8:$Z8,MIN(G$6-$E$3,22))&lt;&gt;""),Algodão!$E8:INDEX(Algodão!$E8:$Z8,MIN(G$6-$E$3,22))),0))-IF($G$2,0,IF((G$6-$G$3)&lt;1,0,IFERROR(LOOKUP(2,1/(Algodão!$E8:INDEX(Algodão!$E8:$Z8,MIN(G$6-$G$3,22))&lt;&gt;""),Algodão!$E8:INDEX(Algodão!$E8:$Z8,MIN(G$6-$G$3,22))),0)))))</f>
        <v>0</v>
      </c>
      <c r="H10" s="27" t="n">
        <f aca="false">IF(COUNT(Algodão!$E8:$Z8)=0,0,MAX(0,IF((H$6-$E$3)&lt;1,0,IFERROR(LOOKUP(2,1/(Algodão!$E8:INDEX(Algodão!$E8:$Z8,MIN(H$6-$E$3,22))&lt;&gt;""),Algodão!$E8:INDEX(Algodão!$E8:$Z8,MIN(H$6-$E$3,22))),0))-IF($G$2,0,IF((H$6-$G$3)&lt;1,0,IFERROR(LOOKUP(2,1/(Algodão!$E8:INDEX(Algodão!$E8:$Z8,MIN(H$6-$G$3,22))&lt;&gt;""),Algodão!$E8:INDEX(Algodão!$E8:$Z8,MIN(H$6-$G$3,22))),0)))))</f>
        <v>0</v>
      </c>
      <c r="I10" s="27" t="n">
        <f aca="false">IF(COUNT(Algodão!$E8:$Z8)=0,0,MAX(0,IF((I$6-$E$3)&lt;1,0,IFERROR(LOOKUP(2,1/(Algodão!$E8:INDEX(Algodão!$E8:$Z8,MIN(I$6-$E$3,22))&lt;&gt;""),Algodão!$E8:INDEX(Algodão!$E8:$Z8,MIN(I$6-$E$3,22))),0))-IF($G$2,0,IF((I$6-$G$3)&lt;1,0,IFERROR(LOOKUP(2,1/(Algodão!$E8:INDEX(Algodão!$E8:$Z8,MIN(I$6-$G$3,22))&lt;&gt;""),Algodão!$E8:INDEX(Algodão!$E8:$Z8,MIN(I$6-$G$3,22))),0)))))</f>
        <v>0</v>
      </c>
      <c r="J10" s="27" t="n">
        <f aca="false">IF(COUNT(Algodão!$E8:$Z8)=0,0,MAX(0,IF((J$6-$E$3)&lt;1,0,IFERROR(LOOKUP(2,1/(Algodão!$E8:INDEX(Algodão!$E8:$Z8,MIN(J$6-$E$3,22))&lt;&gt;""),Algodão!$E8:INDEX(Algodão!$E8:$Z8,MIN(J$6-$E$3,22))),0))-IF($G$2,0,IF((J$6-$G$3)&lt;1,0,IFERROR(LOOKUP(2,1/(Algodão!$E8:INDEX(Algodão!$E8:$Z8,MIN(J$6-$G$3,22))&lt;&gt;""),Algodão!$E8:INDEX(Algodão!$E8:$Z8,MIN(J$6-$G$3,22))),0)))))</f>
        <v>0</v>
      </c>
      <c r="K10" s="27" t="n">
        <f aca="false">IF(COUNT(Algodão!$E8:$Z8)=0,0,MAX(0,IF((K$6-$E$3)&lt;1,0,IFERROR(LOOKUP(2,1/(Algodão!$E8:INDEX(Algodão!$E8:$Z8,MIN(K$6-$E$3,22))&lt;&gt;""),Algodão!$E8:INDEX(Algodão!$E8:$Z8,MIN(K$6-$E$3,22))),0))-IF($G$2,0,IF((K$6-$G$3)&lt;1,0,IFERROR(LOOKUP(2,1/(Algodão!$E8:INDEX(Algodão!$E8:$Z8,MIN(K$6-$G$3,22))&lt;&gt;""),Algodão!$E8:INDEX(Algodão!$E8:$Z8,MIN(K$6-$G$3,22))),0)))))</f>
        <v>0</v>
      </c>
      <c r="L10" s="27" t="n">
        <f aca="false">IF(COUNT(Algodão!$E8:$Z8)=0,0,MAX(0,IF((L$6-$E$3)&lt;1,0,IFERROR(LOOKUP(2,1/(Algodão!$E8:INDEX(Algodão!$E8:$Z8,MIN(L$6-$E$3,22))&lt;&gt;""),Algodão!$E8:INDEX(Algodão!$E8:$Z8,MIN(L$6-$E$3,22))),0))-IF($G$2,0,IF((L$6-$G$3)&lt;1,0,IFERROR(LOOKUP(2,1/(Algodão!$E8:INDEX(Algodão!$E8:$Z8,MIN(L$6-$G$3,22))&lt;&gt;""),Algodão!$E8:INDEX(Algodão!$E8:$Z8,MIN(L$6-$G$3,22))),0)))))</f>
        <v>0</v>
      </c>
      <c r="M10" s="27" t="n">
        <f aca="false">IF(COUNT(Algodão!$E8:$Z8)=0,0,MAX(0,IF((M$6-$E$3)&lt;1,0,IFERROR(LOOKUP(2,1/(Algodão!$E8:INDEX(Algodão!$E8:$Z8,MIN(M$6-$E$3,22))&lt;&gt;""),Algodão!$E8:INDEX(Algodão!$E8:$Z8,MIN(M$6-$E$3,22))),0))-IF($G$2,0,IF((M$6-$G$3)&lt;1,0,IFERROR(LOOKUP(2,1/(Algodão!$E8:INDEX(Algodão!$E8:$Z8,MIN(M$6-$G$3,22))&lt;&gt;""),Algodão!$E8:INDEX(Algodão!$E8:$Z8,MIN(M$6-$G$3,22))),0)))))</f>
        <v>0</v>
      </c>
      <c r="N10" s="27" t="n">
        <f aca="false">IF(COUNT(Algodão!$E8:$Z8)=0,0,MAX(0,IF((N$6-$E$3)&lt;1,0,IFERROR(LOOKUP(2,1/(Algodão!$E8:INDEX(Algodão!$E8:$Z8,MIN(N$6-$E$3,22))&lt;&gt;""),Algodão!$E8:INDEX(Algodão!$E8:$Z8,MIN(N$6-$E$3,22))),0))-IF($G$2,0,IF((N$6-$G$3)&lt;1,0,IFERROR(LOOKUP(2,1/(Algodão!$E8:INDEX(Algodão!$E8:$Z8,MIN(N$6-$G$3,22))&lt;&gt;""),Algodão!$E8:INDEX(Algodão!$E8:$Z8,MIN(N$6-$G$3,22))),0)))))</f>
        <v>0</v>
      </c>
      <c r="O10" s="27" t="n">
        <f aca="false">IF(COUNT(Algodão!$E8:$Z8)=0,0,MAX(0,IF((O$6-$E$3)&lt;1,0,IFERROR(LOOKUP(2,1/(Algodão!$E8:INDEX(Algodão!$E8:$Z8,MIN(O$6-$E$3,22))&lt;&gt;""),Algodão!$E8:INDEX(Algodão!$E8:$Z8,MIN(O$6-$E$3,22))),0))-IF($G$2,0,IF((O$6-$G$3)&lt;1,0,IFERROR(LOOKUP(2,1/(Algodão!$E8:INDEX(Algodão!$E8:$Z8,MIN(O$6-$G$3,22))&lt;&gt;""),Algodão!$E8:INDEX(Algodão!$E8:$Z8,MIN(O$6-$G$3,22))),0)))))</f>
        <v>0</v>
      </c>
      <c r="P10" s="27" t="n">
        <f aca="false">IF(COUNT(Algodão!$E8:$Z8)=0,0,MAX(0,IF((P$6-$E$3)&lt;1,0,IFERROR(LOOKUP(2,1/(Algodão!$E8:INDEX(Algodão!$E8:$Z8,MIN(P$6-$E$3,22))&lt;&gt;""),Algodão!$E8:INDEX(Algodão!$E8:$Z8,MIN(P$6-$E$3,22))),0))-IF($G$2,0,IF((P$6-$G$3)&lt;1,0,IFERROR(LOOKUP(2,1/(Algodão!$E8:INDEX(Algodão!$E8:$Z8,MIN(P$6-$G$3,22))&lt;&gt;""),Algodão!$E8:INDEX(Algodão!$E8:$Z8,MIN(P$6-$G$3,22))),0)))))</f>
        <v>0</v>
      </c>
      <c r="Q10" s="27" t="n">
        <f aca="false">IF(COUNT(Algodão!$E8:$Z8)=0,0,MAX(0,IF((Q$6-$E$3)&lt;1,0,IFERROR(LOOKUP(2,1/(Algodão!$E8:INDEX(Algodão!$E8:$Z8,MIN(Q$6-$E$3,22))&lt;&gt;""),Algodão!$E8:INDEX(Algodão!$E8:$Z8,MIN(Q$6-$E$3,22))),0))-IF($G$2,0,IF((Q$6-$G$3)&lt;1,0,IFERROR(LOOKUP(2,1/(Algodão!$E8:INDEX(Algodão!$E8:$Z8,MIN(Q$6-$G$3,22))&lt;&gt;""),Algodão!$E8:INDEX(Algodão!$E8:$Z8,MIN(Q$6-$G$3,22))),0)))))</f>
        <v>0</v>
      </c>
      <c r="R10" s="27" t="n">
        <f aca="false">IF(COUNT(Algodão!$E8:$Z8)=0,0,MAX(0,IF((R$6-$E$3)&lt;1,0,IFERROR(LOOKUP(2,1/(Algodão!$E8:INDEX(Algodão!$E8:$Z8,MIN(R$6-$E$3,22))&lt;&gt;""),Algodão!$E8:INDEX(Algodão!$E8:$Z8,MIN(R$6-$E$3,22))),0))-IF($G$2,0,IF((R$6-$G$3)&lt;1,0,IFERROR(LOOKUP(2,1/(Algodão!$E8:INDEX(Algodão!$E8:$Z8,MIN(R$6-$G$3,22))&lt;&gt;""),Algodão!$E8:INDEX(Algodão!$E8:$Z8,MIN(R$6-$G$3,22))),0)))))</f>
        <v>0</v>
      </c>
      <c r="S10" s="27" t="n">
        <f aca="false">IF(COUNT(Algodão!$E8:$Z8)=0,0,MAX(0,IF((S$6-$E$3)&lt;1,0,IFERROR(LOOKUP(2,1/(Algodão!$E8:INDEX(Algodão!$E8:$Z8,MIN(S$6-$E$3,22))&lt;&gt;""),Algodão!$E8:INDEX(Algodão!$E8:$Z8,MIN(S$6-$E$3,22))),0))-IF($G$2,0,IF((S$6-$G$3)&lt;1,0,IFERROR(LOOKUP(2,1/(Algodão!$E8:INDEX(Algodão!$E8:$Z8,MIN(S$6-$G$3,22))&lt;&gt;""),Algodão!$E8:INDEX(Algodão!$E8:$Z8,MIN(S$6-$G$3,22))),0)))))</f>
        <v>0</v>
      </c>
      <c r="T10" s="27" t="n">
        <f aca="false">IF(COUNT(Algodão!$E8:$Z8)=0,0,MAX(0,IF((T$6-$E$3)&lt;1,0,IFERROR(LOOKUP(2,1/(Algodão!$E8:INDEX(Algodão!$E8:$Z8,MIN(T$6-$E$3,22))&lt;&gt;""),Algodão!$E8:INDEX(Algodão!$E8:$Z8,MIN(T$6-$E$3,22))),0))-IF($G$2,0,IF((T$6-$G$3)&lt;1,0,IFERROR(LOOKUP(2,1/(Algodão!$E8:INDEX(Algodão!$E8:$Z8,MIN(T$6-$G$3,22))&lt;&gt;""),Algodão!$E8:INDEX(Algodão!$E8:$Z8,MIN(T$6-$G$3,22))),0)))))</f>
        <v>0</v>
      </c>
      <c r="U10" s="27" t="n">
        <f aca="false">IF(COUNT(Algodão!$E8:$Z8)=0,0,MAX(0,IF((U$6-$E$3)&lt;1,0,IFERROR(LOOKUP(2,1/(Algodão!$E8:INDEX(Algodão!$E8:$Z8,MIN(U$6-$E$3,22))&lt;&gt;""),Algodão!$E8:INDEX(Algodão!$E8:$Z8,MIN(U$6-$E$3,22))),0))-IF($G$2,0,IF((U$6-$G$3)&lt;1,0,IFERROR(LOOKUP(2,1/(Algodão!$E8:INDEX(Algodão!$E8:$Z8,MIN(U$6-$G$3,22))&lt;&gt;""),Algodão!$E8:INDEX(Algodão!$E8:$Z8,MIN(U$6-$G$3,22))),0)))))</f>
        <v>0</v>
      </c>
      <c r="V10" s="27" t="n">
        <f aca="false">IF(COUNT(Algodão!$E8:$Z8)=0,0,MAX(0,IF((V$6-$E$3)&lt;1,0,IFERROR(LOOKUP(2,1/(Algodão!$E8:INDEX(Algodão!$E8:$Z8,MIN(V$6-$E$3,22))&lt;&gt;""),Algodão!$E8:INDEX(Algodão!$E8:$Z8,MIN(V$6-$E$3,22))),0))-IF($G$2,0,IF((V$6-$G$3)&lt;1,0,IFERROR(LOOKUP(2,1/(Algodão!$E8:INDEX(Algodão!$E8:$Z8,MIN(V$6-$G$3,22))&lt;&gt;""),Algodão!$E8:INDEX(Algodão!$E8:$Z8,MIN(V$6-$G$3,22))),0)))))</f>
        <v>0</v>
      </c>
      <c r="W10" s="27" t="n">
        <f aca="false">IF(COUNT(Algodão!$E8:$Z8)=0,0,MAX(0,IF((W$6-$E$3)&lt;1,0,IFERROR(LOOKUP(2,1/(Algodão!$E8:INDEX(Algodão!$E8:$Z8,MIN(W$6-$E$3,22))&lt;&gt;""),Algodão!$E8:INDEX(Algodão!$E8:$Z8,MIN(W$6-$E$3,22))),0))-IF($G$2,0,IF((W$6-$G$3)&lt;1,0,IFERROR(LOOKUP(2,1/(Algodão!$E8:INDEX(Algodão!$E8:$Z8,MIN(W$6-$G$3,22))&lt;&gt;""),Algodão!$E8:INDEX(Algodão!$E8:$Z8,MIN(W$6-$G$3,22))),0)))))</f>
        <v>0</v>
      </c>
      <c r="X10" s="27" t="n">
        <f aca="false">IF(COUNT(Algodão!$E8:$Z8)=0,0,MAX(0,IF((X$6-$E$3)&lt;1,0,IFERROR(LOOKUP(2,1/(Algodão!$E8:INDEX(Algodão!$E8:$Z8,MIN(X$6-$E$3,22))&lt;&gt;""),Algodão!$E8:INDEX(Algodão!$E8:$Z8,MIN(X$6-$E$3,22))),0))-IF($G$2,0,IF((X$6-$G$3)&lt;1,0,IFERROR(LOOKUP(2,1/(Algodão!$E8:INDEX(Algodão!$E8:$Z8,MIN(X$6-$G$3,22))&lt;&gt;""),Algodão!$E8:INDEX(Algodão!$E8:$Z8,MIN(X$6-$G$3,22))),0)))))</f>
        <v>0</v>
      </c>
      <c r="Y10" s="27" t="n">
        <f aca="false">IF(COUNT(Algodão!$E8:$Z8)=0,0,MAX(0,IF((Y$6-$E$3)&lt;1,0,IFERROR(LOOKUP(2,1/(Algodão!$E8:INDEX(Algodão!$E8:$Z8,MIN(Y$6-$E$3,22))&lt;&gt;""),Algodão!$E8:INDEX(Algodão!$E8:$Z8,MIN(Y$6-$E$3,22))),0))-IF($G$2,0,IF((Y$6-$G$3)&lt;1,0,IFERROR(LOOKUP(2,1/(Algodão!$E8:INDEX(Algodão!$E8:$Z8,MIN(Y$6-$G$3,22))&lt;&gt;""),Algodão!$E8:INDEX(Algodão!$E8:$Z8,MIN(Y$6-$G$3,22))),0)))))</f>
        <v>0</v>
      </c>
      <c r="Z10" s="27" t="n">
        <f aca="false">IF(COUNT(Algodão!$E8:$Z8)=0,0,MAX(0,IF((Z$6-$E$3)&lt;1,0,IFERROR(LOOKUP(2,1/(Algodão!$E8:INDEX(Algodão!$E8:$Z8,MIN(Z$6-$E$3,22))&lt;&gt;""),Algodão!$E8:INDEX(Algodão!$E8:$Z8,MIN(Z$6-$E$3,22))),0))-IF($G$2,0,IF((Z$6-$G$3)&lt;1,0,IFERROR(LOOKUP(2,1/(Algodão!$E8:INDEX(Algodão!$E8:$Z8,MIN(Z$6-$G$3,22))&lt;&gt;""),Algodão!$E8:INDEX(Algodão!$E8:$Z8,MIN(Z$6-$G$3,22))),0)))))</f>
        <v>0</v>
      </c>
      <c r="AA10" s="27" t="n">
        <f aca="false">IF(COUNT(Algodão!$E8:$Z8)=0,0,MAX(0,IF((AA$6-$E$3)&lt;1,0,IFERROR(LOOKUP(2,1/(Algodão!$E8:INDEX(Algodão!$E8:$Z8,MIN(AA$6-$E$3,22))&lt;&gt;""),Algodão!$E8:INDEX(Algodão!$E8:$Z8,MIN(AA$6-$E$3,22))),0))-IF($G$2,0,IF((AA$6-$G$3)&lt;1,0,IFERROR(LOOKUP(2,1/(Algodão!$E8:INDEX(Algodão!$E8:$Z8,MIN(AA$6-$G$3,22))&lt;&gt;""),Algodão!$E8:INDEX(Algodão!$E8:$Z8,MIN(AA$6-$G$3,22))),0)))))</f>
        <v>0</v>
      </c>
      <c r="AB10" s="27" t="n">
        <f aca="false">IF(COUNT(Algodão!$E8:$Z8)=0,0,MAX(0,IF((AB$6-$E$3)&lt;1,0,IFERROR(LOOKUP(2,1/(Algodão!$E8:INDEX(Algodão!$E8:$Z8,MIN(AB$6-$E$3,22))&lt;&gt;""),Algodão!$E8:INDEX(Algodão!$E8:$Z8,MIN(AB$6-$E$3,22))),0))-IF($G$2,0,IF((AB$6-$G$3)&lt;1,0,IFERROR(LOOKUP(2,1/(Algodão!$E8:INDEX(Algodão!$E8:$Z8,MIN(AB$6-$G$3,22))&lt;&gt;""),Algodão!$E8:INDEX(Algodão!$E8:$Z8,MIN(AB$6-$G$3,22))),0)))))</f>
        <v>0</v>
      </c>
      <c r="AC10" s="27" t="n">
        <f aca="false">IF(COUNT(Algodão!$E8:$Z8)=0,0,MAX(0,IF((AC$6-$E$3)&lt;1,0,IFERROR(LOOKUP(2,1/(Algodão!$E8:INDEX(Algodão!$E8:$Z8,MIN(AC$6-$E$3,22))&lt;&gt;""),Algodão!$E8:INDEX(Algodão!$E8:$Z8,MIN(AC$6-$E$3,22))),0))-IF($G$2,0,IF((AC$6-$G$3)&lt;1,0,IFERROR(LOOKUP(2,1/(Algodão!$E8:INDEX(Algodão!$E8:$Z8,MIN(AC$6-$G$3,22))&lt;&gt;""),Algodão!$E8:INDEX(Algodão!$E8:$Z8,MIN(AC$6-$G$3,22))),0)))))</f>
        <v>0</v>
      </c>
      <c r="AD10" s="27" t="n">
        <f aca="false">IF(COUNT(Algodão!$E8:$Z8)=0,0,MAX(0,IF((AD$6-$E$3)&lt;1,0,IFERROR(LOOKUP(2,1/(Algodão!$E8:INDEX(Algodão!$E8:$Z8,MIN(AD$6-$E$3,22))&lt;&gt;""),Algodão!$E8:INDEX(Algodão!$E8:$Z8,MIN(AD$6-$E$3,22))),0))-IF($G$2,0,IF((AD$6-$G$3)&lt;1,0,IFERROR(LOOKUP(2,1/(Algodão!$E8:INDEX(Algodão!$E8:$Z8,MIN(AD$6-$G$3,22))&lt;&gt;""),Algodão!$E8:INDEX(Algodão!$E8:$Z8,MIN(AD$6-$G$3,22))),0)))))</f>
        <v>0</v>
      </c>
      <c r="AE10" s="27" t="n">
        <f aca="false">IF(COUNT(Algodão!$E8:$Z8)=0,0,MAX(0,IF((AE$6-$E$3)&lt;1,0,IFERROR(LOOKUP(2,1/(Algodão!$E8:INDEX(Algodão!$E8:$Z8,MIN(AE$6-$E$3,22))&lt;&gt;""),Algodão!$E8:INDEX(Algodão!$E8:$Z8,MIN(AE$6-$E$3,22))),0))-IF($G$2,0,IF((AE$6-$G$3)&lt;1,0,IFERROR(LOOKUP(2,1/(Algodão!$E8:INDEX(Algodão!$E8:$Z8,MIN(AE$6-$G$3,22))&lt;&gt;""),Algodão!$E8:INDEX(Algodão!$E8:$Z8,MIN(AE$6-$G$3,22))),0)))))</f>
        <v>0</v>
      </c>
      <c r="AF10" s="27" t="n">
        <f aca="false">IF(COUNT(Algodão!$E8:$Z8)=0,0,MAX(0,IF((AF$6-$E$3)&lt;1,0,IFERROR(LOOKUP(2,1/(Algodão!$E8:INDEX(Algodão!$E8:$Z8,MIN(AF$6-$E$3,22))&lt;&gt;""),Algodão!$E8:INDEX(Algodão!$E8:$Z8,MIN(AF$6-$E$3,22))),0))-IF($G$2,0,IF((AF$6-$G$3)&lt;1,0,IFERROR(LOOKUP(2,1/(Algodão!$E8:INDEX(Algodão!$E8:$Z8,MIN(AF$6-$G$3,22))&lt;&gt;""),Algodão!$E8:INDEX(Algodão!$E8:$Z8,MIN(AF$6-$G$3,22))),0)))))</f>
        <v>0</v>
      </c>
      <c r="AG10" s="27" t="n">
        <f aca="false">IF(COUNT(Algodão!$E8:$Z8)=0,0,MAX(0,IF((AG$6-$E$3)&lt;1,0,IFERROR(LOOKUP(2,1/(Algodão!$E8:INDEX(Algodão!$E8:$Z8,MIN(AG$6-$E$3,22))&lt;&gt;""),Algodão!$E8:INDEX(Algodão!$E8:$Z8,MIN(AG$6-$E$3,22))),0))-IF($G$2,0,IF((AG$6-$G$3)&lt;1,0,IFERROR(LOOKUP(2,1/(Algodão!$E8:INDEX(Algodão!$E8:$Z8,MIN(AG$6-$G$3,22))&lt;&gt;""),Algodão!$E8:INDEX(Algodão!$E8:$Z8,MIN(AG$6-$G$3,22))),0)))))</f>
        <v>0</v>
      </c>
      <c r="AH10" s="27" t="n">
        <f aca="false">IF(COUNT(Algodão!$E8:$Z8)=0,0,MAX(0,IF((AH$6-$E$3)&lt;1,0,IFERROR(LOOKUP(2,1/(Algodão!$E8:INDEX(Algodão!$E8:$Z8,MIN(AH$6-$E$3,22))&lt;&gt;""),Algodão!$E8:INDEX(Algodão!$E8:$Z8,MIN(AH$6-$E$3,22))),0))-IF($G$2,0,IF((AH$6-$G$3)&lt;1,0,IFERROR(LOOKUP(2,1/(Algodão!$E8:INDEX(Algodão!$E8:$Z8,MIN(AH$6-$G$3,22))&lt;&gt;""),Algodão!$E8:INDEX(Algodão!$E8:$Z8,MIN(AH$6-$G$3,22))),0)))))</f>
        <v>0</v>
      </c>
      <c r="AI10" s="27" t="n">
        <f aca="false">IF(COUNT(Algodão!$E8:$Z8)=0,0,MAX(0,IF((AI$6-$E$3)&lt;1,0,IFERROR(LOOKUP(2,1/(Algodão!$E8:INDEX(Algodão!$E8:$Z8,MIN(AI$6-$E$3,22))&lt;&gt;""),Algodão!$E8:INDEX(Algodão!$E8:$Z8,MIN(AI$6-$E$3,22))),0))-IF($G$2,0,IF((AI$6-$G$3)&lt;1,0,IFERROR(LOOKUP(2,1/(Algodão!$E8:INDEX(Algodão!$E8:$Z8,MIN(AI$6-$G$3,22))&lt;&gt;""),Algodão!$E8:INDEX(Algodão!$E8:$Z8,MIN(AI$6-$G$3,22))),0)))))</f>
        <v>0</v>
      </c>
      <c r="AJ10" s="27" t="n">
        <f aca="false">IF(COUNT(Algodão!$E8:$Z8)=0,0,MAX(0,IF((AJ$6-$E$3)&lt;1,0,IFERROR(LOOKUP(2,1/(Algodão!$E8:INDEX(Algodão!$E8:$Z8,MIN(AJ$6-$E$3,22))&lt;&gt;""),Algodão!$E8:INDEX(Algodão!$E8:$Z8,MIN(AJ$6-$E$3,22))),0))-IF($G$2,0,IF((AJ$6-$G$3)&lt;1,0,IFERROR(LOOKUP(2,1/(Algodão!$E8:INDEX(Algodão!$E8:$Z8,MIN(AJ$6-$G$3,22))&lt;&gt;""),Algodão!$E8:INDEX(Algodão!$E8:$Z8,MIN(AJ$6-$G$3,22))),0)))))</f>
        <v>0</v>
      </c>
      <c r="AK10" s="27" t="n">
        <f aca="false">IF(COUNT(Algodão!$E8:$Z8)=0,0,MAX(0,IF((AK$6-$E$3)&lt;1,0,IFERROR(LOOKUP(2,1/(Algodão!$E8:INDEX(Algodão!$E8:$Z8,MIN(AK$6-$E$3,22))&lt;&gt;""),Algodão!$E8:INDEX(Algodão!$E8:$Z8,MIN(AK$6-$E$3,22))),0))-IF($G$2,0,IF((AK$6-$G$3)&lt;1,0,IFERROR(LOOKUP(2,1/(Algodão!$E8:INDEX(Algodão!$E8:$Z8,MIN(AK$6-$G$3,22))&lt;&gt;""),Algodão!$E8:INDEX(Algodão!$E8:$Z8,MIN(AK$6-$G$3,22))),0)))))</f>
        <v>0</v>
      </c>
      <c r="AL10" s="27" t="n">
        <f aca="false">IF(COUNT(Algodão!$E8:$Z8)=0,0,MAX(0,IF((AL$6-$E$3)&lt;1,0,IFERROR(LOOKUP(2,1/(Algodão!$E8:INDEX(Algodão!$E8:$Z8,MIN(AL$6-$E$3,22))&lt;&gt;""),Algodão!$E8:INDEX(Algodão!$E8:$Z8,MIN(AL$6-$E$3,22))),0))-IF($G$2,0,IF((AL$6-$G$3)&lt;1,0,IFERROR(LOOKUP(2,1/(Algodão!$E8:INDEX(Algodão!$E8:$Z8,MIN(AL$6-$G$3,22))&lt;&gt;""),Algodão!$E8:INDEX(Algodão!$E8:$Z8,MIN(AL$6-$G$3,22))),0)))))</f>
        <v>0</v>
      </c>
      <c r="AM10" s="27" t="n">
        <f aca="false">IF(COUNT(Algodão!$E8:$Z8)=0,0,MAX(0,IF((AM$6-$E$3)&lt;1,0,IFERROR(LOOKUP(2,1/(Algodão!$E8:INDEX(Algodão!$E8:$Z8,MIN(AM$6-$E$3,22))&lt;&gt;""),Algodão!$E8:INDEX(Algodão!$E8:$Z8,MIN(AM$6-$E$3,22))),0))-IF($G$2,0,IF((AM$6-$G$3)&lt;1,0,IFERROR(LOOKUP(2,1/(Algodão!$E8:INDEX(Algodão!$E8:$Z8,MIN(AM$6-$G$3,22))&lt;&gt;""),Algodão!$E8:INDEX(Algodão!$E8:$Z8,MIN(AM$6-$G$3,22))),0)))))</f>
        <v>0</v>
      </c>
      <c r="AN10" s="27" t="n">
        <f aca="false">IF(COUNT(Algodão!$E8:$Z8)=0,0,MAX(0,IF((AN$6-$E$3)&lt;1,0,IFERROR(LOOKUP(2,1/(Algodão!$E8:INDEX(Algodão!$E8:$Z8,MIN(AN$6-$E$3,22))&lt;&gt;""),Algodão!$E8:INDEX(Algodão!$E8:$Z8,MIN(AN$6-$E$3,22))),0))-IF($G$2,0,IF((AN$6-$G$3)&lt;1,0,IFERROR(LOOKUP(2,1/(Algodão!$E8:INDEX(Algodão!$E8:$Z8,MIN(AN$6-$G$3,22))&lt;&gt;""),Algodão!$E8:INDEX(Algodão!$E8:$Z8,MIN(AN$6-$G$3,22))),0)))))</f>
        <v>0</v>
      </c>
      <c r="AO10" s="27" t="n">
        <f aca="false">IF(COUNT(Algodão!$E8:$Z8)=0,0,MAX(0,IF((AO$6-$E$3)&lt;1,0,IFERROR(LOOKUP(2,1/(Algodão!$E8:INDEX(Algodão!$E8:$Z8,MIN(AO$6-$E$3,22))&lt;&gt;""),Algodão!$E8:INDEX(Algodão!$E8:$Z8,MIN(AO$6-$E$3,22))),0))-IF($G$2,0,IF((AO$6-$G$3)&lt;1,0,IFERROR(LOOKUP(2,1/(Algodão!$E8:INDEX(Algodão!$E8:$Z8,MIN(AO$6-$G$3,22))&lt;&gt;""),Algodão!$E8:INDEX(Algodão!$E8:$Z8,MIN(AO$6-$G$3,22))),0)))))</f>
        <v>0</v>
      </c>
      <c r="AP10" s="27" t="n">
        <f aca="false">IF(COUNT(Algodão!$E8:$Z8)=0,0,MAX(0,IF((AP$6-$E$3)&lt;1,0,IFERROR(LOOKUP(2,1/(Algodão!$E8:INDEX(Algodão!$E8:$Z8,MIN(AP$6-$E$3,22))&lt;&gt;""),Algodão!$E8:INDEX(Algodão!$E8:$Z8,MIN(AP$6-$E$3,22))),0))-IF($G$2,0,IF((AP$6-$G$3)&lt;1,0,IFERROR(LOOKUP(2,1/(Algodão!$E8:INDEX(Algodão!$E8:$Z8,MIN(AP$6-$G$3,22))&lt;&gt;""),Algodão!$E8:INDEX(Algodão!$E8:$Z8,MIN(AP$6-$G$3,22))),0)))))</f>
        <v>0</v>
      </c>
      <c r="AQ10" s="27" t="n">
        <f aca="false">IF(COUNT(Algodão!$E8:$Z8)=0,0,MAX(0,IF((AQ$6-$E$3)&lt;1,0,IFERROR(LOOKUP(2,1/(Algodão!$E8:INDEX(Algodão!$E8:$Z8,MIN(AQ$6-$E$3,22))&lt;&gt;""),Algodão!$E8:INDEX(Algodão!$E8:$Z8,MIN(AQ$6-$E$3,22))),0))-IF($G$2,0,IF((AQ$6-$G$3)&lt;1,0,IFERROR(LOOKUP(2,1/(Algodão!$E8:INDEX(Algodão!$E8:$Z8,MIN(AQ$6-$G$3,22))&lt;&gt;""),Algodão!$E8:INDEX(Algodão!$E8:$Z8,MIN(AQ$6-$G$3,22))),0)))))</f>
        <v>0</v>
      </c>
      <c r="AR10" s="27" t="n">
        <f aca="false">IF(COUNT(Algodão!$E8:$Z8)=0,0,MAX(0,IF((AR$6-$E$3)&lt;1,0,IFERROR(LOOKUP(2,1/(Algodão!$E8:INDEX(Algodão!$E8:$Z8,MIN(AR$6-$E$3,22))&lt;&gt;""),Algodão!$E8:INDEX(Algodão!$E8:$Z8,MIN(AR$6-$E$3,22))),0))-IF($G$2,0,IF((AR$6-$G$3)&lt;1,0,IFERROR(LOOKUP(2,1/(Algodão!$E8:INDEX(Algodão!$E8:$Z8,MIN(AR$6-$G$3,22))&lt;&gt;""),Algodão!$E8:INDEX(Algodão!$E8:$Z8,MIN(AR$6-$G$3,22))),0)))))</f>
        <v>0</v>
      </c>
      <c r="AS10" s="27" t="n">
        <f aca="false">IF(COUNT(Algodão!$E8:$Z8)=0,0,MAX(0,IF((AS$6-$E$3)&lt;1,0,IFERROR(LOOKUP(2,1/(Algodão!$E8:INDEX(Algodão!$E8:$Z8,MIN(AS$6-$E$3,22))&lt;&gt;""),Algodão!$E8:INDEX(Algodão!$E8:$Z8,MIN(AS$6-$E$3,22))),0))-IF($G$2,0,IF((AS$6-$G$3)&lt;1,0,IFERROR(LOOKUP(2,1/(Algodão!$E8:INDEX(Algodão!$E8:$Z8,MIN(AS$6-$G$3,22))&lt;&gt;""),Algodão!$E8:INDEX(Algodão!$E8:$Z8,MIN(AS$6-$G$3,22))),0)))))</f>
        <v>0</v>
      </c>
      <c r="AT10" s="27" t="n">
        <f aca="false">IF(COUNT(Algodão!$E8:$Z8)=0,0,MAX(0,IF((AT$6-$E$3)&lt;1,0,IFERROR(LOOKUP(2,1/(Algodão!$E8:INDEX(Algodão!$E8:$Z8,MIN(AT$6-$E$3,22))&lt;&gt;""),Algodão!$E8:INDEX(Algodão!$E8:$Z8,MIN(AT$6-$E$3,22))),0))-IF($G$2,0,IF((AT$6-$G$3)&lt;1,0,IFERROR(LOOKUP(2,1/(Algodão!$E8:INDEX(Algodão!$E8:$Z8,MIN(AT$6-$G$3,22))&lt;&gt;""),Algodão!$E8:INDEX(Algodão!$E8:$Z8,MIN(AT$6-$G$3,22))),0)))))</f>
        <v>0</v>
      </c>
      <c r="AU10" s="27" t="n">
        <f aca="false">IF(COUNT(Algodão!$E8:$Z8)=0,0,MAX(0,IF((AU$6-$E$3)&lt;1,0,IFERROR(LOOKUP(2,1/(Algodão!$E8:INDEX(Algodão!$E8:$Z8,MIN(AU$6-$E$3,22))&lt;&gt;""),Algodão!$E8:INDEX(Algodão!$E8:$Z8,MIN(AU$6-$E$3,22))),0))-IF($G$2,0,IF((AU$6-$G$3)&lt;1,0,IFERROR(LOOKUP(2,1/(Algodão!$E8:INDEX(Algodão!$E8:$Z8,MIN(AU$6-$G$3,22))&lt;&gt;""),Algodão!$E8:INDEX(Algodão!$E8:$Z8,MIN(AU$6-$G$3,22))),0)))))</f>
        <v>0</v>
      </c>
      <c r="AV10" s="27" t="n">
        <f aca="false">IF(COUNT(Algodão!$E8:$Z8)=0,0,MAX(0,IF((AV$6-$E$3)&lt;1,0,IFERROR(LOOKUP(2,1/(Algodão!$E8:INDEX(Algodão!$E8:$Z8,MIN(AV$6-$E$3,22))&lt;&gt;""),Algodão!$E8:INDEX(Algodão!$E8:$Z8,MIN(AV$6-$E$3,22))),0))-IF($G$2,0,IF((AV$6-$G$3)&lt;1,0,IFERROR(LOOKUP(2,1/(Algodão!$E8:INDEX(Algodão!$E8:$Z8,MIN(AV$6-$G$3,22))&lt;&gt;""),Algodão!$E8:INDEX(Algodão!$E8:$Z8,MIN(AV$6-$G$3,22))),0)))))</f>
        <v>0</v>
      </c>
      <c r="AW10" s="27" t="n">
        <f aca="false">IF(COUNT(Algodão!$E8:$Z8)=0,0,MAX(0,IF((AW$6-$E$3)&lt;1,0,IFERROR(LOOKUP(2,1/(Algodão!$E8:INDEX(Algodão!$E8:$Z8,MIN(AW$6-$E$3,22))&lt;&gt;""),Algodão!$E8:INDEX(Algodão!$E8:$Z8,MIN(AW$6-$E$3,22))),0))-IF($G$2,0,IF((AW$6-$G$3)&lt;1,0,IFERROR(LOOKUP(2,1/(Algodão!$E8:INDEX(Algodão!$E8:$Z8,MIN(AW$6-$G$3,22))&lt;&gt;""),Algodão!$E8:INDEX(Algodão!$E8:$Z8,MIN(AW$6-$G$3,22))),0)))))</f>
        <v>0</v>
      </c>
      <c r="AX10" s="27" t="n">
        <f aca="false">IF(COUNT(Algodão!$E8:$Z8)=0,0,MAX(0,IF((AX$6-$E$3)&lt;1,0,IFERROR(LOOKUP(2,1/(Algodão!$E8:INDEX(Algodão!$E8:$Z8,MIN(AX$6-$E$3,22))&lt;&gt;""),Algodão!$E8:INDEX(Algodão!$E8:$Z8,MIN(AX$6-$E$3,22))),0))-IF($G$2,0,IF((AX$6-$G$3)&lt;1,0,IFERROR(LOOKUP(2,1/(Algodão!$E8:INDEX(Algodão!$E8:$Z8,MIN(AX$6-$G$3,22))&lt;&gt;""),Algodão!$E8:INDEX(Algodão!$E8:$Z8,MIN(AX$6-$G$3,22))),0)))))</f>
        <v>0</v>
      </c>
      <c r="AY10" s="27" t="n">
        <f aca="false">IF(COUNT(Algodão!$E8:$Z8)=0,0,MAX(0,IF((AY$6-$E$3)&lt;1,0,IFERROR(LOOKUP(2,1/(Algodão!$E8:INDEX(Algodão!$E8:$Z8,MIN(AY$6-$E$3,22))&lt;&gt;""),Algodão!$E8:INDEX(Algodão!$E8:$Z8,MIN(AY$6-$E$3,22))),0))-IF($G$2,0,IF((AY$6-$G$3)&lt;1,0,IFERROR(LOOKUP(2,1/(Algodão!$E8:INDEX(Algodão!$E8:$Z8,MIN(AY$6-$G$3,22))&lt;&gt;""),Algodão!$E8:INDEX(Algodão!$E8:$Z8,MIN(AY$6-$G$3,22))),0)))))</f>
        <v>0</v>
      </c>
      <c r="AZ10" s="27" t="n">
        <f aca="false">IF(COUNT(Algodão!$E8:$Z8)=0,0,MAX(0,IF((AZ$6-$E$3)&lt;1,0,IFERROR(LOOKUP(2,1/(Algodão!$E8:INDEX(Algodão!$E8:$Z8,MIN(AZ$6-$E$3,22))&lt;&gt;""),Algodão!$E8:INDEX(Algodão!$E8:$Z8,MIN(AZ$6-$E$3,22))),0))-IF($G$2,0,IF((AZ$6-$G$3)&lt;1,0,IFERROR(LOOKUP(2,1/(Algodão!$E8:INDEX(Algodão!$E8:$Z8,MIN(AZ$6-$G$3,22))&lt;&gt;""),Algodão!$E8:INDEX(Algodão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IF(COUNT(Algodão!$E9:$Z9)&gt;0,N(Algodão!$D9),0)</f>
        <v>0</v>
      </c>
      <c r="E11" s="27" t="n">
        <f aca="false">IF(COUNT(Algodão!$E9:$Z9)=0,0,MAX(0,IF((E$6-$E$3)&lt;1,0,IFERROR(LOOKUP(2,1/(Algodão!$E9:INDEX(Algodão!$E9:$Z9,MIN(E$6-$E$3,22))&lt;&gt;""),Algodão!$E9:INDEX(Algodão!$E9:$Z9,MIN(E$6-$E$3,22))),0))-IF($G$2,0,IF((E$6-$G$3)&lt;1,0,IFERROR(LOOKUP(2,1/(Algodão!$E9:INDEX(Algodão!$E9:$Z9,MIN(E$6-$G$3,22))&lt;&gt;""),Algodão!$E9:INDEX(Algodão!$E9:$Z9,MIN(E$6-$G$3,22))),0)))))</f>
        <v>0</v>
      </c>
      <c r="F11" s="27" t="n">
        <f aca="false">IF(COUNT(Algodão!$E9:$Z9)=0,0,MAX(0,IF((F$6-$E$3)&lt;1,0,IFERROR(LOOKUP(2,1/(Algodão!$E9:INDEX(Algodão!$E9:$Z9,MIN(F$6-$E$3,22))&lt;&gt;""),Algodão!$E9:INDEX(Algodão!$E9:$Z9,MIN(F$6-$E$3,22))),0))-IF($G$2,0,IF((F$6-$G$3)&lt;1,0,IFERROR(LOOKUP(2,1/(Algodão!$E9:INDEX(Algodão!$E9:$Z9,MIN(F$6-$G$3,22))&lt;&gt;""),Algodão!$E9:INDEX(Algodão!$E9:$Z9,MIN(F$6-$G$3,22))),0)))))</f>
        <v>0</v>
      </c>
      <c r="G11" s="27" t="n">
        <f aca="false">IF(COUNT(Algodão!$E9:$Z9)=0,0,MAX(0,IF((G$6-$E$3)&lt;1,0,IFERROR(LOOKUP(2,1/(Algodão!$E9:INDEX(Algodão!$E9:$Z9,MIN(G$6-$E$3,22))&lt;&gt;""),Algodão!$E9:INDEX(Algodão!$E9:$Z9,MIN(G$6-$E$3,22))),0))-IF($G$2,0,IF((G$6-$G$3)&lt;1,0,IFERROR(LOOKUP(2,1/(Algodão!$E9:INDEX(Algodão!$E9:$Z9,MIN(G$6-$G$3,22))&lt;&gt;""),Algodão!$E9:INDEX(Algodão!$E9:$Z9,MIN(G$6-$G$3,22))),0)))))</f>
        <v>0</v>
      </c>
      <c r="H11" s="27" t="n">
        <f aca="false">IF(COUNT(Algodão!$E9:$Z9)=0,0,MAX(0,IF((H$6-$E$3)&lt;1,0,IFERROR(LOOKUP(2,1/(Algodão!$E9:INDEX(Algodão!$E9:$Z9,MIN(H$6-$E$3,22))&lt;&gt;""),Algodão!$E9:INDEX(Algodão!$E9:$Z9,MIN(H$6-$E$3,22))),0))-IF($G$2,0,IF((H$6-$G$3)&lt;1,0,IFERROR(LOOKUP(2,1/(Algodão!$E9:INDEX(Algodão!$E9:$Z9,MIN(H$6-$G$3,22))&lt;&gt;""),Algodão!$E9:INDEX(Algodão!$E9:$Z9,MIN(H$6-$G$3,22))),0)))))</f>
        <v>0</v>
      </c>
      <c r="I11" s="27" t="n">
        <f aca="false">IF(COUNT(Algodão!$E9:$Z9)=0,0,MAX(0,IF((I$6-$E$3)&lt;1,0,IFERROR(LOOKUP(2,1/(Algodão!$E9:INDEX(Algodão!$E9:$Z9,MIN(I$6-$E$3,22))&lt;&gt;""),Algodão!$E9:INDEX(Algodão!$E9:$Z9,MIN(I$6-$E$3,22))),0))-IF($G$2,0,IF((I$6-$G$3)&lt;1,0,IFERROR(LOOKUP(2,1/(Algodão!$E9:INDEX(Algodão!$E9:$Z9,MIN(I$6-$G$3,22))&lt;&gt;""),Algodão!$E9:INDEX(Algodão!$E9:$Z9,MIN(I$6-$G$3,22))),0)))))</f>
        <v>0</v>
      </c>
      <c r="J11" s="27" t="n">
        <f aca="false">IF(COUNT(Algodão!$E9:$Z9)=0,0,MAX(0,IF((J$6-$E$3)&lt;1,0,IFERROR(LOOKUP(2,1/(Algodão!$E9:INDEX(Algodão!$E9:$Z9,MIN(J$6-$E$3,22))&lt;&gt;""),Algodão!$E9:INDEX(Algodão!$E9:$Z9,MIN(J$6-$E$3,22))),0))-IF($G$2,0,IF((J$6-$G$3)&lt;1,0,IFERROR(LOOKUP(2,1/(Algodão!$E9:INDEX(Algodão!$E9:$Z9,MIN(J$6-$G$3,22))&lt;&gt;""),Algodão!$E9:INDEX(Algodão!$E9:$Z9,MIN(J$6-$G$3,22))),0)))))</f>
        <v>0</v>
      </c>
      <c r="K11" s="27" t="n">
        <f aca="false">IF(COUNT(Algodão!$E9:$Z9)=0,0,MAX(0,IF((K$6-$E$3)&lt;1,0,IFERROR(LOOKUP(2,1/(Algodão!$E9:INDEX(Algodão!$E9:$Z9,MIN(K$6-$E$3,22))&lt;&gt;""),Algodão!$E9:INDEX(Algodão!$E9:$Z9,MIN(K$6-$E$3,22))),0))-IF($G$2,0,IF((K$6-$G$3)&lt;1,0,IFERROR(LOOKUP(2,1/(Algodão!$E9:INDEX(Algodão!$E9:$Z9,MIN(K$6-$G$3,22))&lt;&gt;""),Algodão!$E9:INDEX(Algodão!$E9:$Z9,MIN(K$6-$G$3,22))),0)))))</f>
        <v>0</v>
      </c>
      <c r="L11" s="27" t="n">
        <f aca="false">IF(COUNT(Algodão!$E9:$Z9)=0,0,MAX(0,IF((L$6-$E$3)&lt;1,0,IFERROR(LOOKUP(2,1/(Algodão!$E9:INDEX(Algodão!$E9:$Z9,MIN(L$6-$E$3,22))&lt;&gt;""),Algodão!$E9:INDEX(Algodão!$E9:$Z9,MIN(L$6-$E$3,22))),0))-IF($G$2,0,IF((L$6-$G$3)&lt;1,0,IFERROR(LOOKUP(2,1/(Algodão!$E9:INDEX(Algodão!$E9:$Z9,MIN(L$6-$G$3,22))&lt;&gt;""),Algodão!$E9:INDEX(Algodão!$E9:$Z9,MIN(L$6-$G$3,22))),0)))))</f>
        <v>0</v>
      </c>
      <c r="M11" s="27" t="n">
        <f aca="false">IF(COUNT(Algodão!$E9:$Z9)=0,0,MAX(0,IF((M$6-$E$3)&lt;1,0,IFERROR(LOOKUP(2,1/(Algodão!$E9:INDEX(Algodão!$E9:$Z9,MIN(M$6-$E$3,22))&lt;&gt;""),Algodão!$E9:INDEX(Algodão!$E9:$Z9,MIN(M$6-$E$3,22))),0))-IF($G$2,0,IF((M$6-$G$3)&lt;1,0,IFERROR(LOOKUP(2,1/(Algodão!$E9:INDEX(Algodão!$E9:$Z9,MIN(M$6-$G$3,22))&lt;&gt;""),Algodão!$E9:INDEX(Algodão!$E9:$Z9,MIN(M$6-$G$3,22))),0)))))</f>
        <v>0</v>
      </c>
      <c r="N11" s="27" t="n">
        <f aca="false">IF(COUNT(Algodão!$E9:$Z9)=0,0,MAX(0,IF((N$6-$E$3)&lt;1,0,IFERROR(LOOKUP(2,1/(Algodão!$E9:INDEX(Algodão!$E9:$Z9,MIN(N$6-$E$3,22))&lt;&gt;""),Algodão!$E9:INDEX(Algodão!$E9:$Z9,MIN(N$6-$E$3,22))),0))-IF($G$2,0,IF((N$6-$G$3)&lt;1,0,IFERROR(LOOKUP(2,1/(Algodão!$E9:INDEX(Algodão!$E9:$Z9,MIN(N$6-$G$3,22))&lt;&gt;""),Algodão!$E9:INDEX(Algodão!$E9:$Z9,MIN(N$6-$G$3,22))),0)))))</f>
        <v>0</v>
      </c>
      <c r="O11" s="27" t="n">
        <f aca="false">IF(COUNT(Algodão!$E9:$Z9)=0,0,MAX(0,IF((O$6-$E$3)&lt;1,0,IFERROR(LOOKUP(2,1/(Algodão!$E9:INDEX(Algodão!$E9:$Z9,MIN(O$6-$E$3,22))&lt;&gt;""),Algodão!$E9:INDEX(Algodão!$E9:$Z9,MIN(O$6-$E$3,22))),0))-IF($G$2,0,IF((O$6-$G$3)&lt;1,0,IFERROR(LOOKUP(2,1/(Algodão!$E9:INDEX(Algodão!$E9:$Z9,MIN(O$6-$G$3,22))&lt;&gt;""),Algodão!$E9:INDEX(Algodão!$E9:$Z9,MIN(O$6-$G$3,22))),0)))))</f>
        <v>0</v>
      </c>
      <c r="P11" s="27" t="n">
        <f aca="false">IF(COUNT(Algodão!$E9:$Z9)=0,0,MAX(0,IF((P$6-$E$3)&lt;1,0,IFERROR(LOOKUP(2,1/(Algodão!$E9:INDEX(Algodão!$E9:$Z9,MIN(P$6-$E$3,22))&lt;&gt;""),Algodão!$E9:INDEX(Algodão!$E9:$Z9,MIN(P$6-$E$3,22))),0))-IF($G$2,0,IF((P$6-$G$3)&lt;1,0,IFERROR(LOOKUP(2,1/(Algodão!$E9:INDEX(Algodão!$E9:$Z9,MIN(P$6-$G$3,22))&lt;&gt;""),Algodão!$E9:INDEX(Algodão!$E9:$Z9,MIN(P$6-$G$3,22))),0)))))</f>
        <v>0</v>
      </c>
      <c r="Q11" s="27" t="n">
        <f aca="false">IF(COUNT(Algodão!$E9:$Z9)=0,0,MAX(0,IF((Q$6-$E$3)&lt;1,0,IFERROR(LOOKUP(2,1/(Algodão!$E9:INDEX(Algodão!$E9:$Z9,MIN(Q$6-$E$3,22))&lt;&gt;""),Algodão!$E9:INDEX(Algodão!$E9:$Z9,MIN(Q$6-$E$3,22))),0))-IF($G$2,0,IF((Q$6-$G$3)&lt;1,0,IFERROR(LOOKUP(2,1/(Algodão!$E9:INDEX(Algodão!$E9:$Z9,MIN(Q$6-$G$3,22))&lt;&gt;""),Algodão!$E9:INDEX(Algodão!$E9:$Z9,MIN(Q$6-$G$3,22))),0)))))</f>
        <v>0</v>
      </c>
      <c r="R11" s="27" t="n">
        <f aca="false">IF(COUNT(Algodão!$E9:$Z9)=0,0,MAX(0,IF((R$6-$E$3)&lt;1,0,IFERROR(LOOKUP(2,1/(Algodão!$E9:INDEX(Algodão!$E9:$Z9,MIN(R$6-$E$3,22))&lt;&gt;""),Algodão!$E9:INDEX(Algodão!$E9:$Z9,MIN(R$6-$E$3,22))),0))-IF($G$2,0,IF((R$6-$G$3)&lt;1,0,IFERROR(LOOKUP(2,1/(Algodão!$E9:INDEX(Algodão!$E9:$Z9,MIN(R$6-$G$3,22))&lt;&gt;""),Algodão!$E9:INDEX(Algodão!$E9:$Z9,MIN(R$6-$G$3,22))),0)))))</f>
        <v>0</v>
      </c>
      <c r="S11" s="27" t="n">
        <f aca="false">IF(COUNT(Algodão!$E9:$Z9)=0,0,MAX(0,IF((S$6-$E$3)&lt;1,0,IFERROR(LOOKUP(2,1/(Algodão!$E9:INDEX(Algodão!$E9:$Z9,MIN(S$6-$E$3,22))&lt;&gt;""),Algodão!$E9:INDEX(Algodão!$E9:$Z9,MIN(S$6-$E$3,22))),0))-IF($G$2,0,IF((S$6-$G$3)&lt;1,0,IFERROR(LOOKUP(2,1/(Algodão!$E9:INDEX(Algodão!$E9:$Z9,MIN(S$6-$G$3,22))&lt;&gt;""),Algodão!$E9:INDEX(Algodão!$E9:$Z9,MIN(S$6-$G$3,22))),0)))))</f>
        <v>0</v>
      </c>
      <c r="T11" s="27" t="n">
        <f aca="false">IF(COUNT(Algodão!$E9:$Z9)=0,0,MAX(0,IF((T$6-$E$3)&lt;1,0,IFERROR(LOOKUP(2,1/(Algodão!$E9:INDEX(Algodão!$E9:$Z9,MIN(T$6-$E$3,22))&lt;&gt;""),Algodão!$E9:INDEX(Algodão!$E9:$Z9,MIN(T$6-$E$3,22))),0))-IF($G$2,0,IF((T$6-$G$3)&lt;1,0,IFERROR(LOOKUP(2,1/(Algodão!$E9:INDEX(Algodão!$E9:$Z9,MIN(T$6-$G$3,22))&lt;&gt;""),Algodão!$E9:INDEX(Algodão!$E9:$Z9,MIN(T$6-$G$3,22))),0)))))</f>
        <v>0</v>
      </c>
      <c r="U11" s="27" t="n">
        <f aca="false">IF(COUNT(Algodão!$E9:$Z9)=0,0,MAX(0,IF((U$6-$E$3)&lt;1,0,IFERROR(LOOKUP(2,1/(Algodão!$E9:INDEX(Algodão!$E9:$Z9,MIN(U$6-$E$3,22))&lt;&gt;""),Algodão!$E9:INDEX(Algodão!$E9:$Z9,MIN(U$6-$E$3,22))),0))-IF($G$2,0,IF((U$6-$G$3)&lt;1,0,IFERROR(LOOKUP(2,1/(Algodão!$E9:INDEX(Algodão!$E9:$Z9,MIN(U$6-$G$3,22))&lt;&gt;""),Algodão!$E9:INDEX(Algodão!$E9:$Z9,MIN(U$6-$G$3,22))),0)))))</f>
        <v>0</v>
      </c>
      <c r="V11" s="27" t="n">
        <f aca="false">IF(COUNT(Algodão!$E9:$Z9)=0,0,MAX(0,IF((V$6-$E$3)&lt;1,0,IFERROR(LOOKUP(2,1/(Algodão!$E9:INDEX(Algodão!$E9:$Z9,MIN(V$6-$E$3,22))&lt;&gt;""),Algodão!$E9:INDEX(Algodão!$E9:$Z9,MIN(V$6-$E$3,22))),0))-IF($G$2,0,IF((V$6-$G$3)&lt;1,0,IFERROR(LOOKUP(2,1/(Algodão!$E9:INDEX(Algodão!$E9:$Z9,MIN(V$6-$G$3,22))&lt;&gt;""),Algodão!$E9:INDEX(Algodão!$E9:$Z9,MIN(V$6-$G$3,22))),0)))))</f>
        <v>0</v>
      </c>
      <c r="W11" s="27" t="n">
        <f aca="false">IF(COUNT(Algodão!$E9:$Z9)=0,0,MAX(0,IF((W$6-$E$3)&lt;1,0,IFERROR(LOOKUP(2,1/(Algodão!$E9:INDEX(Algodão!$E9:$Z9,MIN(W$6-$E$3,22))&lt;&gt;""),Algodão!$E9:INDEX(Algodão!$E9:$Z9,MIN(W$6-$E$3,22))),0))-IF($G$2,0,IF((W$6-$G$3)&lt;1,0,IFERROR(LOOKUP(2,1/(Algodão!$E9:INDEX(Algodão!$E9:$Z9,MIN(W$6-$G$3,22))&lt;&gt;""),Algodão!$E9:INDEX(Algodão!$E9:$Z9,MIN(W$6-$G$3,22))),0)))))</f>
        <v>0</v>
      </c>
      <c r="X11" s="27" t="n">
        <f aca="false">IF(COUNT(Algodão!$E9:$Z9)=0,0,MAX(0,IF((X$6-$E$3)&lt;1,0,IFERROR(LOOKUP(2,1/(Algodão!$E9:INDEX(Algodão!$E9:$Z9,MIN(X$6-$E$3,22))&lt;&gt;""),Algodão!$E9:INDEX(Algodão!$E9:$Z9,MIN(X$6-$E$3,22))),0))-IF($G$2,0,IF((X$6-$G$3)&lt;1,0,IFERROR(LOOKUP(2,1/(Algodão!$E9:INDEX(Algodão!$E9:$Z9,MIN(X$6-$G$3,22))&lt;&gt;""),Algodão!$E9:INDEX(Algodão!$E9:$Z9,MIN(X$6-$G$3,22))),0)))))</f>
        <v>0</v>
      </c>
      <c r="Y11" s="27" t="n">
        <f aca="false">IF(COUNT(Algodão!$E9:$Z9)=0,0,MAX(0,IF((Y$6-$E$3)&lt;1,0,IFERROR(LOOKUP(2,1/(Algodão!$E9:INDEX(Algodão!$E9:$Z9,MIN(Y$6-$E$3,22))&lt;&gt;""),Algodão!$E9:INDEX(Algodão!$E9:$Z9,MIN(Y$6-$E$3,22))),0))-IF($G$2,0,IF((Y$6-$G$3)&lt;1,0,IFERROR(LOOKUP(2,1/(Algodão!$E9:INDEX(Algodão!$E9:$Z9,MIN(Y$6-$G$3,22))&lt;&gt;""),Algodão!$E9:INDEX(Algodão!$E9:$Z9,MIN(Y$6-$G$3,22))),0)))))</f>
        <v>0</v>
      </c>
      <c r="Z11" s="27" t="n">
        <f aca="false">IF(COUNT(Algodão!$E9:$Z9)=0,0,MAX(0,IF((Z$6-$E$3)&lt;1,0,IFERROR(LOOKUP(2,1/(Algodão!$E9:INDEX(Algodão!$E9:$Z9,MIN(Z$6-$E$3,22))&lt;&gt;""),Algodão!$E9:INDEX(Algodão!$E9:$Z9,MIN(Z$6-$E$3,22))),0))-IF($G$2,0,IF((Z$6-$G$3)&lt;1,0,IFERROR(LOOKUP(2,1/(Algodão!$E9:INDEX(Algodão!$E9:$Z9,MIN(Z$6-$G$3,22))&lt;&gt;""),Algodão!$E9:INDEX(Algodão!$E9:$Z9,MIN(Z$6-$G$3,22))),0)))))</f>
        <v>0</v>
      </c>
      <c r="AA11" s="27" t="n">
        <f aca="false">IF(COUNT(Algodão!$E9:$Z9)=0,0,MAX(0,IF((AA$6-$E$3)&lt;1,0,IFERROR(LOOKUP(2,1/(Algodão!$E9:INDEX(Algodão!$E9:$Z9,MIN(AA$6-$E$3,22))&lt;&gt;""),Algodão!$E9:INDEX(Algodão!$E9:$Z9,MIN(AA$6-$E$3,22))),0))-IF($G$2,0,IF((AA$6-$G$3)&lt;1,0,IFERROR(LOOKUP(2,1/(Algodão!$E9:INDEX(Algodão!$E9:$Z9,MIN(AA$6-$G$3,22))&lt;&gt;""),Algodão!$E9:INDEX(Algodão!$E9:$Z9,MIN(AA$6-$G$3,22))),0)))))</f>
        <v>0</v>
      </c>
      <c r="AB11" s="27" t="n">
        <f aca="false">IF(COUNT(Algodão!$E9:$Z9)=0,0,MAX(0,IF((AB$6-$E$3)&lt;1,0,IFERROR(LOOKUP(2,1/(Algodão!$E9:INDEX(Algodão!$E9:$Z9,MIN(AB$6-$E$3,22))&lt;&gt;""),Algodão!$E9:INDEX(Algodão!$E9:$Z9,MIN(AB$6-$E$3,22))),0))-IF($G$2,0,IF((AB$6-$G$3)&lt;1,0,IFERROR(LOOKUP(2,1/(Algodão!$E9:INDEX(Algodão!$E9:$Z9,MIN(AB$6-$G$3,22))&lt;&gt;""),Algodão!$E9:INDEX(Algodão!$E9:$Z9,MIN(AB$6-$G$3,22))),0)))))</f>
        <v>0</v>
      </c>
      <c r="AC11" s="27" t="n">
        <f aca="false">IF(COUNT(Algodão!$E9:$Z9)=0,0,MAX(0,IF((AC$6-$E$3)&lt;1,0,IFERROR(LOOKUP(2,1/(Algodão!$E9:INDEX(Algodão!$E9:$Z9,MIN(AC$6-$E$3,22))&lt;&gt;""),Algodão!$E9:INDEX(Algodão!$E9:$Z9,MIN(AC$6-$E$3,22))),0))-IF($G$2,0,IF((AC$6-$G$3)&lt;1,0,IFERROR(LOOKUP(2,1/(Algodão!$E9:INDEX(Algodão!$E9:$Z9,MIN(AC$6-$G$3,22))&lt;&gt;""),Algodão!$E9:INDEX(Algodão!$E9:$Z9,MIN(AC$6-$G$3,22))),0)))))</f>
        <v>0</v>
      </c>
      <c r="AD11" s="27" t="n">
        <f aca="false">IF(COUNT(Algodão!$E9:$Z9)=0,0,MAX(0,IF((AD$6-$E$3)&lt;1,0,IFERROR(LOOKUP(2,1/(Algodão!$E9:INDEX(Algodão!$E9:$Z9,MIN(AD$6-$E$3,22))&lt;&gt;""),Algodão!$E9:INDEX(Algodão!$E9:$Z9,MIN(AD$6-$E$3,22))),0))-IF($G$2,0,IF((AD$6-$G$3)&lt;1,0,IFERROR(LOOKUP(2,1/(Algodão!$E9:INDEX(Algodão!$E9:$Z9,MIN(AD$6-$G$3,22))&lt;&gt;""),Algodão!$E9:INDEX(Algodão!$E9:$Z9,MIN(AD$6-$G$3,22))),0)))))</f>
        <v>0</v>
      </c>
      <c r="AE11" s="27" t="n">
        <f aca="false">IF(COUNT(Algodão!$E9:$Z9)=0,0,MAX(0,IF((AE$6-$E$3)&lt;1,0,IFERROR(LOOKUP(2,1/(Algodão!$E9:INDEX(Algodão!$E9:$Z9,MIN(AE$6-$E$3,22))&lt;&gt;""),Algodão!$E9:INDEX(Algodão!$E9:$Z9,MIN(AE$6-$E$3,22))),0))-IF($G$2,0,IF((AE$6-$G$3)&lt;1,0,IFERROR(LOOKUP(2,1/(Algodão!$E9:INDEX(Algodão!$E9:$Z9,MIN(AE$6-$G$3,22))&lt;&gt;""),Algodão!$E9:INDEX(Algodão!$E9:$Z9,MIN(AE$6-$G$3,22))),0)))))</f>
        <v>0</v>
      </c>
      <c r="AF11" s="27" t="n">
        <f aca="false">IF(COUNT(Algodão!$E9:$Z9)=0,0,MAX(0,IF((AF$6-$E$3)&lt;1,0,IFERROR(LOOKUP(2,1/(Algodão!$E9:INDEX(Algodão!$E9:$Z9,MIN(AF$6-$E$3,22))&lt;&gt;""),Algodão!$E9:INDEX(Algodão!$E9:$Z9,MIN(AF$6-$E$3,22))),0))-IF($G$2,0,IF((AF$6-$G$3)&lt;1,0,IFERROR(LOOKUP(2,1/(Algodão!$E9:INDEX(Algodão!$E9:$Z9,MIN(AF$6-$G$3,22))&lt;&gt;""),Algodão!$E9:INDEX(Algodão!$E9:$Z9,MIN(AF$6-$G$3,22))),0)))))</f>
        <v>0</v>
      </c>
      <c r="AG11" s="27" t="n">
        <f aca="false">IF(COUNT(Algodão!$E9:$Z9)=0,0,MAX(0,IF((AG$6-$E$3)&lt;1,0,IFERROR(LOOKUP(2,1/(Algodão!$E9:INDEX(Algodão!$E9:$Z9,MIN(AG$6-$E$3,22))&lt;&gt;""),Algodão!$E9:INDEX(Algodão!$E9:$Z9,MIN(AG$6-$E$3,22))),0))-IF($G$2,0,IF((AG$6-$G$3)&lt;1,0,IFERROR(LOOKUP(2,1/(Algodão!$E9:INDEX(Algodão!$E9:$Z9,MIN(AG$6-$G$3,22))&lt;&gt;""),Algodão!$E9:INDEX(Algodão!$E9:$Z9,MIN(AG$6-$G$3,22))),0)))))</f>
        <v>0</v>
      </c>
      <c r="AH11" s="27" t="n">
        <f aca="false">IF(COUNT(Algodão!$E9:$Z9)=0,0,MAX(0,IF((AH$6-$E$3)&lt;1,0,IFERROR(LOOKUP(2,1/(Algodão!$E9:INDEX(Algodão!$E9:$Z9,MIN(AH$6-$E$3,22))&lt;&gt;""),Algodão!$E9:INDEX(Algodão!$E9:$Z9,MIN(AH$6-$E$3,22))),0))-IF($G$2,0,IF((AH$6-$G$3)&lt;1,0,IFERROR(LOOKUP(2,1/(Algodão!$E9:INDEX(Algodão!$E9:$Z9,MIN(AH$6-$G$3,22))&lt;&gt;""),Algodão!$E9:INDEX(Algodão!$E9:$Z9,MIN(AH$6-$G$3,22))),0)))))</f>
        <v>0</v>
      </c>
      <c r="AI11" s="27" t="n">
        <f aca="false">IF(COUNT(Algodão!$E9:$Z9)=0,0,MAX(0,IF((AI$6-$E$3)&lt;1,0,IFERROR(LOOKUP(2,1/(Algodão!$E9:INDEX(Algodão!$E9:$Z9,MIN(AI$6-$E$3,22))&lt;&gt;""),Algodão!$E9:INDEX(Algodão!$E9:$Z9,MIN(AI$6-$E$3,22))),0))-IF($G$2,0,IF((AI$6-$G$3)&lt;1,0,IFERROR(LOOKUP(2,1/(Algodão!$E9:INDEX(Algodão!$E9:$Z9,MIN(AI$6-$G$3,22))&lt;&gt;""),Algodão!$E9:INDEX(Algodão!$E9:$Z9,MIN(AI$6-$G$3,22))),0)))))</f>
        <v>0</v>
      </c>
      <c r="AJ11" s="27" t="n">
        <f aca="false">IF(COUNT(Algodão!$E9:$Z9)=0,0,MAX(0,IF((AJ$6-$E$3)&lt;1,0,IFERROR(LOOKUP(2,1/(Algodão!$E9:INDEX(Algodão!$E9:$Z9,MIN(AJ$6-$E$3,22))&lt;&gt;""),Algodão!$E9:INDEX(Algodão!$E9:$Z9,MIN(AJ$6-$E$3,22))),0))-IF($G$2,0,IF((AJ$6-$G$3)&lt;1,0,IFERROR(LOOKUP(2,1/(Algodão!$E9:INDEX(Algodão!$E9:$Z9,MIN(AJ$6-$G$3,22))&lt;&gt;""),Algodão!$E9:INDEX(Algodão!$E9:$Z9,MIN(AJ$6-$G$3,22))),0)))))</f>
        <v>0</v>
      </c>
      <c r="AK11" s="27" t="n">
        <f aca="false">IF(COUNT(Algodão!$E9:$Z9)=0,0,MAX(0,IF((AK$6-$E$3)&lt;1,0,IFERROR(LOOKUP(2,1/(Algodão!$E9:INDEX(Algodão!$E9:$Z9,MIN(AK$6-$E$3,22))&lt;&gt;""),Algodão!$E9:INDEX(Algodão!$E9:$Z9,MIN(AK$6-$E$3,22))),0))-IF($G$2,0,IF((AK$6-$G$3)&lt;1,0,IFERROR(LOOKUP(2,1/(Algodão!$E9:INDEX(Algodão!$E9:$Z9,MIN(AK$6-$G$3,22))&lt;&gt;""),Algodão!$E9:INDEX(Algodão!$E9:$Z9,MIN(AK$6-$G$3,22))),0)))))</f>
        <v>0</v>
      </c>
      <c r="AL11" s="27" t="n">
        <f aca="false">IF(COUNT(Algodão!$E9:$Z9)=0,0,MAX(0,IF((AL$6-$E$3)&lt;1,0,IFERROR(LOOKUP(2,1/(Algodão!$E9:INDEX(Algodão!$E9:$Z9,MIN(AL$6-$E$3,22))&lt;&gt;""),Algodão!$E9:INDEX(Algodão!$E9:$Z9,MIN(AL$6-$E$3,22))),0))-IF($G$2,0,IF((AL$6-$G$3)&lt;1,0,IFERROR(LOOKUP(2,1/(Algodão!$E9:INDEX(Algodão!$E9:$Z9,MIN(AL$6-$G$3,22))&lt;&gt;""),Algodão!$E9:INDEX(Algodão!$E9:$Z9,MIN(AL$6-$G$3,22))),0)))))</f>
        <v>0</v>
      </c>
      <c r="AM11" s="27" t="n">
        <f aca="false">IF(COUNT(Algodão!$E9:$Z9)=0,0,MAX(0,IF((AM$6-$E$3)&lt;1,0,IFERROR(LOOKUP(2,1/(Algodão!$E9:INDEX(Algodão!$E9:$Z9,MIN(AM$6-$E$3,22))&lt;&gt;""),Algodão!$E9:INDEX(Algodão!$E9:$Z9,MIN(AM$6-$E$3,22))),0))-IF($G$2,0,IF((AM$6-$G$3)&lt;1,0,IFERROR(LOOKUP(2,1/(Algodão!$E9:INDEX(Algodão!$E9:$Z9,MIN(AM$6-$G$3,22))&lt;&gt;""),Algodão!$E9:INDEX(Algodão!$E9:$Z9,MIN(AM$6-$G$3,22))),0)))))</f>
        <v>0</v>
      </c>
      <c r="AN11" s="27" t="n">
        <f aca="false">IF(COUNT(Algodão!$E9:$Z9)=0,0,MAX(0,IF((AN$6-$E$3)&lt;1,0,IFERROR(LOOKUP(2,1/(Algodão!$E9:INDEX(Algodão!$E9:$Z9,MIN(AN$6-$E$3,22))&lt;&gt;""),Algodão!$E9:INDEX(Algodão!$E9:$Z9,MIN(AN$6-$E$3,22))),0))-IF($G$2,0,IF((AN$6-$G$3)&lt;1,0,IFERROR(LOOKUP(2,1/(Algodão!$E9:INDEX(Algodão!$E9:$Z9,MIN(AN$6-$G$3,22))&lt;&gt;""),Algodão!$E9:INDEX(Algodão!$E9:$Z9,MIN(AN$6-$G$3,22))),0)))))</f>
        <v>0</v>
      </c>
      <c r="AO11" s="27" t="n">
        <f aca="false">IF(COUNT(Algodão!$E9:$Z9)=0,0,MAX(0,IF((AO$6-$E$3)&lt;1,0,IFERROR(LOOKUP(2,1/(Algodão!$E9:INDEX(Algodão!$E9:$Z9,MIN(AO$6-$E$3,22))&lt;&gt;""),Algodão!$E9:INDEX(Algodão!$E9:$Z9,MIN(AO$6-$E$3,22))),0))-IF($G$2,0,IF((AO$6-$G$3)&lt;1,0,IFERROR(LOOKUP(2,1/(Algodão!$E9:INDEX(Algodão!$E9:$Z9,MIN(AO$6-$G$3,22))&lt;&gt;""),Algodão!$E9:INDEX(Algodão!$E9:$Z9,MIN(AO$6-$G$3,22))),0)))))</f>
        <v>0</v>
      </c>
      <c r="AP11" s="27" t="n">
        <f aca="false">IF(COUNT(Algodão!$E9:$Z9)=0,0,MAX(0,IF((AP$6-$E$3)&lt;1,0,IFERROR(LOOKUP(2,1/(Algodão!$E9:INDEX(Algodão!$E9:$Z9,MIN(AP$6-$E$3,22))&lt;&gt;""),Algodão!$E9:INDEX(Algodão!$E9:$Z9,MIN(AP$6-$E$3,22))),0))-IF($G$2,0,IF((AP$6-$G$3)&lt;1,0,IFERROR(LOOKUP(2,1/(Algodão!$E9:INDEX(Algodão!$E9:$Z9,MIN(AP$6-$G$3,22))&lt;&gt;""),Algodão!$E9:INDEX(Algodão!$E9:$Z9,MIN(AP$6-$G$3,22))),0)))))</f>
        <v>0</v>
      </c>
      <c r="AQ11" s="27" t="n">
        <f aca="false">IF(COUNT(Algodão!$E9:$Z9)=0,0,MAX(0,IF((AQ$6-$E$3)&lt;1,0,IFERROR(LOOKUP(2,1/(Algodão!$E9:INDEX(Algodão!$E9:$Z9,MIN(AQ$6-$E$3,22))&lt;&gt;""),Algodão!$E9:INDEX(Algodão!$E9:$Z9,MIN(AQ$6-$E$3,22))),0))-IF($G$2,0,IF((AQ$6-$G$3)&lt;1,0,IFERROR(LOOKUP(2,1/(Algodão!$E9:INDEX(Algodão!$E9:$Z9,MIN(AQ$6-$G$3,22))&lt;&gt;""),Algodão!$E9:INDEX(Algodão!$E9:$Z9,MIN(AQ$6-$G$3,22))),0)))))</f>
        <v>0</v>
      </c>
      <c r="AR11" s="27" t="n">
        <f aca="false">IF(COUNT(Algodão!$E9:$Z9)=0,0,MAX(0,IF((AR$6-$E$3)&lt;1,0,IFERROR(LOOKUP(2,1/(Algodão!$E9:INDEX(Algodão!$E9:$Z9,MIN(AR$6-$E$3,22))&lt;&gt;""),Algodão!$E9:INDEX(Algodão!$E9:$Z9,MIN(AR$6-$E$3,22))),0))-IF($G$2,0,IF((AR$6-$G$3)&lt;1,0,IFERROR(LOOKUP(2,1/(Algodão!$E9:INDEX(Algodão!$E9:$Z9,MIN(AR$6-$G$3,22))&lt;&gt;""),Algodão!$E9:INDEX(Algodão!$E9:$Z9,MIN(AR$6-$G$3,22))),0)))))</f>
        <v>0</v>
      </c>
      <c r="AS11" s="27" t="n">
        <f aca="false">IF(COUNT(Algodão!$E9:$Z9)=0,0,MAX(0,IF((AS$6-$E$3)&lt;1,0,IFERROR(LOOKUP(2,1/(Algodão!$E9:INDEX(Algodão!$E9:$Z9,MIN(AS$6-$E$3,22))&lt;&gt;""),Algodão!$E9:INDEX(Algodão!$E9:$Z9,MIN(AS$6-$E$3,22))),0))-IF($G$2,0,IF((AS$6-$G$3)&lt;1,0,IFERROR(LOOKUP(2,1/(Algodão!$E9:INDEX(Algodão!$E9:$Z9,MIN(AS$6-$G$3,22))&lt;&gt;""),Algodão!$E9:INDEX(Algodão!$E9:$Z9,MIN(AS$6-$G$3,22))),0)))))</f>
        <v>0</v>
      </c>
      <c r="AT11" s="27" t="n">
        <f aca="false">IF(COUNT(Algodão!$E9:$Z9)=0,0,MAX(0,IF((AT$6-$E$3)&lt;1,0,IFERROR(LOOKUP(2,1/(Algodão!$E9:INDEX(Algodão!$E9:$Z9,MIN(AT$6-$E$3,22))&lt;&gt;""),Algodão!$E9:INDEX(Algodão!$E9:$Z9,MIN(AT$6-$E$3,22))),0))-IF($G$2,0,IF((AT$6-$G$3)&lt;1,0,IFERROR(LOOKUP(2,1/(Algodão!$E9:INDEX(Algodão!$E9:$Z9,MIN(AT$6-$G$3,22))&lt;&gt;""),Algodão!$E9:INDEX(Algodão!$E9:$Z9,MIN(AT$6-$G$3,22))),0)))))</f>
        <v>0</v>
      </c>
      <c r="AU11" s="27" t="n">
        <f aca="false">IF(COUNT(Algodão!$E9:$Z9)=0,0,MAX(0,IF((AU$6-$E$3)&lt;1,0,IFERROR(LOOKUP(2,1/(Algodão!$E9:INDEX(Algodão!$E9:$Z9,MIN(AU$6-$E$3,22))&lt;&gt;""),Algodão!$E9:INDEX(Algodão!$E9:$Z9,MIN(AU$6-$E$3,22))),0))-IF($G$2,0,IF((AU$6-$G$3)&lt;1,0,IFERROR(LOOKUP(2,1/(Algodão!$E9:INDEX(Algodão!$E9:$Z9,MIN(AU$6-$G$3,22))&lt;&gt;""),Algodão!$E9:INDEX(Algodão!$E9:$Z9,MIN(AU$6-$G$3,22))),0)))))</f>
        <v>0</v>
      </c>
      <c r="AV11" s="27" t="n">
        <f aca="false">IF(COUNT(Algodão!$E9:$Z9)=0,0,MAX(0,IF((AV$6-$E$3)&lt;1,0,IFERROR(LOOKUP(2,1/(Algodão!$E9:INDEX(Algodão!$E9:$Z9,MIN(AV$6-$E$3,22))&lt;&gt;""),Algodão!$E9:INDEX(Algodão!$E9:$Z9,MIN(AV$6-$E$3,22))),0))-IF($G$2,0,IF((AV$6-$G$3)&lt;1,0,IFERROR(LOOKUP(2,1/(Algodão!$E9:INDEX(Algodão!$E9:$Z9,MIN(AV$6-$G$3,22))&lt;&gt;""),Algodão!$E9:INDEX(Algodão!$E9:$Z9,MIN(AV$6-$G$3,22))),0)))))</f>
        <v>0</v>
      </c>
      <c r="AW11" s="27" t="n">
        <f aca="false">IF(COUNT(Algodão!$E9:$Z9)=0,0,MAX(0,IF((AW$6-$E$3)&lt;1,0,IFERROR(LOOKUP(2,1/(Algodão!$E9:INDEX(Algodão!$E9:$Z9,MIN(AW$6-$E$3,22))&lt;&gt;""),Algodão!$E9:INDEX(Algodão!$E9:$Z9,MIN(AW$6-$E$3,22))),0))-IF($G$2,0,IF((AW$6-$G$3)&lt;1,0,IFERROR(LOOKUP(2,1/(Algodão!$E9:INDEX(Algodão!$E9:$Z9,MIN(AW$6-$G$3,22))&lt;&gt;""),Algodão!$E9:INDEX(Algodão!$E9:$Z9,MIN(AW$6-$G$3,22))),0)))))</f>
        <v>0</v>
      </c>
      <c r="AX11" s="27" t="n">
        <f aca="false">IF(COUNT(Algodão!$E9:$Z9)=0,0,MAX(0,IF((AX$6-$E$3)&lt;1,0,IFERROR(LOOKUP(2,1/(Algodão!$E9:INDEX(Algodão!$E9:$Z9,MIN(AX$6-$E$3,22))&lt;&gt;""),Algodão!$E9:INDEX(Algodão!$E9:$Z9,MIN(AX$6-$E$3,22))),0))-IF($G$2,0,IF((AX$6-$G$3)&lt;1,0,IFERROR(LOOKUP(2,1/(Algodão!$E9:INDEX(Algodão!$E9:$Z9,MIN(AX$6-$G$3,22))&lt;&gt;""),Algodão!$E9:INDEX(Algodão!$E9:$Z9,MIN(AX$6-$G$3,22))),0)))))</f>
        <v>0</v>
      </c>
      <c r="AY11" s="27" t="n">
        <f aca="false">IF(COUNT(Algodão!$E9:$Z9)=0,0,MAX(0,IF((AY$6-$E$3)&lt;1,0,IFERROR(LOOKUP(2,1/(Algodão!$E9:INDEX(Algodão!$E9:$Z9,MIN(AY$6-$E$3,22))&lt;&gt;""),Algodão!$E9:INDEX(Algodão!$E9:$Z9,MIN(AY$6-$E$3,22))),0))-IF($G$2,0,IF((AY$6-$G$3)&lt;1,0,IFERROR(LOOKUP(2,1/(Algodão!$E9:INDEX(Algodão!$E9:$Z9,MIN(AY$6-$G$3,22))&lt;&gt;""),Algodão!$E9:INDEX(Algodão!$E9:$Z9,MIN(AY$6-$G$3,22))),0)))))</f>
        <v>0</v>
      </c>
      <c r="AZ11" s="27" t="n">
        <f aca="false">IF(COUNT(Algodão!$E9:$Z9)=0,0,MAX(0,IF((AZ$6-$E$3)&lt;1,0,IFERROR(LOOKUP(2,1/(Algodão!$E9:INDEX(Algodão!$E9:$Z9,MIN(AZ$6-$E$3,22))&lt;&gt;""),Algodão!$E9:INDEX(Algodão!$E9:$Z9,MIN(AZ$6-$E$3,22))),0))-IF($G$2,0,IF((AZ$6-$G$3)&lt;1,0,IFERROR(LOOKUP(2,1/(Algodão!$E9:INDEX(Algodão!$E9:$Z9,MIN(AZ$6-$G$3,22))&lt;&gt;""),Algodão!$E9:INDEX(Algodão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IF(COUNT(Algodão!$E10:$Z10)&gt;0,N(Algodão!$D10),0)</f>
        <v>0</v>
      </c>
      <c r="E12" s="27" t="n">
        <f aca="false">IF(COUNT(Algodão!$E10:$Z10)=0,0,MAX(0,IF((E$6-$E$3)&lt;1,0,IFERROR(LOOKUP(2,1/(Algodão!$E10:INDEX(Algodão!$E10:$Z10,MIN(E$6-$E$3,22))&lt;&gt;""),Algodão!$E10:INDEX(Algodão!$E10:$Z10,MIN(E$6-$E$3,22))),0))-IF($G$2,0,IF((E$6-$G$3)&lt;1,0,IFERROR(LOOKUP(2,1/(Algodão!$E10:INDEX(Algodão!$E10:$Z10,MIN(E$6-$G$3,22))&lt;&gt;""),Algodão!$E10:INDEX(Algodão!$E10:$Z10,MIN(E$6-$G$3,22))),0)))))</f>
        <v>0</v>
      </c>
      <c r="F12" s="27" t="n">
        <f aca="false">IF(COUNT(Algodão!$E10:$Z10)=0,0,MAX(0,IF((F$6-$E$3)&lt;1,0,IFERROR(LOOKUP(2,1/(Algodão!$E10:INDEX(Algodão!$E10:$Z10,MIN(F$6-$E$3,22))&lt;&gt;""),Algodão!$E10:INDEX(Algodão!$E10:$Z10,MIN(F$6-$E$3,22))),0))-IF($G$2,0,IF((F$6-$G$3)&lt;1,0,IFERROR(LOOKUP(2,1/(Algodão!$E10:INDEX(Algodão!$E10:$Z10,MIN(F$6-$G$3,22))&lt;&gt;""),Algodão!$E10:INDEX(Algodão!$E10:$Z10,MIN(F$6-$G$3,22))),0)))))</f>
        <v>0</v>
      </c>
      <c r="G12" s="27" t="n">
        <f aca="false">IF(COUNT(Algodão!$E10:$Z10)=0,0,MAX(0,IF((G$6-$E$3)&lt;1,0,IFERROR(LOOKUP(2,1/(Algodão!$E10:INDEX(Algodão!$E10:$Z10,MIN(G$6-$E$3,22))&lt;&gt;""),Algodão!$E10:INDEX(Algodão!$E10:$Z10,MIN(G$6-$E$3,22))),0))-IF($G$2,0,IF((G$6-$G$3)&lt;1,0,IFERROR(LOOKUP(2,1/(Algodão!$E10:INDEX(Algodão!$E10:$Z10,MIN(G$6-$G$3,22))&lt;&gt;""),Algodão!$E10:INDEX(Algodão!$E10:$Z10,MIN(G$6-$G$3,22))),0)))))</f>
        <v>0</v>
      </c>
      <c r="H12" s="27" t="n">
        <f aca="false">IF(COUNT(Algodão!$E10:$Z10)=0,0,MAX(0,IF((H$6-$E$3)&lt;1,0,IFERROR(LOOKUP(2,1/(Algodão!$E10:INDEX(Algodão!$E10:$Z10,MIN(H$6-$E$3,22))&lt;&gt;""),Algodão!$E10:INDEX(Algodão!$E10:$Z10,MIN(H$6-$E$3,22))),0))-IF($G$2,0,IF((H$6-$G$3)&lt;1,0,IFERROR(LOOKUP(2,1/(Algodão!$E10:INDEX(Algodão!$E10:$Z10,MIN(H$6-$G$3,22))&lt;&gt;""),Algodão!$E10:INDEX(Algodão!$E10:$Z10,MIN(H$6-$G$3,22))),0)))))</f>
        <v>0</v>
      </c>
      <c r="I12" s="27" t="n">
        <f aca="false">IF(COUNT(Algodão!$E10:$Z10)=0,0,MAX(0,IF((I$6-$E$3)&lt;1,0,IFERROR(LOOKUP(2,1/(Algodão!$E10:INDEX(Algodão!$E10:$Z10,MIN(I$6-$E$3,22))&lt;&gt;""),Algodão!$E10:INDEX(Algodão!$E10:$Z10,MIN(I$6-$E$3,22))),0))-IF($G$2,0,IF((I$6-$G$3)&lt;1,0,IFERROR(LOOKUP(2,1/(Algodão!$E10:INDEX(Algodão!$E10:$Z10,MIN(I$6-$G$3,22))&lt;&gt;""),Algodão!$E10:INDEX(Algodão!$E10:$Z10,MIN(I$6-$G$3,22))),0)))))</f>
        <v>0</v>
      </c>
      <c r="J12" s="27" t="n">
        <f aca="false">IF(COUNT(Algodão!$E10:$Z10)=0,0,MAX(0,IF((J$6-$E$3)&lt;1,0,IFERROR(LOOKUP(2,1/(Algodão!$E10:INDEX(Algodão!$E10:$Z10,MIN(J$6-$E$3,22))&lt;&gt;""),Algodão!$E10:INDEX(Algodão!$E10:$Z10,MIN(J$6-$E$3,22))),0))-IF($G$2,0,IF((J$6-$G$3)&lt;1,0,IFERROR(LOOKUP(2,1/(Algodão!$E10:INDEX(Algodão!$E10:$Z10,MIN(J$6-$G$3,22))&lt;&gt;""),Algodão!$E10:INDEX(Algodão!$E10:$Z10,MIN(J$6-$G$3,22))),0)))))</f>
        <v>0</v>
      </c>
      <c r="K12" s="27" t="n">
        <f aca="false">IF(COUNT(Algodão!$E10:$Z10)=0,0,MAX(0,IF((K$6-$E$3)&lt;1,0,IFERROR(LOOKUP(2,1/(Algodão!$E10:INDEX(Algodão!$E10:$Z10,MIN(K$6-$E$3,22))&lt;&gt;""),Algodão!$E10:INDEX(Algodão!$E10:$Z10,MIN(K$6-$E$3,22))),0))-IF($G$2,0,IF((K$6-$G$3)&lt;1,0,IFERROR(LOOKUP(2,1/(Algodão!$E10:INDEX(Algodão!$E10:$Z10,MIN(K$6-$G$3,22))&lt;&gt;""),Algodão!$E10:INDEX(Algodão!$E10:$Z10,MIN(K$6-$G$3,22))),0)))))</f>
        <v>0</v>
      </c>
      <c r="L12" s="27" t="n">
        <f aca="false">IF(COUNT(Algodão!$E10:$Z10)=0,0,MAX(0,IF((L$6-$E$3)&lt;1,0,IFERROR(LOOKUP(2,1/(Algodão!$E10:INDEX(Algodão!$E10:$Z10,MIN(L$6-$E$3,22))&lt;&gt;""),Algodão!$E10:INDEX(Algodão!$E10:$Z10,MIN(L$6-$E$3,22))),0))-IF($G$2,0,IF((L$6-$G$3)&lt;1,0,IFERROR(LOOKUP(2,1/(Algodão!$E10:INDEX(Algodão!$E10:$Z10,MIN(L$6-$G$3,22))&lt;&gt;""),Algodão!$E10:INDEX(Algodão!$E10:$Z10,MIN(L$6-$G$3,22))),0)))))</f>
        <v>0</v>
      </c>
      <c r="M12" s="27" t="n">
        <f aca="false">IF(COUNT(Algodão!$E10:$Z10)=0,0,MAX(0,IF((M$6-$E$3)&lt;1,0,IFERROR(LOOKUP(2,1/(Algodão!$E10:INDEX(Algodão!$E10:$Z10,MIN(M$6-$E$3,22))&lt;&gt;""),Algodão!$E10:INDEX(Algodão!$E10:$Z10,MIN(M$6-$E$3,22))),0))-IF($G$2,0,IF((M$6-$G$3)&lt;1,0,IFERROR(LOOKUP(2,1/(Algodão!$E10:INDEX(Algodão!$E10:$Z10,MIN(M$6-$G$3,22))&lt;&gt;""),Algodão!$E10:INDEX(Algodão!$E10:$Z10,MIN(M$6-$G$3,22))),0)))))</f>
        <v>0</v>
      </c>
      <c r="N12" s="27" t="n">
        <f aca="false">IF(COUNT(Algodão!$E10:$Z10)=0,0,MAX(0,IF((N$6-$E$3)&lt;1,0,IFERROR(LOOKUP(2,1/(Algodão!$E10:INDEX(Algodão!$E10:$Z10,MIN(N$6-$E$3,22))&lt;&gt;""),Algodão!$E10:INDEX(Algodão!$E10:$Z10,MIN(N$6-$E$3,22))),0))-IF($G$2,0,IF((N$6-$G$3)&lt;1,0,IFERROR(LOOKUP(2,1/(Algodão!$E10:INDEX(Algodão!$E10:$Z10,MIN(N$6-$G$3,22))&lt;&gt;""),Algodão!$E10:INDEX(Algodão!$E10:$Z10,MIN(N$6-$G$3,22))),0)))))</f>
        <v>0</v>
      </c>
      <c r="O12" s="27" t="n">
        <f aca="false">IF(COUNT(Algodão!$E10:$Z10)=0,0,MAX(0,IF((O$6-$E$3)&lt;1,0,IFERROR(LOOKUP(2,1/(Algodão!$E10:INDEX(Algodão!$E10:$Z10,MIN(O$6-$E$3,22))&lt;&gt;""),Algodão!$E10:INDEX(Algodão!$E10:$Z10,MIN(O$6-$E$3,22))),0))-IF($G$2,0,IF((O$6-$G$3)&lt;1,0,IFERROR(LOOKUP(2,1/(Algodão!$E10:INDEX(Algodão!$E10:$Z10,MIN(O$6-$G$3,22))&lt;&gt;""),Algodão!$E10:INDEX(Algodão!$E10:$Z10,MIN(O$6-$G$3,22))),0)))))</f>
        <v>0</v>
      </c>
      <c r="P12" s="27" t="n">
        <f aca="false">IF(COUNT(Algodão!$E10:$Z10)=0,0,MAX(0,IF((P$6-$E$3)&lt;1,0,IFERROR(LOOKUP(2,1/(Algodão!$E10:INDEX(Algodão!$E10:$Z10,MIN(P$6-$E$3,22))&lt;&gt;""),Algodão!$E10:INDEX(Algodão!$E10:$Z10,MIN(P$6-$E$3,22))),0))-IF($G$2,0,IF((P$6-$G$3)&lt;1,0,IFERROR(LOOKUP(2,1/(Algodão!$E10:INDEX(Algodão!$E10:$Z10,MIN(P$6-$G$3,22))&lt;&gt;""),Algodão!$E10:INDEX(Algodão!$E10:$Z10,MIN(P$6-$G$3,22))),0)))))</f>
        <v>0</v>
      </c>
      <c r="Q12" s="27" t="n">
        <f aca="false">IF(COUNT(Algodão!$E10:$Z10)=0,0,MAX(0,IF((Q$6-$E$3)&lt;1,0,IFERROR(LOOKUP(2,1/(Algodão!$E10:INDEX(Algodão!$E10:$Z10,MIN(Q$6-$E$3,22))&lt;&gt;""),Algodão!$E10:INDEX(Algodão!$E10:$Z10,MIN(Q$6-$E$3,22))),0))-IF($G$2,0,IF((Q$6-$G$3)&lt;1,0,IFERROR(LOOKUP(2,1/(Algodão!$E10:INDEX(Algodão!$E10:$Z10,MIN(Q$6-$G$3,22))&lt;&gt;""),Algodão!$E10:INDEX(Algodão!$E10:$Z10,MIN(Q$6-$G$3,22))),0)))))</f>
        <v>0</v>
      </c>
      <c r="R12" s="27" t="n">
        <f aca="false">IF(COUNT(Algodão!$E10:$Z10)=0,0,MAX(0,IF((R$6-$E$3)&lt;1,0,IFERROR(LOOKUP(2,1/(Algodão!$E10:INDEX(Algodão!$E10:$Z10,MIN(R$6-$E$3,22))&lt;&gt;""),Algodão!$E10:INDEX(Algodão!$E10:$Z10,MIN(R$6-$E$3,22))),0))-IF($G$2,0,IF((R$6-$G$3)&lt;1,0,IFERROR(LOOKUP(2,1/(Algodão!$E10:INDEX(Algodão!$E10:$Z10,MIN(R$6-$G$3,22))&lt;&gt;""),Algodão!$E10:INDEX(Algodão!$E10:$Z10,MIN(R$6-$G$3,22))),0)))))</f>
        <v>0</v>
      </c>
      <c r="S12" s="27" t="n">
        <f aca="false">IF(COUNT(Algodão!$E10:$Z10)=0,0,MAX(0,IF((S$6-$E$3)&lt;1,0,IFERROR(LOOKUP(2,1/(Algodão!$E10:INDEX(Algodão!$E10:$Z10,MIN(S$6-$E$3,22))&lt;&gt;""),Algodão!$E10:INDEX(Algodão!$E10:$Z10,MIN(S$6-$E$3,22))),0))-IF($G$2,0,IF((S$6-$G$3)&lt;1,0,IFERROR(LOOKUP(2,1/(Algodão!$E10:INDEX(Algodão!$E10:$Z10,MIN(S$6-$G$3,22))&lt;&gt;""),Algodão!$E10:INDEX(Algodão!$E10:$Z10,MIN(S$6-$G$3,22))),0)))))</f>
        <v>0</v>
      </c>
      <c r="T12" s="27" t="n">
        <f aca="false">IF(COUNT(Algodão!$E10:$Z10)=0,0,MAX(0,IF((T$6-$E$3)&lt;1,0,IFERROR(LOOKUP(2,1/(Algodão!$E10:INDEX(Algodão!$E10:$Z10,MIN(T$6-$E$3,22))&lt;&gt;""),Algodão!$E10:INDEX(Algodão!$E10:$Z10,MIN(T$6-$E$3,22))),0))-IF($G$2,0,IF((T$6-$G$3)&lt;1,0,IFERROR(LOOKUP(2,1/(Algodão!$E10:INDEX(Algodão!$E10:$Z10,MIN(T$6-$G$3,22))&lt;&gt;""),Algodão!$E10:INDEX(Algodão!$E10:$Z10,MIN(T$6-$G$3,22))),0)))))</f>
        <v>0</v>
      </c>
      <c r="U12" s="27" t="n">
        <f aca="false">IF(COUNT(Algodão!$E10:$Z10)=0,0,MAX(0,IF((U$6-$E$3)&lt;1,0,IFERROR(LOOKUP(2,1/(Algodão!$E10:INDEX(Algodão!$E10:$Z10,MIN(U$6-$E$3,22))&lt;&gt;""),Algodão!$E10:INDEX(Algodão!$E10:$Z10,MIN(U$6-$E$3,22))),0))-IF($G$2,0,IF((U$6-$G$3)&lt;1,0,IFERROR(LOOKUP(2,1/(Algodão!$E10:INDEX(Algodão!$E10:$Z10,MIN(U$6-$G$3,22))&lt;&gt;""),Algodão!$E10:INDEX(Algodão!$E10:$Z10,MIN(U$6-$G$3,22))),0)))))</f>
        <v>0</v>
      </c>
      <c r="V12" s="27" t="n">
        <f aca="false">IF(COUNT(Algodão!$E10:$Z10)=0,0,MAX(0,IF((V$6-$E$3)&lt;1,0,IFERROR(LOOKUP(2,1/(Algodão!$E10:INDEX(Algodão!$E10:$Z10,MIN(V$6-$E$3,22))&lt;&gt;""),Algodão!$E10:INDEX(Algodão!$E10:$Z10,MIN(V$6-$E$3,22))),0))-IF($G$2,0,IF((V$6-$G$3)&lt;1,0,IFERROR(LOOKUP(2,1/(Algodão!$E10:INDEX(Algodão!$E10:$Z10,MIN(V$6-$G$3,22))&lt;&gt;""),Algodão!$E10:INDEX(Algodão!$E10:$Z10,MIN(V$6-$G$3,22))),0)))))</f>
        <v>0</v>
      </c>
      <c r="W12" s="27" t="n">
        <f aca="false">IF(COUNT(Algodão!$E10:$Z10)=0,0,MAX(0,IF((W$6-$E$3)&lt;1,0,IFERROR(LOOKUP(2,1/(Algodão!$E10:INDEX(Algodão!$E10:$Z10,MIN(W$6-$E$3,22))&lt;&gt;""),Algodão!$E10:INDEX(Algodão!$E10:$Z10,MIN(W$6-$E$3,22))),0))-IF($G$2,0,IF((W$6-$G$3)&lt;1,0,IFERROR(LOOKUP(2,1/(Algodão!$E10:INDEX(Algodão!$E10:$Z10,MIN(W$6-$G$3,22))&lt;&gt;""),Algodão!$E10:INDEX(Algodão!$E10:$Z10,MIN(W$6-$G$3,22))),0)))))</f>
        <v>0</v>
      </c>
      <c r="X12" s="27" t="n">
        <f aca="false">IF(COUNT(Algodão!$E10:$Z10)=0,0,MAX(0,IF((X$6-$E$3)&lt;1,0,IFERROR(LOOKUP(2,1/(Algodão!$E10:INDEX(Algodão!$E10:$Z10,MIN(X$6-$E$3,22))&lt;&gt;""),Algodão!$E10:INDEX(Algodão!$E10:$Z10,MIN(X$6-$E$3,22))),0))-IF($G$2,0,IF((X$6-$G$3)&lt;1,0,IFERROR(LOOKUP(2,1/(Algodão!$E10:INDEX(Algodão!$E10:$Z10,MIN(X$6-$G$3,22))&lt;&gt;""),Algodão!$E10:INDEX(Algodão!$E10:$Z10,MIN(X$6-$G$3,22))),0)))))</f>
        <v>0</v>
      </c>
      <c r="Y12" s="27" t="n">
        <f aca="false">IF(COUNT(Algodão!$E10:$Z10)=0,0,MAX(0,IF((Y$6-$E$3)&lt;1,0,IFERROR(LOOKUP(2,1/(Algodão!$E10:INDEX(Algodão!$E10:$Z10,MIN(Y$6-$E$3,22))&lt;&gt;""),Algodão!$E10:INDEX(Algodão!$E10:$Z10,MIN(Y$6-$E$3,22))),0))-IF($G$2,0,IF((Y$6-$G$3)&lt;1,0,IFERROR(LOOKUP(2,1/(Algodão!$E10:INDEX(Algodão!$E10:$Z10,MIN(Y$6-$G$3,22))&lt;&gt;""),Algodão!$E10:INDEX(Algodão!$E10:$Z10,MIN(Y$6-$G$3,22))),0)))))</f>
        <v>0</v>
      </c>
      <c r="Z12" s="27" t="n">
        <f aca="false">IF(COUNT(Algodão!$E10:$Z10)=0,0,MAX(0,IF((Z$6-$E$3)&lt;1,0,IFERROR(LOOKUP(2,1/(Algodão!$E10:INDEX(Algodão!$E10:$Z10,MIN(Z$6-$E$3,22))&lt;&gt;""),Algodão!$E10:INDEX(Algodão!$E10:$Z10,MIN(Z$6-$E$3,22))),0))-IF($G$2,0,IF((Z$6-$G$3)&lt;1,0,IFERROR(LOOKUP(2,1/(Algodão!$E10:INDEX(Algodão!$E10:$Z10,MIN(Z$6-$G$3,22))&lt;&gt;""),Algodão!$E10:INDEX(Algodão!$E10:$Z10,MIN(Z$6-$G$3,22))),0)))))</f>
        <v>0</v>
      </c>
      <c r="AA12" s="27" t="n">
        <f aca="false">IF(COUNT(Algodão!$E10:$Z10)=0,0,MAX(0,IF((AA$6-$E$3)&lt;1,0,IFERROR(LOOKUP(2,1/(Algodão!$E10:INDEX(Algodão!$E10:$Z10,MIN(AA$6-$E$3,22))&lt;&gt;""),Algodão!$E10:INDEX(Algodão!$E10:$Z10,MIN(AA$6-$E$3,22))),0))-IF($G$2,0,IF((AA$6-$G$3)&lt;1,0,IFERROR(LOOKUP(2,1/(Algodão!$E10:INDEX(Algodão!$E10:$Z10,MIN(AA$6-$G$3,22))&lt;&gt;""),Algodão!$E10:INDEX(Algodão!$E10:$Z10,MIN(AA$6-$G$3,22))),0)))))</f>
        <v>0</v>
      </c>
      <c r="AB12" s="27" t="n">
        <f aca="false">IF(COUNT(Algodão!$E10:$Z10)=0,0,MAX(0,IF((AB$6-$E$3)&lt;1,0,IFERROR(LOOKUP(2,1/(Algodão!$E10:INDEX(Algodão!$E10:$Z10,MIN(AB$6-$E$3,22))&lt;&gt;""),Algodão!$E10:INDEX(Algodão!$E10:$Z10,MIN(AB$6-$E$3,22))),0))-IF($G$2,0,IF((AB$6-$G$3)&lt;1,0,IFERROR(LOOKUP(2,1/(Algodão!$E10:INDEX(Algodão!$E10:$Z10,MIN(AB$6-$G$3,22))&lt;&gt;""),Algodão!$E10:INDEX(Algodão!$E10:$Z10,MIN(AB$6-$G$3,22))),0)))))</f>
        <v>0</v>
      </c>
      <c r="AC12" s="27" t="n">
        <f aca="false">IF(COUNT(Algodão!$E10:$Z10)=0,0,MAX(0,IF((AC$6-$E$3)&lt;1,0,IFERROR(LOOKUP(2,1/(Algodão!$E10:INDEX(Algodão!$E10:$Z10,MIN(AC$6-$E$3,22))&lt;&gt;""),Algodão!$E10:INDEX(Algodão!$E10:$Z10,MIN(AC$6-$E$3,22))),0))-IF($G$2,0,IF((AC$6-$G$3)&lt;1,0,IFERROR(LOOKUP(2,1/(Algodão!$E10:INDEX(Algodão!$E10:$Z10,MIN(AC$6-$G$3,22))&lt;&gt;""),Algodão!$E10:INDEX(Algodão!$E10:$Z10,MIN(AC$6-$G$3,22))),0)))))</f>
        <v>0</v>
      </c>
      <c r="AD12" s="27" t="n">
        <f aca="false">IF(COUNT(Algodão!$E10:$Z10)=0,0,MAX(0,IF((AD$6-$E$3)&lt;1,0,IFERROR(LOOKUP(2,1/(Algodão!$E10:INDEX(Algodão!$E10:$Z10,MIN(AD$6-$E$3,22))&lt;&gt;""),Algodão!$E10:INDEX(Algodão!$E10:$Z10,MIN(AD$6-$E$3,22))),0))-IF($G$2,0,IF((AD$6-$G$3)&lt;1,0,IFERROR(LOOKUP(2,1/(Algodão!$E10:INDEX(Algodão!$E10:$Z10,MIN(AD$6-$G$3,22))&lt;&gt;""),Algodão!$E10:INDEX(Algodão!$E10:$Z10,MIN(AD$6-$G$3,22))),0)))))</f>
        <v>0</v>
      </c>
      <c r="AE12" s="27" t="n">
        <f aca="false">IF(COUNT(Algodão!$E10:$Z10)=0,0,MAX(0,IF((AE$6-$E$3)&lt;1,0,IFERROR(LOOKUP(2,1/(Algodão!$E10:INDEX(Algodão!$E10:$Z10,MIN(AE$6-$E$3,22))&lt;&gt;""),Algodão!$E10:INDEX(Algodão!$E10:$Z10,MIN(AE$6-$E$3,22))),0))-IF($G$2,0,IF((AE$6-$G$3)&lt;1,0,IFERROR(LOOKUP(2,1/(Algodão!$E10:INDEX(Algodão!$E10:$Z10,MIN(AE$6-$G$3,22))&lt;&gt;""),Algodão!$E10:INDEX(Algodão!$E10:$Z10,MIN(AE$6-$G$3,22))),0)))))</f>
        <v>0</v>
      </c>
      <c r="AF12" s="27" t="n">
        <f aca="false">IF(COUNT(Algodão!$E10:$Z10)=0,0,MAX(0,IF((AF$6-$E$3)&lt;1,0,IFERROR(LOOKUP(2,1/(Algodão!$E10:INDEX(Algodão!$E10:$Z10,MIN(AF$6-$E$3,22))&lt;&gt;""),Algodão!$E10:INDEX(Algodão!$E10:$Z10,MIN(AF$6-$E$3,22))),0))-IF($G$2,0,IF((AF$6-$G$3)&lt;1,0,IFERROR(LOOKUP(2,1/(Algodão!$E10:INDEX(Algodão!$E10:$Z10,MIN(AF$6-$G$3,22))&lt;&gt;""),Algodão!$E10:INDEX(Algodão!$E10:$Z10,MIN(AF$6-$G$3,22))),0)))))</f>
        <v>0</v>
      </c>
      <c r="AG12" s="27" t="n">
        <f aca="false">IF(COUNT(Algodão!$E10:$Z10)=0,0,MAX(0,IF((AG$6-$E$3)&lt;1,0,IFERROR(LOOKUP(2,1/(Algodão!$E10:INDEX(Algodão!$E10:$Z10,MIN(AG$6-$E$3,22))&lt;&gt;""),Algodão!$E10:INDEX(Algodão!$E10:$Z10,MIN(AG$6-$E$3,22))),0))-IF($G$2,0,IF((AG$6-$G$3)&lt;1,0,IFERROR(LOOKUP(2,1/(Algodão!$E10:INDEX(Algodão!$E10:$Z10,MIN(AG$6-$G$3,22))&lt;&gt;""),Algodão!$E10:INDEX(Algodão!$E10:$Z10,MIN(AG$6-$G$3,22))),0)))))</f>
        <v>0</v>
      </c>
      <c r="AH12" s="27" t="n">
        <f aca="false">IF(COUNT(Algodão!$E10:$Z10)=0,0,MAX(0,IF((AH$6-$E$3)&lt;1,0,IFERROR(LOOKUP(2,1/(Algodão!$E10:INDEX(Algodão!$E10:$Z10,MIN(AH$6-$E$3,22))&lt;&gt;""),Algodão!$E10:INDEX(Algodão!$E10:$Z10,MIN(AH$6-$E$3,22))),0))-IF($G$2,0,IF((AH$6-$G$3)&lt;1,0,IFERROR(LOOKUP(2,1/(Algodão!$E10:INDEX(Algodão!$E10:$Z10,MIN(AH$6-$G$3,22))&lt;&gt;""),Algodão!$E10:INDEX(Algodão!$E10:$Z10,MIN(AH$6-$G$3,22))),0)))))</f>
        <v>0</v>
      </c>
      <c r="AI12" s="27" t="n">
        <f aca="false">IF(COUNT(Algodão!$E10:$Z10)=0,0,MAX(0,IF((AI$6-$E$3)&lt;1,0,IFERROR(LOOKUP(2,1/(Algodão!$E10:INDEX(Algodão!$E10:$Z10,MIN(AI$6-$E$3,22))&lt;&gt;""),Algodão!$E10:INDEX(Algodão!$E10:$Z10,MIN(AI$6-$E$3,22))),0))-IF($G$2,0,IF((AI$6-$G$3)&lt;1,0,IFERROR(LOOKUP(2,1/(Algodão!$E10:INDEX(Algodão!$E10:$Z10,MIN(AI$6-$G$3,22))&lt;&gt;""),Algodão!$E10:INDEX(Algodão!$E10:$Z10,MIN(AI$6-$G$3,22))),0)))))</f>
        <v>0</v>
      </c>
      <c r="AJ12" s="27" t="n">
        <f aca="false">IF(COUNT(Algodão!$E10:$Z10)=0,0,MAX(0,IF((AJ$6-$E$3)&lt;1,0,IFERROR(LOOKUP(2,1/(Algodão!$E10:INDEX(Algodão!$E10:$Z10,MIN(AJ$6-$E$3,22))&lt;&gt;""),Algodão!$E10:INDEX(Algodão!$E10:$Z10,MIN(AJ$6-$E$3,22))),0))-IF($G$2,0,IF((AJ$6-$G$3)&lt;1,0,IFERROR(LOOKUP(2,1/(Algodão!$E10:INDEX(Algodão!$E10:$Z10,MIN(AJ$6-$G$3,22))&lt;&gt;""),Algodão!$E10:INDEX(Algodão!$E10:$Z10,MIN(AJ$6-$G$3,22))),0)))))</f>
        <v>0</v>
      </c>
      <c r="AK12" s="27" t="n">
        <f aca="false">IF(COUNT(Algodão!$E10:$Z10)=0,0,MAX(0,IF((AK$6-$E$3)&lt;1,0,IFERROR(LOOKUP(2,1/(Algodão!$E10:INDEX(Algodão!$E10:$Z10,MIN(AK$6-$E$3,22))&lt;&gt;""),Algodão!$E10:INDEX(Algodão!$E10:$Z10,MIN(AK$6-$E$3,22))),0))-IF($G$2,0,IF((AK$6-$G$3)&lt;1,0,IFERROR(LOOKUP(2,1/(Algodão!$E10:INDEX(Algodão!$E10:$Z10,MIN(AK$6-$G$3,22))&lt;&gt;""),Algodão!$E10:INDEX(Algodão!$E10:$Z10,MIN(AK$6-$G$3,22))),0)))))</f>
        <v>0</v>
      </c>
      <c r="AL12" s="27" t="n">
        <f aca="false">IF(COUNT(Algodão!$E10:$Z10)=0,0,MAX(0,IF((AL$6-$E$3)&lt;1,0,IFERROR(LOOKUP(2,1/(Algodão!$E10:INDEX(Algodão!$E10:$Z10,MIN(AL$6-$E$3,22))&lt;&gt;""),Algodão!$E10:INDEX(Algodão!$E10:$Z10,MIN(AL$6-$E$3,22))),0))-IF($G$2,0,IF((AL$6-$G$3)&lt;1,0,IFERROR(LOOKUP(2,1/(Algodão!$E10:INDEX(Algodão!$E10:$Z10,MIN(AL$6-$G$3,22))&lt;&gt;""),Algodão!$E10:INDEX(Algodão!$E10:$Z10,MIN(AL$6-$G$3,22))),0)))))</f>
        <v>0</v>
      </c>
      <c r="AM12" s="27" t="n">
        <f aca="false">IF(COUNT(Algodão!$E10:$Z10)=0,0,MAX(0,IF((AM$6-$E$3)&lt;1,0,IFERROR(LOOKUP(2,1/(Algodão!$E10:INDEX(Algodão!$E10:$Z10,MIN(AM$6-$E$3,22))&lt;&gt;""),Algodão!$E10:INDEX(Algodão!$E10:$Z10,MIN(AM$6-$E$3,22))),0))-IF($G$2,0,IF((AM$6-$G$3)&lt;1,0,IFERROR(LOOKUP(2,1/(Algodão!$E10:INDEX(Algodão!$E10:$Z10,MIN(AM$6-$G$3,22))&lt;&gt;""),Algodão!$E10:INDEX(Algodão!$E10:$Z10,MIN(AM$6-$G$3,22))),0)))))</f>
        <v>0</v>
      </c>
      <c r="AN12" s="27" t="n">
        <f aca="false">IF(COUNT(Algodão!$E10:$Z10)=0,0,MAX(0,IF((AN$6-$E$3)&lt;1,0,IFERROR(LOOKUP(2,1/(Algodão!$E10:INDEX(Algodão!$E10:$Z10,MIN(AN$6-$E$3,22))&lt;&gt;""),Algodão!$E10:INDEX(Algodão!$E10:$Z10,MIN(AN$6-$E$3,22))),0))-IF($G$2,0,IF((AN$6-$G$3)&lt;1,0,IFERROR(LOOKUP(2,1/(Algodão!$E10:INDEX(Algodão!$E10:$Z10,MIN(AN$6-$G$3,22))&lt;&gt;""),Algodão!$E10:INDEX(Algodão!$E10:$Z10,MIN(AN$6-$G$3,22))),0)))))</f>
        <v>0</v>
      </c>
      <c r="AO12" s="27" t="n">
        <f aca="false">IF(COUNT(Algodão!$E10:$Z10)=0,0,MAX(0,IF((AO$6-$E$3)&lt;1,0,IFERROR(LOOKUP(2,1/(Algodão!$E10:INDEX(Algodão!$E10:$Z10,MIN(AO$6-$E$3,22))&lt;&gt;""),Algodão!$E10:INDEX(Algodão!$E10:$Z10,MIN(AO$6-$E$3,22))),0))-IF($G$2,0,IF((AO$6-$G$3)&lt;1,0,IFERROR(LOOKUP(2,1/(Algodão!$E10:INDEX(Algodão!$E10:$Z10,MIN(AO$6-$G$3,22))&lt;&gt;""),Algodão!$E10:INDEX(Algodão!$E10:$Z10,MIN(AO$6-$G$3,22))),0)))))</f>
        <v>0</v>
      </c>
      <c r="AP12" s="27" t="n">
        <f aca="false">IF(COUNT(Algodão!$E10:$Z10)=0,0,MAX(0,IF((AP$6-$E$3)&lt;1,0,IFERROR(LOOKUP(2,1/(Algodão!$E10:INDEX(Algodão!$E10:$Z10,MIN(AP$6-$E$3,22))&lt;&gt;""),Algodão!$E10:INDEX(Algodão!$E10:$Z10,MIN(AP$6-$E$3,22))),0))-IF($G$2,0,IF((AP$6-$G$3)&lt;1,0,IFERROR(LOOKUP(2,1/(Algodão!$E10:INDEX(Algodão!$E10:$Z10,MIN(AP$6-$G$3,22))&lt;&gt;""),Algodão!$E10:INDEX(Algodão!$E10:$Z10,MIN(AP$6-$G$3,22))),0)))))</f>
        <v>0</v>
      </c>
      <c r="AQ12" s="27" t="n">
        <f aca="false">IF(COUNT(Algodão!$E10:$Z10)=0,0,MAX(0,IF((AQ$6-$E$3)&lt;1,0,IFERROR(LOOKUP(2,1/(Algodão!$E10:INDEX(Algodão!$E10:$Z10,MIN(AQ$6-$E$3,22))&lt;&gt;""),Algodão!$E10:INDEX(Algodão!$E10:$Z10,MIN(AQ$6-$E$3,22))),0))-IF($G$2,0,IF((AQ$6-$G$3)&lt;1,0,IFERROR(LOOKUP(2,1/(Algodão!$E10:INDEX(Algodão!$E10:$Z10,MIN(AQ$6-$G$3,22))&lt;&gt;""),Algodão!$E10:INDEX(Algodão!$E10:$Z10,MIN(AQ$6-$G$3,22))),0)))))</f>
        <v>0</v>
      </c>
      <c r="AR12" s="27" t="n">
        <f aca="false">IF(COUNT(Algodão!$E10:$Z10)=0,0,MAX(0,IF((AR$6-$E$3)&lt;1,0,IFERROR(LOOKUP(2,1/(Algodão!$E10:INDEX(Algodão!$E10:$Z10,MIN(AR$6-$E$3,22))&lt;&gt;""),Algodão!$E10:INDEX(Algodão!$E10:$Z10,MIN(AR$6-$E$3,22))),0))-IF($G$2,0,IF((AR$6-$G$3)&lt;1,0,IFERROR(LOOKUP(2,1/(Algodão!$E10:INDEX(Algodão!$E10:$Z10,MIN(AR$6-$G$3,22))&lt;&gt;""),Algodão!$E10:INDEX(Algodão!$E10:$Z10,MIN(AR$6-$G$3,22))),0)))))</f>
        <v>0</v>
      </c>
      <c r="AS12" s="27" t="n">
        <f aca="false">IF(COUNT(Algodão!$E10:$Z10)=0,0,MAX(0,IF((AS$6-$E$3)&lt;1,0,IFERROR(LOOKUP(2,1/(Algodão!$E10:INDEX(Algodão!$E10:$Z10,MIN(AS$6-$E$3,22))&lt;&gt;""),Algodão!$E10:INDEX(Algodão!$E10:$Z10,MIN(AS$6-$E$3,22))),0))-IF($G$2,0,IF((AS$6-$G$3)&lt;1,0,IFERROR(LOOKUP(2,1/(Algodão!$E10:INDEX(Algodão!$E10:$Z10,MIN(AS$6-$G$3,22))&lt;&gt;""),Algodão!$E10:INDEX(Algodão!$E10:$Z10,MIN(AS$6-$G$3,22))),0)))))</f>
        <v>0</v>
      </c>
      <c r="AT12" s="27" t="n">
        <f aca="false">IF(COUNT(Algodão!$E10:$Z10)=0,0,MAX(0,IF((AT$6-$E$3)&lt;1,0,IFERROR(LOOKUP(2,1/(Algodão!$E10:INDEX(Algodão!$E10:$Z10,MIN(AT$6-$E$3,22))&lt;&gt;""),Algodão!$E10:INDEX(Algodão!$E10:$Z10,MIN(AT$6-$E$3,22))),0))-IF($G$2,0,IF((AT$6-$G$3)&lt;1,0,IFERROR(LOOKUP(2,1/(Algodão!$E10:INDEX(Algodão!$E10:$Z10,MIN(AT$6-$G$3,22))&lt;&gt;""),Algodão!$E10:INDEX(Algodão!$E10:$Z10,MIN(AT$6-$G$3,22))),0)))))</f>
        <v>0</v>
      </c>
      <c r="AU12" s="27" t="n">
        <f aca="false">IF(COUNT(Algodão!$E10:$Z10)=0,0,MAX(0,IF((AU$6-$E$3)&lt;1,0,IFERROR(LOOKUP(2,1/(Algodão!$E10:INDEX(Algodão!$E10:$Z10,MIN(AU$6-$E$3,22))&lt;&gt;""),Algodão!$E10:INDEX(Algodão!$E10:$Z10,MIN(AU$6-$E$3,22))),0))-IF($G$2,0,IF((AU$6-$G$3)&lt;1,0,IFERROR(LOOKUP(2,1/(Algodão!$E10:INDEX(Algodão!$E10:$Z10,MIN(AU$6-$G$3,22))&lt;&gt;""),Algodão!$E10:INDEX(Algodão!$E10:$Z10,MIN(AU$6-$G$3,22))),0)))))</f>
        <v>0</v>
      </c>
      <c r="AV12" s="27" t="n">
        <f aca="false">IF(COUNT(Algodão!$E10:$Z10)=0,0,MAX(0,IF((AV$6-$E$3)&lt;1,0,IFERROR(LOOKUP(2,1/(Algodão!$E10:INDEX(Algodão!$E10:$Z10,MIN(AV$6-$E$3,22))&lt;&gt;""),Algodão!$E10:INDEX(Algodão!$E10:$Z10,MIN(AV$6-$E$3,22))),0))-IF($G$2,0,IF((AV$6-$G$3)&lt;1,0,IFERROR(LOOKUP(2,1/(Algodão!$E10:INDEX(Algodão!$E10:$Z10,MIN(AV$6-$G$3,22))&lt;&gt;""),Algodão!$E10:INDEX(Algodão!$E10:$Z10,MIN(AV$6-$G$3,22))),0)))))</f>
        <v>0</v>
      </c>
      <c r="AW12" s="27" t="n">
        <f aca="false">IF(COUNT(Algodão!$E10:$Z10)=0,0,MAX(0,IF((AW$6-$E$3)&lt;1,0,IFERROR(LOOKUP(2,1/(Algodão!$E10:INDEX(Algodão!$E10:$Z10,MIN(AW$6-$E$3,22))&lt;&gt;""),Algodão!$E10:INDEX(Algodão!$E10:$Z10,MIN(AW$6-$E$3,22))),0))-IF($G$2,0,IF((AW$6-$G$3)&lt;1,0,IFERROR(LOOKUP(2,1/(Algodão!$E10:INDEX(Algodão!$E10:$Z10,MIN(AW$6-$G$3,22))&lt;&gt;""),Algodão!$E10:INDEX(Algodão!$E10:$Z10,MIN(AW$6-$G$3,22))),0)))))</f>
        <v>0</v>
      </c>
      <c r="AX12" s="27" t="n">
        <f aca="false">IF(COUNT(Algodão!$E10:$Z10)=0,0,MAX(0,IF((AX$6-$E$3)&lt;1,0,IFERROR(LOOKUP(2,1/(Algodão!$E10:INDEX(Algodão!$E10:$Z10,MIN(AX$6-$E$3,22))&lt;&gt;""),Algodão!$E10:INDEX(Algodão!$E10:$Z10,MIN(AX$6-$E$3,22))),0))-IF($G$2,0,IF((AX$6-$G$3)&lt;1,0,IFERROR(LOOKUP(2,1/(Algodão!$E10:INDEX(Algodão!$E10:$Z10,MIN(AX$6-$G$3,22))&lt;&gt;""),Algodão!$E10:INDEX(Algodão!$E10:$Z10,MIN(AX$6-$G$3,22))),0)))))</f>
        <v>0</v>
      </c>
      <c r="AY12" s="27" t="n">
        <f aca="false">IF(COUNT(Algodão!$E10:$Z10)=0,0,MAX(0,IF((AY$6-$E$3)&lt;1,0,IFERROR(LOOKUP(2,1/(Algodão!$E10:INDEX(Algodão!$E10:$Z10,MIN(AY$6-$E$3,22))&lt;&gt;""),Algodão!$E10:INDEX(Algodão!$E10:$Z10,MIN(AY$6-$E$3,22))),0))-IF($G$2,0,IF((AY$6-$G$3)&lt;1,0,IFERROR(LOOKUP(2,1/(Algodão!$E10:INDEX(Algodão!$E10:$Z10,MIN(AY$6-$G$3,22))&lt;&gt;""),Algodão!$E10:INDEX(Algodão!$E10:$Z10,MIN(AY$6-$G$3,22))),0)))))</f>
        <v>0</v>
      </c>
      <c r="AZ12" s="27" t="n">
        <f aca="false">IF(COUNT(Algodão!$E10:$Z10)=0,0,MAX(0,IF((AZ$6-$E$3)&lt;1,0,IFERROR(LOOKUP(2,1/(Algodão!$E10:INDEX(Algodão!$E10:$Z10,MIN(AZ$6-$E$3,22))&lt;&gt;""),Algodão!$E10:INDEX(Algodão!$E10:$Z10,MIN(AZ$6-$E$3,22))),0))-IF($G$2,0,IF((AZ$6-$G$3)&lt;1,0,IFERROR(LOOKUP(2,1/(Algodão!$E10:INDEX(Algodão!$E10:$Z10,MIN(AZ$6-$G$3,22))&lt;&gt;""),Algodão!$E10:INDEX(Algodão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IF(COUNT(Algodão!$E11:$Z11)&gt;0,N(Algodão!$D11),0)</f>
        <v>0</v>
      </c>
      <c r="E13" s="27" t="n">
        <f aca="false">IF(COUNT(Algodão!$E11:$Z11)=0,0,MAX(0,IF((E$6-$E$3)&lt;1,0,IFERROR(LOOKUP(2,1/(Algodão!$E11:INDEX(Algodão!$E11:$Z11,MIN(E$6-$E$3,22))&lt;&gt;""),Algodão!$E11:INDEX(Algodão!$E11:$Z11,MIN(E$6-$E$3,22))),0))-IF($G$2,0,IF((E$6-$G$3)&lt;1,0,IFERROR(LOOKUP(2,1/(Algodão!$E11:INDEX(Algodão!$E11:$Z11,MIN(E$6-$G$3,22))&lt;&gt;""),Algodão!$E11:INDEX(Algodão!$E11:$Z11,MIN(E$6-$G$3,22))),0)))))</f>
        <v>0</v>
      </c>
      <c r="F13" s="27" t="n">
        <f aca="false">IF(COUNT(Algodão!$E11:$Z11)=0,0,MAX(0,IF((F$6-$E$3)&lt;1,0,IFERROR(LOOKUP(2,1/(Algodão!$E11:INDEX(Algodão!$E11:$Z11,MIN(F$6-$E$3,22))&lt;&gt;""),Algodão!$E11:INDEX(Algodão!$E11:$Z11,MIN(F$6-$E$3,22))),0))-IF($G$2,0,IF((F$6-$G$3)&lt;1,0,IFERROR(LOOKUP(2,1/(Algodão!$E11:INDEX(Algodão!$E11:$Z11,MIN(F$6-$G$3,22))&lt;&gt;""),Algodão!$E11:INDEX(Algodão!$E11:$Z11,MIN(F$6-$G$3,22))),0)))))</f>
        <v>0</v>
      </c>
      <c r="G13" s="27" t="n">
        <f aca="false">IF(COUNT(Algodão!$E11:$Z11)=0,0,MAX(0,IF((G$6-$E$3)&lt;1,0,IFERROR(LOOKUP(2,1/(Algodão!$E11:INDEX(Algodão!$E11:$Z11,MIN(G$6-$E$3,22))&lt;&gt;""),Algodão!$E11:INDEX(Algodão!$E11:$Z11,MIN(G$6-$E$3,22))),0))-IF($G$2,0,IF((G$6-$G$3)&lt;1,0,IFERROR(LOOKUP(2,1/(Algodão!$E11:INDEX(Algodão!$E11:$Z11,MIN(G$6-$G$3,22))&lt;&gt;""),Algodão!$E11:INDEX(Algodão!$E11:$Z11,MIN(G$6-$G$3,22))),0)))))</f>
        <v>0</v>
      </c>
      <c r="H13" s="27" t="n">
        <f aca="false">IF(COUNT(Algodão!$E11:$Z11)=0,0,MAX(0,IF((H$6-$E$3)&lt;1,0,IFERROR(LOOKUP(2,1/(Algodão!$E11:INDEX(Algodão!$E11:$Z11,MIN(H$6-$E$3,22))&lt;&gt;""),Algodão!$E11:INDEX(Algodão!$E11:$Z11,MIN(H$6-$E$3,22))),0))-IF($G$2,0,IF((H$6-$G$3)&lt;1,0,IFERROR(LOOKUP(2,1/(Algodão!$E11:INDEX(Algodão!$E11:$Z11,MIN(H$6-$G$3,22))&lt;&gt;""),Algodão!$E11:INDEX(Algodão!$E11:$Z11,MIN(H$6-$G$3,22))),0)))))</f>
        <v>0</v>
      </c>
      <c r="I13" s="27" t="n">
        <f aca="false">IF(COUNT(Algodão!$E11:$Z11)=0,0,MAX(0,IF((I$6-$E$3)&lt;1,0,IFERROR(LOOKUP(2,1/(Algodão!$E11:INDEX(Algodão!$E11:$Z11,MIN(I$6-$E$3,22))&lt;&gt;""),Algodão!$E11:INDEX(Algodão!$E11:$Z11,MIN(I$6-$E$3,22))),0))-IF($G$2,0,IF((I$6-$G$3)&lt;1,0,IFERROR(LOOKUP(2,1/(Algodão!$E11:INDEX(Algodão!$E11:$Z11,MIN(I$6-$G$3,22))&lt;&gt;""),Algodão!$E11:INDEX(Algodão!$E11:$Z11,MIN(I$6-$G$3,22))),0)))))</f>
        <v>0</v>
      </c>
      <c r="J13" s="27" t="n">
        <f aca="false">IF(COUNT(Algodão!$E11:$Z11)=0,0,MAX(0,IF((J$6-$E$3)&lt;1,0,IFERROR(LOOKUP(2,1/(Algodão!$E11:INDEX(Algodão!$E11:$Z11,MIN(J$6-$E$3,22))&lt;&gt;""),Algodão!$E11:INDEX(Algodão!$E11:$Z11,MIN(J$6-$E$3,22))),0))-IF($G$2,0,IF((J$6-$G$3)&lt;1,0,IFERROR(LOOKUP(2,1/(Algodão!$E11:INDEX(Algodão!$E11:$Z11,MIN(J$6-$G$3,22))&lt;&gt;""),Algodão!$E11:INDEX(Algodão!$E11:$Z11,MIN(J$6-$G$3,22))),0)))))</f>
        <v>0</v>
      </c>
      <c r="K13" s="27" t="n">
        <f aca="false">IF(COUNT(Algodão!$E11:$Z11)=0,0,MAX(0,IF((K$6-$E$3)&lt;1,0,IFERROR(LOOKUP(2,1/(Algodão!$E11:INDEX(Algodão!$E11:$Z11,MIN(K$6-$E$3,22))&lt;&gt;""),Algodão!$E11:INDEX(Algodão!$E11:$Z11,MIN(K$6-$E$3,22))),0))-IF($G$2,0,IF((K$6-$G$3)&lt;1,0,IFERROR(LOOKUP(2,1/(Algodão!$E11:INDEX(Algodão!$E11:$Z11,MIN(K$6-$G$3,22))&lt;&gt;""),Algodão!$E11:INDEX(Algodão!$E11:$Z11,MIN(K$6-$G$3,22))),0)))))</f>
        <v>0</v>
      </c>
      <c r="L13" s="27" t="n">
        <f aca="false">IF(COUNT(Algodão!$E11:$Z11)=0,0,MAX(0,IF((L$6-$E$3)&lt;1,0,IFERROR(LOOKUP(2,1/(Algodão!$E11:INDEX(Algodão!$E11:$Z11,MIN(L$6-$E$3,22))&lt;&gt;""),Algodão!$E11:INDEX(Algodão!$E11:$Z11,MIN(L$6-$E$3,22))),0))-IF($G$2,0,IF((L$6-$G$3)&lt;1,0,IFERROR(LOOKUP(2,1/(Algodão!$E11:INDEX(Algodão!$E11:$Z11,MIN(L$6-$G$3,22))&lt;&gt;""),Algodão!$E11:INDEX(Algodão!$E11:$Z11,MIN(L$6-$G$3,22))),0)))))</f>
        <v>0</v>
      </c>
      <c r="M13" s="27" t="n">
        <f aca="false">IF(COUNT(Algodão!$E11:$Z11)=0,0,MAX(0,IF((M$6-$E$3)&lt;1,0,IFERROR(LOOKUP(2,1/(Algodão!$E11:INDEX(Algodão!$E11:$Z11,MIN(M$6-$E$3,22))&lt;&gt;""),Algodão!$E11:INDEX(Algodão!$E11:$Z11,MIN(M$6-$E$3,22))),0))-IF($G$2,0,IF((M$6-$G$3)&lt;1,0,IFERROR(LOOKUP(2,1/(Algodão!$E11:INDEX(Algodão!$E11:$Z11,MIN(M$6-$G$3,22))&lt;&gt;""),Algodão!$E11:INDEX(Algodão!$E11:$Z11,MIN(M$6-$G$3,22))),0)))))</f>
        <v>0</v>
      </c>
      <c r="N13" s="27" t="n">
        <f aca="false">IF(COUNT(Algodão!$E11:$Z11)=0,0,MAX(0,IF((N$6-$E$3)&lt;1,0,IFERROR(LOOKUP(2,1/(Algodão!$E11:INDEX(Algodão!$E11:$Z11,MIN(N$6-$E$3,22))&lt;&gt;""),Algodão!$E11:INDEX(Algodão!$E11:$Z11,MIN(N$6-$E$3,22))),0))-IF($G$2,0,IF((N$6-$G$3)&lt;1,0,IFERROR(LOOKUP(2,1/(Algodão!$E11:INDEX(Algodão!$E11:$Z11,MIN(N$6-$G$3,22))&lt;&gt;""),Algodão!$E11:INDEX(Algodão!$E11:$Z11,MIN(N$6-$G$3,22))),0)))))</f>
        <v>0</v>
      </c>
      <c r="O13" s="27" t="n">
        <f aca="false">IF(COUNT(Algodão!$E11:$Z11)=0,0,MAX(0,IF((O$6-$E$3)&lt;1,0,IFERROR(LOOKUP(2,1/(Algodão!$E11:INDEX(Algodão!$E11:$Z11,MIN(O$6-$E$3,22))&lt;&gt;""),Algodão!$E11:INDEX(Algodão!$E11:$Z11,MIN(O$6-$E$3,22))),0))-IF($G$2,0,IF((O$6-$G$3)&lt;1,0,IFERROR(LOOKUP(2,1/(Algodão!$E11:INDEX(Algodão!$E11:$Z11,MIN(O$6-$G$3,22))&lt;&gt;""),Algodão!$E11:INDEX(Algodão!$E11:$Z11,MIN(O$6-$G$3,22))),0)))))</f>
        <v>0</v>
      </c>
      <c r="P13" s="27" t="n">
        <f aca="false">IF(COUNT(Algodão!$E11:$Z11)=0,0,MAX(0,IF((P$6-$E$3)&lt;1,0,IFERROR(LOOKUP(2,1/(Algodão!$E11:INDEX(Algodão!$E11:$Z11,MIN(P$6-$E$3,22))&lt;&gt;""),Algodão!$E11:INDEX(Algodão!$E11:$Z11,MIN(P$6-$E$3,22))),0))-IF($G$2,0,IF((P$6-$G$3)&lt;1,0,IFERROR(LOOKUP(2,1/(Algodão!$E11:INDEX(Algodão!$E11:$Z11,MIN(P$6-$G$3,22))&lt;&gt;""),Algodão!$E11:INDEX(Algodão!$E11:$Z11,MIN(P$6-$G$3,22))),0)))))</f>
        <v>0</v>
      </c>
      <c r="Q13" s="27" t="n">
        <f aca="false">IF(COUNT(Algodão!$E11:$Z11)=0,0,MAX(0,IF((Q$6-$E$3)&lt;1,0,IFERROR(LOOKUP(2,1/(Algodão!$E11:INDEX(Algodão!$E11:$Z11,MIN(Q$6-$E$3,22))&lt;&gt;""),Algodão!$E11:INDEX(Algodão!$E11:$Z11,MIN(Q$6-$E$3,22))),0))-IF($G$2,0,IF((Q$6-$G$3)&lt;1,0,IFERROR(LOOKUP(2,1/(Algodão!$E11:INDEX(Algodão!$E11:$Z11,MIN(Q$6-$G$3,22))&lt;&gt;""),Algodão!$E11:INDEX(Algodão!$E11:$Z11,MIN(Q$6-$G$3,22))),0)))))</f>
        <v>0</v>
      </c>
      <c r="R13" s="27" t="n">
        <f aca="false">IF(COUNT(Algodão!$E11:$Z11)=0,0,MAX(0,IF((R$6-$E$3)&lt;1,0,IFERROR(LOOKUP(2,1/(Algodão!$E11:INDEX(Algodão!$E11:$Z11,MIN(R$6-$E$3,22))&lt;&gt;""),Algodão!$E11:INDEX(Algodão!$E11:$Z11,MIN(R$6-$E$3,22))),0))-IF($G$2,0,IF((R$6-$G$3)&lt;1,0,IFERROR(LOOKUP(2,1/(Algodão!$E11:INDEX(Algodão!$E11:$Z11,MIN(R$6-$G$3,22))&lt;&gt;""),Algodão!$E11:INDEX(Algodão!$E11:$Z11,MIN(R$6-$G$3,22))),0)))))</f>
        <v>0</v>
      </c>
      <c r="S13" s="27" t="n">
        <f aca="false">IF(COUNT(Algodão!$E11:$Z11)=0,0,MAX(0,IF((S$6-$E$3)&lt;1,0,IFERROR(LOOKUP(2,1/(Algodão!$E11:INDEX(Algodão!$E11:$Z11,MIN(S$6-$E$3,22))&lt;&gt;""),Algodão!$E11:INDEX(Algodão!$E11:$Z11,MIN(S$6-$E$3,22))),0))-IF($G$2,0,IF((S$6-$G$3)&lt;1,0,IFERROR(LOOKUP(2,1/(Algodão!$E11:INDEX(Algodão!$E11:$Z11,MIN(S$6-$G$3,22))&lt;&gt;""),Algodão!$E11:INDEX(Algodão!$E11:$Z11,MIN(S$6-$G$3,22))),0)))))</f>
        <v>0</v>
      </c>
      <c r="T13" s="27" t="n">
        <f aca="false">IF(COUNT(Algodão!$E11:$Z11)=0,0,MAX(0,IF((T$6-$E$3)&lt;1,0,IFERROR(LOOKUP(2,1/(Algodão!$E11:INDEX(Algodão!$E11:$Z11,MIN(T$6-$E$3,22))&lt;&gt;""),Algodão!$E11:INDEX(Algodão!$E11:$Z11,MIN(T$6-$E$3,22))),0))-IF($G$2,0,IF((T$6-$G$3)&lt;1,0,IFERROR(LOOKUP(2,1/(Algodão!$E11:INDEX(Algodão!$E11:$Z11,MIN(T$6-$G$3,22))&lt;&gt;""),Algodão!$E11:INDEX(Algodão!$E11:$Z11,MIN(T$6-$G$3,22))),0)))))</f>
        <v>0</v>
      </c>
      <c r="U13" s="27" t="n">
        <f aca="false">IF(COUNT(Algodão!$E11:$Z11)=0,0,MAX(0,IF((U$6-$E$3)&lt;1,0,IFERROR(LOOKUP(2,1/(Algodão!$E11:INDEX(Algodão!$E11:$Z11,MIN(U$6-$E$3,22))&lt;&gt;""),Algodão!$E11:INDEX(Algodão!$E11:$Z11,MIN(U$6-$E$3,22))),0))-IF($G$2,0,IF((U$6-$G$3)&lt;1,0,IFERROR(LOOKUP(2,1/(Algodão!$E11:INDEX(Algodão!$E11:$Z11,MIN(U$6-$G$3,22))&lt;&gt;""),Algodão!$E11:INDEX(Algodão!$E11:$Z11,MIN(U$6-$G$3,22))),0)))))</f>
        <v>0</v>
      </c>
      <c r="V13" s="27" t="n">
        <f aca="false">IF(COUNT(Algodão!$E11:$Z11)=0,0,MAX(0,IF((V$6-$E$3)&lt;1,0,IFERROR(LOOKUP(2,1/(Algodão!$E11:INDEX(Algodão!$E11:$Z11,MIN(V$6-$E$3,22))&lt;&gt;""),Algodão!$E11:INDEX(Algodão!$E11:$Z11,MIN(V$6-$E$3,22))),0))-IF($G$2,0,IF((V$6-$G$3)&lt;1,0,IFERROR(LOOKUP(2,1/(Algodão!$E11:INDEX(Algodão!$E11:$Z11,MIN(V$6-$G$3,22))&lt;&gt;""),Algodão!$E11:INDEX(Algodão!$E11:$Z11,MIN(V$6-$G$3,22))),0)))))</f>
        <v>0</v>
      </c>
      <c r="W13" s="27" t="n">
        <f aca="false">IF(COUNT(Algodão!$E11:$Z11)=0,0,MAX(0,IF((W$6-$E$3)&lt;1,0,IFERROR(LOOKUP(2,1/(Algodão!$E11:INDEX(Algodão!$E11:$Z11,MIN(W$6-$E$3,22))&lt;&gt;""),Algodão!$E11:INDEX(Algodão!$E11:$Z11,MIN(W$6-$E$3,22))),0))-IF($G$2,0,IF((W$6-$G$3)&lt;1,0,IFERROR(LOOKUP(2,1/(Algodão!$E11:INDEX(Algodão!$E11:$Z11,MIN(W$6-$G$3,22))&lt;&gt;""),Algodão!$E11:INDEX(Algodão!$E11:$Z11,MIN(W$6-$G$3,22))),0)))))</f>
        <v>0</v>
      </c>
      <c r="X13" s="27" t="n">
        <f aca="false">IF(COUNT(Algodão!$E11:$Z11)=0,0,MAX(0,IF((X$6-$E$3)&lt;1,0,IFERROR(LOOKUP(2,1/(Algodão!$E11:INDEX(Algodão!$E11:$Z11,MIN(X$6-$E$3,22))&lt;&gt;""),Algodão!$E11:INDEX(Algodão!$E11:$Z11,MIN(X$6-$E$3,22))),0))-IF($G$2,0,IF((X$6-$G$3)&lt;1,0,IFERROR(LOOKUP(2,1/(Algodão!$E11:INDEX(Algodão!$E11:$Z11,MIN(X$6-$G$3,22))&lt;&gt;""),Algodão!$E11:INDEX(Algodão!$E11:$Z11,MIN(X$6-$G$3,22))),0)))))</f>
        <v>0</v>
      </c>
      <c r="Y13" s="27" t="n">
        <f aca="false">IF(COUNT(Algodão!$E11:$Z11)=0,0,MAX(0,IF((Y$6-$E$3)&lt;1,0,IFERROR(LOOKUP(2,1/(Algodão!$E11:INDEX(Algodão!$E11:$Z11,MIN(Y$6-$E$3,22))&lt;&gt;""),Algodão!$E11:INDEX(Algodão!$E11:$Z11,MIN(Y$6-$E$3,22))),0))-IF($G$2,0,IF((Y$6-$G$3)&lt;1,0,IFERROR(LOOKUP(2,1/(Algodão!$E11:INDEX(Algodão!$E11:$Z11,MIN(Y$6-$G$3,22))&lt;&gt;""),Algodão!$E11:INDEX(Algodão!$E11:$Z11,MIN(Y$6-$G$3,22))),0)))))</f>
        <v>0</v>
      </c>
      <c r="Z13" s="27" t="n">
        <f aca="false">IF(COUNT(Algodão!$E11:$Z11)=0,0,MAX(0,IF((Z$6-$E$3)&lt;1,0,IFERROR(LOOKUP(2,1/(Algodão!$E11:INDEX(Algodão!$E11:$Z11,MIN(Z$6-$E$3,22))&lt;&gt;""),Algodão!$E11:INDEX(Algodão!$E11:$Z11,MIN(Z$6-$E$3,22))),0))-IF($G$2,0,IF((Z$6-$G$3)&lt;1,0,IFERROR(LOOKUP(2,1/(Algodão!$E11:INDEX(Algodão!$E11:$Z11,MIN(Z$6-$G$3,22))&lt;&gt;""),Algodão!$E11:INDEX(Algodão!$E11:$Z11,MIN(Z$6-$G$3,22))),0)))))</f>
        <v>0</v>
      </c>
      <c r="AA13" s="27" t="n">
        <f aca="false">IF(COUNT(Algodão!$E11:$Z11)=0,0,MAX(0,IF((AA$6-$E$3)&lt;1,0,IFERROR(LOOKUP(2,1/(Algodão!$E11:INDEX(Algodão!$E11:$Z11,MIN(AA$6-$E$3,22))&lt;&gt;""),Algodão!$E11:INDEX(Algodão!$E11:$Z11,MIN(AA$6-$E$3,22))),0))-IF($G$2,0,IF((AA$6-$G$3)&lt;1,0,IFERROR(LOOKUP(2,1/(Algodão!$E11:INDEX(Algodão!$E11:$Z11,MIN(AA$6-$G$3,22))&lt;&gt;""),Algodão!$E11:INDEX(Algodão!$E11:$Z11,MIN(AA$6-$G$3,22))),0)))))</f>
        <v>0</v>
      </c>
      <c r="AB13" s="27" t="n">
        <f aca="false">IF(COUNT(Algodão!$E11:$Z11)=0,0,MAX(0,IF((AB$6-$E$3)&lt;1,0,IFERROR(LOOKUP(2,1/(Algodão!$E11:INDEX(Algodão!$E11:$Z11,MIN(AB$6-$E$3,22))&lt;&gt;""),Algodão!$E11:INDEX(Algodão!$E11:$Z11,MIN(AB$6-$E$3,22))),0))-IF($G$2,0,IF((AB$6-$G$3)&lt;1,0,IFERROR(LOOKUP(2,1/(Algodão!$E11:INDEX(Algodão!$E11:$Z11,MIN(AB$6-$G$3,22))&lt;&gt;""),Algodão!$E11:INDEX(Algodão!$E11:$Z11,MIN(AB$6-$G$3,22))),0)))))</f>
        <v>0</v>
      </c>
      <c r="AC13" s="27" t="n">
        <f aca="false">IF(COUNT(Algodão!$E11:$Z11)=0,0,MAX(0,IF((AC$6-$E$3)&lt;1,0,IFERROR(LOOKUP(2,1/(Algodão!$E11:INDEX(Algodão!$E11:$Z11,MIN(AC$6-$E$3,22))&lt;&gt;""),Algodão!$E11:INDEX(Algodão!$E11:$Z11,MIN(AC$6-$E$3,22))),0))-IF($G$2,0,IF((AC$6-$G$3)&lt;1,0,IFERROR(LOOKUP(2,1/(Algodão!$E11:INDEX(Algodão!$E11:$Z11,MIN(AC$6-$G$3,22))&lt;&gt;""),Algodão!$E11:INDEX(Algodão!$E11:$Z11,MIN(AC$6-$G$3,22))),0)))))</f>
        <v>0</v>
      </c>
      <c r="AD13" s="27" t="n">
        <f aca="false">IF(COUNT(Algodão!$E11:$Z11)=0,0,MAX(0,IF((AD$6-$E$3)&lt;1,0,IFERROR(LOOKUP(2,1/(Algodão!$E11:INDEX(Algodão!$E11:$Z11,MIN(AD$6-$E$3,22))&lt;&gt;""),Algodão!$E11:INDEX(Algodão!$E11:$Z11,MIN(AD$6-$E$3,22))),0))-IF($G$2,0,IF((AD$6-$G$3)&lt;1,0,IFERROR(LOOKUP(2,1/(Algodão!$E11:INDEX(Algodão!$E11:$Z11,MIN(AD$6-$G$3,22))&lt;&gt;""),Algodão!$E11:INDEX(Algodão!$E11:$Z11,MIN(AD$6-$G$3,22))),0)))))</f>
        <v>0</v>
      </c>
      <c r="AE13" s="27" t="n">
        <f aca="false">IF(COUNT(Algodão!$E11:$Z11)=0,0,MAX(0,IF((AE$6-$E$3)&lt;1,0,IFERROR(LOOKUP(2,1/(Algodão!$E11:INDEX(Algodão!$E11:$Z11,MIN(AE$6-$E$3,22))&lt;&gt;""),Algodão!$E11:INDEX(Algodão!$E11:$Z11,MIN(AE$6-$E$3,22))),0))-IF($G$2,0,IF((AE$6-$G$3)&lt;1,0,IFERROR(LOOKUP(2,1/(Algodão!$E11:INDEX(Algodão!$E11:$Z11,MIN(AE$6-$G$3,22))&lt;&gt;""),Algodão!$E11:INDEX(Algodão!$E11:$Z11,MIN(AE$6-$G$3,22))),0)))))</f>
        <v>0</v>
      </c>
      <c r="AF13" s="27" t="n">
        <f aca="false">IF(COUNT(Algodão!$E11:$Z11)=0,0,MAX(0,IF((AF$6-$E$3)&lt;1,0,IFERROR(LOOKUP(2,1/(Algodão!$E11:INDEX(Algodão!$E11:$Z11,MIN(AF$6-$E$3,22))&lt;&gt;""),Algodão!$E11:INDEX(Algodão!$E11:$Z11,MIN(AF$6-$E$3,22))),0))-IF($G$2,0,IF((AF$6-$G$3)&lt;1,0,IFERROR(LOOKUP(2,1/(Algodão!$E11:INDEX(Algodão!$E11:$Z11,MIN(AF$6-$G$3,22))&lt;&gt;""),Algodão!$E11:INDEX(Algodão!$E11:$Z11,MIN(AF$6-$G$3,22))),0)))))</f>
        <v>0</v>
      </c>
      <c r="AG13" s="27" t="n">
        <f aca="false">IF(COUNT(Algodão!$E11:$Z11)=0,0,MAX(0,IF((AG$6-$E$3)&lt;1,0,IFERROR(LOOKUP(2,1/(Algodão!$E11:INDEX(Algodão!$E11:$Z11,MIN(AG$6-$E$3,22))&lt;&gt;""),Algodão!$E11:INDEX(Algodão!$E11:$Z11,MIN(AG$6-$E$3,22))),0))-IF($G$2,0,IF((AG$6-$G$3)&lt;1,0,IFERROR(LOOKUP(2,1/(Algodão!$E11:INDEX(Algodão!$E11:$Z11,MIN(AG$6-$G$3,22))&lt;&gt;""),Algodão!$E11:INDEX(Algodão!$E11:$Z11,MIN(AG$6-$G$3,22))),0)))))</f>
        <v>0</v>
      </c>
      <c r="AH13" s="27" t="n">
        <f aca="false">IF(COUNT(Algodão!$E11:$Z11)=0,0,MAX(0,IF((AH$6-$E$3)&lt;1,0,IFERROR(LOOKUP(2,1/(Algodão!$E11:INDEX(Algodão!$E11:$Z11,MIN(AH$6-$E$3,22))&lt;&gt;""),Algodão!$E11:INDEX(Algodão!$E11:$Z11,MIN(AH$6-$E$3,22))),0))-IF($G$2,0,IF((AH$6-$G$3)&lt;1,0,IFERROR(LOOKUP(2,1/(Algodão!$E11:INDEX(Algodão!$E11:$Z11,MIN(AH$6-$G$3,22))&lt;&gt;""),Algodão!$E11:INDEX(Algodão!$E11:$Z11,MIN(AH$6-$G$3,22))),0)))))</f>
        <v>0</v>
      </c>
      <c r="AI13" s="27" t="n">
        <f aca="false">IF(COUNT(Algodão!$E11:$Z11)=0,0,MAX(0,IF((AI$6-$E$3)&lt;1,0,IFERROR(LOOKUP(2,1/(Algodão!$E11:INDEX(Algodão!$E11:$Z11,MIN(AI$6-$E$3,22))&lt;&gt;""),Algodão!$E11:INDEX(Algodão!$E11:$Z11,MIN(AI$6-$E$3,22))),0))-IF($G$2,0,IF((AI$6-$G$3)&lt;1,0,IFERROR(LOOKUP(2,1/(Algodão!$E11:INDEX(Algodão!$E11:$Z11,MIN(AI$6-$G$3,22))&lt;&gt;""),Algodão!$E11:INDEX(Algodão!$E11:$Z11,MIN(AI$6-$G$3,22))),0)))))</f>
        <v>0</v>
      </c>
      <c r="AJ13" s="27" t="n">
        <f aca="false">IF(COUNT(Algodão!$E11:$Z11)=0,0,MAX(0,IF((AJ$6-$E$3)&lt;1,0,IFERROR(LOOKUP(2,1/(Algodão!$E11:INDEX(Algodão!$E11:$Z11,MIN(AJ$6-$E$3,22))&lt;&gt;""),Algodão!$E11:INDEX(Algodão!$E11:$Z11,MIN(AJ$6-$E$3,22))),0))-IF($G$2,0,IF((AJ$6-$G$3)&lt;1,0,IFERROR(LOOKUP(2,1/(Algodão!$E11:INDEX(Algodão!$E11:$Z11,MIN(AJ$6-$G$3,22))&lt;&gt;""),Algodão!$E11:INDEX(Algodão!$E11:$Z11,MIN(AJ$6-$G$3,22))),0)))))</f>
        <v>0</v>
      </c>
      <c r="AK13" s="27" t="n">
        <f aca="false">IF(COUNT(Algodão!$E11:$Z11)=0,0,MAX(0,IF((AK$6-$E$3)&lt;1,0,IFERROR(LOOKUP(2,1/(Algodão!$E11:INDEX(Algodão!$E11:$Z11,MIN(AK$6-$E$3,22))&lt;&gt;""),Algodão!$E11:INDEX(Algodão!$E11:$Z11,MIN(AK$6-$E$3,22))),0))-IF($G$2,0,IF((AK$6-$G$3)&lt;1,0,IFERROR(LOOKUP(2,1/(Algodão!$E11:INDEX(Algodão!$E11:$Z11,MIN(AK$6-$G$3,22))&lt;&gt;""),Algodão!$E11:INDEX(Algodão!$E11:$Z11,MIN(AK$6-$G$3,22))),0)))))</f>
        <v>0</v>
      </c>
      <c r="AL13" s="27" t="n">
        <f aca="false">IF(COUNT(Algodão!$E11:$Z11)=0,0,MAX(0,IF((AL$6-$E$3)&lt;1,0,IFERROR(LOOKUP(2,1/(Algodão!$E11:INDEX(Algodão!$E11:$Z11,MIN(AL$6-$E$3,22))&lt;&gt;""),Algodão!$E11:INDEX(Algodão!$E11:$Z11,MIN(AL$6-$E$3,22))),0))-IF($G$2,0,IF((AL$6-$G$3)&lt;1,0,IFERROR(LOOKUP(2,1/(Algodão!$E11:INDEX(Algodão!$E11:$Z11,MIN(AL$6-$G$3,22))&lt;&gt;""),Algodão!$E11:INDEX(Algodão!$E11:$Z11,MIN(AL$6-$G$3,22))),0)))))</f>
        <v>0</v>
      </c>
      <c r="AM13" s="27" t="n">
        <f aca="false">IF(COUNT(Algodão!$E11:$Z11)=0,0,MAX(0,IF((AM$6-$E$3)&lt;1,0,IFERROR(LOOKUP(2,1/(Algodão!$E11:INDEX(Algodão!$E11:$Z11,MIN(AM$6-$E$3,22))&lt;&gt;""),Algodão!$E11:INDEX(Algodão!$E11:$Z11,MIN(AM$6-$E$3,22))),0))-IF($G$2,0,IF((AM$6-$G$3)&lt;1,0,IFERROR(LOOKUP(2,1/(Algodão!$E11:INDEX(Algodão!$E11:$Z11,MIN(AM$6-$G$3,22))&lt;&gt;""),Algodão!$E11:INDEX(Algodão!$E11:$Z11,MIN(AM$6-$G$3,22))),0)))))</f>
        <v>0</v>
      </c>
      <c r="AN13" s="27" t="n">
        <f aca="false">IF(COUNT(Algodão!$E11:$Z11)=0,0,MAX(0,IF((AN$6-$E$3)&lt;1,0,IFERROR(LOOKUP(2,1/(Algodão!$E11:INDEX(Algodão!$E11:$Z11,MIN(AN$6-$E$3,22))&lt;&gt;""),Algodão!$E11:INDEX(Algodão!$E11:$Z11,MIN(AN$6-$E$3,22))),0))-IF($G$2,0,IF((AN$6-$G$3)&lt;1,0,IFERROR(LOOKUP(2,1/(Algodão!$E11:INDEX(Algodão!$E11:$Z11,MIN(AN$6-$G$3,22))&lt;&gt;""),Algodão!$E11:INDEX(Algodão!$E11:$Z11,MIN(AN$6-$G$3,22))),0)))))</f>
        <v>0</v>
      </c>
      <c r="AO13" s="27" t="n">
        <f aca="false">IF(COUNT(Algodão!$E11:$Z11)=0,0,MAX(0,IF((AO$6-$E$3)&lt;1,0,IFERROR(LOOKUP(2,1/(Algodão!$E11:INDEX(Algodão!$E11:$Z11,MIN(AO$6-$E$3,22))&lt;&gt;""),Algodão!$E11:INDEX(Algodão!$E11:$Z11,MIN(AO$6-$E$3,22))),0))-IF($G$2,0,IF((AO$6-$G$3)&lt;1,0,IFERROR(LOOKUP(2,1/(Algodão!$E11:INDEX(Algodão!$E11:$Z11,MIN(AO$6-$G$3,22))&lt;&gt;""),Algodão!$E11:INDEX(Algodão!$E11:$Z11,MIN(AO$6-$G$3,22))),0)))))</f>
        <v>0</v>
      </c>
      <c r="AP13" s="27" t="n">
        <f aca="false">IF(COUNT(Algodão!$E11:$Z11)=0,0,MAX(0,IF((AP$6-$E$3)&lt;1,0,IFERROR(LOOKUP(2,1/(Algodão!$E11:INDEX(Algodão!$E11:$Z11,MIN(AP$6-$E$3,22))&lt;&gt;""),Algodão!$E11:INDEX(Algodão!$E11:$Z11,MIN(AP$6-$E$3,22))),0))-IF($G$2,0,IF((AP$6-$G$3)&lt;1,0,IFERROR(LOOKUP(2,1/(Algodão!$E11:INDEX(Algodão!$E11:$Z11,MIN(AP$6-$G$3,22))&lt;&gt;""),Algodão!$E11:INDEX(Algodão!$E11:$Z11,MIN(AP$6-$G$3,22))),0)))))</f>
        <v>0</v>
      </c>
      <c r="AQ13" s="27" t="n">
        <f aca="false">IF(COUNT(Algodão!$E11:$Z11)=0,0,MAX(0,IF((AQ$6-$E$3)&lt;1,0,IFERROR(LOOKUP(2,1/(Algodão!$E11:INDEX(Algodão!$E11:$Z11,MIN(AQ$6-$E$3,22))&lt;&gt;""),Algodão!$E11:INDEX(Algodão!$E11:$Z11,MIN(AQ$6-$E$3,22))),0))-IF($G$2,0,IF((AQ$6-$G$3)&lt;1,0,IFERROR(LOOKUP(2,1/(Algodão!$E11:INDEX(Algodão!$E11:$Z11,MIN(AQ$6-$G$3,22))&lt;&gt;""),Algodão!$E11:INDEX(Algodão!$E11:$Z11,MIN(AQ$6-$G$3,22))),0)))))</f>
        <v>0</v>
      </c>
      <c r="AR13" s="27" t="n">
        <f aca="false">IF(COUNT(Algodão!$E11:$Z11)=0,0,MAX(0,IF((AR$6-$E$3)&lt;1,0,IFERROR(LOOKUP(2,1/(Algodão!$E11:INDEX(Algodão!$E11:$Z11,MIN(AR$6-$E$3,22))&lt;&gt;""),Algodão!$E11:INDEX(Algodão!$E11:$Z11,MIN(AR$6-$E$3,22))),0))-IF($G$2,0,IF((AR$6-$G$3)&lt;1,0,IFERROR(LOOKUP(2,1/(Algodão!$E11:INDEX(Algodão!$E11:$Z11,MIN(AR$6-$G$3,22))&lt;&gt;""),Algodão!$E11:INDEX(Algodão!$E11:$Z11,MIN(AR$6-$G$3,22))),0)))))</f>
        <v>0</v>
      </c>
      <c r="AS13" s="27" t="n">
        <f aca="false">IF(COUNT(Algodão!$E11:$Z11)=0,0,MAX(0,IF((AS$6-$E$3)&lt;1,0,IFERROR(LOOKUP(2,1/(Algodão!$E11:INDEX(Algodão!$E11:$Z11,MIN(AS$6-$E$3,22))&lt;&gt;""),Algodão!$E11:INDEX(Algodão!$E11:$Z11,MIN(AS$6-$E$3,22))),0))-IF($G$2,0,IF((AS$6-$G$3)&lt;1,0,IFERROR(LOOKUP(2,1/(Algodão!$E11:INDEX(Algodão!$E11:$Z11,MIN(AS$6-$G$3,22))&lt;&gt;""),Algodão!$E11:INDEX(Algodão!$E11:$Z11,MIN(AS$6-$G$3,22))),0)))))</f>
        <v>0</v>
      </c>
      <c r="AT13" s="27" t="n">
        <f aca="false">IF(COUNT(Algodão!$E11:$Z11)=0,0,MAX(0,IF((AT$6-$E$3)&lt;1,0,IFERROR(LOOKUP(2,1/(Algodão!$E11:INDEX(Algodão!$E11:$Z11,MIN(AT$6-$E$3,22))&lt;&gt;""),Algodão!$E11:INDEX(Algodão!$E11:$Z11,MIN(AT$6-$E$3,22))),0))-IF($G$2,0,IF((AT$6-$G$3)&lt;1,0,IFERROR(LOOKUP(2,1/(Algodão!$E11:INDEX(Algodão!$E11:$Z11,MIN(AT$6-$G$3,22))&lt;&gt;""),Algodão!$E11:INDEX(Algodão!$E11:$Z11,MIN(AT$6-$G$3,22))),0)))))</f>
        <v>0</v>
      </c>
      <c r="AU13" s="27" t="n">
        <f aca="false">IF(COUNT(Algodão!$E11:$Z11)=0,0,MAX(0,IF((AU$6-$E$3)&lt;1,0,IFERROR(LOOKUP(2,1/(Algodão!$E11:INDEX(Algodão!$E11:$Z11,MIN(AU$6-$E$3,22))&lt;&gt;""),Algodão!$E11:INDEX(Algodão!$E11:$Z11,MIN(AU$6-$E$3,22))),0))-IF($G$2,0,IF((AU$6-$G$3)&lt;1,0,IFERROR(LOOKUP(2,1/(Algodão!$E11:INDEX(Algodão!$E11:$Z11,MIN(AU$6-$G$3,22))&lt;&gt;""),Algodão!$E11:INDEX(Algodão!$E11:$Z11,MIN(AU$6-$G$3,22))),0)))))</f>
        <v>0</v>
      </c>
      <c r="AV13" s="27" t="n">
        <f aca="false">IF(COUNT(Algodão!$E11:$Z11)=0,0,MAX(0,IF((AV$6-$E$3)&lt;1,0,IFERROR(LOOKUP(2,1/(Algodão!$E11:INDEX(Algodão!$E11:$Z11,MIN(AV$6-$E$3,22))&lt;&gt;""),Algodão!$E11:INDEX(Algodão!$E11:$Z11,MIN(AV$6-$E$3,22))),0))-IF($G$2,0,IF((AV$6-$G$3)&lt;1,0,IFERROR(LOOKUP(2,1/(Algodão!$E11:INDEX(Algodão!$E11:$Z11,MIN(AV$6-$G$3,22))&lt;&gt;""),Algodão!$E11:INDEX(Algodão!$E11:$Z11,MIN(AV$6-$G$3,22))),0)))))</f>
        <v>0</v>
      </c>
      <c r="AW13" s="27" t="n">
        <f aca="false">IF(COUNT(Algodão!$E11:$Z11)=0,0,MAX(0,IF((AW$6-$E$3)&lt;1,0,IFERROR(LOOKUP(2,1/(Algodão!$E11:INDEX(Algodão!$E11:$Z11,MIN(AW$6-$E$3,22))&lt;&gt;""),Algodão!$E11:INDEX(Algodão!$E11:$Z11,MIN(AW$6-$E$3,22))),0))-IF($G$2,0,IF((AW$6-$G$3)&lt;1,0,IFERROR(LOOKUP(2,1/(Algodão!$E11:INDEX(Algodão!$E11:$Z11,MIN(AW$6-$G$3,22))&lt;&gt;""),Algodão!$E11:INDEX(Algodão!$E11:$Z11,MIN(AW$6-$G$3,22))),0)))))</f>
        <v>0</v>
      </c>
      <c r="AX13" s="27" t="n">
        <f aca="false">IF(COUNT(Algodão!$E11:$Z11)=0,0,MAX(0,IF((AX$6-$E$3)&lt;1,0,IFERROR(LOOKUP(2,1/(Algodão!$E11:INDEX(Algodão!$E11:$Z11,MIN(AX$6-$E$3,22))&lt;&gt;""),Algodão!$E11:INDEX(Algodão!$E11:$Z11,MIN(AX$6-$E$3,22))),0))-IF($G$2,0,IF((AX$6-$G$3)&lt;1,0,IFERROR(LOOKUP(2,1/(Algodão!$E11:INDEX(Algodão!$E11:$Z11,MIN(AX$6-$G$3,22))&lt;&gt;""),Algodão!$E11:INDEX(Algodão!$E11:$Z11,MIN(AX$6-$G$3,22))),0)))))</f>
        <v>0</v>
      </c>
      <c r="AY13" s="27" t="n">
        <f aca="false">IF(COUNT(Algodão!$E11:$Z11)=0,0,MAX(0,IF((AY$6-$E$3)&lt;1,0,IFERROR(LOOKUP(2,1/(Algodão!$E11:INDEX(Algodão!$E11:$Z11,MIN(AY$6-$E$3,22))&lt;&gt;""),Algodão!$E11:INDEX(Algodão!$E11:$Z11,MIN(AY$6-$E$3,22))),0))-IF($G$2,0,IF((AY$6-$G$3)&lt;1,0,IFERROR(LOOKUP(2,1/(Algodão!$E11:INDEX(Algodão!$E11:$Z11,MIN(AY$6-$G$3,22))&lt;&gt;""),Algodão!$E11:INDEX(Algodão!$E11:$Z11,MIN(AY$6-$G$3,22))),0)))))</f>
        <v>0</v>
      </c>
      <c r="AZ13" s="27" t="n">
        <f aca="false">IF(COUNT(Algodão!$E11:$Z11)=0,0,MAX(0,IF((AZ$6-$E$3)&lt;1,0,IFERROR(LOOKUP(2,1/(Algodão!$E11:INDEX(Algodão!$E11:$Z11,MIN(AZ$6-$E$3,22))&lt;&gt;""),Algodão!$E11:INDEX(Algodão!$E11:$Z11,MIN(AZ$6-$E$3,22))),0))-IF($G$2,0,IF((AZ$6-$G$3)&lt;1,0,IFERROR(LOOKUP(2,1/(Algodão!$E11:INDEX(Algodão!$E11:$Z11,MIN(AZ$6-$G$3,22))&lt;&gt;""),Algodão!$E11:INDEX(Algodão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IF(COUNT(Algodão!$E12:$Z12)&gt;0,N(Algodão!$D12),0)</f>
        <v>0</v>
      </c>
      <c r="E14" s="27" t="n">
        <f aca="false">IF(COUNT(Algodão!$E12:$Z12)=0,0,MAX(0,IF((E$6-$E$3)&lt;1,0,IFERROR(LOOKUP(2,1/(Algodão!$E12:INDEX(Algodão!$E12:$Z12,MIN(E$6-$E$3,22))&lt;&gt;""),Algodão!$E12:INDEX(Algodão!$E12:$Z12,MIN(E$6-$E$3,22))),0))-IF($G$2,0,IF((E$6-$G$3)&lt;1,0,IFERROR(LOOKUP(2,1/(Algodão!$E12:INDEX(Algodão!$E12:$Z12,MIN(E$6-$G$3,22))&lt;&gt;""),Algodão!$E12:INDEX(Algodão!$E12:$Z12,MIN(E$6-$G$3,22))),0)))))</f>
        <v>0</v>
      </c>
      <c r="F14" s="27" t="n">
        <f aca="false">IF(COUNT(Algodão!$E12:$Z12)=0,0,MAX(0,IF((F$6-$E$3)&lt;1,0,IFERROR(LOOKUP(2,1/(Algodão!$E12:INDEX(Algodão!$E12:$Z12,MIN(F$6-$E$3,22))&lt;&gt;""),Algodão!$E12:INDEX(Algodão!$E12:$Z12,MIN(F$6-$E$3,22))),0))-IF($G$2,0,IF((F$6-$G$3)&lt;1,0,IFERROR(LOOKUP(2,1/(Algodão!$E12:INDEX(Algodão!$E12:$Z12,MIN(F$6-$G$3,22))&lt;&gt;""),Algodão!$E12:INDEX(Algodão!$E12:$Z12,MIN(F$6-$G$3,22))),0)))))</f>
        <v>0</v>
      </c>
      <c r="G14" s="27" t="n">
        <f aca="false">IF(COUNT(Algodão!$E12:$Z12)=0,0,MAX(0,IF((G$6-$E$3)&lt;1,0,IFERROR(LOOKUP(2,1/(Algodão!$E12:INDEX(Algodão!$E12:$Z12,MIN(G$6-$E$3,22))&lt;&gt;""),Algodão!$E12:INDEX(Algodão!$E12:$Z12,MIN(G$6-$E$3,22))),0))-IF($G$2,0,IF((G$6-$G$3)&lt;1,0,IFERROR(LOOKUP(2,1/(Algodão!$E12:INDEX(Algodão!$E12:$Z12,MIN(G$6-$G$3,22))&lt;&gt;""),Algodão!$E12:INDEX(Algodão!$E12:$Z12,MIN(G$6-$G$3,22))),0)))))</f>
        <v>0</v>
      </c>
      <c r="H14" s="27" t="n">
        <f aca="false">IF(COUNT(Algodão!$E12:$Z12)=0,0,MAX(0,IF((H$6-$E$3)&lt;1,0,IFERROR(LOOKUP(2,1/(Algodão!$E12:INDEX(Algodão!$E12:$Z12,MIN(H$6-$E$3,22))&lt;&gt;""),Algodão!$E12:INDEX(Algodão!$E12:$Z12,MIN(H$6-$E$3,22))),0))-IF($G$2,0,IF((H$6-$G$3)&lt;1,0,IFERROR(LOOKUP(2,1/(Algodão!$E12:INDEX(Algodão!$E12:$Z12,MIN(H$6-$G$3,22))&lt;&gt;""),Algodão!$E12:INDEX(Algodão!$E12:$Z12,MIN(H$6-$G$3,22))),0)))))</f>
        <v>0</v>
      </c>
      <c r="I14" s="27" t="n">
        <f aca="false">IF(COUNT(Algodão!$E12:$Z12)=0,0,MAX(0,IF((I$6-$E$3)&lt;1,0,IFERROR(LOOKUP(2,1/(Algodão!$E12:INDEX(Algodão!$E12:$Z12,MIN(I$6-$E$3,22))&lt;&gt;""),Algodão!$E12:INDEX(Algodão!$E12:$Z12,MIN(I$6-$E$3,22))),0))-IF($G$2,0,IF((I$6-$G$3)&lt;1,0,IFERROR(LOOKUP(2,1/(Algodão!$E12:INDEX(Algodão!$E12:$Z12,MIN(I$6-$G$3,22))&lt;&gt;""),Algodão!$E12:INDEX(Algodão!$E12:$Z12,MIN(I$6-$G$3,22))),0)))))</f>
        <v>0</v>
      </c>
      <c r="J14" s="27" t="n">
        <f aca="false">IF(COUNT(Algodão!$E12:$Z12)=0,0,MAX(0,IF((J$6-$E$3)&lt;1,0,IFERROR(LOOKUP(2,1/(Algodão!$E12:INDEX(Algodão!$E12:$Z12,MIN(J$6-$E$3,22))&lt;&gt;""),Algodão!$E12:INDEX(Algodão!$E12:$Z12,MIN(J$6-$E$3,22))),0))-IF($G$2,0,IF((J$6-$G$3)&lt;1,0,IFERROR(LOOKUP(2,1/(Algodão!$E12:INDEX(Algodão!$E12:$Z12,MIN(J$6-$G$3,22))&lt;&gt;""),Algodão!$E12:INDEX(Algodão!$E12:$Z12,MIN(J$6-$G$3,22))),0)))))</f>
        <v>0</v>
      </c>
      <c r="K14" s="27" t="n">
        <f aca="false">IF(COUNT(Algodão!$E12:$Z12)=0,0,MAX(0,IF((K$6-$E$3)&lt;1,0,IFERROR(LOOKUP(2,1/(Algodão!$E12:INDEX(Algodão!$E12:$Z12,MIN(K$6-$E$3,22))&lt;&gt;""),Algodão!$E12:INDEX(Algodão!$E12:$Z12,MIN(K$6-$E$3,22))),0))-IF($G$2,0,IF((K$6-$G$3)&lt;1,0,IFERROR(LOOKUP(2,1/(Algodão!$E12:INDEX(Algodão!$E12:$Z12,MIN(K$6-$G$3,22))&lt;&gt;""),Algodão!$E12:INDEX(Algodão!$E12:$Z12,MIN(K$6-$G$3,22))),0)))))</f>
        <v>0</v>
      </c>
      <c r="L14" s="27" t="n">
        <f aca="false">IF(COUNT(Algodão!$E12:$Z12)=0,0,MAX(0,IF((L$6-$E$3)&lt;1,0,IFERROR(LOOKUP(2,1/(Algodão!$E12:INDEX(Algodão!$E12:$Z12,MIN(L$6-$E$3,22))&lt;&gt;""),Algodão!$E12:INDEX(Algodão!$E12:$Z12,MIN(L$6-$E$3,22))),0))-IF($G$2,0,IF((L$6-$G$3)&lt;1,0,IFERROR(LOOKUP(2,1/(Algodão!$E12:INDEX(Algodão!$E12:$Z12,MIN(L$6-$G$3,22))&lt;&gt;""),Algodão!$E12:INDEX(Algodão!$E12:$Z12,MIN(L$6-$G$3,22))),0)))))</f>
        <v>0</v>
      </c>
      <c r="M14" s="27" t="n">
        <f aca="false">IF(COUNT(Algodão!$E12:$Z12)=0,0,MAX(0,IF((M$6-$E$3)&lt;1,0,IFERROR(LOOKUP(2,1/(Algodão!$E12:INDEX(Algodão!$E12:$Z12,MIN(M$6-$E$3,22))&lt;&gt;""),Algodão!$E12:INDEX(Algodão!$E12:$Z12,MIN(M$6-$E$3,22))),0))-IF($G$2,0,IF((M$6-$G$3)&lt;1,0,IFERROR(LOOKUP(2,1/(Algodão!$E12:INDEX(Algodão!$E12:$Z12,MIN(M$6-$G$3,22))&lt;&gt;""),Algodão!$E12:INDEX(Algodão!$E12:$Z12,MIN(M$6-$G$3,22))),0)))))</f>
        <v>0</v>
      </c>
      <c r="N14" s="27" t="n">
        <f aca="false">IF(COUNT(Algodão!$E12:$Z12)=0,0,MAX(0,IF((N$6-$E$3)&lt;1,0,IFERROR(LOOKUP(2,1/(Algodão!$E12:INDEX(Algodão!$E12:$Z12,MIN(N$6-$E$3,22))&lt;&gt;""),Algodão!$E12:INDEX(Algodão!$E12:$Z12,MIN(N$6-$E$3,22))),0))-IF($G$2,0,IF((N$6-$G$3)&lt;1,0,IFERROR(LOOKUP(2,1/(Algodão!$E12:INDEX(Algodão!$E12:$Z12,MIN(N$6-$G$3,22))&lt;&gt;""),Algodão!$E12:INDEX(Algodão!$E12:$Z12,MIN(N$6-$G$3,22))),0)))))</f>
        <v>0</v>
      </c>
      <c r="O14" s="27" t="n">
        <f aca="false">IF(COUNT(Algodão!$E12:$Z12)=0,0,MAX(0,IF((O$6-$E$3)&lt;1,0,IFERROR(LOOKUP(2,1/(Algodão!$E12:INDEX(Algodão!$E12:$Z12,MIN(O$6-$E$3,22))&lt;&gt;""),Algodão!$E12:INDEX(Algodão!$E12:$Z12,MIN(O$6-$E$3,22))),0))-IF($G$2,0,IF((O$6-$G$3)&lt;1,0,IFERROR(LOOKUP(2,1/(Algodão!$E12:INDEX(Algodão!$E12:$Z12,MIN(O$6-$G$3,22))&lt;&gt;""),Algodão!$E12:INDEX(Algodão!$E12:$Z12,MIN(O$6-$G$3,22))),0)))))</f>
        <v>0</v>
      </c>
      <c r="P14" s="27" t="n">
        <f aca="false">IF(COUNT(Algodão!$E12:$Z12)=0,0,MAX(0,IF((P$6-$E$3)&lt;1,0,IFERROR(LOOKUP(2,1/(Algodão!$E12:INDEX(Algodão!$E12:$Z12,MIN(P$6-$E$3,22))&lt;&gt;""),Algodão!$E12:INDEX(Algodão!$E12:$Z12,MIN(P$6-$E$3,22))),0))-IF($G$2,0,IF((P$6-$G$3)&lt;1,0,IFERROR(LOOKUP(2,1/(Algodão!$E12:INDEX(Algodão!$E12:$Z12,MIN(P$6-$G$3,22))&lt;&gt;""),Algodão!$E12:INDEX(Algodão!$E12:$Z12,MIN(P$6-$G$3,22))),0)))))</f>
        <v>0</v>
      </c>
      <c r="Q14" s="27" t="n">
        <f aca="false">IF(COUNT(Algodão!$E12:$Z12)=0,0,MAX(0,IF((Q$6-$E$3)&lt;1,0,IFERROR(LOOKUP(2,1/(Algodão!$E12:INDEX(Algodão!$E12:$Z12,MIN(Q$6-$E$3,22))&lt;&gt;""),Algodão!$E12:INDEX(Algodão!$E12:$Z12,MIN(Q$6-$E$3,22))),0))-IF($G$2,0,IF((Q$6-$G$3)&lt;1,0,IFERROR(LOOKUP(2,1/(Algodão!$E12:INDEX(Algodão!$E12:$Z12,MIN(Q$6-$G$3,22))&lt;&gt;""),Algodão!$E12:INDEX(Algodão!$E12:$Z12,MIN(Q$6-$G$3,22))),0)))))</f>
        <v>0</v>
      </c>
      <c r="R14" s="27" t="n">
        <f aca="false">IF(COUNT(Algodão!$E12:$Z12)=0,0,MAX(0,IF((R$6-$E$3)&lt;1,0,IFERROR(LOOKUP(2,1/(Algodão!$E12:INDEX(Algodão!$E12:$Z12,MIN(R$6-$E$3,22))&lt;&gt;""),Algodão!$E12:INDEX(Algodão!$E12:$Z12,MIN(R$6-$E$3,22))),0))-IF($G$2,0,IF((R$6-$G$3)&lt;1,0,IFERROR(LOOKUP(2,1/(Algodão!$E12:INDEX(Algodão!$E12:$Z12,MIN(R$6-$G$3,22))&lt;&gt;""),Algodão!$E12:INDEX(Algodão!$E12:$Z12,MIN(R$6-$G$3,22))),0)))))</f>
        <v>0</v>
      </c>
      <c r="S14" s="27" t="n">
        <f aca="false">IF(COUNT(Algodão!$E12:$Z12)=0,0,MAX(0,IF((S$6-$E$3)&lt;1,0,IFERROR(LOOKUP(2,1/(Algodão!$E12:INDEX(Algodão!$E12:$Z12,MIN(S$6-$E$3,22))&lt;&gt;""),Algodão!$E12:INDEX(Algodão!$E12:$Z12,MIN(S$6-$E$3,22))),0))-IF($G$2,0,IF((S$6-$G$3)&lt;1,0,IFERROR(LOOKUP(2,1/(Algodão!$E12:INDEX(Algodão!$E12:$Z12,MIN(S$6-$G$3,22))&lt;&gt;""),Algodão!$E12:INDEX(Algodão!$E12:$Z12,MIN(S$6-$G$3,22))),0)))))</f>
        <v>0</v>
      </c>
      <c r="T14" s="27" t="n">
        <f aca="false">IF(COUNT(Algodão!$E12:$Z12)=0,0,MAX(0,IF((T$6-$E$3)&lt;1,0,IFERROR(LOOKUP(2,1/(Algodão!$E12:INDEX(Algodão!$E12:$Z12,MIN(T$6-$E$3,22))&lt;&gt;""),Algodão!$E12:INDEX(Algodão!$E12:$Z12,MIN(T$6-$E$3,22))),0))-IF($G$2,0,IF((T$6-$G$3)&lt;1,0,IFERROR(LOOKUP(2,1/(Algodão!$E12:INDEX(Algodão!$E12:$Z12,MIN(T$6-$G$3,22))&lt;&gt;""),Algodão!$E12:INDEX(Algodão!$E12:$Z12,MIN(T$6-$G$3,22))),0)))))</f>
        <v>0</v>
      </c>
      <c r="U14" s="27" t="n">
        <f aca="false">IF(COUNT(Algodão!$E12:$Z12)=0,0,MAX(0,IF((U$6-$E$3)&lt;1,0,IFERROR(LOOKUP(2,1/(Algodão!$E12:INDEX(Algodão!$E12:$Z12,MIN(U$6-$E$3,22))&lt;&gt;""),Algodão!$E12:INDEX(Algodão!$E12:$Z12,MIN(U$6-$E$3,22))),0))-IF($G$2,0,IF((U$6-$G$3)&lt;1,0,IFERROR(LOOKUP(2,1/(Algodão!$E12:INDEX(Algodão!$E12:$Z12,MIN(U$6-$G$3,22))&lt;&gt;""),Algodão!$E12:INDEX(Algodão!$E12:$Z12,MIN(U$6-$G$3,22))),0)))))</f>
        <v>0</v>
      </c>
      <c r="V14" s="27" t="n">
        <f aca="false">IF(COUNT(Algodão!$E12:$Z12)=0,0,MAX(0,IF((V$6-$E$3)&lt;1,0,IFERROR(LOOKUP(2,1/(Algodão!$E12:INDEX(Algodão!$E12:$Z12,MIN(V$6-$E$3,22))&lt;&gt;""),Algodão!$E12:INDEX(Algodão!$E12:$Z12,MIN(V$6-$E$3,22))),0))-IF($G$2,0,IF((V$6-$G$3)&lt;1,0,IFERROR(LOOKUP(2,1/(Algodão!$E12:INDEX(Algodão!$E12:$Z12,MIN(V$6-$G$3,22))&lt;&gt;""),Algodão!$E12:INDEX(Algodão!$E12:$Z12,MIN(V$6-$G$3,22))),0)))))</f>
        <v>0</v>
      </c>
      <c r="W14" s="27" t="n">
        <f aca="false">IF(COUNT(Algodão!$E12:$Z12)=0,0,MAX(0,IF((W$6-$E$3)&lt;1,0,IFERROR(LOOKUP(2,1/(Algodão!$E12:INDEX(Algodão!$E12:$Z12,MIN(W$6-$E$3,22))&lt;&gt;""),Algodão!$E12:INDEX(Algodão!$E12:$Z12,MIN(W$6-$E$3,22))),0))-IF($G$2,0,IF((W$6-$G$3)&lt;1,0,IFERROR(LOOKUP(2,1/(Algodão!$E12:INDEX(Algodão!$E12:$Z12,MIN(W$6-$G$3,22))&lt;&gt;""),Algodão!$E12:INDEX(Algodão!$E12:$Z12,MIN(W$6-$G$3,22))),0)))))</f>
        <v>0</v>
      </c>
      <c r="X14" s="27" t="n">
        <f aca="false">IF(COUNT(Algodão!$E12:$Z12)=0,0,MAX(0,IF((X$6-$E$3)&lt;1,0,IFERROR(LOOKUP(2,1/(Algodão!$E12:INDEX(Algodão!$E12:$Z12,MIN(X$6-$E$3,22))&lt;&gt;""),Algodão!$E12:INDEX(Algodão!$E12:$Z12,MIN(X$6-$E$3,22))),0))-IF($G$2,0,IF((X$6-$G$3)&lt;1,0,IFERROR(LOOKUP(2,1/(Algodão!$E12:INDEX(Algodão!$E12:$Z12,MIN(X$6-$G$3,22))&lt;&gt;""),Algodão!$E12:INDEX(Algodão!$E12:$Z12,MIN(X$6-$G$3,22))),0)))))</f>
        <v>0</v>
      </c>
      <c r="Y14" s="27" t="n">
        <f aca="false">IF(COUNT(Algodão!$E12:$Z12)=0,0,MAX(0,IF((Y$6-$E$3)&lt;1,0,IFERROR(LOOKUP(2,1/(Algodão!$E12:INDEX(Algodão!$E12:$Z12,MIN(Y$6-$E$3,22))&lt;&gt;""),Algodão!$E12:INDEX(Algodão!$E12:$Z12,MIN(Y$6-$E$3,22))),0))-IF($G$2,0,IF((Y$6-$G$3)&lt;1,0,IFERROR(LOOKUP(2,1/(Algodão!$E12:INDEX(Algodão!$E12:$Z12,MIN(Y$6-$G$3,22))&lt;&gt;""),Algodão!$E12:INDEX(Algodão!$E12:$Z12,MIN(Y$6-$G$3,22))),0)))))</f>
        <v>0</v>
      </c>
      <c r="Z14" s="27" t="n">
        <f aca="false">IF(COUNT(Algodão!$E12:$Z12)=0,0,MAX(0,IF((Z$6-$E$3)&lt;1,0,IFERROR(LOOKUP(2,1/(Algodão!$E12:INDEX(Algodão!$E12:$Z12,MIN(Z$6-$E$3,22))&lt;&gt;""),Algodão!$E12:INDEX(Algodão!$E12:$Z12,MIN(Z$6-$E$3,22))),0))-IF($G$2,0,IF((Z$6-$G$3)&lt;1,0,IFERROR(LOOKUP(2,1/(Algodão!$E12:INDEX(Algodão!$E12:$Z12,MIN(Z$6-$G$3,22))&lt;&gt;""),Algodão!$E12:INDEX(Algodão!$E12:$Z12,MIN(Z$6-$G$3,22))),0)))))</f>
        <v>0</v>
      </c>
      <c r="AA14" s="27" t="n">
        <f aca="false">IF(COUNT(Algodão!$E12:$Z12)=0,0,MAX(0,IF((AA$6-$E$3)&lt;1,0,IFERROR(LOOKUP(2,1/(Algodão!$E12:INDEX(Algodão!$E12:$Z12,MIN(AA$6-$E$3,22))&lt;&gt;""),Algodão!$E12:INDEX(Algodão!$E12:$Z12,MIN(AA$6-$E$3,22))),0))-IF($G$2,0,IF((AA$6-$G$3)&lt;1,0,IFERROR(LOOKUP(2,1/(Algodão!$E12:INDEX(Algodão!$E12:$Z12,MIN(AA$6-$G$3,22))&lt;&gt;""),Algodão!$E12:INDEX(Algodão!$E12:$Z12,MIN(AA$6-$G$3,22))),0)))))</f>
        <v>0</v>
      </c>
      <c r="AB14" s="27" t="n">
        <f aca="false">IF(COUNT(Algodão!$E12:$Z12)=0,0,MAX(0,IF((AB$6-$E$3)&lt;1,0,IFERROR(LOOKUP(2,1/(Algodão!$E12:INDEX(Algodão!$E12:$Z12,MIN(AB$6-$E$3,22))&lt;&gt;""),Algodão!$E12:INDEX(Algodão!$E12:$Z12,MIN(AB$6-$E$3,22))),0))-IF($G$2,0,IF((AB$6-$G$3)&lt;1,0,IFERROR(LOOKUP(2,1/(Algodão!$E12:INDEX(Algodão!$E12:$Z12,MIN(AB$6-$G$3,22))&lt;&gt;""),Algodão!$E12:INDEX(Algodão!$E12:$Z12,MIN(AB$6-$G$3,22))),0)))))</f>
        <v>0</v>
      </c>
      <c r="AC14" s="27" t="n">
        <f aca="false">IF(COUNT(Algodão!$E12:$Z12)=0,0,MAX(0,IF((AC$6-$E$3)&lt;1,0,IFERROR(LOOKUP(2,1/(Algodão!$E12:INDEX(Algodão!$E12:$Z12,MIN(AC$6-$E$3,22))&lt;&gt;""),Algodão!$E12:INDEX(Algodão!$E12:$Z12,MIN(AC$6-$E$3,22))),0))-IF($G$2,0,IF((AC$6-$G$3)&lt;1,0,IFERROR(LOOKUP(2,1/(Algodão!$E12:INDEX(Algodão!$E12:$Z12,MIN(AC$6-$G$3,22))&lt;&gt;""),Algodão!$E12:INDEX(Algodão!$E12:$Z12,MIN(AC$6-$G$3,22))),0)))))</f>
        <v>0</v>
      </c>
      <c r="AD14" s="27" t="n">
        <f aca="false">IF(COUNT(Algodão!$E12:$Z12)=0,0,MAX(0,IF((AD$6-$E$3)&lt;1,0,IFERROR(LOOKUP(2,1/(Algodão!$E12:INDEX(Algodão!$E12:$Z12,MIN(AD$6-$E$3,22))&lt;&gt;""),Algodão!$E12:INDEX(Algodão!$E12:$Z12,MIN(AD$6-$E$3,22))),0))-IF($G$2,0,IF((AD$6-$G$3)&lt;1,0,IFERROR(LOOKUP(2,1/(Algodão!$E12:INDEX(Algodão!$E12:$Z12,MIN(AD$6-$G$3,22))&lt;&gt;""),Algodão!$E12:INDEX(Algodão!$E12:$Z12,MIN(AD$6-$G$3,22))),0)))))</f>
        <v>0</v>
      </c>
      <c r="AE14" s="27" t="n">
        <f aca="false">IF(COUNT(Algodão!$E12:$Z12)=0,0,MAX(0,IF((AE$6-$E$3)&lt;1,0,IFERROR(LOOKUP(2,1/(Algodão!$E12:INDEX(Algodão!$E12:$Z12,MIN(AE$6-$E$3,22))&lt;&gt;""),Algodão!$E12:INDEX(Algodão!$E12:$Z12,MIN(AE$6-$E$3,22))),0))-IF($G$2,0,IF((AE$6-$G$3)&lt;1,0,IFERROR(LOOKUP(2,1/(Algodão!$E12:INDEX(Algodão!$E12:$Z12,MIN(AE$6-$G$3,22))&lt;&gt;""),Algodão!$E12:INDEX(Algodão!$E12:$Z12,MIN(AE$6-$G$3,22))),0)))))</f>
        <v>0</v>
      </c>
      <c r="AF14" s="27" t="n">
        <f aca="false">IF(COUNT(Algodão!$E12:$Z12)=0,0,MAX(0,IF((AF$6-$E$3)&lt;1,0,IFERROR(LOOKUP(2,1/(Algodão!$E12:INDEX(Algodão!$E12:$Z12,MIN(AF$6-$E$3,22))&lt;&gt;""),Algodão!$E12:INDEX(Algodão!$E12:$Z12,MIN(AF$6-$E$3,22))),0))-IF($G$2,0,IF((AF$6-$G$3)&lt;1,0,IFERROR(LOOKUP(2,1/(Algodão!$E12:INDEX(Algodão!$E12:$Z12,MIN(AF$6-$G$3,22))&lt;&gt;""),Algodão!$E12:INDEX(Algodão!$E12:$Z12,MIN(AF$6-$G$3,22))),0)))))</f>
        <v>0</v>
      </c>
      <c r="AG14" s="27" t="n">
        <f aca="false">IF(COUNT(Algodão!$E12:$Z12)=0,0,MAX(0,IF((AG$6-$E$3)&lt;1,0,IFERROR(LOOKUP(2,1/(Algodão!$E12:INDEX(Algodão!$E12:$Z12,MIN(AG$6-$E$3,22))&lt;&gt;""),Algodão!$E12:INDEX(Algodão!$E12:$Z12,MIN(AG$6-$E$3,22))),0))-IF($G$2,0,IF((AG$6-$G$3)&lt;1,0,IFERROR(LOOKUP(2,1/(Algodão!$E12:INDEX(Algodão!$E12:$Z12,MIN(AG$6-$G$3,22))&lt;&gt;""),Algodão!$E12:INDEX(Algodão!$E12:$Z12,MIN(AG$6-$G$3,22))),0)))))</f>
        <v>0</v>
      </c>
      <c r="AH14" s="27" t="n">
        <f aca="false">IF(COUNT(Algodão!$E12:$Z12)=0,0,MAX(0,IF((AH$6-$E$3)&lt;1,0,IFERROR(LOOKUP(2,1/(Algodão!$E12:INDEX(Algodão!$E12:$Z12,MIN(AH$6-$E$3,22))&lt;&gt;""),Algodão!$E12:INDEX(Algodão!$E12:$Z12,MIN(AH$6-$E$3,22))),0))-IF($G$2,0,IF((AH$6-$G$3)&lt;1,0,IFERROR(LOOKUP(2,1/(Algodão!$E12:INDEX(Algodão!$E12:$Z12,MIN(AH$6-$G$3,22))&lt;&gt;""),Algodão!$E12:INDEX(Algodão!$E12:$Z12,MIN(AH$6-$G$3,22))),0)))))</f>
        <v>0</v>
      </c>
      <c r="AI14" s="27" t="n">
        <f aca="false">IF(COUNT(Algodão!$E12:$Z12)=0,0,MAX(0,IF((AI$6-$E$3)&lt;1,0,IFERROR(LOOKUP(2,1/(Algodão!$E12:INDEX(Algodão!$E12:$Z12,MIN(AI$6-$E$3,22))&lt;&gt;""),Algodão!$E12:INDEX(Algodão!$E12:$Z12,MIN(AI$6-$E$3,22))),0))-IF($G$2,0,IF((AI$6-$G$3)&lt;1,0,IFERROR(LOOKUP(2,1/(Algodão!$E12:INDEX(Algodão!$E12:$Z12,MIN(AI$6-$G$3,22))&lt;&gt;""),Algodão!$E12:INDEX(Algodão!$E12:$Z12,MIN(AI$6-$G$3,22))),0)))))</f>
        <v>0</v>
      </c>
      <c r="AJ14" s="27" t="n">
        <f aca="false">IF(COUNT(Algodão!$E12:$Z12)=0,0,MAX(0,IF((AJ$6-$E$3)&lt;1,0,IFERROR(LOOKUP(2,1/(Algodão!$E12:INDEX(Algodão!$E12:$Z12,MIN(AJ$6-$E$3,22))&lt;&gt;""),Algodão!$E12:INDEX(Algodão!$E12:$Z12,MIN(AJ$6-$E$3,22))),0))-IF($G$2,0,IF((AJ$6-$G$3)&lt;1,0,IFERROR(LOOKUP(2,1/(Algodão!$E12:INDEX(Algodão!$E12:$Z12,MIN(AJ$6-$G$3,22))&lt;&gt;""),Algodão!$E12:INDEX(Algodão!$E12:$Z12,MIN(AJ$6-$G$3,22))),0)))))</f>
        <v>0</v>
      </c>
      <c r="AK14" s="27" t="n">
        <f aca="false">IF(COUNT(Algodão!$E12:$Z12)=0,0,MAX(0,IF((AK$6-$E$3)&lt;1,0,IFERROR(LOOKUP(2,1/(Algodão!$E12:INDEX(Algodão!$E12:$Z12,MIN(AK$6-$E$3,22))&lt;&gt;""),Algodão!$E12:INDEX(Algodão!$E12:$Z12,MIN(AK$6-$E$3,22))),0))-IF($G$2,0,IF((AK$6-$G$3)&lt;1,0,IFERROR(LOOKUP(2,1/(Algodão!$E12:INDEX(Algodão!$E12:$Z12,MIN(AK$6-$G$3,22))&lt;&gt;""),Algodão!$E12:INDEX(Algodão!$E12:$Z12,MIN(AK$6-$G$3,22))),0)))))</f>
        <v>0</v>
      </c>
      <c r="AL14" s="27" t="n">
        <f aca="false">IF(COUNT(Algodão!$E12:$Z12)=0,0,MAX(0,IF((AL$6-$E$3)&lt;1,0,IFERROR(LOOKUP(2,1/(Algodão!$E12:INDEX(Algodão!$E12:$Z12,MIN(AL$6-$E$3,22))&lt;&gt;""),Algodão!$E12:INDEX(Algodão!$E12:$Z12,MIN(AL$6-$E$3,22))),0))-IF($G$2,0,IF((AL$6-$G$3)&lt;1,0,IFERROR(LOOKUP(2,1/(Algodão!$E12:INDEX(Algodão!$E12:$Z12,MIN(AL$6-$G$3,22))&lt;&gt;""),Algodão!$E12:INDEX(Algodão!$E12:$Z12,MIN(AL$6-$G$3,22))),0)))))</f>
        <v>0</v>
      </c>
      <c r="AM14" s="27" t="n">
        <f aca="false">IF(COUNT(Algodão!$E12:$Z12)=0,0,MAX(0,IF((AM$6-$E$3)&lt;1,0,IFERROR(LOOKUP(2,1/(Algodão!$E12:INDEX(Algodão!$E12:$Z12,MIN(AM$6-$E$3,22))&lt;&gt;""),Algodão!$E12:INDEX(Algodão!$E12:$Z12,MIN(AM$6-$E$3,22))),0))-IF($G$2,0,IF((AM$6-$G$3)&lt;1,0,IFERROR(LOOKUP(2,1/(Algodão!$E12:INDEX(Algodão!$E12:$Z12,MIN(AM$6-$G$3,22))&lt;&gt;""),Algodão!$E12:INDEX(Algodão!$E12:$Z12,MIN(AM$6-$G$3,22))),0)))))</f>
        <v>0</v>
      </c>
      <c r="AN14" s="27" t="n">
        <f aca="false">IF(COUNT(Algodão!$E12:$Z12)=0,0,MAX(0,IF((AN$6-$E$3)&lt;1,0,IFERROR(LOOKUP(2,1/(Algodão!$E12:INDEX(Algodão!$E12:$Z12,MIN(AN$6-$E$3,22))&lt;&gt;""),Algodão!$E12:INDEX(Algodão!$E12:$Z12,MIN(AN$6-$E$3,22))),0))-IF($G$2,0,IF((AN$6-$G$3)&lt;1,0,IFERROR(LOOKUP(2,1/(Algodão!$E12:INDEX(Algodão!$E12:$Z12,MIN(AN$6-$G$3,22))&lt;&gt;""),Algodão!$E12:INDEX(Algodão!$E12:$Z12,MIN(AN$6-$G$3,22))),0)))))</f>
        <v>0</v>
      </c>
      <c r="AO14" s="27" t="n">
        <f aca="false">IF(COUNT(Algodão!$E12:$Z12)=0,0,MAX(0,IF((AO$6-$E$3)&lt;1,0,IFERROR(LOOKUP(2,1/(Algodão!$E12:INDEX(Algodão!$E12:$Z12,MIN(AO$6-$E$3,22))&lt;&gt;""),Algodão!$E12:INDEX(Algodão!$E12:$Z12,MIN(AO$6-$E$3,22))),0))-IF($G$2,0,IF((AO$6-$G$3)&lt;1,0,IFERROR(LOOKUP(2,1/(Algodão!$E12:INDEX(Algodão!$E12:$Z12,MIN(AO$6-$G$3,22))&lt;&gt;""),Algodão!$E12:INDEX(Algodão!$E12:$Z12,MIN(AO$6-$G$3,22))),0)))))</f>
        <v>0</v>
      </c>
      <c r="AP14" s="27" t="n">
        <f aca="false">IF(COUNT(Algodão!$E12:$Z12)=0,0,MAX(0,IF((AP$6-$E$3)&lt;1,0,IFERROR(LOOKUP(2,1/(Algodão!$E12:INDEX(Algodão!$E12:$Z12,MIN(AP$6-$E$3,22))&lt;&gt;""),Algodão!$E12:INDEX(Algodão!$E12:$Z12,MIN(AP$6-$E$3,22))),0))-IF($G$2,0,IF((AP$6-$G$3)&lt;1,0,IFERROR(LOOKUP(2,1/(Algodão!$E12:INDEX(Algodão!$E12:$Z12,MIN(AP$6-$G$3,22))&lt;&gt;""),Algodão!$E12:INDEX(Algodão!$E12:$Z12,MIN(AP$6-$G$3,22))),0)))))</f>
        <v>0</v>
      </c>
      <c r="AQ14" s="27" t="n">
        <f aca="false">IF(COUNT(Algodão!$E12:$Z12)=0,0,MAX(0,IF((AQ$6-$E$3)&lt;1,0,IFERROR(LOOKUP(2,1/(Algodão!$E12:INDEX(Algodão!$E12:$Z12,MIN(AQ$6-$E$3,22))&lt;&gt;""),Algodão!$E12:INDEX(Algodão!$E12:$Z12,MIN(AQ$6-$E$3,22))),0))-IF($G$2,0,IF((AQ$6-$G$3)&lt;1,0,IFERROR(LOOKUP(2,1/(Algodão!$E12:INDEX(Algodão!$E12:$Z12,MIN(AQ$6-$G$3,22))&lt;&gt;""),Algodão!$E12:INDEX(Algodão!$E12:$Z12,MIN(AQ$6-$G$3,22))),0)))))</f>
        <v>0</v>
      </c>
      <c r="AR14" s="27" t="n">
        <f aca="false">IF(COUNT(Algodão!$E12:$Z12)=0,0,MAX(0,IF((AR$6-$E$3)&lt;1,0,IFERROR(LOOKUP(2,1/(Algodão!$E12:INDEX(Algodão!$E12:$Z12,MIN(AR$6-$E$3,22))&lt;&gt;""),Algodão!$E12:INDEX(Algodão!$E12:$Z12,MIN(AR$6-$E$3,22))),0))-IF($G$2,0,IF((AR$6-$G$3)&lt;1,0,IFERROR(LOOKUP(2,1/(Algodão!$E12:INDEX(Algodão!$E12:$Z12,MIN(AR$6-$G$3,22))&lt;&gt;""),Algodão!$E12:INDEX(Algodão!$E12:$Z12,MIN(AR$6-$G$3,22))),0)))))</f>
        <v>0</v>
      </c>
      <c r="AS14" s="27" t="n">
        <f aca="false">IF(COUNT(Algodão!$E12:$Z12)=0,0,MAX(0,IF((AS$6-$E$3)&lt;1,0,IFERROR(LOOKUP(2,1/(Algodão!$E12:INDEX(Algodão!$E12:$Z12,MIN(AS$6-$E$3,22))&lt;&gt;""),Algodão!$E12:INDEX(Algodão!$E12:$Z12,MIN(AS$6-$E$3,22))),0))-IF($G$2,0,IF((AS$6-$G$3)&lt;1,0,IFERROR(LOOKUP(2,1/(Algodão!$E12:INDEX(Algodão!$E12:$Z12,MIN(AS$6-$G$3,22))&lt;&gt;""),Algodão!$E12:INDEX(Algodão!$E12:$Z12,MIN(AS$6-$G$3,22))),0)))))</f>
        <v>0</v>
      </c>
      <c r="AT14" s="27" t="n">
        <f aca="false">IF(COUNT(Algodão!$E12:$Z12)=0,0,MAX(0,IF((AT$6-$E$3)&lt;1,0,IFERROR(LOOKUP(2,1/(Algodão!$E12:INDEX(Algodão!$E12:$Z12,MIN(AT$6-$E$3,22))&lt;&gt;""),Algodão!$E12:INDEX(Algodão!$E12:$Z12,MIN(AT$6-$E$3,22))),0))-IF($G$2,0,IF((AT$6-$G$3)&lt;1,0,IFERROR(LOOKUP(2,1/(Algodão!$E12:INDEX(Algodão!$E12:$Z12,MIN(AT$6-$G$3,22))&lt;&gt;""),Algodão!$E12:INDEX(Algodão!$E12:$Z12,MIN(AT$6-$G$3,22))),0)))))</f>
        <v>0</v>
      </c>
      <c r="AU14" s="27" t="n">
        <f aca="false">IF(COUNT(Algodão!$E12:$Z12)=0,0,MAX(0,IF((AU$6-$E$3)&lt;1,0,IFERROR(LOOKUP(2,1/(Algodão!$E12:INDEX(Algodão!$E12:$Z12,MIN(AU$6-$E$3,22))&lt;&gt;""),Algodão!$E12:INDEX(Algodão!$E12:$Z12,MIN(AU$6-$E$3,22))),0))-IF($G$2,0,IF((AU$6-$G$3)&lt;1,0,IFERROR(LOOKUP(2,1/(Algodão!$E12:INDEX(Algodão!$E12:$Z12,MIN(AU$6-$G$3,22))&lt;&gt;""),Algodão!$E12:INDEX(Algodão!$E12:$Z12,MIN(AU$6-$G$3,22))),0)))))</f>
        <v>0</v>
      </c>
      <c r="AV14" s="27" t="n">
        <f aca="false">IF(COUNT(Algodão!$E12:$Z12)=0,0,MAX(0,IF((AV$6-$E$3)&lt;1,0,IFERROR(LOOKUP(2,1/(Algodão!$E12:INDEX(Algodão!$E12:$Z12,MIN(AV$6-$E$3,22))&lt;&gt;""),Algodão!$E12:INDEX(Algodão!$E12:$Z12,MIN(AV$6-$E$3,22))),0))-IF($G$2,0,IF((AV$6-$G$3)&lt;1,0,IFERROR(LOOKUP(2,1/(Algodão!$E12:INDEX(Algodão!$E12:$Z12,MIN(AV$6-$G$3,22))&lt;&gt;""),Algodão!$E12:INDEX(Algodão!$E12:$Z12,MIN(AV$6-$G$3,22))),0)))))</f>
        <v>0</v>
      </c>
      <c r="AW14" s="27" t="n">
        <f aca="false">IF(COUNT(Algodão!$E12:$Z12)=0,0,MAX(0,IF((AW$6-$E$3)&lt;1,0,IFERROR(LOOKUP(2,1/(Algodão!$E12:INDEX(Algodão!$E12:$Z12,MIN(AW$6-$E$3,22))&lt;&gt;""),Algodão!$E12:INDEX(Algodão!$E12:$Z12,MIN(AW$6-$E$3,22))),0))-IF($G$2,0,IF((AW$6-$G$3)&lt;1,0,IFERROR(LOOKUP(2,1/(Algodão!$E12:INDEX(Algodão!$E12:$Z12,MIN(AW$6-$G$3,22))&lt;&gt;""),Algodão!$E12:INDEX(Algodão!$E12:$Z12,MIN(AW$6-$G$3,22))),0)))))</f>
        <v>0</v>
      </c>
      <c r="AX14" s="27" t="n">
        <f aca="false">IF(COUNT(Algodão!$E12:$Z12)=0,0,MAX(0,IF((AX$6-$E$3)&lt;1,0,IFERROR(LOOKUP(2,1/(Algodão!$E12:INDEX(Algodão!$E12:$Z12,MIN(AX$6-$E$3,22))&lt;&gt;""),Algodão!$E12:INDEX(Algodão!$E12:$Z12,MIN(AX$6-$E$3,22))),0))-IF($G$2,0,IF((AX$6-$G$3)&lt;1,0,IFERROR(LOOKUP(2,1/(Algodão!$E12:INDEX(Algodão!$E12:$Z12,MIN(AX$6-$G$3,22))&lt;&gt;""),Algodão!$E12:INDEX(Algodão!$E12:$Z12,MIN(AX$6-$G$3,22))),0)))))</f>
        <v>0</v>
      </c>
      <c r="AY14" s="27" t="n">
        <f aca="false">IF(COUNT(Algodão!$E12:$Z12)=0,0,MAX(0,IF((AY$6-$E$3)&lt;1,0,IFERROR(LOOKUP(2,1/(Algodão!$E12:INDEX(Algodão!$E12:$Z12,MIN(AY$6-$E$3,22))&lt;&gt;""),Algodão!$E12:INDEX(Algodão!$E12:$Z12,MIN(AY$6-$E$3,22))),0))-IF($G$2,0,IF((AY$6-$G$3)&lt;1,0,IFERROR(LOOKUP(2,1/(Algodão!$E12:INDEX(Algodão!$E12:$Z12,MIN(AY$6-$G$3,22))&lt;&gt;""),Algodão!$E12:INDEX(Algodão!$E12:$Z12,MIN(AY$6-$G$3,22))),0)))))</f>
        <v>0</v>
      </c>
      <c r="AZ14" s="27" t="n">
        <f aca="false">IF(COUNT(Algodão!$E12:$Z12)=0,0,MAX(0,IF((AZ$6-$E$3)&lt;1,0,IFERROR(LOOKUP(2,1/(Algodão!$E12:INDEX(Algodão!$E12:$Z12,MIN(AZ$6-$E$3,22))&lt;&gt;""),Algodão!$E12:INDEX(Algodão!$E12:$Z12,MIN(AZ$6-$E$3,22))),0))-IF($G$2,0,IF((AZ$6-$G$3)&lt;1,0,IFERROR(LOOKUP(2,1/(Algodão!$E12:INDEX(Algodão!$E12:$Z12,MIN(AZ$6-$G$3,22))&lt;&gt;""),Algodão!$E12:INDEX(Algodão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IF(COUNT(Algodão!$E13:$Z13)&gt;0,N(Algodão!$D13),0)</f>
        <v>0</v>
      </c>
      <c r="E15" s="27" t="n">
        <f aca="false">IF(COUNT(Algodão!$E13:$Z13)=0,0,MAX(0,IF((E$6-$E$3)&lt;1,0,IFERROR(LOOKUP(2,1/(Algodão!$E13:INDEX(Algodão!$E13:$Z13,MIN(E$6-$E$3,22))&lt;&gt;""),Algodão!$E13:INDEX(Algodão!$E13:$Z13,MIN(E$6-$E$3,22))),0))-IF($G$2,0,IF((E$6-$G$3)&lt;1,0,IFERROR(LOOKUP(2,1/(Algodão!$E13:INDEX(Algodão!$E13:$Z13,MIN(E$6-$G$3,22))&lt;&gt;""),Algodão!$E13:INDEX(Algodão!$E13:$Z13,MIN(E$6-$G$3,22))),0)))))</f>
        <v>0</v>
      </c>
      <c r="F15" s="27" t="n">
        <f aca="false">IF(COUNT(Algodão!$E13:$Z13)=0,0,MAX(0,IF((F$6-$E$3)&lt;1,0,IFERROR(LOOKUP(2,1/(Algodão!$E13:INDEX(Algodão!$E13:$Z13,MIN(F$6-$E$3,22))&lt;&gt;""),Algodão!$E13:INDEX(Algodão!$E13:$Z13,MIN(F$6-$E$3,22))),0))-IF($G$2,0,IF((F$6-$G$3)&lt;1,0,IFERROR(LOOKUP(2,1/(Algodão!$E13:INDEX(Algodão!$E13:$Z13,MIN(F$6-$G$3,22))&lt;&gt;""),Algodão!$E13:INDEX(Algodão!$E13:$Z13,MIN(F$6-$G$3,22))),0)))))</f>
        <v>0</v>
      </c>
      <c r="G15" s="27" t="n">
        <f aca="false">IF(COUNT(Algodão!$E13:$Z13)=0,0,MAX(0,IF((G$6-$E$3)&lt;1,0,IFERROR(LOOKUP(2,1/(Algodão!$E13:INDEX(Algodão!$E13:$Z13,MIN(G$6-$E$3,22))&lt;&gt;""),Algodão!$E13:INDEX(Algodão!$E13:$Z13,MIN(G$6-$E$3,22))),0))-IF($G$2,0,IF((G$6-$G$3)&lt;1,0,IFERROR(LOOKUP(2,1/(Algodão!$E13:INDEX(Algodão!$E13:$Z13,MIN(G$6-$G$3,22))&lt;&gt;""),Algodão!$E13:INDEX(Algodão!$E13:$Z13,MIN(G$6-$G$3,22))),0)))))</f>
        <v>0</v>
      </c>
      <c r="H15" s="27" t="n">
        <f aca="false">IF(COUNT(Algodão!$E13:$Z13)=0,0,MAX(0,IF((H$6-$E$3)&lt;1,0,IFERROR(LOOKUP(2,1/(Algodão!$E13:INDEX(Algodão!$E13:$Z13,MIN(H$6-$E$3,22))&lt;&gt;""),Algodão!$E13:INDEX(Algodão!$E13:$Z13,MIN(H$6-$E$3,22))),0))-IF($G$2,0,IF((H$6-$G$3)&lt;1,0,IFERROR(LOOKUP(2,1/(Algodão!$E13:INDEX(Algodão!$E13:$Z13,MIN(H$6-$G$3,22))&lt;&gt;""),Algodão!$E13:INDEX(Algodão!$E13:$Z13,MIN(H$6-$G$3,22))),0)))))</f>
        <v>0</v>
      </c>
      <c r="I15" s="27" t="n">
        <f aca="false">IF(COUNT(Algodão!$E13:$Z13)=0,0,MAX(0,IF((I$6-$E$3)&lt;1,0,IFERROR(LOOKUP(2,1/(Algodão!$E13:INDEX(Algodão!$E13:$Z13,MIN(I$6-$E$3,22))&lt;&gt;""),Algodão!$E13:INDEX(Algodão!$E13:$Z13,MIN(I$6-$E$3,22))),0))-IF($G$2,0,IF((I$6-$G$3)&lt;1,0,IFERROR(LOOKUP(2,1/(Algodão!$E13:INDEX(Algodão!$E13:$Z13,MIN(I$6-$G$3,22))&lt;&gt;""),Algodão!$E13:INDEX(Algodão!$E13:$Z13,MIN(I$6-$G$3,22))),0)))))</f>
        <v>0</v>
      </c>
      <c r="J15" s="27" t="n">
        <f aca="false">IF(COUNT(Algodão!$E13:$Z13)=0,0,MAX(0,IF((J$6-$E$3)&lt;1,0,IFERROR(LOOKUP(2,1/(Algodão!$E13:INDEX(Algodão!$E13:$Z13,MIN(J$6-$E$3,22))&lt;&gt;""),Algodão!$E13:INDEX(Algodão!$E13:$Z13,MIN(J$6-$E$3,22))),0))-IF($G$2,0,IF((J$6-$G$3)&lt;1,0,IFERROR(LOOKUP(2,1/(Algodão!$E13:INDEX(Algodão!$E13:$Z13,MIN(J$6-$G$3,22))&lt;&gt;""),Algodão!$E13:INDEX(Algodão!$E13:$Z13,MIN(J$6-$G$3,22))),0)))))</f>
        <v>0</v>
      </c>
      <c r="K15" s="27" t="n">
        <f aca="false">IF(COUNT(Algodão!$E13:$Z13)=0,0,MAX(0,IF((K$6-$E$3)&lt;1,0,IFERROR(LOOKUP(2,1/(Algodão!$E13:INDEX(Algodão!$E13:$Z13,MIN(K$6-$E$3,22))&lt;&gt;""),Algodão!$E13:INDEX(Algodão!$E13:$Z13,MIN(K$6-$E$3,22))),0))-IF($G$2,0,IF((K$6-$G$3)&lt;1,0,IFERROR(LOOKUP(2,1/(Algodão!$E13:INDEX(Algodão!$E13:$Z13,MIN(K$6-$G$3,22))&lt;&gt;""),Algodão!$E13:INDEX(Algodão!$E13:$Z13,MIN(K$6-$G$3,22))),0)))))</f>
        <v>0</v>
      </c>
      <c r="L15" s="27" t="n">
        <f aca="false">IF(COUNT(Algodão!$E13:$Z13)=0,0,MAX(0,IF((L$6-$E$3)&lt;1,0,IFERROR(LOOKUP(2,1/(Algodão!$E13:INDEX(Algodão!$E13:$Z13,MIN(L$6-$E$3,22))&lt;&gt;""),Algodão!$E13:INDEX(Algodão!$E13:$Z13,MIN(L$6-$E$3,22))),0))-IF($G$2,0,IF((L$6-$G$3)&lt;1,0,IFERROR(LOOKUP(2,1/(Algodão!$E13:INDEX(Algodão!$E13:$Z13,MIN(L$6-$G$3,22))&lt;&gt;""),Algodão!$E13:INDEX(Algodão!$E13:$Z13,MIN(L$6-$G$3,22))),0)))))</f>
        <v>0</v>
      </c>
      <c r="M15" s="27" t="n">
        <f aca="false">IF(COUNT(Algodão!$E13:$Z13)=0,0,MAX(0,IF((M$6-$E$3)&lt;1,0,IFERROR(LOOKUP(2,1/(Algodão!$E13:INDEX(Algodão!$E13:$Z13,MIN(M$6-$E$3,22))&lt;&gt;""),Algodão!$E13:INDEX(Algodão!$E13:$Z13,MIN(M$6-$E$3,22))),0))-IF($G$2,0,IF((M$6-$G$3)&lt;1,0,IFERROR(LOOKUP(2,1/(Algodão!$E13:INDEX(Algodão!$E13:$Z13,MIN(M$6-$G$3,22))&lt;&gt;""),Algodão!$E13:INDEX(Algodão!$E13:$Z13,MIN(M$6-$G$3,22))),0)))))</f>
        <v>0</v>
      </c>
      <c r="N15" s="27" t="n">
        <f aca="false">IF(COUNT(Algodão!$E13:$Z13)=0,0,MAX(0,IF((N$6-$E$3)&lt;1,0,IFERROR(LOOKUP(2,1/(Algodão!$E13:INDEX(Algodão!$E13:$Z13,MIN(N$6-$E$3,22))&lt;&gt;""),Algodão!$E13:INDEX(Algodão!$E13:$Z13,MIN(N$6-$E$3,22))),0))-IF($G$2,0,IF((N$6-$G$3)&lt;1,0,IFERROR(LOOKUP(2,1/(Algodão!$E13:INDEX(Algodão!$E13:$Z13,MIN(N$6-$G$3,22))&lt;&gt;""),Algodão!$E13:INDEX(Algodão!$E13:$Z13,MIN(N$6-$G$3,22))),0)))))</f>
        <v>0</v>
      </c>
      <c r="O15" s="27" t="n">
        <f aca="false">IF(COUNT(Algodão!$E13:$Z13)=0,0,MAX(0,IF((O$6-$E$3)&lt;1,0,IFERROR(LOOKUP(2,1/(Algodão!$E13:INDEX(Algodão!$E13:$Z13,MIN(O$6-$E$3,22))&lt;&gt;""),Algodão!$E13:INDEX(Algodão!$E13:$Z13,MIN(O$6-$E$3,22))),0))-IF($G$2,0,IF((O$6-$G$3)&lt;1,0,IFERROR(LOOKUP(2,1/(Algodão!$E13:INDEX(Algodão!$E13:$Z13,MIN(O$6-$G$3,22))&lt;&gt;""),Algodão!$E13:INDEX(Algodão!$E13:$Z13,MIN(O$6-$G$3,22))),0)))))</f>
        <v>0</v>
      </c>
      <c r="P15" s="27" t="n">
        <f aca="false">IF(COUNT(Algodão!$E13:$Z13)=0,0,MAX(0,IF((P$6-$E$3)&lt;1,0,IFERROR(LOOKUP(2,1/(Algodão!$E13:INDEX(Algodão!$E13:$Z13,MIN(P$6-$E$3,22))&lt;&gt;""),Algodão!$E13:INDEX(Algodão!$E13:$Z13,MIN(P$6-$E$3,22))),0))-IF($G$2,0,IF((P$6-$G$3)&lt;1,0,IFERROR(LOOKUP(2,1/(Algodão!$E13:INDEX(Algodão!$E13:$Z13,MIN(P$6-$G$3,22))&lt;&gt;""),Algodão!$E13:INDEX(Algodão!$E13:$Z13,MIN(P$6-$G$3,22))),0)))))</f>
        <v>0</v>
      </c>
      <c r="Q15" s="27" t="n">
        <f aca="false">IF(COUNT(Algodão!$E13:$Z13)=0,0,MAX(0,IF((Q$6-$E$3)&lt;1,0,IFERROR(LOOKUP(2,1/(Algodão!$E13:INDEX(Algodão!$E13:$Z13,MIN(Q$6-$E$3,22))&lt;&gt;""),Algodão!$E13:INDEX(Algodão!$E13:$Z13,MIN(Q$6-$E$3,22))),0))-IF($G$2,0,IF((Q$6-$G$3)&lt;1,0,IFERROR(LOOKUP(2,1/(Algodão!$E13:INDEX(Algodão!$E13:$Z13,MIN(Q$6-$G$3,22))&lt;&gt;""),Algodão!$E13:INDEX(Algodão!$E13:$Z13,MIN(Q$6-$G$3,22))),0)))))</f>
        <v>0</v>
      </c>
      <c r="R15" s="27" t="n">
        <f aca="false">IF(COUNT(Algodão!$E13:$Z13)=0,0,MAX(0,IF((R$6-$E$3)&lt;1,0,IFERROR(LOOKUP(2,1/(Algodão!$E13:INDEX(Algodão!$E13:$Z13,MIN(R$6-$E$3,22))&lt;&gt;""),Algodão!$E13:INDEX(Algodão!$E13:$Z13,MIN(R$6-$E$3,22))),0))-IF($G$2,0,IF((R$6-$G$3)&lt;1,0,IFERROR(LOOKUP(2,1/(Algodão!$E13:INDEX(Algodão!$E13:$Z13,MIN(R$6-$G$3,22))&lt;&gt;""),Algodão!$E13:INDEX(Algodão!$E13:$Z13,MIN(R$6-$G$3,22))),0)))))</f>
        <v>0</v>
      </c>
      <c r="S15" s="27" t="n">
        <f aca="false">IF(COUNT(Algodão!$E13:$Z13)=0,0,MAX(0,IF((S$6-$E$3)&lt;1,0,IFERROR(LOOKUP(2,1/(Algodão!$E13:INDEX(Algodão!$E13:$Z13,MIN(S$6-$E$3,22))&lt;&gt;""),Algodão!$E13:INDEX(Algodão!$E13:$Z13,MIN(S$6-$E$3,22))),0))-IF($G$2,0,IF((S$6-$G$3)&lt;1,0,IFERROR(LOOKUP(2,1/(Algodão!$E13:INDEX(Algodão!$E13:$Z13,MIN(S$6-$G$3,22))&lt;&gt;""),Algodão!$E13:INDEX(Algodão!$E13:$Z13,MIN(S$6-$G$3,22))),0)))))</f>
        <v>0</v>
      </c>
      <c r="T15" s="27" t="n">
        <f aca="false">IF(COUNT(Algodão!$E13:$Z13)=0,0,MAX(0,IF((T$6-$E$3)&lt;1,0,IFERROR(LOOKUP(2,1/(Algodão!$E13:INDEX(Algodão!$E13:$Z13,MIN(T$6-$E$3,22))&lt;&gt;""),Algodão!$E13:INDEX(Algodão!$E13:$Z13,MIN(T$6-$E$3,22))),0))-IF($G$2,0,IF((T$6-$G$3)&lt;1,0,IFERROR(LOOKUP(2,1/(Algodão!$E13:INDEX(Algodão!$E13:$Z13,MIN(T$6-$G$3,22))&lt;&gt;""),Algodão!$E13:INDEX(Algodão!$E13:$Z13,MIN(T$6-$G$3,22))),0)))))</f>
        <v>0</v>
      </c>
      <c r="U15" s="27" t="n">
        <f aca="false">IF(COUNT(Algodão!$E13:$Z13)=0,0,MAX(0,IF((U$6-$E$3)&lt;1,0,IFERROR(LOOKUP(2,1/(Algodão!$E13:INDEX(Algodão!$E13:$Z13,MIN(U$6-$E$3,22))&lt;&gt;""),Algodão!$E13:INDEX(Algodão!$E13:$Z13,MIN(U$6-$E$3,22))),0))-IF($G$2,0,IF((U$6-$G$3)&lt;1,0,IFERROR(LOOKUP(2,1/(Algodão!$E13:INDEX(Algodão!$E13:$Z13,MIN(U$6-$G$3,22))&lt;&gt;""),Algodão!$E13:INDEX(Algodão!$E13:$Z13,MIN(U$6-$G$3,22))),0)))))</f>
        <v>0</v>
      </c>
      <c r="V15" s="27" t="n">
        <f aca="false">IF(COUNT(Algodão!$E13:$Z13)=0,0,MAX(0,IF((V$6-$E$3)&lt;1,0,IFERROR(LOOKUP(2,1/(Algodão!$E13:INDEX(Algodão!$E13:$Z13,MIN(V$6-$E$3,22))&lt;&gt;""),Algodão!$E13:INDEX(Algodão!$E13:$Z13,MIN(V$6-$E$3,22))),0))-IF($G$2,0,IF((V$6-$G$3)&lt;1,0,IFERROR(LOOKUP(2,1/(Algodão!$E13:INDEX(Algodão!$E13:$Z13,MIN(V$6-$G$3,22))&lt;&gt;""),Algodão!$E13:INDEX(Algodão!$E13:$Z13,MIN(V$6-$G$3,22))),0)))))</f>
        <v>0</v>
      </c>
      <c r="W15" s="27" t="n">
        <f aca="false">IF(COUNT(Algodão!$E13:$Z13)=0,0,MAX(0,IF((W$6-$E$3)&lt;1,0,IFERROR(LOOKUP(2,1/(Algodão!$E13:INDEX(Algodão!$E13:$Z13,MIN(W$6-$E$3,22))&lt;&gt;""),Algodão!$E13:INDEX(Algodão!$E13:$Z13,MIN(W$6-$E$3,22))),0))-IF($G$2,0,IF((W$6-$G$3)&lt;1,0,IFERROR(LOOKUP(2,1/(Algodão!$E13:INDEX(Algodão!$E13:$Z13,MIN(W$6-$G$3,22))&lt;&gt;""),Algodão!$E13:INDEX(Algodão!$E13:$Z13,MIN(W$6-$G$3,22))),0)))))</f>
        <v>0</v>
      </c>
      <c r="X15" s="27" t="n">
        <f aca="false">IF(COUNT(Algodão!$E13:$Z13)=0,0,MAX(0,IF((X$6-$E$3)&lt;1,0,IFERROR(LOOKUP(2,1/(Algodão!$E13:INDEX(Algodão!$E13:$Z13,MIN(X$6-$E$3,22))&lt;&gt;""),Algodão!$E13:INDEX(Algodão!$E13:$Z13,MIN(X$6-$E$3,22))),0))-IF($G$2,0,IF((X$6-$G$3)&lt;1,0,IFERROR(LOOKUP(2,1/(Algodão!$E13:INDEX(Algodão!$E13:$Z13,MIN(X$6-$G$3,22))&lt;&gt;""),Algodão!$E13:INDEX(Algodão!$E13:$Z13,MIN(X$6-$G$3,22))),0)))))</f>
        <v>0</v>
      </c>
      <c r="Y15" s="27" t="n">
        <f aca="false">IF(COUNT(Algodão!$E13:$Z13)=0,0,MAX(0,IF((Y$6-$E$3)&lt;1,0,IFERROR(LOOKUP(2,1/(Algodão!$E13:INDEX(Algodão!$E13:$Z13,MIN(Y$6-$E$3,22))&lt;&gt;""),Algodão!$E13:INDEX(Algodão!$E13:$Z13,MIN(Y$6-$E$3,22))),0))-IF($G$2,0,IF((Y$6-$G$3)&lt;1,0,IFERROR(LOOKUP(2,1/(Algodão!$E13:INDEX(Algodão!$E13:$Z13,MIN(Y$6-$G$3,22))&lt;&gt;""),Algodão!$E13:INDEX(Algodão!$E13:$Z13,MIN(Y$6-$G$3,22))),0)))))</f>
        <v>0</v>
      </c>
      <c r="Z15" s="27" t="n">
        <f aca="false">IF(COUNT(Algodão!$E13:$Z13)=0,0,MAX(0,IF((Z$6-$E$3)&lt;1,0,IFERROR(LOOKUP(2,1/(Algodão!$E13:INDEX(Algodão!$E13:$Z13,MIN(Z$6-$E$3,22))&lt;&gt;""),Algodão!$E13:INDEX(Algodão!$E13:$Z13,MIN(Z$6-$E$3,22))),0))-IF($G$2,0,IF((Z$6-$G$3)&lt;1,0,IFERROR(LOOKUP(2,1/(Algodão!$E13:INDEX(Algodão!$E13:$Z13,MIN(Z$6-$G$3,22))&lt;&gt;""),Algodão!$E13:INDEX(Algodão!$E13:$Z13,MIN(Z$6-$G$3,22))),0)))))</f>
        <v>0</v>
      </c>
      <c r="AA15" s="27" t="n">
        <f aca="false">IF(COUNT(Algodão!$E13:$Z13)=0,0,MAX(0,IF((AA$6-$E$3)&lt;1,0,IFERROR(LOOKUP(2,1/(Algodão!$E13:INDEX(Algodão!$E13:$Z13,MIN(AA$6-$E$3,22))&lt;&gt;""),Algodão!$E13:INDEX(Algodão!$E13:$Z13,MIN(AA$6-$E$3,22))),0))-IF($G$2,0,IF((AA$6-$G$3)&lt;1,0,IFERROR(LOOKUP(2,1/(Algodão!$E13:INDEX(Algodão!$E13:$Z13,MIN(AA$6-$G$3,22))&lt;&gt;""),Algodão!$E13:INDEX(Algodão!$E13:$Z13,MIN(AA$6-$G$3,22))),0)))))</f>
        <v>0</v>
      </c>
      <c r="AB15" s="27" t="n">
        <f aca="false">IF(COUNT(Algodão!$E13:$Z13)=0,0,MAX(0,IF((AB$6-$E$3)&lt;1,0,IFERROR(LOOKUP(2,1/(Algodão!$E13:INDEX(Algodão!$E13:$Z13,MIN(AB$6-$E$3,22))&lt;&gt;""),Algodão!$E13:INDEX(Algodão!$E13:$Z13,MIN(AB$6-$E$3,22))),0))-IF($G$2,0,IF((AB$6-$G$3)&lt;1,0,IFERROR(LOOKUP(2,1/(Algodão!$E13:INDEX(Algodão!$E13:$Z13,MIN(AB$6-$G$3,22))&lt;&gt;""),Algodão!$E13:INDEX(Algodão!$E13:$Z13,MIN(AB$6-$G$3,22))),0)))))</f>
        <v>0</v>
      </c>
      <c r="AC15" s="27" t="n">
        <f aca="false">IF(COUNT(Algodão!$E13:$Z13)=0,0,MAX(0,IF((AC$6-$E$3)&lt;1,0,IFERROR(LOOKUP(2,1/(Algodão!$E13:INDEX(Algodão!$E13:$Z13,MIN(AC$6-$E$3,22))&lt;&gt;""),Algodão!$E13:INDEX(Algodão!$E13:$Z13,MIN(AC$6-$E$3,22))),0))-IF($G$2,0,IF((AC$6-$G$3)&lt;1,0,IFERROR(LOOKUP(2,1/(Algodão!$E13:INDEX(Algodão!$E13:$Z13,MIN(AC$6-$G$3,22))&lt;&gt;""),Algodão!$E13:INDEX(Algodão!$E13:$Z13,MIN(AC$6-$G$3,22))),0)))))</f>
        <v>0</v>
      </c>
      <c r="AD15" s="27" t="n">
        <f aca="false">IF(COUNT(Algodão!$E13:$Z13)=0,0,MAX(0,IF((AD$6-$E$3)&lt;1,0,IFERROR(LOOKUP(2,1/(Algodão!$E13:INDEX(Algodão!$E13:$Z13,MIN(AD$6-$E$3,22))&lt;&gt;""),Algodão!$E13:INDEX(Algodão!$E13:$Z13,MIN(AD$6-$E$3,22))),0))-IF($G$2,0,IF((AD$6-$G$3)&lt;1,0,IFERROR(LOOKUP(2,1/(Algodão!$E13:INDEX(Algodão!$E13:$Z13,MIN(AD$6-$G$3,22))&lt;&gt;""),Algodão!$E13:INDEX(Algodão!$E13:$Z13,MIN(AD$6-$G$3,22))),0)))))</f>
        <v>0</v>
      </c>
      <c r="AE15" s="27" t="n">
        <f aca="false">IF(COUNT(Algodão!$E13:$Z13)=0,0,MAX(0,IF((AE$6-$E$3)&lt;1,0,IFERROR(LOOKUP(2,1/(Algodão!$E13:INDEX(Algodão!$E13:$Z13,MIN(AE$6-$E$3,22))&lt;&gt;""),Algodão!$E13:INDEX(Algodão!$E13:$Z13,MIN(AE$6-$E$3,22))),0))-IF($G$2,0,IF((AE$6-$G$3)&lt;1,0,IFERROR(LOOKUP(2,1/(Algodão!$E13:INDEX(Algodão!$E13:$Z13,MIN(AE$6-$G$3,22))&lt;&gt;""),Algodão!$E13:INDEX(Algodão!$E13:$Z13,MIN(AE$6-$G$3,22))),0)))))</f>
        <v>0</v>
      </c>
      <c r="AF15" s="27" t="n">
        <f aca="false">IF(COUNT(Algodão!$E13:$Z13)=0,0,MAX(0,IF((AF$6-$E$3)&lt;1,0,IFERROR(LOOKUP(2,1/(Algodão!$E13:INDEX(Algodão!$E13:$Z13,MIN(AF$6-$E$3,22))&lt;&gt;""),Algodão!$E13:INDEX(Algodão!$E13:$Z13,MIN(AF$6-$E$3,22))),0))-IF($G$2,0,IF((AF$6-$G$3)&lt;1,0,IFERROR(LOOKUP(2,1/(Algodão!$E13:INDEX(Algodão!$E13:$Z13,MIN(AF$6-$G$3,22))&lt;&gt;""),Algodão!$E13:INDEX(Algodão!$E13:$Z13,MIN(AF$6-$G$3,22))),0)))))</f>
        <v>0</v>
      </c>
      <c r="AG15" s="27" t="n">
        <f aca="false">IF(COUNT(Algodão!$E13:$Z13)=0,0,MAX(0,IF((AG$6-$E$3)&lt;1,0,IFERROR(LOOKUP(2,1/(Algodão!$E13:INDEX(Algodão!$E13:$Z13,MIN(AG$6-$E$3,22))&lt;&gt;""),Algodão!$E13:INDEX(Algodão!$E13:$Z13,MIN(AG$6-$E$3,22))),0))-IF($G$2,0,IF((AG$6-$G$3)&lt;1,0,IFERROR(LOOKUP(2,1/(Algodão!$E13:INDEX(Algodão!$E13:$Z13,MIN(AG$6-$G$3,22))&lt;&gt;""),Algodão!$E13:INDEX(Algodão!$E13:$Z13,MIN(AG$6-$G$3,22))),0)))))</f>
        <v>0</v>
      </c>
      <c r="AH15" s="27" t="n">
        <f aca="false">IF(COUNT(Algodão!$E13:$Z13)=0,0,MAX(0,IF((AH$6-$E$3)&lt;1,0,IFERROR(LOOKUP(2,1/(Algodão!$E13:INDEX(Algodão!$E13:$Z13,MIN(AH$6-$E$3,22))&lt;&gt;""),Algodão!$E13:INDEX(Algodão!$E13:$Z13,MIN(AH$6-$E$3,22))),0))-IF($G$2,0,IF((AH$6-$G$3)&lt;1,0,IFERROR(LOOKUP(2,1/(Algodão!$E13:INDEX(Algodão!$E13:$Z13,MIN(AH$6-$G$3,22))&lt;&gt;""),Algodão!$E13:INDEX(Algodão!$E13:$Z13,MIN(AH$6-$G$3,22))),0)))))</f>
        <v>0</v>
      </c>
      <c r="AI15" s="27" t="n">
        <f aca="false">IF(COUNT(Algodão!$E13:$Z13)=0,0,MAX(0,IF((AI$6-$E$3)&lt;1,0,IFERROR(LOOKUP(2,1/(Algodão!$E13:INDEX(Algodão!$E13:$Z13,MIN(AI$6-$E$3,22))&lt;&gt;""),Algodão!$E13:INDEX(Algodão!$E13:$Z13,MIN(AI$6-$E$3,22))),0))-IF($G$2,0,IF((AI$6-$G$3)&lt;1,0,IFERROR(LOOKUP(2,1/(Algodão!$E13:INDEX(Algodão!$E13:$Z13,MIN(AI$6-$G$3,22))&lt;&gt;""),Algodão!$E13:INDEX(Algodão!$E13:$Z13,MIN(AI$6-$G$3,22))),0)))))</f>
        <v>0</v>
      </c>
      <c r="AJ15" s="27" t="n">
        <f aca="false">IF(COUNT(Algodão!$E13:$Z13)=0,0,MAX(0,IF((AJ$6-$E$3)&lt;1,0,IFERROR(LOOKUP(2,1/(Algodão!$E13:INDEX(Algodão!$E13:$Z13,MIN(AJ$6-$E$3,22))&lt;&gt;""),Algodão!$E13:INDEX(Algodão!$E13:$Z13,MIN(AJ$6-$E$3,22))),0))-IF($G$2,0,IF((AJ$6-$G$3)&lt;1,0,IFERROR(LOOKUP(2,1/(Algodão!$E13:INDEX(Algodão!$E13:$Z13,MIN(AJ$6-$G$3,22))&lt;&gt;""),Algodão!$E13:INDEX(Algodão!$E13:$Z13,MIN(AJ$6-$G$3,22))),0)))))</f>
        <v>0</v>
      </c>
      <c r="AK15" s="27" t="n">
        <f aca="false">IF(COUNT(Algodão!$E13:$Z13)=0,0,MAX(0,IF((AK$6-$E$3)&lt;1,0,IFERROR(LOOKUP(2,1/(Algodão!$E13:INDEX(Algodão!$E13:$Z13,MIN(AK$6-$E$3,22))&lt;&gt;""),Algodão!$E13:INDEX(Algodão!$E13:$Z13,MIN(AK$6-$E$3,22))),0))-IF($G$2,0,IF((AK$6-$G$3)&lt;1,0,IFERROR(LOOKUP(2,1/(Algodão!$E13:INDEX(Algodão!$E13:$Z13,MIN(AK$6-$G$3,22))&lt;&gt;""),Algodão!$E13:INDEX(Algodão!$E13:$Z13,MIN(AK$6-$G$3,22))),0)))))</f>
        <v>0</v>
      </c>
      <c r="AL15" s="27" t="n">
        <f aca="false">IF(COUNT(Algodão!$E13:$Z13)=0,0,MAX(0,IF((AL$6-$E$3)&lt;1,0,IFERROR(LOOKUP(2,1/(Algodão!$E13:INDEX(Algodão!$E13:$Z13,MIN(AL$6-$E$3,22))&lt;&gt;""),Algodão!$E13:INDEX(Algodão!$E13:$Z13,MIN(AL$6-$E$3,22))),0))-IF($G$2,0,IF((AL$6-$G$3)&lt;1,0,IFERROR(LOOKUP(2,1/(Algodão!$E13:INDEX(Algodão!$E13:$Z13,MIN(AL$6-$G$3,22))&lt;&gt;""),Algodão!$E13:INDEX(Algodão!$E13:$Z13,MIN(AL$6-$G$3,22))),0)))))</f>
        <v>0</v>
      </c>
      <c r="AM15" s="27" t="n">
        <f aca="false">IF(COUNT(Algodão!$E13:$Z13)=0,0,MAX(0,IF((AM$6-$E$3)&lt;1,0,IFERROR(LOOKUP(2,1/(Algodão!$E13:INDEX(Algodão!$E13:$Z13,MIN(AM$6-$E$3,22))&lt;&gt;""),Algodão!$E13:INDEX(Algodão!$E13:$Z13,MIN(AM$6-$E$3,22))),0))-IF($G$2,0,IF((AM$6-$G$3)&lt;1,0,IFERROR(LOOKUP(2,1/(Algodão!$E13:INDEX(Algodão!$E13:$Z13,MIN(AM$6-$G$3,22))&lt;&gt;""),Algodão!$E13:INDEX(Algodão!$E13:$Z13,MIN(AM$6-$G$3,22))),0)))))</f>
        <v>0</v>
      </c>
      <c r="AN15" s="27" t="n">
        <f aca="false">IF(COUNT(Algodão!$E13:$Z13)=0,0,MAX(0,IF((AN$6-$E$3)&lt;1,0,IFERROR(LOOKUP(2,1/(Algodão!$E13:INDEX(Algodão!$E13:$Z13,MIN(AN$6-$E$3,22))&lt;&gt;""),Algodão!$E13:INDEX(Algodão!$E13:$Z13,MIN(AN$6-$E$3,22))),0))-IF($G$2,0,IF((AN$6-$G$3)&lt;1,0,IFERROR(LOOKUP(2,1/(Algodão!$E13:INDEX(Algodão!$E13:$Z13,MIN(AN$6-$G$3,22))&lt;&gt;""),Algodão!$E13:INDEX(Algodão!$E13:$Z13,MIN(AN$6-$G$3,22))),0)))))</f>
        <v>0</v>
      </c>
      <c r="AO15" s="27" t="n">
        <f aca="false">IF(COUNT(Algodão!$E13:$Z13)=0,0,MAX(0,IF((AO$6-$E$3)&lt;1,0,IFERROR(LOOKUP(2,1/(Algodão!$E13:INDEX(Algodão!$E13:$Z13,MIN(AO$6-$E$3,22))&lt;&gt;""),Algodão!$E13:INDEX(Algodão!$E13:$Z13,MIN(AO$6-$E$3,22))),0))-IF($G$2,0,IF((AO$6-$G$3)&lt;1,0,IFERROR(LOOKUP(2,1/(Algodão!$E13:INDEX(Algodão!$E13:$Z13,MIN(AO$6-$G$3,22))&lt;&gt;""),Algodão!$E13:INDEX(Algodão!$E13:$Z13,MIN(AO$6-$G$3,22))),0)))))</f>
        <v>0</v>
      </c>
      <c r="AP15" s="27" t="n">
        <f aca="false">IF(COUNT(Algodão!$E13:$Z13)=0,0,MAX(0,IF((AP$6-$E$3)&lt;1,0,IFERROR(LOOKUP(2,1/(Algodão!$E13:INDEX(Algodão!$E13:$Z13,MIN(AP$6-$E$3,22))&lt;&gt;""),Algodão!$E13:INDEX(Algodão!$E13:$Z13,MIN(AP$6-$E$3,22))),0))-IF($G$2,0,IF((AP$6-$G$3)&lt;1,0,IFERROR(LOOKUP(2,1/(Algodão!$E13:INDEX(Algodão!$E13:$Z13,MIN(AP$6-$G$3,22))&lt;&gt;""),Algodão!$E13:INDEX(Algodão!$E13:$Z13,MIN(AP$6-$G$3,22))),0)))))</f>
        <v>0</v>
      </c>
      <c r="AQ15" s="27" t="n">
        <f aca="false">IF(COUNT(Algodão!$E13:$Z13)=0,0,MAX(0,IF((AQ$6-$E$3)&lt;1,0,IFERROR(LOOKUP(2,1/(Algodão!$E13:INDEX(Algodão!$E13:$Z13,MIN(AQ$6-$E$3,22))&lt;&gt;""),Algodão!$E13:INDEX(Algodão!$E13:$Z13,MIN(AQ$6-$E$3,22))),0))-IF($G$2,0,IF((AQ$6-$G$3)&lt;1,0,IFERROR(LOOKUP(2,1/(Algodão!$E13:INDEX(Algodão!$E13:$Z13,MIN(AQ$6-$G$3,22))&lt;&gt;""),Algodão!$E13:INDEX(Algodão!$E13:$Z13,MIN(AQ$6-$G$3,22))),0)))))</f>
        <v>0</v>
      </c>
      <c r="AR15" s="27" t="n">
        <f aca="false">IF(COUNT(Algodão!$E13:$Z13)=0,0,MAX(0,IF((AR$6-$E$3)&lt;1,0,IFERROR(LOOKUP(2,1/(Algodão!$E13:INDEX(Algodão!$E13:$Z13,MIN(AR$6-$E$3,22))&lt;&gt;""),Algodão!$E13:INDEX(Algodão!$E13:$Z13,MIN(AR$6-$E$3,22))),0))-IF($G$2,0,IF((AR$6-$G$3)&lt;1,0,IFERROR(LOOKUP(2,1/(Algodão!$E13:INDEX(Algodão!$E13:$Z13,MIN(AR$6-$G$3,22))&lt;&gt;""),Algodão!$E13:INDEX(Algodão!$E13:$Z13,MIN(AR$6-$G$3,22))),0)))))</f>
        <v>0</v>
      </c>
      <c r="AS15" s="27" t="n">
        <f aca="false">IF(COUNT(Algodão!$E13:$Z13)=0,0,MAX(0,IF((AS$6-$E$3)&lt;1,0,IFERROR(LOOKUP(2,1/(Algodão!$E13:INDEX(Algodão!$E13:$Z13,MIN(AS$6-$E$3,22))&lt;&gt;""),Algodão!$E13:INDEX(Algodão!$E13:$Z13,MIN(AS$6-$E$3,22))),0))-IF($G$2,0,IF((AS$6-$G$3)&lt;1,0,IFERROR(LOOKUP(2,1/(Algodão!$E13:INDEX(Algodão!$E13:$Z13,MIN(AS$6-$G$3,22))&lt;&gt;""),Algodão!$E13:INDEX(Algodão!$E13:$Z13,MIN(AS$6-$G$3,22))),0)))))</f>
        <v>0</v>
      </c>
      <c r="AT15" s="27" t="n">
        <f aca="false">IF(COUNT(Algodão!$E13:$Z13)=0,0,MAX(0,IF((AT$6-$E$3)&lt;1,0,IFERROR(LOOKUP(2,1/(Algodão!$E13:INDEX(Algodão!$E13:$Z13,MIN(AT$6-$E$3,22))&lt;&gt;""),Algodão!$E13:INDEX(Algodão!$E13:$Z13,MIN(AT$6-$E$3,22))),0))-IF($G$2,0,IF((AT$6-$G$3)&lt;1,0,IFERROR(LOOKUP(2,1/(Algodão!$E13:INDEX(Algodão!$E13:$Z13,MIN(AT$6-$G$3,22))&lt;&gt;""),Algodão!$E13:INDEX(Algodão!$E13:$Z13,MIN(AT$6-$G$3,22))),0)))))</f>
        <v>0</v>
      </c>
      <c r="AU15" s="27" t="n">
        <f aca="false">IF(COUNT(Algodão!$E13:$Z13)=0,0,MAX(0,IF((AU$6-$E$3)&lt;1,0,IFERROR(LOOKUP(2,1/(Algodão!$E13:INDEX(Algodão!$E13:$Z13,MIN(AU$6-$E$3,22))&lt;&gt;""),Algodão!$E13:INDEX(Algodão!$E13:$Z13,MIN(AU$6-$E$3,22))),0))-IF($G$2,0,IF((AU$6-$G$3)&lt;1,0,IFERROR(LOOKUP(2,1/(Algodão!$E13:INDEX(Algodão!$E13:$Z13,MIN(AU$6-$G$3,22))&lt;&gt;""),Algodão!$E13:INDEX(Algodão!$E13:$Z13,MIN(AU$6-$G$3,22))),0)))))</f>
        <v>0</v>
      </c>
      <c r="AV15" s="27" t="n">
        <f aca="false">IF(COUNT(Algodão!$E13:$Z13)=0,0,MAX(0,IF((AV$6-$E$3)&lt;1,0,IFERROR(LOOKUP(2,1/(Algodão!$E13:INDEX(Algodão!$E13:$Z13,MIN(AV$6-$E$3,22))&lt;&gt;""),Algodão!$E13:INDEX(Algodão!$E13:$Z13,MIN(AV$6-$E$3,22))),0))-IF($G$2,0,IF((AV$6-$G$3)&lt;1,0,IFERROR(LOOKUP(2,1/(Algodão!$E13:INDEX(Algodão!$E13:$Z13,MIN(AV$6-$G$3,22))&lt;&gt;""),Algodão!$E13:INDEX(Algodão!$E13:$Z13,MIN(AV$6-$G$3,22))),0)))))</f>
        <v>0</v>
      </c>
      <c r="AW15" s="27" t="n">
        <f aca="false">IF(COUNT(Algodão!$E13:$Z13)=0,0,MAX(0,IF((AW$6-$E$3)&lt;1,0,IFERROR(LOOKUP(2,1/(Algodão!$E13:INDEX(Algodão!$E13:$Z13,MIN(AW$6-$E$3,22))&lt;&gt;""),Algodão!$E13:INDEX(Algodão!$E13:$Z13,MIN(AW$6-$E$3,22))),0))-IF($G$2,0,IF((AW$6-$G$3)&lt;1,0,IFERROR(LOOKUP(2,1/(Algodão!$E13:INDEX(Algodão!$E13:$Z13,MIN(AW$6-$G$3,22))&lt;&gt;""),Algodão!$E13:INDEX(Algodão!$E13:$Z13,MIN(AW$6-$G$3,22))),0)))))</f>
        <v>0</v>
      </c>
      <c r="AX15" s="27" t="n">
        <f aca="false">IF(COUNT(Algodão!$E13:$Z13)=0,0,MAX(0,IF((AX$6-$E$3)&lt;1,0,IFERROR(LOOKUP(2,1/(Algodão!$E13:INDEX(Algodão!$E13:$Z13,MIN(AX$6-$E$3,22))&lt;&gt;""),Algodão!$E13:INDEX(Algodão!$E13:$Z13,MIN(AX$6-$E$3,22))),0))-IF($G$2,0,IF((AX$6-$G$3)&lt;1,0,IFERROR(LOOKUP(2,1/(Algodão!$E13:INDEX(Algodão!$E13:$Z13,MIN(AX$6-$G$3,22))&lt;&gt;""),Algodão!$E13:INDEX(Algodão!$E13:$Z13,MIN(AX$6-$G$3,22))),0)))))</f>
        <v>0</v>
      </c>
      <c r="AY15" s="27" t="n">
        <f aca="false">IF(COUNT(Algodão!$E13:$Z13)=0,0,MAX(0,IF((AY$6-$E$3)&lt;1,0,IFERROR(LOOKUP(2,1/(Algodão!$E13:INDEX(Algodão!$E13:$Z13,MIN(AY$6-$E$3,22))&lt;&gt;""),Algodão!$E13:INDEX(Algodão!$E13:$Z13,MIN(AY$6-$E$3,22))),0))-IF($G$2,0,IF((AY$6-$G$3)&lt;1,0,IFERROR(LOOKUP(2,1/(Algodão!$E13:INDEX(Algodão!$E13:$Z13,MIN(AY$6-$G$3,22))&lt;&gt;""),Algodão!$E13:INDEX(Algodão!$E13:$Z13,MIN(AY$6-$G$3,22))),0)))))</f>
        <v>0</v>
      </c>
      <c r="AZ15" s="27" t="n">
        <f aca="false">IF(COUNT(Algodão!$E13:$Z13)=0,0,MAX(0,IF((AZ$6-$E$3)&lt;1,0,IFERROR(LOOKUP(2,1/(Algodão!$E13:INDEX(Algodão!$E13:$Z13,MIN(AZ$6-$E$3,22))&lt;&gt;""),Algodão!$E13:INDEX(Algodão!$E13:$Z13,MIN(AZ$6-$E$3,22))),0))-IF($G$2,0,IF((AZ$6-$G$3)&lt;1,0,IFERROR(LOOKUP(2,1/(Algodão!$E13:INDEX(Algodão!$E13:$Z13,MIN(AZ$6-$G$3,22))&lt;&gt;""),Algodão!$E13:INDEX(Algodão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IF(COUNT(Algodão!$E14:$Z14)&gt;0,N(Algodão!$D14),0)</f>
        <v>0</v>
      </c>
      <c r="E16" s="27" t="n">
        <f aca="false">IF(COUNT(Algodão!$E14:$Z14)=0,0,MAX(0,IF((E$6-$E$3)&lt;1,0,IFERROR(LOOKUP(2,1/(Algodão!$E14:INDEX(Algodão!$E14:$Z14,MIN(E$6-$E$3,22))&lt;&gt;""),Algodão!$E14:INDEX(Algodão!$E14:$Z14,MIN(E$6-$E$3,22))),0))-IF($G$2,0,IF((E$6-$G$3)&lt;1,0,IFERROR(LOOKUP(2,1/(Algodão!$E14:INDEX(Algodão!$E14:$Z14,MIN(E$6-$G$3,22))&lt;&gt;""),Algodão!$E14:INDEX(Algodão!$E14:$Z14,MIN(E$6-$G$3,22))),0)))))</f>
        <v>0</v>
      </c>
      <c r="F16" s="27" t="n">
        <f aca="false">IF(COUNT(Algodão!$E14:$Z14)=0,0,MAX(0,IF((F$6-$E$3)&lt;1,0,IFERROR(LOOKUP(2,1/(Algodão!$E14:INDEX(Algodão!$E14:$Z14,MIN(F$6-$E$3,22))&lt;&gt;""),Algodão!$E14:INDEX(Algodão!$E14:$Z14,MIN(F$6-$E$3,22))),0))-IF($G$2,0,IF((F$6-$G$3)&lt;1,0,IFERROR(LOOKUP(2,1/(Algodão!$E14:INDEX(Algodão!$E14:$Z14,MIN(F$6-$G$3,22))&lt;&gt;""),Algodão!$E14:INDEX(Algodão!$E14:$Z14,MIN(F$6-$G$3,22))),0)))))</f>
        <v>0</v>
      </c>
      <c r="G16" s="27" t="n">
        <f aca="false">IF(COUNT(Algodão!$E14:$Z14)=0,0,MAX(0,IF((G$6-$E$3)&lt;1,0,IFERROR(LOOKUP(2,1/(Algodão!$E14:INDEX(Algodão!$E14:$Z14,MIN(G$6-$E$3,22))&lt;&gt;""),Algodão!$E14:INDEX(Algodão!$E14:$Z14,MIN(G$6-$E$3,22))),0))-IF($G$2,0,IF((G$6-$G$3)&lt;1,0,IFERROR(LOOKUP(2,1/(Algodão!$E14:INDEX(Algodão!$E14:$Z14,MIN(G$6-$G$3,22))&lt;&gt;""),Algodão!$E14:INDEX(Algodão!$E14:$Z14,MIN(G$6-$G$3,22))),0)))))</f>
        <v>0</v>
      </c>
      <c r="H16" s="27" t="n">
        <f aca="false">IF(COUNT(Algodão!$E14:$Z14)=0,0,MAX(0,IF((H$6-$E$3)&lt;1,0,IFERROR(LOOKUP(2,1/(Algodão!$E14:INDEX(Algodão!$E14:$Z14,MIN(H$6-$E$3,22))&lt;&gt;""),Algodão!$E14:INDEX(Algodão!$E14:$Z14,MIN(H$6-$E$3,22))),0))-IF($G$2,0,IF((H$6-$G$3)&lt;1,0,IFERROR(LOOKUP(2,1/(Algodão!$E14:INDEX(Algodão!$E14:$Z14,MIN(H$6-$G$3,22))&lt;&gt;""),Algodão!$E14:INDEX(Algodão!$E14:$Z14,MIN(H$6-$G$3,22))),0)))))</f>
        <v>0</v>
      </c>
      <c r="I16" s="27" t="n">
        <f aca="false">IF(COUNT(Algodão!$E14:$Z14)=0,0,MAX(0,IF((I$6-$E$3)&lt;1,0,IFERROR(LOOKUP(2,1/(Algodão!$E14:INDEX(Algodão!$E14:$Z14,MIN(I$6-$E$3,22))&lt;&gt;""),Algodão!$E14:INDEX(Algodão!$E14:$Z14,MIN(I$6-$E$3,22))),0))-IF($G$2,0,IF((I$6-$G$3)&lt;1,0,IFERROR(LOOKUP(2,1/(Algodão!$E14:INDEX(Algodão!$E14:$Z14,MIN(I$6-$G$3,22))&lt;&gt;""),Algodão!$E14:INDEX(Algodão!$E14:$Z14,MIN(I$6-$G$3,22))),0)))))</f>
        <v>0</v>
      </c>
      <c r="J16" s="27" t="n">
        <f aca="false">IF(COUNT(Algodão!$E14:$Z14)=0,0,MAX(0,IF((J$6-$E$3)&lt;1,0,IFERROR(LOOKUP(2,1/(Algodão!$E14:INDEX(Algodão!$E14:$Z14,MIN(J$6-$E$3,22))&lt;&gt;""),Algodão!$E14:INDEX(Algodão!$E14:$Z14,MIN(J$6-$E$3,22))),0))-IF($G$2,0,IF((J$6-$G$3)&lt;1,0,IFERROR(LOOKUP(2,1/(Algodão!$E14:INDEX(Algodão!$E14:$Z14,MIN(J$6-$G$3,22))&lt;&gt;""),Algodão!$E14:INDEX(Algodão!$E14:$Z14,MIN(J$6-$G$3,22))),0)))))</f>
        <v>0</v>
      </c>
      <c r="K16" s="27" t="n">
        <f aca="false">IF(COUNT(Algodão!$E14:$Z14)=0,0,MAX(0,IF((K$6-$E$3)&lt;1,0,IFERROR(LOOKUP(2,1/(Algodão!$E14:INDEX(Algodão!$E14:$Z14,MIN(K$6-$E$3,22))&lt;&gt;""),Algodão!$E14:INDEX(Algodão!$E14:$Z14,MIN(K$6-$E$3,22))),0))-IF($G$2,0,IF((K$6-$G$3)&lt;1,0,IFERROR(LOOKUP(2,1/(Algodão!$E14:INDEX(Algodão!$E14:$Z14,MIN(K$6-$G$3,22))&lt;&gt;""),Algodão!$E14:INDEX(Algodão!$E14:$Z14,MIN(K$6-$G$3,22))),0)))))</f>
        <v>0</v>
      </c>
      <c r="L16" s="27" t="n">
        <f aca="false">IF(COUNT(Algodão!$E14:$Z14)=0,0,MAX(0,IF((L$6-$E$3)&lt;1,0,IFERROR(LOOKUP(2,1/(Algodão!$E14:INDEX(Algodão!$E14:$Z14,MIN(L$6-$E$3,22))&lt;&gt;""),Algodão!$E14:INDEX(Algodão!$E14:$Z14,MIN(L$6-$E$3,22))),0))-IF($G$2,0,IF((L$6-$G$3)&lt;1,0,IFERROR(LOOKUP(2,1/(Algodão!$E14:INDEX(Algodão!$E14:$Z14,MIN(L$6-$G$3,22))&lt;&gt;""),Algodão!$E14:INDEX(Algodão!$E14:$Z14,MIN(L$6-$G$3,22))),0)))))</f>
        <v>0</v>
      </c>
      <c r="M16" s="27" t="n">
        <f aca="false">IF(COUNT(Algodão!$E14:$Z14)=0,0,MAX(0,IF((M$6-$E$3)&lt;1,0,IFERROR(LOOKUP(2,1/(Algodão!$E14:INDEX(Algodão!$E14:$Z14,MIN(M$6-$E$3,22))&lt;&gt;""),Algodão!$E14:INDEX(Algodão!$E14:$Z14,MIN(M$6-$E$3,22))),0))-IF($G$2,0,IF((M$6-$G$3)&lt;1,0,IFERROR(LOOKUP(2,1/(Algodão!$E14:INDEX(Algodão!$E14:$Z14,MIN(M$6-$G$3,22))&lt;&gt;""),Algodão!$E14:INDEX(Algodão!$E14:$Z14,MIN(M$6-$G$3,22))),0)))))</f>
        <v>0</v>
      </c>
      <c r="N16" s="27" t="n">
        <f aca="false">IF(COUNT(Algodão!$E14:$Z14)=0,0,MAX(0,IF((N$6-$E$3)&lt;1,0,IFERROR(LOOKUP(2,1/(Algodão!$E14:INDEX(Algodão!$E14:$Z14,MIN(N$6-$E$3,22))&lt;&gt;""),Algodão!$E14:INDEX(Algodão!$E14:$Z14,MIN(N$6-$E$3,22))),0))-IF($G$2,0,IF((N$6-$G$3)&lt;1,0,IFERROR(LOOKUP(2,1/(Algodão!$E14:INDEX(Algodão!$E14:$Z14,MIN(N$6-$G$3,22))&lt;&gt;""),Algodão!$E14:INDEX(Algodão!$E14:$Z14,MIN(N$6-$G$3,22))),0)))))</f>
        <v>0</v>
      </c>
      <c r="O16" s="27" t="n">
        <f aca="false">IF(COUNT(Algodão!$E14:$Z14)=0,0,MAX(0,IF((O$6-$E$3)&lt;1,0,IFERROR(LOOKUP(2,1/(Algodão!$E14:INDEX(Algodão!$E14:$Z14,MIN(O$6-$E$3,22))&lt;&gt;""),Algodão!$E14:INDEX(Algodão!$E14:$Z14,MIN(O$6-$E$3,22))),0))-IF($G$2,0,IF((O$6-$G$3)&lt;1,0,IFERROR(LOOKUP(2,1/(Algodão!$E14:INDEX(Algodão!$E14:$Z14,MIN(O$6-$G$3,22))&lt;&gt;""),Algodão!$E14:INDEX(Algodão!$E14:$Z14,MIN(O$6-$G$3,22))),0)))))</f>
        <v>0</v>
      </c>
      <c r="P16" s="27" t="n">
        <f aca="false">IF(COUNT(Algodão!$E14:$Z14)=0,0,MAX(0,IF((P$6-$E$3)&lt;1,0,IFERROR(LOOKUP(2,1/(Algodão!$E14:INDEX(Algodão!$E14:$Z14,MIN(P$6-$E$3,22))&lt;&gt;""),Algodão!$E14:INDEX(Algodão!$E14:$Z14,MIN(P$6-$E$3,22))),0))-IF($G$2,0,IF((P$6-$G$3)&lt;1,0,IFERROR(LOOKUP(2,1/(Algodão!$E14:INDEX(Algodão!$E14:$Z14,MIN(P$6-$G$3,22))&lt;&gt;""),Algodão!$E14:INDEX(Algodão!$E14:$Z14,MIN(P$6-$G$3,22))),0)))))</f>
        <v>0</v>
      </c>
      <c r="Q16" s="27" t="n">
        <f aca="false">IF(COUNT(Algodão!$E14:$Z14)=0,0,MAX(0,IF((Q$6-$E$3)&lt;1,0,IFERROR(LOOKUP(2,1/(Algodão!$E14:INDEX(Algodão!$E14:$Z14,MIN(Q$6-$E$3,22))&lt;&gt;""),Algodão!$E14:INDEX(Algodão!$E14:$Z14,MIN(Q$6-$E$3,22))),0))-IF($G$2,0,IF((Q$6-$G$3)&lt;1,0,IFERROR(LOOKUP(2,1/(Algodão!$E14:INDEX(Algodão!$E14:$Z14,MIN(Q$6-$G$3,22))&lt;&gt;""),Algodão!$E14:INDEX(Algodão!$E14:$Z14,MIN(Q$6-$G$3,22))),0)))))</f>
        <v>0</v>
      </c>
      <c r="R16" s="27" t="n">
        <f aca="false">IF(COUNT(Algodão!$E14:$Z14)=0,0,MAX(0,IF((R$6-$E$3)&lt;1,0,IFERROR(LOOKUP(2,1/(Algodão!$E14:INDEX(Algodão!$E14:$Z14,MIN(R$6-$E$3,22))&lt;&gt;""),Algodão!$E14:INDEX(Algodão!$E14:$Z14,MIN(R$6-$E$3,22))),0))-IF($G$2,0,IF((R$6-$G$3)&lt;1,0,IFERROR(LOOKUP(2,1/(Algodão!$E14:INDEX(Algodão!$E14:$Z14,MIN(R$6-$G$3,22))&lt;&gt;""),Algodão!$E14:INDEX(Algodão!$E14:$Z14,MIN(R$6-$G$3,22))),0)))))</f>
        <v>0</v>
      </c>
      <c r="S16" s="27" t="n">
        <f aca="false">IF(COUNT(Algodão!$E14:$Z14)=0,0,MAX(0,IF((S$6-$E$3)&lt;1,0,IFERROR(LOOKUP(2,1/(Algodão!$E14:INDEX(Algodão!$E14:$Z14,MIN(S$6-$E$3,22))&lt;&gt;""),Algodão!$E14:INDEX(Algodão!$E14:$Z14,MIN(S$6-$E$3,22))),0))-IF($G$2,0,IF((S$6-$G$3)&lt;1,0,IFERROR(LOOKUP(2,1/(Algodão!$E14:INDEX(Algodão!$E14:$Z14,MIN(S$6-$G$3,22))&lt;&gt;""),Algodão!$E14:INDEX(Algodão!$E14:$Z14,MIN(S$6-$G$3,22))),0)))))</f>
        <v>0</v>
      </c>
      <c r="T16" s="27" t="n">
        <f aca="false">IF(COUNT(Algodão!$E14:$Z14)=0,0,MAX(0,IF((T$6-$E$3)&lt;1,0,IFERROR(LOOKUP(2,1/(Algodão!$E14:INDEX(Algodão!$E14:$Z14,MIN(T$6-$E$3,22))&lt;&gt;""),Algodão!$E14:INDEX(Algodão!$E14:$Z14,MIN(T$6-$E$3,22))),0))-IF($G$2,0,IF((T$6-$G$3)&lt;1,0,IFERROR(LOOKUP(2,1/(Algodão!$E14:INDEX(Algodão!$E14:$Z14,MIN(T$6-$G$3,22))&lt;&gt;""),Algodão!$E14:INDEX(Algodão!$E14:$Z14,MIN(T$6-$G$3,22))),0)))))</f>
        <v>0</v>
      </c>
      <c r="U16" s="27" t="n">
        <f aca="false">IF(COUNT(Algodão!$E14:$Z14)=0,0,MAX(0,IF((U$6-$E$3)&lt;1,0,IFERROR(LOOKUP(2,1/(Algodão!$E14:INDEX(Algodão!$E14:$Z14,MIN(U$6-$E$3,22))&lt;&gt;""),Algodão!$E14:INDEX(Algodão!$E14:$Z14,MIN(U$6-$E$3,22))),0))-IF($G$2,0,IF((U$6-$G$3)&lt;1,0,IFERROR(LOOKUP(2,1/(Algodão!$E14:INDEX(Algodão!$E14:$Z14,MIN(U$6-$G$3,22))&lt;&gt;""),Algodão!$E14:INDEX(Algodão!$E14:$Z14,MIN(U$6-$G$3,22))),0)))))</f>
        <v>0</v>
      </c>
      <c r="V16" s="27" t="n">
        <f aca="false">IF(COUNT(Algodão!$E14:$Z14)=0,0,MAX(0,IF((V$6-$E$3)&lt;1,0,IFERROR(LOOKUP(2,1/(Algodão!$E14:INDEX(Algodão!$E14:$Z14,MIN(V$6-$E$3,22))&lt;&gt;""),Algodão!$E14:INDEX(Algodão!$E14:$Z14,MIN(V$6-$E$3,22))),0))-IF($G$2,0,IF((V$6-$G$3)&lt;1,0,IFERROR(LOOKUP(2,1/(Algodão!$E14:INDEX(Algodão!$E14:$Z14,MIN(V$6-$G$3,22))&lt;&gt;""),Algodão!$E14:INDEX(Algodão!$E14:$Z14,MIN(V$6-$G$3,22))),0)))))</f>
        <v>0</v>
      </c>
      <c r="W16" s="27" t="n">
        <f aca="false">IF(COUNT(Algodão!$E14:$Z14)=0,0,MAX(0,IF((W$6-$E$3)&lt;1,0,IFERROR(LOOKUP(2,1/(Algodão!$E14:INDEX(Algodão!$E14:$Z14,MIN(W$6-$E$3,22))&lt;&gt;""),Algodão!$E14:INDEX(Algodão!$E14:$Z14,MIN(W$6-$E$3,22))),0))-IF($G$2,0,IF((W$6-$G$3)&lt;1,0,IFERROR(LOOKUP(2,1/(Algodão!$E14:INDEX(Algodão!$E14:$Z14,MIN(W$6-$G$3,22))&lt;&gt;""),Algodão!$E14:INDEX(Algodão!$E14:$Z14,MIN(W$6-$G$3,22))),0)))))</f>
        <v>0</v>
      </c>
      <c r="X16" s="27" t="n">
        <f aca="false">IF(COUNT(Algodão!$E14:$Z14)=0,0,MAX(0,IF((X$6-$E$3)&lt;1,0,IFERROR(LOOKUP(2,1/(Algodão!$E14:INDEX(Algodão!$E14:$Z14,MIN(X$6-$E$3,22))&lt;&gt;""),Algodão!$E14:INDEX(Algodão!$E14:$Z14,MIN(X$6-$E$3,22))),0))-IF($G$2,0,IF((X$6-$G$3)&lt;1,0,IFERROR(LOOKUP(2,1/(Algodão!$E14:INDEX(Algodão!$E14:$Z14,MIN(X$6-$G$3,22))&lt;&gt;""),Algodão!$E14:INDEX(Algodão!$E14:$Z14,MIN(X$6-$G$3,22))),0)))))</f>
        <v>0</v>
      </c>
      <c r="Y16" s="27" t="n">
        <f aca="false">IF(COUNT(Algodão!$E14:$Z14)=0,0,MAX(0,IF((Y$6-$E$3)&lt;1,0,IFERROR(LOOKUP(2,1/(Algodão!$E14:INDEX(Algodão!$E14:$Z14,MIN(Y$6-$E$3,22))&lt;&gt;""),Algodão!$E14:INDEX(Algodão!$E14:$Z14,MIN(Y$6-$E$3,22))),0))-IF($G$2,0,IF((Y$6-$G$3)&lt;1,0,IFERROR(LOOKUP(2,1/(Algodão!$E14:INDEX(Algodão!$E14:$Z14,MIN(Y$6-$G$3,22))&lt;&gt;""),Algodão!$E14:INDEX(Algodão!$E14:$Z14,MIN(Y$6-$G$3,22))),0)))))</f>
        <v>0</v>
      </c>
      <c r="Z16" s="27" t="n">
        <f aca="false">IF(COUNT(Algodão!$E14:$Z14)=0,0,MAX(0,IF((Z$6-$E$3)&lt;1,0,IFERROR(LOOKUP(2,1/(Algodão!$E14:INDEX(Algodão!$E14:$Z14,MIN(Z$6-$E$3,22))&lt;&gt;""),Algodão!$E14:INDEX(Algodão!$E14:$Z14,MIN(Z$6-$E$3,22))),0))-IF($G$2,0,IF((Z$6-$G$3)&lt;1,0,IFERROR(LOOKUP(2,1/(Algodão!$E14:INDEX(Algodão!$E14:$Z14,MIN(Z$6-$G$3,22))&lt;&gt;""),Algodão!$E14:INDEX(Algodão!$E14:$Z14,MIN(Z$6-$G$3,22))),0)))))</f>
        <v>0</v>
      </c>
      <c r="AA16" s="27" t="n">
        <f aca="false">IF(COUNT(Algodão!$E14:$Z14)=0,0,MAX(0,IF((AA$6-$E$3)&lt;1,0,IFERROR(LOOKUP(2,1/(Algodão!$E14:INDEX(Algodão!$E14:$Z14,MIN(AA$6-$E$3,22))&lt;&gt;""),Algodão!$E14:INDEX(Algodão!$E14:$Z14,MIN(AA$6-$E$3,22))),0))-IF($G$2,0,IF((AA$6-$G$3)&lt;1,0,IFERROR(LOOKUP(2,1/(Algodão!$E14:INDEX(Algodão!$E14:$Z14,MIN(AA$6-$G$3,22))&lt;&gt;""),Algodão!$E14:INDEX(Algodão!$E14:$Z14,MIN(AA$6-$G$3,22))),0)))))</f>
        <v>0</v>
      </c>
      <c r="AB16" s="27" t="n">
        <f aca="false">IF(COUNT(Algodão!$E14:$Z14)=0,0,MAX(0,IF((AB$6-$E$3)&lt;1,0,IFERROR(LOOKUP(2,1/(Algodão!$E14:INDEX(Algodão!$E14:$Z14,MIN(AB$6-$E$3,22))&lt;&gt;""),Algodão!$E14:INDEX(Algodão!$E14:$Z14,MIN(AB$6-$E$3,22))),0))-IF($G$2,0,IF((AB$6-$G$3)&lt;1,0,IFERROR(LOOKUP(2,1/(Algodão!$E14:INDEX(Algodão!$E14:$Z14,MIN(AB$6-$G$3,22))&lt;&gt;""),Algodão!$E14:INDEX(Algodão!$E14:$Z14,MIN(AB$6-$G$3,22))),0)))))</f>
        <v>0</v>
      </c>
      <c r="AC16" s="27" t="n">
        <f aca="false">IF(COUNT(Algodão!$E14:$Z14)=0,0,MAX(0,IF((AC$6-$E$3)&lt;1,0,IFERROR(LOOKUP(2,1/(Algodão!$E14:INDEX(Algodão!$E14:$Z14,MIN(AC$6-$E$3,22))&lt;&gt;""),Algodão!$E14:INDEX(Algodão!$E14:$Z14,MIN(AC$6-$E$3,22))),0))-IF($G$2,0,IF((AC$6-$G$3)&lt;1,0,IFERROR(LOOKUP(2,1/(Algodão!$E14:INDEX(Algodão!$E14:$Z14,MIN(AC$6-$G$3,22))&lt;&gt;""),Algodão!$E14:INDEX(Algodão!$E14:$Z14,MIN(AC$6-$G$3,22))),0)))))</f>
        <v>0</v>
      </c>
      <c r="AD16" s="27" t="n">
        <f aca="false">IF(COUNT(Algodão!$E14:$Z14)=0,0,MAX(0,IF((AD$6-$E$3)&lt;1,0,IFERROR(LOOKUP(2,1/(Algodão!$E14:INDEX(Algodão!$E14:$Z14,MIN(AD$6-$E$3,22))&lt;&gt;""),Algodão!$E14:INDEX(Algodão!$E14:$Z14,MIN(AD$6-$E$3,22))),0))-IF($G$2,0,IF((AD$6-$G$3)&lt;1,0,IFERROR(LOOKUP(2,1/(Algodão!$E14:INDEX(Algodão!$E14:$Z14,MIN(AD$6-$G$3,22))&lt;&gt;""),Algodão!$E14:INDEX(Algodão!$E14:$Z14,MIN(AD$6-$G$3,22))),0)))))</f>
        <v>0</v>
      </c>
      <c r="AE16" s="27" t="n">
        <f aca="false">IF(COUNT(Algodão!$E14:$Z14)=0,0,MAX(0,IF((AE$6-$E$3)&lt;1,0,IFERROR(LOOKUP(2,1/(Algodão!$E14:INDEX(Algodão!$E14:$Z14,MIN(AE$6-$E$3,22))&lt;&gt;""),Algodão!$E14:INDEX(Algodão!$E14:$Z14,MIN(AE$6-$E$3,22))),0))-IF($G$2,0,IF((AE$6-$G$3)&lt;1,0,IFERROR(LOOKUP(2,1/(Algodão!$E14:INDEX(Algodão!$E14:$Z14,MIN(AE$6-$G$3,22))&lt;&gt;""),Algodão!$E14:INDEX(Algodão!$E14:$Z14,MIN(AE$6-$G$3,22))),0)))))</f>
        <v>0</v>
      </c>
      <c r="AF16" s="27" t="n">
        <f aca="false">IF(COUNT(Algodão!$E14:$Z14)=0,0,MAX(0,IF((AF$6-$E$3)&lt;1,0,IFERROR(LOOKUP(2,1/(Algodão!$E14:INDEX(Algodão!$E14:$Z14,MIN(AF$6-$E$3,22))&lt;&gt;""),Algodão!$E14:INDEX(Algodão!$E14:$Z14,MIN(AF$6-$E$3,22))),0))-IF($G$2,0,IF((AF$6-$G$3)&lt;1,0,IFERROR(LOOKUP(2,1/(Algodão!$E14:INDEX(Algodão!$E14:$Z14,MIN(AF$6-$G$3,22))&lt;&gt;""),Algodão!$E14:INDEX(Algodão!$E14:$Z14,MIN(AF$6-$G$3,22))),0)))))</f>
        <v>0</v>
      </c>
      <c r="AG16" s="27" t="n">
        <f aca="false">IF(COUNT(Algodão!$E14:$Z14)=0,0,MAX(0,IF((AG$6-$E$3)&lt;1,0,IFERROR(LOOKUP(2,1/(Algodão!$E14:INDEX(Algodão!$E14:$Z14,MIN(AG$6-$E$3,22))&lt;&gt;""),Algodão!$E14:INDEX(Algodão!$E14:$Z14,MIN(AG$6-$E$3,22))),0))-IF($G$2,0,IF((AG$6-$G$3)&lt;1,0,IFERROR(LOOKUP(2,1/(Algodão!$E14:INDEX(Algodão!$E14:$Z14,MIN(AG$6-$G$3,22))&lt;&gt;""),Algodão!$E14:INDEX(Algodão!$E14:$Z14,MIN(AG$6-$G$3,22))),0)))))</f>
        <v>0</v>
      </c>
      <c r="AH16" s="27" t="n">
        <f aca="false">IF(COUNT(Algodão!$E14:$Z14)=0,0,MAX(0,IF((AH$6-$E$3)&lt;1,0,IFERROR(LOOKUP(2,1/(Algodão!$E14:INDEX(Algodão!$E14:$Z14,MIN(AH$6-$E$3,22))&lt;&gt;""),Algodão!$E14:INDEX(Algodão!$E14:$Z14,MIN(AH$6-$E$3,22))),0))-IF($G$2,0,IF((AH$6-$G$3)&lt;1,0,IFERROR(LOOKUP(2,1/(Algodão!$E14:INDEX(Algodão!$E14:$Z14,MIN(AH$6-$G$3,22))&lt;&gt;""),Algodão!$E14:INDEX(Algodão!$E14:$Z14,MIN(AH$6-$G$3,22))),0)))))</f>
        <v>0</v>
      </c>
      <c r="AI16" s="27" t="n">
        <f aca="false">IF(COUNT(Algodão!$E14:$Z14)=0,0,MAX(0,IF((AI$6-$E$3)&lt;1,0,IFERROR(LOOKUP(2,1/(Algodão!$E14:INDEX(Algodão!$E14:$Z14,MIN(AI$6-$E$3,22))&lt;&gt;""),Algodão!$E14:INDEX(Algodão!$E14:$Z14,MIN(AI$6-$E$3,22))),0))-IF($G$2,0,IF((AI$6-$G$3)&lt;1,0,IFERROR(LOOKUP(2,1/(Algodão!$E14:INDEX(Algodão!$E14:$Z14,MIN(AI$6-$G$3,22))&lt;&gt;""),Algodão!$E14:INDEX(Algodão!$E14:$Z14,MIN(AI$6-$G$3,22))),0)))))</f>
        <v>0</v>
      </c>
      <c r="AJ16" s="27" t="n">
        <f aca="false">IF(COUNT(Algodão!$E14:$Z14)=0,0,MAX(0,IF((AJ$6-$E$3)&lt;1,0,IFERROR(LOOKUP(2,1/(Algodão!$E14:INDEX(Algodão!$E14:$Z14,MIN(AJ$6-$E$3,22))&lt;&gt;""),Algodão!$E14:INDEX(Algodão!$E14:$Z14,MIN(AJ$6-$E$3,22))),0))-IF($G$2,0,IF((AJ$6-$G$3)&lt;1,0,IFERROR(LOOKUP(2,1/(Algodão!$E14:INDEX(Algodão!$E14:$Z14,MIN(AJ$6-$G$3,22))&lt;&gt;""),Algodão!$E14:INDEX(Algodão!$E14:$Z14,MIN(AJ$6-$G$3,22))),0)))))</f>
        <v>0</v>
      </c>
      <c r="AK16" s="27" t="n">
        <f aca="false">IF(COUNT(Algodão!$E14:$Z14)=0,0,MAX(0,IF((AK$6-$E$3)&lt;1,0,IFERROR(LOOKUP(2,1/(Algodão!$E14:INDEX(Algodão!$E14:$Z14,MIN(AK$6-$E$3,22))&lt;&gt;""),Algodão!$E14:INDEX(Algodão!$E14:$Z14,MIN(AK$6-$E$3,22))),0))-IF($G$2,0,IF((AK$6-$G$3)&lt;1,0,IFERROR(LOOKUP(2,1/(Algodão!$E14:INDEX(Algodão!$E14:$Z14,MIN(AK$6-$G$3,22))&lt;&gt;""),Algodão!$E14:INDEX(Algodão!$E14:$Z14,MIN(AK$6-$G$3,22))),0)))))</f>
        <v>0</v>
      </c>
      <c r="AL16" s="27" t="n">
        <f aca="false">IF(COUNT(Algodão!$E14:$Z14)=0,0,MAX(0,IF((AL$6-$E$3)&lt;1,0,IFERROR(LOOKUP(2,1/(Algodão!$E14:INDEX(Algodão!$E14:$Z14,MIN(AL$6-$E$3,22))&lt;&gt;""),Algodão!$E14:INDEX(Algodão!$E14:$Z14,MIN(AL$6-$E$3,22))),0))-IF($G$2,0,IF((AL$6-$G$3)&lt;1,0,IFERROR(LOOKUP(2,1/(Algodão!$E14:INDEX(Algodão!$E14:$Z14,MIN(AL$6-$G$3,22))&lt;&gt;""),Algodão!$E14:INDEX(Algodão!$E14:$Z14,MIN(AL$6-$G$3,22))),0)))))</f>
        <v>0</v>
      </c>
      <c r="AM16" s="27" t="n">
        <f aca="false">IF(COUNT(Algodão!$E14:$Z14)=0,0,MAX(0,IF((AM$6-$E$3)&lt;1,0,IFERROR(LOOKUP(2,1/(Algodão!$E14:INDEX(Algodão!$E14:$Z14,MIN(AM$6-$E$3,22))&lt;&gt;""),Algodão!$E14:INDEX(Algodão!$E14:$Z14,MIN(AM$6-$E$3,22))),0))-IF($G$2,0,IF((AM$6-$G$3)&lt;1,0,IFERROR(LOOKUP(2,1/(Algodão!$E14:INDEX(Algodão!$E14:$Z14,MIN(AM$6-$G$3,22))&lt;&gt;""),Algodão!$E14:INDEX(Algodão!$E14:$Z14,MIN(AM$6-$G$3,22))),0)))))</f>
        <v>0</v>
      </c>
      <c r="AN16" s="27" t="n">
        <f aca="false">IF(COUNT(Algodão!$E14:$Z14)=0,0,MAX(0,IF((AN$6-$E$3)&lt;1,0,IFERROR(LOOKUP(2,1/(Algodão!$E14:INDEX(Algodão!$E14:$Z14,MIN(AN$6-$E$3,22))&lt;&gt;""),Algodão!$E14:INDEX(Algodão!$E14:$Z14,MIN(AN$6-$E$3,22))),0))-IF($G$2,0,IF((AN$6-$G$3)&lt;1,0,IFERROR(LOOKUP(2,1/(Algodão!$E14:INDEX(Algodão!$E14:$Z14,MIN(AN$6-$G$3,22))&lt;&gt;""),Algodão!$E14:INDEX(Algodão!$E14:$Z14,MIN(AN$6-$G$3,22))),0)))))</f>
        <v>0</v>
      </c>
      <c r="AO16" s="27" t="n">
        <f aca="false">IF(COUNT(Algodão!$E14:$Z14)=0,0,MAX(0,IF((AO$6-$E$3)&lt;1,0,IFERROR(LOOKUP(2,1/(Algodão!$E14:INDEX(Algodão!$E14:$Z14,MIN(AO$6-$E$3,22))&lt;&gt;""),Algodão!$E14:INDEX(Algodão!$E14:$Z14,MIN(AO$6-$E$3,22))),0))-IF($G$2,0,IF((AO$6-$G$3)&lt;1,0,IFERROR(LOOKUP(2,1/(Algodão!$E14:INDEX(Algodão!$E14:$Z14,MIN(AO$6-$G$3,22))&lt;&gt;""),Algodão!$E14:INDEX(Algodão!$E14:$Z14,MIN(AO$6-$G$3,22))),0)))))</f>
        <v>0</v>
      </c>
      <c r="AP16" s="27" t="n">
        <f aca="false">IF(COUNT(Algodão!$E14:$Z14)=0,0,MAX(0,IF((AP$6-$E$3)&lt;1,0,IFERROR(LOOKUP(2,1/(Algodão!$E14:INDEX(Algodão!$E14:$Z14,MIN(AP$6-$E$3,22))&lt;&gt;""),Algodão!$E14:INDEX(Algodão!$E14:$Z14,MIN(AP$6-$E$3,22))),0))-IF($G$2,0,IF((AP$6-$G$3)&lt;1,0,IFERROR(LOOKUP(2,1/(Algodão!$E14:INDEX(Algodão!$E14:$Z14,MIN(AP$6-$G$3,22))&lt;&gt;""),Algodão!$E14:INDEX(Algodão!$E14:$Z14,MIN(AP$6-$G$3,22))),0)))))</f>
        <v>0</v>
      </c>
      <c r="AQ16" s="27" t="n">
        <f aca="false">IF(COUNT(Algodão!$E14:$Z14)=0,0,MAX(0,IF((AQ$6-$E$3)&lt;1,0,IFERROR(LOOKUP(2,1/(Algodão!$E14:INDEX(Algodão!$E14:$Z14,MIN(AQ$6-$E$3,22))&lt;&gt;""),Algodão!$E14:INDEX(Algodão!$E14:$Z14,MIN(AQ$6-$E$3,22))),0))-IF($G$2,0,IF((AQ$6-$G$3)&lt;1,0,IFERROR(LOOKUP(2,1/(Algodão!$E14:INDEX(Algodão!$E14:$Z14,MIN(AQ$6-$G$3,22))&lt;&gt;""),Algodão!$E14:INDEX(Algodão!$E14:$Z14,MIN(AQ$6-$G$3,22))),0)))))</f>
        <v>0</v>
      </c>
      <c r="AR16" s="27" t="n">
        <f aca="false">IF(COUNT(Algodão!$E14:$Z14)=0,0,MAX(0,IF((AR$6-$E$3)&lt;1,0,IFERROR(LOOKUP(2,1/(Algodão!$E14:INDEX(Algodão!$E14:$Z14,MIN(AR$6-$E$3,22))&lt;&gt;""),Algodão!$E14:INDEX(Algodão!$E14:$Z14,MIN(AR$6-$E$3,22))),0))-IF($G$2,0,IF((AR$6-$G$3)&lt;1,0,IFERROR(LOOKUP(2,1/(Algodão!$E14:INDEX(Algodão!$E14:$Z14,MIN(AR$6-$G$3,22))&lt;&gt;""),Algodão!$E14:INDEX(Algodão!$E14:$Z14,MIN(AR$6-$G$3,22))),0)))))</f>
        <v>0</v>
      </c>
      <c r="AS16" s="27" t="n">
        <f aca="false">IF(COUNT(Algodão!$E14:$Z14)=0,0,MAX(0,IF((AS$6-$E$3)&lt;1,0,IFERROR(LOOKUP(2,1/(Algodão!$E14:INDEX(Algodão!$E14:$Z14,MIN(AS$6-$E$3,22))&lt;&gt;""),Algodão!$E14:INDEX(Algodão!$E14:$Z14,MIN(AS$6-$E$3,22))),0))-IF($G$2,0,IF((AS$6-$G$3)&lt;1,0,IFERROR(LOOKUP(2,1/(Algodão!$E14:INDEX(Algodão!$E14:$Z14,MIN(AS$6-$G$3,22))&lt;&gt;""),Algodão!$E14:INDEX(Algodão!$E14:$Z14,MIN(AS$6-$G$3,22))),0)))))</f>
        <v>0</v>
      </c>
      <c r="AT16" s="27" t="n">
        <f aca="false">IF(COUNT(Algodão!$E14:$Z14)=0,0,MAX(0,IF((AT$6-$E$3)&lt;1,0,IFERROR(LOOKUP(2,1/(Algodão!$E14:INDEX(Algodão!$E14:$Z14,MIN(AT$6-$E$3,22))&lt;&gt;""),Algodão!$E14:INDEX(Algodão!$E14:$Z14,MIN(AT$6-$E$3,22))),0))-IF($G$2,0,IF((AT$6-$G$3)&lt;1,0,IFERROR(LOOKUP(2,1/(Algodão!$E14:INDEX(Algodão!$E14:$Z14,MIN(AT$6-$G$3,22))&lt;&gt;""),Algodão!$E14:INDEX(Algodão!$E14:$Z14,MIN(AT$6-$G$3,22))),0)))))</f>
        <v>0</v>
      </c>
      <c r="AU16" s="27" t="n">
        <f aca="false">IF(COUNT(Algodão!$E14:$Z14)=0,0,MAX(0,IF((AU$6-$E$3)&lt;1,0,IFERROR(LOOKUP(2,1/(Algodão!$E14:INDEX(Algodão!$E14:$Z14,MIN(AU$6-$E$3,22))&lt;&gt;""),Algodão!$E14:INDEX(Algodão!$E14:$Z14,MIN(AU$6-$E$3,22))),0))-IF($G$2,0,IF((AU$6-$G$3)&lt;1,0,IFERROR(LOOKUP(2,1/(Algodão!$E14:INDEX(Algodão!$E14:$Z14,MIN(AU$6-$G$3,22))&lt;&gt;""),Algodão!$E14:INDEX(Algodão!$E14:$Z14,MIN(AU$6-$G$3,22))),0)))))</f>
        <v>0</v>
      </c>
      <c r="AV16" s="27" t="n">
        <f aca="false">IF(COUNT(Algodão!$E14:$Z14)=0,0,MAX(0,IF((AV$6-$E$3)&lt;1,0,IFERROR(LOOKUP(2,1/(Algodão!$E14:INDEX(Algodão!$E14:$Z14,MIN(AV$6-$E$3,22))&lt;&gt;""),Algodão!$E14:INDEX(Algodão!$E14:$Z14,MIN(AV$6-$E$3,22))),0))-IF($G$2,0,IF((AV$6-$G$3)&lt;1,0,IFERROR(LOOKUP(2,1/(Algodão!$E14:INDEX(Algodão!$E14:$Z14,MIN(AV$6-$G$3,22))&lt;&gt;""),Algodão!$E14:INDEX(Algodão!$E14:$Z14,MIN(AV$6-$G$3,22))),0)))))</f>
        <v>0</v>
      </c>
      <c r="AW16" s="27" t="n">
        <f aca="false">IF(COUNT(Algodão!$E14:$Z14)=0,0,MAX(0,IF((AW$6-$E$3)&lt;1,0,IFERROR(LOOKUP(2,1/(Algodão!$E14:INDEX(Algodão!$E14:$Z14,MIN(AW$6-$E$3,22))&lt;&gt;""),Algodão!$E14:INDEX(Algodão!$E14:$Z14,MIN(AW$6-$E$3,22))),0))-IF($G$2,0,IF((AW$6-$G$3)&lt;1,0,IFERROR(LOOKUP(2,1/(Algodão!$E14:INDEX(Algodão!$E14:$Z14,MIN(AW$6-$G$3,22))&lt;&gt;""),Algodão!$E14:INDEX(Algodão!$E14:$Z14,MIN(AW$6-$G$3,22))),0)))))</f>
        <v>0</v>
      </c>
      <c r="AX16" s="27" t="n">
        <f aca="false">IF(COUNT(Algodão!$E14:$Z14)=0,0,MAX(0,IF((AX$6-$E$3)&lt;1,0,IFERROR(LOOKUP(2,1/(Algodão!$E14:INDEX(Algodão!$E14:$Z14,MIN(AX$6-$E$3,22))&lt;&gt;""),Algodão!$E14:INDEX(Algodão!$E14:$Z14,MIN(AX$6-$E$3,22))),0))-IF($G$2,0,IF((AX$6-$G$3)&lt;1,0,IFERROR(LOOKUP(2,1/(Algodão!$E14:INDEX(Algodão!$E14:$Z14,MIN(AX$6-$G$3,22))&lt;&gt;""),Algodão!$E14:INDEX(Algodão!$E14:$Z14,MIN(AX$6-$G$3,22))),0)))))</f>
        <v>0</v>
      </c>
      <c r="AY16" s="27" t="n">
        <f aca="false">IF(COUNT(Algodão!$E14:$Z14)=0,0,MAX(0,IF((AY$6-$E$3)&lt;1,0,IFERROR(LOOKUP(2,1/(Algodão!$E14:INDEX(Algodão!$E14:$Z14,MIN(AY$6-$E$3,22))&lt;&gt;""),Algodão!$E14:INDEX(Algodão!$E14:$Z14,MIN(AY$6-$E$3,22))),0))-IF($G$2,0,IF((AY$6-$G$3)&lt;1,0,IFERROR(LOOKUP(2,1/(Algodão!$E14:INDEX(Algodão!$E14:$Z14,MIN(AY$6-$G$3,22))&lt;&gt;""),Algodão!$E14:INDEX(Algodão!$E14:$Z14,MIN(AY$6-$G$3,22))),0)))))</f>
        <v>0</v>
      </c>
      <c r="AZ16" s="27" t="n">
        <f aca="false">IF(COUNT(Algodão!$E14:$Z14)=0,0,MAX(0,IF((AZ$6-$E$3)&lt;1,0,IFERROR(LOOKUP(2,1/(Algodão!$E14:INDEX(Algodão!$E14:$Z14,MIN(AZ$6-$E$3,22))&lt;&gt;""),Algodão!$E14:INDEX(Algodão!$E14:$Z14,MIN(AZ$6-$E$3,22))),0))-IF($G$2,0,IF((AZ$6-$G$3)&lt;1,0,IFERROR(LOOKUP(2,1/(Algodão!$E14:INDEX(Algodão!$E14:$Z14,MIN(AZ$6-$G$3,22))&lt;&gt;""),Algodão!$E14:INDEX(Algodão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IF(COUNT(Algodão!$E15:$Z15)&gt;0,N(Algodão!$D15),0)</f>
        <v>0</v>
      </c>
      <c r="E17" s="27" t="n">
        <f aca="false">IF(COUNT(Algodão!$E15:$Z15)=0,0,MAX(0,IF((E$6-$E$3)&lt;1,0,IFERROR(LOOKUP(2,1/(Algodão!$E15:INDEX(Algodão!$E15:$Z15,MIN(E$6-$E$3,22))&lt;&gt;""),Algodão!$E15:INDEX(Algodão!$E15:$Z15,MIN(E$6-$E$3,22))),0))-IF($G$2,0,IF((E$6-$G$3)&lt;1,0,IFERROR(LOOKUP(2,1/(Algodão!$E15:INDEX(Algodão!$E15:$Z15,MIN(E$6-$G$3,22))&lt;&gt;""),Algodão!$E15:INDEX(Algodão!$E15:$Z15,MIN(E$6-$G$3,22))),0)))))</f>
        <v>0</v>
      </c>
      <c r="F17" s="27" t="n">
        <f aca="false">IF(COUNT(Algodão!$E15:$Z15)=0,0,MAX(0,IF((F$6-$E$3)&lt;1,0,IFERROR(LOOKUP(2,1/(Algodão!$E15:INDEX(Algodão!$E15:$Z15,MIN(F$6-$E$3,22))&lt;&gt;""),Algodão!$E15:INDEX(Algodão!$E15:$Z15,MIN(F$6-$E$3,22))),0))-IF($G$2,0,IF((F$6-$G$3)&lt;1,0,IFERROR(LOOKUP(2,1/(Algodão!$E15:INDEX(Algodão!$E15:$Z15,MIN(F$6-$G$3,22))&lt;&gt;""),Algodão!$E15:INDEX(Algodão!$E15:$Z15,MIN(F$6-$G$3,22))),0)))))</f>
        <v>0</v>
      </c>
      <c r="G17" s="27" t="n">
        <f aca="false">IF(COUNT(Algodão!$E15:$Z15)=0,0,MAX(0,IF((G$6-$E$3)&lt;1,0,IFERROR(LOOKUP(2,1/(Algodão!$E15:INDEX(Algodão!$E15:$Z15,MIN(G$6-$E$3,22))&lt;&gt;""),Algodão!$E15:INDEX(Algodão!$E15:$Z15,MIN(G$6-$E$3,22))),0))-IF($G$2,0,IF((G$6-$G$3)&lt;1,0,IFERROR(LOOKUP(2,1/(Algodão!$E15:INDEX(Algodão!$E15:$Z15,MIN(G$6-$G$3,22))&lt;&gt;""),Algodão!$E15:INDEX(Algodão!$E15:$Z15,MIN(G$6-$G$3,22))),0)))))</f>
        <v>0</v>
      </c>
      <c r="H17" s="27" t="n">
        <f aca="false">IF(COUNT(Algodão!$E15:$Z15)=0,0,MAX(0,IF((H$6-$E$3)&lt;1,0,IFERROR(LOOKUP(2,1/(Algodão!$E15:INDEX(Algodão!$E15:$Z15,MIN(H$6-$E$3,22))&lt;&gt;""),Algodão!$E15:INDEX(Algodão!$E15:$Z15,MIN(H$6-$E$3,22))),0))-IF($G$2,0,IF((H$6-$G$3)&lt;1,0,IFERROR(LOOKUP(2,1/(Algodão!$E15:INDEX(Algodão!$E15:$Z15,MIN(H$6-$G$3,22))&lt;&gt;""),Algodão!$E15:INDEX(Algodão!$E15:$Z15,MIN(H$6-$G$3,22))),0)))))</f>
        <v>0</v>
      </c>
      <c r="I17" s="27" t="n">
        <f aca="false">IF(COUNT(Algodão!$E15:$Z15)=0,0,MAX(0,IF((I$6-$E$3)&lt;1,0,IFERROR(LOOKUP(2,1/(Algodão!$E15:INDEX(Algodão!$E15:$Z15,MIN(I$6-$E$3,22))&lt;&gt;""),Algodão!$E15:INDEX(Algodão!$E15:$Z15,MIN(I$6-$E$3,22))),0))-IF($G$2,0,IF((I$6-$G$3)&lt;1,0,IFERROR(LOOKUP(2,1/(Algodão!$E15:INDEX(Algodão!$E15:$Z15,MIN(I$6-$G$3,22))&lt;&gt;""),Algodão!$E15:INDEX(Algodão!$E15:$Z15,MIN(I$6-$G$3,22))),0)))))</f>
        <v>0</v>
      </c>
      <c r="J17" s="27" t="n">
        <f aca="false">IF(COUNT(Algodão!$E15:$Z15)=0,0,MAX(0,IF((J$6-$E$3)&lt;1,0,IFERROR(LOOKUP(2,1/(Algodão!$E15:INDEX(Algodão!$E15:$Z15,MIN(J$6-$E$3,22))&lt;&gt;""),Algodão!$E15:INDEX(Algodão!$E15:$Z15,MIN(J$6-$E$3,22))),0))-IF($G$2,0,IF((J$6-$G$3)&lt;1,0,IFERROR(LOOKUP(2,1/(Algodão!$E15:INDEX(Algodão!$E15:$Z15,MIN(J$6-$G$3,22))&lt;&gt;""),Algodão!$E15:INDEX(Algodão!$E15:$Z15,MIN(J$6-$G$3,22))),0)))))</f>
        <v>0</v>
      </c>
      <c r="K17" s="27" t="n">
        <f aca="false">IF(COUNT(Algodão!$E15:$Z15)=0,0,MAX(0,IF((K$6-$E$3)&lt;1,0,IFERROR(LOOKUP(2,1/(Algodão!$E15:INDEX(Algodão!$E15:$Z15,MIN(K$6-$E$3,22))&lt;&gt;""),Algodão!$E15:INDEX(Algodão!$E15:$Z15,MIN(K$6-$E$3,22))),0))-IF($G$2,0,IF((K$6-$G$3)&lt;1,0,IFERROR(LOOKUP(2,1/(Algodão!$E15:INDEX(Algodão!$E15:$Z15,MIN(K$6-$G$3,22))&lt;&gt;""),Algodão!$E15:INDEX(Algodão!$E15:$Z15,MIN(K$6-$G$3,22))),0)))))</f>
        <v>0</v>
      </c>
      <c r="L17" s="27" t="n">
        <f aca="false">IF(COUNT(Algodão!$E15:$Z15)=0,0,MAX(0,IF((L$6-$E$3)&lt;1,0,IFERROR(LOOKUP(2,1/(Algodão!$E15:INDEX(Algodão!$E15:$Z15,MIN(L$6-$E$3,22))&lt;&gt;""),Algodão!$E15:INDEX(Algodão!$E15:$Z15,MIN(L$6-$E$3,22))),0))-IF($G$2,0,IF((L$6-$G$3)&lt;1,0,IFERROR(LOOKUP(2,1/(Algodão!$E15:INDEX(Algodão!$E15:$Z15,MIN(L$6-$G$3,22))&lt;&gt;""),Algodão!$E15:INDEX(Algodão!$E15:$Z15,MIN(L$6-$G$3,22))),0)))))</f>
        <v>0</v>
      </c>
      <c r="M17" s="27" t="n">
        <f aca="false">IF(COUNT(Algodão!$E15:$Z15)=0,0,MAX(0,IF((M$6-$E$3)&lt;1,0,IFERROR(LOOKUP(2,1/(Algodão!$E15:INDEX(Algodão!$E15:$Z15,MIN(M$6-$E$3,22))&lt;&gt;""),Algodão!$E15:INDEX(Algodão!$E15:$Z15,MIN(M$6-$E$3,22))),0))-IF($G$2,0,IF((M$6-$G$3)&lt;1,0,IFERROR(LOOKUP(2,1/(Algodão!$E15:INDEX(Algodão!$E15:$Z15,MIN(M$6-$G$3,22))&lt;&gt;""),Algodão!$E15:INDEX(Algodão!$E15:$Z15,MIN(M$6-$G$3,22))),0)))))</f>
        <v>0</v>
      </c>
      <c r="N17" s="27" t="n">
        <f aca="false">IF(COUNT(Algodão!$E15:$Z15)=0,0,MAX(0,IF((N$6-$E$3)&lt;1,0,IFERROR(LOOKUP(2,1/(Algodão!$E15:INDEX(Algodão!$E15:$Z15,MIN(N$6-$E$3,22))&lt;&gt;""),Algodão!$E15:INDEX(Algodão!$E15:$Z15,MIN(N$6-$E$3,22))),0))-IF($G$2,0,IF((N$6-$G$3)&lt;1,0,IFERROR(LOOKUP(2,1/(Algodão!$E15:INDEX(Algodão!$E15:$Z15,MIN(N$6-$G$3,22))&lt;&gt;""),Algodão!$E15:INDEX(Algodão!$E15:$Z15,MIN(N$6-$G$3,22))),0)))))</f>
        <v>0</v>
      </c>
      <c r="O17" s="27" t="n">
        <f aca="false">IF(COUNT(Algodão!$E15:$Z15)=0,0,MAX(0,IF((O$6-$E$3)&lt;1,0,IFERROR(LOOKUP(2,1/(Algodão!$E15:INDEX(Algodão!$E15:$Z15,MIN(O$6-$E$3,22))&lt;&gt;""),Algodão!$E15:INDEX(Algodão!$E15:$Z15,MIN(O$6-$E$3,22))),0))-IF($G$2,0,IF((O$6-$G$3)&lt;1,0,IFERROR(LOOKUP(2,1/(Algodão!$E15:INDEX(Algodão!$E15:$Z15,MIN(O$6-$G$3,22))&lt;&gt;""),Algodão!$E15:INDEX(Algodão!$E15:$Z15,MIN(O$6-$G$3,22))),0)))))</f>
        <v>0</v>
      </c>
      <c r="P17" s="27" t="n">
        <f aca="false">IF(COUNT(Algodão!$E15:$Z15)=0,0,MAX(0,IF((P$6-$E$3)&lt;1,0,IFERROR(LOOKUP(2,1/(Algodão!$E15:INDEX(Algodão!$E15:$Z15,MIN(P$6-$E$3,22))&lt;&gt;""),Algodão!$E15:INDEX(Algodão!$E15:$Z15,MIN(P$6-$E$3,22))),0))-IF($G$2,0,IF((P$6-$G$3)&lt;1,0,IFERROR(LOOKUP(2,1/(Algodão!$E15:INDEX(Algodão!$E15:$Z15,MIN(P$6-$G$3,22))&lt;&gt;""),Algodão!$E15:INDEX(Algodão!$E15:$Z15,MIN(P$6-$G$3,22))),0)))))</f>
        <v>0</v>
      </c>
      <c r="Q17" s="27" t="n">
        <f aca="false">IF(COUNT(Algodão!$E15:$Z15)=0,0,MAX(0,IF((Q$6-$E$3)&lt;1,0,IFERROR(LOOKUP(2,1/(Algodão!$E15:INDEX(Algodão!$E15:$Z15,MIN(Q$6-$E$3,22))&lt;&gt;""),Algodão!$E15:INDEX(Algodão!$E15:$Z15,MIN(Q$6-$E$3,22))),0))-IF($G$2,0,IF((Q$6-$G$3)&lt;1,0,IFERROR(LOOKUP(2,1/(Algodão!$E15:INDEX(Algodão!$E15:$Z15,MIN(Q$6-$G$3,22))&lt;&gt;""),Algodão!$E15:INDEX(Algodão!$E15:$Z15,MIN(Q$6-$G$3,22))),0)))))</f>
        <v>0</v>
      </c>
      <c r="R17" s="27" t="n">
        <f aca="false">IF(COUNT(Algodão!$E15:$Z15)=0,0,MAX(0,IF((R$6-$E$3)&lt;1,0,IFERROR(LOOKUP(2,1/(Algodão!$E15:INDEX(Algodão!$E15:$Z15,MIN(R$6-$E$3,22))&lt;&gt;""),Algodão!$E15:INDEX(Algodão!$E15:$Z15,MIN(R$6-$E$3,22))),0))-IF($G$2,0,IF((R$6-$G$3)&lt;1,0,IFERROR(LOOKUP(2,1/(Algodão!$E15:INDEX(Algodão!$E15:$Z15,MIN(R$6-$G$3,22))&lt;&gt;""),Algodão!$E15:INDEX(Algodão!$E15:$Z15,MIN(R$6-$G$3,22))),0)))))</f>
        <v>0</v>
      </c>
      <c r="S17" s="27" t="n">
        <f aca="false">IF(COUNT(Algodão!$E15:$Z15)=0,0,MAX(0,IF((S$6-$E$3)&lt;1,0,IFERROR(LOOKUP(2,1/(Algodão!$E15:INDEX(Algodão!$E15:$Z15,MIN(S$6-$E$3,22))&lt;&gt;""),Algodão!$E15:INDEX(Algodão!$E15:$Z15,MIN(S$6-$E$3,22))),0))-IF($G$2,0,IF((S$6-$G$3)&lt;1,0,IFERROR(LOOKUP(2,1/(Algodão!$E15:INDEX(Algodão!$E15:$Z15,MIN(S$6-$G$3,22))&lt;&gt;""),Algodão!$E15:INDEX(Algodão!$E15:$Z15,MIN(S$6-$G$3,22))),0)))))</f>
        <v>0</v>
      </c>
      <c r="T17" s="27" t="n">
        <f aca="false">IF(COUNT(Algodão!$E15:$Z15)=0,0,MAX(0,IF((T$6-$E$3)&lt;1,0,IFERROR(LOOKUP(2,1/(Algodão!$E15:INDEX(Algodão!$E15:$Z15,MIN(T$6-$E$3,22))&lt;&gt;""),Algodão!$E15:INDEX(Algodão!$E15:$Z15,MIN(T$6-$E$3,22))),0))-IF($G$2,0,IF((T$6-$G$3)&lt;1,0,IFERROR(LOOKUP(2,1/(Algodão!$E15:INDEX(Algodão!$E15:$Z15,MIN(T$6-$G$3,22))&lt;&gt;""),Algodão!$E15:INDEX(Algodão!$E15:$Z15,MIN(T$6-$G$3,22))),0)))))</f>
        <v>0</v>
      </c>
      <c r="U17" s="27" t="n">
        <f aca="false">IF(COUNT(Algodão!$E15:$Z15)=0,0,MAX(0,IF((U$6-$E$3)&lt;1,0,IFERROR(LOOKUP(2,1/(Algodão!$E15:INDEX(Algodão!$E15:$Z15,MIN(U$6-$E$3,22))&lt;&gt;""),Algodão!$E15:INDEX(Algodão!$E15:$Z15,MIN(U$6-$E$3,22))),0))-IF($G$2,0,IF((U$6-$G$3)&lt;1,0,IFERROR(LOOKUP(2,1/(Algodão!$E15:INDEX(Algodão!$E15:$Z15,MIN(U$6-$G$3,22))&lt;&gt;""),Algodão!$E15:INDEX(Algodão!$E15:$Z15,MIN(U$6-$G$3,22))),0)))))</f>
        <v>0</v>
      </c>
      <c r="V17" s="27" t="n">
        <f aca="false">IF(COUNT(Algodão!$E15:$Z15)=0,0,MAX(0,IF((V$6-$E$3)&lt;1,0,IFERROR(LOOKUP(2,1/(Algodão!$E15:INDEX(Algodão!$E15:$Z15,MIN(V$6-$E$3,22))&lt;&gt;""),Algodão!$E15:INDEX(Algodão!$E15:$Z15,MIN(V$6-$E$3,22))),0))-IF($G$2,0,IF((V$6-$G$3)&lt;1,0,IFERROR(LOOKUP(2,1/(Algodão!$E15:INDEX(Algodão!$E15:$Z15,MIN(V$6-$G$3,22))&lt;&gt;""),Algodão!$E15:INDEX(Algodão!$E15:$Z15,MIN(V$6-$G$3,22))),0)))))</f>
        <v>0</v>
      </c>
      <c r="W17" s="27" t="n">
        <f aca="false">IF(COUNT(Algodão!$E15:$Z15)=0,0,MAX(0,IF((W$6-$E$3)&lt;1,0,IFERROR(LOOKUP(2,1/(Algodão!$E15:INDEX(Algodão!$E15:$Z15,MIN(W$6-$E$3,22))&lt;&gt;""),Algodão!$E15:INDEX(Algodão!$E15:$Z15,MIN(W$6-$E$3,22))),0))-IF($G$2,0,IF((W$6-$G$3)&lt;1,0,IFERROR(LOOKUP(2,1/(Algodão!$E15:INDEX(Algodão!$E15:$Z15,MIN(W$6-$G$3,22))&lt;&gt;""),Algodão!$E15:INDEX(Algodão!$E15:$Z15,MIN(W$6-$G$3,22))),0)))))</f>
        <v>0</v>
      </c>
      <c r="X17" s="27" t="n">
        <f aca="false">IF(COUNT(Algodão!$E15:$Z15)=0,0,MAX(0,IF((X$6-$E$3)&lt;1,0,IFERROR(LOOKUP(2,1/(Algodão!$E15:INDEX(Algodão!$E15:$Z15,MIN(X$6-$E$3,22))&lt;&gt;""),Algodão!$E15:INDEX(Algodão!$E15:$Z15,MIN(X$6-$E$3,22))),0))-IF($G$2,0,IF((X$6-$G$3)&lt;1,0,IFERROR(LOOKUP(2,1/(Algodão!$E15:INDEX(Algodão!$E15:$Z15,MIN(X$6-$G$3,22))&lt;&gt;""),Algodão!$E15:INDEX(Algodão!$E15:$Z15,MIN(X$6-$G$3,22))),0)))))</f>
        <v>0</v>
      </c>
      <c r="Y17" s="27" t="n">
        <f aca="false">IF(COUNT(Algodão!$E15:$Z15)=0,0,MAX(0,IF((Y$6-$E$3)&lt;1,0,IFERROR(LOOKUP(2,1/(Algodão!$E15:INDEX(Algodão!$E15:$Z15,MIN(Y$6-$E$3,22))&lt;&gt;""),Algodão!$E15:INDEX(Algodão!$E15:$Z15,MIN(Y$6-$E$3,22))),0))-IF($G$2,0,IF((Y$6-$G$3)&lt;1,0,IFERROR(LOOKUP(2,1/(Algodão!$E15:INDEX(Algodão!$E15:$Z15,MIN(Y$6-$G$3,22))&lt;&gt;""),Algodão!$E15:INDEX(Algodão!$E15:$Z15,MIN(Y$6-$G$3,22))),0)))))</f>
        <v>0</v>
      </c>
      <c r="Z17" s="27" t="n">
        <f aca="false">IF(COUNT(Algodão!$E15:$Z15)=0,0,MAX(0,IF((Z$6-$E$3)&lt;1,0,IFERROR(LOOKUP(2,1/(Algodão!$E15:INDEX(Algodão!$E15:$Z15,MIN(Z$6-$E$3,22))&lt;&gt;""),Algodão!$E15:INDEX(Algodão!$E15:$Z15,MIN(Z$6-$E$3,22))),0))-IF($G$2,0,IF((Z$6-$G$3)&lt;1,0,IFERROR(LOOKUP(2,1/(Algodão!$E15:INDEX(Algodão!$E15:$Z15,MIN(Z$6-$G$3,22))&lt;&gt;""),Algodão!$E15:INDEX(Algodão!$E15:$Z15,MIN(Z$6-$G$3,22))),0)))))</f>
        <v>0</v>
      </c>
      <c r="AA17" s="27" t="n">
        <f aca="false">IF(COUNT(Algodão!$E15:$Z15)=0,0,MAX(0,IF((AA$6-$E$3)&lt;1,0,IFERROR(LOOKUP(2,1/(Algodão!$E15:INDEX(Algodão!$E15:$Z15,MIN(AA$6-$E$3,22))&lt;&gt;""),Algodão!$E15:INDEX(Algodão!$E15:$Z15,MIN(AA$6-$E$3,22))),0))-IF($G$2,0,IF((AA$6-$G$3)&lt;1,0,IFERROR(LOOKUP(2,1/(Algodão!$E15:INDEX(Algodão!$E15:$Z15,MIN(AA$6-$G$3,22))&lt;&gt;""),Algodão!$E15:INDEX(Algodão!$E15:$Z15,MIN(AA$6-$G$3,22))),0)))))</f>
        <v>0</v>
      </c>
      <c r="AB17" s="27" t="n">
        <f aca="false">IF(COUNT(Algodão!$E15:$Z15)=0,0,MAX(0,IF((AB$6-$E$3)&lt;1,0,IFERROR(LOOKUP(2,1/(Algodão!$E15:INDEX(Algodão!$E15:$Z15,MIN(AB$6-$E$3,22))&lt;&gt;""),Algodão!$E15:INDEX(Algodão!$E15:$Z15,MIN(AB$6-$E$3,22))),0))-IF($G$2,0,IF((AB$6-$G$3)&lt;1,0,IFERROR(LOOKUP(2,1/(Algodão!$E15:INDEX(Algodão!$E15:$Z15,MIN(AB$6-$G$3,22))&lt;&gt;""),Algodão!$E15:INDEX(Algodão!$E15:$Z15,MIN(AB$6-$G$3,22))),0)))))</f>
        <v>0</v>
      </c>
      <c r="AC17" s="27" t="n">
        <f aca="false">IF(COUNT(Algodão!$E15:$Z15)=0,0,MAX(0,IF((AC$6-$E$3)&lt;1,0,IFERROR(LOOKUP(2,1/(Algodão!$E15:INDEX(Algodão!$E15:$Z15,MIN(AC$6-$E$3,22))&lt;&gt;""),Algodão!$E15:INDEX(Algodão!$E15:$Z15,MIN(AC$6-$E$3,22))),0))-IF($G$2,0,IF((AC$6-$G$3)&lt;1,0,IFERROR(LOOKUP(2,1/(Algodão!$E15:INDEX(Algodão!$E15:$Z15,MIN(AC$6-$G$3,22))&lt;&gt;""),Algodão!$E15:INDEX(Algodão!$E15:$Z15,MIN(AC$6-$G$3,22))),0)))))</f>
        <v>0</v>
      </c>
      <c r="AD17" s="27" t="n">
        <f aca="false">IF(COUNT(Algodão!$E15:$Z15)=0,0,MAX(0,IF((AD$6-$E$3)&lt;1,0,IFERROR(LOOKUP(2,1/(Algodão!$E15:INDEX(Algodão!$E15:$Z15,MIN(AD$6-$E$3,22))&lt;&gt;""),Algodão!$E15:INDEX(Algodão!$E15:$Z15,MIN(AD$6-$E$3,22))),0))-IF($G$2,0,IF((AD$6-$G$3)&lt;1,0,IFERROR(LOOKUP(2,1/(Algodão!$E15:INDEX(Algodão!$E15:$Z15,MIN(AD$6-$G$3,22))&lt;&gt;""),Algodão!$E15:INDEX(Algodão!$E15:$Z15,MIN(AD$6-$G$3,22))),0)))))</f>
        <v>0</v>
      </c>
      <c r="AE17" s="27" t="n">
        <f aca="false">IF(COUNT(Algodão!$E15:$Z15)=0,0,MAX(0,IF((AE$6-$E$3)&lt;1,0,IFERROR(LOOKUP(2,1/(Algodão!$E15:INDEX(Algodão!$E15:$Z15,MIN(AE$6-$E$3,22))&lt;&gt;""),Algodão!$E15:INDEX(Algodão!$E15:$Z15,MIN(AE$6-$E$3,22))),0))-IF($G$2,0,IF((AE$6-$G$3)&lt;1,0,IFERROR(LOOKUP(2,1/(Algodão!$E15:INDEX(Algodão!$E15:$Z15,MIN(AE$6-$G$3,22))&lt;&gt;""),Algodão!$E15:INDEX(Algodão!$E15:$Z15,MIN(AE$6-$G$3,22))),0)))))</f>
        <v>0</v>
      </c>
      <c r="AF17" s="27" t="n">
        <f aca="false">IF(COUNT(Algodão!$E15:$Z15)=0,0,MAX(0,IF((AF$6-$E$3)&lt;1,0,IFERROR(LOOKUP(2,1/(Algodão!$E15:INDEX(Algodão!$E15:$Z15,MIN(AF$6-$E$3,22))&lt;&gt;""),Algodão!$E15:INDEX(Algodão!$E15:$Z15,MIN(AF$6-$E$3,22))),0))-IF($G$2,0,IF((AF$6-$G$3)&lt;1,0,IFERROR(LOOKUP(2,1/(Algodão!$E15:INDEX(Algodão!$E15:$Z15,MIN(AF$6-$G$3,22))&lt;&gt;""),Algodão!$E15:INDEX(Algodão!$E15:$Z15,MIN(AF$6-$G$3,22))),0)))))</f>
        <v>0</v>
      </c>
      <c r="AG17" s="27" t="n">
        <f aca="false">IF(COUNT(Algodão!$E15:$Z15)=0,0,MAX(0,IF((AG$6-$E$3)&lt;1,0,IFERROR(LOOKUP(2,1/(Algodão!$E15:INDEX(Algodão!$E15:$Z15,MIN(AG$6-$E$3,22))&lt;&gt;""),Algodão!$E15:INDEX(Algodão!$E15:$Z15,MIN(AG$6-$E$3,22))),0))-IF($G$2,0,IF((AG$6-$G$3)&lt;1,0,IFERROR(LOOKUP(2,1/(Algodão!$E15:INDEX(Algodão!$E15:$Z15,MIN(AG$6-$G$3,22))&lt;&gt;""),Algodão!$E15:INDEX(Algodão!$E15:$Z15,MIN(AG$6-$G$3,22))),0)))))</f>
        <v>0</v>
      </c>
      <c r="AH17" s="27" t="n">
        <f aca="false">IF(COUNT(Algodão!$E15:$Z15)=0,0,MAX(0,IF((AH$6-$E$3)&lt;1,0,IFERROR(LOOKUP(2,1/(Algodão!$E15:INDEX(Algodão!$E15:$Z15,MIN(AH$6-$E$3,22))&lt;&gt;""),Algodão!$E15:INDEX(Algodão!$E15:$Z15,MIN(AH$6-$E$3,22))),0))-IF($G$2,0,IF((AH$6-$G$3)&lt;1,0,IFERROR(LOOKUP(2,1/(Algodão!$E15:INDEX(Algodão!$E15:$Z15,MIN(AH$6-$G$3,22))&lt;&gt;""),Algodão!$E15:INDEX(Algodão!$E15:$Z15,MIN(AH$6-$G$3,22))),0)))))</f>
        <v>0</v>
      </c>
      <c r="AI17" s="27" t="n">
        <f aca="false">IF(COUNT(Algodão!$E15:$Z15)=0,0,MAX(0,IF((AI$6-$E$3)&lt;1,0,IFERROR(LOOKUP(2,1/(Algodão!$E15:INDEX(Algodão!$E15:$Z15,MIN(AI$6-$E$3,22))&lt;&gt;""),Algodão!$E15:INDEX(Algodão!$E15:$Z15,MIN(AI$6-$E$3,22))),0))-IF($G$2,0,IF((AI$6-$G$3)&lt;1,0,IFERROR(LOOKUP(2,1/(Algodão!$E15:INDEX(Algodão!$E15:$Z15,MIN(AI$6-$G$3,22))&lt;&gt;""),Algodão!$E15:INDEX(Algodão!$E15:$Z15,MIN(AI$6-$G$3,22))),0)))))</f>
        <v>0</v>
      </c>
      <c r="AJ17" s="27" t="n">
        <f aca="false">IF(COUNT(Algodão!$E15:$Z15)=0,0,MAX(0,IF((AJ$6-$E$3)&lt;1,0,IFERROR(LOOKUP(2,1/(Algodão!$E15:INDEX(Algodão!$E15:$Z15,MIN(AJ$6-$E$3,22))&lt;&gt;""),Algodão!$E15:INDEX(Algodão!$E15:$Z15,MIN(AJ$6-$E$3,22))),0))-IF($G$2,0,IF((AJ$6-$G$3)&lt;1,0,IFERROR(LOOKUP(2,1/(Algodão!$E15:INDEX(Algodão!$E15:$Z15,MIN(AJ$6-$G$3,22))&lt;&gt;""),Algodão!$E15:INDEX(Algodão!$E15:$Z15,MIN(AJ$6-$G$3,22))),0)))))</f>
        <v>0</v>
      </c>
      <c r="AK17" s="27" t="n">
        <f aca="false">IF(COUNT(Algodão!$E15:$Z15)=0,0,MAX(0,IF((AK$6-$E$3)&lt;1,0,IFERROR(LOOKUP(2,1/(Algodão!$E15:INDEX(Algodão!$E15:$Z15,MIN(AK$6-$E$3,22))&lt;&gt;""),Algodão!$E15:INDEX(Algodão!$E15:$Z15,MIN(AK$6-$E$3,22))),0))-IF($G$2,0,IF((AK$6-$G$3)&lt;1,0,IFERROR(LOOKUP(2,1/(Algodão!$E15:INDEX(Algodão!$E15:$Z15,MIN(AK$6-$G$3,22))&lt;&gt;""),Algodão!$E15:INDEX(Algodão!$E15:$Z15,MIN(AK$6-$G$3,22))),0)))))</f>
        <v>0</v>
      </c>
      <c r="AL17" s="27" t="n">
        <f aca="false">IF(COUNT(Algodão!$E15:$Z15)=0,0,MAX(0,IF((AL$6-$E$3)&lt;1,0,IFERROR(LOOKUP(2,1/(Algodão!$E15:INDEX(Algodão!$E15:$Z15,MIN(AL$6-$E$3,22))&lt;&gt;""),Algodão!$E15:INDEX(Algodão!$E15:$Z15,MIN(AL$6-$E$3,22))),0))-IF($G$2,0,IF((AL$6-$G$3)&lt;1,0,IFERROR(LOOKUP(2,1/(Algodão!$E15:INDEX(Algodão!$E15:$Z15,MIN(AL$6-$G$3,22))&lt;&gt;""),Algodão!$E15:INDEX(Algodão!$E15:$Z15,MIN(AL$6-$G$3,22))),0)))))</f>
        <v>0</v>
      </c>
      <c r="AM17" s="27" t="n">
        <f aca="false">IF(COUNT(Algodão!$E15:$Z15)=0,0,MAX(0,IF((AM$6-$E$3)&lt;1,0,IFERROR(LOOKUP(2,1/(Algodão!$E15:INDEX(Algodão!$E15:$Z15,MIN(AM$6-$E$3,22))&lt;&gt;""),Algodão!$E15:INDEX(Algodão!$E15:$Z15,MIN(AM$6-$E$3,22))),0))-IF($G$2,0,IF((AM$6-$G$3)&lt;1,0,IFERROR(LOOKUP(2,1/(Algodão!$E15:INDEX(Algodão!$E15:$Z15,MIN(AM$6-$G$3,22))&lt;&gt;""),Algodão!$E15:INDEX(Algodão!$E15:$Z15,MIN(AM$6-$G$3,22))),0)))))</f>
        <v>0</v>
      </c>
      <c r="AN17" s="27" t="n">
        <f aca="false">IF(COUNT(Algodão!$E15:$Z15)=0,0,MAX(0,IF((AN$6-$E$3)&lt;1,0,IFERROR(LOOKUP(2,1/(Algodão!$E15:INDEX(Algodão!$E15:$Z15,MIN(AN$6-$E$3,22))&lt;&gt;""),Algodão!$E15:INDEX(Algodão!$E15:$Z15,MIN(AN$6-$E$3,22))),0))-IF($G$2,0,IF((AN$6-$G$3)&lt;1,0,IFERROR(LOOKUP(2,1/(Algodão!$E15:INDEX(Algodão!$E15:$Z15,MIN(AN$6-$G$3,22))&lt;&gt;""),Algodão!$E15:INDEX(Algodão!$E15:$Z15,MIN(AN$6-$G$3,22))),0)))))</f>
        <v>0</v>
      </c>
      <c r="AO17" s="27" t="n">
        <f aca="false">IF(COUNT(Algodão!$E15:$Z15)=0,0,MAX(0,IF((AO$6-$E$3)&lt;1,0,IFERROR(LOOKUP(2,1/(Algodão!$E15:INDEX(Algodão!$E15:$Z15,MIN(AO$6-$E$3,22))&lt;&gt;""),Algodão!$E15:INDEX(Algodão!$E15:$Z15,MIN(AO$6-$E$3,22))),0))-IF($G$2,0,IF((AO$6-$G$3)&lt;1,0,IFERROR(LOOKUP(2,1/(Algodão!$E15:INDEX(Algodão!$E15:$Z15,MIN(AO$6-$G$3,22))&lt;&gt;""),Algodão!$E15:INDEX(Algodão!$E15:$Z15,MIN(AO$6-$G$3,22))),0)))))</f>
        <v>0</v>
      </c>
      <c r="AP17" s="27" t="n">
        <f aca="false">IF(COUNT(Algodão!$E15:$Z15)=0,0,MAX(0,IF((AP$6-$E$3)&lt;1,0,IFERROR(LOOKUP(2,1/(Algodão!$E15:INDEX(Algodão!$E15:$Z15,MIN(AP$6-$E$3,22))&lt;&gt;""),Algodão!$E15:INDEX(Algodão!$E15:$Z15,MIN(AP$6-$E$3,22))),0))-IF($G$2,0,IF((AP$6-$G$3)&lt;1,0,IFERROR(LOOKUP(2,1/(Algodão!$E15:INDEX(Algodão!$E15:$Z15,MIN(AP$6-$G$3,22))&lt;&gt;""),Algodão!$E15:INDEX(Algodão!$E15:$Z15,MIN(AP$6-$G$3,22))),0)))))</f>
        <v>0</v>
      </c>
      <c r="AQ17" s="27" t="n">
        <f aca="false">IF(COUNT(Algodão!$E15:$Z15)=0,0,MAX(0,IF((AQ$6-$E$3)&lt;1,0,IFERROR(LOOKUP(2,1/(Algodão!$E15:INDEX(Algodão!$E15:$Z15,MIN(AQ$6-$E$3,22))&lt;&gt;""),Algodão!$E15:INDEX(Algodão!$E15:$Z15,MIN(AQ$6-$E$3,22))),0))-IF($G$2,0,IF((AQ$6-$G$3)&lt;1,0,IFERROR(LOOKUP(2,1/(Algodão!$E15:INDEX(Algodão!$E15:$Z15,MIN(AQ$6-$G$3,22))&lt;&gt;""),Algodão!$E15:INDEX(Algodão!$E15:$Z15,MIN(AQ$6-$G$3,22))),0)))))</f>
        <v>0</v>
      </c>
      <c r="AR17" s="27" t="n">
        <f aca="false">IF(COUNT(Algodão!$E15:$Z15)=0,0,MAX(0,IF((AR$6-$E$3)&lt;1,0,IFERROR(LOOKUP(2,1/(Algodão!$E15:INDEX(Algodão!$E15:$Z15,MIN(AR$6-$E$3,22))&lt;&gt;""),Algodão!$E15:INDEX(Algodão!$E15:$Z15,MIN(AR$6-$E$3,22))),0))-IF($G$2,0,IF((AR$6-$G$3)&lt;1,0,IFERROR(LOOKUP(2,1/(Algodão!$E15:INDEX(Algodão!$E15:$Z15,MIN(AR$6-$G$3,22))&lt;&gt;""),Algodão!$E15:INDEX(Algodão!$E15:$Z15,MIN(AR$6-$G$3,22))),0)))))</f>
        <v>0</v>
      </c>
      <c r="AS17" s="27" t="n">
        <f aca="false">IF(COUNT(Algodão!$E15:$Z15)=0,0,MAX(0,IF((AS$6-$E$3)&lt;1,0,IFERROR(LOOKUP(2,1/(Algodão!$E15:INDEX(Algodão!$E15:$Z15,MIN(AS$6-$E$3,22))&lt;&gt;""),Algodão!$E15:INDEX(Algodão!$E15:$Z15,MIN(AS$6-$E$3,22))),0))-IF($G$2,0,IF((AS$6-$G$3)&lt;1,0,IFERROR(LOOKUP(2,1/(Algodão!$E15:INDEX(Algodão!$E15:$Z15,MIN(AS$6-$G$3,22))&lt;&gt;""),Algodão!$E15:INDEX(Algodão!$E15:$Z15,MIN(AS$6-$G$3,22))),0)))))</f>
        <v>0</v>
      </c>
      <c r="AT17" s="27" t="n">
        <f aca="false">IF(COUNT(Algodão!$E15:$Z15)=0,0,MAX(0,IF((AT$6-$E$3)&lt;1,0,IFERROR(LOOKUP(2,1/(Algodão!$E15:INDEX(Algodão!$E15:$Z15,MIN(AT$6-$E$3,22))&lt;&gt;""),Algodão!$E15:INDEX(Algodão!$E15:$Z15,MIN(AT$6-$E$3,22))),0))-IF($G$2,0,IF((AT$6-$G$3)&lt;1,0,IFERROR(LOOKUP(2,1/(Algodão!$E15:INDEX(Algodão!$E15:$Z15,MIN(AT$6-$G$3,22))&lt;&gt;""),Algodão!$E15:INDEX(Algodão!$E15:$Z15,MIN(AT$6-$G$3,22))),0)))))</f>
        <v>0</v>
      </c>
      <c r="AU17" s="27" t="n">
        <f aca="false">IF(COUNT(Algodão!$E15:$Z15)=0,0,MAX(0,IF((AU$6-$E$3)&lt;1,0,IFERROR(LOOKUP(2,1/(Algodão!$E15:INDEX(Algodão!$E15:$Z15,MIN(AU$6-$E$3,22))&lt;&gt;""),Algodão!$E15:INDEX(Algodão!$E15:$Z15,MIN(AU$6-$E$3,22))),0))-IF($G$2,0,IF((AU$6-$G$3)&lt;1,0,IFERROR(LOOKUP(2,1/(Algodão!$E15:INDEX(Algodão!$E15:$Z15,MIN(AU$6-$G$3,22))&lt;&gt;""),Algodão!$E15:INDEX(Algodão!$E15:$Z15,MIN(AU$6-$G$3,22))),0)))))</f>
        <v>0</v>
      </c>
      <c r="AV17" s="27" t="n">
        <f aca="false">IF(COUNT(Algodão!$E15:$Z15)=0,0,MAX(0,IF((AV$6-$E$3)&lt;1,0,IFERROR(LOOKUP(2,1/(Algodão!$E15:INDEX(Algodão!$E15:$Z15,MIN(AV$6-$E$3,22))&lt;&gt;""),Algodão!$E15:INDEX(Algodão!$E15:$Z15,MIN(AV$6-$E$3,22))),0))-IF($G$2,0,IF((AV$6-$G$3)&lt;1,0,IFERROR(LOOKUP(2,1/(Algodão!$E15:INDEX(Algodão!$E15:$Z15,MIN(AV$6-$G$3,22))&lt;&gt;""),Algodão!$E15:INDEX(Algodão!$E15:$Z15,MIN(AV$6-$G$3,22))),0)))))</f>
        <v>0</v>
      </c>
      <c r="AW17" s="27" t="n">
        <f aca="false">IF(COUNT(Algodão!$E15:$Z15)=0,0,MAX(0,IF((AW$6-$E$3)&lt;1,0,IFERROR(LOOKUP(2,1/(Algodão!$E15:INDEX(Algodão!$E15:$Z15,MIN(AW$6-$E$3,22))&lt;&gt;""),Algodão!$E15:INDEX(Algodão!$E15:$Z15,MIN(AW$6-$E$3,22))),0))-IF($G$2,0,IF((AW$6-$G$3)&lt;1,0,IFERROR(LOOKUP(2,1/(Algodão!$E15:INDEX(Algodão!$E15:$Z15,MIN(AW$6-$G$3,22))&lt;&gt;""),Algodão!$E15:INDEX(Algodão!$E15:$Z15,MIN(AW$6-$G$3,22))),0)))))</f>
        <v>0</v>
      </c>
      <c r="AX17" s="27" t="n">
        <f aca="false">IF(COUNT(Algodão!$E15:$Z15)=0,0,MAX(0,IF((AX$6-$E$3)&lt;1,0,IFERROR(LOOKUP(2,1/(Algodão!$E15:INDEX(Algodão!$E15:$Z15,MIN(AX$6-$E$3,22))&lt;&gt;""),Algodão!$E15:INDEX(Algodão!$E15:$Z15,MIN(AX$6-$E$3,22))),0))-IF($G$2,0,IF((AX$6-$G$3)&lt;1,0,IFERROR(LOOKUP(2,1/(Algodão!$E15:INDEX(Algodão!$E15:$Z15,MIN(AX$6-$G$3,22))&lt;&gt;""),Algodão!$E15:INDEX(Algodão!$E15:$Z15,MIN(AX$6-$G$3,22))),0)))))</f>
        <v>0</v>
      </c>
      <c r="AY17" s="27" t="n">
        <f aca="false">IF(COUNT(Algodão!$E15:$Z15)=0,0,MAX(0,IF((AY$6-$E$3)&lt;1,0,IFERROR(LOOKUP(2,1/(Algodão!$E15:INDEX(Algodão!$E15:$Z15,MIN(AY$6-$E$3,22))&lt;&gt;""),Algodão!$E15:INDEX(Algodão!$E15:$Z15,MIN(AY$6-$E$3,22))),0))-IF($G$2,0,IF((AY$6-$G$3)&lt;1,0,IFERROR(LOOKUP(2,1/(Algodão!$E15:INDEX(Algodão!$E15:$Z15,MIN(AY$6-$G$3,22))&lt;&gt;""),Algodão!$E15:INDEX(Algodão!$E15:$Z15,MIN(AY$6-$G$3,22))),0)))))</f>
        <v>0</v>
      </c>
      <c r="AZ17" s="27" t="n">
        <f aca="false">IF(COUNT(Algodão!$E15:$Z15)=0,0,MAX(0,IF((AZ$6-$E$3)&lt;1,0,IFERROR(LOOKUP(2,1/(Algodão!$E15:INDEX(Algodão!$E15:$Z15,MIN(AZ$6-$E$3,22))&lt;&gt;""),Algodão!$E15:INDEX(Algodão!$E15:$Z15,MIN(AZ$6-$E$3,22))),0))-IF($G$2,0,IF((AZ$6-$G$3)&lt;1,0,IFERROR(LOOKUP(2,1/(Algodão!$E15:INDEX(Algodão!$E15:$Z15,MIN(AZ$6-$G$3,22))&lt;&gt;""),Algodão!$E15:INDEX(Algodão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IF(COUNT(Algodão!$E16:$Z16)&gt;0,N(Algodão!$D16),0)</f>
        <v>0</v>
      </c>
      <c r="E18" s="27" t="n">
        <f aca="false">IF(COUNT(Algodão!$E16:$Z16)=0,0,MAX(0,IF((E$6-$E$3)&lt;1,0,IFERROR(LOOKUP(2,1/(Algodão!$E16:INDEX(Algodão!$E16:$Z16,MIN(E$6-$E$3,22))&lt;&gt;""),Algodão!$E16:INDEX(Algodão!$E16:$Z16,MIN(E$6-$E$3,22))),0))-IF($G$2,0,IF((E$6-$G$3)&lt;1,0,IFERROR(LOOKUP(2,1/(Algodão!$E16:INDEX(Algodão!$E16:$Z16,MIN(E$6-$G$3,22))&lt;&gt;""),Algodão!$E16:INDEX(Algodão!$E16:$Z16,MIN(E$6-$G$3,22))),0)))))</f>
        <v>0</v>
      </c>
      <c r="F18" s="27" t="n">
        <f aca="false">IF(COUNT(Algodão!$E16:$Z16)=0,0,MAX(0,IF((F$6-$E$3)&lt;1,0,IFERROR(LOOKUP(2,1/(Algodão!$E16:INDEX(Algodão!$E16:$Z16,MIN(F$6-$E$3,22))&lt;&gt;""),Algodão!$E16:INDEX(Algodão!$E16:$Z16,MIN(F$6-$E$3,22))),0))-IF($G$2,0,IF((F$6-$G$3)&lt;1,0,IFERROR(LOOKUP(2,1/(Algodão!$E16:INDEX(Algodão!$E16:$Z16,MIN(F$6-$G$3,22))&lt;&gt;""),Algodão!$E16:INDEX(Algodão!$E16:$Z16,MIN(F$6-$G$3,22))),0)))))</f>
        <v>0</v>
      </c>
      <c r="G18" s="27" t="n">
        <f aca="false">IF(COUNT(Algodão!$E16:$Z16)=0,0,MAX(0,IF((G$6-$E$3)&lt;1,0,IFERROR(LOOKUP(2,1/(Algodão!$E16:INDEX(Algodão!$E16:$Z16,MIN(G$6-$E$3,22))&lt;&gt;""),Algodão!$E16:INDEX(Algodão!$E16:$Z16,MIN(G$6-$E$3,22))),0))-IF($G$2,0,IF((G$6-$G$3)&lt;1,0,IFERROR(LOOKUP(2,1/(Algodão!$E16:INDEX(Algodão!$E16:$Z16,MIN(G$6-$G$3,22))&lt;&gt;""),Algodão!$E16:INDEX(Algodão!$E16:$Z16,MIN(G$6-$G$3,22))),0)))))</f>
        <v>0</v>
      </c>
      <c r="H18" s="27" t="n">
        <f aca="false">IF(COUNT(Algodão!$E16:$Z16)=0,0,MAX(0,IF((H$6-$E$3)&lt;1,0,IFERROR(LOOKUP(2,1/(Algodão!$E16:INDEX(Algodão!$E16:$Z16,MIN(H$6-$E$3,22))&lt;&gt;""),Algodão!$E16:INDEX(Algodão!$E16:$Z16,MIN(H$6-$E$3,22))),0))-IF($G$2,0,IF((H$6-$G$3)&lt;1,0,IFERROR(LOOKUP(2,1/(Algodão!$E16:INDEX(Algodão!$E16:$Z16,MIN(H$6-$G$3,22))&lt;&gt;""),Algodão!$E16:INDEX(Algodão!$E16:$Z16,MIN(H$6-$G$3,22))),0)))))</f>
        <v>0</v>
      </c>
      <c r="I18" s="27" t="n">
        <f aca="false">IF(COUNT(Algodão!$E16:$Z16)=0,0,MAX(0,IF((I$6-$E$3)&lt;1,0,IFERROR(LOOKUP(2,1/(Algodão!$E16:INDEX(Algodão!$E16:$Z16,MIN(I$6-$E$3,22))&lt;&gt;""),Algodão!$E16:INDEX(Algodão!$E16:$Z16,MIN(I$6-$E$3,22))),0))-IF($G$2,0,IF((I$6-$G$3)&lt;1,0,IFERROR(LOOKUP(2,1/(Algodão!$E16:INDEX(Algodão!$E16:$Z16,MIN(I$6-$G$3,22))&lt;&gt;""),Algodão!$E16:INDEX(Algodão!$E16:$Z16,MIN(I$6-$G$3,22))),0)))))</f>
        <v>0</v>
      </c>
      <c r="J18" s="27" t="n">
        <f aca="false">IF(COUNT(Algodão!$E16:$Z16)=0,0,MAX(0,IF((J$6-$E$3)&lt;1,0,IFERROR(LOOKUP(2,1/(Algodão!$E16:INDEX(Algodão!$E16:$Z16,MIN(J$6-$E$3,22))&lt;&gt;""),Algodão!$E16:INDEX(Algodão!$E16:$Z16,MIN(J$6-$E$3,22))),0))-IF($G$2,0,IF((J$6-$G$3)&lt;1,0,IFERROR(LOOKUP(2,1/(Algodão!$E16:INDEX(Algodão!$E16:$Z16,MIN(J$6-$G$3,22))&lt;&gt;""),Algodão!$E16:INDEX(Algodão!$E16:$Z16,MIN(J$6-$G$3,22))),0)))))</f>
        <v>0</v>
      </c>
      <c r="K18" s="27" t="n">
        <f aca="false">IF(COUNT(Algodão!$E16:$Z16)=0,0,MAX(0,IF((K$6-$E$3)&lt;1,0,IFERROR(LOOKUP(2,1/(Algodão!$E16:INDEX(Algodão!$E16:$Z16,MIN(K$6-$E$3,22))&lt;&gt;""),Algodão!$E16:INDEX(Algodão!$E16:$Z16,MIN(K$6-$E$3,22))),0))-IF($G$2,0,IF((K$6-$G$3)&lt;1,0,IFERROR(LOOKUP(2,1/(Algodão!$E16:INDEX(Algodão!$E16:$Z16,MIN(K$6-$G$3,22))&lt;&gt;""),Algodão!$E16:INDEX(Algodão!$E16:$Z16,MIN(K$6-$G$3,22))),0)))))</f>
        <v>0</v>
      </c>
      <c r="L18" s="27" t="n">
        <f aca="false">IF(COUNT(Algodão!$E16:$Z16)=0,0,MAX(0,IF((L$6-$E$3)&lt;1,0,IFERROR(LOOKUP(2,1/(Algodão!$E16:INDEX(Algodão!$E16:$Z16,MIN(L$6-$E$3,22))&lt;&gt;""),Algodão!$E16:INDEX(Algodão!$E16:$Z16,MIN(L$6-$E$3,22))),0))-IF($G$2,0,IF((L$6-$G$3)&lt;1,0,IFERROR(LOOKUP(2,1/(Algodão!$E16:INDEX(Algodão!$E16:$Z16,MIN(L$6-$G$3,22))&lt;&gt;""),Algodão!$E16:INDEX(Algodão!$E16:$Z16,MIN(L$6-$G$3,22))),0)))))</f>
        <v>0</v>
      </c>
      <c r="M18" s="27" t="n">
        <f aca="false">IF(COUNT(Algodão!$E16:$Z16)=0,0,MAX(0,IF((M$6-$E$3)&lt;1,0,IFERROR(LOOKUP(2,1/(Algodão!$E16:INDEX(Algodão!$E16:$Z16,MIN(M$6-$E$3,22))&lt;&gt;""),Algodão!$E16:INDEX(Algodão!$E16:$Z16,MIN(M$6-$E$3,22))),0))-IF($G$2,0,IF((M$6-$G$3)&lt;1,0,IFERROR(LOOKUP(2,1/(Algodão!$E16:INDEX(Algodão!$E16:$Z16,MIN(M$6-$G$3,22))&lt;&gt;""),Algodão!$E16:INDEX(Algodão!$E16:$Z16,MIN(M$6-$G$3,22))),0)))))</f>
        <v>0</v>
      </c>
      <c r="N18" s="27" t="n">
        <f aca="false">IF(COUNT(Algodão!$E16:$Z16)=0,0,MAX(0,IF((N$6-$E$3)&lt;1,0,IFERROR(LOOKUP(2,1/(Algodão!$E16:INDEX(Algodão!$E16:$Z16,MIN(N$6-$E$3,22))&lt;&gt;""),Algodão!$E16:INDEX(Algodão!$E16:$Z16,MIN(N$6-$E$3,22))),0))-IF($G$2,0,IF((N$6-$G$3)&lt;1,0,IFERROR(LOOKUP(2,1/(Algodão!$E16:INDEX(Algodão!$E16:$Z16,MIN(N$6-$G$3,22))&lt;&gt;""),Algodão!$E16:INDEX(Algodão!$E16:$Z16,MIN(N$6-$G$3,22))),0)))))</f>
        <v>0</v>
      </c>
      <c r="O18" s="27" t="n">
        <f aca="false">IF(COUNT(Algodão!$E16:$Z16)=0,0,MAX(0,IF((O$6-$E$3)&lt;1,0,IFERROR(LOOKUP(2,1/(Algodão!$E16:INDEX(Algodão!$E16:$Z16,MIN(O$6-$E$3,22))&lt;&gt;""),Algodão!$E16:INDEX(Algodão!$E16:$Z16,MIN(O$6-$E$3,22))),0))-IF($G$2,0,IF((O$6-$G$3)&lt;1,0,IFERROR(LOOKUP(2,1/(Algodão!$E16:INDEX(Algodão!$E16:$Z16,MIN(O$6-$G$3,22))&lt;&gt;""),Algodão!$E16:INDEX(Algodão!$E16:$Z16,MIN(O$6-$G$3,22))),0)))))</f>
        <v>0</v>
      </c>
      <c r="P18" s="27" t="n">
        <f aca="false">IF(COUNT(Algodão!$E16:$Z16)=0,0,MAX(0,IF((P$6-$E$3)&lt;1,0,IFERROR(LOOKUP(2,1/(Algodão!$E16:INDEX(Algodão!$E16:$Z16,MIN(P$6-$E$3,22))&lt;&gt;""),Algodão!$E16:INDEX(Algodão!$E16:$Z16,MIN(P$6-$E$3,22))),0))-IF($G$2,0,IF((P$6-$G$3)&lt;1,0,IFERROR(LOOKUP(2,1/(Algodão!$E16:INDEX(Algodão!$E16:$Z16,MIN(P$6-$G$3,22))&lt;&gt;""),Algodão!$E16:INDEX(Algodão!$E16:$Z16,MIN(P$6-$G$3,22))),0)))))</f>
        <v>0</v>
      </c>
      <c r="Q18" s="27" t="n">
        <f aca="false">IF(COUNT(Algodão!$E16:$Z16)=0,0,MAX(0,IF((Q$6-$E$3)&lt;1,0,IFERROR(LOOKUP(2,1/(Algodão!$E16:INDEX(Algodão!$E16:$Z16,MIN(Q$6-$E$3,22))&lt;&gt;""),Algodão!$E16:INDEX(Algodão!$E16:$Z16,MIN(Q$6-$E$3,22))),0))-IF($G$2,0,IF((Q$6-$G$3)&lt;1,0,IFERROR(LOOKUP(2,1/(Algodão!$E16:INDEX(Algodão!$E16:$Z16,MIN(Q$6-$G$3,22))&lt;&gt;""),Algodão!$E16:INDEX(Algodão!$E16:$Z16,MIN(Q$6-$G$3,22))),0)))))</f>
        <v>0</v>
      </c>
      <c r="R18" s="27" t="n">
        <f aca="false">IF(COUNT(Algodão!$E16:$Z16)=0,0,MAX(0,IF((R$6-$E$3)&lt;1,0,IFERROR(LOOKUP(2,1/(Algodão!$E16:INDEX(Algodão!$E16:$Z16,MIN(R$6-$E$3,22))&lt;&gt;""),Algodão!$E16:INDEX(Algodão!$E16:$Z16,MIN(R$6-$E$3,22))),0))-IF($G$2,0,IF((R$6-$G$3)&lt;1,0,IFERROR(LOOKUP(2,1/(Algodão!$E16:INDEX(Algodão!$E16:$Z16,MIN(R$6-$G$3,22))&lt;&gt;""),Algodão!$E16:INDEX(Algodão!$E16:$Z16,MIN(R$6-$G$3,22))),0)))))</f>
        <v>0</v>
      </c>
      <c r="S18" s="27" t="n">
        <f aca="false">IF(COUNT(Algodão!$E16:$Z16)=0,0,MAX(0,IF((S$6-$E$3)&lt;1,0,IFERROR(LOOKUP(2,1/(Algodão!$E16:INDEX(Algodão!$E16:$Z16,MIN(S$6-$E$3,22))&lt;&gt;""),Algodão!$E16:INDEX(Algodão!$E16:$Z16,MIN(S$6-$E$3,22))),0))-IF($G$2,0,IF((S$6-$G$3)&lt;1,0,IFERROR(LOOKUP(2,1/(Algodão!$E16:INDEX(Algodão!$E16:$Z16,MIN(S$6-$G$3,22))&lt;&gt;""),Algodão!$E16:INDEX(Algodão!$E16:$Z16,MIN(S$6-$G$3,22))),0)))))</f>
        <v>0</v>
      </c>
      <c r="T18" s="27" t="n">
        <f aca="false">IF(COUNT(Algodão!$E16:$Z16)=0,0,MAX(0,IF((T$6-$E$3)&lt;1,0,IFERROR(LOOKUP(2,1/(Algodão!$E16:INDEX(Algodão!$E16:$Z16,MIN(T$6-$E$3,22))&lt;&gt;""),Algodão!$E16:INDEX(Algodão!$E16:$Z16,MIN(T$6-$E$3,22))),0))-IF($G$2,0,IF((T$6-$G$3)&lt;1,0,IFERROR(LOOKUP(2,1/(Algodão!$E16:INDEX(Algodão!$E16:$Z16,MIN(T$6-$G$3,22))&lt;&gt;""),Algodão!$E16:INDEX(Algodão!$E16:$Z16,MIN(T$6-$G$3,22))),0)))))</f>
        <v>0</v>
      </c>
      <c r="U18" s="27" t="n">
        <f aca="false">IF(COUNT(Algodão!$E16:$Z16)=0,0,MAX(0,IF((U$6-$E$3)&lt;1,0,IFERROR(LOOKUP(2,1/(Algodão!$E16:INDEX(Algodão!$E16:$Z16,MIN(U$6-$E$3,22))&lt;&gt;""),Algodão!$E16:INDEX(Algodão!$E16:$Z16,MIN(U$6-$E$3,22))),0))-IF($G$2,0,IF((U$6-$G$3)&lt;1,0,IFERROR(LOOKUP(2,1/(Algodão!$E16:INDEX(Algodão!$E16:$Z16,MIN(U$6-$G$3,22))&lt;&gt;""),Algodão!$E16:INDEX(Algodão!$E16:$Z16,MIN(U$6-$G$3,22))),0)))))</f>
        <v>0</v>
      </c>
      <c r="V18" s="27" t="n">
        <f aca="false">IF(COUNT(Algodão!$E16:$Z16)=0,0,MAX(0,IF((V$6-$E$3)&lt;1,0,IFERROR(LOOKUP(2,1/(Algodão!$E16:INDEX(Algodão!$E16:$Z16,MIN(V$6-$E$3,22))&lt;&gt;""),Algodão!$E16:INDEX(Algodão!$E16:$Z16,MIN(V$6-$E$3,22))),0))-IF($G$2,0,IF((V$6-$G$3)&lt;1,0,IFERROR(LOOKUP(2,1/(Algodão!$E16:INDEX(Algodão!$E16:$Z16,MIN(V$6-$G$3,22))&lt;&gt;""),Algodão!$E16:INDEX(Algodão!$E16:$Z16,MIN(V$6-$G$3,22))),0)))))</f>
        <v>0</v>
      </c>
      <c r="W18" s="27" t="n">
        <f aca="false">IF(COUNT(Algodão!$E16:$Z16)=0,0,MAX(0,IF((W$6-$E$3)&lt;1,0,IFERROR(LOOKUP(2,1/(Algodão!$E16:INDEX(Algodão!$E16:$Z16,MIN(W$6-$E$3,22))&lt;&gt;""),Algodão!$E16:INDEX(Algodão!$E16:$Z16,MIN(W$6-$E$3,22))),0))-IF($G$2,0,IF((W$6-$G$3)&lt;1,0,IFERROR(LOOKUP(2,1/(Algodão!$E16:INDEX(Algodão!$E16:$Z16,MIN(W$6-$G$3,22))&lt;&gt;""),Algodão!$E16:INDEX(Algodão!$E16:$Z16,MIN(W$6-$G$3,22))),0)))))</f>
        <v>0</v>
      </c>
      <c r="X18" s="27" t="n">
        <f aca="false">IF(COUNT(Algodão!$E16:$Z16)=0,0,MAX(0,IF((X$6-$E$3)&lt;1,0,IFERROR(LOOKUP(2,1/(Algodão!$E16:INDEX(Algodão!$E16:$Z16,MIN(X$6-$E$3,22))&lt;&gt;""),Algodão!$E16:INDEX(Algodão!$E16:$Z16,MIN(X$6-$E$3,22))),0))-IF($G$2,0,IF((X$6-$G$3)&lt;1,0,IFERROR(LOOKUP(2,1/(Algodão!$E16:INDEX(Algodão!$E16:$Z16,MIN(X$6-$G$3,22))&lt;&gt;""),Algodão!$E16:INDEX(Algodão!$E16:$Z16,MIN(X$6-$G$3,22))),0)))))</f>
        <v>0</v>
      </c>
      <c r="Y18" s="27" t="n">
        <f aca="false">IF(COUNT(Algodão!$E16:$Z16)=0,0,MAX(0,IF((Y$6-$E$3)&lt;1,0,IFERROR(LOOKUP(2,1/(Algodão!$E16:INDEX(Algodão!$E16:$Z16,MIN(Y$6-$E$3,22))&lt;&gt;""),Algodão!$E16:INDEX(Algodão!$E16:$Z16,MIN(Y$6-$E$3,22))),0))-IF($G$2,0,IF((Y$6-$G$3)&lt;1,0,IFERROR(LOOKUP(2,1/(Algodão!$E16:INDEX(Algodão!$E16:$Z16,MIN(Y$6-$G$3,22))&lt;&gt;""),Algodão!$E16:INDEX(Algodão!$E16:$Z16,MIN(Y$6-$G$3,22))),0)))))</f>
        <v>0</v>
      </c>
      <c r="Z18" s="27" t="n">
        <f aca="false">IF(COUNT(Algodão!$E16:$Z16)=0,0,MAX(0,IF((Z$6-$E$3)&lt;1,0,IFERROR(LOOKUP(2,1/(Algodão!$E16:INDEX(Algodão!$E16:$Z16,MIN(Z$6-$E$3,22))&lt;&gt;""),Algodão!$E16:INDEX(Algodão!$E16:$Z16,MIN(Z$6-$E$3,22))),0))-IF($G$2,0,IF((Z$6-$G$3)&lt;1,0,IFERROR(LOOKUP(2,1/(Algodão!$E16:INDEX(Algodão!$E16:$Z16,MIN(Z$6-$G$3,22))&lt;&gt;""),Algodão!$E16:INDEX(Algodão!$E16:$Z16,MIN(Z$6-$G$3,22))),0)))))</f>
        <v>0</v>
      </c>
      <c r="AA18" s="27" t="n">
        <f aca="false">IF(COUNT(Algodão!$E16:$Z16)=0,0,MAX(0,IF((AA$6-$E$3)&lt;1,0,IFERROR(LOOKUP(2,1/(Algodão!$E16:INDEX(Algodão!$E16:$Z16,MIN(AA$6-$E$3,22))&lt;&gt;""),Algodão!$E16:INDEX(Algodão!$E16:$Z16,MIN(AA$6-$E$3,22))),0))-IF($G$2,0,IF((AA$6-$G$3)&lt;1,0,IFERROR(LOOKUP(2,1/(Algodão!$E16:INDEX(Algodão!$E16:$Z16,MIN(AA$6-$G$3,22))&lt;&gt;""),Algodão!$E16:INDEX(Algodão!$E16:$Z16,MIN(AA$6-$G$3,22))),0)))))</f>
        <v>0</v>
      </c>
      <c r="AB18" s="27" t="n">
        <f aca="false">IF(COUNT(Algodão!$E16:$Z16)=0,0,MAX(0,IF((AB$6-$E$3)&lt;1,0,IFERROR(LOOKUP(2,1/(Algodão!$E16:INDEX(Algodão!$E16:$Z16,MIN(AB$6-$E$3,22))&lt;&gt;""),Algodão!$E16:INDEX(Algodão!$E16:$Z16,MIN(AB$6-$E$3,22))),0))-IF($G$2,0,IF((AB$6-$G$3)&lt;1,0,IFERROR(LOOKUP(2,1/(Algodão!$E16:INDEX(Algodão!$E16:$Z16,MIN(AB$6-$G$3,22))&lt;&gt;""),Algodão!$E16:INDEX(Algodão!$E16:$Z16,MIN(AB$6-$G$3,22))),0)))))</f>
        <v>0</v>
      </c>
      <c r="AC18" s="27" t="n">
        <f aca="false">IF(COUNT(Algodão!$E16:$Z16)=0,0,MAX(0,IF((AC$6-$E$3)&lt;1,0,IFERROR(LOOKUP(2,1/(Algodão!$E16:INDEX(Algodão!$E16:$Z16,MIN(AC$6-$E$3,22))&lt;&gt;""),Algodão!$E16:INDEX(Algodão!$E16:$Z16,MIN(AC$6-$E$3,22))),0))-IF($G$2,0,IF((AC$6-$G$3)&lt;1,0,IFERROR(LOOKUP(2,1/(Algodão!$E16:INDEX(Algodão!$E16:$Z16,MIN(AC$6-$G$3,22))&lt;&gt;""),Algodão!$E16:INDEX(Algodão!$E16:$Z16,MIN(AC$6-$G$3,22))),0)))))</f>
        <v>0</v>
      </c>
      <c r="AD18" s="27" t="n">
        <f aca="false">IF(COUNT(Algodão!$E16:$Z16)=0,0,MAX(0,IF((AD$6-$E$3)&lt;1,0,IFERROR(LOOKUP(2,1/(Algodão!$E16:INDEX(Algodão!$E16:$Z16,MIN(AD$6-$E$3,22))&lt;&gt;""),Algodão!$E16:INDEX(Algodão!$E16:$Z16,MIN(AD$6-$E$3,22))),0))-IF($G$2,0,IF((AD$6-$G$3)&lt;1,0,IFERROR(LOOKUP(2,1/(Algodão!$E16:INDEX(Algodão!$E16:$Z16,MIN(AD$6-$G$3,22))&lt;&gt;""),Algodão!$E16:INDEX(Algodão!$E16:$Z16,MIN(AD$6-$G$3,22))),0)))))</f>
        <v>0</v>
      </c>
      <c r="AE18" s="27" t="n">
        <f aca="false">IF(COUNT(Algodão!$E16:$Z16)=0,0,MAX(0,IF((AE$6-$E$3)&lt;1,0,IFERROR(LOOKUP(2,1/(Algodão!$E16:INDEX(Algodão!$E16:$Z16,MIN(AE$6-$E$3,22))&lt;&gt;""),Algodão!$E16:INDEX(Algodão!$E16:$Z16,MIN(AE$6-$E$3,22))),0))-IF($G$2,0,IF((AE$6-$G$3)&lt;1,0,IFERROR(LOOKUP(2,1/(Algodão!$E16:INDEX(Algodão!$E16:$Z16,MIN(AE$6-$G$3,22))&lt;&gt;""),Algodão!$E16:INDEX(Algodão!$E16:$Z16,MIN(AE$6-$G$3,22))),0)))))</f>
        <v>0</v>
      </c>
      <c r="AF18" s="27" t="n">
        <f aca="false">IF(COUNT(Algodão!$E16:$Z16)=0,0,MAX(0,IF((AF$6-$E$3)&lt;1,0,IFERROR(LOOKUP(2,1/(Algodão!$E16:INDEX(Algodão!$E16:$Z16,MIN(AF$6-$E$3,22))&lt;&gt;""),Algodão!$E16:INDEX(Algodão!$E16:$Z16,MIN(AF$6-$E$3,22))),0))-IF($G$2,0,IF((AF$6-$G$3)&lt;1,0,IFERROR(LOOKUP(2,1/(Algodão!$E16:INDEX(Algodão!$E16:$Z16,MIN(AF$6-$G$3,22))&lt;&gt;""),Algodão!$E16:INDEX(Algodão!$E16:$Z16,MIN(AF$6-$G$3,22))),0)))))</f>
        <v>0</v>
      </c>
      <c r="AG18" s="27" t="n">
        <f aca="false">IF(COUNT(Algodão!$E16:$Z16)=0,0,MAX(0,IF((AG$6-$E$3)&lt;1,0,IFERROR(LOOKUP(2,1/(Algodão!$E16:INDEX(Algodão!$E16:$Z16,MIN(AG$6-$E$3,22))&lt;&gt;""),Algodão!$E16:INDEX(Algodão!$E16:$Z16,MIN(AG$6-$E$3,22))),0))-IF($G$2,0,IF((AG$6-$G$3)&lt;1,0,IFERROR(LOOKUP(2,1/(Algodão!$E16:INDEX(Algodão!$E16:$Z16,MIN(AG$6-$G$3,22))&lt;&gt;""),Algodão!$E16:INDEX(Algodão!$E16:$Z16,MIN(AG$6-$G$3,22))),0)))))</f>
        <v>0</v>
      </c>
      <c r="AH18" s="27" t="n">
        <f aca="false">IF(COUNT(Algodão!$E16:$Z16)=0,0,MAX(0,IF((AH$6-$E$3)&lt;1,0,IFERROR(LOOKUP(2,1/(Algodão!$E16:INDEX(Algodão!$E16:$Z16,MIN(AH$6-$E$3,22))&lt;&gt;""),Algodão!$E16:INDEX(Algodão!$E16:$Z16,MIN(AH$6-$E$3,22))),0))-IF($G$2,0,IF((AH$6-$G$3)&lt;1,0,IFERROR(LOOKUP(2,1/(Algodão!$E16:INDEX(Algodão!$E16:$Z16,MIN(AH$6-$G$3,22))&lt;&gt;""),Algodão!$E16:INDEX(Algodão!$E16:$Z16,MIN(AH$6-$G$3,22))),0)))))</f>
        <v>0</v>
      </c>
      <c r="AI18" s="27" t="n">
        <f aca="false">IF(COUNT(Algodão!$E16:$Z16)=0,0,MAX(0,IF((AI$6-$E$3)&lt;1,0,IFERROR(LOOKUP(2,1/(Algodão!$E16:INDEX(Algodão!$E16:$Z16,MIN(AI$6-$E$3,22))&lt;&gt;""),Algodão!$E16:INDEX(Algodão!$E16:$Z16,MIN(AI$6-$E$3,22))),0))-IF($G$2,0,IF((AI$6-$G$3)&lt;1,0,IFERROR(LOOKUP(2,1/(Algodão!$E16:INDEX(Algodão!$E16:$Z16,MIN(AI$6-$G$3,22))&lt;&gt;""),Algodão!$E16:INDEX(Algodão!$E16:$Z16,MIN(AI$6-$G$3,22))),0)))))</f>
        <v>0</v>
      </c>
      <c r="AJ18" s="27" t="n">
        <f aca="false">IF(COUNT(Algodão!$E16:$Z16)=0,0,MAX(0,IF((AJ$6-$E$3)&lt;1,0,IFERROR(LOOKUP(2,1/(Algodão!$E16:INDEX(Algodão!$E16:$Z16,MIN(AJ$6-$E$3,22))&lt;&gt;""),Algodão!$E16:INDEX(Algodão!$E16:$Z16,MIN(AJ$6-$E$3,22))),0))-IF($G$2,0,IF((AJ$6-$G$3)&lt;1,0,IFERROR(LOOKUP(2,1/(Algodão!$E16:INDEX(Algodão!$E16:$Z16,MIN(AJ$6-$G$3,22))&lt;&gt;""),Algodão!$E16:INDEX(Algodão!$E16:$Z16,MIN(AJ$6-$G$3,22))),0)))))</f>
        <v>0</v>
      </c>
      <c r="AK18" s="27" t="n">
        <f aca="false">IF(COUNT(Algodão!$E16:$Z16)=0,0,MAX(0,IF((AK$6-$E$3)&lt;1,0,IFERROR(LOOKUP(2,1/(Algodão!$E16:INDEX(Algodão!$E16:$Z16,MIN(AK$6-$E$3,22))&lt;&gt;""),Algodão!$E16:INDEX(Algodão!$E16:$Z16,MIN(AK$6-$E$3,22))),0))-IF($G$2,0,IF((AK$6-$G$3)&lt;1,0,IFERROR(LOOKUP(2,1/(Algodão!$E16:INDEX(Algodão!$E16:$Z16,MIN(AK$6-$G$3,22))&lt;&gt;""),Algodão!$E16:INDEX(Algodão!$E16:$Z16,MIN(AK$6-$G$3,22))),0)))))</f>
        <v>0</v>
      </c>
      <c r="AL18" s="27" t="n">
        <f aca="false">IF(COUNT(Algodão!$E16:$Z16)=0,0,MAX(0,IF((AL$6-$E$3)&lt;1,0,IFERROR(LOOKUP(2,1/(Algodão!$E16:INDEX(Algodão!$E16:$Z16,MIN(AL$6-$E$3,22))&lt;&gt;""),Algodão!$E16:INDEX(Algodão!$E16:$Z16,MIN(AL$6-$E$3,22))),0))-IF($G$2,0,IF((AL$6-$G$3)&lt;1,0,IFERROR(LOOKUP(2,1/(Algodão!$E16:INDEX(Algodão!$E16:$Z16,MIN(AL$6-$G$3,22))&lt;&gt;""),Algodão!$E16:INDEX(Algodão!$E16:$Z16,MIN(AL$6-$G$3,22))),0)))))</f>
        <v>0</v>
      </c>
      <c r="AM18" s="27" t="n">
        <f aca="false">IF(COUNT(Algodão!$E16:$Z16)=0,0,MAX(0,IF((AM$6-$E$3)&lt;1,0,IFERROR(LOOKUP(2,1/(Algodão!$E16:INDEX(Algodão!$E16:$Z16,MIN(AM$6-$E$3,22))&lt;&gt;""),Algodão!$E16:INDEX(Algodão!$E16:$Z16,MIN(AM$6-$E$3,22))),0))-IF($G$2,0,IF((AM$6-$G$3)&lt;1,0,IFERROR(LOOKUP(2,1/(Algodão!$E16:INDEX(Algodão!$E16:$Z16,MIN(AM$6-$G$3,22))&lt;&gt;""),Algodão!$E16:INDEX(Algodão!$E16:$Z16,MIN(AM$6-$G$3,22))),0)))))</f>
        <v>0</v>
      </c>
      <c r="AN18" s="27" t="n">
        <f aca="false">IF(COUNT(Algodão!$E16:$Z16)=0,0,MAX(0,IF((AN$6-$E$3)&lt;1,0,IFERROR(LOOKUP(2,1/(Algodão!$E16:INDEX(Algodão!$E16:$Z16,MIN(AN$6-$E$3,22))&lt;&gt;""),Algodão!$E16:INDEX(Algodão!$E16:$Z16,MIN(AN$6-$E$3,22))),0))-IF($G$2,0,IF((AN$6-$G$3)&lt;1,0,IFERROR(LOOKUP(2,1/(Algodão!$E16:INDEX(Algodão!$E16:$Z16,MIN(AN$6-$G$3,22))&lt;&gt;""),Algodão!$E16:INDEX(Algodão!$E16:$Z16,MIN(AN$6-$G$3,22))),0)))))</f>
        <v>0</v>
      </c>
      <c r="AO18" s="27" t="n">
        <f aca="false">IF(COUNT(Algodão!$E16:$Z16)=0,0,MAX(0,IF((AO$6-$E$3)&lt;1,0,IFERROR(LOOKUP(2,1/(Algodão!$E16:INDEX(Algodão!$E16:$Z16,MIN(AO$6-$E$3,22))&lt;&gt;""),Algodão!$E16:INDEX(Algodão!$E16:$Z16,MIN(AO$6-$E$3,22))),0))-IF($G$2,0,IF((AO$6-$G$3)&lt;1,0,IFERROR(LOOKUP(2,1/(Algodão!$E16:INDEX(Algodão!$E16:$Z16,MIN(AO$6-$G$3,22))&lt;&gt;""),Algodão!$E16:INDEX(Algodão!$E16:$Z16,MIN(AO$6-$G$3,22))),0)))))</f>
        <v>0</v>
      </c>
      <c r="AP18" s="27" t="n">
        <f aca="false">IF(COUNT(Algodão!$E16:$Z16)=0,0,MAX(0,IF((AP$6-$E$3)&lt;1,0,IFERROR(LOOKUP(2,1/(Algodão!$E16:INDEX(Algodão!$E16:$Z16,MIN(AP$6-$E$3,22))&lt;&gt;""),Algodão!$E16:INDEX(Algodão!$E16:$Z16,MIN(AP$6-$E$3,22))),0))-IF($G$2,0,IF((AP$6-$G$3)&lt;1,0,IFERROR(LOOKUP(2,1/(Algodão!$E16:INDEX(Algodão!$E16:$Z16,MIN(AP$6-$G$3,22))&lt;&gt;""),Algodão!$E16:INDEX(Algodão!$E16:$Z16,MIN(AP$6-$G$3,22))),0)))))</f>
        <v>0</v>
      </c>
      <c r="AQ18" s="27" t="n">
        <f aca="false">IF(COUNT(Algodão!$E16:$Z16)=0,0,MAX(0,IF((AQ$6-$E$3)&lt;1,0,IFERROR(LOOKUP(2,1/(Algodão!$E16:INDEX(Algodão!$E16:$Z16,MIN(AQ$6-$E$3,22))&lt;&gt;""),Algodão!$E16:INDEX(Algodão!$E16:$Z16,MIN(AQ$6-$E$3,22))),0))-IF($G$2,0,IF((AQ$6-$G$3)&lt;1,0,IFERROR(LOOKUP(2,1/(Algodão!$E16:INDEX(Algodão!$E16:$Z16,MIN(AQ$6-$G$3,22))&lt;&gt;""),Algodão!$E16:INDEX(Algodão!$E16:$Z16,MIN(AQ$6-$G$3,22))),0)))))</f>
        <v>0</v>
      </c>
      <c r="AR18" s="27" t="n">
        <f aca="false">IF(COUNT(Algodão!$E16:$Z16)=0,0,MAX(0,IF((AR$6-$E$3)&lt;1,0,IFERROR(LOOKUP(2,1/(Algodão!$E16:INDEX(Algodão!$E16:$Z16,MIN(AR$6-$E$3,22))&lt;&gt;""),Algodão!$E16:INDEX(Algodão!$E16:$Z16,MIN(AR$6-$E$3,22))),0))-IF($G$2,0,IF((AR$6-$G$3)&lt;1,0,IFERROR(LOOKUP(2,1/(Algodão!$E16:INDEX(Algodão!$E16:$Z16,MIN(AR$6-$G$3,22))&lt;&gt;""),Algodão!$E16:INDEX(Algodão!$E16:$Z16,MIN(AR$6-$G$3,22))),0)))))</f>
        <v>0</v>
      </c>
      <c r="AS18" s="27" t="n">
        <f aca="false">IF(COUNT(Algodão!$E16:$Z16)=0,0,MAX(0,IF((AS$6-$E$3)&lt;1,0,IFERROR(LOOKUP(2,1/(Algodão!$E16:INDEX(Algodão!$E16:$Z16,MIN(AS$6-$E$3,22))&lt;&gt;""),Algodão!$E16:INDEX(Algodão!$E16:$Z16,MIN(AS$6-$E$3,22))),0))-IF($G$2,0,IF((AS$6-$G$3)&lt;1,0,IFERROR(LOOKUP(2,1/(Algodão!$E16:INDEX(Algodão!$E16:$Z16,MIN(AS$6-$G$3,22))&lt;&gt;""),Algodão!$E16:INDEX(Algodão!$E16:$Z16,MIN(AS$6-$G$3,22))),0)))))</f>
        <v>0</v>
      </c>
      <c r="AT18" s="27" t="n">
        <f aca="false">IF(COUNT(Algodão!$E16:$Z16)=0,0,MAX(0,IF((AT$6-$E$3)&lt;1,0,IFERROR(LOOKUP(2,1/(Algodão!$E16:INDEX(Algodão!$E16:$Z16,MIN(AT$6-$E$3,22))&lt;&gt;""),Algodão!$E16:INDEX(Algodão!$E16:$Z16,MIN(AT$6-$E$3,22))),0))-IF($G$2,0,IF((AT$6-$G$3)&lt;1,0,IFERROR(LOOKUP(2,1/(Algodão!$E16:INDEX(Algodão!$E16:$Z16,MIN(AT$6-$G$3,22))&lt;&gt;""),Algodão!$E16:INDEX(Algodão!$E16:$Z16,MIN(AT$6-$G$3,22))),0)))))</f>
        <v>0</v>
      </c>
      <c r="AU18" s="27" t="n">
        <f aca="false">IF(COUNT(Algodão!$E16:$Z16)=0,0,MAX(0,IF((AU$6-$E$3)&lt;1,0,IFERROR(LOOKUP(2,1/(Algodão!$E16:INDEX(Algodão!$E16:$Z16,MIN(AU$6-$E$3,22))&lt;&gt;""),Algodão!$E16:INDEX(Algodão!$E16:$Z16,MIN(AU$6-$E$3,22))),0))-IF($G$2,0,IF((AU$6-$G$3)&lt;1,0,IFERROR(LOOKUP(2,1/(Algodão!$E16:INDEX(Algodão!$E16:$Z16,MIN(AU$6-$G$3,22))&lt;&gt;""),Algodão!$E16:INDEX(Algodão!$E16:$Z16,MIN(AU$6-$G$3,22))),0)))))</f>
        <v>0</v>
      </c>
      <c r="AV18" s="27" t="n">
        <f aca="false">IF(COUNT(Algodão!$E16:$Z16)=0,0,MAX(0,IF((AV$6-$E$3)&lt;1,0,IFERROR(LOOKUP(2,1/(Algodão!$E16:INDEX(Algodão!$E16:$Z16,MIN(AV$6-$E$3,22))&lt;&gt;""),Algodão!$E16:INDEX(Algodão!$E16:$Z16,MIN(AV$6-$E$3,22))),0))-IF($G$2,0,IF((AV$6-$G$3)&lt;1,0,IFERROR(LOOKUP(2,1/(Algodão!$E16:INDEX(Algodão!$E16:$Z16,MIN(AV$6-$G$3,22))&lt;&gt;""),Algodão!$E16:INDEX(Algodão!$E16:$Z16,MIN(AV$6-$G$3,22))),0)))))</f>
        <v>0</v>
      </c>
      <c r="AW18" s="27" t="n">
        <f aca="false">IF(COUNT(Algodão!$E16:$Z16)=0,0,MAX(0,IF((AW$6-$E$3)&lt;1,0,IFERROR(LOOKUP(2,1/(Algodão!$E16:INDEX(Algodão!$E16:$Z16,MIN(AW$6-$E$3,22))&lt;&gt;""),Algodão!$E16:INDEX(Algodão!$E16:$Z16,MIN(AW$6-$E$3,22))),0))-IF($G$2,0,IF((AW$6-$G$3)&lt;1,0,IFERROR(LOOKUP(2,1/(Algodão!$E16:INDEX(Algodão!$E16:$Z16,MIN(AW$6-$G$3,22))&lt;&gt;""),Algodão!$E16:INDEX(Algodão!$E16:$Z16,MIN(AW$6-$G$3,22))),0)))))</f>
        <v>0</v>
      </c>
      <c r="AX18" s="27" t="n">
        <f aca="false">IF(COUNT(Algodão!$E16:$Z16)=0,0,MAX(0,IF((AX$6-$E$3)&lt;1,0,IFERROR(LOOKUP(2,1/(Algodão!$E16:INDEX(Algodão!$E16:$Z16,MIN(AX$6-$E$3,22))&lt;&gt;""),Algodão!$E16:INDEX(Algodão!$E16:$Z16,MIN(AX$6-$E$3,22))),0))-IF($G$2,0,IF((AX$6-$G$3)&lt;1,0,IFERROR(LOOKUP(2,1/(Algodão!$E16:INDEX(Algodão!$E16:$Z16,MIN(AX$6-$G$3,22))&lt;&gt;""),Algodão!$E16:INDEX(Algodão!$E16:$Z16,MIN(AX$6-$G$3,22))),0)))))</f>
        <v>0</v>
      </c>
      <c r="AY18" s="27" t="n">
        <f aca="false">IF(COUNT(Algodão!$E16:$Z16)=0,0,MAX(0,IF((AY$6-$E$3)&lt;1,0,IFERROR(LOOKUP(2,1/(Algodão!$E16:INDEX(Algodão!$E16:$Z16,MIN(AY$6-$E$3,22))&lt;&gt;""),Algodão!$E16:INDEX(Algodão!$E16:$Z16,MIN(AY$6-$E$3,22))),0))-IF($G$2,0,IF((AY$6-$G$3)&lt;1,0,IFERROR(LOOKUP(2,1/(Algodão!$E16:INDEX(Algodão!$E16:$Z16,MIN(AY$6-$G$3,22))&lt;&gt;""),Algodão!$E16:INDEX(Algodão!$E16:$Z16,MIN(AY$6-$G$3,22))),0)))))</f>
        <v>0</v>
      </c>
      <c r="AZ18" s="27" t="n">
        <f aca="false">IF(COUNT(Algodão!$E16:$Z16)=0,0,MAX(0,IF((AZ$6-$E$3)&lt;1,0,IFERROR(LOOKUP(2,1/(Algodão!$E16:INDEX(Algodão!$E16:$Z16,MIN(AZ$6-$E$3,22))&lt;&gt;""),Algodão!$E16:INDEX(Algodão!$E16:$Z16,MIN(AZ$6-$E$3,22))),0))-IF($G$2,0,IF((AZ$6-$G$3)&lt;1,0,IFERROR(LOOKUP(2,1/(Algodão!$E16:INDEX(Algodão!$E16:$Z16,MIN(AZ$6-$G$3,22))&lt;&gt;""),Algodão!$E16:INDEX(Algodão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IF(COUNT(Algodão!$E17:$Z17)&gt;0,N(Algodão!$D17),0)</f>
        <v>0</v>
      </c>
      <c r="E19" s="27" t="n">
        <f aca="false">IF(COUNT(Algodão!$E17:$Z17)=0,0,MAX(0,IF((E$6-$E$3)&lt;1,0,IFERROR(LOOKUP(2,1/(Algodão!$E17:INDEX(Algodão!$E17:$Z17,MIN(E$6-$E$3,22))&lt;&gt;""),Algodão!$E17:INDEX(Algodão!$E17:$Z17,MIN(E$6-$E$3,22))),0))-IF($G$2,0,IF((E$6-$G$3)&lt;1,0,IFERROR(LOOKUP(2,1/(Algodão!$E17:INDEX(Algodão!$E17:$Z17,MIN(E$6-$G$3,22))&lt;&gt;""),Algodão!$E17:INDEX(Algodão!$E17:$Z17,MIN(E$6-$G$3,22))),0)))))</f>
        <v>0</v>
      </c>
      <c r="F19" s="27" t="n">
        <f aca="false">IF(COUNT(Algodão!$E17:$Z17)=0,0,MAX(0,IF((F$6-$E$3)&lt;1,0,IFERROR(LOOKUP(2,1/(Algodão!$E17:INDEX(Algodão!$E17:$Z17,MIN(F$6-$E$3,22))&lt;&gt;""),Algodão!$E17:INDEX(Algodão!$E17:$Z17,MIN(F$6-$E$3,22))),0))-IF($G$2,0,IF((F$6-$G$3)&lt;1,0,IFERROR(LOOKUP(2,1/(Algodão!$E17:INDEX(Algodão!$E17:$Z17,MIN(F$6-$G$3,22))&lt;&gt;""),Algodão!$E17:INDEX(Algodão!$E17:$Z17,MIN(F$6-$G$3,22))),0)))))</f>
        <v>0</v>
      </c>
      <c r="G19" s="27" t="n">
        <f aca="false">IF(COUNT(Algodão!$E17:$Z17)=0,0,MAX(0,IF((G$6-$E$3)&lt;1,0,IFERROR(LOOKUP(2,1/(Algodão!$E17:INDEX(Algodão!$E17:$Z17,MIN(G$6-$E$3,22))&lt;&gt;""),Algodão!$E17:INDEX(Algodão!$E17:$Z17,MIN(G$6-$E$3,22))),0))-IF($G$2,0,IF((G$6-$G$3)&lt;1,0,IFERROR(LOOKUP(2,1/(Algodão!$E17:INDEX(Algodão!$E17:$Z17,MIN(G$6-$G$3,22))&lt;&gt;""),Algodão!$E17:INDEX(Algodão!$E17:$Z17,MIN(G$6-$G$3,22))),0)))))</f>
        <v>0</v>
      </c>
      <c r="H19" s="27" t="n">
        <f aca="false">IF(COUNT(Algodão!$E17:$Z17)=0,0,MAX(0,IF((H$6-$E$3)&lt;1,0,IFERROR(LOOKUP(2,1/(Algodão!$E17:INDEX(Algodão!$E17:$Z17,MIN(H$6-$E$3,22))&lt;&gt;""),Algodão!$E17:INDEX(Algodão!$E17:$Z17,MIN(H$6-$E$3,22))),0))-IF($G$2,0,IF((H$6-$G$3)&lt;1,0,IFERROR(LOOKUP(2,1/(Algodão!$E17:INDEX(Algodão!$E17:$Z17,MIN(H$6-$G$3,22))&lt;&gt;""),Algodão!$E17:INDEX(Algodão!$E17:$Z17,MIN(H$6-$G$3,22))),0)))))</f>
        <v>0</v>
      </c>
      <c r="I19" s="27" t="n">
        <f aca="false">IF(COUNT(Algodão!$E17:$Z17)=0,0,MAX(0,IF((I$6-$E$3)&lt;1,0,IFERROR(LOOKUP(2,1/(Algodão!$E17:INDEX(Algodão!$E17:$Z17,MIN(I$6-$E$3,22))&lt;&gt;""),Algodão!$E17:INDEX(Algodão!$E17:$Z17,MIN(I$6-$E$3,22))),0))-IF($G$2,0,IF((I$6-$G$3)&lt;1,0,IFERROR(LOOKUP(2,1/(Algodão!$E17:INDEX(Algodão!$E17:$Z17,MIN(I$6-$G$3,22))&lt;&gt;""),Algodão!$E17:INDEX(Algodão!$E17:$Z17,MIN(I$6-$G$3,22))),0)))))</f>
        <v>0</v>
      </c>
      <c r="J19" s="27" t="n">
        <f aca="false">IF(COUNT(Algodão!$E17:$Z17)=0,0,MAX(0,IF((J$6-$E$3)&lt;1,0,IFERROR(LOOKUP(2,1/(Algodão!$E17:INDEX(Algodão!$E17:$Z17,MIN(J$6-$E$3,22))&lt;&gt;""),Algodão!$E17:INDEX(Algodão!$E17:$Z17,MIN(J$6-$E$3,22))),0))-IF($G$2,0,IF((J$6-$G$3)&lt;1,0,IFERROR(LOOKUP(2,1/(Algodão!$E17:INDEX(Algodão!$E17:$Z17,MIN(J$6-$G$3,22))&lt;&gt;""),Algodão!$E17:INDEX(Algodão!$E17:$Z17,MIN(J$6-$G$3,22))),0)))))</f>
        <v>0</v>
      </c>
      <c r="K19" s="27" t="n">
        <f aca="false">IF(COUNT(Algodão!$E17:$Z17)=0,0,MAX(0,IF((K$6-$E$3)&lt;1,0,IFERROR(LOOKUP(2,1/(Algodão!$E17:INDEX(Algodão!$E17:$Z17,MIN(K$6-$E$3,22))&lt;&gt;""),Algodão!$E17:INDEX(Algodão!$E17:$Z17,MIN(K$6-$E$3,22))),0))-IF($G$2,0,IF((K$6-$G$3)&lt;1,0,IFERROR(LOOKUP(2,1/(Algodão!$E17:INDEX(Algodão!$E17:$Z17,MIN(K$6-$G$3,22))&lt;&gt;""),Algodão!$E17:INDEX(Algodão!$E17:$Z17,MIN(K$6-$G$3,22))),0)))))</f>
        <v>0</v>
      </c>
      <c r="L19" s="27" t="n">
        <f aca="false">IF(COUNT(Algodão!$E17:$Z17)=0,0,MAX(0,IF((L$6-$E$3)&lt;1,0,IFERROR(LOOKUP(2,1/(Algodão!$E17:INDEX(Algodão!$E17:$Z17,MIN(L$6-$E$3,22))&lt;&gt;""),Algodão!$E17:INDEX(Algodão!$E17:$Z17,MIN(L$6-$E$3,22))),0))-IF($G$2,0,IF((L$6-$G$3)&lt;1,0,IFERROR(LOOKUP(2,1/(Algodão!$E17:INDEX(Algodão!$E17:$Z17,MIN(L$6-$G$3,22))&lt;&gt;""),Algodão!$E17:INDEX(Algodão!$E17:$Z17,MIN(L$6-$G$3,22))),0)))))</f>
        <v>0</v>
      </c>
      <c r="M19" s="27" t="n">
        <f aca="false">IF(COUNT(Algodão!$E17:$Z17)=0,0,MAX(0,IF((M$6-$E$3)&lt;1,0,IFERROR(LOOKUP(2,1/(Algodão!$E17:INDEX(Algodão!$E17:$Z17,MIN(M$6-$E$3,22))&lt;&gt;""),Algodão!$E17:INDEX(Algodão!$E17:$Z17,MIN(M$6-$E$3,22))),0))-IF($G$2,0,IF((M$6-$G$3)&lt;1,0,IFERROR(LOOKUP(2,1/(Algodão!$E17:INDEX(Algodão!$E17:$Z17,MIN(M$6-$G$3,22))&lt;&gt;""),Algodão!$E17:INDEX(Algodão!$E17:$Z17,MIN(M$6-$G$3,22))),0)))))</f>
        <v>0</v>
      </c>
      <c r="N19" s="27" t="n">
        <f aca="false">IF(COUNT(Algodão!$E17:$Z17)=0,0,MAX(0,IF((N$6-$E$3)&lt;1,0,IFERROR(LOOKUP(2,1/(Algodão!$E17:INDEX(Algodão!$E17:$Z17,MIN(N$6-$E$3,22))&lt;&gt;""),Algodão!$E17:INDEX(Algodão!$E17:$Z17,MIN(N$6-$E$3,22))),0))-IF($G$2,0,IF((N$6-$G$3)&lt;1,0,IFERROR(LOOKUP(2,1/(Algodão!$E17:INDEX(Algodão!$E17:$Z17,MIN(N$6-$G$3,22))&lt;&gt;""),Algodão!$E17:INDEX(Algodão!$E17:$Z17,MIN(N$6-$G$3,22))),0)))))</f>
        <v>0</v>
      </c>
      <c r="O19" s="27" t="n">
        <f aca="false">IF(COUNT(Algodão!$E17:$Z17)=0,0,MAX(0,IF((O$6-$E$3)&lt;1,0,IFERROR(LOOKUP(2,1/(Algodão!$E17:INDEX(Algodão!$E17:$Z17,MIN(O$6-$E$3,22))&lt;&gt;""),Algodão!$E17:INDEX(Algodão!$E17:$Z17,MIN(O$6-$E$3,22))),0))-IF($G$2,0,IF((O$6-$G$3)&lt;1,0,IFERROR(LOOKUP(2,1/(Algodão!$E17:INDEX(Algodão!$E17:$Z17,MIN(O$6-$G$3,22))&lt;&gt;""),Algodão!$E17:INDEX(Algodão!$E17:$Z17,MIN(O$6-$G$3,22))),0)))))</f>
        <v>0</v>
      </c>
      <c r="P19" s="27" t="n">
        <f aca="false">IF(COUNT(Algodão!$E17:$Z17)=0,0,MAX(0,IF((P$6-$E$3)&lt;1,0,IFERROR(LOOKUP(2,1/(Algodão!$E17:INDEX(Algodão!$E17:$Z17,MIN(P$6-$E$3,22))&lt;&gt;""),Algodão!$E17:INDEX(Algodão!$E17:$Z17,MIN(P$6-$E$3,22))),0))-IF($G$2,0,IF((P$6-$G$3)&lt;1,0,IFERROR(LOOKUP(2,1/(Algodão!$E17:INDEX(Algodão!$E17:$Z17,MIN(P$6-$G$3,22))&lt;&gt;""),Algodão!$E17:INDEX(Algodão!$E17:$Z17,MIN(P$6-$G$3,22))),0)))))</f>
        <v>0</v>
      </c>
      <c r="Q19" s="27" t="n">
        <f aca="false">IF(COUNT(Algodão!$E17:$Z17)=0,0,MAX(0,IF((Q$6-$E$3)&lt;1,0,IFERROR(LOOKUP(2,1/(Algodão!$E17:INDEX(Algodão!$E17:$Z17,MIN(Q$6-$E$3,22))&lt;&gt;""),Algodão!$E17:INDEX(Algodão!$E17:$Z17,MIN(Q$6-$E$3,22))),0))-IF($G$2,0,IF((Q$6-$G$3)&lt;1,0,IFERROR(LOOKUP(2,1/(Algodão!$E17:INDEX(Algodão!$E17:$Z17,MIN(Q$6-$G$3,22))&lt;&gt;""),Algodão!$E17:INDEX(Algodão!$E17:$Z17,MIN(Q$6-$G$3,22))),0)))))</f>
        <v>0</v>
      </c>
      <c r="R19" s="27" t="n">
        <f aca="false">IF(COUNT(Algodão!$E17:$Z17)=0,0,MAX(0,IF((R$6-$E$3)&lt;1,0,IFERROR(LOOKUP(2,1/(Algodão!$E17:INDEX(Algodão!$E17:$Z17,MIN(R$6-$E$3,22))&lt;&gt;""),Algodão!$E17:INDEX(Algodão!$E17:$Z17,MIN(R$6-$E$3,22))),0))-IF($G$2,0,IF((R$6-$G$3)&lt;1,0,IFERROR(LOOKUP(2,1/(Algodão!$E17:INDEX(Algodão!$E17:$Z17,MIN(R$6-$G$3,22))&lt;&gt;""),Algodão!$E17:INDEX(Algodão!$E17:$Z17,MIN(R$6-$G$3,22))),0)))))</f>
        <v>0</v>
      </c>
      <c r="S19" s="27" t="n">
        <f aca="false">IF(COUNT(Algodão!$E17:$Z17)=0,0,MAX(0,IF((S$6-$E$3)&lt;1,0,IFERROR(LOOKUP(2,1/(Algodão!$E17:INDEX(Algodão!$E17:$Z17,MIN(S$6-$E$3,22))&lt;&gt;""),Algodão!$E17:INDEX(Algodão!$E17:$Z17,MIN(S$6-$E$3,22))),0))-IF($G$2,0,IF((S$6-$G$3)&lt;1,0,IFERROR(LOOKUP(2,1/(Algodão!$E17:INDEX(Algodão!$E17:$Z17,MIN(S$6-$G$3,22))&lt;&gt;""),Algodão!$E17:INDEX(Algodão!$E17:$Z17,MIN(S$6-$G$3,22))),0)))))</f>
        <v>0</v>
      </c>
      <c r="T19" s="27" t="n">
        <f aca="false">IF(COUNT(Algodão!$E17:$Z17)=0,0,MAX(0,IF((T$6-$E$3)&lt;1,0,IFERROR(LOOKUP(2,1/(Algodão!$E17:INDEX(Algodão!$E17:$Z17,MIN(T$6-$E$3,22))&lt;&gt;""),Algodão!$E17:INDEX(Algodão!$E17:$Z17,MIN(T$6-$E$3,22))),0))-IF($G$2,0,IF((T$6-$G$3)&lt;1,0,IFERROR(LOOKUP(2,1/(Algodão!$E17:INDEX(Algodão!$E17:$Z17,MIN(T$6-$G$3,22))&lt;&gt;""),Algodão!$E17:INDEX(Algodão!$E17:$Z17,MIN(T$6-$G$3,22))),0)))))</f>
        <v>0</v>
      </c>
      <c r="U19" s="27" t="n">
        <f aca="false">IF(COUNT(Algodão!$E17:$Z17)=0,0,MAX(0,IF((U$6-$E$3)&lt;1,0,IFERROR(LOOKUP(2,1/(Algodão!$E17:INDEX(Algodão!$E17:$Z17,MIN(U$6-$E$3,22))&lt;&gt;""),Algodão!$E17:INDEX(Algodão!$E17:$Z17,MIN(U$6-$E$3,22))),0))-IF($G$2,0,IF((U$6-$G$3)&lt;1,0,IFERROR(LOOKUP(2,1/(Algodão!$E17:INDEX(Algodão!$E17:$Z17,MIN(U$6-$G$3,22))&lt;&gt;""),Algodão!$E17:INDEX(Algodão!$E17:$Z17,MIN(U$6-$G$3,22))),0)))))</f>
        <v>0</v>
      </c>
      <c r="V19" s="27" t="n">
        <f aca="false">IF(COUNT(Algodão!$E17:$Z17)=0,0,MAX(0,IF((V$6-$E$3)&lt;1,0,IFERROR(LOOKUP(2,1/(Algodão!$E17:INDEX(Algodão!$E17:$Z17,MIN(V$6-$E$3,22))&lt;&gt;""),Algodão!$E17:INDEX(Algodão!$E17:$Z17,MIN(V$6-$E$3,22))),0))-IF($G$2,0,IF((V$6-$G$3)&lt;1,0,IFERROR(LOOKUP(2,1/(Algodão!$E17:INDEX(Algodão!$E17:$Z17,MIN(V$6-$G$3,22))&lt;&gt;""),Algodão!$E17:INDEX(Algodão!$E17:$Z17,MIN(V$6-$G$3,22))),0)))))</f>
        <v>0</v>
      </c>
      <c r="W19" s="27" t="n">
        <f aca="false">IF(COUNT(Algodão!$E17:$Z17)=0,0,MAX(0,IF((W$6-$E$3)&lt;1,0,IFERROR(LOOKUP(2,1/(Algodão!$E17:INDEX(Algodão!$E17:$Z17,MIN(W$6-$E$3,22))&lt;&gt;""),Algodão!$E17:INDEX(Algodão!$E17:$Z17,MIN(W$6-$E$3,22))),0))-IF($G$2,0,IF((W$6-$G$3)&lt;1,0,IFERROR(LOOKUP(2,1/(Algodão!$E17:INDEX(Algodão!$E17:$Z17,MIN(W$6-$G$3,22))&lt;&gt;""),Algodão!$E17:INDEX(Algodão!$E17:$Z17,MIN(W$6-$G$3,22))),0)))))</f>
        <v>0</v>
      </c>
      <c r="X19" s="27" t="n">
        <f aca="false">IF(COUNT(Algodão!$E17:$Z17)=0,0,MAX(0,IF((X$6-$E$3)&lt;1,0,IFERROR(LOOKUP(2,1/(Algodão!$E17:INDEX(Algodão!$E17:$Z17,MIN(X$6-$E$3,22))&lt;&gt;""),Algodão!$E17:INDEX(Algodão!$E17:$Z17,MIN(X$6-$E$3,22))),0))-IF($G$2,0,IF((X$6-$G$3)&lt;1,0,IFERROR(LOOKUP(2,1/(Algodão!$E17:INDEX(Algodão!$E17:$Z17,MIN(X$6-$G$3,22))&lt;&gt;""),Algodão!$E17:INDEX(Algodão!$E17:$Z17,MIN(X$6-$G$3,22))),0)))))</f>
        <v>0</v>
      </c>
      <c r="Y19" s="27" t="n">
        <f aca="false">IF(COUNT(Algodão!$E17:$Z17)=0,0,MAX(0,IF((Y$6-$E$3)&lt;1,0,IFERROR(LOOKUP(2,1/(Algodão!$E17:INDEX(Algodão!$E17:$Z17,MIN(Y$6-$E$3,22))&lt;&gt;""),Algodão!$E17:INDEX(Algodão!$E17:$Z17,MIN(Y$6-$E$3,22))),0))-IF($G$2,0,IF((Y$6-$G$3)&lt;1,0,IFERROR(LOOKUP(2,1/(Algodão!$E17:INDEX(Algodão!$E17:$Z17,MIN(Y$6-$G$3,22))&lt;&gt;""),Algodão!$E17:INDEX(Algodão!$E17:$Z17,MIN(Y$6-$G$3,22))),0)))))</f>
        <v>0</v>
      </c>
      <c r="Z19" s="27" t="n">
        <f aca="false">IF(COUNT(Algodão!$E17:$Z17)=0,0,MAX(0,IF((Z$6-$E$3)&lt;1,0,IFERROR(LOOKUP(2,1/(Algodão!$E17:INDEX(Algodão!$E17:$Z17,MIN(Z$6-$E$3,22))&lt;&gt;""),Algodão!$E17:INDEX(Algodão!$E17:$Z17,MIN(Z$6-$E$3,22))),0))-IF($G$2,0,IF((Z$6-$G$3)&lt;1,0,IFERROR(LOOKUP(2,1/(Algodão!$E17:INDEX(Algodão!$E17:$Z17,MIN(Z$6-$G$3,22))&lt;&gt;""),Algodão!$E17:INDEX(Algodão!$E17:$Z17,MIN(Z$6-$G$3,22))),0)))))</f>
        <v>0</v>
      </c>
      <c r="AA19" s="27" t="n">
        <f aca="false">IF(COUNT(Algodão!$E17:$Z17)=0,0,MAX(0,IF((AA$6-$E$3)&lt;1,0,IFERROR(LOOKUP(2,1/(Algodão!$E17:INDEX(Algodão!$E17:$Z17,MIN(AA$6-$E$3,22))&lt;&gt;""),Algodão!$E17:INDEX(Algodão!$E17:$Z17,MIN(AA$6-$E$3,22))),0))-IF($G$2,0,IF((AA$6-$G$3)&lt;1,0,IFERROR(LOOKUP(2,1/(Algodão!$E17:INDEX(Algodão!$E17:$Z17,MIN(AA$6-$G$3,22))&lt;&gt;""),Algodão!$E17:INDEX(Algodão!$E17:$Z17,MIN(AA$6-$G$3,22))),0)))))</f>
        <v>0</v>
      </c>
      <c r="AB19" s="27" t="n">
        <f aca="false">IF(COUNT(Algodão!$E17:$Z17)=0,0,MAX(0,IF((AB$6-$E$3)&lt;1,0,IFERROR(LOOKUP(2,1/(Algodão!$E17:INDEX(Algodão!$E17:$Z17,MIN(AB$6-$E$3,22))&lt;&gt;""),Algodão!$E17:INDEX(Algodão!$E17:$Z17,MIN(AB$6-$E$3,22))),0))-IF($G$2,0,IF((AB$6-$G$3)&lt;1,0,IFERROR(LOOKUP(2,1/(Algodão!$E17:INDEX(Algodão!$E17:$Z17,MIN(AB$6-$G$3,22))&lt;&gt;""),Algodão!$E17:INDEX(Algodão!$E17:$Z17,MIN(AB$6-$G$3,22))),0)))))</f>
        <v>0</v>
      </c>
      <c r="AC19" s="27" t="n">
        <f aca="false">IF(COUNT(Algodão!$E17:$Z17)=0,0,MAX(0,IF((AC$6-$E$3)&lt;1,0,IFERROR(LOOKUP(2,1/(Algodão!$E17:INDEX(Algodão!$E17:$Z17,MIN(AC$6-$E$3,22))&lt;&gt;""),Algodão!$E17:INDEX(Algodão!$E17:$Z17,MIN(AC$6-$E$3,22))),0))-IF($G$2,0,IF((AC$6-$G$3)&lt;1,0,IFERROR(LOOKUP(2,1/(Algodão!$E17:INDEX(Algodão!$E17:$Z17,MIN(AC$6-$G$3,22))&lt;&gt;""),Algodão!$E17:INDEX(Algodão!$E17:$Z17,MIN(AC$6-$G$3,22))),0)))))</f>
        <v>0</v>
      </c>
      <c r="AD19" s="27" t="n">
        <f aca="false">IF(COUNT(Algodão!$E17:$Z17)=0,0,MAX(0,IF((AD$6-$E$3)&lt;1,0,IFERROR(LOOKUP(2,1/(Algodão!$E17:INDEX(Algodão!$E17:$Z17,MIN(AD$6-$E$3,22))&lt;&gt;""),Algodão!$E17:INDEX(Algodão!$E17:$Z17,MIN(AD$6-$E$3,22))),0))-IF($G$2,0,IF((AD$6-$G$3)&lt;1,0,IFERROR(LOOKUP(2,1/(Algodão!$E17:INDEX(Algodão!$E17:$Z17,MIN(AD$6-$G$3,22))&lt;&gt;""),Algodão!$E17:INDEX(Algodão!$E17:$Z17,MIN(AD$6-$G$3,22))),0)))))</f>
        <v>0</v>
      </c>
      <c r="AE19" s="27" t="n">
        <f aca="false">IF(COUNT(Algodão!$E17:$Z17)=0,0,MAX(0,IF((AE$6-$E$3)&lt;1,0,IFERROR(LOOKUP(2,1/(Algodão!$E17:INDEX(Algodão!$E17:$Z17,MIN(AE$6-$E$3,22))&lt;&gt;""),Algodão!$E17:INDEX(Algodão!$E17:$Z17,MIN(AE$6-$E$3,22))),0))-IF($G$2,0,IF((AE$6-$G$3)&lt;1,0,IFERROR(LOOKUP(2,1/(Algodão!$E17:INDEX(Algodão!$E17:$Z17,MIN(AE$6-$G$3,22))&lt;&gt;""),Algodão!$E17:INDEX(Algodão!$E17:$Z17,MIN(AE$6-$G$3,22))),0)))))</f>
        <v>0</v>
      </c>
      <c r="AF19" s="27" t="n">
        <f aca="false">IF(COUNT(Algodão!$E17:$Z17)=0,0,MAX(0,IF((AF$6-$E$3)&lt;1,0,IFERROR(LOOKUP(2,1/(Algodão!$E17:INDEX(Algodão!$E17:$Z17,MIN(AF$6-$E$3,22))&lt;&gt;""),Algodão!$E17:INDEX(Algodão!$E17:$Z17,MIN(AF$6-$E$3,22))),0))-IF($G$2,0,IF((AF$6-$G$3)&lt;1,0,IFERROR(LOOKUP(2,1/(Algodão!$E17:INDEX(Algodão!$E17:$Z17,MIN(AF$6-$G$3,22))&lt;&gt;""),Algodão!$E17:INDEX(Algodão!$E17:$Z17,MIN(AF$6-$G$3,22))),0)))))</f>
        <v>0</v>
      </c>
      <c r="AG19" s="27" t="n">
        <f aca="false">IF(COUNT(Algodão!$E17:$Z17)=0,0,MAX(0,IF((AG$6-$E$3)&lt;1,0,IFERROR(LOOKUP(2,1/(Algodão!$E17:INDEX(Algodão!$E17:$Z17,MIN(AG$6-$E$3,22))&lt;&gt;""),Algodão!$E17:INDEX(Algodão!$E17:$Z17,MIN(AG$6-$E$3,22))),0))-IF($G$2,0,IF((AG$6-$G$3)&lt;1,0,IFERROR(LOOKUP(2,1/(Algodão!$E17:INDEX(Algodão!$E17:$Z17,MIN(AG$6-$G$3,22))&lt;&gt;""),Algodão!$E17:INDEX(Algodão!$E17:$Z17,MIN(AG$6-$G$3,22))),0)))))</f>
        <v>0</v>
      </c>
      <c r="AH19" s="27" t="n">
        <f aca="false">IF(COUNT(Algodão!$E17:$Z17)=0,0,MAX(0,IF((AH$6-$E$3)&lt;1,0,IFERROR(LOOKUP(2,1/(Algodão!$E17:INDEX(Algodão!$E17:$Z17,MIN(AH$6-$E$3,22))&lt;&gt;""),Algodão!$E17:INDEX(Algodão!$E17:$Z17,MIN(AH$6-$E$3,22))),0))-IF($G$2,0,IF((AH$6-$G$3)&lt;1,0,IFERROR(LOOKUP(2,1/(Algodão!$E17:INDEX(Algodão!$E17:$Z17,MIN(AH$6-$G$3,22))&lt;&gt;""),Algodão!$E17:INDEX(Algodão!$E17:$Z17,MIN(AH$6-$G$3,22))),0)))))</f>
        <v>0</v>
      </c>
      <c r="AI19" s="27" t="n">
        <f aca="false">IF(COUNT(Algodão!$E17:$Z17)=0,0,MAX(0,IF((AI$6-$E$3)&lt;1,0,IFERROR(LOOKUP(2,1/(Algodão!$E17:INDEX(Algodão!$E17:$Z17,MIN(AI$6-$E$3,22))&lt;&gt;""),Algodão!$E17:INDEX(Algodão!$E17:$Z17,MIN(AI$6-$E$3,22))),0))-IF($G$2,0,IF((AI$6-$G$3)&lt;1,0,IFERROR(LOOKUP(2,1/(Algodão!$E17:INDEX(Algodão!$E17:$Z17,MIN(AI$6-$G$3,22))&lt;&gt;""),Algodão!$E17:INDEX(Algodão!$E17:$Z17,MIN(AI$6-$G$3,22))),0)))))</f>
        <v>0</v>
      </c>
      <c r="AJ19" s="27" t="n">
        <f aca="false">IF(COUNT(Algodão!$E17:$Z17)=0,0,MAX(0,IF((AJ$6-$E$3)&lt;1,0,IFERROR(LOOKUP(2,1/(Algodão!$E17:INDEX(Algodão!$E17:$Z17,MIN(AJ$6-$E$3,22))&lt;&gt;""),Algodão!$E17:INDEX(Algodão!$E17:$Z17,MIN(AJ$6-$E$3,22))),0))-IF($G$2,0,IF((AJ$6-$G$3)&lt;1,0,IFERROR(LOOKUP(2,1/(Algodão!$E17:INDEX(Algodão!$E17:$Z17,MIN(AJ$6-$G$3,22))&lt;&gt;""),Algodão!$E17:INDEX(Algodão!$E17:$Z17,MIN(AJ$6-$G$3,22))),0)))))</f>
        <v>0</v>
      </c>
      <c r="AK19" s="27" t="n">
        <f aca="false">IF(COUNT(Algodão!$E17:$Z17)=0,0,MAX(0,IF((AK$6-$E$3)&lt;1,0,IFERROR(LOOKUP(2,1/(Algodão!$E17:INDEX(Algodão!$E17:$Z17,MIN(AK$6-$E$3,22))&lt;&gt;""),Algodão!$E17:INDEX(Algodão!$E17:$Z17,MIN(AK$6-$E$3,22))),0))-IF($G$2,0,IF((AK$6-$G$3)&lt;1,0,IFERROR(LOOKUP(2,1/(Algodão!$E17:INDEX(Algodão!$E17:$Z17,MIN(AK$6-$G$3,22))&lt;&gt;""),Algodão!$E17:INDEX(Algodão!$E17:$Z17,MIN(AK$6-$G$3,22))),0)))))</f>
        <v>0</v>
      </c>
      <c r="AL19" s="27" t="n">
        <f aca="false">IF(COUNT(Algodão!$E17:$Z17)=0,0,MAX(0,IF((AL$6-$E$3)&lt;1,0,IFERROR(LOOKUP(2,1/(Algodão!$E17:INDEX(Algodão!$E17:$Z17,MIN(AL$6-$E$3,22))&lt;&gt;""),Algodão!$E17:INDEX(Algodão!$E17:$Z17,MIN(AL$6-$E$3,22))),0))-IF($G$2,0,IF((AL$6-$G$3)&lt;1,0,IFERROR(LOOKUP(2,1/(Algodão!$E17:INDEX(Algodão!$E17:$Z17,MIN(AL$6-$G$3,22))&lt;&gt;""),Algodão!$E17:INDEX(Algodão!$E17:$Z17,MIN(AL$6-$G$3,22))),0)))))</f>
        <v>0</v>
      </c>
      <c r="AM19" s="27" t="n">
        <f aca="false">IF(COUNT(Algodão!$E17:$Z17)=0,0,MAX(0,IF((AM$6-$E$3)&lt;1,0,IFERROR(LOOKUP(2,1/(Algodão!$E17:INDEX(Algodão!$E17:$Z17,MIN(AM$6-$E$3,22))&lt;&gt;""),Algodão!$E17:INDEX(Algodão!$E17:$Z17,MIN(AM$6-$E$3,22))),0))-IF($G$2,0,IF((AM$6-$G$3)&lt;1,0,IFERROR(LOOKUP(2,1/(Algodão!$E17:INDEX(Algodão!$E17:$Z17,MIN(AM$6-$G$3,22))&lt;&gt;""),Algodão!$E17:INDEX(Algodão!$E17:$Z17,MIN(AM$6-$G$3,22))),0)))))</f>
        <v>0</v>
      </c>
      <c r="AN19" s="27" t="n">
        <f aca="false">IF(COUNT(Algodão!$E17:$Z17)=0,0,MAX(0,IF((AN$6-$E$3)&lt;1,0,IFERROR(LOOKUP(2,1/(Algodão!$E17:INDEX(Algodão!$E17:$Z17,MIN(AN$6-$E$3,22))&lt;&gt;""),Algodão!$E17:INDEX(Algodão!$E17:$Z17,MIN(AN$6-$E$3,22))),0))-IF($G$2,0,IF((AN$6-$G$3)&lt;1,0,IFERROR(LOOKUP(2,1/(Algodão!$E17:INDEX(Algodão!$E17:$Z17,MIN(AN$6-$G$3,22))&lt;&gt;""),Algodão!$E17:INDEX(Algodão!$E17:$Z17,MIN(AN$6-$G$3,22))),0)))))</f>
        <v>0</v>
      </c>
      <c r="AO19" s="27" t="n">
        <f aca="false">IF(COUNT(Algodão!$E17:$Z17)=0,0,MAX(0,IF((AO$6-$E$3)&lt;1,0,IFERROR(LOOKUP(2,1/(Algodão!$E17:INDEX(Algodão!$E17:$Z17,MIN(AO$6-$E$3,22))&lt;&gt;""),Algodão!$E17:INDEX(Algodão!$E17:$Z17,MIN(AO$6-$E$3,22))),0))-IF($G$2,0,IF((AO$6-$G$3)&lt;1,0,IFERROR(LOOKUP(2,1/(Algodão!$E17:INDEX(Algodão!$E17:$Z17,MIN(AO$6-$G$3,22))&lt;&gt;""),Algodão!$E17:INDEX(Algodão!$E17:$Z17,MIN(AO$6-$G$3,22))),0)))))</f>
        <v>0</v>
      </c>
      <c r="AP19" s="27" t="n">
        <f aca="false">IF(COUNT(Algodão!$E17:$Z17)=0,0,MAX(0,IF((AP$6-$E$3)&lt;1,0,IFERROR(LOOKUP(2,1/(Algodão!$E17:INDEX(Algodão!$E17:$Z17,MIN(AP$6-$E$3,22))&lt;&gt;""),Algodão!$E17:INDEX(Algodão!$E17:$Z17,MIN(AP$6-$E$3,22))),0))-IF($G$2,0,IF((AP$6-$G$3)&lt;1,0,IFERROR(LOOKUP(2,1/(Algodão!$E17:INDEX(Algodão!$E17:$Z17,MIN(AP$6-$G$3,22))&lt;&gt;""),Algodão!$E17:INDEX(Algodão!$E17:$Z17,MIN(AP$6-$G$3,22))),0)))))</f>
        <v>0</v>
      </c>
      <c r="AQ19" s="27" t="n">
        <f aca="false">IF(COUNT(Algodão!$E17:$Z17)=0,0,MAX(0,IF((AQ$6-$E$3)&lt;1,0,IFERROR(LOOKUP(2,1/(Algodão!$E17:INDEX(Algodão!$E17:$Z17,MIN(AQ$6-$E$3,22))&lt;&gt;""),Algodão!$E17:INDEX(Algodão!$E17:$Z17,MIN(AQ$6-$E$3,22))),0))-IF($G$2,0,IF((AQ$6-$G$3)&lt;1,0,IFERROR(LOOKUP(2,1/(Algodão!$E17:INDEX(Algodão!$E17:$Z17,MIN(AQ$6-$G$3,22))&lt;&gt;""),Algodão!$E17:INDEX(Algodão!$E17:$Z17,MIN(AQ$6-$G$3,22))),0)))))</f>
        <v>0</v>
      </c>
      <c r="AR19" s="27" t="n">
        <f aca="false">IF(COUNT(Algodão!$E17:$Z17)=0,0,MAX(0,IF((AR$6-$E$3)&lt;1,0,IFERROR(LOOKUP(2,1/(Algodão!$E17:INDEX(Algodão!$E17:$Z17,MIN(AR$6-$E$3,22))&lt;&gt;""),Algodão!$E17:INDEX(Algodão!$E17:$Z17,MIN(AR$6-$E$3,22))),0))-IF($G$2,0,IF((AR$6-$G$3)&lt;1,0,IFERROR(LOOKUP(2,1/(Algodão!$E17:INDEX(Algodão!$E17:$Z17,MIN(AR$6-$G$3,22))&lt;&gt;""),Algodão!$E17:INDEX(Algodão!$E17:$Z17,MIN(AR$6-$G$3,22))),0)))))</f>
        <v>0</v>
      </c>
      <c r="AS19" s="27" t="n">
        <f aca="false">IF(COUNT(Algodão!$E17:$Z17)=0,0,MAX(0,IF((AS$6-$E$3)&lt;1,0,IFERROR(LOOKUP(2,1/(Algodão!$E17:INDEX(Algodão!$E17:$Z17,MIN(AS$6-$E$3,22))&lt;&gt;""),Algodão!$E17:INDEX(Algodão!$E17:$Z17,MIN(AS$6-$E$3,22))),0))-IF($G$2,0,IF((AS$6-$G$3)&lt;1,0,IFERROR(LOOKUP(2,1/(Algodão!$E17:INDEX(Algodão!$E17:$Z17,MIN(AS$6-$G$3,22))&lt;&gt;""),Algodão!$E17:INDEX(Algodão!$E17:$Z17,MIN(AS$6-$G$3,22))),0)))))</f>
        <v>0</v>
      </c>
      <c r="AT19" s="27" t="n">
        <f aca="false">IF(COUNT(Algodão!$E17:$Z17)=0,0,MAX(0,IF((AT$6-$E$3)&lt;1,0,IFERROR(LOOKUP(2,1/(Algodão!$E17:INDEX(Algodão!$E17:$Z17,MIN(AT$6-$E$3,22))&lt;&gt;""),Algodão!$E17:INDEX(Algodão!$E17:$Z17,MIN(AT$6-$E$3,22))),0))-IF($G$2,0,IF((AT$6-$G$3)&lt;1,0,IFERROR(LOOKUP(2,1/(Algodão!$E17:INDEX(Algodão!$E17:$Z17,MIN(AT$6-$G$3,22))&lt;&gt;""),Algodão!$E17:INDEX(Algodão!$E17:$Z17,MIN(AT$6-$G$3,22))),0)))))</f>
        <v>0</v>
      </c>
      <c r="AU19" s="27" t="n">
        <f aca="false">IF(COUNT(Algodão!$E17:$Z17)=0,0,MAX(0,IF((AU$6-$E$3)&lt;1,0,IFERROR(LOOKUP(2,1/(Algodão!$E17:INDEX(Algodão!$E17:$Z17,MIN(AU$6-$E$3,22))&lt;&gt;""),Algodão!$E17:INDEX(Algodão!$E17:$Z17,MIN(AU$6-$E$3,22))),0))-IF($G$2,0,IF((AU$6-$G$3)&lt;1,0,IFERROR(LOOKUP(2,1/(Algodão!$E17:INDEX(Algodão!$E17:$Z17,MIN(AU$6-$G$3,22))&lt;&gt;""),Algodão!$E17:INDEX(Algodão!$E17:$Z17,MIN(AU$6-$G$3,22))),0)))))</f>
        <v>0</v>
      </c>
      <c r="AV19" s="27" t="n">
        <f aca="false">IF(COUNT(Algodão!$E17:$Z17)=0,0,MAX(0,IF((AV$6-$E$3)&lt;1,0,IFERROR(LOOKUP(2,1/(Algodão!$E17:INDEX(Algodão!$E17:$Z17,MIN(AV$6-$E$3,22))&lt;&gt;""),Algodão!$E17:INDEX(Algodão!$E17:$Z17,MIN(AV$6-$E$3,22))),0))-IF($G$2,0,IF((AV$6-$G$3)&lt;1,0,IFERROR(LOOKUP(2,1/(Algodão!$E17:INDEX(Algodão!$E17:$Z17,MIN(AV$6-$G$3,22))&lt;&gt;""),Algodão!$E17:INDEX(Algodão!$E17:$Z17,MIN(AV$6-$G$3,22))),0)))))</f>
        <v>0</v>
      </c>
      <c r="AW19" s="27" t="n">
        <f aca="false">IF(COUNT(Algodão!$E17:$Z17)=0,0,MAX(0,IF((AW$6-$E$3)&lt;1,0,IFERROR(LOOKUP(2,1/(Algodão!$E17:INDEX(Algodão!$E17:$Z17,MIN(AW$6-$E$3,22))&lt;&gt;""),Algodão!$E17:INDEX(Algodão!$E17:$Z17,MIN(AW$6-$E$3,22))),0))-IF($G$2,0,IF((AW$6-$G$3)&lt;1,0,IFERROR(LOOKUP(2,1/(Algodão!$E17:INDEX(Algodão!$E17:$Z17,MIN(AW$6-$G$3,22))&lt;&gt;""),Algodão!$E17:INDEX(Algodão!$E17:$Z17,MIN(AW$6-$G$3,22))),0)))))</f>
        <v>0</v>
      </c>
      <c r="AX19" s="27" t="n">
        <f aca="false">IF(COUNT(Algodão!$E17:$Z17)=0,0,MAX(0,IF((AX$6-$E$3)&lt;1,0,IFERROR(LOOKUP(2,1/(Algodão!$E17:INDEX(Algodão!$E17:$Z17,MIN(AX$6-$E$3,22))&lt;&gt;""),Algodão!$E17:INDEX(Algodão!$E17:$Z17,MIN(AX$6-$E$3,22))),0))-IF($G$2,0,IF((AX$6-$G$3)&lt;1,0,IFERROR(LOOKUP(2,1/(Algodão!$E17:INDEX(Algodão!$E17:$Z17,MIN(AX$6-$G$3,22))&lt;&gt;""),Algodão!$E17:INDEX(Algodão!$E17:$Z17,MIN(AX$6-$G$3,22))),0)))))</f>
        <v>0</v>
      </c>
      <c r="AY19" s="27" t="n">
        <f aca="false">IF(COUNT(Algodão!$E17:$Z17)=0,0,MAX(0,IF((AY$6-$E$3)&lt;1,0,IFERROR(LOOKUP(2,1/(Algodão!$E17:INDEX(Algodão!$E17:$Z17,MIN(AY$6-$E$3,22))&lt;&gt;""),Algodão!$E17:INDEX(Algodão!$E17:$Z17,MIN(AY$6-$E$3,22))),0))-IF($G$2,0,IF((AY$6-$G$3)&lt;1,0,IFERROR(LOOKUP(2,1/(Algodão!$E17:INDEX(Algodão!$E17:$Z17,MIN(AY$6-$G$3,22))&lt;&gt;""),Algodão!$E17:INDEX(Algodão!$E17:$Z17,MIN(AY$6-$G$3,22))),0)))))</f>
        <v>0</v>
      </c>
      <c r="AZ19" s="27" t="n">
        <f aca="false">IF(COUNT(Algodão!$E17:$Z17)=0,0,MAX(0,IF((AZ$6-$E$3)&lt;1,0,IFERROR(LOOKUP(2,1/(Algodão!$E17:INDEX(Algodão!$E17:$Z17,MIN(AZ$6-$E$3,22))&lt;&gt;""),Algodão!$E17:INDEX(Algodão!$E17:$Z17,MIN(AZ$6-$E$3,22))),0))-IF($G$2,0,IF((AZ$6-$G$3)&lt;1,0,IFERROR(LOOKUP(2,1/(Algodão!$E17:INDEX(Algodão!$E17:$Z17,MIN(AZ$6-$G$3,22))&lt;&gt;""),Algodão!$E17:INDEX(Algodão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IF(COUNT(Algodão!$E18:$Z18)&gt;0,N(Algodão!$D18),0)</f>
        <v>0</v>
      </c>
      <c r="E20" s="27" t="n">
        <f aca="false">IF(COUNT(Algodão!$E18:$Z18)=0,0,MAX(0,IF((E$6-$E$3)&lt;1,0,IFERROR(LOOKUP(2,1/(Algodão!$E18:INDEX(Algodão!$E18:$Z18,MIN(E$6-$E$3,22))&lt;&gt;""),Algodão!$E18:INDEX(Algodão!$E18:$Z18,MIN(E$6-$E$3,22))),0))-IF($G$2,0,IF((E$6-$G$3)&lt;1,0,IFERROR(LOOKUP(2,1/(Algodão!$E18:INDEX(Algodão!$E18:$Z18,MIN(E$6-$G$3,22))&lt;&gt;""),Algodão!$E18:INDEX(Algodão!$E18:$Z18,MIN(E$6-$G$3,22))),0)))))</f>
        <v>0</v>
      </c>
      <c r="F20" s="27" t="n">
        <f aca="false">IF(COUNT(Algodão!$E18:$Z18)=0,0,MAX(0,IF((F$6-$E$3)&lt;1,0,IFERROR(LOOKUP(2,1/(Algodão!$E18:INDEX(Algodão!$E18:$Z18,MIN(F$6-$E$3,22))&lt;&gt;""),Algodão!$E18:INDEX(Algodão!$E18:$Z18,MIN(F$6-$E$3,22))),0))-IF($G$2,0,IF((F$6-$G$3)&lt;1,0,IFERROR(LOOKUP(2,1/(Algodão!$E18:INDEX(Algodão!$E18:$Z18,MIN(F$6-$G$3,22))&lt;&gt;""),Algodão!$E18:INDEX(Algodão!$E18:$Z18,MIN(F$6-$G$3,22))),0)))))</f>
        <v>0</v>
      </c>
      <c r="G20" s="27" t="n">
        <f aca="false">IF(COUNT(Algodão!$E18:$Z18)=0,0,MAX(0,IF((G$6-$E$3)&lt;1,0,IFERROR(LOOKUP(2,1/(Algodão!$E18:INDEX(Algodão!$E18:$Z18,MIN(G$6-$E$3,22))&lt;&gt;""),Algodão!$E18:INDEX(Algodão!$E18:$Z18,MIN(G$6-$E$3,22))),0))-IF($G$2,0,IF((G$6-$G$3)&lt;1,0,IFERROR(LOOKUP(2,1/(Algodão!$E18:INDEX(Algodão!$E18:$Z18,MIN(G$6-$G$3,22))&lt;&gt;""),Algodão!$E18:INDEX(Algodão!$E18:$Z18,MIN(G$6-$G$3,22))),0)))))</f>
        <v>0</v>
      </c>
      <c r="H20" s="27" t="n">
        <f aca="false">IF(COUNT(Algodão!$E18:$Z18)=0,0,MAX(0,IF((H$6-$E$3)&lt;1,0,IFERROR(LOOKUP(2,1/(Algodão!$E18:INDEX(Algodão!$E18:$Z18,MIN(H$6-$E$3,22))&lt;&gt;""),Algodão!$E18:INDEX(Algodão!$E18:$Z18,MIN(H$6-$E$3,22))),0))-IF($G$2,0,IF((H$6-$G$3)&lt;1,0,IFERROR(LOOKUP(2,1/(Algodão!$E18:INDEX(Algodão!$E18:$Z18,MIN(H$6-$G$3,22))&lt;&gt;""),Algodão!$E18:INDEX(Algodão!$E18:$Z18,MIN(H$6-$G$3,22))),0)))))</f>
        <v>0</v>
      </c>
      <c r="I20" s="27" t="n">
        <f aca="false">IF(COUNT(Algodão!$E18:$Z18)=0,0,MAX(0,IF((I$6-$E$3)&lt;1,0,IFERROR(LOOKUP(2,1/(Algodão!$E18:INDEX(Algodão!$E18:$Z18,MIN(I$6-$E$3,22))&lt;&gt;""),Algodão!$E18:INDEX(Algodão!$E18:$Z18,MIN(I$6-$E$3,22))),0))-IF($G$2,0,IF((I$6-$G$3)&lt;1,0,IFERROR(LOOKUP(2,1/(Algodão!$E18:INDEX(Algodão!$E18:$Z18,MIN(I$6-$G$3,22))&lt;&gt;""),Algodão!$E18:INDEX(Algodão!$E18:$Z18,MIN(I$6-$G$3,22))),0)))))</f>
        <v>0</v>
      </c>
      <c r="J20" s="27" t="n">
        <f aca="false">IF(COUNT(Algodão!$E18:$Z18)=0,0,MAX(0,IF((J$6-$E$3)&lt;1,0,IFERROR(LOOKUP(2,1/(Algodão!$E18:INDEX(Algodão!$E18:$Z18,MIN(J$6-$E$3,22))&lt;&gt;""),Algodão!$E18:INDEX(Algodão!$E18:$Z18,MIN(J$6-$E$3,22))),0))-IF($G$2,0,IF((J$6-$G$3)&lt;1,0,IFERROR(LOOKUP(2,1/(Algodão!$E18:INDEX(Algodão!$E18:$Z18,MIN(J$6-$G$3,22))&lt;&gt;""),Algodão!$E18:INDEX(Algodão!$E18:$Z18,MIN(J$6-$G$3,22))),0)))))</f>
        <v>0</v>
      </c>
      <c r="K20" s="27" t="n">
        <f aca="false">IF(COUNT(Algodão!$E18:$Z18)=0,0,MAX(0,IF((K$6-$E$3)&lt;1,0,IFERROR(LOOKUP(2,1/(Algodão!$E18:INDEX(Algodão!$E18:$Z18,MIN(K$6-$E$3,22))&lt;&gt;""),Algodão!$E18:INDEX(Algodão!$E18:$Z18,MIN(K$6-$E$3,22))),0))-IF($G$2,0,IF((K$6-$G$3)&lt;1,0,IFERROR(LOOKUP(2,1/(Algodão!$E18:INDEX(Algodão!$E18:$Z18,MIN(K$6-$G$3,22))&lt;&gt;""),Algodão!$E18:INDEX(Algodão!$E18:$Z18,MIN(K$6-$G$3,22))),0)))))</f>
        <v>0</v>
      </c>
      <c r="L20" s="27" t="n">
        <f aca="false">IF(COUNT(Algodão!$E18:$Z18)=0,0,MAX(0,IF((L$6-$E$3)&lt;1,0,IFERROR(LOOKUP(2,1/(Algodão!$E18:INDEX(Algodão!$E18:$Z18,MIN(L$6-$E$3,22))&lt;&gt;""),Algodão!$E18:INDEX(Algodão!$E18:$Z18,MIN(L$6-$E$3,22))),0))-IF($G$2,0,IF((L$6-$G$3)&lt;1,0,IFERROR(LOOKUP(2,1/(Algodão!$E18:INDEX(Algodão!$E18:$Z18,MIN(L$6-$G$3,22))&lt;&gt;""),Algodão!$E18:INDEX(Algodão!$E18:$Z18,MIN(L$6-$G$3,22))),0)))))</f>
        <v>0</v>
      </c>
      <c r="M20" s="27" t="n">
        <f aca="false">IF(COUNT(Algodão!$E18:$Z18)=0,0,MAX(0,IF((M$6-$E$3)&lt;1,0,IFERROR(LOOKUP(2,1/(Algodão!$E18:INDEX(Algodão!$E18:$Z18,MIN(M$6-$E$3,22))&lt;&gt;""),Algodão!$E18:INDEX(Algodão!$E18:$Z18,MIN(M$6-$E$3,22))),0))-IF($G$2,0,IF((M$6-$G$3)&lt;1,0,IFERROR(LOOKUP(2,1/(Algodão!$E18:INDEX(Algodão!$E18:$Z18,MIN(M$6-$G$3,22))&lt;&gt;""),Algodão!$E18:INDEX(Algodão!$E18:$Z18,MIN(M$6-$G$3,22))),0)))))</f>
        <v>0</v>
      </c>
      <c r="N20" s="27" t="n">
        <f aca="false">IF(COUNT(Algodão!$E18:$Z18)=0,0,MAX(0,IF((N$6-$E$3)&lt;1,0,IFERROR(LOOKUP(2,1/(Algodão!$E18:INDEX(Algodão!$E18:$Z18,MIN(N$6-$E$3,22))&lt;&gt;""),Algodão!$E18:INDEX(Algodão!$E18:$Z18,MIN(N$6-$E$3,22))),0))-IF($G$2,0,IF((N$6-$G$3)&lt;1,0,IFERROR(LOOKUP(2,1/(Algodão!$E18:INDEX(Algodão!$E18:$Z18,MIN(N$6-$G$3,22))&lt;&gt;""),Algodão!$E18:INDEX(Algodão!$E18:$Z18,MIN(N$6-$G$3,22))),0)))))</f>
        <v>0</v>
      </c>
      <c r="O20" s="27" t="n">
        <f aca="false">IF(COUNT(Algodão!$E18:$Z18)=0,0,MAX(0,IF((O$6-$E$3)&lt;1,0,IFERROR(LOOKUP(2,1/(Algodão!$E18:INDEX(Algodão!$E18:$Z18,MIN(O$6-$E$3,22))&lt;&gt;""),Algodão!$E18:INDEX(Algodão!$E18:$Z18,MIN(O$6-$E$3,22))),0))-IF($G$2,0,IF((O$6-$G$3)&lt;1,0,IFERROR(LOOKUP(2,1/(Algodão!$E18:INDEX(Algodão!$E18:$Z18,MIN(O$6-$G$3,22))&lt;&gt;""),Algodão!$E18:INDEX(Algodão!$E18:$Z18,MIN(O$6-$G$3,22))),0)))))</f>
        <v>0</v>
      </c>
      <c r="P20" s="27" t="n">
        <f aca="false">IF(COUNT(Algodão!$E18:$Z18)=0,0,MAX(0,IF((P$6-$E$3)&lt;1,0,IFERROR(LOOKUP(2,1/(Algodão!$E18:INDEX(Algodão!$E18:$Z18,MIN(P$6-$E$3,22))&lt;&gt;""),Algodão!$E18:INDEX(Algodão!$E18:$Z18,MIN(P$6-$E$3,22))),0))-IF($G$2,0,IF((P$6-$G$3)&lt;1,0,IFERROR(LOOKUP(2,1/(Algodão!$E18:INDEX(Algodão!$E18:$Z18,MIN(P$6-$G$3,22))&lt;&gt;""),Algodão!$E18:INDEX(Algodão!$E18:$Z18,MIN(P$6-$G$3,22))),0)))))</f>
        <v>0</v>
      </c>
      <c r="Q20" s="27" t="n">
        <f aca="false">IF(COUNT(Algodão!$E18:$Z18)=0,0,MAX(0,IF((Q$6-$E$3)&lt;1,0,IFERROR(LOOKUP(2,1/(Algodão!$E18:INDEX(Algodão!$E18:$Z18,MIN(Q$6-$E$3,22))&lt;&gt;""),Algodão!$E18:INDEX(Algodão!$E18:$Z18,MIN(Q$6-$E$3,22))),0))-IF($G$2,0,IF((Q$6-$G$3)&lt;1,0,IFERROR(LOOKUP(2,1/(Algodão!$E18:INDEX(Algodão!$E18:$Z18,MIN(Q$6-$G$3,22))&lt;&gt;""),Algodão!$E18:INDEX(Algodão!$E18:$Z18,MIN(Q$6-$G$3,22))),0)))))</f>
        <v>0</v>
      </c>
      <c r="R20" s="27" t="n">
        <f aca="false">IF(COUNT(Algodão!$E18:$Z18)=0,0,MAX(0,IF((R$6-$E$3)&lt;1,0,IFERROR(LOOKUP(2,1/(Algodão!$E18:INDEX(Algodão!$E18:$Z18,MIN(R$6-$E$3,22))&lt;&gt;""),Algodão!$E18:INDEX(Algodão!$E18:$Z18,MIN(R$6-$E$3,22))),0))-IF($G$2,0,IF((R$6-$G$3)&lt;1,0,IFERROR(LOOKUP(2,1/(Algodão!$E18:INDEX(Algodão!$E18:$Z18,MIN(R$6-$G$3,22))&lt;&gt;""),Algodão!$E18:INDEX(Algodão!$E18:$Z18,MIN(R$6-$G$3,22))),0)))))</f>
        <v>0</v>
      </c>
      <c r="S20" s="27" t="n">
        <f aca="false">IF(COUNT(Algodão!$E18:$Z18)=0,0,MAX(0,IF((S$6-$E$3)&lt;1,0,IFERROR(LOOKUP(2,1/(Algodão!$E18:INDEX(Algodão!$E18:$Z18,MIN(S$6-$E$3,22))&lt;&gt;""),Algodão!$E18:INDEX(Algodão!$E18:$Z18,MIN(S$6-$E$3,22))),0))-IF($G$2,0,IF((S$6-$G$3)&lt;1,0,IFERROR(LOOKUP(2,1/(Algodão!$E18:INDEX(Algodão!$E18:$Z18,MIN(S$6-$G$3,22))&lt;&gt;""),Algodão!$E18:INDEX(Algodão!$E18:$Z18,MIN(S$6-$G$3,22))),0)))))</f>
        <v>0</v>
      </c>
      <c r="T20" s="27" t="n">
        <f aca="false">IF(COUNT(Algodão!$E18:$Z18)=0,0,MAX(0,IF((T$6-$E$3)&lt;1,0,IFERROR(LOOKUP(2,1/(Algodão!$E18:INDEX(Algodão!$E18:$Z18,MIN(T$6-$E$3,22))&lt;&gt;""),Algodão!$E18:INDEX(Algodão!$E18:$Z18,MIN(T$6-$E$3,22))),0))-IF($G$2,0,IF((T$6-$G$3)&lt;1,0,IFERROR(LOOKUP(2,1/(Algodão!$E18:INDEX(Algodão!$E18:$Z18,MIN(T$6-$G$3,22))&lt;&gt;""),Algodão!$E18:INDEX(Algodão!$E18:$Z18,MIN(T$6-$G$3,22))),0)))))</f>
        <v>0</v>
      </c>
      <c r="U20" s="27" t="n">
        <f aca="false">IF(COUNT(Algodão!$E18:$Z18)=0,0,MAX(0,IF((U$6-$E$3)&lt;1,0,IFERROR(LOOKUP(2,1/(Algodão!$E18:INDEX(Algodão!$E18:$Z18,MIN(U$6-$E$3,22))&lt;&gt;""),Algodão!$E18:INDEX(Algodão!$E18:$Z18,MIN(U$6-$E$3,22))),0))-IF($G$2,0,IF((U$6-$G$3)&lt;1,0,IFERROR(LOOKUP(2,1/(Algodão!$E18:INDEX(Algodão!$E18:$Z18,MIN(U$6-$G$3,22))&lt;&gt;""),Algodão!$E18:INDEX(Algodão!$E18:$Z18,MIN(U$6-$G$3,22))),0)))))</f>
        <v>0</v>
      </c>
      <c r="V20" s="27" t="n">
        <f aca="false">IF(COUNT(Algodão!$E18:$Z18)=0,0,MAX(0,IF((V$6-$E$3)&lt;1,0,IFERROR(LOOKUP(2,1/(Algodão!$E18:INDEX(Algodão!$E18:$Z18,MIN(V$6-$E$3,22))&lt;&gt;""),Algodão!$E18:INDEX(Algodão!$E18:$Z18,MIN(V$6-$E$3,22))),0))-IF($G$2,0,IF((V$6-$G$3)&lt;1,0,IFERROR(LOOKUP(2,1/(Algodão!$E18:INDEX(Algodão!$E18:$Z18,MIN(V$6-$G$3,22))&lt;&gt;""),Algodão!$E18:INDEX(Algodão!$E18:$Z18,MIN(V$6-$G$3,22))),0)))))</f>
        <v>0</v>
      </c>
      <c r="W20" s="27" t="n">
        <f aca="false">IF(COUNT(Algodão!$E18:$Z18)=0,0,MAX(0,IF((W$6-$E$3)&lt;1,0,IFERROR(LOOKUP(2,1/(Algodão!$E18:INDEX(Algodão!$E18:$Z18,MIN(W$6-$E$3,22))&lt;&gt;""),Algodão!$E18:INDEX(Algodão!$E18:$Z18,MIN(W$6-$E$3,22))),0))-IF($G$2,0,IF((W$6-$G$3)&lt;1,0,IFERROR(LOOKUP(2,1/(Algodão!$E18:INDEX(Algodão!$E18:$Z18,MIN(W$6-$G$3,22))&lt;&gt;""),Algodão!$E18:INDEX(Algodão!$E18:$Z18,MIN(W$6-$G$3,22))),0)))))</f>
        <v>0</v>
      </c>
      <c r="X20" s="27" t="n">
        <f aca="false">IF(COUNT(Algodão!$E18:$Z18)=0,0,MAX(0,IF((X$6-$E$3)&lt;1,0,IFERROR(LOOKUP(2,1/(Algodão!$E18:INDEX(Algodão!$E18:$Z18,MIN(X$6-$E$3,22))&lt;&gt;""),Algodão!$E18:INDEX(Algodão!$E18:$Z18,MIN(X$6-$E$3,22))),0))-IF($G$2,0,IF((X$6-$G$3)&lt;1,0,IFERROR(LOOKUP(2,1/(Algodão!$E18:INDEX(Algodão!$E18:$Z18,MIN(X$6-$G$3,22))&lt;&gt;""),Algodão!$E18:INDEX(Algodão!$E18:$Z18,MIN(X$6-$G$3,22))),0)))))</f>
        <v>0</v>
      </c>
      <c r="Y20" s="27" t="n">
        <f aca="false">IF(COUNT(Algodão!$E18:$Z18)=0,0,MAX(0,IF((Y$6-$E$3)&lt;1,0,IFERROR(LOOKUP(2,1/(Algodão!$E18:INDEX(Algodão!$E18:$Z18,MIN(Y$6-$E$3,22))&lt;&gt;""),Algodão!$E18:INDEX(Algodão!$E18:$Z18,MIN(Y$6-$E$3,22))),0))-IF($G$2,0,IF((Y$6-$G$3)&lt;1,0,IFERROR(LOOKUP(2,1/(Algodão!$E18:INDEX(Algodão!$E18:$Z18,MIN(Y$6-$G$3,22))&lt;&gt;""),Algodão!$E18:INDEX(Algodão!$E18:$Z18,MIN(Y$6-$G$3,22))),0)))))</f>
        <v>0</v>
      </c>
      <c r="Z20" s="27" t="n">
        <f aca="false">IF(COUNT(Algodão!$E18:$Z18)=0,0,MAX(0,IF((Z$6-$E$3)&lt;1,0,IFERROR(LOOKUP(2,1/(Algodão!$E18:INDEX(Algodão!$E18:$Z18,MIN(Z$6-$E$3,22))&lt;&gt;""),Algodão!$E18:INDEX(Algodão!$E18:$Z18,MIN(Z$6-$E$3,22))),0))-IF($G$2,0,IF((Z$6-$G$3)&lt;1,0,IFERROR(LOOKUP(2,1/(Algodão!$E18:INDEX(Algodão!$E18:$Z18,MIN(Z$6-$G$3,22))&lt;&gt;""),Algodão!$E18:INDEX(Algodão!$E18:$Z18,MIN(Z$6-$G$3,22))),0)))))</f>
        <v>0</v>
      </c>
      <c r="AA20" s="27" t="n">
        <f aca="false">IF(COUNT(Algodão!$E18:$Z18)=0,0,MAX(0,IF((AA$6-$E$3)&lt;1,0,IFERROR(LOOKUP(2,1/(Algodão!$E18:INDEX(Algodão!$E18:$Z18,MIN(AA$6-$E$3,22))&lt;&gt;""),Algodão!$E18:INDEX(Algodão!$E18:$Z18,MIN(AA$6-$E$3,22))),0))-IF($G$2,0,IF((AA$6-$G$3)&lt;1,0,IFERROR(LOOKUP(2,1/(Algodão!$E18:INDEX(Algodão!$E18:$Z18,MIN(AA$6-$G$3,22))&lt;&gt;""),Algodão!$E18:INDEX(Algodão!$E18:$Z18,MIN(AA$6-$G$3,22))),0)))))</f>
        <v>0</v>
      </c>
      <c r="AB20" s="27" t="n">
        <f aca="false">IF(COUNT(Algodão!$E18:$Z18)=0,0,MAX(0,IF((AB$6-$E$3)&lt;1,0,IFERROR(LOOKUP(2,1/(Algodão!$E18:INDEX(Algodão!$E18:$Z18,MIN(AB$6-$E$3,22))&lt;&gt;""),Algodão!$E18:INDEX(Algodão!$E18:$Z18,MIN(AB$6-$E$3,22))),0))-IF($G$2,0,IF((AB$6-$G$3)&lt;1,0,IFERROR(LOOKUP(2,1/(Algodão!$E18:INDEX(Algodão!$E18:$Z18,MIN(AB$6-$G$3,22))&lt;&gt;""),Algodão!$E18:INDEX(Algodão!$E18:$Z18,MIN(AB$6-$G$3,22))),0)))))</f>
        <v>0</v>
      </c>
      <c r="AC20" s="27" t="n">
        <f aca="false">IF(COUNT(Algodão!$E18:$Z18)=0,0,MAX(0,IF((AC$6-$E$3)&lt;1,0,IFERROR(LOOKUP(2,1/(Algodão!$E18:INDEX(Algodão!$E18:$Z18,MIN(AC$6-$E$3,22))&lt;&gt;""),Algodão!$E18:INDEX(Algodão!$E18:$Z18,MIN(AC$6-$E$3,22))),0))-IF($G$2,0,IF((AC$6-$G$3)&lt;1,0,IFERROR(LOOKUP(2,1/(Algodão!$E18:INDEX(Algodão!$E18:$Z18,MIN(AC$6-$G$3,22))&lt;&gt;""),Algodão!$E18:INDEX(Algodão!$E18:$Z18,MIN(AC$6-$G$3,22))),0)))))</f>
        <v>0</v>
      </c>
      <c r="AD20" s="27" t="n">
        <f aca="false">IF(COUNT(Algodão!$E18:$Z18)=0,0,MAX(0,IF((AD$6-$E$3)&lt;1,0,IFERROR(LOOKUP(2,1/(Algodão!$E18:INDEX(Algodão!$E18:$Z18,MIN(AD$6-$E$3,22))&lt;&gt;""),Algodão!$E18:INDEX(Algodão!$E18:$Z18,MIN(AD$6-$E$3,22))),0))-IF($G$2,0,IF((AD$6-$G$3)&lt;1,0,IFERROR(LOOKUP(2,1/(Algodão!$E18:INDEX(Algodão!$E18:$Z18,MIN(AD$6-$G$3,22))&lt;&gt;""),Algodão!$E18:INDEX(Algodão!$E18:$Z18,MIN(AD$6-$G$3,22))),0)))))</f>
        <v>0</v>
      </c>
      <c r="AE20" s="27" t="n">
        <f aca="false">IF(COUNT(Algodão!$E18:$Z18)=0,0,MAX(0,IF((AE$6-$E$3)&lt;1,0,IFERROR(LOOKUP(2,1/(Algodão!$E18:INDEX(Algodão!$E18:$Z18,MIN(AE$6-$E$3,22))&lt;&gt;""),Algodão!$E18:INDEX(Algodão!$E18:$Z18,MIN(AE$6-$E$3,22))),0))-IF($G$2,0,IF((AE$6-$G$3)&lt;1,0,IFERROR(LOOKUP(2,1/(Algodão!$E18:INDEX(Algodão!$E18:$Z18,MIN(AE$6-$G$3,22))&lt;&gt;""),Algodão!$E18:INDEX(Algodão!$E18:$Z18,MIN(AE$6-$G$3,22))),0)))))</f>
        <v>0</v>
      </c>
      <c r="AF20" s="27" t="n">
        <f aca="false">IF(COUNT(Algodão!$E18:$Z18)=0,0,MAX(0,IF((AF$6-$E$3)&lt;1,0,IFERROR(LOOKUP(2,1/(Algodão!$E18:INDEX(Algodão!$E18:$Z18,MIN(AF$6-$E$3,22))&lt;&gt;""),Algodão!$E18:INDEX(Algodão!$E18:$Z18,MIN(AF$6-$E$3,22))),0))-IF($G$2,0,IF((AF$6-$G$3)&lt;1,0,IFERROR(LOOKUP(2,1/(Algodão!$E18:INDEX(Algodão!$E18:$Z18,MIN(AF$6-$G$3,22))&lt;&gt;""),Algodão!$E18:INDEX(Algodão!$E18:$Z18,MIN(AF$6-$G$3,22))),0)))))</f>
        <v>0</v>
      </c>
      <c r="AG20" s="27" t="n">
        <f aca="false">IF(COUNT(Algodão!$E18:$Z18)=0,0,MAX(0,IF((AG$6-$E$3)&lt;1,0,IFERROR(LOOKUP(2,1/(Algodão!$E18:INDEX(Algodão!$E18:$Z18,MIN(AG$6-$E$3,22))&lt;&gt;""),Algodão!$E18:INDEX(Algodão!$E18:$Z18,MIN(AG$6-$E$3,22))),0))-IF($G$2,0,IF((AG$6-$G$3)&lt;1,0,IFERROR(LOOKUP(2,1/(Algodão!$E18:INDEX(Algodão!$E18:$Z18,MIN(AG$6-$G$3,22))&lt;&gt;""),Algodão!$E18:INDEX(Algodão!$E18:$Z18,MIN(AG$6-$G$3,22))),0)))))</f>
        <v>0</v>
      </c>
      <c r="AH20" s="27" t="n">
        <f aca="false">IF(COUNT(Algodão!$E18:$Z18)=0,0,MAX(0,IF((AH$6-$E$3)&lt;1,0,IFERROR(LOOKUP(2,1/(Algodão!$E18:INDEX(Algodão!$E18:$Z18,MIN(AH$6-$E$3,22))&lt;&gt;""),Algodão!$E18:INDEX(Algodão!$E18:$Z18,MIN(AH$6-$E$3,22))),0))-IF($G$2,0,IF((AH$6-$G$3)&lt;1,0,IFERROR(LOOKUP(2,1/(Algodão!$E18:INDEX(Algodão!$E18:$Z18,MIN(AH$6-$G$3,22))&lt;&gt;""),Algodão!$E18:INDEX(Algodão!$E18:$Z18,MIN(AH$6-$G$3,22))),0)))))</f>
        <v>0</v>
      </c>
      <c r="AI20" s="27" t="n">
        <f aca="false">IF(COUNT(Algodão!$E18:$Z18)=0,0,MAX(0,IF((AI$6-$E$3)&lt;1,0,IFERROR(LOOKUP(2,1/(Algodão!$E18:INDEX(Algodão!$E18:$Z18,MIN(AI$6-$E$3,22))&lt;&gt;""),Algodão!$E18:INDEX(Algodão!$E18:$Z18,MIN(AI$6-$E$3,22))),0))-IF($G$2,0,IF((AI$6-$G$3)&lt;1,0,IFERROR(LOOKUP(2,1/(Algodão!$E18:INDEX(Algodão!$E18:$Z18,MIN(AI$6-$G$3,22))&lt;&gt;""),Algodão!$E18:INDEX(Algodão!$E18:$Z18,MIN(AI$6-$G$3,22))),0)))))</f>
        <v>0</v>
      </c>
      <c r="AJ20" s="27" t="n">
        <f aca="false">IF(COUNT(Algodão!$E18:$Z18)=0,0,MAX(0,IF((AJ$6-$E$3)&lt;1,0,IFERROR(LOOKUP(2,1/(Algodão!$E18:INDEX(Algodão!$E18:$Z18,MIN(AJ$6-$E$3,22))&lt;&gt;""),Algodão!$E18:INDEX(Algodão!$E18:$Z18,MIN(AJ$6-$E$3,22))),0))-IF($G$2,0,IF((AJ$6-$G$3)&lt;1,0,IFERROR(LOOKUP(2,1/(Algodão!$E18:INDEX(Algodão!$E18:$Z18,MIN(AJ$6-$G$3,22))&lt;&gt;""),Algodão!$E18:INDEX(Algodão!$E18:$Z18,MIN(AJ$6-$G$3,22))),0)))))</f>
        <v>0</v>
      </c>
      <c r="AK20" s="27" t="n">
        <f aca="false">IF(COUNT(Algodão!$E18:$Z18)=0,0,MAX(0,IF((AK$6-$E$3)&lt;1,0,IFERROR(LOOKUP(2,1/(Algodão!$E18:INDEX(Algodão!$E18:$Z18,MIN(AK$6-$E$3,22))&lt;&gt;""),Algodão!$E18:INDEX(Algodão!$E18:$Z18,MIN(AK$6-$E$3,22))),0))-IF($G$2,0,IF((AK$6-$G$3)&lt;1,0,IFERROR(LOOKUP(2,1/(Algodão!$E18:INDEX(Algodão!$E18:$Z18,MIN(AK$6-$G$3,22))&lt;&gt;""),Algodão!$E18:INDEX(Algodão!$E18:$Z18,MIN(AK$6-$G$3,22))),0)))))</f>
        <v>0</v>
      </c>
      <c r="AL20" s="27" t="n">
        <f aca="false">IF(COUNT(Algodão!$E18:$Z18)=0,0,MAX(0,IF((AL$6-$E$3)&lt;1,0,IFERROR(LOOKUP(2,1/(Algodão!$E18:INDEX(Algodão!$E18:$Z18,MIN(AL$6-$E$3,22))&lt;&gt;""),Algodão!$E18:INDEX(Algodão!$E18:$Z18,MIN(AL$6-$E$3,22))),0))-IF($G$2,0,IF((AL$6-$G$3)&lt;1,0,IFERROR(LOOKUP(2,1/(Algodão!$E18:INDEX(Algodão!$E18:$Z18,MIN(AL$6-$G$3,22))&lt;&gt;""),Algodão!$E18:INDEX(Algodão!$E18:$Z18,MIN(AL$6-$G$3,22))),0)))))</f>
        <v>0</v>
      </c>
      <c r="AM20" s="27" t="n">
        <f aca="false">IF(COUNT(Algodão!$E18:$Z18)=0,0,MAX(0,IF((AM$6-$E$3)&lt;1,0,IFERROR(LOOKUP(2,1/(Algodão!$E18:INDEX(Algodão!$E18:$Z18,MIN(AM$6-$E$3,22))&lt;&gt;""),Algodão!$E18:INDEX(Algodão!$E18:$Z18,MIN(AM$6-$E$3,22))),0))-IF($G$2,0,IF((AM$6-$G$3)&lt;1,0,IFERROR(LOOKUP(2,1/(Algodão!$E18:INDEX(Algodão!$E18:$Z18,MIN(AM$6-$G$3,22))&lt;&gt;""),Algodão!$E18:INDEX(Algodão!$E18:$Z18,MIN(AM$6-$G$3,22))),0)))))</f>
        <v>0</v>
      </c>
      <c r="AN20" s="27" t="n">
        <f aca="false">IF(COUNT(Algodão!$E18:$Z18)=0,0,MAX(0,IF((AN$6-$E$3)&lt;1,0,IFERROR(LOOKUP(2,1/(Algodão!$E18:INDEX(Algodão!$E18:$Z18,MIN(AN$6-$E$3,22))&lt;&gt;""),Algodão!$E18:INDEX(Algodão!$E18:$Z18,MIN(AN$6-$E$3,22))),0))-IF($G$2,0,IF((AN$6-$G$3)&lt;1,0,IFERROR(LOOKUP(2,1/(Algodão!$E18:INDEX(Algodão!$E18:$Z18,MIN(AN$6-$G$3,22))&lt;&gt;""),Algodão!$E18:INDEX(Algodão!$E18:$Z18,MIN(AN$6-$G$3,22))),0)))))</f>
        <v>0</v>
      </c>
      <c r="AO20" s="27" t="n">
        <f aca="false">IF(COUNT(Algodão!$E18:$Z18)=0,0,MAX(0,IF((AO$6-$E$3)&lt;1,0,IFERROR(LOOKUP(2,1/(Algodão!$E18:INDEX(Algodão!$E18:$Z18,MIN(AO$6-$E$3,22))&lt;&gt;""),Algodão!$E18:INDEX(Algodão!$E18:$Z18,MIN(AO$6-$E$3,22))),0))-IF($G$2,0,IF((AO$6-$G$3)&lt;1,0,IFERROR(LOOKUP(2,1/(Algodão!$E18:INDEX(Algodão!$E18:$Z18,MIN(AO$6-$G$3,22))&lt;&gt;""),Algodão!$E18:INDEX(Algodão!$E18:$Z18,MIN(AO$6-$G$3,22))),0)))))</f>
        <v>0</v>
      </c>
      <c r="AP20" s="27" t="n">
        <f aca="false">IF(COUNT(Algodão!$E18:$Z18)=0,0,MAX(0,IF((AP$6-$E$3)&lt;1,0,IFERROR(LOOKUP(2,1/(Algodão!$E18:INDEX(Algodão!$E18:$Z18,MIN(AP$6-$E$3,22))&lt;&gt;""),Algodão!$E18:INDEX(Algodão!$E18:$Z18,MIN(AP$6-$E$3,22))),0))-IF($G$2,0,IF((AP$6-$G$3)&lt;1,0,IFERROR(LOOKUP(2,1/(Algodão!$E18:INDEX(Algodão!$E18:$Z18,MIN(AP$6-$G$3,22))&lt;&gt;""),Algodão!$E18:INDEX(Algodão!$E18:$Z18,MIN(AP$6-$G$3,22))),0)))))</f>
        <v>0</v>
      </c>
      <c r="AQ20" s="27" t="n">
        <f aca="false">IF(COUNT(Algodão!$E18:$Z18)=0,0,MAX(0,IF((AQ$6-$E$3)&lt;1,0,IFERROR(LOOKUP(2,1/(Algodão!$E18:INDEX(Algodão!$E18:$Z18,MIN(AQ$6-$E$3,22))&lt;&gt;""),Algodão!$E18:INDEX(Algodão!$E18:$Z18,MIN(AQ$6-$E$3,22))),0))-IF($G$2,0,IF((AQ$6-$G$3)&lt;1,0,IFERROR(LOOKUP(2,1/(Algodão!$E18:INDEX(Algodão!$E18:$Z18,MIN(AQ$6-$G$3,22))&lt;&gt;""),Algodão!$E18:INDEX(Algodão!$E18:$Z18,MIN(AQ$6-$G$3,22))),0)))))</f>
        <v>0</v>
      </c>
      <c r="AR20" s="27" t="n">
        <f aca="false">IF(COUNT(Algodão!$E18:$Z18)=0,0,MAX(0,IF((AR$6-$E$3)&lt;1,0,IFERROR(LOOKUP(2,1/(Algodão!$E18:INDEX(Algodão!$E18:$Z18,MIN(AR$6-$E$3,22))&lt;&gt;""),Algodão!$E18:INDEX(Algodão!$E18:$Z18,MIN(AR$6-$E$3,22))),0))-IF($G$2,0,IF((AR$6-$G$3)&lt;1,0,IFERROR(LOOKUP(2,1/(Algodão!$E18:INDEX(Algodão!$E18:$Z18,MIN(AR$6-$G$3,22))&lt;&gt;""),Algodão!$E18:INDEX(Algodão!$E18:$Z18,MIN(AR$6-$G$3,22))),0)))))</f>
        <v>0</v>
      </c>
      <c r="AS20" s="27" t="n">
        <f aca="false">IF(COUNT(Algodão!$E18:$Z18)=0,0,MAX(0,IF((AS$6-$E$3)&lt;1,0,IFERROR(LOOKUP(2,1/(Algodão!$E18:INDEX(Algodão!$E18:$Z18,MIN(AS$6-$E$3,22))&lt;&gt;""),Algodão!$E18:INDEX(Algodão!$E18:$Z18,MIN(AS$6-$E$3,22))),0))-IF($G$2,0,IF((AS$6-$G$3)&lt;1,0,IFERROR(LOOKUP(2,1/(Algodão!$E18:INDEX(Algodão!$E18:$Z18,MIN(AS$6-$G$3,22))&lt;&gt;""),Algodão!$E18:INDEX(Algodão!$E18:$Z18,MIN(AS$6-$G$3,22))),0)))))</f>
        <v>0</v>
      </c>
      <c r="AT20" s="27" t="n">
        <f aca="false">IF(COUNT(Algodão!$E18:$Z18)=0,0,MAX(0,IF((AT$6-$E$3)&lt;1,0,IFERROR(LOOKUP(2,1/(Algodão!$E18:INDEX(Algodão!$E18:$Z18,MIN(AT$6-$E$3,22))&lt;&gt;""),Algodão!$E18:INDEX(Algodão!$E18:$Z18,MIN(AT$6-$E$3,22))),0))-IF($G$2,0,IF((AT$6-$G$3)&lt;1,0,IFERROR(LOOKUP(2,1/(Algodão!$E18:INDEX(Algodão!$E18:$Z18,MIN(AT$6-$G$3,22))&lt;&gt;""),Algodão!$E18:INDEX(Algodão!$E18:$Z18,MIN(AT$6-$G$3,22))),0)))))</f>
        <v>0</v>
      </c>
      <c r="AU20" s="27" t="n">
        <f aca="false">IF(COUNT(Algodão!$E18:$Z18)=0,0,MAX(0,IF((AU$6-$E$3)&lt;1,0,IFERROR(LOOKUP(2,1/(Algodão!$E18:INDEX(Algodão!$E18:$Z18,MIN(AU$6-$E$3,22))&lt;&gt;""),Algodão!$E18:INDEX(Algodão!$E18:$Z18,MIN(AU$6-$E$3,22))),0))-IF($G$2,0,IF((AU$6-$G$3)&lt;1,0,IFERROR(LOOKUP(2,1/(Algodão!$E18:INDEX(Algodão!$E18:$Z18,MIN(AU$6-$G$3,22))&lt;&gt;""),Algodão!$E18:INDEX(Algodão!$E18:$Z18,MIN(AU$6-$G$3,22))),0)))))</f>
        <v>0</v>
      </c>
      <c r="AV20" s="27" t="n">
        <f aca="false">IF(COUNT(Algodão!$E18:$Z18)=0,0,MAX(0,IF((AV$6-$E$3)&lt;1,0,IFERROR(LOOKUP(2,1/(Algodão!$E18:INDEX(Algodão!$E18:$Z18,MIN(AV$6-$E$3,22))&lt;&gt;""),Algodão!$E18:INDEX(Algodão!$E18:$Z18,MIN(AV$6-$E$3,22))),0))-IF($G$2,0,IF((AV$6-$G$3)&lt;1,0,IFERROR(LOOKUP(2,1/(Algodão!$E18:INDEX(Algodão!$E18:$Z18,MIN(AV$6-$G$3,22))&lt;&gt;""),Algodão!$E18:INDEX(Algodão!$E18:$Z18,MIN(AV$6-$G$3,22))),0)))))</f>
        <v>0</v>
      </c>
      <c r="AW20" s="27" t="n">
        <f aca="false">IF(COUNT(Algodão!$E18:$Z18)=0,0,MAX(0,IF((AW$6-$E$3)&lt;1,0,IFERROR(LOOKUP(2,1/(Algodão!$E18:INDEX(Algodão!$E18:$Z18,MIN(AW$6-$E$3,22))&lt;&gt;""),Algodão!$E18:INDEX(Algodão!$E18:$Z18,MIN(AW$6-$E$3,22))),0))-IF($G$2,0,IF((AW$6-$G$3)&lt;1,0,IFERROR(LOOKUP(2,1/(Algodão!$E18:INDEX(Algodão!$E18:$Z18,MIN(AW$6-$G$3,22))&lt;&gt;""),Algodão!$E18:INDEX(Algodão!$E18:$Z18,MIN(AW$6-$G$3,22))),0)))))</f>
        <v>0</v>
      </c>
      <c r="AX20" s="27" t="n">
        <f aca="false">IF(COUNT(Algodão!$E18:$Z18)=0,0,MAX(0,IF((AX$6-$E$3)&lt;1,0,IFERROR(LOOKUP(2,1/(Algodão!$E18:INDEX(Algodão!$E18:$Z18,MIN(AX$6-$E$3,22))&lt;&gt;""),Algodão!$E18:INDEX(Algodão!$E18:$Z18,MIN(AX$6-$E$3,22))),0))-IF($G$2,0,IF((AX$6-$G$3)&lt;1,0,IFERROR(LOOKUP(2,1/(Algodão!$E18:INDEX(Algodão!$E18:$Z18,MIN(AX$6-$G$3,22))&lt;&gt;""),Algodão!$E18:INDEX(Algodão!$E18:$Z18,MIN(AX$6-$G$3,22))),0)))))</f>
        <v>0</v>
      </c>
      <c r="AY20" s="27" t="n">
        <f aca="false">IF(COUNT(Algodão!$E18:$Z18)=0,0,MAX(0,IF((AY$6-$E$3)&lt;1,0,IFERROR(LOOKUP(2,1/(Algodão!$E18:INDEX(Algodão!$E18:$Z18,MIN(AY$6-$E$3,22))&lt;&gt;""),Algodão!$E18:INDEX(Algodão!$E18:$Z18,MIN(AY$6-$E$3,22))),0))-IF($G$2,0,IF((AY$6-$G$3)&lt;1,0,IFERROR(LOOKUP(2,1/(Algodão!$E18:INDEX(Algodão!$E18:$Z18,MIN(AY$6-$G$3,22))&lt;&gt;""),Algodão!$E18:INDEX(Algodão!$E18:$Z18,MIN(AY$6-$G$3,22))),0)))))</f>
        <v>0</v>
      </c>
      <c r="AZ20" s="27" t="n">
        <f aca="false">IF(COUNT(Algodão!$E18:$Z18)=0,0,MAX(0,IF((AZ$6-$E$3)&lt;1,0,IFERROR(LOOKUP(2,1/(Algodão!$E18:INDEX(Algodão!$E18:$Z18,MIN(AZ$6-$E$3,22))&lt;&gt;""),Algodão!$E18:INDEX(Algodão!$E18:$Z18,MIN(AZ$6-$E$3,22))),0))-IF($G$2,0,IF((AZ$6-$G$3)&lt;1,0,IFERROR(LOOKUP(2,1/(Algodão!$E18:INDEX(Algodão!$E18:$Z18,MIN(AZ$6-$G$3,22))&lt;&gt;""),Algodão!$E18:INDEX(Algodão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IF(COUNT(Algodão!$E19:$Z19)&gt;0,N(Algodão!$D19),0)</f>
        <v>0</v>
      </c>
      <c r="E21" s="27" t="n">
        <f aca="false">IF(COUNT(Algodão!$E19:$Z19)=0,0,MAX(0,IF((E$6-$E$3)&lt;1,0,IFERROR(LOOKUP(2,1/(Algodão!$E19:INDEX(Algodão!$E19:$Z19,MIN(E$6-$E$3,22))&lt;&gt;""),Algodão!$E19:INDEX(Algodão!$E19:$Z19,MIN(E$6-$E$3,22))),0))-IF($G$2,0,IF((E$6-$G$3)&lt;1,0,IFERROR(LOOKUP(2,1/(Algodão!$E19:INDEX(Algodão!$E19:$Z19,MIN(E$6-$G$3,22))&lt;&gt;""),Algodão!$E19:INDEX(Algodão!$E19:$Z19,MIN(E$6-$G$3,22))),0)))))</f>
        <v>0</v>
      </c>
      <c r="F21" s="27" t="n">
        <f aca="false">IF(COUNT(Algodão!$E19:$Z19)=0,0,MAX(0,IF((F$6-$E$3)&lt;1,0,IFERROR(LOOKUP(2,1/(Algodão!$E19:INDEX(Algodão!$E19:$Z19,MIN(F$6-$E$3,22))&lt;&gt;""),Algodão!$E19:INDEX(Algodão!$E19:$Z19,MIN(F$6-$E$3,22))),0))-IF($G$2,0,IF((F$6-$G$3)&lt;1,0,IFERROR(LOOKUP(2,1/(Algodão!$E19:INDEX(Algodão!$E19:$Z19,MIN(F$6-$G$3,22))&lt;&gt;""),Algodão!$E19:INDEX(Algodão!$E19:$Z19,MIN(F$6-$G$3,22))),0)))))</f>
        <v>0</v>
      </c>
      <c r="G21" s="27" t="n">
        <f aca="false">IF(COUNT(Algodão!$E19:$Z19)=0,0,MAX(0,IF((G$6-$E$3)&lt;1,0,IFERROR(LOOKUP(2,1/(Algodão!$E19:INDEX(Algodão!$E19:$Z19,MIN(G$6-$E$3,22))&lt;&gt;""),Algodão!$E19:INDEX(Algodão!$E19:$Z19,MIN(G$6-$E$3,22))),0))-IF($G$2,0,IF((G$6-$G$3)&lt;1,0,IFERROR(LOOKUP(2,1/(Algodão!$E19:INDEX(Algodão!$E19:$Z19,MIN(G$6-$G$3,22))&lt;&gt;""),Algodão!$E19:INDEX(Algodão!$E19:$Z19,MIN(G$6-$G$3,22))),0)))))</f>
        <v>0</v>
      </c>
      <c r="H21" s="27" t="n">
        <f aca="false">IF(COUNT(Algodão!$E19:$Z19)=0,0,MAX(0,IF((H$6-$E$3)&lt;1,0,IFERROR(LOOKUP(2,1/(Algodão!$E19:INDEX(Algodão!$E19:$Z19,MIN(H$6-$E$3,22))&lt;&gt;""),Algodão!$E19:INDEX(Algodão!$E19:$Z19,MIN(H$6-$E$3,22))),0))-IF($G$2,0,IF((H$6-$G$3)&lt;1,0,IFERROR(LOOKUP(2,1/(Algodão!$E19:INDEX(Algodão!$E19:$Z19,MIN(H$6-$G$3,22))&lt;&gt;""),Algodão!$E19:INDEX(Algodão!$E19:$Z19,MIN(H$6-$G$3,22))),0)))))</f>
        <v>0</v>
      </c>
      <c r="I21" s="27" t="n">
        <f aca="false">IF(COUNT(Algodão!$E19:$Z19)=0,0,MAX(0,IF((I$6-$E$3)&lt;1,0,IFERROR(LOOKUP(2,1/(Algodão!$E19:INDEX(Algodão!$E19:$Z19,MIN(I$6-$E$3,22))&lt;&gt;""),Algodão!$E19:INDEX(Algodão!$E19:$Z19,MIN(I$6-$E$3,22))),0))-IF($G$2,0,IF((I$6-$G$3)&lt;1,0,IFERROR(LOOKUP(2,1/(Algodão!$E19:INDEX(Algodão!$E19:$Z19,MIN(I$6-$G$3,22))&lt;&gt;""),Algodão!$E19:INDEX(Algodão!$E19:$Z19,MIN(I$6-$G$3,22))),0)))))</f>
        <v>0</v>
      </c>
      <c r="J21" s="27" t="n">
        <f aca="false">IF(COUNT(Algodão!$E19:$Z19)=0,0,MAX(0,IF((J$6-$E$3)&lt;1,0,IFERROR(LOOKUP(2,1/(Algodão!$E19:INDEX(Algodão!$E19:$Z19,MIN(J$6-$E$3,22))&lt;&gt;""),Algodão!$E19:INDEX(Algodão!$E19:$Z19,MIN(J$6-$E$3,22))),0))-IF($G$2,0,IF((J$6-$G$3)&lt;1,0,IFERROR(LOOKUP(2,1/(Algodão!$E19:INDEX(Algodão!$E19:$Z19,MIN(J$6-$G$3,22))&lt;&gt;""),Algodão!$E19:INDEX(Algodão!$E19:$Z19,MIN(J$6-$G$3,22))),0)))))</f>
        <v>0</v>
      </c>
      <c r="K21" s="27" t="n">
        <f aca="false">IF(COUNT(Algodão!$E19:$Z19)=0,0,MAX(0,IF((K$6-$E$3)&lt;1,0,IFERROR(LOOKUP(2,1/(Algodão!$E19:INDEX(Algodão!$E19:$Z19,MIN(K$6-$E$3,22))&lt;&gt;""),Algodão!$E19:INDEX(Algodão!$E19:$Z19,MIN(K$6-$E$3,22))),0))-IF($G$2,0,IF((K$6-$G$3)&lt;1,0,IFERROR(LOOKUP(2,1/(Algodão!$E19:INDEX(Algodão!$E19:$Z19,MIN(K$6-$G$3,22))&lt;&gt;""),Algodão!$E19:INDEX(Algodão!$E19:$Z19,MIN(K$6-$G$3,22))),0)))))</f>
        <v>0</v>
      </c>
      <c r="L21" s="27" t="n">
        <f aca="false">IF(COUNT(Algodão!$E19:$Z19)=0,0,MAX(0,IF((L$6-$E$3)&lt;1,0,IFERROR(LOOKUP(2,1/(Algodão!$E19:INDEX(Algodão!$E19:$Z19,MIN(L$6-$E$3,22))&lt;&gt;""),Algodão!$E19:INDEX(Algodão!$E19:$Z19,MIN(L$6-$E$3,22))),0))-IF($G$2,0,IF((L$6-$G$3)&lt;1,0,IFERROR(LOOKUP(2,1/(Algodão!$E19:INDEX(Algodão!$E19:$Z19,MIN(L$6-$G$3,22))&lt;&gt;""),Algodão!$E19:INDEX(Algodão!$E19:$Z19,MIN(L$6-$G$3,22))),0)))))</f>
        <v>0</v>
      </c>
      <c r="M21" s="27" t="n">
        <f aca="false">IF(COUNT(Algodão!$E19:$Z19)=0,0,MAX(0,IF((M$6-$E$3)&lt;1,0,IFERROR(LOOKUP(2,1/(Algodão!$E19:INDEX(Algodão!$E19:$Z19,MIN(M$6-$E$3,22))&lt;&gt;""),Algodão!$E19:INDEX(Algodão!$E19:$Z19,MIN(M$6-$E$3,22))),0))-IF($G$2,0,IF((M$6-$G$3)&lt;1,0,IFERROR(LOOKUP(2,1/(Algodão!$E19:INDEX(Algodão!$E19:$Z19,MIN(M$6-$G$3,22))&lt;&gt;""),Algodão!$E19:INDEX(Algodão!$E19:$Z19,MIN(M$6-$G$3,22))),0)))))</f>
        <v>0</v>
      </c>
      <c r="N21" s="27" t="n">
        <f aca="false">IF(COUNT(Algodão!$E19:$Z19)=0,0,MAX(0,IF((N$6-$E$3)&lt;1,0,IFERROR(LOOKUP(2,1/(Algodão!$E19:INDEX(Algodão!$E19:$Z19,MIN(N$6-$E$3,22))&lt;&gt;""),Algodão!$E19:INDEX(Algodão!$E19:$Z19,MIN(N$6-$E$3,22))),0))-IF($G$2,0,IF((N$6-$G$3)&lt;1,0,IFERROR(LOOKUP(2,1/(Algodão!$E19:INDEX(Algodão!$E19:$Z19,MIN(N$6-$G$3,22))&lt;&gt;""),Algodão!$E19:INDEX(Algodão!$E19:$Z19,MIN(N$6-$G$3,22))),0)))))</f>
        <v>0</v>
      </c>
      <c r="O21" s="27" t="n">
        <f aca="false">IF(COUNT(Algodão!$E19:$Z19)=0,0,MAX(0,IF((O$6-$E$3)&lt;1,0,IFERROR(LOOKUP(2,1/(Algodão!$E19:INDEX(Algodão!$E19:$Z19,MIN(O$6-$E$3,22))&lt;&gt;""),Algodão!$E19:INDEX(Algodão!$E19:$Z19,MIN(O$6-$E$3,22))),0))-IF($G$2,0,IF((O$6-$G$3)&lt;1,0,IFERROR(LOOKUP(2,1/(Algodão!$E19:INDEX(Algodão!$E19:$Z19,MIN(O$6-$G$3,22))&lt;&gt;""),Algodão!$E19:INDEX(Algodão!$E19:$Z19,MIN(O$6-$G$3,22))),0)))))</f>
        <v>0</v>
      </c>
      <c r="P21" s="27" t="n">
        <f aca="false">IF(COUNT(Algodão!$E19:$Z19)=0,0,MAX(0,IF((P$6-$E$3)&lt;1,0,IFERROR(LOOKUP(2,1/(Algodão!$E19:INDEX(Algodão!$E19:$Z19,MIN(P$6-$E$3,22))&lt;&gt;""),Algodão!$E19:INDEX(Algodão!$E19:$Z19,MIN(P$6-$E$3,22))),0))-IF($G$2,0,IF((P$6-$G$3)&lt;1,0,IFERROR(LOOKUP(2,1/(Algodão!$E19:INDEX(Algodão!$E19:$Z19,MIN(P$6-$G$3,22))&lt;&gt;""),Algodão!$E19:INDEX(Algodão!$E19:$Z19,MIN(P$6-$G$3,22))),0)))))</f>
        <v>0</v>
      </c>
      <c r="Q21" s="27" t="n">
        <f aca="false">IF(COUNT(Algodão!$E19:$Z19)=0,0,MAX(0,IF((Q$6-$E$3)&lt;1,0,IFERROR(LOOKUP(2,1/(Algodão!$E19:INDEX(Algodão!$E19:$Z19,MIN(Q$6-$E$3,22))&lt;&gt;""),Algodão!$E19:INDEX(Algodão!$E19:$Z19,MIN(Q$6-$E$3,22))),0))-IF($G$2,0,IF((Q$6-$G$3)&lt;1,0,IFERROR(LOOKUP(2,1/(Algodão!$E19:INDEX(Algodão!$E19:$Z19,MIN(Q$6-$G$3,22))&lt;&gt;""),Algodão!$E19:INDEX(Algodão!$E19:$Z19,MIN(Q$6-$G$3,22))),0)))))</f>
        <v>0</v>
      </c>
      <c r="R21" s="27" t="n">
        <f aca="false">IF(COUNT(Algodão!$E19:$Z19)=0,0,MAX(0,IF((R$6-$E$3)&lt;1,0,IFERROR(LOOKUP(2,1/(Algodão!$E19:INDEX(Algodão!$E19:$Z19,MIN(R$6-$E$3,22))&lt;&gt;""),Algodão!$E19:INDEX(Algodão!$E19:$Z19,MIN(R$6-$E$3,22))),0))-IF($G$2,0,IF((R$6-$G$3)&lt;1,0,IFERROR(LOOKUP(2,1/(Algodão!$E19:INDEX(Algodão!$E19:$Z19,MIN(R$6-$G$3,22))&lt;&gt;""),Algodão!$E19:INDEX(Algodão!$E19:$Z19,MIN(R$6-$G$3,22))),0)))))</f>
        <v>0</v>
      </c>
      <c r="S21" s="27" t="n">
        <f aca="false">IF(COUNT(Algodão!$E19:$Z19)=0,0,MAX(0,IF((S$6-$E$3)&lt;1,0,IFERROR(LOOKUP(2,1/(Algodão!$E19:INDEX(Algodão!$E19:$Z19,MIN(S$6-$E$3,22))&lt;&gt;""),Algodão!$E19:INDEX(Algodão!$E19:$Z19,MIN(S$6-$E$3,22))),0))-IF($G$2,0,IF((S$6-$G$3)&lt;1,0,IFERROR(LOOKUP(2,1/(Algodão!$E19:INDEX(Algodão!$E19:$Z19,MIN(S$6-$G$3,22))&lt;&gt;""),Algodão!$E19:INDEX(Algodão!$E19:$Z19,MIN(S$6-$G$3,22))),0)))))</f>
        <v>0</v>
      </c>
      <c r="T21" s="27" t="n">
        <f aca="false">IF(COUNT(Algodão!$E19:$Z19)=0,0,MAX(0,IF((T$6-$E$3)&lt;1,0,IFERROR(LOOKUP(2,1/(Algodão!$E19:INDEX(Algodão!$E19:$Z19,MIN(T$6-$E$3,22))&lt;&gt;""),Algodão!$E19:INDEX(Algodão!$E19:$Z19,MIN(T$6-$E$3,22))),0))-IF($G$2,0,IF((T$6-$G$3)&lt;1,0,IFERROR(LOOKUP(2,1/(Algodão!$E19:INDEX(Algodão!$E19:$Z19,MIN(T$6-$G$3,22))&lt;&gt;""),Algodão!$E19:INDEX(Algodão!$E19:$Z19,MIN(T$6-$G$3,22))),0)))))</f>
        <v>0</v>
      </c>
      <c r="U21" s="27" t="n">
        <f aca="false">IF(COUNT(Algodão!$E19:$Z19)=0,0,MAX(0,IF((U$6-$E$3)&lt;1,0,IFERROR(LOOKUP(2,1/(Algodão!$E19:INDEX(Algodão!$E19:$Z19,MIN(U$6-$E$3,22))&lt;&gt;""),Algodão!$E19:INDEX(Algodão!$E19:$Z19,MIN(U$6-$E$3,22))),0))-IF($G$2,0,IF((U$6-$G$3)&lt;1,0,IFERROR(LOOKUP(2,1/(Algodão!$E19:INDEX(Algodão!$E19:$Z19,MIN(U$6-$G$3,22))&lt;&gt;""),Algodão!$E19:INDEX(Algodão!$E19:$Z19,MIN(U$6-$G$3,22))),0)))))</f>
        <v>0</v>
      </c>
      <c r="V21" s="27" t="n">
        <f aca="false">IF(COUNT(Algodão!$E19:$Z19)=0,0,MAX(0,IF((V$6-$E$3)&lt;1,0,IFERROR(LOOKUP(2,1/(Algodão!$E19:INDEX(Algodão!$E19:$Z19,MIN(V$6-$E$3,22))&lt;&gt;""),Algodão!$E19:INDEX(Algodão!$E19:$Z19,MIN(V$6-$E$3,22))),0))-IF($G$2,0,IF((V$6-$G$3)&lt;1,0,IFERROR(LOOKUP(2,1/(Algodão!$E19:INDEX(Algodão!$E19:$Z19,MIN(V$6-$G$3,22))&lt;&gt;""),Algodão!$E19:INDEX(Algodão!$E19:$Z19,MIN(V$6-$G$3,22))),0)))))</f>
        <v>0</v>
      </c>
      <c r="W21" s="27" t="n">
        <f aca="false">IF(COUNT(Algodão!$E19:$Z19)=0,0,MAX(0,IF((W$6-$E$3)&lt;1,0,IFERROR(LOOKUP(2,1/(Algodão!$E19:INDEX(Algodão!$E19:$Z19,MIN(W$6-$E$3,22))&lt;&gt;""),Algodão!$E19:INDEX(Algodão!$E19:$Z19,MIN(W$6-$E$3,22))),0))-IF($G$2,0,IF((W$6-$G$3)&lt;1,0,IFERROR(LOOKUP(2,1/(Algodão!$E19:INDEX(Algodão!$E19:$Z19,MIN(W$6-$G$3,22))&lt;&gt;""),Algodão!$E19:INDEX(Algodão!$E19:$Z19,MIN(W$6-$G$3,22))),0)))))</f>
        <v>0</v>
      </c>
      <c r="X21" s="27" t="n">
        <f aca="false">IF(COUNT(Algodão!$E19:$Z19)=0,0,MAX(0,IF((X$6-$E$3)&lt;1,0,IFERROR(LOOKUP(2,1/(Algodão!$E19:INDEX(Algodão!$E19:$Z19,MIN(X$6-$E$3,22))&lt;&gt;""),Algodão!$E19:INDEX(Algodão!$E19:$Z19,MIN(X$6-$E$3,22))),0))-IF($G$2,0,IF((X$6-$G$3)&lt;1,0,IFERROR(LOOKUP(2,1/(Algodão!$E19:INDEX(Algodão!$E19:$Z19,MIN(X$6-$G$3,22))&lt;&gt;""),Algodão!$E19:INDEX(Algodão!$E19:$Z19,MIN(X$6-$G$3,22))),0)))))</f>
        <v>0</v>
      </c>
      <c r="Y21" s="27" t="n">
        <f aca="false">IF(COUNT(Algodão!$E19:$Z19)=0,0,MAX(0,IF((Y$6-$E$3)&lt;1,0,IFERROR(LOOKUP(2,1/(Algodão!$E19:INDEX(Algodão!$E19:$Z19,MIN(Y$6-$E$3,22))&lt;&gt;""),Algodão!$E19:INDEX(Algodão!$E19:$Z19,MIN(Y$6-$E$3,22))),0))-IF($G$2,0,IF((Y$6-$G$3)&lt;1,0,IFERROR(LOOKUP(2,1/(Algodão!$E19:INDEX(Algodão!$E19:$Z19,MIN(Y$6-$G$3,22))&lt;&gt;""),Algodão!$E19:INDEX(Algodão!$E19:$Z19,MIN(Y$6-$G$3,22))),0)))))</f>
        <v>0</v>
      </c>
      <c r="Z21" s="27" t="n">
        <f aca="false">IF(COUNT(Algodão!$E19:$Z19)=0,0,MAX(0,IF((Z$6-$E$3)&lt;1,0,IFERROR(LOOKUP(2,1/(Algodão!$E19:INDEX(Algodão!$E19:$Z19,MIN(Z$6-$E$3,22))&lt;&gt;""),Algodão!$E19:INDEX(Algodão!$E19:$Z19,MIN(Z$6-$E$3,22))),0))-IF($G$2,0,IF((Z$6-$G$3)&lt;1,0,IFERROR(LOOKUP(2,1/(Algodão!$E19:INDEX(Algodão!$E19:$Z19,MIN(Z$6-$G$3,22))&lt;&gt;""),Algodão!$E19:INDEX(Algodão!$E19:$Z19,MIN(Z$6-$G$3,22))),0)))))</f>
        <v>0</v>
      </c>
      <c r="AA21" s="27" t="n">
        <f aca="false">IF(COUNT(Algodão!$E19:$Z19)=0,0,MAX(0,IF((AA$6-$E$3)&lt;1,0,IFERROR(LOOKUP(2,1/(Algodão!$E19:INDEX(Algodão!$E19:$Z19,MIN(AA$6-$E$3,22))&lt;&gt;""),Algodão!$E19:INDEX(Algodão!$E19:$Z19,MIN(AA$6-$E$3,22))),0))-IF($G$2,0,IF((AA$6-$G$3)&lt;1,0,IFERROR(LOOKUP(2,1/(Algodão!$E19:INDEX(Algodão!$E19:$Z19,MIN(AA$6-$G$3,22))&lt;&gt;""),Algodão!$E19:INDEX(Algodão!$E19:$Z19,MIN(AA$6-$G$3,22))),0)))))</f>
        <v>0</v>
      </c>
      <c r="AB21" s="27" t="n">
        <f aca="false">IF(COUNT(Algodão!$E19:$Z19)=0,0,MAX(0,IF((AB$6-$E$3)&lt;1,0,IFERROR(LOOKUP(2,1/(Algodão!$E19:INDEX(Algodão!$E19:$Z19,MIN(AB$6-$E$3,22))&lt;&gt;""),Algodão!$E19:INDEX(Algodão!$E19:$Z19,MIN(AB$6-$E$3,22))),0))-IF($G$2,0,IF((AB$6-$G$3)&lt;1,0,IFERROR(LOOKUP(2,1/(Algodão!$E19:INDEX(Algodão!$E19:$Z19,MIN(AB$6-$G$3,22))&lt;&gt;""),Algodão!$E19:INDEX(Algodão!$E19:$Z19,MIN(AB$6-$G$3,22))),0)))))</f>
        <v>0</v>
      </c>
      <c r="AC21" s="27" t="n">
        <f aca="false">IF(COUNT(Algodão!$E19:$Z19)=0,0,MAX(0,IF((AC$6-$E$3)&lt;1,0,IFERROR(LOOKUP(2,1/(Algodão!$E19:INDEX(Algodão!$E19:$Z19,MIN(AC$6-$E$3,22))&lt;&gt;""),Algodão!$E19:INDEX(Algodão!$E19:$Z19,MIN(AC$6-$E$3,22))),0))-IF($G$2,0,IF((AC$6-$G$3)&lt;1,0,IFERROR(LOOKUP(2,1/(Algodão!$E19:INDEX(Algodão!$E19:$Z19,MIN(AC$6-$G$3,22))&lt;&gt;""),Algodão!$E19:INDEX(Algodão!$E19:$Z19,MIN(AC$6-$G$3,22))),0)))))</f>
        <v>0</v>
      </c>
      <c r="AD21" s="27" t="n">
        <f aca="false">IF(COUNT(Algodão!$E19:$Z19)=0,0,MAX(0,IF((AD$6-$E$3)&lt;1,0,IFERROR(LOOKUP(2,1/(Algodão!$E19:INDEX(Algodão!$E19:$Z19,MIN(AD$6-$E$3,22))&lt;&gt;""),Algodão!$E19:INDEX(Algodão!$E19:$Z19,MIN(AD$6-$E$3,22))),0))-IF($G$2,0,IF((AD$6-$G$3)&lt;1,0,IFERROR(LOOKUP(2,1/(Algodão!$E19:INDEX(Algodão!$E19:$Z19,MIN(AD$6-$G$3,22))&lt;&gt;""),Algodão!$E19:INDEX(Algodão!$E19:$Z19,MIN(AD$6-$G$3,22))),0)))))</f>
        <v>0</v>
      </c>
      <c r="AE21" s="27" t="n">
        <f aca="false">IF(COUNT(Algodão!$E19:$Z19)=0,0,MAX(0,IF((AE$6-$E$3)&lt;1,0,IFERROR(LOOKUP(2,1/(Algodão!$E19:INDEX(Algodão!$E19:$Z19,MIN(AE$6-$E$3,22))&lt;&gt;""),Algodão!$E19:INDEX(Algodão!$E19:$Z19,MIN(AE$6-$E$3,22))),0))-IF($G$2,0,IF((AE$6-$G$3)&lt;1,0,IFERROR(LOOKUP(2,1/(Algodão!$E19:INDEX(Algodão!$E19:$Z19,MIN(AE$6-$G$3,22))&lt;&gt;""),Algodão!$E19:INDEX(Algodão!$E19:$Z19,MIN(AE$6-$G$3,22))),0)))))</f>
        <v>0</v>
      </c>
      <c r="AF21" s="27" t="n">
        <f aca="false">IF(COUNT(Algodão!$E19:$Z19)=0,0,MAX(0,IF((AF$6-$E$3)&lt;1,0,IFERROR(LOOKUP(2,1/(Algodão!$E19:INDEX(Algodão!$E19:$Z19,MIN(AF$6-$E$3,22))&lt;&gt;""),Algodão!$E19:INDEX(Algodão!$E19:$Z19,MIN(AF$6-$E$3,22))),0))-IF($G$2,0,IF((AF$6-$G$3)&lt;1,0,IFERROR(LOOKUP(2,1/(Algodão!$E19:INDEX(Algodão!$E19:$Z19,MIN(AF$6-$G$3,22))&lt;&gt;""),Algodão!$E19:INDEX(Algodão!$E19:$Z19,MIN(AF$6-$G$3,22))),0)))))</f>
        <v>0</v>
      </c>
      <c r="AG21" s="27" t="n">
        <f aca="false">IF(COUNT(Algodão!$E19:$Z19)=0,0,MAX(0,IF((AG$6-$E$3)&lt;1,0,IFERROR(LOOKUP(2,1/(Algodão!$E19:INDEX(Algodão!$E19:$Z19,MIN(AG$6-$E$3,22))&lt;&gt;""),Algodão!$E19:INDEX(Algodão!$E19:$Z19,MIN(AG$6-$E$3,22))),0))-IF($G$2,0,IF((AG$6-$G$3)&lt;1,0,IFERROR(LOOKUP(2,1/(Algodão!$E19:INDEX(Algodão!$E19:$Z19,MIN(AG$6-$G$3,22))&lt;&gt;""),Algodão!$E19:INDEX(Algodão!$E19:$Z19,MIN(AG$6-$G$3,22))),0)))))</f>
        <v>0</v>
      </c>
      <c r="AH21" s="27" t="n">
        <f aca="false">IF(COUNT(Algodão!$E19:$Z19)=0,0,MAX(0,IF((AH$6-$E$3)&lt;1,0,IFERROR(LOOKUP(2,1/(Algodão!$E19:INDEX(Algodão!$E19:$Z19,MIN(AH$6-$E$3,22))&lt;&gt;""),Algodão!$E19:INDEX(Algodão!$E19:$Z19,MIN(AH$6-$E$3,22))),0))-IF($G$2,0,IF((AH$6-$G$3)&lt;1,0,IFERROR(LOOKUP(2,1/(Algodão!$E19:INDEX(Algodão!$E19:$Z19,MIN(AH$6-$G$3,22))&lt;&gt;""),Algodão!$E19:INDEX(Algodão!$E19:$Z19,MIN(AH$6-$G$3,22))),0)))))</f>
        <v>0</v>
      </c>
      <c r="AI21" s="27" t="n">
        <f aca="false">IF(COUNT(Algodão!$E19:$Z19)=0,0,MAX(0,IF((AI$6-$E$3)&lt;1,0,IFERROR(LOOKUP(2,1/(Algodão!$E19:INDEX(Algodão!$E19:$Z19,MIN(AI$6-$E$3,22))&lt;&gt;""),Algodão!$E19:INDEX(Algodão!$E19:$Z19,MIN(AI$6-$E$3,22))),0))-IF($G$2,0,IF((AI$6-$G$3)&lt;1,0,IFERROR(LOOKUP(2,1/(Algodão!$E19:INDEX(Algodão!$E19:$Z19,MIN(AI$6-$G$3,22))&lt;&gt;""),Algodão!$E19:INDEX(Algodão!$E19:$Z19,MIN(AI$6-$G$3,22))),0)))))</f>
        <v>0</v>
      </c>
      <c r="AJ21" s="27" t="n">
        <f aca="false">IF(COUNT(Algodão!$E19:$Z19)=0,0,MAX(0,IF((AJ$6-$E$3)&lt;1,0,IFERROR(LOOKUP(2,1/(Algodão!$E19:INDEX(Algodão!$E19:$Z19,MIN(AJ$6-$E$3,22))&lt;&gt;""),Algodão!$E19:INDEX(Algodão!$E19:$Z19,MIN(AJ$6-$E$3,22))),0))-IF($G$2,0,IF((AJ$6-$G$3)&lt;1,0,IFERROR(LOOKUP(2,1/(Algodão!$E19:INDEX(Algodão!$E19:$Z19,MIN(AJ$6-$G$3,22))&lt;&gt;""),Algodão!$E19:INDEX(Algodão!$E19:$Z19,MIN(AJ$6-$G$3,22))),0)))))</f>
        <v>0</v>
      </c>
      <c r="AK21" s="27" t="n">
        <f aca="false">IF(COUNT(Algodão!$E19:$Z19)=0,0,MAX(0,IF((AK$6-$E$3)&lt;1,0,IFERROR(LOOKUP(2,1/(Algodão!$E19:INDEX(Algodão!$E19:$Z19,MIN(AK$6-$E$3,22))&lt;&gt;""),Algodão!$E19:INDEX(Algodão!$E19:$Z19,MIN(AK$6-$E$3,22))),0))-IF($G$2,0,IF((AK$6-$G$3)&lt;1,0,IFERROR(LOOKUP(2,1/(Algodão!$E19:INDEX(Algodão!$E19:$Z19,MIN(AK$6-$G$3,22))&lt;&gt;""),Algodão!$E19:INDEX(Algodão!$E19:$Z19,MIN(AK$6-$G$3,22))),0)))))</f>
        <v>0</v>
      </c>
      <c r="AL21" s="27" t="n">
        <f aca="false">IF(COUNT(Algodão!$E19:$Z19)=0,0,MAX(0,IF((AL$6-$E$3)&lt;1,0,IFERROR(LOOKUP(2,1/(Algodão!$E19:INDEX(Algodão!$E19:$Z19,MIN(AL$6-$E$3,22))&lt;&gt;""),Algodão!$E19:INDEX(Algodão!$E19:$Z19,MIN(AL$6-$E$3,22))),0))-IF($G$2,0,IF((AL$6-$G$3)&lt;1,0,IFERROR(LOOKUP(2,1/(Algodão!$E19:INDEX(Algodão!$E19:$Z19,MIN(AL$6-$G$3,22))&lt;&gt;""),Algodão!$E19:INDEX(Algodão!$E19:$Z19,MIN(AL$6-$G$3,22))),0)))))</f>
        <v>0</v>
      </c>
      <c r="AM21" s="27" t="n">
        <f aca="false">IF(COUNT(Algodão!$E19:$Z19)=0,0,MAX(0,IF((AM$6-$E$3)&lt;1,0,IFERROR(LOOKUP(2,1/(Algodão!$E19:INDEX(Algodão!$E19:$Z19,MIN(AM$6-$E$3,22))&lt;&gt;""),Algodão!$E19:INDEX(Algodão!$E19:$Z19,MIN(AM$6-$E$3,22))),0))-IF($G$2,0,IF((AM$6-$G$3)&lt;1,0,IFERROR(LOOKUP(2,1/(Algodão!$E19:INDEX(Algodão!$E19:$Z19,MIN(AM$6-$G$3,22))&lt;&gt;""),Algodão!$E19:INDEX(Algodão!$E19:$Z19,MIN(AM$6-$G$3,22))),0)))))</f>
        <v>0</v>
      </c>
      <c r="AN21" s="27" t="n">
        <f aca="false">IF(COUNT(Algodão!$E19:$Z19)=0,0,MAX(0,IF((AN$6-$E$3)&lt;1,0,IFERROR(LOOKUP(2,1/(Algodão!$E19:INDEX(Algodão!$E19:$Z19,MIN(AN$6-$E$3,22))&lt;&gt;""),Algodão!$E19:INDEX(Algodão!$E19:$Z19,MIN(AN$6-$E$3,22))),0))-IF($G$2,0,IF((AN$6-$G$3)&lt;1,0,IFERROR(LOOKUP(2,1/(Algodão!$E19:INDEX(Algodão!$E19:$Z19,MIN(AN$6-$G$3,22))&lt;&gt;""),Algodão!$E19:INDEX(Algodão!$E19:$Z19,MIN(AN$6-$G$3,22))),0)))))</f>
        <v>0</v>
      </c>
      <c r="AO21" s="27" t="n">
        <f aca="false">IF(COUNT(Algodão!$E19:$Z19)=0,0,MAX(0,IF((AO$6-$E$3)&lt;1,0,IFERROR(LOOKUP(2,1/(Algodão!$E19:INDEX(Algodão!$E19:$Z19,MIN(AO$6-$E$3,22))&lt;&gt;""),Algodão!$E19:INDEX(Algodão!$E19:$Z19,MIN(AO$6-$E$3,22))),0))-IF($G$2,0,IF((AO$6-$G$3)&lt;1,0,IFERROR(LOOKUP(2,1/(Algodão!$E19:INDEX(Algodão!$E19:$Z19,MIN(AO$6-$G$3,22))&lt;&gt;""),Algodão!$E19:INDEX(Algodão!$E19:$Z19,MIN(AO$6-$G$3,22))),0)))))</f>
        <v>0</v>
      </c>
      <c r="AP21" s="27" t="n">
        <f aca="false">IF(COUNT(Algodão!$E19:$Z19)=0,0,MAX(0,IF((AP$6-$E$3)&lt;1,0,IFERROR(LOOKUP(2,1/(Algodão!$E19:INDEX(Algodão!$E19:$Z19,MIN(AP$6-$E$3,22))&lt;&gt;""),Algodão!$E19:INDEX(Algodão!$E19:$Z19,MIN(AP$6-$E$3,22))),0))-IF($G$2,0,IF((AP$6-$G$3)&lt;1,0,IFERROR(LOOKUP(2,1/(Algodão!$E19:INDEX(Algodão!$E19:$Z19,MIN(AP$6-$G$3,22))&lt;&gt;""),Algodão!$E19:INDEX(Algodão!$E19:$Z19,MIN(AP$6-$G$3,22))),0)))))</f>
        <v>0</v>
      </c>
      <c r="AQ21" s="27" t="n">
        <f aca="false">IF(COUNT(Algodão!$E19:$Z19)=0,0,MAX(0,IF((AQ$6-$E$3)&lt;1,0,IFERROR(LOOKUP(2,1/(Algodão!$E19:INDEX(Algodão!$E19:$Z19,MIN(AQ$6-$E$3,22))&lt;&gt;""),Algodão!$E19:INDEX(Algodão!$E19:$Z19,MIN(AQ$6-$E$3,22))),0))-IF($G$2,0,IF((AQ$6-$G$3)&lt;1,0,IFERROR(LOOKUP(2,1/(Algodão!$E19:INDEX(Algodão!$E19:$Z19,MIN(AQ$6-$G$3,22))&lt;&gt;""),Algodão!$E19:INDEX(Algodão!$E19:$Z19,MIN(AQ$6-$G$3,22))),0)))))</f>
        <v>0</v>
      </c>
      <c r="AR21" s="27" t="n">
        <f aca="false">IF(COUNT(Algodão!$E19:$Z19)=0,0,MAX(0,IF((AR$6-$E$3)&lt;1,0,IFERROR(LOOKUP(2,1/(Algodão!$E19:INDEX(Algodão!$E19:$Z19,MIN(AR$6-$E$3,22))&lt;&gt;""),Algodão!$E19:INDEX(Algodão!$E19:$Z19,MIN(AR$6-$E$3,22))),0))-IF($G$2,0,IF((AR$6-$G$3)&lt;1,0,IFERROR(LOOKUP(2,1/(Algodão!$E19:INDEX(Algodão!$E19:$Z19,MIN(AR$6-$G$3,22))&lt;&gt;""),Algodão!$E19:INDEX(Algodão!$E19:$Z19,MIN(AR$6-$G$3,22))),0)))))</f>
        <v>0</v>
      </c>
      <c r="AS21" s="27" t="n">
        <f aca="false">IF(COUNT(Algodão!$E19:$Z19)=0,0,MAX(0,IF((AS$6-$E$3)&lt;1,0,IFERROR(LOOKUP(2,1/(Algodão!$E19:INDEX(Algodão!$E19:$Z19,MIN(AS$6-$E$3,22))&lt;&gt;""),Algodão!$E19:INDEX(Algodão!$E19:$Z19,MIN(AS$6-$E$3,22))),0))-IF($G$2,0,IF((AS$6-$G$3)&lt;1,0,IFERROR(LOOKUP(2,1/(Algodão!$E19:INDEX(Algodão!$E19:$Z19,MIN(AS$6-$G$3,22))&lt;&gt;""),Algodão!$E19:INDEX(Algodão!$E19:$Z19,MIN(AS$6-$G$3,22))),0)))))</f>
        <v>0</v>
      </c>
      <c r="AT21" s="27" t="n">
        <f aca="false">IF(COUNT(Algodão!$E19:$Z19)=0,0,MAX(0,IF((AT$6-$E$3)&lt;1,0,IFERROR(LOOKUP(2,1/(Algodão!$E19:INDEX(Algodão!$E19:$Z19,MIN(AT$6-$E$3,22))&lt;&gt;""),Algodão!$E19:INDEX(Algodão!$E19:$Z19,MIN(AT$6-$E$3,22))),0))-IF($G$2,0,IF((AT$6-$G$3)&lt;1,0,IFERROR(LOOKUP(2,1/(Algodão!$E19:INDEX(Algodão!$E19:$Z19,MIN(AT$6-$G$3,22))&lt;&gt;""),Algodão!$E19:INDEX(Algodão!$E19:$Z19,MIN(AT$6-$G$3,22))),0)))))</f>
        <v>0</v>
      </c>
      <c r="AU21" s="27" t="n">
        <f aca="false">IF(COUNT(Algodão!$E19:$Z19)=0,0,MAX(0,IF((AU$6-$E$3)&lt;1,0,IFERROR(LOOKUP(2,1/(Algodão!$E19:INDEX(Algodão!$E19:$Z19,MIN(AU$6-$E$3,22))&lt;&gt;""),Algodão!$E19:INDEX(Algodão!$E19:$Z19,MIN(AU$6-$E$3,22))),0))-IF($G$2,0,IF((AU$6-$G$3)&lt;1,0,IFERROR(LOOKUP(2,1/(Algodão!$E19:INDEX(Algodão!$E19:$Z19,MIN(AU$6-$G$3,22))&lt;&gt;""),Algodão!$E19:INDEX(Algodão!$E19:$Z19,MIN(AU$6-$G$3,22))),0)))))</f>
        <v>0</v>
      </c>
      <c r="AV21" s="27" t="n">
        <f aca="false">IF(COUNT(Algodão!$E19:$Z19)=0,0,MAX(0,IF((AV$6-$E$3)&lt;1,0,IFERROR(LOOKUP(2,1/(Algodão!$E19:INDEX(Algodão!$E19:$Z19,MIN(AV$6-$E$3,22))&lt;&gt;""),Algodão!$E19:INDEX(Algodão!$E19:$Z19,MIN(AV$6-$E$3,22))),0))-IF($G$2,0,IF((AV$6-$G$3)&lt;1,0,IFERROR(LOOKUP(2,1/(Algodão!$E19:INDEX(Algodão!$E19:$Z19,MIN(AV$6-$G$3,22))&lt;&gt;""),Algodão!$E19:INDEX(Algodão!$E19:$Z19,MIN(AV$6-$G$3,22))),0)))))</f>
        <v>0</v>
      </c>
      <c r="AW21" s="27" t="n">
        <f aca="false">IF(COUNT(Algodão!$E19:$Z19)=0,0,MAX(0,IF((AW$6-$E$3)&lt;1,0,IFERROR(LOOKUP(2,1/(Algodão!$E19:INDEX(Algodão!$E19:$Z19,MIN(AW$6-$E$3,22))&lt;&gt;""),Algodão!$E19:INDEX(Algodão!$E19:$Z19,MIN(AW$6-$E$3,22))),0))-IF($G$2,0,IF((AW$6-$G$3)&lt;1,0,IFERROR(LOOKUP(2,1/(Algodão!$E19:INDEX(Algodão!$E19:$Z19,MIN(AW$6-$G$3,22))&lt;&gt;""),Algodão!$E19:INDEX(Algodão!$E19:$Z19,MIN(AW$6-$G$3,22))),0)))))</f>
        <v>0</v>
      </c>
      <c r="AX21" s="27" t="n">
        <f aca="false">IF(COUNT(Algodão!$E19:$Z19)=0,0,MAX(0,IF((AX$6-$E$3)&lt;1,0,IFERROR(LOOKUP(2,1/(Algodão!$E19:INDEX(Algodão!$E19:$Z19,MIN(AX$6-$E$3,22))&lt;&gt;""),Algodão!$E19:INDEX(Algodão!$E19:$Z19,MIN(AX$6-$E$3,22))),0))-IF($G$2,0,IF((AX$6-$G$3)&lt;1,0,IFERROR(LOOKUP(2,1/(Algodão!$E19:INDEX(Algodão!$E19:$Z19,MIN(AX$6-$G$3,22))&lt;&gt;""),Algodão!$E19:INDEX(Algodão!$E19:$Z19,MIN(AX$6-$G$3,22))),0)))))</f>
        <v>0</v>
      </c>
      <c r="AY21" s="27" t="n">
        <f aca="false">IF(COUNT(Algodão!$E19:$Z19)=0,0,MAX(0,IF((AY$6-$E$3)&lt;1,0,IFERROR(LOOKUP(2,1/(Algodão!$E19:INDEX(Algodão!$E19:$Z19,MIN(AY$6-$E$3,22))&lt;&gt;""),Algodão!$E19:INDEX(Algodão!$E19:$Z19,MIN(AY$6-$E$3,22))),0))-IF($G$2,0,IF((AY$6-$G$3)&lt;1,0,IFERROR(LOOKUP(2,1/(Algodão!$E19:INDEX(Algodão!$E19:$Z19,MIN(AY$6-$G$3,22))&lt;&gt;""),Algodão!$E19:INDEX(Algodão!$E19:$Z19,MIN(AY$6-$G$3,22))),0)))))</f>
        <v>0</v>
      </c>
      <c r="AZ21" s="27" t="n">
        <f aca="false">IF(COUNT(Algodão!$E19:$Z19)=0,0,MAX(0,IF((AZ$6-$E$3)&lt;1,0,IFERROR(LOOKUP(2,1/(Algodão!$E19:INDEX(Algodão!$E19:$Z19,MIN(AZ$6-$E$3,22))&lt;&gt;""),Algodão!$E19:INDEX(Algodão!$E19:$Z19,MIN(AZ$6-$E$3,22))),0))-IF($G$2,0,IF((AZ$6-$G$3)&lt;1,0,IFERROR(LOOKUP(2,1/(Algodão!$E19:INDEX(Algodão!$E19:$Z19,MIN(AZ$6-$G$3,22))&lt;&gt;""),Algodão!$E19:INDEX(Algodão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IF(COUNT(Algodão!$E20:$Z20)&gt;0,N(Algodão!$D20),0)</f>
        <v>0</v>
      </c>
      <c r="E22" s="27" t="n">
        <f aca="false">IF(COUNT(Algodão!$E20:$Z20)=0,0,MAX(0,IF((E$6-$E$3)&lt;1,0,IFERROR(LOOKUP(2,1/(Algodão!$E20:INDEX(Algodão!$E20:$Z20,MIN(E$6-$E$3,22))&lt;&gt;""),Algodão!$E20:INDEX(Algodão!$E20:$Z20,MIN(E$6-$E$3,22))),0))-IF($G$2,0,IF((E$6-$G$3)&lt;1,0,IFERROR(LOOKUP(2,1/(Algodão!$E20:INDEX(Algodão!$E20:$Z20,MIN(E$6-$G$3,22))&lt;&gt;""),Algodão!$E20:INDEX(Algodão!$E20:$Z20,MIN(E$6-$G$3,22))),0)))))</f>
        <v>0</v>
      </c>
      <c r="F22" s="27" t="n">
        <f aca="false">IF(COUNT(Algodão!$E20:$Z20)=0,0,MAX(0,IF((F$6-$E$3)&lt;1,0,IFERROR(LOOKUP(2,1/(Algodão!$E20:INDEX(Algodão!$E20:$Z20,MIN(F$6-$E$3,22))&lt;&gt;""),Algodão!$E20:INDEX(Algodão!$E20:$Z20,MIN(F$6-$E$3,22))),0))-IF($G$2,0,IF((F$6-$G$3)&lt;1,0,IFERROR(LOOKUP(2,1/(Algodão!$E20:INDEX(Algodão!$E20:$Z20,MIN(F$6-$G$3,22))&lt;&gt;""),Algodão!$E20:INDEX(Algodão!$E20:$Z20,MIN(F$6-$G$3,22))),0)))))</f>
        <v>0</v>
      </c>
      <c r="G22" s="27" t="n">
        <f aca="false">IF(COUNT(Algodão!$E20:$Z20)=0,0,MAX(0,IF((G$6-$E$3)&lt;1,0,IFERROR(LOOKUP(2,1/(Algodão!$E20:INDEX(Algodão!$E20:$Z20,MIN(G$6-$E$3,22))&lt;&gt;""),Algodão!$E20:INDEX(Algodão!$E20:$Z20,MIN(G$6-$E$3,22))),0))-IF($G$2,0,IF((G$6-$G$3)&lt;1,0,IFERROR(LOOKUP(2,1/(Algodão!$E20:INDEX(Algodão!$E20:$Z20,MIN(G$6-$G$3,22))&lt;&gt;""),Algodão!$E20:INDEX(Algodão!$E20:$Z20,MIN(G$6-$G$3,22))),0)))))</f>
        <v>0</v>
      </c>
      <c r="H22" s="27" t="n">
        <f aca="false">IF(COUNT(Algodão!$E20:$Z20)=0,0,MAX(0,IF((H$6-$E$3)&lt;1,0,IFERROR(LOOKUP(2,1/(Algodão!$E20:INDEX(Algodão!$E20:$Z20,MIN(H$6-$E$3,22))&lt;&gt;""),Algodão!$E20:INDEX(Algodão!$E20:$Z20,MIN(H$6-$E$3,22))),0))-IF($G$2,0,IF((H$6-$G$3)&lt;1,0,IFERROR(LOOKUP(2,1/(Algodão!$E20:INDEX(Algodão!$E20:$Z20,MIN(H$6-$G$3,22))&lt;&gt;""),Algodão!$E20:INDEX(Algodão!$E20:$Z20,MIN(H$6-$G$3,22))),0)))))</f>
        <v>0</v>
      </c>
      <c r="I22" s="27" t="n">
        <f aca="false">IF(COUNT(Algodão!$E20:$Z20)=0,0,MAX(0,IF((I$6-$E$3)&lt;1,0,IFERROR(LOOKUP(2,1/(Algodão!$E20:INDEX(Algodão!$E20:$Z20,MIN(I$6-$E$3,22))&lt;&gt;""),Algodão!$E20:INDEX(Algodão!$E20:$Z20,MIN(I$6-$E$3,22))),0))-IF($G$2,0,IF((I$6-$G$3)&lt;1,0,IFERROR(LOOKUP(2,1/(Algodão!$E20:INDEX(Algodão!$E20:$Z20,MIN(I$6-$G$3,22))&lt;&gt;""),Algodão!$E20:INDEX(Algodão!$E20:$Z20,MIN(I$6-$G$3,22))),0)))))</f>
        <v>0</v>
      </c>
      <c r="J22" s="27" t="n">
        <f aca="false">IF(COUNT(Algodão!$E20:$Z20)=0,0,MAX(0,IF((J$6-$E$3)&lt;1,0,IFERROR(LOOKUP(2,1/(Algodão!$E20:INDEX(Algodão!$E20:$Z20,MIN(J$6-$E$3,22))&lt;&gt;""),Algodão!$E20:INDEX(Algodão!$E20:$Z20,MIN(J$6-$E$3,22))),0))-IF($G$2,0,IF((J$6-$G$3)&lt;1,0,IFERROR(LOOKUP(2,1/(Algodão!$E20:INDEX(Algodão!$E20:$Z20,MIN(J$6-$G$3,22))&lt;&gt;""),Algodão!$E20:INDEX(Algodão!$E20:$Z20,MIN(J$6-$G$3,22))),0)))))</f>
        <v>0</v>
      </c>
      <c r="K22" s="27" t="n">
        <f aca="false">IF(COUNT(Algodão!$E20:$Z20)=0,0,MAX(0,IF((K$6-$E$3)&lt;1,0,IFERROR(LOOKUP(2,1/(Algodão!$E20:INDEX(Algodão!$E20:$Z20,MIN(K$6-$E$3,22))&lt;&gt;""),Algodão!$E20:INDEX(Algodão!$E20:$Z20,MIN(K$6-$E$3,22))),0))-IF($G$2,0,IF((K$6-$G$3)&lt;1,0,IFERROR(LOOKUP(2,1/(Algodão!$E20:INDEX(Algodão!$E20:$Z20,MIN(K$6-$G$3,22))&lt;&gt;""),Algodão!$E20:INDEX(Algodão!$E20:$Z20,MIN(K$6-$G$3,22))),0)))))</f>
        <v>0</v>
      </c>
      <c r="L22" s="27" t="n">
        <f aca="false">IF(COUNT(Algodão!$E20:$Z20)=0,0,MAX(0,IF((L$6-$E$3)&lt;1,0,IFERROR(LOOKUP(2,1/(Algodão!$E20:INDEX(Algodão!$E20:$Z20,MIN(L$6-$E$3,22))&lt;&gt;""),Algodão!$E20:INDEX(Algodão!$E20:$Z20,MIN(L$6-$E$3,22))),0))-IF($G$2,0,IF((L$6-$G$3)&lt;1,0,IFERROR(LOOKUP(2,1/(Algodão!$E20:INDEX(Algodão!$E20:$Z20,MIN(L$6-$G$3,22))&lt;&gt;""),Algodão!$E20:INDEX(Algodão!$E20:$Z20,MIN(L$6-$G$3,22))),0)))))</f>
        <v>0</v>
      </c>
      <c r="M22" s="27" t="n">
        <f aca="false">IF(COUNT(Algodão!$E20:$Z20)=0,0,MAX(0,IF((M$6-$E$3)&lt;1,0,IFERROR(LOOKUP(2,1/(Algodão!$E20:INDEX(Algodão!$E20:$Z20,MIN(M$6-$E$3,22))&lt;&gt;""),Algodão!$E20:INDEX(Algodão!$E20:$Z20,MIN(M$6-$E$3,22))),0))-IF($G$2,0,IF((M$6-$G$3)&lt;1,0,IFERROR(LOOKUP(2,1/(Algodão!$E20:INDEX(Algodão!$E20:$Z20,MIN(M$6-$G$3,22))&lt;&gt;""),Algodão!$E20:INDEX(Algodão!$E20:$Z20,MIN(M$6-$G$3,22))),0)))))</f>
        <v>0</v>
      </c>
      <c r="N22" s="27" t="n">
        <f aca="false">IF(COUNT(Algodão!$E20:$Z20)=0,0,MAX(0,IF((N$6-$E$3)&lt;1,0,IFERROR(LOOKUP(2,1/(Algodão!$E20:INDEX(Algodão!$E20:$Z20,MIN(N$6-$E$3,22))&lt;&gt;""),Algodão!$E20:INDEX(Algodão!$E20:$Z20,MIN(N$6-$E$3,22))),0))-IF($G$2,0,IF((N$6-$G$3)&lt;1,0,IFERROR(LOOKUP(2,1/(Algodão!$E20:INDEX(Algodão!$E20:$Z20,MIN(N$6-$G$3,22))&lt;&gt;""),Algodão!$E20:INDEX(Algodão!$E20:$Z20,MIN(N$6-$G$3,22))),0)))))</f>
        <v>0</v>
      </c>
      <c r="O22" s="27" t="n">
        <f aca="false">IF(COUNT(Algodão!$E20:$Z20)=0,0,MAX(0,IF((O$6-$E$3)&lt;1,0,IFERROR(LOOKUP(2,1/(Algodão!$E20:INDEX(Algodão!$E20:$Z20,MIN(O$6-$E$3,22))&lt;&gt;""),Algodão!$E20:INDEX(Algodão!$E20:$Z20,MIN(O$6-$E$3,22))),0))-IF($G$2,0,IF((O$6-$G$3)&lt;1,0,IFERROR(LOOKUP(2,1/(Algodão!$E20:INDEX(Algodão!$E20:$Z20,MIN(O$6-$G$3,22))&lt;&gt;""),Algodão!$E20:INDEX(Algodão!$E20:$Z20,MIN(O$6-$G$3,22))),0)))))</f>
        <v>0</v>
      </c>
      <c r="P22" s="27" t="n">
        <f aca="false">IF(COUNT(Algodão!$E20:$Z20)=0,0,MAX(0,IF((P$6-$E$3)&lt;1,0,IFERROR(LOOKUP(2,1/(Algodão!$E20:INDEX(Algodão!$E20:$Z20,MIN(P$6-$E$3,22))&lt;&gt;""),Algodão!$E20:INDEX(Algodão!$E20:$Z20,MIN(P$6-$E$3,22))),0))-IF($G$2,0,IF((P$6-$G$3)&lt;1,0,IFERROR(LOOKUP(2,1/(Algodão!$E20:INDEX(Algodão!$E20:$Z20,MIN(P$6-$G$3,22))&lt;&gt;""),Algodão!$E20:INDEX(Algodão!$E20:$Z20,MIN(P$6-$G$3,22))),0)))))</f>
        <v>0</v>
      </c>
      <c r="Q22" s="27" t="n">
        <f aca="false">IF(COUNT(Algodão!$E20:$Z20)=0,0,MAX(0,IF((Q$6-$E$3)&lt;1,0,IFERROR(LOOKUP(2,1/(Algodão!$E20:INDEX(Algodão!$E20:$Z20,MIN(Q$6-$E$3,22))&lt;&gt;""),Algodão!$E20:INDEX(Algodão!$E20:$Z20,MIN(Q$6-$E$3,22))),0))-IF($G$2,0,IF((Q$6-$G$3)&lt;1,0,IFERROR(LOOKUP(2,1/(Algodão!$E20:INDEX(Algodão!$E20:$Z20,MIN(Q$6-$G$3,22))&lt;&gt;""),Algodão!$E20:INDEX(Algodão!$E20:$Z20,MIN(Q$6-$G$3,22))),0)))))</f>
        <v>0</v>
      </c>
      <c r="R22" s="27" t="n">
        <f aca="false">IF(COUNT(Algodão!$E20:$Z20)=0,0,MAX(0,IF((R$6-$E$3)&lt;1,0,IFERROR(LOOKUP(2,1/(Algodão!$E20:INDEX(Algodão!$E20:$Z20,MIN(R$6-$E$3,22))&lt;&gt;""),Algodão!$E20:INDEX(Algodão!$E20:$Z20,MIN(R$6-$E$3,22))),0))-IF($G$2,0,IF((R$6-$G$3)&lt;1,0,IFERROR(LOOKUP(2,1/(Algodão!$E20:INDEX(Algodão!$E20:$Z20,MIN(R$6-$G$3,22))&lt;&gt;""),Algodão!$E20:INDEX(Algodão!$E20:$Z20,MIN(R$6-$G$3,22))),0)))))</f>
        <v>0</v>
      </c>
      <c r="S22" s="27" t="n">
        <f aca="false">IF(COUNT(Algodão!$E20:$Z20)=0,0,MAX(0,IF((S$6-$E$3)&lt;1,0,IFERROR(LOOKUP(2,1/(Algodão!$E20:INDEX(Algodão!$E20:$Z20,MIN(S$6-$E$3,22))&lt;&gt;""),Algodão!$E20:INDEX(Algodão!$E20:$Z20,MIN(S$6-$E$3,22))),0))-IF($G$2,0,IF((S$6-$G$3)&lt;1,0,IFERROR(LOOKUP(2,1/(Algodão!$E20:INDEX(Algodão!$E20:$Z20,MIN(S$6-$G$3,22))&lt;&gt;""),Algodão!$E20:INDEX(Algodão!$E20:$Z20,MIN(S$6-$G$3,22))),0)))))</f>
        <v>0</v>
      </c>
      <c r="T22" s="27" t="n">
        <f aca="false">IF(COUNT(Algodão!$E20:$Z20)=0,0,MAX(0,IF((T$6-$E$3)&lt;1,0,IFERROR(LOOKUP(2,1/(Algodão!$E20:INDEX(Algodão!$E20:$Z20,MIN(T$6-$E$3,22))&lt;&gt;""),Algodão!$E20:INDEX(Algodão!$E20:$Z20,MIN(T$6-$E$3,22))),0))-IF($G$2,0,IF((T$6-$G$3)&lt;1,0,IFERROR(LOOKUP(2,1/(Algodão!$E20:INDEX(Algodão!$E20:$Z20,MIN(T$6-$G$3,22))&lt;&gt;""),Algodão!$E20:INDEX(Algodão!$E20:$Z20,MIN(T$6-$G$3,22))),0)))))</f>
        <v>0</v>
      </c>
      <c r="U22" s="27" t="n">
        <f aca="false">IF(COUNT(Algodão!$E20:$Z20)=0,0,MAX(0,IF((U$6-$E$3)&lt;1,0,IFERROR(LOOKUP(2,1/(Algodão!$E20:INDEX(Algodão!$E20:$Z20,MIN(U$6-$E$3,22))&lt;&gt;""),Algodão!$E20:INDEX(Algodão!$E20:$Z20,MIN(U$6-$E$3,22))),0))-IF($G$2,0,IF((U$6-$G$3)&lt;1,0,IFERROR(LOOKUP(2,1/(Algodão!$E20:INDEX(Algodão!$E20:$Z20,MIN(U$6-$G$3,22))&lt;&gt;""),Algodão!$E20:INDEX(Algodão!$E20:$Z20,MIN(U$6-$G$3,22))),0)))))</f>
        <v>0</v>
      </c>
      <c r="V22" s="27" t="n">
        <f aca="false">IF(COUNT(Algodão!$E20:$Z20)=0,0,MAX(0,IF((V$6-$E$3)&lt;1,0,IFERROR(LOOKUP(2,1/(Algodão!$E20:INDEX(Algodão!$E20:$Z20,MIN(V$6-$E$3,22))&lt;&gt;""),Algodão!$E20:INDEX(Algodão!$E20:$Z20,MIN(V$6-$E$3,22))),0))-IF($G$2,0,IF((V$6-$G$3)&lt;1,0,IFERROR(LOOKUP(2,1/(Algodão!$E20:INDEX(Algodão!$E20:$Z20,MIN(V$6-$G$3,22))&lt;&gt;""),Algodão!$E20:INDEX(Algodão!$E20:$Z20,MIN(V$6-$G$3,22))),0)))))</f>
        <v>0</v>
      </c>
      <c r="W22" s="27" t="n">
        <f aca="false">IF(COUNT(Algodão!$E20:$Z20)=0,0,MAX(0,IF((W$6-$E$3)&lt;1,0,IFERROR(LOOKUP(2,1/(Algodão!$E20:INDEX(Algodão!$E20:$Z20,MIN(W$6-$E$3,22))&lt;&gt;""),Algodão!$E20:INDEX(Algodão!$E20:$Z20,MIN(W$6-$E$3,22))),0))-IF($G$2,0,IF((W$6-$G$3)&lt;1,0,IFERROR(LOOKUP(2,1/(Algodão!$E20:INDEX(Algodão!$E20:$Z20,MIN(W$6-$G$3,22))&lt;&gt;""),Algodão!$E20:INDEX(Algodão!$E20:$Z20,MIN(W$6-$G$3,22))),0)))))</f>
        <v>0</v>
      </c>
      <c r="X22" s="27" t="n">
        <f aca="false">IF(COUNT(Algodão!$E20:$Z20)=0,0,MAX(0,IF((X$6-$E$3)&lt;1,0,IFERROR(LOOKUP(2,1/(Algodão!$E20:INDEX(Algodão!$E20:$Z20,MIN(X$6-$E$3,22))&lt;&gt;""),Algodão!$E20:INDEX(Algodão!$E20:$Z20,MIN(X$6-$E$3,22))),0))-IF($G$2,0,IF((X$6-$G$3)&lt;1,0,IFERROR(LOOKUP(2,1/(Algodão!$E20:INDEX(Algodão!$E20:$Z20,MIN(X$6-$G$3,22))&lt;&gt;""),Algodão!$E20:INDEX(Algodão!$E20:$Z20,MIN(X$6-$G$3,22))),0)))))</f>
        <v>0</v>
      </c>
      <c r="Y22" s="27" t="n">
        <f aca="false">IF(COUNT(Algodão!$E20:$Z20)=0,0,MAX(0,IF((Y$6-$E$3)&lt;1,0,IFERROR(LOOKUP(2,1/(Algodão!$E20:INDEX(Algodão!$E20:$Z20,MIN(Y$6-$E$3,22))&lt;&gt;""),Algodão!$E20:INDEX(Algodão!$E20:$Z20,MIN(Y$6-$E$3,22))),0))-IF($G$2,0,IF((Y$6-$G$3)&lt;1,0,IFERROR(LOOKUP(2,1/(Algodão!$E20:INDEX(Algodão!$E20:$Z20,MIN(Y$6-$G$3,22))&lt;&gt;""),Algodão!$E20:INDEX(Algodão!$E20:$Z20,MIN(Y$6-$G$3,22))),0)))))</f>
        <v>0</v>
      </c>
      <c r="Z22" s="27" t="n">
        <f aca="false">IF(COUNT(Algodão!$E20:$Z20)=0,0,MAX(0,IF((Z$6-$E$3)&lt;1,0,IFERROR(LOOKUP(2,1/(Algodão!$E20:INDEX(Algodão!$E20:$Z20,MIN(Z$6-$E$3,22))&lt;&gt;""),Algodão!$E20:INDEX(Algodão!$E20:$Z20,MIN(Z$6-$E$3,22))),0))-IF($G$2,0,IF((Z$6-$G$3)&lt;1,0,IFERROR(LOOKUP(2,1/(Algodão!$E20:INDEX(Algodão!$E20:$Z20,MIN(Z$6-$G$3,22))&lt;&gt;""),Algodão!$E20:INDEX(Algodão!$E20:$Z20,MIN(Z$6-$G$3,22))),0)))))</f>
        <v>0</v>
      </c>
      <c r="AA22" s="27" t="n">
        <f aca="false">IF(COUNT(Algodão!$E20:$Z20)=0,0,MAX(0,IF((AA$6-$E$3)&lt;1,0,IFERROR(LOOKUP(2,1/(Algodão!$E20:INDEX(Algodão!$E20:$Z20,MIN(AA$6-$E$3,22))&lt;&gt;""),Algodão!$E20:INDEX(Algodão!$E20:$Z20,MIN(AA$6-$E$3,22))),0))-IF($G$2,0,IF((AA$6-$G$3)&lt;1,0,IFERROR(LOOKUP(2,1/(Algodão!$E20:INDEX(Algodão!$E20:$Z20,MIN(AA$6-$G$3,22))&lt;&gt;""),Algodão!$E20:INDEX(Algodão!$E20:$Z20,MIN(AA$6-$G$3,22))),0)))))</f>
        <v>0</v>
      </c>
      <c r="AB22" s="27" t="n">
        <f aca="false">IF(COUNT(Algodão!$E20:$Z20)=0,0,MAX(0,IF((AB$6-$E$3)&lt;1,0,IFERROR(LOOKUP(2,1/(Algodão!$E20:INDEX(Algodão!$E20:$Z20,MIN(AB$6-$E$3,22))&lt;&gt;""),Algodão!$E20:INDEX(Algodão!$E20:$Z20,MIN(AB$6-$E$3,22))),0))-IF($G$2,0,IF((AB$6-$G$3)&lt;1,0,IFERROR(LOOKUP(2,1/(Algodão!$E20:INDEX(Algodão!$E20:$Z20,MIN(AB$6-$G$3,22))&lt;&gt;""),Algodão!$E20:INDEX(Algodão!$E20:$Z20,MIN(AB$6-$G$3,22))),0)))))</f>
        <v>0</v>
      </c>
      <c r="AC22" s="27" t="n">
        <f aca="false">IF(COUNT(Algodão!$E20:$Z20)=0,0,MAX(0,IF((AC$6-$E$3)&lt;1,0,IFERROR(LOOKUP(2,1/(Algodão!$E20:INDEX(Algodão!$E20:$Z20,MIN(AC$6-$E$3,22))&lt;&gt;""),Algodão!$E20:INDEX(Algodão!$E20:$Z20,MIN(AC$6-$E$3,22))),0))-IF($G$2,0,IF((AC$6-$G$3)&lt;1,0,IFERROR(LOOKUP(2,1/(Algodão!$E20:INDEX(Algodão!$E20:$Z20,MIN(AC$6-$G$3,22))&lt;&gt;""),Algodão!$E20:INDEX(Algodão!$E20:$Z20,MIN(AC$6-$G$3,22))),0)))))</f>
        <v>0</v>
      </c>
      <c r="AD22" s="27" t="n">
        <f aca="false">IF(COUNT(Algodão!$E20:$Z20)=0,0,MAX(0,IF((AD$6-$E$3)&lt;1,0,IFERROR(LOOKUP(2,1/(Algodão!$E20:INDEX(Algodão!$E20:$Z20,MIN(AD$6-$E$3,22))&lt;&gt;""),Algodão!$E20:INDEX(Algodão!$E20:$Z20,MIN(AD$6-$E$3,22))),0))-IF($G$2,0,IF((AD$6-$G$3)&lt;1,0,IFERROR(LOOKUP(2,1/(Algodão!$E20:INDEX(Algodão!$E20:$Z20,MIN(AD$6-$G$3,22))&lt;&gt;""),Algodão!$E20:INDEX(Algodão!$E20:$Z20,MIN(AD$6-$G$3,22))),0)))))</f>
        <v>0</v>
      </c>
      <c r="AE22" s="27" t="n">
        <f aca="false">IF(COUNT(Algodão!$E20:$Z20)=0,0,MAX(0,IF((AE$6-$E$3)&lt;1,0,IFERROR(LOOKUP(2,1/(Algodão!$E20:INDEX(Algodão!$E20:$Z20,MIN(AE$6-$E$3,22))&lt;&gt;""),Algodão!$E20:INDEX(Algodão!$E20:$Z20,MIN(AE$6-$E$3,22))),0))-IF($G$2,0,IF((AE$6-$G$3)&lt;1,0,IFERROR(LOOKUP(2,1/(Algodão!$E20:INDEX(Algodão!$E20:$Z20,MIN(AE$6-$G$3,22))&lt;&gt;""),Algodão!$E20:INDEX(Algodão!$E20:$Z20,MIN(AE$6-$G$3,22))),0)))))</f>
        <v>0</v>
      </c>
      <c r="AF22" s="27" t="n">
        <f aca="false">IF(COUNT(Algodão!$E20:$Z20)=0,0,MAX(0,IF((AF$6-$E$3)&lt;1,0,IFERROR(LOOKUP(2,1/(Algodão!$E20:INDEX(Algodão!$E20:$Z20,MIN(AF$6-$E$3,22))&lt;&gt;""),Algodão!$E20:INDEX(Algodão!$E20:$Z20,MIN(AF$6-$E$3,22))),0))-IF($G$2,0,IF((AF$6-$G$3)&lt;1,0,IFERROR(LOOKUP(2,1/(Algodão!$E20:INDEX(Algodão!$E20:$Z20,MIN(AF$6-$G$3,22))&lt;&gt;""),Algodão!$E20:INDEX(Algodão!$E20:$Z20,MIN(AF$6-$G$3,22))),0)))))</f>
        <v>0</v>
      </c>
      <c r="AG22" s="27" t="n">
        <f aca="false">IF(COUNT(Algodão!$E20:$Z20)=0,0,MAX(0,IF((AG$6-$E$3)&lt;1,0,IFERROR(LOOKUP(2,1/(Algodão!$E20:INDEX(Algodão!$E20:$Z20,MIN(AG$6-$E$3,22))&lt;&gt;""),Algodão!$E20:INDEX(Algodão!$E20:$Z20,MIN(AG$6-$E$3,22))),0))-IF($G$2,0,IF((AG$6-$G$3)&lt;1,0,IFERROR(LOOKUP(2,1/(Algodão!$E20:INDEX(Algodão!$E20:$Z20,MIN(AG$6-$G$3,22))&lt;&gt;""),Algodão!$E20:INDEX(Algodão!$E20:$Z20,MIN(AG$6-$G$3,22))),0)))))</f>
        <v>0</v>
      </c>
      <c r="AH22" s="27" t="n">
        <f aca="false">IF(COUNT(Algodão!$E20:$Z20)=0,0,MAX(0,IF((AH$6-$E$3)&lt;1,0,IFERROR(LOOKUP(2,1/(Algodão!$E20:INDEX(Algodão!$E20:$Z20,MIN(AH$6-$E$3,22))&lt;&gt;""),Algodão!$E20:INDEX(Algodão!$E20:$Z20,MIN(AH$6-$E$3,22))),0))-IF($G$2,0,IF((AH$6-$G$3)&lt;1,0,IFERROR(LOOKUP(2,1/(Algodão!$E20:INDEX(Algodão!$E20:$Z20,MIN(AH$6-$G$3,22))&lt;&gt;""),Algodão!$E20:INDEX(Algodão!$E20:$Z20,MIN(AH$6-$G$3,22))),0)))))</f>
        <v>0</v>
      </c>
      <c r="AI22" s="27" t="n">
        <f aca="false">IF(COUNT(Algodão!$E20:$Z20)=0,0,MAX(0,IF((AI$6-$E$3)&lt;1,0,IFERROR(LOOKUP(2,1/(Algodão!$E20:INDEX(Algodão!$E20:$Z20,MIN(AI$6-$E$3,22))&lt;&gt;""),Algodão!$E20:INDEX(Algodão!$E20:$Z20,MIN(AI$6-$E$3,22))),0))-IF($G$2,0,IF((AI$6-$G$3)&lt;1,0,IFERROR(LOOKUP(2,1/(Algodão!$E20:INDEX(Algodão!$E20:$Z20,MIN(AI$6-$G$3,22))&lt;&gt;""),Algodão!$E20:INDEX(Algodão!$E20:$Z20,MIN(AI$6-$G$3,22))),0)))))</f>
        <v>0</v>
      </c>
      <c r="AJ22" s="27" t="n">
        <f aca="false">IF(COUNT(Algodão!$E20:$Z20)=0,0,MAX(0,IF((AJ$6-$E$3)&lt;1,0,IFERROR(LOOKUP(2,1/(Algodão!$E20:INDEX(Algodão!$E20:$Z20,MIN(AJ$6-$E$3,22))&lt;&gt;""),Algodão!$E20:INDEX(Algodão!$E20:$Z20,MIN(AJ$6-$E$3,22))),0))-IF($G$2,0,IF((AJ$6-$G$3)&lt;1,0,IFERROR(LOOKUP(2,1/(Algodão!$E20:INDEX(Algodão!$E20:$Z20,MIN(AJ$6-$G$3,22))&lt;&gt;""),Algodão!$E20:INDEX(Algodão!$E20:$Z20,MIN(AJ$6-$G$3,22))),0)))))</f>
        <v>0</v>
      </c>
      <c r="AK22" s="27" t="n">
        <f aca="false">IF(COUNT(Algodão!$E20:$Z20)=0,0,MAX(0,IF((AK$6-$E$3)&lt;1,0,IFERROR(LOOKUP(2,1/(Algodão!$E20:INDEX(Algodão!$E20:$Z20,MIN(AK$6-$E$3,22))&lt;&gt;""),Algodão!$E20:INDEX(Algodão!$E20:$Z20,MIN(AK$6-$E$3,22))),0))-IF($G$2,0,IF((AK$6-$G$3)&lt;1,0,IFERROR(LOOKUP(2,1/(Algodão!$E20:INDEX(Algodão!$E20:$Z20,MIN(AK$6-$G$3,22))&lt;&gt;""),Algodão!$E20:INDEX(Algodão!$E20:$Z20,MIN(AK$6-$G$3,22))),0)))))</f>
        <v>0</v>
      </c>
      <c r="AL22" s="27" t="n">
        <f aca="false">IF(COUNT(Algodão!$E20:$Z20)=0,0,MAX(0,IF((AL$6-$E$3)&lt;1,0,IFERROR(LOOKUP(2,1/(Algodão!$E20:INDEX(Algodão!$E20:$Z20,MIN(AL$6-$E$3,22))&lt;&gt;""),Algodão!$E20:INDEX(Algodão!$E20:$Z20,MIN(AL$6-$E$3,22))),0))-IF($G$2,0,IF((AL$6-$G$3)&lt;1,0,IFERROR(LOOKUP(2,1/(Algodão!$E20:INDEX(Algodão!$E20:$Z20,MIN(AL$6-$G$3,22))&lt;&gt;""),Algodão!$E20:INDEX(Algodão!$E20:$Z20,MIN(AL$6-$G$3,22))),0)))))</f>
        <v>0</v>
      </c>
      <c r="AM22" s="27" t="n">
        <f aca="false">IF(COUNT(Algodão!$E20:$Z20)=0,0,MAX(0,IF((AM$6-$E$3)&lt;1,0,IFERROR(LOOKUP(2,1/(Algodão!$E20:INDEX(Algodão!$E20:$Z20,MIN(AM$6-$E$3,22))&lt;&gt;""),Algodão!$E20:INDEX(Algodão!$E20:$Z20,MIN(AM$6-$E$3,22))),0))-IF($G$2,0,IF((AM$6-$G$3)&lt;1,0,IFERROR(LOOKUP(2,1/(Algodão!$E20:INDEX(Algodão!$E20:$Z20,MIN(AM$6-$G$3,22))&lt;&gt;""),Algodão!$E20:INDEX(Algodão!$E20:$Z20,MIN(AM$6-$G$3,22))),0)))))</f>
        <v>0</v>
      </c>
      <c r="AN22" s="27" t="n">
        <f aca="false">IF(COUNT(Algodão!$E20:$Z20)=0,0,MAX(0,IF((AN$6-$E$3)&lt;1,0,IFERROR(LOOKUP(2,1/(Algodão!$E20:INDEX(Algodão!$E20:$Z20,MIN(AN$6-$E$3,22))&lt;&gt;""),Algodão!$E20:INDEX(Algodão!$E20:$Z20,MIN(AN$6-$E$3,22))),0))-IF($G$2,0,IF((AN$6-$G$3)&lt;1,0,IFERROR(LOOKUP(2,1/(Algodão!$E20:INDEX(Algodão!$E20:$Z20,MIN(AN$6-$G$3,22))&lt;&gt;""),Algodão!$E20:INDEX(Algodão!$E20:$Z20,MIN(AN$6-$G$3,22))),0)))))</f>
        <v>0</v>
      </c>
      <c r="AO22" s="27" t="n">
        <f aca="false">IF(COUNT(Algodão!$E20:$Z20)=0,0,MAX(0,IF((AO$6-$E$3)&lt;1,0,IFERROR(LOOKUP(2,1/(Algodão!$E20:INDEX(Algodão!$E20:$Z20,MIN(AO$6-$E$3,22))&lt;&gt;""),Algodão!$E20:INDEX(Algodão!$E20:$Z20,MIN(AO$6-$E$3,22))),0))-IF($G$2,0,IF((AO$6-$G$3)&lt;1,0,IFERROR(LOOKUP(2,1/(Algodão!$E20:INDEX(Algodão!$E20:$Z20,MIN(AO$6-$G$3,22))&lt;&gt;""),Algodão!$E20:INDEX(Algodão!$E20:$Z20,MIN(AO$6-$G$3,22))),0)))))</f>
        <v>0</v>
      </c>
      <c r="AP22" s="27" t="n">
        <f aca="false">IF(COUNT(Algodão!$E20:$Z20)=0,0,MAX(0,IF((AP$6-$E$3)&lt;1,0,IFERROR(LOOKUP(2,1/(Algodão!$E20:INDEX(Algodão!$E20:$Z20,MIN(AP$6-$E$3,22))&lt;&gt;""),Algodão!$E20:INDEX(Algodão!$E20:$Z20,MIN(AP$6-$E$3,22))),0))-IF($G$2,0,IF((AP$6-$G$3)&lt;1,0,IFERROR(LOOKUP(2,1/(Algodão!$E20:INDEX(Algodão!$E20:$Z20,MIN(AP$6-$G$3,22))&lt;&gt;""),Algodão!$E20:INDEX(Algodão!$E20:$Z20,MIN(AP$6-$G$3,22))),0)))))</f>
        <v>0</v>
      </c>
      <c r="AQ22" s="27" t="n">
        <f aca="false">IF(COUNT(Algodão!$E20:$Z20)=0,0,MAX(0,IF((AQ$6-$E$3)&lt;1,0,IFERROR(LOOKUP(2,1/(Algodão!$E20:INDEX(Algodão!$E20:$Z20,MIN(AQ$6-$E$3,22))&lt;&gt;""),Algodão!$E20:INDEX(Algodão!$E20:$Z20,MIN(AQ$6-$E$3,22))),0))-IF($G$2,0,IF((AQ$6-$G$3)&lt;1,0,IFERROR(LOOKUP(2,1/(Algodão!$E20:INDEX(Algodão!$E20:$Z20,MIN(AQ$6-$G$3,22))&lt;&gt;""),Algodão!$E20:INDEX(Algodão!$E20:$Z20,MIN(AQ$6-$G$3,22))),0)))))</f>
        <v>0</v>
      </c>
      <c r="AR22" s="27" t="n">
        <f aca="false">IF(COUNT(Algodão!$E20:$Z20)=0,0,MAX(0,IF((AR$6-$E$3)&lt;1,0,IFERROR(LOOKUP(2,1/(Algodão!$E20:INDEX(Algodão!$E20:$Z20,MIN(AR$6-$E$3,22))&lt;&gt;""),Algodão!$E20:INDEX(Algodão!$E20:$Z20,MIN(AR$6-$E$3,22))),0))-IF($G$2,0,IF((AR$6-$G$3)&lt;1,0,IFERROR(LOOKUP(2,1/(Algodão!$E20:INDEX(Algodão!$E20:$Z20,MIN(AR$6-$G$3,22))&lt;&gt;""),Algodão!$E20:INDEX(Algodão!$E20:$Z20,MIN(AR$6-$G$3,22))),0)))))</f>
        <v>0</v>
      </c>
      <c r="AS22" s="27" t="n">
        <f aca="false">IF(COUNT(Algodão!$E20:$Z20)=0,0,MAX(0,IF((AS$6-$E$3)&lt;1,0,IFERROR(LOOKUP(2,1/(Algodão!$E20:INDEX(Algodão!$E20:$Z20,MIN(AS$6-$E$3,22))&lt;&gt;""),Algodão!$E20:INDEX(Algodão!$E20:$Z20,MIN(AS$6-$E$3,22))),0))-IF($G$2,0,IF((AS$6-$G$3)&lt;1,0,IFERROR(LOOKUP(2,1/(Algodão!$E20:INDEX(Algodão!$E20:$Z20,MIN(AS$6-$G$3,22))&lt;&gt;""),Algodão!$E20:INDEX(Algodão!$E20:$Z20,MIN(AS$6-$G$3,22))),0)))))</f>
        <v>0</v>
      </c>
      <c r="AT22" s="27" t="n">
        <f aca="false">IF(COUNT(Algodão!$E20:$Z20)=0,0,MAX(0,IF((AT$6-$E$3)&lt;1,0,IFERROR(LOOKUP(2,1/(Algodão!$E20:INDEX(Algodão!$E20:$Z20,MIN(AT$6-$E$3,22))&lt;&gt;""),Algodão!$E20:INDEX(Algodão!$E20:$Z20,MIN(AT$6-$E$3,22))),0))-IF($G$2,0,IF((AT$6-$G$3)&lt;1,0,IFERROR(LOOKUP(2,1/(Algodão!$E20:INDEX(Algodão!$E20:$Z20,MIN(AT$6-$G$3,22))&lt;&gt;""),Algodão!$E20:INDEX(Algodão!$E20:$Z20,MIN(AT$6-$G$3,22))),0)))))</f>
        <v>0</v>
      </c>
      <c r="AU22" s="27" t="n">
        <f aca="false">IF(COUNT(Algodão!$E20:$Z20)=0,0,MAX(0,IF((AU$6-$E$3)&lt;1,0,IFERROR(LOOKUP(2,1/(Algodão!$E20:INDEX(Algodão!$E20:$Z20,MIN(AU$6-$E$3,22))&lt;&gt;""),Algodão!$E20:INDEX(Algodão!$E20:$Z20,MIN(AU$6-$E$3,22))),0))-IF($G$2,0,IF((AU$6-$G$3)&lt;1,0,IFERROR(LOOKUP(2,1/(Algodão!$E20:INDEX(Algodão!$E20:$Z20,MIN(AU$6-$G$3,22))&lt;&gt;""),Algodão!$E20:INDEX(Algodão!$E20:$Z20,MIN(AU$6-$G$3,22))),0)))))</f>
        <v>0</v>
      </c>
      <c r="AV22" s="27" t="n">
        <f aca="false">IF(COUNT(Algodão!$E20:$Z20)=0,0,MAX(0,IF((AV$6-$E$3)&lt;1,0,IFERROR(LOOKUP(2,1/(Algodão!$E20:INDEX(Algodão!$E20:$Z20,MIN(AV$6-$E$3,22))&lt;&gt;""),Algodão!$E20:INDEX(Algodão!$E20:$Z20,MIN(AV$6-$E$3,22))),0))-IF($G$2,0,IF((AV$6-$G$3)&lt;1,0,IFERROR(LOOKUP(2,1/(Algodão!$E20:INDEX(Algodão!$E20:$Z20,MIN(AV$6-$G$3,22))&lt;&gt;""),Algodão!$E20:INDEX(Algodão!$E20:$Z20,MIN(AV$6-$G$3,22))),0)))))</f>
        <v>0</v>
      </c>
      <c r="AW22" s="27" t="n">
        <f aca="false">IF(COUNT(Algodão!$E20:$Z20)=0,0,MAX(0,IF((AW$6-$E$3)&lt;1,0,IFERROR(LOOKUP(2,1/(Algodão!$E20:INDEX(Algodão!$E20:$Z20,MIN(AW$6-$E$3,22))&lt;&gt;""),Algodão!$E20:INDEX(Algodão!$E20:$Z20,MIN(AW$6-$E$3,22))),0))-IF($G$2,0,IF((AW$6-$G$3)&lt;1,0,IFERROR(LOOKUP(2,1/(Algodão!$E20:INDEX(Algodão!$E20:$Z20,MIN(AW$6-$G$3,22))&lt;&gt;""),Algodão!$E20:INDEX(Algodão!$E20:$Z20,MIN(AW$6-$G$3,22))),0)))))</f>
        <v>0</v>
      </c>
      <c r="AX22" s="27" t="n">
        <f aca="false">IF(COUNT(Algodão!$E20:$Z20)=0,0,MAX(0,IF((AX$6-$E$3)&lt;1,0,IFERROR(LOOKUP(2,1/(Algodão!$E20:INDEX(Algodão!$E20:$Z20,MIN(AX$6-$E$3,22))&lt;&gt;""),Algodão!$E20:INDEX(Algodão!$E20:$Z20,MIN(AX$6-$E$3,22))),0))-IF($G$2,0,IF((AX$6-$G$3)&lt;1,0,IFERROR(LOOKUP(2,1/(Algodão!$E20:INDEX(Algodão!$E20:$Z20,MIN(AX$6-$G$3,22))&lt;&gt;""),Algodão!$E20:INDEX(Algodão!$E20:$Z20,MIN(AX$6-$G$3,22))),0)))))</f>
        <v>0</v>
      </c>
      <c r="AY22" s="27" t="n">
        <f aca="false">IF(COUNT(Algodão!$E20:$Z20)=0,0,MAX(0,IF((AY$6-$E$3)&lt;1,0,IFERROR(LOOKUP(2,1/(Algodão!$E20:INDEX(Algodão!$E20:$Z20,MIN(AY$6-$E$3,22))&lt;&gt;""),Algodão!$E20:INDEX(Algodão!$E20:$Z20,MIN(AY$6-$E$3,22))),0))-IF($G$2,0,IF((AY$6-$G$3)&lt;1,0,IFERROR(LOOKUP(2,1/(Algodão!$E20:INDEX(Algodão!$E20:$Z20,MIN(AY$6-$G$3,22))&lt;&gt;""),Algodão!$E20:INDEX(Algodão!$E20:$Z20,MIN(AY$6-$G$3,22))),0)))))</f>
        <v>0</v>
      </c>
      <c r="AZ22" s="27" t="n">
        <f aca="false">IF(COUNT(Algodão!$E20:$Z20)=0,0,MAX(0,IF((AZ$6-$E$3)&lt;1,0,IFERROR(LOOKUP(2,1/(Algodão!$E20:INDEX(Algodão!$E20:$Z20,MIN(AZ$6-$E$3,22))&lt;&gt;""),Algodão!$E20:INDEX(Algodão!$E20:$Z20,MIN(AZ$6-$E$3,22))),0))-IF($G$2,0,IF((AZ$6-$G$3)&lt;1,0,IFERROR(LOOKUP(2,1/(Algodão!$E20:INDEX(Algodão!$E20:$Z20,MIN(AZ$6-$G$3,22))&lt;&gt;""),Algodão!$E20:INDEX(Algodão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IF(COUNT(Algodão!$E21:$Z21)&gt;0,N(Algodão!$D21),0)</f>
        <v>0</v>
      </c>
      <c r="E23" s="27" t="n">
        <f aca="false">IF(COUNT(Algodão!$E21:$Z21)=0,0,MAX(0,IF((E$6-$E$3)&lt;1,0,IFERROR(LOOKUP(2,1/(Algodão!$E21:INDEX(Algodão!$E21:$Z21,MIN(E$6-$E$3,22))&lt;&gt;""),Algodão!$E21:INDEX(Algodão!$E21:$Z21,MIN(E$6-$E$3,22))),0))-IF($G$2,0,IF((E$6-$G$3)&lt;1,0,IFERROR(LOOKUP(2,1/(Algodão!$E21:INDEX(Algodão!$E21:$Z21,MIN(E$6-$G$3,22))&lt;&gt;""),Algodão!$E21:INDEX(Algodão!$E21:$Z21,MIN(E$6-$G$3,22))),0)))))</f>
        <v>0</v>
      </c>
      <c r="F23" s="27" t="n">
        <f aca="false">IF(COUNT(Algodão!$E21:$Z21)=0,0,MAX(0,IF((F$6-$E$3)&lt;1,0,IFERROR(LOOKUP(2,1/(Algodão!$E21:INDEX(Algodão!$E21:$Z21,MIN(F$6-$E$3,22))&lt;&gt;""),Algodão!$E21:INDEX(Algodão!$E21:$Z21,MIN(F$6-$E$3,22))),0))-IF($G$2,0,IF((F$6-$G$3)&lt;1,0,IFERROR(LOOKUP(2,1/(Algodão!$E21:INDEX(Algodão!$E21:$Z21,MIN(F$6-$G$3,22))&lt;&gt;""),Algodão!$E21:INDEX(Algodão!$E21:$Z21,MIN(F$6-$G$3,22))),0)))))</f>
        <v>0</v>
      </c>
      <c r="G23" s="27" t="n">
        <f aca="false">IF(COUNT(Algodão!$E21:$Z21)=0,0,MAX(0,IF((G$6-$E$3)&lt;1,0,IFERROR(LOOKUP(2,1/(Algodão!$E21:INDEX(Algodão!$E21:$Z21,MIN(G$6-$E$3,22))&lt;&gt;""),Algodão!$E21:INDEX(Algodão!$E21:$Z21,MIN(G$6-$E$3,22))),0))-IF($G$2,0,IF((G$6-$G$3)&lt;1,0,IFERROR(LOOKUP(2,1/(Algodão!$E21:INDEX(Algodão!$E21:$Z21,MIN(G$6-$G$3,22))&lt;&gt;""),Algodão!$E21:INDEX(Algodão!$E21:$Z21,MIN(G$6-$G$3,22))),0)))))</f>
        <v>0</v>
      </c>
      <c r="H23" s="27" t="n">
        <f aca="false">IF(COUNT(Algodão!$E21:$Z21)=0,0,MAX(0,IF((H$6-$E$3)&lt;1,0,IFERROR(LOOKUP(2,1/(Algodão!$E21:INDEX(Algodão!$E21:$Z21,MIN(H$6-$E$3,22))&lt;&gt;""),Algodão!$E21:INDEX(Algodão!$E21:$Z21,MIN(H$6-$E$3,22))),0))-IF($G$2,0,IF((H$6-$G$3)&lt;1,0,IFERROR(LOOKUP(2,1/(Algodão!$E21:INDEX(Algodão!$E21:$Z21,MIN(H$6-$G$3,22))&lt;&gt;""),Algodão!$E21:INDEX(Algodão!$E21:$Z21,MIN(H$6-$G$3,22))),0)))))</f>
        <v>0</v>
      </c>
      <c r="I23" s="27" t="n">
        <f aca="false">IF(COUNT(Algodão!$E21:$Z21)=0,0,MAX(0,IF((I$6-$E$3)&lt;1,0,IFERROR(LOOKUP(2,1/(Algodão!$E21:INDEX(Algodão!$E21:$Z21,MIN(I$6-$E$3,22))&lt;&gt;""),Algodão!$E21:INDEX(Algodão!$E21:$Z21,MIN(I$6-$E$3,22))),0))-IF($G$2,0,IF((I$6-$G$3)&lt;1,0,IFERROR(LOOKUP(2,1/(Algodão!$E21:INDEX(Algodão!$E21:$Z21,MIN(I$6-$G$3,22))&lt;&gt;""),Algodão!$E21:INDEX(Algodão!$E21:$Z21,MIN(I$6-$G$3,22))),0)))))</f>
        <v>0</v>
      </c>
      <c r="J23" s="27" t="n">
        <f aca="false">IF(COUNT(Algodão!$E21:$Z21)=0,0,MAX(0,IF((J$6-$E$3)&lt;1,0,IFERROR(LOOKUP(2,1/(Algodão!$E21:INDEX(Algodão!$E21:$Z21,MIN(J$6-$E$3,22))&lt;&gt;""),Algodão!$E21:INDEX(Algodão!$E21:$Z21,MIN(J$6-$E$3,22))),0))-IF($G$2,0,IF((J$6-$G$3)&lt;1,0,IFERROR(LOOKUP(2,1/(Algodão!$E21:INDEX(Algodão!$E21:$Z21,MIN(J$6-$G$3,22))&lt;&gt;""),Algodão!$E21:INDEX(Algodão!$E21:$Z21,MIN(J$6-$G$3,22))),0)))))</f>
        <v>0</v>
      </c>
      <c r="K23" s="27" t="n">
        <f aca="false">IF(COUNT(Algodão!$E21:$Z21)=0,0,MAX(0,IF((K$6-$E$3)&lt;1,0,IFERROR(LOOKUP(2,1/(Algodão!$E21:INDEX(Algodão!$E21:$Z21,MIN(K$6-$E$3,22))&lt;&gt;""),Algodão!$E21:INDEX(Algodão!$E21:$Z21,MIN(K$6-$E$3,22))),0))-IF($G$2,0,IF((K$6-$G$3)&lt;1,0,IFERROR(LOOKUP(2,1/(Algodão!$E21:INDEX(Algodão!$E21:$Z21,MIN(K$6-$G$3,22))&lt;&gt;""),Algodão!$E21:INDEX(Algodão!$E21:$Z21,MIN(K$6-$G$3,22))),0)))))</f>
        <v>0</v>
      </c>
      <c r="L23" s="27" t="n">
        <f aca="false">IF(COUNT(Algodão!$E21:$Z21)=0,0,MAX(0,IF((L$6-$E$3)&lt;1,0,IFERROR(LOOKUP(2,1/(Algodão!$E21:INDEX(Algodão!$E21:$Z21,MIN(L$6-$E$3,22))&lt;&gt;""),Algodão!$E21:INDEX(Algodão!$E21:$Z21,MIN(L$6-$E$3,22))),0))-IF($G$2,0,IF((L$6-$G$3)&lt;1,0,IFERROR(LOOKUP(2,1/(Algodão!$E21:INDEX(Algodão!$E21:$Z21,MIN(L$6-$G$3,22))&lt;&gt;""),Algodão!$E21:INDEX(Algodão!$E21:$Z21,MIN(L$6-$G$3,22))),0)))))</f>
        <v>0</v>
      </c>
      <c r="M23" s="27" t="n">
        <f aca="false">IF(COUNT(Algodão!$E21:$Z21)=0,0,MAX(0,IF((M$6-$E$3)&lt;1,0,IFERROR(LOOKUP(2,1/(Algodão!$E21:INDEX(Algodão!$E21:$Z21,MIN(M$6-$E$3,22))&lt;&gt;""),Algodão!$E21:INDEX(Algodão!$E21:$Z21,MIN(M$6-$E$3,22))),0))-IF($G$2,0,IF((M$6-$G$3)&lt;1,0,IFERROR(LOOKUP(2,1/(Algodão!$E21:INDEX(Algodão!$E21:$Z21,MIN(M$6-$G$3,22))&lt;&gt;""),Algodão!$E21:INDEX(Algodão!$E21:$Z21,MIN(M$6-$G$3,22))),0)))))</f>
        <v>0</v>
      </c>
      <c r="N23" s="27" t="n">
        <f aca="false">IF(COUNT(Algodão!$E21:$Z21)=0,0,MAX(0,IF((N$6-$E$3)&lt;1,0,IFERROR(LOOKUP(2,1/(Algodão!$E21:INDEX(Algodão!$E21:$Z21,MIN(N$6-$E$3,22))&lt;&gt;""),Algodão!$E21:INDEX(Algodão!$E21:$Z21,MIN(N$6-$E$3,22))),0))-IF($G$2,0,IF((N$6-$G$3)&lt;1,0,IFERROR(LOOKUP(2,1/(Algodão!$E21:INDEX(Algodão!$E21:$Z21,MIN(N$6-$G$3,22))&lt;&gt;""),Algodão!$E21:INDEX(Algodão!$E21:$Z21,MIN(N$6-$G$3,22))),0)))))</f>
        <v>0</v>
      </c>
      <c r="O23" s="27" t="n">
        <f aca="false">IF(COUNT(Algodão!$E21:$Z21)=0,0,MAX(0,IF((O$6-$E$3)&lt;1,0,IFERROR(LOOKUP(2,1/(Algodão!$E21:INDEX(Algodão!$E21:$Z21,MIN(O$6-$E$3,22))&lt;&gt;""),Algodão!$E21:INDEX(Algodão!$E21:$Z21,MIN(O$6-$E$3,22))),0))-IF($G$2,0,IF((O$6-$G$3)&lt;1,0,IFERROR(LOOKUP(2,1/(Algodão!$E21:INDEX(Algodão!$E21:$Z21,MIN(O$6-$G$3,22))&lt;&gt;""),Algodão!$E21:INDEX(Algodão!$E21:$Z21,MIN(O$6-$G$3,22))),0)))))</f>
        <v>0</v>
      </c>
      <c r="P23" s="27" t="n">
        <f aca="false">IF(COUNT(Algodão!$E21:$Z21)=0,0,MAX(0,IF((P$6-$E$3)&lt;1,0,IFERROR(LOOKUP(2,1/(Algodão!$E21:INDEX(Algodão!$E21:$Z21,MIN(P$6-$E$3,22))&lt;&gt;""),Algodão!$E21:INDEX(Algodão!$E21:$Z21,MIN(P$6-$E$3,22))),0))-IF($G$2,0,IF((P$6-$G$3)&lt;1,0,IFERROR(LOOKUP(2,1/(Algodão!$E21:INDEX(Algodão!$E21:$Z21,MIN(P$6-$G$3,22))&lt;&gt;""),Algodão!$E21:INDEX(Algodão!$E21:$Z21,MIN(P$6-$G$3,22))),0)))))</f>
        <v>0</v>
      </c>
      <c r="Q23" s="27" t="n">
        <f aca="false">IF(COUNT(Algodão!$E21:$Z21)=0,0,MAX(0,IF((Q$6-$E$3)&lt;1,0,IFERROR(LOOKUP(2,1/(Algodão!$E21:INDEX(Algodão!$E21:$Z21,MIN(Q$6-$E$3,22))&lt;&gt;""),Algodão!$E21:INDEX(Algodão!$E21:$Z21,MIN(Q$6-$E$3,22))),0))-IF($G$2,0,IF((Q$6-$G$3)&lt;1,0,IFERROR(LOOKUP(2,1/(Algodão!$E21:INDEX(Algodão!$E21:$Z21,MIN(Q$6-$G$3,22))&lt;&gt;""),Algodão!$E21:INDEX(Algodão!$E21:$Z21,MIN(Q$6-$G$3,22))),0)))))</f>
        <v>0</v>
      </c>
      <c r="R23" s="27" t="n">
        <f aca="false">IF(COUNT(Algodão!$E21:$Z21)=0,0,MAX(0,IF((R$6-$E$3)&lt;1,0,IFERROR(LOOKUP(2,1/(Algodão!$E21:INDEX(Algodão!$E21:$Z21,MIN(R$6-$E$3,22))&lt;&gt;""),Algodão!$E21:INDEX(Algodão!$E21:$Z21,MIN(R$6-$E$3,22))),0))-IF($G$2,0,IF((R$6-$G$3)&lt;1,0,IFERROR(LOOKUP(2,1/(Algodão!$E21:INDEX(Algodão!$E21:$Z21,MIN(R$6-$G$3,22))&lt;&gt;""),Algodão!$E21:INDEX(Algodão!$E21:$Z21,MIN(R$6-$G$3,22))),0)))))</f>
        <v>0</v>
      </c>
      <c r="S23" s="27" t="n">
        <f aca="false">IF(COUNT(Algodão!$E21:$Z21)=0,0,MAX(0,IF((S$6-$E$3)&lt;1,0,IFERROR(LOOKUP(2,1/(Algodão!$E21:INDEX(Algodão!$E21:$Z21,MIN(S$6-$E$3,22))&lt;&gt;""),Algodão!$E21:INDEX(Algodão!$E21:$Z21,MIN(S$6-$E$3,22))),0))-IF($G$2,0,IF((S$6-$G$3)&lt;1,0,IFERROR(LOOKUP(2,1/(Algodão!$E21:INDEX(Algodão!$E21:$Z21,MIN(S$6-$G$3,22))&lt;&gt;""),Algodão!$E21:INDEX(Algodão!$E21:$Z21,MIN(S$6-$G$3,22))),0)))))</f>
        <v>0</v>
      </c>
      <c r="T23" s="27" t="n">
        <f aca="false">IF(COUNT(Algodão!$E21:$Z21)=0,0,MAX(0,IF((T$6-$E$3)&lt;1,0,IFERROR(LOOKUP(2,1/(Algodão!$E21:INDEX(Algodão!$E21:$Z21,MIN(T$6-$E$3,22))&lt;&gt;""),Algodão!$E21:INDEX(Algodão!$E21:$Z21,MIN(T$6-$E$3,22))),0))-IF($G$2,0,IF((T$6-$G$3)&lt;1,0,IFERROR(LOOKUP(2,1/(Algodão!$E21:INDEX(Algodão!$E21:$Z21,MIN(T$6-$G$3,22))&lt;&gt;""),Algodão!$E21:INDEX(Algodão!$E21:$Z21,MIN(T$6-$G$3,22))),0)))))</f>
        <v>0</v>
      </c>
      <c r="U23" s="27" t="n">
        <f aca="false">IF(COUNT(Algodão!$E21:$Z21)=0,0,MAX(0,IF((U$6-$E$3)&lt;1,0,IFERROR(LOOKUP(2,1/(Algodão!$E21:INDEX(Algodão!$E21:$Z21,MIN(U$6-$E$3,22))&lt;&gt;""),Algodão!$E21:INDEX(Algodão!$E21:$Z21,MIN(U$6-$E$3,22))),0))-IF($G$2,0,IF((U$6-$G$3)&lt;1,0,IFERROR(LOOKUP(2,1/(Algodão!$E21:INDEX(Algodão!$E21:$Z21,MIN(U$6-$G$3,22))&lt;&gt;""),Algodão!$E21:INDEX(Algodão!$E21:$Z21,MIN(U$6-$G$3,22))),0)))))</f>
        <v>0</v>
      </c>
      <c r="V23" s="27" t="n">
        <f aca="false">IF(COUNT(Algodão!$E21:$Z21)=0,0,MAX(0,IF((V$6-$E$3)&lt;1,0,IFERROR(LOOKUP(2,1/(Algodão!$E21:INDEX(Algodão!$E21:$Z21,MIN(V$6-$E$3,22))&lt;&gt;""),Algodão!$E21:INDEX(Algodão!$E21:$Z21,MIN(V$6-$E$3,22))),0))-IF($G$2,0,IF((V$6-$G$3)&lt;1,0,IFERROR(LOOKUP(2,1/(Algodão!$E21:INDEX(Algodão!$E21:$Z21,MIN(V$6-$G$3,22))&lt;&gt;""),Algodão!$E21:INDEX(Algodão!$E21:$Z21,MIN(V$6-$G$3,22))),0)))))</f>
        <v>0</v>
      </c>
      <c r="W23" s="27" t="n">
        <f aca="false">IF(COUNT(Algodão!$E21:$Z21)=0,0,MAX(0,IF((W$6-$E$3)&lt;1,0,IFERROR(LOOKUP(2,1/(Algodão!$E21:INDEX(Algodão!$E21:$Z21,MIN(W$6-$E$3,22))&lt;&gt;""),Algodão!$E21:INDEX(Algodão!$E21:$Z21,MIN(W$6-$E$3,22))),0))-IF($G$2,0,IF((W$6-$G$3)&lt;1,0,IFERROR(LOOKUP(2,1/(Algodão!$E21:INDEX(Algodão!$E21:$Z21,MIN(W$6-$G$3,22))&lt;&gt;""),Algodão!$E21:INDEX(Algodão!$E21:$Z21,MIN(W$6-$G$3,22))),0)))))</f>
        <v>0</v>
      </c>
      <c r="X23" s="27" t="n">
        <f aca="false">IF(COUNT(Algodão!$E21:$Z21)=0,0,MAX(0,IF((X$6-$E$3)&lt;1,0,IFERROR(LOOKUP(2,1/(Algodão!$E21:INDEX(Algodão!$E21:$Z21,MIN(X$6-$E$3,22))&lt;&gt;""),Algodão!$E21:INDEX(Algodão!$E21:$Z21,MIN(X$6-$E$3,22))),0))-IF($G$2,0,IF((X$6-$G$3)&lt;1,0,IFERROR(LOOKUP(2,1/(Algodão!$E21:INDEX(Algodão!$E21:$Z21,MIN(X$6-$G$3,22))&lt;&gt;""),Algodão!$E21:INDEX(Algodão!$E21:$Z21,MIN(X$6-$G$3,22))),0)))))</f>
        <v>0</v>
      </c>
      <c r="Y23" s="27" t="n">
        <f aca="false">IF(COUNT(Algodão!$E21:$Z21)=0,0,MAX(0,IF((Y$6-$E$3)&lt;1,0,IFERROR(LOOKUP(2,1/(Algodão!$E21:INDEX(Algodão!$E21:$Z21,MIN(Y$6-$E$3,22))&lt;&gt;""),Algodão!$E21:INDEX(Algodão!$E21:$Z21,MIN(Y$6-$E$3,22))),0))-IF($G$2,0,IF((Y$6-$G$3)&lt;1,0,IFERROR(LOOKUP(2,1/(Algodão!$E21:INDEX(Algodão!$E21:$Z21,MIN(Y$6-$G$3,22))&lt;&gt;""),Algodão!$E21:INDEX(Algodão!$E21:$Z21,MIN(Y$6-$G$3,22))),0)))))</f>
        <v>0</v>
      </c>
      <c r="Z23" s="27" t="n">
        <f aca="false">IF(COUNT(Algodão!$E21:$Z21)=0,0,MAX(0,IF((Z$6-$E$3)&lt;1,0,IFERROR(LOOKUP(2,1/(Algodão!$E21:INDEX(Algodão!$E21:$Z21,MIN(Z$6-$E$3,22))&lt;&gt;""),Algodão!$E21:INDEX(Algodão!$E21:$Z21,MIN(Z$6-$E$3,22))),0))-IF($G$2,0,IF((Z$6-$G$3)&lt;1,0,IFERROR(LOOKUP(2,1/(Algodão!$E21:INDEX(Algodão!$E21:$Z21,MIN(Z$6-$G$3,22))&lt;&gt;""),Algodão!$E21:INDEX(Algodão!$E21:$Z21,MIN(Z$6-$G$3,22))),0)))))</f>
        <v>0</v>
      </c>
      <c r="AA23" s="27" t="n">
        <f aca="false">IF(COUNT(Algodão!$E21:$Z21)=0,0,MAX(0,IF((AA$6-$E$3)&lt;1,0,IFERROR(LOOKUP(2,1/(Algodão!$E21:INDEX(Algodão!$E21:$Z21,MIN(AA$6-$E$3,22))&lt;&gt;""),Algodão!$E21:INDEX(Algodão!$E21:$Z21,MIN(AA$6-$E$3,22))),0))-IF($G$2,0,IF((AA$6-$G$3)&lt;1,0,IFERROR(LOOKUP(2,1/(Algodão!$E21:INDEX(Algodão!$E21:$Z21,MIN(AA$6-$G$3,22))&lt;&gt;""),Algodão!$E21:INDEX(Algodão!$E21:$Z21,MIN(AA$6-$G$3,22))),0)))))</f>
        <v>0</v>
      </c>
      <c r="AB23" s="27" t="n">
        <f aca="false">IF(COUNT(Algodão!$E21:$Z21)=0,0,MAX(0,IF((AB$6-$E$3)&lt;1,0,IFERROR(LOOKUP(2,1/(Algodão!$E21:INDEX(Algodão!$E21:$Z21,MIN(AB$6-$E$3,22))&lt;&gt;""),Algodão!$E21:INDEX(Algodão!$E21:$Z21,MIN(AB$6-$E$3,22))),0))-IF($G$2,0,IF((AB$6-$G$3)&lt;1,0,IFERROR(LOOKUP(2,1/(Algodão!$E21:INDEX(Algodão!$E21:$Z21,MIN(AB$6-$G$3,22))&lt;&gt;""),Algodão!$E21:INDEX(Algodão!$E21:$Z21,MIN(AB$6-$G$3,22))),0)))))</f>
        <v>0</v>
      </c>
      <c r="AC23" s="27" t="n">
        <f aca="false">IF(COUNT(Algodão!$E21:$Z21)=0,0,MAX(0,IF((AC$6-$E$3)&lt;1,0,IFERROR(LOOKUP(2,1/(Algodão!$E21:INDEX(Algodão!$E21:$Z21,MIN(AC$6-$E$3,22))&lt;&gt;""),Algodão!$E21:INDEX(Algodão!$E21:$Z21,MIN(AC$6-$E$3,22))),0))-IF($G$2,0,IF((AC$6-$G$3)&lt;1,0,IFERROR(LOOKUP(2,1/(Algodão!$E21:INDEX(Algodão!$E21:$Z21,MIN(AC$6-$G$3,22))&lt;&gt;""),Algodão!$E21:INDEX(Algodão!$E21:$Z21,MIN(AC$6-$G$3,22))),0)))))</f>
        <v>0</v>
      </c>
      <c r="AD23" s="27" t="n">
        <f aca="false">IF(COUNT(Algodão!$E21:$Z21)=0,0,MAX(0,IF((AD$6-$E$3)&lt;1,0,IFERROR(LOOKUP(2,1/(Algodão!$E21:INDEX(Algodão!$E21:$Z21,MIN(AD$6-$E$3,22))&lt;&gt;""),Algodão!$E21:INDEX(Algodão!$E21:$Z21,MIN(AD$6-$E$3,22))),0))-IF($G$2,0,IF((AD$6-$G$3)&lt;1,0,IFERROR(LOOKUP(2,1/(Algodão!$E21:INDEX(Algodão!$E21:$Z21,MIN(AD$6-$G$3,22))&lt;&gt;""),Algodão!$E21:INDEX(Algodão!$E21:$Z21,MIN(AD$6-$G$3,22))),0)))))</f>
        <v>0</v>
      </c>
      <c r="AE23" s="27" t="n">
        <f aca="false">IF(COUNT(Algodão!$E21:$Z21)=0,0,MAX(0,IF((AE$6-$E$3)&lt;1,0,IFERROR(LOOKUP(2,1/(Algodão!$E21:INDEX(Algodão!$E21:$Z21,MIN(AE$6-$E$3,22))&lt;&gt;""),Algodão!$E21:INDEX(Algodão!$E21:$Z21,MIN(AE$6-$E$3,22))),0))-IF($G$2,0,IF((AE$6-$G$3)&lt;1,0,IFERROR(LOOKUP(2,1/(Algodão!$E21:INDEX(Algodão!$E21:$Z21,MIN(AE$6-$G$3,22))&lt;&gt;""),Algodão!$E21:INDEX(Algodão!$E21:$Z21,MIN(AE$6-$G$3,22))),0)))))</f>
        <v>0</v>
      </c>
      <c r="AF23" s="27" t="n">
        <f aca="false">IF(COUNT(Algodão!$E21:$Z21)=0,0,MAX(0,IF((AF$6-$E$3)&lt;1,0,IFERROR(LOOKUP(2,1/(Algodão!$E21:INDEX(Algodão!$E21:$Z21,MIN(AF$6-$E$3,22))&lt;&gt;""),Algodão!$E21:INDEX(Algodão!$E21:$Z21,MIN(AF$6-$E$3,22))),0))-IF($G$2,0,IF((AF$6-$G$3)&lt;1,0,IFERROR(LOOKUP(2,1/(Algodão!$E21:INDEX(Algodão!$E21:$Z21,MIN(AF$6-$G$3,22))&lt;&gt;""),Algodão!$E21:INDEX(Algodão!$E21:$Z21,MIN(AF$6-$G$3,22))),0)))))</f>
        <v>0</v>
      </c>
      <c r="AG23" s="27" t="n">
        <f aca="false">IF(COUNT(Algodão!$E21:$Z21)=0,0,MAX(0,IF((AG$6-$E$3)&lt;1,0,IFERROR(LOOKUP(2,1/(Algodão!$E21:INDEX(Algodão!$E21:$Z21,MIN(AG$6-$E$3,22))&lt;&gt;""),Algodão!$E21:INDEX(Algodão!$E21:$Z21,MIN(AG$6-$E$3,22))),0))-IF($G$2,0,IF((AG$6-$G$3)&lt;1,0,IFERROR(LOOKUP(2,1/(Algodão!$E21:INDEX(Algodão!$E21:$Z21,MIN(AG$6-$G$3,22))&lt;&gt;""),Algodão!$E21:INDEX(Algodão!$E21:$Z21,MIN(AG$6-$G$3,22))),0)))))</f>
        <v>0</v>
      </c>
      <c r="AH23" s="27" t="n">
        <f aca="false">IF(COUNT(Algodão!$E21:$Z21)=0,0,MAX(0,IF((AH$6-$E$3)&lt;1,0,IFERROR(LOOKUP(2,1/(Algodão!$E21:INDEX(Algodão!$E21:$Z21,MIN(AH$6-$E$3,22))&lt;&gt;""),Algodão!$E21:INDEX(Algodão!$E21:$Z21,MIN(AH$6-$E$3,22))),0))-IF($G$2,0,IF((AH$6-$G$3)&lt;1,0,IFERROR(LOOKUP(2,1/(Algodão!$E21:INDEX(Algodão!$E21:$Z21,MIN(AH$6-$G$3,22))&lt;&gt;""),Algodão!$E21:INDEX(Algodão!$E21:$Z21,MIN(AH$6-$G$3,22))),0)))))</f>
        <v>0</v>
      </c>
      <c r="AI23" s="27" t="n">
        <f aca="false">IF(COUNT(Algodão!$E21:$Z21)=0,0,MAX(0,IF((AI$6-$E$3)&lt;1,0,IFERROR(LOOKUP(2,1/(Algodão!$E21:INDEX(Algodão!$E21:$Z21,MIN(AI$6-$E$3,22))&lt;&gt;""),Algodão!$E21:INDEX(Algodão!$E21:$Z21,MIN(AI$6-$E$3,22))),0))-IF($G$2,0,IF((AI$6-$G$3)&lt;1,0,IFERROR(LOOKUP(2,1/(Algodão!$E21:INDEX(Algodão!$E21:$Z21,MIN(AI$6-$G$3,22))&lt;&gt;""),Algodão!$E21:INDEX(Algodão!$E21:$Z21,MIN(AI$6-$G$3,22))),0)))))</f>
        <v>0</v>
      </c>
      <c r="AJ23" s="27" t="n">
        <f aca="false">IF(COUNT(Algodão!$E21:$Z21)=0,0,MAX(0,IF((AJ$6-$E$3)&lt;1,0,IFERROR(LOOKUP(2,1/(Algodão!$E21:INDEX(Algodão!$E21:$Z21,MIN(AJ$6-$E$3,22))&lt;&gt;""),Algodão!$E21:INDEX(Algodão!$E21:$Z21,MIN(AJ$6-$E$3,22))),0))-IF($G$2,0,IF((AJ$6-$G$3)&lt;1,0,IFERROR(LOOKUP(2,1/(Algodão!$E21:INDEX(Algodão!$E21:$Z21,MIN(AJ$6-$G$3,22))&lt;&gt;""),Algodão!$E21:INDEX(Algodão!$E21:$Z21,MIN(AJ$6-$G$3,22))),0)))))</f>
        <v>0</v>
      </c>
      <c r="AK23" s="27" t="n">
        <f aca="false">IF(COUNT(Algodão!$E21:$Z21)=0,0,MAX(0,IF((AK$6-$E$3)&lt;1,0,IFERROR(LOOKUP(2,1/(Algodão!$E21:INDEX(Algodão!$E21:$Z21,MIN(AK$6-$E$3,22))&lt;&gt;""),Algodão!$E21:INDEX(Algodão!$E21:$Z21,MIN(AK$6-$E$3,22))),0))-IF($G$2,0,IF((AK$6-$G$3)&lt;1,0,IFERROR(LOOKUP(2,1/(Algodão!$E21:INDEX(Algodão!$E21:$Z21,MIN(AK$6-$G$3,22))&lt;&gt;""),Algodão!$E21:INDEX(Algodão!$E21:$Z21,MIN(AK$6-$G$3,22))),0)))))</f>
        <v>0</v>
      </c>
      <c r="AL23" s="27" t="n">
        <f aca="false">IF(COUNT(Algodão!$E21:$Z21)=0,0,MAX(0,IF((AL$6-$E$3)&lt;1,0,IFERROR(LOOKUP(2,1/(Algodão!$E21:INDEX(Algodão!$E21:$Z21,MIN(AL$6-$E$3,22))&lt;&gt;""),Algodão!$E21:INDEX(Algodão!$E21:$Z21,MIN(AL$6-$E$3,22))),0))-IF($G$2,0,IF((AL$6-$G$3)&lt;1,0,IFERROR(LOOKUP(2,1/(Algodão!$E21:INDEX(Algodão!$E21:$Z21,MIN(AL$6-$G$3,22))&lt;&gt;""),Algodão!$E21:INDEX(Algodão!$E21:$Z21,MIN(AL$6-$G$3,22))),0)))))</f>
        <v>0</v>
      </c>
      <c r="AM23" s="27" t="n">
        <f aca="false">IF(COUNT(Algodão!$E21:$Z21)=0,0,MAX(0,IF((AM$6-$E$3)&lt;1,0,IFERROR(LOOKUP(2,1/(Algodão!$E21:INDEX(Algodão!$E21:$Z21,MIN(AM$6-$E$3,22))&lt;&gt;""),Algodão!$E21:INDEX(Algodão!$E21:$Z21,MIN(AM$6-$E$3,22))),0))-IF($G$2,0,IF((AM$6-$G$3)&lt;1,0,IFERROR(LOOKUP(2,1/(Algodão!$E21:INDEX(Algodão!$E21:$Z21,MIN(AM$6-$G$3,22))&lt;&gt;""),Algodão!$E21:INDEX(Algodão!$E21:$Z21,MIN(AM$6-$G$3,22))),0)))))</f>
        <v>0</v>
      </c>
      <c r="AN23" s="27" t="n">
        <f aca="false">IF(COUNT(Algodão!$E21:$Z21)=0,0,MAX(0,IF((AN$6-$E$3)&lt;1,0,IFERROR(LOOKUP(2,1/(Algodão!$E21:INDEX(Algodão!$E21:$Z21,MIN(AN$6-$E$3,22))&lt;&gt;""),Algodão!$E21:INDEX(Algodão!$E21:$Z21,MIN(AN$6-$E$3,22))),0))-IF($G$2,0,IF((AN$6-$G$3)&lt;1,0,IFERROR(LOOKUP(2,1/(Algodão!$E21:INDEX(Algodão!$E21:$Z21,MIN(AN$6-$G$3,22))&lt;&gt;""),Algodão!$E21:INDEX(Algodão!$E21:$Z21,MIN(AN$6-$G$3,22))),0)))))</f>
        <v>0</v>
      </c>
      <c r="AO23" s="27" t="n">
        <f aca="false">IF(COUNT(Algodão!$E21:$Z21)=0,0,MAX(0,IF((AO$6-$E$3)&lt;1,0,IFERROR(LOOKUP(2,1/(Algodão!$E21:INDEX(Algodão!$E21:$Z21,MIN(AO$6-$E$3,22))&lt;&gt;""),Algodão!$E21:INDEX(Algodão!$E21:$Z21,MIN(AO$6-$E$3,22))),0))-IF($G$2,0,IF((AO$6-$G$3)&lt;1,0,IFERROR(LOOKUP(2,1/(Algodão!$E21:INDEX(Algodão!$E21:$Z21,MIN(AO$6-$G$3,22))&lt;&gt;""),Algodão!$E21:INDEX(Algodão!$E21:$Z21,MIN(AO$6-$G$3,22))),0)))))</f>
        <v>0</v>
      </c>
      <c r="AP23" s="27" t="n">
        <f aca="false">IF(COUNT(Algodão!$E21:$Z21)=0,0,MAX(0,IF((AP$6-$E$3)&lt;1,0,IFERROR(LOOKUP(2,1/(Algodão!$E21:INDEX(Algodão!$E21:$Z21,MIN(AP$6-$E$3,22))&lt;&gt;""),Algodão!$E21:INDEX(Algodão!$E21:$Z21,MIN(AP$6-$E$3,22))),0))-IF($G$2,0,IF((AP$6-$G$3)&lt;1,0,IFERROR(LOOKUP(2,1/(Algodão!$E21:INDEX(Algodão!$E21:$Z21,MIN(AP$6-$G$3,22))&lt;&gt;""),Algodão!$E21:INDEX(Algodão!$E21:$Z21,MIN(AP$6-$G$3,22))),0)))))</f>
        <v>0</v>
      </c>
      <c r="AQ23" s="27" t="n">
        <f aca="false">IF(COUNT(Algodão!$E21:$Z21)=0,0,MAX(0,IF((AQ$6-$E$3)&lt;1,0,IFERROR(LOOKUP(2,1/(Algodão!$E21:INDEX(Algodão!$E21:$Z21,MIN(AQ$6-$E$3,22))&lt;&gt;""),Algodão!$E21:INDEX(Algodão!$E21:$Z21,MIN(AQ$6-$E$3,22))),0))-IF($G$2,0,IF((AQ$6-$G$3)&lt;1,0,IFERROR(LOOKUP(2,1/(Algodão!$E21:INDEX(Algodão!$E21:$Z21,MIN(AQ$6-$G$3,22))&lt;&gt;""),Algodão!$E21:INDEX(Algodão!$E21:$Z21,MIN(AQ$6-$G$3,22))),0)))))</f>
        <v>0</v>
      </c>
      <c r="AR23" s="27" t="n">
        <f aca="false">IF(COUNT(Algodão!$E21:$Z21)=0,0,MAX(0,IF((AR$6-$E$3)&lt;1,0,IFERROR(LOOKUP(2,1/(Algodão!$E21:INDEX(Algodão!$E21:$Z21,MIN(AR$6-$E$3,22))&lt;&gt;""),Algodão!$E21:INDEX(Algodão!$E21:$Z21,MIN(AR$6-$E$3,22))),0))-IF($G$2,0,IF((AR$6-$G$3)&lt;1,0,IFERROR(LOOKUP(2,1/(Algodão!$E21:INDEX(Algodão!$E21:$Z21,MIN(AR$6-$G$3,22))&lt;&gt;""),Algodão!$E21:INDEX(Algodão!$E21:$Z21,MIN(AR$6-$G$3,22))),0)))))</f>
        <v>0</v>
      </c>
      <c r="AS23" s="27" t="n">
        <f aca="false">IF(COUNT(Algodão!$E21:$Z21)=0,0,MAX(0,IF((AS$6-$E$3)&lt;1,0,IFERROR(LOOKUP(2,1/(Algodão!$E21:INDEX(Algodão!$E21:$Z21,MIN(AS$6-$E$3,22))&lt;&gt;""),Algodão!$E21:INDEX(Algodão!$E21:$Z21,MIN(AS$6-$E$3,22))),0))-IF($G$2,0,IF((AS$6-$G$3)&lt;1,0,IFERROR(LOOKUP(2,1/(Algodão!$E21:INDEX(Algodão!$E21:$Z21,MIN(AS$6-$G$3,22))&lt;&gt;""),Algodão!$E21:INDEX(Algodão!$E21:$Z21,MIN(AS$6-$G$3,22))),0)))))</f>
        <v>0</v>
      </c>
      <c r="AT23" s="27" t="n">
        <f aca="false">IF(COUNT(Algodão!$E21:$Z21)=0,0,MAX(0,IF((AT$6-$E$3)&lt;1,0,IFERROR(LOOKUP(2,1/(Algodão!$E21:INDEX(Algodão!$E21:$Z21,MIN(AT$6-$E$3,22))&lt;&gt;""),Algodão!$E21:INDEX(Algodão!$E21:$Z21,MIN(AT$6-$E$3,22))),0))-IF($G$2,0,IF((AT$6-$G$3)&lt;1,0,IFERROR(LOOKUP(2,1/(Algodão!$E21:INDEX(Algodão!$E21:$Z21,MIN(AT$6-$G$3,22))&lt;&gt;""),Algodão!$E21:INDEX(Algodão!$E21:$Z21,MIN(AT$6-$G$3,22))),0)))))</f>
        <v>0</v>
      </c>
      <c r="AU23" s="27" t="n">
        <f aca="false">IF(COUNT(Algodão!$E21:$Z21)=0,0,MAX(0,IF((AU$6-$E$3)&lt;1,0,IFERROR(LOOKUP(2,1/(Algodão!$E21:INDEX(Algodão!$E21:$Z21,MIN(AU$6-$E$3,22))&lt;&gt;""),Algodão!$E21:INDEX(Algodão!$E21:$Z21,MIN(AU$6-$E$3,22))),0))-IF($G$2,0,IF((AU$6-$G$3)&lt;1,0,IFERROR(LOOKUP(2,1/(Algodão!$E21:INDEX(Algodão!$E21:$Z21,MIN(AU$6-$G$3,22))&lt;&gt;""),Algodão!$E21:INDEX(Algodão!$E21:$Z21,MIN(AU$6-$G$3,22))),0)))))</f>
        <v>0</v>
      </c>
      <c r="AV23" s="27" t="n">
        <f aca="false">IF(COUNT(Algodão!$E21:$Z21)=0,0,MAX(0,IF((AV$6-$E$3)&lt;1,0,IFERROR(LOOKUP(2,1/(Algodão!$E21:INDEX(Algodão!$E21:$Z21,MIN(AV$6-$E$3,22))&lt;&gt;""),Algodão!$E21:INDEX(Algodão!$E21:$Z21,MIN(AV$6-$E$3,22))),0))-IF($G$2,0,IF((AV$6-$G$3)&lt;1,0,IFERROR(LOOKUP(2,1/(Algodão!$E21:INDEX(Algodão!$E21:$Z21,MIN(AV$6-$G$3,22))&lt;&gt;""),Algodão!$E21:INDEX(Algodão!$E21:$Z21,MIN(AV$6-$G$3,22))),0)))))</f>
        <v>0</v>
      </c>
      <c r="AW23" s="27" t="n">
        <f aca="false">IF(COUNT(Algodão!$E21:$Z21)=0,0,MAX(0,IF((AW$6-$E$3)&lt;1,0,IFERROR(LOOKUP(2,1/(Algodão!$E21:INDEX(Algodão!$E21:$Z21,MIN(AW$6-$E$3,22))&lt;&gt;""),Algodão!$E21:INDEX(Algodão!$E21:$Z21,MIN(AW$6-$E$3,22))),0))-IF($G$2,0,IF((AW$6-$G$3)&lt;1,0,IFERROR(LOOKUP(2,1/(Algodão!$E21:INDEX(Algodão!$E21:$Z21,MIN(AW$6-$G$3,22))&lt;&gt;""),Algodão!$E21:INDEX(Algodão!$E21:$Z21,MIN(AW$6-$G$3,22))),0)))))</f>
        <v>0</v>
      </c>
      <c r="AX23" s="27" t="n">
        <f aca="false">IF(COUNT(Algodão!$E21:$Z21)=0,0,MAX(0,IF((AX$6-$E$3)&lt;1,0,IFERROR(LOOKUP(2,1/(Algodão!$E21:INDEX(Algodão!$E21:$Z21,MIN(AX$6-$E$3,22))&lt;&gt;""),Algodão!$E21:INDEX(Algodão!$E21:$Z21,MIN(AX$6-$E$3,22))),0))-IF($G$2,0,IF((AX$6-$G$3)&lt;1,0,IFERROR(LOOKUP(2,1/(Algodão!$E21:INDEX(Algodão!$E21:$Z21,MIN(AX$6-$G$3,22))&lt;&gt;""),Algodão!$E21:INDEX(Algodão!$E21:$Z21,MIN(AX$6-$G$3,22))),0)))))</f>
        <v>0</v>
      </c>
      <c r="AY23" s="27" t="n">
        <f aca="false">IF(COUNT(Algodão!$E21:$Z21)=0,0,MAX(0,IF((AY$6-$E$3)&lt;1,0,IFERROR(LOOKUP(2,1/(Algodão!$E21:INDEX(Algodão!$E21:$Z21,MIN(AY$6-$E$3,22))&lt;&gt;""),Algodão!$E21:INDEX(Algodão!$E21:$Z21,MIN(AY$6-$E$3,22))),0))-IF($G$2,0,IF((AY$6-$G$3)&lt;1,0,IFERROR(LOOKUP(2,1/(Algodão!$E21:INDEX(Algodão!$E21:$Z21,MIN(AY$6-$G$3,22))&lt;&gt;""),Algodão!$E21:INDEX(Algodão!$E21:$Z21,MIN(AY$6-$G$3,22))),0)))))</f>
        <v>0</v>
      </c>
      <c r="AZ23" s="27" t="n">
        <f aca="false">IF(COUNT(Algodão!$E21:$Z21)=0,0,MAX(0,IF((AZ$6-$E$3)&lt;1,0,IFERROR(LOOKUP(2,1/(Algodão!$E21:INDEX(Algodão!$E21:$Z21,MIN(AZ$6-$E$3,22))&lt;&gt;""),Algodão!$E21:INDEX(Algodão!$E21:$Z21,MIN(AZ$6-$E$3,22))),0))-IF($G$2,0,IF((AZ$6-$G$3)&lt;1,0,IFERROR(LOOKUP(2,1/(Algodão!$E21:INDEX(Algodão!$E21:$Z21,MIN(AZ$6-$G$3,22))&lt;&gt;""),Algodão!$E21:INDEX(Algodão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IF(COUNT(Algodão!$E22:$Z22)&gt;0,N(Algodão!$D22),0)</f>
        <v>0</v>
      </c>
      <c r="E24" s="27" t="n">
        <f aca="false">IF(COUNT(Algodão!$E22:$Z22)=0,0,MAX(0,IF((E$6-$E$3)&lt;1,0,IFERROR(LOOKUP(2,1/(Algodão!$E22:INDEX(Algodão!$E22:$Z22,MIN(E$6-$E$3,22))&lt;&gt;""),Algodão!$E22:INDEX(Algodão!$E22:$Z22,MIN(E$6-$E$3,22))),0))-IF($G$2,0,IF((E$6-$G$3)&lt;1,0,IFERROR(LOOKUP(2,1/(Algodão!$E22:INDEX(Algodão!$E22:$Z22,MIN(E$6-$G$3,22))&lt;&gt;""),Algodão!$E22:INDEX(Algodão!$E22:$Z22,MIN(E$6-$G$3,22))),0)))))</f>
        <v>0</v>
      </c>
      <c r="F24" s="27" t="n">
        <f aca="false">IF(COUNT(Algodão!$E22:$Z22)=0,0,MAX(0,IF((F$6-$E$3)&lt;1,0,IFERROR(LOOKUP(2,1/(Algodão!$E22:INDEX(Algodão!$E22:$Z22,MIN(F$6-$E$3,22))&lt;&gt;""),Algodão!$E22:INDEX(Algodão!$E22:$Z22,MIN(F$6-$E$3,22))),0))-IF($G$2,0,IF((F$6-$G$3)&lt;1,0,IFERROR(LOOKUP(2,1/(Algodão!$E22:INDEX(Algodão!$E22:$Z22,MIN(F$6-$G$3,22))&lt;&gt;""),Algodão!$E22:INDEX(Algodão!$E22:$Z22,MIN(F$6-$G$3,22))),0)))))</f>
        <v>0</v>
      </c>
      <c r="G24" s="27" t="n">
        <f aca="false">IF(COUNT(Algodão!$E22:$Z22)=0,0,MAX(0,IF((G$6-$E$3)&lt;1,0,IFERROR(LOOKUP(2,1/(Algodão!$E22:INDEX(Algodão!$E22:$Z22,MIN(G$6-$E$3,22))&lt;&gt;""),Algodão!$E22:INDEX(Algodão!$E22:$Z22,MIN(G$6-$E$3,22))),0))-IF($G$2,0,IF((G$6-$G$3)&lt;1,0,IFERROR(LOOKUP(2,1/(Algodão!$E22:INDEX(Algodão!$E22:$Z22,MIN(G$6-$G$3,22))&lt;&gt;""),Algodão!$E22:INDEX(Algodão!$E22:$Z22,MIN(G$6-$G$3,22))),0)))))</f>
        <v>0</v>
      </c>
      <c r="H24" s="27" t="n">
        <f aca="false">IF(COUNT(Algodão!$E22:$Z22)=0,0,MAX(0,IF((H$6-$E$3)&lt;1,0,IFERROR(LOOKUP(2,1/(Algodão!$E22:INDEX(Algodão!$E22:$Z22,MIN(H$6-$E$3,22))&lt;&gt;""),Algodão!$E22:INDEX(Algodão!$E22:$Z22,MIN(H$6-$E$3,22))),0))-IF($G$2,0,IF((H$6-$G$3)&lt;1,0,IFERROR(LOOKUP(2,1/(Algodão!$E22:INDEX(Algodão!$E22:$Z22,MIN(H$6-$G$3,22))&lt;&gt;""),Algodão!$E22:INDEX(Algodão!$E22:$Z22,MIN(H$6-$G$3,22))),0)))))</f>
        <v>0</v>
      </c>
      <c r="I24" s="27" t="n">
        <f aca="false">IF(COUNT(Algodão!$E22:$Z22)=0,0,MAX(0,IF((I$6-$E$3)&lt;1,0,IFERROR(LOOKUP(2,1/(Algodão!$E22:INDEX(Algodão!$E22:$Z22,MIN(I$6-$E$3,22))&lt;&gt;""),Algodão!$E22:INDEX(Algodão!$E22:$Z22,MIN(I$6-$E$3,22))),0))-IF($G$2,0,IF((I$6-$G$3)&lt;1,0,IFERROR(LOOKUP(2,1/(Algodão!$E22:INDEX(Algodão!$E22:$Z22,MIN(I$6-$G$3,22))&lt;&gt;""),Algodão!$E22:INDEX(Algodão!$E22:$Z22,MIN(I$6-$G$3,22))),0)))))</f>
        <v>0</v>
      </c>
      <c r="J24" s="27" t="n">
        <f aca="false">IF(COUNT(Algodão!$E22:$Z22)=0,0,MAX(0,IF((J$6-$E$3)&lt;1,0,IFERROR(LOOKUP(2,1/(Algodão!$E22:INDEX(Algodão!$E22:$Z22,MIN(J$6-$E$3,22))&lt;&gt;""),Algodão!$E22:INDEX(Algodão!$E22:$Z22,MIN(J$6-$E$3,22))),0))-IF($G$2,0,IF((J$6-$G$3)&lt;1,0,IFERROR(LOOKUP(2,1/(Algodão!$E22:INDEX(Algodão!$E22:$Z22,MIN(J$6-$G$3,22))&lt;&gt;""),Algodão!$E22:INDEX(Algodão!$E22:$Z22,MIN(J$6-$G$3,22))),0)))))</f>
        <v>0</v>
      </c>
      <c r="K24" s="27" t="n">
        <f aca="false">IF(COUNT(Algodão!$E22:$Z22)=0,0,MAX(0,IF((K$6-$E$3)&lt;1,0,IFERROR(LOOKUP(2,1/(Algodão!$E22:INDEX(Algodão!$E22:$Z22,MIN(K$6-$E$3,22))&lt;&gt;""),Algodão!$E22:INDEX(Algodão!$E22:$Z22,MIN(K$6-$E$3,22))),0))-IF($G$2,0,IF((K$6-$G$3)&lt;1,0,IFERROR(LOOKUP(2,1/(Algodão!$E22:INDEX(Algodão!$E22:$Z22,MIN(K$6-$G$3,22))&lt;&gt;""),Algodão!$E22:INDEX(Algodão!$E22:$Z22,MIN(K$6-$G$3,22))),0)))))</f>
        <v>0</v>
      </c>
      <c r="L24" s="27" t="n">
        <f aca="false">IF(COUNT(Algodão!$E22:$Z22)=0,0,MAX(0,IF((L$6-$E$3)&lt;1,0,IFERROR(LOOKUP(2,1/(Algodão!$E22:INDEX(Algodão!$E22:$Z22,MIN(L$6-$E$3,22))&lt;&gt;""),Algodão!$E22:INDEX(Algodão!$E22:$Z22,MIN(L$6-$E$3,22))),0))-IF($G$2,0,IF((L$6-$G$3)&lt;1,0,IFERROR(LOOKUP(2,1/(Algodão!$E22:INDEX(Algodão!$E22:$Z22,MIN(L$6-$G$3,22))&lt;&gt;""),Algodão!$E22:INDEX(Algodão!$E22:$Z22,MIN(L$6-$G$3,22))),0)))))</f>
        <v>0</v>
      </c>
      <c r="M24" s="27" t="n">
        <f aca="false">IF(COUNT(Algodão!$E22:$Z22)=0,0,MAX(0,IF((M$6-$E$3)&lt;1,0,IFERROR(LOOKUP(2,1/(Algodão!$E22:INDEX(Algodão!$E22:$Z22,MIN(M$6-$E$3,22))&lt;&gt;""),Algodão!$E22:INDEX(Algodão!$E22:$Z22,MIN(M$6-$E$3,22))),0))-IF($G$2,0,IF((M$6-$G$3)&lt;1,0,IFERROR(LOOKUP(2,1/(Algodão!$E22:INDEX(Algodão!$E22:$Z22,MIN(M$6-$G$3,22))&lt;&gt;""),Algodão!$E22:INDEX(Algodão!$E22:$Z22,MIN(M$6-$G$3,22))),0)))))</f>
        <v>0</v>
      </c>
      <c r="N24" s="27" t="n">
        <f aca="false">IF(COUNT(Algodão!$E22:$Z22)=0,0,MAX(0,IF((N$6-$E$3)&lt;1,0,IFERROR(LOOKUP(2,1/(Algodão!$E22:INDEX(Algodão!$E22:$Z22,MIN(N$6-$E$3,22))&lt;&gt;""),Algodão!$E22:INDEX(Algodão!$E22:$Z22,MIN(N$6-$E$3,22))),0))-IF($G$2,0,IF((N$6-$G$3)&lt;1,0,IFERROR(LOOKUP(2,1/(Algodão!$E22:INDEX(Algodão!$E22:$Z22,MIN(N$6-$G$3,22))&lt;&gt;""),Algodão!$E22:INDEX(Algodão!$E22:$Z22,MIN(N$6-$G$3,22))),0)))))</f>
        <v>0</v>
      </c>
      <c r="O24" s="27" t="n">
        <f aca="false">IF(COUNT(Algodão!$E22:$Z22)=0,0,MAX(0,IF((O$6-$E$3)&lt;1,0,IFERROR(LOOKUP(2,1/(Algodão!$E22:INDEX(Algodão!$E22:$Z22,MIN(O$6-$E$3,22))&lt;&gt;""),Algodão!$E22:INDEX(Algodão!$E22:$Z22,MIN(O$6-$E$3,22))),0))-IF($G$2,0,IF((O$6-$G$3)&lt;1,0,IFERROR(LOOKUP(2,1/(Algodão!$E22:INDEX(Algodão!$E22:$Z22,MIN(O$6-$G$3,22))&lt;&gt;""),Algodão!$E22:INDEX(Algodão!$E22:$Z22,MIN(O$6-$G$3,22))),0)))))</f>
        <v>0</v>
      </c>
      <c r="P24" s="27" t="n">
        <f aca="false">IF(COUNT(Algodão!$E22:$Z22)=0,0,MAX(0,IF((P$6-$E$3)&lt;1,0,IFERROR(LOOKUP(2,1/(Algodão!$E22:INDEX(Algodão!$E22:$Z22,MIN(P$6-$E$3,22))&lt;&gt;""),Algodão!$E22:INDEX(Algodão!$E22:$Z22,MIN(P$6-$E$3,22))),0))-IF($G$2,0,IF((P$6-$G$3)&lt;1,0,IFERROR(LOOKUP(2,1/(Algodão!$E22:INDEX(Algodão!$E22:$Z22,MIN(P$6-$G$3,22))&lt;&gt;""),Algodão!$E22:INDEX(Algodão!$E22:$Z22,MIN(P$6-$G$3,22))),0)))))</f>
        <v>0</v>
      </c>
      <c r="Q24" s="27" t="n">
        <f aca="false">IF(COUNT(Algodão!$E22:$Z22)=0,0,MAX(0,IF((Q$6-$E$3)&lt;1,0,IFERROR(LOOKUP(2,1/(Algodão!$E22:INDEX(Algodão!$E22:$Z22,MIN(Q$6-$E$3,22))&lt;&gt;""),Algodão!$E22:INDEX(Algodão!$E22:$Z22,MIN(Q$6-$E$3,22))),0))-IF($G$2,0,IF((Q$6-$G$3)&lt;1,0,IFERROR(LOOKUP(2,1/(Algodão!$E22:INDEX(Algodão!$E22:$Z22,MIN(Q$6-$G$3,22))&lt;&gt;""),Algodão!$E22:INDEX(Algodão!$E22:$Z22,MIN(Q$6-$G$3,22))),0)))))</f>
        <v>0</v>
      </c>
      <c r="R24" s="27" t="n">
        <f aca="false">IF(COUNT(Algodão!$E22:$Z22)=0,0,MAX(0,IF((R$6-$E$3)&lt;1,0,IFERROR(LOOKUP(2,1/(Algodão!$E22:INDEX(Algodão!$E22:$Z22,MIN(R$6-$E$3,22))&lt;&gt;""),Algodão!$E22:INDEX(Algodão!$E22:$Z22,MIN(R$6-$E$3,22))),0))-IF($G$2,0,IF((R$6-$G$3)&lt;1,0,IFERROR(LOOKUP(2,1/(Algodão!$E22:INDEX(Algodão!$E22:$Z22,MIN(R$6-$G$3,22))&lt;&gt;""),Algodão!$E22:INDEX(Algodão!$E22:$Z22,MIN(R$6-$G$3,22))),0)))))</f>
        <v>0</v>
      </c>
      <c r="S24" s="27" t="n">
        <f aca="false">IF(COUNT(Algodão!$E22:$Z22)=0,0,MAX(0,IF((S$6-$E$3)&lt;1,0,IFERROR(LOOKUP(2,1/(Algodão!$E22:INDEX(Algodão!$E22:$Z22,MIN(S$6-$E$3,22))&lt;&gt;""),Algodão!$E22:INDEX(Algodão!$E22:$Z22,MIN(S$6-$E$3,22))),0))-IF($G$2,0,IF((S$6-$G$3)&lt;1,0,IFERROR(LOOKUP(2,1/(Algodão!$E22:INDEX(Algodão!$E22:$Z22,MIN(S$6-$G$3,22))&lt;&gt;""),Algodão!$E22:INDEX(Algodão!$E22:$Z22,MIN(S$6-$G$3,22))),0)))))</f>
        <v>0</v>
      </c>
      <c r="T24" s="27" t="n">
        <f aca="false">IF(COUNT(Algodão!$E22:$Z22)=0,0,MAX(0,IF((T$6-$E$3)&lt;1,0,IFERROR(LOOKUP(2,1/(Algodão!$E22:INDEX(Algodão!$E22:$Z22,MIN(T$6-$E$3,22))&lt;&gt;""),Algodão!$E22:INDEX(Algodão!$E22:$Z22,MIN(T$6-$E$3,22))),0))-IF($G$2,0,IF((T$6-$G$3)&lt;1,0,IFERROR(LOOKUP(2,1/(Algodão!$E22:INDEX(Algodão!$E22:$Z22,MIN(T$6-$G$3,22))&lt;&gt;""),Algodão!$E22:INDEX(Algodão!$E22:$Z22,MIN(T$6-$G$3,22))),0)))))</f>
        <v>0</v>
      </c>
      <c r="U24" s="27" t="n">
        <f aca="false">IF(COUNT(Algodão!$E22:$Z22)=0,0,MAX(0,IF((U$6-$E$3)&lt;1,0,IFERROR(LOOKUP(2,1/(Algodão!$E22:INDEX(Algodão!$E22:$Z22,MIN(U$6-$E$3,22))&lt;&gt;""),Algodão!$E22:INDEX(Algodão!$E22:$Z22,MIN(U$6-$E$3,22))),0))-IF($G$2,0,IF((U$6-$G$3)&lt;1,0,IFERROR(LOOKUP(2,1/(Algodão!$E22:INDEX(Algodão!$E22:$Z22,MIN(U$6-$G$3,22))&lt;&gt;""),Algodão!$E22:INDEX(Algodão!$E22:$Z22,MIN(U$6-$G$3,22))),0)))))</f>
        <v>0</v>
      </c>
      <c r="V24" s="27" t="n">
        <f aca="false">IF(COUNT(Algodão!$E22:$Z22)=0,0,MAX(0,IF((V$6-$E$3)&lt;1,0,IFERROR(LOOKUP(2,1/(Algodão!$E22:INDEX(Algodão!$E22:$Z22,MIN(V$6-$E$3,22))&lt;&gt;""),Algodão!$E22:INDEX(Algodão!$E22:$Z22,MIN(V$6-$E$3,22))),0))-IF($G$2,0,IF((V$6-$G$3)&lt;1,0,IFERROR(LOOKUP(2,1/(Algodão!$E22:INDEX(Algodão!$E22:$Z22,MIN(V$6-$G$3,22))&lt;&gt;""),Algodão!$E22:INDEX(Algodão!$E22:$Z22,MIN(V$6-$G$3,22))),0)))))</f>
        <v>0</v>
      </c>
      <c r="W24" s="27" t="n">
        <f aca="false">IF(COUNT(Algodão!$E22:$Z22)=0,0,MAX(0,IF((W$6-$E$3)&lt;1,0,IFERROR(LOOKUP(2,1/(Algodão!$E22:INDEX(Algodão!$E22:$Z22,MIN(W$6-$E$3,22))&lt;&gt;""),Algodão!$E22:INDEX(Algodão!$E22:$Z22,MIN(W$6-$E$3,22))),0))-IF($G$2,0,IF((W$6-$G$3)&lt;1,0,IFERROR(LOOKUP(2,1/(Algodão!$E22:INDEX(Algodão!$E22:$Z22,MIN(W$6-$G$3,22))&lt;&gt;""),Algodão!$E22:INDEX(Algodão!$E22:$Z22,MIN(W$6-$G$3,22))),0)))))</f>
        <v>0</v>
      </c>
      <c r="X24" s="27" t="n">
        <f aca="false">IF(COUNT(Algodão!$E22:$Z22)=0,0,MAX(0,IF((X$6-$E$3)&lt;1,0,IFERROR(LOOKUP(2,1/(Algodão!$E22:INDEX(Algodão!$E22:$Z22,MIN(X$6-$E$3,22))&lt;&gt;""),Algodão!$E22:INDEX(Algodão!$E22:$Z22,MIN(X$6-$E$3,22))),0))-IF($G$2,0,IF((X$6-$G$3)&lt;1,0,IFERROR(LOOKUP(2,1/(Algodão!$E22:INDEX(Algodão!$E22:$Z22,MIN(X$6-$G$3,22))&lt;&gt;""),Algodão!$E22:INDEX(Algodão!$E22:$Z22,MIN(X$6-$G$3,22))),0)))))</f>
        <v>0</v>
      </c>
      <c r="Y24" s="27" t="n">
        <f aca="false">IF(COUNT(Algodão!$E22:$Z22)=0,0,MAX(0,IF((Y$6-$E$3)&lt;1,0,IFERROR(LOOKUP(2,1/(Algodão!$E22:INDEX(Algodão!$E22:$Z22,MIN(Y$6-$E$3,22))&lt;&gt;""),Algodão!$E22:INDEX(Algodão!$E22:$Z22,MIN(Y$6-$E$3,22))),0))-IF($G$2,0,IF((Y$6-$G$3)&lt;1,0,IFERROR(LOOKUP(2,1/(Algodão!$E22:INDEX(Algodão!$E22:$Z22,MIN(Y$6-$G$3,22))&lt;&gt;""),Algodão!$E22:INDEX(Algodão!$E22:$Z22,MIN(Y$6-$G$3,22))),0)))))</f>
        <v>0</v>
      </c>
      <c r="Z24" s="27" t="n">
        <f aca="false">IF(COUNT(Algodão!$E22:$Z22)=0,0,MAX(0,IF((Z$6-$E$3)&lt;1,0,IFERROR(LOOKUP(2,1/(Algodão!$E22:INDEX(Algodão!$E22:$Z22,MIN(Z$6-$E$3,22))&lt;&gt;""),Algodão!$E22:INDEX(Algodão!$E22:$Z22,MIN(Z$6-$E$3,22))),0))-IF($G$2,0,IF((Z$6-$G$3)&lt;1,0,IFERROR(LOOKUP(2,1/(Algodão!$E22:INDEX(Algodão!$E22:$Z22,MIN(Z$6-$G$3,22))&lt;&gt;""),Algodão!$E22:INDEX(Algodão!$E22:$Z22,MIN(Z$6-$G$3,22))),0)))))</f>
        <v>0</v>
      </c>
      <c r="AA24" s="27" t="n">
        <f aca="false">IF(COUNT(Algodão!$E22:$Z22)=0,0,MAX(0,IF((AA$6-$E$3)&lt;1,0,IFERROR(LOOKUP(2,1/(Algodão!$E22:INDEX(Algodão!$E22:$Z22,MIN(AA$6-$E$3,22))&lt;&gt;""),Algodão!$E22:INDEX(Algodão!$E22:$Z22,MIN(AA$6-$E$3,22))),0))-IF($G$2,0,IF((AA$6-$G$3)&lt;1,0,IFERROR(LOOKUP(2,1/(Algodão!$E22:INDEX(Algodão!$E22:$Z22,MIN(AA$6-$G$3,22))&lt;&gt;""),Algodão!$E22:INDEX(Algodão!$E22:$Z22,MIN(AA$6-$G$3,22))),0)))))</f>
        <v>0</v>
      </c>
      <c r="AB24" s="27" t="n">
        <f aca="false">IF(COUNT(Algodão!$E22:$Z22)=0,0,MAX(0,IF((AB$6-$E$3)&lt;1,0,IFERROR(LOOKUP(2,1/(Algodão!$E22:INDEX(Algodão!$E22:$Z22,MIN(AB$6-$E$3,22))&lt;&gt;""),Algodão!$E22:INDEX(Algodão!$E22:$Z22,MIN(AB$6-$E$3,22))),0))-IF($G$2,0,IF((AB$6-$G$3)&lt;1,0,IFERROR(LOOKUP(2,1/(Algodão!$E22:INDEX(Algodão!$E22:$Z22,MIN(AB$6-$G$3,22))&lt;&gt;""),Algodão!$E22:INDEX(Algodão!$E22:$Z22,MIN(AB$6-$G$3,22))),0)))))</f>
        <v>0</v>
      </c>
      <c r="AC24" s="27" t="n">
        <f aca="false">IF(COUNT(Algodão!$E22:$Z22)=0,0,MAX(0,IF((AC$6-$E$3)&lt;1,0,IFERROR(LOOKUP(2,1/(Algodão!$E22:INDEX(Algodão!$E22:$Z22,MIN(AC$6-$E$3,22))&lt;&gt;""),Algodão!$E22:INDEX(Algodão!$E22:$Z22,MIN(AC$6-$E$3,22))),0))-IF($G$2,0,IF((AC$6-$G$3)&lt;1,0,IFERROR(LOOKUP(2,1/(Algodão!$E22:INDEX(Algodão!$E22:$Z22,MIN(AC$6-$G$3,22))&lt;&gt;""),Algodão!$E22:INDEX(Algodão!$E22:$Z22,MIN(AC$6-$G$3,22))),0)))))</f>
        <v>0</v>
      </c>
      <c r="AD24" s="27" t="n">
        <f aca="false">IF(COUNT(Algodão!$E22:$Z22)=0,0,MAX(0,IF((AD$6-$E$3)&lt;1,0,IFERROR(LOOKUP(2,1/(Algodão!$E22:INDEX(Algodão!$E22:$Z22,MIN(AD$6-$E$3,22))&lt;&gt;""),Algodão!$E22:INDEX(Algodão!$E22:$Z22,MIN(AD$6-$E$3,22))),0))-IF($G$2,0,IF((AD$6-$G$3)&lt;1,0,IFERROR(LOOKUP(2,1/(Algodão!$E22:INDEX(Algodão!$E22:$Z22,MIN(AD$6-$G$3,22))&lt;&gt;""),Algodão!$E22:INDEX(Algodão!$E22:$Z22,MIN(AD$6-$G$3,22))),0)))))</f>
        <v>0</v>
      </c>
      <c r="AE24" s="27" t="n">
        <f aca="false">IF(COUNT(Algodão!$E22:$Z22)=0,0,MAX(0,IF((AE$6-$E$3)&lt;1,0,IFERROR(LOOKUP(2,1/(Algodão!$E22:INDEX(Algodão!$E22:$Z22,MIN(AE$6-$E$3,22))&lt;&gt;""),Algodão!$E22:INDEX(Algodão!$E22:$Z22,MIN(AE$6-$E$3,22))),0))-IF($G$2,0,IF((AE$6-$G$3)&lt;1,0,IFERROR(LOOKUP(2,1/(Algodão!$E22:INDEX(Algodão!$E22:$Z22,MIN(AE$6-$G$3,22))&lt;&gt;""),Algodão!$E22:INDEX(Algodão!$E22:$Z22,MIN(AE$6-$G$3,22))),0)))))</f>
        <v>0</v>
      </c>
      <c r="AF24" s="27" t="n">
        <f aca="false">IF(COUNT(Algodão!$E22:$Z22)=0,0,MAX(0,IF((AF$6-$E$3)&lt;1,0,IFERROR(LOOKUP(2,1/(Algodão!$E22:INDEX(Algodão!$E22:$Z22,MIN(AF$6-$E$3,22))&lt;&gt;""),Algodão!$E22:INDEX(Algodão!$E22:$Z22,MIN(AF$6-$E$3,22))),0))-IF($G$2,0,IF((AF$6-$G$3)&lt;1,0,IFERROR(LOOKUP(2,1/(Algodão!$E22:INDEX(Algodão!$E22:$Z22,MIN(AF$6-$G$3,22))&lt;&gt;""),Algodão!$E22:INDEX(Algodão!$E22:$Z22,MIN(AF$6-$G$3,22))),0)))))</f>
        <v>0</v>
      </c>
      <c r="AG24" s="27" t="n">
        <f aca="false">IF(COUNT(Algodão!$E22:$Z22)=0,0,MAX(0,IF((AG$6-$E$3)&lt;1,0,IFERROR(LOOKUP(2,1/(Algodão!$E22:INDEX(Algodão!$E22:$Z22,MIN(AG$6-$E$3,22))&lt;&gt;""),Algodão!$E22:INDEX(Algodão!$E22:$Z22,MIN(AG$6-$E$3,22))),0))-IF($G$2,0,IF((AG$6-$G$3)&lt;1,0,IFERROR(LOOKUP(2,1/(Algodão!$E22:INDEX(Algodão!$E22:$Z22,MIN(AG$6-$G$3,22))&lt;&gt;""),Algodão!$E22:INDEX(Algodão!$E22:$Z22,MIN(AG$6-$G$3,22))),0)))))</f>
        <v>0</v>
      </c>
      <c r="AH24" s="27" t="n">
        <f aca="false">IF(COUNT(Algodão!$E22:$Z22)=0,0,MAX(0,IF((AH$6-$E$3)&lt;1,0,IFERROR(LOOKUP(2,1/(Algodão!$E22:INDEX(Algodão!$E22:$Z22,MIN(AH$6-$E$3,22))&lt;&gt;""),Algodão!$E22:INDEX(Algodão!$E22:$Z22,MIN(AH$6-$E$3,22))),0))-IF($G$2,0,IF((AH$6-$G$3)&lt;1,0,IFERROR(LOOKUP(2,1/(Algodão!$E22:INDEX(Algodão!$E22:$Z22,MIN(AH$6-$G$3,22))&lt;&gt;""),Algodão!$E22:INDEX(Algodão!$E22:$Z22,MIN(AH$6-$G$3,22))),0)))))</f>
        <v>0</v>
      </c>
      <c r="AI24" s="27" t="n">
        <f aca="false">IF(COUNT(Algodão!$E22:$Z22)=0,0,MAX(0,IF((AI$6-$E$3)&lt;1,0,IFERROR(LOOKUP(2,1/(Algodão!$E22:INDEX(Algodão!$E22:$Z22,MIN(AI$6-$E$3,22))&lt;&gt;""),Algodão!$E22:INDEX(Algodão!$E22:$Z22,MIN(AI$6-$E$3,22))),0))-IF($G$2,0,IF((AI$6-$G$3)&lt;1,0,IFERROR(LOOKUP(2,1/(Algodão!$E22:INDEX(Algodão!$E22:$Z22,MIN(AI$6-$G$3,22))&lt;&gt;""),Algodão!$E22:INDEX(Algodão!$E22:$Z22,MIN(AI$6-$G$3,22))),0)))))</f>
        <v>0</v>
      </c>
      <c r="AJ24" s="27" t="n">
        <f aca="false">IF(COUNT(Algodão!$E22:$Z22)=0,0,MAX(0,IF((AJ$6-$E$3)&lt;1,0,IFERROR(LOOKUP(2,1/(Algodão!$E22:INDEX(Algodão!$E22:$Z22,MIN(AJ$6-$E$3,22))&lt;&gt;""),Algodão!$E22:INDEX(Algodão!$E22:$Z22,MIN(AJ$6-$E$3,22))),0))-IF($G$2,0,IF((AJ$6-$G$3)&lt;1,0,IFERROR(LOOKUP(2,1/(Algodão!$E22:INDEX(Algodão!$E22:$Z22,MIN(AJ$6-$G$3,22))&lt;&gt;""),Algodão!$E22:INDEX(Algodão!$E22:$Z22,MIN(AJ$6-$G$3,22))),0)))))</f>
        <v>0</v>
      </c>
      <c r="AK24" s="27" t="n">
        <f aca="false">IF(COUNT(Algodão!$E22:$Z22)=0,0,MAX(0,IF((AK$6-$E$3)&lt;1,0,IFERROR(LOOKUP(2,1/(Algodão!$E22:INDEX(Algodão!$E22:$Z22,MIN(AK$6-$E$3,22))&lt;&gt;""),Algodão!$E22:INDEX(Algodão!$E22:$Z22,MIN(AK$6-$E$3,22))),0))-IF($G$2,0,IF((AK$6-$G$3)&lt;1,0,IFERROR(LOOKUP(2,1/(Algodão!$E22:INDEX(Algodão!$E22:$Z22,MIN(AK$6-$G$3,22))&lt;&gt;""),Algodão!$E22:INDEX(Algodão!$E22:$Z22,MIN(AK$6-$G$3,22))),0)))))</f>
        <v>0</v>
      </c>
      <c r="AL24" s="27" t="n">
        <f aca="false">IF(COUNT(Algodão!$E22:$Z22)=0,0,MAX(0,IF((AL$6-$E$3)&lt;1,0,IFERROR(LOOKUP(2,1/(Algodão!$E22:INDEX(Algodão!$E22:$Z22,MIN(AL$6-$E$3,22))&lt;&gt;""),Algodão!$E22:INDEX(Algodão!$E22:$Z22,MIN(AL$6-$E$3,22))),0))-IF($G$2,0,IF((AL$6-$G$3)&lt;1,0,IFERROR(LOOKUP(2,1/(Algodão!$E22:INDEX(Algodão!$E22:$Z22,MIN(AL$6-$G$3,22))&lt;&gt;""),Algodão!$E22:INDEX(Algodão!$E22:$Z22,MIN(AL$6-$G$3,22))),0)))))</f>
        <v>0</v>
      </c>
      <c r="AM24" s="27" t="n">
        <f aca="false">IF(COUNT(Algodão!$E22:$Z22)=0,0,MAX(0,IF((AM$6-$E$3)&lt;1,0,IFERROR(LOOKUP(2,1/(Algodão!$E22:INDEX(Algodão!$E22:$Z22,MIN(AM$6-$E$3,22))&lt;&gt;""),Algodão!$E22:INDEX(Algodão!$E22:$Z22,MIN(AM$6-$E$3,22))),0))-IF($G$2,0,IF((AM$6-$G$3)&lt;1,0,IFERROR(LOOKUP(2,1/(Algodão!$E22:INDEX(Algodão!$E22:$Z22,MIN(AM$6-$G$3,22))&lt;&gt;""),Algodão!$E22:INDEX(Algodão!$E22:$Z22,MIN(AM$6-$G$3,22))),0)))))</f>
        <v>0</v>
      </c>
      <c r="AN24" s="27" t="n">
        <f aca="false">IF(COUNT(Algodão!$E22:$Z22)=0,0,MAX(0,IF((AN$6-$E$3)&lt;1,0,IFERROR(LOOKUP(2,1/(Algodão!$E22:INDEX(Algodão!$E22:$Z22,MIN(AN$6-$E$3,22))&lt;&gt;""),Algodão!$E22:INDEX(Algodão!$E22:$Z22,MIN(AN$6-$E$3,22))),0))-IF($G$2,0,IF((AN$6-$G$3)&lt;1,0,IFERROR(LOOKUP(2,1/(Algodão!$E22:INDEX(Algodão!$E22:$Z22,MIN(AN$6-$G$3,22))&lt;&gt;""),Algodão!$E22:INDEX(Algodão!$E22:$Z22,MIN(AN$6-$G$3,22))),0)))))</f>
        <v>0</v>
      </c>
      <c r="AO24" s="27" t="n">
        <f aca="false">IF(COUNT(Algodão!$E22:$Z22)=0,0,MAX(0,IF((AO$6-$E$3)&lt;1,0,IFERROR(LOOKUP(2,1/(Algodão!$E22:INDEX(Algodão!$E22:$Z22,MIN(AO$6-$E$3,22))&lt;&gt;""),Algodão!$E22:INDEX(Algodão!$E22:$Z22,MIN(AO$6-$E$3,22))),0))-IF($G$2,0,IF((AO$6-$G$3)&lt;1,0,IFERROR(LOOKUP(2,1/(Algodão!$E22:INDEX(Algodão!$E22:$Z22,MIN(AO$6-$G$3,22))&lt;&gt;""),Algodão!$E22:INDEX(Algodão!$E22:$Z22,MIN(AO$6-$G$3,22))),0)))))</f>
        <v>0</v>
      </c>
      <c r="AP24" s="27" t="n">
        <f aca="false">IF(COUNT(Algodão!$E22:$Z22)=0,0,MAX(0,IF((AP$6-$E$3)&lt;1,0,IFERROR(LOOKUP(2,1/(Algodão!$E22:INDEX(Algodão!$E22:$Z22,MIN(AP$6-$E$3,22))&lt;&gt;""),Algodão!$E22:INDEX(Algodão!$E22:$Z22,MIN(AP$6-$E$3,22))),0))-IF($G$2,0,IF((AP$6-$G$3)&lt;1,0,IFERROR(LOOKUP(2,1/(Algodão!$E22:INDEX(Algodão!$E22:$Z22,MIN(AP$6-$G$3,22))&lt;&gt;""),Algodão!$E22:INDEX(Algodão!$E22:$Z22,MIN(AP$6-$G$3,22))),0)))))</f>
        <v>0</v>
      </c>
      <c r="AQ24" s="27" t="n">
        <f aca="false">IF(COUNT(Algodão!$E22:$Z22)=0,0,MAX(0,IF((AQ$6-$E$3)&lt;1,0,IFERROR(LOOKUP(2,1/(Algodão!$E22:INDEX(Algodão!$E22:$Z22,MIN(AQ$6-$E$3,22))&lt;&gt;""),Algodão!$E22:INDEX(Algodão!$E22:$Z22,MIN(AQ$6-$E$3,22))),0))-IF($G$2,0,IF((AQ$6-$G$3)&lt;1,0,IFERROR(LOOKUP(2,1/(Algodão!$E22:INDEX(Algodão!$E22:$Z22,MIN(AQ$6-$G$3,22))&lt;&gt;""),Algodão!$E22:INDEX(Algodão!$E22:$Z22,MIN(AQ$6-$G$3,22))),0)))))</f>
        <v>0</v>
      </c>
      <c r="AR24" s="27" t="n">
        <f aca="false">IF(COUNT(Algodão!$E22:$Z22)=0,0,MAX(0,IF((AR$6-$E$3)&lt;1,0,IFERROR(LOOKUP(2,1/(Algodão!$E22:INDEX(Algodão!$E22:$Z22,MIN(AR$6-$E$3,22))&lt;&gt;""),Algodão!$E22:INDEX(Algodão!$E22:$Z22,MIN(AR$6-$E$3,22))),0))-IF($G$2,0,IF((AR$6-$G$3)&lt;1,0,IFERROR(LOOKUP(2,1/(Algodão!$E22:INDEX(Algodão!$E22:$Z22,MIN(AR$6-$G$3,22))&lt;&gt;""),Algodão!$E22:INDEX(Algodão!$E22:$Z22,MIN(AR$6-$G$3,22))),0)))))</f>
        <v>0</v>
      </c>
      <c r="AS24" s="27" t="n">
        <f aca="false">IF(COUNT(Algodão!$E22:$Z22)=0,0,MAX(0,IF((AS$6-$E$3)&lt;1,0,IFERROR(LOOKUP(2,1/(Algodão!$E22:INDEX(Algodão!$E22:$Z22,MIN(AS$6-$E$3,22))&lt;&gt;""),Algodão!$E22:INDEX(Algodão!$E22:$Z22,MIN(AS$6-$E$3,22))),0))-IF($G$2,0,IF((AS$6-$G$3)&lt;1,0,IFERROR(LOOKUP(2,1/(Algodão!$E22:INDEX(Algodão!$E22:$Z22,MIN(AS$6-$G$3,22))&lt;&gt;""),Algodão!$E22:INDEX(Algodão!$E22:$Z22,MIN(AS$6-$G$3,22))),0)))))</f>
        <v>0</v>
      </c>
      <c r="AT24" s="27" t="n">
        <f aca="false">IF(COUNT(Algodão!$E22:$Z22)=0,0,MAX(0,IF((AT$6-$E$3)&lt;1,0,IFERROR(LOOKUP(2,1/(Algodão!$E22:INDEX(Algodão!$E22:$Z22,MIN(AT$6-$E$3,22))&lt;&gt;""),Algodão!$E22:INDEX(Algodão!$E22:$Z22,MIN(AT$6-$E$3,22))),0))-IF($G$2,0,IF((AT$6-$G$3)&lt;1,0,IFERROR(LOOKUP(2,1/(Algodão!$E22:INDEX(Algodão!$E22:$Z22,MIN(AT$6-$G$3,22))&lt;&gt;""),Algodão!$E22:INDEX(Algodão!$E22:$Z22,MIN(AT$6-$G$3,22))),0)))))</f>
        <v>0</v>
      </c>
      <c r="AU24" s="27" t="n">
        <f aca="false">IF(COUNT(Algodão!$E22:$Z22)=0,0,MAX(0,IF((AU$6-$E$3)&lt;1,0,IFERROR(LOOKUP(2,1/(Algodão!$E22:INDEX(Algodão!$E22:$Z22,MIN(AU$6-$E$3,22))&lt;&gt;""),Algodão!$E22:INDEX(Algodão!$E22:$Z22,MIN(AU$6-$E$3,22))),0))-IF($G$2,0,IF((AU$6-$G$3)&lt;1,0,IFERROR(LOOKUP(2,1/(Algodão!$E22:INDEX(Algodão!$E22:$Z22,MIN(AU$6-$G$3,22))&lt;&gt;""),Algodão!$E22:INDEX(Algodão!$E22:$Z22,MIN(AU$6-$G$3,22))),0)))))</f>
        <v>0</v>
      </c>
      <c r="AV24" s="27" t="n">
        <f aca="false">IF(COUNT(Algodão!$E22:$Z22)=0,0,MAX(0,IF((AV$6-$E$3)&lt;1,0,IFERROR(LOOKUP(2,1/(Algodão!$E22:INDEX(Algodão!$E22:$Z22,MIN(AV$6-$E$3,22))&lt;&gt;""),Algodão!$E22:INDEX(Algodão!$E22:$Z22,MIN(AV$6-$E$3,22))),0))-IF($G$2,0,IF((AV$6-$G$3)&lt;1,0,IFERROR(LOOKUP(2,1/(Algodão!$E22:INDEX(Algodão!$E22:$Z22,MIN(AV$6-$G$3,22))&lt;&gt;""),Algodão!$E22:INDEX(Algodão!$E22:$Z22,MIN(AV$6-$G$3,22))),0)))))</f>
        <v>0</v>
      </c>
      <c r="AW24" s="27" t="n">
        <f aca="false">IF(COUNT(Algodão!$E22:$Z22)=0,0,MAX(0,IF((AW$6-$E$3)&lt;1,0,IFERROR(LOOKUP(2,1/(Algodão!$E22:INDEX(Algodão!$E22:$Z22,MIN(AW$6-$E$3,22))&lt;&gt;""),Algodão!$E22:INDEX(Algodão!$E22:$Z22,MIN(AW$6-$E$3,22))),0))-IF($G$2,0,IF((AW$6-$G$3)&lt;1,0,IFERROR(LOOKUP(2,1/(Algodão!$E22:INDEX(Algodão!$E22:$Z22,MIN(AW$6-$G$3,22))&lt;&gt;""),Algodão!$E22:INDEX(Algodão!$E22:$Z22,MIN(AW$6-$G$3,22))),0)))))</f>
        <v>0</v>
      </c>
      <c r="AX24" s="27" t="n">
        <f aca="false">IF(COUNT(Algodão!$E22:$Z22)=0,0,MAX(0,IF((AX$6-$E$3)&lt;1,0,IFERROR(LOOKUP(2,1/(Algodão!$E22:INDEX(Algodão!$E22:$Z22,MIN(AX$6-$E$3,22))&lt;&gt;""),Algodão!$E22:INDEX(Algodão!$E22:$Z22,MIN(AX$6-$E$3,22))),0))-IF($G$2,0,IF((AX$6-$G$3)&lt;1,0,IFERROR(LOOKUP(2,1/(Algodão!$E22:INDEX(Algodão!$E22:$Z22,MIN(AX$6-$G$3,22))&lt;&gt;""),Algodão!$E22:INDEX(Algodão!$E22:$Z22,MIN(AX$6-$G$3,22))),0)))))</f>
        <v>0</v>
      </c>
      <c r="AY24" s="27" t="n">
        <f aca="false">IF(COUNT(Algodão!$E22:$Z22)=0,0,MAX(0,IF((AY$6-$E$3)&lt;1,0,IFERROR(LOOKUP(2,1/(Algodão!$E22:INDEX(Algodão!$E22:$Z22,MIN(AY$6-$E$3,22))&lt;&gt;""),Algodão!$E22:INDEX(Algodão!$E22:$Z22,MIN(AY$6-$E$3,22))),0))-IF($G$2,0,IF((AY$6-$G$3)&lt;1,0,IFERROR(LOOKUP(2,1/(Algodão!$E22:INDEX(Algodão!$E22:$Z22,MIN(AY$6-$G$3,22))&lt;&gt;""),Algodão!$E22:INDEX(Algodão!$E22:$Z22,MIN(AY$6-$G$3,22))),0)))))</f>
        <v>0</v>
      </c>
      <c r="AZ24" s="27" t="n">
        <f aca="false">IF(COUNT(Algodão!$E22:$Z22)=0,0,MAX(0,IF((AZ$6-$E$3)&lt;1,0,IFERROR(LOOKUP(2,1/(Algodão!$E22:INDEX(Algodão!$E22:$Z22,MIN(AZ$6-$E$3,22))&lt;&gt;""),Algodão!$E22:INDEX(Algodão!$E22:$Z22,MIN(AZ$6-$E$3,22))),0))-IF($G$2,0,IF((AZ$6-$G$3)&lt;1,0,IFERROR(LOOKUP(2,1/(Algodão!$E22:INDEX(Algodão!$E22:$Z22,MIN(AZ$6-$G$3,22))&lt;&gt;""),Algodão!$E22:INDEX(Algodão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IF(COUNT(Algodão!$E23:$Z23)&gt;0,N(Algodão!$D23),0)</f>
        <v>0</v>
      </c>
      <c r="E25" s="27" t="n">
        <f aca="false">IF(COUNT(Algodão!$E23:$Z23)=0,0,MAX(0,IF((E$6-$E$3)&lt;1,0,IFERROR(LOOKUP(2,1/(Algodão!$E23:INDEX(Algodão!$E23:$Z23,MIN(E$6-$E$3,22))&lt;&gt;""),Algodão!$E23:INDEX(Algodão!$E23:$Z23,MIN(E$6-$E$3,22))),0))-IF($G$2,0,IF((E$6-$G$3)&lt;1,0,IFERROR(LOOKUP(2,1/(Algodão!$E23:INDEX(Algodão!$E23:$Z23,MIN(E$6-$G$3,22))&lt;&gt;""),Algodão!$E23:INDEX(Algodão!$E23:$Z23,MIN(E$6-$G$3,22))),0)))))</f>
        <v>0</v>
      </c>
      <c r="F25" s="27" t="n">
        <f aca="false">IF(COUNT(Algodão!$E23:$Z23)=0,0,MAX(0,IF((F$6-$E$3)&lt;1,0,IFERROR(LOOKUP(2,1/(Algodão!$E23:INDEX(Algodão!$E23:$Z23,MIN(F$6-$E$3,22))&lt;&gt;""),Algodão!$E23:INDEX(Algodão!$E23:$Z23,MIN(F$6-$E$3,22))),0))-IF($G$2,0,IF((F$6-$G$3)&lt;1,0,IFERROR(LOOKUP(2,1/(Algodão!$E23:INDEX(Algodão!$E23:$Z23,MIN(F$6-$G$3,22))&lt;&gt;""),Algodão!$E23:INDEX(Algodão!$E23:$Z23,MIN(F$6-$G$3,22))),0)))))</f>
        <v>0</v>
      </c>
      <c r="G25" s="27" t="n">
        <f aca="false">IF(COUNT(Algodão!$E23:$Z23)=0,0,MAX(0,IF((G$6-$E$3)&lt;1,0,IFERROR(LOOKUP(2,1/(Algodão!$E23:INDEX(Algodão!$E23:$Z23,MIN(G$6-$E$3,22))&lt;&gt;""),Algodão!$E23:INDEX(Algodão!$E23:$Z23,MIN(G$6-$E$3,22))),0))-IF($G$2,0,IF((G$6-$G$3)&lt;1,0,IFERROR(LOOKUP(2,1/(Algodão!$E23:INDEX(Algodão!$E23:$Z23,MIN(G$6-$G$3,22))&lt;&gt;""),Algodão!$E23:INDEX(Algodão!$E23:$Z23,MIN(G$6-$G$3,22))),0)))))</f>
        <v>0</v>
      </c>
      <c r="H25" s="27" t="n">
        <f aca="false">IF(COUNT(Algodão!$E23:$Z23)=0,0,MAX(0,IF((H$6-$E$3)&lt;1,0,IFERROR(LOOKUP(2,1/(Algodão!$E23:INDEX(Algodão!$E23:$Z23,MIN(H$6-$E$3,22))&lt;&gt;""),Algodão!$E23:INDEX(Algodão!$E23:$Z23,MIN(H$6-$E$3,22))),0))-IF($G$2,0,IF((H$6-$G$3)&lt;1,0,IFERROR(LOOKUP(2,1/(Algodão!$E23:INDEX(Algodão!$E23:$Z23,MIN(H$6-$G$3,22))&lt;&gt;""),Algodão!$E23:INDEX(Algodão!$E23:$Z23,MIN(H$6-$G$3,22))),0)))))</f>
        <v>0</v>
      </c>
      <c r="I25" s="27" t="n">
        <f aca="false">IF(COUNT(Algodão!$E23:$Z23)=0,0,MAX(0,IF((I$6-$E$3)&lt;1,0,IFERROR(LOOKUP(2,1/(Algodão!$E23:INDEX(Algodão!$E23:$Z23,MIN(I$6-$E$3,22))&lt;&gt;""),Algodão!$E23:INDEX(Algodão!$E23:$Z23,MIN(I$6-$E$3,22))),0))-IF($G$2,0,IF((I$6-$G$3)&lt;1,0,IFERROR(LOOKUP(2,1/(Algodão!$E23:INDEX(Algodão!$E23:$Z23,MIN(I$6-$G$3,22))&lt;&gt;""),Algodão!$E23:INDEX(Algodão!$E23:$Z23,MIN(I$6-$G$3,22))),0)))))</f>
        <v>0</v>
      </c>
      <c r="J25" s="27" t="n">
        <f aca="false">IF(COUNT(Algodão!$E23:$Z23)=0,0,MAX(0,IF((J$6-$E$3)&lt;1,0,IFERROR(LOOKUP(2,1/(Algodão!$E23:INDEX(Algodão!$E23:$Z23,MIN(J$6-$E$3,22))&lt;&gt;""),Algodão!$E23:INDEX(Algodão!$E23:$Z23,MIN(J$6-$E$3,22))),0))-IF($G$2,0,IF((J$6-$G$3)&lt;1,0,IFERROR(LOOKUP(2,1/(Algodão!$E23:INDEX(Algodão!$E23:$Z23,MIN(J$6-$G$3,22))&lt;&gt;""),Algodão!$E23:INDEX(Algodão!$E23:$Z23,MIN(J$6-$G$3,22))),0)))))</f>
        <v>0</v>
      </c>
      <c r="K25" s="27" t="n">
        <f aca="false">IF(COUNT(Algodão!$E23:$Z23)=0,0,MAX(0,IF((K$6-$E$3)&lt;1,0,IFERROR(LOOKUP(2,1/(Algodão!$E23:INDEX(Algodão!$E23:$Z23,MIN(K$6-$E$3,22))&lt;&gt;""),Algodão!$E23:INDEX(Algodão!$E23:$Z23,MIN(K$6-$E$3,22))),0))-IF($G$2,0,IF((K$6-$G$3)&lt;1,0,IFERROR(LOOKUP(2,1/(Algodão!$E23:INDEX(Algodão!$E23:$Z23,MIN(K$6-$G$3,22))&lt;&gt;""),Algodão!$E23:INDEX(Algodão!$E23:$Z23,MIN(K$6-$G$3,22))),0)))))</f>
        <v>0</v>
      </c>
      <c r="L25" s="27" t="n">
        <f aca="false">IF(COUNT(Algodão!$E23:$Z23)=0,0,MAX(0,IF((L$6-$E$3)&lt;1,0,IFERROR(LOOKUP(2,1/(Algodão!$E23:INDEX(Algodão!$E23:$Z23,MIN(L$6-$E$3,22))&lt;&gt;""),Algodão!$E23:INDEX(Algodão!$E23:$Z23,MIN(L$6-$E$3,22))),0))-IF($G$2,0,IF((L$6-$G$3)&lt;1,0,IFERROR(LOOKUP(2,1/(Algodão!$E23:INDEX(Algodão!$E23:$Z23,MIN(L$6-$G$3,22))&lt;&gt;""),Algodão!$E23:INDEX(Algodão!$E23:$Z23,MIN(L$6-$G$3,22))),0)))))</f>
        <v>0</v>
      </c>
      <c r="M25" s="27" t="n">
        <f aca="false">IF(COUNT(Algodão!$E23:$Z23)=0,0,MAX(0,IF((M$6-$E$3)&lt;1,0,IFERROR(LOOKUP(2,1/(Algodão!$E23:INDEX(Algodão!$E23:$Z23,MIN(M$6-$E$3,22))&lt;&gt;""),Algodão!$E23:INDEX(Algodão!$E23:$Z23,MIN(M$6-$E$3,22))),0))-IF($G$2,0,IF((M$6-$G$3)&lt;1,0,IFERROR(LOOKUP(2,1/(Algodão!$E23:INDEX(Algodão!$E23:$Z23,MIN(M$6-$G$3,22))&lt;&gt;""),Algodão!$E23:INDEX(Algodão!$E23:$Z23,MIN(M$6-$G$3,22))),0)))))</f>
        <v>0</v>
      </c>
      <c r="N25" s="27" t="n">
        <f aca="false">IF(COUNT(Algodão!$E23:$Z23)=0,0,MAX(0,IF((N$6-$E$3)&lt;1,0,IFERROR(LOOKUP(2,1/(Algodão!$E23:INDEX(Algodão!$E23:$Z23,MIN(N$6-$E$3,22))&lt;&gt;""),Algodão!$E23:INDEX(Algodão!$E23:$Z23,MIN(N$6-$E$3,22))),0))-IF($G$2,0,IF((N$6-$G$3)&lt;1,0,IFERROR(LOOKUP(2,1/(Algodão!$E23:INDEX(Algodão!$E23:$Z23,MIN(N$6-$G$3,22))&lt;&gt;""),Algodão!$E23:INDEX(Algodão!$E23:$Z23,MIN(N$6-$G$3,22))),0)))))</f>
        <v>0</v>
      </c>
      <c r="O25" s="27" t="n">
        <f aca="false">IF(COUNT(Algodão!$E23:$Z23)=0,0,MAX(0,IF((O$6-$E$3)&lt;1,0,IFERROR(LOOKUP(2,1/(Algodão!$E23:INDEX(Algodão!$E23:$Z23,MIN(O$6-$E$3,22))&lt;&gt;""),Algodão!$E23:INDEX(Algodão!$E23:$Z23,MIN(O$6-$E$3,22))),0))-IF($G$2,0,IF((O$6-$G$3)&lt;1,0,IFERROR(LOOKUP(2,1/(Algodão!$E23:INDEX(Algodão!$E23:$Z23,MIN(O$6-$G$3,22))&lt;&gt;""),Algodão!$E23:INDEX(Algodão!$E23:$Z23,MIN(O$6-$G$3,22))),0)))))</f>
        <v>0</v>
      </c>
      <c r="P25" s="27" t="n">
        <f aca="false">IF(COUNT(Algodão!$E23:$Z23)=0,0,MAX(0,IF((P$6-$E$3)&lt;1,0,IFERROR(LOOKUP(2,1/(Algodão!$E23:INDEX(Algodão!$E23:$Z23,MIN(P$6-$E$3,22))&lt;&gt;""),Algodão!$E23:INDEX(Algodão!$E23:$Z23,MIN(P$6-$E$3,22))),0))-IF($G$2,0,IF((P$6-$G$3)&lt;1,0,IFERROR(LOOKUP(2,1/(Algodão!$E23:INDEX(Algodão!$E23:$Z23,MIN(P$6-$G$3,22))&lt;&gt;""),Algodão!$E23:INDEX(Algodão!$E23:$Z23,MIN(P$6-$G$3,22))),0)))))</f>
        <v>0</v>
      </c>
      <c r="Q25" s="27" t="n">
        <f aca="false">IF(COUNT(Algodão!$E23:$Z23)=0,0,MAX(0,IF((Q$6-$E$3)&lt;1,0,IFERROR(LOOKUP(2,1/(Algodão!$E23:INDEX(Algodão!$E23:$Z23,MIN(Q$6-$E$3,22))&lt;&gt;""),Algodão!$E23:INDEX(Algodão!$E23:$Z23,MIN(Q$6-$E$3,22))),0))-IF($G$2,0,IF((Q$6-$G$3)&lt;1,0,IFERROR(LOOKUP(2,1/(Algodão!$E23:INDEX(Algodão!$E23:$Z23,MIN(Q$6-$G$3,22))&lt;&gt;""),Algodão!$E23:INDEX(Algodão!$E23:$Z23,MIN(Q$6-$G$3,22))),0)))))</f>
        <v>0</v>
      </c>
      <c r="R25" s="27" t="n">
        <f aca="false">IF(COUNT(Algodão!$E23:$Z23)=0,0,MAX(0,IF((R$6-$E$3)&lt;1,0,IFERROR(LOOKUP(2,1/(Algodão!$E23:INDEX(Algodão!$E23:$Z23,MIN(R$6-$E$3,22))&lt;&gt;""),Algodão!$E23:INDEX(Algodão!$E23:$Z23,MIN(R$6-$E$3,22))),0))-IF($G$2,0,IF((R$6-$G$3)&lt;1,0,IFERROR(LOOKUP(2,1/(Algodão!$E23:INDEX(Algodão!$E23:$Z23,MIN(R$6-$G$3,22))&lt;&gt;""),Algodão!$E23:INDEX(Algodão!$E23:$Z23,MIN(R$6-$G$3,22))),0)))))</f>
        <v>0</v>
      </c>
      <c r="S25" s="27" t="n">
        <f aca="false">IF(COUNT(Algodão!$E23:$Z23)=0,0,MAX(0,IF((S$6-$E$3)&lt;1,0,IFERROR(LOOKUP(2,1/(Algodão!$E23:INDEX(Algodão!$E23:$Z23,MIN(S$6-$E$3,22))&lt;&gt;""),Algodão!$E23:INDEX(Algodão!$E23:$Z23,MIN(S$6-$E$3,22))),0))-IF($G$2,0,IF((S$6-$G$3)&lt;1,0,IFERROR(LOOKUP(2,1/(Algodão!$E23:INDEX(Algodão!$E23:$Z23,MIN(S$6-$G$3,22))&lt;&gt;""),Algodão!$E23:INDEX(Algodão!$E23:$Z23,MIN(S$6-$G$3,22))),0)))))</f>
        <v>0</v>
      </c>
      <c r="T25" s="27" t="n">
        <f aca="false">IF(COUNT(Algodão!$E23:$Z23)=0,0,MAX(0,IF((T$6-$E$3)&lt;1,0,IFERROR(LOOKUP(2,1/(Algodão!$E23:INDEX(Algodão!$E23:$Z23,MIN(T$6-$E$3,22))&lt;&gt;""),Algodão!$E23:INDEX(Algodão!$E23:$Z23,MIN(T$6-$E$3,22))),0))-IF($G$2,0,IF((T$6-$G$3)&lt;1,0,IFERROR(LOOKUP(2,1/(Algodão!$E23:INDEX(Algodão!$E23:$Z23,MIN(T$6-$G$3,22))&lt;&gt;""),Algodão!$E23:INDEX(Algodão!$E23:$Z23,MIN(T$6-$G$3,22))),0)))))</f>
        <v>0</v>
      </c>
      <c r="U25" s="27" t="n">
        <f aca="false">IF(COUNT(Algodão!$E23:$Z23)=0,0,MAX(0,IF((U$6-$E$3)&lt;1,0,IFERROR(LOOKUP(2,1/(Algodão!$E23:INDEX(Algodão!$E23:$Z23,MIN(U$6-$E$3,22))&lt;&gt;""),Algodão!$E23:INDEX(Algodão!$E23:$Z23,MIN(U$6-$E$3,22))),0))-IF($G$2,0,IF((U$6-$G$3)&lt;1,0,IFERROR(LOOKUP(2,1/(Algodão!$E23:INDEX(Algodão!$E23:$Z23,MIN(U$6-$G$3,22))&lt;&gt;""),Algodão!$E23:INDEX(Algodão!$E23:$Z23,MIN(U$6-$G$3,22))),0)))))</f>
        <v>0</v>
      </c>
      <c r="V25" s="27" t="n">
        <f aca="false">IF(COUNT(Algodão!$E23:$Z23)=0,0,MAX(0,IF((V$6-$E$3)&lt;1,0,IFERROR(LOOKUP(2,1/(Algodão!$E23:INDEX(Algodão!$E23:$Z23,MIN(V$6-$E$3,22))&lt;&gt;""),Algodão!$E23:INDEX(Algodão!$E23:$Z23,MIN(V$6-$E$3,22))),0))-IF($G$2,0,IF((V$6-$G$3)&lt;1,0,IFERROR(LOOKUP(2,1/(Algodão!$E23:INDEX(Algodão!$E23:$Z23,MIN(V$6-$G$3,22))&lt;&gt;""),Algodão!$E23:INDEX(Algodão!$E23:$Z23,MIN(V$6-$G$3,22))),0)))))</f>
        <v>0</v>
      </c>
      <c r="W25" s="27" t="n">
        <f aca="false">IF(COUNT(Algodão!$E23:$Z23)=0,0,MAX(0,IF((W$6-$E$3)&lt;1,0,IFERROR(LOOKUP(2,1/(Algodão!$E23:INDEX(Algodão!$E23:$Z23,MIN(W$6-$E$3,22))&lt;&gt;""),Algodão!$E23:INDEX(Algodão!$E23:$Z23,MIN(W$6-$E$3,22))),0))-IF($G$2,0,IF((W$6-$G$3)&lt;1,0,IFERROR(LOOKUP(2,1/(Algodão!$E23:INDEX(Algodão!$E23:$Z23,MIN(W$6-$G$3,22))&lt;&gt;""),Algodão!$E23:INDEX(Algodão!$E23:$Z23,MIN(W$6-$G$3,22))),0)))))</f>
        <v>0</v>
      </c>
      <c r="X25" s="27" t="n">
        <f aca="false">IF(COUNT(Algodão!$E23:$Z23)=0,0,MAX(0,IF((X$6-$E$3)&lt;1,0,IFERROR(LOOKUP(2,1/(Algodão!$E23:INDEX(Algodão!$E23:$Z23,MIN(X$6-$E$3,22))&lt;&gt;""),Algodão!$E23:INDEX(Algodão!$E23:$Z23,MIN(X$6-$E$3,22))),0))-IF($G$2,0,IF((X$6-$G$3)&lt;1,0,IFERROR(LOOKUP(2,1/(Algodão!$E23:INDEX(Algodão!$E23:$Z23,MIN(X$6-$G$3,22))&lt;&gt;""),Algodão!$E23:INDEX(Algodão!$E23:$Z23,MIN(X$6-$G$3,22))),0)))))</f>
        <v>0</v>
      </c>
      <c r="Y25" s="27" t="n">
        <f aca="false">IF(COUNT(Algodão!$E23:$Z23)=0,0,MAX(0,IF((Y$6-$E$3)&lt;1,0,IFERROR(LOOKUP(2,1/(Algodão!$E23:INDEX(Algodão!$E23:$Z23,MIN(Y$6-$E$3,22))&lt;&gt;""),Algodão!$E23:INDEX(Algodão!$E23:$Z23,MIN(Y$6-$E$3,22))),0))-IF($G$2,0,IF((Y$6-$G$3)&lt;1,0,IFERROR(LOOKUP(2,1/(Algodão!$E23:INDEX(Algodão!$E23:$Z23,MIN(Y$6-$G$3,22))&lt;&gt;""),Algodão!$E23:INDEX(Algodão!$E23:$Z23,MIN(Y$6-$G$3,22))),0)))))</f>
        <v>0</v>
      </c>
      <c r="Z25" s="27" t="n">
        <f aca="false">IF(COUNT(Algodão!$E23:$Z23)=0,0,MAX(0,IF((Z$6-$E$3)&lt;1,0,IFERROR(LOOKUP(2,1/(Algodão!$E23:INDEX(Algodão!$E23:$Z23,MIN(Z$6-$E$3,22))&lt;&gt;""),Algodão!$E23:INDEX(Algodão!$E23:$Z23,MIN(Z$6-$E$3,22))),0))-IF($G$2,0,IF((Z$6-$G$3)&lt;1,0,IFERROR(LOOKUP(2,1/(Algodão!$E23:INDEX(Algodão!$E23:$Z23,MIN(Z$6-$G$3,22))&lt;&gt;""),Algodão!$E23:INDEX(Algodão!$E23:$Z23,MIN(Z$6-$G$3,22))),0)))))</f>
        <v>0</v>
      </c>
      <c r="AA25" s="27" t="n">
        <f aca="false">IF(COUNT(Algodão!$E23:$Z23)=0,0,MAX(0,IF((AA$6-$E$3)&lt;1,0,IFERROR(LOOKUP(2,1/(Algodão!$E23:INDEX(Algodão!$E23:$Z23,MIN(AA$6-$E$3,22))&lt;&gt;""),Algodão!$E23:INDEX(Algodão!$E23:$Z23,MIN(AA$6-$E$3,22))),0))-IF($G$2,0,IF((AA$6-$G$3)&lt;1,0,IFERROR(LOOKUP(2,1/(Algodão!$E23:INDEX(Algodão!$E23:$Z23,MIN(AA$6-$G$3,22))&lt;&gt;""),Algodão!$E23:INDEX(Algodão!$E23:$Z23,MIN(AA$6-$G$3,22))),0)))))</f>
        <v>0</v>
      </c>
      <c r="AB25" s="27" t="n">
        <f aca="false">IF(COUNT(Algodão!$E23:$Z23)=0,0,MAX(0,IF((AB$6-$E$3)&lt;1,0,IFERROR(LOOKUP(2,1/(Algodão!$E23:INDEX(Algodão!$E23:$Z23,MIN(AB$6-$E$3,22))&lt;&gt;""),Algodão!$E23:INDEX(Algodão!$E23:$Z23,MIN(AB$6-$E$3,22))),0))-IF($G$2,0,IF((AB$6-$G$3)&lt;1,0,IFERROR(LOOKUP(2,1/(Algodão!$E23:INDEX(Algodão!$E23:$Z23,MIN(AB$6-$G$3,22))&lt;&gt;""),Algodão!$E23:INDEX(Algodão!$E23:$Z23,MIN(AB$6-$G$3,22))),0)))))</f>
        <v>0</v>
      </c>
      <c r="AC25" s="27" t="n">
        <f aca="false">IF(COUNT(Algodão!$E23:$Z23)=0,0,MAX(0,IF((AC$6-$E$3)&lt;1,0,IFERROR(LOOKUP(2,1/(Algodão!$E23:INDEX(Algodão!$E23:$Z23,MIN(AC$6-$E$3,22))&lt;&gt;""),Algodão!$E23:INDEX(Algodão!$E23:$Z23,MIN(AC$6-$E$3,22))),0))-IF($G$2,0,IF((AC$6-$G$3)&lt;1,0,IFERROR(LOOKUP(2,1/(Algodão!$E23:INDEX(Algodão!$E23:$Z23,MIN(AC$6-$G$3,22))&lt;&gt;""),Algodão!$E23:INDEX(Algodão!$E23:$Z23,MIN(AC$6-$G$3,22))),0)))))</f>
        <v>0</v>
      </c>
      <c r="AD25" s="27" t="n">
        <f aca="false">IF(COUNT(Algodão!$E23:$Z23)=0,0,MAX(0,IF((AD$6-$E$3)&lt;1,0,IFERROR(LOOKUP(2,1/(Algodão!$E23:INDEX(Algodão!$E23:$Z23,MIN(AD$6-$E$3,22))&lt;&gt;""),Algodão!$E23:INDEX(Algodão!$E23:$Z23,MIN(AD$6-$E$3,22))),0))-IF($G$2,0,IF((AD$6-$G$3)&lt;1,0,IFERROR(LOOKUP(2,1/(Algodão!$E23:INDEX(Algodão!$E23:$Z23,MIN(AD$6-$G$3,22))&lt;&gt;""),Algodão!$E23:INDEX(Algodão!$E23:$Z23,MIN(AD$6-$G$3,22))),0)))))</f>
        <v>0</v>
      </c>
      <c r="AE25" s="27" t="n">
        <f aca="false">IF(COUNT(Algodão!$E23:$Z23)=0,0,MAX(0,IF((AE$6-$E$3)&lt;1,0,IFERROR(LOOKUP(2,1/(Algodão!$E23:INDEX(Algodão!$E23:$Z23,MIN(AE$6-$E$3,22))&lt;&gt;""),Algodão!$E23:INDEX(Algodão!$E23:$Z23,MIN(AE$6-$E$3,22))),0))-IF($G$2,0,IF((AE$6-$G$3)&lt;1,0,IFERROR(LOOKUP(2,1/(Algodão!$E23:INDEX(Algodão!$E23:$Z23,MIN(AE$6-$G$3,22))&lt;&gt;""),Algodão!$E23:INDEX(Algodão!$E23:$Z23,MIN(AE$6-$G$3,22))),0)))))</f>
        <v>0</v>
      </c>
      <c r="AF25" s="27" t="n">
        <f aca="false">IF(COUNT(Algodão!$E23:$Z23)=0,0,MAX(0,IF((AF$6-$E$3)&lt;1,0,IFERROR(LOOKUP(2,1/(Algodão!$E23:INDEX(Algodão!$E23:$Z23,MIN(AF$6-$E$3,22))&lt;&gt;""),Algodão!$E23:INDEX(Algodão!$E23:$Z23,MIN(AF$6-$E$3,22))),0))-IF($G$2,0,IF((AF$6-$G$3)&lt;1,0,IFERROR(LOOKUP(2,1/(Algodão!$E23:INDEX(Algodão!$E23:$Z23,MIN(AF$6-$G$3,22))&lt;&gt;""),Algodão!$E23:INDEX(Algodão!$E23:$Z23,MIN(AF$6-$G$3,22))),0)))))</f>
        <v>0</v>
      </c>
      <c r="AG25" s="27" t="n">
        <f aca="false">IF(COUNT(Algodão!$E23:$Z23)=0,0,MAX(0,IF((AG$6-$E$3)&lt;1,0,IFERROR(LOOKUP(2,1/(Algodão!$E23:INDEX(Algodão!$E23:$Z23,MIN(AG$6-$E$3,22))&lt;&gt;""),Algodão!$E23:INDEX(Algodão!$E23:$Z23,MIN(AG$6-$E$3,22))),0))-IF($G$2,0,IF((AG$6-$G$3)&lt;1,0,IFERROR(LOOKUP(2,1/(Algodão!$E23:INDEX(Algodão!$E23:$Z23,MIN(AG$6-$G$3,22))&lt;&gt;""),Algodão!$E23:INDEX(Algodão!$E23:$Z23,MIN(AG$6-$G$3,22))),0)))))</f>
        <v>0</v>
      </c>
      <c r="AH25" s="27" t="n">
        <f aca="false">IF(COUNT(Algodão!$E23:$Z23)=0,0,MAX(0,IF((AH$6-$E$3)&lt;1,0,IFERROR(LOOKUP(2,1/(Algodão!$E23:INDEX(Algodão!$E23:$Z23,MIN(AH$6-$E$3,22))&lt;&gt;""),Algodão!$E23:INDEX(Algodão!$E23:$Z23,MIN(AH$6-$E$3,22))),0))-IF($G$2,0,IF((AH$6-$G$3)&lt;1,0,IFERROR(LOOKUP(2,1/(Algodão!$E23:INDEX(Algodão!$E23:$Z23,MIN(AH$6-$G$3,22))&lt;&gt;""),Algodão!$E23:INDEX(Algodão!$E23:$Z23,MIN(AH$6-$G$3,22))),0)))))</f>
        <v>0</v>
      </c>
      <c r="AI25" s="27" t="n">
        <f aca="false">IF(COUNT(Algodão!$E23:$Z23)=0,0,MAX(0,IF((AI$6-$E$3)&lt;1,0,IFERROR(LOOKUP(2,1/(Algodão!$E23:INDEX(Algodão!$E23:$Z23,MIN(AI$6-$E$3,22))&lt;&gt;""),Algodão!$E23:INDEX(Algodão!$E23:$Z23,MIN(AI$6-$E$3,22))),0))-IF($G$2,0,IF((AI$6-$G$3)&lt;1,0,IFERROR(LOOKUP(2,1/(Algodão!$E23:INDEX(Algodão!$E23:$Z23,MIN(AI$6-$G$3,22))&lt;&gt;""),Algodão!$E23:INDEX(Algodão!$E23:$Z23,MIN(AI$6-$G$3,22))),0)))))</f>
        <v>0</v>
      </c>
      <c r="AJ25" s="27" t="n">
        <f aca="false">IF(COUNT(Algodão!$E23:$Z23)=0,0,MAX(0,IF((AJ$6-$E$3)&lt;1,0,IFERROR(LOOKUP(2,1/(Algodão!$E23:INDEX(Algodão!$E23:$Z23,MIN(AJ$6-$E$3,22))&lt;&gt;""),Algodão!$E23:INDEX(Algodão!$E23:$Z23,MIN(AJ$6-$E$3,22))),0))-IF($G$2,0,IF((AJ$6-$G$3)&lt;1,0,IFERROR(LOOKUP(2,1/(Algodão!$E23:INDEX(Algodão!$E23:$Z23,MIN(AJ$6-$G$3,22))&lt;&gt;""),Algodão!$E23:INDEX(Algodão!$E23:$Z23,MIN(AJ$6-$G$3,22))),0)))))</f>
        <v>0</v>
      </c>
      <c r="AK25" s="27" t="n">
        <f aca="false">IF(COUNT(Algodão!$E23:$Z23)=0,0,MAX(0,IF((AK$6-$E$3)&lt;1,0,IFERROR(LOOKUP(2,1/(Algodão!$E23:INDEX(Algodão!$E23:$Z23,MIN(AK$6-$E$3,22))&lt;&gt;""),Algodão!$E23:INDEX(Algodão!$E23:$Z23,MIN(AK$6-$E$3,22))),0))-IF($G$2,0,IF((AK$6-$G$3)&lt;1,0,IFERROR(LOOKUP(2,1/(Algodão!$E23:INDEX(Algodão!$E23:$Z23,MIN(AK$6-$G$3,22))&lt;&gt;""),Algodão!$E23:INDEX(Algodão!$E23:$Z23,MIN(AK$6-$G$3,22))),0)))))</f>
        <v>0</v>
      </c>
      <c r="AL25" s="27" t="n">
        <f aca="false">IF(COUNT(Algodão!$E23:$Z23)=0,0,MAX(0,IF((AL$6-$E$3)&lt;1,0,IFERROR(LOOKUP(2,1/(Algodão!$E23:INDEX(Algodão!$E23:$Z23,MIN(AL$6-$E$3,22))&lt;&gt;""),Algodão!$E23:INDEX(Algodão!$E23:$Z23,MIN(AL$6-$E$3,22))),0))-IF($G$2,0,IF((AL$6-$G$3)&lt;1,0,IFERROR(LOOKUP(2,1/(Algodão!$E23:INDEX(Algodão!$E23:$Z23,MIN(AL$6-$G$3,22))&lt;&gt;""),Algodão!$E23:INDEX(Algodão!$E23:$Z23,MIN(AL$6-$G$3,22))),0)))))</f>
        <v>0</v>
      </c>
      <c r="AM25" s="27" t="n">
        <f aca="false">IF(COUNT(Algodão!$E23:$Z23)=0,0,MAX(0,IF((AM$6-$E$3)&lt;1,0,IFERROR(LOOKUP(2,1/(Algodão!$E23:INDEX(Algodão!$E23:$Z23,MIN(AM$6-$E$3,22))&lt;&gt;""),Algodão!$E23:INDEX(Algodão!$E23:$Z23,MIN(AM$6-$E$3,22))),0))-IF($G$2,0,IF((AM$6-$G$3)&lt;1,0,IFERROR(LOOKUP(2,1/(Algodão!$E23:INDEX(Algodão!$E23:$Z23,MIN(AM$6-$G$3,22))&lt;&gt;""),Algodão!$E23:INDEX(Algodão!$E23:$Z23,MIN(AM$6-$G$3,22))),0)))))</f>
        <v>0</v>
      </c>
      <c r="AN25" s="27" t="n">
        <f aca="false">IF(COUNT(Algodão!$E23:$Z23)=0,0,MAX(0,IF((AN$6-$E$3)&lt;1,0,IFERROR(LOOKUP(2,1/(Algodão!$E23:INDEX(Algodão!$E23:$Z23,MIN(AN$6-$E$3,22))&lt;&gt;""),Algodão!$E23:INDEX(Algodão!$E23:$Z23,MIN(AN$6-$E$3,22))),0))-IF($G$2,0,IF((AN$6-$G$3)&lt;1,0,IFERROR(LOOKUP(2,1/(Algodão!$E23:INDEX(Algodão!$E23:$Z23,MIN(AN$6-$G$3,22))&lt;&gt;""),Algodão!$E23:INDEX(Algodão!$E23:$Z23,MIN(AN$6-$G$3,22))),0)))))</f>
        <v>0</v>
      </c>
      <c r="AO25" s="27" t="n">
        <f aca="false">IF(COUNT(Algodão!$E23:$Z23)=0,0,MAX(0,IF((AO$6-$E$3)&lt;1,0,IFERROR(LOOKUP(2,1/(Algodão!$E23:INDEX(Algodão!$E23:$Z23,MIN(AO$6-$E$3,22))&lt;&gt;""),Algodão!$E23:INDEX(Algodão!$E23:$Z23,MIN(AO$6-$E$3,22))),0))-IF($G$2,0,IF((AO$6-$G$3)&lt;1,0,IFERROR(LOOKUP(2,1/(Algodão!$E23:INDEX(Algodão!$E23:$Z23,MIN(AO$6-$G$3,22))&lt;&gt;""),Algodão!$E23:INDEX(Algodão!$E23:$Z23,MIN(AO$6-$G$3,22))),0)))))</f>
        <v>0</v>
      </c>
      <c r="AP25" s="27" t="n">
        <f aca="false">IF(COUNT(Algodão!$E23:$Z23)=0,0,MAX(0,IF((AP$6-$E$3)&lt;1,0,IFERROR(LOOKUP(2,1/(Algodão!$E23:INDEX(Algodão!$E23:$Z23,MIN(AP$6-$E$3,22))&lt;&gt;""),Algodão!$E23:INDEX(Algodão!$E23:$Z23,MIN(AP$6-$E$3,22))),0))-IF($G$2,0,IF((AP$6-$G$3)&lt;1,0,IFERROR(LOOKUP(2,1/(Algodão!$E23:INDEX(Algodão!$E23:$Z23,MIN(AP$6-$G$3,22))&lt;&gt;""),Algodão!$E23:INDEX(Algodão!$E23:$Z23,MIN(AP$6-$G$3,22))),0)))))</f>
        <v>0</v>
      </c>
      <c r="AQ25" s="27" t="n">
        <f aca="false">IF(COUNT(Algodão!$E23:$Z23)=0,0,MAX(0,IF((AQ$6-$E$3)&lt;1,0,IFERROR(LOOKUP(2,1/(Algodão!$E23:INDEX(Algodão!$E23:$Z23,MIN(AQ$6-$E$3,22))&lt;&gt;""),Algodão!$E23:INDEX(Algodão!$E23:$Z23,MIN(AQ$6-$E$3,22))),0))-IF($G$2,0,IF((AQ$6-$G$3)&lt;1,0,IFERROR(LOOKUP(2,1/(Algodão!$E23:INDEX(Algodão!$E23:$Z23,MIN(AQ$6-$G$3,22))&lt;&gt;""),Algodão!$E23:INDEX(Algodão!$E23:$Z23,MIN(AQ$6-$G$3,22))),0)))))</f>
        <v>0</v>
      </c>
      <c r="AR25" s="27" t="n">
        <f aca="false">IF(COUNT(Algodão!$E23:$Z23)=0,0,MAX(0,IF((AR$6-$E$3)&lt;1,0,IFERROR(LOOKUP(2,1/(Algodão!$E23:INDEX(Algodão!$E23:$Z23,MIN(AR$6-$E$3,22))&lt;&gt;""),Algodão!$E23:INDEX(Algodão!$E23:$Z23,MIN(AR$6-$E$3,22))),0))-IF($G$2,0,IF((AR$6-$G$3)&lt;1,0,IFERROR(LOOKUP(2,1/(Algodão!$E23:INDEX(Algodão!$E23:$Z23,MIN(AR$6-$G$3,22))&lt;&gt;""),Algodão!$E23:INDEX(Algodão!$E23:$Z23,MIN(AR$6-$G$3,22))),0)))))</f>
        <v>0</v>
      </c>
      <c r="AS25" s="27" t="n">
        <f aca="false">IF(COUNT(Algodão!$E23:$Z23)=0,0,MAX(0,IF((AS$6-$E$3)&lt;1,0,IFERROR(LOOKUP(2,1/(Algodão!$E23:INDEX(Algodão!$E23:$Z23,MIN(AS$6-$E$3,22))&lt;&gt;""),Algodão!$E23:INDEX(Algodão!$E23:$Z23,MIN(AS$6-$E$3,22))),0))-IF($G$2,0,IF((AS$6-$G$3)&lt;1,0,IFERROR(LOOKUP(2,1/(Algodão!$E23:INDEX(Algodão!$E23:$Z23,MIN(AS$6-$G$3,22))&lt;&gt;""),Algodão!$E23:INDEX(Algodão!$E23:$Z23,MIN(AS$6-$G$3,22))),0)))))</f>
        <v>0</v>
      </c>
      <c r="AT25" s="27" t="n">
        <f aca="false">IF(COUNT(Algodão!$E23:$Z23)=0,0,MAX(0,IF((AT$6-$E$3)&lt;1,0,IFERROR(LOOKUP(2,1/(Algodão!$E23:INDEX(Algodão!$E23:$Z23,MIN(AT$6-$E$3,22))&lt;&gt;""),Algodão!$E23:INDEX(Algodão!$E23:$Z23,MIN(AT$6-$E$3,22))),0))-IF($G$2,0,IF((AT$6-$G$3)&lt;1,0,IFERROR(LOOKUP(2,1/(Algodão!$E23:INDEX(Algodão!$E23:$Z23,MIN(AT$6-$G$3,22))&lt;&gt;""),Algodão!$E23:INDEX(Algodão!$E23:$Z23,MIN(AT$6-$G$3,22))),0)))))</f>
        <v>0</v>
      </c>
      <c r="AU25" s="27" t="n">
        <f aca="false">IF(COUNT(Algodão!$E23:$Z23)=0,0,MAX(0,IF((AU$6-$E$3)&lt;1,0,IFERROR(LOOKUP(2,1/(Algodão!$E23:INDEX(Algodão!$E23:$Z23,MIN(AU$6-$E$3,22))&lt;&gt;""),Algodão!$E23:INDEX(Algodão!$E23:$Z23,MIN(AU$6-$E$3,22))),0))-IF($G$2,0,IF((AU$6-$G$3)&lt;1,0,IFERROR(LOOKUP(2,1/(Algodão!$E23:INDEX(Algodão!$E23:$Z23,MIN(AU$6-$G$3,22))&lt;&gt;""),Algodão!$E23:INDEX(Algodão!$E23:$Z23,MIN(AU$6-$G$3,22))),0)))))</f>
        <v>0</v>
      </c>
      <c r="AV25" s="27" t="n">
        <f aca="false">IF(COUNT(Algodão!$E23:$Z23)=0,0,MAX(0,IF((AV$6-$E$3)&lt;1,0,IFERROR(LOOKUP(2,1/(Algodão!$E23:INDEX(Algodão!$E23:$Z23,MIN(AV$6-$E$3,22))&lt;&gt;""),Algodão!$E23:INDEX(Algodão!$E23:$Z23,MIN(AV$6-$E$3,22))),0))-IF($G$2,0,IF((AV$6-$G$3)&lt;1,0,IFERROR(LOOKUP(2,1/(Algodão!$E23:INDEX(Algodão!$E23:$Z23,MIN(AV$6-$G$3,22))&lt;&gt;""),Algodão!$E23:INDEX(Algodão!$E23:$Z23,MIN(AV$6-$G$3,22))),0)))))</f>
        <v>0</v>
      </c>
      <c r="AW25" s="27" t="n">
        <f aca="false">IF(COUNT(Algodão!$E23:$Z23)=0,0,MAX(0,IF((AW$6-$E$3)&lt;1,0,IFERROR(LOOKUP(2,1/(Algodão!$E23:INDEX(Algodão!$E23:$Z23,MIN(AW$6-$E$3,22))&lt;&gt;""),Algodão!$E23:INDEX(Algodão!$E23:$Z23,MIN(AW$6-$E$3,22))),0))-IF($G$2,0,IF((AW$6-$G$3)&lt;1,0,IFERROR(LOOKUP(2,1/(Algodão!$E23:INDEX(Algodão!$E23:$Z23,MIN(AW$6-$G$3,22))&lt;&gt;""),Algodão!$E23:INDEX(Algodão!$E23:$Z23,MIN(AW$6-$G$3,22))),0)))))</f>
        <v>0</v>
      </c>
      <c r="AX25" s="27" t="n">
        <f aca="false">IF(COUNT(Algodão!$E23:$Z23)=0,0,MAX(0,IF((AX$6-$E$3)&lt;1,0,IFERROR(LOOKUP(2,1/(Algodão!$E23:INDEX(Algodão!$E23:$Z23,MIN(AX$6-$E$3,22))&lt;&gt;""),Algodão!$E23:INDEX(Algodão!$E23:$Z23,MIN(AX$6-$E$3,22))),0))-IF($G$2,0,IF((AX$6-$G$3)&lt;1,0,IFERROR(LOOKUP(2,1/(Algodão!$E23:INDEX(Algodão!$E23:$Z23,MIN(AX$6-$G$3,22))&lt;&gt;""),Algodão!$E23:INDEX(Algodão!$E23:$Z23,MIN(AX$6-$G$3,22))),0)))))</f>
        <v>0</v>
      </c>
      <c r="AY25" s="27" t="n">
        <f aca="false">IF(COUNT(Algodão!$E23:$Z23)=0,0,MAX(0,IF((AY$6-$E$3)&lt;1,0,IFERROR(LOOKUP(2,1/(Algodão!$E23:INDEX(Algodão!$E23:$Z23,MIN(AY$6-$E$3,22))&lt;&gt;""),Algodão!$E23:INDEX(Algodão!$E23:$Z23,MIN(AY$6-$E$3,22))),0))-IF($G$2,0,IF((AY$6-$G$3)&lt;1,0,IFERROR(LOOKUP(2,1/(Algodão!$E23:INDEX(Algodão!$E23:$Z23,MIN(AY$6-$G$3,22))&lt;&gt;""),Algodão!$E23:INDEX(Algodão!$E23:$Z23,MIN(AY$6-$G$3,22))),0)))))</f>
        <v>0</v>
      </c>
      <c r="AZ25" s="27" t="n">
        <f aca="false">IF(COUNT(Algodão!$E23:$Z23)=0,0,MAX(0,IF((AZ$6-$E$3)&lt;1,0,IFERROR(LOOKUP(2,1/(Algodão!$E23:INDEX(Algodão!$E23:$Z23,MIN(AZ$6-$E$3,22))&lt;&gt;""),Algodão!$E23:INDEX(Algodão!$E23:$Z23,MIN(AZ$6-$E$3,22))),0))-IF($G$2,0,IF((AZ$6-$G$3)&lt;1,0,IFERROR(LOOKUP(2,1/(Algodão!$E23:INDEX(Algodão!$E23:$Z23,MIN(AZ$6-$G$3,22))&lt;&gt;""),Algodão!$E23:INDEX(Algodão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IF(COUNT(Algodão!$E24:$Z24)&gt;0,N(Algodão!$D24),0)</f>
        <v>0</v>
      </c>
      <c r="E26" s="27" t="n">
        <f aca="false">IF(COUNT(Algodão!$E24:$Z24)=0,0,MAX(0,IF((E$6-$E$3)&lt;1,0,IFERROR(LOOKUP(2,1/(Algodão!$E24:INDEX(Algodão!$E24:$Z24,MIN(E$6-$E$3,22))&lt;&gt;""),Algodão!$E24:INDEX(Algodão!$E24:$Z24,MIN(E$6-$E$3,22))),0))-IF($G$2,0,IF((E$6-$G$3)&lt;1,0,IFERROR(LOOKUP(2,1/(Algodão!$E24:INDEX(Algodão!$E24:$Z24,MIN(E$6-$G$3,22))&lt;&gt;""),Algodão!$E24:INDEX(Algodão!$E24:$Z24,MIN(E$6-$G$3,22))),0)))))</f>
        <v>0</v>
      </c>
      <c r="F26" s="27" t="n">
        <f aca="false">IF(COUNT(Algodão!$E24:$Z24)=0,0,MAX(0,IF((F$6-$E$3)&lt;1,0,IFERROR(LOOKUP(2,1/(Algodão!$E24:INDEX(Algodão!$E24:$Z24,MIN(F$6-$E$3,22))&lt;&gt;""),Algodão!$E24:INDEX(Algodão!$E24:$Z24,MIN(F$6-$E$3,22))),0))-IF($G$2,0,IF((F$6-$G$3)&lt;1,0,IFERROR(LOOKUP(2,1/(Algodão!$E24:INDEX(Algodão!$E24:$Z24,MIN(F$6-$G$3,22))&lt;&gt;""),Algodão!$E24:INDEX(Algodão!$E24:$Z24,MIN(F$6-$G$3,22))),0)))))</f>
        <v>0</v>
      </c>
      <c r="G26" s="27" t="n">
        <f aca="false">IF(COUNT(Algodão!$E24:$Z24)=0,0,MAX(0,IF((G$6-$E$3)&lt;1,0,IFERROR(LOOKUP(2,1/(Algodão!$E24:INDEX(Algodão!$E24:$Z24,MIN(G$6-$E$3,22))&lt;&gt;""),Algodão!$E24:INDEX(Algodão!$E24:$Z24,MIN(G$6-$E$3,22))),0))-IF($G$2,0,IF((G$6-$G$3)&lt;1,0,IFERROR(LOOKUP(2,1/(Algodão!$E24:INDEX(Algodão!$E24:$Z24,MIN(G$6-$G$3,22))&lt;&gt;""),Algodão!$E24:INDEX(Algodão!$E24:$Z24,MIN(G$6-$G$3,22))),0)))))</f>
        <v>0</v>
      </c>
      <c r="H26" s="27" t="n">
        <f aca="false">IF(COUNT(Algodão!$E24:$Z24)=0,0,MAX(0,IF((H$6-$E$3)&lt;1,0,IFERROR(LOOKUP(2,1/(Algodão!$E24:INDEX(Algodão!$E24:$Z24,MIN(H$6-$E$3,22))&lt;&gt;""),Algodão!$E24:INDEX(Algodão!$E24:$Z24,MIN(H$6-$E$3,22))),0))-IF($G$2,0,IF((H$6-$G$3)&lt;1,0,IFERROR(LOOKUP(2,1/(Algodão!$E24:INDEX(Algodão!$E24:$Z24,MIN(H$6-$G$3,22))&lt;&gt;""),Algodão!$E24:INDEX(Algodão!$E24:$Z24,MIN(H$6-$G$3,22))),0)))))</f>
        <v>0</v>
      </c>
      <c r="I26" s="27" t="n">
        <f aca="false">IF(COUNT(Algodão!$E24:$Z24)=0,0,MAX(0,IF((I$6-$E$3)&lt;1,0,IFERROR(LOOKUP(2,1/(Algodão!$E24:INDEX(Algodão!$E24:$Z24,MIN(I$6-$E$3,22))&lt;&gt;""),Algodão!$E24:INDEX(Algodão!$E24:$Z24,MIN(I$6-$E$3,22))),0))-IF($G$2,0,IF((I$6-$G$3)&lt;1,0,IFERROR(LOOKUP(2,1/(Algodão!$E24:INDEX(Algodão!$E24:$Z24,MIN(I$6-$G$3,22))&lt;&gt;""),Algodão!$E24:INDEX(Algodão!$E24:$Z24,MIN(I$6-$G$3,22))),0)))))</f>
        <v>0</v>
      </c>
      <c r="J26" s="27" t="n">
        <f aca="false">IF(COUNT(Algodão!$E24:$Z24)=0,0,MAX(0,IF((J$6-$E$3)&lt;1,0,IFERROR(LOOKUP(2,1/(Algodão!$E24:INDEX(Algodão!$E24:$Z24,MIN(J$6-$E$3,22))&lt;&gt;""),Algodão!$E24:INDEX(Algodão!$E24:$Z24,MIN(J$6-$E$3,22))),0))-IF($G$2,0,IF((J$6-$G$3)&lt;1,0,IFERROR(LOOKUP(2,1/(Algodão!$E24:INDEX(Algodão!$E24:$Z24,MIN(J$6-$G$3,22))&lt;&gt;""),Algodão!$E24:INDEX(Algodão!$E24:$Z24,MIN(J$6-$G$3,22))),0)))))</f>
        <v>0</v>
      </c>
      <c r="K26" s="27" t="n">
        <f aca="false">IF(COUNT(Algodão!$E24:$Z24)=0,0,MAX(0,IF((K$6-$E$3)&lt;1,0,IFERROR(LOOKUP(2,1/(Algodão!$E24:INDEX(Algodão!$E24:$Z24,MIN(K$6-$E$3,22))&lt;&gt;""),Algodão!$E24:INDEX(Algodão!$E24:$Z24,MIN(K$6-$E$3,22))),0))-IF($G$2,0,IF((K$6-$G$3)&lt;1,0,IFERROR(LOOKUP(2,1/(Algodão!$E24:INDEX(Algodão!$E24:$Z24,MIN(K$6-$G$3,22))&lt;&gt;""),Algodão!$E24:INDEX(Algodão!$E24:$Z24,MIN(K$6-$G$3,22))),0)))))</f>
        <v>0</v>
      </c>
      <c r="L26" s="27" t="n">
        <f aca="false">IF(COUNT(Algodão!$E24:$Z24)=0,0,MAX(0,IF((L$6-$E$3)&lt;1,0,IFERROR(LOOKUP(2,1/(Algodão!$E24:INDEX(Algodão!$E24:$Z24,MIN(L$6-$E$3,22))&lt;&gt;""),Algodão!$E24:INDEX(Algodão!$E24:$Z24,MIN(L$6-$E$3,22))),0))-IF($G$2,0,IF((L$6-$G$3)&lt;1,0,IFERROR(LOOKUP(2,1/(Algodão!$E24:INDEX(Algodão!$E24:$Z24,MIN(L$6-$G$3,22))&lt;&gt;""),Algodão!$E24:INDEX(Algodão!$E24:$Z24,MIN(L$6-$G$3,22))),0)))))</f>
        <v>0</v>
      </c>
      <c r="M26" s="27" t="n">
        <f aca="false">IF(COUNT(Algodão!$E24:$Z24)=0,0,MAX(0,IF((M$6-$E$3)&lt;1,0,IFERROR(LOOKUP(2,1/(Algodão!$E24:INDEX(Algodão!$E24:$Z24,MIN(M$6-$E$3,22))&lt;&gt;""),Algodão!$E24:INDEX(Algodão!$E24:$Z24,MIN(M$6-$E$3,22))),0))-IF($G$2,0,IF((M$6-$G$3)&lt;1,0,IFERROR(LOOKUP(2,1/(Algodão!$E24:INDEX(Algodão!$E24:$Z24,MIN(M$6-$G$3,22))&lt;&gt;""),Algodão!$E24:INDEX(Algodão!$E24:$Z24,MIN(M$6-$G$3,22))),0)))))</f>
        <v>0</v>
      </c>
      <c r="N26" s="27" t="n">
        <f aca="false">IF(COUNT(Algodão!$E24:$Z24)=0,0,MAX(0,IF((N$6-$E$3)&lt;1,0,IFERROR(LOOKUP(2,1/(Algodão!$E24:INDEX(Algodão!$E24:$Z24,MIN(N$6-$E$3,22))&lt;&gt;""),Algodão!$E24:INDEX(Algodão!$E24:$Z24,MIN(N$6-$E$3,22))),0))-IF($G$2,0,IF((N$6-$G$3)&lt;1,0,IFERROR(LOOKUP(2,1/(Algodão!$E24:INDEX(Algodão!$E24:$Z24,MIN(N$6-$G$3,22))&lt;&gt;""),Algodão!$E24:INDEX(Algodão!$E24:$Z24,MIN(N$6-$G$3,22))),0)))))</f>
        <v>0</v>
      </c>
      <c r="O26" s="27" t="n">
        <f aca="false">IF(COUNT(Algodão!$E24:$Z24)=0,0,MAX(0,IF((O$6-$E$3)&lt;1,0,IFERROR(LOOKUP(2,1/(Algodão!$E24:INDEX(Algodão!$E24:$Z24,MIN(O$6-$E$3,22))&lt;&gt;""),Algodão!$E24:INDEX(Algodão!$E24:$Z24,MIN(O$6-$E$3,22))),0))-IF($G$2,0,IF((O$6-$G$3)&lt;1,0,IFERROR(LOOKUP(2,1/(Algodão!$E24:INDEX(Algodão!$E24:$Z24,MIN(O$6-$G$3,22))&lt;&gt;""),Algodão!$E24:INDEX(Algodão!$E24:$Z24,MIN(O$6-$G$3,22))),0)))))</f>
        <v>0</v>
      </c>
      <c r="P26" s="27" t="n">
        <f aca="false">IF(COUNT(Algodão!$E24:$Z24)=0,0,MAX(0,IF((P$6-$E$3)&lt;1,0,IFERROR(LOOKUP(2,1/(Algodão!$E24:INDEX(Algodão!$E24:$Z24,MIN(P$6-$E$3,22))&lt;&gt;""),Algodão!$E24:INDEX(Algodão!$E24:$Z24,MIN(P$6-$E$3,22))),0))-IF($G$2,0,IF((P$6-$G$3)&lt;1,0,IFERROR(LOOKUP(2,1/(Algodão!$E24:INDEX(Algodão!$E24:$Z24,MIN(P$6-$G$3,22))&lt;&gt;""),Algodão!$E24:INDEX(Algodão!$E24:$Z24,MIN(P$6-$G$3,22))),0)))))</f>
        <v>0</v>
      </c>
      <c r="Q26" s="27" t="n">
        <f aca="false">IF(COUNT(Algodão!$E24:$Z24)=0,0,MAX(0,IF((Q$6-$E$3)&lt;1,0,IFERROR(LOOKUP(2,1/(Algodão!$E24:INDEX(Algodão!$E24:$Z24,MIN(Q$6-$E$3,22))&lt;&gt;""),Algodão!$E24:INDEX(Algodão!$E24:$Z24,MIN(Q$6-$E$3,22))),0))-IF($G$2,0,IF((Q$6-$G$3)&lt;1,0,IFERROR(LOOKUP(2,1/(Algodão!$E24:INDEX(Algodão!$E24:$Z24,MIN(Q$6-$G$3,22))&lt;&gt;""),Algodão!$E24:INDEX(Algodão!$E24:$Z24,MIN(Q$6-$G$3,22))),0)))))</f>
        <v>0</v>
      </c>
      <c r="R26" s="27" t="n">
        <f aca="false">IF(COUNT(Algodão!$E24:$Z24)=0,0,MAX(0,IF((R$6-$E$3)&lt;1,0,IFERROR(LOOKUP(2,1/(Algodão!$E24:INDEX(Algodão!$E24:$Z24,MIN(R$6-$E$3,22))&lt;&gt;""),Algodão!$E24:INDEX(Algodão!$E24:$Z24,MIN(R$6-$E$3,22))),0))-IF($G$2,0,IF((R$6-$G$3)&lt;1,0,IFERROR(LOOKUP(2,1/(Algodão!$E24:INDEX(Algodão!$E24:$Z24,MIN(R$6-$G$3,22))&lt;&gt;""),Algodão!$E24:INDEX(Algodão!$E24:$Z24,MIN(R$6-$G$3,22))),0)))))</f>
        <v>0</v>
      </c>
      <c r="S26" s="27" t="n">
        <f aca="false">IF(COUNT(Algodão!$E24:$Z24)=0,0,MAX(0,IF((S$6-$E$3)&lt;1,0,IFERROR(LOOKUP(2,1/(Algodão!$E24:INDEX(Algodão!$E24:$Z24,MIN(S$6-$E$3,22))&lt;&gt;""),Algodão!$E24:INDEX(Algodão!$E24:$Z24,MIN(S$6-$E$3,22))),0))-IF($G$2,0,IF((S$6-$G$3)&lt;1,0,IFERROR(LOOKUP(2,1/(Algodão!$E24:INDEX(Algodão!$E24:$Z24,MIN(S$6-$G$3,22))&lt;&gt;""),Algodão!$E24:INDEX(Algodão!$E24:$Z24,MIN(S$6-$G$3,22))),0)))))</f>
        <v>0</v>
      </c>
      <c r="T26" s="27" t="n">
        <f aca="false">IF(COUNT(Algodão!$E24:$Z24)=0,0,MAX(0,IF((T$6-$E$3)&lt;1,0,IFERROR(LOOKUP(2,1/(Algodão!$E24:INDEX(Algodão!$E24:$Z24,MIN(T$6-$E$3,22))&lt;&gt;""),Algodão!$E24:INDEX(Algodão!$E24:$Z24,MIN(T$6-$E$3,22))),0))-IF($G$2,0,IF((T$6-$G$3)&lt;1,0,IFERROR(LOOKUP(2,1/(Algodão!$E24:INDEX(Algodão!$E24:$Z24,MIN(T$6-$G$3,22))&lt;&gt;""),Algodão!$E24:INDEX(Algodão!$E24:$Z24,MIN(T$6-$G$3,22))),0)))))</f>
        <v>0</v>
      </c>
      <c r="U26" s="27" t="n">
        <f aca="false">IF(COUNT(Algodão!$E24:$Z24)=0,0,MAX(0,IF((U$6-$E$3)&lt;1,0,IFERROR(LOOKUP(2,1/(Algodão!$E24:INDEX(Algodão!$E24:$Z24,MIN(U$6-$E$3,22))&lt;&gt;""),Algodão!$E24:INDEX(Algodão!$E24:$Z24,MIN(U$6-$E$3,22))),0))-IF($G$2,0,IF((U$6-$G$3)&lt;1,0,IFERROR(LOOKUP(2,1/(Algodão!$E24:INDEX(Algodão!$E24:$Z24,MIN(U$6-$G$3,22))&lt;&gt;""),Algodão!$E24:INDEX(Algodão!$E24:$Z24,MIN(U$6-$G$3,22))),0)))))</f>
        <v>0</v>
      </c>
      <c r="V26" s="27" t="n">
        <f aca="false">IF(COUNT(Algodão!$E24:$Z24)=0,0,MAX(0,IF((V$6-$E$3)&lt;1,0,IFERROR(LOOKUP(2,1/(Algodão!$E24:INDEX(Algodão!$E24:$Z24,MIN(V$6-$E$3,22))&lt;&gt;""),Algodão!$E24:INDEX(Algodão!$E24:$Z24,MIN(V$6-$E$3,22))),0))-IF($G$2,0,IF((V$6-$G$3)&lt;1,0,IFERROR(LOOKUP(2,1/(Algodão!$E24:INDEX(Algodão!$E24:$Z24,MIN(V$6-$G$3,22))&lt;&gt;""),Algodão!$E24:INDEX(Algodão!$E24:$Z24,MIN(V$6-$G$3,22))),0)))))</f>
        <v>0</v>
      </c>
      <c r="W26" s="27" t="n">
        <f aca="false">IF(COUNT(Algodão!$E24:$Z24)=0,0,MAX(0,IF((W$6-$E$3)&lt;1,0,IFERROR(LOOKUP(2,1/(Algodão!$E24:INDEX(Algodão!$E24:$Z24,MIN(W$6-$E$3,22))&lt;&gt;""),Algodão!$E24:INDEX(Algodão!$E24:$Z24,MIN(W$6-$E$3,22))),0))-IF($G$2,0,IF((W$6-$G$3)&lt;1,0,IFERROR(LOOKUP(2,1/(Algodão!$E24:INDEX(Algodão!$E24:$Z24,MIN(W$6-$G$3,22))&lt;&gt;""),Algodão!$E24:INDEX(Algodão!$E24:$Z24,MIN(W$6-$G$3,22))),0)))))</f>
        <v>0</v>
      </c>
      <c r="X26" s="27" t="n">
        <f aca="false">IF(COUNT(Algodão!$E24:$Z24)=0,0,MAX(0,IF((X$6-$E$3)&lt;1,0,IFERROR(LOOKUP(2,1/(Algodão!$E24:INDEX(Algodão!$E24:$Z24,MIN(X$6-$E$3,22))&lt;&gt;""),Algodão!$E24:INDEX(Algodão!$E24:$Z24,MIN(X$6-$E$3,22))),0))-IF($G$2,0,IF((X$6-$G$3)&lt;1,0,IFERROR(LOOKUP(2,1/(Algodão!$E24:INDEX(Algodão!$E24:$Z24,MIN(X$6-$G$3,22))&lt;&gt;""),Algodão!$E24:INDEX(Algodão!$E24:$Z24,MIN(X$6-$G$3,22))),0)))))</f>
        <v>0</v>
      </c>
      <c r="Y26" s="27" t="n">
        <f aca="false">IF(COUNT(Algodão!$E24:$Z24)=0,0,MAX(0,IF((Y$6-$E$3)&lt;1,0,IFERROR(LOOKUP(2,1/(Algodão!$E24:INDEX(Algodão!$E24:$Z24,MIN(Y$6-$E$3,22))&lt;&gt;""),Algodão!$E24:INDEX(Algodão!$E24:$Z24,MIN(Y$6-$E$3,22))),0))-IF($G$2,0,IF((Y$6-$G$3)&lt;1,0,IFERROR(LOOKUP(2,1/(Algodão!$E24:INDEX(Algodão!$E24:$Z24,MIN(Y$6-$G$3,22))&lt;&gt;""),Algodão!$E24:INDEX(Algodão!$E24:$Z24,MIN(Y$6-$G$3,22))),0)))))</f>
        <v>0</v>
      </c>
      <c r="Z26" s="27" t="n">
        <f aca="false">IF(COUNT(Algodão!$E24:$Z24)=0,0,MAX(0,IF((Z$6-$E$3)&lt;1,0,IFERROR(LOOKUP(2,1/(Algodão!$E24:INDEX(Algodão!$E24:$Z24,MIN(Z$6-$E$3,22))&lt;&gt;""),Algodão!$E24:INDEX(Algodão!$E24:$Z24,MIN(Z$6-$E$3,22))),0))-IF($G$2,0,IF((Z$6-$G$3)&lt;1,0,IFERROR(LOOKUP(2,1/(Algodão!$E24:INDEX(Algodão!$E24:$Z24,MIN(Z$6-$G$3,22))&lt;&gt;""),Algodão!$E24:INDEX(Algodão!$E24:$Z24,MIN(Z$6-$G$3,22))),0)))))</f>
        <v>0</v>
      </c>
      <c r="AA26" s="27" t="n">
        <f aca="false">IF(COUNT(Algodão!$E24:$Z24)=0,0,MAX(0,IF((AA$6-$E$3)&lt;1,0,IFERROR(LOOKUP(2,1/(Algodão!$E24:INDEX(Algodão!$E24:$Z24,MIN(AA$6-$E$3,22))&lt;&gt;""),Algodão!$E24:INDEX(Algodão!$E24:$Z24,MIN(AA$6-$E$3,22))),0))-IF($G$2,0,IF((AA$6-$G$3)&lt;1,0,IFERROR(LOOKUP(2,1/(Algodão!$E24:INDEX(Algodão!$E24:$Z24,MIN(AA$6-$G$3,22))&lt;&gt;""),Algodão!$E24:INDEX(Algodão!$E24:$Z24,MIN(AA$6-$G$3,22))),0)))))</f>
        <v>0</v>
      </c>
      <c r="AB26" s="27" t="n">
        <f aca="false">IF(COUNT(Algodão!$E24:$Z24)=0,0,MAX(0,IF((AB$6-$E$3)&lt;1,0,IFERROR(LOOKUP(2,1/(Algodão!$E24:INDEX(Algodão!$E24:$Z24,MIN(AB$6-$E$3,22))&lt;&gt;""),Algodão!$E24:INDEX(Algodão!$E24:$Z24,MIN(AB$6-$E$3,22))),0))-IF($G$2,0,IF((AB$6-$G$3)&lt;1,0,IFERROR(LOOKUP(2,1/(Algodão!$E24:INDEX(Algodão!$E24:$Z24,MIN(AB$6-$G$3,22))&lt;&gt;""),Algodão!$E24:INDEX(Algodão!$E24:$Z24,MIN(AB$6-$G$3,22))),0)))))</f>
        <v>0</v>
      </c>
      <c r="AC26" s="27" t="n">
        <f aca="false">IF(COUNT(Algodão!$E24:$Z24)=0,0,MAX(0,IF((AC$6-$E$3)&lt;1,0,IFERROR(LOOKUP(2,1/(Algodão!$E24:INDEX(Algodão!$E24:$Z24,MIN(AC$6-$E$3,22))&lt;&gt;""),Algodão!$E24:INDEX(Algodão!$E24:$Z24,MIN(AC$6-$E$3,22))),0))-IF($G$2,0,IF((AC$6-$G$3)&lt;1,0,IFERROR(LOOKUP(2,1/(Algodão!$E24:INDEX(Algodão!$E24:$Z24,MIN(AC$6-$G$3,22))&lt;&gt;""),Algodão!$E24:INDEX(Algodão!$E24:$Z24,MIN(AC$6-$G$3,22))),0)))))</f>
        <v>0</v>
      </c>
      <c r="AD26" s="27" t="n">
        <f aca="false">IF(COUNT(Algodão!$E24:$Z24)=0,0,MAX(0,IF((AD$6-$E$3)&lt;1,0,IFERROR(LOOKUP(2,1/(Algodão!$E24:INDEX(Algodão!$E24:$Z24,MIN(AD$6-$E$3,22))&lt;&gt;""),Algodão!$E24:INDEX(Algodão!$E24:$Z24,MIN(AD$6-$E$3,22))),0))-IF($G$2,0,IF((AD$6-$G$3)&lt;1,0,IFERROR(LOOKUP(2,1/(Algodão!$E24:INDEX(Algodão!$E24:$Z24,MIN(AD$6-$G$3,22))&lt;&gt;""),Algodão!$E24:INDEX(Algodão!$E24:$Z24,MIN(AD$6-$G$3,22))),0)))))</f>
        <v>0</v>
      </c>
      <c r="AE26" s="27" t="n">
        <f aca="false">IF(COUNT(Algodão!$E24:$Z24)=0,0,MAX(0,IF((AE$6-$E$3)&lt;1,0,IFERROR(LOOKUP(2,1/(Algodão!$E24:INDEX(Algodão!$E24:$Z24,MIN(AE$6-$E$3,22))&lt;&gt;""),Algodão!$E24:INDEX(Algodão!$E24:$Z24,MIN(AE$6-$E$3,22))),0))-IF($G$2,0,IF((AE$6-$G$3)&lt;1,0,IFERROR(LOOKUP(2,1/(Algodão!$E24:INDEX(Algodão!$E24:$Z24,MIN(AE$6-$G$3,22))&lt;&gt;""),Algodão!$E24:INDEX(Algodão!$E24:$Z24,MIN(AE$6-$G$3,22))),0)))))</f>
        <v>0</v>
      </c>
      <c r="AF26" s="27" t="n">
        <f aca="false">IF(COUNT(Algodão!$E24:$Z24)=0,0,MAX(0,IF((AF$6-$E$3)&lt;1,0,IFERROR(LOOKUP(2,1/(Algodão!$E24:INDEX(Algodão!$E24:$Z24,MIN(AF$6-$E$3,22))&lt;&gt;""),Algodão!$E24:INDEX(Algodão!$E24:$Z24,MIN(AF$6-$E$3,22))),0))-IF($G$2,0,IF((AF$6-$G$3)&lt;1,0,IFERROR(LOOKUP(2,1/(Algodão!$E24:INDEX(Algodão!$E24:$Z24,MIN(AF$6-$G$3,22))&lt;&gt;""),Algodão!$E24:INDEX(Algodão!$E24:$Z24,MIN(AF$6-$G$3,22))),0)))))</f>
        <v>0</v>
      </c>
      <c r="AG26" s="27" t="n">
        <f aca="false">IF(COUNT(Algodão!$E24:$Z24)=0,0,MAX(0,IF((AG$6-$E$3)&lt;1,0,IFERROR(LOOKUP(2,1/(Algodão!$E24:INDEX(Algodão!$E24:$Z24,MIN(AG$6-$E$3,22))&lt;&gt;""),Algodão!$E24:INDEX(Algodão!$E24:$Z24,MIN(AG$6-$E$3,22))),0))-IF($G$2,0,IF((AG$6-$G$3)&lt;1,0,IFERROR(LOOKUP(2,1/(Algodão!$E24:INDEX(Algodão!$E24:$Z24,MIN(AG$6-$G$3,22))&lt;&gt;""),Algodão!$E24:INDEX(Algodão!$E24:$Z24,MIN(AG$6-$G$3,22))),0)))))</f>
        <v>0</v>
      </c>
      <c r="AH26" s="27" t="n">
        <f aca="false">IF(COUNT(Algodão!$E24:$Z24)=0,0,MAX(0,IF((AH$6-$E$3)&lt;1,0,IFERROR(LOOKUP(2,1/(Algodão!$E24:INDEX(Algodão!$E24:$Z24,MIN(AH$6-$E$3,22))&lt;&gt;""),Algodão!$E24:INDEX(Algodão!$E24:$Z24,MIN(AH$6-$E$3,22))),0))-IF($G$2,0,IF((AH$6-$G$3)&lt;1,0,IFERROR(LOOKUP(2,1/(Algodão!$E24:INDEX(Algodão!$E24:$Z24,MIN(AH$6-$G$3,22))&lt;&gt;""),Algodão!$E24:INDEX(Algodão!$E24:$Z24,MIN(AH$6-$G$3,22))),0)))))</f>
        <v>0</v>
      </c>
      <c r="AI26" s="27" t="n">
        <f aca="false">IF(COUNT(Algodão!$E24:$Z24)=0,0,MAX(0,IF((AI$6-$E$3)&lt;1,0,IFERROR(LOOKUP(2,1/(Algodão!$E24:INDEX(Algodão!$E24:$Z24,MIN(AI$6-$E$3,22))&lt;&gt;""),Algodão!$E24:INDEX(Algodão!$E24:$Z24,MIN(AI$6-$E$3,22))),0))-IF($G$2,0,IF((AI$6-$G$3)&lt;1,0,IFERROR(LOOKUP(2,1/(Algodão!$E24:INDEX(Algodão!$E24:$Z24,MIN(AI$6-$G$3,22))&lt;&gt;""),Algodão!$E24:INDEX(Algodão!$E24:$Z24,MIN(AI$6-$G$3,22))),0)))))</f>
        <v>0</v>
      </c>
      <c r="AJ26" s="27" t="n">
        <f aca="false">IF(COUNT(Algodão!$E24:$Z24)=0,0,MAX(0,IF((AJ$6-$E$3)&lt;1,0,IFERROR(LOOKUP(2,1/(Algodão!$E24:INDEX(Algodão!$E24:$Z24,MIN(AJ$6-$E$3,22))&lt;&gt;""),Algodão!$E24:INDEX(Algodão!$E24:$Z24,MIN(AJ$6-$E$3,22))),0))-IF($G$2,0,IF((AJ$6-$G$3)&lt;1,0,IFERROR(LOOKUP(2,1/(Algodão!$E24:INDEX(Algodão!$E24:$Z24,MIN(AJ$6-$G$3,22))&lt;&gt;""),Algodão!$E24:INDEX(Algodão!$E24:$Z24,MIN(AJ$6-$G$3,22))),0)))))</f>
        <v>0</v>
      </c>
      <c r="AK26" s="27" t="n">
        <f aca="false">IF(COUNT(Algodão!$E24:$Z24)=0,0,MAX(0,IF((AK$6-$E$3)&lt;1,0,IFERROR(LOOKUP(2,1/(Algodão!$E24:INDEX(Algodão!$E24:$Z24,MIN(AK$6-$E$3,22))&lt;&gt;""),Algodão!$E24:INDEX(Algodão!$E24:$Z24,MIN(AK$6-$E$3,22))),0))-IF($G$2,0,IF((AK$6-$G$3)&lt;1,0,IFERROR(LOOKUP(2,1/(Algodão!$E24:INDEX(Algodão!$E24:$Z24,MIN(AK$6-$G$3,22))&lt;&gt;""),Algodão!$E24:INDEX(Algodão!$E24:$Z24,MIN(AK$6-$G$3,22))),0)))))</f>
        <v>0</v>
      </c>
      <c r="AL26" s="27" t="n">
        <f aca="false">IF(COUNT(Algodão!$E24:$Z24)=0,0,MAX(0,IF((AL$6-$E$3)&lt;1,0,IFERROR(LOOKUP(2,1/(Algodão!$E24:INDEX(Algodão!$E24:$Z24,MIN(AL$6-$E$3,22))&lt;&gt;""),Algodão!$E24:INDEX(Algodão!$E24:$Z24,MIN(AL$6-$E$3,22))),0))-IF($G$2,0,IF((AL$6-$G$3)&lt;1,0,IFERROR(LOOKUP(2,1/(Algodão!$E24:INDEX(Algodão!$E24:$Z24,MIN(AL$6-$G$3,22))&lt;&gt;""),Algodão!$E24:INDEX(Algodão!$E24:$Z24,MIN(AL$6-$G$3,22))),0)))))</f>
        <v>0</v>
      </c>
      <c r="AM26" s="27" t="n">
        <f aca="false">IF(COUNT(Algodão!$E24:$Z24)=0,0,MAX(0,IF((AM$6-$E$3)&lt;1,0,IFERROR(LOOKUP(2,1/(Algodão!$E24:INDEX(Algodão!$E24:$Z24,MIN(AM$6-$E$3,22))&lt;&gt;""),Algodão!$E24:INDEX(Algodão!$E24:$Z24,MIN(AM$6-$E$3,22))),0))-IF($G$2,0,IF((AM$6-$G$3)&lt;1,0,IFERROR(LOOKUP(2,1/(Algodão!$E24:INDEX(Algodão!$E24:$Z24,MIN(AM$6-$G$3,22))&lt;&gt;""),Algodão!$E24:INDEX(Algodão!$E24:$Z24,MIN(AM$6-$G$3,22))),0)))))</f>
        <v>0</v>
      </c>
      <c r="AN26" s="27" t="n">
        <f aca="false">IF(COUNT(Algodão!$E24:$Z24)=0,0,MAX(0,IF((AN$6-$E$3)&lt;1,0,IFERROR(LOOKUP(2,1/(Algodão!$E24:INDEX(Algodão!$E24:$Z24,MIN(AN$6-$E$3,22))&lt;&gt;""),Algodão!$E24:INDEX(Algodão!$E24:$Z24,MIN(AN$6-$E$3,22))),0))-IF($G$2,0,IF((AN$6-$G$3)&lt;1,0,IFERROR(LOOKUP(2,1/(Algodão!$E24:INDEX(Algodão!$E24:$Z24,MIN(AN$6-$G$3,22))&lt;&gt;""),Algodão!$E24:INDEX(Algodão!$E24:$Z24,MIN(AN$6-$G$3,22))),0)))))</f>
        <v>0</v>
      </c>
      <c r="AO26" s="27" t="n">
        <f aca="false">IF(COUNT(Algodão!$E24:$Z24)=0,0,MAX(0,IF((AO$6-$E$3)&lt;1,0,IFERROR(LOOKUP(2,1/(Algodão!$E24:INDEX(Algodão!$E24:$Z24,MIN(AO$6-$E$3,22))&lt;&gt;""),Algodão!$E24:INDEX(Algodão!$E24:$Z24,MIN(AO$6-$E$3,22))),0))-IF($G$2,0,IF((AO$6-$G$3)&lt;1,0,IFERROR(LOOKUP(2,1/(Algodão!$E24:INDEX(Algodão!$E24:$Z24,MIN(AO$6-$G$3,22))&lt;&gt;""),Algodão!$E24:INDEX(Algodão!$E24:$Z24,MIN(AO$6-$G$3,22))),0)))))</f>
        <v>0</v>
      </c>
      <c r="AP26" s="27" t="n">
        <f aca="false">IF(COUNT(Algodão!$E24:$Z24)=0,0,MAX(0,IF((AP$6-$E$3)&lt;1,0,IFERROR(LOOKUP(2,1/(Algodão!$E24:INDEX(Algodão!$E24:$Z24,MIN(AP$6-$E$3,22))&lt;&gt;""),Algodão!$E24:INDEX(Algodão!$E24:$Z24,MIN(AP$6-$E$3,22))),0))-IF($G$2,0,IF((AP$6-$G$3)&lt;1,0,IFERROR(LOOKUP(2,1/(Algodão!$E24:INDEX(Algodão!$E24:$Z24,MIN(AP$6-$G$3,22))&lt;&gt;""),Algodão!$E24:INDEX(Algodão!$E24:$Z24,MIN(AP$6-$G$3,22))),0)))))</f>
        <v>0</v>
      </c>
      <c r="AQ26" s="27" t="n">
        <f aca="false">IF(COUNT(Algodão!$E24:$Z24)=0,0,MAX(0,IF((AQ$6-$E$3)&lt;1,0,IFERROR(LOOKUP(2,1/(Algodão!$E24:INDEX(Algodão!$E24:$Z24,MIN(AQ$6-$E$3,22))&lt;&gt;""),Algodão!$E24:INDEX(Algodão!$E24:$Z24,MIN(AQ$6-$E$3,22))),0))-IF($G$2,0,IF((AQ$6-$G$3)&lt;1,0,IFERROR(LOOKUP(2,1/(Algodão!$E24:INDEX(Algodão!$E24:$Z24,MIN(AQ$6-$G$3,22))&lt;&gt;""),Algodão!$E24:INDEX(Algodão!$E24:$Z24,MIN(AQ$6-$G$3,22))),0)))))</f>
        <v>0</v>
      </c>
      <c r="AR26" s="27" t="n">
        <f aca="false">IF(COUNT(Algodão!$E24:$Z24)=0,0,MAX(0,IF((AR$6-$E$3)&lt;1,0,IFERROR(LOOKUP(2,1/(Algodão!$E24:INDEX(Algodão!$E24:$Z24,MIN(AR$6-$E$3,22))&lt;&gt;""),Algodão!$E24:INDEX(Algodão!$E24:$Z24,MIN(AR$6-$E$3,22))),0))-IF($G$2,0,IF((AR$6-$G$3)&lt;1,0,IFERROR(LOOKUP(2,1/(Algodão!$E24:INDEX(Algodão!$E24:$Z24,MIN(AR$6-$G$3,22))&lt;&gt;""),Algodão!$E24:INDEX(Algodão!$E24:$Z24,MIN(AR$6-$G$3,22))),0)))))</f>
        <v>0</v>
      </c>
      <c r="AS26" s="27" t="n">
        <f aca="false">IF(COUNT(Algodão!$E24:$Z24)=0,0,MAX(0,IF((AS$6-$E$3)&lt;1,0,IFERROR(LOOKUP(2,1/(Algodão!$E24:INDEX(Algodão!$E24:$Z24,MIN(AS$6-$E$3,22))&lt;&gt;""),Algodão!$E24:INDEX(Algodão!$E24:$Z24,MIN(AS$6-$E$3,22))),0))-IF($G$2,0,IF((AS$6-$G$3)&lt;1,0,IFERROR(LOOKUP(2,1/(Algodão!$E24:INDEX(Algodão!$E24:$Z24,MIN(AS$6-$G$3,22))&lt;&gt;""),Algodão!$E24:INDEX(Algodão!$E24:$Z24,MIN(AS$6-$G$3,22))),0)))))</f>
        <v>0</v>
      </c>
      <c r="AT26" s="27" t="n">
        <f aca="false">IF(COUNT(Algodão!$E24:$Z24)=0,0,MAX(0,IF((AT$6-$E$3)&lt;1,0,IFERROR(LOOKUP(2,1/(Algodão!$E24:INDEX(Algodão!$E24:$Z24,MIN(AT$6-$E$3,22))&lt;&gt;""),Algodão!$E24:INDEX(Algodão!$E24:$Z24,MIN(AT$6-$E$3,22))),0))-IF($G$2,0,IF((AT$6-$G$3)&lt;1,0,IFERROR(LOOKUP(2,1/(Algodão!$E24:INDEX(Algodão!$E24:$Z24,MIN(AT$6-$G$3,22))&lt;&gt;""),Algodão!$E24:INDEX(Algodão!$E24:$Z24,MIN(AT$6-$G$3,22))),0)))))</f>
        <v>0</v>
      </c>
      <c r="AU26" s="27" t="n">
        <f aca="false">IF(COUNT(Algodão!$E24:$Z24)=0,0,MAX(0,IF((AU$6-$E$3)&lt;1,0,IFERROR(LOOKUP(2,1/(Algodão!$E24:INDEX(Algodão!$E24:$Z24,MIN(AU$6-$E$3,22))&lt;&gt;""),Algodão!$E24:INDEX(Algodão!$E24:$Z24,MIN(AU$6-$E$3,22))),0))-IF($G$2,0,IF((AU$6-$G$3)&lt;1,0,IFERROR(LOOKUP(2,1/(Algodão!$E24:INDEX(Algodão!$E24:$Z24,MIN(AU$6-$G$3,22))&lt;&gt;""),Algodão!$E24:INDEX(Algodão!$E24:$Z24,MIN(AU$6-$G$3,22))),0)))))</f>
        <v>0</v>
      </c>
      <c r="AV26" s="27" t="n">
        <f aca="false">IF(COUNT(Algodão!$E24:$Z24)=0,0,MAX(0,IF((AV$6-$E$3)&lt;1,0,IFERROR(LOOKUP(2,1/(Algodão!$E24:INDEX(Algodão!$E24:$Z24,MIN(AV$6-$E$3,22))&lt;&gt;""),Algodão!$E24:INDEX(Algodão!$E24:$Z24,MIN(AV$6-$E$3,22))),0))-IF($G$2,0,IF((AV$6-$G$3)&lt;1,0,IFERROR(LOOKUP(2,1/(Algodão!$E24:INDEX(Algodão!$E24:$Z24,MIN(AV$6-$G$3,22))&lt;&gt;""),Algodão!$E24:INDEX(Algodão!$E24:$Z24,MIN(AV$6-$G$3,22))),0)))))</f>
        <v>0</v>
      </c>
      <c r="AW26" s="27" t="n">
        <f aca="false">IF(COUNT(Algodão!$E24:$Z24)=0,0,MAX(0,IF((AW$6-$E$3)&lt;1,0,IFERROR(LOOKUP(2,1/(Algodão!$E24:INDEX(Algodão!$E24:$Z24,MIN(AW$6-$E$3,22))&lt;&gt;""),Algodão!$E24:INDEX(Algodão!$E24:$Z24,MIN(AW$6-$E$3,22))),0))-IF($G$2,0,IF((AW$6-$G$3)&lt;1,0,IFERROR(LOOKUP(2,1/(Algodão!$E24:INDEX(Algodão!$E24:$Z24,MIN(AW$6-$G$3,22))&lt;&gt;""),Algodão!$E24:INDEX(Algodão!$E24:$Z24,MIN(AW$6-$G$3,22))),0)))))</f>
        <v>0</v>
      </c>
      <c r="AX26" s="27" t="n">
        <f aca="false">IF(COUNT(Algodão!$E24:$Z24)=0,0,MAX(0,IF((AX$6-$E$3)&lt;1,0,IFERROR(LOOKUP(2,1/(Algodão!$E24:INDEX(Algodão!$E24:$Z24,MIN(AX$6-$E$3,22))&lt;&gt;""),Algodão!$E24:INDEX(Algodão!$E24:$Z24,MIN(AX$6-$E$3,22))),0))-IF($G$2,0,IF((AX$6-$G$3)&lt;1,0,IFERROR(LOOKUP(2,1/(Algodão!$E24:INDEX(Algodão!$E24:$Z24,MIN(AX$6-$G$3,22))&lt;&gt;""),Algodão!$E24:INDEX(Algodão!$E24:$Z24,MIN(AX$6-$G$3,22))),0)))))</f>
        <v>0</v>
      </c>
      <c r="AY26" s="27" t="n">
        <f aca="false">IF(COUNT(Algodão!$E24:$Z24)=0,0,MAX(0,IF((AY$6-$E$3)&lt;1,0,IFERROR(LOOKUP(2,1/(Algodão!$E24:INDEX(Algodão!$E24:$Z24,MIN(AY$6-$E$3,22))&lt;&gt;""),Algodão!$E24:INDEX(Algodão!$E24:$Z24,MIN(AY$6-$E$3,22))),0))-IF($G$2,0,IF((AY$6-$G$3)&lt;1,0,IFERROR(LOOKUP(2,1/(Algodão!$E24:INDEX(Algodão!$E24:$Z24,MIN(AY$6-$G$3,22))&lt;&gt;""),Algodão!$E24:INDEX(Algodão!$E24:$Z24,MIN(AY$6-$G$3,22))),0)))))</f>
        <v>0</v>
      </c>
      <c r="AZ26" s="27" t="n">
        <f aca="false">IF(COUNT(Algodão!$E24:$Z24)=0,0,MAX(0,IF((AZ$6-$E$3)&lt;1,0,IFERROR(LOOKUP(2,1/(Algodão!$E24:INDEX(Algodão!$E24:$Z24,MIN(AZ$6-$E$3,22))&lt;&gt;""),Algodão!$E24:INDEX(Algodão!$E24:$Z24,MIN(AZ$6-$E$3,22))),0))-IF($G$2,0,IF((AZ$6-$G$3)&lt;1,0,IFERROR(LOOKUP(2,1/(Algodão!$E24:INDEX(Algodão!$E24:$Z24,MIN(AZ$6-$G$3,22))&lt;&gt;""),Algodão!$E24:INDEX(Algodão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IF(COUNT(Algodão!$E25:$Z25)&gt;0,N(Algodão!$D25),0)</f>
        <v>0</v>
      </c>
      <c r="E27" s="27" t="n">
        <f aca="false">IF(COUNT(Algodão!$E25:$Z25)=0,0,MAX(0,IF((E$6-$E$3)&lt;1,0,IFERROR(LOOKUP(2,1/(Algodão!$E25:INDEX(Algodão!$E25:$Z25,MIN(E$6-$E$3,22))&lt;&gt;""),Algodão!$E25:INDEX(Algodão!$E25:$Z25,MIN(E$6-$E$3,22))),0))-IF($G$2,0,IF((E$6-$G$3)&lt;1,0,IFERROR(LOOKUP(2,1/(Algodão!$E25:INDEX(Algodão!$E25:$Z25,MIN(E$6-$G$3,22))&lt;&gt;""),Algodão!$E25:INDEX(Algodão!$E25:$Z25,MIN(E$6-$G$3,22))),0)))))</f>
        <v>0</v>
      </c>
      <c r="F27" s="27" t="n">
        <f aca="false">IF(COUNT(Algodão!$E25:$Z25)=0,0,MAX(0,IF((F$6-$E$3)&lt;1,0,IFERROR(LOOKUP(2,1/(Algodão!$E25:INDEX(Algodão!$E25:$Z25,MIN(F$6-$E$3,22))&lt;&gt;""),Algodão!$E25:INDEX(Algodão!$E25:$Z25,MIN(F$6-$E$3,22))),0))-IF($G$2,0,IF((F$6-$G$3)&lt;1,0,IFERROR(LOOKUP(2,1/(Algodão!$E25:INDEX(Algodão!$E25:$Z25,MIN(F$6-$G$3,22))&lt;&gt;""),Algodão!$E25:INDEX(Algodão!$E25:$Z25,MIN(F$6-$G$3,22))),0)))))</f>
        <v>0</v>
      </c>
      <c r="G27" s="27" t="n">
        <f aca="false">IF(COUNT(Algodão!$E25:$Z25)=0,0,MAX(0,IF((G$6-$E$3)&lt;1,0,IFERROR(LOOKUP(2,1/(Algodão!$E25:INDEX(Algodão!$E25:$Z25,MIN(G$6-$E$3,22))&lt;&gt;""),Algodão!$E25:INDEX(Algodão!$E25:$Z25,MIN(G$6-$E$3,22))),0))-IF($G$2,0,IF((G$6-$G$3)&lt;1,0,IFERROR(LOOKUP(2,1/(Algodão!$E25:INDEX(Algodão!$E25:$Z25,MIN(G$6-$G$3,22))&lt;&gt;""),Algodão!$E25:INDEX(Algodão!$E25:$Z25,MIN(G$6-$G$3,22))),0)))))</f>
        <v>0</v>
      </c>
      <c r="H27" s="27" t="n">
        <f aca="false">IF(COUNT(Algodão!$E25:$Z25)=0,0,MAX(0,IF((H$6-$E$3)&lt;1,0,IFERROR(LOOKUP(2,1/(Algodão!$E25:INDEX(Algodão!$E25:$Z25,MIN(H$6-$E$3,22))&lt;&gt;""),Algodão!$E25:INDEX(Algodão!$E25:$Z25,MIN(H$6-$E$3,22))),0))-IF($G$2,0,IF((H$6-$G$3)&lt;1,0,IFERROR(LOOKUP(2,1/(Algodão!$E25:INDEX(Algodão!$E25:$Z25,MIN(H$6-$G$3,22))&lt;&gt;""),Algodão!$E25:INDEX(Algodão!$E25:$Z25,MIN(H$6-$G$3,22))),0)))))</f>
        <v>0</v>
      </c>
      <c r="I27" s="27" t="n">
        <f aca="false">IF(COUNT(Algodão!$E25:$Z25)=0,0,MAX(0,IF((I$6-$E$3)&lt;1,0,IFERROR(LOOKUP(2,1/(Algodão!$E25:INDEX(Algodão!$E25:$Z25,MIN(I$6-$E$3,22))&lt;&gt;""),Algodão!$E25:INDEX(Algodão!$E25:$Z25,MIN(I$6-$E$3,22))),0))-IF($G$2,0,IF((I$6-$G$3)&lt;1,0,IFERROR(LOOKUP(2,1/(Algodão!$E25:INDEX(Algodão!$E25:$Z25,MIN(I$6-$G$3,22))&lt;&gt;""),Algodão!$E25:INDEX(Algodão!$E25:$Z25,MIN(I$6-$G$3,22))),0)))))</f>
        <v>0</v>
      </c>
      <c r="J27" s="27" t="n">
        <f aca="false">IF(COUNT(Algodão!$E25:$Z25)=0,0,MAX(0,IF((J$6-$E$3)&lt;1,0,IFERROR(LOOKUP(2,1/(Algodão!$E25:INDEX(Algodão!$E25:$Z25,MIN(J$6-$E$3,22))&lt;&gt;""),Algodão!$E25:INDEX(Algodão!$E25:$Z25,MIN(J$6-$E$3,22))),0))-IF($G$2,0,IF((J$6-$G$3)&lt;1,0,IFERROR(LOOKUP(2,1/(Algodão!$E25:INDEX(Algodão!$E25:$Z25,MIN(J$6-$G$3,22))&lt;&gt;""),Algodão!$E25:INDEX(Algodão!$E25:$Z25,MIN(J$6-$G$3,22))),0)))))</f>
        <v>0</v>
      </c>
      <c r="K27" s="27" t="n">
        <f aca="false">IF(COUNT(Algodão!$E25:$Z25)=0,0,MAX(0,IF((K$6-$E$3)&lt;1,0,IFERROR(LOOKUP(2,1/(Algodão!$E25:INDEX(Algodão!$E25:$Z25,MIN(K$6-$E$3,22))&lt;&gt;""),Algodão!$E25:INDEX(Algodão!$E25:$Z25,MIN(K$6-$E$3,22))),0))-IF($G$2,0,IF((K$6-$G$3)&lt;1,0,IFERROR(LOOKUP(2,1/(Algodão!$E25:INDEX(Algodão!$E25:$Z25,MIN(K$6-$G$3,22))&lt;&gt;""),Algodão!$E25:INDEX(Algodão!$E25:$Z25,MIN(K$6-$G$3,22))),0)))))</f>
        <v>0</v>
      </c>
      <c r="L27" s="27" t="n">
        <f aca="false">IF(COUNT(Algodão!$E25:$Z25)=0,0,MAX(0,IF((L$6-$E$3)&lt;1,0,IFERROR(LOOKUP(2,1/(Algodão!$E25:INDEX(Algodão!$E25:$Z25,MIN(L$6-$E$3,22))&lt;&gt;""),Algodão!$E25:INDEX(Algodão!$E25:$Z25,MIN(L$6-$E$3,22))),0))-IF($G$2,0,IF((L$6-$G$3)&lt;1,0,IFERROR(LOOKUP(2,1/(Algodão!$E25:INDEX(Algodão!$E25:$Z25,MIN(L$6-$G$3,22))&lt;&gt;""),Algodão!$E25:INDEX(Algodão!$E25:$Z25,MIN(L$6-$G$3,22))),0)))))</f>
        <v>0</v>
      </c>
      <c r="M27" s="27" t="n">
        <f aca="false">IF(COUNT(Algodão!$E25:$Z25)=0,0,MAX(0,IF((M$6-$E$3)&lt;1,0,IFERROR(LOOKUP(2,1/(Algodão!$E25:INDEX(Algodão!$E25:$Z25,MIN(M$6-$E$3,22))&lt;&gt;""),Algodão!$E25:INDEX(Algodão!$E25:$Z25,MIN(M$6-$E$3,22))),0))-IF($G$2,0,IF((M$6-$G$3)&lt;1,0,IFERROR(LOOKUP(2,1/(Algodão!$E25:INDEX(Algodão!$E25:$Z25,MIN(M$6-$G$3,22))&lt;&gt;""),Algodão!$E25:INDEX(Algodão!$E25:$Z25,MIN(M$6-$G$3,22))),0)))))</f>
        <v>0</v>
      </c>
      <c r="N27" s="27" t="n">
        <f aca="false">IF(COUNT(Algodão!$E25:$Z25)=0,0,MAX(0,IF((N$6-$E$3)&lt;1,0,IFERROR(LOOKUP(2,1/(Algodão!$E25:INDEX(Algodão!$E25:$Z25,MIN(N$6-$E$3,22))&lt;&gt;""),Algodão!$E25:INDEX(Algodão!$E25:$Z25,MIN(N$6-$E$3,22))),0))-IF($G$2,0,IF((N$6-$G$3)&lt;1,0,IFERROR(LOOKUP(2,1/(Algodão!$E25:INDEX(Algodão!$E25:$Z25,MIN(N$6-$G$3,22))&lt;&gt;""),Algodão!$E25:INDEX(Algodão!$E25:$Z25,MIN(N$6-$G$3,22))),0)))))</f>
        <v>0</v>
      </c>
      <c r="O27" s="27" t="n">
        <f aca="false">IF(COUNT(Algodão!$E25:$Z25)=0,0,MAX(0,IF((O$6-$E$3)&lt;1,0,IFERROR(LOOKUP(2,1/(Algodão!$E25:INDEX(Algodão!$E25:$Z25,MIN(O$6-$E$3,22))&lt;&gt;""),Algodão!$E25:INDEX(Algodão!$E25:$Z25,MIN(O$6-$E$3,22))),0))-IF($G$2,0,IF((O$6-$G$3)&lt;1,0,IFERROR(LOOKUP(2,1/(Algodão!$E25:INDEX(Algodão!$E25:$Z25,MIN(O$6-$G$3,22))&lt;&gt;""),Algodão!$E25:INDEX(Algodão!$E25:$Z25,MIN(O$6-$G$3,22))),0)))))</f>
        <v>0</v>
      </c>
      <c r="P27" s="27" t="n">
        <f aca="false">IF(COUNT(Algodão!$E25:$Z25)=0,0,MAX(0,IF((P$6-$E$3)&lt;1,0,IFERROR(LOOKUP(2,1/(Algodão!$E25:INDEX(Algodão!$E25:$Z25,MIN(P$6-$E$3,22))&lt;&gt;""),Algodão!$E25:INDEX(Algodão!$E25:$Z25,MIN(P$6-$E$3,22))),0))-IF($G$2,0,IF((P$6-$G$3)&lt;1,0,IFERROR(LOOKUP(2,1/(Algodão!$E25:INDEX(Algodão!$E25:$Z25,MIN(P$6-$G$3,22))&lt;&gt;""),Algodão!$E25:INDEX(Algodão!$E25:$Z25,MIN(P$6-$G$3,22))),0)))))</f>
        <v>0</v>
      </c>
      <c r="Q27" s="27" t="n">
        <f aca="false">IF(COUNT(Algodão!$E25:$Z25)=0,0,MAX(0,IF((Q$6-$E$3)&lt;1,0,IFERROR(LOOKUP(2,1/(Algodão!$E25:INDEX(Algodão!$E25:$Z25,MIN(Q$6-$E$3,22))&lt;&gt;""),Algodão!$E25:INDEX(Algodão!$E25:$Z25,MIN(Q$6-$E$3,22))),0))-IF($G$2,0,IF((Q$6-$G$3)&lt;1,0,IFERROR(LOOKUP(2,1/(Algodão!$E25:INDEX(Algodão!$E25:$Z25,MIN(Q$6-$G$3,22))&lt;&gt;""),Algodão!$E25:INDEX(Algodão!$E25:$Z25,MIN(Q$6-$G$3,22))),0)))))</f>
        <v>0</v>
      </c>
      <c r="R27" s="27" t="n">
        <f aca="false">IF(COUNT(Algodão!$E25:$Z25)=0,0,MAX(0,IF((R$6-$E$3)&lt;1,0,IFERROR(LOOKUP(2,1/(Algodão!$E25:INDEX(Algodão!$E25:$Z25,MIN(R$6-$E$3,22))&lt;&gt;""),Algodão!$E25:INDEX(Algodão!$E25:$Z25,MIN(R$6-$E$3,22))),0))-IF($G$2,0,IF((R$6-$G$3)&lt;1,0,IFERROR(LOOKUP(2,1/(Algodão!$E25:INDEX(Algodão!$E25:$Z25,MIN(R$6-$G$3,22))&lt;&gt;""),Algodão!$E25:INDEX(Algodão!$E25:$Z25,MIN(R$6-$G$3,22))),0)))))</f>
        <v>0</v>
      </c>
      <c r="S27" s="27" t="n">
        <f aca="false">IF(COUNT(Algodão!$E25:$Z25)=0,0,MAX(0,IF((S$6-$E$3)&lt;1,0,IFERROR(LOOKUP(2,1/(Algodão!$E25:INDEX(Algodão!$E25:$Z25,MIN(S$6-$E$3,22))&lt;&gt;""),Algodão!$E25:INDEX(Algodão!$E25:$Z25,MIN(S$6-$E$3,22))),0))-IF($G$2,0,IF((S$6-$G$3)&lt;1,0,IFERROR(LOOKUP(2,1/(Algodão!$E25:INDEX(Algodão!$E25:$Z25,MIN(S$6-$G$3,22))&lt;&gt;""),Algodão!$E25:INDEX(Algodão!$E25:$Z25,MIN(S$6-$G$3,22))),0)))))</f>
        <v>0</v>
      </c>
      <c r="T27" s="27" t="n">
        <f aca="false">IF(COUNT(Algodão!$E25:$Z25)=0,0,MAX(0,IF((T$6-$E$3)&lt;1,0,IFERROR(LOOKUP(2,1/(Algodão!$E25:INDEX(Algodão!$E25:$Z25,MIN(T$6-$E$3,22))&lt;&gt;""),Algodão!$E25:INDEX(Algodão!$E25:$Z25,MIN(T$6-$E$3,22))),0))-IF($G$2,0,IF((T$6-$G$3)&lt;1,0,IFERROR(LOOKUP(2,1/(Algodão!$E25:INDEX(Algodão!$E25:$Z25,MIN(T$6-$G$3,22))&lt;&gt;""),Algodão!$E25:INDEX(Algodão!$E25:$Z25,MIN(T$6-$G$3,22))),0)))))</f>
        <v>0</v>
      </c>
      <c r="U27" s="27" t="n">
        <f aca="false">IF(COUNT(Algodão!$E25:$Z25)=0,0,MAX(0,IF((U$6-$E$3)&lt;1,0,IFERROR(LOOKUP(2,1/(Algodão!$E25:INDEX(Algodão!$E25:$Z25,MIN(U$6-$E$3,22))&lt;&gt;""),Algodão!$E25:INDEX(Algodão!$E25:$Z25,MIN(U$6-$E$3,22))),0))-IF($G$2,0,IF((U$6-$G$3)&lt;1,0,IFERROR(LOOKUP(2,1/(Algodão!$E25:INDEX(Algodão!$E25:$Z25,MIN(U$6-$G$3,22))&lt;&gt;""),Algodão!$E25:INDEX(Algodão!$E25:$Z25,MIN(U$6-$G$3,22))),0)))))</f>
        <v>0</v>
      </c>
      <c r="V27" s="27" t="n">
        <f aca="false">IF(COUNT(Algodão!$E25:$Z25)=0,0,MAX(0,IF((V$6-$E$3)&lt;1,0,IFERROR(LOOKUP(2,1/(Algodão!$E25:INDEX(Algodão!$E25:$Z25,MIN(V$6-$E$3,22))&lt;&gt;""),Algodão!$E25:INDEX(Algodão!$E25:$Z25,MIN(V$6-$E$3,22))),0))-IF($G$2,0,IF((V$6-$G$3)&lt;1,0,IFERROR(LOOKUP(2,1/(Algodão!$E25:INDEX(Algodão!$E25:$Z25,MIN(V$6-$G$3,22))&lt;&gt;""),Algodão!$E25:INDEX(Algodão!$E25:$Z25,MIN(V$6-$G$3,22))),0)))))</f>
        <v>0</v>
      </c>
      <c r="W27" s="27" t="n">
        <f aca="false">IF(COUNT(Algodão!$E25:$Z25)=0,0,MAX(0,IF((W$6-$E$3)&lt;1,0,IFERROR(LOOKUP(2,1/(Algodão!$E25:INDEX(Algodão!$E25:$Z25,MIN(W$6-$E$3,22))&lt;&gt;""),Algodão!$E25:INDEX(Algodão!$E25:$Z25,MIN(W$6-$E$3,22))),0))-IF($G$2,0,IF((W$6-$G$3)&lt;1,0,IFERROR(LOOKUP(2,1/(Algodão!$E25:INDEX(Algodão!$E25:$Z25,MIN(W$6-$G$3,22))&lt;&gt;""),Algodão!$E25:INDEX(Algodão!$E25:$Z25,MIN(W$6-$G$3,22))),0)))))</f>
        <v>0</v>
      </c>
      <c r="X27" s="27" t="n">
        <f aca="false">IF(COUNT(Algodão!$E25:$Z25)=0,0,MAX(0,IF((X$6-$E$3)&lt;1,0,IFERROR(LOOKUP(2,1/(Algodão!$E25:INDEX(Algodão!$E25:$Z25,MIN(X$6-$E$3,22))&lt;&gt;""),Algodão!$E25:INDEX(Algodão!$E25:$Z25,MIN(X$6-$E$3,22))),0))-IF($G$2,0,IF((X$6-$G$3)&lt;1,0,IFERROR(LOOKUP(2,1/(Algodão!$E25:INDEX(Algodão!$E25:$Z25,MIN(X$6-$G$3,22))&lt;&gt;""),Algodão!$E25:INDEX(Algodão!$E25:$Z25,MIN(X$6-$G$3,22))),0)))))</f>
        <v>0</v>
      </c>
      <c r="Y27" s="27" t="n">
        <f aca="false">IF(COUNT(Algodão!$E25:$Z25)=0,0,MAX(0,IF((Y$6-$E$3)&lt;1,0,IFERROR(LOOKUP(2,1/(Algodão!$E25:INDEX(Algodão!$E25:$Z25,MIN(Y$6-$E$3,22))&lt;&gt;""),Algodão!$E25:INDEX(Algodão!$E25:$Z25,MIN(Y$6-$E$3,22))),0))-IF($G$2,0,IF((Y$6-$G$3)&lt;1,0,IFERROR(LOOKUP(2,1/(Algodão!$E25:INDEX(Algodão!$E25:$Z25,MIN(Y$6-$G$3,22))&lt;&gt;""),Algodão!$E25:INDEX(Algodão!$E25:$Z25,MIN(Y$6-$G$3,22))),0)))))</f>
        <v>0</v>
      </c>
      <c r="Z27" s="27" t="n">
        <f aca="false">IF(COUNT(Algodão!$E25:$Z25)=0,0,MAX(0,IF((Z$6-$E$3)&lt;1,0,IFERROR(LOOKUP(2,1/(Algodão!$E25:INDEX(Algodão!$E25:$Z25,MIN(Z$6-$E$3,22))&lt;&gt;""),Algodão!$E25:INDEX(Algodão!$E25:$Z25,MIN(Z$6-$E$3,22))),0))-IF($G$2,0,IF((Z$6-$G$3)&lt;1,0,IFERROR(LOOKUP(2,1/(Algodão!$E25:INDEX(Algodão!$E25:$Z25,MIN(Z$6-$G$3,22))&lt;&gt;""),Algodão!$E25:INDEX(Algodão!$E25:$Z25,MIN(Z$6-$G$3,22))),0)))))</f>
        <v>0</v>
      </c>
      <c r="AA27" s="27" t="n">
        <f aca="false">IF(COUNT(Algodão!$E25:$Z25)=0,0,MAX(0,IF((AA$6-$E$3)&lt;1,0,IFERROR(LOOKUP(2,1/(Algodão!$E25:INDEX(Algodão!$E25:$Z25,MIN(AA$6-$E$3,22))&lt;&gt;""),Algodão!$E25:INDEX(Algodão!$E25:$Z25,MIN(AA$6-$E$3,22))),0))-IF($G$2,0,IF((AA$6-$G$3)&lt;1,0,IFERROR(LOOKUP(2,1/(Algodão!$E25:INDEX(Algodão!$E25:$Z25,MIN(AA$6-$G$3,22))&lt;&gt;""),Algodão!$E25:INDEX(Algodão!$E25:$Z25,MIN(AA$6-$G$3,22))),0)))))</f>
        <v>0</v>
      </c>
      <c r="AB27" s="27" t="n">
        <f aca="false">IF(COUNT(Algodão!$E25:$Z25)=0,0,MAX(0,IF((AB$6-$E$3)&lt;1,0,IFERROR(LOOKUP(2,1/(Algodão!$E25:INDEX(Algodão!$E25:$Z25,MIN(AB$6-$E$3,22))&lt;&gt;""),Algodão!$E25:INDEX(Algodão!$E25:$Z25,MIN(AB$6-$E$3,22))),0))-IF($G$2,0,IF((AB$6-$G$3)&lt;1,0,IFERROR(LOOKUP(2,1/(Algodão!$E25:INDEX(Algodão!$E25:$Z25,MIN(AB$6-$G$3,22))&lt;&gt;""),Algodão!$E25:INDEX(Algodão!$E25:$Z25,MIN(AB$6-$G$3,22))),0)))))</f>
        <v>0</v>
      </c>
      <c r="AC27" s="27" t="n">
        <f aca="false">IF(COUNT(Algodão!$E25:$Z25)=0,0,MAX(0,IF((AC$6-$E$3)&lt;1,0,IFERROR(LOOKUP(2,1/(Algodão!$E25:INDEX(Algodão!$E25:$Z25,MIN(AC$6-$E$3,22))&lt;&gt;""),Algodão!$E25:INDEX(Algodão!$E25:$Z25,MIN(AC$6-$E$3,22))),0))-IF($G$2,0,IF((AC$6-$G$3)&lt;1,0,IFERROR(LOOKUP(2,1/(Algodão!$E25:INDEX(Algodão!$E25:$Z25,MIN(AC$6-$G$3,22))&lt;&gt;""),Algodão!$E25:INDEX(Algodão!$E25:$Z25,MIN(AC$6-$G$3,22))),0)))))</f>
        <v>0</v>
      </c>
      <c r="AD27" s="27" t="n">
        <f aca="false">IF(COUNT(Algodão!$E25:$Z25)=0,0,MAX(0,IF((AD$6-$E$3)&lt;1,0,IFERROR(LOOKUP(2,1/(Algodão!$E25:INDEX(Algodão!$E25:$Z25,MIN(AD$6-$E$3,22))&lt;&gt;""),Algodão!$E25:INDEX(Algodão!$E25:$Z25,MIN(AD$6-$E$3,22))),0))-IF($G$2,0,IF((AD$6-$G$3)&lt;1,0,IFERROR(LOOKUP(2,1/(Algodão!$E25:INDEX(Algodão!$E25:$Z25,MIN(AD$6-$G$3,22))&lt;&gt;""),Algodão!$E25:INDEX(Algodão!$E25:$Z25,MIN(AD$6-$G$3,22))),0)))))</f>
        <v>0</v>
      </c>
      <c r="AE27" s="27" t="n">
        <f aca="false">IF(COUNT(Algodão!$E25:$Z25)=0,0,MAX(0,IF((AE$6-$E$3)&lt;1,0,IFERROR(LOOKUP(2,1/(Algodão!$E25:INDEX(Algodão!$E25:$Z25,MIN(AE$6-$E$3,22))&lt;&gt;""),Algodão!$E25:INDEX(Algodão!$E25:$Z25,MIN(AE$6-$E$3,22))),0))-IF($G$2,0,IF((AE$6-$G$3)&lt;1,0,IFERROR(LOOKUP(2,1/(Algodão!$E25:INDEX(Algodão!$E25:$Z25,MIN(AE$6-$G$3,22))&lt;&gt;""),Algodão!$E25:INDEX(Algodão!$E25:$Z25,MIN(AE$6-$G$3,22))),0)))))</f>
        <v>0</v>
      </c>
      <c r="AF27" s="27" t="n">
        <f aca="false">IF(COUNT(Algodão!$E25:$Z25)=0,0,MAX(0,IF((AF$6-$E$3)&lt;1,0,IFERROR(LOOKUP(2,1/(Algodão!$E25:INDEX(Algodão!$E25:$Z25,MIN(AF$6-$E$3,22))&lt;&gt;""),Algodão!$E25:INDEX(Algodão!$E25:$Z25,MIN(AF$6-$E$3,22))),0))-IF($G$2,0,IF((AF$6-$G$3)&lt;1,0,IFERROR(LOOKUP(2,1/(Algodão!$E25:INDEX(Algodão!$E25:$Z25,MIN(AF$6-$G$3,22))&lt;&gt;""),Algodão!$E25:INDEX(Algodão!$E25:$Z25,MIN(AF$6-$G$3,22))),0)))))</f>
        <v>0</v>
      </c>
      <c r="AG27" s="27" t="n">
        <f aca="false">IF(COUNT(Algodão!$E25:$Z25)=0,0,MAX(0,IF((AG$6-$E$3)&lt;1,0,IFERROR(LOOKUP(2,1/(Algodão!$E25:INDEX(Algodão!$E25:$Z25,MIN(AG$6-$E$3,22))&lt;&gt;""),Algodão!$E25:INDEX(Algodão!$E25:$Z25,MIN(AG$6-$E$3,22))),0))-IF($G$2,0,IF((AG$6-$G$3)&lt;1,0,IFERROR(LOOKUP(2,1/(Algodão!$E25:INDEX(Algodão!$E25:$Z25,MIN(AG$6-$G$3,22))&lt;&gt;""),Algodão!$E25:INDEX(Algodão!$E25:$Z25,MIN(AG$6-$G$3,22))),0)))))</f>
        <v>0</v>
      </c>
      <c r="AH27" s="27" t="n">
        <f aca="false">IF(COUNT(Algodão!$E25:$Z25)=0,0,MAX(0,IF((AH$6-$E$3)&lt;1,0,IFERROR(LOOKUP(2,1/(Algodão!$E25:INDEX(Algodão!$E25:$Z25,MIN(AH$6-$E$3,22))&lt;&gt;""),Algodão!$E25:INDEX(Algodão!$E25:$Z25,MIN(AH$6-$E$3,22))),0))-IF($G$2,0,IF((AH$6-$G$3)&lt;1,0,IFERROR(LOOKUP(2,1/(Algodão!$E25:INDEX(Algodão!$E25:$Z25,MIN(AH$6-$G$3,22))&lt;&gt;""),Algodão!$E25:INDEX(Algodão!$E25:$Z25,MIN(AH$6-$G$3,22))),0)))))</f>
        <v>0</v>
      </c>
      <c r="AI27" s="27" t="n">
        <f aca="false">IF(COUNT(Algodão!$E25:$Z25)=0,0,MAX(0,IF((AI$6-$E$3)&lt;1,0,IFERROR(LOOKUP(2,1/(Algodão!$E25:INDEX(Algodão!$E25:$Z25,MIN(AI$6-$E$3,22))&lt;&gt;""),Algodão!$E25:INDEX(Algodão!$E25:$Z25,MIN(AI$6-$E$3,22))),0))-IF($G$2,0,IF((AI$6-$G$3)&lt;1,0,IFERROR(LOOKUP(2,1/(Algodão!$E25:INDEX(Algodão!$E25:$Z25,MIN(AI$6-$G$3,22))&lt;&gt;""),Algodão!$E25:INDEX(Algodão!$E25:$Z25,MIN(AI$6-$G$3,22))),0)))))</f>
        <v>0</v>
      </c>
      <c r="AJ27" s="27" t="n">
        <f aca="false">IF(COUNT(Algodão!$E25:$Z25)=0,0,MAX(0,IF((AJ$6-$E$3)&lt;1,0,IFERROR(LOOKUP(2,1/(Algodão!$E25:INDEX(Algodão!$E25:$Z25,MIN(AJ$6-$E$3,22))&lt;&gt;""),Algodão!$E25:INDEX(Algodão!$E25:$Z25,MIN(AJ$6-$E$3,22))),0))-IF($G$2,0,IF((AJ$6-$G$3)&lt;1,0,IFERROR(LOOKUP(2,1/(Algodão!$E25:INDEX(Algodão!$E25:$Z25,MIN(AJ$6-$G$3,22))&lt;&gt;""),Algodão!$E25:INDEX(Algodão!$E25:$Z25,MIN(AJ$6-$G$3,22))),0)))))</f>
        <v>0</v>
      </c>
      <c r="AK27" s="27" t="n">
        <f aca="false">IF(COUNT(Algodão!$E25:$Z25)=0,0,MAX(0,IF((AK$6-$E$3)&lt;1,0,IFERROR(LOOKUP(2,1/(Algodão!$E25:INDEX(Algodão!$E25:$Z25,MIN(AK$6-$E$3,22))&lt;&gt;""),Algodão!$E25:INDEX(Algodão!$E25:$Z25,MIN(AK$6-$E$3,22))),0))-IF($G$2,0,IF((AK$6-$G$3)&lt;1,0,IFERROR(LOOKUP(2,1/(Algodão!$E25:INDEX(Algodão!$E25:$Z25,MIN(AK$6-$G$3,22))&lt;&gt;""),Algodão!$E25:INDEX(Algodão!$E25:$Z25,MIN(AK$6-$G$3,22))),0)))))</f>
        <v>0</v>
      </c>
      <c r="AL27" s="27" t="n">
        <f aca="false">IF(COUNT(Algodão!$E25:$Z25)=0,0,MAX(0,IF((AL$6-$E$3)&lt;1,0,IFERROR(LOOKUP(2,1/(Algodão!$E25:INDEX(Algodão!$E25:$Z25,MIN(AL$6-$E$3,22))&lt;&gt;""),Algodão!$E25:INDEX(Algodão!$E25:$Z25,MIN(AL$6-$E$3,22))),0))-IF($G$2,0,IF((AL$6-$G$3)&lt;1,0,IFERROR(LOOKUP(2,1/(Algodão!$E25:INDEX(Algodão!$E25:$Z25,MIN(AL$6-$G$3,22))&lt;&gt;""),Algodão!$E25:INDEX(Algodão!$E25:$Z25,MIN(AL$6-$G$3,22))),0)))))</f>
        <v>0</v>
      </c>
      <c r="AM27" s="27" t="n">
        <f aca="false">IF(COUNT(Algodão!$E25:$Z25)=0,0,MAX(0,IF((AM$6-$E$3)&lt;1,0,IFERROR(LOOKUP(2,1/(Algodão!$E25:INDEX(Algodão!$E25:$Z25,MIN(AM$6-$E$3,22))&lt;&gt;""),Algodão!$E25:INDEX(Algodão!$E25:$Z25,MIN(AM$6-$E$3,22))),0))-IF($G$2,0,IF((AM$6-$G$3)&lt;1,0,IFERROR(LOOKUP(2,1/(Algodão!$E25:INDEX(Algodão!$E25:$Z25,MIN(AM$6-$G$3,22))&lt;&gt;""),Algodão!$E25:INDEX(Algodão!$E25:$Z25,MIN(AM$6-$G$3,22))),0)))))</f>
        <v>0</v>
      </c>
      <c r="AN27" s="27" t="n">
        <f aca="false">IF(COUNT(Algodão!$E25:$Z25)=0,0,MAX(0,IF((AN$6-$E$3)&lt;1,0,IFERROR(LOOKUP(2,1/(Algodão!$E25:INDEX(Algodão!$E25:$Z25,MIN(AN$6-$E$3,22))&lt;&gt;""),Algodão!$E25:INDEX(Algodão!$E25:$Z25,MIN(AN$6-$E$3,22))),0))-IF($G$2,0,IF((AN$6-$G$3)&lt;1,0,IFERROR(LOOKUP(2,1/(Algodão!$E25:INDEX(Algodão!$E25:$Z25,MIN(AN$6-$G$3,22))&lt;&gt;""),Algodão!$E25:INDEX(Algodão!$E25:$Z25,MIN(AN$6-$G$3,22))),0)))))</f>
        <v>0</v>
      </c>
      <c r="AO27" s="27" t="n">
        <f aca="false">IF(COUNT(Algodão!$E25:$Z25)=0,0,MAX(0,IF((AO$6-$E$3)&lt;1,0,IFERROR(LOOKUP(2,1/(Algodão!$E25:INDEX(Algodão!$E25:$Z25,MIN(AO$6-$E$3,22))&lt;&gt;""),Algodão!$E25:INDEX(Algodão!$E25:$Z25,MIN(AO$6-$E$3,22))),0))-IF($G$2,0,IF((AO$6-$G$3)&lt;1,0,IFERROR(LOOKUP(2,1/(Algodão!$E25:INDEX(Algodão!$E25:$Z25,MIN(AO$6-$G$3,22))&lt;&gt;""),Algodão!$E25:INDEX(Algodão!$E25:$Z25,MIN(AO$6-$G$3,22))),0)))))</f>
        <v>0</v>
      </c>
      <c r="AP27" s="27" t="n">
        <f aca="false">IF(COUNT(Algodão!$E25:$Z25)=0,0,MAX(0,IF((AP$6-$E$3)&lt;1,0,IFERROR(LOOKUP(2,1/(Algodão!$E25:INDEX(Algodão!$E25:$Z25,MIN(AP$6-$E$3,22))&lt;&gt;""),Algodão!$E25:INDEX(Algodão!$E25:$Z25,MIN(AP$6-$E$3,22))),0))-IF($G$2,0,IF((AP$6-$G$3)&lt;1,0,IFERROR(LOOKUP(2,1/(Algodão!$E25:INDEX(Algodão!$E25:$Z25,MIN(AP$6-$G$3,22))&lt;&gt;""),Algodão!$E25:INDEX(Algodão!$E25:$Z25,MIN(AP$6-$G$3,22))),0)))))</f>
        <v>0</v>
      </c>
      <c r="AQ27" s="27" t="n">
        <f aca="false">IF(COUNT(Algodão!$E25:$Z25)=0,0,MAX(0,IF((AQ$6-$E$3)&lt;1,0,IFERROR(LOOKUP(2,1/(Algodão!$E25:INDEX(Algodão!$E25:$Z25,MIN(AQ$6-$E$3,22))&lt;&gt;""),Algodão!$E25:INDEX(Algodão!$E25:$Z25,MIN(AQ$6-$E$3,22))),0))-IF($G$2,0,IF((AQ$6-$G$3)&lt;1,0,IFERROR(LOOKUP(2,1/(Algodão!$E25:INDEX(Algodão!$E25:$Z25,MIN(AQ$6-$G$3,22))&lt;&gt;""),Algodão!$E25:INDEX(Algodão!$E25:$Z25,MIN(AQ$6-$G$3,22))),0)))))</f>
        <v>0</v>
      </c>
      <c r="AR27" s="27" t="n">
        <f aca="false">IF(COUNT(Algodão!$E25:$Z25)=0,0,MAX(0,IF((AR$6-$E$3)&lt;1,0,IFERROR(LOOKUP(2,1/(Algodão!$E25:INDEX(Algodão!$E25:$Z25,MIN(AR$6-$E$3,22))&lt;&gt;""),Algodão!$E25:INDEX(Algodão!$E25:$Z25,MIN(AR$6-$E$3,22))),0))-IF($G$2,0,IF((AR$6-$G$3)&lt;1,0,IFERROR(LOOKUP(2,1/(Algodão!$E25:INDEX(Algodão!$E25:$Z25,MIN(AR$6-$G$3,22))&lt;&gt;""),Algodão!$E25:INDEX(Algodão!$E25:$Z25,MIN(AR$6-$G$3,22))),0)))))</f>
        <v>0</v>
      </c>
      <c r="AS27" s="27" t="n">
        <f aca="false">IF(COUNT(Algodão!$E25:$Z25)=0,0,MAX(0,IF((AS$6-$E$3)&lt;1,0,IFERROR(LOOKUP(2,1/(Algodão!$E25:INDEX(Algodão!$E25:$Z25,MIN(AS$6-$E$3,22))&lt;&gt;""),Algodão!$E25:INDEX(Algodão!$E25:$Z25,MIN(AS$6-$E$3,22))),0))-IF($G$2,0,IF((AS$6-$G$3)&lt;1,0,IFERROR(LOOKUP(2,1/(Algodão!$E25:INDEX(Algodão!$E25:$Z25,MIN(AS$6-$G$3,22))&lt;&gt;""),Algodão!$E25:INDEX(Algodão!$E25:$Z25,MIN(AS$6-$G$3,22))),0)))))</f>
        <v>0</v>
      </c>
      <c r="AT27" s="27" t="n">
        <f aca="false">IF(COUNT(Algodão!$E25:$Z25)=0,0,MAX(0,IF((AT$6-$E$3)&lt;1,0,IFERROR(LOOKUP(2,1/(Algodão!$E25:INDEX(Algodão!$E25:$Z25,MIN(AT$6-$E$3,22))&lt;&gt;""),Algodão!$E25:INDEX(Algodão!$E25:$Z25,MIN(AT$6-$E$3,22))),0))-IF($G$2,0,IF((AT$6-$G$3)&lt;1,0,IFERROR(LOOKUP(2,1/(Algodão!$E25:INDEX(Algodão!$E25:$Z25,MIN(AT$6-$G$3,22))&lt;&gt;""),Algodão!$E25:INDEX(Algodão!$E25:$Z25,MIN(AT$6-$G$3,22))),0)))))</f>
        <v>0</v>
      </c>
      <c r="AU27" s="27" t="n">
        <f aca="false">IF(COUNT(Algodão!$E25:$Z25)=0,0,MAX(0,IF((AU$6-$E$3)&lt;1,0,IFERROR(LOOKUP(2,1/(Algodão!$E25:INDEX(Algodão!$E25:$Z25,MIN(AU$6-$E$3,22))&lt;&gt;""),Algodão!$E25:INDEX(Algodão!$E25:$Z25,MIN(AU$6-$E$3,22))),0))-IF($G$2,0,IF((AU$6-$G$3)&lt;1,0,IFERROR(LOOKUP(2,1/(Algodão!$E25:INDEX(Algodão!$E25:$Z25,MIN(AU$6-$G$3,22))&lt;&gt;""),Algodão!$E25:INDEX(Algodão!$E25:$Z25,MIN(AU$6-$G$3,22))),0)))))</f>
        <v>0</v>
      </c>
      <c r="AV27" s="27" t="n">
        <f aca="false">IF(COUNT(Algodão!$E25:$Z25)=0,0,MAX(0,IF((AV$6-$E$3)&lt;1,0,IFERROR(LOOKUP(2,1/(Algodão!$E25:INDEX(Algodão!$E25:$Z25,MIN(AV$6-$E$3,22))&lt;&gt;""),Algodão!$E25:INDEX(Algodão!$E25:$Z25,MIN(AV$6-$E$3,22))),0))-IF($G$2,0,IF((AV$6-$G$3)&lt;1,0,IFERROR(LOOKUP(2,1/(Algodão!$E25:INDEX(Algodão!$E25:$Z25,MIN(AV$6-$G$3,22))&lt;&gt;""),Algodão!$E25:INDEX(Algodão!$E25:$Z25,MIN(AV$6-$G$3,22))),0)))))</f>
        <v>0</v>
      </c>
      <c r="AW27" s="27" t="n">
        <f aca="false">IF(COUNT(Algodão!$E25:$Z25)=0,0,MAX(0,IF((AW$6-$E$3)&lt;1,0,IFERROR(LOOKUP(2,1/(Algodão!$E25:INDEX(Algodão!$E25:$Z25,MIN(AW$6-$E$3,22))&lt;&gt;""),Algodão!$E25:INDEX(Algodão!$E25:$Z25,MIN(AW$6-$E$3,22))),0))-IF($G$2,0,IF((AW$6-$G$3)&lt;1,0,IFERROR(LOOKUP(2,1/(Algodão!$E25:INDEX(Algodão!$E25:$Z25,MIN(AW$6-$G$3,22))&lt;&gt;""),Algodão!$E25:INDEX(Algodão!$E25:$Z25,MIN(AW$6-$G$3,22))),0)))))</f>
        <v>0</v>
      </c>
      <c r="AX27" s="27" t="n">
        <f aca="false">IF(COUNT(Algodão!$E25:$Z25)=0,0,MAX(0,IF((AX$6-$E$3)&lt;1,0,IFERROR(LOOKUP(2,1/(Algodão!$E25:INDEX(Algodão!$E25:$Z25,MIN(AX$6-$E$3,22))&lt;&gt;""),Algodão!$E25:INDEX(Algodão!$E25:$Z25,MIN(AX$6-$E$3,22))),0))-IF($G$2,0,IF((AX$6-$G$3)&lt;1,0,IFERROR(LOOKUP(2,1/(Algodão!$E25:INDEX(Algodão!$E25:$Z25,MIN(AX$6-$G$3,22))&lt;&gt;""),Algodão!$E25:INDEX(Algodão!$E25:$Z25,MIN(AX$6-$G$3,22))),0)))))</f>
        <v>0</v>
      </c>
      <c r="AY27" s="27" t="n">
        <f aca="false">IF(COUNT(Algodão!$E25:$Z25)=0,0,MAX(0,IF((AY$6-$E$3)&lt;1,0,IFERROR(LOOKUP(2,1/(Algodão!$E25:INDEX(Algodão!$E25:$Z25,MIN(AY$6-$E$3,22))&lt;&gt;""),Algodão!$E25:INDEX(Algodão!$E25:$Z25,MIN(AY$6-$E$3,22))),0))-IF($G$2,0,IF((AY$6-$G$3)&lt;1,0,IFERROR(LOOKUP(2,1/(Algodão!$E25:INDEX(Algodão!$E25:$Z25,MIN(AY$6-$G$3,22))&lt;&gt;""),Algodão!$E25:INDEX(Algodão!$E25:$Z25,MIN(AY$6-$G$3,22))),0)))))</f>
        <v>0</v>
      </c>
      <c r="AZ27" s="27" t="n">
        <f aca="false">IF(COUNT(Algodão!$E25:$Z25)=0,0,MAX(0,IF((AZ$6-$E$3)&lt;1,0,IFERROR(LOOKUP(2,1/(Algodão!$E25:INDEX(Algodão!$E25:$Z25,MIN(AZ$6-$E$3,22))&lt;&gt;""),Algodão!$E25:INDEX(Algodão!$E25:$Z25,MIN(AZ$6-$E$3,22))),0))-IF($G$2,0,IF((AZ$6-$G$3)&lt;1,0,IFERROR(LOOKUP(2,1/(Algodão!$E25:INDEX(Algodão!$E25:$Z25,MIN(AZ$6-$G$3,22))&lt;&gt;""),Algodão!$E25:INDEX(Algodão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IF(COUNT(Algodão!$E26:$Z26)&gt;0,N(Algodão!$D26),0)</f>
        <v>0</v>
      </c>
      <c r="E28" s="27" t="n">
        <f aca="false">IF(COUNT(Algodão!$E26:$Z26)=0,0,MAX(0,IF((E$6-$E$3)&lt;1,0,IFERROR(LOOKUP(2,1/(Algodão!$E26:INDEX(Algodão!$E26:$Z26,MIN(E$6-$E$3,22))&lt;&gt;""),Algodão!$E26:INDEX(Algodão!$E26:$Z26,MIN(E$6-$E$3,22))),0))-IF($G$2,0,IF((E$6-$G$3)&lt;1,0,IFERROR(LOOKUP(2,1/(Algodão!$E26:INDEX(Algodão!$E26:$Z26,MIN(E$6-$G$3,22))&lt;&gt;""),Algodão!$E26:INDEX(Algodão!$E26:$Z26,MIN(E$6-$G$3,22))),0)))))</f>
        <v>0</v>
      </c>
      <c r="F28" s="27" t="n">
        <f aca="false">IF(COUNT(Algodão!$E26:$Z26)=0,0,MAX(0,IF((F$6-$E$3)&lt;1,0,IFERROR(LOOKUP(2,1/(Algodão!$E26:INDEX(Algodão!$E26:$Z26,MIN(F$6-$E$3,22))&lt;&gt;""),Algodão!$E26:INDEX(Algodão!$E26:$Z26,MIN(F$6-$E$3,22))),0))-IF($G$2,0,IF((F$6-$G$3)&lt;1,0,IFERROR(LOOKUP(2,1/(Algodão!$E26:INDEX(Algodão!$E26:$Z26,MIN(F$6-$G$3,22))&lt;&gt;""),Algodão!$E26:INDEX(Algodão!$E26:$Z26,MIN(F$6-$G$3,22))),0)))))</f>
        <v>0</v>
      </c>
      <c r="G28" s="27" t="n">
        <f aca="false">IF(COUNT(Algodão!$E26:$Z26)=0,0,MAX(0,IF((G$6-$E$3)&lt;1,0,IFERROR(LOOKUP(2,1/(Algodão!$E26:INDEX(Algodão!$E26:$Z26,MIN(G$6-$E$3,22))&lt;&gt;""),Algodão!$E26:INDEX(Algodão!$E26:$Z26,MIN(G$6-$E$3,22))),0))-IF($G$2,0,IF((G$6-$G$3)&lt;1,0,IFERROR(LOOKUP(2,1/(Algodão!$E26:INDEX(Algodão!$E26:$Z26,MIN(G$6-$G$3,22))&lt;&gt;""),Algodão!$E26:INDEX(Algodão!$E26:$Z26,MIN(G$6-$G$3,22))),0)))))</f>
        <v>0</v>
      </c>
      <c r="H28" s="27" t="n">
        <f aca="false">IF(COUNT(Algodão!$E26:$Z26)=0,0,MAX(0,IF((H$6-$E$3)&lt;1,0,IFERROR(LOOKUP(2,1/(Algodão!$E26:INDEX(Algodão!$E26:$Z26,MIN(H$6-$E$3,22))&lt;&gt;""),Algodão!$E26:INDEX(Algodão!$E26:$Z26,MIN(H$6-$E$3,22))),0))-IF($G$2,0,IF((H$6-$G$3)&lt;1,0,IFERROR(LOOKUP(2,1/(Algodão!$E26:INDEX(Algodão!$E26:$Z26,MIN(H$6-$G$3,22))&lt;&gt;""),Algodão!$E26:INDEX(Algodão!$E26:$Z26,MIN(H$6-$G$3,22))),0)))))</f>
        <v>0</v>
      </c>
      <c r="I28" s="27" t="n">
        <f aca="false">IF(COUNT(Algodão!$E26:$Z26)=0,0,MAX(0,IF((I$6-$E$3)&lt;1,0,IFERROR(LOOKUP(2,1/(Algodão!$E26:INDEX(Algodão!$E26:$Z26,MIN(I$6-$E$3,22))&lt;&gt;""),Algodão!$E26:INDEX(Algodão!$E26:$Z26,MIN(I$6-$E$3,22))),0))-IF($G$2,0,IF((I$6-$G$3)&lt;1,0,IFERROR(LOOKUP(2,1/(Algodão!$E26:INDEX(Algodão!$E26:$Z26,MIN(I$6-$G$3,22))&lt;&gt;""),Algodão!$E26:INDEX(Algodão!$E26:$Z26,MIN(I$6-$G$3,22))),0)))))</f>
        <v>0</v>
      </c>
      <c r="J28" s="27" t="n">
        <f aca="false">IF(COUNT(Algodão!$E26:$Z26)=0,0,MAX(0,IF((J$6-$E$3)&lt;1,0,IFERROR(LOOKUP(2,1/(Algodão!$E26:INDEX(Algodão!$E26:$Z26,MIN(J$6-$E$3,22))&lt;&gt;""),Algodão!$E26:INDEX(Algodão!$E26:$Z26,MIN(J$6-$E$3,22))),0))-IF($G$2,0,IF((J$6-$G$3)&lt;1,0,IFERROR(LOOKUP(2,1/(Algodão!$E26:INDEX(Algodão!$E26:$Z26,MIN(J$6-$G$3,22))&lt;&gt;""),Algodão!$E26:INDEX(Algodão!$E26:$Z26,MIN(J$6-$G$3,22))),0)))))</f>
        <v>0</v>
      </c>
      <c r="K28" s="27" t="n">
        <f aca="false">IF(COUNT(Algodão!$E26:$Z26)=0,0,MAX(0,IF((K$6-$E$3)&lt;1,0,IFERROR(LOOKUP(2,1/(Algodão!$E26:INDEX(Algodão!$E26:$Z26,MIN(K$6-$E$3,22))&lt;&gt;""),Algodão!$E26:INDEX(Algodão!$E26:$Z26,MIN(K$6-$E$3,22))),0))-IF($G$2,0,IF((K$6-$G$3)&lt;1,0,IFERROR(LOOKUP(2,1/(Algodão!$E26:INDEX(Algodão!$E26:$Z26,MIN(K$6-$G$3,22))&lt;&gt;""),Algodão!$E26:INDEX(Algodão!$E26:$Z26,MIN(K$6-$G$3,22))),0)))))</f>
        <v>0</v>
      </c>
      <c r="L28" s="27" t="n">
        <f aca="false">IF(COUNT(Algodão!$E26:$Z26)=0,0,MAX(0,IF((L$6-$E$3)&lt;1,0,IFERROR(LOOKUP(2,1/(Algodão!$E26:INDEX(Algodão!$E26:$Z26,MIN(L$6-$E$3,22))&lt;&gt;""),Algodão!$E26:INDEX(Algodão!$E26:$Z26,MIN(L$6-$E$3,22))),0))-IF($G$2,0,IF((L$6-$G$3)&lt;1,0,IFERROR(LOOKUP(2,1/(Algodão!$E26:INDEX(Algodão!$E26:$Z26,MIN(L$6-$G$3,22))&lt;&gt;""),Algodão!$E26:INDEX(Algodão!$E26:$Z26,MIN(L$6-$G$3,22))),0)))))</f>
        <v>0</v>
      </c>
      <c r="M28" s="27" t="n">
        <f aca="false">IF(COUNT(Algodão!$E26:$Z26)=0,0,MAX(0,IF((M$6-$E$3)&lt;1,0,IFERROR(LOOKUP(2,1/(Algodão!$E26:INDEX(Algodão!$E26:$Z26,MIN(M$6-$E$3,22))&lt;&gt;""),Algodão!$E26:INDEX(Algodão!$E26:$Z26,MIN(M$6-$E$3,22))),0))-IF($G$2,0,IF((M$6-$G$3)&lt;1,0,IFERROR(LOOKUP(2,1/(Algodão!$E26:INDEX(Algodão!$E26:$Z26,MIN(M$6-$G$3,22))&lt;&gt;""),Algodão!$E26:INDEX(Algodão!$E26:$Z26,MIN(M$6-$G$3,22))),0)))))</f>
        <v>0</v>
      </c>
      <c r="N28" s="27" t="n">
        <f aca="false">IF(COUNT(Algodão!$E26:$Z26)=0,0,MAX(0,IF((N$6-$E$3)&lt;1,0,IFERROR(LOOKUP(2,1/(Algodão!$E26:INDEX(Algodão!$E26:$Z26,MIN(N$6-$E$3,22))&lt;&gt;""),Algodão!$E26:INDEX(Algodão!$E26:$Z26,MIN(N$6-$E$3,22))),0))-IF($G$2,0,IF((N$6-$G$3)&lt;1,0,IFERROR(LOOKUP(2,1/(Algodão!$E26:INDEX(Algodão!$E26:$Z26,MIN(N$6-$G$3,22))&lt;&gt;""),Algodão!$E26:INDEX(Algodão!$E26:$Z26,MIN(N$6-$G$3,22))),0)))))</f>
        <v>0</v>
      </c>
      <c r="O28" s="27" t="n">
        <f aca="false">IF(COUNT(Algodão!$E26:$Z26)=0,0,MAX(0,IF((O$6-$E$3)&lt;1,0,IFERROR(LOOKUP(2,1/(Algodão!$E26:INDEX(Algodão!$E26:$Z26,MIN(O$6-$E$3,22))&lt;&gt;""),Algodão!$E26:INDEX(Algodão!$E26:$Z26,MIN(O$6-$E$3,22))),0))-IF($G$2,0,IF((O$6-$G$3)&lt;1,0,IFERROR(LOOKUP(2,1/(Algodão!$E26:INDEX(Algodão!$E26:$Z26,MIN(O$6-$G$3,22))&lt;&gt;""),Algodão!$E26:INDEX(Algodão!$E26:$Z26,MIN(O$6-$G$3,22))),0)))))</f>
        <v>0</v>
      </c>
      <c r="P28" s="27" t="n">
        <f aca="false">IF(COUNT(Algodão!$E26:$Z26)=0,0,MAX(0,IF((P$6-$E$3)&lt;1,0,IFERROR(LOOKUP(2,1/(Algodão!$E26:INDEX(Algodão!$E26:$Z26,MIN(P$6-$E$3,22))&lt;&gt;""),Algodão!$E26:INDEX(Algodão!$E26:$Z26,MIN(P$6-$E$3,22))),0))-IF($G$2,0,IF((P$6-$G$3)&lt;1,0,IFERROR(LOOKUP(2,1/(Algodão!$E26:INDEX(Algodão!$E26:$Z26,MIN(P$6-$G$3,22))&lt;&gt;""),Algodão!$E26:INDEX(Algodão!$E26:$Z26,MIN(P$6-$G$3,22))),0)))))</f>
        <v>0</v>
      </c>
      <c r="Q28" s="27" t="n">
        <f aca="false">IF(COUNT(Algodão!$E26:$Z26)=0,0,MAX(0,IF((Q$6-$E$3)&lt;1,0,IFERROR(LOOKUP(2,1/(Algodão!$E26:INDEX(Algodão!$E26:$Z26,MIN(Q$6-$E$3,22))&lt;&gt;""),Algodão!$E26:INDEX(Algodão!$E26:$Z26,MIN(Q$6-$E$3,22))),0))-IF($G$2,0,IF((Q$6-$G$3)&lt;1,0,IFERROR(LOOKUP(2,1/(Algodão!$E26:INDEX(Algodão!$E26:$Z26,MIN(Q$6-$G$3,22))&lt;&gt;""),Algodão!$E26:INDEX(Algodão!$E26:$Z26,MIN(Q$6-$G$3,22))),0)))))</f>
        <v>0</v>
      </c>
      <c r="R28" s="27" t="n">
        <f aca="false">IF(COUNT(Algodão!$E26:$Z26)=0,0,MAX(0,IF((R$6-$E$3)&lt;1,0,IFERROR(LOOKUP(2,1/(Algodão!$E26:INDEX(Algodão!$E26:$Z26,MIN(R$6-$E$3,22))&lt;&gt;""),Algodão!$E26:INDEX(Algodão!$E26:$Z26,MIN(R$6-$E$3,22))),0))-IF($G$2,0,IF((R$6-$G$3)&lt;1,0,IFERROR(LOOKUP(2,1/(Algodão!$E26:INDEX(Algodão!$E26:$Z26,MIN(R$6-$G$3,22))&lt;&gt;""),Algodão!$E26:INDEX(Algodão!$E26:$Z26,MIN(R$6-$G$3,22))),0)))))</f>
        <v>0</v>
      </c>
      <c r="S28" s="27" t="n">
        <f aca="false">IF(COUNT(Algodão!$E26:$Z26)=0,0,MAX(0,IF((S$6-$E$3)&lt;1,0,IFERROR(LOOKUP(2,1/(Algodão!$E26:INDEX(Algodão!$E26:$Z26,MIN(S$6-$E$3,22))&lt;&gt;""),Algodão!$E26:INDEX(Algodão!$E26:$Z26,MIN(S$6-$E$3,22))),0))-IF($G$2,0,IF((S$6-$G$3)&lt;1,0,IFERROR(LOOKUP(2,1/(Algodão!$E26:INDEX(Algodão!$E26:$Z26,MIN(S$6-$G$3,22))&lt;&gt;""),Algodão!$E26:INDEX(Algodão!$E26:$Z26,MIN(S$6-$G$3,22))),0)))))</f>
        <v>0</v>
      </c>
      <c r="T28" s="27" t="n">
        <f aca="false">IF(COUNT(Algodão!$E26:$Z26)=0,0,MAX(0,IF((T$6-$E$3)&lt;1,0,IFERROR(LOOKUP(2,1/(Algodão!$E26:INDEX(Algodão!$E26:$Z26,MIN(T$6-$E$3,22))&lt;&gt;""),Algodão!$E26:INDEX(Algodão!$E26:$Z26,MIN(T$6-$E$3,22))),0))-IF($G$2,0,IF((T$6-$G$3)&lt;1,0,IFERROR(LOOKUP(2,1/(Algodão!$E26:INDEX(Algodão!$E26:$Z26,MIN(T$6-$G$3,22))&lt;&gt;""),Algodão!$E26:INDEX(Algodão!$E26:$Z26,MIN(T$6-$G$3,22))),0)))))</f>
        <v>0</v>
      </c>
      <c r="U28" s="27" t="n">
        <f aca="false">IF(COUNT(Algodão!$E26:$Z26)=0,0,MAX(0,IF((U$6-$E$3)&lt;1,0,IFERROR(LOOKUP(2,1/(Algodão!$E26:INDEX(Algodão!$E26:$Z26,MIN(U$6-$E$3,22))&lt;&gt;""),Algodão!$E26:INDEX(Algodão!$E26:$Z26,MIN(U$6-$E$3,22))),0))-IF($G$2,0,IF((U$6-$G$3)&lt;1,0,IFERROR(LOOKUP(2,1/(Algodão!$E26:INDEX(Algodão!$E26:$Z26,MIN(U$6-$G$3,22))&lt;&gt;""),Algodão!$E26:INDEX(Algodão!$E26:$Z26,MIN(U$6-$G$3,22))),0)))))</f>
        <v>0</v>
      </c>
      <c r="V28" s="27" t="n">
        <f aca="false">IF(COUNT(Algodão!$E26:$Z26)=0,0,MAX(0,IF((V$6-$E$3)&lt;1,0,IFERROR(LOOKUP(2,1/(Algodão!$E26:INDEX(Algodão!$E26:$Z26,MIN(V$6-$E$3,22))&lt;&gt;""),Algodão!$E26:INDEX(Algodão!$E26:$Z26,MIN(V$6-$E$3,22))),0))-IF($G$2,0,IF((V$6-$G$3)&lt;1,0,IFERROR(LOOKUP(2,1/(Algodão!$E26:INDEX(Algodão!$E26:$Z26,MIN(V$6-$G$3,22))&lt;&gt;""),Algodão!$E26:INDEX(Algodão!$E26:$Z26,MIN(V$6-$G$3,22))),0)))))</f>
        <v>0</v>
      </c>
      <c r="W28" s="27" t="n">
        <f aca="false">IF(COUNT(Algodão!$E26:$Z26)=0,0,MAX(0,IF((W$6-$E$3)&lt;1,0,IFERROR(LOOKUP(2,1/(Algodão!$E26:INDEX(Algodão!$E26:$Z26,MIN(W$6-$E$3,22))&lt;&gt;""),Algodão!$E26:INDEX(Algodão!$E26:$Z26,MIN(W$6-$E$3,22))),0))-IF($G$2,0,IF((W$6-$G$3)&lt;1,0,IFERROR(LOOKUP(2,1/(Algodão!$E26:INDEX(Algodão!$E26:$Z26,MIN(W$6-$G$3,22))&lt;&gt;""),Algodão!$E26:INDEX(Algodão!$E26:$Z26,MIN(W$6-$G$3,22))),0)))))</f>
        <v>0</v>
      </c>
      <c r="X28" s="27" t="n">
        <f aca="false">IF(COUNT(Algodão!$E26:$Z26)=0,0,MAX(0,IF((X$6-$E$3)&lt;1,0,IFERROR(LOOKUP(2,1/(Algodão!$E26:INDEX(Algodão!$E26:$Z26,MIN(X$6-$E$3,22))&lt;&gt;""),Algodão!$E26:INDEX(Algodão!$E26:$Z26,MIN(X$6-$E$3,22))),0))-IF($G$2,0,IF((X$6-$G$3)&lt;1,0,IFERROR(LOOKUP(2,1/(Algodão!$E26:INDEX(Algodão!$E26:$Z26,MIN(X$6-$G$3,22))&lt;&gt;""),Algodão!$E26:INDEX(Algodão!$E26:$Z26,MIN(X$6-$G$3,22))),0)))))</f>
        <v>0</v>
      </c>
      <c r="Y28" s="27" t="n">
        <f aca="false">IF(COUNT(Algodão!$E26:$Z26)=0,0,MAX(0,IF((Y$6-$E$3)&lt;1,0,IFERROR(LOOKUP(2,1/(Algodão!$E26:INDEX(Algodão!$E26:$Z26,MIN(Y$6-$E$3,22))&lt;&gt;""),Algodão!$E26:INDEX(Algodão!$E26:$Z26,MIN(Y$6-$E$3,22))),0))-IF($G$2,0,IF((Y$6-$G$3)&lt;1,0,IFERROR(LOOKUP(2,1/(Algodão!$E26:INDEX(Algodão!$E26:$Z26,MIN(Y$6-$G$3,22))&lt;&gt;""),Algodão!$E26:INDEX(Algodão!$E26:$Z26,MIN(Y$6-$G$3,22))),0)))))</f>
        <v>0</v>
      </c>
      <c r="Z28" s="27" t="n">
        <f aca="false">IF(COUNT(Algodão!$E26:$Z26)=0,0,MAX(0,IF((Z$6-$E$3)&lt;1,0,IFERROR(LOOKUP(2,1/(Algodão!$E26:INDEX(Algodão!$E26:$Z26,MIN(Z$6-$E$3,22))&lt;&gt;""),Algodão!$E26:INDEX(Algodão!$E26:$Z26,MIN(Z$6-$E$3,22))),0))-IF($G$2,0,IF((Z$6-$G$3)&lt;1,0,IFERROR(LOOKUP(2,1/(Algodão!$E26:INDEX(Algodão!$E26:$Z26,MIN(Z$6-$G$3,22))&lt;&gt;""),Algodão!$E26:INDEX(Algodão!$E26:$Z26,MIN(Z$6-$G$3,22))),0)))))</f>
        <v>0</v>
      </c>
      <c r="AA28" s="27" t="n">
        <f aca="false">IF(COUNT(Algodão!$E26:$Z26)=0,0,MAX(0,IF((AA$6-$E$3)&lt;1,0,IFERROR(LOOKUP(2,1/(Algodão!$E26:INDEX(Algodão!$E26:$Z26,MIN(AA$6-$E$3,22))&lt;&gt;""),Algodão!$E26:INDEX(Algodão!$E26:$Z26,MIN(AA$6-$E$3,22))),0))-IF($G$2,0,IF((AA$6-$G$3)&lt;1,0,IFERROR(LOOKUP(2,1/(Algodão!$E26:INDEX(Algodão!$E26:$Z26,MIN(AA$6-$G$3,22))&lt;&gt;""),Algodão!$E26:INDEX(Algodão!$E26:$Z26,MIN(AA$6-$G$3,22))),0)))))</f>
        <v>0</v>
      </c>
      <c r="AB28" s="27" t="n">
        <f aca="false">IF(COUNT(Algodão!$E26:$Z26)=0,0,MAX(0,IF((AB$6-$E$3)&lt;1,0,IFERROR(LOOKUP(2,1/(Algodão!$E26:INDEX(Algodão!$E26:$Z26,MIN(AB$6-$E$3,22))&lt;&gt;""),Algodão!$E26:INDEX(Algodão!$E26:$Z26,MIN(AB$6-$E$3,22))),0))-IF($G$2,0,IF((AB$6-$G$3)&lt;1,0,IFERROR(LOOKUP(2,1/(Algodão!$E26:INDEX(Algodão!$E26:$Z26,MIN(AB$6-$G$3,22))&lt;&gt;""),Algodão!$E26:INDEX(Algodão!$E26:$Z26,MIN(AB$6-$G$3,22))),0)))))</f>
        <v>0</v>
      </c>
      <c r="AC28" s="27" t="n">
        <f aca="false">IF(COUNT(Algodão!$E26:$Z26)=0,0,MAX(0,IF((AC$6-$E$3)&lt;1,0,IFERROR(LOOKUP(2,1/(Algodão!$E26:INDEX(Algodão!$E26:$Z26,MIN(AC$6-$E$3,22))&lt;&gt;""),Algodão!$E26:INDEX(Algodão!$E26:$Z26,MIN(AC$6-$E$3,22))),0))-IF($G$2,0,IF((AC$6-$G$3)&lt;1,0,IFERROR(LOOKUP(2,1/(Algodão!$E26:INDEX(Algodão!$E26:$Z26,MIN(AC$6-$G$3,22))&lt;&gt;""),Algodão!$E26:INDEX(Algodão!$E26:$Z26,MIN(AC$6-$G$3,22))),0)))))</f>
        <v>0</v>
      </c>
      <c r="AD28" s="27" t="n">
        <f aca="false">IF(COUNT(Algodão!$E26:$Z26)=0,0,MAX(0,IF((AD$6-$E$3)&lt;1,0,IFERROR(LOOKUP(2,1/(Algodão!$E26:INDEX(Algodão!$E26:$Z26,MIN(AD$6-$E$3,22))&lt;&gt;""),Algodão!$E26:INDEX(Algodão!$E26:$Z26,MIN(AD$6-$E$3,22))),0))-IF($G$2,0,IF((AD$6-$G$3)&lt;1,0,IFERROR(LOOKUP(2,1/(Algodão!$E26:INDEX(Algodão!$E26:$Z26,MIN(AD$6-$G$3,22))&lt;&gt;""),Algodão!$E26:INDEX(Algodão!$E26:$Z26,MIN(AD$6-$G$3,22))),0)))))</f>
        <v>0</v>
      </c>
      <c r="AE28" s="27" t="n">
        <f aca="false">IF(COUNT(Algodão!$E26:$Z26)=0,0,MAX(0,IF((AE$6-$E$3)&lt;1,0,IFERROR(LOOKUP(2,1/(Algodão!$E26:INDEX(Algodão!$E26:$Z26,MIN(AE$6-$E$3,22))&lt;&gt;""),Algodão!$E26:INDEX(Algodão!$E26:$Z26,MIN(AE$6-$E$3,22))),0))-IF($G$2,0,IF((AE$6-$G$3)&lt;1,0,IFERROR(LOOKUP(2,1/(Algodão!$E26:INDEX(Algodão!$E26:$Z26,MIN(AE$6-$G$3,22))&lt;&gt;""),Algodão!$E26:INDEX(Algodão!$E26:$Z26,MIN(AE$6-$G$3,22))),0)))))</f>
        <v>0</v>
      </c>
      <c r="AF28" s="27" t="n">
        <f aca="false">IF(COUNT(Algodão!$E26:$Z26)=0,0,MAX(0,IF((AF$6-$E$3)&lt;1,0,IFERROR(LOOKUP(2,1/(Algodão!$E26:INDEX(Algodão!$E26:$Z26,MIN(AF$6-$E$3,22))&lt;&gt;""),Algodão!$E26:INDEX(Algodão!$E26:$Z26,MIN(AF$6-$E$3,22))),0))-IF($G$2,0,IF((AF$6-$G$3)&lt;1,0,IFERROR(LOOKUP(2,1/(Algodão!$E26:INDEX(Algodão!$E26:$Z26,MIN(AF$6-$G$3,22))&lt;&gt;""),Algodão!$E26:INDEX(Algodão!$E26:$Z26,MIN(AF$6-$G$3,22))),0)))))</f>
        <v>0</v>
      </c>
      <c r="AG28" s="27" t="n">
        <f aca="false">IF(COUNT(Algodão!$E26:$Z26)=0,0,MAX(0,IF((AG$6-$E$3)&lt;1,0,IFERROR(LOOKUP(2,1/(Algodão!$E26:INDEX(Algodão!$E26:$Z26,MIN(AG$6-$E$3,22))&lt;&gt;""),Algodão!$E26:INDEX(Algodão!$E26:$Z26,MIN(AG$6-$E$3,22))),0))-IF($G$2,0,IF((AG$6-$G$3)&lt;1,0,IFERROR(LOOKUP(2,1/(Algodão!$E26:INDEX(Algodão!$E26:$Z26,MIN(AG$6-$G$3,22))&lt;&gt;""),Algodão!$E26:INDEX(Algodão!$E26:$Z26,MIN(AG$6-$G$3,22))),0)))))</f>
        <v>0</v>
      </c>
      <c r="AH28" s="27" t="n">
        <f aca="false">IF(COUNT(Algodão!$E26:$Z26)=0,0,MAX(0,IF((AH$6-$E$3)&lt;1,0,IFERROR(LOOKUP(2,1/(Algodão!$E26:INDEX(Algodão!$E26:$Z26,MIN(AH$6-$E$3,22))&lt;&gt;""),Algodão!$E26:INDEX(Algodão!$E26:$Z26,MIN(AH$6-$E$3,22))),0))-IF($G$2,0,IF((AH$6-$G$3)&lt;1,0,IFERROR(LOOKUP(2,1/(Algodão!$E26:INDEX(Algodão!$E26:$Z26,MIN(AH$6-$G$3,22))&lt;&gt;""),Algodão!$E26:INDEX(Algodão!$E26:$Z26,MIN(AH$6-$G$3,22))),0)))))</f>
        <v>0</v>
      </c>
      <c r="AI28" s="27" t="n">
        <f aca="false">IF(COUNT(Algodão!$E26:$Z26)=0,0,MAX(0,IF((AI$6-$E$3)&lt;1,0,IFERROR(LOOKUP(2,1/(Algodão!$E26:INDEX(Algodão!$E26:$Z26,MIN(AI$6-$E$3,22))&lt;&gt;""),Algodão!$E26:INDEX(Algodão!$E26:$Z26,MIN(AI$6-$E$3,22))),0))-IF($G$2,0,IF((AI$6-$G$3)&lt;1,0,IFERROR(LOOKUP(2,1/(Algodão!$E26:INDEX(Algodão!$E26:$Z26,MIN(AI$6-$G$3,22))&lt;&gt;""),Algodão!$E26:INDEX(Algodão!$E26:$Z26,MIN(AI$6-$G$3,22))),0)))))</f>
        <v>0</v>
      </c>
      <c r="AJ28" s="27" t="n">
        <f aca="false">IF(COUNT(Algodão!$E26:$Z26)=0,0,MAX(0,IF((AJ$6-$E$3)&lt;1,0,IFERROR(LOOKUP(2,1/(Algodão!$E26:INDEX(Algodão!$E26:$Z26,MIN(AJ$6-$E$3,22))&lt;&gt;""),Algodão!$E26:INDEX(Algodão!$E26:$Z26,MIN(AJ$6-$E$3,22))),0))-IF($G$2,0,IF((AJ$6-$G$3)&lt;1,0,IFERROR(LOOKUP(2,1/(Algodão!$E26:INDEX(Algodão!$E26:$Z26,MIN(AJ$6-$G$3,22))&lt;&gt;""),Algodão!$E26:INDEX(Algodão!$E26:$Z26,MIN(AJ$6-$G$3,22))),0)))))</f>
        <v>0</v>
      </c>
      <c r="AK28" s="27" t="n">
        <f aca="false">IF(COUNT(Algodão!$E26:$Z26)=0,0,MAX(0,IF((AK$6-$E$3)&lt;1,0,IFERROR(LOOKUP(2,1/(Algodão!$E26:INDEX(Algodão!$E26:$Z26,MIN(AK$6-$E$3,22))&lt;&gt;""),Algodão!$E26:INDEX(Algodão!$E26:$Z26,MIN(AK$6-$E$3,22))),0))-IF($G$2,0,IF((AK$6-$G$3)&lt;1,0,IFERROR(LOOKUP(2,1/(Algodão!$E26:INDEX(Algodão!$E26:$Z26,MIN(AK$6-$G$3,22))&lt;&gt;""),Algodão!$E26:INDEX(Algodão!$E26:$Z26,MIN(AK$6-$G$3,22))),0)))))</f>
        <v>0</v>
      </c>
      <c r="AL28" s="27" t="n">
        <f aca="false">IF(COUNT(Algodão!$E26:$Z26)=0,0,MAX(0,IF((AL$6-$E$3)&lt;1,0,IFERROR(LOOKUP(2,1/(Algodão!$E26:INDEX(Algodão!$E26:$Z26,MIN(AL$6-$E$3,22))&lt;&gt;""),Algodão!$E26:INDEX(Algodão!$E26:$Z26,MIN(AL$6-$E$3,22))),0))-IF($G$2,0,IF((AL$6-$G$3)&lt;1,0,IFERROR(LOOKUP(2,1/(Algodão!$E26:INDEX(Algodão!$E26:$Z26,MIN(AL$6-$G$3,22))&lt;&gt;""),Algodão!$E26:INDEX(Algodão!$E26:$Z26,MIN(AL$6-$G$3,22))),0)))))</f>
        <v>0</v>
      </c>
      <c r="AM28" s="27" t="n">
        <f aca="false">IF(COUNT(Algodão!$E26:$Z26)=0,0,MAX(0,IF((AM$6-$E$3)&lt;1,0,IFERROR(LOOKUP(2,1/(Algodão!$E26:INDEX(Algodão!$E26:$Z26,MIN(AM$6-$E$3,22))&lt;&gt;""),Algodão!$E26:INDEX(Algodão!$E26:$Z26,MIN(AM$6-$E$3,22))),0))-IF($G$2,0,IF((AM$6-$G$3)&lt;1,0,IFERROR(LOOKUP(2,1/(Algodão!$E26:INDEX(Algodão!$E26:$Z26,MIN(AM$6-$G$3,22))&lt;&gt;""),Algodão!$E26:INDEX(Algodão!$E26:$Z26,MIN(AM$6-$G$3,22))),0)))))</f>
        <v>0</v>
      </c>
      <c r="AN28" s="27" t="n">
        <f aca="false">IF(COUNT(Algodão!$E26:$Z26)=0,0,MAX(0,IF((AN$6-$E$3)&lt;1,0,IFERROR(LOOKUP(2,1/(Algodão!$E26:INDEX(Algodão!$E26:$Z26,MIN(AN$6-$E$3,22))&lt;&gt;""),Algodão!$E26:INDEX(Algodão!$E26:$Z26,MIN(AN$6-$E$3,22))),0))-IF($G$2,0,IF((AN$6-$G$3)&lt;1,0,IFERROR(LOOKUP(2,1/(Algodão!$E26:INDEX(Algodão!$E26:$Z26,MIN(AN$6-$G$3,22))&lt;&gt;""),Algodão!$E26:INDEX(Algodão!$E26:$Z26,MIN(AN$6-$G$3,22))),0)))))</f>
        <v>0</v>
      </c>
      <c r="AO28" s="27" t="n">
        <f aca="false">IF(COUNT(Algodão!$E26:$Z26)=0,0,MAX(0,IF((AO$6-$E$3)&lt;1,0,IFERROR(LOOKUP(2,1/(Algodão!$E26:INDEX(Algodão!$E26:$Z26,MIN(AO$6-$E$3,22))&lt;&gt;""),Algodão!$E26:INDEX(Algodão!$E26:$Z26,MIN(AO$6-$E$3,22))),0))-IF($G$2,0,IF((AO$6-$G$3)&lt;1,0,IFERROR(LOOKUP(2,1/(Algodão!$E26:INDEX(Algodão!$E26:$Z26,MIN(AO$6-$G$3,22))&lt;&gt;""),Algodão!$E26:INDEX(Algodão!$E26:$Z26,MIN(AO$6-$G$3,22))),0)))))</f>
        <v>0</v>
      </c>
      <c r="AP28" s="27" t="n">
        <f aca="false">IF(COUNT(Algodão!$E26:$Z26)=0,0,MAX(0,IF((AP$6-$E$3)&lt;1,0,IFERROR(LOOKUP(2,1/(Algodão!$E26:INDEX(Algodão!$E26:$Z26,MIN(AP$6-$E$3,22))&lt;&gt;""),Algodão!$E26:INDEX(Algodão!$E26:$Z26,MIN(AP$6-$E$3,22))),0))-IF($G$2,0,IF((AP$6-$G$3)&lt;1,0,IFERROR(LOOKUP(2,1/(Algodão!$E26:INDEX(Algodão!$E26:$Z26,MIN(AP$6-$G$3,22))&lt;&gt;""),Algodão!$E26:INDEX(Algodão!$E26:$Z26,MIN(AP$6-$G$3,22))),0)))))</f>
        <v>0</v>
      </c>
      <c r="AQ28" s="27" t="n">
        <f aca="false">IF(COUNT(Algodão!$E26:$Z26)=0,0,MAX(0,IF((AQ$6-$E$3)&lt;1,0,IFERROR(LOOKUP(2,1/(Algodão!$E26:INDEX(Algodão!$E26:$Z26,MIN(AQ$6-$E$3,22))&lt;&gt;""),Algodão!$E26:INDEX(Algodão!$E26:$Z26,MIN(AQ$6-$E$3,22))),0))-IF($G$2,0,IF((AQ$6-$G$3)&lt;1,0,IFERROR(LOOKUP(2,1/(Algodão!$E26:INDEX(Algodão!$E26:$Z26,MIN(AQ$6-$G$3,22))&lt;&gt;""),Algodão!$E26:INDEX(Algodão!$E26:$Z26,MIN(AQ$6-$G$3,22))),0)))))</f>
        <v>0</v>
      </c>
      <c r="AR28" s="27" t="n">
        <f aca="false">IF(COUNT(Algodão!$E26:$Z26)=0,0,MAX(0,IF((AR$6-$E$3)&lt;1,0,IFERROR(LOOKUP(2,1/(Algodão!$E26:INDEX(Algodão!$E26:$Z26,MIN(AR$6-$E$3,22))&lt;&gt;""),Algodão!$E26:INDEX(Algodão!$E26:$Z26,MIN(AR$6-$E$3,22))),0))-IF($G$2,0,IF((AR$6-$G$3)&lt;1,0,IFERROR(LOOKUP(2,1/(Algodão!$E26:INDEX(Algodão!$E26:$Z26,MIN(AR$6-$G$3,22))&lt;&gt;""),Algodão!$E26:INDEX(Algodão!$E26:$Z26,MIN(AR$6-$G$3,22))),0)))))</f>
        <v>0</v>
      </c>
      <c r="AS28" s="27" t="n">
        <f aca="false">IF(COUNT(Algodão!$E26:$Z26)=0,0,MAX(0,IF((AS$6-$E$3)&lt;1,0,IFERROR(LOOKUP(2,1/(Algodão!$E26:INDEX(Algodão!$E26:$Z26,MIN(AS$6-$E$3,22))&lt;&gt;""),Algodão!$E26:INDEX(Algodão!$E26:$Z26,MIN(AS$6-$E$3,22))),0))-IF($G$2,0,IF((AS$6-$G$3)&lt;1,0,IFERROR(LOOKUP(2,1/(Algodão!$E26:INDEX(Algodão!$E26:$Z26,MIN(AS$6-$G$3,22))&lt;&gt;""),Algodão!$E26:INDEX(Algodão!$E26:$Z26,MIN(AS$6-$G$3,22))),0)))))</f>
        <v>0</v>
      </c>
      <c r="AT28" s="27" t="n">
        <f aca="false">IF(COUNT(Algodão!$E26:$Z26)=0,0,MAX(0,IF((AT$6-$E$3)&lt;1,0,IFERROR(LOOKUP(2,1/(Algodão!$E26:INDEX(Algodão!$E26:$Z26,MIN(AT$6-$E$3,22))&lt;&gt;""),Algodão!$E26:INDEX(Algodão!$E26:$Z26,MIN(AT$6-$E$3,22))),0))-IF($G$2,0,IF((AT$6-$G$3)&lt;1,0,IFERROR(LOOKUP(2,1/(Algodão!$E26:INDEX(Algodão!$E26:$Z26,MIN(AT$6-$G$3,22))&lt;&gt;""),Algodão!$E26:INDEX(Algodão!$E26:$Z26,MIN(AT$6-$G$3,22))),0)))))</f>
        <v>0</v>
      </c>
      <c r="AU28" s="27" t="n">
        <f aca="false">IF(COUNT(Algodão!$E26:$Z26)=0,0,MAX(0,IF((AU$6-$E$3)&lt;1,0,IFERROR(LOOKUP(2,1/(Algodão!$E26:INDEX(Algodão!$E26:$Z26,MIN(AU$6-$E$3,22))&lt;&gt;""),Algodão!$E26:INDEX(Algodão!$E26:$Z26,MIN(AU$6-$E$3,22))),0))-IF($G$2,0,IF((AU$6-$G$3)&lt;1,0,IFERROR(LOOKUP(2,1/(Algodão!$E26:INDEX(Algodão!$E26:$Z26,MIN(AU$6-$G$3,22))&lt;&gt;""),Algodão!$E26:INDEX(Algodão!$E26:$Z26,MIN(AU$6-$G$3,22))),0)))))</f>
        <v>0</v>
      </c>
      <c r="AV28" s="27" t="n">
        <f aca="false">IF(COUNT(Algodão!$E26:$Z26)=0,0,MAX(0,IF((AV$6-$E$3)&lt;1,0,IFERROR(LOOKUP(2,1/(Algodão!$E26:INDEX(Algodão!$E26:$Z26,MIN(AV$6-$E$3,22))&lt;&gt;""),Algodão!$E26:INDEX(Algodão!$E26:$Z26,MIN(AV$6-$E$3,22))),0))-IF($G$2,0,IF((AV$6-$G$3)&lt;1,0,IFERROR(LOOKUP(2,1/(Algodão!$E26:INDEX(Algodão!$E26:$Z26,MIN(AV$6-$G$3,22))&lt;&gt;""),Algodão!$E26:INDEX(Algodão!$E26:$Z26,MIN(AV$6-$G$3,22))),0)))))</f>
        <v>0</v>
      </c>
      <c r="AW28" s="27" t="n">
        <f aca="false">IF(COUNT(Algodão!$E26:$Z26)=0,0,MAX(0,IF((AW$6-$E$3)&lt;1,0,IFERROR(LOOKUP(2,1/(Algodão!$E26:INDEX(Algodão!$E26:$Z26,MIN(AW$6-$E$3,22))&lt;&gt;""),Algodão!$E26:INDEX(Algodão!$E26:$Z26,MIN(AW$6-$E$3,22))),0))-IF($G$2,0,IF((AW$6-$G$3)&lt;1,0,IFERROR(LOOKUP(2,1/(Algodão!$E26:INDEX(Algodão!$E26:$Z26,MIN(AW$6-$G$3,22))&lt;&gt;""),Algodão!$E26:INDEX(Algodão!$E26:$Z26,MIN(AW$6-$G$3,22))),0)))))</f>
        <v>0</v>
      </c>
      <c r="AX28" s="27" t="n">
        <f aca="false">IF(COUNT(Algodão!$E26:$Z26)=0,0,MAX(0,IF((AX$6-$E$3)&lt;1,0,IFERROR(LOOKUP(2,1/(Algodão!$E26:INDEX(Algodão!$E26:$Z26,MIN(AX$6-$E$3,22))&lt;&gt;""),Algodão!$E26:INDEX(Algodão!$E26:$Z26,MIN(AX$6-$E$3,22))),0))-IF($G$2,0,IF((AX$6-$G$3)&lt;1,0,IFERROR(LOOKUP(2,1/(Algodão!$E26:INDEX(Algodão!$E26:$Z26,MIN(AX$6-$G$3,22))&lt;&gt;""),Algodão!$E26:INDEX(Algodão!$E26:$Z26,MIN(AX$6-$G$3,22))),0)))))</f>
        <v>0</v>
      </c>
      <c r="AY28" s="27" t="n">
        <f aca="false">IF(COUNT(Algodão!$E26:$Z26)=0,0,MAX(0,IF((AY$6-$E$3)&lt;1,0,IFERROR(LOOKUP(2,1/(Algodão!$E26:INDEX(Algodão!$E26:$Z26,MIN(AY$6-$E$3,22))&lt;&gt;""),Algodão!$E26:INDEX(Algodão!$E26:$Z26,MIN(AY$6-$E$3,22))),0))-IF($G$2,0,IF((AY$6-$G$3)&lt;1,0,IFERROR(LOOKUP(2,1/(Algodão!$E26:INDEX(Algodão!$E26:$Z26,MIN(AY$6-$G$3,22))&lt;&gt;""),Algodão!$E26:INDEX(Algodão!$E26:$Z26,MIN(AY$6-$G$3,22))),0)))))</f>
        <v>0</v>
      </c>
      <c r="AZ28" s="27" t="n">
        <f aca="false">IF(COUNT(Algodão!$E26:$Z26)=0,0,MAX(0,IF((AZ$6-$E$3)&lt;1,0,IFERROR(LOOKUP(2,1/(Algodão!$E26:INDEX(Algodão!$E26:$Z26,MIN(AZ$6-$E$3,22))&lt;&gt;""),Algodão!$E26:INDEX(Algodão!$E26:$Z26,MIN(AZ$6-$E$3,22))),0))-IF($G$2,0,IF((AZ$6-$G$3)&lt;1,0,IFERROR(LOOKUP(2,1/(Algodão!$E26:INDEX(Algodão!$E26:$Z26,MIN(AZ$6-$G$3,22))&lt;&gt;""),Algodão!$E26:INDEX(Algodão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IF(COUNT(Algodão!$E27:$Z27)&gt;0,N(Algodão!$D27),0)</f>
        <v>0</v>
      </c>
      <c r="E29" s="27" t="n">
        <f aca="false">IF(COUNT(Algodão!$E27:$Z27)=0,0,MAX(0,IF((E$6-$E$3)&lt;1,0,IFERROR(LOOKUP(2,1/(Algodão!$E27:INDEX(Algodão!$E27:$Z27,MIN(E$6-$E$3,22))&lt;&gt;""),Algodão!$E27:INDEX(Algodão!$E27:$Z27,MIN(E$6-$E$3,22))),0))-IF($G$2,0,IF((E$6-$G$3)&lt;1,0,IFERROR(LOOKUP(2,1/(Algodão!$E27:INDEX(Algodão!$E27:$Z27,MIN(E$6-$G$3,22))&lt;&gt;""),Algodão!$E27:INDEX(Algodão!$E27:$Z27,MIN(E$6-$G$3,22))),0)))))</f>
        <v>0</v>
      </c>
      <c r="F29" s="27" t="n">
        <f aca="false">IF(COUNT(Algodão!$E27:$Z27)=0,0,MAX(0,IF((F$6-$E$3)&lt;1,0,IFERROR(LOOKUP(2,1/(Algodão!$E27:INDEX(Algodão!$E27:$Z27,MIN(F$6-$E$3,22))&lt;&gt;""),Algodão!$E27:INDEX(Algodão!$E27:$Z27,MIN(F$6-$E$3,22))),0))-IF($G$2,0,IF((F$6-$G$3)&lt;1,0,IFERROR(LOOKUP(2,1/(Algodão!$E27:INDEX(Algodão!$E27:$Z27,MIN(F$6-$G$3,22))&lt;&gt;""),Algodão!$E27:INDEX(Algodão!$E27:$Z27,MIN(F$6-$G$3,22))),0)))))</f>
        <v>0</v>
      </c>
      <c r="G29" s="27" t="n">
        <f aca="false">IF(COUNT(Algodão!$E27:$Z27)=0,0,MAX(0,IF((G$6-$E$3)&lt;1,0,IFERROR(LOOKUP(2,1/(Algodão!$E27:INDEX(Algodão!$E27:$Z27,MIN(G$6-$E$3,22))&lt;&gt;""),Algodão!$E27:INDEX(Algodão!$E27:$Z27,MIN(G$6-$E$3,22))),0))-IF($G$2,0,IF((G$6-$G$3)&lt;1,0,IFERROR(LOOKUP(2,1/(Algodão!$E27:INDEX(Algodão!$E27:$Z27,MIN(G$6-$G$3,22))&lt;&gt;""),Algodão!$E27:INDEX(Algodão!$E27:$Z27,MIN(G$6-$G$3,22))),0)))))</f>
        <v>0</v>
      </c>
      <c r="H29" s="27" t="n">
        <f aca="false">IF(COUNT(Algodão!$E27:$Z27)=0,0,MAX(0,IF((H$6-$E$3)&lt;1,0,IFERROR(LOOKUP(2,1/(Algodão!$E27:INDEX(Algodão!$E27:$Z27,MIN(H$6-$E$3,22))&lt;&gt;""),Algodão!$E27:INDEX(Algodão!$E27:$Z27,MIN(H$6-$E$3,22))),0))-IF($G$2,0,IF((H$6-$G$3)&lt;1,0,IFERROR(LOOKUP(2,1/(Algodão!$E27:INDEX(Algodão!$E27:$Z27,MIN(H$6-$G$3,22))&lt;&gt;""),Algodão!$E27:INDEX(Algodão!$E27:$Z27,MIN(H$6-$G$3,22))),0)))))</f>
        <v>0</v>
      </c>
      <c r="I29" s="27" t="n">
        <f aca="false">IF(COUNT(Algodão!$E27:$Z27)=0,0,MAX(0,IF((I$6-$E$3)&lt;1,0,IFERROR(LOOKUP(2,1/(Algodão!$E27:INDEX(Algodão!$E27:$Z27,MIN(I$6-$E$3,22))&lt;&gt;""),Algodão!$E27:INDEX(Algodão!$E27:$Z27,MIN(I$6-$E$3,22))),0))-IF($G$2,0,IF((I$6-$G$3)&lt;1,0,IFERROR(LOOKUP(2,1/(Algodão!$E27:INDEX(Algodão!$E27:$Z27,MIN(I$6-$G$3,22))&lt;&gt;""),Algodão!$E27:INDEX(Algodão!$E27:$Z27,MIN(I$6-$G$3,22))),0)))))</f>
        <v>0</v>
      </c>
      <c r="J29" s="27" t="n">
        <f aca="false">IF(COUNT(Algodão!$E27:$Z27)=0,0,MAX(0,IF((J$6-$E$3)&lt;1,0,IFERROR(LOOKUP(2,1/(Algodão!$E27:INDEX(Algodão!$E27:$Z27,MIN(J$6-$E$3,22))&lt;&gt;""),Algodão!$E27:INDEX(Algodão!$E27:$Z27,MIN(J$6-$E$3,22))),0))-IF($G$2,0,IF((J$6-$G$3)&lt;1,0,IFERROR(LOOKUP(2,1/(Algodão!$E27:INDEX(Algodão!$E27:$Z27,MIN(J$6-$G$3,22))&lt;&gt;""),Algodão!$E27:INDEX(Algodão!$E27:$Z27,MIN(J$6-$G$3,22))),0)))))</f>
        <v>0</v>
      </c>
      <c r="K29" s="27" t="n">
        <f aca="false">IF(COUNT(Algodão!$E27:$Z27)=0,0,MAX(0,IF((K$6-$E$3)&lt;1,0,IFERROR(LOOKUP(2,1/(Algodão!$E27:INDEX(Algodão!$E27:$Z27,MIN(K$6-$E$3,22))&lt;&gt;""),Algodão!$E27:INDEX(Algodão!$E27:$Z27,MIN(K$6-$E$3,22))),0))-IF($G$2,0,IF((K$6-$G$3)&lt;1,0,IFERROR(LOOKUP(2,1/(Algodão!$E27:INDEX(Algodão!$E27:$Z27,MIN(K$6-$G$3,22))&lt;&gt;""),Algodão!$E27:INDEX(Algodão!$E27:$Z27,MIN(K$6-$G$3,22))),0)))))</f>
        <v>0</v>
      </c>
      <c r="L29" s="27" t="n">
        <f aca="false">IF(COUNT(Algodão!$E27:$Z27)=0,0,MAX(0,IF((L$6-$E$3)&lt;1,0,IFERROR(LOOKUP(2,1/(Algodão!$E27:INDEX(Algodão!$E27:$Z27,MIN(L$6-$E$3,22))&lt;&gt;""),Algodão!$E27:INDEX(Algodão!$E27:$Z27,MIN(L$6-$E$3,22))),0))-IF($G$2,0,IF((L$6-$G$3)&lt;1,0,IFERROR(LOOKUP(2,1/(Algodão!$E27:INDEX(Algodão!$E27:$Z27,MIN(L$6-$G$3,22))&lt;&gt;""),Algodão!$E27:INDEX(Algodão!$E27:$Z27,MIN(L$6-$G$3,22))),0)))))</f>
        <v>0</v>
      </c>
      <c r="M29" s="27" t="n">
        <f aca="false">IF(COUNT(Algodão!$E27:$Z27)=0,0,MAX(0,IF((M$6-$E$3)&lt;1,0,IFERROR(LOOKUP(2,1/(Algodão!$E27:INDEX(Algodão!$E27:$Z27,MIN(M$6-$E$3,22))&lt;&gt;""),Algodão!$E27:INDEX(Algodão!$E27:$Z27,MIN(M$6-$E$3,22))),0))-IF($G$2,0,IF((M$6-$G$3)&lt;1,0,IFERROR(LOOKUP(2,1/(Algodão!$E27:INDEX(Algodão!$E27:$Z27,MIN(M$6-$G$3,22))&lt;&gt;""),Algodão!$E27:INDEX(Algodão!$E27:$Z27,MIN(M$6-$G$3,22))),0)))))</f>
        <v>0</v>
      </c>
      <c r="N29" s="27" t="n">
        <f aca="false">IF(COUNT(Algodão!$E27:$Z27)=0,0,MAX(0,IF((N$6-$E$3)&lt;1,0,IFERROR(LOOKUP(2,1/(Algodão!$E27:INDEX(Algodão!$E27:$Z27,MIN(N$6-$E$3,22))&lt;&gt;""),Algodão!$E27:INDEX(Algodão!$E27:$Z27,MIN(N$6-$E$3,22))),0))-IF($G$2,0,IF((N$6-$G$3)&lt;1,0,IFERROR(LOOKUP(2,1/(Algodão!$E27:INDEX(Algodão!$E27:$Z27,MIN(N$6-$G$3,22))&lt;&gt;""),Algodão!$E27:INDEX(Algodão!$E27:$Z27,MIN(N$6-$G$3,22))),0)))))</f>
        <v>0</v>
      </c>
      <c r="O29" s="27" t="n">
        <f aca="false">IF(COUNT(Algodão!$E27:$Z27)=0,0,MAX(0,IF((O$6-$E$3)&lt;1,0,IFERROR(LOOKUP(2,1/(Algodão!$E27:INDEX(Algodão!$E27:$Z27,MIN(O$6-$E$3,22))&lt;&gt;""),Algodão!$E27:INDEX(Algodão!$E27:$Z27,MIN(O$6-$E$3,22))),0))-IF($G$2,0,IF((O$6-$G$3)&lt;1,0,IFERROR(LOOKUP(2,1/(Algodão!$E27:INDEX(Algodão!$E27:$Z27,MIN(O$6-$G$3,22))&lt;&gt;""),Algodão!$E27:INDEX(Algodão!$E27:$Z27,MIN(O$6-$G$3,22))),0)))))</f>
        <v>0</v>
      </c>
      <c r="P29" s="27" t="n">
        <f aca="false">IF(COUNT(Algodão!$E27:$Z27)=0,0,MAX(0,IF((P$6-$E$3)&lt;1,0,IFERROR(LOOKUP(2,1/(Algodão!$E27:INDEX(Algodão!$E27:$Z27,MIN(P$6-$E$3,22))&lt;&gt;""),Algodão!$E27:INDEX(Algodão!$E27:$Z27,MIN(P$6-$E$3,22))),0))-IF($G$2,0,IF((P$6-$G$3)&lt;1,0,IFERROR(LOOKUP(2,1/(Algodão!$E27:INDEX(Algodão!$E27:$Z27,MIN(P$6-$G$3,22))&lt;&gt;""),Algodão!$E27:INDEX(Algodão!$E27:$Z27,MIN(P$6-$G$3,22))),0)))))</f>
        <v>0</v>
      </c>
      <c r="Q29" s="27" t="n">
        <f aca="false">IF(COUNT(Algodão!$E27:$Z27)=0,0,MAX(0,IF((Q$6-$E$3)&lt;1,0,IFERROR(LOOKUP(2,1/(Algodão!$E27:INDEX(Algodão!$E27:$Z27,MIN(Q$6-$E$3,22))&lt;&gt;""),Algodão!$E27:INDEX(Algodão!$E27:$Z27,MIN(Q$6-$E$3,22))),0))-IF($G$2,0,IF((Q$6-$G$3)&lt;1,0,IFERROR(LOOKUP(2,1/(Algodão!$E27:INDEX(Algodão!$E27:$Z27,MIN(Q$6-$G$3,22))&lt;&gt;""),Algodão!$E27:INDEX(Algodão!$E27:$Z27,MIN(Q$6-$G$3,22))),0)))))</f>
        <v>0</v>
      </c>
      <c r="R29" s="27" t="n">
        <f aca="false">IF(COUNT(Algodão!$E27:$Z27)=0,0,MAX(0,IF((R$6-$E$3)&lt;1,0,IFERROR(LOOKUP(2,1/(Algodão!$E27:INDEX(Algodão!$E27:$Z27,MIN(R$6-$E$3,22))&lt;&gt;""),Algodão!$E27:INDEX(Algodão!$E27:$Z27,MIN(R$6-$E$3,22))),0))-IF($G$2,0,IF((R$6-$G$3)&lt;1,0,IFERROR(LOOKUP(2,1/(Algodão!$E27:INDEX(Algodão!$E27:$Z27,MIN(R$6-$G$3,22))&lt;&gt;""),Algodão!$E27:INDEX(Algodão!$E27:$Z27,MIN(R$6-$G$3,22))),0)))))</f>
        <v>0</v>
      </c>
      <c r="S29" s="27" t="n">
        <f aca="false">IF(COUNT(Algodão!$E27:$Z27)=0,0,MAX(0,IF((S$6-$E$3)&lt;1,0,IFERROR(LOOKUP(2,1/(Algodão!$E27:INDEX(Algodão!$E27:$Z27,MIN(S$6-$E$3,22))&lt;&gt;""),Algodão!$E27:INDEX(Algodão!$E27:$Z27,MIN(S$6-$E$3,22))),0))-IF($G$2,0,IF((S$6-$G$3)&lt;1,0,IFERROR(LOOKUP(2,1/(Algodão!$E27:INDEX(Algodão!$E27:$Z27,MIN(S$6-$G$3,22))&lt;&gt;""),Algodão!$E27:INDEX(Algodão!$E27:$Z27,MIN(S$6-$G$3,22))),0)))))</f>
        <v>0</v>
      </c>
      <c r="T29" s="27" t="n">
        <f aca="false">IF(COUNT(Algodão!$E27:$Z27)=0,0,MAX(0,IF((T$6-$E$3)&lt;1,0,IFERROR(LOOKUP(2,1/(Algodão!$E27:INDEX(Algodão!$E27:$Z27,MIN(T$6-$E$3,22))&lt;&gt;""),Algodão!$E27:INDEX(Algodão!$E27:$Z27,MIN(T$6-$E$3,22))),0))-IF($G$2,0,IF((T$6-$G$3)&lt;1,0,IFERROR(LOOKUP(2,1/(Algodão!$E27:INDEX(Algodão!$E27:$Z27,MIN(T$6-$G$3,22))&lt;&gt;""),Algodão!$E27:INDEX(Algodão!$E27:$Z27,MIN(T$6-$G$3,22))),0)))))</f>
        <v>0</v>
      </c>
      <c r="U29" s="27" t="n">
        <f aca="false">IF(COUNT(Algodão!$E27:$Z27)=0,0,MAX(0,IF((U$6-$E$3)&lt;1,0,IFERROR(LOOKUP(2,1/(Algodão!$E27:INDEX(Algodão!$E27:$Z27,MIN(U$6-$E$3,22))&lt;&gt;""),Algodão!$E27:INDEX(Algodão!$E27:$Z27,MIN(U$6-$E$3,22))),0))-IF($G$2,0,IF((U$6-$G$3)&lt;1,0,IFERROR(LOOKUP(2,1/(Algodão!$E27:INDEX(Algodão!$E27:$Z27,MIN(U$6-$G$3,22))&lt;&gt;""),Algodão!$E27:INDEX(Algodão!$E27:$Z27,MIN(U$6-$G$3,22))),0)))))</f>
        <v>0</v>
      </c>
      <c r="V29" s="27" t="n">
        <f aca="false">IF(COUNT(Algodão!$E27:$Z27)=0,0,MAX(0,IF((V$6-$E$3)&lt;1,0,IFERROR(LOOKUP(2,1/(Algodão!$E27:INDEX(Algodão!$E27:$Z27,MIN(V$6-$E$3,22))&lt;&gt;""),Algodão!$E27:INDEX(Algodão!$E27:$Z27,MIN(V$6-$E$3,22))),0))-IF($G$2,0,IF((V$6-$G$3)&lt;1,0,IFERROR(LOOKUP(2,1/(Algodão!$E27:INDEX(Algodão!$E27:$Z27,MIN(V$6-$G$3,22))&lt;&gt;""),Algodão!$E27:INDEX(Algodão!$E27:$Z27,MIN(V$6-$G$3,22))),0)))))</f>
        <v>0</v>
      </c>
      <c r="W29" s="27" t="n">
        <f aca="false">IF(COUNT(Algodão!$E27:$Z27)=0,0,MAX(0,IF((W$6-$E$3)&lt;1,0,IFERROR(LOOKUP(2,1/(Algodão!$E27:INDEX(Algodão!$E27:$Z27,MIN(W$6-$E$3,22))&lt;&gt;""),Algodão!$E27:INDEX(Algodão!$E27:$Z27,MIN(W$6-$E$3,22))),0))-IF($G$2,0,IF((W$6-$G$3)&lt;1,0,IFERROR(LOOKUP(2,1/(Algodão!$E27:INDEX(Algodão!$E27:$Z27,MIN(W$6-$G$3,22))&lt;&gt;""),Algodão!$E27:INDEX(Algodão!$E27:$Z27,MIN(W$6-$G$3,22))),0)))))</f>
        <v>0</v>
      </c>
      <c r="X29" s="27" t="n">
        <f aca="false">IF(COUNT(Algodão!$E27:$Z27)=0,0,MAX(0,IF((X$6-$E$3)&lt;1,0,IFERROR(LOOKUP(2,1/(Algodão!$E27:INDEX(Algodão!$E27:$Z27,MIN(X$6-$E$3,22))&lt;&gt;""),Algodão!$E27:INDEX(Algodão!$E27:$Z27,MIN(X$6-$E$3,22))),0))-IF($G$2,0,IF((X$6-$G$3)&lt;1,0,IFERROR(LOOKUP(2,1/(Algodão!$E27:INDEX(Algodão!$E27:$Z27,MIN(X$6-$G$3,22))&lt;&gt;""),Algodão!$E27:INDEX(Algodão!$E27:$Z27,MIN(X$6-$G$3,22))),0)))))</f>
        <v>0</v>
      </c>
      <c r="Y29" s="27" t="n">
        <f aca="false">IF(COUNT(Algodão!$E27:$Z27)=0,0,MAX(0,IF((Y$6-$E$3)&lt;1,0,IFERROR(LOOKUP(2,1/(Algodão!$E27:INDEX(Algodão!$E27:$Z27,MIN(Y$6-$E$3,22))&lt;&gt;""),Algodão!$E27:INDEX(Algodão!$E27:$Z27,MIN(Y$6-$E$3,22))),0))-IF($G$2,0,IF((Y$6-$G$3)&lt;1,0,IFERROR(LOOKUP(2,1/(Algodão!$E27:INDEX(Algodão!$E27:$Z27,MIN(Y$6-$G$3,22))&lt;&gt;""),Algodão!$E27:INDEX(Algodão!$E27:$Z27,MIN(Y$6-$G$3,22))),0)))))</f>
        <v>0</v>
      </c>
      <c r="Z29" s="27" t="n">
        <f aca="false">IF(COUNT(Algodão!$E27:$Z27)=0,0,MAX(0,IF((Z$6-$E$3)&lt;1,0,IFERROR(LOOKUP(2,1/(Algodão!$E27:INDEX(Algodão!$E27:$Z27,MIN(Z$6-$E$3,22))&lt;&gt;""),Algodão!$E27:INDEX(Algodão!$E27:$Z27,MIN(Z$6-$E$3,22))),0))-IF($G$2,0,IF((Z$6-$G$3)&lt;1,0,IFERROR(LOOKUP(2,1/(Algodão!$E27:INDEX(Algodão!$E27:$Z27,MIN(Z$6-$G$3,22))&lt;&gt;""),Algodão!$E27:INDEX(Algodão!$E27:$Z27,MIN(Z$6-$G$3,22))),0)))))</f>
        <v>0</v>
      </c>
      <c r="AA29" s="27" t="n">
        <f aca="false">IF(COUNT(Algodão!$E27:$Z27)=0,0,MAX(0,IF((AA$6-$E$3)&lt;1,0,IFERROR(LOOKUP(2,1/(Algodão!$E27:INDEX(Algodão!$E27:$Z27,MIN(AA$6-$E$3,22))&lt;&gt;""),Algodão!$E27:INDEX(Algodão!$E27:$Z27,MIN(AA$6-$E$3,22))),0))-IF($G$2,0,IF((AA$6-$G$3)&lt;1,0,IFERROR(LOOKUP(2,1/(Algodão!$E27:INDEX(Algodão!$E27:$Z27,MIN(AA$6-$G$3,22))&lt;&gt;""),Algodão!$E27:INDEX(Algodão!$E27:$Z27,MIN(AA$6-$G$3,22))),0)))))</f>
        <v>0</v>
      </c>
      <c r="AB29" s="27" t="n">
        <f aca="false">IF(COUNT(Algodão!$E27:$Z27)=0,0,MAX(0,IF((AB$6-$E$3)&lt;1,0,IFERROR(LOOKUP(2,1/(Algodão!$E27:INDEX(Algodão!$E27:$Z27,MIN(AB$6-$E$3,22))&lt;&gt;""),Algodão!$E27:INDEX(Algodão!$E27:$Z27,MIN(AB$6-$E$3,22))),0))-IF($G$2,0,IF((AB$6-$G$3)&lt;1,0,IFERROR(LOOKUP(2,1/(Algodão!$E27:INDEX(Algodão!$E27:$Z27,MIN(AB$6-$G$3,22))&lt;&gt;""),Algodão!$E27:INDEX(Algodão!$E27:$Z27,MIN(AB$6-$G$3,22))),0)))))</f>
        <v>0</v>
      </c>
      <c r="AC29" s="27" t="n">
        <f aca="false">IF(COUNT(Algodão!$E27:$Z27)=0,0,MAX(0,IF((AC$6-$E$3)&lt;1,0,IFERROR(LOOKUP(2,1/(Algodão!$E27:INDEX(Algodão!$E27:$Z27,MIN(AC$6-$E$3,22))&lt;&gt;""),Algodão!$E27:INDEX(Algodão!$E27:$Z27,MIN(AC$6-$E$3,22))),0))-IF($G$2,0,IF((AC$6-$G$3)&lt;1,0,IFERROR(LOOKUP(2,1/(Algodão!$E27:INDEX(Algodão!$E27:$Z27,MIN(AC$6-$G$3,22))&lt;&gt;""),Algodão!$E27:INDEX(Algodão!$E27:$Z27,MIN(AC$6-$G$3,22))),0)))))</f>
        <v>0</v>
      </c>
      <c r="AD29" s="27" t="n">
        <f aca="false">IF(COUNT(Algodão!$E27:$Z27)=0,0,MAX(0,IF((AD$6-$E$3)&lt;1,0,IFERROR(LOOKUP(2,1/(Algodão!$E27:INDEX(Algodão!$E27:$Z27,MIN(AD$6-$E$3,22))&lt;&gt;""),Algodão!$E27:INDEX(Algodão!$E27:$Z27,MIN(AD$6-$E$3,22))),0))-IF($G$2,0,IF((AD$6-$G$3)&lt;1,0,IFERROR(LOOKUP(2,1/(Algodão!$E27:INDEX(Algodão!$E27:$Z27,MIN(AD$6-$G$3,22))&lt;&gt;""),Algodão!$E27:INDEX(Algodão!$E27:$Z27,MIN(AD$6-$G$3,22))),0)))))</f>
        <v>0</v>
      </c>
      <c r="AE29" s="27" t="n">
        <f aca="false">IF(COUNT(Algodão!$E27:$Z27)=0,0,MAX(0,IF((AE$6-$E$3)&lt;1,0,IFERROR(LOOKUP(2,1/(Algodão!$E27:INDEX(Algodão!$E27:$Z27,MIN(AE$6-$E$3,22))&lt;&gt;""),Algodão!$E27:INDEX(Algodão!$E27:$Z27,MIN(AE$6-$E$3,22))),0))-IF($G$2,0,IF((AE$6-$G$3)&lt;1,0,IFERROR(LOOKUP(2,1/(Algodão!$E27:INDEX(Algodão!$E27:$Z27,MIN(AE$6-$G$3,22))&lt;&gt;""),Algodão!$E27:INDEX(Algodão!$E27:$Z27,MIN(AE$6-$G$3,22))),0)))))</f>
        <v>0</v>
      </c>
      <c r="AF29" s="27" t="n">
        <f aca="false">IF(COUNT(Algodão!$E27:$Z27)=0,0,MAX(0,IF((AF$6-$E$3)&lt;1,0,IFERROR(LOOKUP(2,1/(Algodão!$E27:INDEX(Algodão!$E27:$Z27,MIN(AF$6-$E$3,22))&lt;&gt;""),Algodão!$E27:INDEX(Algodão!$E27:$Z27,MIN(AF$6-$E$3,22))),0))-IF($G$2,0,IF((AF$6-$G$3)&lt;1,0,IFERROR(LOOKUP(2,1/(Algodão!$E27:INDEX(Algodão!$E27:$Z27,MIN(AF$6-$G$3,22))&lt;&gt;""),Algodão!$E27:INDEX(Algodão!$E27:$Z27,MIN(AF$6-$G$3,22))),0)))))</f>
        <v>0</v>
      </c>
      <c r="AG29" s="27" t="n">
        <f aca="false">IF(COUNT(Algodão!$E27:$Z27)=0,0,MAX(0,IF((AG$6-$E$3)&lt;1,0,IFERROR(LOOKUP(2,1/(Algodão!$E27:INDEX(Algodão!$E27:$Z27,MIN(AG$6-$E$3,22))&lt;&gt;""),Algodão!$E27:INDEX(Algodão!$E27:$Z27,MIN(AG$6-$E$3,22))),0))-IF($G$2,0,IF((AG$6-$G$3)&lt;1,0,IFERROR(LOOKUP(2,1/(Algodão!$E27:INDEX(Algodão!$E27:$Z27,MIN(AG$6-$G$3,22))&lt;&gt;""),Algodão!$E27:INDEX(Algodão!$E27:$Z27,MIN(AG$6-$G$3,22))),0)))))</f>
        <v>0</v>
      </c>
      <c r="AH29" s="27" t="n">
        <f aca="false">IF(COUNT(Algodão!$E27:$Z27)=0,0,MAX(0,IF((AH$6-$E$3)&lt;1,0,IFERROR(LOOKUP(2,1/(Algodão!$E27:INDEX(Algodão!$E27:$Z27,MIN(AH$6-$E$3,22))&lt;&gt;""),Algodão!$E27:INDEX(Algodão!$E27:$Z27,MIN(AH$6-$E$3,22))),0))-IF($G$2,0,IF((AH$6-$G$3)&lt;1,0,IFERROR(LOOKUP(2,1/(Algodão!$E27:INDEX(Algodão!$E27:$Z27,MIN(AH$6-$G$3,22))&lt;&gt;""),Algodão!$E27:INDEX(Algodão!$E27:$Z27,MIN(AH$6-$G$3,22))),0)))))</f>
        <v>0</v>
      </c>
      <c r="AI29" s="27" t="n">
        <f aca="false">IF(COUNT(Algodão!$E27:$Z27)=0,0,MAX(0,IF((AI$6-$E$3)&lt;1,0,IFERROR(LOOKUP(2,1/(Algodão!$E27:INDEX(Algodão!$E27:$Z27,MIN(AI$6-$E$3,22))&lt;&gt;""),Algodão!$E27:INDEX(Algodão!$E27:$Z27,MIN(AI$6-$E$3,22))),0))-IF($G$2,0,IF((AI$6-$G$3)&lt;1,0,IFERROR(LOOKUP(2,1/(Algodão!$E27:INDEX(Algodão!$E27:$Z27,MIN(AI$6-$G$3,22))&lt;&gt;""),Algodão!$E27:INDEX(Algodão!$E27:$Z27,MIN(AI$6-$G$3,22))),0)))))</f>
        <v>0</v>
      </c>
      <c r="AJ29" s="27" t="n">
        <f aca="false">IF(COUNT(Algodão!$E27:$Z27)=0,0,MAX(0,IF((AJ$6-$E$3)&lt;1,0,IFERROR(LOOKUP(2,1/(Algodão!$E27:INDEX(Algodão!$E27:$Z27,MIN(AJ$6-$E$3,22))&lt;&gt;""),Algodão!$E27:INDEX(Algodão!$E27:$Z27,MIN(AJ$6-$E$3,22))),0))-IF($G$2,0,IF((AJ$6-$G$3)&lt;1,0,IFERROR(LOOKUP(2,1/(Algodão!$E27:INDEX(Algodão!$E27:$Z27,MIN(AJ$6-$G$3,22))&lt;&gt;""),Algodão!$E27:INDEX(Algodão!$E27:$Z27,MIN(AJ$6-$G$3,22))),0)))))</f>
        <v>0</v>
      </c>
      <c r="AK29" s="27" t="n">
        <f aca="false">IF(COUNT(Algodão!$E27:$Z27)=0,0,MAX(0,IF((AK$6-$E$3)&lt;1,0,IFERROR(LOOKUP(2,1/(Algodão!$E27:INDEX(Algodão!$E27:$Z27,MIN(AK$6-$E$3,22))&lt;&gt;""),Algodão!$E27:INDEX(Algodão!$E27:$Z27,MIN(AK$6-$E$3,22))),0))-IF($G$2,0,IF((AK$6-$G$3)&lt;1,0,IFERROR(LOOKUP(2,1/(Algodão!$E27:INDEX(Algodão!$E27:$Z27,MIN(AK$6-$G$3,22))&lt;&gt;""),Algodão!$E27:INDEX(Algodão!$E27:$Z27,MIN(AK$6-$G$3,22))),0)))))</f>
        <v>0</v>
      </c>
      <c r="AL29" s="27" t="n">
        <f aca="false">IF(COUNT(Algodão!$E27:$Z27)=0,0,MAX(0,IF((AL$6-$E$3)&lt;1,0,IFERROR(LOOKUP(2,1/(Algodão!$E27:INDEX(Algodão!$E27:$Z27,MIN(AL$6-$E$3,22))&lt;&gt;""),Algodão!$E27:INDEX(Algodão!$E27:$Z27,MIN(AL$6-$E$3,22))),0))-IF($G$2,0,IF((AL$6-$G$3)&lt;1,0,IFERROR(LOOKUP(2,1/(Algodão!$E27:INDEX(Algodão!$E27:$Z27,MIN(AL$6-$G$3,22))&lt;&gt;""),Algodão!$E27:INDEX(Algodão!$E27:$Z27,MIN(AL$6-$G$3,22))),0)))))</f>
        <v>0</v>
      </c>
      <c r="AM29" s="27" t="n">
        <f aca="false">IF(COUNT(Algodão!$E27:$Z27)=0,0,MAX(0,IF((AM$6-$E$3)&lt;1,0,IFERROR(LOOKUP(2,1/(Algodão!$E27:INDEX(Algodão!$E27:$Z27,MIN(AM$6-$E$3,22))&lt;&gt;""),Algodão!$E27:INDEX(Algodão!$E27:$Z27,MIN(AM$6-$E$3,22))),0))-IF($G$2,0,IF((AM$6-$G$3)&lt;1,0,IFERROR(LOOKUP(2,1/(Algodão!$E27:INDEX(Algodão!$E27:$Z27,MIN(AM$6-$G$3,22))&lt;&gt;""),Algodão!$E27:INDEX(Algodão!$E27:$Z27,MIN(AM$6-$G$3,22))),0)))))</f>
        <v>0</v>
      </c>
      <c r="AN29" s="27" t="n">
        <f aca="false">IF(COUNT(Algodão!$E27:$Z27)=0,0,MAX(0,IF((AN$6-$E$3)&lt;1,0,IFERROR(LOOKUP(2,1/(Algodão!$E27:INDEX(Algodão!$E27:$Z27,MIN(AN$6-$E$3,22))&lt;&gt;""),Algodão!$E27:INDEX(Algodão!$E27:$Z27,MIN(AN$6-$E$3,22))),0))-IF($G$2,0,IF((AN$6-$G$3)&lt;1,0,IFERROR(LOOKUP(2,1/(Algodão!$E27:INDEX(Algodão!$E27:$Z27,MIN(AN$6-$G$3,22))&lt;&gt;""),Algodão!$E27:INDEX(Algodão!$E27:$Z27,MIN(AN$6-$G$3,22))),0)))))</f>
        <v>0</v>
      </c>
      <c r="AO29" s="27" t="n">
        <f aca="false">IF(COUNT(Algodão!$E27:$Z27)=0,0,MAX(0,IF((AO$6-$E$3)&lt;1,0,IFERROR(LOOKUP(2,1/(Algodão!$E27:INDEX(Algodão!$E27:$Z27,MIN(AO$6-$E$3,22))&lt;&gt;""),Algodão!$E27:INDEX(Algodão!$E27:$Z27,MIN(AO$6-$E$3,22))),0))-IF($G$2,0,IF((AO$6-$G$3)&lt;1,0,IFERROR(LOOKUP(2,1/(Algodão!$E27:INDEX(Algodão!$E27:$Z27,MIN(AO$6-$G$3,22))&lt;&gt;""),Algodão!$E27:INDEX(Algodão!$E27:$Z27,MIN(AO$6-$G$3,22))),0)))))</f>
        <v>0</v>
      </c>
      <c r="AP29" s="27" t="n">
        <f aca="false">IF(COUNT(Algodão!$E27:$Z27)=0,0,MAX(0,IF((AP$6-$E$3)&lt;1,0,IFERROR(LOOKUP(2,1/(Algodão!$E27:INDEX(Algodão!$E27:$Z27,MIN(AP$6-$E$3,22))&lt;&gt;""),Algodão!$E27:INDEX(Algodão!$E27:$Z27,MIN(AP$6-$E$3,22))),0))-IF($G$2,0,IF((AP$6-$G$3)&lt;1,0,IFERROR(LOOKUP(2,1/(Algodão!$E27:INDEX(Algodão!$E27:$Z27,MIN(AP$6-$G$3,22))&lt;&gt;""),Algodão!$E27:INDEX(Algodão!$E27:$Z27,MIN(AP$6-$G$3,22))),0)))))</f>
        <v>0</v>
      </c>
      <c r="AQ29" s="27" t="n">
        <f aca="false">IF(COUNT(Algodão!$E27:$Z27)=0,0,MAX(0,IF((AQ$6-$E$3)&lt;1,0,IFERROR(LOOKUP(2,1/(Algodão!$E27:INDEX(Algodão!$E27:$Z27,MIN(AQ$6-$E$3,22))&lt;&gt;""),Algodão!$E27:INDEX(Algodão!$E27:$Z27,MIN(AQ$6-$E$3,22))),0))-IF($G$2,0,IF((AQ$6-$G$3)&lt;1,0,IFERROR(LOOKUP(2,1/(Algodão!$E27:INDEX(Algodão!$E27:$Z27,MIN(AQ$6-$G$3,22))&lt;&gt;""),Algodão!$E27:INDEX(Algodão!$E27:$Z27,MIN(AQ$6-$G$3,22))),0)))))</f>
        <v>0</v>
      </c>
      <c r="AR29" s="27" t="n">
        <f aca="false">IF(COUNT(Algodão!$E27:$Z27)=0,0,MAX(0,IF((AR$6-$E$3)&lt;1,0,IFERROR(LOOKUP(2,1/(Algodão!$E27:INDEX(Algodão!$E27:$Z27,MIN(AR$6-$E$3,22))&lt;&gt;""),Algodão!$E27:INDEX(Algodão!$E27:$Z27,MIN(AR$6-$E$3,22))),0))-IF($G$2,0,IF((AR$6-$G$3)&lt;1,0,IFERROR(LOOKUP(2,1/(Algodão!$E27:INDEX(Algodão!$E27:$Z27,MIN(AR$6-$G$3,22))&lt;&gt;""),Algodão!$E27:INDEX(Algodão!$E27:$Z27,MIN(AR$6-$G$3,22))),0)))))</f>
        <v>0</v>
      </c>
      <c r="AS29" s="27" t="n">
        <f aca="false">IF(COUNT(Algodão!$E27:$Z27)=0,0,MAX(0,IF((AS$6-$E$3)&lt;1,0,IFERROR(LOOKUP(2,1/(Algodão!$E27:INDEX(Algodão!$E27:$Z27,MIN(AS$6-$E$3,22))&lt;&gt;""),Algodão!$E27:INDEX(Algodão!$E27:$Z27,MIN(AS$6-$E$3,22))),0))-IF($G$2,0,IF((AS$6-$G$3)&lt;1,0,IFERROR(LOOKUP(2,1/(Algodão!$E27:INDEX(Algodão!$E27:$Z27,MIN(AS$6-$G$3,22))&lt;&gt;""),Algodão!$E27:INDEX(Algodão!$E27:$Z27,MIN(AS$6-$G$3,22))),0)))))</f>
        <v>0</v>
      </c>
      <c r="AT29" s="27" t="n">
        <f aca="false">IF(COUNT(Algodão!$E27:$Z27)=0,0,MAX(0,IF((AT$6-$E$3)&lt;1,0,IFERROR(LOOKUP(2,1/(Algodão!$E27:INDEX(Algodão!$E27:$Z27,MIN(AT$6-$E$3,22))&lt;&gt;""),Algodão!$E27:INDEX(Algodão!$E27:$Z27,MIN(AT$6-$E$3,22))),0))-IF($G$2,0,IF((AT$6-$G$3)&lt;1,0,IFERROR(LOOKUP(2,1/(Algodão!$E27:INDEX(Algodão!$E27:$Z27,MIN(AT$6-$G$3,22))&lt;&gt;""),Algodão!$E27:INDEX(Algodão!$E27:$Z27,MIN(AT$6-$G$3,22))),0)))))</f>
        <v>0</v>
      </c>
      <c r="AU29" s="27" t="n">
        <f aca="false">IF(COUNT(Algodão!$E27:$Z27)=0,0,MAX(0,IF((AU$6-$E$3)&lt;1,0,IFERROR(LOOKUP(2,1/(Algodão!$E27:INDEX(Algodão!$E27:$Z27,MIN(AU$6-$E$3,22))&lt;&gt;""),Algodão!$E27:INDEX(Algodão!$E27:$Z27,MIN(AU$6-$E$3,22))),0))-IF($G$2,0,IF((AU$6-$G$3)&lt;1,0,IFERROR(LOOKUP(2,1/(Algodão!$E27:INDEX(Algodão!$E27:$Z27,MIN(AU$6-$G$3,22))&lt;&gt;""),Algodão!$E27:INDEX(Algodão!$E27:$Z27,MIN(AU$6-$G$3,22))),0)))))</f>
        <v>0</v>
      </c>
      <c r="AV29" s="27" t="n">
        <f aca="false">IF(COUNT(Algodão!$E27:$Z27)=0,0,MAX(0,IF((AV$6-$E$3)&lt;1,0,IFERROR(LOOKUP(2,1/(Algodão!$E27:INDEX(Algodão!$E27:$Z27,MIN(AV$6-$E$3,22))&lt;&gt;""),Algodão!$E27:INDEX(Algodão!$E27:$Z27,MIN(AV$6-$E$3,22))),0))-IF($G$2,0,IF((AV$6-$G$3)&lt;1,0,IFERROR(LOOKUP(2,1/(Algodão!$E27:INDEX(Algodão!$E27:$Z27,MIN(AV$6-$G$3,22))&lt;&gt;""),Algodão!$E27:INDEX(Algodão!$E27:$Z27,MIN(AV$6-$G$3,22))),0)))))</f>
        <v>0</v>
      </c>
      <c r="AW29" s="27" t="n">
        <f aca="false">IF(COUNT(Algodão!$E27:$Z27)=0,0,MAX(0,IF((AW$6-$E$3)&lt;1,0,IFERROR(LOOKUP(2,1/(Algodão!$E27:INDEX(Algodão!$E27:$Z27,MIN(AW$6-$E$3,22))&lt;&gt;""),Algodão!$E27:INDEX(Algodão!$E27:$Z27,MIN(AW$6-$E$3,22))),0))-IF($G$2,0,IF((AW$6-$G$3)&lt;1,0,IFERROR(LOOKUP(2,1/(Algodão!$E27:INDEX(Algodão!$E27:$Z27,MIN(AW$6-$G$3,22))&lt;&gt;""),Algodão!$E27:INDEX(Algodão!$E27:$Z27,MIN(AW$6-$G$3,22))),0)))))</f>
        <v>0</v>
      </c>
      <c r="AX29" s="27" t="n">
        <f aca="false">IF(COUNT(Algodão!$E27:$Z27)=0,0,MAX(0,IF((AX$6-$E$3)&lt;1,0,IFERROR(LOOKUP(2,1/(Algodão!$E27:INDEX(Algodão!$E27:$Z27,MIN(AX$6-$E$3,22))&lt;&gt;""),Algodão!$E27:INDEX(Algodão!$E27:$Z27,MIN(AX$6-$E$3,22))),0))-IF($G$2,0,IF((AX$6-$G$3)&lt;1,0,IFERROR(LOOKUP(2,1/(Algodão!$E27:INDEX(Algodão!$E27:$Z27,MIN(AX$6-$G$3,22))&lt;&gt;""),Algodão!$E27:INDEX(Algodão!$E27:$Z27,MIN(AX$6-$G$3,22))),0)))))</f>
        <v>0</v>
      </c>
      <c r="AY29" s="27" t="n">
        <f aca="false">IF(COUNT(Algodão!$E27:$Z27)=0,0,MAX(0,IF((AY$6-$E$3)&lt;1,0,IFERROR(LOOKUP(2,1/(Algodão!$E27:INDEX(Algodão!$E27:$Z27,MIN(AY$6-$E$3,22))&lt;&gt;""),Algodão!$E27:INDEX(Algodão!$E27:$Z27,MIN(AY$6-$E$3,22))),0))-IF($G$2,0,IF((AY$6-$G$3)&lt;1,0,IFERROR(LOOKUP(2,1/(Algodão!$E27:INDEX(Algodão!$E27:$Z27,MIN(AY$6-$G$3,22))&lt;&gt;""),Algodão!$E27:INDEX(Algodão!$E27:$Z27,MIN(AY$6-$G$3,22))),0)))))</f>
        <v>0</v>
      </c>
      <c r="AZ29" s="27" t="n">
        <f aca="false">IF(COUNT(Algodão!$E27:$Z27)=0,0,MAX(0,IF((AZ$6-$E$3)&lt;1,0,IFERROR(LOOKUP(2,1/(Algodão!$E27:INDEX(Algodão!$E27:$Z27,MIN(AZ$6-$E$3,22))&lt;&gt;""),Algodão!$E27:INDEX(Algodão!$E27:$Z27,MIN(AZ$6-$E$3,22))),0))-IF($G$2,0,IF((AZ$6-$G$3)&lt;1,0,IFERROR(LOOKUP(2,1/(Algodão!$E27:INDEX(Algodão!$E27:$Z27,MIN(AZ$6-$G$3,22))&lt;&gt;""),Algodão!$E27:INDEX(Algodão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IF(COUNT(Algodão!$E28:$Z28)&gt;0,N(Algodão!$D28),0)</f>
        <v>0</v>
      </c>
      <c r="E30" s="27" t="n">
        <f aca="false">IF(COUNT(Algodão!$E28:$Z28)=0,0,MAX(0,IF((E$6-$E$3)&lt;1,0,IFERROR(LOOKUP(2,1/(Algodão!$E28:INDEX(Algodão!$E28:$Z28,MIN(E$6-$E$3,22))&lt;&gt;""),Algodão!$E28:INDEX(Algodão!$E28:$Z28,MIN(E$6-$E$3,22))),0))-IF($G$2,0,IF((E$6-$G$3)&lt;1,0,IFERROR(LOOKUP(2,1/(Algodão!$E28:INDEX(Algodão!$E28:$Z28,MIN(E$6-$G$3,22))&lt;&gt;""),Algodão!$E28:INDEX(Algodão!$E28:$Z28,MIN(E$6-$G$3,22))),0)))))</f>
        <v>0</v>
      </c>
      <c r="F30" s="27" t="n">
        <f aca="false">IF(COUNT(Algodão!$E28:$Z28)=0,0,MAX(0,IF((F$6-$E$3)&lt;1,0,IFERROR(LOOKUP(2,1/(Algodão!$E28:INDEX(Algodão!$E28:$Z28,MIN(F$6-$E$3,22))&lt;&gt;""),Algodão!$E28:INDEX(Algodão!$E28:$Z28,MIN(F$6-$E$3,22))),0))-IF($G$2,0,IF((F$6-$G$3)&lt;1,0,IFERROR(LOOKUP(2,1/(Algodão!$E28:INDEX(Algodão!$E28:$Z28,MIN(F$6-$G$3,22))&lt;&gt;""),Algodão!$E28:INDEX(Algodão!$E28:$Z28,MIN(F$6-$G$3,22))),0)))))</f>
        <v>0</v>
      </c>
      <c r="G30" s="27" t="n">
        <f aca="false">IF(COUNT(Algodão!$E28:$Z28)=0,0,MAX(0,IF((G$6-$E$3)&lt;1,0,IFERROR(LOOKUP(2,1/(Algodão!$E28:INDEX(Algodão!$E28:$Z28,MIN(G$6-$E$3,22))&lt;&gt;""),Algodão!$E28:INDEX(Algodão!$E28:$Z28,MIN(G$6-$E$3,22))),0))-IF($G$2,0,IF((G$6-$G$3)&lt;1,0,IFERROR(LOOKUP(2,1/(Algodão!$E28:INDEX(Algodão!$E28:$Z28,MIN(G$6-$G$3,22))&lt;&gt;""),Algodão!$E28:INDEX(Algodão!$E28:$Z28,MIN(G$6-$G$3,22))),0)))))</f>
        <v>0</v>
      </c>
      <c r="H30" s="27" t="n">
        <f aca="false">IF(COUNT(Algodão!$E28:$Z28)=0,0,MAX(0,IF((H$6-$E$3)&lt;1,0,IFERROR(LOOKUP(2,1/(Algodão!$E28:INDEX(Algodão!$E28:$Z28,MIN(H$6-$E$3,22))&lt;&gt;""),Algodão!$E28:INDEX(Algodão!$E28:$Z28,MIN(H$6-$E$3,22))),0))-IF($G$2,0,IF((H$6-$G$3)&lt;1,0,IFERROR(LOOKUP(2,1/(Algodão!$E28:INDEX(Algodão!$E28:$Z28,MIN(H$6-$G$3,22))&lt;&gt;""),Algodão!$E28:INDEX(Algodão!$E28:$Z28,MIN(H$6-$G$3,22))),0)))))</f>
        <v>0</v>
      </c>
      <c r="I30" s="27" t="n">
        <f aca="false">IF(COUNT(Algodão!$E28:$Z28)=0,0,MAX(0,IF((I$6-$E$3)&lt;1,0,IFERROR(LOOKUP(2,1/(Algodão!$E28:INDEX(Algodão!$E28:$Z28,MIN(I$6-$E$3,22))&lt;&gt;""),Algodão!$E28:INDEX(Algodão!$E28:$Z28,MIN(I$6-$E$3,22))),0))-IF($G$2,0,IF((I$6-$G$3)&lt;1,0,IFERROR(LOOKUP(2,1/(Algodão!$E28:INDEX(Algodão!$E28:$Z28,MIN(I$6-$G$3,22))&lt;&gt;""),Algodão!$E28:INDEX(Algodão!$E28:$Z28,MIN(I$6-$G$3,22))),0)))))</f>
        <v>0</v>
      </c>
      <c r="J30" s="27" t="n">
        <f aca="false">IF(COUNT(Algodão!$E28:$Z28)=0,0,MAX(0,IF((J$6-$E$3)&lt;1,0,IFERROR(LOOKUP(2,1/(Algodão!$E28:INDEX(Algodão!$E28:$Z28,MIN(J$6-$E$3,22))&lt;&gt;""),Algodão!$E28:INDEX(Algodão!$E28:$Z28,MIN(J$6-$E$3,22))),0))-IF($G$2,0,IF((J$6-$G$3)&lt;1,0,IFERROR(LOOKUP(2,1/(Algodão!$E28:INDEX(Algodão!$E28:$Z28,MIN(J$6-$G$3,22))&lt;&gt;""),Algodão!$E28:INDEX(Algodão!$E28:$Z28,MIN(J$6-$G$3,22))),0)))))</f>
        <v>0</v>
      </c>
      <c r="K30" s="27" t="n">
        <f aca="false">IF(COUNT(Algodão!$E28:$Z28)=0,0,MAX(0,IF((K$6-$E$3)&lt;1,0,IFERROR(LOOKUP(2,1/(Algodão!$E28:INDEX(Algodão!$E28:$Z28,MIN(K$6-$E$3,22))&lt;&gt;""),Algodão!$E28:INDEX(Algodão!$E28:$Z28,MIN(K$6-$E$3,22))),0))-IF($G$2,0,IF((K$6-$G$3)&lt;1,0,IFERROR(LOOKUP(2,1/(Algodão!$E28:INDEX(Algodão!$E28:$Z28,MIN(K$6-$G$3,22))&lt;&gt;""),Algodão!$E28:INDEX(Algodão!$E28:$Z28,MIN(K$6-$G$3,22))),0)))))</f>
        <v>0</v>
      </c>
      <c r="L30" s="27" t="n">
        <f aca="false">IF(COUNT(Algodão!$E28:$Z28)=0,0,MAX(0,IF((L$6-$E$3)&lt;1,0,IFERROR(LOOKUP(2,1/(Algodão!$E28:INDEX(Algodão!$E28:$Z28,MIN(L$6-$E$3,22))&lt;&gt;""),Algodão!$E28:INDEX(Algodão!$E28:$Z28,MIN(L$6-$E$3,22))),0))-IF($G$2,0,IF((L$6-$G$3)&lt;1,0,IFERROR(LOOKUP(2,1/(Algodão!$E28:INDEX(Algodão!$E28:$Z28,MIN(L$6-$G$3,22))&lt;&gt;""),Algodão!$E28:INDEX(Algodão!$E28:$Z28,MIN(L$6-$G$3,22))),0)))))</f>
        <v>0</v>
      </c>
      <c r="M30" s="27" t="n">
        <f aca="false">IF(COUNT(Algodão!$E28:$Z28)=0,0,MAX(0,IF((M$6-$E$3)&lt;1,0,IFERROR(LOOKUP(2,1/(Algodão!$E28:INDEX(Algodão!$E28:$Z28,MIN(M$6-$E$3,22))&lt;&gt;""),Algodão!$E28:INDEX(Algodão!$E28:$Z28,MIN(M$6-$E$3,22))),0))-IF($G$2,0,IF((M$6-$G$3)&lt;1,0,IFERROR(LOOKUP(2,1/(Algodão!$E28:INDEX(Algodão!$E28:$Z28,MIN(M$6-$G$3,22))&lt;&gt;""),Algodão!$E28:INDEX(Algodão!$E28:$Z28,MIN(M$6-$G$3,22))),0)))))</f>
        <v>0</v>
      </c>
      <c r="N30" s="27" t="n">
        <f aca="false">IF(COUNT(Algodão!$E28:$Z28)=0,0,MAX(0,IF((N$6-$E$3)&lt;1,0,IFERROR(LOOKUP(2,1/(Algodão!$E28:INDEX(Algodão!$E28:$Z28,MIN(N$6-$E$3,22))&lt;&gt;""),Algodão!$E28:INDEX(Algodão!$E28:$Z28,MIN(N$6-$E$3,22))),0))-IF($G$2,0,IF((N$6-$G$3)&lt;1,0,IFERROR(LOOKUP(2,1/(Algodão!$E28:INDEX(Algodão!$E28:$Z28,MIN(N$6-$G$3,22))&lt;&gt;""),Algodão!$E28:INDEX(Algodão!$E28:$Z28,MIN(N$6-$G$3,22))),0)))))</f>
        <v>0</v>
      </c>
      <c r="O30" s="27" t="n">
        <f aca="false">IF(COUNT(Algodão!$E28:$Z28)=0,0,MAX(0,IF((O$6-$E$3)&lt;1,0,IFERROR(LOOKUP(2,1/(Algodão!$E28:INDEX(Algodão!$E28:$Z28,MIN(O$6-$E$3,22))&lt;&gt;""),Algodão!$E28:INDEX(Algodão!$E28:$Z28,MIN(O$6-$E$3,22))),0))-IF($G$2,0,IF((O$6-$G$3)&lt;1,0,IFERROR(LOOKUP(2,1/(Algodão!$E28:INDEX(Algodão!$E28:$Z28,MIN(O$6-$G$3,22))&lt;&gt;""),Algodão!$E28:INDEX(Algodão!$E28:$Z28,MIN(O$6-$G$3,22))),0)))))</f>
        <v>0</v>
      </c>
      <c r="P30" s="27" t="n">
        <f aca="false">IF(COUNT(Algodão!$E28:$Z28)=0,0,MAX(0,IF((P$6-$E$3)&lt;1,0,IFERROR(LOOKUP(2,1/(Algodão!$E28:INDEX(Algodão!$E28:$Z28,MIN(P$6-$E$3,22))&lt;&gt;""),Algodão!$E28:INDEX(Algodão!$E28:$Z28,MIN(P$6-$E$3,22))),0))-IF($G$2,0,IF((P$6-$G$3)&lt;1,0,IFERROR(LOOKUP(2,1/(Algodão!$E28:INDEX(Algodão!$E28:$Z28,MIN(P$6-$G$3,22))&lt;&gt;""),Algodão!$E28:INDEX(Algodão!$E28:$Z28,MIN(P$6-$G$3,22))),0)))))</f>
        <v>0</v>
      </c>
      <c r="Q30" s="27" t="n">
        <f aca="false">IF(COUNT(Algodão!$E28:$Z28)=0,0,MAX(0,IF((Q$6-$E$3)&lt;1,0,IFERROR(LOOKUP(2,1/(Algodão!$E28:INDEX(Algodão!$E28:$Z28,MIN(Q$6-$E$3,22))&lt;&gt;""),Algodão!$E28:INDEX(Algodão!$E28:$Z28,MIN(Q$6-$E$3,22))),0))-IF($G$2,0,IF((Q$6-$G$3)&lt;1,0,IFERROR(LOOKUP(2,1/(Algodão!$E28:INDEX(Algodão!$E28:$Z28,MIN(Q$6-$G$3,22))&lt;&gt;""),Algodão!$E28:INDEX(Algodão!$E28:$Z28,MIN(Q$6-$G$3,22))),0)))))</f>
        <v>0</v>
      </c>
      <c r="R30" s="27" t="n">
        <f aca="false">IF(COUNT(Algodão!$E28:$Z28)=0,0,MAX(0,IF((R$6-$E$3)&lt;1,0,IFERROR(LOOKUP(2,1/(Algodão!$E28:INDEX(Algodão!$E28:$Z28,MIN(R$6-$E$3,22))&lt;&gt;""),Algodão!$E28:INDEX(Algodão!$E28:$Z28,MIN(R$6-$E$3,22))),0))-IF($G$2,0,IF((R$6-$G$3)&lt;1,0,IFERROR(LOOKUP(2,1/(Algodão!$E28:INDEX(Algodão!$E28:$Z28,MIN(R$6-$G$3,22))&lt;&gt;""),Algodão!$E28:INDEX(Algodão!$E28:$Z28,MIN(R$6-$G$3,22))),0)))))</f>
        <v>0</v>
      </c>
      <c r="S30" s="27" t="n">
        <f aca="false">IF(COUNT(Algodão!$E28:$Z28)=0,0,MAX(0,IF((S$6-$E$3)&lt;1,0,IFERROR(LOOKUP(2,1/(Algodão!$E28:INDEX(Algodão!$E28:$Z28,MIN(S$6-$E$3,22))&lt;&gt;""),Algodão!$E28:INDEX(Algodão!$E28:$Z28,MIN(S$6-$E$3,22))),0))-IF($G$2,0,IF((S$6-$G$3)&lt;1,0,IFERROR(LOOKUP(2,1/(Algodão!$E28:INDEX(Algodão!$E28:$Z28,MIN(S$6-$G$3,22))&lt;&gt;""),Algodão!$E28:INDEX(Algodão!$E28:$Z28,MIN(S$6-$G$3,22))),0)))))</f>
        <v>0</v>
      </c>
      <c r="T30" s="27" t="n">
        <f aca="false">IF(COUNT(Algodão!$E28:$Z28)=0,0,MAX(0,IF((T$6-$E$3)&lt;1,0,IFERROR(LOOKUP(2,1/(Algodão!$E28:INDEX(Algodão!$E28:$Z28,MIN(T$6-$E$3,22))&lt;&gt;""),Algodão!$E28:INDEX(Algodão!$E28:$Z28,MIN(T$6-$E$3,22))),0))-IF($G$2,0,IF((T$6-$G$3)&lt;1,0,IFERROR(LOOKUP(2,1/(Algodão!$E28:INDEX(Algodão!$E28:$Z28,MIN(T$6-$G$3,22))&lt;&gt;""),Algodão!$E28:INDEX(Algodão!$E28:$Z28,MIN(T$6-$G$3,22))),0)))))</f>
        <v>0</v>
      </c>
      <c r="U30" s="27" t="n">
        <f aca="false">IF(COUNT(Algodão!$E28:$Z28)=0,0,MAX(0,IF((U$6-$E$3)&lt;1,0,IFERROR(LOOKUP(2,1/(Algodão!$E28:INDEX(Algodão!$E28:$Z28,MIN(U$6-$E$3,22))&lt;&gt;""),Algodão!$E28:INDEX(Algodão!$E28:$Z28,MIN(U$6-$E$3,22))),0))-IF($G$2,0,IF((U$6-$G$3)&lt;1,0,IFERROR(LOOKUP(2,1/(Algodão!$E28:INDEX(Algodão!$E28:$Z28,MIN(U$6-$G$3,22))&lt;&gt;""),Algodão!$E28:INDEX(Algodão!$E28:$Z28,MIN(U$6-$G$3,22))),0)))))</f>
        <v>0</v>
      </c>
      <c r="V30" s="27" t="n">
        <f aca="false">IF(COUNT(Algodão!$E28:$Z28)=0,0,MAX(0,IF((V$6-$E$3)&lt;1,0,IFERROR(LOOKUP(2,1/(Algodão!$E28:INDEX(Algodão!$E28:$Z28,MIN(V$6-$E$3,22))&lt;&gt;""),Algodão!$E28:INDEX(Algodão!$E28:$Z28,MIN(V$6-$E$3,22))),0))-IF($G$2,0,IF((V$6-$G$3)&lt;1,0,IFERROR(LOOKUP(2,1/(Algodão!$E28:INDEX(Algodão!$E28:$Z28,MIN(V$6-$G$3,22))&lt;&gt;""),Algodão!$E28:INDEX(Algodão!$E28:$Z28,MIN(V$6-$G$3,22))),0)))))</f>
        <v>0</v>
      </c>
      <c r="W30" s="27" t="n">
        <f aca="false">IF(COUNT(Algodão!$E28:$Z28)=0,0,MAX(0,IF((W$6-$E$3)&lt;1,0,IFERROR(LOOKUP(2,1/(Algodão!$E28:INDEX(Algodão!$E28:$Z28,MIN(W$6-$E$3,22))&lt;&gt;""),Algodão!$E28:INDEX(Algodão!$E28:$Z28,MIN(W$6-$E$3,22))),0))-IF($G$2,0,IF((W$6-$G$3)&lt;1,0,IFERROR(LOOKUP(2,1/(Algodão!$E28:INDEX(Algodão!$E28:$Z28,MIN(W$6-$G$3,22))&lt;&gt;""),Algodão!$E28:INDEX(Algodão!$E28:$Z28,MIN(W$6-$G$3,22))),0)))))</f>
        <v>0</v>
      </c>
      <c r="X30" s="27" t="n">
        <f aca="false">IF(COUNT(Algodão!$E28:$Z28)=0,0,MAX(0,IF((X$6-$E$3)&lt;1,0,IFERROR(LOOKUP(2,1/(Algodão!$E28:INDEX(Algodão!$E28:$Z28,MIN(X$6-$E$3,22))&lt;&gt;""),Algodão!$E28:INDEX(Algodão!$E28:$Z28,MIN(X$6-$E$3,22))),0))-IF($G$2,0,IF((X$6-$G$3)&lt;1,0,IFERROR(LOOKUP(2,1/(Algodão!$E28:INDEX(Algodão!$E28:$Z28,MIN(X$6-$G$3,22))&lt;&gt;""),Algodão!$E28:INDEX(Algodão!$E28:$Z28,MIN(X$6-$G$3,22))),0)))))</f>
        <v>0</v>
      </c>
      <c r="Y30" s="27" t="n">
        <f aca="false">IF(COUNT(Algodão!$E28:$Z28)=0,0,MAX(0,IF((Y$6-$E$3)&lt;1,0,IFERROR(LOOKUP(2,1/(Algodão!$E28:INDEX(Algodão!$E28:$Z28,MIN(Y$6-$E$3,22))&lt;&gt;""),Algodão!$E28:INDEX(Algodão!$E28:$Z28,MIN(Y$6-$E$3,22))),0))-IF($G$2,0,IF((Y$6-$G$3)&lt;1,0,IFERROR(LOOKUP(2,1/(Algodão!$E28:INDEX(Algodão!$E28:$Z28,MIN(Y$6-$G$3,22))&lt;&gt;""),Algodão!$E28:INDEX(Algodão!$E28:$Z28,MIN(Y$6-$G$3,22))),0)))))</f>
        <v>0</v>
      </c>
      <c r="Z30" s="27" t="n">
        <f aca="false">IF(COUNT(Algodão!$E28:$Z28)=0,0,MAX(0,IF((Z$6-$E$3)&lt;1,0,IFERROR(LOOKUP(2,1/(Algodão!$E28:INDEX(Algodão!$E28:$Z28,MIN(Z$6-$E$3,22))&lt;&gt;""),Algodão!$E28:INDEX(Algodão!$E28:$Z28,MIN(Z$6-$E$3,22))),0))-IF($G$2,0,IF((Z$6-$G$3)&lt;1,0,IFERROR(LOOKUP(2,1/(Algodão!$E28:INDEX(Algodão!$E28:$Z28,MIN(Z$6-$G$3,22))&lt;&gt;""),Algodão!$E28:INDEX(Algodão!$E28:$Z28,MIN(Z$6-$G$3,22))),0)))))</f>
        <v>0</v>
      </c>
      <c r="AA30" s="27" t="n">
        <f aca="false">IF(COUNT(Algodão!$E28:$Z28)=0,0,MAX(0,IF((AA$6-$E$3)&lt;1,0,IFERROR(LOOKUP(2,1/(Algodão!$E28:INDEX(Algodão!$E28:$Z28,MIN(AA$6-$E$3,22))&lt;&gt;""),Algodão!$E28:INDEX(Algodão!$E28:$Z28,MIN(AA$6-$E$3,22))),0))-IF($G$2,0,IF((AA$6-$G$3)&lt;1,0,IFERROR(LOOKUP(2,1/(Algodão!$E28:INDEX(Algodão!$E28:$Z28,MIN(AA$6-$G$3,22))&lt;&gt;""),Algodão!$E28:INDEX(Algodão!$E28:$Z28,MIN(AA$6-$G$3,22))),0)))))</f>
        <v>0</v>
      </c>
      <c r="AB30" s="27" t="n">
        <f aca="false">IF(COUNT(Algodão!$E28:$Z28)=0,0,MAX(0,IF((AB$6-$E$3)&lt;1,0,IFERROR(LOOKUP(2,1/(Algodão!$E28:INDEX(Algodão!$E28:$Z28,MIN(AB$6-$E$3,22))&lt;&gt;""),Algodão!$E28:INDEX(Algodão!$E28:$Z28,MIN(AB$6-$E$3,22))),0))-IF($G$2,0,IF((AB$6-$G$3)&lt;1,0,IFERROR(LOOKUP(2,1/(Algodão!$E28:INDEX(Algodão!$E28:$Z28,MIN(AB$6-$G$3,22))&lt;&gt;""),Algodão!$E28:INDEX(Algodão!$E28:$Z28,MIN(AB$6-$G$3,22))),0)))))</f>
        <v>0</v>
      </c>
      <c r="AC30" s="27" t="n">
        <f aca="false">IF(COUNT(Algodão!$E28:$Z28)=0,0,MAX(0,IF((AC$6-$E$3)&lt;1,0,IFERROR(LOOKUP(2,1/(Algodão!$E28:INDEX(Algodão!$E28:$Z28,MIN(AC$6-$E$3,22))&lt;&gt;""),Algodão!$E28:INDEX(Algodão!$E28:$Z28,MIN(AC$6-$E$3,22))),0))-IF($G$2,0,IF((AC$6-$G$3)&lt;1,0,IFERROR(LOOKUP(2,1/(Algodão!$E28:INDEX(Algodão!$E28:$Z28,MIN(AC$6-$G$3,22))&lt;&gt;""),Algodão!$E28:INDEX(Algodão!$E28:$Z28,MIN(AC$6-$G$3,22))),0)))))</f>
        <v>0</v>
      </c>
      <c r="AD30" s="27" t="n">
        <f aca="false">IF(COUNT(Algodão!$E28:$Z28)=0,0,MAX(0,IF((AD$6-$E$3)&lt;1,0,IFERROR(LOOKUP(2,1/(Algodão!$E28:INDEX(Algodão!$E28:$Z28,MIN(AD$6-$E$3,22))&lt;&gt;""),Algodão!$E28:INDEX(Algodão!$E28:$Z28,MIN(AD$6-$E$3,22))),0))-IF($G$2,0,IF((AD$6-$G$3)&lt;1,0,IFERROR(LOOKUP(2,1/(Algodão!$E28:INDEX(Algodão!$E28:$Z28,MIN(AD$6-$G$3,22))&lt;&gt;""),Algodão!$E28:INDEX(Algodão!$E28:$Z28,MIN(AD$6-$G$3,22))),0)))))</f>
        <v>0</v>
      </c>
      <c r="AE30" s="27" t="n">
        <f aca="false">IF(COUNT(Algodão!$E28:$Z28)=0,0,MAX(0,IF((AE$6-$E$3)&lt;1,0,IFERROR(LOOKUP(2,1/(Algodão!$E28:INDEX(Algodão!$E28:$Z28,MIN(AE$6-$E$3,22))&lt;&gt;""),Algodão!$E28:INDEX(Algodão!$E28:$Z28,MIN(AE$6-$E$3,22))),0))-IF($G$2,0,IF((AE$6-$G$3)&lt;1,0,IFERROR(LOOKUP(2,1/(Algodão!$E28:INDEX(Algodão!$E28:$Z28,MIN(AE$6-$G$3,22))&lt;&gt;""),Algodão!$E28:INDEX(Algodão!$E28:$Z28,MIN(AE$6-$G$3,22))),0)))))</f>
        <v>0</v>
      </c>
      <c r="AF30" s="27" t="n">
        <f aca="false">IF(COUNT(Algodão!$E28:$Z28)=0,0,MAX(0,IF((AF$6-$E$3)&lt;1,0,IFERROR(LOOKUP(2,1/(Algodão!$E28:INDEX(Algodão!$E28:$Z28,MIN(AF$6-$E$3,22))&lt;&gt;""),Algodão!$E28:INDEX(Algodão!$E28:$Z28,MIN(AF$6-$E$3,22))),0))-IF($G$2,0,IF((AF$6-$G$3)&lt;1,0,IFERROR(LOOKUP(2,1/(Algodão!$E28:INDEX(Algodão!$E28:$Z28,MIN(AF$6-$G$3,22))&lt;&gt;""),Algodão!$E28:INDEX(Algodão!$E28:$Z28,MIN(AF$6-$G$3,22))),0)))))</f>
        <v>0</v>
      </c>
      <c r="AG30" s="27" t="n">
        <f aca="false">IF(COUNT(Algodão!$E28:$Z28)=0,0,MAX(0,IF((AG$6-$E$3)&lt;1,0,IFERROR(LOOKUP(2,1/(Algodão!$E28:INDEX(Algodão!$E28:$Z28,MIN(AG$6-$E$3,22))&lt;&gt;""),Algodão!$E28:INDEX(Algodão!$E28:$Z28,MIN(AG$6-$E$3,22))),0))-IF($G$2,0,IF((AG$6-$G$3)&lt;1,0,IFERROR(LOOKUP(2,1/(Algodão!$E28:INDEX(Algodão!$E28:$Z28,MIN(AG$6-$G$3,22))&lt;&gt;""),Algodão!$E28:INDEX(Algodão!$E28:$Z28,MIN(AG$6-$G$3,22))),0)))))</f>
        <v>0</v>
      </c>
      <c r="AH30" s="27" t="n">
        <f aca="false">IF(COUNT(Algodão!$E28:$Z28)=0,0,MAX(0,IF((AH$6-$E$3)&lt;1,0,IFERROR(LOOKUP(2,1/(Algodão!$E28:INDEX(Algodão!$E28:$Z28,MIN(AH$6-$E$3,22))&lt;&gt;""),Algodão!$E28:INDEX(Algodão!$E28:$Z28,MIN(AH$6-$E$3,22))),0))-IF($G$2,0,IF((AH$6-$G$3)&lt;1,0,IFERROR(LOOKUP(2,1/(Algodão!$E28:INDEX(Algodão!$E28:$Z28,MIN(AH$6-$G$3,22))&lt;&gt;""),Algodão!$E28:INDEX(Algodão!$E28:$Z28,MIN(AH$6-$G$3,22))),0)))))</f>
        <v>0</v>
      </c>
      <c r="AI30" s="27" t="n">
        <f aca="false">IF(COUNT(Algodão!$E28:$Z28)=0,0,MAX(0,IF((AI$6-$E$3)&lt;1,0,IFERROR(LOOKUP(2,1/(Algodão!$E28:INDEX(Algodão!$E28:$Z28,MIN(AI$6-$E$3,22))&lt;&gt;""),Algodão!$E28:INDEX(Algodão!$E28:$Z28,MIN(AI$6-$E$3,22))),0))-IF($G$2,0,IF((AI$6-$G$3)&lt;1,0,IFERROR(LOOKUP(2,1/(Algodão!$E28:INDEX(Algodão!$E28:$Z28,MIN(AI$6-$G$3,22))&lt;&gt;""),Algodão!$E28:INDEX(Algodão!$E28:$Z28,MIN(AI$6-$G$3,22))),0)))))</f>
        <v>0</v>
      </c>
      <c r="AJ30" s="27" t="n">
        <f aca="false">IF(COUNT(Algodão!$E28:$Z28)=0,0,MAX(0,IF((AJ$6-$E$3)&lt;1,0,IFERROR(LOOKUP(2,1/(Algodão!$E28:INDEX(Algodão!$E28:$Z28,MIN(AJ$6-$E$3,22))&lt;&gt;""),Algodão!$E28:INDEX(Algodão!$E28:$Z28,MIN(AJ$6-$E$3,22))),0))-IF($G$2,0,IF((AJ$6-$G$3)&lt;1,0,IFERROR(LOOKUP(2,1/(Algodão!$E28:INDEX(Algodão!$E28:$Z28,MIN(AJ$6-$G$3,22))&lt;&gt;""),Algodão!$E28:INDEX(Algodão!$E28:$Z28,MIN(AJ$6-$G$3,22))),0)))))</f>
        <v>0</v>
      </c>
      <c r="AK30" s="27" t="n">
        <f aca="false">IF(COUNT(Algodão!$E28:$Z28)=0,0,MAX(0,IF((AK$6-$E$3)&lt;1,0,IFERROR(LOOKUP(2,1/(Algodão!$E28:INDEX(Algodão!$E28:$Z28,MIN(AK$6-$E$3,22))&lt;&gt;""),Algodão!$E28:INDEX(Algodão!$E28:$Z28,MIN(AK$6-$E$3,22))),0))-IF($G$2,0,IF((AK$6-$G$3)&lt;1,0,IFERROR(LOOKUP(2,1/(Algodão!$E28:INDEX(Algodão!$E28:$Z28,MIN(AK$6-$G$3,22))&lt;&gt;""),Algodão!$E28:INDEX(Algodão!$E28:$Z28,MIN(AK$6-$G$3,22))),0)))))</f>
        <v>0</v>
      </c>
      <c r="AL30" s="27" t="n">
        <f aca="false">IF(COUNT(Algodão!$E28:$Z28)=0,0,MAX(0,IF((AL$6-$E$3)&lt;1,0,IFERROR(LOOKUP(2,1/(Algodão!$E28:INDEX(Algodão!$E28:$Z28,MIN(AL$6-$E$3,22))&lt;&gt;""),Algodão!$E28:INDEX(Algodão!$E28:$Z28,MIN(AL$6-$E$3,22))),0))-IF($G$2,0,IF((AL$6-$G$3)&lt;1,0,IFERROR(LOOKUP(2,1/(Algodão!$E28:INDEX(Algodão!$E28:$Z28,MIN(AL$6-$G$3,22))&lt;&gt;""),Algodão!$E28:INDEX(Algodão!$E28:$Z28,MIN(AL$6-$G$3,22))),0)))))</f>
        <v>0</v>
      </c>
      <c r="AM30" s="27" t="n">
        <f aca="false">IF(COUNT(Algodão!$E28:$Z28)=0,0,MAX(0,IF((AM$6-$E$3)&lt;1,0,IFERROR(LOOKUP(2,1/(Algodão!$E28:INDEX(Algodão!$E28:$Z28,MIN(AM$6-$E$3,22))&lt;&gt;""),Algodão!$E28:INDEX(Algodão!$E28:$Z28,MIN(AM$6-$E$3,22))),0))-IF($G$2,0,IF((AM$6-$G$3)&lt;1,0,IFERROR(LOOKUP(2,1/(Algodão!$E28:INDEX(Algodão!$E28:$Z28,MIN(AM$6-$G$3,22))&lt;&gt;""),Algodão!$E28:INDEX(Algodão!$E28:$Z28,MIN(AM$6-$G$3,22))),0)))))</f>
        <v>0</v>
      </c>
      <c r="AN30" s="27" t="n">
        <f aca="false">IF(COUNT(Algodão!$E28:$Z28)=0,0,MAX(0,IF((AN$6-$E$3)&lt;1,0,IFERROR(LOOKUP(2,1/(Algodão!$E28:INDEX(Algodão!$E28:$Z28,MIN(AN$6-$E$3,22))&lt;&gt;""),Algodão!$E28:INDEX(Algodão!$E28:$Z28,MIN(AN$6-$E$3,22))),0))-IF($G$2,0,IF((AN$6-$G$3)&lt;1,0,IFERROR(LOOKUP(2,1/(Algodão!$E28:INDEX(Algodão!$E28:$Z28,MIN(AN$6-$G$3,22))&lt;&gt;""),Algodão!$E28:INDEX(Algodão!$E28:$Z28,MIN(AN$6-$G$3,22))),0)))))</f>
        <v>0</v>
      </c>
      <c r="AO30" s="27" t="n">
        <f aca="false">IF(COUNT(Algodão!$E28:$Z28)=0,0,MAX(0,IF((AO$6-$E$3)&lt;1,0,IFERROR(LOOKUP(2,1/(Algodão!$E28:INDEX(Algodão!$E28:$Z28,MIN(AO$6-$E$3,22))&lt;&gt;""),Algodão!$E28:INDEX(Algodão!$E28:$Z28,MIN(AO$6-$E$3,22))),0))-IF($G$2,0,IF((AO$6-$G$3)&lt;1,0,IFERROR(LOOKUP(2,1/(Algodão!$E28:INDEX(Algodão!$E28:$Z28,MIN(AO$6-$G$3,22))&lt;&gt;""),Algodão!$E28:INDEX(Algodão!$E28:$Z28,MIN(AO$6-$G$3,22))),0)))))</f>
        <v>0</v>
      </c>
      <c r="AP30" s="27" t="n">
        <f aca="false">IF(COUNT(Algodão!$E28:$Z28)=0,0,MAX(0,IF((AP$6-$E$3)&lt;1,0,IFERROR(LOOKUP(2,1/(Algodão!$E28:INDEX(Algodão!$E28:$Z28,MIN(AP$6-$E$3,22))&lt;&gt;""),Algodão!$E28:INDEX(Algodão!$E28:$Z28,MIN(AP$6-$E$3,22))),0))-IF($G$2,0,IF((AP$6-$G$3)&lt;1,0,IFERROR(LOOKUP(2,1/(Algodão!$E28:INDEX(Algodão!$E28:$Z28,MIN(AP$6-$G$3,22))&lt;&gt;""),Algodão!$E28:INDEX(Algodão!$E28:$Z28,MIN(AP$6-$G$3,22))),0)))))</f>
        <v>0</v>
      </c>
      <c r="AQ30" s="27" t="n">
        <f aca="false">IF(COUNT(Algodão!$E28:$Z28)=0,0,MAX(0,IF((AQ$6-$E$3)&lt;1,0,IFERROR(LOOKUP(2,1/(Algodão!$E28:INDEX(Algodão!$E28:$Z28,MIN(AQ$6-$E$3,22))&lt;&gt;""),Algodão!$E28:INDEX(Algodão!$E28:$Z28,MIN(AQ$6-$E$3,22))),0))-IF($G$2,0,IF((AQ$6-$G$3)&lt;1,0,IFERROR(LOOKUP(2,1/(Algodão!$E28:INDEX(Algodão!$E28:$Z28,MIN(AQ$6-$G$3,22))&lt;&gt;""),Algodão!$E28:INDEX(Algodão!$E28:$Z28,MIN(AQ$6-$G$3,22))),0)))))</f>
        <v>0</v>
      </c>
      <c r="AR30" s="27" t="n">
        <f aca="false">IF(COUNT(Algodão!$E28:$Z28)=0,0,MAX(0,IF((AR$6-$E$3)&lt;1,0,IFERROR(LOOKUP(2,1/(Algodão!$E28:INDEX(Algodão!$E28:$Z28,MIN(AR$6-$E$3,22))&lt;&gt;""),Algodão!$E28:INDEX(Algodão!$E28:$Z28,MIN(AR$6-$E$3,22))),0))-IF($G$2,0,IF((AR$6-$G$3)&lt;1,0,IFERROR(LOOKUP(2,1/(Algodão!$E28:INDEX(Algodão!$E28:$Z28,MIN(AR$6-$G$3,22))&lt;&gt;""),Algodão!$E28:INDEX(Algodão!$E28:$Z28,MIN(AR$6-$G$3,22))),0)))))</f>
        <v>0</v>
      </c>
      <c r="AS30" s="27" t="n">
        <f aca="false">IF(COUNT(Algodão!$E28:$Z28)=0,0,MAX(0,IF((AS$6-$E$3)&lt;1,0,IFERROR(LOOKUP(2,1/(Algodão!$E28:INDEX(Algodão!$E28:$Z28,MIN(AS$6-$E$3,22))&lt;&gt;""),Algodão!$E28:INDEX(Algodão!$E28:$Z28,MIN(AS$6-$E$3,22))),0))-IF($G$2,0,IF((AS$6-$G$3)&lt;1,0,IFERROR(LOOKUP(2,1/(Algodão!$E28:INDEX(Algodão!$E28:$Z28,MIN(AS$6-$G$3,22))&lt;&gt;""),Algodão!$E28:INDEX(Algodão!$E28:$Z28,MIN(AS$6-$G$3,22))),0)))))</f>
        <v>0</v>
      </c>
      <c r="AT30" s="27" t="n">
        <f aca="false">IF(COUNT(Algodão!$E28:$Z28)=0,0,MAX(0,IF((AT$6-$E$3)&lt;1,0,IFERROR(LOOKUP(2,1/(Algodão!$E28:INDEX(Algodão!$E28:$Z28,MIN(AT$6-$E$3,22))&lt;&gt;""),Algodão!$E28:INDEX(Algodão!$E28:$Z28,MIN(AT$6-$E$3,22))),0))-IF($G$2,0,IF((AT$6-$G$3)&lt;1,0,IFERROR(LOOKUP(2,1/(Algodão!$E28:INDEX(Algodão!$E28:$Z28,MIN(AT$6-$G$3,22))&lt;&gt;""),Algodão!$E28:INDEX(Algodão!$E28:$Z28,MIN(AT$6-$G$3,22))),0)))))</f>
        <v>0</v>
      </c>
      <c r="AU30" s="27" t="n">
        <f aca="false">IF(COUNT(Algodão!$E28:$Z28)=0,0,MAX(0,IF((AU$6-$E$3)&lt;1,0,IFERROR(LOOKUP(2,1/(Algodão!$E28:INDEX(Algodão!$E28:$Z28,MIN(AU$6-$E$3,22))&lt;&gt;""),Algodão!$E28:INDEX(Algodão!$E28:$Z28,MIN(AU$6-$E$3,22))),0))-IF($G$2,0,IF((AU$6-$G$3)&lt;1,0,IFERROR(LOOKUP(2,1/(Algodão!$E28:INDEX(Algodão!$E28:$Z28,MIN(AU$6-$G$3,22))&lt;&gt;""),Algodão!$E28:INDEX(Algodão!$E28:$Z28,MIN(AU$6-$G$3,22))),0)))))</f>
        <v>0</v>
      </c>
      <c r="AV30" s="27" t="n">
        <f aca="false">IF(COUNT(Algodão!$E28:$Z28)=0,0,MAX(0,IF((AV$6-$E$3)&lt;1,0,IFERROR(LOOKUP(2,1/(Algodão!$E28:INDEX(Algodão!$E28:$Z28,MIN(AV$6-$E$3,22))&lt;&gt;""),Algodão!$E28:INDEX(Algodão!$E28:$Z28,MIN(AV$6-$E$3,22))),0))-IF($G$2,0,IF((AV$6-$G$3)&lt;1,0,IFERROR(LOOKUP(2,1/(Algodão!$E28:INDEX(Algodão!$E28:$Z28,MIN(AV$6-$G$3,22))&lt;&gt;""),Algodão!$E28:INDEX(Algodão!$E28:$Z28,MIN(AV$6-$G$3,22))),0)))))</f>
        <v>0</v>
      </c>
      <c r="AW30" s="27" t="n">
        <f aca="false">IF(COUNT(Algodão!$E28:$Z28)=0,0,MAX(0,IF((AW$6-$E$3)&lt;1,0,IFERROR(LOOKUP(2,1/(Algodão!$E28:INDEX(Algodão!$E28:$Z28,MIN(AW$6-$E$3,22))&lt;&gt;""),Algodão!$E28:INDEX(Algodão!$E28:$Z28,MIN(AW$6-$E$3,22))),0))-IF($G$2,0,IF((AW$6-$G$3)&lt;1,0,IFERROR(LOOKUP(2,1/(Algodão!$E28:INDEX(Algodão!$E28:$Z28,MIN(AW$6-$G$3,22))&lt;&gt;""),Algodão!$E28:INDEX(Algodão!$E28:$Z28,MIN(AW$6-$G$3,22))),0)))))</f>
        <v>0</v>
      </c>
      <c r="AX30" s="27" t="n">
        <f aca="false">IF(COUNT(Algodão!$E28:$Z28)=0,0,MAX(0,IF((AX$6-$E$3)&lt;1,0,IFERROR(LOOKUP(2,1/(Algodão!$E28:INDEX(Algodão!$E28:$Z28,MIN(AX$6-$E$3,22))&lt;&gt;""),Algodão!$E28:INDEX(Algodão!$E28:$Z28,MIN(AX$6-$E$3,22))),0))-IF($G$2,0,IF((AX$6-$G$3)&lt;1,0,IFERROR(LOOKUP(2,1/(Algodão!$E28:INDEX(Algodão!$E28:$Z28,MIN(AX$6-$G$3,22))&lt;&gt;""),Algodão!$E28:INDEX(Algodão!$E28:$Z28,MIN(AX$6-$G$3,22))),0)))))</f>
        <v>0</v>
      </c>
      <c r="AY30" s="27" t="n">
        <f aca="false">IF(COUNT(Algodão!$E28:$Z28)=0,0,MAX(0,IF((AY$6-$E$3)&lt;1,0,IFERROR(LOOKUP(2,1/(Algodão!$E28:INDEX(Algodão!$E28:$Z28,MIN(AY$6-$E$3,22))&lt;&gt;""),Algodão!$E28:INDEX(Algodão!$E28:$Z28,MIN(AY$6-$E$3,22))),0))-IF($G$2,0,IF((AY$6-$G$3)&lt;1,0,IFERROR(LOOKUP(2,1/(Algodão!$E28:INDEX(Algodão!$E28:$Z28,MIN(AY$6-$G$3,22))&lt;&gt;""),Algodão!$E28:INDEX(Algodão!$E28:$Z28,MIN(AY$6-$G$3,22))),0)))))</f>
        <v>0</v>
      </c>
      <c r="AZ30" s="27" t="n">
        <f aca="false">IF(COUNT(Algodão!$E28:$Z28)=0,0,MAX(0,IF((AZ$6-$E$3)&lt;1,0,IFERROR(LOOKUP(2,1/(Algodão!$E28:INDEX(Algodão!$E28:$Z28,MIN(AZ$6-$E$3,22))&lt;&gt;""),Algodão!$E28:INDEX(Algodão!$E28:$Z28,MIN(AZ$6-$E$3,22))),0))-IF($G$2,0,IF((AZ$6-$G$3)&lt;1,0,IFERROR(LOOKUP(2,1/(Algodão!$E28:INDEX(Algodão!$E28:$Z28,MIN(AZ$6-$G$3,22))&lt;&gt;""),Algodão!$E28:INDEX(Algodão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IF(COUNT(Algodão!$E29:$Z29)&gt;0,N(Algodão!$D29),0)</f>
        <v>0</v>
      </c>
      <c r="E31" s="27" t="n">
        <f aca="false">IF(COUNT(Algodão!$E29:$Z29)=0,0,MAX(0,IF((E$6-$E$3)&lt;1,0,IFERROR(LOOKUP(2,1/(Algodão!$E29:INDEX(Algodão!$E29:$Z29,MIN(E$6-$E$3,22))&lt;&gt;""),Algodão!$E29:INDEX(Algodão!$E29:$Z29,MIN(E$6-$E$3,22))),0))-IF($G$2,0,IF((E$6-$G$3)&lt;1,0,IFERROR(LOOKUP(2,1/(Algodão!$E29:INDEX(Algodão!$E29:$Z29,MIN(E$6-$G$3,22))&lt;&gt;""),Algodão!$E29:INDEX(Algodão!$E29:$Z29,MIN(E$6-$G$3,22))),0)))))</f>
        <v>0</v>
      </c>
      <c r="F31" s="27" t="n">
        <f aca="false">IF(COUNT(Algodão!$E29:$Z29)=0,0,MAX(0,IF((F$6-$E$3)&lt;1,0,IFERROR(LOOKUP(2,1/(Algodão!$E29:INDEX(Algodão!$E29:$Z29,MIN(F$6-$E$3,22))&lt;&gt;""),Algodão!$E29:INDEX(Algodão!$E29:$Z29,MIN(F$6-$E$3,22))),0))-IF($G$2,0,IF((F$6-$G$3)&lt;1,0,IFERROR(LOOKUP(2,1/(Algodão!$E29:INDEX(Algodão!$E29:$Z29,MIN(F$6-$G$3,22))&lt;&gt;""),Algodão!$E29:INDEX(Algodão!$E29:$Z29,MIN(F$6-$G$3,22))),0)))))</f>
        <v>0</v>
      </c>
      <c r="G31" s="27" t="n">
        <f aca="false">IF(COUNT(Algodão!$E29:$Z29)=0,0,MAX(0,IF((G$6-$E$3)&lt;1,0,IFERROR(LOOKUP(2,1/(Algodão!$E29:INDEX(Algodão!$E29:$Z29,MIN(G$6-$E$3,22))&lt;&gt;""),Algodão!$E29:INDEX(Algodão!$E29:$Z29,MIN(G$6-$E$3,22))),0))-IF($G$2,0,IF((G$6-$G$3)&lt;1,0,IFERROR(LOOKUP(2,1/(Algodão!$E29:INDEX(Algodão!$E29:$Z29,MIN(G$6-$G$3,22))&lt;&gt;""),Algodão!$E29:INDEX(Algodão!$E29:$Z29,MIN(G$6-$G$3,22))),0)))))</f>
        <v>0</v>
      </c>
      <c r="H31" s="27" t="n">
        <f aca="false">IF(COUNT(Algodão!$E29:$Z29)=0,0,MAX(0,IF((H$6-$E$3)&lt;1,0,IFERROR(LOOKUP(2,1/(Algodão!$E29:INDEX(Algodão!$E29:$Z29,MIN(H$6-$E$3,22))&lt;&gt;""),Algodão!$E29:INDEX(Algodão!$E29:$Z29,MIN(H$6-$E$3,22))),0))-IF($G$2,0,IF((H$6-$G$3)&lt;1,0,IFERROR(LOOKUP(2,1/(Algodão!$E29:INDEX(Algodão!$E29:$Z29,MIN(H$6-$G$3,22))&lt;&gt;""),Algodão!$E29:INDEX(Algodão!$E29:$Z29,MIN(H$6-$G$3,22))),0)))))</f>
        <v>0</v>
      </c>
      <c r="I31" s="27" t="n">
        <f aca="false">IF(COUNT(Algodão!$E29:$Z29)=0,0,MAX(0,IF((I$6-$E$3)&lt;1,0,IFERROR(LOOKUP(2,1/(Algodão!$E29:INDEX(Algodão!$E29:$Z29,MIN(I$6-$E$3,22))&lt;&gt;""),Algodão!$E29:INDEX(Algodão!$E29:$Z29,MIN(I$6-$E$3,22))),0))-IF($G$2,0,IF((I$6-$G$3)&lt;1,0,IFERROR(LOOKUP(2,1/(Algodão!$E29:INDEX(Algodão!$E29:$Z29,MIN(I$6-$G$3,22))&lt;&gt;""),Algodão!$E29:INDEX(Algodão!$E29:$Z29,MIN(I$6-$G$3,22))),0)))))</f>
        <v>0</v>
      </c>
      <c r="J31" s="27" t="n">
        <f aca="false">IF(COUNT(Algodão!$E29:$Z29)=0,0,MAX(0,IF((J$6-$E$3)&lt;1,0,IFERROR(LOOKUP(2,1/(Algodão!$E29:INDEX(Algodão!$E29:$Z29,MIN(J$6-$E$3,22))&lt;&gt;""),Algodão!$E29:INDEX(Algodão!$E29:$Z29,MIN(J$6-$E$3,22))),0))-IF($G$2,0,IF((J$6-$G$3)&lt;1,0,IFERROR(LOOKUP(2,1/(Algodão!$E29:INDEX(Algodão!$E29:$Z29,MIN(J$6-$G$3,22))&lt;&gt;""),Algodão!$E29:INDEX(Algodão!$E29:$Z29,MIN(J$6-$G$3,22))),0)))))</f>
        <v>0</v>
      </c>
      <c r="K31" s="27" t="n">
        <f aca="false">IF(COUNT(Algodão!$E29:$Z29)=0,0,MAX(0,IF((K$6-$E$3)&lt;1,0,IFERROR(LOOKUP(2,1/(Algodão!$E29:INDEX(Algodão!$E29:$Z29,MIN(K$6-$E$3,22))&lt;&gt;""),Algodão!$E29:INDEX(Algodão!$E29:$Z29,MIN(K$6-$E$3,22))),0))-IF($G$2,0,IF((K$6-$G$3)&lt;1,0,IFERROR(LOOKUP(2,1/(Algodão!$E29:INDEX(Algodão!$E29:$Z29,MIN(K$6-$G$3,22))&lt;&gt;""),Algodão!$E29:INDEX(Algodão!$E29:$Z29,MIN(K$6-$G$3,22))),0)))))</f>
        <v>0</v>
      </c>
      <c r="L31" s="27" t="n">
        <f aca="false">IF(COUNT(Algodão!$E29:$Z29)=0,0,MAX(0,IF((L$6-$E$3)&lt;1,0,IFERROR(LOOKUP(2,1/(Algodão!$E29:INDEX(Algodão!$E29:$Z29,MIN(L$6-$E$3,22))&lt;&gt;""),Algodão!$E29:INDEX(Algodão!$E29:$Z29,MIN(L$6-$E$3,22))),0))-IF($G$2,0,IF((L$6-$G$3)&lt;1,0,IFERROR(LOOKUP(2,1/(Algodão!$E29:INDEX(Algodão!$E29:$Z29,MIN(L$6-$G$3,22))&lt;&gt;""),Algodão!$E29:INDEX(Algodão!$E29:$Z29,MIN(L$6-$G$3,22))),0)))))</f>
        <v>0</v>
      </c>
      <c r="M31" s="27" t="n">
        <f aca="false">IF(COUNT(Algodão!$E29:$Z29)=0,0,MAX(0,IF((M$6-$E$3)&lt;1,0,IFERROR(LOOKUP(2,1/(Algodão!$E29:INDEX(Algodão!$E29:$Z29,MIN(M$6-$E$3,22))&lt;&gt;""),Algodão!$E29:INDEX(Algodão!$E29:$Z29,MIN(M$6-$E$3,22))),0))-IF($G$2,0,IF((M$6-$G$3)&lt;1,0,IFERROR(LOOKUP(2,1/(Algodão!$E29:INDEX(Algodão!$E29:$Z29,MIN(M$6-$G$3,22))&lt;&gt;""),Algodão!$E29:INDEX(Algodão!$E29:$Z29,MIN(M$6-$G$3,22))),0)))))</f>
        <v>0</v>
      </c>
      <c r="N31" s="27" t="n">
        <f aca="false">IF(COUNT(Algodão!$E29:$Z29)=0,0,MAX(0,IF((N$6-$E$3)&lt;1,0,IFERROR(LOOKUP(2,1/(Algodão!$E29:INDEX(Algodão!$E29:$Z29,MIN(N$6-$E$3,22))&lt;&gt;""),Algodão!$E29:INDEX(Algodão!$E29:$Z29,MIN(N$6-$E$3,22))),0))-IF($G$2,0,IF((N$6-$G$3)&lt;1,0,IFERROR(LOOKUP(2,1/(Algodão!$E29:INDEX(Algodão!$E29:$Z29,MIN(N$6-$G$3,22))&lt;&gt;""),Algodão!$E29:INDEX(Algodão!$E29:$Z29,MIN(N$6-$G$3,22))),0)))))</f>
        <v>0</v>
      </c>
      <c r="O31" s="27" t="n">
        <f aca="false">IF(COUNT(Algodão!$E29:$Z29)=0,0,MAX(0,IF((O$6-$E$3)&lt;1,0,IFERROR(LOOKUP(2,1/(Algodão!$E29:INDEX(Algodão!$E29:$Z29,MIN(O$6-$E$3,22))&lt;&gt;""),Algodão!$E29:INDEX(Algodão!$E29:$Z29,MIN(O$6-$E$3,22))),0))-IF($G$2,0,IF((O$6-$G$3)&lt;1,0,IFERROR(LOOKUP(2,1/(Algodão!$E29:INDEX(Algodão!$E29:$Z29,MIN(O$6-$G$3,22))&lt;&gt;""),Algodão!$E29:INDEX(Algodão!$E29:$Z29,MIN(O$6-$G$3,22))),0)))))</f>
        <v>0</v>
      </c>
      <c r="P31" s="27" t="n">
        <f aca="false">IF(COUNT(Algodão!$E29:$Z29)=0,0,MAX(0,IF((P$6-$E$3)&lt;1,0,IFERROR(LOOKUP(2,1/(Algodão!$E29:INDEX(Algodão!$E29:$Z29,MIN(P$6-$E$3,22))&lt;&gt;""),Algodão!$E29:INDEX(Algodão!$E29:$Z29,MIN(P$6-$E$3,22))),0))-IF($G$2,0,IF((P$6-$G$3)&lt;1,0,IFERROR(LOOKUP(2,1/(Algodão!$E29:INDEX(Algodão!$E29:$Z29,MIN(P$6-$G$3,22))&lt;&gt;""),Algodão!$E29:INDEX(Algodão!$E29:$Z29,MIN(P$6-$G$3,22))),0)))))</f>
        <v>0</v>
      </c>
      <c r="Q31" s="27" t="n">
        <f aca="false">IF(COUNT(Algodão!$E29:$Z29)=0,0,MAX(0,IF((Q$6-$E$3)&lt;1,0,IFERROR(LOOKUP(2,1/(Algodão!$E29:INDEX(Algodão!$E29:$Z29,MIN(Q$6-$E$3,22))&lt;&gt;""),Algodão!$E29:INDEX(Algodão!$E29:$Z29,MIN(Q$6-$E$3,22))),0))-IF($G$2,0,IF((Q$6-$G$3)&lt;1,0,IFERROR(LOOKUP(2,1/(Algodão!$E29:INDEX(Algodão!$E29:$Z29,MIN(Q$6-$G$3,22))&lt;&gt;""),Algodão!$E29:INDEX(Algodão!$E29:$Z29,MIN(Q$6-$G$3,22))),0)))))</f>
        <v>0</v>
      </c>
      <c r="R31" s="27" t="n">
        <f aca="false">IF(COUNT(Algodão!$E29:$Z29)=0,0,MAX(0,IF((R$6-$E$3)&lt;1,0,IFERROR(LOOKUP(2,1/(Algodão!$E29:INDEX(Algodão!$E29:$Z29,MIN(R$6-$E$3,22))&lt;&gt;""),Algodão!$E29:INDEX(Algodão!$E29:$Z29,MIN(R$6-$E$3,22))),0))-IF($G$2,0,IF((R$6-$G$3)&lt;1,0,IFERROR(LOOKUP(2,1/(Algodão!$E29:INDEX(Algodão!$E29:$Z29,MIN(R$6-$G$3,22))&lt;&gt;""),Algodão!$E29:INDEX(Algodão!$E29:$Z29,MIN(R$6-$G$3,22))),0)))))</f>
        <v>0</v>
      </c>
      <c r="S31" s="27" t="n">
        <f aca="false">IF(COUNT(Algodão!$E29:$Z29)=0,0,MAX(0,IF((S$6-$E$3)&lt;1,0,IFERROR(LOOKUP(2,1/(Algodão!$E29:INDEX(Algodão!$E29:$Z29,MIN(S$6-$E$3,22))&lt;&gt;""),Algodão!$E29:INDEX(Algodão!$E29:$Z29,MIN(S$6-$E$3,22))),0))-IF($G$2,0,IF((S$6-$G$3)&lt;1,0,IFERROR(LOOKUP(2,1/(Algodão!$E29:INDEX(Algodão!$E29:$Z29,MIN(S$6-$G$3,22))&lt;&gt;""),Algodão!$E29:INDEX(Algodão!$E29:$Z29,MIN(S$6-$G$3,22))),0)))))</f>
        <v>0</v>
      </c>
      <c r="T31" s="27" t="n">
        <f aca="false">IF(COUNT(Algodão!$E29:$Z29)=0,0,MAX(0,IF((T$6-$E$3)&lt;1,0,IFERROR(LOOKUP(2,1/(Algodão!$E29:INDEX(Algodão!$E29:$Z29,MIN(T$6-$E$3,22))&lt;&gt;""),Algodão!$E29:INDEX(Algodão!$E29:$Z29,MIN(T$6-$E$3,22))),0))-IF($G$2,0,IF((T$6-$G$3)&lt;1,0,IFERROR(LOOKUP(2,1/(Algodão!$E29:INDEX(Algodão!$E29:$Z29,MIN(T$6-$G$3,22))&lt;&gt;""),Algodão!$E29:INDEX(Algodão!$E29:$Z29,MIN(T$6-$G$3,22))),0)))))</f>
        <v>0</v>
      </c>
      <c r="U31" s="27" t="n">
        <f aca="false">IF(COUNT(Algodão!$E29:$Z29)=0,0,MAX(0,IF((U$6-$E$3)&lt;1,0,IFERROR(LOOKUP(2,1/(Algodão!$E29:INDEX(Algodão!$E29:$Z29,MIN(U$6-$E$3,22))&lt;&gt;""),Algodão!$E29:INDEX(Algodão!$E29:$Z29,MIN(U$6-$E$3,22))),0))-IF($G$2,0,IF((U$6-$G$3)&lt;1,0,IFERROR(LOOKUP(2,1/(Algodão!$E29:INDEX(Algodão!$E29:$Z29,MIN(U$6-$G$3,22))&lt;&gt;""),Algodão!$E29:INDEX(Algodão!$E29:$Z29,MIN(U$6-$G$3,22))),0)))))</f>
        <v>0</v>
      </c>
      <c r="V31" s="27" t="n">
        <f aca="false">IF(COUNT(Algodão!$E29:$Z29)=0,0,MAX(0,IF((V$6-$E$3)&lt;1,0,IFERROR(LOOKUP(2,1/(Algodão!$E29:INDEX(Algodão!$E29:$Z29,MIN(V$6-$E$3,22))&lt;&gt;""),Algodão!$E29:INDEX(Algodão!$E29:$Z29,MIN(V$6-$E$3,22))),0))-IF($G$2,0,IF((V$6-$G$3)&lt;1,0,IFERROR(LOOKUP(2,1/(Algodão!$E29:INDEX(Algodão!$E29:$Z29,MIN(V$6-$G$3,22))&lt;&gt;""),Algodão!$E29:INDEX(Algodão!$E29:$Z29,MIN(V$6-$G$3,22))),0)))))</f>
        <v>0</v>
      </c>
      <c r="W31" s="27" t="n">
        <f aca="false">IF(COUNT(Algodão!$E29:$Z29)=0,0,MAX(0,IF((W$6-$E$3)&lt;1,0,IFERROR(LOOKUP(2,1/(Algodão!$E29:INDEX(Algodão!$E29:$Z29,MIN(W$6-$E$3,22))&lt;&gt;""),Algodão!$E29:INDEX(Algodão!$E29:$Z29,MIN(W$6-$E$3,22))),0))-IF($G$2,0,IF((W$6-$G$3)&lt;1,0,IFERROR(LOOKUP(2,1/(Algodão!$E29:INDEX(Algodão!$E29:$Z29,MIN(W$6-$G$3,22))&lt;&gt;""),Algodão!$E29:INDEX(Algodão!$E29:$Z29,MIN(W$6-$G$3,22))),0)))))</f>
        <v>0</v>
      </c>
      <c r="X31" s="27" t="n">
        <f aca="false">IF(COUNT(Algodão!$E29:$Z29)=0,0,MAX(0,IF((X$6-$E$3)&lt;1,0,IFERROR(LOOKUP(2,1/(Algodão!$E29:INDEX(Algodão!$E29:$Z29,MIN(X$6-$E$3,22))&lt;&gt;""),Algodão!$E29:INDEX(Algodão!$E29:$Z29,MIN(X$6-$E$3,22))),0))-IF($G$2,0,IF((X$6-$G$3)&lt;1,0,IFERROR(LOOKUP(2,1/(Algodão!$E29:INDEX(Algodão!$E29:$Z29,MIN(X$6-$G$3,22))&lt;&gt;""),Algodão!$E29:INDEX(Algodão!$E29:$Z29,MIN(X$6-$G$3,22))),0)))))</f>
        <v>0</v>
      </c>
      <c r="Y31" s="27" t="n">
        <f aca="false">IF(COUNT(Algodão!$E29:$Z29)=0,0,MAX(0,IF((Y$6-$E$3)&lt;1,0,IFERROR(LOOKUP(2,1/(Algodão!$E29:INDEX(Algodão!$E29:$Z29,MIN(Y$6-$E$3,22))&lt;&gt;""),Algodão!$E29:INDEX(Algodão!$E29:$Z29,MIN(Y$6-$E$3,22))),0))-IF($G$2,0,IF((Y$6-$G$3)&lt;1,0,IFERROR(LOOKUP(2,1/(Algodão!$E29:INDEX(Algodão!$E29:$Z29,MIN(Y$6-$G$3,22))&lt;&gt;""),Algodão!$E29:INDEX(Algodão!$E29:$Z29,MIN(Y$6-$G$3,22))),0)))))</f>
        <v>0</v>
      </c>
      <c r="Z31" s="27" t="n">
        <f aca="false">IF(COUNT(Algodão!$E29:$Z29)=0,0,MAX(0,IF((Z$6-$E$3)&lt;1,0,IFERROR(LOOKUP(2,1/(Algodão!$E29:INDEX(Algodão!$E29:$Z29,MIN(Z$6-$E$3,22))&lt;&gt;""),Algodão!$E29:INDEX(Algodão!$E29:$Z29,MIN(Z$6-$E$3,22))),0))-IF($G$2,0,IF((Z$6-$G$3)&lt;1,0,IFERROR(LOOKUP(2,1/(Algodão!$E29:INDEX(Algodão!$E29:$Z29,MIN(Z$6-$G$3,22))&lt;&gt;""),Algodão!$E29:INDEX(Algodão!$E29:$Z29,MIN(Z$6-$G$3,22))),0)))))</f>
        <v>0</v>
      </c>
      <c r="AA31" s="27" t="n">
        <f aca="false">IF(COUNT(Algodão!$E29:$Z29)=0,0,MAX(0,IF((AA$6-$E$3)&lt;1,0,IFERROR(LOOKUP(2,1/(Algodão!$E29:INDEX(Algodão!$E29:$Z29,MIN(AA$6-$E$3,22))&lt;&gt;""),Algodão!$E29:INDEX(Algodão!$E29:$Z29,MIN(AA$6-$E$3,22))),0))-IF($G$2,0,IF((AA$6-$G$3)&lt;1,0,IFERROR(LOOKUP(2,1/(Algodão!$E29:INDEX(Algodão!$E29:$Z29,MIN(AA$6-$G$3,22))&lt;&gt;""),Algodão!$E29:INDEX(Algodão!$E29:$Z29,MIN(AA$6-$G$3,22))),0)))))</f>
        <v>0</v>
      </c>
      <c r="AB31" s="27" t="n">
        <f aca="false">IF(COUNT(Algodão!$E29:$Z29)=0,0,MAX(0,IF((AB$6-$E$3)&lt;1,0,IFERROR(LOOKUP(2,1/(Algodão!$E29:INDEX(Algodão!$E29:$Z29,MIN(AB$6-$E$3,22))&lt;&gt;""),Algodão!$E29:INDEX(Algodão!$E29:$Z29,MIN(AB$6-$E$3,22))),0))-IF($G$2,0,IF((AB$6-$G$3)&lt;1,0,IFERROR(LOOKUP(2,1/(Algodão!$E29:INDEX(Algodão!$E29:$Z29,MIN(AB$6-$G$3,22))&lt;&gt;""),Algodão!$E29:INDEX(Algodão!$E29:$Z29,MIN(AB$6-$G$3,22))),0)))))</f>
        <v>0</v>
      </c>
      <c r="AC31" s="27" t="n">
        <f aca="false">IF(COUNT(Algodão!$E29:$Z29)=0,0,MAX(0,IF((AC$6-$E$3)&lt;1,0,IFERROR(LOOKUP(2,1/(Algodão!$E29:INDEX(Algodão!$E29:$Z29,MIN(AC$6-$E$3,22))&lt;&gt;""),Algodão!$E29:INDEX(Algodão!$E29:$Z29,MIN(AC$6-$E$3,22))),0))-IF($G$2,0,IF((AC$6-$G$3)&lt;1,0,IFERROR(LOOKUP(2,1/(Algodão!$E29:INDEX(Algodão!$E29:$Z29,MIN(AC$6-$G$3,22))&lt;&gt;""),Algodão!$E29:INDEX(Algodão!$E29:$Z29,MIN(AC$6-$G$3,22))),0)))))</f>
        <v>0</v>
      </c>
      <c r="AD31" s="27" t="n">
        <f aca="false">IF(COUNT(Algodão!$E29:$Z29)=0,0,MAX(0,IF((AD$6-$E$3)&lt;1,0,IFERROR(LOOKUP(2,1/(Algodão!$E29:INDEX(Algodão!$E29:$Z29,MIN(AD$6-$E$3,22))&lt;&gt;""),Algodão!$E29:INDEX(Algodão!$E29:$Z29,MIN(AD$6-$E$3,22))),0))-IF($G$2,0,IF((AD$6-$G$3)&lt;1,0,IFERROR(LOOKUP(2,1/(Algodão!$E29:INDEX(Algodão!$E29:$Z29,MIN(AD$6-$G$3,22))&lt;&gt;""),Algodão!$E29:INDEX(Algodão!$E29:$Z29,MIN(AD$6-$G$3,22))),0)))))</f>
        <v>0</v>
      </c>
      <c r="AE31" s="27" t="n">
        <f aca="false">IF(COUNT(Algodão!$E29:$Z29)=0,0,MAX(0,IF((AE$6-$E$3)&lt;1,0,IFERROR(LOOKUP(2,1/(Algodão!$E29:INDEX(Algodão!$E29:$Z29,MIN(AE$6-$E$3,22))&lt;&gt;""),Algodão!$E29:INDEX(Algodão!$E29:$Z29,MIN(AE$6-$E$3,22))),0))-IF($G$2,0,IF((AE$6-$G$3)&lt;1,0,IFERROR(LOOKUP(2,1/(Algodão!$E29:INDEX(Algodão!$E29:$Z29,MIN(AE$6-$G$3,22))&lt;&gt;""),Algodão!$E29:INDEX(Algodão!$E29:$Z29,MIN(AE$6-$G$3,22))),0)))))</f>
        <v>0</v>
      </c>
      <c r="AF31" s="27" t="n">
        <f aca="false">IF(COUNT(Algodão!$E29:$Z29)=0,0,MAX(0,IF((AF$6-$E$3)&lt;1,0,IFERROR(LOOKUP(2,1/(Algodão!$E29:INDEX(Algodão!$E29:$Z29,MIN(AF$6-$E$3,22))&lt;&gt;""),Algodão!$E29:INDEX(Algodão!$E29:$Z29,MIN(AF$6-$E$3,22))),0))-IF($G$2,0,IF((AF$6-$G$3)&lt;1,0,IFERROR(LOOKUP(2,1/(Algodão!$E29:INDEX(Algodão!$E29:$Z29,MIN(AF$6-$G$3,22))&lt;&gt;""),Algodão!$E29:INDEX(Algodão!$E29:$Z29,MIN(AF$6-$G$3,22))),0)))))</f>
        <v>0</v>
      </c>
      <c r="AG31" s="27" t="n">
        <f aca="false">IF(COUNT(Algodão!$E29:$Z29)=0,0,MAX(0,IF((AG$6-$E$3)&lt;1,0,IFERROR(LOOKUP(2,1/(Algodão!$E29:INDEX(Algodão!$E29:$Z29,MIN(AG$6-$E$3,22))&lt;&gt;""),Algodão!$E29:INDEX(Algodão!$E29:$Z29,MIN(AG$6-$E$3,22))),0))-IF($G$2,0,IF((AG$6-$G$3)&lt;1,0,IFERROR(LOOKUP(2,1/(Algodão!$E29:INDEX(Algodão!$E29:$Z29,MIN(AG$6-$G$3,22))&lt;&gt;""),Algodão!$E29:INDEX(Algodão!$E29:$Z29,MIN(AG$6-$G$3,22))),0)))))</f>
        <v>0</v>
      </c>
      <c r="AH31" s="27" t="n">
        <f aca="false">IF(COUNT(Algodão!$E29:$Z29)=0,0,MAX(0,IF((AH$6-$E$3)&lt;1,0,IFERROR(LOOKUP(2,1/(Algodão!$E29:INDEX(Algodão!$E29:$Z29,MIN(AH$6-$E$3,22))&lt;&gt;""),Algodão!$E29:INDEX(Algodão!$E29:$Z29,MIN(AH$6-$E$3,22))),0))-IF($G$2,0,IF((AH$6-$G$3)&lt;1,0,IFERROR(LOOKUP(2,1/(Algodão!$E29:INDEX(Algodão!$E29:$Z29,MIN(AH$6-$G$3,22))&lt;&gt;""),Algodão!$E29:INDEX(Algodão!$E29:$Z29,MIN(AH$6-$G$3,22))),0)))))</f>
        <v>0</v>
      </c>
      <c r="AI31" s="27" t="n">
        <f aca="false">IF(COUNT(Algodão!$E29:$Z29)=0,0,MAX(0,IF((AI$6-$E$3)&lt;1,0,IFERROR(LOOKUP(2,1/(Algodão!$E29:INDEX(Algodão!$E29:$Z29,MIN(AI$6-$E$3,22))&lt;&gt;""),Algodão!$E29:INDEX(Algodão!$E29:$Z29,MIN(AI$6-$E$3,22))),0))-IF($G$2,0,IF((AI$6-$G$3)&lt;1,0,IFERROR(LOOKUP(2,1/(Algodão!$E29:INDEX(Algodão!$E29:$Z29,MIN(AI$6-$G$3,22))&lt;&gt;""),Algodão!$E29:INDEX(Algodão!$E29:$Z29,MIN(AI$6-$G$3,22))),0)))))</f>
        <v>0</v>
      </c>
      <c r="AJ31" s="27" t="n">
        <f aca="false">IF(COUNT(Algodão!$E29:$Z29)=0,0,MAX(0,IF((AJ$6-$E$3)&lt;1,0,IFERROR(LOOKUP(2,1/(Algodão!$E29:INDEX(Algodão!$E29:$Z29,MIN(AJ$6-$E$3,22))&lt;&gt;""),Algodão!$E29:INDEX(Algodão!$E29:$Z29,MIN(AJ$6-$E$3,22))),0))-IF($G$2,0,IF((AJ$6-$G$3)&lt;1,0,IFERROR(LOOKUP(2,1/(Algodão!$E29:INDEX(Algodão!$E29:$Z29,MIN(AJ$6-$G$3,22))&lt;&gt;""),Algodão!$E29:INDEX(Algodão!$E29:$Z29,MIN(AJ$6-$G$3,22))),0)))))</f>
        <v>0</v>
      </c>
      <c r="AK31" s="27" t="n">
        <f aca="false">IF(COUNT(Algodão!$E29:$Z29)=0,0,MAX(0,IF((AK$6-$E$3)&lt;1,0,IFERROR(LOOKUP(2,1/(Algodão!$E29:INDEX(Algodão!$E29:$Z29,MIN(AK$6-$E$3,22))&lt;&gt;""),Algodão!$E29:INDEX(Algodão!$E29:$Z29,MIN(AK$6-$E$3,22))),0))-IF($G$2,0,IF((AK$6-$G$3)&lt;1,0,IFERROR(LOOKUP(2,1/(Algodão!$E29:INDEX(Algodão!$E29:$Z29,MIN(AK$6-$G$3,22))&lt;&gt;""),Algodão!$E29:INDEX(Algodão!$E29:$Z29,MIN(AK$6-$G$3,22))),0)))))</f>
        <v>0</v>
      </c>
      <c r="AL31" s="27" t="n">
        <f aca="false">IF(COUNT(Algodão!$E29:$Z29)=0,0,MAX(0,IF((AL$6-$E$3)&lt;1,0,IFERROR(LOOKUP(2,1/(Algodão!$E29:INDEX(Algodão!$E29:$Z29,MIN(AL$6-$E$3,22))&lt;&gt;""),Algodão!$E29:INDEX(Algodão!$E29:$Z29,MIN(AL$6-$E$3,22))),0))-IF($G$2,0,IF((AL$6-$G$3)&lt;1,0,IFERROR(LOOKUP(2,1/(Algodão!$E29:INDEX(Algodão!$E29:$Z29,MIN(AL$6-$G$3,22))&lt;&gt;""),Algodão!$E29:INDEX(Algodão!$E29:$Z29,MIN(AL$6-$G$3,22))),0)))))</f>
        <v>0</v>
      </c>
      <c r="AM31" s="27" t="n">
        <f aca="false">IF(COUNT(Algodão!$E29:$Z29)=0,0,MAX(0,IF((AM$6-$E$3)&lt;1,0,IFERROR(LOOKUP(2,1/(Algodão!$E29:INDEX(Algodão!$E29:$Z29,MIN(AM$6-$E$3,22))&lt;&gt;""),Algodão!$E29:INDEX(Algodão!$E29:$Z29,MIN(AM$6-$E$3,22))),0))-IF($G$2,0,IF((AM$6-$G$3)&lt;1,0,IFERROR(LOOKUP(2,1/(Algodão!$E29:INDEX(Algodão!$E29:$Z29,MIN(AM$6-$G$3,22))&lt;&gt;""),Algodão!$E29:INDEX(Algodão!$E29:$Z29,MIN(AM$6-$G$3,22))),0)))))</f>
        <v>0</v>
      </c>
      <c r="AN31" s="27" t="n">
        <f aca="false">IF(COUNT(Algodão!$E29:$Z29)=0,0,MAX(0,IF((AN$6-$E$3)&lt;1,0,IFERROR(LOOKUP(2,1/(Algodão!$E29:INDEX(Algodão!$E29:$Z29,MIN(AN$6-$E$3,22))&lt;&gt;""),Algodão!$E29:INDEX(Algodão!$E29:$Z29,MIN(AN$6-$E$3,22))),0))-IF($G$2,0,IF((AN$6-$G$3)&lt;1,0,IFERROR(LOOKUP(2,1/(Algodão!$E29:INDEX(Algodão!$E29:$Z29,MIN(AN$6-$G$3,22))&lt;&gt;""),Algodão!$E29:INDEX(Algodão!$E29:$Z29,MIN(AN$6-$G$3,22))),0)))))</f>
        <v>0</v>
      </c>
      <c r="AO31" s="27" t="n">
        <f aca="false">IF(COUNT(Algodão!$E29:$Z29)=0,0,MAX(0,IF((AO$6-$E$3)&lt;1,0,IFERROR(LOOKUP(2,1/(Algodão!$E29:INDEX(Algodão!$E29:$Z29,MIN(AO$6-$E$3,22))&lt;&gt;""),Algodão!$E29:INDEX(Algodão!$E29:$Z29,MIN(AO$6-$E$3,22))),0))-IF($G$2,0,IF((AO$6-$G$3)&lt;1,0,IFERROR(LOOKUP(2,1/(Algodão!$E29:INDEX(Algodão!$E29:$Z29,MIN(AO$6-$G$3,22))&lt;&gt;""),Algodão!$E29:INDEX(Algodão!$E29:$Z29,MIN(AO$6-$G$3,22))),0)))))</f>
        <v>0</v>
      </c>
      <c r="AP31" s="27" t="n">
        <f aca="false">IF(COUNT(Algodão!$E29:$Z29)=0,0,MAX(0,IF((AP$6-$E$3)&lt;1,0,IFERROR(LOOKUP(2,1/(Algodão!$E29:INDEX(Algodão!$E29:$Z29,MIN(AP$6-$E$3,22))&lt;&gt;""),Algodão!$E29:INDEX(Algodão!$E29:$Z29,MIN(AP$6-$E$3,22))),0))-IF($G$2,0,IF((AP$6-$G$3)&lt;1,0,IFERROR(LOOKUP(2,1/(Algodão!$E29:INDEX(Algodão!$E29:$Z29,MIN(AP$6-$G$3,22))&lt;&gt;""),Algodão!$E29:INDEX(Algodão!$E29:$Z29,MIN(AP$6-$G$3,22))),0)))))</f>
        <v>0</v>
      </c>
      <c r="AQ31" s="27" t="n">
        <f aca="false">IF(COUNT(Algodão!$E29:$Z29)=0,0,MAX(0,IF((AQ$6-$E$3)&lt;1,0,IFERROR(LOOKUP(2,1/(Algodão!$E29:INDEX(Algodão!$E29:$Z29,MIN(AQ$6-$E$3,22))&lt;&gt;""),Algodão!$E29:INDEX(Algodão!$E29:$Z29,MIN(AQ$6-$E$3,22))),0))-IF($G$2,0,IF((AQ$6-$G$3)&lt;1,0,IFERROR(LOOKUP(2,1/(Algodão!$E29:INDEX(Algodão!$E29:$Z29,MIN(AQ$6-$G$3,22))&lt;&gt;""),Algodão!$E29:INDEX(Algodão!$E29:$Z29,MIN(AQ$6-$G$3,22))),0)))))</f>
        <v>0</v>
      </c>
      <c r="AR31" s="27" t="n">
        <f aca="false">IF(COUNT(Algodão!$E29:$Z29)=0,0,MAX(0,IF((AR$6-$E$3)&lt;1,0,IFERROR(LOOKUP(2,1/(Algodão!$E29:INDEX(Algodão!$E29:$Z29,MIN(AR$6-$E$3,22))&lt;&gt;""),Algodão!$E29:INDEX(Algodão!$E29:$Z29,MIN(AR$6-$E$3,22))),0))-IF($G$2,0,IF((AR$6-$G$3)&lt;1,0,IFERROR(LOOKUP(2,1/(Algodão!$E29:INDEX(Algodão!$E29:$Z29,MIN(AR$6-$G$3,22))&lt;&gt;""),Algodão!$E29:INDEX(Algodão!$E29:$Z29,MIN(AR$6-$G$3,22))),0)))))</f>
        <v>0</v>
      </c>
      <c r="AS31" s="27" t="n">
        <f aca="false">IF(COUNT(Algodão!$E29:$Z29)=0,0,MAX(0,IF((AS$6-$E$3)&lt;1,0,IFERROR(LOOKUP(2,1/(Algodão!$E29:INDEX(Algodão!$E29:$Z29,MIN(AS$6-$E$3,22))&lt;&gt;""),Algodão!$E29:INDEX(Algodão!$E29:$Z29,MIN(AS$6-$E$3,22))),0))-IF($G$2,0,IF((AS$6-$G$3)&lt;1,0,IFERROR(LOOKUP(2,1/(Algodão!$E29:INDEX(Algodão!$E29:$Z29,MIN(AS$6-$G$3,22))&lt;&gt;""),Algodão!$E29:INDEX(Algodão!$E29:$Z29,MIN(AS$6-$G$3,22))),0)))))</f>
        <v>0</v>
      </c>
      <c r="AT31" s="27" t="n">
        <f aca="false">IF(COUNT(Algodão!$E29:$Z29)=0,0,MAX(0,IF((AT$6-$E$3)&lt;1,0,IFERROR(LOOKUP(2,1/(Algodão!$E29:INDEX(Algodão!$E29:$Z29,MIN(AT$6-$E$3,22))&lt;&gt;""),Algodão!$E29:INDEX(Algodão!$E29:$Z29,MIN(AT$6-$E$3,22))),0))-IF($G$2,0,IF((AT$6-$G$3)&lt;1,0,IFERROR(LOOKUP(2,1/(Algodão!$E29:INDEX(Algodão!$E29:$Z29,MIN(AT$6-$G$3,22))&lt;&gt;""),Algodão!$E29:INDEX(Algodão!$E29:$Z29,MIN(AT$6-$G$3,22))),0)))))</f>
        <v>0</v>
      </c>
      <c r="AU31" s="27" t="n">
        <f aca="false">IF(COUNT(Algodão!$E29:$Z29)=0,0,MAX(0,IF((AU$6-$E$3)&lt;1,0,IFERROR(LOOKUP(2,1/(Algodão!$E29:INDEX(Algodão!$E29:$Z29,MIN(AU$6-$E$3,22))&lt;&gt;""),Algodão!$E29:INDEX(Algodão!$E29:$Z29,MIN(AU$6-$E$3,22))),0))-IF($G$2,0,IF((AU$6-$G$3)&lt;1,0,IFERROR(LOOKUP(2,1/(Algodão!$E29:INDEX(Algodão!$E29:$Z29,MIN(AU$6-$G$3,22))&lt;&gt;""),Algodão!$E29:INDEX(Algodão!$E29:$Z29,MIN(AU$6-$G$3,22))),0)))))</f>
        <v>0</v>
      </c>
      <c r="AV31" s="27" t="n">
        <f aca="false">IF(COUNT(Algodão!$E29:$Z29)=0,0,MAX(0,IF((AV$6-$E$3)&lt;1,0,IFERROR(LOOKUP(2,1/(Algodão!$E29:INDEX(Algodão!$E29:$Z29,MIN(AV$6-$E$3,22))&lt;&gt;""),Algodão!$E29:INDEX(Algodão!$E29:$Z29,MIN(AV$6-$E$3,22))),0))-IF($G$2,0,IF((AV$6-$G$3)&lt;1,0,IFERROR(LOOKUP(2,1/(Algodão!$E29:INDEX(Algodão!$E29:$Z29,MIN(AV$6-$G$3,22))&lt;&gt;""),Algodão!$E29:INDEX(Algodão!$E29:$Z29,MIN(AV$6-$G$3,22))),0)))))</f>
        <v>0</v>
      </c>
      <c r="AW31" s="27" t="n">
        <f aca="false">IF(COUNT(Algodão!$E29:$Z29)=0,0,MAX(0,IF((AW$6-$E$3)&lt;1,0,IFERROR(LOOKUP(2,1/(Algodão!$E29:INDEX(Algodão!$E29:$Z29,MIN(AW$6-$E$3,22))&lt;&gt;""),Algodão!$E29:INDEX(Algodão!$E29:$Z29,MIN(AW$6-$E$3,22))),0))-IF($G$2,0,IF((AW$6-$G$3)&lt;1,0,IFERROR(LOOKUP(2,1/(Algodão!$E29:INDEX(Algodão!$E29:$Z29,MIN(AW$6-$G$3,22))&lt;&gt;""),Algodão!$E29:INDEX(Algodão!$E29:$Z29,MIN(AW$6-$G$3,22))),0)))))</f>
        <v>0</v>
      </c>
      <c r="AX31" s="27" t="n">
        <f aca="false">IF(COUNT(Algodão!$E29:$Z29)=0,0,MAX(0,IF((AX$6-$E$3)&lt;1,0,IFERROR(LOOKUP(2,1/(Algodão!$E29:INDEX(Algodão!$E29:$Z29,MIN(AX$6-$E$3,22))&lt;&gt;""),Algodão!$E29:INDEX(Algodão!$E29:$Z29,MIN(AX$6-$E$3,22))),0))-IF($G$2,0,IF((AX$6-$G$3)&lt;1,0,IFERROR(LOOKUP(2,1/(Algodão!$E29:INDEX(Algodão!$E29:$Z29,MIN(AX$6-$G$3,22))&lt;&gt;""),Algodão!$E29:INDEX(Algodão!$E29:$Z29,MIN(AX$6-$G$3,22))),0)))))</f>
        <v>0</v>
      </c>
      <c r="AY31" s="27" t="n">
        <f aca="false">IF(COUNT(Algodão!$E29:$Z29)=0,0,MAX(0,IF((AY$6-$E$3)&lt;1,0,IFERROR(LOOKUP(2,1/(Algodão!$E29:INDEX(Algodão!$E29:$Z29,MIN(AY$6-$E$3,22))&lt;&gt;""),Algodão!$E29:INDEX(Algodão!$E29:$Z29,MIN(AY$6-$E$3,22))),0))-IF($G$2,0,IF((AY$6-$G$3)&lt;1,0,IFERROR(LOOKUP(2,1/(Algodão!$E29:INDEX(Algodão!$E29:$Z29,MIN(AY$6-$G$3,22))&lt;&gt;""),Algodão!$E29:INDEX(Algodão!$E29:$Z29,MIN(AY$6-$G$3,22))),0)))))</f>
        <v>0</v>
      </c>
      <c r="AZ31" s="27" t="n">
        <f aca="false">IF(COUNT(Algodão!$E29:$Z29)=0,0,MAX(0,IF((AZ$6-$E$3)&lt;1,0,IFERROR(LOOKUP(2,1/(Algodão!$E29:INDEX(Algodão!$E29:$Z29,MIN(AZ$6-$E$3,22))&lt;&gt;""),Algodão!$E29:INDEX(Algodão!$E29:$Z29,MIN(AZ$6-$E$3,22))),0))-IF($G$2,0,IF((AZ$6-$G$3)&lt;1,0,IFERROR(LOOKUP(2,1/(Algodão!$E29:INDEX(Algodão!$E29:$Z29,MIN(AZ$6-$G$3,22))&lt;&gt;""),Algodão!$E29:INDEX(Algodão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IF(COUNT(Algodão!$E30:$Z30)&gt;0,N(Algodão!$D30),0)</f>
        <v>0</v>
      </c>
      <c r="E32" s="27" t="n">
        <f aca="false">IF(COUNT(Algodão!$E30:$Z30)=0,0,MAX(0,IF((E$6-$E$3)&lt;1,0,IFERROR(LOOKUP(2,1/(Algodão!$E30:INDEX(Algodão!$E30:$Z30,MIN(E$6-$E$3,22))&lt;&gt;""),Algodão!$E30:INDEX(Algodão!$E30:$Z30,MIN(E$6-$E$3,22))),0))-IF($G$2,0,IF((E$6-$G$3)&lt;1,0,IFERROR(LOOKUP(2,1/(Algodão!$E30:INDEX(Algodão!$E30:$Z30,MIN(E$6-$G$3,22))&lt;&gt;""),Algodão!$E30:INDEX(Algodão!$E30:$Z30,MIN(E$6-$G$3,22))),0)))))</f>
        <v>0</v>
      </c>
      <c r="F32" s="27" t="n">
        <f aca="false">IF(COUNT(Algodão!$E30:$Z30)=0,0,MAX(0,IF((F$6-$E$3)&lt;1,0,IFERROR(LOOKUP(2,1/(Algodão!$E30:INDEX(Algodão!$E30:$Z30,MIN(F$6-$E$3,22))&lt;&gt;""),Algodão!$E30:INDEX(Algodão!$E30:$Z30,MIN(F$6-$E$3,22))),0))-IF($G$2,0,IF((F$6-$G$3)&lt;1,0,IFERROR(LOOKUP(2,1/(Algodão!$E30:INDEX(Algodão!$E30:$Z30,MIN(F$6-$G$3,22))&lt;&gt;""),Algodão!$E30:INDEX(Algodão!$E30:$Z30,MIN(F$6-$G$3,22))),0)))))</f>
        <v>0</v>
      </c>
      <c r="G32" s="27" t="n">
        <f aca="false">IF(COUNT(Algodão!$E30:$Z30)=0,0,MAX(0,IF((G$6-$E$3)&lt;1,0,IFERROR(LOOKUP(2,1/(Algodão!$E30:INDEX(Algodão!$E30:$Z30,MIN(G$6-$E$3,22))&lt;&gt;""),Algodão!$E30:INDEX(Algodão!$E30:$Z30,MIN(G$6-$E$3,22))),0))-IF($G$2,0,IF((G$6-$G$3)&lt;1,0,IFERROR(LOOKUP(2,1/(Algodão!$E30:INDEX(Algodão!$E30:$Z30,MIN(G$6-$G$3,22))&lt;&gt;""),Algodão!$E30:INDEX(Algodão!$E30:$Z30,MIN(G$6-$G$3,22))),0)))))</f>
        <v>0</v>
      </c>
      <c r="H32" s="27" t="n">
        <f aca="false">IF(COUNT(Algodão!$E30:$Z30)=0,0,MAX(0,IF((H$6-$E$3)&lt;1,0,IFERROR(LOOKUP(2,1/(Algodão!$E30:INDEX(Algodão!$E30:$Z30,MIN(H$6-$E$3,22))&lt;&gt;""),Algodão!$E30:INDEX(Algodão!$E30:$Z30,MIN(H$6-$E$3,22))),0))-IF($G$2,0,IF((H$6-$G$3)&lt;1,0,IFERROR(LOOKUP(2,1/(Algodão!$E30:INDEX(Algodão!$E30:$Z30,MIN(H$6-$G$3,22))&lt;&gt;""),Algodão!$E30:INDEX(Algodão!$E30:$Z30,MIN(H$6-$G$3,22))),0)))))</f>
        <v>0</v>
      </c>
      <c r="I32" s="27" t="n">
        <f aca="false">IF(COUNT(Algodão!$E30:$Z30)=0,0,MAX(0,IF((I$6-$E$3)&lt;1,0,IFERROR(LOOKUP(2,1/(Algodão!$E30:INDEX(Algodão!$E30:$Z30,MIN(I$6-$E$3,22))&lt;&gt;""),Algodão!$E30:INDEX(Algodão!$E30:$Z30,MIN(I$6-$E$3,22))),0))-IF($G$2,0,IF((I$6-$G$3)&lt;1,0,IFERROR(LOOKUP(2,1/(Algodão!$E30:INDEX(Algodão!$E30:$Z30,MIN(I$6-$G$3,22))&lt;&gt;""),Algodão!$E30:INDEX(Algodão!$E30:$Z30,MIN(I$6-$G$3,22))),0)))))</f>
        <v>0</v>
      </c>
      <c r="J32" s="27" t="n">
        <f aca="false">IF(COUNT(Algodão!$E30:$Z30)=0,0,MAX(0,IF((J$6-$E$3)&lt;1,0,IFERROR(LOOKUP(2,1/(Algodão!$E30:INDEX(Algodão!$E30:$Z30,MIN(J$6-$E$3,22))&lt;&gt;""),Algodão!$E30:INDEX(Algodão!$E30:$Z30,MIN(J$6-$E$3,22))),0))-IF($G$2,0,IF((J$6-$G$3)&lt;1,0,IFERROR(LOOKUP(2,1/(Algodão!$E30:INDEX(Algodão!$E30:$Z30,MIN(J$6-$G$3,22))&lt;&gt;""),Algodão!$E30:INDEX(Algodão!$E30:$Z30,MIN(J$6-$G$3,22))),0)))))</f>
        <v>0</v>
      </c>
      <c r="K32" s="27" t="n">
        <f aca="false">IF(COUNT(Algodão!$E30:$Z30)=0,0,MAX(0,IF((K$6-$E$3)&lt;1,0,IFERROR(LOOKUP(2,1/(Algodão!$E30:INDEX(Algodão!$E30:$Z30,MIN(K$6-$E$3,22))&lt;&gt;""),Algodão!$E30:INDEX(Algodão!$E30:$Z30,MIN(K$6-$E$3,22))),0))-IF($G$2,0,IF((K$6-$G$3)&lt;1,0,IFERROR(LOOKUP(2,1/(Algodão!$E30:INDEX(Algodão!$E30:$Z30,MIN(K$6-$G$3,22))&lt;&gt;""),Algodão!$E30:INDEX(Algodão!$E30:$Z30,MIN(K$6-$G$3,22))),0)))))</f>
        <v>0</v>
      </c>
      <c r="L32" s="27" t="n">
        <f aca="false">IF(COUNT(Algodão!$E30:$Z30)=0,0,MAX(0,IF((L$6-$E$3)&lt;1,0,IFERROR(LOOKUP(2,1/(Algodão!$E30:INDEX(Algodão!$E30:$Z30,MIN(L$6-$E$3,22))&lt;&gt;""),Algodão!$E30:INDEX(Algodão!$E30:$Z30,MIN(L$6-$E$3,22))),0))-IF($G$2,0,IF((L$6-$G$3)&lt;1,0,IFERROR(LOOKUP(2,1/(Algodão!$E30:INDEX(Algodão!$E30:$Z30,MIN(L$6-$G$3,22))&lt;&gt;""),Algodão!$E30:INDEX(Algodão!$E30:$Z30,MIN(L$6-$G$3,22))),0)))))</f>
        <v>0</v>
      </c>
      <c r="M32" s="27" t="n">
        <f aca="false">IF(COUNT(Algodão!$E30:$Z30)=0,0,MAX(0,IF((M$6-$E$3)&lt;1,0,IFERROR(LOOKUP(2,1/(Algodão!$E30:INDEX(Algodão!$E30:$Z30,MIN(M$6-$E$3,22))&lt;&gt;""),Algodão!$E30:INDEX(Algodão!$E30:$Z30,MIN(M$6-$E$3,22))),0))-IF($G$2,0,IF((M$6-$G$3)&lt;1,0,IFERROR(LOOKUP(2,1/(Algodão!$E30:INDEX(Algodão!$E30:$Z30,MIN(M$6-$G$3,22))&lt;&gt;""),Algodão!$E30:INDEX(Algodão!$E30:$Z30,MIN(M$6-$G$3,22))),0)))))</f>
        <v>0</v>
      </c>
      <c r="N32" s="27" t="n">
        <f aca="false">IF(COUNT(Algodão!$E30:$Z30)=0,0,MAX(0,IF((N$6-$E$3)&lt;1,0,IFERROR(LOOKUP(2,1/(Algodão!$E30:INDEX(Algodão!$E30:$Z30,MIN(N$6-$E$3,22))&lt;&gt;""),Algodão!$E30:INDEX(Algodão!$E30:$Z30,MIN(N$6-$E$3,22))),0))-IF($G$2,0,IF((N$6-$G$3)&lt;1,0,IFERROR(LOOKUP(2,1/(Algodão!$E30:INDEX(Algodão!$E30:$Z30,MIN(N$6-$G$3,22))&lt;&gt;""),Algodão!$E30:INDEX(Algodão!$E30:$Z30,MIN(N$6-$G$3,22))),0)))))</f>
        <v>0</v>
      </c>
      <c r="O32" s="27" t="n">
        <f aca="false">IF(COUNT(Algodão!$E30:$Z30)=0,0,MAX(0,IF((O$6-$E$3)&lt;1,0,IFERROR(LOOKUP(2,1/(Algodão!$E30:INDEX(Algodão!$E30:$Z30,MIN(O$6-$E$3,22))&lt;&gt;""),Algodão!$E30:INDEX(Algodão!$E30:$Z30,MIN(O$6-$E$3,22))),0))-IF($G$2,0,IF((O$6-$G$3)&lt;1,0,IFERROR(LOOKUP(2,1/(Algodão!$E30:INDEX(Algodão!$E30:$Z30,MIN(O$6-$G$3,22))&lt;&gt;""),Algodão!$E30:INDEX(Algodão!$E30:$Z30,MIN(O$6-$G$3,22))),0)))))</f>
        <v>0</v>
      </c>
      <c r="P32" s="27" t="n">
        <f aca="false">IF(COUNT(Algodão!$E30:$Z30)=0,0,MAX(0,IF((P$6-$E$3)&lt;1,0,IFERROR(LOOKUP(2,1/(Algodão!$E30:INDEX(Algodão!$E30:$Z30,MIN(P$6-$E$3,22))&lt;&gt;""),Algodão!$E30:INDEX(Algodão!$E30:$Z30,MIN(P$6-$E$3,22))),0))-IF($G$2,0,IF((P$6-$G$3)&lt;1,0,IFERROR(LOOKUP(2,1/(Algodão!$E30:INDEX(Algodão!$E30:$Z30,MIN(P$6-$G$3,22))&lt;&gt;""),Algodão!$E30:INDEX(Algodão!$E30:$Z30,MIN(P$6-$G$3,22))),0)))))</f>
        <v>0</v>
      </c>
      <c r="Q32" s="27" t="n">
        <f aca="false">IF(COUNT(Algodão!$E30:$Z30)=0,0,MAX(0,IF((Q$6-$E$3)&lt;1,0,IFERROR(LOOKUP(2,1/(Algodão!$E30:INDEX(Algodão!$E30:$Z30,MIN(Q$6-$E$3,22))&lt;&gt;""),Algodão!$E30:INDEX(Algodão!$E30:$Z30,MIN(Q$6-$E$3,22))),0))-IF($G$2,0,IF((Q$6-$G$3)&lt;1,0,IFERROR(LOOKUP(2,1/(Algodão!$E30:INDEX(Algodão!$E30:$Z30,MIN(Q$6-$G$3,22))&lt;&gt;""),Algodão!$E30:INDEX(Algodão!$E30:$Z30,MIN(Q$6-$G$3,22))),0)))))</f>
        <v>0</v>
      </c>
      <c r="R32" s="27" t="n">
        <f aca="false">IF(COUNT(Algodão!$E30:$Z30)=0,0,MAX(0,IF((R$6-$E$3)&lt;1,0,IFERROR(LOOKUP(2,1/(Algodão!$E30:INDEX(Algodão!$E30:$Z30,MIN(R$6-$E$3,22))&lt;&gt;""),Algodão!$E30:INDEX(Algodão!$E30:$Z30,MIN(R$6-$E$3,22))),0))-IF($G$2,0,IF((R$6-$G$3)&lt;1,0,IFERROR(LOOKUP(2,1/(Algodão!$E30:INDEX(Algodão!$E30:$Z30,MIN(R$6-$G$3,22))&lt;&gt;""),Algodão!$E30:INDEX(Algodão!$E30:$Z30,MIN(R$6-$G$3,22))),0)))))</f>
        <v>0</v>
      </c>
      <c r="S32" s="27" t="n">
        <f aca="false">IF(COUNT(Algodão!$E30:$Z30)=0,0,MAX(0,IF((S$6-$E$3)&lt;1,0,IFERROR(LOOKUP(2,1/(Algodão!$E30:INDEX(Algodão!$E30:$Z30,MIN(S$6-$E$3,22))&lt;&gt;""),Algodão!$E30:INDEX(Algodão!$E30:$Z30,MIN(S$6-$E$3,22))),0))-IF($G$2,0,IF((S$6-$G$3)&lt;1,0,IFERROR(LOOKUP(2,1/(Algodão!$E30:INDEX(Algodão!$E30:$Z30,MIN(S$6-$G$3,22))&lt;&gt;""),Algodão!$E30:INDEX(Algodão!$E30:$Z30,MIN(S$6-$G$3,22))),0)))))</f>
        <v>0</v>
      </c>
      <c r="T32" s="27" t="n">
        <f aca="false">IF(COUNT(Algodão!$E30:$Z30)=0,0,MAX(0,IF((T$6-$E$3)&lt;1,0,IFERROR(LOOKUP(2,1/(Algodão!$E30:INDEX(Algodão!$E30:$Z30,MIN(T$6-$E$3,22))&lt;&gt;""),Algodão!$E30:INDEX(Algodão!$E30:$Z30,MIN(T$6-$E$3,22))),0))-IF($G$2,0,IF((T$6-$G$3)&lt;1,0,IFERROR(LOOKUP(2,1/(Algodão!$E30:INDEX(Algodão!$E30:$Z30,MIN(T$6-$G$3,22))&lt;&gt;""),Algodão!$E30:INDEX(Algodão!$E30:$Z30,MIN(T$6-$G$3,22))),0)))))</f>
        <v>0</v>
      </c>
      <c r="U32" s="27" t="n">
        <f aca="false">IF(COUNT(Algodão!$E30:$Z30)=0,0,MAX(0,IF((U$6-$E$3)&lt;1,0,IFERROR(LOOKUP(2,1/(Algodão!$E30:INDEX(Algodão!$E30:$Z30,MIN(U$6-$E$3,22))&lt;&gt;""),Algodão!$E30:INDEX(Algodão!$E30:$Z30,MIN(U$6-$E$3,22))),0))-IF($G$2,0,IF((U$6-$G$3)&lt;1,0,IFERROR(LOOKUP(2,1/(Algodão!$E30:INDEX(Algodão!$E30:$Z30,MIN(U$6-$G$3,22))&lt;&gt;""),Algodão!$E30:INDEX(Algodão!$E30:$Z30,MIN(U$6-$G$3,22))),0)))))</f>
        <v>0</v>
      </c>
      <c r="V32" s="27" t="n">
        <f aca="false">IF(COUNT(Algodão!$E30:$Z30)=0,0,MAX(0,IF((V$6-$E$3)&lt;1,0,IFERROR(LOOKUP(2,1/(Algodão!$E30:INDEX(Algodão!$E30:$Z30,MIN(V$6-$E$3,22))&lt;&gt;""),Algodão!$E30:INDEX(Algodão!$E30:$Z30,MIN(V$6-$E$3,22))),0))-IF($G$2,0,IF((V$6-$G$3)&lt;1,0,IFERROR(LOOKUP(2,1/(Algodão!$E30:INDEX(Algodão!$E30:$Z30,MIN(V$6-$G$3,22))&lt;&gt;""),Algodão!$E30:INDEX(Algodão!$E30:$Z30,MIN(V$6-$G$3,22))),0)))))</f>
        <v>0</v>
      </c>
      <c r="W32" s="27" t="n">
        <f aca="false">IF(COUNT(Algodão!$E30:$Z30)=0,0,MAX(0,IF((W$6-$E$3)&lt;1,0,IFERROR(LOOKUP(2,1/(Algodão!$E30:INDEX(Algodão!$E30:$Z30,MIN(W$6-$E$3,22))&lt;&gt;""),Algodão!$E30:INDEX(Algodão!$E30:$Z30,MIN(W$6-$E$3,22))),0))-IF($G$2,0,IF((W$6-$G$3)&lt;1,0,IFERROR(LOOKUP(2,1/(Algodão!$E30:INDEX(Algodão!$E30:$Z30,MIN(W$6-$G$3,22))&lt;&gt;""),Algodão!$E30:INDEX(Algodão!$E30:$Z30,MIN(W$6-$G$3,22))),0)))))</f>
        <v>0</v>
      </c>
      <c r="X32" s="27" t="n">
        <f aca="false">IF(COUNT(Algodão!$E30:$Z30)=0,0,MAX(0,IF((X$6-$E$3)&lt;1,0,IFERROR(LOOKUP(2,1/(Algodão!$E30:INDEX(Algodão!$E30:$Z30,MIN(X$6-$E$3,22))&lt;&gt;""),Algodão!$E30:INDEX(Algodão!$E30:$Z30,MIN(X$6-$E$3,22))),0))-IF($G$2,0,IF((X$6-$G$3)&lt;1,0,IFERROR(LOOKUP(2,1/(Algodão!$E30:INDEX(Algodão!$E30:$Z30,MIN(X$6-$G$3,22))&lt;&gt;""),Algodão!$E30:INDEX(Algodão!$E30:$Z30,MIN(X$6-$G$3,22))),0)))))</f>
        <v>0</v>
      </c>
      <c r="Y32" s="27" t="n">
        <f aca="false">IF(COUNT(Algodão!$E30:$Z30)=0,0,MAX(0,IF((Y$6-$E$3)&lt;1,0,IFERROR(LOOKUP(2,1/(Algodão!$E30:INDEX(Algodão!$E30:$Z30,MIN(Y$6-$E$3,22))&lt;&gt;""),Algodão!$E30:INDEX(Algodão!$E30:$Z30,MIN(Y$6-$E$3,22))),0))-IF($G$2,0,IF((Y$6-$G$3)&lt;1,0,IFERROR(LOOKUP(2,1/(Algodão!$E30:INDEX(Algodão!$E30:$Z30,MIN(Y$6-$G$3,22))&lt;&gt;""),Algodão!$E30:INDEX(Algodão!$E30:$Z30,MIN(Y$6-$G$3,22))),0)))))</f>
        <v>0</v>
      </c>
      <c r="Z32" s="27" t="n">
        <f aca="false">IF(COUNT(Algodão!$E30:$Z30)=0,0,MAX(0,IF((Z$6-$E$3)&lt;1,0,IFERROR(LOOKUP(2,1/(Algodão!$E30:INDEX(Algodão!$E30:$Z30,MIN(Z$6-$E$3,22))&lt;&gt;""),Algodão!$E30:INDEX(Algodão!$E30:$Z30,MIN(Z$6-$E$3,22))),0))-IF($G$2,0,IF((Z$6-$G$3)&lt;1,0,IFERROR(LOOKUP(2,1/(Algodão!$E30:INDEX(Algodão!$E30:$Z30,MIN(Z$6-$G$3,22))&lt;&gt;""),Algodão!$E30:INDEX(Algodão!$E30:$Z30,MIN(Z$6-$G$3,22))),0)))))</f>
        <v>0</v>
      </c>
      <c r="AA32" s="27" t="n">
        <f aca="false">IF(COUNT(Algodão!$E30:$Z30)=0,0,MAX(0,IF((AA$6-$E$3)&lt;1,0,IFERROR(LOOKUP(2,1/(Algodão!$E30:INDEX(Algodão!$E30:$Z30,MIN(AA$6-$E$3,22))&lt;&gt;""),Algodão!$E30:INDEX(Algodão!$E30:$Z30,MIN(AA$6-$E$3,22))),0))-IF($G$2,0,IF((AA$6-$G$3)&lt;1,0,IFERROR(LOOKUP(2,1/(Algodão!$E30:INDEX(Algodão!$E30:$Z30,MIN(AA$6-$G$3,22))&lt;&gt;""),Algodão!$E30:INDEX(Algodão!$E30:$Z30,MIN(AA$6-$G$3,22))),0)))))</f>
        <v>0</v>
      </c>
      <c r="AB32" s="27" t="n">
        <f aca="false">IF(COUNT(Algodão!$E30:$Z30)=0,0,MAX(0,IF((AB$6-$E$3)&lt;1,0,IFERROR(LOOKUP(2,1/(Algodão!$E30:INDEX(Algodão!$E30:$Z30,MIN(AB$6-$E$3,22))&lt;&gt;""),Algodão!$E30:INDEX(Algodão!$E30:$Z30,MIN(AB$6-$E$3,22))),0))-IF($G$2,0,IF((AB$6-$G$3)&lt;1,0,IFERROR(LOOKUP(2,1/(Algodão!$E30:INDEX(Algodão!$E30:$Z30,MIN(AB$6-$G$3,22))&lt;&gt;""),Algodão!$E30:INDEX(Algodão!$E30:$Z30,MIN(AB$6-$G$3,22))),0)))))</f>
        <v>0</v>
      </c>
      <c r="AC32" s="27" t="n">
        <f aca="false">IF(COUNT(Algodão!$E30:$Z30)=0,0,MAX(0,IF((AC$6-$E$3)&lt;1,0,IFERROR(LOOKUP(2,1/(Algodão!$E30:INDEX(Algodão!$E30:$Z30,MIN(AC$6-$E$3,22))&lt;&gt;""),Algodão!$E30:INDEX(Algodão!$E30:$Z30,MIN(AC$6-$E$3,22))),0))-IF($G$2,0,IF((AC$6-$G$3)&lt;1,0,IFERROR(LOOKUP(2,1/(Algodão!$E30:INDEX(Algodão!$E30:$Z30,MIN(AC$6-$G$3,22))&lt;&gt;""),Algodão!$E30:INDEX(Algodão!$E30:$Z30,MIN(AC$6-$G$3,22))),0)))))</f>
        <v>0</v>
      </c>
      <c r="AD32" s="27" t="n">
        <f aca="false">IF(COUNT(Algodão!$E30:$Z30)=0,0,MAX(0,IF((AD$6-$E$3)&lt;1,0,IFERROR(LOOKUP(2,1/(Algodão!$E30:INDEX(Algodão!$E30:$Z30,MIN(AD$6-$E$3,22))&lt;&gt;""),Algodão!$E30:INDEX(Algodão!$E30:$Z30,MIN(AD$6-$E$3,22))),0))-IF($G$2,0,IF((AD$6-$G$3)&lt;1,0,IFERROR(LOOKUP(2,1/(Algodão!$E30:INDEX(Algodão!$E30:$Z30,MIN(AD$6-$G$3,22))&lt;&gt;""),Algodão!$E30:INDEX(Algodão!$E30:$Z30,MIN(AD$6-$G$3,22))),0)))))</f>
        <v>0</v>
      </c>
      <c r="AE32" s="27" t="n">
        <f aca="false">IF(COUNT(Algodão!$E30:$Z30)=0,0,MAX(0,IF((AE$6-$E$3)&lt;1,0,IFERROR(LOOKUP(2,1/(Algodão!$E30:INDEX(Algodão!$E30:$Z30,MIN(AE$6-$E$3,22))&lt;&gt;""),Algodão!$E30:INDEX(Algodão!$E30:$Z30,MIN(AE$6-$E$3,22))),0))-IF($G$2,0,IF((AE$6-$G$3)&lt;1,0,IFERROR(LOOKUP(2,1/(Algodão!$E30:INDEX(Algodão!$E30:$Z30,MIN(AE$6-$G$3,22))&lt;&gt;""),Algodão!$E30:INDEX(Algodão!$E30:$Z30,MIN(AE$6-$G$3,22))),0)))))</f>
        <v>0</v>
      </c>
      <c r="AF32" s="27" t="n">
        <f aca="false">IF(COUNT(Algodão!$E30:$Z30)=0,0,MAX(0,IF((AF$6-$E$3)&lt;1,0,IFERROR(LOOKUP(2,1/(Algodão!$E30:INDEX(Algodão!$E30:$Z30,MIN(AF$6-$E$3,22))&lt;&gt;""),Algodão!$E30:INDEX(Algodão!$E30:$Z30,MIN(AF$6-$E$3,22))),0))-IF($G$2,0,IF((AF$6-$G$3)&lt;1,0,IFERROR(LOOKUP(2,1/(Algodão!$E30:INDEX(Algodão!$E30:$Z30,MIN(AF$6-$G$3,22))&lt;&gt;""),Algodão!$E30:INDEX(Algodão!$E30:$Z30,MIN(AF$6-$G$3,22))),0)))))</f>
        <v>0</v>
      </c>
      <c r="AG32" s="27" t="n">
        <f aca="false">IF(COUNT(Algodão!$E30:$Z30)=0,0,MAX(0,IF((AG$6-$E$3)&lt;1,0,IFERROR(LOOKUP(2,1/(Algodão!$E30:INDEX(Algodão!$E30:$Z30,MIN(AG$6-$E$3,22))&lt;&gt;""),Algodão!$E30:INDEX(Algodão!$E30:$Z30,MIN(AG$6-$E$3,22))),0))-IF($G$2,0,IF((AG$6-$G$3)&lt;1,0,IFERROR(LOOKUP(2,1/(Algodão!$E30:INDEX(Algodão!$E30:$Z30,MIN(AG$6-$G$3,22))&lt;&gt;""),Algodão!$E30:INDEX(Algodão!$E30:$Z30,MIN(AG$6-$G$3,22))),0)))))</f>
        <v>0</v>
      </c>
      <c r="AH32" s="27" t="n">
        <f aca="false">IF(COUNT(Algodão!$E30:$Z30)=0,0,MAX(0,IF((AH$6-$E$3)&lt;1,0,IFERROR(LOOKUP(2,1/(Algodão!$E30:INDEX(Algodão!$E30:$Z30,MIN(AH$6-$E$3,22))&lt;&gt;""),Algodão!$E30:INDEX(Algodão!$E30:$Z30,MIN(AH$6-$E$3,22))),0))-IF($G$2,0,IF((AH$6-$G$3)&lt;1,0,IFERROR(LOOKUP(2,1/(Algodão!$E30:INDEX(Algodão!$E30:$Z30,MIN(AH$6-$G$3,22))&lt;&gt;""),Algodão!$E30:INDEX(Algodão!$E30:$Z30,MIN(AH$6-$G$3,22))),0)))))</f>
        <v>0</v>
      </c>
      <c r="AI32" s="27" t="n">
        <f aca="false">IF(COUNT(Algodão!$E30:$Z30)=0,0,MAX(0,IF((AI$6-$E$3)&lt;1,0,IFERROR(LOOKUP(2,1/(Algodão!$E30:INDEX(Algodão!$E30:$Z30,MIN(AI$6-$E$3,22))&lt;&gt;""),Algodão!$E30:INDEX(Algodão!$E30:$Z30,MIN(AI$6-$E$3,22))),0))-IF($G$2,0,IF((AI$6-$G$3)&lt;1,0,IFERROR(LOOKUP(2,1/(Algodão!$E30:INDEX(Algodão!$E30:$Z30,MIN(AI$6-$G$3,22))&lt;&gt;""),Algodão!$E30:INDEX(Algodão!$E30:$Z30,MIN(AI$6-$G$3,22))),0)))))</f>
        <v>0</v>
      </c>
      <c r="AJ32" s="27" t="n">
        <f aca="false">IF(COUNT(Algodão!$E30:$Z30)=0,0,MAX(0,IF((AJ$6-$E$3)&lt;1,0,IFERROR(LOOKUP(2,1/(Algodão!$E30:INDEX(Algodão!$E30:$Z30,MIN(AJ$6-$E$3,22))&lt;&gt;""),Algodão!$E30:INDEX(Algodão!$E30:$Z30,MIN(AJ$6-$E$3,22))),0))-IF($G$2,0,IF((AJ$6-$G$3)&lt;1,0,IFERROR(LOOKUP(2,1/(Algodão!$E30:INDEX(Algodão!$E30:$Z30,MIN(AJ$6-$G$3,22))&lt;&gt;""),Algodão!$E30:INDEX(Algodão!$E30:$Z30,MIN(AJ$6-$G$3,22))),0)))))</f>
        <v>0</v>
      </c>
      <c r="AK32" s="27" t="n">
        <f aca="false">IF(COUNT(Algodão!$E30:$Z30)=0,0,MAX(0,IF((AK$6-$E$3)&lt;1,0,IFERROR(LOOKUP(2,1/(Algodão!$E30:INDEX(Algodão!$E30:$Z30,MIN(AK$6-$E$3,22))&lt;&gt;""),Algodão!$E30:INDEX(Algodão!$E30:$Z30,MIN(AK$6-$E$3,22))),0))-IF($G$2,0,IF((AK$6-$G$3)&lt;1,0,IFERROR(LOOKUP(2,1/(Algodão!$E30:INDEX(Algodão!$E30:$Z30,MIN(AK$6-$G$3,22))&lt;&gt;""),Algodão!$E30:INDEX(Algodão!$E30:$Z30,MIN(AK$6-$G$3,22))),0)))))</f>
        <v>0</v>
      </c>
      <c r="AL32" s="27" t="n">
        <f aca="false">IF(COUNT(Algodão!$E30:$Z30)=0,0,MAX(0,IF((AL$6-$E$3)&lt;1,0,IFERROR(LOOKUP(2,1/(Algodão!$E30:INDEX(Algodão!$E30:$Z30,MIN(AL$6-$E$3,22))&lt;&gt;""),Algodão!$E30:INDEX(Algodão!$E30:$Z30,MIN(AL$6-$E$3,22))),0))-IF($G$2,0,IF((AL$6-$G$3)&lt;1,0,IFERROR(LOOKUP(2,1/(Algodão!$E30:INDEX(Algodão!$E30:$Z30,MIN(AL$6-$G$3,22))&lt;&gt;""),Algodão!$E30:INDEX(Algodão!$E30:$Z30,MIN(AL$6-$G$3,22))),0)))))</f>
        <v>0</v>
      </c>
      <c r="AM32" s="27" t="n">
        <f aca="false">IF(COUNT(Algodão!$E30:$Z30)=0,0,MAX(0,IF((AM$6-$E$3)&lt;1,0,IFERROR(LOOKUP(2,1/(Algodão!$E30:INDEX(Algodão!$E30:$Z30,MIN(AM$6-$E$3,22))&lt;&gt;""),Algodão!$E30:INDEX(Algodão!$E30:$Z30,MIN(AM$6-$E$3,22))),0))-IF($G$2,0,IF((AM$6-$G$3)&lt;1,0,IFERROR(LOOKUP(2,1/(Algodão!$E30:INDEX(Algodão!$E30:$Z30,MIN(AM$6-$G$3,22))&lt;&gt;""),Algodão!$E30:INDEX(Algodão!$E30:$Z30,MIN(AM$6-$G$3,22))),0)))))</f>
        <v>0</v>
      </c>
      <c r="AN32" s="27" t="n">
        <f aca="false">IF(COUNT(Algodão!$E30:$Z30)=0,0,MAX(0,IF((AN$6-$E$3)&lt;1,0,IFERROR(LOOKUP(2,1/(Algodão!$E30:INDEX(Algodão!$E30:$Z30,MIN(AN$6-$E$3,22))&lt;&gt;""),Algodão!$E30:INDEX(Algodão!$E30:$Z30,MIN(AN$6-$E$3,22))),0))-IF($G$2,0,IF((AN$6-$G$3)&lt;1,0,IFERROR(LOOKUP(2,1/(Algodão!$E30:INDEX(Algodão!$E30:$Z30,MIN(AN$6-$G$3,22))&lt;&gt;""),Algodão!$E30:INDEX(Algodão!$E30:$Z30,MIN(AN$6-$G$3,22))),0)))))</f>
        <v>0</v>
      </c>
      <c r="AO32" s="27" t="n">
        <f aca="false">IF(COUNT(Algodão!$E30:$Z30)=0,0,MAX(0,IF((AO$6-$E$3)&lt;1,0,IFERROR(LOOKUP(2,1/(Algodão!$E30:INDEX(Algodão!$E30:$Z30,MIN(AO$6-$E$3,22))&lt;&gt;""),Algodão!$E30:INDEX(Algodão!$E30:$Z30,MIN(AO$6-$E$3,22))),0))-IF($G$2,0,IF((AO$6-$G$3)&lt;1,0,IFERROR(LOOKUP(2,1/(Algodão!$E30:INDEX(Algodão!$E30:$Z30,MIN(AO$6-$G$3,22))&lt;&gt;""),Algodão!$E30:INDEX(Algodão!$E30:$Z30,MIN(AO$6-$G$3,22))),0)))))</f>
        <v>0</v>
      </c>
      <c r="AP32" s="27" t="n">
        <f aca="false">IF(COUNT(Algodão!$E30:$Z30)=0,0,MAX(0,IF((AP$6-$E$3)&lt;1,0,IFERROR(LOOKUP(2,1/(Algodão!$E30:INDEX(Algodão!$E30:$Z30,MIN(AP$6-$E$3,22))&lt;&gt;""),Algodão!$E30:INDEX(Algodão!$E30:$Z30,MIN(AP$6-$E$3,22))),0))-IF($G$2,0,IF((AP$6-$G$3)&lt;1,0,IFERROR(LOOKUP(2,1/(Algodão!$E30:INDEX(Algodão!$E30:$Z30,MIN(AP$6-$G$3,22))&lt;&gt;""),Algodão!$E30:INDEX(Algodão!$E30:$Z30,MIN(AP$6-$G$3,22))),0)))))</f>
        <v>0</v>
      </c>
      <c r="AQ32" s="27" t="n">
        <f aca="false">IF(COUNT(Algodão!$E30:$Z30)=0,0,MAX(0,IF((AQ$6-$E$3)&lt;1,0,IFERROR(LOOKUP(2,1/(Algodão!$E30:INDEX(Algodão!$E30:$Z30,MIN(AQ$6-$E$3,22))&lt;&gt;""),Algodão!$E30:INDEX(Algodão!$E30:$Z30,MIN(AQ$6-$E$3,22))),0))-IF($G$2,0,IF((AQ$6-$G$3)&lt;1,0,IFERROR(LOOKUP(2,1/(Algodão!$E30:INDEX(Algodão!$E30:$Z30,MIN(AQ$6-$G$3,22))&lt;&gt;""),Algodão!$E30:INDEX(Algodão!$E30:$Z30,MIN(AQ$6-$G$3,22))),0)))))</f>
        <v>0</v>
      </c>
      <c r="AR32" s="27" t="n">
        <f aca="false">IF(COUNT(Algodão!$E30:$Z30)=0,0,MAX(0,IF((AR$6-$E$3)&lt;1,0,IFERROR(LOOKUP(2,1/(Algodão!$E30:INDEX(Algodão!$E30:$Z30,MIN(AR$6-$E$3,22))&lt;&gt;""),Algodão!$E30:INDEX(Algodão!$E30:$Z30,MIN(AR$6-$E$3,22))),0))-IF($G$2,0,IF((AR$6-$G$3)&lt;1,0,IFERROR(LOOKUP(2,1/(Algodão!$E30:INDEX(Algodão!$E30:$Z30,MIN(AR$6-$G$3,22))&lt;&gt;""),Algodão!$E30:INDEX(Algodão!$E30:$Z30,MIN(AR$6-$G$3,22))),0)))))</f>
        <v>0</v>
      </c>
      <c r="AS32" s="27" t="n">
        <f aca="false">IF(COUNT(Algodão!$E30:$Z30)=0,0,MAX(0,IF((AS$6-$E$3)&lt;1,0,IFERROR(LOOKUP(2,1/(Algodão!$E30:INDEX(Algodão!$E30:$Z30,MIN(AS$6-$E$3,22))&lt;&gt;""),Algodão!$E30:INDEX(Algodão!$E30:$Z30,MIN(AS$6-$E$3,22))),0))-IF($G$2,0,IF((AS$6-$G$3)&lt;1,0,IFERROR(LOOKUP(2,1/(Algodão!$E30:INDEX(Algodão!$E30:$Z30,MIN(AS$6-$G$3,22))&lt;&gt;""),Algodão!$E30:INDEX(Algodão!$E30:$Z30,MIN(AS$6-$G$3,22))),0)))))</f>
        <v>0</v>
      </c>
      <c r="AT32" s="27" t="n">
        <f aca="false">IF(COUNT(Algodão!$E30:$Z30)=0,0,MAX(0,IF((AT$6-$E$3)&lt;1,0,IFERROR(LOOKUP(2,1/(Algodão!$E30:INDEX(Algodão!$E30:$Z30,MIN(AT$6-$E$3,22))&lt;&gt;""),Algodão!$E30:INDEX(Algodão!$E30:$Z30,MIN(AT$6-$E$3,22))),0))-IF($G$2,0,IF((AT$6-$G$3)&lt;1,0,IFERROR(LOOKUP(2,1/(Algodão!$E30:INDEX(Algodão!$E30:$Z30,MIN(AT$6-$G$3,22))&lt;&gt;""),Algodão!$E30:INDEX(Algodão!$E30:$Z30,MIN(AT$6-$G$3,22))),0)))))</f>
        <v>0</v>
      </c>
      <c r="AU32" s="27" t="n">
        <f aca="false">IF(COUNT(Algodão!$E30:$Z30)=0,0,MAX(0,IF((AU$6-$E$3)&lt;1,0,IFERROR(LOOKUP(2,1/(Algodão!$E30:INDEX(Algodão!$E30:$Z30,MIN(AU$6-$E$3,22))&lt;&gt;""),Algodão!$E30:INDEX(Algodão!$E30:$Z30,MIN(AU$6-$E$3,22))),0))-IF($G$2,0,IF((AU$6-$G$3)&lt;1,0,IFERROR(LOOKUP(2,1/(Algodão!$E30:INDEX(Algodão!$E30:$Z30,MIN(AU$6-$G$3,22))&lt;&gt;""),Algodão!$E30:INDEX(Algodão!$E30:$Z30,MIN(AU$6-$G$3,22))),0)))))</f>
        <v>0</v>
      </c>
      <c r="AV32" s="27" t="n">
        <f aca="false">IF(COUNT(Algodão!$E30:$Z30)=0,0,MAX(0,IF((AV$6-$E$3)&lt;1,0,IFERROR(LOOKUP(2,1/(Algodão!$E30:INDEX(Algodão!$E30:$Z30,MIN(AV$6-$E$3,22))&lt;&gt;""),Algodão!$E30:INDEX(Algodão!$E30:$Z30,MIN(AV$6-$E$3,22))),0))-IF($G$2,0,IF((AV$6-$G$3)&lt;1,0,IFERROR(LOOKUP(2,1/(Algodão!$E30:INDEX(Algodão!$E30:$Z30,MIN(AV$6-$G$3,22))&lt;&gt;""),Algodão!$E30:INDEX(Algodão!$E30:$Z30,MIN(AV$6-$G$3,22))),0)))))</f>
        <v>0</v>
      </c>
      <c r="AW32" s="27" t="n">
        <f aca="false">IF(COUNT(Algodão!$E30:$Z30)=0,0,MAX(0,IF((AW$6-$E$3)&lt;1,0,IFERROR(LOOKUP(2,1/(Algodão!$E30:INDEX(Algodão!$E30:$Z30,MIN(AW$6-$E$3,22))&lt;&gt;""),Algodão!$E30:INDEX(Algodão!$E30:$Z30,MIN(AW$6-$E$3,22))),0))-IF($G$2,0,IF((AW$6-$G$3)&lt;1,0,IFERROR(LOOKUP(2,1/(Algodão!$E30:INDEX(Algodão!$E30:$Z30,MIN(AW$6-$G$3,22))&lt;&gt;""),Algodão!$E30:INDEX(Algodão!$E30:$Z30,MIN(AW$6-$G$3,22))),0)))))</f>
        <v>0</v>
      </c>
      <c r="AX32" s="27" t="n">
        <f aca="false">IF(COUNT(Algodão!$E30:$Z30)=0,0,MAX(0,IF((AX$6-$E$3)&lt;1,0,IFERROR(LOOKUP(2,1/(Algodão!$E30:INDEX(Algodão!$E30:$Z30,MIN(AX$6-$E$3,22))&lt;&gt;""),Algodão!$E30:INDEX(Algodão!$E30:$Z30,MIN(AX$6-$E$3,22))),0))-IF($G$2,0,IF((AX$6-$G$3)&lt;1,0,IFERROR(LOOKUP(2,1/(Algodão!$E30:INDEX(Algodão!$E30:$Z30,MIN(AX$6-$G$3,22))&lt;&gt;""),Algodão!$E30:INDEX(Algodão!$E30:$Z30,MIN(AX$6-$G$3,22))),0)))))</f>
        <v>0</v>
      </c>
      <c r="AY32" s="27" t="n">
        <f aca="false">IF(COUNT(Algodão!$E30:$Z30)=0,0,MAX(0,IF((AY$6-$E$3)&lt;1,0,IFERROR(LOOKUP(2,1/(Algodão!$E30:INDEX(Algodão!$E30:$Z30,MIN(AY$6-$E$3,22))&lt;&gt;""),Algodão!$E30:INDEX(Algodão!$E30:$Z30,MIN(AY$6-$E$3,22))),0))-IF($G$2,0,IF((AY$6-$G$3)&lt;1,0,IFERROR(LOOKUP(2,1/(Algodão!$E30:INDEX(Algodão!$E30:$Z30,MIN(AY$6-$G$3,22))&lt;&gt;""),Algodão!$E30:INDEX(Algodão!$E30:$Z30,MIN(AY$6-$G$3,22))),0)))))</f>
        <v>0</v>
      </c>
      <c r="AZ32" s="27" t="n">
        <f aca="false">IF(COUNT(Algodão!$E30:$Z30)=0,0,MAX(0,IF((AZ$6-$E$3)&lt;1,0,IFERROR(LOOKUP(2,1/(Algodão!$E30:INDEX(Algodão!$E30:$Z30,MIN(AZ$6-$E$3,22))&lt;&gt;""),Algodão!$E30:INDEX(Algodão!$E30:$Z30,MIN(AZ$6-$E$3,22))),0))-IF($G$2,0,IF((AZ$6-$G$3)&lt;1,0,IFERROR(LOOKUP(2,1/(Algodão!$E30:INDEX(Algodão!$E30:$Z30,MIN(AZ$6-$G$3,22))&lt;&gt;""),Algodão!$E30:INDEX(Algodão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IF(COUNT(Algodão!$E31:$Z31)&gt;0,N(Algodão!$D31),0)</f>
        <v>0</v>
      </c>
      <c r="E33" s="27" t="n">
        <f aca="false">IF(COUNT(Algodão!$E31:$Z31)=0,0,MAX(0,IF((E$6-$E$3)&lt;1,0,IFERROR(LOOKUP(2,1/(Algodão!$E31:INDEX(Algodão!$E31:$Z31,MIN(E$6-$E$3,22))&lt;&gt;""),Algodão!$E31:INDEX(Algodão!$E31:$Z31,MIN(E$6-$E$3,22))),0))-IF($G$2,0,IF((E$6-$G$3)&lt;1,0,IFERROR(LOOKUP(2,1/(Algodão!$E31:INDEX(Algodão!$E31:$Z31,MIN(E$6-$G$3,22))&lt;&gt;""),Algodão!$E31:INDEX(Algodão!$E31:$Z31,MIN(E$6-$G$3,22))),0)))))</f>
        <v>0</v>
      </c>
      <c r="F33" s="27" t="n">
        <f aca="false">IF(COUNT(Algodão!$E31:$Z31)=0,0,MAX(0,IF((F$6-$E$3)&lt;1,0,IFERROR(LOOKUP(2,1/(Algodão!$E31:INDEX(Algodão!$E31:$Z31,MIN(F$6-$E$3,22))&lt;&gt;""),Algodão!$E31:INDEX(Algodão!$E31:$Z31,MIN(F$6-$E$3,22))),0))-IF($G$2,0,IF((F$6-$G$3)&lt;1,0,IFERROR(LOOKUP(2,1/(Algodão!$E31:INDEX(Algodão!$E31:$Z31,MIN(F$6-$G$3,22))&lt;&gt;""),Algodão!$E31:INDEX(Algodão!$E31:$Z31,MIN(F$6-$G$3,22))),0)))))</f>
        <v>0</v>
      </c>
      <c r="G33" s="27" t="n">
        <f aca="false">IF(COUNT(Algodão!$E31:$Z31)=0,0,MAX(0,IF((G$6-$E$3)&lt;1,0,IFERROR(LOOKUP(2,1/(Algodão!$E31:INDEX(Algodão!$E31:$Z31,MIN(G$6-$E$3,22))&lt;&gt;""),Algodão!$E31:INDEX(Algodão!$E31:$Z31,MIN(G$6-$E$3,22))),0))-IF($G$2,0,IF((G$6-$G$3)&lt;1,0,IFERROR(LOOKUP(2,1/(Algodão!$E31:INDEX(Algodão!$E31:$Z31,MIN(G$6-$G$3,22))&lt;&gt;""),Algodão!$E31:INDEX(Algodão!$E31:$Z31,MIN(G$6-$G$3,22))),0)))))</f>
        <v>0</v>
      </c>
      <c r="H33" s="27" t="n">
        <f aca="false">IF(COUNT(Algodão!$E31:$Z31)=0,0,MAX(0,IF((H$6-$E$3)&lt;1,0,IFERROR(LOOKUP(2,1/(Algodão!$E31:INDEX(Algodão!$E31:$Z31,MIN(H$6-$E$3,22))&lt;&gt;""),Algodão!$E31:INDEX(Algodão!$E31:$Z31,MIN(H$6-$E$3,22))),0))-IF($G$2,0,IF((H$6-$G$3)&lt;1,0,IFERROR(LOOKUP(2,1/(Algodão!$E31:INDEX(Algodão!$E31:$Z31,MIN(H$6-$G$3,22))&lt;&gt;""),Algodão!$E31:INDEX(Algodão!$E31:$Z31,MIN(H$6-$G$3,22))),0)))))</f>
        <v>0</v>
      </c>
      <c r="I33" s="27" t="n">
        <f aca="false">IF(COUNT(Algodão!$E31:$Z31)=0,0,MAX(0,IF((I$6-$E$3)&lt;1,0,IFERROR(LOOKUP(2,1/(Algodão!$E31:INDEX(Algodão!$E31:$Z31,MIN(I$6-$E$3,22))&lt;&gt;""),Algodão!$E31:INDEX(Algodão!$E31:$Z31,MIN(I$6-$E$3,22))),0))-IF($G$2,0,IF((I$6-$G$3)&lt;1,0,IFERROR(LOOKUP(2,1/(Algodão!$E31:INDEX(Algodão!$E31:$Z31,MIN(I$6-$G$3,22))&lt;&gt;""),Algodão!$E31:INDEX(Algodão!$E31:$Z31,MIN(I$6-$G$3,22))),0)))))</f>
        <v>0</v>
      </c>
      <c r="J33" s="27" t="n">
        <f aca="false">IF(COUNT(Algodão!$E31:$Z31)=0,0,MAX(0,IF((J$6-$E$3)&lt;1,0,IFERROR(LOOKUP(2,1/(Algodão!$E31:INDEX(Algodão!$E31:$Z31,MIN(J$6-$E$3,22))&lt;&gt;""),Algodão!$E31:INDEX(Algodão!$E31:$Z31,MIN(J$6-$E$3,22))),0))-IF($G$2,0,IF((J$6-$G$3)&lt;1,0,IFERROR(LOOKUP(2,1/(Algodão!$E31:INDEX(Algodão!$E31:$Z31,MIN(J$6-$G$3,22))&lt;&gt;""),Algodão!$E31:INDEX(Algodão!$E31:$Z31,MIN(J$6-$G$3,22))),0)))))</f>
        <v>0</v>
      </c>
      <c r="K33" s="27" t="n">
        <f aca="false">IF(COUNT(Algodão!$E31:$Z31)=0,0,MAX(0,IF((K$6-$E$3)&lt;1,0,IFERROR(LOOKUP(2,1/(Algodão!$E31:INDEX(Algodão!$E31:$Z31,MIN(K$6-$E$3,22))&lt;&gt;""),Algodão!$E31:INDEX(Algodão!$E31:$Z31,MIN(K$6-$E$3,22))),0))-IF($G$2,0,IF((K$6-$G$3)&lt;1,0,IFERROR(LOOKUP(2,1/(Algodão!$E31:INDEX(Algodão!$E31:$Z31,MIN(K$6-$G$3,22))&lt;&gt;""),Algodão!$E31:INDEX(Algodão!$E31:$Z31,MIN(K$6-$G$3,22))),0)))))</f>
        <v>0</v>
      </c>
      <c r="L33" s="27" t="n">
        <f aca="false">IF(COUNT(Algodão!$E31:$Z31)=0,0,MAX(0,IF((L$6-$E$3)&lt;1,0,IFERROR(LOOKUP(2,1/(Algodão!$E31:INDEX(Algodão!$E31:$Z31,MIN(L$6-$E$3,22))&lt;&gt;""),Algodão!$E31:INDEX(Algodão!$E31:$Z31,MIN(L$6-$E$3,22))),0))-IF($G$2,0,IF((L$6-$G$3)&lt;1,0,IFERROR(LOOKUP(2,1/(Algodão!$E31:INDEX(Algodão!$E31:$Z31,MIN(L$6-$G$3,22))&lt;&gt;""),Algodão!$E31:INDEX(Algodão!$E31:$Z31,MIN(L$6-$G$3,22))),0)))))</f>
        <v>0</v>
      </c>
      <c r="M33" s="27" t="n">
        <f aca="false">IF(COUNT(Algodão!$E31:$Z31)=0,0,MAX(0,IF((M$6-$E$3)&lt;1,0,IFERROR(LOOKUP(2,1/(Algodão!$E31:INDEX(Algodão!$E31:$Z31,MIN(M$6-$E$3,22))&lt;&gt;""),Algodão!$E31:INDEX(Algodão!$E31:$Z31,MIN(M$6-$E$3,22))),0))-IF($G$2,0,IF((M$6-$G$3)&lt;1,0,IFERROR(LOOKUP(2,1/(Algodão!$E31:INDEX(Algodão!$E31:$Z31,MIN(M$6-$G$3,22))&lt;&gt;""),Algodão!$E31:INDEX(Algodão!$E31:$Z31,MIN(M$6-$G$3,22))),0)))))</f>
        <v>0</v>
      </c>
      <c r="N33" s="27" t="n">
        <f aca="false">IF(COUNT(Algodão!$E31:$Z31)=0,0,MAX(0,IF((N$6-$E$3)&lt;1,0,IFERROR(LOOKUP(2,1/(Algodão!$E31:INDEX(Algodão!$E31:$Z31,MIN(N$6-$E$3,22))&lt;&gt;""),Algodão!$E31:INDEX(Algodão!$E31:$Z31,MIN(N$6-$E$3,22))),0))-IF($G$2,0,IF((N$6-$G$3)&lt;1,0,IFERROR(LOOKUP(2,1/(Algodão!$E31:INDEX(Algodão!$E31:$Z31,MIN(N$6-$G$3,22))&lt;&gt;""),Algodão!$E31:INDEX(Algodão!$E31:$Z31,MIN(N$6-$G$3,22))),0)))))</f>
        <v>0</v>
      </c>
      <c r="O33" s="27" t="n">
        <f aca="false">IF(COUNT(Algodão!$E31:$Z31)=0,0,MAX(0,IF((O$6-$E$3)&lt;1,0,IFERROR(LOOKUP(2,1/(Algodão!$E31:INDEX(Algodão!$E31:$Z31,MIN(O$6-$E$3,22))&lt;&gt;""),Algodão!$E31:INDEX(Algodão!$E31:$Z31,MIN(O$6-$E$3,22))),0))-IF($G$2,0,IF((O$6-$G$3)&lt;1,0,IFERROR(LOOKUP(2,1/(Algodão!$E31:INDEX(Algodão!$E31:$Z31,MIN(O$6-$G$3,22))&lt;&gt;""),Algodão!$E31:INDEX(Algodão!$E31:$Z31,MIN(O$6-$G$3,22))),0)))))</f>
        <v>0</v>
      </c>
      <c r="P33" s="27" t="n">
        <f aca="false">IF(COUNT(Algodão!$E31:$Z31)=0,0,MAX(0,IF((P$6-$E$3)&lt;1,0,IFERROR(LOOKUP(2,1/(Algodão!$E31:INDEX(Algodão!$E31:$Z31,MIN(P$6-$E$3,22))&lt;&gt;""),Algodão!$E31:INDEX(Algodão!$E31:$Z31,MIN(P$6-$E$3,22))),0))-IF($G$2,0,IF((P$6-$G$3)&lt;1,0,IFERROR(LOOKUP(2,1/(Algodão!$E31:INDEX(Algodão!$E31:$Z31,MIN(P$6-$G$3,22))&lt;&gt;""),Algodão!$E31:INDEX(Algodão!$E31:$Z31,MIN(P$6-$G$3,22))),0)))))</f>
        <v>0</v>
      </c>
      <c r="Q33" s="27" t="n">
        <f aca="false">IF(COUNT(Algodão!$E31:$Z31)=0,0,MAX(0,IF((Q$6-$E$3)&lt;1,0,IFERROR(LOOKUP(2,1/(Algodão!$E31:INDEX(Algodão!$E31:$Z31,MIN(Q$6-$E$3,22))&lt;&gt;""),Algodão!$E31:INDEX(Algodão!$E31:$Z31,MIN(Q$6-$E$3,22))),0))-IF($G$2,0,IF((Q$6-$G$3)&lt;1,0,IFERROR(LOOKUP(2,1/(Algodão!$E31:INDEX(Algodão!$E31:$Z31,MIN(Q$6-$G$3,22))&lt;&gt;""),Algodão!$E31:INDEX(Algodão!$E31:$Z31,MIN(Q$6-$G$3,22))),0)))))</f>
        <v>0</v>
      </c>
      <c r="R33" s="27" t="n">
        <f aca="false">IF(COUNT(Algodão!$E31:$Z31)=0,0,MAX(0,IF((R$6-$E$3)&lt;1,0,IFERROR(LOOKUP(2,1/(Algodão!$E31:INDEX(Algodão!$E31:$Z31,MIN(R$6-$E$3,22))&lt;&gt;""),Algodão!$E31:INDEX(Algodão!$E31:$Z31,MIN(R$6-$E$3,22))),0))-IF($G$2,0,IF((R$6-$G$3)&lt;1,0,IFERROR(LOOKUP(2,1/(Algodão!$E31:INDEX(Algodão!$E31:$Z31,MIN(R$6-$G$3,22))&lt;&gt;""),Algodão!$E31:INDEX(Algodão!$E31:$Z31,MIN(R$6-$G$3,22))),0)))))</f>
        <v>0</v>
      </c>
      <c r="S33" s="27" t="n">
        <f aca="false">IF(COUNT(Algodão!$E31:$Z31)=0,0,MAX(0,IF((S$6-$E$3)&lt;1,0,IFERROR(LOOKUP(2,1/(Algodão!$E31:INDEX(Algodão!$E31:$Z31,MIN(S$6-$E$3,22))&lt;&gt;""),Algodão!$E31:INDEX(Algodão!$E31:$Z31,MIN(S$6-$E$3,22))),0))-IF($G$2,0,IF((S$6-$G$3)&lt;1,0,IFERROR(LOOKUP(2,1/(Algodão!$E31:INDEX(Algodão!$E31:$Z31,MIN(S$6-$G$3,22))&lt;&gt;""),Algodão!$E31:INDEX(Algodão!$E31:$Z31,MIN(S$6-$G$3,22))),0)))))</f>
        <v>0</v>
      </c>
      <c r="T33" s="27" t="n">
        <f aca="false">IF(COUNT(Algodão!$E31:$Z31)=0,0,MAX(0,IF((T$6-$E$3)&lt;1,0,IFERROR(LOOKUP(2,1/(Algodão!$E31:INDEX(Algodão!$E31:$Z31,MIN(T$6-$E$3,22))&lt;&gt;""),Algodão!$E31:INDEX(Algodão!$E31:$Z31,MIN(T$6-$E$3,22))),0))-IF($G$2,0,IF((T$6-$G$3)&lt;1,0,IFERROR(LOOKUP(2,1/(Algodão!$E31:INDEX(Algodão!$E31:$Z31,MIN(T$6-$G$3,22))&lt;&gt;""),Algodão!$E31:INDEX(Algodão!$E31:$Z31,MIN(T$6-$G$3,22))),0)))))</f>
        <v>0</v>
      </c>
      <c r="U33" s="27" t="n">
        <f aca="false">IF(COUNT(Algodão!$E31:$Z31)=0,0,MAX(0,IF((U$6-$E$3)&lt;1,0,IFERROR(LOOKUP(2,1/(Algodão!$E31:INDEX(Algodão!$E31:$Z31,MIN(U$6-$E$3,22))&lt;&gt;""),Algodão!$E31:INDEX(Algodão!$E31:$Z31,MIN(U$6-$E$3,22))),0))-IF($G$2,0,IF((U$6-$G$3)&lt;1,0,IFERROR(LOOKUP(2,1/(Algodão!$E31:INDEX(Algodão!$E31:$Z31,MIN(U$6-$G$3,22))&lt;&gt;""),Algodão!$E31:INDEX(Algodão!$E31:$Z31,MIN(U$6-$G$3,22))),0)))))</f>
        <v>0</v>
      </c>
      <c r="V33" s="27" t="n">
        <f aca="false">IF(COUNT(Algodão!$E31:$Z31)=0,0,MAX(0,IF((V$6-$E$3)&lt;1,0,IFERROR(LOOKUP(2,1/(Algodão!$E31:INDEX(Algodão!$E31:$Z31,MIN(V$6-$E$3,22))&lt;&gt;""),Algodão!$E31:INDEX(Algodão!$E31:$Z31,MIN(V$6-$E$3,22))),0))-IF($G$2,0,IF((V$6-$G$3)&lt;1,0,IFERROR(LOOKUP(2,1/(Algodão!$E31:INDEX(Algodão!$E31:$Z31,MIN(V$6-$G$3,22))&lt;&gt;""),Algodão!$E31:INDEX(Algodão!$E31:$Z31,MIN(V$6-$G$3,22))),0)))))</f>
        <v>0</v>
      </c>
      <c r="W33" s="27" t="n">
        <f aca="false">IF(COUNT(Algodão!$E31:$Z31)=0,0,MAX(0,IF((W$6-$E$3)&lt;1,0,IFERROR(LOOKUP(2,1/(Algodão!$E31:INDEX(Algodão!$E31:$Z31,MIN(W$6-$E$3,22))&lt;&gt;""),Algodão!$E31:INDEX(Algodão!$E31:$Z31,MIN(W$6-$E$3,22))),0))-IF($G$2,0,IF((W$6-$G$3)&lt;1,0,IFERROR(LOOKUP(2,1/(Algodão!$E31:INDEX(Algodão!$E31:$Z31,MIN(W$6-$G$3,22))&lt;&gt;""),Algodão!$E31:INDEX(Algodão!$E31:$Z31,MIN(W$6-$G$3,22))),0)))))</f>
        <v>0</v>
      </c>
      <c r="X33" s="27" t="n">
        <f aca="false">IF(COUNT(Algodão!$E31:$Z31)=0,0,MAX(0,IF((X$6-$E$3)&lt;1,0,IFERROR(LOOKUP(2,1/(Algodão!$E31:INDEX(Algodão!$E31:$Z31,MIN(X$6-$E$3,22))&lt;&gt;""),Algodão!$E31:INDEX(Algodão!$E31:$Z31,MIN(X$6-$E$3,22))),0))-IF($G$2,0,IF((X$6-$G$3)&lt;1,0,IFERROR(LOOKUP(2,1/(Algodão!$E31:INDEX(Algodão!$E31:$Z31,MIN(X$6-$G$3,22))&lt;&gt;""),Algodão!$E31:INDEX(Algodão!$E31:$Z31,MIN(X$6-$G$3,22))),0)))))</f>
        <v>0</v>
      </c>
      <c r="Y33" s="27" t="n">
        <f aca="false">IF(COUNT(Algodão!$E31:$Z31)=0,0,MAX(0,IF((Y$6-$E$3)&lt;1,0,IFERROR(LOOKUP(2,1/(Algodão!$E31:INDEX(Algodão!$E31:$Z31,MIN(Y$6-$E$3,22))&lt;&gt;""),Algodão!$E31:INDEX(Algodão!$E31:$Z31,MIN(Y$6-$E$3,22))),0))-IF($G$2,0,IF((Y$6-$G$3)&lt;1,0,IFERROR(LOOKUP(2,1/(Algodão!$E31:INDEX(Algodão!$E31:$Z31,MIN(Y$6-$G$3,22))&lt;&gt;""),Algodão!$E31:INDEX(Algodão!$E31:$Z31,MIN(Y$6-$G$3,22))),0)))))</f>
        <v>0</v>
      </c>
      <c r="Z33" s="27" t="n">
        <f aca="false">IF(COUNT(Algodão!$E31:$Z31)=0,0,MAX(0,IF((Z$6-$E$3)&lt;1,0,IFERROR(LOOKUP(2,1/(Algodão!$E31:INDEX(Algodão!$E31:$Z31,MIN(Z$6-$E$3,22))&lt;&gt;""),Algodão!$E31:INDEX(Algodão!$E31:$Z31,MIN(Z$6-$E$3,22))),0))-IF($G$2,0,IF((Z$6-$G$3)&lt;1,0,IFERROR(LOOKUP(2,1/(Algodão!$E31:INDEX(Algodão!$E31:$Z31,MIN(Z$6-$G$3,22))&lt;&gt;""),Algodão!$E31:INDEX(Algodão!$E31:$Z31,MIN(Z$6-$G$3,22))),0)))))</f>
        <v>0</v>
      </c>
      <c r="AA33" s="27" t="n">
        <f aca="false">IF(COUNT(Algodão!$E31:$Z31)=0,0,MAX(0,IF((AA$6-$E$3)&lt;1,0,IFERROR(LOOKUP(2,1/(Algodão!$E31:INDEX(Algodão!$E31:$Z31,MIN(AA$6-$E$3,22))&lt;&gt;""),Algodão!$E31:INDEX(Algodão!$E31:$Z31,MIN(AA$6-$E$3,22))),0))-IF($G$2,0,IF((AA$6-$G$3)&lt;1,0,IFERROR(LOOKUP(2,1/(Algodão!$E31:INDEX(Algodão!$E31:$Z31,MIN(AA$6-$G$3,22))&lt;&gt;""),Algodão!$E31:INDEX(Algodão!$E31:$Z31,MIN(AA$6-$G$3,22))),0)))))</f>
        <v>0</v>
      </c>
      <c r="AB33" s="27" t="n">
        <f aca="false">IF(COUNT(Algodão!$E31:$Z31)=0,0,MAX(0,IF((AB$6-$E$3)&lt;1,0,IFERROR(LOOKUP(2,1/(Algodão!$E31:INDEX(Algodão!$E31:$Z31,MIN(AB$6-$E$3,22))&lt;&gt;""),Algodão!$E31:INDEX(Algodão!$E31:$Z31,MIN(AB$6-$E$3,22))),0))-IF($G$2,0,IF((AB$6-$G$3)&lt;1,0,IFERROR(LOOKUP(2,1/(Algodão!$E31:INDEX(Algodão!$E31:$Z31,MIN(AB$6-$G$3,22))&lt;&gt;""),Algodão!$E31:INDEX(Algodão!$E31:$Z31,MIN(AB$6-$G$3,22))),0)))))</f>
        <v>0</v>
      </c>
      <c r="AC33" s="27" t="n">
        <f aca="false">IF(COUNT(Algodão!$E31:$Z31)=0,0,MAX(0,IF((AC$6-$E$3)&lt;1,0,IFERROR(LOOKUP(2,1/(Algodão!$E31:INDEX(Algodão!$E31:$Z31,MIN(AC$6-$E$3,22))&lt;&gt;""),Algodão!$E31:INDEX(Algodão!$E31:$Z31,MIN(AC$6-$E$3,22))),0))-IF($G$2,0,IF((AC$6-$G$3)&lt;1,0,IFERROR(LOOKUP(2,1/(Algodão!$E31:INDEX(Algodão!$E31:$Z31,MIN(AC$6-$G$3,22))&lt;&gt;""),Algodão!$E31:INDEX(Algodão!$E31:$Z31,MIN(AC$6-$G$3,22))),0)))))</f>
        <v>0</v>
      </c>
      <c r="AD33" s="27" t="n">
        <f aca="false">IF(COUNT(Algodão!$E31:$Z31)=0,0,MAX(0,IF((AD$6-$E$3)&lt;1,0,IFERROR(LOOKUP(2,1/(Algodão!$E31:INDEX(Algodão!$E31:$Z31,MIN(AD$6-$E$3,22))&lt;&gt;""),Algodão!$E31:INDEX(Algodão!$E31:$Z31,MIN(AD$6-$E$3,22))),0))-IF($G$2,0,IF((AD$6-$G$3)&lt;1,0,IFERROR(LOOKUP(2,1/(Algodão!$E31:INDEX(Algodão!$E31:$Z31,MIN(AD$6-$G$3,22))&lt;&gt;""),Algodão!$E31:INDEX(Algodão!$E31:$Z31,MIN(AD$6-$G$3,22))),0)))))</f>
        <v>0</v>
      </c>
      <c r="AE33" s="27" t="n">
        <f aca="false">IF(COUNT(Algodão!$E31:$Z31)=0,0,MAX(0,IF((AE$6-$E$3)&lt;1,0,IFERROR(LOOKUP(2,1/(Algodão!$E31:INDEX(Algodão!$E31:$Z31,MIN(AE$6-$E$3,22))&lt;&gt;""),Algodão!$E31:INDEX(Algodão!$E31:$Z31,MIN(AE$6-$E$3,22))),0))-IF($G$2,0,IF((AE$6-$G$3)&lt;1,0,IFERROR(LOOKUP(2,1/(Algodão!$E31:INDEX(Algodão!$E31:$Z31,MIN(AE$6-$G$3,22))&lt;&gt;""),Algodão!$E31:INDEX(Algodão!$E31:$Z31,MIN(AE$6-$G$3,22))),0)))))</f>
        <v>0</v>
      </c>
      <c r="AF33" s="27" t="n">
        <f aca="false">IF(COUNT(Algodão!$E31:$Z31)=0,0,MAX(0,IF((AF$6-$E$3)&lt;1,0,IFERROR(LOOKUP(2,1/(Algodão!$E31:INDEX(Algodão!$E31:$Z31,MIN(AF$6-$E$3,22))&lt;&gt;""),Algodão!$E31:INDEX(Algodão!$E31:$Z31,MIN(AF$6-$E$3,22))),0))-IF($G$2,0,IF((AF$6-$G$3)&lt;1,0,IFERROR(LOOKUP(2,1/(Algodão!$E31:INDEX(Algodão!$E31:$Z31,MIN(AF$6-$G$3,22))&lt;&gt;""),Algodão!$E31:INDEX(Algodão!$E31:$Z31,MIN(AF$6-$G$3,22))),0)))))</f>
        <v>0</v>
      </c>
      <c r="AG33" s="27" t="n">
        <f aca="false">IF(COUNT(Algodão!$E31:$Z31)=0,0,MAX(0,IF((AG$6-$E$3)&lt;1,0,IFERROR(LOOKUP(2,1/(Algodão!$E31:INDEX(Algodão!$E31:$Z31,MIN(AG$6-$E$3,22))&lt;&gt;""),Algodão!$E31:INDEX(Algodão!$E31:$Z31,MIN(AG$6-$E$3,22))),0))-IF($G$2,0,IF((AG$6-$G$3)&lt;1,0,IFERROR(LOOKUP(2,1/(Algodão!$E31:INDEX(Algodão!$E31:$Z31,MIN(AG$6-$G$3,22))&lt;&gt;""),Algodão!$E31:INDEX(Algodão!$E31:$Z31,MIN(AG$6-$G$3,22))),0)))))</f>
        <v>0</v>
      </c>
      <c r="AH33" s="27" t="n">
        <f aca="false">IF(COUNT(Algodão!$E31:$Z31)=0,0,MAX(0,IF((AH$6-$E$3)&lt;1,0,IFERROR(LOOKUP(2,1/(Algodão!$E31:INDEX(Algodão!$E31:$Z31,MIN(AH$6-$E$3,22))&lt;&gt;""),Algodão!$E31:INDEX(Algodão!$E31:$Z31,MIN(AH$6-$E$3,22))),0))-IF($G$2,0,IF((AH$6-$G$3)&lt;1,0,IFERROR(LOOKUP(2,1/(Algodão!$E31:INDEX(Algodão!$E31:$Z31,MIN(AH$6-$G$3,22))&lt;&gt;""),Algodão!$E31:INDEX(Algodão!$E31:$Z31,MIN(AH$6-$G$3,22))),0)))))</f>
        <v>0</v>
      </c>
      <c r="AI33" s="27" t="n">
        <f aca="false">IF(COUNT(Algodão!$E31:$Z31)=0,0,MAX(0,IF((AI$6-$E$3)&lt;1,0,IFERROR(LOOKUP(2,1/(Algodão!$E31:INDEX(Algodão!$E31:$Z31,MIN(AI$6-$E$3,22))&lt;&gt;""),Algodão!$E31:INDEX(Algodão!$E31:$Z31,MIN(AI$6-$E$3,22))),0))-IF($G$2,0,IF((AI$6-$G$3)&lt;1,0,IFERROR(LOOKUP(2,1/(Algodão!$E31:INDEX(Algodão!$E31:$Z31,MIN(AI$6-$G$3,22))&lt;&gt;""),Algodão!$E31:INDEX(Algodão!$E31:$Z31,MIN(AI$6-$G$3,22))),0)))))</f>
        <v>0</v>
      </c>
      <c r="AJ33" s="27" t="n">
        <f aca="false">IF(COUNT(Algodão!$E31:$Z31)=0,0,MAX(0,IF((AJ$6-$E$3)&lt;1,0,IFERROR(LOOKUP(2,1/(Algodão!$E31:INDEX(Algodão!$E31:$Z31,MIN(AJ$6-$E$3,22))&lt;&gt;""),Algodão!$E31:INDEX(Algodão!$E31:$Z31,MIN(AJ$6-$E$3,22))),0))-IF($G$2,0,IF((AJ$6-$G$3)&lt;1,0,IFERROR(LOOKUP(2,1/(Algodão!$E31:INDEX(Algodão!$E31:$Z31,MIN(AJ$6-$G$3,22))&lt;&gt;""),Algodão!$E31:INDEX(Algodão!$E31:$Z31,MIN(AJ$6-$G$3,22))),0)))))</f>
        <v>0</v>
      </c>
      <c r="AK33" s="27" t="n">
        <f aca="false">IF(COUNT(Algodão!$E31:$Z31)=0,0,MAX(0,IF((AK$6-$E$3)&lt;1,0,IFERROR(LOOKUP(2,1/(Algodão!$E31:INDEX(Algodão!$E31:$Z31,MIN(AK$6-$E$3,22))&lt;&gt;""),Algodão!$E31:INDEX(Algodão!$E31:$Z31,MIN(AK$6-$E$3,22))),0))-IF($G$2,0,IF((AK$6-$G$3)&lt;1,0,IFERROR(LOOKUP(2,1/(Algodão!$E31:INDEX(Algodão!$E31:$Z31,MIN(AK$6-$G$3,22))&lt;&gt;""),Algodão!$E31:INDEX(Algodão!$E31:$Z31,MIN(AK$6-$G$3,22))),0)))))</f>
        <v>0</v>
      </c>
      <c r="AL33" s="27" t="n">
        <f aca="false">IF(COUNT(Algodão!$E31:$Z31)=0,0,MAX(0,IF((AL$6-$E$3)&lt;1,0,IFERROR(LOOKUP(2,1/(Algodão!$E31:INDEX(Algodão!$E31:$Z31,MIN(AL$6-$E$3,22))&lt;&gt;""),Algodão!$E31:INDEX(Algodão!$E31:$Z31,MIN(AL$6-$E$3,22))),0))-IF($G$2,0,IF((AL$6-$G$3)&lt;1,0,IFERROR(LOOKUP(2,1/(Algodão!$E31:INDEX(Algodão!$E31:$Z31,MIN(AL$6-$G$3,22))&lt;&gt;""),Algodão!$E31:INDEX(Algodão!$E31:$Z31,MIN(AL$6-$G$3,22))),0)))))</f>
        <v>0</v>
      </c>
      <c r="AM33" s="27" t="n">
        <f aca="false">IF(COUNT(Algodão!$E31:$Z31)=0,0,MAX(0,IF((AM$6-$E$3)&lt;1,0,IFERROR(LOOKUP(2,1/(Algodão!$E31:INDEX(Algodão!$E31:$Z31,MIN(AM$6-$E$3,22))&lt;&gt;""),Algodão!$E31:INDEX(Algodão!$E31:$Z31,MIN(AM$6-$E$3,22))),0))-IF($G$2,0,IF((AM$6-$G$3)&lt;1,0,IFERROR(LOOKUP(2,1/(Algodão!$E31:INDEX(Algodão!$E31:$Z31,MIN(AM$6-$G$3,22))&lt;&gt;""),Algodão!$E31:INDEX(Algodão!$E31:$Z31,MIN(AM$6-$G$3,22))),0)))))</f>
        <v>0</v>
      </c>
      <c r="AN33" s="27" t="n">
        <f aca="false">IF(COUNT(Algodão!$E31:$Z31)=0,0,MAX(0,IF((AN$6-$E$3)&lt;1,0,IFERROR(LOOKUP(2,1/(Algodão!$E31:INDEX(Algodão!$E31:$Z31,MIN(AN$6-$E$3,22))&lt;&gt;""),Algodão!$E31:INDEX(Algodão!$E31:$Z31,MIN(AN$6-$E$3,22))),0))-IF($G$2,0,IF((AN$6-$G$3)&lt;1,0,IFERROR(LOOKUP(2,1/(Algodão!$E31:INDEX(Algodão!$E31:$Z31,MIN(AN$6-$G$3,22))&lt;&gt;""),Algodão!$E31:INDEX(Algodão!$E31:$Z31,MIN(AN$6-$G$3,22))),0)))))</f>
        <v>0</v>
      </c>
      <c r="AO33" s="27" t="n">
        <f aca="false">IF(COUNT(Algodão!$E31:$Z31)=0,0,MAX(0,IF((AO$6-$E$3)&lt;1,0,IFERROR(LOOKUP(2,1/(Algodão!$E31:INDEX(Algodão!$E31:$Z31,MIN(AO$6-$E$3,22))&lt;&gt;""),Algodão!$E31:INDEX(Algodão!$E31:$Z31,MIN(AO$6-$E$3,22))),0))-IF($G$2,0,IF((AO$6-$G$3)&lt;1,0,IFERROR(LOOKUP(2,1/(Algodão!$E31:INDEX(Algodão!$E31:$Z31,MIN(AO$6-$G$3,22))&lt;&gt;""),Algodão!$E31:INDEX(Algodão!$E31:$Z31,MIN(AO$6-$G$3,22))),0)))))</f>
        <v>0</v>
      </c>
      <c r="AP33" s="27" t="n">
        <f aca="false">IF(COUNT(Algodão!$E31:$Z31)=0,0,MAX(0,IF((AP$6-$E$3)&lt;1,0,IFERROR(LOOKUP(2,1/(Algodão!$E31:INDEX(Algodão!$E31:$Z31,MIN(AP$6-$E$3,22))&lt;&gt;""),Algodão!$E31:INDEX(Algodão!$E31:$Z31,MIN(AP$6-$E$3,22))),0))-IF($G$2,0,IF((AP$6-$G$3)&lt;1,0,IFERROR(LOOKUP(2,1/(Algodão!$E31:INDEX(Algodão!$E31:$Z31,MIN(AP$6-$G$3,22))&lt;&gt;""),Algodão!$E31:INDEX(Algodão!$E31:$Z31,MIN(AP$6-$G$3,22))),0)))))</f>
        <v>0</v>
      </c>
      <c r="AQ33" s="27" t="n">
        <f aca="false">IF(COUNT(Algodão!$E31:$Z31)=0,0,MAX(0,IF((AQ$6-$E$3)&lt;1,0,IFERROR(LOOKUP(2,1/(Algodão!$E31:INDEX(Algodão!$E31:$Z31,MIN(AQ$6-$E$3,22))&lt;&gt;""),Algodão!$E31:INDEX(Algodão!$E31:$Z31,MIN(AQ$6-$E$3,22))),0))-IF($G$2,0,IF((AQ$6-$G$3)&lt;1,0,IFERROR(LOOKUP(2,1/(Algodão!$E31:INDEX(Algodão!$E31:$Z31,MIN(AQ$6-$G$3,22))&lt;&gt;""),Algodão!$E31:INDEX(Algodão!$E31:$Z31,MIN(AQ$6-$G$3,22))),0)))))</f>
        <v>0</v>
      </c>
      <c r="AR33" s="27" t="n">
        <f aca="false">IF(COUNT(Algodão!$E31:$Z31)=0,0,MAX(0,IF((AR$6-$E$3)&lt;1,0,IFERROR(LOOKUP(2,1/(Algodão!$E31:INDEX(Algodão!$E31:$Z31,MIN(AR$6-$E$3,22))&lt;&gt;""),Algodão!$E31:INDEX(Algodão!$E31:$Z31,MIN(AR$6-$E$3,22))),0))-IF($G$2,0,IF((AR$6-$G$3)&lt;1,0,IFERROR(LOOKUP(2,1/(Algodão!$E31:INDEX(Algodão!$E31:$Z31,MIN(AR$6-$G$3,22))&lt;&gt;""),Algodão!$E31:INDEX(Algodão!$E31:$Z31,MIN(AR$6-$G$3,22))),0)))))</f>
        <v>0</v>
      </c>
      <c r="AS33" s="27" t="n">
        <f aca="false">IF(COUNT(Algodão!$E31:$Z31)=0,0,MAX(0,IF((AS$6-$E$3)&lt;1,0,IFERROR(LOOKUP(2,1/(Algodão!$E31:INDEX(Algodão!$E31:$Z31,MIN(AS$6-$E$3,22))&lt;&gt;""),Algodão!$E31:INDEX(Algodão!$E31:$Z31,MIN(AS$6-$E$3,22))),0))-IF($G$2,0,IF((AS$6-$G$3)&lt;1,0,IFERROR(LOOKUP(2,1/(Algodão!$E31:INDEX(Algodão!$E31:$Z31,MIN(AS$6-$G$3,22))&lt;&gt;""),Algodão!$E31:INDEX(Algodão!$E31:$Z31,MIN(AS$6-$G$3,22))),0)))))</f>
        <v>0</v>
      </c>
      <c r="AT33" s="27" t="n">
        <f aca="false">IF(COUNT(Algodão!$E31:$Z31)=0,0,MAX(0,IF((AT$6-$E$3)&lt;1,0,IFERROR(LOOKUP(2,1/(Algodão!$E31:INDEX(Algodão!$E31:$Z31,MIN(AT$6-$E$3,22))&lt;&gt;""),Algodão!$E31:INDEX(Algodão!$E31:$Z31,MIN(AT$6-$E$3,22))),0))-IF($G$2,0,IF((AT$6-$G$3)&lt;1,0,IFERROR(LOOKUP(2,1/(Algodão!$E31:INDEX(Algodão!$E31:$Z31,MIN(AT$6-$G$3,22))&lt;&gt;""),Algodão!$E31:INDEX(Algodão!$E31:$Z31,MIN(AT$6-$G$3,22))),0)))))</f>
        <v>0</v>
      </c>
      <c r="AU33" s="27" t="n">
        <f aca="false">IF(COUNT(Algodão!$E31:$Z31)=0,0,MAX(0,IF((AU$6-$E$3)&lt;1,0,IFERROR(LOOKUP(2,1/(Algodão!$E31:INDEX(Algodão!$E31:$Z31,MIN(AU$6-$E$3,22))&lt;&gt;""),Algodão!$E31:INDEX(Algodão!$E31:$Z31,MIN(AU$6-$E$3,22))),0))-IF($G$2,0,IF((AU$6-$G$3)&lt;1,0,IFERROR(LOOKUP(2,1/(Algodão!$E31:INDEX(Algodão!$E31:$Z31,MIN(AU$6-$G$3,22))&lt;&gt;""),Algodão!$E31:INDEX(Algodão!$E31:$Z31,MIN(AU$6-$G$3,22))),0)))))</f>
        <v>0</v>
      </c>
      <c r="AV33" s="27" t="n">
        <f aca="false">IF(COUNT(Algodão!$E31:$Z31)=0,0,MAX(0,IF((AV$6-$E$3)&lt;1,0,IFERROR(LOOKUP(2,1/(Algodão!$E31:INDEX(Algodão!$E31:$Z31,MIN(AV$6-$E$3,22))&lt;&gt;""),Algodão!$E31:INDEX(Algodão!$E31:$Z31,MIN(AV$6-$E$3,22))),0))-IF($G$2,0,IF((AV$6-$G$3)&lt;1,0,IFERROR(LOOKUP(2,1/(Algodão!$E31:INDEX(Algodão!$E31:$Z31,MIN(AV$6-$G$3,22))&lt;&gt;""),Algodão!$E31:INDEX(Algodão!$E31:$Z31,MIN(AV$6-$G$3,22))),0)))))</f>
        <v>0</v>
      </c>
      <c r="AW33" s="27" t="n">
        <f aca="false">IF(COUNT(Algodão!$E31:$Z31)=0,0,MAX(0,IF((AW$6-$E$3)&lt;1,0,IFERROR(LOOKUP(2,1/(Algodão!$E31:INDEX(Algodão!$E31:$Z31,MIN(AW$6-$E$3,22))&lt;&gt;""),Algodão!$E31:INDEX(Algodão!$E31:$Z31,MIN(AW$6-$E$3,22))),0))-IF($G$2,0,IF((AW$6-$G$3)&lt;1,0,IFERROR(LOOKUP(2,1/(Algodão!$E31:INDEX(Algodão!$E31:$Z31,MIN(AW$6-$G$3,22))&lt;&gt;""),Algodão!$E31:INDEX(Algodão!$E31:$Z31,MIN(AW$6-$G$3,22))),0)))))</f>
        <v>0</v>
      </c>
      <c r="AX33" s="27" t="n">
        <f aca="false">IF(COUNT(Algodão!$E31:$Z31)=0,0,MAX(0,IF((AX$6-$E$3)&lt;1,0,IFERROR(LOOKUP(2,1/(Algodão!$E31:INDEX(Algodão!$E31:$Z31,MIN(AX$6-$E$3,22))&lt;&gt;""),Algodão!$E31:INDEX(Algodão!$E31:$Z31,MIN(AX$6-$E$3,22))),0))-IF($G$2,0,IF((AX$6-$G$3)&lt;1,0,IFERROR(LOOKUP(2,1/(Algodão!$E31:INDEX(Algodão!$E31:$Z31,MIN(AX$6-$G$3,22))&lt;&gt;""),Algodão!$E31:INDEX(Algodão!$E31:$Z31,MIN(AX$6-$G$3,22))),0)))))</f>
        <v>0</v>
      </c>
      <c r="AY33" s="27" t="n">
        <f aca="false">IF(COUNT(Algodão!$E31:$Z31)=0,0,MAX(0,IF((AY$6-$E$3)&lt;1,0,IFERROR(LOOKUP(2,1/(Algodão!$E31:INDEX(Algodão!$E31:$Z31,MIN(AY$6-$E$3,22))&lt;&gt;""),Algodão!$E31:INDEX(Algodão!$E31:$Z31,MIN(AY$6-$E$3,22))),0))-IF($G$2,0,IF((AY$6-$G$3)&lt;1,0,IFERROR(LOOKUP(2,1/(Algodão!$E31:INDEX(Algodão!$E31:$Z31,MIN(AY$6-$G$3,22))&lt;&gt;""),Algodão!$E31:INDEX(Algodão!$E31:$Z31,MIN(AY$6-$G$3,22))),0)))))</f>
        <v>0</v>
      </c>
      <c r="AZ33" s="27" t="n">
        <f aca="false">IF(COUNT(Algodão!$E31:$Z31)=0,0,MAX(0,IF((AZ$6-$E$3)&lt;1,0,IFERROR(LOOKUP(2,1/(Algodão!$E31:INDEX(Algodão!$E31:$Z31,MIN(AZ$6-$E$3,22))&lt;&gt;""),Algodão!$E31:INDEX(Algodão!$E31:$Z31,MIN(AZ$6-$E$3,22))),0))-IF($G$2,0,IF((AZ$6-$G$3)&lt;1,0,IFERROR(LOOKUP(2,1/(Algodão!$E31:INDEX(Algodão!$E31:$Z31,MIN(AZ$6-$G$3,22))&lt;&gt;""),Algodão!$E31:INDEX(Algodão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IF(COUNT(Algodão!$E32:$Z32)&gt;0,N(Algodão!$D32),0)</f>
        <v>0</v>
      </c>
      <c r="E34" s="27" t="n">
        <f aca="false">IF(COUNT(Algodão!$E32:$Z32)=0,0,MAX(0,IF((E$6-$E$3)&lt;1,0,IFERROR(LOOKUP(2,1/(Algodão!$E32:INDEX(Algodão!$E32:$Z32,MIN(E$6-$E$3,22))&lt;&gt;""),Algodão!$E32:INDEX(Algodão!$E32:$Z32,MIN(E$6-$E$3,22))),0))-IF($G$2,0,IF((E$6-$G$3)&lt;1,0,IFERROR(LOOKUP(2,1/(Algodão!$E32:INDEX(Algodão!$E32:$Z32,MIN(E$6-$G$3,22))&lt;&gt;""),Algodão!$E32:INDEX(Algodão!$E32:$Z32,MIN(E$6-$G$3,22))),0)))))</f>
        <v>0</v>
      </c>
      <c r="F34" s="27" t="n">
        <f aca="false">IF(COUNT(Algodão!$E32:$Z32)=0,0,MAX(0,IF((F$6-$E$3)&lt;1,0,IFERROR(LOOKUP(2,1/(Algodão!$E32:INDEX(Algodão!$E32:$Z32,MIN(F$6-$E$3,22))&lt;&gt;""),Algodão!$E32:INDEX(Algodão!$E32:$Z32,MIN(F$6-$E$3,22))),0))-IF($G$2,0,IF((F$6-$G$3)&lt;1,0,IFERROR(LOOKUP(2,1/(Algodão!$E32:INDEX(Algodão!$E32:$Z32,MIN(F$6-$G$3,22))&lt;&gt;""),Algodão!$E32:INDEX(Algodão!$E32:$Z32,MIN(F$6-$G$3,22))),0)))))</f>
        <v>0</v>
      </c>
      <c r="G34" s="27" t="n">
        <f aca="false">IF(COUNT(Algodão!$E32:$Z32)=0,0,MAX(0,IF((G$6-$E$3)&lt;1,0,IFERROR(LOOKUP(2,1/(Algodão!$E32:INDEX(Algodão!$E32:$Z32,MIN(G$6-$E$3,22))&lt;&gt;""),Algodão!$E32:INDEX(Algodão!$E32:$Z32,MIN(G$6-$E$3,22))),0))-IF($G$2,0,IF((G$6-$G$3)&lt;1,0,IFERROR(LOOKUP(2,1/(Algodão!$E32:INDEX(Algodão!$E32:$Z32,MIN(G$6-$G$3,22))&lt;&gt;""),Algodão!$E32:INDEX(Algodão!$E32:$Z32,MIN(G$6-$G$3,22))),0)))))</f>
        <v>0</v>
      </c>
      <c r="H34" s="27" t="n">
        <f aca="false">IF(COUNT(Algodão!$E32:$Z32)=0,0,MAX(0,IF((H$6-$E$3)&lt;1,0,IFERROR(LOOKUP(2,1/(Algodão!$E32:INDEX(Algodão!$E32:$Z32,MIN(H$6-$E$3,22))&lt;&gt;""),Algodão!$E32:INDEX(Algodão!$E32:$Z32,MIN(H$6-$E$3,22))),0))-IF($G$2,0,IF((H$6-$G$3)&lt;1,0,IFERROR(LOOKUP(2,1/(Algodão!$E32:INDEX(Algodão!$E32:$Z32,MIN(H$6-$G$3,22))&lt;&gt;""),Algodão!$E32:INDEX(Algodão!$E32:$Z32,MIN(H$6-$G$3,22))),0)))))</f>
        <v>0</v>
      </c>
      <c r="I34" s="27" t="n">
        <f aca="false">IF(COUNT(Algodão!$E32:$Z32)=0,0,MAX(0,IF((I$6-$E$3)&lt;1,0,IFERROR(LOOKUP(2,1/(Algodão!$E32:INDEX(Algodão!$E32:$Z32,MIN(I$6-$E$3,22))&lt;&gt;""),Algodão!$E32:INDEX(Algodão!$E32:$Z32,MIN(I$6-$E$3,22))),0))-IF($G$2,0,IF((I$6-$G$3)&lt;1,0,IFERROR(LOOKUP(2,1/(Algodão!$E32:INDEX(Algodão!$E32:$Z32,MIN(I$6-$G$3,22))&lt;&gt;""),Algodão!$E32:INDEX(Algodão!$E32:$Z32,MIN(I$6-$G$3,22))),0)))))</f>
        <v>0</v>
      </c>
      <c r="J34" s="27" t="n">
        <f aca="false">IF(COUNT(Algodão!$E32:$Z32)=0,0,MAX(0,IF((J$6-$E$3)&lt;1,0,IFERROR(LOOKUP(2,1/(Algodão!$E32:INDEX(Algodão!$E32:$Z32,MIN(J$6-$E$3,22))&lt;&gt;""),Algodão!$E32:INDEX(Algodão!$E32:$Z32,MIN(J$6-$E$3,22))),0))-IF($G$2,0,IF((J$6-$G$3)&lt;1,0,IFERROR(LOOKUP(2,1/(Algodão!$E32:INDEX(Algodão!$E32:$Z32,MIN(J$6-$G$3,22))&lt;&gt;""),Algodão!$E32:INDEX(Algodão!$E32:$Z32,MIN(J$6-$G$3,22))),0)))))</f>
        <v>0</v>
      </c>
      <c r="K34" s="27" t="n">
        <f aca="false">IF(COUNT(Algodão!$E32:$Z32)=0,0,MAX(0,IF((K$6-$E$3)&lt;1,0,IFERROR(LOOKUP(2,1/(Algodão!$E32:INDEX(Algodão!$E32:$Z32,MIN(K$6-$E$3,22))&lt;&gt;""),Algodão!$E32:INDEX(Algodão!$E32:$Z32,MIN(K$6-$E$3,22))),0))-IF($G$2,0,IF((K$6-$G$3)&lt;1,0,IFERROR(LOOKUP(2,1/(Algodão!$E32:INDEX(Algodão!$E32:$Z32,MIN(K$6-$G$3,22))&lt;&gt;""),Algodão!$E32:INDEX(Algodão!$E32:$Z32,MIN(K$6-$G$3,22))),0)))))</f>
        <v>0</v>
      </c>
      <c r="L34" s="27" t="n">
        <f aca="false">IF(COUNT(Algodão!$E32:$Z32)=0,0,MAX(0,IF((L$6-$E$3)&lt;1,0,IFERROR(LOOKUP(2,1/(Algodão!$E32:INDEX(Algodão!$E32:$Z32,MIN(L$6-$E$3,22))&lt;&gt;""),Algodão!$E32:INDEX(Algodão!$E32:$Z32,MIN(L$6-$E$3,22))),0))-IF($G$2,0,IF((L$6-$G$3)&lt;1,0,IFERROR(LOOKUP(2,1/(Algodão!$E32:INDEX(Algodão!$E32:$Z32,MIN(L$6-$G$3,22))&lt;&gt;""),Algodão!$E32:INDEX(Algodão!$E32:$Z32,MIN(L$6-$G$3,22))),0)))))</f>
        <v>0</v>
      </c>
      <c r="M34" s="27" t="n">
        <f aca="false">IF(COUNT(Algodão!$E32:$Z32)=0,0,MAX(0,IF((M$6-$E$3)&lt;1,0,IFERROR(LOOKUP(2,1/(Algodão!$E32:INDEX(Algodão!$E32:$Z32,MIN(M$6-$E$3,22))&lt;&gt;""),Algodão!$E32:INDEX(Algodão!$E32:$Z32,MIN(M$6-$E$3,22))),0))-IF($G$2,0,IF((M$6-$G$3)&lt;1,0,IFERROR(LOOKUP(2,1/(Algodão!$E32:INDEX(Algodão!$E32:$Z32,MIN(M$6-$G$3,22))&lt;&gt;""),Algodão!$E32:INDEX(Algodão!$E32:$Z32,MIN(M$6-$G$3,22))),0)))))</f>
        <v>0</v>
      </c>
      <c r="N34" s="27" t="n">
        <f aca="false">IF(COUNT(Algodão!$E32:$Z32)=0,0,MAX(0,IF((N$6-$E$3)&lt;1,0,IFERROR(LOOKUP(2,1/(Algodão!$E32:INDEX(Algodão!$E32:$Z32,MIN(N$6-$E$3,22))&lt;&gt;""),Algodão!$E32:INDEX(Algodão!$E32:$Z32,MIN(N$6-$E$3,22))),0))-IF($G$2,0,IF((N$6-$G$3)&lt;1,0,IFERROR(LOOKUP(2,1/(Algodão!$E32:INDEX(Algodão!$E32:$Z32,MIN(N$6-$G$3,22))&lt;&gt;""),Algodão!$E32:INDEX(Algodão!$E32:$Z32,MIN(N$6-$G$3,22))),0)))))</f>
        <v>0</v>
      </c>
      <c r="O34" s="27" t="n">
        <f aca="false">IF(COUNT(Algodão!$E32:$Z32)=0,0,MAX(0,IF((O$6-$E$3)&lt;1,0,IFERROR(LOOKUP(2,1/(Algodão!$E32:INDEX(Algodão!$E32:$Z32,MIN(O$6-$E$3,22))&lt;&gt;""),Algodão!$E32:INDEX(Algodão!$E32:$Z32,MIN(O$6-$E$3,22))),0))-IF($G$2,0,IF((O$6-$G$3)&lt;1,0,IFERROR(LOOKUP(2,1/(Algodão!$E32:INDEX(Algodão!$E32:$Z32,MIN(O$6-$G$3,22))&lt;&gt;""),Algodão!$E32:INDEX(Algodão!$E32:$Z32,MIN(O$6-$G$3,22))),0)))))</f>
        <v>0</v>
      </c>
      <c r="P34" s="27" t="n">
        <f aca="false">IF(COUNT(Algodão!$E32:$Z32)=0,0,MAX(0,IF((P$6-$E$3)&lt;1,0,IFERROR(LOOKUP(2,1/(Algodão!$E32:INDEX(Algodão!$E32:$Z32,MIN(P$6-$E$3,22))&lt;&gt;""),Algodão!$E32:INDEX(Algodão!$E32:$Z32,MIN(P$6-$E$3,22))),0))-IF($G$2,0,IF((P$6-$G$3)&lt;1,0,IFERROR(LOOKUP(2,1/(Algodão!$E32:INDEX(Algodão!$E32:$Z32,MIN(P$6-$G$3,22))&lt;&gt;""),Algodão!$E32:INDEX(Algodão!$E32:$Z32,MIN(P$6-$G$3,22))),0)))))</f>
        <v>0</v>
      </c>
      <c r="Q34" s="27" t="n">
        <f aca="false">IF(COUNT(Algodão!$E32:$Z32)=0,0,MAX(0,IF((Q$6-$E$3)&lt;1,0,IFERROR(LOOKUP(2,1/(Algodão!$E32:INDEX(Algodão!$E32:$Z32,MIN(Q$6-$E$3,22))&lt;&gt;""),Algodão!$E32:INDEX(Algodão!$E32:$Z32,MIN(Q$6-$E$3,22))),0))-IF($G$2,0,IF((Q$6-$G$3)&lt;1,0,IFERROR(LOOKUP(2,1/(Algodão!$E32:INDEX(Algodão!$E32:$Z32,MIN(Q$6-$G$3,22))&lt;&gt;""),Algodão!$E32:INDEX(Algodão!$E32:$Z32,MIN(Q$6-$G$3,22))),0)))))</f>
        <v>0</v>
      </c>
      <c r="R34" s="27" t="n">
        <f aca="false">IF(COUNT(Algodão!$E32:$Z32)=0,0,MAX(0,IF((R$6-$E$3)&lt;1,0,IFERROR(LOOKUP(2,1/(Algodão!$E32:INDEX(Algodão!$E32:$Z32,MIN(R$6-$E$3,22))&lt;&gt;""),Algodão!$E32:INDEX(Algodão!$E32:$Z32,MIN(R$6-$E$3,22))),0))-IF($G$2,0,IF((R$6-$G$3)&lt;1,0,IFERROR(LOOKUP(2,1/(Algodão!$E32:INDEX(Algodão!$E32:$Z32,MIN(R$6-$G$3,22))&lt;&gt;""),Algodão!$E32:INDEX(Algodão!$E32:$Z32,MIN(R$6-$G$3,22))),0)))))</f>
        <v>0</v>
      </c>
      <c r="S34" s="27" t="n">
        <f aca="false">IF(COUNT(Algodão!$E32:$Z32)=0,0,MAX(0,IF((S$6-$E$3)&lt;1,0,IFERROR(LOOKUP(2,1/(Algodão!$E32:INDEX(Algodão!$E32:$Z32,MIN(S$6-$E$3,22))&lt;&gt;""),Algodão!$E32:INDEX(Algodão!$E32:$Z32,MIN(S$6-$E$3,22))),0))-IF($G$2,0,IF((S$6-$G$3)&lt;1,0,IFERROR(LOOKUP(2,1/(Algodão!$E32:INDEX(Algodão!$E32:$Z32,MIN(S$6-$G$3,22))&lt;&gt;""),Algodão!$E32:INDEX(Algodão!$E32:$Z32,MIN(S$6-$G$3,22))),0)))))</f>
        <v>0</v>
      </c>
      <c r="T34" s="27" t="n">
        <f aca="false">IF(COUNT(Algodão!$E32:$Z32)=0,0,MAX(0,IF((T$6-$E$3)&lt;1,0,IFERROR(LOOKUP(2,1/(Algodão!$E32:INDEX(Algodão!$E32:$Z32,MIN(T$6-$E$3,22))&lt;&gt;""),Algodão!$E32:INDEX(Algodão!$E32:$Z32,MIN(T$6-$E$3,22))),0))-IF($G$2,0,IF((T$6-$G$3)&lt;1,0,IFERROR(LOOKUP(2,1/(Algodão!$E32:INDEX(Algodão!$E32:$Z32,MIN(T$6-$G$3,22))&lt;&gt;""),Algodão!$E32:INDEX(Algodão!$E32:$Z32,MIN(T$6-$G$3,22))),0)))))</f>
        <v>0</v>
      </c>
      <c r="U34" s="27" t="n">
        <f aca="false">IF(COUNT(Algodão!$E32:$Z32)=0,0,MAX(0,IF((U$6-$E$3)&lt;1,0,IFERROR(LOOKUP(2,1/(Algodão!$E32:INDEX(Algodão!$E32:$Z32,MIN(U$6-$E$3,22))&lt;&gt;""),Algodão!$E32:INDEX(Algodão!$E32:$Z32,MIN(U$6-$E$3,22))),0))-IF($G$2,0,IF((U$6-$G$3)&lt;1,0,IFERROR(LOOKUP(2,1/(Algodão!$E32:INDEX(Algodão!$E32:$Z32,MIN(U$6-$G$3,22))&lt;&gt;""),Algodão!$E32:INDEX(Algodão!$E32:$Z32,MIN(U$6-$G$3,22))),0)))))</f>
        <v>0</v>
      </c>
      <c r="V34" s="27" t="n">
        <f aca="false">IF(COUNT(Algodão!$E32:$Z32)=0,0,MAX(0,IF((V$6-$E$3)&lt;1,0,IFERROR(LOOKUP(2,1/(Algodão!$E32:INDEX(Algodão!$E32:$Z32,MIN(V$6-$E$3,22))&lt;&gt;""),Algodão!$E32:INDEX(Algodão!$E32:$Z32,MIN(V$6-$E$3,22))),0))-IF($G$2,0,IF((V$6-$G$3)&lt;1,0,IFERROR(LOOKUP(2,1/(Algodão!$E32:INDEX(Algodão!$E32:$Z32,MIN(V$6-$G$3,22))&lt;&gt;""),Algodão!$E32:INDEX(Algodão!$E32:$Z32,MIN(V$6-$G$3,22))),0)))))</f>
        <v>0</v>
      </c>
      <c r="W34" s="27" t="n">
        <f aca="false">IF(COUNT(Algodão!$E32:$Z32)=0,0,MAX(0,IF((W$6-$E$3)&lt;1,0,IFERROR(LOOKUP(2,1/(Algodão!$E32:INDEX(Algodão!$E32:$Z32,MIN(W$6-$E$3,22))&lt;&gt;""),Algodão!$E32:INDEX(Algodão!$E32:$Z32,MIN(W$6-$E$3,22))),0))-IF($G$2,0,IF((W$6-$G$3)&lt;1,0,IFERROR(LOOKUP(2,1/(Algodão!$E32:INDEX(Algodão!$E32:$Z32,MIN(W$6-$G$3,22))&lt;&gt;""),Algodão!$E32:INDEX(Algodão!$E32:$Z32,MIN(W$6-$G$3,22))),0)))))</f>
        <v>0</v>
      </c>
      <c r="X34" s="27" t="n">
        <f aca="false">IF(COUNT(Algodão!$E32:$Z32)=0,0,MAX(0,IF((X$6-$E$3)&lt;1,0,IFERROR(LOOKUP(2,1/(Algodão!$E32:INDEX(Algodão!$E32:$Z32,MIN(X$6-$E$3,22))&lt;&gt;""),Algodão!$E32:INDEX(Algodão!$E32:$Z32,MIN(X$6-$E$3,22))),0))-IF($G$2,0,IF((X$6-$G$3)&lt;1,0,IFERROR(LOOKUP(2,1/(Algodão!$E32:INDEX(Algodão!$E32:$Z32,MIN(X$6-$G$3,22))&lt;&gt;""),Algodão!$E32:INDEX(Algodão!$E32:$Z32,MIN(X$6-$G$3,22))),0)))))</f>
        <v>0</v>
      </c>
      <c r="Y34" s="27" t="n">
        <f aca="false">IF(COUNT(Algodão!$E32:$Z32)=0,0,MAX(0,IF((Y$6-$E$3)&lt;1,0,IFERROR(LOOKUP(2,1/(Algodão!$E32:INDEX(Algodão!$E32:$Z32,MIN(Y$6-$E$3,22))&lt;&gt;""),Algodão!$E32:INDEX(Algodão!$E32:$Z32,MIN(Y$6-$E$3,22))),0))-IF($G$2,0,IF((Y$6-$G$3)&lt;1,0,IFERROR(LOOKUP(2,1/(Algodão!$E32:INDEX(Algodão!$E32:$Z32,MIN(Y$6-$G$3,22))&lt;&gt;""),Algodão!$E32:INDEX(Algodão!$E32:$Z32,MIN(Y$6-$G$3,22))),0)))))</f>
        <v>0</v>
      </c>
      <c r="Z34" s="27" t="n">
        <f aca="false">IF(COUNT(Algodão!$E32:$Z32)=0,0,MAX(0,IF((Z$6-$E$3)&lt;1,0,IFERROR(LOOKUP(2,1/(Algodão!$E32:INDEX(Algodão!$E32:$Z32,MIN(Z$6-$E$3,22))&lt;&gt;""),Algodão!$E32:INDEX(Algodão!$E32:$Z32,MIN(Z$6-$E$3,22))),0))-IF($G$2,0,IF((Z$6-$G$3)&lt;1,0,IFERROR(LOOKUP(2,1/(Algodão!$E32:INDEX(Algodão!$E32:$Z32,MIN(Z$6-$G$3,22))&lt;&gt;""),Algodão!$E32:INDEX(Algodão!$E32:$Z32,MIN(Z$6-$G$3,22))),0)))))</f>
        <v>0</v>
      </c>
      <c r="AA34" s="27" t="n">
        <f aca="false">IF(COUNT(Algodão!$E32:$Z32)=0,0,MAX(0,IF((AA$6-$E$3)&lt;1,0,IFERROR(LOOKUP(2,1/(Algodão!$E32:INDEX(Algodão!$E32:$Z32,MIN(AA$6-$E$3,22))&lt;&gt;""),Algodão!$E32:INDEX(Algodão!$E32:$Z32,MIN(AA$6-$E$3,22))),0))-IF($G$2,0,IF((AA$6-$G$3)&lt;1,0,IFERROR(LOOKUP(2,1/(Algodão!$E32:INDEX(Algodão!$E32:$Z32,MIN(AA$6-$G$3,22))&lt;&gt;""),Algodão!$E32:INDEX(Algodão!$E32:$Z32,MIN(AA$6-$G$3,22))),0)))))</f>
        <v>0</v>
      </c>
      <c r="AB34" s="27" t="n">
        <f aca="false">IF(COUNT(Algodão!$E32:$Z32)=0,0,MAX(0,IF((AB$6-$E$3)&lt;1,0,IFERROR(LOOKUP(2,1/(Algodão!$E32:INDEX(Algodão!$E32:$Z32,MIN(AB$6-$E$3,22))&lt;&gt;""),Algodão!$E32:INDEX(Algodão!$E32:$Z32,MIN(AB$6-$E$3,22))),0))-IF($G$2,0,IF((AB$6-$G$3)&lt;1,0,IFERROR(LOOKUP(2,1/(Algodão!$E32:INDEX(Algodão!$E32:$Z32,MIN(AB$6-$G$3,22))&lt;&gt;""),Algodão!$E32:INDEX(Algodão!$E32:$Z32,MIN(AB$6-$G$3,22))),0)))))</f>
        <v>0</v>
      </c>
      <c r="AC34" s="27" t="n">
        <f aca="false">IF(COUNT(Algodão!$E32:$Z32)=0,0,MAX(0,IF((AC$6-$E$3)&lt;1,0,IFERROR(LOOKUP(2,1/(Algodão!$E32:INDEX(Algodão!$E32:$Z32,MIN(AC$6-$E$3,22))&lt;&gt;""),Algodão!$E32:INDEX(Algodão!$E32:$Z32,MIN(AC$6-$E$3,22))),0))-IF($G$2,0,IF((AC$6-$G$3)&lt;1,0,IFERROR(LOOKUP(2,1/(Algodão!$E32:INDEX(Algodão!$E32:$Z32,MIN(AC$6-$G$3,22))&lt;&gt;""),Algodão!$E32:INDEX(Algodão!$E32:$Z32,MIN(AC$6-$G$3,22))),0)))))</f>
        <v>0</v>
      </c>
      <c r="AD34" s="27" t="n">
        <f aca="false">IF(COUNT(Algodão!$E32:$Z32)=0,0,MAX(0,IF((AD$6-$E$3)&lt;1,0,IFERROR(LOOKUP(2,1/(Algodão!$E32:INDEX(Algodão!$E32:$Z32,MIN(AD$6-$E$3,22))&lt;&gt;""),Algodão!$E32:INDEX(Algodão!$E32:$Z32,MIN(AD$6-$E$3,22))),0))-IF($G$2,0,IF((AD$6-$G$3)&lt;1,0,IFERROR(LOOKUP(2,1/(Algodão!$E32:INDEX(Algodão!$E32:$Z32,MIN(AD$6-$G$3,22))&lt;&gt;""),Algodão!$E32:INDEX(Algodão!$E32:$Z32,MIN(AD$6-$G$3,22))),0)))))</f>
        <v>0</v>
      </c>
      <c r="AE34" s="27" t="n">
        <f aca="false">IF(COUNT(Algodão!$E32:$Z32)=0,0,MAX(0,IF((AE$6-$E$3)&lt;1,0,IFERROR(LOOKUP(2,1/(Algodão!$E32:INDEX(Algodão!$E32:$Z32,MIN(AE$6-$E$3,22))&lt;&gt;""),Algodão!$E32:INDEX(Algodão!$E32:$Z32,MIN(AE$6-$E$3,22))),0))-IF($G$2,0,IF((AE$6-$G$3)&lt;1,0,IFERROR(LOOKUP(2,1/(Algodão!$E32:INDEX(Algodão!$E32:$Z32,MIN(AE$6-$G$3,22))&lt;&gt;""),Algodão!$E32:INDEX(Algodão!$E32:$Z32,MIN(AE$6-$G$3,22))),0)))))</f>
        <v>0</v>
      </c>
      <c r="AF34" s="27" t="n">
        <f aca="false">IF(COUNT(Algodão!$E32:$Z32)=0,0,MAX(0,IF((AF$6-$E$3)&lt;1,0,IFERROR(LOOKUP(2,1/(Algodão!$E32:INDEX(Algodão!$E32:$Z32,MIN(AF$6-$E$3,22))&lt;&gt;""),Algodão!$E32:INDEX(Algodão!$E32:$Z32,MIN(AF$6-$E$3,22))),0))-IF($G$2,0,IF((AF$6-$G$3)&lt;1,0,IFERROR(LOOKUP(2,1/(Algodão!$E32:INDEX(Algodão!$E32:$Z32,MIN(AF$6-$G$3,22))&lt;&gt;""),Algodão!$E32:INDEX(Algodão!$E32:$Z32,MIN(AF$6-$G$3,22))),0)))))</f>
        <v>0</v>
      </c>
      <c r="AG34" s="27" t="n">
        <f aca="false">IF(COUNT(Algodão!$E32:$Z32)=0,0,MAX(0,IF((AG$6-$E$3)&lt;1,0,IFERROR(LOOKUP(2,1/(Algodão!$E32:INDEX(Algodão!$E32:$Z32,MIN(AG$6-$E$3,22))&lt;&gt;""),Algodão!$E32:INDEX(Algodão!$E32:$Z32,MIN(AG$6-$E$3,22))),0))-IF($G$2,0,IF((AG$6-$G$3)&lt;1,0,IFERROR(LOOKUP(2,1/(Algodão!$E32:INDEX(Algodão!$E32:$Z32,MIN(AG$6-$G$3,22))&lt;&gt;""),Algodão!$E32:INDEX(Algodão!$E32:$Z32,MIN(AG$6-$G$3,22))),0)))))</f>
        <v>0</v>
      </c>
      <c r="AH34" s="27" t="n">
        <f aca="false">IF(COUNT(Algodão!$E32:$Z32)=0,0,MAX(0,IF((AH$6-$E$3)&lt;1,0,IFERROR(LOOKUP(2,1/(Algodão!$E32:INDEX(Algodão!$E32:$Z32,MIN(AH$6-$E$3,22))&lt;&gt;""),Algodão!$E32:INDEX(Algodão!$E32:$Z32,MIN(AH$6-$E$3,22))),0))-IF($G$2,0,IF((AH$6-$G$3)&lt;1,0,IFERROR(LOOKUP(2,1/(Algodão!$E32:INDEX(Algodão!$E32:$Z32,MIN(AH$6-$G$3,22))&lt;&gt;""),Algodão!$E32:INDEX(Algodão!$E32:$Z32,MIN(AH$6-$G$3,22))),0)))))</f>
        <v>0</v>
      </c>
      <c r="AI34" s="27" t="n">
        <f aca="false">IF(COUNT(Algodão!$E32:$Z32)=0,0,MAX(0,IF((AI$6-$E$3)&lt;1,0,IFERROR(LOOKUP(2,1/(Algodão!$E32:INDEX(Algodão!$E32:$Z32,MIN(AI$6-$E$3,22))&lt;&gt;""),Algodão!$E32:INDEX(Algodão!$E32:$Z32,MIN(AI$6-$E$3,22))),0))-IF($G$2,0,IF((AI$6-$G$3)&lt;1,0,IFERROR(LOOKUP(2,1/(Algodão!$E32:INDEX(Algodão!$E32:$Z32,MIN(AI$6-$G$3,22))&lt;&gt;""),Algodão!$E32:INDEX(Algodão!$E32:$Z32,MIN(AI$6-$G$3,22))),0)))))</f>
        <v>0</v>
      </c>
      <c r="AJ34" s="27" t="n">
        <f aca="false">IF(COUNT(Algodão!$E32:$Z32)=0,0,MAX(0,IF((AJ$6-$E$3)&lt;1,0,IFERROR(LOOKUP(2,1/(Algodão!$E32:INDEX(Algodão!$E32:$Z32,MIN(AJ$6-$E$3,22))&lt;&gt;""),Algodão!$E32:INDEX(Algodão!$E32:$Z32,MIN(AJ$6-$E$3,22))),0))-IF($G$2,0,IF((AJ$6-$G$3)&lt;1,0,IFERROR(LOOKUP(2,1/(Algodão!$E32:INDEX(Algodão!$E32:$Z32,MIN(AJ$6-$G$3,22))&lt;&gt;""),Algodão!$E32:INDEX(Algodão!$E32:$Z32,MIN(AJ$6-$G$3,22))),0)))))</f>
        <v>0</v>
      </c>
      <c r="AK34" s="27" t="n">
        <f aca="false">IF(COUNT(Algodão!$E32:$Z32)=0,0,MAX(0,IF((AK$6-$E$3)&lt;1,0,IFERROR(LOOKUP(2,1/(Algodão!$E32:INDEX(Algodão!$E32:$Z32,MIN(AK$6-$E$3,22))&lt;&gt;""),Algodão!$E32:INDEX(Algodão!$E32:$Z32,MIN(AK$6-$E$3,22))),0))-IF($G$2,0,IF((AK$6-$G$3)&lt;1,0,IFERROR(LOOKUP(2,1/(Algodão!$E32:INDEX(Algodão!$E32:$Z32,MIN(AK$6-$G$3,22))&lt;&gt;""),Algodão!$E32:INDEX(Algodão!$E32:$Z32,MIN(AK$6-$G$3,22))),0)))))</f>
        <v>0</v>
      </c>
      <c r="AL34" s="27" t="n">
        <f aca="false">IF(COUNT(Algodão!$E32:$Z32)=0,0,MAX(0,IF((AL$6-$E$3)&lt;1,0,IFERROR(LOOKUP(2,1/(Algodão!$E32:INDEX(Algodão!$E32:$Z32,MIN(AL$6-$E$3,22))&lt;&gt;""),Algodão!$E32:INDEX(Algodão!$E32:$Z32,MIN(AL$6-$E$3,22))),0))-IF($G$2,0,IF((AL$6-$G$3)&lt;1,0,IFERROR(LOOKUP(2,1/(Algodão!$E32:INDEX(Algodão!$E32:$Z32,MIN(AL$6-$G$3,22))&lt;&gt;""),Algodão!$E32:INDEX(Algodão!$E32:$Z32,MIN(AL$6-$G$3,22))),0)))))</f>
        <v>0</v>
      </c>
      <c r="AM34" s="27" t="n">
        <f aca="false">IF(COUNT(Algodão!$E32:$Z32)=0,0,MAX(0,IF((AM$6-$E$3)&lt;1,0,IFERROR(LOOKUP(2,1/(Algodão!$E32:INDEX(Algodão!$E32:$Z32,MIN(AM$6-$E$3,22))&lt;&gt;""),Algodão!$E32:INDEX(Algodão!$E32:$Z32,MIN(AM$6-$E$3,22))),0))-IF($G$2,0,IF((AM$6-$G$3)&lt;1,0,IFERROR(LOOKUP(2,1/(Algodão!$E32:INDEX(Algodão!$E32:$Z32,MIN(AM$6-$G$3,22))&lt;&gt;""),Algodão!$E32:INDEX(Algodão!$E32:$Z32,MIN(AM$6-$G$3,22))),0)))))</f>
        <v>0</v>
      </c>
      <c r="AN34" s="27" t="n">
        <f aca="false">IF(COUNT(Algodão!$E32:$Z32)=0,0,MAX(0,IF((AN$6-$E$3)&lt;1,0,IFERROR(LOOKUP(2,1/(Algodão!$E32:INDEX(Algodão!$E32:$Z32,MIN(AN$6-$E$3,22))&lt;&gt;""),Algodão!$E32:INDEX(Algodão!$E32:$Z32,MIN(AN$6-$E$3,22))),0))-IF($G$2,0,IF((AN$6-$G$3)&lt;1,0,IFERROR(LOOKUP(2,1/(Algodão!$E32:INDEX(Algodão!$E32:$Z32,MIN(AN$6-$G$3,22))&lt;&gt;""),Algodão!$E32:INDEX(Algodão!$E32:$Z32,MIN(AN$6-$G$3,22))),0)))))</f>
        <v>0</v>
      </c>
      <c r="AO34" s="27" t="n">
        <f aca="false">IF(COUNT(Algodão!$E32:$Z32)=0,0,MAX(0,IF((AO$6-$E$3)&lt;1,0,IFERROR(LOOKUP(2,1/(Algodão!$E32:INDEX(Algodão!$E32:$Z32,MIN(AO$6-$E$3,22))&lt;&gt;""),Algodão!$E32:INDEX(Algodão!$E32:$Z32,MIN(AO$6-$E$3,22))),0))-IF($G$2,0,IF((AO$6-$G$3)&lt;1,0,IFERROR(LOOKUP(2,1/(Algodão!$E32:INDEX(Algodão!$E32:$Z32,MIN(AO$6-$G$3,22))&lt;&gt;""),Algodão!$E32:INDEX(Algodão!$E32:$Z32,MIN(AO$6-$G$3,22))),0)))))</f>
        <v>0</v>
      </c>
      <c r="AP34" s="27" t="n">
        <f aca="false">IF(COUNT(Algodão!$E32:$Z32)=0,0,MAX(0,IF((AP$6-$E$3)&lt;1,0,IFERROR(LOOKUP(2,1/(Algodão!$E32:INDEX(Algodão!$E32:$Z32,MIN(AP$6-$E$3,22))&lt;&gt;""),Algodão!$E32:INDEX(Algodão!$E32:$Z32,MIN(AP$6-$E$3,22))),0))-IF($G$2,0,IF((AP$6-$G$3)&lt;1,0,IFERROR(LOOKUP(2,1/(Algodão!$E32:INDEX(Algodão!$E32:$Z32,MIN(AP$6-$G$3,22))&lt;&gt;""),Algodão!$E32:INDEX(Algodão!$E32:$Z32,MIN(AP$6-$G$3,22))),0)))))</f>
        <v>0</v>
      </c>
      <c r="AQ34" s="27" t="n">
        <f aca="false">IF(COUNT(Algodão!$E32:$Z32)=0,0,MAX(0,IF((AQ$6-$E$3)&lt;1,0,IFERROR(LOOKUP(2,1/(Algodão!$E32:INDEX(Algodão!$E32:$Z32,MIN(AQ$6-$E$3,22))&lt;&gt;""),Algodão!$E32:INDEX(Algodão!$E32:$Z32,MIN(AQ$6-$E$3,22))),0))-IF($G$2,0,IF((AQ$6-$G$3)&lt;1,0,IFERROR(LOOKUP(2,1/(Algodão!$E32:INDEX(Algodão!$E32:$Z32,MIN(AQ$6-$G$3,22))&lt;&gt;""),Algodão!$E32:INDEX(Algodão!$E32:$Z32,MIN(AQ$6-$G$3,22))),0)))))</f>
        <v>0</v>
      </c>
      <c r="AR34" s="27" t="n">
        <f aca="false">IF(COUNT(Algodão!$E32:$Z32)=0,0,MAX(0,IF((AR$6-$E$3)&lt;1,0,IFERROR(LOOKUP(2,1/(Algodão!$E32:INDEX(Algodão!$E32:$Z32,MIN(AR$6-$E$3,22))&lt;&gt;""),Algodão!$E32:INDEX(Algodão!$E32:$Z32,MIN(AR$6-$E$3,22))),0))-IF($G$2,0,IF((AR$6-$G$3)&lt;1,0,IFERROR(LOOKUP(2,1/(Algodão!$E32:INDEX(Algodão!$E32:$Z32,MIN(AR$6-$G$3,22))&lt;&gt;""),Algodão!$E32:INDEX(Algodão!$E32:$Z32,MIN(AR$6-$G$3,22))),0)))))</f>
        <v>0</v>
      </c>
      <c r="AS34" s="27" t="n">
        <f aca="false">IF(COUNT(Algodão!$E32:$Z32)=0,0,MAX(0,IF((AS$6-$E$3)&lt;1,0,IFERROR(LOOKUP(2,1/(Algodão!$E32:INDEX(Algodão!$E32:$Z32,MIN(AS$6-$E$3,22))&lt;&gt;""),Algodão!$E32:INDEX(Algodão!$E32:$Z32,MIN(AS$6-$E$3,22))),0))-IF($G$2,0,IF((AS$6-$G$3)&lt;1,0,IFERROR(LOOKUP(2,1/(Algodão!$E32:INDEX(Algodão!$E32:$Z32,MIN(AS$6-$G$3,22))&lt;&gt;""),Algodão!$E32:INDEX(Algodão!$E32:$Z32,MIN(AS$6-$G$3,22))),0)))))</f>
        <v>0</v>
      </c>
      <c r="AT34" s="27" t="n">
        <f aca="false">IF(COUNT(Algodão!$E32:$Z32)=0,0,MAX(0,IF((AT$6-$E$3)&lt;1,0,IFERROR(LOOKUP(2,1/(Algodão!$E32:INDEX(Algodão!$E32:$Z32,MIN(AT$6-$E$3,22))&lt;&gt;""),Algodão!$E32:INDEX(Algodão!$E32:$Z32,MIN(AT$6-$E$3,22))),0))-IF($G$2,0,IF((AT$6-$G$3)&lt;1,0,IFERROR(LOOKUP(2,1/(Algodão!$E32:INDEX(Algodão!$E32:$Z32,MIN(AT$6-$G$3,22))&lt;&gt;""),Algodão!$E32:INDEX(Algodão!$E32:$Z32,MIN(AT$6-$G$3,22))),0)))))</f>
        <v>0</v>
      </c>
      <c r="AU34" s="27" t="n">
        <f aca="false">IF(COUNT(Algodão!$E32:$Z32)=0,0,MAX(0,IF((AU$6-$E$3)&lt;1,0,IFERROR(LOOKUP(2,1/(Algodão!$E32:INDEX(Algodão!$E32:$Z32,MIN(AU$6-$E$3,22))&lt;&gt;""),Algodão!$E32:INDEX(Algodão!$E32:$Z32,MIN(AU$6-$E$3,22))),0))-IF($G$2,0,IF((AU$6-$G$3)&lt;1,0,IFERROR(LOOKUP(2,1/(Algodão!$E32:INDEX(Algodão!$E32:$Z32,MIN(AU$6-$G$3,22))&lt;&gt;""),Algodão!$E32:INDEX(Algodão!$E32:$Z32,MIN(AU$6-$G$3,22))),0)))))</f>
        <v>0</v>
      </c>
      <c r="AV34" s="27" t="n">
        <f aca="false">IF(COUNT(Algodão!$E32:$Z32)=0,0,MAX(0,IF((AV$6-$E$3)&lt;1,0,IFERROR(LOOKUP(2,1/(Algodão!$E32:INDEX(Algodão!$E32:$Z32,MIN(AV$6-$E$3,22))&lt;&gt;""),Algodão!$E32:INDEX(Algodão!$E32:$Z32,MIN(AV$6-$E$3,22))),0))-IF($G$2,0,IF((AV$6-$G$3)&lt;1,0,IFERROR(LOOKUP(2,1/(Algodão!$E32:INDEX(Algodão!$E32:$Z32,MIN(AV$6-$G$3,22))&lt;&gt;""),Algodão!$E32:INDEX(Algodão!$E32:$Z32,MIN(AV$6-$G$3,22))),0)))))</f>
        <v>0</v>
      </c>
      <c r="AW34" s="27" t="n">
        <f aca="false">IF(COUNT(Algodão!$E32:$Z32)=0,0,MAX(0,IF((AW$6-$E$3)&lt;1,0,IFERROR(LOOKUP(2,1/(Algodão!$E32:INDEX(Algodão!$E32:$Z32,MIN(AW$6-$E$3,22))&lt;&gt;""),Algodão!$E32:INDEX(Algodão!$E32:$Z32,MIN(AW$6-$E$3,22))),0))-IF($G$2,0,IF((AW$6-$G$3)&lt;1,0,IFERROR(LOOKUP(2,1/(Algodão!$E32:INDEX(Algodão!$E32:$Z32,MIN(AW$6-$G$3,22))&lt;&gt;""),Algodão!$E32:INDEX(Algodão!$E32:$Z32,MIN(AW$6-$G$3,22))),0)))))</f>
        <v>0</v>
      </c>
      <c r="AX34" s="27" t="n">
        <f aca="false">IF(COUNT(Algodão!$E32:$Z32)=0,0,MAX(0,IF((AX$6-$E$3)&lt;1,0,IFERROR(LOOKUP(2,1/(Algodão!$E32:INDEX(Algodão!$E32:$Z32,MIN(AX$6-$E$3,22))&lt;&gt;""),Algodão!$E32:INDEX(Algodão!$E32:$Z32,MIN(AX$6-$E$3,22))),0))-IF($G$2,0,IF((AX$6-$G$3)&lt;1,0,IFERROR(LOOKUP(2,1/(Algodão!$E32:INDEX(Algodão!$E32:$Z32,MIN(AX$6-$G$3,22))&lt;&gt;""),Algodão!$E32:INDEX(Algodão!$E32:$Z32,MIN(AX$6-$G$3,22))),0)))))</f>
        <v>0</v>
      </c>
      <c r="AY34" s="27" t="n">
        <f aca="false">IF(COUNT(Algodão!$E32:$Z32)=0,0,MAX(0,IF((AY$6-$E$3)&lt;1,0,IFERROR(LOOKUP(2,1/(Algodão!$E32:INDEX(Algodão!$E32:$Z32,MIN(AY$6-$E$3,22))&lt;&gt;""),Algodão!$E32:INDEX(Algodão!$E32:$Z32,MIN(AY$6-$E$3,22))),0))-IF($G$2,0,IF((AY$6-$G$3)&lt;1,0,IFERROR(LOOKUP(2,1/(Algodão!$E32:INDEX(Algodão!$E32:$Z32,MIN(AY$6-$G$3,22))&lt;&gt;""),Algodão!$E32:INDEX(Algodão!$E32:$Z32,MIN(AY$6-$G$3,22))),0)))))</f>
        <v>0</v>
      </c>
      <c r="AZ34" s="27" t="n">
        <f aca="false">IF(COUNT(Algodão!$E32:$Z32)=0,0,MAX(0,IF((AZ$6-$E$3)&lt;1,0,IFERROR(LOOKUP(2,1/(Algodão!$E32:INDEX(Algodão!$E32:$Z32,MIN(AZ$6-$E$3,22))&lt;&gt;""),Algodão!$E32:INDEX(Algodão!$E32:$Z32,MIN(AZ$6-$E$3,22))),0))-IF($G$2,0,IF((AZ$6-$G$3)&lt;1,0,IFERROR(LOOKUP(2,1/(Algodão!$E32:INDEX(Algodão!$E32:$Z32,MIN(AZ$6-$G$3,22))&lt;&gt;""),Algodão!$E32:INDEX(Algodão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IF(COUNT(Algodão!$E33:$Z33)&gt;0,N(Algodão!$D33),0)</f>
        <v>0</v>
      </c>
      <c r="E35" s="27" t="n">
        <f aca="false">IF(COUNT(Algodão!$E33:$Z33)=0,0,MAX(0,IF((E$6-$E$3)&lt;1,0,IFERROR(LOOKUP(2,1/(Algodão!$E33:INDEX(Algodão!$E33:$Z33,MIN(E$6-$E$3,22))&lt;&gt;""),Algodão!$E33:INDEX(Algodão!$E33:$Z33,MIN(E$6-$E$3,22))),0))-IF($G$2,0,IF((E$6-$G$3)&lt;1,0,IFERROR(LOOKUP(2,1/(Algodão!$E33:INDEX(Algodão!$E33:$Z33,MIN(E$6-$G$3,22))&lt;&gt;""),Algodão!$E33:INDEX(Algodão!$E33:$Z33,MIN(E$6-$G$3,22))),0)))))</f>
        <v>0</v>
      </c>
      <c r="F35" s="27" t="n">
        <f aca="false">IF(COUNT(Algodão!$E33:$Z33)=0,0,MAX(0,IF((F$6-$E$3)&lt;1,0,IFERROR(LOOKUP(2,1/(Algodão!$E33:INDEX(Algodão!$E33:$Z33,MIN(F$6-$E$3,22))&lt;&gt;""),Algodão!$E33:INDEX(Algodão!$E33:$Z33,MIN(F$6-$E$3,22))),0))-IF($G$2,0,IF((F$6-$G$3)&lt;1,0,IFERROR(LOOKUP(2,1/(Algodão!$E33:INDEX(Algodão!$E33:$Z33,MIN(F$6-$G$3,22))&lt;&gt;""),Algodão!$E33:INDEX(Algodão!$E33:$Z33,MIN(F$6-$G$3,22))),0)))))</f>
        <v>0</v>
      </c>
      <c r="G35" s="27" t="n">
        <f aca="false">IF(COUNT(Algodão!$E33:$Z33)=0,0,MAX(0,IF((G$6-$E$3)&lt;1,0,IFERROR(LOOKUP(2,1/(Algodão!$E33:INDEX(Algodão!$E33:$Z33,MIN(G$6-$E$3,22))&lt;&gt;""),Algodão!$E33:INDEX(Algodão!$E33:$Z33,MIN(G$6-$E$3,22))),0))-IF($G$2,0,IF((G$6-$G$3)&lt;1,0,IFERROR(LOOKUP(2,1/(Algodão!$E33:INDEX(Algodão!$E33:$Z33,MIN(G$6-$G$3,22))&lt;&gt;""),Algodão!$E33:INDEX(Algodão!$E33:$Z33,MIN(G$6-$G$3,22))),0)))))</f>
        <v>0</v>
      </c>
      <c r="H35" s="27" t="n">
        <f aca="false">IF(COUNT(Algodão!$E33:$Z33)=0,0,MAX(0,IF((H$6-$E$3)&lt;1,0,IFERROR(LOOKUP(2,1/(Algodão!$E33:INDEX(Algodão!$E33:$Z33,MIN(H$6-$E$3,22))&lt;&gt;""),Algodão!$E33:INDEX(Algodão!$E33:$Z33,MIN(H$6-$E$3,22))),0))-IF($G$2,0,IF((H$6-$G$3)&lt;1,0,IFERROR(LOOKUP(2,1/(Algodão!$E33:INDEX(Algodão!$E33:$Z33,MIN(H$6-$G$3,22))&lt;&gt;""),Algodão!$E33:INDEX(Algodão!$E33:$Z33,MIN(H$6-$G$3,22))),0)))))</f>
        <v>0</v>
      </c>
      <c r="I35" s="27" t="n">
        <f aca="false">IF(COUNT(Algodão!$E33:$Z33)=0,0,MAX(0,IF((I$6-$E$3)&lt;1,0,IFERROR(LOOKUP(2,1/(Algodão!$E33:INDEX(Algodão!$E33:$Z33,MIN(I$6-$E$3,22))&lt;&gt;""),Algodão!$E33:INDEX(Algodão!$E33:$Z33,MIN(I$6-$E$3,22))),0))-IF($G$2,0,IF((I$6-$G$3)&lt;1,0,IFERROR(LOOKUP(2,1/(Algodão!$E33:INDEX(Algodão!$E33:$Z33,MIN(I$6-$G$3,22))&lt;&gt;""),Algodão!$E33:INDEX(Algodão!$E33:$Z33,MIN(I$6-$G$3,22))),0)))))</f>
        <v>0</v>
      </c>
      <c r="J35" s="27" t="n">
        <f aca="false">IF(COUNT(Algodão!$E33:$Z33)=0,0,MAX(0,IF((J$6-$E$3)&lt;1,0,IFERROR(LOOKUP(2,1/(Algodão!$E33:INDEX(Algodão!$E33:$Z33,MIN(J$6-$E$3,22))&lt;&gt;""),Algodão!$E33:INDEX(Algodão!$E33:$Z33,MIN(J$6-$E$3,22))),0))-IF($G$2,0,IF((J$6-$G$3)&lt;1,0,IFERROR(LOOKUP(2,1/(Algodão!$E33:INDEX(Algodão!$E33:$Z33,MIN(J$6-$G$3,22))&lt;&gt;""),Algodão!$E33:INDEX(Algodão!$E33:$Z33,MIN(J$6-$G$3,22))),0)))))</f>
        <v>0</v>
      </c>
      <c r="K35" s="27" t="n">
        <f aca="false">IF(COUNT(Algodão!$E33:$Z33)=0,0,MAX(0,IF((K$6-$E$3)&lt;1,0,IFERROR(LOOKUP(2,1/(Algodão!$E33:INDEX(Algodão!$E33:$Z33,MIN(K$6-$E$3,22))&lt;&gt;""),Algodão!$E33:INDEX(Algodão!$E33:$Z33,MIN(K$6-$E$3,22))),0))-IF($G$2,0,IF((K$6-$G$3)&lt;1,0,IFERROR(LOOKUP(2,1/(Algodão!$E33:INDEX(Algodão!$E33:$Z33,MIN(K$6-$G$3,22))&lt;&gt;""),Algodão!$E33:INDEX(Algodão!$E33:$Z33,MIN(K$6-$G$3,22))),0)))))</f>
        <v>0</v>
      </c>
      <c r="L35" s="27" t="n">
        <f aca="false">IF(COUNT(Algodão!$E33:$Z33)=0,0,MAX(0,IF((L$6-$E$3)&lt;1,0,IFERROR(LOOKUP(2,1/(Algodão!$E33:INDEX(Algodão!$E33:$Z33,MIN(L$6-$E$3,22))&lt;&gt;""),Algodão!$E33:INDEX(Algodão!$E33:$Z33,MIN(L$6-$E$3,22))),0))-IF($G$2,0,IF((L$6-$G$3)&lt;1,0,IFERROR(LOOKUP(2,1/(Algodão!$E33:INDEX(Algodão!$E33:$Z33,MIN(L$6-$G$3,22))&lt;&gt;""),Algodão!$E33:INDEX(Algodão!$E33:$Z33,MIN(L$6-$G$3,22))),0)))))</f>
        <v>0</v>
      </c>
      <c r="M35" s="27" t="n">
        <f aca="false">IF(COUNT(Algodão!$E33:$Z33)=0,0,MAX(0,IF((M$6-$E$3)&lt;1,0,IFERROR(LOOKUP(2,1/(Algodão!$E33:INDEX(Algodão!$E33:$Z33,MIN(M$6-$E$3,22))&lt;&gt;""),Algodão!$E33:INDEX(Algodão!$E33:$Z33,MIN(M$6-$E$3,22))),0))-IF($G$2,0,IF((M$6-$G$3)&lt;1,0,IFERROR(LOOKUP(2,1/(Algodão!$E33:INDEX(Algodão!$E33:$Z33,MIN(M$6-$G$3,22))&lt;&gt;""),Algodão!$E33:INDEX(Algodão!$E33:$Z33,MIN(M$6-$G$3,22))),0)))))</f>
        <v>0</v>
      </c>
      <c r="N35" s="27" t="n">
        <f aca="false">IF(COUNT(Algodão!$E33:$Z33)=0,0,MAX(0,IF((N$6-$E$3)&lt;1,0,IFERROR(LOOKUP(2,1/(Algodão!$E33:INDEX(Algodão!$E33:$Z33,MIN(N$6-$E$3,22))&lt;&gt;""),Algodão!$E33:INDEX(Algodão!$E33:$Z33,MIN(N$6-$E$3,22))),0))-IF($G$2,0,IF((N$6-$G$3)&lt;1,0,IFERROR(LOOKUP(2,1/(Algodão!$E33:INDEX(Algodão!$E33:$Z33,MIN(N$6-$G$3,22))&lt;&gt;""),Algodão!$E33:INDEX(Algodão!$E33:$Z33,MIN(N$6-$G$3,22))),0)))))</f>
        <v>0</v>
      </c>
      <c r="O35" s="27" t="n">
        <f aca="false">IF(COUNT(Algodão!$E33:$Z33)=0,0,MAX(0,IF((O$6-$E$3)&lt;1,0,IFERROR(LOOKUP(2,1/(Algodão!$E33:INDEX(Algodão!$E33:$Z33,MIN(O$6-$E$3,22))&lt;&gt;""),Algodão!$E33:INDEX(Algodão!$E33:$Z33,MIN(O$6-$E$3,22))),0))-IF($G$2,0,IF((O$6-$G$3)&lt;1,0,IFERROR(LOOKUP(2,1/(Algodão!$E33:INDEX(Algodão!$E33:$Z33,MIN(O$6-$G$3,22))&lt;&gt;""),Algodão!$E33:INDEX(Algodão!$E33:$Z33,MIN(O$6-$G$3,22))),0)))))</f>
        <v>0</v>
      </c>
      <c r="P35" s="27" t="n">
        <f aca="false">IF(COUNT(Algodão!$E33:$Z33)=0,0,MAX(0,IF((P$6-$E$3)&lt;1,0,IFERROR(LOOKUP(2,1/(Algodão!$E33:INDEX(Algodão!$E33:$Z33,MIN(P$6-$E$3,22))&lt;&gt;""),Algodão!$E33:INDEX(Algodão!$E33:$Z33,MIN(P$6-$E$3,22))),0))-IF($G$2,0,IF((P$6-$G$3)&lt;1,0,IFERROR(LOOKUP(2,1/(Algodão!$E33:INDEX(Algodão!$E33:$Z33,MIN(P$6-$G$3,22))&lt;&gt;""),Algodão!$E33:INDEX(Algodão!$E33:$Z33,MIN(P$6-$G$3,22))),0)))))</f>
        <v>0</v>
      </c>
      <c r="Q35" s="27" t="n">
        <f aca="false">IF(COUNT(Algodão!$E33:$Z33)=0,0,MAX(0,IF((Q$6-$E$3)&lt;1,0,IFERROR(LOOKUP(2,1/(Algodão!$E33:INDEX(Algodão!$E33:$Z33,MIN(Q$6-$E$3,22))&lt;&gt;""),Algodão!$E33:INDEX(Algodão!$E33:$Z33,MIN(Q$6-$E$3,22))),0))-IF($G$2,0,IF((Q$6-$G$3)&lt;1,0,IFERROR(LOOKUP(2,1/(Algodão!$E33:INDEX(Algodão!$E33:$Z33,MIN(Q$6-$G$3,22))&lt;&gt;""),Algodão!$E33:INDEX(Algodão!$E33:$Z33,MIN(Q$6-$G$3,22))),0)))))</f>
        <v>0</v>
      </c>
      <c r="R35" s="27" t="n">
        <f aca="false">IF(COUNT(Algodão!$E33:$Z33)=0,0,MAX(0,IF((R$6-$E$3)&lt;1,0,IFERROR(LOOKUP(2,1/(Algodão!$E33:INDEX(Algodão!$E33:$Z33,MIN(R$6-$E$3,22))&lt;&gt;""),Algodão!$E33:INDEX(Algodão!$E33:$Z33,MIN(R$6-$E$3,22))),0))-IF($G$2,0,IF((R$6-$G$3)&lt;1,0,IFERROR(LOOKUP(2,1/(Algodão!$E33:INDEX(Algodão!$E33:$Z33,MIN(R$6-$G$3,22))&lt;&gt;""),Algodão!$E33:INDEX(Algodão!$E33:$Z33,MIN(R$6-$G$3,22))),0)))))</f>
        <v>0</v>
      </c>
      <c r="S35" s="27" t="n">
        <f aca="false">IF(COUNT(Algodão!$E33:$Z33)=0,0,MAX(0,IF((S$6-$E$3)&lt;1,0,IFERROR(LOOKUP(2,1/(Algodão!$E33:INDEX(Algodão!$E33:$Z33,MIN(S$6-$E$3,22))&lt;&gt;""),Algodão!$E33:INDEX(Algodão!$E33:$Z33,MIN(S$6-$E$3,22))),0))-IF($G$2,0,IF((S$6-$G$3)&lt;1,0,IFERROR(LOOKUP(2,1/(Algodão!$E33:INDEX(Algodão!$E33:$Z33,MIN(S$6-$G$3,22))&lt;&gt;""),Algodão!$E33:INDEX(Algodão!$E33:$Z33,MIN(S$6-$G$3,22))),0)))))</f>
        <v>0</v>
      </c>
      <c r="T35" s="27" t="n">
        <f aca="false">IF(COUNT(Algodão!$E33:$Z33)=0,0,MAX(0,IF((T$6-$E$3)&lt;1,0,IFERROR(LOOKUP(2,1/(Algodão!$E33:INDEX(Algodão!$E33:$Z33,MIN(T$6-$E$3,22))&lt;&gt;""),Algodão!$E33:INDEX(Algodão!$E33:$Z33,MIN(T$6-$E$3,22))),0))-IF($G$2,0,IF((T$6-$G$3)&lt;1,0,IFERROR(LOOKUP(2,1/(Algodão!$E33:INDEX(Algodão!$E33:$Z33,MIN(T$6-$G$3,22))&lt;&gt;""),Algodão!$E33:INDEX(Algodão!$E33:$Z33,MIN(T$6-$G$3,22))),0)))))</f>
        <v>0</v>
      </c>
      <c r="U35" s="27" t="n">
        <f aca="false">IF(COUNT(Algodão!$E33:$Z33)=0,0,MAX(0,IF((U$6-$E$3)&lt;1,0,IFERROR(LOOKUP(2,1/(Algodão!$E33:INDEX(Algodão!$E33:$Z33,MIN(U$6-$E$3,22))&lt;&gt;""),Algodão!$E33:INDEX(Algodão!$E33:$Z33,MIN(U$6-$E$3,22))),0))-IF($G$2,0,IF((U$6-$G$3)&lt;1,0,IFERROR(LOOKUP(2,1/(Algodão!$E33:INDEX(Algodão!$E33:$Z33,MIN(U$6-$G$3,22))&lt;&gt;""),Algodão!$E33:INDEX(Algodão!$E33:$Z33,MIN(U$6-$G$3,22))),0)))))</f>
        <v>0</v>
      </c>
      <c r="V35" s="27" t="n">
        <f aca="false">IF(COUNT(Algodão!$E33:$Z33)=0,0,MAX(0,IF((V$6-$E$3)&lt;1,0,IFERROR(LOOKUP(2,1/(Algodão!$E33:INDEX(Algodão!$E33:$Z33,MIN(V$6-$E$3,22))&lt;&gt;""),Algodão!$E33:INDEX(Algodão!$E33:$Z33,MIN(V$6-$E$3,22))),0))-IF($G$2,0,IF((V$6-$G$3)&lt;1,0,IFERROR(LOOKUP(2,1/(Algodão!$E33:INDEX(Algodão!$E33:$Z33,MIN(V$6-$G$3,22))&lt;&gt;""),Algodão!$E33:INDEX(Algodão!$E33:$Z33,MIN(V$6-$G$3,22))),0)))))</f>
        <v>0</v>
      </c>
      <c r="W35" s="27" t="n">
        <f aca="false">IF(COUNT(Algodão!$E33:$Z33)=0,0,MAX(0,IF((W$6-$E$3)&lt;1,0,IFERROR(LOOKUP(2,1/(Algodão!$E33:INDEX(Algodão!$E33:$Z33,MIN(W$6-$E$3,22))&lt;&gt;""),Algodão!$E33:INDEX(Algodão!$E33:$Z33,MIN(W$6-$E$3,22))),0))-IF($G$2,0,IF((W$6-$G$3)&lt;1,0,IFERROR(LOOKUP(2,1/(Algodão!$E33:INDEX(Algodão!$E33:$Z33,MIN(W$6-$G$3,22))&lt;&gt;""),Algodão!$E33:INDEX(Algodão!$E33:$Z33,MIN(W$6-$G$3,22))),0)))))</f>
        <v>0</v>
      </c>
      <c r="X35" s="27" t="n">
        <f aca="false">IF(COUNT(Algodão!$E33:$Z33)=0,0,MAX(0,IF((X$6-$E$3)&lt;1,0,IFERROR(LOOKUP(2,1/(Algodão!$E33:INDEX(Algodão!$E33:$Z33,MIN(X$6-$E$3,22))&lt;&gt;""),Algodão!$E33:INDEX(Algodão!$E33:$Z33,MIN(X$6-$E$3,22))),0))-IF($G$2,0,IF((X$6-$G$3)&lt;1,0,IFERROR(LOOKUP(2,1/(Algodão!$E33:INDEX(Algodão!$E33:$Z33,MIN(X$6-$G$3,22))&lt;&gt;""),Algodão!$E33:INDEX(Algodão!$E33:$Z33,MIN(X$6-$G$3,22))),0)))))</f>
        <v>0</v>
      </c>
      <c r="Y35" s="27" t="n">
        <f aca="false">IF(COUNT(Algodão!$E33:$Z33)=0,0,MAX(0,IF((Y$6-$E$3)&lt;1,0,IFERROR(LOOKUP(2,1/(Algodão!$E33:INDEX(Algodão!$E33:$Z33,MIN(Y$6-$E$3,22))&lt;&gt;""),Algodão!$E33:INDEX(Algodão!$E33:$Z33,MIN(Y$6-$E$3,22))),0))-IF($G$2,0,IF((Y$6-$G$3)&lt;1,0,IFERROR(LOOKUP(2,1/(Algodão!$E33:INDEX(Algodão!$E33:$Z33,MIN(Y$6-$G$3,22))&lt;&gt;""),Algodão!$E33:INDEX(Algodão!$E33:$Z33,MIN(Y$6-$G$3,22))),0)))))</f>
        <v>0</v>
      </c>
      <c r="Z35" s="27" t="n">
        <f aca="false">IF(COUNT(Algodão!$E33:$Z33)=0,0,MAX(0,IF((Z$6-$E$3)&lt;1,0,IFERROR(LOOKUP(2,1/(Algodão!$E33:INDEX(Algodão!$E33:$Z33,MIN(Z$6-$E$3,22))&lt;&gt;""),Algodão!$E33:INDEX(Algodão!$E33:$Z33,MIN(Z$6-$E$3,22))),0))-IF($G$2,0,IF((Z$6-$G$3)&lt;1,0,IFERROR(LOOKUP(2,1/(Algodão!$E33:INDEX(Algodão!$E33:$Z33,MIN(Z$6-$G$3,22))&lt;&gt;""),Algodão!$E33:INDEX(Algodão!$E33:$Z33,MIN(Z$6-$G$3,22))),0)))))</f>
        <v>0</v>
      </c>
      <c r="AA35" s="27" t="n">
        <f aca="false">IF(COUNT(Algodão!$E33:$Z33)=0,0,MAX(0,IF((AA$6-$E$3)&lt;1,0,IFERROR(LOOKUP(2,1/(Algodão!$E33:INDEX(Algodão!$E33:$Z33,MIN(AA$6-$E$3,22))&lt;&gt;""),Algodão!$E33:INDEX(Algodão!$E33:$Z33,MIN(AA$6-$E$3,22))),0))-IF($G$2,0,IF((AA$6-$G$3)&lt;1,0,IFERROR(LOOKUP(2,1/(Algodão!$E33:INDEX(Algodão!$E33:$Z33,MIN(AA$6-$G$3,22))&lt;&gt;""),Algodão!$E33:INDEX(Algodão!$E33:$Z33,MIN(AA$6-$G$3,22))),0)))))</f>
        <v>0</v>
      </c>
      <c r="AB35" s="27" t="n">
        <f aca="false">IF(COUNT(Algodão!$E33:$Z33)=0,0,MAX(0,IF((AB$6-$E$3)&lt;1,0,IFERROR(LOOKUP(2,1/(Algodão!$E33:INDEX(Algodão!$E33:$Z33,MIN(AB$6-$E$3,22))&lt;&gt;""),Algodão!$E33:INDEX(Algodão!$E33:$Z33,MIN(AB$6-$E$3,22))),0))-IF($G$2,0,IF((AB$6-$G$3)&lt;1,0,IFERROR(LOOKUP(2,1/(Algodão!$E33:INDEX(Algodão!$E33:$Z33,MIN(AB$6-$G$3,22))&lt;&gt;""),Algodão!$E33:INDEX(Algodão!$E33:$Z33,MIN(AB$6-$G$3,22))),0)))))</f>
        <v>0</v>
      </c>
      <c r="AC35" s="27" t="n">
        <f aca="false">IF(COUNT(Algodão!$E33:$Z33)=0,0,MAX(0,IF((AC$6-$E$3)&lt;1,0,IFERROR(LOOKUP(2,1/(Algodão!$E33:INDEX(Algodão!$E33:$Z33,MIN(AC$6-$E$3,22))&lt;&gt;""),Algodão!$E33:INDEX(Algodão!$E33:$Z33,MIN(AC$6-$E$3,22))),0))-IF($G$2,0,IF((AC$6-$G$3)&lt;1,0,IFERROR(LOOKUP(2,1/(Algodão!$E33:INDEX(Algodão!$E33:$Z33,MIN(AC$6-$G$3,22))&lt;&gt;""),Algodão!$E33:INDEX(Algodão!$E33:$Z33,MIN(AC$6-$G$3,22))),0)))))</f>
        <v>0</v>
      </c>
      <c r="AD35" s="27" t="n">
        <f aca="false">IF(COUNT(Algodão!$E33:$Z33)=0,0,MAX(0,IF((AD$6-$E$3)&lt;1,0,IFERROR(LOOKUP(2,1/(Algodão!$E33:INDEX(Algodão!$E33:$Z33,MIN(AD$6-$E$3,22))&lt;&gt;""),Algodão!$E33:INDEX(Algodão!$E33:$Z33,MIN(AD$6-$E$3,22))),0))-IF($G$2,0,IF((AD$6-$G$3)&lt;1,0,IFERROR(LOOKUP(2,1/(Algodão!$E33:INDEX(Algodão!$E33:$Z33,MIN(AD$6-$G$3,22))&lt;&gt;""),Algodão!$E33:INDEX(Algodão!$E33:$Z33,MIN(AD$6-$G$3,22))),0)))))</f>
        <v>0</v>
      </c>
      <c r="AE35" s="27" t="n">
        <f aca="false">IF(COUNT(Algodão!$E33:$Z33)=0,0,MAX(0,IF((AE$6-$E$3)&lt;1,0,IFERROR(LOOKUP(2,1/(Algodão!$E33:INDEX(Algodão!$E33:$Z33,MIN(AE$6-$E$3,22))&lt;&gt;""),Algodão!$E33:INDEX(Algodão!$E33:$Z33,MIN(AE$6-$E$3,22))),0))-IF($G$2,0,IF((AE$6-$G$3)&lt;1,0,IFERROR(LOOKUP(2,1/(Algodão!$E33:INDEX(Algodão!$E33:$Z33,MIN(AE$6-$G$3,22))&lt;&gt;""),Algodão!$E33:INDEX(Algodão!$E33:$Z33,MIN(AE$6-$G$3,22))),0)))))</f>
        <v>0</v>
      </c>
      <c r="AF35" s="27" t="n">
        <f aca="false">IF(COUNT(Algodão!$E33:$Z33)=0,0,MAX(0,IF((AF$6-$E$3)&lt;1,0,IFERROR(LOOKUP(2,1/(Algodão!$E33:INDEX(Algodão!$E33:$Z33,MIN(AF$6-$E$3,22))&lt;&gt;""),Algodão!$E33:INDEX(Algodão!$E33:$Z33,MIN(AF$6-$E$3,22))),0))-IF($G$2,0,IF((AF$6-$G$3)&lt;1,0,IFERROR(LOOKUP(2,1/(Algodão!$E33:INDEX(Algodão!$E33:$Z33,MIN(AF$6-$G$3,22))&lt;&gt;""),Algodão!$E33:INDEX(Algodão!$E33:$Z33,MIN(AF$6-$G$3,22))),0)))))</f>
        <v>0</v>
      </c>
      <c r="AG35" s="27" t="n">
        <f aca="false">IF(COUNT(Algodão!$E33:$Z33)=0,0,MAX(0,IF((AG$6-$E$3)&lt;1,0,IFERROR(LOOKUP(2,1/(Algodão!$E33:INDEX(Algodão!$E33:$Z33,MIN(AG$6-$E$3,22))&lt;&gt;""),Algodão!$E33:INDEX(Algodão!$E33:$Z33,MIN(AG$6-$E$3,22))),0))-IF($G$2,0,IF((AG$6-$G$3)&lt;1,0,IFERROR(LOOKUP(2,1/(Algodão!$E33:INDEX(Algodão!$E33:$Z33,MIN(AG$6-$G$3,22))&lt;&gt;""),Algodão!$E33:INDEX(Algodão!$E33:$Z33,MIN(AG$6-$G$3,22))),0)))))</f>
        <v>0</v>
      </c>
      <c r="AH35" s="27" t="n">
        <f aca="false">IF(COUNT(Algodão!$E33:$Z33)=0,0,MAX(0,IF((AH$6-$E$3)&lt;1,0,IFERROR(LOOKUP(2,1/(Algodão!$E33:INDEX(Algodão!$E33:$Z33,MIN(AH$6-$E$3,22))&lt;&gt;""),Algodão!$E33:INDEX(Algodão!$E33:$Z33,MIN(AH$6-$E$3,22))),0))-IF($G$2,0,IF((AH$6-$G$3)&lt;1,0,IFERROR(LOOKUP(2,1/(Algodão!$E33:INDEX(Algodão!$E33:$Z33,MIN(AH$6-$G$3,22))&lt;&gt;""),Algodão!$E33:INDEX(Algodão!$E33:$Z33,MIN(AH$6-$G$3,22))),0)))))</f>
        <v>0</v>
      </c>
      <c r="AI35" s="27" t="n">
        <f aca="false">IF(COUNT(Algodão!$E33:$Z33)=0,0,MAX(0,IF((AI$6-$E$3)&lt;1,0,IFERROR(LOOKUP(2,1/(Algodão!$E33:INDEX(Algodão!$E33:$Z33,MIN(AI$6-$E$3,22))&lt;&gt;""),Algodão!$E33:INDEX(Algodão!$E33:$Z33,MIN(AI$6-$E$3,22))),0))-IF($G$2,0,IF((AI$6-$G$3)&lt;1,0,IFERROR(LOOKUP(2,1/(Algodão!$E33:INDEX(Algodão!$E33:$Z33,MIN(AI$6-$G$3,22))&lt;&gt;""),Algodão!$E33:INDEX(Algodão!$E33:$Z33,MIN(AI$6-$G$3,22))),0)))))</f>
        <v>0</v>
      </c>
      <c r="AJ35" s="27" t="n">
        <f aca="false">IF(COUNT(Algodão!$E33:$Z33)=0,0,MAX(0,IF((AJ$6-$E$3)&lt;1,0,IFERROR(LOOKUP(2,1/(Algodão!$E33:INDEX(Algodão!$E33:$Z33,MIN(AJ$6-$E$3,22))&lt;&gt;""),Algodão!$E33:INDEX(Algodão!$E33:$Z33,MIN(AJ$6-$E$3,22))),0))-IF($G$2,0,IF((AJ$6-$G$3)&lt;1,0,IFERROR(LOOKUP(2,1/(Algodão!$E33:INDEX(Algodão!$E33:$Z33,MIN(AJ$6-$G$3,22))&lt;&gt;""),Algodão!$E33:INDEX(Algodão!$E33:$Z33,MIN(AJ$6-$G$3,22))),0)))))</f>
        <v>0</v>
      </c>
      <c r="AK35" s="27" t="n">
        <f aca="false">IF(COUNT(Algodão!$E33:$Z33)=0,0,MAX(0,IF((AK$6-$E$3)&lt;1,0,IFERROR(LOOKUP(2,1/(Algodão!$E33:INDEX(Algodão!$E33:$Z33,MIN(AK$6-$E$3,22))&lt;&gt;""),Algodão!$E33:INDEX(Algodão!$E33:$Z33,MIN(AK$6-$E$3,22))),0))-IF($G$2,0,IF((AK$6-$G$3)&lt;1,0,IFERROR(LOOKUP(2,1/(Algodão!$E33:INDEX(Algodão!$E33:$Z33,MIN(AK$6-$G$3,22))&lt;&gt;""),Algodão!$E33:INDEX(Algodão!$E33:$Z33,MIN(AK$6-$G$3,22))),0)))))</f>
        <v>0</v>
      </c>
      <c r="AL35" s="27" t="n">
        <f aca="false">IF(COUNT(Algodão!$E33:$Z33)=0,0,MAX(0,IF((AL$6-$E$3)&lt;1,0,IFERROR(LOOKUP(2,1/(Algodão!$E33:INDEX(Algodão!$E33:$Z33,MIN(AL$6-$E$3,22))&lt;&gt;""),Algodão!$E33:INDEX(Algodão!$E33:$Z33,MIN(AL$6-$E$3,22))),0))-IF($G$2,0,IF((AL$6-$G$3)&lt;1,0,IFERROR(LOOKUP(2,1/(Algodão!$E33:INDEX(Algodão!$E33:$Z33,MIN(AL$6-$G$3,22))&lt;&gt;""),Algodão!$E33:INDEX(Algodão!$E33:$Z33,MIN(AL$6-$G$3,22))),0)))))</f>
        <v>0</v>
      </c>
      <c r="AM35" s="27" t="n">
        <f aca="false">IF(COUNT(Algodão!$E33:$Z33)=0,0,MAX(0,IF((AM$6-$E$3)&lt;1,0,IFERROR(LOOKUP(2,1/(Algodão!$E33:INDEX(Algodão!$E33:$Z33,MIN(AM$6-$E$3,22))&lt;&gt;""),Algodão!$E33:INDEX(Algodão!$E33:$Z33,MIN(AM$6-$E$3,22))),0))-IF($G$2,0,IF((AM$6-$G$3)&lt;1,0,IFERROR(LOOKUP(2,1/(Algodão!$E33:INDEX(Algodão!$E33:$Z33,MIN(AM$6-$G$3,22))&lt;&gt;""),Algodão!$E33:INDEX(Algodão!$E33:$Z33,MIN(AM$6-$G$3,22))),0)))))</f>
        <v>0</v>
      </c>
      <c r="AN35" s="27" t="n">
        <f aca="false">IF(COUNT(Algodão!$E33:$Z33)=0,0,MAX(0,IF((AN$6-$E$3)&lt;1,0,IFERROR(LOOKUP(2,1/(Algodão!$E33:INDEX(Algodão!$E33:$Z33,MIN(AN$6-$E$3,22))&lt;&gt;""),Algodão!$E33:INDEX(Algodão!$E33:$Z33,MIN(AN$6-$E$3,22))),0))-IF($G$2,0,IF((AN$6-$G$3)&lt;1,0,IFERROR(LOOKUP(2,1/(Algodão!$E33:INDEX(Algodão!$E33:$Z33,MIN(AN$6-$G$3,22))&lt;&gt;""),Algodão!$E33:INDEX(Algodão!$E33:$Z33,MIN(AN$6-$G$3,22))),0)))))</f>
        <v>0</v>
      </c>
      <c r="AO35" s="27" t="n">
        <f aca="false">IF(COUNT(Algodão!$E33:$Z33)=0,0,MAX(0,IF((AO$6-$E$3)&lt;1,0,IFERROR(LOOKUP(2,1/(Algodão!$E33:INDEX(Algodão!$E33:$Z33,MIN(AO$6-$E$3,22))&lt;&gt;""),Algodão!$E33:INDEX(Algodão!$E33:$Z33,MIN(AO$6-$E$3,22))),0))-IF($G$2,0,IF((AO$6-$G$3)&lt;1,0,IFERROR(LOOKUP(2,1/(Algodão!$E33:INDEX(Algodão!$E33:$Z33,MIN(AO$6-$G$3,22))&lt;&gt;""),Algodão!$E33:INDEX(Algodão!$E33:$Z33,MIN(AO$6-$G$3,22))),0)))))</f>
        <v>0</v>
      </c>
      <c r="AP35" s="27" t="n">
        <f aca="false">IF(COUNT(Algodão!$E33:$Z33)=0,0,MAX(0,IF((AP$6-$E$3)&lt;1,0,IFERROR(LOOKUP(2,1/(Algodão!$E33:INDEX(Algodão!$E33:$Z33,MIN(AP$6-$E$3,22))&lt;&gt;""),Algodão!$E33:INDEX(Algodão!$E33:$Z33,MIN(AP$6-$E$3,22))),0))-IF($G$2,0,IF((AP$6-$G$3)&lt;1,0,IFERROR(LOOKUP(2,1/(Algodão!$E33:INDEX(Algodão!$E33:$Z33,MIN(AP$6-$G$3,22))&lt;&gt;""),Algodão!$E33:INDEX(Algodão!$E33:$Z33,MIN(AP$6-$G$3,22))),0)))))</f>
        <v>0</v>
      </c>
      <c r="AQ35" s="27" t="n">
        <f aca="false">IF(COUNT(Algodão!$E33:$Z33)=0,0,MAX(0,IF((AQ$6-$E$3)&lt;1,0,IFERROR(LOOKUP(2,1/(Algodão!$E33:INDEX(Algodão!$E33:$Z33,MIN(AQ$6-$E$3,22))&lt;&gt;""),Algodão!$E33:INDEX(Algodão!$E33:$Z33,MIN(AQ$6-$E$3,22))),0))-IF($G$2,0,IF((AQ$6-$G$3)&lt;1,0,IFERROR(LOOKUP(2,1/(Algodão!$E33:INDEX(Algodão!$E33:$Z33,MIN(AQ$6-$G$3,22))&lt;&gt;""),Algodão!$E33:INDEX(Algodão!$E33:$Z33,MIN(AQ$6-$G$3,22))),0)))))</f>
        <v>0</v>
      </c>
      <c r="AR35" s="27" t="n">
        <f aca="false">IF(COUNT(Algodão!$E33:$Z33)=0,0,MAX(0,IF((AR$6-$E$3)&lt;1,0,IFERROR(LOOKUP(2,1/(Algodão!$E33:INDEX(Algodão!$E33:$Z33,MIN(AR$6-$E$3,22))&lt;&gt;""),Algodão!$E33:INDEX(Algodão!$E33:$Z33,MIN(AR$6-$E$3,22))),0))-IF($G$2,0,IF((AR$6-$G$3)&lt;1,0,IFERROR(LOOKUP(2,1/(Algodão!$E33:INDEX(Algodão!$E33:$Z33,MIN(AR$6-$G$3,22))&lt;&gt;""),Algodão!$E33:INDEX(Algodão!$E33:$Z33,MIN(AR$6-$G$3,22))),0)))))</f>
        <v>0</v>
      </c>
      <c r="AS35" s="27" t="n">
        <f aca="false">IF(COUNT(Algodão!$E33:$Z33)=0,0,MAX(0,IF((AS$6-$E$3)&lt;1,0,IFERROR(LOOKUP(2,1/(Algodão!$E33:INDEX(Algodão!$E33:$Z33,MIN(AS$6-$E$3,22))&lt;&gt;""),Algodão!$E33:INDEX(Algodão!$E33:$Z33,MIN(AS$6-$E$3,22))),0))-IF($G$2,0,IF((AS$6-$G$3)&lt;1,0,IFERROR(LOOKUP(2,1/(Algodão!$E33:INDEX(Algodão!$E33:$Z33,MIN(AS$6-$G$3,22))&lt;&gt;""),Algodão!$E33:INDEX(Algodão!$E33:$Z33,MIN(AS$6-$G$3,22))),0)))))</f>
        <v>0</v>
      </c>
      <c r="AT35" s="27" t="n">
        <f aca="false">IF(COUNT(Algodão!$E33:$Z33)=0,0,MAX(0,IF((AT$6-$E$3)&lt;1,0,IFERROR(LOOKUP(2,1/(Algodão!$E33:INDEX(Algodão!$E33:$Z33,MIN(AT$6-$E$3,22))&lt;&gt;""),Algodão!$E33:INDEX(Algodão!$E33:$Z33,MIN(AT$6-$E$3,22))),0))-IF($G$2,0,IF((AT$6-$G$3)&lt;1,0,IFERROR(LOOKUP(2,1/(Algodão!$E33:INDEX(Algodão!$E33:$Z33,MIN(AT$6-$G$3,22))&lt;&gt;""),Algodão!$E33:INDEX(Algodão!$E33:$Z33,MIN(AT$6-$G$3,22))),0)))))</f>
        <v>0</v>
      </c>
      <c r="AU35" s="27" t="n">
        <f aca="false">IF(COUNT(Algodão!$E33:$Z33)=0,0,MAX(0,IF((AU$6-$E$3)&lt;1,0,IFERROR(LOOKUP(2,1/(Algodão!$E33:INDEX(Algodão!$E33:$Z33,MIN(AU$6-$E$3,22))&lt;&gt;""),Algodão!$E33:INDEX(Algodão!$E33:$Z33,MIN(AU$6-$E$3,22))),0))-IF($G$2,0,IF((AU$6-$G$3)&lt;1,0,IFERROR(LOOKUP(2,1/(Algodão!$E33:INDEX(Algodão!$E33:$Z33,MIN(AU$6-$G$3,22))&lt;&gt;""),Algodão!$E33:INDEX(Algodão!$E33:$Z33,MIN(AU$6-$G$3,22))),0)))))</f>
        <v>0</v>
      </c>
      <c r="AV35" s="27" t="n">
        <f aca="false">IF(COUNT(Algodão!$E33:$Z33)=0,0,MAX(0,IF((AV$6-$E$3)&lt;1,0,IFERROR(LOOKUP(2,1/(Algodão!$E33:INDEX(Algodão!$E33:$Z33,MIN(AV$6-$E$3,22))&lt;&gt;""),Algodão!$E33:INDEX(Algodão!$E33:$Z33,MIN(AV$6-$E$3,22))),0))-IF($G$2,0,IF((AV$6-$G$3)&lt;1,0,IFERROR(LOOKUP(2,1/(Algodão!$E33:INDEX(Algodão!$E33:$Z33,MIN(AV$6-$G$3,22))&lt;&gt;""),Algodão!$E33:INDEX(Algodão!$E33:$Z33,MIN(AV$6-$G$3,22))),0)))))</f>
        <v>0</v>
      </c>
      <c r="AW35" s="27" t="n">
        <f aca="false">IF(COUNT(Algodão!$E33:$Z33)=0,0,MAX(0,IF((AW$6-$E$3)&lt;1,0,IFERROR(LOOKUP(2,1/(Algodão!$E33:INDEX(Algodão!$E33:$Z33,MIN(AW$6-$E$3,22))&lt;&gt;""),Algodão!$E33:INDEX(Algodão!$E33:$Z33,MIN(AW$6-$E$3,22))),0))-IF($G$2,0,IF((AW$6-$G$3)&lt;1,0,IFERROR(LOOKUP(2,1/(Algodão!$E33:INDEX(Algodão!$E33:$Z33,MIN(AW$6-$G$3,22))&lt;&gt;""),Algodão!$E33:INDEX(Algodão!$E33:$Z33,MIN(AW$6-$G$3,22))),0)))))</f>
        <v>0</v>
      </c>
      <c r="AX35" s="27" t="n">
        <f aca="false">IF(COUNT(Algodão!$E33:$Z33)=0,0,MAX(0,IF((AX$6-$E$3)&lt;1,0,IFERROR(LOOKUP(2,1/(Algodão!$E33:INDEX(Algodão!$E33:$Z33,MIN(AX$6-$E$3,22))&lt;&gt;""),Algodão!$E33:INDEX(Algodão!$E33:$Z33,MIN(AX$6-$E$3,22))),0))-IF($G$2,0,IF((AX$6-$G$3)&lt;1,0,IFERROR(LOOKUP(2,1/(Algodão!$E33:INDEX(Algodão!$E33:$Z33,MIN(AX$6-$G$3,22))&lt;&gt;""),Algodão!$E33:INDEX(Algodão!$E33:$Z33,MIN(AX$6-$G$3,22))),0)))))</f>
        <v>0</v>
      </c>
      <c r="AY35" s="27" t="n">
        <f aca="false">IF(COUNT(Algodão!$E33:$Z33)=0,0,MAX(0,IF((AY$6-$E$3)&lt;1,0,IFERROR(LOOKUP(2,1/(Algodão!$E33:INDEX(Algodão!$E33:$Z33,MIN(AY$6-$E$3,22))&lt;&gt;""),Algodão!$E33:INDEX(Algodão!$E33:$Z33,MIN(AY$6-$E$3,22))),0))-IF($G$2,0,IF((AY$6-$G$3)&lt;1,0,IFERROR(LOOKUP(2,1/(Algodão!$E33:INDEX(Algodão!$E33:$Z33,MIN(AY$6-$G$3,22))&lt;&gt;""),Algodão!$E33:INDEX(Algodão!$E33:$Z33,MIN(AY$6-$G$3,22))),0)))))</f>
        <v>0</v>
      </c>
      <c r="AZ35" s="27" t="n">
        <f aca="false">IF(COUNT(Algodão!$E33:$Z33)=0,0,MAX(0,IF((AZ$6-$E$3)&lt;1,0,IFERROR(LOOKUP(2,1/(Algodão!$E33:INDEX(Algodão!$E33:$Z33,MIN(AZ$6-$E$3,22))&lt;&gt;""),Algodão!$E33:INDEX(Algodão!$E33:$Z33,MIN(AZ$6-$E$3,22))),0))-IF($G$2,0,IF((AZ$6-$G$3)&lt;1,0,IFERROR(LOOKUP(2,1/(Algodão!$E33:INDEX(Algodão!$E33:$Z33,MIN(AZ$6-$G$3,22))&lt;&gt;""),Algodão!$E33:INDEX(Algodão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IF(COUNT(Algodão!$E34:$Z34)&gt;0,N(Algodão!$D34),0)</f>
        <v>0</v>
      </c>
      <c r="E36" s="27" t="n">
        <f aca="false">IF(COUNT(Algodão!$E34:$Z34)=0,0,MAX(0,IF((E$6-$E$3)&lt;1,0,IFERROR(LOOKUP(2,1/(Algodão!$E34:INDEX(Algodão!$E34:$Z34,MIN(E$6-$E$3,22))&lt;&gt;""),Algodão!$E34:INDEX(Algodão!$E34:$Z34,MIN(E$6-$E$3,22))),0))-IF($G$2,0,IF((E$6-$G$3)&lt;1,0,IFERROR(LOOKUP(2,1/(Algodão!$E34:INDEX(Algodão!$E34:$Z34,MIN(E$6-$G$3,22))&lt;&gt;""),Algodão!$E34:INDEX(Algodão!$E34:$Z34,MIN(E$6-$G$3,22))),0)))))</f>
        <v>0</v>
      </c>
      <c r="F36" s="27" t="n">
        <f aca="false">IF(COUNT(Algodão!$E34:$Z34)=0,0,MAX(0,IF((F$6-$E$3)&lt;1,0,IFERROR(LOOKUP(2,1/(Algodão!$E34:INDEX(Algodão!$E34:$Z34,MIN(F$6-$E$3,22))&lt;&gt;""),Algodão!$E34:INDEX(Algodão!$E34:$Z34,MIN(F$6-$E$3,22))),0))-IF($G$2,0,IF((F$6-$G$3)&lt;1,0,IFERROR(LOOKUP(2,1/(Algodão!$E34:INDEX(Algodão!$E34:$Z34,MIN(F$6-$G$3,22))&lt;&gt;""),Algodão!$E34:INDEX(Algodão!$E34:$Z34,MIN(F$6-$G$3,22))),0)))))</f>
        <v>0</v>
      </c>
      <c r="G36" s="27" t="n">
        <f aca="false">IF(COUNT(Algodão!$E34:$Z34)=0,0,MAX(0,IF((G$6-$E$3)&lt;1,0,IFERROR(LOOKUP(2,1/(Algodão!$E34:INDEX(Algodão!$E34:$Z34,MIN(G$6-$E$3,22))&lt;&gt;""),Algodão!$E34:INDEX(Algodão!$E34:$Z34,MIN(G$6-$E$3,22))),0))-IF($G$2,0,IF((G$6-$G$3)&lt;1,0,IFERROR(LOOKUP(2,1/(Algodão!$E34:INDEX(Algodão!$E34:$Z34,MIN(G$6-$G$3,22))&lt;&gt;""),Algodão!$E34:INDEX(Algodão!$E34:$Z34,MIN(G$6-$G$3,22))),0)))))</f>
        <v>0</v>
      </c>
      <c r="H36" s="27" t="n">
        <f aca="false">IF(COUNT(Algodão!$E34:$Z34)=0,0,MAX(0,IF((H$6-$E$3)&lt;1,0,IFERROR(LOOKUP(2,1/(Algodão!$E34:INDEX(Algodão!$E34:$Z34,MIN(H$6-$E$3,22))&lt;&gt;""),Algodão!$E34:INDEX(Algodão!$E34:$Z34,MIN(H$6-$E$3,22))),0))-IF($G$2,0,IF((H$6-$G$3)&lt;1,0,IFERROR(LOOKUP(2,1/(Algodão!$E34:INDEX(Algodão!$E34:$Z34,MIN(H$6-$G$3,22))&lt;&gt;""),Algodão!$E34:INDEX(Algodão!$E34:$Z34,MIN(H$6-$G$3,22))),0)))))</f>
        <v>0</v>
      </c>
      <c r="I36" s="27" t="n">
        <f aca="false">IF(COUNT(Algodão!$E34:$Z34)=0,0,MAX(0,IF((I$6-$E$3)&lt;1,0,IFERROR(LOOKUP(2,1/(Algodão!$E34:INDEX(Algodão!$E34:$Z34,MIN(I$6-$E$3,22))&lt;&gt;""),Algodão!$E34:INDEX(Algodão!$E34:$Z34,MIN(I$6-$E$3,22))),0))-IF($G$2,0,IF((I$6-$G$3)&lt;1,0,IFERROR(LOOKUP(2,1/(Algodão!$E34:INDEX(Algodão!$E34:$Z34,MIN(I$6-$G$3,22))&lt;&gt;""),Algodão!$E34:INDEX(Algodão!$E34:$Z34,MIN(I$6-$G$3,22))),0)))))</f>
        <v>0</v>
      </c>
      <c r="J36" s="27" t="n">
        <f aca="false">IF(COUNT(Algodão!$E34:$Z34)=0,0,MAX(0,IF((J$6-$E$3)&lt;1,0,IFERROR(LOOKUP(2,1/(Algodão!$E34:INDEX(Algodão!$E34:$Z34,MIN(J$6-$E$3,22))&lt;&gt;""),Algodão!$E34:INDEX(Algodão!$E34:$Z34,MIN(J$6-$E$3,22))),0))-IF($G$2,0,IF((J$6-$G$3)&lt;1,0,IFERROR(LOOKUP(2,1/(Algodão!$E34:INDEX(Algodão!$E34:$Z34,MIN(J$6-$G$3,22))&lt;&gt;""),Algodão!$E34:INDEX(Algodão!$E34:$Z34,MIN(J$6-$G$3,22))),0)))))</f>
        <v>0</v>
      </c>
      <c r="K36" s="27" t="n">
        <f aca="false">IF(COUNT(Algodão!$E34:$Z34)=0,0,MAX(0,IF((K$6-$E$3)&lt;1,0,IFERROR(LOOKUP(2,1/(Algodão!$E34:INDEX(Algodão!$E34:$Z34,MIN(K$6-$E$3,22))&lt;&gt;""),Algodão!$E34:INDEX(Algodão!$E34:$Z34,MIN(K$6-$E$3,22))),0))-IF($G$2,0,IF((K$6-$G$3)&lt;1,0,IFERROR(LOOKUP(2,1/(Algodão!$E34:INDEX(Algodão!$E34:$Z34,MIN(K$6-$G$3,22))&lt;&gt;""),Algodão!$E34:INDEX(Algodão!$E34:$Z34,MIN(K$6-$G$3,22))),0)))))</f>
        <v>0</v>
      </c>
      <c r="L36" s="27" t="n">
        <f aca="false">IF(COUNT(Algodão!$E34:$Z34)=0,0,MAX(0,IF((L$6-$E$3)&lt;1,0,IFERROR(LOOKUP(2,1/(Algodão!$E34:INDEX(Algodão!$E34:$Z34,MIN(L$6-$E$3,22))&lt;&gt;""),Algodão!$E34:INDEX(Algodão!$E34:$Z34,MIN(L$6-$E$3,22))),0))-IF($G$2,0,IF((L$6-$G$3)&lt;1,0,IFERROR(LOOKUP(2,1/(Algodão!$E34:INDEX(Algodão!$E34:$Z34,MIN(L$6-$G$3,22))&lt;&gt;""),Algodão!$E34:INDEX(Algodão!$E34:$Z34,MIN(L$6-$G$3,22))),0)))))</f>
        <v>0</v>
      </c>
      <c r="M36" s="27" t="n">
        <f aca="false">IF(COUNT(Algodão!$E34:$Z34)=0,0,MAX(0,IF((M$6-$E$3)&lt;1,0,IFERROR(LOOKUP(2,1/(Algodão!$E34:INDEX(Algodão!$E34:$Z34,MIN(M$6-$E$3,22))&lt;&gt;""),Algodão!$E34:INDEX(Algodão!$E34:$Z34,MIN(M$6-$E$3,22))),0))-IF($G$2,0,IF((M$6-$G$3)&lt;1,0,IFERROR(LOOKUP(2,1/(Algodão!$E34:INDEX(Algodão!$E34:$Z34,MIN(M$6-$G$3,22))&lt;&gt;""),Algodão!$E34:INDEX(Algodão!$E34:$Z34,MIN(M$6-$G$3,22))),0)))))</f>
        <v>0</v>
      </c>
      <c r="N36" s="27" t="n">
        <f aca="false">IF(COUNT(Algodão!$E34:$Z34)=0,0,MAX(0,IF((N$6-$E$3)&lt;1,0,IFERROR(LOOKUP(2,1/(Algodão!$E34:INDEX(Algodão!$E34:$Z34,MIN(N$6-$E$3,22))&lt;&gt;""),Algodão!$E34:INDEX(Algodão!$E34:$Z34,MIN(N$6-$E$3,22))),0))-IF($G$2,0,IF((N$6-$G$3)&lt;1,0,IFERROR(LOOKUP(2,1/(Algodão!$E34:INDEX(Algodão!$E34:$Z34,MIN(N$6-$G$3,22))&lt;&gt;""),Algodão!$E34:INDEX(Algodão!$E34:$Z34,MIN(N$6-$G$3,22))),0)))))</f>
        <v>0</v>
      </c>
      <c r="O36" s="27" t="n">
        <f aca="false">IF(COUNT(Algodão!$E34:$Z34)=0,0,MAX(0,IF((O$6-$E$3)&lt;1,0,IFERROR(LOOKUP(2,1/(Algodão!$E34:INDEX(Algodão!$E34:$Z34,MIN(O$6-$E$3,22))&lt;&gt;""),Algodão!$E34:INDEX(Algodão!$E34:$Z34,MIN(O$6-$E$3,22))),0))-IF($G$2,0,IF((O$6-$G$3)&lt;1,0,IFERROR(LOOKUP(2,1/(Algodão!$E34:INDEX(Algodão!$E34:$Z34,MIN(O$6-$G$3,22))&lt;&gt;""),Algodão!$E34:INDEX(Algodão!$E34:$Z34,MIN(O$6-$G$3,22))),0)))))</f>
        <v>0</v>
      </c>
      <c r="P36" s="27" t="n">
        <f aca="false">IF(COUNT(Algodão!$E34:$Z34)=0,0,MAX(0,IF((P$6-$E$3)&lt;1,0,IFERROR(LOOKUP(2,1/(Algodão!$E34:INDEX(Algodão!$E34:$Z34,MIN(P$6-$E$3,22))&lt;&gt;""),Algodão!$E34:INDEX(Algodão!$E34:$Z34,MIN(P$6-$E$3,22))),0))-IF($G$2,0,IF((P$6-$G$3)&lt;1,0,IFERROR(LOOKUP(2,1/(Algodão!$E34:INDEX(Algodão!$E34:$Z34,MIN(P$6-$G$3,22))&lt;&gt;""),Algodão!$E34:INDEX(Algodão!$E34:$Z34,MIN(P$6-$G$3,22))),0)))))</f>
        <v>0</v>
      </c>
      <c r="Q36" s="27" t="n">
        <f aca="false">IF(COUNT(Algodão!$E34:$Z34)=0,0,MAX(0,IF((Q$6-$E$3)&lt;1,0,IFERROR(LOOKUP(2,1/(Algodão!$E34:INDEX(Algodão!$E34:$Z34,MIN(Q$6-$E$3,22))&lt;&gt;""),Algodão!$E34:INDEX(Algodão!$E34:$Z34,MIN(Q$6-$E$3,22))),0))-IF($G$2,0,IF((Q$6-$G$3)&lt;1,0,IFERROR(LOOKUP(2,1/(Algodão!$E34:INDEX(Algodão!$E34:$Z34,MIN(Q$6-$G$3,22))&lt;&gt;""),Algodão!$E34:INDEX(Algodão!$E34:$Z34,MIN(Q$6-$G$3,22))),0)))))</f>
        <v>0</v>
      </c>
      <c r="R36" s="27" t="n">
        <f aca="false">IF(COUNT(Algodão!$E34:$Z34)=0,0,MAX(0,IF((R$6-$E$3)&lt;1,0,IFERROR(LOOKUP(2,1/(Algodão!$E34:INDEX(Algodão!$E34:$Z34,MIN(R$6-$E$3,22))&lt;&gt;""),Algodão!$E34:INDEX(Algodão!$E34:$Z34,MIN(R$6-$E$3,22))),0))-IF($G$2,0,IF((R$6-$G$3)&lt;1,0,IFERROR(LOOKUP(2,1/(Algodão!$E34:INDEX(Algodão!$E34:$Z34,MIN(R$6-$G$3,22))&lt;&gt;""),Algodão!$E34:INDEX(Algodão!$E34:$Z34,MIN(R$6-$G$3,22))),0)))))</f>
        <v>0</v>
      </c>
      <c r="S36" s="27" t="n">
        <f aca="false">IF(COUNT(Algodão!$E34:$Z34)=0,0,MAX(0,IF((S$6-$E$3)&lt;1,0,IFERROR(LOOKUP(2,1/(Algodão!$E34:INDEX(Algodão!$E34:$Z34,MIN(S$6-$E$3,22))&lt;&gt;""),Algodão!$E34:INDEX(Algodão!$E34:$Z34,MIN(S$6-$E$3,22))),0))-IF($G$2,0,IF((S$6-$G$3)&lt;1,0,IFERROR(LOOKUP(2,1/(Algodão!$E34:INDEX(Algodão!$E34:$Z34,MIN(S$6-$G$3,22))&lt;&gt;""),Algodão!$E34:INDEX(Algodão!$E34:$Z34,MIN(S$6-$G$3,22))),0)))))</f>
        <v>0</v>
      </c>
      <c r="T36" s="27" t="n">
        <f aca="false">IF(COUNT(Algodão!$E34:$Z34)=0,0,MAX(0,IF((T$6-$E$3)&lt;1,0,IFERROR(LOOKUP(2,1/(Algodão!$E34:INDEX(Algodão!$E34:$Z34,MIN(T$6-$E$3,22))&lt;&gt;""),Algodão!$E34:INDEX(Algodão!$E34:$Z34,MIN(T$6-$E$3,22))),0))-IF($G$2,0,IF((T$6-$G$3)&lt;1,0,IFERROR(LOOKUP(2,1/(Algodão!$E34:INDEX(Algodão!$E34:$Z34,MIN(T$6-$G$3,22))&lt;&gt;""),Algodão!$E34:INDEX(Algodão!$E34:$Z34,MIN(T$6-$G$3,22))),0)))))</f>
        <v>0</v>
      </c>
      <c r="U36" s="27" t="n">
        <f aca="false">IF(COUNT(Algodão!$E34:$Z34)=0,0,MAX(0,IF((U$6-$E$3)&lt;1,0,IFERROR(LOOKUP(2,1/(Algodão!$E34:INDEX(Algodão!$E34:$Z34,MIN(U$6-$E$3,22))&lt;&gt;""),Algodão!$E34:INDEX(Algodão!$E34:$Z34,MIN(U$6-$E$3,22))),0))-IF($G$2,0,IF((U$6-$G$3)&lt;1,0,IFERROR(LOOKUP(2,1/(Algodão!$E34:INDEX(Algodão!$E34:$Z34,MIN(U$6-$G$3,22))&lt;&gt;""),Algodão!$E34:INDEX(Algodão!$E34:$Z34,MIN(U$6-$G$3,22))),0)))))</f>
        <v>0</v>
      </c>
      <c r="V36" s="27" t="n">
        <f aca="false">IF(COUNT(Algodão!$E34:$Z34)=0,0,MAX(0,IF((V$6-$E$3)&lt;1,0,IFERROR(LOOKUP(2,1/(Algodão!$E34:INDEX(Algodão!$E34:$Z34,MIN(V$6-$E$3,22))&lt;&gt;""),Algodão!$E34:INDEX(Algodão!$E34:$Z34,MIN(V$6-$E$3,22))),0))-IF($G$2,0,IF((V$6-$G$3)&lt;1,0,IFERROR(LOOKUP(2,1/(Algodão!$E34:INDEX(Algodão!$E34:$Z34,MIN(V$6-$G$3,22))&lt;&gt;""),Algodão!$E34:INDEX(Algodão!$E34:$Z34,MIN(V$6-$G$3,22))),0)))))</f>
        <v>0</v>
      </c>
      <c r="W36" s="27" t="n">
        <f aca="false">IF(COUNT(Algodão!$E34:$Z34)=0,0,MAX(0,IF((W$6-$E$3)&lt;1,0,IFERROR(LOOKUP(2,1/(Algodão!$E34:INDEX(Algodão!$E34:$Z34,MIN(W$6-$E$3,22))&lt;&gt;""),Algodão!$E34:INDEX(Algodão!$E34:$Z34,MIN(W$6-$E$3,22))),0))-IF($G$2,0,IF((W$6-$G$3)&lt;1,0,IFERROR(LOOKUP(2,1/(Algodão!$E34:INDEX(Algodão!$E34:$Z34,MIN(W$6-$G$3,22))&lt;&gt;""),Algodão!$E34:INDEX(Algodão!$E34:$Z34,MIN(W$6-$G$3,22))),0)))))</f>
        <v>0</v>
      </c>
      <c r="X36" s="27" t="n">
        <f aca="false">IF(COUNT(Algodão!$E34:$Z34)=0,0,MAX(0,IF((X$6-$E$3)&lt;1,0,IFERROR(LOOKUP(2,1/(Algodão!$E34:INDEX(Algodão!$E34:$Z34,MIN(X$6-$E$3,22))&lt;&gt;""),Algodão!$E34:INDEX(Algodão!$E34:$Z34,MIN(X$6-$E$3,22))),0))-IF($G$2,0,IF((X$6-$G$3)&lt;1,0,IFERROR(LOOKUP(2,1/(Algodão!$E34:INDEX(Algodão!$E34:$Z34,MIN(X$6-$G$3,22))&lt;&gt;""),Algodão!$E34:INDEX(Algodão!$E34:$Z34,MIN(X$6-$G$3,22))),0)))))</f>
        <v>0</v>
      </c>
      <c r="Y36" s="27" t="n">
        <f aca="false">IF(COUNT(Algodão!$E34:$Z34)=0,0,MAX(0,IF((Y$6-$E$3)&lt;1,0,IFERROR(LOOKUP(2,1/(Algodão!$E34:INDEX(Algodão!$E34:$Z34,MIN(Y$6-$E$3,22))&lt;&gt;""),Algodão!$E34:INDEX(Algodão!$E34:$Z34,MIN(Y$6-$E$3,22))),0))-IF($G$2,0,IF((Y$6-$G$3)&lt;1,0,IFERROR(LOOKUP(2,1/(Algodão!$E34:INDEX(Algodão!$E34:$Z34,MIN(Y$6-$G$3,22))&lt;&gt;""),Algodão!$E34:INDEX(Algodão!$E34:$Z34,MIN(Y$6-$G$3,22))),0)))))</f>
        <v>0</v>
      </c>
      <c r="Z36" s="27" t="n">
        <f aca="false">IF(COUNT(Algodão!$E34:$Z34)=0,0,MAX(0,IF((Z$6-$E$3)&lt;1,0,IFERROR(LOOKUP(2,1/(Algodão!$E34:INDEX(Algodão!$E34:$Z34,MIN(Z$6-$E$3,22))&lt;&gt;""),Algodão!$E34:INDEX(Algodão!$E34:$Z34,MIN(Z$6-$E$3,22))),0))-IF($G$2,0,IF((Z$6-$G$3)&lt;1,0,IFERROR(LOOKUP(2,1/(Algodão!$E34:INDEX(Algodão!$E34:$Z34,MIN(Z$6-$G$3,22))&lt;&gt;""),Algodão!$E34:INDEX(Algodão!$E34:$Z34,MIN(Z$6-$G$3,22))),0)))))</f>
        <v>0</v>
      </c>
      <c r="AA36" s="27" t="n">
        <f aca="false">IF(COUNT(Algodão!$E34:$Z34)=0,0,MAX(0,IF((AA$6-$E$3)&lt;1,0,IFERROR(LOOKUP(2,1/(Algodão!$E34:INDEX(Algodão!$E34:$Z34,MIN(AA$6-$E$3,22))&lt;&gt;""),Algodão!$E34:INDEX(Algodão!$E34:$Z34,MIN(AA$6-$E$3,22))),0))-IF($G$2,0,IF((AA$6-$G$3)&lt;1,0,IFERROR(LOOKUP(2,1/(Algodão!$E34:INDEX(Algodão!$E34:$Z34,MIN(AA$6-$G$3,22))&lt;&gt;""),Algodão!$E34:INDEX(Algodão!$E34:$Z34,MIN(AA$6-$G$3,22))),0)))))</f>
        <v>0</v>
      </c>
      <c r="AB36" s="27" t="n">
        <f aca="false">IF(COUNT(Algodão!$E34:$Z34)=0,0,MAX(0,IF((AB$6-$E$3)&lt;1,0,IFERROR(LOOKUP(2,1/(Algodão!$E34:INDEX(Algodão!$E34:$Z34,MIN(AB$6-$E$3,22))&lt;&gt;""),Algodão!$E34:INDEX(Algodão!$E34:$Z34,MIN(AB$6-$E$3,22))),0))-IF($G$2,0,IF((AB$6-$G$3)&lt;1,0,IFERROR(LOOKUP(2,1/(Algodão!$E34:INDEX(Algodão!$E34:$Z34,MIN(AB$6-$G$3,22))&lt;&gt;""),Algodão!$E34:INDEX(Algodão!$E34:$Z34,MIN(AB$6-$G$3,22))),0)))))</f>
        <v>0</v>
      </c>
      <c r="AC36" s="27" t="n">
        <f aca="false">IF(COUNT(Algodão!$E34:$Z34)=0,0,MAX(0,IF((AC$6-$E$3)&lt;1,0,IFERROR(LOOKUP(2,1/(Algodão!$E34:INDEX(Algodão!$E34:$Z34,MIN(AC$6-$E$3,22))&lt;&gt;""),Algodão!$E34:INDEX(Algodão!$E34:$Z34,MIN(AC$6-$E$3,22))),0))-IF($G$2,0,IF((AC$6-$G$3)&lt;1,0,IFERROR(LOOKUP(2,1/(Algodão!$E34:INDEX(Algodão!$E34:$Z34,MIN(AC$6-$G$3,22))&lt;&gt;""),Algodão!$E34:INDEX(Algodão!$E34:$Z34,MIN(AC$6-$G$3,22))),0)))))</f>
        <v>0</v>
      </c>
      <c r="AD36" s="27" t="n">
        <f aca="false">IF(COUNT(Algodão!$E34:$Z34)=0,0,MAX(0,IF((AD$6-$E$3)&lt;1,0,IFERROR(LOOKUP(2,1/(Algodão!$E34:INDEX(Algodão!$E34:$Z34,MIN(AD$6-$E$3,22))&lt;&gt;""),Algodão!$E34:INDEX(Algodão!$E34:$Z34,MIN(AD$6-$E$3,22))),0))-IF($G$2,0,IF((AD$6-$G$3)&lt;1,0,IFERROR(LOOKUP(2,1/(Algodão!$E34:INDEX(Algodão!$E34:$Z34,MIN(AD$6-$G$3,22))&lt;&gt;""),Algodão!$E34:INDEX(Algodão!$E34:$Z34,MIN(AD$6-$G$3,22))),0)))))</f>
        <v>0</v>
      </c>
      <c r="AE36" s="27" t="n">
        <f aca="false">IF(COUNT(Algodão!$E34:$Z34)=0,0,MAX(0,IF((AE$6-$E$3)&lt;1,0,IFERROR(LOOKUP(2,1/(Algodão!$E34:INDEX(Algodão!$E34:$Z34,MIN(AE$6-$E$3,22))&lt;&gt;""),Algodão!$E34:INDEX(Algodão!$E34:$Z34,MIN(AE$6-$E$3,22))),0))-IF($G$2,0,IF((AE$6-$G$3)&lt;1,0,IFERROR(LOOKUP(2,1/(Algodão!$E34:INDEX(Algodão!$E34:$Z34,MIN(AE$6-$G$3,22))&lt;&gt;""),Algodão!$E34:INDEX(Algodão!$E34:$Z34,MIN(AE$6-$G$3,22))),0)))))</f>
        <v>0</v>
      </c>
      <c r="AF36" s="27" t="n">
        <f aca="false">IF(COUNT(Algodão!$E34:$Z34)=0,0,MAX(0,IF((AF$6-$E$3)&lt;1,0,IFERROR(LOOKUP(2,1/(Algodão!$E34:INDEX(Algodão!$E34:$Z34,MIN(AF$6-$E$3,22))&lt;&gt;""),Algodão!$E34:INDEX(Algodão!$E34:$Z34,MIN(AF$6-$E$3,22))),0))-IF($G$2,0,IF((AF$6-$G$3)&lt;1,0,IFERROR(LOOKUP(2,1/(Algodão!$E34:INDEX(Algodão!$E34:$Z34,MIN(AF$6-$G$3,22))&lt;&gt;""),Algodão!$E34:INDEX(Algodão!$E34:$Z34,MIN(AF$6-$G$3,22))),0)))))</f>
        <v>0</v>
      </c>
      <c r="AG36" s="27" t="n">
        <f aca="false">IF(COUNT(Algodão!$E34:$Z34)=0,0,MAX(0,IF((AG$6-$E$3)&lt;1,0,IFERROR(LOOKUP(2,1/(Algodão!$E34:INDEX(Algodão!$E34:$Z34,MIN(AG$6-$E$3,22))&lt;&gt;""),Algodão!$E34:INDEX(Algodão!$E34:$Z34,MIN(AG$6-$E$3,22))),0))-IF($G$2,0,IF((AG$6-$G$3)&lt;1,0,IFERROR(LOOKUP(2,1/(Algodão!$E34:INDEX(Algodão!$E34:$Z34,MIN(AG$6-$G$3,22))&lt;&gt;""),Algodão!$E34:INDEX(Algodão!$E34:$Z34,MIN(AG$6-$G$3,22))),0)))))</f>
        <v>0</v>
      </c>
      <c r="AH36" s="27" t="n">
        <f aca="false">IF(COUNT(Algodão!$E34:$Z34)=0,0,MAX(0,IF((AH$6-$E$3)&lt;1,0,IFERROR(LOOKUP(2,1/(Algodão!$E34:INDEX(Algodão!$E34:$Z34,MIN(AH$6-$E$3,22))&lt;&gt;""),Algodão!$E34:INDEX(Algodão!$E34:$Z34,MIN(AH$6-$E$3,22))),0))-IF($G$2,0,IF((AH$6-$G$3)&lt;1,0,IFERROR(LOOKUP(2,1/(Algodão!$E34:INDEX(Algodão!$E34:$Z34,MIN(AH$6-$G$3,22))&lt;&gt;""),Algodão!$E34:INDEX(Algodão!$E34:$Z34,MIN(AH$6-$G$3,22))),0)))))</f>
        <v>0</v>
      </c>
      <c r="AI36" s="27" t="n">
        <f aca="false">IF(COUNT(Algodão!$E34:$Z34)=0,0,MAX(0,IF((AI$6-$E$3)&lt;1,0,IFERROR(LOOKUP(2,1/(Algodão!$E34:INDEX(Algodão!$E34:$Z34,MIN(AI$6-$E$3,22))&lt;&gt;""),Algodão!$E34:INDEX(Algodão!$E34:$Z34,MIN(AI$6-$E$3,22))),0))-IF($G$2,0,IF((AI$6-$G$3)&lt;1,0,IFERROR(LOOKUP(2,1/(Algodão!$E34:INDEX(Algodão!$E34:$Z34,MIN(AI$6-$G$3,22))&lt;&gt;""),Algodão!$E34:INDEX(Algodão!$E34:$Z34,MIN(AI$6-$G$3,22))),0)))))</f>
        <v>0</v>
      </c>
      <c r="AJ36" s="27" t="n">
        <f aca="false">IF(COUNT(Algodão!$E34:$Z34)=0,0,MAX(0,IF((AJ$6-$E$3)&lt;1,0,IFERROR(LOOKUP(2,1/(Algodão!$E34:INDEX(Algodão!$E34:$Z34,MIN(AJ$6-$E$3,22))&lt;&gt;""),Algodão!$E34:INDEX(Algodão!$E34:$Z34,MIN(AJ$6-$E$3,22))),0))-IF($G$2,0,IF((AJ$6-$G$3)&lt;1,0,IFERROR(LOOKUP(2,1/(Algodão!$E34:INDEX(Algodão!$E34:$Z34,MIN(AJ$6-$G$3,22))&lt;&gt;""),Algodão!$E34:INDEX(Algodão!$E34:$Z34,MIN(AJ$6-$G$3,22))),0)))))</f>
        <v>0</v>
      </c>
      <c r="AK36" s="27" t="n">
        <f aca="false">IF(COUNT(Algodão!$E34:$Z34)=0,0,MAX(0,IF((AK$6-$E$3)&lt;1,0,IFERROR(LOOKUP(2,1/(Algodão!$E34:INDEX(Algodão!$E34:$Z34,MIN(AK$6-$E$3,22))&lt;&gt;""),Algodão!$E34:INDEX(Algodão!$E34:$Z34,MIN(AK$6-$E$3,22))),0))-IF($G$2,0,IF((AK$6-$G$3)&lt;1,0,IFERROR(LOOKUP(2,1/(Algodão!$E34:INDEX(Algodão!$E34:$Z34,MIN(AK$6-$G$3,22))&lt;&gt;""),Algodão!$E34:INDEX(Algodão!$E34:$Z34,MIN(AK$6-$G$3,22))),0)))))</f>
        <v>0</v>
      </c>
      <c r="AL36" s="27" t="n">
        <f aca="false">IF(COUNT(Algodão!$E34:$Z34)=0,0,MAX(0,IF((AL$6-$E$3)&lt;1,0,IFERROR(LOOKUP(2,1/(Algodão!$E34:INDEX(Algodão!$E34:$Z34,MIN(AL$6-$E$3,22))&lt;&gt;""),Algodão!$E34:INDEX(Algodão!$E34:$Z34,MIN(AL$6-$E$3,22))),0))-IF($G$2,0,IF((AL$6-$G$3)&lt;1,0,IFERROR(LOOKUP(2,1/(Algodão!$E34:INDEX(Algodão!$E34:$Z34,MIN(AL$6-$G$3,22))&lt;&gt;""),Algodão!$E34:INDEX(Algodão!$E34:$Z34,MIN(AL$6-$G$3,22))),0)))))</f>
        <v>0</v>
      </c>
      <c r="AM36" s="27" t="n">
        <f aca="false">IF(COUNT(Algodão!$E34:$Z34)=0,0,MAX(0,IF((AM$6-$E$3)&lt;1,0,IFERROR(LOOKUP(2,1/(Algodão!$E34:INDEX(Algodão!$E34:$Z34,MIN(AM$6-$E$3,22))&lt;&gt;""),Algodão!$E34:INDEX(Algodão!$E34:$Z34,MIN(AM$6-$E$3,22))),0))-IF($G$2,0,IF((AM$6-$G$3)&lt;1,0,IFERROR(LOOKUP(2,1/(Algodão!$E34:INDEX(Algodão!$E34:$Z34,MIN(AM$6-$G$3,22))&lt;&gt;""),Algodão!$E34:INDEX(Algodão!$E34:$Z34,MIN(AM$6-$G$3,22))),0)))))</f>
        <v>0</v>
      </c>
      <c r="AN36" s="27" t="n">
        <f aca="false">IF(COUNT(Algodão!$E34:$Z34)=0,0,MAX(0,IF((AN$6-$E$3)&lt;1,0,IFERROR(LOOKUP(2,1/(Algodão!$E34:INDEX(Algodão!$E34:$Z34,MIN(AN$6-$E$3,22))&lt;&gt;""),Algodão!$E34:INDEX(Algodão!$E34:$Z34,MIN(AN$6-$E$3,22))),0))-IF($G$2,0,IF((AN$6-$G$3)&lt;1,0,IFERROR(LOOKUP(2,1/(Algodão!$E34:INDEX(Algodão!$E34:$Z34,MIN(AN$6-$G$3,22))&lt;&gt;""),Algodão!$E34:INDEX(Algodão!$E34:$Z34,MIN(AN$6-$G$3,22))),0)))))</f>
        <v>0</v>
      </c>
      <c r="AO36" s="27" t="n">
        <f aca="false">IF(COUNT(Algodão!$E34:$Z34)=0,0,MAX(0,IF((AO$6-$E$3)&lt;1,0,IFERROR(LOOKUP(2,1/(Algodão!$E34:INDEX(Algodão!$E34:$Z34,MIN(AO$6-$E$3,22))&lt;&gt;""),Algodão!$E34:INDEX(Algodão!$E34:$Z34,MIN(AO$6-$E$3,22))),0))-IF($G$2,0,IF((AO$6-$G$3)&lt;1,0,IFERROR(LOOKUP(2,1/(Algodão!$E34:INDEX(Algodão!$E34:$Z34,MIN(AO$6-$G$3,22))&lt;&gt;""),Algodão!$E34:INDEX(Algodão!$E34:$Z34,MIN(AO$6-$G$3,22))),0)))))</f>
        <v>0</v>
      </c>
      <c r="AP36" s="27" t="n">
        <f aca="false">IF(COUNT(Algodão!$E34:$Z34)=0,0,MAX(0,IF((AP$6-$E$3)&lt;1,0,IFERROR(LOOKUP(2,1/(Algodão!$E34:INDEX(Algodão!$E34:$Z34,MIN(AP$6-$E$3,22))&lt;&gt;""),Algodão!$E34:INDEX(Algodão!$E34:$Z34,MIN(AP$6-$E$3,22))),0))-IF($G$2,0,IF((AP$6-$G$3)&lt;1,0,IFERROR(LOOKUP(2,1/(Algodão!$E34:INDEX(Algodão!$E34:$Z34,MIN(AP$6-$G$3,22))&lt;&gt;""),Algodão!$E34:INDEX(Algodão!$E34:$Z34,MIN(AP$6-$G$3,22))),0)))))</f>
        <v>0</v>
      </c>
      <c r="AQ36" s="27" t="n">
        <f aca="false">IF(COUNT(Algodão!$E34:$Z34)=0,0,MAX(0,IF((AQ$6-$E$3)&lt;1,0,IFERROR(LOOKUP(2,1/(Algodão!$E34:INDEX(Algodão!$E34:$Z34,MIN(AQ$6-$E$3,22))&lt;&gt;""),Algodão!$E34:INDEX(Algodão!$E34:$Z34,MIN(AQ$6-$E$3,22))),0))-IF($G$2,0,IF((AQ$6-$G$3)&lt;1,0,IFERROR(LOOKUP(2,1/(Algodão!$E34:INDEX(Algodão!$E34:$Z34,MIN(AQ$6-$G$3,22))&lt;&gt;""),Algodão!$E34:INDEX(Algodão!$E34:$Z34,MIN(AQ$6-$G$3,22))),0)))))</f>
        <v>0</v>
      </c>
      <c r="AR36" s="27" t="n">
        <f aca="false">IF(COUNT(Algodão!$E34:$Z34)=0,0,MAX(0,IF((AR$6-$E$3)&lt;1,0,IFERROR(LOOKUP(2,1/(Algodão!$E34:INDEX(Algodão!$E34:$Z34,MIN(AR$6-$E$3,22))&lt;&gt;""),Algodão!$E34:INDEX(Algodão!$E34:$Z34,MIN(AR$6-$E$3,22))),0))-IF($G$2,0,IF((AR$6-$G$3)&lt;1,0,IFERROR(LOOKUP(2,1/(Algodão!$E34:INDEX(Algodão!$E34:$Z34,MIN(AR$6-$G$3,22))&lt;&gt;""),Algodão!$E34:INDEX(Algodão!$E34:$Z34,MIN(AR$6-$G$3,22))),0)))))</f>
        <v>0</v>
      </c>
      <c r="AS36" s="27" t="n">
        <f aca="false">IF(COUNT(Algodão!$E34:$Z34)=0,0,MAX(0,IF((AS$6-$E$3)&lt;1,0,IFERROR(LOOKUP(2,1/(Algodão!$E34:INDEX(Algodão!$E34:$Z34,MIN(AS$6-$E$3,22))&lt;&gt;""),Algodão!$E34:INDEX(Algodão!$E34:$Z34,MIN(AS$6-$E$3,22))),0))-IF($G$2,0,IF((AS$6-$G$3)&lt;1,0,IFERROR(LOOKUP(2,1/(Algodão!$E34:INDEX(Algodão!$E34:$Z34,MIN(AS$6-$G$3,22))&lt;&gt;""),Algodão!$E34:INDEX(Algodão!$E34:$Z34,MIN(AS$6-$G$3,22))),0)))))</f>
        <v>0</v>
      </c>
      <c r="AT36" s="27" t="n">
        <f aca="false">IF(COUNT(Algodão!$E34:$Z34)=0,0,MAX(0,IF((AT$6-$E$3)&lt;1,0,IFERROR(LOOKUP(2,1/(Algodão!$E34:INDEX(Algodão!$E34:$Z34,MIN(AT$6-$E$3,22))&lt;&gt;""),Algodão!$E34:INDEX(Algodão!$E34:$Z34,MIN(AT$6-$E$3,22))),0))-IF($G$2,0,IF((AT$6-$G$3)&lt;1,0,IFERROR(LOOKUP(2,1/(Algodão!$E34:INDEX(Algodão!$E34:$Z34,MIN(AT$6-$G$3,22))&lt;&gt;""),Algodão!$E34:INDEX(Algodão!$E34:$Z34,MIN(AT$6-$G$3,22))),0)))))</f>
        <v>0</v>
      </c>
      <c r="AU36" s="27" t="n">
        <f aca="false">IF(COUNT(Algodão!$E34:$Z34)=0,0,MAX(0,IF((AU$6-$E$3)&lt;1,0,IFERROR(LOOKUP(2,1/(Algodão!$E34:INDEX(Algodão!$E34:$Z34,MIN(AU$6-$E$3,22))&lt;&gt;""),Algodão!$E34:INDEX(Algodão!$E34:$Z34,MIN(AU$6-$E$3,22))),0))-IF($G$2,0,IF((AU$6-$G$3)&lt;1,0,IFERROR(LOOKUP(2,1/(Algodão!$E34:INDEX(Algodão!$E34:$Z34,MIN(AU$6-$G$3,22))&lt;&gt;""),Algodão!$E34:INDEX(Algodão!$E34:$Z34,MIN(AU$6-$G$3,22))),0)))))</f>
        <v>0</v>
      </c>
      <c r="AV36" s="27" t="n">
        <f aca="false">IF(COUNT(Algodão!$E34:$Z34)=0,0,MAX(0,IF((AV$6-$E$3)&lt;1,0,IFERROR(LOOKUP(2,1/(Algodão!$E34:INDEX(Algodão!$E34:$Z34,MIN(AV$6-$E$3,22))&lt;&gt;""),Algodão!$E34:INDEX(Algodão!$E34:$Z34,MIN(AV$6-$E$3,22))),0))-IF($G$2,0,IF((AV$6-$G$3)&lt;1,0,IFERROR(LOOKUP(2,1/(Algodão!$E34:INDEX(Algodão!$E34:$Z34,MIN(AV$6-$G$3,22))&lt;&gt;""),Algodão!$E34:INDEX(Algodão!$E34:$Z34,MIN(AV$6-$G$3,22))),0)))))</f>
        <v>0</v>
      </c>
      <c r="AW36" s="27" t="n">
        <f aca="false">IF(COUNT(Algodão!$E34:$Z34)=0,0,MAX(0,IF((AW$6-$E$3)&lt;1,0,IFERROR(LOOKUP(2,1/(Algodão!$E34:INDEX(Algodão!$E34:$Z34,MIN(AW$6-$E$3,22))&lt;&gt;""),Algodão!$E34:INDEX(Algodão!$E34:$Z34,MIN(AW$6-$E$3,22))),0))-IF($G$2,0,IF((AW$6-$G$3)&lt;1,0,IFERROR(LOOKUP(2,1/(Algodão!$E34:INDEX(Algodão!$E34:$Z34,MIN(AW$6-$G$3,22))&lt;&gt;""),Algodão!$E34:INDEX(Algodão!$E34:$Z34,MIN(AW$6-$G$3,22))),0)))))</f>
        <v>0</v>
      </c>
      <c r="AX36" s="27" t="n">
        <f aca="false">IF(COUNT(Algodão!$E34:$Z34)=0,0,MAX(0,IF((AX$6-$E$3)&lt;1,0,IFERROR(LOOKUP(2,1/(Algodão!$E34:INDEX(Algodão!$E34:$Z34,MIN(AX$6-$E$3,22))&lt;&gt;""),Algodão!$E34:INDEX(Algodão!$E34:$Z34,MIN(AX$6-$E$3,22))),0))-IF($G$2,0,IF((AX$6-$G$3)&lt;1,0,IFERROR(LOOKUP(2,1/(Algodão!$E34:INDEX(Algodão!$E34:$Z34,MIN(AX$6-$G$3,22))&lt;&gt;""),Algodão!$E34:INDEX(Algodão!$E34:$Z34,MIN(AX$6-$G$3,22))),0)))))</f>
        <v>0</v>
      </c>
      <c r="AY36" s="27" t="n">
        <f aca="false">IF(COUNT(Algodão!$E34:$Z34)=0,0,MAX(0,IF((AY$6-$E$3)&lt;1,0,IFERROR(LOOKUP(2,1/(Algodão!$E34:INDEX(Algodão!$E34:$Z34,MIN(AY$6-$E$3,22))&lt;&gt;""),Algodão!$E34:INDEX(Algodão!$E34:$Z34,MIN(AY$6-$E$3,22))),0))-IF($G$2,0,IF((AY$6-$G$3)&lt;1,0,IFERROR(LOOKUP(2,1/(Algodão!$E34:INDEX(Algodão!$E34:$Z34,MIN(AY$6-$G$3,22))&lt;&gt;""),Algodão!$E34:INDEX(Algodão!$E34:$Z34,MIN(AY$6-$G$3,22))),0)))))</f>
        <v>0</v>
      </c>
      <c r="AZ36" s="27" t="n">
        <f aca="false">IF(COUNT(Algodão!$E34:$Z34)=0,0,MAX(0,IF((AZ$6-$E$3)&lt;1,0,IFERROR(LOOKUP(2,1/(Algodão!$E34:INDEX(Algodão!$E34:$Z34,MIN(AZ$6-$E$3,22))&lt;&gt;""),Algodão!$E34:INDEX(Algodão!$E34:$Z34,MIN(AZ$6-$E$3,22))),0))-IF($G$2,0,IF((AZ$6-$G$3)&lt;1,0,IFERROR(LOOKUP(2,1/(Algodão!$E34:INDEX(Algodão!$E34:$Z34,MIN(AZ$6-$G$3,22))&lt;&gt;""),Algodão!$E34:INDEX(Algodão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IF(COUNT(Algodão!$E35:$Z35)&gt;0,N(Algodão!$D35),0)</f>
        <v>0</v>
      </c>
      <c r="E37" s="27" t="n">
        <f aca="false">IF(COUNT(Algodão!$E35:$Z35)=0,0,MAX(0,IF((E$6-$E$3)&lt;1,0,IFERROR(LOOKUP(2,1/(Algodão!$E35:INDEX(Algodão!$E35:$Z35,MIN(E$6-$E$3,22))&lt;&gt;""),Algodão!$E35:INDEX(Algodão!$E35:$Z35,MIN(E$6-$E$3,22))),0))-IF($G$2,0,IF((E$6-$G$3)&lt;1,0,IFERROR(LOOKUP(2,1/(Algodão!$E35:INDEX(Algodão!$E35:$Z35,MIN(E$6-$G$3,22))&lt;&gt;""),Algodão!$E35:INDEX(Algodão!$E35:$Z35,MIN(E$6-$G$3,22))),0)))))</f>
        <v>0</v>
      </c>
      <c r="F37" s="27" t="n">
        <f aca="false">IF(COUNT(Algodão!$E35:$Z35)=0,0,MAX(0,IF((F$6-$E$3)&lt;1,0,IFERROR(LOOKUP(2,1/(Algodão!$E35:INDEX(Algodão!$E35:$Z35,MIN(F$6-$E$3,22))&lt;&gt;""),Algodão!$E35:INDEX(Algodão!$E35:$Z35,MIN(F$6-$E$3,22))),0))-IF($G$2,0,IF((F$6-$G$3)&lt;1,0,IFERROR(LOOKUP(2,1/(Algodão!$E35:INDEX(Algodão!$E35:$Z35,MIN(F$6-$G$3,22))&lt;&gt;""),Algodão!$E35:INDEX(Algodão!$E35:$Z35,MIN(F$6-$G$3,22))),0)))))</f>
        <v>0</v>
      </c>
      <c r="G37" s="27" t="n">
        <f aca="false">IF(COUNT(Algodão!$E35:$Z35)=0,0,MAX(0,IF((G$6-$E$3)&lt;1,0,IFERROR(LOOKUP(2,1/(Algodão!$E35:INDEX(Algodão!$E35:$Z35,MIN(G$6-$E$3,22))&lt;&gt;""),Algodão!$E35:INDEX(Algodão!$E35:$Z35,MIN(G$6-$E$3,22))),0))-IF($G$2,0,IF((G$6-$G$3)&lt;1,0,IFERROR(LOOKUP(2,1/(Algodão!$E35:INDEX(Algodão!$E35:$Z35,MIN(G$6-$G$3,22))&lt;&gt;""),Algodão!$E35:INDEX(Algodão!$E35:$Z35,MIN(G$6-$G$3,22))),0)))))</f>
        <v>0</v>
      </c>
      <c r="H37" s="27" t="n">
        <f aca="false">IF(COUNT(Algodão!$E35:$Z35)=0,0,MAX(0,IF((H$6-$E$3)&lt;1,0,IFERROR(LOOKUP(2,1/(Algodão!$E35:INDEX(Algodão!$E35:$Z35,MIN(H$6-$E$3,22))&lt;&gt;""),Algodão!$E35:INDEX(Algodão!$E35:$Z35,MIN(H$6-$E$3,22))),0))-IF($G$2,0,IF((H$6-$G$3)&lt;1,0,IFERROR(LOOKUP(2,1/(Algodão!$E35:INDEX(Algodão!$E35:$Z35,MIN(H$6-$G$3,22))&lt;&gt;""),Algodão!$E35:INDEX(Algodão!$E35:$Z35,MIN(H$6-$G$3,22))),0)))))</f>
        <v>0</v>
      </c>
      <c r="I37" s="27" t="n">
        <f aca="false">IF(COUNT(Algodão!$E35:$Z35)=0,0,MAX(0,IF((I$6-$E$3)&lt;1,0,IFERROR(LOOKUP(2,1/(Algodão!$E35:INDEX(Algodão!$E35:$Z35,MIN(I$6-$E$3,22))&lt;&gt;""),Algodão!$E35:INDEX(Algodão!$E35:$Z35,MIN(I$6-$E$3,22))),0))-IF($G$2,0,IF((I$6-$G$3)&lt;1,0,IFERROR(LOOKUP(2,1/(Algodão!$E35:INDEX(Algodão!$E35:$Z35,MIN(I$6-$G$3,22))&lt;&gt;""),Algodão!$E35:INDEX(Algodão!$E35:$Z35,MIN(I$6-$G$3,22))),0)))))</f>
        <v>0</v>
      </c>
      <c r="J37" s="27" t="n">
        <f aca="false">IF(COUNT(Algodão!$E35:$Z35)=0,0,MAX(0,IF((J$6-$E$3)&lt;1,0,IFERROR(LOOKUP(2,1/(Algodão!$E35:INDEX(Algodão!$E35:$Z35,MIN(J$6-$E$3,22))&lt;&gt;""),Algodão!$E35:INDEX(Algodão!$E35:$Z35,MIN(J$6-$E$3,22))),0))-IF($G$2,0,IF((J$6-$G$3)&lt;1,0,IFERROR(LOOKUP(2,1/(Algodão!$E35:INDEX(Algodão!$E35:$Z35,MIN(J$6-$G$3,22))&lt;&gt;""),Algodão!$E35:INDEX(Algodão!$E35:$Z35,MIN(J$6-$G$3,22))),0)))))</f>
        <v>0</v>
      </c>
      <c r="K37" s="27" t="n">
        <f aca="false">IF(COUNT(Algodão!$E35:$Z35)=0,0,MAX(0,IF((K$6-$E$3)&lt;1,0,IFERROR(LOOKUP(2,1/(Algodão!$E35:INDEX(Algodão!$E35:$Z35,MIN(K$6-$E$3,22))&lt;&gt;""),Algodão!$E35:INDEX(Algodão!$E35:$Z35,MIN(K$6-$E$3,22))),0))-IF($G$2,0,IF((K$6-$G$3)&lt;1,0,IFERROR(LOOKUP(2,1/(Algodão!$E35:INDEX(Algodão!$E35:$Z35,MIN(K$6-$G$3,22))&lt;&gt;""),Algodão!$E35:INDEX(Algodão!$E35:$Z35,MIN(K$6-$G$3,22))),0)))))</f>
        <v>0</v>
      </c>
      <c r="L37" s="27" t="n">
        <f aca="false">IF(COUNT(Algodão!$E35:$Z35)=0,0,MAX(0,IF((L$6-$E$3)&lt;1,0,IFERROR(LOOKUP(2,1/(Algodão!$E35:INDEX(Algodão!$E35:$Z35,MIN(L$6-$E$3,22))&lt;&gt;""),Algodão!$E35:INDEX(Algodão!$E35:$Z35,MIN(L$6-$E$3,22))),0))-IF($G$2,0,IF((L$6-$G$3)&lt;1,0,IFERROR(LOOKUP(2,1/(Algodão!$E35:INDEX(Algodão!$E35:$Z35,MIN(L$6-$G$3,22))&lt;&gt;""),Algodão!$E35:INDEX(Algodão!$E35:$Z35,MIN(L$6-$G$3,22))),0)))))</f>
        <v>0</v>
      </c>
      <c r="M37" s="27" t="n">
        <f aca="false">IF(COUNT(Algodão!$E35:$Z35)=0,0,MAX(0,IF((M$6-$E$3)&lt;1,0,IFERROR(LOOKUP(2,1/(Algodão!$E35:INDEX(Algodão!$E35:$Z35,MIN(M$6-$E$3,22))&lt;&gt;""),Algodão!$E35:INDEX(Algodão!$E35:$Z35,MIN(M$6-$E$3,22))),0))-IF($G$2,0,IF((M$6-$G$3)&lt;1,0,IFERROR(LOOKUP(2,1/(Algodão!$E35:INDEX(Algodão!$E35:$Z35,MIN(M$6-$G$3,22))&lt;&gt;""),Algodão!$E35:INDEX(Algodão!$E35:$Z35,MIN(M$6-$G$3,22))),0)))))</f>
        <v>0</v>
      </c>
      <c r="N37" s="27" t="n">
        <f aca="false">IF(COUNT(Algodão!$E35:$Z35)=0,0,MAX(0,IF((N$6-$E$3)&lt;1,0,IFERROR(LOOKUP(2,1/(Algodão!$E35:INDEX(Algodão!$E35:$Z35,MIN(N$6-$E$3,22))&lt;&gt;""),Algodão!$E35:INDEX(Algodão!$E35:$Z35,MIN(N$6-$E$3,22))),0))-IF($G$2,0,IF((N$6-$G$3)&lt;1,0,IFERROR(LOOKUP(2,1/(Algodão!$E35:INDEX(Algodão!$E35:$Z35,MIN(N$6-$G$3,22))&lt;&gt;""),Algodão!$E35:INDEX(Algodão!$E35:$Z35,MIN(N$6-$G$3,22))),0)))))</f>
        <v>0</v>
      </c>
      <c r="O37" s="27" t="n">
        <f aca="false">IF(COUNT(Algodão!$E35:$Z35)=0,0,MAX(0,IF((O$6-$E$3)&lt;1,0,IFERROR(LOOKUP(2,1/(Algodão!$E35:INDEX(Algodão!$E35:$Z35,MIN(O$6-$E$3,22))&lt;&gt;""),Algodão!$E35:INDEX(Algodão!$E35:$Z35,MIN(O$6-$E$3,22))),0))-IF($G$2,0,IF((O$6-$G$3)&lt;1,0,IFERROR(LOOKUP(2,1/(Algodão!$E35:INDEX(Algodão!$E35:$Z35,MIN(O$6-$G$3,22))&lt;&gt;""),Algodão!$E35:INDEX(Algodão!$E35:$Z35,MIN(O$6-$G$3,22))),0)))))</f>
        <v>0</v>
      </c>
      <c r="P37" s="27" t="n">
        <f aca="false">IF(COUNT(Algodão!$E35:$Z35)=0,0,MAX(0,IF((P$6-$E$3)&lt;1,0,IFERROR(LOOKUP(2,1/(Algodão!$E35:INDEX(Algodão!$E35:$Z35,MIN(P$6-$E$3,22))&lt;&gt;""),Algodão!$E35:INDEX(Algodão!$E35:$Z35,MIN(P$6-$E$3,22))),0))-IF($G$2,0,IF((P$6-$G$3)&lt;1,0,IFERROR(LOOKUP(2,1/(Algodão!$E35:INDEX(Algodão!$E35:$Z35,MIN(P$6-$G$3,22))&lt;&gt;""),Algodão!$E35:INDEX(Algodão!$E35:$Z35,MIN(P$6-$G$3,22))),0)))))</f>
        <v>0</v>
      </c>
      <c r="Q37" s="27" t="n">
        <f aca="false">IF(COUNT(Algodão!$E35:$Z35)=0,0,MAX(0,IF((Q$6-$E$3)&lt;1,0,IFERROR(LOOKUP(2,1/(Algodão!$E35:INDEX(Algodão!$E35:$Z35,MIN(Q$6-$E$3,22))&lt;&gt;""),Algodão!$E35:INDEX(Algodão!$E35:$Z35,MIN(Q$6-$E$3,22))),0))-IF($G$2,0,IF((Q$6-$G$3)&lt;1,0,IFERROR(LOOKUP(2,1/(Algodão!$E35:INDEX(Algodão!$E35:$Z35,MIN(Q$6-$G$3,22))&lt;&gt;""),Algodão!$E35:INDEX(Algodão!$E35:$Z35,MIN(Q$6-$G$3,22))),0)))))</f>
        <v>0</v>
      </c>
      <c r="R37" s="27" t="n">
        <f aca="false">IF(COUNT(Algodão!$E35:$Z35)=0,0,MAX(0,IF((R$6-$E$3)&lt;1,0,IFERROR(LOOKUP(2,1/(Algodão!$E35:INDEX(Algodão!$E35:$Z35,MIN(R$6-$E$3,22))&lt;&gt;""),Algodão!$E35:INDEX(Algodão!$E35:$Z35,MIN(R$6-$E$3,22))),0))-IF($G$2,0,IF((R$6-$G$3)&lt;1,0,IFERROR(LOOKUP(2,1/(Algodão!$E35:INDEX(Algodão!$E35:$Z35,MIN(R$6-$G$3,22))&lt;&gt;""),Algodão!$E35:INDEX(Algodão!$E35:$Z35,MIN(R$6-$G$3,22))),0)))))</f>
        <v>0</v>
      </c>
      <c r="S37" s="27" t="n">
        <f aca="false">IF(COUNT(Algodão!$E35:$Z35)=0,0,MAX(0,IF((S$6-$E$3)&lt;1,0,IFERROR(LOOKUP(2,1/(Algodão!$E35:INDEX(Algodão!$E35:$Z35,MIN(S$6-$E$3,22))&lt;&gt;""),Algodão!$E35:INDEX(Algodão!$E35:$Z35,MIN(S$6-$E$3,22))),0))-IF($G$2,0,IF((S$6-$G$3)&lt;1,0,IFERROR(LOOKUP(2,1/(Algodão!$E35:INDEX(Algodão!$E35:$Z35,MIN(S$6-$G$3,22))&lt;&gt;""),Algodão!$E35:INDEX(Algodão!$E35:$Z35,MIN(S$6-$G$3,22))),0)))))</f>
        <v>0</v>
      </c>
      <c r="T37" s="27" t="n">
        <f aca="false">IF(COUNT(Algodão!$E35:$Z35)=0,0,MAX(0,IF((T$6-$E$3)&lt;1,0,IFERROR(LOOKUP(2,1/(Algodão!$E35:INDEX(Algodão!$E35:$Z35,MIN(T$6-$E$3,22))&lt;&gt;""),Algodão!$E35:INDEX(Algodão!$E35:$Z35,MIN(T$6-$E$3,22))),0))-IF($G$2,0,IF((T$6-$G$3)&lt;1,0,IFERROR(LOOKUP(2,1/(Algodão!$E35:INDEX(Algodão!$E35:$Z35,MIN(T$6-$G$3,22))&lt;&gt;""),Algodão!$E35:INDEX(Algodão!$E35:$Z35,MIN(T$6-$G$3,22))),0)))))</f>
        <v>0</v>
      </c>
      <c r="U37" s="27" t="n">
        <f aca="false">IF(COUNT(Algodão!$E35:$Z35)=0,0,MAX(0,IF((U$6-$E$3)&lt;1,0,IFERROR(LOOKUP(2,1/(Algodão!$E35:INDEX(Algodão!$E35:$Z35,MIN(U$6-$E$3,22))&lt;&gt;""),Algodão!$E35:INDEX(Algodão!$E35:$Z35,MIN(U$6-$E$3,22))),0))-IF($G$2,0,IF((U$6-$G$3)&lt;1,0,IFERROR(LOOKUP(2,1/(Algodão!$E35:INDEX(Algodão!$E35:$Z35,MIN(U$6-$G$3,22))&lt;&gt;""),Algodão!$E35:INDEX(Algodão!$E35:$Z35,MIN(U$6-$G$3,22))),0)))))</f>
        <v>0</v>
      </c>
      <c r="V37" s="27" t="n">
        <f aca="false">IF(COUNT(Algodão!$E35:$Z35)=0,0,MAX(0,IF((V$6-$E$3)&lt;1,0,IFERROR(LOOKUP(2,1/(Algodão!$E35:INDEX(Algodão!$E35:$Z35,MIN(V$6-$E$3,22))&lt;&gt;""),Algodão!$E35:INDEX(Algodão!$E35:$Z35,MIN(V$6-$E$3,22))),0))-IF($G$2,0,IF((V$6-$G$3)&lt;1,0,IFERROR(LOOKUP(2,1/(Algodão!$E35:INDEX(Algodão!$E35:$Z35,MIN(V$6-$G$3,22))&lt;&gt;""),Algodão!$E35:INDEX(Algodão!$E35:$Z35,MIN(V$6-$G$3,22))),0)))))</f>
        <v>0</v>
      </c>
      <c r="W37" s="27" t="n">
        <f aca="false">IF(COUNT(Algodão!$E35:$Z35)=0,0,MAX(0,IF((W$6-$E$3)&lt;1,0,IFERROR(LOOKUP(2,1/(Algodão!$E35:INDEX(Algodão!$E35:$Z35,MIN(W$6-$E$3,22))&lt;&gt;""),Algodão!$E35:INDEX(Algodão!$E35:$Z35,MIN(W$6-$E$3,22))),0))-IF($G$2,0,IF((W$6-$G$3)&lt;1,0,IFERROR(LOOKUP(2,1/(Algodão!$E35:INDEX(Algodão!$E35:$Z35,MIN(W$6-$G$3,22))&lt;&gt;""),Algodão!$E35:INDEX(Algodão!$E35:$Z35,MIN(W$6-$G$3,22))),0)))))</f>
        <v>0</v>
      </c>
      <c r="X37" s="27" t="n">
        <f aca="false">IF(COUNT(Algodão!$E35:$Z35)=0,0,MAX(0,IF((X$6-$E$3)&lt;1,0,IFERROR(LOOKUP(2,1/(Algodão!$E35:INDEX(Algodão!$E35:$Z35,MIN(X$6-$E$3,22))&lt;&gt;""),Algodão!$E35:INDEX(Algodão!$E35:$Z35,MIN(X$6-$E$3,22))),0))-IF($G$2,0,IF((X$6-$G$3)&lt;1,0,IFERROR(LOOKUP(2,1/(Algodão!$E35:INDEX(Algodão!$E35:$Z35,MIN(X$6-$G$3,22))&lt;&gt;""),Algodão!$E35:INDEX(Algodão!$E35:$Z35,MIN(X$6-$G$3,22))),0)))))</f>
        <v>0</v>
      </c>
      <c r="Y37" s="27" t="n">
        <f aca="false">IF(COUNT(Algodão!$E35:$Z35)=0,0,MAX(0,IF((Y$6-$E$3)&lt;1,0,IFERROR(LOOKUP(2,1/(Algodão!$E35:INDEX(Algodão!$E35:$Z35,MIN(Y$6-$E$3,22))&lt;&gt;""),Algodão!$E35:INDEX(Algodão!$E35:$Z35,MIN(Y$6-$E$3,22))),0))-IF($G$2,0,IF((Y$6-$G$3)&lt;1,0,IFERROR(LOOKUP(2,1/(Algodão!$E35:INDEX(Algodão!$E35:$Z35,MIN(Y$6-$G$3,22))&lt;&gt;""),Algodão!$E35:INDEX(Algodão!$E35:$Z35,MIN(Y$6-$G$3,22))),0)))))</f>
        <v>0</v>
      </c>
      <c r="Z37" s="27" t="n">
        <f aca="false">IF(COUNT(Algodão!$E35:$Z35)=0,0,MAX(0,IF((Z$6-$E$3)&lt;1,0,IFERROR(LOOKUP(2,1/(Algodão!$E35:INDEX(Algodão!$E35:$Z35,MIN(Z$6-$E$3,22))&lt;&gt;""),Algodão!$E35:INDEX(Algodão!$E35:$Z35,MIN(Z$6-$E$3,22))),0))-IF($G$2,0,IF((Z$6-$G$3)&lt;1,0,IFERROR(LOOKUP(2,1/(Algodão!$E35:INDEX(Algodão!$E35:$Z35,MIN(Z$6-$G$3,22))&lt;&gt;""),Algodão!$E35:INDEX(Algodão!$E35:$Z35,MIN(Z$6-$G$3,22))),0)))))</f>
        <v>0</v>
      </c>
      <c r="AA37" s="27" t="n">
        <f aca="false">IF(COUNT(Algodão!$E35:$Z35)=0,0,MAX(0,IF((AA$6-$E$3)&lt;1,0,IFERROR(LOOKUP(2,1/(Algodão!$E35:INDEX(Algodão!$E35:$Z35,MIN(AA$6-$E$3,22))&lt;&gt;""),Algodão!$E35:INDEX(Algodão!$E35:$Z35,MIN(AA$6-$E$3,22))),0))-IF($G$2,0,IF((AA$6-$G$3)&lt;1,0,IFERROR(LOOKUP(2,1/(Algodão!$E35:INDEX(Algodão!$E35:$Z35,MIN(AA$6-$G$3,22))&lt;&gt;""),Algodão!$E35:INDEX(Algodão!$E35:$Z35,MIN(AA$6-$G$3,22))),0)))))</f>
        <v>0</v>
      </c>
      <c r="AB37" s="27" t="n">
        <f aca="false">IF(COUNT(Algodão!$E35:$Z35)=0,0,MAX(0,IF((AB$6-$E$3)&lt;1,0,IFERROR(LOOKUP(2,1/(Algodão!$E35:INDEX(Algodão!$E35:$Z35,MIN(AB$6-$E$3,22))&lt;&gt;""),Algodão!$E35:INDEX(Algodão!$E35:$Z35,MIN(AB$6-$E$3,22))),0))-IF($G$2,0,IF((AB$6-$G$3)&lt;1,0,IFERROR(LOOKUP(2,1/(Algodão!$E35:INDEX(Algodão!$E35:$Z35,MIN(AB$6-$G$3,22))&lt;&gt;""),Algodão!$E35:INDEX(Algodão!$E35:$Z35,MIN(AB$6-$G$3,22))),0)))))</f>
        <v>0</v>
      </c>
      <c r="AC37" s="27" t="n">
        <f aca="false">IF(COUNT(Algodão!$E35:$Z35)=0,0,MAX(0,IF((AC$6-$E$3)&lt;1,0,IFERROR(LOOKUP(2,1/(Algodão!$E35:INDEX(Algodão!$E35:$Z35,MIN(AC$6-$E$3,22))&lt;&gt;""),Algodão!$E35:INDEX(Algodão!$E35:$Z35,MIN(AC$6-$E$3,22))),0))-IF($G$2,0,IF((AC$6-$G$3)&lt;1,0,IFERROR(LOOKUP(2,1/(Algodão!$E35:INDEX(Algodão!$E35:$Z35,MIN(AC$6-$G$3,22))&lt;&gt;""),Algodão!$E35:INDEX(Algodão!$E35:$Z35,MIN(AC$6-$G$3,22))),0)))))</f>
        <v>0</v>
      </c>
      <c r="AD37" s="27" t="n">
        <f aca="false">IF(COUNT(Algodão!$E35:$Z35)=0,0,MAX(0,IF((AD$6-$E$3)&lt;1,0,IFERROR(LOOKUP(2,1/(Algodão!$E35:INDEX(Algodão!$E35:$Z35,MIN(AD$6-$E$3,22))&lt;&gt;""),Algodão!$E35:INDEX(Algodão!$E35:$Z35,MIN(AD$6-$E$3,22))),0))-IF($G$2,0,IF((AD$6-$G$3)&lt;1,0,IFERROR(LOOKUP(2,1/(Algodão!$E35:INDEX(Algodão!$E35:$Z35,MIN(AD$6-$G$3,22))&lt;&gt;""),Algodão!$E35:INDEX(Algodão!$E35:$Z35,MIN(AD$6-$G$3,22))),0)))))</f>
        <v>0</v>
      </c>
      <c r="AE37" s="27" t="n">
        <f aca="false">IF(COUNT(Algodão!$E35:$Z35)=0,0,MAX(0,IF((AE$6-$E$3)&lt;1,0,IFERROR(LOOKUP(2,1/(Algodão!$E35:INDEX(Algodão!$E35:$Z35,MIN(AE$6-$E$3,22))&lt;&gt;""),Algodão!$E35:INDEX(Algodão!$E35:$Z35,MIN(AE$6-$E$3,22))),0))-IF($G$2,0,IF((AE$6-$G$3)&lt;1,0,IFERROR(LOOKUP(2,1/(Algodão!$E35:INDEX(Algodão!$E35:$Z35,MIN(AE$6-$G$3,22))&lt;&gt;""),Algodão!$E35:INDEX(Algodão!$E35:$Z35,MIN(AE$6-$G$3,22))),0)))))</f>
        <v>0</v>
      </c>
      <c r="AF37" s="27" t="n">
        <f aca="false">IF(COUNT(Algodão!$E35:$Z35)=0,0,MAX(0,IF((AF$6-$E$3)&lt;1,0,IFERROR(LOOKUP(2,1/(Algodão!$E35:INDEX(Algodão!$E35:$Z35,MIN(AF$6-$E$3,22))&lt;&gt;""),Algodão!$E35:INDEX(Algodão!$E35:$Z35,MIN(AF$6-$E$3,22))),0))-IF($G$2,0,IF((AF$6-$G$3)&lt;1,0,IFERROR(LOOKUP(2,1/(Algodão!$E35:INDEX(Algodão!$E35:$Z35,MIN(AF$6-$G$3,22))&lt;&gt;""),Algodão!$E35:INDEX(Algodão!$E35:$Z35,MIN(AF$6-$G$3,22))),0)))))</f>
        <v>0</v>
      </c>
      <c r="AG37" s="27" t="n">
        <f aca="false">IF(COUNT(Algodão!$E35:$Z35)=0,0,MAX(0,IF((AG$6-$E$3)&lt;1,0,IFERROR(LOOKUP(2,1/(Algodão!$E35:INDEX(Algodão!$E35:$Z35,MIN(AG$6-$E$3,22))&lt;&gt;""),Algodão!$E35:INDEX(Algodão!$E35:$Z35,MIN(AG$6-$E$3,22))),0))-IF($G$2,0,IF((AG$6-$G$3)&lt;1,0,IFERROR(LOOKUP(2,1/(Algodão!$E35:INDEX(Algodão!$E35:$Z35,MIN(AG$6-$G$3,22))&lt;&gt;""),Algodão!$E35:INDEX(Algodão!$E35:$Z35,MIN(AG$6-$G$3,22))),0)))))</f>
        <v>0</v>
      </c>
      <c r="AH37" s="27" t="n">
        <f aca="false">IF(COUNT(Algodão!$E35:$Z35)=0,0,MAX(0,IF((AH$6-$E$3)&lt;1,0,IFERROR(LOOKUP(2,1/(Algodão!$E35:INDEX(Algodão!$E35:$Z35,MIN(AH$6-$E$3,22))&lt;&gt;""),Algodão!$E35:INDEX(Algodão!$E35:$Z35,MIN(AH$6-$E$3,22))),0))-IF($G$2,0,IF((AH$6-$G$3)&lt;1,0,IFERROR(LOOKUP(2,1/(Algodão!$E35:INDEX(Algodão!$E35:$Z35,MIN(AH$6-$G$3,22))&lt;&gt;""),Algodão!$E35:INDEX(Algodão!$E35:$Z35,MIN(AH$6-$G$3,22))),0)))))</f>
        <v>0</v>
      </c>
      <c r="AI37" s="27" t="n">
        <f aca="false">IF(COUNT(Algodão!$E35:$Z35)=0,0,MAX(0,IF((AI$6-$E$3)&lt;1,0,IFERROR(LOOKUP(2,1/(Algodão!$E35:INDEX(Algodão!$E35:$Z35,MIN(AI$6-$E$3,22))&lt;&gt;""),Algodão!$E35:INDEX(Algodão!$E35:$Z35,MIN(AI$6-$E$3,22))),0))-IF($G$2,0,IF((AI$6-$G$3)&lt;1,0,IFERROR(LOOKUP(2,1/(Algodão!$E35:INDEX(Algodão!$E35:$Z35,MIN(AI$6-$G$3,22))&lt;&gt;""),Algodão!$E35:INDEX(Algodão!$E35:$Z35,MIN(AI$6-$G$3,22))),0)))))</f>
        <v>0</v>
      </c>
      <c r="AJ37" s="27" t="n">
        <f aca="false">IF(COUNT(Algodão!$E35:$Z35)=0,0,MAX(0,IF((AJ$6-$E$3)&lt;1,0,IFERROR(LOOKUP(2,1/(Algodão!$E35:INDEX(Algodão!$E35:$Z35,MIN(AJ$6-$E$3,22))&lt;&gt;""),Algodão!$E35:INDEX(Algodão!$E35:$Z35,MIN(AJ$6-$E$3,22))),0))-IF($G$2,0,IF((AJ$6-$G$3)&lt;1,0,IFERROR(LOOKUP(2,1/(Algodão!$E35:INDEX(Algodão!$E35:$Z35,MIN(AJ$6-$G$3,22))&lt;&gt;""),Algodão!$E35:INDEX(Algodão!$E35:$Z35,MIN(AJ$6-$G$3,22))),0)))))</f>
        <v>0</v>
      </c>
      <c r="AK37" s="27" t="n">
        <f aca="false">IF(COUNT(Algodão!$E35:$Z35)=0,0,MAX(0,IF((AK$6-$E$3)&lt;1,0,IFERROR(LOOKUP(2,1/(Algodão!$E35:INDEX(Algodão!$E35:$Z35,MIN(AK$6-$E$3,22))&lt;&gt;""),Algodão!$E35:INDEX(Algodão!$E35:$Z35,MIN(AK$6-$E$3,22))),0))-IF($G$2,0,IF((AK$6-$G$3)&lt;1,0,IFERROR(LOOKUP(2,1/(Algodão!$E35:INDEX(Algodão!$E35:$Z35,MIN(AK$6-$G$3,22))&lt;&gt;""),Algodão!$E35:INDEX(Algodão!$E35:$Z35,MIN(AK$6-$G$3,22))),0)))))</f>
        <v>0</v>
      </c>
      <c r="AL37" s="27" t="n">
        <f aca="false">IF(COUNT(Algodão!$E35:$Z35)=0,0,MAX(0,IF((AL$6-$E$3)&lt;1,0,IFERROR(LOOKUP(2,1/(Algodão!$E35:INDEX(Algodão!$E35:$Z35,MIN(AL$6-$E$3,22))&lt;&gt;""),Algodão!$E35:INDEX(Algodão!$E35:$Z35,MIN(AL$6-$E$3,22))),0))-IF($G$2,0,IF((AL$6-$G$3)&lt;1,0,IFERROR(LOOKUP(2,1/(Algodão!$E35:INDEX(Algodão!$E35:$Z35,MIN(AL$6-$G$3,22))&lt;&gt;""),Algodão!$E35:INDEX(Algodão!$E35:$Z35,MIN(AL$6-$G$3,22))),0)))))</f>
        <v>0</v>
      </c>
      <c r="AM37" s="27" t="n">
        <f aca="false">IF(COUNT(Algodão!$E35:$Z35)=0,0,MAX(0,IF((AM$6-$E$3)&lt;1,0,IFERROR(LOOKUP(2,1/(Algodão!$E35:INDEX(Algodão!$E35:$Z35,MIN(AM$6-$E$3,22))&lt;&gt;""),Algodão!$E35:INDEX(Algodão!$E35:$Z35,MIN(AM$6-$E$3,22))),0))-IF($G$2,0,IF((AM$6-$G$3)&lt;1,0,IFERROR(LOOKUP(2,1/(Algodão!$E35:INDEX(Algodão!$E35:$Z35,MIN(AM$6-$G$3,22))&lt;&gt;""),Algodão!$E35:INDEX(Algodão!$E35:$Z35,MIN(AM$6-$G$3,22))),0)))))</f>
        <v>0</v>
      </c>
      <c r="AN37" s="27" t="n">
        <f aca="false">IF(COUNT(Algodão!$E35:$Z35)=0,0,MAX(0,IF((AN$6-$E$3)&lt;1,0,IFERROR(LOOKUP(2,1/(Algodão!$E35:INDEX(Algodão!$E35:$Z35,MIN(AN$6-$E$3,22))&lt;&gt;""),Algodão!$E35:INDEX(Algodão!$E35:$Z35,MIN(AN$6-$E$3,22))),0))-IF($G$2,0,IF((AN$6-$G$3)&lt;1,0,IFERROR(LOOKUP(2,1/(Algodão!$E35:INDEX(Algodão!$E35:$Z35,MIN(AN$6-$G$3,22))&lt;&gt;""),Algodão!$E35:INDEX(Algodão!$E35:$Z35,MIN(AN$6-$G$3,22))),0)))))</f>
        <v>0</v>
      </c>
      <c r="AO37" s="27" t="n">
        <f aca="false">IF(COUNT(Algodão!$E35:$Z35)=0,0,MAX(0,IF((AO$6-$E$3)&lt;1,0,IFERROR(LOOKUP(2,1/(Algodão!$E35:INDEX(Algodão!$E35:$Z35,MIN(AO$6-$E$3,22))&lt;&gt;""),Algodão!$E35:INDEX(Algodão!$E35:$Z35,MIN(AO$6-$E$3,22))),0))-IF($G$2,0,IF((AO$6-$G$3)&lt;1,0,IFERROR(LOOKUP(2,1/(Algodão!$E35:INDEX(Algodão!$E35:$Z35,MIN(AO$6-$G$3,22))&lt;&gt;""),Algodão!$E35:INDEX(Algodão!$E35:$Z35,MIN(AO$6-$G$3,22))),0)))))</f>
        <v>0</v>
      </c>
      <c r="AP37" s="27" t="n">
        <f aca="false">IF(COUNT(Algodão!$E35:$Z35)=0,0,MAX(0,IF((AP$6-$E$3)&lt;1,0,IFERROR(LOOKUP(2,1/(Algodão!$E35:INDEX(Algodão!$E35:$Z35,MIN(AP$6-$E$3,22))&lt;&gt;""),Algodão!$E35:INDEX(Algodão!$E35:$Z35,MIN(AP$6-$E$3,22))),0))-IF($G$2,0,IF((AP$6-$G$3)&lt;1,0,IFERROR(LOOKUP(2,1/(Algodão!$E35:INDEX(Algodão!$E35:$Z35,MIN(AP$6-$G$3,22))&lt;&gt;""),Algodão!$E35:INDEX(Algodão!$E35:$Z35,MIN(AP$6-$G$3,22))),0)))))</f>
        <v>0</v>
      </c>
      <c r="AQ37" s="27" t="n">
        <f aca="false">IF(COUNT(Algodão!$E35:$Z35)=0,0,MAX(0,IF((AQ$6-$E$3)&lt;1,0,IFERROR(LOOKUP(2,1/(Algodão!$E35:INDEX(Algodão!$E35:$Z35,MIN(AQ$6-$E$3,22))&lt;&gt;""),Algodão!$E35:INDEX(Algodão!$E35:$Z35,MIN(AQ$6-$E$3,22))),0))-IF($G$2,0,IF((AQ$6-$G$3)&lt;1,0,IFERROR(LOOKUP(2,1/(Algodão!$E35:INDEX(Algodão!$E35:$Z35,MIN(AQ$6-$G$3,22))&lt;&gt;""),Algodão!$E35:INDEX(Algodão!$E35:$Z35,MIN(AQ$6-$G$3,22))),0)))))</f>
        <v>0</v>
      </c>
      <c r="AR37" s="27" t="n">
        <f aca="false">IF(COUNT(Algodão!$E35:$Z35)=0,0,MAX(0,IF((AR$6-$E$3)&lt;1,0,IFERROR(LOOKUP(2,1/(Algodão!$E35:INDEX(Algodão!$E35:$Z35,MIN(AR$6-$E$3,22))&lt;&gt;""),Algodão!$E35:INDEX(Algodão!$E35:$Z35,MIN(AR$6-$E$3,22))),0))-IF($G$2,0,IF((AR$6-$G$3)&lt;1,0,IFERROR(LOOKUP(2,1/(Algodão!$E35:INDEX(Algodão!$E35:$Z35,MIN(AR$6-$G$3,22))&lt;&gt;""),Algodão!$E35:INDEX(Algodão!$E35:$Z35,MIN(AR$6-$G$3,22))),0)))))</f>
        <v>0</v>
      </c>
      <c r="AS37" s="27" t="n">
        <f aca="false">IF(COUNT(Algodão!$E35:$Z35)=0,0,MAX(0,IF((AS$6-$E$3)&lt;1,0,IFERROR(LOOKUP(2,1/(Algodão!$E35:INDEX(Algodão!$E35:$Z35,MIN(AS$6-$E$3,22))&lt;&gt;""),Algodão!$E35:INDEX(Algodão!$E35:$Z35,MIN(AS$6-$E$3,22))),0))-IF($G$2,0,IF((AS$6-$G$3)&lt;1,0,IFERROR(LOOKUP(2,1/(Algodão!$E35:INDEX(Algodão!$E35:$Z35,MIN(AS$6-$G$3,22))&lt;&gt;""),Algodão!$E35:INDEX(Algodão!$E35:$Z35,MIN(AS$6-$G$3,22))),0)))))</f>
        <v>0</v>
      </c>
      <c r="AT37" s="27" t="n">
        <f aca="false">IF(COUNT(Algodão!$E35:$Z35)=0,0,MAX(0,IF((AT$6-$E$3)&lt;1,0,IFERROR(LOOKUP(2,1/(Algodão!$E35:INDEX(Algodão!$E35:$Z35,MIN(AT$6-$E$3,22))&lt;&gt;""),Algodão!$E35:INDEX(Algodão!$E35:$Z35,MIN(AT$6-$E$3,22))),0))-IF($G$2,0,IF((AT$6-$G$3)&lt;1,0,IFERROR(LOOKUP(2,1/(Algodão!$E35:INDEX(Algodão!$E35:$Z35,MIN(AT$6-$G$3,22))&lt;&gt;""),Algodão!$E35:INDEX(Algodão!$E35:$Z35,MIN(AT$6-$G$3,22))),0)))))</f>
        <v>0</v>
      </c>
      <c r="AU37" s="27" t="n">
        <f aca="false">IF(COUNT(Algodão!$E35:$Z35)=0,0,MAX(0,IF((AU$6-$E$3)&lt;1,0,IFERROR(LOOKUP(2,1/(Algodão!$E35:INDEX(Algodão!$E35:$Z35,MIN(AU$6-$E$3,22))&lt;&gt;""),Algodão!$E35:INDEX(Algodão!$E35:$Z35,MIN(AU$6-$E$3,22))),0))-IF($G$2,0,IF((AU$6-$G$3)&lt;1,0,IFERROR(LOOKUP(2,1/(Algodão!$E35:INDEX(Algodão!$E35:$Z35,MIN(AU$6-$G$3,22))&lt;&gt;""),Algodão!$E35:INDEX(Algodão!$E35:$Z35,MIN(AU$6-$G$3,22))),0)))))</f>
        <v>0</v>
      </c>
      <c r="AV37" s="27" t="n">
        <f aca="false">IF(COUNT(Algodão!$E35:$Z35)=0,0,MAX(0,IF((AV$6-$E$3)&lt;1,0,IFERROR(LOOKUP(2,1/(Algodão!$E35:INDEX(Algodão!$E35:$Z35,MIN(AV$6-$E$3,22))&lt;&gt;""),Algodão!$E35:INDEX(Algodão!$E35:$Z35,MIN(AV$6-$E$3,22))),0))-IF($G$2,0,IF((AV$6-$G$3)&lt;1,0,IFERROR(LOOKUP(2,1/(Algodão!$E35:INDEX(Algodão!$E35:$Z35,MIN(AV$6-$G$3,22))&lt;&gt;""),Algodão!$E35:INDEX(Algodão!$E35:$Z35,MIN(AV$6-$G$3,22))),0)))))</f>
        <v>0</v>
      </c>
      <c r="AW37" s="27" t="n">
        <f aca="false">IF(COUNT(Algodão!$E35:$Z35)=0,0,MAX(0,IF((AW$6-$E$3)&lt;1,0,IFERROR(LOOKUP(2,1/(Algodão!$E35:INDEX(Algodão!$E35:$Z35,MIN(AW$6-$E$3,22))&lt;&gt;""),Algodão!$E35:INDEX(Algodão!$E35:$Z35,MIN(AW$6-$E$3,22))),0))-IF($G$2,0,IF((AW$6-$G$3)&lt;1,0,IFERROR(LOOKUP(2,1/(Algodão!$E35:INDEX(Algodão!$E35:$Z35,MIN(AW$6-$G$3,22))&lt;&gt;""),Algodão!$E35:INDEX(Algodão!$E35:$Z35,MIN(AW$6-$G$3,22))),0)))))</f>
        <v>0</v>
      </c>
      <c r="AX37" s="27" t="n">
        <f aca="false">IF(COUNT(Algodão!$E35:$Z35)=0,0,MAX(0,IF((AX$6-$E$3)&lt;1,0,IFERROR(LOOKUP(2,1/(Algodão!$E35:INDEX(Algodão!$E35:$Z35,MIN(AX$6-$E$3,22))&lt;&gt;""),Algodão!$E35:INDEX(Algodão!$E35:$Z35,MIN(AX$6-$E$3,22))),0))-IF($G$2,0,IF((AX$6-$G$3)&lt;1,0,IFERROR(LOOKUP(2,1/(Algodão!$E35:INDEX(Algodão!$E35:$Z35,MIN(AX$6-$G$3,22))&lt;&gt;""),Algodão!$E35:INDEX(Algodão!$E35:$Z35,MIN(AX$6-$G$3,22))),0)))))</f>
        <v>0</v>
      </c>
      <c r="AY37" s="27" t="n">
        <f aca="false">IF(COUNT(Algodão!$E35:$Z35)=0,0,MAX(0,IF((AY$6-$E$3)&lt;1,0,IFERROR(LOOKUP(2,1/(Algodão!$E35:INDEX(Algodão!$E35:$Z35,MIN(AY$6-$E$3,22))&lt;&gt;""),Algodão!$E35:INDEX(Algodão!$E35:$Z35,MIN(AY$6-$E$3,22))),0))-IF($G$2,0,IF((AY$6-$G$3)&lt;1,0,IFERROR(LOOKUP(2,1/(Algodão!$E35:INDEX(Algodão!$E35:$Z35,MIN(AY$6-$G$3,22))&lt;&gt;""),Algodão!$E35:INDEX(Algodão!$E35:$Z35,MIN(AY$6-$G$3,22))),0)))))</f>
        <v>0</v>
      </c>
      <c r="AZ37" s="27" t="n">
        <f aca="false">IF(COUNT(Algodão!$E35:$Z35)=0,0,MAX(0,IF((AZ$6-$E$3)&lt;1,0,IFERROR(LOOKUP(2,1/(Algodão!$E35:INDEX(Algodão!$E35:$Z35,MIN(AZ$6-$E$3,22))&lt;&gt;""),Algodão!$E35:INDEX(Algodão!$E35:$Z35,MIN(AZ$6-$E$3,22))),0))-IF($G$2,0,IF((AZ$6-$G$3)&lt;1,0,IFERROR(LOOKUP(2,1/(Algodão!$E35:INDEX(Algodão!$E35:$Z35,MIN(AZ$6-$G$3,22))&lt;&gt;""),Algodão!$E35:INDEX(Algodão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IF(COUNT(Algodão!$E36:$Z36)&gt;0,N(Algodão!$D36),0)</f>
        <v>0</v>
      </c>
      <c r="E38" s="27" t="n">
        <f aca="false">IF(COUNT(Algodão!$E36:$Z36)=0,0,MAX(0,IF((E$6-$E$3)&lt;1,0,IFERROR(LOOKUP(2,1/(Algodão!$E36:INDEX(Algodão!$E36:$Z36,MIN(E$6-$E$3,22))&lt;&gt;""),Algodão!$E36:INDEX(Algodão!$E36:$Z36,MIN(E$6-$E$3,22))),0))-IF($G$2,0,IF((E$6-$G$3)&lt;1,0,IFERROR(LOOKUP(2,1/(Algodão!$E36:INDEX(Algodão!$E36:$Z36,MIN(E$6-$G$3,22))&lt;&gt;""),Algodão!$E36:INDEX(Algodão!$E36:$Z36,MIN(E$6-$G$3,22))),0)))))</f>
        <v>0</v>
      </c>
      <c r="F38" s="27" t="n">
        <f aca="false">IF(COUNT(Algodão!$E36:$Z36)=0,0,MAX(0,IF((F$6-$E$3)&lt;1,0,IFERROR(LOOKUP(2,1/(Algodão!$E36:INDEX(Algodão!$E36:$Z36,MIN(F$6-$E$3,22))&lt;&gt;""),Algodão!$E36:INDEX(Algodão!$E36:$Z36,MIN(F$6-$E$3,22))),0))-IF($G$2,0,IF((F$6-$G$3)&lt;1,0,IFERROR(LOOKUP(2,1/(Algodão!$E36:INDEX(Algodão!$E36:$Z36,MIN(F$6-$G$3,22))&lt;&gt;""),Algodão!$E36:INDEX(Algodão!$E36:$Z36,MIN(F$6-$G$3,22))),0)))))</f>
        <v>0</v>
      </c>
      <c r="G38" s="27" t="n">
        <f aca="false">IF(COUNT(Algodão!$E36:$Z36)=0,0,MAX(0,IF((G$6-$E$3)&lt;1,0,IFERROR(LOOKUP(2,1/(Algodão!$E36:INDEX(Algodão!$E36:$Z36,MIN(G$6-$E$3,22))&lt;&gt;""),Algodão!$E36:INDEX(Algodão!$E36:$Z36,MIN(G$6-$E$3,22))),0))-IF($G$2,0,IF((G$6-$G$3)&lt;1,0,IFERROR(LOOKUP(2,1/(Algodão!$E36:INDEX(Algodão!$E36:$Z36,MIN(G$6-$G$3,22))&lt;&gt;""),Algodão!$E36:INDEX(Algodão!$E36:$Z36,MIN(G$6-$G$3,22))),0)))))</f>
        <v>0</v>
      </c>
      <c r="H38" s="27" t="n">
        <f aca="false">IF(COUNT(Algodão!$E36:$Z36)=0,0,MAX(0,IF((H$6-$E$3)&lt;1,0,IFERROR(LOOKUP(2,1/(Algodão!$E36:INDEX(Algodão!$E36:$Z36,MIN(H$6-$E$3,22))&lt;&gt;""),Algodão!$E36:INDEX(Algodão!$E36:$Z36,MIN(H$6-$E$3,22))),0))-IF($G$2,0,IF((H$6-$G$3)&lt;1,0,IFERROR(LOOKUP(2,1/(Algodão!$E36:INDEX(Algodão!$E36:$Z36,MIN(H$6-$G$3,22))&lt;&gt;""),Algodão!$E36:INDEX(Algodão!$E36:$Z36,MIN(H$6-$G$3,22))),0)))))</f>
        <v>0</v>
      </c>
      <c r="I38" s="27" t="n">
        <f aca="false">IF(COUNT(Algodão!$E36:$Z36)=0,0,MAX(0,IF((I$6-$E$3)&lt;1,0,IFERROR(LOOKUP(2,1/(Algodão!$E36:INDEX(Algodão!$E36:$Z36,MIN(I$6-$E$3,22))&lt;&gt;""),Algodão!$E36:INDEX(Algodão!$E36:$Z36,MIN(I$6-$E$3,22))),0))-IF($G$2,0,IF((I$6-$G$3)&lt;1,0,IFERROR(LOOKUP(2,1/(Algodão!$E36:INDEX(Algodão!$E36:$Z36,MIN(I$6-$G$3,22))&lt;&gt;""),Algodão!$E36:INDEX(Algodão!$E36:$Z36,MIN(I$6-$G$3,22))),0)))))</f>
        <v>0</v>
      </c>
      <c r="J38" s="27" t="n">
        <f aca="false">IF(COUNT(Algodão!$E36:$Z36)=0,0,MAX(0,IF((J$6-$E$3)&lt;1,0,IFERROR(LOOKUP(2,1/(Algodão!$E36:INDEX(Algodão!$E36:$Z36,MIN(J$6-$E$3,22))&lt;&gt;""),Algodão!$E36:INDEX(Algodão!$E36:$Z36,MIN(J$6-$E$3,22))),0))-IF($G$2,0,IF((J$6-$G$3)&lt;1,0,IFERROR(LOOKUP(2,1/(Algodão!$E36:INDEX(Algodão!$E36:$Z36,MIN(J$6-$G$3,22))&lt;&gt;""),Algodão!$E36:INDEX(Algodão!$E36:$Z36,MIN(J$6-$G$3,22))),0)))))</f>
        <v>0</v>
      </c>
      <c r="K38" s="27" t="n">
        <f aca="false">IF(COUNT(Algodão!$E36:$Z36)=0,0,MAX(0,IF((K$6-$E$3)&lt;1,0,IFERROR(LOOKUP(2,1/(Algodão!$E36:INDEX(Algodão!$E36:$Z36,MIN(K$6-$E$3,22))&lt;&gt;""),Algodão!$E36:INDEX(Algodão!$E36:$Z36,MIN(K$6-$E$3,22))),0))-IF($G$2,0,IF((K$6-$G$3)&lt;1,0,IFERROR(LOOKUP(2,1/(Algodão!$E36:INDEX(Algodão!$E36:$Z36,MIN(K$6-$G$3,22))&lt;&gt;""),Algodão!$E36:INDEX(Algodão!$E36:$Z36,MIN(K$6-$G$3,22))),0)))))</f>
        <v>0</v>
      </c>
      <c r="L38" s="27" t="n">
        <f aca="false">IF(COUNT(Algodão!$E36:$Z36)=0,0,MAX(0,IF((L$6-$E$3)&lt;1,0,IFERROR(LOOKUP(2,1/(Algodão!$E36:INDEX(Algodão!$E36:$Z36,MIN(L$6-$E$3,22))&lt;&gt;""),Algodão!$E36:INDEX(Algodão!$E36:$Z36,MIN(L$6-$E$3,22))),0))-IF($G$2,0,IF((L$6-$G$3)&lt;1,0,IFERROR(LOOKUP(2,1/(Algodão!$E36:INDEX(Algodão!$E36:$Z36,MIN(L$6-$G$3,22))&lt;&gt;""),Algodão!$E36:INDEX(Algodão!$E36:$Z36,MIN(L$6-$G$3,22))),0)))))</f>
        <v>0</v>
      </c>
      <c r="M38" s="27" t="n">
        <f aca="false">IF(COUNT(Algodão!$E36:$Z36)=0,0,MAX(0,IF((M$6-$E$3)&lt;1,0,IFERROR(LOOKUP(2,1/(Algodão!$E36:INDEX(Algodão!$E36:$Z36,MIN(M$6-$E$3,22))&lt;&gt;""),Algodão!$E36:INDEX(Algodão!$E36:$Z36,MIN(M$6-$E$3,22))),0))-IF($G$2,0,IF((M$6-$G$3)&lt;1,0,IFERROR(LOOKUP(2,1/(Algodão!$E36:INDEX(Algodão!$E36:$Z36,MIN(M$6-$G$3,22))&lt;&gt;""),Algodão!$E36:INDEX(Algodão!$E36:$Z36,MIN(M$6-$G$3,22))),0)))))</f>
        <v>0</v>
      </c>
      <c r="N38" s="27" t="n">
        <f aca="false">IF(COUNT(Algodão!$E36:$Z36)=0,0,MAX(0,IF((N$6-$E$3)&lt;1,0,IFERROR(LOOKUP(2,1/(Algodão!$E36:INDEX(Algodão!$E36:$Z36,MIN(N$6-$E$3,22))&lt;&gt;""),Algodão!$E36:INDEX(Algodão!$E36:$Z36,MIN(N$6-$E$3,22))),0))-IF($G$2,0,IF((N$6-$G$3)&lt;1,0,IFERROR(LOOKUP(2,1/(Algodão!$E36:INDEX(Algodão!$E36:$Z36,MIN(N$6-$G$3,22))&lt;&gt;""),Algodão!$E36:INDEX(Algodão!$E36:$Z36,MIN(N$6-$G$3,22))),0)))))</f>
        <v>0</v>
      </c>
      <c r="O38" s="27" t="n">
        <f aca="false">IF(COUNT(Algodão!$E36:$Z36)=0,0,MAX(0,IF((O$6-$E$3)&lt;1,0,IFERROR(LOOKUP(2,1/(Algodão!$E36:INDEX(Algodão!$E36:$Z36,MIN(O$6-$E$3,22))&lt;&gt;""),Algodão!$E36:INDEX(Algodão!$E36:$Z36,MIN(O$6-$E$3,22))),0))-IF($G$2,0,IF((O$6-$G$3)&lt;1,0,IFERROR(LOOKUP(2,1/(Algodão!$E36:INDEX(Algodão!$E36:$Z36,MIN(O$6-$G$3,22))&lt;&gt;""),Algodão!$E36:INDEX(Algodão!$E36:$Z36,MIN(O$6-$G$3,22))),0)))))</f>
        <v>0</v>
      </c>
      <c r="P38" s="27" t="n">
        <f aca="false">IF(COUNT(Algodão!$E36:$Z36)=0,0,MAX(0,IF((P$6-$E$3)&lt;1,0,IFERROR(LOOKUP(2,1/(Algodão!$E36:INDEX(Algodão!$E36:$Z36,MIN(P$6-$E$3,22))&lt;&gt;""),Algodão!$E36:INDEX(Algodão!$E36:$Z36,MIN(P$6-$E$3,22))),0))-IF($G$2,0,IF((P$6-$G$3)&lt;1,0,IFERROR(LOOKUP(2,1/(Algodão!$E36:INDEX(Algodão!$E36:$Z36,MIN(P$6-$G$3,22))&lt;&gt;""),Algodão!$E36:INDEX(Algodão!$E36:$Z36,MIN(P$6-$G$3,22))),0)))))</f>
        <v>0</v>
      </c>
      <c r="Q38" s="27" t="n">
        <f aca="false">IF(COUNT(Algodão!$E36:$Z36)=0,0,MAX(0,IF((Q$6-$E$3)&lt;1,0,IFERROR(LOOKUP(2,1/(Algodão!$E36:INDEX(Algodão!$E36:$Z36,MIN(Q$6-$E$3,22))&lt;&gt;""),Algodão!$E36:INDEX(Algodão!$E36:$Z36,MIN(Q$6-$E$3,22))),0))-IF($G$2,0,IF((Q$6-$G$3)&lt;1,0,IFERROR(LOOKUP(2,1/(Algodão!$E36:INDEX(Algodão!$E36:$Z36,MIN(Q$6-$G$3,22))&lt;&gt;""),Algodão!$E36:INDEX(Algodão!$E36:$Z36,MIN(Q$6-$G$3,22))),0)))))</f>
        <v>0</v>
      </c>
      <c r="R38" s="27" t="n">
        <f aca="false">IF(COUNT(Algodão!$E36:$Z36)=0,0,MAX(0,IF((R$6-$E$3)&lt;1,0,IFERROR(LOOKUP(2,1/(Algodão!$E36:INDEX(Algodão!$E36:$Z36,MIN(R$6-$E$3,22))&lt;&gt;""),Algodão!$E36:INDEX(Algodão!$E36:$Z36,MIN(R$6-$E$3,22))),0))-IF($G$2,0,IF((R$6-$G$3)&lt;1,0,IFERROR(LOOKUP(2,1/(Algodão!$E36:INDEX(Algodão!$E36:$Z36,MIN(R$6-$G$3,22))&lt;&gt;""),Algodão!$E36:INDEX(Algodão!$E36:$Z36,MIN(R$6-$G$3,22))),0)))))</f>
        <v>0</v>
      </c>
      <c r="S38" s="27" t="n">
        <f aca="false">IF(COUNT(Algodão!$E36:$Z36)=0,0,MAX(0,IF((S$6-$E$3)&lt;1,0,IFERROR(LOOKUP(2,1/(Algodão!$E36:INDEX(Algodão!$E36:$Z36,MIN(S$6-$E$3,22))&lt;&gt;""),Algodão!$E36:INDEX(Algodão!$E36:$Z36,MIN(S$6-$E$3,22))),0))-IF($G$2,0,IF((S$6-$G$3)&lt;1,0,IFERROR(LOOKUP(2,1/(Algodão!$E36:INDEX(Algodão!$E36:$Z36,MIN(S$6-$G$3,22))&lt;&gt;""),Algodão!$E36:INDEX(Algodão!$E36:$Z36,MIN(S$6-$G$3,22))),0)))))</f>
        <v>0</v>
      </c>
      <c r="T38" s="27" t="n">
        <f aca="false">IF(COUNT(Algodão!$E36:$Z36)=0,0,MAX(0,IF((T$6-$E$3)&lt;1,0,IFERROR(LOOKUP(2,1/(Algodão!$E36:INDEX(Algodão!$E36:$Z36,MIN(T$6-$E$3,22))&lt;&gt;""),Algodão!$E36:INDEX(Algodão!$E36:$Z36,MIN(T$6-$E$3,22))),0))-IF($G$2,0,IF((T$6-$G$3)&lt;1,0,IFERROR(LOOKUP(2,1/(Algodão!$E36:INDEX(Algodão!$E36:$Z36,MIN(T$6-$G$3,22))&lt;&gt;""),Algodão!$E36:INDEX(Algodão!$E36:$Z36,MIN(T$6-$G$3,22))),0)))))</f>
        <v>0</v>
      </c>
      <c r="U38" s="27" t="n">
        <f aca="false">IF(COUNT(Algodão!$E36:$Z36)=0,0,MAX(0,IF((U$6-$E$3)&lt;1,0,IFERROR(LOOKUP(2,1/(Algodão!$E36:INDEX(Algodão!$E36:$Z36,MIN(U$6-$E$3,22))&lt;&gt;""),Algodão!$E36:INDEX(Algodão!$E36:$Z36,MIN(U$6-$E$3,22))),0))-IF($G$2,0,IF((U$6-$G$3)&lt;1,0,IFERROR(LOOKUP(2,1/(Algodão!$E36:INDEX(Algodão!$E36:$Z36,MIN(U$6-$G$3,22))&lt;&gt;""),Algodão!$E36:INDEX(Algodão!$E36:$Z36,MIN(U$6-$G$3,22))),0)))))</f>
        <v>0</v>
      </c>
      <c r="V38" s="27" t="n">
        <f aca="false">IF(COUNT(Algodão!$E36:$Z36)=0,0,MAX(0,IF((V$6-$E$3)&lt;1,0,IFERROR(LOOKUP(2,1/(Algodão!$E36:INDEX(Algodão!$E36:$Z36,MIN(V$6-$E$3,22))&lt;&gt;""),Algodão!$E36:INDEX(Algodão!$E36:$Z36,MIN(V$6-$E$3,22))),0))-IF($G$2,0,IF((V$6-$G$3)&lt;1,0,IFERROR(LOOKUP(2,1/(Algodão!$E36:INDEX(Algodão!$E36:$Z36,MIN(V$6-$G$3,22))&lt;&gt;""),Algodão!$E36:INDEX(Algodão!$E36:$Z36,MIN(V$6-$G$3,22))),0)))))</f>
        <v>0</v>
      </c>
      <c r="W38" s="27" t="n">
        <f aca="false">IF(COUNT(Algodão!$E36:$Z36)=0,0,MAX(0,IF((W$6-$E$3)&lt;1,0,IFERROR(LOOKUP(2,1/(Algodão!$E36:INDEX(Algodão!$E36:$Z36,MIN(W$6-$E$3,22))&lt;&gt;""),Algodão!$E36:INDEX(Algodão!$E36:$Z36,MIN(W$6-$E$3,22))),0))-IF($G$2,0,IF((W$6-$G$3)&lt;1,0,IFERROR(LOOKUP(2,1/(Algodão!$E36:INDEX(Algodão!$E36:$Z36,MIN(W$6-$G$3,22))&lt;&gt;""),Algodão!$E36:INDEX(Algodão!$E36:$Z36,MIN(W$6-$G$3,22))),0)))))</f>
        <v>0</v>
      </c>
      <c r="X38" s="27" t="n">
        <f aca="false">IF(COUNT(Algodão!$E36:$Z36)=0,0,MAX(0,IF((X$6-$E$3)&lt;1,0,IFERROR(LOOKUP(2,1/(Algodão!$E36:INDEX(Algodão!$E36:$Z36,MIN(X$6-$E$3,22))&lt;&gt;""),Algodão!$E36:INDEX(Algodão!$E36:$Z36,MIN(X$6-$E$3,22))),0))-IF($G$2,0,IF((X$6-$G$3)&lt;1,0,IFERROR(LOOKUP(2,1/(Algodão!$E36:INDEX(Algodão!$E36:$Z36,MIN(X$6-$G$3,22))&lt;&gt;""),Algodão!$E36:INDEX(Algodão!$E36:$Z36,MIN(X$6-$G$3,22))),0)))))</f>
        <v>0</v>
      </c>
      <c r="Y38" s="27" t="n">
        <f aca="false">IF(COUNT(Algodão!$E36:$Z36)=0,0,MAX(0,IF((Y$6-$E$3)&lt;1,0,IFERROR(LOOKUP(2,1/(Algodão!$E36:INDEX(Algodão!$E36:$Z36,MIN(Y$6-$E$3,22))&lt;&gt;""),Algodão!$E36:INDEX(Algodão!$E36:$Z36,MIN(Y$6-$E$3,22))),0))-IF($G$2,0,IF((Y$6-$G$3)&lt;1,0,IFERROR(LOOKUP(2,1/(Algodão!$E36:INDEX(Algodão!$E36:$Z36,MIN(Y$6-$G$3,22))&lt;&gt;""),Algodão!$E36:INDEX(Algodão!$E36:$Z36,MIN(Y$6-$G$3,22))),0)))))</f>
        <v>0</v>
      </c>
      <c r="Z38" s="27" t="n">
        <f aca="false">IF(COUNT(Algodão!$E36:$Z36)=0,0,MAX(0,IF((Z$6-$E$3)&lt;1,0,IFERROR(LOOKUP(2,1/(Algodão!$E36:INDEX(Algodão!$E36:$Z36,MIN(Z$6-$E$3,22))&lt;&gt;""),Algodão!$E36:INDEX(Algodão!$E36:$Z36,MIN(Z$6-$E$3,22))),0))-IF($G$2,0,IF((Z$6-$G$3)&lt;1,0,IFERROR(LOOKUP(2,1/(Algodão!$E36:INDEX(Algodão!$E36:$Z36,MIN(Z$6-$G$3,22))&lt;&gt;""),Algodão!$E36:INDEX(Algodão!$E36:$Z36,MIN(Z$6-$G$3,22))),0)))))</f>
        <v>0</v>
      </c>
      <c r="AA38" s="27" t="n">
        <f aca="false">IF(COUNT(Algodão!$E36:$Z36)=0,0,MAX(0,IF((AA$6-$E$3)&lt;1,0,IFERROR(LOOKUP(2,1/(Algodão!$E36:INDEX(Algodão!$E36:$Z36,MIN(AA$6-$E$3,22))&lt;&gt;""),Algodão!$E36:INDEX(Algodão!$E36:$Z36,MIN(AA$6-$E$3,22))),0))-IF($G$2,0,IF((AA$6-$G$3)&lt;1,0,IFERROR(LOOKUP(2,1/(Algodão!$E36:INDEX(Algodão!$E36:$Z36,MIN(AA$6-$G$3,22))&lt;&gt;""),Algodão!$E36:INDEX(Algodão!$E36:$Z36,MIN(AA$6-$G$3,22))),0)))))</f>
        <v>0</v>
      </c>
      <c r="AB38" s="27" t="n">
        <f aca="false">IF(COUNT(Algodão!$E36:$Z36)=0,0,MAX(0,IF((AB$6-$E$3)&lt;1,0,IFERROR(LOOKUP(2,1/(Algodão!$E36:INDEX(Algodão!$E36:$Z36,MIN(AB$6-$E$3,22))&lt;&gt;""),Algodão!$E36:INDEX(Algodão!$E36:$Z36,MIN(AB$6-$E$3,22))),0))-IF($G$2,0,IF((AB$6-$G$3)&lt;1,0,IFERROR(LOOKUP(2,1/(Algodão!$E36:INDEX(Algodão!$E36:$Z36,MIN(AB$6-$G$3,22))&lt;&gt;""),Algodão!$E36:INDEX(Algodão!$E36:$Z36,MIN(AB$6-$G$3,22))),0)))))</f>
        <v>0</v>
      </c>
      <c r="AC38" s="27" t="n">
        <f aca="false">IF(COUNT(Algodão!$E36:$Z36)=0,0,MAX(0,IF((AC$6-$E$3)&lt;1,0,IFERROR(LOOKUP(2,1/(Algodão!$E36:INDEX(Algodão!$E36:$Z36,MIN(AC$6-$E$3,22))&lt;&gt;""),Algodão!$E36:INDEX(Algodão!$E36:$Z36,MIN(AC$6-$E$3,22))),0))-IF($G$2,0,IF((AC$6-$G$3)&lt;1,0,IFERROR(LOOKUP(2,1/(Algodão!$E36:INDEX(Algodão!$E36:$Z36,MIN(AC$6-$G$3,22))&lt;&gt;""),Algodão!$E36:INDEX(Algodão!$E36:$Z36,MIN(AC$6-$G$3,22))),0)))))</f>
        <v>0</v>
      </c>
      <c r="AD38" s="27" t="n">
        <f aca="false">IF(COUNT(Algodão!$E36:$Z36)=0,0,MAX(0,IF((AD$6-$E$3)&lt;1,0,IFERROR(LOOKUP(2,1/(Algodão!$E36:INDEX(Algodão!$E36:$Z36,MIN(AD$6-$E$3,22))&lt;&gt;""),Algodão!$E36:INDEX(Algodão!$E36:$Z36,MIN(AD$6-$E$3,22))),0))-IF($G$2,0,IF((AD$6-$G$3)&lt;1,0,IFERROR(LOOKUP(2,1/(Algodão!$E36:INDEX(Algodão!$E36:$Z36,MIN(AD$6-$G$3,22))&lt;&gt;""),Algodão!$E36:INDEX(Algodão!$E36:$Z36,MIN(AD$6-$G$3,22))),0)))))</f>
        <v>0</v>
      </c>
      <c r="AE38" s="27" t="n">
        <f aca="false">IF(COUNT(Algodão!$E36:$Z36)=0,0,MAX(0,IF((AE$6-$E$3)&lt;1,0,IFERROR(LOOKUP(2,1/(Algodão!$E36:INDEX(Algodão!$E36:$Z36,MIN(AE$6-$E$3,22))&lt;&gt;""),Algodão!$E36:INDEX(Algodão!$E36:$Z36,MIN(AE$6-$E$3,22))),0))-IF($G$2,0,IF((AE$6-$G$3)&lt;1,0,IFERROR(LOOKUP(2,1/(Algodão!$E36:INDEX(Algodão!$E36:$Z36,MIN(AE$6-$G$3,22))&lt;&gt;""),Algodão!$E36:INDEX(Algodão!$E36:$Z36,MIN(AE$6-$G$3,22))),0)))))</f>
        <v>0</v>
      </c>
      <c r="AF38" s="27" t="n">
        <f aca="false">IF(COUNT(Algodão!$E36:$Z36)=0,0,MAX(0,IF((AF$6-$E$3)&lt;1,0,IFERROR(LOOKUP(2,1/(Algodão!$E36:INDEX(Algodão!$E36:$Z36,MIN(AF$6-$E$3,22))&lt;&gt;""),Algodão!$E36:INDEX(Algodão!$E36:$Z36,MIN(AF$6-$E$3,22))),0))-IF($G$2,0,IF((AF$6-$G$3)&lt;1,0,IFERROR(LOOKUP(2,1/(Algodão!$E36:INDEX(Algodão!$E36:$Z36,MIN(AF$6-$G$3,22))&lt;&gt;""),Algodão!$E36:INDEX(Algodão!$E36:$Z36,MIN(AF$6-$G$3,22))),0)))))</f>
        <v>0</v>
      </c>
      <c r="AG38" s="27" t="n">
        <f aca="false">IF(COUNT(Algodão!$E36:$Z36)=0,0,MAX(0,IF((AG$6-$E$3)&lt;1,0,IFERROR(LOOKUP(2,1/(Algodão!$E36:INDEX(Algodão!$E36:$Z36,MIN(AG$6-$E$3,22))&lt;&gt;""),Algodão!$E36:INDEX(Algodão!$E36:$Z36,MIN(AG$6-$E$3,22))),0))-IF($G$2,0,IF((AG$6-$G$3)&lt;1,0,IFERROR(LOOKUP(2,1/(Algodão!$E36:INDEX(Algodão!$E36:$Z36,MIN(AG$6-$G$3,22))&lt;&gt;""),Algodão!$E36:INDEX(Algodão!$E36:$Z36,MIN(AG$6-$G$3,22))),0)))))</f>
        <v>0</v>
      </c>
      <c r="AH38" s="27" t="n">
        <f aca="false">IF(COUNT(Algodão!$E36:$Z36)=0,0,MAX(0,IF((AH$6-$E$3)&lt;1,0,IFERROR(LOOKUP(2,1/(Algodão!$E36:INDEX(Algodão!$E36:$Z36,MIN(AH$6-$E$3,22))&lt;&gt;""),Algodão!$E36:INDEX(Algodão!$E36:$Z36,MIN(AH$6-$E$3,22))),0))-IF($G$2,0,IF((AH$6-$G$3)&lt;1,0,IFERROR(LOOKUP(2,1/(Algodão!$E36:INDEX(Algodão!$E36:$Z36,MIN(AH$6-$G$3,22))&lt;&gt;""),Algodão!$E36:INDEX(Algodão!$E36:$Z36,MIN(AH$6-$G$3,22))),0)))))</f>
        <v>0</v>
      </c>
      <c r="AI38" s="27" t="n">
        <f aca="false">IF(COUNT(Algodão!$E36:$Z36)=0,0,MAX(0,IF((AI$6-$E$3)&lt;1,0,IFERROR(LOOKUP(2,1/(Algodão!$E36:INDEX(Algodão!$E36:$Z36,MIN(AI$6-$E$3,22))&lt;&gt;""),Algodão!$E36:INDEX(Algodão!$E36:$Z36,MIN(AI$6-$E$3,22))),0))-IF($G$2,0,IF((AI$6-$G$3)&lt;1,0,IFERROR(LOOKUP(2,1/(Algodão!$E36:INDEX(Algodão!$E36:$Z36,MIN(AI$6-$G$3,22))&lt;&gt;""),Algodão!$E36:INDEX(Algodão!$E36:$Z36,MIN(AI$6-$G$3,22))),0)))))</f>
        <v>0</v>
      </c>
      <c r="AJ38" s="27" t="n">
        <f aca="false">IF(COUNT(Algodão!$E36:$Z36)=0,0,MAX(0,IF((AJ$6-$E$3)&lt;1,0,IFERROR(LOOKUP(2,1/(Algodão!$E36:INDEX(Algodão!$E36:$Z36,MIN(AJ$6-$E$3,22))&lt;&gt;""),Algodão!$E36:INDEX(Algodão!$E36:$Z36,MIN(AJ$6-$E$3,22))),0))-IF($G$2,0,IF((AJ$6-$G$3)&lt;1,0,IFERROR(LOOKUP(2,1/(Algodão!$E36:INDEX(Algodão!$E36:$Z36,MIN(AJ$6-$G$3,22))&lt;&gt;""),Algodão!$E36:INDEX(Algodão!$E36:$Z36,MIN(AJ$6-$G$3,22))),0)))))</f>
        <v>0</v>
      </c>
      <c r="AK38" s="27" t="n">
        <f aca="false">IF(COUNT(Algodão!$E36:$Z36)=0,0,MAX(0,IF((AK$6-$E$3)&lt;1,0,IFERROR(LOOKUP(2,1/(Algodão!$E36:INDEX(Algodão!$E36:$Z36,MIN(AK$6-$E$3,22))&lt;&gt;""),Algodão!$E36:INDEX(Algodão!$E36:$Z36,MIN(AK$6-$E$3,22))),0))-IF($G$2,0,IF((AK$6-$G$3)&lt;1,0,IFERROR(LOOKUP(2,1/(Algodão!$E36:INDEX(Algodão!$E36:$Z36,MIN(AK$6-$G$3,22))&lt;&gt;""),Algodão!$E36:INDEX(Algodão!$E36:$Z36,MIN(AK$6-$G$3,22))),0)))))</f>
        <v>0</v>
      </c>
      <c r="AL38" s="27" t="n">
        <f aca="false">IF(COUNT(Algodão!$E36:$Z36)=0,0,MAX(0,IF((AL$6-$E$3)&lt;1,0,IFERROR(LOOKUP(2,1/(Algodão!$E36:INDEX(Algodão!$E36:$Z36,MIN(AL$6-$E$3,22))&lt;&gt;""),Algodão!$E36:INDEX(Algodão!$E36:$Z36,MIN(AL$6-$E$3,22))),0))-IF($G$2,0,IF((AL$6-$G$3)&lt;1,0,IFERROR(LOOKUP(2,1/(Algodão!$E36:INDEX(Algodão!$E36:$Z36,MIN(AL$6-$G$3,22))&lt;&gt;""),Algodão!$E36:INDEX(Algodão!$E36:$Z36,MIN(AL$6-$G$3,22))),0)))))</f>
        <v>0</v>
      </c>
      <c r="AM38" s="27" t="n">
        <f aca="false">IF(COUNT(Algodão!$E36:$Z36)=0,0,MAX(0,IF((AM$6-$E$3)&lt;1,0,IFERROR(LOOKUP(2,1/(Algodão!$E36:INDEX(Algodão!$E36:$Z36,MIN(AM$6-$E$3,22))&lt;&gt;""),Algodão!$E36:INDEX(Algodão!$E36:$Z36,MIN(AM$6-$E$3,22))),0))-IF($G$2,0,IF((AM$6-$G$3)&lt;1,0,IFERROR(LOOKUP(2,1/(Algodão!$E36:INDEX(Algodão!$E36:$Z36,MIN(AM$6-$G$3,22))&lt;&gt;""),Algodão!$E36:INDEX(Algodão!$E36:$Z36,MIN(AM$6-$G$3,22))),0)))))</f>
        <v>0</v>
      </c>
      <c r="AN38" s="27" t="n">
        <f aca="false">IF(COUNT(Algodão!$E36:$Z36)=0,0,MAX(0,IF((AN$6-$E$3)&lt;1,0,IFERROR(LOOKUP(2,1/(Algodão!$E36:INDEX(Algodão!$E36:$Z36,MIN(AN$6-$E$3,22))&lt;&gt;""),Algodão!$E36:INDEX(Algodão!$E36:$Z36,MIN(AN$6-$E$3,22))),0))-IF($G$2,0,IF((AN$6-$G$3)&lt;1,0,IFERROR(LOOKUP(2,1/(Algodão!$E36:INDEX(Algodão!$E36:$Z36,MIN(AN$6-$G$3,22))&lt;&gt;""),Algodão!$E36:INDEX(Algodão!$E36:$Z36,MIN(AN$6-$G$3,22))),0)))))</f>
        <v>0</v>
      </c>
      <c r="AO38" s="27" t="n">
        <f aca="false">IF(COUNT(Algodão!$E36:$Z36)=0,0,MAX(0,IF((AO$6-$E$3)&lt;1,0,IFERROR(LOOKUP(2,1/(Algodão!$E36:INDEX(Algodão!$E36:$Z36,MIN(AO$6-$E$3,22))&lt;&gt;""),Algodão!$E36:INDEX(Algodão!$E36:$Z36,MIN(AO$6-$E$3,22))),0))-IF($G$2,0,IF((AO$6-$G$3)&lt;1,0,IFERROR(LOOKUP(2,1/(Algodão!$E36:INDEX(Algodão!$E36:$Z36,MIN(AO$6-$G$3,22))&lt;&gt;""),Algodão!$E36:INDEX(Algodão!$E36:$Z36,MIN(AO$6-$G$3,22))),0)))))</f>
        <v>0</v>
      </c>
      <c r="AP38" s="27" t="n">
        <f aca="false">IF(COUNT(Algodão!$E36:$Z36)=0,0,MAX(0,IF((AP$6-$E$3)&lt;1,0,IFERROR(LOOKUP(2,1/(Algodão!$E36:INDEX(Algodão!$E36:$Z36,MIN(AP$6-$E$3,22))&lt;&gt;""),Algodão!$E36:INDEX(Algodão!$E36:$Z36,MIN(AP$6-$E$3,22))),0))-IF($G$2,0,IF((AP$6-$G$3)&lt;1,0,IFERROR(LOOKUP(2,1/(Algodão!$E36:INDEX(Algodão!$E36:$Z36,MIN(AP$6-$G$3,22))&lt;&gt;""),Algodão!$E36:INDEX(Algodão!$E36:$Z36,MIN(AP$6-$G$3,22))),0)))))</f>
        <v>0</v>
      </c>
      <c r="AQ38" s="27" t="n">
        <f aca="false">IF(COUNT(Algodão!$E36:$Z36)=0,0,MAX(0,IF((AQ$6-$E$3)&lt;1,0,IFERROR(LOOKUP(2,1/(Algodão!$E36:INDEX(Algodão!$E36:$Z36,MIN(AQ$6-$E$3,22))&lt;&gt;""),Algodão!$E36:INDEX(Algodão!$E36:$Z36,MIN(AQ$6-$E$3,22))),0))-IF($G$2,0,IF((AQ$6-$G$3)&lt;1,0,IFERROR(LOOKUP(2,1/(Algodão!$E36:INDEX(Algodão!$E36:$Z36,MIN(AQ$6-$G$3,22))&lt;&gt;""),Algodão!$E36:INDEX(Algodão!$E36:$Z36,MIN(AQ$6-$G$3,22))),0)))))</f>
        <v>0</v>
      </c>
      <c r="AR38" s="27" t="n">
        <f aca="false">IF(COUNT(Algodão!$E36:$Z36)=0,0,MAX(0,IF((AR$6-$E$3)&lt;1,0,IFERROR(LOOKUP(2,1/(Algodão!$E36:INDEX(Algodão!$E36:$Z36,MIN(AR$6-$E$3,22))&lt;&gt;""),Algodão!$E36:INDEX(Algodão!$E36:$Z36,MIN(AR$6-$E$3,22))),0))-IF($G$2,0,IF((AR$6-$G$3)&lt;1,0,IFERROR(LOOKUP(2,1/(Algodão!$E36:INDEX(Algodão!$E36:$Z36,MIN(AR$6-$G$3,22))&lt;&gt;""),Algodão!$E36:INDEX(Algodão!$E36:$Z36,MIN(AR$6-$G$3,22))),0)))))</f>
        <v>0</v>
      </c>
      <c r="AS38" s="27" t="n">
        <f aca="false">IF(COUNT(Algodão!$E36:$Z36)=0,0,MAX(0,IF((AS$6-$E$3)&lt;1,0,IFERROR(LOOKUP(2,1/(Algodão!$E36:INDEX(Algodão!$E36:$Z36,MIN(AS$6-$E$3,22))&lt;&gt;""),Algodão!$E36:INDEX(Algodão!$E36:$Z36,MIN(AS$6-$E$3,22))),0))-IF($G$2,0,IF((AS$6-$G$3)&lt;1,0,IFERROR(LOOKUP(2,1/(Algodão!$E36:INDEX(Algodão!$E36:$Z36,MIN(AS$6-$G$3,22))&lt;&gt;""),Algodão!$E36:INDEX(Algodão!$E36:$Z36,MIN(AS$6-$G$3,22))),0)))))</f>
        <v>0</v>
      </c>
      <c r="AT38" s="27" t="n">
        <f aca="false">IF(COUNT(Algodão!$E36:$Z36)=0,0,MAX(0,IF((AT$6-$E$3)&lt;1,0,IFERROR(LOOKUP(2,1/(Algodão!$E36:INDEX(Algodão!$E36:$Z36,MIN(AT$6-$E$3,22))&lt;&gt;""),Algodão!$E36:INDEX(Algodão!$E36:$Z36,MIN(AT$6-$E$3,22))),0))-IF($G$2,0,IF((AT$6-$G$3)&lt;1,0,IFERROR(LOOKUP(2,1/(Algodão!$E36:INDEX(Algodão!$E36:$Z36,MIN(AT$6-$G$3,22))&lt;&gt;""),Algodão!$E36:INDEX(Algodão!$E36:$Z36,MIN(AT$6-$G$3,22))),0)))))</f>
        <v>0</v>
      </c>
      <c r="AU38" s="27" t="n">
        <f aca="false">IF(COUNT(Algodão!$E36:$Z36)=0,0,MAX(0,IF((AU$6-$E$3)&lt;1,0,IFERROR(LOOKUP(2,1/(Algodão!$E36:INDEX(Algodão!$E36:$Z36,MIN(AU$6-$E$3,22))&lt;&gt;""),Algodão!$E36:INDEX(Algodão!$E36:$Z36,MIN(AU$6-$E$3,22))),0))-IF($G$2,0,IF((AU$6-$G$3)&lt;1,0,IFERROR(LOOKUP(2,1/(Algodão!$E36:INDEX(Algodão!$E36:$Z36,MIN(AU$6-$G$3,22))&lt;&gt;""),Algodão!$E36:INDEX(Algodão!$E36:$Z36,MIN(AU$6-$G$3,22))),0)))))</f>
        <v>0</v>
      </c>
      <c r="AV38" s="27" t="n">
        <f aca="false">IF(COUNT(Algodão!$E36:$Z36)=0,0,MAX(0,IF((AV$6-$E$3)&lt;1,0,IFERROR(LOOKUP(2,1/(Algodão!$E36:INDEX(Algodão!$E36:$Z36,MIN(AV$6-$E$3,22))&lt;&gt;""),Algodão!$E36:INDEX(Algodão!$E36:$Z36,MIN(AV$6-$E$3,22))),0))-IF($G$2,0,IF((AV$6-$G$3)&lt;1,0,IFERROR(LOOKUP(2,1/(Algodão!$E36:INDEX(Algodão!$E36:$Z36,MIN(AV$6-$G$3,22))&lt;&gt;""),Algodão!$E36:INDEX(Algodão!$E36:$Z36,MIN(AV$6-$G$3,22))),0)))))</f>
        <v>0</v>
      </c>
      <c r="AW38" s="27" t="n">
        <f aca="false">IF(COUNT(Algodão!$E36:$Z36)=0,0,MAX(0,IF((AW$6-$E$3)&lt;1,0,IFERROR(LOOKUP(2,1/(Algodão!$E36:INDEX(Algodão!$E36:$Z36,MIN(AW$6-$E$3,22))&lt;&gt;""),Algodão!$E36:INDEX(Algodão!$E36:$Z36,MIN(AW$6-$E$3,22))),0))-IF($G$2,0,IF((AW$6-$G$3)&lt;1,0,IFERROR(LOOKUP(2,1/(Algodão!$E36:INDEX(Algodão!$E36:$Z36,MIN(AW$6-$G$3,22))&lt;&gt;""),Algodão!$E36:INDEX(Algodão!$E36:$Z36,MIN(AW$6-$G$3,22))),0)))))</f>
        <v>0</v>
      </c>
      <c r="AX38" s="27" t="n">
        <f aca="false">IF(COUNT(Algodão!$E36:$Z36)=0,0,MAX(0,IF((AX$6-$E$3)&lt;1,0,IFERROR(LOOKUP(2,1/(Algodão!$E36:INDEX(Algodão!$E36:$Z36,MIN(AX$6-$E$3,22))&lt;&gt;""),Algodão!$E36:INDEX(Algodão!$E36:$Z36,MIN(AX$6-$E$3,22))),0))-IF($G$2,0,IF((AX$6-$G$3)&lt;1,0,IFERROR(LOOKUP(2,1/(Algodão!$E36:INDEX(Algodão!$E36:$Z36,MIN(AX$6-$G$3,22))&lt;&gt;""),Algodão!$E36:INDEX(Algodão!$E36:$Z36,MIN(AX$6-$G$3,22))),0)))))</f>
        <v>0</v>
      </c>
      <c r="AY38" s="27" t="n">
        <f aca="false">IF(COUNT(Algodão!$E36:$Z36)=0,0,MAX(0,IF((AY$6-$E$3)&lt;1,0,IFERROR(LOOKUP(2,1/(Algodão!$E36:INDEX(Algodão!$E36:$Z36,MIN(AY$6-$E$3,22))&lt;&gt;""),Algodão!$E36:INDEX(Algodão!$E36:$Z36,MIN(AY$6-$E$3,22))),0))-IF($G$2,0,IF((AY$6-$G$3)&lt;1,0,IFERROR(LOOKUP(2,1/(Algodão!$E36:INDEX(Algodão!$E36:$Z36,MIN(AY$6-$G$3,22))&lt;&gt;""),Algodão!$E36:INDEX(Algodão!$E36:$Z36,MIN(AY$6-$G$3,22))),0)))))</f>
        <v>0</v>
      </c>
      <c r="AZ38" s="27" t="n">
        <f aca="false">IF(COUNT(Algodão!$E36:$Z36)=0,0,MAX(0,IF((AZ$6-$E$3)&lt;1,0,IFERROR(LOOKUP(2,1/(Algodão!$E36:INDEX(Algodão!$E36:$Z36,MIN(AZ$6-$E$3,22))&lt;&gt;""),Algodão!$E36:INDEX(Algodão!$E36:$Z36,MIN(AZ$6-$E$3,22))),0))-IF($G$2,0,IF((AZ$6-$G$3)&lt;1,0,IFERROR(LOOKUP(2,1/(Algodão!$E36:INDEX(Algodão!$E36:$Z36,MIN(AZ$6-$G$3,22))&lt;&gt;""),Algodão!$E36:INDEX(Algodão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IF(COUNT(Algodão!$E37:$Z37)&gt;0,N(Algodão!$D37),0)</f>
        <v>0</v>
      </c>
      <c r="E39" s="27" t="n">
        <f aca="false">IF(COUNT(Algodão!$E37:$Z37)=0,0,MAX(0,IF((E$6-$E$3)&lt;1,0,IFERROR(LOOKUP(2,1/(Algodão!$E37:INDEX(Algodão!$E37:$Z37,MIN(E$6-$E$3,22))&lt;&gt;""),Algodão!$E37:INDEX(Algodão!$E37:$Z37,MIN(E$6-$E$3,22))),0))-IF($G$2,0,IF((E$6-$G$3)&lt;1,0,IFERROR(LOOKUP(2,1/(Algodão!$E37:INDEX(Algodão!$E37:$Z37,MIN(E$6-$G$3,22))&lt;&gt;""),Algodão!$E37:INDEX(Algodão!$E37:$Z37,MIN(E$6-$G$3,22))),0)))))</f>
        <v>0</v>
      </c>
      <c r="F39" s="27" t="n">
        <f aca="false">IF(COUNT(Algodão!$E37:$Z37)=0,0,MAX(0,IF((F$6-$E$3)&lt;1,0,IFERROR(LOOKUP(2,1/(Algodão!$E37:INDEX(Algodão!$E37:$Z37,MIN(F$6-$E$3,22))&lt;&gt;""),Algodão!$E37:INDEX(Algodão!$E37:$Z37,MIN(F$6-$E$3,22))),0))-IF($G$2,0,IF((F$6-$G$3)&lt;1,0,IFERROR(LOOKUP(2,1/(Algodão!$E37:INDEX(Algodão!$E37:$Z37,MIN(F$6-$G$3,22))&lt;&gt;""),Algodão!$E37:INDEX(Algodão!$E37:$Z37,MIN(F$6-$G$3,22))),0)))))</f>
        <v>0</v>
      </c>
      <c r="G39" s="27" t="n">
        <f aca="false">IF(COUNT(Algodão!$E37:$Z37)=0,0,MAX(0,IF((G$6-$E$3)&lt;1,0,IFERROR(LOOKUP(2,1/(Algodão!$E37:INDEX(Algodão!$E37:$Z37,MIN(G$6-$E$3,22))&lt;&gt;""),Algodão!$E37:INDEX(Algodão!$E37:$Z37,MIN(G$6-$E$3,22))),0))-IF($G$2,0,IF((G$6-$G$3)&lt;1,0,IFERROR(LOOKUP(2,1/(Algodão!$E37:INDEX(Algodão!$E37:$Z37,MIN(G$6-$G$3,22))&lt;&gt;""),Algodão!$E37:INDEX(Algodão!$E37:$Z37,MIN(G$6-$G$3,22))),0)))))</f>
        <v>0</v>
      </c>
      <c r="H39" s="27" t="n">
        <f aca="false">IF(COUNT(Algodão!$E37:$Z37)=0,0,MAX(0,IF((H$6-$E$3)&lt;1,0,IFERROR(LOOKUP(2,1/(Algodão!$E37:INDEX(Algodão!$E37:$Z37,MIN(H$6-$E$3,22))&lt;&gt;""),Algodão!$E37:INDEX(Algodão!$E37:$Z37,MIN(H$6-$E$3,22))),0))-IF($G$2,0,IF((H$6-$G$3)&lt;1,0,IFERROR(LOOKUP(2,1/(Algodão!$E37:INDEX(Algodão!$E37:$Z37,MIN(H$6-$G$3,22))&lt;&gt;""),Algodão!$E37:INDEX(Algodão!$E37:$Z37,MIN(H$6-$G$3,22))),0)))))</f>
        <v>0</v>
      </c>
      <c r="I39" s="27" t="n">
        <f aca="false">IF(COUNT(Algodão!$E37:$Z37)=0,0,MAX(0,IF((I$6-$E$3)&lt;1,0,IFERROR(LOOKUP(2,1/(Algodão!$E37:INDEX(Algodão!$E37:$Z37,MIN(I$6-$E$3,22))&lt;&gt;""),Algodão!$E37:INDEX(Algodão!$E37:$Z37,MIN(I$6-$E$3,22))),0))-IF($G$2,0,IF((I$6-$G$3)&lt;1,0,IFERROR(LOOKUP(2,1/(Algodão!$E37:INDEX(Algodão!$E37:$Z37,MIN(I$6-$G$3,22))&lt;&gt;""),Algodão!$E37:INDEX(Algodão!$E37:$Z37,MIN(I$6-$G$3,22))),0)))))</f>
        <v>0</v>
      </c>
      <c r="J39" s="27" t="n">
        <f aca="false">IF(COUNT(Algodão!$E37:$Z37)=0,0,MAX(0,IF((J$6-$E$3)&lt;1,0,IFERROR(LOOKUP(2,1/(Algodão!$E37:INDEX(Algodão!$E37:$Z37,MIN(J$6-$E$3,22))&lt;&gt;""),Algodão!$E37:INDEX(Algodão!$E37:$Z37,MIN(J$6-$E$3,22))),0))-IF($G$2,0,IF((J$6-$G$3)&lt;1,0,IFERROR(LOOKUP(2,1/(Algodão!$E37:INDEX(Algodão!$E37:$Z37,MIN(J$6-$G$3,22))&lt;&gt;""),Algodão!$E37:INDEX(Algodão!$E37:$Z37,MIN(J$6-$G$3,22))),0)))))</f>
        <v>0</v>
      </c>
      <c r="K39" s="27" t="n">
        <f aca="false">IF(COUNT(Algodão!$E37:$Z37)=0,0,MAX(0,IF((K$6-$E$3)&lt;1,0,IFERROR(LOOKUP(2,1/(Algodão!$E37:INDEX(Algodão!$E37:$Z37,MIN(K$6-$E$3,22))&lt;&gt;""),Algodão!$E37:INDEX(Algodão!$E37:$Z37,MIN(K$6-$E$3,22))),0))-IF($G$2,0,IF((K$6-$G$3)&lt;1,0,IFERROR(LOOKUP(2,1/(Algodão!$E37:INDEX(Algodão!$E37:$Z37,MIN(K$6-$G$3,22))&lt;&gt;""),Algodão!$E37:INDEX(Algodão!$E37:$Z37,MIN(K$6-$G$3,22))),0)))))</f>
        <v>0</v>
      </c>
      <c r="L39" s="27" t="n">
        <f aca="false">IF(COUNT(Algodão!$E37:$Z37)=0,0,MAX(0,IF((L$6-$E$3)&lt;1,0,IFERROR(LOOKUP(2,1/(Algodão!$E37:INDEX(Algodão!$E37:$Z37,MIN(L$6-$E$3,22))&lt;&gt;""),Algodão!$E37:INDEX(Algodão!$E37:$Z37,MIN(L$6-$E$3,22))),0))-IF($G$2,0,IF((L$6-$G$3)&lt;1,0,IFERROR(LOOKUP(2,1/(Algodão!$E37:INDEX(Algodão!$E37:$Z37,MIN(L$6-$G$3,22))&lt;&gt;""),Algodão!$E37:INDEX(Algodão!$E37:$Z37,MIN(L$6-$G$3,22))),0)))))</f>
        <v>0</v>
      </c>
      <c r="M39" s="27" t="n">
        <f aca="false">IF(COUNT(Algodão!$E37:$Z37)=0,0,MAX(0,IF((M$6-$E$3)&lt;1,0,IFERROR(LOOKUP(2,1/(Algodão!$E37:INDEX(Algodão!$E37:$Z37,MIN(M$6-$E$3,22))&lt;&gt;""),Algodão!$E37:INDEX(Algodão!$E37:$Z37,MIN(M$6-$E$3,22))),0))-IF($G$2,0,IF((M$6-$G$3)&lt;1,0,IFERROR(LOOKUP(2,1/(Algodão!$E37:INDEX(Algodão!$E37:$Z37,MIN(M$6-$G$3,22))&lt;&gt;""),Algodão!$E37:INDEX(Algodão!$E37:$Z37,MIN(M$6-$G$3,22))),0)))))</f>
        <v>0</v>
      </c>
      <c r="N39" s="27" t="n">
        <f aca="false">IF(COUNT(Algodão!$E37:$Z37)=0,0,MAX(0,IF((N$6-$E$3)&lt;1,0,IFERROR(LOOKUP(2,1/(Algodão!$E37:INDEX(Algodão!$E37:$Z37,MIN(N$6-$E$3,22))&lt;&gt;""),Algodão!$E37:INDEX(Algodão!$E37:$Z37,MIN(N$6-$E$3,22))),0))-IF($G$2,0,IF((N$6-$G$3)&lt;1,0,IFERROR(LOOKUP(2,1/(Algodão!$E37:INDEX(Algodão!$E37:$Z37,MIN(N$6-$G$3,22))&lt;&gt;""),Algodão!$E37:INDEX(Algodão!$E37:$Z37,MIN(N$6-$G$3,22))),0)))))</f>
        <v>0</v>
      </c>
      <c r="O39" s="27" t="n">
        <f aca="false">IF(COUNT(Algodão!$E37:$Z37)=0,0,MAX(0,IF((O$6-$E$3)&lt;1,0,IFERROR(LOOKUP(2,1/(Algodão!$E37:INDEX(Algodão!$E37:$Z37,MIN(O$6-$E$3,22))&lt;&gt;""),Algodão!$E37:INDEX(Algodão!$E37:$Z37,MIN(O$6-$E$3,22))),0))-IF($G$2,0,IF((O$6-$G$3)&lt;1,0,IFERROR(LOOKUP(2,1/(Algodão!$E37:INDEX(Algodão!$E37:$Z37,MIN(O$6-$G$3,22))&lt;&gt;""),Algodão!$E37:INDEX(Algodão!$E37:$Z37,MIN(O$6-$G$3,22))),0)))))</f>
        <v>0</v>
      </c>
      <c r="P39" s="27" t="n">
        <f aca="false">IF(COUNT(Algodão!$E37:$Z37)=0,0,MAX(0,IF((P$6-$E$3)&lt;1,0,IFERROR(LOOKUP(2,1/(Algodão!$E37:INDEX(Algodão!$E37:$Z37,MIN(P$6-$E$3,22))&lt;&gt;""),Algodão!$E37:INDEX(Algodão!$E37:$Z37,MIN(P$6-$E$3,22))),0))-IF($G$2,0,IF((P$6-$G$3)&lt;1,0,IFERROR(LOOKUP(2,1/(Algodão!$E37:INDEX(Algodão!$E37:$Z37,MIN(P$6-$G$3,22))&lt;&gt;""),Algodão!$E37:INDEX(Algodão!$E37:$Z37,MIN(P$6-$G$3,22))),0)))))</f>
        <v>0</v>
      </c>
      <c r="Q39" s="27" t="n">
        <f aca="false">IF(COUNT(Algodão!$E37:$Z37)=0,0,MAX(0,IF((Q$6-$E$3)&lt;1,0,IFERROR(LOOKUP(2,1/(Algodão!$E37:INDEX(Algodão!$E37:$Z37,MIN(Q$6-$E$3,22))&lt;&gt;""),Algodão!$E37:INDEX(Algodão!$E37:$Z37,MIN(Q$6-$E$3,22))),0))-IF($G$2,0,IF((Q$6-$G$3)&lt;1,0,IFERROR(LOOKUP(2,1/(Algodão!$E37:INDEX(Algodão!$E37:$Z37,MIN(Q$6-$G$3,22))&lt;&gt;""),Algodão!$E37:INDEX(Algodão!$E37:$Z37,MIN(Q$6-$G$3,22))),0)))))</f>
        <v>0</v>
      </c>
      <c r="R39" s="27" t="n">
        <f aca="false">IF(COUNT(Algodão!$E37:$Z37)=0,0,MAX(0,IF((R$6-$E$3)&lt;1,0,IFERROR(LOOKUP(2,1/(Algodão!$E37:INDEX(Algodão!$E37:$Z37,MIN(R$6-$E$3,22))&lt;&gt;""),Algodão!$E37:INDEX(Algodão!$E37:$Z37,MIN(R$6-$E$3,22))),0))-IF($G$2,0,IF((R$6-$G$3)&lt;1,0,IFERROR(LOOKUP(2,1/(Algodão!$E37:INDEX(Algodão!$E37:$Z37,MIN(R$6-$G$3,22))&lt;&gt;""),Algodão!$E37:INDEX(Algodão!$E37:$Z37,MIN(R$6-$G$3,22))),0)))))</f>
        <v>0</v>
      </c>
      <c r="S39" s="27" t="n">
        <f aca="false">IF(COUNT(Algodão!$E37:$Z37)=0,0,MAX(0,IF((S$6-$E$3)&lt;1,0,IFERROR(LOOKUP(2,1/(Algodão!$E37:INDEX(Algodão!$E37:$Z37,MIN(S$6-$E$3,22))&lt;&gt;""),Algodão!$E37:INDEX(Algodão!$E37:$Z37,MIN(S$6-$E$3,22))),0))-IF($G$2,0,IF((S$6-$G$3)&lt;1,0,IFERROR(LOOKUP(2,1/(Algodão!$E37:INDEX(Algodão!$E37:$Z37,MIN(S$6-$G$3,22))&lt;&gt;""),Algodão!$E37:INDEX(Algodão!$E37:$Z37,MIN(S$6-$G$3,22))),0)))))</f>
        <v>0</v>
      </c>
      <c r="T39" s="27" t="n">
        <f aca="false">IF(COUNT(Algodão!$E37:$Z37)=0,0,MAX(0,IF((T$6-$E$3)&lt;1,0,IFERROR(LOOKUP(2,1/(Algodão!$E37:INDEX(Algodão!$E37:$Z37,MIN(T$6-$E$3,22))&lt;&gt;""),Algodão!$E37:INDEX(Algodão!$E37:$Z37,MIN(T$6-$E$3,22))),0))-IF($G$2,0,IF((T$6-$G$3)&lt;1,0,IFERROR(LOOKUP(2,1/(Algodão!$E37:INDEX(Algodão!$E37:$Z37,MIN(T$6-$G$3,22))&lt;&gt;""),Algodão!$E37:INDEX(Algodão!$E37:$Z37,MIN(T$6-$G$3,22))),0)))))</f>
        <v>0</v>
      </c>
      <c r="U39" s="27" t="n">
        <f aca="false">IF(COUNT(Algodão!$E37:$Z37)=0,0,MAX(0,IF((U$6-$E$3)&lt;1,0,IFERROR(LOOKUP(2,1/(Algodão!$E37:INDEX(Algodão!$E37:$Z37,MIN(U$6-$E$3,22))&lt;&gt;""),Algodão!$E37:INDEX(Algodão!$E37:$Z37,MIN(U$6-$E$3,22))),0))-IF($G$2,0,IF((U$6-$G$3)&lt;1,0,IFERROR(LOOKUP(2,1/(Algodão!$E37:INDEX(Algodão!$E37:$Z37,MIN(U$6-$G$3,22))&lt;&gt;""),Algodão!$E37:INDEX(Algodão!$E37:$Z37,MIN(U$6-$G$3,22))),0)))))</f>
        <v>0</v>
      </c>
      <c r="V39" s="27" t="n">
        <f aca="false">IF(COUNT(Algodão!$E37:$Z37)=0,0,MAX(0,IF((V$6-$E$3)&lt;1,0,IFERROR(LOOKUP(2,1/(Algodão!$E37:INDEX(Algodão!$E37:$Z37,MIN(V$6-$E$3,22))&lt;&gt;""),Algodão!$E37:INDEX(Algodão!$E37:$Z37,MIN(V$6-$E$3,22))),0))-IF($G$2,0,IF((V$6-$G$3)&lt;1,0,IFERROR(LOOKUP(2,1/(Algodão!$E37:INDEX(Algodão!$E37:$Z37,MIN(V$6-$G$3,22))&lt;&gt;""),Algodão!$E37:INDEX(Algodão!$E37:$Z37,MIN(V$6-$G$3,22))),0)))))</f>
        <v>0</v>
      </c>
      <c r="W39" s="27" t="n">
        <f aca="false">IF(COUNT(Algodão!$E37:$Z37)=0,0,MAX(0,IF((W$6-$E$3)&lt;1,0,IFERROR(LOOKUP(2,1/(Algodão!$E37:INDEX(Algodão!$E37:$Z37,MIN(W$6-$E$3,22))&lt;&gt;""),Algodão!$E37:INDEX(Algodão!$E37:$Z37,MIN(W$6-$E$3,22))),0))-IF($G$2,0,IF((W$6-$G$3)&lt;1,0,IFERROR(LOOKUP(2,1/(Algodão!$E37:INDEX(Algodão!$E37:$Z37,MIN(W$6-$G$3,22))&lt;&gt;""),Algodão!$E37:INDEX(Algodão!$E37:$Z37,MIN(W$6-$G$3,22))),0)))))</f>
        <v>0</v>
      </c>
      <c r="X39" s="27" t="n">
        <f aca="false">IF(COUNT(Algodão!$E37:$Z37)=0,0,MAX(0,IF((X$6-$E$3)&lt;1,0,IFERROR(LOOKUP(2,1/(Algodão!$E37:INDEX(Algodão!$E37:$Z37,MIN(X$6-$E$3,22))&lt;&gt;""),Algodão!$E37:INDEX(Algodão!$E37:$Z37,MIN(X$6-$E$3,22))),0))-IF($G$2,0,IF((X$6-$G$3)&lt;1,0,IFERROR(LOOKUP(2,1/(Algodão!$E37:INDEX(Algodão!$E37:$Z37,MIN(X$6-$G$3,22))&lt;&gt;""),Algodão!$E37:INDEX(Algodão!$E37:$Z37,MIN(X$6-$G$3,22))),0)))))</f>
        <v>0</v>
      </c>
      <c r="Y39" s="27" t="n">
        <f aca="false">IF(COUNT(Algodão!$E37:$Z37)=0,0,MAX(0,IF((Y$6-$E$3)&lt;1,0,IFERROR(LOOKUP(2,1/(Algodão!$E37:INDEX(Algodão!$E37:$Z37,MIN(Y$6-$E$3,22))&lt;&gt;""),Algodão!$E37:INDEX(Algodão!$E37:$Z37,MIN(Y$6-$E$3,22))),0))-IF($G$2,0,IF((Y$6-$G$3)&lt;1,0,IFERROR(LOOKUP(2,1/(Algodão!$E37:INDEX(Algodão!$E37:$Z37,MIN(Y$6-$G$3,22))&lt;&gt;""),Algodão!$E37:INDEX(Algodão!$E37:$Z37,MIN(Y$6-$G$3,22))),0)))))</f>
        <v>0</v>
      </c>
      <c r="Z39" s="27" t="n">
        <f aca="false">IF(COUNT(Algodão!$E37:$Z37)=0,0,MAX(0,IF((Z$6-$E$3)&lt;1,0,IFERROR(LOOKUP(2,1/(Algodão!$E37:INDEX(Algodão!$E37:$Z37,MIN(Z$6-$E$3,22))&lt;&gt;""),Algodão!$E37:INDEX(Algodão!$E37:$Z37,MIN(Z$6-$E$3,22))),0))-IF($G$2,0,IF((Z$6-$G$3)&lt;1,0,IFERROR(LOOKUP(2,1/(Algodão!$E37:INDEX(Algodão!$E37:$Z37,MIN(Z$6-$G$3,22))&lt;&gt;""),Algodão!$E37:INDEX(Algodão!$E37:$Z37,MIN(Z$6-$G$3,22))),0)))))</f>
        <v>0</v>
      </c>
      <c r="AA39" s="27" t="n">
        <f aca="false">IF(COUNT(Algodão!$E37:$Z37)=0,0,MAX(0,IF((AA$6-$E$3)&lt;1,0,IFERROR(LOOKUP(2,1/(Algodão!$E37:INDEX(Algodão!$E37:$Z37,MIN(AA$6-$E$3,22))&lt;&gt;""),Algodão!$E37:INDEX(Algodão!$E37:$Z37,MIN(AA$6-$E$3,22))),0))-IF($G$2,0,IF((AA$6-$G$3)&lt;1,0,IFERROR(LOOKUP(2,1/(Algodão!$E37:INDEX(Algodão!$E37:$Z37,MIN(AA$6-$G$3,22))&lt;&gt;""),Algodão!$E37:INDEX(Algodão!$E37:$Z37,MIN(AA$6-$G$3,22))),0)))))</f>
        <v>0</v>
      </c>
      <c r="AB39" s="27" t="n">
        <f aca="false">IF(COUNT(Algodão!$E37:$Z37)=0,0,MAX(0,IF((AB$6-$E$3)&lt;1,0,IFERROR(LOOKUP(2,1/(Algodão!$E37:INDEX(Algodão!$E37:$Z37,MIN(AB$6-$E$3,22))&lt;&gt;""),Algodão!$E37:INDEX(Algodão!$E37:$Z37,MIN(AB$6-$E$3,22))),0))-IF($G$2,0,IF((AB$6-$G$3)&lt;1,0,IFERROR(LOOKUP(2,1/(Algodão!$E37:INDEX(Algodão!$E37:$Z37,MIN(AB$6-$G$3,22))&lt;&gt;""),Algodão!$E37:INDEX(Algodão!$E37:$Z37,MIN(AB$6-$G$3,22))),0)))))</f>
        <v>0</v>
      </c>
      <c r="AC39" s="27" t="n">
        <f aca="false">IF(COUNT(Algodão!$E37:$Z37)=0,0,MAX(0,IF((AC$6-$E$3)&lt;1,0,IFERROR(LOOKUP(2,1/(Algodão!$E37:INDEX(Algodão!$E37:$Z37,MIN(AC$6-$E$3,22))&lt;&gt;""),Algodão!$E37:INDEX(Algodão!$E37:$Z37,MIN(AC$6-$E$3,22))),0))-IF($G$2,0,IF((AC$6-$G$3)&lt;1,0,IFERROR(LOOKUP(2,1/(Algodão!$E37:INDEX(Algodão!$E37:$Z37,MIN(AC$6-$G$3,22))&lt;&gt;""),Algodão!$E37:INDEX(Algodão!$E37:$Z37,MIN(AC$6-$G$3,22))),0)))))</f>
        <v>0</v>
      </c>
      <c r="AD39" s="27" t="n">
        <f aca="false">IF(COUNT(Algodão!$E37:$Z37)=0,0,MAX(0,IF((AD$6-$E$3)&lt;1,0,IFERROR(LOOKUP(2,1/(Algodão!$E37:INDEX(Algodão!$E37:$Z37,MIN(AD$6-$E$3,22))&lt;&gt;""),Algodão!$E37:INDEX(Algodão!$E37:$Z37,MIN(AD$6-$E$3,22))),0))-IF($G$2,0,IF((AD$6-$G$3)&lt;1,0,IFERROR(LOOKUP(2,1/(Algodão!$E37:INDEX(Algodão!$E37:$Z37,MIN(AD$6-$G$3,22))&lt;&gt;""),Algodão!$E37:INDEX(Algodão!$E37:$Z37,MIN(AD$6-$G$3,22))),0)))))</f>
        <v>0</v>
      </c>
      <c r="AE39" s="27" t="n">
        <f aca="false">IF(COUNT(Algodão!$E37:$Z37)=0,0,MAX(0,IF((AE$6-$E$3)&lt;1,0,IFERROR(LOOKUP(2,1/(Algodão!$E37:INDEX(Algodão!$E37:$Z37,MIN(AE$6-$E$3,22))&lt;&gt;""),Algodão!$E37:INDEX(Algodão!$E37:$Z37,MIN(AE$6-$E$3,22))),0))-IF($G$2,0,IF((AE$6-$G$3)&lt;1,0,IFERROR(LOOKUP(2,1/(Algodão!$E37:INDEX(Algodão!$E37:$Z37,MIN(AE$6-$G$3,22))&lt;&gt;""),Algodão!$E37:INDEX(Algodão!$E37:$Z37,MIN(AE$6-$G$3,22))),0)))))</f>
        <v>0</v>
      </c>
      <c r="AF39" s="27" t="n">
        <f aca="false">IF(COUNT(Algodão!$E37:$Z37)=0,0,MAX(0,IF((AF$6-$E$3)&lt;1,0,IFERROR(LOOKUP(2,1/(Algodão!$E37:INDEX(Algodão!$E37:$Z37,MIN(AF$6-$E$3,22))&lt;&gt;""),Algodão!$E37:INDEX(Algodão!$E37:$Z37,MIN(AF$6-$E$3,22))),0))-IF($G$2,0,IF((AF$6-$G$3)&lt;1,0,IFERROR(LOOKUP(2,1/(Algodão!$E37:INDEX(Algodão!$E37:$Z37,MIN(AF$6-$G$3,22))&lt;&gt;""),Algodão!$E37:INDEX(Algodão!$E37:$Z37,MIN(AF$6-$G$3,22))),0)))))</f>
        <v>0</v>
      </c>
      <c r="AG39" s="27" t="n">
        <f aca="false">IF(COUNT(Algodão!$E37:$Z37)=0,0,MAX(0,IF((AG$6-$E$3)&lt;1,0,IFERROR(LOOKUP(2,1/(Algodão!$E37:INDEX(Algodão!$E37:$Z37,MIN(AG$6-$E$3,22))&lt;&gt;""),Algodão!$E37:INDEX(Algodão!$E37:$Z37,MIN(AG$6-$E$3,22))),0))-IF($G$2,0,IF((AG$6-$G$3)&lt;1,0,IFERROR(LOOKUP(2,1/(Algodão!$E37:INDEX(Algodão!$E37:$Z37,MIN(AG$6-$G$3,22))&lt;&gt;""),Algodão!$E37:INDEX(Algodão!$E37:$Z37,MIN(AG$6-$G$3,22))),0)))))</f>
        <v>0</v>
      </c>
      <c r="AH39" s="27" t="n">
        <f aca="false">IF(COUNT(Algodão!$E37:$Z37)=0,0,MAX(0,IF((AH$6-$E$3)&lt;1,0,IFERROR(LOOKUP(2,1/(Algodão!$E37:INDEX(Algodão!$E37:$Z37,MIN(AH$6-$E$3,22))&lt;&gt;""),Algodão!$E37:INDEX(Algodão!$E37:$Z37,MIN(AH$6-$E$3,22))),0))-IF($G$2,0,IF((AH$6-$G$3)&lt;1,0,IFERROR(LOOKUP(2,1/(Algodão!$E37:INDEX(Algodão!$E37:$Z37,MIN(AH$6-$G$3,22))&lt;&gt;""),Algodão!$E37:INDEX(Algodão!$E37:$Z37,MIN(AH$6-$G$3,22))),0)))))</f>
        <v>0</v>
      </c>
      <c r="AI39" s="27" t="n">
        <f aca="false">IF(COUNT(Algodão!$E37:$Z37)=0,0,MAX(0,IF((AI$6-$E$3)&lt;1,0,IFERROR(LOOKUP(2,1/(Algodão!$E37:INDEX(Algodão!$E37:$Z37,MIN(AI$6-$E$3,22))&lt;&gt;""),Algodão!$E37:INDEX(Algodão!$E37:$Z37,MIN(AI$6-$E$3,22))),0))-IF($G$2,0,IF((AI$6-$G$3)&lt;1,0,IFERROR(LOOKUP(2,1/(Algodão!$E37:INDEX(Algodão!$E37:$Z37,MIN(AI$6-$G$3,22))&lt;&gt;""),Algodão!$E37:INDEX(Algodão!$E37:$Z37,MIN(AI$6-$G$3,22))),0)))))</f>
        <v>0</v>
      </c>
      <c r="AJ39" s="27" t="n">
        <f aca="false">IF(COUNT(Algodão!$E37:$Z37)=0,0,MAX(0,IF((AJ$6-$E$3)&lt;1,0,IFERROR(LOOKUP(2,1/(Algodão!$E37:INDEX(Algodão!$E37:$Z37,MIN(AJ$6-$E$3,22))&lt;&gt;""),Algodão!$E37:INDEX(Algodão!$E37:$Z37,MIN(AJ$6-$E$3,22))),0))-IF($G$2,0,IF((AJ$6-$G$3)&lt;1,0,IFERROR(LOOKUP(2,1/(Algodão!$E37:INDEX(Algodão!$E37:$Z37,MIN(AJ$6-$G$3,22))&lt;&gt;""),Algodão!$E37:INDEX(Algodão!$E37:$Z37,MIN(AJ$6-$G$3,22))),0)))))</f>
        <v>0</v>
      </c>
      <c r="AK39" s="27" t="n">
        <f aca="false">IF(COUNT(Algodão!$E37:$Z37)=0,0,MAX(0,IF((AK$6-$E$3)&lt;1,0,IFERROR(LOOKUP(2,1/(Algodão!$E37:INDEX(Algodão!$E37:$Z37,MIN(AK$6-$E$3,22))&lt;&gt;""),Algodão!$E37:INDEX(Algodão!$E37:$Z37,MIN(AK$6-$E$3,22))),0))-IF($G$2,0,IF((AK$6-$G$3)&lt;1,0,IFERROR(LOOKUP(2,1/(Algodão!$E37:INDEX(Algodão!$E37:$Z37,MIN(AK$6-$G$3,22))&lt;&gt;""),Algodão!$E37:INDEX(Algodão!$E37:$Z37,MIN(AK$6-$G$3,22))),0)))))</f>
        <v>0</v>
      </c>
      <c r="AL39" s="27" t="n">
        <f aca="false">IF(COUNT(Algodão!$E37:$Z37)=0,0,MAX(0,IF((AL$6-$E$3)&lt;1,0,IFERROR(LOOKUP(2,1/(Algodão!$E37:INDEX(Algodão!$E37:$Z37,MIN(AL$6-$E$3,22))&lt;&gt;""),Algodão!$E37:INDEX(Algodão!$E37:$Z37,MIN(AL$6-$E$3,22))),0))-IF($G$2,0,IF((AL$6-$G$3)&lt;1,0,IFERROR(LOOKUP(2,1/(Algodão!$E37:INDEX(Algodão!$E37:$Z37,MIN(AL$6-$G$3,22))&lt;&gt;""),Algodão!$E37:INDEX(Algodão!$E37:$Z37,MIN(AL$6-$G$3,22))),0)))))</f>
        <v>0</v>
      </c>
      <c r="AM39" s="27" t="n">
        <f aca="false">IF(COUNT(Algodão!$E37:$Z37)=0,0,MAX(0,IF((AM$6-$E$3)&lt;1,0,IFERROR(LOOKUP(2,1/(Algodão!$E37:INDEX(Algodão!$E37:$Z37,MIN(AM$6-$E$3,22))&lt;&gt;""),Algodão!$E37:INDEX(Algodão!$E37:$Z37,MIN(AM$6-$E$3,22))),0))-IF($G$2,0,IF((AM$6-$G$3)&lt;1,0,IFERROR(LOOKUP(2,1/(Algodão!$E37:INDEX(Algodão!$E37:$Z37,MIN(AM$6-$G$3,22))&lt;&gt;""),Algodão!$E37:INDEX(Algodão!$E37:$Z37,MIN(AM$6-$G$3,22))),0)))))</f>
        <v>0</v>
      </c>
      <c r="AN39" s="27" t="n">
        <f aca="false">IF(COUNT(Algodão!$E37:$Z37)=0,0,MAX(0,IF((AN$6-$E$3)&lt;1,0,IFERROR(LOOKUP(2,1/(Algodão!$E37:INDEX(Algodão!$E37:$Z37,MIN(AN$6-$E$3,22))&lt;&gt;""),Algodão!$E37:INDEX(Algodão!$E37:$Z37,MIN(AN$6-$E$3,22))),0))-IF($G$2,0,IF((AN$6-$G$3)&lt;1,0,IFERROR(LOOKUP(2,1/(Algodão!$E37:INDEX(Algodão!$E37:$Z37,MIN(AN$6-$G$3,22))&lt;&gt;""),Algodão!$E37:INDEX(Algodão!$E37:$Z37,MIN(AN$6-$G$3,22))),0)))))</f>
        <v>0</v>
      </c>
      <c r="AO39" s="27" t="n">
        <f aca="false">IF(COUNT(Algodão!$E37:$Z37)=0,0,MAX(0,IF((AO$6-$E$3)&lt;1,0,IFERROR(LOOKUP(2,1/(Algodão!$E37:INDEX(Algodão!$E37:$Z37,MIN(AO$6-$E$3,22))&lt;&gt;""),Algodão!$E37:INDEX(Algodão!$E37:$Z37,MIN(AO$6-$E$3,22))),0))-IF($G$2,0,IF((AO$6-$G$3)&lt;1,0,IFERROR(LOOKUP(2,1/(Algodão!$E37:INDEX(Algodão!$E37:$Z37,MIN(AO$6-$G$3,22))&lt;&gt;""),Algodão!$E37:INDEX(Algodão!$E37:$Z37,MIN(AO$6-$G$3,22))),0)))))</f>
        <v>0</v>
      </c>
      <c r="AP39" s="27" t="n">
        <f aca="false">IF(COUNT(Algodão!$E37:$Z37)=0,0,MAX(0,IF((AP$6-$E$3)&lt;1,0,IFERROR(LOOKUP(2,1/(Algodão!$E37:INDEX(Algodão!$E37:$Z37,MIN(AP$6-$E$3,22))&lt;&gt;""),Algodão!$E37:INDEX(Algodão!$E37:$Z37,MIN(AP$6-$E$3,22))),0))-IF($G$2,0,IF((AP$6-$G$3)&lt;1,0,IFERROR(LOOKUP(2,1/(Algodão!$E37:INDEX(Algodão!$E37:$Z37,MIN(AP$6-$G$3,22))&lt;&gt;""),Algodão!$E37:INDEX(Algodão!$E37:$Z37,MIN(AP$6-$G$3,22))),0)))))</f>
        <v>0</v>
      </c>
      <c r="AQ39" s="27" t="n">
        <f aca="false">IF(COUNT(Algodão!$E37:$Z37)=0,0,MAX(0,IF((AQ$6-$E$3)&lt;1,0,IFERROR(LOOKUP(2,1/(Algodão!$E37:INDEX(Algodão!$E37:$Z37,MIN(AQ$6-$E$3,22))&lt;&gt;""),Algodão!$E37:INDEX(Algodão!$E37:$Z37,MIN(AQ$6-$E$3,22))),0))-IF($G$2,0,IF((AQ$6-$G$3)&lt;1,0,IFERROR(LOOKUP(2,1/(Algodão!$E37:INDEX(Algodão!$E37:$Z37,MIN(AQ$6-$G$3,22))&lt;&gt;""),Algodão!$E37:INDEX(Algodão!$E37:$Z37,MIN(AQ$6-$G$3,22))),0)))))</f>
        <v>0</v>
      </c>
      <c r="AR39" s="27" t="n">
        <f aca="false">IF(COUNT(Algodão!$E37:$Z37)=0,0,MAX(0,IF((AR$6-$E$3)&lt;1,0,IFERROR(LOOKUP(2,1/(Algodão!$E37:INDEX(Algodão!$E37:$Z37,MIN(AR$6-$E$3,22))&lt;&gt;""),Algodão!$E37:INDEX(Algodão!$E37:$Z37,MIN(AR$6-$E$3,22))),0))-IF($G$2,0,IF((AR$6-$G$3)&lt;1,0,IFERROR(LOOKUP(2,1/(Algodão!$E37:INDEX(Algodão!$E37:$Z37,MIN(AR$6-$G$3,22))&lt;&gt;""),Algodão!$E37:INDEX(Algodão!$E37:$Z37,MIN(AR$6-$G$3,22))),0)))))</f>
        <v>0</v>
      </c>
      <c r="AS39" s="27" t="n">
        <f aca="false">IF(COUNT(Algodão!$E37:$Z37)=0,0,MAX(0,IF((AS$6-$E$3)&lt;1,0,IFERROR(LOOKUP(2,1/(Algodão!$E37:INDEX(Algodão!$E37:$Z37,MIN(AS$6-$E$3,22))&lt;&gt;""),Algodão!$E37:INDEX(Algodão!$E37:$Z37,MIN(AS$6-$E$3,22))),0))-IF($G$2,0,IF((AS$6-$G$3)&lt;1,0,IFERROR(LOOKUP(2,1/(Algodão!$E37:INDEX(Algodão!$E37:$Z37,MIN(AS$6-$G$3,22))&lt;&gt;""),Algodão!$E37:INDEX(Algodão!$E37:$Z37,MIN(AS$6-$G$3,22))),0)))))</f>
        <v>0</v>
      </c>
      <c r="AT39" s="27" t="n">
        <f aca="false">IF(COUNT(Algodão!$E37:$Z37)=0,0,MAX(0,IF((AT$6-$E$3)&lt;1,0,IFERROR(LOOKUP(2,1/(Algodão!$E37:INDEX(Algodão!$E37:$Z37,MIN(AT$6-$E$3,22))&lt;&gt;""),Algodão!$E37:INDEX(Algodão!$E37:$Z37,MIN(AT$6-$E$3,22))),0))-IF($G$2,0,IF((AT$6-$G$3)&lt;1,0,IFERROR(LOOKUP(2,1/(Algodão!$E37:INDEX(Algodão!$E37:$Z37,MIN(AT$6-$G$3,22))&lt;&gt;""),Algodão!$E37:INDEX(Algodão!$E37:$Z37,MIN(AT$6-$G$3,22))),0)))))</f>
        <v>0</v>
      </c>
      <c r="AU39" s="27" t="n">
        <f aca="false">IF(COUNT(Algodão!$E37:$Z37)=0,0,MAX(0,IF((AU$6-$E$3)&lt;1,0,IFERROR(LOOKUP(2,1/(Algodão!$E37:INDEX(Algodão!$E37:$Z37,MIN(AU$6-$E$3,22))&lt;&gt;""),Algodão!$E37:INDEX(Algodão!$E37:$Z37,MIN(AU$6-$E$3,22))),0))-IF($G$2,0,IF((AU$6-$G$3)&lt;1,0,IFERROR(LOOKUP(2,1/(Algodão!$E37:INDEX(Algodão!$E37:$Z37,MIN(AU$6-$G$3,22))&lt;&gt;""),Algodão!$E37:INDEX(Algodão!$E37:$Z37,MIN(AU$6-$G$3,22))),0)))))</f>
        <v>0</v>
      </c>
      <c r="AV39" s="27" t="n">
        <f aca="false">IF(COUNT(Algodão!$E37:$Z37)=0,0,MAX(0,IF((AV$6-$E$3)&lt;1,0,IFERROR(LOOKUP(2,1/(Algodão!$E37:INDEX(Algodão!$E37:$Z37,MIN(AV$6-$E$3,22))&lt;&gt;""),Algodão!$E37:INDEX(Algodão!$E37:$Z37,MIN(AV$6-$E$3,22))),0))-IF($G$2,0,IF((AV$6-$G$3)&lt;1,0,IFERROR(LOOKUP(2,1/(Algodão!$E37:INDEX(Algodão!$E37:$Z37,MIN(AV$6-$G$3,22))&lt;&gt;""),Algodão!$E37:INDEX(Algodão!$E37:$Z37,MIN(AV$6-$G$3,22))),0)))))</f>
        <v>0</v>
      </c>
      <c r="AW39" s="27" t="n">
        <f aca="false">IF(COUNT(Algodão!$E37:$Z37)=0,0,MAX(0,IF((AW$6-$E$3)&lt;1,0,IFERROR(LOOKUP(2,1/(Algodão!$E37:INDEX(Algodão!$E37:$Z37,MIN(AW$6-$E$3,22))&lt;&gt;""),Algodão!$E37:INDEX(Algodão!$E37:$Z37,MIN(AW$6-$E$3,22))),0))-IF($G$2,0,IF((AW$6-$G$3)&lt;1,0,IFERROR(LOOKUP(2,1/(Algodão!$E37:INDEX(Algodão!$E37:$Z37,MIN(AW$6-$G$3,22))&lt;&gt;""),Algodão!$E37:INDEX(Algodão!$E37:$Z37,MIN(AW$6-$G$3,22))),0)))))</f>
        <v>0</v>
      </c>
      <c r="AX39" s="27" t="n">
        <f aca="false">IF(COUNT(Algodão!$E37:$Z37)=0,0,MAX(0,IF((AX$6-$E$3)&lt;1,0,IFERROR(LOOKUP(2,1/(Algodão!$E37:INDEX(Algodão!$E37:$Z37,MIN(AX$6-$E$3,22))&lt;&gt;""),Algodão!$E37:INDEX(Algodão!$E37:$Z37,MIN(AX$6-$E$3,22))),0))-IF($G$2,0,IF((AX$6-$G$3)&lt;1,0,IFERROR(LOOKUP(2,1/(Algodão!$E37:INDEX(Algodão!$E37:$Z37,MIN(AX$6-$G$3,22))&lt;&gt;""),Algodão!$E37:INDEX(Algodão!$E37:$Z37,MIN(AX$6-$G$3,22))),0)))))</f>
        <v>0</v>
      </c>
      <c r="AY39" s="27" t="n">
        <f aca="false">IF(COUNT(Algodão!$E37:$Z37)=0,0,MAX(0,IF((AY$6-$E$3)&lt;1,0,IFERROR(LOOKUP(2,1/(Algodão!$E37:INDEX(Algodão!$E37:$Z37,MIN(AY$6-$E$3,22))&lt;&gt;""),Algodão!$E37:INDEX(Algodão!$E37:$Z37,MIN(AY$6-$E$3,22))),0))-IF($G$2,0,IF((AY$6-$G$3)&lt;1,0,IFERROR(LOOKUP(2,1/(Algodão!$E37:INDEX(Algodão!$E37:$Z37,MIN(AY$6-$G$3,22))&lt;&gt;""),Algodão!$E37:INDEX(Algodão!$E37:$Z37,MIN(AY$6-$G$3,22))),0)))))</f>
        <v>0</v>
      </c>
      <c r="AZ39" s="27" t="n">
        <f aca="false">IF(COUNT(Algodão!$E37:$Z37)=0,0,MAX(0,IF((AZ$6-$E$3)&lt;1,0,IFERROR(LOOKUP(2,1/(Algodão!$E37:INDEX(Algodão!$E37:$Z37,MIN(AZ$6-$E$3,22))&lt;&gt;""),Algodão!$E37:INDEX(Algodão!$E37:$Z37,MIN(AZ$6-$E$3,22))),0))-IF($G$2,0,IF((AZ$6-$G$3)&lt;1,0,IFERROR(LOOKUP(2,1/(Algodão!$E37:INDEX(Algodão!$E37:$Z37,MIN(AZ$6-$G$3,22))&lt;&gt;""),Algodão!$E37:INDEX(Algodão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IF(COUNT(Algodão!$E38:$Z38)&gt;0,N(Algodão!$D38),0)</f>
        <v>0</v>
      </c>
      <c r="E40" s="27" t="n">
        <f aca="false">IF(COUNT(Algodão!$E38:$Z38)=0,0,MAX(0,IF((E$6-$E$3)&lt;1,0,IFERROR(LOOKUP(2,1/(Algodão!$E38:INDEX(Algodão!$E38:$Z38,MIN(E$6-$E$3,22))&lt;&gt;""),Algodão!$E38:INDEX(Algodão!$E38:$Z38,MIN(E$6-$E$3,22))),0))-IF($G$2,0,IF((E$6-$G$3)&lt;1,0,IFERROR(LOOKUP(2,1/(Algodão!$E38:INDEX(Algodão!$E38:$Z38,MIN(E$6-$G$3,22))&lt;&gt;""),Algodão!$E38:INDEX(Algodão!$E38:$Z38,MIN(E$6-$G$3,22))),0)))))</f>
        <v>0</v>
      </c>
      <c r="F40" s="27" t="n">
        <f aca="false">IF(COUNT(Algodão!$E38:$Z38)=0,0,MAX(0,IF((F$6-$E$3)&lt;1,0,IFERROR(LOOKUP(2,1/(Algodão!$E38:INDEX(Algodão!$E38:$Z38,MIN(F$6-$E$3,22))&lt;&gt;""),Algodão!$E38:INDEX(Algodão!$E38:$Z38,MIN(F$6-$E$3,22))),0))-IF($G$2,0,IF((F$6-$G$3)&lt;1,0,IFERROR(LOOKUP(2,1/(Algodão!$E38:INDEX(Algodão!$E38:$Z38,MIN(F$6-$G$3,22))&lt;&gt;""),Algodão!$E38:INDEX(Algodão!$E38:$Z38,MIN(F$6-$G$3,22))),0)))))</f>
        <v>0</v>
      </c>
      <c r="G40" s="27" t="n">
        <f aca="false">IF(COUNT(Algodão!$E38:$Z38)=0,0,MAX(0,IF((G$6-$E$3)&lt;1,0,IFERROR(LOOKUP(2,1/(Algodão!$E38:INDEX(Algodão!$E38:$Z38,MIN(G$6-$E$3,22))&lt;&gt;""),Algodão!$E38:INDEX(Algodão!$E38:$Z38,MIN(G$6-$E$3,22))),0))-IF($G$2,0,IF((G$6-$G$3)&lt;1,0,IFERROR(LOOKUP(2,1/(Algodão!$E38:INDEX(Algodão!$E38:$Z38,MIN(G$6-$G$3,22))&lt;&gt;""),Algodão!$E38:INDEX(Algodão!$E38:$Z38,MIN(G$6-$G$3,22))),0)))))</f>
        <v>0</v>
      </c>
      <c r="H40" s="27" t="n">
        <f aca="false">IF(COUNT(Algodão!$E38:$Z38)=0,0,MAX(0,IF((H$6-$E$3)&lt;1,0,IFERROR(LOOKUP(2,1/(Algodão!$E38:INDEX(Algodão!$E38:$Z38,MIN(H$6-$E$3,22))&lt;&gt;""),Algodão!$E38:INDEX(Algodão!$E38:$Z38,MIN(H$6-$E$3,22))),0))-IF($G$2,0,IF((H$6-$G$3)&lt;1,0,IFERROR(LOOKUP(2,1/(Algodão!$E38:INDEX(Algodão!$E38:$Z38,MIN(H$6-$G$3,22))&lt;&gt;""),Algodão!$E38:INDEX(Algodão!$E38:$Z38,MIN(H$6-$G$3,22))),0)))))</f>
        <v>0</v>
      </c>
      <c r="I40" s="27" t="n">
        <f aca="false">IF(COUNT(Algodão!$E38:$Z38)=0,0,MAX(0,IF((I$6-$E$3)&lt;1,0,IFERROR(LOOKUP(2,1/(Algodão!$E38:INDEX(Algodão!$E38:$Z38,MIN(I$6-$E$3,22))&lt;&gt;""),Algodão!$E38:INDEX(Algodão!$E38:$Z38,MIN(I$6-$E$3,22))),0))-IF($G$2,0,IF((I$6-$G$3)&lt;1,0,IFERROR(LOOKUP(2,1/(Algodão!$E38:INDEX(Algodão!$E38:$Z38,MIN(I$6-$G$3,22))&lt;&gt;""),Algodão!$E38:INDEX(Algodão!$E38:$Z38,MIN(I$6-$G$3,22))),0)))))</f>
        <v>0</v>
      </c>
      <c r="J40" s="27" t="n">
        <f aca="false">IF(COUNT(Algodão!$E38:$Z38)=0,0,MAX(0,IF((J$6-$E$3)&lt;1,0,IFERROR(LOOKUP(2,1/(Algodão!$E38:INDEX(Algodão!$E38:$Z38,MIN(J$6-$E$3,22))&lt;&gt;""),Algodão!$E38:INDEX(Algodão!$E38:$Z38,MIN(J$6-$E$3,22))),0))-IF($G$2,0,IF((J$6-$G$3)&lt;1,0,IFERROR(LOOKUP(2,1/(Algodão!$E38:INDEX(Algodão!$E38:$Z38,MIN(J$6-$G$3,22))&lt;&gt;""),Algodão!$E38:INDEX(Algodão!$E38:$Z38,MIN(J$6-$G$3,22))),0)))))</f>
        <v>0</v>
      </c>
      <c r="K40" s="27" t="n">
        <f aca="false">IF(COUNT(Algodão!$E38:$Z38)=0,0,MAX(0,IF((K$6-$E$3)&lt;1,0,IFERROR(LOOKUP(2,1/(Algodão!$E38:INDEX(Algodão!$E38:$Z38,MIN(K$6-$E$3,22))&lt;&gt;""),Algodão!$E38:INDEX(Algodão!$E38:$Z38,MIN(K$6-$E$3,22))),0))-IF($G$2,0,IF((K$6-$G$3)&lt;1,0,IFERROR(LOOKUP(2,1/(Algodão!$E38:INDEX(Algodão!$E38:$Z38,MIN(K$6-$G$3,22))&lt;&gt;""),Algodão!$E38:INDEX(Algodão!$E38:$Z38,MIN(K$6-$G$3,22))),0)))))</f>
        <v>0</v>
      </c>
      <c r="L40" s="27" t="n">
        <f aca="false">IF(COUNT(Algodão!$E38:$Z38)=0,0,MAX(0,IF((L$6-$E$3)&lt;1,0,IFERROR(LOOKUP(2,1/(Algodão!$E38:INDEX(Algodão!$E38:$Z38,MIN(L$6-$E$3,22))&lt;&gt;""),Algodão!$E38:INDEX(Algodão!$E38:$Z38,MIN(L$6-$E$3,22))),0))-IF($G$2,0,IF((L$6-$G$3)&lt;1,0,IFERROR(LOOKUP(2,1/(Algodão!$E38:INDEX(Algodão!$E38:$Z38,MIN(L$6-$G$3,22))&lt;&gt;""),Algodão!$E38:INDEX(Algodão!$E38:$Z38,MIN(L$6-$G$3,22))),0)))))</f>
        <v>0</v>
      </c>
      <c r="M40" s="27" t="n">
        <f aca="false">IF(COUNT(Algodão!$E38:$Z38)=0,0,MAX(0,IF((M$6-$E$3)&lt;1,0,IFERROR(LOOKUP(2,1/(Algodão!$E38:INDEX(Algodão!$E38:$Z38,MIN(M$6-$E$3,22))&lt;&gt;""),Algodão!$E38:INDEX(Algodão!$E38:$Z38,MIN(M$6-$E$3,22))),0))-IF($G$2,0,IF((M$6-$G$3)&lt;1,0,IFERROR(LOOKUP(2,1/(Algodão!$E38:INDEX(Algodão!$E38:$Z38,MIN(M$6-$G$3,22))&lt;&gt;""),Algodão!$E38:INDEX(Algodão!$E38:$Z38,MIN(M$6-$G$3,22))),0)))))</f>
        <v>0</v>
      </c>
      <c r="N40" s="27" t="n">
        <f aca="false">IF(COUNT(Algodão!$E38:$Z38)=0,0,MAX(0,IF((N$6-$E$3)&lt;1,0,IFERROR(LOOKUP(2,1/(Algodão!$E38:INDEX(Algodão!$E38:$Z38,MIN(N$6-$E$3,22))&lt;&gt;""),Algodão!$E38:INDEX(Algodão!$E38:$Z38,MIN(N$6-$E$3,22))),0))-IF($G$2,0,IF((N$6-$G$3)&lt;1,0,IFERROR(LOOKUP(2,1/(Algodão!$E38:INDEX(Algodão!$E38:$Z38,MIN(N$6-$G$3,22))&lt;&gt;""),Algodão!$E38:INDEX(Algodão!$E38:$Z38,MIN(N$6-$G$3,22))),0)))))</f>
        <v>0</v>
      </c>
      <c r="O40" s="27" t="n">
        <f aca="false">IF(COUNT(Algodão!$E38:$Z38)=0,0,MAX(0,IF((O$6-$E$3)&lt;1,0,IFERROR(LOOKUP(2,1/(Algodão!$E38:INDEX(Algodão!$E38:$Z38,MIN(O$6-$E$3,22))&lt;&gt;""),Algodão!$E38:INDEX(Algodão!$E38:$Z38,MIN(O$6-$E$3,22))),0))-IF($G$2,0,IF((O$6-$G$3)&lt;1,0,IFERROR(LOOKUP(2,1/(Algodão!$E38:INDEX(Algodão!$E38:$Z38,MIN(O$6-$G$3,22))&lt;&gt;""),Algodão!$E38:INDEX(Algodão!$E38:$Z38,MIN(O$6-$G$3,22))),0)))))</f>
        <v>0</v>
      </c>
      <c r="P40" s="27" t="n">
        <f aca="false">IF(COUNT(Algodão!$E38:$Z38)=0,0,MAX(0,IF((P$6-$E$3)&lt;1,0,IFERROR(LOOKUP(2,1/(Algodão!$E38:INDEX(Algodão!$E38:$Z38,MIN(P$6-$E$3,22))&lt;&gt;""),Algodão!$E38:INDEX(Algodão!$E38:$Z38,MIN(P$6-$E$3,22))),0))-IF($G$2,0,IF((P$6-$G$3)&lt;1,0,IFERROR(LOOKUP(2,1/(Algodão!$E38:INDEX(Algodão!$E38:$Z38,MIN(P$6-$G$3,22))&lt;&gt;""),Algodão!$E38:INDEX(Algodão!$E38:$Z38,MIN(P$6-$G$3,22))),0)))))</f>
        <v>0</v>
      </c>
      <c r="Q40" s="27" t="n">
        <f aca="false">IF(COUNT(Algodão!$E38:$Z38)=0,0,MAX(0,IF((Q$6-$E$3)&lt;1,0,IFERROR(LOOKUP(2,1/(Algodão!$E38:INDEX(Algodão!$E38:$Z38,MIN(Q$6-$E$3,22))&lt;&gt;""),Algodão!$E38:INDEX(Algodão!$E38:$Z38,MIN(Q$6-$E$3,22))),0))-IF($G$2,0,IF((Q$6-$G$3)&lt;1,0,IFERROR(LOOKUP(2,1/(Algodão!$E38:INDEX(Algodão!$E38:$Z38,MIN(Q$6-$G$3,22))&lt;&gt;""),Algodão!$E38:INDEX(Algodão!$E38:$Z38,MIN(Q$6-$G$3,22))),0)))))</f>
        <v>0</v>
      </c>
      <c r="R40" s="27" t="n">
        <f aca="false">IF(COUNT(Algodão!$E38:$Z38)=0,0,MAX(0,IF((R$6-$E$3)&lt;1,0,IFERROR(LOOKUP(2,1/(Algodão!$E38:INDEX(Algodão!$E38:$Z38,MIN(R$6-$E$3,22))&lt;&gt;""),Algodão!$E38:INDEX(Algodão!$E38:$Z38,MIN(R$6-$E$3,22))),0))-IF($G$2,0,IF((R$6-$G$3)&lt;1,0,IFERROR(LOOKUP(2,1/(Algodão!$E38:INDEX(Algodão!$E38:$Z38,MIN(R$6-$G$3,22))&lt;&gt;""),Algodão!$E38:INDEX(Algodão!$E38:$Z38,MIN(R$6-$G$3,22))),0)))))</f>
        <v>0</v>
      </c>
      <c r="S40" s="27" t="n">
        <f aca="false">IF(COUNT(Algodão!$E38:$Z38)=0,0,MAX(0,IF((S$6-$E$3)&lt;1,0,IFERROR(LOOKUP(2,1/(Algodão!$E38:INDEX(Algodão!$E38:$Z38,MIN(S$6-$E$3,22))&lt;&gt;""),Algodão!$E38:INDEX(Algodão!$E38:$Z38,MIN(S$6-$E$3,22))),0))-IF($G$2,0,IF((S$6-$G$3)&lt;1,0,IFERROR(LOOKUP(2,1/(Algodão!$E38:INDEX(Algodão!$E38:$Z38,MIN(S$6-$G$3,22))&lt;&gt;""),Algodão!$E38:INDEX(Algodão!$E38:$Z38,MIN(S$6-$G$3,22))),0)))))</f>
        <v>0</v>
      </c>
      <c r="T40" s="27" t="n">
        <f aca="false">IF(COUNT(Algodão!$E38:$Z38)=0,0,MAX(0,IF((T$6-$E$3)&lt;1,0,IFERROR(LOOKUP(2,1/(Algodão!$E38:INDEX(Algodão!$E38:$Z38,MIN(T$6-$E$3,22))&lt;&gt;""),Algodão!$E38:INDEX(Algodão!$E38:$Z38,MIN(T$6-$E$3,22))),0))-IF($G$2,0,IF((T$6-$G$3)&lt;1,0,IFERROR(LOOKUP(2,1/(Algodão!$E38:INDEX(Algodão!$E38:$Z38,MIN(T$6-$G$3,22))&lt;&gt;""),Algodão!$E38:INDEX(Algodão!$E38:$Z38,MIN(T$6-$G$3,22))),0)))))</f>
        <v>0</v>
      </c>
      <c r="U40" s="27" t="n">
        <f aca="false">IF(COUNT(Algodão!$E38:$Z38)=0,0,MAX(0,IF((U$6-$E$3)&lt;1,0,IFERROR(LOOKUP(2,1/(Algodão!$E38:INDEX(Algodão!$E38:$Z38,MIN(U$6-$E$3,22))&lt;&gt;""),Algodão!$E38:INDEX(Algodão!$E38:$Z38,MIN(U$6-$E$3,22))),0))-IF($G$2,0,IF((U$6-$G$3)&lt;1,0,IFERROR(LOOKUP(2,1/(Algodão!$E38:INDEX(Algodão!$E38:$Z38,MIN(U$6-$G$3,22))&lt;&gt;""),Algodão!$E38:INDEX(Algodão!$E38:$Z38,MIN(U$6-$G$3,22))),0)))))</f>
        <v>0</v>
      </c>
      <c r="V40" s="27" t="n">
        <f aca="false">IF(COUNT(Algodão!$E38:$Z38)=0,0,MAX(0,IF((V$6-$E$3)&lt;1,0,IFERROR(LOOKUP(2,1/(Algodão!$E38:INDEX(Algodão!$E38:$Z38,MIN(V$6-$E$3,22))&lt;&gt;""),Algodão!$E38:INDEX(Algodão!$E38:$Z38,MIN(V$6-$E$3,22))),0))-IF($G$2,0,IF((V$6-$G$3)&lt;1,0,IFERROR(LOOKUP(2,1/(Algodão!$E38:INDEX(Algodão!$E38:$Z38,MIN(V$6-$G$3,22))&lt;&gt;""),Algodão!$E38:INDEX(Algodão!$E38:$Z38,MIN(V$6-$G$3,22))),0)))))</f>
        <v>0</v>
      </c>
      <c r="W40" s="27" t="n">
        <f aca="false">IF(COUNT(Algodão!$E38:$Z38)=0,0,MAX(0,IF((W$6-$E$3)&lt;1,0,IFERROR(LOOKUP(2,1/(Algodão!$E38:INDEX(Algodão!$E38:$Z38,MIN(W$6-$E$3,22))&lt;&gt;""),Algodão!$E38:INDEX(Algodão!$E38:$Z38,MIN(W$6-$E$3,22))),0))-IF($G$2,0,IF((W$6-$G$3)&lt;1,0,IFERROR(LOOKUP(2,1/(Algodão!$E38:INDEX(Algodão!$E38:$Z38,MIN(W$6-$G$3,22))&lt;&gt;""),Algodão!$E38:INDEX(Algodão!$E38:$Z38,MIN(W$6-$G$3,22))),0)))))</f>
        <v>0</v>
      </c>
      <c r="X40" s="27" t="n">
        <f aca="false">IF(COUNT(Algodão!$E38:$Z38)=0,0,MAX(0,IF((X$6-$E$3)&lt;1,0,IFERROR(LOOKUP(2,1/(Algodão!$E38:INDEX(Algodão!$E38:$Z38,MIN(X$6-$E$3,22))&lt;&gt;""),Algodão!$E38:INDEX(Algodão!$E38:$Z38,MIN(X$6-$E$3,22))),0))-IF($G$2,0,IF((X$6-$G$3)&lt;1,0,IFERROR(LOOKUP(2,1/(Algodão!$E38:INDEX(Algodão!$E38:$Z38,MIN(X$6-$G$3,22))&lt;&gt;""),Algodão!$E38:INDEX(Algodão!$E38:$Z38,MIN(X$6-$G$3,22))),0)))))</f>
        <v>0</v>
      </c>
      <c r="Y40" s="27" t="n">
        <f aca="false">IF(COUNT(Algodão!$E38:$Z38)=0,0,MAX(0,IF((Y$6-$E$3)&lt;1,0,IFERROR(LOOKUP(2,1/(Algodão!$E38:INDEX(Algodão!$E38:$Z38,MIN(Y$6-$E$3,22))&lt;&gt;""),Algodão!$E38:INDEX(Algodão!$E38:$Z38,MIN(Y$6-$E$3,22))),0))-IF($G$2,0,IF((Y$6-$G$3)&lt;1,0,IFERROR(LOOKUP(2,1/(Algodão!$E38:INDEX(Algodão!$E38:$Z38,MIN(Y$6-$G$3,22))&lt;&gt;""),Algodão!$E38:INDEX(Algodão!$E38:$Z38,MIN(Y$6-$G$3,22))),0)))))</f>
        <v>0</v>
      </c>
      <c r="Z40" s="27" t="n">
        <f aca="false">IF(COUNT(Algodão!$E38:$Z38)=0,0,MAX(0,IF((Z$6-$E$3)&lt;1,0,IFERROR(LOOKUP(2,1/(Algodão!$E38:INDEX(Algodão!$E38:$Z38,MIN(Z$6-$E$3,22))&lt;&gt;""),Algodão!$E38:INDEX(Algodão!$E38:$Z38,MIN(Z$6-$E$3,22))),0))-IF($G$2,0,IF((Z$6-$G$3)&lt;1,0,IFERROR(LOOKUP(2,1/(Algodão!$E38:INDEX(Algodão!$E38:$Z38,MIN(Z$6-$G$3,22))&lt;&gt;""),Algodão!$E38:INDEX(Algodão!$E38:$Z38,MIN(Z$6-$G$3,22))),0)))))</f>
        <v>0</v>
      </c>
      <c r="AA40" s="27" t="n">
        <f aca="false">IF(COUNT(Algodão!$E38:$Z38)=0,0,MAX(0,IF((AA$6-$E$3)&lt;1,0,IFERROR(LOOKUP(2,1/(Algodão!$E38:INDEX(Algodão!$E38:$Z38,MIN(AA$6-$E$3,22))&lt;&gt;""),Algodão!$E38:INDEX(Algodão!$E38:$Z38,MIN(AA$6-$E$3,22))),0))-IF($G$2,0,IF((AA$6-$G$3)&lt;1,0,IFERROR(LOOKUP(2,1/(Algodão!$E38:INDEX(Algodão!$E38:$Z38,MIN(AA$6-$G$3,22))&lt;&gt;""),Algodão!$E38:INDEX(Algodão!$E38:$Z38,MIN(AA$6-$G$3,22))),0)))))</f>
        <v>0</v>
      </c>
      <c r="AB40" s="27" t="n">
        <f aca="false">IF(COUNT(Algodão!$E38:$Z38)=0,0,MAX(0,IF((AB$6-$E$3)&lt;1,0,IFERROR(LOOKUP(2,1/(Algodão!$E38:INDEX(Algodão!$E38:$Z38,MIN(AB$6-$E$3,22))&lt;&gt;""),Algodão!$E38:INDEX(Algodão!$E38:$Z38,MIN(AB$6-$E$3,22))),0))-IF($G$2,0,IF((AB$6-$G$3)&lt;1,0,IFERROR(LOOKUP(2,1/(Algodão!$E38:INDEX(Algodão!$E38:$Z38,MIN(AB$6-$G$3,22))&lt;&gt;""),Algodão!$E38:INDEX(Algodão!$E38:$Z38,MIN(AB$6-$G$3,22))),0)))))</f>
        <v>0</v>
      </c>
      <c r="AC40" s="27" t="n">
        <f aca="false">IF(COUNT(Algodão!$E38:$Z38)=0,0,MAX(0,IF((AC$6-$E$3)&lt;1,0,IFERROR(LOOKUP(2,1/(Algodão!$E38:INDEX(Algodão!$E38:$Z38,MIN(AC$6-$E$3,22))&lt;&gt;""),Algodão!$E38:INDEX(Algodão!$E38:$Z38,MIN(AC$6-$E$3,22))),0))-IF($G$2,0,IF((AC$6-$G$3)&lt;1,0,IFERROR(LOOKUP(2,1/(Algodão!$E38:INDEX(Algodão!$E38:$Z38,MIN(AC$6-$G$3,22))&lt;&gt;""),Algodão!$E38:INDEX(Algodão!$E38:$Z38,MIN(AC$6-$G$3,22))),0)))))</f>
        <v>0</v>
      </c>
      <c r="AD40" s="27" t="n">
        <f aca="false">IF(COUNT(Algodão!$E38:$Z38)=0,0,MAX(0,IF((AD$6-$E$3)&lt;1,0,IFERROR(LOOKUP(2,1/(Algodão!$E38:INDEX(Algodão!$E38:$Z38,MIN(AD$6-$E$3,22))&lt;&gt;""),Algodão!$E38:INDEX(Algodão!$E38:$Z38,MIN(AD$6-$E$3,22))),0))-IF($G$2,0,IF((AD$6-$G$3)&lt;1,0,IFERROR(LOOKUP(2,1/(Algodão!$E38:INDEX(Algodão!$E38:$Z38,MIN(AD$6-$G$3,22))&lt;&gt;""),Algodão!$E38:INDEX(Algodão!$E38:$Z38,MIN(AD$6-$G$3,22))),0)))))</f>
        <v>0</v>
      </c>
      <c r="AE40" s="27" t="n">
        <f aca="false">IF(COUNT(Algodão!$E38:$Z38)=0,0,MAX(0,IF((AE$6-$E$3)&lt;1,0,IFERROR(LOOKUP(2,1/(Algodão!$E38:INDEX(Algodão!$E38:$Z38,MIN(AE$6-$E$3,22))&lt;&gt;""),Algodão!$E38:INDEX(Algodão!$E38:$Z38,MIN(AE$6-$E$3,22))),0))-IF($G$2,0,IF((AE$6-$G$3)&lt;1,0,IFERROR(LOOKUP(2,1/(Algodão!$E38:INDEX(Algodão!$E38:$Z38,MIN(AE$6-$G$3,22))&lt;&gt;""),Algodão!$E38:INDEX(Algodão!$E38:$Z38,MIN(AE$6-$G$3,22))),0)))))</f>
        <v>0</v>
      </c>
      <c r="AF40" s="27" t="n">
        <f aca="false">IF(COUNT(Algodão!$E38:$Z38)=0,0,MAX(0,IF((AF$6-$E$3)&lt;1,0,IFERROR(LOOKUP(2,1/(Algodão!$E38:INDEX(Algodão!$E38:$Z38,MIN(AF$6-$E$3,22))&lt;&gt;""),Algodão!$E38:INDEX(Algodão!$E38:$Z38,MIN(AF$6-$E$3,22))),0))-IF($G$2,0,IF((AF$6-$G$3)&lt;1,0,IFERROR(LOOKUP(2,1/(Algodão!$E38:INDEX(Algodão!$E38:$Z38,MIN(AF$6-$G$3,22))&lt;&gt;""),Algodão!$E38:INDEX(Algodão!$E38:$Z38,MIN(AF$6-$G$3,22))),0)))))</f>
        <v>0</v>
      </c>
      <c r="AG40" s="27" t="n">
        <f aca="false">IF(COUNT(Algodão!$E38:$Z38)=0,0,MAX(0,IF((AG$6-$E$3)&lt;1,0,IFERROR(LOOKUP(2,1/(Algodão!$E38:INDEX(Algodão!$E38:$Z38,MIN(AG$6-$E$3,22))&lt;&gt;""),Algodão!$E38:INDEX(Algodão!$E38:$Z38,MIN(AG$6-$E$3,22))),0))-IF($G$2,0,IF((AG$6-$G$3)&lt;1,0,IFERROR(LOOKUP(2,1/(Algodão!$E38:INDEX(Algodão!$E38:$Z38,MIN(AG$6-$G$3,22))&lt;&gt;""),Algodão!$E38:INDEX(Algodão!$E38:$Z38,MIN(AG$6-$G$3,22))),0)))))</f>
        <v>0</v>
      </c>
      <c r="AH40" s="27" t="n">
        <f aca="false">IF(COUNT(Algodão!$E38:$Z38)=0,0,MAX(0,IF((AH$6-$E$3)&lt;1,0,IFERROR(LOOKUP(2,1/(Algodão!$E38:INDEX(Algodão!$E38:$Z38,MIN(AH$6-$E$3,22))&lt;&gt;""),Algodão!$E38:INDEX(Algodão!$E38:$Z38,MIN(AH$6-$E$3,22))),0))-IF($G$2,0,IF((AH$6-$G$3)&lt;1,0,IFERROR(LOOKUP(2,1/(Algodão!$E38:INDEX(Algodão!$E38:$Z38,MIN(AH$6-$G$3,22))&lt;&gt;""),Algodão!$E38:INDEX(Algodão!$E38:$Z38,MIN(AH$6-$G$3,22))),0)))))</f>
        <v>0</v>
      </c>
      <c r="AI40" s="27" t="n">
        <f aca="false">IF(COUNT(Algodão!$E38:$Z38)=0,0,MAX(0,IF((AI$6-$E$3)&lt;1,0,IFERROR(LOOKUP(2,1/(Algodão!$E38:INDEX(Algodão!$E38:$Z38,MIN(AI$6-$E$3,22))&lt;&gt;""),Algodão!$E38:INDEX(Algodão!$E38:$Z38,MIN(AI$6-$E$3,22))),0))-IF($G$2,0,IF((AI$6-$G$3)&lt;1,0,IFERROR(LOOKUP(2,1/(Algodão!$E38:INDEX(Algodão!$E38:$Z38,MIN(AI$6-$G$3,22))&lt;&gt;""),Algodão!$E38:INDEX(Algodão!$E38:$Z38,MIN(AI$6-$G$3,22))),0)))))</f>
        <v>0</v>
      </c>
      <c r="AJ40" s="27" t="n">
        <f aca="false">IF(COUNT(Algodão!$E38:$Z38)=0,0,MAX(0,IF((AJ$6-$E$3)&lt;1,0,IFERROR(LOOKUP(2,1/(Algodão!$E38:INDEX(Algodão!$E38:$Z38,MIN(AJ$6-$E$3,22))&lt;&gt;""),Algodão!$E38:INDEX(Algodão!$E38:$Z38,MIN(AJ$6-$E$3,22))),0))-IF($G$2,0,IF((AJ$6-$G$3)&lt;1,0,IFERROR(LOOKUP(2,1/(Algodão!$E38:INDEX(Algodão!$E38:$Z38,MIN(AJ$6-$G$3,22))&lt;&gt;""),Algodão!$E38:INDEX(Algodão!$E38:$Z38,MIN(AJ$6-$G$3,22))),0)))))</f>
        <v>0</v>
      </c>
      <c r="AK40" s="27" t="n">
        <f aca="false">IF(COUNT(Algodão!$E38:$Z38)=0,0,MAX(0,IF((AK$6-$E$3)&lt;1,0,IFERROR(LOOKUP(2,1/(Algodão!$E38:INDEX(Algodão!$E38:$Z38,MIN(AK$6-$E$3,22))&lt;&gt;""),Algodão!$E38:INDEX(Algodão!$E38:$Z38,MIN(AK$6-$E$3,22))),0))-IF($G$2,0,IF((AK$6-$G$3)&lt;1,0,IFERROR(LOOKUP(2,1/(Algodão!$E38:INDEX(Algodão!$E38:$Z38,MIN(AK$6-$G$3,22))&lt;&gt;""),Algodão!$E38:INDEX(Algodão!$E38:$Z38,MIN(AK$6-$G$3,22))),0)))))</f>
        <v>0</v>
      </c>
      <c r="AL40" s="27" t="n">
        <f aca="false">IF(COUNT(Algodão!$E38:$Z38)=0,0,MAX(0,IF((AL$6-$E$3)&lt;1,0,IFERROR(LOOKUP(2,1/(Algodão!$E38:INDEX(Algodão!$E38:$Z38,MIN(AL$6-$E$3,22))&lt;&gt;""),Algodão!$E38:INDEX(Algodão!$E38:$Z38,MIN(AL$6-$E$3,22))),0))-IF($G$2,0,IF((AL$6-$G$3)&lt;1,0,IFERROR(LOOKUP(2,1/(Algodão!$E38:INDEX(Algodão!$E38:$Z38,MIN(AL$6-$G$3,22))&lt;&gt;""),Algodão!$E38:INDEX(Algodão!$E38:$Z38,MIN(AL$6-$G$3,22))),0)))))</f>
        <v>0</v>
      </c>
      <c r="AM40" s="27" t="n">
        <f aca="false">IF(COUNT(Algodão!$E38:$Z38)=0,0,MAX(0,IF((AM$6-$E$3)&lt;1,0,IFERROR(LOOKUP(2,1/(Algodão!$E38:INDEX(Algodão!$E38:$Z38,MIN(AM$6-$E$3,22))&lt;&gt;""),Algodão!$E38:INDEX(Algodão!$E38:$Z38,MIN(AM$6-$E$3,22))),0))-IF($G$2,0,IF((AM$6-$G$3)&lt;1,0,IFERROR(LOOKUP(2,1/(Algodão!$E38:INDEX(Algodão!$E38:$Z38,MIN(AM$6-$G$3,22))&lt;&gt;""),Algodão!$E38:INDEX(Algodão!$E38:$Z38,MIN(AM$6-$G$3,22))),0)))))</f>
        <v>0</v>
      </c>
      <c r="AN40" s="27" t="n">
        <f aca="false">IF(COUNT(Algodão!$E38:$Z38)=0,0,MAX(0,IF((AN$6-$E$3)&lt;1,0,IFERROR(LOOKUP(2,1/(Algodão!$E38:INDEX(Algodão!$E38:$Z38,MIN(AN$6-$E$3,22))&lt;&gt;""),Algodão!$E38:INDEX(Algodão!$E38:$Z38,MIN(AN$6-$E$3,22))),0))-IF($G$2,0,IF((AN$6-$G$3)&lt;1,0,IFERROR(LOOKUP(2,1/(Algodão!$E38:INDEX(Algodão!$E38:$Z38,MIN(AN$6-$G$3,22))&lt;&gt;""),Algodão!$E38:INDEX(Algodão!$E38:$Z38,MIN(AN$6-$G$3,22))),0)))))</f>
        <v>0</v>
      </c>
      <c r="AO40" s="27" t="n">
        <f aca="false">IF(COUNT(Algodão!$E38:$Z38)=0,0,MAX(0,IF((AO$6-$E$3)&lt;1,0,IFERROR(LOOKUP(2,1/(Algodão!$E38:INDEX(Algodão!$E38:$Z38,MIN(AO$6-$E$3,22))&lt;&gt;""),Algodão!$E38:INDEX(Algodão!$E38:$Z38,MIN(AO$6-$E$3,22))),0))-IF($G$2,0,IF((AO$6-$G$3)&lt;1,0,IFERROR(LOOKUP(2,1/(Algodão!$E38:INDEX(Algodão!$E38:$Z38,MIN(AO$6-$G$3,22))&lt;&gt;""),Algodão!$E38:INDEX(Algodão!$E38:$Z38,MIN(AO$6-$G$3,22))),0)))))</f>
        <v>0</v>
      </c>
      <c r="AP40" s="27" t="n">
        <f aca="false">IF(COUNT(Algodão!$E38:$Z38)=0,0,MAX(0,IF((AP$6-$E$3)&lt;1,0,IFERROR(LOOKUP(2,1/(Algodão!$E38:INDEX(Algodão!$E38:$Z38,MIN(AP$6-$E$3,22))&lt;&gt;""),Algodão!$E38:INDEX(Algodão!$E38:$Z38,MIN(AP$6-$E$3,22))),0))-IF($G$2,0,IF((AP$6-$G$3)&lt;1,0,IFERROR(LOOKUP(2,1/(Algodão!$E38:INDEX(Algodão!$E38:$Z38,MIN(AP$6-$G$3,22))&lt;&gt;""),Algodão!$E38:INDEX(Algodão!$E38:$Z38,MIN(AP$6-$G$3,22))),0)))))</f>
        <v>0</v>
      </c>
      <c r="AQ40" s="27" t="n">
        <f aca="false">IF(COUNT(Algodão!$E38:$Z38)=0,0,MAX(0,IF((AQ$6-$E$3)&lt;1,0,IFERROR(LOOKUP(2,1/(Algodão!$E38:INDEX(Algodão!$E38:$Z38,MIN(AQ$6-$E$3,22))&lt;&gt;""),Algodão!$E38:INDEX(Algodão!$E38:$Z38,MIN(AQ$6-$E$3,22))),0))-IF($G$2,0,IF((AQ$6-$G$3)&lt;1,0,IFERROR(LOOKUP(2,1/(Algodão!$E38:INDEX(Algodão!$E38:$Z38,MIN(AQ$6-$G$3,22))&lt;&gt;""),Algodão!$E38:INDEX(Algodão!$E38:$Z38,MIN(AQ$6-$G$3,22))),0)))))</f>
        <v>0</v>
      </c>
      <c r="AR40" s="27" t="n">
        <f aca="false">IF(COUNT(Algodão!$E38:$Z38)=0,0,MAX(0,IF((AR$6-$E$3)&lt;1,0,IFERROR(LOOKUP(2,1/(Algodão!$E38:INDEX(Algodão!$E38:$Z38,MIN(AR$6-$E$3,22))&lt;&gt;""),Algodão!$E38:INDEX(Algodão!$E38:$Z38,MIN(AR$6-$E$3,22))),0))-IF($G$2,0,IF((AR$6-$G$3)&lt;1,0,IFERROR(LOOKUP(2,1/(Algodão!$E38:INDEX(Algodão!$E38:$Z38,MIN(AR$6-$G$3,22))&lt;&gt;""),Algodão!$E38:INDEX(Algodão!$E38:$Z38,MIN(AR$6-$G$3,22))),0)))))</f>
        <v>0</v>
      </c>
      <c r="AS40" s="27" t="n">
        <f aca="false">IF(COUNT(Algodão!$E38:$Z38)=0,0,MAX(0,IF((AS$6-$E$3)&lt;1,0,IFERROR(LOOKUP(2,1/(Algodão!$E38:INDEX(Algodão!$E38:$Z38,MIN(AS$6-$E$3,22))&lt;&gt;""),Algodão!$E38:INDEX(Algodão!$E38:$Z38,MIN(AS$6-$E$3,22))),0))-IF($G$2,0,IF((AS$6-$G$3)&lt;1,0,IFERROR(LOOKUP(2,1/(Algodão!$E38:INDEX(Algodão!$E38:$Z38,MIN(AS$6-$G$3,22))&lt;&gt;""),Algodão!$E38:INDEX(Algodão!$E38:$Z38,MIN(AS$6-$G$3,22))),0)))))</f>
        <v>0</v>
      </c>
      <c r="AT40" s="27" t="n">
        <f aca="false">IF(COUNT(Algodão!$E38:$Z38)=0,0,MAX(0,IF((AT$6-$E$3)&lt;1,0,IFERROR(LOOKUP(2,1/(Algodão!$E38:INDEX(Algodão!$E38:$Z38,MIN(AT$6-$E$3,22))&lt;&gt;""),Algodão!$E38:INDEX(Algodão!$E38:$Z38,MIN(AT$6-$E$3,22))),0))-IF($G$2,0,IF((AT$6-$G$3)&lt;1,0,IFERROR(LOOKUP(2,1/(Algodão!$E38:INDEX(Algodão!$E38:$Z38,MIN(AT$6-$G$3,22))&lt;&gt;""),Algodão!$E38:INDEX(Algodão!$E38:$Z38,MIN(AT$6-$G$3,22))),0)))))</f>
        <v>0</v>
      </c>
      <c r="AU40" s="27" t="n">
        <f aca="false">IF(COUNT(Algodão!$E38:$Z38)=0,0,MAX(0,IF((AU$6-$E$3)&lt;1,0,IFERROR(LOOKUP(2,1/(Algodão!$E38:INDEX(Algodão!$E38:$Z38,MIN(AU$6-$E$3,22))&lt;&gt;""),Algodão!$E38:INDEX(Algodão!$E38:$Z38,MIN(AU$6-$E$3,22))),0))-IF($G$2,0,IF((AU$6-$G$3)&lt;1,0,IFERROR(LOOKUP(2,1/(Algodão!$E38:INDEX(Algodão!$E38:$Z38,MIN(AU$6-$G$3,22))&lt;&gt;""),Algodão!$E38:INDEX(Algodão!$E38:$Z38,MIN(AU$6-$G$3,22))),0)))))</f>
        <v>0</v>
      </c>
      <c r="AV40" s="27" t="n">
        <f aca="false">IF(COUNT(Algodão!$E38:$Z38)=0,0,MAX(0,IF((AV$6-$E$3)&lt;1,0,IFERROR(LOOKUP(2,1/(Algodão!$E38:INDEX(Algodão!$E38:$Z38,MIN(AV$6-$E$3,22))&lt;&gt;""),Algodão!$E38:INDEX(Algodão!$E38:$Z38,MIN(AV$6-$E$3,22))),0))-IF($G$2,0,IF((AV$6-$G$3)&lt;1,0,IFERROR(LOOKUP(2,1/(Algodão!$E38:INDEX(Algodão!$E38:$Z38,MIN(AV$6-$G$3,22))&lt;&gt;""),Algodão!$E38:INDEX(Algodão!$E38:$Z38,MIN(AV$6-$G$3,22))),0)))))</f>
        <v>0</v>
      </c>
      <c r="AW40" s="27" t="n">
        <f aca="false">IF(COUNT(Algodão!$E38:$Z38)=0,0,MAX(0,IF((AW$6-$E$3)&lt;1,0,IFERROR(LOOKUP(2,1/(Algodão!$E38:INDEX(Algodão!$E38:$Z38,MIN(AW$6-$E$3,22))&lt;&gt;""),Algodão!$E38:INDEX(Algodão!$E38:$Z38,MIN(AW$6-$E$3,22))),0))-IF($G$2,0,IF((AW$6-$G$3)&lt;1,0,IFERROR(LOOKUP(2,1/(Algodão!$E38:INDEX(Algodão!$E38:$Z38,MIN(AW$6-$G$3,22))&lt;&gt;""),Algodão!$E38:INDEX(Algodão!$E38:$Z38,MIN(AW$6-$G$3,22))),0)))))</f>
        <v>0</v>
      </c>
      <c r="AX40" s="27" t="n">
        <f aca="false">IF(COUNT(Algodão!$E38:$Z38)=0,0,MAX(0,IF((AX$6-$E$3)&lt;1,0,IFERROR(LOOKUP(2,1/(Algodão!$E38:INDEX(Algodão!$E38:$Z38,MIN(AX$6-$E$3,22))&lt;&gt;""),Algodão!$E38:INDEX(Algodão!$E38:$Z38,MIN(AX$6-$E$3,22))),0))-IF($G$2,0,IF((AX$6-$G$3)&lt;1,0,IFERROR(LOOKUP(2,1/(Algodão!$E38:INDEX(Algodão!$E38:$Z38,MIN(AX$6-$G$3,22))&lt;&gt;""),Algodão!$E38:INDEX(Algodão!$E38:$Z38,MIN(AX$6-$G$3,22))),0)))))</f>
        <v>0</v>
      </c>
      <c r="AY40" s="27" t="n">
        <f aca="false">IF(COUNT(Algodão!$E38:$Z38)=0,0,MAX(0,IF((AY$6-$E$3)&lt;1,0,IFERROR(LOOKUP(2,1/(Algodão!$E38:INDEX(Algodão!$E38:$Z38,MIN(AY$6-$E$3,22))&lt;&gt;""),Algodão!$E38:INDEX(Algodão!$E38:$Z38,MIN(AY$6-$E$3,22))),0))-IF($G$2,0,IF((AY$6-$G$3)&lt;1,0,IFERROR(LOOKUP(2,1/(Algodão!$E38:INDEX(Algodão!$E38:$Z38,MIN(AY$6-$G$3,22))&lt;&gt;""),Algodão!$E38:INDEX(Algodão!$E38:$Z38,MIN(AY$6-$G$3,22))),0)))))</f>
        <v>0</v>
      </c>
      <c r="AZ40" s="27" t="n">
        <f aca="false">IF(COUNT(Algodão!$E38:$Z38)=0,0,MAX(0,IF((AZ$6-$E$3)&lt;1,0,IFERROR(LOOKUP(2,1/(Algodão!$E38:INDEX(Algodão!$E38:$Z38,MIN(AZ$6-$E$3,22))&lt;&gt;""),Algodão!$E38:INDEX(Algodão!$E38:$Z38,MIN(AZ$6-$E$3,22))),0))-IF($G$2,0,IF((AZ$6-$G$3)&lt;1,0,IFERROR(LOOKUP(2,1/(Algodão!$E38:INDEX(Algodão!$E38:$Z38,MIN(AZ$6-$G$3,22))&lt;&gt;""),Algodão!$E38:INDEX(Algodão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IF(COUNT(Algodão!$E39:$Z39)&gt;0,N(Algodão!$D39),0)</f>
        <v>0</v>
      </c>
      <c r="E41" s="27" t="n">
        <f aca="false">IF(COUNT(Algodão!$E39:$Z39)=0,0,MAX(0,IF((E$6-$E$3)&lt;1,0,IFERROR(LOOKUP(2,1/(Algodão!$E39:INDEX(Algodão!$E39:$Z39,MIN(E$6-$E$3,22))&lt;&gt;""),Algodão!$E39:INDEX(Algodão!$E39:$Z39,MIN(E$6-$E$3,22))),0))-IF($G$2,0,IF((E$6-$G$3)&lt;1,0,IFERROR(LOOKUP(2,1/(Algodão!$E39:INDEX(Algodão!$E39:$Z39,MIN(E$6-$G$3,22))&lt;&gt;""),Algodão!$E39:INDEX(Algodão!$E39:$Z39,MIN(E$6-$G$3,22))),0)))))</f>
        <v>0</v>
      </c>
      <c r="F41" s="27" t="n">
        <f aca="false">IF(COUNT(Algodão!$E39:$Z39)=0,0,MAX(0,IF((F$6-$E$3)&lt;1,0,IFERROR(LOOKUP(2,1/(Algodão!$E39:INDEX(Algodão!$E39:$Z39,MIN(F$6-$E$3,22))&lt;&gt;""),Algodão!$E39:INDEX(Algodão!$E39:$Z39,MIN(F$6-$E$3,22))),0))-IF($G$2,0,IF((F$6-$G$3)&lt;1,0,IFERROR(LOOKUP(2,1/(Algodão!$E39:INDEX(Algodão!$E39:$Z39,MIN(F$6-$G$3,22))&lt;&gt;""),Algodão!$E39:INDEX(Algodão!$E39:$Z39,MIN(F$6-$G$3,22))),0)))))</f>
        <v>0</v>
      </c>
      <c r="G41" s="27" t="n">
        <f aca="false">IF(COUNT(Algodão!$E39:$Z39)=0,0,MAX(0,IF((G$6-$E$3)&lt;1,0,IFERROR(LOOKUP(2,1/(Algodão!$E39:INDEX(Algodão!$E39:$Z39,MIN(G$6-$E$3,22))&lt;&gt;""),Algodão!$E39:INDEX(Algodão!$E39:$Z39,MIN(G$6-$E$3,22))),0))-IF($G$2,0,IF((G$6-$G$3)&lt;1,0,IFERROR(LOOKUP(2,1/(Algodão!$E39:INDEX(Algodão!$E39:$Z39,MIN(G$6-$G$3,22))&lt;&gt;""),Algodão!$E39:INDEX(Algodão!$E39:$Z39,MIN(G$6-$G$3,22))),0)))))</f>
        <v>0</v>
      </c>
      <c r="H41" s="27" t="n">
        <f aca="false">IF(COUNT(Algodão!$E39:$Z39)=0,0,MAX(0,IF((H$6-$E$3)&lt;1,0,IFERROR(LOOKUP(2,1/(Algodão!$E39:INDEX(Algodão!$E39:$Z39,MIN(H$6-$E$3,22))&lt;&gt;""),Algodão!$E39:INDEX(Algodão!$E39:$Z39,MIN(H$6-$E$3,22))),0))-IF($G$2,0,IF((H$6-$G$3)&lt;1,0,IFERROR(LOOKUP(2,1/(Algodão!$E39:INDEX(Algodão!$E39:$Z39,MIN(H$6-$G$3,22))&lt;&gt;""),Algodão!$E39:INDEX(Algodão!$E39:$Z39,MIN(H$6-$G$3,22))),0)))))</f>
        <v>0</v>
      </c>
      <c r="I41" s="27" t="n">
        <f aca="false">IF(COUNT(Algodão!$E39:$Z39)=0,0,MAX(0,IF((I$6-$E$3)&lt;1,0,IFERROR(LOOKUP(2,1/(Algodão!$E39:INDEX(Algodão!$E39:$Z39,MIN(I$6-$E$3,22))&lt;&gt;""),Algodão!$E39:INDEX(Algodão!$E39:$Z39,MIN(I$6-$E$3,22))),0))-IF($G$2,0,IF((I$6-$G$3)&lt;1,0,IFERROR(LOOKUP(2,1/(Algodão!$E39:INDEX(Algodão!$E39:$Z39,MIN(I$6-$G$3,22))&lt;&gt;""),Algodão!$E39:INDEX(Algodão!$E39:$Z39,MIN(I$6-$G$3,22))),0)))))</f>
        <v>0</v>
      </c>
      <c r="J41" s="27" t="n">
        <f aca="false">IF(COUNT(Algodão!$E39:$Z39)=0,0,MAX(0,IF((J$6-$E$3)&lt;1,0,IFERROR(LOOKUP(2,1/(Algodão!$E39:INDEX(Algodão!$E39:$Z39,MIN(J$6-$E$3,22))&lt;&gt;""),Algodão!$E39:INDEX(Algodão!$E39:$Z39,MIN(J$6-$E$3,22))),0))-IF($G$2,0,IF((J$6-$G$3)&lt;1,0,IFERROR(LOOKUP(2,1/(Algodão!$E39:INDEX(Algodão!$E39:$Z39,MIN(J$6-$G$3,22))&lt;&gt;""),Algodão!$E39:INDEX(Algodão!$E39:$Z39,MIN(J$6-$G$3,22))),0)))))</f>
        <v>0</v>
      </c>
      <c r="K41" s="27" t="n">
        <f aca="false">IF(COUNT(Algodão!$E39:$Z39)=0,0,MAX(0,IF((K$6-$E$3)&lt;1,0,IFERROR(LOOKUP(2,1/(Algodão!$E39:INDEX(Algodão!$E39:$Z39,MIN(K$6-$E$3,22))&lt;&gt;""),Algodão!$E39:INDEX(Algodão!$E39:$Z39,MIN(K$6-$E$3,22))),0))-IF($G$2,0,IF((K$6-$G$3)&lt;1,0,IFERROR(LOOKUP(2,1/(Algodão!$E39:INDEX(Algodão!$E39:$Z39,MIN(K$6-$G$3,22))&lt;&gt;""),Algodão!$E39:INDEX(Algodão!$E39:$Z39,MIN(K$6-$G$3,22))),0)))))</f>
        <v>0</v>
      </c>
      <c r="L41" s="27" t="n">
        <f aca="false">IF(COUNT(Algodão!$E39:$Z39)=0,0,MAX(0,IF((L$6-$E$3)&lt;1,0,IFERROR(LOOKUP(2,1/(Algodão!$E39:INDEX(Algodão!$E39:$Z39,MIN(L$6-$E$3,22))&lt;&gt;""),Algodão!$E39:INDEX(Algodão!$E39:$Z39,MIN(L$6-$E$3,22))),0))-IF($G$2,0,IF((L$6-$G$3)&lt;1,0,IFERROR(LOOKUP(2,1/(Algodão!$E39:INDEX(Algodão!$E39:$Z39,MIN(L$6-$G$3,22))&lt;&gt;""),Algodão!$E39:INDEX(Algodão!$E39:$Z39,MIN(L$6-$G$3,22))),0)))))</f>
        <v>0</v>
      </c>
      <c r="M41" s="27" t="n">
        <f aca="false">IF(COUNT(Algodão!$E39:$Z39)=0,0,MAX(0,IF((M$6-$E$3)&lt;1,0,IFERROR(LOOKUP(2,1/(Algodão!$E39:INDEX(Algodão!$E39:$Z39,MIN(M$6-$E$3,22))&lt;&gt;""),Algodão!$E39:INDEX(Algodão!$E39:$Z39,MIN(M$6-$E$3,22))),0))-IF($G$2,0,IF((M$6-$G$3)&lt;1,0,IFERROR(LOOKUP(2,1/(Algodão!$E39:INDEX(Algodão!$E39:$Z39,MIN(M$6-$G$3,22))&lt;&gt;""),Algodão!$E39:INDEX(Algodão!$E39:$Z39,MIN(M$6-$G$3,22))),0)))))</f>
        <v>0</v>
      </c>
      <c r="N41" s="27" t="n">
        <f aca="false">IF(COUNT(Algodão!$E39:$Z39)=0,0,MAX(0,IF((N$6-$E$3)&lt;1,0,IFERROR(LOOKUP(2,1/(Algodão!$E39:INDEX(Algodão!$E39:$Z39,MIN(N$6-$E$3,22))&lt;&gt;""),Algodão!$E39:INDEX(Algodão!$E39:$Z39,MIN(N$6-$E$3,22))),0))-IF($G$2,0,IF((N$6-$G$3)&lt;1,0,IFERROR(LOOKUP(2,1/(Algodão!$E39:INDEX(Algodão!$E39:$Z39,MIN(N$6-$G$3,22))&lt;&gt;""),Algodão!$E39:INDEX(Algodão!$E39:$Z39,MIN(N$6-$G$3,22))),0)))))</f>
        <v>0</v>
      </c>
      <c r="O41" s="27" t="n">
        <f aca="false">IF(COUNT(Algodão!$E39:$Z39)=0,0,MAX(0,IF((O$6-$E$3)&lt;1,0,IFERROR(LOOKUP(2,1/(Algodão!$E39:INDEX(Algodão!$E39:$Z39,MIN(O$6-$E$3,22))&lt;&gt;""),Algodão!$E39:INDEX(Algodão!$E39:$Z39,MIN(O$6-$E$3,22))),0))-IF($G$2,0,IF((O$6-$G$3)&lt;1,0,IFERROR(LOOKUP(2,1/(Algodão!$E39:INDEX(Algodão!$E39:$Z39,MIN(O$6-$G$3,22))&lt;&gt;""),Algodão!$E39:INDEX(Algodão!$E39:$Z39,MIN(O$6-$G$3,22))),0)))))</f>
        <v>0</v>
      </c>
      <c r="P41" s="27" t="n">
        <f aca="false">IF(COUNT(Algodão!$E39:$Z39)=0,0,MAX(0,IF((P$6-$E$3)&lt;1,0,IFERROR(LOOKUP(2,1/(Algodão!$E39:INDEX(Algodão!$E39:$Z39,MIN(P$6-$E$3,22))&lt;&gt;""),Algodão!$E39:INDEX(Algodão!$E39:$Z39,MIN(P$6-$E$3,22))),0))-IF($G$2,0,IF((P$6-$G$3)&lt;1,0,IFERROR(LOOKUP(2,1/(Algodão!$E39:INDEX(Algodão!$E39:$Z39,MIN(P$6-$G$3,22))&lt;&gt;""),Algodão!$E39:INDEX(Algodão!$E39:$Z39,MIN(P$6-$G$3,22))),0)))))</f>
        <v>0</v>
      </c>
      <c r="Q41" s="27" t="n">
        <f aca="false">IF(COUNT(Algodão!$E39:$Z39)=0,0,MAX(0,IF((Q$6-$E$3)&lt;1,0,IFERROR(LOOKUP(2,1/(Algodão!$E39:INDEX(Algodão!$E39:$Z39,MIN(Q$6-$E$3,22))&lt;&gt;""),Algodão!$E39:INDEX(Algodão!$E39:$Z39,MIN(Q$6-$E$3,22))),0))-IF($G$2,0,IF((Q$6-$G$3)&lt;1,0,IFERROR(LOOKUP(2,1/(Algodão!$E39:INDEX(Algodão!$E39:$Z39,MIN(Q$6-$G$3,22))&lt;&gt;""),Algodão!$E39:INDEX(Algodão!$E39:$Z39,MIN(Q$6-$G$3,22))),0)))))</f>
        <v>0</v>
      </c>
      <c r="R41" s="27" t="n">
        <f aca="false">IF(COUNT(Algodão!$E39:$Z39)=0,0,MAX(0,IF((R$6-$E$3)&lt;1,0,IFERROR(LOOKUP(2,1/(Algodão!$E39:INDEX(Algodão!$E39:$Z39,MIN(R$6-$E$3,22))&lt;&gt;""),Algodão!$E39:INDEX(Algodão!$E39:$Z39,MIN(R$6-$E$3,22))),0))-IF($G$2,0,IF((R$6-$G$3)&lt;1,0,IFERROR(LOOKUP(2,1/(Algodão!$E39:INDEX(Algodão!$E39:$Z39,MIN(R$6-$G$3,22))&lt;&gt;""),Algodão!$E39:INDEX(Algodão!$E39:$Z39,MIN(R$6-$G$3,22))),0)))))</f>
        <v>0</v>
      </c>
      <c r="S41" s="27" t="n">
        <f aca="false">IF(COUNT(Algodão!$E39:$Z39)=0,0,MAX(0,IF((S$6-$E$3)&lt;1,0,IFERROR(LOOKUP(2,1/(Algodão!$E39:INDEX(Algodão!$E39:$Z39,MIN(S$6-$E$3,22))&lt;&gt;""),Algodão!$E39:INDEX(Algodão!$E39:$Z39,MIN(S$6-$E$3,22))),0))-IF($G$2,0,IF((S$6-$G$3)&lt;1,0,IFERROR(LOOKUP(2,1/(Algodão!$E39:INDEX(Algodão!$E39:$Z39,MIN(S$6-$G$3,22))&lt;&gt;""),Algodão!$E39:INDEX(Algodão!$E39:$Z39,MIN(S$6-$G$3,22))),0)))))</f>
        <v>0</v>
      </c>
      <c r="T41" s="27" t="n">
        <f aca="false">IF(COUNT(Algodão!$E39:$Z39)=0,0,MAX(0,IF((T$6-$E$3)&lt;1,0,IFERROR(LOOKUP(2,1/(Algodão!$E39:INDEX(Algodão!$E39:$Z39,MIN(T$6-$E$3,22))&lt;&gt;""),Algodão!$E39:INDEX(Algodão!$E39:$Z39,MIN(T$6-$E$3,22))),0))-IF($G$2,0,IF((T$6-$G$3)&lt;1,0,IFERROR(LOOKUP(2,1/(Algodão!$E39:INDEX(Algodão!$E39:$Z39,MIN(T$6-$G$3,22))&lt;&gt;""),Algodão!$E39:INDEX(Algodão!$E39:$Z39,MIN(T$6-$G$3,22))),0)))))</f>
        <v>0</v>
      </c>
      <c r="U41" s="27" t="n">
        <f aca="false">IF(COUNT(Algodão!$E39:$Z39)=0,0,MAX(0,IF((U$6-$E$3)&lt;1,0,IFERROR(LOOKUP(2,1/(Algodão!$E39:INDEX(Algodão!$E39:$Z39,MIN(U$6-$E$3,22))&lt;&gt;""),Algodão!$E39:INDEX(Algodão!$E39:$Z39,MIN(U$6-$E$3,22))),0))-IF($G$2,0,IF((U$6-$G$3)&lt;1,0,IFERROR(LOOKUP(2,1/(Algodão!$E39:INDEX(Algodão!$E39:$Z39,MIN(U$6-$G$3,22))&lt;&gt;""),Algodão!$E39:INDEX(Algodão!$E39:$Z39,MIN(U$6-$G$3,22))),0)))))</f>
        <v>0</v>
      </c>
      <c r="V41" s="27" t="n">
        <f aca="false">IF(COUNT(Algodão!$E39:$Z39)=0,0,MAX(0,IF((V$6-$E$3)&lt;1,0,IFERROR(LOOKUP(2,1/(Algodão!$E39:INDEX(Algodão!$E39:$Z39,MIN(V$6-$E$3,22))&lt;&gt;""),Algodão!$E39:INDEX(Algodão!$E39:$Z39,MIN(V$6-$E$3,22))),0))-IF($G$2,0,IF((V$6-$G$3)&lt;1,0,IFERROR(LOOKUP(2,1/(Algodão!$E39:INDEX(Algodão!$E39:$Z39,MIN(V$6-$G$3,22))&lt;&gt;""),Algodão!$E39:INDEX(Algodão!$E39:$Z39,MIN(V$6-$G$3,22))),0)))))</f>
        <v>0</v>
      </c>
      <c r="W41" s="27" t="n">
        <f aca="false">IF(COUNT(Algodão!$E39:$Z39)=0,0,MAX(0,IF((W$6-$E$3)&lt;1,0,IFERROR(LOOKUP(2,1/(Algodão!$E39:INDEX(Algodão!$E39:$Z39,MIN(W$6-$E$3,22))&lt;&gt;""),Algodão!$E39:INDEX(Algodão!$E39:$Z39,MIN(W$6-$E$3,22))),0))-IF($G$2,0,IF((W$6-$G$3)&lt;1,0,IFERROR(LOOKUP(2,1/(Algodão!$E39:INDEX(Algodão!$E39:$Z39,MIN(W$6-$G$3,22))&lt;&gt;""),Algodão!$E39:INDEX(Algodão!$E39:$Z39,MIN(W$6-$G$3,22))),0)))))</f>
        <v>0</v>
      </c>
      <c r="X41" s="27" t="n">
        <f aca="false">IF(COUNT(Algodão!$E39:$Z39)=0,0,MAX(0,IF((X$6-$E$3)&lt;1,0,IFERROR(LOOKUP(2,1/(Algodão!$E39:INDEX(Algodão!$E39:$Z39,MIN(X$6-$E$3,22))&lt;&gt;""),Algodão!$E39:INDEX(Algodão!$E39:$Z39,MIN(X$6-$E$3,22))),0))-IF($G$2,0,IF((X$6-$G$3)&lt;1,0,IFERROR(LOOKUP(2,1/(Algodão!$E39:INDEX(Algodão!$E39:$Z39,MIN(X$6-$G$3,22))&lt;&gt;""),Algodão!$E39:INDEX(Algodão!$E39:$Z39,MIN(X$6-$G$3,22))),0)))))</f>
        <v>0</v>
      </c>
      <c r="Y41" s="27" t="n">
        <f aca="false">IF(COUNT(Algodão!$E39:$Z39)=0,0,MAX(0,IF((Y$6-$E$3)&lt;1,0,IFERROR(LOOKUP(2,1/(Algodão!$E39:INDEX(Algodão!$E39:$Z39,MIN(Y$6-$E$3,22))&lt;&gt;""),Algodão!$E39:INDEX(Algodão!$E39:$Z39,MIN(Y$6-$E$3,22))),0))-IF($G$2,0,IF((Y$6-$G$3)&lt;1,0,IFERROR(LOOKUP(2,1/(Algodão!$E39:INDEX(Algodão!$E39:$Z39,MIN(Y$6-$G$3,22))&lt;&gt;""),Algodão!$E39:INDEX(Algodão!$E39:$Z39,MIN(Y$6-$G$3,22))),0)))))</f>
        <v>0</v>
      </c>
      <c r="Z41" s="27" t="n">
        <f aca="false">IF(COUNT(Algodão!$E39:$Z39)=0,0,MAX(0,IF((Z$6-$E$3)&lt;1,0,IFERROR(LOOKUP(2,1/(Algodão!$E39:INDEX(Algodão!$E39:$Z39,MIN(Z$6-$E$3,22))&lt;&gt;""),Algodão!$E39:INDEX(Algodão!$E39:$Z39,MIN(Z$6-$E$3,22))),0))-IF($G$2,0,IF((Z$6-$G$3)&lt;1,0,IFERROR(LOOKUP(2,1/(Algodão!$E39:INDEX(Algodão!$E39:$Z39,MIN(Z$6-$G$3,22))&lt;&gt;""),Algodão!$E39:INDEX(Algodão!$E39:$Z39,MIN(Z$6-$G$3,22))),0)))))</f>
        <v>0</v>
      </c>
      <c r="AA41" s="27" t="n">
        <f aca="false">IF(COUNT(Algodão!$E39:$Z39)=0,0,MAX(0,IF((AA$6-$E$3)&lt;1,0,IFERROR(LOOKUP(2,1/(Algodão!$E39:INDEX(Algodão!$E39:$Z39,MIN(AA$6-$E$3,22))&lt;&gt;""),Algodão!$E39:INDEX(Algodão!$E39:$Z39,MIN(AA$6-$E$3,22))),0))-IF($G$2,0,IF((AA$6-$G$3)&lt;1,0,IFERROR(LOOKUP(2,1/(Algodão!$E39:INDEX(Algodão!$E39:$Z39,MIN(AA$6-$G$3,22))&lt;&gt;""),Algodão!$E39:INDEX(Algodão!$E39:$Z39,MIN(AA$6-$G$3,22))),0)))))</f>
        <v>0</v>
      </c>
      <c r="AB41" s="27" t="n">
        <f aca="false">IF(COUNT(Algodão!$E39:$Z39)=0,0,MAX(0,IF((AB$6-$E$3)&lt;1,0,IFERROR(LOOKUP(2,1/(Algodão!$E39:INDEX(Algodão!$E39:$Z39,MIN(AB$6-$E$3,22))&lt;&gt;""),Algodão!$E39:INDEX(Algodão!$E39:$Z39,MIN(AB$6-$E$3,22))),0))-IF($G$2,0,IF((AB$6-$G$3)&lt;1,0,IFERROR(LOOKUP(2,1/(Algodão!$E39:INDEX(Algodão!$E39:$Z39,MIN(AB$6-$G$3,22))&lt;&gt;""),Algodão!$E39:INDEX(Algodão!$E39:$Z39,MIN(AB$6-$G$3,22))),0)))))</f>
        <v>0</v>
      </c>
      <c r="AC41" s="27" t="n">
        <f aca="false">IF(COUNT(Algodão!$E39:$Z39)=0,0,MAX(0,IF((AC$6-$E$3)&lt;1,0,IFERROR(LOOKUP(2,1/(Algodão!$E39:INDEX(Algodão!$E39:$Z39,MIN(AC$6-$E$3,22))&lt;&gt;""),Algodão!$E39:INDEX(Algodão!$E39:$Z39,MIN(AC$6-$E$3,22))),0))-IF($G$2,0,IF((AC$6-$G$3)&lt;1,0,IFERROR(LOOKUP(2,1/(Algodão!$E39:INDEX(Algodão!$E39:$Z39,MIN(AC$6-$G$3,22))&lt;&gt;""),Algodão!$E39:INDEX(Algodão!$E39:$Z39,MIN(AC$6-$G$3,22))),0)))))</f>
        <v>0</v>
      </c>
      <c r="AD41" s="27" t="n">
        <f aca="false">IF(COUNT(Algodão!$E39:$Z39)=0,0,MAX(0,IF((AD$6-$E$3)&lt;1,0,IFERROR(LOOKUP(2,1/(Algodão!$E39:INDEX(Algodão!$E39:$Z39,MIN(AD$6-$E$3,22))&lt;&gt;""),Algodão!$E39:INDEX(Algodão!$E39:$Z39,MIN(AD$6-$E$3,22))),0))-IF($G$2,0,IF((AD$6-$G$3)&lt;1,0,IFERROR(LOOKUP(2,1/(Algodão!$E39:INDEX(Algodão!$E39:$Z39,MIN(AD$6-$G$3,22))&lt;&gt;""),Algodão!$E39:INDEX(Algodão!$E39:$Z39,MIN(AD$6-$G$3,22))),0)))))</f>
        <v>0</v>
      </c>
      <c r="AE41" s="27" t="n">
        <f aca="false">IF(COUNT(Algodão!$E39:$Z39)=0,0,MAX(0,IF((AE$6-$E$3)&lt;1,0,IFERROR(LOOKUP(2,1/(Algodão!$E39:INDEX(Algodão!$E39:$Z39,MIN(AE$6-$E$3,22))&lt;&gt;""),Algodão!$E39:INDEX(Algodão!$E39:$Z39,MIN(AE$6-$E$3,22))),0))-IF($G$2,0,IF((AE$6-$G$3)&lt;1,0,IFERROR(LOOKUP(2,1/(Algodão!$E39:INDEX(Algodão!$E39:$Z39,MIN(AE$6-$G$3,22))&lt;&gt;""),Algodão!$E39:INDEX(Algodão!$E39:$Z39,MIN(AE$6-$G$3,22))),0)))))</f>
        <v>0</v>
      </c>
      <c r="AF41" s="27" t="n">
        <f aca="false">IF(COUNT(Algodão!$E39:$Z39)=0,0,MAX(0,IF((AF$6-$E$3)&lt;1,0,IFERROR(LOOKUP(2,1/(Algodão!$E39:INDEX(Algodão!$E39:$Z39,MIN(AF$6-$E$3,22))&lt;&gt;""),Algodão!$E39:INDEX(Algodão!$E39:$Z39,MIN(AF$6-$E$3,22))),0))-IF($G$2,0,IF((AF$6-$G$3)&lt;1,0,IFERROR(LOOKUP(2,1/(Algodão!$E39:INDEX(Algodão!$E39:$Z39,MIN(AF$6-$G$3,22))&lt;&gt;""),Algodão!$E39:INDEX(Algodão!$E39:$Z39,MIN(AF$6-$G$3,22))),0)))))</f>
        <v>0</v>
      </c>
      <c r="AG41" s="27" t="n">
        <f aca="false">IF(COUNT(Algodão!$E39:$Z39)=0,0,MAX(0,IF((AG$6-$E$3)&lt;1,0,IFERROR(LOOKUP(2,1/(Algodão!$E39:INDEX(Algodão!$E39:$Z39,MIN(AG$6-$E$3,22))&lt;&gt;""),Algodão!$E39:INDEX(Algodão!$E39:$Z39,MIN(AG$6-$E$3,22))),0))-IF($G$2,0,IF((AG$6-$G$3)&lt;1,0,IFERROR(LOOKUP(2,1/(Algodão!$E39:INDEX(Algodão!$E39:$Z39,MIN(AG$6-$G$3,22))&lt;&gt;""),Algodão!$E39:INDEX(Algodão!$E39:$Z39,MIN(AG$6-$G$3,22))),0)))))</f>
        <v>0</v>
      </c>
      <c r="AH41" s="27" t="n">
        <f aca="false">IF(COUNT(Algodão!$E39:$Z39)=0,0,MAX(0,IF((AH$6-$E$3)&lt;1,0,IFERROR(LOOKUP(2,1/(Algodão!$E39:INDEX(Algodão!$E39:$Z39,MIN(AH$6-$E$3,22))&lt;&gt;""),Algodão!$E39:INDEX(Algodão!$E39:$Z39,MIN(AH$6-$E$3,22))),0))-IF($G$2,0,IF((AH$6-$G$3)&lt;1,0,IFERROR(LOOKUP(2,1/(Algodão!$E39:INDEX(Algodão!$E39:$Z39,MIN(AH$6-$G$3,22))&lt;&gt;""),Algodão!$E39:INDEX(Algodão!$E39:$Z39,MIN(AH$6-$G$3,22))),0)))))</f>
        <v>0</v>
      </c>
      <c r="AI41" s="27" t="n">
        <f aca="false">IF(COUNT(Algodão!$E39:$Z39)=0,0,MAX(0,IF((AI$6-$E$3)&lt;1,0,IFERROR(LOOKUP(2,1/(Algodão!$E39:INDEX(Algodão!$E39:$Z39,MIN(AI$6-$E$3,22))&lt;&gt;""),Algodão!$E39:INDEX(Algodão!$E39:$Z39,MIN(AI$6-$E$3,22))),0))-IF($G$2,0,IF((AI$6-$G$3)&lt;1,0,IFERROR(LOOKUP(2,1/(Algodão!$E39:INDEX(Algodão!$E39:$Z39,MIN(AI$6-$G$3,22))&lt;&gt;""),Algodão!$E39:INDEX(Algodão!$E39:$Z39,MIN(AI$6-$G$3,22))),0)))))</f>
        <v>0</v>
      </c>
      <c r="AJ41" s="27" t="n">
        <f aca="false">IF(COUNT(Algodão!$E39:$Z39)=0,0,MAX(0,IF((AJ$6-$E$3)&lt;1,0,IFERROR(LOOKUP(2,1/(Algodão!$E39:INDEX(Algodão!$E39:$Z39,MIN(AJ$6-$E$3,22))&lt;&gt;""),Algodão!$E39:INDEX(Algodão!$E39:$Z39,MIN(AJ$6-$E$3,22))),0))-IF($G$2,0,IF((AJ$6-$G$3)&lt;1,0,IFERROR(LOOKUP(2,1/(Algodão!$E39:INDEX(Algodão!$E39:$Z39,MIN(AJ$6-$G$3,22))&lt;&gt;""),Algodão!$E39:INDEX(Algodão!$E39:$Z39,MIN(AJ$6-$G$3,22))),0)))))</f>
        <v>0</v>
      </c>
      <c r="AK41" s="27" t="n">
        <f aca="false">IF(COUNT(Algodão!$E39:$Z39)=0,0,MAX(0,IF((AK$6-$E$3)&lt;1,0,IFERROR(LOOKUP(2,1/(Algodão!$E39:INDEX(Algodão!$E39:$Z39,MIN(AK$6-$E$3,22))&lt;&gt;""),Algodão!$E39:INDEX(Algodão!$E39:$Z39,MIN(AK$6-$E$3,22))),0))-IF($G$2,0,IF((AK$6-$G$3)&lt;1,0,IFERROR(LOOKUP(2,1/(Algodão!$E39:INDEX(Algodão!$E39:$Z39,MIN(AK$6-$G$3,22))&lt;&gt;""),Algodão!$E39:INDEX(Algodão!$E39:$Z39,MIN(AK$6-$G$3,22))),0)))))</f>
        <v>0</v>
      </c>
      <c r="AL41" s="27" t="n">
        <f aca="false">IF(COUNT(Algodão!$E39:$Z39)=0,0,MAX(0,IF((AL$6-$E$3)&lt;1,0,IFERROR(LOOKUP(2,1/(Algodão!$E39:INDEX(Algodão!$E39:$Z39,MIN(AL$6-$E$3,22))&lt;&gt;""),Algodão!$E39:INDEX(Algodão!$E39:$Z39,MIN(AL$6-$E$3,22))),0))-IF($G$2,0,IF((AL$6-$G$3)&lt;1,0,IFERROR(LOOKUP(2,1/(Algodão!$E39:INDEX(Algodão!$E39:$Z39,MIN(AL$6-$G$3,22))&lt;&gt;""),Algodão!$E39:INDEX(Algodão!$E39:$Z39,MIN(AL$6-$G$3,22))),0)))))</f>
        <v>0</v>
      </c>
      <c r="AM41" s="27" t="n">
        <f aca="false">IF(COUNT(Algodão!$E39:$Z39)=0,0,MAX(0,IF((AM$6-$E$3)&lt;1,0,IFERROR(LOOKUP(2,1/(Algodão!$E39:INDEX(Algodão!$E39:$Z39,MIN(AM$6-$E$3,22))&lt;&gt;""),Algodão!$E39:INDEX(Algodão!$E39:$Z39,MIN(AM$6-$E$3,22))),0))-IF($G$2,0,IF((AM$6-$G$3)&lt;1,0,IFERROR(LOOKUP(2,1/(Algodão!$E39:INDEX(Algodão!$E39:$Z39,MIN(AM$6-$G$3,22))&lt;&gt;""),Algodão!$E39:INDEX(Algodão!$E39:$Z39,MIN(AM$6-$G$3,22))),0)))))</f>
        <v>0</v>
      </c>
      <c r="AN41" s="27" t="n">
        <f aca="false">IF(COUNT(Algodão!$E39:$Z39)=0,0,MAX(0,IF((AN$6-$E$3)&lt;1,0,IFERROR(LOOKUP(2,1/(Algodão!$E39:INDEX(Algodão!$E39:$Z39,MIN(AN$6-$E$3,22))&lt;&gt;""),Algodão!$E39:INDEX(Algodão!$E39:$Z39,MIN(AN$6-$E$3,22))),0))-IF($G$2,0,IF((AN$6-$G$3)&lt;1,0,IFERROR(LOOKUP(2,1/(Algodão!$E39:INDEX(Algodão!$E39:$Z39,MIN(AN$6-$G$3,22))&lt;&gt;""),Algodão!$E39:INDEX(Algodão!$E39:$Z39,MIN(AN$6-$G$3,22))),0)))))</f>
        <v>0</v>
      </c>
      <c r="AO41" s="27" t="n">
        <f aca="false">IF(COUNT(Algodão!$E39:$Z39)=0,0,MAX(0,IF((AO$6-$E$3)&lt;1,0,IFERROR(LOOKUP(2,1/(Algodão!$E39:INDEX(Algodão!$E39:$Z39,MIN(AO$6-$E$3,22))&lt;&gt;""),Algodão!$E39:INDEX(Algodão!$E39:$Z39,MIN(AO$6-$E$3,22))),0))-IF($G$2,0,IF((AO$6-$G$3)&lt;1,0,IFERROR(LOOKUP(2,1/(Algodão!$E39:INDEX(Algodão!$E39:$Z39,MIN(AO$6-$G$3,22))&lt;&gt;""),Algodão!$E39:INDEX(Algodão!$E39:$Z39,MIN(AO$6-$G$3,22))),0)))))</f>
        <v>0</v>
      </c>
      <c r="AP41" s="27" t="n">
        <f aca="false">IF(COUNT(Algodão!$E39:$Z39)=0,0,MAX(0,IF((AP$6-$E$3)&lt;1,0,IFERROR(LOOKUP(2,1/(Algodão!$E39:INDEX(Algodão!$E39:$Z39,MIN(AP$6-$E$3,22))&lt;&gt;""),Algodão!$E39:INDEX(Algodão!$E39:$Z39,MIN(AP$6-$E$3,22))),0))-IF($G$2,0,IF((AP$6-$G$3)&lt;1,0,IFERROR(LOOKUP(2,1/(Algodão!$E39:INDEX(Algodão!$E39:$Z39,MIN(AP$6-$G$3,22))&lt;&gt;""),Algodão!$E39:INDEX(Algodão!$E39:$Z39,MIN(AP$6-$G$3,22))),0)))))</f>
        <v>0</v>
      </c>
      <c r="AQ41" s="27" t="n">
        <f aca="false">IF(COUNT(Algodão!$E39:$Z39)=0,0,MAX(0,IF((AQ$6-$E$3)&lt;1,0,IFERROR(LOOKUP(2,1/(Algodão!$E39:INDEX(Algodão!$E39:$Z39,MIN(AQ$6-$E$3,22))&lt;&gt;""),Algodão!$E39:INDEX(Algodão!$E39:$Z39,MIN(AQ$6-$E$3,22))),0))-IF($G$2,0,IF((AQ$6-$G$3)&lt;1,0,IFERROR(LOOKUP(2,1/(Algodão!$E39:INDEX(Algodão!$E39:$Z39,MIN(AQ$6-$G$3,22))&lt;&gt;""),Algodão!$E39:INDEX(Algodão!$E39:$Z39,MIN(AQ$6-$G$3,22))),0)))))</f>
        <v>0</v>
      </c>
      <c r="AR41" s="27" t="n">
        <f aca="false">IF(COUNT(Algodão!$E39:$Z39)=0,0,MAX(0,IF((AR$6-$E$3)&lt;1,0,IFERROR(LOOKUP(2,1/(Algodão!$E39:INDEX(Algodão!$E39:$Z39,MIN(AR$6-$E$3,22))&lt;&gt;""),Algodão!$E39:INDEX(Algodão!$E39:$Z39,MIN(AR$6-$E$3,22))),0))-IF($G$2,0,IF((AR$6-$G$3)&lt;1,0,IFERROR(LOOKUP(2,1/(Algodão!$E39:INDEX(Algodão!$E39:$Z39,MIN(AR$6-$G$3,22))&lt;&gt;""),Algodão!$E39:INDEX(Algodão!$E39:$Z39,MIN(AR$6-$G$3,22))),0)))))</f>
        <v>0</v>
      </c>
      <c r="AS41" s="27" t="n">
        <f aca="false">IF(COUNT(Algodão!$E39:$Z39)=0,0,MAX(0,IF((AS$6-$E$3)&lt;1,0,IFERROR(LOOKUP(2,1/(Algodão!$E39:INDEX(Algodão!$E39:$Z39,MIN(AS$6-$E$3,22))&lt;&gt;""),Algodão!$E39:INDEX(Algodão!$E39:$Z39,MIN(AS$6-$E$3,22))),0))-IF($G$2,0,IF((AS$6-$G$3)&lt;1,0,IFERROR(LOOKUP(2,1/(Algodão!$E39:INDEX(Algodão!$E39:$Z39,MIN(AS$6-$G$3,22))&lt;&gt;""),Algodão!$E39:INDEX(Algodão!$E39:$Z39,MIN(AS$6-$G$3,22))),0)))))</f>
        <v>0</v>
      </c>
      <c r="AT41" s="27" t="n">
        <f aca="false">IF(COUNT(Algodão!$E39:$Z39)=0,0,MAX(0,IF((AT$6-$E$3)&lt;1,0,IFERROR(LOOKUP(2,1/(Algodão!$E39:INDEX(Algodão!$E39:$Z39,MIN(AT$6-$E$3,22))&lt;&gt;""),Algodão!$E39:INDEX(Algodão!$E39:$Z39,MIN(AT$6-$E$3,22))),0))-IF($G$2,0,IF((AT$6-$G$3)&lt;1,0,IFERROR(LOOKUP(2,1/(Algodão!$E39:INDEX(Algodão!$E39:$Z39,MIN(AT$6-$G$3,22))&lt;&gt;""),Algodão!$E39:INDEX(Algodão!$E39:$Z39,MIN(AT$6-$G$3,22))),0)))))</f>
        <v>0</v>
      </c>
      <c r="AU41" s="27" t="n">
        <f aca="false">IF(COUNT(Algodão!$E39:$Z39)=0,0,MAX(0,IF((AU$6-$E$3)&lt;1,0,IFERROR(LOOKUP(2,1/(Algodão!$E39:INDEX(Algodão!$E39:$Z39,MIN(AU$6-$E$3,22))&lt;&gt;""),Algodão!$E39:INDEX(Algodão!$E39:$Z39,MIN(AU$6-$E$3,22))),0))-IF($G$2,0,IF((AU$6-$G$3)&lt;1,0,IFERROR(LOOKUP(2,1/(Algodão!$E39:INDEX(Algodão!$E39:$Z39,MIN(AU$6-$G$3,22))&lt;&gt;""),Algodão!$E39:INDEX(Algodão!$E39:$Z39,MIN(AU$6-$G$3,22))),0)))))</f>
        <v>0</v>
      </c>
      <c r="AV41" s="27" t="n">
        <f aca="false">IF(COUNT(Algodão!$E39:$Z39)=0,0,MAX(0,IF((AV$6-$E$3)&lt;1,0,IFERROR(LOOKUP(2,1/(Algodão!$E39:INDEX(Algodão!$E39:$Z39,MIN(AV$6-$E$3,22))&lt;&gt;""),Algodão!$E39:INDEX(Algodão!$E39:$Z39,MIN(AV$6-$E$3,22))),0))-IF($G$2,0,IF((AV$6-$G$3)&lt;1,0,IFERROR(LOOKUP(2,1/(Algodão!$E39:INDEX(Algodão!$E39:$Z39,MIN(AV$6-$G$3,22))&lt;&gt;""),Algodão!$E39:INDEX(Algodão!$E39:$Z39,MIN(AV$6-$G$3,22))),0)))))</f>
        <v>0</v>
      </c>
      <c r="AW41" s="27" t="n">
        <f aca="false">IF(COUNT(Algodão!$E39:$Z39)=0,0,MAX(0,IF((AW$6-$E$3)&lt;1,0,IFERROR(LOOKUP(2,1/(Algodão!$E39:INDEX(Algodão!$E39:$Z39,MIN(AW$6-$E$3,22))&lt;&gt;""),Algodão!$E39:INDEX(Algodão!$E39:$Z39,MIN(AW$6-$E$3,22))),0))-IF($G$2,0,IF((AW$6-$G$3)&lt;1,0,IFERROR(LOOKUP(2,1/(Algodão!$E39:INDEX(Algodão!$E39:$Z39,MIN(AW$6-$G$3,22))&lt;&gt;""),Algodão!$E39:INDEX(Algodão!$E39:$Z39,MIN(AW$6-$G$3,22))),0)))))</f>
        <v>0</v>
      </c>
      <c r="AX41" s="27" t="n">
        <f aca="false">IF(COUNT(Algodão!$E39:$Z39)=0,0,MAX(0,IF((AX$6-$E$3)&lt;1,0,IFERROR(LOOKUP(2,1/(Algodão!$E39:INDEX(Algodão!$E39:$Z39,MIN(AX$6-$E$3,22))&lt;&gt;""),Algodão!$E39:INDEX(Algodão!$E39:$Z39,MIN(AX$6-$E$3,22))),0))-IF($G$2,0,IF((AX$6-$G$3)&lt;1,0,IFERROR(LOOKUP(2,1/(Algodão!$E39:INDEX(Algodão!$E39:$Z39,MIN(AX$6-$G$3,22))&lt;&gt;""),Algodão!$E39:INDEX(Algodão!$E39:$Z39,MIN(AX$6-$G$3,22))),0)))))</f>
        <v>0</v>
      </c>
      <c r="AY41" s="27" t="n">
        <f aca="false">IF(COUNT(Algodão!$E39:$Z39)=0,0,MAX(0,IF((AY$6-$E$3)&lt;1,0,IFERROR(LOOKUP(2,1/(Algodão!$E39:INDEX(Algodão!$E39:$Z39,MIN(AY$6-$E$3,22))&lt;&gt;""),Algodão!$E39:INDEX(Algodão!$E39:$Z39,MIN(AY$6-$E$3,22))),0))-IF($G$2,0,IF((AY$6-$G$3)&lt;1,0,IFERROR(LOOKUP(2,1/(Algodão!$E39:INDEX(Algodão!$E39:$Z39,MIN(AY$6-$G$3,22))&lt;&gt;""),Algodão!$E39:INDEX(Algodão!$E39:$Z39,MIN(AY$6-$G$3,22))),0)))))</f>
        <v>0</v>
      </c>
      <c r="AZ41" s="27" t="n">
        <f aca="false">IF(COUNT(Algodão!$E39:$Z39)=0,0,MAX(0,IF((AZ$6-$E$3)&lt;1,0,IFERROR(LOOKUP(2,1/(Algodão!$E39:INDEX(Algodão!$E39:$Z39,MIN(AZ$6-$E$3,22))&lt;&gt;""),Algodão!$E39:INDEX(Algodão!$E39:$Z39,MIN(AZ$6-$E$3,22))),0))-IF($G$2,0,IF((AZ$6-$G$3)&lt;1,0,IFERROR(LOOKUP(2,1/(Algodão!$E39:INDEX(Algodão!$E39:$Z39,MIN(AZ$6-$G$3,22))&lt;&gt;""),Algodão!$E39:INDEX(Algodão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IF(COUNT(Algodão!$E40:$Z40)&gt;0,N(Algodão!$D40),0)</f>
        <v>0</v>
      </c>
      <c r="E42" s="27" t="n">
        <f aca="false">IF(COUNT(Algodão!$E40:$Z40)=0,0,MAX(0,IF((E$6-$E$3)&lt;1,0,IFERROR(LOOKUP(2,1/(Algodão!$E40:INDEX(Algodão!$E40:$Z40,MIN(E$6-$E$3,22))&lt;&gt;""),Algodão!$E40:INDEX(Algodão!$E40:$Z40,MIN(E$6-$E$3,22))),0))-IF($G$2,0,IF((E$6-$G$3)&lt;1,0,IFERROR(LOOKUP(2,1/(Algodão!$E40:INDEX(Algodão!$E40:$Z40,MIN(E$6-$G$3,22))&lt;&gt;""),Algodão!$E40:INDEX(Algodão!$E40:$Z40,MIN(E$6-$G$3,22))),0)))))</f>
        <v>0</v>
      </c>
      <c r="F42" s="27" t="n">
        <f aca="false">IF(COUNT(Algodão!$E40:$Z40)=0,0,MAX(0,IF((F$6-$E$3)&lt;1,0,IFERROR(LOOKUP(2,1/(Algodão!$E40:INDEX(Algodão!$E40:$Z40,MIN(F$6-$E$3,22))&lt;&gt;""),Algodão!$E40:INDEX(Algodão!$E40:$Z40,MIN(F$6-$E$3,22))),0))-IF($G$2,0,IF((F$6-$G$3)&lt;1,0,IFERROR(LOOKUP(2,1/(Algodão!$E40:INDEX(Algodão!$E40:$Z40,MIN(F$6-$G$3,22))&lt;&gt;""),Algodão!$E40:INDEX(Algodão!$E40:$Z40,MIN(F$6-$G$3,22))),0)))))</f>
        <v>0</v>
      </c>
      <c r="G42" s="27" t="n">
        <f aca="false">IF(COUNT(Algodão!$E40:$Z40)=0,0,MAX(0,IF((G$6-$E$3)&lt;1,0,IFERROR(LOOKUP(2,1/(Algodão!$E40:INDEX(Algodão!$E40:$Z40,MIN(G$6-$E$3,22))&lt;&gt;""),Algodão!$E40:INDEX(Algodão!$E40:$Z40,MIN(G$6-$E$3,22))),0))-IF($G$2,0,IF((G$6-$G$3)&lt;1,0,IFERROR(LOOKUP(2,1/(Algodão!$E40:INDEX(Algodão!$E40:$Z40,MIN(G$6-$G$3,22))&lt;&gt;""),Algodão!$E40:INDEX(Algodão!$E40:$Z40,MIN(G$6-$G$3,22))),0)))))</f>
        <v>0</v>
      </c>
      <c r="H42" s="27" t="n">
        <f aca="false">IF(COUNT(Algodão!$E40:$Z40)=0,0,MAX(0,IF((H$6-$E$3)&lt;1,0,IFERROR(LOOKUP(2,1/(Algodão!$E40:INDEX(Algodão!$E40:$Z40,MIN(H$6-$E$3,22))&lt;&gt;""),Algodão!$E40:INDEX(Algodão!$E40:$Z40,MIN(H$6-$E$3,22))),0))-IF($G$2,0,IF((H$6-$G$3)&lt;1,0,IFERROR(LOOKUP(2,1/(Algodão!$E40:INDEX(Algodão!$E40:$Z40,MIN(H$6-$G$3,22))&lt;&gt;""),Algodão!$E40:INDEX(Algodão!$E40:$Z40,MIN(H$6-$G$3,22))),0)))))</f>
        <v>0</v>
      </c>
      <c r="I42" s="27" t="n">
        <f aca="false">IF(COUNT(Algodão!$E40:$Z40)=0,0,MAX(0,IF((I$6-$E$3)&lt;1,0,IFERROR(LOOKUP(2,1/(Algodão!$E40:INDEX(Algodão!$E40:$Z40,MIN(I$6-$E$3,22))&lt;&gt;""),Algodão!$E40:INDEX(Algodão!$E40:$Z40,MIN(I$6-$E$3,22))),0))-IF($G$2,0,IF((I$6-$G$3)&lt;1,0,IFERROR(LOOKUP(2,1/(Algodão!$E40:INDEX(Algodão!$E40:$Z40,MIN(I$6-$G$3,22))&lt;&gt;""),Algodão!$E40:INDEX(Algodão!$E40:$Z40,MIN(I$6-$G$3,22))),0)))))</f>
        <v>0</v>
      </c>
      <c r="J42" s="27" t="n">
        <f aca="false">IF(COUNT(Algodão!$E40:$Z40)=0,0,MAX(0,IF((J$6-$E$3)&lt;1,0,IFERROR(LOOKUP(2,1/(Algodão!$E40:INDEX(Algodão!$E40:$Z40,MIN(J$6-$E$3,22))&lt;&gt;""),Algodão!$E40:INDEX(Algodão!$E40:$Z40,MIN(J$6-$E$3,22))),0))-IF($G$2,0,IF((J$6-$G$3)&lt;1,0,IFERROR(LOOKUP(2,1/(Algodão!$E40:INDEX(Algodão!$E40:$Z40,MIN(J$6-$G$3,22))&lt;&gt;""),Algodão!$E40:INDEX(Algodão!$E40:$Z40,MIN(J$6-$G$3,22))),0)))))</f>
        <v>0</v>
      </c>
      <c r="K42" s="27" t="n">
        <f aca="false">IF(COUNT(Algodão!$E40:$Z40)=0,0,MAX(0,IF((K$6-$E$3)&lt;1,0,IFERROR(LOOKUP(2,1/(Algodão!$E40:INDEX(Algodão!$E40:$Z40,MIN(K$6-$E$3,22))&lt;&gt;""),Algodão!$E40:INDEX(Algodão!$E40:$Z40,MIN(K$6-$E$3,22))),0))-IF($G$2,0,IF((K$6-$G$3)&lt;1,0,IFERROR(LOOKUP(2,1/(Algodão!$E40:INDEX(Algodão!$E40:$Z40,MIN(K$6-$G$3,22))&lt;&gt;""),Algodão!$E40:INDEX(Algodão!$E40:$Z40,MIN(K$6-$G$3,22))),0)))))</f>
        <v>0</v>
      </c>
      <c r="L42" s="27" t="n">
        <f aca="false">IF(COUNT(Algodão!$E40:$Z40)=0,0,MAX(0,IF((L$6-$E$3)&lt;1,0,IFERROR(LOOKUP(2,1/(Algodão!$E40:INDEX(Algodão!$E40:$Z40,MIN(L$6-$E$3,22))&lt;&gt;""),Algodão!$E40:INDEX(Algodão!$E40:$Z40,MIN(L$6-$E$3,22))),0))-IF($G$2,0,IF((L$6-$G$3)&lt;1,0,IFERROR(LOOKUP(2,1/(Algodão!$E40:INDEX(Algodão!$E40:$Z40,MIN(L$6-$G$3,22))&lt;&gt;""),Algodão!$E40:INDEX(Algodão!$E40:$Z40,MIN(L$6-$G$3,22))),0)))))</f>
        <v>0</v>
      </c>
      <c r="M42" s="27" t="n">
        <f aca="false">IF(COUNT(Algodão!$E40:$Z40)=0,0,MAX(0,IF((M$6-$E$3)&lt;1,0,IFERROR(LOOKUP(2,1/(Algodão!$E40:INDEX(Algodão!$E40:$Z40,MIN(M$6-$E$3,22))&lt;&gt;""),Algodão!$E40:INDEX(Algodão!$E40:$Z40,MIN(M$6-$E$3,22))),0))-IF($G$2,0,IF((M$6-$G$3)&lt;1,0,IFERROR(LOOKUP(2,1/(Algodão!$E40:INDEX(Algodão!$E40:$Z40,MIN(M$6-$G$3,22))&lt;&gt;""),Algodão!$E40:INDEX(Algodão!$E40:$Z40,MIN(M$6-$G$3,22))),0)))))</f>
        <v>0</v>
      </c>
      <c r="N42" s="27" t="n">
        <f aca="false">IF(COUNT(Algodão!$E40:$Z40)=0,0,MAX(0,IF((N$6-$E$3)&lt;1,0,IFERROR(LOOKUP(2,1/(Algodão!$E40:INDEX(Algodão!$E40:$Z40,MIN(N$6-$E$3,22))&lt;&gt;""),Algodão!$E40:INDEX(Algodão!$E40:$Z40,MIN(N$6-$E$3,22))),0))-IF($G$2,0,IF((N$6-$G$3)&lt;1,0,IFERROR(LOOKUP(2,1/(Algodão!$E40:INDEX(Algodão!$E40:$Z40,MIN(N$6-$G$3,22))&lt;&gt;""),Algodão!$E40:INDEX(Algodão!$E40:$Z40,MIN(N$6-$G$3,22))),0)))))</f>
        <v>0</v>
      </c>
      <c r="O42" s="27" t="n">
        <f aca="false">IF(COUNT(Algodão!$E40:$Z40)=0,0,MAX(0,IF((O$6-$E$3)&lt;1,0,IFERROR(LOOKUP(2,1/(Algodão!$E40:INDEX(Algodão!$E40:$Z40,MIN(O$6-$E$3,22))&lt;&gt;""),Algodão!$E40:INDEX(Algodão!$E40:$Z40,MIN(O$6-$E$3,22))),0))-IF($G$2,0,IF((O$6-$G$3)&lt;1,0,IFERROR(LOOKUP(2,1/(Algodão!$E40:INDEX(Algodão!$E40:$Z40,MIN(O$6-$G$3,22))&lt;&gt;""),Algodão!$E40:INDEX(Algodão!$E40:$Z40,MIN(O$6-$G$3,22))),0)))))</f>
        <v>0</v>
      </c>
      <c r="P42" s="27" t="n">
        <f aca="false">IF(COUNT(Algodão!$E40:$Z40)=0,0,MAX(0,IF((P$6-$E$3)&lt;1,0,IFERROR(LOOKUP(2,1/(Algodão!$E40:INDEX(Algodão!$E40:$Z40,MIN(P$6-$E$3,22))&lt;&gt;""),Algodão!$E40:INDEX(Algodão!$E40:$Z40,MIN(P$6-$E$3,22))),0))-IF($G$2,0,IF((P$6-$G$3)&lt;1,0,IFERROR(LOOKUP(2,1/(Algodão!$E40:INDEX(Algodão!$E40:$Z40,MIN(P$6-$G$3,22))&lt;&gt;""),Algodão!$E40:INDEX(Algodão!$E40:$Z40,MIN(P$6-$G$3,22))),0)))))</f>
        <v>0</v>
      </c>
      <c r="Q42" s="27" t="n">
        <f aca="false">IF(COUNT(Algodão!$E40:$Z40)=0,0,MAX(0,IF((Q$6-$E$3)&lt;1,0,IFERROR(LOOKUP(2,1/(Algodão!$E40:INDEX(Algodão!$E40:$Z40,MIN(Q$6-$E$3,22))&lt;&gt;""),Algodão!$E40:INDEX(Algodão!$E40:$Z40,MIN(Q$6-$E$3,22))),0))-IF($G$2,0,IF((Q$6-$G$3)&lt;1,0,IFERROR(LOOKUP(2,1/(Algodão!$E40:INDEX(Algodão!$E40:$Z40,MIN(Q$6-$G$3,22))&lt;&gt;""),Algodão!$E40:INDEX(Algodão!$E40:$Z40,MIN(Q$6-$G$3,22))),0)))))</f>
        <v>0</v>
      </c>
      <c r="R42" s="27" t="n">
        <f aca="false">IF(COUNT(Algodão!$E40:$Z40)=0,0,MAX(0,IF((R$6-$E$3)&lt;1,0,IFERROR(LOOKUP(2,1/(Algodão!$E40:INDEX(Algodão!$E40:$Z40,MIN(R$6-$E$3,22))&lt;&gt;""),Algodão!$E40:INDEX(Algodão!$E40:$Z40,MIN(R$6-$E$3,22))),0))-IF($G$2,0,IF((R$6-$G$3)&lt;1,0,IFERROR(LOOKUP(2,1/(Algodão!$E40:INDEX(Algodão!$E40:$Z40,MIN(R$6-$G$3,22))&lt;&gt;""),Algodão!$E40:INDEX(Algodão!$E40:$Z40,MIN(R$6-$G$3,22))),0)))))</f>
        <v>0</v>
      </c>
      <c r="S42" s="27" t="n">
        <f aca="false">IF(COUNT(Algodão!$E40:$Z40)=0,0,MAX(0,IF((S$6-$E$3)&lt;1,0,IFERROR(LOOKUP(2,1/(Algodão!$E40:INDEX(Algodão!$E40:$Z40,MIN(S$6-$E$3,22))&lt;&gt;""),Algodão!$E40:INDEX(Algodão!$E40:$Z40,MIN(S$6-$E$3,22))),0))-IF($G$2,0,IF((S$6-$G$3)&lt;1,0,IFERROR(LOOKUP(2,1/(Algodão!$E40:INDEX(Algodão!$E40:$Z40,MIN(S$6-$G$3,22))&lt;&gt;""),Algodão!$E40:INDEX(Algodão!$E40:$Z40,MIN(S$6-$G$3,22))),0)))))</f>
        <v>0</v>
      </c>
      <c r="T42" s="27" t="n">
        <f aca="false">IF(COUNT(Algodão!$E40:$Z40)=0,0,MAX(0,IF((T$6-$E$3)&lt;1,0,IFERROR(LOOKUP(2,1/(Algodão!$E40:INDEX(Algodão!$E40:$Z40,MIN(T$6-$E$3,22))&lt;&gt;""),Algodão!$E40:INDEX(Algodão!$E40:$Z40,MIN(T$6-$E$3,22))),0))-IF($G$2,0,IF((T$6-$G$3)&lt;1,0,IFERROR(LOOKUP(2,1/(Algodão!$E40:INDEX(Algodão!$E40:$Z40,MIN(T$6-$G$3,22))&lt;&gt;""),Algodão!$E40:INDEX(Algodão!$E40:$Z40,MIN(T$6-$G$3,22))),0)))))</f>
        <v>0</v>
      </c>
      <c r="U42" s="27" t="n">
        <f aca="false">IF(COUNT(Algodão!$E40:$Z40)=0,0,MAX(0,IF((U$6-$E$3)&lt;1,0,IFERROR(LOOKUP(2,1/(Algodão!$E40:INDEX(Algodão!$E40:$Z40,MIN(U$6-$E$3,22))&lt;&gt;""),Algodão!$E40:INDEX(Algodão!$E40:$Z40,MIN(U$6-$E$3,22))),0))-IF($G$2,0,IF((U$6-$G$3)&lt;1,0,IFERROR(LOOKUP(2,1/(Algodão!$E40:INDEX(Algodão!$E40:$Z40,MIN(U$6-$G$3,22))&lt;&gt;""),Algodão!$E40:INDEX(Algodão!$E40:$Z40,MIN(U$6-$G$3,22))),0)))))</f>
        <v>0</v>
      </c>
      <c r="V42" s="27" t="n">
        <f aca="false">IF(COUNT(Algodão!$E40:$Z40)=0,0,MAX(0,IF((V$6-$E$3)&lt;1,0,IFERROR(LOOKUP(2,1/(Algodão!$E40:INDEX(Algodão!$E40:$Z40,MIN(V$6-$E$3,22))&lt;&gt;""),Algodão!$E40:INDEX(Algodão!$E40:$Z40,MIN(V$6-$E$3,22))),0))-IF($G$2,0,IF((V$6-$G$3)&lt;1,0,IFERROR(LOOKUP(2,1/(Algodão!$E40:INDEX(Algodão!$E40:$Z40,MIN(V$6-$G$3,22))&lt;&gt;""),Algodão!$E40:INDEX(Algodão!$E40:$Z40,MIN(V$6-$G$3,22))),0)))))</f>
        <v>0</v>
      </c>
      <c r="W42" s="27" t="n">
        <f aca="false">IF(COUNT(Algodão!$E40:$Z40)=0,0,MAX(0,IF((W$6-$E$3)&lt;1,0,IFERROR(LOOKUP(2,1/(Algodão!$E40:INDEX(Algodão!$E40:$Z40,MIN(W$6-$E$3,22))&lt;&gt;""),Algodão!$E40:INDEX(Algodão!$E40:$Z40,MIN(W$6-$E$3,22))),0))-IF($G$2,0,IF((W$6-$G$3)&lt;1,0,IFERROR(LOOKUP(2,1/(Algodão!$E40:INDEX(Algodão!$E40:$Z40,MIN(W$6-$G$3,22))&lt;&gt;""),Algodão!$E40:INDEX(Algodão!$E40:$Z40,MIN(W$6-$G$3,22))),0)))))</f>
        <v>0</v>
      </c>
      <c r="X42" s="27" t="n">
        <f aca="false">IF(COUNT(Algodão!$E40:$Z40)=0,0,MAX(0,IF((X$6-$E$3)&lt;1,0,IFERROR(LOOKUP(2,1/(Algodão!$E40:INDEX(Algodão!$E40:$Z40,MIN(X$6-$E$3,22))&lt;&gt;""),Algodão!$E40:INDEX(Algodão!$E40:$Z40,MIN(X$6-$E$3,22))),0))-IF($G$2,0,IF((X$6-$G$3)&lt;1,0,IFERROR(LOOKUP(2,1/(Algodão!$E40:INDEX(Algodão!$E40:$Z40,MIN(X$6-$G$3,22))&lt;&gt;""),Algodão!$E40:INDEX(Algodão!$E40:$Z40,MIN(X$6-$G$3,22))),0)))))</f>
        <v>0</v>
      </c>
      <c r="Y42" s="27" t="n">
        <f aca="false">IF(COUNT(Algodão!$E40:$Z40)=0,0,MAX(0,IF((Y$6-$E$3)&lt;1,0,IFERROR(LOOKUP(2,1/(Algodão!$E40:INDEX(Algodão!$E40:$Z40,MIN(Y$6-$E$3,22))&lt;&gt;""),Algodão!$E40:INDEX(Algodão!$E40:$Z40,MIN(Y$6-$E$3,22))),0))-IF($G$2,0,IF((Y$6-$G$3)&lt;1,0,IFERROR(LOOKUP(2,1/(Algodão!$E40:INDEX(Algodão!$E40:$Z40,MIN(Y$6-$G$3,22))&lt;&gt;""),Algodão!$E40:INDEX(Algodão!$E40:$Z40,MIN(Y$6-$G$3,22))),0)))))</f>
        <v>0</v>
      </c>
      <c r="Z42" s="27" t="n">
        <f aca="false">IF(COUNT(Algodão!$E40:$Z40)=0,0,MAX(0,IF((Z$6-$E$3)&lt;1,0,IFERROR(LOOKUP(2,1/(Algodão!$E40:INDEX(Algodão!$E40:$Z40,MIN(Z$6-$E$3,22))&lt;&gt;""),Algodão!$E40:INDEX(Algodão!$E40:$Z40,MIN(Z$6-$E$3,22))),0))-IF($G$2,0,IF((Z$6-$G$3)&lt;1,0,IFERROR(LOOKUP(2,1/(Algodão!$E40:INDEX(Algodão!$E40:$Z40,MIN(Z$6-$G$3,22))&lt;&gt;""),Algodão!$E40:INDEX(Algodão!$E40:$Z40,MIN(Z$6-$G$3,22))),0)))))</f>
        <v>0</v>
      </c>
      <c r="AA42" s="27" t="n">
        <f aca="false">IF(COUNT(Algodão!$E40:$Z40)=0,0,MAX(0,IF((AA$6-$E$3)&lt;1,0,IFERROR(LOOKUP(2,1/(Algodão!$E40:INDEX(Algodão!$E40:$Z40,MIN(AA$6-$E$3,22))&lt;&gt;""),Algodão!$E40:INDEX(Algodão!$E40:$Z40,MIN(AA$6-$E$3,22))),0))-IF($G$2,0,IF((AA$6-$G$3)&lt;1,0,IFERROR(LOOKUP(2,1/(Algodão!$E40:INDEX(Algodão!$E40:$Z40,MIN(AA$6-$G$3,22))&lt;&gt;""),Algodão!$E40:INDEX(Algodão!$E40:$Z40,MIN(AA$6-$G$3,22))),0)))))</f>
        <v>0</v>
      </c>
      <c r="AB42" s="27" t="n">
        <f aca="false">IF(COUNT(Algodão!$E40:$Z40)=0,0,MAX(0,IF((AB$6-$E$3)&lt;1,0,IFERROR(LOOKUP(2,1/(Algodão!$E40:INDEX(Algodão!$E40:$Z40,MIN(AB$6-$E$3,22))&lt;&gt;""),Algodão!$E40:INDEX(Algodão!$E40:$Z40,MIN(AB$6-$E$3,22))),0))-IF($G$2,0,IF((AB$6-$G$3)&lt;1,0,IFERROR(LOOKUP(2,1/(Algodão!$E40:INDEX(Algodão!$E40:$Z40,MIN(AB$6-$G$3,22))&lt;&gt;""),Algodão!$E40:INDEX(Algodão!$E40:$Z40,MIN(AB$6-$G$3,22))),0)))))</f>
        <v>0</v>
      </c>
      <c r="AC42" s="27" t="n">
        <f aca="false">IF(COUNT(Algodão!$E40:$Z40)=0,0,MAX(0,IF((AC$6-$E$3)&lt;1,0,IFERROR(LOOKUP(2,1/(Algodão!$E40:INDEX(Algodão!$E40:$Z40,MIN(AC$6-$E$3,22))&lt;&gt;""),Algodão!$E40:INDEX(Algodão!$E40:$Z40,MIN(AC$6-$E$3,22))),0))-IF($G$2,0,IF((AC$6-$G$3)&lt;1,0,IFERROR(LOOKUP(2,1/(Algodão!$E40:INDEX(Algodão!$E40:$Z40,MIN(AC$6-$G$3,22))&lt;&gt;""),Algodão!$E40:INDEX(Algodão!$E40:$Z40,MIN(AC$6-$G$3,22))),0)))))</f>
        <v>0</v>
      </c>
      <c r="AD42" s="27" t="n">
        <f aca="false">IF(COUNT(Algodão!$E40:$Z40)=0,0,MAX(0,IF((AD$6-$E$3)&lt;1,0,IFERROR(LOOKUP(2,1/(Algodão!$E40:INDEX(Algodão!$E40:$Z40,MIN(AD$6-$E$3,22))&lt;&gt;""),Algodão!$E40:INDEX(Algodão!$E40:$Z40,MIN(AD$6-$E$3,22))),0))-IF($G$2,0,IF((AD$6-$G$3)&lt;1,0,IFERROR(LOOKUP(2,1/(Algodão!$E40:INDEX(Algodão!$E40:$Z40,MIN(AD$6-$G$3,22))&lt;&gt;""),Algodão!$E40:INDEX(Algodão!$E40:$Z40,MIN(AD$6-$G$3,22))),0)))))</f>
        <v>0</v>
      </c>
      <c r="AE42" s="27" t="n">
        <f aca="false">IF(COUNT(Algodão!$E40:$Z40)=0,0,MAX(0,IF((AE$6-$E$3)&lt;1,0,IFERROR(LOOKUP(2,1/(Algodão!$E40:INDEX(Algodão!$E40:$Z40,MIN(AE$6-$E$3,22))&lt;&gt;""),Algodão!$E40:INDEX(Algodão!$E40:$Z40,MIN(AE$6-$E$3,22))),0))-IF($G$2,0,IF((AE$6-$G$3)&lt;1,0,IFERROR(LOOKUP(2,1/(Algodão!$E40:INDEX(Algodão!$E40:$Z40,MIN(AE$6-$G$3,22))&lt;&gt;""),Algodão!$E40:INDEX(Algodão!$E40:$Z40,MIN(AE$6-$G$3,22))),0)))))</f>
        <v>0</v>
      </c>
      <c r="AF42" s="27" t="n">
        <f aca="false">IF(COUNT(Algodão!$E40:$Z40)=0,0,MAX(0,IF((AF$6-$E$3)&lt;1,0,IFERROR(LOOKUP(2,1/(Algodão!$E40:INDEX(Algodão!$E40:$Z40,MIN(AF$6-$E$3,22))&lt;&gt;""),Algodão!$E40:INDEX(Algodão!$E40:$Z40,MIN(AF$6-$E$3,22))),0))-IF($G$2,0,IF((AF$6-$G$3)&lt;1,0,IFERROR(LOOKUP(2,1/(Algodão!$E40:INDEX(Algodão!$E40:$Z40,MIN(AF$6-$G$3,22))&lt;&gt;""),Algodão!$E40:INDEX(Algodão!$E40:$Z40,MIN(AF$6-$G$3,22))),0)))))</f>
        <v>0</v>
      </c>
      <c r="AG42" s="27" t="n">
        <f aca="false">IF(COUNT(Algodão!$E40:$Z40)=0,0,MAX(0,IF((AG$6-$E$3)&lt;1,0,IFERROR(LOOKUP(2,1/(Algodão!$E40:INDEX(Algodão!$E40:$Z40,MIN(AG$6-$E$3,22))&lt;&gt;""),Algodão!$E40:INDEX(Algodão!$E40:$Z40,MIN(AG$6-$E$3,22))),0))-IF($G$2,0,IF((AG$6-$G$3)&lt;1,0,IFERROR(LOOKUP(2,1/(Algodão!$E40:INDEX(Algodão!$E40:$Z40,MIN(AG$6-$G$3,22))&lt;&gt;""),Algodão!$E40:INDEX(Algodão!$E40:$Z40,MIN(AG$6-$G$3,22))),0)))))</f>
        <v>0</v>
      </c>
      <c r="AH42" s="27" t="n">
        <f aca="false">IF(COUNT(Algodão!$E40:$Z40)=0,0,MAX(0,IF((AH$6-$E$3)&lt;1,0,IFERROR(LOOKUP(2,1/(Algodão!$E40:INDEX(Algodão!$E40:$Z40,MIN(AH$6-$E$3,22))&lt;&gt;""),Algodão!$E40:INDEX(Algodão!$E40:$Z40,MIN(AH$6-$E$3,22))),0))-IF($G$2,0,IF((AH$6-$G$3)&lt;1,0,IFERROR(LOOKUP(2,1/(Algodão!$E40:INDEX(Algodão!$E40:$Z40,MIN(AH$6-$G$3,22))&lt;&gt;""),Algodão!$E40:INDEX(Algodão!$E40:$Z40,MIN(AH$6-$G$3,22))),0)))))</f>
        <v>0</v>
      </c>
      <c r="AI42" s="27" t="n">
        <f aca="false">IF(COUNT(Algodão!$E40:$Z40)=0,0,MAX(0,IF((AI$6-$E$3)&lt;1,0,IFERROR(LOOKUP(2,1/(Algodão!$E40:INDEX(Algodão!$E40:$Z40,MIN(AI$6-$E$3,22))&lt;&gt;""),Algodão!$E40:INDEX(Algodão!$E40:$Z40,MIN(AI$6-$E$3,22))),0))-IF($G$2,0,IF((AI$6-$G$3)&lt;1,0,IFERROR(LOOKUP(2,1/(Algodão!$E40:INDEX(Algodão!$E40:$Z40,MIN(AI$6-$G$3,22))&lt;&gt;""),Algodão!$E40:INDEX(Algodão!$E40:$Z40,MIN(AI$6-$G$3,22))),0)))))</f>
        <v>0</v>
      </c>
      <c r="AJ42" s="27" t="n">
        <f aca="false">IF(COUNT(Algodão!$E40:$Z40)=0,0,MAX(0,IF((AJ$6-$E$3)&lt;1,0,IFERROR(LOOKUP(2,1/(Algodão!$E40:INDEX(Algodão!$E40:$Z40,MIN(AJ$6-$E$3,22))&lt;&gt;""),Algodão!$E40:INDEX(Algodão!$E40:$Z40,MIN(AJ$6-$E$3,22))),0))-IF($G$2,0,IF((AJ$6-$G$3)&lt;1,0,IFERROR(LOOKUP(2,1/(Algodão!$E40:INDEX(Algodão!$E40:$Z40,MIN(AJ$6-$G$3,22))&lt;&gt;""),Algodão!$E40:INDEX(Algodão!$E40:$Z40,MIN(AJ$6-$G$3,22))),0)))))</f>
        <v>0</v>
      </c>
      <c r="AK42" s="27" t="n">
        <f aca="false">IF(COUNT(Algodão!$E40:$Z40)=0,0,MAX(0,IF((AK$6-$E$3)&lt;1,0,IFERROR(LOOKUP(2,1/(Algodão!$E40:INDEX(Algodão!$E40:$Z40,MIN(AK$6-$E$3,22))&lt;&gt;""),Algodão!$E40:INDEX(Algodão!$E40:$Z40,MIN(AK$6-$E$3,22))),0))-IF($G$2,0,IF((AK$6-$G$3)&lt;1,0,IFERROR(LOOKUP(2,1/(Algodão!$E40:INDEX(Algodão!$E40:$Z40,MIN(AK$6-$G$3,22))&lt;&gt;""),Algodão!$E40:INDEX(Algodão!$E40:$Z40,MIN(AK$6-$G$3,22))),0)))))</f>
        <v>0</v>
      </c>
      <c r="AL42" s="27" t="n">
        <f aca="false">IF(COUNT(Algodão!$E40:$Z40)=0,0,MAX(0,IF((AL$6-$E$3)&lt;1,0,IFERROR(LOOKUP(2,1/(Algodão!$E40:INDEX(Algodão!$E40:$Z40,MIN(AL$6-$E$3,22))&lt;&gt;""),Algodão!$E40:INDEX(Algodão!$E40:$Z40,MIN(AL$6-$E$3,22))),0))-IF($G$2,0,IF((AL$6-$G$3)&lt;1,0,IFERROR(LOOKUP(2,1/(Algodão!$E40:INDEX(Algodão!$E40:$Z40,MIN(AL$6-$G$3,22))&lt;&gt;""),Algodão!$E40:INDEX(Algodão!$E40:$Z40,MIN(AL$6-$G$3,22))),0)))))</f>
        <v>0</v>
      </c>
      <c r="AM42" s="27" t="n">
        <f aca="false">IF(COUNT(Algodão!$E40:$Z40)=0,0,MAX(0,IF((AM$6-$E$3)&lt;1,0,IFERROR(LOOKUP(2,1/(Algodão!$E40:INDEX(Algodão!$E40:$Z40,MIN(AM$6-$E$3,22))&lt;&gt;""),Algodão!$E40:INDEX(Algodão!$E40:$Z40,MIN(AM$6-$E$3,22))),0))-IF($G$2,0,IF((AM$6-$G$3)&lt;1,0,IFERROR(LOOKUP(2,1/(Algodão!$E40:INDEX(Algodão!$E40:$Z40,MIN(AM$6-$G$3,22))&lt;&gt;""),Algodão!$E40:INDEX(Algodão!$E40:$Z40,MIN(AM$6-$G$3,22))),0)))))</f>
        <v>0</v>
      </c>
      <c r="AN42" s="27" t="n">
        <f aca="false">IF(COUNT(Algodão!$E40:$Z40)=0,0,MAX(0,IF((AN$6-$E$3)&lt;1,0,IFERROR(LOOKUP(2,1/(Algodão!$E40:INDEX(Algodão!$E40:$Z40,MIN(AN$6-$E$3,22))&lt;&gt;""),Algodão!$E40:INDEX(Algodão!$E40:$Z40,MIN(AN$6-$E$3,22))),0))-IF($G$2,0,IF((AN$6-$G$3)&lt;1,0,IFERROR(LOOKUP(2,1/(Algodão!$E40:INDEX(Algodão!$E40:$Z40,MIN(AN$6-$G$3,22))&lt;&gt;""),Algodão!$E40:INDEX(Algodão!$E40:$Z40,MIN(AN$6-$G$3,22))),0)))))</f>
        <v>0</v>
      </c>
      <c r="AO42" s="27" t="n">
        <f aca="false">IF(COUNT(Algodão!$E40:$Z40)=0,0,MAX(0,IF((AO$6-$E$3)&lt;1,0,IFERROR(LOOKUP(2,1/(Algodão!$E40:INDEX(Algodão!$E40:$Z40,MIN(AO$6-$E$3,22))&lt;&gt;""),Algodão!$E40:INDEX(Algodão!$E40:$Z40,MIN(AO$6-$E$3,22))),0))-IF($G$2,0,IF((AO$6-$G$3)&lt;1,0,IFERROR(LOOKUP(2,1/(Algodão!$E40:INDEX(Algodão!$E40:$Z40,MIN(AO$6-$G$3,22))&lt;&gt;""),Algodão!$E40:INDEX(Algodão!$E40:$Z40,MIN(AO$6-$G$3,22))),0)))))</f>
        <v>0</v>
      </c>
      <c r="AP42" s="27" t="n">
        <f aca="false">IF(COUNT(Algodão!$E40:$Z40)=0,0,MAX(0,IF((AP$6-$E$3)&lt;1,0,IFERROR(LOOKUP(2,1/(Algodão!$E40:INDEX(Algodão!$E40:$Z40,MIN(AP$6-$E$3,22))&lt;&gt;""),Algodão!$E40:INDEX(Algodão!$E40:$Z40,MIN(AP$6-$E$3,22))),0))-IF($G$2,0,IF((AP$6-$G$3)&lt;1,0,IFERROR(LOOKUP(2,1/(Algodão!$E40:INDEX(Algodão!$E40:$Z40,MIN(AP$6-$G$3,22))&lt;&gt;""),Algodão!$E40:INDEX(Algodão!$E40:$Z40,MIN(AP$6-$G$3,22))),0)))))</f>
        <v>0</v>
      </c>
      <c r="AQ42" s="27" t="n">
        <f aca="false">IF(COUNT(Algodão!$E40:$Z40)=0,0,MAX(0,IF((AQ$6-$E$3)&lt;1,0,IFERROR(LOOKUP(2,1/(Algodão!$E40:INDEX(Algodão!$E40:$Z40,MIN(AQ$6-$E$3,22))&lt;&gt;""),Algodão!$E40:INDEX(Algodão!$E40:$Z40,MIN(AQ$6-$E$3,22))),0))-IF($G$2,0,IF((AQ$6-$G$3)&lt;1,0,IFERROR(LOOKUP(2,1/(Algodão!$E40:INDEX(Algodão!$E40:$Z40,MIN(AQ$6-$G$3,22))&lt;&gt;""),Algodão!$E40:INDEX(Algodão!$E40:$Z40,MIN(AQ$6-$G$3,22))),0)))))</f>
        <v>0</v>
      </c>
      <c r="AR42" s="27" t="n">
        <f aca="false">IF(COUNT(Algodão!$E40:$Z40)=0,0,MAX(0,IF((AR$6-$E$3)&lt;1,0,IFERROR(LOOKUP(2,1/(Algodão!$E40:INDEX(Algodão!$E40:$Z40,MIN(AR$6-$E$3,22))&lt;&gt;""),Algodão!$E40:INDEX(Algodão!$E40:$Z40,MIN(AR$6-$E$3,22))),0))-IF($G$2,0,IF((AR$6-$G$3)&lt;1,0,IFERROR(LOOKUP(2,1/(Algodão!$E40:INDEX(Algodão!$E40:$Z40,MIN(AR$6-$G$3,22))&lt;&gt;""),Algodão!$E40:INDEX(Algodão!$E40:$Z40,MIN(AR$6-$G$3,22))),0)))))</f>
        <v>0</v>
      </c>
      <c r="AS42" s="27" t="n">
        <f aca="false">IF(COUNT(Algodão!$E40:$Z40)=0,0,MAX(0,IF((AS$6-$E$3)&lt;1,0,IFERROR(LOOKUP(2,1/(Algodão!$E40:INDEX(Algodão!$E40:$Z40,MIN(AS$6-$E$3,22))&lt;&gt;""),Algodão!$E40:INDEX(Algodão!$E40:$Z40,MIN(AS$6-$E$3,22))),0))-IF($G$2,0,IF((AS$6-$G$3)&lt;1,0,IFERROR(LOOKUP(2,1/(Algodão!$E40:INDEX(Algodão!$E40:$Z40,MIN(AS$6-$G$3,22))&lt;&gt;""),Algodão!$E40:INDEX(Algodão!$E40:$Z40,MIN(AS$6-$G$3,22))),0)))))</f>
        <v>0</v>
      </c>
      <c r="AT42" s="27" t="n">
        <f aca="false">IF(COUNT(Algodão!$E40:$Z40)=0,0,MAX(0,IF((AT$6-$E$3)&lt;1,0,IFERROR(LOOKUP(2,1/(Algodão!$E40:INDEX(Algodão!$E40:$Z40,MIN(AT$6-$E$3,22))&lt;&gt;""),Algodão!$E40:INDEX(Algodão!$E40:$Z40,MIN(AT$6-$E$3,22))),0))-IF($G$2,0,IF((AT$6-$G$3)&lt;1,0,IFERROR(LOOKUP(2,1/(Algodão!$E40:INDEX(Algodão!$E40:$Z40,MIN(AT$6-$G$3,22))&lt;&gt;""),Algodão!$E40:INDEX(Algodão!$E40:$Z40,MIN(AT$6-$G$3,22))),0)))))</f>
        <v>0</v>
      </c>
      <c r="AU42" s="27" t="n">
        <f aca="false">IF(COUNT(Algodão!$E40:$Z40)=0,0,MAX(0,IF((AU$6-$E$3)&lt;1,0,IFERROR(LOOKUP(2,1/(Algodão!$E40:INDEX(Algodão!$E40:$Z40,MIN(AU$6-$E$3,22))&lt;&gt;""),Algodão!$E40:INDEX(Algodão!$E40:$Z40,MIN(AU$6-$E$3,22))),0))-IF($G$2,0,IF((AU$6-$G$3)&lt;1,0,IFERROR(LOOKUP(2,1/(Algodão!$E40:INDEX(Algodão!$E40:$Z40,MIN(AU$6-$G$3,22))&lt;&gt;""),Algodão!$E40:INDEX(Algodão!$E40:$Z40,MIN(AU$6-$G$3,22))),0)))))</f>
        <v>0</v>
      </c>
      <c r="AV42" s="27" t="n">
        <f aca="false">IF(COUNT(Algodão!$E40:$Z40)=0,0,MAX(0,IF((AV$6-$E$3)&lt;1,0,IFERROR(LOOKUP(2,1/(Algodão!$E40:INDEX(Algodão!$E40:$Z40,MIN(AV$6-$E$3,22))&lt;&gt;""),Algodão!$E40:INDEX(Algodão!$E40:$Z40,MIN(AV$6-$E$3,22))),0))-IF($G$2,0,IF((AV$6-$G$3)&lt;1,0,IFERROR(LOOKUP(2,1/(Algodão!$E40:INDEX(Algodão!$E40:$Z40,MIN(AV$6-$G$3,22))&lt;&gt;""),Algodão!$E40:INDEX(Algodão!$E40:$Z40,MIN(AV$6-$G$3,22))),0)))))</f>
        <v>0</v>
      </c>
      <c r="AW42" s="27" t="n">
        <f aca="false">IF(COUNT(Algodão!$E40:$Z40)=0,0,MAX(0,IF((AW$6-$E$3)&lt;1,0,IFERROR(LOOKUP(2,1/(Algodão!$E40:INDEX(Algodão!$E40:$Z40,MIN(AW$6-$E$3,22))&lt;&gt;""),Algodão!$E40:INDEX(Algodão!$E40:$Z40,MIN(AW$6-$E$3,22))),0))-IF($G$2,0,IF((AW$6-$G$3)&lt;1,0,IFERROR(LOOKUP(2,1/(Algodão!$E40:INDEX(Algodão!$E40:$Z40,MIN(AW$6-$G$3,22))&lt;&gt;""),Algodão!$E40:INDEX(Algodão!$E40:$Z40,MIN(AW$6-$G$3,22))),0)))))</f>
        <v>0</v>
      </c>
      <c r="AX42" s="27" t="n">
        <f aca="false">IF(COUNT(Algodão!$E40:$Z40)=0,0,MAX(0,IF((AX$6-$E$3)&lt;1,0,IFERROR(LOOKUP(2,1/(Algodão!$E40:INDEX(Algodão!$E40:$Z40,MIN(AX$6-$E$3,22))&lt;&gt;""),Algodão!$E40:INDEX(Algodão!$E40:$Z40,MIN(AX$6-$E$3,22))),0))-IF($G$2,0,IF((AX$6-$G$3)&lt;1,0,IFERROR(LOOKUP(2,1/(Algodão!$E40:INDEX(Algodão!$E40:$Z40,MIN(AX$6-$G$3,22))&lt;&gt;""),Algodão!$E40:INDEX(Algodão!$E40:$Z40,MIN(AX$6-$G$3,22))),0)))))</f>
        <v>0</v>
      </c>
      <c r="AY42" s="27" t="n">
        <f aca="false">IF(COUNT(Algodão!$E40:$Z40)=0,0,MAX(0,IF((AY$6-$E$3)&lt;1,0,IFERROR(LOOKUP(2,1/(Algodão!$E40:INDEX(Algodão!$E40:$Z40,MIN(AY$6-$E$3,22))&lt;&gt;""),Algodão!$E40:INDEX(Algodão!$E40:$Z40,MIN(AY$6-$E$3,22))),0))-IF($G$2,0,IF((AY$6-$G$3)&lt;1,0,IFERROR(LOOKUP(2,1/(Algodão!$E40:INDEX(Algodão!$E40:$Z40,MIN(AY$6-$G$3,22))&lt;&gt;""),Algodão!$E40:INDEX(Algodão!$E40:$Z40,MIN(AY$6-$G$3,22))),0)))))</f>
        <v>0</v>
      </c>
      <c r="AZ42" s="27" t="n">
        <f aca="false">IF(COUNT(Algodão!$E40:$Z40)=0,0,MAX(0,IF((AZ$6-$E$3)&lt;1,0,IFERROR(LOOKUP(2,1/(Algodão!$E40:INDEX(Algodão!$E40:$Z40,MIN(AZ$6-$E$3,22))&lt;&gt;""),Algodão!$E40:INDEX(Algodão!$E40:$Z40,MIN(AZ$6-$E$3,22))),0))-IF($G$2,0,IF((AZ$6-$G$3)&lt;1,0,IFERROR(LOOKUP(2,1/(Algodão!$E40:INDEX(Algodão!$E40:$Z40,MIN(AZ$6-$G$3,22))&lt;&gt;""),Algodão!$E40:INDEX(Algodão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IF(COUNT(Algodão!$E41:$Z41)&gt;0,N(Algodão!$D41),0)</f>
        <v>0</v>
      </c>
      <c r="E43" s="27" t="n">
        <f aca="false">IF(COUNT(Algodão!$E41:$Z41)=0,0,MAX(0,IF((E$6-$E$3)&lt;1,0,IFERROR(LOOKUP(2,1/(Algodão!$E41:INDEX(Algodão!$E41:$Z41,MIN(E$6-$E$3,22))&lt;&gt;""),Algodão!$E41:INDEX(Algodão!$E41:$Z41,MIN(E$6-$E$3,22))),0))-IF($G$2,0,IF((E$6-$G$3)&lt;1,0,IFERROR(LOOKUP(2,1/(Algodão!$E41:INDEX(Algodão!$E41:$Z41,MIN(E$6-$G$3,22))&lt;&gt;""),Algodão!$E41:INDEX(Algodão!$E41:$Z41,MIN(E$6-$G$3,22))),0)))))</f>
        <v>0</v>
      </c>
      <c r="F43" s="27" t="n">
        <f aca="false">IF(COUNT(Algodão!$E41:$Z41)=0,0,MAX(0,IF((F$6-$E$3)&lt;1,0,IFERROR(LOOKUP(2,1/(Algodão!$E41:INDEX(Algodão!$E41:$Z41,MIN(F$6-$E$3,22))&lt;&gt;""),Algodão!$E41:INDEX(Algodão!$E41:$Z41,MIN(F$6-$E$3,22))),0))-IF($G$2,0,IF((F$6-$G$3)&lt;1,0,IFERROR(LOOKUP(2,1/(Algodão!$E41:INDEX(Algodão!$E41:$Z41,MIN(F$6-$G$3,22))&lt;&gt;""),Algodão!$E41:INDEX(Algodão!$E41:$Z41,MIN(F$6-$G$3,22))),0)))))</f>
        <v>0</v>
      </c>
      <c r="G43" s="27" t="n">
        <f aca="false">IF(COUNT(Algodão!$E41:$Z41)=0,0,MAX(0,IF((G$6-$E$3)&lt;1,0,IFERROR(LOOKUP(2,1/(Algodão!$E41:INDEX(Algodão!$E41:$Z41,MIN(G$6-$E$3,22))&lt;&gt;""),Algodão!$E41:INDEX(Algodão!$E41:$Z41,MIN(G$6-$E$3,22))),0))-IF($G$2,0,IF((G$6-$G$3)&lt;1,0,IFERROR(LOOKUP(2,1/(Algodão!$E41:INDEX(Algodão!$E41:$Z41,MIN(G$6-$G$3,22))&lt;&gt;""),Algodão!$E41:INDEX(Algodão!$E41:$Z41,MIN(G$6-$G$3,22))),0)))))</f>
        <v>0</v>
      </c>
      <c r="H43" s="27" t="n">
        <f aca="false">IF(COUNT(Algodão!$E41:$Z41)=0,0,MAX(0,IF((H$6-$E$3)&lt;1,0,IFERROR(LOOKUP(2,1/(Algodão!$E41:INDEX(Algodão!$E41:$Z41,MIN(H$6-$E$3,22))&lt;&gt;""),Algodão!$E41:INDEX(Algodão!$E41:$Z41,MIN(H$6-$E$3,22))),0))-IF($G$2,0,IF((H$6-$G$3)&lt;1,0,IFERROR(LOOKUP(2,1/(Algodão!$E41:INDEX(Algodão!$E41:$Z41,MIN(H$6-$G$3,22))&lt;&gt;""),Algodão!$E41:INDEX(Algodão!$E41:$Z41,MIN(H$6-$G$3,22))),0)))))</f>
        <v>0</v>
      </c>
      <c r="I43" s="27" t="n">
        <f aca="false">IF(COUNT(Algodão!$E41:$Z41)=0,0,MAX(0,IF((I$6-$E$3)&lt;1,0,IFERROR(LOOKUP(2,1/(Algodão!$E41:INDEX(Algodão!$E41:$Z41,MIN(I$6-$E$3,22))&lt;&gt;""),Algodão!$E41:INDEX(Algodão!$E41:$Z41,MIN(I$6-$E$3,22))),0))-IF($G$2,0,IF((I$6-$G$3)&lt;1,0,IFERROR(LOOKUP(2,1/(Algodão!$E41:INDEX(Algodão!$E41:$Z41,MIN(I$6-$G$3,22))&lt;&gt;""),Algodão!$E41:INDEX(Algodão!$E41:$Z41,MIN(I$6-$G$3,22))),0)))))</f>
        <v>0</v>
      </c>
      <c r="J43" s="27" t="n">
        <f aca="false">IF(COUNT(Algodão!$E41:$Z41)=0,0,MAX(0,IF((J$6-$E$3)&lt;1,0,IFERROR(LOOKUP(2,1/(Algodão!$E41:INDEX(Algodão!$E41:$Z41,MIN(J$6-$E$3,22))&lt;&gt;""),Algodão!$E41:INDEX(Algodão!$E41:$Z41,MIN(J$6-$E$3,22))),0))-IF($G$2,0,IF((J$6-$G$3)&lt;1,0,IFERROR(LOOKUP(2,1/(Algodão!$E41:INDEX(Algodão!$E41:$Z41,MIN(J$6-$G$3,22))&lt;&gt;""),Algodão!$E41:INDEX(Algodão!$E41:$Z41,MIN(J$6-$G$3,22))),0)))))</f>
        <v>0</v>
      </c>
      <c r="K43" s="27" t="n">
        <f aca="false">IF(COUNT(Algodão!$E41:$Z41)=0,0,MAX(0,IF((K$6-$E$3)&lt;1,0,IFERROR(LOOKUP(2,1/(Algodão!$E41:INDEX(Algodão!$E41:$Z41,MIN(K$6-$E$3,22))&lt;&gt;""),Algodão!$E41:INDEX(Algodão!$E41:$Z41,MIN(K$6-$E$3,22))),0))-IF($G$2,0,IF((K$6-$G$3)&lt;1,0,IFERROR(LOOKUP(2,1/(Algodão!$E41:INDEX(Algodão!$E41:$Z41,MIN(K$6-$G$3,22))&lt;&gt;""),Algodão!$E41:INDEX(Algodão!$E41:$Z41,MIN(K$6-$G$3,22))),0)))))</f>
        <v>0</v>
      </c>
      <c r="L43" s="27" t="n">
        <f aca="false">IF(COUNT(Algodão!$E41:$Z41)=0,0,MAX(0,IF((L$6-$E$3)&lt;1,0,IFERROR(LOOKUP(2,1/(Algodão!$E41:INDEX(Algodão!$E41:$Z41,MIN(L$6-$E$3,22))&lt;&gt;""),Algodão!$E41:INDEX(Algodão!$E41:$Z41,MIN(L$6-$E$3,22))),0))-IF($G$2,0,IF((L$6-$G$3)&lt;1,0,IFERROR(LOOKUP(2,1/(Algodão!$E41:INDEX(Algodão!$E41:$Z41,MIN(L$6-$G$3,22))&lt;&gt;""),Algodão!$E41:INDEX(Algodão!$E41:$Z41,MIN(L$6-$G$3,22))),0)))))</f>
        <v>0</v>
      </c>
      <c r="M43" s="27" t="n">
        <f aca="false">IF(COUNT(Algodão!$E41:$Z41)=0,0,MAX(0,IF((M$6-$E$3)&lt;1,0,IFERROR(LOOKUP(2,1/(Algodão!$E41:INDEX(Algodão!$E41:$Z41,MIN(M$6-$E$3,22))&lt;&gt;""),Algodão!$E41:INDEX(Algodão!$E41:$Z41,MIN(M$6-$E$3,22))),0))-IF($G$2,0,IF((M$6-$G$3)&lt;1,0,IFERROR(LOOKUP(2,1/(Algodão!$E41:INDEX(Algodão!$E41:$Z41,MIN(M$6-$G$3,22))&lt;&gt;""),Algodão!$E41:INDEX(Algodão!$E41:$Z41,MIN(M$6-$G$3,22))),0)))))</f>
        <v>0</v>
      </c>
      <c r="N43" s="27" t="n">
        <f aca="false">IF(COUNT(Algodão!$E41:$Z41)=0,0,MAX(0,IF((N$6-$E$3)&lt;1,0,IFERROR(LOOKUP(2,1/(Algodão!$E41:INDEX(Algodão!$E41:$Z41,MIN(N$6-$E$3,22))&lt;&gt;""),Algodão!$E41:INDEX(Algodão!$E41:$Z41,MIN(N$6-$E$3,22))),0))-IF($G$2,0,IF((N$6-$G$3)&lt;1,0,IFERROR(LOOKUP(2,1/(Algodão!$E41:INDEX(Algodão!$E41:$Z41,MIN(N$6-$G$3,22))&lt;&gt;""),Algodão!$E41:INDEX(Algodão!$E41:$Z41,MIN(N$6-$G$3,22))),0)))))</f>
        <v>0</v>
      </c>
      <c r="O43" s="27" t="n">
        <f aca="false">IF(COUNT(Algodão!$E41:$Z41)=0,0,MAX(0,IF((O$6-$E$3)&lt;1,0,IFERROR(LOOKUP(2,1/(Algodão!$E41:INDEX(Algodão!$E41:$Z41,MIN(O$6-$E$3,22))&lt;&gt;""),Algodão!$E41:INDEX(Algodão!$E41:$Z41,MIN(O$6-$E$3,22))),0))-IF($G$2,0,IF((O$6-$G$3)&lt;1,0,IFERROR(LOOKUP(2,1/(Algodão!$E41:INDEX(Algodão!$E41:$Z41,MIN(O$6-$G$3,22))&lt;&gt;""),Algodão!$E41:INDEX(Algodão!$E41:$Z41,MIN(O$6-$G$3,22))),0)))))</f>
        <v>0</v>
      </c>
      <c r="P43" s="27" t="n">
        <f aca="false">IF(COUNT(Algodão!$E41:$Z41)=0,0,MAX(0,IF((P$6-$E$3)&lt;1,0,IFERROR(LOOKUP(2,1/(Algodão!$E41:INDEX(Algodão!$E41:$Z41,MIN(P$6-$E$3,22))&lt;&gt;""),Algodão!$E41:INDEX(Algodão!$E41:$Z41,MIN(P$6-$E$3,22))),0))-IF($G$2,0,IF((P$6-$G$3)&lt;1,0,IFERROR(LOOKUP(2,1/(Algodão!$E41:INDEX(Algodão!$E41:$Z41,MIN(P$6-$G$3,22))&lt;&gt;""),Algodão!$E41:INDEX(Algodão!$E41:$Z41,MIN(P$6-$G$3,22))),0)))))</f>
        <v>0</v>
      </c>
      <c r="Q43" s="27" t="n">
        <f aca="false">IF(COUNT(Algodão!$E41:$Z41)=0,0,MAX(0,IF((Q$6-$E$3)&lt;1,0,IFERROR(LOOKUP(2,1/(Algodão!$E41:INDEX(Algodão!$E41:$Z41,MIN(Q$6-$E$3,22))&lt;&gt;""),Algodão!$E41:INDEX(Algodão!$E41:$Z41,MIN(Q$6-$E$3,22))),0))-IF($G$2,0,IF((Q$6-$G$3)&lt;1,0,IFERROR(LOOKUP(2,1/(Algodão!$E41:INDEX(Algodão!$E41:$Z41,MIN(Q$6-$G$3,22))&lt;&gt;""),Algodão!$E41:INDEX(Algodão!$E41:$Z41,MIN(Q$6-$G$3,22))),0)))))</f>
        <v>0</v>
      </c>
      <c r="R43" s="27" t="n">
        <f aca="false">IF(COUNT(Algodão!$E41:$Z41)=0,0,MAX(0,IF((R$6-$E$3)&lt;1,0,IFERROR(LOOKUP(2,1/(Algodão!$E41:INDEX(Algodão!$E41:$Z41,MIN(R$6-$E$3,22))&lt;&gt;""),Algodão!$E41:INDEX(Algodão!$E41:$Z41,MIN(R$6-$E$3,22))),0))-IF($G$2,0,IF((R$6-$G$3)&lt;1,0,IFERROR(LOOKUP(2,1/(Algodão!$E41:INDEX(Algodão!$E41:$Z41,MIN(R$6-$G$3,22))&lt;&gt;""),Algodão!$E41:INDEX(Algodão!$E41:$Z41,MIN(R$6-$G$3,22))),0)))))</f>
        <v>0</v>
      </c>
      <c r="S43" s="27" t="n">
        <f aca="false">IF(COUNT(Algodão!$E41:$Z41)=0,0,MAX(0,IF((S$6-$E$3)&lt;1,0,IFERROR(LOOKUP(2,1/(Algodão!$E41:INDEX(Algodão!$E41:$Z41,MIN(S$6-$E$3,22))&lt;&gt;""),Algodão!$E41:INDEX(Algodão!$E41:$Z41,MIN(S$6-$E$3,22))),0))-IF($G$2,0,IF((S$6-$G$3)&lt;1,0,IFERROR(LOOKUP(2,1/(Algodão!$E41:INDEX(Algodão!$E41:$Z41,MIN(S$6-$G$3,22))&lt;&gt;""),Algodão!$E41:INDEX(Algodão!$E41:$Z41,MIN(S$6-$G$3,22))),0)))))</f>
        <v>0</v>
      </c>
      <c r="T43" s="27" t="n">
        <f aca="false">IF(COUNT(Algodão!$E41:$Z41)=0,0,MAX(0,IF((T$6-$E$3)&lt;1,0,IFERROR(LOOKUP(2,1/(Algodão!$E41:INDEX(Algodão!$E41:$Z41,MIN(T$6-$E$3,22))&lt;&gt;""),Algodão!$E41:INDEX(Algodão!$E41:$Z41,MIN(T$6-$E$3,22))),0))-IF($G$2,0,IF((T$6-$G$3)&lt;1,0,IFERROR(LOOKUP(2,1/(Algodão!$E41:INDEX(Algodão!$E41:$Z41,MIN(T$6-$G$3,22))&lt;&gt;""),Algodão!$E41:INDEX(Algodão!$E41:$Z41,MIN(T$6-$G$3,22))),0)))))</f>
        <v>0</v>
      </c>
      <c r="U43" s="27" t="n">
        <f aca="false">IF(COUNT(Algodão!$E41:$Z41)=0,0,MAX(0,IF((U$6-$E$3)&lt;1,0,IFERROR(LOOKUP(2,1/(Algodão!$E41:INDEX(Algodão!$E41:$Z41,MIN(U$6-$E$3,22))&lt;&gt;""),Algodão!$E41:INDEX(Algodão!$E41:$Z41,MIN(U$6-$E$3,22))),0))-IF($G$2,0,IF((U$6-$G$3)&lt;1,0,IFERROR(LOOKUP(2,1/(Algodão!$E41:INDEX(Algodão!$E41:$Z41,MIN(U$6-$G$3,22))&lt;&gt;""),Algodão!$E41:INDEX(Algodão!$E41:$Z41,MIN(U$6-$G$3,22))),0)))))</f>
        <v>0</v>
      </c>
      <c r="V43" s="27" t="n">
        <f aca="false">IF(COUNT(Algodão!$E41:$Z41)=0,0,MAX(0,IF((V$6-$E$3)&lt;1,0,IFERROR(LOOKUP(2,1/(Algodão!$E41:INDEX(Algodão!$E41:$Z41,MIN(V$6-$E$3,22))&lt;&gt;""),Algodão!$E41:INDEX(Algodão!$E41:$Z41,MIN(V$6-$E$3,22))),0))-IF($G$2,0,IF((V$6-$G$3)&lt;1,0,IFERROR(LOOKUP(2,1/(Algodão!$E41:INDEX(Algodão!$E41:$Z41,MIN(V$6-$G$3,22))&lt;&gt;""),Algodão!$E41:INDEX(Algodão!$E41:$Z41,MIN(V$6-$G$3,22))),0)))))</f>
        <v>0</v>
      </c>
      <c r="W43" s="27" t="n">
        <f aca="false">IF(COUNT(Algodão!$E41:$Z41)=0,0,MAX(0,IF((W$6-$E$3)&lt;1,0,IFERROR(LOOKUP(2,1/(Algodão!$E41:INDEX(Algodão!$E41:$Z41,MIN(W$6-$E$3,22))&lt;&gt;""),Algodão!$E41:INDEX(Algodão!$E41:$Z41,MIN(W$6-$E$3,22))),0))-IF($G$2,0,IF((W$6-$G$3)&lt;1,0,IFERROR(LOOKUP(2,1/(Algodão!$E41:INDEX(Algodão!$E41:$Z41,MIN(W$6-$G$3,22))&lt;&gt;""),Algodão!$E41:INDEX(Algodão!$E41:$Z41,MIN(W$6-$G$3,22))),0)))))</f>
        <v>0</v>
      </c>
      <c r="X43" s="27" t="n">
        <f aca="false">IF(COUNT(Algodão!$E41:$Z41)=0,0,MAX(0,IF((X$6-$E$3)&lt;1,0,IFERROR(LOOKUP(2,1/(Algodão!$E41:INDEX(Algodão!$E41:$Z41,MIN(X$6-$E$3,22))&lt;&gt;""),Algodão!$E41:INDEX(Algodão!$E41:$Z41,MIN(X$6-$E$3,22))),0))-IF($G$2,0,IF((X$6-$G$3)&lt;1,0,IFERROR(LOOKUP(2,1/(Algodão!$E41:INDEX(Algodão!$E41:$Z41,MIN(X$6-$G$3,22))&lt;&gt;""),Algodão!$E41:INDEX(Algodão!$E41:$Z41,MIN(X$6-$G$3,22))),0)))))</f>
        <v>0</v>
      </c>
      <c r="Y43" s="27" t="n">
        <f aca="false">IF(COUNT(Algodão!$E41:$Z41)=0,0,MAX(0,IF((Y$6-$E$3)&lt;1,0,IFERROR(LOOKUP(2,1/(Algodão!$E41:INDEX(Algodão!$E41:$Z41,MIN(Y$6-$E$3,22))&lt;&gt;""),Algodão!$E41:INDEX(Algodão!$E41:$Z41,MIN(Y$6-$E$3,22))),0))-IF($G$2,0,IF((Y$6-$G$3)&lt;1,0,IFERROR(LOOKUP(2,1/(Algodão!$E41:INDEX(Algodão!$E41:$Z41,MIN(Y$6-$G$3,22))&lt;&gt;""),Algodão!$E41:INDEX(Algodão!$E41:$Z41,MIN(Y$6-$G$3,22))),0)))))</f>
        <v>0</v>
      </c>
      <c r="Z43" s="27" t="n">
        <f aca="false">IF(COUNT(Algodão!$E41:$Z41)=0,0,MAX(0,IF((Z$6-$E$3)&lt;1,0,IFERROR(LOOKUP(2,1/(Algodão!$E41:INDEX(Algodão!$E41:$Z41,MIN(Z$6-$E$3,22))&lt;&gt;""),Algodão!$E41:INDEX(Algodão!$E41:$Z41,MIN(Z$6-$E$3,22))),0))-IF($G$2,0,IF((Z$6-$G$3)&lt;1,0,IFERROR(LOOKUP(2,1/(Algodão!$E41:INDEX(Algodão!$E41:$Z41,MIN(Z$6-$G$3,22))&lt;&gt;""),Algodão!$E41:INDEX(Algodão!$E41:$Z41,MIN(Z$6-$G$3,22))),0)))))</f>
        <v>0</v>
      </c>
      <c r="AA43" s="27" t="n">
        <f aca="false">IF(COUNT(Algodão!$E41:$Z41)=0,0,MAX(0,IF((AA$6-$E$3)&lt;1,0,IFERROR(LOOKUP(2,1/(Algodão!$E41:INDEX(Algodão!$E41:$Z41,MIN(AA$6-$E$3,22))&lt;&gt;""),Algodão!$E41:INDEX(Algodão!$E41:$Z41,MIN(AA$6-$E$3,22))),0))-IF($G$2,0,IF((AA$6-$G$3)&lt;1,0,IFERROR(LOOKUP(2,1/(Algodão!$E41:INDEX(Algodão!$E41:$Z41,MIN(AA$6-$G$3,22))&lt;&gt;""),Algodão!$E41:INDEX(Algodão!$E41:$Z41,MIN(AA$6-$G$3,22))),0)))))</f>
        <v>0</v>
      </c>
      <c r="AB43" s="27" t="n">
        <f aca="false">IF(COUNT(Algodão!$E41:$Z41)=0,0,MAX(0,IF((AB$6-$E$3)&lt;1,0,IFERROR(LOOKUP(2,1/(Algodão!$E41:INDEX(Algodão!$E41:$Z41,MIN(AB$6-$E$3,22))&lt;&gt;""),Algodão!$E41:INDEX(Algodão!$E41:$Z41,MIN(AB$6-$E$3,22))),0))-IF($G$2,0,IF((AB$6-$G$3)&lt;1,0,IFERROR(LOOKUP(2,1/(Algodão!$E41:INDEX(Algodão!$E41:$Z41,MIN(AB$6-$G$3,22))&lt;&gt;""),Algodão!$E41:INDEX(Algodão!$E41:$Z41,MIN(AB$6-$G$3,22))),0)))))</f>
        <v>0</v>
      </c>
      <c r="AC43" s="27" t="n">
        <f aca="false">IF(COUNT(Algodão!$E41:$Z41)=0,0,MAX(0,IF((AC$6-$E$3)&lt;1,0,IFERROR(LOOKUP(2,1/(Algodão!$E41:INDEX(Algodão!$E41:$Z41,MIN(AC$6-$E$3,22))&lt;&gt;""),Algodão!$E41:INDEX(Algodão!$E41:$Z41,MIN(AC$6-$E$3,22))),0))-IF($G$2,0,IF((AC$6-$G$3)&lt;1,0,IFERROR(LOOKUP(2,1/(Algodão!$E41:INDEX(Algodão!$E41:$Z41,MIN(AC$6-$G$3,22))&lt;&gt;""),Algodão!$E41:INDEX(Algodão!$E41:$Z41,MIN(AC$6-$G$3,22))),0)))))</f>
        <v>0</v>
      </c>
      <c r="AD43" s="27" t="n">
        <f aca="false">IF(COUNT(Algodão!$E41:$Z41)=0,0,MAX(0,IF((AD$6-$E$3)&lt;1,0,IFERROR(LOOKUP(2,1/(Algodão!$E41:INDEX(Algodão!$E41:$Z41,MIN(AD$6-$E$3,22))&lt;&gt;""),Algodão!$E41:INDEX(Algodão!$E41:$Z41,MIN(AD$6-$E$3,22))),0))-IF($G$2,0,IF((AD$6-$G$3)&lt;1,0,IFERROR(LOOKUP(2,1/(Algodão!$E41:INDEX(Algodão!$E41:$Z41,MIN(AD$6-$G$3,22))&lt;&gt;""),Algodão!$E41:INDEX(Algodão!$E41:$Z41,MIN(AD$6-$G$3,22))),0)))))</f>
        <v>0</v>
      </c>
      <c r="AE43" s="27" t="n">
        <f aca="false">IF(COUNT(Algodão!$E41:$Z41)=0,0,MAX(0,IF((AE$6-$E$3)&lt;1,0,IFERROR(LOOKUP(2,1/(Algodão!$E41:INDEX(Algodão!$E41:$Z41,MIN(AE$6-$E$3,22))&lt;&gt;""),Algodão!$E41:INDEX(Algodão!$E41:$Z41,MIN(AE$6-$E$3,22))),0))-IF($G$2,0,IF((AE$6-$G$3)&lt;1,0,IFERROR(LOOKUP(2,1/(Algodão!$E41:INDEX(Algodão!$E41:$Z41,MIN(AE$6-$G$3,22))&lt;&gt;""),Algodão!$E41:INDEX(Algodão!$E41:$Z41,MIN(AE$6-$G$3,22))),0)))))</f>
        <v>0</v>
      </c>
      <c r="AF43" s="27" t="n">
        <f aca="false">IF(COUNT(Algodão!$E41:$Z41)=0,0,MAX(0,IF((AF$6-$E$3)&lt;1,0,IFERROR(LOOKUP(2,1/(Algodão!$E41:INDEX(Algodão!$E41:$Z41,MIN(AF$6-$E$3,22))&lt;&gt;""),Algodão!$E41:INDEX(Algodão!$E41:$Z41,MIN(AF$6-$E$3,22))),0))-IF($G$2,0,IF((AF$6-$G$3)&lt;1,0,IFERROR(LOOKUP(2,1/(Algodão!$E41:INDEX(Algodão!$E41:$Z41,MIN(AF$6-$G$3,22))&lt;&gt;""),Algodão!$E41:INDEX(Algodão!$E41:$Z41,MIN(AF$6-$G$3,22))),0)))))</f>
        <v>0</v>
      </c>
      <c r="AG43" s="27" t="n">
        <f aca="false">IF(COUNT(Algodão!$E41:$Z41)=0,0,MAX(0,IF((AG$6-$E$3)&lt;1,0,IFERROR(LOOKUP(2,1/(Algodão!$E41:INDEX(Algodão!$E41:$Z41,MIN(AG$6-$E$3,22))&lt;&gt;""),Algodão!$E41:INDEX(Algodão!$E41:$Z41,MIN(AG$6-$E$3,22))),0))-IF($G$2,0,IF((AG$6-$G$3)&lt;1,0,IFERROR(LOOKUP(2,1/(Algodão!$E41:INDEX(Algodão!$E41:$Z41,MIN(AG$6-$G$3,22))&lt;&gt;""),Algodão!$E41:INDEX(Algodão!$E41:$Z41,MIN(AG$6-$G$3,22))),0)))))</f>
        <v>0</v>
      </c>
      <c r="AH43" s="27" t="n">
        <f aca="false">IF(COUNT(Algodão!$E41:$Z41)=0,0,MAX(0,IF((AH$6-$E$3)&lt;1,0,IFERROR(LOOKUP(2,1/(Algodão!$E41:INDEX(Algodão!$E41:$Z41,MIN(AH$6-$E$3,22))&lt;&gt;""),Algodão!$E41:INDEX(Algodão!$E41:$Z41,MIN(AH$6-$E$3,22))),0))-IF($G$2,0,IF((AH$6-$G$3)&lt;1,0,IFERROR(LOOKUP(2,1/(Algodão!$E41:INDEX(Algodão!$E41:$Z41,MIN(AH$6-$G$3,22))&lt;&gt;""),Algodão!$E41:INDEX(Algodão!$E41:$Z41,MIN(AH$6-$G$3,22))),0)))))</f>
        <v>0</v>
      </c>
      <c r="AI43" s="27" t="n">
        <f aca="false">IF(COUNT(Algodão!$E41:$Z41)=0,0,MAX(0,IF((AI$6-$E$3)&lt;1,0,IFERROR(LOOKUP(2,1/(Algodão!$E41:INDEX(Algodão!$E41:$Z41,MIN(AI$6-$E$3,22))&lt;&gt;""),Algodão!$E41:INDEX(Algodão!$E41:$Z41,MIN(AI$6-$E$3,22))),0))-IF($G$2,0,IF((AI$6-$G$3)&lt;1,0,IFERROR(LOOKUP(2,1/(Algodão!$E41:INDEX(Algodão!$E41:$Z41,MIN(AI$6-$G$3,22))&lt;&gt;""),Algodão!$E41:INDEX(Algodão!$E41:$Z41,MIN(AI$6-$G$3,22))),0)))))</f>
        <v>0</v>
      </c>
      <c r="AJ43" s="27" t="n">
        <f aca="false">IF(COUNT(Algodão!$E41:$Z41)=0,0,MAX(0,IF((AJ$6-$E$3)&lt;1,0,IFERROR(LOOKUP(2,1/(Algodão!$E41:INDEX(Algodão!$E41:$Z41,MIN(AJ$6-$E$3,22))&lt;&gt;""),Algodão!$E41:INDEX(Algodão!$E41:$Z41,MIN(AJ$6-$E$3,22))),0))-IF($G$2,0,IF((AJ$6-$G$3)&lt;1,0,IFERROR(LOOKUP(2,1/(Algodão!$E41:INDEX(Algodão!$E41:$Z41,MIN(AJ$6-$G$3,22))&lt;&gt;""),Algodão!$E41:INDEX(Algodão!$E41:$Z41,MIN(AJ$6-$G$3,22))),0)))))</f>
        <v>0</v>
      </c>
      <c r="AK43" s="27" t="n">
        <f aca="false">IF(COUNT(Algodão!$E41:$Z41)=0,0,MAX(0,IF((AK$6-$E$3)&lt;1,0,IFERROR(LOOKUP(2,1/(Algodão!$E41:INDEX(Algodão!$E41:$Z41,MIN(AK$6-$E$3,22))&lt;&gt;""),Algodão!$E41:INDEX(Algodão!$E41:$Z41,MIN(AK$6-$E$3,22))),0))-IF($G$2,0,IF((AK$6-$G$3)&lt;1,0,IFERROR(LOOKUP(2,1/(Algodão!$E41:INDEX(Algodão!$E41:$Z41,MIN(AK$6-$G$3,22))&lt;&gt;""),Algodão!$E41:INDEX(Algodão!$E41:$Z41,MIN(AK$6-$G$3,22))),0)))))</f>
        <v>0</v>
      </c>
      <c r="AL43" s="27" t="n">
        <f aca="false">IF(COUNT(Algodão!$E41:$Z41)=0,0,MAX(0,IF((AL$6-$E$3)&lt;1,0,IFERROR(LOOKUP(2,1/(Algodão!$E41:INDEX(Algodão!$E41:$Z41,MIN(AL$6-$E$3,22))&lt;&gt;""),Algodão!$E41:INDEX(Algodão!$E41:$Z41,MIN(AL$6-$E$3,22))),0))-IF($G$2,0,IF((AL$6-$G$3)&lt;1,0,IFERROR(LOOKUP(2,1/(Algodão!$E41:INDEX(Algodão!$E41:$Z41,MIN(AL$6-$G$3,22))&lt;&gt;""),Algodão!$E41:INDEX(Algodão!$E41:$Z41,MIN(AL$6-$G$3,22))),0)))))</f>
        <v>0</v>
      </c>
      <c r="AM43" s="27" t="n">
        <f aca="false">IF(COUNT(Algodão!$E41:$Z41)=0,0,MAX(0,IF((AM$6-$E$3)&lt;1,0,IFERROR(LOOKUP(2,1/(Algodão!$E41:INDEX(Algodão!$E41:$Z41,MIN(AM$6-$E$3,22))&lt;&gt;""),Algodão!$E41:INDEX(Algodão!$E41:$Z41,MIN(AM$6-$E$3,22))),0))-IF($G$2,0,IF((AM$6-$G$3)&lt;1,0,IFERROR(LOOKUP(2,1/(Algodão!$E41:INDEX(Algodão!$E41:$Z41,MIN(AM$6-$G$3,22))&lt;&gt;""),Algodão!$E41:INDEX(Algodão!$E41:$Z41,MIN(AM$6-$G$3,22))),0)))))</f>
        <v>0</v>
      </c>
      <c r="AN43" s="27" t="n">
        <f aca="false">IF(COUNT(Algodão!$E41:$Z41)=0,0,MAX(0,IF((AN$6-$E$3)&lt;1,0,IFERROR(LOOKUP(2,1/(Algodão!$E41:INDEX(Algodão!$E41:$Z41,MIN(AN$6-$E$3,22))&lt;&gt;""),Algodão!$E41:INDEX(Algodão!$E41:$Z41,MIN(AN$6-$E$3,22))),0))-IF($G$2,0,IF((AN$6-$G$3)&lt;1,0,IFERROR(LOOKUP(2,1/(Algodão!$E41:INDEX(Algodão!$E41:$Z41,MIN(AN$6-$G$3,22))&lt;&gt;""),Algodão!$E41:INDEX(Algodão!$E41:$Z41,MIN(AN$6-$G$3,22))),0)))))</f>
        <v>0</v>
      </c>
      <c r="AO43" s="27" t="n">
        <f aca="false">IF(COUNT(Algodão!$E41:$Z41)=0,0,MAX(0,IF((AO$6-$E$3)&lt;1,0,IFERROR(LOOKUP(2,1/(Algodão!$E41:INDEX(Algodão!$E41:$Z41,MIN(AO$6-$E$3,22))&lt;&gt;""),Algodão!$E41:INDEX(Algodão!$E41:$Z41,MIN(AO$6-$E$3,22))),0))-IF($G$2,0,IF((AO$6-$G$3)&lt;1,0,IFERROR(LOOKUP(2,1/(Algodão!$E41:INDEX(Algodão!$E41:$Z41,MIN(AO$6-$G$3,22))&lt;&gt;""),Algodão!$E41:INDEX(Algodão!$E41:$Z41,MIN(AO$6-$G$3,22))),0)))))</f>
        <v>0</v>
      </c>
      <c r="AP43" s="27" t="n">
        <f aca="false">IF(COUNT(Algodão!$E41:$Z41)=0,0,MAX(0,IF((AP$6-$E$3)&lt;1,0,IFERROR(LOOKUP(2,1/(Algodão!$E41:INDEX(Algodão!$E41:$Z41,MIN(AP$6-$E$3,22))&lt;&gt;""),Algodão!$E41:INDEX(Algodão!$E41:$Z41,MIN(AP$6-$E$3,22))),0))-IF($G$2,0,IF((AP$6-$G$3)&lt;1,0,IFERROR(LOOKUP(2,1/(Algodão!$E41:INDEX(Algodão!$E41:$Z41,MIN(AP$6-$G$3,22))&lt;&gt;""),Algodão!$E41:INDEX(Algodão!$E41:$Z41,MIN(AP$6-$G$3,22))),0)))))</f>
        <v>0</v>
      </c>
      <c r="AQ43" s="27" t="n">
        <f aca="false">IF(COUNT(Algodão!$E41:$Z41)=0,0,MAX(0,IF((AQ$6-$E$3)&lt;1,0,IFERROR(LOOKUP(2,1/(Algodão!$E41:INDEX(Algodão!$E41:$Z41,MIN(AQ$6-$E$3,22))&lt;&gt;""),Algodão!$E41:INDEX(Algodão!$E41:$Z41,MIN(AQ$6-$E$3,22))),0))-IF($G$2,0,IF((AQ$6-$G$3)&lt;1,0,IFERROR(LOOKUP(2,1/(Algodão!$E41:INDEX(Algodão!$E41:$Z41,MIN(AQ$6-$G$3,22))&lt;&gt;""),Algodão!$E41:INDEX(Algodão!$E41:$Z41,MIN(AQ$6-$G$3,22))),0)))))</f>
        <v>0</v>
      </c>
      <c r="AR43" s="27" t="n">
        <f aca="false">IF(COUNT(Algodão!$E41:$Z41)=0,0,MAX(0,IF((AR$6-$E$3)&lt;1,0,IFERROR(LOOKUP(2,1/(Algodão!$E41:INDEX(Algodão!$E41:$Z41,MIN(AR$6-$E$3,22))&lt;&gt;""),Algodão!$E41:INDEX(Algodão!$E41:$Z41,MIN(AR$6-$E$3,22))),0))-IF($G$2,0,IF((AR$6-$G$3)&lt;1,0,IFERROR(LOOKUP(2,1/(Algodão!$E41:INDEX(Algodão!$E41:$Z41,MIN(AR$6-$G$3,22))&lt;&gt;""),Algodão!$E41:INDEX(Algodão!$E41:$Z41,MIN(AR$6-$G$3,22))),0)))))</f>
        <v>0</v>
      </c>
      <c r="AS43" s="27" t="n">
        <f aca="false">IF(COUNT(Algodão!$E41:$Z41)=0,0,MAX(0,IF((AS$6-$E$3)&lt;1,0,IFERROR(LOOKUP(2,1/(Algodão!$E41:INDEX(Algodão!$E41:$Z41,MIN(AS$6-$E$3,22))&lt;&gt;""),Algodão!$E41:INDEX(Algodão!$E41:$Z41,MIN(AS$6-$E$3,22))),0))-IF($G$2,0,IF((AS$6-$G$3)&lt;1,0,IFERROR(LOOKUP(2,1/(Algodão!$E41:INDEX(Algodão!$E41:$Z41,MIN(AS$6-$G$3,22))&lt;&gt;""),Algodão!$E41:INDEX(Algodão!$E41:$Z41,MIN(AS$6-$G$3,22))),0)))))</f>
        <v>0</v>
      </c>
      <c r="AT43" s="27" t="n">
        <f aca="false">IF(COUNT(Algodão!$E41:$Z41)=0,0,MAX(0,IF((AT$6-$E$3)&lt;1,0,IFERROR(LOOKUP(2,1/(Algodão!$E41:INDEX(Algodão!$E41:$Z41,MIN(AT$6-$E$3,22))&lt;&gt;""),Algodão!$E41:INDEX(Algodão!$E41:$Z41,MIN(AT$6-$E$3,22))),0))-IF($G$2,0,IF((AT$6-$G$3)&lt;1,0,IFERROR(LOOKUP(2,1/(Algodão!$E41:INDEX(Algodão!$E41:$Z41,MIN(AT$6-$G$3,22))&lt;&gt;""),Algodão!$E41:INDEX(Algodão!$E41:$Z41,MIN(AT$6-$G$3,22))),0)))))</f>
        <v>0</v>
      </c>
      <c r="AU43" s="27" t="n">
        <f aca="false">IF(COUNT(Algodão!$E41:$Z41)=0,0,MAX(0,IF((AU$6-$E$3)&lt;1,0,IFERROR(LOOKUP(2,1/(Algodão!$E41:INDEX(Algodão!$E41:$Z41,MIN(AU$6-$E$3,22))&lt;&gt;""),Algodão!$E41:INDEX(Algodão!$E41:$Z41,MIN(AU$6-$E$3,22))),0))-IF($G$2,0,IF((AU$6-$G$3)&lt;1,0,IFERROR(LOOKUP(2,1/(Algodão!$E41:INDEX(Algodão!$E41:$Z41,MIN(AU$6-$G$3,22))&lt;&gt;""),Algodão!$E41:INDEX(Algodão!$E41:$Z41,MIN(AU$6-$G$3,22))),0)))))</f>
        <v>0</v>
      </c>
      <c r="AV43" s="27" t="n">
        <f aca="false">IF(COUNT(Algodão!$E41:$Z41)=0,0,MAX(0,IF((AV$6-$E$3)&lt;1,0,IFERROR(LOOKUP(2,1/(Algodão!$E41:INDEX(Algodão!$E41:$Z41,MIN(AV$6-$E$3,22))&lt;&gt;""),Algodão!$E41:INDEX(Algodão!$E41:$Z41,MIN(AV$6-$E$3,22))),0))-IF($G$2,0,IF((AV$6-$G$3)&lt;1,0,IFERROR(LOOKUP(2,1/(Algodão!$E41:INDEX(Algodão!$E41:$Z41,MIN(AV$6-$G$3,22))&lt;&gt;""),Algodão!$E41:INDEX(Algodão!$E41:$Z41,MIN(AV$6-$G$3,22))),0)))))</f>
        <v>0</v>
      </c>
      <c r="AW43" s="27" t="n">
        <f aca="false">IF(COUNT(Algodão!$E41:$Z41)=0,0,MAX(0,IF((AW$6-$E$3)&lt;1,0,IFERROR(LOOKUP(2,1/(Algodão!$E41:INDEX(Algodão!$E41:$Z41,MIN(AW$6-$E$3,22))&lt;&gt;""),Algodão!$E41:INDEX(Algodão!$E41:$Z41,MIN(AW$6-$E$3,22))),0))-IF($G$2,0,IF((AW$6-$G$3)&lt;1,0,IFERROR(LOOKUP(2,1/(Algodão!$E41:INDEX(Algodão!$E41:$Z41,MIN(AW$6-$G$3,22))&lt;&gt;""),Algodão!$E41:INDEX(Algodão!$E41:$Z41,MIN(AW$6-$G$3,22))),0)))))</f>
        <v>0</v>
      </c>
      <c r="AX43" s="27" t="n">
        <f aca="false">IF(COUNT(Algodão!$E41:$Z41)=0,0,MAX(0,IF((AX$6-$E$3)&lt;1,0,IFERROR(LOOKUP(2,1/(Algodão!$E41:INDEX(Algodão!$E41:$Z41,MIN(AX$6-$E$3,22))&lt;&gt;""),Algodão!$E41:INDEX(Algodão!$E41:$Z41,MIN(AX$6-$E$3,22))),0))-IF($G$2,0,IF((AX$6-$G$3)&lt;1,0,IFERROR(LOOKUP(2,1/(Algodão!$E41:INDEX(Algodão!$E41:$Z41,MIN(AX$6-$G$3,22))&lt;&gt;""),Algodão!$E41:INDEX(Algodão!$E41:$Z41,MIN(AX$6-$G$3,22))),0)))))</f>
        <v>0</v>
      </c>
      <c r="AY43" s="27" t="n">
        <f aca="false">IF(COUNT(Algodão!$E41:$Z41)=0,0,MAX(0,IF((AY$6-$E$3)&lt;1,0,IFERROR(LOOKUP(2,1/(Algodão!$E41:INDEX(Algodão!$E41:$Z41,MIN(AY$6-$E$3,22))&lt;&gt;""),Algodão!$E41:INDEX(Algodão!$E41:$Z41,MIN(AY$6-$E$3,22))),0))-IF($G$2,0,IF((AY$6-$G$3)&lt;1,0,IFERROR(LOOKUP(2,1/(Algodão!$E41:INDEX(Algodão!$E41:$Z41,MIN(AY$6-$G$3,22))&lt;&gt;""),Algodão!$E41:INDEX(Algodão!$E41:$Z41,MIN(AY$6-$G$3,22))),0)))))</f>
        <v>0</v>
      </c>
      <c r="AZ43" s="27" t="n">
        <f aca="false">IF(COUNT(Algodão!$E41:$Z41)=0,0,MAX(0,IF((AZ$6-$E$3)&lt;1,0,IFERROR(LOOKUP(2,1/(Algodão!$E41:INDEX(Algodão!$E41:$Z41,MIN(AZ$6-$E$3,22))&lt;&gt;""),Algodão!$E41:INDEX(Algodão!$E41:$Z41,MIN(AZ$6-$E$3,22))),0))-IF($G$2,0,IF((AZ$6-$G$3)&lt;1,0,IFERROR(LOOKUP(2,1/(Algodão!$E41:INDEX(Algodão!$E41:$Z41,MIN(AZ$6-$G$3,22))&lt;&gt;""),Algodão!$E41:INDEX(Algodão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IF(COUNT(Algodão!$E42:$Z42)&gt;0,N(Algodão!$D42),0)</f>
        <v>0</v>
      </c>
      <c r="E44" s="27" t="n">
        <f aca="false">IF(COUNT(Algodão!$E42:$Z42)=0,0,MAX(0,IF((E$6-$E$3)&lt;1,0,IFERROR(LOOKUP(2,1/(Algodão!$E42:INDEX(Algodão!$E42:$Z42,MIN(E$6-$E$3,22))&lt;&gt;""),Algodão!$E42:INDEX(Algodão!$E42:$Z42,MIN(E$6-$E$3,22))),0))-IF($G$2,0,IF((E$6-$G$3)&lt;1,0,IFERROR(LOOKUP(2,1/(Algodão!$E42:INDEX(Algodão!$E42:$Z42,MIN(E$6-$G$3,22))&lt;&gt;""),Algodão!$E42:INDEX(Algodão!$E42:$Z42,MIN(E$6-$G$3,22))),0)))))</f>
        <v>0</v>
      </c>
      <c r="F44" s="27" t="n">
        <f aca="false">IF(COUNT(Algodão!$E42:$Z42)=0,0,MAX(0,IF((F$6-$E$3)&lt;1,0,IFERROR(LOOKUP(2,1/(Algodão!$E42:INDEX(Algodão!$E42:$Z42,MIN(F$6-$E$3,22))&lt;&gt;""),Algodão!$E42:INDEX(Algodão!$E42:$Z42,MIN(F$6-$E$3,22))),0))-IF($G$2,0,IF((F$6-$G$3)&lt;1,0,IFERROR(LOOKUP(2,1/(Algodão!$E42:INDEX(Algodão!$E42:$Z42,MIN(F$6-$G$3,22))&lt;&gt;""),Algodão!$E42:INDEX(Algodão!$E42:$Z42,MIN(F$6-$G$3,22))),0)))))</f>
        <v>0</v>
      </c>
      <c r="G44" s="27" t="n">
        <f aca="false">IF(COUNT(Algodão!$E42:$Z42)=0,0,MAX(0,IF((G$6-$E$3)&lt;1,0,IFERROR(LOOKUP(2,1/(Algodão!$E42:INDEX(Algodão!$E42:$Z42,MIN(G$6-$E$3,22))&lt;&gt;""),Algodão!$E42:INDEX(Algodão!$E42:$Z42,MIN(G$6-$E$3,22))),0))-IF($G$2,0,IF((G$6-$G$3)&lt;1,0,IFERROR(LOOKUP(2,1/(Algodão!$E42:INDEX(Algodão!$E42:$Z42,MIN(G$6-$G$3,22))&lt;&gt;""),Algodão!$E42:INDEX(Algodão!$E42:$Z42,MIN(G$6-$G$3,22))),0)))))</f>
        <v>0</v>
      </c>
      <c r="H44" s="27" t="n">
        <f aca="false">IF(COUNT(Algodão!$E42:$Z42)=0,0,MAX(0,IF((H$6-$E$3)&lt;1,0,IFERROR(LOOKUP(2,1/(Algodão!$E42:INDEX(Algodão!$E42:$Z42,MIN(H$6-$E$3,22))&lt;&gt;""),Algodão!$E42:INDEX(Algodão!$E42:$Z42,MIN(H$6-$E$3,22))),0))-IF($G$2,0,IF((H$6-$G$3)&lt;1,0,IFERROR(LOOKUP(2,1/(Algodão!$E42:INDEX(Algodão!$E42:$Z42,MIN(H$6-$G$3,22))&lt;&gt;""),Algodão!$E42:INDEX(Algodão!$E42:$Z42,MIN(H$6-$G$3,22))),0)))))</f>
        <v>0</v>
      </c>
      <c r="I44" s="27" t="n">
        <f aca="false">IF(COUNT(Algodão!$E42:$Z42)=0,0,MAX(0,IF((I$6-$E$3)&lt;1,0,IFERROR(LOOKUP(2,1/(Algodão!$E42:INDEX(Algodão!$E42:$Z42,MIN(I$6-$E$3,22))&lt;&gt;""),Algodão!$E42:INDEX(Algodão!$E42:$Z42,MIN(I$6-$E$3,22))),0))-IF($G$2,0,IF((I$6-$G$3)&lt;1,0,IFERROR(LOOKUP(2,1/(Algodão!$E42:INDEX(Algodão!$E42:$Z42,MIN(I$6-$G$3,22))&lt;&gt;""),Algodão!$E42:INDEX(Algodão!$E42:$Z42,MIN(I$6-$G$3,22))),0)))))</f>
        <v>0</v>
      </c>
      <c r="J44" s="27" t="n">
        <f aca="false">IF(COUNT(Algodão!$E42:$Z42)=0,0,MAX(0,IF((J$6-$E$3)&lt;1,0,IFERROR(LOOKUP(2,1/(Algodão!$E42:INDEX(Algodão!$E42:$Z42,MIN(J$6-$E$3,22))&lt;&gt;""),Algodão!$E42:INDEX(Algodão!$E42:$Z42,MIN(J$6-$E$3,22))),0))-IF($G$2,0,IF((J$6-$G$3)&lt;1,0,IFERROR(LOOKUP(2,1/(Algodão!$E42:INDEX(Algodão!$E42:$Z42,MIN(J$6-$G$3,22))&lt;&gt;""),Algodão!$E42:INDEX(Algodão!$E42:$Z42,MIN(J$6-$G$3,22))),0)))))</f>
        <v>0</v>
      </c>
      <c r="K44" s="27" t="n">
        <f aca="false">IF(COUNT(Algodão!$E42:$Z42)=0,0,MAX(0,IF((K$6-$E$3)&lt;1,0,IFERROR(LOOKUP(2,1/(Algodão!$E42:INDEX(Algodão!$E42:$Z42,MIN(K$6-$E$3,22))&lt;&gt;""),Algodão!$E42:INDEX(Algodão!$E42:$Z42,MIN(K$6-$E$3,22))),0))-IF($G$2,0,IF((K$6-$G$3)&lt;1,0,IFERROR(LOOKUP(2,1/(Algodão!$E42:INDEX(Algodão!$E42:$Z42,MIN(K$6-$G$3,22))&lt;&gt;""),Algodão!$E42:INDEX(Algodão!$E42:$Z42,MIN(K$6-$G$3,22))),0)))))</f>
        <v>0</v>
      </c>
      <c r="L44" s="27" t="n">
        <f aca="false">IF(COUNT(Algodão!$E42:$Z42)=0,0,MAX(0,IF((L$6-$E$3)&lt;1,0,IFERROR(LOOKUP(2,1/(Algodão!$E42:INDEX(Algodão!$E42:$Z42,MIN(L$6-$E$3,22))&lt;&gt;""),Algodão!$E42:INDEX(Algodão!$E42:$Z42,MIN(L$6-$E$3,22))),0))-IF($G$2,0,IF((L$6-$G$3)&lt;1,0,IFERROR(LOOKUP(2,1/(Algodão!$E42:INDEX(Algodão!$E42:$Z42,MIN(L$6-$G$3,22))&lt;&gt;""),Algodão!$E42:INDEX(Algodão!$E42:$Z42,MIN(L$6-$G$3,22))),0)))))</f>
        <v>0</v>
      </c>
      <c r="M44" s="27" t="n">
        <f aca="false">IF(COUNT(Algodão!$E42:$Z42)=0,0,MAX(0,IF((M$6-$E$3)&lt;1,0,IFERROR(LOOKUP(2,1/(Algodão!$E42:INDEX(Algodão!$E42:$Z42,MIN(M$6-$E$3,22))&lt;&gt;""),Algodão!$E42:INDEX(Algodão!$E42:$Z42,MIN(M$6-$E$3,22))),0))-IF($G$2,0,IF((M$6-$G$3)&lt;1,0,IFERROR(LOOKUP(2,1/(Algodão!$E42:INDEX(Algodão!$E42:$Z42,MIN(M$6-$G$3,22))&lt;&gt;""),Algodão!$E42:INDEX(Algodão!$E42:$Z42,MIN(M$6-$G$3,22))),0)))))</f>
        <v>0</v>
      </c>
      <c r="N44" s="27" t="n">
        <f aca="false">IF(COUNT(Algodão!$E42:$Z42)=0,0,MAX(0,IF((N$6-$E$3)&lt;1,0,IFERROR(LOOKUP(2,1/(Algodão!$E42:INDEX(Algodão!$E42:$Z42,MIN(N$6-$E$3,22))&lt;&gt;""),Algodão!$E42:INDEX(Algodão!$E42:$Z42,MIN(N$6-$E$3,22))),0))-IF($G$2,0,IF((N$6-$G$3)&lt;1,0,IFERROR(LOOKUP(2,1/(Algodão!$E42:INDEX(Algodão!$E42:$Z42,MIN(N$6-$G$3,22))&lt;&gt;""),Algodão!$E42:INDEX(Algodão!$E42:$Z42,MIN(N$6-$G$3,22))),0)))))</f>
        <v>0</v>
      </c>
      <c r="O44" s="27" t="n">
        <f aca="false">IF(COUNT(Algodão!$E42:$Z42)=0,0,MAX(0,IF((O$6-$E$3)&lt;1,0,IFERROR(LOOKUP(2,1/(Algodão!$E42:INDEX(Algodão!$E42:$Z42,MIN(O$6-$E$3,22))&lt;&gt;""),Algodão!$E42:INDEX(Algodão!$E42:$Z42,MIN(O$6-$E$3,22))),0))-IF($G$2,0,IF((O$6-$G$3)&lt;1,0,IFERROR(LOOKUP(2,1/(Algodão!$E42:INDEX(Algodão!$E42:$Z42,MIN(O$6-$G$3,22))&lt;&gt;""),Algodão!$E42:INDEX(Algodão!$E42:$Z42,MIN(O$6-$G$3,22))),0)))))</f>
        <v>0</v>
      </c>
      <c r="P44" s="27" t="n">
        <f aca="false">IF(COUNT(Algodão!$E42:$Z42)=0,0,MAX(0,IF((P$6-$E$3)&lt;1,0,IFERROR(LOOKUP(2,1/(Algodão!$E42:INDEX(Algodão!$E42:$Z42,MIN(P$6-$E$3,22))&lt;&gt;""),Algodão!$E42:INDEX(Algodão!$E42:$Z42,MIN(P$6-$E$3,22))),0))-IF($G$2,0,IF((P$6-$G$3)&lt;1,0,IFERROR(LOOKUP(2,1/(Algodão!$E42:INDEX(Algodão!$E42:$Z42,MIN(P$6-$G$3,22))&lt;&gt;""),Algodão!$E42:INDEX(Algodão!$E42:$Z42,MIN(P$6-$G$3,22))),0)))))</f>
        <v>0</v>
      </c>
      <c r="Q44" s="27" t="n">
        <f aca="false">IF(COUNT(Algodão!$E42:$Z42)=0,0,MAX(0,IF((Q$6-$E$3)&lt;1,0,IFERROR(LOOKUP(2,1/(Algodão!$E42:INDEX(Algodão!$E42:$Z42,MIN(Q$6-$E$3,22))&lt;&gt;""),Algodão!$E42:INDEX(Algodão!$E42:$Z42,MIN(Q$6-$E$3,22))),0))-IF($G$2,0,IF((Q$6-$G$3)&lt;1,0,IFERROR(LOOKUP(2,1/(Algodão!$E42:INDEX(Algodão!$E42:$Z42,MIN(Q$6-$G$3,22))&lt;&gt;""),Algodão!$E42:INDEX(Algodão!$E42:$Z42,MIN(Q$6-$G$3,22))),0)))))</f>
        <v>0</v>
      </c>
      <c r="R44" s="27" t="n">
        <f aca="false">IF(COUNT(Algodão!$E42:$Z42)=0,0,MAX(0,IF((R$6-$E$3)&lt;1,0,IFERROR(LOOKUP(2,1/(Algodão!$E42:INDEX(Algodão!$E42:$Z42,MIN(R$6-$E$3,22))&lt;&gt;""),Algodão!$E42:INDEX(Algodão!$E42:$Z42,MIN(R$6-$E$3,22))),0))-IF($G$2,0,IF((R$6-$G$3)&lt;1,0,IFERROR(LOOKUP(2,1/(Algodão!$E42:INDEX(Algodão!$E42:$Z42,MIN(R$6-$G$3,22))&lt;&gt;""),Algodão!$E42:INDEX(Algodão!$E42:$Z42,MIN(R$6-$G$3,22))),0)))))</f>
        <v>0</v>
      </c>
      <c r="S44" s="27" t="n">
        <f aca="false">IF(COUNT(Algodão!$E42:$Z42)=0,0,MAX(0,IF((S$6-$E$3)&lt;1,0,IFERROR(LOOKUP(2,1/(Algodão!$E42:INDEX(Algodão!$E42:$Z42,MIN(S$6-$E$3,22))&lt;&gt;""),Algodão!$E42:INDEX(Algodão!$E42:$Z42,MIN(S$6-$E$3,22))),0))-IF($G$2,0,IF((S$6-$G$3)&lt;1,0,IFERROR(LOOKUP(2,1/(Algodão!$E42:INDEX(Algodão!$E42:$Z42,MIN(S$6-$G$3,22))&lt;&gt;""),Algodão!$E42:INDEX(Algodão!$E42:$Z42,MIN(S$6-$G$3,22))),0)))))</f>
        <v>0</v>
      </c>
      <c r="T44" s="27" t="n">
        <f aca="false">IF(COUNT(Algodão!$E42:$Z42)=0,0,MAX(0,IF((T$6-$E$3)&lt;1,0,IFERROR(LOOKUP(2,1/(Algodão!$E42:INDEX(Algodão!$E42:$Z42,MIN(T$6-$E$3,22))&lt;&gt;""),Algodão!$E42:INDEX(Algodão!$E42:$Z42,MIN(T$6-$E$3,22))),0))-IF($G$2,0,IF((T$6-$G$3)&lt;1,0,IFERROR(LOOKUP(2,1/(Algodão!$E42:INDEX(Algodão!$E42:$Z42,MIN(T$6-$G$3,22))&lt;&gt;""),Algodão!$E42:INDEX(Algodão!$E42:$Z42,MIN(T$6-$G$3,22))),0)))))</f>
        <v>0</v>
      </c>
      <c r="U44" s="27" t="n">
        <f aca="false">IF(COUNT(Algodão!$E42:$Z42)=0,0,MAX(0,IF((U$6-$E$3)&lt;1,0,IFERROR(LOOKUP(2,1/(Algodão!$E42:INDEX(Algodão!$E42:$Z42,MIN(U$6-$E$3,22))&lt;&gt;""),Algodão!$E42:INDEX(Algodão!$E42:$Z42,MIN(U$6-$E$3,22))),0))-IF($G$2,0,IF((U$6-$G$3)&lt;1,0,IFERROR(LOOKUP(2,1/(Algodão!$E42:INDEX(Algodão!$E42:$Z42,MIN(U$6-$G$3,22))&lt;&gt;""),Algodão!$E42:INDEX(Algodão!$E42:$Z42,MIN(U$6-$G$3,22))),0)))))</f>
        <v>0</v>
      </c>
      <c r="V44" s="27" t="n">
        <f aca="false">IF(COUNT(Algodão!$E42:$Z42)=0,0,MAX(0,IF((V$6-$E$3)&lt;1,0,IFERROR(LOOKUP(2,1/(Algodão!$E42:INDEX(Algodão!$E42:$Z42,MIN(V$6-$E$3,22))&lt;&gt;""),Algodão!$E42:INDEX(Algodão!$E42:$Z42,MIN(V$6-$E$3,22))),0))-IF($G$2,0,IF((V$6-$G$3)&lt;1,0,IFERROR(LOOKUP(2,1/(Algodão!$E42:INDEX(Algodão!$E42:$Z42,MIN(V$6-$G$3,22))&lt;&gt;""),Algodão!$E42:INDEX(Algodão!$E42:$Z42,MIN(V$6-$G$3,22))),0)))))</f>
        <v>0</v>
      </c>
      <c r="W44" s="27" t="n">
        <f aca="false">IF(COUNT(Algodão!$E42:$Z42)=0,0,MAX(0,IF((W$6-$E$3)&lt;1,0,IFERROR(LOOKUP(2,1/(Algodão!$E42:INDEX(Algodão!$E42:$Z42,MIN(W$6-$E$3,22))&lt;&gt;""),Algodão!$E42:INDEX(Algodão!$E42:$Z42,MIN(W$6-$E$3,22))),0))-IF($G$2,0,IF((W$6-$G$3)&lt;1,0,IFERROR(LOOKUP(2,1/(Algodão!$E42:INDEX(Algodão!$E42:$Z42,MIN(W$6-$G$3,22))&lt;&gt;""),Algodão!$E42:INDEX(Algodão!$E42:$Z42,MIN(W$6-$G$3,22))),0)))))</f>
        <v>0</v>
      </c>
      <c r="X44" s="27" t="n">
        <f aca="false">IF(COUNT(Algodão!$E42:$Z42)=0,0,MAX(0,IF((X$6-$E$3)&lt;1,0,IFERROR(LOOKUP(2,1/(Algodão!$E42:INDEX(Algodão!$E42:$Z42,MIN(X$6-$E$3,22))&lt;&gt;""),Algodão!$E42:INDEX(Algodão!$E42:$Z42,MIN(X$6-$E$3,22))),0))-IF($G$2,0,IF((X$6-$G$3)&lt;1,0,IFERROR(LOOKUP(2,1/(Algodão!$E42:INDEX(Algodão!$E42:$Z42,MIN(X$6-$G$3,22))&lt;&gt;""),Algodão!$E42:INDEX(Algodão!$E42:$Z42,MIN(X$6-$G$3,22))),0)))))</f>
        <v>0</v>
      </c>
      <c r="Y44" s="27" t="n">
        <f aca="false">IF(COUNT(Algodão!$E42:$Z42)=0,0,MAX(0,IF((Y$6-$E$3)&lt;1,0,IFERROR(LOOKUP(2,1/(Algodão!$E42:INDEX(Algodão!$E42:$Z42,MIN(Y$6-$E$3,22))&lt;&gt;""),Algodão!$E42:INDEX(Algodão!$E42:$Z42,MIN(Y$6-$E$3,22))),0))-IF($G$2,0,IF((Y$6-$G$3)&lt;1,0,IFERROR(LOOKUP(2,1/(Algodão!$E42:INDEX(Algodão!$E42:$Z42,MIN(Y$6-$G$3,22))&lt;&gt;""),Algodão!$E42:INDEX(Algodão!$E42:$Z42,MIN(Y$6-$G$3,22))),0)))))</f>
        <v>0</v>
      </c>
      <c r="Z44" s="27" t="n">
        <f aca="false">IF(COUNT(Algodão!$E42:$Z42)=0,0,MAX(0,IF((Z$6-$E$3)&lt;1,0,IFERROR(LOOKUP(2,1/(Algodão!$E42:INDEX(Algodão!$E42:$Z42,MIN(Z$6-$E$3,22))&lt;&gt;""),Algodão!$E42:INDEX(Algodão!$E42:$Z42,MIN(Z$6-$E$3,22))),0))-IF($G$2,0,IF((Z$6-$G$3)&lt;1,0,IFERROR(LOOKUP(2,1/(Algodão!$E42:INDEX(Algodão!$E42:$Z42,MIN(Z$6-$G$3,22))&lt;&gt;""),Algodão!$E42:INDEX(Algodão!$E42:$Z42,MIN(Z$6-$G$3,22))),0)))))</f>
        <v>0</v>
      </c>
      <c r="AA44" s="27" t="n">
        <f aca="false">IF(COUNT(Algodão!$E42:$Z42)=0,0,MAX(0,IF((AA$6-$E$3)&lt;1,0,IFERROR(LOOKUP(2,1/(Algodão!$E42:INDEX(Algodão!$E42:$Z42,MIN(AA$6-$E$3,22))&lt;&gt;""),Algodão!$E42:INDEX(Algodão!$E42:$Z42,MIN(AA$6-$E$3,22))),0))-IF($G$2,0,IF((AA$6-$G$3)&lt;1,0,IFERROR(LOOKUP(2,1/(Algodão!$E42:INDEX(Algodão!$E42:$Z42,MIN(AA$6-$G$3,22))&lt;&gt;""),Algodão!$E42:INDEX(Algodão!$E42:$Z42,MIN(AA$6-$G$3,22))),0)))))</f>
        <v>0</v>
      </c>
      <c r="AB44" s="27" t="n">
        <f aca="false">IF(COUNT(Algodão!$E42:$Z42)=0,0,MAX(0,IF((AB$6-$E$3)&lt;1,0,IFERROR(LOOKUP(2,1/(Algodão!$E42:INDEX(Algodão!$E42:$Z42,MIN(AB$6-$E$3,22))&lt;&gt;""),Algodão!$E42:INDEX(Algodão!$E42:$Z42,MIN(AB$6-$E$3,22))),0))-IF($G$2,0,IF((AB$6-$G$3)&lt;1,0,IFERROR(LOOKUP(2,1/(Algodão!$E42:INDEX(Algodão!$E42:$Z42,MIN(AB$6-$G$3,22))&lt;&gt;""),Algodão!$E42:INDEX(Algodão!$E42:$Z42,MIN(AB$6-$G$3,22))),0)))))</f>
        <v>0</v>
      </c>
      <c r="AC44" s="27" t="n">
        <f aca="false">IF(COUNT(Algodão!$E42:$Z42)=0,0,MAX(0,IF((AC$6-$E$3)&lt;1,0,IFERROR(LOOKUP(2,1/(Algodão!$E42:INDEX(Algodão!$E42:$Z42,MIN(AC$6-$E$3,22))&lt;&gt;""),Algodão!$E42:INDEX(Algodão!$E42:$Z42,MIN(AC$6-$E$3,22))),0))-IF($G$2,0,IF((AC$6-$G$3)&lt;1,0,IFERROR(LOOKUP(2,1/(Algodão!$E42:INDEX(Algodão!$E42:$Z42,MIN(AC$6-$G$3,22))&lt;&gt;""),Algodão!$E42:INDEX(Algodão!$E42:$Z42,MIN(AC$6-$G$3,22))),0)))))</f>
        <v>0</v>
      </c>
      <c r="AD44" s="27" t="n">
        <f aca="false">IF(COUNT(Algodão!$E42:$Z42)=0,0,MAX(0,IF((AD$6-$E$3)&lt;1,0,IFERROR(LOOKUP(2,1/(Algodão!$E42:INDEX(Algodão!$E42:$Z42,MIN(AD$6-$E$3,22))&lt;&gt;""),Algodão!$E42:INDEX(Algodão!$E42:$Z42,MIN(AD$6-$E$3,22))),0))-IF($G$2,0,IF((AD$6-$G$3)&lt;1,0,IFERROR(LOOKUP(2,1/(Algodão!$E42:INDEX(Algodão!$E42:$Z42,MIN(AD$6-$G$3,22))&lt;&gt;""),Algodão!$E42:INDEX(Algodão!$E42:$Z42,MIN(AD$6-$G$3,22))),0)))))</f>
        <v>0</v>
      </c>
      <c r="AE44" s="27" t="n">
        <f aca="false">IF(COUNT(Algodão!$E42:$Z42)=0,0,MAX(0,IF((AE$6-$E$3)&lt;1,0,IFERROR(LOOKUP(2,1/(Algodão!$E42:INDEX(Algodão!$E42:$Z42,MIN(AE$6-$E$3,22))&lt;&gt;""),Algodão!$E42:INDEX(Algodão!$E42:$Z42,MIN(AE$6-$E$3,22))),0))-IF($G$2,0,IF((AE$6-$G$3)&lt;1,0,IFERROR(LOOKUP(2,1/(Algodão!$E42:INDEX(Algodão!$E42:$Z42,MIN(AE$6-$G$3,22))&lt;&gt;""),Algodão!$E42:INDEX(Algodão!$E42:$Z42,MIN(AE$6-$G$3,22))),0)))))</f>
        <v>0</v>
      </c>
      <c r="AF44" s="27" t="n">
        <f aca="false">IF(COUNT(Algodão!$E42:$Z42)=0,0,MAX(0,IF((AF$6-$E$3)&lt;1,0,IFERROR(LOOKUP(2,1/(Algodão!$E42:INDEX(Algodão!$E42:$Z42,MIN(AF$6-$E$3,22))&lt;&gt;""),Algodão!$E42:INDEX(Algodão!$E42:$Z42,MIN(AF$6-$E$3,22))),0))-IF($G$2,0,IF((AF$6-$G$3)&lt;1,0,IFERROR(LOOKUP(2,1/(Algodão!$E42:INDEX(Algodão!$E42:$Z42,MIN(AF$6-$G$3,22))&lt;&gt;""),Algodão!$E42:INDEX(Algodão!$E42:$Z42,MIN(AF$6-$G$3,22))),0)))))</f>
        <v>0</v>
      </c>
      <c r="AG44" s="27" t="n">
        <f aca="false">IF(COUNT(Algodão!$E42:$Z42)=0,0,MAX(0,IF((AG$6-$E$3)&lt;1,0,IFERROR(LOOKUP(2,1/(Algodão!$E42:INDEX(Algodão!$E42:$Z42,MIN(AG$6-$E$3,22))&lt;&gt;""),Algodão!$E42:INDEX(Algodão!$E42:$Z42,MIN(AG$6-$E$3,22))),0))-IF($G$2,0,IF((AG$6-$G$3)&lt;1,0,IFERROR(LOOKUP(2,1/(Algodão!$E42:INDEX(Algodão!$E42:$Z42,MIN(AG$6-$G$3,22))&lt;&gt;""),Algodão!$E42:INDEX(Algodão!$E42:$Z42,MIN(AG$6-$G$3,22))),0)))))</f>
        <v>0</v>
      </c>
      <c r="AH44" s="27" t="n">
        <f aca="false">IF(COUNT(Algodão!$E42:$Z42)=0,0,MAX(0,IF((AH$6-$E$3)&lt;1,0,IFERROR(LOOKUP(2,1/(Algodão!$E42:INDEX(Algodão!$E42:$Z42,MIN(AH$6-$E$3,22))&lt;&gt;""),Algodão!$E42:INDEX(Algodão!$E42:$Z42,MIN(AH$6-$E$3,22))),0))-IF($G$2,0,IF((AH$6-$G$3)&lt;1,0,IFERROR(LOOKUP(2,1/(Algodão!$E42:INDEX(Algodão!$E42:$Z42,MIN(AH$6-$G$3,22))&lt;&gt;""),Algodão!$E42:INDEX(Algodão!$E42:$Z42,MIN(AH$6-$G$3,22))),0)))))</f>
        <v>0</v>
      </c>
      <c r="AI44" s="27" t="n">
        <f aca="false">IF(COUNT(Algodão!$E42:$Z42)=0,0,MAX(0,IF((AI$6-$E$3)&lt;1,0,IFERROR(LOOKUP(2,1/(Algodão!$E42:INDEX(Algodão!$E42:$Z42,MIN(AI$6-$E$3,22))&lt;&gt;""),Algodão!$E42:INDEX(Algodão!$E42:$Z42,MIN(AI$6-$E$3,22))),0))-IF($G$2,0,IF((AI$6-$G$3)&lt;1,0,IFERROR(LOOKUP(2,1/(Algodão!$E42:INDEX(Algodão!$E42:$Z42,MIN(AI$6-$G$3,22))&lt;&gt;""),Algodão!$E42:INDEX(Algodão!$E42:$Z42,MIN(AI$6-$G$3,22))),0)))))</f>
        <v>0</v>
      </c>
      <c r="AJ44" s="27" t="n">
        <f aca="false">IF(COUNT(Algodão!$E42:$Z42)=0,0,MAX(0,IF((AJ$6-$E$3)&lt;1,0,IFERROR(LOOKUP(2,1/(Algodão!$E42:INDEX(Algodão!$E42:$Z42,MIN(AJ$6-$E$3,22))&lt;&gt;""),Algodão!$E42:INDEX(Algodão!$E42:$Z42,MIN(AJ$6-$E$3,22))),0))-IF($G$2,0,IF((AJ$6-$G$3)&lt;1,0,IFERROR(LOOKUP(2,1/(Algodão!$E42:INDEX(Algodão!$E42:$Z42,MIN(AJ$6-$G$3,22))&lt;&gt;""),Algodão!$E42:INDEX(Algodão!$E42:$Z42,MIN(AJ$6-$G$3,22))),0)))))</f>
        <v>0</v>
      </c>
      <c r="AK44" s="27" t="n">
        <f aca="false">IF(COUNT(Algodão!$E42:$Z42)=0,0,MAX(0,IF((AK$6-$E$3)&lt;1,0,IFERROR(LOOKUP(2,1/(Algodão!$E42:INDEX(Algodão!$E42:$Z42,MIN(AK$6-$E$3,22))&lt;&gt;""),Algodão!$E42:INDEX(Algodão!$E42:$Z42,MIN(AK$6-$E$3,22))),0))-IF($G$2,0,IF((AK$6-$G$3)&lt;1,0,IFERROR(LOOKUP(2,1/(Algodão!$E42:INDEX(Algodão!$E42:$Z42,MIN(AK$6-$G$3,22))&lt;&gt;""),Algodão!$E42:INDEX(Algodão!$E42:$Z42,MIN(AK$6-$G$3,22))),0)))))</f>
        <v>0</v>
      </c>
      <c r="AL44" s="27" t="n">
        <f aca="false">IF(COUNT(Algodão!$E42:$Z42)=0,0,MAX(0,IF((AL$6-$E$3)&lt;1,0,IFERROR(LOOKUP(2,1/(Algodão!$E42:INDEX(Algodão!$E42:$Z42,MIN(AL$6-$E$3,22))&lt;&gt;""),Algodão!$E42:INDEX(Algodão!$E42:$Z42,MIN(AL$6-$E$3,22))),0))-IF($G$2,0,IF((AL$6-$G$3)&lt;1,0,IFERROR(LOOKUP(2,1/(Algodão!$E42:INDEX(Algodão!$E42:$Z42,MIN(AL$6-$G$3,22))&lt;&gt;""),Algodão!$E42:INDEX(Algodão!$E42:$Z42,MIN(AL$6-$G$3,22))),0)))))</f>
        <v>0</v>
      </c>
      <c r="AM44" s="27" t="n">
        <f aca="false">IF(COUNT(Algodão!$E42:$Z42)=0,0,MAX(0,IF((AM$6-$E$3)&lt;1,0,IFERROR(LOOKUP(2,1/(Algodão!$E42:INDEX(Algodão!$E42:$Z42,MIN(AM$6-$E$3,22))&lt;&gt;""),Algodão!$E42:INDEX(Algodão!$E42:$Z42,MIN(AM$6-$E$3,22))),0))-IF($G$2,0,IF((AM$6-$G$3)&lt;1,0,IFERROR(LOOKUP(2,1/(Algodão!$E42:INDEX(Algodão!$E42:$Z42,MIN(AM$6-$G$3,22))&lt;&gt;""),Algodão!$E42:INDEX(Algodão!$E42:$Z42,MIN(AM$6-$G$3,22))),0)))))</f>
        <v>0</v>
      </c>
      <c r="AN44" s="27" t="n">
        <f aca="false">IF(COUNT(Algodão!$E42:$Z42)=0,0,MAX(0,IF((AN$6-$E$3)&lt;1,0,IFERROR(LOOKUP(2,1/(Algodão!$E42:INDEX(Algodão!$E42:$Z42,MIN(AN$6-$E$3,22))&lt;&gt;""),Algodão!$E42:INDEX(Algodão!$E42:$Z42,MIN(AN$6-$E$3,22))),0))-IF($G$2,0,IF((AN$6-$G$3)&lt;1,0,IFERROR(LOOKUP(2,1/(Algodão!$E42:INDEX(Algodão!$E42:$Z42,MIN(AN$6-$G$3,22))&lt;&gt;""),Algodão!$E42:INDEX(Algodão!$E42:$Z42,MIN(AN$6-$G$3,22))),0)))))</f>
        <v>0</v>
      </c>
      <c r="AO44" s="27" t="n">
        <f aca="false">IF(COUNT(Algodão!$E42:$Z42)=0,0,MAX(0,IF((AO$6-$E$3)&lt;1,0,IFERROR(LOOKUP(2,1/(Algodão!$E42:INDEX(Algodão!$E42:$Z42,MIN(AO$6-$E$3,22))&lt;&gt;""),Algodão!$E42:INDEX(Algodão!$E42:$Z42,MIN(AO$6-$E$3,22))),0))-IF($G$2,0,IF((AO$6-$G$3)&lt;1,0,IFERROR(LOOKUP(2,1/(Algodão!$E42:INDEX(Algodão!$E42:$Z42,MIN(AO$6-$G$3,22))&lt;&gt;""),Algodão!$E42:INDEX(Algodão!$E42:$Z42,MIN(AO$6-$G$3,22))),0)))))</f>
        <v>0</v>
      </c>
      <c r="AP44" s="27" t="n">
        <f aca="false">IF(COUNT(Algodão!$E42:$Z42)=0,0,MAX(0,IF((AP$6-$E$3)&lt;1,0,IFERROR(LOOKUP(2,1/(Algodão!$E42:INDEX(Algodão!$E42:$Z42,MIN(AP$6-$E$3,22))&lt;&gt;""),Algodão!$E42:INDEX(Algodão!$E42:$Z42,MIN(AP$6-$E$3,22))),0))-IF($G$2,0,IF((AP$6-$G$3)&lt;1,0,IFERROR(LOOKUP(2,1/(Algodão!$E42:INDEX(Algodão!$E42:$Z42,MIN(AP$6-$G$3,22))&lt;&gt;""),Algodão!$E42:INDEX(Algodão!$E42:$Z42,MIN(AP$6-$G$3,22))),0)))))</f>
        <v>0</v>
      </c>
      <c r="AQ44" s="27" t="n">
        <f aca="false">IF(COUNT(Algodão!$E42:$Z42)=0,0,MAX(0,IF((AQ$6-$E$3)&lt;1,0,IFERROR(LOOKUP(2,1/(Algodão!$E42:INDEX(Algodão!$E42:$Z42,MIN(AQ$6-$E$3,22))&lt;&gt;""),Algodão!$E42:INDEX(Algodão!$E42:$Z42,MIN(AQ$6-$E$3,22))),0))-IF($G$2,0,IF((AQ$6-$G$3)&lt;1,0,IFERROR(LOOKUP(2,1/(Algodão!$E42:INDEX(Algodão!$E42:$Z42,MIN(AQ$6-$G$3,22))&lt;&gt;""),Algodão!$E42:INDEX(Algodão!$E42:$Z42,MIN(AQ$6-$G$3,22))),0)))))</f>
        <v>0</v>
      </c>
      <c r="AR44" s="27" t="n">
        <f aca="false">IF(COUNT(Algodão!$E42:$Z42)=0,0,MAX(0,IF((AR$6-$E$3)&lt;1,0,IFERROR(LOOKUP(2,1/(Algodão!$E42:INDEX(Algodão!$E42:$Z42,MIN(AR$6-$E$3,22))&lt;&gt;""),Algodão!$E42:INDEX(Algodão!$E42:$Z42,MIN(AR$6-$E$3,22))),0))-IF($G$2,0,IF((AR$6-$G$3)&lt;1,0,IFERROR(LOOKUP(2,1/(Algodão!$E42:INDEX(Algodão!$E42:$Z42,MIN(AR$6-$G$3,22))&lt;&gt;""),Algodão!$E42:INDEX(Algodão!$E42:$Z42,MIN(AR$6-$G$3,22))),0)))))</f>
        <v>0</v>
      </c>
      <c r="AS44" s="27" t="n">
        <f aca="false">IF(COUNT(Algodão!$E42:$Z42)=0,0,MAX(0,IF((AS$6-$E$3)&lt;1,0,IFERROR(LOOKUP(2,1/(Algodão!$E42:INDEX(Algodão!$E42:$Z42,MIN(AS$6-$E$3,22))&lt;&gt;""),Algodão!$E42:INDEX(Algodão!$E42:$Z42,MIN(AS$6-$E$3,22))),0))-IF($G$2,0,IF((AS$6-$G$3)&lt;1,0,IFERROR(LOOKUP(2,1/(Algodão!$E42:INDEX(Algodão!$E42:$Z42,MIN(AS$6-$G$3,22))&lt;&gt;""),Algodão!$E42:INDEX(Algodão!$E42:$Z42,MIN(AS$6-$G$3,22))),0)))))</f>
        <v>0</v>
      </c>
      <c r="AT44" s="27" t="n">
        <f aca="false">IF(COUNT(Algodão!$E42:$Z42)=0,0,MAX(0,IF((AT$6-$E$3)&lt;1,0,IFERROR(LOOKUP(2,1/(Algodão!$E42:INDEX(Algodão!$E42:$Z42,MIN(AT$6-$E$3,22))&lt;&gt;""),Algodão!$E42:INDEX(Algodão!$E42:$Z42,MIN(AT$6-$E$3,22))),0))-IF($G$2,0,IF((AT$6-$G$3)&lt;1,0,IFERROR(LOOKUP(2,1/(Algodão!$E42:INDEX(Algodão!$E42:$Z42,MIN(AT$6-$G$3,22))&lt;&gt;""),Algodão!$E42:INDEX(Algodão!$E42:$Z42,MIN(AT$6-$G$3,22))),0)))))</f>
        <v>0</v>
      </c>
      <c r="AU44" s="27" t="n">
        <f aca="false">IF(COUNT(Algodão!$E42:$Z42)=0,0,MAX(0,IF((AU$6-$E$3)&lt;1,0,IFERROR(LOOKUP(2,1/(Algodão!$E42:INDEX(Algodão!$E42:$Z42,MIN(AU$6-$E$3,22))&lt;&gt;""),Algodão!$E42:INDEX(Algodão!$E42:$Z42,MIN(AU$6-$E$3,22))),0))-IF($G$2,0,IF((AU$6-$G$3)&lt;1,0,IFERROR(LOOKUP(2,1/(Algodão!$E42:INDEX(Algodão!$E42:$Z42,MIN(AU$6-$G$3,22))&lt;&gt;""),Algodão!$E42:INDEX(Algodão!$E42:$Z42,MIN(AU$6-$G$3,22))),0)))))</f>
        <v>0</v>
      </c>
      <c r="AV44" s="27" t="n">
        <f aca="false">IF(COUNT(Algodão!$E42:$Z42)=0,0,MAX(0,IF((AV$6-$E$3)&lt;1,0,IFERROR(LOOKUP(2,1/(Algodão!$E42:INDEX(Algodão!$E42:$Z42,MIN(AV$6-$E$3,22))&lt;&gt;""),Algodão!$E42:INDEX(Algodão!$E42:$Z42,MIN(AV$6-$E$3,22))),0))-IF($G$2,0,IF((AV$6-$G$3)&lt;1,0,IFERROR(LOOKUP(2,1/(Algodão!$E42:INDEX(Algodão!$E42:$Z42,MIN(AV$6-$G$3,22))&lt;&gt;""),Algodão!$E42:INDEX(Algodão!$E42:$Z42,MIN(AV$6-$G$3,22))),0)))))</f>
        <v>0</v>
      </c>
      <c r="AW44" s="27" t="n">
        <f aca="false">IF(COUNT(Algodão!$E42:$Z42)=0,0,MAX(0,IF((AW$6-$E$3)&lt;1,0,IFERROR(LOOKUP(2,1/(Algodão!$E42:INDEX(Algodão!$E42:$Z42,MIN(AW$6-$E$3,22))&lt;&gt;""),Algodão!$E42:INDEX(Algodão!$E42:$Z42,MIN(AW$6-$E$3,22))),0))-IF($G$2,0,IF((AW$6-$G$3)&lt;1,0,IFERROR(LOOKUP(2,1/(Algodão!$E42:INDEX(Algodão!$E42:$Z42,MIN(AW$6-$G$3,22))&lt;&gt;""),Algodão!$E42:INDEX(Algodão!$E42:$Z42,MIN(AW$6-$G$3,22))),0)))))</f>
        <v>0</v>
      </c>
      <c r="AX44" s="27" t="n">
        <f aca="false">IF(COUNT(Algodão!$E42:$Z42)=0,0,MAX(0,IF((AX$6-$E$3)&lt;1,0,IFERROR(LOOKUP(2,1/(Algodão!$E42:INDEX(Algodão!$E42:$Z42,MIN(AX$6-$E$3,22))&lt;&gt;""),Algodão!$E42:INDEX(Algodão!$E42:$Z42,MIN(AX$6-$E$3,22))),0))-IF($G$2,0,IF((AX$6-$G$3)&lt;1,0,IFERROR(LOOKUP(2,1/(Algodão!$E42:INDEX(Algodão!$E42:$Z42,MIN(AX$6-$G$3,22))&lt;&gt;""),Algodão!$E42:INDEX(Algodão!$E42:$Z42,MIN(AX$6-$G$3,22))),0)))))</f>
        <v>0</v>
      </c>
      <c r="AY44" s="27" t="n">
        <f aca="false">IF(COUNT(Algodão!$E42:$Z42)=0,0,MAX(0,IF((AY$6-$E$3)&lt;1,0,IFERROR(LOOKUP(2,1/(Algodão!$E42:INDEX(Algodão!$E42:$Z42,MIN(AY$6-$E$3,22))&lt;&gt;""),Algodão!$E42:INDEX(Algodão!$E42:$Z42,MIN(AY$6-$E$3,22))),0))-IF($G$2,0,IF((AY$6-$G$3)&lt;1,0,IFERROR(LOOKUP(2,1/(Algodão!$E42:INDEX(Algodão!$E42:$Z42,MIN(AY$6-$G$3,22))&lt;&gt;""),Algodão!$E42:INDEX(Algodão!$E42:$Z42,MIN(AY$6-$G$3,22))),0)))))</f>
        <v>0</v>
      </c>
      <c r="AZ44" s="27" t="n">
        <f aca="false">IF(COUNT(Algodão!$E42:$Z42)=0,0,MAX(0,IF((AZ$6-$E$3)&lt;1,0,IFERROR(LOOKUP(2,1/(Algodão!$E42:INDEX(Algodão!$E42:$Z42,MIN(AZ$6-$E$3,22))&lt;&gt;""),Algodão!$E42:INDEX(Algodão!$E42:$Z42,MIN(AZ$6-$E$3,22))),0))-IF($G$2,0,IF((AZ$6-$G$3)&lt;1,0,IFERROR(LOOKUP(2,1/(Algodão!$E42:INDEX(Algodão!$E42:$Z42,MIN(AZ$6-$G$3,22))&lt;&gt;""),Algodão!$E42:INDEX(Algodão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IF(COUNT(Algodão!$E43:$Z43)&gt;0,N(Algodão!$D43),0)</f>
        <v>0</v>
      </c>
      <c r="E45" s="27" t="n">
        <f aca="false">IF(COUNT(Algodão!$E43:$Z43)=0,0,MAX(0,IF((E$6-$E$3)&lt;1,0,IFERROR(LOOKUP(2,1/(Algodão!$E43:INDEX(Algodão!$E43:$Z43,MIN(E$6-$E$3,22))&lt;&gt;""),Algodão!$E43:INDEX(Algodão!$E43:$Z43,MIN(E$6-$E$3,22))),0))-IF($G$2,0,IF((E$6-$G$3)&lt;1,0,IFERROR(LOOKUP(2,1/(Algodão!$E43:INDEX(Algodão!$E43:$Z43,MIN(E$6-$G$3,22))&lt;&gt;""),Algodão!$E43:INDEX(Algodão!$E43:$Z43,MIN(E$6-$G$3,22))),0)))))</f>
        <v>0</v>
      </c>
      <c r="F45" s="27" t="n">
        <f aca="false">IF(COUNT(Algodão!$E43:$Z43)=0,0,MAX(0,IF((F$6-$E$3)&lt;1,0,IFERROR(LOOKUP(2,1/(Algodão!$E43:INDEX(Algodão!$E43:$Z43,MIN(F$6-$E$3,22))&lt;&gt;""),Algodão!$E43:INDEX(Algodão!$E43:$Z43,MIN(F$6-$E$3,22))),0))-IF($G$2,0,IF((F$6-$G$3)&lt;1,0,IFERROR(LOOKUP(2,1/(Algodão!$E43:INDEX(Algodão!$E43:$Z43,MIN(F$6-$G$3,22))&lt;&gt;""),Algodão!$E43:INDEX(Algodão!$E43:$Z43,MIN(F$6-$G$3,22))),0)))))</f>
        <v>0</v>
      </c>
      <c r="G45" s="27" t="n">
        <f aca="false">IF(COUNT(Algodão!$E43:$Z43)=0,0,MAX(0,IF((G$6-$E$3)&lt;1,0,IFERROR(LOOKUP(2,1/(Algodão!$E43:INDEX(Algodão!$E43:$Z43,MIN(G$6-$E$3,22))&lt;&gt;""),Algodão!$E43:INDEX(Algodão!$E43:$Z43,MIN(G$6-$E$3,22))),0))-IF($G$2,0,IF((G$6-$G$3)&lt;1,0,IFERROR(LOOKUP(2,1/(Algodão!$E43:INDEX(Algodão!$E43:$Z43,MIN(G$6-$G$3,22))&lt;&gt;""),Algodão!$E43:INDEX(Algodão!$E43:$Z43,MIN(G$6-$G$3,22))),0)))))</f>
        <v>0</v>
      </c>
      <c r="H45" s="27" t="n">
        <f aca="false">IF(COUNT(Algodão!$E43:$Z43)=0,0,MAX(0,IF((H$6-$E$3)&lt;1,0,IFERROR(LOOKUP(2,1/(Algodão!$E43:INDEX(Algodão!$E43:$Z43,MIN(H$6-$E$3,22))&lt;&gt;""),Algodão!$E43:INDEX(Algodão!$E43:$Z43,MIN(H$6-$E$3,22))),0))-IF($G$2,0,IF((H$6-$G$3)&lt;1,0,IFERROR(LOOKUP(2,1/(Algodão!$E43:INDEX(Algodão!$E43:$Z43,MIN(H$6-$G$3,22))&lt;&gt;""),Algodão!$E43:INDEX(Algodão!$E43:$Z43,MIN(H$6-$G$3,22))),0)))))</f>
        <v>0</v>
      </c>
      <c r="I45" s="27" t="n">
        <f aca="false">IF(COUNT(Algodão!$E43:$Z43)=0,0,MAX(0,IF((I$6-$E$3)&lt;1,0,IFERROR(LOOKUP(2,1/(Algodão!$E43:INDEX(Algodão!$E43:$Z43,MIN(I$6-$E$3,22))&lt;&gt;""),Algodão!$E43:INDEX(Algodão!$E43:$Z43,MIN(I$6-$E$3,22))),0))-IF($G$2,0,IF((I$6-$G$3)&lt;1,0,IFERROR(LOOKUP(2,1/(Algodão!$E43:INDEX(Algodão!$E43:$Z43,MIN(I$6-$G$3,22))&lt;&gt;""),Algodão!$E43:INDEX(Algodão!$E43:$Z43,MIN(I$6-$G$3,22))),0)))))</f>
        <v>0</v>
      </c>
      <c r="J45" s="27" t="n">
        <f aca="false">IF(COUNT(Algodão!$E43:$Z43)=0,0,MAX(0,IF((J$6-$E$3)&lt;1,0,IFERROR(LOOKUP(2,1/(Algodão!$E43:INDEX(Algodão!$E43:$Z43,MIN(J$6-$E$3,22))&lt;&gt;""),Algodão!$E43:INDEX(Algodão!$E43:$Z43,MIN(J$6-$E$3,22))),0))-IF($G$2,0,IF((J$6-$G$3)&lt;1,0,IFERROR(LOOKUP(2,1/(Algodão!$E43:INDEX(Algodão!$E43:$Z43,MIN(J$6-$G$3,22))&lt;&gt;""),Algodão!$E43:INDEX(Algodão!$E43:$Z43,MIN(J$6-$G$3,22))),0)))))</f>
        <v>0</v>
      </c>
      <c r="K45" s="27" t="n">
        <f aca="false">IF(COUNT(Algodão!$E43:$Z43)=0,0,MAX(0,IF((K$6-$E$3)&lt;1,0,IFERROR(LOOKUP(2,1/(Algodão!$E43:INDEX(Algodão!$E43:$Z43,MIN(K$6-$E$3,22))&lt;&gt;""),Algodão!$E43:INDEX(Algodão!$E43:$Z43,MIN(K$6-$E$3,22))),0))-IF($G$2,0,IF((K$6-$G$3)&lt;1,0,IFERROR(LOOKUP(2,1/(Algodão!$E43:INDEX(Algodão!$E43:$Z43,MIN(K$6-$G$3,22))&lt;&gt;""),Algodão!$E43:INDEX(Algodão!$E43:$Z43,MIN(K$6-$G$3,22))),0)))))</f>
        <v>0</v>
      </c>
      <c r="L45" s="27" t="n">
        <f aca="false">IF(COUNT(Algodão!$E43:$Z43)=0,0,MAX(0,IF((L$6-$E$3)&lt;1,0,IFERROR(LOOKUP(2,1/(Algodão!$E43:INDEX(Algodão!$E43:$Z43,MIN(L$6-$E$3,22))&lt;&gt;""),Algodão!$E43:INDEX(Algodão!$E43:$Z43,MIN(L$6-$E$3,22))),0))-IF($G$2,0,IF((L$6-$G$3)&lt;1,0,IFERROR(LOOKUP(2,1/(Algodão!$E43:INDEX(Algodão!$E43:$Z43,MIN(L$6-$G$3,22))&lt;&gt;""),Algodão!$E43:INDEX(Algodão!$E43:$Z43,MIN(L$6-$G$3,22))),0)))))</f>
        <v>0</v>
      </c>
      <c r="M45" s="27" t="n">
        <f aca="false">IF(COUNT(Algodão!$E43:$Z43)=0,0,MAX(0,IF((M$6-$E$3)&lt;1,0,IFERROR(LOOKUP(2,1/(Algodão!$E43:INDEX(Algodão!$E43:$Z43,MIN(M$6-$E$3,22))&lt;&gt;""),Algodão!$E43:INDEX(Algodão!$E43:$Z43,MIN(M$6-$E$3,22))),0))-IF($G$2,0,IF((M$6-$G$3)&lt;1,0,IFERROR(LOOKUP(2,1/(Algodão!$E43:INDEX(Algodão!$E43:$Z43,MIN(M$6-$G$3,22))&lt;&gt;""),Algodão!$E43:INDEX(Algodão!$E43:$Z43,MIN(M$6-$G$3,22))),0)))))</f>
        <v>0</v>
      </c>
      <c r="N45" s="27" t="n">
        <f aca="false">IF(COUNT(Algodão!$E43:$Z43)=0,0,MAX(0,IF((N$6-$E$3)&lt;1,0,IFERROR(LOOKUP(2,1/(Algodão!$E43:INDEX(Algodão!$E43:$Z43,MIN(N$6-$E$3,22))&lt;&gt;""),Algodão!$E43:INDEX(Algodão!$E43:$Z43,MIN(N$6-$E$3,22))),0))-IF($G$2,0,IF((N$6-$G$3)&lt;1,0,IFERROR(LOOKUP(2,1/(Algodão!$E43:INDEX(Algodão!$E43:$Z43,MIN(N$6-$G$3,22))&lt;&gt;""),Algodão!$E43:INDEX(Algodão!$E43:$Z43,MIN(N$6-$G$3,22))),0)))))</f>
        <v>0</v>
      </c>
      <c r="O45" s="27" t="n">
        <f aca="false">IF(COUNT(Algodão!$E43:$Z43)=0,0,MAX(0,IF((O$6-$E$3)&lt;1,0,IFERROR(LOOKUP(2,1/(Algodão!$E43:INDEX(Algodão!$E43:$Z43,MIN(O$6-$E$3,22))&lt;&gt;""),Algodão!$E43:INDEX(Algodão!$E43:$Z43,MIN(O$6-$E$3,22))),0))-IF($G$2,0,IF((O$6-$G$3)&lt;1,0,IFERROR(LOOKUP(2,1/(Algodão!$E43:INDEX(Algodão!$E43:$Z43,MIN(O$6-$G$3,22))&lt;&gt;""),Algodão!$E43:INDEX(Algodão!$E43:$Z43,MIN(O$6-$G$3,22))),0)))))</f>
        <v>0</v>
      </c>
      <c r="P45" s="27" t="n">
        <f aca="false">IF(COUNT(Algodão!$E43:$Z43)=0,0,MAX(0,IF((P$6-$E$3)&lt;1,0,IFERROR(LOOKUP(2,1/(Algodão!$E43:INDEX(Algodão!$E43:$Z43,MIN(P$6-$E$3,22))&lt;&gt;""),Algodão!$E43:INDEX(Algodão!$E43:$Z43,MIN(P$6-$E$3,22))),0))-IF($G$2,0,IF((P$6-$G$3)&lt;1,0,IFERROR(LOOKUP(2,1/(Algodão!$E43:INDEX(Algodão!$E43:$Z43,MIN(P$6-$G$3,22))&lt;&gt;""),Algodão!$E43:INDEX(Algodão!$E43:$Z43,MIN(P$6-$G$3,22))),0)))))</f>
        <v>0</v>
      </c>
      <c r="Q45" s="27" t="n">
        <f aca="false">IF(COUNT(Algodão!$E43:$Z43)=0,0,MAX(0,IF((Q$6-$E$3)&lt;1,0,IFERROR(LOOKUP(2,1/(Algodão!$E43:INDEX(Algodão!$E43:$Z43,MIN(Q$6-$E$3,22))&lt;&gt;""),Algodão!$E43:INDEX(Algodão!$E43:$Z43,MIN(Q$6-$E$3,22))),0))-IF($G$2,0,IF((Q$6-$G$3)&lt;1,0,IFERROR(LOOKUP(2,1/(Algodão!$E43:INDEX(Algodão!$E43:$Z43,MIN(Q$6-$G$3,22))&lt;&gt;""),Algodão!$E43:INDEX(Algodão!$E43:$Z43,MIN(Q$6-$G$3,22))),0)))))</f>
        <v>0</v>
      </c>
      <c r="R45" s="27" t="n">
        <f aca="false">IF(COUNT(Algodão!$E43:$Z43)=0,0,MAX(0,IF((R$6-$E$3)&lt;1,0,IFERROR(LOOKUP(2,1/(Algodão!$E43:INDEX(Algodão!$E43:$Z43,MIN(R$6-$E$3,22))&lt;&gt;""),Algodão!$E43:INDEX(Algodão!$E43:$Z43,MIN(R$6-$E$3,22))),0))-IF($G$2,0,IF((R$6-$G$3)&lt;1,0,IFERROR(LOOKUP(2,1/(Algodão!$E43:INDEX(Algodão!$E43:$Z43,MIN(R$6-$G$3,22))&lt;&gt;""),Algodão!$E43:INDEX(Algodão!$E43:$Z43,MIN(R$6-$G$3,22))),0)))))</f>
        <v>0</v>
      </c>
      <c r="S45" s="27" t="n">
        <f aca="false">IF(COUNT(Algodão!$E43:$Z43)=0,0,MAX(0,IF((S$6-$E$3)&lt;1,0,IFERROR(LOOKUP(2,1/(Algodão!$E43:INDEX(Algodão!$E43:$Z43,MIN(S$6-$E$3,22))&lt;&gt;""),Algodão!$E43:INDEX(Algodão!$E43:$Z43,MIN(S$6-$E$3,22))),0))-IF($G$2,0,IF((S$6-$G$3)&lt;1,0,IFERROR(LOOKUP(2,1/(Algodão!$E43:INDEX(Algodão!$E43:$Z43,MIN(S$6-$G$3,22))&lt;&gt;""),Algodão!$E43:INDEX(Algodão!$E43:$Z43,MIN(S$6-$G$3,22))),0)))))</f>
        <v>0</v>
      </c>
      <c r="T45" s="27" t="n">
        <f aca="false">IF(COUNT(Algodão!$E43:$Z43)=0,0,MAX(0,IF((T$6-$E$3)&lt;1,0,IFERROR(LOOKUP(2,1/(Algodão!$E43:INDEX(Algodão!$E43:$Z43,MIN(T$6-$E$3,22))&lt;&gt;""),Algodão!$E43:INDEX(Algodão!$E43:$Z43,MIN(T$6-$E$3,22))),0))-IF($G$2,0,IF((T$6-$G$3)&lt;1,0,IFERROR(LOOKUP(2,1/(Algodão!$E43:INDEX(Algodão!$E43:$Z43,MIN(T$6-$G$3,22))&lt;&gt;""),Algodão!$E43:INDEX(Algodão!$E43:$Z43,MIN(T$6-$G$3,22))),0)))))</f>
        <v>0</v>
      </c>
      <c r="U45" s="27" t="n">
        <f aca="false">IF(COUNT(Algodão!$E43:$Z43)=0,0,MAX(0,IF((U$6-$E$3)&lt;1,0,IFERROR(LOOKUP(2,1/(Algodão!$E43:INDEX(Algodão!$E43:$Z43,MIN(U$6-$E$3,22))&lt;&gt;""),Algodão!$E43:INDEX(Algodão!$E43:$Z43,MIN(U$6-$E$3,22))),0))-IF($G$2,0,IF((U$6-$G$3)&lt;1,0,IFERROR(LOOKUP(2,1/(Algodão!$E43:INDEX(Algodão!$E43:$Z43,MIN(U$6-$G$3,22))&lt;&gt;""),Algodão!$E43:INDEX(Algodão!$E43:$Z43,MIN(U$6-$G$3,22))),0)))))</f>
        <v>0</v>
      </c>
      <c r="V45" s="27" t="n">
        <f aca="false">IF(COUNT(Algodão!$E43:$Z43)=0,0,MAX(0,IF((V$6-$E$3)&lt;1,0,IFERROR(LOOKUP(2,1/(Algodão!$E43:INDEX(Algodão!$E43:$Z43,MIN(V$6-$E$3,22))&lt;&gt;""),Algodão!$E43:INDEX(Algodão!$E43:$Z43,MIN(V$6-$E$3,22))),0))-IF($G$2,0,IF((V$6-$G$3)&lt;1,0,IFERROR(LOOKUP(2,1/(Algodão!$E43:INDEX(Algodão!$E43:$Z43,MIN(V$6-$G$3,22))&lt;&gt;""),Algodão!$E43:INDEX(Algodão!$E43:$Z43,MIN(V$6-$G$3,22))),0)))))</f>
        <v>0</v>
      </c>
      <c r="W45" s="27" t="n">
        <f aca="false">IF(COUNT(Algodão!$E43:$Z43)=0,0,MAX(0,IF((W$6-$E$3)&lt;1,0,IFERROR(LOOKUP(2,1/(Algodão!$E43:INDEX(Algodão!$E43:$Z43,MIN(W$6-$E$3,22))&lt;&gt;""),Algodão!$E43:INDEX(Algodão!$E43:$Z43,MIN(W$6-$E$3,22))),0))-IF($G$2,0,IF((W$6-$G$3)&lt;1,0,IFERROR(LOOKUP(2,1/(Algodão!$E43:INDEX(Algodão!$E43:$Z43,MIN(W$6-$G$3,22))&lt;&gt;""),Algodão!$E43:INDEX(Algodão!$E43:$Z43,MIN(W$6-$G$3,22))),0)))))</f>
        <v>0</v>
      </c>
      <c r="X45" s="27" t="n">
        <f aca="false">IF(COUNT(Algodão!$E43:$Z43)=0,0,MAX(0,IF((X$6-$E$3)&lt;1,0,IFERROR(LOOKUP(2,1/(Algodão!$E43:INDEX(Algodão!$E43:$Z43,MIN(X$6-$E$3,22))&lt;&gt;""),Algodão!$E43:INDEX(Algodão!$E43:$Z43,MIN(X$6-$E$3,22))),0))-IF($G$2,0,IF((X$6-$G$3)&lt;1,0,IFERROR(LOOKUP(2,1/(Algodão!$E43:INDEX(Algodão!$E43:$Z43,MIN(X$6-$G$3,22))&lt;&gt;""),Algodão!$E43:INDEX(Algodão!$E43:$Z43,MIN(X$6-$G$3,22))),0)))))</f>
        <v>0</v>
      </c>
      <c r="Y45" s="27" t="n">
        <f aca="false">IF(COUNT(Algodão!$E43:$Z43)=0,0,MAX(0,IF((Y$6-$E$3)&lt;1,0,IFERROR(LOOKUP(2,1/(Algodão!$E43:INDEX(Algodão!$E43:$Z43,MIN(Y$6-$E$3,22))&lt;&gt;""),Algodão!$E43:INDEX(Algodão!$E43:$Z43,MIN(Y$6-$E$3,22))),0))-IF($G$2,0,IF((Y$6-$G$3)&lt;1,0,IFERROR(LOOKUP(2,1/(Algodão!$E43:INDEX(Algodão!$E43:$Z43,MIN(Y$6-$G$3,22))&lt;&gt;""),Algodão!$E43:INDEX(Algodão!$E43:$Z43,MIN(Y$6-$G$3,22))),0)))))</f>
        <v>0</v>
      </c>
      <c r="Z45" s="27" t="n">
        <f aca="false">IF(COUNT(Algodão!$E43:$Z43)=0,0,MAX(0,IF((Z$6-$E$3)&lt;1,0,IFERROR(LOOKUP(2,1/(Algodão!$E43:INDEX(Algodão!$E43:$Z43,MIN(Z$6-$E$3,22))&lt;&gt;""),Algodão!$E43:INDEX(Algodão!$E43:$Z43,MIN(Z$6-$E$3,22))),0))-IF($G$2,0,IF((Z$6-$G$3)&lt;1,0,IFERROR(LOOKUP(2,1/(Algodão!$E43:INDEX(Algodão!$E43:$Z43,MIN(Z$6-$G$3,22))&lt;&gt;""),Algodão!$E43:INDEX(Algodão!$E43:$Z43,MIN(Z$6-$G$3,22))),0)))))</f>
        <v>0</v>
      </c>
      <c r="AA45" s="27" t="n">
        <f aca="false">IF(COUNT(Algodão!$E43:$Z43)=0,0,MAX(0,IF((AA$6-$E$3)&lt;1,0,IFERROR(LOOKUP(2,1/(Algodão!$E43:INDEX(Algodão!$E43:$Z43,MIN(AA$6-$E$3,22))&lt;&gt;""),Algodão!$E43:INDEX(Algodão!$E43:$Z43,MIN(AA$6-$E$3,22))),0))-IF($G$2,0,IF((AA$6-$G$3)&lt;1,0,IFERROR(LOOKUP(2,1/(Algodão!$E43:INDEX(Algodão!$E43:$Z43,MIN(AA$6-$G$3,22))&lt;&gt;""),Algodão!$E43:INDEX(Algodão!$E43:$Z43,MIN(AA$6-$G$3,22))),0)))))</f>
        <v>0</v>
      </c>
      <c r="AB45" s="27" t="n">
        <f aca="false">IF(COUNT(Algodão!$E43:$Z43)=0,0,MAX(0,IF((AB$6-$E$3)&lt;1,0,IFERROR(LOOKUP(2,1/(Algodão!$E43:INDEX(Algodão!$E43:$Z43,MIN(AB$6-$E$3,22))&lt;&gt;""),Algodão!$E43:INDEX(Algodão!$E43:$Z43,MIN(AB$6-$E$3,22))),0))-IF($G$2,0,IF((AB$6-$G$3)&lt;1,0,IFERROR(LOOKUP(2,1/(Algodão!$E43:INDEX(Algodão!$E43:$Z43,MIN(AB$6-$G$3,22))&lt;&gt;""),Algodão!$E43:INDEX(Algodão!$E43:$Z43,MIN(AB$6-$G$3,22))),0)))))</f>
        <v>0</v>
      </c>
      <c r="AC45" s="27" t="n">
        <f aca="false">IF(COUNT(Algodão!$E43:$Z43)=0,0,MAX(0,IF((AC$6-$E$3)&lt;1,0,IFERROR(LOOKUP(2,1/(Algodão!$E43:INDEX(Algodão!$E43:$Z43,MIN(AC$6-$E$3,22))&lt;&gt;""),Algodão!$E43:INDEX(Algodão!$E43:$Z43,MIN(AC$6-$E$3,22))),0))-IF($G$2,0,IF((AC$6-$G$3)&lt;1,0,IFERROR(LOOKUP(2,1/(Algodão!$E43:INDEX(Algodão!$E43:$Z43,MIN(AC$6-$G$3,22))&lt;&gt;""),Algodão!$E43:INDEX(Algodão!$E43:$Z43,MIN(AC$6-$G$3,22))),0)))))</f>
        <v>0</v>
      </c>
      <c r="AD45" s="27" t="n">
        <f aca="false">IF(COUNT(Algodão!$E43:$Z43)=0,0,MAX(0,IF((AD$6-$E$3)&lt;1,0,IFERROR(LOOKUP(2,1/(Algodão!$E43:INDEX(Algodão!$E43:$Z43,MIN(AD$6-$E$3,22))&lt;&gt;""),Algodão!$E43:INDEX(Algodão!$E43:$Z43,MIN(AD$6-$E$3,22))),0))-IF($G$2,0,IF((AD$6-$G$3)&lt;1,0,IFERROR(LOOKUP(2,1/(Algodão!$E43:INDEX(Algodão!$E43:$Z43,MIN(AD$6-$G$3,22))&lt;&gt;""),Algodão!$E43:INDEX(Algodão!$E43:$Z43,MIN(AD$6-$G$3,22))),0)))))</f>
        <v>0</v>
      </c>
      <c r="AE45" s="27" t="n">
        <f aca="false">IF(COUNT(Algodão!$E43:$Z43)=0,0,MAX(0,IF((AE$6-$E$3)&lt;1,0,IFERROR(LOOKUP(2,1/(Algodão!$E43:INDEX(Algodão!$E43:$Z43,MIN(AE$6-$E$3,22))&lt;&gt;""),Algodão!$E43:INDEX(Algodão!$E43:$Z43,MIN(AE$6-$E$3,22))),0))-IF($G$2,0,IF((AE$6-$G$3)&lt;1,0,IFERROR(LOOKUP(2,1/(Algodão!$E43:INDEX(Algodão!$E43:$Z43,MIN(AE$6-$G$3,22))&lt;&gt;""),Algodão!$E43:INDEX(Algodão!$E43:$Z43,MIN(AE$6-$G$3,22))),0)))))</f>
        <v>0</v>
      </c>
      <c r="AF45" s="27" t="n">
        <f aca="false">IF(COUNT(Algodão!$E43:$Z43)=0,0,MAX(0,IF((AF$6-$E$3)&lt;1,0,IFERROR(LOOKUP(2,1/(Algodão!$E43:INDEX(Algodão!$E43:$Z43,MIN(AF$6-$E$3,22))&lt;&gt;""),Algodão!$E43:INDEX(Algodão!$E43:$Z43,MIN(AF$6-$E$3,22))),0))-IF($G$2,0,IF((AF$6-$G$3)&lt;1,0,IFERROR(LOOKUP(2,1/(Algodão!$E43:INDEX(Algodão!$E43:$Z43,MIN(AF$6-$G$3,22))&lt;&gt;""),Algodão!$E43:INDEX(Algodão!$E43:$Z43,MIN(AF$6-$G$3,22))),0)))))</f>
        <v>0</v>
      </c>
      <c r="AG45" s="27" t="n">
        <f aca="false">IF(COUNT(Algodão!$E43:$Z43)=0,0,MAX(0,IF((AG$6-$E$3)&lt;1,0,IFERROR(LOOKUP(2,1/(Algodão!$E43:INDEX(Algodão!$E43:$Z43,MIN(AG$6-$E$3,22))&lt;&gt;""),Algodão!$E43:INDEX(Algodão!$E43:$Z43,MIN(AG$6-$E$3,22))),0))-IF($G$2,0,IF((AG$6-$G$3)&lt;1,0,IFERROR(LOOKUP(2,1/(Algodão!$E43:INDEX(Algodão!$E43:$Z43,MIN(AG$6-$G$3,22))&lt;&gt;""),Algodão!$E43:INDEX(Algodão!$E43:$Z43,MIN(AG$6-$G$3,22))),0)))))</f>
        <v>0</v>
      </c>
      <c r="AH45" s="27" t="n">
        <f aca="false">IF(COUNT(Algodão!$E43:$Z43)=0,0,MAX(0,IF((AH$6-$E$3)&lt;1,0,IFERROR(LOOKUP(2,1/(Algodão!$E43:INDEX(Algodão!$E43:$Z43,MIN(AH$6-$E$3,22))&lt;&gt;""),Algodão!$E43:INDEX(Algodão!$E43:$Z43,MIN(AH$6-$E$3,22))),0))-IF($G$2,0,IF((AH$6-$G$3)&lt;1,0,IFERROR(LOOKUP(2,1/(Algodão!$E43:INDEX(Algodão!$E43:$Z43,MIN(AH$6-$G$3,22))&lt;&gt;""),Algodão!$E43:INDEX(Algodão!$E43:$Z43,MIN(AH$6-$G$3,22))),0)))))</f>
        <v>0</v>
      </c>
      <c r="AI45" s="27" t="n">
        <f aca="false">IF(COUNT(Algodão!$E43:$Z43)=0,0,MAX(0,IF((AI$6-$E$3)&lt;1,0,IFERROR(LOOKUP(2,1/(Algodão!$E43:INDEX(Algodão!$E43:$Z43,MIN(AI$6-$E$3,22))&lt;&gt;""),Algodão!$E43:INDEX(Algodão!$E43:$Z43,MIN(AI$6-$E$3,22))),0))-IF($G$2,0,IF((AI$6-$G$3)&lt;1,0,IFERROR(LOOKUP(2,1/(Algodão!$E43:INDEX(Algodão!$E43:$Z43,MIN(AI$6-$G$3,22))&lt;&gt;""),Algodão!$E43:INDEX(Algodão!$E43:$Z43,MIN(AI$6-$G$3,22))),0)))))</f>
        <v>0</v>
      </c>
      <c r="AJ45" s="27" t="n">
        <f aca="false">IF(COUNT(Algodão!$E43:$Z43)=0,0,MAX(0,IF((AJ$6-$E$3)&lt;1,0,IFERROR(LOOKUP(2,1/(Algodão!$E43:INDEX(Algodão!$E43:$Z43,MIN(AJ$6-$E$3,22))&lt;&gt;""),Algodão!$E43:INDEX(Algodão!$E43:$Z43,MIN(AJ$6-$E$3,22))),0))-IF($G$2,0,IF((AJ$6-$G$3)&lt;1,0,IFERROR(LOOKUP(2,1/(Algodão!$E43:INDEX(Algodão!$E43:$Z43,MIN(AJ$6-$G$3,22))&lt;&gt;""),Algodão!$E43:INDEX(Algodão!$E43:$Z43,MIN(AJ$6-$G$3,22))),0)))))</f>
        <v>0</v>
      </c>
      <c r="AK45" s="27" t="n">
        <f aca="false">IF(COUNT(Algodão!$E43:$Z43)=0,0,MAX(0,IF((AK$6-$E$3)&lt;1,0,IFERROR(LOOKUP(2,1/(Algodão!$E43:INDEX(Algodão!$E43:$Z43,MIN(AK$6-$E$3,22))&lt;&gt;""),Algodão!$E43:INDEX(Algodão!$E43:$Z43,MIN(AK$6-$E$3,22))),0))-IF($G$2,0,IF((AK$6-$G$3)&lt;1,0,IFERROR(LOOKUP(2,1/(Algodão!$E43:INDEX(Algodão!$E43:$Z43,MIN(AK$6-$G$3,22))&lt;&gt;""),Algodão!$E43:INDEX(Algodão!$E43:$Z43,MIN(AK$6-$G$3,22))),0)))))</f>
        <v>0</v>
      </c>
      <c r="AL45" s="27" t="n">
        <f aca="false">IF(COUNT(Algodão!$E43:$Z43)=0,0,MAX(0,IF((AL$6-$E$3)&lt;1,0,IFERROR(LOOKUP(2,1/(Algodão!$E43:INDEX(Algodão!$E43:$Z43,MIN(AL$6-$E$3,22))&lt;&gt;""),Algodão!$E43:INDEX(Algodão!$E43:$Z43,MIN(AL$6-$E$3,22))),0))-IF($G$2,0,IF((AL$6-$G$3)&lt;1,0,IFERROR(LOOKUP(2,1/(Algodão!$E43:INDEX(Algodão!$E43:$Z43,MIN(AL$6-$G$3,22))&lt;&gt;""),Algodão!$E43:INDEX(Algodão!$E43:$Z43,MIN(AL$6-$G$3,22))),0)))))</f>
        <v>0</v>
      </c>
      <c r="AM45" s="27" t="n">
        <f aca="false">IF(COUNT(Algodão!$E43:$Z43)=0,0,MAX(0,IF((AM$6-$E$3)&lt;1,0,IFERROR(LOOKUP(2,1/(Algodão!$E43:INDEX(Algodão!$E43:$Z43,MIN(AM$6-$E$3,22))&lt;&gt;""),Algodão!$E43:INDEX(Algodão!$E43:$Z43,MIN(AM$6-$E$3,22))),0))-IF($G$2,0,IF((AM$6-$G$3)&lt;1,0,IFERROR(LOOKUP(2,1/(Algodão!$E43:INDEX(Algodão!$E43:$Z43,MIN(AM$6-$G$3,22))&lt;&gt;""),Algodão!$E43:INDEX(Algodão!$E43:$Z43,MIN(AM$6-$G$3,22))),0)))))</f>
        <v>0</v>
      </c>
      <c r="AN45" s="27" t="n">
        <f aca="false">IF(COUNT(Algodão!$E43:$Z43)=0,0,MAX(0,IF((AN$6-$E$3)&lt;1,0,IFERROR(LOOKUP(2,1/(Algodão!$E43:INDEX(Algodão!$E43:$Z43,MIN(AN$6-$E$3,22))&lt;&gt;""),Algodão!$E43:INDEX(Algodão!$E43:$Z43,MIN(AN$6-$E$3,22))),0))-IF($G$2,0,IF((AN$6-$G$3)&lt;1,0,IFERROR(LOOKUP(2,1/(Algodão!$E43:INDEX(Algodão!$E43:$Z43,MIN(AN$6-$G$3,22))&lt;&gt;""),Algodão!$E43:INDEX(Algodão!$E43:$Z43,MIN(AN$6-$G$3,22))),0)))))</f>
        <v>0</v>
      </c>
      <c r="AO45" s="27" t="n">
        <f aca="false">IF(COUNT(Algodão!$E43:$Z43)=0,0,MAX(0,IF((AO$6-$E$3)&lt;1,0,IFERROR(LOOKUP(2,1/(Algodão!$E43:INDEX(Algodão!$E43:$Z43,MIN(AO$6-$E$3,22))&lt;&gt;""),Algodão!$E43:INDEX(Algodão!$E43:$Z43,MIN(AO$6-$E$3,22))),0))-IF($G$2,0,IF((AO$6-$G$3)&lt;1,0,IFERROR(LOOKUP(2,1/(Algodão!$E43:INDEX(Algodão!$E43:$Z43,MIN(AO$6-$G$3,22))&lt;&gt;""),Algodão!$E43:INDEX(Algodão!$E43:$Z43,MIN(AO$6-$G$3,22))),0)))))</f>
        <v>0</v>
      </c>
      <c r="AP45" s="27" t="n">
        <f aca="false">IF(COUNT(Algodão!$E43:$Z43)=0,0,MAX(0,IF((AP$6-$E$3)&lt;1,0,IFERROR(LOOKUP(2,1/(Algodão!$E43:INDEX(Algodão!$E43:$Z43,MIN(AP$6-$E$3,22))&lt;&gt;""),Algodão!$E43:INDEX(Algodão!$E43:$Z43,MIN(AP$6-$E$3,22))),0))-IF($G$2,0,IF((AP$6-$G$3)&lt;1,0,IFERROR(LOOKUP(2,1/(Algodão!$E43:INDEX(Algodão!$E43:$Z43,MIN(AP$6-$G$3,22))&lt;&gt;""),Algodão!$E43:INDEX(Algodão!$E43:$Z43,MIN(AP$6-$G$3,22))),0)))))</f>
        <v>0</v>
      </c>
      <c r="AQ45" s="27" t="n">
        <f aca="false">IF(COUNT(Algodão!$E43:$Z43)=0,0,MAX(0,IF((AQ$6-$E$3)&lt;1,0,IFERROR(LOOKUP(2,1/(Algodão!$E43:INDEX(Algodão!$E43:$Z43,MIN(AQ$6-$E$3,22))&lt;&gt;""),Algodão!$E43:INDEX(Algodão!$E43:$Z43,MIN(AQ$6-$E$3,22))),0))-IF($G$2,0,IF((AQ$6-$G$3)&lt;1,0,IFERROR(LOOKUP(2,1/(Algodão!$E43:INDEX(Algodão!$E43:$Z43,MIN(AQ$6-$G$3,22))&lt;&gt;""),Algodão!$E43:INDEX(Algodão!$E43:$Z43,MIN(AQ$6-$G$3,22))),0)))))</f>
        <v>0</v>
      </c>
      <c r="AR45" s="27" t="n">
        <f aca="false">IF(COUNT(Algodão!$E43:$Z43)=0,0,MAX(0,IF((AR$6-$E$3)&lt;1,0,IFERROR(LOOKUP(2,1/(Algodão!$E43:INDEX(Algodão!$E43:$Z43,MIN(AR$6-$E$3,22))&lt;&gt;""),Algodão!$E43:INDEX(Algodão!$E43:$Z43,MIN(AR$6-$E$3,22))),0))-IF($G$2,0,IF((AR$6-$G$3)&lt;1,0,IFERROR(LOOKUP(2,1/(Algodão!$E43:INDEX(Algodão!$E43:$Z43,MIN(AR$6-$G$3,22))&lt;&gt;""),Algodão!$E43:INDEX(Algodão!$E43:$Z43,MIN(AR$6-$G$3,22))),0)))))</f>
        <v>0</v>
      </c>
      <c r="AS45" s="27" t="n">
        <f aca="false">IF(COUNT(Algodão!$E43:$Z43)=0,0,MAX(0,IF((AS$6-$E$3)&lt;1,0,IFERROR(LOOKUP(2,1/(Algodão!$E43:INDEX(Algodão!$E43:$Z43,MIN(AS$6-$E$3,22))&lt;&gt;""),Algodão!$E43:INDEX(Algodão!$E43:$Z43,MIN(AS$6-$E$3,22))),0))-IF($G$2,0,IF((AS$6-$G$3)&lt;1,0,IFERROR(LOOKUP(2,1/(Algodão!$E43:INDEX(Algodão!$E43:$Z43,MIN(AS$6-$G$3,22))&lt;&gt;""),Algodão!$E43:INDEX(Algodão!$E43:$Z43,MIN(AS$6-$G$3,22))),0)))))</f>
        <v>0</v>
      </c>
      <c r="AT45" s="27" t="n">
        <f aca="false">IF(COUNT(Algodão!$E43:$Z43)=0,0,MAX(0,IF((AT$6-$E$3)&lt;1,0,IFERROR(LOOKUP(2,1/(Algodão!$E43:INDEX(Algodão!$E43:$Z43,MIN(AT$6-$E$3,22))&lt;&gt;""),Algodão!$E43:INDEX(Algodão!$E43:$Z43,MIN(AT$6-$E$3,22))),0))-IF($G$2,0,IF((AT$6-$G$3)&lt;1,0,IFERROR(LOOKUP(2,1/(Algodão!$E43:INDEX(Algodão!$E43:$Z43,MIN(AT$6-$G$3,22))&lt;&gt;""),Algodão!$E43:INDEX(Algodão!$E43:$Z43,MIN(AT$6-$G$3,22))),0)))))</f>
        <v>0</v>
      </c>
      <c r="AU45" s="27" t="n">
        <f aca="false">IF(COUNT(Algodão!$E43:$Z43)=0,0,MAX(0,IF((AU$6-$E$3)&lt;1,0,IFERROR(LOOKUP(2,1/(Algodão!$E43:INDEX(Algodão!$E43:$Z43,MIN(AU$6-$E$3,22))&lt;&gt;""),Algodão!$E43:INDEX(Algodão!$E43:$Z43,MIN(AU$6-$E$3,22))),0))-IF($G$2,0,IF((AU$6-$G$3)&lt;1,0,IFERROR(LOOKUP(2,1/(Algodão!$E43:INDEX(Algodão!$E43:$Z43,MIN(AU$6-$G$3,22))&lt;&gt;""),Algodão!$E43:INDEX(Algodão!$E43:$Z43,MIN(AU$6-$G$3,22))),0)))))</f>
        <v>0</v>
      </c>
      <c r="AV45" s="27" t="n">
        <f aca="false">IF(COUNT(Algodão!$E43:$Z43)=0,0,MAX(0,IF((AV$6-$E$3)&lt;1,0,IFERROR(LOOKUP(2,1/(Algodão!$E43:INDEX(Algodão!$E43:$Z43,MIN(AV$6-$E$3,22))&lt;&gt;""),Algodão!$E43:INDEX(Algodão!$E43:$Z43,MIN(AV$6-$E$3,22))),0))-IF($G$2,0,IF((AV$6-$G$3)&lt;1,0,IFERROR(LOOKUP(2,1/(Algodão!$E43:INDEX(Algodão!$E43:$Z43,MIN(AV$6-$G$3,22))&lt;&gt;""),Algodão!$E43:INDEX(Algodão!$E43:$Z43,MIN(AV$6-$G$3,22))),0)))))</f>
        <v>0</v>
      </c>
      <c r="AW45" s="27" t="n">
        <f aca="false">IF(COUNT(Algodão!$E43:$Z43)=0,0,MAX(0,IF((AW$6-$E$3)&lt;1,0,IFERROR(LOOKUP(2,1/(Algodão!$E43:INDEX(Algodão!$E43:$Z43,MIN(AW$6-$E$3,22))&lt;&gt;""),Algodão!$E43:INDEX(Algodão!$E43:$Z43,MIN(AW$6-$E$3,22))),0))-IF($G$2,0,IF((AW$6-$G$3)&lt;1,0,IFERROR(LOOKUP(2,1/(Algodão!$E43:INDEX(Algodão!$E43:$Z43,MIN(AW$6-$G$3,22))&lt;&gt;""),Algodão!$E43:INDEX(Algodão!$E43:$Z43,MIN(AW$6-$G$3,22))),0)))))</f>
        <v>0</v>
      </c>
      <c r="AX45" s="27" t="n">
        <f aca="false">IF(COUNT(Algodão!$E43:$Z43)=0,0,MAX(0,IF((AX$6-$E$3)&lt;1,0,IFERROR(LOOKUP(2,1/(Algodão!$E43:INDEX(Algodão!$E43:$Z43,MIN(AX$6-$E$3,22))&lt;&gt;""),Algodão!$E43:INDEX(Algodão!$E43:$Z43,MIN(AX$6-$E$3,22))),0))-IF($G$2,0,IF((AX$6-$G$3)&lt;1,0,IFERROR(LOOKUP(2,1/(Algodão!$E43:INDEX(Algodão!$E43:$Z43,MIN(AX$6-$G$3,22))&lt;&gt;""),Algodão!$E43:INDEX(Algodão!$E43:$Z43,MIN(AX$6-$G$3,22))),0)))))</f>
        <v>0</v>
      </c>
      <c r="AY45" s="27" t="n">
        <f aca="false">IF(COUNT(Algodão!$E43:$Z43)=0,0,MAX(0,IF((AY$6-$E$3)&lt;1,0,IFERROR(LOOKUP(2,1/(Algodão!$E43:INDEX(Algodão!$E43:$Z43,MIN(AY$6-$E$3,22))&lt;&gt;""),Algodão!$E43:INDEX(Algodão!$E43:$Z43,MIN(AY$6-$E$3,22))),0))-IF($G$2,0,IF((AY$6-$G$3)&lt;1,0,IFERROR(LOOKUP(2,1/(Algodão!$E43:INDEX(Algodão!$E43:$Z43,MIN(AY$6-$G$3,22))&lt;&gt;""),Algodão!$E43:INDEX(Algodão!$E43:$Z43,MIN(AY$6-$G$3,22))),0)))))</f>
        <v>0</v>
      </c>
      <c r="AZ45" s="27" t="n">
        <f aca="false">IF(COUNT(Algodão!$E43:$Z43)=0,0,MAX(0,IF((AZ$6-$E$3)&lt;1,0,IFERROR(LOOKUP(2,1/(Algodão!$E43:INDEX(Algodão!$E43:$Z43,MIN(AZ$6-$E$3,22))&lt;&gt;""),Algodão!$E43:INDEX(Algodão!$E43:$Z43,MIN(AZ$6-$E$3,22))),0))-IF($G$2,0,IF((AZ$6-$G$3)&lt;1,0,IFERROR(LOOKUP(2,1/(Algodão!$E43:INDEX(Algodão!$E43:$Z43,MIN(AZ$6-$G$3,22))&lt;&gt;""),Algodão!$E43:INDEX(Algodão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IF(COUNT(Algodão!$E44:$Z44)&gt;0,N(Algodão!$D44),0)</f>
        <v>0</v>
      </c>
      <c r="E46" s="27" t="n">
        <f aca="false">IF(COUNT(Algodão!$E44:$Z44)=0,0,MAX(0,IF((E$6-$E$3)&lt;1,0,IFERROR(LOOKUP(2,1/(Algodão!$E44:INDEX(Algodão!$E44:$Z44,MIN(E$6-$E$3,22))&lt;&gt;""),Algodão!$E44:INDEX(Algodão!$E44:$Z44,MIN(E$6-$E$3,22))),0))-IF($G$2,0,IF((E$6-$G$3)&lt;1,0,IFERROR(LOOKUP(2,1/(Algodão!$E44:INDEX(Algodão!$E44:$Z44,MIN(E$6-$G$3,22))&lt;&gt;""),Algodão!$E44:INDEX(Algodão!$E44:$Z44,MIN(E$6-$G$3,22))),0)))))</f>
        <v>0</v>
      </c>
      <c r="F46" s="27" t="n">
        <f aca="false">IF(COUNT(Algodão!$E44:$Z44)=0,0,MAX(0,IF((F$6-$E$3)&lt;1,0,IFERROR(LOOKUP(2,1/(Algodão!$E44:INDEX(Algodão!$E44:$Z44,MIN(F$6-$E$3,22))&lt;&gt;""),Algodão!$E44:INDEX(Algodão!$E44:$Z44,MIN(F$6-$E$3,22))),0))-IF($G$2,0,IF((F$6-$G$3)&lt;1,0,IFERROR(LOOKUP(2,1/(Algodão!$E44:INDEX(Algodão!$E44:$Z44,MIN(F$6-$G$3,22))&lt;&gt;""),Algodão!$E44:INDEX(Algodão!$E44:$Z44,MIN(F$6-$G$3,22))),0)))))</f>
        <v>0</v>
      </c>
      <c r="G46" s="27" t="n">
        <f aca="false">IF(COUNT(Algodão!$E44:$Z44)=0,0,MAX(0,IF((G$6-$E$3)&lt;1,0,IFERROR(LOOKUP(2,1/(Algodão!$E44:INDEX(Algodão!$E44:$Z44,MIN(G$6-$E$3,22))&lt;&gt;""),Algodão!$E44:INDEX(Algodão!$E44:$Z44,MIN(G$6-$E$3,22))),0))-IF($G$2,0,IF((G$6-$G$3)&lt;1,0,IFERROR(LOOKUP(2,1/(Algodão!$E44:INDEX(Algodão!$E44:$Z44,MIN(G$6-$G$3,22))&lt;&gt;""),Algodão!$E44:INDEX(Algodão!$E44:$Z44,MIN(G$6-$G$3,22))),0)))))</f>
        <v>0</v>
      </c>
      <c r="H46" s="27" t="n">
        <f aca="false">IF(COUNT(Algodão!$E44:$Z44)=0,0,MAX(0,IF((H$6-$E$3)&lt;1,0,IFERROR(LOOKUP(2,1/(Algodão!$E44:INDEX(Algodão!$E44:$Z44,MIN(H$6-$E$3,22))&lt;&gt;""),Algodão!$E44:INDEX(Algodão!$E44:$Z44,MIN(H$6-$E$3,22))),0))-IF($G$2,0,IF((H$6-$G$3)&lt;1,0,IFERROR(LOOKUP(2,1/(Algodão!$E44:INDEX(Algodão!$E44:$Z44,MIN(H$6-$G$3,22))&lt;&gt;""),Algodão!$E44:INDEX(Algodão!$E44:$Z44,MIN(H$6-$G$3,22))),0)))))</f>
        <v>0</v>
      </c>
      <c r="I46" s="27" t="n">
        <f aca="false">IF(COUNT(Algodão!$E44:$Z44)=0,0,MAX(0,IF((I$6-$E$3)&lt;1,0,IFERROR(LOOKUP(2,1/(Algodão!$E44:INDEX(Algodão!$E44:$Z44,MIN(I$6-$E$3,22))&lt;&gt;""),Algodão!$E44:INDEX(Algodão!$E44:$Z44,MIN(I$6-$E$3,22))),0))-IF($G$2,0,IF((I$6-$G$3)&lt;1,0,IFERROR(LOOKUP(2,1/(Algodão!$E44:INDEX(Algodão!$E44:$Z44,MIN(I$6-$G$3,22))&lt;&gt;""),Algodão!$E44:INDEX(Algodão!$E44:$Z44,MIN(I$6-$G$3,22))),0)))))</f>
        <v>0</v>
      </c>
      <c r="J46" s="27" t="n">
        <f aca="false">IF(COUNT(Algodão!$E44:$Z44)=0,0,MAX(0,IF((J$6-$E$3)&lt;1,0,IFERROR(LOOKUP(2,1/(Algodão!$E44:INDEX(Algodão!$E44:$Z44,MIN(J$6-$E$3,22))&lt;&gt;""),Algodão!$E44:INDEX(Algodão!$E44:$Z44,MIN(J$6-$E$3,22))),0))-IF($G$2,0,IF((J$6-$G$3)&lt;1,0,IFERROR(LOOKUP(2,1/(Algodão!$E44:INDEX(Algodão!$E44:$Z44,MIN(J$6-$G$3,22))&lt;&gt;""),Algodão!$E44:INDEX(Algodão!$E44:$Z44,MIN(J$6-$G$3,22))),0)))))</f>
        <v>0</v>
      </c>
      <c r="K46" s="27" t="n">
        <f aca="false">IF(COUNT(Algodão!$E44:$Z44)=0,0,MAX(0,IF((K$6-$E$3)&lt;1,0,IFERROR(LOOKUP(2,1/(Algodão!$E44:INDEX(Algodão!$E44:$Z44,MIN(K$6-$E$3,22))&lt;&gt;""),Algodão!$E44:INDEX(Algodão!$E44:$Z44,MIN(K$6-$E$3,22))),0))-IF($G$2,0,IF((K$6-$G$3)&lt;1,0,IFERROR(LOOKUP(2,1/(Algodão!$E44:INDEX(Algodão!$E44:$Z44,MIN(K$6-$G$3,22))&lt;&gt;""),Algodão!$E44:INDEX(Algodão!$E44:$Z44,MIN(K$6-$G$3,22))),0)))))</f>
        <v>0</v>
      </c>
      <c r="L46" s="27" t="n">
        <f aca="false">IF(COUNT(Algodão!$E44:$Z44)=0,0,MAX(0,IF((L$6-$E$3)&lt;1,0,IFERROR(LOOKUP(2,1/(Algodão!$E44:INDEX(Algodão!$E44:$Z44,MIN(L$6-$E$3,22))&lt;&gt;""),Algodão!$E44:INDEX(Algodão!$E44:$Z44,MIN(L$6-$E$3,22))),0))-IF($G$2,0,IF((L$6-$G$3)&lt;1,0,IFERROR(LOOKUP(2,1/(Algodão!$E44:INDEX(Algodão!$E44:$Z44,MIN(L$6-$G$3,22))&lt;&gt;""),Algodão!$E44:INDEX(Algodão!$E44:$Z44,MIN(L$6-$G$3,22))),0)))))</f>
        <v>0</v>
      </c>
      <c r="M46" s="27" t="n">
        <f aca="false">IF(COUNT(Algodão!$E44:$Z44)=0,0,MAX(0,IF((M$6-$E$3)&lt;1,0,IFERROR(LOOKUP(2,1/(Algodão!$E44:INDEX(Algodão!$E44:$Z44,MIN(M$6-$E$3,22))&lt;&gt;""),Algodão!$E44:INDEX(Algodão!$E44:$Z44,MIN(M$6-$E$3,22))),0))-IF($G$2,0,IF((M$6-$G$3)&lt;1,0,IFERROR(LOOKUP(2,1/(Algodão!$E44:INDEX(Algodão!$E44:$Z44,MIN(M$6-$G$3,22))&lt;&gt;""),Algodão!$E44:INDEX(Algodão!$E44:$Z44,MIN(M$6-$G$3,22))),0)))))</f>
        <v>0</v>
      </c>
      <c r="N46" s="27" t="n">
        <f aca="false">IF(COUNT(Algodão!$E44:$Z44)=0,0,MAX(0,IF((N$6-$E$3)&lt;1,0,IFERROR(LOOKUP(2,1/(Algodão!$E44:INDEX(Algodão!$E44:$Z44,MIN(N$6-$E$3,22))&lt;&gt;""),Algodão!$E44:INDEX(Algodão!$E44:$Z44,MIN(N$6-$E$3,22))),0))-IF($G$2,0,IF((N$6-$G$3)&lt;1,0,IFERROR(LOOKUP(2,1/(Algodão!$E44:INDEX(Algodão!$E44:$Z44,MIN(N$6-$G$3,22))&lt;&gt;""),Algodão!$E44:INDEX(Algodão!$E44:$Z44,MIN(N$6-$G$3,22))),0)))))</f>
        <v>0</v>
      </c>
      <c r="O46" s="27" t="n">
        <f aca="false">IF(COUNT(Algodão!$E44:$Z44)=0,0,MAX(0,IF((O$6-$E$3)&lt;1,0,IFERROR(LOOKUP(2,1/(Algodão!$E44:INDEX(Algodão!$E44:$Z44,MIN(O$6-$E$3,22))&lt;&gt;""),Algodão!$E44:INDEX(Algodão!$E44:$Z44,MIN(O$6-$E$3,22))),0))-IF($G$2,0,IF((O$6-$G$3)&lt;1,0,IFERROR(LOOKUP(2,1/(Algodão!$E44:INDEX(Algodão!$E44:$Z44,MIN(O$6-$G$3,22))&lt;&gt;""),Algodão!$E44:INDEX(Algodão!$E44:$Z44,MIN(O$6-$G$3,22))),0)))))</f>
        <v>0</v>
      </c>
      <c r="P46" s="27" t="n">
        <f aca="false">IF(COUNT(Algodão!$E44:$Z44)=0,0,MAX(0,IF((P$6-$E$3)&lt;1,0,IFERROR(LOOKUP(2,1/(Algodão!$E44:INDEX(Algodão!$E44:$Z44,MIN(P$6-$E$3,22))&lt;&gt;""),Algodão!$E44:INDEX(Algodão!$E44:$Z44,MIN(P$6-$E$3,22))),0))-IF($G$2,0,IF((P$6-$G$3)&lt;1,0,IFERROR(LOOKUP(2,1/(Algodão!$E44:INDEX(Algodão!$E44:$Z44,MIN(P$6-$G$3,22))&lt;&gt;""),Algodão!$E44:INDEX(Algodão!$E44:$Z44,MIN(P$6-$G$3,22))),0)))))</f>
        <v>0</v>
      </c>
      <c r="Q46" s="27" t="n">
        <f aca="false">IF(COUNT(Algodão!$E44:$Z44)=0,0,MAX(0,IF((Q$6-$E$3)&lt;1,0,IFERROR(LOOKUP(2,1/(Algodão!$E44:INDEX(Algodão!$E44:$Z44,MIN(Q$6-$E$3,22))&lt;&gt;""),Algodão!$E44:INDEX(Algodão!$E44:$Z44,MIN(Q$6-$E$3,22))),0))-IF($G$2,0,IF((Q$6-$G$3)&lt;1,0,IFERROR(LOOKUP(2,1/(Algodão!$E44:INDEX(Algodão!$E44:$Z44,MIN(Q$6-$G$3,22))&lt;&gt;""),Algodão!$E44:INDEX(Algodão!$E44:$Z44,MIN(Q$6-$G$3,22))),0)))))</f>
        <v>0</v>
      </c>
      <c r="R46" s="27" t="n">
        <f aca="false">IF(COUNT(Algodão!$E44:$Z44)=0,0,MAX(0,IF((R$6-$E$3)&lt;1,0,IFERROR(LOOKUP(2,1/(Algodão!$E44:INDEX(Algodão!$E44:$Z44,MIN(R$6-$E$3,22))&lt;&gt;""),Algodão!$E44:INDEX(Algodão!$E44:$Z44,MIN(R$6-$E$3,22))),0))-IF($G$2,0,IF((R$6-$G$3)&lt;1,0,IFERROR(LOOKUP(2,1/(Algodão!$E44:INDEX(Algodão!$E44:$Z44,MIN(R$6-$G$3,22))&lt;&gt;""),Algodão!$E44:INDEX(Algodão!$E44:$Z44,MIN(R$6-$G$3,22))),0)))))</f>
        <v>0</v>
      </c>
      <c r="S46" s="27" t="n">
        <f aca="false">IF(COUNT(Algodão!$E44:$Z44)=0,0,MAX(0,IF((S$6-$E$3)&lt;1,0,IFERROR(LOOKUP(2,1/(Algodão!$E44:INDEX(Algodão!$E44:$Z44,MIN(S$6-$E$3,22))&lt;&gt;""),Algodão!$E44:INDEX(Algodão!$E44:$Z44,MIN(S$6-$E$3,22))),0))-IF($G$2,0,IF((S$6-$G$3)&lt;1,0,IFERROR(LOOKUP(2,1/(Algodão!$E44:INDEX(Algodão!$E44:$Z44,MIN(S$6-$G$3,22))&lt;&gt;""),Algodão!$E44:INDEX(Algodão!$E44:$Z44,MIN(S$6-$G$3,22))),0)))))</f>
        <v>0</v>
      </c>
      <c r="T46" s="27" t="n">
        <f aca="false">IF(COUNT(Algodão!$E44:$Z44)=0,0,MAX(0,IF((T$6-$E$3)&lt;1,0,IFERROR(LOOKUP(2,1/(Algodão!$E44:INDEX(Algodão!$E44:$Z44,MIN(T$6-$E$3,22))&lt;&gt;""),Algodão!$E44:INDEX(Algodão!$E44:$Z44,MIN(T$6-$E$3,22))),0))-IF($G$2,0,IF((T$6-$G$3)&lt;1,0,IFERROR(LOOKUP(2,1/(Algodão!$E44:INDEX(Algodão!$E44:$Z44,MIN(T$6-$G$3,22))&lt;&gt;""),Algodão!$E44:INDEX(Algodão!$E44:$Z44,MIN(T$6-$G$3,22))),0)))))</f>
        <v>0</v>
      </c>
      <c r="U46" s="27" t="n">
        <f aca="false">IF(COUNT(Algodão!$E44:$Z44)=0,0,MAX(0,IF((U$6-$E$3)&lt;1,0,IFERROR(LOOKUP(2,1/(Algodão!$E44:INDEX(Algodão!$E44:$Z44,MIN(U$6-$E$3,22))&lt;&gt;""),Algodão!$E44:INDEX(Algodão!$E44:$Z44,MIN(U$6-$E$3,22))),0))-IF($G$2,0,IF((U$6-$G$3)&lt;1,0,IFERROR(LOOKUP(2,1/(Algodão!$E44:INDEX(Algodão!$E44:$Z44,MIN(U$6-$G$3,22))&lt;&gt;""),Algodão!$E44:INDEX(Algodão!$E44:$Z44,MIN(U$6-$G$3,22))),0)))))</f>
        <v>0</v>
      </c>
      <c r="V46" s="27" t="n">
        <f aca="false">IF(COUNT(Algodão!$E44:$Z44)=0,0,MAX(0,IF((V$6-$E$3)&lt;1,0,IFERROR(LOOKUP(2,1/(Algodão!$E44:INDEX(Algodão!$E44:$Z44,MIN(V$6-$E$3,22))&lt;&gt;""),Algodão!$E44:INDEX(Algodão!$E44:$Z44,MIN(V$6-$E$3,22))),0))-IF($G$2,0,IF((V$6-$G$3)&lt;1,0,IFERROR(LOOKUP(2,1/(Algodão!$E44:INDEX(Algodão!$E44:$Z44,MIN(V$6-$G$3,22))&lt;&gt;""),Algodão!$E44:INDEX(Algodão!$E44:$Z44,MIN(V$6-$G$3,22))),0)))))</f>
        <v>0</v>
      </c>
      <c r="W46" s="27" t="n">
        <f aca="false">IF(COUNT(Algodão!$E44:$Z44)=0,0,MAX(0,IF((W$6-$E$3)&lt;1,0,IFERROR(LOOKUP(2,1/(Algodão!$E44:INDEX(Algodão!$E44:$Z44,MIN(W$6-$E$3,22))&lt;&gt;""),Algodão!$E44:INDEX(Algodão!$E44:$Z44,MIN(W$6-$E$3,22))),0))-IF($G$2,0,IF((W$6-$G$3)&lt;1,0,IFERROR(LOOKUP(2,1/(Algodão!$E44:INDEX(Algodão!$E44:$Z44,MIN(W$6-$G$3,22))&lt;&gt;""),Algodão!$E44:INDEX(Algodão!$E44:$Z44,MIN(W$6-$G$3,22))),0)))))</f>
        <v>0</v>
      </c>
      <c r="X46" s="27" t="n">
        <f aca="false">IF(COUNT(Algodão!$E44:$Z44)=0,0,MAX(0,IF((X$6-$E$3)&lt;1,0,IFERROR(LOOKUP(2,1/(Algodão!$E44:INDEX(Algodão!$E44:$Z44,MIN(X$6-$E$3,22))&lt;&gt;""),Algodão!$E44:INDEX(Algodão!$E44:$Z44,MIN(X$6-$E$3,22))),0))-IF($G$2,0,IF((X$6-$G$3)&lt;1,0,IFERROR(LOOKUP(2,1/(Algodão!$E44:INDEX(Algodão!$E44:$Z44,MIN(X$6-$G$3,22))&lt;&gt;""),Algodão!$E44:INDEX(Algodão!$E44:$Z44,MIN(X$6-$G$3,22))),0)))))</f>
        <v>0</v>
      </c>
      <c r="Y46" s="27" t="n">
        <f aca="false">IF(COUNT(Algodão!$E44:$Z44)=0,0,MAX(0,IF((Y$6-$E$3)&lt;1,0,IFERROR(LOOKUP(2,1/(Algodão!$E44:INDEX(Algodão!$E44:$Z44,MIN(Y$6-$E$3,22))&lt;&gt;""),Algodão!$E44:INDEX(Algodão!$E44:$Z44,MIN(Y$6-$E$3,22))),0))-IF($G$2,0,IF((Y$6-$G$3)&lt;1,0,IFERROR(LOOKUP(2,1/(Algodão!$E44:INDEX(Algodão!$E44:$Z44,MIN(Y$6-$G$3,22))&lt;&gt;""),Algodão!$E44:INDEX(Algodão!$E44:$Z44,MIN(Y$6-$G$3,22))),0)))))</f>
        <v>0</v>
      </c>
      <c r="Z46" s="27" t="n">
        <f aca="false">IF(COUNT(Algodão!$E44:$Z44)=0,0,MAX(0,IF((Z$6-$E$3)&lt;1,0,IFERROR(LOOKUP(2,1/(Algodão!$E44:INDEX(Algodão!$E44:$Z44,MIN(Z$6-$E$3,22))&lt;&gt;""),Algodão!$E44:INDEX(Algodão!$E44:$Z44,MIN(Z$6-$E$3,22))),0))-IF($G$2,0,IF((Z$6-$G$3)&lt;1,0,IFERROR(LOOKUP(2,1/(Algodão!$E44:INDEX(Algodão!$E44:$Z44,MIN(Z$6-$G$3,22))&lt;&gt;""),Algodão!$E44:INDEX(Algodão!$E44:$Z44,MIN(Z$6-$G$3,22))),0)))))</f>
        <v>0</v>
      </c>
      <c r="AA46" s="27" t="n">
        <f aca="false">IF(COUNT(Algodão!$E44:$Z44)=0,0,MAX(0,IF((AA$6-$E$3)&lt;1,0,IFERROR(LOOKUP(2,1/(Algodão!$E44:INDEX(Algodão!$E44:$Z44,MIN(AA$6-$E$3,22))&lt;&gt;""),Algodão!$E44:INDEX(Algodão!$E44:$Z44,MIN(AA$6-$E$3,22))),0))-IF($G$2,0,IF((AA$6-$G$3)&lt;1,0,IFERROR(LOOKUP(2,1/(Algodão!$E44:INDEX(Algodão!$E44:$Z44,MIN(AA$6-$G$3,22))&lt;&gt;""),Algodão!$E44:INDEX(Algodão!$E44:$Z44,MIN(AA$6-$G$3,22))),0)))))</f>
        <v>0</v>
      </c>
      <c r="AB46" s="27" t="n">
        <f aca="false">IF(COUNT(Algodão!$E44:$Z44)=0,0,MAX(0,IF((AB$6-$E$3)&lt;1,0,IFERROR(LOOKUP(2,1/(Algodão!$E44:INDEX(Algodão!$E44:$Z44,MIN(AB$6-$E$3,22))&lt;&gt;""),Algodão!$E44:INDEX(Algodão!$E44:$Z44,MIN(AB$6-$E$3,22))),0))-IF($G$2,0,IF((AB$6-$G$3)&lt;1,0,IFERROR(LOOKUP(2,1/(Algodão!$E44:INDEX(Algodão!$E44:$Z44,MIN(AB$6-$G$3,22))&lt;&gt;""),Algodão!$E44:INDEX(Algodão!$E44:$Z44,MIN(AB$6-$G$3,22))),0)))))</f>
        <v>0</v>
      </c>
      <c r="AC46" s="27" t="n">
        <f aca="false">IF(COUNT(Algodão!$E44:$Z44)=0,0,MAX(0,IF((AC$6-$E$3)&lt;1,0,IFERROR(LOOKUP(2,1/(Algodão!$E44:INDEX(Algodão!$E44:$Z44,MIN(AC$6-$E$3,22))&lt;&gt;""),Algodão!$E44:INDEX(Algodão!$E44:$Z44,MIN(AC$6-$E$3,22))),0))-IF($G$2,0,IF((AC$6-$G$3)&lt;1,0,IFERROR(LOOKUP(2,1/(Algodão!$E44:INDEX(Algodão!$E44:$Z44,MIN(AC$6-$G$3,22))&lt;&gt;""),Algodão!$E44:INDEX(Algodão!$E44:$Z44,MIN(AC$6-$G$3,22))),0)))))</f>
        <v>0</v>
      </c>
      <c r="AD46" s="27" t="n">
        <f aca="false">IF(COUNT(Algodão!$E44:$Z44)=0,0,MAX(0,IF((AD$6-$E$3)&lt;1,0,IFERROR(LOOKUP(2,1/(Algodão!$E44:INDEX(Algodão!$E44:$Z44,MIN(AD$6-$E$3,22))&lt;&gt;""),Algodão!$E44:INDEX(Algodão!$E44:$Z44,MIN(AD$6-$E$3,22))),0))-IF($G$2,0,IF((AD$6-$G$3)&lt;1,0,IFERROR(LOOKUP(2,1/(Algodão!$E44:INDEX(Algodão!$E44:$Z44,MIN(AD$6-$G$3,22))&lt;&gt;""),Algodão!$E44:INDEX(Algodão!$E44:$Z44,MIN(AD$6-$G$3,22))),0)))))</f>
        <v>0</v>
      </c>
      <c r="AE46" s="27" t="n">
        <f aca="false">IF(COUNT(Algodão!$E44:$Z44)=0,0,MAX(0,IF((AE$6-$E$3)&lt;1,0,IFERROR(LOOKUP(2,1/(Algodão!$E44:INDEX(Algodão!$E44:$Z44,MIN(AE$6-$E$3,22))&lt;&gt;""),Algodão!$E44:INDEX(Algodão!$E44:$Z44,MIN(AE$6-$E$3,22))),0))-IF($G$2,0,IF((AE$6-$G$3)&lt;1,0,IFERROR(LOOKUP(2,1/(Algodão!$E44:INDEX(Algodão!$E44:$Z44,MIN(AE$6-$G$3,22))&lt;&gt;""),Algodão!$E44:INDEX(Algodão!$E44:$Z44,MIN(AE$6-$G$3,22))),0)))))</f>
        <v>0</v>
      </c>
      <c r="AF46" s="27" t="n">
        <f aca="false">IF(COUNT(Algodão!$E44:$Z44)=0,0,MAX(0,IF((AF$6-$E$3)&lt;1,0,IFERROR(LOOKUP(2,1/(Algodão!$E44:INDEX(Algodão!$E44:$Z44,MIN(AF$6-$E$3,22))&lt;&gt;""),Algodão!$E44:INDEX(Algodão!$E44:$Z44,MIN(AF$6-$E$3,22))),0))-IF($G$2,0,IF((AF$6-$G$3)&lt;1,0,IFERROR(LOOKUP(2,1/(Algodão!$E44:INDEX(Algodão!$E44:$Z44,MIN(AF$6-$G$3,22))&lt;&gt;""),Algodão!$E44:INDEX(Algodão!$E44:$Z44,MIN(AF$6-$G$3,22))),0)))))</f>
        <v>0</v>
      </c>
      <c r="AG46" s="27" t="n">
        <f aca="false">IF(COUNT(Algodão!$E44:$Z44)=0,0,MAX(0,IF((AG$6-$E$3)&lt;1,0,IFERROR(LOOKUP(2,1/(Algodão!$E44:INDEX(Algodão!$E44:$Z44,MIN(AG$6-$E$3,22))&lt;&gt;""),Algodão!$E44:INDEX(Algodão!$E44:$Z44,MIN(AG$6-$E$3,22))),0))-IF($G$2,0,IF((AG$6-$G$3)&lt;1,0,IFERROR(LOOKUP(2,1/(Algodão!$E44:INDEX(Algodão!$E44:$Z44,MIN(AG$6-$G$3,22))&lt;&gt;""),Algodão!$E44:INDEX(Algodão!$E44:$Z44,MIN(AG$6-$G$3,22))),0)))))</f>
        <v>0</v>
      </c>
      <c r="AH46" s="27" t="n">
        <f aca="false">IF(COUNT(Algodão!$E44:$Z44)=0,0,MAX(0,IF((AH$6-$E$3)&lt;1,0,IFERROR(LOOKUP(2,1/(Algodão!$E44:INDEX(Algodão!$E44:$Z44,MIN(AH$6-$E$3,22))&lt;&gt;""),Algodão!$E44:INDEX(Algodão!$E44:$Z44,MIN(AH$6-$E$3,22))),0))-IF($G$2,0,IF((AH$6-$G$3)&lt;1,0,IFERROR(LOOKUP(2,1/(Algodão!$E44:INDEX(Algodão!$E44:$Z44,MIN(AH$6-$G$3,22))&lt;&gt;""),Algodão!$E44:INDEX(Algodão!$E44:$Z44,MIN(AH$6-$G$3,22))),0)))))</f>
        <v>0</v>
      </c>
      <c r="AI46" s="27" t="n">
        <f aca="false">IF(COUNT(Algodão!$E44:$Z44)=0,0,MAX(0,IF((AI$6-$E$3)&lt;1,0,IFERROR(LOOKUP(2,1/(Algodão!$E44:INDEX(Algodão!$E44:$Z44,MIN(AI$6-$E$3,22))&lt;&gt;""),Algodão!$E44:INDEX(Algodão!$E44:$Z44,MIN(AI$6-$E$3,22))),0))-IF($G$2,0,IF((AI$6-$G$3)&lt;1,0,IFERROR(LOOKUP(2,1/(Algodão!$E44:INDEX(Algodão!$E44:$Z44,MIN(AI$6-$G$3,22))&lt;&gt;""),Algodão!$E44:INDEX(Algodão!$E44:$Z44,MIN(AI$6-$G$3,22))),0)))))</f>
        <v>0</v>
      </c>
      <c r="AJ46" s="27" t="n">
        <f aca="false">IF(COUNT(Algodão!$E44:$Z44)=0,0,MAX(0,IF((AJ$6-$E$3)&lt;1,0,IFERROR(LOOKUP(2,1/(Algodão!$E44:INDEX(Algodão!$E44:$Z44,MIN(AJ$6-$E$3,22))&lt;&gt;""),Algodão!$E44:INDEX(Algodão!$E44:$Z44,MIN(AJ$6-$E$3,22))),0))-IF($G$2,0,IF((AJ$6-$G$3)&lt;1,0,IFERROR(LOOKUP(2,1/(Algodão!$E44:INDEX(Algodão!$E44:$Z44,MIN(AJ$6-$G$3,22))&lt;&gt;""),Algodão!$E44:INDEX(Algodão!$E44:$Z44,MIN(AJ$6-$G$3,22))),0)))))</f>
        <v>0</v>
      </c>
      <c r="AK46" s="27" t="n">
        <f aca="false">IF(COUNT(Algodão!$E44:$Z44)=0,0,MAX(0,IF((AK$6-$E$3)&lt;1,0,IFERROR(LOOKUP(2,1/(Algodão!$E44:INDEX(Algodão!$E44:$Z44,MIN(AK$6-$E$3,22))&lt;&gt;""),Algodão!$E44:INDEX(Algodão!$E44:$Z44,MIN(AK$6-$E$3,22))),0))-IF($G$2,0,IF((AK$6-$G$3)&lt;1,0,IFERROR(LOOKUP(2,1/(Algodão!$E44:INDEX(Algodão!$E44:$Z44,MIN(AK$6-$G$3,22))&lt;&gt;""),Algodão!$E44:INDEX(Algodão!$E44:$Z44,MIN(AK$6-$G$3,22))),0)))))</f>
        <v>0</v>
      </c>
      <c r="AL46" s="27" t="n">
        <f aca="false">IF(COUNT(Algodão!$E44:$Z44)=0,0,MAX(0,IF((AL$6-$E$3)&lt;1,0,IFERROR(LOOKUP(2,1/(Algodão!$E44:INDEX(Algodão!$E44:$Z44,MIN(AL$6-$E$3,22))&lt;&gt;""),Algodão!$E44:INDEX(Algodão!$E44:$Z44,MIN(AL$6-$E$3,22))),0))-IF($G$2,0,IF((AL$6-$G$3)&lt;1,0,IFERROR(LOOKUP(2,1/(Algodão!$E44:INDEX(Algodão!$E44:$Z44,MIN(AL$6-$G$3,22))&lt;&gt;""),Algodão!$E44:INDEX(Algodão!$E44:$Z44,MIN(AL$6-$G$3,22))),0)))))</f>
        <v>0</v>
      </c>
      <c r="AM46" s="27" t="n">
        <f aca="false">IF(COUNT(Algodão!$E44:$Z44)=0,0,MAX(0,IF((AM$6-$E$3)&lt;1,0,IFERROR(LOOKUP(2,1/(Algodão!$E44:INDEX(Algodão!$E44:$Z44,MIN(AM$6-$E$3,22))&lt;&gt;""),Algodão!$E44:INDEX(Algodão!$E44:$Z44,MIN(AM$6-$E$3,22))),0))-IF($G$2,0,IF((AM$6-$G$3)&lt;1,0,IFERROR(LOOKUP(2,1/(Algodão!$E44:INDEX(Algodão!$E44:$Z44,MIN(AM$6-$G$3,22))&lt;&gt;""),Algodão!$E44:INDEX(Algodão!$E44:$Z44,MIN(AM$6-$G$3,22))),0)))))</f>
        <v>0</v>
      </c>
      <c r="AN46" s="27" t="n">
        <f aca="false">IF(COUNT(Algodão!$E44:$Z44)=0,0,MAX(0,IF((AN$6-$E$3)&lt;1,0,IFERROR(LOOKUP(2,1/(Algodão!$E44:INDEX(Algodão!$E44:$Z44,MIN(AN$6-$E$3,22))&lt;&gt;""),Algodão!$E44:INDEX(Algodão!$E44:$Z44,MIN(AN$6-$E$3,22))),0))-IF($G$2,0,IF((AN$6-$G$3)&lt;1,0,IFERROR(LOOKUP(2,1/(Algodão!$E44:INDEX(Algodão!$E44:$Z44,MIN(AN$6-$G$3,22))&lt;&gt;""),Algodão!$E44:INDEX(Algodão!$E44:$Z44,MIN(AN$6-$G$3,22))),0)))))</f>
        <v>0</v>
      </c>
      <c r="AO46" s="27" t="n">
        <f aca="false">IF(COUNT(Algodão!$E44:$Z44)=0,0,MAX(0,IF((AO$6-$E$3)&lt;1,0,IFERROR(LOOKUP(2,1/(Algodão!$E44:INDEX(Algodão!$E44:$Z44,MIN(AO$6-$E$3,22))&lt;&gt;""),Algodão!$E44:INDEX(Algodão!$E44:$Z44,MIN(AO$6-$E$3,22))),0))-IF($G$2,0,IF((AO$6-$G$3)&lt;1,0,IFERROR(LOOKUP(2,1/(Algodão!$E44:INDEX(Algodão!$E44:$Z44,MIN(AO$6-$G$3,22))&lt;&gt;""),Algodão!$E44:INDEX(Algodão!$E44:$Z44,MIN(AO$6-$G$3,22))),0)))))</f>
        <v>0</v>
      </c>
      <c r="AP46" s="27" t="n">
        <f aca="false">IF(COUNT(Algodão!$E44:$Z44)=0,0,MAX(0,IF((AP$6-$E$3)&lt;1,0,IFERROR(LOOKUP(2,1/(Algodão!$E44:INDEX(Algodão!$E44:$Z44,MIN(AP$6-$E$3,22))&lt;&gt;""),Algodão!$E44:INDEX(Algodão!$E44:$Z44,MIN(AP$6-$E$3,22))),0))-IF($G$2,0,IF((AP$6-$G$3)&lt;1,0,IFERROR(LOOKUP(2,1/(Algodão!$E44:INDEX(Algodão!$E44:$Z44,MIN(AP$6-$G$3,22))&lt;&gt;""),Algodão!$E44:INDEX(Algodão!$E44:$Z44,MIN(AP$6-$G$3,22))),0)))))</f>
        <v>0</v>
      </c>
      <c r="AQ46" s="27" t="n">
        <f aca="false">IF(COUNT(Algodão!$E44:$Z44)=0,0,MAX(0,IF((AQ$6-$E$3)&lt;1,0,IFERROR(LOOKUP(2,1/(Algodão!$E44:INDEX(Algodão!$E44:$Z44,MIN(AQ$6-$E$3,22))&lt;&gt;""),Algodão!$E44:INDEX(Algodão!$E44:$Z44,MIN(AQ$6-$E$3,22))),0))-IF($G$2,0,IF((AQ$6-$G$3)&lt;1,0,IFERROR(LOOKUP(2,1/(Algodão!$E44:INDEX(Algodão!$E44:$Z44,MIN(AQ$6-$G$3,22))&lt;&gt;""),Algodão!$E44:INDEX(Algodão!$E44:$Z44,MIN(AQ$6-$G$3,22))),0)))))</f>
        <v>0</v>
      </c>
      <c r="AR46" s="27" t="n">
        <f aca="false">IF(COUNT(Algodão!$E44:$Z44)=0,0,MAX(0,IF((AR$6-$E$3)&lt;1,0,IFERROR(LOOKUP(2,1/(Algodão!$E44:INDEX(Algodão!$E44:$Z44,MIN(AR$6-$E$3,22))&lt;&gt;""),Algodão!$E44:INDEX(Algodão!$E44:$Z44,MIN(AR$6-$E$3,22))),0))-IF($G$2,0,IF((AR$6-$G$3)&lt;1,0,IFERROR(LOOKUP(2,1/(Algodão!$E44:INDEX(Algodão!$E44:$Z44,MIN(AR$6-$G$3,22))&lt;&gt;""),Algodão!$E44:INDEX(Algodão!$E44:$Z44,MIN(AR$6-$G$3,22))),0)))))</f>
        <v>0</v>
      </c>
      <c r="AS46" s="27" t="n">
        <f aca="false">IF(COUNT(Algodão!$E44:$Z44)=0,0,MAX(0,IF((AS$6-$E$3)&lt;1,0,IFERROR(LOOKUP(2,1/(Algodão!$E44:INDEX(Algodão!$E44:$Z44,MIN(AS$6-$E$3,22))&lt;&gt;""),Algodão!$E44:INDEX(Algodão!$E44:$Z44,MIN(AS$6-$E$3,22))),0))-IF($G$2,0,IF((AS$6-$G$3)&lt;1,0,IFERROR(LOOKUP(2,1/(Algodão!$E44:INDEX(Algodão!$E44:$Z44,MIN(AS$6-$G$3,22))&lt;&gt;""),Algodão!$E44:INDEX(Algodão!$E44:$Z44,MIN(AS$6-$G$3,22))),0)))))</f>
        <v>0</v>
      </c>
      <c r="AT46" s="27" t="n">
        <f aca="false">IF(COUNT(Algodão!$E44:$Z44)=0,0,MAX(0,IF((AT$6-$E$3)&lt;1,0,IFERROR(LOOKUP(2,1/(Algodão!$E44:INDEX(Algodão!$E44:$Z44,MIN(AT$6-$E$3,22))&lt;&gt;""),Algodão!$E44:INDEX(Algodão!$E44:$Z44,MIN(AT$6-$E$3,22))),0))-IF($G$2,0,IF((AT$6-$G$3)&lt;1,0,IFERROR(LOOKUP(2,1/(Algodão!$E44:INDEX(Algodão!$E44:$Z44,MIN(AT$6-$G$3,22))&lt;&gt;""),Algodão!$E44:INDEX(Algodão!$E44:$Z44,MIN(AT$6-$G$3,22))),0)))))</f>
        <v>0</v>
      </c>
      <c r="AU46" s="27" t="n">
        <f aca="false">IF(COUNT(Algodão!$E44:$Z44)=0,0,MAX(0,IF((AU$6-$E$3)&lt;1,0,IFERROR(LOOKUP(2,1/(Algodão!$E44:INDEX(Algodão!$E44:$Z44,MIN(AU$6-$E$3,22))&lt;&gt;""),Algodão!$E44:INDEX(Algodão!$E44:$Z44,MIN(AU$6-$E$3,22))),0))-IF($G$2,0,IF((AU$6-$G$3)&lt;1,0,IFERROR(LOOKUP(2,1/(Algodão!$E44:INDEX(Algodão!$E44:$Z44,MIN(AU$6-$G$3,22))&lt;&gt;""),Algodão!$E44:INDEX(Algodão!$E44:$Z44,MIN(AU$6-$G$3,22))),0)))))</f>
        <v>0</v>
      </c>
      <c r="AV46" s="27" t="n">
        <f aca="false">IF(COUNT(Algodão!$E44:$Z44)=0,0,MAX(0,IF((AV$6-$E$3)&lt;1,0,IFERROR(LOOKUP(2,1/(Algodão!$E44:INDEX(Algodão!$E44:$Z44,MIN(AV$6-$E$3,22))&lt;&gt;""),Algodão!$E44:INDEX(Algodão!$E44:$Z44,MIN(AV$6-$E$3,22))),0))-IF($G$2,0,IF((AV$6-$G$3)&lt;1,0,IFERROR(LOOKUP(2,1/(Algodão!$E44:INDEX(Algodão!$E44:$Z44,MIN(AV$6-$G$3,22))&lt;&gt;""),Algodão!$E44:INDEX(Algodão!$E44:$Z44,MIN(AV$6-$G$3,22))),0)))))</f>
        <v>0</v>
      </c>
      <c r="AW46" s="27" t="n">
        <f aca="false">IF(COUNT(Algodão!$E44:$Z44)=0,0,MAX(0,IF((AW$6-$E$3)&lt;1,0,IFERROR(LOOKUP(2,1/(Algodão!$E44:INDEX(Algodão!$E44:$Z44,MIN(AW$6-$E$3,22))&lt;&gt;""),Algodão!$E44:INDEX(Algodão!$E44:$Z44,MIN(AW$6-$E$3,22))),0))-IF($G$2,0,IF((AW$6-$G$3)&lt;1,0,IFERROR(LOOKUP(2,1/(Algodão!$E44:INDEX(Algodão!$E44:$Z44,MIN(AW$6-$G$3,22))&lt;&gt;""),Algodão!$E44:INDEX(Algodão!$E44:$Z44,MIN(AW$6-$G$3,22))),0)))))</f>
        <v>0</v>
      </c>
      <c r="AX46" s="27" t="n">
        <f aca="false">IF(COUNT(Algodão!$E44:$Z44)=0,0,MAX(0,IF((AX$6-$E$3)&lt;1,0,IFERROR(LOOKUP(2,1/(Algodão!$E44:INDEX(Algodão!$E44:$Z44,MIN(AX$6-$E$3,22))&lt;&gt;""),Algodão!$E44:INDEX(Algodão!$E44:$Z44,MIN(AX$6-$E$3,22))),0))-IF($G$2,0,IF((AX$6-$G$3)&lt;1,0,IFERROR(LOOKUP(2,1/(Algodão!$E44:INDEX(Algodão!$E44:$Z44,MIN(AX$6-$G$3,22))&lt;&gt;""),Algodão!$E44:INDEX(Algodão!$E44:$Z44,MIN(AX$6-$G$3,22))),0)))))</f>
        <v>0</v>
      </c>
      <c r="AY46" s="27" t="n">
        <f aca="false">IF(COUNT(Algodão!$E44:$Z44)=0,0,MAX(0,IF((AY$6-$E$3)&lt;1,0,IFERROR(LOOKUP(2,1/(Algodão!$E44:INDEX(Algodão!$E44:$Z44,MIN(AY$6-$E$3,22))&lt;&gt;""),Algodão!$E44:INDEX(Algodão!$E44:$Z44,MIN(AY$6-$E$3,22))),0))-IF($G$2,0,IF((AY$6-$G$3)&lt;1,0,IFERROR(LOOKUP(2,1/(Algodão!$E44:INDEX(Algodão!$E44:$Z44,MIN(AY$6-$G$3,22))&lt;&gt;""),Algodão!$E44:INDEX(Algodão!$E44:$Z44,MIN(AY$6-$G$3,22))),0)))))</f>
        <v>0</v>
      </c>
      <c r="AZ46" s="27" t="n">
        <f aca="false">IF(COUNT(Algodão!$E44:$Z44)=0,0,MAX(0,IF((AZ$6-$E$3)&lt;1,0,IFERROR(LOOKUP(2,1/(Algodão!$E44:INDEX(Algodão!$E44:$Z44,MIN(AZ$6-$E$3,22))&lt;&gt;""),Algodão!$E44:INDEX(Algodão!$E44:$Z44,MIN(AZ$6-$E$3,22))),0))-IF($G$2,0,IF((AZ$6-$G$3)&lt;1,0,IFERROR(LOOKUP(2,1/(Algodão!$E44:INDEX(Algodão!$E44:$Z44,MIN(AZ$6-$G$3,22))&lt;&gt;""),Algodão!$E44:INDEX(Algodão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IF(COUNT(Algodão!$E45:$Z45)&gt;0,N(Algodão!$D45),0)</f>
        <v>0</v>
      </c>
      <c r="E47" s="27" t="n">
        <f aca="false">IF(COUNT(Algodão!$E45:$Z45)=0,0,MAX(0,IF((E$6-$E$3)&lt;1,0,IFERROR(LOOKUP(2,1/(Algodão!$E45:INDEX(Algodão!$E45:$Z45,MIN(E$6-$E$3,22))&lt;&gt;""),Algodão!$E45:INDEX(Algodão!$E45:$Z45,MIN(E$6-$E$3,22))),0))-IF($G$2,0,IF((E$6-$G$3)&lt;1,0,IFERROR(LOOKUP(2,1/(Algodão!$E45:INDEX(Algodão!$E45:$Z45,MIN(E$6-$G$3,22))&lt;&gt;""),Algodão!$E45:INDEX(Algodão!$E45:$Z45,MIN(E$6-$G$3,22))),0)))))</f>
        <v>0</v>
      </c>
      <c r="F47" s="27" t="n">
        <f aca="false">IF(COUNT(Algodão!$E45:$Z45)=0,0,MAX(0,IF((F$6-$E$3)&lt;1,0,IFERROR(LOOKUP(2,1/(Algodão!$E45:INDEX(Algodão!$E45:$Z45,MIN(F$6-$E$3,22))&lt;&gt;""),Algodão!$E45:INDEX(Algodão!$E45:$Z45,MIN(F$6-$E$3,22))),0))-IF($G$2,0,IF((F$6-$G$3)&lt;1,0,IFERROR(LOOKUP(2,1/(Algodão!$E45:INDEX(Algodão!$E45:$Z45,MIN(F$6-$G$3,22))&lt;&gt;""),Algodão!$E45:INDEX(Algodão!$E45:$Z45,MIN(F$6-$G$3,22))),0)))))</f>
        <v>0</v>
      </c>
      <c r="G47" s="27" t="n">
        <f aca="false">IF(COUNT(Algodão!$E45:$Z45)=0,0,MAX(0,IF((G$6-$E$3)&lt;1,0,IFERROR(LOOKUP(2,1/(Algodão!$E45:INDEX(Algodão!$E45:$Z45,MIN(G$6-$E$3,22))&lt;&gt;""),Algodão!$E45:INDEX(Algodão!$E45:$Z45,MIN(G$6-$E$3,22))),0))-IF($G$2,0,IF((G$6-$G$3)&lt;1,0,IFERROR(LOOKUP(2,1/(Algodão!$E45:INDEX(Algodão!$E45:$Z45,MIN(G$6-$G$3,22))&lt;&gt;""),Algodão!$E45:INDEX(Algodão!$E45:$Z45,MIN(G$6-$G$3,22))),0)))))</f>
        <v>0</v>
      </c>
      <c r="H47" s="27" t="n">
        <f aca="false">IF(COUNT(Algodão!$E45:$Z45)=0,0,MAX(0,IF((H$6-$E$3)&lt;1,0,IFERROR(LOOKUP(2,1/(Algodão!$E45:INDEX(Algodão!$E45:$Z45,MIN(H$6-$E$3,22))&lt;&gt;""),Algodão!$E45:INDEX(Algodão!$E45:$Z45,MIN(H$6-$E$3,22))),0))-IF($G$2,0,IF((H$6-$G$3)&lt;1,0,IFERROR(LOOKUP(2,1/(Algodão!$E45:INDEX(Algodão!$E45:$Z45,MIN(H$6-$G$3,22))&lt;&gt;""),Algodão!$E45:INDEX(Algodão!$E45:$Z45,MIN(H$6-$G$3,22))),0)))))</f>
        <v>0</v>
      </c>
      <c r="I47" s="27" t="n">
        <f aca="false">IF(COUNT(Algodão!$E45:$Z45)=0,0,MAX(0,IF((I$6-$E$3)&lt;1,0,IFERROR(LOOKUP(2,1/(Algodão!$E45:INDEX(Algodão!$E45:$Z45,MIN(I$6-$E$3,22))&lt;&gt;""),Algodão!$E45:INDEX(Algodão!$E45:$Z45,MIN(I$6-$E$3,22))),0))-IF($G$2,0,IF((I$6-$G$3)&lt;1,0,IFERROR(LOOKUP(2,1/(Algodão!$E45:INDEX(Algodão!$E45:$Z45,MIN(I$6-$G$3,22))&lt;&gt;""),Algodão!$E45:INDEX(Algodão!$E45:$Z45,MIN(I$6-$G$3,22))),0)))))</f>
        <v>0</v>
      </c>
      <c r="J47" s="27" t="n">
        <f aca="false">IF(COUNT(Algodão!$E45:$Z45)=0,0,MAX(0,IF((J$6-$E$3)&lt;1,0,IFERROR(LOOKUP(2,1/(Algodão!$E45:INDEX(Algodão!$E45:$Z45,MIN(J$6-$E$3,22))&lt;&gt;""),Algodão!$E45:INDEX(Algodão!$E45:$Z45,MIN(J$6-$E$3,22))),0))-IF($G$2,0,IF((J$6-$G$3)&lt;1,0,IFERROR(LOOKUP(2,1/(Algodão!$E45:INDEX(Algodão!$E45:$Z45,MIN(J$6-$G$3,22))&lt;&gt;""),Algodão!$E45:INDEX(Algodão!$E45:$Z45,MIN(J$6-$G$3,22))),0)))))</f>
        <v>0</v>
      </c>
      <c r="K47" s="27" t="n">
        <f aca="false">IF(COUNT(Algodão!$E45:$Z45)=0,0,MAX(0,IF((K$6-$E$3)&lt;1,0,IFERROR(LOOKUP(2,1/(Algodão!$E45:INDEX(Algodão!$E45:$Z45,MIN(K$6-$E$3,22))&lt;&gt;""),Algodão!$E45:INDEX(Algodão!$E45:$Z45,MIN(K$6-$E$3,22))),0))-IF($G$2,0,IF((K$6-$G$3)&lt;1,0,IFERROR(LOOKUP(2,1/(Algodão!$E45:INDEX(Algodão!$E45:$Z45,MIN(K$6-$G$3,22))&lt;&gt;""),Algodão!$E45:INDEX(Algodão!$E45:$Z45,MIN(K$6-$G$3,22))),0)))))</f>
        <v>0</v>
      </c>
      <c r="L47" s="27" t="n">
        <f aca="false">IF(COUNT(Algodão!$E45:$Z45)=0,0,MAX(0,IF((L$6-$E$3)&lt;1,0,IFERROR(LOOKUP(2,1/(Algodão!$E45:INDEX(Algodão!$E45:$Z45,MIN(L$6-$E$3,22))&lt;&gt;""),Algodão!$E45:INDEX(Algodão!$E45:$Z45,MIN(L$6-$E$3,22))),0))-IF($G$2,0,IF((L$6-$G$3)&lt;1,0,IFERROR(LOOKUP(2,1/(Algodão!$E45:INDEX(Algodão!$E45:$Z45,MIN(L$6-$G$3,22))&lt;&gt;""),Algodão!$E45:INDEX(Algodão!$E45:$Z45,MIN(L$6-$G$3,22))),0)))))</f>
        <v>0</v>
      </c>
      <c r="M47" s="27" t="n">
        <f aca="false">IF(COUNT(Algodão!$E45:$Z45)=0,0,MAX(0,IF((M$6-$E$3)&lt;1,0,IFERROR(LOOKUP(2,1/(Algodão!$E45:INDEX(Algodão!$E45:$Z45,MIN(M$6-$E$3,22))&lt;&gt;""),Algodão!$E45:INDEX(Algodão!$E45:$Z45,MIN(M$6-$E$3,22))),0))-IF($G$2,0,IF((M$6-$G$3)&lt;1,0,IFERROR(LOOKUP(2,1/(Algodão!$E45:INDEX(Algodão!$E45:$Z45,MIN(M$6-$G$3,22))&lt;&gt;""),Algodão!$E45:INDEX(Algodão!$E45:$Z45,MIN(M$6-$G$3,22))),0)))))</f>
        <v>0</v>
      </c>
      <c r="N47" s="27" t="n">
        <f aca="false">IF(COUNT(Algodão!$E45:$Z45)=0,0,MAX(0,IF((N$6-$E$3)&lt;1,0,IFERROR(LOOKUP(2,1/(Algodão!$E45:INDEX(Algodão!$E45:$Z45,MIN(N$6-$E$3,22))&lt;&gt;""),Algodão!$E45:INDEX(Algodão!$E45:$Z45,MIN(N$6-$E$3,22))),0))-IF($G$2,0,IF((N$6-$G$3)&lt;1,0,IFERROR(LOOKUP(2,1/(Algodão!$E45:INDEX(Algodão!$E45:$Z45,MIN(N$6-$G$3,22))&lt;&gt;""),Algodão!$E45:INDEX(Algodão!$E45:$Z45,MIN(N$6-$G$3,22))),0)))))</f>
        <v>0</v>
      </c>
      <c r="O47" s="27" t="n">
        <f aca="false">IF(COUNT(Algodão!$E45:$Z45)=0,0,MAX(0,IF((O$6-$E$3)&lt;1,0,IFERROR(LOOKUP(2,1/(Algodão!$E45:INDEX(Algodão!$E45:$Z45,MIN(O$6-$E$3,22))&lt;&gt;""),Algodão!$E45:INDEX(Algodão!$E45:$Z45,MIN(O$6-$E$3,22))),0))-IF($G$2,0,IF((O$6-$G$3)&lt;1,0,IFERROR(LOOKUP(2,1/(Algodão!$E45:INDEX(Algodão!$E45:$Z45,MIN(O$6-$G$3,22))&lt;&gt;""),Algodão!$E45:INDEX(Algodão!$E45:$Z45,MIN(O$6-$G$3,22))),0)))))</f>
        <v>0</v>
      </c>
      <c r="P47" s="27" t="n">
        <f aca="false">IF(COUNT(Algodão!$E45:$Z45)=0,0,MAX(0,IF((P$6-$E$3)&lt;1,0,IFERROR(LOOKUP(2,1/(Algodão!$E45:INDEX(Algodão!$E45:$Z45,MIN(P$6-$E$3,22))&lt;&gt;""),Algodão!$E45:INDEX(Algodão!$E45:$Z45,MIN(P$6-$E$3,22))),0))-IF($G$2,0,IF((P$6-$G$3)&lt;1,0,IFERROR(LOOKUP(2,1/(Algodão!$E45:INDEX(Algodão!$E45:$Z45,MIN(P$6-$G$3,22))&lt;&gt;""),Algodão!$E45:INDEX(Algodão!$E45:$Z45,MIN(P$6-$G$3,22))),0)))))</f>
        <v>0</v>
      </c>
      <c r="Q47" s="27" t="n">
        <f aca="false">IF(COUNT(Algodão!$E45:$Z45)=0,0,MAX(0,IF((Q$6-$E$3)&lt;1,0,IFERROR(LOOKUP(2,1/(Algodão!$E45:INDEX(Algodão!$E45:$Z45,MIN(Q$6-$E$3,22))&lt;&gt;""),Algodão!$E45:INDEX(Algodão!$E45:$Z45,MIN(Q$6-$E$3,22))),0))-IF($G$2,0,IF((Q$6-$G$3)&lt;1,0,IFERROR(LOOKUP(2,1/(Algodão!$E45:INDEX(Algodão!$E45:$Z45,MIN(Q$6-$G$3,22))&lt;&gt;""),Algodão!$E45:INDEX(Algodão!$E45:$Z45,MIN(Q$6-$G$3,22))),0)))))</f>
        <v>0</v>
      </c>
      <c r="R47" s="27" t="n">
        <f aca="false">IF(COUNT(Algodão!$E45:$Z45)=0,0,MAX(0,IF((R$6-$E$3)&lt;1,0,IFERROR(LOOKUP(2,1/(Algodão!$E45:INDEX(Algodão!$E45:$Z45,MIN(R$6-$E$3,22))&lt;&gt;""),Algodão!$E45:INDEX(Algodão!$E45:$Z45,MIN(R$6-$E$3,22))),0))-IF($G$2,0,IF((R$6-$G$3)&lt;1,0,IFERROR(LOOKUP(2,1/(Algodão!$E45:INDEX(Algodão!$E45:$Z45,MIN(R$6-$G$3,22))&lt;&gt;""),Algodão!$E45:INDEX(Algodão!$E45:$Z45,MIN(R$6-$G$3,22))),0)))))</f>
        <v>0</v>
      </c>
      <c r="S47" s="27" t="n">
        <f aca="false">IF(COUNT(Algodão!$E45:$Z45)=0,0,MAX(0,IF((S$6-$E$3)&lt;1,0,IFERROR(LOOKUP(2,1/(Algodão!$E45:INDEX(Algodão!$E45:$Z45,MIN(S$6-$E$3,22))&lt;&gt;""),Algodão!$E45:INDEX(Algodão!$E45:$Z45,MIN(S$6-$E$3,22))),0))-IF($G$2,0,IF((S$6-$G$3)&lt;1,0,IFERROR(LOOKUP(2,1/(Algodão!$E45:INDEX(Algodão!$E45:$Z45,MIN(S$6-$G$3,22))&lt;&gt;""),Algodão!$E45:INDEX(Algodão!$E45:$Z45,MIN(S$6-$G$3,22))),0)))))</f>
        <v>0</v>
      </c>
      <c r="T47" s="27" t="n">
        <f aca="false">IF(COUNT(Algodão!$E45:$Z45)=0,0,MAX(0,IF((T$6-$E$3)&lt;1,0,IFERROR(LOOKUP(2,1/(Algodão!$E45:INDEX(Algodão!$E45:$Z45,MIN(T$6-$E$3,22))&lt;&gt;""),Algodão!$E45:INDEX(Algodão!$E45:$Z45,MIN(T$6-$E$3,22))),0))-IF($G$2,0,IF((T$6-$G$3)&lt;1,0,IFERROR(LOOKUP(2,1/(Algodão!$E45:INDEX(Algodão!$E45:$Z45,MIN(T$6-$G$3,22))&lt;&gt;""),Algodão!$E45:INDEX(Algodão!$E45:$Z45,MIN(T$6-$G$3,22))),0)))))</f>
        <v>0</v>
      </c>
      <c r="U47" s="27" t="n">
        <f aca="false">IF(COUNT(Algodão!$E45:$Z45)=0,0,MAX(0,IF((U$6-$E$3)&lt;1,0,IFERROR(LOOKUP(2,1/(Algodão!$E45:INDEX(Algodão!$E45:$Z45,MIN(U$6-$E$3,22))&lt;&gt;""),Algodão!$E45:INDEX(Algodão!$E45:$Z45,MIN(U$6-$E$3,22))),0))-IF($G$2,0,IF((U$6-$G$3)&lt;1,0,IFERROR(LOOKUP(2,1/(Algodão!$E45:INDEX(Algodão!$E45:$Z45,MIN(U$6-$G$3,22))&lt;&gt;""),Algodão!$E45:INDEX(Algodão!$E45:$Z45,MIN(U$6-$G$3,22))),0)))))</f>
        <v>0</v>
      </c>
      <c r="V47" s="27" t="n">
        <f aca="false">IF(COUNT(Algodão!$E45:$Z45)=0,0,MAX(0,IF((V$6-$E$3)&lt;1,0,IFERROR(LOOKUP(2,1/(Algodão!$E45:INDEX(Algodão!$E45:$Z45,MIN(V$6-$E$3,22))&lt;&gt;""),Algodão!$E45:INDEX(Algodão!$E45:$Z45,MIN(V$6-$E$3,22))),0))-IF($G$2,0,IF((V$6-$G$3)&lt;1,0,IFERROR(LOOKUP(2,1/(Algodão!$E45:INDEX(Algodão!$E45:$Z45,MIN(V$6-$G$3,22))&lt;&gt;""),Algodão!$E45:INDEX(Algodão!$E45:$Z45,MIN(V$6-$G$3,22))),0)))))</f>
        <v>0</v>
      </c>
      <c r="W47" s="27" t="n">
        <f aca="false">IF(COUNT(Algodão!$E45:$Z45)=0,0,MAX(0,IF((W$6-$E$3)&lt;1,0,IFERROR(LOOKUP(2,1/(Algodão!$E45:INDEX(Algodão!$E45:$Z45,MIN(W$6-$E$3,22))&lt;&gt;""),Algodão!$E45:INDEX(Algodão!$E45:$Z45,MIN(W$6-$E$3,22))),0))-IF($G$2,0,IF((W$6-$G$3)&lt;1,0,IFERROR(LOOKUP(2,1/(Algodão!$E45:INDEX(Algodão!$E45:$Z45,MIN(W$6-$G$3,22))&lt;&gt;""),Algodão!$E45:INDEX(Algodão!$E45:$Z45,MIN(W$6-$G$3,22))),0)))))</f>
        <v>0</v>
      </c>
      <c r="X47" s="27" t="n">
        <f aca="false">IF(COUNT(Algodão!$E45:$Z45)=0,0,MAX(0,IF((X$6-$E$3)&lt;1,0,IFERROR(LOOKUP(2,1/(Algodão!$E45:INDEX(Algodão!$E45:$Z45,MIN(X$6-$E$3,22))&lt;&gt;""),Algodão!$E45:INDEX(Algodão!$E45:$Z45,MIN(X$6-$E$3,22))),0))-IF($G$2,0,IF((X$6-$G$3)&lt;1,0,IFERROR(LOOKUP(2,1/(Algodão!$E45:INDEX(Algodão!$E45:$Z45,MIN(X$6-$G$3,22))&lt;&gt;""),Algodão!$E45:INDEX(Algodão!$E45:$Z45,MIN(X$6-$G$3,22))),0)))))</f>
        <v>0</v>
      </c>
      <c r="Y47" s="27" t="n">
        <f aca="false">IF(COUNT(Algodão!$E45:$Z45)=0,0,MAX(0,IF((Y$6-$E$3)&lt;1,0,IFERROR(LOOKUP(2,1/(Algodão!$E45:INDEX(Algodão!$E45:$Z45,MIN(Y$6-$E$3,22))&lt;&gt;""),Algodão!$E45:INDEX(Algodão!$E45:$Z45,MIN(Y$6-$E$3,22))),0))-IF($G$2,0,IF((Y$6-$G$3)&lt;1,0,IFERROR(LOOKUP(2,1/(Algodão!$E45:INDEX(Algodão!$E45:$Z45,MIN(Y$6-$G$3,22))&lt;&gt;""),Algodão!$E45:INDEX(Algodão!$E45:$Z45,MIN(Y$6-$G$3,22))),0)))))</f>
        <v>0</v>
      </c>
      <c r="Z47" s="27" t="n">
        <f aca="false">IF(COUNT(Algodão!$E45:$Z45)=0,0,MAX(0,IF((Z$6-$E$3)&lt;1,0,IFERROR(LOOKUP(2,1/(Algodão!$E45:INDEX(Algodão!$E45:$Z45,MIN(Z$6-$E$3,22))&lt;&gt;""),Algodão!$E45:INDEX(Algodão!$E45:$Z45,MIN(Z$6-$E$3,22))),0))-IF($G$2,0,IF((Z$6-$G$3)&lt;1,0,IFERROR(LOOKUP(2,1/(Algodão!$E45:INDEX(Algodão!$E45:$Z45,MIN(Z$6-$G$3,22))&lt;&gt;""),Algodão!$E45:INDEX(Algodão!$E45:$Z45,MIN(Z$6-$G$3,22))),0)))))</f>
        <v>0</v>
      </c>
      <c r="AA47" s="27" t="n">
        <f aca="false">IF(COUNT(Algodão!$E45:$Z45)=0,0,MAX(0,IF((AA$6-$E$3)&lt;1,0,IFERROR(LOOKUP(2,1/(Algodão!$E45:INDEX(Algodão!$E45:$Z45,MIN(AA$6-$E$3,22))&lt;&gt;""),Algodão!$E45:INDEX(Algodão!$E45:$Z45,MIN(AA$6-$E$3,22))),0))-IF($G$2,0,IF((AA$6-$G$3)&lt;1,0,IFERROR(LOOKUP(2,1/(Algodão!$E45:INDEX(Algodão!$E45:$Z45,MIN(AA$6-$G$3,22))&lt;&gt;""),Algodão!$E45:INDEX(Algodão!$E45:$Z45,MIN(AA$6-$G$3,22))),0)))))</f>
        <v>0</v>
      </c>
      <c r="AB47" s="27" t="n">
        <f aca="false">IF(COUNT(Algodão!$E45:$Z45)=0,0,MAX(0,IF((AB$6-$E$3)&lt;1,0,IFERROR(LOOKUP(2,1/(Algodão!$E45:INDEX(Algodão!$E45:$Z45,MIN(AB$6-$E$3,22))&lt;&gt;""),Algodão!$E45:INDEX(Algodão!$E45:$Z45,MIN(AB$6-$E$3,22))),0))-IF($G$2,0,IF((AB$6-$G$3)&lt;1,0,IFERROR(LOOKUP(2,1/(Algodão!$E45:INDEX(Algodão!$E45:$Z45,MIN(AB$6-$G$3,22))&lt;&gt;""),Algodão!$E45:INDEX(Algodão!$E45:$Z45,MIN(AB$6-$G$3,22))),0)))))</f>
        <v>0</v>
      </c>
      <c r="AC47" s="27" t="n">
        <f aca="false">IF(COUNT(Algodão!$E45:$Z45)=0,0,MAX(0,IF((AC$6-$E$3)&lt;1,0,IFERROR(LOOKUP(2,1/(Algodão!$E45:INDEX(Algodão!$E45:$Z45,MIN(AC$6-$E$3,22))&lt;&gt;""),Algodão!$E45:INDEX(Algodão!$E45:$Z45,MIN(AC$6-$E$3,22))),0))-IF($G$2,0,IF((AC$6-$G$3)&lt;1,0,IFERROR(LOOKUP(2,1/(Algodão!$E45:INDEX(Algodão!$E45:$Z45,MIN(AC$6-$G$3,22))&lt;&gt;""),Algodão!$E45:INDEX(Algodão!$E45:$Z45,MIN(AC$6-$G$3,22))),0)))))</f>
        <v>0</v>
      </c>
      <c r="AD47" s="27" t="n">
        <f aca="false">IF(COUNT(Algodão!$E45:$Z45)=0,0,MAX(0,IF((AD$6-$E$3)&lt;1,0,IFERROR(LOOKUP(2,1/(Algodão!$E45:INDEX(Algodão!$E45:$Z45,MIN(AD$6-$E$3,22))&lt;&gt;""),Algodão!$E45:INDEX(Algodão!$E45:$Z45,MIN(AD$6-$E$3,22))),0))-IF($G$2,0,IF((AD$6-$G$3)&lt;1,0,IFERROR(LOOKUP(2,1/(Algodão!$E45:INDEX(Algodão!$E45:$Z45,MIN(AD$6-$G$3,22))&lt;&gt;""),Algodão!$E45:INDEX(Algodão!$E45:$Z45,MIN(AD$6-$G$3,22))),0)))))</f>
        <v>0</v>
      </c>
      <c r="AE47" s="27" t="n">
        <f aca="false">IF(COUNT(Algodão!$E45:$Z45)=0,0,MAX(0,IF((AE$6-$E$3)&lt;1,0,IFERROR(LOOKUP(2,1/(Algodão!$E45:INDEX(Algodão!$E45:$Z45,MIN(AE$6-$E$3,22))&lt;&gt;""),Algodão!$E45:INDEX(Algodão!$E45:$Z45,MIN(AE$6-$E$3,22))),0))-IF($G$2,0,IF((AE$6-$G$3)&lt;1,0,IFERROR(LOOKUP(2,1/(Algodão!$E45:INDEX(Algodão!$E45:$Z45,MIN(AE$6-$G$3,22))&lt;&gt;""),Algodão!$E45:INDEX(Algodão!$E45:$Z45,MIN(AE$6-$G$3,22))),0)))))</f>
        <v>0</v>
      </c>
      <c r="AF47" s="27" t="n">
        <f aca="false">IF(COUNT(Algodão!$E45:$Z45)=0,0,MAX(0,IF((AF$6-$E$3)&lt;1,0,IFERROR(LOOKUP(2,1/(Algodão!$E45:INDEX(Algodão!$E45:$Z45,MIN(AF$6-$E$3,22))&lt;&gt;""),Algodão!$E45:INDEX(Algodão!$E45:$Z45,MIN(AF$6-$E$3,22))),0))-IF($G$2,0,IF((AF$6-$G$3)&lt;1,0,IFERROR(LOOKUP(2,1/(Algodão!$E45:INDEX(Algodão!$E45:$Z45,MIN(AF$6-$G$3,22))&lt;&gt;""),Algodão!$E45:INDEX(Algodão!$E45:$Z45,MIN(AF$6-$G$3,22))),0)))))</f>
        <v>0</v>
      </c>
      <c r="AG47" s="27" t="n">
        <f aca="false">IF(COUNT(Algodão!$E45:$Z45)=0,0,MAX(0,IF((AG$6-$E$3)&lt;1,0,IFERROR(LOOKUP(2,1/(Algodão!$E45:INDEX(Algodão!$E45:$Z45,MIN(AG$6-$E$3,22))&lt;&gt;""),Algodão!$E45:INDEX(Algodão!$E45:$Z45,MIN(AG$6-$E$3,22))),0))-IF($G$2,0,IF((AG$6-$G$3)&lt;1,0,IFERROR(LOOKUP(2,1/(Algodão!$E45:INDEX(Algodão!$E45:$Z45,MIN(AG$6-$G$3,22))&lt;&gt;""),Algodão!$E45:INDEX(Algodão!$E45:$Z45,MIN(AG$6-$G$3,22))),0)))))</f>
        <v>0</v>
      </c>
      <c r="AH47" s="27" t="n">
        <f aca="false">IF(COUNT(Algodão!$E45:$Z45)=0,0,MAX(0,IF((AH$6-$E$3)&lt;1,0,IFERROR(LOOKUP(2,1/(Algodão!$E45:INDEX(Algodão!$E45:$Z45,MIN(AH$6-$E$3,22))&lt;&gt;""),Algodão!$E45:INDEX(Algodão!$E45:$Z45,MIN(AH$6-$E$3,22))),0))-IF($G$2,0,IF((AH$6-$G$3)&lt;1,0,IFERROR(LOOKUP(2,1/(Algodão!$E45:INDEX(Algodão!$E45:$Z45,MIN(AH$6-$G$3,22))&lt;&gt;""),Algodão!$E45:INDEX(Algodão!$E45:$Z45,MIN(AH$6-$G$3,22))),0)))))</f>
        <v>0</v>
      </c>
      <c r="AI47" s="27" t="n">
        <f aca="false">IF(COUNT(Algodão!$E45:$Z45)=0,0,MAX(0,IF((AI$6-$E$3)&lt;1,0,IFERROR(LOOKUP(2,1/(Algodão!$E45:INDEX(Algodão!$E45:$Z45,MIN(AI$6-$E$3,22))&lt;&gt;""),Algodão!$E45:INDEX(Algodão!$E45:$Z45,MIN(AI$6-$E$3,22))),0))-IF($G$2,0,IF((AI$6-$G$3)&lt;1,0,IFERROR(LOOKUP(2,1/(Algodão!$E45:INDEX(Algodão!$E45:$Z45,MIN(AI$6-$G$3,22))&lt;&gt;""),Algodão!$E45:INDEX(Algodão!$E45:$Z45,MIN(AI$6-$G$3,22))),0)))))</f>
        <v>0</v>
      </c>
      <c r="AJ47" s="27" t="n">
        <f aca="false">IF(COUNT(Algodão!$E45:$Z45)=0,0,MAX(0,IF((AJ$6-$E$3)&lt;1,0,IFERROR(LOOKUP(2,1/(Algodão!$E45:INDEX(Algodão!$E45:$Z45,MIN(AJ$6-$E$3,22))&lt;&gt;""),Algodão!$E45:INDEX(Algodão!$E45:$Z45,MIN(AJ$6-$E$3,22))),0))-IF($G$2,0,IF((AJ$6-$G$3)&lt;1,0,IFERROR(LOOKUP(2,1/(Algodão!$E45:INDEX(Algodão!$E45:$Z45,MIN(AJ$6-$G$3,22))&lt;&gt;""),Algodão!$E45:INDEX(Algodão!$E45:$Z45,MIN(AJ$6-$G$3,22))),0)))))</f>
        <v>0</v>
      </c>
      <c r="AK47" s="27" t="n">
        <f aca="false">IF(COUNT(Algodão!$E45:$Z45)=0,0,MAX(0,IF((AK$6-$E$3)&lt;1,0,IFERROR(LOOKUP(2,1/(Algodão!$E45:INDEX(Algodão!$E45:$Z45,MIN(AK$6-$E$3,22))&lt;&gt;""),Algodão!$E45:INDEX(Algodão!$E45:$Z45,MIN(AK$6-$E$3,22))),0))-IF($G$2,0,IF((AK$6-$G$3)&lt;1,0,IFERROR(LOOKUP(2,1/(Algodão!$E45:INDEX(Algodão!$E45:$Z45,MIN(AK$6-$G$3,22))&lt;&gt;""),Algodão!$E45:INDEX(Algodão!$E45:$Z45,MIN(AK$6-$G$3,22))),0)))))</f>
        <v>0</v>
      </c>
      <c r="AL47" s="27" t="n">
        <f aca="false">IF(COUNT(Algodão!$E45:$Z45)=0,0,MAX(0,IF((AL$6-$E$3)&lt;1,0,IFERROR(LOOKUP(2,1/(Algodão!$E45:INDEX(Algodão!$E45:$Z45,MIN(AL$6-$E$3,22))&lt;&gt;""),Algodão!$E45:INDEX(Algodão!$E45:$Z45,MIN(AL$6-$E$3,22))),0))-IF($G$2,0,IF((AL$6-$G$3)&lt;1,0,IFERROR(LOOKUP(2,1/(Algodão!$E45:INDEX(Algodão!$E45:$Z45,MIN(AL$6-$G$3,22))&lt;&gt;""),Algodão!$E45:INDEX(Algodão!$E45:$Z45,MIN(AL$6-$G$3,22))),0)))))</f>
        <v>0</v>
      </c>
      <c r="AM47" s="27" t="n">
        <f aca="false">IF(COUNT(Algodão!$E45:$Z45)=0,0,MAX(0,IF((AM$6-$E$3)&lt;1,0,IFERROR(LOOKUP(2,1/(Algodão!$E45:INDEX(Algodão!$E45:$Z45,MIN(AM$6-$E$3,22))&lt;&gt;""),Algodão!$E45:INDEX(Algodão!$E45:$Z45,MIN(AM$6-$E$3,22))),0))-IF($G$2,0,IF((AM$6-$G$3)&lt;1,0,IFERROR(LOOKUP(2,1/(Algodão!$E45:INDEX(Algodão!$E45:$Z45,MIN(AM$6-$G$3,22))&lt;&gt;""),Algodão!$E45:INDEX(Algodão!$E45:$Z45,MIN(AM$6-$G$3,22))),0)))))</f>
        <v>0</v>
      </c>
      <c r="AN47" s="27" t="n">
        <f aca="false">IF(COUNT(Algodão!$E45:$Z45)=0,0,MAX(0,IF((AN$6-$E$3)&lt;1,0,IFERROR(LOOKUP(2,1/(Algodão!$E45:INDEX(Algodão!$E45:$Z45,MIN(AN$6-$E$3,22))&lt;&gt;""),Algodão!$E45:INDEX(Algodão!$E45:$Z45,MIN(AN$6-$E$3,22))),0))-IF($G$2,0,IF((AN$6-$G$3)&lt;1,0,IFERROR(LOOKUP(2,1/(Algodão!$E45:INDEX(Algodão!$E45:$Z45,MIN(AN$6-$G$3,22))&lt;&gt;""),Algodão!$E45:INDEX(Algodão!$E45:$Z45,MIN(AN$6-$G$3,22))),0)))))</f>
        <v>0</v>
      </c>
      <c r="AO47" s="27" t="n">
        <f aca="false">IF(COUNT(Algodão!$E45:$Z45)=0,0,MAX(0,IF((AO$6-$E$3)&lt;1,0,IFERROR(LOOKUP(2,1/(Algodão!$E45:INDEX(Algodão!$E45:$Z45,MIN(AO$6-$E$3,22))&lt;&gt;""),Algodão!$E45:INDEX(Algodão!$E45:$Z45,MIN(AO$6-$E$3,22))),0))-IF($G$2,0,IF((AO$6-$G$3)&lt;1,0,IFERROR(LOOKUP(2,1/(Algodão!$E45:INDEX(Algodão!$E45:$Z45,MIN(AO$6-$G$3,22))&lt;&gt;""),Algodão!$E45:INDEX(Algodão!$E45:$Z45,MIN(AO$6-$G$3,22))),0)))))</f>
        <v>0</v>
      </c>
      <c r="AP47" s="27" t="n">
        <f aca="false">IF(COUNT(Algodão!$E45:$Z45)=0,0,MAX(0,IF((AP$6-$E$3)&lt;1,0,IFERROR(LOOKUP(2,1/(Algodão!$E45:INDEX(Algodão!$E45:$Z45,MIN(AP$6-$E$3,22))&lt;&gt;""),Algodão!$E45:INDEX(Algodão!$E45:$Z45,MIN(AP$6-$E$3,22))),0))-IF($G$2,0,IF((AP$6-$G$3)&lt;1,0,IFERROR(LOOKUP(2,1/(Algodão!$E45:INDEX(Algodão!$E45:$Z45,MIN(AP$6-$G$3,22))&lt;&gt;""),Algodão!$E45:INDEX(Algodão!$E45:$Z45,MIN(AP$6-$G$3,22))),0)))))</f>
        <v>0</v>
      </c>
      <c r="AQ47" s="27" t="n">
        <f aca="false">IF(COUNT(Algodão!$E45:$Z45)=0,0,MAX(0,IF((AQ$6-$E$3)&lt;1,0,IFERROR(LOOKUP(2,1/(Algodão!$E45:INDEX(Algodão!$E45:$Z45,MIN(AQ$6-$E$3,22))&lt;&gt;""),Algodão!$E45:INDEX(Algodão!$E45:$Z45,MIN(AQ$6-$E$3,22))),0))-IF($G$2,0,IF((AQ$6-$G$3)&lt;1,0,IFERROR(LOOKUP(2,1/(Algodão!$E45:INDEX(Algodão!$E45:$Z45,MIN(AQ$6-$G$3,22))&lt;&gt;""),Algodão!$E45:INDEX(Algodão!$E45:$Z45,MIN(AQ$6-$G$3,22))),0)))))</f>
        <v>0</v>
      </c>
      <c r="AR47" s="27" t="n">
        <f aca="false">IF(COUNT(Algodão!$E45:$Z45)=0,0,MAX(0,IF((AR$6-$E$3)&lt;1,0,IFERROR(LOOKUP(2,1/(Algodão!$E45:INDEX(Algodão!$E45:$Z45,MIN(AR$6-$E$3,22))&lt;&gt;""),Algodão!$E45:INDEX(Algodão!$E45:$Z45,MIN(AR$6-$E$3,22))),0))-IF($G$2,0,IF((AR$6-$G$3)&lt;1,0,IFERROR(LOOKUP(2,1/(Algodão!$E45:INDEX(Algodão!$E45:$Z45,MIN(AR$6-$G$3,22))&lt;&gt;""),Algodão!$E45:INDEX(Algodão!$E45:$Z45,MIN(AR$6-$G$3,22))),0)))))</f>
        <v>0</v>
      </c>
      <c r="AS47" s="27" t="n">
        <f aca="false">IF(COUNT(Algodão!$E45:$Z45)=0,0,MAX(0,IF((AS$6-$E$3)&lt;1,0,IFERROR(LOOKUP(2,1/(Algodão!$E45:INDEX(Algodão!$E45:$Z45,MIN(AS$6-$E$3,22))&lt;&gt;""),Algodão!$E45:INDEX(Algodão!$E45:$Z45,MIN(AS$6-$E$3,22))),0))-IF($G$2,0,IF((AS$6-$G$3)&lt;1,0,IFERROR(LOOKUP(2,1/(Algodão!$E45:INDEX(Algodão!$E45:$Z45,MIN(AS$6-$G$3,22))&lt;&gt;""),Algodão!$E45:INDEX(Algodão!$E45:$Z45,MIN(AS$6-$G$3,22))),0)))))</f>
        <v>0</v>
      </c>
      <c r="AT47" s="27" t="n">
        <f aca="false">IF(COUNT(Algodão!$E45:$Z45)=0,0,MAX(0,IF((AT$6-$E$3)&lt;1,0,IFERROR(LOOKUP(2,1/(Algodão!$E45:INDEX(Algodão!$E45:$Z45,MIN(AT$6-$E$3,22))&lt;&gt;""),Algodão!$E45:INDEX(Algodão!$E45:$Z45,MIN(AT$6-$E$3,22))),0))-IF($G$2,0,IF((AT$6-$G$3)&lt;1,0,IFERROR(LOOKUP(2,1/(Algodão!$E45:INDEX(Algodão!$E45:$Z45,MIN(AT$6-$G$3,22))&lt;&gt;""),Algodão!$E45:INDEX(Algodão!$E45:$Z45,MIN(AT$6-$G$3,22))),0)))))</f>
        <v>0</v>
      </c>
      <c r="AU47" s="27" t="n">
        <f aca="false">IF(COUNT(Algodão!$E45:$Z45)=0,0,MAX(0,IF((AU$6-$E$3)&lt;1,0,IFERROR(LOOKUP(2,1/(Algodão!$E45:INDEX(Algodão!$E45:$Z45,MIN(AU$6-$E$3,22))&lt;&gt;""),Algodão!$E45:INDEX(Algodão!$E45:$Z45,MIN(AU$6-$E$3,22))),0))-IF($G$2,0,IF((AU$6-$G$3)&lt;1,0,IFERROR(LOOKUP(2,1/(Algodão!$E45:INDEX(Algodão!$E45:$Z45,MIN(AU$6-$G$3,22))&lt;&gt;""),Algodão!$E45:INDEX(Algodão!$E45:$Z45,MIN(AU$6-$G$3,22))),0)))))</f>
        <v>0</v>
      </c>
      <c r="AV47" s="27" t="n">
        <f aca="false">IF(COUNT(Algodão!$E45:$Z45)=0,0,MAX(0,IF((AV$6-$E$3)&lt;1,0,IFERROR(LOOKUP(2,1/(Algodão!$E45:INDEX(Algodão!$E45:$Z45,MIN(AV$6-$E$3,22))&lt;&gt;""),Algodão!$E45:INDEX(Algodão!$E45:$Z45,MIN(AV$6-$E$3,22))),0))-IF($G$2,0,IF((AV$6-$G$3)&lt;1,0,IFERROR(LOOKUP(2,1/(Algodão!$E45:INDEX(Algodão!$E45:$Z45,MIN(AV$6-$G$3,22))&lt;&gt;""),Algodão!$E45:INDEX(Algodão!$E45:$Z45,MIN(AV$6-$G$3,22))),0)))))</f>
        <v>0</v>
      </c>
      <c r="AW47" s="27" t="n">
        <f aca="false">IF(COUNT(Algodão!$E45:$Z45)=0,0,MAX(0,IF((AW$6-$E$3)&lt;1,0,IFERROR(LOOKUP(2,1/(Algodão!$E45:INDEX(Algodão!$E45:$Z45,MIN(AW$6-$E$3,22))&lt;&gt;""),Algodão!$E45:INDEX(Algodão!$E45:$Z45,MIN(AW$6-$E$3,22))),0))-IF($G$2,0,IF((AW$6-$G$3)&lt;1,0,IFERROR(LOOKUP(2,1/(Algodão!$E45:INDEX(Algodão!$E45:$Z45,MIN(AW$6-$G$3,22))&lt;&gt;""),Algodão!$E45:INDEX(Algodão!$E45:$Z45,MIN(AW$6-$G$3,22))),0)))))</f>
        <v>0</v>
      </c>
      <c r="AX47" s="27" t="n">
        <f aca="false">IF(COUNT(Algodão!$E45:$Z45)=0,0,MAX(0,IF((AX$6-$E$3)&lt;1,0,IFERROR(LOOKUP(2,1/(Algodão!$E45:INDEX(Algodão!$E45:$Z45,MIN(AX$6-$E$3,22))&lt;&gt;""),Algodão!$E45:INDEX(Algodão!$E45:$Z45,MIN(AX$6-$E$3,22))),0))-IF($G$2,0,IF((AX$6-$G$3)&lt;1,0,IFERROR(LOOKUP(2,1/(Algodão!$E45:INDEX(Algodão!$E45:$Z45,MIN(AX$6-$G$3,22))&lt;&gt;""),Algodão!$E45:INDEX(Algodão!$E45:$Z45,MIN(AX$6-$G$3,22))),0)))))</f>
        <v>0</v>
      </c>
      <c r="AY47" s="27" t="n">
        <f aca="false">IF(COUNT(Algodão!$E45:$Z45)=0,0,MAX(0,IF((AY$6-$E$3)&lt;1,0,IFERROR(LOOKUP(2,1/(Algodão!$E45:INDEX(Algodão!$E45:$Z45,MIN(AY$6-$E$3,22))&lt;&gt;""),Algodão!$E45:INDEX(Algodão!$E45:$Z45,MIN(AY$6-$E$3,22))),0))-IF($G$2,0,IF((AY$6-$G$3)&lt;1,0,IFERROR(LOOKUP(2,1/(Algodão!$E45:INDEX(Algodão!$E45:$Z45,MIN(AY$6-$G$3,22))&lt;&gt;""),Algodão!$E45:INDEX(Algodão!$E45:$Z45,MIN(AY$6-$G$3,22))),0)))))</f>
        <v>0</v>
      </c>
      <c r="AZ47" s="27" t="n">
        <f aca="false">IF(COUNT(Algodão!$E45:$Z45)=0,0,MAX(0,IF((AZ$6-$E$3)&lt;1,0,IFERROR(LOOKUP(2,1/(Algodão!$E45:INDEX(Algodão!$E45:$Z45,MIN(AZ$6-$E$3,22))&lt;&gt;""),Algodão!$E45:INDEX(Algodão!$E45:$Z45,MIN(AZ$6-$E$3,22))),0))-IF($G$2,0,IF((AZ$6-$G$3)&lt;1,0,IFERROR(LOOKUP(2,1/(Algodão!$E45:INDEX(Algodão!$E45:$Z45,MIN(AZ$6-$G$3,22))&lt;&gt;""),Algodão!$E45:INDEX(Algodão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IF(COUNT(Algodão!$E46:$Z46)&gt;0,N(Algodão!$D46),0)</f>
        <v>0</v>
      </c>
      <c r="E48" s="27" t="n">
        <f aca="false">IF(COUNT(Algodão!$E46:$Z46)=0,0,MAX(0,IF((E$6-$E$3)&lt;1,0,IFERROR(LOOKUP(2,1/(Algodão!$E46:INDEX(Algodão!$E46:$Z46,MIN(E$6-$E$3,22))&lt;&gt;""),Algodão!$E46:INDEX(Algodão!$E46:$Z46,MIN(E$6-$E$3,22))),0))-IF($G$2,0,IF((E$6-$G$3)&lt;1,0,IFERROR(LOOKUP(2,1/(Algodão!$E46:INDEX(Algodão!$E46:$Z46,MIN(E$6-$G$3,22))&lt;&gt;""),Algodão!$E46:INDEX(Algodão!$E46:$Z46,MIN(E$6-$G$3,22))),0)))))</f>
        <v>0</v>
      </c>
      <c r="F48" s="27" t="n">
        <f aca="false">IF(COUNT(Algodão!$E46:$Z46)=0,0,MAX(0,IF((F$6-$E$3)&lt;1,0,IFERROR(LOOKUP(2,1/(Algodão!$E46:INDEX(Algodão!$E46:$Z46,MIN(F$6-$E$3,22))&lt;&gt;""),Algodão!$E46:INDEX(Algodão!$E46:$Z46,MIN(F$6-$E$3,22))),0))-IF($G$2,0,IF((F$6-$G$3)&lt;1,0,IFERROR(LOOKUP(2,1/(Algodão!$E46:INDEX(Algodão!$E46:$Z46,MIN(F$6-$G$3,22))&lt;&gt;""),Algodão!$E46:INDEX(Algodão!$E46:$Z46,MIN(F$6-$G$3,22))),0)))))</f>
        <v>0</v>
      </c>
      <c r="G48" s="27" t="n">
        <f aca="false">IF(COUNT(Algodão!$E46:$Z46)=0,0,MAX(0,IF((G$6-$E$3)&lt;1,0,IFERROR(LOOKUP(2,1/(Algodão!$E46:INDEX(Algodão!$E46:$Z46,MIN(G$6-$E$3,22))&lt;&gt;""),Algodão!$E46:INDEX(Algodão!$E46:$Z46,MIN(G$6-$E$3,22))),0))-IF($G$2,0,IF((G$6-$G$3)&lt;1,0,IFERROR(LOOKUP(2,1/(Algodão!$E46:INDEX(Algodão!$E46:$Z46,MIN(G$6-$G$3,22))&lt;&gt;""),Algodão!$E46:INDEX(Algodão!$E46:$Z46,MIN(G$6-$G$3,22))),0)))))</f>
        <v>0</v>
      </c>
      <c r="H48" s="27" t="n">
        <f aca="false">IF(COUNT(Algodão!$E46:$Z46)=0,0,MAX(0,IF((H$6-$E$3)&lt;1,0,IFERROR(LOOKUP(2,1/(Algodão!$E46:INDEX(Algodão!$E46:$Z46,MIN(H$6-$E$3,22))&lt;&gt;""),Algodão!$E46:INDEX(Algodão!$E46:$Z46,MIN(H$6-$E$3,22))),0))-IF($G$2,0,IF((H$6-$G$3)&lt;1,0,IFERROR(LOOKUP(2,1/(Algodão!$E46:INDEX(Algodão!$E46:$Z46,MIN(H$6-$G$3,22))&lt;&gt;""),Algodão!$E46:INDEX(Algodão!$E46:$Z46,MIN(H$6-$G$3,22))),0)))))</f>
        <v>0</v>
      </c>
      <c r="I48" s="27" t="n">
        <f aca="false">IF(COUNT(Algodão!$E46:$Z46)=0,0,MAX(0,IF((I$6-$E$3)&lt;1,0,IFERROR(LOOKUP(2,1/(Algodão!$E46:INDEX(Algodão!$E46:$Z46,MIN(I$6-$E$3,22))&lt;&gt;""),Algodão!$E46:INDEX(Algodão!$E46:$Z46,MIN(I$6-$E$3,22))),0))-IF($G$2,0,IF((I$6-$G$3)&lt;1,0,IFERROR(LOOKUP(2,1/(Algodão!$E46:INDEX(Algodão!$E46:$Z46,MIN(I$6-$G$3,22))&lt;&gt;""),Algodão!$E46:INDEX(Algodão!$E46:$Z46,MIN(I$6-$G$3,22))),0)))))</f>
        <v>0</v>
      </c>
      <c r="J48" s="27" t="n">
        <f aca="false">IF(COUNT(Algodão!$E46:$Z46)=0,0,MAX(0,IF((J$6-$E$3)&lt;1,0,IFERROR(LOOKUP(2,1/(Algodão!$E46:INDEX(Algodão!$E46:$Z46,MIN(J$6-$E$3,22))&lt;&gt;""),Algodão!$E46:INDEX(Algodão!$E46:$Z46,MIN(J$6-$E$3,22))),0))-IF($G$2,0,IF((J$6-$G$3)&lt;1,0,IFERROR(LOOKUP(2,1/(Algodão!$E46:INDEX(Algodão!$E46:$Z46,MIN(J$6-$G$3,22))&lt;&gt;""),Algodão!$E46:INDEX(Algodão!$E46:$Z46,MIN(J$6-$G$3,22))),0)))))</f>
        <v>0</v>
      </c>
      <c r="K48" s="27" t="n">
        <f aca="false">IF(COUNT(Algodão!$E46:$Z46)=0,0,MAX(0,IF((K$6-$E$3)&lt;1,0,IFERROR(LOOKUP(2,1/(Algodão!$E46:INDEX(Algodão!$E46:$Z46,MIN(K$6-$E$3,22))&lt;&gt;""),Algodão!$E46:INDEX(Algodão!$E46:$Z46,MIN(K$6-$E$3,22))),0))-IF($G$2,0,IF((K$6-$G$3)&lt;1,0,IFERROR(LOOKUP(2,1/(Algodão!$E46:INDEX(Algodão!$E46:$Z46,MIN(K$6-$G$3,22))&lt;&gt;""),Algodão!$E46:INDEX(Algodão!$E46:$Z46,MIN(K$6-$G$3,22))),0)))))</f>
        <v>0</v>
      </c>
      <c r="L48" s="27" t="n">
        <f aca="false">IF(COUNT(Algodão!$E46:$Z46)=0,0,MAX(0,IF((L$6-$E$3)&lt;1,0,IFERROR(LOOKUP(2,1/(Algodão!$E46:INDEX(Algodão!$E46:$Z46,MIN(L$6-$E$3,22))&lt;&gt;""),Algodão!$E46:INDEX(Algodão!$E46:$Z46,MIN(L$6-$E$3,22))),0))-IF($G$2,0,IF((L$6-$G$3)&lt;1,0,IFERROR(LOOKUP(2,1/(Algodão!$E46:INDEX(Algodão!$E46:$Z46,MIN(L$6-$G$3,22))&lt;&gt;""),Algodão!$E46:INDEX(Algodão!$E46:$Z46,MIN(L$6-$G$3,22))),0)))))</f>
        <v>0</v>
      </c>
      <c r="M48" s="27" t="n">
        <f aca="false">IF(COUNT(Algodão!$E46:$Z46)=0,0,MAX(0,IF((M$6-$E$3)&lt;1,0,IFERROR(LOOKUP(2,1/(Algodão!$E46:INDEX(Algodão!$E46:$Z46,MIN(M$6-$E$3,22))&lt;&gt;""),Algodão!$E46:INDEX(Algodão!$E46:$Z46,MIN(M$6-$E$3,22))),0))-IF($G$2,0,IF((M$6-$G$3)&lt;1,0,IFERROR(LOOKUP(2,1/(Algodão!$E46:INDEX(Algodão!$E46:$Z46,MIN(M$6-$G$3,22))&lt;&gt;""),Algodão!$E46:INDEX(Algodão!$E46:$Z46,MIN(M$6-$G$3,22))),0)))))</f>
        <v>0</v>
      </c>
      <c r="N48" s="27" t="n">
        <f aca="false">IF(COUNT(Algodão!$E46:$Z46)=0,0,MAX(0,IF((N$6-$E$3)&lt;1,0,IFERROR(LOOKUP(2,1/(Algodão!$E46:INDEX(Algodão!$E46:$Z46,MIN(N$6-$E$3,22))&lt;&gt;""),Algodão!$E46:INDEX(Algodão!$E46:$Z46,MIN(N$6-$E$3,22))),0))-IF($G$2,0,IF((N$6-$G$3)&lt;1,0,IFERROR(LOOKUP(2,1/(Algodão!$E46:INDEX(Algodão!$E46:$Z46,MIN(N$6-$G$3,22))&lt;&gt;""),Algodão!$E46:INDEX(Algodão!$E46:$Z46,MIN(N$6-$G$3,22))),0)))))</f>
        <v>0</v>
      </c>
      <c r="O48" s="27" t="n">
        <f aca="false">IF(COUNT(Algodão!$E46:$Z46)=0,0,MAX(0,IF((O$6-$E$3)&lt;1,0,IFERROR(LOOKUP(2,1/(Algodão!$E46:INDEX(Algodão!$E46:$Z46,MIN(O$6-$E$3,22))&lt;&gt;""),Algodão!$E46:INDEX(Algodão!$E46:$Z46,MIN(O$6-$E$3,22))),0))-IF($G$2,0,IF((O$6-$G$3)&lt;1,0,IFERROR(LOOKUP(2,1/(Algodão!$E46:INDEX(Algodão!$E46:$Z46,MIN(O$6-$G$3,22))&lt;&gt;""),Algodão!$E46:INDEX(Algodão!$E46:$Z46,MIN(O$6-$G$3,22))),0)))))</f>
        <v>0</v>
      </c>
      <c r="P48" s="27" t="n">
        <f aca="false">IF(COUNT(Algodão!$E46:$Z46)=0,0,MAX(0,IF((P$6-$E$3)&lt;1,0,IFERROR(LOOKUP(2,1/(Algodão!$E46:INDEX(Algodão!$E46:$Z46,MIN(P$6-$E$3,22))&lt;&gt;""),Algodão!$E46:INDEX(Algodão!$E46:$Z46,MIN(P$6-$E$3,22))),0))-IF($G$2,0,IF((P$6-$G$3)&lt;1,0,IFERROR(LOOKUP(2,1/(Algodão!$E46:INDEX(Algodão!$E46:$Z46,MIN(P$6-$G$3,22))&lt;&gt;""),Algodão!$E46:INDEX(Algodão!$E46:$Z46,MIN(P$6-$G$3,22))),0)))))</f>
        <v>0</v>
      </c>
      <c r="Q48" s="27" t="n">
        <f aca="false">IF(COUNT(Algodão!$E46:$Z46)=0,0,MAX(0,IF((Q$6-$E$3)&lt;1,0,IFERROR(LOOKUP(2,1/(Algodão!$E46:INDEX(Algodão!$E46:$Z46,MIN(Q$6-$E$3,22))&lt;&gt;""),Algodão!$E46:INDEX(Algodão!$E46:$Z46,MIN(Q$6-$E$3,22))),0))-IF($G$2,0,IF((Q$6-$G$3)&lt;1,0,IFERROR(LOOKUP(2,1/(Algodão!$E46:INDEX(Algodão!$E46:$Z46,MIN(Q$6-$G$3,22))&lt;&gt;""),Algodão!$E46:INDEX(Algodão!$E46:$Z46,MIN(Q$6-$G$3,22))),0)))))</f>
        <v>0</v>
      </c>
      <c r="R48" s="27" t="n">
        <f aca="false">IF(COUNT(Algodão!$E46:$Z46)=0,0,MAX(0,IF((R$6-$E$3)&lt;1,0,IFERROR(LOOKUP(2,1/(Algodão!$E46:INDEX(Algodão!$E46:$Z46,MIN(R$6-$E$3,22))&lt;&gt;""),Algodão!$E46:INDEX(Algodão!$E46:$Z46,MIN(R$6-$E$3,22))),0))-IF($G$2,0,IF((R$6-$G$3)&lt;1,0,IFERROR(LOOKUP(2,1/(Algodão!$E46:INDEX(Algodão!$E46:$Z46,MIN(R$6-$G$3,22))&lt;&gt;""),Algodão!$E46:INDEX(Algodão!$E46:$Z46,MIN(R$6-$G$3,22))),0)))))</f>
        <v>0</v>
      </c>
      <c r="S48" s="27" t="n">
        <f aca="false">IF(COUNT(Algodão!$E46:$Z46)=0,0,MAX(0,IF((S$6-$E$3)&lt;1,0,IFERROR(LOOKUP(2,1/(Algodão!$E46:INDEX(Algodão!$E46:$Z46,MIN(S$6-$E$3,22))&lt;&gt;""),Algodão!$E46:INDEX(Algodão!$E46:$Z46,MIN(S$6-$E$3,22))),0))-IF($G$2,0,IF((S$6-$G$3)&lt;1,0,IFERROR(LOOKUP(2,1/(Algodão!$E46:INDEX(Algodão!$E46:$Z46,MIN(S$6-$G$3,22))&lt;&gt;""),Algodão!$E46:INDEX(Algodão!$E46:$Z46,MIN(S$6-$G$3,22))),0)))))</f>
        <v>0</v>
      </c>
      <c r="T48" s="27" t="n">
        <f aca="false">IF(COUNT(Algodão!$E46:$Z46)=0,0,MAX(0,IF((T$6-$E$3)&lt;1,0,IFERROR(LOOKUP(2,1/(Algodão!$E46:INDEX(Algodão!$E46:$Z46,MIN(T$6-$E$3,22))&lt;&gt;""),Algodão!$E46:INDEX(Algodão!$E46:$Z46,MIN(T$6-$E$3,22))),0))-IF($G$2,0,IF((T$6-$G$3)&lt;1,0,IFERROR(LOOKUP(2,1/(Algodão!$E46:INDEX(Algodão!$E46:$Z46,MIN(T$6-$G$3,22))&lt;&gt;""),Algodão!$E46:INDEX(Algodão!$E46:$Z46,MIN(T$6-$G$3,22))),0)))))</f>
        <v>0</v>
      </c>
      <c r="U48" s="27" t="n">
        <f aca="false">IF(COUNT(Algodão!$E46:$Z46)=0,0,MAX(0,IF((U$6-$E$3)&lt;1,0,IFERROR(LOOKUP(2,1/(Algodão!$E46:INDEX(Algodão!$E46:$Z46,MIN(U$6-$E$3,22))&lt;&gt;""),Algodão!$E46:INDEX(Algodão!$E46:$Z46,MIN(U$6-$E$3,22))),0))-IF($G$2,0,IF((U$6-$G$3)&lt;1,0,IFERROR(LOOKUP(2,1/(Algodão!$E46:INDEX(Algodão!$E46:$Z46,MIN(U$6-$G$3,22))&lt;&gt;""),Algodão!$E46:INDEX(Algodão!$E46:$Z46,MIN(U$6-$G$3,22))),0)))))</f>
        <v>0</v>
      </c>
      <c r="V48" s="27" t="n">
        <f aca="false">IF(COUNT(Algodão!$E46:$Z46)=0,0,MAX(0,IF((V$6-$E$3)&lt;1,0,IFERROR(LOOKUP(2,1/(Algodão!$E46:INDEX(Algodão!$E46:$Z46,MIN(V$6-$E$3,22))&lt;&gt;""),Algodão!$E46:INDEX(Algodão!$E46:$Z46,MIN(V$6-$E$3,22))),0))-IF($G$2,0,IF((V$6-$G$3)&lt;1,0,IFERROR(LOOKUP(2,1/(Algodão!$E46:INDEX(Algodão!$E46:$Z46,MIN(V$6-$G$3,22))&lt;&gt;""),Algodão!$E46:INDEX(Algodão!$E46:$Z46,MIN(V$6-$G$3,22))),0)))))</f>
        <v>0</v>
      </c>
      <c r="W48" s="27" t="n">
        <f aca="false">IF(COUNT(Algodão!$E46:$Z46)=0,0,MAX(0,IF((W$6-$E$3)&lt;1,0,IFERROR(LOOKUP(2,1/(Algodão!$E46:INDEX(Algodão!$E46:$Z46,MIN(W$6-$E$3,22))&lt;&gt;""),Algodão!$E46:INDEX(Algodão!$E46:$Z46,MIN(W$6-$E$3,22))),0))-IF($G$2,0,IF((W$6-$G$3)&lt;1,0,IFERROR(LOOKUP(2,1/(Algodão!$E46:INDEX(Algodão!$E46:$Z46,MIN(W$6-$G$3,22))&lt;&gt;""),Algodão!$E46:INDEX(Algodão!$E46:$Z46,MIN(W$6-$G$3,22))),0)))))</f>
        <v>0</v>
      </c>
      <c r="X48" s="27" t="n">
        <f aca="false">IF(COUNT(Algodão!$E46:$Z46)=0,0,MAX(0,IF((X$6-$E$3)&lt;1,0,IFERROR(LOOKUP(2,1/(Algodão!$E46:INDEX(Algodão!$E46:$Z46,MIN(X$6-$E$3,22))&lt;&gt;""),Algodão!$E46:INDEX(Algodão!$E46:$Z46,MIN(X$6-$E$3,22))),0))-IF($G$2,0,IF((X$6-$G$3)&lt;1,0,IFERROR(LOOKUP(2,1/(Algodão!$E46:INDEX(Algodão!$E46:$Z46,MIN(X$6-$G$3,22))&lt;&gt;""),Algodão!$E46:INDEX(Algodão!$E46:$Z46,MIN(X$6-$G$3,22))),0)))))</f>
        <v>0</v>
      </c>
      <c r="Y48" s="27" t="n">
        <f aca="false">IF(COUNT(Algodão!$E46:$Z46)=0,0,MAX(0,IF((Y$6-$E$3)&lt;1,0,IFERROR(LOOKUP(2,1/(Algodão!$E46:INDEX(Algodão!$E46:$Z46,MIN(Y$6-$E$3,22))&lt;&gt;""),Algodão!$E46:INDEX(Algodão!$E46:$Z46,MIN(Y$6-$E$3,22))),0))-IF($G$2,0,IF((Y$6-$G$3)&lt;1,0,IFERROR(LOOKUP(2,1/(Algodão!$E46:INDEX(Algodão!$E46:$Z46,MIN(Y$6-$G$3,22))&lt;&gt;""),Algodão!$E46:INDEX(Algodão!$E46:$Z46,MIN(Y$6-$G$3,22))),0)))))</f>
        <v>0</v>
      </c>
      <c r="Z48" s="27" t="n">
        <f aca="false">IF(COUNT(Algodão!$E46:$Z46)=0,0,MAX(0,IF((Z$6-$E$3)&lt;1,0,IFERROR(LOOKUP(2,1/(Algodão!$E46:INDEX(Algodão!$E46:$Z46,MIN(Z$6-$E$3,22))&lt;&gt;""),Algodão!$E46:INDEX(Algodão!$E46:$Z46,MIN(Z$6-$E$3,22))),0))-IF($G$2,0,IF((Z$6-$G$3)&lt;1,0,IFERROR(LOOKUP(2,1/(Algodão!$E46:INDEX(Algodão!$E46:$Z46,MIN(Z$6-$G$3,22))&lt;&gt;""),Algodão!$E46:INDEX(Algodão!$E46:$Z46,MIN(Z$6-$G$3,22))),0)))))</f>
        <v>0</v>
      </c>
      <c r="AA48" s="27" t="n">
        <f aca="false">IF(COUNT(Algodão!$E46:$Z46)=0,0,MAX(0,IF((AA$6-$E$3)&lt;1,0,IFERROR(LOOKUP(2,1/(Algodão!$E46:INDEX(Algodão!$E46:$Z46,MIN(AA$6-$E$3,22))&lt;&gt;""),Algodão!$E46:INDEX(Algodão!$E46:$Z46,MIN(AA$6-$E$3,22))),0))-IF($G$2,0,IF((AA$6-$G$3)&lt;1,0,IFERROR(LOOKUP(2,1/(Algodão!$E46:INDEX(Algodão!$E46:$Z46,MIN(AA$6-$G$3,22))&lt;&gt;""),Algodão!$E46:INDEX(Algodão!$E46:$Z46,MIN(AA$6-$G$3,22))),0)))))</f>
        <v>0</v>
      </c>
      <c r="AB48" s="27" t="n">
        <f aca="false">IF(COUNT(Algodão!$E46:$Z46)=0,0,MAX(0,IF((AB$6-$E$3)&lt;1,0,IFERROR(LOOKUP(2,1/(Algodão!$E46:INDEX(Algodão!$E46:$Z46,MIN(AB$6-$E$3,22))&lt;&gt;""),Algodão!$E46:INDEX(Algodão!$E46:$Z46,MIN(AB$6-$E$3,22))),0))-IF($G$2,0,IF((AB$6-$G$3)&lt;1,0,IFERROR(LOOKUP(2,1/(Algodão!$E46:INDEX(Algodão!$E46:$Z46,MIN(AB$6-$G$3,22))&lt;&gt;""),Algodão!$E46:INDEX(Algodão!$E46:$Z46,MIN(AB$6-$G$3,22))),0)))))</f>
        <v>0</v>
      </c>
      <c r="AC48" s="27" t="n">
        <f aca="false">IF(COUNT(Algodão!$E46:$Z46)=0,0,MAX(0,IF((AC$6-$E$3)&lt;1,0,IFERROR(LOOKUP(2,1/(Algodão!$E46:INDEX(Algodão!$E46:$Z46,MIN(AC$6-$E$3,22))&lt;&gt;""),Algodão!$E46:INDEX(Algodão!$E46:$Z46,MIN(AC$6-$E$3,22))),0))-IF($G$2,0,IF((AC$6-$G$3)&lt;1,0,IFERROR(LOOKUP(2,1/(Algodão!$E46:INDEX(Algodão!$E46:$Z46,MIN(AC$6-$G$3,22))&lt;&gt;""),Algodão!$E46:INDEX(Algodão!$E46:$Z46,MIN(AC$6-$G$3,22))),0)))))</f>
        <v>0</v>
      </c>
      <c r="AD48" s="27" t="n">
        <f aca="false">IF(COUNT(Algodão!$E46:$Z46)=0,0,MAX(0,IF((AD$6-$E$3)&lt;1,0,IFERROR(LOOKUP(2,1/(Algodão!$E46:INDEX(Algodão!$E46:$Z46,MIN(AD$6-$E$3,22))&lt;&gt;""),Algodão!$E46:INDEX(Algodão!$E46:$Z46,MIN(AD$6-$E$3,22))),0))-IF($G$2,0,IF((AD$6-$G$3)&lt;1,0,IFERROR(LOOKUP(2,1/(Algodão!$E46:INDEX(Algodão!$E46:$Z46,MIN(AD$6-$G$3,22))&lt;&gt;""),Algodão!$E46:INDEX(Algodão!$E46:$Z46,MIN(AD$6-$G$3,22))),0)))))</f>
        <v>0</v>
      </c>
      <c r="AE48" s="27" t="n">
        <f aca="false">IF(COUNT(Algodão!$E46:$Z46)=0,0,MAX(0,IF((AE$6-$E$3)&lt;1,0,IFERROR(LOOKUP(2,1/(Algodão!$E46:INDEX(Algodão!$E46:$Z46,MIN(AE$6-$E$3,22))&lt;&gt;""),Algodão!$E46:INDEX(Algodão!$E46:$Z46,MIN(AE$6-$E$3,22))),0))-IF($G$2,0,IF((AE$6-$G$3)&lt;1,0,IFERROR(LOOKUP(2,1/(Algodão!$E46:INDEX(Algodão!$E46:$Z46,MIN(AE$6-$G$3,22))&lt;&gt;""),Algodão!$E46:INDEX(Algodão!$E46:$Z46,MIN(AE$6-$G$3,22))),0)))))</f>
        <v>0</v>
      </c>
      <c r="AF48" s="27" t="n">
        <f aca="false">IF(COUNT(Algodão!$E46:$Z46)=0,0,MAX(0,IF((AF$6-$E$3)&lt;1,0,IFERROR(LOOKUP(2,1/(Algodão!$E46:INDEX(Algodão!$E46:$Z46,MIN(AF$6-$E$3,22))&lt;&gt;""),Algodão!$E46:INDEX(Algodão!$E46:$Z46,MIN(AF$6-$E$3,22))),0))-IF($G$2,0,IF((AF$6-$G$3)&lt;1,0,IFERROR(LOOKUP(2,1/(Algodão!$E46:INDEX(Algodão!$E46:$Z46,MIN(AF$6-$G$3,22))&lt;&gt;""),Algodão!$E46:INDEX(Algodão!$E46:$Z46,MIN(AF$6-$G$3,22))),0)))))</f>
        <v>0</v>
      </c>
      <c r="AG48" s="27" t="n">
        <f aca="false">IF(COUNT(Algodão!$E46:$Z46)=0,0,MAX(0,IF((AG$6-$E$3)&lt;1,0,IFERROR(LOOKUP(2,1/(Algodão!$E46:INDEX(Algodão!$E46:$Z46,MIN(AG$6-$E$3,22))&lt;&gt;""),Algodão!$E46:INDEX(Algodão!$E46:$Z46,MIN(AG$6-$E$3,22))),0))-IF($G$2,0,IF((AG$6-$G$3)&lt;1,0,IFERROR(LOOKUP(2,1/(Algodão!$E46:INDEX(Algodão!$E46:$Z46,MIN(AG$6-$G$3,22))&lt;&gt;""),Algodão!$E46:INDEX(Algodão!$E46:$Z46,MIN(AG$6-$G$3,22))),0)))))</f>
        <v>0</v>
      </c>
      <c r="AH48" s="27" t="n">
        <f aca="false">IF(COUNT(Algodão!$E46:$Z46)=0,0,MAX(0,IF((AH$6-$E$3)&lt;1,0,IFERROR(LOOKUP(2,1/(Algodão!$E46:INDEX(Algodão!$E46:$Z46,MIN(AH$6-$E$3,22))&lt;&gt;""),Algodão!$E46:INDEX(Algodão!$E46:$Z46,MIN(AH$6-$E$3,22))),0))-IF($G$2,0,IF((AH$6-$G$3)&lt;1,0,IFERROR(LOOKUP(2,1/(Algodão!$E46:INDEX(Algodão!$E46:$Z46,MIN(AH$6-$G$3,22))&lt;&gt;""),Algodão!$E46:INDEX(Algodão!$E46:$Z46,MIN(AH$6-$G$3,22))),0)))))</f>
        <v>0</v>
      </c>
      <c r="AI48" s="27" t="n">
        <f aca="false">IF(COUNT(Algodão!$E46:$Z46)=0,0,MAX(0,IF((AI$6-$E$3)&lt;1,0,IFERROR(LOOKUP(2,1/(Algodão!$E46:INDEX(Algodão!$E46:$Z46,MIN(AI$6-$E$3,22))&lt;&gt;""),Algodão!$E46:INDEX(Algodão!$E46:$Z46,MIN(AI$6-$E$3,22))),0))-IF($G$2,0,IF((AI$6-$G$3)&lt;1,0,IFERROR(LOOKUP(2,1/(Algodão!$E46:INDEX(Algodão!$E46:$Z46,MIN(AI$6-$G$3,22))&lt;&gt;""),Algodão!$E46:INDEX(Algodão!$E46:$Z46,MIN(AI$6-$G$3,22))),0)))))</f>
        <v>0</v>
      </c>
      <c r="AJ48" s="27" t="n">
        <f aca="false">IF(COUNT(Algodão!$E46:$Z46)=0,0,MAX(0,IF((AJ$6-$E$3)&lt;1,0,IFERROR(LOOKUP(2,1/(Algodão!$E46:INDEX(Algodão!$E46:$Z46,MIN(AJ$6-$E$3,22))&lt;&gt;""),Algodão!$E46:INDEX(Algodão!$E46:$Z46,MIN(AJ$6-$E$3,22))),0))-IF($G$2,0,IF((AJ$6-$G$3)&lt;1,0,IFERROR(LOOKUP(2,1/(Algodão!$E46:INDEX(Algodão!$E46:$Z46,MIN(AJ$6-$G$3,22))&lt;&gt;""),Algodão!$E46:INDEX(Algodão!$E46:$Z46,MIN(AJ$6-$G$3,22))),0)))))</f>
        <v>0</v>
      </c>
      <c r="AK48" s="27" t="n">
        <f aca="false">IF(COUNT(Algodão!$E46:$Z46)=0,0,MAX(0,IF((AK$6-$E$3)&lt;1,0,IFERROR(LOOKUP(2,1/(Algodão!$E46:INDEX(Algodão!$E46:$Z46,MIN(AK$6-$E$3,22))&lt;&gt;""),Algodão!$E46:INDEX(Algodão!$E46:$Z46,MIN(AK$6-$E$3,22))),0))-IF($G$2,0,IF((AK$6-$G$3)&lt;1,0,IFERROR(LOOKUP(2,1/(Algodão!$E46:INDEX(Algodão!$E46:$Z46,MIN(AK$6-$G$3,22))&lt;&gt;""),Algodão!$E46:INDEX(Algodão!$E46:$Z46,MIN(AK$6-$G$3,22))),0)))))</f>
        <v>0</v>
      </c>
      <c r="AL48" s="27" t="n">
        <f aca="false">IF(COUNT(Algodão!$E46:$Z46)=0,0,MAX(0,IF((AL$6-$E$3)&lt;1,0,IFERROR(LOOKUP(2,1/(Algodão!$E46:INDEX(Algodão!$E46:$Z46,MIN(AL$6-$E$3,22))&lt;&gt;""),Algodão!$E46:INDEX(Algodão!$E46:$Z46,MIN(AL$6-$E$3,22))),0))-IF($G$2,0,IF((AL$6-$G$3)&lt;1,0,IFERROR(LOOKUP(2,1/(Algodão!$E46:INDEX(Algodão!$E46:$Z46,MIN(AL$6-$G$3,22))&lt;&gt;""),Algodão!$E46:INDEX(Algodão!$E46:$Z46,MIN(AL$6-$G$3,22))),0)))))</f>
        <v>0</v>
      </c>
      <c r="AM48" s="27" t="n">
        <f aca="false">IF(COUNT(Algodão!$E46:$Z46)=0,0,MAX(0,IF((AM$6-$E$3)&lt;1,0,IFERROR(LOOKUP(2,1/(Algodão!$E46:INDEX(Algodão!$E46:$Z46,MIN(AM$6-$E$3,22))&lt;&gt;""),Algodão!$E46:INDEX(Algodão!$E46:$Z46,MIN(AM$6-$E$3,22))),0))-IF($G$2,0,IF((AM$6-$G$3)&lt;1,0,IFERROR(LOOKUP(2,1/(Algodão!$E46:INDEX(Algodão!$E46:$Z46,MIN(AM$6-$G$3,22))&lt;&gt;""),Algodão!$E46:INDEX(Algodão!$E46:$Z46,MIN(AM$6-$G$3,22))),0)))))</f>
        <v>0</v>
      </c>
      <c r="AN48" s="27" t="n">
        <f aca="false">IF(COUNT(Algodão!$E46:$Z46)=0,0,MAX(0,IF((AN$6-$E$3)&lt;1,0,IFERROR(LOOKUP(2,1/(Algodão!$E46:INDEX(Algodão!$E46:$Z46,MIN(AN$6-$E$3,22))&lt;&gt;""),Algodão!$E46:INDEX(Algodão!$E46:$Z46,MIN(AN$6-$E$3,22))),0))-IF($G$2,0,IF((AN$6-$G$3)&lt;1,0,IFERROR(LOOKUP(2,1/(Algodão!$E46:INDEX(Algodão!$E46:$Z46,MIN(AN$6-$G$3,22))&lt;&gt;""),Algodão!$E46:INDEX(Algodão!$E46:$Z46,MIN(AN$6-$G$3,22))),0)))))</f>
        <v>0</v>
      </c>
      <c r="AO48" s="27" t="n">
        <f aca="false">IF(COUNT(Algodão!$E46:$Z46)=0,0,MAX(0,IF((AO$6-$E$3)&lt;1,0,IFERROR(LOOKUP(2,1/(Algodão!$E46:INDEX(Algodão!$E46:$Z46,MIN(AO$6-$E$3,22))&lt;&gt;""),Algodão!$E46:INDEX(Algodão!$E46:$Z46,MIN(AO$6-$E$3,22))),0))-IF($G$2,0,IF((AO$6-$G$3)&lt;1,0,IFERROR(LOOKUP(2,1/(Algodão!$E46:INDEX(Algodão!$E46:$Z46,MIN(AO$6-$G$3,22))&lt;&gt;""),Algodão!$E46:INDEX(Algodão!$E46:$Z46,MIN(AO$6-$G$3,22))),0)))))</f>
        <v>0</v>
      </c>
      <c r="AP48" s="27" t="n">
        <f aca="false">IF(COUNT(Algodão!$E46:$Z46)=0,0,MAX(0,IF((AP$6-$E$3)&lt;1,0,IFERROR(LOOKUP(2,1/(Algodão!$E46:INDEX(Algodão!$E46:$Z46,MIN(AP$6-$E$3,22))&lt;&gt;""),Algodão!$E46:INDEX(Algodão!$E46:$Z46,MIN(AP$6-$E$3,22))),0))-IF($G$2,0,IF((AP$6-$G$3)&lt;1,0,IFERROR(LOOKUP(2,1/(Algodão!$E46:INDEX(Algodão!$E46:$Z46,MIN(AP$6-$G$3,22))&lt;&gt;""),Algodão!$E46:INDEX(Algodão!$E46:$Z46,MIN(AP$6-$G$3,22))),0)))))</f>
        <v>0</v>
      </c>
      <c r="AQ48" s="27" t="n">
        <f aca="false">IF(COUNT(Algodão!$E46:$Z46)=0,0,MAX(0,IF((AQ$6-$E$3)&lt;1,0,IFERROR(LOOKUP(2,1/(Algodão!$E46:INDEX(Algodão!$E46:$Z46,MIN(AQ$6-$E$3,22))&lt;&gt;""),Algodão!$E46:INDEX(Algodão!$E46:$Z46,MIN(AQ$6-$E$3,22))),0))-IF($G$2,0,IF((AQ$6-$G$3)&lt;1,0,IFERROR(LOOKUP(2,1/(Algodão!$E46:INDEX(Algodão!$E46:$Z46,MIN(AQ$6-$G$3,22))&lt;&gt;""),Algodão!$E46:INDEX(Algodão!$E46:$Z46,MIN(AQ$6-$G$3,22))),0)))))</f>
        <v>0</v>
      </c>
      <c r="AR48" s="27" t="n">
        <f aca="false">IF(COUNT(Algodão!$E46:$Z46)=0,0,MAX(0,IF((AR$6-$E$3)&lt;1,0,IFERROR(LOOKUP(2,1/(Algodão!$E46:INDEX(Algodão!$E46:$Z46,MIN(AR$6-$E$3,22))&lt;&gt;""),Algodão!$E46:INDEX(Algodão!$E46:$Z46,MIN(AR$6-$E$3,22))),0))-IF($G$2,0,IF((AR$6-$G$3)&lt;1,0,IFERROR(LOOKUP(2,1/(Algodão!$E46:INDEX(Algodão!$E46:$Z46,MIN(AR$6-$G$3,22))&lt;&gt;""),Algodão!$E46:INDEX(Algodão!$E46:$Z46,MIN(AR$6-$G$3,22))),0)))))</f>
        <v>0</v>
      </c>
      <c r="AS48" s="27" t="n">
        <f aca="false">IF(COUNT(Algodão!$E46:$Z46)=0,0,MAX(0,IF((AS$6-$E$3)&lt;1,0,IFERROR(LOOKUP(2,1/(Algodão!$E46:INDEX(Algodão!$E46:$Z46,MIN(AS$6-$E$3,22))&lt;&gt;""),Algodão!$E46:INDEX(Algodão!$E46:$Z46,MIN(AS$6-$E$3,22))),0))-IF($G$2,0,IF((AS$6-$G$3)&lt;1,0,IFERROR(LOOKUP(2,1/(Algodão!$E46:INDEX(Algodão!$E46:$Z46,MIN(AS$6-$G$3,22))&lt;&gt;""),Algodão!$E46:INDEX(Algodão!$E46:$Z46,MIN(AS$6-$G$3,22))),0)))))</f>
        <v>0</v>
      </c>
      <c r="AT48" s="27" t="n">
        <f aca="false">IF(COUNT(Algodão!$E46:$Z46)=0,0,MAX(0,IF((AT$6-$E$3)&lt;1,0,IFERROR(LOOKUP(2,1/(Algodão!$E46:INDEX(Algodão!$E46:$Z46,MIN(AT$6-$E$3,22))&lt;&gt;""),Algodão!$E46:INDEX(Algodão!$E46:$Z46,MIN(AT$6-$E$3,22))),0))-IF($G$2,0,IF((AT$6-$G$3)&lt;1,0,IFERROR(LOOKUP(2,1/(Algodão!$E46:INDEX(Algodão!$E46:$Z46,MIN(AT$6-$G$3,22))&lt;&gt;""),Algodão!$E46:INDEX(Algodão!$E46:$Z46,MIN(AT$6-$G$3,22))),0)))))</f>
        <v>0</v>
      </c>
      <c r="AU48" s="27" t="n">
        <f aca="false">IF(COUNT(Algodão!$E46:$Z46)=0,0,MAX(0,IF((AU$6-$E$3)&lt;1,0,IFERROR(LOOKUP(2,1/(Algodão!$E46:INDEX(Algodão!$E46:$Z46,MIN(AU$6-$E$3,22))&lt;&gt;""),Algodão!$E46:INDEX(Algodão!$E46:$Z46,MIN(AU$6-$E$3,22))),0))-IF($G$2,0,IF((AU$6-$G$3)&lt;1,0,IFERROR(LOOKUP(2,1/(Algodão!$E46:INDEX(Algodão!$E46:$Z46,MIN(AU$6-$G$3,22))&lt;&gt;""),Algodão!$E46:INDEX(Algodão!$E46:$Z46,MIN(AU$6-$G$3,22))),0)))))</f>
        <v>0</v>
      </c>
      <c r="AV48" s="27" t="n">
        <f aca="false">IF(COUNT(Algodão!$E46:$Z46)=0,0,MAX(0,IF((AV$6-$E$3)&lt;1,0,IFERROR(LOOKUP(2,1/(Algodão!$E46:INDEX(Algodão!$E46:$Z46,MIN(AV$6-$E$3,22))&lt;&gt;""),Algodão!$E46:INDEX(Algodão!$E46:$Z46,MIN(AV$6-$E$3,22))),0))-IF($G$2,0,IF((AV$6-$G$3)&lt;1,0,IFERROR(LOOKUP(2,1/(Algodão!$E46:INDEX(Algodão!$E46:$Z46,MIN(AV$6-$G$3,22))&lt;&gt;""),Algodão!$E46:INDEX(Algodão!$E46:$Z46,MIN(AV$6-$G$3,22))),0)))))</f>
        <v>0</v>
      </c>
      <c r="AW48" s="27" t="n">
        <f aca="false">IF(COUNT(Algodão!$E46:$Z46)=0,0,MAX(0,IF((AW$6-$E$3)&lt;1,0,IFERROR(LOOKUP(2,1/(Algodão!$E46:INDEX(Algodão!$E46:$Z46,MIN(AW$6-$E$3,22))&lt;&gt;""),Algodão!$E46:INDEX(Algodão!$E46:$Z46,MIN(AW$6-$E$3,22))),0))-IF($G$2,0,IF((AW$6-$G$3)&lt;1,0,IFERROR(LOOKUP(2,1/(Algodão!$E46:INDEX(Algodão!$E46:$Z46,MIN(AW$6-$G$3,22))&lt;&gt;""),Algodão!$E46:INDEX(Algodão!$E46:$Z46,MIN(AW$6-$G$3,22))),0)))))</f>
        <v>0</v>
      </c>
      <c r="AX48" s="27" t="n">
        <f aca="false">IF(COUNT(Algodão!$E46:$Z46)=0,0,MAX(0,IF((AX$6-$E$3)&lt;1,0,IFERROR(LOOKUP(2,1/(Algodão!$E46:INDEX(Algodão!$E46:$Z46,MIN(AX$6-$E$3,22))&lt;&gt;""),Algodão!$E46:INDEX(Algodão!$E46:$Z46,MIN(AX$6-$E$3,22))),0))-IF($G$2,0,IF((AX$6-$G$3)&lt;1,0,IFERROR(LOOKUP(2,1/(Algodão!$E46:INDEX(Algodão!$E46:$Z46,MIN(AX$6-$G$3,22))&lt;&gt;""),Algodão!$E46:INDEX(Algodão!$E46:$Z46,MIN(AX$6-$G$3,22))),0)))))</f>
        <v>0</v>
      </c>
      <c r="AY48" s="27" t="n">
        <f aca="false">IF(COUNT(Algodão!$E46:$Z46)=0,0,MAX(0,IF((AY$6-$E$3)&lt;1,0,IFERROR(LOOKUP(2,1/(Algodão!$E46:INDEX(Algodão!$E46:$Z46,MIN(AY$6-$E$3,22))&lt;&gt;""),Algodão!$E46:INDEX(Algodão!$E46:$Z46,MIN(AY$6-$E$3,22))),0))-IF($G$2,0,IF((AY$6-$G$3)&lt;1,0,IFERROR(LOOKUP(2,1/(Algodão!$E46:INDEX(Algodão!$E46:$Z46,MIN(AY$6-$G$3,22))&lt;&gt;""),Algodão!$E46:INDEX(Algodão!$E46:$Z46,MIN(AY$6-$G$3,22))),0)))))</f>
        <v>0</v>
      </c>
      <c r="AZ48" s="27" t="n">
        <f aca="false">IF(COUNT(Algodão!$E46:$Z46)=0,0,MAX(0,IF((AZ$6-$E$3)&lt;1,0,IFERROR(LOOKUP(2,1/(Algodão!$E46:INDEX(Algodão!$E46:$Z46,MIN(AZ$6-$E$3,22))&lt;&gt;""),Algodão!$E46:INDEX(Algodão!$E46:$Z46,MIN(AZ$6-$E$3,22))),0))-IF($G$2,0,IF((AZ$6-$G$3)&lt;1,0,IFERROR(LOOKUP(2,1/(Algodão!$E46:INDEX(Algodão!$E46:$Z46,MIN(AZ$6-$G$3,22))&lt;&gt;""),Algodão!$E46:INDEX(Algodão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IF(COUNT(Algodão!$E47:$Z47)&gt;0,N(Algodão!$D47),0)</f>
        <v>0</v>
      </c>
      <c r="E49" s="27" t="n">
        <f aca="false">IF(COUNT(Algodão!$E47:$Z47)=0,0,MAX(0,IF((E$6-$E$3)&lt;1,0,IFERROR(LOOKUP(2,1/(Algodão!$E47:INDEX(Algodão!$E47:$Z47,MIN(E$6-$E$3,22))&lt;&gt;""),Algodão!$E47:INDEX(Algodão!$E47:$Z47,MIN(E$6-$E$3,22))),0))-IF($G$2,0,IF((E$6-$G$3)&lt;1,0,IFERROR(LOOKUP(2,1/(Algodão!$E47:INDEX(Algodão!$E47:$Z47,MIN(E$6-$G$3,22))&lt;&gt;""),Algodão!$E47:INDEX(Algodão!$E47:$Z47,MIN(E$6-$G$3,22))),0)))))</f>
        <v>0</v>
      </c>
      <c r="F49" s="27" t="n">
        <f aca="false">IF(COUNT(Algodão!$E47:$Z47)=0,0,MAX(0,IF((F$6-$E$3)&lt;1,0,IFERROR(LOOKUP(2,1/(Algodão!$E47:INDEX(Algodão!$E47:$Z47,MIN(F$6-$E$3,22))&lt;&gt;""),Algodão!$E47:INDEX(Algodão!$E47:$Z47,MIN(F$6-$E$3,22))),0))-IF($G$2,0,IF((F$6-$G$3)&lt;1,0,IFERROR(LOOKUP(2,1/(Algodão!$E47:INDEX(Algodão!$E47:$Z47,MIN(F$6-$G$3,22))&lt;&gt;""),Algodão!$E47:INDEX(Algodão!$E47:$Z47,MIN(F$6-$G$3,22))),0)))))</f>
        <v>0</v>
      </c>
      <c r="G49" s="27" t="n">
        <f aca="false">IF(COUNT(Algodão!$E47:$Z47)=0,0,MAX(0,IF((G$6-$E$3)&lt;1,0,IFERROR(LOOKUP(2,1/(Algodão!$E47:INDEX(Algodão!$E47:$Z47,MIN(G$6-$E$3,22))&lt;&gt;""),Algodão!$E47:INDEX(Algodão!$E47:$Z47,MIN(G$6-$E$3,22))),0))-IF($G$2,0,IF((G$6-$G$3)&lt;1,0,IFERROR(LOOKUP(2,1/(Algodão!$E47:INDEX(Algodão!$E47:$Z47,MIN(G$6-$G$3,22))&lt;&gt;""),Algodão!$E47:INDEX(Algodão!$E47:$Z47,MIN(G$6-$G$3,22))),0)))))</f>
        <v>0</v>
      </c>
      <c r="H49" s="27" t="n">
        <f aca="false">IF(COUNT(Algodão!$E47:$Z47)=0,0,MAX(0,IF((H$6-$E$3)&lt;1,0,IFERROR(LOOKUP(2,1/(Algodão!$E47:INDEX(Algodão!$E47:$Z47,MIN(H$6-$E$3,22))&lt;&gt;""),Algodão!$E47:INDEX(Algodão!$E47:$Z47,MIN(H$6-$E$3,22))),0))-IF($G$2,0,IF((H$6-$G$3)&lt;1,0,IFERROR(LOOKUP(2,1/(Algodão!$E47:INDEX(Algodão!$E47:$Z47,MIN(H$6-$G$3,22))&lt;&gt;""),Algodão!$E47:INDEX(Algodão!$E47:$Z47,MIN(H$6-$G$3,22))),0)))))</f>
        <v>0</v>
      </c>
      <c r="I49" s="27" t="n">
        <f aca="false">IF(COUNT(Algodão!$E47:$Z47)=0,0,MAX(0,IF((I$6-$E$3)&lt;1,0,IFERROR(LOOKUP(2,1/(Algodão!$E47:INDEX(Algodão!$E47:$Z47,MIN(I$6-$E$3,22))&lt;&gt;""),Algodão!$E47:INDEX(Algodão!$E47:$Z47,MIN(I$6-$E$3,22))),0))-IF($G$2,0,IF((I$6-$G$3)&lt;1,0,IFERROR(LOOKUP(2,1/(Algodão!$E47:INDEX(Algodão!$E47:$Z47,MIN(I$6-$G$3,22))&lt;&gt;""),Algodão!$E47:INDEX(Algodão!$E47:$Z47,MIN(I$6-$G$3,22))),0)))))</f>
        <v>0</v>
      </c>
      <c r="J49" s="27" t="n">
        <f aca="false">IF(COUNT(Algodão!$E47:$Z47)=0,0,MAX(0,IF((J$6-$E$3)&lt;1,0,IFERROR(LOOKUP(2,1/(Algodão!$E47:INDEX(Algodão!$E47:$Z47,MIN(J$6-$E$3,22))&lt;&gt;""),Algodão!$E47:INDEX(Algodão!$E47:$Z47,MIN(J$6-$E$3,22))),0))-IF($G$2,0,IF((J$6-$G$3)&lt;1,0,IFERROR(LOOKUP(2,1/(Algodão!$E47:INDEX(Algodão!$E47:$Z47,MIN(J$6-$G$3,22))&lt;&gt;""),Algodão!$E47:INDEX(Algodão!$E47:$Z47,MIN(J$6-$G$3,22))),0)))))</f>
        <v>0</v>
      </c>
      <c r="K49" s="27" t="n">
        <f aca="false">IF(COUNT(Algodão!$E47:$Z47)=0,0,MAX(0,IF((K$6-$E$3)&lt;1,0,IFERROR(LOOKUP(2,1/(Algodão!$E47:INDEX(Algodão!$E47:$Z47,MIN(K$6-$E$3,22))&lt;&gt;""),Algodão!$E47:INDEX(Algodão!$E47:$Z47,MIN(K$6-$E$3,22))),0))-IF($G$2,0,IF((K$6-$G$3)&lt;1,0,IFERROR(LOOKUP(2,1/(Algodão!$E47:INDEX(Algodão!$E47:$Z47,MIN(K$6-$G$3,22))&lt;&gt;""),Algodão!$E47:INDEX(Algodão!$E47:$Z47,MIN(K$6-$G$3,22))),0)))))</f>
        <v>0</v>
      </c>
      <c r="L49" s="27" t="n">
        <f aca="false">IF(COUNT(Algodão!$E47:$Z47)=0,0,MAX(0,IF((L$6-$E$3)&lt;1,0,IFERROR(LOOKUP(2,1/(Algodão!$E47:INDEX(Algodão!$E47:$Z47,MIN(L$6-$E$3,22))&lt;&gt;""),Algodão!$E47:INDEX(Algodão!$E47:$Z47,MIN(L$6-$E$3,22))),0))-IF($G$2,0,IF((L$6-$G$3)&lt;1,0,IFERROR(LOOKUP(2,1/(Algodão!$E47:INDEX(Algodão!$E47:$Z47,MIN(L$6-$G$3,22))&lt;&gt;""),Algodão!$E47:INDEX(Algodão!$E47:$Z47,MIN(L$6-$G$3,22))),0)))))</f>
        <v>0</v>
      </c>
      <c r="M49" s="27" t="n">
        <f aca="false">IF(COUNT(Algodão!$E47:$Z47)=0,0,MAX(0,IF((M$6-$E$3)&lt;1,0,IFERROR(LOOKUP(2,1/(Algodão!$E47:INDEX(Algodão!$E47:$Z47,MIN(M$6-$E$3,22))&lt;&gt;""),Algodão!$E47:INDEX(Algodão!$E47:$Z47,MIN(M$6-$E$3,22))),0))-IF($G$2,0,IF((M$6-$G$3)&lt;1,0,IFERROR(LOOKUP(2,1/(Algodão!$E47:INDEX(Algodão!$E47:$Z47,MIN(M$6-$G$3,22))&lt;&gt;""),Algodão!$E47:INDEX(Algodão!$E47:$Z47,MIN(M$6-$G$3,22))),0)))))</f>
        <v>0</v>
      </c>
      <c r="N49" s="27" t="n">
        <f aca="false">IF(COUNT(Algodão!$E47:$Z47)=0,0,MAX(0,IF((N$6-$E$3)&lt;1,0,IFERROR(LOOKUP(2,1/(Algodão!$E47:INDEX(Algodão!$E47:$Z47,MIN(N$6-$E$3,22))&lt;&gt;""),Algodão!$E47:INDEX(Algodão!$E47:$Z47,MIN(N$6-$E$3,22))),0))-IF($G$2,0,IF((N$6-$G$3)&lt;1,0,IFERROR(LOOKUP(2,1/(Algodão!$E47:INDEX(Algodão!$E47:$Z47,MIN(N$6-$G$3,22))&lt;&gt;""),Algodão!$E47:INDEX(Algodão!$E47:$Z47,MIN(N$6-$G$3,22))),0)))))</f>
        <v>0</v>
      </c>
      <c r="O49" s="27" t="n">
        <f aca="false">IF(COUNT(Algodão!$E47:$Z47)=0,0,MAX(0,IF((O$6-$E$3)&lt;1,0,IFERROR(LOOKUP(2,1/(Algodão!$E47:INDEX(Algodão!$E47:$Z47,MIN(O$6-$E$3,22))&lt;&gt;""),Algodão!$E47:INDEX(Algodão!$E47:$Z47,MIN(O$6-$E$3,22))),0))-IF($G$2,0,IF((O$6-$G$3)&lt;1,0,IFERROR(LOOKUP(2,1/(Algodão!$E47:INDEX(Algodão!$E47:$Z47,MIN(O$6-$G$3,22))&lt;&gt;""),Algodão!$E47:INDEX(Algodão!$E47:$Z47,MIN(O$6-$G$3,22))),0)))))</f>
        <v>0</v>
      </c>
      <c r="P49" s="27" t="n">
        <f aca="false">IF(COUNT(Algodão!$E47:$Z47)=0,0,MAX(0,IF((P$6-$E$3)&lt;1,0,IFERROR(LOOKUP(2,1/(Algodão!$E47:INDEX(Algodão!$E47:$Z47,MIN(P$6-$E$3,22))&lt;&gt;""),Algodão!$E47:INDEX(Algodão!$E47:$Z47,MIN(P$6-$E$3,22))),0))-IF($G$2,0,IF((P$6-$G$3)&lt;1,0,IFERROR(LOOKUP(2,1/(Algodão!$E47:INDEX(Algodão!$E47:$Z47,MIN(P$6-$G$3,22))&lt;&gt;""),Algodão!$E47:INDEX(Algodão!$E47:$Z47,MIN(P$6-$G$3,22))),0)))))</f>
        <v>0</v>
      </c>
      <c r="Q49" s="27" t="n">
        <f aca="false">IF(COUNT(Algodão!$E47:$Z47)=0,0,MAX(0,IF((Q$6-$E$3)&lt;1,0,IFERROR(LOOKUP(2,1/(Algodão!$E47:INDEX(Algodão!$E47:$Z47,MIN(Q$6-$E$3,22))&lt;&gt;""),Algodão!$E47:INDEX(Algodão!$E47:$Z47,MIN(Q$6-$E$3,22))),0))-IF($G$2,0,IF((Q$6-$G$3)&lt;1,0,IFERROR(LOOKUP(2,1/(Algodão!$E47:INDEX(Algodão!$E47:$Z47,MIN(Q$6-$G$3,22))&lt;&gt;""),Algodão!$E47:INDEX(Algodão!$E47:$Z47,MIN(Q$6-$G$3,22))),0)))))</f>
        <v>0</v>
      </c>
      <c r="R49" s="27" t="n">
        <f aca="false">IF(COUNT(Algodão!$E47:$Z47)=0,0,MAX(0,IF((R$6-$E$3)&lt;1,0,IFERROR(LOOKUP(2,1/(Algodão!$E47:INDEX(Algodão!$E47:$Z47,MIN(R$6-$E$3,22))&lt;&gt;""),Algodão!$E47:INDEX(Algodão!$E47:$Z47,MIN(R$6-$E$3,22))),0))-IF($G$2,0,IF((R$6-$G$3)&lt;1,0,IFERROR(LOOKUP(2,1/(Algodão!$E47:INDEX(Algodão!$E47:$Z47,MIN(R$6-$G$3,22))&lt;&gt;""),Algodão!$E47:INDEX(Algodão!$E47:$Z47,MIN(R$6-$G$3,22))),0)))))</f>
        <v>0</v>
      </c>
      <c r="S49" s="27" t="n">
        <f aca="false">IF(COUNT(Algodão!$E47:$Z47)=0,0,MAX(0,IF((S$6-$E$3)&lt;1,0,IFERROR(LOOKUP(2,1/(Algodão!$E47:INDEX(Algodão!$E47:$Z47,MIN(S$6-$E$3,22))&lt;&gt;""),Algodão!$E47:INDEX(Algodão!$E47:$Z47,MIN(S$6-$E$3,22))),0))-IF($G$2,0,IF((S$6-$G$3)&lt;1,0,IFERROR(LOOKUP(2,1/(Algodão!$E47:INDEX(Algodão!$E47:$Z47,MIN(S$6-$G$3,22))&lt;&gt;""),Algodão!$E47:INDEX(Algodão!$E47:$Z47,MIN(S$6-$G$3,22))),0)))))</f>
        <v>0</v>
      </c>
      <c r="T49" s="27" t="n">
        <f aca="false">IF(COUNT(Algodão!$E47:$Z47)=0,0,MAX(0,IF((T$6-$E$3)&lt;1,0,IFERROR(LOOKUP(2,1/(Algodão!$E47:INDEX(Algodão!$E47:$Z47,MIN(T$6-$E$3,22))&lt;&gt;""),Algodão!$E47:INDEX(Algodão!$E47:$Z47,MIN(T$6-$E$3,22))),0))-IF($G$2,0,IF((T$6-$G$3)&lt;1,0,IFERROR(LOOKUP(2,1/(Algodão!$E47:INDEX(Algodão!$E47:$Z47,MIN(T$6-$G$3,22))&lt;&gt;""),Algodão!$E47:INDEX(Algodão!$E47:$Z47,MIN(T$6-$G$3,22))),0)))))</f>
        <v>0</v>
      </c>
      <c r="U49" s="27" t="n">
        <f aca="false">IF(COUNT(Algodão!$E47:$Z47)=0,0,MAX(0,IF((U$6-$E$3)&lt;1,0,IFERROR(LOOKUP(2,1/(Algodão!$E47:INDEX(Algodão!$E47:$Z47,MIN(U$6-$E$3,22))&lt;&gt;""),Algodão!$E47:INDEX(Algodão!$E47:$Z47,MIN(U$6-$E$3,22))),0))-IF($G$2,0,IF((U$6-$G$3)&lt;1,0,IFERROR(LOOKUP(2,1/(Algodão!$E47:INDEX(Algodão!$E47:$Z47,MIN(U$6-$G$3,22))&lt;&gt;""),Algodão!$E47:INDEX(Algodão!$E47:$Z47,MIN(U$6-$G$3,22))),0)))))</f>
        <v>0</v>
      </c>
      <c r="V49" s="27" t="n">
        <f aca="false">IF(COUNT(Algodão!$E47:$Z47)=0,0,MAX(0,IF((V$6-$E$3)&lt;1,0,IFERROR(LOOKUP(2,1/(Algodão!$E47:INDEX(Algodão!$E47:$Z47,MIN(V$6-$E$3,22))&lt;&gt;""),Algodão!$E47:INDEX(Algodão!$E47:$Z47,MIN(V$6-$E$3,22))),0))-IF($G$2,0,IF((V$6-$G$3)&lt;1,0,IFERROR(LOOKUP(2,1/(Algodão!$E47:INDEX(Algodão!$E47:$Z47,MIN(V$6-$G$3,22))&lt;&gt;""),Algodão!$E47:INDEX(Algodão!$E47:$Z47,MIN(V$6-$G$3,22))),0)))))</f>
        <v>0</v>
      </c>
      <c r="W49" s="27" t="n">
        <f aca="false">IF(COUNT(Algodão!$E47:$Z47)=0,0,MAX(0,IF((W$6-$E$3)&lt;1,0,IFERROR(LOOKUP(2,1/(Algodão!$E47:INDEX(Algodão!$E47:$Z47,MIN(W$6-$E$3,22))&lt;&gt;""),Algodão!$E47:INDEX(Algodão!$E47:$Z47,MIN(W$6-$E$3,22))),0))-IF($G$2,0,IF((W$6-$G$3)&lt;1,0,IFERROR(LOOKUP(2,1/(Algodão!$E47:INDEX(Algodão!$E47:$Z47,MIN(W$6-$G$3,22))&lt;&gt;""),Algodão!$E47:INDEX(Algodão!$E47:$Z47,MIN(W$6-$G$3,22))),0)))))</f>
        <v>0</v>
      </c>
      <c r="X49" s="27" t="n">
        <f aca="false">IF(COUNT(Algodão!$E47:$Z47)=0,0,MAX(0,IF((X$6-$E$3)&lt;1,0,IFERROR(LOOKUP(2,1/(Algodão!$E47:INDEX(Algodão!$E47:$Z47,MIN(X$6-$E$3,22))&lt;&gt;""),Algodão!$E47:INDEX(Algodão!$E47:$Z47,MIN(X$6-$E$3,22))),0))-IF($G$2,0,IF((X$6-$G$3)&lt;1,0,IFERROR(LOOKUP(2,1/(Algodão!$E47:INDEX(Algodão!$E47:$Z47,MIN(X$6-$G$3,22))&lt;&gt;""),Algodão!$E47:INDEX(Algodão!$E47:$Z47,MIN(X$6-$G$3,22))),0)))))</f>
        <v>0</v>
      </c>
      <c r="Y49" s="27" t="n">
        <f aca="false">IF(COUNT(Algodão!$E47:$Z47)=0,0,MAX(0,IF((Y$6-$E$3)&lt;1,0,IFERROR(LOOKUP(2,1/(Algodão!$E47:INDEX(Algodão!$E47:$Z47,MIN(Y$6-$E$3,22))&lt;&gt;""),Algodão!$E47:INDEX(Algodão!$E47:$Z47,MIN(Y$6-$E$3,22))),0))-IF($G$2,0,IF((Y$6-$G$3)&lt;1,0,IFERROR(LOOKUP(2,1/(Algodão!$E47:INDEX(Algodão!$E47:$Z47,MIN(Y$6-$G$3,22))&lt;&gt;""),Algodão!$E47:INDEX(Algodão!$E47:$Z47,MIN(Y$6-$G$3,22))),0)))))</f>
        <v>0</v>
      </c>
      <c r="Z49" s="27" t="n">
        <f aca="false">IF(COUNT(Algodão!$E47:$Z47)=0,0,MAX(0,IF((Z$6-$E$3)&lt;1,0,IFERROR(LOOKUP(2,1/(Algodão!$E47:INDEX(Algodão!$E47:$Z47,MIN(Z$6-$E$3,22))&lt;&gt;""),Algodão!$E47:INDEX(Algodão!$E47:$Z47,MIN(Z$6-$E$3,22))),0))-IF($G$2,0,IF((Z$6-$G$3)&lt;1,0,IFERROR(LOOKUP(2,1/(Algodão!$E47:INDEX(Algodão!$E47:$Z47,MIN(Z$6-$G$3,22))&lt;&gt;""),Algodão!$E47:INDEX(Algodão!$E47:$Z47,MIN(Z$6-$G$3,22))),0)))))</f>
        <v>0</v>
      </c>
      <c r="AA49" s="27" t="n">
        <f aca="false">IF(COUNT(Algodão!$E47:$Z47)=0,0,MAX(0,IF((AA$6-$E$3)&lt;1,0,IFERROR(LOOKUP(2,1/(Algodão!$E47:INDEX(Algodão!$E47:$Z47,MIN(AA$6-$E$3,22))&lt;&gt;""),Algodão!$E47:INDEX(Algodão!$E47:$Z47,MIN(AA$6-$E$3,22))),0))-IF($G$2,0,IF((AA$6-$G$3)&lt;1,0,IFERROR(LOOKUP(2,1/(Algodão!$E47:INDEX(Algodão!$E47:$Z47,MIN(AA$6-$G$3,22))&lt;&gt;""),Algodão!$E47:INDEX(Algodão!$E47:$Z47,MIN(AA$6-$G$3,22))),0)))))</f>
        <v>0</v>
      </c>
      <c r="AB49" s="27" t="n">
        <f aca="false">IF(COUNT(Algodão!$E47:$Z47)=0,0,MAX(0,IF((AB$6-$E$3)&lt;1,0,IFERROR(LOOKUP(2,1/(Algodão!$E47:INDEX(Algodão!$E47:$Z47,MIN(AB$6-$E$3,22))&lt;&gt;""),Algodão!$E47:INDEX(Algodão!$E47:$Z47,MIN(AB$6-$E$3,22))),0))-IF($G$2,0,IF((AB$6-$G$3)&lt;1,0,IFERROR(LOOKUP(2,1/(Algodão!$E47:INDEX(Algodão!$E47:$Z47,MIN(AB$6-$G$3,22))&lt;&gt;""),Algodão!$E47:INDEX(Algodão!$E47:$Z47,MIN(AB$6-$G$3,22))),0)))))</f>
        <v>0</v>
      </c>
      <c r="AC49" s="27" t="n">
        <f aca="false">IF(COUNT(Algodão!$E47:$Z47)=0,0,MAX(0,IF((AC$6-$E$3)&lt;1,0,IFERROR(LOOKUP(2,1/(Algodão!$E47:INDEX(Algodão!$E47:$Z47,MIN(AC$6-$E$3,22))&lt;&gt;""),Algodão!$E47:INDEX(Algodão!$E47:$Z47,MIN(AC$6-$E$3,22))),0))-IF($G$2,0,IF((AC$6-$G$3)&lt;1,0,IFERROR(LOOKUP(2,1/(Algodão!$E47:INDEX(Algodão!$E47:$Z47,MIN(AC$6-$G$3,22))&lt;&gt;""),Algodão!$E47:INDEX(Algodão!$E47:$Z47,MIN(AC$6-$G$3,22))),0)))))</f>
        <v>0</v>
      </c>
      <c r="AD49" s="27" t="n">
        <f aca="false">IF(COUNT(Algodão!$E47:$Z47)=0,0,MAX(0,IF((AD$6-$E$3)&lt;1,0,IFERROR(LOOKUP(2,1/(Algodão!$E47:INDEX(Algodão!$E47:$Z47,MIN(AD$6-$E$3,22))&lt;&gt;""),Algodão!$E47:INDEX(Algodão!$E47:$Z47,MIN(AD$6-$E$3,22))),0))-IF($G$2,0,IF((AD$6-$G$3)&lt;1,0,IFERROR(LOOKUP(2,1/(Algodão!$E47:INDEX(Algodão!$E47:$Z47,MIN(AD$6-$G$3,22))&lt;&gt;""),Algodão!$E47:INDEX(Algodão!$E47:$Z47,MIN(AD$6-$G$3,22))),0)))))</f>
        <v>0</v>
      </c>
      <c r="AE49" s="27" t="n">
        <f aca="false">IF(COUNT(Algodão!$E47:$Z47)=0,0,MAX(0,IF((AE$6-$E$3)&lt;1,0,IFERROR(LOOKUP(2,1/(Algodão!$E47:INDEX(Algodão!$E47:$Z47,MIN(AE$6-$E$3,22))&lt;&gt;""),Algodão!$E47:INDEX(Algodão!$E47:$Z47,MIN(AE$6-$E$3,22))),0))-IF($G$2,0,IF((AE$6-$G$3)&lt;1,0,IFERROR(LOOKUP(2,1/(Algodão!$E47:INDEX(Algodão!$E47:$Z47,MIN(AE$6-$G$3,22))&lt;&gt;""),Algodão!$E47:INDEX(Algodão!$E47:$Z47,MIN(AE$6-$G$3,22))),0)))))</f>
        <v>0</v>
      </c>
      <c r="AF49" s="27" t="n">
        <f aca="false">IF(COUNT(Algodão!$E47:$Z47)=0,0,MAX(0,IF((AF$6-$E$3)&lt;1,0,IFERROR(LOOKUP(2,1/(Algodão!$E47:INDEX(Algodão!$E47:$Z47,MIN(AF$6-$E$3,22))&lt;&gt;""),Algodão!$E47:INDEX(Algodão!$E47:$Z47,MIN(AF$6-$E$3,22))),0))-IF($G$2,0,IF((AF$6-$G$3)&lt;1,0,IFERROR(LOOKUP(2,1/(Algodão!$E47:INDEX(Algodão!$E47:$Z47,MIN(AF$6-$G$3,22))&lt;&gt;""),Algodão!$E47:INDEX(Algodão!$E47:$Z47,MIN(AF$6-$G$3,22))),0)))))</f>
        <v>0</v>
      </c>
      <c r="AG49" s="27" t="n">
        <f aca="false">IF(COUNT(Algodão!$E47:$Z47)=0,0,MAX(0,IF((AG$6-$E$3)&lt;1,0,IFERROR(LOOKUP(2,1/(Algodão!$E47:INDEX(Algodão!$E47:$Z47,MIN(AG$6-$E$3,22))&lt;&gt;""),Algodão!$E47:INDEX(Algodão!$E47:$Z47,MIN(AG$6-$E$3,22))),0))-IF($G$2,0,IF((AG$6-$G$3)&lt;1,0,IFERROR(LOOKUP(2,1/(Algodão!$E47:INDEX(Algodão!$E47:$Z47,MIN(AG$6-$G$3,22))&lt;&gt;""),Algodão!$E47:INDEX(Algodão!$E47:$Z47,MIN(AG$6-$G$3,22))),0)))))</f>
        <v>0</v>
      </c>
      <c r="AH49" s="27" t="n">
        <f aca="false">IF(COUNT(Algodão!$E47:$Z47)=0,0,MAX(0,IF((AH$6-$E$3)&lt;1,0,IFERROR(LOOKUP(2,1/(Algodão!$E47:INDEX(Algodão!$E47:$Z47,MIN(AH$6-$E$3,22))&lt;&gt;""),Algodão!$E47:INDEX(Algodão!$E47:$Z47,MIN(AH$6-$E$3,22))),0))-IF($G$2,0,IF((AH$6-$G$3)&lt;1,0,IFERROR(LOOKUP(2,1/(Algodão!$E47:INDEX(Algodão!$E47:$Z47,MIN(AH$6-$G$3,22))&lt;&gt;""),Algodão!$E47:INDEX(Algodão!$E47:$Z47,MIN(AH$6-$G$3,22))),0)))))</f>
        <v>0</v>
      </c>
      <c r="AI49" s="27" t="n">
        <f aca="false">IF(COUNT(Algodão!$E47:$Z47)=0,0,MAX(0,IF((AI$6-$E$3)&lt;1,0,IFERROR(LOOKUP(2,1/(Algodão!$E47:INDEX(Algodão!$E47:$Z47,MIN(AI$6-$E$3,22))&lt;&gt;""),Algodão!$E47:INDEX(Algodão!$E47:$Z47,MIN(AI$6-$E$3,22))),0))-IF($G$2,0,IF((AI$6-$G$3)&lt;1,0,IFERROR(LOOKUP(2,1/(Algodão!$E47:INDEX(Algodão!$E47:$Z47,MIN(AI$6-$G$3,22))&lt;&gt;""),Algodão!$E47:INDEX(Algodão!$E47:$Z47,MIN(AI$6-$G$3,22))),0)))))</f>
        <v>0</v>
      </c>
      <c r="AJ49" s="27" t="n">
        <f aca="false">IF(COUNT(Algodão!$E47:$Z47)=0,0,MAX(0,IF((AJ$6-$E$3)&lt;1,0,IFERROR(LOOKUP(2,1/(Algodão!$E47:INDEX(Algodão!$E47:$Z47,MIN(AJ$6-$E$3,22))&lt;&gt;""),Algodão!$E47:INDEX(Algodão!$E47:$Z47,MIN(AJ$6-$E$3,22))),0))-IF($G$2,0,IF((AJ$6-$G$3)&lt;1,0,IFERROR(LOOKUP(2,1/(Algodão!$E47:INDEX(Algodão!$E47:$Z47,MIN(AJ$6-$G$3,22))&lt;&gt;""),Algodão!$E47:INDEX(Algodão!$E47:$Z47,MIN(AJ$6-$G$3,22))),0)))))</f>
        <v>0</v>
      </c>
      <c r="AK49" s="27" t="n">
        <f aca="false">IF(COUNT(Algodão!$E47:$Z47)=0,0,MAX(0,IF((AK$6-$E$3)&lt;1,0,IFERROR(LOOKUP(2,1/(Algodão!$E47:INDEX(Algodão!$E47:$Z47,MIN(AK$6-$E$3,22))&lt;&gt;""),Algodão!$E47:INDEX(Algodão!$E47:$Z47,MIN(AK$6-$E$3,22))),0))-IF($G$2,0,IF((AK$6-$G$3)&lt;1,0,IFERROR(LOOKUP(2,1/(Algodão!$E47:INDEX(Algodão!$E47:$Z47,MIN(AK$6-$G$3,22))&lt;&gt;""),Algodão!$E47:INDEX(Algodão!$E47:$Z47,MIN(AK$6-$G$3,22))),0)))))</f>
        <v>0</v>
      </c>
      <c r="AL49" s="27" t="n">
        <f aca="false">IF(COUNT(Algodão!$E47:$Z47)=0,0,MAX(0,IF((AL$6-$E$3)&lt;1,0,IFERROR(LOOKUP(2,1/(Algodão!$E47:INDEX(Algodão!$E47:$Z47,MIN(AL$6-$E$3,22))&lt;&gt;""),Algodão!$E47:INDEX(Algodão!$E47:$Z47,MIN(AL$6-$E$3,22))),0))-IF($G$2,0,IF((AL$6-$G$3)&lt;1,0,IFERROR(LOOKUP(2,1/(Algodão!$E47:INDEX(Algodão!$E47:$Z47,MIN(AL$6-$G$3,22))&lt;&gt;""),Algodão!$E47:INDEX(Algodão!$E47:$Z47,MIN(AL$6-$G$3,22))),0)))))</f>
        <v>0</v>
      </c>
      <c r="AM49" s="27" t="n">
        <f aca="false">IF(COUNT(Algodão!$E47:$Z47)=0,0,MAX(0,IF((AM$6-$E$3)&lt;1,0,IFERROR(LOOKUP(2,1/(Algodão!$E47:INDEX(Algodão!$E47:$Z47,MIN(AM$6-$E$3,22))&lt;&gt;""),Algodão!$E47:INDEX(Algodão!$E47:$Z47,MIN(AM$6-$E$3,22))),0))-IF($G$2,0,IF((AM$6-$G$3)&lt;1,0,IFERROR(LOOKUP(2,1/(Algodão!$E47:INDEX(Algodão!$E47:$Z47,MIN(AM$6-$G$3,22))&lt;&gt;""),Algodão!$E47:INDEX(Algodão!$E47:$Z47,MIN(AM$6-$G$3,22))),0)))))</f>
        <v>0</v>
      </c>
      <c r="AN49" s="27" t="n">
        <f aca="false">IF(COUNT(Algodão!$E47:$Z47)=0,0,MAX(0,IF((AN$6-$E$3)&lt;1,0,IFERROR(LOOKUP(2,1/(Algodão!$E47:INDEX(Algodão!$E47:$Z47,MIN(AN$6-$E$3,22))&lt;&gt;""),Algodão!$E47:INDEX(Algodão!$E47:$Z47,MIN(AN$6-$E$3,22))),0))-IF($G$2,0,IF((AN$6-$G$3)&lt;1,0,IFERROR(LOOKUP(2,1/(Algodão!$E47:INDEX(Algodão!$E47:$Z47,MIN(AN$6-$G$3,22))&lt;&gt;""),Algodão!$E47:INDEX(Algodão!$E47:$Z47,MIN(AN$6-$G$3,22))),0)))))</f>
        <v>0</v>
      </c>
      <c r="AO49" s="27" t="n">
        <f aca="false">IF(COUNT(Algodão!$E47:$Z47)=0,0,MAX(0,IF((AO$6-$E$3)&lt;1,0,IFERROR(LOOKUP(2,1/(Algodão!$E47:INDEX(Algodão!$E47:$Z47,MIN(AO$6-$E$3,22))&lt;&gt;""),Algodão!$E47:INDEX(Algodão!$E47:$Z47,MIN(AO$6-$E$3,22))),0))-IF($G$2,0,IF((AO$6-$G$3)&lt;1,0,IFERROR(LOOKUP(2,1/(Algodão!$E47:INDEX(Algodão!$E47:$Z47,MIN(AO$6-$G$3,22))&lt;&gt;""),Algodão!$E47:INDEX(Algodão!$E47:$Z47,MIN(AO$6-$G$3,22))),0)))))</f>
        <v>0</v>
      </c>
      <c r="AP49" s="27" t="n">
        <f aca="false">IF(COUNT(Algodão!$E47:$Z47)=0,0,MAX(0,IF((AP$6-$E$3)&lt;1,0,IFERROR(LOOKUP(2,1/(Algodão!$E47:INDEX(Algodão!$E47:$Z47,MIN(AP$6-$E$3,22))&lt;&gt;""),Algodão!$E47:INDEX(Algodão!$E47:$Z47,MIN(AP$6-$E$3,22))),0))-IF($G$2,0,IF((AP$6-$G$3)&lt;1,0,IFERROR(LOOKUP(2,1/(Algodão!$E47:INDEX(Algodão!$E47:$Z47,MIN(AP$6-$G$3,22))&lt;&gt;""),Algodão!$E47:INDEX(Algodão!$E47:$Z47,MIN(AP$6-$G$3,22))),0)))))</f>
        <v>0</v>
      </c>
      <c r="AQ49" s="27" t="n">
        <f aca="false">IF(COUNT(Algodão!$E47:$Z47)=0,0,MAX(0,IF((AQ$6-$E$3)&lt;1,0,IFERROR(LOOKUP(2,1/(Algodão!$E47:INDEX(Algodão!$E47:$Z47,MIN(AQ$6-$E$3,22))&lt;&gt;""),Algodão!$E47:INDEX(Algodão!$E47:$Z47,MIN(AQ$6-$E$3,22))),0))-IF($G$2,0,IF((AQ$6-$G$3)&lt;1,0,IFERROR(LOOKUP(2,1/(Algodão!$E47:INDEX(Algodão!$E47:$Z47,MIN(AQ$6-$G$3,22))&lt;&gt;""),Algodão!$E47:INDEX(Algodão!$E47:$Z47,MIN(AQ$6-$G$3,22))),0)))))</f>
        <v>0</v>
      </c>
      <c r="AR49" s="27" t="n">
        <f aca="false">IF(COUNT(Algodão!$E47:$Z47)=0,0,MAX(0,IF((AR$6-$E$3)&lt;1,0,IFERROR(LOOKUP(2,1/(Algodão!$E47:INDEX(Algodão!$E47:$Z47,MIN(AR$6-$E$3,22))&lt;&gt;""),Algodão!$E47:INDEX(Algodão!$E47:$Z47,MIN(AR$6-$E$3,22))),0))-IF($G$2,0,IF((AR$6-$G$3)&lt;1,0,IFERROR(LOOKUP(2,1/(Algodão!$E47:INDEX(Algodão!$E47:$Z47,MIN(AR$6-$G$3,22))&lt;&gt;""),Algodão!$E47:INDEX(Algodão!$E47:$Z47,MIN(AR$6-$G$3,22))),0)))))</f>
        <v>0</v>
      </c>
      <c r="AS49" s="27" t="n">
        <f aca="false">IF(COUNT(Algodão!$E47:$Z47)=0,0,MAX(0,IF((AS$6-$E$3)&lt;1,0,IFERROR(LOOKUP(2,1/(Algodão!$E47:INDEX(Algodão!$E47:$Z47,MIN(AS$6-$E$3,22))&lt;&gt;""),Algodão!$E47:INDEX(Algodão!$E47:$Z47,MIN(AS$6-$E$3,22))),0))-IF($G$2,0,IF((AS$6-$G$3)&lt;1,0,IFERROR(LOOKUP(2,1/(Algodão!$E47:INDEX(Algodão!$E47:$Z47,MIN(AS$6-$G$3,22))&lt;&gt;""),Algodão!$E47:INDEX(Algodão!$E47:$Z47,MIN(AS$6-$G$3,22))),0)))))</f>
        <v>0</v>
      </c>
      <c r="AT49" s="27" t="n">
        <f aca="false">IF(COUNT(Algodão!$E47:$Z47)=0,0,MAX(0,IF((AT$6-$E$3)&lt;1,0,IFERROR(LOOKUP(2,1/(Algodão!$E47:INDEX(Algodão!$E47:$Z47,MIN(AT$6-$E$3,22))&lt;&gt;""),Algodão!$E47:INDEX(Algodão!$E47:$Z47,MIN(AT$6-$E$3,22))),0))-IF($G$2,0,IF((AT$6-$G$3)&lt;1,0,IFERROR(LOOKUP(2,1/(Algodão!$E47:INDEX(Algodão!$E47:$Z47,MIN(AT$6-$G$3,22))&lt;&gt;""),Algodão!$E47:INDEX(Algodão!$E47:$Z47,MIN(AT$6-$G$3,22))),0)))))</f>
        <v>0</v>
      </c>
      <c r="AU49" s="27" t="n">
        <f aca="false">IF(COUNT(Algodão!$E47:$Z47)=0,0,MAX(0,IF((AU$6-$E$3)&lt;1,0,IFERROR(LOOKUP(2,1/(Algodão!$E47:INDEX(Algodão!$E47:$Z47,MIN(AU$6-$E$3,22))&lt;&gt;""),Algodão!$E47:INDEX(Algodão!$E47:$Z47,MIN(AU$6-$E$3,22))),0))-IF($G$2,0,IF((AU$6-$G$3)&lt;1,0,IFERROR(LOOKUP(2,1/(Algodão!$E47:INDEX(Algodão!$E47:$Z47,MIN(AU$6-$G$3,22))&lt;&gt;""),Algodão!$E47:INDEX(Algodão!$E47:$Z47,MIN(AU$6-$G$3,22))),0)))))</f>
        <v>0</v>
      </c>
      <c r="AV49" s="27" t="n">
        <f aca="false">IF(COUNT(Algodão!$E47:$Z47)=0,0,MAX(0,IF((AV$6-$E$3)&lt;1,0,IFERROR(LOOKUP(2,1/(Algodão!$E47:INDEX(Algodão!$E47:$Z47,MIN(AV$6-$E$3,22))&lt;&gt;""),Algodão!$E47:INDEX(Algodão!$E47:$Z47,MIN(AV$6-$E$3,22))),0))-IF($G$2,0,IF((AV$6-$G$3)&lt;1,0,IFERROR(LOOKUP(2,1/(Algodão!$E47:INDEX(Algodão!$E47:$Z47,MIN(AV$6-$G$3,22))&lt;&gt;""),Algodão!$E47:INDEX(Algodão!$E47:$Z47,MIN(AV$6-$G$3,22))),0)))))</f>
        <v>0</v>
      </c>
      <c r="AW49" s="27" t="n">
        <f aca="false">IF(COUNT(Algodão!$E47:$Z47)=0,0,MAX(0,IF((AW$6-$E$3)&lt;1,0,IFERROR(LOOKUP(2,1/(Algodão!$E47:INDEX(Algodão!$E47:$Z47,MIN(AW$6-$E$3,22))&lt;&gt;""),Algodão!$E47:INDEX(Algodão!$E47:$Z47,MIN(AW$6-$E$3,22))),0))-IF($G$2,0,IF((AW$6-$G$3)&lt;1,0,IFERROR(LOOKUP(2,1/(Algodão!$E47:INDEX(Algodão!$E47:$Z47,MIN(AW$6-$G$3,22))&lt;&gt;""),Algodão!$E47:INDEX(Algodão!$E47:$Z47,MIN(AW$6-$G$3,22))),0)))))</f>
        <v>0</v>
      </c>
      <c r="AX49" s="27" t="n">
        <f aca="false">IF(COUNT(Algodão!$E47:$Z47)=0,0,MAX(0,IF((AX$6-$E$3)&lt;1,0,IFERROR(LOOKUP(2,1/(Algodão!$E47:INDEX(Algodão!$E47:$Z47,MIN(AX$6-$E$3,22))&lt;&gt;""),Algodão!$E47:INDEX(Algodão!$E47:$Z47,MIN(AX$6-$E$3,22))),0))-IF($G$2,0,IF((AX$6-$G$3)&lt;1,0,IFERROR(LOOKUP(2,1/(Algodão!$E47:INDEX(Algodão!$E47:$Z47,MIN(AX$6-$G$3,22))&lt;&gt;""),Algodão!$E47:INDEX(Algodão!$E47:$Z47,MIN(AX$6-$G$3,22))),0)))))</f>
        <v>0</v>
      </c>
      <c r="AY49" s="27" t="n">
        <f aca="false">IF(COUNT(Algodão!$E47:$Z47)=0,0,MAX(0,IF((AY$6-$E$3)&lt;1,0,IFERROR(LOOKUP(2,1/(Algodão!$E47:INDEX(Algodão!$E47:$Z47,MIN(AY$6-$E$3,22))&lt;&gt;""),Algodão!$E47:INDEX(Algodão!$E47:$Z47,MIN(AY$6-$E$3,22))),0))-IF($G$2,0,IF((AY$6-$G$3)&lt;1,0,IFERROR(LOOKUP(2,1/(Algodão!$E47:INDEX(Algodão!$E47:$Z47,MIN(AY$6-$G$3,22))&lt;&gt;""),Algodão!$E47:INDEX(Algodão!$E47:$Z47,MIN(AY$6-$G$3,22))),0)))))</f>
        <v>0</v>
      </c>
      <c r="AZ49" s="27" t="n">
        <f aca="false">IF(COUNT(Algodão!$E47:$Z47)=0,0,MAX(0,IF((AZ$6-$E$3)&lt;1,0,IFERROR(LOOKUP(2,1/(Algodão!$E47:INDEX(Algodão!$E47:$Z47,MIN(AZ$6-$E$3,22))&lt;&gt;""),Algodão!$E47:INDEX(Algodão!$E47:$Z47,MIN(AZ$6-$E$3,22))),0))-IF($G$2,0,IF((AZ$6-$G$3)&lt;1,0,IFERROR(LOOKUP(2,1/(Algodão!$E47:INDEX(Algodão!$E47:$Z47,MIN(AZ$6-$G$3,22))&lt;&gt;""),Algodão!$E47:INDEX(Algodão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IF(COUNT(Algodão!$E48:$Z48)&gt;0,N(Algodão!$D48),0)</f>
        <v>0</v>
      </c>
      <c r="E50" s="27" t="n">
        <f aca="false">IF(COUNT(Algodão!$E48:$Z48)=0,0,MAX(0,IF((E$6-$E$3)&lt;1,0,IFERROR(LOOKUP(2,1/(Algodão!$E48:INDEX(Algodão!$E48:$Z48,MIN(E$6-$E$3,22))&lt;&gt;""),Algodão!$E48:INDEX(Algodão!$E48:$Z48,MIN(E$6-$E$3,22))),0))-IF($G$2,0,IF((E$6-$G$3)&lt;1,0,IFERROR(LOOKUP(2,1/(Algodão!$E48:INDEX(Algodão!$E48:$Z48,MIN(E$6-$G$3,22))&lt;&gt;""),Algodão!$E48:INDEX(Algodão!$E48:$Z48,MIN(E$6-$G$3,22))),0)))))</f>
        <v>0</v>
      </c>
      <c r="F50" s="27" t="n">
        <f aca="false">IF(COUNT(Algodão!$E48:$Z48)=0,0,MAX(0,IF((F$6-$E$3)&lt;1,0,IFERROR(LOOKUP(2,1/(Algodão!$E48:INDEX(Algodão!$E48:$Z48,MIN(F$6-$E$3,22))&lt;&gt;""),Algodão!$E48:INDEX(Algodão!$E48:$Z48,MIN(F$6-$E$3,22))),0))-IF($G$2,0,IF((F$6-$G$3)&lt;1,0,IFERROR(LOOKUP(2,1/(Algodão!$E48:INDEX(Algodão!$E48:$Z48,MIN(F$6-$G$3,22))&lt;&gt;""),Algodão!$E48:INDEX(Algodão!$E48:$Z48,MIN(F$6-$G$3,22))),0)))))</f>
        <v>0</v>
      </c>
      <c r="G50" s="27" t="n">
        <f aca="false">IF(COUNT(Algodão!$E48:$Z48)=0,0,MAX(0,IF((G$6-$E$3)&lt;1,0,IFERROR(LOOKUP(2,1/(Algodão!$E48:INDEX(Algodão!$E48:$Z48,MIN(G$6-$E$3,22))&lt;&gt;""),Algodão!$E48:INDEX(Algodão!$E48:$Z48,MIN(G$6-$E$3,22))),0))-IF($G$2,0,IF((G$6-$G$3)&lt;1,0,IFERROR(LOOKUP(2,1/(Algodão!$E48:INDEX(Algodão!$E48:$Z48,MIN(G$6-$G$3,22))&lt;&gt;""),Algodão!$E48:INDEX(Algodão!$E48:$Z48,MIN(G$6-$G$3,22))),0)))))</f>
        <v>0</v>
      </c>
      <c r="H50" s="27" t="n">
        <f aca="false">IF(COUNT(Algodão!$E48:$Z48)=0,0,MAX(0,IF((H$6-$E$3)&lt;1,0,IFERROR(LOOKUP(2,1/(Algodão!$E48:INDEX(Algodão!$E48:$Z48,MIN(H$6-$E$3,22))&lt;&gt;""),Algodão!$E48:INDEX(Algodão!$E48:$Z48,MIN(H$6-$E$3,22))),0))-IF($G$2,0,IF((H$6-$G$3)&lt;1,0,IFERROR(LOOKUP(2,1/(Algodão!$E48:INDEX(Algodão!$E48:$Z48,MIN(H$6-$G$3,22))&lt;&gt;""),Algodão!$E48:INDEX(Algodão!$E48:$Z48,MIN(H$6-$G$3,22))),0)))))</f>
        <v>0</v>
      </c>
      <c r="I50" s="27" t="n">
        <f aca="false">IF(COUNT(Algodão!$E48:$Z48)=0,0,MAX(0,IF((I$6-$E$3)&lt;1,0,IFERROR(LOOKUP(2,1/(Algodão!$E48:INDEX(Algodão!$E48:$Z48,MIN(I$6-$E$3,22))&lt;&gt;""),Algodão!$E48:INDEX(Algodão!$E48:$Z48,MIN(I$6-$E$3,22))),0))-IF($G$2,0,IF((I$6-$G$3)&lt;1,0,IFERROR(LOOKUP(2,1/(Algodão!$E48:INDEX(Algodão!$E48:$Z48,MIN(I$6-$G$3,22))&lt;&gt;""),Algodão!$E48:INDEX(Algodão!$E48:$Z48,MIN(I$6-$G$3,22))),0)))))</f>
        <v>0</v>
      </c>
      <c r="J50" s="27" t="n">
        <f aca="false">IF(COUNT(Algodão!$E48:$Z48)=0,0,MAX(0,IF((J$6-$E$3)&lt;1,0,IFERROR(LOOKUP(2,1/(Algodão!$E48:INDEX(Algodão!$E48:$Z48,MIN(J$6-$E$3,22))&lt;&gt;""),Algodão!$E48:INDEX(Algodão!$E48:$Z48,MIN(J$6-$E$3,22))),0))-IF($G$2,0,IF((J$6-$G$3)&lt;1,0,IFERROR(LOOKUP(2,1/(Algodão!$E48:INDEX(Algodão!$E48:$Z48,MIN(J$6-$G$3,22))&lt;&gt;""),Algodão!$E48:INDEX(Algodão!$E48:$Z48,MIN(J$6-$G$3,22))),0)))))</f>
        <v>0</v>
      </c>
      <c r="K50" s="27" t="n">
        <f aca="false">IF(COUNT(Algodão!$E48:$Z48)=0,0,MAX(0,IF((K$6-$E$3)&lt;1,0,IFERROR(LOOKUP(2,1/(Algodão!$E48:INDEX(Algodão!$E48:$Z48,MIN(K$6-$E$3,22))&lt;&gt;""),Algodão!$E48:INDEX(Algodão!$E48:$Z48,MIN(K$6-$E$3,22))),0))-IF($G$2,0,IF((K$6-$G$3)&lt;1,0,IFERROR(LOOKUP(2,1/(Algodão!$E48:INDEX(Algodão!$E48:$Z48,MIN(K$6-$G$3,22))&lt;&gt;""),Algodão!$E48:INDEX(Algodão!$E48:$Z48,MIN(K$6-$G$3,22))),0)))))</f>
        <v>0</v>
      </c>
      <c r="L50" s="27" t="n">
        <f aca="false">IF(COUNT(Algodão!$E48:$Z48)=0,0,MAX(0,IF((L$6-$E$3)&lt;1,0,IFERROR(LOOKUP(2,1/(Algodão!$E48:INDEX(Algodão!$E48:$Z48,MIN(L$6-$E$3,22))&lt;&gt;""),Algodão!$E48:INDEX(Algodão!$E48:$Z48,MIN(L$6-$E$3,22))),0))-IF($G$2,0,IF((L$6-$G$3)&lt;1,0,IFERROR(LOOKUP(2,1/(Algodão!$E48:INDEX(Algodão!$E48:$Z48,MIN(L$6-$G$3,22))&lt;&gt;""),Algodão!$E48:INDEX(Algodão!$E48:$Z48,MIN(L$6-$G$3,22))),0)))))</f>
        <v>0</v>
      </c>
      <c r="M50" s="27" t="n">
        <f aca="false">IF(COUNT(Algodão!$E48:$Z48)=0,0,MAX(0,IF((M$6-$E$3)&lt;1,0,IFERROR(LOOKUP(2,1/(Algodão!$E48:INDEX(Algodão!$E48:$Z48,MIN(M$6-$E$3,22))&lt;&gt;""),Algodão!$E48:INDEX(Algodão!$E48:$Z48,MIN(M$6-$E$3,22))),0))-IF($G$2,0,IF((M$6-$G$3)&lt;1,0,IFERROR(LOOKUP(2,1/(Algodão!$E48:INDEX(Algodão!$E48:$Z48,MIN(M$6-$G$3,22))&lt;&gt;""),Algodão!$E48:INDEX(Algodão!$E48:$Z48,MIN(M$6-$G$3,22))),0)))))</f>
        <v>0</v>
      </c>
      <c r="N50" s="27" t="n">
        <f aca="false">IF(COUNT(Algodão!$E48:$Z48)=0,0,MAX(0,IF((N$6-$E$3)&lt;1,0,IFERROR(LOOKUP(2,1/(Algodão!$E48:INDEX(Algodão!$E48:$Z48,MIN(N$6-$E$3,22))&lt;&gt;""),Algodão!$E48:INDEX(Algodão!$E48:$Z48,MIN(N$6-$E$3,22))),0))-IF($G$2,0,IF((N$6-$G$3)&lt;1,0,IFERROR(LOOKUP(2,1/(Algodão!$E48:INDEX(Algodão!$E48:$Z48,MIN(N$6-$G$3,22))&lt;&gt;""),Algodão!$E48:INDEX(Algodão!$E48:$Z48,MIN(N$6-$G$3,22))),0)))))</f>
        <v>0</v>
      </c>
      <c r="O50" s="27" t="n">
        <f aca="false">IF(COUNT(Algodão!$E48:$Z48)=0,0,MAX(0,IF((O$6-$E$3)&lt;1,0,IFERROR(LOOKUP(2,1/(Algodão!$E48:INDEX(Algodão!$E48:$Z48,MIN(O$6-$E$3,22))&lt;&gt;""),Algodão!$E48:INDEX(Algodão!$E48:$Z48,MIN(O$6-$E$3,22))),0))-IF($G$2,0,IF((O$6-$G$3)&lt;1,0,IFERROR(LOOKUP(2,1/(Algodão!$E48:INDEX(Algodão!$E48:$Z48,MIN(O$6-$G$3,22))&lt;&gt;""),Algodão!$E48:INDEX(Algodão!$E48:$Z48,MIN(O$6-$G$3,22))),0)))))</f>
        <v>0</v>
      </c>
      <c r="P50" s="27" t="n">
        <f aca="false">IF(COUNT(Algodão!$E48:$Z48)=0,0,MAX(0,IF((P$6-$E$3)&lt;1,0,IFERROR(LOOKUP(2,1/(Algodão!$E48:INDEX(Algodão!$E48:$Z48,MIN(P$6-$E$3,22))&lt;&gt;""),Algodão!$E48:INDEX(Algodão!$E48:$Z48,MIN(P$6-$E$3,22))),0))-IF($G$2,0,IF((P$6-$G$3)&lt;1,0,IFERROR(LOOKUP(2,1/(Algodão!$E48:INDEX(Algodão!$E48:$Z48,MIN(P$6-$G$3,22))&lt;&gt;""),Algodão!$E48:INDEX(Algodão!$E48:$Z48,MIN(P$6-$G$3,22))),0)))))</f>
        <v>0</v>
      </c>
      <c r="Q50" s="27" t="n">
        <f aca="false">IF(COUNT(Algodão!$E48:$Z48)=0,0,MAX(0,IF((Q$6-$E$3)&lt;1,0,IFERROR(LOOKUP(2,1/(Algodão!$E48:INDEX(Algodão!$E48:$Z48,MIN(Q$6-$E$3,22))&lt;&gt;""),Algodão!$E48:INDEX(Algodão!$E48:$Z48,MIN(Q$6-$E$3,22))),0))-IF($G$2,0,IF((Q$6-$G$3)&lt;1,0,IFERROR(LOOKUP(2,1/(Algodão!$E48:INDEX(Algodão!$E48:$Z48,MIN(Q$6-$G$3,22))&lt;&gt;""),Algodão!$E48:INDEX(Algodão!$E48:$Z48,MIN(Q$6-$G$3,22))),0)))))</f>
        <v>0</v>
      </c>
      <c r="R50" s="27" t="n">
        <f aca="false">IF(COUNT(Algodão!$E48:$Z48)=0,0,MAX(0,IF((R$6-$E$3)&lt;1,0,IFERROR(LOOKUP(2,1/(Algodão!$E48:INDEX(Algodão!$E48:$Z48,MIN(R$6-$E$3,22))&lt;&gt;""),Algodão!$E48:INDEX(Algodão!$E48:$Z48,MIN(R$6-$E$3,22))),0))-IF($G$2,0,IF((R$6-$G$3)&lt;1,0,IFERROR(LOOKUP(2,1/(Algodão!$E48:INDEX(Algodão!$E48:$Z48,MIN(R$6-$G$3,22))&lt;&gt;""),Algodão!$E48:INDEX(Algodão!$E48:$Z48,MIN(R$6-$G$3,22))),0)))))</f>
        <v>0</v>
      </c>
      <c r="S50" s="27" t="n">
        <f aca="false">IF(COUNT(Algodão!$E48:$Z48)=0,0,MAX(0,IF((S$6-$E$3)&lt;1,0,IFERROR(LOOKUP(2,1/(Algodão!$E48:INDEX(Algodão!$E48:$Z48,MIN(S$6-$E$3,22))&lt;&gt;""),Algodão!$E48:INDEX(Algodão!$E48:$Z48,MIN(S$6-$E$3,22))),0))-IF($G$2,0,IF((S$6-$G$3)&lt;1,0,IFERROR(LOOKUP(2,1/(Algodão!$E48:INDEX(Algodão!$E48:$Z48,MIN(S$6-$G$3,22))&lt;&gt;""),Algodão!$E48:INDEX(Algodão!$E48:$Z48,MIN(S$6-$G$3,22))),0)))))</f>
        <v>0</v>
      </c>
      <c r="T50" s="27" t="n">
        <f aca="false">IF(COUNT(Algodão!$E48:$Z48)=0,0,MAX(0,IF((T$6-$E$3)&lt;1,0,IFERROR(LOOKUP(2,1/(Algodão!$E48:INDEX(Algodão!$E48:$Z48,MIN(T$6-$E$3,22))&lt;&gt;""),Algodão!$E48:INDEX(Algodão!$E48:$Z48,MIN(T$6-$E$3,22))),0))-IF($G$2,0,IF((T$6-$G$3)&lt;1,0,IFERROR(LOOKUP(2,1/(Algodão!$E48:INDEX(Algodão!$E48:$Z48,MIN(T$6-$G$3,22))&lt;&gt;""),Algodão!$E48:INDEX(Algodão!$E48:$Z48,MIN(T$6-$G$3,22))),0)))))</f>
        <v>0</v>
      </c>
      <c r="U50" s="27" t="n">
        <f aca="false">IF(COUNT(Algodão!$E48:$Z48)=0,0,MAX(0,IF((U$6-$E$3)&lt;1,0,IFERROR(LOOKUP(2,1/(Algodão!$E48:INDEX(Algodão!$E48:$Z48,MIN(U$6-$E$3,22))&lt;&gt;""),Algodão!$E48:INDEX(Algodão!$E48:$Z48,MIN(U$6-$E$3,22))),0))-IF($G$2,0,IF((U$6-$G$3)&lt;1,0,IFERROR(LOOKUP(2,1/(Algodão!$E48:INDEX(Algodão!$E48:$Z48,MIN(U$6-$G$3,22))&lt;&gt;""),Algodão!$E48:INDEX(Algodão!$E48:$Z48,MIN(U$6-$G$3,22))),0)))))</f>
        <v>0</v>
      </c>
      <c r="V50" s="27" t="n">
        <f aca="false">IF(COUNT(Algodão!$E48:$Z48)=0,0,MAX(0,IF((V$6-$E$3)&lt;1,0,IFERROR(LOOKUP(2,1/(Algodão!$E48:INDEX(Algodão!$E48:$Z48,MIN(V$6-$E$3,22))&lt;&gt;""),Algodão!$E48:INDEX(Algodão!$E48:$Z48,MIN(V$6-$E$3,22))),0))-IF($G$2,0,IF((V$6-$G$3)&lt;1,0,IFERROR(LOOKUP(2,1/(Algodão!$E48:INDEX(Algodão!$E48:$Z48,MIN(V$6-$G$3,22))&lt;&gt;""),Algodão!$E48:INDEX(Algodão!$E48:$Z48,MIN(V$6-$G$3,22))),0)))))</f>
        <v>0</v>
      </c>
      <c r="W50" s="27" t="n">
        <f aca="false">IF(COUNT(Algodão!$E48:$Z48)=0,0,MAX(0,IF((W$6-$E$3)&lt;1,0,IFERROR(LOOKUP(2,1/(Algodão!$E48:INDEX(Algodão!$E48:$Z48,MIN(W$6-$E$3,22))&lt;&gt;""),Algodão!$E48:INDEX(Algodão!$E48:$Z48,MIN(W$6-$E$3,22))),0))-IF($G$2,0,IF((W$6-$G$3)&lt;1,0,IFERROR(LOOKUP(2,1/(Algodão!$E48:INDEX(Algodão!$E48:$Z48,MIN(W$6-$G$3,22))&lt;&gt;""),Algodão!$E48:INDEX(Algodão!$E48:$Z48,MIN(W$6-$G$3,22))),0)))))</f>
        <v>0</v>
      </c>
      <c r="X50" s="27" t="n">
        <f aca="false">IF(COUNT(Algodão!$E48:$Z48)=0,0,MAX(0,IF((X$6-$E$3)&lt;1,0,IFERROR(LOOKUP(2,1/(Algodão!$E48:INDEX(Algodão!$E48:$Z48,MIN(X$6-$E$3,22))&lt;&gt;""),Algodão!$E48:INDEX(Algodão!$E48:$Z48,MIN(X$6-$E$3,22))),0))-IF($G$2,0,IF((X$6-$G$3)&lt;1,0,IFERROR(LOOKUP(2,1/(Algodão!$E48:INDEX(Algodão!$E48:$Z48,MIN(X$6-$G$3,22))&lt;&gt;""),Algodão!$E48:INDEX(Algodão!$E48:$Z48,MIN(X$6-$G$3,22))),0)))))</f>
        <v>0</v>
      </c>
      <c r="Y50" s="27" t="n">
        <f aca="false">IF(COUNT(Algodão!$E48:$Z48)=0,0,MAX(0,IF((Y$6-$E$3)&lt;1,0,IFERROR(LOOKUP(2,1/(Algodão!$E48:INDEX(Algodão!$E48:$Z48,MIN(Y$6-$E$3,22))&lt;&gt;""),Algodão!$E48:INDEX(Algodão!$E48:$Z48,MIN(Y$6-$E$3,22))),0))-IF($G$2,0,IF((Y$6-$G$3)&lt;1,0,IFERROR(LOOKUP(2,1/(Algodão!$E48:INDEX(Algodão!$E48:$Z48,MIN(Y$6-$G$3,22))&lt;&gt;""),Algodão!$E48:INDEX(Algodão!$E48:$Z48,MIN(Y$6-$G$3,22))),0)))))</f>
        <v>0</v>
      </c>
      <c r="Z50" s="27" t="n">
        <f aca="false">IF(COUNT(Algodão!$E48:$Z48)=0,0,MAX(0,IF((Z$6-$E$3)&lt;1,0,IFERROR(LOOKUP(2,1/(Algodão!$E48:INDEX(Algodão!$E48:$Z48,MIN(Z$6-$E$3,22))&lt;&gt;""),Algodão!$E48:INDEX(Algodão!$E48:$Z48,MIN(Z$6-$E$3,22))),0))-IF($G$2,0,IF((Z$6-$G$3)&lt;1,0,IFERROR(LOOKUP(2,1/(Algodão!$E48:INDEX(Algodão!$E48:$Z48,MIN(Z$6-$G$3,22))&lt;&gt;""),Algodão!$E48:INDEX(Algodão!$E48:$Z48,MIN(Z$6-$G$3,22))),0)))))</f>
        <v>0</v>
      </c>
      <c r="AA50" s="27" t="n">
        <f aca="false">IF(COUNT(Algodão!$E48:$Z48)=0,0,MAX(0,IF((AA$6-$E$3)&lt;1,0,IFERROR(LOOKUP(2,1/(Algodão!$E48:INDEX(Algodão!$E48:$Z48,MIN(AA$6-$E$3,22))&lt;&gt;""),Algodão!$E48:INDEX(Algodão!$E48:$Z48,MIN(AA$6-$E$3,22))),0))-IF($G$2,0,IF((AA$6-$G$3)&lt;1,0,IFERROR(LOOKUP(2,1/(Algodão!$E48:INDEX(Algodão!$E48:$Z48,MIN(AA$6-$G$3,22))&lt;&gt;""),Algodão!$E48:INDEX(Algodão!$E48:$Z48,MIN(AA$6-$G$3,22))),0)))))</f>
        <v>0</v>
      </c>
      <c r="AB50" s="27" t="n">
        <f aca="false">IF(COUNT(Algodão!$E48:$Z48)=0,0,MAX(0,IF((AB$6-$E$3)&lt;1,0,IFERROR(LOOKUP(2,1/(Algodão!$E48:INDEX(Algodão!$E48:$Z48,MIN(AB$6-$E$3,22))&lt;&gt;""),Algodão!$E48:INDEX(Algodão!$E48:$Z48,MIN(AB$6-$E$3,22))),0))-IF($G$2,0,IF((AB$6-$G$3)&lt;1,0,IFERROR(LOOKUP(2,1/(Algodão!$E48:INDEX(Algodão!$E48:$Z48,MIN(AB$6-$G$3,22))&lt;&gt;""),Algodão!$E48:INDEX(Algodão!$E48:$Z48,MIN(AB$6-$G$3,22))),0)))))</f>
        <v>0</v>
      </c>
      <c r="AC50" s="27" t="n">
        <f aca="false">IF(COUNT(Algodão!$E48:$Z48)=0,0,MAX(0,IF((AC$6-$E$3)&lt;1,0,IFERROR(LOOKUP(2,1/(Algodão!$E48:INDEX(Algodão!$E48:$Z48,MIN(AC$6-$E$3,22))&lt;&gt;""),Algodão!$E48:INDEX(Algodão!$E48:$Z48,MIN(AC$6-$E$3,22))),0))-IF($G$2,0,IF((AC$6-$G$3)&lt;1,0,IFERROR(LOOKUP(2,1/(Algodão!$E48:INDEX(Algodão!$E48:$Z48,MIN(AC$6-$G$3,22))&lt;&gt;""),Algodão!$E48:INDEX(Algodão!$E48:$Z48,MIN(AC$6-$G$3,22))),0)))))</f>
        <v>0</v>
      </c>
      <c r="AD50" s="27" t="n">
        <f aca="false">IF(COUNT(Algodão!$E48:$Z48)=0,0,MAX(0,IF((AD$6-$E$3)&lt;1,0,IFERROR(LOOKUP(2,1/(Algodão!$E48:INDEX(Algodão!$E48:$Z48,MIN(AD$6-$E$3,22))&lt;&gt;""),Algodão!$E48:INDEX(Algodão!$E48:$Z48,MIN(AD$6-$E$3,22))),0))-IF($G$2,0,IF((AD$6-$G$3)&lt;1,0,IFERROR(LOOKUP(2,1/(Algodão!$E48:INDEX(Algodão!$E48:$Z48,MIN(AD$6-$G$3,22))&lt;&gt;""),Algodão!$E48:INDEX(Algodão!$E48:$Z48,MIN(AD$6-$G$3,22))),0)))))</f>
        <v>0</v>
      </c>
      <c r="AE50" s="27" t="n">
        <f aca="false">IF(COUNT(Algodão!$E48:$Z48)=0,0,MAX(0,IF((AE$6-$E$3)&lt;1,0,IFERROR(LOOKUP(2,1/(Algodão!$E48:INDEX(Algodão!$E48:$Z48,MIN(AE$6-$E$3,22))&lt;&gt;""),Algodão!$E48:INDEX(Algodão!$E48:$Z48,MIN(AE$6-$E$3,22))),0))-IF($G$2,0,IF((AE$6-$G$3)&lt;1,0,IFERROR(LOOKUP(2,1/(Algodão!$E48:INDEX(Algodão!$E48:$Z48,MIN(AE$6-$G$3,22))&lt;&gt;""),Algodão!$E48:INDEX(Algodão!$E48:$Z48,MIN(AE$6-$G$3,22))),0)))))</f>
        <v>0</v>
      </c>
      <c r="AF50" s="27" t="n">
        <f aca="false">IF(COUNT(Algodão!$E48:$Z48)=0,0,MAX(0,IF((AF$6-$E$3)&lt;1,0,IFERROR(LOOKUP(2,1/(Algodão!$E48:INDEX(Algodão!$E48:$Z48,MIN(AF$6-$E$3,22))&lt;&gt;""),Algodão!$E48:INDEX(Algodão!$E48:$Z48,MIN(AF$6-$E$3,22))),0))-IF($G$2,0,IF((AF$6-$G$3)&lt;1,0,IFERROR(LOOKUP(2,1/(Algodão!$E48:INDEX(Algodão!$E48:$Z48,MIN(AF$6-$G$3,22))&lt;&gt;""),Algodão!$E48:INDEX(Algodão!$E48:$Z48,MIN(AF$6-$G$3,22))),0)))))</f>
        <v>0</v>
      </c>
      <c r="AG50" s="27" t="n">
        <f aca="false">IF(COUNT(Algodão!$E48:$Z48)=0,0,MAX(0,IF((AG$6-$E$3)&lt;1,0,IFERROR(LOOKUP(2,1/(Algodão!$E48:INDEX(Algodão!$E48:$Z48,MIN(AG$6-$E$3,22))&lt;&gt;""),Algodão!$E48:INDEX(Algodão!$E48:$Z48,MIN(AG$6-$E$3,22))),0))-IF($G$2,0,IF((AG$6-$G$3)&lt;1,0,IFERROR(LOOKUP(2,1/(Algodão!$E48:INDEX(Algodão!$E48:$Z48,MIN(AG$6-$G$3,22))&lt;&gt;""),Algodão!$E48:INDEX(Algodão!$E48:$Z48,MIN(AG$6-$G$3,22))),0)))))</f>
        <v>0</v>
      </c>
      <c r="AH50" s="27" t="n">
        <f aca="false">IF(COUNT(Algodão!$E48:$Z48)=0,0,MAX(0,IF((AH$6-$E$3)&lt;1,0,IFERROR(LOOKUP(2,1/(Algodão!$E48:INDEX(Algodão!$E48:$Z48,MIN(AH$6-$E$3,22))&lt;&gt;""),Algodão!$E48:INDEX(Algodão!$E48:$Z48,MIN(AH$6-$E$3,22))),0))-IF($G$2,0,IF((AH$6-$G$3)&lt;1,0,IFERROR(LOOKUP(2,1/(Algodão!$E48:INDEX(Algodão!$E48:$Z48,MIN(AH$6-$G$3,22))&lt;&gt;""),Algodão!$E48:INDEX(Algodão!$E48:$Z48,MIN(AH$6-$G$3,22))),0)))))</f>
        <v>0</v>
      </c>
      <c r="AI50" s="27" t="n">
        <f aca="false">IF(COUNT(Algodão!$E48:$Z48)=0,0,MAX(0,IF((AI$6-$E$3)&lt;1,0,IFERROR(LOOKUP(2,1/(Algodão!$E48:INDEX(Algodão!$E48:$Z48,MIN(AI$6-$E$3,22))&lt;&gt;""),Algodão!$E48:INDEX(Algodão!$E48:$Z48,MIN(AI$6-$E$3,22))),0))-IF($G$2,0,IF((AI$6-$G$3)&lt;1,0,IFERROR(LOOKUP(2,1/(Algodão!$E48:INDEX(Algodão!$E48:$Z48,MIN(AI$6-$G$3,22))&lt;&gt;""),Algodão!$E48:INDEX(Algodão!$E48:$Z48,MIN(AI$6-$G$3,22))),0)))))</f>
        <v>0</v>
      </c>
      <c r="AJ50" s="27" t="n">
        <f aca="false">IF(COUNT(Algodão!$E48:$Z48)=0,0,MAX(0,IF((AJ$6-$E$3)&lt;1,0,IFERROR(LOOKUP(2,1/(Algodão!$E48:INDEX(Algodão!$E48:$Z48,MIN(AJ$6-$E$3,22))&lt;&gt;""),Algodão!$E48:INDEX(Algodão!$E48:$Z48,MIN(AJ$6-$E$3,22))),0))-IF($G$2,0,IF((AJ$6-$G$3)&lt;1,0,IFERROR(LOOKUP(2,1/(Algodão!$E48:INDEX(Algodão!$E48:$Z48,MIN(AJ$6-$G$3,22))&lt;&gt;""),Algodão!$E48:INDEX(Algodão!$E48:$Z48,MIN(AJ$6-$G$3,22))),0)))))</f>
        <v>0</v>
      </c>
      <c r="AK50" s="27" t="n">
        <f aca="false">IF(COUNT(Algodão!$E48:$Z48)=0,0,MAX(0,IF((AK$6-$E$3)&lt;1,0,IFERROR(LOOKUP(2,1/(Algodão!$E48:INDEX(Algodão!$E48:$Z48,MIN(AK$6-$E$3,22))&lt;&gt;""),Algodão!$E48:INDEX(Algodão!$E48:$Z48,MIN(AK$6-$E$3,22))),0))-IF($G$2,0,IF((AK$6-$G$3)&lt;1,0,IFERROR(LOOKUP(2,1/(Algodão!$E48:INDEX(Algodão!$E48:$Z48,MIN(AK$6-$G$3,22))&lt;&gt;""),Algodão!$E48:INDEX(Algodão!$E48:$Z48,MIN(AK$6-$G$3,22))),0)))))</f>
        <v>0</v>
      </c>
      <c r="AL50" s="27" t="n">
        <f aca="false">IF(COUNT(Algodão!$E48:$Z48)=0,0,MAX(0,IF((AL$6-$E$3)&lt;1,0,IFERROR(LOOKUP(2,1/(Algodão!$E48:INDEX(Algodão!$E48:$Z48,MIN(AL$6-$E$3,22))&lt;&gt;""),Algodão!$E48:INDEX(Algodão!$E48:$Z48,MIN(AL$6-$E$3,22))),0))-IF($G$2,0,IF((AL$6-$G$3)&lt;1,0,IFERROR(LOOKUP(2,1/(Algodão!$E48:INDEX(Algodão!$E48:$Z48,MIN(AL$6-$G$3,22))&lt;&gt;""),Algodão!$E48:INDEX(Algodão!$E48:$Z48,MIN(AL$6-$G$3,22))),0)))))</f>
        <v>0</v>
      </c>
      <c r="AM50" s="27" t="n">
        <f aca="false">IF(COUNT(Algodão!$E48:$Z48)=0,0,MAX(0,IF((AM$6-$E$3)&lt;1,0,IFERROR(LOOKUP(2,1/(Algodão!$E48:INDEX(Algodão!$E48:$Z48,MIN(AM$6-$E$3,22))&lt;&gt;""),Algodão!$E48:INDEX(Algodão!$E48:$Z48,MIN(AM$6-$E$3,22))),0))-IF($G$2,0,IF((AM$6-$G$3)&lt;1,0,IFERROR(LOOKUP(2,1/(Algodão!$E48:INDEX(Algodão!$E48:$Z48,MIN(AM$6-$G$3,22))&lt;&gt;""),Algodão!$E48:INDEX(Algodão!$E48:$Z48,MIN(AM$6-$G$3,22))),0)))))</f>
        <v>0</v>
      </c>
      <c r="AN50" s="27" t="n">
        <f aca="false">IF(COUNT(Algodão!$E48:$Z48)=0,0,MAX(0,IF((AN$6-$E$3)&lt;1,0,IFERROR(LOOKUP(2,1/(Algodão!$E48:INDEX(Algodão!$E48:$Z48,MIN(AN$6-$E$3,22))&lt;&gt;""),Algodão!$E48:INDEX(Algodão!$E48:$Z48,MIN(AN$6-$E$3,22))),0))-IF($G$2,0,IF((AN$6-$G$3)&lt;1,0,IFERROR(LOOKUP(2,1/(Algodão!$E48:INDEX(Algodão!$E48:$Z48,MIN(AN$6-$G$3,22))&lt;&gt;""),Algodão!$E48:INDEX(Algodão!$E48:$Z48,MIN(AN$6-$G$3,22))),0)))))</f>
        <v>0</v>
      </c>
      <c r="AO50" s="27" t="n">
        <f aca="false">IF(COUNT(Algodão!$E48:$Z48)=0,0,MAX(0,IF((AO$6-$E$3)&lt;1,0,IFERROR(LOOKUP(2,1/(Algodão!$E48:INDEX(Algodão!$E48:$Z48,MIN(AO$6-$E$3,22))&lt;&gt;""),Algodão!$E48:INDEX(Algodão!$E48:$Z48,MIN(AO$6-$E$3,22))),0))-IF($G$2,0,IF((AO$6-$G$3)&lt;1,0,IFERROR(LOOKUP(2,1/(Algodão!$E48:INDEX(Algodão!$E48:$Z48,MIN(AO$6-$G$3,22))&lt;&gt;""),Algodão!$E48:INDEX(Algodão!$E48:$Z48,MIN(AO$6-$G$3,22))),0)))))</f>
        <v>0</v>
      </c>
      <c r="AP50" s="27" t="n">
        <f aca="false">IF(COUNT(Algodão!$E48:$Z48)=0,0,MAX(0,IF((AP$6-$E$3)&lt;1,0,IFERROR(LOOKUP(2,1/(Algodão!$E48:INDEX(Algodão!$E48:$Z48,MIN(AP$6-$E$3,22))&lt;&gt;""),Algodão!$E48:INDEX(Algodão!$E48:$Z48,MIN(AP$6-$E$3,22))),0))-IF($G$2,0,IF((AP$6-$G$3)&lt;1,0,IFERROR(LOOKUP(2,1/(Algodão!$E48:INDEX(Algodão!$E48:$Z48,MIN(AP$6-$G$3,22))&lt;&gt;""),Algodão!$E48:INDEX(Algodão!$E48:$Z48,MIN(AP$6-$G$3,22))),0)))))</f>
        <v>0</v>
      </c>
      <c r="AQ50" s="27" t="n">
        <f aca="false">IF(COUNT(Algodão!$E48:$Z48)=0,0,MAX(0,IF((AQ$6-$E$3)&lt;1,0,IFERROR(LOOKUP(2,1/(Algodão!$E48:INDEX(Algodão!$E48:$Z48,MIN(AQ$6-$E$3,22))&lt;&gt;""),Algodão!$E48:INDEX(Algodão!$E48:$Z48,MIN(AQ$6-$E$3,22))),0))-IF($G$2,0,IF((AQ$6-$G$3)&lt;1,0,IFERROR(LOOKUP(2,1/(Algodão!$E48:INDEX(Algodão!$E48:$Z48,MIN(AQ$6-$G$3,22))&lt;&gt;""),Algodão!$E48:INDEX(Algodão!$E48:$Z48,MIN(AQ$6-$G$3,22))),0)))))</f>
        <v>0</v>
      </c>
      <c r="AR50" s="27" t="n">
        <f aca="false">IF(COUNT(Algodão!$E48:$Z48)=0,0,MAX(0,IF((AR$6-$E$3)&lt;1,0,IFERROR(LOOKUP(2,1/(Algodão!$E48:INDEX(Algodão!$E48:$Z48,MIN(AR$6-$E$3,22))&lt;&gt;""),Algodão!$E48:INDEX(Algodão!$E48:$Z48,MIN(AR$6-$E$3,22))),0))-IF($G$2,0,IF((AR$6-$G$3)&lt;1,0,IFERROR(LOOKUP(2,1/(Algodão!$E48:INDEX(Algodão!$E48:$Z48,MIN(AR$6-$G$3,22))&lt;&gt;""),Algodão!$E48:INDEX(Algodão!$E48:$Z48,MIN(AR$6-$G$3,22))),0)))))</f>
        <v>0</v>
      </c>
      <c r="AS50" s="27" t="n">
        <f aca="false">IF(COUNT(Algodão!$E48:$Z48)=0,0,MAX(0,IF((AS$6-$E$3)&lt;1,0,IFERROR(LOOKUP(2,1/(Algodão!$E48:INDEX(Algodão!$E48:$Z48,MIN(AS$6-$E$3,22))&lt;&gt;""),Algodão!$E48:INDEX(Algodão!$E48:$Z48,MIN(AS$6-$E$3,22))),0))-IF($G$2,0,IF((AS$6-$G$3)&lt;1,0,IFERROR(LOOKUP(2,1/(Algodão!$E48:INDEX(Algodão!$E48:$Z48,MIN(AS$6-$G$3,22))&lt;&gt;""),Algodão!$E48:INDEX(Algodão!$E48:$Z48,MIN(AS$6-$G$3,22))),0)))))</f>
        <v>0</v>
      </c>
      <c r="AT50" s="27" t="n">
        <f aca="false">IF(COUNT(Algodão!$E48:$Z48)=0,0,MAX(0,IF((AT$6-$E$3)&lt;1,0,IFERROR(LOOKUP(2,1/(Algodão!$E48:INDEX(Algodão!$E48:$Z48,MIN(AT$6-$E$3,22))&lt;&gt;""),Algodão!$E48:INDEX(Algodão!$E48:$Z48,MIN(AT$6-$E$3,22))),0))-IF($G$2,0,IF((AT$6-$G$3)&lt;1,0,IFERROR(LOOKUP(2,1/(Algodão!$E48:INDEX(Algodão!$E48:$Z48,MIN(AT$6-$G$3,22))&lt;&gt;""),Algodão!$E48:INDEX(Algodão!$E48:$Z48,MIN(AT$6-$G$3,22))),0)))))</f>
        <v>0</v>
      </c>
      <c r="AU50" s="27" t="n">
        <f aca="false">IF(COUNT(Algodão!$E48:$Z48)=0,0,MAX(0,IF((AU$6-$E$3)&lt;1,0,IFERROR(LOOKUP(2,1/(Algodão!$E48:INDEX(Algodão!$E48:$Z48,MIN(AU$6-$E$3,22))&lt;&gt;""),Algodão!$E48:INDEX(Algodão!$E48:$Z48,MIN(AU$6-$E$3,22))),0))-IF($G$2,0,IF((AU$6-$G$3)&lt;1,0,IFERROR(LOOKUP(2,1/(Algodão!$E48:INDEX(Algodão!$E48:$Z48,MIN(AU$6-$G$3,22))&lt;&gt;""),Algodão!$E48:INDEX(Algodão!$E48:$Z48,MIN(AU$6-$G$3,22))),0)))))</f>
        <v>0</v>
      </c>
      <c r="AV50" s="27" t="n">
        <f aca="false">IF(COUNT(Algodão!$E48:$Z48)=0,0,MAX(0,IF((AV$6-$E$3)&lt;1,0,IFERROR(LOOKUP(2,1/(Algodão!$E48:INDEX(Algodão!$E48:$Z48,MIN(AV$6-$E$3,22))&lt;&gt;""),Algodão!$E48:INDEX(Algodão!$E48:$Z48,MIN(AV$6-$E$3,22))),0))-IF($G$2,0,IF((AV$6-$G$3)&lt;1,0,IFERROR(LOOKUP(2,1/(Algodão!$E48:INDEX(Algodão!$E48:$Z48,MIN(AV$6-$G$3,22))&lt;&gt;""),Algodão!$E48:INDEX(Algodão!$E48:$Z48,MIN(AV$6-$G$3,22))),0)))))</f>
        <v>0</v>
      </c>
      <c r="AW50" s="27" t="n">
        <f aca="false">IF(COUNT(Algodão!$E48:$Z48)=0,0,MAX(0,IF((AW$6-$E$3)&lt;1,0,IFERROR(LOOKUP(2,1/(Algodão!$E48:INDEX(Algodão!$E48:$Z48,MIN(AW$6-$E$3,22))&lt;&gt;""),Algodão!$E48:INDEX(Algodão!$E48:$Z48,MIN(AW$6-$E$3,22))),0))-IF($G$2,0,IF((AW$6-$G$3)&lt;1,0,IFERROR(LOOKUP(2,1/(Algodão!$E48:INDEX(Algodão!$E48:$Z48,MIN(AW$6-$G$3,22))&lt;&gt;""),Algodão!$E48:INDEX(Algodão!$E48:$Z48,MIN(AW$6-$G$3,22))),0)))))</f>
        <v>0</v>
      </c>
      <c r="AX50" s="27" t="n">
        <f aca="false">IF(COUNT(Algodão!$E48:$Z48)=0,0,MAX(0,IF((AX$6-$E$3)&lt;1,0,IFERROR(LOOKUP(2,1/(Algodão!$E48:INDEX(Algodão!$E48:$Z48,MIN(AX$6-$E$3,22))&lt;&gt;""),Algodão!$E48:INDEX(Algodão!$E48:$Z48,MIN(AX$6-$E$3,22))),0))-IF($G$2,0,IF((AX$6-$G$3)&lt;1,0,IFERROR(LOOKUP(2,1/(Algodão!$E48:INDEX(Algodão!$E48:$Z48,MIN(AX$6-$G$3,22))&lt;&gt;""),Algodão!$E48:INDEX(Algodão!$E48:$Z48,MIN(AX$6-$G$3,22))),0)))))</f>
        <v>0</v>
      </c>
      <c r="AY50" s="27" t="n">
        <f aca="false">IF(COUNT(Algodão!$E48:$Z48)=0,0,MAX(0,IF((AY$6-$E$3)&lt;1,0,IFERROR(LOOKUP(2,1/(Algodão!$E48:INDEX(Algodão!$E48:$Z48,MIN(AY$6-$E$3,22))&lt;&gt;""),Algodão!$E48:INDEX(Algodão!$E48:$Z48,MIN(AY$6-$E$3,22))),0))-IF($G$2,0,IF((AY$6-$G$3)&lt;1,0,IFERROR(LOOKUP(2,1/(Algodão!$E48:INDEX(Algodão!$E48:$Z48,MIN(AY$6-$G$3,22))&lt;&gt;""),Algodão!$E48:INDEX(Algodão!$E48:$Z48,MIN(AY$6-$G$3,22))),0)))))</f>
        <v>0</v>
      </c>
      <c r="AZ50" s="27" t="n">
        <f aca="false">IF(COUNT(Algodão!$E48:$Z48)=0,0,MAX(0,IF((AZ$6-$E$3)&lt;1,0,IFERROR(LOOKUP(2,1/(Algodão!$E48:INDEX(Algodão!$E48:$Z48,MIN(AZ$6-$E$3,22))&lt;&gt;""),Algodão!$E48:INDEX(Algodão!$E48:$Z48,MIN(AZ$6-$E$3,22))),0))-IF($G$2,0,IF((AZ$6-$G$3)&lt;1,0,IFERROR(LOOKUP(2,1/(Algodão!$E48:INDEX(Algodão!$E48:$Z48,MIN(AZ$6-$G$3,22))&lt;&gt;""),Algodão!$E48:INDEX(Algodão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IF(COUNT(Algodão!$E49:$Z49)&gt;0,N(Algodão!$D49),0)</f>
        <v>0</v>
      </c>
      <c r="E51" s="27" t="n">
        <f aca="false">IF(COUNT(Algodão!$E49:$Z49)=0,0,MAX(0,IF((E$6-$E$3)&lt;1,0,IFERROR(LOOKUP(2,1/(Algodão!$E49:INDEX(Algodão!$E49:$Z49,MIN(E$6-$E$3,22))&lt;&gt;""),Algodão!$E49:INDEX(Algodão!$E49:$Z49,MIN(E$6-$E$3,22))),0))-IF($G$2,0,IF((E$6-$G$3)&lt;1,0,IFERROR(LOOKUP(2,1/(Algodão!$E49:INDEX(Algodão!$E49:$Z49,MIN(E$6-$G$3,22))&lt;&gt;""),Algodão!$E49:INDEX(Algodão!$E49:$Z49,MIN(E$6-$G$3,22))),0)))))</f>
        <v>0</v>
      </c>
      <c r="F51" s="27" t="n">
        <f aca="false">IF(COUNT(Algodão!$E49:$Z49)=0,0,MAX(0,IF((F$6-$E$3)&lt;1,0,IFERROR(LOOKUP(2,1/(Algodão!$E49:INDEX(Algodão!$E49:$Z49,MIN(F$6-$E$3,22))&lt;&gt;""),Algodão!$E49:INDEX(Algodão!$E49:$Z49,MIN(F$6-$E$3,22))),0))-IF($G$2,0,IF((F$6-$G$3)&lt;1,0,IFERROR(LOOKUP(2,1/(Algodão!$E49:INDEX(Algodão!$E49:$Z49,MIN(F$6-$G$3,22))&lt;&gt;""),Algodão!$E49:INDEX(Algodão!$E49:$Z49,MIN(F$6-$G$3,22))),0)))))</f>
        <v>0</v>
      </c>
      <c r="G51" s="27" t="n">
        <f aca="false">IF(COUNT(Algodão!$E49:$Z49)=0,0,MAX(0,IF((G$6-$E$3)&lt;1,0,IFERROR(LOOKUP(2,1/(Algodão!$E49:INDEX(Algodão!$E49:$Z49,MIN(G$6-$E$3,22))&lt;&gt;""),Algodão!$E49:INDEX(Algodão!$E49:$Z49,MIN(G$6-$E$3,22))),0))-IF($G$2,0,IF((G$6-$G$3)&lt;1,0,IFERROR(LOOKUP(2,1/(Algodão!$E49:INDEX(Algodão!$E49:$Z49,MIN(G$6-$G$3,22))&lt;&gt;""),Algodão!$E49:INDEX(Algodão!$E49:$Z49,MIN(G$6-$G$3,22))),0)))))</f>
        <v>0</v>
      </c>
      <c r="H51" s="27" t="n">
        <f aca="false">IF(COUNT(Algodão!$E49:$Z49)=0,0,MAX(0,IF((H$6-$E$3)&lt;1,0,IFERROR(LOOKUP(2,1/(Algodão!$E49:INDEX(Algodão!$E49:$Z49,MIN(H$6-$E$3,22))&lt;&gt;""),Algodão!$E49:INDEX(Algodão!$E49:$Z49,MIN(H$6-$E$3,22))),0))-IF($G$2,0,IF((H$6-$G$3)&lt;1,0,IFERROR(LOOKUP(2,1/(Algodão!$E49:INDEX(Algodão!$E49:$Z49,MIN(H$6-$G$3,22))&lt;&gt;""),Algodão!$E49:INDEX(Algodão!$E49:$Z49,MIN(H$6-$G$3,22))),0)))))</f>
        <v>0</v>
      </c>
      <c r="I51" s="27" t="n">
        <f aca="false">IF(COUNT(Algodão!$E49:$Z49)=0,0,MAX(0,IF((I$6-$E$3)&lt;1,0,IFERROR(LOOKUP(2,1/(Algodão!$E49:INDEX(Algodão!$E49:$Z49,MIN(I$6-$E$3,22))&lt;&gt;""),Algodão!$E49:INDEX(Algodão!$E49:$Z49,MIN(I$6-$E$3,22))),0))-IF($G$2,0,IF((I$6-$G$3)&lt;1,0,IFERROR(LOOKUP(2,1/(Algodão!$E49:INDEX(Algodão!$E49:$Z49,MIN(I$6-$G$3,22))&lt;&gt;""),Algodão!$E49:INDEX(Algodão!$E49:$Z49,MIN(I$6-$G$3,22))),0)))))</f>
        <v>0</v>
      </c>
      <c r="J51" s="27" t="n">
        <f aca="false">IF(COUNT(Algodão!$E49:$Z49)=0,0,MAX(0,IF((J$6-$E$3)&lt;1,0,IFERROR(LOOKUP(2,1/(Algodão!$E49:INDEX(Algodão!$E49:$Z49,MIN(J$6-$E$3,22))&lt;&gt;""),Algodão!$E49:INDEX(Algodão!$E49:$Z49,MIN(J$6-$E$3,22))),0))-IF($G$2,0,IF((J$6-$G$3)&lt;1,0,IFERROR(LOOKUP(2,1/(Algodão!$E49:INDEX(Algodão!$E49:$Z49,MIN(J$6-$G$3,22))&lt;&gt;""),Algodão!$E49:INDEX(Algodão!$E49:$Z49,MIN(J$6-$G$3,22))),0)))))</f>
        <v>0</v>
      </c>
      <c r="K51" s="27" t="n">
        <f aca="false">IF(COUNT(Algodão!$E49:$Z49)=0,0,MAX(0,IF((K$6-$E$3)&lt;1,0,IFERROR(LOOKUP(2,1/(Algodão!$E49:INDEX(Algodão!$E49:$Z49,MIN(K$6-$E$3,22))&lt;&gt;""),Algodão!$E49:INDEX(Algodão!$E49:$Z49,MIN(K$6-$E$3,22))),0))-IF($G$2,0,IF((K$6-$G$3)&lt;1,0,IFERROR(LOOKUP(2,1/(Algodão!$E49:INDEX(Algodão!$E49:$Z49,MIN(K$6-$G$3,22))&lt;&gt;""),Algodão!$E49:INDEX(Algodão!$E49:$Z49,MIN(K$6-$G$3,22))),0)))))</f>
        <v>0</v>
      </c>
      <c r="L51" s="27" t="n">
        <f aca="false">IF(COUNT(Algodão!$E49:$Z49)=0,0,MAX(0,IF((L$6-$E$3)&lt;1,0,IFERROR(LOOKUP(2,1/(Algodão!$E49:INDEX(Algodão!$E49:$Z49,MIN(L$6-$E$3,22))&lt;&gt;""),Algodão!$E49:INDEX(Algodão!$E49:$Z49,MIN(L$6-$E$3,22))),0))-IF($G$2,0,IF((L$6-$G$3)&lt;1,0,IFERROR(LOOKUP(2,1/(Algodão!$E49:INDEX(Algodão!$E49:$Z49,MIN(L$6-$G$3,22))&lt;&gt;""),Algodão!$E49:INDEX(Algodão!$E49:$Z49,MIN(L$6-$G$3,22))),0)))))</f>
        <v>0</v>
      </c>
      <c r="M51" s="27" t="n">
        <f aca="false">IF(COUNT(Algodão!$E49:$Z49)=0,0,MAX(0,IF((M$6-$E$3)&lt;1,0,IFERROR(LOOKUP(2,1/(Algodão!$E49:INDEX(Algodão!$E49:$Z49,MIN(M$6-$E$3,22))&lt;&gt;""),Algodão!$E49:INDEX(Algodão!$E49:$Z49,MIN(M$6-$E$3,22))),0))-IF($G$2,0,IF((M$6-$G$3)&lt;1,0,IFERROR(LOOKUP(2,1/(Algodão!$E49:INDEX(Algodão!$E49:$Z49,MIN(M$6-$G$3,22))&lt;&gt;""),Algodão!$E49:INDEX(Algodão!$E49:$Z49,MIN(M$6-$G$3,22))),0)))))</f>
        <v>0</v>
      </c>
      <c r="N51" s="27" t="n">
        <f aca="false">IF(COUNT(Algodão!$E49:$Z49)=0,0,MAX(0,IF((N$6-$E$3)&lt;1,0,IFERROR(LOOKUP(2,1/(Algodão!$E49:INDEX(Algodão!$E49:$Z49,MIN(N$6-$E$3,22))&lt;&gt;""),Algodão!$E49:INDEX(Algodão!$E49:$Z49,MIN(N$6-$E$3,22))),0))-IF($G$2,0,IF((N$6-$G$3)&lt;1,0,IFERROR(LOOKUP(2,1/(Algodão!$E49:INDEX(Algodão!$E49:$Z49,MIN(N$6-$G$3,22))&lt;&gt;""),Algodão!$E49:INDEX(Algodão!$E49:$Z49,MIN(N$6-$G$3,22))),0)))))</f>
        <v>0</v>
      </c>
      <c r="O51" s="27" t="n">
        <f aca="false">IF(COUNT(Algodão!$E49:$Z49)=0,0,MAX(0,IF((O$6-$E$3)&lt;1,0,IFERROR(LOOKUP(2,1/(Algodão!$E49:INDEX(Algodão!$E49:$Z49,MIN(O$6-$E$3,22))&lt;&gt;""),Algodão!$E49:INDEX(Algodão!$E49:$Z49,MIN(O$6-$E$3,22))),0))-IF($G$2,0,IF((O$6-$G$3)&lt;1,0,IFERROR(LOOKUP(2,1/(Algodão!$E49:INDEX(Algodão!$E49:$Z49,MIN(O$6-$G$3,22))&lt;&gt;""),Algodão!$E49:INDEX(Algodão!$E49:$Z49,MIN(O$6-$G$3,22))),0)))))</f>
        <v>0</v>
      </c>
      <c r="P51" s="27" t="n">
        <f aca="false">IF(COUNT(Algodão!$E49:$Z49)=0,0,MAX(0,IF((P$6-$E$3)&lt;1,0,IFERROR(LOOKUP(2,1/(Algodão!$E49:INDEX(Algodão!$E49:$Z49,MIN(P$6-$E$3,22))&lt;&gt;""),Algodão!$E49:INDEX(Algodão!$E49:$Z49,MIN(P$6-$E$3,22))),0))-IF($G$2,0,IF((P$6-$G$3)&lt;1,0,IFERROR(LOOKUP(2,1/(Algodão!$E49:INDEX(Algodão!$E49:$Z49,MIN(P$6-$G$3,22))&lt;&gt;""),Algodão!$E49:INDEX(Algodão!$E49:$Z49,MIN(P$6-$G$3,22))),0)))))</f>
        <v>0</v>
      </c>
      <c r="Q51" s="27" t="n">
        <f aca="false">IF(COUNT(Algodão!$E49:$Z49)=0,0,MAX(0,IF((Q$6-$E$3)&lt;1,0,IFERROR(LOOKUP(2,1/(Algodão!$E49:INDEX(Algodão!$E49:$Z49,MIN(Q$6-$E$3,22))&lt;&gt;""),Algodão!$E49:INDEX(Algodão!$E49:$Z49,MIN(Q$6-$E$3,22))),0))-IF($G$2,0,IF((Q$6-$G$3)&lt;1,0,IFERROR(LOOKUP(2,1/(Algodão!$E49:INDEX(Algodão!$E49:$Z49,MIN(Q$6-$G$3,22))&lt;&gt;""),Algodão!$E49:INDEX(Algodão!$E49:$Z49,MIN(Q$6-$G$3,22))),0)))))</f>
        <v>0</v>
      </c>
      <c r="R51" s="27" t="n">
        <f aca="false">IF(COUNT(Algodão!$E49:$Z49)=0,0,MAX(0,IF((R$6-$E$3)&lt;1,0,IFERROR(LOOKUP(2,1/(Algodão!$E49:INDEX(Algodão!$E49:$Z49,MIN(R$6-$E$3,22))&lt;&gt;""),Algodão!$E49:INDEX(Algodão!$E49:$Z49,MIN(R$6-$E$3,22))),0))-IF($G$2,0,IF((R$6-$G$3)&lt;1,0,IFERROR(LOOKUP(2,1/(Algodão!$E49:INDEX(Algodão!$E49:$Z49,MIN(R$6-$G$3,22))&lt;&gt;""),Algodão!$E49:INDEX(Algodão!$E49:$Z49,MIN(R$6-$G$3,22))),0)))))</f>
        <v>0</v>
      </c>
      <c r="S51" s="27" t="n">
        <f aca="false">IF(COUNT(Algodão!$E49:$Z49)=0,0,MAX(0,IF((S$6-$E$3)&lt;1,0,IFERROR(LOOKUP(2,1/(Algodão!$E49:INDEX(Algodão!$E49:$Z49,MIN(S$6-$E$3,22))&lt;&gt;""),Algodão!$E49:INDEX(Algodão!$E49:$Z49,MIN(S$6-$E$3,22))),0))-IF($G$2,0,IF((S$6-$G$3)&lt;1,0,IFERROR(LOOKUP(2,1/(Algodão!$E49:INDEX(Algodão!$E49:$Z49,MIN(S$6-$G$3,22))&lt;&gt;""),Algodão!$E49:INDEX(Algodão!$E49:$Z49,MIN(S$6-$G$3,22))),0)))))</f>
        <v>0</v>
      </c>
      <c r="T51" s="27" t="n">
        <f aca="false">IF(COUNT(Algodão!$E49:$Z49)=0,0,MAX(0,IF((T$6-$E$3)&lt;1,0,IFERROR(LOOKUP(2,1/(Algodão!$E49:INDEX(Algodão!$E49:$Z49,MIN(T$6-$E$3,22))&lt;&gt;""),Algodão!$E49:INDEX(Algodão!$E49:$Z49,MIN(T$6-$E$3,22))),0))-IF($G$2,0,IF((T$6-$G$3)&lt;1,0,IFERROR(LOOKUP(2,1/(Algodão!$E49:INDEX(Algodão!$E49:$Z49,MIN(T$6-$G$3,22))&lt;&gt;""),Algodão!$E49:INDEX(Algodão!$E49:$Z49,MIN(T$6-$G$3,22))),0)))))</f>
        <v>0</v>
      </c>
      <c r="U51" s="27" t="n">
        <f aca="false">IF(COUNT(Algodão!$E49:$Z49)=0,0,MAX(0,IF((U$6-$E$3)&lt;1,0,IFERROR(LOOKUP(2,1/(Algodão!$E49:INDEX(Algodão!$E49:$Z49,MIN(U$6-$E$3,22))&lt;&gt;""),Algodão!$E49:INDEX(Algodão!$E49:$Z49,MIN(U$6-$E$3,22))),0))-IF($G$2,0,IF((U$6-$G$3)&lt;1,0,IFERROR(LOOKUP(2,1/(Algodão!$E49:INDEX(Algodão!$E49:$Z49,MIN(U$6-$G$3,22))&lt;&gt;""),Algodão!$E49:INDEX(Algodão!$E49:$Z49,MIN(U$6-$G$3,22))),0)))))</f>
        <v>0</v>
      </c>
      <c r="V51" s="27" t="n">
        <f aca="false">IF(COUNT(Algodão!$E49:$Z49)=0,0,MAX(0,IF((V$6-$E$3)&lt;1,0,IFERROR(LOOKUP(2,1/(Algodão!$E49:INDEX(Algodão!$E49:$Z49,MIN(V$6-$E$3,22))&lt;&gt;""),Algodão!$E49:INDEX(Algodão!$E49:$Z49,MIN(V$6-$E$3,22))),0))-IF($G$2,0,IF((V$6-$G$3)&lt;1,0,IFERROR(LOOKUP(2,1/(Algodão!$E49:INDEX(Algodão!$E49:$Z49,MIN(V$6-$G$3,22))&lt;&gt;""),Algodão!$E49:INDEX(Algodão!$E49:$Z49,MIN(V$6-$G$3,22))),0)))))</f>
        <v>0</v>
      </c>
      <c r="W51" s="27" t="n">
        <f aca="false">IF(COUNT(Algodão!$E49:$Z49)=0,0,MAX(0,IF((W$6-$E$3)&lt;1,0,IFERROR(LOOKUP(2,1/(Algodão!$E49:INDEX(Algodão!$E49:$Z49,MIN(W$6-$E$3,22))&lt;&gt;""),Algodão!$E49:INDEX(Algodão!$E49:$Z49,MIN(W$6-$E$3,22))),0))-IF($G$2,0,IF((W$6-$G$3)&lt;1,0,IFERROR(LOOKUP(2,1/(Algodão!$E49:INDEX(Algodão!$E49:$Z49,MIN(W$6-$G$3,22))&lt;&gt;""),Algodão!$E49:INDEX(Algodão!$E49:$Z49,MIN(W$6-$G$3,22))),0)))))</f>
        <v>0</v>
      </c>
      <c r="X51" s="27" t="n">
        <f aca="false">IF(COUNT(Algodão!$E49:$Z49)=0,0,MAX(0,IF((X$6-$E$3)&lt;1,0,IFERROR(LOOKUP(2,1/(Algodão!$E49:INDEX(Algodão!$E49:$Z49,MIN(X$6-$E$3,22))&lt;&gt;""),Algodão!$E49:INDEX(Algodão!$E49:$Z49,MIN(X$6-$E$3,22))),0))-IF($G$2,0,IF((X$6-$G$3)&lt;1,0,IFERROR(LOOKUP(2,1/(Algodão!$E49:INDEX(Algodão!$E49:$Z49,MIN(X$6-$G$3,22))&lt;&gt;""),Algodão!$E49:INDEX(Algodão!$E49:$Z49,MIN(X$6-$G$3,22))),0)))))</f>
        <v>0</v>
      </c>
      <c r="Y51" s="27" t="n">
        <f aca="false">IF(COUNT(Algodão!$E49:$Z49)=0,0,MAX(0,IF((Y$6-$E$3)&lt;1,0,IFERROR(LOOKUP(2,1/(Algodão!$E49:INDEX(Algodão!$E49:$Z49,MIN(Y$6-$E$3,22))&lt;&gt;""),Algodão!$E49:INDEX(Algodão!$E49:$Z49,MIN(Y$6-$E$3,22))),0))-IF($G$2,0,IF((Y$6-$G$3)&lt;1,0,IFERROR(LOOKUP(2,1/(Algodão!$E49:INDEX(Algodão!$E49:$Z49,MIN(Y$6-$G$3,22))&lt;&gt;""),Algodão!$E49:INDEX(Algodão!$E49:$Z49,MIN(Y$6-$G$3,22))),0)))))</f>
        <v>0</v>
      </c>
      <c r="Z51" s="27" t="n">
        <f aca="false">IF(COUNT(Algodão!$E49:$Z49)=0,0,MAX(0,IF((Z$6-$E$3)&lt;1,0,IFERROR(LOOKUP(2,1/(Algodão!$E49:INDEX(Algodão!$E49:$Z49,MIN(Z$6-$E$3,22))&lt;&gt;""),Algodão!$E49:INDEX(Algodão!$E49:$Z49,MIN(Z$6-$E$3,22))),0))-IF($G$2,0,IF((Z$6-$G$3)&lt;1,0,IFERROR(LOOKUP(2,1/(Algodão!$E49:INDEX(Algodão!$E49:$Z49,MIN(Z$6-$G$3,22))&lt;&gt;""),Algodão!$E49:INDEX(Algodão!$E49:$Z49,MIN(Z$6-$G$3,22))),0)))))</f>
        <v>0</v>
      </c>
      <c r="AA51" s="27" t="n">
        <f aca="false">IF(COUNT(Algodão!$E49:$Z49)=0,0,MAX(0,IF((AA$6-$E$3)&lt;1,0,IFERROR(LOOKUP(2,1/(Algodão!$E49:INDEX(Algodão!$E49:$Z49,MIN(AA$6-$E$3,22))&lt;&gt;""),Algodão!$E49:INDEX(Algodão!$E49:$Z49,MIN(AA$6-$E$3,22))),0))-IF($G$2,0,IF((AA$6-$G$3)&lt;1,0,IFERROR(LOOKUP(2,1/(Algodão!$E49:INDEX(Algodão!$E49:$Z49,MIN(AA$6-$G$3,22))&lt;&gt;""),Algodão!$E49:INDEX(Algodão!$E49:$Z49,MIN(AA$6-$G$3,22))),0)))))</f>
        <v>0</v>
      </c>
      <c r="AB51" s="27" t="n">
        <f aca="false">IF(COUNT(Algodão!$E49:$Z49)=0,0,MAX(0,IF((AB$6-$E$3)&lt;1,0,IFERROR(LOOKUP(2,1/(Algodão!$E49:INDEX(Algodão!$E49:$Z49,MIN(AB$6-$E$3,22))&lt;&gt;""),Algodão!$E49:INDEX(Algodão!$E49:$Z49,MIN(AB$6-$E$3,22))),0))-IF($G$2,0,IF((AB$6-$G$3)&lt;1,0,IFERROR(LOOKUP(2,1/(Algodão!$E49:INDEX(Algodão!$E49:$Z49,MIN(AB$6-$G$3,22))&lt;&gt;""),Algodão!$E49:INDEX(Algodão!$E49:$Z49,MIN(AB$6-$G$3,22))),0)))))</f>
        <v>0</v>
      </c>
      <c r="AC51" s="27" t="n">
        <f aca="false">IF(COUNT(Algodão!$E49:$Z49)=0,0,MAX(0,IF((AC$6-$E$3)&lt;1,0,IFERROR(LOOKUP(2,1/(Algodão!$E49:INDEX(Algodão!$E49:$Z49,MIN(AC$6-$E$3,22))&lt;&gt;""),Algodão!$E49:INDEX(Algodão!$E49:$Z49,MIN(AC$6-$E$3,22))),0))-IF($G$2,0,IF((AC$6-$G$3)&lt;1,0,IFERROR(LOOKUP(2,1/(Algodão!$E49:INDEX(Algodão!$E49:$Z49,MIN(AC$6-$G$3,22))&lt;&gt;""),Algodão!$E49:INDEX(Algodão!$E49:$Z49,MIN(AC$6-$G$3,22))),0)))))</f>
        <v>0</v>
      </c>
      <c r="AD51" s="27" t="n">
        <f aca="false">IF(COUNT(Algodão!$E49:$Z49)=0,0,MAX(0,IF((AD$6-$E$3)&lt;1,0,IFERROR(LOOKUP(2,1/(Algodão!$E49:INDEX(Algodão!$E49:$Z49,MIN(AD$6-$E$3,22))&lt;&gt;""),Algodão!$E49:INDEX(Algodão!$E49:$Z49,MIN(AD$6-$E$3,22))),0))-IF($G$2,0,IF((AD$6-$G$3)&lt;1,0,IFERROR(LOOKUP(2,1/(Algodão!$E49:INDEX(Algodão!$E49:$Z49,MIN(AD$6-$G$3,22))&lt;&gt;""),Algodão!$E49:INDEX(Algodão!$E49:$Z49,MIN(AD$6-$G$3,22))),0)))))</f>
        <v>0</v>
      </c>
      <c r="AE51" s="27" t="n">
        <f aca="false">IF(COUNT(Algodão!$E49:$Z49)=0,0,MAX(0,IF((AE$6-$E$3)&lt;1,0,IFERROR(LOOKUP(2,1/(Algodão!$E49:INDEX(Algodão!$E49:$Z49,MIN(AE$6-$E$3,22))&lt;&gt;""),Algodão!$E49:INDEX(Algodão!$E49:$Z49,MIN(AE$6-$E$3,22))),0))-IF($G$2,0,IF((AE$6-$G$3)&lt;1,0,IFERROR(LOOKUP(2,1/(Algodão!$E49:INDEX(Algodão!$E49:$Z49,MIN(AE$6-$G$3,22))&lt;&gt;""),Algodão!$E49:INDEX(Algodão!$E49:$Z49,MIN(AE$6-$G$3,22))),0)))))</f>
        <v>0</v>
      </c>
      <c r="AF51" s="27" t="n">
        <f aca="false">IF(COUNT(Algodão!$E49:$Z49)=0,0,MAX(0,IF((AF$6-$E$3)&lt;1,0,IFERROR(LOOKUP(2,1/(Algodão!$E49:INDEX(Algodão!$E49:$Z49,MIN(AF$6-$E$3,22))&lt;&gt;""),Algodão!$E49:INDEX(Algodão!$E49:$Z49,MIN(AF$6-$E$3,22))),0))-IF($G$2,0,IF((AF$6-$G$3)&lt;1,0,IFERROR(LOOKUP(2,1/(Algodão!$E49:INDEX(Algodão!$E49:$Z49,MIN(AF$6-$G$3,22))&lt;&gt;""),Algodão!$E49:INDEX(Algodão!$E49:$Z49,MIN(AF$6-$G$3,22))),0)))))</f>
        <v>0</v>
      </c>
      <c r="AG51" s="27" t="n">
        <f aca="false">IF(COUNT(Algodão!$E49:$Z49)=0,0,MAX(0,IF((AG$6-$E$3)&lt;1,0,IFERROR(LOOKUP(2,1/(Algodão!$E49:INDEX(Algodão!$E49:$Z49,MIN(AG$6-$E$3,22))&lt;&gt;""),Algodão!$E49:INDEX(Algodão!$E49:$Z49,MIN(AG$6-$E$3,22))),0))-IF($G$2,0,IF((AG$6-$G$3)&lt;1,0,IFERROR(LOOKUP(2,1/(Algodão!$E49:INDEX(Algodão!$E49:$Z49,MIN(AG$6-$G$3,22))&lt;&gt;""),Algodão!$E49:INDEX(Algodão!$E49:$Z49,MIN(AG$6-$G$3,22))),0)))))</f>
        <v>0</v>
      </c>
      <c r="AH51" s="27" t="n">
        <f aca="false">IF(COUNT(Algodão!$E49:$Z49)=0,0,MAX(0,IF((AH$6-$E$3)&lt;1,0,IFERROR(LOOKUP(2,1/(Algodão!$E49:INDEX(Algodão!$E49:$Z49,MIN(AH$6-$E$3,22))&lt;&gt;""),Algodão!$E49:INDEX(Algodão!$E49:$Z49,MIN(AH$6-$E$3,22))),0))-IF($G$2,0,IF((AH$6-$G$3)&lt;1,0,IFERROR(LOOKUP(2,1/(Algodão!$E49:INDEX(Algodão!$E49:$Z49,MIN(AH$6-$G$3,22))&lt;&gt;""),Algodão!$E49:INDEX(Algodão!$E49:$Z49,MIN(AH$6-$G$3,22))),0)))))</f>
        <v>0</v>
      </c>
      <c r="AI51" s="27" t="n">
        <f aca="false">IF(COUNT(Algodão!$E49:$Z49)=0,0,MAX(0,IF((AI$6-$E$3)&lt;1,0,IFERROR(LOOKUP(2,1/(Algodão!$E49:INDEX(Algodão!$E49:$Z49,MIN(AI$6-$E$3,22))&lt;&gt;""),Algodão!$E49:INDEX(Algodão!$E49:$Z49,MIN(AI$6-$E$3,22))),0))-IF($G$2,0,IF((AI$6-$G$3)&lt;1,0,IFERROR(LOOKUP(2,1/(Algodão!$E49:INDEX(Algodão!$E49:$Z49,MIN(AI$6-$G$3,22))&lt;&gt;""),Algodão!$E49:INDEX(Algodão!$E49:$Z49,MIN(AI$6-$G$3,22))),0)))))</f>
        <v>0</v>
      </c>
      <c r="AJ51" s="27" t="n">
        <f aca="false">IF(COUNT(Algodão!$E49:$Z49)=0,0,MAX(0,IF((AJ$6-$E$3)&lt;1,0,IFERROR(LOOKUP(2,1/(Algodão!$E49:INDEX(Algodão!$E49:$Z49,MIN(AJ$6-$E$3,22))&lt;&gt;""),Algodão!$E49:INDEX(Algodão!$E49:$Z49,MIN(AJ$6-$E$3,22))),0))-IF($G$2,0,IF((AJ$6-$G$3)&lt;1,0,IFERROR(LOOKUP(2,1/(Algodão!$E49:INDEX(Algodão!$E49:$Z49,MIN(AJ$6-$G$3,22))&lt;&gt;""),Algodão!$E49:INDEX(Algodão!$E49:$Z49,MIN(AJ$6-$G$3,22))),0)))))</f>
        <v>0</v>
      </c>
      <c r="AK51" s="27" t="n">
        <f aca="false">IF(COUNT(Algodão!$E49:$Z49)=0,0,MAX(0,IF((AK$6-$E$3)&lt;1,0,IFERROR(LOOKUP(2,1/(Algodão!$E49:INDEX(Algodão!$E49:$Z49,MIN(AK$6-$E$3,22))&lt;&gt;""),Algodão!$E49:INDEX(Algodão!$E49:$Z49,MIN(AK$6-$E$3,22))),0))-IF($G$2,0,IF((AK$6-$G$3)&lt;1,0,IFERROR(LOOKUP(2,1/(Algodão!$E49:INDEX(Algodão!$E49:$Z49,MIN(AK$6-$G$3,22))&lt;&gt;""),Algodão!$E49:INDEX(Algodão!$E49:$Z49,MIN(AK$6-$G$3,22))),0)))))</f>
        <v>0</v>
      </c>
      <c r="AL51" s="27" t="n">
        <f aca="false">IF(COUNT(Algodão!$E49:$Z49)=0,0,MAX(0,IF((AL$6-$E$3)&lt;1,0,IFERROR(LOOKUP(2,1/(Algodão!$E49:INDEX(Algodão!$E49:$Z49,MIN(AL$6-$E$3,22))&lt;&gt;""),Algodão!$E49:INDEX(Algodão!$E49:$Z49,MIN(AL$6-$E$3,22))),0))-IF($G$2,0,IF((AL$6-$G$3)&lt;1,0,IFERROR(LOOKUP(2,1/(Algodão!$E49:INDEX(Algodão!$E49:$Z49,MIN(AL$6-$G$3,22))&lt;&gt;""),Algodão!$E49:INDEX(Algodão!$E49:$Z49,MIN(AL$6-$G$3,22))),0)))))</f>
        <v>0</v>
      </c>
      <c r="AM51" s="27" t="n">
        <f aca="false">IF(COUNT(Algodão!$E49:$Z49)=0,0,MAX(0,IF((AM$6-$E$3)&lt;1,0,IFERROR(LOOKUP(2,1/(Algodão!$E49:INDEX(Algodão!$E49:$Z49,MIN(AM$6-$E$3,22))&lt;&gt;""),Algodão!$E49:INDEX(Algodão!$E49:$Z49,MIN(AM$6-$E$3,22))),0))-IF($G$2,0,IF((AM$6-$G$3)&lt;1,0,IFERROR(LOOKUP(2,1/(Algodão!$E49:INDEX(Algodão!$E49:$Z49,MIN(AM$6-$G$3,22))&lt;&gt;""),Algodão!$E49:INDEX(Algodão!$E49:$Z49,MIN(AM$6-$G$3,22))),0)))))</f>
        <v>0</v>
      </c>
      <c r="AN51" s="27" t="n">
        <f aca="false">IF(COUNT(Algodão!$E49:$Z49)=0,0,MAX(0,IF((AN$6-$E$3)&lt;1,0,IFERROR(LOOKUP(2,1/(Algodão!$E49:INDEX(Algodão!$E49:$Z49,MIN(AN$6-$E$3,22))&lt;&gt;""),Algodão!$E49:INDEX(Algodão!$E49:$Z49,MIN(AN$6-$E$3,22))),0))-IF($G$2,0,IF((AN$6-$G$3)&lt;1,0,IFERROR(LOOKUP(2,1/(Algodão!$E49:INDEX(Algodão!$E49:$Z49,MIN(AN$6-$G$3,22))&lt;&gt;""),Algodão!$E49:INDEX(Algodão!$E49:$Z49,MIN(AN$6-$G$3,22))),0)))))</f>
        <v>0</v>
      </c>
      <c r="AO51" s="27" t="n">
        <f aca="false">IF(COUNT(Algodão!$E49:$Z49)=0,0,MAX(0,IF((AO$6-$E$3)&lt;1,0,IFERROR(LOOKUP(2,1/(Algodão!$E49:INDEX(Algodão!$E49:$Z49,MIN(AO$6-$E$3,22))&lt;&gt;""),Algodão!$E49:INDEX(Algodão!$E49:$Z49,MIN(AO$6-$E$3,22))),0))-IF($G$2,0,IF((AO$6-$G$3)&lt;1,0,IFERROR(LOOKUP(2,1/(Algodão!$E49:INDEX(Algodão!$E49:$Z49,MIN(AO$6-$G$3,22))&lt;&gt;""),Algodão!$E49:INDEX(Algodão!$E49:$Z49,MIN(AO$6-$G$3,22))),0)))))</f>
        <v>0</v>
      </c>
      <c r="AP51" s="27" t="n">
        <f aca="false">IF(COUNT(Algodão!$E49:$Z49)=0,0,MAX(0,IF((AP$6-$E$3)&lt;1,0,IFERROR(LOOKUP(2,1/(Algodão!$E49:INDEX(Algodão!$E49:$Z49,MIN(AP$6-$E$3,22))&lt;&gt;""),Algodão!$E49:INDEX(Algodão!$E49:$Z49,MIN(AP$6-$E$3,22))),0))-IF($G$2,0,IF((AP$6-$G$3)&lt;1,0,IFERROR(LOOKUP(2,1/(Algodão!$E49:INDEX(Algodão!$E49:$Z49,MIN(AP$6-$G$3,22))&lt;&gt;""),Algodão!$E49:INDEX(Algodão!$E49:$Z49,MIN(AP$6-$G$3,22))),0)))))</f>
        <v>0</v>
      </c>
      <c r="AQ51" s="27" t="n">
        <f aca="false">IF(COUNT(Algodão!$E49:$Z49)=0,0,MAX(0,IF((AQ$6-$E$3)&lt;1,0,IFERROR(LOOKUP(2,1/(Algodão!$E49:INDEX(Algodão!$E49:$Z49,MIN(AQ$6-$E$3,22))&lt;&gt;""),Algodão!$E49:INDEX(Algodão!$E49:$Z49,MIN(AQ$6-$E$3,22))),0))-IF($G$2,0,IF((AQ$6-$G$3)&lt;1,0,IFERROR(LOOKUP(2,1/(Algodão!$E49:INDEX(Algodão!$E49:$Z49,MIN(AQ$6-$G$3,22))&lt;&gt;""),Algodão!$E49:INDEX(Algodão!$E49:$Z49,MIN(AQ$6-$G$3,22))),0)))))</f>
        <v>0</v>
      </c>
      <c r="AR51" s="27" t="n">
        <f aca="false">IF(COUNT(Algodão!$E49:$Z49)=0,0,MAX(0,IF((AR$6-$E$3)&lt;1,0,IFERROR(LOOKUP(2,1/(Algodão!$E49:INDEX(Algodão!$E49:$Z49,MIN(AR$6-$E$3,22))&lt;&gt;""),Algodão!$E49:INDEX(Algodão!$E49:$Z49,MIN(AR$6-$E$3,22))),0))-IF($G$2,0,IF((AR$6-$G$3)&lt;1,0,IFERROR(LOOKUP(2,1/(Algodão!$E49:INDEX(Algodão!$E49:$Z49,MIN(AR$6-$G$3,22))&lt;&gt;""),Algodão!$E49:INDEX(Algodão!$E49:$Z49,MIN(AR$6-$G$3,22))),0)))))</f>
        <v>0</v>
      </c>
      <c r="AS51" s="27" t="n">
        <f aca="false">IF(COUNT(Algodão!$E49:$Z49)=0,0,MAX(0,IF((AS$6-$E$3)&lt;1,0,IFERROR(LOOKUP(2,1/(Algodão!$E49:INDEX(Algodão!$E49:$Z49,MIN(AS$6-$E$3,22))&lt;&gt;""),Algodão!$E49:INDEX(Algodão!$E49:$Z49,MIN(AS$6-$E$3,22))),0))-IF($G$2,0,IF((AS$6-$G$3)&lt;1,0,IFERROR(LOOKUP(2,1/(Algodão!$E49:INDEX(Algodão!$E49:$Z49,MIN(AS$6-$G$3,22))&lt;&gt;""),Algodão!$E49:INDEX(Algodão!$E49:$Z49,MIN(AS$6-$G$3,22))),0)))))</f>
        <v>0</v>
      </c>
      <c r="AT51" s="27" t="n">
        <f aca="false">IF(COUNT(Algodão!$E49:$Z49)=0,0,MAX(0,IF((AT$6-$E$3)&lt;1,0,IFERROR(LOOKUP(2,1/(Algodão!$E49:INDEX(Algodão!$E49:$Z49,MIN(AT$6-$E$3,22))&lt;&gt;""),Algodão!$E49:INDEX(Algodão!$E49:$Z49,MIN(AT$6-$E$3,22))),0))-IF($G$2,0,IF((AT$6-$G$3)&lt;1,0,IFERROR(LOOKUP(2,1/(Algodão!$E49:INDEX(Algodão!$E49:$Z49,MIN(AT$6-$G$3,22))&lt;&gt;""),Algodão!$E49:INDEX(Algodão!$E49:$Z49,MIN(AT$6-$G$3,22))),0)))))</f>
        <v>0</v>
      </c>
      <c r="AU51" s="27" t="n">
        <f aca="false">IF(COUNT(Algodão!$E49:$Z49)=0,0,MAX(0,IF((AU$6-$E$3)&lt;1,0,IFERROR(LOOKUP(2,1/(Algodão!$E49:INDEX(Algodão!$E49:$Z49,MIN(AU$6-$E$3,22))&lt;&gt;""),Algodão!$E49:INDEX(Algodão!$E49:$Z49,MIN(AU$6-$E$3,22))),0))-IF($G$2,0,IF((AU$6-$G$3)&lt;1,0,IFERROR(LOOKUP(2,1/(Algodão!$E49:INDEX(Algodão!$E49:$Z49,MIN(AU$6-$G$3,22))&lt;&gt;""),Algodão!$E49:INDEX(Algodão!$E49:$Z49,MIN(AU$6-$G$3,22))),0)))))</f>
        <v>0</v>
      </c>
      <c r="AV51" s="27" t="n">
        <f aca="false">IF(COUNT(Algodão!$E49:$Z49)=0,0,MAX(0,IF((AV$6-$E$3)&lt;1,0,IFERROR(LOOKUP(2,1/(Algodão!$E49:INDEX(Algodão!$E49:$Z49,MIN(AV$6-$E$3,22))&lt;&gt;""),Algodão!$E49:INDEX(Algodão!$E49:$Z49,MIN(AV$6-$E$3,22))),0))-IF($G$2,0,IF((AV$6-$G$3)&lt;1,0,IFERROR(LOOKUP(2,1/(Algodão!$E49:INDEX(Algodão!$E49:$Z49,MIN(AV$6-$G$3,22))&lt;&gt;""),Algodão!$E49:INDEX(Algodão!$E49:$Z49,MIN(AV$6-$G$3,22))),0)))))</f>
        <v>0</v>
      </c>
      <c r="AW51" s="27" t="n">
        <f aca="false">IF(COUNT(Algodão!$E49:$Z49)=0,0,MAX(0,IF((AW$6-$E$3)&lt;1,0,IFERROR(LOOKUP(2,1/(Algodão!$E49:INDEX(Algodão!$E49:$Z49,MIN(AW$6-$E$3,22))&lt;&gt;""),Algodão!$E49:INDEX(Algodão!$E49:$Z49,MIN(AW$6-$E$3,22))),0))-IF($G$2,0,IF((AW$6-$G$3)&lt;1,0,IFERROR(LOOKUP(2,1/(Algodão!$E49:INDEX(Algodão!$E49:$Z49,MIN(AW$6-$G$3,22))&lt;&gt;""),Algodão!$E49:INDEX(Algodão!$E49:$Z49,MIN(AW$6-$G$3,22))),0)))))</f>
        <v>0</v>
      </c>
      <c r="AX51" s="27" t="n">
        <f aca="false">IF(COUNT(Algodão!$E49:$Z49)=0,0,MAX(0,IF((AX$6-$E$3)&lt;1,0,IFERROR(LOOKUP(2,1/(Algodão!$E49:INDEX(Algodão!$E49:$Z49,MIN(AX$6-$E$3,22))&lt;&gt;""),Algodão!$E49:INDEX(Algodão!$E49:$Z49,MIN(AX$6-$E$3,22))),0))-IF($G$2,0,IF((AX$6-$G$3)&lt;1,0,IFERROR(LOOKUP(2,1/(Algodão!$E49:INDEX(Algodão!$E49:$Z49,MIN(AX$6-$G$3,22))&lt;&gt;""),Algodão!$E49:INDEX(Algodão!$E49:$Z49,MIN(AX$6-$G$3,22))),0)))))</f>
        <v>0</v>
      </c>
      <c r="AY51" s="27" t="n">
        <f aca="false">IF(COUNT(Algodão!$E49:$Z49)=0,0,MAX(0,IF((AY$6-$E$3)&lt;1,0,IFERROR(LOOKUP(2,1/(Algodão!$E49:INDEX(Algodão!$E49:$Z49,MIN(AY$6-$E$3,22))&lt;&gt;""),Algodão!$E49:INDEX(Algodão!$E49:$Z49,MIN(AY$6-$E$3,22))),0))-IF($G$2,0,IF((AY$6-$G$3)&lt;1,0,IFERROR(LOOKUP(2,1/(Algodão!$E49:INDEX(Algodão!$E49:$Z49,MIN(AY$6-$G$3,22))&lt;&gt;""),Algodão!$E49:INDEX(Algodão!$E49:$Z49,MIN(AY$6-$G$3,22))),0)))))</f>
        <v>0</v>
      </c>
      <c r="AZ51" s="27" t="n">
        <f aca="false">IF(COUNT(Algodão!$E49:$Z49)=0,0,MAX(0,IF((AZ$6-$E$3)&lt;1,0,IFERROR(LOOKUP(2,1/(Algodão!$E49:INDEX(Algodão!$E49:$Z49,MIN(AZ$6-$E$3,22))&lt;&gt;""),Algodão!$E49:INDEX(Algodão!$E49:$Z49,MIN(AZ$6-$E$3,22))),0))-IF($G$2,0,IF((AZ$6-$G$3)&lt;1,0,IFERROR(LOOKUP(2,1/(Algodão!$E49:INDEX(Algodão!$E49:$Z49,MIN(AZ$6-$G$3,22))&lt;&gt;""),Algodão!$E49:INDEX(Algodão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IF(COUNT(Algodão!$E50:$Z50)&gt;0,N(Algodão!$D50),0)</f>
        <v>0</v>
      </c>
      <c r="E52" s="27" t="n">
        <f aca="false">IF(COUNT(Algodão!$E50:$Z50)=0,0,MAX(0,IF((E$6-$E$3)&lt;1,0,IFERROR(LOOKUP(2,1/(Algodão!$E50:INDEX(Algodão!$E50:$Z50,MIN(E$6-$E$3,22))&lt;&gt;""),Algodão!$E50:INDEX(Algodão!$E50:$Z50,MIN(E$6-$E$3,22))),0))-IF($G$2,0,IF((E$6-$G$3)&lt;1,0,IFERROR(LOOKUP(2,1/(Algodão!$E50:INDEX(Algodão!$E50:$Z50,MIN(E$6-$G$3,22))&lt;&gt;""),Algodão!$E50:INDEX(Algodão!$E50:$Z50,MIN(E$6-$G$3,22))),0)))))</f>
        <v>0</v>
      </c>
      <c r="F52" s="27" t="n">
        <f aca="false">IF(COUNT(Algodão!$E50:$Z50)=0,0,MAX(0,IF((F$6-$E$3)&lt;1,0,IFERROR(LOOKUP(2,1/(Algodão!$E50:INDEX(Algodão!$E50:$Z50,MIN(F$6-$E$3,22))&lt;&gt;""),Algodão!$E50:INDEX(Algodão!$E50:$Z50,MIN(F$6-$E$3,22))),0))-IF($G$2,0,IF((F$6-$G$3)&lt;1,0,IFERROR(LOOKUP(2,1/(Algodão!$E50:INDEX(Algodão!$E50:$Z50,MIN(F$6-$G$3,22))&lt;&gt;""),Algodão!$E50:INDEX(Algodão!$E50:$Z50,MIN(F$6-$G$3,22))),0)))))</f>
        <v>0</v>
      </c>
      <c r="G52" s="27" t="n">
        <f aca="false">IF(COUNT(Algodão!$E50:$Z50)=0,0,MAX(0,IF((G$6-$E$3)&lt;1,0,IFERROR(LOOKUP(2,1/(Algodão!$E50:INDEX(Algodão!$E50:$Z50,MIN(G$6-$E$3,22))&lt;&gt;""),Algodão!$E50:INDEX(Algodão!$E50:$Z50,MIN(G$6-$E$3,22))),0))-IF($G$2,0,IF((G$6-$G$3)&lt;1,0,IFERROR(LOOKUP(2,1/(Algodão!$E50:INDEX(Algodão!$E50:$Z50,MIN(G$6-$G$3,22))&lt;&gt;""),Algodão!$E50:INDEX(Algodão!$E50:$Z50,MIN(G$6-$G$3,22))),0)))))</f>
        <v>0</v>
      </c>
      <c r="H52" s="27" t="n">
        <f aca="false">IF(COUNT(Algodão!$E50:$Z50)=0,0,MAX(0,IF((H$6-$E$3)&lt;1,0,IFERROR(LOOKUP(2,1/(Algodão!$E50:INDEX(Algodão!$E50:$Z50,MIN(H$6-$E$3,22))&lt;&gt;""),Algodão!$E50:INDEX(Algodão!$E50:$Z50,MIN(H$6-$E$3,22))),0))-IF($G$2,0,IF((H$6-$G$3)&lt;1,0,IFERROR(LOOKUP(2,1/(Algodão!$E50:INDEX(Algodão!$E50:$Z50,MIN(H$6-$G$3,22))&lt;&gt;""),Algodão!$E50:INDEX(Algodão!$E50:$Z50,MIN(H$6-$G$3,22))),0)))))</f>
        <v>0</v>
      </c>
      <c r="I52" s="27" t="n">
        <f aca="false">IF(COUNT(Algodão!$E50:$Z50)=0,0,MAX(0,IF((I$6-$E$3)&lt;1,0,IFERROR(LOOKUP(2,1/(Algodão!$E50:INDEX(Algodão!$E50:$Z50,MIN(I$6-$E$3,22))&lt;&gt;""),Algodão!$E50:INDEX(Algodão!$E50:$Z50,MIN(I$6-$E$3,22))),0))-IF($G$2,0,IF((I$6-$G$3)&lt;1,0,IFERROR(LOOKUP(2,1/(Algodão!$E50:INDEX(Algodão!$E50:$Z50,MIN(I$6-$G$3,22))&lt;&gt;""),Algodão!$E50:INDEX(Algodão!$E50:$Z50,MIN(I$6-$G$3,22))),0)))))</f>
        <v>0</v>
      </c>
      <c r="J52" s="27" t="n">
        <f aca="false">IF(COUNT(Algodão!$E50:$Z50)=0,0,MAX(0,IF((J$6-$E$3)&lt;1,0,IFERROR(LOOKUP(2,1/(Algodão!$E50:INDEX(Algodão!$E50:$Z50,MIN(J$6-$E$3,22))&lt;&gt;""),Algodão!$E50:INDEX(Algodão!$E50:$Z50,MIN(J$6-$E$3,22))),0))-IF($G$2,0,IF((J$6-$G$3)&lt;1,0,IFERROR(LOOKUP(2,1/(Algodão!$E50:INDEX(Algodão!$E50:$Z50,MIN(J$6-$G$3,22))&lt;&gt;""),Algodão!$E50:INDEX(Algodão!$E50:$Z50,MIN(J$6-$G$3,22))),0)))))</f>
        <v>0</v>
      </c>
      <c r="K52" s="27" t="n">
        <f aca="false">IF(COUNT(Algodão!$E50:$Z50)=0,0,MAX(0,IF((K$6-$E$3)&lt;1,0,IFERROR(LOOKUP(2,1/(Algodão!$E50:INDEX(Algodão!$E50:$Z50,MIN(K$6-$E$3,22))&lt;&gt;""),Algodão!$E50:INDEX(Algodão!$E50:$Z50,MIN(K$6-$E$3,22))),0))-IF($G$2,0,IF((K$6-$G$3)&lt;1,0,IFERROR(LOOKUP(2,1/(Algodão!$E50:INDEX(Algodão!$E50:$Z50,MIN(K$6-$G$3,22))&lt;&gt;""),Algodão!$E50:INDEX(Algodão!$E50:$Z50,MIN(K$6-$G$3,22))),0)))))</f>
        <v>0</v>
      </c>
      <c r="L52" s="27" t="n">
        <f aca="false">IF(COUNT(Algodão!$E50:$Z50)=0,0,MAX(0,IF((L$6-$E$3)&lt;1,0,IFERROR(LOOKUP(2,1/(Algodão!$E50:INDEX(Algodão!$E50:$Z50,MIN(L$6-$E$3,22))&lt;&gt;""),Algodão!$E50:INDEX(Algodão!$E50:$Z50,MIN(L$6-$E$3,22))),0))-IF($G$2,0,IF((L$6-$G$3)&lt;1,0,IFERROR(LOOKUP(2,1/(Algodão!$E50:INDEX(Algodão!$E50:$Z50,MIN(L$6-$G$3,22))&lt;&gt;""),Algodão!$E50:INDEX(Algodão!$E50:$Z50,MIN(L$6-$G$3,22))),0)))))</f>
        <v>0</v>
      </c>
      <c r="M52" s="27" t="n">
        <f aca="false">IF(COUNT(Algodão!$E50:$Z50)=0,0,MAX(0,IF((M$6-$E$3)&lt;1,0,IFERROR(LOOKUP(2,1/(Algodão!$E50:INDEX(Algodão!$E50:$Z50,MIN(M$6-$E$3,22))&lt;&gt;""),Algodão!$E50:INDEX(Algodão!$E50:$Z50,MIN(M$6-$E$3,22))),0))-IF($G$2,0,IF((M$6-$G$3)&lt;1,0,IFERROR(LOOKUP(2,1/(Algodão!$E50:INDEX(Algodão!$E50:$Z50,MIN(M$6-$G$3,22))&lt;&gt;""),Algodão!$E50:INDEX(Algodão!$E50:$Z50,MIN(M$6-$G$3,22))),0)))))</f>
        <v>0</v>
      </c>
      <c r="N52" s="27" t="n">
        <f aca="false">IF(COUNT(Algodão!$E50:$Z50)=0,0,MAX(0,IF((N$6-$E$3)&lt;1,0,IFERROR(LOOKUP(2,1/(Algodão!$E50:INDEX(Algodão!$E50:$Z50,MIN(N$6-$E$3,22))&lt;&gt;""),Algodão!$E50:INDEX(Algodão!$E50:$Z50,MIN(N$6-$E$3,22))),0))-IF($G$2,0,IF((N$6-$G$3)&lt;1,0,IFERROR(LOOKUP(2,1/(Algodão!$E50:INDEX(Algodão!$E50:$Z50,MIN(N$6-$G$3,22))&lt;&gt;""),Algodão!$E50:INDEX(Algodão!$E50:$Z50,MIN(N$6-$G$3,22))),0)))))</f>
        <v>0</v>
      </c>
      <c r="O52" s="27" t="n">
        <f aca="false">IF(COUNT(Algodão!$E50:$Z50)=0,0,MAX(0,IF((O$6-$E$3)&lt;1,0,IFERROR(LOOKUP(2,1/(Algodão!$E50:INDEX(Algodão!$E50:$Z50,MIN(O$6-$E$3,22))&lt;&gt;""),Algodão!$E50:INDEX(Algodão!$E50:$Z50,MIN(O$6-$E$3,22))),0))-IF($G$2,0,IF((O$6-$G$3)&lt;1,0,IFERROR(LOOKUP(2,1/(Algodão!$E50:INDEX(Algodão!$E50:$Z50,MIN(O$6-$G$3,22))&lt;&gt;""),Algodão!$E50:INDEX(Algodão!$E50:$Z50,MIN(O$6-$G$3,22))),0)))))</f>
        <v>0</v>
      </c>
      <c r="P52" s="27" t="n">
        <f aca="false">IF(COUNT(Algodão!$E50:$Z50)=0,0,MAX(0,IF((P$6-$E$3)&lt;1,0,IFERROR(LOOKUP(2,1/(Algodão!$E50:INDEX(Algodão!$E50:$Z50,MIN(P$6-$E$3,22))&lt;&gt;""),Algodão!$E50:INDEX(Algodão!$E50:$Z50,MIN(P$6-$E$3,22))),0))-IF($G$2,0,IF((P$6-$G$3)&lt;1,0,IFERROR(LOOKUP(2,1/(Algodão!$E50:INDEX(Algodão!$E50:$Z50,MIN(P$6-$G$3,22))&lt;&gt;""),Algodão!$E50:INDEX(Algodão!$E50:$Z50,MIN(P$6-$G$3,22))),0)))))</f>
        <v>0</v>
      </c>
      <c r="Q52" s="27" t="n">
        <f aca="false">IF(COUNT(Algodão!$E50:$Z50)=0,0,MAX(0,IF((Q$6-$E$3)&lt;1,0,IFERROR(LOOKUP(2,1/(Algodão!$E50:INDEX(Algodão!$E50:$Z50,MIN(Q$6-$E$3,22))&lt;&gt;""),Algodão!$E50:INDEX(Algodão!$E50:$Z50,MIN(Q$6-$E$3,22))),0))-IF($G$2,0,IF((Q$6-$G$3)&lt;1,0,IFERROR(LOOKUP(2,1/(Algodão!$E50:INDEX(Algodão!$E50:$Z50,MIN(Q$6-$G$3,22))&lt;&gt;""),Algodão!$E50:INDEX(Algodão!$E50:$Z50,MIN(Q$6-$G$3,22))),0)))))</f>
        <v>0</v>
      </c>
      <c r="R52" s="27" t="n">
        <f aca="false">IF(COUNT(Algodão!$E50:$Z50)=0,0,MAX(0,IF((R$6-$E$3)&lt;1,0,IFERROR(LOOKUP(2,1/(Algodão!$E50:INDEX(Algodão!$E50:$Z50,MIN(R$6-$E$3,22))&lt;&gt;""),Algodão!$E50:INDEX(Algodão!$E50:$Z50,MIN(R$6-$E$3,22))),0))-IF($G$2,0,IF((R$6-$G$3)&lt;1,0,IFERROR(LOOKUP(2,1/(Algodão!$E50:INDEX(Algodão!$E50:$Z50,MIN(R$6-$G$3,22))&lt;&gt;""),Algodão!$E50:INDEX(Algodão!$E50:$Z50,MIN(R$6-$G$3,22))),0)))))</f>
        <v>0</v>
      </c>
      <c r="S52" s="27" t="n">
        <f aca="false">IF(COUNT(Algodão!$E50:$Z50)=0,0,MAX(0,IF((S$6-$E$3)&lt;1,0,IFERROR(LOOKUP(2,1/(Algodão!$E50:INDEX(Algodão!$E50:$Z50,MIN(S$6-$E$3,22))&lt;&gt;""),Algodão!$E50:INDEX(Algodão!$E50:$Z50,MIN(S$6-$E$3,22))),0))-IF($G$2,0,IF((S$6-$G$3)&lt;1,0,IFERROR(LOOKUP(2,1/(Algodão!$E50:INDEX(Algodão!$E50:$Z50,MIN(S$6-$G$3,22))&lt;&gt;""),Algodão!$E50:INDEX(Algodão!$E50:$Z50,MIN(S$6-$G$3,22))),0)))))</f>
        <v>0</v>
      </c>
      <c r="T52" s="27" t="n">
        <f aca="false">IF(COUNT(Algodão!$E50:$Z50)=0,0,MAX(0,IF((T$6-$E$3)&lt;1,0,IFERROR(LOOKUP(2,1/(Algodão!$E50:INDEX(Algodão!$E50:$Z50,MIN(T$6-$E$3,22))&lt;&gt;""),Algodão!$E50:INDEX(Algodão!$E50:$Z50,MIN(T$6-$E$3,22))),0))-IF($G$2,0,IF((T$6-$G$3)&lt;1,0,IFERROR(LOOKUP(2,1/(Algodão!$E50:INDEX(Algodão!$E50:$Z50,MIN(T$6-$G$3,22))&lt;&gt;""),Algodão!$E50:INDEX(Algodão!$E50:$Z50,MIN(T$6-$G$3,22))),0)))))</f>
        <v>0</v>
      </c>
      <c r="U52" s="27" t="n">
        <f aca="false">IF(COUNT(Algodão!$E50:$Z50)=0,0,MAX(0,IF((U$6-$E$3)&lt;1,0,IFERROR(LOOKUP(2,1/(Algodão!$E50:INDEX(Algodão!$E50:$Z50,MIN(U$6-$E$3,22))&lt;&gt;""),Algodão!$E50:INDEX(Algodão!$E50:$Z50,MIN(U$6-$E$3,22))),0))-IF($G$2,0,IF((U$6-$G$3)&lt;1,0,IFERROR(LOOKUP(2,1/(Algodão!$E50:INDEX(Algodão!$E50:$Z50,MIN(U$6-$G$3,22))&lt;&gt;""),Algodão!$E50:INDEX(Algodão!$E50:$Z50,MIN(U$6-$G$3,22))),0)))))</f>
        <v>0</v>
      </c>
      <c r="V52" s="27" t="n">
        <f aca="false">IF(COUNT(Algodão!$E50:$Z50)=0,0,MAX(0,IF((V$6-$E$3)&lt;1,0,IFERROR(LOOKUP(2,1/(Algodão!$E50:INDEX(Algodão!$E50:$Z50,MIN(V$6-$E$3,22))&lt;&gt;""),Algodão!$E50:INDEX(Algodão!$E50:$Z50,MIN(V$6-$E$3,22))),0))-IF($G$2,0,IF((V$6-$G$3)&lt;1,0,IFERROR(LOOKUP(2,1/(Algodão!$E50:INDEX(Algodão!$E50:$Z50,MIN(V$6-$G$3,22))&lt;&gt;""),Algodão!$E50:INDEX(Algodão!$E50:$Z50,MIN(V$6-$G$3,22))),0)))))</f>
        <v>0</v>
      </c>
      <c r="W52" s="27" t="n">
        <f aca="false">IF(COUNT(Algodão!$E50:$Z50)=0,0,MAX(0,IF((W$6-$E$3)&lt;1,0,IFERROR(LOOKUP(2,1/(Algodão!$E50:INDEX(Algodão!$E50:$Z50,MIN(W$6-$E$3,22))&lt;&gt;""),Algodão!$E50:INDEX(Algodão!$E50:$Z50,MIN(W$6-$E$3,22))),0))-IF($G$2,0,IF((W$6-$G$3)&lt;1,0,IFERROR(LOOKUP(2,1/(Algodão!$E50:INDEX(Algodão!$E50:$Z50,MIN(W$6-$G$3,22))&lt;&gt;""),Algodão!$E50:INDEX(Algodão!$E50:$Z50,MIN(W$6-$G$3,22))),0)))))</f>
        <v>0</v>
      </c>
      <c r="X52" s="27" t="n">
        <f aca="false">IF(COUNT(Algodão!$E50:$Z50)=0,0,MAX(0,IF((X$6-$E$3)&lt;1,0,IFERROR(LOOKUP(2,1/(Algodão!$E50:INDEX(Algodão!$E50:$Z50,MIN(X$6-$E$3,22))&lt;&gt;""),Algodão!$E50:INDEX(Algodão!$E50:$Z50,MIN(X$6-$E$3,22))),0))-IF($G$2,0,IF((X$6-$G$3)&lt;1,0,IFERROR(LOOKUP(2,1/(Algodão!$E50:INDEX(Algodão!$E50:$Z50,MIN(X$6-$G$3,22))&lt;&gt;""),Algodão!$E50:INDEX(Algodão!$E50:$Z50,MIN(X$6-$G$3,22))),0)))))</f>
        <v>0</v>
      </c>
      <c r="Y52" s="27" t="n">
        <f aca="false">IF(COUNT(Algodão!$E50:$Z50)=0,0,MAX(0,IF((Y$6-$E$3)&lt;1,0,IFERROR(LOOKUP(2,1/(Algodão!$E50:INDEX(Algodão!$E50:$Z50,MIN(Y$6-$E$3,22))&lt;&gt;""),Algodão!$E50:INDEX(Algodão!$E50:$Z50,MIN(Y$6-$E$3,22))),0))-IF($G$2,0,IF((Y$6-$G$3)&lt;1,0,IFERROR(LOOKUP(2,1/(Algodão!$E50:INDEX(Algodão!$E50:$Z50,MIN(Y$6-$G$3,22))&lt;&gt;""),Algodão!$E50:INDEX(Algodão!$E50:$Z50,MIN(Y$6-$G$3,22))),0)))))</f>
        <v>0</v>
      </c>
      <c r="Z52" s="27" t="n">
        <f aca="false">IF(COUNT(Algodão!$E50:$Z50)=0,0,MAX(0,IF((Z$6-$E$3)&lt;1,0,IFERROR(LOOKUP(2,1/(Algodão!$E50:INDEX(Algodão!$E50:$Z50,MIN(Z$6-$E$3,22))&lt;&gt;""),Algodão!$E50:INDEX(Algodão!$E50:$Z50,MIN(Z$6-$E$3,22))),0))-IF($G$2,0,IF((Z$6-$G$3)&lt;1,0,IFERROR(LOOKUP(2,1/(Algodão!$E50:INDEX(Algodão!$E50:$Z50,MIN(Z$6-$G$3,22))&lt;&gt;""),Algodão!$E50:INDEX(Algodão!$E50:$Z50,MIN(Z$6-$G$3,22))),0)))))</f>
        <v>0</v>
      </c>
      <c r="AA52" s="27" t="n">
        <f aca="false">IF(COUNT(Algodão!$E50:$Z50)=0,0,MAX(0,IF((AA$6-$E$3)&lt;1,0,IFERROR(LOOKUP(2,1/(Algodão!$E50:INDEX(Algodão!$E50:$Z50,MIN(AA$6-$E$3,22))&lt;&gt;""),Algodão!$E50:INDEX(Algodão!$E50:$Z50,MIN(AA$6-$E$3,22))),0))-IF($G$2,0,IF((AA$6-$G$3)&lt;1,0,IFERROR(LOOKUP(2,1/(Algodão!$E50:INDEX(Algodão!$E50:$Z50,MIN(AA$6-$G$3,22))&lt;&gt;""),Algodão!$E50:INDEX(Algodão!$E50:$Z50,MIN(AA$6-$G$3,22))),0)))))</f>
        <v>0</v>
      </c>
      <c r="AB52" s="27" t="n">
        <f aca="false">IF(COUNT(Algodão!$E50:$Z50)=0,0,MAX(0,IF((AB$6-$E$3)&lt;1,0,IFERROR(LOOKUP(2,1/(Algodão!$E50:INDEX(Algodão!$E50:$Z50,MIN(AB$6-$E$3,22))&lt;&gt;""),Algodão!$E50:INDEX(Algodão!$E50:$Z50,MIN(AB$6-$E$3,22))),0))-IF($G$2,0,IF((AB$6-$G$3)&lt;1,0,IFERROR(LOOKUP(2,1/(Algodão!$E50:INDEX(Algodão!$E50:$Z50,MIN(AB$6-$G$3,22))&lt;&gt;""),Algodão!$E50:INDEX(Algodão!$E50:$Z50,MIN(AB$6-$G$3,22))),0)))))</f>
        <v>0</v>
      </c>
      <c r="AC52" s="27" t="n">
        <f aca="false">IF(COUNT(Algodão!$E50:$Z50)=0,0,MAX(0,IF((AC$6-$E$3)&lt;1,0,IFERROR(LOOKUP(2,1/(Algodão!$E50:INDEX(Algodão!$E50:$Z50,MIN(AC$6-$E$3,22))&lt;&gt;""),Algodão!$E50:INDEX(Algodão!$E50:$Z50,MIN(AC$6-$E$3,22))),0))-IF($G$2,0,IF((AC$6-$G$3)&lt;1,0,IFERROR(LOOKUP(2,1/(Algodão!$E50:INDEX(Algodão!$E50:$Z50,MIN(AC$6-$G$3,22))&lt;&gt;""),Algodão!$E50:INDEX(Algodão!$E50:$Z50,MIN(AC$6-$G$3,22))),0)))))</f>
        <v>0</v>
      </c>
      <c r="AD52" s="27" t="n">
        <f aca="false">IF(COUNT(Algodão!$E50:$Z50)=0,0,MAX(0,IF((AD$6-$E$3)&lt;1,0,IFERROR(LOOKUP(2,1/(Algodão!$E50:INDEX(Algodão!$E50:$Z50,MIN(AD$6-$E$3,22))&lt;&gt;""),Algodão!$E50:INDEX(Algodão!$E50:$Z50,MIN(AD$6-$E$3,22))),0))-IF($G$2,0,IF((AD$6-$G$3)&lt;1,0,IFERROR(LOOKUP(2,1/(Algodão!$E50:INDEX(Algodão!$E50:$Z50,MIN(AD$6-$G$3,22))&lt;&gt;""),Algodão!$E50:INDEX(Algodão!$E50:$Z50,MIN(AD$6-$G$3,22))),0)))))</f>
        <v>0</v>
      </c>
      <c r="AE52" s="27" t="n">
        <f aca="false">IF(COUNT(Algodão!$E50:$Z50)=0,0,MAX(0,IF((AE$6-$E$3)&lt;1,0,IFERROR(LOOKUP(2,1/(Algodão!$E50:INDEX(Algodão!$E50:$Z50,MIN(AE$6-$E$3,22))&lt;&gt;""),Algodão!$E50:INDEX(Algodão!$E50:$Z50,MIN(AE$6-$E$3,22))),0))-IF($G$2,0,IF((AE$6-$G$3)&lt;1,0,IFERROR(LOOKUP(2,1/(Algodão!$E50:INDEX(Algodão!$E50:$Z50,MIN(AE$6-$G$3,22))&lt;&gt;""),Algodão!$E50:INDEX(Algodão!$E50:$Z50,MIN(AE$6-$G$3,22))),0)))))</f>
        <v>0</v>
      </c>
      <c r="AF52" s="27" t="n">
        <f aca="false">IF(COUNT(Algodão!$E50:$Z50)=0,0,MAX(0,IF((AF$6-$E$3)&lt;1,0,IFERROR(LOOKUP(2,1/(Algodão!$E50:INDEX(Algodão!$E50:$Z50,MIN(AF$6-$E$3,22))&lt;&gt;""),Algodão!$E50:INDEX(Algodão!$E50:$Z50,MIN(AF$6-$E$3,22))),0))-IF($G$2,0,IF((AF$6-$G$3)&lt;1,0,IFERROR(LOOKUP(2,1/(Algodão!$E50:INDEX(Algodão!$E50:$Z50,MIN(AF$6-$G$3,22))&lt;&gt;""),Algodão!$E50:INDEX(Algodão!$E50:$Z50,MIN(AF$6-$G$3,22))),0)))))</f>
        <v>0</v>
      </c>
      <c r="AG52" s="27" t="n">
        <f aca="false">IF(COUNT(Algodão!$E50:$Z50)=0,0,MAX(0,IF((AG$6-$E$3)&lt;1,0,IFERROR(LOOKUP(2,1/(Algodão!$E50:INDEX(Algodão!$E50:$Z50,MIN(AG$6-$E$3,22))&lt;&gt;""),Algodão!$E50:INDEX(Algodão!$E50:$Z50,MIN(AG$6-$E$3,22))),0))-IF($G$2,0,IF((AG$6-$G$3)&lt;1,0,IFERROR(LOOKUP(2,1/(Algodão!$E50:INDEX(Algodão!$E50:$Z50,MIN(AG$6-$G$3,22))&lt;&gt;""),Algodão!$E50:INDEX(Algodão!$E50:$Z50,MIN(AG$6-$G$3,22))),0)))))</f>
        <v>0</v>
      </c>
      <c r="AH52" s="27" t="n">
        <f aca="false">IF(COUNT(Algodão!$E50:$Z50)=0,0,MAX(0,IF((AH$6-$E$3)&lt;1,0,IFERROR(LOOKUP(2,1/(Algodão!$E50:INDEX(Algodão!$E50:$Z50,MIN(AH$6-$E$3,22))&lt;&gt;""),Algodão!$E50:INDEX(Algodão!$E50:$Z50,MIN(AH$6-$E$3,22))),0))-IF($G$2,0,IF((AH$6-$G$3)&lt;1,0,IFERROR(LOOKUP(2,1/(Algodão!$E50:INDEX(Algodão!$E50:$Z50,MIN(AH$6-$G$3,22))&lt;&gt;""),Algodão!$E50:INDEX(Algodão!$E50:$Z50,MIN(AH$6-$G$3,22))),0)))))</f>
        <v>0</v>
      </c>
      <c r="AI52" s="27" t="n">
        <f aca="false">IF(COUNT(Algodão!$E50:$Z50)=0,0,MAX(0,IF((AI$6-$E$3)&lt;1,0,IFERROR(LOOKUP(2,1/(Algodão!$E50:INDEX(Algodão!$E50:$Z50,MIN(AI$6-$E$3,22))&lt;&gt;""),Algodão!$E50:INDEX(Algodão!$E50:$Z50,MIN(AI$6-$E$3,22))),0))-IF($G$2,0,IF((AI$6-$G$3)&lt;1,0,IFERROR(LOOKUP(2,1/(Algodão!$E50:INDEX(Algodão!$E50:$Z50,MIN(AI$6-$G$3,22))&lt;&gt;""),Algodão!$E50:INDEX(Algodão!$E50:$Z50,MIN(AI$6-$G$3,22))),0)))))</f>
        <v>0</v>
      </c>
      <c r="AJ52" s="27" t="n">
        <f aca="false">IF(COUNT(Algodão!$E50:$Z50)=0,0,MAX(0,IF((AJ$6-$E$3)&lt;1,0,IFERROR(LOOKUP(2,1/(Algodão!$E50:INDEX(Algodão!$E50:$Z50,MIN(AJ$6-$E$3,22))&lt;&gt;""),Algodão!$E50:INDEX(Algodão!$E50:$Z50,MIN(AJ$6-$E$3,22))),0))-IF($G$2,0,IF((AJ$6-$G$3)&lt;1,0,IFERROR(LOOKUP(2,1/(Algodão!$E50:INDEX(Algodão!$E50:$Z50,MIN(AJ$6-$G$3,22))&lt;&gt;""),Algodão!$E50:INDEX(Algodão!$E50:$Z50,MIN(AJ$6-$G$3,22))),0)))))</f>
        <v>0</v>
      </c>
      <c r="AK52" s="27" t="n">
        <f aca="false">IF(COUNT(Algodão!$E50:$Z50)=0,0,MAX(0,IF((AK$6-$E$3)&lt;1,0,IFERROR(LOOKUP(2,1/(Algodão!$E50:INDEX(Algodão!$E50:$Z50,MIN(AK$6-$E$3,22))&lt;&gt;""),Algodão!$E50:INDEX(Algodão!$E50:$Z50,MIN(AK$6-$E$3,22))),0))-IF($G$2,0,IF((AK$6-$G$3)&lt;1,0,IFERROR(LOOKUP(2,1/(Algodão!$E50:INDEX(Algodão!$E50:$Z50,MIN(AK$6-$G$3,22))&lt;&gt;""),Algodão!$E50:INDEX(Algodão!$E50:$Z50,MIN(AK$6-$G$3,22))),0)))))</f>
        <v>0</v>
      </c>
      <c r="AL52" s="27" t="n">
        <f aca="false">IF(COUNT(Algodão!$E50:$Z50)=0,0,MAX(0,IF((AL$6-$E$3)&lt;1,0,IFERROR(LOOKUP(2,1/(Algodão!$E50:INDEX(Algodão!$E50:$Z50,MIN(AL$6-$E$3,22))&lt;&gt;""),Algodão!$E50:INDEX(Algodão!$E50:$Z50,MIN(AL$6-$E$3,22))),0))-IF($G$2,0,IF((AL$6-$G$3)&lt;1,0,IFERROR(LOOKUP(2,1/(Algodão!$E50:INDEX(Algodão!$E50:$Z50,MIN(AL$6-$G$3,22))&lt;&gt;""),Algodão!$E50:INDEX(Algodão!$E50:$Z50,MIN(AL$6-$G$3,22))),0)))))</f>
        <v>0</v>
      </c>
      <c r="AM52" s="27" t="n">
        <f aca="false">IF(COUNT(Algodão!$E50:$Z50)=0,0,MAX(0,IF((AM$6-$E$3)&lt;1,0,IFERROR(LOOKUP(2,1/(Algodão!$E50:INDEX(Algodão!$E50:$Z50,MIN(AM$6-$E$3,22))&lt;&gt;""),Algodão!$E50:INDEX(Algodão!$E50:$Z50,MIN(AM$6-$E$3,22))),0))-IF($G$2,0,IF((AM$6-$G$3)&lt;1,0,IFERROR(LOOKUP(2,1/(Algodão!$E50:INDEX(Algodão!$E50:$Z50,MIN(AM$6-$G$3,22))&lt;&gt;""),Algodão!$E50:INDEX(Algodão!$E50:$Z50,MIN(AM$6-$G$3,22))),0)))))</f>
        <v>0</v>
      </c>
      <c r="AN52" s="27" t="n">
        <f aca="false">IF(COUNT(Algodão!$E50:$Z50)=0,0,MAX(0,IF((AN$6-$E$3)&lt;1,0,IFERROR(LOOKUP(2,1/(Algodão!$E50:INDEX(Algodão!$E50:$Z50,MIN(AN$6-$E$3,22))&lt;&gt;""),Algodão!$E50:INDEX(Algodão!$E50:$Z50,MIN(AN$6-$E$3,22))),0))-IF($G$2,0,IF((AN$6-$G$3)&lt;1,0,IFERROR(LOOKUP(2,1/(Algodão!$E50:INDEX(Algodão!$E50:$Z50,MIN(AN$6-$G$3,22))&lt;&gt;""),Algodão!$E50:INDEX(Algodão!$E50:$Z50,MIN(AN$6-$G$3,22))),0)))))</f>
        <v>0</v>
      </c>
      <c r="AO52" s="27" t="n">
        <f aca="false">IF(COUNT(Algodão!$E50:$Z50)=0,0,MAX(0,IF((AO$6-$E$3)&lt;1,0,IFERROR(LOOKUP(2,1/(Algodão!$E50:INDEX(Algodão!$E50:$Z50,MIN(AO$6-$E$3,22))&lt;&gt;""),Algodão!$E50:INDEX(Algodão!$E50:$Z50,MIN(AO$6-$E$3,22))),0))-IF($G$2,0,IF((AO$6-$G$3)&lt;1,0,IFERROR(LOOKUP(2,1/(Algodão!$E50:INDEX(Algodão!$E50:$Z50,MIN(AO$6-$G$3,22))&lt;&gt;""),Algodão!$E50:INDEX(Algodão!$E50:$Z50,MIN(AO$6-$G$3,22))),0)))))</f>
        <v>0</v>
      </c>
      <c r="AP52" s="27" t="n">
        <f aca="false">IF(COUNT(Algodão!$E50:$Z50)=0,0,MAX(0,IF((AP$6-$E$3)&lt;1,0,IFERROR(LOOKUP(2,1/(Algodão!$E50:INDEX(Algodão!$E50:$Z50,MIN(AP$6-$E$3,22))&lt;&gt;""),Algodão!$E50:INDEX(Algodão!$E50:$Z50,MIN(AP$6-$E$3,22))),0))-IF($G$2,0,IF((AP$6-$G$3)&lt;1,0,IFERROR(LOOKUP(2,1/(Algodão!$E50:INDEX(Algodão!$E50:$Z50,MIN(AP$6-$G$3,22))&lt;&gt;""),Algodão!$E50:INDEX(Algodão!$E50:$Z50,MIN(AP$6-$G$3,22))),0)))))</f>
        <v>0</v>
      </c>
      <c r="AQ52" s="27" t="n">
        <f aca="false">IF(COUNT(Algodão!$E50:$Z50)=0,0,MAX(0,IF((AQ$6-$E$3)&lt;1,0,IFERROR(LOOKUP(2,1/(Algodão!$E50:INDEX(Algodão!$E50:$Z50,MIN(AQ$6-$E$3,22))&lt;&gt;""),Algodão!$E50:INDEX(Algodão!$E50:$Z50,MIN(AQ$6-$E$3,22))),0))-IF($G$2,0,IF((AQ$6-$G$3)&lt;1,0,IFERROR(LOOKUP(2,1/(Algodão!$E50:INDEX(Algodão!$E50:$Z50,MIN(AQ$6-$G$3,22))&lt;&gt;""),Algodão!$E50:INDEX(Algodão!$E50:$Z50,MIN(AQ$6-$G$3,22))),0)))))</f>
        <v>0</v>
      </c>
      <c r="AR52" s="27" t="n">
        <f aca="false">IF(COUNT(Algodão!$E50:$Z50)=0,0,MAX(0,IF((AR$6-$E$3)&lt;1,0,IFERROR(LOOKUP(2,1/(Algodão!$E50:INDEX(Algodão!$E50:$Z50,MIN(AR$6-$E$3,22))&lt;&gt;""),Algodão!$E50:INDEX(Algodão!$E50:$Z50,MIN(AR$6-$E$3,22))),0))-IF($G$2,0,IF((AR$6-$G$3)&lt;1,0,IFERROR(LOOKUP(2,1/(Algodão!$E50:INDEX(Algodão!$E50:$Z50,MIN(AR$6-$G$3,22))&lt;&gt;""),Algodão!$E50:INDEX(Algodão!$E50:$Z50,MIN(AR$6-$G$3,22))),0)))))</f>
        <v>0</v>
      </c>
      <c r="AS52" s="27" t="n">
        <f aca="false">IF(COUNT(Algodão!$E50:$Z50)=0,0,MAX(0,IF((AS$6-$E$3)&lt;1,0,IFERROR(LOOKUP(2,1/(Algodão!$E50:INDEX(Algodão!$E50:$Z50,MIN(AS$6-$E$3,22))&lt;&gt;""),Algodão!$E50:INDEX(Algodão!$E50:$Z50,MIN(AS$6-$E$3,22))),0))-IF($G$2,0,IF((AS$6-$G$3)&lt;1,0,IFERROR(LOOKUP(2,1/(Algodão!$E50:INDEX(Algodão!$E50:$Z50,MIN(AS$6-$G$3,22))&lt;&gt;""),Algodão!$E50:INDEX(Algodão!$E50:$Z50,MIN(AS$6-$G$3,22))),0)))))</f>
        <v>0</v>
      </c>
      <c r="AT52" s="27" t="n">
        <f aca="false">IF(COUNT(Algodão!$E50:$Z50)=0,0,MAX(0,IF((AT$6-$E$3)&lt;1,0,IFERROR(LOOKUP(2,1/(Algodão!$E50:INDEX(Algodão!$E50:$Z50,MIN(AT$6-$E$3,22))&lt;&gt;""),Algodão!$E50:INDEX(Algodão!$E50:$Z50,MIN(AT$6-$E$3,22))),0))-IF($G$2,0,IF((AT$6-$G$3)&lt;1,0,IFERROR(LOOKUP(2,1/(Algodão!$E50:INDEX(Algodão!$E50:$Z50,MIN(AT$6-$G$3,22))&lt;&gt;""),Algodão!$E50:INDEX(Algodão!$E50:$Z50,MIN(AT$6-$G$3,22))),0)))))</f>
        <v>0</v>
      </c>
      <c r="AU52" s="27" t="n">
        <f aca="false">IF(COUNT(Algodão!$E50:$Z50)=0,0,MAX(0,IF((AU$6-$E$3)&lt;1,0,IFERROR(LOOKUP(2,1/(Algodão!$E50:INDEX(Algodão!$E50:$Z50,MIN(AU$6-$E$3,22))&lt;&gt;""),Algodão!$E50:INDEX(Algodão!$E50:$Z50,MIN(AU$6-$E$3,22))),0))-IF($G$2,0,IF((AU$6-$G$3)&lt;1,0,IFERROR(LOOKUP(2,1/(Algodão!$E50:INDEX(Algodão!$E50:$Z50,MIN(AU$6-$G$3,22))&lt;&gt;""),Algodão!$E50:INDEX(Algodão!$E50:$Z50,MIN(AU$6-$G$3,22))),0)))))</f>
        <v>0</v>
      </c>
      <c r="AV52" s="27" t="n">
        <f aca="false">IF(COUNT(Algodão!$E50:$Z50)=0,0,MAX(0,IF((AV$6-$E$3)&lt;1,0,IFERROR(LOOKUP(2,1/(Algodão!$E50:INDEX(Algodão!$E50:$Z50,MIN(AV$6-$E$3,22))&lt;&gt;""),Algodão!$E50:INDEX(Algodão!$E50:$Z50,MIN(AV$6-$E$3,22))),0))-IF($G$2,0,IF((AV$6-$G$3)&lt;1,0,IFERROR(LOOKUP(2,1/(Algodão!$E50:INDEX(Algodão!$E50:$Z50,MIN(AV$6-$G$3,22))&lt;&gt;""),Algodão!$E50:INDEX(Algodão!$E50:$Z50,MIN(AV$6-$G$3,22))),0)))))</f>
        <v>0</v>
      </c>
      <c r="AW52" s="27" t="n">
        <f aca="false">IF(COUNT(Algodão!$E50:$Z50)=0,0,MAX(0,IF((AW$6-$E$3)&lt;1,0,IFERROR(LOOKUP(2,1/(Algodão!$E50:INDEX(Algodão!$E50:$Z50,MIN(AW$6-$E$3,22))&lt;&gt;""),Algodão!$E50:INDEX(Algodão!$E50:$Z50,MIN(AW$6-$E$3,22))),0))-IF($G$2,0,IF((AW$6-$G$3)&lt;1,0,IFERROR(LOOKUP(2,1/(Algodão!$E50:INDEX(Algodão!$E50:$Z50,MIN(AW$6-$G$3,22))&lt;&gt;""),Algodão!$E50:INDEX(Algodão!$E50:$Z50,MIN(AW$6-$G$3,22))),0)))))</f>
        <v>0</v>
      </c>
      <c r="AX52" s="27" t="n">
        <f aca="false">IF(COUNT(Algodão!$E50:$Z50)=0,0,MAX(0,IF((AX$6-$E$3)&lt;1,0,IFERROR(LOOKUP(2,1/(Algodão!$E50:INDEX(Algodão!$E50:$Z50,MIN(AX$6-$E$3,22))&lt;&gt;""),Algodão!$E50:INDEX(Algodão!$E50:$Z50,MIN(AX$6-$E$3,22))),0))-IF($G$2,0,IF((AX$6-$G$3)&lt;1,0,IFERROR(LOOKUP(2,1/(Algodão!$E50:INDEX(Algodão!$E50:$Z50,MIN(AX$6-$G$3,22))&lt;&gt;""),Algodão!$E50:INDEX(Algodão!$E50:$Z50,MIN(AX$6-$G$3,22))),0)))))</f>
        <v>0</v>
      </c>
      <c r="AY52" s="27" t="n">
        <f aca="false">IF(COUNT(Algodão!$E50:$Z50)=0,0,MAX(0,IF((AY$6-$E$3)&lt;1,0,IFERROR(LOOKUP(2,1/(Algodão!$E50:INDEX(Algodão!$E50:$Z50,MIN(AY$6-$E$3,22))&lt;&gt;""),Algodão!$E50:INDEX(Algodão!$E50:$Z50,MIN(AY$6-$E$3,22))),0))-IF($G$2,0,IF((AY$6-$G$3)&lt;1,0,IFERROR(LOOKUP(2,1/(Algodão!$E50:INDEX(Algodão!$E50:$Z50,MIN(AY$6-$G$3,22))&lt;&gt;""),Algodão!$E50:INDEX(Algodão!$E50:$Z50,MIN(AY$6-$G$3,22))),0)))))</f>
        <v>0</v>
      </c>
      <c r="AZ52" s="27" t="n">
        <f aca="false">IF(COUNT(Algodão!$E50:$Z50)=0,0,MAX(0,IF((AZ$6-$E$3)&lt;1,0,IFERROR(LOOKUP(2,1/(Algodão!$E50:INDEX(Algodão!$E50:$Z50,MIN(AZ$6-$E$3,22))&lt;&gt;""),Algodão!$E50:INDEX(Algodão!$E50:$Z50,MIN(AZ$6-$E$3,22))),0))-IF($G$2,0,IF((AZ$6-$G$3)&lt;1,0,IFERROR(LOOKUP(2,1/(Algodão!$E50:INDEX(Algodão!$E50:$Z50,MIN(AZ$6-$G$3,22))&lt;&gt;""),Algodão!$E50:INDEX(Algodão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IF(COUNT(Algodão!$E51:$Z51)&gt;0,N(Algodão!$D51),0)</f>
        <v>0</v>
      </c>
      <c r="E53" s="27" t="n">
        <f aca="false">IF(COUNT(Algodão!$E51:$Z51)=0,0,MAX(0,IF((E$6-$E$3)&lt;1,0,IFERROR(LOOKUP(2,1/(Algodão!$E51:INDEX(Algodão!$E51:$Z51,MIN(E$6-$E$3,22))&lt;&gt;""),Algodão!$E51:INDEX(Algodão!$E51:$Z51,MIN(E$6-$E$3,22))),0))-IF($G$2,0,IF((E$6-$G$3)&lt;1,0,IFERROR(LOOKUP(2,1/(Algodão!$E51:INDEX(Algodão!$E51:$Z51,MIN(E$6-$G$3,22))&lt;&gt;""),Algodão!$E51:INDEX(Algodão!$E51:$Z51,MIN(E$6-$G$3,22))),0)))))</f>
        <v>0</v>
      </c>
      <c r="F53" s="27" t="n">
        <f aca="false">IF(COUNT(Algodão!$E51:$Z51)=0,0,MAX(0,IF((F$6-$E$3)&lt;1,0,IFERROR(LOOKUP(2,1/(Algodão!$E51:INDEX(Algodão!$E51:$Z51,MIN(F$6-$E$3,22))&lt;&gt;""),Algodão!$E51:INDEX(Algodão!$E51:$Z51,MIN(F$6-$E$3,22))),0))-IF($G$2,0,IF((F$6-$G$3)&lt;1,0,IFERROR(LOOKUP(2,1/(Algodão!$E51:INDEX(Algodão!$E51:$Z51,MIN(F$6-$G$3,22))&lt;&gt;""),Algodão!$E51:INDEX(Algodão!$E51:$Z51,MIN(F$6-$G$3,22))),0)))))</f>
        <v>0</v>
      </c>
      <c r="G53" s="27" t="n">
        <f aca="false">IF(COUNT(Algodão!$E51:$Z51)=0,0,MAX(0,IF((G$6-$E$3)&lt;1,0,IFERROR(LOOKUP(2,1/(Algodão!$E51:INDEX(Algodão!$E51:$Z51,MIN(G$6-$E$3,22))&lt;&gt;""),Algodão!$E51:INDEX(Algodão!$E51:$Z51,MIN(G$6-$E$3,22))),0))-IF($G$2,0,IF((G$6-$G$3)&lt;1,0,IFERROR(LOOKUP(2,1/(Algodão!$E51:INDEX(Algodão!$E51:$Z51,MIN(G$6-$G$3,22))&lt;&gt;""),Algodão!$E51:INDEX(Algodão!$E51:$Z51,MIN(G$6-$G$3,22))),0)))))</f>
        <v>0</v>
      </c>
      <c r="H53" s="27" t="n">
        <f aca="false">IF(COUNT(Algodão!$E51:$Z51)=0,0,MAX(0,IF((H$6-$E$3)&lt;1,0,IFERROR(LOOKUP(2,1/(Algodão!$E51:INDEX(Algodão!$E51:$Z51,MIN(H$6-$E$3,22))&lt;&gt;""),Algodão!$E51:INDEX(Algodão!$E51:$Z51,MIN(H$6-$E$3,22))),0))-IF($G$2,0,IF((H$6-$G$3)&lt;1,0,IFERROR(LOOKUP(2,1/(Algodão!$E51:INDEX(Algodão!$E51:$Z51,MIN(H$6-$G$3,22))&lt;&gt;""),Algodão!$E51:INDEX(Algodão!$E51:$Z51,MIN(H$6-$G$3,22))),0)))))</f>
        <v>0</v>
      </c>
      <c r="I53" s="27" t="n">
        <f aca="false">IF(COUNT(Algodão!$E51:$Z51)=0,0,MAX(0,IF((I$6-$E$3)&lt;1,0,IFERROR(LOOKUP(2,1/(Algodão!$E51:INDEX(Algodão!$E51:$Z51,MIN(I$6-$E$3,22))&lt;&gt;""),Algodão!$E51:INDEX(Algodão!$E51:$Z51,MIN(I$6-$E$3,22))),0))-IF($G$2,0,IF((I$6-$G$3)&lt;1,0,IFERROR(LOOKUP(2,1/(Algodão!$E51:INDEX(Algodão!$E51:$Z51,MIN(I$6-$G$3,22))&lt;&gt;""),Algodão!$E51:INDEX(Algodão!$E51:$Z51,MIN(I$6-$G$3,22))),0)))))</f>
        <v>0</v>
      </c>
      <c r="J53" s="27" t="n">
        <f aca="false">IF(COUNT(Algodão!$E51:$Z51)=0,0,MAX(0,IF((J$6-$E$3)&lt;1,0,IFERROR(LOOKUP(2,1/(Algodão!$E51:INDEX(Algodão!$E51:$Z51,MIN(J$6-$E$3,22))&lt;&gt;""),Algodão!$E51:INDEX(Algodão!$E51:$Z51,MIN(J$6-$E$3,22))),0))-IF($G$2,0,IF((J$6-$G$3)&lt;1,0,IFERROR(LOOKUP(2,1/(Algodão!$E51:INDEX(Algodão!$E51:$Z51,MIN(J$6-$G$3,22))&lt;&gt;""),Algodão!$E51:INDEX(Algodão!$E51:$Z51,MIN(J$6-$G$3,22))),0)))))</f>
        <v>0</v>
      </c>
      <c r="K53" s="27" t="n">
        <f aca="false">IF(COUNT(Algodão!$E51:$Z51)=0,0,MAX(0,IF((K$6-$E$3)&lt;1,0,IFERROR(LOOKUP(2,1/(Algodão!$E51:INDEX(Algodão!$E51:$Z51,MIN(K$6-$E$3,22))&lt;&gt;""),Algodão!$E51:INDEX(Algodão!$E51:$Z51,MIN(K$6-$E$3,22))),0))-IF($G$2,0,IF((K$6-$G$3)&lt;1,0,IFERROR(LOOKUP(2,1/(Algodão!$E51:INDEX(Algodão!$E51:$Z51,MIN(K$6-$G$3,22))&lt;&gt;""),Algodão!$E51:INDEX(Algodão!$E51:$Z51,MIN(K$6-$G$3,22))),0)))))</f>
        <v>0</v>
      </c>
      <c r="L53" s="27" t="n">
        <f aca="false">IF(COUNT(Algodão!$E51:$Z51)=0,0,MAX(0,IF((L$6-$E$3)&lt;1,0,IFERROR(LOOKUP(2,1/(Algodão!$E51:INDEX(Algodão!$E51:$Z51,MIN(L$6-$E$3,22))&lt;&gt;""),Algodão!$E51:INDEX(Algodão!$E51:$Z51,MIN(L$6-$E$3,22))),0))-IF($G$2,0,IF((L$6-$G$3)&lt;1,0,IFERROR(LOOKUP(2,1/(Algodão!$E51:INDEX(Algodão!$E51:$Z51,MIN(L$6-$G$3,22))&lt;&gt;""),Algodão!$E51:INDEX(Algodão!$E51:$Z51,MIN(L$6-$G$3,22))),0)))))</f>
        <v>0</v>
      </c>
      <c r="M53" s="27" t="n">
        <f aca="false">IF(COUNT(Algodão!$E51:$Z51)=0,0,MAX(0,IF((M$6-$E$3)&lt;1,0,IFERROR(LOOKUP(2,1/(Algodão!$E51:INDEX(Algodão!$E51:$Z51,MIN(M$6-$E$3,22))&lt;&gt;""),Algodão!$E51:INDEX(Algodão!$E51:$Z51,MIN(M$6-$E$3,22))),0))-IF($G$2,0,IF((M$6-$G$3)&lt;1,0,IFERROR(LOOKUP(2,1/(Algodão!$E51:INDEX(Algodão!$E51:$Z51,MIN(M$6-$G$3,22))&lt;&gt;""),Algodão!$E51:INDEX(Algodão!$E51:$Z51,MIN(M$6-$G$3,22))),0)))))</f>
        <v>0</v>
      </c>
      <c r="N53" s="27" t="n">
        <f aca="false">IF(COUNT(Algodão!$E51:$Z51)=0,0,MAX(0,IF((N$6-$E$3)&lt;1,0,IFERROR(LOOKUP(2,1/(Algodão!$E51:INDEX(Algodão!$E51:$Z51,MIN(N$6-$E$3,22))&lt;&gt;""),Algodão!$E51:INDEX(Algodão!$E51:$Z51,MIN(N$6-$E$3,22))),0))-IF($G$2,0,IF((N$6-$G$3)&lt;1,0,IFERROR(LOOKUP(2,1/(Algodão!$E51:INDEX(Algodão!$E51:$Z51,MIN(N$6-$G$3,22))&lt;&gt;""),Algodão!$E51:INDEX(Algodão!$E51:$Z51,MIN(N$6-$G$3,22))),0)))))</f>
        <v>0</v>
      </c>
      <c r="O53" s="27" t="n">
        <f aca="false">IF(COUNT(Algodão!$E51:$Z51)=0,0,MAX(0,IF((O$6-$E$3)&lt;1,0,IFERROR(LOOKUP(2,1/(Algodão!$E51:INDEX(Algodão!$E51:$Z51,MIN(O$6-$E$3,22))&lt;&gt;""),Algodão!$E51:INDEX(Algodão!$E51:$Z51,MIN(O$6-$E$3,22))),0))-IF($G$2,0,IF((O$6-$G$3)&lt;1,0,IFERROR(LOOKUP(2,1/(Algodão!$E51:INDEX(Algodão!$E51:$Z51,MIN(O$6-$G$3,22))&lt;&gt;""),Algodão!$E51:INDEX(Algodão!$E51:$Z51,MIN(O$6-$G$3,22))),0)))))</f>
        <v>0</v>
      </c>
      <c r="P53" s="27" t="n">
        <f aca="false">IF(COUNT(Algodão!$E51:$Z51)=0,0,MAX(0,IF((P$6-$E$3)&lt;1,0,IFERROR(LOOKUP(2,1/(Algodão!$E51:INDEX(Algodão!$E51:$Z51,MIN(P$6-$E$3,22))&lt;&gt;""),Algodão!$E51:INDEX(Algodão!$E51:$Z51,MIN(P$6-$E$3,22))),0))-IF($G$2,0,IF((P$6-$G$3)&lt;1,0,IFERROR(LOOKUP(2,1/(Algodão!$E51:INDEX(Algodão!$E51:$Z51,MIN(P$6-$G$3,22))&lt;&gt;""),Algodão!$E51:INDEX(Algodão!$E51:$Z51,MIN(P$6-$G$3,22))),0)))))</f>
        <v>0</v>
      </c>
      <c r="Q53" s="27" t="n">
        <f aca="false">IF(COUNT(Algodão!$E51:$Z51)=0,0,MAX(0,IF((Q$6-$E$3)&lt;1,0,IFERROR(LOOKUP(2,1/(Algodão!$E51:INDEX(Algodão!$E51:$Z51,MIN(Q$6-$E$3,22))&lt;&gt;""),Algodão!$E51:INDEX(Algodão!$E51:$Z51,MIN(Q$6-$E$3,22))),0))-IF($G$2,0,IF((Q$6-$G$3)&lt;1,0,IFERROR(LOOKUP(2,1/(Algodão!$E51:INDEX(Algodão!$E51:$Z51,MIN(Q$6-$G$3,22))&lt;&gt;""),Algodão!$E51:INDEX(Algodão!$E51:$Z51,MIN(Q$6-$G$3,22))),0)))))</f>
        <v>0</v>
      </c>
      <c r="R53" s="27" t="n">
        <f aca="false">IF(COUNT(Algodão!$E51:$Z51)=0,0,MAX(0,IF((R$6-$E$3)&lt;1,0,IFERROR(LOOKUP(2,1/(Algodão!$E51:INDEX(Algodão!$E51:$Z51,MIN(R$6-$E$3,22))&lt;&gt;""),Algodão!$E51:INDEX(Algodão!$E51:$Z51,MIN(R$6-$E$3,22))),0))-IF($G$2,0,IF((R$6-$G$3)&lt;1,0,IFERROR(LOOKUP(2,1/(Algodão!$E51:INDEX(Algodão!$E51:$Z51,MIN(R$6-$G$3,22))&lt;&gt;""),Algodão!$E51:INDEX(Algodão!$E51:$Z51,MIN(R$6-$G$3,22))),0)))))</f>
        <v>0</v>
      </c>
      <c r="S53" s="27" t="n">
        <f aca="false">IF(COUNT(Algodão!$E51:$Z51)=0,0,MAX(0,IF((S$6-$E$3)&lt;1,0,IFERROR(LOOKUP(2,1/(Algodão!$E51:INDEX(Algodão!$E51:$Z51,MIN(S$6-$E$3,22))&lt;&gt;""),Algodão!$E51:INDEX(Algodão!$E51:$Z51,MIN(S$6-$E$3,22))),0))-IF($G$2,0,IF((S$6-$G$3)&lt;1,0,IFERROR(LOOKUP(2,1/(Algodão!$E51:INDEX(Algodão!$E51:$Z51,MIN(S$6-$G$3,22))&lt;&gt;""),Algodão!$E51:INDEX(Algodão!$E51:$Z51,MIN(S$6-$G$3,22))),0)))))</f>
        <v>0</v>
      </c>
      <c r="T53" s="27" t="n">
        <f aca="false">IF(COUNT(Algodão!$E51:$Z51)=0,0,MAX(0,IF((T$6-$E$3)&lt;1,0,IFERROR(LOOKUP(2,1/(Algodão!$E51:INDEX(Algodão!$E51:$Z51,MIN(T$6-$E$3,22))&lt;&gt;""),Algodão!$E51:INDEX(Algodão!$E51:$Z51,MIN(T$6-$E$3,22))),0))-IF($G$2,0,IF((T$6-$G$3)&lt;1,0,IFERROR(LOOKUP(2,1/(Algodão!$E51:INDEX(Algodão!$E51:$Z51,MIN(T$6-$G$3,22))&lt;&gt;""),Algodão!$E51:INDEX(Algodão!$E51:$Z51,MIN(T$6-$G$3,22))),0)))))</f>
        <v>0</v>
      </c>
      <c r="U53" s="27" t="n">
        <f aca="false">IF(COUNT(Algodão!$E51:$Z51)=0,0,MAX(0,IF((U$6-$E$3)&lt;1,0,IFERROR(LOOKUP(2,1/(Algodão!$E51:INDEX(Algodão!$E51:$Z51,MIN(U$6-$E$3,22))&lt;&gt;""),Algodão!$E51:INDEX(Algodão!$E51:$Z51,MIN(U$6-$E$3,22))),0))-IF($G$2,0,IF((U$6-$G$3)&lt;1,0,IFERROR(LOOKUP(2,1/(Algodão!$E51:INDEX(Algodão!$E51:$Z51,MIN(U$6-$G$3,22))&lt;&gt;""),Algodão!$E51:INDEX(Algodão!$E51:$Z51,MIN(U$6-$G$3,22))),0)))))</f>
        <v>0</v>
      </c>
      <c r="V53" s="27" t="n">
        <f aca="false">IF(COUNT(Algodão!$E51:$Z51)=0,0,MAX(0,IF((V$6-$E$3)&lt;1,0,IFERROR(LOOKUP(2,1/(Algodão!$E51:INDEX(Algodão!$E51:$Z51,MIN(V$6-$E$3,22))&lt;&gt;""),Algodão!$E51:INDEX(Algodão!$E51:$Z51,MIN(V$6-$E$3,22))),0))-IF($G$2,0,IF((V$6-$G$3)&lt;1,0,IFERROR(LOOKUP(2,1/(Algodão!$E51:INDEX(Algodão!$E51:$Z51,MIN(V$6-$G$3,22))&lt;&gt;""),Algodão!$E51:INDEX(Algodão!$E51:$Z51,MIN(V$6-$G$3,22))),0)))))</f>
        <v>0</v>
      </c>
      <c r="W53" s="27" t="n">
        <f aca="false">IF(COUNT(Algodão!$E51:$Z51)=0,0,MAX(0,IF((W$6-$E$3)&lt;1,0,IFERROR(LOOKUP(2,1/(Algodão!$E51:INDEX(Algodão!$E51:$Z51,MIN(W$6-$E$3,22))&lt;&gt;""),Algodão!$E51:INDEX(Algodão!$E51:$Z51,MIN(W$6-$E$3,22))),0))-IF($G$2,0,IF((W$6-$G$3)&lt;1,0,IFERROR(LOOKUP(2,1/(Algodão!$E51:INDEX(Algodão!$E51:$Z51,MIN(W$6-$G$3,22))&lt;&gt;""),Algodão!$E51:INDEX(Algodão!$E51:$Z51,MIN(W$6-$G$3,22))),0)))))</f>
        <v>0</v>
      </c>
      <c r="X53" s="27" t="n">
        <f aca="false">IF(COUNT(Algodão!$E51:$Z51)=0,0,MAX(0,IF((X$6-$E$3)&lt;1,0,IFERROR(LOOKUP(2,1/(Algodão!$E51:INDEX(Algodão!$E51:$Z51,MIN(X$6-$E$3,22))&lt;&gt;""),Algodão!$E51:INDEX(Algodão!$E51:$Z51,MIN(X$6-$E$3,22))),0))-IF($G$2,0,IF((X$6-$G$3)&lt;1,0,IFERROR(LOOKUP(2,1/(Algodão!$E51:INDEX(Algodão!$E51:$Z51,MIN(X$6-$G$3,22))&lt;&gt;""),Algodão!$E51:INDEX(Algodão!$E51:$Z51,MIN(X$6-$G$3,22))),0)))))</f>
        <v>0</v>
      </c>
      <c r="Y53" s="27" t="n">
        <f aca="false">IF(COUNT(Algodão!$E51:$Z51)=0,0,MAX(0,IF((Y$6-$E$3)&lt;1,0,IFERROR(LOOKUP(2,1/(Algodão!$E51:INDEX(Algodão!$E51:$Z51,MIN(Y$6-$E$3,22))&lt;&gt;""),Algodão!$E51:INDEX(Algodão!$E51:$Z51,MIN(Y$6-$E$3,22))),0))-IF($G$2,0,IF((Y$6-$G$3)&lt;1,0,IFERROR(LOOKUP(2,1/(Algodão!$E51:INDEX(Algodão!$E51:$Z51,MIN(Y$6-$G$3,22))&lt;&gt;""),Algodão!$E51:INDEX(Algodão!$E51:$Z51,MIN(Y$6-$G$3,22))),0)))))</f>
        <v>0</v>
      </c>
      <c r="Z53" s="27" t="n">
        <f aca="false">IF(COUNT(Algodão!$E51:$Z51)=0,0,MAX(0,IF((Z$6-$E$3)&lt;1,0,IFERROR(LOOKUP(2,1/(Algodão!$E51:INDEX(Algodão!$E51:$Z51,MIN(Z$6-$E$3,22))&lt;&gt;""),Algodão!$E51:INDEX(Algodão!$E51:$Z51,MIN(Z$6-$E$3,22))),0))-IF($G$2,0,IF((Z$6-$G$3)&lt;1,0,IFERROR(LOOKUP(2,1/(Algodão!$E51:INDEX(Algodão!$E51:$Z51,MIN(Z$6-$G$3,22))&lt;&gt;""),Algodão!$E51:INDEX(Algodão!$E51:$Z51,MIN(Z$6-$G$3,22))),0)))))</f>
        <v>0</v>
      </c>
      <c r="AA53" s="27" t="n">
        <f aca="false">IF(COUNT(Algodão!$E51:$Z51)=0,0,MAX(0,IF((AA$6-$E$3)&lt;1,0,IFERROR(LOOKUP(2,1/(Algodão!$E51:INDEX(Algodão!$E51:$Z51,MIN(AA$6-$E$3,22))&lt;&gt;""),Algodão!$E51:INDEX(Algodão!$E51:$Z51,MIN(AA$6-$E$3,22))),0))-IF($G$2,0,IF((AA$6-$G$3)&lt;1,0,IFERROR(LOOKUP(2,1/(Algodão!$E51:INDEX(Algodão!$E51:$Z51,MIN(AA$6-$G$3,22))&lt;&gt;""),Algodão!$E51:INDEX(Algodão!$E51:$Z51,MIN(AA$6-$G$3,22))),0)))))</f>
        <v>0</v>
      </c>
      <c r="AB53" s="27" t="n">
        <f aca="false">IF(COUNT(Algodão!$E51:$Z51)=0,0,MAX(0,IF((AB$6-$E$3)&lt;1,0,IFERROR(LOOKUP(2,1/(Algodão!$E51:INDEX(Algodão!$E51:$Z51,MIN(AB$6-$E$3,22))&lt;&gt;""),Algodão!$E51:INDEX(Algodão!$E51:$Z51,MIN(AB$6-$E$3,22))),0))-IF($G$2,0,IF((AB$6-$G$3)&lt;1,0,IFERROR(LOOKUP(2,1/(Algodão!$E51:INDEX(Algodão!$E51:$Z51,MIN(AB$6-$G$3,22))&lt;&gt;""),Algodão!$E51:INDEX(Algodão!$E51:$Z51,MIN(AB$6-$G$3,22))),0)))))</f>
        <v>0</v>
      </c>
      <c r="AC53" s="27" t="n">
        <f aca="false">IF(COUNT(Algodão!$E51:$Z51)=0,0,MAX(0,IF((AC$6-$E$3)&lt;1,0,IFERROR(LOOKUP(2,1/(Algodão!$E51:INDEX(Algodão!$E51:$Z51,MIN(AC$6-$E$3,22))&lt;&gt;""),Algodão!$E51:INDEX(Algodão!$E51:$Z51,MIN(AC$6-$E$3,22))),0))-IF($G$2,0,IF((AC$6-$G$3)&lt;1,0,IFERROR(LOOKUP(2,1/(Algodão!$E51:INDEX(Algodão!$E51:$Z51,MIN(AC$6-$G$3,22))&lt;&gt;""),Algodão!$E51:INDEX(Algodão!$E51:$Z51,MIN(AC$6-$G$3,22))),0)))))</f>
        <v>0</v>
      </c>
      <c r="AD53" s="27" t="n">
        <f aca="false">IF(COUNT(Algodão!$E51:$Z51)=0,0,MAX(0,IF((AD$6-$E$3)&lt;1,0,IFERROR(LOOKUP(2,1/(Algodão!$E51:INDEX(Algodão!$E51:$Z51,MIN(AD$6-$E$3,22))&lt;&gt;""),Algodão!$E51:INDEX(Algodão!$E51:$Z51,MIN(AD$6-$E$3,22))),0))-IF($G$2,0,IF((AD$6-$G$3)&lt;1,0,IFERROR(LOOKUP(2,1/(Algodão!$E51:INDEX(Algodão!$E51:$Z51,MIN(AD$6-$G$3,22))&lt;&gt;""),Algodão!$E51:INDEX(Algodão!$E51:$Z51,MIN(AD$6-$G$3,22))),0)))))</f>
        <v>0</v>
      </c>
      <c r="AE53" s="27" t="n">
        <f aca="false">IF(COUNT(Algodão!$E51:$Z51)=0,0,MAX(0,IF((AE$6-$E$3)&lt;1,0,IFERROR(LOOKUP(2,1/(Algodão!$E51:INDEX(Algodão!$E51:$Z51,MIN(AE$6-$E$3,22))&lt;&gt;""),Algodão!$E51:INDEX(Algodão!$E51:$Z51,MIN(AE$6-$E$3,22))),0))-IF($G$2,0,IF((AE$6-$G$3)&lt;1,0,IFERROR(LOOKUP(2,1/(Algodão!$E51:INDEX(Algodão!$E51:$Z51,MIN(AE$6-$G$3,22))&lt;&gt;""),Algodão!$E51:INDEX(Algodão!$E51:$Z51,MIN(AE$6-$G$3,22))),0)))))</f>
        <v>0</v>
      </c>
      <c r="AF53" s="27" t="n">
        <f aca="false">IF(COUNT(Algodão!$E51:$Z51)=0,0,MAX(0,IF((AF$6-$E$3)&lt;1,0,IFERROR(LOOKUP(2,1/(Algodão!$E51:INDEX(Algodão!$E51:$Z51,MIN(AF$6-$E$3,22))&lt;&gt;""),Algodão!$E51:INDEX(Algodão!$E51:$Z51,MIN(AF$6-$E$3,22))),0))-IF($G$2,0,IF((AF$6-$G$3)&lt;1,0,IFERROR(LOOKUP(2,1/(Algodão!$E51:INDEX(Algodão!$E51:$Z51,MIN(AF$6-$G$3,22))&lt;&gt;""),Algodão!$E51:INDEX(Algodão!$E51:$Z51,MIN(AF$6-$G$3,22))),0)))))</f>
        <v>0</v>
      </c>
      <c r="AG53" s="27" t="n">
        <f aca="false">IF(COUNT(Algodão!$E51:$Z51)=0,0,MAX(0,IF((AG$6-$E$3)&lt;1,0,IFERROR(LOOKUP(2,1/(Algodão!$E51:INDEX(Algodão!$E51:$Z51,MIN(AG$6-$E$3,22))&lt;&gt;""),Algodão!$E51:INDEX(Algodão!$E51:$Z51,MIN(AG$6-$E$3,22))),0))-IF($G$2,0,IF((AG$6-$G$3)&lt;1,0,IFERROR(LOOKUP(2,1/(Algodão!$E51:INDEX(Algodão!$E51:$Z51,MIN(AG$6-$G$3,22))&lt;&gt;""),Algodão!$E51:INDEX(Algodão!$E51:$Z51,MIN(AG$6-$G$3,22))),0)))))</f>
        <v>0</v>
      </c>
      <c r="AH53" s="27" t="n">
        <f aca="false">IF(COUNT(Algodão!$E51:$Z51)=0,0,MAX(0,IF((AH$6-$E$3)&lt;1,0,IFERROR(LOOKUP(2,1/(Algodão!$E51:INDEX(Algodão!$E51:$Z51,MIN(AH$6-$E$3,22))&lt;&gt;""),Algodão!$E51:INDEX(Algodão!$E51:$Z51,MIN(AH$6-$E$3,22))),0))-IF($G$2,0,IF((AH$6-$G$3)&lt;1,0,IFERROR(LOOKUP(2,1/(Algodão!$E51:INDEX(Algodão!$E51:$Z51,MIN(AH$6-$G$3,22))&lt;&gt;""),Algodão!$E51:INDEX(Algodão!$E51:$Z51,MIN(AH$6-$G$3,22))),0)))))</f>
        <v>0</v>
      </c>
      <c r="AI53" s="27" t="n">
        <f aca="false">IF(COUNT(Algodão!$E51:$Z51)=0,0,MAX(0,IF((AI$6-$E$3)&lt;1,0,IFERROR(LOOKUP(2,1/(Algodão!$E51:INDEX(Algodão!$E51:$Z51,MIN(AI$6-$E$3,22))&lt;&gt;""),Algodão!$E51:INDEX(Algodão!$E51:$Z51,MIN(AI$6-$E$3,22))),0))-IF($G$2,0,IF((AI$6-$G$3)&lt;1,0,IFERROR(LOOKUP(2,1/(Algodão!$E51:INDEX(Algodão!$E51:$Z51,MIN(AI$6-$G$3,22))&lt;&gt;""),Algodão!$E51:INDEX(Algodão!$E51:$Z51,MIN(AI$6-$G$3,22))),0)))))</f>
        <v>0</v>
      </c>
      <c r="AJ53" s="27" t="n">
        <f aca="false">IF(COUNT(Algodão!$E51:$Z51)=0,0,MAX(0,IF((AJ$6-$E$3)&lt;1,0,IFERROR(LOOKUP(2,1/(Algodão!$E51:INDEX(Algodão!$E51:$Z51,MIN(AJ$6-$E$3,22))&lt;&gt;""),Algodão!$E51:INDEX(Algodão!$E51:$Z51,MIN(AJ$6-$E$3,22))),0))-IF($G$2,0,IF((AJ$6-$G$3)&lt;1,0,IFERROR(LOOKUP(2,1/(Algodão!$E51:INDEX(Algodão!$E51:$Z51,MIN(AJ$6-$G$3,22))&lt;&gt;""),Algodão!$E51:INDEX(Algodão!$E51:$Z51,MIN(AJ$6-$G$3,22))),0)))))</f>
        <v>0</v>
      </c>
      <c r="AK53" s="27" t="n">
        <f aca="false">IF(COUNT(Algodão!$E51:$Z51)=0,0,MAX(0,IF((AK$6-$E$3)&lt;1,0,IFERROR(LOOKUP(2,1/(Algodão!$E51:INDEX(Algodão!$E51:$Z51,MIN(AK$6-$E$3,22))&lt;&gt;""),Algodão!$E51:INDEX(Algodão!$E51:$Z51,MIN(AK$6-$E$3,22))),0))-IF($G$2,0,IF((AK$6-$G$3)&lt;1,0,IFERROR(LOOKUP(2,1/(Algodão!$E51:INDEX(Algodão!$E51:$Z51,MIN(AK$6-$G$3,22))&lt;&gt;""),Algodão!$E51:INDEX(Algodão!$E51:$Z51,MIN(AK$6-$G$3,22))),0)))))</f>
        <v>0</v>
      </c>
      <c r="AL53" s="27" t="n">
        <f aca="false">IF(COUNT(Algodão!$E51:$Z51)=0,0,MAX(0,IF((AL$6-$E$3)&lt;1,0,IFERROR(LOOKUP(2,1/(Algodão!$E51:INDEX(Algodão!$E51:$Z51,MIN(AL$6-$E$3,22))&lt;&gt;""),Algodão!$E51:INDEX(Algodão!$E51:$Z51,MIN(AL$6-$E$3,22))),0))-IF($G$2,0,IF((AL$6-$G$3)&lt;1,0,IFERROR(LOOKUP(2,1/(Algodão!$E51:INDEX(Algodão!$E51:$Z51,MIN(AL$6-$G$3,22))&lt;&gt;""),Algodão!$E51:INDEX(Algodão!$E51:$Z51,MIN(AL$6-$G$3,22))),0)))))</f>
        <v>0</v>
      </c>
      <c r="AM53" s="27" t="n">
        <f aca="false">IF(COUNT(Algodão!$E51:$Z51)=0,0,MAX(0,IF((AM$6-$E$3)&lt;1,0,IFERROR(LOOKUP(2,1/(Algodão!$E51:INDEX(Algodão!$E51:$Z51,MIN(AM$6-$E$3,22))&lt;&gt;""),Algodão!$E51:INDEX(Algodão!$E51:$Z51,MIN(AM$6-$E$3,22))),0))-IF($G$2,0,IF((AM$6-$G$3)&lt;1,0,IFERROR(LOOKUP(2,1/(Algodão!$E51:INDEX(Algodão!$E51:$Z51,MIN(AM$6-$G$3,22))&lt;&gt;""),Algodão!$E51:INDEX(Algodão!$E51:$Z51,MIN(AM$6-$G$3,22))),0)))))</f>
        <v>0</v>
      </c>
      <c r="AN53" s="27" t="n">
        <f aca="false">IF(COUNT(Algodão!$E51:$Z51)=0,0,MAX(0,IF((AN$6-$E$3)&lt;1,0,IFERROR(LOOKUP(2,1/(Algodão!$E51:INDEX(Algodão!$E51:$Z51,MIN(AN$6-$E$3,22))&lt;&gt;""),Algodão!$E51:INDEX(Algodão!$E51:$Z51,MIN(AN$6-$E$3,22))),0))-IF($G$2,0,IF((AN$6-$G$3)&lt;1,0,IFERROR(LOOKUP(2,1/(Algodão!$E51:INDEX(Algodão!$E51:$Z51,MIN(AN$6-$G$3,22))&lt;&gt;""),Algodão!$E51:INDEX(Algodão!$E51:$Z51,MIN(AN$6-$G$3,22))),0)))))</f>
        <v>0</v>
      </c>
      <c r="AO53" s="27" t="n">
        <f aca="false">IF(COUNT(Algodão!$E51:$Z51)=0,0,MAX(0,IF((AO$6-$E$3)&lt;1,0,IFERROR(LOOKUP(2,1/(Algodão!$E51:INDEX(Algodão!$E51:$Z51,MIN(AO$6-$E$3,22))&lt;&gt;""),Algodão!$E51:INDEX(Algodão!$E51:$Z51,MIN(AO$6-$E$3,22))),0))-IF($G$2,0,IF((AO$6-$G$3)&lt;1,0,IFERROR(LOOKUP(2,1/(Algodão!$E51:INDEX(Algodão!$E51:$Z51,MIN(AO$6-$G$3,22))&lt;&gt;""),Algodão!$E51:INDEX(Algodão!$E51:$Z51,MIN(AO$6-$G$3,22))),0)))))</f>
        <v>0</v>
      </c>
      <c r="AP53" s="27" t="n">
        <f aca="false">IF(COUNT(Algodão!$E51:$Z51)=0,0,MAX(0,IF((AP$6-$E$3)&lt;1,0,IFERROR(LOOKUP(2,1/(Algodão!$E51:INDEX(Algodão!$E51:$Z51,MIN(AP$6-$E$3,22))&lt;&gt;""),Algodão!$E51:INDEX(Algodão!$E51:$Z51,MIN(AP$6-$E$3,22))),0))-IF($G$2,0,IF((AP$6-$G$3)&lt;1,0,IFERROR(LOOKUP(2,1/(Algodão!$E51:INDEX(Algodão!$E51:$Z51,MIN(AP$6-$G$3,22))&lt;&gt;""),Algodão!$E51:INDEX(Algodão!$E51:$Z51,MIN(AP$6-$G$3,22))),0)))))</f>
        <v>0</v>
      </c>
      <c r="AQ53" s="27" t="n">
        <f aca="false">IF(COUNT(Algodão!$E51:$Z51)=0,0,MAX(0,IF((AQ$6-$E$3)&lt;1,0,IFERROR(LOOKUP(2,1/(Algodão!$E51:INDEX(Algodão!$E51:$Z51,MIN(AQ$6-$E$3,22))&lt;&gt;""),Algodão!$E51:INDEX(Algodão!$E51:$Z51,MIN(AQ$6-$E$3,22))),0))-IF($G$2,0,IF((AQ$6-$G$3)&lt;1,0,IFERROR(LOOKUP(2,1/(Algodão!$E51:INDEX(Algodão!$E51:$Z51,MIN(AQ$6-$G$3,22))&lt;&gt;""),Algodão!$E51:INDEX(Algodão!$E51:$Z51,MIN(AQ$6-$G$3,22))),0)))))</f>
        <v>0</v>
      </c>
      <c r="AR53" s="27" t="n">
        <f aca="false">IF(COUNT(Algodão!$E51:$Z51)=0,0,MAX(0,IF((AR$6-$E$3)&lt;1,0,IFERROR(LOOKUP(2,1/(Algodão!$E51:INDEX(Algodão!$E51:$Z51,MIN(AR$6-$E$3,22))&lt;&gt;""),Algodão!$E51:INDEX(Algodão!$E51:$Z51,MIN(AR$6-$E$3,22))),0))-IF($G$2,0,IF((AR$6-$G$3)&lt;1,0,IFERROR(LOOKUP(2,1/(Algodão!$E51:INDEX(Algodão!$E51:$Z51,MIN(AR$6-$G$3,22))&lt;&gt;""),Algodão!$E51:INDEX(Algodão!$E51:$Z51,MIN(AR$6-$G$3,22))),0)))))</f>
        <v>0</v>
      </c>
      <c r="AS53" s="27" t="n">
        <f aca="false">IF(COUNT(Algodão!$E51:$Z51)=0,0,MAX(0,IF((AS$6-$E$3)&lt;1,0,IFERROR(LOOKUP(2,1/(Algodão!$E51:INDEX(Algodão!$E51:$Z51,MIN(AS$6-$E$3,22))&lt;&gt;""),Algodão!$E51:INDEX(Algodão!$E51:$Z51,MIN(AS$6-$E$3,22))),0))-IF($G$2,0,IF((AS$6-$G$3)&lt;1,0,IFERROR(LOOKUP(2,1/(Algodão!$E51:INDEX(Algodão!$E51:$Z51,MIN(AS$6-$G$3,22))&lt;&gt;""),Algodão!$E51:INDEX(Algodão!$E51:$Z51,MIN(AS$6-$G$3,22))),0)))))</f>
        <v>0</v>
      </c>
      <c r="AT53" s="27" t="n">
        <f aca="false">IF(COUNT(Algodão!$E51:$Z51)=0,0,MAX(0,IF((AT$6-$E$3)&lt;1,0,IFERROR(LOOKUP(2,1/(Algodão!$E51:INDEX(Algodão!$E51:$Z51,MIN(AT$6-$E$3,22))&lt;&gt;""),Algodão!$E51:INDEX(Algodão!$E51:$Z51,MIN(AT$6-$E$3,22))),0))-IF($G$2,0,IF((AT$6-$G$3)&lt;1,0,IFERROR(LOOKUP(2,1/(Algodão!$E51:INDEX(Algodão!$E51:$Z51,MIN(AT$6-$G$3,22))&lt;&gt;""),Algodão!$E51:INDEX(Algodão!$E51:$Z51,MIN(AT$6-$G$3,22))),0)))))</f>
        <v>0</v>
      </c>
      <c r="AU53" s="27" t="n">
        <f aca="false">IF(COUNT(Algodão!$E51:$Z51)=0,0,MAX(0,IF((AU$6-$E$3)&lt;1,0,IFERROR(LOOKUP(2,1/(Algodão!$E51:INDEX(Algodão!$E51:$Z51,MIN(AU$6-$E$3,22))&lt;&gt;""),Algodão!$E51:INDEX(Algodão!$E51:$Z51,MIN(AU$6-$E$3,22))),0))-IF($G$2,0,IF((AU$6-$G$3)&lt;1,0,IFERROR(LOOKUP(2,1/(Algodão!$E51:INDEX(Algodão!$E51:$Z51,MIN(AU$6-$G$3,22))&lt;&gt;""),Algodão!$E51:INDEX(Algodão!$E51:$Z51,MIN(AU$6-$G$3,22))),0)))))</f>
        <v>0</v>
      </c>
      <c r="AV53" s="27" t="n">
        <f aca="false">IF(COUNT(Algodão!$E51:$Z51)=0,0,MAX(0,IF((AV$6-$E$3)&lt;1,0,IFERROR(LOOKUP(2,1/(Algodão!$E51:INDEX(Algodão!$E51:$Z51,MIN(AV$6-$E$3,22))&lt;&gt;""),Algodão!$E51:INDEX(Algodão!$E51:$Z51,MIN(AV$6-$E$3,22))),0))-IF($G$2,0,IF((AV$6-$G$3)&lt;1,0,IFERROR(LOOKUP(2,1/(Algodão!$E51:INDEX(Algodão!$E51:$Z51,MIN(AV$6-$G$3,22))&lt;&gt;""),Algodão!$E51:INDEX(Algodão!$E51:$Z51,MIN(AV$6-$G$3,22))),0)))))</f>
        <v>0</v>
      </c>
      <c r="AW53" s="27" t="n">
        <f aca="false">IF(COUNT(Algodão!$E51:$Z51)=0,0,MAX(0,IF((AW$6-$E$3)&lt;1,0,IFERROR(LOOKUP(2,1/(Algodão!$E51:INDEX(Algodão!$E51:$Z51,MIN(AW$6-$E$3,22))&lt;&gt;""),Algodão!$E51:INDEX(Algodão!$E51:$Z51,MIN(AW$6-$E$3,22))),0))-IF($G$2,0,IF((AW$6-$G$3)&lt;1,0,IFERROR(LOOKUP(2,1/(Algodão!$E51:INDEX(Algodão!$E51:$Z51,MIN(AW$6-$G$3,22))&lt;&gt;""),Algodão!$E51:INDEX(Algodão!$E51:$Z51,MIN(AW$6-$G$3,22))),0)))))</f>
        <v>0</v>
      </c>
      <c r="AX53" s="27" t="n">
        <f aca="false">IF(COUNT(Algodão!$E51:$Z51)=0,0,MAX(0,IF((AX$6-$E$3)&lt;1,0,IFERROR(LOOKUP(2,1/(Algodão!$E51:INDEX(Algodão!$E51:$Z51,MIN(AX$6-$E$3,22))&lt;&gt;""),Algodão!$E51:INDEX(Algodão!$E51:$Z51,MIN(AX$6-$E$3,22))),0))-IF($G$2,0,IF((AX$6-$G$3)&lt;1,0,IFERROR(LOOKUP(2,1/(Algodão!$E51:INDEX(Algodão!$E51:$Z51,MIN(AX$6-$G$3,22))&lt;&gt;""),Algodão!$E51:INDEX(Algodão!$E51:$Z51,MIN(AX$6-$G$3,22))),0)))))</f>
        <v>0</v>
      </c>
      <c r="AY53" s="27" t="n">
        <f aca="false">IF(COUNT(Algodão!$E51:$Z51)=0,0,MAX(0,IF((AY$6-$E$3)&lt;1,0,IFERROR(LOOKUP(2,1/(Algodão!$E51:INDEX(Algodão!$E51:$Z51,MIN(AY$6-$E$3,22))&lt;&gt;""),Algodão!$E51:INDEX(Algodão!$E51:$Z51,MIN(AY$6-$E$3,22))),0))-IF($G$2,0,IF((AY$6-$G$3)&lt;1,0,IFERROR(LOOKUP(2,1/(Algodão!$E51:INDEX(Algodão!$E51:$Z51,MIN(AY$6-$G$3,22))&lt;&gt;""),Algodão!$E51:INDEX(Algodão!$E51:$Z51,MIN(AY$6-$G$3,22))),0)))))</f>
        <v>0</v>
      </c>
      <c r="AZ53" s="27" t="n">
        <f aca="false">IF(COUNT(Algodão!$E51:$Z51)=0,0,MAX(0,IF((AZ$6-$E$3)&lt;1,0,IFERROR(LOOKUP(2,1/(Algodão!$E51:INDEX(Algodão!$E51:$Z51,MIN(AZ$6-$E$3,22))&lt;&gt;""),Algodão!$E51:INDEX(Algodão!$E51:$Z51,MIN(AZ$6-$E$3,22))),0))-IF($G$2,0,IF((AZ$6-$G$3)&lt;1,0,IFERROR(LOOKUP(2,1/(Algodão!$E51:INDEX(Algodão!$E51:$Z51,MIN(AZ$6-$G$3,22))&lt;&gt;""),Algodão!$E51:INDEX(Algodão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IF(COUNT(Algodão!$E52:$Z52)&gt;0,N(Algodão!$D52),0)</f>
        <v>0</v>
      </c>
      <c r="E54" s="27" t="n">
        <f aca="false">IF(COUNT(Algodão!$E52:$Z52)=0,0,MAX(0,IF((E$6-$E$3)&lt;1,0,IFERROR(LOOKUP(2,1/(Algodão!$E52:INDEX(Algodão!$E52:$Z52,MIN(E$6-$E$3,22))&lt;&gt;""),Algodão!$E52:INDEX(Algodão!$E52:$Z52,MIN(E$6-$E$3,22))),0))-IF($G$2,0,IF((E$6-$G$3)&lt;1,0,IFERROR(LOOKUP(2,1/(Algodão!$E52:INDEX(Algodão!$E52:$Z52,MIN(E$6-$G$3,22))&lt;&gt;""),Algodão!$E52:INDEX(Algodão!$E52:$Z52,MIN(E$6-$G$3,22))),0)))))</f>
        <v>0</v>
      </c>
      <c r="F54" s="27" t="n">
        <f aca="false">IF(COUNT(Algodão!$E52:$Z52)=0,0,MAX(0,IF((F$6-$E$3)&lt;1,0,IFERROR(LOOKUP(2,1/(Algodão!$E52:INDEX(Algodão!$E52:$Z52,MIN(F$6-$E$3,22))&lt;&gt;""),Algodão!$E52:INDEX(Algodão!$E52:$Z52,MIN(F$6-$E$3,22))),0))-IF($G$2,0,IF((F$6-$G$3)&lt;1,0,IFERROR(LOOKUP(2,1/(Algodão!$E52:INDEX(Algodão!$E52:$Z52,MIN(F$6-$G$3,22))&lt;&gt;""),Algodão!$E52:INDEX(Algodão!$E52:$Z52,MIN(F$6-$G$3,22))),0)))))</f>
        <v>0</v>
      </c>
      <c r="G54" s="27" t="n">
        <f aca="false">IF(COUNT(Algodão!$E52:$Z52)=0,0,MAX(0,IF((G$6-$E$3)&lt;1,0,IFERROR(LOOKUP(2,1/(Algodão!$E52:INDEX(Algodão!$E52:$Z52,MIN(G$6-$E$3,22))&lt;&gt;""),Algodão!$E52:INDEX(Algodão!$E52:$Z52,MIN(G$6-$E$3,22))),0))-IF($G$2,0,IF((G$6-$G$3)&lt;1,0,IFERROR(LOOKUP(2,1/(Algodão!$E52:INDEX(Algodão!$E52:$Z52,MIN(G$6-$G$3,22))&lt;&gt;""),Algodão!$E52:INDEX(Algodão!$E52:$Z52,MIN(G$6-$G$3,22))),0)))))</f>
        <v>0</v>
      </c>
      <c r="H54" s="27" t="n">
        <f aca="false">IF(COUNT(Algodão!$E52:$Z52)=0,0,MAX(0,IF((H$6-$E$3)&lt;1,0,IFERROR(LOOKUP(2,1/(Algodão!$E52:INDEX(Algodão!$E52:$Z52,MIN(H$6-$E$3,22))&lt;&gt;""),Algodão!$E52:INDEX(Algodão!$E52:$Z52,MIN(H$6-$E$3,22))),0))-IF($G$2,0,IF((H$6-$G$3)&lt;1,0,IFERROR(LOOKUP(2,1/(Algodão!$E52:INDEX(Algodão!$E52:$Z52,MIN(H$6-$G$3,22))&lt;&gt;""),Algodão!$E52:INDEX(Algodão!$E52:$Z52,MIN(H$6-$G$3,22))),0)))))</f>
        <v>0</v>
      </c>
      <c r="I54" s="27" t="n">
        <f aca="false">IF(COUNT(Algodão!$E52:$Z52)=0,0,MAX(0,IF((I$6-$E$3)&lt;1,0,IFERROR(LOOKUP(2,1/(Algodão!$E52:INDEX(Algodão!$E52:$Z52,MIN(I$6-$E$3,22))&lt;&gt;""),Algodão!$E52:INDEX(Algodão!$E52:$Z52,MIN(I$6-$E$3,22))),0))-IF($G$2,0,IF((I$6-$G$3)&lt;1,0,IFERROR(LOOKUP(2,1/(Algodão!$E52:INDEX(Algodão!$E52:$Z52,MIN(I$6-$G$3,22))&lt;&gt;""),Algodão!$E52:INDEX(Algodão!$E52:$Z52,MIN(I$6-$G$3,22))),0)))))</f>
        <v>0</v>
      </c>
      <c r="J54" s="27" t="n">
        <f aca="false">IF(COUNT(Algodão!$E52:$Z52)=0,0,MAX(0,IF((J$6-$E$3)&lt;1,0,IFERROR(LOOKUP(2,1/(Algodão!$E52:INDEX(Algodão!$E52:$Z52,MIN(J$6-$E$3,22))&lt;&gt;""),Algodão!$E52:INDEX(Algodão!$E52:$Z52,MIN(J$6-$E$3,22))),0))-IF($G$2,0,IF((J$6-$G$3)&lt;1,0,IFERROR(LOOKUP(2,1/(Algodão!$E52:INDEX(Algodão!$E52:$Z52,MIN(J$6-$G$3,22))&lt;&gt;""),Algodão!$E52:INDEX(Algodão!$E52:$Z52,MIN(J$6-$G$3,22))),0)))))</f>
        <v>0</v>
      </c>
      <c r="K54" s="27" t="n">
        <f aca="false">IF(COUNT(Algodão!$E52:$Z52)=0,0,MAX(0,IF((K$6-$E$3)&lt;1,0,IFERROR(LOOKUP(2,1/(Algodão!$E52:INDEX(Algodão!$E52:$Z52,MIN(K$6-$E$3,22))&lt;&gt;""),Algodão!$E52:INDEX(Algodão!$E52:$Z52,MIN(K$6-$E$3,22))),0))-IF($G$2,0,IF((K$6-$G$3)&lt;1,0,IFERROR(LOOKUP(2,1/(Algodão!$E52:INDEX(Algodão!$E52:$Z52,MIN(K$6-$G$3,22))&lt;&gt;""),Algodão!$E52:INDEX(Algodão!$E52:$Z52,MIN(K$6-$G$3,22))),0)))))</f>
        <v>0</v>
      </c>
      <c r="L54" s="27" t="n">
        <f aca="false">IF(COUNT(Algodão!$E52:$Z52)=0,0,MAX(0,IF((L$6-$E$3)&lt;1,0,IFERROR(LOOKUP(2,1/(Algodão!$E52:INDEX(Algodão!$E52:$Z52,MIN(L$6-$E$3,22))&lt;&gt;""),Algodão!$E52:INDEX(Algodão!$E52:$Z52,MIN(L$6-$E$3,22))),0))-IF($G$2,0,IF((L$6-$G$3)&lt;1,0,IFERROR(LOOKUP(2,1/(Algodão!$E52:INDEX(Algodão!$E52:$Z52,MIN(L$6-$G$3,22))&lt;&gt;""),Algodão!$E52:INDEX(Algodão!$E52:$Z52,MIN(L$6-$G$3,22))),0)))))</f>
        <v>0</v>
      </c>
      <c r="M54" s="27" t="n">
        <f aca="false">IF(COUNT(Algodão!$E52:$Z52)=0,0,MAX(0,IF((M$6-$E$3)&lt;1,0,IFERROR(LOOKUP(2,1/(Algodão!$E52:INDEX(Algodão!$E52:$Z52,MIN(M$6-$E$3,22))&lt;&gt;""),Algodão!$E52:INDEX(Algodão!$E52:$Z52,MIN(M$6-$E$3,22))),0))-IF($G$2,0,IF((M$6-$G$3)&lt;1,0,IFERROR(LOOKUP(2,1/(Algodão!$E52:INDEX(Algodão!$E52:$Z52,MIN(M$6-$G$3,22))&lt;&gt;""),Algodão!$E52:INDEX(Algodão!$E52:$Z52,MIN(M$6-$G$3,22))),0)))))</f>
        <v>0</v>
      </c>
      <c r="N54" s="27" t="n">
        <f aca="false">IF(COUNT(Algodão!$E52:$Z52)=0,0,MAX(0,IF((N$6-$E$3)&lt;1,0,IFERROR(LOOKUP(2,1/(Algodão!$E52:INDEX(Algodão!$E52:$Z52,MIN(N$6-$E$3,22))&lt;&gt;""),Algodão!$E52:INDEX(Algodão!$E52:$Z52,MIN(N$6-$E$3,22))),0))-IF($G$2,0,IF((N$6-$G$3)&lt;1,0,IFERROR(LOOKUP(2,1/(Algodão!$E52:INDEX(Algodão!$E52:$Z52,MIN(N$6-$G$3,22))&lt;&gt;""),Algodão!$E52:INDEX(Algodão!$E52:$Z52,MIN(N$6-$G$3,22))),0)))))</f>
        <v>0</v>
      </c>
      <c r="O54" s="27" t="n">
        <f aca="false">IF(COUNT(Algodão!$E52:$Z52)=0,0,MAX(0,IF((O$6-$E$3)&lt;1,0,IFERROR(LOOKUP(2,1/(Algodão!$E52:INDEX(Algodão!$E52:$Z52,MIN(O$6-$E$3,22))&lt;&gt;""),Algodão!$E52:INDEX(Algodão!$E52:$Z52,MIN(O$6-$E$3,22))),0))-IF($G$2,0,IF((O$6-$G$3)&lt;1,0,IFERROR(LOOKUP(2,1/(Algodão!$E52:INDEX(Algodão!$E52:$Z52,MIN(O$6-$G$3,22))&lt;&gt;""),Algodão!$E52:INDEX(Algodão!$E52:$Z52,MIN(O$6-$G$3,22))),0)))))</f>
        <v>0</v>
      </c>
      <c r="P54" s="27" t="n">
        <f aca="false">IF(COUNT(Algodão!$E52:$Z52)=0,0,MAX(0,IF((P$6-$E$3)&lt;1,0,IFERROR(LOOKUP(2,1/(Algodão!$E52:INDEX(Algodão!$E52:$Z52,MIN(P$6-$E$3,22))&lt;&gt;""),Algodão!$E52:INDEX(Algodão!$E52:$Z52,MIN(P$6-$E$3,22))),0))-IF($G$2,0,IF((P$6-$G$3)&lt;1,0,IFERROR(LOOKUP(2,1/(Algodão!$E52:INDEX(Algodão!$E52:$Z52,MIN(P$6-$G$3,22))&lt;&gt;""),Algodão!$E52:INDEX(Algodão!$E52:$Z52,MIN(P$6-$G$3,22))),0)))))</f>
        <v>0</v>
      </c>
      <c r="Q54" s="27" t="n">
        <f aca="false">IF(COUNT(Algodão!$E52:$Z52)=0,0,MAX(0,IF((Q$6-$E$3)&lt;1,0,IFERROR(LOOKUP(2,1/(Algodão!$E52:INDEX(Algodão!$E52:$Z52,MIN(Q$6-$E$3,22))&lt;&gt;""),Algodão!$E52:INDEX(Algodão!$E52:$Z52,MIN(Q$6-$E$3,22))),0))-IF($G$2,0,IF((Q$6-$G$3)&lt;1,0,IFERROR(LOOKUP(2,1/(Algodão!$E52:INDEX(Algodão!$E52:$Z52,MIN(Q$6-$G$3,22))&lt;&gt;""),Algodão!$E52:INDEX(Algodão!$E52:$Z52,MIN(Q$6-$G$3,22))),0)))))</f>
        <v>0</v>
      </c>
      <c r="R54" s="27" t="n">
        <f aca="false">IF(COUNT(Algodão!$E52:$Z52)=0,0,MAX(0,IF((R$6-$E$3)&lt;1,0,IFERROR(LOOKUP(2,1/(Algodão!$E52:INDEX(Algodão!$E52:$Z52,MIN(R$6-$E$3,22))&lt;&gt;""),Algodão!$E52:INDEX(Algodão!$E52:$Z52,MIN(R$6-$E$3,22))),0))-IF($G$2,0,IF((R$6-$G$3)&lt;1,0,IFERROR(LOOKUP(2,1/(Algodão!$E52:INDEX(Algodão!$E52:$Z52,MIN(R$6-$G$3,22))&lt;&gt;""),Algodão!$E52:INDEX(Algodão!$E52:$Z52,MIN(R$6-$G$3,22))),0)))))</f>
        <v>0</v>
      </c>
      <c r="S54" s="27" t="n">
        <f aca="false">IF(COUNT(Algodão!$E52:$Z52)=0,0,MAX(0,IF((S$6-$E$3)&lt;1,0,IFERROR(LOOKUP(2,1/(Algodão!$E52:INDEX(Algodão!$E52:$Z52,MIN(S$6-$E$3,22))&lt;&gt;""),Algodão!$E52:INDEX(Algodão!$E52:$Z52,MIN(S$6-$E$3,22))),0))-IF($G$2,0,IF((S$6-$G$3)&lt;1,0,IFERROR(LOOKUP(2,1/(Algodão!$E52:INDEX(Algodão!$E52:$Z52,MIN(S$6-$G$3,22))&lt;&gt;""),Algodão!$E52:INDEX(Algodão!$E52:$Z52,MIN(S$6-$G$3,22))),0)))))</f>
        <v>0</v>
      </c>
      <c r="T54" s="27" t="n">
        <f aca="false">IF(COUNT(Algodão!$E52:$Z52)=0,0,MAX(0,IF((T$6-$E$3)&lt;1,0,IFERROR(LOOKUP(2,1/(Algodão!$E52:INDEX(Algodão!$E52:$Z52,MIN(T$6-$E$3,22))&lt;&gt;""),Algodão!$E52:INDEX(Algodão!$E52:$Z52,MIN(T$6-$E$3,22))),0))-IF($G$2,0,IF((T$6-$G$3)&lt;1,0,IFERROR(LOOKUP(2,1/(Algodão!$E52:INDEX(Algodão!$E52:$Z52,MIN(T$6-$G$3,22))&lt;&gt;""),Algodão!$E52:INDEX(Algodão!$E52:$Z52,MIN(T$6-$G$3,22))),0)))))</f>
        <v>0</v>
      </c>
      <c r="U54" s="27" t="n">
        <f aca="false">IF(COUNT(Algodão!$E52:$Z52)=0,0,MAX(0,IF((U$6-$E$3)&lt;1,0,IFERROR(LOOKUP(2,1/(Algodão!$E52:INDEX(Algodão!$E52:$Z52,MIN(U$6-$E$3,22))&lt;&gt;""),Algodão!$E52:INDEX(Algodão!$E52:$Z52,MIN(U$6-$E$3,22))),0))-IF($G$2,0,IF((U$6-$G$3)&lt;1,0,IFERROR(LOOKUP(2,1/(Algodão!$E52:INDEX(Algodão!$E52:$Z52,MIN(U$6-$G$3,22))&lt;&gt;""),Algodão!$E52:INDEX(Algodão!$E52:$Z52,MIN(U$6-$G$3,22))),0)))))</f>
        <v>0</v>
      </c>
      <c r="V54" s="27" t="n">
        <f aca="false">IF(COUNT(Algodão!$E52:$Z52)=0,0,MAX(0,IF((V$6-$E$3)&lt;1,0,IFERROR(LOOKUP(2,1/(Algodão!$E52:INDEX(Algodão!$E52:$Z52,MIN(V$6-$E$3,22))&lt;&gt;""),Algodão!$E52:INDEX(Algodão!$E52:$Z52,MIN(V$6-$E$3,22))),0))-IF($G$2,0,IF((V$6-$G$3)&lt;1,0,IFERROR(LOOKUP(2,1/(Algodão!$E52:INDEX(Algodão!$E52:$Z52,MIN(V$6-$G$3,22))&lt;&gt;""),Algodão!$E52:INDEX(Algodão!$E52:$Z52,MIN(V$6-$G$3,22))),0)))))</f>
        <v>0</v>
      </c>
      <c r="W54" s="27" t="n">
        <f aca="false">IF(COUNT(Algodão!$E52:$Z52)=0,0,MAX(0,IF((W$6-$E$3)&lt;1,0,IFERROR(LOOKUP(2,1/(Algodão!$E52:INDEX(Algodão!$E52:$Z52,MIN(W$6-$E$3,22))&lt;&gt;""),Algodão!$E52:INDEX(Algodão!$E52:$Z52,MIN(W$6-$E$3,22))),0))-IF($G$2,0,IF((W$6-$G$3)&lt;1,0,IFERROR(LOOKUP(2,1/(Algodão!$E52:INDEX(Algodão!$E52:$Z52,MIN(W$6-$G$3,22))&lt;&gt;""),Algodão!$E52:INDEX(Algodão!$E52:$Z52,MIN(W$6-$G$3,22))),0)))))</f>
        <v>0</v>
      </c>
      <c r="X54" s="27" t="n">
        <f aca="false">IF(COUNT(Algodão!$E52:$Z52)=0,0,MAX(0,IF((X$6-$E$3)&lt;1,0,IFERROR(LOOKUP(2,1/(Algodão!$E52:INDEX(Algodão!$E52:$Z52,MIN(X$6-$E$3,22))&lt;&gt;""),Algodão!$E52:INDEX(Algodão!$E52:$Z52,MIN(X$6-$E$3,22))),0))-IF($G$2,0,IF((X$6-$G$3)&lt;1,0,IFERROR(LOOKUP(2,1/(Algodão!$E52:INDEX(Algodão!$E52:$Z52,MIN(X$6-$G$3,22))&lt;&gt;""),Algodão!$E52:INDEX(Algodão!$E52:$Z52,MIN(X$6-$G$3,22))),0)))))</f>
        <v>0</v>
      </c>
      <c r="Y54" s="27" t="n">
        <f aca="false">IF(COUNT(Algodão!$E52:$Z52)=0,0,MAX(0,IF((Y$6-$E$3)&lt;1,0,IFERROR(LOOKUP(2,1/(Algodão!$E52:INDEX(Algodão!$E52:$Z52,MIN(Y$6-$E$3,22))&lt;&gt;""),Algodão!$E52:INDEX(Algodão!$E52:$Z52,MIN(Y$6-$E$3,22))),0))-IF($G$2,0,IF((Y$6-$G$3)&lt;1,0,IFERROR(LOOKUP(2,1/(Algodão!$E52:INDEX(Algodão!$E52:$Z52,MIN(Y$6-$G$3,22))&lt;&gt;""),Algodão!$E52:INDEX(Algodão!$E52:$Z52,MIN(Y$6-$G$3,22))),0)))))</f>
        <v>0</v>
      </c>
      <c r="Z54" s="27" t="n">
        <f aca="false">IF(COUNT(Algodão!$E52:$Z52)=0,0,MAX(0,IF((Z$6-$E$3)&lt;1,0,IFERROR(LOOKUP(2,1/(Algodão!$E52:INDEX(Algodão!$E52:$Z52,MIN(Z$6-$E$3,22))&lt;&gt;""),Algodão!$E52:INDEX(Algodão!$E52:$Z52,MIN(Z$6-$E$3,22))),0))-IF($G$2,0,IF((Z$6-$G$3)&lt;1,0,IFERROR(LOOKUP(2,1/(Algodão!$E52:INDEX(Algodão!$E52:$Z52,MIN(Z$6-$G$3,22))&lt;&gt;""),Algodão!$E52:INDEX(Algodão!$E52:$Z52,MIN(Z$6-$G$3,22))),0)))))</f>
        <v>0</v>
      </c>
      <c r="AA54" s="27" t="n">
        <f aca="false">IF(COUNT(Algodão!$E52:$Z52)=0,0,MAX(0,IF((AA$6-$E$3)&lt;1,0,IFERROR(LOOKUP(2,1/(Algodão!$E52:INDEX(Algodão!$E52:$Z52,MIN(AA$6-$E$3,22))&lt;&gt;""),Algodão!$E52:INDEX(Algodão!$E52:$Z52,MIN(AA$6-$E$3,22))),0))-IF($G$2,0,IF((AA$6-$G$3)&lt;1,0,IFERROR(LOOKUP(2,1/(Algodão!$E52:INDEX(Algodão!$E52:$Z52,MIN(AA$6-$G$3,22))&lt;&gt;""),Algodão!$E52:INDEX(Algodão!$E52:$Z52,MIN(AA$6-$G$3,22))),0)))))</f>
        <v>0</v>
      </c>
      <c r="AB54" s="27" t="n">
        <f aca="false">IF(COUNT(Algodão!$E52:$Z52)=0,0,MAX(0,IF((AB$6-$E$3)&lt;1,0,IFERROR(LOOKUP(2,1/(Algodão!$E52:INDEX(Algodão!$E52:$Z52,MIN(AB$6-$E$3,22))&lt;&gt;""),Algodão!$E52:INDEX(Algodão!$E52:$Z52,MIN(AB$6-$E$3,22))),0))-IF($G$2,0,IF((AB$6-$G$3)&lt;1,0,IFERROR(LOOKUP(2,1/(Algodão!$E52:INDEX(Algodão!$E52:$Z52,MIN(AB$6-$G$3,22))&lt;&gt;""),Algodão!$E52:INDEX(Algodão!$E52:$Z52,MIN(AB$6-$G$3,22))),0)))))</f>
        <v>0</v>
      </c>
      <c r="AC54" s="27" t="n">
        <f aca="false">IF(COUNT(Algodão!$E52:$Z52)=0,0,MAX(0,IF((AC$6-$E$3)&lt;1,0,IFERROR(LOOKUP(2,1/(Algodão!$E52:INDEX(Algodão!$E52:$Z52,MIN(AC$6-$E$3,22))&lt;&gt;""),Algodão!$E52:INDEX(Algodão!$E52:$Z52,MIN(AC$6-$E$3,22))),0))-IF($G$2,0,IF((AC$6-$G$3)&lt;1,0,IFERROR(LOOKUP(2,1/(Algodão!$E52:INDEX(Algodão!$E52:$Z52,MIN(AC$6-$G$3,22))&lt;&gt;""),Algodão!$E52:INDEX(Algodão!$E52:$Z52,MIN(AC$6-$G$3,22))),0)))))</f>
        <v>0</v>
      </c>
      <c r="AD54" s="27" t="n">
        <f aca="false">IF(COUNT(Algodão!$E52:$Z52)=0,0,MAX(0,IF((AD$6-$E$3)&lt;1,0,IFERROR(LOOKUP(2,1/(Algodão!$E52:INDEX(Algodão!$E52:$Z52,MIN(AD$6-$E$3,22))&lt;&gt;""),Algodão!$E52:INDEX(Algodão!$E52:$Z52,MIN(AD$6-$E$3,22))),0))-IF($G$2,0,IF((AD$6-$G$3)&lt;1,0,IFERROR(LOOKUP(2,1/(Algodão!$E52:INDEX(Algodão!$E52:$Z52,MIN(AD$6-$G$3,22))&lt;&gt;""),Algodão!$E52:INDEX(Algodão!$E52:$Z52,MIN(AD$6-$G$3,22))),0)))))</f>
        <v>0</v>
      </c>
      <c r="AE54" s="27" t="n">
        <f aca="false">IF(COUNT(Algodão!$E52:$Z52)=0,0,MAX(0,IF((AE$6-$E$3)&lt;1,0,IFERROR(LOOKUP(2,1/(Algodão!$E52:INDEX(Algodão!$E52:$Z52,MIN(AE$6-$E$3,22))&lt;&gt;""),Algodão!$E52:INDEX(Algodão!$E52:$Z52,MIN(AE$6-$E$3,22))),0))-IF($G$2,0,IF((AE$6-$G$3)&lt;1,0,IFERROR(LOOKUP(2,1/(Algodão!$E52:INDEX(Algodão!$E52:$Z52,MIN(AE$6-$G$3,22))&lt;&gt;""),Algodão!$E52:INDEX(Algodão!$E52:$Z52,MIN(AE$6-$G$3,22))),0)))))</f>
        <v>0</v>
      </c>
      <c r="AF54" s="27" t="n">
        <f aca="false">IF(COUNT(Algodão!$E52:$Z52)=0,0,MAX(0,IF((AF$6-$E$3)&lt;1,0,IFERROR(LOOKUP(2,1/(Algodão!$E52:INDEX(Algodão!$E52:$Z52,MIN(AF$6-$E$3,22))&lt;&gt;""),Algodão!$E52:INDEX(Algodão!$E52:$Z52,MIN(AF$6-$E$3,22))),0))-IF($G$2,0,IF((AF$6-$G$3)&lt;1,0,IFERROR(LOOKUP(2,1/(Algodão!$E52:INDEX(Algodão!$E52:$Z52,MIN(AF$6-$G$3,22))&lt;&gt;""),Algodão!$E52:INDEX(Algodão!$E52:$Z52,MIN(AF$6-$G$3,22))),0)))))</f>
        <v>0</v>
      </c>
      <c r="AG54" s="27" t="n">
        <f aca="false">IF(COUNT(Algodão!$E52:$Z52)=0,0,MAX(0,IF((AG$6-$E$3)&lt;1,0,IFERROR(LOOKUP(2,1/(Algodão!$E52:INDEX(Algodão!$E52:$Z52,MIN(AG$6-$E$3,22))&lt;&gt;""),Algodão!$E52:INDEX(Algodão!$E52:$Z52,MIN(AG$6-$E$3,22))),0))-IF($G$2,0,IF((AG$6-$G$3)&lt;1,0,IFERROR(LOOKUP(2,1/(Algodão!$E52:INDEX(Algodão!$E52:$Z52,MIN(AG$6-$G$3,22))&lt;&gt;""),Algodão!$E52:INDEX(Algodão!$E52:$Z52,MIN(AG$6-$G$3,22))),0)))))</f>
        <v>0</v>
      </c>
      <c r="AH54" s="27" t="n">
        <f aca="false">IF(COUNT(Algodão!$E52:$Z52)=0,0,MAX(0,IF((AH$6-$E$3)&lt;1,0,IFERROR(LOOKUP(2,1/(Algodão!$E52:INDEX(Algodão!$E52:$Z52,MIN(AH$6-$E$3,22))&lt;&gt;""),Algodão!$E52:INDEX(Algodão!$E52:$Z52,MIN(AH$6-$E$3,22))),0))-IF($G$2,0,IF((AH$6-$G$3)&lt;1,0,IFERROR(LOOKUP(2,1/(Algodão!$E52:INDEX(Algodão!$E52:$Z52,MIN(AH$6-$G$3,22))&lt;&gt;""),Algodão!$E52:INDEX(Algodão!$E52:$Z52,MIN(AH$6-$G$3,22))),0)))))</f>
        <v>0</v>
      </c>
      <c r="AI54" s="27" t="n">
        <f aca="false">IF(COUNT(Algodão!$E52:$Z52)=0,0,MAX(0,IF((AI$6-$E$3)&lt;1,0,IFERROR(LOOKUP(2,1/(Algodão!$E52:INDEX(Algodão!$E52:$Z52,MIN(AI$6-$E$3,22))&lt;&gt;""),Algodão!$E52:INDEX(Algodão!$E52:$Z52,MIN(AI$6-$E$3,22))),0))-IF($G$2,0,IF((AI$6-$G$3)&lt;1,0,IFERROR(LOOKUP(2,1/(Algodão!$E52:INDEX(Algodão!$E52:$Z52,MIN(AI$6-$G$3,22))&lt;&gt;""),Algodão!$E52:INDEX(Algodão!$E52:$Z52,MIN(AI$6-$G$3,22))),0)))))</f>
        <v>0</v>
      </c>
      <c r="AJ54" s="27" t="n">
        <f aca="false">IF(COUNT(Algodão!$E52:$Z52)=0,0,MAX(0,IF((AJ$6-$E$3)&lt;1,0,IFERROR(LOOKUP(2,1/(Algodão!$E52:INDEX(Algodão!$E52:$Z52,MIN(AJ$6-$E$3,22))&lt;&gt;""),Algodão!$E52:INDEX(Algodão!$E52:$Z52,MIN(AJ$6-$E$3,22))),0))-IF($G$2,0,IF((AJ$6-$G$3)&lt;1,0,IFERROR(LOOKUP(2,1/(Algodão!$E52:INDEX(Algodão!$E52:$Z52,MIN(AJ$6-$G$3,22))&lt;&gt;""),Algodão!$E52:INDEX(Algodão!$E52:$Z52,MIN(AJ$6-$G$3,22))),0)))))</f>
        <v>0</v>
      </c>
      <c r="AK54" s="27" t="n">
        <f aca="false">IF(COUNT(Algodão!$E52:$Z52)=0,0,MAX(0,IF((AK$6-$E$3)&lt;1,0,IFERROR(LOOKUP(2,1/(Algodão!$E52:INDEX(Algodão!$E52:$Z52,MIN(AK$6-$E$3,22))&lt;&gt;""),Algodão!$E52:INDEX(Algodão!$E52:$Z52,MIN(AK$6-$E$3,22))),0))-IF($G$2,0,IF((AK$6-$G$3)&lt;1,0,IFERROR(LOOKUP(2,1/(Algodão!$E52:INDEX(Algodão!$E52:$Z52,MIN(AK$6-$G$3,22))&lt;&gt;""),Algodão!$E52:INDEX(Algodão!$E52:$Z52,MIN(AK$6-$G$3,22))),0)))))</f>
        <v>0</v>
      </c>
      <c r="AL54" s="27" t="n">
        <f aca="false">IF(COUNT(Algodão!$E52:$Z52)=0,0,MAX(0,IF((AL$6-$E$3)&lt;1,0,IFERROR(LOOKUP(2,1/(Algodão!$E52:INDEX(Algodão!$E52:$Z52,MIN(AL$6-$E$3,22))&lt;&gt;""),Algodão!$E52:INDEX(Algodão!$E52:$Z52,MIN(AL$6-$E$3,22))),0))-IF($G$2,0,IF((AL$6-$G$3)&lt;1,0,IFERROR(LOOKUP(2,1/(Algodão!$E52:INDEX(Algodão!$E52:$Z52,MIN(AL$6-$G$3,22))&lt;&gt;""),Algodão!$E52:INDEX(Algodão!$E52:$Z52,MIN(AL$6-$G$3,22))),0)))))</f>
        <v>0</v>
      </c>
      <c r="AM54" s="27" t="n">
        <f aca="false">IF(COUNT(Algodão!$E52:$Z52)=0,0,MAX(0,IF((AM$6-$E$3)&lt;1,0,IFERROR(LOOKUP(2,1/(Algodão!$E52:INDEX(Algodão!$E52:$Z52,MIN(AM$6-$E$3,22))&lt;&gt;""),Algodão!$E52:INDEX(Algodão!$E52:$Z52,MIN(AM$6-$E$3,22))),0))-IF($G$2,0,IF((AM$6-$G$3)&lt;1,0,IFERROR(LOOKUP(2,1/(Algodão!$E52:INDEX(Algodão!$E52:$Z52,MIN(AM$6-$G$3,22))&lt;&gt;""),Algodão!$E52:INDEX(Algodão!$E52:$Z52,MIN(AM$6-$G$3,22))),0)))))</f>
        <v>0</v>
      </c>
      <c r="AN54" s="27" t="n">
        <f aca="false">IF(COUNT(Algodão!$E52:$Z52)=0,0,MAX(0,IF((AN$6-$E$3)&lt;1,0,IFERROR(LOOKUP(2,1/(Algodão!$E52:INDEX(Algodão!$E52:$Z52,MIN(AN$6-$E$3,22))&lt;&gt;""),Algodão!$E52:INDEX(Algodão!$E52:$Z52,MIN(AN$6-$E$3,22))),0))-IF($G$2,0,IF((AN$6-$G$3)&lt;1,0,IFERROR(LOOKUP(2,1/(Algodão!$E52:INDEX(Algodão!$E52:$Z52,MIN(AN$6-$G$3,22))&lt;&gt;""),Algodão!$E52:INDEX(Algodão!$E52:$Z52,MIN(AN$6-$G$3,22))),0)))))</f>
        <v>0</v>
      </c>
      <c r="AO54" s="27" t="n">
        <f aca="false">IF(COUNT(Algodão!$E52:$Z52)=0,0,MAX(0,IF((AO$6-$E$3)&lt;1,0,IFERROR(LOOKUP(2,1/(Algodão!$E52:INDEX(Algodão!$E52:$Z52,MIN(AO$6-$E$3,22))&lt;&gt;""),Algodão!$E52:INDEX(Algodão!$E52:$Z52,MIN(AO$6-$E$3,22))),0))-IF($G$2,0,IF((AO$6-$G$3)&lt;1,0,IFERROR(LOOKUP(2,1/(Algodão!$E52:INDEX(Algodão!$E52:$Z52,MIN(AO$6-$G$3,22))&lt;&gt;""),Algodão!$E52:INDEX(Algodão!$E52:$Z52,MIN(AO$6-$G$3,22))),0)))))</f>
        <v>0</v>
      </c>
      <c r="AP54" s="27" t="n">
        <f aca="false">IF(COUNT(Algodão!$E52:$Z52)=0,0,MAX(0,IF((AP$6-$E$3)&lt;1,0,IFERROR(LOOKUP(2,1/(Algodão!$E52:INDEX(Algodão!$E52:$Z52,MIN(AP$6-$E$3,22))&lt;&gt;""),Algodão!$E52:INDEX(Algodão!$E52:$Z52,MIN(AP$6-$E$3,22))),0))-IF($G$2,0,IF((AP$6-$G$3)&lt;1,0,IFERROR(LOOKUP(2,1/(Algodão!$E52:INDEX(Algodão!$E52:$Z52,MIN(AP$6-$G$3,22))&lt;&gt;""),Algodão!$E52:INDEX(Algodão!$E52:$Z52,MIN(AP$6-$G$3,22))),0)))))</f>
        <v>0</v>
      </c>
      <c r="AQ54" s="27" t="n">
        <f aca="false">IF(COUNT(Algodão!$E52:$Z52)=0,0,MAX(0,IF((AQ$6-$E$3)&lt;1,0,IFERROR(LOOKUP(2,1/(Algodão!$E52:INDEX(Algodão!$E52:$Z52,MIN(AQ$6-$E$3,22))&lt;&gt;""),Algodão!$E52:INDEX(Algodão!$E52:$Z52,MIN(AQ$6-$E$3,22))),0))-IF($G$2,0,IF((AQ$6-$G$3)&lt;1,0,IFERROR(LOOKUP(2,1/(Algodão!$E52:INDEX(Algodão!$E52:$Z52,MIN(AQ$6-$G$3,22))&lt;&gt;""),Algodão!$E52:INDEX(Algodão!$E52:$Z52,MIN(AQ$6-$G$3,22))),0)))))</f>
        <v>0</v>
      </c>
      <c r="AR54" s="27" t="n">
        <f aca="false">IF(COUNT(Algodão!$E52:$Z52)=0,0,MAX(0,IF((AR$6-$E$3)&lt;1,0,IFERROR(LOOKUP(2,1/(Algodão!$E52:INDEX(Algodão!$E52:$Z52,MIN(AR$6-$E$3,22))&lt;&gt;""),Algodão!$E52:INDEX(Algodão!$E52:$Z52,MIN(AR$6-$E$3,22))),0))-IF($G$2,0,IF((AR$6-$G$3)&lt;1,0,IFERROR(LOOKUP(2,1/(Algodão!$E52:INDEX(Algodão!$E52:$Z52,MIN(AR$6-$G$3,22))&lt;&gt;""),Algodão!$E52:INDEX(Algodão!$E52:$Z52,MIN(AR$6-$G$3,22))),0)))))</f>
        <v>0</v>
      </c>
      <c r="AS54" s="27" t="n">
        <f aca="false">IF(COUNT(Algodão!$E52:$Z52)=0,0,MAX(0,IF((AS$6-$E$3)&lt;1,0,IFERROR(LOOKUP(2,1/(Algodão!$E52:INDEX(Algodão!$E52:$Z52,MIN(AS$6-$E$3,22))&lt;&gt;""),Algodão!$E52:INDEX(Algodão!$E52:$Z52,MIN(AS$6-$E$3,22))),0))-IF($G$2,0,IF((AS$6-$G$3)&lt;1,0,IFERROR(LOOKUP(2,1/(Algodão!$E52:INDEX(Algodão!$E52:$Z52,MIN(AS$6-$G$3,22))&lt;&gt;""),Algodão!$E52:INDEX(Algodão!$E52:$Z52,MIN(AS$6-$G$3,22))),0)))))</f>
        <v>0</v>
      </c>
      <c r="AT54" s="27" t="n">
        <f aca="false">IF(COUNT(Algodão!$E52:$Z52)=0,0,MAX(0,IF((AT$6-$E$3)&lt;1,0,IFERROR(LOOKUP(2,1/(Algodão!$E52:INDEX(Algodão!$E52:$Z52,MIN(AT$6-$E$3,22))&lt;&gt;""),Algodão!$E52:INDEX(Algodão!$E52:$Z52,MIN(AT$6-$E$3,22))),0))-IF($G$2,0,IF((AT$6-$G$3)&lt;1,0,IFERROR(LOOKUP(2,1/(Algodão!$E52:INDEX(Algodão!$E52:$Z52,MIN(AT$6-$G$3,22))&lt;&gt;""),Algodão!$E52:INDEX(Algodão!$E52:$Z52,MIN(AT$6-$G$3,22))),0)))))</f>
        <v>0</v>
      </c>
      <c r="AU54" s="27" t="n">
        <f aca="false">IF(COUNT(Algodão!$E52:$Z52)=0,0,MAX(0,IF((AU$6-$E$3)&lt;1,0,IFERROR(LOOKUP(2,1/(Algodão!$E52:INDEX(Algodão!$E52:$Z52,MIN(AU$6-$E$3,22))&lt;&gt;""),Algodão!$E52:INDEX(Algodão!$E52:$Z52,MIN(AU$6-$E$3,22))),0))-IF($G$2,0,IF((AU$6-$G$3)&lt;1,0,IFERROR(LOOKUP(2,1/(Algodão!$E52:INDEX(Algodão!$E52:$Z52,MIN(AU$6-$G$3,22))&lt;&gt;""),Algodão!$E52:INDEX(Algodão!$E52:$Z52,MIN(AU$6-$G$3,22))),0)))))</f>
        <v>0</v>
      </c>
      <c r="AV54" s="27" t="n">
        <f aca="false">IF(COUNT(Algodão!$E52:$Z52)=0,0,MAX(0,IF((AV$6-$E$3)&lt;1,0,IFERROR(LOOKUP(2,1/(Algodão!$E52:INDEX(Algodão!$E52:$Z52,MIN(AV$6-$E$3,22))&lt;&gt;""),Algodão!$E52:INDEX(Algodão!$E52:$Z52,MIN(AV$6-$E$3,22))),0))-IF($G$2,0,IF((AV$6-$G$3)&lt;1,0,IFERROR(LOOKUP(2,1/(Algodão!$E52:INDEX(Algodão!$E52:$Z52,MIN(AV$6-$G$3,22))&lt;&gt;""),Algodão!$E52:INDEX(Algodão!$E52:$Z52,MIN(AV$6-$G$3,22))),0)))))</f>
        <v>0</v>
      </c>
      <c r="AW54" s="27" t="n">
        <f aca="false">IF(COUNT(Algodão!$E52:$Z52)=0,0,MAX(0,IF((AW$6-$E$3)&lt;1,0,IFERROR(LOOKUP(2,1/(Algodão!$E52:INDEX(Algodão!$E52:$Z52,MIN(AW$6-$E$3,22))&lt;&gt;""),Algodão!$E52:INDEX(Algodão!$E52:$Z52,MIN(AW$6-$E$3,22))),0))-IF($G$2,0,IF((AW$6-$G$3)&lt;1,0,IFERROR(LOOKUP(2,1/(Algodão!$E52:INDEX(Algodão!$E52:$Z52,MIN(AW$6-$G$3,22))&lt;&gt;""),Algodão!$E52:INDEX(Algodão!$E52:$Z52,MIN(AW$6-$G$3,22))),0)))))</f>
        <v>0</v>
      </c>
      <c r="AX54" s="27" t="n">
        <f aca="false">IF(COUNT(Algodão!$E52:$Z52)=0,0,MAX(0,IF((AX$6-$E$3)&lt;1,0,IFERROR(LOOKUP(2,1/(Algodão!$E52:INDEX(Algodão!$E52:$Z52,MIN(AX$6-$E$3,22))&lt;&gt;""),Algodão!$E52:INDEX(Algodão!$E52:$Z52,MIN(AX$6-$E$3,22))),0))-IF($G$2,0,IF((AX$6-$G$3)&lt;1,0,IFERROR(LOOKUP(2,1/(Algodão!$E52:INDEX(Algodão!$E52:$Z52,MIN(AX$6-$G$3,22))&lt;&gt;""),Algodão!$E52:INDEX(Algodão!$E52:$Z52,MIN(AX$6-$G$3,22))),0)))))</f>
        <v>0</v>
      </c>
      <c r="AY54" s="27" t="n">
        <f aca="false">IF(COUNT(Algodão!$E52:$Z52)=0,0,MAX(0,IF((AY$6-$E$3)&lt;1,0,IFERROR(LOOKUP(2,1/(Algodão!$E52:INDEX(Algodão!$E52:$Z52,MIN(AY$6-$E$3,22))&lt;&gt;""),Algodão!$E52:INDEX(Algodão!$E52:$Z52,MIN(AY$6-$E$3,22))),0))-IF($G$2,0,IF((AY$6-$G$3)&lt;1,0,IFERROR(LOOKUP(2,1/(Algodão!$E52:INDEX(Algodão!$E52:$Z52,MIN(AY$6-$G$3,22))&lt;&gt;""),Algodão!$E52:INDEX(Algodão!$E52:$Z52,MIN(AY$6-$G$3,22))),0)))))</f>
        <v>0</v>
      </c>
      <c r="AZ54" s="27" t="n">
        <f aca="false">IF(COUNT(Algodão!$E52:$Z52)=0,0,MAX(0,IF((AZ$6-$E$3)&lt;1,0,IFERROR(LOOKUP(2,1/(Algodão!$E52:INDEX(Algodão!$E52:$Z52,MIN(AZ$6-$E$3,22))&lt;&gt;""),Algodão!$E52:INDEX(Algodão!$E52:$Z52,MIN(AZ$6-$E$3,22))),0))-IF($G$2,0,IF((AZ$6-$G$3)&lt;1,0,IFERROR(LOOKUP(2,1/(Algodão!$E52:INDEX(Algodão!$E52:$Z52,MIN(AZ$6-$G$3,22))&lt;&gt;""),Algodão!$E52:INDEX(Algodão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IF(COUNT(Algodão!$E53:$Z53)&gt;0,N(Algodão!$D53),0)</f>
        <v>0</v>
      </c>
      <c r="E55" s="27" t="n">
        <f aca="false">IF(COUNT(Algodão!$E53:$Z53)=0,0,MAX(0,IF((E$6-$E$3)&lt;1,0,IFERROR(LOOKUP(2,1/(Algodão!$E53:INDEX(Algodão!$E53:$Z53,MIN(E$6-$E$3,22))&lt;&gt;""),Algodão!$E53:INDEX(Algodão!$E53:$Z53,MIN(E$6-$E$3,22))),0))-IF($G$2,0,IF((E$6-$G$3)&lt;1,0,IFERROR(LOOKUP(2,1/(Algodão!$E53:INDEX(Algodão!$E53:$Z53,MIN(E$6-$G$3,22))&lt;&gt;""),Algodão!$E53:INDEX(Algodão!$E53:$Z53,MIN(E$6-$G$3,22))),0)))))</f>
        <v>0</v>
      </c>
      <c r="F55" s="27" t="n">
        <f aca="false">IF(COUNT(Algodão!$E53:$Z53)=0,0,MAX(0,IF((F$6-$E$3)&lt;1,0,IFERROR(LOOKUP(2,1/(Algodão!$E53:INDEX(Algodão!$E53:$Z53,MIN(F$6-$E$3,22))&lt;&gt;""),Algodão!$E53:INDEX(Algodão!$E53:$Z53,MIN(F$6-$E$3,22))),0))-IF($G$2,0,IF((F$6-$G$3)&lt;1,0,IFERROR(LOOKUP(2,1/(Algodão!$E53:INDEX(Algodão!$E53:$Z53,MIN(F$6-$G$3,22))&lt;&gt;""),Algodão!$E53:INDEX(Algodão!$E53:$Z53,MIN(F$6-$G$3,22))),0)))))</f>
        <v>0</v>
      </c>
      <c r="G55" s="27" t="n">
        <f aca="false">IF(COUNT(Algodão!$E53:$Z53)=0,0,MAX(0,IF((G$6-$E$3)&lt;1,0,IFERROR(LOOKUP(2,1/(Algodão!$E53:INDEX(Algodão!$E53:$Z53,MIN(G$6-$E$3,22))&lt;&gt;""),Algodão!$E53:INDEX(Algodão!$E53:$Z53,MIN(G$6-$E$3,22))),0))-IF($G$2,0,IF((G$6-$G$3)&lt;1,0,IFERROR(LOOKUP(2,1/(Algodão!$E53:INDEX(Algodão!$E53:$Z53,MIN(G$6-$G$3,22))&lt;&gt;""),Algodão!$E53:INDEX(Algodão!$E53:$Z53,MIN(G$6-$G$3,22))),0)))))</f>
        <v>0</v>
      </c>
      <c r="H55" s="27" t="n">
        <f aca="false">IF(COUNT(Algodão!$E53:$Z53)=0,0,MAX(0,IF((H$6-$E$3)&lt;1,0,IFERROR(LOOKUP(2,1/(Algodão!$E53:INDEX(Algodão!$E53:$Z53,MIN(H$6-$E$3,22))&lt;&gt;""),Algodão!$E53:INDEX(Algodão!$E53:$Z53,MIN(H$6-$E$3,22))),0))-IF($G$2,0,IF((H$6-$G$3)&lt;1,0,IFERROR(LOOKUP(2,1/(Algodão!$E53:INDEX(Algodão!$E53:$Z53,MIN(H$6-$G$3,22))&lt;&gt;""),Algodão!$E53:INDEX(Algodão!$E53:$Z53,MIN(H$6-$G$3,22))),0)))))</f>
        <v>0</v>
      </c>
      <c r="I55" s="27" t="n">
        <f aca="false">IF(COUNT(Algodão!$E53:$Z53)=0,0,MAX(0,IF((I$6-$E$3)&lt;1,0,IFERROR(LOOKUP(2,1/(Algodão!$E53:INDEX(Algodão!$E53:$Z53,MIN(I$6-$E$3,22))&lt;&gt;""),Algodão!$E53:INDEX(Algodão!$E53:$Z53,MIN(I$6-$E$3,22))),0))-IF($G$2,0,IF((I$6-$G$3)&lt;1,0,IFERROR(LOOKUP(2,1/(Algodão!$E53:INDEX(Algodão!$E53:$Z53,MIN(I$6-$G$3,22))&lt;&gt;""),Algodão!$E53:INDEX(Algodão!$E53:$Z53,MIN(I$6-$G$3,22))),0)))))</f>
        <v>0</v>
      </c>
      <c r="J55" s="27" t="n">
        <f aca="false">IF(COUNT(Algodão!$E53:$Z53)=0,0,MAX(0,IF((J$6-$E$3)&lt;1,0,IFERROR(LOOKUP(2,1/(Algodão!$E53:INDEX(Algodão!$E53:$Z53,MIN(J$6-$E$3,22))&lt;&gt;""),Algodão!$E53:INDEX(Algodão!$E53:$Z53,MIN(J$6-$E$3,22))),0))-IF($G$2,0,IF((J$6-$G$3)&lt;1,0,IFERROR(LOOKUP(2,1/(Algodão!$E53:INDEX(Algodão!$E53:$Z53,MIN(J$6-$G$3,22))&lt;&gt;""),Algodão!$E53:INDEX(Algodão!$E53:$Z53,MIN(J$6-$G$3,22))),0)))))</f>
        <v>0</v>
      </c>
      <c r="K55" s="27" t="n">
        <f aca="false">IF(COUNT(Algodão!$E53:$Z53)=0,0,MAX(0,IF((K$6-$E$3)&lt;1,0,IFERROR(LOOKUP(2,1/(Algodão!$E53:INDEX(Algodão!$E53:$Z53,MIN(K$6-$E$3,22))&lt;&gt;""),Algodão!$E53:INDEX(Algodão!$E53:$Z53,MIN(K$6-$E$3,22))),0))-IF($G$2,0,IF((K$6-$G$3)&lt;1,0,IFERROR(LOOKUP(2,1/(Algodão!$E53:INDEX(Algodão!$E53:$Z53,MIN(K$6-$G$3,22))&lt;&gt;""),Algodão!$E53:INDEX(Algodão!$E53:$Z53,MIN(K$6-$G$3,22))),0)))))</f>
        <v>0</v>
      </c>
      <c r="L55" s="27" t="n">
        <f aca="false">IF(COUNT(Algodão!$E53:$Z53)=0,0,MAX(0,IF((L$6-$E$3)&lt;1,0,IFERROR(LOOKUP(2,1/(Algodão!$E53:INDEX(Algodão!$E53:$Z53,MIN(L$6-$E$3,22))&lt;&gt;""),Algodão!$E53:INDEX(Algodão!$E53:$Z53,MIN(L$6-$E$3,22))),0))-IF($G$2,0,IF((L$6-$G$3)&lt;1,0,IFERROR(LOOKUP(2,1/(Algodão!$E53:INDEX(Algodão!$E53:$Z53,MIN(L$6-$G$3,22))&lt;&gt;""),Algodão!$E53:INDEX(Algodão!$E53:$Z53,MIN(L$6-$G$3,22))),0)))))</f>
        <v>0</v>
      </c>
      <c r="M55" s="27" t="n">
        <f aca="false">IF(COUNT(Algodão!$E53:$Z53)=0,0,MAX(0,IF((M$6-$E$3)&lt;1,0,IFERROR(LOOKUP(2,1/(Algodão!$E53:INDEX(Algodão!$E53:$Z53,MIN(M$6-$E$3,22))&lt;&gt;""),Algodão!$E53:INDEX(Algodão!$E53:$Z53,MIN(M$6-$E$3,22))),0))-IF($G$2,0,IF((M$6-$G$3)&lt;1,0,IFERROR(LOOKUP(2,1/(Algodão!$E53:INDEX(Algodão!$E53:$Z53,MIN(M$6-$G$3,22))&lt;&gt;""),Algodão!$E53:INDEX(Algodão!$E53:$Z53,MIN(M$6-$G$3,22))),0)))))</f>
        <v>0</v>
      </c>
      <c r="N55" s="27" t="n">
        <f aca="false">IF(COUNT(Algodão!$E53:$Z53)=0,0,MAX(0,IF((N$6-$E$3)&lt;1,0,IFERROR(LOOKUP(2,1/(Algodão!$E53:INDEX(Algodão!$E53:$Z53,MIN(N$6-$E$3,22))&lt;&gt;""),Algodão!$E53:INDEX(Algodão!$E53:$Z53,MIN(N$6-$E$3,22))),0))-IF($G$2,0,IF((N$6-$G$3)&lt;1,0,IFERROR(LOOKUP(2,1/(Algodão!$E53:INDEX(Algodão!$E53:$Z53,MIN(N$6-$G$3,22))&lt;&gt;""),Algodão!$E53:INDEX(Algodão!$E53:$Z53,MIN(N$6-$G$3,22))),0)))))</f>
        <v>0</v>
      </c>
      <c r="O55" s="27" t="n">
        <f aca="false">IF(COUNT(Algodão!$E53:$Z53)=0,0,MAX(0,IF((O$6-$E$3)&lt;1,0,IFERROR(LOOKUP(2,1/(Algodão!$E53:INDEX(Algodão!$E53:$Z53,MIN(O$6-$E$3,22))&lt;&gt;""),Algodão!$E53:INDEX(Algodão!$E53:$Z53,MIN(O$6-$E$3,22))),0))-IF($G$2,0,IF((O$6-$G$3)&lt;1,0,IFERROR(LOOKUP(2,1/(Algodão!$E53:INDEX(Algodão!$E53:$Z53,MIN(O$6-$G$3,22))&lt;&gt;""),Algodão!$E53:INDEX(Algodão!$E53:$Z53,MIN(O$6-$G$3,22))),0)))))</f>
        <v>0</v>
      </c>
      <c r="P55" s="27" t="n">
        <f aca="false">IF(COUNT(Algodão!$E53:$Z53)=0,0,MAX(0,IF((P$6-$E$3)&lt;1,0,IFERROR(LOOKUP(2,1/(Algodão!$E53:INDEX(Algodão!$E53:$Z53,MIN(P$6-$E$3,22))&lt;&gt;""),Algodão!$E53:INDEX(Algodão!$E53:$Z53,MIN(P$6-$E$3,22))),0))-IF($G$2,0,IF((P$6-$G$3)&lt;1,0,IFERROR(LOOKUP(2,1/(Algodão!$E53:INDEX(Algodão!$E53:$Z53,MIN(P$6-$G$3,22))&lt;&gt;""),Algodão!$E53:INDEX(Algodão!$E53:$Z53,MIN(P$6-$G$3,22))),0)))))</f>
        <v>0</v>
      </c>
      <c r="Q55" s="27" t="n">
        <f aca="false">IF(COUNT(Algodão!$E53:$Z53)=0,0,MAX(0,IF((Q$6-$E$3)&lt;1,0,IFERROR(LOOKUP(2,1/(Algodão!$E53:INDEX(Algodão!$E53:$Z53,MIN(Q$6-$E$3,22))&lt;&gt;""),Algodão!$E53:INDEX(Algodão!$E53:$Z53,MIN(Q$6-$E$3,22))),0))-IF($G$2,0,IF((Q$6-$G$3)&lt;1,0,IFERROR(LOOKUP(2,1/(Algodão!$E53:INDEX(Algodão!$E53:$Z53,MIN(Q$6-$G$3,22))&lt;&gt;""),Algodão!$E53:INDEX(Algodão!$E53:$Z53,MIN(Q$6-$G$3,22))),0)))))</f>
        <v>0</v>
      </c>
      <c r="R55" s="27" t="n">
        <f aca="false">IF(COUNT(Algodão!$E53:$Z53)=0,0,MAX(0,IF((R$6-$E$3)&lt;1,0,IFERROR(LOOKUP(2,1/(Algodão!$E53:INDEX(Algodão!$E53:$Z53,MIN(R$6-$E$3,22))&lt;&gt;""),Algodão!$E53:INDEX(Algodão!$E53:$Z53,MIN(R$6-$E$3,22))),0))-IF($G$2,0,IF((R$6-$G$3)&lt;1,0,IFERROR(LOOKUP(2,1/(Algodão!$E53:INDEX(Algodão!$E53:$Z53,MIN(R$6-$G$3,22))&lt;&gt;""),Algodão!$E53:INDEX(Algodão!$E53:$Z53,MIN(R$6-$G$3,22))),0)))))</f>
        <v>0</v>
      </c>
      <c r="S55" s="27" t="n">
        <f aca="false">IF(COUNT(Algodão!$E53:$Z53)=0,0,MAX(0,IF((S$6-$E$3)&lt;1,0,IFERROR(LOOKUP(2,1/(Algodão!$E53:INDEX(Algodão!$E53:$Z53,MIN(S$6-$E$3,22))&lt;&gt;""),Algodão!$E53:INDEX(Algodão!$E53:$Z53,MIN(S$6-$E$3,22))),0))-IF($G$2,0,IF((S$6-$G$3)&lt;1,0,IFERROR(LOOKUP(2,1/(Algodão!$E53:INDEX(Algodão!$E53:$Z53,MIN(S$6-$G$3,22))&lt;&gt;""),Algodão!$E53:INDEX(Algodão!$E53:$Z53,MIN(S$6-$G$3,22))),0)))))</f>
        <v>0</v>
      </c>
      <c r="T55" s="27" t="n">
        <f aca="false">IF(COUNT(Algodão!$E53:$Z53)=0,0,MAX(0,IF((T$6-$E$3)&lt;1,0,IFERROR(LOOKUP(2,1/(Algodão!$E53:INDEX(Algodão!$E53:$Z53,MIN(T$6-$E$3,22))&lt;&gt;""),Algodão!$E53:INDEX(Algodão!$E53:$Z53,MIN(T$6-$E$3,22))),0))-IF($G$2,0,IF((T$6-$G$3)&lt;1,0,IFERROR(LOOKUP(2,1/(Algodão!$E53:INDEX(Algodão!$E53:$Z53,MIN(T$6-$G$3,22))&lt;&gt;""),Algodão!$E53:INDEX(Algodão!$E53:$Z53,MIN(T$6-$G$3,22))),0)))))</f>
        <v>0</v>
      </c>
      <c r="U55" s="27" t="n">
        <f aca="false">IF(COUNT(Algodão!$E53:$Z53)=0,0,MAX(0,IF((U$6-$E$3)&lt;1,0,IFERROR(LOOKUP(2,1/(Algodão!$E53:INDEX(Algodão!$E53:$Z53,MIN(U$6-$E$3,22))&lt;&gt;""),Algodão!$E53:INDEX(Algodão!$E53:$Z53,MIN(U$6-$E$3,22))),0))-IF($G$2,0,IF((U$6-$G$3)&lt;1,0,IFERROR(LOOKUP(2,1/(Algodão!$E53:INDEX(Algodão!$E53:$Z53,MIN(U$6-$G$3,22))&lt;&gt;""),Algodão!$E53:INDEX(Algodão!$E53:$Z53,MIN(U$6-$G$3,22))),0)))))</f>
        <v>0</v>
      </c>
      <c r="V55" s="27" t="n">
        <f aca="false">IF(COUNT(Algodão!$E53:$Z53)=0,0,MAX(0,IF((V$6-$E$3)&lt;1,0,IFERROR(LOOKUP(2,1/(Algodão!$E53:INDEX(Algodão!$E53:$Z53,MIN(V$6-$E$3,22))&lt;&gt;""),Algodão!$E53:INDEX(Algodão!$E53:$Z53,MIN(V$6-$E$3,22))),0))-IF($G$2,0,IF((V$6-$G$3)&lt;1,0,IFERROR(LOOKUP(2,1/(Algodão!$E53:INDEX(Algodão!$E53:$Z53,MIN(V$6-$G$3,22))&lt;&gt;""),Algodão!$E53:INDEX(Algodão!$E53:$Z53,MIN(V$6-$G$3,22))),0)))))</f>
        <v>0</v>
      </c>
      <c r="W55" s="27" t="n">
        <f aca="false">IF(COUNT(Algodão!$E53:$Z53)=0,0,MAX(0,IF((W$6-$E$3)&lt;1,0,IFERROR(LOOKUP(2,1/(Algodão!$E53:INDEX(Algodão!$E53:$Z53,MIN(W$6-$E$3,22))&lt;&gt;""),Algodão!$E53:INDEX(Algodão!$E53:$Z53,MIN(W$6-$E$3,22))),0))-IF($G$2,0,IF((W$6-$G$3)&lt;1,0,IFERROR(LOOKUP(2,1/(Algodão!$E53:INDEX(Algodão!$E53:$Z53,MIN(W$6-$G$3,22))&lt;&gt;""),Algodão!$E53:INDEX(Algodão!$E53:$Z53,MIN(W$6-$G$3,22))),0)))))</f>
        <v>0</v>
      </c>
      <c r="X55" s="27" t="n">
        <f aca="false">IF(COUNT(Algodão!$E53:$Z53)=0,0,MAX(0,IF((X$6-$E$3)&lt;1,0,IFERROR(LOOKUP(2,1/(Algodão!$E53:INDEX(Algodão!$E53:$Z53,MIN(X$6-$E$3,22))&lt;&gt;""),Algodão!$E53:INDEX(Algodão!$E53:$Z53,MIN(X$6-$E$3,22))),0))-IF($G$2,0,IF((X$6-$G$3)&lt;1,0,IFERROR(LOOKUP(2,1/(Algodão!$E53:INDEX(Algodão!$E53:$Z53,MIN(X$6-$G$3,22))&lt;&gt;""),Algodão!$E53:INDEX(Algodão!$E53:$Z53,MIN(X$6-$G$3,22))),0)))))</f>
        <v>0</v>
      </c>
      <c r="Y55" s="27" t="n">
        <f aca="false">IF(COUNT(Algodão!$E53:$Z53)=0,0,MAX(0,IF((Y$6-$E$3)&lt;1,0,IFERROR(LOOKUP(2,1/(Algodão!$E53:INDEX(Algodão!$E53:$Z53,MIN(Y$6-$E$3,22))&lt;&gt;""),Algodão!$E53:INDEX(Algodão!$E53:$Z53,MIN(Y$6-$E$3,22))),0))-IF($G$2,0,IF((Y$6-$G$3)&lt;1,0,IFERROR(LOOKUP(2,1/(Algodão!$E53:INDEX(Algodão!$E53:$Z53,MIN(Y$6-$G$3,22))&lt;&gt;""),Algodão!$E53:INDEX(Algodão!$E53:$Z53,MIN(Y$6-$G$3,22))),0)))))</f>
        <v>0</v>
      </c>
      <c r="Z55" s="27" t="n">
        <f aca="false">IF(COUNT(Algodão!$E53:$Z53)=0,0,MAX(0,IF((Z$6-$E$3)&lt;1,0,IFERROR(LOOKUP(2,1/(Algodão!$E53:INDEX(Algodão!$E53:$Z53,MIN(Z$6-$E$3,22))&lt;&gt;""),Algodão!$E53:INDEX(Algodão!$E53:$Z53,MIN(Z$6-$E$3,22))),0))-IF($G$2,0,IF((Z$6-$G$3)&lt;1,0,IFERROR(LOOKUP(2,1/(Algodão!$E53:INDEX(Algodão!$E53:$Z53,MIN(Z$6-$G$3,22))&lt;&gt;""),Algodão!$E53:INDEX(Algodão!$E53:$Z53,MIN(Z$6-$G$3,22))),0)))))</f>
        <v>0</v>
      </c>
      <c r="AA55" s="27" t="n">
        <f aca="false">IF(COUNT(Algodão!$E53:$Z53)=0,0,MAX(0,IF((AA$6-$E$3)&lt;1,0,IFERROR(LOOKUP(2,1/(Algodão!$E53:INDEX(Algodão!$E53:$Z53,MIN(AA$6-$E$3,22))&lt;&gt;""),Algodão!$E53:INDEX(Algodão!$E53:$Z53,MIN(AA$6-$E$3,22))),0))-IF($G$2,0,IF((AA$6-$G$3)&lt;1,0,IFERROR(LOOKUP(2,1/(Algodão!$E53:INDEX(Algodão!$E53:$Z53,MIN(AA$6-$G$3,22))&lt;&gt;""),Algodão!$E53:INDEX(Algodão!$E53:$Z53,MIN(AA$6-$G$3,22))),0)))))</f>
        <v>0</v>
      </c>
      <c r="AB55" s="27" t="n">
        <f aca="false">IF(COUNT(Algodão!$E53:$Z53)=0,0,MAX(0,IF((AB$6-$E$3)&lt;1,0,IFERROR(LOOKUP(2,1/(Algodão!$E53:INDEX(Algodão!$E53:$Z53,MIN(AB$6-$E$3,22))&lt;&gt;""),Algodão!$E53:INDEX(Algodão!$E53:$Z53,MIN(AB$6-$E$3,22))),0))-IF($G$2,0,IF((AB$6-$G$3)&lt;1,0,IFERROR(LOOKUP(2,1/(Algodão!$E53:INDEX(Algodão!$E53:$Z53,MIN(AB$6-$G$3,22))&lt;&gt;""),Algodão!$E53:INDEX(Algodão!$E53:$Z53,MIN(AB$6-$G$3,22))),0)))))</f>
        <v>0</v>
      </c>
      <c r="AC55" s="27" t="n">
        <f aca="false">IF(COUNT(Algodão!$E53:$Z53)=0,0,MAX(0,IF((AC$6-$E$3)&lt;1,0,IFERROR(LOOKUP(2,1/(Algodão!$E53:INDEX(Algodão!$E53:$Z53,MIN(AC$6-$E$3,22))&lt;&gt;""),Algodão!$E53:INDEX(Algodão!$E53:$Z53,MIN(AC$6-$E$3,22))),0))-IF($G$2,0,IF((AC$6-$G$3)&lt;1,0,IFERROR(LOOKUP(2,1/(Algodão!$E53:INDEX(Algodão!$E53:$Z53,MIN(AC$6-$G$3,22))&lt;&gt;""),Algodão!$E53:INDEX(Algodão!$E53:$Z53,MIN(AC$6-$G$3,22))),0)))))</f>
        <v>0</v>
      </c>
      <c r="AD55" s="27" t="n">
        <f aca="false">IF(COUNT(Algodão!$E53:$Z53)=0,0,MAX(0,IF((AD$6-$E$3)&lt;1,0,IFERROR(LOOKUP(2,1/(Algodão!$E53:INDEX(Algodão!$E53:$Z53,MIN(AD$6-$E$3,22))&lt;&gt;""),Algodão!$E53:INDEX(Algodão!$E53:$Z53,MIN(AD$6-$E$3,22))),0))-IF($G$2,0,IF((AD$6-$G$3)&lt;1,0,IFERROR(LOOKUP(2,1/(Algodão!$E53:INDEX(Algodão!$E53:$Z53,MIN(AD$6-$G$3,22))&lt;&gt;""),Algodão!$E53:INDEX(Algodão!$E53:$Z53,MIN(AD$6-$G$3,22))),0)))))</f>
        <v>0</v>
      </c>
      <c r="AE55" s="27" t="n">
        <f aca="false">IF(COUNT(Algodão!$E53:$Z53)=0,0,MAX(0,IF((AE$6-$E$3)&lt;1,0,IFERROR(LOOKUP(2,1/(Algodão!$E53:INDEX(Algodão!$E53:$Z53,MIN(AE$6-$E$3,22))&lt;&gt;""),Algodão!$E53:INDEX(Algodão!$E53:$Z53,MIN(AE$6-$E$3,22))),0))-IF($G$2,0,IF((AE$6-$G$3)&lt;1,0,IFERROR(LOOKUP(2,1/(Algodão!$E53:INDEX(Algodão!$E53:$Z53,MIN(AE$6-$G$3,22))&lt;&gt;""),Algodão!$E53:INDEX(Algodão!$E53:$Z53,MIN(AE$6-$G$3,22))),0)))))</f>
        <v>0</v>
      </c>
      <c r="AF55" s="27" t="n">
        <f aca="false">IF(COUNT(Algodão!$E53:$Z53)=0,0,MAX(0,IF((AF$6-$E$3)&lt;1,0,IFERROR(LOOKUP(2,1/(Algodão!$E53:INDEX(Algodão!$E53:$Z53,MIN(AF$6-$E$3,22))&lt;&gt;""),Algodão!$E53:INDEX(Algodão!$E53:$Z53,MIN(AF$6-$E$3,22))),0))-IF($G$2,0,IF((AF$6-$G$3)&lt;1,0,IFERROR(LOOKUP(2,1/(Algodão!$E53:INDEX(Algodão!$E53:$Z53,MIN(AF$6-$G$3,22))&lt;&gt;""),Algodão!$E53:INDEX(Algodão!$E53:$Z53,MIN(AF$6-$G$3,22))),0)))))</f>
        <v>0</v>
      </c>
      <c r="AG55" s="27" t="n">
        <f aca="false">IF(COUNT(Algodão!$E53:$Z53)=0,0,MAX(0,IF((AG$6-$E$3)&lt;1,0,IFERROR(LOOKUP(2,1/(Algodão!$E53:INDEX(Algodão!$E53:$Z53,MIN(AG$6-$E$3,22))&lt;&gt;""),Algodão!$E53:INDEX(Algodão!$E53:$Z53,MIN(AG$6-$E$3,22))),0))-IF($G$2,0,IF((AG$6-$G$3)&lt;1,0,IFERROR(LOOKUP(2,1/(Algodão!$E53:INDEX(Algodão!$E53:$Z53,MIN(AG$6-$G$3,22))&lt;&gt;""),Algodão!$E53:INDEX(Algodão!$E53:$Z53,MIN(AG$6-$G$3,22))),0)))))</f>
        <v>0</v>
      </c>
      <c r="AH55" s="27" t="n">
        <f aca="false">IF(COUNT(Algodão!$E53:$Z53)=0,0,MAX(0,IF((AH$6-$E$3)&lt;1,0,IFERROR(LOOKUP(2,1/(Algodão!$E53:INDEX(Algodão!$E53:$Z53,MIN(AH$6-$E$3,22))&lt;&gt;""),Algodão!$E53:INDEX(Algodão!$E53:$Z53,MIN(AH$6-$E$3,22))),0))-IF($G$2,0,IF((AH$6-$G$3)&lt;1,0,IFERROR(LOOKUP(2,1/(Algodão!$E53:INDEX(Algodão!$E53:$Z53,MIN(AH$6-$G$3,22))&lt;&gt;""),Algodão!$E53:INDEX(Algodão!$E53:$Z53,MIN(AH$6-$G$3,22))),0)))))</f>
        <v>0</v>
      </c>
      <c r="AI55" s="27" t="n">
        <f aca="false">IF(COUNT(Algodão!$E53:$Z53)=0,0,MAX(0,IF((AI$6-$E$3)&lt;1,0,IFERROR(LOOKUP(2,1/(Algodão!$E53:INDEX(Algodão!$E53:$Z53,MIN(AI$6-$E$3,22))&lt;&gt;""),Algodão!$E53:INDEX(Algodão!$E53:$Z53,MIN(AI$6-$E$3,22))),0))-IF($G$2,0,IF((AI$6-$G$3)&lt;1,0,IFERROR(LOOKUP(2,1/(Algodão!$E53:INDEX(Algodão!$E53:$Z53,MIN(AI$6-$G$3,22))&lt;&gt;""),Algodão!$E53:INDEX(Algodão!$E53:$Z53,MIN(AI$6-$G$3,22))),0)))))</f>
        <v>0</v>
      </c>
      <c r="AJ55" s="27" t="n">
        <f aca="false">IF(COUNT(Algodão!$E53:$Z53)=0,0,MAX(0,IF((AJ$6-$E$3)&lt;1,0,IFERROR(LOOKUP(2,1/(Algodão!$E53:INDEX(Algodão!$E53:$Z53,MIN(AJ$6-$E$3,22))&lt;&gt;""),Algodão!$E53:INDEX(Algodão!$E53:$Z53,MIN(AJ$6-$E$3,22))),0))-IF($G$2,0,IF((AJ$6-$G$3)&lt;1,0,IFERROR(LOOKUP(2,1/(Algodão!$E53:INDEX(Algodão!$E53:$Z53,MIN(AJ$6-$G$3,22))&lt;&gt;""),Algodão!$E53:INDEX(Algodão!$E53:$Z53,MIN(AJ$6-$G$3,22))),0)))))</f>
        <v>0</v>
      </c>
      <c r="AK55" s="27" t="n">
        <f aca="false">IF(COUNT(Algodão!$E53:$Z53)=0,0,MAX(0,IF((AK$6-$E$3)&lt;1,0,IFERROR(LOOKUP(2,1/(Algodão!$E53:INDEX(Algodão!$E53:$Z53,MIN(AK$6-$E$3,22))&lt;&gt;""),Algodão!$E53:INDEX(Algodão!$E53:$Z53,MIN(AK$6-$E$3,22))),0))-IF($G$2,0,IF((AK$6-$G$3)&lt;1,0,IFERROR(LOOKUP(2,1/(Algodão!$E53:INDEX(Algodão!$E53:$Z53,MIN(AK$6-$G$3,22))&lt;&gt;""),Algodão!$E53:INDEX(Algodão!$E53:$Z53,MIN(AK$6-$G$3,22))),0)))))</f>
        <v>0</v>
      </c>
      <c r="AL55" s="27" t="n">
        <f aca="false">IF(COUNT(Algodão!$E53:$Z53)=0,0,MAX(0,IF((AL$6-$E$3)&lt;1,0,IFERROR(LOOKUP(2,1/(Algodão!$E53:INDEX(Algodão!$E53:$Z53,MIN(AL$6-$E$3,22))&lt;&gt;""),Algodão!$E53:INDEX(Algodão!$E53:$Z53,MIN(AL$6-$E$3,22))),0))-IF($G$2,0,IF((AL$6-$G$3)&lt;1,0,IFERROR(LOOKUP(2,1/(Algodão!$E53:INDEX(Algodão!$E53:$Z53,MIN(AL$6-$G$3,22))&lt;&gt;""),Algodão!$E53:INDEX(Algodão!$E53:$Z53,MIN(AL$6-$G$3,22))),0)))))</f>
        <v>0</v>
      </c>
      <c r="AM55" s="27" t="n">
        <f aca="false">IF(COUNT(Algodão!$E53:$Z53)=0,0,MAX(0,IF((AM$6-$E$3)&lt;1,0,IFERROR(LOOKUP(2,1/(Algodão!$E53:INDEX(Algodão!$E53:$Z53,MIN(AM$6-$E$3,22))&lt;&gt;""),Algodão!$E53:INDEX(Algodão!$E53:$Z53,MIN(AM$6-$E$3,22))),0))-IF($G$2,0,IF((AM$6-$G$3)&lt;1,0,IFERROR(LOOKUP(2,1/(Algodão!$E53:INDEX(Algodão!$E53:$Z53,MIN(AM$6-$G$3,22))&lt;&gt;""),Algodão!$E53:INDEX(Algodão!$E53:$Z53,MIN(AM$6-$G$3,22))),0)))))</f>
        <v>0</v>
      </c>
      <c r="AN55" s="27" t="n">
        <f aca="false">IF(COUNT(Algodão!$E53:$Z53)=0,0,MAX(0,IF((AN$6-$E$3)&lt;1,0,IFERROR(LOOKUP(2,1/(Algodão!$E53:INDEX(Algodão!$E53:$Z53,MIN(AN$6-$E$3,22))&lt;&gt;""),Algodão!$E53:INDEX(Algodão!$E53:$Z53,MIN(AN$6-$E$3,22))),0))-IF($G$2,0,IF((AN$6-$G$3)&lt;1,0,IFERROR(LOOKUP(2,1/(Algodão!$E53:INDEX(Algodão!$E53:$Z53,MIN(AN$6-$G$3,22))&lt;&gt;""),Algodão!$E53:INDEX(Algodão!$E53:$Z53,MIN(AN$6-$G$3,22))),0)))))</f>
        <v>0</v>
      </c>
      <c r="AO55" s="27" t="n">
        <f aca="false">IF(COUNT(Algodão!$E53:$Z53)=0,0,MAX(0,IF((AO$6-$E$3)&lt;1,0,IFERROR(LOOKUP(2,1/(Algodão!$E53:INDEX(Algodão!$E53:$Z53,MIN(AO$6-$E$3,22))&lt;&gt;""),Algodão!$E53:INDEX(Algodão!$E53:$Z53,MIN(AO$6-$E$3,22))),0))-IF($G$2,0,IF((AO$6-$G$3)&lt;1,0,IFERROR(LOOKUP(2,1/(Algodão!$E53:INDEX(Algodão!$E53:$Z53,MIN(AO$6-$G$3,22))&lt;&gt;""),Algodão!$E53:INDEX(Algodão!$E53:$Z53,MIN(AO$6-$G$3,22))),0)))))</f>
        <v>0</v>
      </c>
      <c r="AP55" s="27" t="n">
        <f aca="false">IF(COUNT(Algodão!$E53:$Z53)=0,0,MAX(0,IF((AP$6-$E$3)&lt;1,0,IFERROR(LOOKUP(2,1/(Algodão!$E53:INDEX(Algodão!$E53:$Z53,MIN(AP$6-$E$3,22))&lt;&gt;""),Algodão!$E53:INDEX(Algodão!$E53:$Z53,MIN(AP$6-$E$3,22))),0))-IF($G$2,0,IF((AP$6-$G$3)&lt;1,0,IFERROR(LOOKUP(2,1/(Algodão!$E53:INDEX(Algodão!$E53:$Z53,MIN(AP$6-$G$3,22))&lt;&gt;""),Algodão!$E53:INDEX(Algodão!$E53:$Z53,MIN(AP$6-$G$3,22))),0)))))</f>
        <v>0</v>
      </c>
      <c r="AQ55" s="27" t="n">
        <f aca="false">IF(COUNT(Algodão!$E53:$Z53)=0,0,MAX(0,IF((AQ$6-$E$3)&lt;1,0,IFERROR(LOOKUP(2,1/(Algodão!$E53:INDEX(Algodão!$E53:$Z53,MIN(AQ$6-$E$3,22))&lt;&gt;""),Algodão!$E53:INDEX(Algodão!$E53:$Z53,MIN(AQ$6-$E$3,22))),0))-IF($G$2,0,IF((AQ$6-$G$3)&lt;1,0,IFERROR(LOOKUP(2,1/(Algodão!$E53:INDEX(Algodão!$E53:$Z53,MIN(AQ$6-$G$3,22))&lt;&gt;""),Algodão!$E53:INDEX(Algodão!$E53:$Z53,MIN(AQ$6-$G$3,22))),0)))))</f>
        <v>0</v>
      </c>
      <c r="AR55" s="27" t="n">
        <f aca="false">IF(COUNT(Algodão!$E53:$Z53)=0,0,MAX(0,IF((AR$6-$E$3)&lt;1,0,IFERROR(LOOKUP(2,1/(Algodão!$E53:INDEX(Algodão!$E53:$Z53,MIN(AR$6-$E$3,22))&lt;&gt;""),Algodão!$E53:INDEX(Algodão!$E53:$Z53,MIN(AR$6-$E$3,22))),0))-IF($G$2,0,IF((AR$6-$G$3)&lt;1,0,IFERROR(LOOKUP(2,1/(Algodão!$E53:INDEX(Algodão!$E53:$Z53,MIN(AR$6-$G$3,22))&lt;&gt;""),Algodão!$E53:INDEX(Algodão!$E53:$Z53,MIN(AR$6-$G$3,22))),0)))))</f>
        <v>0</v>
      </c>
      <c r="AS55" s="27" t="n">
        <f aca="false">IF(COUNT(Algodão!$E53:$Z53)=0,0,MAX(0,IF((AS$6-$E$3)&lt;1,0,IFERROR(LOOKUP(2,1/(Algodão!$E53:INDEX(Algodão!$E53:$Z53,MIN(AS$6-$E$3,22))&lt;&gt;""),Algodão!$E53:INDEX(Algodão!$E53:$Z53,MIN(AS$6-$E$3,22))),0))-IF($G$2,0,IF((AS$6-$G$3)&lt;1,0,IFERROR(LOOKUP(2,1/(Algodão!$E53:INDEX(Algodão!$E53:$Z53,MIN(AS$6-$G$3,22))&lt;&gt;""),Algodão!$E53:INDEX(Algodão!$E53:$Z53,MIN(AS$6-$G$3,22))),0)))))</f>
        <v>0</v>
      </c>
      <c r="AT55" s="27" t="n">
        <f aca="false">IF(COUNT(Algodão!$E53:$Z53)=0,0,MAX(0,IF((AT$6-$E$3)&lt;1,0,IFERROR(LOOKUP(2,1/(Algodão!$E53:INDEX(Algodão!$E53:$Z53,MIN(AT$6-$E$3,22))&lt;&gt;""),Algodão!$E53:INDEX(Algodão!$E53:$Z53,MIN(AT$6-$E$3,22))),0))-IF($G$2,0,IF((AT$6-$G$3)&lt;1,0,IFERROR(LOOKUP(2,1/(Algodão!$E53:INDEX(Algodão!$E53:$Z53,MIN(AT$6-$G$3,22))&lt;&gt;""),Algodão!$E53:INDEX(Algodão!$E53:$Z53,MIN(AT$6-$G$3,22))),0)))))</f>
        <v>0</v>
      </c>
      <c r="AU55" s="27" t="n">
        <f aca="false">IF(COUNT(Algodão!$E53:$Z53)=0,0,MAX(0,IF((AU$6-$E$3)&lt;1,0,IFERROR(LOOKUP(2,1/(Algodão!$E53:INDEX(Algodão!$E53:$Z53,MIN(AU$6-$E$3,22))&lt;&gt;""),Algodão!$E53:INDEX(Algodão!$E53:$Z53,MIN(AU$6-$E$3,22))),0))-IF($G$2,0,IF((AU$6-$G$3)&lt;1,0,IFERROR(LOOKUP(2,1/(Algodão!$E53:INDEX(Algodão!$E53:$Z53,MIN(AU$6-$G$3,22))&lt;&gt;""),Algodão!$E53:INDEX(Algodão!$E53:$Z53,MIN(AU$6-$G$3,22))),0)))))</f>
        <v>0</v>
      </c>
      <c r="AV55" s="27" t="n">
        <f aca="false">IF(COUNT(Algodão!$E53:$Z53)=0,0,MAX(0,IF((AV$6-$E$3)&lt;1,0,IFERROR(LOOKUP(2,1/(Algodão!$E53:INDEX(Algodão!$E53:$Z53,MIN(AV$6-$E$3,22))&lt;&gt;""),Algodão!$E53:INDEX(Algodão!$E53:$Z53,MIN(AV$6-$E$3,22))),0))-IF($G$2,0,IF((AV$6-$G$3)&lt;1,0,IFERROR(LOOKUP(2,1/(Algodão!$E53:INDEX(Algodão!$E53:$Z53,MIN(AV$6-$G$3,22))&lt;&gt;""),Algodão!$E53:INDEX(Algodão!$E53:$Z53,MIN(AV$6-$G$3,22))),0)))))</f>
        <v>0</v>
      </c>
      <c r="AW55" s="27" t="n">
        <f aca="false">IF(COUNT(Algodão!$E53:$Z53)=0,0,MAX(0,IF((AW$6-$E$3)&lt;1,0,IFERROR(LOOKUP(2,1/(Algodão!$E53:INDEX(Algodão!$E53:$Z53,MIN(AW$6-$E$3,22))&lt;&gt;""),Algodão!$E53:INDEX(Algodão!$E53:$Z53,MIN(AW$6-$E$3,22))),0))-IF($G$2,0,IF((AW$6-$G$3)&lt;1,0,IFERROR(LOOKUP(2,1/(Algodão!$E53:INDEX(Algodão!$E53:$Z53,MIN(AW$6-$G$3,22))&lt;&gt;""),Algodão!$E53:INDEX(Algodão!$E53:$Z53,MIN(AW$6-$G$3,22))),0)))))</f>
        <v>0</v>
      </c>
      <c r="AX55" s="27" t="n">
        <f aca="false">IF(COUNT(Algodão!$E53:$Z53)=0,0,MAX(0,IF((AX$6-$E$3)&lt;1,0,IFERROR(LOOKUP(2,1/(Algodão!$E53:INDEX(Algodão!$E53:$Z53,MIN(AX$6-$E$3,22))&lt;&gt;""),Algodão!$E53:INDEX(Algodão!$E53:$Z53,MIN(AX$6-$E$3,22))),0))-IF($G$2,0,IF((AX$6-$G$3)&lt;1,0,IFERROR(LOOKUP(2,1/(Algodão!$E53:INDEX(Algodão!$E53:$Z53,MIN(AX$6-$G$3,22))&lt;&gt;""),Algodão!$E53:INDEX(Algodão!$E53:$Z53,MIN(AX$6-$G$3,22))),0)))))</f>
        <v>0</v>
      </c>
      <c r="AY55" s="27" t="n">
        <f aca="false">IF(COUNT(Algodão!$E53:$Z53)=0,0,MAX(0,IF((AY$6-$E$3)&lt;1,0,IFERROR(LOOKUP(2,1/(Algodão!$E53:INDEX(Algodão!$E53:$Z53,MIN(AY$6-$E$3,22))&lt;&gt;""),Algodão!$E53:INDEX(Algodão!$E53:$Z53,MIN(AY$6-$E$3,22))),0))-IF($G$2,0,IF((AY$6-$G$3)&lt;1,0,IFERROR(LOOKUP(2,1/(Algodão!$E53:INDEX(Algodão!$E53:$Z53,MIN(AY$6-$G$3,22))&lt;&gt;""),Algodão!$E53:INDEX(Algodão!$E53:$Z53,MIN(AY$6-$G$3,22))),0)))))</f>
        <v>0</v>
      </c>
      <c r="AZ55" s="27" t="n">
        <f aca="false">IF(COUNT(Algodão!$E53:$Z53)=0,0,MAX(0,IF((AZ$6-$E$3)&lt;1,0,IFERROR(LOOKUP(2,1/(Algodão!$E53:INDEX(Algodão!$E53:$Z53,MIN(AZ$6-$E$3,22))&lt;&gt;""),Algodão!$E53:INDEX(Algodão!$E53:$Z53,MIN(AZ$6-$E$3,22))),0))-IF($G$2,0,IF((AZ$6-$G$3)&lt;1,0,IFERROR(LOOKUP(2,1/(Algodão!$E53:INDEX(Algodão!$E53:$Z53,MIN(AZ$6-$G$3,22))&lt;&gt;""),Algodão!$E53:INDEX(Algodão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IF(COUNT(Algodão!$E54:$Z54)&gt;0,N(Algodão!$D54),0)</f>
        <v>0</v>
      </c>
      <c r="E56" s="27" t="n">
        <f aca="false">IF(COUNT(Algodão!$E54:$Z54)=0,0,MAX(0,IF((E$6-$E$3)&lt;1,0,IFERROR(LOOKUP(2,1/(Algodão!$E54:INDEX(Algodão!$E54:$Z54,MIN(E$6-$E$3,22))&lt;&gt;""),Algodão!$E54:INDEX(Algodão!$E54:$Z54,MIN(E$6-$E$3,22))),0))-IF($G$2,0,IF((E$6-$G$3)&lt;1,0,IFERROR(LOOKUP(2,1/(Algodão!$E54:INDEX(Algodão!$E54:$Z54,MIN(E$6-$G$3,22))&lt;&gt;""),Algodão!$E54:INDEX(Algodão!$E54:$Z54,MIN(E$6-$G$3,22))),0)))))</f>
        <v>0</v>
      </c>
      <c r="F56" s="27" t="n">
        <f aca="false">IF(COUNT(Algodão!$E54:$Z54)=0,0,MAX(0,IF((F$6-$E$3)&lt;1,0,IFERROR(LOOKUP(2,1/(Algodão!$E54:INDEX(Algodão!$E54:$Z54,MIN(F$6-$E$3,22))&lt;&gt;""),Algodão!$E54:INDEX(Algodão!$E54:$Z54,MIN(F$6-$E$3,22))),0))-IF($G$2,0,IF((F$6-$G$3)&lt;1,0,IFERROR(LOOKUP(2,1/(Algodão!$E54:INDEX(Algodão!$E54:$Z54,MIN(F$6-$G$3,22))&lt;&gt;""),Algodão!$E54:INDEX(Algodão!$E54:$Z54,MIN(F$6-$G$3,22))),0)))))</f>
        <v>0</v>
      </c>
      <c r="G56" s="27" t="n">
        <f aca="false">IF(COUNT(Algodão!$E54:$Z54)=0,0,MAX(0,IF((G$6-$E$3)&lt;1,0,IFERROR(LOOKUP(2,1/(Algodão!$E54:INDEX(Algodão!$E54:$Z54,MIN(G$6-$E$3,22))&lt;&gt;""),Algodão!$E54:INDEX(Algodão!$E54:$Z54,MIN(G$6-$E$3,22))),0))-IF($G$2,0,IF((G$6-$G$3)&lt;1,0,IFERROR(LOOKUP(2,1/(Algodão!$E54:INDEX(Algodão!$E54:$Z54,MIN(G$6-$G$3,22))&lt;&gt;""),Algodão!$E54:INDEX(Algodão!$E54:$Z54,MIN(G$6-$G$3,22))),0)))))</f>
        <v>0</v>
      </c>
      <c r="H56" s="27" t="n">
        <f aca="false">IF(COUNT(Algodão!$E54:$Z54)=0,0,MAX(0,IF((H$6-$E$3)&lt;1,0,IFERROR(LOOKUP(2,1/(Algodão!$E54:INDEX(Algodão!$E54:$Z54,MIN(H$6-$E$3,22))&lt;&gt;""),Algodão!$E54:INDEX(Algodão!$E54:$Z54,MIN(H$6-$E$3,22))),0))-IF($G$2,0,IF((H$6-$G$3)&lt;1,0,IFERROR(LOOKUP(2,1/(Algodão!$E54:INDEX(Algodão!$E54:$Z54,MIN(H$6-$G$3,22))&lt;&gt;""),Algodão!$E54:INDEX(Algodão!$E54:$Z54,MIN(H$6-$G$3,22))),0)))))</f>
        <v>0</v>
      </c>
      <c r="I56" s="27" t="n">
        <f aca="false">IF(COUNT(Algodão!$E54:$Z54)=0,0,MAX(0,IF((I$6-$E$3)&lt;1,0,IFERROR(LOOKUP(2,1/(Algodão!$E54:INDEX(Algodão!$E54:$Z54,MIN(I$6-$E$3,22))&lt;&gt;""),Algodão!$E54:INDEX(Algodão!$E54:$Z54,MIN(I$6-$E$3,22))),0))-IF($G$2,0,IF((I$6-$G$3)&lt;1,0,IFERROR(LOOKUP(2,1/(Algodão!$E54:INDEX(Algodão!$E54:$Z54,MIN(I$6-$G$3,22))&lt;&gt;""),Algodão!$E54:INDEX(Algodão!$E54:$Z54,MIN(I$6-$G$3,22))),0)))))</f>
        <v>0</v>
      </c>
      <c r="J56" s="27" t="n">
        <f aca="false">IF(COUNT(Algodão!$E54:$Z54)=0,0,MAX(0,IF((J$6-$E$3)&lt;1,0,IFERROR(LOOKUP(2,1/(Algodão!$E54:INDEX(Algodão!$E54:$Z54,MIN(J$6-$E$3,22))&lt;&gt;""),Algodão!$E54:INDEX(Algodão!$E54:$Z54,MIN(J$6-$E$3,22))),0))-IF($G$2,0,IF((J$6-$G$3)&lt;1,0,IFERROR(LOOKUP(2,1/(Algodão!$E54:INDEX(Algodão!$E54:$Z54,MIN(J$6-$G$3,22))&lt;&gt;""),Algodão!$E54:INDEX(Algodão!$E54:$Z54,MIN(J$6-$G$3,22))),0)))))</f>
        <v>0</v>
      </c>
      <c r="K56" s="27" t="n">
        <f aca="false">IF(COUNT(Algodão!$E54:$Z54)=0,0,MAX(0,IF((K$6-$E$3)&lt;1,0,IFERROR(LOOKUP(2,1/(Algodão!$E54:INDEX(Algodão!$E54:$Z54,MIN(K$6-$E$3,22))&lt;&gt;""),Algodão!$E54:INDEX(Algodão!$E54:$Z54,MIN(K$6-$E$3,22))),0))-IF($G$2,0,IF((K$6-$G$3)&lt;1,0,IFERROR(LOOKUP(2,1/(Algodão!$E54:INDEX(Algodão!$E54:$Z54,MIN(K$6-$G$3,22))&lt;&gt;""),Algodão!$E54:INDEX(Algodão!$E54:$Z54,MIN(K$6-$G$3,22))),0)))))</f>
        <v>0</v>
      </c>
      <c r="L56" s="27" t="n">
        <f aca="false">IF(COUNT(Algodão!$E54:$Z54)=0,0,MAX(0,IF((L$6-$E$3)&lt;1,0,IFERROR(LOOKUP(2,1/(Algodão!$E54:INDEX(Algodão!$E54:$Z54,MIN(L$6-$E$3,22))&lt;&gt;""),Algodão!$E54:INDEX(Algodão!$E54:$Z54,MIN(L$6-$E$3,22))),0))-IF($G$2,0,IF((L$6-$G$3)&lt;1,0,IFERROR(LOOKUP(2,1/(Algodão!$E54:INDEX(Algodão!$E54:$Z54,MIN(L$6-$G$3,22))&lt;&gt;""),Algodão!$E54:INDEX(Algodão!$E54:$Z54,MIN(L$6-$G$3,22))),0)))))</f>
        <v>0</v>
      </c>
      <c r="M56" s="27" t="n">
        <f aca="false">IF(COUNT(Algodão!$E54:$Z54)=0,0,MAX(0,IF((M$6-$E$3)&lt;1,0,IFERROR(LOOKUP(2,1/(Algodão!$E54:INDEX(Algodão!$E54:$Z54,MIN(M$6-$E$3,22))&lt;&gt;""),Algodão!$E54:INDEX(Algodão!$E54:$Z54,MIN(M$6-$E$3,22))),0))-IF($G$2,0,IF((M$6-$G$3)&lt;1,0,IFERROR(LOOKUP(2,1/(Algodão!$E54:INDEX(Algodão!$E54:$Z54,MIN(M$6-$G$3,22))&lt;&gt;""),Algodão!$E54:INDEX(Algodão!$E54:$Z54,MIN(M$6-$G$3,22))),0)))))</f>
        <v>0</v>
      </c>
      <c r="N56" s="27" t="n">
        <f aca="false">IF(COUNT(Algodão!$E54:$Z54)=0,0,MAX(0,IF((N$6-$E$3)&lt;1,0,IFERROR(LOOKUP(2,1/(Algodão!$E54:INDEX(Algodão!$E54:$Z54,MIN(N$6-$E$3,22))&lt;&gt;""),Algodão!$E54:INDEX(Algodão!$E54:$Z54,MIN(N$6-$E$3,22))),0))-IF($G$2,0,IF((N$6-$G$3)&lt;1,0,IFERROR(LOOKUP(2,1/(Algodão!$E54:INDEX(Algodão!$E54:$Z54,MIN(N$6-$G$3,22))&lt;&gt;""),Algodão!$E54:INDEX(Algodão!$E54:$Z54,MIN(N$6-$G$3,22))),0)))))</f>
        <v>0</v>
      </c>
      <c r="O56" s="27" t="n">
        <f aca="false">IF(COUNT(Algodão!$E54:$Z54)=0,0,MAX(0,IF((O$6-$E$3)&lt;1,0,IFERROR(LOOKUP(2,1/(Algodão!$E54:INDEX(Algodão!$E54:$Z54,MIN(O$6-$E$3,22))&lt;&gt;""),Algodão!$E54:INDEX(Algodão!$E54:$Z54,MIN(O$6-$E$3,22))),0))-IF($G$2,0,IF((O$6-$G$3)&lt;1,0,IFERROR(LOOKUP(2,1/(Algodão!$E54:INDEX(Algodão!$E54:$Z54,MIN(O$6-$G$3,22))&lt;&gt;""),Algodão!$E54:INDEX(Algodão!$E54:$Z54,MIN(O$6-$G$3,22))),0)))))</f>
        <v>0</v>
      </c>
      <c r="P56" s="27" t="n">
        <f aca="false">IF(COUNT(Algodão!$E54:$Z54)=0,0,MAX(0,IF((P$6-$E$3)&lt;1,0,IFERROR(LOOKUP(2,1/(Algodão!$E54:INDEX(Algodão!$E54:$Z54,MIN(P$6-$E$3,22))&lt;&gt;""),Algodão!$E54:INDEX(Algodão!$E54:$Z54,MIN(P$6-$E$3,22))),0))-IF($G$2,0,IF((P$6-$G$3)&lt;1,0,IFERROR(LOOKUP(2,1/(Algodão!$E54:INDEX(Algodão!$E54:$Z54,MIN(P$6-$G$3,22))&lt;&gt;""),Algodão!$E54:INDEX(Algodão!$E54:$Z54,MIN(P$6-$G$3,22))),0)))))</f>
        <v>0</v>
      </c>
      <c r="Q56" s="27" t="n">
        <f aca="false">IF(COUNT(Algodão!$E54:$Z54)=0,0,MAX(0,IF((Q$6-$E$3)&lt;1,0,IFERROR(LOOKUP(2,1/(Algodão!$E54:INDEX(Algodão!$E54:$Z54,MIN(Q$6-$E$3,22))&lt;&gt;""),Algodão!$E54:INDEX(Algodão!$E54:$Z54,MIN(Q$6-$E$3,22))),0))-IF($G$2,0,IF((Q$6-$G$3)&lt;1,0,IFERROR(LOOKUP(2,1/(Algodão!$E54:INDEX(Algodão!$E54:$Z54,MIN(Q$6-$G$3,22))&lt;&gt;""),Algodão!$E54:INDEX(Algodão!$E54:$Z54,MIN(Q$6-$G$3,22))),0)))))</f>
        <v>0</v>
      </c>
      <c r="R56" s="27" t="n">
        <f aca="false">IF(COUNT(Algodão!$E54:$Z54)=0,0,MAX(0,IF((R$6-$E$3)&lt;1,0,IFERROR(LOOKUP(2,1/(Algodão!$E54:INDEX(Algodão!$E54:$Z54,MIN(R$6-$E$3,22))&lt;&gt;""),Algodão!$E54:INDEX(Algodão!$E54:$Z54,MIN(R$6-$E$3,22))),0))-IF($G$2,0,IF((R$6-$G$3)&lt;1,0,IFERROR(LOOKUP(2,1/(Algodão!$E54:INDEX(Algodão!$E54:$Z54,MIN(R$6-$G$3,22))&lt;&gt;""),Algodão!$E54:INDEX(Algodão!$E54:$Z54,MIN(R$6-$G$3,22))),0)))))</f>
        <v>0</v>
      </c>
      <c r="S56" s="27" t="n">
        <f aca="false">IF(COUNT(Algodão!$E54:$Z54)=0,0,MAX(0,IF((S$6-$E$3)&lt;1,0,IFERROR(LOOKUP(2,1/(Algodão!$E54:INDEX(Algodão!$E54:$Z54,MIN(S$6-$E$3,22))&lt;&gt;""),Algodão!$E54:INDEX(Algodão!$E54:$Z54,MIN(S$6-$E$3,22))),0))-IF($G$2,0,IF((S$6-$G$3)&lt;1,0,IFERROR(LOOKUP(2,1/(Algodão!$E54:INDEX(Algodão!$E54:$Z54,MIN(S$6-$G$3,22))&lt;&gt;""),Algodão!$E54:INDEX(Algodão!$E54:$Z54,MIN(S$6-$G$3,22))),0)))))</f>
        <v>0</v>
      </c>
      <c r="T56" s="27" t="n">
        <f aca="false">IF(COUNT(Algodão!$E54:$Z54)=0,0,MAX(0,IF((T$6-$E$3)&lt;1,0,IFERROR(LOOKUP(2,1/(Algodão!$E54:INDEX(Algodão!$E54:$Z54,MIN(T$6-$E$3,22))&lt;&gt;""),Algodão!$E54:INDEX(Algodão!$E54:$Z54,MIN(T$6-$E$3,22))),0))-IF($G$2,0,IF((T$6-$G$3)&lt;1,0,IFERROR(LOOKUP(2,1/(Algodão!$E54:INDEX(Algodão!$E54:$Z54,MIN(T$6-$G$3,22))&lt;&gt;""),Algodão!$E54:INDEX(Algodão!$E54:$Z54,MIN(T$6-$G$3,22))),0)))))</f>
        <v>0</v>
      </c>
      <c r="U56" s="27" t="n">
        <f aca="false">IF(COUNT(Algodão!$E54:$Z54)=0,0,MAX(0,IF((U$6-$E$3)&lt;1,0,IFERROR(LOOKUP(2,1/(Algodão!$E54:INDEX(Algodão!$E54:$Z54,MIN(U$6-$E$3,22))&lt;&gt;""),Algodão!$E54:INDEX(Algodão!$E54:$Z54,MIN(U$6-$E$3,22))),0))-IF($G$2,0,IF((U$6-$G$3)&lt;1,0,IFERROR(LOOKUP(2,1/(Algodão!$E54:INDEX(Algodão!$E54:$Z54,MIN(U$6-$G$3,22))&lt;&gt;""),Algodão!$E54:INDEX(Algodão!$E54:$Z54,MIN(U$6-$G$3,22))),0)))))</f>
        <v>0</v>
      </c>
      <c r="V56" s="27" t="n">
        <f aca="false">IF(COUNT(Algodão!$E54:$Z54)=0,0,MAX(0,IF((V$6-$E$3)&lt;1,0,IFERROR(LOOKUP(2,1/(Algodão!$E54:INDEX(Algodão!$E54:$Z54,MIN(V$6-$E$3,22))&lt;&gt;""),Algodão!$E54:INDEX(Algodão!$E54:$Z54,MIN(V$6-$E$3,22))),0))-IF($G$2,0,IF((V$6-$G$3)&lt;1,0,IFERROR(LOOKUP(2,1/(Algodão!$E54:INDEX(Algodão!$E54:$Z54,MIN(V$6-$G$3,22))&lt;&gt;""),Algodão!$E54:INDEX(Algodão!$E54:$Z54,MIN(V$6-$G$3,22))),0)))))</f>
        <v>0</v>
      </c>
      <c r="W56" s="27" t="n">
        <f aca="false">IF(COUNT(Algodão!$E54:$Z54)=0,0,MAX(0,IF((W$6-$E$3)&lt;1,0,IFERROR(LOOKUP(2,1/(Algodão!$E54:INDEX(Algodão!$E54:$Z54,MIN(W$6-$E$3,22))&lt;&gt;""),Algodão!$E54:INDEX(Algodão!$E54:$Z54,MIN(W$6-$E$3,22))),0))-IF($G$2,0,IF((W$6-$G$3)&lt;1,0,IFERROR(LOOKUP(2,1/(Algodão!$E54:INDEX(Algodão!$E54:$Z54,MIN(W$6-$G$3,22))&lt;&gt;""),Algodão!$E54:INDEX(Algodão!$E54:$Z54,MIN(W$6-$G$3,22))),0)))))</f>
        <v>0</v>
      </c>
      <c r="X56" s="27" t="n">
        <f aca="false">IF(COUNT(Algodão!$E54:$Z54)=0,0,MAX(0,IF((X$6-$E$3)&lt;1,0,IFERROR(LOOKUP(2,1/(Algodão!$E54:INDEX(Algodão!$E54:$Z54,MIN(X$6-$E$3,22))&lt;&gt;""),Algodão!$E54:INDEX(Algodão!$E54:$Z54,MIN(X$6-$E$3,22))),0))-IF($G$2,0,IF((X$6-$G$3)&lt;1,0,IFERROR(LOOKUP(2,1/(Algodão!$E54:INDEX(Algodão!$E54:$Z54,MIN(X$6-$G$3,22))&lt;&gt;""),Algodão!$E54:INDEX(Algodão!$E54:$Z54,MIN(X$6-$G$3,22))),0)))))</f>
        <v>0</v>
      </c>
      <c r="Y56" s="27" t="n">
        <f aca="false">IF(COUNT(Algodão!$E54:$Z54)=0,0,MAX(0,IF((Y$6-$E$3)&lt;1,0,IFERROR(LOOKUP(2,1/(Algodão!$E54:INDEX(Algodão!$E54:$Z54,MIN(Y$6-$E$3,22))&lt;&gt;""),Algodão!$E54:INDEX(Algodão!$E54:$Z54,MIN(Y$6-$E$3,22))),0))-IF($G$2,0,IF((Y$6-$G$3)&lt;1,0,IFERROR(LOOKUP(2,1/(Algodão!$E54:INDEX(Algodão!$E54:$Z54,MIN(Y$6-$G$3,22))&lt;&gt;""),Algodão!$E54:INDEX(Algodão!$E54:$Z54,MIN(Y$6-$G$3,22))),0)))))</f>
        <v>0</v>
      </c>
      <c r="Z56" s="27" t="n">
        <f aca="false">IF(COUNT(Algodão!$E54:$Z54)=0,0,MAX(0,IF((Z$6-$E$3)&lt;1,0,IFERROR(LOOKUP(2,1/(Algodão!$E54:INDEX(Algodão!$E54:$Z54,MIN(Z$6-$E$3,22))&lt;&gt;""),Algodão!$E54:INDEX(Algodão!$E54:$Z54,MIN(Z$6-$E$3,22))),0))-IF($G$2,0,IF((Z$6-$G$3)&lt;1,0,IFERROR(LOOKUP(2,1/(Algodão!$E54:INDEX(Algodão!$E54:$Z54,MIN(Z$6-$G$3,22))&lt;&gt;""),Algodão!$E54:INDEX(Algodão!$E54:$Z54,MIN(Z$6-$G$3,22))),0)))))</f>
        <v>0</v>
      </c>
      <c r="AA56" s="27" t="n">
        <f aca="false">IF(COUNT(Algodão!$E54:$Z54)=0,0,MAX(0,IF((AA$6-$E$3)&lt;1,0,IFERROR(LOOKUP(2,1/(Algodão!$E54:INDEX(Algodão!$E54:$Z54,MIN(AA$6-$E$3,22))&lt;&gt;""),Algodão!$E54:INDEX(Algodão!$E54:$Z54,MIN(AA$6-$E$3,22))),0))-IF($G$2,0,IF((AA$6-$G$3)&lt;1,0,IFERROR(LOOKUP(2,1/(Algodão!$E54:INDEX(Algodão!$E54:$Z54,MIN(AA$6-$G$3,22))&lt;&gt;""),Algodão!$E54:INDEX(Algodão!$E54:$Z54,MIN(AA$6-$G$3,22))),0)))))</f>
        <v>0</v>
      </c>
      <c r="AB56" s="27" t="n">
        <f aca="false">IF(COUNT(Algodão!$E54:$Z54)=0,0,MAX(0,IF((AB$6-$E$3)&lt;1,0,IFERROR(LOOKUP(2,1/(Algodão!$E54:INDEX(Algodão!$E54:$Z54,MIN(AB$6-$E$3,22))&lt;&gt;""),Algodão!$E54:INDEX(Algodão!$E54:$Z54,MIN(AB$6-$E$3,22))),0))-IF($G$2,0,IF((AB$6-$G$3)&lt;1,0,IFERROR(LOOKUP(2,1/(Algodão!$E54:INDEX(Algodão!$E54:$Z54,MIN(AB$6-$G$3,22))&lt;&gt;""),Algodão!$E54:INDEX(Algodão!$E54:$Z54,MIN(AB$6-$G$3,22))),0)))))</f>
        <v>0</v>
      </c>
      <c r="AC56" s="27" t="n">
        <f aca="false">IF(COUNT(Algodão!$E54:$Z54)=0,0,MAX(0,IF((AC$6-$E$3)&lt;1,0,IFERROR(LOOKUP(2,1/(Algodão!$E54:INDEX(Algodão!$E54:$Z54,MIN(AC$6-$E$3,22))&lt;&gt;""),Algodão!$E54:INDEX(Algodão!$E54:$Z54,MIN(AC$6-$E$3,22))),0))-IF($G$2,0,IF((AC$6-$G$3)&lt;1,0,IFERROR(LOOKUP(2,1/(Algodão!$E54:INDEX(Algodão!$E54:$Z54,MIN(AC$6-$G$3,22))&lt;&gt;""),Algodão!$E54:INDEX(Algodão!$E54:$Z54,MIN(AC$6-$G$3,22))),0)))))</f>
        <v>0</v>
      </c>
      <c r="AD56" s="27" t="n">
        <f aca="false">IF(COUNT(Algodão!$E54:$Z54)=0,0,MAX(0,IF((AD$6-$E$3)&lt;1,0,IFERROR(LOOKUP(2,1/(Algodão!$E54:INDEX(Algodão!$E54:$Z54,MIN(AD$6-$E$3,22))&lt;&gt;""),Algodão!$E54:INDEX(Algodão!$E54:$Z54,MIN(AD$6-$E$3,22))),0))-IF($G$2,0,IF((AD$6-$G$3)&lt;1,0,IFERROR(LOOKUP(2,1/(Algodão!$E54:INDEX(Algodão!$E54:$Z54,MIN(AD$6-$G$3,22))&lt;&gt;""),Algodão!$E54:INDEX(Algodão!$E54:$Z54,MIN(AD$6-$G$3,22))),0)))))</f>
        <v>0</v>
      </c>
      <c r="AE56" s="27" t="n">
        <f aca="false">IF(COUNT(Algodão!$E54:$Z54)=0,0,MAX(0,IF((AE$6-$E$3)&lt;1,0,IFERROR(LOOKUP(2,1/(Algodão!$E54:INDEX(Algodão!$E54:$Z54,MIN(AE$6-$E$3,22))&lt;&gt;""),Algodão!$E54:INDEX(Algodão!$E54:$Z54,MIN(AE$6-$E$3,22))),0))-IF($G$2,0,IF((AE$6-$G$3)&lt;1,0,IFERROR(LOOKUP(2,1/(Algodão!$E54:INDEX(Algodão!$E54:$Z54,MIN(AE$6-$G$3,22))&lt;&gt;""),Algodão!$E54:INDEX(Algodão!$E54:$Z54,MIN(AE$6-$G$3,22))),0)))))</f>
        <v>0</v>
      </c>
      <c r="AF56" s="27" t="n">
        <f aca="false">IF(COUNT(Algodão!$E54:$Z54)=0,0,MAX(0,IF((AF$6-$E$3)&lt;1,0,IFERROR(LOOKUP(2,1/(Algodão!$E54:INDEX(Algodão!$E54:$Z54,MIN(AF$6-$E$3,22))&lt;&gt;""),Algodão!$E54:INDEX(Algodão!$E54:$Z54,MIN(AF$6-$E$3,22))),0))-IF($G$2,0,IF((AF$6-$G$3)&lt;1,0,IFERROR(LOOKUP(2,1/(Algodão!$E54:INDEX(Algodão!$E54:$Z54,MIN(AF$6-$G$3,22))&lt;&gt;""),Algodão!$E54:INDEX(Algodão!$E54:$Z54,MIN(AF$6-$G$3,22))),0)))))</f>
        <v>0</v>
      </c>
      <c r="AG56" s="27" t="n">
        <f aca="false">IF(COUNT(Algodão!$E54:$Z54)=0,0,MAX(0,IF((AG$6-$E$3)&lt;1,0,IFERROR(LOOKUP(2,1/(Algodão!$E54:INDEX(Algodão!$E54:$Z54,MIN(AG$6-$E$3,22))&lt;&gt;""),Algodão!$E54:INDEX(Algodão!$E54:$Z54,MIN(AG$6-$E$3,22))),0))-IF($G$2,0,IF((AG$6-$G$3)&lt;1,0,IFERROR(LOOKUP(2,1/(Algodão!$E54:INDEX(Algodão!$E54:$Z54,MIN(AG$6-$G$3,22))&lt;&gt;""),Algodão!$E54:INDEX(Algodão!$E54:$Z54,MIN(AG$6-$G$3,22))),0)))))</f>
        <v>0</v>
      </c>
      <c r="AH56" s="27" t="n">
        <f aca="false">IF(COUNT(Algodão!$E54:$Z54)=0,0,MAX(0,IF((AH$6-$E$3)&lt;1,0,IFERROR(LOOKUP(2,1/(Algodão!$E54:INDEX(Algodão!$E54:$Z54,MIN(AH$6-$E$3,22))&lt;&gt;""),Algodão!$E54:INDEX(Algodão!$E54:$Z54,MIN(AH$6-$E$3,22))),0))-IF($G$2,0,IF((AH$6-$G$3)&lt;1,0,IFERROR(LOOKUP(2,1/(Algodão!$E54:INDEX(Algodão!$E54:$Z54,MIN(AH$6-$G$3,22))&lt;&gt;""),Algodão!$E54:INDEX(Algodão!$E54:$Z54,MIN(AH$6-$G$3,22))),0)))))</f>
        <v>0</v>
      </c>
      <c r="AI56" s="27" t="n">
        <f aca="false">IF(COUNT(Algodão!$E54:$Z54)=0,0,MAX(0,IF((AI$6-$E$3)&lt;1,0,IFERROR(LOOKUP(2,1/(Algodão!$E54:INDEX(Algodão!$E54:$Z54,MIN(AI$6-$E$3,22))&lt;&gt;""),Algodão!$E54:INDEX(Algodão!$E54:$Z54,MIN(AI$6-$E$3,22))),0))-IF($G$2,0,IF((AI$6-$G$3)&lt;1,0,IFERROR(LOOKUP(2,1/(Algodão!$E54:INDEX(Algodão!$E54:$Z54,MIN(AI$6-$G$3,22))&lt;&gt;""),Algodão!$E54:INDEX(Algodão!$E54:$Z54,MIN(AI$6-$G$3,22))),0)))))</f>
        <v>0</v>
      </c>
      <c r="AJ56" s="27" t="n">
        <f aca="false">IF(COUNT(Algodão!$E54:$Z54)=0,0,MAX(0,IF((AJ$6-$E$3)&lt;1,0,IFERROR(LOOKUP(2,1/(Algodão!$E54:INDEX(Algodão!$E54:$Z54,MIN(AJ$6-$E$3,22))&lt;&gt;""),Algodão!$E54:INDEX(Algodão!$E54:$Z54,MIN(AJ$6-$E$3,22))),0))-IF($G$2,0,IF((AJ$6-$G$3)&lt;1,0,IFERROR(LOOKUP(2,1/(Algodão!$E54:INDEX(Algodão!$E54:$Z54,MIN(AJ$6-$G$3,22))&lt;&gt;""),Algodão!$E54:INDEX(Algodão!$E54:$Z54,MIN(AJ$6-$G$3,22))),0)))))</f>
        <v>0</v>
      </c>
      <c r="AK56" s="27" t="n">
        <f aca="false">IF(COUNT(Algodão!$E54:$Z54)=0,0,MAX(0,IF((AK$6-$E$3)&lt;1,0,IFERROR(LOOKUP(2,1/(Algodão!$E54:INDEX(Algodão!$E54:$Z54,MIN(AK$6-$E$3,22))&lt;&gt;""),Algodão!$E54:INDEX(Algodão!$E54:$Z54,MIN(AK$6-$E$3,22))),0))-IF($G$2,0,IF((AK$6-$G$3)&lt;1,0,IFERROR(LOOKUP(2,1/(Algodão!$E54:INDEX(Algodão!$E54:$Z54,MIN(AK$6-$G$3,22))&lt;&gt;""),Algodão!$E54:INDEX(Algodão!$E54:$Z54,MIN(AK$6-$G$3,22))),0)))))</f>
        <v>0</v>
      </c>
      <c r="AL56" s="27" t="n">
        <f aca="false">IF(COUNT(Algodão!$E54:$Z54)=0,0,MAX(0,IF((AL$6-$E$3)&lt;1,0,IFERROR(LOOKUP(2,1/(Algodão!$E54:INDEX(Algodão!$E54:$Z54,MIN(AL$6-$E$3,22))&lt;&gt;""),Algodão!$E54:INDEX(Algodão!$E54:$Z54,MIN(AL$6-$E$3,22))),0))-IF($G$2,0,IF((AL$6-$G$3)&lt;1,0,IFERROR(LOOKUP(2,1/(Algodão!$E54:INDEX(Algodão!$E54:$Z54,MIN(AL$6-$G$3,22))&lt;&gt;""),Algodão!$E54:INDEX(Algodão!$E54:$Z54,MIN(AL$6-$G$3,22))),0)))))</f>
        <v>0</v>
      </c>
      <c r="AM56" s="27" t="n">
        <f aca="false">IF(COUNT(Algodão!$E54:$Z54)=0,0,MAX(0,IF((AM$6-$E$3)&lt;1,0,IFERROR(LOOKUP(2,1/(Algodão!$E54:INDEX(Algodão!$E54:$Z54,MIN(AM$6-$E$3,22))&lt;&gt;""),Algodão!$E54:INDEX(Algodão!$E54:$Z54,MIN(AM$6-$E$3,22))),0))-IF($G$2,0,IF((AM$6-$G$3)&lt;1,0,IFERROR(LOOKUP(2,1/(Algodão!$E54:INDEX(Algodão!$E54:$Z54,MIN(AM$6-$G$3,22))&lt;&gt;""),Algodão!$E54:INDEX(Algodão!$E54:$Z54,MIN(AM$6-$G$3,22))),0)))))</f>
        <v>0</v>
      </c>
      <c r="AN56" s="27" t="n">
        <f aca="false">IF(COUNT(Algodão!$E54:$Z54)=0,0,MAX(0,IF((AN$6-$E$3)&lt;1,0,IFERROR(LOOKUP(2,1/(Algodão!$E54:INDEX(Algodão!$E54:$Z54,MIN(AN$6-$E$3,22))&lt;&gt;""),Algodão!$E54:INDEX(Algodão!$E54:$Z54,MIN(AN$6-$E$3,22))),0))-IF($G$2,0,IF((AN$6-$G$3)&lt;1,0,IFERROR(LOOKUP(2,1/(Algodão!$E54:INDEX(Algodão!$E54:$Z54,MIN(AN$6-$G$3,22))&lt;&gt;""),Algodão!$E54:INDEX(Algodão!$E54:$Z54,MIN(AN$6-$G$3,22))),0)))))</f>
        <v>0</v>
      </c>
      <c r="AO56" s="27" t="n">
        <f aca="false">IF(COUNT(Algodão!$E54:$Z54)=0,0,MAX(0,IF((AO$6-$E$3)&lt;1,0,IFERROR(LOOKUP(2,1/(Algodão!$E54:INDEX(Algodão!$E54:$Z54,MIN(AO$6-$E$3,22))&lt;&gt;""),Algodão!$E54:INDEX(Algodão!$E54:$Z54,MIN(AO$6-$E$3,22))),0))-IF($G$2,0,IF((AO$6-$G$3)&lt;1,0,IFERROR(LOOKUP(2,1/(Algodão!$E54:INDEX(Algodão!$E54:$Z54,MIN(AO$6-$G$3,22))&lt;&gt;""),Algodão!$E54:INDEX(Algodão!$E54:$Z54,MIN(AO$6-$G$3,22))),0)))))</f>
        <v>0</v>
      </c>
      <c r="AP56" s="27" t="n">
        <f aca="false">IF(COUNT(Algodão!$E54:$Z54)=0,0,MAX(0,IF((AP$6-$E$3)&lt;1,0,IFERROR(LOOKUP(2,1/(Algodão!$E54:INDEX(Algodão!$E54:$Z54,MIN(AP$6-$E$3,22))&lt;&gt;""),Algodão!$E54:INDEX(Algodão!$E54:$Z54,MIN(AP$6-$E$3,22))),0))-IF($G$2,0,IF((AP$6-$G$3)&lt;1,0,IFERROR(LOOKUP(2,1/(Algodão!$E54:INDEX(Algodão!$E54:$Z54,MIN(AP$6-$G$3,22))&lt;&gt;""),Algodão!$E54:INDEX(Algodão!$E54:$Z54,MIN(AP$6-$G$3,22))),0)))))</f>
        <v>0</v>
      </c>
      <c r="AQ56" s="27" t="n">
        <f aca="false">IF(COUNT(Algodão!$E54:$Z54)=0,0,MAX(0,IF((AQ$6-$E$3)&lt;1,0,IFERROR(LOOKUP(2,1/(Algodão!$E54:INDEX(Algodão!$E54:$Z54,MIN(AQ$6-$E$3,22))&lt;&gt;""),Algodão!$E54:INDEX(Algodão!$E54:$Z54,MIN(AQ$6-$E$3,22))),0))-IF($G$2,0,IF((AQ$6-$G$3)&lt;1,0,IFERROR(LOOKUP(2,1/(Algodão!$E54:INDEX(Algodão!$E54:$Z54,MIN(AQ$6-$G$3,22))&lt;&gt;""),Algodão!$E54:INDEX(Algodão!$E54:$Z54,MIN(AQ$6-$G$3,22))),0)))))</f>
        <v>0</v>
      </c>
      <c r="AR56" s="27" t="n">
        <f aca="false">IF(COUNT(Algodão!$E54:$Z54)=0,0,MAX(0,IF((AR$6-$E$3)&lt;1,0,IFERROR(LOOKUP(2,1/(Algodão!$E54:INDEX(Algodão!$E54:$Z54,MIN(AR$6-$E$3,22))&lt;&gt;""),Algodão!$E54:INDEX(Algodão!$E54:$Z54,MIN(AR$6-$E$3,22))),0))-IF($G$2,0,IF((AR$6-$G$3)&lt;1,0,IFERROR(LOOKUP(2,1/(Algodão!$E54:INDEX(Algodão!$E54:$Z54,MIN(AR$6-$G$3,22))&lt;&gt;""),Algodão!$E54:INDEX(Algodão!$E54:$Z54,MIN(AR$6-$G$3,22))),0)))))</f>
        <v>0</v>
      </c>
      <c r="AS56" s="27" t="n">
        <f aca="false">IF(COUNT(Algodão!$E54:$Z54)=0,0,MAX(0,IF((AS$6-$E$3)&lt;1,0,IFERROR(LOOKUP(2,1/(Algodão!$E54:INDEX(Algodão!$E54:$Z54,MIN(AS$6-$E$3,22))&lt;&gt;""),Algodão!$E54:INDEX(Algodão!$E54:$Z54,MIN(AS$6-$E$3,22))),0))-IF($G$2,0,IF((AS$6-$G$3)&lt;1,0,IFERROR(LOOKUP(2,1/(Algodão!$E54:INDEX(Algodão!$E54:$Z54,MIN(AS$6-$G$3,22))&lt;&gt;""),Algodão!$E54:INDEX(Algodão!$E54:$Z54,MIN(AS$6-$G$3,22))),0)))))</f>
        <v>0</v>
      </c>
      <c r="AT56" s="27" t="n">
        <f aca="false">IF(COUNT(Algodão!$E54:$Z54)=0,0,MAX(0,IF((AT$6-$E$3)&lt;1,0,IFERROR(LOOKUP(2,1/(Algodão!$E54:INDEX(Algodão!$E54:$Z54,MIN(AT$6-$E$3,22))&lt;&gt;""),Algodão!$E54:INDEX(Algodão!$E54:$Z54,MIN(AT$6-$E$3,22))),0))-IF($G$2,0,IF((AT$6-$G$3)&lt;1,0,IFERROR(LOOKUP(2,1/(Algodão!$E54:INDEX(Algodão!$E54:$Z54,MIN(AT$6-$G$3,22))&lt;&gt;""),Algodão!$E54:INDEX(Algodão!$E54:$Z54,MIN(AT$6-$G$3,22))),0)))))</f>
        <v>0</v>
      </c>
      <c r="AU56" s="27" t="n">
        <f aca="false">IF(COUNT(Algodão!$E54:$Z54)=0,0,MAX(0,IF((AU$6-$E$3)&lt;1,0,IFERROR(LOOKUP(2,1/(Algodão!$E54:INDEX(Algodão!$E54:$Z54,MIN(AU$6-$E$3,22))&lt;&gt;""),Algodão!$E54:INDEX(Algodão!$E54:$Z54,MIN(AU$6-$E$3,22))),0))-IF($G$2,0,IF((AU$6-$G$3)&lt;1,0,IFERROR(LOOKUP(2,1/(Algodão!$E54:INDEX(Algodão!$E54:$Z54,MIN(AU$6-$G$3,22))&lt;&gt;""),Algodão!$E54:INDEX(Algodão!$E54:$Z54,MIN(AU$6-$G$3,22))),0)))))</f>
        <v>0</v>
      </c>
      <c r="AV56" s="27" t="n">
        <f aca="false">IF(COUNT(Algodão!$E54:$Z54)=0,0,MAX(0,IF((AV$6-$E$3)&lt;1,0,IFERROR(LOOKUP(2,1/(Algodão!$E54:INDEX(Algodão!$E54:$Z54,MIN(AV$6-$E$3,22))&lt;&gt;""),Algodão!$E54:INDEX(Algodão!$E54:$Z54,MIN(AV$6-$E$3,22))),0))-IF($G$2,0,IF((AV$6-$G$3)&lt;1,0,IFERROR(LOOKUP(2,1/(Algodão!$E54:INDEX(Algodão!$E54:$Z54,MIN(AV$6-$G$3,22))&lt;&gt;""),Algodão!$E54:INDEX(Algodão!$E54:$Z54,MIN(AV$6-$G$3,22))),0)))))</f>
        <v>0</v>
      </c>
      <c r="AW56" s="27" t="n">
        <f aca="false">IF(COUNT(Algodão!$E54:$Z54)=0,0,MAX(0,IF((AW$6-$E$3)&lt;1,0,IFERROR(LOOKUP(2,1/(Algodão!$E54:INDEX(Algodão!$E54:$Z54,MIN(AW$6-$E$3,22))&lt;&gt;""),Algodão!$E54:INDEX(Algodão!$E54:$Z54,MIN(AW$6-$E$3,22))),0))-IF($G$2,0,IF((AW$6-$G$3)&lt;1,0,IFERROR(LOOKUP(2,1/(Algodão!$E54:INDEX(Algodão!$E54:$Z54,MIN(AW$6-$G$3,22))&lt;&gt;""),Algodão!$E54:INDEX(Algodão!$E54:$Z54,MIN(AW$6-$G$3,22))),0)))))</f>
        <v>0</v>
      </c>
      <c r="AX56" s="27" t="n">
        <f aca="false">IF(COUNT(Algodão!$E54:$Z54)=0,0,MAX(0,IF((AX$6-$E$3)&lt;1,0,IFERROR(LOOKUP(2,1/(Algodão!$E54:INDEX(Algodão!$E54:$Z54,MIN(AX$6-$E$3,22))&lt;&gt;""),Algodão!$E54:INDEX(Algodão!$E54:$Z54,MIN(AX$6-$E$3,22))),0))-IF($G$2,0,IF((AX$6-$G$3)&lt;1,0,IFERROR(LOOKUP(2,1/(Algodão!$E54:INDEX(Algodão!$E54:$Z54,MIN(AX$6-$G$3,22))&lt;&gt;""),Algodão!$E54:INDEX(Algodão!$E54:$Z54,MIN(AX$6-$G$3,22))),0)))))</f>
        <v>0</v>
      </c>
      <c r="AY56" s="27" t="n">
        <f aca="false">IF(COUNT(Algodão!$E54:$Z54)=0,0,MAX(0,IF((AY$6-$E$3)&lt;1,0,IFERROR(LOOKUP(2,1/(Algodão!$E54:INDEX(Algodão!$E54:$Z54,MIN(AY$6-$E$3,22))&lt;&gt;""),Algodão!$E54:INDEX(Algodão!$E54:$Z54,MIN(AY$6-$E$3,22))),0))-IF($G$2,0,IF((AY$6-$G$3)&lt;1,0,IFERROR(LOOKUP(2,1/(Algodão!$E54:INDEX(Algodão!$E54:$Z54,MIN(AY$6-$G$3,22))&lt;&gt;""),Algodão!$E54:INDEX(Algodão!$E54:$Z54,MIN(AY$6-$G$3,22))),0)))))</f>
        <v>0</v>
      </c>
      <c r="AZ56" s="27" t="n">
        <f aca="false">IF(COUNT(Algodão!$E54:$Z54)=0,0,MAX(0,IF((AZ$6-$E$3)&lt;1,0,IFERROR(LOOKUP(2,1/(Algodão!$E54:INDEX(Algodão!$E54:$Z54,MIN(AZ$6-$E$3,22))&lt;&gt;""),Algodão!$E54:INDEX(Algodão!$E54:$Z54,MIN(AZ$6-$E$3,22))),0))-IF($G$2,0,IF((AZ$6-$G$3)&lt;1,0,IFERROR(LOOKUP(2,1/(Algodão!$E54:INDEX(Algodão!$E54:$Z54,MIN(AZ$6-$G$3,22))&lt;&gt;""),Algodão!$E54:INDEX(Algodão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IF(COUNT(Algodão!$E55:$Z55)&gt;0,N(Algodão!$D55),0)</f>
        <v>0</v>
      </c>
      <c r="E57" s="27" t="n">
        <f aca="false">IF(COUNT(Algodão!$E55:$Z55)=0,0,MAX(0,IF((E$6-$E$3)&lt;1,0,IFERROR(LOOKUP(2,1/(Algodão!$E55:INDEX(Algodão!$E55:$Z55,MIN(E$6-$E$3,22))&lt;&gt;""),Algodão!$E55:INDEX(Algodão!$E55:$Z55,MIN(E$6-$E$3,22))),0))-IF($G$2,0,IF((E$6-$G$3)&lt;1,0,IFERROR(LOOKUP(2,1/(Algodão!$E55:INDEX(Algodão!$E55:$Z55,MIN(E$6-$G$3,22))&lt;&gt;""),Algodão!$E55:INDEX(Algodão!$E55:$Z55,MIN(E$6-$G$3,22))),0)))))</f>
        <v>0</v>
      </c>
      <c r="F57" s="27" t="n">
        <f aca="false">IF(COUNT(Algodão!$E55:$Z55)=0,0,MAX(0,IF((F$6-$E$3)&lt;1,0,IFERROR(LOOKUP(2,1/(Algodão!$E55:INDEX(Algodão!$E55:$Z55,MIN(F$6-$E$3,22))&lt;&gt;""),Algodão!$E55:INDEX(Algodão!$E55:$Z55,MIN(F$6-$E$3,22))),0))-IF($G$2,0,IF((F$6-$G$3)&lt;1,0,IFERROR(LOOKUP(2,1/(Algodão!$E55:INDEX(Algodão!$E55:$Z55,MIN(F$6-$G$3,22))&lt;&gt;""),Algodão!$E55:INDEX(Algodão!$E55:$Z55,MIN(F$6-$G$3,22))),0)))))</f>
        <v>0</v>
      </c>
      <c r="G57" s="27" t="n">
        <f aca="false">IF(COUNT(Algodão!$E55:$Z55)=0,0,MAX(0,IF((G$6-$E$3)&lt;1,0,IFERROR(LOOKUP(2,1/(Algodão!$E55:INDEX(Algodão!$E55:$Z55,MIN(G$6-$E$3,22))&lt;&gt;""),Algodão!$E55:INDEX(Algodão!$E55:$Z55,MIN(G$6-$E$3,22))),0))-IF($G$2,0,IF((G$6-$G$3)&lt;1,0,IFERROR(LOOKUP(2,1/(Algodão!$E55:INDEX(Algodão!$E55:$Z55,MIN(G$6-$G$3,22))&lt;&gt;""),Algodão!$E55:INDEX(Algodão!$E55:$Z55,MIN(G$6-$G$3,22))),0)))))</f>
        <v>0</v>
      </c>
      <c r="H57" s="27" t="n">
        <f aca="false">IF(COUNT(Algodão!$E55:$Z55)=0,0,MAX(0,IF((H$6-$E$3)&lt;1,0,IFERROR(LOOKUP(2,1/(Algodão!$E55:INDEX(Algodão!$E55:$Z55,MIN(H$6-$E$3,22))&lt;&gt;""),Algodão!$E55:INDEX(Algodão!$E55:$Z55,MIN(H$6-$E$3,22))),0))-IF($G$2,0,IF((H$6-$G$3)&lt;1,0,IFERROR(LOOKUP(2,1/(Algodão!$E55:INDEX(Algodão!$E55:$Z55,MIN(H$6-$G$3,22))&lt;&gt;""),Algodão!$E55:INDEX(Algodão!$E55:$Z55,MIN(H$6-$G$3,22))),0)))))</f>
        <v>0</v>
      </c>
      <c r="I57" s="27" t="n">
        <f aca="false">IF(COUNT(Algodão!$E55:$Z55)=0,0,MAX(0,IF((I$6-$E$3)&lt;1,0,IFERROR(LOOKUP(2,1/(Algodão!$E55:INDEX(Algodão!$E55:$Z55,MIN(I$6-$E$3,22))&lt;&gt;""),Algodão!$E55:INDEX(Algodão!$E55:$Z55,MIN(I$6-$E$3,22))),0))-IF($G$2,0,IF((I$6-$G$3)&lt;1,0,IFERROR(LOOKUP(2,1/(Algodão!$E55:INDEX(Algodão!$E55:$Z55,MIN(I$6-$G$3,22))&lt;&gt;""),Algodão!$E55:INDEX(Algodão!$E55:$Z55,MIN(I$6-$G$3,22))),0)))))</f>
        <v>0</v>
      </c>
      <c r="J57" s="27" t="n">
        <f aca="false">IF(COUNT(Algodão!$E55:$Z55)=0,0,MAX(0,IF((J$6-$E$3)&lt;1,0,IFERROR(LOOKUP(2,1/(Algodão!$E55:INDEX(Algodão!$E55:$Z55,MIN(J$6-$E$3,22))&lt;&gt;""),Algodão!$E55:INDEX(Algodão!$E55:$Z55,MIN(J$6-$E$3,22))),0))-IF($G$2,0,IF((J$6-$G$3)&lt;1,0,IFERROR(LOOKUP(2,1/(Algodão!$E55:INDEX(Algodão!$E55:$Z55,MIN(J$6-$G$3,22))&lt;&gt;""),Algodão!$E55:INDEX(Algodão!$E55:$Z55,MIN(J$6-$G$3,22))),0)))))</f>
        <v>0</v>
      </c>
      <c r="K57" s="27" t="n">
        <f aca="false">IF(COUNT(Algodão!$E55:$Z55)=0,0,MAX(0,IF((K$6-$E$3)&lt;1,0,IFERROR(LOOKUP(2,1/(Algodão!$E55:INDEX(Algodão!$E55:$Z55,MIN(K$6-$E$3,22))&lt;&gt;""),Algodão!$E55:INDEX(Algodão!$E55:$Z55,MIN(K$6-$E$3,22))),0))-IF($G$2,0,IF((K$6-$G$3)&lt;1,0,IFERROR(LOOKUP(2,1/(Algodão!$E55:INDEX(Algodão!$E55:$Z55,MIN(K$6-$G$3,22))&lt;&gt;""),Algodão!$E55:INDEX(Algodão!$E55:$Z55,MIN(K$6-$G$3,22))),0)))))</f>
        <v>0</v>
      </c>
      <c r="L57" s="27" t="n">
        <f aca="false">IF(COUNT(Algodão!$E55:$Z55)=0,0,MAX(0,IF((L$6-$E$3)&lt;1,0,IFERROR(LOOKUP(2,1/(Algodão!$E55:INDEX(Algodão!$E55:$Z55,MIN(L$6-$E$3,22))&lt;&gt;""),Algodão!$E55:INDEX(Algodão!$E55:$Z55,MIN(L$6-$E$3,22))),0))-IF($G$2,0,IF((L$6-$G$3)&lt;1,0,IFERROR(LOOKUP(2,1/(Algodão!$E55:INDEX(Algodão!$E55:$Z55,MIN(L$6-$G$3,22))&lt;&gt;""),Algodão!$E55:INDEX(Algodão!$E55:$Z55,MIN(L$6-$G$3,22))),0)))))</f>
        <v>0</v>
      </c>
      <c r="M57" s="27" t="n">
        <f aca="false">IF(COUNT(Algodão!$E55:$Z55)=0,0,MAX(0,IF((M$6-$E$3)&lt;1,0,IFERROR(LOOKUP(2,1/(Algodão!$E55:INDEX(Algodão!$E55:$Z55,MIN(M$6-$E$3,22))&lt;&gt;""),Algodão!$E55:INDEX(Algodão!$E55:$Z55,MIN(M$6-$E$3,22))),0))-IF($G$2,0,IF((M$6-$G$3)&lt;1,0,IFERROR(LOOKUP(2,1/(Algodão!$E55:INDEX(Algodão!$E55:$Z55,MIN(M$6-$G$3,22))&lt;&gt;""),Algodão!$E55:INDEX(Algodão!$E55:$Z55,MIN(M$6-$G$3,22))),0)))))</f>
        <v>0</v>
      </c>
      <c r="N57" s="27" t="n">
        <f aca="false">IF(COUNT(Algodão!$E55:$Z55)=0,0,MAX(0,IF((N$6-$E$3)&lt;1,0,IFERROR(LOOKUP(2,1/(Algodão!$E55:INDEX(Algodão!$E55:$Z55,MIN(N$6-$E$3,22))&lt;&gt;""),Algodão!$E55:INDEX(Algodão!$E55:$Z55,MIN(N$6-$E$3,22))),0))-IF($G$2,0,IF((N$6-$G$3)&lt;1,0,IFERROR(LOOKUP(2,1/(Algodão!$E55:INDEX(Algodão!$E55:$Z55,MIN(N$6-$G$3,22))&lt;&gt;""),Algodão!$E55:INDEX(Algodão!$E55:$Z55,MIN(N$6-$G$3,22))),0)))))</f>
        <v>0</v>
      </c>
      <c r="O57" s="27" t="n">
        <f aca="false">IF(COUNT(Algodão!$E55:$Z55)=0,0,MAX(0,IF((O$6-$E$3)&lt;1,0,IFERROR(LOOKUP(2,1/(Algodão!$E55:INDEX(Algodão!$E55:$Z55,MIN(O$6-$E$3,22))&lt;&gt;""),Algodão!$E55:INDEX(Algodão!$E55:$Z55,MIN(O$6-$E$3,22))),0))-IF($G$2,0,IF((O$6-$G$3)&lt;1,0,IFERROR(LOOKUP(2,1/(Algodão!$E55:INDEX(Algodão!$E55:$Z55,MIN(O$6-$G$3,22))&lt;&gt;""),Algodão!$E55:INDEX(Algodão!$E55:$Z55,MIN(O$6-$G$3,22))),0)))))</f>
        <v>0</v>
      </c>
      <c r="P57" s="27" t="n">
        <f aca="false">IF(COUNT(Algodão!$E55:$Z55)=0,0,MAX(0,IF((P$6-$E$3)&lt;1,0,IFERROR(LOOKUP(2,1/(Algodão!$E55:INDEX(Algodão!$E55:$Z55,MIN(P$6-$E$3,22))&lt;&gt;""),Algodão!$E55:INDEX(Algodão!$E55:$Z55,MIN(P$6-$E$3,22))),0))-IF($G$2,0,IF((P$6-$G$3)&lt;1,0,IFERROR(LOOKUP(2,1/(Algodão!$E55:INDEX(Algodão!$E55:$Z55,MIN(P$6-$G$3,22))&lt;&gt;""),Algodão!$E55:INDEX(Algodão!$E55:$Z55,MIN(P$6-$G$3,22))),0)))))</f>
        <v>0</v>
      </c>
      <c r="Q57" s="27" t="n">
        <f aca="false">IF(COUNT(Algodão!$E55:$Z55)=0,0,MAX(0,IF((Q$6-$E$3)&lt;1,0,IFERROR(LOOKUP(2,1/(Algodão!$E55:INDEX(Algodão!$E55:$Z55,MIN(Q$6-$E$3,22))&lt;&gt;""),Algodão!$E55:INDEX(Algodão!$E55:$Z55,MIN(Q$6-$E$3,22))),0))-IF($G$2,0,IF((Q$6-$G$3)&lt;1,0,IFERROR(LOOKUP(2,1/(Algodão!$E55:INDEX(Algodão!$E55:$Z55,MIN(Q$6-$G$3,22))&lt;&gt;""),Algodão!$E55:INDEX(Algodão!$E55:$Z55,MIN(Q$6-$G$3,22))),0)))))</f>
        <v>0</v>
      </c>
      <c r="R57" s="27" t="n">
        <f aca="false">IF(COUNT(Algodão!$E55:$Z55)=0,0,MAX(0,IF((R$6-$E$3)&lt;1,0,IFERROR(LOOKUP(2,1/(Algodão!$E55:INDEX(Algodão!$E55:$Z55,MIN(R$6-$E$3,22))&lt;&gt;""),Algodão!$E55:INDEX(Algodão!$E55:$Z55,MIN(R$6-$E$3,22))),0))-IF($G$2,0,IF((R$6-$G$3)&lt;1,0,IFERROR(LOOKUP(2,1/(Algodão!$E55:INDEX(Algodão!$E55:$Z55,MIN(R$6-$G$3,22))&lt;&gt;""),Algodão!$E55:INDEX(Algodão!$E55:$Z55,MIN(R$6-$G$3,22))),0)))))</f>
        <v>0</v>
      </c>
      <c r="S57" s="27" t="n">
        <f aca="false">IF(COUNT(Algodão!$E55:$Z55)=0,0,MAX(0,IF((S$6-$E$3)&lt;1,0,IFERROR(LOOKUP(2,1/(Algodão!$E55:INDEX(Algodão!$E55:$Z55,MIN(S$6-$E$3,22))&lt;&gt;""),Algodão!$E55:INDEX(Algodão!$E55:$Z55,MIN(S$6-$E$3,22))),0))-IF($G$2,0,IF((S$6-$G$3)&lt;1,0,IFERROR(LOOKUP(2,1/(Algodão!$E55:INDEX(Algodão!$E55:$Z55,MIN(S$6-$G$3,22))&lt;&gt;""),Algodão!$E55:INDEX(Algodão!$E55:$Z55,MIN(S$6-$G$3,22))),0)))))</f>
        <v>0</v>
      </c>
      <c r="T57" s="27" t="n">
        <f aca="false">IF(COUNT(Algodão!$E55:$Z55)=0,0,MAX(0,IF((T$6-$E$3)&lt;1,0,IFERROR(LOOKUP(2,1/(Algodão!$E55:INDEX(Algodão!$E55:$Z55,MIN(T$6-$E$3,22))&lt;&gt;""),Algodão!$E55:INDEX(Algodão!$E55:$Z55,MIN(T$6-$E$3,22))),0))-IF($G$2,0,IF((T$6-$G$3)&lt;1,0,IFERROR(LOOKUP(2,1/(Algodão!$E55:INDEX(Algodão!$E55:$Z55,MIN(T$6-$G$3,22))&lt;&gt;""),Algodão!$E55:INDEX(Algodão!$E55:$Z55,MIN(T$6-$G$3,22))),0)))))</f>
        <v>0</v>
      </c>
      <c r="U57" s="27" t="n">
        <f aca="false">IF(COUNT(Algodão!$E55:$Z55)=0,0,MAX(0,IF((U$6-$E$3)&lt;1,0,IFERROR(LOOKUP(2,1/(Algodão!$E55:INDEX(Algodão!$E55:$Z55,MIN(U$6-$E$3,22))&lt;&gt;""),Algodão!$E55:INDEX(Algodão!$E55:$Z55,MIN(U$6-$E$3,22))),0))-IF($G$2,0,IF((U$6-$G$3)&lt;1,0,IFERROR(LOOKUP(2,1/(Algodão!$E55:INDEX(Algodão!$E55:$Z55,MIN(U$6-$G$3,22))&lt;&gt;""),Algodão!$E55:INDEX(Algodão!$E55:$Z55,MIN(U$6-$G$3,22))),0)))))</f>
        <v>0</v>
      </c>
      <c r="V57" s="27" t="n">
        <f aca="false">IF(COUNT(Algodão!$E55:$Z55)=0,0,MAX(0,IF((V$6-$E$3)&lt;1,0,IFERROR(LOOKUP(2,1/(Algodão!$E55:INDEX(Algodão!$E55:$Z55,MIN(V$6-$E$3,22))&lt;&gt;""),Algodão!$E55:INDEX(Algodão!$E55:$Z55,MIN(V$6-$E$3,22))),0))-IF($G$2,0,IF((V$6-$G$3)&lt;1,0,IFERROR(LOOKUP(2,1/(Algodão!$E55:INDEX(Algodão!$E55:$Z55,MIN(V$6-$G$3,22))&lt;&gt;""),Algodão!$E55:INDEX(Algodão!$E55:$Z55,MIN(V$6-$G$3,22))),0)))))</f>
        <v>0</v>
      </c>
      <c r="W57" s="27" t="n">
        <f aca="false">IF(COUNT(Algodão!$E55:$Z55)=0,0,MAX(0,IF((W$6-$E$3)&lt;1,0,IFERROR(LOOKUP(2,1/(Algodão!$E55:INDEX(Algodão!$E55:$Z55,MIN(W$6-$E$3,22))&lt;&gt;""),Algodão!$E55:INDEX(Algodão!$E55:$Z55,MIN(W$6-$E$3,22))),0))-IF($G$2,0,IF((W$6-$G$3)&lt;1,0,IFERROR(LOOKUP(2,1/(Algodão!$E55:INDEX(Algodão!$E55:$Z55,MIN(W$6-$G$3,22))&lt;&gt;""),Algodão!$E55:INDEX(Algodão!$E55:$Z55,MIN(W$6-$G$3,22))),0)))))</f>
        <v>0</v>
      </c>
      <c r="X57" s="27" t="n">
        <f aca="false">IF(COUNT(Algodão!$E55:$Z55)=0,0,MAX(0,IF((X$6-$E$3)&lt;1,0,IFERROR(LOOKUP(2,1/(Algodão!$E55:INDEX(Algodão!$E55:$Z55,MIN(X$6-$E$3,22))&lt;&gt;""),Algodão!$E55:INDEX(Algodão!$E55:$Z55,MIN(X$6-$E$3,22))),0))-IF($G$2,0,IF((X$6-$G$3)&lt;1,0,IFERROR(LOOKUP(2,1/(Algodão!$E55:INDEX(Algodão!$E55:$Z55,MIN(X$6-$G$3,22))&lt;&gt;""),Algodão!$E55:INDEX(Algodão!$E55:$Z55,MIN(X$6-$G$3,22))),0)))))</f>
        <v>0</v>
      </c>
      <c r="Y57" s="27" t="n">
        <f aca="false">IF(COUNT(Algodão!$E55:$Z55)=0,0,MAX(0,IF((Y$6-$E$3)&lt;1,0,IFERROR(LOOKUP(2,1/(Algodão!$E55:INDEX(Algodão!$E55:$Z55,MIN(Y$6-$E$3,22))&lt;&gt;""),Algodão!$E55:INDEX(Algodão!$E55:$Z55,MIN(Y$6-$E$3,22))),0))-IF($G$2,0,IF((Y$6-$G$3)&lt;1,0,IFERROR(LOOKUP(2,1/(Algodão!$E55:INDEX(Algodão!$E55:$Z55,MIN(Y$6-$G$3,22))&lt;&gt;""),Algodão!$E55:INDEX(Algodão!$E55:$Z55,MIN(Y$6-$G$3,22))),0)))))</f>
        <v>0</v>
      </c>
      <c r="Z57" s="27" t="n">
        <f aca="false">IF(COUNT(Algodão!$E55:$Z55)=0,0,MAX(0,IF((Z$6-$E$3)&lt;1,0,IFERROR(LOOKUP(2,1/(Algodão!$E55:INDEX(Algodão!$E55:$Z55,MIN(Z$6-$E$3,22))&lt;&gt;""),Algodão!$E55:INDEX(Algodão!$E55:$Z55,MIN(Z$6-$E$3,22))),0))-IF($G$2,0,IF((Z$6-$G$3)&lt;1,0,IFERROR(LOOKUP(2,1/(Algodão!$E55:INDEX(Algodão!$E55:$Z55,MIN(Z$6-$G$3,22))&lt;&gt;""),Algodão!$E55:INDEX(Algodão!$E55:$Z55,MIN(Z$6-$G$3,22))),0)))))</f>
        <v>0</v>
      </c>
      <c r="AA57" s="27" t="n">
        <f aca="false">IF(COUNT(Algodão!$E55:$Z55)=0,0,MAX(0,IF((AA$6-$E$3)&lt;1,0,IFERROR(LOOKUP(2,1/(Algodão!$E55:INDEX(Algodão!$E55:$Z55,MIN(AA$6-$E$3,22))&lt;&gt;""),Algodão!$E55:INDEX(Algodão!$E55:$Z55,MIN(AA$6-$E$3,22))),0))-IF($G$2,0,IF((AA$6-$G$3)&lt;1,0,IFERROR(LOOKUP(2,1/(Algodão!$E55:INDEX(Algodão!$E55:$Z55,MIN(AA$6-$G$3,22))&lt;&gt;""),Algodão!$E55:INDEX(Algodão!$E55:$Z55,MIN(AA$6-$G$3,22))),0)))))</f>
        <v>0</v>
      </c>
      <c r="AB57" s="27" t="n">
        <f aca="false">IF(COUNT(Algodão!$E55:$Z55)=0,0,MAX(0,IF((AB$6-$E$3)&lt;1,0,IFERROR(LOOKUP(2,1/(Algodão!$E55:INDEX(Algodão!$E55:$Z55,MIN(AB$6-$E$3,22))&lt;&gt;""),Algodão!$E55:INDEX(Algodão!$E55:$Z55,MIN(AB$6-$E$3,22))),0))-IF($G$2,0,IF((AB$6-$G$3)&lt;1,0,IFERROR(LOOKUP(2,1/(Algodão!$E55:INDEX(Algodão!$E55:$Z55,MIN(AB$6-$G$3,22))&lt;&gt;""),Algodão!$E55:INDEX(Algodão!$E55:$Z55,MIN(AB$6-$G$3,22))),0)))))</f>
        <v>0</v>
      </c>
      <c r="AC57" s="27" t="n">
        <f aca="false">IF(COUNT(Algodão!$E55:$Z55)=0,0,MAX(0,IF((AC$6-$E$3)&lt;1,0,IFERROR(LOOKUP(2,1/(Algodão!$E55:INDEX(Algodão!$E55:$Z55,MIN(AC$6-$E$3,22))&lt;&gt;""),Algodão!$E55:INDEX(Algodão!$E55:$Z55,MIN(AC$6-$E$3,22))),0))-IF($G$2,0,IF((AC$6-$G$3)&lt;1,0,IFERROR(LOOKUP(2,1/(Algodão!$E55:INDEX(Algodão!$E55:$Z55,MIN(AC$6-$G$3,22))&lt;&gt;""),Algodão!$E55:INDEX(Algodão!$E55:$Z55,MIN(AC$6-$G$3,22))),0)))))</f>
        <v>0</v>
      </c>
      <c r="AD57" s="27" t="n">
        <f aca="false">IF(COUNT(Algodão!$E55:$Z55)=0,0,MAX(0,IF((AD$6-$E$3)&lt;1,0,IFERROR(LOOKUP(2,1/(Algodão!$E55:INDEX(Algodão!$E55:$Z55,MIN(AD$6-$E$3,22))&lt;&gt;""),Algodão!$E55:INDEX(Algodão!$E55:$Z55,MIN(AD$6-$E$3,22))),0))-IF($G$2,0,IF((AD$6-$G$3)&lt;1,0,IFERROR(LOOKUP(2,1/(Algodão!$E55:INDEX(Algodão!$E55:$Z55,MIN(AD$6-$G$3,22))&lt;&gt;""),Algodão!$E55:INDEX(Algodão!$E55:$Z55,MIN(AD$6-$G$3,22))),0)))))</f>
        <v>0</v>
      </c>
      <c r="AE57" s="27" t="n">
        <f aca="false">IF(COUNT(Algodão!$E55:$Z55)=0,0,MAX(0,IF((AE$6-$E$3)&lt;1,0,IFERROR(LOOKUP(2,1/(Algodão!$E55:INDEX(Algodão!$E55:$Z55,MIN(AE$6-$E$3,22))&lt;&gt;""),Algodão!$E55:INDEX(Algodão!$E55:$Z55,MIN(AE$6-$E$3,22))),0))-IF($G$2,0,IF((AE$6-$G$3)&lt;1,0,IFERROR(LOOKUP(2,1/(Algodão!$E55:INDEX(Algodão!$E55:$Z55,MIN(AE$6-$G$3,22))&lt;&gt;""),Algodão!$E55:INDEX(Algodão!$E55:$Z55,MIN(AE$6-$G$3,22))),0)))))</f>
        <v>0</v>
      </c>
      <c r="AF57" s="27" t="n">
        <f aca="false">IF(COUNT(Algodão!$E55:$Z55)=0,0,MAX(0,IF((AF$6-$E$3)&lt;1,0,IFERROR(LOOKUP(2,1/(Algodão!$E55:INDEX(Algodão!$E55:$Z55,MIN(AF$6-$E$3,22))&lt;&gt;""),Algodão!$E55:INDEX(Algodão!$E55:$Z55,MIN(AF$6-$E$3,22))),0))-IF($G$2,0,IF((AF$6-$G$3)&lt;1,0,IFERROR(LOOKUP(2,1/(Algodão!$E55:INDEX(Algodão!$E55:$Z55,MIN(AF$6-$G$3,22))&lt;&gt;""),Algodão!$E55:INDEX(Algodão!$E55:$Z55,MIN(AF$6-$G$3,22))),0)))))</f>
        <v>0</v>
      </c>
      <c r="AG57" s="27" t="n">
        <f aca="false">IF(COUNT(Algodão!$E55:$Z55)=0,0,MAX(0,IF((AG$6-$E$3)&lt;1,0,IFERROR(LOOKUP(2,1/(Algodão!$E55:INDEX(Algodão!$E55:$Z55,MIN(AG$6-$E$3,22))&lt;&gt;""),Algodão!$E55:INDEX(Algodão!$E55:$Z55,MIN(AG$6-$E$3,22))),0))-IF($G$2,0,IF((AG$6-$G$3)&lt;1,0,IFERROR(LOOKUP(2,1/(Algodão!$E55:INDEX(Algodão!$E55:$Z55,MIN(AG$6-$G$3,22))&lt;&gt;""),Algodão!$E55:INDEX(Algodão!$E55:$Z55,MIN(AG$6-$G$3,22))),0)))))</f>
        <v>0</v>
      </c>
      <c r="AH57" s="27" t="n">
        <f aca="false">IF(COUNT(Algodão!$E55:$Z55)=0,0,MAX(0,IF((AH$6-$E$3)&lt;1,0,IFERROR(LOOKUP(2,1/(Algodão!$E55:INDEX(Algodão!$E55:$Z55,MIN(AH$6-$E$3,22))&lt;&gt;""),Algodão!$E55:INDEX(Algodão!$E55:$Z55,MIN(AH$6-$E$3,22))),0))-IF($G$2,0,IF((AH$6-$G$3)&lt;1,0,IFERROR(LOOKUP(2,1/(Algodão!$E55:INDEX(Algodão!$E55:$Z55,MIN(AH$6-$G$3,22))&lt;&gt;""),Algodão!$E55:INDEX(Algodão!$E55:$Z55,MIN(AH$6-$G$3,22))),0)))))</f>
        <v>0</v>
      </c>
      <c r="AI57" s="27" t="n">
        <f aca="false">IF(COUNT(Algodão!$E55:$Z55)=0,0,MAX(0,IF((AI$6-$E$3)&lt;1,0,IFERROR(LOOKUP(2,1/(Algodão!$E55:INDEX(Algodão!$E55:$Z55,MIN(AI$6-$E$3,22))&lt;&gt;""),Algodão!$E55:INDEX(Algodão!$E55:$Z55,MIN(AI$6-$E$3,22))),0))-IF($G$2,0,IF((AI$6-$G$3)&lt;1,0,IFERROR(LOOKUP(2,1/(Algodão!$E55:INDEX(Algodão!$E55:$Z55,MIN(AI$6-$G$3,22))&lt;&gt;""),Algodão!$E55:INDEX(Algodão!$E55:$Z55,MIN(AI$6-$G$3,22))),0)))))</f>
        <v>0</v>
      </c>
      <c r="AJ57" s="27" t="n">
        <f aca="false">IF(COUNT(Algodão!$E55:$Z55)=0,0,MAX(0,IF((AJ$6-$E$3)&lt;1,0,IFERROR(LOOKUP(2,1/(Algodão!$E55:INDEX(Algodão!$E55:$Z55,MIN(AJ$6-$E$3,22))&lt;&gt;""),Algodão!$E55:INDEX(Algodão!$E55:$Z55,MIN(AJ$6-$E$3,22))),0))-IF($G$2,0,IF((AJ$6-$G$3)&lt;1,0,IFERROR(LOOKUP(2,1/(Algodão!$E55:INDEX(Algodão!$E55:$Z55,MIN(AJ$6-$G$3,22))&lt;&gt;""),Algodão!$E55:INDEX(Algodão!$E55:$Z55,MIN(AJ$6-$G$3,22))),0)))))</f>
        <v>0</v>
      </c>
      <c r="AK57" s="27" t="n">
        <f aca="false">IF(COUNT(Algodão!$E55:$Z55)=0,0,MAX(0,IF((AK$6-$E$3)&lt;1,0,IFERROR(LOOKUP(2,1/(Algodão!$E55:INDEX(Algodão!$E55:$Z55,MIN(AK$6-$E$3,22))&lt;&gt;""),Algodão!$E55:INDEX(Algodão!$E55:$Z55,MIN(AK$6-$E$3,22))),0))-IF($G$2,0,IF((AK$6-$G$3)&lt;1,0,IFERROR(LOOKUP(2,1/(Algodão!$E55:INDEX(Algodão!$E55:$Z55,MIN(AK$6-$G$3,22))&lt;&gt;""),Algodão!$E55:INDEX(Algodão!$E55:$Z55,MIN(AK$6-$G$3,22))),0)))))</f>
        <v>0</v>
      </c>
      <c r="AL57" s="27" t="n">
        <f aca="false">IF(COUNT(Algodão!$E55:$Z55)=0,0,MAX(0,IF((AL$6-$E$3)&lt;1,0,IFERROR(LOOKUP(2,1/(Algodão!$E55:INDEX(Algodão!$E55:$Z55,MIN(AL$6-$E$3,22))&lt;&gt;""),Algodão!$E55:INDEX(Algodão!$E55:$Z55,MIN(AL$6-$E$3,22))),0))-IF($G$2,0,IF((AL$6-$G$3)&lt;1,0,IFERROR(LOOKUP(2,1/(Algodão!$E55:INDEX(Algodão!$E55:$Z55,MIN(AL$6-$G$3,22))&lt;&gt;""),Algodão!$E55:INDEX(Algodão!$E55:$Z55,MIN(AL$6-$G$3,22))),0)))))</f>
        <v>0</v>
      </c>
      <c r="AM57" s="27" t="n">
        <f aca="false">IF(COUNT(Algodão!$E55:$Z55)=0,0,MAX(0,IF((AM$6-$E$3)&lt;1,0,IFERROR(LOOKUP(2,1/(Algodão!$E55:INDEX(Algodão!$E55:$Z55,MIN(AM$6-$E$3,22))&lt;&gt;""),Algodão!$E55:INDEX(Algodão!$E55:$Z55,MIN(AM$6-$E$3,22))),0))-IF($G$2,0,IF((AM$6-$G$3)&lt;1,0,IFERROR(LOOKUP(2,1/(Algodão!$E55:INDEX(Algodão!$E55:$Z55,MIN(AM$6-$G$3,22))&lt;&gt;""),Algodão!$E55:INDEX(Algodão!$E55:$Z55,MIN(AM$6-$G$3,22))),0)))))</f>
        <v>0</v>
      </c>
      <c r="AN57" s="27" t="n">
        <f aca="false">IF(COUNT(Algodão!$E55:$Z55)=0,0,MAX(0,IF((AN$6-$E$3)&lt;1,0,IFERROR(LOOKUP(2,1/(Algodão!$E55:INDEX(Algodão!$E55:$Z55,MIN(AN$6-$E$3,22))&lt;&gt;""),Algodão!$E55:INDEX(Algodão!$E55:$Z55,MIN(AN$6-$E$3,22))),0))-IF($G$2,0,IF((AN$6-$G$3)&lt;1,0,IFERROR(LOOKUP(2,1/(Algodão!$E55:INDEX(Algodão!$E55:$Z55,MIN(AN$6-$G$3,22))&lt;&gt;""),Algodão!$E55:INDEX(Algodão!$E55:$Z55,MIN(AN$6-$G$3,22))),0)))))</f>
        <v>0</v>
      </c>
      <c r="AO57" s="27" t="n">
        <f aca="false">IF(COUNT(Algodão!$E55:$Z55)=0,0,MAX(0,IF((AO$6-$E$3)&lt;1,0,IFERROR(LOOKUP(2,1/(Algodão!$E55:INDEX(Algodão!$E55:$Z55,MIN(AO$6-$E$3,22))&lt;&gt;""),Algodão!$E55:INDEX(Algodão!$E55:$Z55,MIN(AO$6-$E$3,22))),0))-IF($G$2,0,IF((AO$6-$G$3)&lt;1,0,IFERROR(LOOKUP(2,1/(Algodão!$E55:INDEX(Algodão!$E55:$Z55,MIN(AO$6-$G$3,22))&lt;&gt;""),Algodão!$E55:INDEX(Algodão!$E55:$Z55,MIN(AO$6-$G$3,22))),0)))))</f>
        <v>0</v>
      </c>
      <c r="AP57" s="27" t="n">
        <f aca="false">IF(COUNT(Algodão!$E55:$Z55)=0,0,MAX(0,IF((AP$6-$E$3)&lt;1,0,IFERROR(LOOKUP(2,1/(Algodão!$E55:INDEX(Algodão!$E55:$Z55,MIN(AP$6-$E$3,22))&lt;&gt;""),Algodão!$E55:INDEX(Algodão!$E55:$Z55,MIN(AP$6-$E$3,22))),0))-IF($G$2,0,IF((AP$6-$G$3)&lt;1,0,IFERROR(LOOKUP(2,1/(Algodão!$E55:INDEX(Algodão!$E55:$Z55,MIN(AP$6-$G$3,22))&lt;&gt;""),Algodão!$E55:INDEX(Algodão!$E55:$Z55,MIN(AP$6-$G$3,22))),0)))))</f>
        <v>0</v>
      </c>
      <c r="AQ57" s="27" t="n">
        <f aca="false">IF(COUNT(Algodão!$E55:$Z55)=0,0,MAX(0,IF((AQ$6-$E$3)&lt;1,0,IFERROR(LOOKUP(2,1/(Algodão!$E55:INDEX(Algodão!$E55:$Z55,MIN(AQ$6-$E$3,22))&lt;&gt;""),Algodão!$E55:INDEX(Algodão!$E55:$Z55,MIN(AQ$6-$E$3,22))),0))-IF($G$2,0,IF((AQ$6-$G$3)&lt;1,0,IFERROR(LOOKUP(2,1/(Algodão!$E55:INDEX(Algodão!$E55:$Z55,MIN(AQ$6-$G$3,22))&lt;&gt;""),Algodão!$E55:INDEX(Algodão!$E55:$Z55,MIN(AQ$6-$G$3,22))),0)))))</f>
        <v>0</v>
      </c>
      <c r="AR57" s="27" t="n">
        <f aca="false">IF(COUNT(Algodão!$E55:$Z55)=0,0,MAX(0,IF((AR$6-$E$3)&lt;1,0,IFERROR(LOOKUP(2,1/(Algodão!$E55:INDEX(Algodão!$E55:$Z55,MIN(AR$6-$E$3,22))&lt;&gt;""),Algodão!$E55:INDEX(Algodão!$E55:$Z55,MIN(AR$6-$E$3,22))),0))-IF($G$2,0,IF((AR$6-$G$3)&lt;1,0,IFERROR(LOOKUP(2,1/(Algodão!$E55:INDEX(Algodão!$E55:$Z55,MIN(AR$6-$G$3,22))&lt;&gt;""),Algodão!$E55:INDEX(Algodão!$E55:$Z55,MIN(AR$6-$G$3,22))),0)))))</f>
        <v>0</v>
      </c>
      <c r="AS57" s="27" t="n">
        <f aca="false">IF(COUNT(Algodão!$E55:$Z55)=0,0,MAX(0,IF((AS$6-$E$3)&lt;1,0,IFERROR(LOOKUP(2,1/(Algodão!$E55:INDEX(Algodão!$E55:$Z55,MIN(AS$6-$E$3,22))&lt;&gt;""),Algodão!$E55:INDEX(Algodão!$E55:$Z55,MIN(AS$6-$E$3,22))),0))-IF($G$2,0,IF((AS$6-$G$3)&lt;1,0,IFERROR(LOOKUP(2,1/(Algodão!$E55:INDEX(Algodão!$E55:$Z55,MIN(AS$6-$G$3,22))&lt;&gt;""),Algodão!$E55:INDEX(Algodão!$E55:$Z55,MIN(AS$6-$G$3,22))),0)))))</f>
        <v>0</v>
      </c>
      <c r="AT57" s="27" t="n">
        <f aca="false">IF(COUNT(Algodão!$E55:$Z55)=0,0,MAX(0,IF((AT$6-$E$3)&lt;1,0,IFERROR(LOOKUP(2,1/(Algodão!$E55:INDEX(Algodão!$E55:$Z55,MIN(AT$6-$E$3,22))&lt;&gt;""),Algodão!$E55:INDEX(Algodão!$E55:$Z55,MIN(AT$6-$E$3,22))),0))-IF($G$2,0,IF((AT$6-$G$3)&lt;1,0,IFERROR(LOOKUP(2,1/(Algodão!$E55:INDEX(Algodão!$E55:$Z55,MIN(AT$6-$G$3,22))&lt;&gt;""),Algodão!$E55:INDEX(Algodão!$E55:$Z55,MIN(AT$6-$G$3,22))),0)))))</f>
        <v>0</v>
      </c>
      <c r="AU57" s="27" t="n">
        <f aca="false">IF(COUNT(Algodão!$E55:$Z55)=0,0,MAX(0,IF((AU$6-$E$3)&lt;1,0,IFERROR(LOOKUP(2,1/(Algodão!$E55:INDEX(Algodão!$E55:$Z55,MIN(AU$6-$E$3,22))&lt;&gt;""),Algodão!$E55:INDEX(Algodão!$E55:$Z55,MIN(AU$6-$E$3,22))),0))-IF($G$2,0,IF((AU$6-$G$3)&lt;1,0,IFERROR(LOOKUP(2,1/(Algodão!$E55:INDEX(Algodão!$E55:$Z55,MIN(AU$6-$G$3,22))&lt;&gt;""),Algodão!$E55:INDEX(Algodão!$E55:$Z55,MIN(AU$6-$G$3,22))),0)))))</f>
        <v>0</v>
      </c>
      <c r="AV57" s="27" t="n">
        <f aca="false">IF(COUNT(Algodão!$E55:$Z55)=0,0,MAX(0,IF((AV$6-$E$3)&lt;1,0,IFERROR(LOOKUP(2,1/(Algodão!$E55:INDEX(Algodão!$E55:$Z55,MIN(AV$6-$E$3,22))&lt;&gt;""),Algodão!$E55:INDEX(Algodão!$E55:$Z55,MIN(AV$6-$E$3,22))),0))-IF($G$2,0,IF((AV$6-$G$3)&lt;1,0,IFERROR(LOOKUP(2,1/(Algodão!$E55:INDEX(Algodão!$E55:$Z55,MIN(AV$6-$G$3,22))&lt;&gt;""),Algodão!$E55:INDEX(Algodão!$E55:$Z55,MIN(AV$6-$G$3,22))),0)))))</f>
        <v>0</v>
      </c>
      <c r="AW57" s="27" t="n">
        <f aca="false">IF(COUNT(Algodão!$E55:$Z55)=0,0,MAX(0,IF((AW$6-$E$3)&lt;1,0,IFERROR(LOOKUP(2,1/(Algodão!$E55:INDEX(Algodão!$E55:$Z55,MIN(AW$6-$E$3,22))&lt;&gt;""),Algodão!$E55:INDEX(Algodão!$E55:$Z55,MIN(AW$6-$E$3,22))),0))-IF($G$2,0,IF((AW$6-$G$3)&lt;1,0,IFERROR(LOOKUP(2,1/(Algodão!$E55:INDEX(Algodão!$E55:$Z55,MIN(AW$6-$G$3,22))&lt;&gt;""),Algodão!$E55:INDEX(Algodão!$E55:$Z55,MIN(AW$6-$G$3,22))),0)))))</f>
        <v>0</v>
      </c>
      <c r="AX57" s="27" t="n">
        <f aca="false">IF(COUNT(Algodão!$E55:$Z55)=0,0,MAX(0,IF((AX$6-$E$3)&lt;1,0,IFERROR(LOOKUP(2,1/(Algodão!$E55:INDEX(Algodão!$E55:$Z55,MIN(AX$6-$E$3,22))&lt;&gt;""),Algodão!$E55:INDEX(Algodão!$E55:$Z55,MIN(AX$6-$E$3,22))),0))-IF($G$2,0,IF((AX$6-$G$3)&lt;1,0,IFERROR(LOOKUP(2,1/(Algodão!$E55:INDEX(Algodão!$E55:$Z55,MIN(AX$6-$G$3,22))&lt;&gt;""),Algodão!$E55:INDEX(Algodão!$E55:$Z55,MIN(AX$6-$G$3,22))),0)))))</f>
        <v>0</v>
      </c>
      <c r="AY57" s="27" t="n">
        <f aca="false">IF(COUNT(Algodão!$E55:$Z55)=0,0,MAX(0,IF((AY$6-$E$3)&lt;1,0,IFERROR(LOOKUP(2,1/(Algodão!$E55:INDEX(Algodão!$E55:$Z55,MIN(AY$6-$E$3,22))&lt;&gt;""),Algodão!$E55:INDEX(Algodão!$E55:$Z55,MIN(AY$6-$E$3,22))),0))-IF($G$2,0,IF((AY$6-$G$3)&lt;1,0,IFERROR(LOOKUP(2,1/(Algodão!$E55:INDEX(Algodão!$E55:$Z55,MIN(AY$6-$G$3,22))&lt;&gt;""),Algodão!$E55:INDEX(Algodão!$E55:$Z55,MIN(AY$6-$G$3,22))),0)))))</f>
        <v>0</v>
      </c>
      <c r="AZ57" s="27" t="n">
        <f aca="false">IF(COUNT(Algodão!$E55:$Z55)=0,0,MAX(0,IF((AZ$6-$E$3)&lt;1,0,IFERROR(LOOKUP(2,1/(Algodão!$E55:INDEX(Algodão!$E55:$Z55,MIN(AZ$6-$E$3,22))&lt;&gt;""),Algodão!$E55:INDEX(Algodão!$E55:$Z55,MIN(AZ$6-$E$3,22))),0))-IF($G$2,0,IF((AZ$6-$G$3)&lt;1,0,IFERROR(LOOKUP(2,1/(Algodão!$E55:INDEX(Algodão!$E55:$Z55,MIN(AZ$6-$G$3,22))&lt;&gt;""),Algodão!$E55:INDEX(Algodão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IF(COUNT(Algodão!$E56:$Z56)&gt;0,N(Algodão!$D56),0)</f>
        <v>0</v>
      </c>
      <c r="E58" s="27" t="n">
        <f aca="false">IF(COUNT(Algodão!$E56:$Z56)=0,0,MAX(0,IF((E$6-$E$3)&lt;1,0,IFERROR(LOOKUP(2,1/(Algodão!$E56:INDEX(Algodão!$E56:$Z56,MIN(E$6-$E$3,22))&lt;&gt;""),Algodão!$E56:INDEX(Algodão!$E56:$Z56,MIN(E$6-$E$3,22))),0))-IF($G$2,0,IF((E$6-$G$3)&lt;1,0,IFERROR(LOOKUP(2,1/(Algodão!$E56:INDEX(Algodão!$E56:$Z56,MIN(E$6-$G$3,22))&lt;&gt;""),Algodão!$E56:INDEX(Algodão!$E56:$Z56,MIN(E$6-$G$3,22))),0)))))</f>
        <v>0</v>
      </c>
      <c r="F58" s="27" t="n">
        <f aca="false">IF(COUNT(Algodão!$E56:$Z56)=0,0,MAX(0,IF((F$6-$E$3)&lt;1,0,IFERROR(LOOKUP(2,1/(Algodão!$E56:INDEX(Algodão!$E56:$Z56,MIN(F$6-$E$3,22))&lt;&gt;""),Algodão!$E56:INDEX(Algodão!$E56:$Z56,MIN(F$6-$E$3,22))),0))-IF($G$2,0,IF((F$6-$G$3)&lt;1,0,IFERROR(LOOKUP(2,1/(Algodão!$E56:INDEX(Algodão!$E56:$Z56,MIN(F$6-$G$3,22))&lt;&gt;""),Algodão!$E56:INDEX(Algodão!$E56:$Z56,MIN(F$6-$G$3,22))),0)))))</f>
        <v>0</v>
      </c>
      <c r="G58" s="27" t="n">
        <f aca="false">IF(COUNT(Algodão!$E56:$Z56)=0,0,MAX(0,IF((G$6-$E$3)&lt;1,0,IFERROR(LOOKUP(2,1/(Algodão!$E56:INDEX(Algodão!$E56:$Z56,MIN(G$6-$E$3,22))&lt;&gt;""),Algodão!$E56:INDEX(Algodão!$E56:$Z56,MIN(G$6-$E$3,22))),0))-IF($G$2,0,IF((G$6-$G$3)&lt;1,0,IFERROR(LOOKUP(2,1/(Algodão!$E56:INDEX(Algodão!$E56:$Z56,MIN(G$6-$G$3,22))&lt;&gt;""),Algodão!$E56:INDEX(Algodão!$E56:$Z56,MIN(G$6-$G$3,22))),0)))))</f>
        <v>0</v>
      </c>
      <c r="H58" s="27" t="n">
        <f aca="false">IF(COUNT(Algodão!$E56:$Z56)=0,0,MAX(0,IF((H$6-$E$3)&lt;1,0,IFERROR(LOOKUP(2,1/(Algodão!$E56:INDEX(Algodão!$E56:$Z56,MIN(H$6-$E$3,22))&lt;&gt;""),Algodão!$E56:INDEX(Algodão!$E56:$Z56,MIN(H$6-$E$3,22))),0))-IF($G$2,0,IF((H$6-$G$3)&lt;1,0,IFERROR(LOOKUP(2,1/(Algodão!$E56:INDEX(Algodão!$E56:$Z56,MIN(H$6-$G$3,22))&lt;&gt;""),Algodão!$E56:INDEX(Algodão!$E56:$Z56,MIN(H$6-$G$3,22))),0)))))</f>
        <v>0</v>
      </c>
      <c r="I58" s="27" t="n">
        <f aca="false">IF(COUNT(Algodão!$E56:$Z56)=0,0,MAX(0,IF((I$6-$E$3)&lt;1,0,IFERROR(LOOKUP(2,1/(Algodão!$E56:INDEX(Algodão!$E56:$Z56,MIN(I$6-$E$3,22))&lt;&gt;""),Algodão!$E56:INDEX(Algodão!$E56:$Z56,MIN(I$6-$E$3,22))),0))-IF($G$2,0,IF((I$6-$G$3)&lt;1,0,IFERROR(LOOKUP(2,1/(Algodão!$E56:INDEX(Algodão!$E56:$Z56,MIN(I$6-$G$3,22))&lt;&gt;""),Algodão!$E56:INDEX(Algodão!$E56:$Z56,MIN(I$6-$G$3,22))),0)))))</f>
        <v>0</v>
      </c>
      <c r="J58" s="27" t="n">
        <f aca="false">IF(COUNT(Algodão!$E56:$Z56)=0,0,MAX(0,IF((J$6-$E$3)&lt;1,0,IFERROR(LOOKUP(2,1/(Algodão!$E56:INDEX(Algodão!$E56:$Z56,MIN(J$6-$E$3,22))&lt;&gt;""),Algodão!$E56:INDEX(Algodão!$E56:$Z56,MIN(J$6-$E$3,22))),0))-IF($G$2,0,IF((J$6-$G$3)&lt;1,0,IFERROR(LOOKUP(2,1/(Algodão!$E56:INDEX(Algodão!$E56:$Z56,MIN(J$6-$G$3,22))&lt;&gt;""),Algodão!$E56:INDEX(Algodão!$E56:$Z56,MIN(J$6-$G$3,22))),0)))))</f>
        <v>0</v>
      </c>
      <c r="K58" s="27" t="n">
        <f aca="false">IF(COUNT(Algodão!$E56:$Z56)=0,0,MAX(0,IF((K$6-$E$3)&lt;1,0,IFERROR(LOOKUP(2,1/(Algodão!$E56:INDEX(Algodão!$E56:$Z56,MIN(K$6-$E$3,22))&lt;&gt;""),Algodão!$E56:INDEX(Algodão!$E56:$Z56,MIN(K$6-$E$3,22))),0))-IF($G$2,0,IF((K$6-$G$3)&lt;1,0,IFERROR(LOOKUP(2,1/(Algodão!$E56:INDEX(Algodão!$E56:$Z56,MIN(K$6-$G$3,22))&lt;&gt;""),Algodão!$E56:INDEX(Algodão!$E56:$Z56,MIN(K$6-$G$3,22))),0)))))</f>
        <v>0</v>
      </c>
      <c r="L58" s="27" t="n">
        <f aca="false">IF(COUNT(Algodão!$E56:$Z56)=0,0,MAX(0,IF((L$6-$E$3)&lt;1,0,IFERROR(LOOKUP(2,1/(Algodão!$E56:INDEX(Algodão!$E56:$Z56,MIN(L$6-$E$3,22))&lt;&gt;""),Algodão!$E56:INDEX(Algodão!$E56:$Z56,MIN(L$6-$E$3,22))),0))-IF($G$2,0,IF((L$6-$G$3)&lt;1,0,IFERROR(LOOKUP(2,1/(Algodão!$E56:INDEX(Algodão!$E56:$Z56,MIN(L$6-$G$3,22))&lt;&gt;""),Algodão!$E56:INDEX(Algodão!$E56:$Z56,MIN(L$6-$G$3,22))),0)))))</f>
        <v>0</v>
      </c>
      <c r="M58" s="27" t="n">
        <f aca="false">IF(COUNT(Algodão!$E56:$Z56)=0,0,MAX(0,IF((M$6-$E$3)&lt;1,0,IFERROR(LOOKUP(2,1/(Algodão!$E56:INDEX(Algodão!$E56:$Z56,MIN(M$6-$E$3,22))&lt;&gt;""),Algodão!$E56:INDEX(Algodão!$E56:$Z56,MIN(M$6-$E$3,22))),0))-IF($G$2,0,IF((M$6-$G$3)&lt;1,0,IFERROR(LOOKUP(2,1/(Algodão!$E56:INDEX(Algodão!$E56:$Z56,MIN(M$6-$G$3,22))&lt;&gt;""),Algodão!$E56:INDEX(Algodão!$E56:$Z56,MIN(M$6-$G$3,22))),0)))))</f>
        <v>0</v>
      </c>
      <c r="N58" s="27" t="n">
        <f aca="false">IF(COUNT(Algodão!$E56:$Z56)=0,0,MAX(0,IF((N$6-$E$3)&lt;1,0,IFERROR(LOOKUP(2,1/(Algodão!$E56:INDEX(Algodão!$E56:$Z56,MIN(N$6-$E$3,22))&lt;&gt;""),Algodão!$E56:INDEX(Algodão!$E56:$Z56,MIN(N$6-$E$3,22))),0))-IF($G$2,0,IF((N$6-$G$3)&lt;1,0,IFERROR(LOOKUP(2,1/(Algodão!$E56:INDEX(Algodão!$E56:$Z56,MIN(N$6-$G$3,22))&lt;&gt;""),Algodão!$E56:INDEX(Algodão!$E56:$Z56,MIN(N$6-$G$3,22))),0)))))</f>
        <v>0</v>
      </c>
      <c r="O58" s="27" t="n">
        <f aca="false">IF(COUNT(Algodão!$E56:$Z56)=0,0,MAX(0,IF((O$6-$E$3)&lt;1,0,IFERROR(LOOKUP(2,1/(Algodão!$E56:INDEX(Algodão!$E56:$Z56,MIN(O$6-$E$3,22))&lt;&gt;""),Algodão!$E56:INDEX(Algodão!$E56:$Z56,MIN(O$6-$E$3,22))),0))-IF($G$2,0,IF((O$6-$G$3)&lt;1,0,IFERROR(LOOKUP(2,1/(Algodão!$E56:INDEX(Algodão!$E56:$Z56,MIN(O$6-$G$3,22))&lt;&gt;""),Algodão!$E56:INDEX(Algodão!$E56:$Z56,MIN(O$6-$G$3,22))),0)))))</f>
        <v>0</v>
      </c>
      <c r="P58" s="27" t="n">
        <f aca="false">IF(COUNT(Algodão!$E56:$Z56)=0,0,MAX(0,IF((P$6-$E$3)&lt;1,0,IFERROR(LOOKUP(2,1/(Algodão!$E56:INDEX(Algodão!$E56:$Z56,MIN(P$6-$E$3,22))&lt;&gt;""),Algodão!$E56:INDEX(Algodão!$E56:$Z56,MIN(P$6-$E$3,22))),0))-IF($G$2,0,IF((P$6-$G$3)&lt;1,0,IFERROR(LOOKUP(2,1/(Algodão!$E56:INDEX(Algodão!$E56:$Z56,MIN(P$6-$G$3,22))&lt;&gt;""),Algodão!$E56:INDEX(Algodão!$E56:$Z56,MIN(P$6-$G$3,22))),0)))))</f>
        <v>0</v>
      </c>
      <c r="Q58" s="27" t="n">
        <f aca="false">IF(COUNT(Algodão!$E56:$Z56)=0,0,MAX(0,IF((Q$6-$E$3)&lt;1,0,IFERROR(LOOKUP(2,1/(Algodão!$E56:INDEX(Algodão!$E56:$Z56,MIN(Q$6-$E$3,22))&lt;&gt;""),Algodão!$E56:INDEX(Algodão!$E56:$Z56,MIN(Q$6-$E$3,22))),0))-IF($G$2,0,IF((Q$6-$G$3)&lt;1,0,IFERROR(LOOKUP(2,1/(Algodão!$E56:INDEX(Algodão!$E56:$Z56,MIN(Q$6-$G$3,22))&lt;&gt;""),Algodão!$E56:INDEX(Algodão!$E56:$Z56,MIN(Q$6-$G$3,22))),0)))))</f>
        <v>0</v>
      </c>
      <c r="R58" s="27" t="n">
        <f aca="false">IF(COUNT(Algodão!$E56:$Z56)=0,0,MAX(0,IF((R$6-$E$3)&lt;1,0,IFERROR(LOOKUP(2,1/(Algodão!$E56:INDEX(Algodão!$E56:$Z56,MIN(R$6-$E$3,22))&lt;&gt;""),Algodão!$E56:INDEX(Algodão!$E56:$Z56,MIN(R$6-$E$3,22))),0))-IF($G$2,0,IF((R$6-$G$3)&lt;1,0,IFERROR(LOOKUP(2,1/(Algodão!$E56:INDEX(Algodão!$E56:$Z56,MIN(R$6-$G$3,22))&lt;&gt;""),Algodão!$E56:INDEX(Algodão!$E56:$Z56,MIN(R$6-$G$3,22))),0)))))</f>
        <v>0</v>
      </c>
      <c r="S58" s="27" t="n">
        <f aca="false">IF(COUNT(Algodão!$E56:$Z56)=0,0,MAX(0,IF((S$6-$E$3)&lt;1,0,IFERROR(LOOKUP(2,1/(Algodão!$E56:INDEX(Algodão!$E56:$Z56,MIN(S$6-$E$3,22))&lt;&gt;""),Algodão!$E56:INDEX(Algodão!$E56:$Z56,MIN(S$6-$E$3,22))),0))-IF($G$2,0,IF((S$6-$G$3)&lt;1,0,IFERROR(LOOKUP(2,1/(Algodão!$E56:INDEX(Algodão!$E56:$Z56,MIN(S$6-$G$3,22))&lt;&gt;""),Algodão!$E56:INDEX(Algodão!$E56:$Z56,MIN(S$6-$G$3,22))),0)))))</f>
        <v>0</v>
      </c>
      <c r="T58" s="27" t="n">
        <f aca="false">IF(COUNT(Algodão!$E56:$Z56)=0,0,MAX(0,IF((T$6-$E$3)&lt;1,0,IFERROR(LOOKUP(2,1/(Algodão!$E56:INDEX(Algodão!$E56:$Z56,MIN(T$6-$E$3,22))&lt;&gt;""),Algodão!$E56:INDEX(Algodão!$E56:$Z56,MIN(T$6-$E$3,22))),0))-IF($G$2,0,IF((T$6-$G$3)&lt;1,0,IFERROR(LOOKUP(2,1/(Algodão!$E56:INDEX(Algodão!$E56:$Z56,MIN(T$6-$G$3,22))&lt;&gt;""),Algodão!$E56:INDEX(Algodão!$E56:$Z56,MIN(T$6-$G$3,22))),0)))))</f>
        <v>0</v>
      </c>
      <c r="U58" s="27" t="n">
        <f aca="false">IF(COUNT(Algodão!$E56:$Z56)=0,0,MAX(0,IF((U$6-$E$3)&lt;1,0,IFERROR(LOOKUP(2,1/(Algodão!$E56:INDEX(Algodão!$E56:$Z56,MIN(U$6-$E$3,22))&lt;&gt;""),Algodão!$E56:INDEX(Algodão!$E56:$Z56,MIN(U$6-$E$3,22))),0))-IF($G$2,0,IF((U$6-$G$3)&lt;1,0,IFERROR(LOOKUP(2,1/(Algodão!$E56:INDEX(Algodão!$E56:$Z56,MIN(U$6-$G$3,22))&lt;&gt;""),Algodão!$E56:INDEX(Algodão!$E56:$Z56,MIN(U$6-$G$3,22))),0)))))</f>
        <v>0</v>
      </c>
      <c r="V58" s="27" t="n">
        <f aca="false">IF(COUNT(Algodão!$E56:$Z56)=0,0,MAX(0,IF((V$6-$E$3)&lt;1,0,IFERROR(LOOKUP(2,1/(Algodão!$E56:INDEX(Algodão!$E56:$Z56,MIN(V$6-$E$3,22))&lt;&gt;""),Algodão!$E56:INDEX(Algodão!$E56:$Z56,MIN(V$6-$E$3,22))),0))-IF($G$2,0,IF((V$6-$G$3)&lt;1,0,IFERROR(LOOKUP(2,1/(Algodão!$E56:INDEX(Algodão!$E56:$Z56,MIN(V$6-$G$3,22))&lt;&gt;""),Algodão!$E56:INDEX(Algodão!$E56:$Z56,MIN(V$6-$G$3,22))),0)))))</f>
        <v>0</v>
      </c>
      <c r="W58" s="27" t="n">
        <f aca="false">IF(COUNT(Algodão!$E56:$Z56)=0,0,MAX(0,IF((W$6-$E$3)&lt;1,0,IFERROR(LOOKUP(2,1/(Algodão!$E56:INDEX(Algodão!$E56:$Z56,MIN(W$6-$E$3,22))&lt;&gt;""),Algodão!$E56:INDEX(Algodão!$E56:$Z56,MIN(W$6-$E$3,22))),0))-IF($G$2,0,IF((W$6-$G$3)&lt;1,0,IFERROR(LOOKUP(2,1/(Algodão!$E56:INDEX(Algodão!$E56:$Z56,MIN(W$6-$G$3,22))&lt;&gt;""),Algodão!$E56:INDEX(Algodão!$E56:$Z56,MIN(W$6-$G$3,22))),0)))))</f>
        <v>0</v>
      </c>
      <c r="X58" s="27" t="n">
        <f aca="false">IF(COUNT(Algodão!$E56:$Z56)=0,0,MAX(0,IF((X$6-$E$3)&lt;1,0,IFERROR(LOOKUP(2,1/(Algodão!$E56:INDEX(Algodão!$E56:$Z56,MIN(X$6-$E$3,22))&lt;&gt;""),Algodão!$E56:INDEX(Algodão!$E56:$Z56,MIN(X$6-$E$3,22))),0))-IF($G$2,0,IF((X$6-$G$3)&lt;1,0,IFERROR(LOOKUP(2,1/(Algodão!$E56:INDEX(Algodão!$E56:$Z56,MIN(X$6-$G$3,22))&lt;&gt;""),Algodão!$E56:INDEX(Algodão!$E56:$Z56,MIN(X$6-$G$3,22))),0)))))</f>
        <v>0</v>
      </c>
      <c r="Y58" s="27" t="n">
        <f aca="false">IF(COUNT(Algodão!$E56:$Z56)=0,0,MAX(0,IF((Y$6-$E$3)&lt;1,0,IFERROR(LOOKUP(2,1/(Algodão!$E56:INDEX(Algodão!$E56:$Z56,MIN(Y$6-$E$3,22))&lt;&gt;""),Algodão!$E56:INDEX(Algodão!$E56:$Z56,MIN(Y$6-$E$3,22))),0))-IF($G$2,0,IF((Y$6-$G$3)&lt;1,0,IFERROR(LOOKUP(2,1/(Algodão!$E56:INDEX(Algodão!$E56:$Z56,MIN(Y$6-$G$3,22))&lt;&gt;""),Algodão!$E56:INDEX(Algodão!$E56:$Z56,MIN(Y$6-$G$3,22))),0)))))</f>
        <v>0</v>
      </c>
      <c r="Z58" s="27" t="n">
        <f aca="false">IF(COUNT(Algodão!$E56:$Z56)=0,0,MAX(0,IF((Z$6-$E$3)&lt;1,0,IFERROR(LOOKUP(2,1/(Algodão!$E56:INDEX(Algodão!$E56:$Z56,MIN(Z$6-$E$3,22))&lt;&gt;""),Algodão!$E56:INDEX(Algodão!$E56:$Z56,MIN(Z$6-$E$3,22))),0))-IF($G$2,0,IF((Z$6-$G$3)&lt;1,0,IFERROR(LOOKUP(2,1/(Algodão!$E56:INDEX(Algodão!$E56:$Z56,MIN(Z$6-$G$3,22))&lt;&gt;""),Algodão!$E56:INDEX(Algodão!$E56:$Z56,MIN(Z$6-$G$3,22))),0)))))</f>
        <v>0</v>
      </c>
      <c r="AA58" s="27" t="n">
        <f aca="false">IF(COUNT(Algodão!$E56:$Z56)=0,0,MAX(0,IF((AA$6-$E$3)&lt;1,0,IFERROR(LOOKUP(2,1/(Algodão!$E56:INDEX(Algodão!$E56:$Z56,MIN(AA$6-$E$3,22))&lt;&gt;""),Algodão!$E56:INDEX(Algodão!$E56:$Z56,MIN(AA$6-$E$3,22))),0))-IF($G$2,0,IF((AA$6-$G$3)&lt;1,0,IFERROR(LOOKUP(2,1/(Algodão!$E56:INDEX(Algodão!$E56:$Z56,MIN(AA$6-$G$3,22))&lt;&gt;""),Algodão!$E56:INDEX(Algodão!$E56:$Z56,MIN(AA$6-$G$3,22))),0)))))</f>
        <v>0</v>
      </c>
      <c r="AB58" s="27" t="n">
        <f aca="false">IF(COUNT(Algodão!$E56:$Z56)=0,0,MAX(0,IF((AB$6-$E$3)&lt;1,0,IFERROR(LOOKUP(2,1/(Algodão!$E56:INDEX(Algodão!$E56:$Z56,MIN(AB$6-$E$3,22))&lt;&gt;""),Algodão!$E56:INDEX(Algodão!$E56:$Z56,MIN(AB$6-$E$3,22))),0))-IF($G$2,0,IF((AB$6-$G$3)&lt;1,0,IFERROR(LOOKUP(2,1/(Algodão!$E56:INDEX(Algodão!$E56:$Z56,MIN(AB$6-$G$3,22))&lt;&gt;""),Algodão!$E56:INDEX(Algodão!$E56:$Z56,MIN(AB$6-$G$3,22))),0)))))</f>
        <v>0</v>
      </c>
      <c r="AC58" s="27" t="n">
        <f aca="false">IF(COUNT(Algodão!$E56:$Z56)=0,0,MAX(0,IF((AC$6-$E$3)&lt;1,0,IFERROR(LOOKUP(2,1/(Algodão!$E56:INDEX(Algodão!$E56:$Z56,MIN(AC$6-$E$3,22))&lt;&gt;""),Algodão!$E56:INDEX(Algodão!$E56:$Z56,MIN(AC$6-$E$3,22))),0))-IF($G$2,0,IF((AC$6-$G$3)&lt;1,0,IFERROR(LOOKUP(2,1/(Algodão!$E56:INDEX(Algodão!$E56:$Z56,MIN(AC$6-$G$3,22))&lt;&gt;""),Algodão!$E56:INDEX(Algodão!$E56:$Z56,MIN(AC$6-$G$3,22))),0)))))</f>
        <v>0</v>
      </c>
      <c r="AD58" s="27" t="n">
        <f aca="false">IF(COUNT(Algodão!$E56:$Z56)=0,0,MAX(0,IF((AD$6-$E$3)&lt;1,0,IFERROR(LOOKUP(2,1/(Algodão!$E56:INDEX(Algodão!$E56:$Z56,MIN(AD$6-$E$3,22))&lt;&gt;""),Algodão!$E56:INDEX(Algodão!$E56:$Z56,MIN(AD$6-$E$3,22))),0))-IF($G$2,0,IF((AD$6-$G$3)&lt;1,0,IFERROR(LOOKUP(2,1/(Algodão!$E56:INDEX(Algodão!$E56:$Z56,MIN(AD$6-$G$3,22))&lt;&gt;""),Algodão!$E56:INDEX(Algodão!$E56:$Z56,MIN(AD$6-$G$3,22))),0)))))</f>
        <v>0</v>
      </c>
      <c r="AE58" s="27" t="n">
        <f aca="false">IF(COUNT(Algodão!$E56:$Z56)=0,0,MAX(0,IF((AE$6-$E$3)&lt;1,0,IFERROR(LOOKUP(2,1/(Algodão!$E56:INDEX(Algodão!$E56:$Z56,MIN(AE$6-$E$3,22))&lt;&gt;""),Algodão!$E56:INDEX(Algodão!$E56:$Z56,MIN(AE$6-$E$3,22))),0))-IF($G$2,0,IF((AE$6-$G$3)&lt;1,0,IFERROR(LOOKUP(2,1/(Algodão!$E56:INDEX(Algodão!$E56:$Z56,MIN(AE$6-$G$3,22))&lt;&gt;""),Algodão!$E56:INDEX(Algodão!$E56:$Z56,MIN(AE$6-$G$3,22))),0)))))</f>
        <v>0</v>
      </c>
      <c r="AF58" s="27" t="n">
        <f aca="false">IF(COUNT(Algodão!$E56:$Z56)=0,0,MAX(0,IF((AF$6-$E$3)&lt;1,0,IFERROR(LOOKUP(2,1/(Algodão!$E56:INDEX(Algodão!$E56:$Z56,MIN(AF$6-$E$3,22))&lt;&gt;""),Algodão!$E56:INDEX(Algodão!$E56:$Z56,MIN(AF$6-$E$3,22))),0))-IF($G$2,0,IF((AF$6-$G$3)&lt;1,0,IFERROR(LOOKUP(2,1/(Algodão!$E56:INDEX(Algodão!$E56:$Z56,MIN(AF$6-$G$3,22))&lt;&gt;""),Algodão!$E56:INDEX(Algodão!$E56:$Z56,MIN(AF$6-$G$3,22))),0)))))</f>
        <v>0</v>
      </c>
      <c r="AG58" s="27" t="n">
        <f aca="false">IF(COUNT(Algodão!$E56:$Z56)=0,0,MAX(0,IF((AG$6-$E$3)&lt;1,0,IFERROR(LOOKUP(2,1/(Algodão!$E56:INDEX(Algodão!$E56:$Z56,MIN(AG$6-$E$3,22))&lt;&gt;""),Algodão!$E56:INDEX(Algodão!$E56:$Z56,MIN(AG$6-$E$3,22))),0))-IF($G$2,0,IF((AG$6-$G$3)&lt;1,0,IFERROR(LOOKUP(2,1/(Algodão!$E56:INDEX(Algodão!$E56:$Z56,MIN(AG$6-$G$3,22))&lt;&gt;""),Algodão!$E56:INDEX(Algodão!$E56:$Z56,MIN(AG$6-$G$3,22))),0)))))</f>
        <v>0</v>
      </c>
      <c r="AH58" s="27" t="n">
        <f aca="false">IF(COUNT(Algodão!$E56:$Z56)=0,0,MAX(0,IF((AH$6-$E$3)&lt;1,0,IFERROR(LOOKUP(2,1/(Algodão!$E56:INDEX(Algodão!$E56:$Z56,MIN(AH$6-$E$3,22))&lt;&gt;""),Algodão!$E56:INDEX(Algodão!$E56:$Z56,MIN(AH$6-$E$3,22))),0))-IF($G$2,0,IF((AH$6-$G$3)&lt;1,0,IFERROR(LOOKUP(2,1/(Algodão!$E56:INDEX(Algodão!$E56:$Z56,MIN(AH$6-$G$3,22))&lt;&gt;""),Algodão!$E56:INDEX(Algodão!$E56:$Z56,MIN(AH$6-$G$3,22))),0)))))</f>
        <v>0</v>
      </c>
      <c r="AI58" s="27" t="n">
        <f aca="false">IF(COUNT(Algodão!$E56:$Z56)=0,0,MAX(0,IF((AI$6-$E$3)&lt;1,0,IFERROR(LOOKUP(2,1/(Algodão!$E56:INDEX(Algodão!$E56:$Z56,MIN(AI$6-$E$3,22))&lt;&gt;""),Algodão!$E56:INDEX(Algodão!$E56:$Z56,MIN(AI$6-$E$3,22))),0))-IF($G$2,0,IF((AI$6-$G$3)&lt;1,0,IFERROR(LOOKUP(2,1/(Algodão!$E56:INDEX(Algodão!$E56:$Z56,MIN(AI$6-$G$3,22))&lt;&gt;""),Algodão!$E56:INDEX(Algodão!$E56:$Z56,MIN(AI$6-$G$3,22))),0)))))</f>
        <v>0</v>
      </c>
      <c r="AJ58" s="27" t="n">
        <f aca="false">IF(COUNT(Algodão!$E56:$Z56)=0,0,MAX(0,IF((AJ$6-$E$3)&lt;1,0,IFERROR(LOOKUP(2,1/(Algodão!$E56:INDEX(Algodão!$E56:$Z56,MIN(AJ$6-$E$3,22))&lt;&gt;""),Algodão!$E56:INDEX(Algodão!$E56:$Z56,MIN(AJ$6-$E$3,22))),0))-IF($G$2,0,IF((AJ$6-$G$3)&lt;1,0,IFERROR(LOOKUP(2,1/(Algodão!$E56:INDEX(Algodão!$E56:$Z56,MIN(AJ$6-$G$3,22))&lt;&gt;""),Algodão!$E56:INDEX(Algodão!$E56:$Z56,MIN(AJ$6-$G$3,22))),0)))))</f>
        <v>0</v>
      </c>
      <c r="AK58" s="27" t="n">
        <f aca="false">IF(COUNT(Algodão!$E56:$Z56)=0,0,MAX(0,IF((AK$6-$E$3)&lt;1,0,IFERROR(LOOKUP(2,1/(Algodão!$E56:INDEX(Algodão!$E56:$Z56,MIN(AK$6-$E$3,22))&lt;&gt;""),Algodão!$E56:INDEX(Algodão!$E56:$Z56,MIN(AK$6-$E$3,22))),0))-IF($G$2,0,IF((AK$6-$G$3)&lt;1,0,IFERROR(LOOKUP(2,1/(Algodão!$E56:INDEX(Algodão!$E56:$Z56,MIN(AK$6-$G$3,22))&lt;&gt;""),Algodão!$E56:INDEX(Algodão!$E56:$Z56,MIN(AK$6-$G$3,22))),0)))))</f>
        <v>0</v>
      </c>
      <c r="AL58" s="27" t="n">
        <f aca="false">IF(COUNT(Algodão!$E56:$Z56)=0,0,MAX(0,IF((AL$6-$E$3)&lt;1,0,IFERROR(LOOKUP(2,1/(Algodão!$E56:INDEX(Algodão!$E56:$Z56,MIN(AL$6-$E$3,22))&lt;&gt;""),Algodão!$E56:INDEX(Algodão!$E56:$Z56,MIN(AL$6-$E$3,22))),0))-IF($G$2,0,IF((AL$6-$G$3)&lt;1,0,IFERROR(LOOKUP(2,1/(Algodão!$E56:INDEX(Algodão!$E56:$Z56,MIN(AL$6-$G$3,22))&lt;&gt;""),Algodão!$E56:INDEX(Algodão!$E56:$Z56,MIN(AL$6-$G$3,22))),0)))))</f>
        <v>0</v>
      </c>
      <c r="AM58" s="27" t="n">
        <f aca="false">IF(COUNT(Algodão!$E56:$Z56)=0,0,MAX(0,IF((AM$6-$E$3)&lt;1,0,IFERROR(LOOKUP(2,1/(Algodão!$E56:INDEX(Algodão!$E56:$Z56,MIN(AM$6-$E$3,22))&lt;&gt;""),Algodão!$E56:INDEX(Algodão!$E56:$Z56,MIN(AM$6-$E$3,22))),0))-IF($G$2,0,IF((AM$6-$G$3)&lt;1,0,IFERROR(LOOKUP(2,1/(Algodão!$E56:INDEX(Algodão!$E56:$Z56,MIN(AM$6-$G$3,22))&lt;&gt;""),Algodão!$E56:INDEX(Algodão!$E56:$Z56,MIN(AM$6-$G$3,22))),0)))))</f>
        <v>0</v>
      </c>
      <c r="AN58" s="27" t="n">
        <f aca="false">IF(COUNT(Algodão!$E56:$Z56)=0,0,MAX(0,IF((AN$6-$E$3)&lt;1,0,IFERROR(LOOKUP(2,1/(Algodão!$E56:INDEX(Algodão!$E56:$Z56,MIN(AN$6-$E$3,22))&lt;&gt;""),Algodão!$E56:INDEX(Algodão!$E56:$Z56,MIN(AN$6-$E$3,22))),0))-IF($G$2,0,IF((AN$6-$G$3)&lt;1,0,IFERROR(LOOKUP(2,1/(Algodão!$E56:INDEX(Algodão!$E56:$Z56,MIN(AN$6-$G$3,22))&lt;&gt;""),Algodão!$E56:INDEX(Algodão!$E56:$Z56,MIN(AN$6-$G$3,22))),0)))))</f>
        <v>0</v>
      </c>
      <c r="AO58" s="27" t="n">
        <f aca="false">IF(COUNT(Algodão!$E56:$Z56)=0,0,MAX(0,IF((AO$6-$E$3)&lt;1,0,IFERROR(LOOKUP(2,1/(Algodão!$E56:INDEX(Algodão!$E56:$Z56,MIN(AO$6-$E$3,22))&lt;&gt;""),Algodão!$E56:INDEX(Algodão!$E56:$Z56,MIN(AO$6-$E$3,22))),0))-IF($G$2,0,IF((AO$6-$G$3)&lt;1,0,IFERROR(LOOKUP(2,1/(Algodão!$E56:INDEX(Algodão!$E56:$Z56,MIN(AO$6-$G$3,22))&lt;&gt;""),Algodão!$E56:INDEX(Algodão!$E56:$Z56,MIN(AO$6-$G$3,22))),0)))))</f>
        <v>0</v>
      </c>
      <c r="AP58" s="27" t="n">
        <f aca="false">IF(COUNT(Algodão!$E56:$Z56)=0,0,MAX(0,IF((AP$6-$E$3)&lt;1,0,IFERROR(LOOKUP(2,1/(Algodão!$E56:INDEX(Algodão!$E56:$Z56,MIN(AP$6-$E$3,22))&lt;&gt;""),Algodão!$E56:INDEX(Algodão!$E56:$Z56,MIN(AP$6-$E$3,22))),0))-IF($G$2,0,IF((AP$6-$G$3)&lt;1,0,IFERROR(LOOKUP(2,1/(Algodão!$E56:INDEX(Algodão!$E56:$Z56,MIN(AP$6-$G$3,22))&lt;&gt;""),Algodão!$E56:INDEX(Algodão!$E56:$Z56,MIN(AP$6-$G$3,22))),0)))))</f>
        <v>0</v>
      </c>
      <c r="AQ58" s="27" t="n">
        <f aca="false">IF(COUNT(Algodão!$E56:$Z56)=0,0,MAX(0,IF((AQ$6-$E$3)&lt;1,0,IFERROR(LOOKUP(2,1/(Algodão!$E56:INDEX(Algodão!$E56:$Z56,MIN(AQ$6-$E$3,22))&lt;&gt;""),Algodão!$E56:INDEX(Algodão!$E56:$Z56,MIN(AQ$6-$E$3,22))),0))-IF($G$2,0,IF((AQ$6-$G$3)&lt;1,0,IFERROR(LOOKUP(2,1/(Algodão!$E56:INDEX(Algodão!$E56:$Z56,MIN(AQ$6-$G$3,22))&lt;&gt;""),Algodão!$E56:INDEX(Algodão!$E56:$Z56,MIN(AQ$6-$G$3,22))),0)))))</f>
        <v>0</v>
      </c>
      <c r="AR58" s="27" t="n">
        <f aca="false">IF(COUNT(Algodão!$E56:$Z56)=0,0,MAX(0,IF((AR$6-$E$3)&lt;1,0,IFERROR(LOOKUP(2,1/(Algodão!$E56:INDEX(Algodão!$E56:$Z56,MIN(AR$6-$E$3,22))&lt;&gt;""),Algodão!$E56:INDEX(Algodão!$E56:$Z56,MIN(AR$6-$E$3,22))),0))-IF($G$2,0,IF((AR$6-$G$3)&lt;1,0,IFERROR(LOOKUP(2,1/(Algodão!$E56:INDEX(Algodão!$E56:$Z56,MIN(AR$6-$G$3,22))&lt;&gt;""),Algodão!$E56:INDEX(Algodão!$E56:$Z56,MIN(AR$6-$G$3,22))),0)))))</f>
        <v>0</v>
      </c>
      <c r="AS58" s="27" t="n">
        <f aca="false">IF(COUNT(Algodão!$E56:$Z56)=0,0,MAX(0,IF((AS$6-$E$3)&lt;1,0,IFERROR(LOOKUP(2,1/(Algodão!$E56:INDEX(Algodão!$E56:$Z56,MIN(AS$6-$E$3,22))&lt;&gt;""),Algodão!$E56:INDEX(Algodão!$E56:$Z56,MIN(AS$6-$E$3,22))),0))-IF($G$2,0,IF((AS$6-$G$3)&lt;1,0,IFERROR(LOOKUP(2,1/(Algodão!$E56:INDEX(Algodão!$E56:$Z56,MIN(AS$6-$G$3,22))&lt;&gt;""),Algodão!$E56:INDEX(Algodão!$E56:$Z56,MIN(AS$6-$G$3,22))),0)))))</f>
        <v>0</v>
      </c>
      <c r="AT58" s="27" t="n">
        <f aca="false">IF(COUNT(Algodão!$E56:$Z56)=0,0,MAX(0,IF((AT$6-$E$3)&lt;1,0,IFERROR(LOOKUP(2,1/(Algodão!$E56:INDEX(Algodão!$E56:$Z56,MIN(AT$6-$E$3,22))&lt;&gt;""),Algodão!$E56:INDEX(Algodão!$E56:$Z56,MIN(AT$6-$E$3,22))),0))-IF($G$2,0,IF((AT$6-$G$3)&lt;1,0,IFERROR(LOOKUP(2,1/(Algodão!$E56:INDEX(Algodão!$E56:$Z56,MIN(AT$6-$G$3,22))&lt;&gt;""),Algodão!$E56:INDEX(Algodão!$E56:$Z56,MIN(AT$6-$G$3,22))),0)))))</f>
        <v>0</v>
      </c>
      <c r="AU58" s="27" t="n">
        <f aca="false">IF(COUNT(Algodão!$E56:$Z56)=0,0,MAX(0,IF((AU$6-$E$3)&lt;1,0,IFERROR(LOOKUP(2,1/(Algodão!$E56:INDEX(Algodão!$E56:$Z56,MIN(AU$6-$E$3,22))&lt;&gt;""),Algodão!$E56:INDEX(Algodão!$E56:$Z56,MIN(AU$6-$E$3,22))),0))-IF($G$2,0,IF((AU$6-$G$3)&lt;1,0,IFERROR(LOOKUP(2,1/(Algodão!$E56:INDEX(Algodão!$E56:$Z56,MIN(AU$6-$G$3,22))&lt;&gt;""),Algodão!$E56:INDEX(Algodão!$E56:$Z56,MIN(AU$6-$G$3,22))),0)))))</f>
        <v>0</v>
      </c>
      <c r="AV58" s="27" t="n">
        <f aca="false">IF(COUNT(Algodão!$E56:$Z56)=0,0,MAX(0,IF((AV$6-$E$3)&lt;1,0,IFERROR(LOOKUP(2,1/(Algodão!$E56:INDEX(Algodão!$E56:$Z56,MIN(AV$6-$E$3,22))&lt;&gt;""),Algodão!$E56:INDEX(Algodão!$E56:$Z56,MIN(AV$6-$E$3,22))),0))-IF($G$2,0,IF((AV$6-$G$3)&lt;1,0,IFERROR(LOOKUP(2,1/(Algodão!$E56:INDEX(Algodão!$E56:$Z56,MIN(AV$6-$G$3,22))&lt;&gt;""),Algodão!$E56:INDEX(Algodão!$E56:$Z56,MIN(AV$6-$G$3,22))),0)))))</f>
        <v>0</v>
      </c>
      <c r="AW58" s="27" t="n">
        <f aca="false">IF(COUNT(Algodão!$E56:$Z56)=0,0,MAX(0,IF((AW$6-$E$3)&lt;1,0,IFERROR(LOOKUP(2,1/(Algodão!$E56:INDEX(Algodão!$E56:$Z56,MIN(AW$6-$E$3,22))&lt;&gt;""),Algodão!$E56:INDEX(Algodão!$E56:$Z56,MIN(AW$6-$E$3,22))),0))-IF($G$2,0,IF((AW$6-$G$3)&lt;1,0,IFERROR(LOOKUP(2,1/(Algodão!$E56:INDEX(Algodão!$E56:$Z56,MIN(AW$6-$G$3,22))&lt;&gt;""),Algodão!$E56:INDEX(Algodão!$E56:$Z56,MIN(AW$6-$G$3,22))),0)))))</f>
        <v>0</v>
      </c>
      <c r="AX58" s="27" t="n">
        <f aca="false">IF(COUNT(Algodão!$E56:$Z56)=0,0,MAX(0,IF((AX$6-$E$3)&lt;1,0,IFERROR(LOOKUP(2,1/(Algodão!$E56:INDEX(Algodão!$E56:$Z56,MIN(AX$6-$E$3,22))&lt;&gt;""),Algodão!$E56:INDEX(Algodão!$E56:$Z56,MIN(AX$6-$E$3,22))),0))-IF($G$2,0,IF((AX$6-$G$3)&lt;1,0,IFERROR(LOOKUP(2,1/(Algodão!$E56:INDEX(Algodão!$E56:$Z56,MIN(AX$6-$G$3,22))&lt;&gt;""),Algodão!$E56:INDEX(Algodão!$E56:$Z56,MIN(AX$6-$G$3,22))),0)))))</f>
        <v>0</v>
      </c>
      <c r="AY58" s="27" t="n">
        <f aca="false">IF(COUNT(Algodão!$E56:$Z56)=0,0,MAX(0,IF((AY$6-$E$3)&lt;1,0,IFERROR(LOOKUP(2,1/(Algodão!$E56:INDEX(Algodão!$E56:$Z56,MIN(AY$6-$E$3,22))&lt;&gt;""),Algodão!$E56:INDEX(Algodão!$E56:$Z56,MIN(AY$6-$E$3,22))),0))-IF($G$2,0,IF((AY$6-$G$3)&lt;1,0,IFERROR(LOOKUP(2,1/(Algodão!$E56:INDEX(Algodão!$E56:$Z56,MIN(AY$6-$G$3,22))&lt;&gt;""),Algodão!$E56:INDEX(Algodão!$E56:$Z56,MIN(AY$6-$G$3,22))),0)))))</f>
        <v>0</v>
      </c>
      <c r="AZ58" s="27" t="n">
        <f aca="false">IF(COUNT(Algodão!$E56:$Z56)=0,0,MAX(0,IF((AZ$6-$E$3)&lt;1,0,IFERROR(LOOKUP(2,1/(Algodão!$E56:INDEX(Algodão!$E56:$Z56,MIN(AZ$6-$E$3,22))&lt;&gt;""),Algodão!$E56:INDEX(Algodão!$E56:$Z56,MIN(AZ$6-$E$3,22))),0))-IF($G$2,0,IF((AZ$6-$G$3)&lt;1,0,IFERROR(LOOKUP(2,1/(Algodão!$E56:INDEX(Algodão!$E56:$Z56,MIN(AZ$6-$G$3,22))&lt;&gt;""),Algodão!$E56:INDEX(Algodão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IF(COUNT(Algodão!$E57:$Z57)&gt;0,N(Algodão!$D57),0)</f>
        <v>0</v>
      </c>
      <c r="E59" s="27" t="n">
        <f aca="false">IF(COUNT(Algodão!$E57:$Z57)=0,0,MAX(0,IF((E$6-$E$3)&lt;1,0,IFERROR(LOOKUP(2,1/(Algodão!$E57:INDEX(Algodão!$E57:$Z57,MIN(E$6-$E$3,22))&lt;&gt;""),Algodão!$E57:INDEX(Algodão!$E57:$Z57,MIN(E$6-$E$3,22))),0))-IF($G$2,0,IF((E$6-$G$3)&lt;1,0,IFERROR(LOOKUP(2,1/(Algodão!$E57:INDEX(Algodão!$E57:$Z57,MIN(E$6-$G$3,22))&lt;&gt;""),Algodão!$E57:INDEX(Algodão!$E57:$Z57,MIN(E$6-$G$3,22))),0)))))</f>
        <v>0</v>
      </c>
      <c r="F59" s="27" t="n">
        <f aca="false">IF(COUNT(Algodão!$E57:$Z57)=0,0,MAX(0,IF((F$6-$E$3)&lt;1,0,IFERROR(LOOKUP(2,1/(Algodão!$E57:INDEX(Algodão!$E57:$Z57,MIN(F$6-$E$3,22))&lt;&gt;""),Algodão!$E57:INDEX(Algodão!$E57:$Z57,MIN(F$6-$E$3,22))),0))-IF($G$2,0,IF((F$6-$G$3)&lt;1,0,IFERROR(LOOKUP(2,1/(Algodão!$E57:INDEX(Algodão!$E57:$Z57,MIN(F$6-$G$3,22))&lt;&gt;""),Algodão!$E57:INDEX(Algodão!$E57:$Z57,MIN(F$6-$G$3,22))),0)))))</f>
        <v>0</v>
      </c>
      <c r="G59" s="27" t="n">
        <f aca="false">IF(COUNT(Algodão!$E57:$Z57)=0,0,MAX(0,IF((G$6-$E$3)&lt;1,0,IFERROR(LOOKUP(2,1/(Algodão!$E57:INDEX(Algodão!$E57:$Z57,MIN(G$6-$E$3,22))&lt;&gt;""),Algodão!$E57:INDEX(Algodão!$E57:$Z57,MIN(G$6-$E$3,22))),0))-IF($G$2,0,IF((G$6-$G$3)&lt;1,0,IFERROR(LOOKUP(2,1/(Algodão!$E57:INDEX(Algodão!$E57:$Z57,MIN(G$6-$G$3,22))&lt;&gt;""),Algodão!$E57:INDEX(Algodão!$E57:$Z57,MIN(G$6-$G$3,22))),0)))))</f>
        <v>0</v>
      </c>
      <c r="H59" s="27" t="n">
        <f aca="false">IF(COUNT(Algodão!$E57:$Z57)=0,0,MAX(0,IF((H$6-$E$3)&lt;1,0,IFERROR(LOOKUP(2,1/(Algodão!$E57:INDEX(Algodão!$E57:$Z57,MIN(H$6-$E$3,22))&lt;&gt;""),Algodão!$E57:INDEX(Algodão!$E57:$Z57,MIN(H$6-$E$3,22))),0))-IF($G$2,0,IF((H$6-$G$3)&lt;1,0,IFERROR(LOOKUP(2,1/(Algodão!$E57:INDEX(Algodão!$E57:$Z57,MIN(H$6-$G$3,22))&lt;&gt;""),Algodão!$E57:INDEX(Algodão!$E57:$Z57,MIN(H$6-$G$3,22))),0)))))</f>
        <v>0</v>
      </c>
      <c r="I59" s="27" t="n">
        <f aca="false">IF(COUNT(Algodão!$E57:$Z57)=0,0,MAX(0,IF((I$6-$E$3)&lt;1,0,IFERROR(LOOKUP(2,1/(Algodão!$E57:INDEX(Algodão!$E57:$Z57,MIN(I$6-$E$3,22))&lt;&gt;""),Algodão!$E57:INDEX(Algodão!$E57:$Z57,MIN(I$6-$E$3,22))),0))-IF($G$2,0,IF((I$6-$G$3)&lt;1,0,IFERROR(LOOKUP(2,1/(Algodão!$E57:INDEX(Algodão!$E57:$Z57,MIN(I$6-$G$3,22))&lt;&gt;""),Algodão!$E57:INDEX(Algodão!$E57:$Z57,MIN(I$6-$G$3,22))),0)))))</f>
        <v>0</v>
      </c>
      <c r="J59" s="27" t="n">
        <f aca="false">IF(COUNT(Algodão!$E57:$Z57)=0,0,MAX(0,IF((J$6-$E$3)&lt;1,0,IFERROR(LOOKUP(2,1/(Algodão!$E57:INDEX(Algodão!$E57:$Z57,MIN(J$6-$E$3,22))&lt;&gt;""),Algodão!$E57:INDEX(Algodão!$E57:$Z57,MIN(J$6-$E$3,22))),0))-IF($G$2,0,IF((J$6-$G$3)&lt;1,0,IFERROR(LOOKUP(2,1/(Algodão!$E57:INDEX(Algodão!$E57:$Z57,MIN(J$6-$G$3,22))&lt;&gt;""),Algodão!$E57:INDEX(Algodão!$E57:$Z57,MIN(J$6-$G$3,22))),0)))))</f>
        <v>0</v>
      </c>
      <c r="K59" s="27" t="n">
        <f aca="false">IF(COUNT(Algodão!$E57:$Z57)=0,0,MAX(0,IF((K$6-$E$3)&lt;1,0,IFERROR(LOOKUP(2,1/(Algodão!$E57:INDEX(Algodão!$E57:$Z57,MIN(K$6-$E$3,22))&lt;&gt;""),Algodão!$E57:INDEX(Algodão!$E57:$Z57,MIN(K$6-$E$3,22))),0))-IF($G$2,0,IF((K$6-$G$3)&lt;1,0,IFERROR(LOOKUP(2,1/(Algodão!$E57:INDEX(Algodão!$E57:$Z57,MIN(K$6-$G$3,22))&lt;&gt;""),Algodão!$E57:INDEX(Algodão!$E57:$Z57,MIN(K$6-$G$3,22))),0)))))</f>
        <v>0</v>
      </c>
      <c r="L59" s="27" t="n">
        <f aca="false">IF(COUNT(Algodão!$E57:$Z57)=0,0,MAX(0,IF((L$6-$E$3)&lt;1,0,IFERROR(LOOKUP(2,1/(Algodão!$E57:INDEX(Algodão!$E57:$Z57,MIN(L$6-$E$3,22))&lt;&gt;""),Algodão!$E57:INDEX(Algodão!$E57:$Z57,MIN(L$6-$E$3,22))),0))-IF($G$2,0,IF((L$6-$G$3)&lt;1,0,IFERROR(LOOKUP(2,1/(Algodão!$E57:INDEX(Algodão!$E57:$Z57,MIN(L$6-$G$3,22))&lt;&gt;""),Algodão!$E57:INDEX(Algodão!$E57:$Z57,MIN(L$6-$G$3,22))),0)))))</f>
        <v>0</v>
      </c>
      <c r="M59" s="27" t="n">
        <f aca="false">IF(COUNT(Algodão!$E57:$Z57)=0,0,MAX(0,IF((M$6-$E$3)&lt;1,0,IFERROR(LOOKUP(2,1/(Algodão!$E57:INDEX(Algodão!$E57:$Z57,MIN(M$6-$E$3,22))&lt;&gt;""),Algodão!$E57:INDEX(Algodão!$E57:$Z57,MIN(M$6-$E$3,22))),0))-IF($G$2,0,IF((M$6-$G$3)&lt;1,0,IFERROR(LOOKUP(2,1/(Algodão!$E57:INDEX(Algodão!$E57:$Z57,MIN(M$6-$G$3,22))&lt;&gt;""),Algodão!$E57:INDEX(Algodão!$E57:$Z57,MIN(M$6-$G$3,22))),0)))))</f>
        <v>0</v>
      </c>
      <c r="N59" s="27" t="n">
        <f aca="false">IF(COUNT(Algodão!$E57:$Z57)=0,0,MAX(0,IF((N$6-$E$3)&lt;1,0,IFERROR(LOOKUP(2,1/(Algodão!$E57:INDEX(Algodão!$E57:$Z57,MIN(N$6-$E$3,22))&lt;&gt;""),Algodão!$E57:INDEX(Algodão!$E57:$Z57,MIN(N$6-$E$3,22))),0))-IF($G$2,0,IF((N$6-$G$3)&lt;1,0,IFERROR(LOOKUP(2,1/(Algodão!$E57:INDEX(Algodão!$E57:$Z57,MIN(N$6-$G$3,22))&lt;&gt;""),Algodão!$E57:INDEX(Algodão!$E57:$Z57,MIN(N$6-$G$3,22))),0)))))</f>
        <v>0</v>
      </c>
      <c r="O59" s="27" t="n">
        <f aca="false">IF(COUNT(Algodão!$E57:$Z57)=0,0,MAX(0,IF((O$6-$E$3)&lt;1,0,IFERROR(LOOKUP(2,1/(Algodão!$E57:INDEX(Algodão!$E57:$Z57,MIN(O$6-$E$3,22))&lt;&gt;""),Algodão!$E57:INDEX(Algodão!$E57:$Z57,MIN(O$6-$E$3,22))),0))-IF($G$2,0,IF((O$6-$G$3)&lt;1,0,IFERROR(LOOKUP(2,1/(Algodão!$E57:INDEX(Algodão!$E57:$Z57,MIN(O$6-$G$3,22))&lt;&gt;""),Algodão!$E57:INDEX(Algodão!$E57:$Z57,MIN(O$6-$G$3,22))),0)))))</f>
        <v>0</v>
      </c>
      <c r="P59" s="27" t="n">
        <f aca="false">IF(COUNT(Algodão!$E57:$Z57)=0,0,MAX(0,IF((P$6-$E$3)&lt;1,0,IFERROR(LOOKUP(2,1/(Algodão!$E57:INDEX(Algodão!$E57:$Z57,MIN(P$6-$E$3,22))&lt;&gt;""),Algodão!$E57:INDEX(Algodão!$E57:$Z57,MIN(P$6-$E$3,22))),0))-IF($G$2,0,IF((P$6-$G$3)&lt;1,0,IFERROR(LOOKUP(2,1/(Algodão!$E57:INDEX(Algodão!$E57:$Z57,MIN(P$6-$G$3,22))&lt;&gt;""),Algodão!$E57:INDEX(Algodão!$E57:$Z57,MIN(P$6-$G$3,22))),0)))))</f>
        <v>0</v>
      </c>
      <c r="Q59" s="27" t="n">
        <f aca="false">IF(COUNT(Algodão!$E57:$Z57)=0,0,MAX(0,IF((Q$6-$E$3)&lt;1,0,IFERROR(LOOKUP(2,1/(Algodão!$E57:INDEX(Algodão!$E57:$Z57,MIN(Q$6-$E$3,22))&lt;&gt;""),Algodão!$E57:INDEX(Algodão!$E57:$Z57,MIN(Q$6-$E$3,22))),0))-IF($G$2,0,IF((Q$6-$G$3)&lt;1,0,IFERROR(LOOKUP(2,1/(Algodão!$E57:INDEX(Algodão!$E57:$Z57,MIN(Q$6-$G$3,22))&lt;&gt;""),Algodão!$E57:INDEX(Algodão!$E57:$Z57,MIN(Q$6-$G$3,22))),0)))))</f>
        <v>0</v>
      </c>
      <c r="R59" s="27" t="n">
        <f aca="false">IF(COUNT(Algodão!$E57:$Z57)=0,0,MAX(0,IF((R$6-$E$3)&lt;1,0,IFERROR(LOOKUP(2,1/(Algodão!$E57:INDEX(Algodão!$E57:$Z57,MIN(R$6-$E$3,22))&lt;&gt;""),Algodão!$E57:INDEX(Algodão!$E57:$Z57,MIN(R$6-$E$3,22))),0))-IF($G$2,0,IF((R$6-$G$3)&lt;1,0,IFERROR(LOOKUP(2,1/(Algodão!$E57:INDEX(Algodão!$E57:$Z57,MIN(R$6-$G$3,22))&lt;&gt;""),Algodão!$E57:INDEX(Algodão!$E57:$Z57,MIN(R$6-$G$3,22))),0)))))</f>
        <v>0</v>
      </c>
      <c r="S59" s="27" t="n">
        <f aca="false">IF(COUNT(Algodão!$E57:$Z57)=0,0,MAX(0,IF((S$6-$E$3)&lt;1,0,IFERROR(LOOKUP(2,1/(Algodão!$E57:INDEX(Algodão!$E57:$Z57,MIN(S$6-$E$3,22))&lt;&gt;""),Algodão!$E57:INDEX(Algodão!$E57:$Z57,MIN(S$6-$E$3,22))),0))-IF($G$2,0,IF((S$6-$G$3)&lt;1,0,IFERROR(LOOKUP(2,1/(Algodão!$E57:INDEX(Algodão!$E57:$Z57,MIN(S$6-$G$3,22))&lt;&gt;""),Algodão!$E57:INDEX(Algodão!$E57:$Z57,MIN(S$6-$G$3,22))),0)))))</f>
        <v>0</v>
      </c>
      <c r="T59" s="27" t="n">
        <f aca="false">IF(COUNT(Algodão!$E57:$Z57)=0,0,MAX(0,IF((T$6-$E$3)&lt;1,0,IFERROR(LOOKUP(2,1/(Algodão!$E57:INDEX(Algodão!$E57:$Z57,MIN(T$6-$E$3,22))&lt;&gt;""),Algodão!$E57:INDEX(Algodão!$E57:$Z57,MIN(T$6-$E$3,22))),0))-IF($G$2,0,IF((T$6-$G$3)&lt;1,0,IFERROR(LOOKUP(2,1/(Algodão!$E57:INDEX(Algodão!$E57:$Z57,MIN(T$6-$G$3,22))&lt;&gt;""),Algodão!$E57:INDEX(Algodão!$E57:$Z57,MIN(T$6-$G$3,22))),0)))))</f>
        <v>0</v>
      </c>
      <c r="U59" s="27" t="n">
        <f aca="false">IF(COUNT(Algodão!$E57:$Z57)=0,0,MAX(0,IF((U$6-$E$3)&lt;1,0,IFERROR(LOOKUP(2,1/(Algodão!$E57:INDEX(Algodão!$E57:$Z57,MIN(U$6-$E$3,22))&lt;&gt;""),Algodão!$E57:INDEX(Algodão!$E57:$Z57,MIN(U$6-$E$3,22))),0))-IF($G$2,0,IF((U$6-$G$3)&lt;1,0,IFERROR(LOOKUP(2,1/(Algodão!$E57:INDEX(Algodão!$E57:$Z57,MIN(U$6-$G$3,22))&lt;&gt;""),Algodão!$E57:INDEX(Algodão!$E57:$Z57,MIN(U$6-$G$3,22))),0)))))</f>
        <v>0</v>
      </c>
      <c r="V59" s="27" t="n">
        <f aca="false">IF(COUNT(Algodão!$E57:$Z57)=0,0,MAX(0,IF((V$6-$E$3)&lt;1,0,IFERROR(LOOKUP(2,1/(Algodão!$E57:INDEX(Algodão!$E57:$Z57,MIN(V$6-$E$3,22))&lt;&gt;""),Algodão!$E57:INDEX(Algodão!$E57:$Z57,MIN(V$6-$E$3,22))),0))-IF($G$2,0,IF((V$6-$G$3)&lt;1,0,IFERROR(LOOKUP(2,1/(Algodão!$E57:INDEX(Algodão!$E57:$Z57,MIN(V$6-$G$3,22))&lt;&gt;""),Algodão!$E57:INDEX(Algodão!$E57:$Z57,MIN(V$6-$G$3,22))),0)))))</f>
        <v>0</v>
      </c>
      <c r="W59" s="27" t="n">
        <f aca="false">IF(COUNT(Algodão!$E57:$Z57)=0,0,MAX(0,IF((W$6-$E$3)&lt;1,0,IFERROR(LOOKUP(2,1/(Algodão!$E57:INDEX(Algodão!$E57:$Z57,MIN(W$6-$E$3,22))&lt;&gt;""),Algodão!$E57:INDEX(Algodão!$E57:$Z57,MIN(W$6-$E$3,22))),0))-IF($G$2,0,IF((W$6-$G$3)&lt;1,0,IFERROR(LOOKUP(2,1/(Algodão!$E57:INDEX(Algodão!$E57:$Z57,MIN(W$6-$G$3,22))&lt;&gt;""),Algodão!$E57:INDEX(Algodão!$E57:$Z57,MIN(W$6-$G$3,22))),0)))))</f>
        <v>0</v>
      </c>
      <c r="X59" s="27" t="n">
        <f aca="false">IF(COUNT(Algodão!$E57:$Z57)=0,0,MAX(0,IF((X$6-$E$3)&lt;1,0,IFERROR(LOOKUP(2,1/(Algodão!$E57:INDEX(Algodão!$E57:$Z57,MIN(X$6-$E$3,22))&lt;&gt;""),Algodão!$E57:INDEX(Algodão!$E57:$Z57,MIN(X$6-$E$3,22))),0))-IF($G$2,0,IF((X$6-$G$3)&lt;1,0,IFERROR(LOOKUP(2,1/(Algodão!$E57:INDEX(Algodão!$E57:$Z57,MIN(X$6-$G$3,22))&lt;&gt;""),Algodão!$E57:INDEX(Algodão!$E57:$Z57,MIN(X$6-$G$3,22))),0)))))</f>
        <v>0</v>
      </c>
      <c r="Y59" s="27" t="n">
        <f aca="false">IF(COUNT(Algodão!$E57:$Z57)=0,0,MAX(0,IF((Y$6-$E$3)&lt;1,0,IFERROR(LOOKUP(2,1/(Algodão!$E57:INDEX(Algodão!$E57:$Z57,MIN(Y$6-$E$3,22))&lt;&gt;""),Algodão!$E57:INDEX(Algodão!$E57:$Z57,MIN(Y$6-$E$3,22))),0))-IF($G$2,0,IF((Y$6-$G$3)&lt;1,0,IFERROR(LOOKUP(2,1/(Algodão!$E57:INDEX(Algodão!$E57:$Z57,MIN(Y$6-$G$3,22))&lt;&gt;""),Algodão!$E57:INDEX(Algodão!$E57:$Z57,MIN(Y$6-$G$3,22))),0)))))</f>
        <v>0</v>
      </c>
      <c r="Z59" s="27" t="n">
        <f aca="false">IF(COUNT(Algodão!$E57:$Z57)=0,0,MAX(0,IF((Z$6-$E$3)&lt;1,0,IFERROR(LOOKUP(2,1/(Algodão!$E57:INDEX(Algodão!$E57:$Z57,MIN(Z$6-$E$3,22))&lt;&gt;""),Algodão!$E57:INDEX(Algodão!$E57:$Z57,MIN(Z$6-$E$3,22))),0))-IF($G$2,0,IF((Z$6-$G$3)&lt;1,0,IFERROR(LOOKUP(2,1/(Algodão!$E57:INDEX(Algodão!$E57:$Z57,MIN(Z$6-$G$3,22))&lt;&gt;""),Algodão!$E57:INDEX(Algodão!$E57:$Z57,MIN(Z$6-$G$3,22))),0)))))</f>
        <v>0</v>
      </c>
      <c r="AA59" s="27" t="n">
        <f aca="false">IF(COUNT(Algodão!$E57:$Z57)=0,0,MAX(0,IF((AA$6-$E$3)&lt;1,0,IFERROR(LOOKUP(2,1/(Algodão!$E57:INDEX(Algodão!$E57:$Z57,MIN(AA$6-$E$3,22))&lt;&gt;""),Algodão!$E57:INDEX(Algodão!$E57:$Z57,MIN(AA$6-$E$3,22))),0))-IF($G$2,0,IF((AA$6-$G$3)&lt;1,0,IFERROR(LOOKUP(2,1/(Algodão!$E57:INDEX(Algodão!$E57:$Z57,MIN(AA$6-$G$3,22))&lt;&gt;""),Algodão!$E57:INDEX(Algodão!$E57:$Z57,MIN(AA$6-$G$3,22))),0)))))</f>
        <v>0</v>
      </c>
      <c r="AB59" s="27" t="n">
        <f aca="false">IF(COUNT(Algodão!$E57:$Z57)=0,0,MAX(0,IF((AB$6-$E$3)&lt;1,0,IFERROR(LOOKUP(2,1/(Algodão!$E57:INDEX(Algodão!$E57:$Z57,MIN(AB$6-$E$3,22))&lt;&gt;""),Algodão!$E57:INDEX(Algodão!$E57:$Z57,MIN(AB$6-$E$3,22))),0))-IF($G$2,0,IF((AB$6-$G$3)&lt;1,0,IFERROR(LOOKUP(2,1/(Algodão!$E57:INDEX(Algodão!$E57:$Z57,MIN(AB$6-$G$3,22))&lt;&gt;""),Algodão!$E57:INDEX(Algodão!$E57:$Z57,MIN(AB$6-$G$3,22))),0)))))</f>
        <v>0</v>
      </c>
      <c r="AC59" s="27" t="n">
        <f aca="false">IF(COUNT(Algodão!$E57:$Z57)=0,0,MAX(0,IF((AC$6-$E$3)&lt;1,0,IFERROR(LOOKUP(2,1/(Algodão!$E57:INDEX(Algodão!$E57:$Z57,MIN(AC$6-$E$3,22))&lt;&gt;""),Algodão!$E57:INDEX(Algodão!$E57:$Z57,MIN(AC$6-$E$3,22))),0))-IF($G$2,0,IF((AC$6-$G$3)&lt;1,0,IFERROR(LOOKUP(2,1/(Algodão!$E57:INDEX(Algodão!$E57:$Z57,MIN(AC$6-$G$3,22))&lt;&gt;""),Algodão!$E57:INDEX(Algodão!$E57:$Z57,MIN(AC$6-$G$3,22))),0)))))</f>
        <v>0</v>
      </c>
      <c r="AD59" s="27" t="n">
        <f aca="false">IF(COUNT(Algodão!$E57:$Z57)=0,0,MAX(0,IF((AD$6-$E$3)&lt;1,0,IFERROR(LOOKUP(2,1/(Algodão!$E57:INDEX(Algodão!$E57:$Z57,MIN(AD$6-$E$3,22))&lt;&gt;""),Algodão!$E57:INDEX(Algodão!$E57:$Z57,MIN(AD$6-$E$3,22))),0))-IF($G$2,0,IF((AD$6-$G$3)&lt;1,0,IFERROR(LOOKUP(2,1/(Algodão!$E57:INDEX(Algodão!$E57:$Z57,MIN(AD$6-$G$3,22))&lt;&gt;""),Algodão!$E57:INDEX(Algodão!$E57:$Z57,MIN(AD$6-$G$3,22))),0)))))</f>
        <v>0</v>
      </c>
      <c r="AE59" s="27" t="n">
        <f aca="false">IF(COUNT(Algodão!$E57:$Z57)=0,0,MAX(0,IF((AE$6-$E$3)&lt;1,0,IFERROR(LOOKUP(2,1/(Algodão!$E57:INDEX(Algodão!$E57:$Z57,MIN(AE$6-$E$3,22))&lt;&gt;""),Algodão!$E57:INDEX(Algodão!$E57:$Z57,MIN(AE$6-$E$3,22))),0))-IF($G$2,0,IF((AE$6-$G$3)&lt;1,0,IFERROR(LOOKUP(2,1/(Algodão!$E57:INDEX(Algodão!$E57:$Z57,MIN(AE$6-$G$3,22))&lt;&gt;""),Algodão!$E57:INDEX(Algodão!$E57:$Z57,MIN(AE$6-$G$3,22))),0)))))</f>
        <v>0</v>
      </c>
      <c r="AF59" s="27" t="n">
        <f aca="false">IF(COUNT(Algodão!$E57:$Z57)=0,0,MAX(0,IF((AF$6-$E$3)&lt;1,0,IFERROR(LOOKUP(2,1/(Algodão!$E57:INDEX(Algodão!$E57:$Z57,MIN(AF$6-$E$3,22))&lt;&gt;""),Algodão!$E57:INDEX(Algodão!$E57:$Z57,MIN(AF$6-$E$3,22))),0))-IF($G$2,0,IF((AF$6-$G$3)&lt;1,0,IFERROR(LOOKUP(2,1/(Algodão!$E57:INDEX(Algodão!$E57:$Z57,MIN(AF$6-$G$3,22))&lt;&gt;""),Algodão!$E57:INDEX(Algodão!$E57:$Z57,MIN(AF$6-$G$3,22))),0)))))</f>
        <v>0</v>
      </c>
      <c r="AG59" s="27" t="n">
        <f aca="false">IF(COUNT(Algodão!$E57:$Z57)=0,0,MAX(0,IF((AG$6-$E$3)&lt;1,0,IFERROR(LOOKUP(2,1/(Algodão!$E57:INDEX(Algodão!$E57:$Z57,MIN(AG$6-$E$3,22))&lt;&gt;""),Algodão!$E57:INDEX(Algodão!$E57:$Z57,MIN(AG$6-$E$3,22))),0))-IF($G$2,0,IF((AG$6-$G$3)&lt;1,0,IFERROR(LOOKUP(2,1/(Algodão!$E57:INDEX(Algodão!$E57:$Z57,MIN(AG$6-$G$3,22))&lt;&gt;""),Algodão!$E57:INDEX(Algodão!$E57:$Z57,MIN(AG$6-$G$3,22))),0)))))</f>
        <v>0</v>
      </c>
      <c r="AH59" s="27" t="n">
        <f aca="false">IF(COUNT(Algodão!$E57:$Z57)=0,0,MAX(0,IF((AH$6-$E$3)&lt;1,0,IFERROR(LOOKUP(2,1/(Algodão!$E57:INDEX(Algodão!$E57:$Z57,MIN(AH$6-$E$3,22))&lt;&gt;""),Algodão!$E57:INDEX(Algodão!$E57:$Z57,MIN(AH$6-$E$3,22))),0))-IF($G$2,0,IF((AH$6-$G$3)&lt;1,0,IFERROR(LOOKUP(2,1/(Algodão!$E57:INDEX(Algodão!$E57:$Z57,MIN(AH$6-$G$3,22))&lt;&gt;""),Algodão!$E57:INDEX(Algodão!$E57:$Z57,MIN(AH$6-$G$3,22))),0)))))</f>
        <v>0</v>
      </c>
      <c r="AI59" s="27" t="n">
        <f aca="false">IF(COUNT(Algodão!$E57:$Z57)=0,0,MAX(0,IF((AI$6-$E$3)&lt;1,0,IFERROR(LOOKUP(2,1/(Algodão!$E57:INDEX(Algodão!$E57:$Z57,MIN(AI$6-$E$3,22))&lt;&gt;""),Algodão!$E57:INDEX(Algodão!$E57:$Z57,MIN(AI$6-$E$3,22))),0))-IF($G$2,0,IF((AI$6-$G$3)&lt;1,0,IFERROR(LOOKUP(2,1/(Algodão!$E57:INDEX(Algodão!$E57:$Z57,MIN(AI$6-$G$3,22))&lt;&gt;""),Algodão!$E57:INDEX(Algodão!$E57:$Z57,MIN(AI$6-$G$3,22))),0)))))</f>
        <v>0</v>
      </c>
      <c r="AJ59" s="27" t="n">
        <f aca="false">IF(COUNT(Algodão!$E57:$Z57)=0,0,MAX(0,IF((AJ$6-$E$3)&lt;1,0,IFERROR(LOOKUP(2,1/(Algodão!$E57:INDEX(Algodão!$E57:$Z57,MIN(AJ$6-$E$3,22))&lt;&gt;""),Algodão!$E57:INDEX(Algodão!$E57:$Z57,MIN(AJ$6-$E$3,22))),0))-IF($G$2,0,IF((AJ$6-$G$3)&lt;1,0,IFERROR(LOOKUP(2,1/(Algodão!$E57:INDEX(Algodão!$E57:$Z57,MIN(AJ$6-$G$3,22))&lt;&gt;""),Algodão!$E57:INDEX(Algodão!$E57:$Z57,MIN(AJ$6-$G$3,22))),0)))))</f>
        <v>0</v>
      </c>
      <c r="AK59" s="27" t="n">
        <f aca="false">IF(COUNT(Algodão!$E57:$Z57)=0,0,MAX(0,IF((AK$6-$E$3)&lt;1,0,IFERROR(LOOKUP(2,1/(Algodão!$E57:INDEX(Algodão!$E57:$Z57,MIN(AK$6-$E$3,22))&lt;&gt;""),Algodão!$E57:INDEX(Algodão!$E57:$Z57,MIN(AK$6-$E$3,22))),0))-IF($G$2,0,IF((AK$6-$G$3)&lt;1,0,IFERROR(LOOKUP(2,1/(Algodão!$E57:INDEX(Algodão!$E57:$Z57,MIN(AK$6-$G$3,22))&lt;&gt;""),Algodão!$E57:INDEX(Algodão!$E57:$Z57,MIN(AK$6-$G$3,22))),0)))))</f>
        <v>0</v>
      </c>
      <c r="AL59" s="27" t="n">
        <f aca="false">IF(COUNT(Algodão!$E57:$Z57)=0,0,MAX(0,IF((AL$6-$E$3)&lt;1,0,IFERROR(LOOKUP(2,1/(Algodão!$E57:INDEX(Algodão!$E57:$Z57,MIN(AL$6-$E$3,22))&lt;&gt;""),Algodão!$E57:INDEX(Algodão!$E57:$Z57,MIN(AL$6-$E$3,22))),0))-IF($G$2,0,IF((AL$6-$G$3)&lt;1,0,IFERROR(LOOKUP(2,1/(Algodão!$E57:INDEX(Algodão!$E57:$Z57,MIN(AL$6-$G$3,22))&lt;&gt;""),Algodão!$E57:INDEX(Algodão!$E57:$Z57,MIN(AL$6-$G$3,22))),0)))))</f>
        <v>0</v>
      </c>
      <c r="AM59" s="27" t="n">
        <f aca="false">IF(COUNT(Algodão!$E57:$Z57)=0,0,MAX(0,IF((AM$6-$E$3)&lt;1,0,IFERROR(LOOKUP(2,1/(Algodão!$E57:INDEX(Algodão!$E57:$Z57,MIN(AM$6-$E$3,22))&lt;&gt;""),Algodão!$E57:INDEX(Algodão!$E57:$Z57,MIN(AM$6-$E$3,22))),0))-IF($G$2,0,IF((AM$6-$G$3)&lt;1,0,IFERROR(LOOKUP(2,1/(Algodão!$E57:INDEX(Algodão!$E57:$Z57,MIN(AM$6-$G$3,22))&lt;&gt;""),Algodão!$E57:INDEX(Algodão!$E57:$Z57,MIN(AM$6-$G$3,22))),0)))))</f>
        <v>0</v>
      </c>
      <c r="AN59" s="27" t="n">
        <f aca="false">IF(COUNT(Algodão!$E57:$Z57)=0,0,MAX(0,IF((AN$6-$E$3)&lt;1,0,IFERROR(LOOKUP(2,1/(Algodão!$E57:INDEX(Algodão!$E57:$Z57,MIN(AN$6-$E$3,22))&lt;&gt;""),Algodão!$E57:INDEX(Algodão!$E57:$Z57,MIN(AN$6-$E$3,22))),0))-IF($G$2,0,IF((AN$6-$G$3)&lt;1,0,IFERROR(LOOKUP(2,1/(Algodão!$E57:INDEX(Algodão!$E57:$Z57,MIN(AN$6-$G$3,22))&lt;&gt;""),Algodão!$E57:INDEX(Algodão!$E57:$Z57,MIN(AN$6-$G$3,22))),0)))))</f>
        <v>0</v>
      </c>
      <c r="AO59" s="27" t="n">
        <f aca="false">IF(COUNT(Algodão!$E57:$Z57)=0,0,MAX(0,IF((AO$6-$E$3)&lt;1,0,IFERROR(LOOKUP(2,1/(Algodão!$E57:INDEX(Algodão!$E57:$Z57,MIN(AO$6-$E$3,22))&lt;&gt;""),Algodão!$E57:INDEX(Algodão!$E57:$Z57,MIN(AO$6-$E$3,22))),0))-IF($G$2,0,IF((AO$6-$G$3)&lt;1,0,IFERROR(LOOKUP(2,1/(Algodão!$E57:INDEX(Algodão!$E57:$Z57,MIN(AO$6-$G$3,22))&lt;&gt;""),Algodão!$E57:INDEX(Algodão!$E57:$Z57,MIN(AO$6-$G$3,22))),0)))))</f>
        <v>0</v>
      </c>
      <c r="AP59" s="27" t="n">
        <f aca="false">IF(COUNT(Algodão!$E57:$Z57)=0,0,MAX(0,IF((AP$6-$E$3)&lt;1,0,IFERROR(LOOKUP(2,1/(Algodão!$E57:INDEX(Algodão!$E57:$Z57,MIN(AP$6-$E$3,22))&lt;&gt;""),Algodão!$E57:INDEX(Algodão!$E57:$Z57,MIN(AP$6-$E$3,22))),0))-IF($G$2,0,IF((AP$6-$G$3)&lt;1,0,IFERROR(LOOKUP(2,1/(Algodão!$E57:INDEX(Algodão!$E57:$Z57,MIN(AP$6-$G$3,22))&lt;&gt;""),Algodão!$E57:INDEX(Algodão!$E57:$Z57,MIN(AP$6-$G$3,22))),0)))))</f>
        <v>0</v>
      </c>
      <c r="AQ59" s="27" t="n">
        <f aca="false">IF(COUNT(Algodão!$E57:$Z57)=0,0,MAX(0,IF((AQ$6-$E$3)&lt;1,0,IFERROR(LOOKUP(2,1/(Algodão!$E57:INDEX(Algodão!$E57:$Z57,MIN(AQ$6-$E$3,22))&lt;&gt;""),Algodão!$E57:INDEX(Algodão!$E57:$Z57,MIN(AQ$6-$E$3,22))),0))-IF($G$2,0,IF((AQ$6-$G$3)&lt;1,0,IFERROR(LOOKUP(2,1/(Algodão!$E57:INDEX(Algodão!$E57:$Z57,MIN(AQ$6-$G$3,22))&lt;&gt;""),Algodão!$E57:INDEX(Algodão!$E57:$Z57,MIN(AQ$6-$G$3,22))),0)))))</f>
        <v>0</v>
      </c>
      <c r="AR59" s="27" t="n">
        <f aca="false">IF(COUNT(Algodão!$E57:$Z57)=0,0,MAX(0,IF((AR$6-$E$3)&lt;1,0,IFERROR(LOOKUP(2,1/(Algodão!$E57:INDEX(Algodão!$E57:$Z57,MIN(AR$6-$E$3,22))&lt;&gt;""),Algodão!$E57:INDEX(Algodão!$E57:$Z57,MIN(AR$6-$E$3,22))),0))-IF($G$2,0,IF((AR$6-$G$3)&lt;1,0,IFERROR(LOOKUP(2,1/(Algodão!$E57:INDEX(Algodão!$E57:$Z57,MIN(AR$6-$G$3,22))&lt;&gt;""),Algodão!$E57:INDEX(Algodão!$E57:$Z57,MIN(AR$6-$G$3,22))),0)))))</f>
        <v>0</v>
      </c>
      <c r="AS59" s="27" t="n">
        <f aca="false">IF(COUNT(Algodão!$E57:$Z57)=0,0,MAX(0,IF((AS$6-$E$3)&lt;1,0,IFERROR(LOOKUP(2,1/(Algodão!$E57:INDEX(Algodão!$E57:$Z57,MIN(AS$6-$E$3,22))&lt;&gt;""),Algodão!$E57:INDEX(Algodão!$E57:$Z57,MIN(AS$6-$E$3,22))),0))-IF($G$2,0,IF((AS$6-$G$3)&lt;1,0,IFERROR(LOOKUP(2,1/(Algodão!$E57:INDEX(Algodão!$E57:$Z57,MIN(AS$6-$G$3,22))&lt;&gt;""),Algodão!$E57:INDEX(Algodão!$E57:$Z57,MIN(AS$6-$G$3,22))),0)))))</f>
        <v>0</v>
      </c>
      <c r="AT59" s="27" t="n">
        <f aca="false">IF(COUNT(Algodão!$E57:$Z57)=0,0,MAX(0,IF((AT$6-$E$3)&lt;1,0,IFERROR(LOOKUP(2,1/(Algodão!$E57:INDEX(Algodão!$E57:$Z57,MIN(AT$6-$E$3,22))&lt;&gt;""),Algodão!$E57:INDEX(Algodão!$E57:$Z57,MIN(AT$6-$E$3,22))),0))-IF($G$2,0,IF((AT$6-$G$3)&lt;1,0,IFERROR(LOOKUP(2,1/(Algodão!$E57:INDEX(Algodão!$E57:$Z57,MIN(AT$6-$G$3,22))&lt;&gt;""),Algodão!$E57:INDEX(Algodão!$E57:$Z57,MIN(AT$6-$G$3,22))),0)))))</f>
        <v>0</v>
      </c>
      <c r="AU59" s="27" t="n">
        <f aca="false">IF(COUNT(Algodão!$E57:$Z57)=0,0,MAX(0,IF((AU$6-$E$3)&lt;1,0,IFERROR(LOOKUP(2,1/(Algodão!$E57:INDEX(Algodão!$E57:$Z57,MIN(AU$6-$E$3,22))&lt;&gt;""),Algodão!$E57:INDEX(Algodão!$E57:$Z57,MIN(AU$6-$E$3,22))),0))-IF($G$2,0,IF((AU$6-$G$3)&lt;1,0,IFERROR(LOOKUP(2,1/(Algodão!$E57:INDEX(Algodão!$E57:$Z57,MIN(AU$6-$G$3,22))&lt;&gt;""),Algodão!$E57:INDEX(Algodão!$E57:$Z57,MIN(AU$6-$G$3,22))),0)))))</f>
        <v>0</v>
      </c>
      <c r="AV59" s="27" t="n">
        <f aca="false">IF(COUNT(Algodão!$E57:$Z57)=0,0,MAX(0,IF((AV$6-$E$3)&lt;1,0,IFERROR(LOOKUP(2,1/(Algodão!$E57:INDEX(Algodão!$E57:$Z57,MIN(AV$6-$E$3,22))&lt;&gt;""),Algodão!$E57:INDEX(Algodão!$E57:$Z57,MIN(AV$6-$E$3,22))),0))-IF($G$2,0,IF((AV$6-$G$3)&lt;1,0,IFERROR(LOOKUP(2,1/(Algodão!$E57:INDEX(Algodão!$E57:$Z57,MIN(AV$6-$G$3,22))&lt;&gt;""),Algodão!$E57:INDEX(Algodão!$E57:$Z57,MIN(AV$6-$G$3,22))),0)))))</f>
        <v>0</v>
      </c>
      <c r="AW59" s="27" t="n">
        <f aca="false">IF(COUNT(Algodão!$E57:$Z57)=0,0,MAX(0,IF((AW$6-$E$3)&lt;1,0,IFERROR(LOOKUP(2,1/(Algodão!$E57:INDEX(Algodão!$E57:$Z57,MIN(AW$6-$E$3,22))&lt;&gt;""),Algodão!$E57:INDEX(Algodão!$E57:$Z57,MIN(AW$6-$E$3,22))),0))-IF($G$2,0,IF((AW$6-$G$3)&lt;1,0,IFERROR(LOOKUP(2,1/(Algodão!$E57:INDEX(Algodão!$E57:$Z57,MIN(AW$6-$G$3,22))&lt;&gt;""),Algodão!$E57:INDEX(Algodão!$E57:$Z57,MIN(AW$6-$G$3,22))),0)))))</f>
        <v>0</v>
      </c>
      <c r="AX59" s="27" t="n">
        <f aca="false">IF(COUNT(Algodão!$E57:$Z57)=0,0,MAX(0,IF((AX$6-$E$3)&lt;1,0,IFERROR(LOOKUP(2,1/(Algodão!$E57:INDEX(Algodão!$E57:$Z57,MIN(AX$6-$E$3,22))&lt;&gt;""),Algodão!$E57:INDEX(Algodão!$E57:$Z57,MIN(AX$6-$E$3,22))),0))-IF($G$2,0,IF((AX$6-$G$3)&lt;1,0,IFERROR(LOOKUP(2,1/(Algodão!$E57:INDEX(Algodão!$E57:$Z57,MIN(AX$6-$G$3,22))&lt;&gt;""),Algodão!$E57:INDEX(Algodão!$E57:$Z57,MIN(AX$6-$G$3,22))),0)))))</f>
        <v>0</v>
      </c>
      <c r="AY59" s="27" t="n">
        <f aca="false">IF(COUNT(Algodão!$E57:$Z57)=0,0,MAX(0,IF((AY$6-$E$3)&lt;1,0,IFERROR(LOOKUP(2,1/(Algodão!$E57:INDEX(Algodão!$E57:$Z57,MIN(AY$6-$E$3,22))&lt;&gt;""),Algodão!$E57:INDEX(Algodão!$E57:$Z57,MIN(AY$6-$E$3,22))),0))-IF($G$2,0,IF((AY$6-$G$3)&lt;1,0,IFERROR(LOOKUP(2,1/(Algodão!$E57:INDEX(Algodão!$E57:$Z57,MIN(AY$6-$G$3,22))&lt;&gt;""),Algodão!$E57:INDEX(Algodão!$E57:$Z57,MIN(AY$6-$G$3,22))),0)))))</f>
        <v>0</v>
      </c>
      <c r="AZ59" s="27" t="n">
        <f aca="false">IF(COUNT(Algodão!$E57:$Z57)=0,0,MAX(0,IF((AZ$6-$E$3)&lt;1,0,IFERROR(LOOKUP(2,1/(Algodão!$E57:INDEX(Algodão!$E57:$Z57,MIN(AZ$6-$E$3,22))&lt;&gt;""),Algodão!$E57:INDEX(Algodão!$E57:$Z57,MIN(AZ$6-$E$3,22))),0))-IF($G$2,0,IF((AZ$6-$G$3)&lt;1,0,IFERROR(LOOKUP(2,1/(Algodão!$E57:INDEX(Algodão!$E57:$Z57,MIN(AZ$6-$G$3,22))&lt;&gt;""),Algodão!$E57:INDEX(Algodão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IF(COUNT(Algodão!$E58:$Z58)&gt;0,N(Algodão!$D58),0)</f>
        <v>0</v>
      </c>
      <c r="E60" s="27" t="n">
        <f aca="false">IF(COUNT(Algodão!$E58:$Z58)=0,0,MAX(0,IF((E$6-$E$3)&lt;1,0,IFERROR(LOOKUP(2,1/(Algodão!$E58:INDEX(Algodão!$E58:$Z58,MIN(E$6-$E$3,22))&lt;&gt;""),Algodão!$E58:INDEX(Algodão!$E58:$Z58,MIN(E$6-$E$3,22))),0))-IF($G$2,0,IF((E$6-$G$3)&lt;1,0,IFERROR(LOOKUP(2,1/(Algodão!$E58:INDEX(Algodão!$E58:$Z58,MIN(E$6-$G$3,22))&lt;&gt;""),Algodão!$E58:INDEX(Algodão!$E58:$Z58,MIN(E$6-$G$3,22))),0)))))</f>
        <v>0</v>
      </c>
      <c r="F60" s="27" t="n">
        <f aca="false">IF(COUNT(Algodão!$E58:$Z58)=0,0,MAX(0,IF((F$6-$E$3)&lt;1,0,IFERROR(LOOKUP(2,1/(Algodão!$E58:INDEX(Algodão!$E58:$Z58,MIN(F$6-$E$3,22))&lt;&gt;""),Algodão!$E58:INDEX(Algodão!$E58:$Z58,MIN(F$6-$E$3,22))),0))-IF($G$2,0,IF((F$6-$G$3)&lt;1,0,IFERROR(LOOKUP(2,1/(Algodão!$E58:INDEX(Algodão!$E58:$Z58,MIN(F$6-$G$3,22))&lt;&gt;""),Algodão!$E58:INDEX(Algodão!$E58:$Z58,MIN(F$6-$G$3,22))),0)))))</f>
        <v>0</v>
      </c>
      <c r="G60" s="27" t="n">
        <f aca="false">IF(COUNT(Algodão!$E58:$Z58)=0,0,MAX(0,IF((G$6-$E$3)&lt;1,0,IFERROR(LOOKUP(2,1/(Algodão!$E58:INDEX(Algodão!$E58:$Z58,MIN(G$6-$E$3,22))&lt;&gt;""),Algodão!$E58:INDEX(Algodão!$E58:$Z58,MIN(G$6-$E$3,22))),0))-IF($G$2,0,IF((G$6-$G$3)&lt;1,0,IFERROR(LOOKUP(2,1/(Algodão!$E58:INDEX(Algodão!$E58:$Z58,MIN(G$6-$G$3,22))&lt;&gt;""),Algodão!$E58:INDEX(Algodão!$E58:$Z58,MIN(G$6-$G$3,22))),0)))))</f>
        <v>0</v>
      </c>
      <c r="H60" s="27" t="n">
        <f aca="false">IF(COUNT(Algodão!$E58:$Z58)=0,0,MAX(0,IF((H$6-$E$3)&lt;1,0,IFERROR(LOOKUP(2,1/(Algodão!$E58:INDEX(Algodão!$E58:$Z58,MIN(H$6-$E$3,22))&lt;&gt;""),Algodão!$E58:INDEX(Algodão!$E58:$Z58,MIN(H$6-$E$3,22))),0))-IF($G$2,0,IF((H$6-$G$3)&lt;1,0,IFERROR(LOOKUP(2,1/(Algodão!$E58:INDEX(Algodão!$E58:$Z58,MIN(H$6-$G$3,22))&lt;&gt;""),Algodão!$E58:INDEX(Algodão!$E58:$Z58,MIN(H$6-$G$3,22))),0)))))</f>
        <v>0</v>
      </c>
      <c r="I60" s="27" t="n">
        <f aca="false">IF(COUNT(Algodão!$E58:$Z58)=0,0,MAX(0,IF((I$6-$E$3)&lt;1,0,IFERROR(LOOKUP(2,1/(Algodão!$E58:INDEX(Algodão!$E58:$Z58,MIN(I$6-$E$3,22))&lt;&gt;""),Algodão!$E58:INDEX(Algodão!$E58:$Z58,MIN(I$6-$E$3,22))),0))-IF($G$2,0,IF((I$6-$G$3)&lt;1,0,IFERROR(LOOKUP(2,1/(Algodão!$E58:INDEX(Algodão!$E58:$Z58,MIN(I$6-$G$3,22))&lt;&gt;""),Algodão!$E58:INDEX(Algodão!$E58:$Z58,MIN(I$6-$G$3,22))),0)))))</f>
        <v>0</v>
      </c>
      <c r="J60" s="27" t="n">
        <f aca="false">IF(COUNT(Algodão!$E58:$Z58)=0,0,MAX(0,IF((J$6-$E$3)&lt;1,0,IFERROR(LOOKUP(2,1/(Algodão!$E58:INDEX(Algodão!$E58:$Z58,MIN(J$6-$E$3,22))&lt;&gt;""),Algodão!$E58:INDEX(Algodão!$E58:$Z58,MIN(J$6-$E$3,22))),0))-IF($G$2,0,IF((J$6-$G$3)&lt;1,0,IFERROR(LOOKUP(2,1/(Algodão!$E58:INDEX(Algodão!$E58:$Z58,MIN(J$6-$G$3,22))&lt;&gt;""),Algodão!$E58:INDEX(Algodão!$E58:$Z58,MIN(J$6-$G$3,22))),0)))))</f>
        <v>0</v>
      </c>
      <c r="K60" s="27" t="n">
        <f aca="false">IF(COUNT(Algodão!$E58:$Z58)=0,0,MAX(0,IF((K$6-$E$3)&lt;1,0,IFERROR(LOOKUP(2,1/(Algodão!$E58:INDEX(Algodão!$E58:$Z58,MIN(K$6-$E$3,22))&lt;&gt;""),Algodão!$E58:INDEX(Algodão!$E58:$Z58,MIN(K$6-$E$3,22))),0))-IF($G$2,0,IF((K$6-$G$3)&lt;1,0,IFERROR(LOOKUP(2,1/(Algodão!$E58:INDEX(Algodão!$E58:$Z58,MIN(K$6-$G$3,22))&lt;&gt;""),Algodão!$E58:INDEX(Algodão!$E58:$Z58,MIN(K$6-$G$3,22))),0)))))</f>
        <v>0</v>
      </c>
      <c r="L60" s="27" t="n">
        <f aca="false">IF(COUNT(Algodão!$E58:$Z58)=0,0,MAX(0,IF((L$6-$E$3)&lt;1,0,IFERROR(LOOKUP(2,1/(Algodão!$E58:INDEX(Algodão!$E58:$Z58,MIN(L$6-$E$3,22))&lt;&gt;""),Algodão!$E58:INDEX(Algodão!$E58:$Z58,MIN(L$6-$E$3,22))),0))-IF($G$2,0,IF((L$6-$G$3)&lt;1,0,IFERROR(LOOKUP(2,1/(Algodão!$E58:INDEX(Algodão!$E58:$Z58,MIN(L$6-$G$3,22))&lt;&gt;""),Algodão!$E58:INDEX(Algodão!$E58:$Z58,MIN(L$6-$G$3,22))),0)))))</f>
        <v>0</v>
      </c>
      <c r="M60" s="27" t="n">
        <f aca="false">IF(COUNT(Algodão!$E58:$Z58)=0,0,MAX(0,IF((M$6-$E$3)&lt;1,0,IFERROR(LOOKUP(2,1/(Algodão!$E58:INDEX(Algodão!$E58:$Z58,MIN(M$6-$E$3,22))&lt;&gt;""),Algodão!$E58:INDEX(Algodão!$E58:$Z58,MIN(M$6-$E$3,22))),0))-IF($G$2,0,IF((M$6-$G$3)&lt;1,0,IFERROR(LOOKUP(2,1/(Algodão!$E58:INDEX(Algodão!$E58:$Z58,MIN(M$6-$G$3,22))&lt;&gt;""),Algodão!$E58:INDEX(Algodão!$E58:$Z58,MIN(M$6-$G$3,22))),0)))))</f>
        <v>0</v>
      </c>
      <c r="N60" s="27" t="n">
        <f aca="false">IF(COUNT(Algodão!$E58:$Z58)=0,0,MAX(0,IF((N$6-$E$3)&lt;1,0,IFERROR(LOOKUP(2,1/(Algodão!$E58:INDEX(Algodão!$E58:$Z58,MIN(N$6-$E$3,22))&lt;&gt;""),Algodão!$E58:INDEX(Algodão!$E58:$Z58,MIN(N$6-$E$3,22))),0))-IF($G$2,0,IF((N$6-$G$3)&lt;1,0,IFERROR(LOOKUP(2,1/(Algodão!$E58:INDEX(Algodão!$E58:$Z58,MIN(N$6-$G$3,22))&lt;&gt;""),Algodão!$E58:INDEX(Algodão!$E58:$Z58,MIN(N$6-$G$3,22))),0)))))</f>
        <v>0</v>
      </c>
      <c r="O60" s="27" t="n">
        <f aca="false">IF(COUNT(Algodão!$E58:$Z58)=0,0,MAX(0,IF((O$6-$E$3)&lt;1,0,IFERROR(LOOKUP(2,1/(Algodão!$E58:INDEX(Algodão!$E58:$Z58,MIN(O$6-$E$3,22))&lt;&gt;""),Algodão!$E58:INDEX(Algodão!$E58:$Z58,MIN(O$6-$E$3,22))),0))-IF($G$2,0,IF((O$6-$G$3)&lt;1,0,IFERROR(LOOKUP(2,1/(Algodão!$E58:INDEX(Algodão!$E58:$Z58,MIN(O$6-$G$3,22))&lt;&gt;""),Algodão!$E58:INDEX(Algodão!$E58:$Z58,MIN(O$6-$G$3,22))),0)))))</f>
        <v>0</v>
      </c>
      <c r="P60" s="27" t="n">
        <f aca="false">IF(COUNT(Algodão!$E58:$Z58)=0,0,MAX(0,IF((P$6-$E$3)&lt;1,0,IFERROR(LOOKUP(2,1/(Algodão!$E58:INDEX(Algodão!$E58:$Z58,MIN(P$6-$E$3,22))&lt;&gt;""),Algodão!$E58:INDEX(Algodão!$E58:$Z58,MIN(P$6-$E$3,22))),0))-IF($G$2,0,IF((P$6-$G$3)&lt;1,0,IFERROR(LOOKUP(2,1/(Algodão!$E58:INDEX(Algodão!$E58:$Z58,MIN(P$6-$G$3,22))&lt;&gt;""),Algodão!$E58:INDEX(Algodão!$E58:$Z58,MIN(P$6-$G$3,22))),0)))))</f>
        <v>0</v>
      </c>
      <c r="Q60" s="27" t="n">
        <f aca="false">IF(COUNT(Algodão!$E58:$Z58)=0,0,MAX(0,IF((Q$6-$E$3)&lt;1,0,IFERROR(LOOKUP(2,1/(Algodão!$E58:INDEX(Algodão!$E58:$Z58,MIN(Q$6-$E$3,22))&lt;&gt;""),Algodão!$E58:INDEX(Algodão!$E58:$Z58,MIN(Q$6-$E$3,22))),0))-IF($G$2,0,IF((Q$6-$G$3)&lt;1,0,IFERROR(LOOKUP(2,1/(Algodão!$E58:INDEX(Algodão!$E58:$Z58,MIN(Q$6-$G$3,22))&lt;&gt;""),Algodão!$E58:INDEX(Algodão!$E58:$Z58,MIN(Q$6-$G$3,22))),0)))))</f>
        <v>0</v>
      </c>
      <c r="R60" s="27" t="n">
        <f aca="false">IF(COUNT(Algodão!$E58:$Z58)=0,0,MAX(0,IF((R$6-$E$3)&lt;1,0,IFERROR(LOOKUP(2,1/(Algodão!$E58:INDEX(Algodão!$E58:$Z58,MIN(R$6-$E$3,22))&lt;&gt;""),Algodão!$E58:INDEX(Algodão!$E58:$Z58,MIN(R$6-$E$3,22))),0))-IF($G$2,0,IF((R$6-$G$3)&lt;1,0,IFERROR(LOOKUP(2,1/(Algodão!$E58:INDEX(Algodão!$E58:$Z58,MIN(R$6-$G$3,22))&lt;&gt;""),Algodão!$E58:INDEX(Algodão!$E58:$Z58,MIN(R$6-$G$3,22))),0)))))</f>
        <v>0</v>
      </c>
      <c r="S60" s="27" t="n">
        <f aca="false">IF(COUNT(Algodão!$E58:$Z58)=0,0,MAX(0,IF((S$6-$E$3)&lt;1,0,IFERROR(LOOKUP(2,1/(Algodão!$E58:INDEX(Algodão!$E58:$Z58,MIN(S$6-$E$3,22))&lt;&gt;""),Algodão!$E58:INDEX(Algodão!$E58:$Z58,MIN(S$6-$E$3,22))),0))-IF($G$2,0,IF((S$6-$G$3)&lt;1,0,IFERROR(LOOKUP(2,1/(Algodão!$E58:INDEX(Algodão!$E58:$Z58,MIN(S$6-$G$3,22))&lt;&gt;""),Algodão!$E58:INDEX(Algodão!$E58:$Z58,MIN(S$6-$G$3,22))),0)))))</f>
        <v>0</v>
      </c>
      <c r="T60" s="27" t="n">
        <f aca="false">IF(COUNT(Algodão!$E58:$Z58)=0,0,MAX(0,IF((T$6-$E$3)&lt;1,0,IFERROR(LOOKUP(2,1/(Algodão!$E58:INDEX(Algodão!$E58:$Z58,MIN(T$6-$E$3,22))&lt;&gt;""),Algodão!$E58:INDEX(Algodão!$E58:$Z58,MIN(T$6-$E$3,22))),0))-IF($G$2,0,IF((T$6-$G$3)&lt;1,0,IFERROR(LOOKUP(2,1/(Algodão!$E58:INDEX(Algodão!$E58:$Z58,MIN(T$6-$G$3,22))&lt;&gt;""),Algodão!$E58:INDEX(Algodão!$E58:$Z58,MIN(T$6-$G$3,22))),0)))))</f>
        <v>0</v>
      </c>
      <c r="U60" s="27" t="n">
        <f aca="false">IF(COUNT(Algodão!$E58:$Z58)=0,0,MAX(0,IF((U$6-$E$3)&lt;1,0,IFERROR(LOOKUP(2,1/(Algodão!$E58:INDEX(Algodão!$E58:$Z58,MIN(U$6-$E$3,22))&lt;&gt;""),Algodão!$E58:INDEX(Algodão!$E58:$Z58,MIN(U$6-$E$3,22))),0))-IF($G$2,0,IF((U$6-$G$3)&lt;1,0,IFERROR(LOOKUP(2,1/(Algodão!$E58:INDEX(Algodão!$E58:$Z58,MIN(U$6-$G$3,22))&lt;&gt;""),Algodão!$E58:INDEX(Algodão!$E58:$Z58,MIN(U$6-$G$3,22))),0)))))</f>
        <v>0</v>
      </c>
      <c r="V60" s="27" t="n">
        <f aca="false">IF(COUNT(Algodão!$E58:$Z58)=0,0,MAX(0,IF((V$6-$E$3)&lt;1,0,IFERROR(LOOKUP(2,1/(Algodão!$E58:INDEX(Algodão!$E58:$Z58,MIN(V$6-$E$3,22))&lt;&gt;""),Algodão!$E58:INDEX(Algodão!$E58:$Z58,MIN(V$6-$E$3,22))),0))-IF($G$2,0,IF((V$6-$G$3)&lt;1,0,IFERROR(LOOKUP(2,1/(Algodão!$E58:INDEX(Algodão!$E58:$Z58,MIN(V$6-$G$3,22))&lt;&gt;""),Algodão!$E58:INDEX(Algodão!$E58:$Z58,MIN(V$6-$G$3,22))),0)))))</f>
        <v>0</v>
      </c>
      <c r="W60" s="27" t="n">
        <f aca="false">IF(COUNT(Algodão!$E58:$Z58)=0,0,MAX(0,IF((W$6-$E$3)&lt;1,0,IFERROR(LOOKUP(2,1/(Algodão!$E58:INDEX(Algodão!$E58:$Z58,MIN(W$6-$E$3,22))&lt;&gt;""),Algodão!$E58:INDEX(Algodão!$E58:$Z58,MIN(W$6-$E$3,22))),0))-IF($G$2,0,IF((W$6-$G$3)&lt;1,0,IFERROR(LOOKUP(2,1/(Algodão!$E58:INDEX(Algodão!$E58:$Z58,MIN(W$6-$G$3,22))&lt;&gt;""),Algodão!$E58:INDEX(Algodão!$E58:$Z58,MIN(W$6-$G$3,22))),0)))))</f>
        <v>0</v>
      </c>
      <c r="X60" s="27" t="n">
        <f aca="false">IF(COUNT(Algodão!$E58:$Z58)=0,0,MAX(0,IF((X$6-$E$3)&lt;1,0,IFERROR(LOOKUP(2,1/(Algodão!$E58:INDEX(Algodão!$E58:$Z58,MIN(X$6-$E$3,22))&lt;&gt;""),Algodão!$E58:INDEX(Algodão!$E58:$Z58,MIN(X$6-$E$3,22))),0))-IF($G$2,0,IF((X$6-$G$3)&lt;1,0,IFERROR(LOOKUP(2,1/(Algodão!$E58:INDEX(Algodão!$E58:$Z58,MIN(X$6-$G$3,22))&lt;&gt;""),Algodão!$E58:INDEX(Algodão!$E58:$Z58,MIN(X$6-$G$3,22))),0)))))</f>
        <v>0</v>
      </c>
      <c r="Y60" s="27" t="n">
        <f aca="false">IF(COUNT(Algodão!$E58:$Z58)=0,0,MAX(0,IF((Y$6-$E$3)&lt;1,0,IFERROR(LOOKUP(2,1/(Algodão!$E58:INDEX(Algodão!$E58:$Z58,MIN(Y$6-$E$3,22))&lt;&gt;""),Algodão!$E58:INDEX(Algodão!$E58:$Z58,MIN(Y$6-$E$3,22))),0))-IF($G$2,0,IF((Y$6-$G$3)&lt;1,0,IFERROR(LOOKUP(2,1/(Algodão!$E58:INDEX(Algodão!$E58:$Z58,MIN(Y$6-$G$3,22))&lt;&gt;""),Algodão!$E58:INDEX(Algodão!$E58:$Z58,MIN(Y$6-$G$3,22))),0)))))</f>
        <v>0</v>
      </c>
      <c r="Z60" s="27" t="n">
        <f aca="false">IF(COUNT(Algodão!$E58:$Z58)=0,0,MAX(0,IF((Z$6-$E$3)&lt;1,0,IFERROR(LOOKUP(2,1/(Algodão!$E58:INDEX(Algodão!$E58:$Z58,MIN(Z$6-$E$3,22))&lt;&gt;""),Algodão!$E58:INDEX(Algodão!$E58:$Z58,MIN(Z$6-$E$3,22))),0))-IF($G$2,0,IF((Z$6-$G$3)&lt;1,0,IFERROR(LOOKUP(2,1/(Algodão!$E58:INDEX(Algodão!$E58:$Z58,MIN(Z$6-$G$3,22))&lt;&gt;""),Algodão!$E58:INDEX(Algodão!$E58:$Z58,MIN(Z$6-$G$3,22))),0)))))</f>
        <v>0</v>
      </c>
      <c r="AA60" s="27" t="n">
        <f aca="false">IF(COUNT(Algodão!$E58:$Z58)=0,0,MAX(0,IF((AA$6-$E$3)&lt;1,0,IFERROR(LOOKUP(2,1/(Algodão!$E58:INDEX(Algodão!$E58:$Z58,MIN(AA$6-$E$3,22))&lt;&gt;""),Algodão!$E58:INDEX(Algodão!$E58:$Z58,MIN(AA$6-$E$3,22))),0))-IF($G$2,0,IF((AA$6-$G$3)&lt;1,0,IFERROR(LOOKUP(2,1/(Algodão!$E58:INDEX(Algodão!$E58:$Z58,MIN(AA$6-$G$3,22))&lt;&gt;""),Algodão!$E58:INDEX(Algodão!$E58:$Z58,MIN(AA$6-$G$3,22))),0)))))</f>
        <v>0</v>
      </c>
      <c r="AB60" s="27" t="n">
        <f aca="false">IF(COUNT(Algodão!$E58:$Z58)=0,0,MAX(0,IF((AB$6-$E$3)&lt;1,0,IFERROR(LOOKUP(2,1/(Algodão!$E58:INDEX(Algodão!$E58:$Z58,MIN(AB$6-$E$3,22))&lt;&gt;""),Algodão!$E58:INDEX(Algodão!$E58:$Z58,MIN(AB$6-$E$3,22))),0))-IF($G$2,0,IF((AB$6-$G$3)&lt;1,0,IFERROR(LOOKUP(2,1/(Algodão!$E58:INDEX(Algodão!$E58:$Z58,MIN(AB$6-$G$3,22))&lt;&gt;""),Algodão!$E58:INDEX(Algodão!$E58:$Z58,MIN(AB$6-$G$3,22))),0)))))</f>
        <v>0</v>
      </c>
      <c r="AC60" s="27" t="n">
        <f aca="false">IF(COUNT(Algodão!$E58:$Z58)=0,0,MAX(0,IF((AC$6-$E$3)&lt;1,0,IFERROR(LOOKUP(2,1/(Algodão!$E58:INDEX(Algodão!$E58:$Z58,MIN(AC$6-$E$3,22))&lt;&gt;""),Algodão!$E58:INDEX(Algodão!$E58:$Z58,MIN(AC$6-$E$3,22))),0))-IF($G$2,0,IF((AC$6-$G$3)&lt;1,0,IFERROR(LOOKUP(2,1/(Algodão!$E58:INDEX(Algodão!$E58:$Z58,MIN(AC$6-$G$3,22))&lt;&gt;""),Algodão!$E58:INDEX(Algodão!$E58:$Z58,MIN(AC$6-$G$3,22))),0)))))</f>
        <v>0</v>
      </c>
      <c r="AD60" s="27" t="n">
        <f aca="false">IF(COUNT(Algodão!$E58:$Z58)=0,0,MAX(0,IF((AD$6-$E$3)&lt;1,0,IFERROR(LOOKUP(2,1/(Algodão!$E58:INDEX(Algodão!$E58:$Z58,MIN(AD$6-$E$3,22))&lt;&gt;""),Algodão!$E58:INDEX(Algodão!$E58:$Z58,MIN(AD$6-$E$3,22))),0))-IF($G$2,0,IF((AD$6-$G$3)&lt;1,0,IFERROR(LOOKUP(2,1/(Algodão!$E58:INDEX(Algodão!$E58:$Z58,MIN(AD$6-$G$3,22))&lt;&gt;""),Algodão!$E58:INDEX(Algodão!$E58:$Z58,MIN(AD$6-$G$3,22))),0)))))</f>
        <v>0</v>
      </c>
      <c r="AE60" s="27" t="n">
        <f aca="false">IF(COUNT(Algodão!$E58:$Z58)=0,0,MAX(0,IF((AE$6-$E$3)&lt;1,0,IFERROR(LOOKUP(2,1/(Algodão!$E58:INDEX(Algodão!$E58:$Z58,MIN(AE$6-$E$3,22))&lt;&gt;""),Algodão!$E58:INDEX(Algodão!$E58:$Z58,MIN(AE$6-$E$3,22))),0))-IF($G$2,0,IF((AE$6-$G$3)&lt;1,0,IFERROR(LOOKUP(2,1/(Algodão!$E58:INDEX(Algodão!$E58:$Z58,MIN(AE$6-$G$3,22))&lt;&gt;""),Algodão!$E58:INDEX(Algodão!$E58:$Z58,MIN(AE$6-$G$3,22))),0)))))</f>
        <v>0</v>
      </c>
      <c r="AF60" s="27" t="n">
        <f aca="false">IF(COUNT(Algodão!$E58:$Z58)=0,0,MAX(0,IF((AF$6-$E$3)&lt;1,0,IFERROR(LOOKUP(2,1/(Algodão!$E58:INDEX(Algodão!$E58:$Z58,MIN(AF$6-$E$3,22))&lt;&gt;""),Algodão!$E58:INDEX(Algodão!$E58:$Z58,MIN(AF$6-$E$3,22))),0))-IF($G$2,0,IF((AF$6-$G$3)&lt;1,0,IFERROR(LOOKUP(2,1/(Algodão!$E58:INDEX(Algodão!$E58:$Z58,MIN(AF$6-$G$3,22))&lt;&gt;""),Algodão!$E58:INDEX(Algodão!$E58:$Z58,MIN(AF$6-$G$3,22))),0)))))</f>
        <v>0</v>
      </c>
      <c r="AG60" s="27" t="n">
        <f aca="false">IF(COUNT(Algodão!$E58:$Z58)=0,0,MAX(0,IF((AG$6-$E$3)&lt;1,0,IFERROR(LOOKUP(2,1/(Algodão!$E58:INDEX(Algodão!$E58:$Z58,MIN(AG$6-$E$3,22))&lt;&gt;""),Algodão!$E58:INDEX(Algodão!$E58:$Z58,MIN(AG$6-$E$3,22))),0))-IF($G$2,0,IF((AG$6-$G$3)&lt;1,0,IFERROR(LOOKUP(2,1/(Algodão!$E58:INDEX(Algodão!$E58:$Z58,MIN(AG$6-$G$3,22))&lt;&gt;""),Algodão!$E58:INDEX(Algodão!$E58:$Z58,MIN(AG$6-$G$3,22))),0)))))</f>
        <v>0</v>
      </c>
      <c r="AH60" s="27" t="n">
        <f aca="false">IF(COUNT(Algodão!$E58:$Z58)=0,0,MAX(0,IF((AH$6-$E$3)&lt;1,0,IFERROR(LOOKUP(2,1/(Algodão!$E58:INDEX(Algodão!$E58:$Z58,MIN(AH$6-$E$3,22))&lt;&gt;""),Algodão!$E58:INDEX(Algodão!$E58:$Z58,MIN(AH$6-$E$3,22))),0))-IF($G$2,0,IF((AH$6-$G$3)&lt;1,0,IFERROR(LOOKUP(2,1/(Algodão!$E58:INDEX(Algodão!$E58:$Z58,MIN(AH$6-$G$3,22))&lt;&gt;""),Algodão!$E58:INDEX(Algodão!$E58:$Z58,MIN(AH$6-$G$3,22))),0)))))</f>
        <v>0</v>
      </c>
      <c r="AI60" s="27" t="n">
        <f aca="false">IF(COUNT(Algodão!$E58:$Z58)=0,0,MAX(0,IF((AI$6-$E$3)&lt;1,0,IFERROR(LOOKUP(2,1/(Algodão!$E58:INDEX(Algodão!$E58:$Z58,MIN(AI$6-$E$3,22))&lt;&gt;""),Algodão!$E58:INDEX(Algodão!$E58:$Z58,MIN(AI$6-$E$3,22))),0))-IF($G$2,0,IF((AI$6-$G$3)&lt;1,0,IFERROR(LOOKUP(2,1/(Algodão!$E58:INDEX(Algodão!$E58:$Z58,MIN(AI$6-$G$3,22))&lt;&gt;""),Algodão!$E58:INDEX(Algodão!$E58:$Z58,MIN(AI$6-$G$3,22))),0)))))</f>
        <v>0</v>
      </c>
      <c r="AJ60" s="27" t="n">
        <f aca="false">IF(COUNT(Algodão!$E58:$Z58)=0,0,MAX(0,IF((AJ$6-$E$3)&lt;1,0,IFERROR(LOOKUP(2,1/(Algodão!$E58:INDEX(Algodão!$E58:$Z58,MIN(AJ$6-$E$3,22))&lt;&gt;""),Algodão!$E58:INDEX(Algodão!$E58:$Z58,MIN(AJ$6-$E$3,22))),0))-IF($G$2,0,IF((AJ$6-$G$3)&lt;1,0,IFERROR(LOOKUP(2,1/(Algodão!$E58:INDEX(Algodão!$E58:$Z58,MIN(AJ$6-$G$3,22))&lt;&gt;""),Algodão!$E58:INDEX(Algodão!$E58:$Z58,MIN(AJ$6-$G$3,22))),0)))))</f>
        <v>0</v>
      </c>
      <c r="AK60" s="27" t="n">
        <f aca="false">IF(COUNT(Algodão!$E58:$Z58)=0,0,MAX(0,IF((AK$6-$E$3)&lt;1,0,IFERROR(LOOKUP(2,1/(Algodão!$E58:INDEX(Algodão!$E58:$Z58,MIN(AK$6-$E$3,22))&lt;&gt;""),Algodão!$E58:INDEX(Algodão!$E58:$Z58,MIN(AK$6-$E$3,22))),0))-IF($G$2,0,IF((AK$6-$G$3)&lt;1,0,IFERROR(LOOKUP(2,1/(Algodão!$E58:INDEX(Algodão!$E58:$Z58,MIN(AK$6-$G$3,22))&lt;&gt;""),Algodão!$E58:INDEX(Algodão!$E58:$Z58,MIN(AK$6-$G$3,22))),0)))))</f>
        <v>0</v>
      </c>
      <c r="AL60" s="27" t="n">
        <f aca="false">IF(COUNT(Algodão!$E58:$Z58)=0,0,MAX(0,IF((AL$6-$E$3)&lt;1,0,IFERROR(LOOKUP(2,1/(Algodão!$E58:INDEX(Algodão!$E58:$Z58,MIN(AL$6-$E$3,22))&lt;&gt;""),Algodão!$E58:INDEX(Algodão!$E58:$Z58,MIN(AL$6-$E$3,22))),0))-IF($G$2,0,IF((AL$6-$G$3)&lt;1,0,IFERROR(LOOKUP(2,1/(Algodão!$E58:INDEX(Algodão!$E58:$Z58,MIN(AL$6-$G$3,22))&lt;&gt;""),Algodão!$E58:INDEX(Algodão!$E58:$Z58,MIN(AL$6-$G$3,22))),0)))))</f>
        <v>0</v>
      </c>
      <c r="AM60" s="27" t="n">
        <f aca="false">IF(COUNT(Algodão!$E58:$Z58)=0,0,MAX(0,IF((AM$6-$E$3)&lt;1,0,IFERROR(LOOKUP(2,1/(Algodão!$E58:INDEX(Algodão!$E58:$Z58,MIN(AM$6-$E$3,22))&lt;&gt;""),Algodão!$E58:INDEX(Algodão!$E58:$Z58,MIN(AM$6-$E$3,22))),0))-IF($G$2,0,IF((AM$6-$G$3)&lt;1,0,IFERROR(LOOKUP(2,1/(Algodão!$E58:INDEX(Algodão!$E58:$Z58,MIN(AM$6-$G$3,22))&lt;&gt;""),Algodão!$E58:INDEX(Algodão!$E58:$Z58,MIN(AM$6-$G$3,22))),0)))))</f>
        <v>0</v>
      </c>
      <c r="AN60" s="27" t="n">
        <f aca="false">IF(COUNT(Algodão!$E58:$Z58)=0,0,MAX(0,IF((AN$6-$E$3)&lt;1,0,IFERROR(LOOKUP(2,1/(Algodão!$E58:INDEX(Algodão!$E58:$Z58,MIN(AN$6-$E$3,22))&lt;&gt;""),Algodão!$E58:INDEX(Algodão!$E58:$Z58,MIN(AN$6-$E$3,22))),0))-IF($G$2,0,IF((AN$6-$G$3)&lt;1,0,IFERROR(LOOKUP(2,1/(Algodão!$E58:INDEX(Algodão!$E58:$Z58,MIN(AN$6-$G$3,22))&lt;&gt;""),Algodão!$E58:INDEX(Algodão!$E58:$Z58,MIN(AN$6-$G$3,22))),0)))))</f>
        <v>0</v>
      </c>
      <c r="AO60" s="27" t="n">
        <f aca="false">IF(COUNT(Algodão!$E58:$Z58)=0,0,MAX(0,IF((AO$6-$E$3)&lt;1,0,IFERROR(LOOKUP(2,1/(Algodão!$E58:INDEX(Algodão!$E58:$Z58,MIN(AO$6-$E$3,22))&lt;&gt;""),Algodão!$E58:INDEX(Algodão!$E58:$Z58,MIN(AO$6-$E$3,22))),0))-IF($G$2,0,IF((AO$6-$G$3)&lt;1,0,IFERROR(LOOKUP(2,1/(Algodão!$E58:INDEX(Algodão!$E58:$Z58,MIN(AO$6-$G$3,22))&lt;&gt;""),Algodão!$E58:INDEX(Algodão!$E58:$Z58,MIN(AO$6-$G$3,22))),0)))))</f>
        <v>0</v>
      </c>
      <c r="AP60" s="27" t="n">
        <f aca="false">IF(COUNT(Algodão!$E58:$Z58)=0,0,MAX(0,IF((AP$6-$E$3)&lt;1,0,IFERROR(LOOKUP(2,1/(Algodão!$E58:INDEX(Algodão!$E58:$Z58,MIN(AP$6-$E$3,22))&lt;&gt;""),Algodão!$E58:INDEX(Algodão!$E58:$Z58,MIN(AP$6-$E$3,22))),0))-IF($G$2,0,IF((AP$6-$G$3)&lt;1,0,IFERROR(LOOKUP(2,1/(Algodão!$E58:INDEX(Algodão!$E58:$Z58,MIN(AP$6-$G$3,22))&lt;&gt;""),Algodão!$E58:INDEX(Algodão!$E58:$Z58,MIN(AP$6-$G$3,22))),0)))))</f>
        <v>0</v>
      </c>
      <c r="AQ60" s="27" t="n">
        <f aca="false">IF(COUNT(Algodão!$E58:$Z58)=0,0,MAX(0,IF((AQ$6-$E$3)&lt;1,0,IFERROR(LOOKUP(2,1/(Algodão!$E58:INDEX(Algodão!$E58:$Z58,MIN(AQ$6-$E$3,22))&lt;&gt;""),Algodão!$E58:INDEX(Algodão!$E58:$Z58,MIN(AQ$6-$E$3,22))),0))-IF($G$2,0,IF((AQ$6-$G$3)&lt;1,0,IFERROR(LOOKUP(2,1/(Algodão!$E58:INDEX(Algodão!$E58:$Z58,MIN(AQ$6-$G$3,22))&lt;&gt;""),Algodão!$E58:INDEX(Algodão!$E58:$Z58,MIN(AQ$6-$G$3,22))),0)))))</f>
        <v>0</v>
      </c>
      <c r="AR60" s="27" t="n">
        <f aca="false">IF(COUNT(Algodão!$E58:$Z58)=0,0,MAX(0,IF((AR$6-$E$3)&lt;1,0,IFERROR(LOOKUP(2,1/(Algodão!$E58:INDEX(Algodão!$E58:$Z58,MIN(AR$6-$E$3,22))&lt;&gt;""),Algodão!$E58:INDEX(Algodão!$E58:$Z58,MIN(AR$6-$E$3,22))),0))-IF($G$2,0,IF((AR$6-$G$3)&lt;1,0,IFERROR(LOOKUP(2,1/(Algodão!$E58:INDEX(Algodão!$E58:$Z58,MIN(AR$6-$G$3,22))&lt;&gt;""),Algodão!$E58:INDEX(Algodão!$E58:$Z58,MIN(AR$6-$G$3,22))),0)))))</f>
        <v>0</v>
      </c>
      <c r="AS60" s="27" t="n">
        <f aca="false">IF(COUNT(Algodão!$E58:$Z58)=0,0,MAX(0,IF((AS$6-$E$3)&lt;1,0,IFERROR(LOOKUP(2,1/(Algodão!$E58:INDEX(Algodão!$E58:$Z58,MIN(AS$6-$E$3,22))&lt;&gt;""),Algodão!$E58:INDEX(Algodão!$E58:$Z58,MIN(AS$6-$E$3,22))),0))-IF($G$2,0,IF((AS$6-$G$3)&lt;1,0,IFERROR(LOOKUP(2,1/(Algodão!$E58:INDEX(Algodão!$E58:$Z58,MIN(AS$6-$G$3,22))&lt;&gt;""),Algodão!$E58:INDEX(Algodão!$E58:$Z58,MIN(AS$6-$G$3,22))),0)))))</f>
        <v>0</v>
      </c>
      <c r="AT60" s="27" t="n">
        <f aca="false">IF(COUNT(Algodão!$E58:$Z58)=0,0,MAX(0,IF((AT$6-$E$3)&lt;1,0,IFERROR(LOOKUP(2,1/(Algodão!$E58:INDEX(Algodão!$E58:$Z58,MIN(AT$6-$E$3,22))&lt;&gt;""),Algodão!$E58:INDEX(Algodão!$E58:$Z58,MIN(AT$6-$E$3,22))),0))-IF($G$2,0,IF((AT$6-$G$3)&lt;1,0,IFERROR(LOOKUP(2,1/(Algodão!$E58:INDEX(Algodão!$E58:$Z58,MIN(AT$6-$G$3,22))&lt;&gt;""),Algodão!$E58:INDEX(Algodão!$E58:$Z58,MIN(AT$6-$G$3,22))),0)))))</f>
        <v>0</v>
      </c>
      <c r="AU60" s="27" t="n">
        <f aca="false">IF(COUNT(Algodão!$E58:$Z58)=0,0,MAX(0,IF((AU$6-$E$3)&lt;1,0,IFERROR(LOOKUP(2,1/(Algodão!$E58:INDEX(Algodão!$E58:$Z58,MIN(AU$6-$E$3,22))&lt;&gt;""),Algodão!$E58:INDEX(Algodão!$E58:$Z58,MIN(AU$6-$E$3,22))),0))-IF($G$2,0,IF((AU$6-$G$3)&lt;1,0,IFERROR(LOOKUP(2,1/(Algodão!$E58:INDEX(Algodão!$E58:$Z58,MIN(AU$6-$G$3,22))&lt;&gt;""),Algodão!$E58:INDEX(Algodão!$E58:$Z58,MIN(AU$6-$G$3,22))),0)))))</f>
        <v>0</v>
      </c>
      <c r="AV60" s="27" t="n">
        <f aca="false">IF(COUNT(Algodão!$E58:$Z58)=0,0,MAX(0,IF((AV$6-$E$3)&lt;1,0,IFERROR(LOOKUP(2,1/(Algodão!$E58:INDEX(Algodão!$E58:$Z58,MIN(AV$6-$E$3,22))&lt;&gt;""),Algodão!$E58:INDEX(Algodão!$E58:$Z58,MIN(AV$6-$E$3,22))),0))-IF($G$2,0,IF((AV$6-$G$3)&lt;1,0,IFERROR(LOOKUP(2,1/(Algodão!$E58:INDEX(Algodão!$E58:$Z58,MIN(AV$6-$G$3,22))&lt;&gt;""),Algodão!$E58:INDEX(Algodão!$E58:$Z58,MIN(AV$6-$G$3,22))),0)))))</f>
        <v>0</v>
      </c>
      <c r="AW60" s="27" t="n">
        <f aca="false">IF(COUNT(Algodão!$E58:$Z58)=0,0,MAX(0,IF((AW$6-$E$3)&lt;1,0,IFERROR(LOOKUP(2,1/(Algodão!$E58:INDEX(Algodão!$E58:$Z58,MIN(AW$6-$E$3,22))&lt;&gt;""),Algodão!$E58:INDEX(Algodão!$E58:$Z58,MIN(AW$6-$E$3,22))),0))-IF($G$2,0,IF((AW$6-$G$3)&lt;1,0,IFERROR(LOOKUP(2,1/(Algodão!$E58:INDEX(Algodão!$E58:$Z58,MIN(AW$6-$G$3,22))&lt;&gt;""),Algodão!$E58:INDEX(Algodão!$E58:$Z58,MIN(AW$6-$G$3,22))),0)))))</f>
        <v>0</v>
      </c>
      <c r="AX60" s="27" t="n">
        <f aca="false">IF(COUNT(Algodão!$E58:$Z58)=0,0,MAX(0,IF((AX$6-$E$3)&lt;1,0,IFERROR(LOOKUP(2,1/(Algodão!$E58:INDEX(Algodão!$E58:$Z58,MIN(AX$6-$E$3,22))&lt;&gt;""),Algodão!$E58:INDEX(Algodão!$E58:$Z58,MIN(AX$6-$E$3,22))),0))-IF($G$2,0,IF((AX$6-$G$3)&lt;1,0,IFERROR(LOOKUP(2,1/(Algodão!$E58:INDEX(Algodão!$E58:$Z58,MIN(AX$6-$G$3,22))&lt;&gt;""),Algodão!$E58:INDEX(Algodão!$E58:$Z58,MIN(AX$6-$G$3,22))),0)))))</f>
        <v>0</v>
      </c>
      <c r="AY60" s="27" t="n">
        <f aca="false">IF(COUNT(Algodão!$E58:$Z58)=0,0,MAX(0,IF((AY$6-$E$3)&lt;1,0,IFERROR(LOOKUP(2,1/(Algodão!$E58:INDEX(Algodão!$E58:$Z58,MIN(AY$6-$E$3,22))&lt;&gt;""),Algodão!$E58:INDEX(Algodão!$E58:$Z58,MIN(AY$6-$E$3,22))),0))-IF($G$2,0,IF((AY$6-$G$3)&lt;1,0,IFERROR(LOOKUP(2,1/(Algodão!$E58:INDEX(Algodão!$E58:$Z58,MIN(AY$6-$G$3,22))&lt;&gt;""),Algodão!$E58:INDEX(Algodão!$E58:$Z58,MIN(AY$6-$G$3,22))),0)))))</f>
        <v>0</v>
      </c>
      <c r="AZ60" s="27" t="n">
        <f aca="false">IF(COUNT(Algodão!$E58:$Z58)=0,0,MAX(0,IF((AZ$6-$E$3)&lt;1,0,IFERROR(LOOKUP(2,1/(Algodão!$E58:INDEX(Algodão!$E58:$Z58,MIN(AZ$6-$E$3,22))&lt;&gt;""),Algodão!$E58:INDEX(Algodão!$E58:$Z58,MIN(AZ$6-$E$3,22))),0))-IF($G$2,0,IF((AZ$6-$G$3)&lt;1,0,IFERROR(LOOKUP(2,1/(Algodão!$E58:INDEX(Algodão!$E58:$Z58,MIN(AZ$6-$G$3,22))&lt;&gt;""),Algodão!$E58:INDEX(Algodão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IF(COUNT(Algodão!$E59:$Z59)&gt;0,N(Algodão!$D59),0)</f>
        <v>0</v>
      </c>
      <c r="E61" s="27" t="n">
        <f aca="false">IF(COUNT(Algodão!$E59:$Z59)=0,0,MAX(0,IF((E$6-$E$3)&lt;1,0,IFERROR(LOOKUP(2,1/(Algodão!$E59:INDEX(Algodão!$E59:$Z59,MIN(E$6-$E$3,22))&lt;&gt;""),Algodão!$E59:INDEX(Algodão!$E59:$Z59,MIN(E$6-$E$3,22))),0))-IF($G$2,0,IF((E$6-$G$3)&lt;1,0,IFERROR(LOOKUP(2,1/(Algodão!$E59:INDEX(Algodão!$E59:$Z59,MIN(E$6-$G$3,22))&lt;&gt;""),Algodão!$E59:INDEX(Algodão!$E59:$Z59,MIN(E$6-$G$3,22))),0)))))</f>
        <v>0</v>
      </c>
      <c r="F61" s="27" t="n">
        <f aca="false">IF(COUNT(Algodão!$E59:$Z59)=0,0,MAX(0,IF((F$6-$E$3)&lt;1,0,IFERROR(LOOKUP(2,1/(Algodão!$E59:INDEX(Algodão!$E59:$Z59,MIN(F$6-$E$3,22))&lt;&gt;""),Algodão!$E59:INDEX(Algodão!$E59:$Z59,MIN(F$6-$E$3,22))),0))-IF($G$2,0,IF((F$6-$G$3)&lt;1,0,IFERROR(LOOKUP(2,1/(Algodão!$E59:INDEX(Algodão!$E59:$Z59,MIN(F$6-$G$3,22))&lt;&gt;""),Algodão!$E59:INDEX(Algodão!$E59:$Z59,MIN(F$6-$G$3,22))),0)))))</f>
        <v>0</v>
      </c>
      <c r="G61" s="27" t="n">
        <f aca="false">IF(COUNT(Algodão!$E59:$Z59)=0,0,MAX(0,IF((G$6-$E$3)&lt;1,0,IFERROR(LOOKUP(2,1/(Algodão!$E59:INDEX(Algodão!$E59:$Z59,MIN(G$6-$E$3,22))&lt;&gt;""),Algodão!$E59:INDEX(Algodão!$E59:$Z59,MIN(G$6-$E$3,22))),0))-IF($G$2,0,IF((G$6-$G$3)&lt;1,0,IFERROR(LOOKUP(2,1/(Algodão!$E59:INDEX(Algodão!$E59:$Z59,MIN(G$6-$G$3,22))&lt;&gt;""),Algodão!$E59:INDEX(Algodão!$E59:$Z59,MIN(G$6-$G$3,22))),0)))))</f>
        <v>0</v>
      </c>
      <c r="H61" s="27" t="n">
        <f aca="false">IF(COUNT(Algodão!$E59:$Z59)=0,0,MAX(0,IF((H$6-$E$3)&lt;1,0,IFERROR(LOOKUP(2,1/(Algodão!$E59:INDEX(Algodão!$E59:$Z59,MIN(H$6-$E$3,22))&lt;&gt;""),Algodão!$E59:INDEX(Algodão!$E59:$Z59,MIN(H$6-$E$3,22))),0))-IF($G$2,0,IF((H$6-$G$3)&lt;1,0,IFERROR(LOOKUP(2,1/(Algodão!$E59:INDEX(Algodão!$E59:$Z59,MIN(H$6-$G$3,22))&lt;&gt;""),Algodão!$E59:INDEX(Algodão!$E59:$Z59,MIN(H$6-$G$3,22))),0)))))</f>
        <v>0</v>
      </c>
      <c r="I61" s="27" t="n">
        <f aca="false">IF(COUNT(Algodão!$E59:$Z59)=0,0,MAX(0,IF((I$6-$E$3)&lt;1,0,IFERROR(LOOKUP(2,1/(Algodão!$E59:INDEX(Algodão!$E59:$Z59,MIN(I$6-$E$3,22))&lt;&gt;""),Algodão!$E59:INDEX(Algodão!$E59:$Z59,MIN(I$6-$E$3,22))),0))-IF($G$2,0,IF((I$6-$G$3)&lt;1,0,IFERROR(LOOKUP(2,1/(Algodão!$E59:INDEX(Algodão!$E59:$Z59,MIN(I$6-$G$3,22))&lt;&gt;""),Algodão!$E59:INDEX(Algodão!$E59:$Z59,MIN(I$6-$G$3,22))),0)))))</f>
        <v>0</v>
      </c>
      <c r="J61" s="27" t="n">
        <f aca="false">IF(COUNT(Algodão!$E59:$Z59)=0,0,MAX(0,IF((J$6-$E$3)&lt;1,0,IFERROR(LOOKUP(2,1/(Algodão!$E59:INDEX(Algodão!$E59:$Z59,MIN(J$6-$E$3,22))&lt;&gt;""),Algodão!$E59:INDEX(Algodão!$E59:$Z59,MIN(J$6-$E$3,22))),0))-IF($G$2,0,IF((J$6-$G$3)&lt;1,0,IFERROR(LOOKUP(2,1/(Algodão!$E59:INDEX(Algodão!$E59:$Z59,MIN(J$6-$G$3,22))&lt;&gt;""),Algodão!$E59:INDEX(Algodão!$E59:$Z59,MIN(J$6-$G$3,22))),0)))))</f>
        <v>0</v>
      </c>
      <c r="K61" s="27" t="n">
        <f aca="false">IF(COUNT(Algodão!$E59:$Z59)=0,0,MAX(0,IF((K$6-$E$3)&lt;1,0,IFERROR(LOOKUP(2,1/(Algodão!$E59:INDEX(Algodão!$E59:$Z59,MIN(K$6-$E$3,22))&lt;&gt;""),Algodão!$E59:INDEX(Algodão!$E59:$Z59,MIN(K$6-$E$3,22))),0))-IF($G$2,0,IF((K$6-$G$3)&lt;1,0,IFERROR(LOOKUP(2,1/(Algodão!$E59:INDEX(Algodão!$E59:$Z59,MIN(K$6-$G$3,22))&lt;&gt;""),Algodão!$E59:INDEX(Algodão!$E59:$Z59,MIN(K$6-$G$3,22))),0)))))</f>
        <v>0</v>
      </c>
      <c r="L61" s="27" t="n">
        <f aca="false">IF(COUNT(Algodão!$E59:$Z59)=0,0,MAX(0,IF((L$6-$E$3)&lt;1,0,IFERROR(LOOKUP(2,1/(Algodão!$E59:INDEX(Algodão!$E59:$Z59,MIN(L$6-$E$3,22))&lt;&gt;""),Algodão!$E59:INDEX(Algodão!$E59:$Z59,MIN(L$6-$E$3,22))),0))-IF($G$2,0,IF((L$6-$G$3)&lt;1,0,IFERROR(LOOKUP(2,1/(Algodão!$E59:INDEX(Algodão!$E59:$Z59,MIN(L$6-$G$3,22))&lt;&gt;""),Algodão!$E59:INDEX(Algodão!$E59:$Z59,MIN(L$6-$G$3,22))),0)))))</f>
        <v>0</v>
      </c>
      <c r="M61" s="27" t="n">
        <f aca="false">IF(COUNT(Algodão!$E59:$Z59)=0,0,MAX(0,IF((M$6-$E$3)&lt;1,0,IFERROR(LOOKUP(2,1/(Algodão!$E59:INDEX(Algodão!$E59:$Z59,MIN(M$6-$E$3,22))&lt;&gt;""),Algodão!$E59:INDEX(Algodão!$E59:$Z59,MIN(M$6-$E$3,22))),0))-IF($G$2,0,IF((M$6-$G$3)&lt;1,0,IFERROR(LOOKUP(2,1/(Algodão!$E59:INDEX(Algodão!$E59:$Z59,MIN(M$6-$G$3,22))&lt;&gt;""),Algodão!$E59:INDEX(Algodão!$E59:$Z59,MIN(M$6-$G$3,22))),0)))))</f>
        <v>0</v>
      </c>
      <c r="N61" s="27" t="n">
        <f aca="false">IF(COUNT(Algodão!$E59:$Z59)=0,0,MAX(0,IF((N$6-$E$3)&lt;1,0,IFERROR(LOOKUP(2,1/(Algodão!$E59:INDEX(Algodão!$E59:$Z59,MIN(N$6-$E$3,22))&lt;&gt;""),Algodão!$E59:INDEX(Algodão!$E59:$Z59,MIN(N$6-$E$3,22))),0))-IF($G$2,0,IF((N$6-$G$3)&lt;1,0,IFERROR(LOOKUP(2,1/(Algodão!$E59:INDEX(Algodão!$E59:$Z59,MIN(N$6-$G$3,22))&lt;&gt;""),Algodão!$E59:INDEX(Algodão!$E59:$Z59,MIN(N$6-$G$3,22))),0)))))</f>
        <v>0</v>
      </c>
      <c r="O61" s="27" t="n">
        <f aca="false">IF(COUNT(Algodão!$E59:$Z59)=0,0,MAX(0,IF((O$6-$E$3)&lt;1,0,IFERROR(LOOKUP(2,1/(Algodão!$E59:INDEX(Algodão!$E59:$Z59,MIN(O$6-$E$3,22))&lt;&gt;""),Algodão!$E59:INDEX(Algodão!$E59:$Z59,MIN(O$6-$E$3,22))),0))-IF($G$2,0,IF((O$6-$G$3)&lt;1,0,IFERROR(LOOKUP(2,1/(Algodão!$E59:INDEX(Algodão!$E59:$Z59,MIN(O$6-$G$3,22))&lt;&gt;""),Algodão!$E59:INDEX(Algodão!$E59:$Z59,MIN(O$6-$G$3,22))),0)))))</f>
        <v>0</v>
      </c>
      <c r="P61" s="27" t="n">
        <f aca="false">IF(COUNT(Algodão!$E59:$Z59)=0,0,MAX(0,IF((P$6-$E$3)&lt;1,0,IFERROR(LOOKUP(2,1/(Algodão!$E59:INDEX(Algodão!$E59:$Z59,MIN(P$6-$E$3,22))&lt;&gt;""),Algodão!$E59:INDEX(Algodão!$E59:$Z59,MIN(P$6-$E$3,22))),0))-IF($G$2,0,IF((P$6-$G$3)&lt;1,0,IFERROR(LOOKUP(2,1/(Algodão!$E59:INDEX(Algodão!$E59:$Z59,MIN(P$6-$G$3,22))&lt;&gt;""),Algodão!$E59:INDEX(Algodão!$E59:$Z59,MIN(P$6-$G$3,22))),0)))))</f>
        <v>0</v>
      </c>
      <c r="Q61" s="27" t="n">
        <f aca="false">IF(COUNT(Algodão!$E59:$Z59)=0,0,MAX(0,IF((Q$6-$E$3)&lt;1,0,IFERROR(LOOKUP(2,1/(Algodão!$E59:INDEX(Algodão!$E59:$Z59,MIN(Q$6-$E$3,22))&lt;&gt;""),Algodão!$E59:INDEX(Algodão!$E59:$Z59,MIN(Q$6-$E$3,22))),0))-IF($G$2,0,IF((Q$6-$G$3)&lt;1,0,IFERROR(LOOKUP(2,1/(Algodão!$E59:INDEX(Algodão!$E59:$Z59,MIN(Q$6-$G$3,22))&lt;&gt;""),Algodão!$E59:INDEX(Algodão!$E59:$Z59,MIN(Q$6-$G$3,22))),0)))))</f>
        <v>0</v>
      </c>
      <c r="R61" s="27" t="n">
        <f aca="false">IF(COUNT(Algodão!$E59:$Z59)=0,0,MAX(0,IF((R$6-$E$3)&lt;1,0,IFERROR(LOOKUP(2,1/(Algodão!$E59:INDEX(Algodão!$E59:$Z59,MIN(R$6-$E$3,22))&lt;&gt;""),Algodão!$E59:INDEX(Algodão!$E59:$Z59,MIN(R$6-$E$3,22))),0))-IF($G$2,0,IF((R$6-$G$3)&lt;1,0,IFERROR(LOOKUP(2,1/(Algodão!$E59:INDEX(Algodão!$E59:$Z59,MIN(R$6-$G$3,22))&lt;&gt;""),Algodão!$E59:INDEX(Algodão!$E59:$Z59,MIN(R$6-$G$3,22))),0)))))</f>
        <v>0</v>
      </c>
      <c r="S61" s="27" t="n">
        <f aca="false">IF(COUNT(Algodão!$E59:$Z59)=0,0,MAX(0,IF((S$6-$E$3)&lt;1,0,IFERROR(LOOKUP(2,1/(Algodão!$E59:INDEX(Algodão!$E59:$Z59,MIN(S$6-$E$3,22))&lt;&gt;""),Algodão!$E59:INDEX(Algodão!$E59:$Z59,MIN(S$6-$E$3,22))),0))-IF($G$2,0,IF((S$6-$G$3)&lt;1,0,IFERROR(LOOKUP(2,1/(Algodão!$E59:INDEX(Algodão!$E59:$Z59,MIN(S$6-$G$3,22))&lt;&gt;""),Algodão!$E59:INDEX(Algodão!$E59:$Z59,MIN(S$6-$G$3,22))),0)))))</f>
        <v>0</v>
      </c>
      <c r="T61" s="27" t="n">
        <f aca="false">IF(COUNT(Algodão!$E59:$Z59)=0,0,MAX(0,IF((T$6-$E$3)&lt;1,0,IFERROR(LOOKUP(2,1/(Algodão!$E59:INDEX(Algodão!$E59:$Z59,MIN(T$6-$E$3,22))&lt;&gt;""),Algodão!$E59:INDEX(Algodão!$E59:$Z59,MIN(T$6-$E$3,22))),0))-IF($G$2,0,IF((T$6-$G$3)&lt;1,0,IFERROR(LOOKUP(2,1/(Algodão!$E59:INDEX(Algodão!$E59:$Z59,MIN(T$6-$G$3,22))&lt;&gt;""),Algodão!$E59:INDEX(Algodão!$E59:$Z59,MIN(T$6-$G$3,22))),0)))))</f>
        <v>0</v>
      </c>
      <c r="U61" s="27" t="n">
        <f aca="false">IF(COUNT(Algodão!$E59:$Z59)=0,0,MAX(0,IF((U$6-$E$3)&lt;1,0,IFERROR(LOOKUP(2,1/(Algodão!$E59:INDEX(Algodão!$E59:$Z59,MIN(U$6-$E$3,22))&lt;&gt;""),Algodão!$E59:INDEX(Algodão!$E59:$Z59,MIN(U$6-$E$3,22))),0))-IF($G$2,0,IF((U$6-$G$3)&lt;1,0,IFERROR(LOOKUP(2,1/(Algodão!$E59:INDEX(Algodão!$E59:$Z59,MIN(U$6-$G$3,22))&lt;&gt;""),Algodão!$E59:INDEX(Algodão!$E59:$Z59,MIN(U$6-$G$3,22))),0)))))</f>
        <v>0</v>
      </c>
      <c r="V61" s="27" t="n">
        <f aca="false">IF(COUNT(Algodão!$E59:$Z59)=0,0,MAX(0,IF((V$6-$E$3)&lt;1,0,IFERROR(LOOKUP(2,1/(Algodão!$E59:INDEX(Algodão!$E59:$Z59,MIN(V$6-$E$3,22))&lt;&gt;""),Algodão!$E59:INDEX(Algodão!$E59:$Z59,MIN(V$6-$E$3,22))),0))-IF($G$2,0,IF((V$6-$G$3)&lt;1,0,IFERROR(LOOKUP(2,1/(Algodão!$E59:INDEX(Algodão!$E59:$Z59,MIN(V$6-$G$3,22))&lt;&gt;""),Algodão!$E59:INDEX(Algodão!$E59:$Z59,MIN(V$6-$G$3,22))),0)))))</f>
        <v>0</v>
      </c>
      <c r="W61" s="27" t="n">
        <f aca="false">IF(COUNT(Algodão!$E59:$Z59)=0,0,MAX(0,IF((W$6-$E$3)&lt;1,0,IFERROR(LOOKUP(2,1/(Algodão!$E59:INDEX(Algodão!$E59:$Z59,MIN(W$6-$E$3,22))&lt;&gt;""),Algodão!$E59:INDEX(Algodão!$E59:$Z59,MIN(W$6-$E$3,22))),0))-IF($G$2,0,IF((W$6-$G$3)&lt;1,0,IFERROR(LOOKUP(2,1/(Algodão!$E59:INDEX(Algodão!$E59:$Z59,MIN(W$6-$G$3,22))&lt;&gt;""),Algodão!$E59:INDEX(Algodão!$E59:$Z59,MIN(W$6-$G$3,22))),0)))))</f>
        <v>0</v>
      </c>
      <c r="X61" s="27" t="n">
        <f aca="false">IF(COUNT(Algodão!$E59:$Z59)=0,0,MAX(0,IF((X$6-$E$3)&lt;1,0,IFERROR(LOOKUP(2,1/(Algodão!$E59:INDEX(Algodão!$E59:$Z59,MIN(X$6-$E$3,22))&lt;&gt;""),Algodão!$E59:INDEX(Algodão!$E59:$Z59,MIN(X$6-$E$3,22))),0))-IF($G$2,0,IF((X$6-$G$3)&lt;1,0,IFERROR(LOOKUP(2,1/(Algodão!$E59:INDEX(Algodão!$E59:$Z59,MIN(X$6-$G$3,22))&lt;&gt;""),Algodão!$E59:INDEX(Algodão!$E59:$Z59,MIN(X$6-$G$3,22))),0)))))</f>
        <v>0</v>
      </c>
      <c r="Y61" s="27" t="n">
        <f aca="false">IF(COUNT(Algodão!$E59:$Z59)=0,0,MAX(0,IF((Y$6-$E$3)&lt;1,0,IFERROR(LOOKUP(2,1/(Algodão!$E59:INDEX(Algodão!$E59:$Z59,MIN(Y$6-$E$3,22))&lt;&gt;""),Algodão!$E59:INDEX(Algodão!$E59:$Z59,MIN(Y$6-$E$3,22))),0))-IF($G$2,0,IF((Y$6-$G$3)&lt;1,0,IFERROR(LOOKUP(2,1/(Algodão!$E59:INDEX(Algodão!$E59:$Z59,MIN(Y$6-$G$3,22))&lt;&gt;""),Algodão!$E59:INDEX(Algodão!$E59:$Z59,MIN(Y$6-$G$3,22))),0)))))</f>
        <v>0</v>
      </c>
      <c r="Z61" s="27" t="n">
        <f aca="false">IF(COUNT(Algodão!$E59:$Z59)=0,0,MAX(0,IF((Z$6-$E$3)&lt;1,0,IFERROR(LOOKUP(2,1/(Algodão!$E59:INDEX(Algodão!$E59:$Z59,MIN(Z$6-$E$3,22))&lt;&gt;""),Algodão!$E59:INDEX(Algodão!$E59:$Z59,MIN(Z$6-$E$3,22))),0))-IF($G$2,0,IF((Z$6-$G$3)&lt;1,0,IFERROR(LOOKUP(2,1/(Algodão!$E59:INDEX(Algodão!$E59:$Z59,MIN(Z$6-$G$3,22))&lt;&gt;""),Algodão!$E59:INDEX(Algodão!$E59:$Z59,MIN(Z$6-$G$3,22))),0)))))</f>
        <v>0</v>
      </c>
      <c r="AA61" s="27" t="n">
        <f aca="false">IF(COUNT(Algodão!$E59:$Z59)=0,0,MAX(0,IF((AA$6-$E$3)&lt;1,0,IFERROR(LOOKUP(2,1/(Algodão!$E59:INDEX(Algodão!$E59:$Z59,MIN(AA$6-$E$3,22))&lt;&gt;""),Algodão!$E59:INDEX(Algodão!$E59:$Z59,MIN(AA$6-$E$3,22))),0))-IF($G$2,0,IF((AA$6-$G$3)&lt;1,0,IFERROR(LOOKUP(2,1/(Algodão!$E59:INDEX(Algodão!$E59:$Z59,MIN(AA$6-$G$3,22))&lt;&gt;""),Algodão!$E59:INDEX(Algodão!$E59:$Z59,MIN(AA$6-$G$3,22))),0)))))</f>
        <v>0</v>
      </c>
      <c r="AB61" s="27" t="n">
        <f aca="false">IF(COUNT(Algodão!$E59:$Z59)=0,0,MAX(0,IF((AB$6-$E$3)&lt;1,0,IFERROR(LOOKUP(2,1/(Algodão!$E59:INDEX(Algodão!$E59:$Z59,MIN(AB$6-$E$3,22))&lt;&gt;""),Algodão!$E59:INDEX(Algodão!$E59:$Z59,MIN(AB$6-$E$3,22))),0))-IF($G$2,0,IF((AB$6-$G$3)&lt;1,0,IFERROR(LOOKUP(2,1/(Algodão!$E59:INDEX(Algodão!$E59:$Z59,MIN(AB$6-$G$3,22))&lt;&gt;""),Algodão!$E59:INDEX(Algodão!$E59:$Z59,MIN(AB$6-$G$3,22))),0)))))</f>
        <v>0</v>
      </c>
      <c r="AC61" s="27" t="n">
        <f aca="false">IF(COUNT(Algodão!$E59:$Z59)=0,0,MAX(0,IF((AC$6-$E$3)&lt;1,0,IFERROR(LOOKUP(2,1/(Algodão!$E59:INDEX(Algodão!$E59:$Z59,MIN(AC$6-$E$3,22))&lt;&gt;""),Algodão!$E59:INDEX(Algodão!$E59:$Z59,MIN(AC$6-$E$3,22))),0))-IF($G$2,0,IF((AC$6-$G$3)&lt;1,0,IFERROR(LOOKUP(2,1/(Algodão!$E59:INDEX(Algodão!$E59:$Z59,MIN(AC$6-$G$3,22))&lt;&gt;""),Algodão!$E59:INDEX(Algodão!$E59:$Z59,MIN(AC$6-$G$3,22))),0)))))</f>
        <v>0</v>
      </c>
      <c r="AD61" s="27" t="n">
        <f aca="false">IF(COUNT(Algodão!$E59:$Z59)=0,0,MAX(0,IF((AD$6-$E$3)&lt;1,0,IFERROR(LOOKUP(2,1/(Algodão!$E59:INDEX(Algodão!$E59:$Z59,MIN(AD$6-$E$3,22))&lt;&gt;""),Algodão!$E59:INDEX(Algodão!$E59:$Z59,MIN(AD$6-$E$3,22))),0))-IF($G$2,0,IF((AD$6-$G$3)&lt;1,0,IFERROR(LOOKUP(2,1/(Algodão!$E59:INDEX(Algodão!$E59:$Z59,MIN(AD$6-$G$3,22))&lt;&gt;""),Algodão!$E59:INDEX(Algodão!$E59:$Z59,MIN(AD$6-$G$3,22))),0)))))</f>
        <v>0</v>
      </c>
      <c r="AE61" s="27" t="n">
        <f aca="false">IF(COUNT(Algodão!$E59:$Z59)=0,0,MAX(0,IF((AE$6-$E$3)&lt;1,0,IFERROR(LOOKUP(2,1/(Algodão!$E59:INDEX(Algodão!$E59:$Z59,MIN(AE$6-$E$3,22))&lt;&gt;""),Algodão!$E59:INDEX(Algodão!$E59:$Z59,MIN(AE$6-$E$3,22))),0))-IF($G$2,0,IF((AE$6-$G$3)&lt;1,0,IFERROR(LOOKUP(2,1/(Algodão!$E59:INDEX(Algodão!$E59:$Z59,MIN(AE$6-$G$3,22))&lt;&gt;""),Algodão!$E59:INDEX(Algodão!$E59:$Z59,MIN(AE$6-$G$3,22))),0)))))</f>
        <v>0</v>
      </c>
      <c r="AF61" s="27" t="n">
        <f aca="false">IF(COUNT(Algodão!$E59:$Z59)=0,0,MAX(0,IF((AF$6-$E$3)&lt;1,0,IFERROR(LOOKUP(2,1/(Algodão!$E59:INDEX(Algodão!$E59:$Z59,MIN(AF$6-$E$3,22))&lt;&gt;""),Algodão!$E59:INDEX(Algodão!$E59:$Z59,MIN(AF$6-$E$3,22))),0))-IF($G$2,0,IF((AF$6-$G$3)&lt;1,0,IFERROR(LOOKUP(2,1/(Algodão!$E59:INDEX(Algodão!$E59:$Z59,MIN(AF$6-$G$3,22))&lt;&gt;""),Algodão!$E59:INDEX(Algodão!$E59:$Z59,MIN(AF$6-$G$3,22))),0)))))</f>
        <v>0</v>
      </c>
      <c r="AG61" s="27" t="n">
        <f aca="false">IF(COUNT(Algodão!$E59:$Z59)=0,0,MAX(0,IF((AG$6-$E$3)&lt;1,0,IFERROR(LOOKUP(2,1/(Algodão!$E59:INDEX(Algodão!$E59:$Z59,MIN(AG$6-$E$3,22))&lt;&gt;""),Algodão!$E59:INDEX(Algodão!$E59:$Z59,MIN(AG$6-$E$3,22))),0))-IF($G$2,0,IF((AG$6-$G$3)&lt;1,0,IFERROR(LOOKUP(2,1/(Algodão!$E59:INDEX(Algodão!$E59:$Z59,MIN(AG$6-$G$3,22))&lt;&gt;""),Algodão!$E59:INDEX(Algodão!$E59:$Z59,MIN(AG$6-$G$3,22))),0)))))</f>
        <v>0</v>
      </c>
      <c r="AH61" s="27" t="n">
        <f aca="false">IF(COUNT(Algodão!$E59:$Z59)=0,0,MAX(0,IF((AH$6-$E$3)&lt;1,0,IFERROR(LOOKUP(2,1/(Algodão!$E59:INDEX(Algodão!$E59:$Z59,MIN(AH$6-$E$3,22))&lt;&gt;""),Algodão!$E59:INDEX(Algodão!$E59:$Z59,MIN(AH$6-$E$3,22))),0))-IF($G$2,0,IF((AH$6-$G$3)&lt;1,0,IFERROR(LOOKUP(2,1/(Algodão!$E59:INDEX(Algodão!$E59:$Z59,MIN(AH$6-$G$3,22))&lt;&gt;""),Algodão!$E59:INDEX(Algodão!$E59:$Z59,MIN(AH$6-$G$3,22))),0)))))</f>
        <v>0</v>
      </c>
      <c r="AI61" s="27" t="n">
        <f aca="false">IF(COUNT(Algodão!$E59:$Z59)=0,0,MAX(0,IF((AI$6-$E$3)&lt;1,0,IFERROR(LOOKUP(2,1/(Algodão!$E59:INDEX(Algodão!$E59:$Z59,MIN(AI$6-$E$3,22))&lt;&gt;""),Algodão!$E59:INDEX(Algodão!$E59:$Z59,MIN(AI$6-$E$3,22))),0))-IF($G$2,0,IF((AI$6-$G$3)&lt;1,0,IFERROR(LOOKUP(2,1/(Algodão!$E59:INDEX(Algodão!$E59:$Z59,MIN(AI$6-$G$3,22))&lt;&gt;""),Algodão!$E59:INDEX(Algodão!$E59:$Z59,MIN(AI$6-$G$3,22))),0)))))</f>
        <v>0</v>
      </c>
      <c r="AJ61" s="27" t="n">
        <f aca="false">IF(COUNT(Algodão!$E59:$Z59)=0,0,MAX(0,IF((AJ$6-$E$3)&lt;1,0,IFERROR(LOOKUP(2,1/(Algodão!$E59:INDEX(Algodão!$E59:$Z59,MIN(AJ$6-$E$3,22))&lt;&gt;""),Algodão!$E59:INDEX(Algodão!$E59:$Z59,MIN(AJ$6-$E$3,22))),0))-IF($G$2,0,IF((AJ$6-$G$3)&lt;1,0,IFERROR(LOOKUP(2,1/(Algodão!$E59:INDEX(Algodão!$E59:$Z59,MIN(AJ$6-$G$3,22))&lt;&gt;""),Algodão!$E59:INDEX(Algodão!$E59:$Z59,MIN(AJ$6-$G$3,22))),0)))))</f>
        <v>0</v>
      </c>
      <c r="AK61" s="27" t="n">
        <f aca="false">IF(COUNT(Algodão!$E59:$Z59)=0,0,MAX(0,IF((AK$6-$E$3)&lt;1,0,IFERROR(LOOKUP(2,1/(Algodão!$E59:INDEX(Algodão!$E59:$Z59,MIN(AK$6-$E$3,22))&lt;&gt;""),Algodão!$E59:INDEX(Algodão!$E59:$Z59,MIN(AK$6-$E$3,22))),0))-IF($G$2,0,IF((AK$6-$G$3)&lt;1,0,IFERROR(LOOKUP(2,1/(Algodão!$E59:INDEX(Algodão!$E59:$Z59,MIN(AK$6-$G$3,22))&lt;&gt;""),Algodão!$E59:INDEX(Algodão!$E59:$Z59,MIN(AK$6-$G$3,22))),0)))))</f>
        <v>0</v>
      </c>
      <c r="AL61" s="27" t="n">
        <f aca="false">IF(COUNT(Algodão!$E59:$Z59)=0,0,MAX(0,IF((AL$6-$E$3)&lt;1,0,IFERROR(LOOKUP(2,1/(Algodão!$E59:INDEX(Algodão!$E59:$Z59,MIN(AL$6-$E$3,22))&lt;&gt;""),Algodão!$E59:INDEX(Algodão!$E59:$Z59,MIN(AL$6-$E$3,22))),0))-IF($G$2,0,IF((AL$6-$G$3)&lt;1,0,IFERROR(LOOKUP(2,1/(Algodão!$E59:INDEX(Algodão!$E59:$Z59,MIN(AL$6-$G$3,22))&lt;&gt;""),Algodão!$E59:INDEX(Algodão!$E59:$Z59,MIN(AL$6-$G$3,22))),0)))))</f>
        <v>0</v>
      </c>
      <c r="AM61" s="27" t="n">
        <f aca="false">IF(COUNT(Algodão!$E59:$Z59)=0,0,MAX(0,IF((AM$6-$E$3)&lt;1,0,IFERROR(LOOKUP(2,1/(Algodão!$E59:INDEX(Algodão!$E59:$Z59,MIN(AM$6-$E$3,22))&lt;&gt;""),Algodão!$E59:INDEX(Algodão!$E59:$Z59,MIN(AM$6-$E$3,22))),0))-IF($G$2,0,IF((AM$6-$G$3)&lt;1,0,IFERROR(LOOKUP(2,1/(Algodão!$E59:INDEX(Algodão!$E59:$Z59,MIN(AM$6-$G$3,22))&lt;&gt;""),Algodão!$E59:INDEX(Algodão!$E59:$Z59,MIN(AM$6-$G$3,22))),0)))))</f>
        <v>0</v>
      </c>
      <c r="AN61" s="27" t="n">
        <f aca="false">IF(COUNT(Algodão!$E59:$Z59)=0,0,MAX(0,IF((AN$6-$E$3)&lt;1,0,IFERROR(LOOKUP(2,1/(Algodão!$E59:INDEX(Algodão!$E59:$Z59,MIN(AN$6-$E$3,22))&lt;&gt;""),Algodão!$E59:INDEX(Algodão!$E59:$Z59,MIN(AN$6-$E$3,22))),0))-IF($G$2,0,IF((AN$6-$G$3)&lt;1,0,IFERROR(LOOKUP(2,1/(Algodão!$E59:INDEX(Algodão!$E59:$Z59,MIN(AN$6-$G$3,22))&lt;&gt;""),Algodão!$E59:INDEX(Algodão!$E59:$Z59,MIN(AN$6-$G$3,22))),0)))))</f>
        <v>0</v>
      </c>
      <c r="AO61" s="27" t="n">
        <f aca="false">IF(COUNT(Algodão!$E59:$Z59)=0,0,MAX(0,IF((AO$6-$E$3)&lt;1,0,IFERROR(LOOKUP(2,1/(Algodão!$E59:INDEX(Algodão!$E59:$Z59,MIN(AO$6-$E$3,22))&lt;&gt;""),Algodão!$E59:INDEX(Algodão!$E59:$Z59,MIN(AO$6-$E$3,22))),0))-IF($G$2,0,IF((AO$6-$G$3)&lt;1,0,IFERROR(LOOKUP(2,1/(Algodão!$E59:INDEX(Algodão!$E59:$Z59,MIN(AO$6-$G$3,22))&lt;&gt;""),Algodão!$E59:INDEX(Algodão!$E59:$Z59,MIN(AO$6-$G$3,22))),0)))))</f>
        <v>0</v>
      </c>
      <c r="AP61" s="27" t="n">
        <f aca="false">IF(COUNT(Algodão!$E59:$Z59)=0,0,MAX(0,IF((AP$6-$E$3)&lt;1,0,IFERROR(LOOKUP(2,1/(Algodão!$E59:INDEX(Algodão!$E59:$Z59,MIN(AP$6-$E$3,22))&lt;&gt;""),Algodão!$E59:INDEX(Algodão!$E59:$Z59,MIN(AP$6-$E$3,22))),0))-IF($G$2,0,IF((AP$6-$G$3)&lt;1,0,IFERROR(LOOKUP(2,1/(Algodão!$E59:INDEX(Algodão!$E59:$Z59,MIN(AP$6-$G$3,22))&lt;&gt;""),Algodão!$E59:INDEX(Algodão!$E59:$Z59,MIN(AP$6-$G$3,22))),0)))))</f>
        <v>0</v>
      </c>
      <c r="AQ61" s="27" t="n">
        <f aca="false">IF(COUNT(Algodão!$E59:$Z59)=0,0,MAX(0,IF((AQ$6-$E$3)&lt;1,0,IFERROR(LOOKUP(2,1/(Algodão!$E59:INDEX(Algodão!$E59:$Z59,MIN(AQ$6-$E$3,22))&lt;&gt;""),Algodão!$E59:INDEX(Algodão!$E59:$Z59,MIN(AQ$6-$E$3,22))),0))-IF($G$2,0,IF((AQ$6-$G$3)&lt;1,0,IFERROR(LOOKUP(2,1/(Algodão!$E59:INDEX(Algodão!$E59:$Z59,MIN(AQ$6-$G$3,22))&lt;&gt;""),Algodão!$E59:INDEX(Algodão!$E59:$Z59,MIN(AQ$6-$G$3,22))),0)))))</f>
        <v>0</v>
      </c>
      <c r="AR61" s="27" t="n">
        <f aca="false">IF(COUNT(Algodão!$E59:$Z59)=0,0,MAX(0,IF((AR$6-$E$3)&lt;1,0,IFERROR(LOOKUP(2,1/(Algodão!$E59:INDEX(Algodão!$E59:$Z59,MIN(AR$6-$E$3,22))&lt;&gt;""),Algodão!$E59:INDEX(Algodão!$E59:$Z59,MIN(AR$6-$E$3,22))),0))-IF($G$2,0,IF((AR$6-$G$3)&lt;1,0,IFERROR(LOOKUP(2,1/(Algodão!$E59:INDEX(Algodão!$E59:$Z59,MIN(AR$6-$G$3,22))&lt;&gt;""),Algodão!$E59:INDEX(Algodão!$E59:$Z59,MIN(AR$6-$G$3,22))),0)))))</f>
        <v>0</v>
      </c>
      <c r="AS61" s="27" t="n">
        <f aca="false">IF(COUNT(Algodão!$E59:$Z59)=0,0,MAX(0,IF((AS$6-$E$3)&lt;1,0,IFERROR(LOOKUP(2,1/(Algodão!$E59:INDEX(Algodão!$E59:$Z59,MIN(AS$6-$E$3,22))&lt;&gt;""),Algodão!$E59:INDEX(Algodão!$E59:$Z59,MIN(AS$6-$E$3,22))),0))-IF($G$2,0,IF((AS$6-$G$3)&lt;1,0,IFERROR(LOOKUP(2,1/(Algodão!$E59:INDEX(Algodão!$E59:$Z59,MIN(AS$6-$G$3,22))&lt;&gt;""),Algodão!$E59:INDEX(Algodão!$E59:$Z59,MIN(AS$6-$G$3,22))),0)))))</f>
        <v>0</v>
      </c>
      <c r="AT61" s="27" t="n">
        <f aca="false">IF(COUNT(Algodão!$E59:$Z59)=0,0,MAX(0,IF((AT$6-$E$3)&lt;1,0,IFERROR(LOOKUP(2,1/(Algodão!$E59:INDEX(Algodão!$E59:$Z59,MIN(AT$6-$E$3,22))&lt;&gt;""),Algodão!$E59:INDEX(Algodão!$E59:$Z59,MIN(AT$6-$E$3,22))),0))-IF($G$2,0,IF((AT$6-$G$3)&lt;1,0,IFERROR(LOOKUP(2,1/(Algodão!$E59:INDEX(Algodão!$E59:$Z59,MIN(AT$6-$G$3,22))&lt;&gt;""),Algodão!$E59:INDEX(Algodão!$E59:$Z59,MIN(AT$6-$G$3,22))),0)))))</f>
        <v>0</v>
      </c>
      <c r="AU61" s="27" t="n">
        <f aca="false">IF(COUNT(Algodão!$E59:$Z59)=0,0,MAX(0,IF((AU$6-$E$3)&lt;1,0,IFERROR(LOOKUP(2,1/(Algodão!$E59:INDEX(Algodão!$E59:$Z59,MIN(AU$6-$E$3,22))&lt;&gt;""),Algodão!$E59:INDEX(Algodão!$E59:$Z59,MIN(AU$6-$E$3,22))),0))-IF($G$2,0,IF((AU$6-$G$3)&lt;1,0,IFERROR(LOOKUP(2,1/(Algodão!$E59:INDEX(Algodão!$E59:$Z59,MIN(AU$6-$G$3,22))&lt;&gt;""),Algodão!$E59:INDEX(Algodão!$E59:$Z59,MIN(AU$6-$G$3,22))),0)))))</f>
        <v>0</v>
      </c>
      <c r="AV61" s="27" t="n">
        <f aca="false">IF(COUNT(Algodão!$E59:$Z59)=0,0,MAX(0,IF((AV$6-$E$3)&lt;1,0,IFERROR(LOOKUP(2,1/(Algodão!$E59:INDEX(Algodão!$E59:$Z59,MIN(AV$6-$E$3,22))&lt;&gt;""),Algodão!$E59:INDEX(Algodão!$E59:$Z59,MIN(AV$6-$E$3,22))),0))-IF($G$2,0,IF((AV$6-$G$3)&lt;1,0,IFERROR(LOOKUP(2,1/(Algodão!$E59:INDEX(Algodão!$E59:$Z59,MIN(AV$6-$G$3,22))&lt;&gt;""),Algodão!$E59:INDEX(Algodão!$E59:$Z59,MIN(AV$6-$G$3,22))),0)))))</f>
        <v>0</v>
      </c>
      <c r="AW61" s="27" t="n">
        <f aca="false">IF(COUNT(Algodão!$E59:$Z59)=0,0,MAX(0,IF((AW$6-$E$3)&lt;1,0,IFERROR(LOOKUP(2,1/(Algodão!$E59:INDEX(Algodão!$E59:$Z59,MIN(AW$6-$E$3,22))&lt;&gt;""),Algodão!$E59:INDEX(Algodão!$E59:$Z59,MIN(AW$6-$E$3,22))),0))-IF($G$2,0,IF((AW$6-$G$3)&lt;1,0,IFERROR(LOOKUP(2,1/(Algodão!$E59:INDEX(Algodão!$E59:$Z59,MIN(AW$6-$G$3,22))&lt;&gt;""),Algodão!$E59:INDEX(Algodão!$E59:$Z59,MIN(AW$6-$G$3,22))),0)))))</f>
        <v>0</v>
      </c>
      <c r="AX61" s="27" t="n">
        <f aca="false">IF(COUNT(Algodão!$E59:$Z59)=0,0,MAX(0,IF((AX$6-$E$3)&lt;1,0,IFERROR(LOOKUP(2,1/(Algodão!$E59:INDEX(Algodão!$E59:$Z59,MIN(AX$6-$E$3,22))&lt;&gt;""),Algodão!$E59:INDEX(Algodão!$E59:$Z59,MIN(AX$6-$E$3,22))),0))-IF($G$2,0,IF((AX$6-$G$3)&lt;1,0,IFERROR(LOOKUP(2,1/(Algodão!$E59:INDEX(Algodão!$E59:$Z59,MIN(AX$6-$G$3,22))&lt;&gt;""),Algodão!$E59:INDEX(Algodão!$E59:$Z59,MIN(AX$6-$G$3,22))),0)))))</f>
        <v>0</v>
      </c>
      <c r="AY61" s="27" t="n">
        <f aca="false">IF(COUNT(Algodão!$E59:$Z59)=0,0,MAX(0,IF((AY$6-$E$3)&lt;1,0,IFERROR(LOOKUP(2,1/(Algodão!$E59:INDEX(Algodão!$E59:$Z59,MIN(AY$6-$E$3,22))&lt;&gt;""),Algodão!$E59:INDEX(Algodão!$E59:$Z59,MIN(AY$6-$E$3,22))),0))-IF($G$2,0,IF((AY$6-$G$3)&lt;1,0,IFERROR(LOOKUP(2,1/(Algodão!$E59:INDEX(Algodão!$E59:$Z59,MIN(AY$6-$G$3,22))&lt;&gt;""),Algodão!$E59:INDEX(Algodão!$E59:$Z59,MIN(AY$6-$G$3,22))),0)))))</f>
        <v>0</v>
      </c>
      <c r="AZ61" s="27" t="n">
        <f aca="false">IF(COUNT(Algodão!$E59:$Z59)=0,0,MAX(0,IF((AZ$6-$E$3)&lt;1,0,IFERROR(LOOKUP(2,1/(Algodão!$E59:INDEX(Algodão!$E59:$Z59,MIN(AZ$6-$E$3,22))&lt;&gt;""),Algodão!$E59:INDEX(Algodão!$E59:$Z59,MIN(AZ$6-$E$3,22))),0))-IF($G$2,0,IF((AZ$6-$G$3)&lt;1,0,IFERROR(LOOKUP(2,1/(Algodão!$E59:INDEX(Algodão!$E59:$Z59,MIN(AZ$6-$G$3,22))&lt;&gt;""),Algodão!$E59:INDEX(Algodão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IF(COUNT(Algodão!$E60:$Z60)&gt;0,N(Algodão!$D60),0)</f>
        <v>0</v>
      </c>
      <c r="E62" s="27" t="n">
        <f aca="false">IF(COUNT(Algodão!$E60:$Z60)=0,0,MAX(0,IF((E$6-$E$3)&lt;1,0,IFERROR(LOOKUP(2,1/(Algodão!$E60:INDEX(Algodão!$E60:$Z60,MIN(E$6-$E$3,22))&lt;&gt;""),Algodão!$E60:INDEX(Algodão!$E60:$Z60,MIN(E$6-$E$3,22))),0))-IF($G$2,0,IF((E$6-$G$3)&lt;1,0,IFERROR(LOOKUP(2,1/(Algodão!$E60:INDEX(Algodão!$E60:$Z60,MIN(E$6-$G$3,22))&lt;&gt;""),Algodão!$E60:INDEX(Algodão!$E60:$Z60,MIN(E$6-$G$3,22))),0)))))</f>
        <v>0</v>
      </c>
      <c r="F62" s="27" t="n">
        <f aca="false">IF(COUNT(Algodão!$E60:$Z60)=0,0,MAX(0,IF((F$6-$E$3)&lt;1,0,IFERROR(LOOKUP(2,1/(Algodão!$E60:INDEX(Algodão!$E60:$Z60,MIN(F$6-$E$3,22))&lt;&gt;""),Algodão!$E60:INDEX(Algodão!$E60:$Z60,MIN(F$6-$E$3,22))),0))-IF($G$2,0,IF((F$6-$G$3)&lt;1,0,IFERROR(LOOKUP(2,1/(Algodão!$E60:INDEX(Algodão!$E60:$Z60,MIN(F$6-$G$3,22))&lt;&gt;""),Algodão!$E60:INDEX(Algodão!$E60:$Z60,MIN(F$6-$G$3,22))),0)))))</f>
        <v>0</v>
      </c>
      <c r="G62" s="27" t="n">
        <f aca="false">IF(COUNT(Algodão!$E60:$Z60)=0,0,MAX(0,IF((G$6-$E$3)&lt;1,0,IFERROR(LOOKUP(2,1/(Algodão!$E60:INDEX(Algodão!$E60:$Z60,MIN(G$6-$E$3,22))&lt;&gt;""),Algodão!$E60:INDEX(Algodão!$E60:$Z60,MIN(G$6-$E$3,22))),0))-IF($G$2,0,IF((G$6-$G$3)&lt;1,0,IFERROR(LOOKUP(2,1/(Algodão!$E60:INDEX(Algodão!$E60:$Z60,MIN(G$6-$G$3,22))&lt;&gt;""),Algodão!$E60:INDEX(Algodão!$E60:$Z60,MIN(G$6-$G$3,22))),0)))))</f>
        <v>0</v>
      </c>
      <c r="H62" s="27" t="n">
        <f aca="false">IF(COUNT(Algodão!$E60:$Z60)=0,0,MAX(0,IF((H$6-$E$3)&lt;1,0,IFERROR(LOOKUP(2,1/(Algodão!$E60:INDEX(Algodão!$E60:$Z60,MIN(H$6-$E$3,22))&lt;&gt;""),Algodão!$E60:INDEX(Algodão!$E60:$Z60,MIN(H$6-$E$3,22))),0))-IF($G$2,0,IF((H$6-$G$3)&lt;1,0,IFERROR(LOOKUP(2,1/(Algodão!$E60:INDEX(Algodão!$E60:$Z60,MIN(H$6-$G$3,22))&lt;&gt;""),Algodão!$E60:INDEX(Algodão!$E60:$Z60,MIN(H$6-$G$3,22))),0)))))</f>
        <v>0</v>
      </c>
      <c r="I62" s="27" t="n">
        <f aca="false">IF(COUNT(Algodão!$E60:$Z60)=0,0,MAX(0,IF((I$6-$E$3)&lt;1,0,IFERROR(LOOKUP(2,1/(Algodão!$E60:INDEX(Algodão!$E60:$Z60,MIN(I$6-$E$3,22))&lt;&gt;""),Algodão!$E60:INDEX(Algodão!$E60:$Z60,MIN(I$6-$E$3,22))),0))-IF($G$2,0,IF((I$6-$G$3)&lt;1,0,IFERROR(LOOKUP(2,1/(Algodão!$E60:INDEX(Algodão!$E60:$Z60,MIN(I$6-$G$3,22))&lt;&gt;""),Algodão!$E60:INDEX(Algodão!$E60:$Z60,MIN(I$6-$G$3,22))),0)))))</f>
        <v>0</v>
      </c>
      <c r="J62" s="27" t="n">
        <f aca="false">IF(COUNT(Algodão!$E60:$Z60)=0,0,MAX(0,IF((J$6-$E$3)&lt;1,0,IFERROR(LOOKUP(2,1/(Algodão!$E60:INDEX(Algodão!$E60:$Z60,MIN(J$6-$E$3,22))&lt;&gt;""),Algodão!$E60:INDEX(Algodão!$E60:$Z60,MIN(J$6-$E$3,22))),0))-IF($G$2,0,IF((J$6-$G$3)&lt;1,0,IFERROR(LOOKUP(2,1/(Algodão!$E60:INDEX(Algodão!$E60:$Z60,MIN(J$6-$G$3,22))&lt;&gt;""),Algodão!$E60:INDEX(Algodão!$E60:$Z60,MIN(J$6-$G$3,22))),0)))))</f>
        <v>0</v>
      </c>
      <c r="K62" s="27" t="n">
        <f aca="false">IF(COUNT(Algodão!$E60:$Z60)=0,0,MAX(0,IF((K$6-$E$3)&lt;1,0,IFERROR(LOOKUP(2,1/(Algodão!$E60:INDEX(Algodão!$E60:$Z60,MIN(K$6-$E$3,22))&lt;&gt;""),Algodão!$E60:INDEX(Algodão!$E60:$Z60,MIN(K$6-$E$3,22))),0))-IF($G$2,0,IF((K$6-$G$3)&lt;1,0,IFERROR(LOOKUP(2,1/(Algodão!$E60:INDEX(Algodão!$E60:$Z60,MIN(K$6-$G$3,22))&lt;&gt;""),Algodão!$E60:INDEX(Algodão!$E60:$Z60,MIN(K$6-$G$3,22))),0)))))</f>
        <v>0</v>
      </c>
      <c r="L62" s="27" t="n">
        <f aca="false">IF(COUNT(Algodão!$E60:$Z60)=0,0,MAX(0,IF((L$6-$E$3)&lt;1,0,IFERROR(LOOKUP(2,1/(Algodão!$E60:INDEX(Algodão!$E60:$Z60,MIN(L$6-$E$3,22))&lt;&gt;""),Algodão!$E60:INDEX(Algodão!$E60:$Z60,MIN(L$6-$E$3,22))),0))-IF($G$2,0,IF((L$6-$G$3)&lt;1,0,IFERROR(LOOKUP(2,1/(Algodão!$E60:INDEX(Algodão!$E60:$Z60,MIN(L$6-$G$3,22))&lt;&gt;""),Algodão!$E60:INDEX(Algodão!$E60:$Z60,MIN(L$6-$G$3,22))),0)))))</f>
        <v>0</v>
      </c>
      <c r="M62" s="27" t="n">
        <f aca="false">IF(COUNT(Algodão!$E60:$Z60)=0,0,MAX(0,IF((M$6-$E$3)&lt;1,0,IFERROR(LOOKUP(2,1/(Algodão!$E60:INDEX(Algodão!$E60:$Z60,MIN(M$6-$E$3,22))&lt;&gt;""),Algodão!$E60:INDEX(Algodão!$E60:$Z60,MIN(M$6-$E$3,22))),0))-IF($G$2,0,IF((M$6-$G$3)&lt;1,0,IFERROR(LOOKUP(2,1/(Algodão!$E60:INDEX(Algodão!$E60:$Z60,MIN(M$6-$G$3,22))&lt;&gt;""),Algodão!$E60:INDEX(Algodão!$E60:$Z60,MIN(M$6-$G$3,22))),0)))))</f>
        <v>0</v>
      </c>
      <c r="N62" s="27" t="n">
        <f aca="false">IF(COUNT(Algodão!$E60:$Z60)=0,0,MAX(0,IF((N$6-$E$3)&lt;1,0,IFERROR(LOOKUP(2,1/(Algodão!$E60:INDEX(Algodão!$E60:$Z60,MIN(N$6-$E$3,22))&lt;&gt;""),Algodão!$E60:INDEX(Algodão!$E60:$Z60,MIN(N$6-$E$3,22))),0))-IF($G$2,0,IF((N$6-$G$3)&lt;1,0,IFERROR(LOOKUP(2,1/(Algodão!$E60:INDEX(Algodão!$E60:$Z60,MIN(N$6-$G$3,22))&lt;&gt;""),Algodão!$E60:INDEX(Algodão!$E60:$Z60,MIN(N$6-$G$3,22))),0)))))</f>
        <v>0</v>
      </c>
      <c r="O62" s="27" t="n">
        <f aca="false">IF(COUNT(Algodão!$E60:$Z60)=0,0,MAX(0,IF((O$6-$E$3)&lt;1,0,IFERROR(LOOKUP(2,1/(Algodão!$E60:INDEX(Algodão!$E60:$Z60,MIN(O$6-$E$3,22))&lt;&gt;""),Algodão!$E60:INDEX(Algodão!$E60:$Z60,MIN(O$6-$E$3,22))),0))-IF($G$2,0,IF((O$6-$G$3)&lt;1,0,IFERROR(LOOKUP(2,1/(Algodão!$E60:INDEX(Algodão!$E60:$Z60,MIN(O$6-$G$3,22))&lt;&gt;""),Algodão!$E60:INDEX(Algodão!$E60:$Z60,MIN(O$6-$G$3,22))),0)))))</f>
        <v>0</v>
      </c>
      <c r="P62" s="27" t="n">
        <f aca="false">IF(COUNT(Algodão!$E60:$Z60)=0,0,MAX(0,IF((P$6-$E$3)&lt;1,0,IFERROR(LOOKUP(2,1/(Algodão!$E60:INDEX(Algodão!$E60:$Z60,MIN(P$6-$E$3,22))&lt;&gt;""),Algodão!$E60:INDEX(Algodão!$E60:$Z60,MIN(P$6-$E$3,22))),0))-IF($G$2,0,IF((P$6-$G$3)&lt;1,0,IFERROR(LOOKUP(2,1/(Algodão!$E60:INDEX(Algodão!$E60:$Z60,MIN(P$6-$G$3,22))&lt;&gt;""),Algodão!$E60:INDEX(Algodão!$E60:$Z60,MIN(P$6-$G$3,22))),0)))))</f>
        <v>0</v>
      </c>
      <c r="Q62" s="27" t="n">
        <f aca="false">IF(COUNT(Algodão!$E60:$Z60)=0,0,MAX(0,IF((Q$6-$E$3)&lt;1,0,IFERROR(LOOKUP(2,1/(Algodão!$E60:INDEX(Algodão!$E60:$Z60,MIN(Q$6-$E$3,22))&lt;&gt;""),Algodão!$E60:INDEX(Algodão!$E60:$Z60,MIN(Q$6-$E$3,22))),0))-IF($G$2,0,IF((Q$6-$G$3)&lt;1,0,IFERROR(LOOKUP(2,1/(Algodão!$E60:INDEX(Algodão!$E60:$Z60,MIN(Q$6-$G$3,22))&lt;&gt;""),Algodão!$E60:INDEX(Algodão!$E60:$Z60,MIN(Q$6-$G$3,22))),0)))))</f>
        <v>0</v>
      </c>
      <c r="R62" s="27" t="n">
        <f aca="false">IF(COUNT(Algodão!$E60:$Z60)=0,0,MAX(0,IF((R$6-$E$3)&lt;1,0,IFERROR(LOOKUP(2,1/(Algodão!$E60:INDEX(Algodão!$E60:$Z60,MIN(R$6-$E$3,22))&lt;&gt;""),Algodão!$E60:INDEX(Algodão!$E60:$Z60,MIN(R$6-$E$3,22))),0))-IF($G$2,0,IF((R$6-$G$3)&lt;1,0,IFERROR(LOOKUP(2,1/(Algodão!$E60:INDEX(Algodão!$E60:$Z60,MIN(R$6-$G$3,22))&lt;&gt;""),Algodão!$E60:INDEX(Algodão!$E60:$Z60,MIN(R$6-$G$3,22))),0)))))</f>
        <v>0</v>
      </c>
      <c r="S62" s="27" t="n">
        <f aca="false">IF(COUNT(Algodão!$E60:$Z60)=0,0,MAX(0,IF((S$6-$E$3)&lt;1,0,IFERROR(LOOKUP(2,1/(Algodão!$E60:INDEX(Algodão!$E60:$Z60,MIN(S$6-$E$3,22))&lt;&gt;""),Algodão!$E60:INDEX(Algodão!$E60:$Z60,MIN(S$6-$E$3,22))),0))-IF($G$2,0,IF((S$6-$G$3)&lt;1,0,IFERROR(LOOKUP(2,1/(Algodão!$E60:INDEX(Algodão!$E60:$Z60,MIN(S$6-$G$3,22))&lt;&gt;""),Algodão!$E60:INDEX(Algodão!$E60:$Z60,MIN(S$6-$G$3,22))),0)))))</f>
        <v>0</v>
      </c>
      <c r="T62" s="27" t="n">
        <f aca="false">IF(COUNT(Algodão!$E60:$Z60)=0,0,MAX(0,IF((T$6-$E$3)&lt;1,0,IFERROR(LOOKUP(2,1/(Algodão!$E60:INDEX(Algodão!$E60:$Z60,MIN(T$6-$E$3,22))&lt;&gt;""),Algodão!$E60:INDEX(Algodão!$E60:$Z60,MIN(T$6-$E$3,22))),0))-IF($G$2,0,IF((T$6-$G$3)&lt;1,0,IFERROR(LOOKUP(2,1/(Algodão!$E60:INDEX(Algodão!$E60:$Z60,MIN(T$6-$G$3,22))&lt;&gt;""),Algodão!$E60:INDEX(Algodão!$E60:$Z60,MIN(T$6-$G$3,22))),0)))))</f>
        <v>0</v>
      </c>
      <c r="U62" s="27" t="n">
        <f aca="false">IF(COUNT(Algodão!$E60:$Z60)=0,0,MAX(0,IF((U$6-$E$3)&lt;1,0,IFERROR(LOOKUP(2,1/(Algodão!$E60:INDEX(Algodão!$E60:$Z60,MIN(U$6-$E$3,22))&lt;&gt;""),Algodão!$E60:INDEX(Algodão!$E60:$Z60,MIN(U$6-$E$3,22))),0))-IF($G$2,0,IF((U$6-$G$3)&lt;1,0,IFERROR(LOOKUP(2,1/(Algodão!$E60:INDEX(Algodão!$E60:$Z60,MIN(U$6-$G$3,22))&lt;&gt;""),Algodão!$E60:INDEX(Algodão!$E60:$Z60,MIN(U$6-$G$3,22))),0)))))</f>
        <v>0</v>
      </c>
      <c r="V62" s="27" t="n">
        <f aca="false">IF(COUNT(Algodão!$E60:$Z60)=0,0,MAX(0,IF((V$6-$E$3)&lt;1,0,IFERROR(LOOKUP(2,1/(Algodão!$E60:INDEX(Algodão!$E60:$Z60,MIN(V$6-$E$3,22))&lt;&gt;""),Algodão!$E60:INDEX(Algodão!$E60:$Z60,MIN(V$6-$E$3,22))),0))-IF($G$2,0,IF((V$6-$G$3)&lt;1,0,IFERROR(LOOKUP(2,1/(Algodão!$E60:INDEX(Algodão!$E60:$Z60,MIN(V$6-$G$3,22))&lt;&gt;""),Algodão!$E60:INDEX(Algodão!$E60:$Z60,MIN(V$6-$G$3,22))),0)))))</f>
        <v>0</v>
      </c>
      <c r="W62" s="27" t="n">
        <f aca="false">IF(COUNT(Algodão!$E60:$Z60)=0,0,MAX(0,IF((W$6-$E$3)&lt;1,0,IFERROR(LOOKUP(2,1/(Algodão!$E60:INDEX(Algodão!$E60:$Z60,MIN(W$6-$E$3,22))&lt;&gt;""),Algodão!$E60:INDEX(Algodão!$E60:$Z60,MIN(W$6-$E$3,22))),0))-IF($G$2,0,IF((W$6-$G$3)&lt;1,0,IFERROR(LOOKUP(2,1/(Algodão!$E60:INDEX(Algodão!$E60:$Z60,MIN(W$6-$G$3,22))&lt;&gt;""),Algodão!$E60:INDEX(Algodão!$E60:$Z60,MIN(W$6-$G$3,22))),0)))))</f>
        <v>0</v>
      </c>
      <c r="X62" s="27" t="n">
        <f aca="false">IF(COUNT(Algodão!$E60:$Z60)=0,0,MAX(0,IF((X$6-$E$3)&lt;1,0,IFERROR(LOOKUP(2,1/(Algodão!$E60:INDEX(Algodão!$E60:$Z60,MIN(X$6-$E$3,22))&lt;&gt;""),Algodão!$E60:INDEX(Algodão!$E60:$Z60,MIN(X$6-$E$3,22))),0))-IF($G$2,0,IF((X$6-$G$3)&lt;1,0,IFERROR(LOOKUP(2,1/(Algodão!$E60:INDEX(Algodão!$E60:$Z60,MIN(X$6-$G$3,22))&lt;&gt;""),Algodão!$E60:INDEX(Algodão!$E60:$Z60,MIN(X$6-$G$3,22))),0)))))</f>
        <v>0</v>
      </c>
      <c r="Y62" s="27" t="n">
        <f aca="false">IF(COUNT(Algodão!$E60:$Z60)=0,0,MAX(0,IF((Y$6-$E$3)&lt;1,0,IFERROR(LOOKUP(2,1/(Algodão!$E60:INDEX(Algodão!$E60:$Z60,MIN(Y$6-$E$3,22))&lt;&gt;""),Algodão!$E60:INDEX(Algodão!$E60:$Z60,MIN(Y$6-$E$3,22))),0))-IF($G$2,0,IF((Y$6-$G$3)&lt;1,0,IFERROR(LOOKUP(2,1/(Algodão!$E60:INDEX(Algodão!$E60:$Z60,MIN(Y$6-$G$3,22))&lt;&gt;""),Algodão!$E60:INDEX(Algodão!$E60:$Z60,MIN(Y$6-$G$3,22))),0)))))</f>
        <v>0</v>
      </c>
      <c r="Z62" s="27" t="n">
        <f aca="false">IF(COUNT(Algodão!$E60:$Z60)=0,0,MAX(0,IF((Z$6-$E$3)&lt;1,0,IFERROR(LOOKUP(2,1/(Algodão!$E60:INDEX(Algodão!$E60:$Z60,MIN(Z$6-$E$3,22))&lt;&gt;""),Algodão!$E60:INDEX(Algodão!$E60:$Z60,MIN(Z$6-$E$3,22))),0))-IF($G$2,0,IF((Z$6-$G$3)&lt;1,0,IFERROR(LOOKUP(2,1/(Algodão!$E60:INDEX(Algodão!$E60:$Z60,MIN(Z$6-$G$3,22))&lt;&gt;""),Algodão!$E60:INDEX(Algodão!$E60:$Z60,MIN(Z$6-$G$3,22))),0)))))</f>
        <v>0</v>
      </c>
      <c r="AA62" s="27" t="n">
        <f aca="false">IF(COUNT(Algodão!$E60:$Z60)=0,0,MAX(0,IF((AA$6-$E$3)&lt;1,0,IFERROR(LOOKUP(2,1/(Algodão!$E60:INDEX(Algodão!$E60:$Z60,MIN(AA$6-$E$3,22))&lt;&gt;""),Algodão!$E60:INDEX(Algodão!$E60:$Z60,MIN(AA$6-$E$3,22))),0))-IF($G$2,0,IF((AA$6-$G$3)&lt;1,0,IFERROR(LOOKUP(2,1/(Algodão!$E60:INDEX(Algodão!$E60:$Z60,MIN(AA$6-$G$3,22))&lt;&gt;""),Algodão!$E60:INDEX(Algodão!$E60:$Z60,MIN(AA$6-$G$3,22))),0)))))</f>
        <v>0</v>
      </c>
      <c r="AB62" s="27" t="n">
        <f aca="false">IF(COUNT(Algodão!$E60:$Z60)=0,0,MAX(0,IF((AB$6-$E$3)&lt;1,0,IFERROR(LOOKUP(2,1/(Algodão!$E60:INDEX(Algodão!$E60:$Z60,MIN(AB$6-$E$3,22))&lt;&gt;""),Algodão!$E60:INDEX(Algodão!$E60:$Z60,MIN(AB$6-$E$3,22))),0))-IF($G$2,0,IF((AB$6-$G$3)&lt;1,0,IFERROR(LOOKUP(2,1/(Algodão!$E60:INDEX(Algodão!$E60:$Z60,MIN(AB$6-$G$3,22))&lt;&gt;""),Algodão!$E60:INDEX(Algodão!$E60:$Z60,MIN(AB$6-$G$3,22))),0)))))</f>
        <v>0</v>
      </c>
      <c r="AC62" s="27" t="n">
        <f aca="false">IF(COUNT(Algodão!$E60:$Z60)=0,0,MAX(0,IF((AC$6-$E$3)&lt;1,0,IFERROR(LOOKUP(2,1/(Algodão!$E60:INDEX(Algodão!$E60:$Z60,MIN(AC$6-$E$3,22))&lt;&gt;""),Algodão!$E60:INDEX(Algodão!$E60:$Z60,MIN(AC$6-$E$3,22))),0))-IF($G$2,0,IF((AC$6-$G$3)&lt;1,0,IFERROR(LOOKUP(2,1/(Algodão!$E60:INDEX(Algodão!$E60:$Z60,MIN(AC$6-$G$3,22))&lt;&gt;""),Algodão!$E60:INDEX(Algodão!$E60:$Z60,MIN(AC$6-$G$3,22))),0)))))</f>
        <v>0</v>
      </c>
      <c r="AD62" s="27" t="n">
        <f aca="false">IF(COUNT(Algodão!$E60:$Z60)=0,0,MAX(0,IF((AD$6-$E$3)&lt;1,0,IFERROR(LOOKUP(2,1/(Algodão!$E60:INDEX(Algodão!$E60:$Z60,MIN(AD$6-$E$3,22))&lt;&gt;""),Algodão!$E60:INDEX(Algodão!$E60:$Z60,MIN(AD$6-$E$3,22))),0))-IF($G$2,0,IF((AD$6-$G$3)&lt;1,0,IFERROR(LOOKUP(2,1/(Algodão!$E60:INDEX(Algodão!$E60:$Z60,MIN(AD$6-$G$3,22))&lt;&gt;""),Algodão!$E60:INDEX(Algodão!$E60:$Z60,MIN(AD$6-$G$3,22))),0)))))</f>
        <v>0</v>
      </c>
      <c r="AE62" s="27" t="n">
        <f aca="false">IF(COUNT(Algodão!$E60:$Z60)=0,0,MAX(0,IF((AE$6-$E$3)&lt;1,0,IFERROR(LOOKUP(2,1/(Algodão!$E60:INDEX(Algodão!$E60:$Z60,MIN(AE$6-$E$3,22))&lt;&gt;""),Algodão!$E60:INDEX(Algodão!$E60:$Z60,MIN(AE$6-$E$3,22))),0))-IF($G$2,0,IF((AE$6-$G$3)&lt;1,0,IFERROR(LOOKUP(2,1/(Algodão!$E60:INDEX(Algodão!$E60:$Z60,MIN(AE$6-$G$3,22))&lt;&gt;""),Algodão!$E60:INDEX(Algodão!$E60:$Z60,MIN(AE$6-$G$3,22))),0)))))</f>
        <v>0</v>
      </c>
      <c r="AF62" s="27" t="n">
        <f aca="false">IF(COUNT(Algodão!$E60:$Z60)=0,0,MAX(0,IF((AF$6-$E$3)&lt;1,0,IFERROR(LOOKUP(2,1/(Algodão!$E60:INDEX(Algodão!$E60:$Z60,MIN(AF$6-$E$3,22))&lt;&gt;""),Algodão!$E60:INDEX(Algodão!$E60:$Z60,MIN(AF$6-$E$3,22))),0))-IF($G$2,0,IF((AF$6-$G$3)&lt;1,0,IFERROR(LOOKUP(2,1/(Algodão!$E60:INDEX(Algodão!$E60:$Z60,MIN(AF$6-$G$3,22))&lt;&gt;""),Algodão!$E60:INDEX(Algodão!$E60:$Z60,MIN(AF$6-$G$3,22))),0)))))</f>
        <v>0</v>
      </c>
      <c r="AG62" s="27" t="n">
        <f aca="false">IF(COUNT(Algodão!$E60:$Z60)=0,0,MAX(0,IF((AG$6-$E$3)&lt;1,0,IFERROR(LOOKUP(2,1/(Algodão!$E60:INDEX(Algodão!$E60:$Z60,MIN(AG$6-$E$3,22))&lt;&gt;""),Algodão!$E60:INDEX(Algodão!$E60:$Z60,MIN(AG$6-$E$3,22))),0))-IF($G$2,0,IF((AG$6-$G$3)&lt;1,0,IFERROR(LOOKUP(2,1/(Algodão!$E60:INDEX(Algodão!$E60:$Z60,MIN(AG$6-$G$3,22))&lt;&gt;""),Algodão!$E60:INDEX(Algodão!$E60:$Z60,MIN(AG$6-$G$3,22))),0)))))</f>
        <v>0</v>
      </c>
      <c r="AH62" s="27" t="n">
        <f aca="false">IF(COUNT(Algodão!$E60:$Z60)=0,0,MAX(0,IF((AH$6-$E$3)&lt;1,0,IFERROR(LOOKUP(2,1/(Algodão!$E60:INDEX(Algodão!$E60:$Z60,MIN(AH$6-$E$3,22))&lt;&gt;""),Algodão!$E60:INDEX(Algodão!$E60:$Z60,MIN(AH$6-$E$3,22))),0))-IF($G$2,0,IF((AH$6-$G$3)&lt;1,0,IFERROR(LOOKUP(2,1/(Algodão!$E60:INDEX(Algodão!$E60:$Z60,MIN(AH$6-$G$3,22))&lt;&gt;""),Algodão!$E60:INDEX(Algodão!$E60:$Z60,MIN(AH$6-$G$3,22))),0)))))</f>
        <v>0</v>
      </c>
      <c r="AI62" s="27" t="n">
        <f aca="false">IF(COUNT(Algodão!$E60:$Z60)=0,0,MAX(0,IF((AI$6-$E$3)&lt;1,0,IFERROR(LOOKUP(2,1/(Algodão!$E60:INDEX(Algodão!$E60:$Z60,MIN(AI$6-$E$3,22))&lt;&gt;""),Algodão!$E60:INDEX(Algodão!$E60:$Z60,MIN(AI$6-$E$3,22))),0))-IF($G$2,0,IF((AI$6-$G$3)&lt;1,0,IFERROR(LOOKUP(2,1/(Algodão!$E60:INDEX(Algodão!$E60:$Z60,MIN(AI$6-$G$3,22))&lt;&gt;""),Algodão!$E60:INDEX(Algodão!$E60:$Z60,MIN(AI$6-$G$3,22))),0)))))</f>
        <v>0</v>
      </c>
      <c r="AJ62" s="27" t="n">
        <f aca="false">IF(COUNT(Algodão!$E60:$Z60)=0,0,MAX(0,IF((AJ$6-$E$3)&lt;1,0,IFERROR(LOOKUP(2,1/(Algodão!$E60:INDEX(Algodão!$E60:$Z60,MIN(AJ$6-$E$3,22))&lt;&gt;""),Algodão!$E60:INDEX(Algodão!$E60:$Z60,MIN(AJ$6-$E$3,22))),0))-IF($G$2,0,IF((AJ$6-$G$3)&lt;1,0,IFERROR(LOOKUP(2,1/(Algodão!$E60:INDEX(Algodão!$E60:$Z60,MIN(AJ$6-$G$3,22))&lt;&gt;""),Algodão!$E60:INDEX(Algodão!$E60:$Z60,MIN(AJ$6-$G$3,22))),0)))))</f>
        <v>0</v>
      </c>
      <c r="AK62" s="27" t="n">
        <f aca="false">IF(COUNT(Algodão!$E60:$Z60)=0,0,MAX(0,IF((AK$6-$E$3)&lt;1,0,IFERROR(LOOKUP(2,1/(Algodão!$E60:INDEX(Algodão!$E60:$Z60,MIN(AK$6-$E$3,22))&lt;&gt;""),Algodão!$E60:INDEX(Algodão!$E60:$Z60,MIN(AK$6-$E$3,22))),0))-IF($G$2,0,IF((AK$6-$G$3)&lt;1,0,IFERROR(LOOKUP(2,1/(Algodão!$E60:INDEX(Algodão!$E60:$Z60,MIN(AK$6-$G$3,22))&lt;&gt;""),Algodão!$E60:INDEX(Algodão!$E60:$Z60,MIN(AK$6-$G$3,22))),0)))))</f>
        <v>0</v>
      </c>
      <c r="AL62" s="27" t="n">
        <f aca="false">IF(COUNT(Algodão!$E60:$Z60)=0,0,MAX(0,IF((AL$6-$E$3)&lt;1,0,IFERROR(LOOKUP(2,1/(Algodão!$E60:INDEX(Algodão!$E60:$Z60,MIN(AL$6-$E$3,22))&lt;&gt;""),Algodão!$E60:INDEX(Algodão!$E60:$Z60,MIN(AL$6-$E$3,22))),0))-IF($G$2,0,IF((AL$6-$G$3)&lt;1,0,IFERROR(LOOKUP(2,1/(Algodão!$E60:INDEX(Algodão!$E60:$Z60,MIN(AL$6-$G$3,22))&lt;&gt;""),Algodão!$E60:INDEX(Algodão!$E60:$Z60,MIN(AL$6-$G$3,22))),0)))))</f>
        <v>0</v>
      </c>
      <c r="AM62" s="27" t="n">
        <f aca="false">IF(COUNT(Algodão!$E60:$Z60)=0,0,MAX(0,IF((AM$6-$E$3)&lt;1,0,IFERROR(LOOKUP(2,1/(Algodão!$E60:INDEX(Algodão!$E60:$Z60,MIN(AM$6-$E$3,22))&lt;&gt;""),Algodão!$E60:INDEX(Algodão!$E60:$Z60,MIN(AM$6-$E$3,22))),0))-IF($G$2,0,IF((AM$6-$G$3)&lt;1,0,IFERROR(LOOKUP(2,1/(Algodão!$E60:INDEX(Algodão!$E60:$Z60,MIN(AM$6-$G$3,22))&lt;&gt;""),Algodão!$E60:INDEX(Algodão!$E60:$Z60,MIN(AM$6-$G$3,22))),0)))))</f>
        <v>0</v>
      </c>
      <c r="AN62" s="27" t="n">
        <f aca="false">IF(COUNT(Algodão!$E60:$Z60)=0,0,MAX(0,IF((AN$6-$E$3)&lt;1,0,IFERROR(LOOKUP(2,1/(Algodão!$E60:INDEX(Algodão!$E60:$Z60,MIN(AN$6-$E$3,22))&lt;&gt;""),Algodão!$E60:INDEX(Algodão!$E60:$Z60,MIN(AN$6-$E$3,22))),0))-IF($G$2,0,IF((AN$6-$G$3)&lt;1,0,IFERROR(LOOKUP(2,1/(Algodão!$E60:INDEX(Algodão!$E60:$Z60,MIN(AN$6-$G$3,22))&lt;&gt;""),Algodão!$E60:INDEX(Algodão!$E60:$Z60,MIN(AN$6-$G$3,22))),0)))))</f>
        <v>0</v>
      </c>
      <c r="AO62" s="27" t="n">
        <f aca="false">IF(COUNT(Algodão!$E60:$Z60)=0,0,MAX(0,IF((AO$6-$E$3)&lt;1,0,IFERROR(LOOKUP(2,1/(Algodão!$E60:INDEX(Algodão!$E60:$Z60,MIN(AO$6-$E$3,22))&lt;&gt;""),Algodão!$E60:INDEX(Algodão!$E60:$Z60,MIN(AO$6-$E$3,22))),0))-IF($G$2,0,IF((AO$6-$G$3)&lt;1,0,IFERROR(LOOKUP(2,1/(Algodão!$E60:INDEX(Algodão!$E60:$Z60,MIN(AO$6-$G$3,22))&lt;&gt;""),Algodão!$E60:INDEX(Algodão!$E60:$Z60,MIN(AO$6-$G$3,22))),0)))))</f>
        <v>0</v>
      </c>
      <c r="AP62" s="27" t="n">
        <f aca="false">IF(COUNT(Algodão!$E60:$Z60)=0,0,MAX(0,IF((AP$6-$E$3)&lt;1,0,IFERROR(LOOKUP(2,1/(Algodão!$E60:INDEX(Algodão!$E60:$Z60,MIN(AP$6-$E$3,22))&lt;&gt;""),Algodão!$E60:INDEX(Algodão!$E60:$Z60,MIN(AP$6-$E$3,22))),0))-IF($G$2,0,IF((AP$6-$G$3)&lt;1,0,IFERROR(LOOKUP(2,1/(Algodão!$E60:INDEX(Algodão!$E60:$Z60,MIN(AP$6-$G$3,22))&lt;&gt;""),Algodão!$E60:INDEX(Algodão!$E60:$Z60,MIN(AP$6-$G$3,22))),0)))))</f>
        <v>0</v>
      </c>
      <c r="AQ62" s="27" t="n">
        <f aca="false">IF(COUNT(Algodão!$E60:$Z60)=0,0,MAX(0,IF((AQ$6-$E$3)&lt;1,0,IFERROR(LOOKUP(2,1/(Algodão!$E60:INDEX(Algodão!$E60:$Z60,MIN(AQ$6-$E$3,22))&lt;&gt;""),Algodão!$E60:INDEX(Algodão!$E60:$Z60,MIN(AQ$6-$E$3,22))),0))-IF($G$2,0,IF((AQ$6-$G$3)&lt;1,0,IFERROR(LOOKUP(2,1/(Algodão!$E60:INDEX(Algodão!$E60:$Z60,MIN(AQ$6-$G$3,22))&lt;&gt;""),Algodão!$E60:INDEX(Algodão!$E60:$Z60,MIN(AQ$6-$G$3,22))),0)))))</f>
        <v>0</v>
      </c>
      <c r="AR62" s="27" t="n">
        <f aca="false">IF(COUNT(Algodão!$E60:$Z60)=0,0,MAX(0,IF((AR$6-$E$3)&lt;1,0,IFERROR(LOOKUP(2,1/(Algodão!$E60:INDEX(Algodão!$E60:$Z60,MIN(AR$6-$E$3,22))&lt;&gt;""),Algodão!$E60:INDEX(Algodão!$E60:$Z60,MIN(AR$6-$E$3,22))),0))-IF($G$2,0,IF((AR$6-$G$3)&lt;1,0,IFERROR(LOOKUP(2,1/(Algodão!$E60:INDEX(Algodão!$E60:$Z60,MIN(AR$6-$G$3,22))&lt;&gt;""),Algodão!$E60:INDEX(Algodão!$E60:$Z60,MIN(AR$6-$G$3,22))),0)))))</f>
        <v>0</v>
      </c>
      <c r="AS62" s="27" t="n">
        <f aca="false">IF(COUNT(Algodão!$E60:$Z60)=0,0,MAX(0,IF((AS$6-$E$3)&lt;1,0,IFERROR(LOOKUP(2,1/(Algodão!$E60:INDEX(Algodão!$E60:$Z60,MIN(AS$6-$E$3,22))&lt;&gt;""),Algodão!$E60:INDEX(Algodão!$E60:$Z60,MIN(AS$6-$E$3,22))),0))-IF($G$2,0,IF((AS$6-$G$3)&lt;1,0,IFERROR(LOOKUP(2,1/(Algodão!$E60:INDEX(Algodão!$E60:$Z60,MIN(AS$6-$G$3,22))&lt;&gt;""),Algodão!$E60:INDEX(Algodão!$E60:$Z60,MIN(AS$6-$G$3,22))),0)))))</f>
        <v>0</v>
      </c>
      <c r="AT62" s="27" t="n">
        <f aca="false">IF(COUNT(Algodão!$E60:$Z60)=0,0,MAX(0,IF((AT$6-$E$3)&lt;1,0,IFERROR(LOOKUP(2,1/(Algodão!$E60:INDEX(Algodão!$E60:$Z60,MIN(AT$6-$E$3,22))&lt;&gt;""),Algodão!$E60:INDEX(Algodão!$E60:$Z60,MIN(AT$6-$E$3,22))),0))-IF($G$2,0,IF((AT$6-$G$3)&lt;1,0,IFERROR(LOOKUP(2,1/(Algodão!$E60:INDEX(Algodão!$E60:$Z60,MIN(AT$6-$G$3,22))&lt;&gt;""),Algodão!$E60:INDEX(Algodão!$E60:$Z60,MIN(AT$6-$G$3,22))),0)))))</f>
        <v>0</v>
      </c>
      <c r="AU62" s="27" t="n">
        <f aca="false">IF(COUNT(Algodão!$E60:$Z60)=0,0,MAX(0,IF((AU$6-$E$3)&lt;1,0,IFERROR(LOOKUP(2,1/(Algodão!$E60:INDEX(Algodão!$E60:$Z60,MIN(AU$6-$E$3,22))&lt;&gt;""),Algodão!$E60:INDEX(Algodão!$E60:$Z60,MIN(AU$6-$E$3,22))),0))-IF($G$2,0,IF((AU$6-$G$3)&lt;1,0,IFERROR(LOOKUP(2,1/(Algodão!$E60:INDEX(Algodão!$E60:$Z60,MIN(AU$6-$G$3,22))&lt;&gt;""),Algodão!$E60:INDEX(Algodão!$E60:$Z60,MIN(AU$6-$G$3,22))),0)))))</f>
        <v>0</v>
      </c>
      <c r="AV62" s="27" t="n">
        <f aca="false">IF(COUNT(Algodão!$E60:$Z60)=0,0,MAX(0,IF((AV$6-$E$3)&lt;1,0,IFERROR(LOOKUP(2,1/(Algodão!$E60:INDEX(Algodão!$E60:$Z60,MIN(AV$6-$E$3,22))&lt;&gt;""),Algodão!$E60:INDEX(Algodão!$E60:$Z60,MIN(AV$6-$E$3,22))),0))-IF($G$2,0,IF((AV$6-$G$3)&lt;1,0,IFERROR(LOOKUP(2,1/(Algodão!$E60:INDEX(Algodão!$E60:$Z60,MIN(AV$6-$G$3,22))&lt;&gt;""),Algodão!$E60:INDEX(Algodão!$E60:$Z60,MIN(AV$6-$G$3,22))),0)))))</f>
        <v>0</v>
      </c>
      <c r="AW62" s="27" t="n">
        <f aca="false">IF(COUNT(Algodão!$E60:$Z60)=0,0,MAX(0,IF((AW$6-$E$3)&lt;1,0,IFERROR(LOOKUP(2,1/(Algodão!$E60:INDEX(Algodão!$E60:$Z60,MIN(AW$6-$E$3,22))&lt;&gt;""),Algodão!$E60:INDEX(Algodão!$E60:$Z60,MIN(AW$6-$E$3,22))),0))-IF($G$2,0,IF((AW$6-$G$3)&lt;1,0,IFERROR(LOOKUP(2,1/(Algodão!$E60:INDEX(Algodão!$E60:$Z60,MIN(AW$6-$G$3,22))&lt;&gt;""),Algodão!$E60:INDEX(Algodão!$E60:$Z60,MIN(AW$6-$G$3,22))),0)))))</f>
        <v>0</v>
      </c>
      <c r="AX62" s="27" t="n">
        <f aca="false">IF(COUNT(Algodão!$E60:$Z60)=0,0,MAX(0,IF((AX$6-$E$3)&lt;1,0,IFERROR(LOOKUP(2,1/(Algodão!$E60:INDEX(Algodão!$E60:$Z60,MIN(AX$6-$E$3,22))&lt;&gt;""),Algodão!$E60:INDEX(Algodão!$E60:$Z60,MIN(AX$6-$E$3,22))),0))-IF($G$2,0,IF((AX$6-$G$3)&lt;1,0,IFERROR(LOOKUP(2,1/(Algodão!$E60:INDEX(Algodão!$E60:$Z60,MIN(AX$6-$G$3,22))&lt;&gt;""),Algodão!$E60:INDEX(Algodão!$E60:$Z60,MIN(AX$6-$G$3,22))),0)))))</f>
        <v>0</v>
      </c>
      <c r="AY62" s="27" t="n">
        <f aca="false">IF(COUNT(Algodão!$E60:$Z60)=0,0,MAX(0,IF((AY$6-$E$3)&lt;1,0,IFERROR(LOOKUP(2,1/(Algodão!$E60:INDEX(Algodão!$E60:$Z60,MIN(AY$6-$E$3,22))&lt;&gt;""),Algodão!$E60:INDEX(Algodão!$E60:$Z60,MIN(AY$6-$E$3,22))),0))-IF($G$2,0,IF((AY$6-$G$3)&lt;1,0,IFERROR(LOOKUP(2,1/(Algodão!$E60:INDEX(Algodão!$E60:$Z60,MIN(AY$6-$G$3,22))&lt;&gt;""),Algodão!$E60:INDEX(Algodão!$E60:$Z60,MIN(AY$6-$G$3,22))),0)))))</f>
        <v>0</v>
      </c>
      <c r="AZ62" s="27" t="n">
        <f aca="false">IF(COUNT(Algodão!$E60:$Z60)=0,0,MAX(0,IF((AZ$6-$E$3)&lt;1,0,IFERROR(LOOKUP(2,1/(Algodão!$E60:INDEX(Algodão!$E60:$Z60,MIN(AZ$6-$E$3,22))&lt;&gt;""),Algodão!$E60:INDEX(Algodão!$E60:$Z60,MIN(AZ$6-$E$3,22))),0))-IF($G$2,0,IF((AZ$6-$G$3)&lt;1,0,IFERROR(LOOKUP(2,1/(Algodão!$E60:INDEX(Algodão!$E60:$Z60,MIN(AZ$6-$G$3,22))&lt;&gt;""),Algodão!$E60:INDEX(Algodão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IF(COUNT(Algodão!$E61:$Z61)&gt;0,N(Algodão!$D61),0)</f>
        <v>0</v>
      </c>
      <c r="E63" s="27" t="n">
        <f aca="false">IF(COUNT(Algodão!$E61:$Z61)=0,0,MAX(0,IF((E$6-$E$3)&lt;1,0,IFERROR(LOOKUP(2,1/(Algodão!$E61:INDEX(Algodão!$E61:$Z61,MIN(E$6-$E$3,22))&lt;&gt;""),Algodão!$E61:INDEX(Algodão!$E61:$Z61,MIN(E$6-$E$3,22))),0))-IF($G$2,0,IF((E$6-$G$3)&lt;1,0,IFERROR(LOOKUP(2,1/(Algodão!$E61:INDEX(Algodão!$E61:$Z61,MIN(E$6-$G$3,22))&lt;&gt;""),Algodão!$E61:INDEX(Algodão!$E61:$Z61,MIN(E$6-$G$3,22))),0)))))</f>
        <v>0</v>
      </c>
      <c r="F63" s="27" t="n">
        <f aca="false">IF(COUNT(Algodão!$E61:$Z61)=0,0,MAX(0,IF((F$6-$E$3)&lt;1,0,IFERROR(LOOKUP(2,1/(Algodão!$E61:INDEX(Algodão!$E61:$Z61,MIN(F$6-$E$3,22))&lt;&gt;""),Algodão!$E61:INDEX(Algodão!$E61:$Z61,MIN(F$6-$E$3,22))),0))-IF($G$2,0,IF((F$6-$G$3)&lt;1,0,IFERROR(LOOKUP(2,1/(Algodão!$E61:INDEX(Algodão!$E61:$Z61,MIN(F$6-$G$3,22))&lt;&gt;""),Algodão!$E61:INDEX(Algodão!$E61:$Z61,MIN(F$6-$G$3,22))),0)))))</f>
        <v>0</v>
      </c>
      <c r="G63" s="27" t="n">
        <f aca="false">IF(COUNT(Algodão!$E61:$Z61)=0,0,MAX(0,IF((G$6-$E$3)&lt;1,0,IFERROR(LOOKUP(2,1/(Algodão!$E61:INDEX(Algodão!$E61:$Z61,MIN(G$6-$E$3,22))&lt;&gt;""),Algodão!$E61:INDEX(Algodão!$E61:$Z61,MIN(G$6-$E$3,22))),0))-IF($G$2,0,IF((G$6-$G$3)&lt;1,0,IFERROR(LOOKUP(2,1/(Algodão!$E61:INDEX(Algodão!$E61:$Z61,MIN(G$6-$G$3,22))&lt;&gt;""),Algodão!$E61:INDEX(Algodão!$E61:$Z61,MIN(G$6-$G$3,22))),0)))))</f>
        <v>0</v>
      </c>
      <c r="H63" s="27" t="n">
        <f aca="false">IF(COUNT(Algodão!$E61:$Z61)=0,0,MAX(0,IF((H$6-$E$3)&lt;1,0,IFERROR(LOOKUP(2,1/(Algodão!$E61:INDEX(Algodão!$E61:$Z61,MIN(H$6-$E$3,22))&lt;&gt;""),Algodão!$E61:INDEX(Algodão!$E61:$Z61,MIN(H$6-$E$3,22))),0))-IF($G$2,0,IF((H$6-$G$3)&lt;1,0,IFERROR(LOOKUP(2,1/(Algodão!$E61:INDEX(Algodão!$E61:$Z61,MIN(H$6-$G$3,22))&lt;&gt;""),Algodão!$E61:INDEX(Algodão!$E61:$Z61,MIN(H$6-$G$3,22))),0)))))</f>
        <v>0</v>
      </c>
      <c r="I63" s="27" t="n">
        <f aca="false">IF(COUNT(Algodão!$E61:$Z61)=0,0,MAX(0,IF((I$6-$E$3)&lt;1,0,IFERROR(LOOKUP(2,1/(Algodão!$E61:INDEX(Algodão!$E61:$Z61,MIN(I$6-$E$3,22))&lt;&gt;""),Algodão!$E61:INDEX(Algodão!$E61:$Z61,MIN(I$6-$E$3,22))),0))-IF($G$2,0,IF((I$6-$G$3)&lt;1,0,IFERROR(LOOKUP(2,1/(Algodão!$E61:INDEX(Algodão!$E61:$Z61,MIN(I$6-$G$3,22))&lt;&gt;""),Algodão!$E61:INDEX(Algodão!$E61:$Z61,MIN(I$6-$G$3,22))),0)))))</f>
        <v>0</v>
      </c>
      <c r="J63" s="27" t="n">
        <f aca="false">IF(COUNT(Algodão!$E61:$Z61)=0,0,MAX(0,IF((J$6-$E$3)&lt;1,0,IFERROR(LOOKUP(2,1/(Algodão!$E61:INDEX(Algodão!$E61:$Z61,MIN(J$6-$E$3,22))&lt;&gt;""),Algodão!$E61:INDEX(Algodão!$E61:$Z61,MIN(J$6-$E$3,22))),0))-IF($G$2,0,IF((J$6-$G$3)&lt;1,0,IFERROR(LOOKUP(2,1/(Algodão!$E61:INDEX(Algodão!$E61:$Z61,MIN(J$6-$G$3,22))&lt;&gt;""),Algodão!$E61:INDEX(Algodão!$E61:$Z61,MIN(J$6-$G$3,22))),0)))))</f>
        <v>0</v>
      </c>
      <c r="K63" s="27" t="n">
        <f aca="false">IF(COUNT(Algodão!$E61:$Z61)=0,0,MAX(0,IF((K$6-$E$3)&lt;1,0,IFERROR(LOOKUP(2,1/(Algodão!$E61:INDEX(Algodão!$E61:$Z61,MIN(K$6-$E$3,22))&lt;&gt;""),Algodão!$E61:INDEX(Algodão!$E61:$Z61,MIN(K$6-$E$3,22))),0))-IF($G$2,0,IF((K$6-$G$3)&lt;1,0,IFERROR(LOOKUP(2,1/(Algodão!$E61:INDEX(Algodão!$E61:$Z61,MIN(K$6-$G$3,22))&lt;&gt;""),Algodão!$E61:INDEX(Algodão!$E61:$Z61,MIN(K$6-$G$3,22))),0)))))</f>
        <v>0</v>
      </c>
      <c r="L63" s="27" t="n">
        <f aca="false">IF(COUNT(Algodão!$E61:$Z61)=0,0,MAX(0,IF((L$6-$E$3)&lt;1,0,IFERROR(LOOKUP(2,1/(Algodão!$E61:INDEX(Algodão!$E61:$Z61,MIN(L$6-$E$3,22))&lt;&gt;""),Algodão!$E61:INDEX(Algodão!$E61:$Z61,MIN(L$6-$E$3,22))),0))-IF($G$2,0,IF((L$6-$G$3)&lt;1,0,IFERROR(LOOKUP(2,1/(Algodão!$E61:INDEX(Algodão!$E61:$Z61,MIN(L$6-$G$3,22))&lt;&gt;""),Algodão!$E61:INDEX(Algodão!$E61:$Z61,MIN(L$6-$G$3,22))),0)))))</f>
        <v>0</v>
      </c>
      <c r="M63" s="27" t="n">
        <f aca="false">IF(COUNT(Algodão!$E61:$Z61)=0,0,MAX(0,IF((M$6-$E$3)&lt;1,0,IFERROR(LOOKUP(2,1/(Algodão!$E61:INDEX(Algodão!$E61:$Z61,MIN(M$6-$E$3,22))&lt;&gt;""),Algodão!$E61:INDEX(Algodão!$E61:$Z61,MIN(M$6-$E$3,22))),0))-IF($G$2,0,IF((M$6-$G$3)&lt;1,0,IFERROR(LOOKUP(2,1/(Algodão!$E61:INDEX(Algodão!$E61:$Z61,MIN(M$6-$G$3,22))&lt;&gt;""),Algodão!$E61:INDEX(Algodão!$E61:$Z61,MIN(M$6-$G$3,22))),0)))))</f>
        <v>0</v>
      </c>
      <c r="N63" s="27" t="n">
        <f aca="false">IF(COUNT(Algodão!$E61:$Z61)=0,0,MAX(0,IF((N$6-$E$3)&lt;1,0,IFERROR(LOOKUP(2,1/(Algodão!$E61:INDEX(Algodão!$E61:$Z61,MIN(N$6-$E$3,22))&lt;&gt;""),Algodão!$E61:INDEX(Algodão!$E61:$Z61,MIN(N$6-$E$3,22))),0))-IF($G$2,0,IF((N$6-$G$3)&lt;1,0,IFERROR(LOOKUP(2,1/(Algodão!$E61:INDEX(Algodão!$E61:$Z61,MIN(N$6-$G$3,22))&lt;&gt;""),Algodão!$E61:INDEX(Algodão!$E61:$Z61,MIN(N$6-$G$3,22))),0)))))</f>
        <v>0</v>
      </c>
      <c r="O63" s="27" t="n">
        <f aca="false">IF(COUNT(Algodão!$E61:$Z61)=0,0,MAX(0,IF((O$6-$E$3)&lt;1,0,IFERROR(LOOKUP(2,1/(Algodão!$E61:INDEX(Algodão!$E61:$Z61,MIN(O$6-$E$3,22))&lt;&gt;""),Algodão!$E61:INDEX(Algodão!$E61:$Z61,MIN(O$6-$E$3,22))),0))-IF($G$2,0,IF((O$6-$G$3)&lt;1,0,IFERROR(LOOKUP(2,1/(Algodão!$E61:INDEX(Algodão!$E61:$Z61,MIN(O$6-$G$3,22))&lt;&gt;""),Algodão!$E61:INDEX(Algodão!$E61:$Z61,MIN(O$6-$G$3,22))),0)))))</f>
        <v>0</v>
      </c>
      <c r="P63" s="27" t="n">
        <f aca="false">IF(COUNT(Algodão!$E61:$Z61)=0,0,MAX(0,IF((P$6-$E$3)&lt;1,0,IFERROR(LOOKUP(2,1/(Algodão!$E61:INDEX(Algodão!$E61:$Z61,MIN(P$6-$E$3,22))&lt;&gt;""),Algodão!$E61:INDEX(Algodão!$E61:$Z61,MIN(P$6-$E$3,22))),0))-IF($G$2,0,IF((P$6-$G$3)&lt;1,0,IFERROR(LOOKUP(2,1/(Algodão!$E61:INDEX(Algodão!$E61:$Z61,MIN(P$6-$G$3,22))&lt;&gt;""),Algodão!$E61:INDEX(Algodão!$E61:$Z61,MIN(P$6-$G$3,22))),0)))))</f>
        <v>0</v>
      </c>
      <c r="Q63" s="27" t="n">
        <f aca="false">IF(COUNT(Algodão!$E61:$Z61)=0,0,MAX(0,IF((Q$6-$E$3)&lt;1,0,IFERROR(LOOKUP(2,1/(Algodão!$E61:INDEX(Algodão!$E61:$Z61,MIN(Q$6-$E$3,22))&lt;&gt;""),Algodão!$E61:INDEX(Algodão!$E61:$Z61,MIN(Q$6-$E$3,22))),0))-IF($G$2,0,IF((Q$6-$G$3)&lt;1,0,IFERROR(LOOKUP(2,1/(Algodão!$E61:INDEX(Algodão!$E61:$Z61,MIN(Q$6-$G$3,22))&lt;&gt;""),Algodão!$E61:INDEX(Algodão!$E61:$Z61,MIN(Q$6-$G$3,22))),0)))))</f>
        <v>0</v>
      </c>
      <c r="R63" s="27" t="n">
        <f aca="false">IF(COUNT(Algodão!$E61:$Z61)=0,0,MAX(0,IF((R$6-$E$3)&lt;1,0,IFERROR(LOOKUP(2,1/(Algodão!$E61:INDEX(Algodão!$E61:$Z61,MIN(R$6-$E$3,22))&lt;&gt;""),Algodão!$E61:INDEX(Algodão!$E61:$Z61,MIN(R$6-$E$3,22))),0))-IF($G$2,0,IF((R$6-$G$3)&lt;1,0,IFERROR(LOOKUP(2,1/(Algodão!$E61:INDEX(Algodão!$E61:$Z61,MIN(R$6-$G$3,22))&lt;&gt;""),Algodão!$E61:INDEX(Algodão!$E61:$Z61,MIN(R$6-$G$3,22))),0)))))</f>
        <v>0</v>
      </c>
      <c r="S63" s="27" t="n">
        <f aca="false">IF(COUNT(Algodão!$E61:$Z61)=0,0,MAX(0,IF((S$6-$E$3)&lt;1,0,IFERROR(LOOKUP(2,1/(Algodão!$E61:INDEX(Algodão!$E61:$Z61,MIN(S$6-$E$3,22))&lt;&gt;""),Algodão!$E61:INDEX(Algodão!$E61:$Z61,MIN(S$6-$E$3,22))),0))-IF($G$2,0,IF((S$6-$G$3)&lt;1,0,IFERROR(LOOKUP(2,1/(Algodão!$E61:INDEX(Algodão!$E61:$Z61,MIN(S$6-$G$3,22))&lt;&gt;""),Algodão!$E61:INDEX(Algodão!$E61:$Z61,MIN(S$6-$G$3,22))),0)))))</f>
        <v>0</v>
      </c>
      <c r="T63" s="27" t="n">
        <f aca="false">IF(COUNT(Algodão!$E61:$Z61)=0,0,MAX(0,IF((T$6-$E$3)&lt;1,0,IFERROR(LOOKUP(2,1/(Algodão!$E61:INDEX(Algodão!$E61:$Z61,MIN(T$6-$E$3,22))&lt;&gt;""),Algodão!$E61:INDEX(Algodão!$E61:$Z61,MIN(T$6-$E$3,22))),0))-IF($G$2,0,IF((T$6-$G$3)&lt;1,0,IFERROR(LOOKUP(2,1/(Algodão!$E61:INDEX(Algodão!$E61:$Z61,MIN(T$6-$G$3,22))&lt;&gt;""),Algodão!$E61:INDEX(Algodão!$E61:$Z61,MIN(T$6-$G$3,22))),0)))))</f>
        <v>0</v>
      </c>
      <c r="U63" s="27" t="n">
        <f aca="false">IF(COUNT(Algodão!$E61:$Z61)=0,0,MAX(0,IF((U$6-$E$3)&lt;1,0,IFERROR(LOOKUP(2,1/(Algodão!$E61:INDEX(Algodão!$E61:$Z61,MIN(U$6-$E$3,22))&lt;&gt;""),Algodão!$E61:INDEX(Algodão!$E61:$Z61,MIN(U$6-$E$3,22))),0))-IF($G$2,0,IF((U$6-$G$3)&lt;1,0,IFERROR(LOOKUP(2,1/(Algodão!$E61:INDEX(Algodão!$E61:$Z61,MIN(U$6-$G$3,22))&lt;&gt;""),Algodão!$E61:INDEX(Algodão!$E61:$Z61,MIN(U$6-$G$3,22))),0)))))</f>
        <v>0</v>
      </c>
      <c r="V63" s="27" t="n">
        <f aca="false">IF(COUNT(Algodão!$E61:$Z61)=0,0,MAX(0,IF((V$6-$E$3)&lt;1,0,IFERROR(LOOKUP(2,1/(Algodão!$E61:INDEX(Algodão!$E61:$Z61,MIN(V$6-$E$3,22))&lt;&gt;""),Algodão!$E61:INDEX(Algodão!$E61:$Z61,MIN(V$6-$E$3,22))),0))-IF($G$2,0,IF((V$6-$G$3)&lt;1,0,IFERROR(LOOKUP(2,1/(Algodão!$E61:INDEX(Algodão!$E61:$Z61,MIN(V$6-$G$3,22))&lt;&gt;""),Algodão!$E61:INDEX(Algodão!$E61:$Z61,MIN(V$6-$G$3,22))),0)))))</f>
        <v>0</v>
      </c>
      <c r="W63" s="27" t="n">
        <f aca="false">IF(COUNT(Algodão!$E61:$Z61)=0,0,MAX(0,IF((W$6-$E$3)&lt;1,0,IFERROR(LOOKUP(2,1/(Algodão!$E61:INDEX(Algodão!$E61:$Z61,MIN(W$6-$E$3,22))&lt;&gt;""),Algodão!$E61:INDEX(Algodão!$E61:$Z61,MIN(W$6-$E$3,22))),0))-IF($G$2,0,IF((W$6-$G$3)&lt;1,0,IFERROR(LOOKUP(2,1/(Algodão!$E61:INDEX(Algodão!$E61:$Z61,MIN(W$6-$G$3,22))&lt;&gt;""),Algodão!$E61:INDEX(Algodão!$E61:$Z61,MIN(W$6-$G$3,22))),0)))))</f>
        <v>0</v>
      </c>
      <c r="X63" s="27" t="n">
        <f aca="false">IF(COUNT(Algodão!$E61:$Z61)=0,0,MAX(0,IF((X$6-$E$3)&lt;1,0,IFERROR(LOOKUP(2,1/(Algodão!$E61:INDEX(Algodão!$E61:$Z61,MIN(X$6-$E$3,22))&lt;&gt;""),Algodão!$E61:INDEX(Algodão!$E61:$Z61,MIN(X$6-$E$3,22))),0))-IF($G$2,0,IF((X$6-$G$3)&lt;1,0,IFERROR(LOOKUP(2,1/(Algodão!$E61:INDEX(Algodão!$E61:$Z61,MIN(X$6-$G$3,22))&lt;&gt;""),Algodão!$E61:INDEX(Algodão!$E61:$Z61,MIN(X$6-$G$3,22))),0)))))</f>
        <v>0</v>
      </c>
      <c r="Y63" s="27" t="n">
        <f aca="false">IF(COUNT(Algodão!$E61:$Z61)=0,0,MAX(0,IF((Y$6-$E$3)&lt;1,0,IFERROR(LOOKUP(2,1/(Algodão!$E61:INDEX(Algodão!$E61:$Z61,MIN(Y$6-$E$3,22))&lt;&gt;""),Algodão!$E61:INDEX(Algodão!$E61:$Z61,MIN(Y$6-$E$3,22))),0))-IF($G$2,0,IF((Y$6-$G$3)&lt;1,0,IFERROR(LOOKUP(2,1/(Algodão!$E61:INDEX(Algodão!$E61:$Z61,MIN(Y$6-$G$3,22))&lt;&gt;""),Algodão!$E61:INDEX(Algodão!$E61:$Z61,MIN(Y$6-$G$3,22))),0)))))</f>
        <v>0</v>
      </c>
      <c r="Z63" s="27" t="n">
        <f aca="false">IF(COUNT(Algodão!$E61:$Z61)=0,0,MAX(0,IF((Z$6-$E$3)&lt;1,0,IFERROR(LOOKUP(2,1/(Algodão!$E61:INDEX(Algodão!$E61:$Z61,MIN(Z$6-$E$3,22))&lt;&gt;""),Algodão!$E61:INDEX(Algodão!$E61:$Z61,MIN(Z$6-$E$3,22))),0))-IF($G$2,0,IF((Z$6-$G$3)&lt;1,0,IFERROR(LOOKUP(2,1/(Algodão!$E61:INDEX(Algodão!$E61:$Z61,MIN(Z$6-$G$3,22))&lt;&gt;""),Algodão!$E61:INDEX(Algodão!$E61:$Z61,MIN(Z$6-$G$3,22))),0)))))</f>
        <v>0</v>
      </c>
      <c r="AA63" s="27" t="n">
        <f aca="false">IF(COUNT(Algodão!$E61:$Z61)=0,0,MAX(0,IF((AA$6-$E$3)&lt;1,0,IFERROR(LOOKUP(2,1/(Algodão!$E61:INDEX(Algodão!$E61:$Z61,MIN(AA$6-$E$3,22))&lt;&gt;""),Algodão!$E61:INDEX(Algodão!$E61:$Z61,MIN(AA$6-$E$3,22))),0))-IF($G$2,0,IF((AA$6-$G$3)&lt;1,0,IFERROR(LOOKUP(2,1/(Algodão!$E61:INDEX(Algodão!$E61:$Z61,MIN(AA$6-$G$3,22))&lt;&gt;""),Algodão!$E61:INDEX(Algodão!$E61:$Z61,MIN(AA$6-$G$3,22))),0)))))</f>
        <v>0</v>
      </c>
      <c r="AB63" s="27" t="n">
        <f aca="false">IF(COUNT(Algodão!$E61:$Z61)=0,0,MAX(0,IF((AB$6-$E$3)&lt;1,0,IFERROR(LOOKUP(2,1/(Algodão!$E61:INDEX(Algodão!$E61:$Z61,MIN(AB$6-$E$3,22))&lt;&gt;""),Algodão!$E61:INDEX(Algodão!$E61:$Z61,MIN(AB$6-$E$3,22))),0))-IF($G$2,0,IF((AB$6-$G$3)&lt;1,0,IFERROR(LOOKUP(2,1/(Algodão!$E61:INDEX(Algodão!$E61:$Z61,MIN(AB$6-$G$3,22))&lt;&gt;""),Algodão!$E61:INDEX(Algodão!$E61:$Z61,MIN(AB$6-$G$3,22))),0)))))</f>
        <v>0</v>
      </c>
      <c r="AC63" s="27" t="n">
        <f aca="false">IF(COUNT(Algodão!$E61:$Z61)=0,0,MAX(0,IF((AC$6-$E$3)&lt;1,0,IFERROR(LOOKUP(2,1/(Algodão!$E61:INDEX(Algodão!$E61:$Z61,MIN(AC$6-$E$3,22))&lt;&gt;""),Algodão!$E61:INDEX(Algodão!$E61:$Z61,MIN(AC$6-$E$3,22))),0))-IF($G$2,0,IF((AC$6-$G$3)&lt;1,0,IFERROR(LOOKUP(2,1/(Algodão!$E61:INDEX(Algodão!$E61:$Z61,MIN(AC$6-$G$3,22))&lt;&gt;""),Algodão!$E61:INDEX(Algodão!$E61:$Z61,MIN(AC$6-$G$3,22))),0)))))</f>
        <v>0</v>
      </c>
      <c r="AD63" s="27" t="n">
        <f aca="false">IF(COUNT(Algodão!$E61:$Z61)=0,0,MAX(0,IF((AD$6-$E$3)&lt;1,0,IFERROR(LOOKUP(2,1/(Algodão!$E61:INDEX(Algodão!$E61:$Z61,MIN(AD$6-$E$3,22))&lt;&gt;""),Algodão!$E61:INDEX(Algodão!$E61:$Z61,MIN(AD$6-$E$3,22))),0))-IF($G$2,0,IF((AD$6-$G$3)&lt;1,0,IFERROR(LOOKUP(2,1/(Algodão!$E61:INDEX(Algodão!$E61:$Z61,MIN(AD$6-$G$3,22))&lt;&gt;""),Algodão!$E61:INDEX(Algodão!$E61:$Z61,MIN(AD$6-$G$3,22))),0)))))</f>
        <v>0</v>
      </c>
      <c r="AE63" s="27" t="n">
        <f aca="false">IF(COUNT(Algodão!$E61:$Z61)=0,0,MAX(0,IF((AE$6-$E$3)&lt;1,0,IFERROR(LOOKUP(2,1/(Algodão!$E61:INDEX(Algodão!$E61:$Z61,MIN(AE$6-$E$3,22))&lt;&gt;""),Algodão!$E61:INDEX(Algodão!$E61:$Z61,MIN(AE$6-$E$3,22))),0))-IF($G$2,0,IF((AE$6-$G$3)&lt;1,0,IFERROR(LOOKUP(2,1/(Algodão!$E61:INDEX(Algodão!$E61:$Z61,MIN(AE$6-$G$3,22))&lt;&gt;""),Algodão!$E61:INDEX(Algodão!$E61:$Z61,MIN(AE$6-$G$3,22))),0)))))</f>
        <v>0</v>
      </c>
      <c r="AF63" s="27" t="n">
        <f aca="false">IF(COUNT(Algodão!$E61:$Z61)=0,0,MAX(0,IF((AF$6-$E$3)&lt;1,0,IFERROR(LOOKUP(2,1/(Algodão!$E61:INDEX(Algodão!$E61:$Z61,MIN(AF$6-$E$3,22))&lt;&gt;""),Algodão!$E61:INDEX(Algodão!$E61:$Z61,MIN(AF$6-$E$3,22))),0))-IF($G$2,0,IF((AF$6-$G$3)&lt;1,0,IFERROR(LOOKUP(2,1/(Algodão!$E61:INDEX(Algodão!$E61:$Z61,MIN(AF$6-$G$3,22))&lt;&gt;""),Algodão!$E61:INDEX(Algodão!$E61:$Z61,MIN(AF$6-$G$3,22))),0)))))</f>
        <v>0</v>
      </c>
      <c r="AG63" s="27" t="n">
        <f aca="false">IF(COUNT(Algodão!$E61:$Z61)=0,0,MAX(0,IF((AG$6-$E$3)&lt;1,0,IFERROR(LOOKUP(2,1/(Algodão!$E61:INDEX(Algodão!$E61:$Z61,MIN(AG$6-$E$3,22))&lt;&gt;""),Algodão!$E61:INDEX(Algodão!$E61:$Z61,MIN(AG$6-$E$3,22))),0))-IF($G$2,0,IF((AG$6-$G$3)&lt;1,0,IFERROR(LOOKUP(2,1/(Algodão!$E61:INDEX(Algodão!$E61:$Z61,MIN(AG$6-$G$3,22))&lt;&gt;""),Algodão!$E61:INDEX(Algodão!$E61:$Z61,MIN(AG$6-$G$3,22))),0)))))</f>
        <v>0</v>
      </c>
      <c r="AH63" s="27" t="n">
        <f aca="false">IF(COUNT(Algodão!$E61:$Z61)=0,0,MAX(0,IF((AH$6-$E$3)&lt;1,0,IFERROR(LOOKUP(2,1/(Algodão!$E61:INDEX(Algodão!$E61:$Z61,MIN(AH$6-$E$3,22))&lt;&gt;""),Algodão!$E61:INDEX(Algodão!$E61:$Z61,MIN(AH$6-$E$3,22))),0))-IF($G$2,0,IF((AH$6-$G$3)&lt;1,0,IFERROR(LOOKUP(2,1/(Algodão!$E61:INDEX(Algodão!$E61:$Z61,MIN(AH$6-$G$3,22))&lt;&gt;""),Algodão!$E61:INDEX(Algodão!$E61:$Z61,MIN(AH$6-$G$3,22))),0)))))</f>
        <v>0</v>
      </c>
      <c r="AI63" s="27" t="n">
        <f aca="false">IF(COUNT(Algodão!$E61:$Z61)=0,0,MAX(0,IF((AI$6-$E$3)&lt;1,0,IFERROR(LOOKUP(2,1/(Algodão!$E61:INDEX(Algodão!$E61:$Z61,MIN(AI$6-$E$3,22))&lt;&gt;""),Algodão!$E61:INDEX(Algodão!$E61:$Z61,MIN(AI$6-$E$3,22))),0))-IF($G$2,0,IF((AI$6-$G$3)&lt;1,0,IFERROR(LOOKUP(2,1/(Algodão!$E61:INDEX(Algodão!$E61:$Z61,MIN(AI$6-$G$3,22))&lt;&gt;""),Algodão!$E61:INDEX(Algodão!$E61:$Z61,MIN(AI$6-$G$3,22))),0)))))</f>
        <v>0</v>
      </c>
      <c r="AJ63" s="27" t="n">
        <f aca="false">IF(COUNT(Algodão!$E61:$Z61)=0,0,MAX(0,IF((AJ$6-$E$3)&lt;1,0,IFERROR(LOOKUP(2,1/(Algodão!$E61:INDEX(Algodão!$E61:$Z61,MIN(AJ$6-$E$3,22))&lt;&gt;""),Algodão!$E61:INDEX(Algodão!$E61:$Z61,MIN(AJ$6-$E$3,22))),0))-IF($G$2,0,IF((AJ$6-$G$3)&lt;1,0,IFERROR(LOOKUP(2,1/(Algodão!$E61:INDEX(Algodão!$E61:$Z61,MIN(AJ$6-$G$3,22))&lt;&gt;""),Algodão!$E61:INDEX(Algodão!$E61:$Z61,MIN(AJ$6-$G$3,22))),0)))))</f>
        <v>0</v>
      </c>
      <c r="AK63" s="27" t="n">
        <f aca="false">IF(COUNT(Algodão!$E61:$Z61)=0,0,MAX(0,IF((AK$6-$E$3)&lt;1,0,IFERROR(LOOKUP(2,1/(Algodão!$E61:INDEX(Algodão!$E61:$Z61,MIN(AK$6-$E$3,22))&lt;&gt;""),Algodão!$E61:INDEX(Algodão!$E61:$Z61,MIN(AK$6-$E$3,22))),0))-IF($G$2,0,IF((AK$6-$G$3)&lt;1,0,IFERROR(LOOKUP(2,1/(Algodão!$E61:INDEX(Algodão!$E61:$Z61,MIN(AK$6-$G$3,22))&lt;&gt;""),Algodão!$E61:INDEX(Algodão!$E61:$Z61,MIN(AK$6-$G$3,22))),0)))))</f>
        <v>0</v>
      </c>
      <c r="AL63" s="27" t="n">
        <f aca="false">IF(COUNT(Algodão!$E61:$Z61)=0,0,MAX(0,IF((AL$6-$E$3)&lt;1,0,IFERROR(LOOKUP(2,1/(Algodão!$E61:INDEX(Algodão!$E61:$Z61,MIN(AL$6-$E$3,22))&lt;&gt;""),Algodão!$E61:INDEX(Algodão!$E61:$Z61,MIN(AL$6-$E$3,22))),0))-IF($G$2,0,IF((AL$6-$G$3)&lt;1,0,IFERROR(LOOKUP(2,1/(Algodão!$E61:INDEX(Algodão!$E61:$Z61,MIN(AL$6-$G$3,22))&lt;&gt;""),Algodão!$E61:INDEX(Algodão!$E61:$Z61,MIN(AL$6-$G$3,22))),0)))))</f>
        <v>0</v>
      </c>
      <c r="AM63" s="27" t="n">
        <f aca="false">IF(COUNT(Algodão!$E61:$Z61)=0,0,MAX(0,IF((AM$6-$E$3)&lt;1,0,IFERROR(LOOKUP(2,1/(Algodão!$E61:INDEX(Algodão!$E61:$Z61,MIN(AM$6-$E$3,22))&lt;&gt;""),Algodão!$E61:INDEX(Algodão!$E61:$Z61,MIN(AM$6-$E$3,22))),0))-IF($G$2,0,IF((AM$6-$G$3)&lt;1,0,IFERROR(LOOKUP(2,1/(Algodão!$E61:INDEX(Algodão!$E61:$Z61,MIN(AM$6-$G$3,22))&lt;&gt;""),Algodão!$E61:INDEX(Algodão!$E61:$Z61,MIN(AM$6-$G$3,22))),0)))))</f>
        <v>0</v>
      </c>
      <c r="AN63" s="27" t="n">
        <f aca="false">IF(COUNT(Algodão!$E61:$Z61)=0,0,MAX(0,IF((AN$6-$E$3)&lt;1,0,IFERROR(LOOKUP(2,1/(Algodão!$E61:INDEX(Algodão!$E61:$Z61,MIN(AN$6-$E$3,22))&lt;&gt;""),Algodão!$E61:INDEX(Algodão!$E61:$Z61,MIN(AN$6-$E$3,22))),0))-IF($G$2,0,IF((AN$6-$G$3)&lt;1,0,IFERROR(LOOKUP(2,1/(Algodão!$E61:INDEX(Algodão!$E61:$Z61,MIN(AN$6-$G$3,22))&lt;&gt;""),Algodão!$E61:INDEX(Algodão!$E61:$Z61,MIN(AN$6-$G$3,22))),0)))))</f>
        <v>0</v>
      </c>
      <c r="AO63" s="27" t="n">
        <f aca="false">IF(COUNT(Algodão!$E61:$Z61)=0,0,MAX(0,IF((AO$6-$E$3)&lt;1,0,IFERROR(LOOKUP(2,1/(Algodão!$E61:INDEX(Algodão!$E61:$Z61,MIN(AO$6-$E$3,22))&lt;&gt;""),Algodão!$E61:INDEX(Algodão!$E61:$Z61,MIN(AO$6-$E$3,22))),0))-IF($G$2,0,IF((AO$6-$G$3)&lt;1,0,IFERROR(LOOKUP(2,1/(Algodão!$E61:INDEX(Algodão!$E61:$Z61,MIN(AO$6-$G$3,22))&lt;&gt;""),Algodão!$E61:INDEX(Algodão!$E61:$Z61,MIN(AO$6-$G$3,22))),0)))))</f>
        <v>0</v>
      </c>
      <c r="AP63" s="27" t="n">
        <f aca="false">IF(COUNT(Algodão!$E61:$Z61)=0,0,MAX(0,IF((AP$6-$E$3)&lt;1,0,IFERROR(LOOKUP(2,1/(Algodão!$E61:INDEX(Algodão!$E61:$Z61,MIN(AP$6-$E$3,22))&lt;&gt;""),Algodão!$E61:INDEX(Algodão!$E61:$Z61,MIN(AP$6-$E$3,22))),0))-IF($G$2,0,IF((AP$6-$G$3)&lt;1,0,IFERROR(LOOKUP(2,1/(Algodão!$E61:INDEX(Algodão!$E61:$Z61,MIN(AP$6-$G$3,22))&lt;&gt;""),Algodão!$E61:INDEX(Algodão!$E61:$Z61,MIN(AP$6-$G$3,22))),0)))))</f>
        <v>0</v>
      </c>
      <c r="AQ63" s="27" t="n">
        <f aca="false">IF(COUNT(Algodão!$E61:$Z61)=0,0,MAX(0,IF((AQ$6-$E$3)&lt;1,0,IFERROR(LOOKUP(2,1/(Algodão!$E61:INDEX(Algodão!$E61:$Z61,MIN(AQ$6-$E$3,22))&lt;&gt;""),Algodão!$E61:INDEX(Algodão!$E61:$Z61,MIN(AQ$6-$E$3,22))),0))-IF($G$2,0,IF((AQ$6-$G$3)&lt;1,0,IFERROR(LOOKUP(2,1/(Algodão!$E61:INDEX(Algodão!$E61:$Z61,MIN(AQ$6-$G$3,22))&lt;&gt;""),Algodão!$E61:INDEX(Algodão!$E61:$Z61,MIN(AQ$6-$G$3,22))),0)))))</f>
        <v>0</v>
      </c>
      <c r="AR63" s="27" t="n">
        <f aca="false">IF(COUNT(Algodão!$E61:$Z61)=0,0,MAX(0,IF((AR$6-$E$3)&lt;1,0,IFERROR(LOOKUP(2,1/(Algodão!$E61:INDEX(Algodão!$E61:$Z61,MIN(AR$6-$E$3,22))&lt;&gt;""),Algodão!$E61:INDEX(Algodão!$E61:$Z61,MIN(AR$6-$E$3,22))),0))-IF($G$2,0,IF((AR$6-$G$3)&lt;1,0,IFERROR(LOOKUP(2,1/(Algodão!$E61:INDEX(Algodão!$E61:$Z61,MIN(AR$6-$G$3,22))&lt;&gt;""),Algodão!$E61:INDEX(Algodão!$E61:$Z61,MIN(AR$6-$G$3,22))),0)))))</f>
        <v>0</v>
      </c>
      <c r="AS63" s="27" t="n">
        <f aca="false">IF(COUNT(Algodão!$E61:$Z61)=0,0,MAX(0,IF((AS$6-$E$3)&lt;1,0,IFERROR(LOOKUP(2,1/(Algodão!$E61:INDEX(Algodão!$E61:$Z61,MIN(AS$6-$E$3,22))&lt;&gt;""),Algodão!$E61:INDEX(Algodão!$E61:$Z61,MIN(AS$6-$E$3,22))),0))-IF($G$2,0,IF((AS$6-$G$3)&lt;1,0,IFERROR(LOOKUP(2,1/(Algodão!$E61:INDEX(Algodão!$E61:$Z61,MIN(AS$6-$G$3,22))&lt;&gt;""),Algodão!$E61:INDEX(Algodão!$E61:$Z61,MIN(AS$6-$G$3,22))),0)))))</f>
        <v>0</v>
      </c>
      <c r="AT63" s="27" t="n">
        <f aca="false">IF(COUNT(Algodão!$E61:$Z61)=0,0,MAX(0,IF((AT$6-$E$3)&lt;1,0,IFERROR(LOOKUP(2,1/(Algodão!$E61:INDEX(Algodão!$E61:$Z61,MIN(AT$6-$E$3,22))&lt;&gt;""),Algodão!$E61:INDEX(Algodão!$E61:$Z61,MIN(AT$6-$E$3,22))),0))-IF($G$2,0,IF((AT$6-$G$3)&lt;1,0,IFERROR(LOOKUP(2,1/(Algodão!$E61:INDEX(Algodão!$E61:$Z61,MIN(AT$6-$G$3,22))&lt;&gt;""),Algodão!$E61:INDEX(Algodão!$E61:$Z61,MIN(AT$6-$G$3,22))),0)))))</f>
        <v>0</v>
      </c>
      <c r="AU63" s="27" t="n">
        <f aca="false">IF(COUNT(Algodão!$E61:$Z61)=0,0,MAX(0,IF((AU$6-$E$3)&lt;1,0,IFERROR(LOOKUP(2,1/(Algodão!$E61:INDEX(Algodão!$E61:$Z61,MIN(AU$6-$E$3,22))&lt;&gt;""),Algodão!$E61:INDEX(Algodão!$E61:$Z61,MIN(AU$6-$E$3,22))),0))-IF($G$2,0,IF((AU$6-$G$3)&lt;1,0,IFERROR(LOOKUP(2,1/(Algodão!$E61:INDEX(Algodão!$E61:$Z61,MIN(AU$6-$G$3,22))&lt;&gt;""),Algodão!$E61:INDEX(Algodão!$E61:$Z61,MIN(AU$6-$G$3,22))),0)))))</f>
        <v>0</v>
      </c>
      <c r="AV63" s="27" t="n">
        <f aca="false">IF(COUNT(Algodão!$E61:$Z61)=0,0,MAX(0,IF((AV$6-$E$3)&lt;1,0,IFERROR(LOOKUP(2,1/(Algodão!$E61:INDEX(Algodão!$E61:$Z61,MIN(AV$6-$E$3,22))&lt;&gt;""),Algodão!$E61:INDEX(Algodão!$E61:$Z61,MIN(AV$6-$E$3,22))),0))-IF($G$2,0,IF((AV$6-$G$3)&lt;1,0,IFERROR(LOOKUP(2,1/(Algodão!$E61:INDEX(Algodão!$E61:$Z61,MIN(AV$6-$G$3,22))&lt;&gt;""),Algodão!$E61:INDEX(Algodão!$E61:$Z61,MIN(AV$6-$G$3,22))),0)))))</f>
        <v>0</v>
      </c>
      <c r="AW63" s="27" t="n">
        <f aca="false">IF(COUNT(Algodão!$E61:$Z61)=0,0,MAX(0,IF((AW$6-$E$3)&lt;1,0,IFERROR(LOOKUP(2,1/(Algodão!$E61:INDEX(Algodão!$E61:$Z61,MIN(AW$6-$E$3,22))&lt;&gt;""),Algodão!$E61:INDEX(Algodão!$E61:$Z61,MIN(AW$6-$E$3,22))),0))-IF($G$2,0,IF((AW$6-$G$3)&lt;1,0,IFERROR(LOOKUP(2,1/(Algodão!$E61:INDEX(Algodão!$E61:$Z61,MIN(AW$6-$G$3,22))&lt;&gt;""),Algodão!$E61:INDEX(Algodão!$E61:$Z61,MIN(AW$6-$G$3,22))),0)))))</f>
        <v>0</v>
      </c>
      <c r="AX63" s="27" t="n">
        <f aca="false">IF(COUNT(Algodão!$E61:$Z61)=0,0,MAX(0,IF((AX$6-$E$3)&lt;1,0,IFERROR(LOOKUP(2,1/(Algodão!$E61:INDEX(Algodão!$E61:$Z61,MIN(AX$6-$E$3,22))&lt;&gt;""),Algodão!$E61:INDEX(Algodão!$E61:$Z61,MIN(AX$6-$E$3,22))),0))-IF($G$2,0,IF((AX$6-$G$3)&lt;1,0,IFERROR(LOOKUP(2,1/(Algodão!$E61:INDEX(Algodão!$E61:$Z61,MIN(AX$6-$G$3,22))&lt;&gt;""),Algodão!$E61:INDEX(Algodão!$E61:$Z61,MIN(AX$6-$G$3,22))),0)))))</f>
        <v>0</v>
      </c>
      <c r="AY63" s="27" t="n">
        <f aca="false">IF(COUNT(Algodão!$E61:$Z61)=0,0,MAX(0,IF((AY$6-$E$3)&lt;1,0,IFERROR(LOOKUP(2,1/(Algodão!$E61:INDEX(Algodão!$E61:$Z61,MIN(AY$6-$E$3,22))&lt;&gt;""),Algodão!$E61:INDEX(Algodão!$E61:$Z61,MIN(AY$6-$E$3,22))),0))-IF($G$2,0,IF((AY$6-$G$3)&lt;1,0,IFERROR(LOOKUP(2,1/(Algodão!$E61:INDEX(Algodão!$E61:$Z61,MIN(AY$6-$G$3,22))&lt;&gt;""),Algodão!$E61:INDEX(Algodão!$E61:$Z61,MIN(AY$6-$G$3,22))),0)))))</f>
        <v>0</v>
      </c>
      <c r="AZ63" s="27" t="n">
        <f aca="false">IF(COUNT(Algodão!$E61:$Z61)=0,0,MAX(0,IF((AZ$6-$E$3)&lt;1,0,IFERROR(LOOKUP(2,1/(Algodão!$E61:INDEX(Algodão!$E61:$Z61,MIN(AZ$6-$E$3,22))&lt;&gt;""),Algodão!$E61:INDEX(Algodão!$E61:$Z61,MIN(AZ$6-$E$3,22))),0))-IF($G$2,0,IF((AZ$6-$G$3)&lt;1,0,IFERROR(LOOKUP(2,1/(Algodão!$E61:INDEX(Algodão!$E61:$Z61,MIN(AZ$6-$G$3,22))&lt;&gt;""),Algodão!$E61:INDEX(Algodão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IF(COUNT(Algodão!$E62:$Z62)&gt;0,N(Algodão!$D62),0)</f>
        <v>0</v>
      </c>
      <c r="E64" s="27" t="n">
        <f aca="false">IF(COUNT(Algodão!$E62:$Z62)=0,0,MAX(0,IF((E$6-$E$3)&lt;1,0,IFERROR(LOOKUP(2,1/(Algodão!$E62:INDEX(Algodão!$E62:$Z62,MIN(E$6-$E$3,22))&lt;&gt;""),Algodão!$E62:INDEX(Algodão!$E62:$Z62,MIN(E$6-$E$3,22))),0))-IF($G$2,0,IF((E$6-$G$3)&lt;1,0,IFERROR(LOOKUP(2,1/(Algodão!$E62:INDEX(Algodão!$E62:$Z62,MIN(E$6-$G$3,22))&lt;&gt;""),Algodão!$E62:INDEX(Algodão!$E62:$Z62,MIN(E$6-$G$3,22))),0)))))</f>
        <v>0</v>
      </c>
      <c r="F64" s="27" t="n">
        <f aca="false">IF(COUNT(Algodão!$E62:$Z62)=0,0,MAX(0,IF((F$6-$E$3)&lt;1,0,IFERROR(LOOKUP(2,1/(Algodão!$E62:INDEX(Algodão!$E62:$Z62,MIN(F$6-$E$3,22))&lt;&gt;""),Algodão!$E62:INDEX(Algodão!$E62:$Z62,MIN(F$6-$E$3,22))),0))-IF($G$2,0,IF((F$6-$G$3)&lt;1,0,IFERROR(LOOKUP(2,1/(Algodão!$E62:INDEX(Algodão!$E62:$Z62,MIN(F$6-$G$3,22))&lt;&gt;""),Algodão!$E62:INDEX(Algodão!$E62:$Z62,MIN(F$6-$G$3,22))),0)))))</f>
        <v>0</v>
      </c>
      <c r="G64" s="27" t="n">
        <f aca="false">IF(COUNT(Algodão!$E62:$Z62)=0,0,MAX(0,IF((G$6-$E$3)&lt;1,0,IFERROR(LOOKUP(2,1/(Algodão!$E62:INDEX(Algodão!$E62:$Z62,MIN(G$6-$E$3,22))&lt;&gt;""),Algodão!$E62:INDEX(Algodão!$E62:$Z62,MIN(G$6-$E$3,22))),0))-IF($G$2,0,IF((G$6-$G$3)&lt;1,0,IFERROR(LOOKUP(2,1/(Algodão!$E62:INDEX(Algodão!$E62:$Z62,MIN(G$6-$G$3,22))&lt;&gt;""),Algodão!$E62:INDEX(Algodão!$E62:$Z62,MIN(G$6-$G$3,22))),0)))))</f>
        <v>0</v>
      </c>
      <c r="H64" s="27" t="n">
        <f aca="false">IF(COUNT(Algodão!$E62:$Z62)=0,0,MAX(0,IF((H$6-$E$3)&lt;1,0,IFERROR(LOOKUP(2,1/(Algodão!$E62:INDEX(Algodão!$E62:$Z62,MIN(H$6-$E$3,22))&lt;&gt;""),Algodão!$E62:INDEX(Algodão!$E62:$Z62,MIN(H$6-$E$3,22))),0))-IF($G$2,0,IF((H$6-$G$3)&lt;1,0,IFERROR(LOOKUP(2,1/(Algodão!$E62:INDEX(Algodão!$E62:$Z62,MIN(H$6-$G$3,22))&lt;&gt;""),Algodão!$E62:INDEX(Algodão!$E62:$Z62,MIN(H$6-$G$3,22))),0)))))</f>
        <v>0</v>
      </c>
      <c r="I64" s="27" t="n">
        <f aca="false">IF(COUNT(Algodão!$E62:$Z62)=0,0,MAX(0,IF((I$6-$E$3)&lt;1,0,IFERROR(LOOKUP(2,1/(Algodão!$E62:INDEX(Algodão!$E62:$Z62,MIN(I$6-$E$3,22))&lt;&gt;""),Algodão!$E62:INDEX(Algodão!$E62:$Z62,MIN(I$6-$E$3,22))),0))-IF($G$2,0,IF((I$6-$G$3)&lt;1,0,IFERROR(LOOKUP(2,1/(Algodão!$E62:INDEX(Algodão!$E62:$Z62,MIN(I$6-$G$3,22))&lt;&gt;""),Algodão!$E62:INDEX(Algodão!$E62:$Z62,MIN(I$6-$G$3,22))),0)))))</f>
        <v>0</v>
      </c>
      <c r="J64" s="27" t="n">
        <f aca="false">IF(COUNT(Algodão!$E62:$Z62)=0,0,MAX(0,IF((J$6-$E$3)&lt;1,0,IFERROR(LOOKUP(2,1/(Algodão!$E62:INDEX(Algodão!$E62:$Z62,MIN(J$6-$E$3,22))&lt;&gt;""),Algodão!$E62:INDEX(Algodão!$E62:$Z62,MIN(J$6-$E$3,22))),0))-IF($G$2,0,IF((J$6-$G$3)&lt;1,0,IFERROR(LOOKUP(2,1/(Algodão!$E62:INDEX(Algodão!$E62:$Z62,MIN(J$6-$G$3,22))&lt;&gt;""),Algodão!$E62:INDEX(Algodão!$E62:$Z62,MIN(J$6-$G$3,22))),0)))))</f>
        <v>0</v>
      </c>
      <c r="K64" s="27" t="n">
        <f aca="false">IF(COUNT(Algodão!$E62:$Z62)=0,0,MAX(0,IF((K$6-$E$3)&lt;1,0,IFERROR(LOOKUP(2,1/(Algodão!$E62:INDEX(Algodão!$E62:$Z62,MIN(K$6-$E$3,22))&lt;&gt;""),Algodão!$E62:INDEX(Algodão!$E62:$Z62,MIN(K$6-$E$3,22))),0))-IF($G$2,0,IF((K$6-$G$3)&lt;1,0,IFERROR(LOOKUP(2,1/(Algodão!$E62:INDEX(Algodão!$E62:$Z62,MIN(K$6-$G$3,22))&lt;&gt;""),Algodão!$E62:INDEX(Algodão!$E62:$Z62,MIN(K$6-$G$3,22))),0)))))</f>
        <v>0</v>
      </c>
      <c r="L64" s="27" t="n">
        <f aca="false">IF(COUNT(Algodão!$E62:$Z62)=0,0,MAX(0,IF((L$6-$E$3)&lt;1,0,IFERROR(LOOKUP(2,1/(Algodão!$E62:INDEX(Algodão!$E62:$Z62,MIN(L$6-$E$3,22))&lt;&gt;""),Algodão!$E62:INDEX(Algodão!$E62:$Z62,MIN(L$6-$E$3,22))),0))-IF($G$2,0,IF((L$6-$G$3)&lt;1,0,IFERROR(LOOKUP(2,1/(Algodão!$E62:INDEX(Algodão!$E62:$Z62,MIN(L$6-$G$3,22))&lt;&gt;""),Algodão!$E62:INDEX(Algodão!$E62:$Z62,MIN(L$6-$G$3,22))),0)))))</f>
        <v>0</v>
      </c>
      <c r="M64" s="27" t="n">
        <f aca="false">IF(COUNT(Algodão!$E62:$Z62)=0,0,MAX(0,IF((M$6-$E$3)&lt;1,0,IFERROR(LOOKUP(2,1/(Algodão!$E62:INDEX(Algodão!$E62:$Z62,MIN(M$6-$E$3,22))&lt;&gt;""),Algodão!$E62:INDEX(Algodão!$E62:$Z62,MIN(M$6-$E$3,22))),0))-IF($G$2,0,IF((M$6-$G$3)&lt;1,0,IFERROR(LOOKUP(2,1/(Algodão!$E62:INDEX(Algodão!$E62:$Z62,MIN(M$6-$G$3,22))&lt;&gt;""),Algodão!$E62:INDEX(Algodão!$E62:$Z62,MIN(M$6-$G$3,22))),0)))))</f>
        <v>0</v>
      </c>
      <c r="N64" s="27" t="n">
        <f aca="false">IF(COUNT(Algodão!$E62:$Z62)=0,0,MAX(0,IF((N$6-$E$3)&lt;1,0,IFERROR(LOOKUP(2,1/(Algodão!$E62:INDEX(Algodão!$E62:$Z62,MIN(N$6-$E$3,22))&lt;&gt;""),Algodão!$E62:INDEX(Algodão!$E62:$Z62,MIN(N$6-$E$3,22))),0))-IF($G$2,0,IF((N$6-$G$3)&lt;1,0,IFERROR(LOOKUP(2,1/(Algodão!$E62:INDEX(Algodão!$E62:$Z62,MIN(N$6-$G$3,22))&lt;&gt;""),Algodão!$E62:INDEX(Algodão!$E62:$Z62,MIN(N$6-$G$3,22))),0)))))</f>
        <v>0</v>
      </c>
      <c r="O64" s="27" t="n">
        <f aca="false">IF(COUNT(Algodão!$E62:$Z62)=0,0,MAX(0,IF((O$6-$E$3)&lt;1,0,IFERROR(LOOKUP(2,1/(Algodão!$E62:INDEX(Algodão!$E62:$Z62,MIN(O$6-$E$3,22))&lt;&gt;""),Algodão!$E62:INDEX(Algodão!$E62:$Z62,MIN(O$6-$E$3,22))),0))-IF($G$2,0,IF((O$6-$G$3)&lt;1,0,IFERROR(LOOKUP(2,1/(Algodão!$E62:INDEX(Algodão!$E62:$Z62,MIN(O$6-$G$3,22))&lt;&gt;""),Algodão!$E62:INDEX(Algodão!$E62:$Z62,MIN(O$6-$G$3,22))),0)))))</f>
        <v>0</v>
      </c>
      <c r="P64" s="27" t="n">
        <f aca="false">IF(COUNT(Algodão!$E62:$Z62)=0,0,MAX(0,IF((P$6-$E$3)&lt;1,0,IFERROR(LOOKUP(2,1/(Algodão!$E62:INDEX(Algodão!$E62:$Z62,MIN(P$6-$E$3,22))&lt;&gt;""),Algodão!$E62:INDEX(Algodão!$E62:$Z62,MIN(P$6-$E$3,22))),0))-IF($G$2,0,IF((P$6-$G$3)&lt;1,0,IFERROR(LOOKUP(2,1/(Algodão!$E62:INDEX(Algodão!$E62:$Z62,MIN(P$6-$G$3,22))&lt;&gt;""),Algodão!$E62:INDEX(Algodão!$E62:$Z62,MIN(P$6-$G$3,22))),0)))))</f>
        <v>0</v>
      </c>
      <c r="Q64" s="27" t="n">
        <f aca="false">IF(COUNT(Algodão!$E62:$Z62)=0,0,MAX(0,IF((Q$6-$E$3)&lt;1,0,IFERROR(LOOKUP(2,1/(Algodão!$E62:INDEX(Algodão!$E62:$Z62,MIN(Q$6-$E$3,22))&lt;&gt;""),Algodão!$E62:INDEX(Algodão!$E62:$Z62,MIN(Q$6-$E$3,22))),0))-IF($G$2,0,IF((Q$6-$G$3)&lt;1,0,IFERROR(LOOKUP(2,1/(Algodão!$E62:INDEX(Algodão!$E62:$Z62,MIN(Q$6-$G$3,22))&lt;&gt;""),Algodão!$E62:INDEX(Algodão!$E62:$Z62,MIN(Q$6-$G$3,22))),0)))))</f>
        <v>0</v>
      </c>
      <c r="R64" s="27" t="n">
        <f aca="false">IF(COUNT(Algodão!$E62:$Z62)=0,0,MAX(0,IF((R$6-$E$3)&lt;1,0,IFERROR(LOOKUP(2,1/(Algodão!$E62:INDEX(Algodão!$E62:$Z62,MIN(R$6-$E$3,22))&lt;&gt;""),Algodão!$E62:INDEX(Algodão!$E62:$Z62,MIN(R$6-$E$3,22))),0))-IF($G$2,0,IF((R$6-$G$3)&lt;1,0,IFERROR(LOOKUP(2,1/(Algodão!$E62:INDEX(Algodão!$E62:$Z62,MIN(R$6-$G$3,22))&lt;&gt;""),Algodão!$E62:INDEX(Algodão!$E62:$Z62,MIN(R$6-$G$3,22))),0)))))</f>
        <v>0</v>
      </c>
      <c r="S64" s="27" t="n">
        <f aca="false">IF(COUNT(Algodão!$E62:$Z62)=0,0,MAX(0,IF((S$6-$E$3)&lt;1,0,IFERROR(LOOKUP(2,1/(Algodão!$E62:INDEX(Algodão!$E62:$Z62,MIN(S$6-$E$3,22))&lt;&gt;""),Algodão!$E62:INDEX(Algodão!$E62:$Z62,MIN(S$6-$E$3,22))),0))-IF($G$2,0,IF((S$6-$G$3)&lt;1,0,IFERROR(LOOKUP(2,1/(Algodão!$E62:INDEX(Algodão!$E62:$Z62,MIN(S$6-$G$3,22))&lt;&gt;""),Algodão!$E62:INDEX(Algodão!$E62:$Z62,MIN(S$6-$G$3,22))),0)))))</f>
        <v>0</v>
      </c>
      <c r="T64" s="27" t="n">
        <f aca="false">IF(COUNT(Algodão!$E62:$Z62)=0,0,MAX(0,IF((T$6-$E$3)&lt;1,0,IFERROR(LOOKUP(2,1/(Algodão!$E62:INDEX(Algodão!$E62:$Z62,MIN(T$6-$E$3,22))&lt;&gt;""),Algodão!$E62:INDEX(Algodão!$E62:$Z62,MIN(T$6-$E$3,22))),0))-IF($G$2,0,IF((T$6-$G$3)&lt;1,0,IFERROR(LOOKUP(2,1/(Algodão!$E62:INDEX(Algodão!$E62:$Z62,MIN(T$6-$G$3,22))&lt;&gt;""),Algodão!$E62:INDEX(Algodão!$E62:$Z62,MIN(T$6-$G$3,22))),0)))))</f>
        <v>0</v>
      </c>
      <c r="U64" s="27" t="n">
        <f aca="false">IF(COUNT(Algodão!$E62:$Z62)=0,0,MAX(0,IF((U$6-$E$3)&lt;1,0,IFERROR(LOOKUP(2,1/(Algodão!$E62:INDEX(Algodão!$E62:$Z62,MIN(U$6-$E$3,22))&lt;&gt;""),Algodão!$E62:INDEX(Algodão!$E62:$Z62,MIN(U$6-$E$3,22))),0))-IF($G$2,0,IF((U$6-$G$3)&lt;1,0,IFERROR(LOOKUP(2,1/(Algodão!$E62:INDEX(Algodão!$E62:$Z62,MIN(U$6-$G$3,22))&lt;&gt;""),Algodão!$E62:INDEX(Algodão!$E62:$Z62,MIN(U$6-$G$3,22))),0)))))</f>
        <v>0</v>
      </c>
      <c r="V64" s="27" t="n">
        <f aca="false">IF(COUNT(Algodão!$E62:$Z62)=0,0,MAX(0,IF((V$6-$E$3)&lt;1,0,IFERROR(LOOKUP(2,1/(Algodão!$E62:INDEX(Algodão!$E62:$Z62,MIN(V$6-$E$3,22))&lt;&gt;""),Algodão!$E62:INDEX(Algodão!$E62:$Z62,MIN(V$6-$E$3,22))),0))-IF($G$2,0,IF((V$6-$G$3)&lt;1,0,IFERROR(LOOKUP(2,1/(Algodão!$E62:INDEX(Algodão!$E62:$Z62,MIN(V$6-$G$3,22))&lt;&gt;""),Algodão!$E62:INDEX(Algodão!$E62:$Z62,MIN(V$6-$G$3,22))),0)))))</f>
        <v>0</v>
      </c>
      <c r="W64" s="27" t="n">
        <f aca="false">IF(COUNT(Algodão!$E62:$Z62)=0,0,MAX(0,IF((W$6-$E$3)&lt;1,0,IFERROR(LOOKUP(2,1/(Algodão!$E62:INDEX(Algodão!$E62:$Z62,MIN(W$6-$E$3,22))&lt;&gt;""),Algodão!$E62:INDEX(Algodão!$E62:$Z62,MIN(W$6-$E$3,22))),0))-IF($G$2,0,IF((W$6-$G$3)&lt;1,0,IFERROR(LOOKUP(2,1/(Algodão!$E62:INDEX(Algodão!$E62:$Z62,MIN(W$6-$G$3,22))&lt;&gt;""),Algodão!$E62:INDEX(Algodão!$E62:$Z62,MIN(W$6-$G$3,22))),0)))))</f>
        <v>0</v>
      </c>
      <c r="X64" s="27" t="n">
        <f aca="false">IF(COUNT(Algodão!$E62:$Z62)=0,0,MAX(0,IF((X$6-$E$3)&lt;1,0,IFERROR(LOOKUP(2,1/(Algodão!$E62:INDEX(Algodão!$E62:$Z62,MIN(X$6-$E$3,22))&lt;&gt;""),Algodão!$E62:INDEX(Algodão!$E62:$Z62,MIN(X$6-$E$3,22))),0))-IF($G$2,0,IF((X$6-$G$3)&lt;1,0,IFERROR(LOOKUP(2,1/(Algodão!$E62:INDEX(Algodão!$E62:$Z62,MIN(X$6-$G$3,22))&lt;&gt;""),Algodão!$E62:INDEX(Algodão!$E62:$Z62,MIN(X$6-$G$3,22))),0)))))</f>
        <v>0</v>
      </c>
      <c r="Y64" s="27" t="n">
        <f aca="false">IF(COUNT(Algodão!$E62:$Z62)=0,0,MAX(0,IF((Y$6-$E$3)&lt;1,0,IFERROR(LOOKUP(2,1/(Algodão!$E62:INDEX(Algodão!$E62:$Z62,MIN(Y$6-$E$3,22))&lt;&gt;""),Algodão!$E62:INDEX(Algodão!$E62:$Z62,MIN(Y$6-$E$3,22))),0))-IF($G$2,0,IF((Y$6-$G$3)&lt;1,0,IFERROR(LOOKUP(2,1/(Algodão!$E62:INDEX(Algodão!$E62:$Z62,MIN(Y$6-$G$3,22))&lt;&gt;""),Algodão!$E62:INDEX(Algodão!$E62:$Z62,MIN(Y$6-$G$3,22))),0)))))</f>
        <v>0</v>
      </c>
      <c r="Z64" s="27" t="n">
        <f aca="false">IF(COUNT(Algodão!$E62:$Z62)=0,0,MAX(0,IF((Z$6-$E$3)&lt;1,0,IFERROR(LOOKUP(2,1/(Algodão!$E62:INDEX(Algodão!$E62:$Z62,MIN(Z$6-$E$3,22))&lt;&gt;""),Algodão!$E62:INDEX(Algodão!$E62:$Z62,MIN(Z$6-$E$3,22))),0))-IF($G$2,0,IF((Z$6-$G$3)&lt;1,0,IFERROR(LOOKUP(2,1/(Algodão!$E62:INDEX(Algodão!$E62:$Z62,MIN(Z$6-$G$3,22))&lt;&gt;""),Algodão!$E62:INDEX(Algodão!$E62:$Z62,MIN(Z$6-$G$3,22))),0)))))</f>
        <v>0</v>
      </c>
      <c r="AA64" s="27" t="n">
        <f aca="false">IF(COUNT(Algodão!$E62:$Z62)=0,0,MAX(0,IF((AA$6-$E$3)&lt;1,0,IFERROR(LOOKUP(2,1/(Algodão!$E62:INDEX(Algodão!$E62:$Z62,MIN(AA$6-$E$3,22))&lt;&gt;""),Algodão!$E62:INDEX(Algodão!$E62:$Z62,MIN(AA$6-$E$3,22))),0))-IF($G$2,0,IF((AA$6-$G$3)&lt;1,0,IFERROR(LOOKUP(2,1/(Algodão!$E62:INDEX(Algodão!$E62:$Z62,MIN(AA$6-$G$3,22))&lt;&gt;""),Algodão!$E62:INDEX(Algodão!$E62:$Z62,MIN(AA$6-$G$3,22))),0)))))</f>
        <v>0</v>
      </c>
      <c r="AB64" s="27" t="n">
        <f aca="false">IF(COUNT(Algodão!$E62:$Z62)=0,0,MAX(0,IF((AB$6-$E$3)&lt;1,0,IFERROR(LOOKUP(2,1/(Algodão!$E62:INDEX(Algodão!$E62:$Z62,MIN(AB$6-$E$3,22))&lt;&gt;""),Algodão!$E62:INDEX(Algodão!$E62:$Z62,MIN(AB$6-$E$3,22))),0))-IF($G$2,0,IF((AB$6-$G$3)&lt;1,0,IFERROR(LOOKUP(2,1/(Algodão!$E62:INDEX(Algodão!$E62:$Z62,MIN(AB$6-$G$3,22))&lt;&gt;""),Algodão!$E62:INDEX(Algodão!$E62:$Z62,MIN(AB$6-$G$3,22))),0)))))</f>
        <v>0</v>
      </c>
      <c r="AC64" s="27" t="n">
        <f aca="false">IF(COUNT(Algodão!$E62:$Z62)=0,0,MAX(0,IF((AC$6-$E$3)&lt;1,0,IFERROR(LOOKUP(2,1/(Algodão!$E62:INDEX(Algodão!$E62:$Z62,MIN(AC$6-$E$3,22))&lt;&gt;""),Algodão!$E62:INDEX(Algodão!$E62:$Z62,MIN(AC$6-$E$3,22))),0))-IF($G$2,0,IF((AC$6-$G$3)&lt;1,0,IFERROR(LOOKUP(2,1/(Algodão!$E62:INDEX(Algodão!$E62:$Z62,MIN(AC$6-$G$3,22))&lt;&gt;""),Algodão!$E62:INDEX(Algodão!$E62:$Z62,MIN(AC$6-$G$3,22))),0)))))</f>
        <v>0</v>
      </c>
      <c r="AD64" s="27" t="n">
        <f aca="false">IF(COUNT(Algodão!$E62:$Z62)=0,0,MAX(0,IF((AD$6-$E$3)&lt;1,0,IFERROR(LOOKUP(2,1/(Algodão!$E62:INDEX(Algodão!$E62:$Z62,MIN(AD$6-$E$3,22))&lt;&gt;""),Algodão!$E62:INDEX(Algodão!$E62:$Z62,MIN(AD$6-$E$3,22))),0))-IF($G$2,0,IF((AD$6-$G$3)&lt;1,0,IFERROR(LOOKUP(2,1/(Algodão!$E62:INDEX(Algodão!$E62:$Z62,MIN(AD$6-$G$3,22))&lt;&gt;""),Algodão!$E62:INDEX(Algodão!$E62:$Z62,MIN(AD$6-$G$3,22))),0)))))</f>
        <v>0</v>
      </c>
      <c r="AE64" s="27" t="n">
        <f aca="false">IF(COUNT(Algodão!$E62:$Z62)=0,0,MAX(0,IF((AE$6-$E$3)&lt;1,0,IFERROR(LOOKUP(2,1/(Algodão!$E62:INDEX(Algodão!$E62:$Z62,MIN(AE$6-$E$3,22))&lt;&gt;""),Algodão!$E62:INDEX(Algodão!$E62:$Z62,MIN(AE$6-$E$3,22))),0))-IF($G$2,0,IF((AE$6-$G$3)&lt;1,0,IFERROR(LOOKUP(2,1/(Algodão!$E62:INDEX(Algodão!$E62:$Z62,MIN(AE$6-$G$3,22))&lt;&gt;""),Algodão!$E62:INDEX(Algodão!$E62:$Z62,MIN(AE$6-$G$3,22))),0)))))</f>
        <v>0</v>
      </c>
      <c r="AF64" s="27" t="n">
        <f aca="false">IF(COUNT(Algodão!$E62:$Z62)=0,0,MAX(0,IF((AF$6-$E$3)&lt;1,0,IFERROR(LOOKUP(2,1/(Algodão!$E62:INDEX(Algodão!$E62:$Z62,MIN(AF$6-$E$3,22))&lt;&gt;""),Algodão!$E62:INDEX(Algodão!$E62:$Z62,MIN(AF$6-$E$3,22))),0))-IF($G$2,0,IF((AF$6-$G$3)&lt;1,0,IFERROR(LOOKUP(2,1/(Algodão!$E62:INDEX(Algodão!$E62:$Z62,MIN(AF$6-$G$3,22))&lt;&gt;""),Algodão!$E62:INDEX(Algodão!$E62:$Z62,MIN(AF$6-$G$3,22))),0)))))</f>
        <v>0</v>
      </c>
      <c r="AG64" s="27" t="n">
        <f aca="false">IF(COUNT(Algodão!$E62:$Z62)=0,0,MAX(0,IF((AG$6-$E$3)&lt;1,0,IFERROR(LOOKUP(2,1/(Algodão!$E62:INDEX(Algodão!$E62:$Z62,MIN(AG$6-$E$3,22))&lt;&gt;""),Algodão!$E62:INDEX(Algodão!$E62:$Z62,MIN(AG$6-$E$3,22))),0))-IF($G$2,0,IF((AG$6-$G$3)&lt;1,0,IFERROR(LOOKUP(2,1/(Algodão!$E62:INDEX(Algodão!$E62:$Z62,MIN(AG$6-$G$3,22))&lt;&gt;""),Algodão!$E62:INDEX(Algodão!$E62:$Z62,MIN(AG$6-$G$3,22))),0)))))</f>
        <v>0</v>
      </c>
      <c r="AH64" s="27" t="n">
        <f aca="false">IF(COUNT(Algodão!$E62:$Z62)=0,0,MAX(0,IF((AH$6-$E$3)&lt;1,0,IFERROR(LOOKUP(2,1/(Algodão!$E62:INDEX(Algodão!$E62:$Z62,MIN(AH$6-$E$3,22))&lt;&gt;""),Algodão!$E62:INDEX(Algodão!$E62:$Z62,MIN(AH$6-$E$3,22))),0))-IF($G$2,0,IF((AH$6-$G$3)&lt;1,0,IFERROR(LOOKUP(2,1/(Algodão!$E62:INDEX(Algodão!$E62:$Z62,MIN(AH$6-$G$3,22))&lt;&gt;""),Algodão!$E62:INDEX(Algodão!$E62:$Z62,MIN(AH$6-$G$3,22))),0)))))</f>
        <v>0</v>
      </c>
      <c r="AI64" s="27" t="n">
        <f aca="false">IF(COUNT(Algodão!$E62:$Z62)=0,0,MAX(0,IF((AI$6-$E$3)&lt;1,0,IFERROR(LOOKUP(2,1/(Algodão!$E62:INDEX(Algodão!$E62:$Z62,MIN(AI$6-$E$3,22))&lt;&gt;""),Algodão!$E62:INDEX(Algodão!$E62:$Z62,MIN(AI$6-$E$3,22))),0))-IF($G$2,0,IF((AI$6-$G$3)&lt;1,0,IFERROR(LOOKUP(2,1/(Algodão!$E62:INDEX(Algodão!$E62:$Z62,MIN(AI$6-$G$3,22))&lt;&gt;""),Algodão!$E62:INDEX(Algodão!$E62:$Z62,MIN(AI$6-$G$3,22))),0)))))</f>
        <v>0</v>
      </c>
      <c r="AJ64" s="27" t="n">
        <f aca="false">IF(COUNT(Algodão!$E62:$Z62)=0,0,MAX(0,IF((AJ$6-$E$3)&lt;1,0,IFERROR(LOOKUP(2,1/(Algodão!$E62:INDEX(Algodão!$E62:$Z62,MIN(AJ$6-$E$3,22))&lt;&gt;""),Algodão!$E62:INDEX(Algodão!$E62:$Z62,MIN(AJ$6-$E$3,22))),0))-IF($G$2,0,IF((AJ$6-$G$3)&lt;1,0,IFERROR(LOOKUP(2,1/(Algodão!$E62:INDEX(Algodão!$E62:$Z62,MIN(AJ$6-$G$3,22))&lt;&gt;""),Algodão!$E62:INDEX(Algodão!$E62:$Z62,MIN(AJ$6-$G$3,22))),0)))))</f>
        <v>0</v>
      </c>
      <c r="AK64" s="27" t="n">
        <f aca="false">IF(COUNT(Algodão!$E62:$Z62)=0,0,MAX(0,IF((AK$6-$E$3)&lt;1,0,IFERROR(LOOKUP(2,1/(Algodão!$E62:INDEX(Algodão!$E62:$Z62,MIN(AK$6-$E$3,22))&lt;&gt;""),Algodão!$E62:INDEX(Algodão!$E62:$Z62,MIN(AK$6-$E$3,22))),0))-IF($G$2,0,IF((AK$6-$G$3)&lt;1,0,IFERROR(LOOKUP(2,1/(Algodão!$E62:INDEX(Algodão!$E62:$Z62,MIN(AK$6-$G$3,22))&lt;&gt;""),Algodão!$E62:INDEX(Algodão!$E62:$Z62,MIN(AK$6-$G$3,22))),0)))))</f>
        <v>0</v>
      </c>
      <c r="AL64" s="27" t="n">
        <f aca="false">IF(COUNT(Algodão!$E62:$Z62)=0,0,MAX(0,IF((AL$6-$E$3)&lt;1,0,IFERROR(LOOKUP(2,1/(Algodão!$E62:INDEX(Algodão!$E62:$Z62,MIN(AL$6-$E$3,22))&lt;&gt;""),Algodão!$E62:INDEX(Algodão!$E62:$Z62,MIN(AL$6-$E$3,22))),0))-IF($G$2,0,IF((AL$6-$G$3)&lt;1,0,IFERROR(LOOKUP(2,1/(Algodão!$E62:INDEX(Algodão!$E62:$Z62,MIN(AL$6-$G$3,22))&lt;&gt;""),Algodão!$E62:INDEX(Algodão!$E62:$Z62,MIN(AL$6-$G$3,22))),0)))))</f>
        <v>0</v>
      </c>
      <c r="AM64" s="27" t="n">
        <f aca="false">IF(COUNT(Algodão!$E62:$Z62)=0,0,MAX(0,IF((AM$6-$E$3)&lt;1,0,IFERROR(LOOKUP(2,1/(Algodão!$E62:INDEX(Algodão!$E62:$Z62,MIN(AM$6-$E$3,22))&lt;&gt;""),Algodão!$E62:INDEX(Algodão!$E62:$Z62,MIN(AM$6-$E$3,22))),0))-IF($G$2,0,IF((AM$6-$G$3)&lt;1,0,IFERROR(LOOKUP(2,1/(Algodão!$E62:INDEX(Algodão!$E62:$Z62,MIN(AM$6-$G$3,22))&lt;&gt;""),Algodão!$E62:INDEX(Algodão!$E62:$Z62,MIN(AM$6-$G$3,22))),0)))))</f>
        <v>0</v>
      </c>
      <c r="AN64" s="27" t="n">
        <f aca="false">IF(COUNT(Algodão!$E62:$Z62)=0,0,MAX(0,IF((AN$6-$E$3)&lt;1,0,IFERROR(LOOKUP(2,1/(Algodão!$E62:INDEX(Algodão!$E62:$Z62,MIN(AN$6-$E$3,22))&lt;&gt;""),Algodão!$E62:INDEX(Algodão!$E62:$Z62,MIN(AN$6-$E$3,22))),0))-IF($G$2,0,IF((AN$6-$G$3)&lt;1,0,IFERROR(LOOKUP(2,1/(Algodão!$E62:INDEX(Algodão!$E62:$Z62,MIN(AN$6-$G$3,22))&lt;&gt;""),Algodão!$E62:INDEX(Algodão!$E62:$Z62,MIN(AN$6-$G$3,22))),0)))))</f>
        <v>0</v>
      </c>
      <c r="AO64" s="27" t="n">
        <f aca="false">IF(COUNT(Algodão!$E62:$Z62)=0,0,MAX(0,IF((AO$6-$E$3)&lt;1,0,IFERROR(LOOKUP(2,1/(Algodão!$E62:INDEX(Algodão!$E62:$Z62,MIN(AO$6-$E$3,22))&lt;&gt;""),Algodão!$E62:INDEX(Algodão!$E62:$Z62,MIN(AO$6-$E$3,22))),0))-IF($G$2,0,IF((AO$6-$G$3)&lt;1,0,IFERROR(LOOKUP(2,1/(Algodão!$E62:INDEX(Algodão!$E62:$Z62,MIN(AO$6-$G$3,22))&lt;&gt;""),Algodão!$E62:INDEX(Algodão!$E62:$Z62,MIN(AO$6-$G$3,22))),0)))))</f>
        <v>0</v>
      </c>
      <c r="AP64" s="27" t="n">
        <f aca="false">IF(COUNT(Algodão!$E62:$Z62)=0,0,MAX(0,IF((AP$6-$E$3)&lt;1,0,IFERROR(LOOKUP(2,1/(Algodão!$E62:INDEX(Algodão!$E62:$Z62,MIN(AP$6-$E$3,22))&lt;&gt;""),Algodão!$E62:INDEX(Algodão!$E62:$Z62,MIN(AP$6-$E$3,22))),0))-IF($G$2,0,IF((AP$6-$G$3)&lt;1,0,IFERROR(LOOKUP(2,1/(Algodão!$E62:INDEX(Algodão!$E62:$Z62,MIN(AP$6-$G$3,22))&lt;&gt;""),Algodão!$E62:INDEX(Algodão!$E62:$Z62,MIN(AP$6-$G$3,22))),0)))))</f>
        <v>0</v>
      </c>
      <c r="AQ64" s="27" t="n">
        <f aca="false">IF(COUNT(Algodão!$E62:$Z62)=0,0,MAX(0,IF((AQ$6-$E$3)&lt;1,0,IFERROR(LOOKUP(2,1/(Algodão!$E62:INDEX(Algodão!$E62:$Z62,MIN(AQ$6-$E$3,22))&lt;&gt;""),Algodão!$E62:INDEX(Algodão!$E62:$Z62,MIN(AQ$6-$E$3,22))),0))-IF($G$2,0,IF((AQ$6-$G$3)&lt;1,0,IFERROR(LOOKUP(2,1/(Algodão!$E62:INDEX(Algodão!$E62:$Z62,MIN(AQ$6-$G$3,22))&lt;&gt;""),Algodão!$E62:INDEX(Algodão!$E62:$Z62,MIN(AQ$6-$G$3,22))),0)))))</f>
        <v>0</v>
      </c>
      <c r="AR64" s="27" t="n">
        <f aca="false">IF(COUNT(Algodão!$E62:$Z62)=0,0,MAX(0,IF((AR$6-$E$3)&lt;1,0,IFERROR(LOOKUP(2,1/(Algodão!$E62:INDEX(Algodão!$E62:$Z62,MIN(AR$6-$E$3,22))&lt;&gt;""),Algodão!$E62:INDEX(Algodão!$E62:$Z62,MIN(AR$6-$E$3,22))),0))-IF($G$2,0,IF((AR$6-$G$3)&lt;1,0,IFERROR(LOOKUP(2,1/(Algodão!$E62:INDEX(Algodão!$E62:$Z62,MIN(AR$6-$G$3,22))&lt;&gt;""),Algodão!$E62:INDEX(Algodão!$E62:$Z62,MIN(AR$6-$G$3,22))),0)))))</f>
        <v>0</v>
      </c>
      <c r="AS64" s="27" t="n">
        <f aca="false">IF(COUNT(Algodão!$E62:$Z62)=0,0,MAX(0,IF((AS$6-$E$3)&lt;1,0,IFERROR(LOOKUP(2,1/(Algodão!$E62:INDEX(Algodão!$E62:$Z62,MIN(AS$6-$E$3,22))&lt;&gt;""),Algodão!$E62:INDEX(Algodão!$E62:$Z62,MIN(AS$6-$E$3,22))),0))-IF($G$2,0,IF((AS$6-$G$3)&lt;1,0,IFERROR(LOOKUP(2,1/(Algodão!$E62:INDEX(Algodão!$E62:$Z62,MIN(AS$6-$G$3,22))&lt;&gt;""),Algodão!$E62:INDEX(Algodão!$E62:$Z62,MIN(AS$6-$G$3,22))),0)))))</f>
        <v>0</v>
      </c>
      <c r="AT64" s="27" t="n">
        <f aca="false">IF(COUNT(Algodão!$E62:$Z62)=0,0,MAX(0,IF((AT$6-$E$3)&lt;1,0,IFERROR(LOOKUP(2,1/(Algodão!$E62:INDEX(Algodão!$E62:$Z62,MIN(AT$6-$E$3,22))&lt;&gt;""),Algodão!$E62:INDEX(Algodão!$E62:$Z62,MIN(AT$6-$E$3,22))),0))-IF($G$2,0,IF((AT$6-$G$3)&lt;1,0,IFERROR(LOOKUP(2,1/(Algodão!$E62:INDEX(Algodão!$E62:$Z62,MIN(AT$6-$G$3,22))&lt;&gt;""),Algodão!$E62:INDEX(Algodão!$E62:$Z62,MIN(AT$6-$G$3,22))),0)))))</f>
        <v>0</v>
      </c>
      <c r="AU64" s="27" t="n">
        <f aca="false">IF(COUNT(Algodão!$E62:$Z62)=0,0,MAX(0,IF((AU$6-$E$3)&lt;1,0,IFERROR(LOOKUP(2,1/(Algodão!$E62:INDEX(Algodão!$E62:$Z62,MIN(AU$6-$E$3,22))&lt;&gt;""),Algodão!$E62:INDEX(Algodão!$E62:$Z62,MIN(AU$6-$E$3,22))),0))-IF($G$2,0,IF((AU$6-$G$3)&lt;1,0,IFERROR(LOOKUP(2,1/(Algodão!$E62:INDEX(Algodão!$E62:$Z62,MIN(AU$6-$G$3,22))&lt;&gt;""),Algodão!$E62:INDEX(Algodão!$E62:$Z62,MIN(AU$6-$G$3,22))),0)))))</f>
        <v>0</v>
      </c>
      <c r="AV64" s="27" t="n">
        <f aca="false">IF(COUNT(Algodão!$E62:$Z62)=0,0,MAX(0,IF((AV$6-$E$3)&lt;1,0,IFERROR(LOOKUP(2,1/(Algodão!$E62:INDEX(Algodão!$E62:$Z62,MIN(AV$6-$E$3,22))&lt;&gt;""),Algodão!$E62:INDEX(Algodão!$E62:$Z62,MIN(AV$6-$E$3,22))),0))-IF($G$2,0,IF((AV$6-$G$3)&lt;1,0,IFERROR(LOOKUP(2,1/(Algodão!$E62:INDEX(Algodão!$E62:$Z62,MIN(AV$6-$G$3,22))&lt;&gt;""),Algodão!$E62:INDEX(Algodão!$E62:$Z62,MIN(AV$6-$G$3,22))),0)))))</f>
        <v>0</v>
      </c>
      <c r="AW64" s="27" t="n">
        <f aca="false">IF(COUNT(Algodão!$E62:$Z62)=0,0,MAX(0,IF((AW$6-$E$3)&lt;1,0,IFERROR(LOOKUP(2,1/(Algodão!$E62:INDEX(Algodão!$E62:$Z62,MIN(AW$6-$E$3,22))&lt;&gt;""),Algodão!$E62:INDEX(Algodão!$E62:$Z62,MIN(AW$6-$E$3,22))),0))-IF($G$2,0,IF((AW$6-$G$3)&lt;1,0,IFERROR(LOOKUP(2,1/(Algodão!$E62:INDEX(Algodão!$E62:$Z62,MIN(AW$6-$G$3,22))&lt;&gt;""),Algodão!$E62:INDEX(Algodão!$E62:$Z62,MIN(AW$6-$G$3,22))),0)))))</f>
        <v>0</v>
      </c>
      <c r="AX64" s="27" t="n">
        <f aca="false">IF(COUNT(Algodão!$E62:$Z62)=0,0,MAX(0,IF((AX$6-$E$3)&lt;1,0,IFERROR(LOOKUP(2,1/(Algodão!$E62:INDEX(Algodão!$E62:$Z62,MIN(AX$6-$E$3,22))&lt;&gt;""),Algodão!$E62:INDEX(Algodão!$E62:$Z62,MIN(AX$6-$E$3,22))),0))-IF($G$2,0,IF((AX$6-$G$3)&lt;1,0,IFERROR(LOOKUP(2,1/(Algodão!$E62:INDEX(Algodão!$E62:$Z62,MIN(AX$6-$G$3,22))&lt;&gt;""),Algodão!$E62:INDEX(Algodão!$E62:$Z62,MIN(AX$6-$G$3,22))),0)))))</f>
        <v>0</v>
      </c>
      <c r="AY64" s="27" t="n">
        <f aca="false">IF(COUNT(Algodão!$E62:$Z62)=0,0,MAX(0,IF((AY$6-$E$3)&lt;1,0,IFERROR(LOOKUP(2,1/(Algodão!$E62:INDEX(Algodão!$E62:$Z62,MIN(AY$6-$E$3,22))&lt;&gt;""),Algodão!$E62:INDEX(Algodão!$E62:$Z62,MIN(AY$6-$E$3,22))),0))-IF($G$2,0,IF((AY$6-$G$3)&lt;1,0,IFERROR(LOOKUP(2,1/(Algodão!$E62:INDEX(Algodão!$E62:$Z62,MIN(AY$6-$G$3,22))&lt;&gt;""),Algodão!$E62:INDEX(Algodão!$E62:$Z62,MIN(AY$6-$G$3,22))),0)))))</f>
        <v>0</v>
      </c>
      <c r="AZ64" s="27" t="n">
        <f aca="false">IF(COUNT(Algodão!$E62:$Z62)=0,0,MAX(0,IF((AZ$6-$E$3)&lt;1,0,IFERROR(LOOKUP(2,1/(Algodão!$E62:INDEX(Algodão!$E62:$Z62,MIN(AZ$6-$E$3,22))&lt;&gt;""),Algodão!$E62:INDEX(Algodão!$E62:$Z62,MIN(AZ$6-$E$3,22))),0))-IF($G$2,0,IF((AZ$6-$G$3)&lt;1,0,IFERROR(LOOKUP(2,1/(Algodão!$E62:INDEX(Algodão!$E62:$Z62,MIN(AZ$6-$G$3,22))&lt;&gt;""),Algodão!$E62:INDEX(Algodão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IF(COUNT(Algodão!$E63:$Z63)&gt;0,N(Algodão!$D63),0)</f>
        <v>0</v>
      </c>
      <c r="E65" s="27" t="n">
        <f aca="false">IF(COUNT(Algodão!$E63:$Z63)=0,0,MAX(0,IF((E$6-$E$3)&lt;1,0,IFERROR(LOOKUP(2,1/(Algodão!$E63:INDEX(Algodão!$E63:$Z63,MIN(E$6-$E$3,22))&lt;&gt;""),Algodão!$E63:INDEX(Algodão!$E63:$Z63,MIN(E$6-$E$3,22))),0))-IF($G$2,0,IF((E$6-$G$3)&lt;1,0,IFERROR(LOOKUP(2,1/(Algodão!$E63:INDEX(Algodão!$E63:$Z63,MIN(E$6-$G$3,22))&lt;&gt;""),Algodão!$E63:INDEX(Algodão!$E63:$Z63,MIN(E$6-$G$3,22))),0)))))</f>
        <v>0</v>
      </c>
      <c r="F65" s="27" t="n">
        <f aca="false">IF(COUNT(Algodão!$E63:$Z63)=0,0,MAX(0,IF((F$6-$E$3)&lt;1,0,IFERROR(LOOKUP(2,1/(Algodão!$E63:INDEX(Algodão!$E63:$Z63,MIN(F$6-$E$3,22))&lt;&gt;""),Algodão!$E63:INDEX(Algodão!$E63:$Z63,MIN(F$6-$E$3,22))),0))-IF($G$2,0,IF((F$6-$G$3)&lt;1,0,IFERROR(LOOKUP(2,1/(Algodão!$E63:INDEX(Algodão!$E63:$Z63,MIN(F$6-$G$3,22))&lt;&gt;""),Algodão!$E63:INDEX(Algodão!$E63:$Z63,MIN(F$6-$G$3,22))),0)))))</f>
        <v>0</v>
      </c>
      <c r="G65" s="27" t="n">
        <f aca="false">IF(COUNT(Algodão!$E63:$Z63)=0,0,MAX(0,IF((G$6-$E$3)&lt;1,0,IFERROR(LOOKUP(2,1/(Algodão!$E63:INDEX(Algodão!$E63:$Z63,MIN(G$6-$E$3,22))&lt;&gt;""),Algodão!$E63:INDEX(Algodão!$E63:$Z63,MIN(G$6-$E$3,22))),0))-IF($G$2,0,IF((G$6-$G$3)&lt;1,0,IFERROR(LOOKUP(2,1/(Algodão!$E63:INDEX(Algodão!$E63:$Z63,MIN(G$6-$G$3,22))&lt;&gt;""),Algodão!$E63:INDEX(Algodão!$E63:$Z63,MIN(G$6-$G$3,22))),0)))))</f>
        <v>0</v>
      </c>
      <c r="H65" s="27" t="n">
        <f aca="false">IF(COUNT(Algodão!$E63:$Z63)=0,0,MAX(0,IF((H$6-$E$3)&lt;1,0,IFERROR(LOOKUP(2,1/(Algodão!$E63:INDEX(Algodão!$E63:$Z63,MIN(H$6-$E$3,22))&lt;&gt;""),Algodão!$E63:INDEX(Algodão!$E63:$Z63,MIN(H$6-$E$3,22))),0))-IF($G$2,0,IF((H$6-$G$3)&lt;1,0,IFERROR(LOOKUP(2,1/(Algodão!$E63:INDEX(Algodão!$E63:$Z63,MIN(H$6-$G$3,22))&lt;&gt;""),Algodão!$E63:INDEX(Algodão!$E63:$Z63,MIN(H$6-$G$3,22))),0)))))</f>
        <v>0</v>
      </c>
      <c r="I65" s="27" t="n">
        <f aca="false">IF(COUNT(Algodão!$E63:$Z63)=0,0,MAX(0,IF((I$6-$E$3)&lt;1,0,IFERROR(LOOKUP(2,1/(Algodão!$E63:INDEX(Algodão!$E63:$Z63,MIN(I$6-$E$3,22))&lt;&gt;""),Algodão!$E63:INDEX(Algodão!$E63:$Z63,MIN(I$6-$E$3,22))),0))-IF($G$2,0,IF((I$6-$G$3)&lt;1,0,IFERROR(LOOKUP(2,1/(Algodão!$E63:INDEX(Algodão!$E63:$Z63,MIN(I$6-$G$3,22))&lt;&gt;""),Algodão!$E63:INDEX(Algodão!$E63:$Z63,MIN(I$6-$G$3,22))),0)))))</f>
        <v>0</v>
      </c>
      <c r="J65" s="27" t="n">
        <f aca="false">IF(COUNT(Algodão!$E63:$Z63)=0,0,MAX(0,IF((J$6-$E$3)&lt;1,0,IFERROR(LOOKUP(2,1/(Algodão!$E63:INDEX(Algodão!$E63:$Z63,MIN(J$6-$E$3,22))&lt;&gt;""),Algodão!$E63:INDEX(Algodão!$E63:$Z63,MIN(J$6-$E$3,22))),0))-IF($G$2,0,IF((J$6-$G$3)&lt;1,0,IFERROR(LOOKUP(2,1/(Algodão!$E63:INDEX(Algodão!$E63:$Z63,MIN(J$6-$G$3,22))&lt;&gt;""),Algodão!$E63:INDEX(Algodão!$E63:$Z63,MIN(J$6-$G$3,22))),0)))))</f>
        <v>0</v>
      </c>
      <c r="K65" s="27" t="n">
        <f aca="false">IF(COUNT(Algodão!$E63:$Z63)=0,0,MAX(0,IF((K$6-$E$3)&lt;1,0,IFERROR(LOOKUP(2,1/(Algodão!$E63:INDEX(Algodão!$E63:$Z63,MIN(K$6-$E$3,22))&lt;&gt;""),Algodão!$E63:INDEX(Algodão!$E63:$Z63,MIN(K$6-$E$3,22))),0))-IF($G$2,0,IF((K$6-$G$3)&lt;1,0,IFERROR(LOOKUP(2,1/(Algodão!$E63:INDEX(Algodão!$E63:$Z63,MIN(K$6-$G$3,22))&lt;&gt;""),Algodão!$E63:INDEX(Algodão!$E63:$Z63,MIN(K$6-$G$3,22))),0)))))</f>
        <v>0</v>
      </c>
      <c r="L65" s="27" t="n">
        <f aca="false">IF(COUNT(Algodão!$E63:$Z63)=0,0,MAX(0,IF((L$6-$E$3)&lt;1,0,IFERROR(LOOKUP(2,1/(Algodão!$E63:INDEX(Algodão!$E63:$Z63,MIN(L$6-$E$3,22))&lt;&gt;""),Algodão!$E63:INDEX(Algodão!$E63:$Z63,MIN(L$6-$E$3,22))),0))-IF($G$2,0,IF((L$6-$G$3)&lt;1,0,IFERROR(LOOKUP(2,1/(Algodão!$E63:INDEX(Algodão!$E63:$Z63,MIN(L$6-$G$3,22))&lt;&gt;""),Algodão!$E63:INDEX(Algodão!$E63:$Z63,MIN(L$6-$G$3,22))),0)))))</f>
        <v>0</v>
      </c>
      <c r="M65" s="27" t="n">
        <f aca="false">IF(COUNT(Algodão!$E63:$Z63)=0,0,MAX(0,IF((M$6-$E$3)&lt;1,0,IFERROR(LOOKUP(2,1/(Algodão!$E63:INDEX(Algodão!$E63:$Z63,MIN(M$6-$E$3,22))&lt;&gt;""),Algodão!$E63:INDEX(Algodão!$E63:$Z63,MIN(M$6-$E$3,22))),0))-IF($G$2,0,IF((M$6-$G$3)&lt;1,0,IFERROR(LOOKUP(2,1/(Algodão!$E63:INDEX(Algodão!$E63:$Z63,MIN(M$6-$G$3,22))&lt;&gt;""),Algodão!$E63:INDEX(Algodão!$E63:$Z63,MIN(M$6-$G$3,22))),0)))))</f>
        <v>0</v>
      </c>
      <c r="N65" s="27" t="n">
        <f aca="false">IF(COUNT(Algodão!$E63:$Z63)=0,0,MAX(0,IF((N$6-$E$3)&lt;1,0,IFERROR(LOOKUP(2,1/(Algodão!$E63:INDEX(Algodão!$E63:$Z63,MIN(N$6-$E$3,22))&lt;&gt;""),Algodão!$E63:INDEX(Algodão!$E63:$Z63,MIN(N$6-$E$3,22))),0))-IF($G$2,0,IF((N$6-$G$3)&lt;1,0,IFERROR(LOOKUP(2,1/(Algodão!$E63:INDEX(Algodão!$E63:$Z63,MIN(N$6-$G$3,22))&lt;&gt;""),Algodão!$E63:INDEX(Algodão!$E63:$Z63,MIN(N$6-$G$3,22))),0)))))</f>
        <v>0</v>
      </c>
      <c r="O65" s="27" t="n">
        <f aca="false">IF(COUNT(Algodão!$E63:$Z63)=0,0,MAX(0,IF((O$6-$E$3)&lt;1,0,IFERROR(LOOKUP(2,1/(Algodão!$E63:INDEX(Algodão!$E63:$Z63,MIN(O$6-$E$3,22))&lt;&gt;""),Algodão!$E63:INDEX(Algodão!$E63:$Z63,MIN(O$6-$E$3,22))),0))-IF($G$2,0,IF((O$6-$G$3)&lt;1,0,IFERROR(LOOKUP(2,1/(Algodão!$E63:INDEX(Algodão!$E63:$Z63,MIN(O$6-$G$3,22))&lt;&gt;""),Algodão!$E63:INDEX(Algodão!$E63:$Z63,MIN(O$6-$G$3,22))),0)))))</f>
        <v>0</v>
      </c>
      <c r="P65" s="27" t="n">
        <f aca="false">IF(COUNT(Algodão!$E63:$Z63)=0,0,MAX(0,IF((P$6-$E$3)&lt;1,0,IFERROR(LOOKUP(2,1/(Algodão!$E63:INDEX(Algodão!$E63:$Z63,MIN(P$6-$E$3,22))&lt;&gt;""),Algodão!$E63:INDEX(Algodão!$E63:$Z63,MIN(P$6-$E$3,22))),0))-IF($G$2,0,IF((P$6-$G$3)&lt;1,0,IFERROR(LOOKUP(2,1/(Algodão!$E63:INDEX(Algodão!$E63:$Z63,MIN(P$6-$G$3,22))&lt;&gt;""),Algodão!$E63:INDEX(Algodão!$E63:$Z63,MIN(P$6-$G$3,22))),0)))))</f>
        <v>0</v>
      </c>
      <c r="Q65" s="27" t="n">
        <f aca="false">IF(COUNT(Algodão!$E63:$Z63)=0,0,MAX(0,IF((Q$6-$E$3)&lt;1,0,IFERROR(LOOKUP(2,1/(Algodão!$E63:INDEX(Algodão!$E63:$Z63,MIN(Q$6-$E$3,22))&lt;&gt;""),Algodão!$E63:INDEX(Algodão!$E63:$Z63,MIN(Q$6-$E$3,22))),0))-IF($G$2,0,IF((Q$6-$G$3)&lt;1,0,IFERROR(LOOKUP(2,1/(Algodão!$E63:INDEX(Algodão!$E63:$Z63,MIN(Q$6-$G$3,22))&lt;&gt;""),Algodão!$E63:INDEX(Algodão!$E63:$Z63,MIN(Q$6-$G$3,22))),0)))))</f>
        <v>0</v>
      </c>
      <c r="R65" s="27" t="n">
        <f aca="false">IF(COUNT(Algodão!$E63:$Z63)=0,0,MAX(0,IF((R$6-$E$3)&lt;1,0,IFERROR(LOOKUP(2,1/(Algodão!$E63:INDEX(Algodão!$E63:$Z63,MIN(R$6-$E$3,22))&lt;&gt;""),Algodão!$E63:INDEX(Algodão!$E63:$Z63,MIN(R$6-$E$3,22))),0))-IF($G$2,0,IF((R$6-$G$3)&lt;1,0,IFERROR(LOOKUP(2,1/(Algodão!$E63:INDEX(Algodão!$E63:$Z63,MIN(R$6-$G$3,22))&lt;&gt;""),Algodão!$E63:INDEX(Algodão!$E63:$Z63,MIN(R$6-$G$3,22))),0)))))</f>
        <v>0</v>
      </c>
      <c r="S65" s="27" t="n">
        <f aca="false">IF(COUNT(Algodão!$E63:$Z63)=0,0,MAX(0,IF((S$6-$E$3)&lt;1,0,IFERROR(LOOKUP(2,1/(Algodão!$E63:INDEX(Algodão!$E63:$Z63,MIN(S$6-$E$3,22))&lt;&gt;""),Algodão!$E63:INDEX(Algodão!$E63:$Z63,MIN(S$6-$E$3,22))),0))-IF($G$2,0,IF((S$6-$G$3)&lt;1,0,IFERROR(LOOKUP(2,1/(Algodão!$E63:INDEX(Algodão!$E63:$Z63,MIN(S$6-$G$3,22))&lt;&gt;""),Algodão!$E63:INDEX(Algodão!$E63:$Z63,MIN(S$6-$G$3,22))),0)))))</f>
        <v>0</v>
      </c>
      <c r="T65" s="27" t="n">
        <f aca="false">IF(COUNT(Algodão!$E63:$Z63)=0,0,MAX(0,IF((T$6-$E$3)&lt;1,0,IFERROR(LOOKUP(2,1/(Algodão!$E63:INDEX(Algodão!$E63:$Z63,MIN(T$6-$E$3,22))&lt;&gt;""),Algodão!$E63:INDEX(Algodão!$E63:$Z63,MIN(T$6-$E$3,22))),0))-IF($G$2,0,IF((T$6-$G$3)&lt;1,0,IFERROR(LOOKUP(2,1/(Algodão!$E63:INDEX(Algodão!$E63:$Z63,MIN(T$6-$G$3,22))&lt;&gt;""),Algodão!$E63:INDEX(Algodão!$E63:$Z63,MIN(T$6-$G$3,22))),0)))))</f>
        <v>0</v>
      </c>
      <c r="U65" s="27" t="n">
        <f aca="false">IF(COUNT(Algodão!$E63:$Z63)=0,0,MAX(0,IF((U$6-$E$3)&lt;1,0,IFERROR(LOOKUP(2,1/(Algodão!$E63:INDEX(Algodão!$E63:$Z63,MIN(U$6-$E$3,22))&lt;&gt;""),Algodão!$E63:INDEX(Algodão!$E63:$Z63,MIN(U$6-$E$3,22))),0))-IF($G$2,0,IF((U$6-$G$3)&lt;1,0,IFERROR(LOOKUP(2,1/(Algodão!$E63:INDEX(Algodão!$E63:$Z63,MIN(U$6-$G$3,22))&lt;&gt;""),Algodão!$E63:INDEX(Algodão!$E63:$Z63,MIN(U$6-$G$3,22))),0)))))</f>
        <v>0</v>
      </c>
      <c r="V65" s="27" t="n">
        <f aca="false">IF(COUNT(Algodão!$E63:$Z63)=0,0,MAX(0,IF((V$6-$E$3)&lt;1,0,IFERROR(LOOKUP(2,1/(Algodão!$E63:INDEX(Algodão!$E63:$Z63,MIN(V$6-$E$3,22))&lt;&gt;""),Algodão!$E63:INDEX(Algodão!$E63:$Z63,MIN(V$6-$E$3,22))),0))-IF($G$2,0,IF((V$6-$G$3)&lt;1,0,IFERROR(LOOKUP(2,1/(Algodão!$E63:INDEX(Algodão!$E63:$Z63,MIN(V$6-$G$3,22))&lt;&gt;""),Algodão!$E63:INDEX(Algodão!$E63:$Z63,MIN(V$6-$G$3,22))),0)))))</f>
        <v>0</v>
      </c>
      <c r="W65" s="27" t="n">
        <f aca="false">IF(COUNT(Algodão!$E63:$Z63)=0,0,MAX(0,IF((W$6-$E$3)&lt;1,0,IFERROR(LOOKUP(2,1/(Algodão!$E63:INDEX(Algodão!$E63:$Z63,MIN(W$6-$E$3,22))&lt;&gt;""),Algodão!$E63:INDEX(Algodão!$E63:$Z63,MIN(W$6-$E$3,22))),0))-IF($G$2,0,IF((W$6-$G$3)&lt;1,0,IFERROR(LOOKUP(2,1/(Algodão!$E63:INDEX(Algodão!$E63:$Z63,MIN(W$6-$G$3,22))&lt;&gt;""),Algodão!$E63:INDEX(Algodão!$E63:$Z63,MIN(W$6-$G$3,22))),0)))))</f>
        <v>0</v>
      </c>
      <c r="X65" s="27" t="n">
        <f aca="false">IF(COUNT(Algodão!$E63:$Z63)=0,0,MAX(0,IF((X$6-$E$3)&lt;1,0,IFERROR(LOOKUP(2,1/(Algodão!$E63:INDEX(Algodão!$E63:$Z63,MIN(X$6-$E$3,22))&lt;&gt;""),Algodão!$E63:INDEX(Algodão!$E63:$Z63,MIN(X$6-$E$3,22))),0))-IF($G$2,0,IF((X$6-$G$3)&lt;1,0,IFERROR(LOOKUP(2,1/(Algodão!$E63:INDEX(Algodão!$E63:$Z63,MIN(X$6-$G$3,22))&lt;&gt;""),Algodão!$E63:INDEX(Algodão!$E63:$Z63,MIN(X$6-$G$3,22))),0)))))</f>
        <v>0</v>
      </c>
      <c r="Y65" s="27" t="n">
        <f aca="false">IF(COUNT(Algodão!$E63:$Z63)=0,0,MAX(0,IF((Y$6-$E$3)&lt;1,0,IFERROR(LOOKUP(2,1/(Algodão!$E63:INDEX(Algodão!$E63:$Z63,MIN(Y$6-$E$3,22))&lt;&gt;""),Algodão!$E63:INDEX(Algodão!$E63:$Z63,MIN(Y$6-$E$3,22))),0))-IF($G$2,0,IF((Y$6-$G$3)&lt;1,0,IFERROR(LOOKUP(2,1/(Algodão!$E63:INDEX(Algodão!$E63:$Z63,MIN(Y$6-$G$3,22))&lt;&gt;""),Algodão!$E63:INDEX(Algodão!$E63:$Z63,MIN(Y$6-$G$3,22))),0)))))</f>
        <v>0</v>
      </c>
      <c r="Z65" s="27" t="n">
        <f aca="false">IF(COUNT(Algodão!$E63:$Z63)=0,0,MAX(0,IF((Z$6-$E$3)&lt;1,0,IFERROR(LOOKUP(2,1/(Algodão!$E63:INDEX(Algodão!$E63:$Z63,MIN(Z$6-$E$3,22))&lt;&gt;""),Algodão!$E63:INDEX(Algodão!$E63:$Z63,MIN(Z$6-$E$3,22))),0))-IF($G$2,0,IF((Z$6-$G$3)&lt;1,0,IFERROR(LOOKUP(2,1/(Algodão!$E63:INDEX(Algodão!$E63:$Z63,MIN(Z$6-$G$3,22))&lt;&gt;""),Algodão!$E63:INDEX(Algodão!$E63:$Z63,MIN(Z$6-$G$3,22))),0)))))</f>
        <v>0</v>
      </c>
      <c r="AA65" s="27" t="n">
        <f aca="false">IF(COUNT(Algodão!$E63:$Z63)=0,0,MAX(0,IF((AA$6-$E$3)&lt;1,0,IFERROR(LOOKUP(2,1/(Algodão!$E63:INDEX(Algodão!$E63:$Z63,MIN(AA$6-$E$3,22))&lt;&gt;""),Algodão!$E63:INDEX(Algodão!$E63:$Z63,MIN(AA$6-$E$3,22))),0))-IF($G$2,0,IF((AA$6-$G$3)&lt;1,0,IFERROR(LOOKUP(2,1/(Algodão!$E63:INDEX(Algodão!$E63:$Z63,MIN(AA$6-$G$3,22))&lt;&gt;""),Algodão!$E63:INDEX(Algodão!$E63:$Z63,MIN(AA$6-$G$3,22))),0)))))</f>
        <v>0</v>
      </c>
      <c r="AB65" s="27" t="n">
        <f aca="false">IF(COUNT(Algodão!$E63:$Z63)=0,0,MAX(0,IF((AB$6-$E$3)&lt;1,0,IFERROR(LOOKUP(2,1/(Algodão!$E63:INDEX(Algodão!$E63:$Z63,MIN(AB$6-$E$3,22))&lt;&gt;""),Algodão!$E63:INDEX(Algodão!$E63:$Z63,MIN(AB$6-$E$3,22))),0))-IF($G$2,0,IF((AB$6-$G$3)&lt;1,0,IFERROR(LOOKUP(2,1/(Algodão!$E63:INDEX(Algodão!$E63:$Z63,MIN(AB$6-$G$3,22))&lt;&gt;""),Algodão!$E63:INDEX(Algodão!$E63:$Z63,MIN(AB$6-$G$3,22))),0)))))</f>
        <v>0</v>
      </c>
      <c r="AC65" s="27" t="n">
        <f aca="false">IF(COUNT(Algodão!$E63:$Z63)=0,0,MAX(0,IF((AC$6-$E$3)&lt;1,0,IFERROR(LOOKUP(2,1/(Algodão!$E63:INDEX(Algodão!$E63:$Z63,MIN(AC$6-$E$3,22))&lt;&gt;""),Algodão!$E63:INDEX(Algodão!$E63:$Z63,MIN(AC$6-$E$3,22))),0))-IF($G$2,0,IF((AC$6-$G$3)&lt;1,0,IFERROR(LOOKUP(2,1/(Algodão!$E63:INDEX(Algodão!$E63:$Z63,MIN(AC$6-$G$3,22))&lt;&gt;""),Algodão!$E63:INDEX(Algodão!$E63:$Z63,MIN(AC$6-$G$3,22))),0)))))</f>
        <v>0</v>
      </c>
      <c r="AD65" s="27" t="n">
        <f aca="false">IF(COUNT(Algodão!$E63:$Z63)=0,0,MAX(0,IF((AD$6-$E$3)&lt;1,0,IFERROR(LOOKUP(2,1/(Algodão!$E63:INDEX(Algodão!$E63:$Z63,MIN(AD$6-$E$3,22))&lt;&gt;""),Algodão!$E63:INDEX(Algodão!$E63:$Z63,MIN(AD$6-$E$3,22))),0))-IF($G$2,0,IF((AD$6-$G$3)&lt;1,0,IFERROR(LOOKUP(2,1/(Algodão!$E63:INDEX(Algodão!$E63:$Z63,MIN(AD$6-$G$3,22))&lt;&gt;""),Algodão!$E63:INDEX(Algodão!$E63:$Z63,MIN(AD$6-$G$3,22))),0)))))</f>
        <v>0</v>
      </c>
      <c r="AE65" s="27" t="n">
        <f aca="false">IF(COUNT(Algodão!$E63:$Z63)=0,0,MAX(0,IF((AE$6-$E$3)&lt;1,0,IFERROR(LOOKUP(2,1/(Algodão!$E63:INDEX(Algodão!$E63:$Z63,MIN(AE$6-$E$3,22))&lt;&gt;""),Algodão!$E63:INDEX(Algodão!$E63:$Z63,MIN(AE$6-$E$3,22))),0))-IF($G$2,0,IF((AE$6-$G$3)&lt;1,0,IFERROR(LOOKUP(2,1/(Algodão!$E63:INDEX(Algodão!$E63:$Z63,MIN(AE$6-$G$3,22))&lt;&gt;""),Algodão!$E63:INDEX(Algodão!$E63:$Z63,MIN(AE$6-$G$3,22))),0)))))</f>
        <v>0</v>
      </c>
      <c r="AF65" s="27" t="n">
        <f aca="false">IF(COUNT(Algodão!$E63:$Z63)=0,0,MAX(0,IF((AF$6-$E$3)&lt;1,0,IFERROR(LOOKUP(2,1/(Algodão!$E63:INDEX(Algodão!$E63:$Z63,MIN(AF$6-$E$3,22))&lt;&gt;""),Algodão!$E63:INDEX(Algodão!$E63:$Z63,MIN(AF$6-$E$3,22))),0))-IF($G$2,0,IF((AF$6-$G$3)&lt;1,0,IFERROR(LOOKUP(2,1/(Algodão!$E63:INDEX(Algodão!$E63:$Z63,MIN(AF$6-$G$3,22))&lt;&gt;""),Algodão!$E63:INDEX(Algodão!$E63:$Z63,MIN(AF$6-$G$3,22))),0)))))</f>
        <v>0</v>
      </c>
      <c r="AG65" s="27" t="n">
        <f aca="false">IF(COUNT(Algodão!$E63:$Z63)=0,0,MAX(0,IF((AG$6-$E$3)&lt;1,0,IFERROR(LOOKUP(2,1/(Algodão!$E63:INDEX(Algodão!$E63:$Z63,MIN(AG$6-$E$3,22))&lt;&gt;""),Algodão!$E63:INDEX(Algodão!$E63:$Z63,MIN(AG$6-$E$3,22))),0))-IF($G$2,0,IF((AG$6-$G$3)&lt;1,0,IFERROR(LOOKUP(2,1/(Algodão!$E63:INDEX(Algodão!$E63:$Z63,MIN(AG$6-$G$3,22))&lt;&gt;""),Algodão!$E63:INDEX(Algodão!$E63:$Z63,MIN(AG$6-$G$3,22))),0)))))</f>
        <v>0</v>
      </c>
      <c r="AH65" s="27" t="n">
        <f aca="false">IF(COUNT(Algodão!$E63:$Z63)=0,0,MAX(0,IF((AH$6-$E$3)&lt;1,0,IFERROR(LOOKUP(2,1/(Algodão!$E63:INDEX(Algodão!$E63:$Z63,MIN(AH$6-$E$3,22))&lt;&gt;""),Algodão!$E63:INDEX(Algodão!$E63:$Z63,MIN(AH$6-$E$3,22))),0))-IF($G$2,0,IF((AH$6-$G$3)&lt;1,0,IFERROR(LOOKUP(2,1/(Algodão!$E63:INDEX(Algodão!$E63:$Z63,MIN(AH$6-$G$3,22))&lt;&gt;""),Algodão!$E63:INDEX(Algodão!$E63:$Z63,MIN(AH$6-$G$3,22))),0)))))</f>
        <v>0</v>
      </c>
      <c r="AI65" s="27" t="n">
        <f aca="false">IF(COUNT(Algodão!$E63:$Z63)=0,0,MAX(0,IF((AI$6-$E$3)&lt;1,0,IFERROR(LOOKUP(2,1/(Algodão!$E63:INDEX(Algodão!$E63:$Z63,MIN(AI$6-$E$3,22))&lt;&gt;""),Algodão!$E63:INDEX(Algodão!$E63:$Z63,MIN(AI$6-$E$3,22))),0))-IF($G$2,0,IF((AI$6-$G$3)&lt;1,0,IFERROR(LOOKUP(2,1/(Algodão!$E63:INDEX(Algodão!$E63:$Z63,MIN(AI$6-$G$3,22))&lt;&gt;""),Algodão!$E63:INDEX(Algodão!$E63:$Z63,MIN(AI$6-$G$3,22))),0)))))</f>
        <v>0</v>
      </c>
      <c r="AJ65" s="27" t="n">
        <f aca="false">IF(COUNT(Algodão!$E63:$Z63)=0,0,MAX(0,IF((AJ$6-$E$3)&lt;1,0,IFERROR(LOOKUP(2,1/(Algodão!$E63:INDEX(Algodão!$E63:$Z63,MIN(AJ$6-$E$3,22))&lt;&gt;""),Algodão!$E63:INDEX(Algodão!$E63:$Z63,MIN(AJ$6-$E$3,22))),0))-IF($G$2,0,IF((AJ$6-$G$3)&lt;1,0,IFERROR(LOOKUP(2,1/(Algodão!$E63:INDEX(Algodão!$E63:$Z63,MIN(AJ$6-$G$3,22))&lt;&gt;""),Algodão!$E63:INDEX(Algodão!$E63:$Z63,MIN(AJ$6-$G$3,22))),0)))))</f>
        <v>0</v>
      </c>
      <c r="AK65" s="27" t="n">
        <f aca="false">IF(COUNT(Algodão!$E63:$Z63)=0,0,MAX(0,IF((AK$6-$E$3)&lt;1,0,IFERROR(LOOKUP(2,1/(Algodão!$E63:INDEX(Algodão!$E63:$Z63,MIN(AK$6-$E$3,22))&lt;&gt;""),Algodão!$E63:INDEX(Algodão!$E63:$Z63,MIN(AK$6-$E$3,22))),0))-IF($G$2,0,IF((AK$6-$G$3)&lt;1,0,IFERROR(LOOKUP(2,1/(Algodão!$E63:INDEX(Algodão!$E63:$Z63,MIN(AK$6-$G$3,22))&lt;&gt;""),Algodão!$E63:INDEX(Algodão!$E63:$Z63,MIN(AK$6-$G$3,22))),0)))))</f>
        <v>0</v>
      </c>
      <c r="AL65" s="27" t="n">
        <f aca="false">IF(COUNT(Algodão!$E63:$Z63)=0,0,MAX(0,IF((AL$6-$E$3)&lt;1,0,IFERROR(LOOKUP(2,1/(Algodão!$E63:INDEX(Algodão!$E63:$Z63,MIN(AL$6-$E$3,22))&lt;&gt;""),Algodão!$E63:INDEX(Algodão!$E63:$Z63,MIN(AL$6-$E$3,22))),0))-IF($G$2,0,IF((AL$6-$G$3)&lt;1,0,IFERROR(LOOKUP(2,1/(Algodão!$E63:INDEX(Algodão!$E63:$Z63,MIN(AL$6-$G$3,22))&lt;&gt;""),Algodão!$E63:INDEX(Algodão!$E63:$Z63,MIN(AL$6-$G$3,22))),0)))))</f>
        <v>0</v>
      </c>
      <c r="AM65" s="27" t="n">
        <f aca="false">IF(COUNT(Algodão!$E63:$Z63)=0,0,MAX(0,IF((AM$6-$E$3)&lt;1,0,IFERROR(LOOKUP(2,1/(Algodão!$E63:INDEX(Algodão!$E63:$Z63,MIN(AM$6-$E$3,22))&lt;&gt;""),Algodão!$E63:INDEX(Algodão!$E63:$Z63,MIN(AM$6-$E$3,22))),0))-IF($G$2,0,IF((AM$6-$G$3)&lt;1,0,IFERROR(LOOKUP(2,1/(Algodão!$E63:INDEX(Algodão!$E63:$Z63,MIN(AM$6-$G$3,22))&lt;&gt;""),Algodão!$E63:INDEX(Algodão!$E63:$Z63,MIN(AM$6-$G$3,22))),0)))))</f>
        <v>0</v>
      </c>
      <c r="AN65" s="27" t="n">
        <f aca="false">IF(COUNT(Algodão!$E63:$Z63)=0,0,MAX(0,IF((AN$6-$E$3)&lt;1,0,IFERROR(LOOKUP(2,1/(Algodão!$E63:INDEX(Algodão!$E63:$Z63,MIN(AN$6-$E$3,22))&lt;&gt;""),Algodão!$E63:INDEX(Algodão!$E63:$Z63,MIN(AN$6-$E$3,22))),0))-IF($G$2,0,IF((AN$6-$G$3)&lt;1,0,IFERROR(LOOKUP(2,1/(Algodão!$E63:INDEX(Algodão!$E63:$Z63,MIN(AN$6-$G$3,22))&lt;&gt;""),Algodão!$E63:INDEX(Algodão!$E63:$Z63,MIN(AN$6-$G$3,22))),0)))))</f>
        <v>0</v>
      </c>
      <c r="AO65" s="27" t="n">
        <f aca="false">IF(COUNT(Algodão!$E63:$Z63)=0,0,MAX(0,IF((AO$6-$E$3)&lt;1,0,IFERROR(LOOKUP(2,1/(Algodão!$E63:INDEX(Algodão!$E63:$Z63,MIN(AO$6-$E$3,22))&lt;&gt;""),Algodão!$E63:INDEX(Algodão!$E63:$Z63,MIN(AO$6-$E$3,22))),0))-IF($G$2,0,IF((AO$6-$G$3)&lt;1,0,IFERROR(LOOKUP(2,1/(Algodão!$E63:INDEX(Algodão!$E63:$Z63,MIN(AO$6-$G$3,22))&lt;&gt;""),Algodão!$E63:INDEX(Algodão!$E63:$Z63,MIN(AO$6-$G$3,22))),0)))))</f>
        <v>0</v>
      </c>
      <c r="AP65" s="27" t="n">
        <f aca="false">IF(COUNT(Algodão!$E63:$Z63)=0,0,MAX(0,IF((AP$6-$E$3)&lt;1,0,IFERROR(LOOKUP(2,1/(Algodão!$E63:INDEX(Algodão!$E63:$Z63,MIN(AP$6-$E$3,22))&lt;&gt;""),Algodão!$E63:INDEX(Algodão!$E63:$Z63,MIN(AP$6-$E$3,22))),0))-IF($G$2,0,IF((AP$6-$G$3)&lt;1,0,IFERROR(LOOKUP(2,1/(Algodão!$E63:INDEX(Algodão!$E63:$Z63,MIN(AP$6-$G$3,22))&lt;&gt;""),Algodão!$E63:INDEX(Algodão!$E63:$Z63,MIN(AP$6-$G$3,22))),0)))))</f>
        <v>0</v>
      </c>
      <c r="AQ65" s="27" t="n">
        <f aca="false">IF(COUNT(Algodão!$E63:$Z63)=0,0,MAX(0,IF((AQ$6-$E$3)&lt;1,0,IFERROR(LOOKUP(2,1/(Algodão!$E63:INDEX(Algodão!$E63:$Z63,MIN(AQ$6-$E$3,22))&lt;&gt;""),Algodão!$E63:INDEX(Algodão!$E63:$Z63,MIN(AQ$6-$E$3,22))),0))-IF($G$2,0,IF((AQ$6-$G$3)&lt;1,0,IFERROR(LOOKUP(2,1/(Algodão!$E63:INDEX(Algodão!$E63:$Z63,MIN(AQ$6-$G$3,22))&lt;&gt;""),Algodão!$E63:INDEX(Algodão!$E63:$Z63,MIN(AQ$6-$G$3,22))),0)))))</f>
        <v>0</v>
      </c>
      <c r="AR65" s="27" t="n">
        <f aca="false">IF(COUNT(Algodão!$E63:$Z63)=0,0,MAX(0,IF((AR$6-$E$3)&lt;1,0,IFERROR(LOOKUP(2,1/(Algodão!$E63:INDEX(Algodão!$E63:$Z63,MIN(AR$6-$E$3,22))&lt;&gt;""),Algodão!$E63:INDEX(Algodão!$E63:$Z63,MIN(AR$6-$E$3,22))),0))-IF($G$2,0,IF((AR$6-$G$3)&lt;1,0,IFERROR(LOOKUP(2,1/(Algodão!$E63:INDEX(Algodão!$E63:$Z63,MIN(AR$6-$G$3,22))&lt;&gt;""),Algodão!$E63:INDEX(Algodão!$E63:$Z63,MIN(AR$6-$G$3,22))),0)))))</f>
        <v>0</v>
      </c>
      <c r="AS65" s="27" t="n">
        <f aca="false">IF(COUNT(Algodão!$E63:$Z63)=0,0,MAX(0,IF((AS$6-$E$3)&lt;1,0,IFERROR(LOOKUP(2,1/(Algodão!$E63:INDEX(Algodão!$E63:$Z63,MIN(AS$6-$E$3,22))&lt;&gt;""),Algodão!$E63:INDEX(Algodão!$E63:$Z63,MIN(AS$6-$E$3,22))),0))-IF($G$2,0,IF((AS$6-$G$3)&lt;1,0,IFERROR(LOOKUP(2,1/(Algodão!$E63:INDEX(Algodão!$E63:$Z63,MIN(AS$6-$G$3,22))&lt;&gt;""),Algodão!$E63:INDEX(Algodão!$E63:$Z63,MIN(AS$6-$G$3,22))),0)))))</f>
        <v>0</v>
      </c>
      <c r="AT65" s="27" t="n">
        <f aca="false">IF(COUNT(Algodão!$E63:$Z63)=0,0,MAX(0,IF((AT$6-$E$3)&lt;1,0,IFERROR(LOOKUP(2,1/(Algodão!$E63:INDEX(Algodão!$E63:$Z63,MIN(AT$6-$E$3,22))&lt;&gt;""),Algodão!$E63:INDEX(Algodão!$E63:$Z63,MIN(AT$6-$E$3,22))),0))-IF($G$2,0,IF((AT$6-$G$3)&lt;1,0,IFERROR(LOOKUP(2,1/(Algodão!$E63:INDEX(Algodão!$E63:$Z63,MIN(AT$6-$G$3,22))&lt;&gt;""),Algodão!$E63:INDEX(Algodão!$E63:$Z63,MIN(AT$6-$G$3,22))),0)))))</f>
        <v>0</v>
      </c>
      <c r="AU65" s="27" t="n">
        <f aca="false">IF(COUNT(Algodão!$E63:$Z63)=0,0,MAX(0,IF((AU$6-$E$3)&lt;1,0,IFERROR(LOOKUP(2,1/(Algodão!$E63:INDEX(Algodão!$E63:$Z63,MIN(AU$6-$E$3,22))&lt;&gt;""),Algodão!$E63:INDEX(Algodão!$E63:$Z63,MIN(AU$6-$E$3,22))),0))-IF($G$2,0,IF((AU$6-$G$3)&lt;1,0,IFERROR(LOOKUP(2,1/(Algodão!$E63:INDEX(Algodão!$E63:$Z63,MIN(AU$6-$G$3,22))&lt;&gt;""),Algodão!$E63:INDEX(Algodão!$E63:$Z63,MIN(AU$6-$G$3,22))),0)))))</f>
        <v>0</v>
      </c>
      <c r="AV65" s="27" t="n">
        <f aca="false">IF(COUNT(Algodão!$E63:$Z63)=0,0,MAX(0,IF((AV$6-$E$3)&lt;1,0,IFERROR(LOOKUP(2,1/(Algodão!$E63:INDEX(Algodão!$E63:$Z63,MIN(AV$6-$E$3,22))&lt;&gt;""),Algodão!$E63:INDEX(Algodão!$E63:$Z63,MIN(AV$6-$E$3,22))),0))-IF($G$2,0,IF((AV$6-$G$3)&lt;1,0,IFERROR(LOOKUP(2,1/(Algodão!$E63:INDEX(Algodão!$E63:$Z63,MIN(AV$6-$G$3,22))&lt;&gt;""),Algodão!$E63:INDEX(Algodão!$E63:$Z63,MIN(AV$6-$G$3,22))),0)))))</f>
        <v>0</v>
      </c>
      <c r="AW65" s="27" t="n">
        <f aca="false">IF(COUNT(Algodão!$E63:$Z63)=0,0,MAX(0,IF((AW$6-$E$3)&lt;1,0,IFERROR(LOOKUP(2,1/(Algodão!$E63:INDEX(Algodão!$E63:$Z63,MIN(AW$6-$E$3,22))&lt;&gt;""),Algodão!$E63:INDEX(Algodão!$E63:$Z63,MIN(AW$6-$E$3,22))),0))-IF($G$2,0,IF((AW$6-$G$3)&lt;1,0,IFERROR(LOOKUP(2,1/(Algodão!$E63:INDEX(Algodão!$E63:$Z63,MIN(AW$6-$G$3,22))&lt;&gt;""),Algodão!$E63:INDEX(Algodão!$E63:$Z63,MIN(AW$6-$G$3,22))),0)))))</f>
        <v>0</v>
      </c>
      <c r="AX65" s="27" t="n">
        <f aca="false">IF(COUNT(Algodão!$E63:$Z63)=0,0,MAX(0,IF((AX$6-$E$3)&lt;1,0,IFERROR(LOOKUP(2,1/(Algodão!$E63:INDEX(Algodão!$E63:$Z63,MIN(AX$6-$E$3,22))&lt;&gt;""),Algodão!$E63:INDEX(Algodão!$E63:$Z63,MIN(AX$6-$E$3,22))),0))-IF($G$2,0,IF((AX$6-$G$3)&lt;1,0,IFERROR(LOOKUP(2,1/(Algodão!$E63:INDEX(Algodão!$E63:$Z63,MIN(AX$6-$G$3,22))&lt;&gt;""),Algodão!$E63:INDEX(Algodão!$E63:$Z63,MIN(AX$6-$G$3,22))),0)))))</f>
        <v>0</v>
      </c>
      <c r="AY65" s="27" t="n">
        <f aca="false">IF(COUNT(Algodão!$E63:$Z63)=0,0,MAX(0,IF((AY$6-$E$3)&lt;1,0,IFERROR(LOOKUP(2,1/(Algodão!$E63:INDEX(Algodão!$E63:$Z63,MIN(AY$6-$E$3,22))&lt;&gt;""),Algodão!$E63:INDEX(Algodão!$E63:$Z63,MIN(AY$6-$E$3,22))),0))-IF($G$2,0,IF((AY$6-$G$3)&lt;1,0,IFERROR(LOOKUP(2,1/(Algodão!$E63:INDEX(Algodão!$E63:$Z63,MIN(AY$6-$G$3,22))&lt;&gt;""),Algodão!$E63:INDEX(Algodão!$E63:$Z63,MIN(AY$6-$G$3,22))),0)))))</f>
        <v>0</v>
      </c>
      <c r="AZ65" s="27" t="n">
        <f aca="false">IF(COUNT(Algodão!$E63:$Z63)=0,0,MAX(0,IF((AZ$6-$E$3)&lt;1,0,IFERROR(LOOKUP(2,1/(Algodão!$E63:INDEX(Algodão!$E63:$Z63,MIN(AZ$6-$E$3,22))&lt;&gt;""),Algodão!$E63:INDEX(Algodão!$E63:$Z63,MIN(AZ$6-$E$3,22))),0))-IF($G$2,0,IF((AZ$6-$G$3)&lt;1,0,IFERROR(LOOKUP(2,1/(Algodão!$E63:INDEX(Algodão!$E63:$Z63,MIN(AZ$6-$G$3,22))&lt;&gt;""),Algodão!$E63:INDEX(Algodão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IF(COUNT(Algodão!$E64:$Z64)&gt;0,N(Algodão!$D64),0)</f>
        <v>0</v>
      </c>
      <c r="E66" s="27" t="n">
        <f aca="false">IF(COUNT(Algodão!$E64:$Z64)=0,0,MAX(0,IF((E$6-$E$3)&lt;1,0,IFERROR(LOOKUP(2,1/(Algodão!$E64:INDEX(Algodão!$E64:$Z64,MIN(E$6-$E$3,22))&lt;&gt;""),Algodão!$E64:INDEX(Algodão!$E64:$Z64,MIN(E$6-$E$3,22))),0))-IF($G$2,0,IF((E$6-$G$3)&lt;1,0,IFERROR(LOOKUP(2,1/(Algodão!$E64:INDEX(Algodão!$E64:$Z64,MIN(E$6-$G$3,22))&lt;&gt;""),Algodão!$E64:INDEX(Algodão!$E64:$Z64,MIN(E$6-$G$3,22))),0)))))</f>
        <v>0</v>
      </c>
      <c r="F66" s="27" t="n">
        <f aca="false">IF(COUNT(Algodão!$E64:$Z64)=0,0,MAX(0,IF((F$6-$E$3)&lt;1,0,IFERROR(LOOKUP(2,1/(Algodão!$E64:INDEX(Algodão!$E64:$Z64,MIN(F$6-$E$3,22))&lt;&gt;""),Algodão!$E64:INDEX(Algodão!$E64:$Z64,MIN(F$6-$E$3,22))),0))-IF($G$2,0,IF((F$6-$G$3)&lt;1,0,IFERROR(LOOKUP(2,1/(Algodão!$E64:INDEX(Algodão!$E64:$Z64,MIN(F$6-$G$3,22))&lt;&gt;""),Algodão!$E64:INDEX(Algodão!$E64:$Z64,MIN(F$6-$G$3,22))),0)))))</f>
        <v>0</v>
      </c>
      <c r="G66" s="27" t="n">
        <f aca="false">IF(COUNT(Algodão!$E64:$Z64)=0,0,MAX(0,IF((G$6-$E$3)&lt;1,0,IFERROR(LOOKUP(2,1/(Algodão!$E64:INDEX(Algodão!$E64:$Z64,MIN(G$6-$E$3,22))&lt;&gt;""),Algodão!$E64:INDEX(Algodão!$E64:$Z64,MIN(G$6-$E$3,22))),0))-IF($G$2,0,IF((G$6-$G$3)&lt;1,0,IFERROR(LOOKUP(2,1/(Algodão!$E64:INDEX(Algodão!$E64:$Z64,MIN(G$6-$G$3,22))&lt;&gt;""),Algodão!$E64:INDEX(Algodão!$E64:$Z64,MIN(G$6-$G$3,22))),0)))))</f>
        <v>0</v>
      </c>
      <c r="H66" s="27" t="n">
        <f aca="false">IF(COUNT(Algodão!$E64:$Z64)=0,0,MAX(0,IF((H$6-$E$3)&lt;1,0,IFERROR(LOOKUP(2,1/(Algodão!$E64:INDEX(Algodão!$E64:$Z64,MIN(H$6-$E$3,22))&lt;&gt;""),Algodão!$E64:INDEX(Algodão!$E64:$Z64,MIN(H$6-$E$3,22))),0))-IF($G$2,0,IF((H$6-$G$3)&lt;1,0,IFERROR(LOOKUP(2,1/(Algodão!$E64:INDEX(Algodão!$E64:$Z64,MIN(H$6-$G$3,22))&lt;&gt;""),Algodão!$E64:INDEX(Algodão!$E64:$Z64,MIN(H$6-$G$3,22))),0)))))</f>
        <v>0</v>
      </c>
      <c r="I66" s="27" t="n">
        <f aca="false">IF(COUNT(Algodão!$E64:$Z64)=0,0,MAX(0,IF((I$6-$E$3)&lt;1,0,IFERROR(LOOKUP(2,1/(Algodão!$E64:INDEX(Algodão!$E64:$Z64,MIN(I$6-$E$3,22))&lt;&gt;""),Algodão!$E64:INDEX(Algodão!$E64:$Z64,MIN(I$6-$E$3,22))),0))-IF($G$2,0,IF((I$6-$G$3)&lt;1,0,IFERROR(LOOKUP(2,1/(Algodão!$E64:INDEX(Algodão!$E64:$Z64,MIN(I$6-$G$3,22))&lt;&gt;""),Algodão!$E64:INDEX(Algodão!$E64:$Z64,MIN(I$6-$G$3,22))),0)))))</f>
        <v>0</v>
      </c>
      <c r="J66" s="27" t="n">
        <f aca="false">IF(COUNT(Algodão!$E64:$Z64)=0,0,MAX(0,IF((J$6-$E$3)&lt;1,0,IFERROR(LOOKUP(2,1/(Algodão!$E64:INDEX(Algodão!$E64:$Z64,MIN(J$6-$E$3,22))&lt;&gt;""),Algodão!$E64:INDEX(Algodão!$E64:$Z64,MIN(J$6-$E$3,22))),0))-IF($G$2,0,IF((J$6-$G$3)&lt;1,0,IFERROR(LOOKUP(2,1/(Algodão!$E64:INDEX(Algodão!$E64:$Z64,MIN(J$6-$G$3,22))&lt;&gt;""),Algodão!$E64:INDEX(Algodão!$E64:$Z64,MIN(J$6-$G$3,22))),0)))))</f>
        <v>0</v>
      </c>
      <c r="K66" s="27" t="n">
        <f aca="false">IF(COUNT(Algodão!$E64:$Z64)=0,0,MAX(0,IF((K$6-$E$3)&lt;1,0,IFERROR(LOOKUP(2,1/(Algodão!$E64:INDEX(Algodão!$E64:$Z64,MIN(K$6-$E$3,22))&lt;&gt;""),Algodão!$E64:INDEX(Algodão!$E64:$Z64,MIN(K$6-$E$3,22))),0))-IF($G$2,0,IF((K$6-$G$3)&lt;1,0,IFERROR(LOOKUP(2,1/(Algodão!$E64:INDEX(Algodão!$E64:$Z64,MIN(K$6-$G$3,22))&lt;&gt;""),Algodão!$E64:INDEX(Algodão!$E64:$Z64,MIN(K$6-$G$3,22))),0)))))</f>
        <v>0</v>
      </c>
      <c r="L66" s="27" t="n">
        <f aca="false">IF(COUNT(Algodão!$E64:$Z64)=0,0,MAX(0,IF((L$6-$E$3)&lt;1,0,IFERROR(LOOKUP(2,1/(Algodão!$E64:INDEX(Algodão!$E64:$Z64,MIN(L$6-$E$3,22))&lt;&gt;""),Algodão!$E64:INDEX(Algodão!$E64:$Z64,MIN(L$6-$E$3,22))),0))-IF($G$2,0,IF((L$6-$G$3)&lt;1,0,IFERROR(LOOKUP(2,1/(Algodão!$E64:INDEX(Algodão!$E64:$Z64,MIN(L$6-$G$3,22))&lt;&gt;""),Algodão!$E64:INDEX(Algodão!$E64:$Z64,MIN(L$6-$G$3,22))),0)))))</f>
        <v>0</v>
      </c>
      <c r="M66" s="27" t="n">
        <f aca="false">IF(COUNT(Algodão!$E64:$Z64)=0,0,MAX(0,IF((M$6-$E$3)&lt;1,0,IFERROR(LOOKUP(2,1/(Algodão!$E64:INDEX(Algodão!$E64:$Z64,MIN(M$6-$E$3,22))&lt;&gt;""),Algodão!$E64:INDEX(Algodão!$E64:$Z64,MIN(M$6-$E$3,22))),0))-IF($G$2,0,IF((M$6-$G$3)&lt;1,0,IFERROR(LOOKUP(2,1/(Algodão!$E64:INDEX(Algodão!$E64:$Z64,MIN(M$6-$G$3,22))&lt;&gt;""),Algodão!$E64:INDEX(Algodão!$E64:$Z64,MIN(M$6-$G$3,22))),0)))))</f>
        <v>0</v>
      </c>
      <c r="N66" s="27" t="n">
        <f aca="false">IF(COUNT(Algodão!$E64:$Z64)=0,0,MAX(0,IF((N$6-$E$3)&lt;1,0,IFERROR(LOOKUP(2,1/(Algodão!$E64:INDEX(Algodão!$E64:$Z64,MIN(N$6-$E$3,22))&lt;&gt;""),Algodão!$E64:INDEX(Algodão!$E64:$Z64,MIN(N$6-$E$3,22))),0))-IF($G$2,0,IF((N$6-$G$3)&lt;1,0,IFERROR(LOOKUP(2,1/(Algodão!$E64:INDEX(Algodão!$E64:$Z64,MIN(N$6-$G$3,22))&lt;&gt;""),Algodão!$E64:INDEX(Algodão!$E64:$Z64,MIN(N$6-$G$3,22))),0)))))</f>
        <v>0</v>
      </c>
      <c r="O66" s="27" t="n">
        <f aca="false">IF(COUNT(Algodão!$E64:$Z64)=0,0,MAX(0,IF((O$6-$E$3)&lt;1,0,IFERROR(LOOKUP(2,1/(Algodão!$E64:INDEX(Algodão!$E64:$Z64,MIN(O$6-$E$3,22))&lt;&gt;""),Algodão!$E64:INDEX(Algodão!$E64:$Z64,MIN(O$6-$E$3,22))),0))-IF($G$2,0,IF((O$6-$G$3)&lt;1,0,IFERROR(LOOKUP(2,1/(Algodão!$E64:INDEX(Algodão!$E64:$Z64,MIN(O$6-$G$3,22))&lt;&gt;""),Algodão!$E64:INDEX(Algodão!$E64:$Z64,MIN(O$6-$G$3,22))),0)))))</f>
        <v>0</v>
      </c>
      <c r="P66" s="27" t="n">
        <f aca="false">IF(COUNT(Algodão!$E64:$Z64)=0,0,MAX(0,IF((P$6-$E$3)&lt;1,0,IFERROR(LOOKUP(2,1/(Algodão!$E64:INDEX(Algodão!$E64:$Z64,MIN(P$6-$E$3,22))&lt;&gt;""),Algodão!$E64:INDEX(Algodão!$E64:$Z64,MIN(P$6-$E$3,22))),0))-IF($G$2,0,IF((P$6-$G$3)&lt;1,0,IFERROR(LOOKUP(2,1/(Algodão!$E64:INDEX(Algodão!$E64:$Z64,MIN(P$6-$G$3,22))&lt;&gt;""),Algodão!$E64:INDEX(Algodão!$E64:$Z64,MIN(P$6-$G$3,22))),0)))))</f>
        <v>0</v>
      </c>
      <c r="Q66" s="27" t="n">
        <f aca="false">IF(COUNT(Algodão!$E64:$Z64)=0,0,MAX(0,IF((Q$6-$E$3)&lt;1,0,IFERROR(LOOKUP(2,1/(Algodão!$E64:INDEX(Algodão!$E64:$Z64,MIN(Q$6-$E$3,22))&lt;&gt;""),Algodão!$E64:INDEX(Algodão!$E64:$Z64,MIN(Q$6-$E$3,22))),0))-IF($G$2,0,IF((Q$6-$G$3)&lt;1,0,IFERROR(LOOKUP(2,1/(Algodão!$E64:INDEX(Algodão!$E64:$Z64,MIN(Q$6-$G$3,22))&lt;&gt;""),Algodão!$E64:INDEX(Algodão!$E64:$Z64,MIN(Q$6-$G$3,22))),0)))))</f>
        <v>0</v>
      </c>
      <c r="R66" s="27" t="n">
        <f aca="false">IF(COUNT(Algodão!$E64:$Z64)=0,0,MAX(0,IF((R$6-$E$3)&lt;1,0,IFERROR(LOOKUP(2,1/(Algodão!$E64:INDEX(Algodão!$E64:$Z64,MIN(R$6-$E$3,22))&lt;&gt;""),Algodão!$E64:INDEX(Algodão!$E64:$Z64,MIN(R$6-$E$3,22))),0))-IF($G$2,0,IF((R$6-$G$3)&lt;1,0,IFERROR(LOOKUP(2,1/(Algodão!$E64:INDEX(Algodão!$E64:$Z64,MIN(R$6-$G$3,22))&lt;&gt;""),Algodão!$E64:INDEX(Algodão!$E64:$Z64,MIN(R$6-$G$3,22))),0)))))</f>
        <v>0</v>
      </c>
      <c r="S66" s="27" t="n">
        <f aca="false">IF(COUNT(Algodão!$E64:$Z64)=0,0,MAX(0,IF((S$6-$E$3)&lt;1,0,IFERROR(LOOKUP(2,1/(Algodão!$E64:INDEX(Algodão!$E64:$Z64,MIN(S$6-$E$3,22))&lt;&gt;""),Algodão!$E64:INDEX(Algodão!$E64:$Z64,MIN(S$6-$E$3,22))),0))-IF($G$2,0,IF((S$6-$G$3)&lt;1,0,IFERROR(LOOKUP(2,1/(Algodão!$E64:INDEX(Algodão!$E64:$Z64,MIN(S$6-$G$3,22))&lt;&gt;""),Algodão!$E64:INDEX(Algodão!$E64:$Z64,MIN(S$6-$G$3,22))),0)))))</f>
        <v>0</v>
      </c>
      <c r="T66" s="27" t="n">
        <f aca="false">IF(COUNT(Algodão!$E64:$Z64)=0,0,MAX(0,IF((T$6-$E$3)&lt;1,0,IFERROR(LOOKUP(2,1/(Algodão!$E64:INDEX(Algodão!$E64:$Z64,MIN(T$6-$E$3,22))&lt;&gt;""),Algodão!$E64:INDEX(Algodão!$E64:$Z64,MIN(T$6-$E$3,22))),0))-IF($G$2,0,IF((T$6-$G$3)&lt;1,0,IFERROR(LOOKUP(2,1/(Algodão!$E64:INDEX(Algodão!$E64:$Z64,MIN(T$6-$G$3,22))&lt;&gt;""),Algodão!$E64:INDEX(Algodão!$E64:$Z64,MIN(T$6-$G$3,22))),0)))))</f>
        <v>0</v>
      </c>
      <c r="U66" s="27" t="n">
        <f aca="false">IF(COUNT(Algodão!$E64:$Z64)=0,0,MAX(0,IF((U$6-$E$3)&lt;1,0,IFERROR(LOOKUP(2,1/(Algodão!$E64:INDEX(Algodão!$E64:$Z64,MIN(U$6-$E$3,22))&lt;&gt;""),Algodão!$E64:INDEX(Algodão!$E64:$Z64,MIN(U$6-$E$3,22))),0))-IF($G$2,0,IF((U$6-$G$3)&lt;1,0,IFERROR(LOOKUP(2,1/(Algodão!$E64:INDEX(Algodão!$E64:$Z64,MIN(U$6-$G$3,22))&lt;&gt;""),Algodão!$E64:INDEX(Algodão!$E64:$Z64,MIN(U$6-$G$3,22))),0)))))</f>
        <v>0</v>
      </c>
      <c r="V66" s="27" t="n">
        <f aca="false">IF(COUNT(Algodão!$E64:$Z64)=0,0,MAX(0,IF((V$6-$E$3)&lt;1,0,IFERROR(LOOKUP(2,1/(Algodão!$E64:INDEX(Algodão!$E64:$Z64,MIN(V$6-$E$3,22))&lt;&gt;""),Algodão!$E64:INDEX(Algodão!$E64:$Z64,MIN(V$6-$E$3,22))),0))-IF($G$2,0,IF((V$6-$G$3)&lt;1,0,IFERROR(LOOKUP(2,1/(Algodão!$E64:INDEX(Algodão!$E64:$Z64,MIN(V$6-$G$3,22))&lt;&gt;""),Algodão!$E64:INDEX(Algodão!$E64:$Z64,MIN(V$6-$G$3,22))),0)))))</f>
        <v>0</v>
      </c>
      <c r="W66" s="27" t="n">
        <f aca="false">IF(COUNT(Algodão!$E64:$Z64)=0,0,MAX(0,IF((W$6-$E$3)&lt;1,0,IFERROR(LOOKUP(2,1/(Algodão!$E64:INDEX(Algodão!$E64:$Z64,MIN(W$6-$E$3,22))&lt;&gt;""),Algodão!$E64:INDEX(Algodão!$E64:$Z64,MIN(W$6-$E$3,22))),0))-IF($G$2,0,IF((W$6-$G$3)&lt;1,0,IFERROR(LOOKUP(2,1/(Algodão!$E64:INDEX(Algodão!$E64:$Z64,MIN(W$6-$G$3,22))&lt;&gt;""),Algodão!$E64:INDEX(Algodão!$E64:$Z64,MIN(W$6-$G$3,22))),0)))))</f>
        <v>0</v>
      </c>
      <c r="X66" s="27" t="n">
        <f aca="false">IF(COUNT(Algodão!$E64:$Z64)=0,0,MAX(0,IF((X$6-$E$3)&lt;1,0,IFERROR(LOOKUP(2,1/(Algodão!$E64:INDEX(Algodão!$E64:$Z64,MIN(X$6-$E$3,22))&lt;&gt;""),Algodão!$E64:INDEX(Algodão!$E64:$Z64,MIN(X$6-$E$3,22))),0))-IF($G$2,0,IF((X$6-$G$3)&lt;1,0,IFERROR(LOOKUP(2,1/(Algodão!$E64:INDEX(Algodão!$E64:$Z64,MIN(X$6-$G$3,22))&lt;&gt;""),Algodão!$E64:INDEX(Algodão!$E64:$Z64,MIN(X$6-$G$3,22))),0)))))</f>
        <v>0</v>
      </c>
      <c r="Y66" s="27" t="n">
        <f aca="false">IF(COUNT(Algodão!$E64:$Z64)=0,0,MAX(0,IF((Y$6-$E$3)&lt;1,0,IFERROR(LOOKUP(2,1/(Algodão!$E64:INDEX(Algodão!$E64:$Z64,MIN(Y$6-$E$3,22))&lt;&gt;""),Algodão!$E64:INDEX(Algodão!$E64:$Z64,MIN(Y$6-$E$3,22))),0))-IF($G$2,0,IF((Y$6-$G$3)&lt;1,0,IFERROR(LOOKUP(2,1/(Algodão!$E64:INDEX(Algodão!$E64:$Z64,MIN(Y$6-$G$3,22))&lt;&gt;""),Algodão!$E64:INDEX(Algodão!$E64:$Z64,MIN(Y$6-$G$3,22))),0)))))</f>
        <v>0</v>
      </c>
      <c r="Z66" s="27" t="n">
        <f aca="false">IF(COUNT(Algodão!$E64:$Z64)=0,0,MAX(0,IF((Z$6-$E$3)&lt;1,0,IFERROR(LOOKUP(2,1/(Algodão!$E64:INDEX(Algodão!$E64:$Z64,MIN(Z$6-$E$3,22))&lt;&gt;""),Algodão!$E64:INDEX(Algodão!$E64:$Z64,MIN(Z$6-$E$3,22))),0))-IF($G$2,0,IF((Z$6-$G$3)&lt;1,0,IFERROR(LOOKUP(2,1/(Algodão!$E64:INDEX(Algodão!$E64:$Z64,MIN(Z$6-$G$3,22))&lt;&gt;""),Algodão!$E64:INDEX(Algodão!$E64:$Z64,MIN(Z$6-$G$3,22))),0)))))</f>
        <v>0</v>
      </c>
      <c r="AA66" s="27" t="n">
        <f aca="false">IF(COUNT(Algodão!$E64:$Z64)=0,0,MAX(0,IF((AA$6-$E$3)&lt;1,0,IFERROR(LOOKUP(2,1/(Algodão!$E64:INDEX(Algodão!$E64:$Z64,MIN(AA$6-$E$3,22))&lt;&gt;""),Algodão!$E64:INDEX(Algodão!$E64:$Z64,MIN(AA$6-$E$3,22))),0))-IF($G$2,0,IF((AA$6-$G$3)&lt;1,0,IFERROR(LOOKUP(2,1/(Algodão!$E64:INDEX(Algodão!$E64:$Z64,MIN(AA$6-$G$3,22))&lt;&gt;""),Algodão!$E64:INDEX(Algodão!$E64:$Z64,MIN(AA$6-$G$3,22))),0)))))</f>
        <v>0</v>
      </c>
      <c r="AB66" s="27" t="n">
        <f aca="false">IF(COUNT(Algodão!$E64:$Z64)=0,0,MAX(0,IF((AB$6-$E$3)&lt;1,0,IFERROR(LOOKUP(2,1/(Algodão!$E64:INDEX(Algodão!$E64:$Z64,MIN(AB$6-$E$3,22))&lt;&gt;""),Algodão!$E64:INDEX(Algodão!$E64:$Z64,MIN(AB$6-$E$3,22))),0))-IF($G$2,0,IF((AB$6-$G$3)&lt;1,0,IFERROR(LOOKUP(2,1/(Algodão!$E64:INDEX(Algodão!$E64:$Z64,MIN(AB$6-$G$3,22))&lt;&gt;""),Algodão!$E64:INDEX(Algodão!$E64:$Z64,MIN(AB$6-$G$3,22))),0)))))</f>
        <v>0</v>
      </c>
      <c r="AC66" s="27" t="n">
        <f aca="false">IF(COUNT(Algodão!$E64:$Z64)=0,0,MAX(0,IF((AC$6-$E$3)&lt;1,0,IFERROR(LOOKUP(2,1/(Algodão!$E64:INDEX(Algodão!$E64:$Z64,MIN(AC$6-$E$3,22))&lt;&gt;""),Algodão!$E64:INDEX(Algodão!$E64:$Z64,MIN(AC$6-$E$3,22))),0))-IF($G$2,0,IF((AC$6-$G$3)&lt;1,0,IFERROR(LOOKUP(2,1/(Algodão!$E64:INDEX(Algodão!$E64:$Z64,MIN(AC$6-$G$3,22))&lt;&gt;""),Algodão!$E64:INDEX(Algodão!$E64:$Z64,MIN(AC$6-$G$3,22))),0)))))</f>
        <v>0</v>
      </c>
      <c r="AD66" s="27" t="n">
        <f aca="false">IF(COUNT(Algodão!$E64:$Z64)=0,0,MAX(0,IF((AD$6-$E$3)&lt;1,0,IFERROR(LOOKUP(2,1/(Algodão!$E64:INDEX(Algodão!$E64:$Z64,MIN(AD$6-$E$3,22))&lt;&gt;""),Algodão!$E64:INDEX(Algodão!$E64:$Z64,MIN(AD$6-$E$3,22))),0))-IF($G$2,0,IF((AD$6-$G$3)&lt;1,0,IFERROR(LOOKUP(2,1/(Algodão!$E64:INDEX(Algodão!$E64:$Z64,MIN(AD$6-$G$3,22))&lt;&gt;""),Algodão!$E64:INDEX(Algodão!$E64:$Z64,MIN(AD$6-$G$3,22))),0)))))</f>
        <v>0</v>
      </c>
      <c r="AE66" s="27" t="n">
        <f aca="false">IF(COUNT(Algodão!$E64:$Z64)=0,0,MAX(0,IF((AE$6-$E$3)&lt;1,0,IFERROR(LOOKUP(2,1/(Algodão!$E64:INDEX(Algodão!$E64:$Z64,MIN(AE$6-$E$3,22))&lt;&gt;""),Algodão!$E64:INDEX(Algodão!$E64:$Z64,MIN(AE$6-$E$3,22))),0))-IF($G$2,0,IF((AE$6-$G$3)&lt;1,0,IFERROR(LOOKUP(2,1/(Algodão!$E64:INDEX(Algodão!$E64:$Z64,MIN(AE$6-$G$3,22))&lt;&gt;""),Algodão!$E64:INDEX(Algodão!$E64:$Z64,MIN(AE$6-$G$3,22))),0)))))</f>
        <v>0</v>
      </c>
      <c r="AF66" s="27" t="n">
        <f aca="false">IF(COUNT(Algodão!$E64:$Z64)=0,0,MAX(0,IF((AF$6-$E$3)&lt;1,0,IFERROR(LOOKUP(2,1/(Algodão!$E64:INDEX(Algodão!$E64:$Z64,MIN(AF$6-$E$3,22))&lt;&gt;""),Algodão!$E64:INDEX(Algodão!$E64:$Z64,MIN(AF$6-$E$3,22))),0))-IF($G$2,0,IF((AF$6-$G$3)&lt;1,0,IFERROR(LOOKUP(2,1/(Algodão!$E64:INDEX(Algodão!$E64:$Z64,MIN(AF$6-$G$3,22))&lt;&gt;""),Algodão!$E64:INDEX(Algodão!$E64:$Z64,MIN(AF$6-$G$3,22))),0)))))</f>
        <v>0</v>
      </c>
      <c r="AG66" s="27" t="n">
        <f aca="false">IF(COUNT(Algodão!$E64:$Z64)=0,0,MAX(0,IF((AG$6-$E$3)&lt;1,0,IFERROR(LOOKUP(2,1/(Algodão!$E64:INDEX(Algodão!$E64:$Z64,MIN(AG$6-$E$3,22))&lt;&gt;""),Algodão!$E64:INDEX(Algodão!$E64:$Z64,MIN(AG$6-$E$3,22))),0))-IF($G$2,0,IF((AG$6-$G$3)&lt;1,0,IFERROR(LOOKUP(2,1/(Algodão!$E64:INDEX(Algodão!$E64:$Z64,MIN(AG$6-$G$3,22))&lt;&gt;""),Algodão!$E64:INDEX(Algodão!$E64:$Z64,MIN(AG$6-$G$3,22))),0)))))</f>
        <v>0</v>
      </c>
      <c r="AH66" s="27" t="n">
        <f aca="false">IF(COUNT(Algodão!$E64:$Z64)=0,0,MAX(0,IF((AH$6-$E$3)&lt;1,0,IFERROR(LOOKUP(2,1/(Algodão!$E64:INDEX(Algodão!$E64:$Z64,MIN(AH$6-$E$3,22))&lt;&gt;""),Algodão!$E64:INDEX(Algodão!$E64:$Z64,MIN(AH$6-$E$3,22))),0))-IF($G$2,0,IF((AH$6-$G$3)&lt;1,0,IFERROR(LOOKUP(2,1/(Algodão!$E64:INDEX(Algodão!$E64:$Z64,MIN(AH$6-$G$3,22))&lt;&gt;""),Algodão!$E64:INDEX(Algodão!$E64:$Z64,MIN(AH$6-$G$3,22))),0)))))</f>
        <v>0</v>
      </c>
      <c r="AI66" s="27" t="n">
        <f aca="false">IF(COUNT(Algodão!$E64:$Z64)=0,0,MAX(0,IF((AI$6-$E$3)&lt;1,0,IFERROR(LOOKUP(2,1/(Algodão!$E64:INDEX(Algodão!$E64:$Z64,MIN(AI$6-$E$3,22))&lt;&gt;""),Algodão!$E64:INDEX(Algodão!$E64:$Z64,MIN(AI$6-$E$3,22))),0))-IF($G$2,0,IF((AI$6-$G$3)&lt;1,0,IFERROR(LOOKUP(2,1/(Algodão!$E64:INDEX(Algodão!$E64:$Z64,MIN(AI$6-$G$3,22))&lt;&gt;""),Algodão!$E64:INDEX(Algodão!$E64:$Z64,MIN(AI$6-$G$3,22))),0)))))</f>
        <v>0</v>
      </c>
      <c r="AJ66" s="27" t="n">
        <f aca="false">IF(COUNT(Algodão!$E64:$Z64)=0,0,MAX(0,IF((AJ$6-$E$3)&lt;1,0,IFERROR(LOOKUP(2,1/(Algodão!$E64:INDEX(Algodão!$E64:$Z64,MIN(AJ$6-$E$3,22))&lt;&gt;""),Algodão!$E64:INDEX(Algodão!$E64:$Z64,MIN(AJ$6-$E$3,22))),0))-IF($G$2,0,IF((AJ$6-$G$3)&lt;1,0,IFERROR(LOOKUP(2,1/(Algodão!$E64:INDEX(Algodão!$E64:$Z64,MIN(AJ$6-$G$3,22))&lt;&gt;""),Algodão!$E64:INDEX(Algodão!$E64:$Z64,MIN(AJ$6-$G$3,22))),0)))))</f>
        <v>0</v>
      </c>
      <c r="AK66" s="27" t="n">
        <f aca="false">IF(COUNT(Algodão!$E64:$Z64)=0,0,MAX(0,IF((AK$6-$E$3)&lt;1,0,IFERROR(LOOKUP(2,1/(Algodão!$E64:INDEX(Algodão!$E64:$Z64,MIN(AK$6-$E$3,22))&lt;&gt;""),Algodão!$E64:INDEX(Algodão!$E64:$Z64,MIN(AK$6-$E$3,22))),0))-IF($G$2,0,IF((AK$6-$G$3)&lt;1,0,IFERROR(LOOKUP(2,1/(Algodão!$E64:INDEX(Algodão!$E64:$Z64,MIN(AK$6-$G$3,22))&lt;&gt;""),Algodão!$E64:INDEX(Algodão!$E64:$Z64,MIN(AK$6-$G$3,22))),0)))))</f>
        <v>0</v>
      </c>
      <c r="AL66" s="27" t="n">
        <f aca="false">IF(COUNT(Algodão!$E64:$Z64)=0,0,MAX(0,IF((AL$6-$E$3)&lt;1,0,IFERROR(LOOKUP(2,1/(Algodão!$E64:INDEX(Algodão!$E64:$Z64,MIN(AL$6-$E$3,22))&lt;&gt;""),Algodão!$E64:INDEX(Algodão!$E64:$Z64,MIN(AL$6-$E$3,22))),0))-IF($G$2,0,IF((AL$6-$G$3)&lt;1,0,IFERROR(LOOKUP(2,1/(Algodão!$E64:INDEX(Algodão!$E64:$Z64,MIN(AL$6-$G$3,22))&lt;&gt;""),Algodão!$E64:INDEX(Algodão!$E64:$Z64,MIN(AL$6-$G$3,22))),0)))))</f>
        <v>0</v>
      </c>
      <c r="AM66" s="27" t="n">
        <f aca="false">IF(COUNT(Algodão!$E64:$Z64)=0,0,MAX(0,IF((AM$6-$E$3)&lt;1,0,IFERROR(LOOKUP(2,1/(Algodão!$E64:INDEX(Algodão!$E64:$Z64,MIN(AM$6-$E$3,22))&lt;&gt;""),Algodão!$E64:INDEX(Algodão!$E64:$Z64,MIN(AM$6-$E$3,22))),0))-IF($G$2,0,IF((AM$6-$G$3)&lt;1,0,IFERROR(LOOKUP(2,1/(Algodão!$E64:INDEX(Algodão!$E64:$Z64,MIN(AM$6-$G$3,22))&lt;&gt;""),Algodão!$E64:INDEX(Algodão!$E64:$Z64,MIN(AM$6-$G$3,22))),0)))))</f>
        <v>0</v>
      </c>
      <c r="AN66" s="27" t="n">
        <f aca="false">IF(COUNT(Algodão!$E64:$Z64)=0,0,MAX(0,IF((AN$6-$E$3)&lt;1,0,IFERROR(LOOKUP(2,1/(Algodão!$E64:INDEX(Algodão!$E64:$Z64,MIN(AN$6-$E$3,22))&lt;&gt;""),Algodão!$E64:INDEX(Algodão!$E64:$Z64,MIN(AN$6-$E$3,22))),0))-IF($G$2,0,IF((AN$6-$G$3)&lt;1,0,IFERROR(LOOKUP(2,1/(Algodão!$E64:INDEX(Algodão!$E64:$Z64,MIN(AN$6-$G$3,22))&lt;&gt;""),Algodão!$E64:INDEX(Algodão!$E64:$Z64,MIN(AN$6-$G$3,22))),0)))))</f>
        <v>0</v>
      </c>
      <c r="AO66" s="27" t="n">
        <f aca="false">IF(COUNT(Algodão!$E64:$Z64)=0,0,MAX(0,IF((AO$6-$E$3)&lt;1,0,IFERROR(LOOKUP(2,1/(Algodão!$E64:INDEX(Algodão!$E64:$Z64,MIN(AO$6-$E$3,22))&lt;&gt;""),Algodão!$E64:INDEX(Algodão!$E64:$Z64,MIN(AO$6-$E$3,22))),0))-IF($G$2,0,IF((AO$6-$G$3)&lt;1,0,IFERROR(LOOKUP(2,1/(Algodão!$E64:INDEX(Algodão!$E64:$Z64,MIN(AO$6-$G$3,22))&lt;&gt;""),Algodão!$E64:INDEX(Algodão!$E64:$Z64,MIN(AO$6-$G$3,22))),0)))))</f>
        <v>0</v>
      </c>
      <c r="AP66" s="27" t="n">
        <f aca="false">IF(COUNT(Algodão!$E64:$Z64)=0,0,MAX(0,IF((AP$6-$E$3)&lt;1,0,IFERROR(LOOKUP(2,1/(Algodão!$E64:INDEX(Algodão!$E64:$Z64,MIN(AP$6-$E$3,22))&lt;&gt;""),Algodão!$E64:INDEX(Algodão!$E64:$Z64,MIN(AP$6-$E$3,22))),0))-IF($G$2,0,IF((AP$6-$G$3)&lt;1,0,IFERROR(LOOKUP(2,1/(Algodão!$E64:INDEX(Algodão!$E64:$Z64,MIN(AP$6-$G$3,22))&lt;&gt;""),Algodão!$E64:INDEX(Algodão!$E64:$Z64,MIN(AP$6-$G$3,22))),0)))))</f>
        <v>0</v>
      </c>
      <c r="AQ66" s="27" t="n">
        <f aca="false">IF(COUNT(Algodão!$E64:$Z64)=0,0,MAX(0,IF((AQ$6-$E$3)&lt;1,0,IFERROR(LOOKUP(2,1/(Algodão!$E64:INDEX(Algodão!$E64:$Z64,MIN(AQ$6-$E$3,22))&lt;&gt;""),Algodão!$E64:INDEX(Algodão!$E64:$Z64,MIN(AQ$6-$E$3,22))),0))-IF($G$2,0,IF((AQ$6-$G$3)&lt;1,0,IFERROR(LOOKUP(2,1/(Algodão!$E64:INDEX(Algodão!$E64:$Z64,MIN(AQ$6-$G$3,22))&lt;&gt;""),Algodão!$E64:INDEX(Algodão!$E64:$Z64,MIN(AQ$6-$G$3,22))),0)))))</f>
        <v>0</v>
      </c>
      <c r="AR66" s="27" t="n">
        <f aca="false">IF(COUNT(Algodão!$E64:$Z64)=0,0,MAX(0,IF((AR$6-$E$3)&lt;1,0,IFERROR(LOOKUP(2,1/(Algodão!$E64:INDEX(Algodão!$E64:$Z64,MIN(AR$6-$E$3,22))&lt;&gt;""),Algodão!$E64:INDEX(Algodão!$E64:$Z64,MIN(AR$6-$E$3,22))),0))-IF($G$2,0,IF((AR$6-$G$3)&lt;1,0,IFERROR(LOOKUP(2,1/(Algodão!$E64:INDEX(Algodão!$E64:$Z64,MIN(AR$6-$G$3,22))&lt;&gt;""),Algodão!$E64:INDEX(Algodão!$E64:$Z64,MIN(AR$6-$G$3,22))),0)))))</f>
        <v>0</v>
      </c>
      <c r="AS66" s="27" t="n">
        <f aca="false">IF(COUNT(Algodão!$E64:$Z64)=0,0,MAX(0,IF((AS$6-$E$3)&lt;1,0,IFERROR(LOOKUP(2,1/(Algodão!$E64:INDEX(Algodão!$E64:$Z64,MIN(AS$6-$E$3,22))&lt;&gt;""),Algodão!$E64:INDEX(Algodão!$E64:$Z64,MIN(AS$6-$E$3,22))),0))-IF($G$2,0,IF((AS$6-$G$3)&lt;1,0,IFERROR(LOOKUP(2,1/(Algodão!$E64:INDEX(Algodão!$E64:$Z64,MIN(AS$6-$G$3,22))&lt;&gt;""),Algodão!$E64:INDEX(Algodão!$E64:$Z64,MIN(AS$6-$G$3,22))),0)))))</f>
        <v>0</v>
      </c>
      <c r="AT66" s="27" t="n">
        <f aca="false">IF(COUNT(Algodão!$E64:$Z64)=0,0,MAX(0,IF((AT$6-$E$3)&lt;1,0,IFERROR(LOOKUP(2,1/(Algodão!$E64:INDEX(Algodão!$E64:$Z64,MIN(AT$6-$E$3,22))&lt;&gt;""),Algodão!$E64:INDEX(Algodão!$E64:$Z64,MIN(AT$6-$E$3,22))),0))-IF($G$2,0,IF((AT$6-$G$3)&lt;1,0,IFERROR(LOOKUP(2,1/(Algodão!$E64:INDEX(Algodão!$E64:$Z64,MIN(AT$6-$G$3,22))&lt;&gt;""),Algodão!$E64:INDEX(Algodão!$E64:$Z64,MIN(AT$6-$G$3,22))),0)))))</f>
        <v>0</v>
      </c>
      <c r="AU66" s="27" t="n">
        <f aca="false">IF(COUNT(Algodão!$E64:$Z64)=0,0,MAX(0,IF((AU$6-$E$3)&lt;1,0,IFERROR(LOOKUP(2,1/(Algodão!$E64:INDEX(Algodão!$E64:$Z64,MIN(AU$6-$E$3,22))&lt;&gt;""),Algodão!$E64:INDEX(Algodão!$E64:$Z64,MIN(AU$6-$E$3,22))),0))-IF($G$2,0,IF((AU$6-$G$3)&lt;1,0,IFERROR(LOOKUP(2,1/(Algodão!$E64:INDEX(Algodão!$E64:$Z64,MIN(AU$6-$G$3,22))&lt;&gt;""),Algodão!$E64:INDEX(Algodão!$E64:$Z64,MIN(AU$6-$G$3,22))),0)))))</f>
        <v>0</v>
      </c>
      <c r="AV66" s="27" t="n">
        <f aca="false">IF(COUNT(Algodão!$E64:$Z64)=0,0,MAX(0,IF((AV$6-$E$3)&lt;1,0,IFERROR(LOOKUP(2,1/(Algodão!$E64:INDEX(Algodão!$E64:$Z64,MIN(AV$6-$E$3,22))&lt;&gt;""),Algodão!$E64:INDEX(Algodão!$E64:$Z64,MIN(AV$6-$E$3,22))),0))-IF($G$2,0,IF((AV$6-$G$3)&lt;1,0,IFERROR(LOOKUP(2,1/(Algodão!$E64:INDEX(Algodão!$E64:$Z64,MIN(AV$6-$G$3,22))&lt;&gt;""),Algodão!$E64:INDEX(Algodão!$E64:$Z64,MIN(AV$6-$G$3,22))),0)))))</f>
        <v>0</v>
      </c>
      <c r="AW66" s="27" t="n">
        <f aca="false">IF(COUNT(Algodão!$E64:$Z64)=0,0,MAX(0,IF((AW$6-$E$3)&lt;1,0,IFERROR(LOOKUP(2,1/(Algodão!$E64:INDEX(Algodão!$E64:$Z64,MIN(AW$6-$E$3,22))&lt;&gt;""),Algodão!$E64:INDEX(Algodão!$E64:$Z64,MIN(AW$6-$E$3,22))),0))-IF($G$2,0,IF((AW$6-$G$3)&lt;1,0,IFERROR(LOOKUP(2,1/(Algodão!$E64:INDEX(Algodão!$E64:$Z64,MIN(AW$6-$G$3,22))&lt;&gt;""),Algodão!$E64:INDEX(Algodão!$E64:$Z64,MIN(AW$6-$G$3,22))),0)))))</f>
        <v>0</v>
      </c>
      <c r="AX66" s="27" t="n">
        <f aca="false">IF(COUNT(Algodão!$E64:$Z64)=0,0,MAX(0,IF((AX$6-$E$3)&lt;1,0,IFERROR(LOOKUP(2,1/(Algodão!$E64:INDEX(Algodão!$E64:$Z64,MIN(AX$6-$E$3,22))&lt;&gt;""),Algodão!$E64:INDEX(Algodão!$E64:$Z64,MIN(AX$6-$E$3,22))),0))-IF($G$2,0,IF((AX$6-$G$3)&lt;1,0,IFERROR(LOOKUP(2,1/(Algodão!$E64:INDEX(Algodão!$E64:$Z64,MIN(AX$6-$G$3,22))&lt;&gt;""),Algodão!$E64:INDEX(Algodão!$E64:$Z64,MIN(AX$6-$G$3,22))),0)))))</f>
        <v>0</v>
      </c>
      <c r="AY66" s="27" t="n">
        <f aca="false">IF(COUNT(Algodão!$E64:$Z64)=0,0,MAX(0,IF((AY$6-$E$3)&lt;1,0,IFERROR(LOOKUP(2,1/(Algodão!$E64:INDEX(Algodão!$E64:$Z64,MIN(AY$6-$E$3,22))&lt;&gt;""),Algodão!$E64:INDEX(Algodão!$E64:$Z64,MIN(AY$6-$E$3,22))),0))-IF($G$2,0,IF((AY$6-$G$3)&lt;1,0,IFERROR(LOOKUP(2,1/(Algodão!$E64:INDEX(Algodão!$E64:$Z64,MIN(AY$6-$G$3,22))&lt;&gt;""),Algodão!$E64:INDEX(Algodão!$E64:$Z64,MIN(AY$6-$G$3,22))),0)))))</f>
        <v>0</v>
      </c>
      <c r="AZ66" s="27" t="n">
        <f aca="false">IF(COUNT(Algodão!$E64:$Z64)=0,0,MAX(0,IF((AZ$6-$E$3)&lt;1,0,IFERROR(LOOKUP(2,1/(Algodão!$E64:INDEX(Algodão!$E64:$Z64,MIN(AZ$6-$E$3,22))&lt;&gt;""),Algodão!$E64:INDEX(Algodão!$E64:$Z64,MIN(AZ$6-$E$3,22))),0))-IF($G$2,0,IF((AZ$6-$G$3)&lt;1,0,IFERROR(LOOKUP(2,1/(Algodão!$E64:INDEX(Algodão!$E64:$Z64,MIN(AZ$6-$G$3,22))&lt;&gt;""),Algodão!$E64:INDEX(Algodão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IF(COUNT(Algodão!$E65:$Z65)&gt;0,N(Algodão!$D65),0)</f>
        <v>0</v>
      </c>
      <c r="E67" s="27" t="n">
        <f aca="false">IF(COUNT(Algodão!$E65:$Z65)=0,0,MAX(0,IF((E$6-$E$3)&lt;1,0,IFERROR(LOOKUP(2,1/(Algodão!$E65:INDEX(Algodão!$E65:$Z65,MIN(E$6-$E$3,22))&lt;&gt;""),Algodão!$E65:INDEX(Algodão!$E65:$Z65,MIN(E$6-$E$3,22))),0))-IF($G$2,0,IF((E$6-$G$3)&lt;1,0,IFERROR(LOOKUP(2,1/(Algodão!$E65:INDEX(Algodão!$E65:$Z65,MIN(E$6-$G$3,22))&lt;&gt;""),Algodão!$E65:INDEX(Algodão!$E65:$Z65,MIN(E$6-$G$3,22))),0)))))</f>
        <v>0</v>
      </c>
      <c r="F67" s="27" t="n">
        <f aca="false">IF(COUNT(Algodão!$E65:$Z65)=0,0,MAX(0,IF((F$6-$E$3)&lt;1,0,IFERROR(LOOKUP(2,1/(Algodão!$E65:INDEX(Algodão!$E65:$Z65,MIN(F$6-$E$3,22))&lt;&gt;""),Algodão!$E65:INDEX(Algodão!$E65:$Z65,MIN(F$6-$E$3,22))),0))-IF($G$2,0,IF((F$6-$G$3)&lt;1,0,IFERROR(LOOKUP(2,1/(Algodão!$E65:INDEX(Algodão!$E65:$Z65,MIN(F$6-$G$3,22))&lt;&gt;""),Algodão!$E65:INDEX(Algodão!$E65:$Z65,MIN(F$6-$G$3,22))),0)))))</f>
        <v>0</v>
      </c>
      <c r="G67" s="27" t="n">
        <f aca="false">IF(COUNT(Algodão!$E65:$Z65)=0,0,MAX(0,IF((G$6-$E$3)&lt;1,0,IFERROR(LOOKUP(2,1/(Algodão!$E65:INDEX(Algodão!$E65:$Z65,MIN(G$6-$E$3,22))&lt;&gt;""),Algodão!$E65:INDEX(Algodão!$E65:$Z65,MIN(G$6-$E$3,22))),0))-IF($G$2,0,IF((G$6-$G$3)&lt;1,0,IFERROR(LOOKUP(2,1/(Algodão!$E65:INDEX(Algodão!$E65:$Z65,MIN(G$6-$G$3,22))&lt;&gt;""),Algodão!$E65:INDEX(Algodão!$E65:$Z65,MIN(G$6-$G$3,22))),0)))))</f>
        <v>0</v>
      </c>
      <c r="H67" s="27" t="n">
        <f aca="false">IF(COUNT(Algodão!$E65:$Z65)=0,0,MAX(0,IF((H$6-$E$3)&lt;1,0,IFERROR(LOOKUP(2,1/(Algodão!$E65:INDEX(Algodão!$E65:$Z65,MIN(H$6-$E$3,22))&lt;&gt;""),Algodão!$E65:INDEX(Algodão!$E65:$Z65,MIN(H$6-$E$3,22))),0))-IF($G$2,0,IF((H$6-$G$3)&lt;1,0,IFERROR(LOOKUP(2,1/(Algodão!$E65:INDEX(Algodão!$E65:$Z65,MIN(H$6-$G$3,22))&lt;&gt;""),Algodão!$E65:INDEX(Algodão!$E65:$Z65,MIN(H$6-$G$3,22))),0)))))</f>
        <v>0</v>
      </c>
      <c r="I67" s="27" t="n">
        <f aca="false">IF(COUNT(Algodão!$E65:$Z65)=0,0,MAX(0,IF((I$6-$E$3)&lt;1,0,IFERROR(LOOKUP(2,1/(Algodão!$E65:INDEX(Algodão!$E65:$Z65,MIN(I$6-$E$3,22))&lt;&gt;""),Algodão!$E65:INDEX(Algodão!$E65:$Z65,MIN(I$6-$E$3,22))),0))-IF($G$2,0,IF((I$6-$G$3)&lt;1,0,IFERROR(LOOKUP(2,1/(Algodão!$E65:INDEX(Algodão!$E65:$Z65,MIN(I$6-$G$3,22))&lt;&gt;""),Algodão!$E65:INDEX(Algodão!$E65:$Z65,MIN(I$6-$G$3,22))),0)))))</f>
        <v>0</v>
      </c>
      <c r="J67" s="27" t="n">
        <f aca="false">IF(COUNT(Algodão!$E65:$Z65)=0,0,MAX(0,IF((J$6-$E$3)&lt;1,0,IFERROR(LOOKUP(2,1/(Algodão!$E65:INDEX(Algodão!$E65:$Z65,MIN(J$6-$E$3,22))&lt;&gt;""),Algodão!$E65:INDEX(Algodão!$E65:$Z65,MIN(J$6-$E$3,22))),0))-IF($G$2,0,IF((J$6-$G$3)&lt;1,0,IFERROR(LOOKUP(2,1/(Algodão!$E65:INDEX(Algodão!$E65:$Z65,MIN(J$6-$G$3,22))&lt;&gt;""),Algodão!$E65:INDEX(Algodão!$E65:$Z65,MIN(J$6-$G$3,22))),0)))))</f>
        <v>0</v>
      </c>
      <c r="K67" s="27" t="n">
        <f aca="false">IF(COUNT(Algodão!$E65:$Z65)=0,0,MAX(0,IF((K$6-$E$3)&lt;1,0,IFERROR(LOOKUP(2,1/(Algodão!$E65:INDEX(Algodão!$E65:$Z65,MIN(K$6-$E$3,22))&lt;&gt;""),Algodão!$E65:INDEX(Algodão!$E65:$Z65,MIN(K$6-$E$3,22))),0))-IF($G$2,0,IF((K$6-$G$3)&lt;1,0,IFERROR(LOOKUP(2,1/(Algodão!$E65:INDEX(Algodão!$E65:$Z65,MIN(K$6-$G$3,22))&lt;&gt;""),Algodão!$E65:INDEX(Algodão!$E65:$Z65,MIN(K$6-$G$3,22))),0)))))</f>
        <v>0</v>
      </c>
      <c r="L67" s="27" t="n">
        <f aca="false">IF(COUNT(Algodão!$E65:$Z65)=0,0,MAX(0,IF((L$6-$E$3)&lt;1,0,IFERROR(LOOKUP(2,1/(Algodão!$E65:INDEX(Algodão!$E65:$Z65,MIN(L$6-$E$3,22))&lt;&gt;""),Algodão!$E65:INDEX(Algodão!$E65:$Z65,MIN(L$6-$E$3,22))),0))-IF($G$2,0,IF((L$6-$G$3)&lt;1,0,IFERROR(LOOKUP(2,1/(Algodão!$E65:INDEX(Algodão!$E65:$Z65,MIN(L$6-$G$3,22))&lt;&gt;""),Algodão!$E65:INDEX(Algodão!$E65:$Z65,MIN(L$6-$G$3,22))),0)))))</f>
        <v>0</v>
      </c>
      <c r="M67" s="27" t="n">
        <f aca="false">IF(COUNT(Algodão!$E65:$Z65)=0,0,MAX(0,IF((M$6-$E$3)&lt;1,0,IFERROR(LOOKUP(2,1/(Algodão!$E65:INDEX(Algodão!$E65:$Z65,MIN(M$6-$E$3,22))&lt;&gt;""),Algodão!$E65:INDEX(Algodão!$E65:$Z65,MIN(M$6-$E$3,22))),0))-IF($G$2,0,IF((M$6-$G$3)&lt;1,0,IFERROR(LOOKUP(2,1/(Algodão!$E65:INDEX(Algodão!$E65:$Z65,MIN(M$6-$G$3,22))&lt;&gt;""),Algodão!$E65:INDEX(Algodão!$E65:$Z65,MIN(M$6-$G$3,22))),0)))))</f>
        <v>0</v>
      </c>
      <c r="N67" s="27" t="n">
        <f aca="false">IF(COUNT(Algodão!$E65:$Z65)=0,0,MAX(0,IF((N$6-$E$3)&lt;1,0,IFERROR(LOOKUP(2,1/(Algodão!$E65:INDEX(Algodão!$E65:$Z65,MIN(N$6-$E$3,22))&lt;&gt;""),Algodão!$E65:INDEX(Algodão!$E65:$Z65,MIN(N$6-$E$3,22))),0))-IF($G$2,0,IF((N$6-$G$3)&lt;1,0,IFERROR(LOOKUP(2,1/(Algodão!$E65:INDEX(Algodão!$E65:$Z65,MIN(N$6-$G$3,22))&lt;&gt;""),Algodão!$E65:INDEX(Algodão!$E65:$Z65,MIN(N$6-$G$3,22))),0)))))</f>
        <v>0</v>
      </c>
      <c r="O67" s="27" t="n">
        <f aca="false">IF(COUNT(Algodão!$E65:$Z65)=0,0,MAX(0,IF((O$6-$E$3)&lt;1,0,IFERROR(LOOKUP(2,1/(Algodão!$E65:INDEX(Algodão!$E65:$Z65,MIN(O$6-$E$3,22))&lt;&gt;""),Algodão!$E65:INDEX(Algodão!$E65:$Z65,MIN(O$6-$E$3,22))),0))-IF($G$2,0,IF((O$6-$G$3)&lt;1,0,IFERROR(LOOKUP(2,1/(Algodão!$E65:INDEX(Algodão!$E65:$Z65,MIN(O$6-$G$3,22))&lt;&gt;""),Algodão!$E65:INDEX(Algodão!$E65:$Z65,MIN(O$6-$G$3,22))),0)))))</f>
        <v>0</v>
      </c>
      <c r="P67" s="27" t="n">
        <f aca="false">IF(COUNT(Algodão!$E65:$Z65)=0,0,MAX(0,IF((P$6-$E$3)&lt;1,0,IFERROR(LOOKUP(2,1/(Algodão!$E65:INDEX(Algodão!$E65:$Z65,MIN(P$6-$E$3,22))&lt;&gt;""),Algodão!$E65:INDEX(Algodão!$E65:$Z65,MIN(P$6-$E$3,22))),0))-IF($G$2,0,IF((P$6-$G$3)&lt;1,0,IFERROR(LOOKUP(2,1/(Algodão!$E65:INDEX(Algodão!$E65:$Z65,MIN(P$6-$G$3,22))&lt;&gt;""),Algodão!$E65:INDEX(Algodão!$E65:$Z65,MIN(P$6-$G$3,22))),0)))))</f>
        <v>0</v>
      </c>
      <c r="Q67" s="27" t="n">
        <f aca="false">IF(COUNT(Algodão!$E65:$Z65)=0,0,MAX(0,IF((Q$6-$E$3)&lt;1,0,IFERROR(LOOKUP(2,1/(Algodão!$E65:INDEX(Algodão!$E65:$Z65,MIN(Q$6-$E$3,22))&lt;&gt;""),Algodão!$E65:INDEX(Algodão!$E65:$Z65,MIN(Q$6-$E$3,22))),0))-IF($G$2,0,IF((Q$6-$G$3)&lt;1,0,IFERROR(LOOKUP(2,1/(Algodão!$E65:INDEX(Algodão!$E65:$Z65,MIN(Q$6-$G$3,22))&lt;&gt;""),Algodão!$E65:INDEX(Algodão!$E65:$Z65,MIN(Q$6-$G$3,22))),0)))))</f>
        <v>0</v>
      </c>
      <c r="R67" s="27" t="n">
        <f aca="false">IF(COUNT(Algodão!$E65:$Z65)=0,0,MAX(0,IF((R$6-$E$3)&lt;1,0,IFERROR(LOOKUP(2,1/(Algodão!$E65:INDEX(Algodão!$E65:$Z65,MIN(R$6-$E$3,22))&lt;&gt;""),Algodão!$E65:INDEX(Algodão!$E65:$Z65,MIN(R$6-$E$3,22))),0))-IF($G$2,0,IF((R$6-$G$3)&lt;1,0,IFERROR(LOOKUP(2,1/(Algodão!$E65:INDEX(Algodão!$E65:$Z65,MIN(R$6-$G$3,22))&lt;&gt;""),Algodão!$E65:INDEX(Algodão!$E65:$Z65,MIN(R$6-$G$3,22))),0)))))</f>
        <v>0</v>
      </c>
      <c r="S67" s="27" t="n">
        <f aca="false">IF(COUNT(Algodão!$E65:$Z65)=0,0,MAX(0,IF((S$6-$E$3)&lt;1,0,IFERROR(LOOKUP(2,1/(Algodão!$E65:INDEX(Algodão!$E65:$Z65,MIN(S$6-$E$3,22))&lt;&gt;""),Algodão!$E65:INDEX(Algodão!$E65:$Z65,MIN(S$6-$E$3,22))),0))-IF($G$2,0,IF((S$6-$G$3)&lt;1,0,IFERROR(LOOKUP(2,1/(Algodão!$E65:INDEX(Algodão!$E65:$Z65,MIN(S$6-$G$3,22))&lt;&gt;""),Algodão!$E65:INDEX(Algodão!$E65:$Z65,MIN(S$6-$G$3,22))),0)))))</f>
        <v>0</v>
      </c>
      <c r="T67" s="27" t="n">
        <f aca="false">IF(COUNT(Algodão!$E65:$Z65)=0,0,MAX(0,IF((T$6-$E$3)&lt;1,0,IFERROR(LOOKUP(2,1/(Algodão!$E65:INDEX(Algodão!$E65:$Z65,MIN(T$6-$E$3,22))&lt;&gt;""),Algodão!$E65:INDEX(Algodão!$E65:$Z65,MIN(T$6-$E$3,22))),0))-IF($G$2,0,IF((T$6-$G$3)&lt;1,0,IFERROR(LOOKUP(2,1/(Algodão!$E65:INDEX(Algodão!$E65:$Z65,MIN(T$6-$G$3,22))&lt;&gt;""),Algodão!$E65:INDEX(Algodão!$E65:$Z65,MIN(T$6-$G$3,22))),0)))))</f>
        <v>0</v>
      </c>
      <c r="U67" s="27" t="n">
        <f aca="false">IF(COUNT(Algodão!$E65:$Z65)=0,0,MAX(0,IF((U$6-$E$3)&lt;1,0,IFERROR(LOOKUP(2,1/(Algodão!$E65:INDEX(Algodão!$E65:$Z65,MIN(U$6-$E$3,22))&lt;&gt;""),Algodão!$E65:INDEX(Algodão!$E65:$Z65,MIN(U$6-$E$3,22))),0))-IF($G$2,0,IF((U$6-$G$3)&lt;1,0,IFERROR(LOOKUP(2,1/(Algodão!$E65:INDEX(Algodão!$E65:$Z65,MIN(U$6-$G$3,22))&lt;&gt;""),Algodão!$E65:INDEX(Algodão!$E65:$Z65,MIN(U$6-$G$3,22))),0)))))</f>
        <v>0</v>
      </c>
      <c r="V67" s="27" t="n">
        <f aca="false">IF(COUNT(Algodão!$E65:$Z65)=0,0,MAX(0,IF((V$6-$E$3)&lt;1,0,IFERROR(LOOKUP(2,1/(Algodão!$E65:INDEX(Algodão!$E65:$Z65,MIN(V$6-$E$3,22))&lt;&gt;""),Algodão!$E65:INDEX(Algodão!$E65:$Z65,MIN(V$6-$E$3,22))),0))-IF($G$2,0,IF((V$6-$G$3)&lt;1,0,IFERROR(LOOKUP(2,1/(Algodão!$E65:INDEX(Algodão!$E65:$Z65,MIN(V$6-$G$3,22))&lt;&gt;""),Algodão!$E65:INDEX(Algodão!$E65:$Z65,MIN(V$6-$G$3,22))),0)))))</f>
        <v>0</v>
      </c>
      <c r="W67" s="27" t="n">
        <f aca="false">IF(COUNT(Algodão!$E65:$Z65)=0,0,MAX(0,IF((W$6-$E$3)&lt;1,0,IFERROR(LOOKUP(2,1/(Algodão!$E65:INDEX(Algodão!$E65:$Z65,MIN(W$6-$E$3,22))&lt;&gt;""),Algodão!$E65:INDEX(Algodão!$E65:$Z65,MIN(W$6-$E$3,22))),0))-IF($G$2,0,IF((W$6-$G$3)&lt;1,0,IFERROR(LOOKUP(2,1/(Algodão!$E65:INDEX(Algodão!$E65:$Z65,MIN(W$6-$G$3,22))&lt;&gt;""),Algodão!$E65:INDEX(Algodão!$E65:$Z65,MIN(W$6-$G$3,22))),0)))))</f>
        <v>0</v>
      </c>
      <c r="X67" s="27" t="n">
        <f aca="false">IF(COUNT(Algodão!$E65:$Z65)=0,0,MAX(0,IF((X$6-$E$3)&lt;1,0,IFERROR(LOOKUP(2,1/(Algodão!$E65:INDEX(Algodão!$E65:$Z65,MIN(X$6-$E$3,22))&lt;&gt;""),Algodão!$E65:INDEX(Algodão!$E65:$Z65,MIN(X$6-$E$3,22))),0))-IF($G$2,0,IF((X$6-$G$3)&lt;1,0,IFERROR(LOOKUP(2,1/(Algodão!$E65:INDEX(Algodão!$E65:$Z65,MIN(X$6-$G$3,22))&lt;&gt;""),Algodão!$E65:INDEX(Algodão!$E65:$Z65,MIN(X$6-$G$3,22))),0)))))</f>
        <v>0</v>
      </c>
      <c r="Y67" s="27" t="n">
        <f aca="false">IF(COUNT(Algodão!$E65:$Z65)=0,0,MAX(0,IF((Y$6-$E$3)&lt;1,0,IFERROR(LOOKUP(2,1/(Algodão!$E65:INDEX(Algodão!$E65:$Z65,MIN(Y$6-$E$3,22))&lt;&gt;""),Algodão!$E65:INDEX(Algodão!$E65:$Z65,MIN(Y$6-$E$3,22))),0))-IF($G$2,0,IF((Y$6-$G$3)&lt;1,0,IFERROR(LOOKUP(2,1/(Algodão!$E65:INDEX(Algodão!$E65:$Z65,MIN(Y$6-$G$3,22))&lt;&gt;""),Algodão!$E65:INDEX(Algodão!$E65:$Z65,MIN(Y$6-$G$3,22))),0)))))</f>
        <v>0</v>
      </c>
      <c r="Z67" s="27" t="n">
        <f aca="false">IF(COUNT(Algodão!$E65:$Z65)=0,0,MAX(0,IF((Z$6-$E$3)&lt;1,0,IFERROR(LOOKUP(2,1/(Algodão!$E65:INDEX(Algodão!$E65:$Z65,MIN(Z$6-$E$3,22))&lt;&gt;""),Algodão!$E65:INDEX(Algodão!$E65:$Z65,MIN(Z$6-$E$3,22))),0))-IF($G$2,0,IF((Z$6-$G$3)&lt;1,0,IFERROR(LOOKUP(2,1/(Algodão!$E65:INDEX(Algodão!$E65:$Z65,MIN(Z$6-$G$3,22))&lt;&gt;""),Algodão!$E65:INDEX(Algodão!$E65:$Z65,MIN(Z$6-$G$3,22))),0)))))</f>
        <v>0</v>
      </c>
      <c r="AA67" s="27" t="n">
        <f aca="false">IF(COUNT(Algodão!$E65:$Z65)=0,0,MAX(0,IF((AA$6-$E$3)&lt;1,0,IFERROR(LOOKUP(2,1/(Algodão!$E65:INDEX(Algodão!$E65:$Z65,MIN(AA$6-$E$3,22))&lt;&gt;""),Algodão!$E65:INDEX(Algodão!$E65:$Z65,MIN(AA$6-$E$3,22))),0))-IF($G$2,0,IF((AA$6-$G$3)&lt;1,0,IFERROR(LOOKUP(2,1/(Algodão!$E65:INDEX(Algodão!$E65:$Z65,MIN(AA$6-$G$3,22))&lt;&gt;""),Algodão!$E65:INDEX(Algodão!$E65:$Z65,MIN(AA$6-$G$3,22))),0)))))</f>
        <v>0</v>
      </c>
      <c r="AB67" s="27" t="n">
        <f aca="false">IF(COUNT(Algodão!$E65:$Z65)=0,0,MAX(0,IF((AB$6-$E$3)&lt;1,0,IFERROR(LOOKUP(2,1/(Algodão!$E65:INDEX(Algodão!$E65:$Z65,MIN(AB$6-$E$3,22))&lt;&gt;""),Algodão!$E65:INDEX(Algodão!$E65:$Z65,MIN(AB$6-$E$3,22))),0))-IF($G$2,0,IF((AB$6-$G$3)&lt;1,0,IFERROR(LOOKUP(2,1/(Algodão!$E65:INDEX(Algodão!$E65:$Z65,MIN(AB$6-$G$3,22))&lt;&gt;""),Algodão!$E65:INDEX(Algodão!$E65:$Z65,MIN(AB$6-$G$3,22))),0)))))</f>
        <v>0</v>
      </c>
      <c r="AC67" s="27" t="n">
        <f aca="false">IF(COUNT(Algodão!$E65:$Z65)=0,0,MAX(0,IF((AC$6-$E$3)&lt;1,0,IFERROR(LOOKUP(2,1/(Algodão!$E65:INDEX(Algodão!$E65:$Z65,MIN(AC$6-$E$3,22))&lt;&gt;""),Algodão!$E65:INDEX(Algodão!$E65:$Z65,MIN(AC$6-$E$3,22))),0))-IF($G$2,0,IF((AC$6-$G$3)&lt;1,0,IFERROR(LOOKUP(2,1/(Algodão!$E65:INDEX(Algodão!$E65:$Z65,MIN(AC$6-$G$3,22))&lt;&gt;""),Algodão!$E65:INDEX(Algodão!$E65:$Z65,MIN(AC$6-$G$3,22))),0)))))</f>
        <v>0</v>
      </c>
      <c r="AD67" s="27" t="n">
        <f aca="false">IF(COUNT(Algodão!$E65:$Z65)=0,0,MAX(0,IF((AD$6-$E$3)&lt;1,0,IFERROR(LOOKUP(2,1/(Algodão!$E65:INDEX(Algodão!$E65:$Z65,MIN(AD$6-$E$3,22))&lt;&gt;""),Algodão!$E65:INDEX(Algodão!$E65:$Z65,MIN(AD$6-$E$3,22))),0))-IF($G$2,0,IF((AD$6-$G$3)&lt;1,0,IFERROR(LOOKUP(2,1/(Algodão!$E65:INDEX(Algodão!$E65:$Z65,MIN(AD$6-$G$3,22))&lt;&gt;""),Algodão!$E65:INDEX(Algodão!$E65:$Z65,MIN(AD$6-$G$3,22))),0)))))</f>
        <v>0</v>
      </c>
      <c r="AE67" s="27" t="n">
        <f aca="false">IF(COUNT(Algodão!$E65:$Z65)=0,0,MAX(0,IF((AE$6-$E$3)&lt;1,0,IFERROR(LOOKUP(2,1/(Algodão!$E65:INDEX(Algodão!$E65:$Z65,MIN(AE$6-$E$3,22))&lt;&gt;""),Algodão!$E65:INDEX(Algodão!$E65:$Z65,MIN(AE$6-$E$3,22))),0))-IF($G$2,0,IF((AE$6-$G$3)&lt;1,0,IFERROR(LOOKUP(2,1/(Algodão!$E65:INDEX(Algodão!$E65:$Z65,MIN(AE$6-$G$3,22))&lt;&gt;""),Algodão!$E65:INDEX(Algodão!$E65:$Z65,MIN(AE$6-$G$3,22))),0)))))</f>
        <v>0</v>
      </c>
      <c r="AF67" s="27" t="n">
        <f aca="false">IF(COUNT(Algodão!$E65:$Z65)=0,0,MAX(0,IF((AF$6-$E$3)&lt;1,0,IFERROR(LOOKUP(2,1/(Algodão!$E65:INDEX(Algodão!$E65:$Z65,MIN(AF$6-$E$3,22))&lt;&gt;""),Algodão!$E65:INDEX(Algodão!$E65:$Z65,MIN(AF$6-$E$3,22))),0))-IF($G$2,0,IF((AF$6-$G$3)&lt;1,0,IFERROR(LOOKUP(2,1/(Algodão!$E65:INDEX(Algodão!$E65:$Z65,MIN(AF$6-$G$3,22))&lt;&gt;""),Algodão!$E65:INDEX(Algodão!$E65:$Z65,MIN(AF$6-$G$3,22))),0)))))</f>
        <v>0</v>
      </c>
      <c r="AG67" s="27" t="n">
        <f aca="false">IF(COUNT(Algodão!$E65:$Z65)=0,0,MAX(0,IF((AG$6-$E$3)&lt;1,0,IFERROR(LOOKUP(2,1/(Algodão!$E65:INDEX(Algodão!$E65:$Z65,MIN(AG$6-$E$3,22))&lt;&gt;""),Algodão!$E65:INDEX(Algodão!$E65:$Z65,MIN(AG$6-$E$3,22))),0))-IF($G$2,0,IF((AG$6-$G$3)&lt;1,0,IFERROR(LOOKUP(2,1/(Algodão!$E65:INDEX(Algodão!$E65:$Z65,MIN(AG$6-$G$3,22))&lt;&gt;""),Algodão!$E65:INDEX(Algodão!$E65:$Z65,MIN(AG$6-$G$3,22))),0)))))</f>
        <v>0</v>
      </c>
      <c r="AH67" s="27" t="n">
        <f aca="false">IF(COUNT(Algodão!$E65:$Z65)=0,0,MAX(0,IF((AH$6-$E$3)&lt;1,0,IFERROR(LOOKUP(2,1/(Algodão!$E65:INDEX(Algodão!$E65:$Z65,MIN(AH$6-$E$3,22))&lt;&gt;""),Algodão!$E65:INDEX(Algodão!$E65:$Z65,MIN(AH$6-$E$3,22))),0))-IF($G$2,0,IF((AH$6-$G$3)&lt;1,0,IFERROR(LOOKUP(2,1/(Algodão!$E65:INDEX(Algodão!$E65:$Z65,MIN(AH$6-$G$3,22))&lt;&gt;""),Algodão!$E65:INDEX(Algodão!$E65:$Z65,MIN(AH$6-$G$3,22))),0)))))</f>
        <v>0</v>
      </c>
      <c r="AI67" s="27" t="n">
        <f aca="false">IF(COUNT(Algodão!$E65:$Z65)=0,0,MAX(0,IF((AI$6-$E$3)&lt;1,0,IFERROR(LOOKUP(2,1/(Algodão!$E65:INDEX(Algodão!$E65:$Z65,MIN(AI$6-$E$3,22))&lt;&gt;""),Algodão!$E65:INDEX(Algodão!$E65:$Z65,MIN(AI$6-$E$3,22))),0))-IF($G$2,0,IF((AI$6-$G$3)&lt;1,0,IFERROR(LOOKUP(2,1/(Algodão!$E65:INDEX(Algodão!$E65:$Z65,MIN(AI$6-$G$3,22))&lt;&gt;""),Algodão!$E65:INDEX(Algodão!$E65:$Z65,MIN(AI$6-$G$3,22))),0)))))</f>
        <v>0</v>
      </c>
      <c r="AJ67" s="27" t="n">
        <f aca="false">IF(COUNT(Algodão!$E65:$Z65)=0,0,MAX(0,IF((AJ$6-$E$3)&lt;1,0,IFERROR(LOOKUP(2,1/(Algodão!$E65:INDEX(Algodão!$E65:$Z65,MIN(AJ$6-$E$3,22))&lt;&gt;""),Algodão!$E65:INDEX(Algodão!$E65:$Z65,MIN(AJ$6-$E$3,22))),0))-IF($G$2,0,IF((AJ$6-$G$3)&lt;1,0,IFERROR(LOOKUP(2,1/(Algodão!$E65:INDEX(Algodão!$E65:$Z65,MIN(AJ$6-$G$3,22))&lt;&gt;""),Algodão!$E65:INDEX(Algodão!$E65:$Z65,MIN(AJ$6-$G$3,22))),0)))))</f>
        <v>0</v>
      </c>
      <c r="AK67" s="27" t="n">
        <f aca="false">IF(COUNT(Algodão!$E65:$Z65)=0,0,MAX(0,IF((AK$6-$E$3)&lt;1,0,IFERROR(LOOKUP(2,1/(Algodão!$E65:INDEX(Algodão!$E65:$Z65,MIN(AK$6-$E$3,22))&lt;&gt;""),Algodão!$E65:INDEX(Algodão!$E65:$Z65,MIN(AK$6-$E$3,22))),0))-IF($G$2,0,IF((AK$6-$G$3)&lt;1,0,IFERROR(LOOKUP(2,1/(Algodão!$E65:INDEX(Algodão!$E65:$Z65,MIN(AK$6-$G$3,22))&lt;&gt;""),Algodão!$E65:INDEX(Algodão!$E65:$Z65,MIN(AK$6-$G$3,22))),0)))))</f>
        <v>0</v>
      </c>
      <c r="AL67" s="27" t="n">
        <f aca="false">IF(COUNT(Algodão!$E65:$Z65)=0,0,MAX(0,IF((AL$6-$E$3)&lt;1,0,IFERROR(LOOKUP(2,1/(Algodão!$E65:INDEX(Algodão!$E65:$Z65,MIN(AL$6-$E$3,22))&lt;&gt;""),Algodão!$E65:INDEX(Algodão!$E65:$Z65,MIN(AL$6-$E$3,22))),0))-IF($G$2,0,IF((AL$6-$G$3)&lt;1,0,IFERROR(LOOKUP(2,1/(Algodão!$E65:INDEX(Algodão!$E65:$Z65,MIN(AL$6-$G$3,22))&lt;&gt;""),Algodão!$E65:INDEX(Algodão!$E65:$Z65,MIN(AL$6-$G$3,22))),0)))))</f>
        <v>0</v>
      </c>
      <c r="AM67" s="27" t="n">
        <f aca="false">IF(COUNT(Algodão!$E65:$Z65)=0,0,MAX(0,IF((AM$6-$E$3)&lt;1,0,IFERROR(LOOKUP(2,1/(Algodão!$E65:INDEX(Algodão!$E65:$Z65,MIN(AM$6-$E$3,22))&lt;&gt;""),Algodão!$E65:INDEX(Algodão!$E65:$Z65,MIN(AM$6-$E$3,22))),0))-IF($G$2,0,IF((AM$6-$G$3)&lt;1,0,IFERROR(LOOKUP(2,1/(Algodão!$E65:INDEX(Algodão!$E65:$Z65,MIN(AM$6-$G$3,22))&lt;&gt;""),Algodão!$E65:INDEX(Algodão!$E65:$Z65,MIN(AM$6-$G$3,22))),0)))))</f>
        <v>0</v>
      </c>
      <c r="AN67" s="27" t="n">
        <f aca="false">IF(COUNT(Algodão!$E65:$Z65)=0,0,MAX(0,IF((AN$6-$E$3)&lt;1,0,IFERROR(LOOKUP(2,1/(Algodão!$E65:INDEX(Algodão!$E65:$Z65,MIN(AN$6-$E$3,22))&lt;&gt;""),Algodão!$E65:INDEX(Algodão!$E65:$Z65,MIN(AN$6-$E$3,22))),0))-IF($G$2,0,IF((AN$6-$G$3)&lt;1,0,IFERROR(LOOKUP(2,1/(Algodão!$E65:INDEX(Algodão!$E65:$Z65,MIN(AN$6-$G$3,22))&lt;&gt;""),Algodão!$E65:INDEX(Algodão!$E65:$Z65,MIN(AN$6-$G$3,22))),0)))))</f>
        <v>0</v>
      </c>
      <c r="AO67" s="27" t="n">
        <f aca="false">IF(COUNT(Algodão!$E65:$Z65)=0,0,MAX(0,IF((AO$6-$E$3)&lt;1,0,IFERROR(LOOKUP(2,1/(Algodão!$E65:INDEX(Algodão!$E65:$Z65,MIN(AO$6-$E$3,22))&lt;&gt;""),Algodão!$E65:INDEX(Algodão!$E65:$Z65,MIN(AO$6-$E$3,22))),0))-IF($G$2,0,IF((AO$6-$G$3)&lt;1,0,IFERROR(LOOKUP(2,1/(Algodão!$E65:INDEX(Algodão!$E65:$Z65,MIN(AO$6-$G$3,22))&lt;&gt;""),Algodão!$E65:INDEX(Algodão!$E65:$Z65,MIN(AO$6-$G$3,22))),0)))))</f>
        <v>0</v>
      </c>
      <c r="AP67" s="27" t="n">
        <f aca="false">IF(COUNT(Algodão!$E65:$Z65)=0,0,MAX(0,IF((AP$6-$E$3)&lt;1,0,IFERROR(LOOKUP(2,1/(Algodão!$E65:INDEX(Algodão!$E65:$Z65,MIN(AP$6-$E$3,22))&lt;&gt;""),Algodão!$E65:INDEX(Algodão!$E65:$Z65,MIN(AP$6-$E$3,22))),0))-IF($G$2,0,IF((AP$6-$G$3)&lt;1,0,IFERROR(LOOKUP(2,1/(Algodão!$E65:INDEX(Algodão!$E65:$Z65,MIN(AP$6-$G$3,22))&lt;&gt;""),Algodão!$E65:INDEX(Algodão!$E65:$Z65,MIN(AP$6-$G$3,22))),0)))))</f>
        <v>0</v>
      </c>
      <c r="AQ67" s="27" t="n">
        <f aca="false">IF(COUNT(Algodão!$E65:$Z65)=0,0,MAX(0,IF((AQ$6-$E$3)&lt;1,0,IFERROR(LOOKUP(2,1/(Algodão!$E65:INDEX(Algodão!$E65:$Z65,MIN(AQ$6-$E$3,22))&lt;&gt;""),Algodão!$E65:INDEX(Algodão!$E65:$Z65,MIN(AQ$6-$E$3,22))),0))-IF($G$2,0,IF((AQ$6-$G$3)&lt;1,0,IFERROR(LOOKUP(2,1/(Algodão!$E65:INDEX(Algodão!$E65:$Z65,MIN(AQ$6-$G$3,22))&lt;&gt;""),Algodão!$E65:INDEX(Algodão!$E65:$Z65,MIN(AQ$6-$G$3,22))),0)))))</f>
        <v>0</v>
      </c>
      <c r="AR67" s="27" t="n">
        <f aca="false">IF(COUNT(Algodão!$E65:$Z65)=0,0,MAX(0,IF((AR$6-$E$3)&lt;1,0,IFERROR(LOOKUP(2,1/(Algodão!$E65:INDEX(Algodão!$E65:$Z65,MIN(AR$6-$E$3,22))&lt;&gt;""),Algodão!$E65:INDEX(Algodão!$E65:$Z65,MIN(AR$6-$E$3,22))),0))-IF($G$2,0,IF((AR$6-$G$3)&lt;1,0,IFERROR(LOOKUP(2,1/(Algodão!$E65:INDEX(Algodão!$E65:$Z65,MIN(AR$6-$G$3,22))&lt;&gt;""),Algodão!$E65:INDEX(Algodão!$E65:$Z65,MIN(AR$6-$G$3,22))),0)))))</f>
        <v>0</v>
      </c>
      <c r="AS67" s="27" t="n">
        <f aca="false">IF(COUNT(Algodão!$E65:$Z65)=0,0,MAX(0,IF((AS$6-$E$3)&lt;1,0,IFERROR(LOOKUP(2,1/(Algodão!$E65:INDEX(Algodão!$E65:$Z65,MIN(AS$6-$E$3,22))&lt;&gt;""),Algodão!$E65:INDEX(Algodão!$E65:$Z65,MIN(AS$6-$E$3,22))),0))-IF($G$2,0,IF((AS$6-$G$3)&lt;1,0,IFERROR(LOOKUP(2,1/(Algodão!$E65:INDEX(Algodão!$E65:$Z65,MIN(AS$6-$G$3,22))&lt;&gt;""),Algodão!$E65:INDEX(Algodão!$E65:$Z65,MIN(AS$6-$G$3,22))),0)))))</f>
        <v>0</v>
      </c>
      <c r="AT67" s="27" t="n">
        <f aca="false">IF(COUNT(Algodão!$E65:$Z65)=0,0,MAX(0,IF((AT$6-$E$3)&lt;1,0,IFERROR(LOOKUP(2,1/(Algodão!$E65:INDEX(Algodão!$E65:$Z65,MIN(AT$6-$E$3,22))&lt;&gt;""),Algodão!$E65:INDEX(Algodão!$E65:$Z65,MIN(AT$6-$E$3,22))),0))-IF($G$2,0,IF((AT$6-$G$3)&lt;1,0,IFERROR(LOOKUP(2,1/(Algodão!$E65:INDEX(Algodão!$E65:$Z65,MIN(AT$6-$G$3,22))&lt;&gt;""),Algodão!$E65:INDEX(Algodão!$E65:$Z65,MIN(AT$6-$G$3,22))),0)))))</f>
        <v>0</v>
      </c>
      <c r="AU67" s="27" t="n">
        <f aca="false">IF(COUNT(Algodão!$E65:$Z65)=0,0,MAX(0,IF((AU$6-$E$3)&lt;1,0,IFERROR(LOOKUP(2,1/(Algodão!$E65:INDEX(Algodão!$E65:$Z65,MIN(AU$6-$E$3,22))&lt;&gt;""),Algodão!$E65:INDEX(Algodão!$E65:$Z65,MIN(AU$6-$E$3,22))),0))-IF($G$2,0,IF((AU$6-$G$3)&lt;1,0,IFERROR(LOOKUP(2,1/(Algodão!$E65:INDEX(Algodão!$E65:$Z65,MIN(AU$6-$G$3,22))&lt;&gt;""),Algodão!$E65:INDEX(Algodão!$E65:$Z65,MIN(AU$6-$G$3,22))),0)))))</f>
        <v>0</v>
      </c>
      <c r="AV67" s="27" t="n">
        <f aca="false">IF(COUNT(Algodão!$E65:$Z65)=0,0,MAX(0,IF((AV$6-$E$3)&lt;1,0,IFERROR(LOOKUP(2,1/(Algodão!$E65:INDEX(Algodão!$E65:$Z65,MIN(AV$6-$E$3,22))&lt;&gt;""),Algodão!$E65:INDEX(Algodão!$E65:$Z65,MIN(AV$6-$E$3,22))),0))-IF($G$2,0,IF((AV$6-$G$3)&lt;1,0,IFERROR(LOOKUP(2,1/(Algodão!$E65:INDEX(Algodão!$E65:$Z65,MIN(AV$6-$G$3,22))&lt;&gt;""),Algodão!$E65:INDEX(Algodão!$E65:$Z65,MIN(AV$6-$G$3,22))),0)))))</f>
        <v>0</v>
      </c>
      <c r="AW67" s="27" t="n">
        <f aca="false">IF(COUNT(Algodão!$E65:$Z65)=0,0,MAX(0,IF((AW$6-$E$3)&lt;1,0,IFERROR(LOOKUP(2,1/(Algodão!$E65:INDEX(Algodão!$E65:$Z65,MIN(AW$6-$E$3,22))&lt;&gt;""),Algodão!$E65:INDEX(Algodão!$E65:$Z65,MIN(AW$6-$E$3,22))),0))-IF($G$2,0,IF((AW$6-$G$3)&lt;1,0,IFERROR(LOOKUP(2,1/(Algodão!$E65:INDEX(Algodão!$E65:$Z65,MIN(AW$6-$G$3,22))&lt;&gt;""),Algodão!$E65:INDEX(Algodão!$E65:$Z65,MIN(AW$6-$G$3,22))),0)))))</f>
        <v>0</v>
      </c>
      <c r="AX67" s="27" t="n">
        <f aca="false">IF(COUNT(Algodão!$E65:$Z65)=0,0,MAX(0,IF((AX$6-$E$3)&lt;1,0,IFERROR(LOOKUP(2,1/(Algodão!$E65:INDEX(Algodão!$E65:$Z65,MIN(AX$6-$E$3,22))&lt;&gt;""),Algodão!$E65:INDEX(Algodão!$E65:$Z65,MIN(AX$6-$E$3,22))),0))-IF($G$2,0,IF((AX$6-$G$3)&lt;1,0,IFERROR(LOOKUP(2,1/(Algodão!$E65:INDEX(Algodão!$E65:$Z65,MIN(AX$6-$G$3,22))&lt;&gt;""),Algodão!$E65:INDEX(Algodão!$E65:$Z65,MIN(AX$6-$G$3,22))),0)))))</f>
        <v>0</v>
      </c>
      <c r="AY67" s="27" t="n">
        <f aca="false">IF(COUNT(Algodão!$E65:$Z65)=0,0,MAX(0,IF((AY$6-$E$3)&lt;1,0,IFERROR(LOOKUP(2,1/(Algodão!$E65:INDEX(Algodão!$E65:$Z65,MIN(AY$6-$E$3,22))&lt;&gt;""),Algodão!$E65:INDEX(Algodão!$E65:$Z65,MIN(AY$6-$E$3,22))),0))-IF($G$2,0,IF((AY$6-$G$3)&lt;1,0,IFERROR(LOOKUP(2,1/(Algodão!$E65:INDEX(Algodão!$E65:$Z65,MIN(AY$6-$G$3,22))&lt;&gt;""),Algodão!$E65:INDEX(Algodão!$E65:$Z65,MIN(AY$6-$G$3,22))),0)))))</f>
        <v>0</v>
      </c>
      <c r="AZ67" s="27" t="n">
        <f aca="false">IF(COUNT(Algodão!$E65:$Z65)=0,0,MAX(0,IF((AZ$6-$E$3)&lt;1,0,IFERROR(LOOKUP(2,1/(Algodão!$E65:INDEX(Algodão!$E65:$Z65,MIN(AZ$6-$E$3,22))&lt;&gt;""),Algodão!$E65:INDEX(Algodão!$E65:$Z65,MIN(AZ$6-$E$3,22))),0))-IF($G$2,0,IF((AZ$6-$G$3)&lt;1,0,IFERROR(LOOKUP(2,1/(Algodão!$E65:INDEX(Algodão!$E65:$Z65,MIN(AZ$6-$G$3,22))&lt;&gt;""),Algodão!$E65:INDEX(Algodão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IF(COUNT(Algodão!$E66:$Z66)&gt;0,N(Algodão!$D66),0)</f>
        <v>0</v>
      </c>
      <c r="E68" s="27" t="n">
        <f aca="false">IF(COUNT(Algodão!$E66:$Z66)=0,0,MAX(0,IF((E$6-$E$3)&lt;1,0,IFERROR(LOOKUP(2,1/(Algodão!$E66:INDEX(Algodão!$E66:$Z66,MIN(E$6-$E$3,22))&lt;&gt;""),Algodão!$E66:INDEX(Algodão!$E66:$Z66,MIN(E$6-$E$3,22))),0))-IF($G$2,0,IF((E$6-$G$3)&lt;1,0,IFERROR(LOOKUP(2,1/(Algodão!$E66:INDEX(Algodão!$E66:$Z66,MIN(E$6-$G$3,22))&lt;&gt;""),Algodão!$E66:INDEX(Algodão!$E66:$Z66,MIN(E$6-$G$3,22))),0)))))</f>
        <v>0</v>
      </c>
      <c r="F68" s="27" t="n">
        <f aca="false">IF(COUNT(Algodão!$E66:$Z66)=0,0,MAX(0,IF((F$6-$E$3)&lt;1,0,IFERROR(LOOKUP(2,1/(Algodão!$E66:INDEX(Algodão!$E66:$Z66,MIN(F$6-$E$3,22))&lt;&gt;""),Algodão!$E66:INDEX(Algodão!$E66:$Z66,MIN(F$6-$E$3,22))),0))-IF($G$2,0,IF((F$6-$G$3)&lt;1,0,IFERROR(LOOKUP(2,1/(Algodão!$E66:INDEX(Algodão!$E66:$Z66,MIN(F$6-$G$3,22))&lt;&gt;""),Algodão!$E66:INDEX(Algodão!$E66:$Z66,MIN(F$6-$G$3,22))),0)))))</f>
        <v>0</v>
      </c>
      <c r="G68" s="27" t="n">
        <f aca="false">IF(COUNT(Algodão!$E66:$Z66)=0,0,MAX(0,IF((G$6-$E$3)&lt;1,0,IFERROR(LOOKUP(2,1/(Algodão!$E66:INDEX(Algodão!$E66:$Z66,MIN(G$6-$E$3,22))&lt;&gt;""),Algodão!$E66:INDEX(Algodão!$E66:$Z66,MIN(G$6-$E$3,22))),0))-IF($G$2,0,IF((G$6-$G$3)&lt;1,0,IFERROR(LOOKUP(2,1/(Algodão!$E66:INDEX(Algodão!$E66:$Z66,MIN(G$6-$G$3,22))&lt;&gt;""),Algodão!$E66:INDEX(Algodão!$E66:$Z66,MIN(G$6-$G$3,22))),0)))))</f>
        <v>0</v>
      </c>
      <c r="H68" s="27" t="n">
        <f aca="false">IF(COUNT(Algodão!$E66:$Z66)=0,0,MAX(0,IF((H$6-$E$3)&lt;1,0,IFERROR(LOOKUP(2,1/(Algodão!$E66:INDEX(Algodão!$E66:$Z66,MIN(H$6-$E$3,22))&lt;&gt;""),Algodão!$E66:INDEX(Algodão!$E66:$Z66,MIN(H$6-$E$3,22))),0))-IF($G$2,0,IF((H$6-$G$3)&lt;1,0,IFERROR(LOOKUP(2,1/(Algodão!$E66:INDEX(Algodão!$E66:$Z66,MIN(H$6-$G$3,22))&lt;&gt;""),Algodão!$E66:INDEX(Algodão!$E66:$Z66,MIN(H$6-$G$3,22))),0)))))</f>
        <v>0</v>
      </c>
      <c r="I68" s="27" t="n">
        <f aca="false">IF(COUNT(Algodão!$E66:$Z66)=0,0,MAX(0,IF((I$6-$E$3)&lt;1,0,IFERROR(LOOKUP(2,1/(Algodão!$E66:INDEX(Algodão!$E66:$Z66,MIN(I$6-$E$3,22))&lt;&gt;""),Algodão!$E66:INDEX(Algodão!$E66:$Z66,MIN(I$6-$E$3,22))),0))-IF($G$2,0,IF((I$6-$G$3)&lt;1,0,IFERROR(LOOKUP(2,1/(Algodão!$E66:INDEX(Algodão!$E66:$Z66,MIN(I$6-$G$3,22))&lt;&gt;""),Algodão!$E66:INDEX(Algodão!$E66:$Z66,MIN(I$6-$G$3,22))),0)))))</f>
        <v>0</v>
      </c>
      <c r="J68" s="27" t="n">
        <f aca="false">IF(COUNT(Algodão!$E66:$Z66)=0,0,MAX(0,IF((J$6-$E$3)&lt;1,0,IFERROR(LOOKUP(2,1/(Algodão!$E66:INDEX(Algodão!$E66:$Z66,MIN(J$6-$E$3,22))&lt;&gt;""),Algodão!$E66:INDEX(Algodão!$E66:$Z66,MIN(J$6-$E$3,22))),0))-IF($G$2,0,IF((J$6-$G$3)&lt;1,0,IFERROR(LOOKUP(2,1/(Algodão!$E66:INDEX(Algodão!$E66:$Z66,MIN(J$6-$G$3,22))&lt;&gt;""),Algodão!$E66:INDEX(Algodão!$E66:$Z66,MIN(J$6-$G$3,22))),0)))))</f>
        <v>0</v>
      </c>
      <c r="K68" s="27" t="n">
        <f aca="false">IF(COUNT(Algodão!$E66:$Z66)=0,0,MAX(0,IF((K$6-$E$3)&lt;1,0,IFERROR(LOOKUP(2,1/(Algodão!$E66:INDEX(Algodão!$E66:$Z66,MIN(K$6-$E$3,22))&lt;&gt;""),Algodão!$E66:INDEX(Algodão!$E66:$Z66,MIN(K$6-$E$3,22))),0))-IF($G$2,0,IF((K$6-$G$3)&lt;1,0,IFERROR(LOOKUP(2,1/(Algodão!$E66:INDEX(Algodão!$E66:$Z66,MIN(K$6-$G$3,22))&lt;&gt;""),Algodão!$E66:INDEX(Algodão!$E66:$Z66,MIN(K$6-$G$3,22))),0)))))</f>
        <v>0</v>
      </c>
      <c r="L68" s="27" t="n">
        <f aca="false">IF(COUNT(Algodão!$E66:$Z66)=0,0,MAX(0,IF((L$6-$E$3)&lt;1,0,IFERROR(LOOKUP(2,1/(Algodão!$E66:INDEX(Algodão!$E66:$Z66,MIN(L$6-$E$3,22))&lt;&gt;""),Algodão!$E66:INDEX(Algodão!$E66:$Z66,MIN(L$6-$E$3,22))),0))-IF($G$2,0,IF((L$6-$G$3)&lt;1,0,IFERROR(LOOKUP(2,1/(Algodão!$E66:INDEX(Algodão!$E66:$Z66,MIN(L$6-$G$3,22))&lt;&gt;""),Algodão!$E66:INDEX(Algodão!$E66:$Z66,MIN(L$6-$G$3,22))),0)))))</f>
        <v>0</v>
      </c>
      <c r="M68" s="27" t="n">
        <f aca="false">IF(COUNT(Algodão!$E66:$Z66)=0,0,MAX(0,IF((M$6-$E$3)&lt;1,0,IFERROR(LOOKUP(2,1/(Algodão!$E66:INDEX(Algodão!$E66:$Z66,MIN(M$6-$E$3,22))&lt;&gt;""),Algodão!$E66:INDEX(Algodão!$E66:$Z66,MIN(M$6-$E$3,22))),0))-IF($G$2,0,IF((M$6-$G$3)&lt;1,0,IFERROR(LOOKUP(2,1/(Algodão!$E66:INDEX(Algodão!$E66:$Z66,MIN(M$6-$G$3,22))&lt;&gt;""),Algodão!$E66:INDEX(Algodão!$E66:$Z66,MIN(M$6-$G$3,22))),0)))))</f>
        <v>0</v>
      </c>
      <c r="N68" s="27" t="n">
        <f aca="false">IF(COUNT(Algodão!$E66:$Z66)=0,0,MAX(0,IF((N$6-$E$3)&lt;1,0,IFERROR(LOOKUP(2,1/(Algodão!$E66:INDEX(Algodão!$E66:$Z66,MIN(N$6-$E$3,22))&lt;&gt;""),Algodão!$E66:INDEX(Algodão!$E66:$Z66,MIN(N$6-$E$3,22))),0))-IF($G$2,0,IF((N$6-$G$3)&lt;1,0,IFERROR(LOOKUP(2,1/(Algodão!$E66:INDEX(Algodão!$E66:$Z66,MIN(N$6-$G$3,22))&lt;&gt;""),Algodão!$E66:INDEX(Algodão!$E66:$Z66,MIN(N$6-$G$3,22))),0)))))</f>
        <v>0</v>
      </c>
      <c r="O68" s="27" t="n">
        <f aca="false">IF(COUNT(Algodão!$E66:$Z66)=0,0,MAX(0,IF((O$6-$E$3)&lt;1,0,IFERROR(LOOKUP(2,1/(Algodão!$E66:INDEX(Algodão!$E66:$Z66,MIN(O$6-$E$3,22))&lt;&gt;""),Algodão!$E66:INDEX(Algodão!$E66:$Z66,MIN(O$6-$E$3,22))),0))-IF($G$2,0,IF((O$6-$G$3)&lt;1,0,IFERROR(LOOKUP(2,1/(Algodão!$E66:INDEX(Algodão!$E66:$Z66,MIN(O$6-$G$3,22))&lt;&gt;""),Algodão!$E66:INDEX(Algodão!$E66:$Z66,MIN(O$6-$G$3,22))),0)))))</f>
        <v>0</v>
      </c>
      <c r="P68" s="27" t="n">
        <f aca="false">IF(COUNT(Algodão!$E66:$Z66)=0,0,MAX(0,IF((P$6-$E$3)&lt;1,0,IFERROR(LOOKUP(2,1/(Algodão!$E66:INDEX(Algodão!$E66:$Z66,MIN(P$6-$E$3,22))&lt;&gt;""),Algodão!$E66:INDEX(Algodão!$E66:$Z66,MIN(P$6-$E$3,22))),0))-IF($G$2,0,IF((P$6-$G$3)&lt;1,0,IFERROR(LOOKUP(2,1/(Algodão!$E66:INDEX(Algodão!$E66:$Z66,MIN(P$6-$G$3,22))&lt;&gt;""),Algodão!$E66:INDEX(Algodão!$E66:$Z66,MIN(P$6-$G$3,22))),0)))))</f>
        <v>0</v>
      </c>
      <c r="Q68" s="27" t="n">
        <f aca="false">IF(COUNT(Algodão!$E66:$Z66)=0,0,MAX(0,IF((Q$6-$E$3)&lt;1,0,IFERROR(LOOKUP(2,1/(Algodão!$E66:INDEX(Algodão!$E66:$Z66,MIN(Q$6-$E$3,22))&lt;&gt;""),Algodão!$E66:INDEX(Algodão!$E66:$Z66,MIN(Q$6-$E$3,22))),0))-IF($G$2,0,IF((Q$6-$G$3)&lt;1,0,IFERROR(LOOKUP(2,1/(Algodão!$E66:INDEX(Algodão!$E66:$Z66,MIN(Q$6-$G$3,22))&lt;&gt;""),Algodão!$E66:INDEX(Algodão!$E66:$Z66,MIN(Q$6-$G$3,22))),0)))))</f>
        <v>0</v>
      </c>
      <c r="R68" s="27" t="n">
        <f aca="false">IF(COUNT(Algodão!$E66:$Z66)=0,0,MAX(0,IF((R$6-$E$3)&lt;1,0,IFERROR(LOOKUP(2,1/(Algodão!$E66:INDEX(Algodão!$E66:$Z66,MIN(R$6-$E$3,22))&lt;&gt;""),Algodão!$E66:INDEX(Algodão!$E66:$Z66,MIN(R$6-$E$3,22))),0))-IF($G$2,0,IF((R$6-$G$3)&lt;1,0,IFERROR(LOOKUP(2,1/(Algodão!$E66:INDEX(Algodão!$E66:$Z66,MIN(R$6-$G$3,22))&lt;&gt;""),Algodão!$E66:INDEX(Algodão!$E66:$Z66,MIN(R$6-$G$3,22))),0)))))</f>
        <v>0</v>
      </c>
      <c r="S68" s="27" t="n">
        <f aca="false">IF(COUNT(Algodão!$E66:$Z66)=0,0,MAX(0,IF((S$6-$E$3)&lt;1,0,IFERROR(LOOKUP(2,1/(Algodão!$E66:INDEX(Algodão!$E66:$Z66,MIN(S$6-$E$3,22))&lt;&gt;""),Algodão!$E66:INDEX(Algodão!$E66:$Z66,MIN(S$6-$E$3,22))),0))-IF($G$2,0,IF((S$6-$G$3)&lt;1,0,IFERROR(LOOKUP(2,1/(Algodão!$E66:INDEX(Algodão!$E66:$Z66,MIN(S$6-$G$3,22))&lt;&gt;""),Algodão!$E66:INDEX(Algodão!$E66:$Z66,MIN(S$6-$G$3,22))),0)))))</f>
        <v>0</v>
      </c>
      <c r="T68" s="27" t="n">
        <f aca="false">IF(COUNT(Algodão!$E66:$Z66)=0,0,MAX(0,IF((T$6-$E$3)&lt;1,0,IFERROR(LOOKUP(2,1/(Algodão!$E66:INDEX(Algodão!$E66:$Z66,MIN(T$6-$E$3,22))&lt;&gt;""),Algodão!$E66:INDEX(Algodão!$E66:$Z66,MIN(T$6-$E$3,22))),0))-IF($G$2,0,IF((T$6-$G$3)&lt;1,0,IFERROR(LOOKUP(2,1/(Algodão!$E66:INDEX(Algodão!$E66:$Z66,MIN(T$6-$G$3,22))&lt;&gt;""),Algodão!$E66:INDEX(Algodão!$E66:$Z66,MIN(T$6-$G$3,22))),0)))))</f>
        <v>0</v>
      </c>
      <c r="U68" s="27" t="n">
        <f aca="false">IF(COUNT(Algodão!$E66:$Z66)=0,0,MAX(0,IF((U$6-$E$3)&lt;1,0,IFERROR(LOOKUP(2,1/(Algodão!$E66:INDEX(Algodão!$E66:$Z66,MIN(U$6-$E$3,22))&lt;&gt;""),Algodão!$E66:INDEX(Algodão!$E66:$Z66,MIN(U$6-$E$3,22))),0))-IF($G$2,0,IF((U$6-$G$3)&lt;1,0,IFERROR(LOOKUP(2,1/(Algodão!$E66:INDEX(Algodão!$E66:$Z66,MIN(U$6-$G$3,22))&lt;&gt;""),Algodão!$E66:INDEX(Algodão!$E66:$Z66,MIN(U$6-$G$3,22))),0)))))</f>
        <v>0</v>
      </c>
      <c r="V68" s="27" t="n">
        <f aca="false">IF(COUNT(Algodão!$E66:$Z66)=0,0,MAX(0,IF((V$6-$E$3)&lt;1,0,IFERROR(LOOKUP(2,1/(Algodão!$E66:INDEX(Algodão!$E66:$Z66,MIN(V$6-$E$3,22))&lt;&gt;""),Algodão!$E66:INDEX(Algodão!$E66:$Z66,MIN(V$6-$E$3,22))),0))-IF($G$2,0,IF((V$6-$G$3)&lt;1,0,IFERROR(LOOKUP(2,1/(Algodão!$E66:INDEX(Algodão!$E66:$Z66,MIN(V$6-$G$3,22))&lt;&gt;""),Algodão!$E66:INDEX(Algodão!$E66:$Z66,MIN(V$6-$G$3,22))),0)))))</f>
        <v>0</v>
      </c>
      <c r="W68" s="27" t="n">
        <f aca="false">IF(COUNT(Algodão!$E66:$Z66)=0,0,MAX(0,IF((W$6-$E$3)&lt;1,0,IFERROR(LOOKUP(2,1/(Algodão!$E66:INDEX(Algodão!$E66:$Z66,MIN(W$6-$E$3,22))&lt;&gt;""),Algodão!$E66:INDEX(Algodão!$E66:$Z66,MIN(W$6-$E$3,22))),0))-IF($G$2,0,IF((W$6-$G$3)&lt;1,0,IFERROR(LOOKUP(2,1/(Algodão!$E66:INDEX(Algodão!$E66:$Z66,MIN(W$6-$G$3,22))&lt;&gt;""),Algodão!$E66:INDEX(Algodão!$E66:$Z66,MIN(W$6-$G$3,22))),0)))))</f>
        <v>0</v>
      </c>
      <c r="X68" s="27" t="n">
        <f aca="false">IF(COUNT(Algodão!$E66:$Z66)=0,0,MAX(0,IF((X$6-$E$3)&lt;1,0,IFERROR(LOOKUP(2,1/(Algodão!$E66:INDEX(Algodão!$E66:$Z66,MIN(X$6-$E$3,22))&lt;&gt;""),Algodão!$E66:INDEX(Algodão!$E66:$Z66,MIN(X$6-$E$3,22))),0))-IF($G$2,0,IF((X$6-$G$3)&lt;1,0,IFERROR(LOOKUP(2,1/(Algodão!$E66:INDEX(Algodão!$E66:$Z66,MIN(X$6-$G$3,22))&lt;&gt;""),Algodão!$E66:INDEX(Algodão!$E66:$Z66,MIN(X$6-$G$3,22))),0)))))</f>
        <v>0</v>
      </c>
      <c r="Y68" s="27" t="n">
        <f aca="false">IF(COUNT(Algodão!$E66:$Z66)=0,0,MAX(0,IF((Y$6-$E$3)&lt;1,0,IFERROR(LOOKUP(2,1/(Algodão!$E66:INDEX(Algodão!$E66:$Z66,MIN(Y$6-$E$3,22))&lt;&gt;""),Algodão!$E66:INDEX(Algodão!$E66:$Z66,MIN(Y$6-$E$3,22))),0))-IF($G$2,0,IF((Y$6-$G$3)&lt;1,0,IFERROR(LOOKUP(2,1/(Algodão!$E66:INDEX(Algodão!$E66:$Z66,MIN(Y$6-$G$3,22))&lt;&gt;""),Algodão!$E66:INDEX(Algodão!$E66:$Z66,MIN(Y$6-$G$3,22))),0)))))</f>
        <v>0</v>
      </c>
      <c r="Z68" s="27" t="n">
        <f aca="false">IF(COUNT(Algodão!$E66:$Z66)=0,0,MAX(0,IF((Z$6-$E$3)&lt;1,0,IFERROR(LOOKUP(2,1/(Algodão!$E66:INDEX(Algodão!$E66:$Z66,MIN(Z$6-$E$3,22))&lt;&gt;""),Algodão!$E66:INDEX(Algodão!$E66:$Z66,MIN(Z$6-$E$3,22))),0))-IF($G$2,0,IF((Z$6-$G$3)&lt;1,0,IFERROR(LOOKUP(2,1/(Algodão!$E66:INDEX(Algodão!$E66:$Z66,MIN(Z$6-$G$3,22))&lt;&gt;""),Algodão!$E66:INDEX(Algodão!$E66:$Z66,MIN(Z$6-$G$3,22))),0)))))</f>
        <v>0</v>
      </c>
      <c r="AA68" s="27" t="n">
        <f aca="false">IF(COUNT(Algodão!$E66:$Z66)=0,0,MAX(0,IF((AA$6-$E$3)&lt;1,0,IFERROR(LOOKUP(2,1/(Algodão!$E66:INDEX(Algodão!$E66:$Z66,MIN(AA$6-$E$3,22))&lt;&gt;""),Algodão!$E66:INDEX(Algodão!$E66:$Z66,MIN(AA$6-$E$3,22))),0))-IF($G$2,0,IF((AA$6-$G$3)&lt;1,0,IFERROR(LOOKUP(2,1/(Algodão!$E66:INDEX(Algodão!$E66:$Z66,MIN(AA$6-$G$3,22))&lt;&gt;""),Algodão!$E66:INDEX(Algodão!$E66:$Z66,MIN(AA$6-$G$3,22))),0)))))</f>
        <v>0</v>
      </c>
      <c r="AB68" s="27" t="n">
        <f aca="false">IF(COUNT(Algodão!$E66:$Z66)=0,0,MAX(0,IF((AB$6-$E$3)&lt;1,0,IFERROR(LOOKUP(2,1/(Algodão!$E66:INDEX(Algodão!$E66:$Z66,MIN(AB$6-$E$3,22))&lt;&gt;""),Algodão!$E66:INDEX(Algodão!$E66:$Z66,MIN(AB$6-$E$3,22))),0))-IF($G$2,0,IF((AB$6-$G$3)&lt;1,0,IFERROR(LOOKUP(2,1/(Algodão!$E66:INDEX(Algodão!$E66:$Z66,MIN(AB$6-$G$3,22))&lt;&gt;""),Algodão!$E66:INDEX(Algodão!$E66:$Z66,MIN(AB$6-$G$3,22))),0)))))</f>
        <v>0</v>
      </c>
      <c r="AC68" s="27" t="n">
        <f aca="false">IF(COUNT(Algodão!$E66:$Z66)=0,0,MAX(0,IF((AC$6-$E$3)&lt;1,0,IFERROR(LOOKUP(2,1/(Algodão!$E66:INDEX(Algodão!$E66:$Z66,MIN(AC$6-$E$3,22))&lt;&gt;""),Algodão!$E66:INDEX(Algodão!$E66:$Z66,MIN(AC$6-$E$3,22))),0))-IF($G$2,0,IF((AC$6-$G$3)&lt;1,0,IFERROR(LOOKUP(2,1/(Algodão!$E66:INDEX(Algodão!$E66:$Z66,MIN(AC$6-$G$3,22))&lt;&gt;""),Algodão!$E66:INDEX(Algodão!$E66:$Z66,MIN(AC$6-$G$3,22))),0)))))</f>
        <v>0</v>
      </c>
      <c r="AD68" s="27" t="n">
        <f aca="false">IF(COUNT(Algodão!$E66:$Z66)=0,0,MAX(0,IF((AD$6-$E$3)&lt;1,0,IFERROR(LOOKUP(2,1/(Algodão!$E66:INDEX(Algodão!$E66:$Z66,MIN(AD$6-$E$3,22))&lt;&gt;""),Algodão!$E66:INDEX(Algodão!$E66:$Z66,MIN(AD$6-$E$3,22))),0))-IF($G$2,0,IF((AD$6-$G$3)&lt;1,0,IFERROR(LOOKUP(2,1/(Algodão!$E66:INDEX(Algodão!$E66:$Z66,MIN(AD$6-$G$3,22))&lt;&gt;""),Algodão!$E66:INDEX(Algodão!$E66:$Z66,MIN(AD$6-$G$3,22))),0)))))</f>
        <v>0</v>
      </c>
      <c r="AE68" s="27" t="n">
        <f aca="false">IF(COUNT(Algodão!$E66:$Z66)=0,0,MAX(0,IF((AE$6-$E$3)&lt;1,0,IFERROR(LOOKUP(2,1/(Algodão!$E66:INDEX(Algodão!$E66:$Z66,MIN(AE$6-$E$3,22))&lt;&gt;""),Algodão!$E66:INDEX(Algodão!$E66:$Z66,MIN(AE$6-$E$3,22))),0))-IF($G$2,0,IF((AE$6-$G$3)&lt;1,0,IFERROR(LOOKUP(2,1/(Algodão!$E66:INDEX(Algodão!$E66:$Z66,MIN(AE$6-$G$3,22))&lt;&gt;""),Algodão!$E66:INDEX(Algodão!$E66:$Z66,MIN(AE$6-$G$3,22))),0)))))</f>
        <v>0</v>
      </c>
      <c r="AF68" s="27" t="n">
        <f aca="false">IF(COUNT(Algodão!$E66:$Z66)=0,0,MAX(0,IF((AF$6-$E$3)&lt;1,0,IFERROR(LOOKUP(2,1/(Algodão!$E66:INDEX(Algodão!$E66:$Z66,MIN(AF$6-$E$3,22))&lt;&gt;""),Algodão!$E66:INDEX(Algodão!$E66:$Z66,MIN(AF$6-$E$3,22))),0))-IF($G$2,0,IF((AF$6-$G$3)&lt;1,0,IFERROR(LOOKUP(2,1/(Algodão!$E66:INDEX(Algodão!$E66:$Z66,MIN(AF$6-$G$3,22))&lt;&gt;""),Algodão!$E66:INDEX(Algodão!$E66:$Z66,MIN(AF$6-$G$3,22))),0)))))</f>
        <v>0</v>
      </c>
      <c r="AG68" s="27" t="n">
        <f aca="false">IF(COUNT(Algodão!$E66:$Z66)=0,0,MAX(0,IF((AG$6-$E$3)&lt;1,0,IFERROR(LOOKUP(2,1/(Algodão!$E66:INDEX(Algodão!$E66:$Z66,MIN(AG$6-$E$3,22))&lt;&gt;""),Algodão!$E66:INDEX(Algodão!$E66:$Z66,MIN(AG$6-$E$3,22))),0))-IF($G$2,0,IF((AG$6-$G$3)&lt;1,0,IFERROR(LOOKUP(2,1/(Algodão!$E66:INDEX(Algodão!$E66:$Z66,MIN(AG$6-$G$3,22))&lt;&gt;""),Algodão!$E66:INDEX(Algodão!$E66:$Z66,MIN(AG$6-$G$3,22))),0)))))</f>
        <v>0</v>
      </c>
      <c r="AH68" s="27" t="n">
        <f aca="false">IF(COUNT(Algodão!$E66:$Z66)=0,0,MAX(0,IF((AH$6-$E$3)&lt;1,0,IFERROR(LOOKUP(2,1/(Algodão!$E66:INDEX(Algodão!$E66:$Z66,MIN(AH$6-$E$3,22))&lt;&gt;""),Algodão!$E66:INDEX(Algodão!$E66:$Z66,MIN(AH$6-$E$3,22))),0))-IF($G$2,0,IF((AH$6-$G$3)&lt;1,0,IFERROR(LOOKUP(2,1/(Algodão!$E66:INDEX(Algodão!$E66:$Z66,MIN(AH$6-$G$3,22))&lt;&gt;""),Algodão!$E66:INDEX(Algodão!$E66:$Z66,MIN(AH$6-$G$3,22))),0)))))</f>
        <v>0</v>
      </c>
      <c r="AI68" s="27" t="n">
        <f aca="false">IF(COUNT(Algodão!$E66:$Z66)=0,0,MAX(0,IF((AI$6-$E$3)&lt;1,0,IFERROR(LOOKUP(2,1/(Algodão!$E66:INDEX(Algodão!$E66:$Z66,MIN(AI$6-$E$3,22))&lt;&gt;""),Algodão!$E66:INDEX(Algodão!$E66:$Z66,MIN(AI$6-$E$3,22))),0))-IF($G$2,0,IF((AI$6-$G$3)&lt;1,0,IFERROR(LOOKUP(2,1/(Algodão!$E66:INDEX(Algodão!$E66:$Z66,MIN(AI$6-$G$3,22))&lt;&gt;""),Algodão!$E66:INDEX(Algodão!$E66:$Z66,MIN(AI$6-$G$3,22))),0)))))</f>
        <v>0</v>
      </c>
      <c r="AJ68" s="27" t="n">
        <f aca="false">IF(COUNT(Algodão!$E66:$Z66)=0,0,MAX(0,IF((AJ$6-$E$3)&lt;1,0,IFERROR(LOOKUP(2,1/(Algodão!$E66:INDEX(Algodão!$E66:$Z66,MIN(AJ$6-$E$3,22))&lt;&gt;""),Algodão!$E66:INDEX(Algodão!$E66:$Z66,MIN(AJ$6-$E$3,22))),0))-IF($G$2,0,IF((AJ$6-$G$3)&lt;1,0,IFERROR(LOOKUP(2,1/(Algodão!$E66:INDEX(Algodão!$E66:$Z66,MIN(AJ$6-$G$3,22))&lt;&gt;""),Algodão!$E66:INDEX(Algodão!$E66:$Z66,MIN(AJ$6-$G$3,22))),0)))))</f>
        <v>0</v>
      </c>
      <c r="AK68" s="27" t="n">
        <f aca="false">IF(COUNT(Algodão!$E66:$Z66)=0,0,MAX(0,IF((AK$6-$E$3)&lt;1,0,IFERROR(LOOKUP(2,1/(Algodão!$E66:INDEX(Algodão!$E66:$Z66,MIN(AK$6-$E$3,22))&lt;&gt;""),Algodão!$E66:INDEX(Algodão!$E66:$Z66,MIN(AK$6-$E$3,22))),0))-IF($G$2,0,IF((AK$6-$G$3)&lt;1,0,IFERROR(LOOKUP(2,1/(Algodão!$E66:INDEX(Algodão!$E66:$Z66,MIN(AK$6-$G$3,22))&lt;&gt;""),Algodão!$E66:INDEX(Algodão!$E66:$Z66,MIN(AK$6-$G$3,22))),0)))))</f>
        <v>0</v>
      </c>
      <c r="AL68" s="27" t="n">
        <f aca="false">IF(COUNT(Algodão!$E66:$Z66)=0,0,MAX(0,IF((AL$6-$E$3)&lt;1,0,IFERROR(LOOKUP(2,1/(Algodão!$E66:INDEX(Algodão!$E66:$Z66,MIN(AL$6-$E$3,22))&lt;&gt;""),Algodão!$E66:INDEX(Algodão!$E66:$Z66,MIN(AL$6-$E$3,22))),0))-IF($G$2,0,IF((AL$6-$G$3)&lt;1,0,IFERROR(LOOKUP(2,1/(Algodão!$E66:INDEX(Algodão!$E66:$Z66,MIN(AL$6-$G$3,22))&lt;&gt;""),Algodão!$E66:INDEX(Algodão!$E66:$Z66,MIN(AL$6-$G$3,22))),0)))))</f>
        <v>0</v>
      </c>
      <c r="AM68" s="27" t="n">
        <f aca="false">IF(COUNT(Algodão!$E66:$Z66)=0,0,MAX(0,IF((AM$6-$E$3)&lt;1,0,IFERROR(LOOKUP(2,1/(Algodão!$E66:INDEX(Algodão!$E66:$Z66,MIN(AM$6-$E$3,22))&lt;&gt;""),Algodão!$E66:INDEX(Algodão!$E66:$Z66,MIN(AM$6-$E$3,22))),0))-IF($G$2,0,IF((AM$6-$G$3)&lt;1,0,IFERROR(LOOKUP(2,1/(Algodão!$E66:INDEX(Algodão!$E66:$Z66,MIN(AM$6-$G$3,22))&lt;&gt;""),Algodão!$E66:INDEX(Algodão!$E66:$Z66,MIN(AM$6-$G$3,22))),0)))))</f>
        <v>0</v>
      </c>
      <c r="AN68" s="27" t="n">
        <f aca="false">IF(COUNT(Algodão!$E66:$Z66)=0,0,MAX(0,IF((AN$6-$E$3)&lt;1,0,IFERROR(LOOKUP(2,1/(Algodão!$E66:INDEX(Algodão!$E66:$Z66,MIN(AN$6-$E$3,22))&lt;&gt;""),Algodão!$E66:INDEX(Algodão!$E66:$Z66,MIN(AN$6-$E$3,22))),0))-IF($G$2,0,IF((AN$6-$G$3)&lt;1,0,IFERROR(LOOKUP(2,1/(Algodão!$E66:INDEX(Algodão!$E66:$Z66,MIN(AN$6-$G$3,22))&lt;&gt;""),Algodão!$E66:INDEX(Algodão!$E66:$Z66,MIN(AN$6-$G$3,22))),0)))))</f>
        <v>0</v>
      </c>
      <c r="AO68" s="27" t="n">
        <f aca="false">IF(COUNT(Algodão!$E66:$Z66)=0,0,MAX(0,IF((AO$6-$E$3)&lt;1,0,IFERROR(LOOKUP(2,1/(Algodão!$E66:INDEX(Algodão!$E66:$Z66,MIN(AO$6-$E$3,22))&lt;&gt;""),Algodão!$E66:INDEX(Algodão!$E66:$Z66,MIN(AO$6-$E$3,22))),0))-IF($G$2,0,IF((AO$6-$G$3)&lt;1,0,IFERROR(LOOKUP(2,1/(Algodão!$E66:INDEX(Algodão!$E66:$Z66,MIN(AO$6-$G$3,22))&lt;&gt;""),Algodão!$E66:INDEX(Algodão!$E66:$Z66,MIN(AO$6-$G$3,22))),0)))))</f>
        <v>0</v>
      </c>
      <c r="AP68" s="27" t="n">
        <f aca="false">IF(COUNT(Algodão!$E66:$Z66)=0,0,MAX(0,IF((AP$6-$E$3)&lt;1,0,IFERROR(LOOKUP(2,1/(Algodão!$E66:INDEX(Algodão!$E66:$Z66,MIN(AP$6-$E$3,22))&lt;&gt;""),Algodão!$E66:INDEX(Algodão!$E66:$Z66,MIN(AP$6-$E$3,22))),0))-IF($G$2,0,IF((AP$6-$G$3)&lt;1,0,IFERROR(LOOKUP(2,1/(Algodão!$E66:INDEX(Algodão!$E66:$Z66,MIN(AP$6-$G$3,22))&lt;&gt;""),Algodão!$E66:INDEX(Algodão!$E66:$Z66,MIN(AP$6-$G$3,22))),0)))))</f>
        <v>0</v>
      </c>
      <c r="AQ68" s="27" t="n">
        <f aca="false">IF(COUNT(Algodão!$E66:$Z66)=0,0,MAX(0,IF((AQ$6-$E$3)&lt;1,0,IFERROR(LOOKUP(2,1/(Algodão!$E66:INDEX(Algodão!$E66:$Z66,MIN(AQ$6-$E$3,22))&lt;&gt;""),Algodão!$E66:INDEX(Algodão!$E66:$Z66,MIN(AQ$6-$E$3,22))),0))-IF($G$2,0,IF((AQ$6-$G$3)&lt;1,0,IFERROR(LOOKUP(2,1/(Algodão!$E66:INDEX(Algodão!$E66:$Z66,MIN(AQ$6-$G$3,22))&lt;&gt;""),Algodão!$E66:INDEX(Algodão!$E66:$Z66,MIN(AQ$6-$G$3,22))),0)))))</f>
        <v>0</v>
      </c>
      <c r="AR68" s="27" t="n">
        <f aca="false">IF(COUNT(Algodão!$E66:$Z66)=0,0,MAX(0,IF((AR$6-$E$3)&lt;1,0,IFERROR(LOOKUP(2,1/(Algodão!$E66:INDEX(Algodão!$E66:$Z66,MIN(AR$6-$E$3,22))&lt;&gt;""),Algodão!$E66:INDEX(Algodão!$E66:$Z66,MIN(AR$6-$E$3,22))),0))-IF($G$2,0,IF((AR$6-$G$3)&lt;1,0,IFERROR(LOOKUP(2,1/(Algodão!$E66:INDEX(Algodão!$E66:$Z66,MIN(AR$6-$G$3,22))&lt;&gt;""),Algodão!$E66:INDEX(Algodão!$E66:$Z66,MIN(AR$6-$G$3,22))),0)))))</f>
        <v>0</v>
      </c>
      <c r="AS68" s="27" t="n">
        <f aca="false">IF(COUNT(Algodão!$E66:$Z66)=0,0,MAX(0,IF((AS$6-$E$3)&lt;1,0,IFERROR(LOOKUP(2,1/(Algodão!$E66:INDEX(Algodão!$E66:$Z66,MIN(AS$6-$E$3,22))&lt;&gt;""),Algodão!$E66:INDEX(Algodão!$E66:$Z66,MIN(AS$6-$E$3,22))),0))-IF($G$2,0,IF((AS$6-$G$3)&lt;1,0,IFERROR(LOOKUP(2,1/(Algodão!$E66:INDEX(Algodão!$E66:$Z66,MIN(AS$6-$G$3,22))&lt;&gt;""),Algodão!$E66:INDEX(Algodão!$E66:$Z66,MIN(AS$6-$G$3,22))),0)))))</f>
        <v>0</v>
      </c>
      <c r="AT68" s="27" t="n">
        <f aca="false">IF(COUNT(Algodão!$E66:$Z66)=0,0,MAX(0,IF((AT$6-$E$3)&lt;1,0,IFERROR(LOOKUP(2,1/(Algodão!$E66:INDEX(Algodão!$E66:$Z66,MIN(AT$6-$E$3,22))&lt;&gt;""),Algodão!$E66:INDEX(Algodão!$E66:$Z66,MIN(AT$6-$E$3,22))),0))-IF($G$2,0,IF((AT$6-$G$3)&lt;1,0,IFERROR(LOOKUP(2,1/(Algodão!$E66:INDEX(Algodão!$E66:$Z66,MIN(AT$6-$G$3,22))&lt;&gt;""),Algodão!$E66:INDEX(Algodão!$E66:$Z66,MIN(AT$6-$G$3,22))),0)))))</f>
        <v>0</v>
      </c>
      <c r="AU68" s="27" t="n">
        <f aca="false">IF(COUNT(Algodão!$E66:$Z66)=0,0,MAX(0,IF((AU$6-$E$3)&lt;1,0,IFERROR(LOOKUP(2,1/(Algodão!$E66:INDEX(Algodão!$E66:$Z66,MIN(AU$6-$E$3,22))&lt;&gt;""),Algodão!$E66:INDEX(Algodão!$E66:$Z66,MIN(AU$6-$E$3,22))),0))-IF($G$2,0,IF((AU$6-$G$3)&lt;1,0,IFERROR(LOOKUP(2,1/(Algodão!$E66:INDEX(Algodão!$E66:$Z66,MIN(AU$6-$G$3,22))&lt;&gt;""),Algodão!$E66:INDEX(Algodão!$E66:$Z66,MIN(AU$6-$G$3,22))),0)))))</f>
        <v>0</v>
      </c>
      <c r="AV68" s="27" t="n">
        <f aca="false">IF(COUNT(Algodão!$E66:$Z66)=0,0,MAX(0,IF((AV$6-$E$3)&lt;1,0,IFERROR(LOOKUP(2,1/(Algodão!$E66:INDEX(Algodão!$E66:$Z66,MIN(AV$6-$E$3,22))&lt;&gt;""),Algodão!$E66:INDEX(Algodão!$E66:$Z66,MIN(AV$6-$E$3,22))),0))-IF($G$2,0,IF((AV$6-$G$3)&lt;1,0,IFERROR(LOOKUP(2,1/(Algodão!$E66:INDEX(Algodão!$E66:$Z66,MIN(AV$6-$G$3,22))&lt;&gt;""),Algodão!$E66:INDEX(Algodão!$E66:$Z66,MIN(AV$6-$G$3,22))),0)))))</f>
        <v>0</v>
      </c>
      <c r="AW68" s="27" t="n">
        <f aca="false">IF(COUNT(Algodão!$E66:$Z66)=0,0,MAX(0,IF((AW$6-$E$3)&lt;1,0,IFERROR(LOOKUP(2,1/(Algodão!$E66:INDEX(Algodão!$E66:$Z66,MIN(AW$6-$E$3,22))&lt;&gt;""),Algodão!$E66:INDEX(Algodão!$E66:$Z66,MIN(AW$6-$E$3,22))),0))-IF($G$2,0,IF((AW$6-$G$3)&lt;1,0,IFERROR(LOOKUP(2,1/(Algodão!$E66:INDEX(Algodão!$E66:$Z66,MIN(AW$6-$G$3,22))&lt;&gt;""),Algodão!$E66:INDEX(Algodão!$E66:$Z66,MIN(AW$6-$G$3,22))),0)))))</f>
        <v>0</v>
      </c>
      <c r="AX68" s="27" t="n">
        <f aca="false">IF(COUNT(Algodão!$E66:$Z66)=0,0,MAX(0,IF((AX$6-$E$3)&lt;1,0,IFERROR(LOOKUP(2,1/(Algodão!$E66:INDEX(Algodão!$E66:$Z66,MIN(AX$6-$E$3,22))&lt;&gt;""),Algodão!$E66:INDEX(Algodão!$E66:$Z66,MIN(AX$6-$E$3,22))),0))-IF($G$2,0,IF((AX$6-$G$3)&lt;1,0,IFERROR(LOOKUP(2,1/(Algodão!$E66:INDEX(Algodão!$E66:$Z66,MIN(AX$6-$G$3,22))&lt;&gt;""),Algodão!$E66:INDEX(Algodão!$E66:$Z66,MIN(AX$6-$G$3,22))),0)))))</f>
        <v>0</v>
      </c>
      <c r="AY68" s="27" t="n">
        <f aca="false">IF(COUNT(Algodão!$E66:$Z66)=0,0,MAX(0,IF((AY$6-$E$3)&lt;1,0,IFERROR(LOOKUP(2,1/(Algodão!$E66:INDEX(Algodão!$E66:$Z66,MIN(AY$6-$E$3,22))&lt;&gt;""),Algodão!$E66:INDEX(Algodão!$E66:$Z66,MIN(AY$6-$E$3,22))),0))-IF($G$2,0,IF((AY$6-$G$3)&lt;1,0,IFERROR(LOOKUP(2,1/(Algodão!$E66:INDEX(Algodão!$E66:$Z66,MIN(AY$6-$G$3,22))&lt;&gt;""),Algodão!$E66:INDEX(Algodão!$E66:$Z66,MIN(AY$6-$G$3,22))),0)))))</f>
        <v>0</v>
      </c>
      <c r="AZ68" s="27" t="n">
        <f aca="false">IF(COUNT(Algodão!$E66:$Z66)=0,0,MAX(0,IF((AZ$6-$E$3)&lt;1,0,IFERROR(LOOKUP(2,1/(Algodão!$E66:INDEX(Algodão!$E66:$Z66,MIN(AZ$6-$E$3,22))&lt;&gt;""),Algodão!$E66:INDEX(Algodão!$E66:$Z66,MIN(AZ$6-$E$3,22))),0))-IF($G$2,0,IF((AZ$6-$G$3)&lt;1,0,IFERROR(LOOKUP(2,1/(Algodão!$E66:INDEX(Algodão!$E66:$Z66,MIN(AZ$6-$G$3,22))&lt;&gt;""),Algodão!$E66:INDEX(Algodão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IF(COUNT(Algodão!$E67:$Z67)&gt;0,N(Algodão!$D67),0)</f>
        <v>0</v>
      </c>
      <c r="E69" s="27" t="n">
        <f aca="false">IF(COUNT(Algodão!$E67:$Z67)=0,0,MAX(0,IF((E$6-$E$3)&lt;1,0,IFERROR(LOOKUP(2,1/(Algodão!$E67:INDEX(Algodão!$E67:$Z67,MIN(E$6-$E$3,22))&lt;&gt;""),Algodão!$E67:INDEX(Algodão!$E67:$Z67,MIN(E$6-$E$3,22))),0))-IF($G$2,0,IF((E$6-$G$3)&lt;1,0,IFERROR(LOOKUP(2,1/(Algodão!$E67:INDEX(Algodão!$E67:$Z67,MIN(E$6-$G$3,22))&lt;&gt;""),Algodão!$E67:INDEX(Algodão!$E67:$Z67,MIN(E$6-$G$3,22))),0)))))</f>
        <v>0</v>
      </c>
      <c r="F69" s="27" t="n">
        <f aca="false">IF(COUNT(Algodão!$E67:$Z67)=0,0,MAX(0,IF((F$6-$E$3)&lt;1,0,IFERROR(LOOKUP(2,1/(Algodão!$E67:INDEX(Algodão!$E67:$Z67,MIN(F$6-$E$3,22))&lt;&gt;""),Algodão!$E67:INDEX(Algodão!$E67:$Z67,MIN(F$6-$E$3,22))),0))-IF($G$2,0,IF((F$6-$G$3)&lt;1,0,IFERROR(LOOKUP(2,1/(Algodão!$E67:INDEX(Algodão!$E67:$Z67,MIN(F$6-$G$3,22))&lt;&gt;""),Algodão!$E67:INDEX(Algodão!$E67:$Z67,MIN(F$6-$G$3,22))),0)))))</f>
        <v>0</v>
      </c>
      <c r="G69" s="27" t="n">
        <f aca="false">IF(COUNT(Algodão!$E67:$Z67)=0,0,MAX(0,IF((G$6-$E$3)&lt;1,0,IFERROR(LOOKUP(2,1/(Algodão!$E67:INDEX(Algodão!$E67:$Z67,MIN(G$6-$E$3,22))&lt;&gt;""),Algodão!$E67:INDEX(Algodão!$E67:$Z67,MIN(G$6-$E$3,22))),0))-IF($G$2,0,IF((G$6-$G$3)&lt;1,0,IFERROR(LOOKUP(2,1/(Algodão!$E67:INDEX(Algodão!$E67:$Z67,MIN(G$6-$G$3,22))&lt;&gt;""),Algodão!$E67:INDEX(Algodão!$E67:$Z67,MIN(G$6-$G$3,22))),0)))))</f>
        <v>0</v>
      </c>
      <c r="H69" s="27" t="n">
        <f aca="false">IF(COUNT(Algodão!$E67:$Z67)=0,0,MAX(0,IF((H$6-$E$3)&lt;1,0,IFERROR(LOOKUP(2,1/(Algodão!$E67:INDEX(Algodão!$E67:$Z67,MIN(H$6-$E$3,22))&lt;&gt;""),Algodão!$E67:INDEX(Algodão!$E67:$Z67,MIN(H$6-$E$3,22))),0))-IF($G$2,0,IF((H$6-$G$3)&lt;1,0,IFERROR(LOOKUP(2,1/(Algodão!$E67:INDEX(Algodão!$E67:$Z67,MIN(H$6-$G$3,22))&lt;&gt;""),Algodão!$E67:INDEX(Algodão!$E67:$Z67,MIN(H$6-$G$3,22))),0)))))</f>
        <v>0</v>
      </c>
      <c r="I69" s="27" t="n">
        <f aca="false">IF(COUNT(Algodão!$E67:$Z67)=0,0,MAX(0,IF((I$6-$E$3)&lt;1,0,IFERROR(LOOKUP(2,1/(Algodão!$E67:INDEX(Algodão!$E67:$Z67,MIN(I$6-$E$3,22))&lt;&gt;""),Algodão!$E67:INDEX(Algodão!$E67:$Z67,MIN(I$6-$E$3,22))),0))-IF($G$2,0,IF((I$6-$G$3)&lt;1,0,IFERROR(LOOKUP(2,1/(Algodão!$E67:INDEX(Algodão!$E67:$Z67,MIN(I$6-$G$3,22))&lt;&gt;""),Algodão!$E67:INDEX(Algodão!$E67:$Z67,MIN(I$6-$G$3,22))),0)))))</f>
        <v>0</v>
      </c>
      <c r="J69" s="27" t="n">
        <f aca="false">IF(COUNT(Algodão!$E67:$Z67)=0,0,MAX(0,IF((J$6-$E$3)&lt;1,0,IFERROR(LOOKUP(2,1/(Algodão!$E67:INDEX(Algodão!$E67:$Z67,MIN(J$6-$E$3,22))&lt;&gt;""),Algodão!$E67:INDEX(Algodão!$E67:$Z67,MIN(J$6-$E$3,22))),0))-IF($G$2,0,IF((J$6-$G$3)&lt;1,0,IFERROR(LOOKUP(2,1/(Algodão!$E67:INDEX(Algodão!$E67:$Z67,MIN(J$6-$G$3,22))&lt;&gt;""),Algodão!$E67:INDEX(Algodão!$E67:$Z67,MIN(J$6-$G$3,22))),0)))))</f>
        <v>0</v>
      </c>
      <c r="K69" s="27" t="n">
        <f aca="false">IF(COUNT(Algodão!$E67:$Z67)=0,0,MAX(0,IF((K$6-$E$3)&lt;1,0,IFERROR(LOOKUP(2,1/(Algodão!$E67:INDEX(Algodão!$E67:$Z67,MIN(K$6-$E$3,22))&lt;&gt;""),Algodão!$E67:INDEX(Algodão!$E67:$Z67,MIN(K$6-$E$3,22))),0))-IF($G$2,0,IF((K$6-$G$3)&lt;1,0,IFERROR(LOOKUP(2,1/(Algodão!$E67:INDEX(Algodão!$E67:$Z67,MIN(K$6-$G$3,22))&lt;&gt;""),Algodão!$E67:INDEX(Algodão!$E67:$Z67,MIN(K$6-$G$3,22))),0)))))</f>
        <v>0</v>
      </c>
      <c r="L69" s="27" t="n">
        <f aca="false">IF(COUNT(Algodão!$E67:$Z67)=0,0,MAX(0,IF((L$6-$E$3)&lt;1,0,IFERROR(LOOKUP(2,1/(Algodão!$E67:INDEX(Algodão!$E67:$Z67,MIN(L$6-$E$3,22))&lt;&gt;""),Algodão!$E67:INDEX(Algodão!$E67:$Z67,MIN(L$6-$E$3,22))),0))-IF($G$2,0,IF((L$6-$G$3)&lt;1,0,IFERROR(LOOKUP(2,1/(Algodão!$E67:INDEX(Algodão!$E67:$Z67,MIN(L$6-$G$3,22))&lt;&gt;""),Algodão!$E67:INDEX(Algodão!$E67:$Z67,MIN(L$6-$G$3,22))),0)))))</f>
        <v>0</v>
      </c>
      <c r="M69" s="27" t="n">
        <f aca="false">IF(COUNT(Algodão!$E67:$Z67)=0,0,MAX(0,IF((M$6-$E$3)&lt;1,0,IFERROR(LOOKUP(2,1/(Algodão!$E67:INDEX(Algodão!$E67:$Z67,MIN(M$6-$E$3,22))&lt;&gt;""),Algodão!$E67:INDEX(Algodão!$E67:$Z67,MIN(M$6-$E$3,22))),0))-IF($G$2,0,IF((M$6-$G$3)&lt;1,0,IFERROR(LOOKUP(2,1/(Algodão!$E67:INDEX(Algodão!$E67:$Z67,MIN(M$6-$G$3,22))&lt;&gt;""),Algodão!$E67:INDEX(Algodão!$E67:$Z67,MIN(M$6-$G$3,22))),0)))))</f>
        <v>0</v>
      </c>
      <c r="N69" s="27" t="n">
        <f aca="false">IF(COUNT(Algodão!$E67:$Z67)=0,0,MAX(0,IF((N$6-$E$3)&lt;1,0,IFERROR(LOOKUP(2,1/(Algodão!$E67:INDEX(Algodão!$E67:$Z67,MIN(N$6-$E$3,22))&lt;&gt;""),Algodão!$E67:INDEX(Algodão!$E67:$Z67,MIN(N$6-$E$3,22))),0))-IF($G$2,0,IF((N$6-$G$3)&lt;1,0,IFERROR(LOOKUP(2,1/(Algodão!$E67:INDEX(Algodão!$E67:$Z67,MIN(N$6-$G$3,22))&lt;&gt;""),Algodão!$E67:INDEX(Algodão!$E67:$Z67,MIN(N$6-$G$3,22))),0)))))</f>
        <v>0</v>
      </c>
      <c r="O69" s="27" t="n">
        <f aca="false">IF(COUNT(Algodão!$E67:$Z67)=0,0,MAX(0,IF((O$6-$E$3)&lt;1,0,IFERROR(LOOKUP(2,1/(Algodão!$E67:INDEX(Algodão!$E67:$Z67,MIN(O$6-$E$3,22))&lt;&gt;""),Algodão!$E67:INDEX(Algodão!$E67:$Z67,MIN(O$6-$E$3,22))),0))-IF($G$2,0,IF((O$6-$G$3)&lt;1,0,IFERROR(LOOKUP(2,1/(Algodão!$E67:INDEX(Algodão!$E67:$Z67,MIN(O$6-$G$3,22))&lt;&gt;""),Algodão!$E67:INDEX(Algodão!$E67:$Z67,MIN(O$6-$G$3,22))),0)))))</f>
        <v>0</v>
      </c>
      <c r="P69" s="27" t="n">
        <f aca="false">IF(COUNT(Algodão!$E67:$Z67)=0,0,MAX(0,IF((P$6-$E$3)&lt;1,0,IFERROR(LOOKUP(2,1/(Algodão!$E67:INDEX(Algodão!$E67:$Z67,MIN(P$6-$E$3,22))&lt;&gt;""),Algodão!$E67:INDEX(Algodão!$E67:$Z67,MIN(P$6-$E$3,22))),0))-IF($G$2,0,IF((P$6-$G$3)&lt;1,0,IFERROR(LOOKUP(2,1/(Algodão!$E67:INDEX(Algodão!$E67:$Z67,MIN(P$6-$G$3,22))&lt;&gt;""),Algodão!$E67:INDEX(Algodão!$E67:$Z67,MIN(P$6-$G$3,22))),0)))))</f>
        <v>0</v>
      </c>
      <c r="Q69" s="27" t="n">
        <f aca="false">IF(COUNT(Algodão!$E67:$Z67)=0,0,MAX(0,IF((Q$6-$E$3)&lt;1,0,IFERROR(LOOKUP(2,1/(Algodão!$E67:INDEX(Algodão!$E67:$Z67,MIN(Q$6-$E$3,22))&lt;&gt;""),Algodão!$E67:INDEX(Algodão!$E67:$Z67,MIN(Q$6-$E$3,22))),0))-IF($G$2,0,IF((Q$6-$G$3)&lt;1,0,IFERROR(LOOKUP(2,1/(Algodão!$E67:INDEX(Algodão!$E67:$Z67,MIN(Q$6-$G$3,22))&lt;&gt;""),Algodão!$E67:INDEX(Algodão!$E67:$Z67,MIN(Q$6-$G$3,22))),0)))))</f>
        <v>0</v>
      </c>
      <c r="R69" s="27" t="n">
        <f aca="false">IF(COUNT(Algodão!$E67:$Z67)=0,0,MAX(0,IF((R$6-$E$3)&lt;1,0,IFERROR(LOOKUP(2,1/(Algodão!$E67:INDEX(Algodão!$E67:$Z67,MIN(R$6-$E$3,22))&lt;&gt;""),Algodão!$E67:INDEX(Algodão!$E67:$Z67,MIN(R$6-$E$3,22))),0))-IF($G$2,0,IF((R$6-$G$3)&lt;1,0,IFERROR(LOOKUP(2,1/(Algodão!$E67:INDEX(Algodão!$E67:$Z67,MIN(R$6-$G$3,22))&lt;&gt;""),Algodão!$E67:INDEX(Algodão!$E67:$Z67,MIN(R$6-$G$3,22))),0)))))</f>
        <v>0</v>
      </c>
      <c r="S69" s="27" t="n">
        <f aca="false">IF(COUNT(Algodão!$E67:$Z67)=0,0,MAX(0,IF((S$6-$E$3)&lt;1,0,IFERROR(LOOKUP(2,1/(Algodão!$E67:INDEX(Algodão!$E67:$Z67,MIN(S$6-$E$3,22))&lt;&gt;""),Algodão!$E67:INDEX(Algodão!$E67:$Z67,MIN(S$6-$E$3,22))),0))-IF($G$2,0,IF((S$6-$G$3)&lt;1,0,IFERROR(LOOKUP(2,1/(Algodão!$E67:INDEX(Algodão!$E67:$Z67,MIN(S$6-$G$3,22))&lt;&gt;""),Algodão!$E67:INDEX(Algodão!$E67:$Z67,MIN(S$6-$G$3,22))),0)))))</f>
        <v>0</v>
      </c>
      <c r="T69" s="27" t="n">
        <f aca="false">IF(COUNT(Algodão!$E67:$Z67)=0,0,MAX(0,IF((T$6-$E$3)&lt;1,0,IFERROR(LOOKUP(2,1/(Algodão!$E67:INDEX(Algodão!$E67:$Z67,MIN(T$6-$E$3,22))&lt;&gt;""),Algodão!$E67:INDEX(Algodão!$E67:$Z67,MIN(T$6-$E$3,22))),0))-IF($G$2,0,IF((T$6-$G$3)&lt;1,0,IFERROR(LOOKUP(2,1/(Algodão!$E67:INDEX(Algodão!$E67:$Z67,MIN(T$6-$G$3,22))&lt;&gt;""),Algodão!$E67:INDEX(Algodão!$E67:$Z67,MIN(T$6-$G$3,22))),0)))))</f>
        <v>0</v>
      </c>
      <c r="U69" s="27" t="n">
        <f aca="false">IF(COUNT(Algodão!$E67:$Z67)=0,0,MAX(0,IF((U$6-$E$3)&lt;1,0,IFERROR(LOOKUP(2,1/(Algodão!$E67:INDEX(Algodão!$E67:$Z67,MIN(U$6-$E$3,22))&lt;&gt;""),Algodão!$E67:INDEX(Algodão!$E67:$Z67,MIN(U$6-$E$3,22))),0))-IF($G$2,0,IF((U$6-$G$3)&lt;1,0,IFERROR(LOOKUP(2,1/(Algodão!$E67:INDEX(Algodão!$E67:$Z67,MIN(U$6-$G$3,22))&lt;&gt;""),Algodão!$E67:INDEX(Algodão!$E67:$Z67,MIN(U$6-$G$3,22))),0)))))</f>
        <v>0</v>
      </c>
      <c r="V69" s="27" t="n">
        <f aca="false">IF(COUNT(Algodão!$E67:$Z67)=0,0,MAX(0,IF((V$6-$E$3)&lt;1,0,IFERROR(LOOKUP(2,1/(Algodão!$E67:INDEX(Algodão!$E67:$Z67,MIN(V$6-$E$3,22))&lt;&gt;""),Algodão!$E67:INDEX(Algodão!$E67:$Z67,MIN(V$6-$E$3,22))),0))-IF($G$2,0,IF((V$6-$G$3)&lt;1,0,IFERROR(LOOKUP(2,1/(Algodão!$E67:INDEX(Algodão!$E67:$Z67,MIN(V$6-$G$3,22))&lt;&gt;""),Algodão!$E67:INDEX(Algodão!$E67:$Z67,MIN(V$6-$G$3,22))),0)))))</f>
        <v>0</v>
      </c>
      <c r="W69" s="27" t="n">
        <f aca="false">IF(COUNT(Algodão!$E67:$Z67)=0,0,MAX(0,IF((W$6-$E$3)&lt;1,0,IFERROR(LOOKUP(2,1/(Algodão!$E67:INDEX(Algodão!$E67:$Z67,MIN(W$6-$E$3,22))&lt;&gt;""),Algodão!$E67:INDEX(Algodão!$E67:$Z67,MIN(W$6-$E$3,22))),0))-IF($G$2,0,IF((W$6-$G$3)&lt;1,0,IFERROR(LOOKUP(2,1/(Algodão!$E67:INDEX(Algodão!$E67:$Z67,MIN(W$6-$G$3,22))&lt;&gt;""),Algodão!$E67:INDEX(Algodão!$E67:$Z67,MIN(W$6-$G$3,22))),0)))))</f>
        <v>0</v>
      </c>
      <c r="X69" s="27" t="n">
        <f aca="false">IF(COUNT(Algodão!$E67:$Z67)=0,0,MAX(0,IF((X$6-$E$3)&lt;1,0,IFERROR(LOOKUP(2,1/(Algodão!$E67:INDEX(Algodão!$E67:$Z67,MIN(X$6-$E$3,22))&lt;&gt;""),Algodão!$E67:INDEX(Algodão!$E67:$Z67,MIN(X$6-$E$3,22))),0))-IF($G$2,0,IF((X$6-$G$3)&lt;1,0,IFERROR(LOOKUP(2,1/(Algodão!$E67:INDEX(Algodão!$E67:$Z67,MIN(X$6-$G$3,22))&lt;&gt;""),Algodão!$E67:INDEX(Algodão!$E67:$Z67,MIN(X$6-$G$3,22))),0)))))</f>
        <v>0</v>
      </c>
      <c r="Y69" s="27" t="n">
        <f aca="false">IF(COUNT(Algodão!$E67:$Z67)=0,0,MAX(0,IF((Y$6-$E$3)&lt;1,0,IFERROR(LOOKUP(2,1/(Algodão!$E67:INDEX(Algodão!$E67:$Z67,MIN(Y$6-$E$3,22))&lt;&gt;""),Algodão!$E67:INDEX(Algodão!$E67:$Z67,MIN(Y$6-$E$3,22))),0))-IF($G$2,0,IF((Y$6-$G$3)&lt;1,0,IFERROR(LOOKUP(2,1/(Algodão!$E67:INDEX(Algodão!$E67:$Z67,MIN(Y$6-$G$3,22))&lt;&gt;""),Algodão!$E67:INDEX(Algodão!$E67:$Z67,MIN(Y$6-$G$3,22))),0)))))</f>
        <v>0</v>
      </c>
      <c r="Z69" s="27" t="n">
        <f aca="false">IF(COUNT(Algodão!$E67:$Z67)=0,0,MAX(0,IF((Z$6-$E$3)&lt;1,0,IFERROR(LOOKUP(2,1/(Algodão!$E67:INDEX(Algodão!$E67:$Z67,MIN(Z$6-$E$3,22))&lt;&gt;""),Algodão!$E67:INDEX(Algodão!$E67:$Z67,MIN(Z$6-$E$3,22))),0))-IF($G$2,0,IF((Z$6-$G$3)&lt;1,0,IFERROR(LOOKUP(2,1/(Algodão!$E67:INDEX(Algodão!$E67:$Z67,MIN(Z$6-$G$3,22))&lt;&gt;""),Algodão!$E67:INDEX(Algodão!$E67:$Z67,MIN(Z$6-$G$3,22))),0)))))</f>
        <v>0</v>
      </c>
      <c r="AA69" s="27" t="n">
        <f aca="false">IF(COUNT(Algodão!$E67:$Z67)=0,0,MAX(0,IF((AA$6-$E$3)&lt;1,0,IFERROR(LOOKUP(2,1/(Algodão!$E67:INDEX(Algodão!$E67:$Z67,MIN(AA$6-$E$3,22))&lt;&gt;""),Algodão!$E67:INDEX(Algodão!$E67:$Z67,MIN(AA$6-$E$3,22))),0))-IF($G$2,0,IF((AA$6-$G$3)&lt;1,0,IFERROR(LOOKUP(2,1/(Algodão!$E67:INDEX(Algodão!$E67:$Z67,MIN(AA$6-$G$3,22))&lt;&gt;""),Algodão!$E67:INDEX(Algodão!$E67:$Z67,MIN(AA$6-$G$3,22))),0)))))</f>
        <v>0</v>
      </c>
      <c r="AB69" s="27" t="n">
        <f aca="false">IF(COUNT(Algodão!$E67:$Z67)=0,0,MAX(0,IF((AB$6-$E$3)&lt;1,0,IFERROR(LOOKUP(2,1/(Algodão!$E67:INDEX(Algodão!$E67:$Z67,MIN(AB$6-$E$3,22))&lt;&gt;""),Algodão!$E67:INDEX(Algodão!$E67:$Z67,MIN(AB$6-$E$3,22))),0))-IF($G$2,0,IF((AB$6-$G$3)&lt;1,0,IFERROR(LOOKUP(2,1/(Algodão!$E67:INDEX(Algodão!$E67:$Z67,MIN(AB$6-$G$3,22))&lt;&gt;""),Algodão!$E67:INDEX(Algodão!$E67:$Z67,MIN(AB$6-$G$3,22))),0)))))</f>
        <v>0</v>
      </c>
      <c r="AC69" s="27" t="n">
        <f aca="false">IF(COUNT(Algodão!$E67:$Z67)=0,0,MAX(0,IF((AC$6-$E$3)&lt;1,0,IFERROR(LOOKUP(2,1/(Algodão!$E67:INDEX(Algodão!$E67:$Z67,MIN(AC$6-$E$3,22))&lt;&gt;""),Algodão!$E67:INDEX(Algodão!$E67:$Z67,MIN(AC$6-$E$3,22))),0))-IF($G$2,0,IF((AC$6-$G$3)&lt;1,0,IFERROR(LOOKUP(2,1/(Algodão!$E67:INDEX(Algodão!$E67:$Z67,MIN(AC$6-$G$3,22))&lt;&gt;""),Algodão!$E67:INDEX(Algodão!$E67:$Z67,MIN(AC$6-$G$3,22))),0)))))</f>
        <v>0</v>
      </c>
      <c r="AD69" s="27" t="n">
        <f aca="false">IF(COUNT(Algodão!$E67:$Z67)=0,0,MAX(0,IF((AD$6-$E$3)&lt;1,0,IFERROR(LOOKUP(2,1/(Algodão!$E67:INDEX(Algodão!$E67:$Z67,MIN(AD$6-$E$3,22))&lt;&gt;""),Algodão!$E67:INDEX(Algodão!$E67:$Z67,MIN(AD$6-$E$3,22))),0))-IF($G$2,0,IF((AD$6-$G$3)&lt;1,0,IFERROR(LOOKUP(2,1/(Algodão!$E67:INDEX(Algodão!$E67:$Z67,MIN(AD$6-$G$3,22))&lt;&gt;""),Algodão!$E67:INDEX(Algodão!$E67:$Z67,MIN(AD$6-$G$3,22))),0)))))</f>
        <v>0</v>
      </c>
      <c r="AE69" s="27" t="n">
        <f aca="false">IF(COUNT(Algodão!$E67:$Z67)=0,0,MAX(0,IF((AE$6-$E$3)&lt;1,0,IFERROR(LOOKUP(2,1/(Algodão!$E67:INDEX(Algodão!$E67:$Z67,MIN(AE$6-$E$3,22))&lt;&gt;""),Algodão!$E67:INDEX(Algodão!$E67:$Z67,MIN(AE$6-$E$3,22))),0))-IF($G$2,0,IF((AE$6-$G$3)&lt;1,0,IFERROR(LOOKUP(2,1/(Algodão!$E67:INDEX(Algodão!$E67:$Z67,MIN(AE$6-$G$3,22))&lt;&gt;""),Algodão!$E67:INDEX(Algodão!$E67:$Z67,MIN(AE$6-$G$3,22))),0)))))</f>
        <v>0</v>
      </c>
      <c r="AF69" s="27" t="n">
        <f aca="false">IF(COUNT(Algodão!$E67:$Z67)=0,0,MAX(0,IF((AF$6-$E$3)&lt;1,0,IFERROR(LOOKUP(2,1/(Algodão!$E67:INDEX(Algodão!$E67:$Z67,MIN(AF$6-$E$3,22))&lt;&gt;""),Algodão!$E67:INDEX(Algodão!$E67:$Z67,MIN(AF$6-$E$3,22))),0))-IF($G$2,0,IF((AF$6-$G$3)&lt;1,0,IFERROR(LOOKUP(2,1/(Algodão!$E67:INDEX(Algodão!$E67:$Z67,MIN(AF$6-$G$3,22))&lt;&gt;""),Algodão!$E67:INDEX(Algodão!$E67:$Z67,MIN(AF$6-$G$3,22))),0)))))</f>
        <v>0</v>
      </c>
      <c r="AG69" s="27" t="n">
        <f aca="false">IF(COUNT(Algodão!$E67:$Z67)=0,0,MAX(0,IF((AG$6-$E$3)&lt;1,0,IFERROR(LOOKUP(2,1/(Algodão!$E67:INDEX(Algodão!$E67:$Z67,MIN(AG$6-$E$3,22))&lt;&gt;""),Algodão!$E67:INDEX(Algodão!$E67:$Z67,MIN(AG$6-$E$3,22))),0))-IF($G$2,0,IF((AG$6-$G$3)&lt;1,0,IFERROR(LOOKUP(2,1/(Algodão!$E67:INDEX(Algodão!$E67:$Z67,MIN(AG$6-$G$3,22))&lt;&gt;""),Algodão!$E67:INDEX(Algodão!$E67:$Z67,MIN(AG$6-$G$3,22))),0)))))</f>
        <v>0</v>
      </c>
      <c r="AH69" s="27" t="n">
        <f aca="false">IF(COUNT(Algodão!$E67:$Z67)=0,0,MAX(0,IF((AH$6-$E$3)&lt;1,0,IFERROR(LOOKUP(2,1/(Algodão!$E67:INDEX(Algodão!$E67:$Z67,MIN(AH$6-$E$3,22))&lt;&gt;""),Algodão!$E67:INDEX(Algodão!$E67:$Z67,MIN(AH$6-$E$3,22))),0))-IF($G$2,0,IF((AH$6-$G$3)&lt;1,0,IFERROR(LOOKUP(2,1/(Algodão!$E67:INDEX(Algodão!$E67:$Z67,MIN(AH$6-$G$3,22))&lt;&gt;""),Algodão!$E67:INDEX(Algodão!$E67:$Z67,MIN(AH$6-$G$3,22))),0)))))</f>
        <v>0</v>
      </c>
      <c r="AI69" s="27" t="n">
        <f aca="false">IF(COUNT(Algodão!$E67:$Z67)=0,0,MAX(0,IF((AI$6-$E$3)&lt;1,0,IFERROR(LOOKUP(2,1/(Algodão!$E67:INDEX(Algodão!$E67:$Z67,MIN(AI$6-$E$3,22))&lt;&gt;""),Algodão!$E67:INDEX(Algodão!$E67:$Z67,MIN(AI$6-$E$3,22))),0))-IF($G$2,0,IF((AI$6-$G$3)&lt;1,0,IFERROR(LOOKUP(2,1/(Algodão!$E67:INDEX(Algodão!$E67:$Z67,MIN(AI$6-$G$3,22))&lt;&gt;""),Algodão!$E67:INDEX(Algodão!$E67:$Z67,MIN(AI$6-$G$3,22))),0)))))</f>
        <v>0</v>
      </c>
      <c r="AJ69" s="27" t="n">
        <f aca="false">IF(COUNT(Algodão!$E67:$Z67)=0,0,MAX(0,IF((AJ$6-$E$3)&lt;1,0,IFERROR(LOOKUP(2,1/(Algodão!$E67:INDEX(Algodão!$E67:$Z67,MIN(AJ$6-$E$3,22))&lt;&gt;""),Algodão!$E67:INDEX(Algodão!$E67:$Z67,MIN(AJ$6-$E$3,22))),0))-IF($G$2,0,IF((AJ$6-$G$3)&lt;1,0,IFERROR(LOOKUP(2,1/(Algodão!$E67:INDEX(Algodão!$E67:$Z67,MIN(AJ$6-$G$3,22))&lt;&gt;""),Algodão!$E67:INDEX(Algodão!$E67:$Z67,MIN(AJ$6-$G$3,22))),0)))))</f>
        <v>0</v>
      </c>
      <c r="AK69" s="27" t="n">
        <f aca="false">IF(COUNT(Algodão!$E67:$Z67)=0,0,MAX(0,IF((AK$6-$E$3)&lt;1,0,IFERROR(LOOKUP(2,1/(Algodão!$E67:INDEX(Algodão!$E67:$Z67,MIN(AK$6-$E$3,22))&lt;&gt;""),Algodão!$E67:INDEX(Algodão!$E67:$Z67,MIN(AK$6-$E$3,22))),0))-IF($G$2,0,IF((AK$6-$G$3)&lt;1,0,IFERROR(LOOKUP(2,1/(Algodão!$E67:INDEX(Algodão!$E67:$Z67,MIN(AK$6-$G$3,22))&lt;&gt;""),Algodão!$E67:INDEX(Algodão!$E67:$Z67,MIN(AK$6-$G$3,22))),0)))))</f>
        <v>0</v>
      </c>
      <c r="AL69" s="27" t="n">
        <f aca="false">IF(COUNT(Algodão!$E67:$Z67)=0,0,MAX(0,IF((AL$6-$E$3)&lt;1,0,IFERROR(LOOKUP(2,1/(Algodão!$E67:INDEX(Algodão!$E67:$Z67,MIN(AL$6-$E$3,22))&lt;&gt;""),Algodão!$E67:INDEX(Algodão!$E67:$Z67,MIN(AL$6-$E$3,22))),0))-IF($G$2,0,IF((AL$6-$G$3)&lt;1,0,IFERROR(LOOKUP(2,1/(Algodão!$E67:INDEX(Algodão!$E67:$Z67,MIN(AL$6-$G$3,22))&lt;&gt;""),Algodão!$E67:INDEX(Algodão!$E67:$Z67,MIN(AL$6-$G$3,22))),0)))))</f>
        <v>0</v>
      </c>
      <c r="AM69" s="27" t="n">
        <f aca="false">IF(COUNT(Algodão!$E67:$Z67)=0,0,MAX(0,IF((AM$6-$E$3)&lt;1,0,IFERROR(LOOKUP(2,1/(Algodão!$E67:INDEX(Algodão!$E67:$Z67,MIN(AM$6-$E$3,22))&lt;&gt;""),Algodão!$E67:INDEX(Algodão!$E67:$Z67,MIN(AM$6-$E$3,22))),0))-IF($G$2,0,IF((AM$6-$G$3)&lt;1,0,IFERROR(LOOKUP(2,1/(Algodão!$E67:INDEX(Algodão!$E67:$Z67,MIN(AM$6-$G$3,22))&lt;&gt;""),Algodão!$E67:INDEX(Algodão!$E67:$Z67,MIN(AM$6-$G$3,22))),0)))))</f>
        <v>0</v>
      </c>
      <c r="AN69" s="27" t="n">
        <f aca="false">IF(COUNT(Algodão!$E67:$Z67)=0,0,MAX(0,IF((AN$6-$E$3)&lt;1,0,IFERROR(LOOKUP(2,1/(Algodão!$E67:INDEX(Algodão!$E67:$Z67,MIN(AN$6-$E$3,22))&lt;&gt;""),Algodão!$E67:INDEX(Algodão!$E67:$Z67,MIN(AN$6-$E$3,22))),0))-IF($G$2,0,IF((AN$6-$G$3)&lt;1,0,IFERROR(LOOKUP(2,1/(Algodão!$E67:INDEX(Algodão!$E67:$Z67,MIN(AN$6-$G$3,22))&lt;&gt;""),Algodão!$E67:INDEX(Algodão!$E67:$Z67,MIN(AN$6-$G$3,22))),0)))))</f>
        <v>0</v>
      </c>
      <c r="AO69" s="27" t="n">
        <f aca="false">IF(COUNT(Algodão!$E67:$Z67)=0,0,MAX(0,IF((AO$6-$E$3)&lt;1,0,IFERROR(LOOKUP(2,1/(Algodão!$E67:INDEX(Algodão!$E67:$Z67,MIN(AO$6-$E$3,22))&lt;&gt;""),Algodão!$E67:INDEX(Algodão!$E67:$Z67,MIN(AO$6-$E$3,22))),0))-IF($G$2,0,IF((AO$6-$G$3)&lt;1,0,IFERROR(LOOKUP(2,1/(Algodão!$E67:INDEX(Algodão!$E67:$Z67,MIN(AO$6-$G$3,22))&lt;&gt;""),Algodão!$E67:INDEX(Algodão!$E67:$Z67,MIN(AO$6-$G$3,22))),0)))))</f>
        <v>0</v>
      </c>
      <c r="AP69" s="27" t="n">
        <f aca="false">IF(COUNT(Algodão!$E67:$Z67)=0,0,MAX(0,IF((AP$6-$E$3)&lt;1,0,IFERROR(LOOKUP(2,1/(Algodão!$E67:INDEX(Algodão!$E67:$Z67,MIN(AP$6-$E$3,22))&lt;&gt;""),Algodão!$E67:INDEX(Algodão!$E67:$Z67,MIN(AP$6-$E$3,22))),0))-IF($G$2,0,IF((AP$6-$G$3)&lt;1,0,IFERROR(LOOKUP(2,1/(Algodão!$E67:INDEX(Algodão!$E67:$Z67,MIN(AP$6-$G$3,22))&lt;&gt;""),Algodão!$E67:INDEX(Algodão!$E67:$Z67,MIN(AP$6-$G$3,22))),0)))))</f>
        <v>0</v>
      </c>
      <c r="AQ69" s="27" t="n">
        <f aca="false">IF(COUNT(Algodão!$E67:$Z67)=0,0,MAX(0,IF((AQ$6-$E$3)&lt;1,0,IFERROR(LOOKUP(2,1/(Algodão!$E67:INDEX(Algodão!$E67:$Z67,MIN(AQ$6-$E$3,22))&lt;&gt;""),Algodão!$E67:INDEX(Algodão!$E67:$Z67,MIN(AQ$6-$E$3,22))),0))-IF($G$2,0,IF((AQ$6-$G$3)&lt;1,0,IFERROR(LOOKUP(2,1/(Algodão!$E67:INDEX(Algodão!$E67:$Z67,MIN(AQ$6-$G$3,22))&lt;&gt;""),Algodão!$E67:INDEX(Algodão!$E67:$Z67,MIN(AQ$6-$G$3,22))),0)))))</f>
        <v>0</v>
      </c>
      <c r="AR69" s="27" t="n">
        <f aca="false">IF(COUNT(Algodão!$E67:$Z67)=0,0,MAX(0,IF((AR$6-$E$3)&lt;1,0,IFERROR(LOOKUP(2,1/(Algodão!$E67:INDEX(Algodão!$E67:$Z67,MIN(AR$6-$E$3,22))&lt;&gt;""),Algodão!$E67:INDEX(Algodão!$E67:$Z67,MIN(AR$6-$E$3,22))),0))-IF($G$2,0,IF((AR$6-$G$3)&lt;1,0,IFERROR(LOOKUP(2,1/(Algodão!$E67:INDEX(Algodão!$E67:$Z67,MIN(AR$6-$G$3,22))&lt;&gt;""),Algodão!$E67:INDEX(Algodão!$E67:$Z67,MIN(AR$6-$G$3,22))),0)))))</f>
        <v>0</v>
      </c>
      <c r="AS69" s="27" t="n">
        <f aca="false">IF(COUNT(Algodão!$E67:$Z67)=0,0,MAX(0,IF((AS$6-$E$3)&lt;1,0,IFERROR(LOOKUP(2,1/(Algodão!$E67:INDEX(Algodão!$E67:$Z67,MIN(AS$6-$E$3,22))&lt;&gt;""),Algodão!$E67:INDEX(Algodão!$E67:$Z67,MIN(AS$6-$E$3,22))),0))-IF($G$2,0,IF((AS$6-$G$3)&lt;1,0,IFERROR(LOOKUP(2,1/(Algodão!$E67:INDEX(Algodão!$E67:$Z67,MIN(AS$6-$G$3,22))&lt;&gt;""),Algodão!$E67:INDEX(Algodão!$E67:$Z67,MIN(AS$6-$G$3,22))),0)))))</f>
        <v>0</v>
      </c>
      <c r="AT69" s="27" t="n">
        <f aca="false">IF(COUNT(Algodão!$E67:$Z67)=0,0,MAX(0,IF((AT$6-$E$3)&lt;1,0,IFERROR(LOOKUP(2,1/(Algodão!$E67:INDEX(Algodão!$E67:$Z67,MIN(AT$6-$E$3,22))&lt;&gt;""),Algodão!$E67:INDEX(Algodão!$E67:$Z67,MIN(AT$6-$E$3,22))),0))-IF($G$2,0,IF((AT$6-$G$3)&lt;1,0,IFERROR(LOOKUP(2,1/(Algodão!$E67:INDEX(Algodão!$E67:$Z67,MIN(AT$6-$G$3,22))&lt;&gt;""),Algodão!$E67:INDEX(Algodão!$E67:$Z67,MIN(AT$6-$G$3,22))),0)))))</f>
        <v>0</v>
      </c>
      <c r="AU69" s="27" t="n">
        <f aca="false">IF(COUNT(Algodão!$E67:$Z67)=0,0,MAX(0,IF((AU$6-$E$3)&lt;1,0,IFERROR(LOOKUP(2,1/(Algodão!$E67:INDEX(Algodão!$E67:$Z67,MIN(AU$6-$E$3,22))&lt;&gt;""),Algodão!$E67:INDEX(Algodão!$E67:$Z67,MIN(AU$6-$E$3,22))),0))-IF($G$2,0,IF((AU$6-$G$3)&lt;1,0,IFERROR(LOOKUP(2,1/(Algodão!$E67:INDEX(Algodão!$E67:$Z67,MIN(AU$6-$G$3,22))&lt;&gt;""),Algodão!$E67:INDEX(Algodão!$E67:$Z67,MIN(AU$6-$G$3,22))),0)))))</f>
        <v>0</v>
      </c>
      <c r="AV69" s="27" t="n">
        <f aca="false">IF(COUNT(Algodão!$E67:$Z67)=0,0,MAX(0,IF((AV$6-$E$3)&lt;1,0,IFERROR(LOOKUP(2,1/(Algodão!$E67:INDEX(Algodão!$E67:$Z67,MIN(AV$6-$E$3,22))&lt;&gt;""),Algodão!$E67:INDEX(Algodão!$E67:$Z67,MIN(AV$6-$E$3,22))),0))-IF($G$2,0,IF((AV$6-$G$3)&lt;1,0,IFERROR(LOOKUP(2,1/(Algodão!$E67:INDEX(Algodão!$E67:$Z67,MIN(AV$6-$G$3,22))&lt;&gt;""),Algodão!$E67:INDEX(Algodão!$E67:$Z67,MIN(AV$6-$G$3,22))),0)))))</f>
        <v>0</v>
      </c>
      <c r="AW69" s="27" t="n">
        <f aca="false">IF(COUNT(Algodão!$E67:$Z67)=0,0,MAX(0,IF((AW$6-$E$3)&lt;1,0,IFERROR(LOOKUP(2,1/(Algodão!$E67:INDEX(Algodão!$E67:$Z67,MIN(AW$6-$E$3,22))&lt;&gt;""),Algodão!$E67:INDEX(Algodão!$E67:$Z67,MIN(AW$6-$E$3,22))),0))-IF($G$2,0,IF((AW$6-$G$3)&lt;1,0,IFERROR(LOOKUP(2,1/(Algodão!$E67:INDEX(Algodão!$E67:$Z67,MIN(AW$6-$G$3,22))&lt;&gt;""),Algodão!$E67:INDEX(Algodão!$E67:$Z67,MIN(AW$6-$G$3,22))),0)))))</f>
        <v>0</v>
      </c>
      <c r="AX69" s="27" t="n">
        <f aca="false">IF(COUNT(Algodão!$E67:$Z67)=0,0,MAX(0,IF((AX$6-$E$3)&lt;1,0,IFERROR(LOOKUP(2,1/(Algodão!$E67:INDEX(Algodão!$E67:$Z67,MIN(AX$6-$E$3,22))&lt;&gt;""),Algodão!$E67:INDEX(Algodão!$E67:$Z67,MIN(AX$6-$E$3,22))),0))-IF($G$2,0,IF((AX$6-$G$3)&lt;1,0,IFERROR(LOOKUP(2,1/(Algodão!$E67:INDEX(Algodão!$E67:$Z67,MIN(AX$6-$G$3,22))&lt;&gt;""),Algodão!$E67:INDEX(Algodão!$E67:$Z67,MIN(AX$6-$G$3,22))),0)))))</f>
        <v>0</v>
      </c>
      <c r="AY69" s="27" t="n">
        <f aca="false">IF(COUNT(Algodão!$E67:$Z67)=0,0,MAX(0,IF((AY$6-$E$3)&lt;1,0,IFERROR(LOOKUP(2,1/(Algodão!$E67:INDEX(Algodão!$E67:$Z67,MIN(AY$6-$E$3,22))&lt;&gt;""),Algodão!$E67:INDEX(Algodão!$E67:$Z67,MIN(AY$6-$E$3,22))),0))-IF($G$2,0,IF((AY$6-$G$3)&lt;1,0,IFERROR(LOOKUP(2,1/(Algodão!$E67:INDEX(Algodão!$E67:$Z67,MIN(AY$6-$G$3,22))&lt;&gt;""),Algodão!$E67:INDEX(Algodão!$E67:$Z67,MIN(AY$6-$G$3,22))),0)))))</f>
        <v>0</v>
      </c>
      <c r="AZ69" s="27" t="n">
        <f aca="false">IF(COUNT(Algodão!$E67:$Z67)=0,0,MAX(0,IF((AZ$6-$E$3)&lt;1,0,IFERROR(LOOKUP(2,1/(Algodão!$E67:INDEX(Algodão!$E67:$Z67,MIN(AZ$6-$E$3,22))&lt;&gt;""),Algodão!$E67:INDEX(Algodão!$E67:$Z67,MIN(AZ$6-$E$3,22))),0))-IF($G$2,0,IF((AZ$6-$G$3)&lt;1,0,IFERROR(LOOKUP(2,1/(Algodão!$E67:INDEX(Algodão!$E67:$Z67,MIN(AZ$6-$G$3,22))&lt;&gt;""),Algodão!$E67:INDEX(Algodão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IF(COUNT(Algodão!$E68:$Z68)&gt;0,N(Algodão!$D68),0)</f>
        <v>0</v>
      </c>
      <c r="E70" s="27" t="n">
        <f aca="false">IF(COUNT(Algodão!$E68:$Z68)=0,0,MAX(0,IF((E$6-$E$3)&lt;1,0,IFERROR(LOOKUP(2,1/(Algodão!$E68:INDEX(Algodão!$E68:$Z68,MIN(E$6-$E$3,22))&lt;&gt;""),Algodão!$E68:INDEX(Algodão!$E68:$Z68,MIN(E$6-$E$3,22))),0))-IF($G$2,0,IF((E$6-$G$3)&lt;1,0,IFERROR(LOOKUP(2,1/(Algodão!$E68:INDEX(Algodão!$E68:$Z68,MIN(E$6-$G$3,22))&lt;&gt;""),Algodão!$E68:INDEX(Algodão!$E68:$Z68,MIN(E$6-$G$3,22))),0)))))</f>
        <v>0</v>
      </c>
      <c r="F70" s="27" t="n">
        <f aca="false">IF(COUNT(Algodão!$E68:$Z68)=0,0,MAX(0,IF((F$6-$E$3)&lt;1,0,IFERROR(LOOKUP(2,1/(Algodão!$E68:INDEX(Algodão!$E68:$Z68,MIN(F$6-$E$3,22))&lt;&gt;""),Algodão!$E68:INDEX(Algodão!$E68:$Z68,MIN(F$6-$E$3,22))),0))-IF($G$2,0,IF((F$6-$G$3)&lt;1,0,IFERROR(LOOKUP(2,1/(Algodão!$E68:INDEX(Algodão!$E68:$Z68,MIN(F$6-$G$3,22))&lt;&gt;""),Algodão!$E68:INDEX(Algodão!$E68:$Z68,MIN(F$6-$G$3,22))),0)))))</f>
        <v>0</v>
      </c>
      <c r="G70" s="27" t="n">
        <f aca="false">IF(COUNT(Algodão!$E68:$Z68)=0,0,MAX(0,IF((G$6-$E$3)&lt;1,0,IFERROR(LOOKUP(2,1/(Algodão!$E68:INDEX(Algodão!$E68:$Z68,MIN(G$6-$E$3,22))&lt;&gt;""),Algodão!$E68:INDEX(Algodão!$E68:$Z68,MIN(G$6-$E$3,22))),0))-IF($G$2,0,IF((G$6-$G$3)&lt;1,0,IFERROR(LOOKUP(2,1/(Algodão!$E68:INDEX(Algodão!$E68:$Z68,MIN(G$6-$G$3,22))&lt;&gt;""),Algodão!$E68:INDEX(Algodão!$E68:$Z68,MIN(G$6-$G$3,22))),0)))))</f>
        <v>0</v>
      </c>
      <c r="H70" s="27" t="n">
        <f aca="false">IF(COUNT(Algodão!$E68:$Z68)=0,0,MAX(0,IF((H$6-$E$3)&lt;1,0,IFERROR(LOOKUP(2,1/(Algodão!$E68:INDEX(Algodão!$E68:$Z68,MIN(H$6-$E$3,22))&lt;&gt;""),Algodão!$E68:INDEX(Algodão!$E68:$Z68,MIN(H$6-$E$3,22))),0))-IF($G$2,0,IF((H$6-$G$3)&lt;1,0,IFERROR(LOOKUP(2,1/(Algodão!$E68:INDEX(Algodão!$E68:$Z68,MIN(H$6-$G$3,22))&lt;&gt;""),Algodão!$E68:INDEX(Algodão!$E68:$Z68,MIN(H$6-$G$3,22))),0)))))</f>
        <v>0</v>
      </c>
      <c r="I70" s="27" t="n">
        <f aca="false">IF(COUNT(Algodão!$E68:$Z68)=0,0,MAX(0,IF((I$6-$E$3)&lt;1,0,IFERROR(LOOKUP(2,1/(Algodão!$E68:INDEX(Algodão!$E68:$Z68,MIN(I$6-$E$3,22))&lt;&gt;""),Algodão!$E68:INDEX(Algodão!$E68:$Z68,MIN(I$6-$E$3,22))),0))-IF($G$2,0,IF((I$6-$G$3)&lt;1,0,IFERROR(LOOKUP(2,1/(Algodão!$E68:INDEX(Algodão!$E68:$Z68,MIN(I$6-$G$3,22))&lt;&gt;""),Algodão!$E68:INDEX(Algodão!$E68:$Z68,MIN(I$6-$G$3,22))),0)))))</f>
        <v>0</v>
      </c>
      <c r="J70" s="27" t="n">
        <f aca="false">IF(COUNT(Algodão!$E68:$Z68)=0,0,MAX(0,IF((J$6-$E$3)&lt;1,0,IFERROR(LOOKUP(2,1/(Algodão!$E68:INDEX(Algodão!$E68:$Z68,MIN(J$6-$E$3,22))&lt;&gt;""),Algodão!$E68:INDEX(Algodão!$E68:$Z68,MIN(J$6-$E$3,22))),0))-IF($G$2,0,IF((J$6-$G$3)&lt;1,0,IFERROR(LOOKUP(2,1/(Algodão!$E68:INDEX(Algodão!$E68:$Z68,MIN(J$6-$G$3,22))&lt;&gt;""),Algodão!$E68:INDEX(Algodão!$E68:$Z68,MIN(J$6-$G$3,22))),0)))))</f>
        <v>0</v>
      </c>
      <c r="K70" s="27" t="n">
        <f aca="false">IF(COUNT(Algodão!$E68:$Z68)=0,0,MAX(0,IF((K$6-$E$3)&lt;1,0,IFERROR(LOOKUP(2,1/(Algodão!$E68:INDEX(Algodão!$E68:$Z68,MIN(K$6-$E$3,22))&lt;&gt;""),Algodão!$E68:INDEX(Algodão!$E68:$Z68,MIN(K$6-$E$3,22))),0))-IF($G$2,0,IF((K$6-$G$3)&lt;1,0,IFERROR(LOOKUP(2,1/(Algodão!$E68:INDEX(Algodão!$E68:$Z68,MIN(K$6-$G$3,22))&lt;&gt;""),Algodão!$E68:INDEX(Algodão!$E68:$Z68,MIN(K$6-$G$3,22))),0)))))</f>
        <v>0</v>
      </c>
      <c r="L70" s="27" t="n">
        <f aca="false">IF(COUNT(Algodão!$E68:$Z68)=0,0,MAX(0,IF((L$6-$E$3)&lt;1,0,IFERROR(LOOKUP(2,1/(Algodão!$E68:INDEX(Algodão!$E68:$Z68,MIN(L$6-$E$3,22))&lt;&gt;""),Algodão!$E68:INDEX(Algodão!$E68:$Z68,MIN(L$6-$E$3,22))),0))-IF($G$2,0,IF((L$6-$G$3)&lt;1,0,IFERROR(LOOKUP(2,1/(Algodão!$E68:INDEX(Algodão!$E68:$Z68,MIN(L$6-$G$3,22))&lt;&gt;""),Algodão!$E68:INDEX(Algodão!$E68:$Z68,MIN(L$6-$G$3,22))),0)))))</f>
        <v>0</v>
      </c>
      <c r="M70" s="27" t="n">
        <f aca="false">IF(COUNT(Algodão!$E68:$Z68)=0,0,MAX(0,IF((M$6-$E$3)&lt;1,0,IFERROR(LOOKUP(2,1/(Algodão!$E68:INDEX(Algodão!$E68:$Z68,MIN(M$6-$E$3,22))&lt;&gt;""),Algodão!$E68:INDEX(Algodão!$E68:$Z68,MIN(M$6-$E$3,22))),0))-IF($G$2,0,IF((M$6-$G$3)&lt;1,0,IFERROR(LOOKUP(2,1/(Algodão!$E68:INDEX(Algodão!$E68:$Z68,MIN(M$6-$G$3,22))&lt;&gt;""),Algodão!$E68:INDEX(Algodão!$E68:$Z68,MIN(M$6-$G$3,22))),0)))))</f>
        <v>0</v>
      </c>
      <c r="N70" s="27" t="n">
        <f aca="false">IF(COUNT(Algodão!$E68:$Z68)=0,0,MAX(0,IF((N$6-$E$3)&lt;1,0,IFERROR(LOOKUP(2,1/(Algodão!$E68:INDEX(Algodão!$E68:$Z68,MIN(N$6-$E$3,22))&lt;&gt;""),Algodão!$E68:INDEX(Algodão!$E68:$Z68,MIN(N$6-$E$3,22))),0))-IF($G$2,0,IF((N$6-$G$3)&lt;1,0,IFERROR(LOOKUP(2,1/(Algodão!$E68:INDEX(Algodão!$E68:$Z68,MIN(N$6-$G$3,22))&lt;&gt;""),Algodão!$E68:INDEX(Algodão!$E68:$Z68,MIN(N$6-$G$3,22))),0)))))</f>
        <v>0</v>
      </c>
      <c r="O70" s="27" t="n">
        <f aca="false">IF(COUNT(Algodão!$E68:$Z68)=0,0,MAX(0,IF((O$6-$E$3)&lt;1,0,IFERROR(LOOKUP(2,1/(Algodão!$E68:INDEX(Algodão!$E68:$Z68,MIN(O$6-$E$3,22))&lt;&gt;""),Algodão!$E68:INDEX(Algodão!$E68:$Z68,MIN(O$6-$E$3,22))),0))-IF($G$2,0,IF((O$6-$G$3)&lt;1,0,IFERROR(LOOKUP(2,1/(Algodão!$E68:INDEX(Algodão!$E68:$Z68,MIN(O$6-$G$3,22))&lt;&gt;""),Algodão!$E68:INDEX(Algodão!$E68:$Z68,MIN(O$6-$G$3,22))),0)))))</f>
        <v>0</v>
      </c>
      <c r="P70" s="27" t="n">
        <f aca="false">IF(COUNT(Algodão!$E68:$Z68)=0,0,MAX(0,IF((P$6-$E$3)&lt;1,0,IFERROR(LOOKUP(2,1/(Algodão!$E68:INDEX(Algodão!$E68:$Z68,MIN(P$6-$E$3,22))&lt;&gt;""),Algodão!$E68:INDEX(Algodão!$E68:$Z68,MIN(P$6-$E$3,22))),0))-IF($G$2,0,IF((P$6-$G$3)&lt;1,0,IFERROR(LOOKUP(2,1/(Algodão!$E68:INDEX(Algodão!$E68:$Z68,MIN(P$6-$G$3,22))&lt;&gt;""),Algodão!$E68:INDEX(Algodão!$E68:$Z68,MIN(P$6-$G$3,22))),0)))))</f>
        <v>0</v>
      </c>
      <c r="Q70" s="27" t="n">
        <f aca="false">IF(COUNT(Algodão!$E68:$Z68)=0,0,MAX(0,IF((Q$6-$E$3)&lt;1,0,IFERROR(LOOKUP(2,1/(Algodão!$E68:INDEX(Algodão!$E68:$Z68,MIN(Q$6-$E$3,22))&lt;&gt;""),Algodão!$E68:INDEX(Algodão!$E68:$Z68,MIN(Q$6-$E$3,22))),0))-IF($G$2,0,IF((Q$6-$G$3)&lt;1,0,IFERROR(LOOKUP(2,1/(Algodão!$E68:INDEX(Algodão!$E68:$Z68,MIN(Q$6-$G$3,22))&lt;&gt;""),Algodão!$E68:INDEX(Algodão!$E68:$Z68,MIN(Q$6-$G$3,22))),0)))))</f>
        <v>0</v>
      </c>
      <c r="R70" s="27" t="n">
        <f aca="false">IF(COUNT(Algodão!$E68:$Z68)=0,0,MAX(0,IF((R$6-$E$3)&lt;1,0,IFERROR(LOOKUP(2,1/(Algodão!$E68:INDEX(Algodão!$E68:$Z68,MIN(R$6-$E$3,22))&lt;&gt;""),Algodão!$E68:INDEX(Algodão!$E68:$Z68,MIN(R$6-$E$3,22))),0))-IF($G$2,0,IF((R$6-$G$3)&lt;1,0,IFERROR(LOOKUP(2,1/(Algodão!$E68:INDEX(Algodão!$E68:$Z68,MIN(R$6-$G$3,22))&lt;&gt;""),Algodão!$E68:INDEX(Algodão!$E68:$Z68,MIN(R$6-$G$3,22))),0)))))</f>
        <v>0</v>
      </c>
      <c r="S70" s="27" t="n">
        <f aca="false">IF(COUNT(Algodão!$E68:$Z68)=0,0,MAX(0,IF((S$6-$E$3)&lt;1,0,IFERROR(LOOKUP(2,1/(Algodão!$E68:INDEX(Algodão!$E68:$Z68,MIN(S$6-$E$3,22))&lt;&gt;""),Algodão!$E68:INDEX(Algodão!$E68:$Z68,MIN(S$6-$E$3,22))),0))-IF($G$2,0,IF((S$6-$G$3)&lt;1,0,IFERROR(LOOKUP(2,1/(Algodão!$E68:INDEX(Algodão!$E68:$Z68,MIN(S$6-$G$3,22))&lt;&gt;""),Algodão!$E68:INDEX(Algodão!$E68:$Z68,MIN(S$6-$G$3,22))),0)))))</f>
        <v>0</v>
      </c>
      <c r="T70" s="27" t="n">
        <f aca="false">IF(COUNT(Algodão!$E68:$Z68)=0,0,MAX(0,IF((T$6-$E$3)&lt;1,0,IFERROR(LOOKUP(2,1/(Algodão!$E68:INDEX(Algodão!$E68:$Z68,MIN(T$6-$E$3,22))&lt;&gt;""),Algodão!$E68:INDEX(Algodão!$E68:$Z68,MIN(T$6-$E$3,22))),0))-IF($G$2,0,IF((T$6-$G$3)&lt;1,0,IFERROR(LOOKUP(2,1/(Algodão!$E68:INDEX(Algodão!$E68:$Z68,MIN(T$6-$G$3,22))&lt;&gt;""),Algodão!$E68:INDEX(Algodão!$E68:$Z68,MIN(T$6-$G$3,22))),0)))))</f>
        <v>0</v>
      </c>
      <c r="U70" s="27" t="n">
        <f aca="false">IF(COUNT(Algodão!$E68:$Z68)=0,0,MAX(0,IF((U$6-$E$3)&lt;1,0,IFERROR(LOOKUP(2,1/(Algodão!$E68:INDEX(Algodão!$E68:$Z68,MIN(U$6-$E$3,22))&lt;&gt;""),Algodão!$E68:INDEX(Algodão!$E68:$Z68,MIN(U$6-$E$3,22))),0))-IF($G$2,0,IF((U$6-$G$3)&lt;1,0,IFERROR(LOOKUP(2,1/(Algodão!$E68:INDEX(Algodão!$E68:$Z68,MIN(U$6-$G$3,22))&lt;&gt;""),Algodão!$E68:INDEX(Algodão!$E68:$Z68,MIN(U$6-$G$3,22))),0)))))</f>
        <v>0</v>
      </c>
      <c r="V70" s="27" t="n">
        <f aca="false">IF(COUNT(Algodão!$E68:$Z68)=0,0,MAX(0,IF((V$6-$E$3)&lt;1,0,IFERROR(LOOKUP(2,1/(Algodão!$E68:INDEX(Algodão!$E68:$Z68,MIN(V$6-$E$3,22))&lt;&gt;""),Algodão!$E68:INDEX(Algodão!$E68:$Z68,MIN(V$6-$E$3,22))),0))-IF($G$2,0,IF((V$6-$G$3)&lt;1,0,IFERROR(LOOKUP(2,1/(Algodão!$E68:INDEX(Algodão!$E68:$Z68,MIN(V$6-$G$3,22))&lt;&gt;""),Algodão!$E68:INDEX(Algodão!$E68:$Z68,MIN(V$6-$G$3,22))),0)))))</f>
        <v>0</v>
      </c>
      <c r="W70" s="27" t="n">
        <f aca="false">IF(COUNT(Algodão!$E68:$Z68)=0,0,MAX(0,IF((W$6-$E$3)&lt;1,0,IFERROR(LOOKUP(2,1/(Algodão!$E68:INDEX(Algodão!$E68:$Z68,MIN(W$6-$E$3,22))&lt;&gt;""),Algodão!$E68:INDEX(Algodão!$E68:$Z68,MIN(W$6-$E$3,22))),0))-IF($G$2,0,IF((W$6-$G$3)&lt;1,0,IFERROR(LOOKUP(2,1/(Algodão!$E68:INDEX(Algodão!$E68:$Z68,MIN(W$6-$G$3,22))&lt;&gt;""),Algodão!$E68:INDEX(Algodão!$E68:$Z68,MIN(W$6-$G$3,22))),0)))))</f>
        <v>0</v>
      </c>
      <c r="X70" s="27" t="n">
        <f aca="false">IF(COUNT(Algodão!$E68:$Z68)=0,0,MAX(0,IF((X$6-$E$3)&lt;1,0,IFERROR(LOOKUP(2,1/(Algodão!$E68:INDEX(Algodão!$E68:$Z68,MIN(X$6-$E$3,22))&lt;&gt;""),Algodão!$E68:INDEX(Algodão!$E68:$Z68,MIN(X$6-$E$3,22))),0))-IF($G$2,0,IF((X$6-$G$3)&lt;1,0,IFERROR(LOOKUP(2,1/(Algodão!$E68:INDEX(Algodão!$E68:$Z68,MIN(X$6-$G$3,22))&lt;&gt;""),Algodão!$E68:INDEX(Algodão!$E68:$Z68,MIN(X$6-$G$3,22))),0)))))</f>
        <v>0</v>
      </c>
      <c r="Y70" s="27" t="n">
        <f aca="false">IF(COUNT(Algodão!$E68:$Z68)=0,0,MAX(0,IF((Y$6-$E$3)&lt;1,0,IFERROR(LOOKUP(2,1/(Algodão!$E68:INDEX(Algodão!$E68:$Z68,MIN(Y$6-$E$3,22))&lt;&gt;""),Algodão!$E68:INDEX(Algodão!$E68:$Z68,MIN(Y$6-$E$3,22))),0))-IF($G$2,0,IF((Y$6-$G$3)&lt;1,0,IFERROR(LOOKUP(2,1/(Algodão!$E68:INDEX(Algodão!$E68:$Z68,MIN(Y$6-$G$3,22))&lt;&gt;""),Algodão!$E68:INDEX(Algodão!$E68:$Z68,MIN(Y$6-$G$3,22))),0)))))</f>
        <v>0</v>
      </c>
      <c r="Z70" s="27" t="n">
        <f aca="false">IF(COUNT(Algodão!$E68:$Z68)=0,0,MAX(0,IF((Z$6-$E$3)&lt;1,0,IFERROR(LOOKUP(2,1/(Algodão!$E68:INDEX(Algodão!$E68:$Z68,MIN(Z$6-$E$3,22))&lt;&gt;""),Algodão!$E68:INDEX(Algodão!$E68:$Z68,MIN(Z$6-$E$3,22))),0))-IF($G$2,0,IF((Z$6-$G$3)&lt;1,0,IFERROR(LOOKUP(2,1/(Algodão!$E68:INDEX(Algodão!$E68:$Z68,MIN(Z$6-$G$3,22))&lt;&gt;""),Algodão!$E68:INDEX(Algodão!$E68:$Z68,MIN(Z$6-$G$3,22))),0)))))</f>
        <v>0</v>
      </c>
      <c r="AA70" s="27" t="n">
        <f aca="false">IF(COUNT(Algodão!$E68:$Z68)=0,0,MAX(0,IF((AA$6-$E$3)&lt;1,0,IFERROR(LOOKUP(2,1/(Algodão!$E68:INDEX(Algodão!$E68:$Z68,MIN(AA$6-$E$3,22))&lt;&gt;""),Algodão!$E68:INDEX(Algodão!$E68:$Z68,MIN(AA$6-$E$3,22))),0))-IF($G$2,0,IF((AA$6-$G$3)&lt;1,0,IFERROR(LOOKUP(2,1/(Algodão!$E68:INDEX(Algodão!$E68:$Z68,MIN(AA$6-$G$3,22))&lt;&gt;""),Algodão!$E68:INDEX(Algodão!$E68:$Z68,MIN(AA$6-$G$3,22))),0)))))</f>
        <v>0</v>
      </c>
      <c r="AB70" s="27" t="n">
        <f aca="false">IF(COUNT(Algodão!$E68:$Z68)=0,0,MAX(0,IF((AB$6-$E$3)&lt;1,0,IFERROR(LOOKUP(2,1/(Algodão!$E68:INDEX(Algodão!$E68:$Z68,MIN(AB$6-$E$3,22))&lt;&gt;""),Algodão!$E68:INDEX(Algodão!$E68:$Z68,MIN(AB$6-$E$3,22))),0))-IF($G$2,0,IF((AB$6-$G$3)&lt;1,0,IFERROR(LOOKUP(2,1/(Algodão!$E68:INDEX(Algodão!$E68:$Z68,MIN(AB$6-$G$3,22))&lt;&gt;""),Algodão!$E68:INDEX(Algodão!$E68:$Z68,MIN(AB$6-$G$3,22))),0)))))</f>
        <v>0</v>
      </c>
      <c r="AC70" s="27" t="n">
        <f aca="false">IF(COUNT(Algodão!$E68:$Z68)=0,0,MAX(0,IF((AC$6-$E$3)&lt;1,0,IFERROR(LOOKUP(2,1/(Algodão!$E68:INDEX(Algodão!$E68:$Z68,MIN(AC$6-$E$3,22))&lt;&gt;""),Algodão!$E68:INDEX(Algodão!$E68:$Z68,MIN(AC$6-$E$3,22))),0))-IF($G$2,0,IF((AC$6-$G$3)&lt;1,0,IFERROR(LOOKUP(2,1/(Algodão!$E68:INDEX(Algodão!$E68:$Z68,MIN(AC$6-$G$3,22))&lt;&gt;""),Algodão!$E68:INDEX(Algodão!$E68:$Z68,MIN(AC$6-$G$3,22))),0)))))</f>
        <v>0</v>
      </c>
      <c r="AD70" s="27" t="n">
        <f aca="false">IF(COUNT(Algodão!$E68:$Z68)=0,0,MAX(0,IF((AD$6-$E$3)&lt;1,0,IFERROR(LOOKUP(2,1/(Algodão!$E68:INDEX(Algodão!$E68:$Z68,MIN(AD$6-$E$3,22))&lt;&gt;""),Algodão!$E68:INDEX(Algodão!$E68:$Z68,MIN(AD$6-$E$3,22))),0))-IF($G$2,0,IF((AD$6-$G$3)&lt;1,0,IFERROR(LOOKUP(2,1/(Algodão!$E68:INDEX(Algodão!$E68:$Z68,MIN(AD$6-$G$3,22))&lt;&gt;""),Algodão!$E68:INDEX(Algodão!$E68:$Z68,MIN(AD$6-$G$3,22))),0)))))</f>
        <v>0</v>
      </c>
      <c r="AE70" s="27" t="n">
        <f aca="false">IF(COUNT(Algodão!$E68:$Z68)=0,0,MAX(0,IF((AE$6-$E$3)&lt;1,0,IFERROR(LOOKUP(2,1/(Algodão!$E68:INDEX(Algodão!$E68:$Z68,MIN(AE$6-$E$3,22))&lt;&gt;""),Algodão!$E68:INDEX(Algodão!$E68:$Z68,MIN(AE$6-$E$3,22))),0))-IF($G$2,0,IF((AE$6-$G$3)&lt;1,0,IFERROR(LOOKUP(2,1/(Algodão!$E68:INDEX(Algodão!$E68:$Z68,MIN(AE$6-$G$3,22))&lt;&gt;""),Algodão!$E68:INDEX(Algodão!$E68:$Z68,MIN(AE$6-$G$3,22))),0)))))</f>
        <v>0</v>
      </c>
      <c r="AF70" s="27" t="n">
        <f aca="false">IF(COUNT(Algodão!$E68:$Z68)=0,0,MAX(0,IF((AF$6-$E$3)&lt;1,0,IFERROR(LOOKUP(2,1/(Algodão!$E68:INDEX(Algodão!$E68:$Z68,MIN(AF$6-$E$3,22))&lt;&gt;""),Algodão!$E68:INDEX(Algodão!$E68:$Z68,MIN(AF$6-$E$3,22))),0))-IF($G$2,0,IF((AF$6-$G$3)&lt;1,0,IFERROR(LOOKUP(2,1/(Algodão!$E68:INDEX(Algodão!$E68:$Z68,MIN(AF$6-$G$3,22))&lt;&gt;""),Algodão!$E68:INDEX(Algodão!$E68:$Z68,MIN(AF$6-$G$3,22))),0)))))</f>
        <v>0</v>
      </c>
      <c r="AG70" s="27" t="n">
        <f aca="false">IF(COUNT(Algodão!$E68:$Z68)=0,0,MAX(0,IF((AG$6-$E$3)&lt;1,0,IFERROR(LOOKUP(2,1/(Algodão!$E68:INDEX(Algodão!$E68:$Z68,MIN(AG$6-$E$3,22))&lt;&gt;""),Algodão!$E68:INDEX(Algodão!$E68:$Z68,MIN(AG$6-$E$3,22))),0))-IF($G$2,0,IF((AG$6-$G$3)&lt;1,0,IFERROR(LOOKUP(2,1/(Algodão!$E68:INDEX(Algodão!$E68:$Z68,MIN(AG$6-$G$3,22))&lt;&gt;""),Algodão!$E68:INDEX(Algodão!$E68:$Z68,MIN(AG$6-$G$3,22))),0)))))</f>
        <v>0</v>
      </c>
      <c r="AH70" s="27" t="n">
        <f aca="false">IF(COUNT(Algodão!$E68:$Z68)=0,0,MAX(0,IF((AH$6-$E$3)&lt;1,0,IFERROR(LOOKUP(2,1/(Algodão!$E68:INDEX(Algodão!$E68:$Z68,MIN(AH$6-$E$3,22))&lt;&gt;""),Algodão!$E68:INDEX(Algodão!$E68:$Z68,MIN(AH$6-$E$3,22))),0))-IF($G$2,0,IF((AH$6-$G$3)&lt;1,0,IFERROR(LOOKUP(2,1/(Algodão!$E68:INDEX(Algodão!$E68:$Z68,MIN(AH$6-$G$3,22))&lt;&gt;""),Algodão!$E68:INDEX(Algodão!$E68:$Z68,MIN(AH$6-$G$3,22))),0)))))</f>
        <v>0</v>
      </c>
      <c r="AI70" s="27" t="n">
        <f aca="false">IF(COUNT(Algodão!$E68:$Z68)=0,0,MAX(0,IF((AI$6-$E$3)&lt;1,0,IFERROR(LOOKUP(2,1/(Algodão!$E68:INDEX(Algodão!$E68:$Z68,MIN(AI$6-$E$3,22))&lt;&gt;""),Algodão!$E68:INDEX(Algodão!$E68:$Z68,MIN(AI$6-$E$3,22))),0))-IF($G$2,0,IF((AI$6-$G$3)&lt;1,0,IFERROR(LOOKUP(2,1/(Algodão!$E68:INDEX(Algodão!$E68:$Z68,MIN(AI$6-$G$3,22))&lt;&gt;""),Algodão!$E68:INDEX(Algodão!$E68:$Z68,MIN(AI$6-$G$3,22))),0)))))</f>
        <v>0</v>
      </c>
      <c r="AJ70" s="27" t="n">
        <f aca="false">IF(COUNT(Algodão!$E68:$Z68)=0,0,MAX(0,IF((AJ$6-$E$3)&lt;1,0,IFERROR(LOOKUP(2,1/(Algodão!$E68:INDEX(Algodão!$E68:$Z68,MIN(AJ$6-$E$3,22))&lt;&gt;""),Algodão!$E68:INDEX(Algodão!$E68:$Z68,MIN(AJ$6-$E$3,22))),0))-IF($G$2,0,IF((AJ$6-$G$3)&lt;1,0,IFERROR(LOOKUP(2,1/(Algodão!$E68:INDEX(Algodão!$E68:$Z68,MIN(AJ$6-$G$3,22))&lt;&gt;""),Algodão!$E68:INDEX(Algodão!$E68:$Z68,MIN(AJ$6-$G$3,22))),0)))))</f>
        <v>0</v>
      </c>
      <c r="AK70" s="27" t="n">
        <f aca="false">IF(COUNT(Algodão!$E68:$Z68)=0,0,MAX(0,IF((AK$6-$E$3)&lt;1,0,IFERROR(LOOKUP(2,1/(Algodão!$E68:INDEX(Algodão!$E68:$Z68,MIN(AK$6-$E$3,22))&lt;&gt;""),Algodão!$E68:INDEX(Algodão!$E68:$Z68,MIN(AK$6-$E$3,22))),0))-IF($G$2,0,IF((AK$6-$G$3)&lt;1,0,IFERROR(LOOKUP(2,1/(Algodão!$E68:INDEX(Algodão!$E68:$Z68,MIN(AK$6-$G$3,22))&lt;&gt;""),Algodão!$E68:INDEX(Algodão!$E68:$Z68,MIN(AK$6-$G$3,22))),0)))))</f>
        <v>0</v>
      </c>
      <c r="AL70" s="27" t="n">
        <f aca="false">IF(COUNT(Algodão!$E68:$Z68)=0,0,MAX(0,IF((AL$6-$E$3)&lt;1,0,IFERROR(LOOKUP(2,1/(Algodão!$E68:INDEX(Algodão!$E68:$Z68,MIN(AL$6-$E$3,22))&lt;&gt;""),Algodão!$E68:INDEX(Algodão!$E68:$Z68,MIN(AL$6-$E$3,22))),0))-IF($G$2,0,IF((AL$6-$G$3)&lt;1,0,IFERROR(LOOKUP(2,1/(Algodão!$E68:INDEX(Algodão!$E68:$Z68,MIN(AL$6-$G$3,22))&lt;&gt;""),Algodão!$E68:INDEX(Algodão!$E68:$Z68,MIN(AL$6-$G$3,22))),0)))))</f>
        <v>0</v>
      </c>
      <c r="AM70" s="27" t="n">
        <f aca="false">IF(COUNT(Algodão!$E68:$Z68)=0,0,MAX(0,IF((AM$6-$E$3)&lt;1,0,IFERROR(LOOKUP(2,1/(Algodão!$E68:INDEX(Algodão!$E68:$Z68,MIN(AM$6-$E$3,22))&lt;&gt;""),Algodão!$E68:INDEX(Algodão!$E68:$Z68,MIN(AM$6-$E$3,22))),0))-IF($G$2,0,IF((AM$6-$G$3)&lt;1,0,IFERROR(LOOKUP(2,1/(Algodão!$E68:INDEX(Algodão!$E68:$Z68,MIN(AM$6-$G$3,22))&lt;&gt;""),Algodão!$E68:INDEX(Algodão!$E68:$Z68,MIN(AM$6-$G$3,22))),0)))))</f>
        <v>0</v>
      </c>
      <c r="AN70" s="27" t="n">
        <f aca="false">IF(COUNT(Algodão!$E68:$Z68)=0,0,MAX(0,IF((AN$6-$E$3)&lt;1,0,IFERROR(LOOKUP(2,1/(Algodão!$E68:INDEX(Algodão!$E68:$Z68,MIN(AN$6-$E$3,22))&lt;&gt;""),Algodão!$E68:INDEX(Algodão!$E68:$Z68,MIN(AN$6-$E$3,22))),0))-IF($G$2,0,IF((AN$6-$G$3)&lt;1,0,IFERROR(LOOKUP(2,1/(Algodão!$E68:INDEX(Algodão!$E68:$Z68,MIN(AN$6-$G$3,22))&lt;&gt;""),Algodão!$E68:INDEX(Algodão!$E68:$Z68,MIN(AN$6-$G$3,22))),0)))))</f>
        <v>0</v>
      </c>
      <c r="AO70" s="27" t="n">
        <f aca="false">IF(COUNT(Algodão!$E68:$Z68)=0,0,MAX(0,IF((AO$6-$E$3)&lt;1,0,IFERROR(LOOKUP(2,1/(Algodão!$E68:INDEX(Algodão!$E68:$Z68,MIN(AO$6-$E$3,22))&lt;&gt;""),Algodão!$E68:INDEX(Algodão!$E68:$Z68,MIN(AO$6-$E$3,22))),0))-IF($G$2,0,IF((AO$6-$G$3)&lt;1,0,IFERROR(LOOKUP(2,1/(Algodão!$E68:INDEX(Algodão!$E68:$Z68,MIN(AO$6-$G$3,22))&lt;&gt;""),Algodão!$E68:INDEX(Algodão!$E68:$Z68,MIN(AO$6-$G$3,22))),0)))))</f>
        <v>0</v>
      </c>
      <c r="AP70" s="27" t="n">
        <f aca="false">IF(COUNT(Algodão!$E68:$Z68)=0,0,MAX(0,IF((AP$6-$E$3)&lt;1,0,IFERROR(LOOKUP(2,1/(Algodão!$E68:INDEX(Algodão!$E68:$Z68,MIN(AP$6-$E$3,22))&lt;&gt;""),Algodão!$E68:INDEX(Algodão!$E68:$Z68,MIN(AP$6-$E$3,22))),0))-IF($G$2,0,IF((AP$6-$G$3)&lt;1,0,IFERROR(LOOKUP(2,1/(Algodão!$E68:INDEX(Algodão!$E68:$Z68,MIN(AP$6-$G$3,22))&lt;&gt;""),Algodão!$E68:INDEX(Algodão!$E68:$Z68,MIN(AP$6-$G$3,22))),0)))))</f>
        <v>0</v>
      </c>
      <c r="AQ70" s="27" t="n">
        <f aca="false">IF(COUNT(Algodão!$E68:$Z68)=0,0,MAX(0,IF((AQ$6-$E$3)&lt;1,0,IFERROR(LOOKUP(2,1/(Algodão!$E68:INDEX(Algodão!$E68:$Z68,MIN(AQ$6-$E$3,22))&lt;&gt;""),Algodão!$E68:INDEX(Algodão!$E68:$Z68,MIN(AQ$6-$E$3,22))),0))-IF($G$2,0,IF((AQ$6-$G$3)&lt;1,0,IFERROR(LOOKUP(2,1/(Algodão!$E68:INDEX(Algodão!$E68:$Z68,MIN(AQ$6-$G$3,22))&lt;&gt;""),Algodão!$E68:INDEX(Algodão!$E68:$Z68,MIN(AQ$6-$G$3,22))),0)))))</f>
        <v>0</v>
      </c>
      <c r="AR70" s="27" t="n">
        <f aca="false">IF(COUNT(Algodão!$E68:$Z68)=0,0,MAX(0,IF((AR$6-$E$3)&lt;1,0,IFERROR(LOOKUP(2,1/(Algodão!$E68:INDEX(Algodão!$E68:$Z68,MIN(AR$6-$E$3,22))&lt;&gt;""),Algodão!$E68:INDEX(Algodão!$E68:$Z68,MIN(AR$6-$E$3,22))),0))-IF($G$2,0,IF((AR$6-$G$3)&lt;1,0,IFERROR(LOOKUP(2,1/(Algodão!$E68:INDEX(Algodão!$E68:$Z68,MIN(AR$6-$G$3,22))&lt;&gt;""),Algodão!$E68:INDEX(Algodão!$E68:$Z68,MIN(AR$6-$G$3,22))),0)))))</f>
        <v>0</v>
      </c>
      <c r="AS70" s="27" t="n">
        <f aca="false">IF(COUNT(Algodão!$E68:$Z68)=0,0,MAX(0,IF((AS$6-$E$3)&lt;1,0,IFERROR(LOOKUP(2,1/(Algodão!$E68:INDEX(Algodão!$E68:$Z68,MIN(AS$6-$E$3,22))&lt;&gt;""),Algodão!$E68:INDEX(Algodão!$E68:$Z68,MIN(AS$6-$E$3,22))),0))-IF($G$2,0,IF((AS$6-$G$3)&lt;1,0,IFERROR(LOOKUP(2,1/(Algodão!$E68:INDEX(Algodão!$E68:$Z68,MIN(AS$6-$G$3,22))&lt;&gt;""),Algodão!$E68:INDEX(Algodão!$E68:$Z68,MIN(AS$6-$G$3,22))),0)))))</f>
        <v>0</v>
      </c>
      <c r="AT70" s="27" t="n">
        <f aca="false">IF(COUNT(Algodão!$E68:$Z68)=0,0,MAX(0,IF((AT$6-$E$3)&lt;1,0,IFERROR(LOOKUP(2,1/(Algodão!$E68:INDEX(Algodão!$E68:$Z68,MIN(AT$6-$E$3,22))&lt;&gt;""),Algodão!$E68:INDEX(Algodão!$E68:$Z68,MIN(AT$6-$E$3,22))),0))-IF($G$2,0,IF((AT$6-$G$3)&lt;1,0,IFERROR(LOOKUP(2,1/(Algodão!$E68:INDEX(Algodão!$E68:$Z68,MIN(AT$6-$G$3,22))&lt;&gt;""),Algodão!$E68:INDEX(Algodão!$E68:$Z68,MIN(AT$6-$G$3,22))),0)))))</f>
        <v>0</v>
      </c>
      <c r="AU70" s="27" t="n">
        <f aca="false">IF(COUNT(Algodão!$E68:$Z68)=0,0,MAX(0,IF((AU$6-$E$3)&lt;1,0,IFERROR(LOOKUP(2,1/(Algodão!$E68:INDEX(Algodão!$E68:$Z68,MIN(AU$6-$E$3,22))&lt;&gt;""),Algodão!$E68:INDEX(Algodão!$E68:$Z68,MIN(AU$6-$E$3,22))),0))-IF($G$2,0,IF((AU$6-$G$3)&lt;1,0,IFERROR(LOOKUP(2,1/(Algodão!$E68:INDEX(Algodão!$E68:$Z68,MIN(AU$6-$G$3,22))&lt;&gt;""),Algodão!$E68:INDEX(Algodão!$E68:$Z68,MIN(AU$6-$G$3,22))),0)))))</f>
        <v>0</v>
      </c>
      <c r="AV70" s="27" t="n">
        <f aca="false">IF(COUNT(Algodão!$E68:$Z68)=0,0,MAX(0,IF((AV$6-$E$3)&lt;1,0,IFERROR(LOOKUP(2,1/(Algodão!$E68:INDEX(Algodão!$E68:$Z68,MIN(AV$6-$E$3,22))&lt;&gt;""),Algodão!$E68:INDEX(Algodão!$E68:$Z68,MIN(AV$6-$E$3,22))),0))-IF($G$2,0,IF((AV$6-$G$3)&lt;1,0,IFERROR(LOOKUP(2,1/(Algodão!$E68:INDEX(Algodão!$E68:$Z68,MIN(AV$6-$G$3,22))&lt;&gt;""),Algodão!$E68:INDEX(Algodão!$E68:$Z68,MIN(AV$6-$G$3,22))),0)))))</f>
        <v>0</v>
      </c>
      <c r="AW70" s="27" t="n">
        <f aca="false">IF(COUNT(Algodão!$E68:$Z68)=0,0,MAX(0,IF((AW$6-$E$3)&lt;1,0,IFERROR(LOOKUP(2,1/(Algodão!$E68:INDEX(Algodão!$E68:$Z68,MIN(AW$6-$E$3,22))&lt;&gt;""),Algodão!$E68:INDEX(Algodão!$E68:$Z68,MIN(AW$6-$E$3,22))),0))-IF($G$2,0,IF((AW$6-$G$3)&lt;1,0,IFERROR(LOOKUP(2,1/(Algodão!$E68:INDEX(Algodão!$E68:$Z68,MIN(AW$6-$G$3,22))&lt;&gt;""),Algodão!$E68:INDEX(Algodão!$E68:$Z68,MIN(AW$6-$G$3,22))),0)))))</f>
        <v>0</v>
      </c>
      <c r="AX70" s="27" t="n">
        <f aca="false">IF(COUNT(Algodão!$E68:$Z68)=0,0,MAX(0,IF((AX$6-$E$3)&lt;1,0,IFERROR(LOOKUP(2,1/(Algodão!$E68:INDEX(Algodão!$E68:$Z68,MIN(AX$6-$E$3,22))&lt;&gt;""),Algodão!$E68:INDEX(Algodão!$E68:$Z68,MIN(AX$6-$E$3,22))),0))-IF($G$2,0,IF((AX$6-$G$3)&lt;1,0,IFERROR(LOOKUP(2,1/(Algodão!$E68:INDEX(Algodão!$E68:$Z68,MIN(AX$6-$G$3,22))&lt;&gt;""),Algodão!$E68:INDEX(Algodão!$E68:$Z68,MIN(AX$6-$G$3,22))),0)))))</f>
        <v>0</v>
      </c>
      <c r="AY70" s="27" t="n">
        <f aca="false">IF(COUNT(Algodão!$E68:$Z68)=0,0,MAX(0,IF((AY$6-$E$3)&lt;1,0,IFERROR(LOOKUP(2,1/(Algodão!$E68:INDEX(Algodão!$E68:$Z68,MIN(AY$6-$E$3,22))&lt;&gt;""),Algodão!$E68:INDEX(Algodão!$E68:$Z68,MIN(AY$6-$E$3,22))),0))-IF($G$2,0,IF((AY$6-$G$3)&lt;1,0,IFERROR(LOOKUP(2,1/(Algodão!$E68:INDEX(Algodão!$E68:$Z68,MIN(AY$6-$G$3,22))&lt;&gt;""),Algodão!$E68:INDEX(Algodão!$E68:$Z68,MIN(AY$6-$G$3,22))),0)))))</f>
        <v>0</v>
      </c>
      <c r="AZ70" s="27" t="n">
        <f aca="false">IF(COUNT(Algodão!$E68:$Z68)=0,0,MAX(0,IF((AZ$6-$E$3)&lt;1,0,IFERROR(LOOKUP(2,1/(Algodão!$E68:INDEX(Algodão!$E68:$Z68,MIN(AZ$6-$E$3,22))&lt;&gt;""),Algodão!$E68:INDEX(Algodão!$E68:$Z68,MIN(AZ$6-$E$3,22))),0))-IF($G$2,0,IF((AZ$6-$G$3)&lt;1,0,IFERROR(LOOKUP(2,1/(Algodão!$E68:INDEX(Algodão!$E68:$Z68,MIN(AZ$6-$G$3,22))&lt;&gt;""),Algodão!$E68:INDEX(Algodão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IF(COUNT(Algodão!$E69:$Z69)&gt;0,N(Algodão!$D69),0)</f>
        <v>0</v>
      </c>
      <c r="E71" s="27" t="n">
        <f aca="false">IF(COUNT(Algodão!$E69:$Z69)=0,0,MAX(0,IF((E$6-$E$3)&lt;1,0,IFERROR(LOOKUP(2,1/(Algodão!$E69:INDEX(Algodão!$E69:$Z69,MIN(E$6-$E$3,22))&lt;&gt;""),Algodão!$E69:INDEX(Algodão!$E69:$Z69,MIN(E$6-$E$3,22))),0))-IF($G$2,0,IF((E$6-$G$3)&lt;1,0,IFERROR(LOOKUP(2,1/(Algodão!$E69:INDEX(Algodão!$E69:$Z69,MIN(E$6-$G$3,22))&lt;&gt;""),Algodão!$E69:INDEX(Algodão!$E69:$Z69,MIN(E$6-$G$3,22))),0)))))</f>
        <v>0</v>
      </c>
      <c r="F71" s="27" t="n">
        <f aca="false">IF(COUNT(Algodão!$E69:$Z69)=0,0,MAX(0,IF((F$6-$E$3)&lt;1,0,IFERROR(LOOKUP(2,1/(Algodão!$E69:INDEX(Algodão!$E69:$Z69,MIN(F$6-$E$3,22))&lt;&gt;""),Algodão!$E69:INDEX(Algodão!$E69:$Z69,MIN(F$6-$E$3,22))),0))-IF($G$2,0,IF((F$6-$G$3)&lt;1,0,IFERROR(LOOKUP(2,1/(Algodão!$E69:INDEX(Algodão!$E69:$Z69,MIN(F$6-$G$3,22))&lt;&gt;""),Algodão!$E69:INDEX(Algodão!$E69:$Z69,MIN(F$6-$G$3,22))),0)))))</f>
        <v>0</v>
      </c>
      <c r="G71" s="27" t="n">
        <f aca="false">IF(COUNT(Algodão!$E69:$Z69)=0,0,MAX(0,IF((G$6-$E$3)&lt;1,0,IFERROR(LOOKUP(2,1/(Algodão!$E69:INDEX(Algodão!$E69:$Z69,MIN(G$6-$E$3,22))&lt;&gt;""),Algodão!$E69:INDEX(Algodão!$E69:$Z69,MIN(G$6-$E$3,22))),0))-IF($G$2,0,IF((G$6-$G$3)&lt;1,0,IFERROR(LOOKUP(2,1/(Algodão!$E69:INDEX(Algodão!$E69:$Z69,MIN(G$6-$G$3,22))&lt;&gt;""),Algodão!$E69:INDEX(Algodão!$E69:$Z69,MIN(G$6-$G$3,22))),0)))))</f>
        <v>0</v>
      </c>
      <c r="H71" s="27" t="n">
        <f aca="false">IF(COUNT(Algodão!$E69:$Z69)=0,0,MAX(0,IF((H$6-$E$3)&lt;1,0,IFERROR(LOOKUP(2,1/(Algodão!$E69:INDEX(Algodão!$E69:$Z69,MIN(H$6-$E$3,22))&lt;&gt;""),Algodão!$E69:INDEX(Algodão!$E69:$Z69,MIN(H$6-$E$3,22))),0))-IF($G$2,0,IF((H$6-$G$3)&lt;1,0,IFERROR(LOOKUP(2,1/(Algodão!$E69:INDEX(Algodão!$E69:$Z69,MIN(H$6-$G$3,22))&lt;&gt;""),Algodão!$E69:INDEX(Algodão!$E69:$Z69,MIN(H$6-$G$3,22))),0)))))</f>
        <v>0</v>
      </c>
      <c r="I71" s="27" t="n">
        <f aca="false">IF(COUNT(Algodão!$E69:$Z69)=0,0,MAX(0,IF((I$6-$E$3)&lt;1,0,IFERROR(LOOKUP(2,1/(Algodão!$E69:INDEX(Algodão!$E69:$Z69,MIN(I$6-$E$3,22))&lt;&gt;""),Algodão!$E69:INDEX(Algodão!$E69:$Z69,MIN(I$6-$E$3,22))),0))-IF($G$2,0,IF((I$6-$G$3)&lt;1,0,IFERROR(LOOKUP(2,1/(Algodão!$E69:INDEX(Algodão!$E69:$Z69,MIN(I$6-$G$3,22))&lt;&gt;""),Algodão!$E69:INDEX(Algodão!$E69:$Z69,MIN(I$6-$G$3,22))),0)))))</f>
        <v>0</v>
      </c>
      <c r="J71" s="27" t="n">
        <f aca="false">IF(COUNT(Algodão!$E69:$Z69)=0,0,MAX(0,IF((J$6-$E$3)&lt;1,0,IFERROR(LOOKUP(2,1/(Algodão!$E69:INDEX(Algodão!$E69:$Z69,MIN(J$6-$E$3,22))&lt;&gt;""),Algodão!$E69:INDEX(Algodão!$E69:$Z69,MIN(J$6-$E$3,22))),0))-IF($G$2,0,IF((J$6-$G$3)&lt;1,0,IFERROR(LOOKUP(2,1/(Algodão!$E69:INDEX(Algodão!$E69:$Z69,MIN(J$6-$G$3,22))&lt;&gt;""),Algodão!$E69:INDEX(Algodão!$E69:$Z69,MIN(J$6-$G$3,22))),0)))))</f>
        <v>0</v>
      </c>
      <c r="K71" s="27" t="n">
        <f aca="false">IF(COUNT(Algodão!$E69:$Z69)=0,0,MAX(0,IF((K$6-$E$3)&lt;1,0,IFERROR(LOOKUP(2,1/(Algodão!$E69:INDEX(Algodão!$E69:$Z69,MIN(K$6-$E$3,22))&lt;&gt;""),Algodão!$E69:INDEX(Algodão!$E69:$Z69,MIN(K$6-$E$3,22))),0))-IF($G$2,0,IF((K$6-$G$3)&lt;1,0,IFERROR(LOOKUP(2,1/(Algodão!$E69:INDEX(Algodão!$E69:$Z69,MIN(K$6-$G$3,22))&lt;&gt;""),Algodão!$E69:INDEX(Algodão!$E69:$Z69,MIN(K$6-$G$3,22))),0)))))</f>
        <v>0</v>
      </c>
      <c r="L71" s="27" t="n">
        <f aca="false">IF(COUNT(Algodão!$E69:$Z69)=0,0,MAX(0,IF((L$6-$E$3)&lt;1,0,IFERROR(LOOKUP(2,1/(Algodão!$E69:INDEX(Algodão!$E69:$Z69,MIN(L$6-$E$3,22))&lt;&gt;""),Algodão!$E69:INDEX(Algodão!$E69:$Z69,MIN(L$6-$E$3,22))),0))-IF($G$2,0,IF((L$6-$G$3)&lt;1,0,IFERROR(LOOKUP(2,1/(Algodão!$E69:INDEX(Algodão!$E69:$Z69,MIN(L$6-$G$3,22))&lt;&gt;""),Algodão!$E69:INDEX(Algodão!$E69:$Z69,MIN(L$6-$G$3,22))),0)))))</f>
        <v>0</v>
      </c>
      <c r="M71" s="27" t="n">
        <f aca="false">IF(COUNT(Algodão!$E69:$Z69)=0,0,MAX(0,IF((M$6-$E$3)&lt;1,0,IFERROR(LOOKUP(2,1/(Algodão!$E69:INDEX(Algodão!$E69:$Z69,MIN(M$6-$E$3,22))&lt;&gt;""),Algodão!$E69:INDEX(Algodão!$E69:$Z69,MIN(M$6-$E$3,22))),0))-IF($G$2,0,IF((M$6-$G$3)&lt;1,0,IFERROR(LOOKUP(2,1/(Algodão!$E69:INDEX(Algodão!$E69:$Z69,MIN(M$6-$G$3,22))&lt;&gt;""),Algodão!$E69:INDEX(Algodão!$E69:$Z69,MIN(M$6-$G$3,22))),0)))))</f>
        <v>0</v>
      </c>
      <c r="N71" s="27" t="n">
        <f aca="false">IF(COUNT(Algodão!$E69:$Z69)=0,0,MAX(0,IF((N$6-$E$3)&lt;1,0,IFERROR(LOOKUP(2,1/(Algodão!$E69:INDEX(Algodão!$E69:$Z69,MIN(N$6-$E$3,22))&lt;&gt;""),Algodão!$E69:INDEX(Algodão!$E69:$Z69,MIN(N$6-$E$3,22))),0))-IF($G$2,0,IF((N$6-$G$3)&lt;1,0,IFERROR(LOOKUP(2,1/(Algodão!$E69:INDEX(Algodão!$E69:$Z69,MIN(N$6-$G$3,22))&lt;&gt;""),Algodão!$E69:INDEX(Algodão!$E69:$Z69,MIN(N$6-$G$3,22))),0)))))</f>
        <v>0</v>
      </c>
      <c r="O71" s="27" t="n">
        <f aca="false">IF(COUNT(Algodão!$E69:$Z69)=0,0,MAX(0,IF((O$6-$E$3)&lt;1,0,IFERROR(LOOKUP(2,1/(Algodão!$E69:INDEX(Algodão!$E69:$Z69,MIN(O$6-$E$3,22))&lt;&gt;""),Algodão!$E69:INDEX(Algodão!$E69:$Z69,MIN(O$6-$E$3,22))),0))-IF($G$2,0,IF((O$6-$G$3)&lt;1,0,IFERROR(LOOKUP(2,1/(Algodão!$E69:INDEX(Algodão!$E69:$Z69,MIN(O$6-$G$3,22))&lt;&gt;""),Algodão!$E69:INDEX(Algodão!$E69:$Z69,MIN(O$6-$G$3,22))),0)))))</f>
        <v>0</v>
      </c>
      <c r="P71" s="27" t="n">
        <f aca="false">IF(COUNT(Algodão!$E69:$Z69)=0,0,MAX(0,IF((P$6-$E$3)&lt;1,0,IFERROR(LOOKUP(2,1/(Algodão!$E69:INDEX(Algodão!$E69:$Z69,MIN(P$6-$E$3,22))&lt;&gt;""),Algodão!$E69:INDEX(Algodão!$E69:$Z69,MIN(P$6-$E$3,22))),0))-IF($G$2,0,IF((P$6-$G$3)&lt;1,0,IFERROR(LOOKUP(2,1/(Algodão!$E69:INDEX(Algodão!$E69:$Z69,MIN(P$6-$G$3,22))&lt;&gt;""),Algodão!$E69:INDEX(Algodão!$E69:$Z69,MIN(P$6-$G$3,22))),0)))))</f>
        <v>0</v>
      </c>
      <c r="Q71" s="27" t="n">
        <f aca="false">IF(COUNT(Algodão!$E69:$Z69)=0,0,MAX(0,IF((Q$6-$E$3)&lt;1,0,IFERROR(LOOKUP(2,1/(Algodão!$E69:INDEX(Algodão!$E69:$Z69,MIN(Q$6-$E$3,22))&lt;&gt;""),Algodão!$E69:INDEX(Algodão!$E69:$Z69,MIN(Q$6-$E$3,22))),0))-IF($G$2,0,IF((Q$6-$G$3)&lt;1,0,IFERROR(LOOKUP(2,1/(Algodão!$E69:INDEX(Algodão!$E69:$Z69,MIN(Q$6-$G$3,22))&lt;&gt;""),Algodão!$E69:INDEX(Algodão!$E69:$Z69,MIN(Q$6-$G$3,22))),0)))))</f>
        <v>0</v>
      </c>
      <c r="R71" s="27" t="n">
        <f aca="false">IF(COUNT(Algodão!$E69:$Z69)=0,0,MAX(0,IF((R$6-$E$3)&lt;1,0,IFERROR(LOOKUP(2,1/(Algodão!$E69:INDEX(Algodão!$E69:$Z69,MIN(R$6-$E$3,22))&lt;&gt;""),Algodão!$E69:INDEX(Algodão!$E69:$Z69,MIN(R$6-$E$3,22))),0))-IF($G$2,0,IF((R$6-$G$3)&lt;1,0,IFERROR(LOOKUP(2,1/(Algodão!$E69:INDEX(Algodão!$E69:$Z69,MIN(R$6-$G$3,22))&lt;&gt;""),Algodão!$E69:INDEX(Algodão!$E69:$Z69,MIN(R$6-$G$3,22))),0)))))</f>
        <v>0</v>
      </c>
      <c r="S71" s="27" t="n">
        <f aca="false">IF(COUNT(Algodão!$E69:$Z69)=0,0,MAX(0,IF((S$6-$E$3)&lt;1,0,IFERROR(LOOKUP(2,1/(Algodão!$E69:INDEX(Algodão!$E69:$Z69,MIN(S$6-$E$3,22))&lt;&gt;""),Algodão!$E69:INDEX(Algodão!$E69:$Z69,MIN(S$6-$E$3,22))),0))-IF($G$2,0,IF((S$6-$G$3)&lt;1,0,IFERROR(LOOKUP(2,1/(Algodão!$E69:INDEX(Algodão!$E69:$Z69,MIN(S$6-$G$3,22))&lt;&gt;""),Algodão!$E69:INDEX(Algodão!$E69:$Z69,MIN(S$6-$G$3,22))),0)))))</f>
        <v>0</v>
      </c>
      <c r="T71" s="27" t="n">
        <f aca="false">IF(COUNT(Algodão!$E69:$Z69)=0,0,MAX(0,IF((T$6-$E$3)&lt;1,0,IFERROR(LOOKUP(2,1/(Algodão!$E69:INDEX(Algodão!$E69:$Z69,MIN(T$6-$E$3,22))&lt;&gt;""),Algodão!$E69:INDEX(Algodão!$E69:$Z69,MIN(T$6-$E$3,22))),0))-IF($G$2,0,IF((T$6-$G$3)&lt;1,0,IFERROR(LOOKUP(2,1/(Algodão!$E69:INDEX(Algodão!$E69:$Z69,MIN(T$6-$G$3,22))&lt;&gt;""),Algodão!$E69:INDEX(Algodão!$E69:$Z69,MIN(T$6-$G$3,22))),0)))))</f>
        <v>0</v>
      </c>
      <c r="U71" s="27" t="n">
        <f aca="false">IF(COUNT(Algodão!$E69:$Z69)=0,0,MAX(0,IF((U$6-$E$3)&lt;1,0,IFERROR(LOOKUP(2,1/(Algodão!$E69:INDEX(Algodão!$E69:$Z69,MIN(U$6-$E$3,22))&lt;&gt;""),Algodão!$E69:INDEX(Algodão!$E69:$Z69,MIN(U$6-$E$3,22))),0))-IF($G$2,0,IF((U$6-$G$3)&lt;1,0,IFERROR(LOOKUP(2,1/(Algodão!$E69:INDEX(Algodão!$E69:$Z69,MIN(U$6-$G$3,22))&lt;&gt;""),Algodão!$E69:INDEX(Algodão!$E69:$Z69,MIN(U$6-$G$3,22))),0)))))</f>
        <v>0</v>
      </c>
      <c r="V71" s="27" t="n">
        <f aca="false">IF(COUNT(Algodão!$E69:$Z69)=0,0,MAX(0,IF((V$6-$E$3)&lt;1,0,IFERROR(LOOKUP(2,1/(Algodão!$E69:INDEX(Algodão!$E69:$Z69,MIN(V$6-$E$3,22))&lt;&gt;""),Algodão!$E69:INDEX(Algodão!$E69:$Z69,MIN(V$6-$E$3,22))),0))-IF($G$2,0,IF((V$6-$G$3)&lt;1,0,IFERROR(LOOKUP(2,1/(Algodão!$E69:INDEX(Algodão!$E69:$Z69,MIN(V$6-$G$3,22))&lt;&gt;""),Algodão!$E69:INDEX(Algodão!$E69:$Z69,MIN(V$6-$G$3,22))),0)))))</f>
        <v>0</v>
      </c>
      <c r="W71" s="27" t="n">
        <f aca="false">IF(COUNT(Algodão!$E69:$Z69)=0,0,MAX(0,IF((W$6-$E$3)&lt;1,0,IFERROR(LOOKUP(2,1/(Algodão!$E69:INDEX(Algodão!$E69:$Z69,MIN(W$6-$E$3,22))&lt;&gt;""),Algodão!$E69:INDEX(Algodão!$E69:$Z69,MIN(W$6-$E$3,22))),0))-IF($G$2,0,IF((W$6-$G$3)&lt;1,0,IFERROR(LOOKUP(2,1/(Algodão!$E69:INDEX(Algodão!$E69:$Z69,MIN(W$6-$G$3,22))&lt;&gt;""),Algodão!$E69:INDEX(Algodão!$E69:$Z69,MIN(W$6-$G$3,22))),0)))))</f>
        <v>0</v>
      </c>
      <c r="X71" s="27" t="n">
        <f aca="false">IF(COUNT(Algodão!$E69:$Z69)=0,0,MAX(0,IF((X$6-$E$3)&lt;1,0,IFERROR(LOOKUP(2,1/(Algodão!$E69:INDEX(Algodão!$E69:$Z69,MIN(X$6-$E$3,22))&lt;&gt;""),Algodão!$E69:INDEX(Algodão!$E69:$Z69,MIN(X$6-$E$3,22))),0))-IF($G$2,0,IF((X$6-$G$3)&lt;1,0,IFERROR(LOOKUP(2,1/(Algodão!$E69:INDEX(Algodão!$E69:$Z69,MIN(X$6-$G$3,22))&lt;&gt;""),Algodão!$E69:INDEX(Algodão!$E69:$Z69,MIN(X$6-$G$3,22))),0)))))</f>
        <v>0</v>
      </c>
      <c r="Y71" s="27" t="n">
        <f aca="false">IF(COUNT(Algodão!$E69:$Z69)=0,0,MAX(0,IF((Y$6-$E$3)&lt;1,0,IFERROR(LOOKUP(2,1/(Algodão!$E69:INDEX(Algodão!$E69:$Z69,MIN(Y$6-$E$3,22))&lt;&gt;""),Algodão!$E69:INDEX(Algodão!$E69:$Z69,MIN(Y$6-$E$3,22))),0))-IF($G$2,0,IF((Y$6-$G$3)&lt;1,0,IFERROR(LOOKUP(2,1/(Algodão!$E69:INDEX(Algodão!$E69:$Z69,MIN(Y$6-$G$3,22))&lt;&gt;""),Algodão!$E69:INDEX(Algodão!$E69:$Z69,MIN(Y$6-$G$3,22))),0)))))</f>
        <v>0</v>
      </c>
      <c r="Z71" s="27" t="n">
        <f aca="false">IF(COUNT(Algodão!$E69:$Z69)=0,0,MAX(0,IF((Z$6-$E$3)&lt;1,0,IFERROR(LOOKUP(2,1/(Algodão!$E69:INDEX(Algodão!$E69:$Z69,MIN(Z$6-$E$3,22))&lt;&gt;""),Algodão!$E69:INDEX(Algodão!$E69:$Z69,MIN(Z$6-$E$3,22))),0))-IF($G$2,0,IF((Z$6-$G$3)&lt;1,0,IFERROR(LOOKUP(2,1/(Algodão!$E69:INDEX(Algodão!$E69:$Z69,MIN(Z$6-$G$3,22))&lt;&gt;""),Algodão!$E69:INDEX(Algodão!$E69:$Z69,MIN(Z$6-$G$3,22))),0)))))</f>
        <v>0</v>
      </c>
      <c r="AA71" s="27" t="n">
        <f aca="false">IF(COUNT(Algodão!$E69:$Z69)=0,0,MAX(0,IF((AA$6-$E$3)&lt;1,0,IFERROR(LOOKUP(2,1/(Algodão!$E69:INDEX(Algodão!$E69:$Z69,MIN(AA$6-$E$3,22))&lt;&gt;""),Algodão!$E69:INDEX(Algodão!$E69:$Z69,MIN(AA$6-$E$3,22))),0))-IF($G$2,0,IF((AA$6-$G$3)&lt;1,0,IFERROR(LOOKUP(2,1/(Algodão!$E69:INDEX(Algodão!$E69:$Z69,MIN(AA$6-$G$3,22))&lt;&gt;""),Algodão!$E69:INDEX(Algodão!$E69:$Z69,MIN(AA$6-$G$3,22))),0)))))</f>
        <v>0</v>
      </c>
      <c r="AB71" s="27" t="n">
        <f aca="false">IF(COUNT(Algodão!$E69:$Z69)=0,0,MAX(0,IF((AB$6-$E$3)&lt;1,0,IFERROR(LOOKUP(2,1/(Algodão!$E69:INDEX(Algodão!$E69:$Z69,MIN(AB$6-$E$3,22))&lt;&gt;""),Algodão!$E69:INDEX(Algodão!$E69:$Z69,MIN(AB$6-$E$3,22))),0))-IF($G$2,0,IF((AB$6-$G$3)&lt;1,0,IFERROR(LOOKUP(2,1/(Algodão!$E69:INDEX(Algodão!$E69:$Z69,MIN(AB$6-$G$3,22))&lt;&gt;""),Algodão!$E69:INDEX(Algodão!$E69:$Z69,MIN(AB$6-$G$3,22))),0)))))</f>
        <v>0</v>
      </c>
      <c r="AC71" s="27" t="n">
        <f aca="false">IF(COUNT(Algodão!$E69:$Z69)=0,0,MAX(0,IF((AC$6-$E$3)&lt;1,0,IFERROR(LOOKUP(2,1/(Algodão!$E69:INDEX(Algodão!$E69:$Z69,MIN(AC$6-$E$3,22))&lt;&gt;""),Algodão!$E69:INDEX(Algodão!$E69:$Z69,MIN(AC$6-$E$3,22))),0))-IF($G$2,0,IF((AC$6-$G$3)&lt;1,0,IFERROR(LOOKUP(2,1/(Algodão!$E69:INDEX(Algodão!$E69:$Z69,MIN(AC$6-$G$3,22))&lt;&gt;""),Algodão!$E69:INDEX(Algodão!$E69:$Z69,MIN(AC$6-$G$3,22))),0)))))</f>
        <v>0</v>
      </c>
      <c r="AD71" s="27" t="n">
        <f aca="false">IF(COUNT(Algodão!$E69:$Z69)=0,0,MAX(0,IF((AD$6-$E$3)&lt;1,0,IFERROR(LOOKUP(2,1/(Algodão!$E69:INDEX(Algodão!$E69:$Z69,MIN(AD$6-$E$3,22))&lt;&gt;""),Algodão!$E69:INDEX(Algodão!$E69:$Z69,MIN(AD$6-$E$3,22))),0))-IF($G$2,0,IF((AD$6-$G$3)&lt;1,0,IFERROR(LOOKUP(2,1/(Algodão!$E69:INDEX(Algodão!$E69:$Z69,MIN(AD$6-$G$3,22))&lt;&gt;""),Algodão!$E69:INDEX(Algodão!$E69:$Z69,MIN(AD$6-$G$3,22))),0)))))</f>
        <v>0</v>
      </c>
      <c r="AE71" s="27" t="n">
        <f aca="false">IF(COUNT(Algodão!$E69:$Z69)=0,0,MAX(0,IF((AE$6-$E$3)&lt;1,0,IFERROR(LOOKUP(2,1/(Algodão!$E69:INDEX(Algodão!$E69:$Z69,MIN(AE$6-$E$3,22))&lt;&gt;""),Algodão!$E69:INDEX(Algodão!$E69:$Z69,MIN(AE$6-$E$3,22))),0))-IF($G$2,0,IF((AE$6-$G$3)&lt;1,0,IFERROR(LOOKUP(2,1/(Algodão!$E69:INDEX(Algodão!$E69:$Z69,MIN(AE$6-$G$3,22))&lt;&gt;""),Algodão!$E69:INDEX(Algodão!$E69:$Z69,MIN(AE$6-$G$3,22))),0)))))</f>
        <v>0</v>
      </c>
      <c r="AF71" s="27" t="n">
        <f aca="false">IF(COUNT(Algodão!$E69:$Z69)=0,0,MAX(0,IF((AF$6-$E$3)&lt;1,0,IFERROR(LOOKUP(2,1/(Algodão!$E69:INDEX(Algodão!$E69:$Z69,MIN(AF$6-$E$3,22))&lt;&gt;""),Algodão!$E69:INDEX(Algodão!$E69:$Z69,MIN(AF$6-$E$3,22))),0))-IF($G$2,0,IF((AF$6-$G$3)&lt;1,0,IFERROR(LOOKUP(2,1/(Algodão!$E69:INDEX(Algodão!$E69:$Z69,MIN(AF$6-$G$3,22))&lt;&gt;""),Algodão!$E69:INDEX(Algodão!$E69:$Z69,MIN(AF$6-$G$3,22))),0)))))</f>
        <v>0</v>
      </c>
      <c r="AG71" s="27" t="n">
        <f aca="false">IF(COUNT(Algodão!$E69:$Z69)=0,0,MAX(0,IF((AG$6-$E$3)&lt;1,0,IFERROR(LOOKUP(2,1/(Algodão!$E69:INDEX(Algodão!$E69:$Z69,MIN(AG$6-$E$3,22))&lt;&gt;""),Algodão!$E69:INDEX(Algodão!$E69:$Z69,MIN(AG$6-$E$3,22))),0))-IF($G$2,0,IF((AG$6-$G$3)&lt;1,0,IFERROR(LOOKUP(2,1/(Algodão!$E69:INDEX(Algodão!$E69:$Z69,MIN(AG$6-$G$3,22))&lt;&gt;""),Algodão!$E69:INDEX(Algodão!$E69:$Z69,MIN(AG$6-$G$3,22))),0)))))</f>
        <v>0</v>
      </c>
      <c r="AH71" s="27" t="n">
        <f aca="false">IF(COUNT(Algodão!$E69:$Z69)=0,0,MAX(0,IF((AH$6-$E$3)&lt;1,0,IFERROR(LOOKUP(2,1/(Algodão!$E69:INDEX(Algodão!$E69:$Z69,MIN(AH$6-$E$3,22))&lt;&gt;""),Algodão!$E69:INDEX(Algodão!$E69:$Z69,MIN(AH$6-$E$3,22))),0))-IF($G$2,0,IF((AH$6-$G$3)&lt;1,0,IFERROR(LOOKUP(2,1/(Algodão!$E69:INDEX(Algodão!$E69:$Z69,MIN(AH$6-$G$3,22))&lt;&gt;""),Algodão!$E69:INDEX(Algodão!$E69:$Z69,MIN(AH$6-$G$3,22))),0)))))</f>
        <v>0</v>
      </c>
      <c r="AI71" s="27" t="n">
        <f aca="false">IF(COUNT(Algodão!$E69:$Z69)=0,0,MAX(0,IF((AI$6-$E$3)&lt;1,0,IFERROR(LOOKUP(2,1/(Algodão!$E69:INDEX(Algodão!$E69:$Z69,MIN(AI$6-$E$3,22))&lt;&gt;""),Algodão!$E69:INDEX(Algodão!$E69:$Z69,MIN(AI$6-$E$3,22))),0))-IF($G$2,0,IF((AI$6-$G$3)&lt;1,0,IFERROR(LOOKUP(2,1/(Algodão!$E69:INDEX(Algodão!$E69:$Z69,MIN(AI$6-$G$3,22))&lt;&gt;""),Algodão!$E69:INDEX(Algodão!$E69:$Z69,MIN(AI$6-$G$3,22))),0)))))</f>
        <v>0</v>
      </c>
      <c r="AJ71" s="27" t="n">
        <f aca="false">IF(COUNT(Algodão!$E69:$Z69)=0,0,MAX(0,IF((AJ$6-$E$3)&lt;1,0,IFERROR(LOOKUP(2,1/(Algodão!$E69:INDEX(Algodão!$E69:$Z69,MIN(AJ$6-$E$3,22))&lt;&gt;""),Algodão!$E69:INDEX(Algodão!$E69:$Z69,MIN(AJ$6-$E$3,22))),0))-IF($G$2,0,IF((AJ$6-$G$3)&lt;1,0,IFERROR(LOOKUP(2,1/(Algodão!$E69:INDEX(Algodão!$E69:$Z69,MIN(AJ$6-$G$3,22))&lt;&gt;""),Algodão!$E69:INDEX(Algodão!$E69:$Z69,MIN(AJ$6-$G$3,22))),0)))))</f>
        <v>0</v>
      </c>
      <c r="AK71" s="27" t="n">
        <f aca="false">IF(COUNT(Algodão!$E69:$Z69)=0,0,MAX(0,IF((AK$6-$E$3)&lt;1,0,IFERROR(LOOKUP(2,1/(Algodão!$E69:INDEX(Algodão!$E69:$Z69,MIN(AK$6-$E$3,22))&lt;&gt;""),Algodão!$E69:INDEX(Algodão!$E69:$Z69,MIN(AK$6-$E$3,22))),0))-IF($G$2,0,IF((AK$6-$G$3)&lt;1,0,IFERROR(LOOKUP(2,1/(Algodão!$E69:INDEX(Algodão!$E69:$Z69,MIN(AK$6-$G$3,22))&lt;&gt;""),Algodão!$E69:INDEX(Algodão!$E69:$Z69,MIN(AK$6-$G$3,22))),0)))))</f>
        <v>0</v>
      </c>
      <c r="AL71" s="27" t="n">
        <f aca="false">IF(COUNT(Algodão!$E69:$Z69)=0,0,MAX(0,IF((AL$6-$E$3)&lt;1,0,IFERROR(LOOKUP(2,1/(Algodão!$E69:INDEX(Algodão!$E69:$Z69,MIN(AL$6-$E$3,22))&lt;&gt;""),Algodão!$E69:INDEX(Algodão!$E69:$Z69,MIN(AL$6-$E$3,22))),0))-IF($G$2,0,IF((AL$6-$G$3)&lt;1,0,IFERROR(LOOKUP(2,1/(Algodão!$E69:INDEX(Algodão!$E69:$Z69,MIN(AL$6-$G$3,22))&lt;&gt;""),Algodão!$E69:INDEX(Algodão!$E69:$Z69,MIN(AL$6-$G$3,22))),0)))))</f>
        <v>0</v>
      </c>
      <c r="AM71" s="27" t="n">
        <f aca="false">IF(COUNT(Algodão!$E69:$Z69)=0,0,MAX(0,IF((AM$6-$E$3)&lt;1,0,IFERROR(LOOKUP(2,1/(Algodão!$E69:INDEX(Algodão!$E69:$Z69,MIN(AM$6-$E$3,22))&lt;&gt;""),Algodão!$E69:INDEX(Algodão!$E69:$Z69,MIN(AM$6-$E$3,22))),0))-IF($G$2,0,IF((AM$6-$G$3)&lt;1,0,IFERROR(LOOKUP(2,1/(Algodão!$E69:INDEX(Algodão!$E69:$Z69,MIN(AM$6-$G$3,22))&lt;&gt;""),Algodão!$E69:INDEX(Algodão!$E69:$Z69,MIN(AM$6-$G$3,22))),0)))))</f>
        <v>0</v>
      </c>
      <c r="AN71" s="27" t="n">
        <f aca="false">IF(COUNT(Algodão!$E69:$Z69)=0,0,MAX(0,IF((AN$6-$E$3)&lt;1,0,IFERROR(LOOKUP(2,1/(Algodão!$E69:INDEX(Algodão!$E69:$Z69,MIN(AN$6-$E$3,22))&lt;&gt;""),Algodão!$E69:INDEX(Algodão!$E69:$Z69,MIN(AN$6-$E$3,22))),0))-IF($G$2,0,IF((AN$6-$G$3)&lt;1,0,IFERROR(LOOKUP(2,1/(Algodão!$E69:INDEX(Algodão!$E69:$Z69,MIN(AN$6-$G$3,22))&lt;&gt;""),Algodão!$E69:INDEX(Algodão!$E69:$Z69,MIN(AN$6-$G$3,22))),0)))))</f>
        <v>0</v>
      </c>
      <c r="AO71" s="27" t="n">
        <f aca="false">IF(COUNT(Algodão!$E69:$Z69)=0,0,MAX(0,IF((AO$6-$E$3)&lt;1,0,IFERROR(LOOKUP(2,1/(Algodão!$E69:INDEX(Algodão!$E69:$Z69,MIN(AO$6-$E$3,22))&lt;&gt;""),Algodão!$E69:INDEX(Algodão!$E69:$Z69,MIN(AO$6-$E$3,22))),0))-IF($G$2,0,IF((AO$6-$G$3)&lt;1,0,IFERROR(LOOKUP(2,1/(Algodão!$E69:INDEX(Algodão!$E69:$Z69,MIN(AO$6-$G$3,22))&lt;&gt;""),Algodão!$E69:INDEX(Algodão!$E69:$Z69,MIN(AO$6-$G$3,22))),0)))))</f>
        <v>0</v>
      </c>
      <c r="AP71" s="27" t="n">
        <f aca="false">IF(COUNT(Algodão!$E69:$Z69)=0,0,MAX(0,IF((AP$6-$E$3)&lt;1,0,IFERROR(LOOKUP(2,1/(Algodão!$E69:INDEX(Algodão!$E69:$Z69,MIN(AP$6-$E$3,22))&lt;&gt;""),Algodão!$E69:INDEX(Algodão!$E69:$Z69,MIN(AP$6-$E$3,22))),0))-IF($G$2,0,IF((AP$6-$G$3)&lt;1,0,IFERROR(LOOKUP(2,1/(Algodão!$E69:INDEX(Algodão!$E69:$Z69,MIN(AP$6-$G$3,22))&lt;&gt;""),Algodão!$E69:INDEX(Algodão!$E69:$Z69,MIN(AP$6-$G$3,22))),0)))))</f>
        <v>0</v>
      </c>
      <c r="AQ71" s="27" t="n">
        <f aca="false">IF(COUNT(Algodão!$E69:$Z69)=0,0,MAX(0,IF((AQ$6-$E$3)&lt;1,0,IFERROR(LOOKUP(2,1/(Algodão!$E69:INDEX(Algodão!$E69:$Z69,MIN(AQ$6-$E$3,22))&lt;&gt;""),Algodão!$E69:INDEX(Algodão!$E69:$Z69,MIN(AQ$6-$E$3,22))),0))-IF($G$2,0,IF((AQ$6-$G$3)&lt;1,0,IFERROR(LOOKUP(2,1/(Algodão!$E69:INDEX(Algodão!$E69:$Z69,MIN(AQ$6-$G$3,22))&lt;&gt;""),Algodão!$E69:INDEX(Algodão!$E69:$Z69,MIN(AQ$6-$G$3,22))),0)))))</f>
        <v>0</v>
      </c>
      <c r="AR71" s="27" t="n">
        <f aca="false">IF(COUNT(Algodão!$E69:$Z69)=0,0,MAX(0,IF((AR$6-$E$3)&lt;1,0,IFERROR(LOOKUP(2,1/(Algodão!$E69:INDEX(Algodão!$E69:$Z69,MIN(AR$6-$E$3,22))&lt;&gt;""),Algodão!$E69:INDEX(Algodão!$E69:$Z69,MIN(AR$6-$E$3,22))),0))-IF($G$2,0,IF((AR$6-$G$3)&lt;1,0,IFERROR(LOOKUP(2,1/(Algodão!$E69:INDEX(Algodão!$E69:$Z69,MIN(AR$6-$G$3,22))&lt;&gt;""),Algodão!$E69:INDEX(Algodão!$E69:$Z69,MIN(AR$6-$G$3,22))),0)))))</f>
        <v>0</v>
      </c>
      <c r="AS71" s="27" t="n">
        <f aca="false">IF(COUNT(Algodão!$E69:$Z69)=0,0,MAX(0,IF((AS$6-$E$3)&lt;1,0,IFERROR(LOOKUP(2,1/(Algodão!$E69:INDEX(Algodão!$E69:$Z69,MIN(AS$6-$E$3,22))&lt;&gt;""),Algodão!$E69:INDEX(Algodão!$E69:$Z69,MIN(AS$6-$E$3,22))),0))-IF($G$2,0,IF((AS$6-$G$3)&lt;1,0,IFERROR(LOOKUP(2,1/(Algodão!$E69:INDEX(Algodão!$E69:$Z69,MIN(AS$6-$G$3,22))&lt;&gt;""),Algodão!$E69:INDEX(Algodão!$E69:$Z69,MIN(AS$6-$G$3,22))),0)))))</f>
        <v>0</v>
      </c>
      <c r="AT71" s="27" t="n">
        <f aca="false">IF(COUNT(Algodão!$E69:$Z69)=0,0,MAX(0,IF((AT$6-$E$3)&lt;1,0,IFERROR(LOOKUP(2,1/(Algodão!$E69:INDEX(Algodão!$E69:$Z69,MIN(AT$6-$E$3,22))&lt;&gt;""),Algodão!$E69:INDEX(Algodão!$E69:$Z69,MIN(AT$6-$E$3,22))),0))-IF($G$2,0,IF((AT$6-$G$3)&lt;1,0,IFERROR(LOOKUP(2,1/(Algodão!$E69:INDEX(Algodão!$E69:$Z69,MIN(AT$6-$G$3,22))&lt;&gt;""),Algodão!$E69:INDEX(Algodão!$E69:$Z69,MIN(AT$6-$G$3,22))),0)))))</f>
        <v>0</v>
      </c>
      <c r="AU71" s="27" t="n">
        <f aca="false">IF(COUNT(Algodão!$E69:$Z69)=0,0,MAX(0,IF((AU$6-$E$3)&lt;1,0,IFERROR(LOOKUP(2,1/(Algodão!$E69:INDEX(Algodão!$E69:$Z69,MIN(AU$6-$E$3,22))&lt;&gt;""),Algodão!$E69:INDEX(Algodão!$E69:$Z69,MIN(AU$6-$E$3,22))),0))-IF($G$2,0,IF((AU$6-$G$3)&lt;1,0,IFERROR(LOOKUP(2,1/(Algodão!$E69:INDEX(Algodão!$E69:$Z69,MIN(AU$6-$G$3,22))&lt;&gt;""),Algodão!$E69:INDEX(Algodão!$E69:$Z69,MIN(AU$6-$G$3,22))),0)))))</f>
        <v>0</v>
      </c>
      <c r="AV71" s="27" t="n">
        <f aca="false">IF(COUNT(Algodão!$E69:$Z69)=0,0,MAX(0,IF((AV$6-$E$3)&lt;1,0,IFERROR(LOOKUP(2,1/(Algodão!$E69:INDEX(Algodão!$E69:$Z69,MIN(AV$6-$E$3,22))&lt;&gt;""),Algodão!$E69:INDEX(Algodão!$E69:$Z69,MIN(AV$6-$E$3,22))),0))-IF($G$2,0,IF((AV$6-$G$3)&lt;1,0,IFERROR(LOOKUP(2,1/(Algodão!$E69:INDEX(Algodão!$E69:$Z69,MIN(AV$6-$G$3,22))&lt;&gt;""),Algodão!$E69:INDEX(Algodão!$E69:$Z69,MIN(AV$6-$G$3,22))),0)))))</f>
        <v>0</v>
      </c>
      <c r="AW71" s="27" t="n">
        <f aca="false">IF(COUNT(Algodão!$E69:$Z69)=0,0,MAX(0,IF((AW$6-$E$3)&lt;1,0,IFERROR(LOOKUP(2,1/(Algodão!$E69:INDEX(Algodão!$E69:$Z69,MIN(AW$6-$E$3,22))&lt;&gt;""),Algodão!$E69:INDEX(Algodão!$E69:$Z69,MIN(AW$6-$E$3,22))),0))-IF($G$2,0,IF((AW$6-$G$3)&lt;1,0,IFERROR(LOOKUP(2,1/(Algodão!$E69:INDEX(Algodão!$E69:$Z69,MIN(AW$6-$G$3,22))&lt;&gt;""),Algodão!$E69:INDEX(Algodão!$E69:$Z69,MIN(AW$6-$G$3,22))),0)))))</f>
        <v>0</v>
      </c>
      <c r="AX71" s="27" t="n">
        <f aca="false">IF(COUNT(Algodão!$E69:$Z69)=0,0,MAX(0,IF((AX$6-$E$3)&lt;1,0,IFERROR(LOOKUP(2,1/(Algodão!$E69:INDEX(Algodão!$E69:$Z69,MIN(AX$6-$E$3,22))&lt;&gt;""),Algodão!$E69:INDEX(Algodão!$E69:$Z69,MIN(AX$6-$E$3,22))),0))-IF($G$2,0,IF((AX$6-$G$3)&lt;1,0,IFERROR(LOOKUP(2,1/(Algodão!$E69:INDEX(Algodão!$E69:$Z69,MIN(AX$6-$G$3,22))&lt;&gt;""),Algodão!$E69:INDEX(Algodão!$E69:$Z69,MIN(AX$6-$G$3,22))),0)))))</f>
        <v>0</v>
      </c>
      <c r="AY71" s="27" t="n">
        <f aca="false">IF(COUNT(Algodão!$E69:$Z69)=0,0,MAX(0,IF((AY$6-$E$3)&lt;1,0,IFERROR(LOOKUP(2,1/(Algodão!$E69:INDEX(Algodão!$E69:$Z69,MIN(AY$6-$E$3,22))&lt;&gt;""),Algodão!$E69:INDEX(Algodão!$E69:$Z69,MIN(AY$6-$E$3,22))),0))-IF($G$2,0,IF((AY$6-$G$3)&lt;1,0,IFERROR(LOOKUP(2,1/(Algodão!$E69:INDEX(Algodão!$E69:$Z69,MIN(AY$6-$G$3,22))&lt;&gt;""),Algodão!$E69:INDEX(Algodão!$E69:$Z69,MIN(AY$6-$G$3,22))),0)))))</f>
        <v>0</v>
      </c>
      <c r="AZ71" s="27" t="n">
        <f aca="false">IF(COUNT(Algodão!$E69:$Z69)=0,0,MAX(0,IF((AZ$6-$E$3)&lt;1,0,IFERROR(LOOKUP(2,1/(Algodão!$E69:INDEX(Algodão!$E69:$Z69,MIN(AZ$6-$E$3,22))&lt;&gt;""),Algodão!$E69:INDEX(Algodão!$E69:$Z69,MIN(AZ$6-$E$3,22))),0))-IF($G$2,0,IF((AZ$6-$G$3)&lt;1,0,IFERROR(LOOKUP(2,1/(Algodão!$E69:INDEX(Algodão!$E69:$Z69,MIN(AZ$6-$G$3,22))&lt;&gt;""),Algodão!$E69:INDEX(Algodão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IF(COUNT(Algodão!$E70:$Z70)&gt;0,N(Algodão!$D70),0)</f>
        <v>0</v>
      </c>
      <c r="E72" s="27" t="n">
        <f aca="false">IF(COUNT(Algodão!$E70:$Z70)=0,0,MAX(0,IF((E$6-$E$3)&lt;1,0,IFERROR(LOOKUP(2,1/(Algodão!$E70:INDEX(Algodão!$E70:$Z70,MIN(E$6-$E$3,22))&lt;&gt;""),Algodão!$E70:INDEX(Algodão!$E70:$Z70,MIN(E$6-$E$3,22))),0))-IF($G$2,0,IF((E$6-$G$3)&lt;1,0,IFERROR(LOOKUP(2,1/(Algodão!$E70:INDEX(Algodão!$E70:$Z70,MIN(E$6-$G$3,22))&lt;&gt;""),Algodão!$E70:INDEX(Algodão!$E70:$Z70,MIN(E$6-$G$3,22))),0)))))</f>
        <v>0</v>
      </c>
      <c r="F72" s="27" t="n">
        <f aca="false">IF(COUNT(Algodão!$E70:$Z70)=0,0,MAX(0,IF((F$6-$E$3)&lt;1,0,IFERROR(LOOKUP(2,1/(Algodão!$E70:INDEX(Algodão!$E70:$Z70,MIN(F$6-$E$3,22))&lt;&gt;""),Algodão!$E70:INDEX(Algodão!$E70:$Z70,MIN(F$6-$E$3,22))),0))-IF($G$2,0,IF((F$6-$G$3)&lt;1,0,IFERROR(LOOKUP(2,1/(Algodão!$E70:INDEX(Algodão!$E70:$Z70,MIN(F$6-$G$3,22))&lt;&gt;""),Algodão!$E70:INDEX(Algodão!$E70:$Z70,MIN(F$6-$G$3,22))),0)))))</f>
        <v>0</v>
      </c>
      <c r="G72" s="27" t="n">
        <f aca="false">IF(COUNT(Algodão!$E70:$Z70)=0,0,MAX(0,IF((G$6-$E$3)&lt;1,0,IFERROR(LOOKUP(2,1/(Algodão!$E70:INDEX(Algodão!$E70:$Z70,MIN(G$6-$E$3,22))&lt;&gt;""),Algodão!$E70:INDEX(Algodão!$E70:$Z70,MIN(G$6-$E$3,22))),0))-IF($G$2,0,IF((G$6-$G$3)&lt;1,0,IFERROR(LOOKUP(2,1/(Algodão!$E70:INDEX(Algodão!$E70:$Z70,MIN(G$6-$G$3,22))&lt;&gt;""),Algodão!$E70:INDEX(Algodão!$E70:$Z70,MIN(G$6-$G$3,22))),0)))))</f>
        <v>0</v>
      </c>
      <c r="H72" s="27" t="n">
        <f aca="false">IF(COUNT(Algodão!$E70:$Z70)=0,0,MAX(0,IF((H$6-$E$3)&lt;1,0,IFERROR(LOOKUP(2,1/(Algodão!$E70:INDEX(Algodão!$E70:$Z70,MIN(H$6-$E$3,22))&lt;&gt;""),Algodão!$E70:INDEX(Algodão!$E70:$Z70,MIN(H$6-$E$3,22))),0))-IF($G$2,0,IF((H$6-$G$3)&lt;1,0,IFERROR(LOOKUP(2,1/(Algodão!$E70:INDEX(Algodão!$E70:$Z70,MIN(H$6-$G$3,22))&lt;&gt;""),Algodão!$E70:INDEX(Algodão!$E70:$Z70,MIN(H$6-$G$3,22))),0)))))</f>
        <v>0</v>
      </c>
      <c r="I72" s="27" t="n">
        <f aca="false">IF(COUNT(Algodão!$E70:$Z70)=0,0,MAX(0,IF((I$6-$E$3)&lt;1,0,IFERROR(LOOKUP(2,1/(Algodão!$E70:INDEX(Algodão!$E70:$Z70,MIN(I$6-$E$3,22))&lt;&gt;""),Algodão!$E70:INDEX(Algodão!$E70:$Z70,MIN(I$6-$E$3,22))),0))-IF($G$2,0,IF((I$6-$G$3)&lt;1,0,IFERROR(LOOKUP(2,1/(Algodão!$E70:INDEX(Algodão!$E70:$Z70,MIN(I$6-$G$3,22))&lt;&gt;""),Algodão!$E70:INDEX(Algodão!$E70:$Z70,MIN(I$6-$G$3,22))),0)))))</f>
        <v>0</v>
      </c>
      <c r="J72" s="27" t="n">
        <f aca="false">IF(COUNT(Algodão!$E70:$Z70)=0,0,MAX(0,IF((J$6-$E$3)&lt;1,0,IFERROR(LOOKUP(2,1/(Algodão!$E70:INDEX(Algodão!$E70:$Z70,MIN(J$6-$E$3,22))&lt;&gt;""),Algodão!$E70:INDEX(Algodão!$E70:$Z70,MIN(J$6-$E$3,22))),0))-IF($G$2,0,IF((J$6-$G$3)&lt;1,0,IFERROR(LOOKUP(2,1/(Algodão!$E70:INDEX(Algodão!$E70:$Z70,MIN(J$6-$G$3,22))&lt;&gt;""),Algodão!$E70:INDEX(Algodão!$E70:$Z70,MIN(J$6-$G$3,22))),0)))))</f>
        <v>0</v>
      </c>
      <c r="K72" s="27" t="n">
        <f aca="false">IF(COUNT(Algodão!$E70:$Z70)=0,0,MAX(0,IF((K$6-$E$3)&lt;1,0,IFERROR(LOOKUP(2,1/(Algodão!$E70:INDEX(Algodão!$E70:$Z70,MIN(K$6-$E$3,22))&lt;&gt;""),Algodão!$E70:INDEX(Algodão!$E70:$Z70,MIN(K$6-$E$3,22))),0))-IF($G$2,0,IF((K$6-$G$3)&lt;1,0,IFERROR(LOOKUP(2,1/(Algodão!$E70:INDEX(Algodão!$E70:$Z70,MIN(K$6-$G$3,22))&lt;&gt;""),Algodão!$E70:INDEX(Algodão!$E70:$Z70,MIN(K$6-$G$3,22))),0)))))</f>
        <v>0</v>
      </c>
      <c r="L72" s="27" t="n">
        <f aca="false">IF(COUNT(Algodão!$E70:$Z70)=0,0,MAX(0,IF((L$6-$E$3)&lt;1,0,IFERROR(LOOKUP(2,1/(Algodão!$E70:INDEX(Algodão!$E70:$Z70,MIN(L$6-$E$3,22))&lt;&gt;""),Algodão!$E70:INDEX(Algodão!$E70:$Z70,MIN(L$6-$E$3,22))),0))-IF($G$2,0,IF((L$6-$G$3)&lt;1,0,IFERROR(LOOKUP(2,1/(Algodão!$E70:INDEX(Algodão!$E70:$Z70,MIN(L$6-$G$3,22))&lt;&gt;""),Algodão!$E70:INDEX(Algodão!$E70:$Z70,MIN(L$6-$G$3,22))),0)))))</f>
        <v>0</v>
      </c>
      <c r="M72" s="27" t="n">
        <f aca="false">IF(COUNT(Algodão!$E70:$Z70)=0,0,MAX(0,IF((M$6-$E$3)&lt;1,0,IFERROR(LOOKUP(2,1/(Algodão!$E70:INDEX(Algodão!$E70:$Z70,MIN(M$6-$E$3,22))&lt;&gt;""),Algodão!$E70:INDEX(Algodão!$E70:$Z70,MIN(M$6-$E$3,22))),0))-IF($G$2,0,IF((M$6-$G$3)&lt;1,0,IFERROR(LOOKUP(2,1/(Algodão!$E70:INDEX(Algodão!$E70:$Z70,MIN(M$6-$G$3,22))&lt;&gt;""),Algodão!$E70:INDEX(Algodão!$E70:$Z70,MIN(M$6-$G$3,22))),0)))))</f>
        <v>0</v>
      </c>
      <c r="N72" s="27" t="n">
        <f aca="false">IF(COUNT(Algodão!$E70:$Z70)=0,0,MAX(0,IF((N$6-$E$3)&lt;1,0,IFERROR(LOOKUP(2,1/(Algodão!$E70:INDEX(Algodão!$E70:$Z70,MIN(N$6-$E$3,22))&lt;&gt;""),Algodão!$E70:INDEX(Algodão!$E70:$Z70,MIN(N$6-$E$3,22))),0))-IF($G$2,0,IF((N$6-$G$3)&lt;1,0,IFERROR(LOOKUP(2,1/(Algodão!$E70:INDEX(Algodão!$E70:$Z70,MIN(N$6-$G$3,22))&lt;&gt;""),Algodão!$E70:INDEX(Algodão!$E70:$Z70,MIN(N$6-$G$3,22))),0)))))</f>
        <v>0</v>
      </c>
      <c r="O72" s="27" t="n">
        <f aca="false">IF(COUNT(Algodão!$E70:$Z70)=0,0,MAX(0,IF((O$6-$E$3)&lt;1,0,IFERROR(LOOKUP(2,1/(Algodão!$E70:INDEX(Algodão!$E70:$Z70,MIN(O$6-$E$3,22))&lt;&gt;""),Algodão!$E70:INDEX(Algodão!$E70:$Z70,MIN(O$6-$E$3,22))),0))-IF($G$2,0,IF((O$6-$G$3)&lt;1,0,IFERROR(LOOKUP(2,1/(Algodão!$E70:INDEX(Algodão!$E70:$Z70,MIN(O$6-$G$3,22))&lt;&gt;""),Algodão!$E70:INDEX(Algodão!$E70:$Z70,MIN(O$6-$G$3,22))),0)))))</f>
        <v>0</v>
      </c>
      <c r="P72" s="27" t="n">
        <f aca="false">IF(COUNT(Algodão!$E70:$Z70)=0,0,MAX(0,IF((P$6-$E$3)&lt;1,0,IFERROR(LOOKUP(2,1/(Algodão!$E70:INDEX(Algodão!$E70:$Z70,MIN(P$6-$E$3,22))&lt;&gt;""),Algodão!$E70:INDEX(Algodão!$E70:$Z70,MIN(P$6-$E$3,22))),0))-IF($G$2,0,IF((P$6-$G$3)&lt;1,0,IFERROR(LOOKUP(2,1/(Algodão!$E70:INDEX(Algodão!$E70:$Z70,MIN(P$6-$G$3,22))&lt;&gt;""),Algodão!$E70:INDEX(Algodão!$E70:$Z70,MIN(P$6-$G$3,22))),0)))))</f>
        <v>0</v>
      </c>
      <c r="Q72" s="27" t="n">
        <f aca="false">IF(COUNT(Algodão!$E70:$Z70)=0,0,MAX(0,IF((Q$6-$E$3)&lt;1,0,IFERROR(LOOKUP(2,1/(Algodão!$E70:INDEX(Algodão!$E70:$Z70,MIN(Q$6-$E$3,22))&lt;&gt;""),Algodão!$E70:INDEX(Algodão!$E70:$Z70,MIN(Q$6-$E$3,22))),0))-IF($G$2,0,IF((Q$6-$G$3)&lt;1,0,IFERROR(LOOKUP(2,1/(Algodão!$E70:INDEX(Algodão!$E70:$Z70,MIN(Q$6-$G$3,22))&lt;&gt;""),Algodão!$E70:INDEX(Algodão!$E70:$Z70,MIN(Q$6-$G$3,22))),0)))))</f>
        <v>0</v>
      </c>
      <c r="R72" s="27" t="n">
        <f aca="false">IF(COUNT(Algodão!$E70:$Z70)=0,0,MAX(0,IF((R$6-$E$3)&lt;1,0,IFERROR(LOOKUP(2,1/(Algodão!$E70:INDEX(Algodão!$E70:$Z70,MIN(R$6-$E$3,22))&lt;&gt;""),Algodão!$E70:INDEX(Algodão!$E70:$Z70,MIN(R$6-$E$3,22))),0))-IF($G$2,0,IF((R$6-$G$3)&lt;1,0,IFERROR(LOOKUP(2,1/(Algodão!$E70:INDEX(Algodão!$E70:$Z70,MIN(R$6-$G$3,22))&lt;&gt;""),Algodão!$E70:INDEX(Algodão!$E70:$Z70,MIN(R$6-$G$3,22))),0)))))</f>
        <v>0</v>
      </c>
      <c r="S72" s="27" t="n">
        <f aca="false">IF(COUNT(Algodão!$E70:$Z70)=0,0,MAX(0,IF((S$6-$E$3)&lt;1,0,IFERROR(LOOKUP(2,1/(Algodão!$E70:INDEX(Algodão!$E70:$Z70,MIN(S$6-$E$3,22))&lt;&gt;""),Algodão!$E70:INDEX(Algodão!$E70:$Z70,MIN(S$6-$E$3,22))),0))-IF($G$2,0,IF((S$6-$G$3)&lt;1,0,IFERROR(LOOKUP(2,1/(Algodão!$E70:INDEX(Algodão!$E70:$Z70,MIN(S$6-$G$3,22))&lt;&gt;""),Algodão!$E70:INDEX(Algodão!$E70:$Z70,MIN(S$6-$G$3,22))),0)))))</f>
        <v>0</v>
      </c>
      <c r="T72" s="27" t="n">
        <f aca="false">IF(COUNT(Algodão!$E70:$Z70)=0,0,MAX(0,IF((T$6-$E$3)&lt;1,0,IFERROR(LOOKUP(2,1/(Algodão!$E70:INDEX(Algodão!$E70:$Z70,MIN(T$6-$E$3,22))&lt;&gt;""),Algodão!$E70:INDEX(Algodão!$E70:$Z70,MIN(T$6-$E$3,22))),0))-IF($G$2,0,IF((T$6-$G$3)&lt;1,0,IFERROR(LOOKUP(2,1/(Algodão!$E70:INDEX(Algodão!$E70:$Z70,MIN(T$6-$G$3,22))&lt;&gt;""),Algodão!$E70:INDEX(Algodão!$E70:$Z70,MIN(T$6-$G$3,22))),0)))))</f>
        <v>0</v>
      </c>
      <c r="U72" s="27" t="n">
        <f aca="false">IF(COUNT(Algodão!$E70:$Z70)=0,0,MAX(0,IF((U$6-$E$3)&lt;1,0,IFERROR(LOOKUP(2,1/(Algodão!$E70:INDEX(Algodão!$E70:$Z70,MIN(U$6-$E$3,22))&lt;&gt;""),Algodão!$E70:INDEX(Algodão!$E70:$Z70,MIN(U$6-$E$3,22))),0))-IF($G$2,0,IF((U$6-$G$3)&lt;1,0,IFERROR(LOOKUP(2,1/(Algodão!$E70:INDEX(Algodão!$E70:$Z70,MIN(U$6-$G$3,22))&lt;&gt;""),Algodão!$E70:INDEX(Algodão!$E70:$Z70,MIN(U$6-$G$3,22))),0)))))</f>
        <v>0</v>
      </c>
      <c r="V72" s="27" t="n">
        <f aca="false">IF(COUNT(Algodão!$E70:$Z70)=0,0,MAX(0,IF((V$6-$E$3)&lt;1,0,IFERROR(LOOKUP(2,1/(Algodão!$E70:INDEX(Algodão!$E70:$Z70,MIN(V$6-$E$3,22))&lt;&gt;""),Algodão!$E70:INDEX(Algodão!$E70:$Z70,MIN(V$6-$E$3,22))),0))-IF($G$2,0,IF((V$6-$G$3)&lt;1,0,IFERROR(LOOKUP(2,1/(Algodão!$E70:INDEX(Algodão!$E70:$Z70,MIN(V$6-$G$3,22))&lt;&gt;""),Algodão!$E70:INDEX(Algodão!$E70:$Z70,MIN(V$6-$G$3,22))),0)))))</f>
        <v>0</v>
      </c>
      <c r="W72" s="27" t="n">
        <f aca="false">IF(COUNT(Algodão!$E70:$Z70)=0,0,MAX(0,IF((W$6-$E$3)&lt;1,0,IFERROR(LOOKUP(2,1/(Algodão!$E70:INDEX(Algodão!$E70:$Z70,MIN(W$6-$E$3,22))&lt;&gt;""),Algodão!$E70:INDEX(Algodão!$E70:$Z70,MIN(W$6-$E$3,22))),0))-IF($G$2,0,IF((W$6-$G$3)&lt;1,0,IFERROR(LOOKUP(2,1/(Algodão!$E70:INDEX(Algodão!$E70:$Z70,MIN(W$6-$G$3,22))&lt;&gt;""),Algodão!$E70:INDEX(Algodão!$E70:$Z70,MIN(W$6-$G$3,22))),0)))))</f>
        <v>0</v>
      </c>
      <c r="X72" s="27" t="n">
        <f aca="false">IF(COUNT(Algodão!$E70:$Z70)=0,0,MAX(0,IF((X$6-$E$3)&lt;1,0,IFERROR(LOOKUP(2,1/(Algodão!$E70:INDEX(Algodão!$E70:$Z70,MIN(X$6-$E$3,22))&lt;&gt;""),Algodão!$E70:INDEX(Algodão!$E70:$Z70,MIN(X$6-$E$3,22))),0))-IF($G$2,0,IF((X$6-$G$3)&lt;1,0,IFERROR(LOOKUP(2,1/(Algodão!$E70:INDEX(Algodão!$E70:$Z70,MIN(X$6-$G$3,22))&lt;&gt;""),Algodão!$E70:INDEX(Algodão!$E70:$Z70,MIN(X$6-$G$3,22))),0)))))</f>
        <v>0</v>
      </c>
      <c r="Y72" s="27" t="n">
        <f aca="false">IF(COUNT(Algodão!$E70:$Z70)=0,0,MAX(0,IF((Y$6-$E$3)&lt;1,0,IFERROR(LOOKUP(2,1/(Algodão!$E70:INDEX(Algodão!$E70:$Z70,MIN(Y$6-$E$3,22))&lt;&gt;""),Algodão!$E70:INDEX(Algodão!$E70:$Z70,MIN(Y$6-$E$3,22))),0))-IF($G$2,0,IF((Y$6-$G$3)&lt;1,0,IFERROR(LOOKUP(2,1/(Algodão!$E70:INDEX(Algodão!$E70:$Z70,MIN(Y$6-$G$3,22))&lt;&gt;""),Algodão!$E70:INDEX(Algodão!$E70:$Z70,MIN(Y$6-$G$3,22))),0)))))</f>
        <v>0</v>
      </c>
      <c r="Z72" s="27" t="n">
        <f aca="false">IF(COUNT(Algodão!$E70:$Z70)=0,0,MAX(0,IF((Z$6-$E$3)&lt;1,0,IFERROR(LOOKUP(2,1/(Algodão!$E70:INDEX(Algodão!$E70:$Z70,MIN(Z$6-$E$3,22))&lt;&gt;""),Algodão!$E70:INDEX(Algodão!$E70:$Z70,MIN(Z$6-$E$3,22))),0))-IF($G$2,0,IF((Z$6-$G$3)&lt;1,0,IFERROR(LOOKUP(2,1/(Algodão!$E70:INDEX(Algodão!$E70:$Z70,MIN(Z$6-$G$3,22))&lt;&gt;""),Algodão!$E70:INDEX(Algodão!$E70:$Z70,MIN(Z$6-$G$3,22))),0)))))</f>
        <v>0</v>
      </c>
      <c r="AA72" s="27" t="n">
        <f aca="false">IF(COUNT(Algodão!$E70:$Z70)=0,0,MAX(0,IF((AA$6-$E$3)&lt;1,0,IFERROR(LOOKUP(2,1/(Algodão!$E70:INDEX(Algodão!$E70:$Z70,MIN(AA$6-$E$3,22))&lt;&gt;""),Algodão!$E70:INDEX(Algodão!$E70:$Z70,MIN(AA$6-$E$3,22))),0))-IF($G$2,0,IF((AA$6-$G$3)&lt;1,0,IFERROR(LOOKUP(2,1/(Algodão!$E70:INDEX(Algodão!$E70:$Z70,MIN(AA$6-$G$3,22))&lt;&gt;""),Algodão!$E70:INDEX(Algodão!$E70:$Z70,MIN(AA$6-$G$3,22))),0)))))</f>
        <v>0</v>
      </c>
      <c r="AB72" s="27" t="n">
        <f aca="false">IF(COUNT(Algodão!$E70:$Z70)=0,0,MAX(0,IF((AB$6-$E$3)&lt;1,0,IFERROR(LOOKUP(2,1/(Algodão!$E70:INDEX(Algodão!$E70:$Z70,MIN(AB$6-$E$3,22))&lt;&gt;""),Algodão!$E70:INDEX(Algodão!$E70:$Z70,MIN(AB$6-$E$3,22))),0))-IF($G$2,0,IF((AB$6-$G$3)&lt;1,0,IFERROR(LOOKUP(2,1/(Algodão!$E70:INDEX(Algodão!$E70:$Z70,MIN(AB$6-$G$3,22))&lt;&gt;""),Algodão!$E70:INDEX(Algodão!$E70:$Z70,MIN(AB$6-$G$3,22))),0)))))</f>
        <v>0</v>
      </c>
      <c r="AC72" s="27" t="n">
        <f aca="false">IF(COUNT(Algodão!$E70:$Z70)=0,0,MAX(0,IF((AC$6-$E$3)&lt;1,0,IFERROR(LOOKUP(2,1/(Algodão!$E70:INDEX(Algodão!$E70:$Z70,MIN(AC$6-$E$3,22))&lt;&gt;""),Algodão!$E70:INDEX(Algodão!$E70:$Z70,MIN(AC$6-$E$3,22))),0))-IF($G$2,0,IF((AC$6-$G$3)&lt;1,0,IFERROR(LOOKUP(2,1/(Algodão!$E70:INDEX(Algodão!$E70:$Z70,MIN(AC$6-$G$3,22))&lt;&gt;""),Algodão!$E70:INDEX(Algodão!$E70:$Z70,MIN(AC$6-$G$3,22))),0)))))</f>
        <v>0</v>
      </c>
      <c r="AD72" s="27" t="n">
        <f aca="false">IF(COUNT(Algodão!$E70:$Z70)=0,0,MAX(0,IF((AD$6-$E$3)&lt;1,0,IFERROR(LOOKUP(2,1/(Algodão!$E70:INDEX(Algodão!$E70:$Z70,MIN(AD$6-$E$3,22))&lt;&gt;""),Algodão!$E70:INDEX(Algodão!$E70:$Z70,MIN(AD$6-$E$3,22))),0))-IF($G$2,0,IF((AD$6-$G$3)&lt;1,0,IFERROR(LOOKUP(2,1/(Algodão!$E70:INDEX(Algodão!$E70:$Z70,MIN(AD$6-$G$3,22))&lt;&gt;""),Algodão!$E70:INDEX(Algodão!$E70:$Z70,MIN(AD$6-$G$3,22))),0)))))</f>
        <v>0</v>
      </c>
      <c r="AE72" s="27" t="n">
        <f aca="false">IF(COUNT(Algodão!$E70:$Z70)=0,0,MAX(0,IF((AE$6-$E$3)&lt;1,0,IFERROR(LOOKUP(2,1/(Algodão!$E70:INDEX(Algodão!$E70:$Z70,MIN(AE$6-$E$3,22))&lt;&gt;""),Algodão!$E70:INDEX(Algodão!$E70:$Z70,MIN(AE$6-$E$3,22))),0))-IF($G$2,0,IF((AE$6-$G$3)&lt;1,0,IFERROR(LOOKUP(2,1/(Algodão!$E70:INDEX(Algodão!$E70:$Z70,MIN(AE$6-$G$3,22))&lt;&gt;""),Algodão!$E70:INDEX(Algodão!$E70:$Z70,MIN(AE$6-$G$3,22))),0)))))</f>
        <v>0</v>
      </c>
      <c r="AF72" s="27" t="n">
        <f aca="false">IF(COUNT(Algodão!$E70:$Z70)=0,0,MAX(0,IF((AF$6-$E$3)&lt;1,0,IFERROR(LOOKUP(2,1/(Algodão!$E70:INDEX(Algodão!$E70:$Z70,MIN(AF$6-$E$3,22))&lt;&gt;""),Algodão!$E70:INDEX(Algodão!$E70:$Z70,MIN(AF$6-$E$3,22))),0))-IF($G$2,0,IF((AF$6-$G$3)&lt;1,0,IFERROR(LOOKUP(2,1/(Algodão!$E70:INDEX(Algodão!$E70:$Z70,MIN(AF$6-$G$3,22))&lt;&gt;""),Algodão!$E70:INDEX(Algodão!$E70:$Z70,MIN(AF$6-$G$3,22))),0)))))</f>
        <v>0</v>
      </c>
      <c r="AG72" s="27" t="n">
        <f aca="false">IF(COUNT(Algodão!$E70:$Z70)=0,0,MAX(0,IF((AG$6-$E$3)&lt;1,0,IFERROR(LOOKUP(2,1/(Algodão!$E70:INDEX(Algodão!$E70:$Z70,MIN(AG$6-$E$3,22))&lt;&gt;""),Algodão!$E70:INDEX(Algodão!$E70:$Z70,MIN(AG$6-$E$3,22))),0))-IF($G$2,0,IF((AG$6-$G$3)&lt;1,0,IFERROR(LOOKUP(2,1/(Algodão!$E70:INDEX(Algodão!$E70:$Z70,MIN(AG$6-$G$3,22))&lt;&gt;""),Algodão!$E70:INDEX(Algodão!$E70:$Z70,MIN(AG$6-$G$3,22))),0)))))</f>
        <v>0</v>
      </c>
      <c r="AH72" s="27" t="n">
        <f aca="false">IF(COUNT(Algodão!$E70:$Z70)=0,0,MAX(0,IF((AH$6-$E$3)&lt;1,0,IFERROR(LOOKUP(2,1/(Algodão!$E70:INDEX(Algodão!$E70:$Z70,MIN(AH$6-$E$3,22))&lt;&gt;""),Algodão!$E70:INDEX(Algodão!$E70:$Z70,MIN(AH$6-$E$3,22))),0))-IF($G$2,0,IF((AH$6-$G$3)&lt;1,0,IFERROR(LOOKUP(2,1/(Algodão!$E70:INDEX(Algodão!$E70:$Z70,MIN(AH$6-$G$3,22))&lt;&gt;""),Algodão!$E70:INDEX(Algodão!$E70:$Z70,MIN(AH$6-$G$3,22))),0)))))</f>
        <v>0</v>
      </c>
      <c r="AI72" s="27" t="n">
        <f aca="false">IF(COUNT(Algodão!$E70:$Z70)=0,0,MAX(0,IF((AI$6-$E$3)&lt;1,0,IFERROR(LOOKUP(2,1/(Algodão!$E70:INDEX(Algodão!$E70:$Z70,MIN(AI$6-$E$3,22))&lt;&gt;""),Algodão!$E70:INDEX(Algodão!$E70:$Z70,MIN(AI$6-$E$3,22))),0))-IF($G$2,0,IF((AI$6-$G$3)&lt;1,0,IFERROR(LOOKUP(2,1/(Algodão!$E70:INDEX(Algodão!$E70:$Z70,MIN(AI$6-$G$3,22))&lt;&gt;""),Algodão!$E70:INDEX(Algodão!$E70:$Z70,MIN(AI$6-$G$3,22))),0)))))</f>
        <v>0</v>
      </c>
      <c r="AJ72" s="27" t="n">
        <f aca="false">IF(COUNT(Algodão!$E70:$Z70)=0,0,MAX(0,IF((AJ$6-$E$3)&lt;1,0,IFERROR(LOOKUP(2,1/(Algodão!$E70:INDEX(Algodão!$E70:$Z70,MIN(AJ$6-$E$3,22))&lt;&gt;""),Algodão!$E70:INDEX(Algodão!$E70:$Z70,MIN(AJ$6-$E$3,22))),0))-IF($G$2,0,IF((AJ$6-$G$3)&lt;1,0,IFERROR(LOOKUP(2,1/(Algodão!$E70:INDEX(Algodão!$E70:$Z70,MIN(AJ$6-$G$3,22))&lt;&gt;""),Algodão!$E70:INDEX(Algodão!$E70:$Z70,MIN(AJ$6-$G$3,22))),0)))))</f>
        <v>0</v>
      </c>
      <c r="AK72" s="27" t="n">
        <f aca="false">IF(COUNT(Algodão!$E70:$Z70)=0,0,MAX(0,IF((AK$6-$E$3)&lt;1,0,IFERROR(LOOKUP(2,1/(Algodão!$E70:INDEX(Algodão!$E70:$Z70,MIN(AK$6-$E$3,22))&lt;&gt;""),Algodão!$E70:INDEX(Algodão!$E70:$Z70,MIN(AK$6-$E$3,22))),0))-IF($G$2,0,IF((AK$6-$G$3)&lt;1,0,IFERROR(LOOKUP(2,1/(Algodão!$E70:INDEX(Algodão!$E70:$Z70,MIN(AK$6-$G$3,22))&lt;&gt;""),Algodão!$E70:INDEX(Algodão!$E70:$Z70,MIN(AK$6-$G$3,22))),0)))))</f>
        <v>0</v>
      </c>
      <c r="AL72" s="27" t="n">
        <f aca="false">IF(COUNT(Algodão!$E70:$Z70)=0,0,MAX(0,IF((AL$6-$E$3)&lt;1,0,IFERROR(LOOKUP(2,1/(Algodão!$E70:INDEX(Algodão!$E70:$Z70,MIN(AL$6-$E$3,22))&lt;&gt;""),Algodão!$E70:INDEX(Algodão!$E70:$Z70,MIN(AL$6-$E$3,22))),0))-IF($G$2,0,IF((AL$6-$G$3)&lt;1,0,IFERROR(LOOKUP(2,1/(Algodão!$E70:INDEX(Algodão!$E70:$Z70,MIN(AL$6-$G$3,22))&lt;&gt;""),Algodão!$E70:INDEX(Algodão!$E70:$Z70,MIN(AL$6-$G$3,22))),0)))))</f>
        <v>0</v>
      </c>
      <c r="AM72" s="27" t="n">
        <f aca="false">IF(COUNT(Algodão!$E70:$Z70)=0,0,MAX(0,IF((AM$6-$E$3)&lt;1,0,IFERROR(LOOKUP(2,1/(Algodão!$E70:INDEX(Algodão!$E70:$Z70,MIN(AM$6-$E$3,22))&lt;&gt;""),Algodão!$E70:INDEX(Algodão!$E70:$Z70,MIN(AM$6-$E$3,22))),0))-IF($G$2,0,IF((AM$6-$G$3)&lt;1,0,IFERROR(LOOKUP(2,1/(Algodão!$E70:INDEX(Algodão!$E70:$Z70,MIN(AM$6-$G$3,22))&lt;&gt;""),Algodão!$E70:INDEX(Algodão!$E70:$Z70,MIN(AM$6-$G$3,22))),0)))))</f>
        <v>0</v>
      </c>
      <c r="AN72" s="27" t="n">
        <f aca="false">IF(COUNT(Algodão!$E70:$Z70)=0,0,MAX(0,IF((AN$6-$E$3)&lt;1,0,IFERROR(LOOKUP(2,1/(Algodão!$E70:INDEX(Algodão!$E70:$Z70,MIN(AN$6-$E$3,22))&lt;&gt;""),Algodão!$E70:INDEX(Algodão!$E70:$Z70,MIN(AN$6-$E$3,22))),0))-IF($G$2,0,IF((AN$6-$G$3)&lt;1,0,IFERROR(LOOKUP(2,1/(Algodão!$E70:INDEX(Algodão!$E70:$Z70,MIN(AN$6-$G$3,22))&lt;&gt;""),Algodão!$E70:INDEX(Algodão!$E70:$Z70,MIN(AN$6-$G$3,22))),0)))))</f>
        <v>0</v>
      </c>
      <c r="AO72" s="27" t="n">
        <f aca="false">IF(COUNT(Algodão!$E70:$Z70)=0,0,MAX(0,IF((AO$6-$E$3)&lt;1,0,IFERROR(LOOKUP(2,1/(Algodão!$E70:INDEX(Algodão!$E70:$Z70,MIN(AO$6-$E$3,22))&lt;&gt;""),Algodão!$E70:INDEX(Algodão!$E70:$Z70,MIN(AO$6-$E$3,22))),0))-IF($G$2,0,IF((AO$6-$G$3)&lt;1,0,IFERROR(LOOKUP(2,1/(Algodão!$E70:INDEX(Algodão!$E70:$Z70,MIN(AO$6-$G$3,22))&lt;&gt;""),Algodão!$E70:INDEX(Algodão!$E70:$Z70,MIN(AO$6-$G$3,22))),0)))))</f>
        <v>0</v>
      </c>
      <c r="AP72" s="27" t="n">
        <f aca="false">IF(COUNT(Algodão!$E70:$Z70)=0,0,MAX(0,IF((AP$6-$E$3)&lt;1,0,IFERROR(LOOKUP(2,1/(Algodão!$E70:INDEX(Algodão!$E70:$Z70,MIN(AP$6-$E$3,22))&lt;&gt;""),Algodão!$E70:INDEX(Algodão!$E70:$Z70,MIN(AP$6-$E$3,22))),0))-IF($G$2,0,IF((AP$6-$G$3)&lt;1,0,IFERROR(LOOKUP(2,1/(Algodão!$E70:INDEX(Algodão!$E70:$Z70,MIN(AP$6-$G$3,22))&lt;&gt;""),Algodão!$E70:INDEX(Algodão!$E70:$Z70,MIN(AP$6-$G$3,22))),0)))))</f>
        <v>0</v>
      </c>
      <c r="AQ72" s="27" t="n">
        <f aca="false">IF(COUNT(Algodão!$E70:$Z70)=0,0,MAX(0,IF((AQ$6-$E$3)&lt;1,0,IFERROR(LOOKUP(2,1/(Algodão!$E70:INDEX(Algodão!$E70:$Z70,MIN(AQ$6-$E$3,22))&lt;&gt;""),Algodão!$E70:INDEX(Algodão!$E70:$Z70,MIN(AQ$6-$E$3,22))),0))-IF($G$2,0,IF((AQ$6-$G$3)&lt;1,0,IFERROR(LOOKUP(2,1/(Algodão!$E70:INDEX(Algodão!$E70:$Z70,MIN(AQ$6-$G$3,22))&lt;&gt;""),Algodão!$E70:INDEX(Algodão!$E70:$Z70,MIN(AQ$6-$G$3,22))),0)))))</f>
        <v>0</v>
      </c>
      <c r="AR72" s="27" t="n">
        <f aca="false">IF(COUNT(Algodão!$E70:$Z70)=0,0,MAX(0,IF((AR$6-$E$3)&lt;1,0,IFERROR(LOOKUP(2,1/(Algodão!$E70:INDEX(Algodão!$E70:$Z70,MIN(AR$6-$E$3,22))&lt;&gt;""),Algodão!$E70:INDEX(Algodão!$E70:$Z70,MIN(AR$6-$E$3,22))),0))-IF($G$2,0,IF((AR$6-$G$3)&lt;1,0,IFERROR(LOOKUP(2,1/(Algodão!$E70:INDEX(Algodão!$E70:$Z70,MIN(AR$6-$G$3,22))&lt;&gt;""),Algodão!$E70:INDEX(Algodão!$E70:$Z70,MIN(AR$6-$G$3,22))),0)))))</f>
        <v>0</v>
      </c>
      <c r="AS72" s="27" t="n">
        <f aca="false">IF(COUNT(Algodão!$E70:$Z70)=0,0,MAX(0,IF((AS$6-$E$3)&lt;1,0,IFERROR(LOOKUP(2,1/(Algodão!$E70:INDEX(Algodão!$E70:$Z70,MIN(AS$6-$E$3,22))&lt;&gt;""),Algodão!$E70:INDEX(Algodão!$E70:$Z70,MIN(AS$6-$E$3,22))),0))-IF($G$2,0,IF((AS$6-$G$3)&lt;1,0,IFERROR(LOOKUP(2,1/(Algodão!$E70:INDEX(Algodão!$E70:$Z70,MIN(AS$6-$G$3,22))&lt;&gt;""),Algodão!$E70:INDEX(Algodão!$E70:$Z70,MIN(AS$6-$G$3,22))),0)))))</f>
        <v>0</v>
      </c>
      <c r="AT72" s="27" t="n">
        <f aca="false">IF(COUNT(Algodão!$E70:$Z70)=0,0,MAX(0,IF((AT$6-$E$3)&lt;1,0,IFERROR(LOOKUP(2,1/(Algodão!$E70:INDEX(Algodão!$E70:$Z70,MIN(AT$6-$E$3,22))&lt;&gt;""),Algodão!$E70:INDEX(Algodão!$E70:$Z70,MIN(AT$6-$E$3,22))),0))-IF($G$2,0,IF((AT$6-$G$3)&lt;1,0,IFERROR(LOOKUP(2,1/(Algodão!$E70:INDEX(Algodão!$E70:$Z70,MIN(AT$6-$G$3,22))&lt;&gt;""),Algodão!$E70:INDEX(Algodão!$E70:$Z70,MIN(AT$6-$G$3,22))),0)))))</f>
        <v>0</v>
      </c>
      <c r="AU72" s="27" t="n">
        <f aca="false">IF(COUNT(Algodão!$E70:$Z70)=0,0,MAX(0,IF((AU$6-$E$3)&lt;1,0,IFERROR(LOOKUP(2,1/(Algodão!$E70:INDEX(Algodão!$E70:$Z70,MIN(AU$6-$E$3,22))&lt;&gt;""),Algodão!$E70:INDEX(Algodão!$E70:$Z70,MIN(AU$6-$E$3,22))),0))-IF($G$2,0,IF((AU$6-$G$3)&lt;1,0,IFERROR(LOOKUP(2,1/(Algodão!$E70:INDEX(Algodão!$E70:$Z70,MIN(AU$6-$G$3,22))&lt;&gt;""),Algodão!$E70:INDEX(Algodão!$E70:$Z70,MIN(AU$6-$G$3,22))),0)))))</f>
        <v>0</v>
      </c>
      <c r="AV72" s="27" t="n">
        <f aca="false">IF(COUNT(Algodão!$E70:$Z70)=0,0,MAX(0,IF((AV$6-$E$3)&lt;1,0,IFERROR(LOOKUP(2,1/(Algodão!$E70:INDEX(Algodão!$E70:$Z70,MIN(AV$6-$E$3,22))&lt;&gt;""),Algodão!$E70:INDEX(Algodão!$E70:$Z70,MIN(AV$6-$E$3,22))),0))-IF($G$2,0,IF((AV$6-$G$3)&lt;1,0,IFERROR(LOOKUP(2,1/(Algodão!$E70:INDEX(Algodão!$E70:$Z70,MIN(AV$6-$G$3,22))&lt;&gt;""),Algodão!$E70:INDEX(Algodão!$E70:$Z70,MIN(AV$6-$G$3,22))),0)))))</f>
        <v>0</v>
      </c>
      <c r="AW72" s="27" t="n">
        <f aca="false">IF(COUNT(Algodão!$E70:$Z70)=0,0,MAX(0,IF((AW$6-$E$3)&lt;1,0,IFERROR(LOOKUP(2,1/(Algodão!$E70:INDEX(Algodão!$E70:$Z70,MIN(AW$6-$E$3,22))&lt;&gt;""),Algodão!$E70:INDEX(Algodão!$E70:$Z70,MIN(AW$6-$E$3,22))),0))-IF($G$2,0,IF((AW$6-$G$3)&lt;1,0,IFERROR(LOOKUP(2,1/(Algodão!$E70:INDEX(Algodão!$E70:$Z70,MIN(AW$6-$G$3,22))&lt;&gt;""),Algodão!$E70:INDEX(Algodão!$E70:$Z70,MIN(AW$6-$G$3,22))),0)))))</f>
        <v>0</v>
      </c>
      <c r="AX72" s="27" t="n">
        <f aca="false">IF(COUNT(Algodão!$E70:$Z70)=0,0,MAX(0,IF((AX$6-$E$3)&lt;1,0,IFERROR(LOOKUP(2,1/(Algodão!$E70:INDEX(Algodão!$E70:$Z70,MIN(AX$6-$E$3,22))&lt;&gt;""),Algodão!$E70:INDEX(Algodão!$E70:$Z70,MIN(AX$6-$E$3,22))),0))-IF($G$2,0,IF((AX$6-$G$3)&lt;1,0,IFERROR(LOOKUP(2,1/(Algodão!$E70:INDEX(Algodão!$E70:$Z70,MIN(AX$6-$G$3,22))&lt;&gt;""),Algodão!$E70:INDEX(Algodão!$E70:$Z70,MIN(AX$6-$G$3,22))),0)))))</f>
        <v>0</v>
      </c>
      <c r="AY72" s="27" t="n">
        <f aca="false">IF(COUNT(Algodão!$E70:$Z70)=0,0,MAX(0,IF((AY$6-$E$3)&lt;1,0,IFERROR(LOOKUP(2,1/(Algodão!$E70:INDEX(Algodão!$E70:$Z70,MIN(AY$6-$E$3,22))&lt;&gt;""),Algodão!$E70:INDEX(Algodão!$E70:$Z70,MIN(AY$6-$E$3,22))),0))-IF($G$2,0,IF((AY$6-$G$3)&lt;1,0,IFERROR(LOOKUP(2,1/(Algodão!$E70:INDEX(Algodão!$E70:$Z70,MIN(AY$6-$G$3,22))&lt;&gt;""),Algodão!$E70:INDEX(Algodão!$E70:$Z70,MIN(AY$6-$G$3,22))),0)))))</f>
        <v>0</v>
      </c>
      <c r="AZ72" s="27" t="n">
        <f aca="false">IF(COUNT(Algodão!$E70:$Z70)=0,0,MAX(0,IF((AZ$6-$E$3)&lt;1,0,IFERROR(LOOKUP(2,1/(Algodão!$E70:INDEX(Algodão!$E70:$Z70,MIN(AZ$6-$E$3,22))&lt;&gt;""),Algodão!$E70:INDEX(Algodão!$E70:$Z70,MIN(AZ$6-$E$3,22))),0))-IF($G$2,0,IF((AZ$6-$G$3)&lt;1,0,IFERROR(LOOKUP(2,1/(Algodão!$E70:INDEX(Algodão!$E70:$Z70,MIN(AZ$6-$G$3,22))&lt;&gt;""),Algodão!$E70:INDEX(Algodão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IF(COUNT(Algodão!$E71:$Z71)&gt;0,N(Algodão!$D71),0)</f>
        <v>0</v>
      </c>
      <c r="E73" s="27" t="n">
        <f aca="false">IF(COUNT(Algodão!$E71:$Z71)=0,0,MAX(0,IF((E$6-$E$3)&lt;1,0,IFERROR(LOOKUP(2,1/(Algodão!$E71:INDEX(Algodão!$E71:$Z71,MIN(E$6-$E$3,22))&lt;&gt;""),Algodão!$E71:INDEX(Algodão!$E71:$Z71,MIN(E$6-$E$3,22))),0))-IF($G$2,0,IF((E$6-$G$3)&lt;1,0,IFERROR(LOOKUP(2,1/(Algodão!$E71:INDEX(Algodão!$E71:$Z71,MIN(E$6-$G$3,22))&lt;&gt;""),Algodão!$E71:INDEX(Algodão!$E71:$Z71,MIN(E$6-$G$3,22))),0)))))</f>
        <v>0</v>
      </c>
      <c r="F73" s="27" t="n">
        <f aca="false">IF(COUNT(Algodão!$E71:$Z71)=0,0,MAX(0,IF((F$6-$E$3)&lt;1,0,IFERROR(LOOKUP(2,1/(Algodão!$E71:INDEX(Algodão!$E71:$Z71,MIN(F$6-$E$3,22))&lt;&gt;""),Algodão!$E71:INDEX(Algodão!$E71:$Z71,MIN(F$6-$E$3,22))),0))-IF($G$2,0,IF((F$6-$G$3)&lt;1,0,IFERROR(LOOKUP(2,1/(Algodão!$E71:INDEX(Algodão!$E71:$Z71,MIN(F$6-$G$3,22))&lt;&gt;""),Algodão!$E71:INDEX(Algodão!$E71:$Z71,MIN(F$6-$G$3,22))),0)))))</f>
        <v>0</v>
      </c>
      <c r="G73" s="27" t="n">
        <f aca="false">IF(COUNT(Algodão!$E71:$Z71)=0,0,MAX(0,IF((G$6-$E$3)&lt;1,0,IFERROR(LOOKUP(2,1/(Algodão!$E71:INDEX(Algodão!$E71:$Z71,MIN(G$6-$E$3,22))&lt;&gt;""),Algodão!$E71:INDEX(Algodão!$E71:$Z71,MIN(G$6-$E$3,22))),0))-IF($G$2,0,IF((G$6-$G$3)&lt;1,0,IFERROR(LOOKUP(2,1/(Algodão!$E71:INDEX(Algodão!$E71:$Z71,MIN(G$6-$G$3,22))&lt;&gt;""),Algodão!$E71:INDEX(Algodão!$E71:$Z71,MIN(G$6-$G$3,22))),0)))))</f>
        <v>0</v>
      </c>
      <c r="H73" s="27" t="n">
        <f aca="false">IF(COUNT(Algodão!$E71:$Z71)=0,0,MAX(0,IF((H$6-$E$3)&lt;1,0,IFERROR(LOOKUP(2,1/(Algodão!$E71:INDEX(Algodão!$E71:$Z71,MIN(H$6-$E$3,22))&lt;&gt;""),Algodão!$E71:INDEX(Algodão!$E71:$Z71,MIN(H$6-$E$3,22))),0))-IF($G$2,0,IF((H$6-$G$3)&lt;1,0,IFERROR(LOOKUP(2,1/(Algodão!$E71:INDEX(Algodão!$E71:$Z71,MIN(H$6-$G$3,22))&lt;&gt;""),Algodão!$E71:INDEX(Algodão!$E71:$Z71,MIN(H$6-$G$3,22))),0)))))</f>
        <v>0</v>
      </c>
      <c r="I73" s="27" t="n">
        <f aca="false">IF(COUNT(Algodão!$E71:$Z71)=0,0,MAX(0,IF((I$6-$E$3)&lt;1,0,IFERROR(LOOKUP(2,1/(Algodão!$E71:INDEX(Algodão!$E71:$Z71,MIN(I$6-$E$3,22))&lt;&gt;""),Algodão!$E71:INDEX(Algodão!$E71:$Z71,MIN(I$6-$E$3,22))),0))-IF($G$2,0,IF((I$6-$G$3)&lt;1,0,IFERROR(LOOKUP(2,1/(Algodão!$E71:INDEX(Algodão!$E71:$Z71,MIN(I$6-$G$3,22))&lt;&gt;""),Algodão!$E71:INDEX(Algodão!$E71:$Z71,MIN(I$6-$G$3,22))),0)))))</f>
        <v>0</v>
      </c>
      <c r="J73" s="27" t="n">
        <f aca="false">IF(COUNT(Algodão!$E71:$Z71)=0,0,MAX(0,IF((J$6-$E$3)&lt;1,0,IFERROR(LOOKUP(2,1/(Algodão!$E71:INDEX(Algodão!$E71:$Z71,MIN(J$6-$E$3,22))&lt;&gt;""),Algodão!$E71:INDEX(Algodão!$E71:$Z71,MIN(J$6-$E$3,22))),0))-IF($G$2,0,IF((J$6-$G$3)&lt;1,0,IFERROR(LOOKUP(2,1/(Algodão!$E71:INDEX(Algodão!$E71:$Z71,MIN(J$6-$G$3,22))&lt;&gt;""),Algodão!$E71:INDEX(Algodão!$E71:$Z71,MIN(J$6-$G$3,22))),0)))))</f>
        <v>0</v>
      </c>
      <c r="K73" s="27" t="n">
        <f aca="false">IF(COUNT(Algodão!$E71:$Z71)=0,0,MAX(0,IF((K$6-$E$3)&lt;1,0,IFERROR(LOOKUP(2,1/(Algodão!$E71:INDEX(Algodão!$E71:$Z71,MIN(K$6-$E$3,22))&lt;&gt;""),Algodão!$E71:INDEX(Algodão!$E71:$Z71,MIN(K$6-$E$3,22))),0))-IF($G$2,0,IF((K$6-$G$3)&lt;1,0,IFERROR(LOOKUP(2,1/(Algodão!$E71:INDEX(Algodão!$E71:$Z71,MIN(K$6-$G$3,22))&lt;&gt;""),Algodão!$E71:INDEX(Algodão!$E71:$Z71,MIN(K$6-$G$3,22))),0)))))</f>
        <v>0</v>
      </c>
      <c r="L73" s="27" t="n">
        <f aca="false">IF(COUNT(Algodão!$E71:$Z71)=0,0,MAX(0,IF((L$6-$E$3)&lt;1,0,IFERROR(LOOKUP(2,1/(Algodão!$E71:INDEX(Algodão!$E71:$Z71,MIN(L$6-$E$3,22))&lt;&gt;""),Algodão!$E71:INDEX(Algodão!$E71:$Z71,MIN(L$6-$E$3,22))),0))-IF($G$2,0,IF((L$6-$G$3)&lt;1,0,IFERROR(LOOKUP(2,1/(Algodão!$E71:INDEX(Algodão!$E71:$Z71,MIN(L$6-$G$3,22))&lt;&gt;""),Algodão!$E71:INDEX(Algodão!$E71:$Z71,MIN(L$6-$G$3,22))),0)))))</f>
        <v>0</v>
      </c>
      <c r="M73" s="27" t="n">
        <f aca="false">IF(COUNT(Algodão!$E71:$Z71)=0,0,MAX(0,IF((M$6-$E$3)&lt;1,0,IFERROR(LOOKUP(2,1/(Algodão!$E71:INDEX(Algodão!$E71:$Z71,MIN(M$6-$E$3,22))&lt;&gt;""),Algodão!$E71:INDEX(Algodão!$E71:$Z71,MIN(M$6-$E$3,22))),0))-IF($G$2,0,IF((M$6-$G$3)&lt;1,0,IFERROR(LOOKUP(2,1/(Algodão!$E71:INDEX(Algodão!$E71:$Z71,MIN(M$6-$G$3,22))&lt;&gt;""),Algodão!$E71:INDEX(Algodão!$E71:$Z71,MIN(M$6-$G$3,22))),0)))))</f>
        <v>0</v>
      </c>
      <c r="N73" s="27" t="n">
        <f aca="false">IF(COUNT(Algodão!$E71:$Z71)=0,0,MAX(0,IF((N$6-$E$3)&lt;1,0,IFERROR(LOOKUP(2,1/(Algodão!$E71:INDEX(Algodão!$E71:$Z71,MIN(N$6-$E$3,22))&lt;&gt;""),Algodão!$E71:INDEX(Algodão!$E71:$Z71,MIN(N$6-$E$3,22))),0))-IF($G$2,0,IF((N$6-$G$3)&lt;1,0,IFERROR(LOOKUP(2,1/(Algodão!$E71:INDEX(Algodão!$E71:$Z71,MIN(N$6-$G$3,22))&lt;&gt;""),Algodão!$E71:INDEX(Algodão!$E71:$Z71,MIN(N$6-$G$3,22))),0)))))</f>
        <v>0</v>
      </c>
      <c r="O73" s="27" t="n">
        <f aca="false">IF(COUNT(Algodão!$E71:$Z71)=0,0,MAX(0,IF((O$6-$E$3)&lt;1,0,IFERROR(LOOKUP(2,1/(Algodão!$E71:INDEX(Algodão!$E71:$Z71,MIN(O$6-$E$3,22))&lt;&gt;""),Algodão!$E71:INDEX(Algodão!$E71:$Z71,MIN(O$6-$E$3,22))),0))-IF($G$2,0,IF((O$6-$G$3)&lt;1,0,IFERROR(LOOKUP(2,1/(Algodão!$E71:INDEX(Algodão!$E71:$Z71,MIN(O$6-$G$3,22))&lt;&gt;""),Algodão!$E71:INDEX(Algodão!$E71:$Z71,MIN(O$6-$G$3,22))),0)))))</f>
        <v>0</v>
      </c>
      <c r="P73" s="27" t="n">
        <f aca="false">IF(COUNT(Algodão!$E71:$Z71)=0,0,MAX(0,IF((P$6-$E$3)&lt;1,0,IFERROR(LOOKUP(2,1/(Algodão!$E71:INDEX(Algodão!$E71:$Z71,MIN(P$6-$E$3,22))&lt;&gt;""),Algodão!$E71:INDEX(Algodão!$E71:$Z71,MIN(P$6-$E$3,22))),0))-IF($G$2,0,IF((P$6-$G$3)&lt;1,0,IFERROR(LOOKUP(2,1/(Algodão!$E71:INDEX(Algodão!$E71:$Z71,MIN(P$6-$G$3,22))&lt;&gt;""),Algodão!$E71:INDEX(Algodão!$E71:$Z71,MIN(P$6-$G$3,22))),0)))))</f>
        <v>0</v>
      </c>
      <c r="Q73" s="27" t="n">
        <f aca="false">IF(COUNT(Algodão!$E71:$Z71)=0,0,MAX(0,IF((Q$6-$E$3)&lt;1,0,IFERROR(LOOKUP(2,1/(Algodão!$E71:INDEX(Algodão!$E71:$Z71,MIN(Q$6-$E$3,22))&lt;&gt;""),Algodão!$E71:INDEX(Algodão!$E71:$Z71,MIN(Q$6-$E$3,22))),0))-IF($G$2,0,IF((Q$6-$G$3)&lt;1,0,IFERROR(LOOKUP(2,1/(Algodão!$E71:INDEX(Algodão!$E71:$Z71,MIN(Q$6-$G$3,22))&lt;&gt;""),Algodão!$E71:INDEX(Algodão!$E71:$Z71,MIN(Q$6-$G$3,22))),0)))))</f>
        <v>0</v>
      </c>
      <c r="R73" s="27" t="n">
        <f aca="false">IF(COUNT(Algodão!$E71:$Z71)=0,0,MAX(0,IF((R$6-$E$3)&lt;1,0,IFERROR(LOOKUP(2,1/(Algodão!$E71:INDEX(Algodão!$E71:$Z71,MIN(R$6-$E$3,22))&lt;&gt;""),Algodão!$E71:INDEX(Algodão!$E71:$Z71,MIN(R$6-$E$3,22))),0))-IF($G$2,0,IF((R$6-$G$3)&lt;1,0,IFERROR(LOOKUP(2,1/(Algodão!$E71:INDEX(Algodão!$E71:$Z71,MIN(R$6-$G$3,22))&lt;&gt;""),Algodão!$E71:INDEX(Algodão!$E71:$Z71,MIN(R$6-$G$3,22))),0)))))</f>
        <v>0</v>
      </c>
      <c r="S73" s="27" t="n">
        <f aca="false">IF(COUNT(Algodão!$E71:$Z71)=0,0,MAX(0,IF((S$6-$E$3)&lt;1,0,IFERROR(LOOKUP(2,1/(Algodão!$E71:INDEX(Algodão!$E71:$Z71,MIN(S$6-$E$3,22))&lt;&gt;""),Algodão!$E71:INDEX(Algodão!$E71:$Z71,MIN(S$6-$E$3,22))),0))-IF($G$2,0,IF((S$6-$G$3)&lt;1,0,IFERROR(LOOKUP(2,1/(Algodão!$E71:INDEX(Algodão!$E71:$Z71,MIN(S$6-$G$3,22))&lt;&gt;""),Algodão!$E71:INDEX(Algodão!$E71:$Z71,MIN(S$6-$G$3,22))),0)))))</f>
        <v>0</v>
      </c>
      <c r="T73" s="27" t="n">
        <f aca="false">IF(COUNT(Algodão!$E71:$Z71)=0,0,MAX(0,IF((T$6-$E$3)&lt;1,0,IFERROR(LOOKUP(2,1/(Algodão!$E71:INDEX(Algodão!$E71:$Z71,MIN(T$6-$E$3,22))&lt;&gt;""),Algodão!$E71:INDEX(Algodão!$E71:$Z71,MIN(T$6-$E$3,22))),0))-IF($G$2,0,IF((T$6-$G$3)&lt;1,0,IFERROR(LOOKUP(2,1/(Algodão!$E71:INDEX(Algodão!$E71:$Z71,MIN(T$6-$G$3,22))&lt;&gt;""),Algodão!$E71:INDEX(Algodão!$E71:$Z71,MIN(T$6-$G$3,22))),0)))))</f>
        <v>0</v>
      </c>
      <c r="U73" s="27" t="n">
        <f aca="false">IF(COUNT(Algodão!$E71:$Z71)=0,0,MAX(0,IF((U$6-$E$3)&lt;1,0,IFERROR(LOOKUP(2,1/(Algodão!$E71:INDEX(Algodão!$E71:$Z71,MIN(U$6-$E$3,22))&lt;&gt;""),Algodão!$E71:INDEX(Algodão!$E71:$Z71,MIN(U$6-$E$3,22))),0))-IF($G$2,0,IF((U$6-$G$3)&lt;1,0,IFERROR(LOOKUP(2,1/(Algodão!$E71:INDEX(Algodão!$E71:$Z71,MIN(U$6-$G$3,22))&lt;&gt;""),Algodão!$E71:INDEX(Algodão!$E71:$Z71,MIN(U$6-$G$3,22))),0)))))</f>
        <v>0</v>
      </c>
      <c r="V73" s="27" t="n">
        <f aca="false">IF(COUNT(Algodão!$E71:$Z71)=0,0,MAX(0,IF((V$6-$E$3)&lt;1,0,IFERROR(LOOKUP(2,1/(Algodão!$E71:INDEX(Algodão!$E71:$Z71,MIN(V$6-$E$3,22))&lt;&gt;""),Algodão!$E71:INDEX(Algodão!$E71:$Z71,MIN(V$6-$E$3,22))),0))-IF($G$2,0,IF((V$6-$G$3)&lt;1,0,IFERROR(LOOKUP(2,1/(Algodão!$E71:INDEX(Algodão!$E71:$Z71,MIN(V$6-$G$3,22))&lt;&gt;""),Algodão!$E71:INDEX(Algodão!$E71:$Z71,MIN(V$6-$G$3,22))),0)))))</f>
        <v>0</v>
      </c>
      <c r="W73" s="27" t="n">
        <f aca="false">IF(COUNT(Algodão!$E71:$Z71)=0,0,MAX(0,IF((W$6-$E$3)&lt;1,0,IFERROR(LOOKUP(2,1/(Algodão!$E71:INDEX(Algodão!$E71:$Z71,MIN(W$6-$E$3,22))&lt;&gt;""),Algodão!$E71:INDEX(Algodão!$E71:$Z71,MIN(W$6-$E$3,22))),0))-IF($G$2,0,IF((W$6-$G$3)&lt;1,0,IFERROR(LOOKUP(2,1/(Algodão!$E71:INDEX(Algodão!$E71:$Z71,MIN(W$6-$G$3,22))&lt;&gt;""),Algodão!$E71:INDEX(Algodão!$E71:$Z71,MIN(W$6-$G$3,22))),0)))))</f>
        <v>0</v>
      </c>
      <c r="X73" s="27" t="n">
        <f aca="false">IF(COUNT(Algodão!$E71:$Z71)=0,0,MAX(0,IF((X$6-$E$3)&lt;1,0,IFERROR(LOOKUP(2,1/(Algodão!$E71:INDEX(Algodão!$E71:$Z71,MIN(X$6-$E$3,22))&lt;&gt;""),Algodão!$E71:INDEX(Algodão!$E71:$Z71,MIN(X$6-$E$3,22))),0))-IF($G$2,0,IF((X$6-$G$3)&lt;1,0,IFERROR(LOOKUP(2,1/(Algodão!$E71:INDEX(Algodão!$E71:$Z71,MIN(X$6-$G$3,22))&lt;&gt;""),Algodão!$E71:INDEX(Algodão!$E71:$Z71,MIN(X$6-$G$3,22))),0)))))</f>
        <v>0</v>
      </c>
      <c r="Y73" s="27" t="n">
        <f aca="false">IF(COUNT(Algodão!$E71:$Z71)=0,0,MAX(0,IF((Y$6-$E$3)&lt;1,0,IFERROR(LOOKUP(2,1/(Algodão!$E71:INDEX(Algodão!$E71:$Z71,MIN(Y$6-$E$3,22))&lt;&gt;""),Algodão!$E71:INDEX(Algodão!$E71:$Z71,MIN(Y$6-$E$3,22))),0))-IF($G$2,0,IF((Y$6-$G$3)&lt;1,0,IFERROR(LOOKUP(2,1/(Algodão!$E71:INDEX(Algodão!$E71:$Z71,MIN(Y$6-$G$3,22))&lt;&gt;""),Algodão!$E71:INDEX(Algodão!$E71:$Z71,MIN(Y$6-$G$3,22))),0)))))</f>
        <v>0</v>
      </c>
      <c r="Z73" s="27" t="n">
        <f aca="false">IF(COUNT(Algodão!$E71:$Z71)=0,0,MAX(0,IF((Z$6-$E$3)&lt;1,0,IFERROR(LOOKUP(2,1/(Algodão!$E71:INDEX(Algodão!$E71:$Z71,MIN(Z$6-$E$3,22))&lt;&gt;""),Algodão!$E71:INDEX(Algodão!$E71:$Z71,MIN(Z$6-$E$3,22))),0))-IF($G$2,0,IF((Z$6-$G$3)&lt;1,0,IFERROR(LOOKUP(2,1/(Algodão!$E71:INDEX(Algodão!$E71:$Z71,MIN(Z$6-$G$3,22))&lt;&gt;""),Algodão!$E71:INDEX(Algodão!$E71:$Z71,MIN(Z$6-$G$3,22))),0)))))</f>
        <v>0</v>
      </c>
      <c r="AA73" s="27" t="n">
        <f aca="false">IF(COUNT(Algodão!$E71:$Z71)=0,0,MAX(0,IF((AA$6-$E$3)&lt;1,0,IFERROR(LOOKUP(2,1/(Algodão!$E71:INDEX(Algodão!$E71:$Z71,MIN(AA$6-$E$3,22))&lt;&gt;""),Algodão!$E71:INDEX(Algodão!$E71:$Z71,MIN(AA$6-$E$3,22))),0))-IF($G$2,0,IF((AA$6-$G$3)&lt;1,0,IFERROR(LOOKUP(2,1/(Algodão!$E71:INDEX(Algodão!$E71:$Z71,MIN(AA$6-$G$3,22))&lt;&gt;""),Algodão!$E71:INDEX(Algodão!$E71:$Z71,MIN(AA$6-$G$3,22))),0)))))</f>
        <v>0</v>
      </c>
      <c r="AB73" s="27" t="n">
        <f aca="false">IF(COUNT(Algodão!$E71:$Z71)=0,0,MAX(0,IF((AB$6-$E$3)&lt;1,0,IFERROR(LOOKUP(2,1/(Algodão!$E71:INDEX(Algodão!$E71:$Z71,MIN(AB$6-$E$3,22))&lt;&gt;""),Algodão!$E71:INDEX(Algodão!$E71:$Z71,MIN(AB$6-$E$3,22))),0))-IF($G$2,0,IF((AB$6-$G$3)&lt;1,0,IFERROR(LOOKUP(2,1/(Algodão!$E71:INDEX(Algodão!$E71:$Z71,MIN(AB$6-$G$3,22))&lt;&gt;""),Algodão!$E71:INDEX(Algodão!$E71:$Z71,MIN(AB$6-$G$3,22))),0)))))</f>
        <v>0</v>
      </c>
      <c r="AC73" s="27" t="n">
        <f aca="false">IF(COUNT(Algodão!$E71:$Z71)=0,0,MAX(0,IF((AC$6-$E$3)&lt;1,0,IFERROR(LOOKUP(2,1/(Algodão!$E71:INDEX(Algodão!$E71:$Z71,MIN(AC$6-$E$3,22))&lt;&gt;""),Algodão!$E71:INDEX(Algodão!$E71:$Z71,MIN(AC$6-$E$3,22))),0))-IF($G$2,0,IF((AC$6-$G$3)&lt;1,0,IFERROR(LOOKUP(2,1/(Algodão!$E71:INDEX(Algodão!$E71:$Z71,MIN(AC$6-$G$3,22))&lt;&gt;""),Algodão!$E71:INDEX(Algodão!$E71:$Z71,MIN(AC$6-$G$3,22))),0)))))</f>
        <v>0</v>
      </c>
      <c r="AD73" s="27" t="n">
        <f aca="false">IF(COUNT(Algodão!$E71:$Z71)=0,0,MAX(0,IF((AD$6-$E$3)&lt;1,0,IFERROR(LOOKUP(2,1/(Algodão!$E71:INDEX(Algodão!$E71:$Z71,MIN(AD$6-$E$3,22))&lt;&gt;""),Algodão!$E71:INDEX(Algodão!$E71:$Z71,MIN(AD$6-$E$3,22))),0))-IF($G$2,0,IF((AD$6-$G$3)&lt;1,0,IFERROR(LOOKUP(2,1/(Algodão!$E71:INDEX(Algodão!$E71:$Z71,MIN(AD$6-$G$3,22))&lt;&gt;""),Algodão!$E71:INDEX(Algodão!$E71:$Z71,MIN(AD$6-$G$3,22))),0)))))</f>
        <v>0</v>
      </c>
      <c r="AE73" s="27" t="n">
        <f aca="false">IF(COUNT(Algodão!$E71:$Z71)=0,0,MAX(0,IF((AE$6-$E$3)&lt;1,0,IFERROR(LOOKUP(2,1/(Algodão!$E71:INDEX(Algodão!$E71:$Z71,MIN(AE$6-$E$3,22))&lt;&gt;""),Algodão!$E71:INDEX(Algodão!$E71:$Z71,MIN(AE$6-$E$3,22))),0))-IF($G$2,0,IF((AE$6-$G$3)&lt;1,0,IFERROR(LOOKUP(2,1/(Algodão!$E71:INDEX(Algodão!$E71:$Z71,MIN(AE$6-$G$3,22))&lt;&gt;""),Algodão!$E71:INDEX(Algodão!$E71:$Z71,MIN(AE$6-$G$3,22))),0)))))</f>
        <v>0</v>
      </c>
      <c r="AF73" s="27" t="n">
        <f aca="false">IF(COUNT(Algodão!$E71:$Z71)=0,0,MAX(0,IF((AF$6-$E$3)&lt;1,0,IFERROR(LOOKUP(2,1/(Algodão!$E71:INDEX(Algodão!$E71:$Z71,MIN(AF$6-$E$3,22))&lt;&gt;""),Algodão!$E71:INDEX(Algodão!$E71:$Z71,MIN(AF$6-$E$3,22))),0))-IF($G$2,0,IF((AF$6-$G$3)&lt;1,0,IFERROR(LOOKUP(2,1/(Algodão!$E71:INDEX(Algodão!$E71:$Z71,MIN(AF$6-$G$3,22))&lt;&gt;""),Algodão!$E71:INDEX(Algodão!$E71:$Z71,MIN(AF$6-$G$3,22))),0)))))</f>
        <v>0</v>
      </c>
      <c r="AG73" s="27" t="n">
        <f aca="false">IF(COUNT(Algodão!$E71:$Z71)=0,0,MAX(0,IF((AG$6-$E$3)&lt;1,0,IFERROR(LOOKUP(2,1/(Algodão!$E71:INDEX(Algodão!$E71:$Z71,MIN(AG$6-$E$3,22))&lt;&gt;""),Algodão!$E71:INDEX(Algodão!$E71:$Z71,MIN(AG$6-$E$3,22))),0))-IF($G$2,0,IF((AG$6-$G$3)&lt;1,0,IFERROR(LOOKUP(2,1/(Algodão!$E71:INDEX(Algodão!$E71:$Z71,MIN(AG$6-$G$3,22))&lt;&gt;""),Algodão!$E71:INDEX(Algodão!$E71:$Z71,MIN(AG$6-$G$3,22))),0)))))</f>
        <v>0</v>
      </c>
      <c r="AH73" s="27" t="n">
        <f aca="false">IF(COUNT(Algodão!$E71:$Z71)=0,0,MAX(0,IF((AH$6-$E$3)&lt;1,0,IFERROR(LOOKUP(2,1/(Algodão!$E71:INDEX(Algodão!$E71:$Z71,MIN(AH$6-$E$3,22))&lt;&gt;""),Algodão!$E71:INDEX(Algodão!$E71:$Z71,MIN(AH$6-$E$3,22))),0))-IF($G$2,0,IF((AH$6-$G$3)&lt;1,0,IFERROR(LOOKUP(2,1/(Algodão!$E71:INDEX(Algodão!$E71:$Z71,MIN(AH$6-$G$3,22))&lt;&gt;""),Algodão!$E71:INDEX(Algodão!$E71:$Z71,MIN(AH$6-$G$3,22))),0)))))</f>
        <v>0</v>
      </c>
      <c r="AI73" s="27" t="n">
        <f aca="false">IF(COUNT(Algodão!$E71:$Z71)=0,0,MAX(0,IF((AI$6-$E$3)&lt;1,0,IFERROR(LOOKUP(2,1/(Algodão!$E71:INDEX(Algodão!$E71:$Z71,MIN(AI$6-$E$3,22))&lt;&gt;""),Algodão!$E71:INDEX(Algodão!$E71:$Z71,MIN(AI$6-$E$3,22))),0))-IF($G$2,0,IF((AI$6-$G$3)&lt;1,0,IFERROR(LOOKUP(2,1/(Algodão!$E71:INDEX(Algodão!$E71:$Z71,MIN(AI$6-$G$3,22))&lt;&gt;""),Algodão!$E71:INDEX(Algodão!$E71:$Z71,MIN(AI$6-$G$3,22))),0)))))</f>
        <v>0</v>
      </c>
      <c r="AJ73" s="27" t="n">
        <f aca="false">IF(COUNT(Algodão!$E71:$Z71)=0,0,MAX(0,IF((AJ$6-$E$3)&lt;1,0,IFERROR(LOOKUP(2,1/(Algodão!$E71:INDEX(Algodão!$E71:$Z71,MIN(AJ$6-$E$3,22))&lt;&gt;""),Algodão!$E71:INDEX(Algodão!$E71:$Z71,MIN(AJ$6-$E$3,22))),0))-IF($G$2,0,IF((AJ$6-$G$3)&lt;1,0,IFERROR(LOOKUP(2,1/(Algodão!$E71:INDEX(Algodão!$E71:$Z71,MIN(AJ$6-$G$3,22))&lt;&gt;""),Algodão!$E71:INDEX(Algodão!$E71:$Z71,MIN(AJ$6-$G$3,22))),0)))))</f>
        <v>0</v>
      </c>
      <c r="AK73" s="27" t="n">
        <f aca="false">IF(COUNT(Algodão!$E71:$Z71)=0,0,MAX(0,IF((AK$6-$E$3)&lt;1,0,IFERROR(LOOKUP(2,1/(Algodão!$E71:INDEX(Algodão!$E71:$Z71,MIN(AK$6-$E$3,22))&lt;&gt;""),Algodão!$E71:INDEX(Algodão!$E71:$Z71,MIN(AK$6-$E$3,22))),0))-IF($G$2,0,IF((AK$6-$G$3)&lt;1,0,IFERROR(LOOKUP(2,1/(Algodão!$E71:INDEX(Algodão!$E71:$Z71,MIN(AK$6-$G$3,22))&lt;&gt;""),Algodão!$E71:INDEX(Algodão!$E71:$Z71,MIN(AK$6-$G$3,22))),0)))))</f>
        <v>0</v>
      </c>
      <c r="AL73" s="27" t="n">
        <f aca="false">IF(COUNT(Algodão!$E71:$Z71)=0,0,MAX(0,IF((AL$6-$E$3)&lt;1,0,IFERROR(LOOKUP(2,1/(Algodão!$E71:INDEX(Algodão!$E71:$Z71,MIN(AL$6-$E$3,22))&lt;&gt;""),Algodão!$E71:INDEX(Algodão!$E71:$Z71,MIN(AL$6-$E$3,22))),0))-IF($G$2,0,IF((AL$6-$G$3)&lt;1,0,IFERROR(LOOKUP(2,1/(Algodão!$E71:INDEX(Algodão!$E71:$Z71,MIN(AL$6-$G$3,22))&lt;&gt;""),Algodão!$E71:INDEX(Algodão!$E71:$Z71,MIN(AL$6-$G$3,22))),0)))))</f>
        <v>0</v>
      </c>
      <c r="AM73" s="27" t="n">
        <f aca="false">IF(COUNT(Algodão!$E71:$Z71)=0,0,MAX(0,IF((AM$6-$E$3)&lt;1,0,IFERROR(LOOKUP(2,1/(Algodão!$E71:INDEX(Algodão!$E71:$Z71,MIN(AM$6-$E$3,22))&lt;&gt;""),Algodão!$E71:INDEX(Algodão!$E71:$Z71,MIN(AM$6-$E$3,22))),0))-IF($G$2,0,IF((AM$6-$G$3)&lt;1,0,IFERROR(LOOKUP(2,1/(Algodão!$E71:INDEX(Algodão!$E71:$Z71,MIN(AM$6-$G$3,22))&lt;&gt;""),Algodão!$E71:INDEX(Algodão!$E71:$Z71,MIN(AM$6-$G$3,22))),0)))))</f>
        <v>0</v>
      </c>
      <c r="AN73" s="27" t="n">
        <f aca="false">IF(COUNT(Algodão!$E71:$Z71)=0,0,MAX(0,IF((AN$6-$E$3)&lt;1,0,IFERROR(LOOKUP(2,1/(Algodão!$E71:INDEX(Algodão!$E71:$Z71,MIN(AN$6-$E$3,22))&lt;&gt;""),Algodão!$E71:INDEX(Algodão!$E71:$Z71,MIN(AN$6-$E$3,22))),0))-IF($G$2,0,IF((AN$6-$G$3)&lt;1,0,IFERROR(LOOKUP(2,1/(Algodão!$E71:INDEX(Algodão!$E71:$Z71,MIN(AN$6-$G$3,22))&lt;&gt;""),Algodão!$E71:INDEX(Algodão!$E71:$Z71,MIN(AN$6-$G$3,22))),0)))))</f>
        <v>0</v>
      </c>
      <c r="AO73" s="27" t="n">
        <f aca="false">IF(COUNT(Algodão!$E71:$Z71)=0,0,MAX(0,IF((AO$6-$E$3)&lt;1,0,IFERROR(LOOKUP(2,1/(Algodão!$E71:INDEX(Algodão!$E71:$Z71,MIN(AO$6-$E$3,22))&lt;&gt;""),Algodão!$E71:INDEX(Algodão!$E71:$Z71,MIN(AO$6-$E$3,22))),0))-IF($G$2,0,IF((AO$6-$G$3)&lt;1,0,IFERROR(LOOKUP(2,1/(Algodão!$E71:INDEX(Algodão!$E71:$Z71,MIN(AO$6-$G$3,22))&lt;&gt;""),Algodão!$E71:INDEX(Algodão!$E71:$Z71,MIN(AO$6-$G$3,22))),0)))))</f>
        <v>0</v>
      </c>
      <c r="AP73" s="27" t="n">
        <f aca="false">IF(COUNT(Algodão!$E71:$Z71)=0,0,MAX(0,IF((AP$6-$E$3)&lt;1,0,IFERROR(LOOKUP(2,1/(Algodão!$E71:INDEX(Algodão!$E71:$Z71,MIN(AP$6-$E$3,22))&lt;&gt;""),Algodão!$E71:INDEX(Algodão!$E71:$Z71,MIN(AP$6-$E$3,22))),0))-IF($G$2,0,IF((AP$6-$G$3)&lt;1,0,IFERROR(LOOKUP(2,1/(Algodão!$E71:INDEX(Algodão!$E71:$Z71,MIN(AP$6-$G$3,22))&lt;&gt;""),Algodão!$E71:INDEX(Algodão!$E71:$Z71,MIN(AP$6-$G$3,22))),0)))))</f>
        <v>0</v>
      </c>
      <c r="AQ73" s="27" t="n">
        <f aca="false">IF(COUNT(Algodão!$E71:$Z71)=0,0,MAX(0,IF((AQ$6-$E$3)&lt;1,0,IFERROR(LOOKUP(2,1/(Algodão!$E71:INDEX(Algodão!$E71:$Z71,MIN(AQ$6-$E$3,22))&lt;&gt;""),Algodão!$E71:INDEX(Algodão!$E71:$Z71,MIN(AQ$6-$E$3,22))),0))-IF($G$2,0,IF((AQ$6-$G$3)&lt;1,0,IFERROR(LOOKUP(2,1/(Algodão!$E71:INDEX(Algodão!$E71:$Z71,MIN(AQ$6-$G$3,22))&lt;&gt;""),Algodão!$E71:INDEX(Algodão!$E71:$Z71,MIN(AQ$6-$G$3,22))),0)))))</f>
        <v>0</v>
      </c>
      <c r="AR73" s="27" t="n">
        <f aca="false">IF(COUNT(Algodão!$E71:$Z71)=0,0,MAX(0,IF((AR$6-$E$3)&lt;1,0,IFERROR(LOOKUP(2,1/(Algodão!$E71:INDEX(Algodão!$E71:$Z71,MIN(AR$6-$E$3,22))&lt;&gt;""),Algodão!$E71:INDEX(Algodão!$E71:$Z71,MIN(AR$6-$E$3,22))),0))-IF($G$2,0,IF((AR$6-$G$3)&lt;1,0,IFERROR(LOOKUP(2,1/(Algodão!$E71:INDEX(Algodão!$E71:$Z71,MIN(AR$6-$G$3,22))&lt;&gt;""),Algodão!$E71:INDEX(Algodão!$E71:$Z71,MIN(AR$6-$G$3,22))),0)))))</f>
        <v>0</v>
      </c>
      <c r="AS73" s="27" t="n">
        <f aca="false">IF(COUNT(Algodão!$E71:$Z71)=0,0,MAX(0,IF((AS$6-$E$3)&lt;1,0,IFERROR(LOOKUP(2,1/(Algodão!$E71:INDEX(Algodão!$E71:$Z71,MIN(AS$6-$E$3,22))&lt;&gt;""),Algodão!$E71:INDEX(Algodão!$E71:$Z71,MIN(AS$6-$E$3,22))),0))-IF($G$2,0,IF((AS$6-$G$3)&lt;1,0,IFERROR(LOOKUP(2,1/(Algodão!$E71:INDEX(Algodão!$E71:$Z71,MIN(AS$6-$G$3,22))&lt;&gt;""),Algodão!$E71:INDEX(Algodão!$E71:$Z71,MIN(AS$6-$G$3,22))),0)))))</f>
        <v>0</v>
      </c>
      <c r="AT73" s="27" t="n">
        <f aca="false">IF(COUNT(Algodão!$E71:$Z71)=0,0,MAX(0,IF((AT$6-$E$3)&lt;1,0,IFERROR(LOOKUP(2,1/(Algodão!$E71:INDEX(Algodão!$E71:$Z71,MIN(AT$6-$E$3,22))&lt;&gt;""),Algodão!$E71:INDEX(Algodão!$E71:$Z71,MIN(AT$6-$E$3,22))),0))-IF($G$2,0,IF((AT$6-$G$3)&lt;1,0,IFERROR(LOOKUP(2,1/(Algodão!$E71:INDEX(Algodão!$E71:$Z71,MIN(AT$6-$G$3,22))&lt;&gt;""),Algodão!$E71:INDEX(Algodão!$E71:$Z71,MIN(AT$6-$G$3,22))),0)))))</f>
        <v>0</v>
      </c>
      <c r="AU73" s="27" t="n">
        <f aca="false">IF(COUNT(Algodão!$E71:$Z71)=0,0,MAX(0,IF((AU$6-$E$3)&lt;1,0,IFERROR(LOOKUP(2,1/(Algodão!$E71:INDEX(Algodão!$E71:$Z71,MIN(AU$6-$E$3,22))&lt;&gt;""),Algodão!$E71:INDEX(Algodão!$E71:$Z71,MIN(AU$6-$E$3,22))),0))-IF($G$2,0,IF((AU$6-$G$3)&lt;1,0,IFERROR(LOOKUP(2,1/(Algodão!$E71:INDEX(Algodão!$E71:$Z71,MIN(AU$6-$G$3,22))&lt;&gt;""),Algodão!$E71:INDEX(Algodão!$E71:$Z71,MIN(AU$6-$G$3,22))),0)))))</f>
        <v>0</v>
      </c>
      <c r="AV73" s="27" t="n">
        <f aca="false">IF(COUNT(Algodão!$E71:$Z71)=0,0,MAX(0,IF((AV$6-$E$3)&lt;1,0,IFERROR(LOOKUP(2,1/(Algodão!$E71:INDEX(Algodão!$E71:$Z71,MIN(AV$6-$E$3,22))&lt;&gt;""),Algodão!$E71:INDEX(Algodão!$E71:$Z71,MIN(AV$6-$E$3,22))),0))-IF($G$2,0,IF((AV$6-$G$3)&lt;1,0,IFERROR(LOOKUP(2,1/(Algodão!$E71:INDEX(Algodão!$E71:$Z71,MIN(AV$6-$G$3,22))&lt;&gt;""),Algodão!$E71:INDEX(Algodão!$E71:$Z71,MIN(AV$6-$G$3,22))),0)))))</f>
        <v>0</v>
      </c>
      <c r="AW73" s="27" t="n">
        <f aca="false">IF(COUNT(Algodão!$E71:$Z71)=0,0,MAX(0,IF((AW$6-$E$3)&lt;1,0,IFERROR(LOOKUP(2,1/(Algodão!$E71:INDEX(Algodão!$E71:$Z71,MIN(AW$6-$E$3,22))&lt;&gt;""),Algodão!$E71:INDEX(Algodão!$E71:$Z71,MIN(AW$6-$E$3,22))),0))-IF($G$2,0,IF((AW$6-$G$3)&lt;1,0,IFERROR(LOOKUP(2,1/(Algodão!$E71:INDEX(Algodão!$E71:$Z71,MIN(AW$6-$G$3,22))&lt;&gt;""),Algodão!$E71:INDEX(Algodão!$E71:$Z71,MIN(AW$6-$G$3,22))),0)))))</f>
        <v>0</v>
      </c>
      <c r="AX73" s="27" t="n">
        <f aca="false">IF(COUNT(Algodão!$E71:$Z71)=0,0,MAX(0,IF((AX$6-$E$3)&lt;1,0,IFERROR(LOOKUP(2,1/(Algodão!$E71:INDEX(Algodão!$E71:$Z71,MIN(AX$6-$E$3,22))&lt;&gt;""),Algodão!$E71:INDEX(Algodão!$E71:$Z71,MIN(AX$6-$E$3,22))),0))-IF($G$2,0,IF((AX$6-$G$3)&lt;1,0,IFERROR(LOOKUP(2,1/(Algodão!$E71:INDEX(Algodão!$E71:$Z71,MIN(AX$6-$G$3,22))&lt;&gt;""),Algodão!$E71:INDEX(Algodão!$E71:$Z71,MIN(AX$6-$G$3,22))),0)))))</f>
        <v>0</v>
      </c>
      <c r="AY73" s="27" t="n">
        <f aca="false">IF(COUNT(Algodão!$E71:$Z71)=0,0,MAX(0,IF((AY$6-$E$3)&lt;1,0,IFERROR(LOOKUP(2,1/(Algodão!$E71:INDEX(Algodão!$E71:$Z71,MIN(AY$6-$E$3,22))&lt;&gt;""),Algodão!$E71:INDEX(Algodão!$E71:$Z71,MIN(AY$6-$E$3,22))),0))-IF($G$2,0,IF((AY$6-$G$3)&lt;1,0,IFERROR(LOOKUP(2,1/(Algodão!$E71:INDEX(Algodão!$E71:$Z71,MIN(AY$6-$G$3,22))&lt;&gt;""),Algodão!$E71:INDEX(Algodão!$E71:$Z71,MIN(AY$6-$G$3,22))),0)))))</f>
        <v>0</v>
      </c>
      <c r="AZ73" s="27" t="n">
        <f aca="false">IF(COUNT(Algodão!$E71:$Z71)=0,0,MAX(0,IF((AZ$6-$E$3)&lt;1,0,IFERROR(LOOKUP(2,1/(Algodão!$E71:INDEX(Algodão!$E71:$Z71,MIN(AZ$6-$E$3,22))&lt;&gt;""),Algodão!$E71:INDEX(Algodão!$E71:$Z71,MIN(AZ$6-$E$3,22))),0))-IF($G$2,0,IF((AZ$6-$G$3)&lt;1,0,IFERROR(LOOKUP(2,1/(Algodão!$E71:INDEX(Algodão!$E71:$Z71,MIN(AZ$6-$G$3,22))&lt;&gt;""),Algodão!$E71:INDEX(Algodão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IF(COUNT(Algodão!$E72:$Z72)&gt;0,N(Algodão!$D72),0)</f>
        <v>0</v>
      </c>
      <c r="E74" s="27" t="n">
        <f aca="false">IF(COUNT(Algodão!$E72:$Z72)=0,0,MAX(0,IF((E$6-$E$3)&lt;1,0,IFERROR(LOOKUP(2,1/(Algodão!$E72:INDEX(Algodão!$E72:$Z72,MIN(E$6-$E$3,22))&lt;&gt;""),Algodão!$E72:INDEX(Algodão!$E72:$Z72,MIN(E$6-$E$3,22))),0))-IF($G$2,0,IF((E$6-$G$3)&lt;1,0,IFERROR(LOOKUP(2,1/(Algodão!$E72:INDEX(Algodão!$E72:$Z72,MIN(E$6-$G$3,22))&lt;&gt;""),Algodão!$E72:INDEX(Algodão!$E72:$Z72,MIN(E$6-$G$3,22))),0)))))</f>
        <v>0</v>
      </c>
      <c r="F74" s="27" t="n">
        <f aca="false">IF(COUNT(Algodão!$E72:$Z72)=0,0,MAX(0,IF((F$6-$E$3)&lt;1,0,IFERROR(LOOKUP(2,1/(Algodão!$E72:INDEX(Algodão!$E72:$Z72,MIN(F$6-$E$3,22))&lt;&gt;""),Algodão!$E72:INDEX(Algodão!$E72:$Z72,MIN(F$6-$E$3,22))),0))-IF($G$2,0,IF((F$6-$G$3)&lt;1,0,IFERROR(LOOKUP(2,1/(Algodão!$E72:INDEX(Algodão!$E72:$Z72,MIN(F$6-$G$3,22))&lt;&gt;""),Algodão!$E72:INDEX(Algodão!$E72:$Z72,MIN(F$6-$G$3,22))),0)))))</f>
        <v>0</v>
      </c>
      <c r="G74" s="27" t="n">
        <f aca="false">IF(COUNT(Algodão!$E72:$Z72)=0,0,MAX(0,IF((G$6-$E$3)&lt;1,0,IFERROR(LOOKUP(2,1/(Algodão!$E72:INDEX(Algodão!$E72:$Z72,MIN(G$6-$E$3,22))&lt;&gt;""),Algodão!$E72:INDEX(Algodão!$E72:$Z72,MIN(G$6-$E$3,22))),0))-IF($G$2,0,IF((G$6-$G$3)&lt;1,0,IFERROR(LOOKUP(2,1/(Algodão!$E72:INDEX(Algodão!$E72:$Z72,MIN(G$6-$G$3,22))&lt;&gt;""),Algodão!$E72:INDEX(Algodão!$E72:$Z72,MIN(G$6-$G$3,22))),0)))))</f>
        <v>0</v>
      </c>
      <c r="H74" s="27" t="n">
        <f aca="false">IF(COUNT(Algodão!$E72:$Z72)=0,0,MAX(0,IF((H$6-$E$3)&lt;1,0,IFERROR(LOOKUP(2,1/(Algodão!$E72:INDEX(Algodão!$E72:$Z72,MIN(H$6-$E$3,22))&lt;&gt;""),Algodão!$E72:INDEX(Algodão!$E72:$Z72,MIN(H$6-$E$3,22))),0))-IF($G$2,0,IF((H$6-$G$3)&lt;1,0,IFERROR(LOOKUP(2,1/(Algodão!$E72:INDEX(Algodão!$E72:$Z72,MIN(H$6-$G$3,22))&lt;&gt;""),Algodão!$E72:INDEX(Algodão!$E72:$Z72,MIN(H$6-$G$3,22))),0)))))</f>
        <v>0</v>
      </c>
      <c r="I74" s="27" t="n">
        <f aca="false">IF(COUNT(Algodão!$E72:$Z72)=0,0,MAX(0,IF((I$6-$E$3)&lt;1,0,IFERROR(LOOKUP(2,1/(Algodão!$E72:INDEX(Algodão!$E72:$Z72,MIN(I$6-$E$3,22))&lt;&gt;""),Algodão!$E72:INDEX(Algodão!$E72:$Z72,MIN(I$6-$E$3,22))),0))-IF($G$2,0,IF((I$6-$G$3)&lt;1,0,IFERROR(LOOKUP(2,1/(Algodão!$E72:INDEX(Algodão!$E72:$Z72,MIN(I$6-$G$3,22))&lt;&gt;""),Algodão!$E72:INDEX(Algodão!$E72:$Z72,MIN(I$6-$G$3,22))),0)))))</f>
        <v>0</v>
      </c>
      <c r="J74" s="27" t="n">
        <f aca="false">IF(COUNT(Algodão!$E72:$Z72)=0,0,MAX(0,IF((J$6-$E$3)&lt;1,0,IFERROR(LOOKUP(2,1/(Algodão!$E72:INDEX(Algodão!$E72:$Z72,MIN(J$6-$E$3,22))&lt;&gt;""),Algodão!$E72:INDEX(Algodão!$E72:$Z72,MIN(J$6-$E$3,22))),0))-IF($G$2,0,IF((J$6-$G$3)&lt;1,0,IFERROR(LOOKUP(2,1/(Algodão!$E72:INDEX(Algodão!$E72:$Z72,MIN(J$6-$G$3,22))&lt;&gt;""),Algodão!$E72:INDEX(Algodão!$E72:$Z72,MIN(J$6-$G$3,22))),0)))))</f>
        <v>0</v>
      </c>
      <c r="K74" s="27" t="n">
        <f aca="false">IF(COUNT(Algodão!$E72:$Z72)=0,0,MAX(0,IF((K$6-$E$3)&lt;1,0,IFERROR(LOOKUP(2,1/(Algodão!$E72:INDEX(Algodão!$E72:$Z72,MIN(K$6-$E$3,22))&lt;&gt;""),Algodão!$E72:INDEX(Algodão!$E72:$Z72,MIN(K$6-$E$3,22))),0))-IF($G$2,0,IF((K$6-$G$3)&lt;1,0,IFERROR(LOOKUP(2,1/(Algodão!$E72:INDEX(Algodão!$E72:$Z72,MIN(K$6-$G$3,22))&lt;&gt;""),Algodão!$E72:INDEX(Algodão!$E72:$Z72,MIN(K$6-$G$3,22))),0)))))</f>
        <v>0</v>
      </c>
      <c r="L74" s="27" t="n">
        <f aca="false">IF(COUNT(Algodão!$E72:$Z72)=0,0,MAX(0,IF((L$6-$E$3)&lt;1,0,IFERROR(LOOKUP(2,1/(Algodão!$E72:INDEX(Algodão!$E72:$Z72,MIN(L$6-$E$3,22))&lt;&gt;""),Algodão!$E72:INDEX(Algodão!$E72:$Z72,MIN(L$6-$E$3,22))),0))-IF($G$2,0,IF((L$6-$G$3)&lt;1,0,IFERROR(LOOKUP(2,1/(Algodão!$E72:INDEX(Algodão!$E72:$Z72,MIN(L$6-$G$3,22))&lt;&gt;""),Algodão!$E72:INDEX(Algodão!$E72:$Z72,MIN(L$6-$G$3,22))),0)))))</f>
        <v>0</v>
      </c>
      <c r="M74" s="27" t="n">
        <f aca="false">IF(COUNT(Algodão!$E72:$Z72)=0,0,MAX(0,IF((M$6-$E$3)&lt;1,0,IFERROR(LOOKUP(2,1/(Algodão!$E72:INDEX(Algodão!$E72:$Z72,MIN(M$6-$E$3,22))&lt;&gt;""),Algodão!$E72:INDEX(Algodão!$E72:$Z72,MIN(M$6-$E$3,22))),0))-IF($G$2,0,IF((M$6-$G$3)&lt;1,0,IFERROR(LOOKUP(2,1/(Algodão!$E72:INDEX(Algodão!$E72:$Z72,MIN(M$6-$G$3,22))&lt;&gt;""),Algodão!$E72:INDEX(Algodão!$E72:$Z72,MIN(M$6-$G$3,22))),0)))))</f>
        <v>0</v>
      </c>
      <c r="N74" s="27" t="n">
        <f aca="false">IF(COUNT(Algodão!$E72:$Z72)=0,0,MAX(0,IF((N$6-$E$3)&lt;1,0,IFERROR(LOOKUP(2,1/(Algodão!$E72:INDEX(Algodão!$E72:$Z72,MIN(N$6-$E$3,22))&lt;&gt;""),Algodão!$E72:INDEX(Algodão!$E72:$Z72,MIN(N$6-$E$3,22))),0))-IF($G$2,0,IF((N$6-$G$3)&lt;1,0,IFERROR(LOOKUP(2,1/(Algodão!$E72:INDEX(Algodão!$E72:$Z72,MIN(N$6-$G$3,22))&lt;&gt;""),Algodão!$E72:INDEX(Algodão!$E72:$Z72,MIN(N$6-$G$3,22))),0)))))</f>
        <v>0</v>
      </c>
      <c r="O74" s="27" t="n">
        <f aca="false">IF(COUNT(Algodão!$E72:$Z72)=0,0,MAX(0,IF((O$6-$E$3)&lt;1,0,IFERROR(LOOKUP(2,1/(Algodão!$E72:INDEX(Algodão!$E72:$Z72,MIN(O$6-$E$3,22))&lt;&gt;""),Algodão!$E72:INDEX(Algodão!$E72:$Z72,MIN(O$6-$E$3,22))),0))-IF($G$2,0,IF((O$6-$G$3)&lt;1,0,IFERROR(LOOKUP(2,1/(Algodão!$E72:INDEX(Algodão!$E72:$Z72,MIN(O$6-$G$3,22))&lt;&gt;""),Algodão!$E72:INDEX(Algodão!$E72:$Z72,MIN(O$6-$G$3,22))),0)))))</f>
        <v>0</v>
      </c>
      <c r="P74" s="27" t="n">
        <f aca="false">IF(COUNT(Algodão!$E72:$Z72)=0,0,MAX(0,IF((P$6-$E$3)&lt;1,0,IFERROR(LOOKUP(2,1/(Algodão!$E72:INDEX(Algodão!$E72:$Z72,MIN(P$6-$E$3,22))&lt;&gt;""),Algodão!$E72:INDEX(Algodão!$E72:$Z72,MIN(P$6-$E$3,22))),0))-IF($G$2,0,IF((P$6-$G$3)&lt;1,0,IFERROR(LOOKUP(2,1/(Algodão!$E72:INDEX(Algodão!$E72:$Z72,MIN(P$6-$G$3,22))&lt;&gt;""),Algodão!$E72:INDEX(Algodão!$E72:$Z72,MIN(P$6-$G$3,22))),0)))))</f>
        <v>0</v>
      </c>
      <c r="Q74" s="27" t="n">
        <f aca="false">IF(COUNT(Algodão!$E72:$Z72)=0,0,MAX(0,IF((Q$6-$E$3)&lt;1,0,IFERROR(LOOKUP(2,1/(Algodão!$E72:INDEX(Algodão!$E72:$Z72,MIN(Q$6-$E$3,22))&lt;&gt;""),Algodão!$E72:INDEX(Algodão!$E72:$Z72,MIN(Q$6-$E$3,22))),0))-IF($G$2,0,IF((Q$6-$G$3)&lt;1,0,IFERROR(LOOKUP(2,1/(Algodão!$E72:INDEX(Algodão!$E72:$Z72,MIN(Q$6-$G$3,22))&lt;&gt;""),Algodão!$E72:INDEX(Algodão!$E72:$Z72,MIN(Q$6-$G$3,22))),0)))))</f>
        <v>0</v>
      </c>
      <c r="R74" s="27" t="n">
        <f aca="false">IF(COUNT(Algodão!$E72:$Z72)=0,0,MAX(0,IF((R$6-$E$3)&lt;1,0,IFERROR(LOOKUP(2,1/(Algodão!$E72:INDEX(Algodão!$E72:$Z72,MIN(R$6-$E$3,22))&lt;&gt;""),Algodão!$E72:INDEX(Algodão!$E72:$Z72,MIN(R$6-$E$3,22))),0))-IF($G$2,0,IF((R$6-$G$3)&lt;1,0,IFERROR(LOOKUP(2,1/(Algodão!$E72:INDEX(Algodão!$E72:$Z72,MIN(R$6-$G$3,22))&lt;&gt;""),Algodão!$E72:INDEX(Algodão!$E72:$Z72,MIN(R$6-$G$3,22))),0)))))</f>
        <v>0</v>
      </c>
      <c r="S74" s="27" t="n">
        <f aca="false">IF(COUNT(Algodão!$E72:$Z72)=0,0,MAX(0,IF((S$6-$E$3)&lt;1,0,IFERROR(LOOKUP(2,1/(Algodão!$E72:INDEX(Algodão!$E72:$Z72,MIN(S$6-$E$3,22))&lt;&gt;""),Algodão!$E72:INDEX(Algodão!$E72:$Z72,MIN(S$6-$E$3,22))),0))-IF($G$2,0,IF((S$6-$G$3)&lt;1,0,IFERROR(LOOKUP(2,1/(Algodão!$E72:INDEX(Algodão!$E72:$Z72,MIN(S$6-$G$3,22))&lt;&gt;""),Algodão!$E72:INDEX(Algodão!$E72:$Z72,MIN(S$6-$G$3,22))),0)))))</f>
        <v>0</v>
      </c>
      <c r="T74" s="27" t="n">
        <f aca="false">IF(COUNT(Algodão!$E72:$Z72)=0,0,MAX(0,IF((T$6-$E$3)&lt;1,0,IFERROR(LOOKUP(2,1/(Algodão!$E72:INDEX(Algodão!$E72:$Z72,MIN(T$6-$E$3,22))&lt;&gt;""),Algodão!$E72:INDEX(Algodão!$E72:$Z72,MIN(T$6-$E$3,22))),0))-IF($G$2,0,IF((T$6-$G$3)&lt;1,0,IFERROR(LOOKUP(2,1/(Algodão!$E72:INDEX(Algodão!$E72:$Z72,MIN(T$6-$G$3,22))&lt;&gt;""),Algodão!$E72:INDEX(Algodão!$E72:$Z72,MIN(T$6-$G$3,22))),0)))))</f>
        <v>0</v>
      </c>
      <c r="U74" s="27" t="n">
        <f aca="false">IF(COUNT(Algodão!$E72:$Z72)=0,0,MAX(0,IF((U$6-$E$3)&lt;1,0,IFERROR(LOOKUP(2,1/(Algodão!$E72:INDEX(Algodão!$E72:$Z72,MIN(U$6-$E$3,22))&lt;&gt;""),Algodão!$E72:INDEX(Algodão!$E72:$Z72,MIN(U$6-$E$3,22))),0))-IF($G$2,0,IF((U$6-$G$3)&lt;1,0,IFERROR(LOOKUP(2,1/(Algodão!$E72:INDEX(Algodão!$E72:$Z72,MIN(U$6-$G$3,22))&lt;&gt;""),Algodão!$E72:INDEX(Algodão!$E72:$Z72,MIN(U$6-$G$3,22))),0)))))</f>
        <v>0</v>
      </c>
      <c r="V74" s="27" t="n">
        <f aca="false">IF(COUNT(Algodão!$E72:$Z72)=0,0,MAX(0,IF((V$6-$E$3)&lt;1,0,IFERROR(LOOKUP(2,1/(Algodão!$E72:INDEX(Algodão!$E72:$Z72,MIN(V$6-$E$3,22))&lt;&gt;""),Algodão!$E72:INDEX(Algodão!$E72:$Z72,MIN(V$6-$E$3,22))),0))-IF($G$2,0,IF((V$6-$G$3)&lt;1,0,IFERROR(LOOKUP(2,1/(Algodão!$E72:INDEX(Algodão!$E72:$Z72,MIN(V$6-$G$3,22))&lt;&gt;""),Algodão!$E72:INDEX(Algodão!$E72:$Z72,MIN(V$6-$G$3,22))),0)))))</f>
        <v>0</v>
      </c>
      <c r="W74" s="27" t="n">
        <f aca="false">IF(COUNT(Algodão!$E72:$Z72)=0,0,MAX(0,IF((W$6-$E$3)&lt;1,0,IFERROR(LOOKUP(2,1/(Algodão!$E72:INDEX(Algodão!$E72:$Z72,MIN(W$6-$E$3,22))&lt;&gt;""),Algodão!$E72:INDEX(Algodão!$E72:$Z72,MIN(W$6-$E$3,22))),0))-IF($G$2,0,IF((W$6-$G$3)&lt;1,0,IFERROR(LOOKUP(2,1/(Algodão!$E72:INDEX(Algodão!$E72:$Z72,MIN(W$6-$G$3,22))&lt;&gt;""),Algodão!$E72:INDEX(Algodão!$E72:$Z72,MIN(W$6-$G$3,22))),0)))))</f>
        <v>0</v>
      </c>
      <c r="X74" s="27" t="n">
        <f aca="false">IF(COUNT(Algodão!$E72:$Z72)=0,0,MAX(0,IF((X$6-$E$3)&lt;1,0,IFERROR(LOOKUP(2,1/(Algodão!$E72:INDEX(Algodão!$E72:$Z72,MIN(X$6-$E$3,22))&lt;&gt;""),Algodão!$E72:INDEX(Algodão!$E72:$Z72,MIN(X$6-$E$3,22))),0))-IF($G$2,0,IF((X$6-$G$3)&lt;1,0,IFERROR(LOOKUP(2,1/(Algodão!$E72:INDEX(Algodão!$E72:$Z72,MIN(X$6-$G$3,22))&lt;&gt;""),Algodão!$E72:INDEX(Algodão!$E72:$Z72,MIN(X$6-$G$3,22))),0)))))</f>
        <v>0</v>
      </c>
      <c r="Y74" s="27" t="n">
        <f aca="false">IF(COUNT(Algodão!$E72:$Z72)=0,0,MAX(0,IF((Y$6-$E$3)&lt;1,0,IFERROR(LOOKUP(2,1/(Algodão!$E72:INDEX(Algodão!$E72:$Z72,MIN(Y$6-$E$3,22))&lt;&gt;""),Algodão!$E72:INDEX(Algodão!$E72:$Z72,MIN(Y$6-$E$3,22))),0))-IF($G$2,0,IF((Y$6-$G$3)&lt;1,0,IFERROR(LOOKUP(2,1/(Algodão!$E72:INDEX(Algodão!$E72:$Z72,MIN(Y$6-$G$3,22))&lt;&gt;""),Algodão!$E72:INDEX(Algodão!$E72:$Z72,MIN(Y$6-$G$3,22))),0)))))</f>
        <v>0</v>
      </c>
      <c r="Z74" s="27" t="n">
        <f aca="false">IF(COUNT(Algodão!$E72:$Z72)=0,0,MAX(0,IF((Z$6-$E$3)&lt;1,0,IFERROR(LOOKUP(2,1/(Algodão!$E72:INDEX(Algodão!$E72:$Z72,MIN(Z$6-$E$3,22))&lt;&gt;""),Algodão!$E72:INDEX(Algodão!$E72:$Z72,MIN(Z$6-$E$3,22))),0))-IF($G$2,0,IF((Z$6-$G$3)&lt;1,0,IFERROR(LOOKUP(2,1/(Algodão!$E72:INDEX(Algodão!$E72:$Z72,MIN(Z$6-$G$3,22))&lt;&gt;""),Algodão!$E72:INDEX(Algodão!$E72:$Z72,MIN(Z$6-$G$3,22))),0)))))</f>
        <v>0</v>
      </c>
      <c r="AA74" s="27" t="n">
        <f aca="false">IF(COUNT(Algodão!$E72:$Z72)=0,0,MAX(0,IF((AA$6-$E$3)&lt;1,0,IFERROR(LOOKUP(2,1/(Algodão!$E72:INDEX(Algodão!$E72:$Z72,MIN(AA$6-$E$3,22))&lt;&gt;""),Algodão!$E72:INDEX(Algodão!$E72:$Z72,MIN(AA$6-$E$3,22))),0))-IF($G$2,0,IF((AA$6-$G$3)&lt;1,0,IFERROR(LOOKUP(2,1/(Algodão!$E72:INDEX(Algodão!$E72:$Z72,MIN(AA$6-$G$3,22))&lt;&gt;""),Algodão!$E72:INDEX(Algodão!$E72:$Z72,MIN(AA$6-$G$3,22))),0)))))</f>
        <v>0</v>
      </c>
      <c r="AB74" s="27" t="n">
        <f aca="false">IF(COUNT(Algodão!$E72:$Z72)=0,0,MAX(0,IF((AB$6-$E$3)&lt;1,0,IFERROR(LOOKUP(2,1/(Algodão!$E72:INDEX(Algodão!$E72:$Z72,MIN(AB$6-$E$3,22))&lt;&gt;""),Algodão!$E72:INDEX(Algodão!$E72:$Z72,MIN(AB$6-$E$3,22))),0))-IF($G$2,0,IF((AB$6-$G$3)&lt;1,0,IFERROR(LOOKUP(2,1/(Algodão!$E72:INDEX(Algodão!$E72:$Z72,MIN(AB$6-$G$3,22))&lt;&gt;""),Algodão!$E72:INDEX(Algodão!$E72:$Z72,MIN(AB$6-$G$3,22))),0)))))</f>
        <v>0</v>
      </c>
      <c r="AC74" s="27" t="n">
        <f aca="false">IF(COUNT(Algodão!$E72:$Z72)=0,0,MAX(0,IF((AC$6-$E$3)&lt;1,0,IFERROR(LOOKUP(2,1/(Algodão!$E72:INDEX(Algodão!$E72:$Z72,MIN(AC$6-$E$3,22))&lt;&gt;""),Algodão!$E72:INDEX(Algodão!$E72:$Z72,MIN(AC$6-$E$3,22))),0))-IF($G$2,0,IF((AC$6-$G$3)&lt;1,0,IFERROR(LOOKUP(2,1/(Algodão!$E72:INDEX(Algodão!$E72:$Z72,MIN(AC$6-$G$3,22))&lt;&gt;""),Algodão!$E72:INDEX(Algodão!$E72:$Z72,MIN(AC$6-$G$3,22))),0)))))</f>
        <v>0</v>
      </c>
      <c r="AD74" s="27" t="n">
        <f aca="false">IF(COUNT(Algodão!$E72:$Z72)=0,0,MAX(0,IF((AD$6-$E$3)&lt;1,0,IFERROR(LOOKUP(2,1/(Algodão!$E72:INDEX(Algodão!$E72:$Z72,MIN(AD$6-$E$3,22))&lt;&gt;""),Algodão!$E72:INDEX(Algodão!$E72:$Z72,MIN(AD$6-$E$3,22))),0))-IF($G$2,0,IF((AD$6-$G$3)&lt;1,0,IFERROR(LOOKUP(2,1/(Algodão!$E72:INDEX(Algodão!$E72:$Z72,MIN(AD$6-$G$3,22))&lt;&gt;""),Algodão!$E72:INDEX(Algodão!$E72:$Z72,MIN(AD$6-$G$3,22))),0)))))</f>
        <v>0</v>
      </c>
      <c r="AE74" s="27" t="n">
        <f aca="false">IF(COUNT(Algodão!$E72:$Z72)=0,0,MAX(0,IF((AE$6-$E$3)&lt;1,0,IFERROR(LOOKUP(2,1/(Algodão!$E72:INDEX(Algodão!$E72:$Z72,MIN(AE$6-$E$3,22))&lt;&gt;""),Algodão!$E72:INDEX(Algodão!$E72:$Z72,MIN(AE$6-$E$3,22))),0))-IF($G$2,0,IF((AE$6-$G$3)&lt;1,0,IFERROR(LOOKUP(2,1/(Algodão!$E72:INDEX(Algodão!$E72:$Z72,MIN(AE$6-$G$3,22))&lt;&gt;""),Algodão!$E72:INDEX(Algodão!$E72:$Z72,MIN(AE$6-$G$3,22))),0)))))</f>
        <v>0</v>
      </c>
      <c r="AF74" s="27" t="n">
        <f aca="false">IF(COUNT(Algodão!$E72:$Z72)=0,0,MAX(0,IF((AF$6-$E$3)&lt;1,0,IFERROR(LOOKUP(2,1/(Algodão!$E72:INDEX(Algodão!$E72:$Z72,MIN(AF$6-$E$3,22))&lt;&gt;""),Algodão!$E72:INDEX(Algodão!$E72:$Z72,MIN(AF$6-$E$3,22))),0))-IF($G$2,0,IF((AF$6-$G$3)&lt;1,0,IFERROR(LOOKUP(2,1/(Algodão!$E72:INDEX(Algodão!$E72:$Z72,MIN(AF$6-$G$3,22))&lt;&gt;""),Algodão!$E72:INDEX(Algodão!$E72:$Z72,MIN(AF$6-$G$3,22))),0)))))</f>
        <v>0</v>
      </c>
      <c r="AG74" s="27" t="n">
        <f aca="false">IF(COUNT(Algodão!$E72:$Z72)=0,0,MAX(0,IF((AG$6-$E$3)&lt;1,0,IFERROR(LOOKUP(2,1/(Algodão!$E72:INDEX(Algodão!$E72:$Z72,MIN(AG$6-$E$3,22))&lt;&gt;""),Algodão!$E72:INDEX(Algodão!$E72:$Z72,MIN(AG$6-$E$3,22))),0))-IF($G$2,0,IF((AG$6-$G$3)&lt;1,0,IFERROR(LOOKUP(2,1/(Algodão!$E72:INDEX(Algodão!$E72:$Z72,MIN(AG$6-$G$3,22))&lt;&gt;""),Algodão!$E72:INDEX(Algodão!$E72:$Z72,MIN(AG$6-$G$3,22))),0)))))</f>
        <v>0</v>
      </c>
      <c r="AH74" s="27" t="n">
        <f aca="false">IF(COUNT(Algodão!$E72:$Z72)=0,0,MAX(0,IF((AH$6-$E$3)&lt;1,0,IFERROR(LOOKUP(2,1/(Algodão!$E72:INDEX(Algodão!$E72:$Z72,MIN(AH$6-$E$3,22))&lt;&gt;""),Algodão!$E72:INDEX(Algodão!$E72:$Z72,MIN(AH$6-$E$3,22))),0))-IF($G$2,0,IF((AH$6-$G$3)&lt;1,0,IFERROR(LOOKUP(2,1/(Algodão!$E72:INDEX(Algodão!$E72:$Z72,MIN(AH$6-$G$3,22))&lt;&gt;""),Algodão!$E72:INDEX(Algodão!$E72:$Z72,MIN(AH$6-$G$3,22))),0)))))</f>
        <v>0</v>
      </c>
      <c r="AI74" s="27" t="n">
        <f aca="false">IF(COUNT(Algodão!$E72:$Z72)=0,0,MAX(0,IF((AI$6-$E$3)&lt;1,0,IFERROR(LOOKUP(2,1/(Algodão!$E72:INDEX(Algodão!$E72:$Z72,MIN(AI$6-$E$3,22))&lt;&gt;""),Algodão!$E72:INDEX(Algodão!$E72:$Z72,MIN(AI$6-$E$3,22))),0))-IF($G$2,0,IF((AI$6-$G$3)&lt;1,0,IFERROR(LOOKUP(2,1/(Algodão!$E72:INDEX(Algodão!$E72:$Z72,MIN(AI$6-$G$3,22))&lt;&gt;""),Algodão!$E72:INDEX(Algodão!$E72:$Z72,MIN(AI$6-$G$3,22))),0)))))</f>
        <v>0</v>
      </c>
      <c r="AJ74" s="27" t="n">
        <f aca="false">IF(COUNT(Algodão!$E72:$Z72)=0,0,MAX(0,IF((AJ$6-$E$3)&lt;1,0,IFERROR(LOOKUP(2,1/(Algodão!$E72:INDEX(Algodão!$E72:$Z72,MIN(AJ$6-$E$3,22))&lt;&gt;""),Algodão!$E72:INDEX(Algodão!$E72:$Z72,MIN(AJ$6-$E$3,22))),0))-IF($G$2,0,IF((AJ$6-$G$3)&lt;1,0,IFERROR(LOOKUP(2,1/(Algodão!$E72:INDEX(Algodão!$E72:$Z72,MIN(AJ$6-$G$3,22))&lt;&gt;""),Algodão!$E72:INDEX(Algodão!$E72:$Z72,MIN(AJ$6-$G$3,22))),0)))))</f>
        <v>0</v>
      </c>
      <c r="AK74" s="27" t="n">
        <f aca="false">IF(COUNT(Algodão!$E72:$Z72)=0,0,MAX(0,IF((AK$6-$E$3)&lt;1,0,IFERROR(LOOKUP(2,1/(Algodão!$E72:INDEX(Algodão!$E72:$Z72,MIN(AK$6-$E$3,22))&lt;&gt;""),Algodão!$E72:INDEX(Algodão!$E72:$Z72,MIN(AK$6-$E$3,22))),0))-IF($G$2,0,IF((AK$6-$G$3)&lt;1,0,IFERROR(LOOKUP(2,1/(Algodão!$E72:INDEX(Algodão!$E72:$Z72,MIN(AK$6-$G$3,22))&lt;&gt;""),Algodão!$E72:INDEX(Algodão!$E72:$Z72,MIN(AK$6-$G$3,22))),0)))))</f>
        <v>0</v>
      </c>
      <c r="AL74" s="27" t="n">
        <f aca="false">IF(COUNT(Algodão!$E72:$Z72)=0,0,MAX(0,IF((AL$6-$E$3)&lt;1,0,IFERROR(LOOKUP(2,1/(Algodão!$E72:INDEX(Algodão!$E72:$Z72,MIN(AL$6-$E$3,22))&lt;&gt;""),Algodão!$E72:INDEX(Algodão!$E72:$Z72,MIN(AL$6-$E$3,22))),0))-IF($G$2,0,IF((AL$6-$G$3)&lt;1,0,IFERROR(LOOKUP(2,1/(Algodão!$E72:INDEX(Algodão!$E72:$Z72,MIN(AL$6-$G$3,22))&lt;&gt;""),Algodão!$E72:INDEX(Algodão!$E72:$Z72,MIN(AL$6-$G$3,22))),0)))))</f>
        <v>0</v>
      </c>
      <c r="AM74" s="27" t="n">
        <f aca="false">IF(COUNT(Algodão!$E72:$Z72)=0,0,MAX(0,IF((AM$6-$E$3)&lt;1,0,IFERROR(LOOKUP(2,1/(Algodão!$E72:INDEX(Algodão!$E72:$Z72,MIN(AM$6-$E$3,22))&lt;&gt;""),Algodão!$E72:INDEX(Algodão!$E72:$Z72,MIN(AM$6-$E$3,22))),0))-IF($G$2,0,IF((AM$6-$G$3)&lt;1,0,IFERROR(LOOKUP(2,1/(Algodão!$E72:INDEX(Algodão!$E72:$Z72,MIN(AM$6-$G$3,22))&lt;&gt;""),Algodão!$E72:INDEX(Algodão!$E72:$Z72,MIN(AM$6-$G$3,22))),0)))))</f>
        <v>0</v>
      </c>
      <c r="AN74" s="27" t="n">
        <f aca="false">IF(COUNT(Algodão!$E72:$Z72)=0,0,MAX(0,IF((AN$6-$E$3)&lt;1,0,IFERROR(LOOKUP(2,1/(Algodão!$E72:INDEX(Algodão!$E72:$Z72,MIN(AN$6-$E$3,22))&lt;&gt;""),Algodão!$E72:INDEX(Algodão!$E72:$Z72,MIN(AN$6-$E$3,22))),0))-IF($G$2,0,IF((AN$6-$G$3)&lt;1,0,IFERROR(LOOKUP(2,1/(Algodão!$E72:INDEX(Algodão!$E72:$Z72,MIN(AN$6-$G$3,22))&lt;&gt;""),Algodão!$E72:INDEX(Algodão!$E72:$Z72,MIN(AN$6-$G$3,22))),0)))))</f>
        <v>0</v>
      </c>
      <c r="AO74" s="27" t="n">
        <f aca="false">IF(COUNT(Algodão!$E72:$Z72)=0,0,MAX(0,IF((AO$6-$E$3)&lt;1,0,IFERROR(LOOKUP(2,1/(Algodão!$E72:INDEX(Algodão!$E72:$Z72,MIN(AO$6-$E$3,22))&lt;&gt;""),Algodão!$E72:INDEX(Algodão!$E72:$Z72,MIN(AO$6-$E$3,22))),0))-IF($G$2,0,IF((AO$6-$G$3)&lt;1,0,IFERROR(LOOKUP(2,1/(Algodão!$E72:INDEX(Algodão!$E72:$Z72,MIN(AO$6-$G$3,22))&lt;&gt;""),Algodão!$E72:INDEX(Algodão!$E72:$Z72,MIN(AO$6-$G$3,22))),0)))))</f>
        <v>0</v>
      </c>
      <c r="AP74" s="27" t="n">
        <f aca="false">IF(COUNT(Algodão!$E72:$Z72)=0,0,MAX(0,IF((AP$6-$E$3)&lt;1,0,IFERROR(LOOKUP(2,1/(Algodão!$E72:INDEX(Algodão!$E72:$Z72,MIN(AP$6-$E$3,22))&lt;&gt;""),Algodão!$E72:INDEX(Algodão!$E72:$Z72,MIN(AP$6-$E$3,22))),0))-IF($G$2,0,IF((AP$6-$G$3)&lt;1,0,IFERROR(LOOKUP(2,1/(Algodão!$E72:INDEX(Algodão!$E72:$Z72,MIN(AP$6-$G$3,22))&lt;&gt;""),Algodão!$E72:INDEX(Algodão!$E72:$Z72,MIN(AP$6-$G$3,22))),0)))))</f>
        <v>0</v>
      </c>
      <c r="AQ74" s="27" t="n">
        <f aca="false">IF(COUNT(Algodão!$E72:$Z72)=0,0,MAX(0,IF((AQ$6-$E$3)&lt;1,0,IFERROR(LOOKUP(2,1/(Algodão!$E72:INDEX(Algodão!$E72:$Z72,MIN(AQ$6-$E$3,22))&lt;&gt;""),Algodão!$E72:INDEX(Algodão!$E72:$Z72,MIN(AQ$6-$E$3,22))),0))-IF($G$2,0,IF((AQ$6-$G$3)&lt;1,0,IFERROR(LOOKUP(2,1/(Algodão!$E72:INDEX(Algodão!$E72:$Z72,MIN(AQ$6-$G$3,22))&lt;&gt;""),Algodão!$E72:INDEX(Algodão!$E72:$Z72,MIN(AQ$6-$G$3,22))),0)))))</f>
        <v>0</v>
      </c>
      <c r="AR74" s="27" t="n">
        <f aca="false">IF(COUNT(Algodão!$E72:$Z72)=0,0,MAX(0,IF((AR$6-$E$3)&lt;1,0,IFERROR(LOOKUP(2,1/(Algodão!$E72:INDEX(Algodão!$E72:$Z72,MIN(AR$6-$E$3,22))&lt;&gt;""),Algodão!$E72:INDEX(Algodão!$E72:$Z72,MIN(AR$6-$E$3,22))),0))-IF($G$2,0,IF((AR$6-$G$3)&lt;1,0,IFERROR(LOOKUP(2,1/(Algodão!$E72:INDEX(Algodão!$E72:$Z72,MIN(AR$6-$G$3,22))&lt;&gt;""),Algodão!$E72:INDEX(Algodão!$E72:$Z72,MIN(AR$6-$G$3,22))),0)))))</f>
        <v>0</v>
      </c>
      <c r="AS74" s="27" t="n">
        <f aca="false">IF(COUNT(Algodão!$E72:$Z72)=0,0,MAX(0,IF((AS$6-$E$3)&lt;1,0,IFERROR(LOOKUP(2,1/(Algodão!$E72:INDEX(Algodão!$E72:$Z72,MIN(AS$6-$E$3,22))&lt;&gt;""),Algodão!$E72:INDEX(Algodão!$E72:$Z72,MIN(AS$6-$E$3,22))),0))-IF($G$2,0,IF((AS$6-$G$3)&lt;1,0,IFERROR(LOOKUP(2,1/(Algodão!$E72:INDEX(Algodão!$E72:$Z72,MIN(AS$6-$G$3,22))&lt;&gt;""),Algodão!$E72:INDEX(Algodão!$E72:$Z72,MIN(AS$6-$G$3,22))),0)))))</f>
        <v>0</v>
      </c>
      <c r="AT74" s="27" t="n">
        <f aca="false">IF(COUNT(Algodão!$E72:$Z72)=0,0,MAX(0,IF((AT$6-$E$3)&lt;1,0,IFERROR(LOOKUP(2,1/(Algodão!$E72:INDEX(Algodão!$E72:$Z72,MIN(AT$6-$E$3,22))&lt;&gt;""),Algodão!$E72:INDEX(Algodão!$E72:$Z72,MIN(AT$6-$E$3,22))),0))-IF($G$2,0,IF((AT$6-$G$3)&lt;1,0,IFERROR(LOOKUP(2,1/(Algodão!$E72:INDEX(Algodão!$E72:$Z72,MIN(AT$6-$G$3,22))&lt;&gt;""),Algodão!$E72:INDEX(Algodão!$E72:$Z72,MIN(AT$6-$G$3,22))),0)))))</f>
        <v>0</v>
      </c>
      <c r="AU74" s="27" t="n">
        <f aca="false">IF(COUNT(Algodão!$E72:$Z72)=0,0,MAX(0,IF((AU$6-$E$3)&lt;1,0,IFERROR(LOOKUP(2,1/(Algodão!$E72:INDEX(Algodão!$E72:$Z72,MIN(AU$6-$E$3,22))&lt;&gt;""),Algodão!$E72:INDEX(Algodão!$E72:$Z72,MIN(AU$6-$E$3,22))),0))-IF($G$2,0,IF((AU$6-$G$3)&lt;1,0,IFERROR(LOOKUP(2,1/(Algodão!$E72:INDEX(Algodão!$E72:$Z72,MIN(AU$6-$G$3,22))&lt;&gt;""),Algodão!$E72:INDEX(Algodão!$E72:$Z72,MIN(AU$6-$G$3,22))),0)))))</f>
        <v>0</v>
      </c>
      <c r="AV74" s="27" t="n">
        <f aca="false">IF(COUNT(Algodão!$E72:$Z72)=0,0,MAX(0,IF((AV$6-$E$3)&lt;1,0,IFERROR(LOOKUP(2,1/(Algodão!$E72:INDEX(Algodão!$E72:$Z72,MIN(AV$6-$E$3,22))&lt;&gt;""),Algodão!$E72:INDEX(Algodão!$E72:$Z72,MIN(AV$6-$E$3,22))),0))-IF($G$2,0,IF((AV$6-$G$3)&lt;1,0,IFERROR(LOOKUP(2,1/(Algodão!$E72:INDEX(Algodão!$E72:$Z72,MIN(AV$6-$G$3,22))&lt;&gt;""),Algodão!$E72:INDEX(Algodão!$E72:$Z72,MIN(AV$6-$G$3,22))),0)))))</f>
        <v>0</v>
      </c>
      <c r="AW74" s="27" t="n">
        <f aca="false">IF(COUNT(Algodão!$E72:$Z72)=0,0,MAX(0,IF((AW$6-$E$3)&lt;1,0,IFERROR(LOOKUP(2,1/(Algodão!$E72:INDEX(Algodão!$E72:$Z72,MIN(AW$6-$E$3,22))&lt;&gt;""),Algodão!$E72:INDEX(Algodão!$E72:$Z72,MIN(AW$6-$E$3,22))),0))-IF($G$2,0,IF((AW$6-$G$3)&lt;1,0,IFERROR(LOOKUP(2,1/(Algodão!$E72:INDEX(Algodão!$E72:$Z72,MIN(AW$6-$G$3,22))&lt;&gt;""),Algodão!$E72:INDEX(Algodão!$E72:$Z72,MIN(AW$6-$G$3,22))),0)))))</f>
        <v>0</v>
      </c>
      <c r="AX74" s="27" t="n">
        <f aca="false">IF(COUNT(Algodão!$E72:$Z72)=0,0,MAX(0,IF((AX$6-$E$3)&lt;1,0,IFERROR(LOOKUP(2,1/(Algodão!$E72:INDEX(Algodão!$E72:$Z72,MIN(AX$6-$E$3,22))&lt;&gt;""),Algodão!$E72:INDEX(Algodão!$E72:$Z72,MIN(AX$6-$E$3,22))),0))-IF($G$2,0,IF((AX$6-$G$3)&lt;1,0,IFERROR(LOOKUP(2,1/(Algodão!$E72:INDEX(Algodão!$E72:$Z72,MIN(AX$6-$G$3,22))&lt;&gt;""),Algodão!$E72:INDEX(Algodão!$E72:$Z72,MIN(AX$6-$G$3,22))),0)))))</f>
        <v>0</v>
      </c>
      <c r="AY74" s="27" t="n">
        <f aca="false">IF(COUNT(Algodão!$E72:$Z72)=0,0,MAX(0,IF((AY$6-$E$3)&lt;1,0,IFERROR(LOOKUP(2,1/(Algodão!$E72:INDEX(Algodão!$E72:$Z72,MIN(AY$6-$E$3,22))&lt;&gt;""),Algodão!$E72:INDEX(Algodão!$E72:$Z72,MIN(AY$6-$E$3,22))),0))-IF($G$2,0,IF((AY$6-$G$3)&lt;1,0,IFERROR(LOOKUP(2,1/(Algodão!$E72:INDEX(Algodão!$E72:$Z72,MIN(AY$6-$G$3,22))&lt;&gt;""),Algodão!$E72:INDEX(Algodão!$E72:$Z72,MIN(AY$6-$G$3,22))),0)))))</f>
        <v>0</v>
      </c>
      <c r="AZ74" s="27" t="n">
        <f aca="false">IF(COUNT(Algodão!$E72:$Z72)=0,0,MAX(0,IF((AZ$6-$E$3)&lt;1,0,IFERROR(LOOKUP(2,1/(Algodão!$E72:INDEX(Algodão!$E72:$Z72,MIN(AZ$6-$E$3,22))&lt;&gt;""),Algodão!$E72:INDEX(Algodão!$E72:$Z72,MIN(AZ$6-$E$3,22))),0))-IF($G$2,0,IF((AZ$6-$G$3)&lt;1,0,IFERROR(LOOKUP(2,1/(Algodão!$E72:INDEX(Algodão!$E72:$Z72,MIN(AZ$6-$G$3,22))&lt;&gt;""),Algodão!$E72:INDEX(Algodão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IF(COUNT(Algodão!$E73:$Z73)&gt;0,N(Algodão!$D73),0)</f>
        <v>0</v>
      </c>
      <c r="E75" s="27" t="n">
        <f aca="false">IF(COUNT(Algodão!$E73:$Z73)=0,0,MAX(0,IF((E$6-$E$3)&lt;1,0,IFERROR(LOOKUP(2,1/(Algodão!$E73:INDEX(Algodão!$E73:$Z73,MIN(E$6-$E$3,22))&lt;&gt;""),Algodão!$E73:INDEX(Algodão!$E73:$Z73,MIN(E$6-$E$3,22))),0))-IF($G$2,0,IF((E$6-$G$3)&lt;1,0,IFERROR(LOOKUP(2,1/(Algodão!$E73:INDEX(Algodão!$E73:$Z73,MIN(E$6-$G$3,22))&lt;&gt;""),Algodão!$E73:INDEX(Algodão!$E73:$Z73,MIN(E$6-$G$3,22))),0)))))</f>
        <v>0</v>
      </c>
      <c r="F75" s="27" t="n">
        <f aca="false">IF(COUNT(Algodão!$E73:$Z73)=0,0,MAX(0,IF((F$6-$E$3)&lt;1,0,IFERROR(LOOKUP(2,1/(Algodão!$E73:INDEX(Algodão!$E73:$Z73,MIN(F$6-$E$3,22))&lt;&gt;""),Algodão!$E73:INDEX(Algodão!$E73:$Z73,MIN(F$6-$E$3,22))),0))-IF($G$2,0,IF((F$6-$G$3)&lt;1,0,IFERROR(LOOKUP(2,1/(Algodão!$E73:INDEX(Algodão!$E73:$Z73,MIN(F$6-$G$3,22))&lt;&gt;""),Algodão!$E73:INDEX(Algodão!$E73:$Z73,MIN(F$6-$G$3,22))),0)))))</f>
        <v>0</v>
      </c>
      <c r="G75" s="27" t="n">
        <f aca="false">IF(COUNT(Algodão!$E73:$Z73)=0,0,MAX(0,IF((G$6-$E$3)&lt;1,0,IFERROR(LOOKUP(2,1/(Algodão!$E73:INDEX(Algodão!$E73:$Z73,MIN(G$6-$E$3,22))&lt;&gt;""),Algodão!$E73:INDEX(Algodão!$E73:$Z73,MIN(G$6-$E$3,22))),0))-IF($G$2,0,IF((G$6-$G$3)&lt;1,0,IFERROR(LOOKUP(2,1/(Algodão!$E73:INDEX(Algodão!$E73:$Z73,MIN(G$6-$G$3,22))&lt;&gt;""),Algodão!$E73:INDEX(Algodão!$E73:$Z73,MIN(G$6-$G$3,22))),0)))))</f>
        <v>0</v>
      </c>
      <c r="H75" s="27" t="n">
        <f aca="false">IF(COUNT(Algodão!$E73:$Z73)=0,0,MAX(0,IF((H$6-$E$3)&lt;1,0,IFERROR(LOOKUP(2,1/(Algodão!$E73:INDEX(Algodão!$E73:$Z73,MIN(H$6-$E$3,22))&lt;&gt;""),Algodão!$E73:INDEX(Algodão!$E73:$Z73,MIN(H$6-$E$3,22))),0))-IF($G$2,0,IF((H$6-$G$3)&lt;1,0,IFERROR(LOOKUP(2,1/(Algodão!$E73:INDEX(Algodão!$E73:$Z73,MIN(H$6-$G$3,22))&lt;&gt;""),Algodão!$E73:INDEX(Algodão!$E73:$Z73,MIN(H$6-$G$3,22))),0)))))</f>
        <v>0</v>
      </c>
      <c r="I75" s="27" t="n">
        <f aca="false">IF(COUNT(Algodão!$E73:$Z73)=0,0,MAX(0,IF((I$6-$E$3)&lt;1,0,IFERROR(LOOKUP(2,1/(Algodão!$E73:INDEX(Algodão!$E73:$Z73,MIN(I$6-$E$3,22))&lt;&gt;""),Algodão!$E73:INDEX(Algodão!$E73:$Z73,MIN(I$6-$E$3,22))),0))-IF($G$2,0,IF((I$6-$G$3)&lt;1,0,IFERROR(LOOKUP(2,1/(Algodão!$E73:INDEX(Algodão!$E73:$Z73,MIN(I$6-$G$3,22))&lt;&gt;""),Algodão!$E73:INDEX(Algodão!$E73:$Z73,MIN(I$6-$G$3,22))),0)))))</f>
        <v>0</v>
      </c>
      <c r="J75" s="27" t="n">
        <f aca="false">IF(COUNT(Algodão!$E73:$Z73)=0,0,MAX(0,IF((J$6-$E$3)&lt;1,0,IFERROR(LOOKUP(2,1/(Algodão!$E73:INDEX(Algodão!$E73:$Z73,MIN(J$6-$E$3,22))&lt;&gt;""),Algodão!$E73:INDEX(Algodão!$E73:$Z73,MIN(J$6-$E$3,22))),0))-IF($G$2,0,IF((J$6-$G$3)&lt;1,0,IFERROR(LOOKUP(2,1/(Algodão!$E73:INDEX(Algodão!$E73:$Z73,MIN(J$6-$G$3,22))&lt;&gt;""),Algodão!$E73:INDEX(Algodão!$E73:$Z73,MIN(J$6-$G$3,22))),0)))))</f>
        <v>0</v>
      </c>
      <c r="K75" s="27" t="n">
        <f aca="false">IF(COUNT(Algodão!$E73:$Z73)=0,0,MAX(0,IF((K$6-$E$3)&lt;1,0,IFERROR(LOOKUP(2,1/(Algodão!$E73:INDEX(Algodão!$E73:$Z73,MIN(K$6-$E$3,22))&lt;&gt;""),Algodão!$E73:INDEX(Algodão!$E73:$Z73,MIN(K$6-$E$3,22))),0))-IF($G$2,0,IF((K$6-$G$3)&lt;1,0,IFERROR(LOOKUP(2,1/(Algodão!$E73:INDEX(Algodão!$E73:$Z73,MIN(K$6-$G$3,22))&lt;&gt;""),Algodão!$E73:INDEX(Algodão!$E73:$Z73,MIN(K$6-$G$3,22))),0)))))</f>
        <v>0</v>
      </c>
      <c r="L75" s="27" t="n">
        <f aca="false">IF(COUNT(Algodão!$E73:$Z73)=0,0,MAX(0,IF((L$6-$E$3)&lt;1,0,IFERROR(LOOKUP(2,1/(Algodão!$E73:INDEX(Algodão!$E73:$Z73,MIN(L$6-$E$3,22))&lt;&gt;""),Algodão!$E73:INDEX(Algodão!$E73:$Z73,MIN(L$6-$E$3,22))),0))-IF($G$2,0,IF((L$6-$G$3)&lt;1,0,IFERROR(LOOKUP(2,1/(Algodão!$E73:INDEX(Algodão!$E73:$Z73,MIN(L$6-$G$3,22))&lt;&gt;""),Algodão!$E73:INDEX(Algodão!$E73:$Z73,MIN(L$6-$G$3,22))),0)))))</f>
        <v>0</v>
      </c>
      <c r="M75" s="27" t="n">
        <f aca="false">IF(COUNT(Algodão!$E73:$Z73)=0,0,MAX(0,IF((M$6-$E$3)&lt;1,0,IFERROR(LOOKUP(2,1/(Algodão!$E73:INDEX(Algodão!$E73:$Z73,MIN(M$6-$E$3,22))&lt;&gt;""),Algodão!$E73:INDEX(Algodão!$E73:$Z73,MIN(M$6-$E$3,22))),0))-IF($G$2,0,IF((M$6-$G$3)&lt;1,0,IFERROR(LOOKUP(2,1/(Algodão!$E73:INDEX(Algodão!$E73:$Z73,MIN(M$6-$G$3,22))&lt;&gt;""),Algodão!$E73:INDEX(Algodão!$E73:$Z73,MIN(M$6-$G$3,22))),0)))))</f>
        <v>0</v>
      </c>
      <c r="N75" s="27" t="n">
        <f aca="false">IF(COUNT(Algodão!$E73:$Z73)=0,0,MAX(0,IF((N$6-$E$3)&lt;1,0,IFERROR(LOOKUP(2,1/(Algodão!$E73:INDEX(Algodão!$E73:$Z73,MIN(N$6-$E$3,22))&lt;&gt;""),Algodão!$E73:INDEX(Algodão!$E73:$Z73,MIN(N$6-$E$3,22))),0))-IF($G$2,0,IF((N$6-$G$3)&lt;1,0,IFERROR(LOOKUP(2,1/(Algodão!$E73:INDEX(Algodão!$E73:$Z73,MIN(N$6-$G$3,22))&lt;&gt;""),Algodão!$E73:INDEX(Algodão!$E73:$Z73,MIN(N$6-$G$3,22))),0)))))</f>
        <v>0</v>
      </c>
      <c r="O75" s="27" t="n">
        <f aca="false">IF(COUNT(Algodão!$E73:$Z73)=0,0,MAX(0,IF((O$6-$E$3)&lt;1,0,IFERROR(LOOKUP(2,1/(Algodão!$E73:INDEX(Algodão!$E73:$Z73,MIN(O$6-$E$3,22))&lt;&gt;""),Algodão!$E73:INDEX(Algodão!$E73:$Z73,MIN(O$6-$E$3,22))),0))-IF($G$2,0,IF((O$6-$G$3)&lt;1,0,IFERROR(LOOKUP(2,1/(Algodão!$E73:INDEX(Algodão!$E73:$Z73,MIN(O$6-$G$3,22))&lt;&gt;""),Algodão!$E73:INDEX(Algodão!$E73:$Z73,MIN(O$6-$G$3,22))),0)))))</f>
        <v>0</v>
      </c>
      <c r="P75" s="27" t="n">
        <f aca="false">IF(COUNT(Algodão!$E73:$Z73)=0,0,MAX(0,IF((P$6-$E$3)&lt;1,0,IFERROR(LOOKUP(2,1/(Algodão!$E73:INDEX(Algodão!$E73:$Z73,MIN(P$6-$E$3,22))&lt;&gt;""),Algodão!$E73:INDEX(Algodão!$E73:$Z73,MIN(P$6-$E$3,22))),0))-IF($G$2,0,IF((P$6-$G$3)&lt;1,0,IFERROR(LOOKUP(2,1/(Algodão!$E73:INDEX(Algodão!$E73:$Z73,MIN(P$6-$G$3,22))&lt;&gt;""),Algodão!$E73:INDEX(Algodão!$E73:$Z73,MIN(P$6-$G$3,22))),0)))))</f>
        <v>0</v>
      </c>
      <c r="Q75" s="27" t="n">
        <f aca="false">IF(COUNT(Algodão!$E73:$Z73)=0,0,MAX(0,IF((Q$6-$E$3)&lt;1,0,IFERROR(LOOKUP(2,1/(Algodão!$E73:INDEX(Algodão!$E73:$Z73,MIN(Q$6-$E$3,22))&lt;&gt;""),Algodão!$E73:INDEX(Algodão!$E73:$Z73,MIN(Q$6-$E$3,22))),0))-IF($G$2,0,IF((Q$6-$G$3)&lt;1,0,IFERROR(LOOKUP(2,1/(Algodão!$E73:INDEX(Algodão!$E73:$Z73,MIN(Q$6-$G$3,22))&lt;&gt;""),Algodão!$E73:INDEX(Algodão!$E73:$Z73,MIN(Q$6-$G$3,22))),0)))))</f>
        <v>0</v>
      </c>
      <c r="R75" s="27" t="n">
        <f aca="false">IF(COUNT(Algodão!$E73:$Z73)=0,0,MAX(0,IF((R$6-$E$3)&lt;1,0,IFERROR(LOOKUP(2,1/(Algodão!$E73:INDEX(Algodão!$E73:$Z73,MIN(R$6-$E$3,22))&lt;&gt;""),Algodão!$E73:INDEX(Algodão!$E73:$Z73,MIN(R$6-$E$3,22))),0))-IF($G$2,0,IF((R$6-$G$3)&lt;1,0,IFERROR(LOOKUP(2,1/(Algodão!$E73:INDEX(Algodão!$E73:$Z73,MIN(R$6-$G$3,22))&lt;&gt;""),Algodão!$E73:INDEX(Algodão!$E73:$Z73,MIN(R$6-$G$3,22))),0)))))</f>
        <v>0</v>
      </c>
      <c r="S75" s="27" t="n">
        <f aca="false">IF(COUNT(Algodão!$E73:$Z73)=0,0,MAX(0,IF((S$6-$E$3)&lt;1,0,IFERROR(LOOKUP(2,1/(Algodão!$E73:INDEX(Algodão!$E73:$Z73,MIN(S$6-$E$3,22))&lt;&gt;""),Algodão!$E73:INDEX(Algodão!$E73:$Z73,MIN(S$6-$E$3,22))),0))-IF($G$2,0,IF((S$6-$G$3)&lt;1,0,IFERROR(LOOKUP(2,1/(Algodão!$E73:INDEX(Algodão!$E73:$Z73,MIN(S$6-$G$3,22))&lt;&gt;""),Algodão!$E73:INDEX(Algodão!$E73:$Z73,MIN(S$6-$G$3,22))),0)))))</f>
        <v>0</v>
      </c>
      <c r="T75" s="27" t="n">
        <f aca="false">IF(COUNT(Algodão!$E73:$Z73)=0,0,MAX(0,IF((T$6-$E$3)&lt;1,0,IFERROR(LOOKUP(2,1/(Algodão!$E73:INDEX(Algodão!$E73:$Z73,MIN(T$6-$E$3,22))&lt;&gt;""),Algodão!$E73:INDEX(Algodão!$E73:$Z73,MIN(T$6-$E$3,22))),0))-IF($G$2,0,IF((T$6-$G$3)&lt;1,0,IFERROR(LOOKUP(2,1/(Algodão!$E73:INDEX(Algodão!$E73:$Z73,MIN(T$6-$G$3,22))&lt;&gt;""),Algodão!$E73:INDEX(Algodão!$E73:$Z73,MIN(T$6-$G$3,22))),0)))))</f>
        <v>0</v>
      </c>
      <c r="U75" s="27" t="n">
        <f aca="false">IF(COUNT(Algodão!$E73:$Z73)=0,0,MAX(0,IF((U$6-$E$3)&lt;1,0,IFERROR(LOOKUP(2,1/(Algodão!$E73:INDEX(Algodão!$E73:$Z73,MIN(U$6-$E$3,22))&lt;&gt;""),Algodão!$E73:INDEX(Algodão!$E73:$Z73,MIN(U$6-$E$3,22))),0))-IF($G$2,0,IF((U$6-$G$3)&lt;1,0,IFERROR(LOOKUP(2,1/(Algodão!$E73:INDEX(Algodão!$E73:$Z73,MIN(U$6-$G$3,22))&lt;&gt;""),Algodão!$E73:INDEX(Algodão!$E73:$Z73,MIN(U$6-$G$3,22))),0)))))</f>
        <v>0</v>
      </c>
      <c r="V75" s="27" t="n">
        <f aca="false">IF(COUNT(Algodão!$E73:$Z73)=0,0,MAX(0,IF((V$6-$E$3)&lt;1,0,IFERROR(LOOKUP(2,1/(Algodão!$E73:INDEX(Algodão!$E73:$Z73,MIN(V$6-$E$3,22))&lt;&gt;""),Algodão!$E73:INDEX(Algodão!$E73:$Z73,MIN(V$6-$E$3,22))),0))-IF($G$2,0,IF((V$6-$G$3)&lt;1,0,IFERROR(LOOKUP(2,1/(Algodão!$E73:INDEX(Algodão!$E73:$Z73,MIN(V$6-$G$3,22))&lt;&gt;""),Algodão!$E73:INDEX(Algodão!$E73:$Z73,MIN(V$6-$G$3,22))),0)))))</f>
        <v>0</v>
      </c>
      <c r="W75" s="27" t="n">
        <f aca="false">IF(COUNT(Algodão!$E73:$Z73)=0,0,MAX(0,IF((W$6-$E$3)&lt;1,0,IFERROR(LOOKUP(2,1/(Algodão!$E73:INDEX(Algodão!$E73:$Z73,MIN(W$6-$E$3,22))&lt;&gt;""),Algodão!$E73:INDEX(Algodão!$E73:$Z73,MIN(W$6-$E$3,22))),0))-IF($G$2,0,IF((W$6-$G$3)&lt;1,0,IFERROR(LOOKUP(2,1/(Algodão!$E73:INDEX(Algodão!$E73:$Z73,MIN(W$6-$G$3,22))&lt;&gt;""),Algodão!$E73:INDEX(Algodão!$E73:$Z73,MIN(W$6-$G$3,22))),0)))))</f>
        <v>0</v>
      </c>
      <c r="X75" s="27" t="n">
        <f aca="false">IF(COUNT(Algodão!$E73:$Z73)=0,0,MAX(0,IF((X$6-$E$3)&lt;1,0,IFERROR(LOOKUP(2,1/(Algodão!$E73:INDEX(Algodão!$E73:$Z73,MIN(X$6-$E$3,22))&lt;&gt;""),Algodão!$E73:INDEX(Algodão!$E73:$Z73,MIN(X$6-$E$3,22))),0))-IF($G$2,0,IF((X$6-$G$3)&lt;1,0,IFERROR(LOOKUP(2,1/(Algodão!$E73:INDEX(Algodão!$E73:$Z73,MIN(X$6-$G$3,22))&lt;&gt;""),Algodão!$E73:INDEX(Algodão!$E73:$Z73,MIN(X$6-$G$3,22))),0)))))</f>
        <v>0</v>
      </c>
      <c r="Y75" s="27" t="n">
        <f aca="false">IF(COUNT(Algodão!$E73:$Z73)=0,0,MAX(0,IF((Y$6-$E$3)&lt;1,0,IFERROR(LOOKUP(2,1/(Algodão!$E73:INDEX(Algodão!$E73:$Z73,MIN(Y$6-$E$3,22))&lt;&gt;""),Algodão!$E73:INDEX(Algodão!$E73:$Z73,MIN(Y$6-$E$3,22))),0))-IF($G$2,0,IF((Y$6-$G$3)&lt;1,0,IFERROR(LOOKUP(2,1/(Algodão!$E73:INDEX(Algodão!$E73:$Z73,MIN(Y$6-$G$3,22))&lt;&gt;""),Algodão!$E73:INDEX(Algodão!$E73:$Z73,MIN(Y$6-$G$3,22))),0)))))</f>
        <v>0</v>
      </c>
      <c r="Z75" s="27" t="n">
        <f aca="false">IF(COUNT(Algodão!$E73:$Z73)=0,0,MAX(0,IF((Z$6-$E$3)&lt;1,0,IFERROR(LOOKUP(2,1/(Algodão!$E73:INDEX(Algodão!$E73:$Z73,MIN(Z$6-$E$3,22))&lt;&gt;""),Algodão!$E73:INDEX(Algodão!$E73:$Z73,MIN(Z$6-$E$3,22))),0))-IF($G$2,0,IF((Z$6-$G$3)&lt;1,0,IFERROR(LOOKUP(2,1/(Algodão!$E73:INDEX(Algodão!$E73:$Z73,MIN(Z$6-$G$3,22))&lt;&gt;""),Algodão!$E73:INDEX(Algodão!$E73:$Z73,MIN(Z$6-$G$3,22))),0)))))</f>
        <v>0</v>
      </c>
      <c r="AA75" s="27" t="n">
        <f aca="false">IF(COUNT(Algodão!$E73:$Z73)=0,0,MAX(0,IF((AA$6-$E$3)&lt;1,0,IFERROR(LOOKUP(2,1/(Algodão!$E73:INDEX(Algodão!$E73:$Z73,MIN(AA$6-$E$3,22))&lt;&gt;""),Algodão!$E73:INDEX(Algodão!$E73:$Z73,MIN(AA$6-$E$3,22))),0))-IF($G$2,0,IF((AA$6-$G$3)&lt;1,0,IFERROR(LOOKUP(2,1/(Algodão!$E73:INDEX(Algodão!$E73:$Z73,MIN(AA$6-$G$3,22))&lt;&gt;""),Algodão!$E73:INDEX(Algodão!$E73:$Z73,MIN(AA$6-$G$3,22))),0)))))</f>
        <v>0</v>
      </c>
      <c r="AB75" s="27" t="n">
        <f aca="false">IF(COUNT(Algodão!$E73:$Z73)=0,0,MAX(0,IF((AB$6-$E$3)&lt;1,0,IFERROR(LOOKUP(2,1/(Algodão!$E73:INDEX(Algodão!$E73:$Z73,MIN(AB$6-$E$3,22))&lt;&gt;""),Algodão!$E73:INDEX(Algodão!$E73:$Z73,MIN(AB$6-$E$3,22))),0))-IF($G$2,0,IF((AB$6-$G$3)&lt;1,0,IFERROR(LOOKUP(2,1/(Algodão!$E73:INDEX(Algodão!$E73:$Z73,MIN(AB$6-$G$3,22))&lt;&gt;""),Algodão!$E73:INDEX(Algodão!$E73:$Z73,MIN(AB$6-$G$3,22))),0)))))</f>
        <v>0</v>
      </c>
      <c r="AC75" s="27" t="n">
        <f aca="false">IF(COUNT(Algodão!$E73:$Z73)=0,0,MAX(0,IF((AC$6-$E$3)&lt;1,0,IFERROR(LOOKUP(2,1/(Algodão!$E73:INDEX(Algodão!$E73:$Z73,MIN(AC$6-$E$3,22))&lt;&gt;""),Algodão!$E73:INDEX(Algodão!$E73:$Z73,MIN(AC$6-$E$3,22))),0))-IF($G$2,0,IF((AC$6-$G$3)&lt;1,0,IFERROR(LOOKUP(2,1/(Algodão!$E73:INDEX(Algodão!$E73:$Z73,MIN(AC$6-$G$3,22))&lt;&gt;""),Algodão!$E73:INDEX(Algodão!$E73:$Z73,MIN(AC$6-$G$3,22))),0)))))</f>
        <v>0</v>
      </c>
      <c r="AD75" s="27" t="n">
        <f aca="false">IF(COUNT(Algodão!$E73:$Z73)=0,0,MAX(0,IF((AD$6-$E$3)&lt;1,0,IFERROR(LOOKUP(2,1/(Algodão!$E73:INDEX(Algodão!$E73:$Z73,MIN(AD$6-$E$3,22))&lt;&gt;""),Algodão!$E73:INDEX(Algodão!$E73:$Z73,MIN(AD$6-$E$3,22))),0))-IF($G$2,0,IF((AD$6-$G$3)&lt;1,0,IFERROR(LOOKUP(2,1/(Algodão!$E73:INDEX(Algodão!$E73:$Z73,MIN(AD$6-$G$3,22))&lt;&gt;""),Algodão!$E73:INDEX(Algodão!$E73:$Z73,MIN(AD$6-$G$3,22))),0)))))</f>
        <v>0</v>
      </c>
      <c r="AE75" s="27" t="n">
        <f aca="false">IF(COUNT(Algodão!$E73:$Z73)=0,0,MAX(0,IF((AE$6-$E$3)&lt;1,0,IFERROR(LOOKUP(2,1/(Algodão!$E73:INDEX(Algodão!$E73:$Z73,MIN(AE$6-$E$3,22))&lt;&gt;""),Algodão!$E73:INDEX(Algodão!$E73:$Z73,MIN(AE$6-$E$3,22))),0))-IF($G$2,0,IF((AE$6-$G$3)&lt;1,0,IFERROR(LOOKUP(2,1/(Algodão!$E73:INDEX(Algodão!$E73:$Z73,MIN(AE$6-$G$3,22))&lt;&gt;""),Algodão!$E73:INDEX(Algodão!$E73:$Z73,MIN(AE$6-$G$3,22))),0)))))</f>
        <v>0</v>
      </c>
      <c r="AF75" s="27" t="n">
        <f aca="false">IF(COUNT(Algodão!$E73:$Z73)=0,0,MAX(0,IF((AF$6-$E$3)&lt;1,0,IFERROR(LOOKUP(2,1/(Algodão!$E73:INDEX(Algodão!$E73:$Z73,MIN(AF$6-$E$3,22))&lt;&gt;""),Algodão!$E73:INDEX(Algodão!$E73:$Z73,MIN(AF$6-$E$3,22))),0))-IF($G$2,0,IF((AF$6-$G$3)&lt;1,0,IFERROR(LOOKUP(2,1/(Algodão!$E73:INDEX(Algodão!$E73:$Z73,MIN(AF$6-$G$3,22))&lt;&gt;""),Algodão!$E73:INDEX(Algodão!$E73:$Z73,MIN(AF$6-$G$3,22))),0)))))</f>
        <v>0</v>
      </c>
      <c r="AG75" s="27" t="n">
        <f aca="false">IF(COUNT(Algodão!$E73:$Z73)=0,0,MAX(0,IF((AG$6-$E$3)&lt;1,0,IFERROR(LOOKUP(2,1/(Algodão!$E73:INDEX(Algodão!$E73:$Z73,MIN(AG$6-$E$3,22))&lt;&gt;""),Algodão!$E73:INDEX(Algodão!$E73:$Z73,MIN(AG$6-$E$3,22))),0))-IF($G$2,0,IF((AG$6-$G$3)&lt;1,0,IFERROR(LOOKUP(2,1/(Algodão!$E73:INDEX(Algodão!$E73:$Z73,MIN(AG$6-$G$3,22))&lt;&gt;""),Algodão!$E73:INDEX(Algodão!$E73:$Z73,MIN(AG$6-$G$3,22))),0)))))</f>
        <v>0</v>
      </c>
      <c r="AH75" s="27" t="n">
        <f aca="false">IF(COUNT(Algodão!$E73:$Z73)=0,0,MAX(0,IF((AH$6-$E$3)&lt;1,0,IFERROR(LOOKUP(2,1/(Algodão!$E73:INDEX(Algodão!$E73:$Z73,MIN(AH$6-$E$3,22))&lt;&gt;""),Algodão!$E73:INDEX(Algodão!$E73:$Z73,MIN(AH$6-$E$3,22))),0))-IF($G$2,0,IF((AH$6-$G$3)&lt;1,0,IFERROR(LOOKUP(2,1/(Algodão!$E73:INDEX(Algodão!$E73:$Z73,MIN(AH$6-$G$3,22))&lt;&gt;""),Algodão!$E73:INDEX(Algodão!$E73:$Z73,MIN(AH$6-$G$3,22))),0)))))</f>
        <v>0</v>
      </c>
      <c r="AI75" s="27" t="n">
        <f aca="false">IF(COUNT(Algodão!$E73:$Z73)=0,0,MAX(0,IF((AI$6-$E$3)&lt;1,0,IFERROR(LOOKUP(2,1/(Algodão!$E73:INDEX(Algodão!$E73:$Z73,MIN(AI$6-$E$3,22))&lt;&gt;""),Algodão!$E73:INDEX(Algodão!$E73:$Z73,MIN(AI$6-$E$3,22))),0))-IF($G$2,0,IF((AI$6-$G$3)&lt;1,0,IFERROR(LOOKUP(2,1/(Algodão!$E73:INDEX(Algodão!$E73:$Z73,MIN(AI$6-$G$3,22))&lt;&gt;""),Algodão!$E73:INDEX(Algodão!$E73:$Z73,MIN(AI$6-$G$3,22))),0)))))</f>
        <v>0</v>
      </c>
      <c r="AJ75" s="27" t="n">
        <f aca="false">IF(COUNT(Algodão!$E73:$Z73)=0,0,MAX(0,IF((AJ$6-$E$3)&lt;1,0,IFERROR(LOOKUP(2,1/(Algodão!$E73:INDEX(Algodão!$E73:$Z73,MIN(AJ$6-$E$3,22))&lt;&gt;""),Algodão!$E73:INDEX(Algodão!$E73:$Z73,MIN(AJ$6-$E$3,22))),0))-IF($G$2,0,IF((AJ$6-$G$3)&lt;1,0,IFERROR(LOOKUP(2,1/(Algodão!$E73:INDEX(Algodão!$E73:$Z73,MIN(AJ$6-$G$3,22))&lt;&gt;""),Algodão!$E73:INDEX(Algodão!$E73:$Z73,MIN(AJ$6-$G$3,22))),0)))))</f>
        <v>0</v>
      </c>
      <c r="AK75" s="27" t="n">
        <f aca="false">IF(COUNT(Algodão!$E73:$Z73)=0,0,MAX(0,IF((AK$6-$E$3)&lt;1,0,IFERROR(LOOKUP(2,1/(Algodão!$E73:INDEX(Algodão!$E73:$Z73,MIN(AK$6-$E$3,22))&lt;&gt;""),Algodão!$E73:INDEX(Algodão!$E73:$Z73,MIN(AK$6-$E$3,22))),0))-IF($G$2,0,IF((AK$6-$G$3)&lt;1,0,IFERROR(LOOKUP(2,1/(Algodão!$E73:INDEX(Algodão!$E73:$Z73,MIN(AK$6-$G$3,22))&lt;&gt;""),Algodão!$E73:INDEX(Algodão!$E73:$Z73,MIN(AK$6-$G$3,22))),0)))))</f>
        <v>0</v>
      </c>
      <c r="AL75" s="27" t="n">
        <f aca="false">IF(COUNT(Algodão!$E73:$Z73)=0,0,MAX(0,IF((AL$6-$E$3)&lt;1,0,IFERROR(LOOKUP(2,1/(Algodão!$E73:INDEX(Algodão!$E73:$Z73,MIN(AL$6-$E$3,22))&lt;&gt;""),Algodão!$E73:INDEX(Algodão!$E73:$Z73,MIN(AL$6-$E$3,22))),0))-IF($G$2,0,IF((AL$6-$G$3)&lt;1,0,IFERROR(LOOKUP(2,1/(Algodão!$E73:INDEX(Algodão!$E73:$Z73,MIN(AL$6-$G$3,22))&lt;&gt;""),Algodão!$E73:INDEX(Algodão!$E73:$Z73,MIN(AL$6-$G$3,22))),0)))))</f>
        <v>0</v>
      </c>
      <c r="AM75" s="27" t="n">
        <f aca="false">IF(COUNT(Algodão!$E73:$Z73)=0,0,MAX(0,IF((AM$6-$E$3)&lt;1,0,IFERROR(LOOKUP(2,1/(Algodão!$E73:INDEX(Algodão!$E73:$Z73,MIN(AM$6-$E$3,22))&lt;&gt;""),Algodão!$E73:INDEX(Algodão!$E73:$Z73,MIN(AM$6-$E$3,22))),0))-IF($G$2,0,IF((AM$6-$G$3)&lt;1,0,IFERROR(LOOKUP(2,1/(Algodão!$E73:INDEX(Algodão!$E73:$Z73,MIN(AM$6-$G$3,22))&lt;&gt;""),Algodão!$E73:INDEX(Algodão!$E73:$Z73,MIN(AM$6-$G$3,22))),0)))))</f>
        <v>0</v>
      </c>
      <c r="AN75" s="27" t="n">
        <f aca="false">IF(COUNT(Algodão!$E73:$Z73)=0,0,MAX(0,IF((AN$6-$E$3)&lt;1,0,IFERROR(LOOKUP(2,1/(Algodão!$E73:INDEX(Algodão!$E73:$Z73,MIN(AN$6-$E$3,22))&lt;&gt;""),Algodão!$E73:INDEX(Algodão!$E73:$Z73,MIN(AN$6-$E$3,22))),0))-IF($G$2,0,IF((AN$6-$G$3)&lt;1,0,IFERROR(LOOKUP(2,1/(Algodão!$E73:INDEX(Algodão!$E73:$Z73,MIN(AN$6-$G$3,22))&lt;&gt;""),Algodão!$E73:INDEX(Algodão!$E73:$Z73,MIN(AN$6-$G$3,22))),0)))))</f>
        <v>0</v>
      </c>
      <c r="AO75" s="27" t="n">
        <f aca="false">IF(COUNT(Algodão!$E73:$Z73)=0,0,MAX(0,IF((AO$6-$E$3)&lt;1,0,IFERROR(LOOKUP(2,1/(Algodão!$E73:INDEX(Algodão!$E73:$Z73,MIN(AO$6-$E$3,22))&lt;&gt;""),Algodão!$E73:INDEX(Algodão!$E73:$Z73,MIN(AO$6-$E$3,22))),0))-IF($G$2,0,IF((AO$6-$G$3)&lt;1,0,IFERROR(LOOKUP(2,1/(Algodão!$E73:INDEX(Algodão!$E73:$Z73,MIN(AO$6-$G$3,22))&lt;&gt;""),Algodão!$E73:INDEX(Algodão!$E73:$Z73,MIN(AO$6-$G$3,22))),0)))))</f>
        <v>0</v>
      </c>
      <c r="AP75" s="27" t="n">
        <f aca="false">IF(COUNT(Algodão!$E73:$Z73)=0,0,MAX(0,IF((AP$6-$E$3)&lt;1,0,IFERROR(LOOKUP(2,1/(Algodão!$E73:INDEX(Algodão!$E73:$Z73,MIN(AP$6-$E$3,22))&lt;&gt;""),Algodão!$E73:INDEX(Algodão!$E73:$Z73,MIN(AP$6-$E$3,22))),0))-IF($G$2,0,IF((AP$6-$G$3)&lt;1,0,IFERROR(LOOKUP(2,1/(Algodão!$E73:INDEX(Algodão!$E73:$Z73,MIN(AP$6-$G$3,22))&lt;&gt;""),Algodão!$E73:INDEX(Algodão!$E73:$Z73,MIN(AP$6-$G$3,22))),0)))))</f>
        <v>0</v>
      </c>
      <c r="AQ75" s="27" t="n">
        <f aca="false">IF(COUNT(Algodão!$E73:$Z73)=0,0,MAX(0,IF((AQ$6-$E$3)&lt;1,0,IFERROR(LOOKUP(2,1/(Algodão!$E73:INDEX(Algodão!$E73:$Z73,MIN(AQ$6-$E$3,22))&lt;&gt;""),Algodão!$E73:INDEX(Algodão!$E73:$Z73,MIN(AQ$6-$E$3,22))),0))-IF($G$2,0,IF((AQ$6-$G$3)&lt;1,0,IFERROR(LOOKUP(2,1/(Algodão!$E73:INDEX(Algodão!$E73:$Z73,MIN(AQ$6-$G$3,22))&lt;&gt;""),Algodão!$E73:INDEX(Algodão!$E73:$Z73,MIN(AQ$6-$G$3,22))),0)))))</f>
        <v>0</v>
      </c>
      <c r="AR75" s="27" t="n">
        <f aca="false">IF(COUNT(Algodão!$E73:$Z73)=0,0,MAX(0,IF((AR$6-$E$3)&lt;1,0,IFERROR(LOOKUP(2,1/(Algodão!$E73:INDEX(Algodão!$E73:$Z73,MIN(AR$6-$E$3,22))&lt;&gt;""),Algodão!$E73:INDEX(Algodão!$E73:$Z73,MIN(AR$6-$E$3,22))),0))-IF($G$2,0,IF((AR$6-$G$3)&lt;1,0,IFERROR(LOOKUP(2,1/(Algodão!$E73:INDEX(Algodão!$E73:$Z73,MIN(AR$6-$G$3,22))&lt;&gt;""),Algodão!$E73:INDEX(Algodão!$E73:$Z73,MIN(AR$6-$G$3,22))),0)))))</f>
        <v>0</v>
      </c>
      <c r="AS75" s="27" t="n">
        <f aca="false">IF(COUNT(Algodão!$E73:$Z73)=0,0,MAX(0,IF((AS$6-$E$3)&lt;1,0,IFERROR(LOOKUP(2,1/(Algodão!$E73:INDEX(Algodão!$E73:$Z73,MIN(AS$6-$E$3,22))&lt;&gt;""),Algodão!$E73:INDEX(Algodão!$E73:$Z73,MIN(AS$6-$E$3,22))),0))-IF($G$2,0,IF((AS$6-$G$3)&lt;1,0,IFERROR(LOOKUP(2,1/(Algodão!$E73:INDEX(Algodão!$E73:$Z73,MIN(AS$6-$G$3,22))&lt;&gt;""),Algodão!$E73:INDEX(Algodão!$E73:$Z73,MIN(AS$6-$G$3,22))),0)))))</f>
        <v>0</v>
      </c>
      <c r="AT75" s="27" t="n">
        <f aca="false">IF(COUNT(Algodão!$E73:$Z73)=0,0,MAX(0,IF((AT$6-$E$3)&lt;1,0,IFERROR(LOOKUP(2,1/(Algodão!$E73:INDEX(Algodão!$E73:$Z73,MIN(AT$6-$E$3,22))&lt;&gt;""),Algodão!$E73:INDEX(Algodão!$E73:$Z73,MIN(AT$6-$E$3,22))),0))-IF($G$2,0,IF((AT$6-$G$3)&lt;1,0,IFERROR(LOOKUP(2,1/(Algodão!$E73:INDEX(Algodão!$E73:$Z73,MIN(AT$6-$G$3,22))&lt;&gt;""),Algodão!$E73:INDEX(Algodão!$E73:$Z73,MIN(AT$6-$G$3,22))),0)))))</f>
        <v>0</v>
      </c>
      <c r="AU75" s="27" t="n">
        <f aca="false">IF(COUNT(Algodão!$E73:$Z73)=0,0,MAX(0,IF((AU$6-$E$3)&lt;1,0,IFERROR(LOOKUP(2,1/(Algodão!$E73:INDEX(Algodão!$E73:$Z73,MIN(AU$6-$E$3,22))&lt;&gt;""),Algodão!$E73:INDEX(Algodão!$E73:$Z73,MIN(AU$6-$E$3,22))),0))-IF($G$2,0,IF((AU$6-$G$3)&lt;1,0,IFERROR(LOOKUP(2,1/(Algodão!$E73:INDEX(Algodão!$E73:$Z73,MIN(AU$6-$G$3,22))&lt;&gt;""),Algodão!$E73:INDEX(Algodão!$E73:$Z73,MIN(AU$6-$G$3,22))),0)))))</f>
        <v>0</v>
      </c>
      <c r="AV75" s="27" t="n">
        <f aca="false">IF(COUNT(Algodão!$E73:$Z73)=0,0,MAX(0,IF((AV$6-$E$3)&lt;1,0,IFERROR(LOOKUP(2,1/(Algodão!$E73:INDEX(Algodão!$E73:$Z73,MIN(AV$6-$E$3,22))&lt;&gt;""),Algodão!$E73:INDEX(Algodão!$E73:$Z73,MIN(AV$6-$E$3,22))),0))-IF($G$2,0,IF((AV$6-$G$3)&lt;1,0,IFERROR(LOOKUP(2,1/(Algodão!$E73:INDEX(Algodão!$E73:$Z73,MIN(AV$6-$G$3,22))&lt;&gt;""),Algodão!$E73:INDEX(Algodão!$E73:$Z73,MIN(AV$6-$G$3,22))),0)))))</f>
        <v>0</v>
      </c>
      <c r="AW75" s="27" t="n">
        <f aca="false">IF(COUNT(Algodão!$E73:$Z73)=0,0,MAX(0,IF((AW$6-$E$3)&lt;1,0,IFERROR(LOOKUP(2,1/(Algodão!$E73:INDEX(Algodão!$E73:$Z73,MIN(AW$6-$E$3,22))&lt;&gt;""),Algodão!$E73:INDEX(Algodão!$E73:$Z73,MIN(AW$6-$E$3,22))),0))-IF($G$2,0,IF((AW$6-$G$3)&lt;1,0,IFERROR(LOOKUP(2,1/(Algodão!$E73:INDEX(Algodão!$E73:$Z73,MIN(AW$6-$G$3,22))&lt;&gt;""),Algodão!$E73:INDEX(Algodão!$E73:$Z73,MIN(AW$6-$G$3,22))),0)))))</f>
        <v>0</v>
      </c>
      <c r="AX75" s="27" t="n">
        <f aca="false">IF(COUNT(Algodão!$E73:$Z73)=0,0,MAX(0,IF((AX$6-$E$3)&lt;1,0,IFERROR(LOOKUP(2,1/(Algodão!$E73:INDEX(Algodão!$E73:$Z73,MIN(AX$6-$E$3,22))&lt;&gt;""),Algodão!$E73:INDEX(Algodão!$E73:$Z73,MIN(AX$6-$E$3,22))),0))-IF($G$2,0,IF((AX$6-$G$3)&lt;1,0,IFERROR(LOOKUP(2,1/(Algodão!$E73:INDEX(Algodão!$E73:$Z73,MIN(AX$6-$G$3,22))&lt;&gt;""),Algodão!$E73:INDEX(Algodão!$E73:$Z73,MIN(AX$6-$G$3,22))),0)))))</f>
        <v>0</v>
      </c>
      <c r="AY75" s="27" t="n">
        <f aca="false">IF(COUNT(Algodão!$E73:$Z73)=0,0,MAX(0,IF((AY$6-$E$3)&lt;1,0,IFERROR(LOOKUP(2,1/(Algodão!$E73:INDEX(Algodão!$E73:$Z73,MIN(AY$6-$E$3,22))&lt;&gt;""),Algodão!$E73:INDEX(Algodão!$E73:$Z73,MIN(AY$6-$E$3,22))),0))-IF($G$2,0,IF((AY$6-$G$3)&lt;1,0,IFERROR(LOOKUP(2,1/(Algodão!$E73:INDEX(Algodão!$E73:$Z73,MIN(AY$6-$G$3,22))&lt;&gt;""),Algodão!$E73:INDEX(Algodão!$E73:$Z73,MIN(AY$6-$G$3,22))),0)))))</f>
        <v>0</v>
      </c>
      <c r="AZ75" s="27" t="n">
        <f aca="false">IF(COUNT(Algodão!$E73:$Z73)=0,0,MAX(0,IF((AZ$6-$E$3)&lt;1,0,IFERROR(LOOKUP(2,1/(Algodão!$E73:INDEX(Algodão!$E73:$Z73,MIN(AZ$6-$E$3,22))&lt;&gt;""),Algodão!$E73:INDEX(Algodão!$E73:$Z73,MIN(AZ$6-$E$3,22))),0))-IF($G$2,0,IF((AZ$6-$G$3)&lt;1,0,IFERROR(LOOKUP(2,1/(Algodão!$E73:INDEX(Algodão!$E73:$Z73,MIN(AZ$6-$G$3,22))&lt;&gt;""),Algodão!$E73:INDEX(Algodão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IF(COUNT(Algodão!$E74:$Z74)&gt;0,N(Algodão!$D74),0)</f>
        <v>0</v>
      </c>
      <c r="E76" s="27" t="n">
        <f aca="false">IF(COUNT(Algodão!$E74:$Z74)=0,0,MAX(0,IF((E$6-$E$3)&lt;1,0,IFERROR(LOOKUP(2,1/(Algodão!$E74:INDEX(Algodão!$E74:$Z74,MIN(E$6-$E$3,22))&lt;&gt;""),Algodão!$E74:INDEX(Algodão!$E74:$Z74,MIN(E$6-$E$3,22))),0))-IF($G$2,0,IF((E$6-$G$3)&lt;1,0,IFERROR(LOOKUP(2,1/(Algodão!$E74:INDEX(Algodão!$E74:$Z74,MIN(E$6-$G$3,22))&lt;&gt;""),Algodão!$E74:INDEX(Algodão!$E74:$Z74,MIN(E$6-$G$3,22))),0)))))</f>
        <v>0</v>
      </c>
      <c r="F76" s="27" t="n">
        <f aca="false">IF(COUNT(Algodão!$E74:$Z74)=0,0,MAX(0,IF((F$6-$E$3)&lt;1,0,IFERROR(LOOKUP(2,1/(Algodão!$E74:INDEX(Algodão!$E74:$Z74,MIN(F$6-$E$3,22))&lt;&gt;""),Algodão!$E74:INDEX(Algodão!$E74:$Z74,MIN(F$6-$E$3,22))),0))-IF($G$2,0,IF((F$6-$G$3)&lt;1,0,IFERROR(LOOKUP(2,1/(Algodão!$E74:INDEX(Algodão!$E74:$Z74,MIN(F$6-$G$3,22))&lt;&gt;""),Algodão!$E74:INDEX(Algodão!$E74:$Z74,MIN(F$6-$G$3,22))),0)))))</f>
        <v>0</v>
      </c>
      <c r="G76" s="27" t="n">
        <f aca="false">IF(COUNT(Algodão!$E74:$Z74)=0,0,MAX(0,IF((G$6-$E$3)&lt;1,0,IFERROR(LOOKUP(2,1/(Algodão!$E74:INDEX(Algodão!$E74:$Z74,MIN(G$6-$E$3,22))&lt;&gt;""),Algodão!$E74:INDEX(Algodão!$E74:$Z74,MIN(G$6-$E$3,22))),0))-IF($G$2,0,IF((G$6-$G$3)&lt;1,0,IFERROR(LOOKUP(2,1/(Algodão!$E74:INDEX(Algodão!$E74:$Z74,MIN(G$6-$G$3,22))&lt;&gt;""),Algodão!$E74:INDEX(Algodão!$E74:$Z74,MIN(G$6-$G$3,22))),0)))))</f>
        <v>0</v>
      </c>
      <c r="H76" s="27" t="n">
        <f aca="false">IF(COUNT(Algodão!$E74:$Z74)=0,0,MAX(0,IF((H$6-$E$3)&lt;1,0,IFERROR(LOOKUP(2,1/(Algodão!$E74:INDEX(Algodão!$E74:$Z74,MIN(H$6-$E$3,22))&lt;&gt;""),Algodão!$E74:INDEX(Algodão!$E74:$Z74,MIN(H$6-$E$3,22))),0))-IF($G$2,0,IF((H$6-$G$3)&lt;1,0,IFERROR(LOOKUP(2,1/(Algodão!$E74:INDEX(Algodão!$E74:$Z74,MIN(H$6-$G$3,22))&lt;&gt;""),Algodão!$E74:INDEX(Algodão!$E74:$Z74,MIN(H$6-$G$3,22))),0)))))</f>
        <v>0</v>
      </c>
      <c r="I76" s="27" t="n">
        <f aca="false">IF(COUNT(Algodão!$E74:$Z74)=0,0,MAX(0,IF((I$6-$E$3)&lt;1,0,IFERROR(LOOKUP(2,1/(Algodão!$E74:INDEX(Algodão!$E74:$Z74,MIN(I$6-$E$3,22))&lt;&gt;""),Algodão!$E74:INDEX(Algodão!$E74:$Z74,MIN(I$6-$E$3,22))),0))-IF($G$2,0,IF((I$6-$G$3)&lt;1,0,IFERROR(LOOKUP(2,1/(Algodão!$E74:INDEX(Algodão!$E74:$Z74,MIN(I$6-$G$3,22))&lt;&gt;""),Algodão!$E74:INDEX(Algodão!$E74:$Z74,MIN(I$6-$G$3,22))),0)))))</f>
        <v>0</v>
      </c>
      <c r="J76" s="27" t="n">
        <f aca="false">IF(COUNT(Algodão!$E74:$Z74)=0,0,MAX(0,IF((J$6-$E$3)&lt;1,0,IFERROR(LOOKUP(2,1/(Algodão!$E74:INDEX(Algodão!$E74:$Z74,MIN(J$6-$E$3,22))&lt;&gt;""),Algodão!$E74:INDEX(Algodão!$E74:$Z74,MIN(J$6-$E$3,22))),0))-IF($G$2,0,IF((J$6-$G$3)&lt;1,0,IFERROR(LOOKUP(2,1/(Algodão!$E74:INDEX(Algodão!$E74:$Z74,MIN(J$6-$G$3,22))&lt;&gt;""),Algodão!$E74:INDEX(Algodão!$E74:$Z74,MIN(J$6-$G$3,22))),0)))))</f>
        <v>0</v>
      </c>
      <c r="K76" s="27" t="n">
        <f aca="false">IF(COUNT(Algodão!$E74:$Z74)=0,0,MAX(0,IF((K$6-$E$3)&lt;1,0,IFERROR(LOOKUP(2,1/(Algodão!$E74:INDEX(Algodão!$E74:$Z74,MIN(K$6-$E$3,22))&lt;&gt;""),Algodão!$E74:INDEX(Algodão!$E74:$Z74,MIN(K$6-$E$3,22))),0))-IF($G$2,0,IF((K$6-$G$3)&lt;1,0,IFERROR(LOOKUP(2,1/(Algodão!$E74:INDEX(Algodão!$E74:$Z74,MIN(K$6-$G$3,22))&lt;&gt;""),Algodão!$E74:INDEX(Algodão!$E74:$Z74,MIN(K$6-$G$3,22))),0)))))</f>
        <v>0</v>
      </c>
      <c r="L76" s="27" t="n">
        <f aca="false">IF(COUNT(Algodão!$E74:$Z74)=0,0,MAX(0,IF((L$6-$E$3)&lt;1,0,IFERROR(LOOKUP(2,1/(Algodão!$E74:INDEX(Algodão!$E74:$Z74,MIN(L$6-$E$3,22))&lt;&gt;""),Algodão!$E74:INDEX(Algodão!$E74:$Z74,MIN(L$6-$E$3,22))),0))-IF($G$2,0,IF((L$6-$G$3)&lt;1,0,IFERROR(LOOKUP(2,1/(Algodão!$E74:INDEX(Algodão!$E74:$Z74,MIN(L$6-$G$3,22))&lt;&gt;""),Algodão!$E74:INDEX(Algodão!$E74:$Z74,MIN(L$6-$G$3,22))),0)))))</f>
        <v>0</v>
      </c>
      <c r="M76" s="27" t="n">
        <f aca="false">IF(COUNT(Algodão!$E74:$Z74)=0,0,MAX(0,IF((M$6-$E$3)&lt;1,0,IFERROR(LOOKUP(2,1/(Algodão!$E74:INDEX(Algodão!$E74:$Z74,MIN(M$6-$E$3,22))&lt;&gt;""),Algodão!$E74:INDEX(Algodão!$E74:$Z74,MIN(M$6-$E$3,22))),0))-IF($G$2,0,IF((M$6-$G$3)&lt;1,0,IFERROR(LOOKUP(2,1/(Algodão!$E74:INDEX(Algodão!$E74:$Z74,MIN(M$6-$G$3,22))&lt;&gt;""),Algodão!$E74:INDEX(Algodão!$E74:$Z74,MIN(M$6-$G$3,22))),0)))))</f>
        <v>0</v>
      </c>
      <c r="N76" s="27" t="n">
        <f aca="false">IF(COUNT(Algodão!$E74:$Z74)=0,0,MAX(0,IF((N$6-$E$3)&lt;1,0,IFERROR(LOOKUP(2,1/(Algodão!$E74:INDEX(Algodão!$E74:$Z74,MIN(N$6-$E$3,22))&lt;&gt;""),Algodão!$E74:INDEX(Algodão!$E74:$Z74,MIN(N$6-$E$3,22))),0))-IF($G$2,0,IF((N$6-$G$3)&lt;1,0,IFERROR(LOOKUP(2,1/(Algodão!$E74:INDEX(Algodão!$E74:$Z74,MIN(N$6-$G$3,22))&lt;&gt;""),Algodão!$E74:INDEX(Algodão!$E74:$Z74,MIN(N$6-$G$3,22))),0)))))</f>
        <v>0</v>
      </c>
      <c r="O76" s="27" t="n">
        <f aca="false">IF(COUNT(Algodão!$E74:$Z74)=0,0,MAX(0,IF((O$6-$E$3)&lt;1,0,IFERROR(LOOKUP(2,1/(Algodão!$E74:INDEX(Algodão!$E74:$Z74,MIN(O$6-$E$3,22))&lt;&gt;""),Algodão!$E74:INDEX(Algodão!$E74:$Z74,MIN(O$6-$E$3,22))),0))-IF($G$2,0,IF((O$6-$G$3)&lt;1,0,IFERROR(LOOKUP(2,1/(Algodão!$E74:INDEX(Algodão!$E74:$Z74,MIN(O$6-$G$3,22))&lt;&gt;""),Algodão!$E74:INDEX(Algodão!$E74:$Z74,MIN(O$6-$G$3,22))),0)))))</f>
        <v>0</v>
      </c>
      <c r="P76" s="27" t="n">
        <f aca="false">IF(COUNT(Algodão!$E74:$Z74)=0,0,MAX(0,IF((P$6-$E$3)&lt;1,0,IFERROR(LOOKUP(2,1/(Algodão!$E74:INDEX(Algodão!$E74:$Z74,MIN(P$6-$E$3,22))&lt;&gt;""),Algodão!$E74:INDEX(Algodão!$E74:$Z74,MIN(P$6-$E$3,22))),0))-IF($G$2,0,IF((P$6-$G$3)&lt;1,0,IFERROR(LOOKUP(2,1/(Algodão!$E74:INDEX(Algodão!$E74:$Z74,MIN(P$6-$G$3,22))&lt;&gt;""),Algodão!$E74:INDEX(Algodão!$E74:$Z74,MIN(P$6-$G$3,22))),0)))))</f>
        <v>0</v>
      </c>
      <c r="Q76" s="27" t="n">
        <f aca="false">IF(COUNT(Algodão!$E74:$Z74)=0,0,MAX(0,IF((Q$6-$E$3)&lt;1,0,IFERROR(LOOKUP(2,1/(Algodão!$E74:INDEX(Algodão!$E74:$Z74,MIN(Q$6-$E$3,22))&lt;&gt;""),Algodão!$E74:INDEX(Algodão!$E74:$Z74,MIN(Q$6-$E$3,22))),0))-IF($G$2,0,IF((Q$6-$G$3)&lt;1,0,IFERROR(LOOKUP(2,1/(Algodão!$E74:INDEX(Algodão!$E74:$Z74,MIN(Q$6-$G$3,22))&lt;&gt;""),Algodão!$E74:INDEX(Algodão!$E74:$Z74,MIN(Q$6-$G$3,22))),0)))))</f>
        <v>0</v>
      </c>
      <c r="R76" s="27" t="n">
        <f aca="false">IF(COUNT(Algodão!$E74:$Z74)=0,0,MAX(0,IF((R$6-$E$3)&lt;1,0,IFERROR(LOOKUP(2,1/(Algodão!$E74:INDEX(Algodão!$E74:$Z74,MIN(R$6-$E$3,22))&lt;&gt;""),Algodão!$E74:INDEX(Algodão!$E74:$Z74,MIN(R$6-$E$3,22))),0))-IF($G$2,0,IF((R$6-$G$3)&lt;1,0,IFERROR(LOOKUP(2,1/(Algodão!$E74:INDEX(Algodão!$E74:$Z74,MIN(R$6-$G$3,22))&lt;&gt;""),Algodão!$E74:INDEX(Algodão!$E74:$Z74,MIN(R$6-$G$3,22))),0)))))</f>
        <v>0</v>
      </c>
      <c r="S76" s="27" t="n">
        <f aca="false">IF(COUNT(Algodão!$E74:$Z74)=0,0,MAX(0,IF((S$6-$E$3)&lt;1,0,IFERROR(LOOKUP(2,1/(Algodão!$E74:INDEX(Algodão!$E74:$Z74,MIN(S$6-$E$3,22))&lt;&gt;""),Algodão!$E74:INDEX(Algodão!$E74:$Z74,MIN(S$6-$E$3,22))),0))-IF($G$2,0,IF((S$6-$G$3)&lt;1,0,IFERROR(LOOKUP(2,1/(Algodão!$E74:INDEX(Algodão!$E74:$Z74,MIN(S$6-$G$3,22))&lt;&gt;""),Algodão!$E74:INDEX(Algodão!$E74:$Z74,MIN(S$6-$G$3,22))),0)))))</f>
        <v>0</v>
      </c>
      <c r="T76" s="27" t="n">
        <f aca="false">IF(COUNT(Algodão!$E74:$Z74)=0,0,MAX(0,IF((T$6-$E$3)&lt;1,0,IFERROR(LOOKUP(2,1/(Algodão!$E74:INDEX(Algodão!$E74:$Z74,MIN(T$6-$E$3,22))&lt;&gt;""),Algodão!$E74:INDEX(Algodão!$E74:$Z74,MIN(T$6-$E$3,22))),0))-IF($G$2,0,IF((T$6-$G$3)&lt;1,0,IFERROR(LOOKUP(2,1/(Algodão!$E74:INDEX(Algodão!$E74:$Z74,MIN(T$6-$G$3,22))&lt;&gt;""),Algodão!$E74:INDEX(Algodão!$E74:$Z74,MIN(T$6-$G$3,22))),0)))))</f>
        <v>0</v>
      </c>
      <c r="U76" s="27" t="n">
        <f aca="false">IF(COUNT(Algodão!$E74:$Z74)=0,0,MAX(0,IF((U$6-$E$3)&lt;1,0,IFERROR(LOOKUP(2,1/(Algodão!$E74:INDEX(Algodão!$E74:$Z74,MIN(U$6-$E$3,22))&lt;&gt;""),Algodão!$E74:INDEX(Algodão!$E74:$Z74,MIN(U$6-$E$3,22))),0))-IF($G$2,0,IF((U$6-$G$3)&lt;1,0,IFERROR(LOOKUP(2,1/(Algodão!$E74:INDEX(Algodão!$E74:$Z74,MIN(U$6-$G$3,22))&lt;&gt;""),Algodão!$E74:INDEX(Algodão!$E74:$Z74,MIN(U$6-$G$3,22))),0)))))</f>
        <v>0</v>
      </c>
      <c r="V76" s="27" t="n">
        <f aca="false">IF(COUNT(Algodão!$E74:$Z74)=0,0,MAX(0,IF((V$6-$E$3)&lt;1,0,IFERROR(LOOKUP(2,1/(Algodão!$E74:INDEX(Algodão!$E74:$Z74,MIN(V$6-$E$3,22))&lt;&gt;""),Algodão!$E74:INDEX(Algodão!$E74:$Z74,MIN(V$6-$E$3,22))),0))-IF($G$2,0,IF((V$6-$G$3)&lt;1,0,IFERROR(LOOKUP(2,1/(Algodão!$E74:INDEX(Algodão!$E74:$Z74,MIN(V$6-$G$3,22))&lt;&gt;""),Algodão!$E74:INDEX(Algodão!$E74:$Z74,MIN(V$6-$G$3,22))),0)))))</f>
        <v>0</v>
      </c>
      <c r="W76" s="27" t="n">
        <f aca="false">IF(COUNT(Algodão!$E74:$Z74)=0,0,MAX(0,IF((W$6-$E$3)&lt;1,0,IFERROR(LOOKUP(2,1/(Algodão!$E74:INDEX(Algodão!$E74:$Z74,MIN(W$6-$E$3,22))&lt;&gt;""),Algodão!$E74:INDEX(Algodão!$E74:$Z74,MIN(W$6-$E$3,22))),0))-IF($G$2,0,IF((W$6-$G$3)&lt;1,0,IFERROR(LOOKUP(2,1/(Algodão!$E74:INDEX(Algodão!$E74:$Z74,MIN(W$6-$G$3,22))&lt;&gt;""),Algodão!$E74:INDEX(Algodão!$E74:$Z74,MIN(W$6-$G$3,22))),0)))))</f>
        <v>0</v>
      </c>
      <c r="X76" s="27" t="n">
        <f aca="false">IF(COUNT(Algodão!$E74:$Z74)=0,0,MAX(0,IF((X$6-$E$3)&lt;1,0,IFERROR(LOOKUP(2,1/(Algodão!$E74:INDEX(Algodão!$E74:$Z74,MIN(X$6-$E$3,22))&lt;&gt;""),Algodão!$E74:INDEX(Algodão!$E74:$Z74,MIN(X$6-$E$3,22))),0))-IF($G$2,0,IF((X$6-$G$3)&lt;1,0,IFERROR(LOOKUP(2,1/(Algodão!$E74:INDEX(Algodão!$E74:$Z74,MIN(X$6-$G$3,22))&lt;&gt;""),Algodão!$E74:INDEX(Algodão!$E74:$Z74,MIN(X$6-$G$3,22))),0)))))</f>
        <v>0</v>
      </c>
      <c r="Y76" s="27" t="n">
        <f aca="false">IF(COUNT(Algodão!$E74:$Z74)=0,0,MAX(0,IF((Y$6-$E$3)&lt;1,0,IFERROR(LOOKUP(2,1/(Algodão!$E74:INDEX(Algodão!$E74:$Z74,MIN(Y$6-$E$3,22))&lt;&gt;""),Algodão!$E74:INDEX(Algodão!$E74:$Z74,MIN(Y$6-$E$3,22))),0))-IF($G$2,0,IF((Y$6-$G$3)&lt;1,0,IFERROR(LOOKUP(2,1/(Algodão!$E74:INDEX(Algodão!$E74:$Z74,MIN(Y$6-$G$3,22))&lt;&gt;""),Algodão!$E74:INDEX(Algodão!$E74:$Z74,MIN(Y$6-$G$3,22))),0)))))</f>
        <v>0</v>
      </c>
      <c r="Z76" s="27" t="n">
        <f aca="false">IF(COUNT(Algodão!$E74:$Z74)=0,0,MAX(0,IF((Z$6-$E$3)&lt;1,0,IFERROR(LOOKUP(2,1/(Algodão!$E74:INDEX(Algodão!$E74:$Z74,MIN(Z$6-$E$3,22))&lt;&gt;""),Algodão!$E74:INDEX(Algodão!$E74:$Z74,MIN(Z$6-$E$3,22))),0))-IF($G$2,0,IF((Z$6-$G$3)&lt;1,0,IFERROR(LOOKUP(2,1/(Algodão!$E74:INDEX(Algodão!$E74:$Z74,MIN(Z$6-$G$3,22))&lt;&gt;""),Algodão!$E74:INDEX(Algodão!$E74:$Z74,MIN(Z$6-$G$3,22))),0)))))</f>
        <v>0</v>
      </c>
      <c r="AA76" s="27" t="n">
        <f aca="false">IF(COUNT(Algodão!$E74:$Z74)=0,0,MAX(0,IF((AA$6-$E$3)&lt;1,0,IFERROR(LOOKUP(2,1/(Algodão!$E74:INDEX(Algodão!$E74:$Z74,MIN(AA$6-$E$3,22))&lt;&gt;""),Algodão!$E74:INDEX(Algodão!$E74:$Z74,MIN(AA$6-$E$3,22))),0))-IF($G$2,0,IF((AA$6-$G$3)&lt;1,0,IFERROR(LOOKUP(2,1/(Algodão!$E74:INDEX(Algodão!$E74:$Z74,MIN(AA$6-$G$3,22))&lt;&gt;""),Algodão!$E74:INDEX(Algodão!$E74:$Z74,MIN(AA$6-$G$3,22))),0)))))</f>
        <v>0</v>
      </c>
      <c r="AB76" s="27" t="n">
        <f aca="false">IF(COUNT(Algodão!$E74:$Z74)=0,0,MAX(0,IF((AB$6-$E$3)&lt;1,0,IFERROR(LOOKUP(2,1/(Algodão!$E74:INDEX(Algodão!$E74:$Z74,MIN(AB$6-$E$3,22))&lt;&gt;""),Algodão!$E74:INDEX(Algodão!$E74:$Z74,MIN(AB$6-$E$3,22))),0))-IF($G$2,0,IF((AB$6-$G$3)&lt;1,0,IFERROR(LOOKUP(2,1/(Algodão!$E74:INDEX(Algodão!$E74:$Z74,MIN(AB$6-$G$3,22))&lt;&gt;""),Algodão!$E74:INDEX(Algodão!$E74:$Z74,MIN(AB$6-$G$3,22))),0)))))</f>
        <v>0</v>
      </c>
      <c r="AC76" s="27" t="n">
        <f aca="false">IF(COUNT(Algodão!$E74:$Z74)=0,0,MAX(0,IF((AC$6-$E$3)&lt;1,0,IFERROR(LOOKUP(2,1/(Algodão!$E74:INDEX(Algodão!$E74:$Z74,MIN(AC$6-$E$3,22))&lt;&gt;""),Algodão!$E74:INDEX(Algodão!$E74:$Z74,MIN(AC$6-$E$3,22))),0))-IF($G$2,0,IF((AC$6-$G$3)&lt;1,0,IFERROR(LOOKUP(2,1/(Algodão!$E74:INDEX(Algodão!$E74:$Z74,MIN(AC$6-$G$3,22))&lt;&gt;""),Algodão!$E74:INDEX(Algodão!$E74:$Z74,MIN(AC$6-$G$3,22))),0)))))</f>
        <v>0</v>
      </c>
      <c r="AD76" s="27" t="n">
        <f aca="false">IF(COUNT(Algodão!$E74:$Z74)=0,0,MAX(0,IF((AD$6-$E$3)&lt;1,0,IFERROR(LOOKUP(2,1/(Algodão!$E74:INDEX(Algodão!$E74:$Z74,MIN(AD$6-$E$3,22))&lt;&gt;""),Algodão!$E74:INDEX(Algodão!$E74:$Z74,MIN(AD$6-$E$3,22))),0))-IF($G$2,0,IF((AD$6-$G$3)&lt;1,0,IFERROR(LOOKUP(2,1/(Algodão!$E74:INDEX(Algodão!$E74:$Z74,MIN(AD$6-$G$3,22))&lt;&gt;""),Algodão!$E74:INDEX(Algodão!$E74:$Z74,MIN(AD$6-$G$3,22))),0)))))</f>
        <v>0</v>
      </c>
      <c r="AE76" s="27" t="n">
        <f aca="false">IF(COUNT(Algodão!$E74:$Z74)=0,0,MAX(0,IF((AE$6-$E$3)&lt;1,0,IFERROR(LOOKUP(2,1/(Algodão!$E74:INDEX(Algodão!$E74:$Z74,MIN(AE$6-$E$3,22))&lt;&gt;""),Algodão!$E74:INDEX(Algodão!$E74:$Z74,MIN(AE$6-$E$3,22))),0))-IF($G$2,0,IF((AE$6-$G$3)&lt;1,0,IFERROR(LOOKUP(2,1/(Algodão!$E74:INDEX(Algodão!$E74:$Z74,MIN(AE$6-$G$3,22))&lt;&gt;""),Algodão!$E74:INDEX(Algodão!$E74:$Z74,MIN(AE$6-$G$3,22))),0)))))</f>
        <v>0</v>
      </c>
      <c r="AF76" s="27" t="n">
        <f aca="false">IF(COUNT(Algodão!$E74:$Z74)=0,0,MAX(0,IF((AF$6-$E$3)&lt;1,0,IFERROR(LOOKUP(2,1/(Algodão!$E74:INDEX(Algodão!$E74:$Z74,MIN(AF$6-$E$3,22))&lt;&gt;""),Algodão!$E74:INDEX(Algodão!$E74:$Z74,MIN(AF$6-$E$3,22))),0))-IF($G$2,0,IF((AF$6-$G$3)&lt;1,0,IFERROR(LOOKUP(2,1/(Algodão!$E74:INDEX(Algodão!$E74:$Z74,MIN(AF$6-$G$3,22))&lt;&gt;""),Algodão!$E74:INDEX(Algodão!$E74:$Z74,MIN(AF$6-$G$3,22))),0)))))</f>
        <v>0</v>
      </c>
      <c r="AG76" s="27" t="n">
        <f aca="false">IF(COUNT(Algodão!$E74:$Z74)=0,0,MAX(0,IF((AG$6-$E$3)&lt;1,0,IFERROR(LOOKUP(2,1/(Algodão!$E74:INDEX(Algodão!$E74:$Z74,MIN(AG$6-$E$3,22))&lt;&gt;""),Algodão!$E74:INDEX(Algodão!$E74:$Z74,MIN(AG$6-$E$3,22))),0))-IF($G$2,0,IF((AG$6-$G$3)&lt;1,0,IFERROR(LOOKUP(2,1/(Algodão!$E74:INDEX(Algodão!$E74:$Z74,MIN(AG$6-$G$3,22))&lt;&gt;""),Algodão!$E74:INDEX(Algodão!$E74:$Z74,MIN(AG$6-$G$3,22))),0)))))</f>
        <v>0</v>
      </c>
      <c r="AH76" s="27" t="n">
        <f aca="false">IF(COUNT(Algodão!$E74:$Z74)=0,0,MAX(0,IF((AH$6-$E$3)&lt;1,0,IFERROR(LOOKUP(2,1/(Algodão!$E74:INDEX(Algodão!$E74:$Z74,MIN(AH$6-$E$3,22))&lt;&gt;""),Algodão!$E74:INDEX(Algodão!$E74:$Z74,MIN(AH$6-$E$3,22))),0))-IF($G$2,0,IF((AH$6-$G$3)&lt;1,0,IFERROR(LOOKUP(2,1/(Algodão!$E74:INDEX(Algodão!$E74:$Z74,MIN(AH$6-$G$3,22))&lt;&gt;""),Algodão!$E74:INDEX(Algodão!$E74:$Z74,MIN(AH$6-$G$3,22))),0)))))</f>
        <v>0</v>
      </c>
      <c r="AI76" s="27" t="n">
        <f aca="false">IF(COUNT(Algodão!$E74:$Z74)=0,0,MAX(0,IF((AI$6-$E$3)&lt;1,0,IFERROR(LOOKUP(2,1/(Algodão!$E74:INDEX(Algodão!$E74:$Z74,MIN(AI$6-$E$3,22))&lt;&gt;""),Algodão!$E74:INDEX(Algodão!$E74:$Z74,MIN(AI$6-$E$3,22))),0))-IF($G$2,0,IF((AI$6-$G$3)&lt;1,0,IFERROR(LOOKUP(2,1/(Algodão!$E74:INDEX(Algodão!$E74:$Z74,MIN(AI$6-$G$3,22))&lt;&gt;""),Algodão!$E74:INDEX(Algodão!$E74:$Z74,MIN(AI$6-$G$3,22))),0)))))</f>
        <v>0</v>
      </c>
      <c r="AJ76" s="27" t="n">
        <f aca="false">IF(COUNT(Algodão!$E74:$Z74)=0,0,MAX(0,IF((AJ$6-$E$3)&lt;1,0,IFERROR(LOOKUP(2,1/(Algodão!$E74:INDEX(Algodão!$E74:$Z74,MIN(AJ$6-$E$3,22))&lt;&gt;""),Algodão!$E74:INDEX(Algodão!$E74:$Z74,MIN(AJ$6-$E$3,22))),0))-IF($G$2,0,IF((AJ$6-$G$3)&lt;1,0,IFERROR(LOOKUP(2,1/(Algodão!$E74:INDEX(Algodão!$E74:$Z74,MIN(AJ$6-$G$3,22))&lt;&gt;""),Algodão!$E74:INDEX(Algodão!$E74:$Z74,MIN(AJ$6-$G$3,22))),0)))))</f>
        <v>0</v>
      </c>
      <c r="AK76" s="27" t="n">
        <f aca="false">IF(COUNT(Algodão!$E74:$Z74)=0,0,MAX(0,IF((AK$6-$E$3)&lt;1,0,IFERROR(LOOKUP(2,1/(Algodão!$E74:INDEX(Algodão!$E74:$Z74,MIN(AK$6-$E$3,22))&lt;&gt;""),Algodão!$E74:INDEX(Algodão!$E74:$Z74,MIN(AK$6-$E$3,22))),0))-IF($G$2,0,IF((AK$6-$G$3)&lt;1,0,IFERROR(LOOKUP(2,1/(Algodão!$E74:INDEX(Algodão!$E74:$Z74,MIN(AK$6-$G$3,22))&lt;&gt;""),Algodão!$E74:INDEX(Algodão!$E74:$Z74,MIN(AK$6-$G$3,22))),0)))))</f>
        <v>0</v>
      </c>
      <c r="AL76" s="27" t="n">
        <f aca="false">IF(COUNT(Algodão!$E74:$Z74)=0,0,MAX(0,IF((AL$6-$E$3)&lt;1,0,IFERROR(LOOKUP(2,1/(Algodão!$E74:INDEX(Algodão!$E74:$Z74,MIN(AL$6-$E$3,22))&lt;&gt;""),Algodão!$E74:INDEX(Algodão!$E74:$Z74,MIN(AL$6-$E$3,22))),0))-IF($G$2,0,IF((AL$6-$G$3)&lt;1,0,IFERROR(LOOKUP(2,1/(Algodão!$E74:INDEX(Algodão!$E74:$Z74,MIN(AL$6-$G$3,22))&lt;&gt;""),Algodão!$E74:INDEX(Algodão!$E74:$Z74,MIN(AL$6-$G$3,22))),0)))))</f>
        <v>0</v>
      </c>
      <c r="AM76" s="27" t="n">
        <f aca="false">IF(COUNT(Algodão!$E74:$Z74)=0,0,MAX(0,IF((AM$6-$E$3)&lt;1,0,IFERROR(LOOKUP(2,1/(Algodão!$E74:INDEX(Algodão!$E74:$Z74,MIN(AM$6-$E$3,22))&lt;&gt;""),Algodão!$E74:INDEX(Algodão!$E74:$Z74,MIN(AM$6-$E$3,22))),0))-IF($G$2,0,IF((AM$6-$G$3)&lt;1,0,IFERROR(LOOKUP(2,1/(Algodão!$E74:INDEX(Algodão!$E74:$Z74,MIN(AM$6-$G$3,22))&lt;&gt;""),Algodão!$E74:INDEX(Algodão!$E74:$Z74,MIN(AM$6-$G$3,22))),0)))))</f>
        <v>0</v>
      </c>
      <c r="AN76" s="27" t="n">
        <f aca="false">IF(COUNT(Algodão!$E74:$Z74)=0,0,MAX(0,IF((AN$6-$E$3)&lt;1,0,IFERROR(LOOKUP(2,1/(Algodão!$E74:INDEX(Algodão!$E74:$Z74,MIN(AN$6-$E$3,22))&lt;&gt;""),Algodão!$E74:INDEX(Algodão!$E74:$Z74,MIN(AN$6-$E$3,22))),0))-IF($G$2,0,IF((AN$6-$G$3)&lt;1,0,IFERROR(LOOKUP(2,1/(Algodão!$E74:INDEX(Algodão!$E74:$Z74,MIN(AN$6-$G$3,22))&lt;&gt;""),Algodão!$E74:INDEX(Algodão!$E74:$Z74,MIN(AN$6-$G$3,22))),0)))))</f>
        <v>0</v>
      </c>
      <c r="AO76" s="27" t="n">
        <f aca="false">IF(COUNT(Algodão!$E74:$Z74)=0,0,MAX(0,IF((AO$6-$E$3)&lt;1,0,IFERROR(LOOKUP(2,1/(Algodão!$E74:INDEX(Algodão!$E74:$Z74,MIN(AO$6-$E$3,22))&lt;&gt;""),Algodão!$E74:INDEX(Algodão!$E74:$Z74,MIN(AO$6-$E$3,22))),0))-IF($G$2,0,IF((AO$6-$G$3)&lt;1,0,IFERROR(LOOKUP(2,1/(Algodão!$E74:INDEX(Algodão!$E74:$Z74,MIN(AO$6-$G$3,22))&lt;&gt;""),Algodão!$E74:INDEX(Algodão!$E74:$Z74,MIN(AO$6-$G$3,22))),0)))))</f>
        <v>0</v>
      </c>
      <c r="AP76" s="27" t="n">
        <f aca="false">IF(COUNT(Algodão!$E74:$Z74)=0,0,MAX(0,IF((AP$6-$E$3)&lt;1,0,IFERROR(LOOKUP(2,1/(Algodão!$E74:INDEX(Algodão!$E74:$Z74,MIN(AP$6-$E$3,22))&lt;&gt;""),Algodão!$E74:INDEX(Algodão!$E74:$Z74,MIN(AP$6-$E$3,22))),0))-IF($G$2,0,IF((AP$6-$G$3)&lt;1,0,IFERROR(LOOKUP(2,1/(Algodão!$E74:INDEX(Algodão!$E74:$Z74,MIN(AP$6-$G$3,22))&lt;&gt;""),Algodão!$E74:INDEX(Algodão!$E74:$Z74,MIN(AP$6-$G$3,22))),0)))))</f>
        <v>0</v>
      </c>
      <c r="AQ76" s="27" t="n">
        <f aca="false">IF(COUNT(Algodão!$E74:$Z74)=0,0,MAX(0,IF((AQ$6-$E$3)&lt;1,0,IFERROR(LOOKUP(2,1/(Algodão!$E74:INDEX(Algodão!$E74:$Z74,MIN(AQ$6-$E$3,22))&lt;&gt;""),Algodão!$E74:INDEX(Algodão!$E74:$Z74,MIN(AQ$6-$E$3,22))),0))-IF($G$2,0,IF((AQ$6-$G$3)&lt;1,0,IFERROR(LOOKUP(2,1/(Algodão!$E74:INDEX(Algodão!$E74:$Z74,MIN(AQ$6-$G$3,22))&lt;&gt;""),Algodão!$E74:INDEX(Algodão!$E74:$Z74,MIN(AQ$6-$G$3,22))),0)))))</f>
        <v>0</v>
      </c>
      <c r="AR76" s="27" t="n">
        <f aca="false">IF(COUNT(Algodão!$E74:$Z74)=0,0,MAX(0,IF((AR$6-$E$3)&lt;1,0,IFERROR(LOOKUP(2,1/(Algodão!$E74:INDEX(Algodão!$E74:$Z74,MIN(AR$6-$E$3,22))&lt;&gt;""),Algodão!$E74:INDEX(Algodão!$E74:$Z74,MIN(AR$6-$E$3,22))),0))-IF($G$2,0,IF((AR$6-$G$3)&lt;1,0,IFERROR(LOOKUP(2,1/(Algodão!$E74:INDEX(Algodão!$E74:$Z74,MIN(AR$6-$G$3,22))&lt;&gt;""),Algodão!$E74:INDEX(Algodão!$E74:$Z74,MIN(AR$6-$G$3,22))),0)))))</f>
        <v>0</v>
      </c>
      <c r="AS76" s="27" t="n">
        <f aca="false">IF(COUNT(Algodão!$E74:$Z74)=0,0,MAX(0,IF((AS$6-$E$3)&lt;1,0,IFERROR(LOOKUP(2,1/(Algodão!$E74:INDEX(Algodão!$E74:$Z74,MIN(AS$6-$E$3,22))&lt;&gt;""),Algodão!$E74:INDEX(Algodão!$E74:$Z74,MIN(AS$6-$E$3,22))),0))-IF($G$2,0,IF((AS$6-$G$3)&lt;1,0,IFERROR(LOOKUP(2,1/(Algodão!$E74:INDEX(Algodão!$E74:$Z74,MIN(AS$6-$G$3,22))&lt;&gt;""),Algodão!$E74:INDEX(Algodão!$E74:$Z74,MIN(AS$6-$G$3,22))),0)))))</f>
        <v>0</v>
      </c>
      <c r="AT76" s="27" t="n">
        <f aca="false">IF(COUNT(Algodão!$E74:$Z74)=0,0,MAX(0,IF((AT$6-$E$3)&lt;1,0,IFERROR(LOOKUP(2,1/(Algodão!$E74:INDEX(Algodão!$E74:$Z74,MIN(AT$6-$E$3,22))&lt;&gt;""),Algodão!$E74:INDEX(Algodão!$E74:$Z74,MIN(AT$6-$E$3,22))),0))-IF($G$2,0,IF((AT$6-$G$3)&lt;1,0,IFERROR(LOOKUP(2,1/(Algodão!$E74:INDEX(Algodão!$E74:$Z74,MIN(AT$6-$G$3,22))&lt;&gt;""),Algodão!$E74:INDEX(Algodão!$E74:$Z74,MIN(AT$6-$G$3,22))),0)))))</f>
        <v>0</v>
      </c>
      <c r="AU76" s="27" t="n">
        <f aca="false">IF(COUNT(Algodão!$E74:$Z74)=0,0,MAX(0,IF((AU$6-$E$3)&lt;1,0,IFERROR(LOOKUP(2,1/(Algodão!$E74:INDEX(Algodão!$E74:$Z74,MIN(AU$6-$E$3,22))&lt;&gt;""),Algodão!$E74:INDEX(Algodão!$E74:$Z74,MIN(AU$6-$E$3,22))),0))-IF($G$2,0,IF((AU$6-$G$3)&lt;1,0,IFERROR(LOOKUP(2,1/(Algodão!$E74:INDEX(Algodão!$E74:$Z74,MIN(AU$6-$G$3,22))&lt;&gt;""),Algodão!$E74:INDEX(Algodão!$E74:$Z74,MIN(AU$6-$G$3,22))),0)))))</f>
        <v>0</v>
      </c>
      <c r="AV76" s="27" t="n">
        <f aca="false">IF(COUNT(Algodão!$E74:$Z74)=0,0,MAX(0,IF((AV$6-$E$3)&lt;1,0,IFERROR(LOOKUP(2,1/(Algodão!$E74:INDEX(Algodão!$E74:$Z74,MIN(AV$6-$E$3,22))&lt;&gt;""),Algodão!$E74:INDEX(Algodão!$E74:$Z74,MIN(AV$6-$E$3,22))),0))-IF($G$2,0,IF((AV$6-$G$3)&lt;1,0,IFERROR(LOOKUP(2,1/(Algodão!$E74:INDEX(Algodão!$E74:$Z74,MIN(AV$6-$G$3,22))&lt;&gt;""),Algodão!$E74:INDEX(Algodão!$E74:$Z74,MIN(AV$6-$G$3,22))),0)))))</f>
        <v>0</v>
      </c>
      <c r="AW76" s="27" t="n">
        <f aca="false">IF(COUNT(Algodão!$E74:$Z74)=0,0,MAX(0,IF((AW$6-$E$3)&lt;1,0,IFERROR(LOOKUP(2,1/(Algodão!$E74:INDEX(Algodão!$E74:$Z74,MIN(AW$6-$E$3,22))&lt;&gt;""),Algodão!$E74:INDEX(Algodão!$E74:$Z74,MIN(AW$6-$E$3,22))),0))-IF($G$2,0,IF((AW$6-$G$3)&lt;1,0,IFERROR(LOOKUP(2,1/(Algodão!$E74:INDEX(Algodão!$E74:$Z74,MIN(AW$6-$G$3,22))&lt;&gt;""),Algodão!$E74:INDEX(Algodão!$E74:$Z74,MIN(AW$6-$G$3,22))),0)))))</f>
        <v>0</v>
      </c>
      <c r="AX76" s="27" t="n">
        <f aca="false">IF(COUNT(Algodão!$E74:$Z74)=0,0,MAX(0,IF((AX$6-$E$3)&lt;1,0,IFERROR(LOOKUP(2,1/(Algodão!$E74:INDEX(Algodão!$E74:$Z74,MIN(AX$6-$E$3,22))&lt;&gt;""),Algodão!$E74:INDEX(Algodão!$E74:$Z74,MIN(AX$6-$E$3,22))),0))-IF($G$2,0,IF((AX$6-$G$3)&lt;1,0,IFERROR(LOOKUP(2,1/(Algodão!$E74:INDEX(Algodão!$E74:$Z74,MIN(AX$6-$G$3,22))&lt;&gt;""),Algodão!$E74:INDEX(Algodão!$E74:$Z74,MIN(AX$6-$G$3,22))),0)))))</f>
        <v>0</v>
      </c>
      <c r="AY76" s="27" t="n">
        <f aca="false">IF(COUNT(Algodão!$E74:$Z74)=0,0,MAX(0,IF((AY$6-$E$3)&lt;1,0,IFERROR(LOOKUP(2,1/(Algodão!$E74:INDEX(Algodão!$E74:$Z74,MIN(AY$6-$E$3,22))&lt;&gt;""),Algodão!$E74:INDEX(Algodão!$E74:$Z74,MIN(AY$6-$E$3,22))),0))-IF($G$2,0,IF((AY$6-$G$3)&lt;1,0,IFERROR(LOOKUP(2,1/(Algodão!$E74:INDEX(Algodão!$E74:$Z74,MIN(AY$6-$G$3,22))&lt;&gt;""),Algodão!$E74:INDEX(Algodão!$E74:$Z74,MIN(AY$6-$G$3,22))),0)))))</f>
        <v>0</v>
      </c>
      <c r="AZ76" s="27" t="n">
        <f aca="false">IF(COUNT(Algodão!$E74:$Z74)=0,0,MAX(0,IF((AZ$6-$E$3)&lt;1,0,IFERROR(LOOKUP(2,1/(Algodão!$E74:INDEX(Algodão!$E74:$Z74,MIN(AZ$6-$E$3,22))&lt;&gt;""),Algodão!$E74:INDEX(Algodão!$E74:$Z74,MIN(AZ$6-$E$3,22))),0))-IF($G$2,0,IF((AZ$6-$G$3)&lt;1,0,IFERROR(LOOKUP(2,1/(Algodão!$E74:INDEX(Algodão!$E74:$Z74,MIN(AZ$6-$G$3,22))&lt;&gt;""),Algodão!$E74:INDEX(Algodão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IF(COUNT(Algodão!$E75:$Z75)&gt;0,N(Algodão!$D75),0)</f>
        <v>0</v>
      </c>
      <c r="E77" s="27" t="n">
        <f aca="false">IF(COUNT(Algodão!$E75:$Z75)=0,0,MAX(0,IF((E$6-$E$3)&lt;1,0,IFERROR(LOOKUP(2,1/(Algodão!$E75:INDEX(Algodão!$E75:$Z75,MIN(E$6-$E$3,22))&lt;&gt;""),Algodão!$E75:INDEX(Algodão!$E75:$Z75,MIN(E$6-$E$3,22))),0))-IF($G$2,0,IF((E$6-$G$3)&lt;1,0,IFERROR(LOOKUP(2,1/(Algodão!$E75:INDEX(Algodão!$E75:$Z75,MIN(E$6-$G$3,22))&lt;&gt;""),Algodão!$E75:INDEX(Algodão!$E75:$Z75,MIN(E$6-$G$3,22))),0)))))</f>
        <v>0</v>
      </c>
      <c r="F77" s="27" t="n">
        <f aca="false">IF(COUNT(Algodão!$E75:$Z75)=0,0,MAX(0,IF((F$6-$E$3)&lt;1,0,IFERROR(LOOKUP(2,1/(Algodão!$E75:INDEX(Algodão!$E75:$Z75,MIN(F$6-$E$3,22))&lt;&gt;""),Algodão!$E75:INDEX(Algodão!$E75:$Z75,MIN(F$6-$E$3,22))),0))-IF($G$2,0,IF((F$6-$G$3)&lt;1,0,IFERROR(LOOKUP(2,1/(Algodão!$E75:INDEX(Algodão!$E75:$Z75,MIN(F$6-$G$3,22))&lt;&gt;""),Algodão!$E75:INDEX(Algodão!$E75:$Z75,MIN(F$6-$G$3,22))),0)))))</f>
        <v>0</v>
      </c>
      <c r="G77" s="27" t="n">
        <f aca="false">IF(COUNT(Algodão!$E75:$Z75)=0,0,MAX(0,IF((G$6-$E$3)&lt;1,0,IFERROR(LOOKUP(2,1/(Algodão!$E75:INDEX(Algodão!$E75:$Z75,MIN(G$6-$E$3,22))&lt;&gt;""),Algodão!$E75:INDEX(Algodão!$E75:$Z75,MIN(G$6-$E$3,22))),0))-IF($G$2,0,IF((G$6-$G$3)&lt;1,0,IFERROR(LOOKUP(2,1/(Algodão!$E75:INDEX(Algodão!$E75:$Z75,MIN(G$6-$G$3,22))&lt;&gt;""),Algodão!$E75:INDEX(Algodão!$E75:$Z75,MIN(G$6-$G$3,22))),0)))))</f>
        <v>0</v>
      </c>
      <c r="H77" s="27" t="n">
        <f aca="false">IF(COUNT(Algodão!$E75:$Z75)=0,0,MAX(0,IF((H$6-$E$3)&lt;1,0,IFERROR(LOOKUP(2,1/(Algodão!$E75:INDEX(Algodão!$E75:$Z75,MIN(H$6-$E$3,22))&lt;&gt;""),Algodão!$E75:INDEX(Algodão!$E75:$Z75,MIN(H$6-$E$3,22))),0))-IF($G$2,0,IF((H$6-$G$3)&lt;1,0,IFERROR(LOOKUP(2,1/(Algodão!$E75:INDEX(Algodão!$E75:$Z75,MIN(H$6-$G$3,22))&lt;&gt;""),Algodão!$E75:INDEX(Algodão!$E75:$Z75,MIN(H$6-$G$3,22))),0)))))</f>
        <v>0</v>
      </c>
      <c r="I77" s="27" t="n">
        <f aca="false">IF(COUNT(Algodão!$E75:$Z75)=0,0,MAX(0,IF((I$6-$E$3)&lt;1,0,IFERROR(LOOKUP(2,1/(Algodão!$E75:INDEX(Algodão!$E75:$Z75,MIN(I$6-$E$3,22))&lt;&gt;""),Algodão!$E75:INDEX(Algodão!$E75:$Z75,MIN(I$6-$E$3,22))),0))-IF($G$2,0,IF((I$6-$G$3)&lt;1,0,IFERROR(LOOKUP(2,1/(Algodão!$E75:INDEX(Algodão!$E75:$Z75,MIN(I$6-$G$3,22))&lt;&gt;""),Algodão!$E75:INDEX(Algodão!$E75:$Z75,MIN(I$6-$G$3,22))),0)))))</f>
        <v>0</v>
      </c>
      <c r="J77" s="27" t="n">
        <f aca="false">IF(COUNT(Algodão!$E75:$Z75)=0,0,MAX(0,IF((J$6-$E$3)&lt;1,0,IFERROR(LOOKUP(2,1/(Algodão!$E75:INDEX(Algodão!$E75:$Z75,MIN(J$6-$E$3,22))&lt;&gt;""),Algodão!$E75:INDEX(Algodão!$E75:$Z75,MIN(J$6-$E$3,22))),0))-IF($G$2,0,IF((J$6-$G$3)&lt;1,0,IFERROR(LOOKUP(2,1/(Algodão!$E75:INDEX(Algodão!$E75:$Z75,MIN(J$6-$G$3,22))&lt;&gt;""),Algodão!$E75:INDEX(Algodão!$E75:$Z75,MIN(J$6-$G$3,22))),0)))))</f>
        <v>0</v>
      </c>
      <c r="K77" s="27" t="n">
        <f aca="false">IF(COUNT(Algodão!$E75:$Z75)=0,0,MAX(0,IF((K$6-$E$3)&lt;1,0,IFERROR(LOOKUP(2,1/(Algodão!$E75:INDEX(Algodão!$E75:$Z75,MIN(K$6-$E$3,22))&lt;&gt;""),Algodão!$E75:INDEX(Algodão!$E75:$Z75,MIN(K$6-$E$3,22))),0))-IF($G$2,0,IF((K$6-$G$3)&lt;1,0,IFERROR(LOOKUP(2,1/(Algodão!$E75:INDEX(Algodão!$E75:$Z75,MIN(K$6-$G$3,22))&lt;&gt;""),Algodão!$E75:INDEX(Algodão!$E75:$Z75,MIN(K$6-$G$3,22))),0)))))</f>
        <v>0</v>
      </c>
      <c r="L77" s="27" t="n">
        <f aca="false">IF(COUNT(Algodão!$E75:$Z75)=0,0,MAX(0,IF((L$6-$E$3)&lt;1,0,IFERROR(LOOKUP(2,1/(Algodão!$E75:INDEX(Algodão!$E75:$Z75,MIN(L$6-$E$3,22))&lt;&gt;""),Algodão!$E75:INDEX(Algodão!$E75:$Z75,MIN(L$6-$E$3,22))),0))-IF($G$2,0,IF((L$6-$G$3)&lt;1,0,IFERROR(LOOKUP(2,1/(Algodão!$E75:INDEX(Algodão!$E75:$Z75,MIN(L$6-$G$3,22))&lt;&gt;""),Algodão!$E75:INDEX(Algodão!$E75:$Z75,MIN(L$6-$G$3,22))),0)))))</f>
        <v>0</v>
      </c>
      <c r="M77" s="27" t="n">
        <f aca="false">IF(COUNT(Algodão!$E75:$Z75)=0,0,MAX(0,IF((M$6-$E$3)&lt;1,0,IFERROR(LOOKUP(2,1/(Algodão!$E75:INDEX(Algodão!$E75:$Z75,MIN(M$6-$E$3,22))&lt;&gt;""),Algodão!$E75:INDEX(Algodão!$E75:$Z75,MIN(M$6-$E$3,22))),0))-IF($G$2,0,IF((M$6-$G$3)&lt;1,0,IFERROR(LOOKUP(2,1/(Algodão!$E75:INDEX(Algodão!$E75:$Z75,MIN(M$6-$G$3,22))&lt;&gt;""),Algodão!$E75:INDEX(Algodão!$E75:$Z75,MIN(M$6-$G$3,22))),0)))))</f>
        <v>0</v>
      </c>
      <c r="N77" s="27" t="n">
        <f aca="false">IF(COUNT(Algodão!$E75:$Z75)=0,0,MAX(0,IF((N$6-$E$3)&lt;1,0,IFERROR(LOOKUP(2,1/(Algodão!$E75:INDEX(Algodão!$E75:$Z75,MIN(N$6-$E$3,22))&lt;&gt;""),Algodão!$E75:INDEX(Algodão!$E75:$Z75,MIN(N$6-$E$3,22))),0))-IF($G$2,0,IF((N$6-$G$3)&lt;1,0,IFERROR(LOOKUP(2,1/(Algodão!$E75:INDEX(Algodão!$E75:$Z75,MIN(N$6-$G$3,22))&lt;&gt;""),Algodão!$E75:INDEX(Algodão!$E75:$Z75,MIN(N$6-$G$3,22))),0)))))</f>
        <v>0</v>
      </c>
      <c r="O77" s="27" t="n">
        <f aca="false">IF(COUNT(Algodão!$E75:$Z75)=0,0,MAX(0,IF((O$6-$E$3)&lt;1,0,IFERROR(LOOKUP(2,1/(Algodão!$E75:INDEX(Algodão!$E75:$Z75,MIN(O$6-$E$3,22))&lt;&gt;""),Algodão!$E75:INDEX(Algodão!$E75:$Z75,MIN(O$6-$E$3,22))),0))-IF($G$2,0,IF((O$6-$G$3)&lt;1,0,IFERROR(LOOKUP(2,1/(Algodão!$E75:INDEX(Algodão!$E75:$Z75,MIN(O$6-$G$3,22))&lt;&gt;""),Algodão!$E75:INDEX(Algodão!$E75:$Z75,MIN(O$6-$G$3,22))),0)))))</f>
        <v>0</v>
      </c>
      <c r="P77" s="27" t="n">
        <f aca="false">IF(COUNT(Algodão!$E75:$Z75)=0,0,MAX(0,IF((P$6-$E$3)&lt;1,0,IFERROR(LOOKUP(2,1/(Algodão!$E75:INDEX(Algodão!$E75:$Z75,MIN(P$6-$E$3,22))&lt;&gt;""),Algodão!$E75:INDEX(Algodão!$E75:$Z75,MIN(P$6-$E$3,22))),0))-IF($G$2,0,IF((P$6-$G$3)&lt;1,0,IFERROR(LOOKUP(2,1/(Algodão!$E75:INDEX(Algodão!$E75:$Z75,MIN(P$6-$G$3,22))&lt;&gt;""),Algodão!$E75:INDEX(Algodão!$E75:$Z75,MIN(P$6-$G$3,22))),0)))))</f>
        <v>0</v>
      </c>
      <c r="Q77" s="27" t="n">
        <f aca="false">IF(COUNT(Algodão!$E75:$Z75)=0,0,MAX(0,IF((Q$6-$E$3)&lt;1,0,IFERROR(LOOKUP(2,1/(Algodão!$E75:INDEX(Algodão!$E75:$Z75,MIN(Q$6-$E$3,22))&lt;&gt;""),Algodão!$E75:INDEX(Algodão!$E75:$Z75,MIN(Q$6-$E$3,22))),0))-IF($G$2,0,IF((Q$6-$G$3)&lt;1,0,IFERROR(LOOKUP(2,1/(Algodão!$E75:INDEX(Algodão!$E75:$Z75,MIN(Q$6-$G$3,22))&lt;&gt;""),Algodão!$E75:INDEX(Algodão!$E75:$Z75,MIN(Q$6-$G$3,22))),0)))))</f>
        <v>0</v>
      </c>
      <c r="R77" s="27" t="n">
        <f aca="false">IF(COUNT(Algodão!$E75:$Z75)=0,0,MAX(0,IF((R$6-$E$3)&lt;1,0,IFERROR(LOOKUP(2,1/(Algodão!$E75:INDEX(Algodão!$E75:$Z75,MIN(R$6-$E$3,22))&lt;&gt;""),Algodão!$E75:INDEX(Algodão!$E75:$Z75,MIN(R$6-$E$3,22))),0))-IF($G$2,0,IF((R$6-$G$3)&lt;1,0,IFERROR(LOOKUP(2,1/(Algodão!$E75:INDEX(Algodão!$E75:$Z75,MIN(R$6-$G$3,22))&lt;&gt;""),Algodão!$E75:INDEX(Algodão!$E75:$Z75,MIN(R$6-$G$3,22))),0)))))</f>
        <v>0</v>
      </c>
      <c r="S77" s="27" t="n">
        <f aca="false">IF(COUNT(Algodão!$E75:$Z75)=0,0,MAX(0,IF((S$6-$E$3)&lt;1,0,IFERROR(LOOKUP(2,1/(Algodão!$E75:INDEX(Algodão!$E75:$Z75,MIN(S$6-$E$3,22))&lt;&gt;""),Algodão!$E75:INDEX(Algodão!$E75:$Z75,MIN(S$6-$E$3,22))),0))-IF($G$2,0,IF((S$6-$G$3)&lt;1,0,IFERROR(LOOKUP(2,1/(Algodão!$E75:INDEX(Algodão!$E75:$Z75,MIN(S$6-$G$3,22))&lt;&gt;""),Algodão!$E75:INDEX(Algodão!$E75:$Z75,MIN(S$6-$G$3,22))),0)))))</f>
        <v>0</v>
      </c>
      <c r="T77" s="27" t="n">
        <f aca="false">IF(COUNT(Algodão!$E75:$Z75)=0,0,MAX(0,IF((T$6-$E$3)&lt;1,0,IFERROR(LOOKUP(2,1/(Algodão!$E75:INDEX(Algodão!$E75:$Z75,MIN(T$6-$E$3,22))&lt;&gt;""),Algodão!$E75:INDEX(Algodão!$E75:$Z75,MIN(T$6-$E$3,22))),0))-IF($G$2,0,IF((T$6-$G$3)&lt;1,0,IFERROR(LOOKUP(2,1/(Algodão!$E75:INDEX(Algodão!$E75:$Z75,MIN(T$6-$G$3,22))&lt;&gt;""),Algodão!$E75:INDEX(Algodão!$E75:$Z75,MIN(T$6-$G$3,22))),0)))))</f>
        <v>0</v>
      </c>
      <c r="U77" s="27" t="n">
        <f aca="false">IF(COUNT(Algodão!$E75:$Z75)=0,0,MAX(0,IF((U$6-$E$3)&lt;1,0,IFERROR(LOOKUP(2,1/(Algodão!$E75:INDEX(Algodão!$E75:$Z75,MIN(U$6-$E$3,22))&lt;&gt;""),Algodão!$E75:INDEX(Algodão!$E75:$Z75,MIN(U$6-$E$3,22))),0))-IF($G$2,0,IF((U$6-$G$3)&lt;1,0,IFERROR(LOOKUP(2,1/(Algodão!$E75:INDEX(Algodão!$E75:$Z75,MIN(U$6-$G$3,22))&lt;&gt;""),Algodão!$E75:INDEX(Algodão!$E75:$Z75,MIN(U$6-$G$3,22))),0)))))</f>
        <v>0</v>
      </c>
      <c r="V77" s="27" t="n">
        <f aca="false">IF(COUNT(Algodão!$E75:$Z75)=0,0,MAX(0,IF((V$6-$E$3)&lt;1,0,IFERROR(LOOKUP(2,1/(Algodão!$E75:INDEX(Algodão!$E75:$Z75,MIN(V$6-$E$3,22))&lt;&gt;""),Algodão!$E75:INDEX(Algodão!$E75:$Z75,MIN(V$6-$E$3,22))),0))-IF($G$2,0,IF((V$6-$G$3)&lt;1,0,IFERROR(LOOKUP(2,1/(Algodão!$E75:INDEX(Algodão!$E75:$Z75,MIN(V$6-$G$3,22))&lt;&gt;""),Algodão!$E75:INDEX(Algodão!$E75:$Z75,MIN(V$6-$G$3,22))),0)))))</f>
        <v>0</v>
      </c>
      <c r="W77" s="27" t="n">
        <f aca="false">IF(COUNT(Algodão!$E75:$Z75)=0,0,MAX(0,IF((W$6-$E$3)&lt;1,0,IFERROR(LOOKUP(2,1/(Algodão!$E75:INDEX(Algodão!$E75:$Z75,MIN(W$6-$E$3,22))&lt;&gt;""),Algodão!$E75:INDEX(Algodão!$E75:$Z75,MIN(W$6-$E$3,22))),0))-IF($G$2,0,IF((W$6-$G$3)&lt;1,0,IFERROR(LOOKUP(2,1/(Algodão!$E75:INDEX(Algodão!$E75:$Z75,MIN(W$6-$G$3,22))&lt;&gt;""),Algodão!$E75:INDEX(Algodão!$E75:$Z75,MIN(W$6-$G$3,22))),0)))))</f>
        <v>0</v>
      </c>
      <c r="X77" s="27" t="n">
        <f aca="false">IF(COUNT(Algodão!$E75:$Z75)=0,0,MAX(0,IF((X$6-$E$3)&lt;1,0,IFERROR(LOOKUP(2,1/(Algodão!$E75:INDEX(Algodão!$E75:$Z75,MIN(X$6-$E$3,22))&lt;&gt;""),Algodão!$E75:INDEX(Algodão!$E75:$Z75,MIN(X$6-$E$3,22))),0))-IF($G$2,0,IF((X$6-$G$3)&lt;1,0,IFERROR(LOOKUP(2,1/(Algodão!$E75:INDEX(Algodão!$E75:$Z75,MIN(X$6-$G$3,22))&lt;&gt;""),Algodão!$E75:INDEX(Algodão!$E75:$Z75,MIN(X$6-$G$3,22))),0)))))</f>
        <v>0</v>
      </c>
      <c r="Y77" s="27" t="n">
        <f aca="false">IF(COUNT(Algodão!$E75:$Z75)=0,0,MAX(0,IF((Y$6-$E$3)&lt;1,0,IFERROR(LOOKUP(2,1/(Algodão!$E75:INDEX(Algodão!$E75:$Z75,MIN(Y$6-$E$3,22))&lt;&gt;""),Algodão!$E75:INDEX(Algodão!$E75:$Z75,MIN(Y$6-$E$3,22))),0))-IF($G$2,0,IF((Y$6-$G$3)&lt;1,0,IFERROR(LOOKUP(2,1/(Algodão!$E75:INDEX(Algodão!$E75:$Z75,MIN(Y$6-$G$3,22))&lt;&gt;""),Algodão!$E75:INDEX(Algodão!$E75:$Z75,MIN(Y$6-$G$3,22))),0)))))</f>
        <v>0</v>
      </c>
      <c r="Z77" s="27" t="n">
        <f aca="false">IF(COUNT(Algodão!$E75:$Z75)=0,0,MAX(0,IF((Z$6-$E$3)&lt;1,0,IFERROR(LOOKUP(2,1/(Algodão!$E75:INDEX(Algodão!$E75:$Z75,MIN(Z$6-$E$3,22))&lt;&gt;""),Algodão!$E75:INDEX(Algodão!$E75:$Z75,MIN(Z$6-$E$3,22))),0))-IF($G$2,0,IF((Z$6-$G$3)&lt;1,0,IFERROR(LOOKUP(2,1/(Algodão!$E75:INDEX(Algodão!$E75:$Z75,MIN(Z$6-$G$3,22))&lt;&gt;""),Algodão!$E75:INDEX(Algodão!$E75:$Z75,MIN(Z$6-$G$3,22))),0)))))</f>
        <v>0</v>
      </c>
      <c r="AA77" s="27" t="n">
        <f aca="false">IF(COUNT(Algodão!$E75:$Z75)=0,0,MAX(0,IF((AA$6-$E$3)&lt;1,0,IFERROR(LOOKUP(2,1/(Algodão!$E75:INDEX(Algodão!$E75:$Z75,MIN(AA$6-$E$3,22))&lt;&gt;""),Algodão!$E75:INDEX(Algodão!$E75:$Z75,MIN(AA$6-$E$3,22))),0))-IF($G$2,0,IF((AA$6-$G$3)&lt;1,0,IFERROR(LOOKUP(2,1/(Algodão!$E75:INDEX(Algodão!$E75:$Z75,MIN(AA$6-$G$3,22))&lt;&gt;""),Algodão!$E75:INDEX(Algodão!$E75:$Z75,MIN(AA$6-$G$3,22))),0)))))</f>
        <v>0</v>
      </c>
      <c r="AB77" s="27" t="n">
        <f aca="false">IF(COUNT(Algodão!$E75:$Z75)=0,0,MAX(0,IF((AB$6-$E$3)&lt;1,0,IFERROR(LOOKUP(2,1/(Algodão!$E75:INDEX(Algodão!$E75:$Z75,MIN(AB$6-$E$3,22))&lt;&gt;""),Algodão!$E75:INDEX(Algodão!$E75:$Z75,MIN(AB$6-$E$3,22))),0))-IF($G$2,0,IF((AB$6-$G$3)&lt;1,0,IFERROR(LOOKUP(2,1/(Algodão!$E75:INDEX(Algodão!$E75:$Z75,MIN(AB$6-$G$3,22))&lt;&gt;""),Algodão!$E75:INDEX(Algodão!$E75:$Z75,MIN(AB$6-$G$3,22))),0)))))</f>
        <v>0</v>
      </c>
      <c r="AC77" s="27" t="n">
        <f aca="false">IF(COUNT(Algodão!$E75:$Z75)=0,0,MAX(0,IF((AC$6-$E$3)&lt;1,0,IFERROR(LOOKUP(2,1/(Algodão!$E75:INDEX(Algodão!$E75:$Z75,MIN(AC$6-$E$3,22))&lt;&gt;""),Algodão!$E75:INDEX(Algodão!$E75:$Z75,MIN(AC$6-$E$3,22))),0))-IF($G$2,0,IF((AC$6-$G$3)&lt;1,0,IFERROR(LOOKUP(2,1/(Algodão!$E75:INDEX(Algodão!$E75:$Z75,MIN(AC$6-$G$3,22))&lt;&gt;""),Algodão!$E75:INDEX(Algodão!$E75:$Z75,MIN(AC$6-$G$3,22))),0)))))</f>
        <v>0</v>
      </c>
      <c r="AD77" s="27" t="n">
        <f aca="false">IF(COUNT(Algodão!$E75:$Z75)=0,0,MAX(0,IF((AD$6-$E$3)&lt;1,0,IFERROR(LOOKUP(2,1/(Algodão!$E75:INDEX(Algodão!$E75:$Z75,MIN(AD$6-$E$3,22))&lt;&gt;""),Algodão!$E75:INDEX(Algodão!$E75:$Z75,MIN(AD$6-$E$3,22))),0))-IF($G$2,0,IF((AD$6-$G$3)&lt;1,0,IFERROR(LOOKUP(2,1/(Algodão!$E75:INDEX(Algodão!$E75:$Z75,MIN(AD$6-$G$3,22))&lt;&gt;""),Algodão!$E75:INDEX(Algodão!$E75:$Z75,MIN(AD$6-$G$3,22))),0)))))</f>
        <v>0</v>
      </c>
      <c r="AE77" s="27" t="n">
        <f aca="false">IF(COUNT(Algodão!$E75:$Z75)=0,0,MAX(0,IF((AE$6-$E$3)&lt;1,0,IFERROR(LOOKUP(2,1/(Algodão!$E75:INDEX(Algodão!$E75:$Z75,MIN(AE$6-$E$3,22))&lt;&gt;""),Algodão!$E75:INDEX(Algodão!$E75:$Z75,MIN(AE$6-$E$3,22))),0))-IF($G$2,0,IF((AE$6-$G$3)&lt;1,0,IFERROR(LOOKUP(2,1/(Algodão!$E75:INDEX(Algodão!$E75:$Z75,MIN(AE$6-$G$3,22))&lt;&gt;""),Algodão!$E75:INDEX(Algodão!$E75:$Z75,MIN(AE$6-$G$3,22))),0)))))</f>
        <v>0</v>
      </c>
      <c r="AF77" s="27" t="n">
        <f aca="false">IF(COUNT(Algodão!$E75:$Z75)=0,0,MAX(0,IF((AF$6-$E$3)&lt;1,0,IFERROR(LOOKUP(2,1/(Algodão!$E75:INDEX(Algodão!$E75:$Z75,MIN(AF$6-$E$3,22))&lt;&gt;""),Algodão!$E75:INDEX(Algodão!$E75:$Z75,MIN(AF$6-$E$3,22))),0))-IF($G$2,0,IF((AF$6-$G$3)&lt;1,0,IFERROR(LOOKUP(2,1/(Algodão!$E75:INDEX(Algodão!$E75:$Z75,MIN(AF$6-$G$3,22))&lt;&gt;""),Algodão!$E75:INDEX(Algodão!$E75:$Z75,MIN(AF$6-$G$3,22))),0)))))</f>
        <v>0</v>
      </c>
      <c r="AG77" s="27" t="n">
        <f aca="false">IF(COUNT(Algodão!$E75:$Z75)=0,0,MAX(0,IF((AG$6-$E$3)&lt;1,0,IFERROR(LOOKUP(2,1/(Algodão!$E75:INDEX(Algodão!$E75:$Z75,MIN(AG$6-$E$3,22))&lt;&gt;""),Algodão!$E75:INDEX(Algodão!$E75:$Z75,MIN(AG$6-$E$3,22))),0))-IF($G$2,0,IF((AG$6-$G$3)&lt;1,0,IFERROR(LOOKUP(2,1/(Algodão!$E75:INDEX(Algodão!$E75:$Z75,MIN(AG$6-$G$3,22))&lt;&gt;""),Algodão!$E75:INDEX(Algodão!$E75:$Z75,MIN(AG$6-$G$3,22))),0)))))</f>
        <v>0</v>
      </c>
      <c r="AH77" s="27" t="n">
        <f aca="false">IF(COUNT(Algodão!$E75:$Z75)=0,0,MAX(0,IF((AH$6-$E$3)&lt;1,0,IFERROR(LOOKUP(2,1/(Algodão!$E75:INDEX(Algodão!$E75:$Z75,MIN(AH$6-$E$3,22))&lt;&gt;""),Algodão!$E75:INDEX(Algodão!$E75:$Z75,MIN(AH$6-$E$3,22))),0))-IF($G$2,0,IF((AH$6-$G$3)&lt;1,0,IFERROR(LOOKUP(2,1/(Algodão!$E75:INDEX(Algodão!$E75:$Z75,MIN(AH$6-$G$3,22))&lt;&gt;""),Algodão!$E75:INDEX(Algodão!$E75:$Z75,MIN(AH$6-$G$3,22))),0)))))</f>
        <v>0</v>
      </c>
      <c r="AI77" s="27" t="n">
        <f aca="false">IF(COUNT(Algodão!$E75:$Z75)=0,0,MAX(0,IF((AI$6-$E$3)&lt;1,0,IFERROR(LOOKUP(2,1/(Algodão!$E75:INDEX(Algodão!$E75:$Z75,MIN(AI$6-$E$3,22))&lt;&gt;""),Algodão!$E75:INDEX(Algodão!$E75:$Z75,MIN(AI$6-$E$3,22))),0))-IF($G$2,0,IF((AI$6-$G$3)&lt;1,0,IFERROR(LOOKUP(2,1/(Algodão!$E75:INDEX(Algodão!$E75:$Z75,MIN(AI$6-$G$3,22))&lt;&gt;""),Algodão!$E75:INDEX(Algodão!$E75:$Z75,MIN(AI$6-$G$3,22))),0)))))</f>
        <v>0</v>
      </c>
      <c r="AJ77" s="27" t="n">
        <f aca="false">IF(COUNT(Algodão!$E75:$Z75)=0,0,MAX(0,IF((AJ$6-$E$3)&lt;1,0,IFERROR(LOOKUP(2,1/(Algodão!$E75:INDEX(Algodão!$E75:$Z75,MIN(AJ$6-$E$3,22))&lt;&gt;""),Algodão!$E75:INDEX(Algodão!$E75:$Z75,MIN(AJ$6-$E$3,22))),0))-IF($G$2,0,IF((AJ$6-$G$3)&lt;1,0,IFERROR(LOOKUP(2,1/(Algodão!$E75:INDEX(Algodão!$E75:$Z75,MIN(AJ$6-$G$3,22))&lt;&gt;""),Algodão!$E75:INDEX(Algodão!$E75:$Z75,MIN(AJ$6-$G$3,22))),0)))))</f>
        <v>0</v>
      </c>
      <c r="AK77" s="27" t="n">
        <f aca="false">IF(COUNT(Algodão!$E75:$Z75)=0,0,MAX(0,IF((AK$6-$E$3)&lt;1,0,IFERROR(LOOKUP(2,1/(Algodão!$E75:INDEX(Algodão!$E75:$Z75,MIN(AK$6-$E$3,22))&lt;&gt;""),Algodão!$E75:INDEX(Algodão!$E75:$Z75,MIN(AK$6-$E$3,22))),0))-IF($G$2,0,IF((AK$6-$G$3)&lt;1,0,IFERROR(LOOKUP(2,1/(Algodão!$E75:INDEX(Algodão!$E75:$Z75,MIN(AK$6-$G$3,22))&lt;&gt;""),Algodão!$E75:INDEX(Algodão!$E75:$Z75,MIN(AK$6-$G$3,22))),0)))))</f>
        <v>0</v>
      </c>
      <c r="AL77" s="27" t="n">
        <f aca="false">IF(COUNT(Algodão!$E75:$Z75)=0,0,MAX(0,IF((AL$6-$E$3)&lt;1,0,IFERROR(LOOKUP(2,1/(Algodão!$E75:INDEX(Algodão!$E75:$Z75,MIN(AL$6-$E$3,22))&lt;&gt;""),Algodão!$E75:INDEX(Algodão!$E75:$Z75,MIN(AL$6-$E$3,22))),0))-IF($G$2,0,IF((AL$6-$G$3)&lt;1,0,IFERROR(LOOKUP(2,1/(Algodão!$E75:INDEX(Algodão!$E75:$Z75,MIN(AL$6-$G$3,22))&lt;&gt;""),Algodão!$E75:INDEX(Algodão!$E75:$Z75,MIN(AL$6-$G$3,22))),0)))))</f>
        <v>0</v>
      </c>
      <c r="AM77" s="27" t="n">
        <f aca="false">IF(COUNT(Algodão!$E75:$Z75)=0,0,MAX(0,IF((AM$6-$E$3)&lt;1,0,IFERROR(LOOKUP(2,1/(Algodão!$E75:INDEX(Algodão!$E75:$Z75,MIN(AM$6-$E$3,22))&lt;&gt;""),Algodão!$E75:INDEX(Algodão!$E75:$Z75,MIN(AM$6-$E$3,22))),0))-IF($G$2,0,IF((AM$6-$G$3)&lt;1,0,IFERROR(LOOKUP(2,1/(Algodão!$E75:INDEX(Algodão!$E75:$Z75,MIN(AM$6-$G$3,22))&lt;&gt;""),Algodão!$E75:INDEX(Algodão!$E75:$Z75,MIN(AM$6-$G$3,22))),0)))))</f>
        <v>0</v>
      </c>
      <c r="AN77" s="27" t="n">
        <f aca="false">IF(COUNT(Algodão!$E75:$Z75)=0,0,MAX(0,IF((AN$6-$E$3)&lt;1,0,IFERROR(LOOKUP(2,1/(Algodão!$E75:INDEX(Algodão!$E75:$Z75,MIN(AN$6-$E$3,22))&lt;&gt;""),Algodão!$E75:INDEX(Algodão!$E75:$Z75,MIN(AN$6-$E$3,22))),0))-IF($G$2,0,IF((AN$6-$G$3)&lt;1,0,IFERROR(LOOKUP(2,1/(Algodão!$E75:INDEX(Algodão!$E75:$Z75,MIN(AN$6-$G$3,22))&lt;&gt;""),Algodão!$E75:INDEX(Algodão!$E75:$Z75,MIN(AN$6-$G$3,22))),0)))))</f>
        <v>0</v>
      </c>
      <c r="AO77" s="27" t="n">
        <f aca="false">IF(COUNT(Algodão!$E75:$Z75)=0,0,MAX(0,IF((AO$6-$E$3)&lt;1,0,IFERROR(LOOKUP(2,1/(Algodão!$E75:INDEX(Algodão!$E75:$Z75,MIN(AO$6-$E$3,22))&lt;&gt;""),Algodão!$E75:INDEX(Algodão!$E75:$Z75,MIN(AO$6-$E$3,22))),0))-IF($G$2,0,IF((AO$6-$G$3)&lt;1,0,IFERROR(LOOKUP(2,1/(Algodão!$E75:INDEX(Algodão!$E75:$Z75,MIN(AO$6-$G$3,22))&lt;&gt;""),Algodão!$E75:INDEX(Algodão!$E75:$Z75,MIN(AO$6-$G$3,22))),0)))))</f>
        <v>0</v>
      </c>
      <c r="AP77" s="27" t="n">
        <f aca="false">IF(COUNT(Algodão!$E75:$Z75)=0,0,MAX(0,IF((AP$6-$E$3)&lt;1,0,IFERROR(LOOKUP(2,1/(Algodão!$E75:INDEX(Algodão!$E75:$Z75,MIN(AP$6-$E$3,22))&lt;&gt;""),Algodão!$E75:INDEX(Algodão!$E75:$Z75,MIN(AP$6-$E$3,22))),0))-IF($G$2,0,IF((AP$6-$G$3)&lt;1,0,IFERROR(LOOKUP(2,1/(Algodão!$E75:INDEX(Algodão!$E75:$Z75,MIN(AP$6-$G$3,22))&lt;&gt;""),Algodão!$E75:INDEX(Algodão!$E75:$Z75,MIN(AP$6-$G$3,22))),0)))))</f>
        <v>0</v>
      </c>
      <c r="AQ77" s="27" t="n">
        <f aca="false">IF(COUNT(Algodão!$E75:$Z75)=0,0,MAX(0,IF((AQ$6-$E$3)&lt;1,0,IFERROR(LOOKUP(2,1/(Algodão!$E75:INDEX(Algodão!$E75:$Z75,MIN(AQ$6-$E$3,22))&lt;&gt;""),Algodão!$E75:INDEX(Algodão!$E75:$Z75,MIN(AQ$6-$E$3,22))),0))-IF($G$2,0,IF((AQ$6-$G$3)&lt;1,0,IFERROR(LOOKUP(2,1/(Algodão!$E75:INDEX(Algodão!$E75:$Z75,MIN(AQ$6-$G$3,22))&lt;&gt;""),Algodão!$E75:INDEX(Algodão!$E75:$Z75,MIN(AQ$6-$G$3,22))),0)))))</f>
        <v>0</v>
      </c>
      <c r="AR77" s="27" t="n">
        <f aca="false">IF(COUNT(Algodão!$E75:$Z75)=0,0,MAX(0,IF((AR$6-$E$3)&lt;1,0,IFERROR(LOOKUP(2,1/(Algodão!$E75:INDEX(Algodão!$E75:$Z75,MIN(AR$6-$E$3,22))&lt;&gt;""),Algodão!$E75:INDEX(Algodão!$E75:$Z75,MIN(AR$6-$E$3,22))),0))-IF($G$2,0,IF((AR$6-$G$3)&lt;1,0,IFERROR(LOOKUP(2,1/(Algodão!$E75:INDEX(Algodão!$E75:$Z75,MIN(AR$6-$G$3,22))&lt;&gt;""),Algodão!$E75:INDEX(Algodão!$E75:$Z75,MIN(AR$6-$G$3,22))),0)))))</f>
        <v>0</v>
      </c>
      <c r="AS77" s="27" t="n">
        <f aca="false">IF(COUNT(Algodão!$E75:$Z75)=0,0,MAX(0,IF((AS$6-$E$3)&lt;1,0,IFERROR(LOOKUP(2,1/(Algodão!$E75:INDEX(Algodão!$E75:$Z75,MIN(AS$6-$E$3,22))&lt;&gt;""),Algodão!$E75:INDEX(Algodão!$E75:$Z75,MIN(AS$6-$E$3,22))),0))-IF($G$2,0,IF((AS$6-$G$3)&lt;1,0,IFERROR(LOOKUP(2,1/(Algodão!$E75:INDEX(Algodão!$E75:$Z75,MIN(AS$6-$G$3,22))&lt;&gt;""),Algodão!$E75:INDEX(Algodão!$E75:$Z75,MIN(AS$6-$G$3,22))),0)))))</f>
        <v>0</v>
      </c>
      <c r="AT77" s="27" t="n">
        <f aca="false">IF(COUNT(Algodão!$E75:$Z75)=0,0,MAX(0,IF((AT$6-$E$3)&lt;1,0,IFERROR(LOOKUP(2,1/(Algodão!$E75:INDEX(Algodão!$E75:$Z75,MIN(AT$6-$E$3,22))&lt;&gt;""),Algodão!$E75:INDEX(Algodão!$E75:$Z75,MIN(AT$6-$E$3,22))),0))-IF($G$2,0,IF((AT$6-$G$3)&lt;1,0,IFERROR(LOOKUP(2,1/(Algodão!$E75:INDEX(Algodão!$E75:$Z75,MIN(AT$6-$G$3,22))&lt;&gt;""),Algodão!$E75:INDEX(Algodão!$E75:$Z75,MIN(AT$6-$G$3,22))),0)))))</f>
        <v>0</v>
      </c>
      <c r="AU77" s="27" t="n">
        <f aca="false">IF(COUNT(Algodão!$E75:$Z75)=0,0,MAX(0,IF((AU$6-$E$3)&lt;1,0,IFERROR(LOOKUP(2,1/(Algodão!$E75:INDEX(Algodão!$E75:$Z75,MIN(AU$6-$E$3,22))&lt;&gt;""),Algodão!$E75:INDEX(Algodão!$E75:$Z75,MIN(AU$6-$E$3,22))),0))-IF($G$2,0,IF((AU$6-$G$3)&lt;1,0,IFERROR(LOOKUP(2,1/(Algodão!$E75:INDEX(Algodão!$E75:$Z75,MIN(AU$6-$G$3,22))&lt;&gt;""),Algodão!$E75:INDEX(Algodão!$E75:$Z75,MIN(AU$6-$G$3,22))),0)))))</f>
        <v>0</v>
      </c>
      <c r="AV77" s="27" t="n">
        <f aca="false">IF(COUNT(Algodão!$E75:$Z75)=0,0,MAX(0,IF((AV$6-$E$3)&lt;1,0,IFERROR(LOOKUP(2,1/(Algodão!$E75:INDEX(Algodão!$E75:$Z75,MIN(AV$6-$E$3,22))&lt;&gt;""),Algodão!$E75:INDEX(Algodão!$E75:$Z75,MIN(AV$6-$E$3,22))),0))-IF($G$2,0,IF((AV$6-$G$3)&lt;1,0,IFERROR(LOOKUP(2,1/(Algodão!$E75:INDEX(Algodão!$E75:$Z75,MIN(AV$6-$G$3,22))&lt;&gt;""),Algodão!$E75:INDEX(Algodão!$E75:$Z75,MIN(AV$6-$G$3,22))),0)))))</f>
        <v>0</v>
      </c>
      <c r="AW77" s="27" t="n">
        <f aca="false">IF(COUNT(Algodão!$E75:$Z75)=0,0,MAX(0,IF((AW$6-$E$3)&lt;1,0,IFERROR(LOOKUP(2,1/(Algodão!$E75:INDEX(Algodão!$E75:$Z75,MIN(AW$6-$E$3,22))&lt;&gt;""),Algodão!$E75:INDEX(Algodão!$E75:$Z75,MIN(AW$6-$E$3,22))),0))-IF($G$2,0,IF((AW$6-$G$3)&lt;1,0,IFERROR(LOOKUP(2,1/(Algodão!$E75:INDEX(Algodão!$E75:$Z75,MIN(AW$6-$G$3,22))&lt;&gt;""),Algodão!$E75:INDEX(Algodão!$E75:$Z75,MIN(AW$6-$G$3,22))),0)))))</f>
        <v>0</v>
      </c>
      <c r="AX77" s="27" t="n">
        <f aca="false">IF(COUNT(Algodão!$E75:$Z75)=0,0,MAX(0,IF((AX$6-$E$3)&lt;1,0,IFERROR(LOOKUP(2,1/(Algodão!$E75:INDEX(Algodão!$E75:$Z75,MIN(AX$6-$E$3,22))&lt;&gt;""),Algodão!$E75:INDEX(Algodão!$E75:$Z75,MIN(AX$6-$E$3,22))),0))-IF($G$2,0,IF((AX$6-$G$3)&lt;1,0,IFERROR(LOOKUP(2,1/(Algodão!$E75:INDEX(Algodão!$E75:$Z75,MIN(AX$6-$G$3,22))&lt;&gt;""),Algodão!$E75:INDEX(Algodão!$E75:$Z75,MIN(AX$6-$G$3,22))),0)))))</f>
        <v>0</v>
      </c>
      <c r="AY77" s="27" t="n">
        <f aca="false">IF(COUNT(Algodão!$E75:$Z75)=0,0,MAX(0,IF((AY$6-$E$3)&lt;1,0,IFERROR(LOOKUP(2,1/(Algodão!$E75:INDEX(Algodão!$E75:$Z75,MIN(AY$6-$E$3,22))&lt;&gt;""),Algodão!$E75:INDEX(Algodão!$E75:$Z75,MIN(AY$6-$E$3,22))),0))-IF($G$2,0,IF((AY$6-$G$3)&lt;1,0,IFERROR(LOOKUP(2,1/(Algodão!$E75:INDEX(Algodão!$E75:$Z75,MIN(AY$6-$G$3,22))&lt;&gt;""),Algodão!$E75:INDEX(Algodão!$E75:$Z75,MIN(AY$6-$G$3,22))),0)))))</f>
        <v>0</v>
      </c>
      <c r="AZ77" s="27" t="n">
        <f aca="false">IF(COUNT(Algodão!$E75:$Z75)=0,0,MAX(0,IF((AZ$6-$E$3)&lt;1,0,IFERROR(LOOKUP(2,1/(Algodão!$E75:INDEX(Algodão!$E75:$Z75,MIN(AZ$6-$E$3,22))&lt;&gt;""),Algodão!$E75:INDEX(Algodão!$E75:$Z75,MIN(AZ$6-$E$3,22))),0))-IF($G$2,0,IF((AZ$6-$G$3)&lt;1,0,IFERROR(LOOKUP(2,1/(Algodão!$E75:INDEX(Algodão!$E75:$Z75,MIN(AZ$6-$G$3,22))&lt;&gt;""),Algodão!$E75:INDEX(Algodão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IF(COUNT(Algodão!$E76:$Z76)&gt;0,N(Algodão!$D76),0)</f>
        <v>0</v>
      </c>
      <c r="E78" s="27" t="n">
        <f aca="false">IF(COUNT(Algodão!$E76:$Z76)=0,0,MAX(0,IF((E$6-$E$3)&lt;1,0,IFERROR(LOOKUP(2,1/(Algodão!$E76:INDEX(Algodão!$E76:$Z76,MIN(E$6-$E$3,22))&lt;&gt;""),Algodão!$E76:INDEX(Algodão!$E76:$Z76,MIN(E$6-$E$3,22))),0))-IF($G$2,0,IF((E$6-$G$3)&lt;1,0,IFERROR(LOOKUP(2,1/(Algodão!$E76:INDEX(Algodão!$E76:$Z76,MIN(E$6-$G$3,22))&lt;&gt;""),Algodão!$E76:INDEX(Algodão!$E76:$Z76,MIN(E$6-$G$3,22))),0)))))</f>
        <v>0</v>
      </c>
      <c r="F78" s="27" t="n">
        <f aca="false">IF(COUNT(Algodão!$E76:$Z76)=0,0,MAX(0,IF((F$6-$E$3)&lt;1,0,IFERROR(LOOKUP(2,1/(Algodão!$E76:INDEX(Algodão!$E76:$Z76,MIN(F$6-$E$3,22))&lt;&gt;""),Algodão!$E76:INDEX(Algodão!$E76:$Z76,MIN(F$6-$E$3,22))),0))-IF($G$2,0,IF((F$6-$G$3)&lt;1,0,IFERROR(LOOKUP(2,1/(Algodão!$E76:INDEX(Algodão!$E76:$Z76,MIN(F$6-$G$3,22))&lt;&gt;""),Algodão!$E76:INDEX(Algodão!$E76:$Z76,MIN(F$6-$G$3,22))),0)))))</f>
        <v>0</v>
      </c>
      <c r="G78" s="27" t="n">
        <f aca="false">IF(COUNT(Algodão!$E76:$Z76)=0,0,MAX(0,IF((G$6-$E$3)&lt;1,0,IFERROR(LOOKUP(2,1/(Algodão!$E76:INDEX(Algodão!$E76:$Z76,MIN(G$6-$E$3,22))&lt;&gt;""),Algodão!$E76:INDEX(Algodão!$E76:$Z76,MIN(G$6-$E$3,22))),0))-IF($G$2,0,IF((G$6-$G$3)&lt;1,0,IFERROR(LOOKUP(2,1/(Algodão!$E76:INDEX(Algodão!$E76:$Z76,MIN(G$6-$G$3,22))&lt;&gt;""),Algodão!$E76:INDEX(Algodão!$E76:$Z76,MIN(G$6-$G$3,22))),0)))))</f>
        <v>0</v>
      </c>
      <c r="H78" s="27" t="n">
        <f aca="false">IF(COUNT(Algodão!$E76:$Z76)=0,0,MAX(0,IF((H$6-$E$3)&lt;1,0,IFERROR(LOOKUP(2,1/(Algodão!$E76:INDEX(Algodão!$E76:$Z76,MIN(H$6-$E$3,22))&lt;&gt;""),Algodão!$E76:INDEX(Algodão!$E76:$Z76,MIN(H$6-$E$3,22))),0))-IF($G$2,0,IF((H$6-$G$3)&lt;1,0,IFERROR(LOOKUP(2,1/(Algodão!$E76:INDEX(Algodão!$E76:$Z76,MIN(H$6-$G$3,22))&lt;&gt;""),Algodão!$E76:INDEX(Algodão!$E76:$Z76,MIN(H$6-$G$3,22))),0)))))</f>
        <v>0</v>
      </c>
      <c r="I78" s="27" t="n">
        <f aca="false">IF(COUNT(Algodão!$E76:$Z76)=0,0,MAX(0,IF((I$6-$E$3)&lt;1,0,IFERROR(LOOKUP(2,1/(Algodão!$E76:INDEX(Algodão!$E76:$Z76,MIN(I$6-$E$3,22))&lt;&gt;""),Algodão!$E76:INDEX(Algodão!$E76:$Z76,MIN(I$6-$E$3,22))),0))-IF($G$2,0,IF((I$6-$G$3)&lt;1,0,IFERROR(LOOKUP(2,1/(Algodão!$E76:INDEX(Algodão!$E76:$Z76,MIN(I$6-$G$3,22))&lt;&gt;""),Algodão!$E76:INDEX(Algodão!$E76:$Z76,MIN(I$6-$G$3,22))),0)))))</f>
        <v>0</v>
      </c>
      <c r="J78" s="27" t="n">
        <f aca="false">IF(COUNT(Algodão!$E76:$Z76)=0,0,MAX(0,IF((J$6-$E$3)&lt;1,0,IFERROR(LOOKUP(2,1/(Algodão!$E76:INDEX(Algodão!$E76:$Z76,MIN(J$6-$E$3,22))&lt;&gt;""),Algodão!$E76:INDEX(Algodão!$E76:$Z76,MIN(J$6-$E$3,22))),0))-IF($G$2,0,IF((J$6-$G$3)&lt;1,0,IFERROR(LOOKUP(2,1/(Algodão!$E76:INDEX(Algodão!$E76:$Z76,MIN(J$6-$G$3,22))&lt;&gt;""),Algodão!$E76:INDEX(Algodão!$E76:$Z76,MIN(J$6-$G$3,22))),0)))))</f>
        <v>0</v>
      </c>
      <c r="K78" s="27" t="n">
        <f aca="false">IF(COUNT(Algodão!$E76:$Z76)=0,0,MAX(0,IF((K$6-$E$3)&lt;1,0,IFERROR(LOOKUP(2,1/(Algodão!$E76:INDEX(Algodão!$E76:$Z76,MIN(K$6-$E$3,22))&lt;&gt;""),Algodão!$E76:INDEX(Algodão!$E76:$Z76,MIN(K$6-$E$3,22))),0))-IF($G$2,0,IF((K$6-$G$3)&lt;1,0,IFERROR(LOOKUP(2,1/(Algodão!$E76:INDEX(Algodão!$E76:$Z76,MIN(K$6-$G$3,22))&lt;&gt;""),Algodão!$E76:INDEX(Algodão!$E76:$Z76,MIN(K$6-$G$3,22))),0)))))</f>
        <v>0</v>
      </c>
      <c r="L78" s="27" t="n">
        <f aca="false">IF(COUNT(Algodão!$E76:$Z76)=0,0,MAX(0,IF((L$6-$E$3)&lt;1,0,IFERROR(LOOKUP(2,1/(Algodão!$E76:INDEX(Algodão!$E76:$Z76,MIN(L$6-$E$3,22))&lt;&gt;""),Algodão!$E76:INDEX(Algodão!$E76:$Z76,MIN(L$6-$E$3,22))),0))-IF($G$2,0,IF((L$6-$G$3)&lt;1,0,IFERROR(LOOKUP(2,1/(Algodão!$E76:INDEX(Algodão!$E76:$Z76,MIN(L$6-$G$3,22))&lt;&gt;""),Algodão!$E76:INDEX(Algodão!$E76:$Z76,MIN(L$6-$G$3,22))),0)))))</f>
        <v>0</v>
      </c>
      <c r="M78" s="27" t="n">
        <f aca="false">IF(COUNT(Algodão!$E76:$Z76)=0,0,MAX(0,IF((M$6-$E$3)&lt;1,0,IFERROR(LOOKUP(2,1/(Algodão!$E76:INDEX(Algodão!$E76:$Z76,MIN(M$6-$E$3,22))&lt;&gt;""),Algodão!$E76:INDEX(Algodão!$E76:$Z76,MIN(M$6-$E$3,22))),0))-IF($G$2,0,IF((M$6-$G$3)&lt;1,0,IFERROR(LOOKUP(2,1/(Algodão!$E76:INDEX(Algodão!$E76:$Z76,MIN(M$6-$G$3,22))&lt;&gt;""),Algodão!$E76:INDEX(Algodão!$E76:$Z76,MIN(M$6-$G$3,22))),0)))))</f>
        <v>0</v>
      </c>
      <c r="N78" s="27" t="n">
        <f aca="false">IF(COUNT(Algodão!$E76:$Z76)=0,0,MAX(0,IF((N$6-$E$3)&lt;1,0,IFERROR(LOOKUP(2,1/(Algodão!$E76:INDEX(Algodão!$E76:$Z76,MIN(N$6-$E$3,22))&lt;&gt;""),Algodão!$E76:INDEX(Algodão!$E76:$Z76,MIN(N$6-$E$3,22))),0))-IF($G$2,0,IF((N$6-$G$3)&lt;1,0,IFERROR(LOOKUP(2,1/(Algodão!$E76:INDEX(Algodão!$E76:$Z76,MIN(N$6-$G$3,22))&lt;&gt;""),Algodão!$E76:INDEX(Algodão!$E76:$Z76,MIN(N$6-$G$3,22))),0)))))</f>
        <v>0</v>
      </c>
      <c r="O78" s="27" t="n">
        <f aca="false">IF(COUNT(Algodão!$E76:$Z76)=0,0,MAX(0,IF((O$6-$E$3)&lt;1,0,IFERROR(LOOKUP(2,1/(Algodão!$E76:INDEX(Algodão!$E76:$Z76,MIN(O$6-$E$3,22))&lt;&gt;""),Algodão!$E76:INDEX(Algodão!$E76:$Z76,MIN(O$6-$E$3,22))),0))-IF($G$2,0,IF((O$6-$G$3)&lt;1,0,IFERROR(LOOKUP(2,1/(Algodão!$E76:INDEX(Algodão!$E76:$Z76,MIN(O$6-$G$3,22))&lt;&gt;""),Algodão!$E76:INDEX(Algodão!$E76:$Z76,MIN(O$6-$G$3,22))),0)))))</f>
        <v>0</v>
      </c>
      <c r="P78" s="27" t="n">
        <f aca="false">IF(COUNT(Algodão!$E76:$Z76)=0,0,MAX(0,IF((P$6-$E$3)&lt;1,0,IFERROR(LOOKUP(2,1/(Algodão!$E76:INDEX(Algodão!$E76:$Z76,MIN(P$6-$E$3,22))&lt;&gt;""),Algodão!$E76:INDEX(Algodão!$E76:$Z76,MIN(P$6-$E$3,22))),0))-IF($G$2,0,IF((P$6-$G$3)&lt;1,0,IFERROR(LOOKUP(2,1/(Algodão!$E76:INDEX(Algodão!$E76:$Z76,MIN(P$6-$G$3,22))&lt;&gt;""),Algodão!$E76:INDEX(Algodão!$E76:$Z76,MIN(P$6-$G$3,22))),0)))))</f>
        <v>0</v>
      </c>
      <c r="Q78" s="27" t="n">
        <f aca="false">IF(COUNT(Algodão!$E76:$Z76)=0,0,MAX(0,IF((Q$6-$E$3)&lt;1,0,IFERROR(LOOKUP(2,1/(Algodão!$E76:INDEX(Algodão!$E76:$Z76,MIN(Q$6-$E$3,22))&lt;&gt;""),Algodão!$E76:INDEX(Algodão!$E76:$Z76,MIN(Q$6-$E$3,22))),0))-IF($G$2,0,IF((Q$6-$G$3)&lt;1,0,IFERROR(LOOKUP(2,1/(Algodão!$E76:INDEX(Algodão!$E76:$Z76,MIN(Q$6-$G$3,22))&lt;&gt;""),Algodão!$E76:INDEX(Algodão!$E76:$Z76,MIN(Q$6-$G$3,22))),0)))))</f>
        <v>0</v>
      </c>
      <c r="R78" s="27" t="n">
        <f aca="false">IF(COUNT(Algodão!$E76:$Z76)=0,0,MAX(0,IF((R$6-$E$3)&lt;1,0,IFERROR(LOOKUP(2,1/(Algodão!$E76:INDEX(Algodão!$E76:$Z76,MIN(R$6-$E$3,22))&lt;&gt;""),Algodão!$E76:INDEX(Algodão!$E76:$Z76,MIN(R$6-$E$3,22))),0))-IF($G$2,0,IF((R$6-$G$3)&lt;1,0,IFERROR(LOOKUP(2,1/(Algodão!$E76:INDEX(Algodão!$E76:$Z76,MIN(R$6-$G$3,22))&lt;&gt;""),Algodão!$E76:INDEX(Algodão!$E76:$Z76,MIN(R$6-$G$3,22))),0)))))</f>
        <v>0</v>
      </c>
      <c r="S78" s="27" t="n">
        <f aca="false">IF(COUNT(Algodão!$E76:$Z76)=0,0,MAX(0,IF((S$6-$E$3)&lt;1,0,IFERROR(LOOKUP(2,1/(Algodão!$E76:INDEX(Algodão!$E76:$Z76,MIN(S$6-$E$3,22))&lt;&gt;""),Algodão!$E76:INDEX(Algodão!$E76:$Z76,MIN(S$6-$E$3,22))),0))-IF($G$2,0,IF((S$6-$G$3)&lt;1,0,IFERROR(LOOKUP(2,1/(Algodão!$E76:INDEX(Algodão!$E76:$Z76,MIN(S$6-$G$3,22))&lt;&gt;""),Algodão!$E76:INDEX(Algodão!$E76:$Z76,MIN(S$6-$G$3,22))),0)))))</f>
        <v>0</v>
      </c>
      <c r="T78" s="27" t="n">
        <f aca="false">IF(COUNT(Algodão!$E76:$Z76)=0,0,MAX(0,IF((T$6-$E$3)&lt;1,0,IFERROR(LOOKUP(2,1/(Algodão!$E76:INDEX(Algodão!$E76:$Z76,MIN(T$6-$E$3,22))&lt;&gt;""),Algodão!$E76:INDEX(Algodão!$E76:$Z76,MIN(T$6-$E$3,22))),0))-IF($G$2,0,IF((T$6-$G$3)&lt;1,0,IFERROR(LOOKUP(2,1/(Algodão!$E76:INDEX(Algodão!$E76:$Z76,MIN(T$6-$G$3,22))&lt;&gt;""),Algodão!$E76:INDEX(Algodão!$E76:$Z76,MIN(T$6-$G$3,22))),0)))))</f>
        <v>0</v>
      </c>
      <c r="U78" s="27" t="n">
        <f aca="false">IF(COUNT(Algodão!$E76:$Z76)=0,0,MAX(0,IF((U$6-$E$3)&lt;1,0,IFERROR(LOOKUP(2,1/(Algodão!$E76:INDEX(Algodão!$E76:$Z76,MIN(U$6-$E$3,22))&lt;&gt;""),Algodão!$E76:INDEX(Algodão!$E76:$Z76,MIN(U$6-$E$3,22))),0))-IF($G$2,0,IF((U$6-$G$3)&lt;1,0,IFERROR(LOOKUP(2,1/(Algodão!$E76:INDEX(Algodão!$E76:$Z76,MIN(U$6-$G$3,22))&lt;&gt;""),Algodão!$E76:INDEX(Algodão!$E76:$Z76,MIN(U$6-$G$3,22))),0)))))</f>
        <v>0</v>
      </c>
      <c r="V78" s="27" t="n">
        <f aca="false">IF(COUNT(Algodão!$E76:$Z76)=0,0,MAX(0,IF((V$6-$E$3)&lt;1,0,IFERROR(LOOKUP(2,1/(Algodão!$E76:INDEX(Algodão!$E76:$Z76,MIN(V$6-$E$3,22))&lt;&gt;""),Algodão!$E76:INDEX(Algodão!$E76:$Z76,MIN(V$6-$E$3,22))),0))-IF($G$2,0,IF((V$6-$G$3)&lt;1,0,IFERROR(LOOKUP(2,1/(Algodão!$E76:INDEX(Algodão!$E76:$Z76,MIN(V$6-$G$3,22))&lt;&gt;""),Algodão!$E76:INDEX(Algodão!$E76:$Z76,MIN(V$6-$G$3,22))),0)))))</f>
        <v>0</v>
      </c>
      <c r="W78" s="27" t="n">
        <f aca="false">IF(COUNT(Algodão!$E76:$Z76)=0,0,MAX(0,IF((W$6-$E$3)&lt;1,0,IFERROR(LOOKUP(2,1/(Algodão!$E76:INDEX(Algodão!$E76:$Z76,MIN(W$6-$E$3,22))&lt;&gt;""),Algodão!$E76:INDEX(Algodão!$E76:$Z76,MIN(W$6-$E$3,22))),0))-IF($G$2,0,IF((W$6-$G$3)&lt;1,0,IFERROR(LOOKUP(2,1/(Algodão!$E76:INDEX(Algodão!$E76:$Z76,MIN(W$6-$G$3,22))&lt;&gt;""),Algodão!$E76:INDEX(Algodão!$E76:$Z76,MIN(W$6-$G$3,22))),0)))))</f>
        <v>0</v>
      </c>
      <c r="X78" s="27" t="n">
        <f aca="false">IF(COUNT(Algodão!$E76:$Z76)=0,0,MAX(0,IF((X$6-$E$3)&lt;1,0,IFERROR(LOOKUP(2,1/(Algodão!$E76:INDEX(Algodão!$E76:$Z76,MIN(X$6-$E$3,22))&lt;&gt;""),Algodão!$E76:INDEX(Algodão!$E76:$Z76,MIN(X$6-$E$3,22))),0))-IF($G$2,0,IF((X$6-$G$3)&lt;1,0,IFERROR(LOOKUP(2,1/(Algodão!$E76:INDEX(Algodão!$E76:$Z76,MIN(X$6-$G$3,22))&lt;&gt;""),Algodão!$E76:INDEX(Algodão!$E76:$Z76,MIN(X$6-$G$3,22))),0)))))</f>
        <v>0</v>
      </c>
      <c r="Y78" s="27" t="n">
        <f aca="false">IF(COUNT(Algodão!$E76:$Z76)=0,0,MAX(0,IF((Y$6-$E$3)&lt;1,0,IFERROR(LOOKUP(2,1/(Algodão!$E76:INDEX(Algodão!$E76:$Z76,MIN(Y$6-$E$3,22))&lt;&gt;""),Algodão!$E76:INDEX(Algodão!$E76:$Z76,MIN(Y$6-$E$3,22))),0))-IF($G$2,0,IF((Y$6-$G$3)&lt;1,0,IFERROR(LOOKUP(2,1/(Algodão!$E76:INDEX(Algodão!$E76:$Z76,MIN(Y$6-$G$3,22))&lt;&gt;""),Algodão!$E76:INDEX(Algodão!$E76:$Z76,MIN(Y$6-$G$3,22))),0)))))</f>
        <v>0</v>
      </c>
      <c r="Z78" s="27" t="n">
        <f aca="false">IF(COUNT(Algodão!$E76:$Z76)=0,0,MAX(0,IF((Z$6-$E$3)&lt;1,0,IFERROR(LOOKUP(2,1/(Algodão!$E76:INDEX(Algodão!$E76:$Z76,MIN(Z$6-$E$3,22))&lt;&gt;""),Algodão!$E76:INDEX(Algodão!$E76:$Z76,MIN(Z$6-$E$3,22))),0))-IF($G$2,0,IF((Z$6-$G$3)&lt;1,0,IFERROR(LOOKUP(2,1/(Algodão!$E76:INDEX(Algodão!$E76:$Z76,MIN(Z$6-$G$3,22))&lt;&gt;""),Algodão!$E76:INDEX(Algodão!$E76:$Z76,MIN(Z$6-$G$3,22))),0)))))</f>
        <v>0</v>
      </c>
      <c r="AA78" s="27" t="n">
        <f aca="false">IF(COUNT(Algodão!$E76:$Z76)=0,0,MAX(0,IF((AA$6-$E$3)&lt;1,0,IFERROR(LOOKUP(2,1/(Algodão!$E76:INDEX(Algodão!$E76:$Z76,MIN(AA$6-$E$3,22))&lt;&gt;""),Algodão!$E76:INDEX(Algodão!$E76:$Z76,MIN(AA$6-$E$3,22))),0))-IF($G$2,0,IF((AA$6-$G$3)&lt;1,0,IFERROR(LOOKUP(2,1/(Algodão!$E76:INDEX(Algodão!$E76:$Z76,MIN(AA$6-$G$3,22))&lt;&gt;""),Algodão!$E76:INDEX(Algodão!$E76:$Z76,MIN(AA$6-$G$3,22))),0)))))</f>
        <v>0</v>
      </c>
      <c r="AB78" s="27" t="n">
        <f aca="false">IF(COUNT(Algodão!$E76:$Z76)=0,0,MAX(0,IF((AB$6-$E$3)&lt;1,0,IFERROR(LOOKUP(2,1/(Algodão!$E76:INDEX(Algodão!$E76:$Z76,MIN(AB$6-$E$3,22))&lt;&gt;""),Algodão!$E76:INDEX(Algodão!$E76:$Z76,MIN(AB$6-$E$3,22))),0))-IF($G$2,0,IF((AB$6-$G$3)&lt;1,0,IFERROR(LOOKUP(2,1/(Algodão!$E76:INDEX(Algodão!$E76:$Z76,MIN(AB$6-$G$3,22))&lt;&gt;""),Algodão!$E76:INDEX(Algodão!$E76:$Z76,MIN(AB$6-$G$3,22))),0)))))</f>
        <v>0</v>
      </c>
      <c r="AC78" s="27" t="n">
        <f aca="false">IF(COUNT(Algodão!$E76:$Z76)=0,0,MAX(0,IF((AC$6-$E$3)&lt;1,0,IFERROR(LOOKUP(2,1/(Algodão!$E76:INDEX(Algodão!$E76:$Z76,MIN(AC$6-$E$3,22))&lt;&gt;""),Algodão!$E76:INDEX(Algodão!$E76:$Z76,MIN(AC$6-$E$3,22))),0))-IF($G$2,0,IF((AC$6-$G$3)&lt;1,0,IFERROR(LOOKUP(2,1/(Algodão!$E76:INDEX(Algodão!$E76:$Z76,MIN(AC$6-$G$3,22))&lt;&gt;""),Algodão!$E76:INDEX(Algodão!$E76:$Z76,MIN(AC$6-$G$3,22))),0)))))</f>
        <v>0</v>
      </c>
      <c r="AD78" s="27" t="n">
        <f aca="false">IF(COUNT(Algodão!$E76:$Z76)=0,0,MAX(0,IF((AD$6-$E$3)&lt;1,0,IFERROR(LOOKUP(2,1/(Algodão!$E76:INDEX(Algodão!$E76:$Z76,MIN(AD$6-$E$3,22))&lt;&gt;""),Algodão!$E76:INDEX(Algodão!$E76:$Z76,MIN(AD$6-$E$3,22))),0))-IF($G$2,0,IF((AD$6-$G$3)&lt;1,0,IFERROR(LOOKUP(2,1/(Algodão!$E76:INDEX(Algodão!$E76:$Z76,MIN(AD$6-$G$3,22))&lt;&gt;""),Algodão!$E76:INDEX(Algodão!$E76:$Z76,MIN(AD$6-$G$3,22))),0)))))</f>
        <v>0</v>
      </c>
      <c r="AE78" s="27" t="n">
        <f aca="false">IF(COUNT(Algodão!$E76:$Z76)=0,0,MAX(0,IF((AE$6-$E$3)&lt;1,0,IFERROR(LOOKUP(2,1/(Algodão!$E76:INDEX(Algodão!$E76:$Z76,MIN(AE$6-$E$3,22))&lt;&gt;""),Algodão!$E76:INDEX(Algodão!$E76:$Z76,MIN(AE$6-$E$3,22))),0))-IF($G$2,0,IF((AE$6-$G$3)&lt;1,0,IFERROR(LOOKUP(2,1/(Algodão!$E76:INDEX(Algodão!$E76:$Z76,MIN(AE$6-$G$3,22))&lt;&gt;""),Algodão!$E76:INDEX(Algodão!$E76:$Z76,MIN(AE$6-$G$3,22))),0)))))</f>
        <v>0</v>
      </c>
      <c r="AF78" s="27" t="n">
        <f aca="false">IF(COUNT(Algodão!$E76:$Z76)=0,0,MAX(0,IF((AF$6-$E$3)&lt;1,0,IFERROR(LOOKUP(2,1/(Algodão!$E76:INDEX(Algodão!$E76:$Z76,MIN(AF$6-$E$3,22))&lt;&gt;""),Algodão!$E76:INDEX(Algodão!$E76:$Z76,MIN(AF$6-$E$3,22))),0))-IF($G$2,0,IF((AF$6-$G$3)&lt;1,0,IFERROR(LOOKUP(2,1/(Algodão!$E76:INDEX(Algodão!$E76:$Z76,MIN(AF$6-$G$3,22))&lt;&gt;""),Algodão!$E76:INDEX(Algodão!$E76:$Z76,MIN(AF$6-$G$3,22))),0)))))</f>
        <v>0</v>
      </c>
      <c r="AG78" s="27" t="n">
        <f aca="false">IF(COUNT(Algodão!$E76:$Z76)=0,0,MAX(0,IF((AG$6-$E$3)&lt;1,0,IFERROR(LOOKUP(2,1/(Algodão!$E76:INDEX(Algodão!$E76:$Z76,MIN(AG$6-$E$3,22))&lt;&gt;""),Algodão!$E76:INDEX(Algodão!$E76:$Z76,MIN(AG$6-$E$3,22))),0))-IF($G$2,0,IF((AG$6-$G$3)&lt;1,0,IFERROR(LOOKUP(2,1/(Algodão!$E76:INDEX(Algodão!$E76:$Z76,MIN(AG$6-$G$3,22))&lt;&gt;""),Algodão!$E76:INDEX(Algodão!$E76:$Z76,MIN(AG$6-$G$3,22))),0)))))</f>
        <v>0</v>
      </c>
      <c r="AH78" s="27" t="n">
        <f aca="false">IF(COUNT(Algodão!$E76:$Z76)=0,0,MAX(0,IF((AH$6-$E$3)&lt;1,0,IFERROR(LOOKUP(2,1/(Algodão!$E76:INDEX(Algodão!$E76:$Z76,MIN(AH$6-$E$3,22))&lt;&gt;""),Algodão!$E76:INDEX(Algodão!$E76:$Z76,MIN(AH$6-$E$3,22))),0))-IF($G$2,0,IF((AH$6-$G$3)&lt;1,0,IFERROR(LOOKUP(2,1/(Algodão!$E76:INDEX(Algodão!$E76:$Z76,MIN(AH$6-$G$3,22))&lt;&gt;""),Algodão!$E76:INDEX(Algodão!$E76:$Z76,MIN(AH$6-$G$3,22))),0)))))</f>
        <v>0</v>
      </c>
      <c r="AI78" s="27" t="n">
        <f aca="false">IF(COUNT(Algodão!$E76:$Z76)=0,0,MAX(0,IF((AI$6-$E$3)&lt;1,0,IFERROR(LOOKUP(2,1/(Algodão!$E76:INDEX(Algodão!$E76:$Z76,MIN(AI$6-$E$3,22))&lt;&gt;""),Algodão!$E76:INDEX(Algodão!$E76:$Z76,MIN(AI$6-$E$3,22))),0))-IF($G$2,0,IF((AI$6-$G$3)&lt;1,0,IFERROR(LOOKUP(2,1/(Algodão!$E76:INDEX(Algodão!$E76:$Z76,MIN(AI$6-$G$3,22))&lt;&gt;""),Algodão!$E76:INDEX(Algodão!$E76:$Z76,MIN(AI$6-$G$3,22))),0)))))</f>
        <v>0</v>
      </c>
      <c r="AJ78" s="27" t="n">
        <f aca="false">IF(COUNT(Algodão!$E76:$Z76)=0,0,MAX(0,IF((AJ$6-$E$3)&lt;1,0,IFERROR(LOOKUP(2,1/(Algodão!$E76:INDEX(Algodão!$E76:$Z76,MIN(AJ$6-$E$3,22))&lt;&gt;""),Algodão!$E76:INDEX(Algodão!$E76:$Z76,MIN(AJ$6-$E$3,22))),0))-IF($G$2,0,IF((AJ$6-$G$3)&lt;1,0,IFERROR(LOOKUP(2,1/(Algodão!$E76:INDEX(Algodão!$E76:$Z76,MIN(AJ$6-$G$3,22))&lt;&gt;""),Algodão!$E76:INDEX(Algodão!$E76:$Z76,MIN(AJ$6-$G$3,22))),0)))))</f>
        <v>0</v>
      </c>
      <c r="AK78" s="27" t="n">
        <f aca="false">IF(COUNT(Algodão!$E76:$Z76)=0,0,MAX(0,IF((AK$6-$E$3)&lt;1,0,IFERROR(LOOKUP(2,1/(Algodão!$E76:INDEX(Algodão!$E76:$Z76,MIN(AK$6-$E$3,22))&lt;&gt;""),Algodão!$E76:INDEX(Algodão!$E76:$Z76,MIN(AK$6-$E$3,22))),0))-IF($G$2,0,IF((AK$6-$G$3)&lt;1,0,IFERROR(LOOKUP(2,1/(Algodão!$E76:INDEX(Algodão!$E76:$Z76,MIN(AK$6-$G$3,22))&lt;&gt;""),Algodão!$E76:INDEX(Algodão!$E76:$Z76,MIN(AK$6-$G$3,22))),0)))))</f>
        <v>0</v>
      </c>
      <c r="AL78" s="27" t="n">
        <f aca="false">IF(COUNT(Algodão!$E76:$Z76)=0,0,MAX(0,IF((AL$6-$E$3)&lt;1,0,IFERROR(LOOKUP(2,1/(Algodão!$E76:INDEX(Algodão!$E76:$Z76,MIN(AL$6-$E$3,22))&lt;&gt;""),Algodão!$E76:INDEX(Algodão!$E76:$Z76,MIN(AL$6-$E$3,22))),0))-IF($G$2,0,IF((AL$6-$G$3)&lt;1,0,IFERROR(LOOKUP(2,1/(Algodão!$E76:INDEX(Algodão!$E76:$Z76,MIN(AL$6-$G$3,22))&lt;&gt;""),Algodão!$E76:INDEX(Algodão!$E76:$Z76,MIN(AL$6-$G$3,22))),0)))))</f>
        <v>0</v>
      </c>
      <c r="AM78" s="27" t="n">
        <f aca="false">IF(COUNT(Algodão!$E76:$Z76)=0,0,MAX(0,IF((AM$6-$E$3)&lt;1,0,IFERROR(LOOKUP(2,1/(Algodão!$E76:INDEX(Algodão!$E76:$Z76,MIN(AM$6-$E$3,22))&lt;&gt;""),Algodão!$E76:INDEX(Algodão!$E76:$Z76,MIN(AM$6-$E$3,22))),0))-IF($G$2,0,IF((AM$6-$G$3)&lt;1,0,IFERROR(LOOKUP(2,1/(Algodão!$E76:INDEX(Algodão!$E76:$Z76,MIN(AM$6-$G$3,22))&lt;&gt;""),Algodão!$E76:INDEX(Algodão!$E76:$Z76,MIN(AM$6-$G$3,22))),0)))))</f>
        <v>0</v>
      </c>
      <c r="AN78" s="27" t="n">
        <f aca="false">IF(COUNT(Algodão!$E76:$Z76)=0,0,MAX(0,IF((AN$6-$E$3)&lt;1,0,IFERROR(LOOKUP(2,1/(Algodão!$E76:INDEX(Algodão!$E76:$Z76,MIN(AN$6-$E$3,22))&lt;&gt;""),Algodão!$E76:INDEX(Algodão!$E76:$Z76,MIN(AN$6-$E$3,22))),0))-IF($G$2,0,IF((AN$6-$G$3)&lt;1,0,IFERROR(LOOKUP(2,1/(Algodão!$E76:INDEX(Algodão!$E76:$Z76,MIN(AN$6-$G$3,22))&lt;&gt;""),Algodão!$E76:INDEX(Algodão!$E76:$Z76,MIN(AN$6-$G$3,22))),0)))))</f>
        <v>0</v>
      </c>
      <c r="AO78" s="27" t="n">
        <f aca="false">IF(COUNT(Algodão!$E76:$Z76)=0,0,MAX(0,IF((AO$6-$E$3)&lt;1,0,IFERROR(LOOKUP(2,1/(Algodão!$E76:INDEX(Algodão!$E76:$Z76,MIN(AO$6-$E$3,22))&lt;&gt;""),Algodão!$E76:INDEX(Algodão!$E76:$Z76,MIN(AO$6-$E$3,22))),0))-IF($G$2,0,IF((AO$6-$G$3)&lt;1,0,IFERROR(LOOKUP(2,1/(Algodão!$E76:INDEX(Algodão!$E76:$Z76,MIN(AO$6-$G$3,22))&lt;&gt;""),Algodão!$E76:INDEX(Algodão!$E76:$Z76,MIN(AO$6-$G$3,22))),0)))))</f>
        <v>0</v>
      </c>
      <c r="AP78" s="27" t="n">
        <f aca="false">IF(COUNT(Algodão!$E76:$Z76)=0,0,MAX(0,IF((AP$6-$E$3)&lt;1,0,IFERROR(LOOKUP(2,1/(Algodão!$E76:INDEX(Algodão!$E76:$Z76,MIN(AP$6-$E$3,22))&lt;&gt;""),Algodão!$E76:INDEX(Algodão!$E76:$Z76,MIN(AP$6-$E$3,22))),0))-IF($G$2,0,IF((AP$6-$G$3)&lt;1,0,IFERROR(LOOKUP(2,1/(Algodão!$E76:INDEX(Algodão!$E76:$Z76,MIN(AP$6-$G$3,22))&lt;&gt;""),Algodão!$E76:INDEX(Algodão!$E76:$Z76,MIN(AP$6-$G$3,22))),0)))))</f>
        <v>0</v>
      </c>
      <c r="AQ78" s="27" t="n">
        <f aca="false">IF(COUNT(Algodão!$E76:$Z76)=0,0,MAX(0,IF((AQ$6-$E$3)&lt;1,0,IFERROR(LOOKUP(2,1/(Algodão!$E76:INDEX(Algodão!$E76:$Z76,MIN(AQ$6-$E$3,22))&lt;&gt;""),Algodão!$E76:INDEX(Algodão!$E76:$Z76,MIN(AQ$6-$E$3,22))),0))-IF($G$2,0,IF((AQ$6-$G$3)&lt;1,0,IFERROR(LOOKUP(2,1/(Algodão!$E76:INDEX(Algodão!$E76:$Z76,MIN(AQ$6-$G$3,22))&lt;&gt;""),Algodão!$E76:INDEX(Algodão!$E76:$Z76,MIN(AQ$6-$G$3,22))),0)))))</f>
        <v>0</v>
      </c>
      <c r="AR78" s="27" t="n">
        <f aca="false">IF(COUNT(Algodão!$E76:$Z76)=0,0,MAX(0,IF((AR$6-$E$3)&lt;1,0,IFERROR(LOOKUP(2,1/(Algodão!$E76:INDEX(Algodão!$E76:$Z76,MIN(AR$6-$E$3,22))&lt;&gt;""),Algodão!$E76:INDEX(Algodão!$E76:$Z76,MIN(AR$6-$E$3,22))),0))-IF($G$2,0,IF((AR$6-$G$3)&lt;1,0,IFERROR(LOOKUP(2,1/(Algodão!$E76:INDEX(Algodão!$E76:$Z76,MIN(AR$6-$G$3,22))&lt;&gt;""),Algodão!$E76:INDEX(Algodão!$E76:$Z76,MIN(AR$6-$G$3,22))),0)))))</f>
        <v>0</v>
      </c>
      <c r="AS78" s="27" t="n">
        <f aca="false">IF(COUNT(Algodão!$E76:$Z76)=0,0,MAX(0,IF((AS$6-$E$3)&lt;1,0,IFERROR(LOOKUP(2,1/(Algodão!$E76:INDEX(Algodão!$E76:$Z76,MIN(AS$6-$E$3,22))&lt;&gt;""),Algodão!$E76:INDEX(Algodão!$E76:$Z76,MIN(AS$6-$E$3,22))),0))-IF($G$2,0,IF((AS$6-$G$3)&lt;1,0,IFERROR(LOOKUP(2,1/(Algodão!$E76:INDEX(Algodão!$E76:$Z76,MIN(AS$6-$G$3,22))&lt;&gt;""),Algodão!$E76:INDEX(Algodão!$E76:$Z76,MIN(AS$6-$G$3,22))),0)))))</f>
        <v>0</v>
      </c>
      <c r="AT78" s="27" t="n">
        <f aca="false">IF(COUNT(Algodão!$E76:$Z76)=0,0,MAX(0,IF((AT$6-$E$3)&lt;1,0,IFERROR(LOOKUP(2,1/(Algodão!$E76:INDEX(Algodão!$E76:$Z76,MIN(AT$6-$E$3,22))&lt;&gt;""),Algodão!$E76:INDEX(Algodão!$E76:$Z76,MIN(AT$6-$E$3,22))),0))-IF($G$2,0,IF((AT$6-$G$3)&lt;1,0,IFERROR(LOOKUP(2,1/(Algodão!$E76:INDEX(Algodão!$E76:$Z76,MIN(AT$6-$G$3,22))&lt;&gt;""),Algodão!$E76:INDEX(Algodão!$E76:$Z76,MIN(AT$6-$G$3,22))),0)))))</f>
        <v>0</v>
      </c>
      <c r="AU78" s="27" t="n">
        <f aca="false">IF(COUNT(Algodão!$E76:$Z76)=0,0,MAX(0,IF((AU$6-$E$3)&lt;1,0,IFERROR(LOOKUP(2,1/(Algodão!$E76:INDEX(Algodão!$E76:$Z76,MIN(AU$6-$E$3,22))&lt;&gt;""),Algodão!$E76:INDEX(Algodão!$E76:$Z76,MIN(AU$6-$E$3,22))),0))-IF($G$2,0,IF((AU$6-$G$3)&lt;1,0,IFERROR(LOOKUP(2,1/(Algodão!$E76:INDEX(Algodão!$E76:$Z76,MIN(AU$6-$G$3,22))&lt;&gt;""),Algodão!$E76:INDEX(Algodão!$E76:$Z76,MIN(AU$6-$G$3,22))),0)))))</f>
        <v>0</v>
      </c>
      <c r="AV78" s="27" t="n">
        <f aca="false">IF(COUNT(Algodão!$E76:$Z76)=0,0,MAX(0,IF((AV$6-$E$3)&lt;1,0,IFERROR(LOOKUP(2,1/(Algodão!$E76:INDEX(Algodão!$E76:$Z76,MIN(AV$6-$E$3,22))&lt;&gt;""),Algodão!$E76:INDEX(Algodão!$E76:$Z76,MIN(AV$6-$E$3,22))),0))-IF($G$2,0,IF((AV$6-$G$3)&lt;1,0,IFERROR(LOOKUP(2,1/(Algodão!$E76:INDEX(Algodão!$E76:$Z76,MIN(AV$6-$G$3,22))&lt;&gt;""),Algodão!$E76:INDEX(Algodão!$E76:$Z76,MIN(AV$6-$G$3,22))),0)))))</f>
        <v>0</v>
      </c>
      <c r="AW78" s="27" t="n">
        <f aca="false">IF(COUNT(Algodão!$E76:$Z76)=0,0,MAX(0,IF((AW$6-$E$3)&lt;1,0,IFERROR(LOOKUP(2,1/(Algodão!$E76:INDEX(Algodão!$E76:$Z76,MIN(AW$6-$E$3,22))&lt;&gt;""),Algodão!$E76:INDEX(Algodão!$E76:$Z76,MIN(AW$6-$E$3,22))),0))-IF($G$2,0,IF((AW$6-$G$3)&lt;1,0,IFERROR(LOOKUP(2,1/(Algodão!$E76:INDEX(Algodão!$E76:$Z76,MIN(AW$6-$G$3,22))&lt;&gt;""),Algodão!$E76:INDEX(Algodão!$E76:$Z76,MIN(AW$6-$G$3,22))),0)))))</f>
        <v>0</v>
      </c>
      <c r="AX78" s="27" t="n">
        <f aca="false">IF(COUNT(Algodão!$E76:$Z76)=0,0,MAX(0,IF((AX$6-$E$3)&lt;1,0,IFERROR(LOOKUP(2,1/(Algodão!$E76:INDEX(Algodão!$E76:$Z76,MIN(AX$6-$E$3,22))&lt;&gt;""),Algodão!$E76:INDEX(Algodão!$E76:$Z76,MIN(AX$6-$E$3,22))),0))-IF($G$2,0,IF((AX$6-$G$3)&lt;1,0,IFERROR(LOOKUP(2,1/(Algodão!$E76:INDEX(Algodão!$E76:$Z76,MIN(AX$6-$G$3,22))&lt;&gt;""),Algodão!$E76:INDEX(Algodão!$E76:$Z76,MIN(AX$6-$G$3,22))),0)))))</f>
        <v>0</v>
      </c>
      <c r="AY78" s="27" t="n">
        <f aca="false">IF(COUNT(Algodão!$E76:$Z76)=0,0,MAX(0,IF((AY$6-$E$3)&lt;1,0,IFERROR(LOOKUP(2,1/(Algodão!$E76:INDEX(Algodão!$E76:$Z76,MIN(AY$6-$E$3,22))&lt;&gt;""),Algodão!$E76:INDEX(Algodão!$E76:$Z76,MIN(AY$6-$E$3,22))),0))-IF($G$2,0,IF((AY$6-$G$3)&lt;1,0,IFERROR(LOOKUP(2,1/(Algodão!$E76:INDEX(Algodão!$E76:$Z76,MIN(AY$6-$G$3,22))&lt;&gt;""),Algodão!$E76:INDEX(Algodão!$E76:$Z76,MIN(AY$6-$G$3,22))),0)))))</f>
        <v>0</v>
      </c>
      <c r="AZ78" s="27" t="n">
        <f aca="false">IF(COUNT(Algodão!$E76:$Z76)=0,0,MAX(0,IF((AZ$6-$E$3)&lt;1,0,IFERROR(LOOKUP(2,1/(Algodão!$E76:INDEX(Algodão!$E76:$Z76,MIN(AZ$6-$E$3,22))&lt;&gt;""),Algodão!$E76:INDEX(Algodão!$E76:$Z76,MIN(AZ$6-$E$3,22))),0))-IF($G$2,0,IF((AZ$6-$G$3)&lt;1,0,IFERROR(LOOKUP(2,1/(Algodão!$E76:INDEX(Algodão!$E76:$Z76,MIN(AZ$6-$G$3,22))&lt;&gt;""),Algodão!$E76:INDEX(Algodão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IF(COUNT(Algodão!$E77:$Z77)&gt;0,N(Algodão!$D77),0)</f>
        <v>0</v>
      </c>
      <c r="E79" s="27" t="n">
        <f aca="false">IF(COUNT(Algodão!$E77:$Z77)=0,0,MAX(0,IF((E$6-$E$3)&lt;1,0,IFERROR(LOOKUP(2,1/(Algodão!$E77:INDEX(Algodão!$E77:$Z77,MIN(E$6-$E$3,22))&lt;&gt;""),Algodão!$E77:INDEX(Algodão!$E77:$Z77,MIN(E$6-$E$3,22))),0))-IF($G$2,0,IF((E$6-$G$3)&lt;1,0,IFERROR(LOOKUP(2,1/(Algodão!$E77:INDEX(Algodão!$E77:$Z77,MIN(E$6-$G$3,22))&lt;&gt;""),Algodão!$E77:INDEX(Algodão!$E77:$Z77,MIN(E$6-$G$3,22))),0)))))</f>
        <v>0</v>
      </c>
      <c r="F79" s="27" t="n">
        <f aca="false">IF(COUNT(Algodão!$E77:$Z77)=0,0,MAX(0,IF((F$6-$E$3)&lt;1,0,IFERROR(LOOKUP(2,1/(Algodão!$E77:INDEX(Algodão!$E77:$Z77,MIN(F$6-$E$3,22))&lt;&gt;""),Algodão!$E77:INDEX(Algodão!$E77:$Z77,MIN(F$6-$E$3,22))),0))-IF($G$2,0,IF((F$6-$G$3)&lt;1,0,IFERROR(LOOKUP(2,1/(Algodão!$E77:INDEX(Algodão!$E77:$Z77,MIN(F$6-$G$3,22))&lt;&gt;""),Algodão!$E77:INDEX(Algodão!$E77:$Z77,MIN(F$6-$G$3,22))),0)))))</f>
        <v>0</v>
      </c>
      <c r="G79" s="27" t="n">
        <f aca="false">IF(COUNT(Algodão!$E77:$Z77)=0,0,MAX(0,IF((G$6-$E$3)&lt;1,0,IFERROR(LOOKUP(2,1/(Algodão!$E77:INDEX(Algodão!$E77:$Z77,MIN(G$6-$E$3,22))&lt;&gt;""),Algodão!$E77:INDEX(Algodão!$E77:$Z77,MIN(G$6-$E$3,22))),0))-IF($G$2,0,IF((G$6-$G$3)&lt;1,0,IFERROR(LOOKUP(2,1/(Algodão!$E77:INDEX(Algodão!$E77:$Z77,MIN(G$6-$G$3,22))&lt;&gt;""),Algodão!$E77:INDEX(Algodão!$E77:$Z77,MIN(G$6-$G$3,22))),0)))))</f>
        <v>0</v>
      </c>
      <c r="H79" s="27" t="n">
        <f aca="false">IF(COUNT(Algodão!$E77:$Z77)=0,0,MAX(0,IF((H$6-$E$3)&lt;1,0,IFERROR(LOOKUP(2,1/(Algodão!$E77:INDEX(Algodão!$E77:$Z77,MIN(H$6-$E$3,22))&lt;&gt;""),Algodão!$E77:INDEX(Algodão!$E77:$Z77,MIN(H$6-$E$3,22))),0))-IF($G$2,0,IF((H$6-$G$3)&lt;1,0,IFERROR(LOOKUP(2,1/(Algodão!$E77:INDEX(Algodão!$E77:$Z77,MIN(H$6-$G$3,22))&lt;&gt;""),Algodão!$E77:INDEX(Algodão!$E77:$Z77,MIN(H$6-$G$3,22))),0)))))</f>
        <v>0</v>
      </c>
      <c r="I79" s="27" t="n">
        <f aca="false">IF(COUNT(Algodão!$E77:$Z77)=0,0,MAX(0,IF((I$6-$E$3)&lt;1,0,IFERROR(LOOKUP(2,1/(Algodão!$E77:INDEX(Algodão!$E77:$Z77,MIN(I$6-$E$3,22))&lt;&gt;""),Algodão!$E77:INDEX(Algodão!$E77:$Z77,MIN(I$6-$E$3,22))),0))-IF($G$2,0,IF((I$6-$G$3)&lt;1,0,IFERROR(LOOKUP(2,1/(Algodão!$E77:INDEX(Algodão!$E77:$Z77,MIN(I$6-$G$3,22))&lt;&gt;""),Algodão!$E77:INDEX(Algodão!$E77:$Z77,MIN(I$6-$G$3,22))),0)))))</f>
        <v>0</v>
      </c>
      <c r="J79" s="27" t="n">
        <f aca="false">IF(COUNT(Algodão!$E77:$Z77)=0,0,MAX(0,IF((J$6-$E$3)&lt;1,0,IFERROR(LOOKUP(2,1/(Algodão!$E77:INDEX(Algodão!$E77:$Z77,MIN(J$6-$E$3,22))&lt;&gt;""),Algodão!$E77:INDEX(Algodão!$E77:$Z77,MIN(J$6-$E$3,22))),0))-IF($G$2,0,IF((J$6-$G$3)&lt;1,0,IFERROR(LOOKUP(2,1/(Algodão!$E77:INDEX(Algodão!$E77:$Z77,MIN(J$6-$G$3,22))&lt;&gt;""),Algodão!$E77:INDEX(Algodão!$E77:$Z77,MIN(J$6-$G$3,22))),0)))))</f>
        <v>0</v>
      </c>
      <c r="K79" s="27" t="n">
        <f aca="false">IF(COUNT(Algodão!$E77:$Z77)=0,0,MAX(0,IF((K$6-$E$3)&lt;1,0,IFERROR(LOOKUP(2,1/(Algodão!$E77:INDEX(Algodão!$E77:$Z77,MIN(K$6-$E$3,22))&lt;&gt;""),Algodão!$E77:INDEX(Algodão!$E77:$Z77,MIN(K$6-$E$3,22))),0))-IF($G$2,0,IF((K$6-$G$3)&lt;1,0,IFERROR(LOOKUP(2,1/(Algodão!$E77:INDEX(Algodão!$E77:$Z77,MIN(K$6-$G$3,22))&lt;&gt;""),Algodão!$E77:INDEX(Algodão!$E77:$Z77,MIN(K$6-$G$3,22))),0)))))</f>
        <v>0</v>
      </c>
      <c r="L79" s="27" t="n">
        <f aca="false">IF(COUNT(Algodão!$E77:$Z77)=0,0,MAX(0,IF((L$6-$E$3)&lt;1,0,IFERROR(LOOKUP(2,1/(Algodão!$E77:INDEX(Algodão!$E77:$Z77,MIN(L$6-$E$3,22))&lt;&gt;""),Algodão!$E77:INDEX(Algodão!$E77:$Z77,MIN(L$6-$E$3,22))),0))-IF($G$2,0,IF((L$6-$G$3)&lt;1,0,IFERROR(LOOKUP(2,1/(Algodão!$E77:INDEX(Algodão!$E77:$Z77,MIN(L$6-$G$3,22))&lt;&gt;""),Algodão!$E77:INDEX(Algodão!$E77:$Z77,MIN(L$6-$G$3,22))),0)))))</f>
        <v>0</v>
      </c>
      <c r="M79" s="27" t="n">
        <f aca="false">IF(COUNT(Algodão!$E77:$Z77)=0,0,MAX(0,IF((M$6-$E$3)&lt;1,0,IFERROR(LOOKUP(2,1/(Algodão!$E77:INDEX(Algodão!$E77:$Z77,MIN(M$6-$E$3,22))&lt;&gt;""),Algodão!$E77:INDEX(Algodão!$E77:$Z77,MIN(M$6-$E$3,22))),0))-IF($G$2,0,IF((M$6-$G$3)&lt;1,0,IFERROR(LOOKUP(2,1/(Algodão!$E77:INDEX(Algodão!$E77:$Z77,MIN(M$6-$G$3,22))&lt;&gt;""),Algodão!$E77:INDEX(Algodão!$E77:$Z77,MIN(M$6-$G$3,22))),0)))))</f>
        <v>0</v>
      </c>
      <c r="N79" s="27" t="n">
        <f aca="false">IF(COUNT(Algodão!$E77:$Z77)=0,0,MAX(0,IF((N$6-$E$3)&lt;1,0,IFERROR(LOOKUP(2,1/(Algodão!$E77:INDEX(Algodão!$E77:$Z77,MIN(N$6-$E$3,22))&lt;&gt;""),Algodão!$E77:INDEX(Algodão!$E77:$Z77,MIN(N$6-$E$3,22))),0))-IF($G$2,0,IF((N$6-$G$3)&lt;1,0,IFERROR(LOOKUP(2,1/(Algodão!$E77:INDEX(Algodão!$E77:$Z77,MIN(N$6-$G$3,22))&lt;&gt;""),Algodão!$E77:INDEX(Algodão!$E77:$Z77,MIN(N$6-$G$3,22))),0)))))</f>
        <v>0</v>
      </c>
      <c r="O79" s="27" t="n">
        <f aca="false">IF(COUNT(Algodão!$E77:$Z77)=0,0,MAX(0,IF((O$6-$E$3)&lt;1,0,IFERROR(LOOKUP(2,1/(Algodão!$E77:INDEX(Algodão!$E77:$Z77,MIN(O$6-$E$3,22))&lt;&gt;""),Algodão!$E77:INDEX(Algodão!$E77:$Z77,MIN(O$6-$E$3,22))),0))-IF($G$2,0,IF((O$6-$G$3)&lt;1,0,IFERROR(LOOKUP(2,1/(Algodão!$E77:INDEX(Algodão!$E77:$Z77,MIN(O$6-$G$3,22))&lt;&gt;""),Algodão!$E77:INDEX(Algodão!$E77:$Z77,MIN(O$6-$G$3,22))),0)))))</f>
        <v>0</v>
      </c>
      <c r="P79" s="27" t="n">
        <f aca="false">IF(COUNT(Algodão!$E77:$Z77)=0,0,MAX(0,IF((P$6-$E$3)&lt;1,0,IFERROR(LOOKUP(2,1/(Algodão!$E77:INDEX(Algodão!$E77:$Z77,MIN(P$6-$E$3,22))&lt;&gt;""),Algodão!$E77:INDEX(Algodão!$E77:$Z77,MIN(P$6-$E$3,22))),0))-IF($G$2,0,IF((P$6-$G$3)&lt;1,0,IFERROR(LOOKUP(2,1/(Algodão!$E77:INDEX(Algodão!$E77:$Z77,MIN(P$6-$G$3,22))&lt;&gt;""),Algodão!$E77:INDEX(Algodão!$E77:$Z77,MIN(P$6-$G$3,22))),0)))))</f>
        <v>0</v>
      </c>
      <c r="Q79" s="27" t="n">
        <f aca="false">IF(COUNT(Algodão!$E77:$Z77)=0,0,MAX(0,IF((Q$6-$E$3)&lt;1,0,IFERROR(LOOKUP(2,1/(Algodão!$E77:INDEX(Algodão!$E77:$Z77,MIN(Q$6-$E$3,22))&lt;&gt;""),Algodão!$E77:INDEX(Algodão!$E77:$Z77,MIN(Q$6-$E$3,22))),0))-IF($G$2,0,IF((Q$6-$G$3)&lt;1,0,IFERROR(LOOKUP(2,1/(Algodão!$E77:INDEX(Algodão!$E77:$Z77,MIN(Q$6-$G$3,22))&lt;&gt;""),Algodão!$E77:INDEX(Algodão!$E77:$Z77,MIN(Q$6-$G$3,22))),0)))))</f>
        <v>0</v>
      </c>
      <c r="R79" s="27" t="n">
        <f aca="false">IF(COUNT(Algodão!$E77:$Z77)=0,0,MAX(0,IF((R$6-$E$3)&lt;1,0,IFERROR(LOOKUP(2,1/(Algodão!$E77:INDEX(Algodão!$E77:$Z77,MIN(R$6-$E$3,22))&lt;&gt;""),Algodão!$E77:INDEX(Algodão!$E77:$Z77,MIN(R$6-$E$3,22))),0))-IF($G$2,0,IF((R$6-$G$3)&lt;1,0,IFERROR(LOOKUP(2,1/(Algodão!$E77:INDEX(Algodão!$E77:$Z77,MIN(R$6-$G$3,22))&lt;&gt;""),Algodão!$E77:INDEX(Algodão!$E77:$Z77,MIN(R$6-$G$3,22))),0)))))</f>
        <v>0</v>
      </c>
      <c r="S79" s="27" t="n">
        <f aca="false">IF(COUNT(Algodão!$E77:$Z77)=0,0,MAX(0,IF((S$6-$E$3)&lt;1,0,IFERROR(LOOKUP(2,1/(Algodão!$E77:INDEX(Algodão!$E77:$Z77,MIN(S$6-$E$3,22))&lt;&gt;""),Algodão!$E77:INDEX(Algodão!$E77:$Z77,MIN(S$6-$E$3,22))),0))-IF($G$2,0,IF((S$6-$G$3)&lt;1,0,IFERROR(LOOKUP(2,1/(Algodão!$E77:INDEX(Algodão!$E77:$Z77,MIN(S$6-$G$3,22))&lt;&gt;""),Algodão!$E77:INDEX(Algodão!$E77:$Z77,MIN(S$6-$G$3,22))),0)))))</f>
        <v>0</v>
      </c>
      <c r="T79" s="27" t="n">
        <f aca="false">IF(COUNT(Algodão!$E77:$Z77)=0,0,MAX(0,IF((T$6-$E$3)&lt;1,0,IFERROR(LOOKUP(2,1/(Algodão!$E77:INDEX(Algodão!$E77:$Z77,MIN(T$6-$E$3,22))&lt;&gt;""),Algodão!$E77:INDEX(Algodão!$E77:$Z77,MIN(T$6-$E$3,22))),0))-IF($G$2,0,IF((T$6-$G$3)&lt;1,0,IFERROR(LOOKUP(2,1/(Algodão!$E77:INDEX(Algodão!$E77:$Z77,MIN(T$6-$G$3,22))&lt;&gt;""),Algodão!$E77:INDEX(Algodão!$E77:$Z77,MIN(T$6-$G$3,22))),0)))))</f>
        <v>0</v>
      </c>
      <c r="U79" s="27" t="n">
        <f aca="false">IF(COUNT(Algodão!$E77:$Z77)=0,0,MAX(0,IF((U$6-$E$3)&lt;1,0,IFERROR(LOOKUP(2,1/(Algodão!$E77:INDEX(Algodão!$E77:$Z77,MIN(U$6-$E$3,22))&lt;&gt;""),Algodão!$E77:INDEX(Algodão!$E77:$Z77,MIN(U$6-$E$3,22))),0))-IF($G$2,0,IF((U$6-$G$3)&lt;1,0,IFERROR(LOOKUP(2,1/(Algodão!$E77:INDEX(Algodão!$E77:$Z77,MIN(U$6-$G$3,22))&lt;&gt;""),Algodão!$E77:INDEX(Algodão!$E77:$Z77,MIN(U$6-$G$3,22))),0)))))</f>
        <v>0</v>
      </c>
      <c r="V79" s="27" t="n">
        <f aca="false">IF(COUNT(Algodão!$E77:$Z77)=0,0,MAX(0,IF((V$6-$E$3)&lt;1,0,IFERROR(LOOKUP(2,1/(Algodão!$E77:INDEX(Algodão!$E77:$Z77,MIN(V$6-$E$3,22))&lt;&gt;""),Algodão!$E77:INDEX(Algodão!$E77:$Z77,MIN(V$6-$E$3,22))),0))-IF($G$2,0,IF((V$6-$G$3)&lt;1,0,IFERROR(LOOKUP(2,1/(Algodão!$E77:INDEX(Algodão!$E77:$Z77,MIN(V$6-$G$3,22))&lt;&gt;""),Algodão!$E77:INDEX(Algodão!$E77:$Z77,MIN(V$6-$G$3,22))),0)))))</f>
        <v>0</v>
      </c>
      <c r="W79" s="27" t="n">
        <f aca="false">IF(COUNT(Algodão!$E77:$Z77)=0,0,MAX(0,IF((W$6-$E$3)&lt;1,0,IFERROR(LOOKUP(2,1/(Algodão!$E77:INDEX(Algodão!$E77:$Z77,MIN(W$6-$E$3,22))&lt;&gt;""),Algodão!$E77:INDEX(Algodão!$E77:$Z77,MIN(W$6-$E$3,22))),0))-IF($G$2,0,IF((W$6-$G$3)&lt;1,0,IFERROR(LOOKUP(2,1/(Algodão!$E77:INDEX(Algodão!$E77:$Z77,MIN(W$6-$G$3,22))&lt;&gt;""),Algodão!$E77:INDEX(Algodão!$E77:$Z77,MIN(W$6-$G$3,22))),0)))))</f>
        <v>0</v>
      </c>
      <c r="X79" s="27" t="n">
        <f aca="false">IF(COUNT(Algodão!$E77:$Z77)=0,0,MAX(0,IF((X$6-$E$3)&lt;1,0,IFERROR(LOOKUP(2,1/(Algodão!$E77:INDEX(Algodão!$E77:$Z77,MIN(X$6-$E$3,22))&lt;&gt;""),Algodão!$E77:INDEX(Algodão!$E77:$Z77,MIN(X$6-$E$3,22))),0))-IF($G$2,0,IF((X$6-$G$3)&lt;1,0,IFERROR(LOOKUP(2,1/(Algodão!$E77:INDEX(Algodão!$E77:$Z77,MIN(X$6-$G$3,22))&lt;&gt;""),Algodão!$E77:INDEX(Algodão!$E77:$Z77,MIN(X$6-$G$3,22))),0)))))</f>
        <v>0</v>
      </c>
      <c r="Y79" s="27" t="n">
        <f aca="false">IF(COUNT(Algodão!$E77:$Z77)=0,0,MAX(0,IF((Y$6-$E$3)&lt;1,0,IFERROR(LOOKUP(2,1/(Algodão!$E77:INDEX(Algodão!$E77:$Z77,MIN(Y$6-$E$3,22))&lt;&gt;""),Algodão!$E77:INDEX(Algodão!$E77:$Z77,MIN(Y$6-$E$3,22))),0))-IF($G$2,0,IF((Y$6-$G$3)&lt;1,0,IFERROR(LOOKUP(2,1/(Algodão!$E77:INDEX(Algodão!$E77:$Z77,MIN(Y$6-$G$3,22))&lt;&gt;""),Algodão!$E77:INDEX(Algodão!$E77:$Z77,MIN(Y$6-$G$3,22))),0)))))</f>
        <v>0</v>
      </c>
      <c r="Z79" s="27" t="n">
        <f aca="false">IF(COUNT(Algodão!$E77:$Z77)=0,0,MAX(0,IF((Z$6-$E$3)&lt;1,0,IFERROR(LOOKUP(2,1/(Algodão!$E77:INDEX(Algodão!$E77:$Z77,MIN(Z$6-$E$3,22))&lt;&gt;""),Algodão!$E77:INDEX(Algodão!$E77:$Z77,MIN(Z$6-$E$3,22))),0))-IF($G$2,0,IF((Z$6-$G$3)&lt;1,0,IFERROR(LOOKUP(2,1/(Algodão!$E77:INDEX(Algodão!$E77:$Z77,MIN(Z$6-$G$3,22))&lt;&gt;""),Algodão!$E77:INDEX(Algodão!$E77:$Z77,MIN(Z$6-$G$3,22))),0)))))</f>
        <v>0</v>
      </c>
      <c r="AA79" s="27" t="n">
        <f aca="false">IF(COUNT(Algodão!$E77:$Z77)=0,0,MAX(0,IF((AA$6-$E$3)&lt;1,0,IFERROR(LOOKUP(2,1/(Algodão!$E77:INDEX(Algodão!$E77:$Z77,MIN(AA$6-$E$3,22))&lt;&gt;""),Algodão!$E77:INDEX(Algodão!$E77:$Z77,MIN(AA$6-$E$3,22))),0))-IF($G$2,0,IF((AA$6-$G$3)&lt;1,0,IFERROR(LOOKUP(2,1/(Algodão!$E77:INDEX(Algodão!$E77:$Z77,MIN(AA$6-$G$3,22))&lt;&gt;""),Algodão!$E77:INDEX(Algodão!$E77:$Z77,MIN(AA$6-$G$3,22))),0)))))</f>
        <v>0</v>
      </c>
      <c r="AB79" s="27" t="n">
        <f aca="false">IF(COUNT(Algodão!$E77:$Z77)=0,0,MAX(0,IF((AB$6-$E$3)&lt;1,0,IFERROR(LOOKUP(2,1/(Algodão!$E77:INDEX(Algodão!$E77:$Z77,MIN(AB$6-$E$3,22))&lt;&gt;""),Algodão!$E77:INDEX(Algodão!$E77:$Z77,MIN(AB$6-$E$3,22))),0))-IF($G$2,0,IF((AB$6-$G$3)&lt;1,0,IFERROR(LOOKUP(2,1/(Algodão!$E77:INDEX(Algodão!$E77:$Z77,MIN(AB$6-$G$3,22))&lt;&gt;""),Algodão!$E77:INDEX(Algodão!$E77:$Z77,MIN(AB$6-$G$3,22))),0)))))</f>
        <v>0</v>
      </c>
      <c r="AC79" s="27" t="n">
        <f aca="false">IF(COUNT(Algodão!$E77:$Z77)=0,0,MAX(0,IF((AC$6-$E$3)&lt;1,0,IFERROR(LOOKUP(2,1/(Algodão!$E77:INDEX(Algodão!$E77:$Z77,MIN(AC$6-$E$3,22))&lt;&gt;""),Algodão!$E77:INDEX(Algodão!$E77:$Z77,MIN(AC$6-$E$3,22))),0))-IF($G$2,0,IF((AC$6-$G$3)&lt;1,0,IFERROR(LOOKUP(2,1/(Algodão!$E77:INDEX(Algodão!$E77:$Z77,MIN(AC$6-$G$3,22))&lt;&gt;""),Algodão!$E77:INDEX(Algodão!$E77:$Z77,MIN(AC$6-$G$3,22))),0)))))</f>
        <v>0</v>
      </c>
      <c r="AD79" s="27" t="n">
        <f aca="false">IF(COUNT(Algodão!$E77:$Z77)=0,0,MAX(0,IF((AD$6-$E$3)&lt;1,0,IFERROR(LOOKUP(2,1/(Algodão!$E77:INDEX(Algodão!$E77:$Z77,MIN(AD$6-$E$3,22))&lt;&gt;""),Algodão!$E77:INDEX(Algodão!$E77:$Z77,MIN(AD$6-$E$3,22))),0))-IF($G$2,0,IF((AD$6-$G$3)&lt;1,0,IFERROR(LOOKUP(2,1/(Algodão!$E77:INDEX(Algodão!$E77:$Z77,MIN(AD$6-$G$3,22))&lt;&gt;""),Algodão!$E77:INDEX(Algodão!$E77:$Z77,MIN(AD$6-$G$3,22))),0)))))</f>
        <v>0</v>
      </c>
      <c r="AE79" s="27" t="n">
        <f aca="false">IF(COUNT(Algodão!$E77:$Z77)=0,0,MAX(0,IF((AE$6-$E$3)&lt;1,0,IFERROR(LOOKUP(2,1/(Algodão!$E77:INDEX(Algodão!$E77:$Z77,MIN(AE$6-$E$3,22))&lt;&gt;""),Algodão!$E77:INDEX(Algodão!$E77:$Z77,MIN(AE$6-$E$3,22))),0))-IF($G$2,0,IF((AE$6-$G$3)&lt;1,0,IFERROR(LOOKUP(2,1/(Algodão!$E77:INDEX(Algodão!$E77:$Z77,MIN(AE$6-$G$3,22))&lt;&gt;""),Algodão!$E77:INDEX(Algodão!$E77:$Z77,MIN(AE$6-$G$3,22))),0)))))</f>
        <v>0</v>
      </c>
      <c r="AF79" s="27" t="n">
        <f aca="false">IF(COUNT(Algodão!$E77:$Z77)=0,0,MAX(0,IF((AF$6-$E$3)&lt;1,0,IFERROR(LOOKUP(2,1/(Algodão!$E77:INDEX(Algodão!$E77:$Z77,MIN(AF$6-$E$3,22))&lt;&gt;""),Algodão!$E77:INDEX(Algodão!$E77:$Z77,MIN(AF$6-$E$3,22))),0))-IF($G$2,0,IF((AF$6-$G$3)&lt;1,0,IFERROR(LOOKUP(2,1/(Algodão!$E77:INDEX(Algodão!$E77:$Z77,MIN(AF$6-$G$3,22))&lt;&gt;""),Algodão!$E77:INDEX(Algodão!$E77:$Z77,MIN(AF$6-$G$3,22))),0)))))</f>
        <v>0</v>
      </c>
      <c r="AG79" s="27" t="n">
        <f aca="false">IF(COUNT(Algodão!$E77:$Z77)=0,0,MAX(0,IF((AG$6-$E$3)&lt;1,0,IFERROR(LOOKUP(2,1/(Algodão!$E77:INDEX(Algodão!$E77:$Z77,MIN(AG$6-$E$3,22))&lt;&gt;""),Algodão!$E77:INDEX(Algodão!$E77:$Z77,MIN(AG$6-$E$3,22))),0))-IF($G$2,0,IF((AG$6-$G$3)&lt;1,0,IFERROR(LOOKUP(2,1/(Algodão!$E77:INDEX(Algodão!$E77:$Z77,MIN(AG$6-$G$3,22))&lt;&gt;""),Algodão!$E77:INDEX(Algodão!$E77:$Z77,MIN(AG$6-$G$3,22))),0)))))</f>
        <v>0</v>
      </c>
      <c r="AH79" s="27" t="n">
        <f aca="false">IF(COUNT(Algodão!$E77:$Z77)=0,0,MAX(0,IF((AH$6-$E$3)&lt;1,0,IFERROR(LOOKUP(2,1/(Algodão!$E77:INDEX(Algodão!$E77:$Z77,MIN(AH$6-$E$3,22))&lt;&gt;""),Algodão!$E77:INDEX(Algodão!$E77:$Z77,MIN(AH$6-$E$3,22))),0))-IF($G$2,0,IF((AH$6-$G$3)&lt;1,0,IFERROR(LOOKUP(2,1/(Algodão!$E77:INDEX(Algodão!$E77:$Z77,MIN(AH$6-$G$3,22))&lt;&gt;""),Algodão!$E77:INDEX(Algodão!$E77:$Z77,MIN(AH$6-$G$3,22))),0)))))</f>
        <v>0</v>
      </c>
      <c r="AI79" s="27" t="n">
        <f aca="false">IF(COUNT(Algodão!$E77:$Z77)=0,0,MAX(0,IF((AI$6-$E$3)&lt;1,0,IFERROR(LOOKUP(2,1/(Algodão!$E77:INDEX(Algodão!$E77:$Z77,MIN(AI$6-$E$3,22))&lt;&gt;""),Algodão!$E77:INDEX(Algodão!$E77:$Z77,MIN(AI$6-$E$3,22))),0))-IF($G$2,0,IF((AI$6-$G$3)&lt;1,0,IFERROR(LOOKUP(2,1/(Algodão!$E77:INDEX(Algodão!$E77:$Z77,MIN(AI$6-$G$3,22))&lt;&gt;""),Algodão!$E77:INDEX(Algodão!$E77:$Z77,MIN(AI$6-$G$3,22))),0)))))</f>
        <v>0</v>
      </c>
      <c r="AJ79" s="27" t="n">
        <f aca="false">IF(COUNT(Algodão!$E77:$Z77)=0,0,MAX(0,IF((AJ$6-$E$3)&lt;1,0,IFERROR(LOOKUP(2,1/(Algodão!$E77:INDEX(Algodão!$E77:$Z77,MIN(AJ$6-$E$3,22))&lt;&gt;""),Algodão!$E77:INDEX(Algodão!$E77:$Z77,MIN(AJ$6-$E$3,22))),0))-IF($G$2,0,IF((AJ$6-$G$3)&lt;1,0,IFERROR(LOOKUP(2,1/(Algodão!$E77:INDEX(Algodão!$E77:$Z77,MIN(AJ$6-$G$3,22))&lt;&gt;""),Algodão!$E77:INDEX(Algodão!$E77:$Z77,MIN(AJ$6-$G$3,22))),0)))))</f>
        <v>0</v>
      </c>
      <c r="AK79" s="27" t="n">
        <f aca="false">IF(COUNT(Algodão!$E77:$Z77)=0,0,MAX(0,IF((AK$6-$E$3)&lt;1,0,IFERROR(LOOKUP(2,1/(Algodão!$E77:INDEX(Algodão!$E77:$Z77,MIN(AK$6-$E$3,22))&lt;&gt;""),Algodão!$E77:INDEX(Algodão!$E77:$Z77,MIN(AK$6-$E$3,22))),0))-IF($G$2,0,IF((AK$6-$G$3)&lt;1,0,IFERROR(LOOKUP(2,1/(Algodão!$E77:INDEX(Algodão!$E77:$Z77,MIN(AK$6-$G$3,22))&lt;&gt;""),Algodão!$E77:INDEX(Algodão!$E77:$Z77,MIN(AK$6-$G$3,22))),0)))))</f>
        <v>0</v>
      </c>
      <c r="AL79" s="27" t="n">
        <f aca="false">IF(COUNT(Algodão!$E77:$Z77)=0,0,MAX(0,IF((AL$6-$E$3)&lt;1,0,IFERROR(LOOKUP(2,1/(Algodão!$E77:INDEX(Algodão!$E77:$Z77,MIN(AL$6-$E$3,22))&lt;&gt;""),Algodão!$E77:INDEX(Algodão!$E77:$Z77,MIN(AL$6-$E$3,22))),0))-IF($G$2,0,IF((AL$6-$G$3)&lt;1,0,IFERROR(LOOKUP(2,1/(Algodão!$E77:INDEX(Algodão!$E77:$Z77,MIN(AL$6-$G$3,22))&lt;&gt;""),Algodão!$E77:INDEX(Algodão!$E77:$Z77,MIN(AL$6-$G$3,22))),0)))))</f>
        <v>0</v>
      </c>
      <c r="AM79" s="27" t="n">
        <f aca="false">IF(COUNT(Algodão!$E77:$Z77)=0,0,MAX(0,IF((AM$6-$E$3)&lt;1,0,IFERROR(LOOKUP(2,1/(Algodão!$E77:INDEX(Algodão!$E77:$Z77,MIN(AM$6-$E$3,22))&lt;&gt;""),Algodão!$E77:INDEX(Algodão!$E77:$Z77,MIN(AM$6-$E$3,22))),0))-IF($G$2,0,IF((AM$6-$G$3)&lt;1,0,IFERROR(LOOKUP(2,1/(Algodão!$E77:INDEX(Algodão!$E77:$Z77,MIN(AM$6-$G$3,22))&lt;&gt;""),Algodão!$E77:INDEX(Algodão!$E77:$Z77,MIN(AM$6-$G$3,22))),0)))))</f>
        <v>0</v>
      </c>
      <c r="AN79" s="27" t="n">
        <f aca="false">IF(COUNT(Algodão!$E77:$Z77)=0,0,MAX(0,IF((AN$6-$E$3)&lt;1,0,IFERROR(LOOKUP(2,1/(Algodão!$E77:INDEX(Algodão!$E77:$Z77,MIN(AN$6-$E$3,22))&lt;&gt;""),Algodão!$E77:INDEX(Algodão!$E77:$Z77,MIN(AN$6-$E$3,22))),0))-IF($G$2,0,IF((AN$6-$G$3)&lt;1,0,IFERROR(LOOKUP(2,1/(Algodão!$E77:INDEX(Algodão!$E77:$Z77,MIN(AN$6-$G$3,22))&lt;&gt;""),Algodão!$E77:INDEX(Algodão!$E77:$Z77,MIN(AN$6-$G$3,22))),0)))))</f>
        <v>0</v>
      </c>
      <c r="AO79" s="27" t="n">
        <f aca="false">IF(COUNT(Algodão!$E77:$Z77)=0,0,MAX(0,IF((AO$6-$E$3)&lt;1,0,IFERROR(LOOKUP(2,1/(Algodão!$E77:INDEX(Algodão!$E77:$Z77,MIN(AO$6-$E$3,22))&lt;&gt;""),Algodão!$E77:INDEX(Algodão!$E77:$Z77,MIN(AO$6-$E$3,22))),0))-IF($G$2,0,IF((AO$6-$G$3)&lt;1,0,IFERROR(LOOKUP(2,1/(Algodão!$E77:INDEX(Algodão!$E77:$Z77,MIN(AO$6-$G$3,22))&lt;&gt;""),Algodão!$E77:INDEX(Algodão!$E77:$Z77,MIN(AO$6-$G$3,22))),0)))))</f>
        <v>0</v>
      </c>
      <c r="AP79" s="27" t="n">
        <f aca="false">IF(COUNT(Algodão!$E77:$Z77)=0,0,MAX(0,IF((AP$6-$E$3)&lt;1,0,IFERROR(LOOKUP(2,1/(Algodão!$E77:INDEX(Algodão!$E77:$Z77,MIN(AP$6-$E$3,22))&lt;&gt;""),Algodão!$E77:INDEX(Algodão!$E77:$Z77,MIN(AP$6-$E$3,22))),0))-IF($G$2,0,IF((AP$6-$G$3)&lt;1,0,IFERROR(LOOKUP(2,1/(Algodão!$E77:INDEX(Algodão!$E77:$Z77,MIN(AP$6-$G$3,22))&lt;&gt;""),Algodão!$E77:INDEX(Algodão!$E77:$Z77,MIN(AP$6-$G$3,22))),0)))))</f>
        <v>0</v>
      </c>
      <c r="AQ79" s="27" t="n">
        <f aca="false">IF(COUNT(Algodão!$E77:$Z77)=0,0,MAX(0,IF((AQ$6-$E$3)&lt;1,0,IFERROR(LOOKUP(2,1/(Algodão!$E77:INDEX(Algodão!$E77:$Z77,MIN(AQ$6-$E$3,22))&lt;&gt;""),Algodão!$E77:INDEX(Algodão!$E77:$Z77,MIN(AQ$6-$E$3,22))),0))-IF($G$2,0,IF((AQ$6-$G$3)&lt;1,0,IFERROR(LOOKUP(2,1/(Algodão!$E77:INDEX(Algodão!$E77:$Z77,MIN(AQ$6-$G$3,22))&lt;&gt;""),Algodão!$E77:INDEX(Algodão!$E77:$Z77,MIN(AQ$6-$G$3,22))),0)))))</f>
        <v>0</v>
      </c>
      <c r="AR79" s="27" t="n">
        <f aca="false">IF(COUNT(Algodão!$E77:$Z77)=0,0,MAX(0,IF((AR$6-$E$3)&lt;1,0,IFERROR(LOOKUP(2,1/(Algodão!$E77:INDEX(Algodão!$E77:$Z77,MIN(AR$6-$E$3,22))&lt;&gt;""),Algodão!$E77:INDEX(Algodão!$E77:$Z77,MIN(AR$6-$E$3,22))),0))-IF($G$2,0,IF((AR$6-$G$3)&lt;1,0,IFERROR(LOOKUP(2,1/(Algodão!$E77:INDEX(Algodão!$E77:$Z77,MIN(AR$6-$G$3,22))&lt;&gt;""),Algodão!$E77:INDEX(Algodão!$E77:$Z77,MIN(AR$6-$G$3,22))),0)))))</f>
        <v>0</v>
      </c>
      <c r="AS79" s="27" t="n">
        <f aca="false">IF(COUNT(Algodão!$E77:$Z77)=0,0,MAX(0,IF((AS$6-$E$3)&lt;1,0,IFERROR(LOOKUP(2,1/(Algodão!$E77:INDEX(Algodão!$E77:$Z77,MIN(AS$6-$E$3,22))&lt;&gt;""),Algodão!$E77:INDEX(Algodão!$E77:$Z77,MIN(AS$6-$E$3,22))),0))-IF($G$2,0,IF((AS$6-$G$3)&lt;1,0,IFERROR(LOOKUP(2,1/(Algodão!$E77:INDEX(Algodão!$E77:$Z77,MIN(AS$6-$G$3,22))&lt;&gt;""),Algodão!$E77:INDEX(Algodão!$E77:$Z77,MIN(AS$6-$G$3,22))),0)))))</f>
        <v>0</v>
      </c>
      <c r="AT79" s="27" t="n">
        <f aca="false">IF(COUNT(Algodão!$E77:$Z77)=0,0,MAX(0,IF((AT$6-$E$3)&lt;1,0,IFERROR(LOOKUP(2,1/(Algodão!$E77:INDEX(Algodão!$E77:$Z77,MIN(AT$6-$E$3,22))&lt;&gt;""),Algodão!$E77:INDEX(Algodão!$E77:$Z77,MIN(AT$6-$E$3,22))),0))-IF($G$2,0,IF((AT$6-$G$3)&lt;1,0,IFERROR(LOOKUP(2,1/(Algodão!$E77:INDEX(Algodão!$E77:$Z77,MIN(AT$6-$G$3,22))&lt;&gt;""),Algodão!$E77:INDEX(Algodão!$E77:$Z77,MIN(AT$6-$G$3,22))),0)))))</f>
        <v>0</v>
      </c>
      <c r="AU79" s="27" t="n">
        <f aca="false">IF(COUNT(Algodão!$E77:$Z77)=0,0,MAX(0,IF((AU$6-$E$3)&lt;1,0,IFERROR(LOOKUP(2,1/(Algodão!$E77:INDEX(Algodão!$E77:$Z77,MIN(AU$6-$E$3,22))&lt;&gt;""),Algodão!$E77:INDEX(Algodão!$E77:$Z77,MIN(AU$6-$E$3,22))),0))-IF($G$2,0,IF((AU$6-$G$3)&lt;1,0,IFERROR(LOOKUP(2,1/(Algodão!$E77:INDEX(Algodão!$E77:$Z77,MIN(AU$6-$G$3,22))&lt;&gt;""),Algodão!$E77:INDEX(Algodão!$E77:$Z77,MIN(AU$6-$G$3,22))),0)))))</f>
        <v>0</v>
      </c>
      <c r="AV79" s="27" t="n">
        <f aca="false">IF(COUNT(Algodão!$E77:$Z77)=0,0,MAX(0,IF((AV$6-$E$3)&lt;1,0,IFERROR(LOOKUP(2,1/(Algodão!$E77:INDEX(Algodão!$E77:$Z77,MIN(AV$6-$E$3,22))&lt;&gt;""),Algodão!$E77:INDEX(Algodão!$E77:$Z77,MIN(AV$6-$E$3,22))),0))-IF($G$2,0,IF((AV$6-$G$3)&lt;1,0,IFERROR(LOOKUP(2,1/(Algodão!$E77:INDEX(Algodão!$E77:$Z77,MIN(AV$6-$G$3,22))&lt;&gt;""),Algodão!$E77:INDEX(Algodão!$E77:$Z77,MIN(AV$6-$G$3,22))),0)))))</f>
        <v>0</v>
      </c>
      <c r="AW79" s="27" t="n">
        <f aca="false">IF(COUNT(Algodão!$E77:$Z77)=0,0,MAX(0,IF((AW$6-$E$3)&lt;1,0,IFERROR(LOOKUP(2,1/(Algodão!$E77:INDEX(Algodão!$E77:$Z77,MIN(AW$6-$E$3,22))&lt;&gt;""),Algodão!$E77:INDEX(Algodão!$E77:$Z77,MIN(AW$6-$E$3,22))),0))-IF($G$2,0,IF((AW$6-$G$3)&lt;1,0,IFERROR(LOOKUP(2,1/(Algodão!$E77:INDEX(Algodão!$E77:$Z77,MIN(AW$6-$G$3,22))&lt;&gt;""),Algodão!$E77:INDEX(Algodão!$E77:$Z77,MIN(AW$6-$G$3,22))),0)))))</f>
        <v>0</v>
      </c>
      <c r="AX79" s="27" t="n">
        <f aca="false">IF(COUNT(Algodão!$E77:$Z77)=0,0,MAX(0,IF((AX$6-$E$3)&lt;1,0,IFERROR(LOOKUP(2,1/(Algodão!$E77:INDEX(Algodão!$E77:$Z77,MIN(AX$6-$E$3,22))&lt;&gt;""),Algodão!$E77:INDEX(Algodão!$E77:$Z77,MIN(AX$6-$E$3,22))),0))-IF($G$2,0,IF((AX$6-$G$3)&lt;1,0,IFERROR(LOOKUP(2,1/(Algodão!$E77:INDEX(Algodão!$E77:$Z77,MIN(AX$6-$G$3,22))&lt;&gt;""),Algodão!$E77:INDEX(Algodão!$E77:$Z77,MIN(AX$6-$G$3,22))),0)))))</f>
        <v>0</v>
      </c>
      <c r="AY79" s="27" t="n">
        <f aca="false">IF(COUNT(Algodão!$E77:$Z77)=0,0,MAX(0,IF((AY$6-$E$3)&lt;1,0,IFERROR(LOOKUP(2,1/(Algodão!$E77:INDEX(Algodão!$E77:$Z77,MIN(AY$6-$E$3,22))&lt;&gt;""),Algodão!$E77:INDEX(Algodão!$E77:$Z77,MIN(AY$6-$E$3,22))),0))-IF($G$2,0,IF((AY$6-$G$3)&lt;1,0,IFERROR(LOOKUP(2,1/(Algodão!$E77:INDEX(Algodão!$E77:$Z77,MIN(AY$6-$G$3,22))&lt;&gt;""),Algodão!$E77:INDEX(Algodão!$E77:$Z77,MIN(AY$6-$G$3,22))),0)))))</f>
        <v>0</v>
      </c>
      <c r="AZ79" s="27" t="n">
        <f aca="false">IF(COUNT(Algodão!$E77:$Z77)=0,0,MAX(0,IF((AZ$6-$E$3)&lt;1,0,IFERROR(LOOKUP(2,1/(Algodão!$E77:INDEX(Algodão!$E77:$Z77,MIN(AZ$6-$E$3,22))&lt;&gt;""),Algodão!$E77:INDEX(Algodão!$E77:$Z77,MIN(AZ$6-$E$3,22))),0))-IF($G$2,0,IF((AZ$6-$G$3)&lt;1,0,IFERROR(LOOKUP(2,1/(Algodão!$E77:INDEX(Algodão!$E77:$Z77,MIN(AZ$6-$G$3,22))&lt;&gt;""),Algodão!$E77:INDEX(Algodão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IF(COUNT(Algodão!$E78:$Z78)&gt;0,N(Algodão!$D78),0)</f>
        <v>0</v>
      </c>
      <c r="E80" s="27" t="n">
        <f aca="false">IF(COUNT(Algodão!$E78:$Z78)=0,0,MAX(0,IF((E$6-$E$3)&lt;1,0,IFERROR(LOOKUP(2,1/(Algodão!$E78:INDEX(Algodão!$E78:$Z78,MIN(E$6-$E$3,22))&lt;&gt;""),Algodão!$E78:INDEX(Algodão!$E78:$Z78,MIN(E$6-$E$3,22))),0))-IF($G$2,0,IF((E$6-$G$3)&lt;1,0,IFERROR(LOOKUP(2,1/(Algodão!$E78:INDEX(Algodão!$E78:$Z78,MIN(E$6-$G$3,22))&lt;&gt;""),Algodão!$E78:INDEX(Algodão!$E78:$Z78,MIN(E$6-$G$3,22))),0)))))</f>
        <v>0</v>
      </c>
      <c r="F80" s="27" t="n">
        <f aca="false">IF(COUNT(Algodão!$E78:$Z78)=0,0,MAX(0,IF((F$6-$E$3)&lt;1,0,IFERROR(LOOKUP(2,1/(Algodão!$E78:INDEX(Algodão!$E78:$Z78,MIN(F$6-$E$3,22))&lt;&gt;""),Algodão!$E78:INDEX(Algodão!$E78:$Z78,MIN(F$6-$E$3,22))),0))-IF($G$2,0,IF((F$6-$G$3)&lt;1,0,IFERROR(LOOKUP(2,1/(Algodão!$E78:INDEX(Algodão!$E78:$Z78,MIN(F$6-$G$3,22))&lt;&gt;""),Algodão!$E78:INDEX(Algodão!$E78:$Z78,MIN(F$6-$G$3,22))),0)))))</f>
        <v>0</v>
      </c>
      <c r="G80" s="27" t="n">
        <f aca="false">IF(COUNT(Algodão!$E78:$Z78)=0,0,MAX(0,IF((G$6-$E$3)&lt;1,0,IFERROR(LOOKUP(2,1/(Algodão!$E78:INDEX(Algodão!$E78:$Z78,MIN(G$6-$E$3,22))&lt;&gt;""),Algodão!$E78:INDEX(Algodão!$E78:$Z78,MIN(G$6-$E$3,22))),0))-IF($G$2,0,IF((G$6-$G$3)&lt;1,0,IFERROR(LOOKUP(2,1/(Algodão!$E78:INDEX(Algodão!$E78:$Z78,MIN(G$6-$G$3,22))&lt;&gt;""),Algodão!$E78:INDEX(Algodão!$E78:$Z78,MIN(G$6-$G$3,22))),0)))))</f>
        <v>0</v>
      </c>
      <c r="H80" s="27" t="n">
        <f aca="false">IF(COUNT(Algodão!$E78:$Z78)=0,0,MAX(0,IF((H$6-$E$3)&lt;1,0,IFERROR(LOOKUP(2,1/(Algodão!$E78:INDEX(Algodão!$E78:$Z78,MIN(H$6-$E$3,22))&lt;&gt;""),Algodão!$E78:INDEX(Algodão!$E78:$Z78,MIN(H$6-$E$3,22))),0))-IF($G$2,0,IF((H$6-$G$3)&lt;1,0,IFERROR(LOOKUP(2,1/(Algodão!$E78:INDEX(Algodão!$E78:$Z78,MIN(H$6-$G$3,22))&lt;&gt;""),Algodão!$E78:INDEX(Algodão!$E78:$Z78,MIN(H$6-$G$3,22))),0)))))</f>
        <v>0</v>
      </c>
      <c r="I80" s="27" t="n">
        <f aca="false">IF(COUNT(Algodão!$E78:$Z78)=0,0,MAX(0,IF((I$6-$E$3)&lt;1,0,IFERROR(LOOKUP(2,1/(Algodão!$E78:INDEX(Algodão!$E78:$Z78,MIN(I$6-$E$3,22))&lt;&gt;""),Algodão!$E78:INDEX(Algodão!$E78:$Z78,MIN(I$6-$E$3,22))),0))-IF($G$2,0,IF((I$6-$G$3)&lt;1,0,IFERROR(LOOKUP(2,1/(Algodão!$E78:INDEX(Algodão!$E78:$Z78,MIN(I$6-$G$3,22))&lt;&gt;""),Algodão!$E78:INDEX(Algodão!$E78:$Z78,MIN(I$6-$G$3,22))),0)))))</f>
        <v>0</v>
      </c>
      <c r="J80" s="27" t="n">
        <f aca="false">IF(COUNT(Algodão!$E78:$Z78)=0,0,MAX(0,IF((J$6-$E$3)&lt;1,0,IFERROR(LOOKUP(2,1/(Algodão!$E78:INDEX(Algodão!$E78:$Z78,MIN(J$6-$E$3,22))&lt;&gt;""),Algodão!$E78:INDEX(Algodão!$E78:$Z78,MIN(J$6-$E$3,22))),0))-IF($G$2,0,IF((J$6-$G$3)&lt;1,0,IFERROR(LOOKUP(2,1/(Algodão!$E78:INDEX(Algodão!$E78:$Z78,MIN(J$6-$G$3,22))&lt;&gt;""),Algodão!$E78:INDEX(Algodão!$E78:$Z78,MIN(J$6-$G$3,22))),0)))))</f>
        <v>0</v>
      </c>
      <c r="K80" s="27" t="n">
        <f aca="false">IF(COUNT(Algodão!$E78:$Z78)=0,0,MAX(0,IF((K$6-$E$3)&lt;1,0,IFERROR(LOOKUP(2,1/(Algodão!$E78:INDEX(Algodão!$E78:$Z78,MIN(K$6-$E$3,22))&lt;&gt;""),Algodão!$E78:INDEX(Algodão!$E78:$Z78,MIN(K$6-$E$3,22))),0))-IF($G$2,0,IF((K$6-$G$3)&lt;1,0,IFERROR(LOOKUP(2,1/(Algodão!$E78:INDEX(Algodão!$E78:$Z78,MIN(K$6-$G$3,22))&lt;&gt;""),Algodão!$E78:INDEX(Algodão!$E78:$Z78,MIN(K$6-$G$3,22))),0)))))</f>
        <v>0</v>
      </c>
      <c r="L80" s="27" t="n">
        <f aca="false">IF(COUNT(Algodão!$E78:$Z78)=0,0,MAX(0,IF((L$6-$E$3)&lt;1,0,IFERROR(LOOKUP(2,1/(Algodão!$E78:INDEX(Algodão!$E78:$Z78,MIN(L$6-$E$3,22))&lt;&gt;""),Algodão!$E78:INDEX(Algodão!$E78:$Z78,MIN(L$6-$E$3,22))),0))-IF($G$2,0,IF((L$6-$G$3)&lt;1,0,IFERROR(LOOKUP(2,1/(Algodão!$E78:INDEX(Algodão!$E78:$Z78,MIN(L$6-$G$3,22))&lt;&gt;""),Algodão!$E78:INDEX(Algodão!$E78:$Z78,MIN(L$6-$G$3,22))),0)))))</f>
        <v>0</v>
      </c>
      <c r="M80" s="27" t="n">
        <f aca="false">IF(COUNT(Algodão!$E78:$Z78)=0,0,MAX(0,IF((M$6-$E$3)&lt;1,0,IFERROR(LOOKUP(2,1/(Algodão!$E78:INDEX(Algodão!$E78:$Z78,MIN(M$6-$E$3,22))&lt;&gt;""),Algodão!$E78:INDEX(Algodão!$E78:$Z78,MIN(M$6-$E$3,22))),0))-IF($G$2,0,IF((M$6-$G$3)&lt;1,0,IFERROR(LOOKUP(2,1/(Algodão!$E78:INDEX(Algodão!$E78:$Z78,MIN(M$6-$G$3,22))&lt;&gt;""),Algodão!$E78:INDEX(Algodão!$E78:$Z78,MIN(M$6-$G$3,22))),0)))))</f>
        <v>0</v>
      </c>
      <c r="N80" s="27" t="n">
        <f aca="false">IF(COUNT(Algodão!$E78:$Z78)=0,0,MAX(0,IF((N$6-$E$3)&lt;1,0,IFERROR(LOOKUP(2,1/(Algodão!$E78:INDEX(Algodão!$E78:$Z78,MIN(N$6-$E$3,22))&lt;&gt;""),Algodão!$E78:INDEX(Algodão!$E78:$Z78,MIN(N$6-$E$3,22))),0))-IF($G$2,0,IF((N$6-$G$3)&lt;1,0,IFERROR(LOOKUP(2,1/(Algodão!$E78:INDEX(Algodão!$E78:$Z78,MIN(N$6-$G$3,22))&lt;&gt;""),Algodão!$E78:INDEX(Algodão!$E78:$Z78,MIN(N$6-$G$3,22))),0)))))</f>
        <v>0</v>
      </c>
      <c r="O80" s="27" t="n">
        <f aca="false">IF(COUNT(Algodão!$E78:$Z78)=0,0,MAX(0,IF((O$6-$E$3)&lt;1,0,IFERROR(LOOKUP(2,1/(Algodão!$E78:INDEX(Algodão!$E78:$Z78,MIN(O$6-$E$3,22))&lt;&gt;""),Algodão!$E78:INDEX(Algodão!$E78:$Z78,MIN(O$6-$E$3,22))),0))-IF($G$2,0,IF((O$6-$G$3)&lt;1,0,IFERROR(LOOKUP(2,1/(Algodão!$E78:INDEX(Algodão!$E78:$Z78,MIN(O$6-$G$3,22))&lt;&gt;""),Algodão!$E78:INDEX(Algodão!$E78:$Z78,MIN(O$6-$G$3,22))),0)))))</f>
        <v>0</v>
      </c>
      <c r="P80" s="27" t="n">
        <f aca="false">IF(COUNT(Algodão!$E78:$Z78)=0,0,MAX(0,IF((P$6-$E$3)&lt;1,0,IFERROR(LOOKUP(2,1/(Algodão!$E78:INDEX(Algodão!$E78:$Z78,MIN(P$6-$E$3,22))&lt;&gt;""),Algodão!$E78:INDEX(Algodão!$E78:$Z78,MIN(P$6-$E$3,22))),0))-IF($G$2,0,IF((P$6-$G$3)&lt;1,0,IFERROR(LOOKUP(2,1/(Algodão!$E78:INDEX(Algodão!$E78:$Z78,MIN(P$6-$G$3,22))&lt;&gt;""),Algodão!$E78:INDEX(Algodão!$E78:$Z78,MIN(P$6-$G$3,22))),0)))))</f>
        <v>0</v>
      </c>
      <c r="Q80" s="27" t="n">
        <f aca="false">IF(COUNT(Algodão!$E78:$Z78)=0,0,MAX(0,IF((Q$6-$E$3)&lt;1,0,IFERROR(LOOKUP(2,1/(Algodão!$E78:INDEX(Algodão!$E78:$Z78,MIN(Q$6-$E$3,22))&lt;&gt;""),Algodão!$E78:INDEX(Algodão!$E78:$Z78,MIN(Q$6-$E$3,22))),0))-IF($G$2,0,IF((Q$6-$G$3)&lt;1,0,IFERROR(LOOKUP(2,1/(Algodão!$E78:INDEX(Algodão!$E78:$Z78,MIN(Q$6-$G$3,22))&lt;&gt;""),Algodão!$E78:INDEX(Algodão!$E78:$Z78,MIN(Q$6-$G$3,22))),0)))))</f>
        <v>0</v>
      </c>
      <c r="R80" s="27" t="n">
        <f aca="false">IF(COUNT(Algodão!$E78:$Z78)=0,0,MAX(0,IF((R$6-$E$3)&lt;1,0,IFERROR(LOOKUP(2,1/(Algodão!$E78:INDEX(Algodão!$E78:$Z78,MIN(R$6-$E$3,22))&lt;&gt;""),Algodão!$E78:INDEX(Algodão!$E78:$Z78,MIN(R$6-$E$3,22))),0))-IF($G$2,0,IF((R$6-$G$3)&lt;1,0,IFERROR(LOOKUP(2,1/(Algodão!$E78:INDEX(Algodão!$E78:$Z78,MIN(R$6-$G$3,22))&lt;&gt;""),Algodão!$E78:INDEX(Algodão!$E78:$Z78,MIN(R$6-$G$3,22))),0)))))</f>
        <v>0</v>
      </c>
      <c r="S80" s="27" t="n">
        <f aca="false">IF(COUNT(Algodão!$E78:$Z78)=0,0,MAX(0,IF((S$6-$E$3)&lt;1,0,IFERROR(LOOKUP(2,1/(Algodão!$E78:INDEX(Algodão!$E78:$Z78,MIN(S$6-$E$3,22))&lt;&gt;""),Algodão!$E78:INDEX(Algodão!$E78:$Z78,MIN(S$6-$E$3,22))),0))-IF($G$2,0,IF((S$6-$G$3)&lt;1,0,IFERROR(LOOKUP(2,1/(Algodão!$E78:INDEX(Algodão!$E78:$Z78,MIN(S$6-$G$3,22))&lt;&gt;""),Algodão!$E78:INDEX(Algodão!$E78:$Z78,MIN(S$6-$G$3,22))),0)))))</f>
        <v>0</v>
      </c>
      <c r="T80" s="27" t="n">
        <f aca="false">IF(COUNT(Algodão!$E78:$Z78)=0,0,MAX(0,IF((T$6-$E$3)&lt;1,0,IFERROR(LOOKUP(2,1/(Algodão!$E78:INDEX(Algodão!$E78:$Z78,MIN(T$6-$E$3,22))&lt;&gt;""),Algodão!$E78:INDEX(Algodão!$E78:$Z78,MIN(T$6-$E$3,22))),0))-IF($G$2,0,IF((T$6-$G$3)&lt;1,0,IFERROR(LOOKUP(2,1/(Algodão!$E78:INDEX(Algodão!$E78:$Z78,MIN(T$6-$G$3,22))&lt;&gt;""),Algodão!$E78:INDEX(Algodão!$E78:$Z78,MIN(T$6-$G$3,22))),0)))))</f>
        <v>0</v>
      </c>
      <c r="U80" s="27" t="n">
        <f aca="false">IF(COUNT(Algodão!$E78:$Z78)=0,0,MAX(0,IF((U$6-$E$3)&lt;1,0,IFERROR(LOOKUP(2,1/(Algodão!$E78:INDEX(Algodão!$E78:$Z78,MIN(U$6-$E$3,22))&lt;&gt;""),Algodão!$E78:INDEX(Algodão!$E78:$Z78,MIN(U$6-$E$3,22))),0))-IF($G$2,0,IF((U$6-$G$3)&lt;1,0,IFERROR(LOOKUP(2,1/(Algodão!$E78:INDEX(Algodão!$E78:$Z78,MIN(U$6-$G$3,22))&lt;&gt;""),Algodão!$E78:INDEX(Algodão!$E78:$Z78,MIN(U$6-$G$3,22))),0)))))</f>
        <v>0</v>
      </c>
      <c r="V80" s="27" t="n">
        <f aca="false">IF(COUNT(Algodão!$E78:$Z78)=0,0,MAX(0,IF((V$6-$E$3)&lt;1,0,IFERROR(LOOKUP(2,1/(Algodão!$E78:INDEX(Algodão!$E78:$Z78,MIN(V$6-$E$3,22))&lt;&gt;""),Algodão!$E78:INDEX(Algodão!$E78:$Z78,MIN(V$6-$E$3,22))),0))-IF($G$2,0,IF((V$6-$G$3)&lt;1,0,IFERROR(LOOKUP(2,1/(Algodão!$E78:INDEX(Algodão!$E78:$Z78,MIN(V$6-$G$3,22))&lt;&gt;""),Algodão!$E78:INDEX(Algodão!$E78:$Z78,MIN(V$6-$G$3,22))),0)))))</f>
        <v>0</v>
      </c>
      <c r="W80" s="27" t="n">
        <f aca="false">IF(COUNT(Algodão!$E78:$Z78)=0,0,MAX(0,IF((W$6-$E$3)&lt;1,0,IFERROR(LOOKUP(2,1/(Algodão!$E78:INDEX(Algodão!$E78:$Z78,MIN(W$6-$E$3,22))&lt;&gt;""),Algodão!$E78:INDEX(Algodão!$E78:$Z78,MIN(W$6-$E$3,22))),0))-IF($G$2,0,IF((W$6-$G$3)&lt;1,0,IFERROR(LOOKUP(2,1/(Algodão!$E78:INDEX(Algodão!$E78:$Z78,MIN(W$6-$G$3,22))&lt;&gt;""),Algodão!$E78:INDEX(Algodão!$E78:$Z78,MIN(W$6-$G$3,22))),0)))))</f>
        <v>0</v>
      </c>
      <c r="X80" s="27" t="n">
        <f aca="false">IF(COUNT(Algodão!$E78:$Z78)=0,0,MAX(0,IF((X$6-$E$3)&lt;1,0,IFERROR(LOOKUP(2,1/(Algodão!$E78:INDEX(Algodão!$E78:$Z78,MIN(X$6-$E$3,22))&lt;&gt;""),Algodão!$E78:INDEX(Algodão!$E78:$Z78,MIN(X$6-$E$3,22))),0))-IF($G$2,0,IF((X$6-$G$3)&lt;1,0,IFERROR(LOOKUP(2,1/(Algodão!$E78:INDEX(Algodão!$E78:$Z78,MIN(X$6-$G$3,22))&lt;&gt;""),Algodão!$E78:INDEX(Algodão!$E78:$Z78,MIN(X$6-$G$3,22))),0)))))</f>
        <v>0</v>
      </c>
      <c r="Y80" s="27" t="n">
        <f aca="false">IF(COUNT(Algodão!$E78:$Z78)=0,0,MAX(0,IF((Y$6-$E$3)&lt;1,0,IFERROR(LOOKUP(2,1/(Algodão!$E78:INDEX(Algodão!$E78:$Z78,MIN(Y$6-$E$3,22))&lt;&gt;""),Algodão!$E78:INDEX(Algodão!$E78:$Z78,MIN(Y$6-$E$3,22))),0))-IF($G$2,0,IF((Y$6-$G$3)&lt;1,0,IFERROR(LOOKUP(2,1/(Algodão!$E78:INDEX(Algodão!$E78:$Z78,MIN(Y$6-$G$3,22))&lt;&gt;""),Algodão!$E78:INDEX(Algodão!$E78:$Z78,MIN(Y$6-$G$3,22))),0)))))</f>
        <v>0</v>
      </c>
      <c r="Z80" s="27" t="n">
        <f aca="false">IF(COUNT(Algodão!$E78:$Z78)=0,0,MAX(0,IF((Z$6-$E$3)&lt;1,0,IFERROR(LOOKUP(2,1/(Algodão!$E78:INDEX(Algodão!$E78:$Z78,MIN(Z$6-$E$3,22))&lt;&gt;""),Algodão!$E78:INDEX(Algodão!$E78:$Z78,MIN(Z$6-$E$3,22))),0))-IF($G$2,0,IF((Z$6-$G$3)&lt;1,0,IFERROR(LOOKUP(2,1/(Algodão!$E78:INDEX(Algodão!$E78:$Z78,MIN(Z$6-$G$3,22))&lt;&gt;""),Algodão!$E78:INDEX(Algodão!$E78:$Z78,MIN(Z$6-$G$3,22))),0)))))</f>
        <v>0</v>
      </c>
      <c r="AA80" s="27" t="n">
        <f aca="false">IF(COUNT(Algodão!$E78:$Z78)=0,0,MAX(0,IF((AA$6-$E$3)&lt;1,0,IFERROR(LOOKUP(2,1/(Algodão!$E78:INDEX(Algodão!$E78:$Z78,MIN(AA$6-$E$3,22))&lt;&gt;""),Algodão!$E78:INDEX(Algodão!$E78:$Z78,MIN(AA$6-$E$3,22))),0))-IF($G$2,0,IF((AA$6-$G$3)&lt;1,0,IFERROR(LOOKUP(2,1/(Algodão!$E78:INDEX(Algodão!$E78:$Z78,MIN(AA$6-$G$3,22))&lt;&gt;""),Algodão!$E78:INDEX(Algodão!$E78:$Z78,MIN(AA$6-$G$3,22))),0)))))</f>
        <v>0</v>
      </c>
      <c r="AB80" s="27" t="n">
        <f aca="false">IF(COUNT(Algodão!$E78:$Z78)=0,0,MAX(0,IF((AB$6-$E$3)&lt;1,0,IFERROR(LOOKUP(2,1/(Algodão!$E78:INDEX(Algodão!$E78:$Z78,MIN(AB$6-$E$3,22))&lt;&gt;""),Algodão!$E78:INDEX(Algodão!$E78:$Z78,MIN(AB$6-$E$3,22))),0))-IF($G$2,0,IF((AB$6-$G$3)&lt;1,0,IFERROR(LOOKUP(2,1/(Algodão!$E78:INDEX(Algodão!$E78:$Z78,MIN(AB$6-$G$3,22))&lt;&gt;""),Algodão!$E78:INDEX(Algodão!$E78:$Z78,MIN(AB$6-$G$3,22))),0)))))</f>
        <v>0</v>
      </c>
      <c r="AC80" s="27" t="n">
        <f aca="false">IF(COUNT(Algodão!$E78:$Z78)=0,0,MAX(0,IF((AC$6-$E$3)&lt;1,0,IFERROR(LOOKUP(2,1/(Algodão!$E78:INDEX(Algodão!$E78:$Z78,MIN(AC$6-$E$3,22))&lt;&gt;""),Algodão!$E78:INDEX(Algodão!$E78:$Z78,MIN(AC$6-$E$3,22))),0))-IF($G$2,0,IF((AC$6-$G$3)&lt;1,0,IFERROR(LOOKUP(2,1/(Algodão!$E78:INDEX(Algodão!$E78:$Z78,MIN(AC$6-$G$3,22))&lt;&gt;""),Algodão!$E78:INDEX(Algodão!$E78:$Z78,MIN(AC$6-$G$3,22))),0)))))</f>
        <v>0</v>
      </c>
      <c r="AD80" s="27" t="n">
        <f aca="false">IF(COUNT(Algodão!$E78:$Z78)=0,0,MAX(0,IF((AD$6-$E$3)&lt;1,0,IFERROR(LOOKUP(2,1/(Algodão!$E78:INDEX(Algodão!$E78:$Z78,MIN(AD$6-$E$3,22))&lt;&gt;""),Algodão!$E78:INDEX(Algodão!$E78:$Z78,MIN(AD$6-$E$3,22))),0))-IF($G$2,0,IF((AD$6-$G$3)&lt;1,0,IFERROR(LOOKUP(2,1/(Algodão!$E78:INDEX(Algodão!$E78:$Z78,MIN(AD$6-$G$3,22))&lt;&gt;""),Algodão!$E78:INDEX(Algodão!$E78:$Z78,MIN(AD$6-$G$3,22))),0)))))</f>
        <v>0</v>
      </c>
      <c r="AE80" s="27" t="n">
        <f aca="false">IF(COUNT(Algodão!$E78:$Z78)=0,0,MAX(0,IF((AE$6-$E$3)&lt;1,0,IFERROR(LOOKUP(2,1/(Algodão!$E78:INDEX(Algodão!$E78:$Z78,MIN(AE$6-$E$3,22))&lt;&gt;""),Algodão!$E78:INDEX(Algodão!$E78:$Z78,MIN(AE$6-$E$3,22))),0))-IF($G$2,0,IF((AE$6-$G$3)&lt;1,0,IFERROR(LOOKUP(2,1/(Algodão!$E78:INDEX(Algodão!$E78:$Z78,MIN(AE$6-$G$3,22))&lt;&gt;""),Algodão!$E78:INDEX(Algodão!$E78:$Z78,MIN(AE$6-$G$3,22))),0)))))</f>
        <v>0</v>
      </c>
      <c r="AF80" s="27" t="n">
        <f aca="false">IF(COUNT(Algodão!$E78:$Z78)=0,0,MAX(0,IF((AF$6-$E$3)&lt;1,0,IFERROR(LOOKUP(2,1/(Algodão!$E78:INDEX(Algodão!$E78:$Z78,MIN(AF$6-$E$3,22))&lt;&gt;""),Algodão!$E78:INDEX(Algodão!$E78:$Z78,MIN(AF$6-$E$3,22))),0))-IF($G$2,0,IF((AF$6-$G$3)&lt;1,0,IFERROR(LOOKUP(2,1/(Algodão!$E78:INDEX(Algodão!$E78:$Z78,MIN(AF$6-$G$3,22))&lt;&gt;""),Algodão!$E78:INDEX(Algodão!$E78:$Z78,MIN(AF$6-$G$3,22))),0)))))</f>
        <v>0</v>
      </c>
      <c r="AG80" s="27" t="n">
        <f aca="false">IF(COUNT(Algodão!$E78:$Z78)=0,0,MAX(0,IF((AG$6-$E$3)&lt;1,0,IFERROR(LOOKUP(2,1/(Algodão!$E78:INDEX(Algodão!$E78:$Z78,MIN(AG$6-$E$3,22))&lt;&gt;""),Algodão!$E78:INDEX(Algodão!$E78:$Z78,MIN(AG$6-$E$3,22))),0))-IF($G$2,0,IF((AG$6-$G$3)&lt;1,0,IFERROR(LOOKUP(2,1/(Algodão!$E78:INDEX(Algodão!$E78:$Z78,MIN(AG$6-$G$3,22))&lt;&gt;""),Algodão!$E78:INDEX(Algodão!$E78:$Z78,MIN(AG$6-$G$3,22))),0)))))</f>
        <v>0</v>
      </c>
      <c r="AH80" s="27" t="n">
        <f aca="false">IF(COUNT(Algodão!$E78:$Z78)=0,0,MAX(0,IF((AH$6-$E$3)&lt;1,0,IFERROR(LOOKUP(2,1/(Algodão!$E78:INDEX(Algodão!$E78:$Z78,MIN(AH$6-$E$3,22))&lt;&gt;""),Algodão!$E78:INDEX(Algodão!$E78:$Z78,MIN(AH$6-$E$3,22))),0))-IF($G$2,0,IF((AH$6-$G$3)&lt;1,0,IFERROR(LOOKUP(2,1/(Algodão!$E78:INDEX(Algodão!$E78:$Z78,MIN(AH$6-$G$3,22))&lt;&gt;""),Algodão!$E78:INDEX(Algodão!$E78:$Z78,MIN(AH$6-$G$3,22))),0)))))</f>
        <v>0</v>
      </c>
      <c r="AI80" s="27" t="n">
        <f aca="false">IF(COUNT(Algodão!$E78:$Z78)=0,0,MAX(0,IF((AI$6-$E$3)&lt;1,0,IFERROR(LOOKUP(2,1/(Algodão!$E78:INDEX(Algodão!$E78:$Z78,MIN(AI$6-$E$3,22))&lt;&gt;""),Algodão!$E78:INDEX(Algodão!$E78:$Z78,MIN(AI$6-$E$3,22))),0))-IF($G$2,0,IF((AI$6-$G$3)&lt;1,0,IFERROR(LOOKUP(2,1/(Algodão!$E78:INDEX(Algodão!$E78:$Z78,MIN(AI$6-$G$3,22))&lt;&gt;""),Algodão!$E78:INDEX(Algodão!$E78:$Z78,MIN(AI$6-$G$3,22))),0)))))</f>
        <v>0</v>
      </c>
      <c r="AJ80" s="27" t="n">
        <f aca="false">IF(COUNT(Algodão!$E78:$Z78)=0,0,MAX(0,IF((AJ$6-$E$3)&lt;1,0,IFERROR(LOOKUP(2,1/(Algodão!$E78:INDEX(Algodão!$E78:$Z78,MIN(AJ$6-$E$3,22))&lt;&gt;""),Algodão!$E78:INDEX(Algodão!$E78:$Z78,MIN(AJ$6-$E$3,22))),0))-IF($G$2,0,IF((AJ$6-$G$3)&lt;1,0,IFERROR(LOOKUP(2,1/(Algodão!$E78:INDEX(Algodão!$E78:$Z78,MIN(AJ$6-$G$3,22))&lt;&gt;""),Algodão!$E78:INDEX(Algodão!$E78:$Z78,MIN(AJ$6-$G$3,22))),0)))))</f>
        <v>0</v>
      </c>
      <c r="AK80" s="27" t="n">
        <f aca="false">IF(COUNT(Algodão!$E78:$Z78)=0,0,MAX(0,IF((AK$6-$E$3)&lt;1,0,IFERROR(LOOKUP(2,1/(Algodão!$E78:INDEX(Algodão!$E78:$Z78,MIN(AK$6-$E$3,22))&lt;&gt;""),Algodão!$E78:INDEX(Algodão!$E78:$Z78,MIN(AK$6-$E$3,22))),0))-IF($G$2,0,IF((AK$6-$G$3)&lt;1,0,IFERROR(LOOKUP(2,1/(Algodão!$E78:INDEX(Algodão!$E78:$Z78,MIN(AK$6-$G$3,22))&lt;&gt;""),Algodão!$E78:INDEX(Algodão!$E78:$Z78,MIN(AK$6-$G$3,22))),0)))))</f>
        <v>0</v>
      </c>
      <c r="AL80" s="27" t="n">
        <f aca="false">IF(COUNT(Algodão!$E78:$Z78)=0,0,MAX(0,IF((AL$6-$E$3)&lt;1,0,IFERROR(LOOKUP(2,1/(Algodão!$E78:INDEX(Algodão!$E78:$Z78,MIN(AL$6-$E$3,22))&lt;&gt;""),Algodão!$E78:INDEX(Algodão!$E78:$Z78,MIN(AL$6-$E$3,22))),0))-IF($G$2,0,IF((AL$6-$G$3)&lt;1,0,IFERROR(LOOKUP(2,1/(Algodão!$E78:INDEX(Algodão!$E78:$Z78,MIN(AL$6-$G$3,22))&lt;&gt;""),Algodão!$E78:INDEX(Algodão!$E78:$Z78,MIN(AL$6-$G$3,22))),0)))))</f>
        <v>0</v>
      </c>
      <c r="AM80" s="27" t="n">
        <f aca="false">IF(COUNT(Algodão!$E78:$Z78)=0,0,MAX(0,IF((AM$6-$E$3)&lt;1,0,IFERROR(LOOKUP(2,1/(Algodão!$E78:INDEX(Algodão!$E78:$Z78,MIN(AM$6-$E$3,22))&lt;&gt;""),Algodão!$E78:INDEX(Algodão!$E78:$Z78,MIN(AM$6-$E$3,22))),0))-IF($G$2,0,IF((AM$6-$G$3)&lt;1,0,IFERROR(LOOKUP(2,1/(Algodão!$E78:INDEX(Algodão!$E78:$Z78,MIN(AM$6-$G$3,22))&lt;&gt;""),Algodão!$E78:INDEX(Algodão!$E78:$Z78,MIN(AM$6-$G$3,22))),0)))))</f>
        <v>0</v>
      </c>
      <c r="AN80" s="27" t="n">
        <f aca="false">IF(COUNT(Algodão!$E78:$Z78)=0,0,MAX(0,IF((AN$6-$E$3)&lt;1,0,IFERROR(LOOKUP(2,1/(Algodão!$E78:INDEX(Algodão!$E78:$Z78,MIN(AN$6-$E$3,22))&lt;&gt;""),Algodão!$E78:INDEX(Algodão!$E78:$Z78,MIN(AN$6-$E$3,22))),0))-IF($G$2,0,IF((AN$6-$G$3)&lt;1,0,IFERROR(LOOKUP(2,1/(Algodão!$E78:INDEX(Algodão!$E78:$Z78,MIN(AN$6-$G$3,22))&lt;&gt;""),Algodão!$E78:INDEX(Algodão!$E78:$Z78,MIN(AN$6-$G$3,22))),0)))))</f>
        <v>0</v>
      </c>
      <c r="AO80" s="27" t="n">
        <f aca="false">IF(COUNT(Algodão!$E78:$Z78)=0,0,MAX(0,IF((AO$6-$E$3)&lt;1,0,IFERROR(LOOKUP(2,1/(Algodão!$E78:INDEX(Algodão!$E78:$Z78,MIN(AO$6-$E$3,22))&lt;&gt;""),Algodão!$E78:INDEX(Algodão!$E78:$Z78,MIN(AO$6-$E$3,22))),0))-IF($G$2,0,IF((AO$6-$G$3)&lt;1,0,IFERROR(LOOKUP(2,1/(Algodão!$E78:INDEX(Algodão!$E78:$Z78,MIN(AO$6-$G$3,22))&lt;&gt;""),Algodão!$E78:INDEX(Algodão!$E78:$Z78,MIN(AO$6-$G$3,22))),0)))))</f>
        <v>0</v>
      </c>
      <c r="AP80" s="27" t="n">
        <f aca="false">IF(COUNT(Algodão!$E78:$Z78)=0,0,MAX(0,IF((AP$6-$E$3)&lt;1,0,IFERROR(LOOKUP(2,1/(Algodão!$E78:INDEX(Algodão!$E78:$Z78,MIN(AP$6-$E$3,22))&lt;&gt;""),Algodão!$E78:INDEX(Algodão!$E78:$Z78,MIN(AP$6-$E$3,22))),0))-IF($G$2,0,IF((AP$6-$G$3)&lt;1,0,IFERROR(LOOKUP(2,1/(Algodão!$E78:INDEX(Algodão!$E78:$Z78,MIN(AP$6-$G$3,22))&lt;&gt;""),Algodão!$E78:INDEX(Algodão!$E78:$Z78,MIN(AP$6-$G$3,22))),0)))))</f>
        <v>0</v>
      </c>
      <c r="AQ80" s="27" t="n">
        <f aca="false">IF(COUNT(Algodão!$E78:$Z78)=0,0,MAX(0,IF((AQ$6-$E$3)&lt;1,0,IFERROR(LOOKUP(2,1/(Algodão!$E78:INDEX(Algodão!$E78:$Z78,MIN(AQ$6-$E$3,22))&lt;&gt;""),Algodão!$E78:INDEX(Algodão!$E78:$Z78,MIN(AQ$6-$E$3,22))),0))-IF($G$2,0,IF((AQ$6-$G$3)&lt;1,0,IFERROR(LOOKUP(2,1/(Algodão!$E78:INDEX(Algodão!$E78:$Z78,MIN(AQ$6-$G$3,22))&lt;&gt;""),Algodão!$E78:INDEX(Algodão!$E78:$Z78,MIN(AQ$6-$G$3,22))),0)))))</f>
        <v>0</v>
      </c>
      <c r="AR80" s="27" t="n">
        <f aca="false">IF(COUNT(Algodão!$E78:$Z78)=0,0,MAX(0,IF((AR$6-$E$3)&lt;1,0,IFERROR(LOOKUP(2,1/(Algodão!$E78:INDEX(Algodão!$E78:$Z78,MIN(AR$6-$E$3,22))&lt;&gt;""),Algodão!$E78:INDEX(Algodão!$E78:$Z78,MIN(AR$6-$E$3,22))),0))-IF($G$2,0,IF((AR$6-$G$3)&lt;1,0,IFERROR(LOOKUP(2,1/(Algodão!$E78:INDEX(Algodão!$E78:$Z78,MIN(AR$6-$G$3,22))&lt;&gt;""),Algodão!$E78:INDEX(Algodão!$E78:$Z78,MIN(AR$6-$G$3,22))),0)))))</f>
        <v>0</v>
      </c>
      <c r="AS80" s="27" t="n">
        <f aca="false">IF(COUNT(Algodão!$E78:$Z78)=0,0,MAX(0,IF((AS$6-$E$3)&lt;1,0,IFERROR(LOOKUP(2,1/(Algodão!$E78:INDEX(Algodão!$E78:$Z78,MIN(AS$6-$E$3,22))&lt;&gt;""),Algodão!$E78:INDEX(Algodão!$E78:$Z78,MIN(AS$6-$E$3,22))),0))-IF($G$2,0,IF((AS$6-$G$3)&lt;1,0,IFERROR(LOOKUP(2,1/(Algodão!$E78:INDEX(Algodão!$E78:$Z78,MIN(AS$6-$G$3,22))&lt;&gt;""),Algodão!$E78:INDEX(Algodão!$E78:$Z78,MIN(AS$6-$G$3,22))),0)))))</f>
        <v>0</v>
      </c>
      <c r="AT80" s="27" t="n">
        <f aca="false">IF(COUNT(Algodão!$E78:$Z78)=0,0,MAX(0,IF((AT$6-$E$3)&lt;1,0,IFERROR(LOOKUP(2,1/(Algodão!$E78:INDEX(Algodão!$E78:$Z78,MIN(AT$6-$E$3,22))&lt;&gt;""),Algodão!$E78:INDEX(Algodão!$E78:$Z78,MIN(AT$6-$E$3,22))),0))-IF($G$2,0,IF((AT$6-$G$3)&lt;1,0,IFERROR(LOOKUP(2,1/(Algodão!$E78:INDEX(Algodão!$E78:$Z78,MIN(AT$6-$G$3,22))&lt;&gt;""),Algodão!$E78:INDEX(Algodão!$E78:$Z78,MIN(AT$6-$G$3,22))),0)))))</f>
        <v>0</v>
      </c>
      <c r="AU80" s="27" t="n">
        <f aca="false">IF(COUNT(Algodão!$E78:$Z78)=0,0,MAX(0,IF((AU$6-$E$3)&lt;1,0,IFERROR(LOOKUP(2,1/(Algodão!$E78:INDEX(Algodão!$E78:$Z78,MIN(AU$6-$E$3,22))&lt;&gt;""),Algodão!$E78:INDEX(Algodão!$E78:$Z78,MIN(AU$6-$E$3,22))),0))-IF($G$2,0,IF((AU$6-$G$3)&lt;1,0,IFERROR(LOOKUP(2,1/(Algodão!$E78:INDEX(Algodão!$E78:$Z78,MIN(AU$6-$G$3,22))&lt;&gt;""),Algodão!$E78:INDEX(Algodão!$E78:$Z78,MIN(AU$6-$G$3,22))),0)))))</f>
        <v>0</v>
      </c>
      <c r="AV80" s="27" t="n">
        <f aca="false">IF(COUNT(Algodão!$E78:$Z78)=0,0,MAX(0,IF((AV$6-$E$3)&lt;1,0,IFERROR(LOOKUP(2,1/(Algodão!$E78:INDEX(Algodão!$E78:$Z78,MIN(AV$6-$E$3,22))&lt;&gt;""),Algodão!$E78:INDEX(Algodão!$E78:$Z78,MIN(AV$6-$E$3,22))),0))-IF($G$2,0,IF((AV$6-$G$3)&lt;1,0,IFERROR(LOOKUP(2,1/(Algodão!$E78:INDEX(Algodão!$E78:$Z78,MIN(AV$6-$G$3,22))&lt;&gt;""),Algodão!$E78:INDEX(Algodão!$E78:$Z78,MIN(AV$6-$G$3,22))),0)))))</f>
        <v>0</v>
      </c>
      <c r="AW80" s="27" t="n">
        <f aca="false">IF(COUNT(Algodão!$E78:$Z78)=0,0,MAX(0,IF((AW$6-$E$3)&lt;1,0,IFERROR(LOOKUP(2,1/(Algodão!$E78:INDEX(Algodão!$E78:$Z78,MIN(AW$6-$E$3,22))&lt;&gt;""),Algodão!$E78:INDEX(Algodão!$E78:$Z78,MIN(AW$6-$E$3,22))),0))-IF($G$2,0,IF((AW$6-$G$3)&lt;1,0,IFERROR(LOOKUP(2,1/(Algodão!$E78:INDEX(Algodão!$E78:$Z78,MIN(AW$6-$G$3,22))&lt;&gt;""),Algodão!$E78:INDEX(Algodão!$E78:$Z78,MIN(AW$6-$G$3,22))),0)))))</f>
        <v>0</v>
      </c>
      <c r="AX80" s="27" t="n">
        <f aca="false">IF(COUNT(Algodão!$E78:$Z78)=0,0,MAX(0,IF((AX$6-$E$3)&lt;1,0,IFERROR(LOOKUP(2,1/(Algodão!$E78:INDEX(Algodão!$E78:$Z78,MIN(AX$6-$E$3,22))&lt;&gt;""),Algodão!$E78:INDEX(Algodão!$E78:$Z78,MIN(AX$6-$E$3,22))),0))-IF($G$2,0,IF((AX$6-$G$3)&lt;1,0,IFERROR(LOOKUP(2,1/(Algodão!$E78:INDEX(Algodão!$E78:$Z78,MIN(AX$6-$G$3,22))&lt;&gt;""),Algodão!$E78:INDEX(Algodão!$E78:$Z78,MIN(AX$6-$G$3,22))),0)))))</f>
        <v>0</v>
      </c>
      <c r="AY80" s="27" t="n">
        <f aca="false">IF(COUNT(Algodão!$E78:$Z78)=0,0,MAX(0,IF((AY$6-$E$3)&lt;1,0,IFERROR(LOOKUP(2,1/(Algodão!$E78:INDEX(Algodão!$E78:$Z78,MIN(AY$6-$E$3,22))&lt;&gt;""),Algodão!$E78:INDEX(Algodão!$E78:$Z78,MIN(AY$6-$E$3,22))),0))-IF($G$2,0,IF((AY$6-$G$3)&lt;1,0,IFERROR(LOOKUP(2,1/(Algodão!$E78:INDEX(Algodão!$E78:$Z78,MIN(AY$6-$G$3,22))&lt;&gt;""),Algodão!$E78:INDEX(Algodão!$E78:$Z78,MIN(AY$6-$G$3,22))),0)))))</f>
        <v>0</v>
      </c>
      <c r="AZ80" s="27" t="n">
        <f aca="false">IF(COUNT(Algodão!$E78:$Z78)=0,0,MAX(0,IF((AZ$6-$E$3)&lt;1,0,IFERROR(LOOKUP(2,1/(Algodão!$E78:INDEX(Algodão!$E78:$Z78,MIN(AZ$6-$E$3,22))&lt;&gt;""),Algodão!$E78:INDEX(Algodão!$E78:$Z78,MIN(AZ$6-$E$3,22))),0))-IF($G$2,0,IF((AZ$6-$G$3)&lt;1,0,IFERROR(LOOKUP(2,1/(Algodão!$E78:INDEX(Algodão!$E78:$Z78,MIN(AZ$6-$G$3,22))&lt;&gt;""),Algodão!$E78:INDEX(Algodão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IF(COUNT(Algodão!$E79:$Z79)&gt;0,N(Algodão!$D79),0)</f>
        <v>0</v>
      </c>
      <c r="E81" s="27" t="n">
        <f aca="false">IF(COUNT(Algodão!$E79:$Z79)=0,0,MAX(0,IF((E$6-$E$3)&lt;1,0,IFERROR(LOOKUP(2,1/(Algodão!$E79:INDEX(Algodão!$E79:$Z79,MIN(E$6-$E$3,22))&lt;&gt;""),Algodão!$E79:INDEX(Algodão!$E79:$Z79,MIN(E$6-$E$3,22))),0))-IF($G$2,0,IF((E$6-$G$3)&lt;1,0,IFERROR(LOOKUP(2,1/(Algodão!$E79:INDEX(Algodão!$E79:$Z79,MIN(E$6-$G$3,22))&lt;&gt;""),Algodão!$E79:INDEX(Algodão!$E79:$Z79,MIN(E$6-$G$3,22))),0)))))</f>
        <v>0</v>
      </c>
      <c r="F81" s="27" t="n">
        <f aca="false">IF(COUNT(Algodão!$E79:$Z79)=0,0,MAX(0,IF((F$6-$E$3)&lt;1,0,IFERROR(LOOKUP(2,1/(Algodão!$E79:INDEX(Algodão!$E79:$Z79,MIN(F$6-$E$3,22))&lt;&gt;""),Algodão!$E79:INDEX(Algodão!$E79:$Z79,MIN(F$6-$E$3,22))),0))-IF($G$2,0,IF((F$6-$G$3)&lt;1,0,IFERROR(LOOKUP(2,1/(Algodão!$E79:INDEX(Algodão!$E79:$Z79,MIN(F$6-$G$3,22))&lt;&gt;""),Algodão!$E79:INDEX(Algodão!$E79:$Z79,MIN(F$6-$G$3,22))),0)))))</f>
        <v>0</v>
      </c>
      <c r="G81" s="27" t="n">
        <f aca="false">IF(COUNT(Algodão!$E79:$Z79)=0,0,MAX(0,IF((G$6-$E$3)&lt;1,0,IFERROR(LOOKUP(2,1/(Algodão!$E79:INDEX(Algodão!$E79:$Z79,MIN(G$6-$E$3,22))&lt;&gt;""),Algodão!$E79:INDEX(Algodão!$E79:$Z79,MIN(G$6-$E$3,22))),0))-IF($G$2,0,IF((G$6-$G$3)&lt;1,0,IFERROR(LOOKUP(2,1/(Algodão!$E79:INDEX(Algodão!$E79:$Z79,MIN(G$6-$G$3,22))&lt;&gt;""),Algodão!$E79:INDEX(Algodão!$E79:$Z79,MIN(G$6-$G$3,22))),0)))))</f>
        <v>0</v>
      </c>
      <c r="H81" s="27" t="n">
        <f aca="false">IF(COUNT(Algodão!$E79:$Z79)=0,0,MAX(0,IF((H$6-$E$3)&lt;1,0,IFERROR(LOOKUP(2,1/(Algodão!$E79:INDEX(Algodão!$E79:$Z79,MIN(H$6-$E$3,22))&lt;&gt;""),Algodão!$E79:INDEX(Algodão!$E79:$Z79,MIN(H$6-$E$3,22))),0))-IF($G$2,0,IF((H$6-$G$3)&lt;1,0,IFERROR(LOOKUP(2,1/(Algodão!$E79:INDEX(Algodão!$E79:$Z79,MIN(H$6-$G$3,22))&lt;&gt;""),Algodão!$E79:INDEX(Algodão!$E79:$Z79,MIN(H$6-$G$3,22))),0)))))</f>
        <v>0</v>
      </c>
      <c r="I81" s="27" t="n">
        <f aca="false">IF(COUNT(Algodão!$E79:$Z79)=0,0,MAX(0,IF((I$6-$E$3)&lt;1,0,IFERROR(LOOKUP(2,1/(Algodão!$E79:INDEX(Algodão!$E79:$Z79,MIN(I$6-$E$3,22))&lt;&gt;""),Algodão!$E79:INDEX(Algodão!$E79:$Z79,MIN(I$6-$E$3,22))),0))-IF($G$2,0,IF((I$6-$G$3)&lt;1,0,IFERROR(LOOKUP(2,1/(Algodão!$E79:INDEX(Algodão!$E79:$Z79,MIN(I$6-$G$3,22))&lt;&gt;""),Algodão!$E79:INDEX(Algodão!$E79:$Z79,MIN(I$6-$G$3,22))),0)))))</f>
        <v>0</v>
      </c>
      <c r="J81" s="27" t="n">
        <f aca="false">IF(COUNT(Algodão!$E79:$Z79)=0,0,MAX(0,IF((J$6-$E$3)&lt;1,0,IFERROR(LOOKUP(2,1/(Algodão!$E79:INDEX(Algodão!$E79:$Z79,MIN(J$6-$E$3,22))&lt;&gt;""),Algodão!$E79:INDEX(Algodão!$E79:$Z79,MIN(J$6-$E$3,22))),0))-IF($G$2,0,IF((J$6-$G$3)&lt;1,0,IFERROR(LOOKUP(2,1/(Algodão!$E79:INDEX(Algodão!$E79:$Z79,MIN(J$6-$G$3,22))&lt;&gt;""),Algodão!$E79:INDEX(Algodão!$E79:$Z79,MIN(J$6-$G$3,22))),0)))))</f>
        <v>0</v>
      </c>
      <c r="K81" s="27" t="n">
        <f aca="false">IF(COUNT(Algodão!$E79:$Z79)=0,0,MAX(0,IF((K$6-$E$3)&lt;1,0,IFERROR(LOOKUP(2,1/(Algodão!$E79:INDEX(Algodão!$E79:$Z79,MIN(K$6-$E$3,22))&lt;&gt;""),Algodão!$E79:INDEX(Algodão!$E79:$Z79,MIN(K$6-$E$3,22))),0))-IF($G$2,0,IF((K$6-$G$3)&lt;1,0,IFERROR(LOOKUP(2,1/(Algodão!$E79:INDEX(Algodão!$E79:$Z79,MIN(K$6-$G$3,22))&lt;&gt;""),Algodão!$E79:INDEX(Algodão!$E79:$Z79,MIN(K$6-$G$3,22))),0)))))</f>
        <v>0</v>
      </c>
      <c r="L81" s="27" t="n">
        <f aca="false">IF(COUNT(Algodão!$E79:$Z79)=0,0,MAX(0,IF((L$6-$E$3)&lt;1,0,IFERROR(LOOKUP(2,1/(Algodão!$E79:INDEX(Algodão!$E79:$Z79,MIN(L$6-$E$3,22))&lt;&gt;""),Algodão!$E79:INDEX(Algodão!$E79:$Z79,MIN(L$6-$E$3,22))),0))-IF($G$2,0,IF((L$6-$G$3)&lt;1,0,IFERROR(LOOKUP(2,1/(Algodão!$E79:INDEX(Algodão!$E79:$Z79,MIN(L$6-$G$3,22))&lt;&gt;""),Algodão!$E79:INDEX(Algodão!$E79:$Z79,MIN(L$6-$G$3,22))),0)))))</f>
        <v>0</v>
      </c>
      <c r="M81" s="27" t="n">
        <f aca="false">IF(COUNT(Algodão!$E79:$Z79)=0,0,MAX(0,IF((M$6-$E$3)&lt;1,0,IFERROR(LOOKUP(2,1/(Algodão!$E79:INDEX(Algodão!$E79:$Z79,MIN(M$6-$E$3,22))&lt;&gt;""),Algodão!$E79:INDEX(Algodão!$E79:$Z79,MIN(M$6-$E$3,22))),0))-IF($G$2,0,IF((M$6-$G$3)&lt;1,0,IFERROR(LOOKUP(2,1/(Algodão!$E79:INDEX(Algodão!$E79:$Z79,MIN(M$6-$G$3,22))&lt;&gt;""),Algodão!$E79:INDEX(Algodão!$E79:$Z79,MIN(M$6-$G$3,22))),0)))))</f>
        <v>0</v>
      </c>
      <c r="N81" s="27" t="n">
        <f aca="false">IF(COUNT(Algodão!$E79:$Z79)=0,0,MAX(0,IF((N$6-$E$3)&lt;1,0,IFERROR(LOOKUP(2,1/(Algodão!$E79:INDEX(Algodão!$E79:$Z79,MIN(N$6-$E$3,22))&lt;&gt;""),Algodão!$E79:INDEX(Algodão!$E79:$Z79,MIN(N$6-$E$3,22))),0))-IF($G$2,0,IF((N$6-$G$3)&lt;1,0,IFERROR(LOOKUP(2,1/(Algodão!$E79:INDEX(Algodão!$E79:$Z79,MIN(N$6-$G$3,22))&lt;&gt;""),Algodão!$E79:INDEX(Algodão!$E79:$Z79,MIN(N$6-$G$3,22))),0)))))</f>
        <v>0</v>
      </c>
      <c r="O81" s="27" t="n">
        <f aca="false">IF(COUNT(Algodão!$E79:$Z79)=0,0,MAX(0,IF((O$6-$E$3)&lt;1,0,IFERROR(LOOKUP(2,1/(Algodão!$E79:INDEX(Algodão!$E79:$Z79,MIN(O$6-$E$3,22))&lt;&gt;""),Algodão!$E79:INDEX(Algodão!$E79:$Z79,MIN(O$6-$E$3,22))),0))-IF($G$2,0,IF((O$6-$G$3)&lt;1,0,IFERROR(LOOKUP(2,1/(Algodão!$E79:INDEX(Algodão!$E79:$Z79,MIN(O$6-$G$3,22))&lt;&gt;""),Algodão!$E79:INDEX(Algodão!$E79:$Z79,MIN(O$6-$G$3,22))),0)))))</f>
        <v>0</v>
      </c>
      <c r="P81" s="27" t="n">
        <f aca="false">IF(COUNT(Algodão!$E79:$Z79)=0,0,MAX(0,IF((P$6-$E$3)&lt;1,0,IFERROR(LOOKUP(2,1/(Algodão!$E79:INDEX(Algodão!$E79:$Z79,MIN(P$6-$E$3,22))&lt;&gt;""),Algodão!$E79:INDEX(Algodão!$E79:$Z79,MIN(P$6-$E$3,22))),0))-IF($G$2,0,IF((P$6-$G$3)&lt;1,0,IFERROR(LOOKUP(2,1/(Algodão!$E79:INDEX(Algodão!$E79:$Z79,MIN(P$6-$G$3,22))&lt;&gt;""),Algodão!$E79:INDEX(Algodão!$E79:$Z79,MIN(P$6-$G$3,22))),0)))))</f>
        <v>0</v>
      </c>
      <c r="Q81" s="27" t="n">
        <f aca="false">IF(COUNT(Algodão!$E79:$Z79)=0,0,MAX(0,IF((Q$6-$E$3)&lt;1,0,IFERROR(LOOKUP(2,1/(Algodão!$E79:INDEX(Algodão!$E79:$Z79,MIN(Q$6-$E$3,22))&lt;&gt;""),Algodão!$E79:INDEX(Algodão!$E79:$Z79,MIN(Q$6-$E$3,22))),0))-IF($G$2,0,IF((Q$6-$G$3)&lt;1,0,IFERROR(LOOKUP(2,1/(Algodão!$E79:INDEX(Algodão!$E79:$Z79,MIN(Q$6-$G$3,22))&lt;&gt;""),Algodão!$E79:INDEX(Algodão!$E79:$Z79,MIN(Q$6-$G$3,22))),0)))))</f>
        <v>0</v>
      </c>
      <c r="R81" s="27" t="n">
        <f aca="false">IF(COUNT(Algodão!$E79:$Z79)=0,0,MAX(0,IF((R$6-$E$3)&lt;1,0,IFERROR(LOOKUP(2,1/(Algodão!$E79:INDEX(Algodão!$E79:$Z79,MIN(R$6-$E$3,22))&lt;&gt;""),Algodão!$E79:INDEX(Algodão!$E79:$Z79,MIN(R$6-$E$3,22))),0))-IF($G$2,0,IF((R$6-$G$3)&lt;1,0,IFERROR(LOOKUP(2,1/(Algodão!$E79:INDEX(Algodão!$E79:$Z79,MIN(R$6-$G$3,22))&lt;&gt;""),Algodão!$E79:INDEX(Algodão!$E79:$Z79,MIN(R$6-$G$3,22))),0)))))</f>
        <v>0</v>
      </c>
      <c r="S81" s="27" t="n">
        <f aca="false">IF(COUNT(Algodão!$E79:$Z79)=0,0,MAX(0,IF((S$6-$E$3)&lt;1,0,IFERROR(LOOKUP(2,1/(Algodão!$E79:INDEX(Algodão!$E79:$Z79,MIN(S$6-$E$3,22))&lt;&gt;""),Algodão!$E79:INDEX(Algodão!$E79:$Z79,MIN(S$6-$E$3,22))),0))-IF($G$2,0,IF((S$6-$G$3)&lt;1,0,IFERROR(LOOKUP(2,1/(Algodão!$E79:INDEX(Algodão!$E79:$Z79,MIN(S$6-$G$3,22))&lt;&gt;""),Algodão!$E79:INDEX(Algodão!$E79:$Z79,MIN(S$6-$G$3,22))),0)))))</f>
        <v>0</v>
      </c>
      <c r="T81" s="27" t="n">
        <f aca="false">IF(COUNT(Algodão!$E79:$Z79)=0,0,MAX(0,IF((T$6-$E$3)&lt;1,0,IFERROR(LOOKUP(2,1/(Algodão!$E79:INDEX(Algodão!$E79:$Z79,MIN(T$6-$E$3,22))&lt;&gt;""),Algodão!$E79:INDEX(Algodão!$E79:$Z79,MIN(T$6-$E$3,22))),0))-IF($G$2,0,IF((T$6-$G$3)&lt;1,0,IFERROR(LOOKUP(2,1/(Algodão!$E79:INDEX(Algodão!$E79:$Z79,MIN(T$6-$G$3,22))&lt;&gt;""),Algodão!$E79:INDEX(Algodão!$E79:$Z79,MIN(T$6-$G$3,22))),0)))))</f>
        <v>0</v>
      </c>
      <c r="U81" s="27" t="n">
        <f aca="false">IF(COUNT(Algodão!$E79:$Z79)=0,0,MAX(0,IF((U$6-$E$3)&lt;1,0,IFERROR(LOOKUP(2,1/(Algodão!$E79:INDEX(Algodão!$E79:$Z79,MIN(U$6-$E$3,22))&lt;&gt;""),Algodão!$E79:INDEX(Algodão!$E79:$Z79,MIN(U$6-$E$3,22))),0))-IF($G$2,0,IF((U$6-$G$3)&lt;1,0,IFERROR(LOOKUP(2,1/(Algodão!$E79:INDEX(Algodão!$E79:$Z79,MIN(U$6-$G$3,22))&lt;&gt;""),Algodão!$E79:INDEX(Algodão!$E79:$Z79,MIN(U$6-$G$3,22))),0)))))</f>
        <v>0</v>
      </c>
      <c r="V81" s="27" t="n">
        <f aca="false">IF(COUNT(Algodão!$E79:$Z79)=0,0,MAX(0,IF((V$6-$E$3)&lt;1,0,IFERROR(LOOKUP(2,1/(Algodão!$E79:INDEX(Algodão!$E79:$Z79,MIN(V$6-$E$3,22))&lt;&gt;""),Algodão!$E79:INDEX(Algodão!$E79:$Z79,MIN(V$6-$E$3,22))),0))-IF($G$2,0,IF((V$6-$G$3)&lt;1,0,IFERROR(LOOKUP(2,1/(Algodão!$E79:INDEX(Algodão!$E79:$Z79,MIN(V$6-$G$3,22))&lt;&gt;""),Algodão!$E79:INDEX(Algodão!$E79:$Z79,MIN(V$6-$G$3,22))),0)))))</f>
        <v>0</v>
      </c>
      <c r="W81" s="27" t="n">
        <f aca="false">IF(COUNT(Algodão!$E79:$Z79)=0,0,MAX(0,IF((W$6-$E$3)&lt;1,0,IFERROR(LOOKUP(2,1/(Algodão!$E79:INDEX(Algodão!$E79:$Z79,MIN(W$6-$E$3,22))&lt;&gt;""),Algodão!$E79:INDEX(Algodão!$E79:$Z79,MIN(W$6-$E$3,22))),0))-IF($G$2,0,IF((W$6-$G$3)&lt;1,0,IFERROR(LOOKUP(2,1/(Algodão!$E79:INDEX(Algodão!$E79:$Z79,MIN(W$6-$G$3,22))&lt;&gt;""),Algodão!$E79:INDEX(Algodão!$E79:$Z79,MIN(W$6-$G$3,22))),0)))))</f>
        <v>0</v>
      </c>
      <c r="X81" s="27" t="n">
        <f aca="false">IF(COUNT(Algodão!$E79:$Z79)=0,0,MAX(0,IF((X$6-$E$3)&lt;1,0,IFERROR(LOOKUP(2,1/(Algodão!$E79:INDEX(Algodão!$E79:$Z79,MIN(X$6-$E$3,22))&lt;&gt;""),Algodão!$E79:INDEX(Algodão!$E79:$Z79,MIN(X$6-$E$3,22))),0))-IF($G$2,0,IF((X$6-$G$3)&lt;1,0,IFERROR(LOOKUP(2,1/(Algodão!$E79:INDEX(Algodão!$E79:$Z79,MIN(X$6-$G$3,22))&lt;&gt;""),Algodão!$E79:INDEX(Algodão!$E79:$Z79,MIN(X$6-$G$3,22))),0)))))</f>
        <v>0</v>
      </c>
      <c r="Y81" s="27" t="n">
        <f aca="false">IF(COUNT(Algodão!$E79:$Z79)=0,0,MAX(0,IF((Y$6-$E$3)&lt;1,0,IFERROR(LOOKUP(2,1/(Algodão!$E79:INDEX(Algodão!$E79:$Z79,MIN(Y$6-$E$3,22))&lt;&gt;""),Algodão!$E79:INDEX(Algodão!$E79:$Z79,MIN(Y$6-$E$3,22))),0))-IF($G$2,0,IF((Y$6-$G$3)&lt;1,0,IFERROR(LOOKUP(2,1/(Algodão!$E79:INDEX(Algodão!$E79:$Z79,MIN(Y$6-$G$3,22))&lt;&gt;""),Algodão!$E79:INDEX(Algodão!$E79:$Z79,MIN(Y$6-$G$3,22))),0)))))</f>
        <v>0</v>
      </c>
      <c r="Z81" s="27" t="n">
        <f aca="false">IF(COUNT(Algodão!$E79:$Z79)=0,0,MAX(0,IF((Z$6-$E$3)&lt;1,0,IFERROR(LOOKUP(2,1/(Algodão!$E79:INDEX(Algodão!$E79:$Z79,MIN(Z$6-$E$3,22))&lt;&gt;""),Algodão!$E79:INDEX(Algodão!$E79:$Z79,MIN(Z$6-$E$3,22))),0))-IF($G$2,0,IF((Z$6-$G$3)&lt;1,0,IFERROR(LOOKUP(2,1/(Algodão!$E79:INDEX(Algodão!$E79:$Z79,MIN(Z$6-$G$3,22))&lt;&gt;""),Algodão!$E79:INDEX(Algodão!$E79:$Z79,MIN(Z$6-$G$3,22))),0)))))</f>
        <v>0</v>
      </c>
      <c r="AA81" s="27" t="n">
        <f aca="false">IF(COUNT(Algodão!$E79:$Z79)=0,0,MAX(0,IF((AA$6-$E$3)&lt;1,0,IFERROR(LOOKUP(2,1/(Algodão!$E79:INDEX(Algodão!$E79:$Z79,MIN(AA$6-$E$3,22))&lt;&gt;""),Algodão!$E79:INDEX(Algodão!$E79:$Z79,MIN(AA$6-$E$3,22))),0))-IF($G$2,0,IF((AA$6-$G$3)&lt;1,0,IFERROR(LOOKUP(2,1/(Algodão!$E79:INDEX(Algodão!$E79:$Z79,MIN(AA$6-$G$3,22))&lt;&gt;""),Algodão!$E79:INDEX(Algodão!$E79:$Z79,MIN(AA$6-$G$3,22))),0)))))</f>
        <v>0</v>
      </c>
      <c r="AB81" s="27" t="n">
        <f aca="false">IF(COUNT(Algodão!$E79:$Z79)=0,0,MAX(0,IF((AB$6-$E$3)&lt;1,0,IFERROR(LOOKUP(2,1/(Algodão!$E79:INDEX(Algodão!$E79:$Z79,MIN(AB$6-$E$3,22))&lt;&gt;""),Algodão!$E79:INDEX(Algodão!$E79:$Z79,MIN(AB$6-$E$3,22))),0))-IF($G$2,0,IF((AB$6-$G$3)&lt;1,0,IFERROR(LOOKUP(2,1/(Algodão!$E79:INDEX(Algodão!$E79:$Z79,MIN(AB$6-$G$3,22))&lt;&gt;""),Algodão!$E79:INDEX(Algodão!$E79:$Z79,MIN(AB$6-$G$3,22))),0)))))</f>
        <v>0</v>
      </c>
      <c r="AC81" s="27" t="n">
        <f aca="false">IF(COUNT(Algodão!$E79:$Z79)=0,0,MAX(0,IF((AC$6-$E$3)&lt;1,0,IFERROR(LOOKUP(2,1/(Algodão!$E79:INDEX(Algodão!$E79:$Z79,MIN(AC$6-$E$3,22))&lt;&gt;""),Algodão!$E79:INDEX(Algodão!$E79:$Z79,MIN(AC$6-$E$3,22))),0))-IF($G$2,0,IF((AC$6-$G$3)&lt;1,0,IFERROR(LOOKUP(2,1/(Algodão!$E79:INDEX(Algodão!$E79:$Z79,MIN(AC$6-$G$3,22))&lt;&gt;""),Algodão!$E79:INDEX(Algodão!$E79:$Z79,MIN(AC$6-$G$3,22))),0)))))</f>
        <v>0</v>
      </c>
      <c r="AD81" s="27" t="n">
        <f aca="false">IF(COUNT(Algodão!$E79:$Z79)=0,0,MAX(0,IF((AD$6-$E$3)&lt;1,0,IFERROR(LOOKUP(2,1/(Algodão!$E79:INDEX(Algodão!$E79:$Z79,MIN(AD$6-$E$3,22))&lt;&gt;""),Algodão!$E79:INDEX(Algodão!$E79:$Z79,MIN(AD$6-$E$3,22))),0))-IF($G$2,0,IF((AD$6-$G$3)&lt;1,0,IFERROR(LOOKUP(2,1/(Algodão!$E79:INDEX(Algodão!$E79:$Z79,MIN(AD$6-$G$3,22))&lt;&gt;""),Algodão!$E79:INDEX(Algodão!$E79:$Z79,MIN(AD$6-$G$3,22))),0)))))</f>
        <v>0</v>
      </c>
      <c r="AE81" s="27" t="n">
        <f aca="false">IF(COUNT(Algodão!$E79:$Z79)=0,0,MAX(0,IF((AE$6-$E$3)&lt;1,0,IFERROR(LOOKUP(2,1/(Algodão!$E79:INDEX(Algodão!$E79:$Z79,MIN(AE$6-$E$3,22))&lt;&gt;""),Algodão!$E79:INDEX(Algodão!$E79:$Z79,MIN(AE$6-$E$3,22))),0))-IF($G$2,0,IF((AE$6-$G$3)&lt;1,0,IFERROR(LOOKUP(2,1/(Algodão!$E79:INDEX(Algodão!$E79:$Z79,MIN(AE$6-$G$3,22))&lt;&gt;""),Algodão!$E79:INDEX(Algodão!$E79:$Z79,MIN(AE$6-$G$3,22))),0)))))</f>
        <v>0</v>
      </c>
      <c r="AF81" s="27" t="n">
        <f aca="false">IF(COUNT(Algodão!$E79:$Z79)=0,0,MAX(0,IF((AF$6-$E$3)&lt;1,0,IFERROR(LOOKUP(2,1/(Algodão!$E79:INDEX(Algodão!$E79:$Z79,MIN(AF$6-$E$3,22))&lt;&gt;""),Algodão!$E79:INDEX(Algodão!$E79:$Z79,MIN(AF$6-$E$3,22))),0))-IF($G$2,0,IF((AF$6-$G$3)&lt;1,0,IFERROR(LOOKUP(2,1/(Algodão!$E79:INDEX(Algodão!$E79:$Z79,MIN(AF$6-$G$3,22))&lt;&gt;""),Algodão!$E79:INDEX(Algodão!$E79:$Z79,MIN(AF$6-$G$3,22))),0)))))</f>
        <v>0</v>
      </c>
      <c r="AG81" s="27" t="n">
        <f aca="false">IF(COUNT(Algodão!$E79:$Z79)=0,0,MAX(0,IF((AG$6-$E$3)&lt;1,0,IFERROR(LOOKUP(2,1/(Algodão!$E79:INDEX(Algodão!$E79:$Z79,MIN(AG$6-$E$3,22))&lt;&gt;""),Algodão!$E79:INDEX(Algodão!$E79:$Z79,MIN(AG$6-$E$3,22))),0))-IF($G$2,0,IF((AG$6-$G$3)&lt;1,0,IFERROR(LOOKUP(2,1/(Algodão!$E79:INDEX(Algodão!$E79:$Z79,MIN(AG$6-$G$3,22))&lt;&gt;""),Algodão!$E79:INDEX(Algodão!$E79:$Z79,MIN(AG$6-$G$3,22))),0)))))</f>
        <v>0</v>
      </c>
      <c r="AH81" s="27" t="n">
        <f aca="false">IF(COUNT(Algodão!$E79:$Z79)=0,0,MAX(0,IF((AH$6-$E$3)&lt;1,0,IFERROR(LOOKUP(2,1/(Algodão!$E79:INDEX(Algodão!$E79:$Z79,MIN(AH$6-$E$3,22))&lt;&gt;""),Algodão!$E79:INDEX(Algodão!$E79:$Z79,MIN(AH$6-$E$3,22))),0))-IF($G$2,0,IF((AH$6-$G$3)&lt;1,0,IFERROR(LOOKUP(2,1/(Algodão!$E79:INDEX(Algodão!$E79:$Z79,MIN(AH$6-$G$3,22))&lt;&gt;""),Algodão!$E79:INDEX(Algodão!$E79:$Z79,MIN(AH$6-$G$3,22))),0)))))</f>
        <v>0</v>
      </c>
      <c r="AI81" s="27" t="n">
        <f aca="false">IF(COUNT(Algodão!$E79:$Z79)=0,0,MAX(0,IF((AI$6-$E$3)&lt;1,0,IFERROR(LOOKUP(2,1/(Algodão!$E79:INDEX(Algodão!$E79:$Z79,MIN(AI$6-$E$3,22))&lt;&gt;""),Algodão!$E79:INDEX(Algodão!$E79:$Z79,MIN(AI$6-$E$3,22))),0))-IF($G$2,0,IF((AI$6-$G$3)&lt;1,0,IFERROR(LOOKUP(2,1/(Algodão!$E79:INDEX(Algodão!$E79:$Z79,MIN(AI$6-$G$3,22))&lt;&gt;""),Algodão!$E79:INDEX(Algodão!$E79:$Z79,MIN(AI$6-$G$3,22))),0)))))</f>
        <v>0</v>
      </c>
      <c r="AJ81" s="27" t="n">
        <f aca="false">IF(COUNT(Algodão!$E79:$Z79)=0,0,MAX(0,IF((AJ$6-$E$3)&lt;1,0,IFERROR(LOOKUP(2,1/(Algodão!$E79:INDEX(Algodão!$E79:$Z79,MIN(AJ$6-$E$3,22))&lt;&gt;""),Algodão!$E79:INDEX(Algodão!$E79:$Z79,MIN(AJ$6-$E$3,22))),0))-IF($G$2,0,IF((AJ$6-$G$3)&lt;1,0,IFERROR(LOOKUP(2,1/(Algodão!$E79:INDEX(Algodão!$E79:$Z79,MIN(AJ$6-$G$3,22))&lt;&gt;""),Algodão!$E79:INDEX(Algodão!$E79:$Z79,MIN(AJ$6-$G$3,22))),0)))))</f>
        <v>0</v>
      </c>
      <c r="AK81" s="27" t="n">
        <f aca="false">IF(COUNT(Algodão!$E79:$Z79)=0,0,MAX(0,IF((AK$6-$E$3)&lt;1,0,IFERROR(LOOKUP(2,1/(Algodão!$E79:INDEX(Algodão!$E79:$Z79,MIN(AK$6-$E$3,22))&lt;&gt;""),Algodão!$E79:INDEX(Algodão!$E79:$Z79,MIN(AK$6-$E$3,22))),0))-IF($G$2,0,IF((AK$6-$G$3)&lt;1,0,IFERROR(LOOKUP(2,1/(Algodão!$E79:INDEX(Algodão!$E79:$Z79,MIN(AK$6-$G$3,22))&lt;&gt;""),Algodão!$E79:INDEX(Algodão!$E79:$Z79,MIN(AK$6-$G$3,22))),0)))))</f>
        <v>0</v>
      </c>
      <c r="AL81" s="27" t="n">
        <f aca="false">IF(COUNT(Algodão!$E79:$Z79)=0,0,MAX(0,IF((AL$6-$E$3)&lt;1,0,IFERROR(LOOKUP(2,1/(Algodão!$E79:INDEX(Algodão!$E79:$Z79,MIN(AL$6-$E$3,22))&lt;&gt;""),Algodão!$E79:INDEX(Algodão!$E79:$Z79,MIN(AL$6-$E$3,22))),0))-IF($G$2,0,IF((AL$6-$G$3)&lt;1,0,IFERROR(LOOKUP(2,1/(Algodão!$E79:INDEX(Algodão!$E79:$Z79,MIN(AL$6-$G$3,22))&lt;&gt;""),Algodão!$E79:INDEX(Algodão!$E79:$Z79,MIN(AL$6-$G$3,22))),0)))))</f>
        <v>0</v>
      </c>
      <c r="AM81" s="27" t="n">
        <f aca="false">IF(COUNT(Algodão!$E79:$Z79)=0,0,MAX(0,IF((AM$6-$E$3)&lt;1,0,IFERROR(LOOKUP(2,1/(Algodão!$E79:INDEX(Algodão!$E79:$Z79,MIN(AM$6-$E$3,22))&lt;&gt;""),Algodão!$E79:INDEX(Algodão!$E79:$Z79,MIN(AM$6-$E$3,22))),0))-IF($G$2,0,IF((AM$6-$G$3)&lt;1,0,IFERROR(LOOKUP(2,1/(Algodão!$E79:INDEX(Algodão!$E79:$Z79,MIN(AM$6-$G$3,22))&lt;&gt;""),Algodão!$E79:INDEX(Algodão!$E79:$Z79,MIN(AM$6-$G$3,22))),0)))))</f>
        <v>0</v>
      </c>
      <c r="AN81" s="27" t="n">
        <f aca="false">IF(COUNT(Algodão!$E79:$Z79)=0,0,MAX(0,IF((AN$6-$E$3)&lt;1,0,IFERROR(LOOKUP(2,1/(Algodão!$E79:INDEX(Algodão!$E79:$Z79,MIN(AN$6-$E$3,22))&lt;&gt;""),Algodão!$E79:INDEX(Algodão!$E79:$Z79,MIN(AN$6-$E$3,22))),0))-IF($G$2,0,IF((AN$6-$G$3)&lt;1,0,IFERROR(LOOKUP(2,1/(Algodão!$E79:INDEX(Algodão!$E79:$Z79,MIN(AN$6-$G$3,22))&lt;&gt;""),Algodão!$E79:INDEX(Algodão!$E79:$Z79,MIN(AN$6-$G$3,22))),0)))))</f>
        <v>0</v>
      </c>
      <c r="AO81" s="27" t="n">
        <f aca="false">IF(COUNT(Algodão!$E79:$Z79)=0,0,MAX(0,IF((AO$6-$E$3)&lt;1,0,IFERROR(LOOKUP(2,1/(Algodão!$E79:INDEX(Algodão!$E79:$Z79,MIN(AO$6-$E$3,22))&lt;&gt;""),Algodão!$E79:INDEX(Algodão!$E79:$Z79,MIN(AO$6-$E$3,22))),0))-IF($G$2,0,IF((AO$6-$G$3)&lt;1,0,IFERROR(LOOKUP(2,1/(Algodão!$E79:INDEX(Algodão!$E79:$Z79,MIN(AO$6-$G$3,22))&lt;&gt;""),Algodão!$E79:INDEX(Algodão!$E79:$Z79,MIN(AO$6-$G$3,22))),0)))))</f>
        <v>0</v>
      </c>
      <c r="AP81" s="27" t="n">
        <f aca="false">IF(COUNT(Algodão!$E79:$Z79)=0,0,MAX(0,IF((AP$6-$E$3)&lt;1,0,IFERROR(LOOKUP(2,1/(Algodão!$E79:INDEX(Algodão!$E79:$Z79,MIN(AP$6-$E$3,22))&lt;&gt;""),Algodão!$E79:INDEX(Algodão!$E79:$Z79,MIN(AP$6-$E$3,22))),0))-IF($G$2,0,IF((AP$6-$G$3)&lt;1,0,IFERROR(LOOKUP(2,1/(Algodão!$E79:INDEX(Algodão!$E79:$Z79,MIN(AP$6-$G$3,22))&lt;&gt;""),Algodão!$E79:INDEX(Algodão!$E79:$Z79,MIN(AP$6-$G$3,22))),0)))))</f>
        <v>0</v>
      </c>
      <c r="AQ81" s="27" t="n">
        <f aca="false">IF(COUNT(Algodão!$E79:$Z79)=0,0,MAX(0,IF((AQ$6-$E$3)&lt;1,0,IFERROR(LOOKUP(2,1/(Algodão!$E79:INDEX(Algodão!$E79:$Z79,MIN(AQ$6-$E$3,22))&lt;&gt;""),Algodão!$E79:INDEX(Algodão!$E79:$Z79,MIN(AQ$6-$E$3,22))),0))-IF($G$2,0,IF((AQ$6-$G$3)&lt;1,0,IFERROR(LOOKUP(2,1/(Algodão!$E79:INDEX(Algodão!$E79:$Z79,MIN(AQ$6-$G$3,22))&lt;&gt;""),Algodão!$E79:INDEX(Algodão!$E79:$Z79,MIN(AQ$6-$G$3,22))),0)))))</f>
        <v>0</v>
      </c>
      <c r="AR81" s="27" t="n">
        <f aca="false">IF(COUNT(Algodão!$E79:$Z79)=0,0,MAX(0,IF((AR$6-$E$3)&lt;1,0,IFERROR(LOOKUP(2,1/(Algodão!$E79:INDEX(Algodão!$E79:$Z79,MIN(AR$6-$E$3,22))&lt;&gt;""),Algodão!$E79:INDEX(Algodão!$E79:$Z79,MIN(AR$6-$E$3,22))),0))-IF($G$2,0,IF((AR$6-$G$3)&lt;1,0,IFERROR(LOOKUP(2,1/(Algodão!$E79:INDEX(Algodão!$E79:$Z79,MIN(AR$6-$G$3,22))&lt;&gt;""),Algodão!$E79:INDEX(Algodão!$E79:$Z79,MIN(AR$6-$G$3,22))),0)))))</f>
        <v>0</v>
      </c>
      <c r="AS81" s="27" t="n">
        <f aca="false">IF(COUNT(Algodão!$E79:$Z79)=0,0,MAX(0,IF((AS$6-$E$3)&lt;1,0,IFERROR(LOOKUP(2,1/(Algodão!$E79:INDEX(Algodão!$E79:$Z79,MIN(AS$6-$E$3,22))&lt;&gt;""),Algodão!$E79:INDEX(Algodão!$E79:$Z79,MIN(AS$6-$E$3,22))),0))-IF($G$2,0,IF((AS$6-$G$3)&lt;1,0,IFERROR(LOOKUP(2,1/(Algodão!$E79:INDEX(Algodão!$E79:$Z79,MIN(AS$6-$G$3,22))&lt;&gt;""),Algodão!$E79:INDEX(Algodão!$E79:$Z79,MIN(AS$6-$G$3,22))),0)))))</f>
        <v>0</v>
      </c>
      <c r="AT81" s="27" t="n">
        <f aca="false">IF(COUNT(Algodão!$E79:$Z79)=0,0,MAX(0,IF((AT$6-$E$3)&lt;1,0,IFERROR(LOOKUP(2,1/(Algodão!$E79:INDEX(Algodão!$E79:$Z79,MIN(AT$6-$E$3,22))&lt;&gt;""),Algodão!$E79:INDEX(Algodão!$E79:$Z79,MIN(AT$6-$E$3,22))),0))-IF($G$2,0,IF((AT$6-$G$3)&lt;1,0,IFERROR(LOOKUP(2,1/(Algodão!$E79:INDEX(Algodão!$E79:$Z79,MIN(AT$6-$G$3,22))&lt;&gt;""),Algodão!$E79:INDEX(Algodão!$E79:$Z79,MIN(AT$6-$G$3,22))),0)))))</f>
        <v>0</v>
      </c>
      <c r="AU81" s="27" t="n">
        <f aca="false">IF(COUNT(Algodão!$E79:$Z79)=0,0,MAX(0,IF((AU$6-$E$3)&lt;1,0,IFERROR(LOOKUP(2,1/(Algodão!$E79:INDEX(Algodão!$E79:$Z79,MIN(AU$6-$E$3,22))&lt;&gt;""),Algodão!$E79:INDEX(Algodão!$E79:$Z79,MIN(AU$6-$E$3,22))),0))-IF($G$2,0,IF((AU$6-$G$3)&lt;1,0,IFERROR(LOOKUP(2,1/(Algodão!$E79:INDEX(Algodão!$E79:$Z79,MIN(AU$6-$G$3,22))&lt;&gt;""),Algodão!$E79:INDEX(Algodão!$E79:$Z79,MIN(AU$6-$G$3,22))),0)))))</f>
        <v>0</v>
      </c>
      <c r="AV81" s="27" t="n">
        <f aca="false">IF(COUNT(Algodão!$E79:$Z79)=0,0,MAX(0,IF((AV$6-$E$3)&lt;1,0,IFERROR(LOOKUP(2,1/(Algodão!$E79:INDEX(Algodão!$E79:$Z79,MIN(AV$6-$E$3,22))&lt;&gt;""),Algodão!$E79:INDEX(Algodão!$E79:$Z79,MIN(AV$6-$E$3,22))),0))-IF($G$2,0,IF((AV$6-$G$3)&lt;1,0,IFERROR(LOOKUP(2,1/(Algodão!$E79:INDEX(Algodão!$E79:$Z79,MIN(AV$6-$G$3,22))&lt;&gt;""),Algodão!$E79:INDEX(Algodão!$E79:$Z79,MIN(AV$6-$G$3,22))),0)))))</f>
        <v>0</v>
      </c>
      <c r="AW81" s="27" t="n">
        <f aca="false">IF(COUNT(Algodão!$E79:$Z79)=0,0,MAX(0,IF((AW$6-$E$3)&lt;1,0,IFERROR(LOOKUP(2,1/(Algodão!$E79:INDEX(Algodão!$E79:$Z79,MIN(AW$6-$E$3,22))&lt;&gt;""),Algodão!$E79:INDEX(Algodão!$E79:$Z79,MIN(AW$6-$E$3,22))),0))-IF($G$2,0,IF((AW$6-$G$3)&lt;1,0,IFERROR(LOOKUP(2,1/(Algodão!$E79:INDEX(Algodão!$E79:$Z79,MIN(AW$6-$G$3,22))&lt;&gt;""),Algodão!$E79:INDEX(Algodão!$E79:$Z79,MIN(AW$6-$G$3,22))),0)))))</f>
        <v>0</v>
      </c>
      <c r="AX81" s="27" t="n">
        <f aca="false">IF(COUNT(Algodão!$E79:$Z79)=0,0,MAX(0,IF((AX$6-$E$3)&lt;1,0,IFERROR(LOOKUP(2,1/(Algodão!$E79:INDEX(Algodão!$E79:$Z79,MIN(AX$6-$E$3,22))&lt;&gt;""),Algodão!$E79:INDEX(Algodão!$E79:$Z79,MIN(AX$6-$E$3,22))),0))-IF($G$2,0,IF((AX$6-$G$3)&lt;1,0,IFERROR(LOOKUP(2,1/(Algodão!$E79:INDEX(Algodão!$E79:$Z79,MIN(AX$6-$G$3,22))&lt;&gt;""),Algodão!$E79:INDEX(Algodão!$E79:$Z79,MIN(AX$6-$G$3,22))),0)))))</f>
        <v>0</v>
      </c>
      <c r="AY81" s="27" t="n">
        <f aca="false">IF(COUNT(Algodão!$E79:$Z79)=0,0,MAX(0,IF((AY$6-$E$3)&lt;1,0,IFERROR(LOOKUP(2,1/(Algodão!$E79:INDEX(Algodão!$E79:$Z79,MIN(AY$6-$E$3,22))&lt;&gt;""),Algodão!$E79:INDEX(Algodão!$E79:$Z79,MIN(AY$6-$E$3,22))),0))-IF($G$2,0,IF((AY$6-$G$3)&lt;1,0,IFERROR(LOOKUP(2,1/(Algodão!$E79:INDEX(Algodão!$E79:$Z79,MIN(AY$6-$G$3,22))&lt;&gt;""),Algodão!$E79:INDEX(Algodão!$E79:$Z79,MIN(AY$6-$G$3,22))),0)))))</f>
        <v>0</v>
      </c>
      <c r="AZ81" s="27" t="n">
        <f aca="false">IF(COUNT(Algodão!$E79:$Z79)=0,0,MAX(0,IF((AZ$6-$E$3)&lt;1,0,IFERROR(LOOKUP(2,1/(Algodão!$E79:INDEX(Algodão!$E79:$Z79,MIN(AZ$6-$E$3,22))&lt;&gt;""),Algodão!$E79:INDEX(Algodão!$E79:$Z79,MIN(AZ$6-$E$3,22))),0))-IF($G$2,0,IF((AZ$6-$G$3)&lt;1,0,IFERROR(LOOKUP(2,1/(Algodão!$E79:INDEX(Algodão!$E79:$Z79,MIN(AZ$6-$G$3,22))&lt;&gt;""),Algodão!$E79:INDEX(Algodão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IF(COUNT(Algodão!$E80:$Z80)&gt;0,N(Algodão!$D80),0)</f>
        <v>0</v>
      </c>
      <c r="E82" s="27" t="n">
        <f aca="false">IF(COUNT(Algodão!$E80:$Z80)=0,0,MAX(0,IF((E$6-$E$3)&lt;1,0,IFERROR(LOOKUP(2,1/(Algodão!$E80:INDEX(Algodão!$E80:$Z80,MIN(E$6-$E$3,22))&lt;&gt;""),Algodão!$E80:INDEX(Algodão!$E80:$Z80,MIN(E$6-$E$3,22))),0))-IF($G$2,0,IF((E$6-$G$3)&lt;1,0,IFERROR(LOOKUP(2,1/(Algodão!$E80:INDEX(Algodão!$E80:$Z80,MIN(E$6-$G$3,22))&lt;&gt;""),Algodão!$E80:INDEX(Algodão!$E80:$Z80,MIN(E$6-$G$3,22))),0)))))</f>
        <v>0</v>
      </c>
      <c r="F82" s="27" t="n">
        <f aca="false">IF(COUNT(Algodão!$E80:$Z80)=0,0,MAX(0,IF((F$6-$E$3)&lt;1,0,IFERROR(LOOKUP(2,1/(Algodão!$E80:INDEX(Algodão!$E80:$Z80,MIN(F$6-$E$3,22))&lt;&gt;""),Algodão!$E80:INDEX(Algodão!$E80:$Z80,MIN(F$6-$E$3,22))),0))-IF($G$2,0,IF((F$6-$G$3)&lt;1,0,IFERROR(LOOKUP(2,1/(Algodão!$E80:INDEX(Algodão!$E80:$Z80,MIN(F$6-$G$3,22))&lt;&gt;""),Algodão!$E80:INDEX(Algodão!$E80:$Z80,MIN(F$6-$G$3,22))),0)))))</f>
        <v>0</v>
      </c>
      <c r="G82" s="27" t="n">
        <f aca="false">IF(COUNT(Algodão!$E80:$Z80)=0,0,MAX(0,IF((G$6-$E$3)&lt;1,0,IFERROR(LOOKUP(2,1/(Algodão!$E80:INDEX(Algodão!$E80:$Z80,MIN(G$6-$E$3,22))&lt;&gt;""),Algodão!$E80:INDEX(Algodão!$E80:$Z80,MIN(G$6-$E$3,22))),0))-IF($G$2,0,IF((G$6-$G$3)&lt;1,0,IFERROR(LOOKUP(2,1/(Algodão!$E80:INDEX(Algodão!$E80:$Z80,MIN(G$6-$G$3,22))&lt;&gt;""),Algodão!$E80:INDEX(Algodão!$E80:$Z80,MIN(G$6-$G$3,22))),0)))))</f>
        <v>0</v>
      </c>
      <c r="H82" s="27" t="n">
        <f aca="false">IF(COUNT(Algodão!$E80:$Z80)=0,0,MAX(0,IF((H$6-$E$3)&lt;1,0,IFERROR(LOOKUP(2,1/(Algodão!$E80:INDEX(Algodão!$E80:$Z80,MIN(H$6-$E$3,22))&lt;&gt;""),Algodão!$E80:INDEX(Algodão!$E80:$Z80,MIN(H$6-$E$3,22))),0))-IF($G$2,0,IF((H$6-$G$3)&lt;1,0,IFERROR(LOOKUP(2,1/(Algodão!$E80:INDEX(Algodão!$E80:$Z80,MIN(H$6-$G$3,22))&lt;&gt;""),Algodão!$E80:INDEX(Algodão!$E80:$Z80,MIN(H$6-$G$3,22))),0)))))</f>
        <v>0</v>
      </c>
      <c r="I82" s="27" t="n">
        <f aca="false">IF(COUNT(Algodão!$E80:$Z80)=0,0,MAX(0,IF((I$6-$E$3)&lt;1,0,IFERROR(LOOKUP(2,1/(Algodão!$E80:INDEX(Algodão!$E80:$Z80,MIN(I$6-$E$3,22))&lt;&gt;""),Algodão!$E80:INDEX(Algodão!$E80:$Z80,MIN(I$6-$E$3,22))),0))-IF($G$2,0,IF((I$6-$G$3)&lt;1,0,IFERROR(LOOKUP(2,1/(Algodão!$E80:INDEX(Algodão!$E80:$Z80,MIN(I$6-$G$3,22))&lt;&gt;""),Algodão!$E80:INDEX(Algodão!$E80:$Z80,MIN(I$6-$G$3,22))),0)))))</f>
        <v>0</v>
      </c>
      <c r="J82" s="27" t="n">
        <f aca="false">IF(COUNT(Algodão!$E80:$Z80)=0,0,MAX(0,IF((J$6-$E$3)&lt;1,0,IFERROR(LOOKUP(2,1/(Algodão!$E80:INDEX(Algodão!$E80:$Z80,MIN(J$6-$E$3,22))&lt;&gt;""),Algodão!$E80:INDEX(Algodão!$E80:$Z80,MIN(J$6-$E$3,22))),0))-IF($G$2,0,IF((J$6-$G$3)&lt;1,0,IFERROR(LOOKUP(2,1/(Algodão!$E80:INDEX(Algodão!$E80:$Z80,MIN(J$6-$G$3,22))&lt;&gt;""),Algodão!$E80:INDEX(Algodão!$E80:$Z80,MIN(J$6-$G$3,22))),0)))))</f>
        <v>0</v>
      </c>
      <c r="K82" s="27" t="n">
        <f aca="false">IF(COUNT(Algodão!$E80:$Z80)=0,0,MAX(0,IF((K$6-$E$3)&lt;1,0,IFERROR(LOOKUP(2,1/(Algodão!$E80:INDEX(Algodão!$E80:$Z80,MIN(K$6-$E$3,22))&lt;&gt;""),Algodão!$E80:INDEX(Algodão!$E80:$Z80,MIN(K$6-$E$3,22))),0))-IF($G$2,0,IF((K$6-$G$3)&lt;1,0,IFERROR(LOOKUP(2,1/(Algodão!$E80:INDEX(Algodão!$E80:$Z80,MIN(K$6-$G$3,22))&lt;&gt;""),Algodão!$E80:INDEX(Algodão!$E80:$Z80,MIN(K$6-$G$3,22))),0)))))</f>
        <v>0</v>
      </c>
      <c r="L82" s="27" t="n">
        <f aca="false">IF(COUNT(Algodão!$E80:$Z80)=0,0,MAX(0,IF((L$6-$E$3)&lt;1,0,IFERROR(LOOKUP(2,1/(Algodão!$E80:INDEX(Algodão!$E80:$Z80,MIN(L$6-$E$3,22))&lt;&gt;""),Algodão!$E80:INDEX(Algodão!$E80:$Z80,MIN(L$6-$E$3,22))),0))-IF($G$2,0,IF((L$6-$G$3)&lt;1,0,IFERROR(LOOKUP(2,1/(Algodão!$E80:INDEX(Algodão!$E80:$Z80,MIN(L$6-$G$3,22))&lt;&gt;""),Algodão!$E80:INDEX(Algodão!$E80:$Z80,MIN(L$6-$G$3,22))),0)))))</f>
        <v>0</v>
      </c>
      <c r="M82" s="27" t="n">
        <f aca="false">IF(COUNT(Algodão!$E80:$Z80)=0,0,MAX(0,IF((M$6-$E$3)&lt;1,0,IFERROR(LOOKUP(2,1/(Algodão!$E80:INDEX(Algodão!$E80:$Z80,MIN(M$6-$E$3,22))&lt;&gt;""),Algodão!$E80:INDEX(Algodão!$E80:$Z80,MIN(M$6-$E$3,22))),0))-IF($G$2,0,IF((M$6-$G$3)&lt;1,0,IFERROR(LOOKUP(2,1/(Algodão!$E80:INDEX(Algodão!$E80:$Z80,MIN(M$6-$G$3,22))&lt;&gt;""),Algodão!$E80:INDEX(Algodão!$E80:$Z80,MIN(M$6-$G$3,22))),0)))))</f>
        <v>0</v>
      </c>
      <c r="N82" s="27" t="n">
        <f aca="false">IF(COUNT(Algodão!$E80:$Z80)=0,0,MAX(0,IF((N$6-$E$3)&lt;1,0,IFERROR(LOOKUP(2,1/(Algodão!$E80:INDEX(Algodão!$E80:$Z80,MIN(N$6-$E$3,22))&lt;&gt;""),Algodão!$E80:INDEX(Algodão!$E80:$Z80,MIN(N$6-$E$3,22))),0))-IF($G$2,0,IF((N$6-$G$3)&lt;1,0,IFERROR(LOOKUP(2,1/(Algodão!$E80:INDEX(Algodão!$E80:$Z80,MIN(N$6-$G$3,22))&lt;&gt;""),Algodão!$E80:INDEX(Algodão!$E80:$Z80,MIN(N$6-$G$3,22))),0)))))</f>
        <v>0</v>
      </c>
      <c r="O82" s="27" t="n">
        <f aca="false">IF(COUNT(Algodão!$E80:$Z80)=0,0,MAX(0,IF((O$6-$E$3)&lt;1,0,IFERROR(LOOKUP(2,1/(Algodão!$E80:INDEX(Algodão!$E80:$Z80,MIN(O$6-$E$3,22))&lt;&gt;""),Algodão!$E80:INDEX(Algodão!$E80:$Z80,MIN(O$6-$E$3,22))),0))-IF($G$2,0,IF((O$6-$G$3)&lt;1,0,IFERROR(LOOKUP(2,1/(Algodão!$E80:INDEX(Algodão!$E80:$Z80,MIN(O$6-$G$3,22))&lt;&gt;""),Algodão!$E80:INDEX(Algodão!$E80:$Z80,MIN(O$6-$G$3,22))),0)))))</f>
        <v>0</v>
      </c>
      <c r="P82" s="27" t="n">
        <f aca="false">IF(COUNT(Algodão!$E80:$Z80)=0,0,MAX(0,IF((P$6-$E$3)&lt;1,0,IFERROR(LOOKUP(2,1/(Algodão!$E80:INDEX(Algodão!$E80:$Z80,MIN(P$6-$E$3,22))&lt;&gt;""),Algodão!$E80:INDEX(Algodão!$E80:$Z80,MIN(P$6-$E$3,22))),0))-IF($G$2,0,IF((P$6-$G$3)&lt;1,0,IFERROR(LOOKUP(2,1/(Algodão!$E80:INDEX(Algodão!$E80:$Z80,MIN(P$6-$G$3,22))&lt;&gt;""),Algodão!$E80:INDEX(Algodão!$E80:$Z80,MIN(P$6-$G$3,22))),0)))))</f>
        <v>0</v>
      </c>
      <c r="Q82" s="27" t="n">
        <f aca="false">IF(COUNT(Algodão!$E80:$Z80)=0,0,MAX(0,IF((Q$6-$E$3)&lt;1,0,IFERROR(LOOKUP(2,1/(Algodão!$E80:INDEX(Algodão!$E80:$Z80,MIN(Q$6-$E$3,22))&lt;&gt;""),Algodão!$E80:INDEX(Algodão!$E80:$Z80,MIN(Q$6-$E$3,22))),0))-IF($G$2,0,IF((Q$6-$G$3)&lt;1,0,IFERROR(LOOKUP(2,1/(Algodão!$E80:INDEX(Algodão!$E80:$Z80,MIN(Q$6-$G$3,22))&lt;&gt;""),Algodão!$E80:INDEX(Algodão!$E80:$Z80,MIN(Q$6-$G$3,22))),0)))))</f>
        <v>0</v>
      </c>
      <c r="R82" s="27" t="n">
        <f aca="false">IF(COUNT(Algodão!$E80:$Z80)=0,0,MAX(0,IF((R$6-$E$3)&lt;1,0,IFERROR(LOOKUP(2,1/(Algodão!$E80:INDEX(Algodão!$E80:$Z80,MIN(R$6-$E$3,22))&lt;&gt;""),Algodão!$E80:INDEX(Algodão!$E80:$Z80,MIN(R$6-$E$3,22))),0))-IF($G$2,0,IF((R$6-$G$3)&lt;1,0,IFERROR(LOOKUP(2,1/(Algodão!$E80:INDEX(Algodão!$E80:$Z80,MIN(R$6-$G$3,22))&lt;&gt;""),Algodão!$E80:INDEX(Algodão!$E80:$Z80,MIN(R$6-$G$3,22))),0)))))</f>
        <v>0</v>
      </c>
      <c r="S82" s="27" t="n">
        <f aca="false">IF(COUNT(Algodão!$E80:$Z80)=0,0,MAX(0,IF((S$6-$E$3)&lt;1,0,IFERROR(LOOKUP(2,1/(Algodão!$E80:INDEX(Algodão!$E80:$Z80,MIN(S$6-$E$3,22))&lt;&gt;""),Algodão!$E80:INDEX(Algodão!$E80:$Z80,MIN(S$6-$E$3,22))),0))-IF($G$2,0,IF((S$6-$G$3)&lt;1,0,IFERROR(LOOKUP(2,1/(Algodão!$E80:INDEX(Algodão!$E80:$Z80,MIN(S$6-$G$3,22))&lt;&gt;""),Algodão!$E80:INDEX(Algodão!$E80:$Z80,MIN(S$6-$G$3,22))),0)))))</f>
        <v>0</v>
      </c>
      <c r="T82" s="27" t="n">
        <f aca="false">IF(COUNT(Algodão!$E80:$Z80)=0,0,MAX(0,IF((T$6-$E$3)&lt;1,0,IFERROR(LOOKUP(2,1/(Algodão!$E80:INDEX(Algodão!$E80:$Z80,MIN(T$6-$E$3,22))&lt;&gt;""),Algodão!$E80:INDEX(Algodão!$E80:$Z80,MIN(T$6-$E$3,22))),0))-IF($G$2,0,IF((T$6-$G$3)&lt;1,0,IFERROR(LOOKUP(2,1/(Algodão!$E80:INDEX(Algodão!$E80:$Z80,MIN(T$6-$G$3,22))&lt;&gt;""),Algodão!$E80:INDEX(Algodão!$E80:$Z80,MIN(T$6-$G$3,22))),0)))))</f>
        <v>0</v>
      </c>
      <c r="U82" s="27" t="n">
        <f aca="false">IF(COUNT(Algodão!$E80:$Z80)=0,0,MAX(0,IF((U$6-$E$3)&lt;1,0,IFERROR(LOOKUP(2,1/(Algodão!$E80:INDEX(Algodão!$E80:$Z80,MIN(U$6-$E$3,22))&lt;&gt;""),Algodão!$E80:INDEX(Algodão!$E80:$Z80,MIN(U$6-$E$3,22))),0))-IF($G$2,0,IF((U$6-$G$3)&lt;1,0,IFERROR(LOOKUP(2,1/(Algodão!$E80:INDEX(Algodão!$E80:$Z80,MIN(U$6-$G$3,22))&lt;&gt;""),Algodão!$E80:INDEX(Algodão!$E80:$Z80,MIN(U$6-$G$3,22))),0)))))</f>
        <v>0</v>
      </c>
      <c r="V82" s="27" t="n">
        <f aca="false">IF(COUNT(Algodão!$E80:$Z80)=0,0,MAX(0,IF((V$6-$E$3)&lt;1,0,IFERROR(LOOKUP(2,1/(Algodão!$E80:INDEX(Algodão!$E80:$Z80,MIN(V$6-$E$3,22))&lt;&gt;""),Algodão!$E80:INDEX(Algodão!$E80:$Z80,MIN(V$6-$E$3,22))),0))-IF($G$2,0,IF((V$6-$G$3)&lt;1,0,IFERROR(LOOKUP(2,1/(Algodão!$E80:INDEX(Algodão!$E80:$Z80,MIN(V$6-$G$3,22))&lt;&gt;""),Algodão!$E80:INDEX(Algodão!$E80:$Z80,MIN(V$6-$G$3,22))),0)))))</f>
        <v>0</v>
      </c>
      <c r="W82" s="27" t="n">
        <f aca="false">IF(COUNT(Algodão!$E80:$Z80)=0,0,MAX(0,IF((W$6-$E$3)&lt;1,0,IFERROR(LOOKUP(2,1/(Algodão!$E80:INDEX(Algodão!$E80:$Z80,MIN(W$6-$E$3,22))&lt;&gt;""),Algodão!$E80:INDEX(Algodão!$E80:$Z80,MIN(W$6-$E$3,22))),0))-IF($G$2,0,IF((W$6-$G$3)&lt;1,0,IFERROR(LOOKUP(2,1/(Algodão!$E80:INDEX(Algodão!$E80:$Z80,MIN(W$6-$G$3,22))&lt;&gt;""),Algodão!$E80:INDEX(Algodão!$E80:$Z80,MIN(W$6-$G$3,22))),0)))))</f>
        <v>0</v>
      </c>
      <c r="X82" s="27" t="n">
        <f aca="false">IF(COUNT(Algodão!$E80:$Z80)=0,0,MAX(0,IF((X$6-$E$3)&lt;1,0,IFERROR(LOOKUP(2,1/(Algodão!$E80:INDEX(Algodão!$E80:$Z80,MIN(X$6-$E$3,22))&lt;&gt;""),Algodão!$E80:INDEX(Algodão!$E80:$Z80,MIN(X$6-$E$3,22))),0))-IF($G$2,0,IF((X$6-$G$3)&lt;1,0,IFERROR(LOOKUP(2,1/(Algodão!$E80:INDEX(Algodão!$E80:$Z80,MIN(X$6-$G$3,22))&lt;&gt;""),Algodão!$E80:INDEX(Algodão!$E80:$Z80,MIN(X$6-$G$3,22))),0)))))</f>
        <v>0</v>
      </c>
      <c r="Y82" s="27" t="n">
        <f aca="false">IF(COUNT(Algodão!$E80:$Z80)=0,0,MAX(0,IF((Y$6-$E$3)&lt;1,0,IFERROR(LOOKUP(2,1/(Algodão!$E80:INDEX(Algodão!$E80:$Z80,MIN(Y$6-$E$3,22))&lt;&gt;""),Algodão!$E80:INDEX(Algodão!$E80:$Z80,MIN(Y$6-$E$3,22))),0))-IF($G$2,0,IF((Y$6-$G$3)&lt;1,0,IFERROR(LOOKUP(2,1/(Algodão!$E80:INDEX(Algodão!$E80:$Z80,MIN(Y$6-$G$3,22))&lt;&gt;""),Algodão!$E80:INDEX(Algodão!$E80:$Z80,MIN(Y$6-$G$3,22))),0)))))</f>
        <v>0</v>
      </c>
      <c r="Z82" s="27" t="n">
        <f aca="false">IF(COUNT(Algodão!$E80:$Z80)=0,0,MAX(0,IF((Z$6-$E$3)&lt;1,0,IFERROR(LOOKUP(2,1/(Algodão!$E80:INDEX(Algodão!$E80:$Z80,MIN(Z$6-$E$3,22))&lt;&gt;""),Algodão!$E80:INDEX(Algodão!$E80:$Z80,MIN(Z$6-$E$3,22))),0))-IF($G$2,0,IF((Z$6-$G$3)&lt;1,0,IFERROR(LOOKUP(2,1/(Algodão!$E80:INDEX(Algodão!$E80:$Z80,MIN(Z$6-$G$3,22))&lt;&gt;""),Algodão!$E80:INDEX(Algodão!$E80:$Z80,MIN(Z$6-$G$3,22))),0)))))</f>
        <v>0</v>
      </c>
      <c r="AA82" s="27" t="n">
        <f aca="false">IF(COUNT(Algodão!$E80:$Z80)=0,0,MAX(0,IF((AA$6-$E$3)&lt;1,0,IFERROR(LOOKUP(2,1/(Algodão!$E80:INDEX(Algodão!$E80:$Z80,MIN(AA$6-$E$3,22))&lt;&gt;""),Algodão!$E80:INDEX(Algodão!$E80:$Z80,MIN(AA$6-$E$3,22))),0))-IF($G$2,0,IF((AA$6-$G$3)&lt;1,0,IFERROR(LOOKUP(2,1/(Algodão!$E80:INDEX(Algodão!$E80:$Z80,MIN(AA$6-$G$3,22))&lt;&gt;""),Algodão!$E80:INDEX(Algodão!$E80:$Z80,MIN(AA$6-$G$3,22))),0)))))</f>
        <v>0</v>
      </c>
      <c r="AB82" s="27" t="n">
        <f aca="false">IF(COUNT(Algodão!$E80:$Z80)=0,0,MAX(0,IF((AB$6-$E$3)&lt;1,0,IFERROR(LOOKUP(2,1/(Algodão!$E80:INDEX(Algodão!$E80:$Z80,MIN(AB$6-$E$3,22))&lt;&gt;""),Algodão!$E80:INDEX(Algodão!$E80:$Z80,MIN(AB$6-$E$3,22))),0))-IF($G$2,0,IF((AB$6-$G$3)&lt;1,0,IFERROR(LOOKUP(2,1/(Algodão!$E80:INDEX(Algodão!$E80:$Z80,MIN(AB$6-$G$3,22))&lt;&gt;""),Algodão!$E80:INDEX(Algodão!$E80:$Z80,MIN(AB$6-$G$3,22))),0)))))</f>
        <v>0</v>
      </c>
      <c r="AC82" s="27" t="n">
        <f aca="false">IF(COUNT(Algodão!$E80:$Z80)=0,0,MAX(0,IF((AC$6-$E$3)&lt;1,0,IFERROR(LOOKUP(2,1/(Algodão!$E80:INDEX(Algodão!$E80:$Z80,MIN(AC$6-$E$3,22))&lt;&gt;""),Algodão!$E80:INDEX(Algodão!$E80:$Z80,MIN(AC$6-$E$3,22))),0))-IF($G$2,0,IF((AC$6-$G$3)&lt;1,0,IFERROR(LOOKUP(2,1/(Algodão!$E80:INDEX(Algodão!$E80:$Z80,MIN(AC$6-$G$3,22))&lt;&gt;""),Algodão!$E80:INDEX(Algodão!$E80:$Z80,MIN(AC$6-$G$3,22))),0)))))</f>
        <v>0</v>
      </c>
      <c r="AD82" s="27" t="n">
        <f aca="false">IF(COUNT(Algodão!$E80:$Z80)=0,0,MAX(0,IF((AD$6-$E$3)&lt;1,0,IFERROR(LOOKUP(2,1/(Algodão!$E80:INDEX(Algodão!$E80:$Z80,MIN(AD$6-$E$3,22))&lt;&gt;""),Algodão!$E80:INDEX(Algodão!$E80:$Z80,MIN(AD$6-$E$3,22))),0))-IF($G$2,0,IF((AD$6-$G$3)&lt;1,0,IFERROR(LOOKUP(2,1/(Algodão!$E80:INDEX(Algodão!$E80:$Z80,MIN(AD$6-$G$3,22))&lt;&gt;""),Algodão!$E80:INDEX(Algodão!$E80:$Z80,MIN(AD$6-$G$3,22))),0)))))</f>
        <v>0</v>
      </c>
      <c r="AE82" s="27" t="n">
        <f aca="false">IF(COUNT(Algodão!$E80:$Z80)=0,0,MAX(0,IF((AE$6-$E$3)&lt;1,0,IFERROR(LOOKUP(2,1/(Algodão!$E80:INDEX(Algodão!$E80:$Z80,MIN(AE$6-$E$3,22))&lt;&gt;""),Algodão!$E80:INDEX(Algodão!$E80:$Z80,MIN(AE$6-$E$3,22))),0))-IF($G$2,0,IF((AE$6-$G$3)&lt;1,0,IFERROR(LOOKUP(2,1/(Algodão!$E80:INDEX(Algodão!$E80:$Z80,MIN(AE$6-$G$3,22))&lt;&gt;""),Algodão!$E80:INDEX(Algodão!$E80:$Z80,MIN(AE$6-$G$3,22))),0)))))</f>
        <v>0</v>
      </c>
      <c r="AF82" s="27" t="n">
        <f aca="false">IF(COUNT(Algodão!$E80:$Z80)=0,0,MAX(0,IF((AF$6-$E$3)&lt;1,0,IFERROR(LOOKUP(2,1/(Algodão!$E80:INDEX(Algodão!$E80:$Z80,MIN(AF$6-$E$3,22))&lt;&gt;""),Algodão!$E80:INDEX(Algodão!$E80:$Z80,MIN(AF$6-$E$3,22))),0))-IF($G$2,0,IF((AF$6-$G$3)&lt;1,0,IFERROR(LOOKUP(2,1/(Algodão!$E80:INDEX(Algodão!$E80:$Z80,MIN(AF$6-$G$3,22))&lt;&gt;""),Algodão!$E80:INDEX(Algodão!$E80:$Z80,MIN(AF$6-$G$3,22))),0)))))</f>
        <v>0</v>
      </c>
      <c r="AG82" s="27" t="n">
        <f aca="false">IF(COUNT(Algodão!$E80:$Z80)=0,0,MAX(0,IF((AG$6-$E$3)&lt;1,0,IFERROR(LOOKUP(2,1/(Algodão!$E80:INDEX(Algodão!$E80:$Z80,MIN(AG$6-$E$3,22))&lt;&gt;""),Algodão!$E80:INDEX(Algodão!$E80:$Z80,MIN(AG$6-$E$3,22))),0))-IF($G$2,0,IF((AG$6-$G$3)&lt;1,0,IFERROR(LOOKUP(2,1/(Algodão!$E80:INDEX(Algodão!$E80:$Z80,MIN(AG$6-$G$3,22))&lt;&gt;""),Algodão!$E80:INDEX(Algodão!$E80:$Z80,MIN(AG$6-$G$3,22))),0)))))</f>
        <v>0</v>
      </c>
      <c r="AH82" s="27" t="n">
        <f aca="false">IF(COUNT(Algodão!$E80:$Z80)=0,0,MAX(0,IF((AH$6-$E$3)&lt;1,0,IFERROR(LOOKUP(2,1/(Algodão!$E80:INDEX(Algodão!$E80:$Z80,MIN(AH$6-$E$3,22))&lt;&gt;""),Algodão!$E80:INDEX(Algodão!$E80:$Z80,MIN(AH$6-$E$3,22))),0))-IF($G$2,0,IF((AH$6-$G$3)&lt;1,0,IFERROR(LOOKUP(2,1/(Algodão!$E80:INDEX(Algodão!$E80:$Z80,MIN(AH$6-$G$3,22))&lt;&gt;""),Algodão!$E80:INDEX(Algodão!$E80:$Z80,MIN(AH$6-$G$3,22))),0)))))</f>
        <v>0</v>
      </c>
      <c r="AI82" s="27" t="n">
        <f aca="false">IF(COUNT(Algodão!$E80:$Z80)=0,0,MAX(0,IF((AI$6-$E$3)&lt;1,0,IFERROR(LOOKUP(2,1/(Algodão!$E80:INDEX(Algodão!$E80:$Z80,MIN(AI$6-$E$3,22))&lt;&gt;""),Algodão!$E80:INDEX(Algodão!$E80:$Z80,MIN(AI$6-$E$3,22))),0))-IF($G$2,0,IF((AI$6-$G$3)&lt;1,0,IFERROR(LOOKUP(2,1/(Algodão!$E80:INDEX(Algodão!$E80:$Z80,MIN(AI$6-$G$3,22))&lt;&gt;""),Algodão!$E80:INDEX(Algodão!$E80:$Z80,MIN(AI$6-$G$3,22))),0)))))</f>
        <v>0</v>
      </c>
      <c r="AJ82" s="27" t="n">
        <f aca="false">IF(COUNT(Algodão!$E80:$Z80)=0,0,MAX(0,IF((AJ$6-$E$3)&lt;1,0,IFERROR(LOOKUP(2,1/(Algodão!$E80:INDEX(Algodão!$E80:$Z80,MIN(AJ$6-$E$3,22))&lt;&gt;""),Algodão!$E80:INDEX(Algodão!$E80:$Z80,MIN(AJ$6-$E$3,22))),0))-IF($G$2,0,IF((AJ$6-$G$3)&lt;1,0,IFERROR(LOOKUP(2,1/(Algodão!$E80:INDEX(Algodão!$E80:$Z80,MIN(AJ$6-$G$3,22))&lt;&gt;""),Algodão!$E80:INDEX(Algodão!$E80:$Z80,MIN(AJ$6-$G$3,22))),0)))))</f>
        <v>0</v>
      </c>
      <c r="AK82" s="27" t="n">
        <f aca="false">IF(COUNT(Algodão!$E80:$Z80)=0,0,MAX(0,IF((AK$6-$E$3)&lt;1,0,IFERROR(LOOKUP(2,1/(Algodão!$E80:INDEX(Algodão!$E80:$Z80,MIN(AK$6-$E$3,22))&lt;&gt;""),Algodão!$E80:INDEX(Algodão!$E80:$Z80,MIN(AK$6-$E$3,22))),0))-IF($G$2,0,IF((AK$6-$G$3)&lt;1,0,IFERROR(LOOKUP(2,1/(Algodão!$E80:INDEX(Algodão!$E80:$Z80,MIN(AK$6-$G$3,22))&lt;&gt;""),Algodão!$E80:INDEX(Algodão!$E80:$Z80,MIN(AK$6-$G$3,22))),0)))))</f>
        <v>0</v>
      </c>
      <c r="AL82" s="27" t="n">
        <f aca="false">IF(COUNT(Algodão!$E80:$Z80)=0,0,MAX(0,IF((AL$6-$E$3)&lt;1,0,IFERROR(LOOKUP(2,1/(Algodão!$E80:INDEX(Algodão!$E80:$Z80,MIN(AL$6-$E$3,22))&lt;&gt;""),Algodão!$E80:INDEX(Algodão!$E80:$Z80,MIN(AL$6-$E$3,22))),0))-IF($G$2,0,IF((AL$6-$G$3)&lt;1,0,IFERROR(LOOKUP(2,1/(Algodão!$E80:INDEX(Algodão!$E80:$Z80,MIN(AL$6-$G$3,22))&lt;&gt;""),Algodão!$E80:INDEX(Algodão!$E80:$Z80,MIN(AL$6-$G$3,22))),0)))))</f>
        <v>0</v>
      </c>
      <c r="AM82" s="27" t="n">
        <f aca="false">IF(COUNT(Algodão!$E80:$Z80)=0,0,MAX(0,IF((AM$6-$E$3)&lt;1,0,IFERROR(LOOKUP(2,1/(Algodão!$E80:INDEX(Algodão!$E80:$Z80,MIN(AM$6-$E$3,22))&lt;&gt;""),Algodão!$E80:INDEX(Algodão!$E80:$Z80,MIN(AM$6-$E$3,22))),0))-IF($G$2,0,IF((AM$6-$G$3)&lt;1,0,IFERROR(LOOKUP(2,1/(Algodão!$E80:INDEX(Algodão!$E80:$Z80,MIN(AM$6-$G$3,22))&lt;&gt;""),Algodão!$E80:INDEX(Algodão!$E80:$Z80,MIN(AM$6-$G$3,22))),0)))))</f>
        <v>0</v>
      </c>
      <c r="AN82" s="27" t="n">
        <f aca="false">IF(COUNT(Algodão!$E80:$Z80)=0,0,MAX(0,IF((AN$6-$E$3)&lt;1,0,IFERROR(LOOKUP(2,1/(Algodão!$E80:INDEX(Algodão!$E80:$Z80,MIN(AN$6-$E$3,22))&lt;&gt;""),Algodão!$E80:INDEX(Algodão!$E80:$Z80,MIN(AN$6-$E$3,22))),0))-IF($G$2,0,IF((AN$6-$G$3)&lt;1,0,IFERROR(LOOKUP(2,1/(Algodão!$E80:INDEX(Algodão!$E80:$Z80,MIN(AN$6-$G$3,22))&lt;&gt;""),Algodão!$E80:INDEX(Algodão!$E80:$Z80,MIN(AN$6-$G$3,22))),0)))))</f>
        <v>0</v>
      </c>
      <c r="AO82" s="27" t="n">
        <f aca="false">IF(COUNT(Algodão!$E80:$Z80)=0,0,MAX(0,IF((AO$6-$E$3)&lt;1,0,IFERROR(LOOKUP(2,1/(Algodão!$E80:INDEX(Algodão!$E80:$Z80,MIN(AO$6-$E$3,22))&lt;&gt;""),Algodão!$E80:INDEX(Algodão!$E80:$Z80,MIN(AO$6-$E$3,22))),0))-IF($G$2,0,IF((AO$6-$G$3)&lt;1,0,IFERROR(LOOKUP(2,1/(Algodão!$E80:INDEX(Algodão!$E80:$Z80,MIN(AO$6-$G$3,22))&lt;&gt;""),Algodão!$E80:INDEX(Algodão!$E80:$Z80,MIN(AO$6-$G$3,22))),0)))))</f>
        <v>0</v>
      </c>
      <c r="AP82" s="27" t="n">
        <f aca="false">IF(COUNT(Algodão!$E80:$Z80)=0,0,MAX(0,IF((AP$6-$E$3)&lt;1,0,IFERROR(LOOKUP(2,1/(Algodão!$E80:INDEX(Algodão!$E80:$Z80,MIN(AP$6-$E$3,22))&lt;&gt;""),Algodão!$E80:INDEX(Algodão!$E80:$Z80,MIN(AP$6-$E$3,22))),0))-IF($G$2,0,IF((AP$6-$G$3)&lt;1,0,IFERROR(LOOKUP(2,1/(Algodão!$E80:INDEX(Algodão!$E80:$Z80,MIN(AP$6-$G$3,22))&lt;&gt;""),Algodão!$E80:INDEX(Algodão!$E80:$Z80,MIN(AP$6-$G$3,22))),0)))))</f>
        <v>0</v>
      </c>
      <c r="AQ82" s="27" t="n">
        <f aca="false">IF(COUNT(Algodão!$E80:$Z80)=0,0,MAX(0,IF((AQ$6-$E$3)&lt;1,0,IFERROR(LOOKUP(2,1/(Algodão!$E80:INDEX(Algodão!$E80:$Z80,MIN(AQ$6-$E$3,22))&lt;&gt;""),Algodão!$E80:INDEX(Algodão!$E80:$Z80,MIN(AQ$6-$E$3,22))),0))-IF($G$2,0,IF((AQ$6-$G$3)&lt;1,0,IFERROR(LOOKUP(2,1/(Algodão!$E80:INDEX(Algodão!$E80:$Z80,MIN(AQ$6-$G$3,22))&lt;&gt;""),Algodão!$E80:INDEX(Algodão!$E80:$Z80,MIN(AQ$6-$G$3,22))),0)))))</f>
        <v>0</v>
      </c>
      <c r="AR82" s="27" t="n">
        <f aca="false">IF(COUNT(Algodão!$E80:$Z80)=0,0,MAX(0,IF((AR$6-$E$3)&lt;1,0,IFERROR(LOOKUP(2,1/(Algodão!$E80:INDEX(Algodão!$E80:$Z80,MIN(AR$6-$E$3,22))&lt;&gt;""),Algodão!$E80:INDEX(Algodão!$E80:$Z80,MIN(AR$6-$E$3,22))),0))-IF($G$2,0,IF((AR$6-$G$3)&lt;1,0,IFERROR(LOOKUP(2,1/(Algodão!$E80:INDEX(Algodão!$E80:$Z80,MIN(AR$6-$G$3,22))&lt;&gt;""),Algodão!$E80:INDEX(Algodão!$E80:$Z80,MIN(AR$6-$G$3,22))),0)))))</f>
        <v>0</v>
      </c>
      <c r="AS82" s="27" t="n">
        <f aca="false">IF(COUNT(Algodão!$E80:$Z80)=0,0,MAX(0,IF((AS$6-$E$3)&lt;1,0,IFERROR(LOOKUP(2,1/(Algodão!$E80:INDEX(Algodão!$E80:$Z80,MIN(AS$6-$E$3,22))&lt;&gt;""),Algodão!$E80:INDEX(Algodão!$E80:$Z80,MIN(AS$6-$E$3,22))),0))-IF($G$2,0,IF((AS$6-$G$3)&lt;1,0,IFERROR(LOOKUP(2,1/(Algodão!$E80:INDEX(Algodão!$E80:$Z80,MIN(AS$6-$G$3,22))&lt;&gt;""),Algodão!$E80:INDEX(Algodão!$E80:$Z80,MIN(AS$6-$G$3,22))),0)))))</f>
        <v>0</v>
      </c>
      <c r="AT82" s="27" t="n">
        <f aca="false">IF(COUNT(Algodão!$E80:$Z80)=0,0,MAX(0,IF((AT$6-$E$3)&lt;1,0,IFERROR(LOOKUP(2,1/(Algodão!$E80:INDEX(Algodão!$E80:$Z80,MIN(AT$6-$E$3,22))&lt;&gt;""),Algodão!$E80:INDEX(Algodão!$E80:$Z80,MIN(AT$6-$E$3,22))),0))-IF($G$2,0,IF((AT$6-$G$3)&lt;1,0,IFERROR(LOOKUP(2,1/(Algodão!$E80:INDEX(Algodão!$E80:$Z80,MIN(AT$6-$G$3,22))&lt;&gt;""),Algodão!$E80:INDEX(Algodão!$E80:$Z80,MIN(AT$6-$G$3,22))),0)))))</f>
        <v>0</v>
      </c>
      <c r="AU82" s="27" t="n">
        <f aca="false">IF(COUNT(Algodão!$E80:$Z80)=0,0,MAX(0,IF((AU$6-$E$3)&lt;1,0,IFERROR(LOOKUP(2,1/(Algodão!$E80:INDEX(Algodão!$E80:$Z80,MIN(AU$6-$E$3,22))&lt;&gt;""),Algodão!$E80:INDEX(Algodão!$E80:$Z80,MIN(AU$6-$E$3,22))),0))-IF($G$2,0,IF((AU$6-$G$3)&lt;1,0,IFERROR(LOOKUP(2,1/(Algodão!$E80:INDEX(Algodão!$E80:$Z80,MIN(AU$6-$G$3,22))&lt;&gt;""),Algodão!$E80:INDEX(Algodão!$E80:$Z80,MIN(AU$6-$G$3,22))),0)))))</f>
        <v>0</v>
      </c>
      <c r="AV82" s="27" t="n">
        <f aca="false">IF(COUNT(Algodão!$E80:$Z80)=0,0,MAX(0,IF((AV$6-$E$3)&lt;1,0,IFERROR(LOOKUP(2,1/(Algodão!$E80:INDEX(Algodão!$E80:$Z80,MIN(AV$6-$E$3,22))&lt;&gt;""),Algodão!$E80:INDEX(Algodão!$E80:$Z80,MIN(AV$6-$E$3,22))),0))-IF($G$2,0,IF((AV$6-$G$3)&lt;1,0,IFERROR(LOOKUP(2,1/(Algodão!$E80:INDEX(Algodão!$E80:$Z80,MIN(AV$6-$G$3,22))&lt;&gt;""),Algodão!$E80:INDEX(Algodão!$E80:$Z80,MIN(AV$6-$G$3,22))),0)))))</f>
        <v>0</v>
      </c>
      <c r="AW82" s="27" t="n">
        <f aca="false">IF(COUNT(Algodão!$E80:$Z80)=0,0,MAX(0,IF((AW$6-$E$3)&lt;1,0,IFERROR(LOOKUP(2,1/(Algodão!$E80:INDEX(Algodão!$E80:$Z80,MIN(AW$6-$E$3,22))&lt;&gt;""),Algodão!$E80:INDEX(Algodão!$E80:$Z80,MIN(AW$6-$E$3,22))),0))-IF($G$2,0,IF((AW$6-$G$3)&lt;1,0,IFERROR(LOOKUP(2,1/(Algodão!$E80:INDEX(Algodão!$E80:$Z80,MIN(AW$6-$G$3,22))&lt;&gt;""),Algodão!$E80:INDEX(Algodão!$E80:$Z80,MIN(AW$6-$G$3,22))),0)))))</f>
        <v>0</v>
      </c>
      <c r="AX82" s="27" t="n">
        <f aca="false">IF(COUNT(Algodão!$E80:$Z80)=0,0,MAX(0,IF((AX$6-$E$3)&lt;1,0,IFERROR(LOOKUP(2,1/(Algodão!$E80:INDEX(Algodão!$E80:$Z80,MIN(AX$6-$E$3,22))&lt;&gt;""),Algodão!$E80:INDEX(Algodão!$E80:$Z80,MIN(AX$6-$E$3,22))),0))-IF($G$2,0,IF((AX$6-$G$3)&lt;1,0,IFERROR(LOOKUP(2,1/(Algodão!$E80:INDEX(Algodão!$E80:$Z80,MIN(AX$6-$G$3,22))&lt;&gt;""),Algodão!$E80:INDEX(Algodão!$E80:$Z80,MIN(AX$6-$G$3,22))),0)))))</f>
        <v>0</v>
      </c>
      <c r="AY82" s="27" t="n">
        <f aca="false">IF(COUNT(Algodão!$E80:$Z80)=0,0,MAX(0,IF((AY$6-$E$3)&lt;1,0,IFERROR(LOOKUP(2,1/(Algodão!$E80:INDEX(Algodão!$E80:$Z80,MIN(AY$6-$E$3,22))&lt;&gt;""),Algodão!$E80:INDEX(Algodão!$E80:$Z80,MIN(AY$6-$E$3,22))),0))-IF($G$2,0,IF((AY$6-$G$3)&lt;1,0,IFERROR(LOOKUP(2,1/(Algodão!$E80:INDEX(Algodão!$E80:$Z80,MIN(AY$6-$G$3,22))&lt;&gt;""),Algodão!$E80:INDEX(Algodão!$E80:$Z80,MIN(AY$6-$G$3,22))),0)))))</f>
        <v>0</v>
      </c>
      <c r="AZ82" s="27" t="n">
        <f aca="false">IF(COUNT(Algodão!$E80:$Z80)=0,0,MAX(0,IF((AZ$6-$E$3)&lt;1,0,IFERROR(LOOKUP(2,1/(Algodão!$E80:INDEX(Algodão!$E80:$Z80,MIN(AZ$6-$E$3,22))&lt;&gt;""),Algodão!$E80:INDEX(Algodão!$E80:$Z80,MIN(AZ$6-$E$3,22))),0))-IF($G$2,0,IF((AZ$6-$G$3)&lt;1,0,IFERROR(LOOKUP(2,1/(Algodão!$E80:INDEX(Algodão!$E80:$Z80,MIN(AZ$6-$G$3,22))&lt;&gt;""),Algodão!$E80:INDEX(Algodão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IF(COUNT(Algodão!$E81:$Z81)&gt;0,N(Algodão!$D81),0)</f>
        <v>0</v>
      </c>
      <c r="E83" s="27" t="n">
        <f aca="false">IF(COUNT(Algodão!$E81:$Z81)=0,0,MAX(0,IF((E$6-$E$3)&lt;1,0,IFERROR(LOOKUP(2,1/(Algodão!$E81:INDEX(Algodão!$E81:$Z81,MIN(E$6-$E$3,22))&lt;&gt;""),Algodão!$E81:INDEX(Algodão!$E81:$Z81,MIN(E$6-$E$3,22))),0))-IF($G$2,0,IF((E$6-$G$3)&lt;1,0,IFERROR(LOOKUP(2,1/(Algodão!$E81:INDEX(Algodão!$E81:$Z81,MIN(E$6-$G$3,22))&lt;&gt;""),Algodão!$E81:INDEX(Algodão!$E81:$Z81,MIN(E$6-$G$3,22))),0)))))</f>
        <v>0</v>
      </c>
      <c r="F83" s="27" t="n">
        <f aca="false">IF(COUNT(Algodão!$E81:$Z81)=0,0,MAX(0,IF((F$6-$E$3)&lt;1,0,IFERROR(LOOKUP(2,1/(Algodão!$E81:INDEX(Algodão!$E81:$Z81,MIN(F$6-$E$3,22))&lt;&gt;""),Algodão!$E81:INDEX(Algodão!$E81:$Z81,MIN(F$6-$E$3,22))),0))-IF($G$2,0,IF((F$6-$G$3)&lt;1,0,IFERROR(LOOKUP(2,1/(Algodão!$E81:INDEX(Algodão!$E81:$Z81,MIN(F$6-$G$3,22))&lt;&gt;""),Algodão!$E81:INDEX(Algodão!$E81:$Z81,MIN(F$6-$G$3,22))),0)))))</f>
        <v>0</v>
      </c>
      <c r="G83" s="27" t="n">
        <f aca="false">IF(COUNT(Algodão!$E81:$Z81)=0,0,MAX(0,IF((G$6-$E$3)&lt;1,0,IFERROR(LOOKUP(2,1/(Algodão!$E81:INDEX(Algodão!$E81:$Z81,MIN(G$6-$E$3,22))&lt;&gt;""),Algodão!$E81:INDEX(Algodão!$E81:$Z81,MIN(G$6-$E$3,22))),0))-IF($G$2,0,IF((G$6-$G$3)&lt;1,0,IFERROR(LOOKUP(2,1/(Algodão!$E81:INDEX(Algodão!$E81:$Z81,MIN(G$6-$G$3,22))&lt;&gt;""),Algodão!$E81:INDEX(Algodão!$E81:$Z81,MIN(G$6-$G$3,22))),0)))))</f>
        <v>0</v>
      </c>
      <c r="H83" s="27" t="n">
        <f aca="false">IF(COUNT(Algodão!$E81:$Z81)=0,0,MAX(0,IF((H$6-$E$3)&lt;1,0,IFERROR(LOOKUP(2,1/(Algodão!$E81:INDEX(Algodão!$E81:$Z81,MIN(H$6-$E$3,22))&lt;&gt;""),Algodão!$E81:INDEX(Algodão!$E81:$Z81,MIN(H$6-$E$3,22))),0))-IF($G$2,0,IF((H$6-$G$3)&lt;1,0,IFERROR(LOOKUP(2,1/(Algodão!$E81:INDEX(Algodão!$E81:$Z81,MIN(H$6-$G$3,22))&lt;&gt;""),Algodão!$E81:INDEX(Algodão!$E81:$Z81,MIN(H$6-$G$3,22))),0)))))</f>
        <v>0</v>
      </c>
      <c r="I83" s="27" t="n">
        <f aca="false">IF(COUNT(Algodão!$E81:$Z81)=0,0,MAX(0,IF((I$6-$E$3)&lt;1,0,IFERROR(LOOKUP(2,1/(Algodão!$E81:INDEX(Algodão!$E81:$Z81,MIN(I$6-$E$3,22))&lt;&gt;""),Algodão!$E81:INDEX(Algodão!$E81:$Z81,MIN(I$6-$E$3,22))),0))-IF($G$2,0,IF((I$6-$G$3)&lt;1,0,IFERROR(LOOKUP(2,1/(Algodão!$E81:INDEX(Algodão!$E81:$Z81,MIN(I$6-$G$3,22))&lt;&gt;""),Algodão!$E81:INDEX(Algodão!$E81:$Z81,MIN(I$6-$G$3,22))),0)))))</f>
        <v>0</v>
      </c>
      <c r="J83" s="27" t="n">
        <f aca="false">IF(COUNT(Algodão!$E81:$Z81)=0,0,MAX(0,IF((J$6-$E$3)&lt;1,0,IFERROR(LOOKUP(2,1/(Algodão!$E81:INDEX(Algodão!$E81:$Z81,MIN(J$6-$E$3,22))&lt;&gt;""),Algodão!$E81:INDEX(Algodão!$E81:$Z81,MIN(J$6-$E$3,22))),0))-IF($G$2,0,IF((J$6-$G$3)&lt;1,0,IFERROR(LOOKUP(2,1/(Algodão!$E81:INDEX(Algodão!$E81:$Z81,MIN(J$6-$G$3,22))&lt;&gt;""),Algodão!$E81:INDEX(Algodão!$E81:$Z81,MIN(J$6-$G$3,22))),0)))))</f>
        <v>0</v>
      </c>
      <c r="K83" s="27" t="n">
        <f aca="false">IF(COUNT(Algodão!$E81:$Z81)=0,0,MAX(0,IF((K$6-$E$3)&lt;1,0,IFERROR(LOOKUP(2,1/(Algodão!$E81:INDEX(Algodão!$E81:$Z81,MIN(K$6-$E$3,22))&lt;&gt;""),Algodão!$E81:INDEX(Algodão!$E81:$Z81,MIN(K$6-$E$3,22))),0))-IF($G$2,0,IF((K$6-$G$3)&lt;1,0,IFERROR(LOOKUP(2,1/(Algodão!$E81:INDEX(Algodão!$E81:$Z81,MIN(K$6-$G$3,22))&lt;&gt;""),Algodão!$E81:INDEX(Algodão!$E81:$Z81,MIN(K$6-$G$3,22))),0)))))</f>
        <v>0</v>
      </c>
      <c r="L83" s="27" t="n">
        <f aca="false">IF(COUNT(Algodão!$E81:$Z81)=0,0,MAX(0,IF((L$6-$E$3)&lt;1,0,IFERROR(LOOKUP(2,1/(Algodão!$E81:INDEX(Algodão!$E81:$Z81,MIN(L$6-$E$3,22))&lt;&gt;""),Algodão!$E81:INDEX(Algodão!$E81:$Z81,MIN(L$6-$E$3,22))),0))-IF($G$2,0,IF((L$6-$G$3)&lt;1,0,IFERROR(LOOKUP(2,1/(Algodão!$E81:INDEX(Algodão!$E81:$Z81,MIN(L$6-$G$3,22))&lt;&gt;""),Algodão!$E81:INDEX(Algodão!$E81:$Z81,MIN(L$6-$G$3,22))),0)))))</f>
        <v>0</v>
      </c>
      <c r="M83" s="27" t="n">
        <f aca="false">IF(COUNT(Algodão!$E81:$Z81)=0,0,MAX(0,IF((M$6-$E$3)&lt;1,0,IFERROR(LOOKUP(2,1/(Algodão!$E81:INDEX(Algodão!$E81:$Z81,MIN(M$6-$E$3,22))&lt;&gt;""),Algodão!$E81:INDEX(Algodão!$E81:$Z81,MIN(M$6-$E$3,22))),0))-IF($G$2,0,IF((M$6-$G$3)&lt;1,0,IFERROR(LOOKUP(2,1/(Algodão!$E81:INDEX(Algodão!$E81:$Z81,MIN(M$6-$G$3,22))&lt;&gt;""),Algodão!$E81:INDEX(Algodão!$E81:$Z81,MIN(M$6-$G$3,22))),0)))))</f>
        <v>0</v>
      </c>
      <c r="N83" s="27" t="n">
        <f aca="false">IF(COUNT(Algodão!$E81:$Z81)=0,0,MAX(0,IF((N$6-$E$3)&lt;1,0,IFERROR(LOOKUP(2,1/(Algodão!$E81:INDEX(Algodão!$E81:$Z81,MIN(N$6-$E$3,22))&lt;&gt;""),Algodão!$E81:INDEX(Algodão!$E81:$Z81,MIN(N$6-$E$3,22))),0))-IF($G$2,0,IF((N$6-$G$3)&lt;1,0,IFERROR(LOOKUP(2,1/(Algodão!$E81:INDEX(Algodão!$E81:$Z81,MIN(N$6-$G$3,22))&lt;&gt;""),Algodão!$E81:INDEX(Algodão!$E81:$Z81,MIN(N$6-$G$3,22))),0)))))</f>
        <v>0</v>
      </c>
      <c r="O83" s="27" t="n">
        <f aca="false">IF(COUNT(Algodão!$E81:$Z81)=0,0,MAX(0,IF((O$6-$E$3)&lt;1,0,IFERROR(LOOKUP(2,1/(Algodão!$E81:INDEX(Algodão!$E81:$Z81,MIN(O$6-$E$3,22))&lt;&gt;""),Algodão!$E81:INDEX(Algodão!$E81:$Z81,MIN(O$6-$E$3,22))),0))-IF($G$2,0,IF((O$6-$G$3)&lt;1,0,IFERROR(LOOKUP(2,1/(Algodão!$E81:INDEX(Algodão!$E81:$Z81,MIN(O$6-$G$3,22))&lt;&gt;""),Algodão!$E81:INDEX(Algodão!$E81:$Z81,MIN(O$6-$G$3,22))),0)))))</f>
        <v>0</v>
      </c>
      <c r="P83" s="27" t="n">
        <f aca="false">IF(COUNT(Algodão!$E81:$Z81)=0,0,MAX(0,IF((P$6-$E$3)&lt;1,0,IFERROR(LOOKUP(2,1/(Algodão!$E81:INDEX(Algodão!$E81:$Z81,MIN(P$6-$E$3,22))&lt;&gt;""),Algodão!$E81:INDEX(Algodão!$E81:$Z81,MIN(P$6-$E$3,22))),0))-IF($G$2,0,IF((P$6-$G$3)&lt;1,0,IFERROR(LOOKUP(2,1/(Algodão!$E81:INDEX(Algodão!$E81:$Z81,MIN(P$6-$G$3,22))&lt;&gt;""),Algodão!$E81:INDEX(Algodão!$E81:$Z81,MIN(P$6-$G$3,22))),0)))))</f>
        <v>0</v>
      </c>
      <c r="Q83" s="27" t="n">
        <f aca="false">IF(COUNT(Algodão!$E81:$Z81)=0,0,MAX(0,IF((Q$6-$E$3)&lt;1,0,IFERROR(LOOKUP(2,1/(Algodão!$E81:INDEX(Algodão!$E81:$Z81,MIN(Q$6-$E$3,22))&lt;&gt;""),Algodão!$E81:INDEX(Algodão!$E81:$Z81,MIN(Q$6-$E$3,22))),0))-IF($G$2,0,IF((Q$6-$G$3)&lt;1,0,IFERROR(LOOKUP(2,1/(Algodão!$E81:INDEX(Algodão!$E81:$Z81,MIN(Q$6-$G$3,22))&lt;&gt;""),Algodão!$E81:INDEX(Algodão!$E81:$Z81,MIN(Q$6-$G$3,22))),0)))))</f>
        <v>0</v>
      </c>
      <c r="R83" s="27" t="n">
        <f aca="false">IF(COUNT(Algodão!$E81:$Z81)=0,0,MAX(0,IF((R$6-$E$3)&lt;1,0,IFERROR(LOOKUP(2,1/(Algodão!$E81:INDEX(Algodão!$E81:$Z81,MIN(R$6-$E$3,22))&lt;&gt;""),Algodão!$E81:INDEX(Algodão!$E81:$Z81,MIN(R$6-$E$3,22))),0))-IF($G$2,0,IF((R$6-$G$3)&lt;1,0,IFERROR(LOOKUP(2,1/(Algodão!$E81:INDEX(Algodão!$E81:$Z81,MIN(R$6-$G$3,22))&lt;&gt;""),Algodão!$E81:INDEX(Algodão!$E81:$Z81,MIN(R$6-$G$3,22))),0)))))</f>
        <v>0</v>
      </c>
      <c r="S83" s="27" t="n">
        <f aca="false">IF(COUNT(Algodão!$E81:$Z81)=0,0,MAX(0,IF((S$6-$E$3)&lt;1,0,IFERROR(LOOKUP(2,1/(Algodão!$E81:INDEX(Algodão!$E81:$Z81,MIN(S$6-$E$3,22))&lt;&gt;""),Algodão!$E81:INDEX(Algodão!$E81:$Z81,MIN(S$6-$E$3,22))),0))-IF($G$2,0,IF((S$6-$G$3)&lt;1,0,IFERROR(LOOKUP(2,1/(Algodão!$E81:INDEX(Algodão!$E81:$Z81,MIN(S$6-$G$3,22))&lt;&gt;""),Algodão!$E81:INDEX(Algodão!$E81:$Z81,MIN(S$6-$G$3,22))),0)))))</f>
        <v>0</v>
      </c>
      <c r="T83" s="27" t="n">
        <f aca="false">IF(COUNT(Algodão!$E81:$Z81)=0,0,MAX(0,IF((T$6-$E$3)&lt;1,0,IFERROR(LOOKUP(2,1/(Algodão!$E81:INDEX(Algodão!$E81:$Z81,MIN(T$6-$E$3,22))&lt;&gt;""),Algodão!$E81:INDEX(Algodão!$E81:$Z81,MIN(T$6-$E$3,22))),0))-IF($G$2,0,IF((T$6-$G$3)&lt;1,0,IFERROR(LOOKUP(2,1/(Algodão!$E81:INDEX(Algodão!$E81:$Z81,MIN(T$6-$G$3,22))&lt;&gt;""),Algodão!$E81:INDEX(Algodão!$E81:$Z81,MIN(T$6-$G$3,22))),0)))))</f>
        <v>0</v>
      </c>
      <c r="U83" s="27" t="n">
        <f aca="false">IF(COUNT(Algodão!$E81:$Z81)=0,0,MAX(0,IF((U$6-$E$3)&lt;1,0,IFERROR(LOOKUP(2,1/(Algodão!$E81:INDEX(Algodão!$E81:$Z81,MIN(U$6-$E$3,22))&lt;&gt;""),Algodão!$E81:INDEX(Algodão!$E81:$Z81,MIN(U$6-$E$3,22))),0))-IF($G$2,0,IF((U$6-$G$3)&lt;1,0,IFERROR(LOOKUP(2,1/(Algodão!$E81:INDEX(Algodão!$E81:$Z81,MIN(U$6-$G$3,22))&lt;&gt;""),Algodão!$E81:INDEX(Algodão!$E81:$Z81,MIN(U$6-$G$3,22))),0)))))</f>
        <v>0</v>
      </c>
      <c r="V83" s="27" t="n">
        <f aca="false">IF(COUNT(Algodão!$E81:$Z81)=0,0,MAX(0,IF((V$6-$E$3)&lt;1,0,IFERROR(LOOKUP(2,1/(Algodão!$E81:INDEX(Algodão!$E81:$Z81,MIN(V$6-$E$3,22))&lt;&gt;""),Algodão!$E81:INDEX(Algodão!$E81:$Z81,MIN(V$6-$E$3,22))),0))-IF($G$2,0,IF((V$6-$G$3)&lt;1,0,IFERROR(LOOKUP(2,1/(Algodão!$E81:INDEX(Algodão!$E81:$Z81,MIN(V$6-$G$3,22))&lt;&gt;""),Algodão!$E81:INDEX(Algodão!$E81:$Z81,MIN(V$6-$G$3,22))),0)))))</f>
        <v>0</v>
      </c>
      <c r="W83" s="27" t="n">
        <f aca="false">IF(COUNT(Algodão!$E81:$Z81)=0,0,MAX(0,IF((W$6-$E$3)&lt;1,0,IFERROR(LOOKUP(2,1/(Algodão!$E81:INDEX(Algodão!$E81:$Z81,MIN(W$6-$E$3,22))&lt;&gt;""),Algodão!$E81:INDEX(Algodão!$E81:$Z81,MIN(W$6-$E$3,22))),0))-IF($G$2,0,IF((W$6-$G$3)&lt;1,0,IFERROR(LOOKUP(2,1/(Algodão!$E81:INDEX(Algodão!$E81:$Z81,MIN(W$6-$G$3,22))&lt;&gt;""),Algodão!$E81:INDEX(Algodão!$E81:$Z81,MIN(W$6-$G$3,22))),0)))))</f>
        <v>0</v>
      </c>
      <c r="X83" s="27" t="n">
        <f aca="false">IF(COUNT(Algodão!$E81:$Z81)=0,0,MAX(0,IF((X$6-$E$3)&lt;1,0,IFERROR(LOOKUP(2,1/(Algodão!$E81:INDEX(Algodão!$E81:$Z81,MIN(X$6-$E$3,22))&lt;&gt;""),Algodão!$E81:INDEX(Algodão!$E81:$Z81,MIN(X$6-$E$3,22))),0))-IF($G$2,0,IF((X$6-$G$3)&lt;1,0,IFERROR(LOOKUP(2,1/(Algodão!$E81:INDEX(Algodão!$E81:$Z81,MIN(X$6-$G$3,22))&lt;&gt;""),Algodão!$E81:INDEX(Algodão!$E81:$Z81,MIN(X$6-$G$3,22))),0)))))</f>
        <v>0</v>
      </c>
      <c r="Y83" s="27" t="n">
        <f aca="false">IF(COUNT(Algodão!$E81:$Z81)=0,0,MAX(0,IF((Y$6-$E$3)&lt;1,0,IFERROR(LOOKUP(2,1/(Algodão!$E81:INDEX(Algodão!$E81:$Z81,MIN(Y$6-$E$3,22))&lt;&gt;""),Algodão!$E81:INDEX(Algodão!$E81:$Z81,MIN(Y$6-$E$3,22))),0))-IF($G$2,0,IF((Y$6-$G$3)&lt;1,0,IFERROR(LOOKUP(2,1/(Algodão!$E81:INDEX(Algodão!$E81:$Z81,MIN(Y$6-$G$3,22))&lt;&gt;""),Algodão!$E81:INDEX(Algodão!$E81:$Z81,MIN(Y$6-$G$3,22))),0)))))</f>
        <v>0</v>
      </c>
      <c r="Z83" s="27" t="n">
        <f aca="false">IF(COUNT(Algodão!$E81:$Z81)=0,0,MAX(0,IF((Z$6-$E$3)&lt;1,0,IFERROR(LOOKUP(2,1/(Algodão!$E81:INDEX(Algodão!$E81:$Z81,MIN(Z$6-$E$3,22))&lt;&gt;""),Algodão!$E81:INDEX(Algodão!$E81:$Z81,MIN(Z$6-$E$3,22))),0))-IF($G$2,0,IF((Z$6-$G$3)&lt;1,0,IFERROR(LOOKUP(2,1/(Algodão!$E81:INDEX(Algodão!$E81:$Z81,MIN(Z$6-$G$3,22))&lt;&gt;""),Algodão!$E81:INDEX(Algodão!$E81:$Z81,MIN(Z$6-$G$3,22))),0)))))</f>
        <v>0</v>
      </c>
      <c r="AA83" s="27" t="n">
        <f aca="false">IF(COUNT(Algodão!$E81:$Z81)=0,0,MAX(0,IF((AA$6-$E$3)&lt;1,0,IFERROR(LOOKUP(2,1/(Algodão!$E81:INDEX(Algodão!$E81:$Z81,MIN(AA$6-$E$3,22))&lt;&gt;""),Algodão!$E81:INDEX(Algodão!$E81:$Z81,MIN(AA$6-$E$3,22))),0))-IF($G$2,0,IF((AA$6-$G$3)&lt;1,0,IFERROR(LOOKUP(2,1/(Algodão!$E81:INDEX(Algodão!$E81:$Z81,MIN(AA$6-$G$3,22))&lt;&gt;""),Algodão!$E81:INDEX(Algodão!$E81:$Z81,MIN(AA$6-$G$3,22))),0)))))</f>
        <v>0</v>
      </c>
      <c r="AB83" s="27" t="n">
        <f aca="false">IF(COUNT(Algodão!$E81:$Z81)=0,0,MAX(0,IF((AB$6-$E$3)&lt;1,0,IFERROR(LOOKUP(2,1/(Algodão!$E81:INDEX(Algodão!$E81:$Z81,MIN(AB$6-$E$3,22))&lt;&gt;""),Algodão!$E81:INDEX(Algodão!$E81:$Z81,MIN(AB$6-$E$3,22))),0))-IF($G$2,0,IF((AB$6-$G$3)&lt;1,0,IFERROR(LOOKUP(2,1/(Algodão!$E81:INDEX(Algodão!$E81:$Z81,MIN(AB$6-$G$3,22))&lt;&gt;""),Algodão!$E81:INDEX(Algodão!$E81:$Z81,MIN(AB$6-$G$3,22))),0)))))</f>
        <v>0</v>
      </c>
      <c r="AC83" s="27" t="n">
        <f aca="false">IF(COUNT(Algodão!$E81:$Z81)=0,0,MAX(0,IF((AC$6-$E$3)&lt;1,0,IFERROR(LOOKUP(2,1/(Algodão!$E81:INDEX(Algodão!$E81:$Z81,MIN(AC$6-$E$3,22))&lt;&gt;""),Algodão!$E81:INDEX(Algodão!$E81:$Z81,MIN(AC$6-$E$3,22))),0))-IF($G$2,0,IF((AC$6-$G$3)&lt;1,0,IFERROR(LOOKUP(2,1/(Algodão!$E81:INDEX(Algodão!$E81:$Z81,MIN(AC$6-$G$3,22))&lt;&gt;""),Algodão!$E81:INDEX(Algodão!$E81:$Z81,MIN(AC$6-$G$3,22))),0)))))</f>
        <v>0</v>
      </c>
      <c r="AD83" s="27" t="n">
        <f aca="false">IF(COUNT(Algodão!$E81:$Z81)=0,0,MAX(0,IF((AD$6-$E$3)&lt;1,0,IFERROR(LOOKUP(2,1/(Algodão!$E81:INDEX(Algodão!$E81:$Z81,MIN(AD$6-$E$3,22))&lt;&gt;""),Algodão!$E81:INDEX(Algodão!$E81:$Z81,MIN(AD$6-$E$3,22))),0))-IF($G$2,0,IF((AD$6-$G$3)&lt;1,0,IFERROR(LOOKUP(2,1/(Algodão!$E81:INDEX(Algodão!$E81:$Z81,MIN(AD$6-$G$3,22))&lt;&gt;""),Algodão!$E81:INDEX(Algodão!$E81:$Z81,MIN(AD$6-$G$3,22))),0)))))</f>
        <v>0</v>
      </c>
      <c r="AE83" s="27" t="n">
        <f aca="false">IF(COUNT(Algodão!$E81:$Z81)=0,0,MAX(0,IF((AE$6-$E$3)&lt;1,0,IFERROR(LOOKUP(2,1/(Algodão!$E81:INDEX(Algodão!$E81:$Z81,MIN(AE$6-$E$3,22))&lt;&gt;""),Algodão!$E81:INDEX(Algodão!$E81:$Z81,MIN(AE$6-$E$3,22))),0))-IF($G$2,0,IF((AE$6-$G$3)&lt;1,0,IFERROR(LOOKUP(2,1/(Algodão!$E81:INDEX(Algodão!$E81:$Z81,MIN(AE$6-$G$3,22))&lt;&gt;""),Algodão!$E81:INDEX(Algodão!$E81:$Z81,MIN(AE$6-$G$3,22))),0)))))</f>
        <v>0</v>
      </c>
      <c r="AF83" s="27" t="n">
        <f aca="false">IF(COUNT(Algodão!$E81:$Z81)=0,0,MAX(0,IF((AF$6-$E$3)&lt;1,0,IFERROR(LOOKUP(2,1/(Algodão!$E81:INDEX(Algodão!$E81:$Z81,MIN(AF$6-$E$3,22))&lt;&gt;""),Algodão!$E81:INDEX(Algodão!$E81:$Z81,MIN(AF$6-$E$3,22))),0))-IF($G$2,0,IF((AF$6-$G$3)&lt;1,0,IFERROR(LOOKUP(2,1/(Algodão!$E81:INDEX(Algodão!$E81:$Z81,MIN(AF$6-$G$3,22))&lt;&gt;""),Algodão!$E81:INDEX(Algodão!$E81:$Z81,MIN(AF$6-$G$3,22))),0)))))</f>
        <v>0</v>
      </c>
      <c r="AG83" s="27" t="n">
        <f aca="false">IF(COUNT(Algodão!$E81:$Z81)=0,0,MAX(0,IF((AG$6-$E$3)&lt;1,0,IFERROR(LOOKUP(2,1/(Algodão!$E81:INDEX(Algodão!$E81:$Z81,MIN(AG$6-$E$3,22))&lt;&gt;""),Algodão!$E81:INDEX(Algodão!$E81:$Z81,MIN(AG$6-$E$3,22))),0))-IF($G$2,0,IF((AG$6-$G$3)&lt;1,0,IFERROR(LOOKUP(2,1/(Algodão!$E81:INDEX(Algodão!$E81:$Z81,MIN(AG$6-$G$3,22))&lt;&gt;""),Algodão!$E81:INDEX(Algodão!$E81:$Z81,MIN(AG$6-$G$3,22))),0)))))</f>
        <v>0</v>
      </c>
      <c r="AH83" s="27" t="n">
        <f aca="false">IF(COUNT(Algodão!$E81:$Z81)=0,0,MAX(0,IF((AH$6-$E$3)&lt;1,0,IFERROR(LOOKUP(2,1/(Algodão!$E81:INDEX(Algodão!$E81:$Z81,MIN(AH$6-$E$3,22))&lt;&gt;""),Algodão!$E81:INDEX(Algodão!$E81:$Z81,MIN(AH$6-$E$3,22))),0))-IF($G$2,0,IF((AH$6-$G$3)&lt;1,0,IFERROR(LOOKUP(2,1/(Algodão!$E81:INDEX(Algodão!$E81:$Z81,MIN(AH$6-$G$3,22))&lt;&gt;""),Algodão!$E81:INDEX(Algodão!$E81:$Z81,MIN(AH$6-$G$3,22))),0)))))</f>
        <v>0</v>
      </c>
      <c r="AI83" s="27" t="n">
        <f aca="false">IF(COUNT(Algodão!$E81:$Z81)=0,0,MAX(0,IF((AI$6-$E$3)&lt;1,0,IFERROR(LOOKUP(2,1/(Algodão!$E81:INDEX(Algodão!$E81:$Z81,MIN(AI$6-$E$3,22))&lt;&gt;""),Algodão!$E81:INDEX(Algodão!$E81:$Z81,MIN(AI$6-$E$3,22))),0))-IF($G$2,0,IF((AI$6-$G$3)&lt;1,0,IFERROR(LOOKUP(2,1/(Algodão!$E81:INDEX(Algodão!$E81:$Z81,MIN(AI$6-$G$3,22))&lt;&gt;""),Algodão!$E81:INDEX(Algodão!$E81:$Z81,MIN(AI$6-$G$3,22))),0)))))</f>
        <v>0</v>
      </c>
      <c r="AJ83" s="27" t="n">
        <f aca="false">IF(COUNT(Algodão!$E81:$Z81)=0,0,MAX(0,IF((AJ$6-$E$3)&lt;1,0,IFERROR(LOOKUP(2,1/(Algodão!$E81:INDEX(Algodão!$E81:$Z81,MIN(AJ$6-$E$3,22))&lt;&gt;""),Algodão!$E81:INDEX(Algodão!$E81:$Z81,MIN(AJ$6-$E$3,22))),0))-IF($G$2,0,IF((AJ$6-$G$3)&lt;1,0,IFERROR(LOOKUP(2,1/(Algodão!$E81:INDEX(Algodão!$E81:$Z81,MIN(AJ$6-$G$3,22))&lt;&gt;""),Algodão!$E81:INDEX(Algodão!$E81:$Z81,MIN(AJ$6-$G$3,22))),0)))))</f>
        <v>0</v>
      </c>
      <c r="AK83" s="27" t="n">
        <f aca="false">IF(COUNT(Algodão!$E81:$Z81)=0,0,MAX(0,IF((AK$6-$E$3)&lt;1,0,IFERROR(LOOKUP(2,1/(Algodão!$E81:INDEX(Algodão!$E81:$Z81,MIN(AK$6-$E$3,22))&lt;&gt;""),Algodão!$E81:INDEX(Algodão!$E81:$Z81,MIN(AK$6-$E$3,22))),0))-IF($G$2,0,IF((AK$6-$G$3)&lt;1,0,IFERROR(LOOKUP(2,1/(Algodão!$E81:INDEX(Algodão!$E81:$Z81,MIN(AK$6-$G$3,22))&lt;&gt;""),Algodão!$E81:INDEX(Algodão!$E81:$Z81,MIN(AK$6-$G$3,22))),0)))))</f>
        <v>0</v>
      </c>
      <c r="AL83" s="27" t="n">
        <f aca="false">IF(COUNT(Algodão!$E81:$Z81)=0,0,MAX(0,IF((AL$6-$E$3)&lt;1,0,IFERROR(LOOKUP(2,1/(Algodão!$E81:INDEX(Algodão!$E81:$Z81,MIN(AL$6-$E$3,22))&lt;&gt;""),Algodão!$E81:INDEX(Algodão!$E81:$Z81,MIN(AL$6-$E$3,22))),0))-IF($G$2,0,IF((AL$6-$G$3)&lt;1,0,IFERROR(LOOKUP(2,1/(Algodão!$E81:INDEX(Algodão!$E81:$Z81,MIN(AL$6-$G$3,22))&lt;&gt;""),Algodão!$E81:INDEX(Algodão!$E81:$Z81,MIN(AL$6-$G$3,22))),0)))))</f>
        <v>0</v>
      </c>
      <c r="AM83" s="27" t="n">
        <f aca="false">IF(COUNT(Algodão!$E81:$Z81)=0,0,MAX(0,IF((AM$6-$E$3)&lt;1,0,IFERROR(LOOKUP(2,1/(Algodão!$E81:INDEX(Algodão!$E81:$Z81,MIN(AM$6-$E$3,22))&lt;&gt;""),Algodão!$E81:INDEX(Algodão!$E81:$Z81,MIN(AM$6-$E$3,22))),0))-IF($G$2,0,IF((AM$6-$G$3)&lt;1,0,IFERROR(LOOKUP(2,1/(Algodão!$E81:INDEX(Algodão!$E81:$Z81,MIN(AM$6-$G$3,22))&lt;&gt;""),Algodão!$E81:INDEX(Algodão!$E81:$Z81,MIN(AM$6-$G$3,22))),0)))))</f>
        <v>0</v>
      </c>
      <c r="AN83" s="27" t="n">
        <f aca="false">IF(COUNT(Algodão!$E81:$Z81)=0,0,MAX(0,IF((AN$6-$E$3)&lt;1,0,IFERROR(LOOKUP(2,1/(Algodão!$E81:INDEX(Algodão!$E81:$Z81,MIN(AN$6-$E$3,22))&lt;&gt;""),Algodão!$E81:INDEX(Algodão!$E81:$Z81,MIN(AN$6-$E$3,22))),0))-IF($G$2,0,IF((AN$6-$G$3)&lt;1,0,IFERROR(LOOKUP(2,1/(Algodão!$E81:INDEX(Algodão!$E81:$Z81,MIN(AN$6-$G$3,22))&lt;&gt;""),Algodão!$E81:INDEX(Algodão!$E81:$Z81,MIN(AN$6-$G$3,22))),0)))))</f>
        <v>0</v>
      </c>
      <c r="AO83" s="27" t="n">
        <f aca="false">IF(COUNT(Algodão!$E81:$Z81)=0,0,MAX(0,IF((AO$6-$E$3)&lt;1,0,IFERROR(LOOKUP(2,1/(Algodão!$E81:INDEX(Algodão!$E81:$Z81,MIN(AO$6-$E$3,22))&lt;&gt;""),Algodão!$E81:INDEX(Algodão!$E81:$Z81,MIN(AO$6-$E$3,22))),0))-IF($G$2,0,IF((AO$6-$G$3)&lt;1,0,IFERROR(LOOKUP(2,1/(Algodão!$E81:INDEX(Algodão!$E81:$Z81,MIN(AO$6-$G$3,22))&lt;&gt;""),Algodão!$E81:INDEX(Algodão!$E81:$Z81,MIN(AO$6-$G$3,22))),0)))))</f>
        <v>0</v>
      </c>
      <c r="AP83" s="27" t="n">
        <f aca="false">IF(COUNT(Algodão!$E81:$Z81)=0,0,MAX(0,IF((AP$6-$E$3)&lt;1,0,IFERROR(LOOKUP(2,1/(Algodão!$E81:INDEX(Algodão!$E81:$Z81,MIN(AP$6-$E$3,22))&lt;&gt;""),Algodão!$E81:INDEX(Algodão!$E81:$Z81,MIN(AP$6-$E$3,22))),0))-IF($G$2,0,IF((AP$6-$G$3)&lt;1,0,IFERROR(LOOKUP(2,1/(Algodão!$E81:INDEX(Algodão!$E81:$Z81,MIN(AP$6-$G$3,22))&lt;&gt;""),Algodão!$E81:INDEX(Algodão!$E81:$Z81,MIN(AP$6-$G$3,22))),0)))))</f>
        <v>0</v>
      </c>
      <c r="AQ83" s="27" t="n">
        <f aca="false">IF(COUNT(Algodão!$E81:$Z81)=0,0,MAX(0,IF((AQ$6-$E$3)&lt;1,0,IFERROR(LOOKUP(2,1/(Algodão!$E81:INDEX(Algodão!$E81:$Z81,MIN(AQ$6-$E$3,22))&lt;&gt;""),Algodão!$E81:INDEX(Algodão!$E81:$Z81,MIN(AQ$6-$E$3,22))),0))-IF($G$2,0,IF((AQ$6-$G$3)&lt;1,0,IFERROR(LOOKUP(2,1/(Algodão!$E81:INDEX(Algodão!$E81:$Z81,MIN(AQ$6-$G$3,22))&lt;&gt;""),Algodão!$E81:INDEX(Algodão!$E81:$Z81,MIN(AQ$6-$G$3,22))),0)))))</f>
        <v>0</v>
      </c>
      <c r="AR83" s="27" t="n">
        <f aca="false">IF(COUNT(Algodão!$E81:$Z81)=0,0,MAX(0,IF((AR$6-$E$3)&lt;1,0,IFERROR(LOOKUP(2,1/(Algodão!$E81:INDEX(Algodão!$E81:$Z81,MIN(AR$6-$E$3,22))&lt;&gt;""),Algodão!$E81:INDEX(Algodão!$E81:$Z81,MIN(AR$6-$E$3,22))),0))-IF($G$2,0,IF((AR$6-$G$3)&lt;1,0,IFERROR(LOOKUP(2,1/(Algodão!$E81:INDEX(Algodão!$E81:$Z81,MIN(AR$6-$G$3,22))&lt;&gt;""),Algodão!$E81:INDEX(Algodão!$E81:$Z81,MIN(AR$6-$G$3,22))),0)))))</f>
        <v>0</v>
      </c>
      <c r="AS83" s="27" t="n">
        <f aca="false">IF(COUNT(Algodão!$E81:$Z81)=0,0,MAX(0,IF((AS$6-$E$3)&lt;1,0,IFERROR(LOOKUP(2,1/(Algodão!$E81:INDEX(Algodão!$E81:$Z81,MIN(AS$6-$E$3,22))&lt;&gt;""),Algodão!$E81:INDEX(Algodão!$E81:$Z81,MIN(AS$6-$E$3,22))),0))-IF($G$2,0,IF((AS$6-$G$3)&lt;1,0,IFERROR(LOOKUP(2,1/(Algodão!$E81:INDEX(Algodão!$E81:$Z81,MIN(AS$6-$G$3,22))&lt;&gt;""),Algodão!$E81:INDEX(Algodão!$E81:$Z81,MIN(AS$6-$G$3,22))),0)))))</f>
        <v>0</v>
      </c>
      <c r="AT83" s="27" t="n">
        <f aca="false">IF(COUNT(Algodão!$E81:$Z81)=0,0,MAX(0,IF((AT$6-$E$3)&lt;1,0,IFERROR(LOOKUP(2,1/(Algodão!$E81:INDEX(Algodão!$E81:$Z81,MIN(AT$6-$E$3,22))&lt;&gt;""),Algodão!$E81:INDEX(Algodão!$E81:$Z81,MIN(AT$6-$E$3,22))),0))-IF($G$2,0,IF((AT$6-$G$3)&lt;1,0,IFERROR(LOOKUP(2,1/(Algodão!$E81:INDEX(Algodão!$E81:$Z81,MIN(AT$6-$G$3,22))&lt;&gt;""),Algodão!$E81:INDEX(Algodão!$E81:$Z81,MIN(AT$6-$G$3,22))),0)))))</f>
        <v>0</v>
      </c>
      <c r="AU83" s="27" t="n">
        <f aca="false">IF(COUNT(Algodão!$E81:$Z81)=0,0,MAX(0,IF((AU$6-$E$3)&lt;1,0,IFERROR(LOOKUP(2,1/(Algodão!$E81:INDEX(Algodão!$E81:$Z81,MIN(AU$6-$E$3,22))&lt;&gt;""),Algodão!$E81:INDEX(Algodão!$E81:$Z81,MIN(AU$6-$E$3,22))),0))-IF($G$2,0,IF((AU$6-$G$3)&lt;1,0,IFERROR(LOOKUP(2,1/(Algodão!$E81:INDEX(Algodão!$E81:$Z81,MIN(AU$6-$G$3,22))&lt;&gt;""),Algodão!$E81:INDEX(Algodão!$E81:$Z81,MIN(AU$6-$G$3,22))),0)))))</f>
        <v>0</v>
      </c>
      <c r="AV83" s="27" t="n">
        <f aca="false">IF(COUNT(Algodão!$E81:$Z81)=0,0,MAX(0,IF((AV$6-$E$3)&lt;1,0,IFERROR(LOOKUP(2,1/(Algodão!$E81:INDEX(Algodão!$E81:$Z81,MIN(AV$6-$E$3,22))&lt;&gt;""),Algodão!$E81:INDEX(Algodão!$E81:$Z81,MIN(AV$6-$E$3,22))),0))-IF($G$2,0,IF((AV$6-$G$3)&lt;1,0,IFERROR(LOOKUP(2,1/(Algodão!$E81:INDEX(Algodão!$E81:$Z81,MIN(AV$6-$G$3,22))&lt;&gt;""),Algodão!$E81:INDEX(Algodão!$E81:$Z81,MIN(AV$6-$G$3,22))),0)))))</f>
        <v>0</v>
      </c>
      <c r="AW83" s="27" t="n">
        <f aca="false">IF(COUNT(Algodão!$E81:$Z81)=0,0,MAX(0,IF((AW$6-$E$3)&lt;1,0,IFERROR(LOOKUP(2,1/(Algodão!$E81:INDEX(Algodão!$E81:$Z81,MIN(AW$6-$E$3,22))&lt;&gt;""),Algodão!$E81:INDEX(Algodão!$E81:$Z81,MIN(AW$6-$E$3,22))),0))-IF($G$2,0,IF((AW$6-$G$3)&lt;1,0,IFERROR(LOOKUP(2,1/(Algodão!$E81:INDEX(Algodão!$E81:$Z81,MIN(AW$6-$G$3,22))&lt;&gt;""),Algodão!$E81:INDEX(Algodão!$E81:$Z81,MIN(AW$6-$G$3,22))),0)))))</f>
        <v>0</v>
      </c>
      <c r="AX83" s="27" t="n">
        <f aca="false">IF(COUNT(Algodão!$E81:$Z81)=0,0,MAX(0,IF((AX$6-$E$3)&lt;1,0,IFERROR(LOOKUP(2,1/(Algodão!$E81:INDEX(Algodão!$E81:$Z81,MIN(AX$6-$E$3,22))&lt;&gt;""),Algodão!$E81:INDEX(Algodão!$E81:$Z81,MIN(AX$6-$E$3,22))),0))-IF($G$2,0,IF((AX$6-$G$3)&lt;1,0,IFERROR(LOOKUP(2,1/(Algodão!$E81:INDEX(Algodão!$E81:$Z81,MIN(AX$6-$G$3,22))&lt;&gt;""),Algodão!$E81:INDEX(Algodão!$E81:$Z81,MIN(AX$6-$G$3,22))),0)))))</f>
        <v>0</v>
      </c>
      <c r="AY83" s="27" t="n">
        <f aca="false">IF(COUNT(Algodão!$E81:$Z81)=0,0,MAX(0,IF((AY$6-$E$3)&lt;1,0,IFERROR(LOOKUP(2,1/(Algodão!$E81:INDEX(Algodão!$E81:$Z81,MIN(AY$6-$E$3,22))&lt;&gt;""),Algodão!$E81:INDEX(Algodão!$E81:$Z81,MIN(AY$6-$E$3,22))),0))-IF($G$2,0,IF((AY$6-$G$3)&lt;1,0,IFERROR(LOOKUP(2,1/(Algodão!$E81:INDEX(Algodão!$E81:$Z81,MIN(AY$6-$G$3,22))&lt;&gt;""),Algodão!$E81:INDEX(Algodão!$E81:$Z81,MIN(AY$6-$G$3,22))),0)))))</f>
        <v>0</v>
      </c>
      <c r="AZ83" s="27" t="n">
        <f aca="false">IF(COUNT(Algodão!$E81:$Z81)=0,0,MAX(0,IF((AZ$6-$E$3)&lt;1,0,IFERROR(LOOKUP(2,1/(Algodão!$E81:INDEX(Algodão!$E81:$Z81,MIN(AZ$6-$E$3,22))&lt;&gt;""),Algodão!$E81:INDEX(Algodão!$E81:$Z81,MIN(AZ$6-$E$3,22))),0))-IF($G$2,0,IF((AZ$6-$G$3)&lt;1,0,IFERROR(LOOKUP(2,1/(Algodão!$E81:INDEX(Algodão!$E81:$Z81,MIN(AZ$6-$G$3,22))&lt;&gt;""),Algodão!$E81:INDEX(Algodão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IF(COUNT(Algodão!$E82:$Z82)&gt;0,N(Algodão!$D82),0)</f>
        <v>0</v>
      </c>
      <c r="E84" s="27" t="n">
        <f aca="false">IF(COUNT(Algodão!$E82:$Z82)=0,0,MAX(0,IF((E$6-$E$3)&lt;1,0,IFERROR(LOOKUP(2,1/(Algodão!$E82:INDEX(Algodão!$E82:$Z82,MIN(E$6-$E$3,22))&lt;&gt;""),Algodão!$E82:INDEX(Algodão!$E82:$Z82,MIN(E$6-$E$3,22))),0))-IF($G$2,0,IF((E$6-$G$3)&lt;1,0,IFERROR(LOOKUP(2,1/(Algodão!$E82:INDEX(Algodão!$E82:$Z82,MIN(E$6-$G$3,22))&lt;&gt;""),Algodão!$E82:INDEX(Algodão!$E82:$Z82,MIN(E$6-$G$3,22))),0)))))</f>
        <v>0</v>
      </c>
      <c r="F84" s="27" t="n">
        <f aca="false">IF(COUNT(Algodão!$E82:$Z82)=0,0,MAX(0,IF((F$6-$E$3)&lt;1,0,IFERROR(LOOKUP(2,1/(Algodão!$E82:INDEX(Algodão!$E82:$Z82,MIN(F$6-$E$3,22))&lt;&gt;""),Algodão!$E82:INDEX(Algodão!$E82:$Z82,MIN(F$6-$E$3,22))),0))-IF($G$2,0,IF((F$6-$G$3)&lt;1,0,IFERROR(LOOKUP(2,1/(Algodão!$E82:INDEX(Algodão!$E82:$Z82,MIN(F$6-$G$3,22))&lt;&gt;""),Algodão!$E82:INDEX(Algodão!$E82:$Z82,MIN(F$6-$G$3,22))),0)))))</f>
        <v>0</v>
      </c>
      <c r="G84" s="27" t="n">
        <f aca="false">IF(COUNT(Algodão!$E82:$Z82)=0,0,MAX(0,IF((G$6-$E$3)&lt;1,0,IFERROR(LOOKUP(2,1/(Algodão!$E82:INDEX(Algodão!$E82:$Z82,MIN(G$6-$E$3,22))&lt;&gt;""),Algodão!$E82:INDEX(Algodão!$E82:$Z82,MIN(G$6-$E$3,22))),0))-IF($G$2,0,IF((G$6-$G$3)&lt;1,0,IFERROR(LOOKUP(2,1/(Algodão!$E82:INDEX(Algodão!$E82:$Z82,MIN(G$6-$G$3,22))&lt;&gt;""),Algodão!$E82:INDEX(Algodão!$E82:$Z82,MIN(G$6-$G$3,22))),0)))))</f>
        <v>0</v>
      </c>
      <c r="H84" s="27" t="n">
        <f aca="false">IF(COUNT(Algodão!$E82:$Z82)=0,0,MAX(0,IF((H$6-$E$3)&lt;1,0,IFERROR(LOOKUP(2,1/(Algodão!$E82:INDEX(Algodão!$E82:$Z82,MIN(H$6-$E$3,22))&lt;&gt;""),Algodão!$E82:INDEX(Algodão!$E82:$Z82,MIN(H$6-$E$3,22))),0))-IF($G$2,0,IF((H$6-$G$3)&lt;1,0,IFERROR(LOOKUP(2,1/(Algodão!$E82:INDEX(Algodão!$E82:$Z82,MIN(H$6-$G$3,22))&lt;&gt;""),Algodão!$E82:INDEX(Algodão!$E82:$Z82,MIN(H$6-$G$3,22))),0)))))</f>
        <v>0</v>
      </c>
      <c r="I84" s="27" t="n">
        <f aca="false">IF(COUNT(Algodão!$E82:$Z82)=0,0,MAX(0,IF((I$6-$E$3)&lt;1,0,IFERROR(LOOKUP(2,1/(Algodão!$E82:INDEX(Algodão!$E82:$Z82,MIN(I$6-$E$3,22))&lt;&gt;""),Algodão!$E82:INDEX(Algodão!$E82:$Z82,MIN(I$6-$E$3,22))),0))-IF($G$2,0,IF((I$6-$G$3)&lt;1,0,IFERROR(LOOKUP(2,1/(Algodão!$E82:INDEX(Algodão!$E82:$Z82,MIN(I$6-$G$3,22))&lt;&gt;""),Algodão!$E82:INDEX(Algodão!$E82:$Z82,MIN(I$6-$G$3,22))),0)))))</f>
        <v>0</v>
      </c>
      <c r="J84" s="27" t="n">
        <f aca="false">IF(COUNT(Algodão!$E82:$Z82)=0,0,MAX(0,IF((J$6-$E$3)&lt;1,0,IFERROR(LOOKUP(2,1/(Algodão!$E82:INDEX(Algodão!$E82:$Z82,MIN(J$6-$E$3,22))&lt;&gt;""),Algodão!$E82:INDEX(Algodão!$E82:$Z82,MIN(J$6-$E$3,22))),0))-IF($G$2,0,IF((J$6-$G$3)&lt;1,0,IFERROR(LOOKUP(2,1/(Algodão!$E82:INDEX(Algodão!$E82:$Z82,MIN(J$6-$G$3,22))&lt;&gt;""),Algodão!$E82:INDEX(Algodão!$E82:$Z82,MIN(J$6-$G$3,22))),0)))))</f>
        <v>0</v>
      </c>
      <c r="K84" s="27" t="n">
        <f aca="false">IF(COUNT(Algodão!$E82:$Z82)=0,0,MAX(0,IF((K$6-$E$3)&lt;1,0,IFERROR(LOOKUP(2,1/(Algodão!$E82:INDEX(Algodão!$E82:$Z82,MIN(K$6-$E$3,22))&lt;&gt;""),Algodão!$E82:INDEX(Algodão!$E82:$Z82,MIN(K$6-$E$3,22))),0))-IF($G$2,0,IF((K$6-$G$3)&lt;1,0,IFERROR(LOOKUP(2,1/(Algodão!$E82:INDEX(Algodão!$E82:$Z82,MIN(K$6-$G$3,22))&lt;&gt;""),Algodão!$E82:INDEX(Algodão!$E82:$Z82,MIN(K$6-$G$3,22))),0)))))</f>
        <v>0</v>
      </c>
      <c r="L84" s="27" t="n">
        <f aca="false">IF(COUNT(Algodão!$E82:$Z82)=0,0,MAX(0,IF((L$6-$E$3)&lt;1,0,IFERROR(LOOKUP(2,1/(Algodão!$E82:INDEX(Algodão!$E82:$Z82,MIN(L$6-$E$3,22))&lt;&gt;""),Algodão!$E82:INDEX(Algodão!$E82:$Z82,MIN(L$6-$E$3,22))),0))-IF($G$2,0,IF((L$6-$G$3)&lt;1,0,IFERROR(LOOKUP(2,1/(Algodão!$E82:INDEX(Algodão!$E82:$Z82,MIN(L$6-$G$3,22))&lt;&gt;""),Algodão!$E82:INDEX(Algodão!$E82:$Z82,MIN(L$6-$G$3,22))),0)))))</f>
        <v>0</v>
      </c>
      <c r="M84" s="27" t="n">
        <f aca="false">IF(COUNT(Algodão!$E82:$Z82)=0,0,MAX(0,IF((M$6-$E$3)&lt;1,0,IFERROR(LOOKUP(2,1/(Algodão!$E82:INDEX(Algodão!$E82:$Z82,MIN(M$6-$E$3,22))&lt;&gt;""),Algodão!$E82:INDEX(Algodão!$E82:$Z82,MIN(M$6-$E$3,22))),0))-IF($G$2,0,IF((M$6-$G$3)&lt;1,0,IFERROR(LOOKUP(2,1/(Algodão!$E82:INDEX(Algodão!$E82:$Z82,MIN(M$6-$G$3,22))&lt;&gt;""),Algodão!$E82:INDEX(Algodão!$E82:$Z82,MIN(M$6-$G$3,22))),0)))))</f>
        <v>0</v>
      </c>
      <c r="N84" s="27" t="n">
        <f aca="false">IF(COUNT(Algodão!$E82:$Z82)=0,0,MAX(0,IF((N$6-$E$3)&lt;1,0,IFERROR(LOOKUP(2,1/(Algodão!$E82:INDEX(Algodão!$E82:$Z82,MIN(N$6-$E$3,22))&lt;&gt;""),Algodão!$E82:INDEX(Algodão!$E82:$Z82,MIN(N$6-$E$3,22))),0))-IF($G$2,0,IF((N$6-$G$3)&lt;1,0,IFERROR(LOOKUP(2,1/(Algodão!$E82:INDEX(Algodão!$E82:$Z82,MIN(N$6-$G$3,22))&lt;&gt;""),Algodão!$E82:INDEX(Algodão!$E82:$Z82,MIN(N$6-$G$3,22))),0)))))</f>
        <v>0</v>
      </c>
      <c r="O84" s="27" t="n">
        <f aca="false">IF(COUNT(Algodão!$E82:$Z82)=0,0,MAX(0,IF((O$6-$E$3)&lt;1,0,IFERROR(LOOKUP(2,1/(Algodão!$E82:INDEX(Algodão!$E82:$Z82,MIN(O$6-$E$3,22))&lt;&gt;""),Algodão!$E82:INDEX(Algodão!$E82:$Z82,MIN(O$6-$E$3,22))),0))-IF($G$2,0,IF((O$6-$G$3)&lt;1,0,IFERROR(LOOKUP(2,1/(Algodão!$E82:INDEX(Algodão!$E82:$Z82,MIN(O$6-$G$3,22))&lt;&gt;""),Algodão!$E82:INDEX(Algodão!$E82:$Z82,MIN(O$6-$G$3,22))),0)))))</f>
        <v>0</v>
      </c>
      <c r="P84" s="27" t="n">
        <f aca="false">IF(COUNT(Algodão!$E82:$Z82)=0,0,MAX(0,IF((P$6-$E$3)&lt;1,0,IFERROR(LOOKUP(2,1/(Algodão!$E82:INDEX(Algodão!$E82:$Z82,MIN(P$6-$E$3,22))&lt;&gt;""),Algodão!$E82:INDEX(Algodão!$E82:$Z82,MIN(P$6-$E$3,22))),0))-IF($G$2,0,IF((P$6-$G$3)&lt;1,0,IFERROR(LOOKUP(2,1/(Algodão!$E82:INDEX(Algodão!$E82:$Z82,MIN(P$6-$G$3,22))&lt;&gt;""),Algodão!$E82:INDEX(Algodão!$E82:$Z82,MIN(P$6-$G$3,22))),0)))))</f>
        <v>0</v>
      </c>
      <c r="Q84" s="27" t="n">
        <f aca="false">IF(COUNT(Algodão!$E82:$Z82)=0,0,MAX(0,IF((Q$6-$E$3)&lt;1,0,IFERROR(LOOKUP(2,1/(Algodão!$E82:INDEX(Algodão!$E82:$Z82,MIN(Q$6-$E$3,22))&lt;&gt;""),Algodão!$E82:INDEX(Algodão!$E82:$Z82,MIN(Q$6-$E$3,22))),0))-IF($G$2,0,IF((Q$6-$G$3)&lt;1,0,IFERROR(LOOKUP(2,1/(Algodão!$E82:INDEX(Algodão!$E82:$Z82,MIN(Q$6-$G$3,22))&lt;&gt;""),Algodão!$E82:INDEX(Algodão!$E82:$Z82,MIN(Q$6-$G$3,22))),0)))))</f>
        <v>0</v>
      </c>
      <c r="R84" s="27" t="n">
        <f aca="false">IF(COUNT(Algodão!$E82:$Z82)=0,0,MAX(0,IF((R$6-$E$3)&lt;1,0,IFERROR(LOOKUP(2,1/(Algodão!$E82:INDEX(Algodão!$E82:$Z82,MIN(R$6-$E$3,22))&lt;&gt;""),Algodão!$E82:INDEX(Algodão!$E82:$Z82,MIN(R$6-$E$3,22))),0))-IF($G$2,0,IF((R$6-$G$3)&lt;1,0,IFERROR(LOOKUP(2,1/(Algodão!$E82:INDEX(Algodão!$E82:$Z82,MIN(R$6-$G$3,22))&lt;&gt;""),Algodão!$E82:INDEX(Algodão!$E82:$Z82,MIN(R$6-$G$3,22))),0)))))</f>
        <v>0</v>
      </c>
      <c r="S84" s="27" t="n">
        <f aca="false">IF(COUNT(Algodão!$E82:$Z82)=0,0,MAX(0,IF((S$6-$E$3)&lt;1,0,IFERROR(LOOKUP(2,1/(Algodão!$E82:INDEX(Algodão!$E82:$Z82,MIN(S$6-$E$3,22))&lt;&gt;""),Algodão!$E82:INDEX(Algodão!$E82:$Z82,MIN(S$6-$E$3,22))),0))-IF($G$2,0,IF((S$6-$G$3)&lt;1,0,IFERROR(LOOKUP(2,1/(Algodão!$E82:INDEX(Algodão!$E82:$Z82,MIN(S$6-$G$3,22))&lt;&gt;""),Algodão!$E82:INDEX(Algodão!$E82:$Z82,MIN(S$6-$G$3,22))),0)))))</f>
        <v>0</v>
      </c>
      <c r="T84" s="27" t="n">
        <f aca="false">IF(COUNT(Algodão!$E82:$Z82)=0,0,MAX(0,IF((T$6-$E$3)&lt;1,0,IFERROR(LOOKUP(2,1/(Algodão!$E82:INDEX(Algodão!$E82:$Z82,MIN(T$6-$E$3,22))&lt;&gt;""),Algodão!$E82:INDEX(Algodão!$E82:$Z82,MIN(T$6-$E$3,22))),0))-IF($G$2,0,IF((T$6-$G$3)&lt;1,0,IFERROR(LOOKUP(2,1/(Algodão!$E82:INDEX(Algodão!$E82:$Z82,MIN(T$6-$G$3,22))&lt;&gt;""),Algodão!$E82:INDEX(Algodão!$E82:$Z82,MIN(T$6-$G$3,22))),0)))))</f>
        <v>0</v>
      </c>
      <c r="U84" s="27" t="n">
        <f aca="false">IF(COUNT(Algodão!$E82:$Z82)=0,0,MAX(0,IF((U$6-$E$3)&lt;1,0,IFERROR(LOOKUP(2,1/(Algodão!$E82:INDEX(Algodão!$E82:$Z82,MIN(U$6-$E$3,22))&lt;&gt;""),Algodão!$E82:INDEX(Algodão!$E82:$Z82,MIN(U$6-$E$3,22))),0))-IF($G$2,0,IF((U$6-$G$3)&lt;1,0,IFERROR(LOOKUP(2,1/(Algodão!$E82:INDEX(Algodão!$E82:$Z82,MIN(U$6-$G$3,22))&lt;&gt;""),Algodão!$E82:INDEX(Algodão!$E82:$Z82,MIN(U$6-$G$3,22))),0)))))</f>
        <v>0</v>
      </c>
      <c r="V84" s="27" t="n">
        <f aca="false">IF(COUNT(Algodão!$E82:$Z82)=0,0,MAX(0,IF((V$6-$E$3)&lt;1,0,IFERROR(LOOKUP(2,1/(Algodão!$E82:INDEX(Algodão!$E82:$Z82,MIN(V$6-$E$3,22))&lt;&gt;""),Algodão!$E82:INDEX(Algodão!$E82:$Z82,MIN(V$6-$E$3,22))),0))-IF($G$2,0,IF((V$6-$G$3)&lt;1,0,IFERROR(LOOKUP(2,1/(Algodão!$E82:INDEX(Algodão!$E82:$Z82,MIN(V$6-$G$3,22))&lt;&gt;""),Algodão!$E82:INDEX(Algodão!$E82:$Z82,MIN(V$6-$G$3,22))),0)))))</f>
        <v>0</v>
      </c>
      <c r="W84" s="27" t="n">
        <f aca="false">IF(COUNT(Algodão!$E82:$Z82)=0,0,MAX(0,IF((W$6-$E$3)&lt;1,0,IFERROR(LOOKUP(2,1/(Algodão!$E82:INDEX(Algodão!$E82:$Z82,MIN(W$6-$E$3,22))&lt;&gt;""),Algodão!$E82:INDEX(Algodão!$E82:$Z82,MIN(W$6-$E$3,22))),0))-IF($G$2,0,IF((W$6-$G$3)&lt;1,0,IFERROR(LOOKUP(2,1/(Algodão!$E82:INDEX(Algodão!$E82:$Z82,MIN(W$6-$G$3,22))&lt;&gt;""),Algodão!$E82:INDEX(Algodão!$E82:$Z82,MIN(W$6-$G$3,22))),0)))))</f>
        <v>0</v>
      </c>
      <c r="X84" s="27" t="n">
        <f aca="false">IF(COUNT(Algodão!$E82:$Z82)=0,0,MAX(0,IF((X$6-$E$3)&lt;1,0,IFERROR(LOOKUP(2,1/(Algodão!$E82:INDEX(Algodão!$E82:$Z82,MIN(X$6-$E$3,22))&lt;&gt;""),Algodão!$E82:INDEX(Algodão!$E82:$Z82,MIN(X$6-$E$3,22))),0))-IF($G$2,0,IF((X$6-$G$3)&lt;1,0,IFERROR(LOOKUP(2,1/(Algodão!$E82:INDEX(Algodão!$E82:$Z82,MIN(X$6-$G$3,22))&lt;&gt;""),Algodão!$E82:INDEX(Algodão!$E82:$Z82,MIN(X$6-$G$3,22))),0)))))</f>
        <v>0</v>
      </c>
      <c r="Y84" s="27" t="n">
        <f aca="false">IF(COUNT(Algodão!$E82:$Z82)=0,0,MAX(0,IF((Y$6-$E$3)&lt;1,0,IFERROR(LOOKUP(2,1/(Algodão!$E82:INDEX(Algodão!$E82:$Z82,MIN(Y$6-$E$3,22))&lt;&gt;""),Algodão!$E82:INDEX(Algodão!$E82:$Z82,MIN(Y$6-$E$3,22))),0))-IF($G$2,0,IF((Y$6-$G$3)&lt;1,0,IFERROR(LOOKUP(2,1/(Algodão!$E82:INDEX(Algodão!$E82:$Z82,MIN(Y$6-$G$3,22))&lt;&gt;""),Algodão!$E82:INDEX(Algodão!$E82:$Z82,MIN(Y$6-$G$3,22))),0)))))</f>
        <v>0</v>
      </c>
      <c r="Z84" s="27" t="n">
        <f aca="false">IF(COUNT(Algodão!$E82:$Z82)=0,0,MAX(0,IF((Z$6-$E$3)&lt;1,0,IFERROR(LOOKUP(2,1/(Algodão!$E82:INDEX(Algodão!$E82:$Z82,MIN(Z$6-$E$3,22))&lt;&gt;""),Algodão!$E82:INDEX(Algodão!$E82:$Z82,MIN(Z$6-$E$3,22))),0))-IF($G$2,0,IF((Z$6-$G$3)&lt;1,0,IFERROR(LOOKUP(2,1/(Algodão!$E82:INDEX(Algodão!$E82:$Z82,MIN(Z$6-$G$3,22))&lt;&gt;""),Algodão!$E82:INDEX(Algodão!$E82:$Z82,MIN(Z$6-$G$3,22))),0)))))</f>
        <v>0</v>
      </c>
      <c r="AA84" s="27" t="n">
        <f aca="false">IF(COUNT(Algodão!$E82:$Z82)=0,0,MAX(0,IF((AA$6-$E$3)&lt;1,0,IFERROR(LOOKUP(2,1/(Algodão!$E82:INDEX(Algodão!$E82:$Z82,MIN(AA$6-$E$3,22))&lt;&gt;""),Algodão!$E82:INDEX(Algodão!$E82:$Z82,MIN(AA$6-$E$3,22))),0))-IF($G$2,0,IF((AA$6-$G$3)&lt;1,0,IFERROR(LOOKUP(2,1/(Algodão!$E82:INDEX(Algodão!$E82:$Z82,MIN(AA$6-$G$3,22))&lt;&gt;""),Algodão!$E82:INDEX(Algodão!$E82:$Z82,MIN(AA$6-$G$3,22))),0)))))</f>
        <v>0</v>
      </c>
      <c r="AB84" s="27" t="n">
        <f aca="false">IF(COUNT(Algodão!$E82:$Z82)=0,0,MAX(0,IF((AB$6-$E$3)&lt;1,0,IFERROR(LOOKUP(2,1/(Algodão!$E82:INDEX(Algodão!$E82:$Z82,MIN(AB$6-$E$3,22))&lt;&gt;""),Algodão!$E82:INDEX(Algodão!$E82:$Z82,MIN(AB$6-$E$3,22))),0))-IF($G$2,0,IF((AB$6-$G$3)&lt;1,0,IFERROR(LOOKUP(2,1/(Algodão!$E82:INDEX(Algodão!$E82:$Z82,MIN(AB$6-$G$3,22))&lt;&gt;""),Algodão!$E82:INDEX(Algodão!$E82:$Z82,MIN(AB$6-$G$3,22))),0)))))</f>
        <v>0</v>
      </c>
      <c r="AC84" s="27" t="n">
        <f aca="false">IF(COUNT(Algodão!$E82:$Z82)=0,0,MAX(0,IF((AC$6-$E$3)&lt;1,0,IFERROR(LOOKUP(2,1/(Algodão!$E82:INDEX(Algodão!$E82:$Z82,MIN(AC$6-$E$3,22))&lt;&gt;""),Algodão!$E82:INDEX(Algodão!$E82:$Z82,MIN(AC$6-$E$3,22))),0))-IF($G$2,0,IF((AC$6-$G$3)&lt;1,0,IFERROR(LOOKUP(2,1/(Algodão!$E82:INDEX(Algodão!$E82:$Z82,MIN(AC$6-$G$3,22))&lt;&gt;""),Algodão!$E82:INDEX(Algodão!$E82:$Z82,MIN(AC$6-$G$3,22))),0)))))</f>
        <v>0</v>
      </c>
      <c r="AD84" s="27" t="n">
        <f aca="false">IF(COUNT(Algodão!$E82:$Z82)=0,0,MAX(0,IF((AD$6-$E$3)&lt;1,0,IFERROR(LOOKUP(2,1/(Algodão!$E82:INDEX(Algodão!$E82:$Z82,MIN(AD$6-$E$3,22))&lt;&gt;""),Algodão!$E82:INDEX(Algodão!$E82:$Z82,MIN(AD$6-$E$3,22))),0))-IF($G$2,0,IF((AD$6-$G$3)&lt;1,0,IFERROR(LOOKUP(2,1/(Algodão!$E82:INDEX(Algodão!$E82:$Z82,MIN(AD$6-$G$3,22))&lt;&gt;""),Algodão!$E82:INDEX(Algodão!$E82:$Z82,MIN(AD$6-$G$3,22))),0)))))</f>
        <v>0</v>
      </c>
      <c r="AE84" s="27" t="n">
        <f aca="false">IF(COUNT(Algodão!$E82:$Z82)=0,0,MAX(0,IF((AE$6-$E$3)&lt;1,0,IFERROR(LOOKUP(2,1/(Algodão!$E82:INDEX(Algodão!$E82:$Z82,MIN(AE$6-$E$3,22))&lt;&gt;""),Algodão!$E82:INDEX(Algodão!$E82:$Z82,MIN(AE$6-$E$3,22))),0))-IF($G$2,0,IF((AE$6-$G$3)&lt;1,0,IFERROR(LOOKUP(2,1/(Algodão!$E82:INDEX(Algodão!$E82:$Z82,MIN(AE$6-$G$3,22))&lt;&gt;""),Algodão!$E82:INDEX(Algodão!$E82:$Z82,MIN(AE$6-$G$3,22))),0)))))</f>
        <v>0</v>
      </c>
      <c r="AF84" s="27" t="n">
        <f aca="false">IF(COUNT(Algodão!$E82:$Z82)=0,0,MAX(0,IF((AF$6-$E$3)&lt;1,0,IFERROR(LOOKUP(2,1/(Algodão!$E82:INDEX(Algodão!$E82:$Z82,MIN(AF$6-$E$3,22))&lt;&gt;""),Algodão!$E82:INDEX(Algodão!$E82:$Z82,MIN(AF$6-$E$3,22))),0))-IF($G$2,0,IF((AF$6-$G$3)&lt;1,0,IFERROR(LOOKUP(2,1/(Algodão!$E82:INDEX(Algodão!$E82:$Z82,MIN(AF$6-$G$3,22))&lt;&gt;""),Algodão!$E82:INDEX(Algodão!$E82:$Z82,MIN(AF$6-$G$3,22))),0)))))</f>
        <v>0</v>
      </c>
      <c r="AG84" s="27" t="n">
        <f aca="false">IF(COUNT(Algodão!$E82:$Z82)=0,0,MAX(0,IF((AG$6-$E$3)&lt;1,0,IFERROR(LOOKUP(2,1/(Algodão!$E82:INDEX(Algodão!$E82:$Z82,MIN(AG$6-$E$3,22))&lt;&gt;""),Algodão!$E82:INDEX(Algodão!$E82:$Z82,MIN(AG$6-$E$3,22))),0))-IF($G$2,0,IF((AG$6-$G$3)&lt;1,0,IFERROR(LOOKUP(2,1/(Algodão!$E82:INDEX(Algodão!$E82:$Z82,MIN(AG$6-$G$3,22))&lt;&gt;""),Algodão!$E82:INDEX(Algodão!$E82:$Z82,MIN(AG$6-$G$3,22))),0)))))</f>
        <v>0</v>
      </c>
      <c r="AH84" s="27" t="n">
        <f aca="false">IF(COUNT(Algodão!$E82:$Z82)=0,0,MAX(0,IF((AH$6-$E$3)&lt;1,0,IFERROR(LOOKUP(2,1/(Algodão!$E82:INDEX(Algodão!$E82:$Z82,MIN(AH$6-$E$3,22))&lt;&gt;""),Algodão!$E82:INDEX(Algodão!$E82:$Z82,MIN(AH$6-$E$3,22))),0))-IF($G$2,0,IF((AH$6-$G$3)&lt;1,0,IFERROR(LOOKUP(2,1/(Algodão!$E82:INDEX(Algodão!$E82:$Z82,MIN(AH$6-$G$3,22))&lt;&gt;""),Algodão!$E82:INDEX(Algodão!$E82:$Z82,MIN(AH$6-$G$3,22))),0)))))</f>
        <v>0</v>
      </c>
      <c r="AI84" s="27" t="n">
        <f aca="false">IF(COUNT(Algodão!$E82:$Z82)=0,0,MAX(0,IF((AI$6-$E$3)&lt;1,0,IFERROR(LOOKUP(2,1/(Algodão!$E82:INDEX(Algodão!$E82:$Z82,MIN(AI$6-$E$3,22))&lt;&gt;""),Algodão!$E82:INDEX(Algodão!$E82:$Z82,MIN(AI$6-$E$3,22))),0))-IF($G$2,0,IF((AI$6-$G$3)&lt;1,0,IFERROR(LOOKUP(2,1/(Algodão!$E82:INDEX(Algodão!$E82:$Z82,MIN(AI$6-$G$3,22))&lt;&gt;""),Algodão!$E82:INDEX(Algodão!$E82:$Z82,MIN(AI$6-$G$3,22))),0)))))</f>
        <v>0</v>
      </c>
      <c r="AJ84" s="27" t="n">
        <f aca="false">IF(COUNT(Algodão!$E82:$Z82)=0,0,MAX(0,IF((AJ$6-$E$3)&lt;1,0,IFERROR(LOOKUP(2,1/(Algodão!$E82:INDEX(Algodão!$E82:$Z82,MIN(AJ$6-$E$3,22))&lt;&gt;""),Algodão!$E82:INDEX(Algodão!$E82:$Z82,MIN(AJ$6-$E$3,22))),0))-IF($G$2,0,IF((AJ$6-$G$3)&lt;1,0,IFERROR(LOOKUP(2,1/(Algodão!$E82:INDEX(Algodão!$E82:$Z82,MIN(AJ$6-$G$3,22))&lt;&gt;""),Algodão!$E82:INDEX(Algodão!$E82:$Z82,MIN(AJ$6-$G$3,22))),0)))))</f>
        <v>0</v>
      </c>
      <c r="AK84" s="27" t="n">
        <f aca="false">IF(COUNT(Algodão!$E82:$Z82)=0,0,MAX(0,IF((AK$6-$E$3)&lt;1,0,IFERROR(LOOKUP(2,1/(Algodão!$E82:INDEX(Algodão!$E82:$Z82,MIN(AK$6-$E$3,22))&lt;&gt;""),Algodão!$E82:INDEX(Algodão!$E82:$Z82,MIN(AK$6-$E$3,22))),0))-IF($G$2,0,IF((AK$6-$G$3)&lt;1,0,IFERROR(LOOKUP(2,1/(Algodão!$E82:INDEX(Algodão!$E82:$Z82,MIN(AK$6-$G$3,22))&lt;&gt;""),Algodão!$E82:INDEX(Algodão!$E82:$Z82,MIN(AK$6-$G$3,22))),0)))))</f>
        <v>0</v>
      </c>
      <c r="AL84" s="27" t="n">
        <f aca="false">IF(COUNT(Algodão!$E82:$Z82)=0,0,MAX(0,IF((AL$6-$E$3)&lt;1,0,IFERROR(LOOKUP(2,1/(Algodão!$E82:INDEX(Algodão!$E82:$Z82,MIN(AL$6-$E$3,22))&lt;&gt;""),Algodão!$E82:INDEX(Algodão!$E82:$Z82,MIN(AL$6-$E$3,22))),0))-IF($G$2,0,IF((AL$6-$G$3)&lt;1,0,IFERROR(LOOKUP(2,1/(Algodão!$E82:INDEX(Algodão!$E82:$Z82,MIN(AL$6-$G$3,22))&lt;&gt;""),Algodão!$E82:INDEX(Algodão!$E82:$Z82,MIN(AL$6-$G$3,22))),0)))))</f>
        <v>0</v>
      </c>
      <c r="AM84" s="27" t="n">
        <f aca="false">IF(COUNT(Algodão!$E82:$Z82)=0,0,MAX(0,IF((AM$6-$E$3)&lt;1,0,IFERROR(LOOKUP(2,1/(Algodão!$E82:INDEX(Algodão!$E82:$Z82,MIN(AM$6-$E$3,22))&lt;&gt;""),Algodão!$E82:INDEX(Algodão!$E82:$Z82,MIN(AM$6-$E$3,22))),0))-IF($G$2,0,IF((AM$6-$G$3)&lt;1,0,IFERROR(LOOKUP(2,1/(Algodão!$E82:INDEX(Algodão!$E82:$Z82,MIN(AM$6-$G$3,22))&lt;&gt;""),Algodão!$E82:INDEX(Algodão!$E82:$Z82,MIN(AM$6-$G$3,22))),0)))))</f>
        <v>0</v>
      </c>
      <c r="AN84" s="27" t="n">
        <f aca="false">IF(COUNT(Algodão!$E82:$Z82)=0,0,MAX(0,IF((AN$6-$E$3)&lt;1,0,IFERROR(LOOKUP(2,1/(Algodão!$E82:INDEX(Algodão!$E82:$Z82,MIN(AN$6-$E$3,22))&lt;&gt;""),Algodão!$E82:INDEX(Algodão!$E82:$Z82,MIN(AN$6-$E$3,22))),0))-IF($G$2,0,IF((AN$6-$G$3)&lt;1,0,IFERROR(LOOKUP(2,1/(Algodão!$E82:INDEX(Algodão!$E82:$Z82,MIN(AN$6-$G$3,22))&lt;&gt;""),Algodão!$E82:INDEX(Algodão!$E82:$Z82,MIN(AN$6-$G$3,22))),0)))))</f>
        <v>0</v>
      </c>
      <c r="AO84" s="27" t="n">
        <f aca="false">IF(COUNT(Algodão!$E82:$Z82)=0,0,MAX(0,IF((AO$6-$E$3)&lt;1,0,IFERROR(LOOKUP(2,1/(Algodão!$E82:INDEX(Algodão!$E82:$Z82,MIN(AO$6-$E$3,22))&lt;&gt;""),Algodão!$E82:INDEX(Algodão!$E82:$Z82,MIN(AO$6-$E$3,22))),0))-IF($G$2,0,IF((AO$6-$G$3)&lt;1,0,IFERROR(LOOKUP(2,1/(Algodão!$E82:INDEX(Algodão!$E82:$Z82,MIN(AO$6-$G$3,22))&lt;&gt;""),Algodão!$E82:INDEX(Algodão!$E82:$Z82,MIN(AO$6-$G$3,22))),0)))))</f>
        <v>0</v>
      </c>
      <c r="AP84" s="27" t="n">
        <f aca="false">IF(COUNT(Algodão!$E82:$Z82)=0,0,MAX(0,IF((AP$6-$E$3)&lt;1,0,IFERROR(LOOKUP(2,1/(Algodão!$E82:INDEX(Algodão!$E82:$Z82,MIN(AP$6-$E$3,22))&lt;&gt;""),Algodão!$E82:INDEX(Algodão!$E82:$Z82,MIN(AP$6-$E$3,22))),0))-IF($G$2,0,IF((AP$6-$G$3)&lt;1,0,IFERROR(LOOKUP(2,1/(Algodão!$E82:INDEX(Algodão!$E82:$Z82,MIN(AP$6-$G$3,22))&lt;&gt;""),Algodão!$E82:INDEX(Algodão!$E82:$Z82,MIN(AP$6-$G$3,22))),0)))))</f>
        <v>0</v>
      </c>
      <c r="AQ84" s="27" t="n">
        <f aca="false">IF(COUNT(Algodão!$E82:$Z82)=0,0,MAX(0,IF((AQ$6-$E$3)&lt;1,0,IFERROR(LOOKUP(2,1/(Algodão!$E82:INDEX(Algodão!$E82:$Z82,MIN(AQ$6-$E$3,22))&lt;&gt;""),Algodão!$E82:INDEX(Algodão!$E82:$Z82,MIN(AQ$6-$E$3,22))),0))-IF($G$2,0,IF((AQ$6-$G$3)&lt;1,0,IFERROR(LOOKUP(2,1/(Algodão!$E82:INDEX(Algodão!$E82:$Z82,MIN(AQ$6-$G$3,22))&lt;&gt;""),Algodão!$E82:INDEX(Algodão!$E82:$Z82,MIN(AQ$6-$G$3,22))),0)))))</f>
        <v>0</v>
      </c>
      <c r="AR84" s="27" t="n">
        <f aca="false">IF(COUNT(Algodão!$E82:$Z82)=0,0,MAX(0,IF((AR$6-$E$3)&lt;1,0,IFERROR(LOOKUP(2,1/(Algodão!$E82:INDEX(Algodão!$E82:$Z82,MIN(AR$6-$E$3,22))&lt;&gt;""),Algodão!$E82:INDEX(Algodão!$E82:$Z82,MIN(AR$6-$E$3,22))),0))-IF($G$2,0,IF((AR$6-$G$3)&lt;1,0,IFERROR(LOOKUP(2,1/(Algodão!$E82:INDEX(Algodão!$E82:$Z82,MIN(AR$6-$G$3,22))&lt;&gt;""),Algodão!$E82:INDEX(Algodão!$E82:$Z82,MIN(AR$6-$G$3,22))),0)))))</f>
        <v>0</v>
      </c>
      <c r="AS84" s="27" t="n">
        <f aca="false">IF(COUNT(Algodão!$E82:$Z82)=0,0,MAX(0,IF((AS$6-$E$3)&lt;1,0,IFERROR(LOOKUP(2,1/(Algodão!$E82:INDEX(Algodão!$E82:$Z82,MIN(AS$6-$E$3,22))&lt;&gt;""),Algodão!$E82:INDEX(Algodão!$E82:$Z82,MIN(AS$6-$E$3,22))),0))-IF($G$2,0,IF((AS$6-$G$3)&lt;1,0,IFERROR(LOOKUP(2,1/(Algodão!$E82:INDEX(Algodão!$E82:$Z82,MIN(AS$6-$G$3,22))&lt;&gt;""),Algodão!$E82:INDEX(Algodão!$E82:$Z82,MIN(AS$6-$G$3,22))),0)))))</f>
        <v>0</v>
      </c>
      <c r="AT84" s="27" t="n">
        <f aca="false">IF(COUNT(Algodão!$E82:$Z82)=0,0,MAX(0,IF((AT$6-$E$3)&lt;1,0,IFERROR(LOOKUP(2,1/(Algodão!$E82:INDEX(Algodão!$E82:$Z82,MIN(AT$6-$E$3,22))&lt;&gt;""),Algodão!$E82:INDEX(Algodão!$E82:$Z82,MIN(AT$6-$E$3,22))),0))-IF($G$2,0,IF((AT$6-$G$3)&lt;1,0,IFERROR(LOOKUP(2,1/(Algodão!$E82:INDEX(Algodão!$E82:$Z82,MIN(AT$6-$G$3,22))&lt;&gt;""),Algodão!$E82:INDEX(Algodão!$E82:$Z82,MIN(AT$6-$G$3,22))),0)))))</f>
        <v>0</v>
      </c>
      <c r="AU84" s="27" t="n">
        <f aca="false">IF(COUNT(Algodão!$E82:$Z82)=0,0,MAX(0,IF((AU$6-$E$3)&lt;1,0,IFERROR(LOOKUP(2,1/(Algodão!$E82:INDEX(Algodão!$E82:$Z82,MIN(AU$6-$E$3,22))&lt;&gt;""),Algodão!$E82:INDEX(Algodão!$E82:$Z82,MIN(AU$6-$E$3,22))),0))-IF($G$2,0,IF((AU$6-$G$3)&lt;1,0,IFERROR(LOOKUP(2,1/(Algodão!$E82:INDEX(Algodão!$E82:$Z82,MIN(AU$6-$G$3,22))&lt;&gt;""),Algodão!$E82:INDEX(Algodão!$E82:$Z82,MIN(AU$6-$G$3,22))),0)))))</f>
        <v>0</v>
      </c>
      <c r="AV84" s="27" t="n">
        <f aca="false">IF(COUNT(Algodão!$E82:$Z82)=0,0,MAX(0,IF((AV$6-$E$3)&lt;1,0,IFERROR(LOOKUP(2,1/(Algodão!$E82:INDEX(Algodão!$E82:$Z82,MIN(AV$6-$E$3,22))&lt;&gt;""),Algodão!$E82:INDEX(Algodão!$E82:$Z82,MIN(AV$6-$E$3,22))),0))-IF($G$2,0,IF((AV$6-$G$3)&lt;1,0,IFERROR(LOOKUP(2,1/(Algodão!$E82:INDEX(Algodão!$E82:$Z82,MIN(AV$6-$G$3,22))&lt;&gt;""),Algodão!$E82:INDEX(Algodão!$E82:$Z82,MIN(AV$6-$G$3,22))),0)))))</f>
        <v>0</v>
      </c>
      <c r="AW84" s="27" t="n">
        <f aca="false">IF(COUNT(Algodão!$E82:$Z82)=0,0,MAX(0,IF((AW$6-$E$3)&lt;1,0,IFERROR(LOOKUP(2,1/(Algodão!$E82:INDEX(Algodão!$E82:$Z82,MIN(AW$6-$E$3,22))&lt;&gt;""),Algodão!$E82:INDEX(Algodão!$E82:$Z82,MIN(AW$6-$E$3,22))),0))-IF($G$2,0,IF((AW$6-$G$3)&lt;1,0,IFERROR(LOOKUP(2,1/(Algodão!$E82:INDEX(Algodão!$E82:$Z82,MIN(AW$6-$G$3,22))&lt;&gt;""),Algodão!$E82:INDEX(Algodão!$E82:$Z82,MIN(AW$6-$G$3,22))),0)))))</f>
        <v>0</v>
      </c>
      <c r="AX84" s="27" t="n">
        <f aca="false">IF(COUNT(Algodão!$E82:$Z82)=0,0,MAX(0,IF((AX$6-$E$3)&lt;1,0,IFERROR(LOOKUP(2,1/(Algodão!$E82:INDEX(Algodão!$E82:$Z82,MIN(AX$6-$E$3,22))&lt;&gt;""),Algodão!$E82:INDEX(Algodão!$E82:$Z82,MIN(AX$6-$E$3,22))),0))-IF($G$2,0,IF((AX$6-$G$3)&lt;1,0,IFERROR(LOOKUP(2,1/(Algodão!$E82:INDEX(Algodão!$E82:$Z82,MIN(AX$6-$G$3,22))&lt;&gt;""),Algodão!$E82:INDEX(Algodão!$E82:$Z82,MIN(AX$6-$G$3,22))),0)))))</f>
        <v>0</v>
      </c>
      <c r="AY84" s="27" t="n">
        <f aca="false">IF(COUNT(Algodão!$E82:$Z82)=0,0,MAX(0,IF((AY$6-$E$3)&lt;1,0,IFERROR(LOOKUP(2,1/(Algodão!$E82:INDEX(Algodão!$E82:$Z82,MIN(AY$6-$E$3,22))&lt;&gt;""),Algodão!$E82:INDEX(Algodão!$E82:$Z82,MIN(AY$6-$E$3,22))),0))-IF($G$2,0,IF((AY$6-$G$3)&lt;1,0,IFERROR(LOOKUP(2,1/(Algodão!$E82:INDEX(Algodão!$E82:$Z82,MIN(AY$6-$G$3,22))&lt;&gt;""),Algodão!$E82:INDEX(Algodão!$E82:$Z82,MIN(AY$6-$G$3,22))),0)))))</f>
        <v>0</v>
      </c>
      <c r="AZ84" s="27" t="n">
        <f aca="false">IF(COUNT(Algodão!$E82:$Z82)=0,0,MAX(0,IF((AZ$6-$E$3)&lt;1,0,IFERROR(LOOKUP(2,1/(Algodão!$E82:INDEX(Algodão!$E82:$Z82,MIN(AZ$6-$E$3,22))&lt;&gt;""),Algodão!$E82:INDEX(Algodão!$E82:$Z82,MIN(AZ$6-$E$3,22))),0))-IF($G$2,0,IF((AZ$6-$G$3)&lt;1,0,IFERROR(LOOKUP(2,1/(Algodão!$E82:INDEX(Algodão!$E82:$Z82,MIN(AZ$6-$G$3,22))&lt;&gt;""),Algodão!$E82:INDEX(Algodão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IF(COUNT(Algodão!$E83:$Z83)&gt;0,N(Algodão!$D83),0)</f>
        <v>0</v>
      </c>
      <c r="E85" s="27" t="n">
        <f aca="false">IF(COUNT(Algodão!$E83:$Z83)=0,0,MAX(0,IF((E$6-$E$3)&lt;1,0,IFERROR(LOOKUP(2,1/(Algodão!$E83:INDEX(Algodão!$E83:$Z83,MIN(E$6-$E$3,22))&lt;&gt;""),Algodão!$E83:INDEX(Algodão!$E83:$Z83,MIN(E$6-$E$3,22))),0))-IF($G$2,0,IF((E$6-$G$3)&lt;1,0,IFERROR(LOOKUP(2,1/(Algodão!$E83:INDEX(Algodão!$E83:$Z83,MIN(E$6-$G$3,22))&lt;&gt;""),Algodão!$E83:INDEX(Algodão!$E83:$Z83,MIN(E$6-$G$3,22))),0)))))</f>
        <v>0</v>
      </c>
      <c r="F85" s="27" t="n">
        <f aca="false">IF(COUNT(Algodão!$E83:$Z83)=0,0,MAX(0,IF((F$6-$E$3)&lt;1,0,IFERROR(LOOKUP(2,1/(Algodão!$E83:INDEX(Algodão!$E83:$Z83,MIN(F$6-$E$3,22))&lt;&gt;""),Algodão!$E83:INDEX(Algodão!$E83:$Z83,MIN(F$6-$E$3,22))),0))-IF($G$2,0,IF((F$6-$G$3)&lt;1,0,IFERROR(LOOKUP(2,1/(Algodão!$E83:INDEX(Algodão!$E83:$Z83,MIN(F$6-$G$3,22))&lt;&gt;""),Algodão!$E83:INDEX(Algodão!$E83:$Z83,MIN(F$6-$G$3,22))),0)))))</f>
        <v>0</v>
      </c>
      <c r="G85" s="27" t="n">
        <f aca="false">IF(COUNT(Algodão!$E83:$Z83)=0,0,MAX(0,IF((G$6-$E$3)&lt;1,0,IFERROR(LOOKUP(2,1/(Algodão!$E83:INDEX(Algodão!$E83:$Z83,MIN(G$6-$E$3,22))&lt;&gt;""),Algodão!$E83:INDEX(Algodão!$E83:$Z83,MIN(G$6-$E$3,22))),0))-IF($G$2,0,IF((G$6-$G$3)&lt;1,0,IFERROR(LOOKUP(2,1/(Algodão!$E83:INDEX(Algodão!$E83:$Z83,MIN(G$6-$G$3,22))&lt;&gt;""),Algodão!$E83:INDEX(Algodão!$E83:$Z83,MIN(G$6-$G$3,22))),0)))))</f>
        <v>0</v>
      </c>
      <c r="H85" s="27" t="n">
        <f aca="false">IF(COUNT(Algodão!$E83:$Z83)=0,0,MAX(0,IF((H$6-$E$3)&lt;1,0,IFERROR(LOOKUP(2,1/(Algodão!$E83:INDEX(Algodão!$E83:$Z83,MIN(H$6-$E$3,22))&lt;&gt;""),Algodão!$E83:INDEX(Algodão!$E83:$Z83,MIN(H$6-$E$3,22))),0))-IF($G$2,0,IF((H$6-$G$3)&lt;1,0,IFERROR(LOOKUP(2,1/(Algodão!$E83:INDEX(Algodão!$E83:$Z83,MIN(H$6-$G$3,22))&lt;&gt;""),Algodão!$E83:INDEX(Algodão!$E83:$Z83,MIN(H$6-$G$3,22))),0)))))</f>
        <v>0</v>
      </c>
      <c r="I85" s="27" t="n">
        <f aca="false">IF(COUNT(Algodão!$E83:$Z83)=0,0,MAX(0,IF((I$6-$E$3)&lt;1,0,IFERROR(LOOKUP(2,1/(Algodão!$E83:INDEX(Algodão!$E83:$Z83,MIN(I$6-$E$3,22))&lt;&gt;""),Algodão!$E83:INDEX(Algodão!$E83:$Z83,MIN(I$6-$E$3,22))),0))-IF($G$2,0,IF((I$6-$G$3)&lt;1,0,IFERROR(LOOKUP(2,1/(Algodão!$E83:INDEX(Algodão!$E83:$Z83,MIN(I$6-$G$3,22))&lt;&gt;""),Algodão!$E83:INDEX(Algodão!$E83:$Z83,MIN(I$6-$G$3,22))),0)))))</f>
        <v>0</v>
      </c>
      <c r="J85" s="27" t="n">
        <f aca="false">IF(COUNT(Algodão!$E83:$Z83)=0,0,MAX(0,IF((J$6-$E$3)&lt;1,0,IFERROR(LOOKUP(2,1/(Algodão!$E83:INDEX(Algodão!$E83:$Z83,MIN(J$6-$E$3,22))&lt;&gt;""),Algodão!$E83:INDEX(Algodão!$E83:$Z83,MIN(J$6-$E$3,22))),0))-IF($G$2,0,IF((J$6-$G$3)&lt;1,0,IFERROR(LOOKUP(2,1/(Algodão!$E83:INDEX(Algodão!$E83:$Z83,MIN(J$6-$G$3,22))&lt;&gt;""),Algodão!$E83:INDEX(Algodão!$E83:$Z83,MIN(J$6-$G$3,22))),0)))))</f>
        <v>0</v>
      </c>
      <c r="K85" s="27" t="n">
        <f aca="false">IF(COUNT(Algodão!$E83:$Z83)=0,0,MAX(0,IF((K$6-$E$3)&lt;1,0,IFERROR(LOOKUP(2,1/(Algodão!$E83:INDEX(Algodão!$E83:$Z83,MIN(K$6-$E$3,22))&lt;&gt;""),Algodão!$E83:INDEX(Algodão!$E83:$Z83,MIN(K$6-$E$3,22))),0))-IF($G$2,0,IF((K$6-$G$3)&lt;1,0,IFERROR(LOOKUP(2,1/(Algodão!$E83:INDEX(Algodão!$E83:$Z83,MIN(K$6-$G$3,22))&lt;&gt;""),Algodão!$E83:INDEX(Algodão!$E83:$Z83,MIN(K$6-$G$3,22))),0)))))</f>
        <v>0</v>
      </c>
      <c r="L85" s="27" t="n">
        <f aca="false">IF(COUNT(Algodão!$E83:$Z83)=0,0,MAX(0,IF((L$6-$E$3)&lt;1,0,IFERROR(LOOKUP(2,1/(Algodão!$E83:INDEX(Algodão!$E83:$Z83,MIN(L$6-$E$3,22))&lt;&gt;""),Algodão!$E83:INDEX(Algodão!$E83:$Z83,MIN(L$6-$E$3,22))),0))-IF($G$2,0,IF((L$6-$G$3)&lt;1,0,IFERROR(LOOKUP(2,1/(Algodão!$E83:INDEX(Algodão!$E83:$Z83,MIN(L$6-$G$3,22))&lt;&gt;""),Algodão!$E83:INDEX(Algodão!$E83:$Z83,MIN(L$6-$G$3,22))),0)))))</f>
        <v>0</v>
      </c>
      <c r="M85" s="27" t="n">
        <f aca="false">IF(COUNT(Algodão!$E83:$Z83)=0,0,MAX(0,IF((M$6-$E$3)&lt;1,0,IFERROR(LOOKUP(2,1/(Algodão!$E83:INDEX(Algodão!$E83:$Z83,MIN(M$6-$E$3,22))&lt;&gt;""),Algodão!$E83:INDEX(Algodão!$E83:$Z83,MIN(M$6-$E$3,22))),0))-IF($G$2,0,IF((M$6-$G$3)&lt;1,0,IFERROR(LOOKUP(2,1/(Algodão!$E83:INDEX(Algodão!$E83:$Z83,MIN(M$6-$G$3,22))&lt;&gt;""),Algodão!$E83:INDEX(Algodão!$E83:$Z83,MIN(M$6-$G$3,22))),0)))))</f>
        <v>0</v>
      </c>
      <c r="N85" s="27" t="n">
        <f aca="false">IF(COUNT(Algodão!$E83:$Z83)=0,0,MAX(0,IF((N$6-$E$3)&lt;1,0,IFERROR(LOOKUP(2,1/(Algodão!$E83:INDEX(Algodão!$E83:$Z83,MIN(N$6-$E$3,22))&lt;&gt;""),Algodão!$E83:INDEX(Algodão!$E83:$Z83,MIN(N$6-$E$3,22))),0))-IF($G$2,0,IF((N$6-$G$3)&lt;1,0,IFERROR(LOOKUP(2,1/(Algodão!$E83:INDEX(Algodão!$E83:$Z83,MIN(N$6-$G$3,22))&lt;&gt;""),Algodão!$E83:INDEX(Algodão!$E83:$Z83,MIN(N$6-$G$3,22))),0)))))</f>
        <v>0</v>
      </c>
      <c r="O85" s="27" t="n">
        <f aca="false">IF(COUNT(Algodão!$E83:$Z83)=0,0,MAX(0,IF((O$6-$E$3)&lt;1,0,IFERROR(LOOKUP(2,1/(Algodão!$E83:INDEX(Algodão!$E83:$Z83,MIN(O$6-$E$3,22))&lt;&gt;""),Algodão!$E83:INDEX(Algodão!$E83:$Z83,MIN(O$6-$E$3,22))),0))-IF($G$2,0,IF((O$6-$G$3)&lt;1,0,IFERROR(LOOKUP(2,1/(Algodão!$E83:INDEX(Algodão!$E83:$Z83,MIN(O$6-$G$3,22))&lt;&gt;""),Algodão!$E83:INDEX(Algodão!$E83:$Z83,MIN(O$6-$G$3,22))),0)))))</f>
        <v>0</v>
      </c>
      <c r="P85" s="27" t="n">
        <f aca="false">IF(COUNT(Algodão!$E83:$Z83)=0,0,MAX(0,IF((P$6-$E$3)&lt;1,0,IFERROR(LOOKUP(2,1/(Algodão!$E83:INDEX(Algodão!$E83:$Z83,MIN(P$6-$E$3,22))&lt;&gt;""),Algodão!$E83:INDEX(Algodão!$E83:$Z83,MIN(P$6-$E$3,22))),0))-IF($G$2,0,IF((P$6-$G$3)&lt;1,0,IFERROR(LOOKUP(2,1/(Algodão!$E83:INDEX(Algodão!$E83:$Z83,MIN(P$6-$G$3,22))&lt;&gt;""),Algodão!$E83:INDEX(Algodão!$E83:$Z83,MIN(P$6-$G$3,22))),0)))))</f>
        <v>0</v>
      </c>
      <c r="Q85" s="27" t="n">
        <f aca="false">IF(COUNT(Algodão!$E83:$Z83)=0,0,MAX(0,IF((Q$6-$E$3)&lt;1,0,IFERROR(LOOKUP(2,1/(Algodão!$E83:INDEX(Algodão!$E83:$Z83,MIN(Q$6-$E$3,22))&lt;&gt;""),Algodão!$E83:INDEX(Algodão!$E83:$Z83,MIN(Q$6-$E$3,22))),0))-IF($G$2,0,IF((Q$6-$G$3)&lt;1,0,IFERROR(LOOKUP(2,1/(Algodão!$E83:INDEX(Algodão!$E83:$Z83,MIN(Q$6-$G$3,22))&lt;&gt;""),Algodão!$E83:INDEX(Algodão!$E83:$Z83,MIN(Q$6-$G$3,22))),0)))))</f>
        <v>0</v>
      </c>
      <c r="R85" s="27" t="n">
        <f aca="false">IF(COUNT(Algodão!$E83:$Z83)=0,0,MAX(0,IF((R$6-$E$3)&lt;1,0,IFERROR(LOOKUP(2,1/(Algodão!$E83:INDEX(Algodão!$E83:$Z83,MIN(R$6-$E$3,22))&lt;&gt;""),Algodão!$E83:INDEX(Algodão!$E83:$Z83,MIN(R$6-$E$3,22))),0))-IF($G$2,0,IF((R$6-$G$3)&lt;1,0,IFERROR(LOOKUP(2,1/(Algodão!$E83:INDEX(Algodão!$E83:$Z83,MIN(R$6-$G$3,22))&lt;&gt;""),Algodão!$E83:INDEX(Algodão!$E83:$Z83,MIN(R$6-$G$3,22))),0)))))</f>
        <v>0</v>
      </c>
      <c r="S85" s="27" t="n">
        <f aca="false">IF(COUNT(Algodão!$E83:$Z83)=0,0,MAX(0,IF((S$6-$E$3)&lt;1,0,IFERROR(LOOKUP(2,1/(Algodão!$E83:INDEX(Algodão!$E83:$Z83,MIN(S$6-$E$3,22))&lt;&gt;""),Algodão!$E83:INDEX(Algodão!$E83:$Z83,MIN(S$6-$E$3,22))),0))-IF($G$2,0,IF((S$6-$G$3)&lt;1,0,IFERROR(LOOKUP(2,1/(Algodão!$E83:INDEX(Algodão!$E83:$Z83,MIN(S$6-$G$3,22))&lt;&gt;""),Algodão!$E83:INDEX(Algodão!$E83:$Z83,MIN(S$6-$G$3,22))),0)))))</f>
        <v>0</v>
      </c>
      <c r="T85" s="27" t="n">
        <f aca="false">IF(COUNT(Algodão!$E83:$Z83)=0,0,MAX(0,IF((T$6-$E$3)&lt;1,0,IFERROR(LOOKUP(2,1/(Algodão!$E83:INDEX(Algodão!$E83:$Z83,MIN(T$6-$E$3,22))&lt;&gt;""),Algodão!$E83:INDEX(Algodão!$E83:$Z83,MIN(T$6-$E$3,22))),0))-IF($G$2,0,IF((T$6-$G$3)&lt;1,0,IFERROR(LOOKUP(2,1/(Algodão!$E83:INDEX(Algodão!$E83:$Z83,MIN(T$6-$G$3,22))&lt;&gt;""),Algodão!$E83:INDEX(Algodão!$E83:$Z83,MIN(T$6-$G$3,22))),0)))))</f>
        <v>0</v>
      </c>
      <c r="U85" s="27" t="n">
        <f aca="false">IF(COUNT(Algodão!$E83:$Z83)=0,0,MAX(0,IF((U$6-$E$3)&lt;1,0,IFERROR(LOOKUP(2,1/(Algodão!$E83:INDEX(Algodão!$E83:$Z83,MIN(U$6-$E$3,22))&lt;&gt;""),Algodão!$E83:INDEX(Algodão!$E83:$Z83,MIN(U$6-$E$3,22))),0))-IF($G$2,0,IF((U$6-$G$3)&lt;1,0,IFERROR(LOOKUP(2,1/(Algodão!$E83:INDEX(Algodão!$E83:$Z83,MIN(U$6-$G$3,22))&lt;&gt;""),Algodão!$E83:INDEX(Algodão!$E83:$Z83,MIN(U$6-$G$3,22))),0)))))</f>
        <v>0</v>
      </c>
      <c r="V85" s="27" t="n">
        <f aca="false">IF(COUNT(Algodão!$E83:$Z83)=0,0,MAX(0,IF((V$6-$E$3)&lt;1,0,IFERROR(LOOKUP(2,1/(Algodão!$E83:INDEX(Algodão!$E83:$Z83,MIN(V$6-$E$3,22))&lt;&gt;""),Algodão!$E83:INDEX(Algodão!$E83:$Z83,MIN(V$6-$E$3,22))),0))-IF($G$2,0,IF((V$6-$G$3)&lt;1,0,IFERROR(LOOKUP(2,1/(Algodão!$E83:INDEX(Algodão!$E83:$Z83,MIN(V$6-$G$3,22))&lt;&gt;""),Algodão!$E83:INDEX(Algodão!$E83:$Z83,MIN(V$6-$G$3,22))),0)))))</f>
        <v>0</v>
      </c>
      <c r="W85" s="27" t="n">
        <f aca="false">IF(COUNT(Algodão!$E83:$Z83)=0,0,MAX(0,IF((W$6-$E$3)&lt;1,0,IFERROR(LOOKUP(2,1/(Algodão!$E83:INDEX(Algodão!$E83:$Z83,MIN(W$6-$E$3,22))&lt;&gt;""),Algodão!$E83:INDEX(Algodão!$E83:$Z83,MIN(W$6-$E$3,22))),0))-IF($G$2,0,IF((W$6-$G$3)&lt;1,0,IFERROR(LOOKUP(2,1/(Algodão!$E83:INDEX(Algodão!$E83:$Z83,MIN(W$6-$G$3,22))&lt;&gt;""),Algodão!$E83:INDEX(Algodão!$E83:$Z83,MIN(W$6-$G$3,22))),0)))))</f>
        <v>0</v>
      </c>
      <c r="X85" s="27" t="n">
        <f aca="false">IF(COUNT(Algodão!$E83:$Z83)=0,0,MAX(0,IF((X$6-$E$3)&lt;1,0,IFERROR(LOOKUP(2,1/(Algodão!$E83:INDEX(Algodão!$E83:$Z83,MIN(X$6-$E$3,22))&lt;&gt;""),Algodão!$E83:INDEX(Algodão!$E83:$Z83,MIN(X$6-$E$3,22))),0))-IF($G$2,0,IF((X$6-$G$3)&lt;1,0,IFERROR(LOOKUP(2,1/(Algodão!$E83:INDEX(Algodão!$E83:$Z83,MIN(X$6-$G$3,22))&lt;&gt;""),Algodão!$E83:INDEX(Algodão!$E83:$Z83,MIN(X$6-$G$3,22))),0)))))</f>
        <v>0</v>
      </c>
      <c r="Y85" s="27" t="n">
        <f aca="false">IF(COUNT(Algodão!$E83:$Z83)=0,0,MAX(0,IF((Y$6-$E$3)&lt;1,0,IFERROR(LOOKUP(2,1/(Algodão!$E83:INDEX(Algodão!$E83:$Z83,MIN(Y$6-$E$3,22))&lt;&gt;""),Algodão!$E83:INDEX(Algodão!$E83:$Z83,MIN(Y$6-$E$3,22))),0))-IF($G$2,0,IF((Y$6-$G$3)&lt;1,0,IFERROR(LOOKUP(2,1/(Algodão!$E83:INDEX(Algodão!$E83:$Z83,MIN(Y$6-$G$3,22))&lt;&gt;""),Algodão!$E83:INDEX(Algodão!$E83:$Z83,MIN(Y$6-$G$3,22))),0)))))</f>
        <v>0</v>
      </c>
      <c r="Z85" s="27" t="n">
        <f aca="false">IF(COUNT(Algodão!$E83:$Z83)=0,0,MAX(0,IF((Z$6-$E$3)&lt;1,0,IFERROR(LOOKUP(2,1/(Algodão!$E83:INDEX(Algodão!$E83:$Z83,MIN(Z$6-$E$3,22))&lt;&gt;""),Algodão!$E83:INDEX(Algodão!$E83:$Z83,MIN(Z$6-$E$3,22))),0))-IF($G$2,0,IF((Z$6-$G$3)&lt;1,0,IFERROR(LOOKUP(2,1/(Algodão!$E83:INDEX(Algodão!$E83:$Z83,MIN(Z$6-$G$3,22))&lt;&gt;""),Algodão!$E83:INDEX(Algodão!$E83:$Z83,MIN(Z$6-$G$3,22))),0)))))</f>
        <v>0</v>
      </c>
      <c r="AA85" s="27" t="n">
        <f aca="false">IF(COUNT(Algodão!$E83:$Z83)=0,0,MAX(0,IF((AA$6-$E$3)&lt;1,0,IFERROR(LOOKUP(2,1/(Algodão!$E83:INDEX(Algodão!$E83:$Z83,MIN(AA$6-$E$3,22))&lt;&gt;""),Algodão!$E83:INDEX(Algodão!$E83:$Z83,MIN(AA$6-$E$3,22))),0))-IF($G$2,0,IF((AA$6-$G$3)&lt;1,0,IFERROR(LOOKUP(2,1/(Algodão!$E83:INDEX(Algodão!$E83:$Z83,MIN(AA$6-$G$3,22))&lt;&gt;""),Algodão!$E83:INDEX(Algodão!$E83:$Z83,MIN(AA$6-$G$3,22))),0)))))</f>
        <v>0</v>
      </c>
      <c r="AB85" s="27" t="n">
        <f aca="false">IF(COUNT(Algodão!$E83:$Z83)=0,0,MAX(0,IF((AB$6-$E$3)&lt;1,0,IFERROR(LOOKUP(2,1/(Algodão!$E83:INDEX(Algodão!$E83:$Z83,MIN(AB$6-$E$3,22))&lt;&gt;""),Algodão!$E83:INDEX(Algodão!$E83:$Z83,MIN(AB$6-$E$3,22))),0))-IF($G$2,0,IF((AB$6-$G$3)&lt;1,0,IFERROR(LOOKUP(2,1/(Algodão!$E83:INDEX(Algodão!$E83:$Z83,MIN(AB$6-$G$3,22))&lt;&gt;""),Algodão!$E83:INDEX(Algodão!$E83:$Z83,MIN(AB$6-$G$3,22))),0)))))</f>
        <v>0</v>
      </c>
      <c r="AC85" s="27" t="n">
        <f aca="false">IF(COUNT(Algodão!$E83:$Z83)=0,0,MAX(0,IF((AC$6-$E$3)&lt;1,0,IFERROR(LOOKUP(2,1/(Algodão!$E83:INDEX(Algodão!$E83:$Z83,MIN(AC$6-$E$3,22))&lt;&gt;""),Algodão!$E83:INDEX(Algodão!$E83:$Z83,MIN(AC$6-$E$3,22))),0))-IF($G$2,0,IF((AC$6-$G$3)&lt;1,0,IFERROR(LOOKUP(2,1/(Algodão!$E83:INDEX(Algodão!$E83:$Z83,MIN(AC$6-$G$3,22))&lt;&gt;""),Algodão!$E83:INDEX(Algodão!$E83:$Z83,MIN(AC$6-$G$3,22))),0)))))</f>
        <v>0</v>
      </c>
      <c r="AD85" s="27" t="n">
        <f aca="false">IF(COUNT(Algodão!$E83:$Z83)=0,0,MAX(0,IF((AD$6-$E$3)&lt;1,0,IFERROR(LOOKUP(2,1/(Algodão!$E83:INDEX(Algodão!$E83:$Z83,MIN(AD$6-$E$3,22))&lt;&gt;""),Algodão!$E83:INDEX(Algodão!$E83:$Z83,MIN(AD$6-$E$3,22))),0))-IF($G$2,0,IF((AD$6-$G$3)&lt;1,0,IFERROR(LOOKUP(2,1/(Algodão!$E83:INDEX(Algodão!$E83:$Z83,MIN(AD$6-$G$3,22))&lt;&gt;""),Algodão!$E83:INDEX(Algodão!$E83:$Z83,MIN(AD$6-$G$3,22))),0)))))</f>
        <v>0</v>
      </c>
      <c r="AE85" s="27" t="n">
        <f aca="false">IF(COUNT(Algodão!$E83:$Z83)=0,0,MAX(0,IF((AE$6-$E$3)&lt;1,0,IFERROR(LOOKUP(2,1/(Algodão!$E83:INDEX(Algodão!$E83:$Z83,MIN(AE$6-$E$3,22))&lt;&gt;""),Algodão!$E83:INDEX(Algodão!$E83:$Z83,MIN(AE$6-$E$3,22))),0))-IF($G$2,0,IF((AE$6-$G$3)&lt;1,0,IFERROR(LOOKUP(2,1/(Algodão!$E83:INDEX(Algodão!$E83:$Z83,MIN(AE$6-$G$3,22))&lt;&gt;""),Algodão!$E83:INDEX(Algodão!$E83:$Z83,MIN(AE$6-$G$3,22))),0)))))</f>
        <v>0</v>
      </c>
      <c r="AF85" s="27" t="n">
        <f aca="false">IF(COUNT(Algodão!$E83:$Z83)=0,0,MAX(0,IF((AF$6-$E$3)&lt;1,0,IFERROR(LOOKUP(2,1/(Algodão!$E83:INDEX(Algodão!$E83:$Z83,MIN(AF$6-$E$3,22))&lt;&gt;""),Algodão!$E83:INDEX(Algodão!$E83:$Z83,MIN(AF$6-$E$3,22))),0))-IF($G$2,0,IF((AF$6-$G$3)&lt;1,0,IFERROR(LOOKUP(2,1/(Algodão!$E83:INDEX(Algodão!$E83:$Z83,MIN(AF$6-$G$3,22))&lt;&gt;""),Algodão!$E83:INDEX(Algodão!$E83:$Z83,MIN(AF$6-$G$3,22))),0)))))</f>
        <v>0</v>
      </c>
      <c r="AG85" s="27" t="n">
        <f aca="false">IF(COUNT(Algodão!$E83:$Z83)=0,0,MAX(0,IF((AG$6-$E$3)&lt;1,0,IFERROR(LOOKUP(2,1/(Algodão!$E83:INDEX(Algodão!$E83:$Z83,MIN(AG$6-$E$3,22))&lt;&gt;""),Algodão!$E83:INDEX(Algodão!$E83:$Z83,MIN(AG$6-$E$3,22))),0))-IF($G$2,0,IF((AG$6-$G$3)&lt;1,0,IFERROR(LOOKUP(2,1/(Algodão!$E83:INDEX(Algodão!$E83:$Z83,MIN(AG$6-$G$3,22))&lt;&gt;""),Algodão!$E83:INDEX(Algodão!$E83:$Z83,MIN(AG$6-$G$3,22))),0)))))</f>
        <v>0</v>
      </c>
      <c r="AH85" s="27" t="n">
        <f aca="false">IF(COUNT(Algodão!$E83:$Z83)=0,0,MAX(0,IF((AH$6-$E$3)&lt;1,0,IFERROR(LOOKUP(2,1/(Algodão!$E83:INDEX(Algodão!$E83:$Z83,MIN(AH$6-$E$3,22))&lt;&gt;""),Algodão!$E83:INDEX(Algodão!$E83:$Z83,MIN(AH$6-$E$3,22))),0))-IF($G$2,0,IF((AH$6-$G$3)&lt;1,0,IFERROR(LOOKUP(2,1/(Algodão!$E83:INDEX(Algodão!$E83:$Z83,MIN(AH$6-$G$3,22))&lt;&gt;""),Algodão!$E83:INDEX(Algodão!$E83:$Z83,MIN(AH$6-$G$3,22))),0)))))</f>
        <v>0</v>
      </c>
      <c r="AI85" s="27" t="n">
        <f aca="false">IF(COUNT(Algodão!$E83:$Z83)=0,0,MAX(0,IF((AI$6-$E$3)&lt;1,0,IFERROR(LOOKUP(2,1/(Algodão!$E83:INDEX(Algodão!$E83:$Z83,MIN(AI$6-$E$3,22))&lt;&gt;""),Algodão!$E83:INDEX(Algodão!$E83:$Z83,MIN(AI$6-$E$3,22))),0))-IF($G$2,0,IF((AI$6-$G$3)&lt;1,0,IFERROR(LOOKUP(2,1/(Algodão!$E83:INDEX(Algodão!$E83:$Z83,MIN(AI$6-$G$3,22))&lt;&gt;""),Algodão!$E83:INDEX(Algodão!$E83:$Z83,MIN(AI$6-$G$3,22))),0)))))</f>
        <v>0</v>
      </c>
      <c r="AJ85" s="27" t="n">
        <f aca="false">IF(COUNT(Algodão!$E83:$Z83)=0,0,MAX(0,IF((AJ$6-$E$3)&lt;1,0,IFERROR(LOOKUP(2,1/(Algodão!$E83:INDEX(Algodão!$E83:$Z83,MIN(AJ$6-$E$3,22))&lt;&gt;""),Algodão!$E83:INDEX(Algodão!$E83:$Z83,MIN(AJ$6-$E$3,22))),0))-IF($G$2,0,IF((AJ$6-$G$3)&lt;1,0,IFERROR(LOOKUP(2,1/(Algodão!$E83:INDEX(Algodão!$E83:$Z83,MIN(AJ$6-$G$3,22))&lt;&gt;""),Algodão!$E83:INDEX(Algodão!$E83:$Z83,MIN(AJ$6-$G$3,22))),0)))))</f>
        <v>0</v>
      </c>
      <c r="AK85" s="27" t="n">
        <f aca="false">IF(COUNT(Algodão!$E83:$Z83)=0,0,MAX(0,IF((AK$6-$E$3)&lt;1,0,IFERROR(LOOKUP(2,1/(Algodão!$E83:INDEX(Algodão!$E83:$Z83,MIN(AK$6-$E$3,22))&lt;&gt;""),Algodão!$E83:INDEX(Algodão!$E83:$Z83,MIN(AK$6-$E$3,22))),0))-IF($G$2,0,IF((AK$6-$G$3)&lt;1,0,IFERROR(LOOKUP(2,1/(Algodão!$E83:INDEX(Algodão!$E83:$Z83,MIN(AK$6-$G$3,22))&lt;&gt;""),Algodão!$E83:INDEX(Algodão!$E83:$Z83,MIN(AK$6-$G$3,22))),0)))))</f>
        <v>0</v>
      </c>
      <c r="AL85" s="27" t="n">
        <f aca="false">IF(COUNT(Algodão!$E83:$Z83)=0,0,MAX(0,IF((AL$6-$E$3)&lt;1,0,IFERROR(LOOKUP(2,1/(Algodão!$E83:INDEX(Algodão!$E83:$Z83,MIN(AL$6-$E$3,22))&lt;&gt;""),Algodão!$E83:INDEX(Algodão!$E83:$Z83,MIN(AL$6-$E$3,22))),0))-IF($G$2,0,IF((AL$6-$G$3)&lt;1,0,IFERROR(LOOKUP(2,1/(Algodão!$E83:INDEX(Algodão!$E83:$Z83,MIN(AL$6-$G$3,22))&lt;&gt;""),Algodão!$E83:INDEX(Algodão!$E83:$Z83,MIN(AL$6-$G$3,22))),0)))))</f>
        <v>0</v>
      </c>
      <c r="AM85" s="27" t="n">
        <f aca="false">IF(COUNT(Algodão!$E83:$Z83)=0,0,MAX(0,IF((AM$6-$E$3)&lt;1,0,IFERROR(LOOKUP(2,1/(Algodão!$E83:INDEX(Algodão!$E83:$Z83,MIN(AM$6-$E$3,22))&lt;&gt;""),Algodão!$E83:INDEX(Algodão!$E83:$Z83,MIN(AM$6-$E$3,22))),0))-IF($G$2,0,IF((AM$6-$G$3)&lt;1,0,IFERROR(LOOKUP(2,1/(Algodão!$E83:INDEX(Algodão!$E83:$Z83,MIN(AM$6-$G$3,22))&lt;&gt;""),Algodão!$E83:INDEX(Algodão!$E83:$Z83,MIN(AM$6-$G$3,22))),0)))))</f>
        <v>0</v>
      </c>
      <c r="AN85" s="27" t="n">
        <f aca="false">IF(COUNT(Algodão!$E83:$Z83)=0,0,MAX(0,IF((AN$6-$E$3)&lt;1,0,IFERROR(LOOKUP(2,1/(Algodão!$E83:INDEX(Algodão!$E83:$Z83,MIN(AN$6-$E$3,22))&lt;&gt;""),Algodão!$E83:INDEX(Algodão!$E83:$Z83,MIN(AN$6-$E$3,22))),0))-IF($G$2,0,IF((AN$6-$G$3)&lt;1,0,IFERROR(LOOKUP(2,1/(Algodão!$E83:INDEX(Algodão!$E83:$Z83,MIN(AN$6-$G$3,22))&lt;&gt;""),Algodão!$E83:INDEX(Algodão!$E83:$Z83,MIN(AN$6-$G$3,22))),0)))))</f>
        <v>0</v>
      </c>
      <c r="AO85" s="27" t="n">
        <f aca="false">IF(COUNT(Algodão!$E83:$Z83)=0,0,MAX(0,IF((AO$6-$E$3)&lt;1,0,IFERROR(LOOKUP(2,1/(Algodão!$E83:INDEX(Algodão!$E83:$Z83,MIN(AO$6-$E$3,22))&lt;&gt;""),Algodão!$E83:INDEX(Algodão!$E83:$Z83,MIN(AO$6-$E$3,22))),0))-IF($G$2,0,IF((AO$6-$G$3)&lt;1,0,IFERROR(LOOKUP(2,1/(Algodão!$E83:INDEX(Algodão!$E83:$Z83,MIN(AO$6-$G$3,22))&lt;&gt;""),Algodão!$E83:INDEX(Algodão!$E83:$Z83,MIN(AO$6-$G$3,22))),0)))))</f>
        <v>0</v>
      </c>
      <c r="AP85" s="27" t="n">
        <f aca="false">IF(COUNT(Algodão!$E83:$Z83)=0,0,MAX(0,IF((AP$6-$E$3)&lt;1,0,IFERROR(LOOKUP(2,1/(Algodão!$E83:INDEX(Algodão!$E83:$Z83,MIN(AP$6-$E$3,22))&lt;&gt;""),Algodão!$E83:INDEX(Algodão!$E83:$Z83,MIN(AP$6-$E$3,22))),0))-IF($G$2,0,IF((AP$6-$G$3)&lt;1,0,IFERROR(LOOKUP(2,1/(Algodão!$E83:INDEX(Algodão!$E83:$Z83,MIN(AP$6-$G$3,22))&lt;&gt;""),Algodão!$E83:INDEX(Algodão!$E83:$Z83,MIN(AP$6-$G$3,22))),0)))))</f>
        <v>0</v>
      </c>
      <c r="AQ85" s="27" t="n">
        <f aca="false">IF(COUNT(Algodão!$E83:$Z83)=0,0,MAX(0,IF((AQ$6-$E$3)&lt;1,0,IFERROR(LOOKUP(2,1/(Algodão!$E83:INDEX(Algodão!$E83:$Z83,MIN(AQ$6-$E$3,22))&lt;&gt;""),Algodão!$E83:INDEX(Algodão!$E83:$Z83,MIN(AQ$6-$E$3,22))),0))-IF($G$2,0,IF((AQ$6-$G$3)&lt;1,0,IFERROR(LOOKUP(2,1/(Algodão!$E83:INDEX(Algodão!$E83:$Z83,MIN(AQ$6-$G$3,22))&lt;&gt;""),Algodão!$E83:INDEX(Algodão!$E83:$Z83,MIN(AQ$6-$G$3,22))),0)))))</f>
        <v>0</v>
      </c>
      <c r="AR85" s="27" t="n">
        <f aca="false">IF(COUNT(Algodão!$E83:$Z83)=0,0,MAX(0,IF((AR$6-$E$3)&lt;1,0,IFERROR(LOOKUP(2,1/(Algodão!$E83:INDEX(Algodão!$E83:$Z83,MIN(AR$6-$E$3,22))&lt;&gt;""),Algodão!$E83:INDEX(Algodão!$E83:$Z83,MIN(AR$6-$E$3,22))),0))-IF($G$2,0,IF((AR$6-$G$3)&lt;1,0,IFERROR(LOOKUP(2,1/(Algodão!$E83:INDEX(Algodão!$E83:$Z83,MIN(AR$6-$G$3,22))&lt;&gt;""),Algodão!$E83:INDEX(Algodão!$E83:$Z83,MIN(AR$6-$G$3,22))),0)))))</f>
        <v>0</v>
      </c>
      <c r="AS85" s="27" t="n">
        <f aca="false">IF(COUNT(Algodão!$E83:$Z83)=0,0,MAX(0,IF((AS$6-$E$3)&lt;1,0,IFERROR(LOOKUP(2,1/(Algodão!$E83:INDEX(Algodão!$E83:$Z83,MIN(AS$6-$E$3,22))&lt;&gt;""),Algodão!$E83:INDEX(Algodão!$E83:$Z83,MIN(AS$6-$E$3,22))),0))-IF($G$2,0,IF((AS$6-$G$3)&lt;1,0,IFERROR(LOOKUP(2,1/(Algodão!$E83:INDEX(Algodão!$E83:$Z83,MIN(AS$6-$G$3,22))&lt;&gt;""),Algodão!$E83:INDEX(Algodão!$E83:$Z83,MIN(AS$6-$G$3,22))),0)))))</f>
        <v>0</v>
      </c>
      <c r="AT85" s="27" t="n">
        <f aca="false">IF(COUNT(Algodão!$E83:$Z83)=0,0,MAX(0,IF((AT$6-$E$3)&lt;1,0,IFERROR(LOOKUP(2,1/(Algodão!$E83:INDEX(Algodão!$E83:$Z83,MIN(AT$6-$E$3,22))&lt;&gt;""),Algodão!$E83:INDEX(Algodão!$E83:$Z83,MIN(AT$6-$E$3,22))),0))-IF($G$2,0,IF((AT$6-$G$3)&lt;1,0,IFERROR(LOOKUP(2,1/(Algodão!$E83:INDEX(Algodão!$E83:$Z83,MIN(AT$6-$G$3,22))&lt;&gt;""),Algodão!$E83:INDEX(Algodão!$E83:$Z83,MIN(AT$6-$G$3,22))),0)))))</f>
        <v>0</v>
      </c>
      <c r="AU85" s="27" t="n">
        <f aca="false">IF(COUNT(Algodão!$E83:$Z83)=0,0,MAX(0,IF((AU$6-$E$3)&lt;1,0,IFERROR(LOOKUP(2,1/(Algodão!$E83:INDEX(Algodão!$E83:$Z83,MIN(AU$6-$E$3,22))&lt;&gt;""),Algodão!$E83:INDEX(Algodão!$E83:$Z83,MIN(AU$6-$E$3,22))),0))-IF($G$2,0,IF((AU$6-$G$3)&lt;1,0,IFERROR(LOOKUP(2,1/(Algodão!$E83:INDEX(Algodão!$E83:$Z83,MIN(AU$6-$G$3,22))&lt;&gt;""),Algodão!$E83:INDEX(Algodão!$E83:$Z83,MIN(AU$6-$G$3,22))),0)))))</f>
        <v>0</v>
      </c>
      <c r="AV85" s="27" t="n">
        <f aca="false">IF(COUNT(Algodão!$E83:$Z83)=0,0,MAX(0,IF((AV$6-$E$3)&lt;1,0,IFERROR(LOOKUP(2,1/(Algodão!$E83:INDEX(Algodão!$E83:$Z83,MIN(AV$6-$E$3,22))&lt;&gt;""),Algodão!$E83:INDEX(Algodão!$E83:$Z83,MIN(AV$6-$E$3,22))),0))-IF($G$2,0,IF((AV$6-$G$3)&lt;1,0,IFERROR(LOOKUP(2,1/(Algodão!$E83:INDEX(Algodão!$E83:$Z83,MIN(AV$6-$G$3,22))&lt;&gt;""),Algodão!$E83:INDEX(Algodão!$E83:$Z83,MIN(AV$6-$G$3,22))),0)))))</f>
        <v>0</v>
      </c>
      <c r="AW85" s="27" t="n">
        <f aca="false">IF(COUNT(Algodão!$E83:$Z83)=0,0,MAX(0,IF((AW$6-$E$3)&lt;1,0,IFERROR(LOOKUP(2,1/(Algodão!$E83:INDEX(Algodão!$E83:$Z83,MIN(AW$6-$E$3,22))&lt;&gt;""),Algodão!$E83:INDEX(Algodão!$E83:$Z83,MIN(AW$6-$E$3,22))),0))-IF($G$2,0,IF((AW$6-$G$3)&lt;1,0,IFERROR(LOOKUP(2,1/(Algodão!$E83:INDEX(Algodão!$E83:$Z83,MIN(AW$6-$G$3,22))&lt;&gt;""),Algodão!$E83:INDEX(Algodão!$E83:$Z83,MIN(AW$6-$G$3,22))),0)))))</f>
        <v>0</v>
      </c>
      <c r="AX85" s="27" t="n">
        <f aca="false">IF(COUNT(Algodão!$E83:$Z83)=0,0,MAX(0,IF((AX$6-$E$3)&lt;1,0,IFERROR(LOOKUP(2,1/(Algodão!$E83:INDEX(Algodão!$E83:$Z83,MIN(AX$6-$E$3,22))&lt;&gt;""),Algodão!$E83:INDEX(Algodão!$E83:$Z83,MIN(AX$6-$E$3,22))),0))-IF($G$2,0,IF((AX$6-$G$3)&lt;1,0,IFERROR(LOOKUP(2,1/(Algodão!$E83:INDEX(Algodão!$E83:$Z83,MIN(AX$6-$G$3,22))&lt;&gt;""),Algodão!$E83:INDEX(Algodão!$E83:$Z83,MIN(AX$6-$G$3,22))),0)))))</f>
        <v>0</v>
      </c>
      <c r="AY85" s="27" t="n">
        <f aca="false">IF(COUNT(Algodão!$E83:$Z83)=0,0,MAX(0,IF((AY$6-$E$3)&lt;1,0,IFERROR(LOOKUP(2,1/(Algodão!$E83:INDEX(Algodão!$E83:$Z83,MIN(AY$6-$E$3,22))&lt;&gt;""),Algodão!$E83:INDEX(Algodão!$E83:$Z83,MIN(AY$6-$E$3,22))),0))-IF($G$2,0,IF((AY$6-$G$3)&lt;1,0,IFERROR(LOOKUP(2,1/(Algodão!$E83:INDEX(Algodão!$E83:$Z83,MIN(AY$6-$G$3,22))&lt;&gt;""),Algodão!$E83:INDEX(Algodão!$E83:$Z83,MIN(AY$6-$G$3,22))),0)))))</f>
        <v>0</v>
      </c>
      <c r="AZ85" s="27" t="n">
        <f aca="false">IF(COUNT(Algodão!$E83:$Z83)=0,0,MAX(0,IF((AZ$6-$E$3)&lt;1,0,IFERROR(LOOKUP(2,1/(Algodão!$E83:INDEX(Algodão!$E83:$Z83,MIN(AZ$6-$E$3,22))&lt;&gt;""),Algodão!$E83:INDEX(Algodão!$E83:$Z83,MIN(AZ$6-$E$3,22))),0))-IF($G$2,0,IF((AZ$6-$G$3)&lt;1,0,IFERROR(LOOKUP(2,1/(Algodão!$E83:INDEX(Algodão!$E83:$Z83,MIN(AZ$6-$G$3,22))&lt;&gt;""),Algodão!$E83:INDEX(Algodão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IF(COUNT(Algodão!$E84:$Z84)&gt;0,N(Algodão!$D84),0)</f>
        <v>0</v>
      </c>
      <c r="E86" s="27" t="n">
        <f aca="false">IF(COUNT(Algodão!$E84:$Z84)=0,0,MAX(0,IF((E$6-$E$3)&lt;1,0,IFERROR(LOOKUP(2,1/(Algodão!$E84:INDEX(Algodão!$E84:$Z84,MIN(E$6-$E$3,22))&lt;&gt;""),Algodão!$E84:INDEX(Algodão!$E84:$Z84,MIN(E$6-$E$3,22))),0))-IF($G$2,0,IF((E$6-$G$3)&lt;1,0,IFERROR(LOOKUP(2,1/(Algodão!$E84:INDEX(Algodão!$E84:$Z84,MIN(E$6-$G$3,22))&lt;&gt;""),Algodão!$E84:INDEX(Algodão!$E84:$Z84,MIN(E$6-$G$3,22))),0)))))</f>
        <v>0</v>
      </c>
      <c r="F86" s="27" t="n">
        <f aca="false">IF(COUNT(Algodão!$E84:$Z84)=0,0,MAX(0,IF((F$6-$E$3)&lt;1,0,IFERROR(LOOKUP(2,1/(Algodão!$E84:INDEX(Algodão!$E84:$Z84,MIN(F$6-$E$3,22))&lt;&gt;""),Algodão!$E84:INDEX(Algodão!$E84:$Z84,MIN(F$6-$E$3,22))),0))-IF($G$2,0,IF((F$6-$G$3)&lt;1,0,IFERROR(LOOKUP(2,1/(Algodão!$E84:INDEX(Algodão!$E84:$Z84,MIN(F$6-$G$3,22))&lt;&gt;""),Algodão!$E84:INDEX(Algodão!$E84:$Z84,MIN(F$6-$G$3,22))),0)))))</f>
        <v>0</v>
      </c>
      <c r="G86" s="27" t="n">
        <f aca="false">IF(COUNT(Algodão!$E84:$Z84)=0,0,MAX(0,IF((G$6-$E$3)&lt;1,0,IFERROR(LOOKUP(2,1/(Algodão!$E84:INDEX(Algodão!$E84:$Z84,MIN(G$6-$E$3,22))&lt;&gt;""),Algodão!$E84:INDEX(Algodão!$E84:$Z84,MIN(G$6-$E$3,22))),0))-IF($G$2,0,IF((G$6-$G$3)&lt;1,0,IFERROR(LOOKUP(2,1/(Algodão!$E84:INDEX(Algodão!$E84:$Z84,MIN(G$6-$G$3,22))&lt;&gt;""),Algodão!$E84:INDEX(Algodão!$E84:$Z84,MIN(G$6-$G$3,22))),0)))))</f>
        <v>0</v>
      </c>
      <c r="H86" s="27" t="n">
        <f aca="false">IF(COUNT(Algodão!$E84:$Z84)=0,0,MAX(0,IF((H$6-$E$3)&lt;1,0,IFERROR(LOOKUP(2,1/(Algodão!$E84:INDEX(Algodão!$E84:$Z84,MIN(H$6-$E$3,22))&lt;&gt;""),Algodão!$E84:INDEX(Algodão!$E84:$Z84,MIN(H$6-$E$3,22))),0))-IF($G$2,0,IF((H$6-$G$3)&lt;1,0,IFERROR(LOOKUP(2,1/(Algodão!$E84:INDEX(Algodão!$E84:$Z84,MIN(H$6-$G$3,22))&lt;&gt;""),Algodão!$E84:INDEX(Algodão!$E84:$Z84,MIN(H$6-$G$3,22))),0)))))</f>
        <v>0</v>
      </c>
      <c r="I86" s="27" t="n">
        <f aca="false">IF(COUNT(Algodão!$E84:$Z84)=0,0,MAX(0,IF((I$6-$E$3)&lt;1,0,IFERROR(LOOKUP(2,1/(Algodão!$E84:INDEX(Algodão!$E84:$Z84,MIN(I$6-$E$3,22))&lt;&gt;""),Algodão!$E84:INDEX(Algodão!$E84:$Z84,MIN(I$6-$E$3,22))),0))-IF($G$2,0,IF((I$6-$G$3)&lt;1,0,IFERROR(LOOKUP(2,1/(Algodão!$E84:INDEX(Algodão!$E84:$Z84,MIN(I$6-$G$3,22))&lt;&gt;""),Algodão!$E84:INDEX(Algodão!$E84:$Z84,MIN(I$6-$G$3,22))),0)))))</f>
        <v>0</v>
      </c>
      <c r="J86" s="27" t="n">
        <f aca="false">IF(COUNT(Algodão!$E84:$Z84)=0,0,MAX(0,IF((J$6-$E$3)&lt;1,0,IFERROR(LOOKUP(2,1/(Algodão!$E84:INDEX(Algodão!$E84:$Z84,MIN(J$6-$E$3,22))&lt;&gt;""),Algodão!$E84:INDEX(Algodão!$E84:$Z84,MIN(J$6-$E$3,22))),0))-IF($G$2,0,IF((J$6-$G$3)&lt;1,0,IFERROR(LOOKUP(2,1/(Algodão!$E84:INDEX(Algodão!$E84:$Z84,MIN(J$6-$G$3,22))&lt;&gt;""),Algodão!$E84:INDEX(Algodão!$E84:$Z84,MIN(J$6-$G$3,22))),0)))))</f>
        <v>0</v>
      </c>
      <c r="K86" s="27" t="n">
        <f aca="false">IF(COUNT(Algodão!$E84:$Z84)=0,0,MAX(0,IF((K$6-$E$3)&lt;1,0,IFERROR(LOOKUP(2,1/(Algodão!$E84:INDEX(Algodão!$E84:$Z84,MIN(K$6-$E$3,22))&lt;&gt;""),Algodão!$E84:INDEX(Algodão!$E84:$Z84,MIN(K$6-$E$3,22))),0))-IF($G$2,0,IF((K$6-$G$3)&lt;1,0,IFERROR(LOOKUP(2,1/(Algodão!$E84:INDEX(Algodão!$E84:$Z84,MIN(K$6-$G$3,22))&lt;&gt;""),Algodão!$E84:INDEX(Algodão!$E84:$Z84,MIN(K$6-$G$3,22))),0)))))</f>
        <v>0</v>
      </c>
      <c r="L86" s="27" t="n">
        <f aca="false">IF(COUNT(Algodão!$E84:$Z84)=0,0,MAX(0,IF((L$6-$E$3)&lt;1,0,IFERROR(LOOKUP(2,1/(Algodão!$E84:INDEX(Algodão!$E84:$Z84,MIN(L$6-$E$3,22))&lt;&gt;""),Algodão!$E84:INDEX(Algodão!$E84:$Z84,MIN(L$6-$E$3,22))),0))-IF($G$2,0,IF((L$6-$G$3)&lt;1,0,IFERROR(LOOKUP(2,1/(Algodão!$E84:INDEX(Algodão!$E84:$Z84,MIN(L$6-$G$3,22))&lt;&gt;""),Algodão!$E84:INDEX(Algodão!$E84:$Z84,MIN(L$6-$G$3,22))),0)))))</f>
        <v>0</v>
      </c>
      <c r="M86" s="27" t="n">
        <f aca="false">IF(COUNT(Algodão!$E84:$Z84)=0,0,MAX(0,IF((M$6-$E$3)&lt;1,0,IFERROR(LOOKUP(2,1/(Algodão!$E84:INDEX(Algodão!$E84:$Z84,MIN(M$6-$E$3,22))&lt;&gt;""),Algodão!$E84:INDEX(Algodão!$E84:$Z84,MIN(M$6-$E$3,22))),0))-IF($G$2,0,IF((M$6-$G$3)&lt;1,0,IFERROR(LOOKUP(2,1/(Algodão!$E84:INDEX(Algodão!$E84:$Z84,MIN(M$6-$G$3,22))&lt;&gt;""),Algodão!$E84:INDEX(Algodão!$E84:$Z84,MIN(M$6-$G$3,22))),0)))))</f>
        <v>0</v>
      </c>
      <c r="N86" s="27" t="n">
        <f aca="false">IF(COUNT(Algodão!$E84:$Z84)=0,0,MAX(0,IF((N$6-$E$3)&lt;1,0,IFERROR(LOOKUP(2,1/(Algodão!$E84:INDEX(Algodão!$E84:$Z84,MIN(N$6-$E$3,22))&lt;&gt;""),Algodão!$E84:INDEX(Algodão!$E84:$Z84,MIN(N$6-$E$3,22))),0))-IF($G$2,0,IF((N$6-$G$3)&lt;1,0,IFERROR(LOOKUP(2,1/(Algodão!$E84:INDEX(Algodão!$E84:$Z84,MIN(N$6-$G$3,22))&lt;&gt;""),Algodão!$E84:INDEX(Algodão!$E84:$Z84,MIN(N$6-$G$3,22))),0)))))</f>
        <v>0</v>
      </c>
      <c r="O86" s="27" t="n">
        <f aca="false">IF(COUNT(Algodão!$E84:$Z84)=0,0,MAX(0,IF((O$6-$E$3)&lt;1,0,IFERROR(LOOKUP(2,1/(Algodão!$E84:INDEX(Algodão!$E84:$Z84,MIN(O$6-$E$3,22))&lt;&gt;""),Algodão!$E84:INDEX(Algodão!$E84:$Z84,MIN(O$6-$E$3,22))),0))-IF($G$2,0,IF((O$6-$G$3)&lt;1,0,IFERROR(LOOKUP(2,1/(Algodão!$E84:INDEX(Algodão!$E84:$Z84,MIN(O$6-$G$3,22))&lt;&gt;""),Algodão!$E84:INDEX(Algodão!$E84:$Z84,MIN(O$6-$G$3,22))),0)))))</f>
        <v>0</v>
      </c>
      <c r="P86" s="27" t="n">
        <f aca="false">IF(COUNT(Algodão!$E84:$Z84)=0,0,MAX(0,IF((P$6-$E$3)&lt;1,0,IFERROR(LOOKUP(2,1/(Algodão!$E84:INDEX(Algodão!$E84:$Z84,MIN(P$6-$E$3,22))&lt;&gt;""),Algodão!$E84:INDEX(Algodão!$E84:$Z84,MIN(P$6-$E$3,22))),0))-IF($G$2,0,IF((P$6-$G$3)&lt;1,0,IFERROR(LOOKUP(2,1/(Algodão!$E84:INDEX(Algodão!$E84:$Z84,MIN(P$6-$G$3,22))&lt;&gt;""),Algodão!$E84:INDEX(Algodão!$E84:$Z84,MIN(P$6-$G$3,22))),0)))))</f>
        <v>0</v>
      </c>
      <c r="Q86" s="27" t="n">
        <f aca="false">IF(COUNT(Algodão!$E84:$Z84)=0,0,MAX(0,IF((Q$6-$E$3)&lt;1,0,IFERROR(LOOKUP(2,1/(Algodão!$E84:INDEX(Algodão!$E84:$Z84,MIN(Q$6-$E$3,22))&lt;&gt;""),Algodão!$E84:INDEX(Algodão!$E84:$Z84,MIN(Q$6-$E$3,22))),0))-IF($G$2,0,IF((Q$6-$G$3)&lt;1,0,IFERROR(LOOKUP(2,1/(Algodão!$E84:INDEX(Algodão!$E84:$Z84,MIN(Q$6-$G$3,22))&lt;&gt;""),Algodão!$E84:INDEX(Algodão!$E84:$Z84,MIN(Q$6-$G$3,22))),0)))))</f>
        <v>0</v>
      </c>
      <c r="R86" s="27" t="n">
        <f aca="false">IF(COUNT(Algodão!$E84:$Z84)=0,0,MAX(0,IF((R$6-$E$3)&lt;1,0,IFERROR(LOOKUP(2,1/(Algodão!$E84:INDEX(Algodão!$E84:$Z84,MIN(R$6-$E$3,22))&lt;&gt;""),Algodão!$E84:INDEX(Algodão!$E84:$Z84,MIN(R$6-$E$3,22))),0))-IF($G$2,0,IF((R$6-$G$3)&lt;1,0,IFERROR(LOOKUP(2,1/(Algodão!$E84:INDEX(Algodão!$E84:$Z84,MIN(R$6-$G$3,22))&lt;&gt;""),Algodão!$E84:INDEX(Algodão!$E84:$Z84,MIN(R$6-$G$3,22))),0)))))</f>
        <v>0</v>
      </c>
      <c r="S86" s="27" t="n">
        <f aca="false">IF(COUNT(Algodão!$E84:$Z84)=0,0,MAX(0,IF((S$6-$E$3)&lt;1,0,IFERROR(LOOKUP(2,1/(Algodão!$E84:INDEX(Algodão!$E84:$Z84,MIN(S$6-$E$3,22))&lt;&gt;""),Algodão!$E84:INDEX(Algodão!$E84:$Z84,MIN(S$6-$E$3,22))),0))-IF($G$2,0,IF((S$6-$G$3)&lt;1,0,IFERROR(LOOKUP(2,1/(Algodão!$E84:INDEX(Algodão!$E84:$Z84,MIN(S$6-$G$3,22))&lt;&gt;""),Algodão!$E84:INDEX(Algodão!$E84:$Z84,MIN(S$6-$G$3,22))),0)))))</f>
        <v>0</v>
      </c>
      <c r="T86" s="27" t="n">
        <f aca="false">IF(COUNT(Algodão!$E84:$Z84)=0,0,MAX(0,IF((T$6-$E$3)&lt;1,0,IFERROR(LOOKUP(2,1/(Algodão!$E84:INDEX(Algodão!$E84:$Z84,MIN(T$6-$E$3,22))&lt;&gt;""),Algodão!$E84:INDEX(Algodão!$E84:$Z84,MIN(T$6-$E$3,22))),0))-IF($G$2,0,IF((T$6-$G$3)&lt;1,0,IFERROR(LOOKUP(2,1/(Algodão!$E84:INDEX(Algodão!$E84:$Z84,MIN(T$6-$G$3,22))&lt;&gt;""),Algodão!$E84:INDEX(Algodão!$E84:$Z84,MIN(T$6-$G$3,22))),0)))))</f>
        <v>0</v>
      </c>
      <c r="U86" s="27" t="n">
        <f aca="false">IF(COUNT(Algodão!$E84:$Z84)=0,0,MAX(0,IF((U$6-$E$3)&lt;1,0,IFERROR(LOOKUP(2,1/(Algodão!$E84:INDEX(Algodão!$E84:$Z84,MIN(U$6-$E$3,22))&lt;&gt;""),Algodão!$E84:INDEX(Algodão!$E84:$Z84,MIN(U$6-$E$3,22))),0))-IF($G$2,0,IF((U$6-$G$3)&lt;1,0,IFERROR(LOOKUP(2,1/(Algodão!$E84:INDEX(Algodão!$E84:$Z84,MIN(U$6-$G$3,22))&lt;&gt;""),Algodão!$E84:INDEX(Algodão!$E84:$Z84,MIN(U$6-$G$3,22))),0)))))</f>
        <v>0</v>
      </c>
      <c r="V86" s="27" t="n">
        <f aca="false">IF(COUNT(Algodão!$E84:$Z84)=0,0,MAX(0,IF((V$6-$E$3)&lt;1,0,IFERROR(LOOKUP(2,1/(Algodão!$E84:INDEX(Algodão!$E84:$Z84,MIN(V$6-$E$3,22))&lt;&gt;""),Algodão!$E84:INDEX(Algodão!$E84:$Z84,MIN(V$6-$E$3,22))),0))-IF($G$2,0,IF((V$6-$G$3)&lt;1,0,IFERROR(LOOKUP(2,1/(Algodão!$E84:INDEX(Algodão!$E84:$Z84,MIN(V$6-$G$3,22))&lt;&gt;""),Algodão!$E84:INDEX(Algodão!$E84:$Z84,MIN(V$6-$G$3,22))),0)))))</f>
        <v>0</v>
      </c>
      <c r="W86" s="27" t="n">
        <f aca="false">IF(COUNT(Algodão!$E84:$Z84)=0,0,MAX(0,IF((W$6-$E$3)&lt;1,0,IFERROR(LOOKUP(2,1/(Algodão!$E84:INDEX(Algodão!$E84:$Z84,MIN(W$6-$E$3,22))&lt;&gt;""),Algodão!$E84:INDEX(Algodão!$E84:$Z84,MIN(W$6-$E$3,22))),0))-IF($G$2,0,IF((W$6-$G$3)&lt;1,0,IFERROR(LOOKUP(2,1/(Algodão!$E84:INDEX(Algodão!$E84:$Z84,MIN(W$6-$G$3,22))&lt;&gt;""),Algodão!$E84:INDEX(Algodão!$E84:$Z84,MIN(W$6-$G$3,22))),0)))))</f>
        <v>0</v>
      </c>
      <c r="X86" s="27" t="n">
        <f aca="false">IF(COUNT(Algodão!$E84:$Z84)=0,0,MAX(0,IF((X$6-$E$3)&lt;1,0,IFERROR(LOOKUP(2,1/(Algodão!$E84:INDEX(Algodão!$E84:$Z84,MIN(X$6-$E$3,22))&lt;&gt;""),Algodão!$E84:INDEX(Algodão!$E84:$Z84,MIN(X$6-$E$3,22))),0))-IF($G$2,0,IF((X$6-$G$3)&lt;1,0,IFERROR(LOOKUP(2,1/(Algodão!$E84:INDEX(Algodão!$E84:$Z84,MIN(X$6-$G$3,22))&lt;&gt;""),Algodão!$E84:INDEX(Algodão!$E84:$Z84,MIN(X$6-$G$3,22))),0)))))</f>
        <v>0</v>
      </c>
      <c r="Y86" s="27" t="n">
        <f aca="false">IF(COUNT(Algodão!$E84:$Z84)=0,0,MAX(0,IF((Y$6-$E$3)&lt;1,0,IFERROR(LOOKUP(2,1/(Algodão!$E84:INDEX(Algodão!$E84:$Z84,MIN(Y$6-$E$3,22))&lt;&gt;""),Algodão!$E84:INDEX(Algodão!$E84:$Z84,MIN(Y$6-$E$3,22))),0))-IF($G$2,0,IF((Y$6-$G$3)&lt;1,0,IFERROR(LOOKUP(2,1/(Algodão!$E84:INDEX(Algodão!$E84:$Z84,MIN(Y$6-$G$3,22))&lt;&gt;""),Algodão!$E84:INDEX(Algodão!$E84:$Z84,MIN(Y$6-$G$3,22))),0)))))</f>
        <v>0</v>
      </c>
      <c r="Z86" s="27" t="n">
        <f aca="false">IF(COUNT(Algodão!$E84:$Z84)=0,0,MAX(0,IF((Z$6-$E$3)&lt;1,0,IFERROR(LOOKUP(2,1/(Algodão!$E84:INDEX(Algodão!$E84:$Z84,MIN(Z$6-$E$3,22))&lt;&gt;""),Algodão!$E84:INDEX(Algodão!$E84:$Z84,MIN(Z$6-$E$3,22))),0))-IF($G$2,0,IF((Z$6-$G$3)&lt;1,0,IFERROR(LOOKUP(2,1/(Algodão!$E84:INDEX(Algodão!$E84:$Z84,MIN(Z$6-$G$3,22))&lt;&gt;""),Algodão!$E84:INDEX(Algodão!$E84:$Z84,MIN(Z$6-$G$3,22))),0)))))</f>
        <v>0</v>
      </c>
      <c r="AA86" s="27" t="n">
        <f aca="false">IF(COUNT(Algodão!$E84:$Z84)=0,0,MAX(0,IF((AA$6-$E$3)&lt;1,0,IFERROR(LOOKUP(2,1/(Algodão!$E84:INDEX(Algodão!$E84:$Z84,MIN(AA$6-$E$3,22))&lt;&gt;""),Algodão!$E84:INDEX(Algodão!$E84:$Z84,MIN(AA$6-$E$3,22))),0))-IF($G$2,0,IF((AA$6-$G$3)&lt;1,0,IFERROR(LOOKUP(2,1/(Algodão!$E84:INDEX(Algodão!$E84:$Z84,MIN(AA$6-$G$3,22))&lt;&gt;""),Algodão!$E84:INDEX(Algodão!$E84:$Z84,MIN(AA$6-$G$3,22))),0)))))</f>
        <v>0</v>
      </c>
      <c r="AB86" s="27" t="n">
        <f aca="false">IF(COUNT(Algodão!$E84:$Z84)=0,0,MAX(0,IF((AB$6-$E$3)&lt;1,0,IFERROR(LOOKUP(2,1/(Algodão!$E84:INDEX(Algodão!$E84:$Z84,MIN(AB$6-$E$3,22))&lt;&gt;""),Algodão!$E84:INDEX(Algodão!$E84:$Z84,MIN(AB$6-$E$3,22))),0))-IF($G$2,0,IF((AB$6-$G$3)&lt;1,0,IFERROR(LOOKUP(2,1/(Algodão!$E84:INDEX(Algodão!$E84:$Z84,MIN(AB$6-$G$3,22))&lt;&gt;""),Algodão!$E84:INDEX(Algodão!$E84:$Z84,MIN(AB$6-$G$3,22))),0)))))</f>
        <v>0</v>
      </c>
      <c r="AC86" s="27" t="n">
        <f aca="false">IF(COUNT(Algodão!$E84:$Z84)=0,0,MAX(0,IF((AC$6-$E$3)&lt;1,0,IFERROR(LOOKUP(2,1/(Algodão!$E84:INDEX(Algodão!$E84:$Z84,MIN(AC$6-$E$3,22))&lt;&gt;""),Algodão!$E84:INDEX(Algodão!$E84:$Z84,MIN(AC$6-$E$3,22))),0))-IF($G$2,0,IF((AC$6-$G$3)&lt;1,0,IFERROR(LOOKUP(2,1/(Algodão!$E84:INDEX(Algodão!$E84:$Z84,MIN(AC$6-$G$3,22))&lt;&gt;""),Algodão!$E84:INDEX(Algodão!$E84:$Z84,MIN(AC$6-$G$3,22))),0)))))</f>
        <v>0</v>
      </c>
      <c r="AD86" s="27" t="n">
        <f aca="false">IF(COUNT(Algodão!$E84:$Z84)=0,0,MAX(0,IF((AD$6-$E$3)&lt;1,0,IFERROR(LOOKUP(2,1/(Algodão!$E84:INDEX(Algodão!$E84:$Z84,MIN(AD$6-$E$3,22))&lt;&gt;""),Algodão!$E84:INDEX(Algodão!$E84:$Z84,MIN(AD$6-$E$3,22))),0))-IF($G$2,0,IF((AD$6-$G$3)&lt;1,0,IFERROR(LOOKUP(2,1/(Algodão!$E84:INDEX(Algodão!$E84:$Z84,MIN(AD$6-$G$3,22))&lt;&gt;""),Algodão!$E84:INDEX(Algodão!$E84:$Z84,MIN(AD$6-$G$3,22))),0)))))</f>
        <v>0</v>
      </c>
      <c r="AE86" s="27" t="n">
        <f aca="false">IF(COUNT(Algodão!$E84:$Z84)=0,0,MAX(0,IF((AE$6-$E$3)&lt;1,0,IFERROR(LOOKUP(2,1/(Algodão!$E84:INDEX(Algodão!$E84:$Z84,MIN(AE$6-$E$3,22))&lt;&gt;""),Algodão!$E84:INDEX(Algodão!$E84:$Z84,MIN(AE$6-$E$3,22))),0))-IF($G$2,0,IF((AE$6-$G$3)&lt;1,0,IFERROR(LOOKUP(2,1/(Algodão!$E84:INDEX(Algodão!$E84:$Z84,MIN(AE$6-$G$3,22))&lt;&gt;""),Algodão!$E84:INDEX(Algodão!$E84:$Z84,MIN(AE$6-$G$3,22))),0)))))</f>
        <v>0</v>
      </c>
      <c r="AF86" s="27" t="n">
        <f aca="false">IF(COUNT(Algodão!$E84:$Z84)=0,0,MAX(0,IF((AF$6-$E$3)&lt;1,0,IFERROR(LOOKUP(2,1/(Algodão!$E84:INDEX(Algodão!$E84:$Z84,MIN(AF$6-$E$3,22))&lt;&gt;""),Algodão!$E84:INDEX(Algodão!$E84:$Z84,MIN(AF$6-$E$3,22))),0))-IF($G$2,0,IF((AF$6-$G$3)&lt;1,0,IFERROR(LOOKUP(2,1/(Algodão!$E84:INDEX(Algodão!$E84:$Z84,MIN(AF$6-$G$3,22))&lt;&gt;""),Algodão!$E84:INDEX(Algodão!$E84:$Z84,MIN(AF$6-$G$3,22))),0)))))</f>
        <v>0</v>
      </c>
      <c r="AG86" s="27" t="n">
        <f aca="false">IF(COUNT(Algodão!$E84:$Z84)=0,0,MAX(0,IF((AG$6-$E$3)&lt;1,0,IFERROR(LOOKUP(2,1/(Algodão!$E84:INDEX(Algodão!$E84:$Z84,MIN(AG$6-$E$3,22))&lt;&gt;""),Algodão!$E84:INDEX(Algodão!$E84:$Z84,MIN(AG$6-$E$3,22))),0))-IF($G$2,0,IF((AG$6-$G$3)&lt;1,0,IFERROR(LOOKUP(2,1/(Algodão!$E84:INDEX(Algodão!$E84:$Z84,MIN(AG$6-$G$3,22))&lt;&gt;""),Algodão!$E84:INDEX(Algodão!$E84:$Z84,MIN(AG$6-$G$3,22))),0)))))</f>
        <v>0</v>
      </c>
      <c r="AH86" s="27" t="n">
        <f aca="false">IF(COUNT(Algodão!$E84:$Z84)=0,0,MAX(0,IF((AH$6-$E$3)&lt;1,0,IFERROR(LOOKUP(2,1/(Algodão!$E84:INDEX(Algodão!$E84:$Z84,MIN(AH$6-$E$3,22))&lt;&gt;""),Algodão!$E84:INDEX(Algodão!$E84:$Z84,MIN(AH$6-$E$3,22))),0))-IF($G$2,0,IF((AH$6-$G$3)&lt;1,0,IFERROR(LOOKUP(2,1/(Algodão!$E84:INDEX(Algodão!$E84:$Z84,MIN(AH$6-$G$3,22))&lt;&gt;""),Algodão!$E84:INDEX(Algodão!$E84:$Z84,MIN(AH$6-$G$3,22))),0)))))</f>
        <v>0</v>
      </c>
      <c r="AI86" s="27" t="n">
        <f aca="false">IF(COUNT(Algodão!$E84:$Z84)=0,0,MAX(0,IF((AI$6-$E$3)&lt;1,0,IFERROR(LOOKUP(2,1/(Algodão!$E84:INDEX(Algodão!$E84:$Z84,MIN(AI$6-$E$3,22))&lt;&gt;""),Algodão!$E84:INDEX(Algodão!$E84:$Z84,MIN(AI$6-$E$3,22))),0))-IF($G$2,0,IF((AI$6-$G$3)&lt;1,0,IFERROR(LOOKUP(2,1/(Algodão!$E84:INDEX(Algodão!$E84:$Z84,MIN(AI$6-$G$3,22))&lt;&gt;""),Algodão!$E84:INDEX(Algodão!$E84:$Z84,MIN(AI$6-$G$3,22))),0)))))</f>
        <v>0</v>
      </c>
      <c r="AJ86" s="27" t="n">
        <f aca="false">IF(COUNT(Algodão!$E84:$Z84)=0,0,MAX(0,IF((AJ$6-$E$3)&lt;1,0,IFERROR(LOOKUP(2,1/(Algodão!$E84:INDEX(Algodão!$E84:$Z84,MIN(AJ$6-$E$3,22))&lt;&gt;""),Algodão!$E84:INDEX(Algodão!$E84:$Z84,MIN(AJ$6-$E$3,22))),0))-IF($G$2,0,IF((AJ$6-$G$3)&lt;1,0,IFERROR(LOOKUP(2,1/(Algodão!$E84:INDEX(Algodão!$E84:$Z84,MIN(AJ$6-$G$3,22))&lt;&gt;""),Algodão!$E84:INDEX(Algodão!$E84:$Z84,MIN(AJ$6-$G$3,22))),0)))))</f>
        <v>0</v>
      </c>
      <c r="AK86" s="27" t="n">
        <f aca="false">IF(COUNT(Algodão!$E84:$Z84)=0,0,MAX(0,IF((AK$6-$E$3)&lt;1,0,IFERROR(LOOKUP(2,1/(Algodão!$E84:INDEX(Algodão!$E84:$Z84,MIN(AK$6-$E$3,22))&lt;&gt;""),Algodão!$E84:INDEX(Algodão!$E84:$Z84,MIN(AK$6-$E$3,22))),0))-IF($G$2,0,IF((AK$6-$G$3)&lt;1,0,IFERROR(LOOKUP(2,1/(Algodão!$E84:INDEX(Algodão!$E84:$Z84,MIN(AK$6-$G$3,22))&lt;&gt;""),Algodão!$E84:INDEX(Algodão!$E84:$Z84,MIN(AK$6-$G$3,22))),0)))))</f>
        <v>0</v>
      </c>
      <c r="AL86" s="27" t="n">
        <f aca="false">IF(COUNT(Algodão!$E84:$Z84)=0,0,MAX(0,IF((AL$6-$E$3)&lt;1,0,IFERROR(LOOKUP(2,1/(Algodão!$E84:INDEX(Algodão!$E84:$Z84,MIN(AL$6-$E$3,22))&lt;&gt;""),Algodão!$E84:INDEX(Algodão!$E84:$Z84,MIN(AL$6-$E$3,22))),0))-IF($G$2,0,IF((AL$6-$G$3)&lt;1,0,IFERROR(LOOKUP(2,1/(Algodão!$E84:INDEX(Algodão!$E84:$Z84,MIN(AL$6-$G$3,22))&lt;&gt;""),Algodão!$E84:INDEX(Algodão!$E84:$Z84,MIN(AL$6-$G$3,22))),0)))))</f>
        <v>0</v>
      </c>
      <c r="AM86" s="27" t="n">
        <f aca="false">IF(COUNT(Algodão!$E84:$Z84)=0,0,MAX(0,IF((AM$6-$E$3)&lt;1,0,IFERROR(LOOKUP(2,1/(Algodão!$E84:INDEX(Algodão!$E84:$Z84,MIN(AM$6-$E$3,22))&lt;&gt;""),Algodão!$E84:INDEX(Algodão!$E84:$Z84,MIN(AM$6-$E$3,22))),0))-IF($G$2,0,IF((AM$6-$G$3)&lt;1,0,IFERROR(LOOKUP(2,1/(Algodão!$E84:INDEX(Algodão!$E84:$Z84,MIN(AM$6-$G$3,22))&lt;&gt;""),Algodão!$E84:INDEX(Algodão!$E84:$Z84,MIN(AM$6-$G$3,22))),0)))))</f>
        <v>0</v>
      </c>
      <c r="AN86" s="27" t="n">
        <f aca="false">IF(COUNT(Algodão!$E84:$Z84)=0,0,MAX(0,IF((AN$6-$E$3)&lt;1,0,IFERROR(LOOKUP(2,1/(Algodão!$E84:INDEX(Algodão!$E84:$Z84,MIN(AN$6-$E$3,22))&lt;&gt;""),Algodão!$E84:INDEX(Algodão!$E84:$Z84,MIN(AN$6-$E$3,22))),0))-IF($G$2,0,IF((AN$6-$G$3)&lt;1,0,IFERROR(LOOKUP(2,1/(Algodão!$E84:INDEX(Algodão!$E84:$Z84,MIN(AN$6-$G$3,22))&lt;&gt;""),Algodão!$E84:INDEX(Algodão!$E84:$Z84,MIN(AN$6-$G$3,22))),0)))))</f>
        <v>0</v>
      </c>
      <c r="AO86" s="27" t="n">
        <f aca="false">IF(COUNT(Algodão!$E84:$Z84)=0,0,MAX(0,IF((AO$6-$E$3)&lt;1,0,IFERROR(LOOKUP(2,1/(Algodão!$E84:INDEX(Algodão!$E84:$Z84,MIN(AO$6-$E$3,22))&lt;&gt;""),Algodão!$E84:INDEX(Algodão!$E84:$Z84,MIN(AO$6-$E$3,22))),0))-IF($G$2,0,IF((AO$6-$G$3)&lt;1,0,IFERROR(LOOKUP(2,1/(Algodão!$E84:INDEX(Algodão!$E84:$Z84,MIN(AO$6-$G$3,22))&lt;&gt;""),Algodão!$E84:INDEX(Algodão!$E84:$Z84,MIN(AO$6-$G$3,22))),0)))))</f>
        <v>0</v>
      </c>
      <c r="AP86" s="27" t="n">
        <f aca="false">IF(COUNT(Algodão!$E84:$Z84)=0,0,MAX(0,IF((AP$6-$E$3)&lt;1,0,IFERROR(LOOKUP(2,1/(Algodão!$E84:INDEX(Algodão!$E84:$Z84,MIN(AP$6-$E$3,22))&lt;&gt;""),Algodão!$E84:INDEX(Algodão!$E84:$Z84,MIN(AP$6-$E$3,22))),0))-IF($G$2,0,IF((AP$6-$G$3)&lt;1,0,IFERROR(LOOKUP(2,1/(Algodão!$E84:INDEX(Algodão!$E84:$Z84,MIN(AP$6-$G$3,22))&lt;&gt;""),Algodão!$E84:INDEX(Algodão!$E84:$Z84,MIN(AP$6-$G$3,22))),0)))))</f>
        <v>0</v>
      </c>
      <c r="AQ86" s="27" t="n">
        <f aca="false">IF(COUNT(Algodão!$E84:$Z84)=0,0,MAX(0,IF((AQ$6-$E$3)&lt;1,0,IFERROR(LOOKUP(2,1/(Algodão!$E84:INDEX(Algodão!$E84:$Z84,MIN(AQ$6-$E$3,22))&lt;&gt;""),Algodão!$E84:INDEX(Algodão!$E84:$Z84,MIN(AQ$6-$E$3,22))),0))-IF($G$2,0,IF((AQ$6-$G$3)&lt;1,0,IFERROR(LOOKUP(2,1/(Algodão!$E84:INDEX(Algodão!$E84:$Z84,MIN(AQ$6-$G$3,22))&lt;&gt;""),Algodão!$E84:INDEX(Algodão!$E84:$Z84,MIN(AQ$6-$G$3,22))),0)))))</f>
        <v>0</v>
      </c>
      <c r="AR86" s="27" t="n">
        <f aca="false">IF(COUNT(Algodão!$E84:$Z84)=0,0,MAX(0,IF((AR$6-$E$3)&lt;1,0,IFERROR(LOOKUP(2,1/(Algodão!$E84:INDEX(Algodão!$E84:$Z84,MIN(AR$6-$E$3,22))&lt;&gt;""),Algodão!$E84:INDEX(Algodão!$E84:$Z84,MIN(AR$6-$E$3,22))),0))-IF($G$2,0,IF((AR$6-$G$3)&lt;1,0,IFERROR(LOOKUP(2,1/(Algodão!$E84:INDEX(Algodão!$E84:$Z84,MIN(AR$6-$G$3,22))&lt;&gt;""),Algodão!$E84:INDEX(Algodão!$E84:$Z84,MIN(AR$6-$G$3,22))),0)))))</f>
        <v>0</v>
      </c>
      <c r="AS86" s="27" t="n">
        <f aca="false">IF(COUNT(Algodão!$E84:$Z84)=0,0,MAX(0,IF((AS$6-$E$3)&lt;1,0,IFERROR(LOOKUP(2,1/(Algodão!$E84:INDEX(Algodão!$E84:$Z84,MIN(AS$6-$E$3,22))&lt;&gt;""),Algodão!$E84:INDEX(Algodão!$E84:$Z84,MIN(AS$6-$E$3,22))),0))-IF($G$2,0,IF((AS$6-$G$3)&lt;1,0,IFERROR(LOOKUP(2,1/(Algodão!$E84:INDEX(Algodão!$E84:$Z84,MIN(AS$6-$G$3,22))&lt;&gt;""),Algodão!$E84:INDEX(Algodão!$E84:$Z84,MIN(AS$6-$G$3,22))),0)))))</f>
        <v>0</v>
      </c>
      <c r="AT86" s="27" t="n">
        <f aca="false">IF(COUNT(Algodão!$E84:$Z84)=0,0,MAX(0,IF((AT$6-$E$3)&lt;1,0,IFERROR(LOOKUP(2,1/(Algodão!$E84:INDEX(Algodão!$E84:$Z84,MIN(AT$6-$E$3,22))&lt;&gt;""),Algodão!$E84:INDEX(Algodão!$E84:$Z84,MIN(AT$6-$E$3,22))),0))-IF($G$2,0,IF((AT$6-$G$3)&lt;1,0,IFERROR(LOOKUP(2,1/(Algodão!$E84:INDEX(Algodão!$E84:$Z84,MIN(AT$6-$G$3,22))&lt;&gt;""),Algodão!$E84:INDEX(Algodão!$E84:$Z84,MIN(AT$6-$G$3,22))),0)))))</f>
        <v>0</v>
      </c>
      <c r="AU86" s="27" t="n">
        <f aca="false">IF(COUNT(Algodão!$E84:$Z84)=0,0,MAX(0,IF((AU$6-$E$3)&lt;1,0,IFERROR(LOOKUP(2,1/(Algodão!$E84:INDEX(Algodão!$E84:$Z84,MIN(AU$6-$E$3,22))&lt;&gt;""),Algodão!$E84:INDEX(Algodão!$E84:$Z84,MIN(AU$6-$E$3,22))),0))-IF($G$2,0,IF((AU$6-$G$3)&lt;1,0,IFERROR(LOOKUP(2,1/(Algodão!$E84:INDEX(Algodão!$E84:$Z84,MIN(AU$6-$G$3,22))&lt;&gt;""),Algodão!$E84:INDEX(Algodão!$E84:$Z84,MIN(AU$6-$G$3,22))),0)))))</f>
        <v>0</v>
      </c>
      <c r="AV86" s="27" t="n">
        <f aca="false">IF(COUNT(Algodão!$E84:$Z84)=0,0,MAX(0,IF((AV$6-$E$3)&lt;1,0,IFERROR(LOOKUP(2,1/(Algodão!$E84:INDEX(Algodão!$E84:$Z84,MIN(AV$6-$E$3,22))&lt;&gt;""),Algodão!$E84:INDEX(Algodão!$E84:$Z84,MIN(AV$6-$E$3,22))),0))-IF($G$2,0,IF((AV$6-$G$3)&lt;1,0,IFERROR(LOOKUP(2,1/(Algodão!$E84:INDEX(Algodão!$E84:$Z84,MIN(AV$6-$G$3,22))&lt;&gt;""),Algodão!$E84:INDEX(Algodão!$E84:$Z84,MIN(AV$6-$G$3,22))),0)))))</f>
        <v>0</v>
      </c>
      <c r="AW86" s="27" t="n">
        <f aca="false">IF(COUNT(Algodão!$E84:$Z84)=0,0,MAX(0,IF((AW$6-$E$3)&lt;1,0,IFERROR(LOOKUP(2,1/(Algodão!$E84:INDEX(Algodão!$E84:$Z84,MIN(AW$6-$E$3,22))&lt;&gt;""),Algodão!$E84:INDEX(Algodão!$E84:$Z84,MIN(AW$6-$E$3,22))),0))-IF($G$2,0,IF((AW$6-$G$3)&lt;1,0,IFERROR(LOOKUP(2,1/(Algodão!$E84:INDEX(Algodão!$E84:$Z84,MIN(AW$6-$G$3,22))&lt;&gt;""),Algodão!$E84:INDEX(Algodão!$E84:$Z84,MIN(AW$6-$G$3,22))),0)))))</f>
        <v>0</v>
      </c>
      <c r="AX86" s="27" t="n">
        <f aca="false">IF(COUNT(Algodão!$E84:$Z84)=0,0,MAX(0,IF((AX$6-$E$3)&lt;1,0,IFERROR(LOOKUP(2,1/(Algodão!$E84:INDEX(Algodão!$E84:$Z84,MIN(AX$6-$E$3,22))&lt;&gt;""),Algodão!$E84:INDEX(Algodão!$E84:$Z84,MIN(AX$6-$E$3,22))),0))-IF($G$2,0,IF((AX$6-$G$3)&lt;1,0,IFERROR(LOOKUP(2,1/(Algodão!$E84:INDEX(Algodão!$E84:$Z84,MIN(AX$6-$G$3,22))&lt;&gt;""),Algodão!$E84:INDEX(Algodão!$E84:$Z84,MIN(AX$6-$G$3,22))),0)))))</f>
        <v>0</v>
      </c>
      <c r="AY86" s="27" t="n">
        <f aca="false">IF(COUNT(Algodão!$E84:$Z84)=0,0,MAX(0,IF((AY$6-$E$3)&lt;1,0,IFERROR(LOOKUP(2,1/(Algodão!$E84:INDEX(Algodão!$E84:$Z84,MIN(AY$6-$E$3,22))&lt;&gt;""),Algodão!$E84:INDEX(Algodão!$E84:$Z84,MIN(AY$6-$E$3,22))),0))-IF($G$2,0,IF((AY$6-$G$3)&lt;1,0,IFERROR(LOOKUP(2,1/(Algodão!$E84:INDEX(Algodão!$E84:$Z84,MIN(AY$6-$G$3,22))&lt;&gt;""),Algodão!$E84:INDEX(Algodão!$E84:$Z84,MIN(AY$6-$G$3,22))),0)))))</f>
        <v>0</v>
      </c>
      <c r="AZ86" s="27" t="n">
        <f aca="false">IF(COUNT(Algodão!$E84:$Z84)=0,0,MAX(0,IF((AZ$6-$E$3)&lt;1,0,IFERROR(LOOKUP(2,1/(Algodão!$E84:INDEX(Algodão!$E84:$Z84,MIN(AZ$6-$E$3,22))&lt;&gt;""),Algodão!$E84:INDEX(Algodão!$E84:$Z84,MIN(AZ$6-$E$3,22))),0))-IF($G$2,0,IF((AZ$6-$G$3)&lt;1,0,IFERROR(LOOKUP(2,1/(Algodão!$E84:INDEX(Algodão!$E84:$Z84,MIN(AZ$6-$G$3,22))&lt;&gt;""),Algodão!$E84:INDEX(Algodão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Parâmetros!$C$62:$C$67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316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Parâmetros!$J$13</f>
        <v>46473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46473</v>
      </c>
      <c r="F5" s="17" t="n">
        <f aca="false">$B$3+7</f>
        <v>46480</v>
      </c>
      <c r="G5" s="17" t="n">
        <f aca="false">$B$3+14</f>
        <v>46487</v>
      </c>
      <c r="H5" s="17" t="n">
        <f aca="false">$B$3+21</f>
        <v>46494</v>
      </c>
      <c r="I5" s="17" t="n">
        <f aca="false">$B$3+28</f>
        <v>46501</v>
      </c>
      <c r="J5" s="17" t="n">
        <f aca="false">$B$3+35</f>
        <v>46508</v>
      </c>
      <c r="K5" s="17" t="n">
        <f aca="false">$B$3+42</f>
        <v>46515</v>
      </c>
      <c r="L5" s="17" t="n">
        <f aca="false">$B$3+49</f>
        <v>46522</v>
      </c>
      <c r="M5" s="17" t="n">
        <f aca="false">$B$3+56</f>
        <v>46529</v>
      </c>
      <c r="N5" s="17" t="n">
        <f aca="false">$B$3+63</f>
        <v>46536</v>
      </c>
      <c r="O5" s="17" t="n">
        <f aca="false">$B$3+70</f>
        <v>46543</v>
      </c>
      <c r="P5" s="17" t="n">
        <f aca="false">$B$3+77</f>
        <v>46550</v>
      </c>
      <c r="Q5" s="17" t="n">
        <f aca="false">$B$3+84</f>
        <v>46557</v>
      </c>
      <c r="R5" s="17" t="n">
        <f aca="false">$B$3+91</f>
        <v>46564</v>
      </c>
      <c r="S5" s="17" t="n">
        <f aca="false">$B$3+98</f>
        <v>46571</v>
      </c>
      <c r="T5" s="17" t="n">
        <f aca="false">$B$3+105</f>
        <v>46578</v>
      </c>
      <c r="U5" s="17" t="n">
        <f aca="false">$B$3+112</f>
        <v>46585</v>
      </c>
      <c r="V5" s="17" t="n">
        <f aca="false">$B$3+119</f>
        <v>46592</v>
      </c>
      <c r="W5" s="17" t="n">
        <f aca="false">$B$3+126</f>
        <v>46599</v>
      </c>
      <c r="X5" s="17" t="n">
        <f aca="false">$B$3+133</f>
        <v>46606</v>
      </c>
      <c r="Y5" s="17" t="n">
        <f aca="false">$B$3+140</f>
        <v>46613</v>
      </c>
      <c r="Z5" s="17" t="n">
        <f aca="false">$B$3+147</f>
        <v>46620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317</v>
      </c>
    </row>
    <row r="2" customFormat="false" ht="15" hidden="false" customHeight="false" outlineLevel="0" collapsed="false">
      <c r="D2" s="21" t="s">
        <v>293</v>
      </c>
      <c r="E2" s="21" t="n">
        <f aca="false">MATCH("Trigo|"&amp;$B$3,Parâmetros!$G$4:$G$83,0)+3</f>
        <v>71</v>
      </c>
      <c r="F2" s="21" t="s">
        <v>294</v>
      </c>
      <c r="G2" s="22" t="b">
        <f aca="false">INDEX(Parâmetros!$A$1:$A$84,$E$2+1)&lt;&gt;"Trigo"</f>
        <v>0</v>
      </c>
    </row>
    <row r="3" customFormat="false" ht="15" hidden="false" customHeight="false" outlineLevel="0" collapsed="false">
      <c r="A3" s="13" t="s">
        <v>295</v>
      </c>
      <c r="B3" s="9" t="s">
        <v>95</v>
      </c>
      <c r="D3" s="21" t="s">
        <v>296</v>
      </c>
      <c r="E3" s="21" t="n">
        <f aca="false">ROUND(INDEX(Parâmetros!$D$1:$D$83,$E$2)/7,0)</f>
        <v>9</v>
      </c>
      <c r="F3" s="21" t="s">
        <v>297</v>
      </c>
      <c r="G3" s="21" t="n">
        <f aca="false">IF($G$2,999,ROUND(INDEX(Parâmetros!$D$1:$D$84,$E$2+1)/7,0))</f>
        <v>9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Geada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Trigo!$B$3+0</f>
        <v>46473</v>
      </c>
      <c r="F7" s="17" t="n">
        <f aca="false">Trigo!$B$3+7</f>
        <v>46480</v>
      </c>
      <c r="G7" s="17" t="n">
        <f aca="false">Trigo!$B$3+14</f>
        <v>46487</v>
      </c>
      <c r="H7" s="17" t="n">
        <f aca="false">Trigo!$B$3+21</f>
        <v>46494</v>
      </c>
      <c r="I7" s="17" t="n">
        <f aca="false">Trigo!$B$3+28</f>
        <v>46501</v>
      </c>
      <c r="J7" s="17" t="n">
        <f aca="false">Trigo!$B$3+35</f>
        <v>46508</v>
      </c>
      <c r="K7" s="17" t="n">
        <f aca="false">Trigo!$B$3+42</f>
        <v>46515</v>
      </c>
      <c r="L7" s="17" t="n">
        <f aca="false">Trigo!$B$3+49</f>
        <v>46522</v>
      </c>
      <c r="M7" s="17" t="n">
        <f aca="false">Trigo!$B$3+56</f>
        <v>46529</v>
      </c>
      <c r="N7" s="17" t="n">
        <f aca="false">Trigo!$B$3+63</f>
        <v>46536</v>
      </c>
      <c r="O7" s="17" t="n">
        <f aca="false">Trigo!$B$3+70</f>
        <v>46543</v>
      </c>
      <c r="P7" s="17" t="n">
        <f aca="false">Trigo!$B$3+77</f>
        <v>46550</v>
      </c>
      <c r="Q7" s="17" t="n">
        <f aca="false">Trigo!$B$3+84</f>
        <v>46557</v>
      </c>
      <c r="R7" s="17" t="n">
        <f aca="false">Trigo!$B$3+91</f>
        <v>46564</v>
      </c>
      <c r="S7" s="17" t="n">
        <f aca="false">Trigo!$B$3+98</f>
        <v>46571</v>
      </c>
      <c r="T7" s="17" t="n">
        <f aca="false">Trigo!$B$3+105</f>
        <v>46578</v>
      </c>
      <c r="U7" s="17" t="n">
        <f aca="false">Trigo!$B$3+112</f>
        <v>46585</v>
      </c>
      <c r="V7" s="17" t="n">
        <f aca="false">Trigo!$B$3+119</f>
        <v>46592</v>
      </c>
      <c r="W7" s="17" t="n">
        <f aca="false">Trigo!$B$3+126</f>
        <v>46599</v>
      </c>
      <c r="X7" s="17" t="n">
        <f aca="false">Trigo!$B$3+133</f>
        <v>46606</v>
      </c>
      <c r="Y7" s="17" t="n">
        <f aca="false">Trigo!$B$3+140</f>
        <v>46613</v>
      </c>
      <c r="Z7" s="17" t="n">
        <f aca="false">Trigo!$B$3+147</f>
        <v>46620</v>
      </c>
      <c r="AA7" s="17" t="n">
        <f aca="false">Trigo!$B$3+154</f>
        <v>46627</v>
      </c>
      <c r="AB7" s="17" t="n">
        <f aca="false">Trigo!$B$3+161</f>
        <v>46634</v>
      </c>
      <c r="AC7" s="17" t="n">
        <f aca="false">Trigo!$B$3+168</f>
        <v>46641</v>
      </c>
      <c r="AD7" s="17" t="n">
        <f aca="false">Trigo!$B$3+175</f>
        <v>46648</v>
      </c>
      <c r="AE7" s="17" t="n">
        <f aca="false">Trigo!$B$3+182</f>
        <v>46655</v>
      </c>
      <c r="AF7" s="17" t="n">
        <f aca="false">Trigo!$B$3+189</f>
        <v>46662</v>
      </c>
      <c r="AG7" s="17" t="n">
        <f aca="false">Trigo!$B$3+196</f>
        <v>46669</v>
      </c>
      <c r="AH7" s="17" t="n">
        <f aca="false">Trigo!$B$3+203</f>
        <v>46676</v>
      </c>
      <c r="AI7" s="17" t="n">
        <f aca="false">Trigo!$B$3+210</f>
        <v>46683</v>
      </c>
      <c r="AJ7" s="17" t="n">
        <f aca="false">Trigo!$B$3+217</f>
        <v>46690</v>
      </c>
      <c r="AK7" s="17" t="n">
        <f aca="false">Trigo!$B$3+224</f>
        <v>46697</v>
      </c>
      <c r="AL7" s="17" t="n">
        <f aca="false">Trigo!$B$3+231</f>
        <v>46704</v>
      </c>
      <c r="AM7" s="17" t="n">
        <f aca="false">Trigo!$B$3+238</f>
        <v>46711</v>
      </c>
      <c r="AN7" s="17" t="n">
        <f aca="false">Trigo!$B$3+245</f>
        <v>46718</v>
      </c>
      <c r="AO7" s="17" t="n">
        <f aca="false">Trigo!$B$3+252</f>
        <v>46725</v>
      </c>
      <c r="AP7" s="17" t="n">
        <f aca="false">Trigo!$B$3+259</f>
        <v>46732</v>
      </c>
      <c r="AQ7" s="17" t="n">
        <f aca="false">Trigo!$B$3+266</f>
        <v>46739</v>
      </c>
      <c r="AR7" s="17" t="n">
        <f aca="false">Trigo!$B$3+273</f>
        <v>46746</v>
      </c>
      <c r="AS7" s="17" t="n">
        <f aca="false">Trigo!$B$3+280</f>
        <v>46753</v>
      </c>
      <c r="AT7" s="17" t="n">
        <f aca="false">Trigo!$B$3+287</f>
        <v>46760</v>
      </c>
      <c r="AU7" s="17" t="n">
        <f aca="false">Trigo!$B$3+294</f>
        <v>46767</v>
      </c>
      <c r="AV7" s="17" t="n">
        <f aca="false">Trigo!$B$3+301</f>
        <v>46774</v>
      </c>
      <c r="AW7" s="17" t="n">
        <f aca="false">Trigo!$B$3+308</f>
        <v>46781</v>
      </c>
      <c r="AX7" s="17" t="n">
        <f aca="false">Trigo!$B$3+315</f>
        <v>46788</v>
      </c>
      <c r="AY7" s="17" t="n">
        <f aca="false">Trigo!$B$3+322</f>
        <v>46795</v>
      </c>
      <c r="AZ7" s="17" t="n">
        <f aca="false">Trigo!$B$3+329</f>
        <v>46802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IF(COUNT(Trigo!$E6:$Z6)&gt;0,N(Trigo!$D6),0)</f>
        <v>0</v>
      </c>
      <c r="E8" s="27" t="n">
        <f aca="false">IF(COUNT(Trigo!$E6:$Z6)=0,0,MAX(0,IF((E$6-$E$3)&lt;1,0,IFERROR(LOOKUP(2,1/(Trigo!$E6:INDEX(Trigo!$E6:$Z6,MIN(E$6-$E$3,22))&lt;&gt;""),Trigo!$E6:INDEX(Trigo!$E6:$Z6,MIN(E$6-$E$3,22))),0))-IF($G$2,0,IF((E$6-$G$3)&lt;1,0,IFERROR(LOOKUP(2,1/(Trigo!$E6:INDEX(Trigo!$E6:$Z6,MIN(E$6-$G$3,22))&lt;&gt;""),Trigo!$E6:INDEX(Trigo!$E6:$Z6,MIN(E$6-$G$3,22))),0)))))</f>
        <v>0</v>
      </c>
      <c r="F8" s="27" t="n">
        <f aca="false">IF(COUNT(Trigo!$E6:$Z6)=0,0,MAX(0,IF((F$6-$E$3)&lt;1,0,IFERROR(LOOKUP(2,1/(Trigo!$E6:INDEX(Trigo!$E6:$Z6,MIN(F$6-$E$3,22))&lt;&gt;""),Trigo!$E6:INDEX(Trigo!$E6:$Z6,MIN(F$6-$E$3,22))),0))-IF($G$2,0,IF((F$6-$G$3)&lt;1,0,IFERROR(LOOKUP(2,1/(Trigo!$E6:INDEX(Trigo!$E6:$Z6,MIN(F$6-$G$3,22))&lt;&gt;""),Trigo!$E6:INDEX(Trigo!$E6:$Z6,MIN(F$6-$G$3,22))),0)))))</f>
        <v>0</v>
      </c>
      <c r="G8" s="27" t="n">
        <f aca="false">IF(COUNT(Trigo!$E6:$Z6)=0,0,MAX(0,IF((G$6-$E$3)&lt;1,0,IFERROR(LOOKUP(2,1/(Trigo!$E6:INDEX(Trigo!$E6:$Z6,MIN(G$6-$E$3,22))&lt;&gt;""),Trigo!$E6:INDEX(Trigo!$E6:$Z6,MIN(G$6-$E$3,22))),0))-IF($G$2,0,IF((G$6-$G$3)&lt;1,0,IFERROR(LOOKUP(2,1/(Trigo!$E6:INDEX(Trigo!$E6:$Z6,MIN(G$6-$G$3,22))&lt;&gt;""),Trigo!$E6:INDEX(Trigo!$E6:$Z6,MIN(G$6-$G$3,22))),0)))))</f>
        <v>0</v>
      </c>
      <c r="H8" s="27" t="n">
        <f aca="false">IF(COUNT(Trigo!$E6:$Z6)=0,0,MAX(0,IF((H$6-$E$3)&lt;1,0,IFERROR(LOOKUP(2,1/(Trigo!$E6:INDEX(Trigo!$E6:$Z6,MIN(H$6-$E$3,22))&lt;&gt;""),Trigo!$E6:INDEX(Trigo!$E6:$Z6,MIN(H$6-$E$3,22))),0))-IF($G$2,0,IF((H$6-$G$3)&lt;1,0,IFERROR(LOOKUP(2,1/(Trigo!$E6:INDEX(Trigo!$E6:$Z6,MIN(H$6-$G$3,22))&lt;&gt;""),Trigo!$E6:INDEX(Trigo!$E6:$Z6,MIN(H$6-$G$3,22))),0)))))</f>
        <v>0</v>
      </c>
      <c r="I8" s="27" t="n">
        <f aca="false">IF(COUNT(Trigo!$E6:$Z6)=0,0,MAX(0,IF((I$6-$E$3)&lt;1,0,IFERROR(LOOKUP(2,1/(Trigo!$E6:INDEX(Trigo!$E6:$Z6,MIN(I$6-$E$3,22))&lt;&gt;""),Trigo!$E6:INDEX(Trigo!$E6:$Z6,MIN(I$6-$E$3,22))),0))-IF($G$2,0,IF((I$6-$G$3)&lt;1,0,IFERROR(LOOKUP(2,1/(Trigo!$E6:INDEX(Trigo!$E6:$Z6,MIN(I$6-$G$3,22))&lt;&gt;""),Trigo!$E6:INDEX(Trigo!$E6:$Z6,MIN(I$6-$G$3,22))),0)))))</f>
        <v>0</v>
      </c>
      <c r="J8" s="27" t="n">
        <f aca="false">IF(COUNT(Trigo!$E6:$Z6)=0,0,MAX(0,IF((J$6-$E$3)&lt;1,0,IFERROR(LOOKUP(2,1/(Trigo!$E6:INDEX(Trigo!$E6:$Z6,MIN(J$6-$E$3,22))&lt;&gt;""),Trigo!$E6:INDEX(Trigo!$E6:$Z6,MIN(J$6-$E$3,22))),0))-IF($G$2,0,IF((J$6-$G$3)&lt;1,0,IFERROR(LOOKUP(2,1/(Trigo!$E6:INDEX(Trigo!$E6:$Z6,MIN(J$6-$G$3,22))&lt;&gt;""),Trigo!$E6:INDEX(Trigo!$E6:$Z6,MIN(J$6-$G$3,22))),0)))))</f>
        <v>0</v>
      </c>
      <c r="K8" s="27" t="n">
        <f aca="false">IF(COUNT(Trigo!$E6:$Z6)=0,0,MAX(0,IF((K$6-$E$3)&lt;1,0,IFERROR(LOOKUP(2,1/(Trigo!$E6:INDEX(Trigo!$E6:$Z6,MIN(K$6-$E$3,22))&lt;&gt;""),Trigo!$E6:INDEX(Trigo!$E6:$Z6,MIN(K$6-$E$3,22))),0))-IF($G$2,0,IF((K$6-$G$3)&lt;1,0,IFERROR(LOOKUP(2,1/(Trigo!$E6:INDEX(Trigo!$E6:$Z6,MIN(K$6-$G$3,22))&lt;&gt;""),Trigo!$E6:INDEX(Trigo!$E6:$Z6,MIN(K$6-$G$3,22))),0)))))</f>
        <v>0</v>
      </c>
      <c r="L8" s="27" t="n">
        <f aca="false">IF(COUNT(Trigo!$E6:$Z6)=0,0,MAX(0,IF((L$6-$E$3)&lt;1,0,IFERROR(LOOKUP(2,1/(Trigo!$E6:INDEX(Trigo!$E6:$Z6,MIN(L$6-$E$3,22))&lt;&gt;""),Trigo!$E6:INDEX(Trigo!$E6:$Z6,MIN(L$6-$E$3,22))),0))-IF($G$2,0,IF((L$6-$G$3)&lt;1,0,IFERROR(LOOKUP(2,1/(Trigo!$E6:INDEX(Trigo!$E6:$Z6,MIN(L$6-$G$3,22))&lt;&gt;""),Trigo!$E6:INDEX(Trigo!$E6:$Z6,MIN(L$6-$G$3,22))),0)))))</f>
        <v>0</v>
      </c>
      <c r="M8" s="27" t="n">
        <f aca="false">IF(COUNT(Trigo!$E6:$Z6)=0,0,MAX(0,IF((M$6-$E$3)&lt;1,0,IFERROR(LOOKUP(2,1/(Trigo!$E6:INDEX(Trigo!$E6:$Z6,MIN(M$6-$E$3,22))&lt;&gt;""),Trigo!$E6:INDEX(Trigo!$E6:$Z6,MIN(M$6-$E$3,22))),0))-IF($G$2,0,IF((M$6-$G$3)&lt;1,0,IFERROR(LOOKUP(2,1/(Trigo!$E6:INDEX(Trigo!$E6:$Z6,MIN(M$6-$G$3,22))&lt;&gt;""),Trigo!$E6:INDEX(Trigo!$E6:$Z6,MIN(M$6-$G$3,22))),0)))))</f>
        <v>0</v>
      </c>
      <c r="N8" s="27" t="n">
        <f aca="false">IF(COUNT(Trigo!$E6:$Z6)=0,0,MAX(0,IF((N$6-$E$3)&lt;1,0,IFERROR(LOOKUP(2,1/(Trigo!$E6:INDEX(Trigo!$E6:$Z6,MIN(N$6-$E$3,22))&lt;&gt;""),Trigo!$E6:INDEX(Trigo!$E6:$Z6,MIN(N$6-$E$3,22))),0))-IF($G$2,0,IF((N$6-$G$3)&lt;1,0,IFERROR(LOOKUP(2,1/(Trigo!$E6:INDEX(Trigo!$E6:$Z6,MIN(N$6-$G$3,22))&lt;&gt;""),Trigo!$E6:INDEX(Trigo!$E6:$Z6,MIN(N$6-$G$3,22))),0)))))</f>
        <v>0</v>
      </c>
      <c r="O8" s="27" t="n">
        <f aca="false">IF(COUNT(Trigo!$E6:$Z6)=0,0,MAX(0,IF((O$6-$E$3)&lt;1,0,IFERROR(LOOKUP(2,1/(Trigo!$E6:INDEX(Trigo!$E6:$Z6,MIN(O$6-$E$3,22))&lt;&gt;""),Trigo!$E6:INDEX(Trigo!$E6:$Z6,MIN(O$6-$E$3,22))),0))-IF($G$2,0,IF((O$6-$G$3)&lt;1,0,IFERROR(LOOKUP(2,1/(Trigo!$E6:INDEX(Trigo!$E6:$Z6,MIN(O$6-$G$3,22))&lt;&gt;""),Trigo!$E6:INDEX(Trigo!$E6:$Z6,MIN(O$6-$G$3,22))),0)))))</f>
        <v>0</v>
      </c>
      <c r="P8" s="27" t="n">
        <f aca="false">IF(COUNT(Trigo!$E6:$Z6)=0,0,MAX(0,IF((P$6-$E$3)&lt;1,0,IFERROR(LOOKUP(2,1/(Trigo!$E6:INDEX(Trigo!$E6:$Z6,MIN(P$6-$E$3,22))&lt;&gt;""),Trigo!$E6:INDEX(Trigo!$E6:$Z6,MIN(P$6-$E$3,22))),0))-IF($G$2,0,IF((P$6-$G$3)&lt;1,0,IFERROR(LOOKUP(2,1/(Trigo!$E6:INDEX(Trigo!$E6:$Z6,MIN(P$6-$G$3,22))&lt;&gt;""),Trigo!$E6:INDEX(Trigo!$E6:$Z6,MIN(P$6-$G$3,22))),0)))))</f>
        <v>0</v>
      </c>
      <c r="Q8" s="27" t="n">
        <f aca="false">IF(COUNT(Trigo!$E6:$Z6)=0,0,MAX(0,IF((Q$6-$E$3)&lt;1,0,IFERROR(LOOKUP(2,1/(Trigo!$E6:INDEX(Trigo!$E6:$Z6,MIN(Q$6-$E$3,22))&lt;&gt;""),Trigo!$E6:INDEX(Trigo!$E6:$Z6,MIN(Q$6-$E$3,22))),0))-IF($G$2,0,IF((Q$6-$G$3)&lt;1,0,IFERROR(LOOKUP(2,1/(Trigo!$E6:INDEX(Trigo!$E6:$Z6,MIN(Q$6-$G$3,22))&lt;&gt;""),Trigo!$E6:INDEX(Trigo!$E6:$Z6,MIN(Q$6-$G$3,22))),0)))))</f>
        <v>0</v>
      </c>
      <c r="R8" s="27" t="n">
        <f aca="false">IF(COUNT(Trigo!$E6:$Z6)=0,0,MAX(0,IF((R$6-$E$3)&lt;1,0,IFERROR(LOOKUP(2,1/(Trigo!$E6:INDEX(Trigo!$E6:$Z6,MIN(R$6-$E$3,22))&lt;&gt;""),Trigo!$E6:INDEX(Trigo!$E6:$Z6,MIN(R$6-$E$3,22))),0))-IF($G$2,0,IF((R$6-$G$3)&lt;1,0,IFERROR(LOOKUP(2,1/(Trigo!$E6:INDEX(Trigo!$E6:$Z6,MIN(R$6-$G$3,22))&lt;&gt;""),Trigo!$E6:INDEX(Trigo!$E6:$Z6,MIN(R$6-$G$3,22))),0)))))</f>
        <v>0</v>
      </c>
      <c r="S8" s="27" t="n">
        <f aca="false">IF(COUNT(Trigo!$E6:$Z6)=0,0,MAX(0,IF((S$6-$E$3)&lt;1,0,IFERROR(LOOKUP(2,1/(Trigo!$E6:INDEX(Trigo!$E6:$Z6,MIN(S$6-$E$3,22))&lt;&gt;""),Trigo!$E6:INDEX(Trigo!$E6:$Z6,MIN(S$6-$E$3,22))),0))-IF($G$2,0,IF((S$6-$G$3)&lt;1,0,IFERROR(LOOKUP(2,1/(Trigo!$E6:INDEX(Trigo!$E6:$Z6,MIN(S$6-$G$3,22))&lt;&gt;""),Trigo!$E6:INDEX(Trigo!$E6:$Z6,MIN(S$6-$G$3,22))),0)))))</f>
        <v>0</v>
      </c>
      <c r="T8" s="27" t="n">
        <f aca="false">IF(COUNT(Trigo!$E6:$Z6)=0,0,MAX(0,IF((T$6-$E$3)&lt;1,0,IFERROR(LOOKUP(2,1/(Trigo!$E6:INDEX(Trigo!$E6:$Z6,MIN(T$6-$E$3,22))&lt;&gt;""),Trigo!$E6:INDEX(Trigo!$E6:$Z6,MIN(T$6-$E$3,22))),0))-IF($G$2,0,IF((T$6-$G$3)&lt;1,0,IFERROR(LOOKUP(2,1/(Trigo!$E6:INDEX(Trigo!$E6:$Z6,MIN(T$6-$G$3,22))&lt;&gt;""),Trigo!$E6:INDEX(Trigo!$E6:$Z6,MIN(T$6-$G$3,22))),0)))))</f>
        <v>0</v>
      </c>
      <c r="U8" s="27" t="n">
        <f aca="false">IF(COUNT(Trigo!$E6:$Z6)=0,0,MAX(0,IF((U$6-$E$3)&lt;1,0,IFERROR(LOOKUP(2,1/(Trigo!$E6:INDEX(Trigo!$E6:$Z6,MIN(U$6-$E$3,22))&lt;&gt;""),Trigo!$E6:INDEX(Trigo!$E6:$Z6,MIN(U$6-$E$3,22))),0))-IF($G$2,0,IF((U$6-$G$3)&lt;1,0,IFERROR(LOOKUP(2,1/(Trigo!$E6:INDEX(Trigo!$E6:$Z6,MIN(U$6-$G$3,22))&lt;&gt;""),Trigo!$E6:INDEX(Trigo!$E6:$Z6,MIN(U$6-$G$3,22))),0)))))</f>
        <v>0</v>
      </c>
      <c r="V8" s="27" t="n">
        <f aca="false">IF(COUNT(Trigo!$E6:$Z6)=0,0,MAX(0,IF((V$6-$E$3)&lt;1,0,IFERROR(LOOKUP(2,1/(Trigo!$E6:INDEX(Trigo!$E6:$Z6,MIN(V$6-$E$3,22))&lt;&gt;""),Trigo!$E6:INDEX(Trigo!$E6:$Z6,MIN(V$6-$E$3,22))),0))-IF($G$2,0,IF((V$6-$G$3)&lt;1,0,IFERROR(LOOKUP(2,1/(Trigo!$E6:INDEX(Trigo!$E6:$Z6,MIN(V$6-$G$3,22))&lt;&gt;""),Trigo!$E6:INDEX(Trigo!$E6:$Z6,MIN(V$6-$G$3,22))),0)))))</f>
        <v>0</v>
      </c>
      <c r="W8" s="27" t="n">
        <f aca="false">IF(COUNT(Trigo!$E6:$Z6)=0,0,MAX(0,IF((W$6-$E$3)&lt;1,0,IFERROR(LOOKUP(2,1/(Trigo!$E6:INDEX(Trigo!$E6:$Z6,MIN(W$6-$E$3,22))&lt;&gt;""),Trigo!$E6:INDEX(Trigo!$E6:$Z6,MIN(W$6-$E$3,22))),0))-IF($G$2,0,IF((W$6-$G$3)&lt;1,0,IFERROR(LOOKUP(2,1/(Trigo!$E6:INDEX(Trigo!$E6:$Z6,MIN(W$6-$G$3,22))&lt;&gt;""),Trigo!$E6:INDEX(Trigo!$E6:$Z6,MIN(W$6-$G$3,22))),0)))))</f>
        <v>0</v>
      </c>
      <c r="X8" s="27" t="n">
        <f aca="false">IF(COUNT(Trigo!$E6:$Z6)=0,0,MAX(0,IF((X$6-$E$3)&lt;1,0,IFERROR(LOOKUP(2,1/(Trigo!$E6:INDEX(Trigo!$E6:$Z6,MIN(X$6-$E$3,22))&lt;&gt;""),Trigo!$E6:INDEX(Trigo!$E6:$Z6,MIN(X$6-$E$3,22))),0))-IF($G$2,0,IF((X$6-$G$3)&lt;1,0,IFERROR(LOOKUP(2,1/(Trigo!$E6:INDEX(Trigo!$E6:$Z6,MIN(X$6-$G$3,22))&lt;&gt;""),Trigo!$E6:INDEX(Trigo!$E6:$Z6,MIN(X$6-$G$3,22))),0)))))</f>
        <v>0</v>
      </c>
      <c r="Y8" s="27" t="n">
        <f aca="false">IF(COUNT(Trigo!$E6:$Z6)=0,0,MAX(0,IF((Y$6-$E$3)&lt;1,0,IFERROR(LOOKUP(2,1/(Trigo!$E6:INDEX(Trigo!$E6:$Z6,MIN(Y$6-$E$3,22))&lt;&gt;""),Trigo!$E6:INDEX(Trigo!$E6:$Z6,MIN(Y$6-$E$3,22))),0))-IF($G$2,0,IF((Y$6-$G$3)&lt;1,0,IFERROR(LOOKUP(2,1/(Trigo!$E6:INDEX(Trigo!$E6:$Z6,MIN(Y$6-$G$3,22))&lt;&gt;""),Trigo!$E6:INDEX(Trigo!$E6:$Z6,MIN(Y$6-$G$3,22))),0)))))</f>
        <v>0</v>
      </c>
      <c r="Z8" s="27" t="n">
        <f aca="false">IF(COUNT(Trigo!$E6:$Z6)=0,0,MAX(0,IF((Z$6-$E$3)&lt;1,0,IFERROR(LOOKUP(2,1/(Trigo!$E6:INDEX(Trigo!$E6:$Z6,MIN(Z$6-$E$3,22))&lt;&gt;""),Trigo!$E6:INDEX(Trigo!$E6:$Z6,MIN(Z$6-$E$3,22))),0))-IF($G$2,0,IF((Z$6-$G$3)&lt;1,0,IFERROR(LOOKUP(2,1/(Trigo!$E6:INDEX(Trigo!$E6:$Z6,MIN(Z$6-$G$3,22))&lt;&gt;""),Trigo!$E6:INDEX(Trigo!$E6:$Z6,MIN(Z$6-$G$3,22))),0)))))</f>
        <v>0</v>
      </c>
      <c r="AA8" s="27" t="n">
        <f aca="false">IF(COUNT(Trigo!$E6:$Z6)=0,0,MAX(0,IF((AA$6-$E$3)&lt;1,0,IFERROR(LOOKUP(2,1/(Trigo!$E6:INDEX(Trigo!$E6:$Z6,MIN(AA$6-$E$3,22))&lt;&gt;""),Trigo!$E6:INDEX(Trigo!$E6:$Z6,MIN(AA$6-$E$3,22))),0))-IF($G$2,0,IF((AA$6-$G$3)&lt;1,0,IFERROR(LOOKUP(2,1/(Trigo!$E6:INDEX(Trigo!$E6:$Z6,MIN(AA$6-$G$3,22))&lt;&gt;""),Trigo!$E6:INDEX(Trigo!$E6:$Z6,MIN(AA$6-$G$3,22))),0)))))</f>
        <v>0</v>
      </c>
      <c r="AB8" s="27" t="n">
        <f aca="false">IF(COUNT(Trigo!$E6:$Z6)=0,0,MAX(0,IF((AB$6-$E$3)&lt;1,0,IFERROR(LOOKUP(2,1/(Trigo!$E6:INDEX(Trigo!$E6:$Z6,MIN(AB$6-$E$3,22))&lt;&gt;""),Trigo!$E6:INDEX(Trigo!$E6:$Z6,MIN(AB$6-$E$3,22))),0))-IF($G$2,0,IF((AB$6-$G$3)&lt;1,0,IFERROR(LOOKUP(2,1/(Trigo!$E6:INDEX(Trigo!$E6:$Z6,MIN(AB$6-$G$3,22))&lt;&gt;""),Trigo!$E6:INDEX(Trigo!$E6:$Z6,MIN(AB$6-$G$3,22))),0)))))</f>
        <v>0</v>
      </c>
      <c r="AC8" s="27" t="n">
        <f aca="false">IF(COUNT(Trigo!$E6:$Z6)=0,0,MAX(0,IF((AC$6-$E$3)&lt;1,0,IFERROR(LOOKUP(2,1/(Trigo!$E6:INDEX(Trigo!$E6:$Z6,MIN(AC$6-$E$3,22))&lt;&gt;""),Trigo!$E6:INDEX(Trigo!$E6:$Z6,MIN(AC$6-$E$3,22))),0))-IF($G$2,0,IF((AC$6-$G$3)&lt;1,0,IFERROR(LOOKUP(2,1/(Trigo!$E6:INDEX(Trigo!$E6:$Z6,MIN(AC$6-$G$3,22))&lt;&gt;""),Trigo!$E6:INDEX(Trigo!$E6:$Z6,MIN(AC$6-$G$3,22))),0)))))</f>
        <v>0</v>
      </c>
      <c r="AD8" s="27" t="n">
        <f aca="false">IF(COUNT(Trigo!$E6:$Z6)=0,0,MAX(0,IF((AD$6-$E$3)&lt;1,0,IFERROR(LOOKUP(2,1/(Trigo!$E6:INDEX(Trigo!$E6:$Z6,MIN(AD$6-$E$3,22))&lt;&gt;""),Trigo!$E6:INDEX(Trigo!$E6:$Z6,MIN(AD$6-$E$3,22))),0))-IF($G$2,0,IF((AD$6-$G$3)&lt;1,0,IFERROR(LOOKUP(2,1/(Trigo!$E6:INDEX(Trigo!$E6:$Z6,MIN(AD$6-$G$3,22))&lt;&gt;""),Trigo!$E6:INDEX(Trigo!$E6:$Z6,MIN(AD$6-$G$3,22))),0)))))</f>
        <v>0</v>
      </c>
      <c r="AE8" s="27" t="n">
        <f aca="false">IF(COUNT(Trigo!$E6:$Z6)=0,0,MAX(0,IF((AE$6-$E$3)&lt;1,0,IFERROR(LOOKUP(2,1/(Trigo!$E6:INDEX(Trigo!$E6:$Z6,MIN(AE$6-$E$3,22))&lt;&gt;""),Trigo!$E6:INDEX(Trigo!$E6:$Z6,MIN(AE$6-$E$3,22))),0))-IF($G$2,0,IF((AE$6-$G$3)&lt;1,0,IFERROR(LOOKUP(2,1/(Trigo!$E6:INDEX(Trigo!$E6:$Z6,MIN(AE$6-$G$3,22))&lt;&gt;""),Trigo!$E6:INDEX(Trigo!$E6:$Z6,MIN(AE$6-$G$3,22))),0)))))</f>
        <v>0</v>
      </c>
      <c r="AF8" s="27" t="n">
        <f aca="false">IF(COUNT(Trigo!$E6:$Z6)=0,0,MAX(0,IF((AF$6-$E$3)&lt;1,0,IFERROR(LOOKUP(2,1/(Trigo!$E6:INDEX(Trigo!$E6:$Z6,MIN(AF$6-$E$3,22))&lt;&gt;""),Trigo!$E6:INDEX(Trigo!$E6:$Z6,MIN(AF$6-$E$3,22))),0))-IF($G$2,0,IF((AF$6-$G$3)&lt;1,0,IFERROR(LOOKUP(2,1/(Trigo!$E6:INDEX(Trigo!$E6:$Z6,MIN(AF$6-$G$3,22))&lt;&gt;""),Trigo!$E6:INDEX(Trigo!$E6:$Z6,MIN(AF$6-$G$3,22))),0)))))</f>
        <v>0</v>
      </c>
      <c r="AG8" s="27" t="n">
        <f aca="false">IF(COUNT(Trigo!$E6:$Z6)=0,0,MAX(0,IF((AG$6-$E$3)&lt;1,0,IFERROR(LOOKUP(2,1/(Trigo!$E6:INDEX(Trigo!$E6:$Z6,MIN(AG$6-$E$3,22))&lt;&gt;""),Trigo!$E6:INDEX(Trigo!$E6:$Z6,MIN(AG$6-$E$3,22))),0))-IF($G$2,0,IF((AG$6-$G$3)&lt;1,0,IFERROR(LOOKUP(2,1/(Trigo!$E6:INDEX(Trigo!$E6:$Z6,MIN(AG$6-$G$3,22))&lt;&gt;""),Trigo!$E6:INDEX(Trigo!$E6:$Z6,MIN(AG$6-$G$3,22))),0)))))</f>
        <v>0</v>
      </c>
      <c r="AH8" s="27" t="n">
        <f aca="false">IF(COUNT(Trigo!$E6:$Z6)=0,0,MAX(0,IF((AH$6-$E$3)&lt;1,0,IFERROR(LOOKUP(2,1/(Trigo!$E6:INDEX(Trigo!$E6:$Z6,MIN(AH$6-$E$3,22))&lt;&gt;""),Trigo!$E6:INDEX(Trigo!$E6:$Z6,MIN(AH$6-$E$3,22))),0))-IF($G$2,0,IF((AH$6-$G$3)&lt;1,0,IFERROR(LOOKUP(2,1/(Trigo!$E6:INDEX(Trigo!$E6:$Z6,MIN(AH$6-$G$3,22))&lt;&gt;""),Trigo!$E6:INDEX(Trigo!$E6:$Z6,MIN(AH$6-$G$3,22))),0)))))</f>
        <v>0</v>
      </c>
      <c r="AI8" s="27" t="n">
        <f aca="false">IF(COUNT(Trigo!$E6:$Z6)=0,0,MAX(0,IF((AI$6-$E$3)&lt;1,0,IFERROR(LOOKUP(2,1/(Trigo!$E6:INDEX(Trigo!$E6:$Z6,MIN(AI$6-$E$3,22))&lt;&gt;""),Trigo!$E6:INDEX(Trigo!$E6:$Z6,MIN(AI$6-$E$3,22))),0))-IF($G$2,0,IF((AI$6-$G$3)&lt;1,0,IFERROR(LOOKUP(2,1/(Trigo!$E6:INDEX(Trigo!$E6:$Z6,MIN(AI$6-$G$3,22))&lt;&gt;""),Trigo!$E6:INDEX(Trigo!$E6:$Z6,MIN(AI$6-$G$3,22))),0)))))</f>
        <v>0</v>
      </c>
      <c r="AJ8" s="27" t="n">
        <f aca="false">IF(COUNT(Trigo!$E6:$Z6)=0,0,MAX(0,IF((AJ$6-$E$3)&lt;1,0,IFERROR(LOOKUP(2,1/(Trigo!$E6:INDEX(Trigo!$E6:$Z6,MIN(AJ$6-$E$3,22))&lt;&gt;""),Trigo!$E6:INDEX(Trigo!$E6:$Z6,MIN(AJ$6-$E$3,22))),0))-IF($G$2,0,IF((AJ$6-$G$3)&lt;1,0,IFERROR(LOOKUP(2,1/(Trigo!$E6:INDEX(Trigo!$E6:$Z6,MIN(AJ$6-$G$3,22))&lt;&gt;""),Trigo!$E6:INDEX(Trigo!$E6:$Z6,MIN(AJ$6-$G$3,22))),0)))))</f>
        <v>0</v>
      </c>
      <c r="AK8" s="27" t="n">
        <f aca="false">IF(COUNT(Trigo!$E6:$Z6)=0,0,MAX(0,IF((AK$6-$E$3)&lt;1,0,IFERROR(LOOKUP(2,1/(Trigo!$E6:INDEX(Trigo!$E6:$Z6,MIN(AK$6-$E$3,22))&lt;&gt;""),Trigo!$E6:INDEX(Trigo!$E6:$Z6,MIN(AK$6-$E$3,22))),0))-IF($G$2,0,IF((AK$6-$G$3)&lt;1,0,IFERROR(LOOKUP(2,1/(Trigo!$E6:INDEX(Trigo!$E6:$Z6,MIN(AK$6-$G$3,22))&lt;&gt;""),Trigo!$E6:INDEX(Trigo!$E6:$Z6,MIN(AK$6-$G$3,22))),0)))))</f>
        <v>0</v>
      </c>
      <c r="AL8" s="27" t="n">
        <f aca="false">IF(COUNT(Trigo!$E6:$Z6)=0,0,MAX(0,IF((AL$6-$E$3)&lt;1,0,IFERROR(LOOKUP(2,1/(Trigo!$E6:INDEX(Trigo!$E6:$Z6,MIN(AL$6-$E$3,22))&lt;&gt;""),Trigo!$E6:INDEX(Trigo!$E6:$Z6,MIN(AL$6-$E$3,22))),0))-IF($G$2,0,IF((AL$6-$G$3)&lt;1,0,IFERROR(LOOKUP(2,1/(Trigo!$E6:INDEX(Trigo!$E6:$Z6,MIN(AL$6-$G$3,22))&lt;&gt;""),Trigo!$E6:INDEX(Trigo!$E6:$Z6,MIN(AL$6-$G$3,22))),0)))))</f>
        <v>0</v>
      </c>
      <c r="AM8" s="27" t="n">
        <f aca="false">IF(COUNT(Trigo!$E6:$Z6)=0,0,MAX(0,IF((AM$6-$E$3)&lt;1,0,IFERROR(LOOKUP(2,1/(Trigo!$E6:INDEX(Trigo!$E6:$Z6,MIN(AM$6-$E$3,22))&lt;&gt;""),Trigo!$E6:INDEX(Trigo!$E6:$Z6,MIN(AM$6-$E$3,22))),0))-IF($G$2,0,IF((AM$6-$G$3)&lt;1,0,IFERROR(LOOKUP(2,1/(Trigo!$E6:INDEX(Trigo!$E6:$Z6,MIN(AM$6-$G$3,22))&lt;&gt;""),Trigo!$E6:INDEX(Trigo!$E6:$Z6,MIN(AM$6-$G$3,22))),0)))))</f>
        <v>0</v>
      </c>
      <c r="AN8" s="27" t="n">
        <f aca="false">IF(COUNT(Trigo!$E6:$Z6)=0,0,MAX(0,IF((AN$6-$E$3)&lt;1,0,IFERROR(LOOKUP(2,1/(Trigo!$E6:INDEX(Trigo!$E6:$Z6,MIN(AN$6-$E$3,22))&lt;&gt;""),Trigo!$E6:INDEX(Trigo!$E6:$Z6,MIN(AN$6-$E$3,22))),0))-IF($G$2,0,IF((AN$6-$G$3)&lt;1,0,IFERROR(LOOKUP(2,1/(Trigo!$E6:INDEX(Trigo!$E6:$Z6,MIN(AN$6-$G$3,22))&lt;&gt;""),Trigo!$E6:INDEX(Trigo!$E6:$Z6,MIN(AN$6-$G$3,22))),0)))))</f>
        <v>0</v>
      </c>
      <c r="AO8" s="27" t="n">
        <f aca="false">IF(COUNT(Trigo!$E6:$Z6)=0,0,MAX(0,IF((AO$6-$E$3)&lt;1,0,IFERROR(LOOKUP(2,1/(Trigo!$E6:INDEX(Trigo!$E6:$Z6,MIN(AO$6-$E$3,22))&lt;&gt;""),Trigo!$E6:INDEX(Trigo!$E6:$Z6,MIN(AO$6-$E$3,22))),0))-IF($G$2,0,IF((AO$6-$G$3)&lt;1,0,IFERROR(LOOKUP(2,1/(Trigo!$E6:INDEX(Trigo!$E6:$Z6,MIN(AO$6-$G$3,22))&lt;&gt;""),Trigo!$E6:INDEX(Trigo!$E6:$Z6,MIN(AO$6-$G$3,22))),0)))))</f>
        <v>0</v>
      </c>
      <c r="AP8" s="27" t="n">
        <f aca="false">IF(COUNT(Trigo!$E6:$Z6)=0,0,MAX(0,IF((AP$6-$E$3)&lt;1,0,IFERROR(LOOKUP(2,1/(Trigo!$E6:INDEX(Trigo!$E6:$Z6,MIN(AP$6-$E$3,22))&lt;&gt;""),Trigo!$E6:INDEX(Trigo!$E6:$Z6,MIN(AP$6-$E$3,22))),0))-IF($G$2,0,IF((AP$6-$G$3)&lt;1,0,IFERROR(LOOKUP(2,1/(Trigo!$E6:INDEX(Trigo!$E6:$Z6,MIN(AP$6-$G$3,22))&lt;&gt;""),Trigo!$E6:INDEX(Trigo!$E6:$Z6,MIN(AP$6-$G$3,22))),0)))))</f>
        <v>0</v>
      </c>
      <c r="AQ8" s="27" t="n">
        <f aca="false">IF(COUNT(Trigo!$E6:$Z6)=0,0,MAX(0,IF((AQ$6-$E$3)&lt;1,0,IFERROR(LOOKUP(2,1/(Trigo!$E6:INDEX(Trigo!$E6:$Z6,MIN(AQ$6-$E$3,22))&lt;&gt;""),Trigo!$E6:INDEX(Trigo!$E6:$Z6,MIN(AQ$6-$E$3,22))),0))-IF($G$2,0,IF((AQ$6-$G$3)&lt;1,0,IFERROR(LOOKUP(2,1/(Trigo!$E6:INDEX(Trigo!$E6:$Z6,MIN(AQ$6-$G$3,22))&lt;&gt;""),Trigo!$E6:INDEX(Trigo!$E6:$Z6,MIN(AQ$6-$G$3,22))),0)))))</f>
        <v>0</v>
      </c>
      <c r="AR8" s="27" t="n">
        <f aca="false">IF(COUNT(Trigo!$E6:$Z6)=0,0,MAX(0,IF((AR$6-$E$3)&lt;1,0,IFERROR(LOOKUP(2,1/(Trigo!$E6:INDEX(Trigo!$E6:$Z6,MIN(AR$6-$E$3,22))&lt;&gt;""),Trigo!$E6:INDEX(Trigo!$E6:$Z6,MIN(AR$6-$E$3,22))),0))-IF($G$2,0,IF((AR$6-$G$3)&lt;1,0,IFERROR(LOOKUP(2,1/(Trigo!$E6:INDEX(Trigo!$E6:$Z6,MIN(AR$6-$G$3,22))&lt;&gt;""),Trigo!$E6:INDEX(Trigo!$E6:$Z6,MIN(AR$6-$G$3,22))),0)))))</f>
        <v>0</v>
      </c>
      <c r="AS8" s="27" t="n">
        <f aca="false">IF(COUNT(Trigo!$E6:$Z6)=0,0,MAX(0,IF((AS$6-$E$3)&lt;1,0,IFERROR(LOOKUP(2,1/(Trigo!$E6:INDEX(Trigo!$E6:$Z6,MIN(AS$6-$E$3,22))&lt;&gt;""),Trigo!$E6:INDEX(Trigo!$E6:$Z6,MIN(AS$6-$E$3,22))),0))-IF($G$2,0,IF((AS$6-$G$3)&lt;1,0,IFERROR(LOOKUP(2,1/(Trigo!$E6:INDEX(Trigo!$E6:$Z6,MIN(AS$6-$G$3,22))&lt;&gt;""),Trigo!$E6:INDEX(Trigo!$E6:$Z6,MIN(AS$6-$G$3,22))),0)))))</f>
        <v>0</v>
      </c>
      <c r="AT8" s="27" t="n">
        <f aca="false">IF(COUNT(Trigo!$E6:$Z6)=0,0,MAX(0,IF((AT$6-$E$3)&lt;1,0,IFERROR(LOOKUP(2,1/(Trigo!$E6:INDEX(Trigo!$E6:$Z6,MIN(AT$6-$E$3,22))&lt;&gt;""),Trigo!$E6:INDEX(Trigo!$E6:$Z6,MIN(AT$6-$E$3,22))),0))-IF($G$2,0,IF((AT$6-$G$3)&lt;1,0,IFERROR(LOOKUP(2,1/(Trigo!$E6:INDEX(Trigo!$E6:$Z6,MIN(AT$6-$G$3,22))&lt;&gt;""),Trigo!$E6:INDEX(Trigo!$E6:$Z6,MIN(AT$6-$G$3,22))),0)))))</f>
        <v>0</v>
      </c>
      <c r="AU8" s="27" t="n">
        <f aca="false">IF(COUNT(Trigo!$E6:$Z6)=0,0,MAX(0,IF((AU$6-$E$3)&lt;1,0,IFERROR(LOOKUP(2,1/(Trigo!$E6:INDEX(Trigo!$E6:$Z6,MIN(AU$6-$E$3,22))&lt;&gt;""),Trigo!$E6:INDEX(Trigo!$E6:$Z6,MIN(AU$6-$E$3,22))),0))-IF($G$2,0,IF((AU$6-$G$3)&lt;1,0,IFERROR(LOOKUP(2,1/(Trigo!$E6:INDEX(Trigo!$E6:$Z6,MIN(AU$6-$G$3,22))&lt;&gt;""),Trigo!$E6:INDEX(Trigo!$E6:$Z6,MIN(AU$6-$G$3,22))),0)))))</f>
        <v>0</v>
      </c>
      <c r="AV8" s="27" t="n">
        <f aca="false">IF(COUNT(Trigo!$E6:$Z6)=0,0,MAX(0,IF((AV$6-$E$3)&lt;1,0,IFERROR(LOOKUP(2,1/(Trigo!$E6:INDEX(Trigo!$E6:$Z6,MIN(AV$6-$E$3,22))&lt;&gt;""),Trigo!$E6:INDEX(Trigo!$E6:$Z6,MIN(AV$6-$E$3,22))),0))-IF($G$2,0,IF((AV$6-$G$3)&lt;1,0,IFERROR(LOOKUP(2,1/(Trigo!$E6:INDEX(Trigo!$E6:$Z6,MIN(AV$6-$G$3,22))&lt;&gt;""),Trigo!$E6:INDEX(Trigo!$E6:$Z6,MIN(AV$6-$G$3,22))),0)))))</f>
        <v>0</v>
      </c>
      <c r="AW8" s="27" t="n">
        <f aca="false">IF(COUNT(Trigo!$E6:$Z6)=0,0,MAX(0,IF((AW$6-$E$3)&lt;1,0,IFERROR(LOOKUP(2,1/(Trigo!$E6:INDEX(Trigo!$E6:$Z6,MIN(AW$6-$E$3,22))&lt;&gt;""),Trigo!$E6:INDEX(Trigo!$E6:$Z6,MIN(AW$6-$E$3,22))),0))-IF($G$2,0,IF((AW$6-$G$3)&lt;1,0,IFERROR(LOOKUP(2,1/(Trigo!$E6:INDEX(Trigo!$E6:$Z6,MIN(AW$6-$G$3,22))&lt;&gt;""),Trigo!$E6:INDEX(Trigo!$E6:$Z6,MIN(AW$6-$G$3,22))),0)))))</f>
        <v>0</v>
      </c>
      <c r="AX8" s="27" t="n">
        <f aca="false">IF(COUNT(Trigo!$E6:$Z6)=0,0,MAX(0,IF((AX$6-$E$3)&lt;1,0,IFERROR(LOOKUP(2,1/(Trigo!$E6:INDEX(Trigo!$E6:$Z6,MIN(AX$6-$E$3,22))&lt;&gt;""),Trigo!$E6:INDEX(Trigo!$E6:$Z6,MIN(AX$6-$E$3,22))),0))-IF($G$2,0,IF((AX$6-$G$3)&lt;1,0,IFERROR(LOOKUP(2,1/(Trigo!$E6:INDEX(Trigo!$E6:$Z6,MIN(AX$6-$G$3,22))&lt;&gt;""),Trigo!$E6:INDEX(Trigo!$E6:$Z6,MIN(AX$6-$G$3,22))),0)))))</f>
        <v>0</v>
      </c>
      <c r="AY8" s="27" t="n">
        <f aca="false">IF(COUNT(Trigo!$E6:$Z6)=0,0,MAX(0,IF((AY$6-$E$3)&lt;1,0,IFERROR(LOOKUP(2,1/(Trigo!$E6:INDEX(Trigo!$E6:$Z6,MIN(AY$6-$E$3,22))&lt;&gt;""),Trigo!$E6:INDEX(Trigo!$E6:$Z6,MIN(AY$6-$E$3,22))),0))-IF($G$2,0,IF((AY$6-$G$3)&lt;1,0,IFERROR(LOOKUP(2,1/(Trigo!$E6:INDEX(Trigo!$E6:$Z6,MIN(AY$6-$G$3,22))&lt;&gt;""),Trigo!$E6:INDEX(Trigo!$E6:$Z6,MIN(AY$6-$G$3,22))),0)))))</f>
        <v>0</v>
      </c>
      <c r="AZ8" s="27" t="n">
        <f aca="false">IF(COUNT(Trigo!$E6:$Z6)=0,0,MAX(0,IF((AZ$6-$E$3)&lt;1,0,IFERROR(LOOKUP(2,1/(Trigo!$E6:INDEX(Trigo!$E6:$Z6,MIN(AZ$6-$E$3,22))&lt;&gt;""),Trigo!$E6:INDEX(Trigo!$E6:$Z6,MIN(AZ$6-$E$3,22))),0))-IF($G$2,0,IF((AZ$6-$G$3)&lt;1,0,IFERROR(LOOKUP(2,1/(Trigo!$E6:INDEX(Trigo!$E6:$Z6,MIN(AZ$6-$G$3,22))&lt;&gt;""),Trigo!$E6:INDEX(Trigo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IF(COUNT(Trigo!$E7:$Z7)&gt;0,N(Trigo!$D7),0)</f>
        <v>0</v>
      </c>
      <c r="E9" s="27" t="n">
        <f aca="false">IF(COUNT(Trigo!$E7:$Z7)=0,0,MAX(0,IF((E$6-$E$3)&lt;1,0,IFERROR(LOOKUP(2,1/(Trigo!$E7:INDEX(Trigo!$E7:$Z7,MIN(E$6-$E$3,22))&lt;&gt;""),Trigo!$E7:INDEX(Trigo!$E7:$Z7,MIN(E$6-$E$3,22))),0))-IF($G$2,0,IF((E$6-$G$3)&lt;1,0,IFERROR(LOOKUP(2,1/(Trigo!$E7:INDEX(Trigo!$E7:$Z7,MIN(E$6-$G$3,22))&lt;&gt;""),Trigo!$E7:INDEX(Trigo!$E7:$Z7,MIN(E$6-$G$3,22))),0)))))</f>
        <v>0</v>
      </c>
      <c r="F9" s="27" t="n">
        <f aca="false">IF(COUNT(Trigo!$E7:$Z7)=0,0,MAX(0,IF((F$6-$E$3)&lt;1,0,IFERROR(LOOKUP(2,1/(Trigo!$E7:INDEX(Trigo!$E7:$Z7,MIN(F$6-$E$3,22))&lt;&gt;""),Trigo!$E7:INDEX(Trigo!$E7:$Z7,MIN(F$6-$E$3,22))),0))-IF($G$2,0,IF((F$6-$G$3)&lt;1,0,IFERROR(LOOKUP(2,1/(Trigo!$E7:INDEX(Trigo!$E7:$Z7,MIN(F$6-$G$3,22))&lt;&gt;""),Trigo!$E7:INDEX(Trigo!$E7:$Z7,MIN(F$6-$G$3,22))),0)))))</f>
        <v>0</v>
      </c>
      <c r="G9" s="27" t="n">
        <f aca="false">IF(COUNT(Trigo!$E7:$Z7)=0,0,MAX(0,IF((G$6-$E$3)&lt;1,0,IFERROR(LOOKUP(2,1/(Trigo!$E7:INDEX(Trigo!$E7:$Z7,MIN(G$6-$E$3,22))&lt;&gt;""),Trigo!$E7:INDEX(Trigo!$E7:$Z7,MIN(G$6-$E$3,22))),0))-IF($G$2,0,IF((G$6-$G$3)&lt;1,0,IFERROR(LOOKUP(2,1/(Trigo!$E7:INDEX(Trigo!$E7:$Z7,MIN(G$6-$G$3,22))&lt;&gt;""),Trigo!$E7:INDEX(Trigo!$E7:$Z7,MIN(G$6-$G$3,22))),0)))))</f>
        <v>0</v>
      </c>
      <c r="H9" s="27" t="n">
        <f aca="false">IF(COUNT(Trigo!$E7:$Z7)=0,0,MAX(0,IF((H$6-$E$3)&lt;1,0,IFERROR(LOOKUP(2,1/(Trigo!$E7:INDEX(Trigo!$E7:$Z7,MIN(H$6-$E$3,22))&lt;&gt;""),Trigo!$E7:INDEX(Trigo!$E7:$Z7,MIN(H$6-$E$3,22))),0))-IF($G$2,0,IF((H$6-$G$3)&lt;1,0,IFERROR(LOOKUP(2,1/(Trigo!$E7:INDEX(Trigo!$E7:$Z7,MIN(H$6-$G$3,22))&lt;&gt;""),Trigo!$E7:INDEX(Trigo!$E7:$Z7,MIN(H$6-$G$3,22))),0)))))</f>
        <v>0</v>
      </c>
      <c r="I9" s="27" t="n">
        <f aca="false">IF(COUNT(Trigo!$E7:$Z7)=0,0,MAX(0,IF((I$6-$E$3)&lt;1,0,IFERROR(LOOKUP(2,1/(Trigo!$E7:INDEX(Trigo!$E7:$Z7,MIN(I$6-$E$3,22))&lt;&gt;""),Trigo!$E7:INDEX(Trigo!$E7:$Z7,MIN(I$6-$E$3,22))),0))-IF($G$2,0,IF((I$6-$G$3)&lt;1,0,IFERROR(LOOKUP(2,1/(Trigo!$E7:INDEX(Trigo!$E7:$Z7,MIN(I$6-$G$3,22))&lt;&gt;""),Trigo!$E7:INDEX(Trigo!$E7:$Z7,MIN(I$6-$G$3,22))),0)))))</f>
        <v>0</v>
      </c>
      <c r="J9" s="27" t="n">
        <f aca="false">IF(COUNT(Trigo!$E7:$Z7)=0,0,MAX(0,IF((J$6-$E$3)&lt;1,0,IFERROR(LOOKUP(2,1/(Trigo!$E7:INDEX(Trigo!$E7:$Z7,MIN(J$6-$E$3,22))&lt;&gt;""),Trigo!$E7:INDEX(Trigo!$E7:$Z7,MIN(J$6-$E$3,22))),0))-IF($G$2,0,IF((J$6-$G$3)&lt;1,0,IFERROR(LOOKUP(2,1/(Trigo!$E7:INDEX(Trigo!$E7:$Z7,MIN(J$6-$G$3,22))&lt;&gt;""),Trigo!$E7:INDEX(Trigo!$E7:$Z7,MIN(J$6-$G$3,22))),0)))))</f>
        <v>0</v>
      </c>
      <c r="K9" s="27" t="n">
        <f aca="false">IF(COUNT(Trigo!$E7:$Z7)=0,0,MAX(0,IF((K$6-$E$3)&lt;1,0,IFERROR(LOOKUP(2,1/(Trigo!$E7:INDEX(Trigo!$E7:$Z7,MIN(K$6-$E$3,22))&lt;&gt;""),Trigo!$E7:INDEX(Trigo!$E7:$Z7,MIN(K$6-$E$3,22))),0))-IF($G$2,0,IF((K$6-$G$3)&lt;1,0,IFERROR(LOOKUP(2,1/(Trigo!$E7:INDEX(Trigo!$E7:$Z7,MIN(K$6-$G$3,22))&lt;&gt;""),Trigo!$E7:INDEX(Trigo!$E7:$Z7,MIN(K$6-$G$3,22))),0)))))</f>
        <v>0</v>
      </c>
      <c r="L9" s="27" t="n">
        <f aca="false">IF(COUNT(Trigo!$E7:$Z7)=0,0,MAX(0,IF((L$6-$E$3)&lt;1,0,IFERROR(LOOKUP(2,1/(Trigo!$E7:INDEX(Trigo!$E7:$Z7,MIN(L$6-$E$3,22))&lt;&gt;""),Trigo!$E7:INDEX(Trigo!$E7:$Z7,MIN(L$6-$E$3,22))),0))-IF($G$2,0,IF((L$6-$G$3)&lt;1,0,IFERROR(LOOKUP(2,1/(Trigo!$E7:INDEX(Trigo!$E7:$Z7,MIN(L$6-$G$3,22))&lt;&gt;""),Trigo!$E7:INDEX(Trigo!$E7:$Z7,MIN(L$6-$G$3,22))),0)))))</f>
        <v>0</v>
      </c>
      <c r="M9" s="27" t="n">
        <f aca="false">IF(COUNT(Trigo!$E7:$Z7)=0,0,MAX(0,IF((M$6-$E$3)&lt;1,0,IFERROR(LOOKUP(2,1/(Trigo!$E7:INDEX(Trigo!$E7:$Z7,MIN(M$6-$E$3,22))&lt;&gt;""),Trigo!$E7:INDEX(Trigo!$E7:$Z7,MIN(M$6-$E$3,22))),0))-IF($G$2,0,IF((M$6-$G$3)&lt;1,0,IFERROR(LOOKUP(2,1/(Trigo!$E7:INDEX(Trigo!$E7:$Z7,MIN(M$6-$G$3,22))&lt;&gt;""),Trigo!$E7:INDEX(Trigo!$E7:$Z7,MIN(M$6-$G$3,22))),0)))))</f>
        <v>0</v>
      </c>
      <c r="N9" s="27" t="n">
        <f aca="false">IF(COUNT(Trigo!$E7:$Z7)=0,0,MAX(0,IF((N$6-$E$3)&lt;1,0,IFERROR(LOOKUP(2,1/(Trigo!$E7:INDEX(Trigo!$E7:$Z7,MIN(N$6-$E$3,22))&lt;&gt;""),Trigo!$E7:INDEX(Trigo!$E7:$Z7,MIN(N$6-$E$3,22))),0))-IF($G$2,0,IF((N$6-$G$3)&lt;1,0,IFERROR(LOOKUP(2,1/(Trigo!$E7:INDEX(Trigo!$E7:$Z7,MIN(N$6-$G$3,22))&lt;&gt;""),Trigo!$E7:INDEX(Trigo!$E7:$Z7,MIN(N$6-$G$3,22))),0)))))</f>
        <v>0</v>
      </c>
      <c r="O9" s="27" t="n">
        <f aca="false">IF(COUNT(Trigo!$E7:$Z7)=0,0,MAX(0,IF((O$6-$E$3)&lt;1,0,IFERROR(LOOKUP(2,1/(Trigo!$E7:INDEX(Trigo!$E7:$Z7,MIN(O$6-$E$3,22))&lt;&gt;""),Trigo!$E7:INDEX(Trigo!$E7:$Z7,MIN(O$6-$E$3,22))),0))-IF($G$2,0,IF((O$6-$G$3)&lt;1,0,IFERROR(LOOKUP(2,1/(Trigo!$E7:INDEX(Trigo!$E7:$Z7,MIN(O$6-$G$3,22))&lt;&gt;""),Trigo!$E7:INDEX(Trigo!$E7:$Z7,MIN(O$6-$G$3,22))),0)))))</f>
        <v>0</v>
      </c>
      <c r="P9" s="27" t="n">
        <f aca="false">IF(COUNT(Trigo!$E7:$Z7)=0,0,MAX(0,IF((P$6-$E$3)&lt;1,0,IFERROR(LOOKUP(2,1/(Trigo!$E7:INDEX(Trigo!$E7:$Z7,MIN(P$6-$E$3,22))&lt;&gt;""),Trigo!$E7:INDEX(Trigo!$E7:$Z7,MIN(P$6-$E$3,22))),0))-IF($G$2,0,IF((P$6-$G$3)&lt;1,0,IFERROR(LOOKUP(2,1/(Trigo!$E7:INDEX(Trigo!$E7:$Z7,MIN(P$6-$G$3,22))&lt;&gt;""),Trigo!$E7:INDEX(Trigo!$E7:$Z7,MIN(P$6-$G$3,22))),0)))))</f>
        <v>0</v>
      </c>
      <c r="Q9" s="27" t="n">
        <f aca="false">IF(COUNT(Trigo!$E7:$Z7)=0,0,MAX(0,IF((Q$6-$E$3)&lt;1,0,IFERROR(LOOKUP(2,1/(Trigo!$E7:INDEX(Trigo!$E7:$Z7,MIN(Q$6-$E$3,22))&lt;&gt;""),Trigo!$E7:INDEX(Trigo!$E7:$Z7,MIN(Q$6-$E$3,22))),0))-IF($G$2,0,IF((Q$6-$G$3)&lt;1,0,IFERROR(LOOKUP(2,1/(Trigo!$E7:INDEX(Trigo!$E7:$Z7,MIN(Q$6-$G$3,22))&lt;&gt;""),Trigo!$E7:INDEX(Trigo!$E7:$Z7,MIN(Q$6-$G$3,22))),0)))))</f>
        <v>0</v>
      </c>
      <c r="R9" s="27" t="n">
        <f aca="false">IF(COUNT(Trigo!$E7:$Z7)=0,0,MAX(0,IF((R$6-$E$3)&lt;1,0,IFERROR(LOOKUP(2,1/(Trigo!$E7:INDEX(Trigo!$E7:$Z7,MIN(R$6-$E$3,22))&lt;&gt;""),Trigo!$E7:INDEX(Trigo!$E7:$Z7,MIN(R$6-$E$3,22))),0))-IF($G$2,0,IF((R$6-$G$3)&lt;1,0,IFERROR(LOOKUP(2,1/(Trigo!$E7:INDEX(Trigo!$E7:$Z7,MIN(R$6-$G$3,22))&lt;&gt;""),Trigo!$E7:INDEX(Trigo!$E7:$Z7,MIN(R$6-$G$3,22))),0)))))</f>
        <v>0</v>
      </c>
      <c r="S9" s="27" t="n">
        <f aca="false">IF(COUNT(Trigo!$E7:$Z7)=0,0,MAX(0,IF((S$6-$E$3)&lt;1,0,IFERROR(LOOKUP(2,1/(Trigo!$E7:INDEX(Trigo!$E7:$Z7,MIN(S$6-$E$3,22))&lt;&gt;""),Trigo!$E7:INDEX(Trigo!$E7:$Z7,MIN(S$6-$E$3,22))),0))-IF($G$2,0,IF((S$6-$G$3)&lt;1,0,IFERROR(LOOKUP(2,1/(Trigo!$E7:INDEX(Trigo!$E7:$Z7,MIN(S$6-$G$3,22))&lt;&gt;""),Trigo!$E7:INDEX(Trigo!$E7:$Z7,MIN(S$6-$G$3,22))),0)))))</f>
        <v>0</v>
      </c>
      <c r="T9" s="27" t="n">
        <f aca="false">IF(COUNT(Trigo!$E7:$Z7)=0,0,MAX(0,IF((T$6-$E$3)&lt;1,0,IFERROR(LOOKUP(2,1/(Trigo!$E7:INDEX(Trigo!$E7:$Z7,MIN(T$6-$E$3,22))&lt;&gt;""),Trigo!$E7:INDEX(Trigo!$E7:$Z7,MIN(T$6-$E$3,22))),0))-IF($G$2,0,IF((T$6-$G$3)&lt;1,0,IFERROR(LOOKUP(2,1/(Trigo!$E7:INDEX(Trigo!$E7:$Z7,MIN(T$6-$G$3,22))&lt;&gt;""),Trigo!$E7:INDEX(Trigo!$E7:$Z7,MIN(T$6-$G$3,22))),0)))))</f>
        <v>0</v>
      </c>
      <c r="U9" s="27" t="n">
        <f aca="false">IF(COUNT(Trigo!$E7:$Z7)=0,0,MAX(0,IF((U$6-$E$3)&lt;1,0,IFERROR(LOOKUP(2,1/(Trigo!$E7:INDEX(Trigo!$E7:$Z7,MIN(U$6-$E$3,22))&lt;&gt;""),Trigo!$E7:INDEX(Trigo!$E7:$Z7,MIN(U$6-$E$3,22))),0))-IF($G$2,0,IF((U$6-$G$3)&lt;1,0,IFERROR(LOOKUP(2,1/(Trigo!$E7:INDEX(Trigo!$E7:$Z7,MIN(U$6-$G$3,22))&lt;&gt;""),Trigo!$E7:INDEX(Trigo!$E7:$Z7,MIN(U$6-$G$3,22))),0)))))</f>
        <v>0</v>
      </c>
      <c r="V9" s="27" t="n">
        <f aca="false">IF(COUNT(Trigo!$E7:$Z7)=0,0,MAX(0,IF((V$6-$E$3)&lt;1,0,IFERROR(LOOKUP(2,1/(Trigo!$E7:INDEX(Trigo!$E7:$Z7,MIN(V$6-$E$3,22))&lt;&gt;""),Trigo!$E7:INDEX(Trigo!$E7:$Z7,MIN(V$6-$E$3,22))),0))-IF($G$2,0,IF((V$6-$G$3)&lt;1,0,IFERROR(LOOKUP(2,1/(Trigo!$E7:INDEX(Trigo!$E7:$Z7,MIN(V$6-$G$3,22))&lt;&gt;""),Trigo!$E7:INDEX(Trigo!$E7:$Z7,MIN(V$6-$G$3,22))),0)))))</f>
        <v>0</v>
      </c>
      <c r="W9" s="27" t="n">
        <f aca="false">IF(COUNT(Trigo!$E7:$Z7)=0,0,MAX(0,IF((W$6-$E$3)&lt;1,0,IFERROR(LOOKUP(2,1/(Trigo!$E7:INDEX(Trigo!$E7:$Z7,MIN(W$6-$E$3,22))&lt;&gt;""),Trigo!$E7:INDEX(Trigo!$E7:$Z7,MIN(W$6-$E$3,22))),0))-IF($G$2,0,IF((W$6-$G$3)&lt;1,0,IFERROR(LOOKUP(2,1/(Trigo!$E7:INDEX(Trigo!$E7:$Z7,MIN(W$6-$G$3,22))&lt;&gt;""),Trigo!$E7:INDEX(Trigo!$E7:$Z7,MIN(W$6-$G$3,22))),0)))))</f>
        <v>0</v>
      </c>
      <c r="X9" s="27" t="n">
        <f aca="false">IF(COUNT(Trigo!$E7:$Z7)=0,0,MAX(0,IF((X$6-$E$3)&lt;1,0,IFERROR(LOOKUP(2,1/(Trigo!$E7:INDEX(Trigo!$E7:$Z7,MIN(X$6-$E$3,22))&lt;&gt;""),Trigo!$E7:INDEX(Trigo!$E7:$Z7,MIN(X$6-$E$3,22))),0))-IF($G$2,0,IF((X$6-$G$3)&lt;1,0,IFERROR(LOOKUP(2,1/(Trigo!$E7:INDEX(Trigo!$E7:$Z7,MIN(X$6-$G$3,22))&lt;&gt;""),Trigo!$E7:INDEX(Trigo!$E7:$Z7,MIN(X$6-$G$3,22))),0)))))</f>
        <v>0</v>
      </c>
      <c r="Y9" s="27" t="n">
        <f aca="false">IF(COUNT(Trigo!$E7:$Z7)=0,0,MAX(0,IF((Y$6-$E$3)&lt;1,0,IFERROR(LOOKUP(2,1/(Trigo!$E7:INDEX(Trigo!$E7:$Z7,MIN(Y$6-$E$3,22))&lt;&gt;""),Trigo!$E7:INDEX(Trigo!$E7:$Z7,MIN(Y$6-$E$3,22))),0))-IF($G$2,0,IF((Y$6-$G$3)&lt;1,0,IFERROR(LOOKUP(2,1/(Trigo!$E7:INDEX(Trigo!$E7:$Z7,MIN(Y$6-$G$3,22))&lt;&gt;""),Trigo!$E7:INDEX(Trigo!$E7:$Z7,MIN(Y$6-$G$3,22))),0)))))</f>
        <v>0</v>
      </c>
      <c r="Z9" s="27" t="n">
        <f aca="false">IF(COUNT(Trigo!$E7:$Z7)=0,0,MAX(0,IF((Z$6-$E$3)&lt;1,0,IFERROR(LOOKUP(2,1/(Trigo!$E7:INDEX(Trigo!$E7:$Z7,MIN(Z$6-$E$3,22))&lt;&gt;""),Trigo!$E7:INDEX(Trigo!$E7:$Z7,MIN(Z$6-$E$3,22))),0))-IF($G$2,0,IF((Z$6-$G$3)&lt;1,0,IFERROR(LOOKUP(2,1/(Trigo!$E7:INDEX(Trigo!$E7:$Z7,MIN(Z$6-$G$3,22))&lt;&gt;""),Trigo!$E7:INDEX(Trigo!$E7:$Z7,MIN(Z$6-$G$3,22))),0)))))</f>
        <v>0</v>
      </c>
      <c r="AA9" s="27" t="n">
        <f aca="false">IF(COUNT(Trigo!$E7:$Z7)=0,0,MAX(0,IF((AA$6-$E$3)&lt;1,0,IFERROR(LOOKUP(2,1/(Trigo!$E7:INDEX(Trigo!$E7:$Z7,MIN(AA$6-$E$3,22))&lt;&gt;""),Trigo!$E7:INDEX(Trigo!$E7:$Z7,MIN(AA$6-$E$3,22))),0))-IF($G$2,0,IF((AA$6-$G$3)&lt;1,0,IFERROR(LOOKUP(2,1/(Trigo!$E7:INDEX(Trigo!$E7:$Z7,MIN(AA$6-$G$3,22))&lt;&gt;""),Trigo!$E7:INDEX(Trigo!$E7:$Z7,MIN(AA$6-$G$3,22))),0)))))</f>
        <v>0</v>
      </c>
      <c r="AB9" s="27" t="n">
        <f aca="false">IF(COUNT(Trigo!$E7:$Z7)=0,0,MAX(0,IF((AB$6-$E$3)&lt;1,0,IFERROR(LOOKUP(2,1/(Trigo!$E7:INDEX(Trigo!$E7:$Z7,MIN(AB$6-$E$3,22))&lt;&gt;""),Trigo!$E7:INDEX(Trigo!$E7:$Z7,MIN(AB$6-$E$3,22))),0))-IF($G$2,0,IF((AB$6-$G$3)&lt;1,0,IFERROR(LOOKUP(2,1/(Trigo!$E7:INDEX(Trigo!$E7:$Z7,MIN(AB$6-$G$3,22))&lt;&gt;""),Trigo!$E7:INDEX(Trigo!$E7:$Z7,MIN(AB$6-$G$3,22))),0)))))</f>
        <v>0</v>
      </c>
      <c r="AC9" s="27" t="n">
        <f aca="false">IF(COUNT(Trigo!$E7:$Z7)=0,0,MAX(0,IF((AC$6-$E$3)&lt;1,0,IFERROR(LOOKUP(2,1/(Trigo!$E7:INDEX(Trigo!$E7:$Z7,MIN(AC$6-$E$3,22))&lt;&gt;""),Trigo!$E7:INDEX(Trigo!$E7:$Z7,MIN(AC$6-$E$3,22))),0))-IF($G$2,0,IF((AC$6-$G$3)&lt;1,0,IFERROR(LOOKUP(2,1/(Trigo!$E7:INDEX(Trigo!$E7:$Z7,MIN(AC$6-$G$3,22))&lt;&gt;""),Trigo!$E7:INDEX(Trigo!$E7:$Z7,MIN(AC$6-$G$3,22))),0)))))</f>
        <v>0</v>
      </c>
      <c r="AD9" s="27" t="n">
        <f aca="false">IF(COUNT(Trigo!$E7:$Z7)=0,0,MAX(0,IF((AD$6-$E$3)&lt;1,0,IFERROR(LOOKUP(2,1/(Trigo!$E7:INDEX(Trigo!$E7:$Z7,MIN(AD$6-$E$3,22))&lt;&gt;""),Trigo!$E7:INDEX(Trigo!$E7:$Z7,MIN(AD$6-$E$3,22))),0))-IF($G$2,0,IF((AD$6-$G$3)&lt;1,0,IFERROR(LOOKUP(2,1/(Trigo!$E7:INDEX(Trigo!$E7:$Z7,MIN(AD$6-$G$3,22))&lt;&gt;""),Trigo!$E7:INDEX(Trigo!$E7:$Z7,MIN(AD$6-$G$3,22))),0)))))</f>
        <v>0</v>
      </c>
      <c r="AE9" s="27" t="n">
        <f aca="false">IF(COUNT(Trigo!$E7:$Z7)=0,0,MAX(0,IF((AE$6-$E$3)&lt;1,0,IFERROR(LOOKUP(2,1/(Trigo!$E7:INDEX(Trigo!$E7:$Z7,MIN(AE$6-$E$3,22))&lt;&gt;""),Trigo!$E7:INDEX(Trigo!$E7:$Z7,MIN(AE$6-$E$3,22))),0))-IF($G$2,0,IF((AE$6-$G$3)&lt;1,0,IFERROR(LOOKUP(2,1/(Trigo!$E7:INDEX(Trigo!$E7:$Z7,MIN(AE$6-$G$3,22))&lt;&gt;""),Trigo!$E7:INDEX(Trigo!$E7:$Z7,MIN(AE$6-$G$3,22))),0)))))</f>
        <v>0</v>
      </c>
      <c r="AF9" s="27" t="n">
        <f aca="false">IF(COUNT(Trigo!$E7:$Z7)=0,0,MAX(0,IF((AF$6-$E$3)&lt;1,0,IFERROR(LOOKUP(2,1/(Trigo!$E7:INDEX(Trigo!$E7:$Z7,MIN(AF$6-$E$3,22))&lt;&gt;""),Trigo!$E7:INDEX(Trigo!$E7:$Z7,MIN(AF$6-$E$3,22))),0))-IF($G$2,0,IF((AF$6-$G$3)&lt;1,0,IFERROR(LOOKUP(2,1/(Trigo!$E7:INDEX(Trigo!$E7:$Z7,MIN(AF$6-$G$3,22))&lt;&gt;""),Trigo!$E7:INDEX(Trigo!$E7:$Z7,MIN(AF$6-$G$3,22))),0)))))</f>
        <v>0</v>
      </c>
      <c r="AG9" s="27" t="n">
        <f aca="false">IF(COUNT(Trigo!$E7:$Z7)=0,0,MAX(0,IF((AG$6-$E$3)&lt;1,0,IFERROR(LOOKUP(2,1/(Trigo!$E7:INDEX(Trigo!$E7:$Z7,MIN(AG$6-$E$3,22))&lt;&gt;""),Trigo!$E7:INDEX(Trigo!$E7:$Z7,MIN(AG$6-$E$3,22))),0))-IF($G$2,0,IF((AG$6-$G$3)&lt;1,0,IFERROR(LOOKUP(2,1/(Trigo!$E7:INDEX(Trigo!$E7:$Z7,MIN(AG$6-$G$3,22))&lt;&gt;""),Trigo!$E7:INDEX(Trigo!$E7:$Z7,MIN(AG$6-$G$3,22))),0)))))</f>
        <v>0</v>
      </c>
      <c r="AH9" s="27" t="n">
        <f aca="false">IF(COUNT(Trigo!$E7:$Z7)=0,0,MAX(0,IF((AH$6-$E$3)&lt;1,0,IFERROR(LOOKUP(2,1/(Trigo!$E7:INDEX(Trigo!$E7:$Z7,MIN(AH$6-$E$3,22))&lt;&gt;""),Trigo!$E7:INDEX(Trigo!$E7:$Z7,MIN(AH$6-$E$3,22))),0))-IF($G$2,0,IF((AH$6-$G$3)&lt;1,0,IFERROR(LOOKUP(2,1/(Trigo!$E7:INDEX(Trigo!$E7:$Z7,MIN(AH$6-$G$3,22))&lt;&gt;""),Trigo!$E7:INDEX(Trigo!$E7:$Z7,MIN(AH$6-$G$3,22))),0)))))</f>
        <v>0</v>
      </c>
      <c r="AI9" s="27" t="n">
        <f aca="false">IF(COUNT(Trigo!$E7:$Z7)=0,0,MAX(0,IF((AI$6-$E$3)&lt;1,0,IFERROR(LOOKUP(2,1/(Trigo!$E7:INDEX(Trigo!$E7:$Z7,MIN(AI$6-$E$3,22))&lt;&gt;""),Trigo!$E7:INDEX(Trigo!$E7:$Z7,MIN(AI$6-$E$3,22))),0))-IF($G$2,0,IF((AI$6-$G$3)&lt;1,0,IFERROR(LOOKUP(2,1/(Trigo!$E7:INDEX(Trigo!$E7:$Z7,MIN(AI$6-$G$3,22))&lt;&gt;""),Trigo!$E7:INDEX(Trigo!$E7:$Z7,MIN(AI$6-$G$3,22))),0)))))</f>
        <v>0</v>
      </c>
      <c r="AJ9" s="27" t="n">
        <f aca="false">IF(COUNT(Trigo!$E7:$Z7)=0,0,MAX(0,IF((AJ$6-$E$3)&lt;1,0,IFERROR(LOOKUP(2,1/(Trigo!$E7:INDEX(Trigo!$E7:$Z7,MIN(AJ$6-$E$3,22))&lt;&gt;""),Trigo!$E7:INDEX(Trigo!$E7:$Z7,MIN(AJ$6-$E$3,22))),0))-IF($G$2,0,IF((AJ$6-$G$3)&lt;1,0,IFERROR(LOOKUP(2,1/(Trigo!$E7:INDEX(Trigo!$E7:$Z7,MIN(AJ$6-$G$3,22))&lt;&gt;""),Trigo!$E7:INDEX(Trigo!$E7:$Z7,MIN(AJ$6-$G$3,22))),0)))))</f>
        <v>0</v>
      </c>
      <c r="AK9" s="27" t="n">
        <f aca="false">IF(COUNT(Trigo!$E7:$Z7)=0,0,MAX(0,IF((AK$6-$E$3)&lt;1,0,IFERROR(LOOKUP(2,1/(Trigo!$E7:INDEX(Trigo!$E7:$Z7,MIN(AK$6-$E$3,22))&lt;&gt;""),Trigo!$E7:INDEX(Trigo!$E7:$Z7,MIN(AK$6-$E$3,22))),0))-IF($G$2,0,IF((AK$6-$G$3)&lt;1,0,IFERROR(LOOKUP(2,1/(Trigo!$E7:INDEX(Trigo!$E7:$Z7,MIN(AK$6-$G$3,22))&lt;&gt;""),Trigo!$E7:INDEX(Trigo!$E7:$Z7,MIN(AK$6-$G$3,22))),0)))))</f>
        <v>0</v>
      </c>
      <c r="AL9" s="27" t="n">
        <f aca="false">IF(COUNT(Trigo!$E7:$Z7)=0,0,MAX(0,IF((AL$6-$E$3)&lt;1,0,IFERROR(LOOKUP(2,1/(Trigo!$E7:INDEX(Trigo!$E7:$Z7,MIN(AL$6-$E$3,22))&lt;&gt;""),Trigo!$E7:INDEX(Trigo!$E7:$Z7,MIN(AL$6-$E$3,22))),0))-IF($G$2,0,IF((AL$6-$G$3)&lt;1,0,IFERROR(LOOKUP(2,1/(Trigo!$E7:INDEX(Trigo!$E7:$Z7,MIN(AL$6-$G$3,22))&lt;&gt;""),Trigo!$E7:INDEX(Trigo!$E7:$Z7,MIN(AL$6-$G$3,22))),0)))))</f>
        <v>0</v>
      </c>
      <c r="AM9" s="27" t="n">
        <f aca="false">IF(COUNT(Trigo!$E7:$Z7)=0,0,MAX(0,IF((AM$6-$E$3)&lt;1,0,IFERROR(LOOKUP(2,1/(Trigo!$E7:INDEX(Trigo!$E7:$Z7,MIN(AM$6-$E$3,22))&lt;&gt;""),Trigo!$E7:INDEX(Trigo!$E7:$Z7,MIN(AM$6-$E$3,22))),0))-IF($G$2,0,IF((AM$6-$G$3)&lt;1,0,IFERROR(LOOKUP(2,1/(Trigo!$E7:INDEX(Trigo!$E7:$Z7,MIN(AM$6-$G$3,22))&lt;&gt;""),Trigo!$E7:INDEX(Trigo!$E7:$Z7,MIN(AM$6-$G$3,22))),0)))))</f>
        <v>0</v>
      </c>
      <c r="AN9" s="27" t="n">
        <f aca="false">IF(COUNT(Trigo!$E7:$Z7)=0,0,MAX(0,IF((AN$6-$E$3)&lt;1,0,IFERROR(LOOKUP(2,1/(Trigo!$E7:INDEX(Trigo!$E7:$Z7,MIN(AN$6-$E$3,22))&lt;&gt;""),Trigo!$E7:INDEX(Trigo!$E7:$Z7,MIN(AN$6-$E$3,22))),0))-IF($G$2,0,IF((AN$6-$G$3)&lt;1,0,IFERROR(LOOKUP(2,1/(Trigo!$E7:INDEX(Trigo!$E7:$Z7,MIN(AN$6-$G$3,22))&lt;&gt;""),Trigo!$E7:INDEX(Trigo!$E7:$Z7,MIN(AN$6-$G$3,22))),0)))))</f>
        <v>0</v>
      </c>
      <c r="AO9" s="27" t="n">
        <f aca="false">IF(COUNT(Trigo!$E7:$Z7)=0,0,MAX(0,IF((AO$6-$E$3)&lt;1,0,IFERROR(LOOKUP(2,1/(Trigo!$E7:INDEX(Trigo!$E7:$Z7,MIN(AO$6-$E$3,22))&lt;&gt;""),Trigo!$E7:INDEX(Trigo!$E7:$Z7,MIN(AO$6-$E$3,22))),0))-IF($G$2,0,IF((AO$6-$G$3)&lt;1,0,IFERROR(LOOKUP(2,1/(Trigo!$E7:INDEX(Trigo!$E7:$Z7,MIN(AO$6-$G$3,22))&lt;&gt;""),Trigo!$E7:INDEX(Trigo!$E7:$Z7,MIN(AO$6-$G$3,22))),0)))))</f>
        <v>0</v>
      </c>
      <c r="AP9" s="27" t="n">
        <f aca="false">IF(COUNT(Trigo!$E7:$Z7)=0,0,MAX(0,IF((AP$6-$E$3)&lt;1,0,IFERROR(LOOKUP(2,1/(Trigo!$E7:INDEX(Trigo!$E7:$Z7,MIN(AP$6-$E$3,22))&lt;&gt;""),Trigo!$E7:INDEX(Trigo!$E7:$Z7,MIN(AP$6-$E$3,22))),0))-IF($G$2,0,IF((AP$6-$G$3)&lt;1,0,IFERROR(LOOKUP(2,1/(Trigo!$E7:INDEX(Trigo!$E7:$Z7,MIN(AP$6-$G$3,22))&lt;&gt;""),Trigo!$E7:INDEX(Trigo!$E7:$Z7,MIN(AP$6-$G$3,22))),0)))))</f>
        <v>0</v>
      </c>
      <c r="AQ9" s="27" t="n">
        <f aca="false">IF(COUNT(Trigo!$E7:$Z7)=0,0,MAX(0,IF((AQ$6-$E$3)&lt;1,0,IFERROR(LOOKUP(2,1/(Trigo!$E7:INDEX(Trigo!$E7:$Z7,MIN(AQ$6-$E$3,22))&lt;&gt;""),Trigo!$E7:INDEX(Trigo!$E7:$Z7,MIN(AQ$6-$E$3,22))),0))-IF($G$2,0,IF((AQ$6-$G$3)&lt;1,0,IFERROR(LOOKUP(2,1/(Trigo!$E7:INDEX(Trigo!$E7:$Z7,MIN(AQ$6-$G$3,22))&lt;&gt;""),Trigo!$E7:INDEX(Trigo!$E7:$Z7,MIN(AQ$6-$G$3,22))),0)))))</f>
        <v>0</v>
      </c>
      <c r="AR9" s="27" t="n">
        <f aca="false">IF(COUNT(Trigo!$E7:$Z7)=0,0,MAX(0,IF((AR$6-$E$3)&lt;1,0,IFERROR(LOOKUP(2,1/(Trigo!$E7:INDEX(Trigo!$E7:$Z7,MIN(AR$6-$E$3,22))&lt;&gt;""),Trigo!$E7:INDEX(Trigo!$E7:$Z7,MIN(AR$6-$E$3,22))),0))-IF($G$2,0,IF((AR$6-$G$3)&lt;1,0,IFERROR(LOOKUP(2,1/(Trigo!$E7:INDEX(Trigo!$E7:$Z7,MIN(AR$6-$G$3,22))&lt;&gt;""),Trigo!$E7:INDEX(Trigo!$E7:$Z7,MIN(AR$6-$G$3,22))),0)))))</f>
        <v>0</v>
      </c>
      <c r="AS9" s="27" t="n">
        <f aca="false">IF(COUNT(Trigo!$E7:$Z7)=0,0,MAX(0,IF((AS$6-$E$3)&lt;1,0,IFERROR(LOOKUP(2,1/(Trigo!$E7:INDEX(Trigo!$E7:$Z7,MIN(AS$6-$E$3,22))&lt;&gt;""),Trigo!$E7:INDEX(Trigo!$E7:$Z7,MIN(AS$6-$E$3,22))),0))-IF($G$2,0,IF((AS$6-$G$3)&lt;1,0,IFERROR(LOOKUP(2,1/(Trigo!$E7:INDEX(Trigo!$E7:$Z7,MIN(AS$6-$G$3,22))&lt;&gt;""),Trigo!$E7:INDEX(Trigo!$E7:$Z7,MIN(AS$6-$G$3,22))),0)))))</f>
        <v>0</v>
      </c>
      <c r="AT9" s="27" t="n">
        <f aca="false">IF(COUNT(Trigo!$E7:$Z7)=0,0,MAX(0,IF((AT$6-$E$3)&lt;1,0,IFERROR(LOOKUP(2,1/(Trigo!$E7:INDEX(Trigo!$E7:$Z7,MIN(AT$6-$E$3,22))&lt;&gt;""),Trigo!$E7:INDEX(Trigo!$E7:$Z7,MIN(AT$6-$E$3,22))),0))-IF($G$2,0,IF((AT$6-$G$3)&lt;1,0,IFERROR(LOOKUP(2,1/(Trigo!$E7:INDEX(Trigo!$E7:$Z7,MIN(AT$6-$G$3,22))&lt;&gt;""),Trigo!$E7:INDEX(Trigo!$E7:$Z7,MIN(AT$6-$G$3,22))),0)))))</f>
        <v>0</v>
      </c>
      <c r="AU9" s="27" t="n">
        <f aca="false">IF(COUNT(Trigo!$E7:$Z7)=0,0,MAX(0,IF((AU$6-$E$3)&lt;1,0,IFERROR(LOOKUP(2,1/(Trigo!$E7:INDEX(Trigo!$E7:$Z7,MIN(AU$6-$E$3,22))&lt;&gt;""),Trigo!$E7:INDEX(Trigo!$E7:$Z7,MIN(AU$6-$E$3,22))),0))-IF($G$2,0,IF((AU$6-$G$3)&lt;1,0,IFERROR(LOOKUP(2,1/(Trigo!$E7:INDEX(Trigo!$E7:$Z7,MIN(AU$6-$G$3,22))&lt;&gt;""),Trigo!$E7:INDEX(Trigo!$E7:$Z7,MIN(AU$6-$G$3,22))),0)))))</f>
        <v>0</v>
      </c>
      <c r="AV9" s="27" t="n">
        <f aca="false">IF(COUNT(Trigo!$E7:$Z7)=0,0,MAX(0,IF((AV$6-$E$3)&lt;1,0,IFERROR(LOOKUP(2,1/(Trigo!$E7:INDEX(Trigo!$E7:$Z7,MIN(AV$6-$E$3,22))&lt;&gt;""),Trigo!$E7:INDEX(Trigo!$E7:$Z7,MIN(AV$6-$E$3,22))),0))-IF($G$2,0,IF((AV$6-$G$3)&lt;1,0,IFERROR(LOOKUP(2,1/(Trigo!$E7:INDEX(Trigo!$E7:$Z7,MIN(AV$6-$G$3,22))&lt;&gt;""),Trigo!$E7:INDEX(Trigo!$E7:$Z7,MIN(AV$6-$G$3,22))),0)))))</f>
        <v>0</v>
      </c>
      <c r="AW9" s="27" t="n">
        <f aca="false">IF(COUNT(Trigo!$E7:$Z7)=0,0,MAX(0,IF((AW$6-$E$3)&lt;1,0,IFERROR(LOOKUP(2,1/(Trigo!$E7:INDEX(Trigo!$E7:$Z7,MIN(AW$6-$E$3,22))&lt;&gt;""),Trigo!$E7:INDEX(Trigo!$E7:$Z7,MIN(AW$6-$E$3,22))),0))-IF($G$2,0,IF((AW$6-$G$3)&lt;1,0,IFERROR(LOOKUP(2,1/(Trigo!$E7:INDEX(Trigo!$E7:$Z7,MIN(AW$6-$G$3,22))&lt;&gt;""),Trigo!$E7:INDEX(Trigo!$E7:$Z7,MIN(AW$6-$G$3,22))),0)))))</f>
        <v>0</v>
      </c>
      <c r="AX9" s="27" t="n">
        <f aca="false">IF(COUNT(Trigo!$E7:$Z7)=0,0,MAX(0,IF((AX$6-$E$3)&lt;1,0,IFERROR(LOOKUP(2,1/(Trigo!$E7:INDEX(Trigo!$E7:$Z7,MIN(AX$6-$E$3,22))&lt;&gt;""),Trigo!$E7:INDEX(Trigo!$E7:$Z7,MIN(AX$6-$E$3,22))),0))-IF($G$2,0,IF((AX$6-$G$3)&lt;1,0,IFERROR(LOOKUP(2,1/(Trigo!$E7:INDEX(Trigo!$E7:$Z7,MIN(AX$6-$G$3,22))&lt;&gt;""),Trigo!$E7:INDEX(Trigo!$E7:$Z7,MIN(AX$6-$G$3,22))),0)))))</f>
        <v>0</v>
      </c>
      <c r="AY9" s="27" t="n">
        <f aca="false">IF(COUNT(Trigo!$E7:$Z7)=0,0,MAX(0,IF((AY$6-$E$3)&lt;1,0,IFERROR(LOOKUP(2,1/(Trigo!$E7:INDEX(Trigo!$E7:$Z7,MIN(AY$6-$E$3,22))&lt;&gt;""),Trigo!$E7:INDEX(Trigo!$E7:$Z7,MIN(AY$6-$E$3,22))),0))-IF($G$2,0,IF((AY$6-$G$3)&lt;1,0,IFERROR(LOOKUP(2,1/(Trigo!$E7:INDEX(Trigo!$E7:$Z7,MIN(AY$6-$G$3,22))&lt;&gt;""),Trigo!$E7:INDEX(Trigo!$E7:$Z7,MIN(AY$6-$G$3,22))),0)))))</f>
        <v>0</v>
      </c>
      <c r="AZ9" s="27" t="n">
        <f aca="false">IF(COUNT(Trigo!$E7:$Z7)=0,0,MAX(0,IF((AZ$6-$E$3)&lt;1,0,IFERROR(LOOKUP(2,1/(Trigo!$E7:INDEX(Trigo!$E7:$Z7,MIN(AZ$6-$E$3,22))&lt;&gt;""),Trigo!$E7:INDEX(Trigo!$E7:$Z7,MIN(AZ$6-$E$3,22))),0))-IF($G$2,0,IF((AZ$6-$G$3)&lt;1,0,IFERROR(LOOKUP(2,1/(Trigo!$E7:INDEX(Trigo!$E7:$Z7,MIN(AZ$6-$G$3,22))&lt;&gt;""),Trigo!$E7:INDEX(Trigo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IF(COUNT(Trigo!$E8:$Z8)&gt;0,N(Trigo!$D8),0)</f>
        <v>0</v>
      </c>
      <c r="E10" s="27" t="n">
        <f aca="false">IF(COUNT(Trigo!$E8:$Z8)=0,0,MAX(0,IF((E$6-$E$3)&lt;1,0,IFERROR(LOOKUP(2,1/(Trigo!$E8:INDEX(Trigo!$E8:$Z8,MIN(E$6-$E$3,22))&lt;&gt;""),Trigo!$E8:INDEX(Trigo!$E8:$Z8,MIN(E$6-$E$3,22))),0))-IF($G$2,0,IF((E$6-$G$3)&lt;1,0,IFERROR(LOOKUP(2,1/(Trigo!$E8:INDEX(Trigo!$E8:$Z8,MIN(E$6-$G$3,22))&lt;&gt;""),Trigo!$E8:INDEX(Trigo!$E8:$Z8,MIN(E$6-$G$3,22))),0)))))</f>
        <v>0</v>
      </c>
      <c r="F10" s="27" t="n">
        <f aca="false">IF(COUNT(Trigo!$E8:$Z8)=0,0,MAX(0,IF((F$6-$E$3)&lt;1,0,IFERROR(LOOKUP(2,1/(Trigo!$E8:INDEX(Trigo!$E8:$Z8,MIN(F$6-$E$3,22))&lt;&gt;""),Trigo!$E8:INDEX(Trigo!$E8:$Z8,MIN(F$6-$E$3,22))),0))-IF($G$2,0,IF((F$6-$G$3)&lt;1,0,IFERROR(LOOKUP(2,1/(Trigo!$E8:INDEX(Trigo!$E8:$Z8,MIN(F$6-$G$3,22))&lt;&gt;""),Trigo!$E8:INDEX(Trigo!$E8:$Z8,MIN(F$6-$G$3,22))),0)))))</f>
        <v>0</v>
      </c>
      <c r="G10" s="27" t="n">
        <f aca="false">IF(COUNT(Trigo!$E8:$Z8)=0,0,MAX(0,IF((G$6-$E$3)&lt;1,0,IFERROR(LOOKUP(2,1/(Trigo!$E8:INDEX(Trigo!$E8:$Z8,MIN(G$6-$E$3,22))&lt;&gt;""),Trigo!$E8:INDEX(Trigo!$E8:$Z8,MIN(G$6-$E$3,22))),0))-IF($G$2,0,IF((G$6-$G$3)&lt;1,0,IFERROR(LOOKUP(2,1/(Trigo!$E8:INDEX(Trigo!$E8:$Z8,MIN(G$6-$G$3,22))&lt;&gt;""),Trigo!$E8:INDEX(Trigo!$E8:$Z8,MIN(G$6-$G$3,22))),0)))))</f>
        <v>0</v>
      </c>
      <c r="H10" s="27" t="n">
        <f aca="false">IF(COUNT(Trigo!$E8:$Z8)=0,0,MAX(0,IF((H$6-$E$3)&lt;1,0,IFERROR(LOOKUP(2,1/(Trigo!$E8:INDEX(Trigo!$E8:$Z8,MIN(H$6-$E$3,22))&lt;&gt;""),Trigo!$E8:INDEX(Trigo!$E8:$Z8,MIN(H$6-$E$3,22))),0))-IF($G$2,0,IF((H$6-$G$3)&lt;1,0,IFERROR(LOOKUP(2,1/(Trigo!$E8:INDEX(Trigo!$E8:$Z8,MIN(H$6-$G$3,22))&lt;&gt;""),Trigo!$E8:INDEX(Trigo!$E8:$Z8,MIN(H$6-$G$3,22))),0)))))</f>
        <v>0</v>
      </c>
      <c r="I10" s="27" t="n">
        <f aca="false">IF(COUNT(Trigo!$E8:$Z8)=0,0,MAX(0,IF((I$6-$E$3)&lt;1,0,IFERROR(LOOKUP(2,1/(Trigo!$E8:INDEX(Trigo!$E8:$Z8,MIN(I$6-$E$3,22))&lt;&gt;""),Trigo!$E8:INDEX(Trigo!$E8:$Z8,MIN(I$6-$E$3,22))),0))-IF($G$2,0,IF((I$6-$G$3)&lt;1,0,IFERROR(LOOKUP(2,1/(Trigo!$E8:INDEX(Trigo!$E8:$Z8,MIN(I$6-$G$3,22))&lt;&gt;""),Trigo!$E8:INDEX(Trigo!$E8:$Z8,MIN(I$6-$G$3,22))),0)))))</f>
        <v>0</v>
      </c>
      <c r="J10" s="27" t="n">
        <f aca="false">IF(COUNT(Trigo!$E8:$Z8)=0,0,MAX(0,IF((J$6-$E$3)&lt;1,0,IFERROR(LOOKUP(2,1/(Trigo!$E8:INDEX(Trigo!$E8:$Z8,MIN(J$6-$E$3,22))&lt;&gt;""),Trigo!$E8:INDEX(Trigo!$E8:$Z8,MIN(J$6-$E$3,22))),0))-IF($G$2,0,IF((J$6-$G$3)&lt;1,0,IFERROR(LOOKUP(2,1/(Trigo!$E8:INDEX(Trigo!$E8:$Z8,MIN(J$6-$G$3,22))&lt;&gt;""),Trigo!$E8:INDEX(Trigo!$E8:$Z8,MIN(J$6-$G$3,22))),0)))))</f>
        <v>0</v>
      </c>
      <c r="K10" s="27" t="n">
        <f aca="false">IF(COUNT(Trigo!$E8:$Z8)=0,0,MAX(0,IF((K$6-$E$3)&lt;1,0,IFERROR(LOOKUP(2,1/(Trigo!$E8:INDEX(Trigo!$E8:$Z8,MIN(K$6-$E$3,22))&lt;&gt;""),Trigo!$E8:INDEX(Trigo!$E8:$Z8,MIN(K$6-$E$3,22))),0))-IF($G$2,0,IF((K$6-$G$3)&lt;1,0,IFERROR(LOOKUP(2,1/(Trigo!$E8:INDEX(Trigo!$E8:$Z8,MIN(K$6-$G$3,22))&lt;&gt;""),Trigo!$E8:INDEX(Trigo!$E8:$Z8,MIN(K$6-$G$3,22))),0)))))</f>
        <v>0</v>
      </c>
      <c r="L10" s="27" t="n">
        <f aca="false">IF(COUNT(Trigo!$E8:$Z8)=0,0,MAX(0,IF((L$6-$E$3)&lt;1,0,IFERROR(LOOKUP(2,1/(Trigo!$E8:INDEX(Trigo!$E8:$Z8,MIN(L$6-$E$3,22))&lt;&gt;""),Trigo!$E8:INDEX(Trigo!$E8:$Z8,MIN(L$6-$E$3,22))),0))-IF($G$2,0,IF((L$6-$G$3)&lt;1,0,IFERROR(LOOKUP(2,1/(Trigo!$E8:INDEX(Trigo!$E8:$Z8,MIN(L$6-$G$3,22))&lt;&gt;""),Trigo!$E8:INDEX(Trigo!$E8:$Z8,MIN(L$6-$G$3,22))),0)))))</f>
        <v>0</v>
      </c>
      <c r="M10" s="27" t="n">
        <f aca="false">IF(COUNT(Trigo!$E8:$Z8)=0,0,MAX(0,IF((M$6-$E$3)&lt;1,0,IFERROR(LOOKUP(2,1/(Trigo!$E8:INDEX(Trigo!$E8:$Z8,MIN(M$6-$E$3,22))&lt;&gt;""),Trigo!$E8:INDEX(Trigo!$E8:$Z8,MIN(M$6-$E$3,22))),0))-IF($G$2,0,IF((M$6-$G$3)&lt;1,0,IFERROR(LOOKUP(2,1/(Trigo!$E8:INDEX(Trigo!$E8:$Z8,MIN(M$6-$G$3,22))&lt;&gt;""),Trigo!$E8:INDEX(Trigo!$E8:$Z8,MIN(M$6-$G$3,22))),0)))))</f>
        <v>0</v>
      </c>
      <c r="N10" s="27" t="n">
        <f aca="false">IF(COUNT(Trigo!$E8:$Z8)=0,0,MAX(0,IF((N$6-$E$3)&lt;1,0,IFERROR(LOOKUP(2,1/(Trigo!$E8:INDEX(Trigo!$E8:$Z8,MIN(N$6-$E$3,22))&lt;&gt;""),Trigo!$E8:INDEX(Trigo!$E8:$Z8,MIN(N$6-$E$3,22))),0))-IF($G$2,0,IF((N$6-$G$3)&lt;1,0,IFERROR(LOOKUP(2,1/(Trigo!$E8:INDEX(Trigo!$E8:$Z8,MIN(N$6-$G$3,22))&lt;&gt;""),Trigo!$E8:INDEX(Trigo!$E8:$Z8,MIN(N$6-$G$3,22))),0)))))</f>
        <v>0</v>
      </c>
      <c r="O10" s="27" t="n">
        <f aca="false">IF(COUNT(Trigo!$E8:$Z8)=0,0,MAX(0,IF((O$6-$E$3)&lt;1,0,IFERROR(LOOKUP(2,1/(Trigo!$E8:INDEX(Trigo!$E8:$Z8,MIN(O$6-$E$3,22))&lt;&gt;""),Trigo!$E8:INDEX(Trigo!$E8:$Z8,MIN(O$6-$E$3,22))),0))-IF($G$2,0,IF((O$6-$G$3)&lt;1,0,IFERROR(LOOKUP(2,1/(Trigo!$E8:INDEX(Trigo!$E8:$Z8,MIN(O$6-$G$3,22))&lt;&gt;""),Trigo!$E8:INDEX(Trigo!$E8:$Z8,MIN(O$6-$G$3,22))),0)))))</f>
        <v>0</v>
      </c>
      <c r="P10" s="27" t="n">
        <f aca="false">IF(COUNT(Trigo!$E8:$Z8)=0,0,MAX(0,IF((P$6-$E$3)&lt;1,0,IFERROR(LOOKUP(2,1/(Trigo!$E8:INDEX(Trigo!$E8:$Z8,MIN(P$6-$E$3,22))&lt;&gt;""),Trigo!$E8:INDEX(Trigo!$E8:$Z8,MIN(P$6-$E$3,22))),0))-IF($G$2,0,IF((P$6-$G$3)&lt;1,0,IFERROR(LOOKUP(2,1/(Trigo!$E8:INDEX(Trigo!$E8:$Z8,MIN(P$6-$G$3,22))&lt;&gt;""),Trigo!$E8:INDEX(Trigo!$E8:$Z8,MIN(P$6-$G$3,22))),0)))))</f>
        <v>0</v>
      </c>
      <c r="Q10" s="27" t="n">
        <f aca="false">IF(COUNT(Trigo!$E8:$Z8)=0,0,MAX(0,IF((Q$6-$E$3)&lt;1,0,IFERROR(LOOKUP(2,1/(Trigo!$E8:INDEX(Trigo!$E8:$Z8,MIN(Q$6-$E$3,22))&lt;&gt;""),Trigo!$E8:INDEX(Trigo!$E8:$Z8,MIN(Q$6-$E$3,22))),0))-IF($G$2,0,IF((Q$6-$G$3)&lt;1,0,IFERROR(LOOKUP(2,1/(Trigo!$E8:INDEX(Trigo!$E8:$Z8,MIN(Q$6-$G$3,22))&lt;&gt;""),Trigo!$E8:INDEX(Trigo!$E8:$Z8,MIN(Q$6-$G$3,22))),0)))))</f>
        <v>0</v>
      </c>
      <c r="R10" s="27" t="n">
        <f aca="false">IF(COUNT(Trigo!$E8:$Z8)=0,0,MAX(0,IF((R$6-$E$3)&lt;1,0,IFERROR(LOOKUP(2,1/(Trigo!$E8:INDEX(Trigo!$E8:$Z8,MIN(R$6-$E$3,22))&lt;&gt;""),Trigo!$E8:INDEX(Trigo!$E8:$Z8,MIN(R$6-$E$3,22))),0))-IF($G$2,0,IF((R$6-$G$3)&lt;1,0,IFERROR(LOOKUP(2,1/(Trigo!$E8:INDEX(Trigo!$E8:$Z8,MIN(R$6-$G$3,22))&lt;&gt;""),Trigo!$E8:INDEX(Trigo!$E8:$Z8,MIN(R$6-$G$3,22))),0)))))</f>
        <v>0</v>
      </c>
      <c r="S10" s="27" t="n">
        <f aca="false">IF(COUNT(Trigo!$E8:$Z8)=0,0,MAX(0,IF((S$6-$E$3)&lt;1,0,IFERROR(LOOKUP(2,1/(Trigo!$E8:INDEX(Trigo!$E8:$Z8,MIN(S$6-$E$3,22))&lt;&gt;""),Trigo!$E8:INDEX(Trigo!$E8:$Z8,MIN(S$6-$E$3,22))),0))-IF($G$2,0,IF((S$6-$G$3)&lt;1,0,IFERROR(LOOKUP(2,1/(Trigo!$E8:INDEX(Trigo!$E8:$Z8,MIN(S$6-$G$3,22))&lt;&gt;""),Trigo!$E8:INDEX(Trigo!$E8:$Z8,MIN(S$6-$G$3,22))),0)))))</f>
        <v>0</v>
      </c>
      <c r="T10" s="27" t="n">
        <f aca="false">IF(COUNT(Trigo!$E8:$Z8)=0,0,MAX(0,IF((T$6-$E$3)&lt;1,0,IFERROR(LOOKUP(2,1/(Trigo!$E8:INDEX(Trigo!$E8:$Z8,MIN(T$6-$E$3,22))&lt;&gt;""),Trigo!$E8:INDEX(Trigo!$E8:$Z8,MIN(T$6-$E$3,22))),0))-IF($G$2,0,IF((T$6-$G$3)&lt;1,0,IFERROR(LOOKUP(2,1/(Trigo!$E8:INDEX(Trigo!$E8:$Z8,MIN(T$6-$G$3,22))&lt;&gt;""),Trigo!$E8:INDEX(Trigo!$E8:$Z8,MIN(T$6-$G$3,22))),0)))))</f>
        <v>0</v>
      </c>
      <c r="U10" s="27" t="n">
        <f aca="false">IF(COUNT(Trigo!$E8:$Z8)=0,0,MAX(0,IF((U$6-$E$3)&lt;1,0,IFERROR(LOOKUP(2,1/(Trigo!$E8:INDEX(Trigo!$E8:$Z8,MIN(U$6-$E$3,22))&lt;&gt;""),Trigo!$E8:INDEX(Trigo!$E8:$Z8,MIN(U$6-$E$3,22))),0))-IF($G$2,0,IF((U$6-$G$3)&lt;1,0,IFERROR(LOOKUP(2,1/(Trigo!$E8:INDEX(Trigo!$E8:$Z8,MIN(U$6-$G$3,22))&lt;&gt;""),Trigo!$E8:INDEX(Trigo!$E8:$Z8,MIN(U$6-$G$3,22))),0)))))</f>
        <v>0</v>
      </c>
      <c r="V10" s="27" t="n">
        <f aca="false">IF(COUNT(Trigo!$E8:$Z8)=0,0,MAX(0,IF((V$6-$E$3)&lt;1,0,IFERROR(LOOKUP(2,1/(Trigo!$E8:INDEX(Trigo!$E8:$Z8,MIN(V$6-$E$3,22))&lt;&gt;""),Trigo!$E8:INDEX(Trigo!$E8:$Z8,MIN(V$6-$E$3,22))),0))-IF($G$2,0,IF((V$6-$G$3)&lt;1,0,IFERROR(LOOKUP(2,1/(Trigo!$E8:INDEX(Trigo!$E8:$Z8,MIN(V$6-$G$3,22))&lt;&gt;""),Trigo!$E8:INDEX(Trigo!$E8:$Z8,MIN(V$6-$G$3,22))),0)))))</f>
        <v>0</v>
      </c>
      <c r="W10" s="27" t="n">
        <f aca="false">IF(COUNT(Trigo!$E8:$Z8)=0,0,MAX(0,IF((W$6-$E$3)&lt;1,0,IFERROR(LOOKUP(2,1/(Trigo!$E8:INDEX(Trigo!$E8:$Z8,MIN(W$6-$E$3,22))&lt;&gt;""),Trigo!$E8:INDEX(Trigo!$E8:$Z8,MIN(W$6-$E$3,22))),0))-IF($G$2,0,IF((W$6-$G$3)&lt;1,0,IFERROR(LOOKUP(2,1/(Trigo!$E8:INDEX(Trigo!$E8:$Z8,MIN(W$6-$G$3,22))&lt;&gt;""),Trigo!$E8:INDEX(Trigo!$E8:$Z8,MIN(W$6-$G$3,22))),0)))))</f>
        <v>0</v>
      </c>
      <c r="X10" s="27" t="n">
        <f aca="false">IF(COUNT(Trigo!$E8:$Z8)=0,0,MAX(0,IF((X$6-$E$3)&lt;1,0,IFERROR(LOOKUP(2,1/(Trigo!$E8:INDEX(Trigo!$E8:$Z8,MIN(X$6-$E$3,22))&lt;&gt;""),Trigo!$E8:INDEX(Trigo!$E8:$Z8,MIN(X$6-$E$3,22))),0))-IF($G$2,0,IF((X$6-$G$3)&lt;1,0,IFERROR(LOOKUP(2,1/(Trigo!$E8:INDEX(Trigo!$E8:$Z8,MIN(X$6-$G$3,22))&lt;&gt;""),Trigo!$E8:INDEX(Trigo!$E8:$Z8,MIN(X$6-$G$3,22))),0)))))</f>
        <v>0</v>
      </c>
      <c r="Y10" s="27" t="n">
        <f aca="false">IF(COUNT(Trigo!$E8:$Z8)=0,0,MAX(0,IF((Y$6-$E$3)&lt;1,0,IFERROR(LOOKUP(2,1/(Trigo!$E8:INDEX(Trigo!$E8:$Z8,MIN(Y$6-$E$3,22))&lt;&gt;""),Trigo!$E8:INDEX(Trigo!$E8:$Z8,MIN(Y$6-$E$3,22))),0))-IF($G$2,0,IF((Y$6-$G$3)&lt;1,0,IFERROR(LOOKUP(2,1/(Trigo!$E8:INDEX(Trigo!$E8:$Z8,MIN(Y$6-$G$3,22))&lt;&gt;""),Trigo!$E8:INDEX(Trigo!$E8:$Z8,MIN(Y$6-$G$3,22))),0)))))</f>
        <v>0</v>
      </c>
      <c r="Z10" s="27" t="n">
        <f aca="false">IF(COUNT(Trigo!$E8:$Z8)=0,0,MAX(0,IF((Z$6-$E$3)&lt;1,0,IFERROR(LOOKUP(2,1/(Trigo!$E8:INDEX(Trigo!$E8:$Z8,MIN(Z$6-$E$3,22))&lt;&gt;""),Trigo!$E8:INDEX(Trigo!$E8:$Z8,MIN(Z$6-$E$3,22))),0))-IF($G$2,0,IF((Z$6-$G$3)&lt;1,0,IFERROR(LOOKUP(2,1/(Trigo!$E8:INDEX(Trigo!$E8:$Z8,MIN(Z$6-$G$3,22))&lt;&gt;""),Trigo!$E8:INDEX(Trigo!$E8:$Z8,MIN(Z$6-$G$3,22))),0)))))</f>
        <v>0</v>
      </c>
      <c r="AA10" s="27" t="n">
        <f aca="false">IF(COUNT(Trigo!$E8:$Z8)=0,0,MAX(0,IF((AA$6-$E$3)&lt;1,0,IFERROR(LOOKUP(2,1/(Trigo!$E8:INDEX(Trigo!$E8:$Z8,MIN(AA$6-$E$3,22))&lt;&gt;""),Trigo!$E8:INDEX(Trigo!$E8:$Z8,MIN(AA$6-$E$3,22))),0))-IF($G$2,0,IF((AA$6-$G$3)&lt;1,0,IFERROR(LOOKUP(2,1/(Trigo!$E8:INDEX(Trigo!$E8:$Z8,MIN(AA$6-$G$3,22))&lt;&gt;""),Trigo!$E8:INDEX(Trigo!$E8:$Z8,MIN(AA$6-$G$3,22))),0)))))</f>
        <v>0</v>
      </c>
      <c r="AB10" s="27" t="n">
        <f aca="false">IF(COUNT(Trigo!$E8:$Z8)=0,0,MAX(0,IF((AB$6-$E$3)&lt;1,0,IFERROR(LOOKUP(2,1/(Trigo!$E8:INDEX(Trigo!$E8:$Z8,MIN(AB$6-$E$3,22))&lt;&gt;""),Trigo!$E8:INDEX(Trigo!$E8:$Z8,MIN(AB$6-$E$3,22))),0))-IF($G$2,0,IF((AB$6-$G$3)&lt;1,0,IFERROR(LOOKUP(2,1/(Trigo!$E8:INDEX(Trigo!$E8:$Z8,MIN(AB$6-$G$3,22))&lt;&gt;""),Trigo!$E8:INDEX(Trigo!$E8:$Z8,MIN(AB$6-$G$3,22))),0)))))</f>
        <v>0</v>
      </c>
      <c r="AC10" s="27" t="n">
        <f aca="false">IF(COUNT(Trigo!$E8:$Z8)=0,0,MAX(0,IF((AC$6-$E$3)&lt;1,0,IFERROR(LOOKUP(2,1/(Trigo!$E8:INDEX(Trigo!$E8:$Z8,MIN(AC$6-$E$3,22))&lt;&gt;""),Trigo!$E8:INDEX(Trigo!$E8:$Z8,MIN(AC$6-$E$3,22))),0))-IF($G$2,0,IF((AC$6-$G$3)&lt;1,0,IFERROR(LOOKUP(2,1/(Trigo!$E8:INDEX(Trigo!$E8:$Z8,MIN(AC$6-$G$3,22))&lt;&gt;""),Trigo!$E8:INDEX(Trigo!$E8:$Z8,MIN(AC$6-$G$3,22))),0)))))</f>
        <v>0</v>
      </c>
      <c r="AD10" s="27" t="n">
        <f aca="false">IF(COUNT(Trigo!$E8:$Z8)=0,0,MAX(0,IF((AD$6-$E$3)&lt;1,0,IFERROR(LOOKUP(2,1/(Trigo!$E8:INDEX(Trigo!$E8:$Z8,MIN(AD$6-$E$3,22))&lt;&gt;""),Trigo!$E8:INDEX(Trigo!$E8:$Z8,MIN(AD$6-$E$3,22))),0))-IF($G$2,0,IF((AD$6-$G$3)&lt;1,0,IFERROR(LOOKUP(2,1/(Trigo!$E8:INDEX(Trigo!$E8:$Z8,MIN(AD$6-$G$3,22))&lt;&gt;""),Trigo!$E8:INDEX(Trigo!$E8:$Z8,MIN(AD$6-$G$3,22))),0)))))</f>
        <v>0</v>
      </c>
      <c r="AE10" s="27" t="n">
        <f aca="false">IF(COUNT(Trigo!$E8:$Z8)=0,0,MAX(0,IF((AE$6-$E$3)&lt;1,0,IFERROR(LOOKUP(2,1/(Trigo!$E8:INDEX(Trigo!$E8:$Z8,MIN(AE$6-$E$3,22))&lt;&gt;""),Trigo!$E8:INDEX(Trigo!$E8:$Z8,MIN(AE$6-$E$3,22))),0))-IF($G$2,0,IF((AE$6-$G$3)&lt;1,0,IFERROR(LOOKUP(2,1/(Trigo!$E8:INDEX(Trigo!$E8:$Z8,MIN(AE$6-$G$3,22))&lt;&gt;""),Trigo!$E8:INDEX(Trigo!$E8:$Z8,MIN(AE$6-$G$3,22))),0)))))</f>
        <v>0</v>
      </c>
      <c r="AF10" s="27" t="n">
        <f aca="false">IF(COUNT(Trigo!$E8:$Z8)=0,0,MAX(0,IF((AF$6-$E$3)&lt;1,0,IFERROR(LOOKUP(2,1/(Trigo!$E8:INDEX(Trigo!$E8:$Z8,MIN(AF$6-$E$3,22))&lt;&gt;""),Trigo!$E8:INDEX(Trigo!$E8:$Z8,MIN(AF$6-$E$3,22))),0))-IF($G$2,0,IF((AF$6-$G$3)&lt;1,0,IFERROR(LOOKUP(2,1/(Trigo!$E8:INDEX(Trigo!$E8:$Z8,MIN(AF$6-$G$3,22))&lt;&gt;""),Trigo!$E8:INDEX(Trigo!$E8:$Z8,MIN(AF$6-$G$3,22))),0)))))</f>
        <v>0</v>
      </c>
      <c r="AG10" s="27" t="n">
        <f aca="false">IF(COUNT(Trigo!$E8:$Z8)=0,0,MAX(0,IF((AG$6-$E$3)&lt;1,0,IFERROR(LOOKUP(2,1/(Trigo!$E8:INDEX(Trigo!$E8:$Z8,MIN(AG$6-$E$3,22))&lt;&gt;""),Trigo!$E8:INDEX(Trigo!$E8:$Z8,MIN(AG$6-$E$3,22))),0))-IF($G$2,0,IF((AG$6-$G$3)&lt;1,0,IFERROR(LOOKUP(2,1/(Trigo!$E8:INDEX(Trigo!$E8:$Z8,MIN(AG$6-$G$3,22))&lt;&gt;""),Trigo!$E8:INDEX(Trigo!$E8:$Z8,MIN(AG$6-$G$3,22))),0)))))</f>
        <v>0</v>
      </c>
      <c r="AH10" s="27" t="n">
        <f aca="false">IF(COUNT(Trigo!$E8:$Z8)=0,0,MAX(0,IF((AH$6-$E$3)&lt;1,0,IFERROR(LOOKUP(2,1/(Trigo!$E8:INDEX(Trigo!$E8:$Z8,MIN(AH$6-$E$3,22))&lt;&gt;""),Trigo!$E8:INDEX(Trigo!$E8:$Z8,MIN(AH$6-$E$3,22))),0))-IF($G$2,0,IF((AH$6-$G$3)&lt;1,0,IFERROR(LOOKUP(2,1/(Trigo!$E8:INDEX(Trigo!$E8:$Z8,MIN(AH$6-$G$3,22))&lt;&gt;""),Trigo!$E8:INDEX(Trigo!$E8:$Z8,MIN(AH$6-$G$3,22))),0)))))</f>
        <v>0</v>
      </c>
      <c r="AI10" s="27" t="n">
        <f aca="false">IF(COUNT(Trigo!$E8:$Z8)=0,0,MAX(0,IF((AI$6-$E$3)&lt;1,0,IFERROR(LOOKUP(2,1/(Trigo!$E8:INDEX(Trigo!$E8:$Z8,MIN(AI$6-$E$3,22))&lt;&gt;""),Trigo!$E8:INDEX(Trigo!$E8:$Z8,MIN(AI$6-$E$3,22))),0))-IF($G$2,0,IF((AI$6-$G$3)&lt;1,0,IFERROR(LOOKUP(2,1/(Trigo!$E8:INDEX(Trigo!$E8:$Z8,MIN(AI$6-$G$3,22))&lt;&gt;""),Trigo!$E8:INDEX(Trigo!$E8:$Z8,MIN(AI$6-$G$3,22))),0)))))</f>
        <v>0</v>
      </c>
      <c r="AJ10" s="27" t="n">
        <f aca="false">IF(COUNT(Trigo!$E8:$Z8)=0,0,MAX(0,IF((AJ$6-$E$3)&lt;1,0,IFERROR(LOOKUP(2,1/(Trigo!$E8:INDEX(Trigo!$E8:$Z8,MIN(AJ$6-$E$3,22))&lt;&gt;""),Trigo!$E8:INDEX(Trigo!$E8:$Z8,MIN(AJ$6-$E$3,22))),0))-IF($G$2,0,IF((AJ$6-$G$3)&lt;1,0,IFERROR(LOOKUP(2,1/(Trigo!$E8:INDEX(Trigo!$E8:$Z8,MIN(AJ$6-$G$3,22))&lt;&gt;""),Trigo!$E8:INDEX(Trigo!$E8:$Z8,MIN(AJ$6-$G$3,22))),0)))))</f>
        <v>0</v>
      </c>
      <c r="AK10" s="27" t="n">
        <f aca="false">IF(COUNT(Trigo!$E8:$Z8)=0,0,MAX(0,IF((AK$6-$E$3)&lt;1,0,IFERROR(LOOKUP(2,1/(Trigo!$E8:INDEX(Trigo!$E8:$Z8,MIN(AK$6-$E$3,22))&lt;&gt;""),Trigo!$E8:INDEX(Trigo!$E8:$Z8,MIN(AK$6-$E$3,22))),0))-IF($G$2,0,IF((AK$6-$G$3)&lt;1,0,IFERROR(LOOKUP(2,1/(Trigo!$E8:INDEX(Trigo!$E8:$Z8,MIN(AK$6-$G$3,22))&lt;&gt;""),Trigo!$E8:INDEX(Trigo!$E8:$Z8,MIN(AK$6-$G$3,22))),0)))))</f>
        <v>0</v>
      </c>
      <c r="AL10" s="27" t="n">
        <f aca="false">IF(COUNT(Trigo!$E8:$Z8)=0,0,MAX(0,IF((AL$6-$E$3)&lt;1,0,IFERROR(LOOKUP(2,1/(Trigo!$E8:INDEX(Trigo!$E8:$Z8,MIN(AL$6-$E$3,22))&lt;&gt;""),Trigo!$E8:INDEX(Trigo!$E8:$Z8,MIN(AL$6-$E$3,22))),0))-IF($G$2,0,IF((AL$6-$G$3)&lt;1,0,IFERROR(LOOKUP(2,1/(Trigo!$E8:INDEX(Trigo!$E8:$Z8,MIN(AL$6-$G$3,22))&lt;&gt;""),Trigo!$E8:INDEX(Trigo!$E8:$Z8,MIN(AL$6-$G$3,22))),0)))))</f>
        <v>0</v>
      </c>
      <c r="AM10" s="27" t="n">
        <f aca="false">IF(COUNT(Trigo!$E8:$Z8)=0,0,MAX(0,IF((AM$6-$E$3)&lt;1,0,IFERROR(LOOKUP(2,1/(Trigo!$E8:INDEX(Trigo!$E8:$Z8,MIN(AM$6-$E$3,22))&lt;&gt;""),Trigo!$E8:INDEX(Trigo!$E8:$Z8,MIN(AM$6-$E$3,22))),0))-IF($G$2,0,IF((AM$6-$G$3)&lt;1,0,IFERROR(LOOKUP(2,1/(Trigo!$E8:INDEX(Trigo!$E8:$Z8,MIN(AM$6-$G$3,22))&lt;&gt;""),Trigo!$E8:INDEX(Trigo!$E8:$Z8,MIN(AM$6-$G$3,22))),0)))))</f>
        <v>0</v>
      </c>
      <c r="AN10" s="27" t="n">
        <f aca="false">IF(COUNT(Trigo!$E8:$Z8)=0,0,MAX(0,IF((AN$6-$E$3)&lt;1,0,IFERROR(LOOKUP(2,1/(Trigo!$E8:INDEX(Trigo!$E8:$Z8,MIN(AN$6-$E$3,22))&lt;&gt;""),Trigo!$E8:INDEX(Trigo!$E8:$Z8,MIN(AN$6-$E$3,22))),0))-IF($G$2,0,IF((AN$6-$G$3)&lt;1,0,IFERROR(LOOKUP(2,1/(Trigo!$E8:INDEX(Trigo!$E8:$Z8,MIN(AN$6-$G$3,22))&lt;&gt;""),Trigo!$E8:INDEX(Trigo!$E8:$Z8,MIN(AN$6-$G$3,22))),0)))))</f>
        <v>0</v>
      </c>
      <c r="AO10" s="27" t="n">
        <f aca="false">IF(COUNT(Trigo!$E8:$Z8)=0,0,MAX(0,IF((AO$6-$E$3)&lt;1,0,IFERROR(LOOKUP(2,1/(Trigo!$E8:INDEX(Trigo!$E8:$Z8,MIN(AO$6-$E$3,22))&lt;&gt;""),Trigo!$E8:INDEX(Trigo!$E8:$Z8,MIN(AO$6-$E$3,22))),0))-IF($G$2,0,IF((AO$6-$G$3)&lt;1,0,IFERROR(LOOKUP(2,1/(Trigo!$E8:INDEX(Trigo!$E8:$Z8,MIN(AO$6-$G$3,22))&lt;&gt;""),Trigo!$E8:INDEX(Trigo!$E8:$Z8,MIN(AO$6-$G$3,22))),0)))))</f>
        <v>0</v>
      </c>
      <c r="AP10" s="27" t="n">
        <f aca="false">IF(COUNT(Trigo!$E8:$Z8)=0,0,MAX(0,IF((AP$6-$E$3)&lt;1,0,IFERROR(LOOKUP(2,1/(Trigo!$E8:INDEX(Trigo!$E8:$Z8,MIN(AP$6-$E$3,22))&lt;&gt;""),Trigo!$E8:INDEX(Trigo!$E8:$Z8,MIN(AP$6-$E$3,22))),0))-IF($G$2,0,IF((AP$6-$G$3)&lt;1,0,IFERROR(LOOKUP(2,1/(Trigo!$E8:INDEX(Trigo!$E8:$Z8,MIN(AP$6-$G$3,22))&lt;&gt;""),Trigo!$E8:INDEX(Trigo!$E8:$Z8,MIN(AP$6-$G$3,22))),0)))))</f>
        <v>0</v>
      </c>
      <c r="AQ10" s="27" t="n">
        <f aca="false">IF(COUNT(Trigo!$E8:$Z8)=0,0,MAX(0,IF((AQ$6-$E$3)&lt;1,0,IFERROR(LOOKUP(2,1/(Trigo!$E8:INDEX(Trigo!$E8:$Z8,MIN(AQ$6-$E$3,22))&lt;&gt;""),Trigo!$E8:INDEX(Trigo!$E8:$Z8,MIN(AQ$6-$E$3,22))),0))-IF($G$2,0,IF((AQ$6-$G$3)&lt;1,0,IFERROR(LOOKUP(2,1/(Trigo!$E8:INDEX(Trigo!$E8:$Z8,MIN(AQ$6-$G$3,22))&lt;&gt;""),Trigo!$E8:INDEX(Trigo!$E8:$Z8,MIN(AQ$6-$G$3,22))),0)))))</f>
        <v>0</v>
      </c>
      <c r="AR10" s="27" t="n">
        <f aca="false">IF(COUNT(Trigo!$E8:$Z8)=0,0,MAX(0,IF((AR$6-$E$3)&lt;1,0,IFERROR(LOOKUP(2,1/(Trigo!$E8:INDEX(Trigo!$E8:$Z8,MIN(AR$6-$E$3,22))&lt;&gt;""),Trigo!$E8:INDEX(Trigo!$E8:$Z8,MIN(AR$6-$E$3,22))),0))-IF($G$2,0,IF((AR$6-$G$3)&lt;1,0,IFERROR(LOOKUP(2,1/(Trigo!$E8:INDEX(Trigo!$E8:$Z8,MIN(AR$6-$G$3,22))&lt;&gt;""),Trigo!$E8:INDEX(Trigo!$E8:$Z8,MIN(AR$6-$G$3,22))),0)))))</f>
        <v>0</v>
      </c>
      <c r="AS10" s="27" t="n">
        <f aca="false">IF(COUNT(Trigo!$E8:$Z8)=0,0,MAX(0,IF((AS$6-$E$3)&lt;1,0,IFERROR(LOOKUP(2,1/(Trigo!$E8:INDEX(Trigo!$E8:$Z8,MIN(AS$6-$E$3,22))&lt;&gt;""),Trigo!$E8:INDEX(Trigo!$E8:$Z8,MIN(AS$6-$E$3,22))),0))-IF($G$2,0,IF((AS$6-$G$3)&lt;1,0,IFERROR(LOOKUP(2,1/(Trigo!$E8:INDEX(Trigo!$E8:$Z8,MIN(AS$6-$G$3,22))&lt;&gt;""),Trigo!$E8:INDEX(Trigo!$E8:$Z8,MIN(AS$6-$G$3,22))),0)))))</f>
        <v>0</v>
      </c>
      <c r="AT10" s="27" t="n">
        <f aca="false">IF(COUNT(Trigo!$E8:$Z8)=0,0,MAX(0,IF((AT$6-$E$3)&lt;1,0,IFERROR(LOOKUP(2,1/(Trigo!$E8:INDEX(Trigo!$E8:$Z8,MIN(AT$6-$E$3,22))&lt;&gt;""),Trigo!$E8:INDEX(Trigo!$E8:$Z8,MIN(AT$6-$E$3,22))),0))-IF($G$2,0,IF((AT$6-$G$3)&lt;1,0,IFERROR(LOOKUP(2,1/(Trigo!$E8:INDEX(Trigo!$E8:$Z8,MIN(AT$6-$G$3,22))&lt;&gt;""),Trigo!$E8:INDEX(Trigo!$E8:$Z8,MIN(AT$6-$G$3,22))),0)))))</f>
        <v>0</v>
      </c>
      <c r="AU10" s="27" t="n">
        <f aca="false">IF(COUNT(Trigo!$E8:$Z8)=0,0,MAX(0,IF((AU$6-$E$3)&lt;1,0,IFERROR(LOOKUP(2,1/(Trigo!$E8:INDEX(Trigo!$E8:$Z8,MIN(AU$6-$E$3,22))&lt;&gt;""),Trigo!$E8:INDEX(Trigo!$E8:$Z8,MIN(AU$6-$E$3,22))),0))-IF($G$2,0,IF((AU$6-$G$3)&lt;1,0,IFERROR(LOOKUP(2,1/(Trigo!$E8:INDEX(Trigo!$E8:$Z8,MIN(AU$6-$G$3,22))&lt;&gt;""),Trigo!$E8:INDEX(Trigo!$E8:$Z8,MIN(AU$6-$G$3,22))),0)))))</f>
        <v>0</v>
      </c>
      <c r="AV10" s="27" t="n">
        <f aca="false">IF(COUNT(Trigo!$E8:$Z8)=0,0,MAX(0,IF((AV$6-$E$3)&lt;1,0,IFERROR(LOOKUP(2,1/(Trigo!$E8:INDEX(Trigo!$E8:$Z8,MIN(AV$6-$E$3,22))&lt;&gt;""),Trigo!$E8:INDEX(Trigo!$E8:$Z8,MIN(AV$6-$E$3,22))),0))-IF($G$2,0,IF((AV$6-$G$3)&lt;1,0,IFERROR(LOOKUP(2,1/(Trigo!$E8:INDEX(Trigo!$E8:$Z8,MIN(AV$6-$G$3,22))&lt;&gt;""),Trigo!$E8:INDEX(Trigo!$E8:$Z8,MIN(AV$6-$G$3,22))),0)))))</f>
        <v>0</v>
      </c>
      <c r="AW10" s="27" t="n">
        <f aca="false">IF(COUNT(Trigo!$E8:$Z8)=0,0,MAX(0,IF((AW$6-$E$3)&lt;1,0,IFERROR(LOOKUP(2,1/(Trigo!$E8:INDEX(Trigo!$E8:$Z8,MIN(AW$6-$E$3,22))&lt;&gt;""),Trigo!$E8:INDEX(Trigo!$E8:$Z8,MIN(AW$6-$E$3,22))),0))-IF($G$2,0,IF((AW$6-$G$3)&lt;1,0,IFERROR(LOOKUP(2,1/(Trigo!$E8:INDEX(Trigo!$E8:$Z8,MIN(AW$6-$G$3,22))&lt;&gt;""),Trigo!$E8:INDEX(Trigo!$E8:$Z8,MIN(AW$6-$G$3,22))),0)))))</f>
        <v>0</v>
      </c>
      <c r="AX10" s="27" t="n">
        <f aca="false">IF(COUNT(Trigo!$E8:$Z8)=0,0,MAX(0,IF((AX$6-$E$3)&lt;1,0,IFERROR(LOOKUP(2,1/(Trigo!$E8:INDEX(Trigo!$E8:$Z8,MIN(AX$6-$E$3,22))&lt;&gt;""),Trigo!$E8:INDEX(Trigo!$E8:$Z8,MIN(AX$6-$E$3,22))),0))-IF($G$2,0,IF((AX$6-$G$3)&lt;1,0,IFERROR(LOOKUP(2,1/(Trigo!$E8:INDEX(Trigo!$E8:$Z8,MIN(AX$6-$G$3,22))&lt;&gt;""),Trigo!$E8:INDEX(Trigo!$E8:$Z8,MIN(AX$6-$G$3,22))),0)))))</f>
        <v>0</v>
      </c>
      <c r="AY10" s="27" t="n">
        <f aca="false">IF(COUNT(Trigo!$E8:$Z8)=0,0,MAX(0,IF((AY$6-$E$3)&lt;1,0,IFERROR(LOOKUP(2,1/(Trigo!$E8:INDEX(Trigo!$E8:$Z8,MIN(AY$6-$E$3,22))&lt;&gt;""),Trigo!$E8:INDEX(Trigo!$E8:$Z8,MIN(AY$6-$E$3,22))),0))-IF($G$2,0,IF((AY$6-$G$3)&lt;1,0,IFERROR(LOOKUP(2,1/(Trigo!$E8:INDEX(Trigo!$E8:$Z8,MIN(AY$6-$G$3,22))&lt;&gt;""),Trigo!$E8:INDEX(Trigo!$E8:$Z8,MIN(AY$6-$G$3,22))),0)))))</f>
        <v>0</v>
      </c>
      <c r="AZ10" s="27" t="n">
        <f aca="false">IF(COUNT(Trigo!$E8:$Z8)=0,0,MAX(0,IF((AZ$6-$E$3)&lt;1,0,IFERROR(LOOKUP(2,1/(Trigo!$E8:INDEX(Trigo!$E8:$Z8,MIN(AZ$6-$E$3,22))&lt;&gt;""),Trigo!$E8:INDEX(Trigo!$E8:$Z8,MIN(AZ$6-$E$3,22))),0))-IF($G$2,0,IF((AZ$6-$G$3)&lt;1,0,IFERROR(LOOKUP(2,1/(Trigo!$E8:INDEX(Trigo!$E8:$Z8,MIN(AZ$6-$G$3,22))&lt;&gt;""),Trigo!$E8:INDEX(Trigo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IF(COUNT(Trigo!$E9:$Z9)&gt;0,N(Trigo!$D9),0)</f>
        <v>0</v>
      </c>
      <c r="E11" s="27" t="n">
        <f aca="false">IF(COUNT(Trigo!$E9:$Z9)=0,0,MAX(0,IF((E$6-$E$3)&lt;1,0,IFERROR(LOOKUP(2,1/(Trigo!$E9:INDEX(Trigo!$E9:$Z9,MIN(E$6-$E$3,22))&lt;&gt;""),Trigo!$E9:INDEX(Trigo!$E9:$Z9,MIN(E$6-$E$3,22))),0))-IF($G$2,0,IF((E$6-$G$3)&lt;1,0,IFERROR(LOOKUP(2,1/(Trigo!$E9:INDEX(Trigo!$E9:$Z9,MIN(E$6-$G$3,22))&lt;&gt;""),Trigo!$E9:INDEX(Trigo!$E9:$Z9,MIN(E$6-$G$3,22))),0)))))</f>
        <v>0</v>
      </c>
      <c r="F11" s="27" t="n">
        <f aca="false">IF(COUNT(Trigo!$E9:$Z9)=0,0,MAX(0,IF((F$6-$E$3)&lt;1,0,IFERROR(LOOKUP(2,1/(Trigo!$E9:INDEX(Trigo!$E9:$Z9,MIN(F$6-$E$3,22))&lt;&gt;""),Trigo!$E9:INDEX(Trigo!$E9:$Z9,MIN(F$6-$E$3,22))),0))-IF($G$2,0,IF((F$6-$G$3)&lt;1,0,IFERROR(LOOKUP(2,1/(Trigo!$E9:INDEX(Trigo!$E9:$Z9,MIN(F$6-$G$3,22))&lt;&gt;""),Trigo!$E9:INDEX(Trigo!$E9:$Z9,MIN(F$6-$G$3,22))),0)))))</f>
        <v>0</v>
      </c>
      <c r="G11" s="27" t="n">
        <f aca="false">IF(COUNT(Trigo!$E9:$Z9)=0,0,MAX(0,IF((G$6-$E$3)&lt;1,0,IFERROR(LOOKUP(2,1/(Trigo!$E9:INDEX(Trigo!$E9:$Z9,MIN(G$6-$E$3,22))&lt;&gt;""),Trigo!$E9:INDEX(Trigo!$E9:$Z9,MIN(G$6-$E$3,22))),0))-IF($G$2,0,IF((G$6-$G$3)&lt;1,0,IFERROR(LOOKUP(2,1/(Trigo!$E9:INDEX(Trigo!$E9:$Z9,MIN(G$6-$G$3,22))&lt;&gt;""),Trigo!$E9:INDEX(Trigo!$E9:$Z9,MIN(G$6-$G$3,22))),0)))))</f>
        <v>0</v>
      </c>
      <c r="H11" s="27" t="n">
        <f aca="false">IF(COUNT(Trigo!$E9:$Z9)=0,0,MAX(0,IF((H$6-$E$3)&lt;1,0,IFERROR(LOOKUP(2,1/(Trigo!$E9:INDEX(Trigo!$E9:$Z9,MIN(H$6-$E$3,22))&lt;&gt;""),Trigo!$E9:INDEX(Trigo!$E9:$Z9,MIN(H$6-$E$3,22))),0))-IF($G$2,0,IF((H$6-$G$3)&lt;1,0,IFERROR(LOOKUP(2,1/(Trigo!$E9:INDEX(Trigo!$E9:$Z9,MIN(H$6-$G$3,22))&lt;&gt;""),Trigo!$E9:INDEX(Trigo!$E9:$Z9,MIN(H$6-$G$3,22))),0)))))</f>
        <v>0</v>
      </c>
      <c r="I11" s="27" t="n">
        <f aca="false">IF(COUNT(Trigo!$E9:$Z9)=0,0,MAX(0,IF((I$6-$E$3)&lt;1,0,IFERROR(LOOKUP(2,1/(Trigo!$E9:INDEX(Trigo!$E9:$Z9,MIN(I$6-$E$3,22))&lt;&gt;""),Trigo!$E9:INDEX(Trigo!$E9:$Z9,MIN(I$6-$E$3,22))),0))-IF($G$2,0,IF((I$6-$G$3)&lt;1,0,IFERROR(LOOKUP(2,1/(Trigo!$E9:INDEX(Trigo!$E9:$Z9,MIN(I$6-$G$3,22))&lt;&gt;""),Trigo!$E9:INDEX(Trigo!$E9:$Z9,MIN(I$6-$G$3,22))),0)))))</f>
        <v>0</v>
      </c>
      <c r="J11" s="27" t="n">
        <f aca="false">IF(COUNT(Trigo!$E9:$Z9)=0,0,MAX(0,IF((J$6-$E$3)&lt;1,0,IFERROR(LOOKUP(2,1/(Trigo!$E9:INDEX(Trigo!$E9:$Z9,MIN(J$6-$E$3,22))&lt;&gt;""),Trigo!$E9:INDEX(Trigo!$E9:$Z9,MIN(J$6-$E$3,22))),0))-IF($G$2,0,IF((J$6-$G$3)&lt;1,0,IFERROR(LOOKUP(2,1/(Trigo!$E9:INDEX(Trigo!$E9:$Z9,MIN(J$6-$G$3,22))&lt;&gt;""),Trigo!$E9:INDEX(Trigo!$E9:$Z9,MIN(J$6-$G$3,22))),0)))))</f>
        <v>0</v>
      </c>
      <c r="K11" s="27" t="n">
        <f aca="false">IF(COUNT(Trigo!$E9:$Z9)=0,0,MAX(0,IF((K$6-$E$3)&lt;1,0,IFERROR(LOOKUP(2,1/(Trigo!$E9:INDEX(Trigo!$E9:$Z9,MIN(K$6-$E$3,22))&lt;&gt;""),Trigo!$E9:INDEX(Trigo!$E9:$Z9,MIN(K$6-$E$3,22))),0))-IF($G$2,0,IF((K$6-$G$3)&lt;1,0,IFERROR(LOOKUP(2,1/(Trigo!$E9:INDEX(Trigo!$E9:$Z9,MIN(K$6-$G$3,22))&lt;&gt;""),Trigo!$E9:INDEX(Trigo!$E9:$Z9,MIN(K$6-$G$3,22))),0)))))</f>
        <v>0</v>
      </c>
      <c r="L11" s="27" t="n">
        <f aca="false">IF(COUNT(Trigo!$E9:$Z9)=0,0,MAX(0,IF((L$6-$E$3)&lt;1,0,IFERROR(LOOKUP(2,1/(Trigo!$E9:INDEX(Trigo!$E9:$Z9,MIN(L$6-$E$3,22))&lt;&gt;""),Trigo!$E9:INDEX(Trigo!$E9:$Z9,MIN(L$6-$E$3,22))),0))-IF($G$2,0,IF((L$6-$G$3)&lt;1,0,IFERROR(LOOKUP(2,1/(Trigo!$E9:INDEX(Trigo!$E9:$Z9,MIN(L$6-$G$3,22))&lt;&gt;""),Trigo!$E9:INDEX(Trigo!$E9:$Z9,MIN(L$6-$G$3,22))),0)))))</f>
        <v>0</v>
      </c>
      <c r="M11" s="27" t="n">
        <f aca="false">IF(COUNT(Trigo!$E9:$Z9)=0,0,MAX(0,IF((M$6-$E$3)&lt;1,0,IFERROR(LOOKUP(2,1/(Trigo!$E9:INDEX(Trigo!$E9:$Z9,MIN(M$6-$E$3,22))&lt;&gt;""),Trigo!$E9:INDEX(Trigo!$E9:$Z9,MIN(M$6-$E$3,22))),0))-IF($G$2,0,IF((M$6-$G$3)&lt;1,0,IFERROR(LOOKUP(2,1/(Trigo!$E9:INDEX(Trigo!$E9:$Z9,MIN(M$6-$G$3,22))&lt;&gt;""),Trigo!$E9:INDEX(Trigo!$E9:$Z9,MIN(M$6-$G$3,22))),0)))))</f>
        <v>0</v>
      </c>
      <c r="N11" s="27" t="n">
        <f aca="false">IF(COUNT(Trigo!$E9:$Z9)=0,0,MAX(0,IF((N$6-$E$3)&lt;1,0,IFERROR(LOOKUP(2,1/(Trigo!$E9:INDEX(Trigo!$E9:$Z9,MIN(N$6-$E$3,22))&lt;&gt;""),Trigo!$E9:INDEX(Trigo!$E9:$Z9,MIN(N$6-$E$3,22))),0))-IF($G$2,0,IF((N$6-$G$3)&lt;1,0,IFERROR(LOOKUP(2,1/(Trigo!$E9:INDEX(Trigo!$E9:$Z9,MIN(N$6-$G$3,22))&lt;&gt;""),Trigo!$E9:INDEX(Trigo!$E9:$Z9,MIN(N$6-$G$3,22))),0)))))</f>
        <v>0</v>
      </c>
      <c r="O11" s="27" t="n">
        <f aca="false">IF(COUNT(Trigo!$E9:$Z9)=0,0,MAX(0,IF((O$6-$E$3)&lt;1,0,IFERROR(LOOKUP(2,1/(Trigo!$E9:INDEX(Trigo!$E9:$Z9,MIN(O$6-$E$3,22))&lt;&gt;""),Trigo!$E9:INDEX(Trigo!$E9:$Z9,MIN(O$6-$E$3,22))),0))-IF($G$2,0,IF((O$6-$G$3)&lt;1,0,IFERROR(LOOKUP(2,1/(Trigo!$E9:INDEX(Trigo!$E9:$Z9,MIN(O$6-$G$3,22))&lt;&gt;""),Trigo!$E9:INDEX(Trigo!$E9:$Z9,MIN(O$6-$G$3,22))),0)))))</f>
        <v>0</v>
      </c>
      <c r="P11" s="27" t="n">
        <f aca="false">IF(COUNT(Trigo!$E9:$Z9)=0,0,MAX(0,IF((P$6-$E$3)&lt;1,0,IFERROR(LOOKUP(2,1/(Trigo!$E9:INDEX(Trigo!$E9:$Z9,MIN(P$6-$E$3,22))&lt;&gt;""),Trigo!$E9:INDEX(Trigo!$E9:$Z9,MIN(P$6-$E$3,22))),0))-IF($G$2,0,IF((P$6-$G$3)&lt;1,0,IFERROR(LOOKUP(2,1/(Trigo!$E9:INDEX(Trigo!$E9:$Z9,MIN(P$6-$G$3,22))&lt;&gt;""),Trigo!$E9:INDEX(Trigo!$E9:$Z9,MIN(P$6-$G$3,22))),0)))))</f>
        <v>0</v>
      </c>
      <c r="Q11" s="27" t="n">
        <f aca="false">IF(COUNT(Trigo!$E9:$Z9)=0,0,MAX(0,IF((Q$6-$E$3)&lt;1,0,IFERROR(LOOKUP(2,1/(Trigo!$E9:INDEX(Trigo!$E9:$Z9,MIN(Q$6-$E$3,22))&lt;&gt;""),Trigo!$E9:INDEX(Trigo!$E9:$Z9,MIN(Q$6-$E$3,22))),0))-IF($G$2,0,IF((Q$6-$G$3)&lt;1,0,IFERROR(LOOKUP(2,1/(Trigo!$E9:INDEX(Trigo!$E9:$Z9,MIN(Q$6-$G$3,22))&lt;&gt;""),Trigo!$E9:INDEX(Trigo!$E9:$Z9,MIN(Q$6-$G$3,22))),0)))))</f>
        <v>0</v>
      </c>
      <c r="R11" s="27" t="n">
        <f aca="false">IF(COUNT(Trigo!$E9:$Z9)=0,0,MAX(0,IF((R$6-$E$3)&lt;1,0,IFERROR(LOOKUP(2,1/(Trigo!$E9:INDEX(Trigo!$E9:$Z9,MIN(R$6-$E$3,22))&lt;&gt;""),Trigo!$E9:INDEX(Trigo!$E9:$Z9,MIN(R$6-$E$3,22))),0))-IF($G$2,0,IF((R$6-$G$3)&lt;1,0,IFERROR(LOOKUP(2,1/(Trigo!$E9:INDEX(Trigo!$E9:$Z9,MIN(R$6-$G$3,22))&lt;&gt;""),Trigo!$E9:INDEX(Trigo!$E9:$Z9,MIN(R$6-$G$3,22))),0)))))</f>
        <v>0</v>
      </c>
      <c r="S11" s="27" t="n">
        <f aca="false">IF(COUNT(Trigo!$E9:$Z9)=0,0,MAX(0,IF((S$6-$E$3)&lt;1,0,IFERROR(LOOKUP(2,1/(Trigo!$E9:INDEX(Trigo!$E9:$Z9,MIN(S$6-$E$3,22))&lt;&gt;""),Trigo!$E9:INDEX(Trigo!$E9:$Z9,MIN(S$6-$E$3,22))),0))-IF($G$2,0,IF((S$6-$G$3)&lt;1,0,IFERROR(LOOKUP(2,1/(Trigo!$E9:INDEX(Trigo!$E9:$Z9,MIN(S$6-$G$3,22))&lt;&gt;""),Trigo!$E9:INDEX(Trigo!$E9:$Z9,MIN(S$6-$G$3,22))),0)))))</f>
        <v>0</v>
      </c>
      <c r="T11" s="27" t="n">
        <f aca="false">IF(COUNT(Trigo!$E9:$Z9)=0,0,MAX(0,IF((T$6-$E$3)&lt;1,0,IFERROR(LOOKUP(2,1/(Trigo!$E9:INDEX(Trigo!$E9:$Z9,MIN(T$6-$E$3,22))&lt;&gt;""),Trigo!$E9:INDEX(Trigo!$E9:$Z9,MIN(T$6-$E$3,22))),0))-IF($G$2,0,IF((T$6-$G$3)&lt;1,0,IFERROR(LOOKUP(2,1/(Trigo!$E9:INDEX(Trigo!$E9:$Z9,MIN(T$6-$G$3,22))&lt;&gt;""),Trigo!$E9:INDEX(Trigo!$E9:$Z9,MIN(T$6-$G$3,22))),0)))))</f>
        <v>0</v>
      </c>
      <c r="U11" s="27" t="n">
        <f aca="false">IF(COUNT(Trigo!$E9:$Z9)=0,0,MAX(0,IF((U$6-$E$3)&lt;1,0,IFERROR(LOOKUP(2,1/(Trigo!$E9:INDEX(Trigo!$E9:$Z9,MIN(U$6-$E$3,22))&lt;&gt;""),Trigo!$E9:INDEX(Trigo!$E9:$Z9,MIN(U$6-$E$3,22))),0))-IF($G$2,0,IF((U$6-$G$3)&lt;1,0,IFERROR(LOOKUP(2,1/(Trigo!$E9:INDEX(Trigo!$E9:$Z9,MIN(U$6-$G$3,22))&lt;&gt;""),Trigo!$E9:INDEX(Trigo!$E9:$Z9,MIN(U$6-$G$3,22))),0)))))</f>
        <v>0</v>
      </c>
      <c r="V11" s="27" t="n">
        <f aca="false">IF(COUNT(Trigo!$E9:$Z9)=0,0,MAX(0,IF((V$6-$E$3)&lt;1,0,IFERROR(LOOKUP(2,1/(Trigo!$E9:INDEX(Trigo!$E9:$Z9,MIN(V$6-$E$3,22))&lt;&gt;""),Trigo!$E9:INDEX(Trigo!$E9:$Z9,MIN(V$6-$E$3,22))),0))-IF($G$2,0,IF((V$6-$G$3)&lt;1,0,IFERROR(LOOKUP(2,1/(Trigo!$E9:INDEX(Trigo!$E9:$Z9,MIN(V$6-$G$3,22))&lt;&gt;""),Trigo!$E9:INDEX(Trigo!$E9:$Z9,MIN(V$6-$G$3,22))),0)))))</f>
        <v>0</v>
      </c>
      <c r="W11" s="27" t="n">
        <f aca="false">IF(COUNT(Trigo!$E9:$Z9)=0,0,MAX(0,IF((W$6-$E$3)&lt;1,0,IFERROR(LOOKUP(2,1/(Trigo!$E9:INDEX(Trigo!$E9:$Z9,MIN(W$6-$E$3,22))&lt;&gt;""),Trigo!$E9:INDEX(Trigo!$E9:$Z9,MIN(W$6-$E$3,22))),0))-IF($G$2,0,IF((W$6-$G$3)&lt;1,0,IFERROR(LOOKUP(2,1/(Trigo!$E9:INDEX(Trigo!$E9:$Z9,MIN(W$6-$G$3,22))&lt;&gt;""),Trigo!$E9:INDEX(Trigo!$E9:$Z9,MIN(W$6-$G$3,22))),0)))))</f>
        <v>0</v>
      </c>
      <c r="X11" s="27" t="n">
        <f aca="false">IF(COUNT(Trigo!$E9:$Z9)=0,0,MAX(0,IF((X$6-$E$3)&lt;1,0,IFERROR(LOOKUP(2,1/(Trigo!$E9:INDEX(Trigo!$E9:$Z9,MIN(X$6-$E$3,22))&lt;&gt;""),Trigo!$E9:INDEX(Trigo!$E9:$Z9,MIN(X$6-$E$3,22))),0))-IF($G$2,0,IF((X$6-$G$3)&lt;1,0,IFERROR(LOOKUP(2,1/(Trigo!$E9:INDEX(Trigo!$E9:$Z9,MIN(X$6-$G$3,22))&lt;&gt;""),Trigo!$E9:INDEX(Trigo!$E9:$Z9,MIN(X$6-$G$3,22))),0)))))</f>
        <v>0</v>
      </c>
      <c r="Y11" s="27" t="n">
        <f aca="false">IF(COUNT(Trigo!$E9:$Z9)=0,0,MAX(0,IF((Y$6-$E$3)&lt;1,0,IFERROR(LOOKUP(2,1/(Trigo!$E9:INDEX(Trigo!$E9:$Z9,MIN(Y$6-$E$3,22))&lt;&gt;""),Trigo!$E9:INDEX(Trigo!$E9:$Z9,MIN(Y$6-$E$3,22))),0))-IF($G$2,0,IF((Y$6-$G$3)&lt;1,0,IFERROR(LOOKUP(2,1/(Trigo!$E9:INDEX(Trigo!$E9:$Z9,MIN(Y$6-$G$3,22))&lt;&gt;""),Trigo!$E9:INDEX(Trigo!$E9:$Z9,MIN(Y$6-$G$3,22))),0)))))</f>
        <v>0</v>
      </c>
      <c r="Z11" s="27" t="n">
        <f aca="false">IF(COUNT(Trigo!$E9:$Z9)=0,0,MAX(0,IF((Z$6-$E$3)&lt;1,0,IFERROR(LOOKUP(2,1/(Trigo!$E9:INDEX(Trigo!$E9:$Z9,MIN(Z$6-$E$3,22))&lt;&gt;""),Trigo!$E9:INDEX(Trigo!$E9:$Z9,MIN(Z$6-$E$3,22))),0))-IF($G$2,0,IF((Z$6-$G$3)&lt;1,0,IFERROR(LOOKUP(2,1/(Trigo!$E9:INDEX(Trigo!$E9:$Z9,MIN(Z$6-$G$3,22))&lt;&gt;""),Trigo!$E9:INDEX(Trigo!$E9:$Z9,MIN(Z$6-$G$3,22))),0)))))</f>
        <v>0</v>
      </c>
      <c r="AA11" s="27" t="n">
        <f aca="false">IF(COUNT(Trigo!$E9:$Z9)=0,0,MAX(0,IF((AA$6-$E$3)&lt;1,0,IFERROR(LOOKUP(2,1/(Trigo!$E9:INDEX(Trigo!$E9:$Z9,MIN(AA$6-$E$3,22))&lt;&gt;""),Trigo!$E9:INDEX(Trigo!$E9:$Z9,MIN(AA$6-$E$3,22))),0))-IF($G$2,0,IF((AA$6-$G$3)&lt;1,0,IFERROR(LOOKUP(2,1/(Trigo!$E9:INDEX(Trigo!$E9:$Z9,MIN(AA$6-$G$3,22))&lt;&gt;""),Trigo!$E9:INDEX(Trigo!$E9:$Z9,MIN(AA$6-$G$3,22))),0)))))</f>
        <v>0</v>
      </c>
      <c r="AB11" s="27" t="n">
        <f aca="false">IF(COUNT(Trigo!$E9:$Z9)=0,0,MAX(0,IF((AB$6-$E$3)&lt;1,0,IFERROR(LOOKUP(2,1/(Trigo!$E9:INDEX(Trigo!$E9:$Z9,MIN(AB$6-$E$3,22))&lt;&gt;""),Trigo!$E9:INDEX(Trigo!$E9:$Z9,MIN(AB$6-$E$3,22))),0))-IF($G$2,0,IF((AB$6-$G$3)&lt;1,0,IFERROR(LOOKUP(2,1/(Trigo!$E9:INDEX(Trigo!$E9:$Z9,MIN(AB$6-$G$3,22))&lt;&gt;""),Trigo!$E9:INDEX(Trigo!$E9:$Z9,MIN(AB$6-$G$3,22))),0)))))</f>
        <v>0</v>
      </c>
      <c r="AC11" s="27" t="n">
        <f aca="false">IF(COUNT(Trigo!$E9:$Z9)=0,0,MAX(0,IF((AC$6-$E$3)&lt;1,0,IFERROR(LOOKUP(2,1/(Trigo!$E9:INDEX(Trigo!$E9:$Z9,MIN(AC$6-$E$3,22))&lt;&gt;""),Trigo!$E9:INDEX(Trigo!$E9:$Z9,MIN(AC$6-$E$3,22))),0))-IF($G$2,0,IF((AC$6-$G$3)&lt;1,0,IFERROR(LOOKUP(2,1/(Trigo!$E9:INDEX(Trigo!$E9:$Z9,MIN(AC$6-$G$3,22))&lt;&gt;""),Trigo!$E9:INDEX(Trigo!$E9:$Z9,MIN(AC$6-$G$3,22))),0)))))</f>
        <v>0</v>
      </c>
      <c r="AD11" s="27" t="n">
        <f aca="false">IF(COUNT(Trigo!$E9:$Z9)=0,0,MAX(0,IF((AD$6-$E$3)&lt;1,0,IFERROR(LOOKUP(2,1/(Trigo!$E9:INDEX(Trigo!$E9:$Z9,MIN(AD$6-$E$3,22))&lt;&gt;""),Trigo!$E9:INDEX(Trigo!$E9:$Z9,MIN(AD$6-$E$3,22))),0))-IF($G$2,0,IF((AD$6-$G$3)&lt;1,0,IFERROR(LOOKUP(2,1/(Trigo!$E9:INDEX(Trigo!$E9:$Z9,MIN(AD$6-$G$3,22))&lt;&gt;""),Trigo!$E9:INDEX(Trigo!$E9:$Z9,MIN(AD$6-$G$3,22))),0)))))</f>
        <v>0</v>
      </c>
      <c r="AE11" s="27" t="n">
        <f aca="false">IF(COUNT(Trigo!$E9:$Z9)=0,0,MAX(0,IF((AE$6-$E$3)&lt;1,0,IFERROR(LOOKUP(2,1/(Trigo!$E9:INDEX(Trigo!$E9:$Z9,MIN(AE$6-$E$3,22))&lt;&gt;""),Trigo!$E9:INDEX(Trigo!$E9:$Z9,MIN(AE$6-$E$3,22))),0))-IF($G$2,0,IF((AE$6-$G$3)&lt;1,0,IFERROR(LOOKUP(2,1/(Trigo!$E9:INDEX(Trigo!$E9:$Z9,MIN(AE$6-$G$3,22))&lt;&gt;""),Trigo!$E9:INDEX(Trigo!$E9:$Z9,MIN(AE$6-$G$3,22))),0)))))</f>
        <v>0</v>
      </c>
      <c r="AF11" s="27" t="n">
        <f aca="false">IF(COUNT(Trigo!$E9:$Z9)=0,0,MAX(0,IF((AF$6-$E$3)&lt;1,0,IFERROR(LOOKUP(2,1/(Trigo!$E9:INDEX(Trigo!$E9:$Z9,MIN(AF$6-$E$3,22))&lt;&gt;""),Trigo!$E9:INDEX(Trigo!$E9:$Z9,MIN(AF$6-$E$3,22))),0))-IF($G$2,0,IF((AF$6-$G$3)&lt;1,0,IFERROR(LOOKUP(2,1/(Trigo!$E9:INDEX(Trigo!$E9:$Z9,MIN(AF$6-$G$3,22))&lt;&gt;""),Trigo!$E9:INDEX(Trigo!$E9:$Z9,MIN(AF$6-$G$3,22))),0)))))</f>
        <v>0</v>
      </c>
      <c r="AG11" s="27" t="n">
        <f aca="false">IF(COUNT(Trigo!$E9:$Z9)=0,0,MAX(0,IF((AG$6-$E$3)&lt;1,0,IFERROR(LOOKUP(2,1/(Trigo!$E9:INDEX(Trigo!$E9:$Z9,MIN(AG$6-$E$3,22))&lt;&gt;""),Trigo!$E9:INDEX(Trigo!$E9:$Z9,MIN(AG$6-$E$3,22))),0))-IF($G$2,0,IF((AG$6-$G$3)&lt;1,0,IFERROR(LOOKUP(2,1/(Trigo!$E9:INDEX(Trigo!$E9:$Z9,MIN(AG$6-$G$3,22))&lt;&gt;""),Trigo!$E9:INDEX(Trigo!$E9:$Z9,MIN(AG$6-$G$3,22))),0)))))</f>
        <v>0</v>
      </c>
      <c r="AH11" s="27" t="n">
        <f aca="false">IF(COUNT(Trigo!$E9:$Z9)=0,0,MAX(0,IF((AH$6-$E$3)&lt;1,0,IFERROR(LOOKUP(2,1/(Trigo!$E9:INDEX(Trigo!$E9:$Z9,MIN(AH$6-$E$3,22))&lt;&gt;""),Trigo!$E9:INDEX(Trigo!$E9:$Z9,MIN(AH$6-$E$3,22))),0))-IF($G$2,0,IF((AH$6-$G$3)&lt;1,0,IFERROR(LOOKUP(2,1/(Trigo!$E9:INDEX(Trigo!$E9:$Z9,MIN(AH$6-$G$3,22))&lt;&gt;""),Trigo!$E9:INDEX(Trigo!$E9:$Z9,MIN(AH$6-$G$3,22))),0)))))</f>
        <v>0</v>
      </c>
      <c r="AI11" s="27" t="n">
        <f aca="false">IF(COUNT(Trigo!$E9:$Z9)=0,0,MAX(0,IF((AI$6-$E$3)&lt;1,0,IFERROR(LOOKUP(2,1/(Trigo!$E9:INDEX(Trigo!$E9:$Z9,MIN(AI$6-$E$3,22))&lt;&gt;""),Trigo!$E9:INDEX(Trigo!$E9:$Z9,MIN(AI$6-$E$3,22))),0))-IF($G$2,0,IF((AI$6-$G$3)&lt;1,0,IFERROR(LOOKUP(2,1/(Trigo!$E9:INDEX(Trigo!$E9:$Z9,MIN(AI$6-$G$3,22))&lt;&gt;""),Trigo!$E9:INDEX(Trigo!$E9:$Z9,MIN(AI$6-$G$3,22))),0)))))</f>
        <v>0</v>
      </c>
      <c r="AJ11" s="27" t="n">
        <f aca="false">IF(COUNT(Trigo!$E9:$Z9)=0,0,MAX(0,IF((AJ$6-$E$3)&lt;1,0,IFERROR(LOOKUP(2,1/(Trigo!$E9:INDEX(Trigo!$E9:$Z9,MIN(AJ$6-$E$3,22))&lt;&gt;""),Trigo!$E9:INDEX(Trigo!$E9:$Z9,MIN(AJ$6-$E$3,22))),0))-IF($G$2,0,IF((AJ$6-$G$3)&lt;1,0,IFERROR(LOOKUP(2,1/(Trigo!$E9:INDEX(Trigo!$E9:$Z9,MIN(AJ$6-$G$3,22))&lt;&gt;""),Trigo!$E9:INDEX(Trigo!$E9:$Z9,MIN(AJ$6-$G$3,22))),0)))))</f>
        <v>0</v>
      </c>
      <c r="AK11" s="27" t="n">
        <f aca="false">IF(COUNT(Trigo!$E9:$Z9)=0,0,MAX(0,IF((AK$6-$E$3)&lt;1,0,IFERROR(LOOKUP(2,1/(Trigo!$E9:INDEX(Trigo!$E9:$Z9,MIN(AK$6-$E$3,22))&lt;&gt;""),Trigo!$E9:INDEX(Trigo!$E9:$Z9,MIN(AK$6-$E$3,22))),0))-IF($G$2,0,IF((AK$6-$G$3)&lt;1,0,IFERROR(LOOKUP(2,1/(Trigo!$E9:INDEX(Trigo!$E9:$Z9,MIN(AK$6-$G$3,22))&lt;&gt;""),Trigo!$E9:INDEX(Trigo!$E9:$Z9,MIN(AK$6-$G$3,22))),0)))))</f>
        <v>0</v>
      </c>
      <c r="AL11" s="27" t="n">
        <f aca="false">IF(COUNT(Trigo!$E9:$Z9)=0,0,MAX(0,IF((AL$6-$E$3)&lt;1,0,IFERROR(LOOKUP(2,1/(Trigo!$E9:INDEX(Trigo!$E9:$Z9,MIN(AL$6-$E$3,22))&lt;&gt;""),Trigo!$E9:INDEX(Trigo!$E9:$Z9,MIN(AL$6-$E$3,22))),0))-IF($G$2,0,IF((AL$6-$G$3)&lt;1,0,IFERROR(LOOKUP(2,1/(Trigo!$E9:INDEX(Trigo!$E9:$Z9,MIN(AL$6-$G$3,22))&lt;&gt;""),Trigo!$E9:INDEX(Trigo!$E9:$Z9,MIN(AL$6-$G$3,22))),0)))))</f>
        <v>0</v>
      </c>
      <c r="AM11" s="27" t="n">
        <f aca="false">IF(COUNT(Trigo!$E9:$Z9)=0,0,MAX(0,IF((AM$6-$E$3)&lt;1,0,IFERROR(LOOKUP(2,1/(Trigo!$E9:INDEX(Trigo!$E9:$Z9,MIN(AM$6-$E$3,22))&lt;&gt;""),Trigo!$E9:INDEX(Trigo!$E9:$Z9,MIN(AM$6-$E$3,22))),0))-IF($G$2,0,IF((AM$6-$G$3)&lt;1,0,IFERROR(LOOKUP(2,1/(Trigo!$E9:INDEX(Trigo!$E9:$Z9,MIN(AM$6-$G$3,22))&lt;&gt;""),Trigo!$E9:INDEX(Trigo!$E9:$Z9,MIN(AM$6-$G$3,22))),0)))))</f>
        <v>0</v>
      </c>
      <c r="AN11" s="27" t="n">
        <f aca="false">IF(COUNT(Trigo!$E9:$Z9)=0,0,MAX(0,IF((AN$6-$E$3)&lt;1,0,IFERROR(LOOKUP(2,1/(Trigo!$E9:INDEX(Trigo!$E9:$Z9,MIN(AN$6-$E$3,22))&lt;&gt;""),Trigo!$E9:INDEX(Trigo!$E9:$Z9,MIN(AN$6-$E$3,22))),0))-IF($G$2,0,IF((AN$6-$G$3)&lt;1,0,IFERROR(LOOKUP(2,1/(Trigo!$E9:INDEX(Trigo!$E9:$Z9,MIN(AN$6-$G$3,22))&lt;&gt;""),Trigo!$E9:INDEX(Trigo!$E9:$Z9,MIN(AN$6-$G$3,22))),0)))))</f>
        <v>0</v>
      </c>
      <c r="AO11" s="27" t="n">
        <f aca="false">IF(COUNT(Trigo!$E9:$Z9)=0,0,MAX(0,IF((AO$6-$E$3)&lt;1,0,IFERROR(LOOKUP(2,1/(Trigo!$E9:INDEX(Trigo!$E9:$Z9,MIN(AO$6-$E$3,22))&lt;&gt;""),Trigo!$E9:INDEX(Trigo!$E9:$Z9,MIN(AO$6-$E$3,22))),0))-IF($G$2,0,IF((AO$6-$G$3)&lt;1,0,IFERROR(LOOKUP(2,1/(Trigo!$E9:INDEX(Trigo!$E9:$Z9,MIN(AO$6-$G$3,22))&lt;&gt;""),Trigo!$E9:INDEX(Trigo!$E9:$Z9,MIN(AO$6-$G$3,22))),0)))))</f>
        <v>0</v>
      </c>
      <c r="AP11" s="27" t="n">
        <f aca="false">IF(COUNT(Trigo!$E9:$Z9)=0,0,MAX(0,IF((AP$6-$E$3)&lt;1,0,IFERROR(LOOKUP(2,1/(Trigo!$E9:INDEX(Trigo!$E9:$Z9,MIN(AP$6-$E$3,22))&lt;&gt;""),Trigo!$E9:INDEX(Trigo!$E9:$Z9,MIN(AP$6-$E$3,22))),0))-IF($G$2,0,IF((AP$6-$G$3)&lt;1,0,IFERROR(LOOKUP(2,1/(Trigo!$E9:INDEX(Trigo!$E9:$Z9,MIN(AP$6-$G$3,22))&lt;&gt;""),Trigo!$E9:INDEX(Trigo!$E9:$Z9,MIN(AP$6-$G$3,22))),0)))))</f>
        <v>0</v>
      </c>
      <c r="AQ11" s="27" t="n">
        <f aca="false">IF(COUNT(Trigo!$E9:$Z9)=0,0,MAX(0,IF((AQ$6-$E$3)&lt;1,0,IFERROR(LOOKUP(2,1/(Trigo!$E9:INDEX(Trigo!$E9:$Z9,MIN(AQ$6-$E$3,22))&lt;&gt;""),Trigo!$E9:INDEX(Trigo!$E9:$Z9,MIN(AQ$6-$E$3,22))),0))-IF($G$2,0,IF((AQ$6-$G$3)&lt;1,0,IFERROR(LOOKUP(2,1/(Trigo!$E9:INDEX(Trigo!$E9:$Z9,MIN(AQ$6-$G$3,22))&lt;&gt;""),Trigo!$E9:INDEX(Trigo!$E9:$Z9,MIN(AQ$6-$G$3,22))),0)))))</f>
        <v>0</v>
      </c>
      <c r="AR11" s="27" t="n">
        <f aca="false">IF(COUNT(Trigo!$E9:$Z9)=0,0,MAX(0,IF((AR$6-$E$3)&lt;1,0,IFERROR(LOOKUP(2,1/(Trigo!$E9:INDEX(Trigo!$E9:$Z9,MIN(AR$6-$E$3,22))&lt;&gt;""),Trigo!$E9:INDEX(Trigo!$E9:$Z9,MIN(AR$6-$E$3,22))),0))-IF($G$2,0,IF((AR$6-$G$3)&lt;1,0,IFERROR(LOOKUP(2,1/(Trigo!$E9:INDEX(Trigo!$E9:$Z9,MIN(AR$6-$G$3,22))&lt;&gt;""),Trigo!$E9:INDEX(Trigo!$E9:$Z9,MIN(AR$6-$G$3,22))),0)))))</f>
        <v>0</v>
      </c>
      <c r="AS11" s="27" t="n">
        <f aca="false">IF(COUNT(Trigo!$E9:$Z9)=0,0,MAX(0,IF((AS$6-$E$3)&lt;1,0,IFERROR(LOOKUP(2,1/(Trigo!$E9:INDEX(Trigo!$E9:$Z9,MIN(AS$6-$E$3,22))&lt;&gt;""),Trigo!$E9:INDEX(Trigo!$E9:$Z9,MIN(AS$6-$E$3,22))),0))-IF($G$2,0,IF((AS$6-$G$3)&lt;1,0,IFERROR(LOOKUP(2,1/(Trigo!$E9:INDEX(Trigo!$E9:$Z9,MIN(AS$6-$G$3,22))&lt;&gt;""),Trigo!$E9:INDEX(Trigo!$E9:$Z9,MIN(AS$6-$G$3,22))),0)))))</f>
        <v>0</v>
      </c>
      <c r="AT11" s="27" t="n">
        <f aca="false">IF(COUNT(Trigo!$E9:$Z9)=0,0,MAX(0,IF((AT$6-$E$3)&lt;1,0,IFERROR(LOOKUP(2,1/(Trigo!$E9:INDEX(Trigo!$E9:$Z9,MIN(AT$6-$E$3,22))&lt;&gt;""),Trigo!$E9:INDEX(Trigo!$E9:$Z9,MIN(AT$6-$E$3,22))),0))-IF($G$2,0,IF((AT$6-$G$3)&lt;1,0,IFERROR(LOOKUP(2,1/(Trigo!$E9:INDEX(Trigo!$E9:$Z9,MIN(AT$6-$G$3,22))&lt;&gt;""),Trigo!$E9:INDEX(Trigo!$E9:$Z9,MIN(AT$6-$G$3,22))),0)))))</f>
        <v>0</v>
      </c>
      <c r="AU11" s="27" t="n">
        <f aca="false">IF(COUNT(Trigo!$E9:$Z9)=0,0,MAX(0,IF((AU$6-$E$3)&lt;1,0,IFERROR(LOOKUP(2,1/(Trigo!$E9:INDEX(Trigo!$E9:$Z9,MIN(AU$6-$E$3,22))&lt;&gt;""),Trigo!$E9:INDEX(Trigo!$E9:$Z9,MIN(AU$6-$E$3,22))),0))-IF($G$2,0,IF((AU$6-$G$3)&lt;1,0,IFERROR(LOOKUP(2,1/(Trigo!$E9:INDEX(Trigo!$E9:$Z9,MIN(AU$6-$G$3,22))&lt;&gt;""),Trigo!$E9:INDEX(Trigo!$E9:$Z9,MIN(AU$6-$G$3,22))),0)))))</f>
        <v>0</v>
      </c>
      <c r="AV11" s="27" t="n">
        <f aca="false">IF(COUNT(Trigo!$E9:$Z9)=0,0,MAX(0,IF((AV$6-$E$3)&lt;1,0,IFERROR(LOOKUP(2,1/(Trigo!$E9:INDEX(Trigo!$E9:$Z9,MIN(AV$6-$E$3,22))&lt;&gt;""),Trigo!$E9:INDEX(Trigo!$E9:$Z9,MIN(AV$6-$E$3,22))),0))-IF($G$2,0,IF((AV$6-$G$3)&lt;1,0,IFERROR(LOOKUP(2,1/(Trigo!$E9:INDEX(Trigo!$E9:$Z9,MIN(AV$6-$G$3,22))&lt;&gt;""),Trigo!$E9:INDEX(Trigo!$E9:$Z9,MIN(AV$6-$G$3,22))),0)))))</f>
        <v>0</v>
      </c>
      <c r="AW11" s="27" t="n">
        <f aca="false">IF(COUNT(Trigo!$E9:$Z9)=0,0,MAX(0,IF((AW$6-$E$3)&lt;1,0,IFERROR(LOOKUP(2,1/(Trigo!$E9:INDEX(Trigo!$E9:$Z9,MIN(AW$6-$E$3,22))&lt;&gt;""),Trigo!$E9:INDEX(Trigo!$E9:$Z9,MIN(AW$6-$E$3,22))),0))-IF($G$2,0,IF((AW$6-$G$3)&lt;1,0,IFERROR(LOOKUP(2,1/(Trigo!$E9:INDEX(Trigo!$E9:$Z9,MIN(AW$6-$G$3,22))&lt;&gt;""),Trigo!$E9:INDEX(Trigo!$E9:$Z9,MIN(AW$6-$G$3,22))),0)))))</f>
        <v>0</v>
      </c>
      <c r="AX11" s="27" t="n">
        <f aca="false">IF(COUNT(Trigo!$E9:$Z9)=0,0,MAX(0,IF((AX$6-$E$3)&lt;1,0,IFERROR(LOOKUP(2,1/(Trigo!$E9:INDEX(Trigo!$E9:$Z9,MIN(AX$6-$E$3,22))&lt;&gt;""),Trigo!$E9:INDEX(Trigo!$E9:$Z9,MIN(AX$6-$E$3,22))),0))-IF($G$2,0,IF((AX$6-$G$3)&lt;1,0,IFERROR(LOOKUP(2,1/(Trigo!$E9:INDEX(Trigo!$E9:$Z9,MIN(AX$6-$G$3,22))&lt;&gt;""),Trigo!$E9:INDEX(Trigo!$E9:$Z9,MIN(AX$6-$G$3,22))),0)))))</f>
        <v>0</v>
      </c>
      <c r="AY11" s="27" t="n">
        <f aca="false">IF(COUNT(Trigo!$E9:$Z9)=0,0,MAX(0,IF((AY$6-$E$3)&lt;1,0,IFERROR(LOOKUP(2,1/(Trigo!$E9:INDEX(Trigo!$E9:$Z9,MIN(AY$6-$E$3,22))&lt;&gt;""),Trigo!$E9:INDEX(Trigo!$E9:$Z9,MIN(AY$6-$E$3,22))),0))-IF($G$2,0,IF((AY$6-$G$3)&lt;1,0,IFERROR(LOOKUP(2,1/(Trigo!$E9:INDEX(Trigo!$E9:$Z9,MIN(AY$6-$G$3,22))&lt;&gt;""),Trigo!$E9:INDEX(Trigo!$E9:$Z9,MIN(AY$6-$G$3,22))),0)))))</f>
        <v>0</v>
      </c>
      <c r="AZ11" s="27" t="n">
        <f aca="false">IF(COUNT(Trigo!$E9:$Z9)=0,0,MAX(0,IF((AZ$6-$E$3)&lt;1,0,IFERROR(LOOKUP(2,1/(Trigo!$E9:INDEX(Trigo!$E9:$Z9,MIN(AZ$6-$E$3,22))&lt;&gt;""),Trigo!$E9:INDEX(Trigo!$E9:$Z9,MIN(AZ$6-$E$3,22))),0))-IF($G$2,0,IF((AZ$6-$G$3)&lt;1,0,IFERROR(LOOKUP(2,1/(Trigo!$E9:INDEX(Trigo!$E9:$Z9,MIN(AZ$6-$G$3,22))&lt;&gt;""),Trigo!$E9:INDEX(Trigo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IF(COUNT(Trigo!$E10:$Z10)&gt;0,N(Trigo!$D10),0)</f>
        <v>0</v>
      </c>
      <c r="E12" s="27" t="n">
        <f aca="false">IF(COUNT(Trigo!$E10:$Z10)=0,0,MAX(0,IF((E$6-$E$3)&lt;1,0,IFERROR(LOOKUP(2,1/(Trigo!$E10:INDEX(Trigo!$E10:$Z10,MIN(E$6-$E$3,22))&lt;&gt;""),Trigo!$E10:INDEX(Trigo!$E10:$Z10,MIN(E$6-$E$3,22))),0))-IF($G$2,0,IF((E$6-$G$3)&lt;1,0,IFERROR(LOOKUP(2,1/(Trigo!$E10:INDEX(Trigo!$E10:$Z10,MIN(E$6-$G$3,22))&lt;&gt;""),Trigo!$E10:INDEX(Trigo!$E10:$Z10,MIN(E$6-$G$3,22))),0)))))</f>
        <v>0</v>
      </c>
      <c r="F12" s="27" t="n">
        <f aca="false">IF(COUNT(Trigo!$E10:$Z10)=0,0,MAX(0,IF((F$6-$E$3)&lt;1,0,IFERROR(LOOKUP(2,1/(Trigo!$E10:INDEX(Trigo!$E10:$Z10,MIN(F$6-$E$3,22))&lt;&gt;""),Trigo!$E10:INDEX(Trigo!$E10:$Z10,MIN(F$6-$E$3,22))),0))-IF($G$2,0,IF((F$6-$G$3)&lt;1,0,IFERROR(LOOKUP(2,1/(Trigo!$E10:INDEX(Trigo!$E10:$Z10,MIN(F$6-$G$3,22))&lt;&gt;""),Trigo!$E10:INDEX(Trigo!$E10:$Z10,MIN(F$6-$G$3,22))),0)))))</f>
        <v>0</v>
      </c>
      <c r="G12" s="27" t="n">
        <f aca="false">IF(COUNT(Trigo!$E10:$Z10)=0,0,MAX(0,IF((G$6-$E$3)&lt;1,0,IFERROR(LOOKUP(2,1/(Trigo!$E10:INDEX(Trigo!$E10:$Z10,MIN(G$6-$E$3,22))&lt;&gt;""),Trigo!$E10:INDEX(Trigo!$E10:$Z10,MIN(G$6-$E$3,22))),0))-IF($G$2,0,IF((G$6-$G$3)&lt;1,0,IFERROR(LOOKUP(2,1/(Trigo!$E10:INDEX(Trigo!$E10:$Z10,MIN(G$6-$G$3,22))&lt;&gt;""),Trigo!$E10:INDEX(Trigo!$E10:$Z10,MIN(G$6-$G$3,22))),0)))))</f>
        <v>0</v>
      </c>
      <c r="H12" s="27" t="n">
        <f aca="false">IF(COUNT(Trigo!$E10:$Z10)=0,0,MAX(0,IF((H$6-$E$3)&lt;1,0,IFERROR(LOOKUP(2,1/(Trigo!$E10:INDEX(Trigo!$E10:$Z10,MIN(H$6-$E$3,22))&lt;&gt;""),Trigo!$E10:INDEX(Trigo!$E10:$Z10,MIN(H$6-$E$3,22))),0))-IF($G$2,0,IF((H$6-$G$3)&lt;1,0,IFERROR(LOOKUP(2,1/(Trigo!$E10:INDEX(Trigo!$E10:$Z10,MIN(H$6-$G$3,22))&lt;&gt;""),Trigo!$E10:INDEX(Trigo!$E10:$Z10,MIN(H$6-$G$3,22))),0)))))</f>
        <v>0</v>
      </c>
      <c r="I12" s="27" t="n">
        <f aca="false">IF(COUNT(Trigo!$E10:$Z10)=0,0,MAX(0,IF((I$6-$E$3)&lt;1,0,IFERROR(LOOKUP(2,1/(Trigo!$E10:INDEX(Trigo!$E10:$Z10,MIN(I$6-$E$3,22))&lt;&gt;""),Trigo!$E10:INDEX(Trigo!$E10:$Z10,MIN(I$6-$E$3,22))),0))-IF($G$2,0,IF((I$6-$G$3)&lt;1,0,IFERROR(LOOKUP(2,1/(Trigo!$E10:INDEX(Trigo!$E10:$Z10,MIN(I$6-$G$3,22))&lt;&gt;""),Trigo!$E10:INDEX(Trigo!$E10:$Z10,MIN(I$6-$G$3,22))),0)))))</f>
        <v>0</v>
      </c>
      <c r="J12" s="27" t="n">
        <f aca="false">IF(COUNT(Trigo!$E10:$Z10)=0,0,MAX(0,IF((J$6-$E$3)&lt;1,0,IFERROR(LOOKUP(2,1/(Trigo!$E10:INDEX(Trigo!$E10:$Z10,MIN(J$6-$E$3,22))&lt;&gt;""),Trigo!$E10:INDEX(Trigo!$E10:$Z10,MIN(J$6-$E$3,22))),0))-IF($G$2,0,IF((J$6-$G$3)&lt;1,0,IFERROR(LOOKUP(2,1/(Trigo!$E10:INDEX(Trigo!$E10:$Z10,MIN(J$6-$G$3,22))&lt;&gt;""),Trigo!$E10:INDEX(Trigo!$E10:$Z10,MIN(J$6-$G$3,22))),0)))))</f>
        <v>0</v>
      </c>
      <c r="K12" s="27" t="n">
        <f aca="false">IF(COUNT(Trigo!$E10:$Z10)=0,0,MAX(0,IF((K$6-$E$3)&lt;1,0,IFERROR(LOOKUP(2,1/(Trigo!$E10:INDEX(Trigo!$E10:$Z10,MIN(K$6-$E$3,22))&lt;&gt;""),Trigo!$E10:INDEX(Trigo!$E10:$Z10,MIN(K$6-$E$3,22))),0))-IF($G$2,0,IF((K$6-$G$3)&lt;1,0,IFERROR(LOOKUP(2,1/(Trigo!$E10:INDEX(Trigo!$E10:$Z10,MIN(K$6-$G$3,22))&lt;&gt;""),Trigo!$E10:INDEX(Trigo!$E10:$Z10,MIN(K$6-$G$3,22))),0)))))</f>
        <v>0</v>
      </c>
      <c r="L12" s="27" t="n">
        <f aca="false">IF(COUNT(Trigo!$E10:$Z10)=0,0,MAX(0,IF((L$6-$E$3)&lt;1,0,IFERROR(LOOKUP(2,1/(Trigo!$E10:INDEX(Trigo!$E10:$Z10,MIN(L$6-$E$3,22))&lt;&gt;""),Trigo!$E10:INDEX(Trigo!$E10:$Z10,MIN(L$6-$E$3,22))),0))-IF($G$2,0,IF((L$6-$G$3)&lt;1,0,IFERROR(LOOKUP(2,1/(Trigo!$E10:INDEX(Trigo!$E10:$Z10,MIN(L$6-$G$3,22))&lt;&gt;""),Trigo!$E10:INDEX(Trigo!$E10:$Z10,MIN(L$6-$G$3,22))),0)))))</f>
        <v>0</v>
      </c>
      <c r="M12" s="27" t="n">
        <f aca="false">IF(COUNT(Trigo!$E10:$Z10)=0,0,MAX(0,IF((M$6-$E$3)&lt;1,0,IFERROR(LOOKUP(2,1/(Trigo!$E10:INDEX(Trigo!$E10:$Z10,MIN(M$6-$E$3,22))&lt;&gt;""),Trigo!$E10:INDEX(Trigo!$E10:$Z10,MIN(M$6-$E$3,22))),0))-IF($G$2,0,IF((M$6-$G$3)&lt;1,0,IFERROR(LOOKUP(2,1/(Trigo!$E10:INDEX(Trigo!$E10:$Z10,MIN(M$6-$G$3,22))&lt;&gt;""),Trigo!$E10:INDEX(Trigo!$E10:$Z10,MIN(M$6-$G$3,22))),0)))))</f>
        <v>0</v>
      </c>
      <c r="N12" s="27" t="n">
        <f aca="false">IF(COUNT(Trigo!$E10:$Z10)=0,0,MAX(0,IF((N$6-$E$3)&lt;1,0,IFERROR(LOOKUP(2,1/(Trigo!$E10:INDEX(Trigo!$E10:$Z10,MIN(N$6-$E$3,22))&lt;&gt;""),Trigo!$E10:INDEX(Trigo!$E10:$Z10,MIN(N$6-$E$3,22))),0))-IF($G$2,0,IF((N$6-$G$3)&lt;1,0,IFERROR(LOOKUP(2,1/(Trigo!$E10:INDEX(Trigo!$E10:$Z10,MIN(N$6-$G$3,22))&lt;&gt;""),Trigo!$E10:INDEX(Trigo!$E10:$Z10,MIN(N$6-$G$3,22))),0)))))</f>
        <v>0</v>
      </c>
      <c r="O12" s="27" t="n">
        <f aca="false">IF(COUNT(Trigo!$E10:$Z10)=0,0,MAX(0,IF((O$6-$E$3)&lt;1,0,IFERROR(LOOKUP(2,1/(Trigo!$E10:INDEX(Trigo!$E10:$Z10,MIN(O$6-$E$3,22))&lt;&gt;""),Trigo!$E10:INDEX(Trigo!$E10:$Z10,MIN(O$6-$E$3,22))),0))-IF($G$2,0,IF((O$6-$G$3)&lt;1,0,IFERROR(LOOKUP(2,1/(Trigo!$E10:INDEX(Trigo!$E10:$Z10,MIN(O$6-$G$3,22))&lt;&gt;""),Trigo!$E10:INDEX(Trigo!$E10:$Z10,MIN(O$6-$G$3,22))),0)))))</f>
        <v>0</v>
      </c>
      <c r="P12" s="27" t="n">
        <f aca="false">IF(COUNT(Trigo!$E10:$Z10)=0,0,MAX(0,IF((P$6-$E$3)&lt;1,0,IFERROR(LOOKUP(2,1/(Trigo!$E10:INDEX(Trigo!$E10:$Z10,MIN(P$6-$E$3,22))&lt;&gt;""),Trigo!$E10:INDEX(Trigo!$E10:$Z10,MIN(P$6-$E$3,22))),0))-IF($G$2,0,IF((P$6-$G$3)&lt;1,0,IFERROR(LOOKUP(2,1/(Trigo!$E10:INDEX(Trigo!$E10:$Z10,MIN(P$6-$G$3,22))&lt;&gt;""),Trigo!$E10:INDEX(Trigo!$E10:$Z10,MIN(P$6-$G$3,22))),0)))))</f>
        <v>0</v>
      </c>
      <c r="Q12" s="27" t="n">
        <f aca="false">IF(COUNT(Trigo!$E10:$Z10)=0,0,MAX(0,IF((Q$6-$E$3)&lt;1,0,IFERROR(LOOKUP(2,1/(Trigo!$E10:INDEX(Trigo!$E10:$Z10,MIN(Q$6-$E$3,22))&lt;&gt;""),Trigo!$E10:INDEX(Trigo!$E10:$Z10,MIN(Q$6-$E$3,22))),0))-IF($G$2,0,IF((Q$6-$G$3)&lt;1,0,IFERROR(LOOKUP(2,1/(Trigo!$E10:INDEX(Trigo!$E10:$Z10,MIN(Q$6-$G$3,22))&lt;&gt;""),Trigo!$E10:INDEX(Trigo!$E10:$Z10,MIN(Q$6-$G$3,22))),0)))))</f>
        <v>0</v>
      </c>
      <c r="R12" s="27" t="n">
        <f aca="false">IF(COUNT(Trigo!$E10:$Z10)=0,0,MAX(0,IF((R$6-$E$3)&lt;1,0,IFERROR(LOOKUP(2,1/(Trigo!$E10:INDEX(Trigo!$E10:$Z10,MIN(R$6-$E$3,22))&lt;&gt;""),Trigo!$E10:INDEX(Trigo!$E10:$Z10,MIN(R$6-$E$3,22))),0))-IF($G$2,0,IF((R$6-$G$3)&lt;1,0,IFERROR(LOOKUP(2,1/(Trigo!$E10:INDEX(Trigo!$E10:$Z10,MIN(R$6-$G$3,22))&lt;&gt;""),Trigo!$E10:INDEX(Trigo!$E10:$Z10,MIN(R$6-$G$3,22))),0)))))</f>
        <v>0</v>
      </c>
      <c r="S12" s="27" t="n">
        <f aca="false">IF(COUNT(Trigo!$E10:$Z10)=0,0,MAX(0,IF((S$6-$E$3)&lt;1,0,IFERROR(LOOKUP(2,1/(Trigo!$E10:INDEX(Trigo!$E10:$Z10,MIN(S$6-$E$3,22))&lt;&gt;""),Trigo!$E10:INDEX(Trigo!$E10:$Z10,MIN(S$6-$E$3,22))),0))-IF($G$2,0,IF((S$6-$G$3)&lt;1,0,IFERROR(LOOKUP(2,1/(Trigo!$E10:INDEX(Trigo!$E10:$Z10,MIN(S$6-$G$3,22))&lt;&gt;""),Trigo!$E10:INDEX(Trigo!$E10:$Z10,MIN(S$6-$G$3,22))),0)))))</f>
        <v>0</v>
      </c>
      <c r="T12" s="27" t="n">
        <f aca="false">IF(COUNT(Trigo!$E10:$Z10)=0,0,MAX(0,IF((T$6-$E$3)&lt;1,0,IFERROR(LOOKUP(2,1/(Trigo!$E10:INDEX(Trigo!$E10:$Z10,MIN(T$6-$E$3,22))&lt;&gt;""),Trigo!$E10:INDEX(Trigo!$E10:$Z10,MIN(T$6-$E$3,22))),0))-IF($G$2,0,IF((T$6-$G$3)&lt;1,0,IFERROR(LOOKUP(2,1/(Trigo!$E10:INDEX(Trigo!$E10:$Z10,MIN(T$6-$G$3,22))&lt;&gt;""),Trigo!$E10:INDEX(Trigo!$E10:$Z10,MIN(T$6-$G$3,22))),0)))))</f>
        <v>0</v>
      </c>
      <c r="U12" s="27" t="n">
        <f aca="false">IF(COUNT(Trigo!$E10:$Z10)=0,0,MAX(0,IF((U$6-$E$3)&lt;1,0,IFERROR(LOOKUP(2,1/(Trigo!$E10:INDEX(Trigo!$E10:$Z10,MIN(U$6-$E$3,22))&lt;&gt;""),Trigo!$E10:INDEX(Trigo!$E10:$Z10,MIN(U$6-$E$3,22))),0))-IF($G$2,0,IF((U$6-$G$3)&lt;1,0,IFERROR(LOOKUP(2,1/(Trigo!$E10:INDEX(Trigo!$E10:$Z10,MIN(U$6-$G$3,22))&lt;&gt;""),Trigo!$E10:INDEX(Trigo!$E10:$Z10,MIN(U$6-$G$3,22))),0)))))</f>
        <v>0</v>
      </c>
      <c r="V12" s="27" t="n">
        <f aca="false">IF(COUNT(Trigo!$E10:$Z10)=0,0,MAX(0,IF((V$6-$E$3)&lt;1,0,IFERROR(LOOKUP(2,1/(Trigo!$E10:INDEX(Trigo!$E10:$Z10,MIN(V$6-$E$3,22))&lt;&gt;""),Trigo!$E10:INDEX(Trigo!$E10:$Z10,MIN(V$6-$E$3,22))),0))-IF($G$2,0,IF((V$6-$G$3)&lt;1,0,IFERROR(LOOKUP(2,1/(Trigo!$E10:INDEX(Trigo!$E10:$Z10,MIN(V$6-$G$3,22))&lt;&gt;""),Trigo!$E10:INDEX(Trigo!$E10:$Z10,MIN(V$6-$G$3,22))),0)))))</f>
        <v>0</v>
      </c>
      <c r="W12" s="27" t="n">
        <f aca="false">IF(COUNT(Trigo!$E10:$Z10)=0,0,MAX(0,IF((W$6-$E$3)&lt;1,0,IFERROR(LOOKUP(2,1/(Trigo!$E10:INDEX(Trigo!$E10:$Z10,MIN(W$6-$E$3,22))&lt;&gt;""),Trigo!$E10:INDEX(Trigo!$E10:$Z10,MIN(W$6-$E$3,22))),0))-IF($G$2,0,IF((W$6-$G$3)&lt;1,0,IFERROR(LOOKUP(2,1/(Trigo!$E10:INDEX(Trigo!$E10:$Z10,MIN(W$6-$G$3,22))&lt;&gt;""),Trigo!$E10:INDEX(Trigo!$E10:$Z10,MIN(W$6-$G$3,22))),0)))))</f>
        <v>0</v>
      </c>
      <c r="X12" s="27" t="n">
        <f aca="false">IF(COUNT(Trigo!$E10:$Z10)=0,0,MAX(0,IF((X$6-$E$3)&lt;1,0,IFERROR(LOOKUP(2,1/(Trigo!$E10:INDEX(Trigo!$E10:$Z10,MIN(X$6-$E$3,22))&lt;&gt;""),Trigo!$E10:INDEX(Trigo!$E10:$Z10,MIN(X$6-$E$3,22))),0))-IF($G$2,0,IF((X$6-$G$3)&lt;1,0,IFERROR(LOOKUP(2,1/(Trigo!$E10:INDEX(Trigo!$E10:$Z10,MIN(X$6-$G$3,22))&lt;&gt;""),Trigo!$E10:INDEX(Trigo!$E10:$Z10,MIN(X$6-$G$3,22))),0)))))</f>
        <v>0</v>
      </c>
      <c r="Y12" s="27" t="n">
        <f aca="false">IF(COUNT(Trigo!$E10:$Z10)=0,0,MAX(0,IF((Y$6-$E$3)&lt;1,0,IFERROR(LOOKUP(2,1/(Trigo!$E10:INDEX(Trigo!$E10:$Z10,MIN(Y$6-$E$3,22))&lt;&gt;""),Trigo!$E10:INDEX(Trigo!$E10:$Z10,MIN(Y$6-$E$3,22))),0))-IF($G$2,0,IF((Y$6-$G$3)&lt;1,0,IFERROR(LOOKUP(2,1/(Trigo!$E10:INDEX(Trigo!$E10:$Z10,MIN(Y$6-$G$3,22))&lt;&gt;""),Trigo!$E10:INDEX(Trigo!$E10:$Z10,MIN(Y$6-$G$3,22))),0)))))</f>
        <v>0</v>
      </c>
      <c r="Z12" s="27" t="n">
        <f aca="false">IF(COUNT(Trigo!$E10:$Z10)=0,0,MAX(0,IF((Z$6-$E$3)&lt;1,0,IFERROR(LOOKUP(2,1/(Trigo!$E10:INDEX(Trigo!$E10:$Z10,MIN(Z$6-$E$3,22))&lt;&gt;""),Trigo!$E10:INDEX(Trigo!$E10:$Z10,MIN(Z$6-$E$3,22))),0))-IF($G$2,0,IF((Z$6-$G$3)&lt;1,0,IFERROR(LOOKUP(2,1/(Trigo!$E10:INDEX(Trigo!$E10:$Z10,MIN(Z$6-$G$3,22))&lt;&gt;""),Trigo!$E10:INDEX(Trigo!$E10:$Z10,MIN(Z$6-$G$3,22))),0)))))</f>
        <v>0</v>
      </c>
      <c r="AA12" s="27" t="n">
        <f aca="false">IF(COUNT(Trigo!$E10:$Z10)=0,0,MAX(0,IF((AA$6-$E$3)&lt;1,0,IFERROR(LOOKUP(2,1/(Trigo!$E10:INDEX(Trigo!$E10:$Z10,MIN(AA$6-$E$3,22))&lt;&gt;""),Trigo!$E10:INDEX(Trigo!$E10:$Z10,MIN(AA$6-$E$3,22))),0))-IF($G$2,0,IF((AA$6-$G$3)&lt;1,0,IFERROR(LOOKUP(2,1/(Trigo!$E10:INDEX(Trigo!$E10:$Z10,MIN(AA$6-$G$3,22))&lt;&gt;""),Trigo!$E10:INDEX(Trigo!$E10:$Z10,MIN(AA$6-$G$3,22))),0)))))</f>
        <v>0</v>
      </c>
      <c r="AB12" s="27" t="n">
        <f aca="false">IF(COUNT(Trigo!$E10:$Z10)=0,0,MAX(0,IF((AB$6-$E$3)&lt;1,0,IFERROR(LOOKUP(2,1/(Trigo!$E10:INDEX(Trigo!$E10:$Z10,MIN(AB$6-$E$3,22))&lt;&gt;""),Trigo!$E10:INDEX(Trigo!$E10:$Z10,MIN(AB$6-$E$3,22))),0))-IF($G$2,0,IF((AB$6-$G$3)&lt;1,0,IFERROR(LOOKUP(2,1/(Trigo!$E10:INDEX(Trigo!$E10:$Z10,MIN(AB$6-$G$3,22))&lt;&gt;""),Trigo!$E10:INDEX(Trigo!$E10:$Z10,MIN(AB$6-$G$3,22))),0)))))</f>
        <v>0</v>
      </c>
      <c r="AC12" s="27" t="n">
        <f aca="false">IF(COUNT(Trigo!$E10:$Z10)=0,0,MAX(0,IF((AC$6-$E$3)&lt;1,0,IFERROR(LOOKUP(2,1/(Trigo!$E10:INDEX(Trigo!$E10:$Z10,MIN(AC$6-$E$3,22))&lt;&gt;""),Trigo!$E10:INDEX(Trigo!$E10:$Z10,MIN(AC$6-$E$3,22))),0))-IF($G$2,0,IF((AC$6-$G$3)&lt;1,0,IFERROR(LOOKUP(2,1/(Trigo!$E10:INDEX(Trigo!$E10:$Z10,MIN(AC$6-$G$3,22))&lt;&gt;""),Trigo!$E10:INDEX(Trigo!$E10:$Z10,MIN(AC$6-$G$3,22))),0)))))</f>
        <v>0</v>
      </c>
      <c r="AD12" s="27" t="n">
        <f aca="false">IF(COUNT(Trigo!$E10:$Z10)=0,0,MAX(0,IF((AD$6-$E$3)&lt;1,0,IFERROR(LOOKUP(2,1/(Trigo!$E10:INDEX(Trigo!$E10:$Z10,MIN(AD$6-$E$3,22))&lt;&gt;""),Trigo!$E10:INDEX(Trigo!$E10:$Z10,MIN(AD$6-$E$3,22))),0))-IF($G$2,0,IF((AD$6-$G$3)&lt;1,0,IFERROR(LOOKUP(2,1/(Trigo!$E10:INDEX(Trigo!$E10:$Z10,MIN(AD$6-$G$3,22))&lt;&gt;""),Trigo!$E10:INDEX(Trigo!$E10:$Z10,MIN(AD$6-$G$3,22))),0)))))</f>
        <v>0</v>
      </c>
      <c r="AE12" s="27" t="n">
        <f aca="false">IF(COUNT(Trigo!$E10:$Z10)=0,0,MAX(0,IF((AE$6-$E$3)&lt;1,0,IFERROR(LOOKUP(2,1/(Trigo!$E10:INDEX(Trigo!$E10:$Z10,MIN(AE$6-$E$3,22))&lt;&gt;""),Trigo!$E10:INDEX(Trigo!$E10:$Z10,MIN(AE$6-$E$3,22))),0))-IF($G$2,0,IF((AE$6-$G$3)&lt;1,0,IFERROR(LOOKUP(2,1/(Trigo!$E10:INDEX(Trigo!$E10:$Z10,MIN(AE$6-$G$3,22))&lt;&gt;""),Trigo!$E10:INDEX(Trigo!$E10:$Z10,MIN(AE$6-$G$3,22))),0)))))</f>
        <v>0</v>
      </c>
      <c r="AF12" s="27" t="n">
        <f aca="false">IF(COUNT(Trigo!$E10:$Z10)=0,0,MAX(0,IF((AF$6-$E$3)&lt;1,0,IFERROR(LOOKUP(2,1/(Trigo!$E10:INDEX(Trigo!$E10:$Z10,MIN(AF$6-$E$3,22))&lt;&gt;""),Trigo!$E10:INDEX(Trigo!$E10:$Z10,MIN(AF$6-$E$3,22))),0))-IF($G$2,0,IF((AF$6-$G$3)&lt;1,0,IFERROR(LOOKUP(2,1/(Trigo!$E10:INDEX(Trigo!$E10:$Z10,MIN(AF$6-$G$3,22))&lt;&gt;""),Trigo!$E10:INDEX(Trigo!$E10:$Z10,MIN(AF$6-$G$3,22))),0)))))</f>
        <v>0</v>
      </c>
      <c r="AG12" s="27" t="n">
        <f aca="false">IF(COUNT(Trigo!$E10:$Z10)=0,0,MAX(0,IF((AG$6-$E$3)&lt;1,0,IFERROR(LOOKUP(2,1/(Trigo!$E10:INDEX(Trigo!$E10:$Z10,MIN(AG$6-$E$3,22))&lt;&gt;""),Trigo!$E10:INDEX(Trigo!$E10:$Z10,MIN(AG$6-$E$3,22))),0))-IF($G$2,0,IF((AG$6-$G$3)&lt;1,0,IFERROR(LOOKUP(2,1/(Trigo!$E10:INDEX(Trigo!$E10:$Z10,MIN(AG$6-$G$3,22))&lt;&gt;""),Trigo!$E10:INDEX(Trigo!$E10:$Z10,MIN(AG$6-$G$3,22))),0)))))</f>
        <v>0</v>
      </c>
      <c r="AH12" s="27" t="n">
        <f aca="false">IF(COUNT(Trigo!$E10:$Z10)=0,0,MAX(0,IF((AH$6-$E$3)&lt;1,0,IFERROR(LOOKUP(2,1/(Trigo!$E10:INDEX(Trigo!$E10:$Z10,MIN(AH$6-$E$3,22))&lt;&gt;""),Trigo!$E10:INDEX(Trigo!$E10:$Z10,MIN(AH$6-$E$3,22))),0))-IF($G$2,0,IF((AH$6-$G$3)&lt;1,0,IFERROR(LOOKUP(2,1/(Trigo!$E10:INDEX(Trigo!$E10:$Z10,MIN(AH$6-$G$3,22))&lt;&gt;""),Trigo!$E10:INDEX(Trigo!$E10:$Z10,MIN(AH$6-$G$3,22))),0)))))</f>
        <v>0</v>
      </c>
      <c r="AI12" s="27" t="n">
        <f aca="false">IF(COUNT(Trigo!$E10:$Z10)=0,0,MAX(0,IF((AI$6-$E$3)&lt;1,0,IFERROR(LOOKUP(2,1/(Trigo!$E10:INDEX(Trigo!$E10:$Z10,MIN(AI$6-$E$3,22))&lt;&gt;""),Trigo!$E10:INDEX(Trigo!$E10:$Z10,MIN(AI$6-$E$3,22))),0))-IF($G$2,0,IF((AI$6-$G$3)&lt;1,0,IFERROR(LOOKUP(2,1/(Trigo!$E10:INDEX(Trigo!$E10:$Z10,MIN(AI$6-$G$3,22))&lt;&gt;""),Trigo!$E10:INDEX(Trigo!$E10:$Z10,MIN(AI$6-$G$3,22))),0)))))</f>
        <v>0</v>
      </c>
      <c r="AJ12" s="27" t="n">
        <f aca="false">IF(COUNT(Trigo!$E10:$Z10)=0,0,MAX(0,IF((AJ$6-$E$3)&lt;1,0,IFERROR(LOOKUP(2,1/(Trigo!$E10:INDEX(Trigo!$E10:$Z10,MIN(AJ$6-$E$3,22))&lt;&gt;""),Trigo!$E10:INDEX(Trigo!$E10:$Z10,MIN(AJ$6-$E$3,22))),0))-IF($G$2,0,IF((AJ$6-$G$3)&lt;1,0,IFERROR(LOOKUP(2,1/(Trigo!$E10:INDEX(Trigo!$E10:$Z10,MIN(AJ$6-$G$3,22))&lt;&gt;""),Trigo!$E10:INDEX(Trigo!$E10:$Z10,MIN(AJ$6-$G$3,22))),0)))))</f>
        <v>0</v>
      </c>
      <c r="AK12" s="27" t="n">
        <f aca="false">IF(COUNT(Trigo!$E10:$Z10)=0,0,MAX(0,IF((AK$6-$E$3)&lt;1,0,IFERROR(LOOKUP(2,1/(Trigo!$E10:INDEX(Trigo!$E10:$Z10,MIN(AK$6-$E$3,22))&lt;&gt;""),Trigo!$E10:INDEX(Trigo!$E10:$Z10,MIN(AK$6-$E$3,22))),0))-IF($G$2,0,IF((AK$6-$G$3)&lt;1,0,IFERROR(LOOKUP(2,1/(Trigo!$E10:INDEX(Trigo!$E10:$Z10,MIN(AK$6-$G$3,22))&lt;&gt;""),Trigo!$E10:INDEX(Trigo!$E10:$Z10,MIN(AK$6-$G$3,22))),0)))))</f>
        <v>0</v>
      </c>
      <c r="AL12" s="27" t="n">
        <f aca="false">IF(COUNT(Trigo!$E10:$Z10)=0,0,MAX(0,IF((AL$6-$E$3)&lt;1,0,IFERROR(LOOKUP(2,1/(Trigo!$E10:INDEX(Trigo!$E10:$Z10,MIN(AL$6-$E$3,22))&lt;&gt;""),Trigo!$E10:INDEX(Trigo!$E10:$Z10,MIN(AL$6-$E$3,22))),0))-IF($G$2,0,IF((AL$6-$G$3)&lt;1,0,IFERROR(LOOKUP(2,1/(Trigo!$E10:INDEX(Trigo!$E10:$Z10,MIN(AL$6-$G$3,22))&lt;&gt;""),Trigo!$E10:INDEX(Trigo!$E10:$Z10,MIN(AL$6-$G$3,22))),0)))))</f>
        <v>0</v>
      </c>
      <c r="AM12" s="27" t="n">
        <f aca="false">IF(COUNT(Trigo!$E10:$Z10)=0,0,MAX(0,IF((AM$6-$E$3)&lt;1,0,IFERROR(LOOKUP(2,1/(Trigo!$E10:INDEX(Trigo!$E10:$Z10,MIN(AM$6-$E$3,22))&lt;&gt;""),Trigo!$E10:INDEX(Trigo!$E10:$Z10,MIN(AM$6-$E$3,22))),0))-IF($G$2,0,IF((AM$6-$G$3)&lt;1,0,IFERROR(LOOKUP(2,1/(Trigo!$E10:INDEX(Trigo!$E10:$Z10,MIN(AM$6-$G$3,22))&lt;&gt;""),Trigo!$E10:INDEX(Trigo!$E10:$Z10,MIN(AM$6-$G$3,22))),0)))))</f>
        <v>0</v>
      </c>
      <c r="AN12" s="27" t="n">
        <f aca="false">IF(COUNT(Trigo!$E10:$Z10)=0,0,MAX(0,IF((AN$6-$E$3)&lt;1,0,IFERROR(LOOKUP(2,1/(Trigo!$E10:INDEX(Trigo!$E10:$Z10,MIN(AN$6-$E$3,22))&lt;&gt;""),Trigo!$E10:INDEX(Trigo!$E10:$Z10,MIN(AN$6-$E$3,22))),0))-IF($G$2,0,IF((AN$6-$G$3)&lt;1,0,IFERROR(LOOKUP(2,1/(Trigo!$E10:INDEX(Trigo!$E10:$Z10,MIN(AN$6-$G$3,22))&lt;&gt;""),Trigo!$E10:INDEX(Trigo!$E10:$Z10,MIN(AN$6-$G$3,22))),0)))))</f>
        <v>0</v>
      </c>
      <c r="AO12" s="27" t="n">
        <f aca="false">IF(COUNT(Trigo!$E10:$Z10)=0,0,MAX(0,IF((AO$6-$E$3)&lt;1,0,IFERROR(LOOKUP(2,1/(Trigo!$E10:INDEX(Trigo!$E10:$Z10,MIN(AO$6-$E$3,22))&lt;&gt;""),Trigo!$E10:INDEX(Trigo!$E10:$Z10,MIN(AO$6-$E$3,22))),0))-IF($G$2,0,IF((AO$6-$G$3)&lt;1,0,IFERROR(LOOKUP(2,1/(Trigo!$E10:INDEX(Trigo!$E10:$Z10,MIN(AO$6-$G$3,22))&lt;&gt;""),Trigo!$E10:INDEX(Trigo!$E10:$Z10,MIN(AO$6-$G$3,22))),0)))))</f>
        <v>0</v>
      </c>
      <c r="AP12" s="27" t="n">
        <f aca="false">IF(COUNT(Trigo!$E10:$Z10)=0,0,MAX(0,IF((AP$6-$E$3)&lt;1,0,IFERROR(LOOKUP(2,1/(Trigo!$E10:INDEX(Trigo!$E10:$Z10,MIN(AP$6-$E$3,22))&lt;&gt;""),Trigo!$E10:INDEX(Trigo!$E10:$Z10,MIN(AP$6-$E$3,22))),0))-IF($G$2,0,IF((AP$6-$G$3)&lt;1,0,IFERROR(LOOKUP(2,1/(Trigo!$E10:INDEX(Trigo!$E10:$Z10,MIN(AP$6-$G$3,22))&lt;&gt;""),Trigo!$E10:INDEX(Trigo!$E10:$Z10,MIN(AP$6-$G$3,22))),0)))))</f>
        <v>0</v>
      </c>
      <c r="AQ12" s="27" t="n">
        <f aca="false">IF(COUNT(Trigo!$E10:$Z10)=0,0,MAX(0,IF((AQ$6-$E$3)&lt;1,0,IFERROR(LOOKUP(2,1/(Trigo!$E10:INDEX(Trigo!$E10:$Z10,MIN(AQ$6-$E$3,22))&lt;&gt;""),Trigo!$E10:INDEX(Trigo!$E10:$Z10,MIN(AQ$6-$E$3,22))),0))-IF($G$2,0,IF((AQ$6-$G$3)&lt;1,0,IFERROR(LOOKUP(2,1/(Trigo!$E10:INDEX(Trigo!$E10:$Z10,MIN(AQ$6-$G$3,22))&lt;&gt;""),Trigo!$E10:INDEX(Trigo!$E10:$Z10,MIN(AQ$6-$G$3,22))),0)))))</f>
        <v>0</v>
      </c>
      <c r="AR12" s="27" t="n">
        <f aca="false">IF(COUNT(Trigo!$E10:$Z10)=0,0,MAX(0,IF((AR$6-$E$3)&lt;1,0,IFERROR(LOOKUP(2,1/(Trigo!$E10:INDEX(Trigo!$E10:$Z10,MIN(AR$6-$E$3,22))&lt;&gt;""),Trigo!$E10:INDEX(Trigo!$E10:$Z10,MIN(AR$6-$E$3,22))),0))-IF($G$2,0,IF((AR$6-$G$3)&lt;1,0,IFERROR(LOOKUP(2,1/(Trigo!$E10:INDEX(Trigo!$E10:$Z10,MIN(AR$6-$G$3,22))&lt;&gt;""),Trigo!$E10:INDEX(Trigo!$E10:$Z10,MIN(AR$6-$G$3,22))),0)))))</f>
        <v>0</v>
      </c>
      <c r="AS12" s="27" t="n">
        <f aca="false">IF(COUNT(Trigo!$E10:$Z10)=0,0,MAX(0,IF((AS$6-$E$3)&lt;1,0,IFERROR(LOOKUP(2,1/(Trigo!$E10:INDEX(Trigo!$E10:$Z10,MIN(AS$6-$E$3,22))&lt;&gt;""),Trigo!$E10:INDEX(Trigo!$E10:$Z10,MIN(AS$6-$E$3,22))),0))-IF($G$2,0,IF((AS$6-$G$3)&lt;1,0,IFERROR(LOOKUP(2,1/(Trigo!$E10:INDEX(Trigo!$E10:$Z10,MIN(AS$6-$G$3,22))&lt;&gt;""),Trigo!$E10:INDEX(Trigo!$E10:$Z10,MIN(AS$6-$G$3,22))),0)))))</f>
        <v>0</v>
      </c>
      <c r="AT12" s="27" t="n">
        <f aca="false">IF(COUNT(Trigo!$E10:$Z10)=0,0,MAX(0,IF((AT$6-$E$3)&lt;1,0,IFERROR(LOOKUP(2,1/(Trigo!$E10:INDEX(Trigo!$E10:$Z10,MIN(AT$6-$E$3,22))&lt;&gt;""),Trigo!$E10:INDEX(Trigo!$E10:$Z10,MIN(AT$6-$E$3,22))),0))-IF($G$2,0,IF((AT$6-$G$3)&lt;1,0,IFERROR(LOOKUP(2,1/(Trigo!$E10:INDEX(Trigo!$E10:$Z10,MIN(AT$6-$G$3,22))&lt;&gt;""),Trigo!$E10:INDEX(Trigo!$E10:$Z10,MIN(AT$6-$G$3,22))),0)))))</f>
        <v>0</v>
      </c>
      <c r="AU12" s="27" t="n">
        <f aca="false">IF(COUNT(Trigo!$E10:$Z10)=0,0,MAX(0,IF((AU$6-$E$3)&lt;1,0,IFERROR(LOOKUP(2,1/(Trigo!$E10:INDEX(Trigo!$E10:$Z10,MIN(AU$6-$E$3,22))&lt;&gt;""),Trigo!$E10:INDEX(Trigo!$E10:$Z10,MIN(AU$6-$E$3,22))),0))-IF($G$2,0,IF((AU$6-$G$3)&lt;1,0,IFERROR(LOOKUP(2,1/(Trigo!$E10:INDEX(Trigo!$E10:$Z10,MIN(AU$6-$G$3,22))&lt;&gt;""),Trigo!$E10:INDEX(Trigo!$E10:$Z10,MIN(AU$6-$G$3,22))),0)))))</f>
        <v>0</v>
      </c>
      <c r="AV12" s="27" t="n">
        <f aca="false">IF(COUNT(Trigo!$E10:$Z10)=0,0,MAX(0,IF((AV$6-$E$3)&lt;1,0,IFERROR(LOOKUP(2,1/(Trigo!$E10:INDEX(Trigo!$E10:$Z10,MIN(AV$6-$E$3,22))&lt;&gt;""),Trigo!$E10:INDEX(Trigo!$E10:$Z10,MIN(AV$6-$E$3,22))),0))-IF($G$2,0,IF((AV$6-$G$3)&lt;1,0,IFERROR(LOOKUP(2,1/(Trigo!$E10:INDEX(Trigo!$E10:$Z10,MIN(AV$6-$G$3,22))&lt;&gt;""),Trigo!$E10:INDEX(Trigo!$E10:$Z10,MIN(AV$6-$G$3,22))),0)))))</f>
        <v>0</v>
      </c>
      <c r="AW12" s="27" t="n">
        <f aca="false">IF(COUNT(Trigo!$E10:$Z10)=0,0,MAX(0,IF((AW$6-$E$3)&lt;1,0,IFERROR(LOOKUP(2,1/(Trigo!$E10:INDEX(Trigo!$E10:$Z10,MIN(AW$6-$E$3,22))&lt;&gt;""),Trigo!$E10:INDEX(Trigo!$E10:$Z10,MIN(AW$6-$E$3,22))),0))-IF($G$2,0,IF((AW$6-$G$3)&lt;1,0,IFERROR(LOOKUP(2,1/(Trigo!$E10:INDEX(Trigo!$E10:$Z10,MIN(AW$6-$G$3,22))&lt;&gt;""),Trigo!$E10:INDEX(Trigo!$E10:$Z10,MIN(AW$6-$G$3,22))),0)))))</f>
        <v>0</v>
      </c>
      <c r="AX12" s="27" t="n">
        <f aca="false">IF(COUNT(Trigo!$E10:$Z10)=0,0,MAX(0,IF((AX$6-$E$3)&lt;1,0,IFERROR(LOOKUP(2,1/(Trigo!$E10:INDEX(Trigo!$E10:$Z10,MIN(AX$6-$E$3,22))&lt;&gt;""),Trigo!$E10:INDEX(Trigo!$E10:$Z10,MIN(AX$6-$E$3,22))),0))-IF($G$2,0,IF((AX$6-$G$3)&lt;1,0,IFERROR(LOOKUP(2,1/(Trigo!$E10:INDEX(Trigo!$E10:$Z10,MIN(AX$6-$G$3,22))&lt;&gt;""),Trigo!$E10:INDEX(Trigo!$E10:$Z10,MIN(AX$6-$G$3,22))),0)))))</f>
        <v>0</v>
      </c>
      <c r="AY12" s="27" t="n">
        <f aca="false">IF(COUNT(Trigo!$E10:$Z10)=0,0,MAX(0,IF((AY$6-$E$3)&lt;1,0,IFERROR(LOOKUP(2,1/(Trigo!$E10:INDEX(Trigo!$E10:$Z10,MIN(AY$6-$E$3,22))&lt;&gt;""),Trigo!$E10:INDEX(Trigo!$E10:$Z10,MIN(AY$6-$E$3,22))),0))-IF($G$2,0,IF((AY$6-$G$3)&lt;1,0,IFERROR(LOOKUP(2,1/(Trigo!$E10:INDEX(Trigo!$E10:$Z10,MIN(AY$6-$G$3,22))&lt;&gt;""),Trigo!$E10:INDEX(Trigo!$E10:$Z10,MIN(AY$6-$G$3,22))),0)))))</f>
        <v>0</v>
      </c>
      <c r="AZ12" s="27" t="n">
        <f aca="false">IF(COUNT(Trigo!$E10:$Z10)=0,0,MAX(0,IF((AZ$6-$E$3)&lt;1,0,IFERROR(LOOKUP(2,1/(Trigo!$E10:INDEX(Trigo!$E10:$Z10,MIN(AZ$6-$E$3,22))&lt;&gt;""),Trigo!$E10:INDEX(Trigo!$E10:$Z10,MIN(AZ$6-$E$3,22))),0))-IF($G$2,0,IF((AZ$6-$G$3)&lt;1,0,IFERROR(LOOKUP(2,1/(Trigo!$E10:INDEX(Trigo!$E10:$Z10,MIN(AZ$6-$G$3,22))&lt;&gt;""),Trigo!$E10:INDEX(Trigo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IF(COUNT(Trigo!$E11:$Z11)&gt;0,N(Trigo!$D11),0)</f>
        <v>0</v>
      </c>
      <c r="E13" s="27" t="n">
        <f aca="false">IF(COUNT(Trigo!$E11:$Z11)=0,0,MAX(0,IF((E$6-$E$3)&lt;1,0,IFERROR(LOOKUP(2,1/(Trigo!$E11:INDEX(Trigo!$E11:$Z11,MIN(E$6-$E$3,22))&lt;&gt;""),Trigo!$E11:INDEX(Trigo!$E11:$Z11,MIN(E$6-$E$3,22))),0))-IF($G$2,0,IF((E$6-$G$3)&lt;1,0,IFERROR(LOOKUP(2,1/(Trigo!$E11:INDEX(Trigo!$E11:$Z11,MIN(E$6-$G$3,22))&lt;&gt;""),Trigo!$E11:INDEX(Trigo!$E11:$Z11,MIN(E$6-$G$3,22))),0)))))</f>
        <v>0</v>
      </c>
      <c r="F13" s="27" t="n">
        <f aca="false">IF(COUNT(Trigo!$E11:$Z11)=0,0,MAX(0,IF((F$6-$E$3)&lt;1,0,IFERROR(LOOKUP(2,1/(Trigo!$E11:INDEX(Trigo!$E11:$Z11,MIN(F$6-$E$3,22))&lt;&gt;""),Trigo!$E11:INDEX(Trigo!$E11:$Z11,MIN(F$6-$E$3,22))),0))-IF($G$2,0,IF((F$6-$G$3)&lt;1,0,IFERROR(LOOKUP(2,1/(Trigo!$E11:INDEX(Trigo!$E11:$Z11,MIN(F$6-$G$3,22))&lt;&gt;""),Trigo!$E11:INDEX(Trigo!$E11:$Z11,MIN(F$6-$G$3,22))),0)))))</f>
        <v>0</v>
      </c>
      <c r="G13" s="27" t="n">
        <f aca="false">IF(COUNT(Trigo!$E11:$Z11)=0,0,MAX(0,IF((G$6-$E$3)&lt;1,0,IFERROR(LOOKUP(2,1/(Trigo!$E11:INDEX(Trigo!$E11:$Z11,MIN(G$6-$E$3,22))&lt;&gt;""),Trigo!$E11:INDEX(Trigo!$E11:$Z11,MIN(G$6-$E$3,22))),0))-IF($G$2,0,IF((G$6-$G$3)&lt;1,0,IFERROR(LOOKUP(2,1/(Trigo!$E11:INDEX(Trigo!$E11:$Z11,MIN(G$6-$G$3,22))&lt;&gt;""),Trigo!$E11:INDEX(Trigo!$E11:$Z11,MIN(G$6-$G$3,22))),0)))))</f>
        <v>0</v>
      </c>
      <c r="H13" s="27" t="n">
        <f aca="false">IF(COUNT(Trigo!$E11:$Z11)=0,0,MAX(0,IF((H$6-$E$3)&lt;1,0,IFERROR(LOOKUP(2,1/(Trigo!$E11:INDEX(Trigo!$E11:$Z11,MIN(H$6-$E$3,22))&lt;&gt;""),Trigo!$E11:INDEX(Trigo!$E11:$Z11,MIN(H$6-$E$3,22))),0))-IF($G$2,0,IF((H$6-$G$3)&lt;1,0,IFERROR(LOOKUP(2,1/(Trigo!$E11:INDEX(Trigo!$E11:$Z11,MIN(H$6-$G$3,22))&lt;&gt;""),Trigo!$E11:INDEX(Trigo!$E11:$Z11,MIN(H$6-$G$3,22))),0)))))</f>
        <v>0</v>
      </c>
      <c r="I13" s="27" t="n">
        <f aca="false">IF(COUNT(Trigo!$E11:$Z11)=0,0,MAX(0,IF((I$6-$E$3)&lt;1,0,IFERROR(LOOKUP(2,1/(Trigo!$E11:INDEX(Trigo!$E11:$Z11,MIN(I$6-$E$3,22))&lt;&gt;""),Trigo!$E11:INDEX(Trigo!$E11:$Z11,MIN(I$6-$E$3,22))),0))-IF($G$2,0,IF((I$6-$G$3)&lt;1,0,IFERROR(LOOKUP(2,1/(Trigo!$E11:INDEX(Trigo!$E11:$Z11,MIN(I$6-$G$3,22))&lt;&gt;""),Trigo!$E11:INDEX(Trigo!$E11:$Z11,MIN(I$6-$G$3,22))),0)))))</f>
        <v>0</v>
      </c>
      <c r="J13" s="27" t="n">
        <f aca="false">IF(COUNT(Trigo!$E11:$Z11)=0,0,MAX(0,IF((J$6-$E$3)&lt;1,0,IFERROR(LOOKUP(2,1/(Trigo!$E11:INDEX(Trigo!$E11:$Z11,MIN(J$6-$E$3,22))&lt;&gt;""),Trigo!$E11:INDEX(Trigo!$E11:$Z11,MIN(J$6-$E$3,22))),0))-IF($G$2,0,IF((J$6-$G$3)&lt;1,0,IFERROR(LOOKUP(2,1/(Trigo!$E11:INDEX(Trigo!$E11:$Z11,MIN(J$6-$G$3,22))&lt;&gt;""),Trigo!$E11:INDEX(Trigo!$E11:$Z11,MIN(J$6-$G$3,22))),0)))))</f>
        <v>0</v>
      </c>
      <c r="K13" s="27" t="n">
        <f aca="false">IF(COUNT(Trigo!$E11:$Z11)=0,0,MAX(0,IF((K$6-$E$3)&lt;1,0,IFERROR(LOOKUP(2,1/(Trigo!$E11:INDEX(Trigo!$E11:$Z11,MIN(K$6-$E$3,22))&lt;&gt;""),Trigo!$E11:INDEX(Trigo!$E11:$Z11,MIN(K$6-$E$3,22))),0))-IF($G$2,0,IF((K$6-$G$3)&lt;1,0,IFERROR(LOOKUP(2,1/(Trigo!$E11:INDEX(Trigo!$E11:$Z11,MIN(K$6-$G$3,22))&lt;&gt;""),Trigo!$E11:INDEX(Trigo!$E11:$Z11,MIN(K$6-$G$3,22))),0)))))</f>
        <v>0</v>
      </c>
      <c r="L13" s="27" t="n">
        <f aca="false">IF(COUNT(Trigo!$E11:$Z11)=0,0,MAX(0,IF((L$6-$E$3)&lt;1,0,IFERROR(LOOKUP(2,1/(Trigo!$E11:INDEX(Trigo!$E11:$Z11,MIN(L$6-$E$3,22))&lt;&gt;""),Trigo!$E11:INDEX(Trigo!$E11:$Z11,MIN(L$6-$E$3,22))),0))-IF($G$2,0,IF((L$6-$G$3)&lt;1,0,IFERROR(LOOKUP(2,1/(Trigo!$E11:INDEX(Trigo!$E11:$Z11,MIN(L$6-$G$3,22))&lt;&gt;""),Trigo!$E11:INDEX(Trigo!$E11:$Z11,MIN(L$6-$G$3,22))),0)))))</f>
        <v>0</v>
      </c>
      <c r="M13" s="27" t="n">
        <f aca="false">IF(COUNT(Trigo!$E11:$Z11)=0,0,MAX(0,IF((M$6-$E$3)&lt;1,0,IFERROR(LOOKUP(2,1/(Trigo!$E11:INDEX(Trigo!$E11:$Z11,MIN(M$6-$E$3,22))&lt;&gt;""),Trigo!$E11:INDEX(Trigo!$E11:$Z11,MIN(M$6-$E$3,22))),0))-IF($G$2,0,IF((M$6-$G$3)&lt;1,0,IFERROR(LOOKUP(2,1/(Trigo!$E11:INDEX(Trigo!$E11:$Z11,MIN(M$6-$G$3,22))&lt;&gt;""),Trigo!$E11:INDEX(Trigo!$E11:$Z11,MIN(M$6-$G$3,22))),0)))))</f>
        <v>0</v>
      </c>
      <c r="N13" s="27" t="n">
        <f aca="false">IF(COUNT(Trigo!$E11:$Z11)=0,0,MAX(0,IF((N$6-$E$3)&lt;1,0,IFERROR(LOOKUP(2,1/(Trigo!$E11:INDEX(Trigo!$E11:$Z11,MIN(N$6-$E$3,22))&lt;&gt;""),Trigo!$E11:INDEX(Trigo!$E11:$Z11,MIN(N$6-$E$3,22))),0))-IF($G$2,0,IF((N$6-$G$3)&lt;1,0,IFERROR(LOOKUP(2,1/(Trigo!$E11:INDEX(Trigo!$E11:$Z11,MIN(N$6-$G$3,22))&lt;&gt;""),Trigo!$E11:INDEX(Trigo!$E11:$Z11,MIN(N$6-$G$3,22))),0)))))</f>
        <v>0</v>
      </c>
      <c r="O13" s="27" t="n">
        <f aca="false">IF(COUNT(Trigo!$E11:$Z11)=0,0,MAX(0,IF((O$6-$E$3)&lt;1,0,IFERROR(LOOKUP(2,1/(Trigo!$E11:INDEX(Trigo!$E11:$Z11,MIN(O$6-$E$3,22))&lt;&gt;""),Trigo!$E11:INDEX(Trigo!$E11:$Z11,MIN(O$6-$E$3,22))),0))-IF($G$2,0,IF((O$6-$G$3)&lt;1,0,IFERROR(LOOKUP(2,1/(Trigo!$E11:INDEX(Trigo!$E11:$Z11,MIN(O$6-$G$3,22))&lt;&gt;""),Trigo!$E11:INDEX(Trigo!$E11:$Z11,MIN(O$6-$G$3,22))),0)))))</f>
        <v>0</v>
      </c>
      <c r="P13" s="27" t="n">
        <f aca="false">IF(COUNT(Trigo!$E11:$Z11)=0,0,MAX(0,IF((P$6-$E$3)&lt;1,0,IFERROR(LOOKUP(2,1/(Trigo!$E11:INDEX(Trigo!$E11:$Z11,MIN(P$6-$E$3,22))&lt;&gt;""),Trigo!$E11:INDEX(Trigo!$E11:$Z11,MIN(P$6-$E$3,22))),0))-IF($G$2,0,IF((P$6-$G$3)&lt;1,0,IFERROR(LOOKUP(2,1/(Trigo!$E11:INDEX(Trigo!$E11:$Z11,MIN(P$6-$G$3,22))&lt;&gt;""),Trigo!$E11:INDEX(Trigo!$E11:$Z11,MIN(P$6-$G$3,22))),0)))))</f>
        <v>0</v>
      </c>
      <c r="Q13" s="27" t="n">
        <f aca="false">IF(COUNT(Trigo!$E11:$Z11)=0,0,MAX(0,IF((Q$6-$E$3)&lt;1,0,IFERROR(LOOKUP(2,1/(Trigo!$E11:INDEX(Trigo!$E11:$Z11,MIN(Q$6-$E$3,22))&lt;&gt;""),Trigo!$E11:INDEX(Trigo!$E11:$Z11,MIN(Q$6-$E$3,22))),0))-IF($G$2,0,IF((Q$6-$G$3)&lt;1,0,IFERROR(LOOKUP(2,1/(Trigo!$E11:INDEX(Trigo!$E11:$Z11,MIN(Q$6-$G$3,22))&lt;&gt;""),Trigo!$E11:INDEX(Trigo!$E11:$Z11,MIN(Q$6-$G$3,22))),0)))))</f>
        <v>0</v>
      </c>
      <c r="R13" s="27" t="n">
        <f aca="false">IF(COUNT(Trigo!$E11:$Z11)=0,0,MAX(0,IF((R$6-$E$3)&lt;1,0,IFERROR(LOOKUP(2,1/(Trigo!$E11:INDEX(Trigo!$E11:$Z11,MIN(R$6-$E$3,22))&lt;&gt;""),Trigo!$E11:INDEX(Trigo!$E11:$Z11,MIN(R$6-$E$3,22))),0))-IF($G$2,0,IF((R$6-$G$3)&lt;1,0,IFERROR(LOOKUP(2,1/(Trigo!$E11:INDEX(Trigo!$E11:$Z11,MIN(R$6-$G$3,22))&lt;&gt;""),Trigo!$E11:INDEX(Trigo!$E11:$Z11,MIN(R$6-$G$3,22))),0)))))</f>
        <v>0</v>
      </c>
      <c r="S13" s="27" t="n">
        <f aca="false">IF(COUNT(Trigo!$E11:$Z11)=0,0,MAX(0,IF((S$6-$E$3)&lt;1,0,IFERROR(LOOKUP(2,1/(Trigo!$E11:INDEX(Trigo!$E11:$Z11,MIN(S$6-$E$3,22))&lt;&gt;""),Trigo!$E11:INDEX(Trigo!$E11:$Z11,MIN(S$6-$E$3,22))),0))-IF($G$2,0,IF((S$6-$G$3)&lt;1,0,IFERROR(LOOKUP(2,1/(Trigo!$E11:INDEX(Trigo!$E11:$Z11,MIN(S$6-$G$3,22))&lt;&gt;""),Trigo!$E11:INDEX(Trigo!$E11:$Z11,MIN(S$6-$G$3,22))),0)))))</f>
        <v>0</v>
      </c>
      <c r="T13" s="27" t="n">
        <f aca="false">IF(COUNT(Trigo!$E11:$Z11)=0,0,MAX(0,IF((T$6-$E$3)&lt;1,0,IFERROR(LOOKUP(2,1/(Trigo!$E11:INDEX(Trigo!$E11:$Z11,MIN(T$6-$E$3,22))&lt;&gt;""),Trigo!$E11:INDEX(Trigo!$E11:$Z11,MIN(T$6-$E$3,22))),0))-IF($G$2,0,IF((T$6-$G$3)&lt;1,0,IFERROR(LOOKUP(2,1/(Trigo!$E11:INDEX(Trigo!$E11:$Z11,MIN(T$6-$G$3,22))&lt;&gt;""),Trigo!$E11:INDEX(Trigo!$E11:$Z11,MIN(T$6-$G$3,22))),0)))))</f>
        <v>0</v>
      </c>
      <c r="U13" s="27" t="n">
        <f aca="false">IF(COUNT(Trigo!$E11:$Z11)=0,0,MAX(0,IF((U$6-$E$3)&lt;1,0,IFERROR(LOOKUP(2,1/(Trigo!$E11:INDEX(Trigo!$E11:$Z11,MIN(U$6-$E$3,22))&lt;&gt;""),Trigo!$E11:INDEX(Trigo!$E11:$Z11,MIN(U$6-$E$3,22))),0))-IF($G$2,0,IF((U$6-$G$3)&lt;1,0,IFERROR(LOOKUP(2,1/(Trigo!$E11:INDEX(Trigo!$E11:$Z11,MIN(U$6-$G$3,22))&lt;&gt;""),Trigo!$E11:INDEX(Trigo!$E11:$Z11,MIN(U$6-$G$3,22))),0)))))</f>
        <v>0</v>
      </c>
      <c r="V13" s="27" t="n">
        <f aca="false">IF(COUNT(Trigo!$E11:$Z11)=0,0,MAX(0,IF((V$6-$E$3)&lt;1,0,IFERROR(LOOKUP(2,1/(Trigo!$E11:INDEX(Trigo!$E11:$Z11,MIN(V$6-$E$3,22))&lt;&gt;""),Trigo!$E11:INDEX(Trigo!$E11:$Z11,MIN(V$6-$E$3,22))),0))-IF($G$2,0,IF((V$6-$G$3)&lt;1,0,IFERROR(LOOKUP(2,1/(Trigo!$E11:INDEX(Trigo!$E11:$Z11,MIN(V$6-$G$3,22))&lt;&gt;""),Trigo!$E11:INDEX(Trigo!$E11:$Z11,MIN(V$6-$G$3,22))),0)))))</f>
        <v>0</v>
      </c>
      <c r="W13" s="27" t="n">
        <f aca="false">IF(COUNT(Trigo!$E11:$Z11)=0,0,MAX(0,IF((W$6-$E$3)&lt;1,0,IFERROR(LOOKUP(2,1/(Trigo!$E11:INDEX(Trigo!$E11:$Z11,MIN(W$6-$E$3,22))&lt;&gt;""),Trigo!$E11:INDEX(Trigo!$E11:$Z11,MIN(W$6-$E$3,22))),0))-IF($G$2,0,IF((W$6-$G$3)&lt;1,0,IFERROR(LOOKUP(2,1/(Trigo!$E11:INDEX(Trigo!$E11:$Z11,MIN(W$6-$G$3,22))&lt;&gt;""),Trigo!$E11:INDEX(Trigo!$E11:$Z11,MIN(W$6-$G$3,22))),0)))))</f>
        <v>0</v>
      </c>
      <c r="X13" s="27" t="n">
        <f aca="false">IF(COUNT(Trigo!$E11:$Z11)=0,0,MAX(0,IF((X$6-$E$3)&lt;1,0,IFERROR(LOOKUP(2,1/(Trigo!$E11:INDEX(Trigo!$E11:$Z11,MIN(X$6-$E$3,22))&lt;&gt;""),Trigo!$E11:INDEX(Trigo!$E11:$Z11,MIN(X$6-$E$3,22))),0))-IF($G$2,0,IF((X$6-$G$3)&lt;1,0,IFERROR(LOOKUP(2,1/(Trigo!$E11:INDEX(Trigo!$E11:$Z11,MIN(X$6-$G$3,22))&lt;&gt;""),Trigo!$E11:INDEX(Trigo!$E11:$Z11,MIN(X$6-$G$3,22))),0)))))</f>
        <v>0</v>
      </c>
      <c r="Y13" s="27" t="n">
        <f aca="false">IF(COUNT(Trigo!$E11:$Z11)=0,0,MAX(0,IF((Y$6-$E$3)&lt;1,0,IFERROR(LOOKUP(2,1/(Trigo!$E11:INDEX(Trigo!$E11:$Z11,MIN(Y$6-$E$3,22))&lt;&gt;""),Trigo!$E11:INDEX(Trigo!$E11:$Z11,MIN(Y$6-$E$3,22))),0))-IF($G$2,0,IF((Y$6-$G$3)&lt;1,0,IFERROR(LOOKUP(2,1/(Trigo!$E11:INDEX(Trigo!$E11:$Z11,MIN(Y$6-$G$3,22))&lt;&gt;""),Trigo!$E11:INDEX(Trigo!$E11:$Z11,MIN(Y$6-$G$3,22))),0)))))</f>
        <v>0</v>
      </c>
      <c r="Z13" s="27" t="n">
        <f aca="false">IF(COUNT(Trigo!$E11:$Z11)=0,0,MAX(0,IF((Z$6-$E$3)&lt;1,0,IFERROR(LOOKUP(2,1/(Trigo!$E11:INDEX(Trigo!$E11:$Z11,MIN(Z$6-$E$3,22))&lt;&gt;""),Trigo!$E11:INDEX(Trigo!$E11:$Z11,MIN(Z$6-$E$3,22))),0))-IF($G$2,0,IF((Z$6-$G$3)&lt;1,0,IFERROR(LOOKUP(2,1/(Trigo!$E11:INDEX(Trigo!$E11:$Z11,MIN(Z$6-$G$3,22))&lt;&gt;""),Trigo!$E11:INDEX(Trigo!$E11:$Z11,MIN(Z$6-$G$3,22))),0)))))</f>
        <v>0</v>
      </c>
      <c r="AA13" s="27" t="n">
        <f aca="false">IF(COUNT(Trigo!$E11:$Z11)=0,0,MAX(0,IF((AA$6-$E$3)&lt;1,0,IFERROR(LOOKUP(2,1/(Trigo!$E11:INDEX(Trigo!$E11:$Z11,MIN(AA$6-$E$3,22))&lt;&gt;""),Trigo!$E11:INDEX(Trigo!$E11:$Z11,MIN(AA$6-$E$3,22))),0))-IF($G$2,0,IF((AA$6-$G$3)&lt;1,0,IFERROR(LOOKUP(2,1/(Trigo!$E11:INDEX(Trigo!$E11:$Z11,MIN(AA$6-$G$3,22))&lt;&gt;""),Trigo!$E11:INDEX(Trigo!$E11:$Z11,MIN(AA$6-$G$3,22))),0)))))</f>
        <v>0</v>
      </c>
      <c r="AB13" s="27" t="n">
        <f aca="false">IF(COUNT(Trigo!$E11:$Z11)=0,0,MAX(0,IF((AB$6-$E$3)&lt;1,0,IFERROR(LOOKUP(2,1/(Trigo!$E11:INDEX(Trigo!$E11:$Z11,MIN(AB$6-$E$3,22))&lt;&gt;""),Trigo!$E11:INDEX(Trigo!$E11:$Z11,MIN(AB$6-$E$3,22))),0))-IF($G$2,0,IF((AB$6-$G$3)&lt;1,0,IFERROR(LOOKUP(2,1/(Trigo!$E11:INDEX(Trigo!$E11:$Z11,MIN(AB$6-$G$3,22))&lt;&gt;""),Trigo!$E11:INDEX(Trigo!$E11:$Z11,MIN(AB$6-$G$3,22))),0)))))</f>
        <v>0</v>
      </c>
      <c r="AC13" s="27" t="n">
        <f aca="false">IF(COUNT(Trigo!$E11:$Z11)=0,0,MAX(0,IF((AC$6-$E$3)&lt;1,0,IFERROR(LOOKUP(2,1/(Trigo!$E11:INDEX(Trigo!$E11:$Z11,MIN(AC$6-$E$3,22))&lt;&gt;""),Trigo!$E11:INDEX(Trigo!$E11:$Z11,MIN(AC$6-$E$3,22))),0))-IF($G$2,0,IF((AC$6-$G$3)&lt;1,0,IFERROR(LOOKUP(2,1/(Trigo!$E11:INDEX(Trigo!$E11:$Z11,MIN(AC$6-$G$3,22))&lt;&gt;""),Trigo!$E11:INDEX(Trigo!$E11:$Z11,MIN(AC$6-$G$3,22))),0)))))</f>
        <v>0</v>
      </c>
      <c r="AD13" s="27" t="n">
        <f aca="false">IF(COUNT(Trigo!$E11:$Z11)=0,0,MAX(0,IF((AD$6-$E$3)&lt;1,0,IFERROR(LOOKUP(2,1/(Trigo!$E11:INDEX(Trigo!$E11:$Z11,MIN(AD$6-$E$3,22))&lt;&gt;""),Trigo!$E11:INDEX(Trigo!$E11:$Z11,MIN(AD$6-$E$3,22))),0))-IF($G$2,0,IF((AD$6-$G$3)&lt;1,0,IFERROR(LOOKUP(2,1/(Trigo!$E11:INDEX(Trigo!$E11:$Z11,MIN(AD$6-$G$3,22))&lt;&gt;""),Trigo!$E11:INDEX(Trigo!$E11:$Z11,MIN(AD$6-$G$3,22))),0)))))</f>
        <v>0</v>
      </c>
      <c r="AE13" s="27" t="n">
        <f aca="false">IF(COUNT(Trigo!$E11:$Z11)=0,0,MAX(0,IF((AE$6-$E$3)&lt;1,0,IFERROR(LOOKUP(2,1/(Trigo!$E11:INDEX(Trigo!$E11:$Z11,MIN(AE$6-$E$3,22))&lt;&gt;""),Trigo!$E11:INDEX(Trigo!$E11:$Z11,MIN(AE$6-$E$3,22))),0))-IF($G$2,0,IF((AE$6-$G$3)&lt;1,0,IFERROR(LOOKUP(2,1/(Trigo!$E11:INDEX(Trigo!$E11:$Z11,MIN(AE$6-$G$3,22))&lt;&gt;""),Trigo!$E11:INDEX(Trigo!$E11:$Z11,MIN(AE$6-$G$3,22))),0)))))</f>
        <v>0</v>
      </c>
      <c r="AF13" s="27" t="n">
        <f aca="false">IF(COUNT(Trigo!$E11:$Z11)=0,0,MAX(0,IF((AF$6-$E$3)&lt;1,0,IFERROR(LOOKUP(2,1/(Trigo!$E11:INDEX(Trigo!$E11:$Z11,MIN(AF$6-$E$3,22))&lt;&gt;""),Trigo!$E11:INDEX(Trigo!$E11:$Z11,MIN(AF$6-$E$3,22))),0))-IF($G$2,0,IF((AF$6-$G$3)&lt;1,0,IFERROR(LOOKUP(2,1/(Trigo!$E11:INDEX(Trigo!$E11:$Z11,MIN(AF$6-$G$3,22))&lt;&gt;""),Trigo!$E11:INDEX(Trigo!$E11:$Z11,MIN(AF$6-$G$3,22))),0)))))</f>
        <v>0</v>
      </c>
      <c r="AG13" s="27" t="n">
        <f aca="false">IF(COUNT(Trigo!$E11:$Z11)=0,0,MAX(0,IF((AG$6-$E$3)&lt;1,0,IFERROR(LOOKUP(2,1/(Trigo!$E11:INDEX(Trigo!$E11:$Z11,MIN(AG$6-$E$3,22))&lt;&gt;""),Trigo!$E11:INDEX(Trigo!$E11:$Z11,MIN(AG$6-$E$3,22))),0))-IF($G$2,0,IF((AG$6-$G$3)&lt;1,0,IFERROR(LOOKUP(2,1/(Trigo!$E11:INDEX(Trigo!$E11:$Z11,MIN(AG$6-$G$3,22))&lt;&gt;""),Trigo!$E11:INDEX(Trigo!$E11:$Z11,MIN(AG$6-$G$3,22))),0)))))</f>
        <v>0</v>
      </c>
      <c r="AH13" s="27" t="n">
        <f aca="false">IF(COUNT(Trigo!$E11:$Z11)=0,0,MAX(0,IF((AH$6-$E$3)&lt;1,0,IFERROR(LOOKUP(2,1/(Trigo!$E11:INDEX(Trigo!$E11:$Z11,MIN(AH$6-$E$3,22))&lt;&gt;""),Trigo!$E11:INDEX(Trigo!$E11:$Z11,MIN(AH$6-$E$3,22))),0))-IF($G$2,0,IF((AH$6-$G$3)&lt;1,0,IFERROR(LOOKUP(2,1/(Trigo!$E11:INDEX(Trigo!$E11:$Z11,MIN(AH$6-$G$3,22))&lt;&gt;""),Trigo!$E11:INDEX(Trigo!$E11:$Z11,MIN(AH$6-$G$3,22))),0)))))</f>
        <v>0</v>
      </c>
      <c r="AI13" s="27" t="n">
        <f aca="false">IF(COUNT(Trigo!$E11:$Z11)=0,0,MAX(0,IF((AI$6-$E$3)&lt;1,0,IFERROR(LOOKUP(2,1/(Trigo!$E11:INDEX(Trigo!$E11:$Z11,MIN(AI$6-$E$3,22))&lt;&gt;""),Trigo!$E11:INDEX(Trigo!$E11:$Z11,MIN(AI$6-$E$3,22))),0))-IF($G$2,0,IF((AI$6-$G$3)&lt;1,0,IFERROR(LOOKUP(2,1/(Trigo!$E11:INDEX(Trigo!$E11:$Z11,MIN(AI$6-$G$3,22))&lt;&gt;""),Trigo!$E11:INDEX(Trigo!$E11:$Z11,MIN(AI$6-$G$3,22))),0)))))</f>
        <v>0</v>
      </c>
      <c r="AJ13" s="27" t="n">
        <f aca="false">IF(COUNT(Trigo!$E11:$Z11)=0,0,MAX(0,IF((AJ$6-$E$3)&lt;1,0,IFERROR(LOOKUP(2,1/(Trigo!$E11:INDEX(Trigo!$E11:$Z11,MIN(AJ$6-$E$3,22))&lt;&gt;""),Trigo!$E11:INDEX(Trigo!$E11:$Z11,MIN(AJ$6-$E$3,22))),0))-IF($G$2,0,IF((AJ$6-$G$3)&lt;1,0,IFERROR(LOOKUP(2,1/(Trigo!$E11:INDEX(Trigo!$E11:$Z11,MIN(AJ$6-$G$3,22))&lt;&gt;""),Trigo!$E11:INDEX(Trigo!$E11:$Z11,MIN(AJ$6-$G$3,22))),0)))))</f>
        <v>0</v>
      </c>
      <c r="AK13" s="27" t="n">
        <f aca="false">IF(COUNT(Trigo!$E11:$Z11)=0,0,MAX(0,IF((AK$6-$E$3)&lt;1,0,IFERROR(LOOKUP(2,1/(Trigo!$E11:INDEX(Trigo!$E11:$Z11,MIN(AK$6-$E$3,22))&lt;&gt;""),Trigo!$E11:INDEX(Trigo!$E11:$Z11,MIN(AK$6-$E$3,22))),0))-IF($G$2,0,IF((AK$6-$G$3)&lt;1,0,IFERROR(LOOKUP(2,1/(Trigo!$E11:INDEX(Trigo!$E11:$Z11,MIN(AK$6-$G$3,22))&lt;&gt;""),Trigo!$E11:INDEX(Trigo!$E11:$Z11,MIN(AK$6-$G$3,22))),0)))))</f>
        <v>0</v>
      </c>
      <c r="AL13" s="27" t="n">
        <f aca="false">IF(COUNT(Trigo!$E11:$Z11)=0,0,MAX(0,IF((AL$6-$E$3)&lt;1,0,IFERROR(LOOKUP(2,1/(Trigo!$E11:INDEX(Trigo!$E11:$Z11,MIN(AL$6-$E$3,22))&lt;&gt;""),Trigo!$E11:INDEX(Trigo!$E11:$Z11,MIN(AL$6-$E$3,22))),0))-IF($G$2,0,IF((AL$6-$G$3)&lt;1,0,IFERROR(LOOKUP(2,1/(Trigo!$E11:INDEX(Trigo!$E11:$Z11,MIN(AL$6-$G$3,22))&lt;&gt;""),Trigo!$E11:INDEX(Trigo!$E11:$Z11,MIN(AL$6-$G$3,22))),0)))))</f>
        <v>0</v>
      </c>
      <c r="AM13" s="27" t="n">
        <f aca="false">IF(COUNT(Trigo!$E11:$Z11)=0,0,MAX(0,IF((AM$6-$E$3)&lt;1,0,IFERROR(LOOKUP(2,1/(Trigo!$E11:INDEX(Trigo!$E11:$Z11,MIN(AM$6-$E$3,22))&lt;&gt;""),Trigo!$E11:INDEX(Trigo!$E11:$Z11,MIN(AM$6-$E$3,22))),0))-IF($G$2,0,IF((AM$6-$G$3)&lt;1,0,IFERROR(LOOKUP(2,1/(Trigo!$E11:INDEX(Trigo!$E11:$Z11,MIN(AM$6-$G$3,22))&lt;&gt;""),Trigo!$E11:INDEX(Trigo!$E11:$Z11,MIN(AM$6-$G$3,22))),0)))))</f>
        <v>0</v>
      </c>
      <c r="AN13" s="27" t="n">
        <f aca="false">IF(COUNT(Trigo!$E11:$Z11)=0,0,MAX(0,IF((AN$6-$E$3)&lt;1,0,IFERROR(LOOKUP(2,1/(Trigo!$E11:INDEX(Trigo!$E11:$Z11,MIN(AN$6-$E$3,22))&lt;&gt;""),Trigo!$E11:INDEX(Trigo!$E11:$Z11,MIN(AN$6-$E$3,22))),0))-IF($G$2,0,IF((AN$6-$G$3)&lt;1,0,IFERROR(LOOKUP(2,1/(Trigo!$E11:INDEX(Trigo!$E11:$Z11,MIN(AN$6-$G$3,22))&lt;&gt;""),Trigo!$E11:INDEX(Trigo!$E11:$Z11,MIN(AN$6-$G$3,22))),0)))))</f>
        <v>0</v>
      </c>
      <c r="AO13" s="27" t="n">
        <f aca="false">IF(COUNT(Trigo!$E11:$Z11)=0,0,MAX(0,IF((AO$6-$E$3)&lt;1,0,IFERROR(LOOKUP(2,1/(Trigo!$E11:INDEX(Trigo!$E11:$Z11,MIN(AO$6-$E$3,22))&lt;&gt;""),Trigo!$E11:INDEX(Trigo!$E11:$Z11,MIN(AO$6-$E$3,22))),0))-IF($G$2,0,IF((AO$6-$G$3)&lt;1,0,IFERROR(LOOKUP(2,1/(Trigo!$E11:INDEX(Trigo!$E11:$Z11,MIN(AO$6-$G$3,22))&lt;&gt;""),Trigo!$E11:INDEX(Trigo!$E11:$Z11,MIN(AO$6-$G$3,22))),0)))))</f>
        <v>0</v>
      </c>
      <c r="AP13" s="27" t="n">
        <f aca="false">IF(COUNT(Trigo!$E11:$Z11)=0,0,MAX(0,IF((AP$6-$E$3)&lt;1,0,IFERROR(LOOKUP(2,1/(Trigo!$E11:INDEX(Trigo!$E11:$Z11,MIN(AP$6-$E$3,22))&lt;&gt;""),Trigo!$E11:INDEX(Trigo!$E11:$Z11,MIN(AP$6-$E$3,22))),0))-IF($G$2,0,IF((AP$6-$G$3)&lt;1,0,IFERROR(LOOKUP(2,1/(Trigo!$E11:INDEX(Trigo!$E11:$Z11,MIN(AP$6-$G$3,22))&lt;&gt;""),Trigo!$E11:INDEX(Trigo!$E11:$Z11,MIN(AP$6-$G$3,22))),0)))))</f>
        <v>0</v>
      </c>
      <c r="AQ13" s="27" t="n">
        <f aca="false">IF(COUNT(Trigo!$E11:$Z11)=0,0,MAX(0,IF((AQ$6-$E$3)&lt;1,0,IFERROR(LOOKUP(2,1/(Trigo!$E11:INDEX(Trigo!$E11:$Z11,MIN(AQ$6-$E$3,22))&lt;&gt;""),Trigo!$E11:INDEX(Trigo!$E11:$Z11,MIN(AQ$6-$E$3,22))),0))-IF($G$2,0,IF((AQ$6-$G$3)&lt;1,0,IFERROR(LOOKUP(2,1/(Trigo!$E11:INDEX(Trigo!$E11:$Z11,MIN(AQ$6-$G$3,22))&lt;&gt;""),Trigo!$E11:INDEX(Trigo!$E11:$Z11,MIN(AQ$6-$G$3,22))),0)))))</f>
        <v>0</v>
      </c>
      <c r="AR13" s="27" t="n">
        <f aca="false">IF(COUNT(Trigo!$E11:$Z11)=0,0,MAX(0,IF((AR$6-$E$3)&lt;1,0,IFERROR(LOOKUP(2,1/(Trigo!$E11:INDEX(Trigo!$E11:$Z11,MIN(AR$6-$E$3,22))&lt;&gt;""),Trigo!$E11:INDEX(Trigo!$E11:$Z11,MIN(AR$6-$E$3,22))),0))-IF($G$2,0,IF((AR$6-$G$3)&lt;1,0,IFERROR(LOOKUP(2,1/(Trigo!$E11:INDEX(Trigo!$E11:$Z11,MIN(AR$6-$G$3,22))&lt;&gt;""),Trigo!$E11:INDEX(Trigo!$E11:$Z11,MIN(AR$6-$G$3,22))),0)))))</f>
        <v>0</v>
      </c>
      <c r="AS13" s="27" t="n">
        <f aca="false">IF(COUNT(Trigo!$E11:$Z11)=0,0,MAX(0,IF((AS$6-$E$3)&lt;1,0,IFERROR(LOOKUP(2,1/(Trigo!$E11:INDEX(Trigo!$E11:$Z11,MIN(AS$6-$E$3,22))&lt;&gt;""),Trigo!$E11:INDEX(Trigo!$E11:$Z11,MIN(AS$6-$E$3,22))),0))-IF($G$2,0,IF((AS$6-$G$3)&lt;1,0,IFERROR(LOOKUP(2,1/(Trigo!$E11:INDEX(Trigo!$E11:$Z11,MIN(AS$6-$G$3,22))&lt;&gt;""),Trigo!$E11:INDEX(Trigo!$E11:$Z11,MIN(AS$6-$G$3,22))),0)))))</f>
        <v>0</v>
      </c>
      <c r="AT13" s="27" t="n">
        <f aca="false">IF(COUNT(Trigo!$E11:$Z11)=0,0,MAX(0,IF((AT$6-$E$3)&lt;1,0,IFERROR(LOOKUP(2,1/(Trigo!$E11:INDEX(Trigo!$E11:$Z11,MIN(AT$6-$E$3,22))&lt;&gt;""),Trigo!$E11:INDEX(Trigo!$E11:$Z11,MIN(AT$6-$E$3,22))),0))-IF($G$2,0,IF((AT$6-$G$3)&lt;1,0,IFERROR(LOOKUP(2,1/(Trigo!$E11:INDEX(Trigo!$E11:$Z11,MIN(AT$6-$G$3,22))&lt;&gt;""),Trigo!$E11:INDEX(Trigo!$E11:$Z11,MIN(AT$6-$G$3,22))),0)))))</f>
        <v>0</v>
      </c>
      <c r="AU13" s="27" t="n">
        <f aca="false">IF(COUNT(Trigo!$E11:$Z11)=0,0,MAX(0,IF((AU$6-$E$3)&lt;1,0,IFERROR(LOOKUP(2,1/(Trigo!$E11:INDEX(Trigo!$E11:$Z11,MIN(AU$6-$E$3,22))&lt;&gt;""),Trigo!$E11:INDEX(Trigo!$E11:$Z11,MIN(AU$6-$E$3,22))),0))-IF($G$2,0,IF((AU$6-$G$3)&lt;1,0,IFERROR(LOOKUP(2,1/(Trigo!$E11:INDEX(Trigo!$E11:$Z11,MIN(AU$6-$G$3,22))&lt;&gt;""),Trigo!$E11:INDEX(Trigo!$E11:$Z11,MIN(AU$6-$G$3,22))),0)))))</f>
        <v>0</v>
      </c>
      <c r="AV13" s="27" t="n">
        <f aca="false">IF(COUNT(Trigo!$E11:$Z11)=0,0,MAX(0,IF((AV$6-$E$3)&lt;1,0,IFERROR(LOOKUP(2,1/(Trigo!$E11:INDEX(Trigo!$E11:$Z11,MIN(AV$6-$E$3,22))&lt;&gt;""),Trigo!$E11:INDEX(Trigo!$E11:$Z11,MIN(AV$6-$E$3,22))),0))-IF($G$2,0,IF((AV$6-$G$3)&lt;1,0,IFERROR(LOOKUP(2,1/(Trigo!$E11:INDEX(Trigo!$E11:$Z11,MIN(AV$6-$G$3,22))&lt;&gt;""),Trigo!$E11:INDEX(Trigo!$E11:$Z11,MIN(AV$6-$G$3,22))),0)))))</f>
        <v>0</v>
      </c>
      <c r="AW13" s="27" t="n">
        <f aca="false">IF(COUNT(Trigo!$E11:$Z11)=0,0,MAX(0,IF((AW$6-$E$3)&lt;1,0,IFERROR(LOOKUP(2,1/(Trigo!$E11:INDEX(Trigo!$E11:$Z11,MIN(AW$6-$E$3,22))&lt;&gt;""),Trigo!$E11:INDEX(Trigo!$E11:$Z11,MIN(AW$6-$E$3,22))),0))-IF($G$2,0,IF((AW$6-$G$3)&lt;1,0,IFERROR(LOOKUP(2,1/(Trigo!$E11:INDEX(Trigo!$E11:$Z11,MIN(AW$6-$G$3,22))&lt;&gt;""),Trigo!$E11:INDEX(Trigo!$E11:$Z11,MIN(AW$6-$G$3,22))),0)))))</f>
        <v>0</v>
      </c>
      <c r="AX13" s="27" t="n">
        <f aca="false">IF(COUNT(Trigo!$E11:$Z11)=0,0,MAX(0,IF((AX$6-$E$3)&lt;1,0,IFERROR(LOOKUP(2,1/(Trigo!$E11:INDEX(Trigo!$E11:$Z11,MIN(AX$6-$E$3,22))&lt;&gt;""),Trigo!$E11:INDEX(Trigo!$E11:$Z11,MIN(AX$6-$E$3,22))),0))-IF($G$2,0,IF((AX$6-$G$3)&lt;1,0,IFERROR(LOOKUP(2,1/(Trigo!$E11:INDEX(Trigo!$E11:$Z11,MIN(AX$6-$G$3,22))&lt;&gt;""),Trigo!$E11:INDEX(Trigo!$E11:$Z11,MIN(AX$6-$G$3,22))),0)))))</f>
        <v>0</v>
      </c>
      <c r="AY13" s="27" t="n">
        <f aca="false">IF(COUNT(Trigo!$E11:$Z11)=0,0,MAX(0,IF((AY$6-$E$3)&lt;1,0,IFERROR(LOOKUP(2,1/(Trigo!$E11:INDEX(Trigo!$E11:$Z11,MIN(AY$6-$E$3,22))&lt;&gt;""),Trigo!$E11:INDEX(Trigo!$E11:$Z11,MIN(AY$6-$E$3,22))),0))-IF($G$2,0,IF((AY$6-$G$3)&lt;1,0,IFERROR(LOOKUP(2,1/(Trigo!$E11:INDEX(Trigo!$E11:$Z11,MIN(AY$6-$G$3,22))&lt;&gt;""),Trigo!$E11:INDEX(Trigo!$E11:$Z11,MIN(AY$6-$G$3,22))),0)))))</f>
        <v>0</v>
      </c>
      <c r="AZ13" s="27" t="n">
        <f aca="false">IF(COUNT(Trigo!$E11:$Z11)=0,0,MAX(0,IF((AZ$6-$E$3)&lt;1,0,IFERROR(LOOKUP(2,1/(Trigo!$E11:INDEX(Trigo!$E11:$Z11,MIN(AZ$6-$E$3,22))&lt;&gt;""),Trigo!$E11:INDEX(Trigo!$E11:$Z11,MIN(AZ$6-$E$3,22))),0))-IF($G$2,0,IF((AZ$6-$G$3)&lt;1,0,IFERROR(LOOKUP(2,1/(Trigo!$E11:INDEX(Trigo!$E11:$Z11,MIN(AZ$6-$G$3,22))&lt;&gt;""),Trigo!$E11:INDEX(Trigo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IF(COUNT(Trigo!$E12:$Z12)&gt;0,N(Trigo!$D12),0)</f>
        <v>0</v>
      </c>
      <c r="E14" s="27" t="n">
        <f aca="false">IF(COUNT(Trigo!$E12:$Z12)=0,0,MAX(0,IF((E$6-$E$3)&lt;1,0,IFERROR(LOOKUP(2,1/(Trigo!$E12:INDEX(Trigo!$E12:$Z12,MIN(E$6-$E$3,22))&lt;&gt;""),Trigo!$E12:INDEX(Trigo!$E12:$Z12,MIN(E$6-$E$3,22))),0))-IF($G$2,0,IF((E$6-$G$3)&lt;1,0,IFERROR(LOOKUP(2,1/(Trigo!$E12:INDEX(Trigo!$E12:$Z12,MIN(E$6-$G$3,22))&lt;&gt;""),Trigo!$E12:INDEX(Trigo!$E12:$Z12,MIN(E$6-$G$3,22))),0)))))</f>
        <v>0</v>
      </c>
      <c r="F14" s="27" t="n">
        <f aca="false">IF(COUNT(Trigo!$E12:$Z12)=0,0,MAX(0,IF((F$6-$E$3)&lt;1,0,IFERROR(LOOKUP(2,1/(Trigo!$E12:INDEX(Trigo!$E12:$Z12,MIN(F$6-$E$3,22))&lt;&gt;""),Trigo!$E12:INDEX(Trigo!$E12:$Z12,MIN(F$6-$E$3,22))),0))-IF($G$2,0,IF((F$6-$G$3)&lt;1,0,IFERROR(LOOKUP(2,1/(Trigo!$E12:INDEX(Trigo!$E12:$Z12,MIN(F$6-$G$3,22))&lt;&gt;""),Trigo!$E12:INDEX(Trigo!$E12:$Z12,MIN(F$6-$G$3,22))),0)))))</f>
        <v>0</v>
      </c>
      <c r="G14" s="27" t="n">
        <f aca="false">IF(COUNT(Trigo!$E12:$Z12)=0,0,MAX(0,IF((G$6-$E$3)&lt;1,0,IFERROR(LOOKUP(2,1/(Trigo!$E12:INDEX(Trigo!$E12:$Z12,MIN(G$6-$E$3,22))&lt;&gt;""),Trigo!$E12:INDEX(Trigo!$E12:$Z12,MIN(G$6-$E$3,22))),0))-IF($G$2,0,IF((G$6-$G$3)&lt;1,0,IFERROR(LOOKUP(2,1/(Trigo!$E12:INDEX(Trigo!$E12:$Z12,MIN(G$6-$G$3,22))&lt;&gt;""),Trigo!$E12:INDEX(Trigo!$E12:$Z12,MIN(G$6-$G$3,22))),0)))))</f>
        <v>0</v>
      </c>
      <c r="H14" s="27" t="n">
        <f aca="false">IF(COUNT(Trigo!$E12:$Z12)=0,0,MAX(0,IF((H$6-$E$3)&lt;1,0,IFERROR(LOOKUP(2,1/(Trigo!$E12:INDEX(Trigo!$E12:$Z12,MIN(H$6-$E$3,22))&lt;&gt;""),Trigo!$E12:INDEX(Trigo!$E12:$Z12,MIN(H$6-$E$3,22))),0))-IF($G$2,0,IF((H$6-$G$3)&lt;1,0,IFERROR(LOOKUP(2,1/(Trigo!$E12:INDEX(Trigo!$E12:$Z12,MIN(H$6-$G$3,22))&lt;&gt;""),Trigo!$E12:INDEX(Trigo!$E12:$Z12,MIN(H$6-$G$3,22))),0)))))</f>
        <v>0</v>
      </c>
      <c r="I14" s="27" t="n">
        <f aca="false">IF(COUNT(Trigo!$E12:$Z12)=0,0,MAX(0,IF((I$6-$E$3)&lt;1,0,IFERROR(LOOKUP(2,1/(Trigo!$E12:INDEX(Trigo!$E12:$Z12,MIN(I$6-$E$3,22))&lt;&gt;""),Trigo!$E12:INDEX(Trigo!$E12:$Z12,MIN(I$6-$E$3,22))),0))-IF($G$2,0,IF((I$6-$G$3)&lt;1,0,IFERROR(LOOKUP(2,1/(Trigo!$E12:INDEX(Trigo!$E12:$Z12,MIN(I$6-$G$3,22))&lt;&gt;""),Trigo!$E12:INDEX(Trigo!$E12:$Z12,MIN(I$6-$G$3,22))),0)))))</f>
        <v>0</v>
      </c>
      <c r="J14" s="27" t="n">
        <f aca="false">IF(COUNT(Trigo!$E12:$Z12)=0,0,MAX(0,IF((J$6-$E$3)&lt;1,0,IFERROR(LOOKUP(2,1/(Trigo!$E12:INDEX(Trigo!$E12:$Z12,MIN(J$6-$E$3,22))&lt;&gt;""),Trigo!$E12:INDEX(Trigo!$E12:$Z12,MIN(J$6-$E$3,22))),0))-IF($G$2,0,IF((J$6-$G$3)&lt;1,0,IFERROR(LOOKUP(2,1/(Trigo!$E12:INDEX(Trigo!$E12:$Z12,MIN(J$6-$G$3,22))&lt;&gt;""),Trigo!$E12:INDEX(Trigo!$E12:$Z12,MIN(J$6-$G$3,22))),0)))))</f>
        <v>0</v>
      </c>
      <c r="K14" s="27" t="n">
        <f aca="false">IF(COUNT(Trigo!$E12:$Z12)=0,0,MAX(0,IF((K$6-$E$3)&lt;1,0,IFERROR(LOOKUP(2,1/(Trigo!$E12:INDEX(Trigo!$E12:$Z12,MIN(K$6-$E$3,22))&lt;&gt;""),Trigo!$E12:INDEX(Trigo!$E12:$Z12,MIN(K$6-$E$3,22))),0))-IF($G$2,0,IF((K$6-$G$3)&lt;1,0,IFERROR(LOOKUP(2,1/(Trigo!$E12:INDEX(Trigo!$E12:$Z12,MIN(K$6-$G$3,22))&lt;&gt;""),Trigo!$E12:INDEX(Trigo!$E12:$Z12,MIN(K$6-$G$3,22))),0)))))</f>
        <v>0</v>
      </c>
      <c r="L14" s="27" t="n">
        <f aca="false">IF(COUNT(Trigo!$E12:$Z12)=0,0,MAX(0,IF((L$6-$E$3)&lt;1,0,IFERROR(LOOKUP(2,1/(Trigo!$E12:INDEX(Trigo!$E12:$Z12,MIN(L$6-$E$3,22))&lt;&gt;""),Trigo!$E12:INDEX(Trigo!$E12:$Z12,MIN(L$6-$E$3,22))),0))-IF($G$2,0,IF((L$6-$G$3)&lt;1,0,IFERROR(LOOKUP(2,1/(Trigo!$E12:INDEX(Trigo!$E12:$Z12,MIN(L$6-$G$3,22))&lt;&gt;""),Trigo!$E12:INDEX(Trigo!$E12:$Z12,MIN(L$6-$G$3,22))),0)))))</f>
        <v>0</v>
      </c>
      <c r="M14" s="27" t="n">
        <f aca="false">IF(COUNT(Trigo!$E12:$Z12)=0,0,MAX(0,IF((M$6-$E$3)&lt;1,0,IFERROR(LOOKUP(2,1/(Trigo!$E12:INDEX(Trigo!$E12:$Z12,MIN(M$6-$E$3,22))&lt;&gt;""),Trigo!$E12:INDEX(Trigo!$E12:$Z12,MIN(M$6-$E$3,22))),0))-IF($G$2,0,IF((M$6-$G$3)&lt;1,0,IFERROR(LOOKUP(2,1/(Trigo!$E12:INDEX(Trigo!$E12:$Z12,MIN(M$6-$G$3,22))&lt;&gt;""),Trigo!$E12:INDEX(Trigo!$E12:$Z12,MIN(M$6-$G$3,22))),0)))))</f>
        <v>0</v>
      </c>
      <c r="N14" s="27" t="n">
        <f aca="false">IF(COUNT(Trigo!$E12:$Z12)=0,0,MAX(0,IF((N$6-$E$3)&lt;1,0,IFERROR(LOOKUP(2,1/(Trigo!$E12:INDEX(Trigo!$E12:$Z12,MIN(N$6-$E$3,22))&lt;&gt;""),Trigo!$E12:INDEX(Trigo!$E12:$Z12,MIN(N$6-$E$3,22))),0))-IF($G$2,0,IF((N$6-$G$3)&lt;1,0,IFERROR(LOOKUP(2,1/(Trigo!$E12:INDEX(Trigo!$E12:$Z12,MIN(N$6-$G$3,22))&lt;&gt;""),Trigo!$E12:INDEX(Trigo!$E12:$Z12,MIN(N$6-$G$3,22))),0)))))</f>
        <v>0</v>
      </c>
      <c r="O14" s="27" t="n">
        <f aca="false">IF(COUNT(Trigo!$E12:$Z12)=0,0,MAX(0,IF((O$6-$E$3)&lt;1,0,IFERROR(LOOKUP(2,1/(Trigo!$E12:INDEX(Trigo!$E12:$Z12,MIN(O$6-$E$3,22))&lt;&gt;""),Trigo!$E12:INDEX(Trigo!$E12:$Z12,MIN(O$6-$E$3,22))),0))-IF($G$2,0,IF((O$6-$G$3)&lt;1,0,IFERROR(LOOKUP(2,1/(Trigo!$E12:INDEX(Trigo!$E12:$Z12,MIN(O$6-$G$3,22))&lt;&gt;""),Trigo!$E12:INDEX(Trigo!$E12:$Z12,MIN(O$6-$G$3,22))),0)))))</f>
        <v>0</v>
      </c>
      <c r="P14" s="27" t="n">
        <f aca="false">IF(COUNT(Trigo!$E12:$Z12)=0,0,MAX(0,IF((P$6-$E$3)&lt;1,0,IFERROR(LOOKUP(2,1/(Trigo!$E12:INDEX(Trigo!$E12:$Z12,MIN(P$6-$E$3,22))&lt;&gt;""),Trigo!$E12:INDEX(Trigo!$E12:$Z12,MIN(P$6-$E$3,22))),0))-IF($G$2,0,IF((P$6-$G$3)&lt;1,0,IFERROR(LOOKUP(2,1/(Trigo!$E12:INDEX(Trigo!$E12:$Z12,MIN(P$6-$G$3,22))&lt;&gt;""),Trigo!$E12:INDEX(Trigo!$E12:$Z12,MIN(P$6-$G$3,22))),0)))))</f>
        <v>0</v>
      </c>
      <c r="Q14" s="27" t="n">
        <f aca="false">IF(COUNT(Trigo!$E12:$Z12)=0,0,MAX(0,IF((Q$6-$E$3)&lt;1,0,IFERROR(LOOKUP(2,1/(Trigo!$E12:INDEX(Trigo!$E12:$Z12,MIN(Q$6-$E$3,22))&lt;&gt;""),Trigo!$E12:INDEX(Trigo!$E12:$Z12,MIN(Q$6-$E$3,22))),0))-IF($G$2,0,IF((Q$6-$G$3)&lt;1,0,IFERROR(LOOKUP(2,1/(Trigo!$E12:INDEX(Trigo!$E12:$Z12,MIN(Q$6-$G$3,22))&lt;&gt;""),Trigo!$E12:INDEX(Trigo!$E12:$Z12,MIN(Q$6-$G$3,22))),0)))))</f>
        <v>0</v>
      </c>
      <c r="R14" s="27" t="n">
        <f aca="false">IF(COUNT(Trigo!$E12:$Z12)=0,0,MAX(0,IF((R$6-$E$3)&lt;1,0,IFERROR(LOOKUP(2,1/(Trigo!$E12:INDEX(Trigo!$E12:$Z12,MIN(R$6-$E$3,22))&lt;&gt;""),Trigo!$E12:INDEX(Trigo!$E12:$Z12,MIN(R$6-$E$3,22))),0))-IF($G$2,0,IF((R$6-$G$3)&lt;1,0,IFERROR(LOOKUP(2,1/(Trigo!$E12:INDEX(Trigo!$E12:$Z12,MIN(R$6-$G$3,22))&lt;&gt;""),Trigo!$E12:INDEX(Trigo!$E12:$Z12,MIN(R$6-$G$3,22))),0)))))</f>
        <v>0</v>
      </c>
      <c r="S14" s="27" t="n">
        <f aca="false">IF(COUNT(Trigo!$E12:$Z12)=0,0,MAX(0,IF((S$6-$E$3)&lt;1,0,IFERROR(LOOKUP(2,1/(Trigo!$E12:INDEX(Trigo!$E12:$Z12,MIN(S$6-$E$3,22))&lt;&gt;""),Trigo!$E12:INDEX(Trigo!$E12:$Z12,MIN(S$6-$E$3,22))),0))-IF($G$2,0,IF((S$6-$G$3)&lt;1,0,IFERROR(LOOKUP(2,1/(Trigo!$E12:INDEX(Trigo!$E12:$Z12,MIN(S$6-$G$3,22))&lt;&gt;""),Trigo!$E12:INDEX(Trigo!$E12:$Z12,MIN(S$6-$G$3,22))),0)))))</f>
        <v>0</v>
      </c>
      <c r="T14" s="27" t="n">
        <f aca="false">IF(COUNT(Trigo!$E12:$Z12)=0,0,MAX(0,IF((T$6-$E$3)&lt;1,0,IFERROR(LOOKUP(2,1/(Trigo!$E12:INDEX(Trigo!$E12:$Z12,MIN(T$6-$E$3,22))&lt;&gt;""),Trigo!$E12:INDEX(Trigo!$E12:$Z12,MIN(T$6-$E$3,22))),0))-IF($G$2,0,IF((T$6-$G$3)&lt;1,0,IFERROR(LOOKUP(2,1/(Trigo!$E12:INDEX(Trigo!$E12:$Z12,MIN(T$6-$G$3,22))&lt;&gt;""),Trigo!$E12:INDEX(Trigo!$E12:$Z12,MIN(T$6-$G$3,22))),0)))))</f>
        <v>0</v>
      </c>
      <c r="U14" s="27" t="n">
        <f aca="false">IF(COUNT(Trigo!$E12:$Z12)=0,0,MAX(0,IF((U$6-$E$3)&lt;1,0,IFERROR(LOOKUP(2,1/(Trigo!$E12:INDEX(Trigo!$E12:$Z12,MIN(U$6-$E$3,22))&lt;&gt;""),Trigo!$E12:INDEX(Trigo!$E12:$Z12,MIN(U$6-$E$3,22))),0))-IF($G$2,0,IF((U$6-$G$3)&lt;1,0,IFERROR(LOOKUP(2,1/(Trigo!$E12:INDEX(Trigo!$E12:$Z12,MIN(U$6-$G$3,22))&lt;&gt;""),Trigo!$E12:INDEX(Trigo!$E12:$Z12,MIN(U$6-$G$3,22))),0)))))</f>
        <v>0</v>
      </c>
      <c r="V14" s="27" t="n">
        <f aca="false">IF(COUNT(Trigo!$E12:$Z12)=0,0,MAX(0,IF((V$6-$E$3)&lt;1,0,IFERROR(LOOKUP(2,1/(Trigo!$E12:INDEX(Trigo!$E12:$Z12,MIN(V$6-$E$3,22))&lt;&gt;""),Trigo!$E12:INDEX(Trigo!$E12:$Z12,MIN(V$6-$E$3,22))),0))-IF($G$2,0,IF((V$6-$G$3)&lt;1,0,IFERROR(LOOKUP(2,1/(Trigo!$E12:INDEX(Trigo!$E12:$Z12,MIN(V$6-$G$3,22))&lt;&gt;""),Trigo!$E12:INDEX(Trigo!$E12:$Z12,MIN(V$6-$G$3,22))),0)))))</f>
        <v>0</v>
      </c>
      <c r="W14" s="27" t="n">
        <f aca="false">IF(COUNT(Trigo!$E12:$Z12)=0,0,MAX(0,IF((W$6-$E$3)&lt;1,0,IFERROR(LOOKUP(2,1/(Trigo!$E12:INDEX(Trigo!$E12:$Z12,MIN(W$6-$E$3,22))&lt;&gt;""),Trigo!$E12:INDEX(Trigo!$E12:$Z12,MIN(W$6-$E$3,22))),0))-IF($G$2,0,IF((W$6-$G$3)&lt;1,0,IFERROR(LOOKUP(2,1/(Trigo!$E12:INDEX(Trigo!$E12:$Z12,MIN(W$6-$G$3,22))&lt;&gt;""),Trigo!$E12:INDEX(Trigo!$E12:$Z12,MIN(W$6-$G$3,22))),0)))))</f>
        <v>0</v>
      </c>
      <c r="X14" s="27" t="n">
        <f aca="false">IF(COUNT(Trigo!$E12:$Z12)=0,0,MAX(0,IF((X$6-$E$3)&lt;1,0,IFERROR(LOOKUP(2,1/(Trigo!$E12:INDEX(Trigo!$E12:$Z12,MIN(X$6-$E$3,22))&lt;&gt;""),Trigo!$E12:INDEX(Trigo!$E12:$Z12,MIN(X$6-$E$3,22))),0))-IF($G$2,0,IF((X$6-$G$3)&lt;1,0,IFERROR(LOOKUP(2,1/(Trigo!$E12:INDEX(Trigo!$E12:$Z12,MIN(X$6-$G$3,22))&lt;&gt;""),Trigo!$E12:INDEX(Trigo!$E12:$Z12,MIN(X$6-$G$3,22))),0)))))</f>
        <v>0</v>
      </c>
      <c r="Y14" s="27" t="n">
        <f aca="false">IF(COUNT(Trigo!$E12:$Z12)=0,0,MAX(0,IF((Y$6-$E$3)&lt;1,0,IFERROR(LOOKUP(2,1/(Trigo!$E12:INDEX(Trigo!$E12:$Z12,MIN(Y$6-$E$3,22))&lt;&gt;""),Trigo!$E12:INDEX(Trigo!$E12:$Z12,MIN(Y$6-$E$3,22))),0))-IF($G$2,0,IF((Y$6-$G$3)&lt;1,0,IFERROR(LOOKUP(2,1/(Trigo!$E12:INDEX(Trigo!$E12:$Z12,MIN(Y$6-$G$3,22))&lt;&gt;""),Trigo!$E12:INDEX(Trigo!$E12:$Z12,MIN(Y$6-$G$3,22))),0)))))</f>
        <v>0</v>
      </c>
      <c r="Z14" s="27" t="n">
        <f aca="false">IF(COUNT(Trigo!$E12:$Z12)=0,0,MAX(0,IF((Z$6-$E$3)&lt;1,0,IFERROR(LOOKUP(2,1/(Trigo!$E12:INDEX(Trigo!$E12:$Z12,MIN(Z$6-$E$3,22))&lt;&gt;""),Trigo!$E12:INDEX(Trigo!$E12:$Z12,MIN(Z$6-$E$3,22))),0))-IF($G$2,0,IF((Z$6-$G$3)&lt;1,0,IFERROR(LOOKUP(2,1/(Trigo!$E12:INDEX(Trigo!$E12:$Z12,MIN(Z$6-$G$3,22))&lt;&gt;""),Trigo!$E12:INDEX(Trigo!$E12:$Z12,MIN(Z$6-$G$3,22))),0)))))</f>
        <v>0</v>
      </c>
      <c r="AA14" s="27" t="n">
        <f aca="false">IF(COUNT(Trigo!$E12:$Z12)=0,0,MAX(0,IF((AA$6-$E$3)&lt;1,0,IFERROR(LOOKUP(2,1/(Trigo!$E12:INDEX(Trigo!$E12:$Z12,MIN(AA$6-$E$3,22))&lt;&gt;""),Trigo!$E12:INDEX(Trigo!$E12:$Z12,MIN(AA$6-$E$3,22))),0))-IF($G$2,0,IF((AA$6-$G$3)&lt;1,0,IFERROR(LOOKUP(2,1/(Trigo!$E12:INDEX(Trigo!$E12:$Z12,MIN(AA$6-$G$3,22))&lt;&gt;""),Trigo!$E12:INDEX(Trigo!$E12:$Z12,MIN(AA$6-$G$3,22))),0)))))</f>
        <v>0</v>
      </c>
      <c r="AB14" s="27" t="n">
        <f aca="false">IF(COUNT(Trigo!$E12:$Z12)=0,0,MAX(0,IF((AB$6-$E$3)&lt;1,0,IFERROR(LOOKUP(2,1/(Trigo!$E12:INDEX(Trigo!$E12:$Z12,MIN(AB$6-$E$3,22))&lt;&gt;""),Trigo!$E12:INDEX(Trigo!$E12:$Z12,MIN(AB$6-$E$3,22))),0))-IF($G$2,0,IF((AB$6-$G$3)&lt;1,0,IFERROR(LOOKUP(2,1/(Trigo!$E12:INDEX(Trigo!$E12:$Z12,MIN(AB$6-$G$3,22))&lt;&gt;""),Trigo!$E12:INDEX(Trigo!$E12:$Z12,MIN(AB$6-$G$3,22))),0)))))</f>
        <v>0</v>
      </c>
      <c r="AC14" s="27" t="n">
        <f aca="false">IF(COUNT(Trigo!$E12:$Z12)=0,0,MAX(0,IF((AC$6-$E$3)&lt;1,0,IFERROR(LOOKUP(2,1/(Trigo!$E12:INDEX(Trigo!$E12:$Z12,MIN(AC$6-$E$3,22))&lt;&gt;""),Trigo!$E12:INDEX(Trigo!$E12:$Z12,MIN(AC$6-$E$3,22))),0))-IF($G$2,0,IF((AC$6-$G$3)&lt;1,0,IFERROR(LOOKUP(2,1/(Trigo!$E12:INDEX(Trigo!$E12:$Z12,MIN(AC$6-$G$3,22))&lt;&gt;""),Trigo!$E12:INDEX(Trigo!$E12:$Z12,MIN(AC$6-$G$3,22))),0)))))</f>
        <v>0</v>
      </c>
      <c r="AD14" s="27" t="n">
        <f aca="false">IF(COUNT(Trigo!$E12:$Z12)=0,0,MAX(0,IF((AD$6-$E$3)&lt;1,0,IFERROR(LOOKUP(2,1/(Trigo!$E12:INDEX(Trigo!$E12:$Z12,MIN(AD$6-$E$3,22))&lt;&gt;""),Trigo!$E12:INDEX(Trigo!$E12:$Z12,MIN(AD$6-$E$3,22))),0))-IF($G$2,0,IF((AD$6-$G$3)&lt;1,0,IFERROR(LOOKUP(2,1/(Trigo!$E12:INDEX(Trigo!$E12:$Z12,MIN(AD$6-$G$3,22))&lt;&gt;""),Trigo!$E12:INDEX(Trigo!$E12:$Z12,MIN(AD$6-$G$3,22))),0)))))</f>
        <v>0</v>
      </c>
      <c r="AE14" s="27" t="n">
        <f aca="false">IF(COUNT(Trigo!$E12:$Z12)=0,0,MAX(0,IF((AE$6-$E$3)&lt;1,0,IFERROR(LOOKUP(2,1/(Trigo!$E12:INDEX(Trigo!$E12:$Z12,MIN(AE$6-$E$3,22))&lt;&gt;""),Trigo!$E12:INDEX(Trigo!$E12:$Z12,MIN(AE$6-$E$3,22))),0))-IF($G$2,0,IF((AE$6-$G$3)&lt;1,0,IFERROR(LOOKUP(2,1/(Trigo!$E12:INDEX(Trigo!$E12:$Z12,MIN(AE$6-$G$3,22))&lt;&gt;""),Trigo!$E12:INDEX(Trigo!$E12:$Z12,MIN(AE$6-$G$3,22))),0)))))</f>
        <v>0</v>
      </c>
      <c r="AF14" s="27" t="n">
        <f aca="false">IF(COUNT(Trigo!$E12:$Z12)=0,0,MAX(0,IF((AF$6-$E$3)&lt;1,0,IFERROR(LOOKUP(2,1/(Trigo!$E12:INDEX(Trigo!$E12:$Z12,MIN(AF$6-$E$3,22))&lt;&gt;""),Trigo!$E12:INDEX(Trigo!$E12:$Z12,MIN(AF$6-$E$3,22))),0))-IF($G$2,0,IF((AF$6-$G$3)&lt;1,0,IFERROR(LOOKUP(2,1/(Trigo!$E12:INDEX(Trigo!$E12:$Z12,MIN(AF$6-$G$3,22))&lt;&gt;""),Trigo!$E12:INDEX(Trigo!$E12:$Z12,MIN(AF$6-$G$3,22))),0)))))</f>
        <v>0</v>
      </c>
      <c r="AG14" s="27" t="n">
        <f aca="false">IF(COUNT(Trigo!$E12:$Z12)=0,0,MAX(0,IF((AG$6-$E$3)&lt;1,0,IFERROR(LOOKUP(2,1/(Trigo!$E12:INDEX(Trigo!$E12:$Z12,MIN(AG$6-$E$3,22))&lt;&gt;""),Trigo!$E12:INDEX(Trigo!$E12:$Z12,MIN(AG$6-$E$3,22))),0))-IF($G$2,0,IF((AG$6-$G$3)&lt;1,0,IFERROR(LOOKUP(2,1/(Trigo!$E12:INDEX(Trigo!$E12:$Z12,MIN(AG$6-$G$3,22))&lt;&gt;""),Trigo!$E12:INDEX(Trigo!$E12:$Z12,MIN(AG$6-$G$3,22))),0)))))</f>
        <v>0</v>
      </c>
      <c r="AH14" s="27" t="n">
        <f aca="false">IF(COUNT(Trigo!$E12:$Z12)=0,0,MAX(0,IF((AH$6-$E$3)&lt;1,0,IFERROR(LOOKUP(2,1/(Trigo!$E12:INDEX(Trigo!$E12:$Z12,MIN(AH$6-$E$3,22))&lt;&gt;""),Trigo!$E12:INDEX(Trigo!$E12:$Z12,MIN(AH$6-$E$3,22))),0))-IF($G$2,0,IF((AH$6-$G$3)&lt;1,0,IFERROR(LOOKUP(2,1/(Trigo!$E12:INDEX(Trigo!$E12:$Z12,MIN(AH$6-$G$3,22))&lt;&gt;""),Trigo!$E12:INDEX(Trigo!$E12:$Z12,MIN(AH$6-$G$3,22))),0)))))</f>
        <v>0</v>
      </c>
      <c r="AI14" s="27" t="n">
        <f aca="false">IF(COUNT(Trigo!$E12:$Z12)=0,0,MAX(0,IF((AI$6-$E$3)&lt;1,0,IFERROR(LOOKUP(2,1/(Trigo!$E12:INDEX(Trigo!$E12:$Z12,MIN(AI$6-$E$3,22))&lt;&gt;""),Trigo!$E12:INDEX(Trigo!$E12:$Z12,MIN(AI$6-$E$3,22))),0))-IF($G$2,0,IF((AI$6-$G$3)&lt;1,0,IFERROR(LOOKUP(2,1/(Trigo!$E12:INDEX(Trigo!$E12:$Z12,MIN(AI$6-$G$3,22))&lt;&gt;""),Trigo!$E12:INDEX(Trigo!$E12:$Z12,MIN(AI$6-$G$3,22))),0)))))</f>
        <v>0</v>
      </c>
      <c r="AJ14" s="27" t="n">
        <f aca="false">IF(COUNT(Trigo!$E12:$Z12)=0,0,MAX(0,IF((AJ$6-$E$3)&lt;1,0,IFERROR(LOOKUP(2,1/(Trigo!$E12:INDEX(Trigo!$E12:$Z12,MIN(AJ$6-$E$3,22))&lt;&gt;""),Trigo!$E12:INDEX(Trigo!$E12:$Z12,MIN(AJ$6-$E$3,22))),0))-IF($G$2,0,IF((AJ$6-$G$3)&lt;1,0,IFERROR(LOOKUP(2,1/(Trigo!$E12:INDEX(Trigo!$E12:$Z12,MIN(AJ$6-$G$3,22))&lt;&gt;""),Trigo!$E12:INDEX(Trigo!$E12:$Z12,MIN(AJ$6-$G$3,22))),0)))))</f>
        <v>0</v>
      </c>
      <c r="AK14" s="27" t="n">
        <f aca="false">IF(COUNT(Trigo!$E12:$Z12)=0,0,MAX(0,IF((AK$6-$E$3)&lt;1,0,IFERROR(LOOKUP(2,1/(Trigo!$E12:INDEX(Trigo!$E12:$Z12,MIN(AK$6-$E$3,22))&lt;&gt;""),Trigo!$E12:INDEX(Trigo!$E12:$Z12,MIN(AK$6-$E$3,22))),0))-IF($G$2,0,IF((AK$6-$G$3)&lt;1,0,IFERROR(LOOKUP(2,1/(Trigo!$E12:INDEX(Trigo!$E12:$Z12,MIN(AK$6-$G$3,22))&lt;&gt;""),Trigo!$E12:INDEX(Trigo!$E12:$Z12,MIN(AK$6-$G$3,22))),0)))))</f>
        <v>0</v>
      </c>
      <c r="AL14" s="27" t="n">
        <f aca="false">IF(COUNT(Trigo!$E12:$Z12)=0,0,MAX(0,IF((AL$6-$E$3)&lt;1,0,IFERROR(LOOKUP(2,1/(Trigo!$E12:INDEX(Trigo!$E12:$Z12,MIN(AL$6-$E$3,22))&lt;&gt;""),Trigo!$E12:INDEX(Trigo!$E12:$Z12,MIN(AL$6-$E$3,22))),0))-IF($G$2,0,IF((AL$6-$G$3)&lt;1,0,IFERROR(LOOKUP(2,1/(Trigo!$E12:INDEX(Trigo!$E12:$Z12,MIN(AL$6-$G$3,22))&lt;&gt;""),Trigo!$E12:INDEX(Trigo!$E12:$Z12,MIN(AL$6-$G$3,22))),0)))))</f>
        <v>0</v>
      </c>
      <c r="AM14" s="27" t="n">
        <f aca="false">IF(COUNT(Trigo!$E12:$Z12)=0,0,MAX(0,IF((AM$6-$E$3)&lt;1,0,IFERROR(LOOKUP(2,1/(Trigo!$E12:INDEX(Trigo!$E12:$Z12,MIN(AM$6-$E$3,22))&lt;&gt;""),Trigo!$E12:INDEX(Trigo!$E12:$Z12,MIN(AM$6-$E$3,22))),0))-IF($G$2,0,IF((AM$6-$G$3)&lt;1,0,IFERROR(LOOKUP(2,1/(Trigo!$E12:INDEX(Trigo!$E12:$Z12,MIN(AM$6-$G$3,22))&lt;&gt;""),Trigo!$E12:INDEX(Trigo!$E12:$Z12,MIN(AM$6-$G$3,22))),0)))))</f>
        <v>0</v>
      </c>
      <c r="AN14" s="27" t="n">
        <f aca="false">IF(COUNT(Trigo!$E12:$Z12)=0,0,MAX(0,IF((AN$6-$E$3)&lt;1,0,IFERROR(LOOKUP(2,1/(Trigo!$E12:INDEX(Trigo!$E12:$Z12,MIN(AN$6-$E$3,22))&lt;&gt;""),Trigo!$E12:INDEX(Trigo!$E12:$Z12,MIN(AN$6-$E$3,22))),0))-IF($G$2,0,IF((AN$6-$G$3)&lt;1,0,IFERROR(LOOKUP(2,1/(Trigo!$E12:INDEX(Trigo!$E12:$Z12,MIN(AN$6-$G$3,22))&lt;&gt;""),Trigo!$E12:INDEX(Trigo!$E12:$Z12,MIN(AN$6-$G$3,22))),0)))))</f>
        <v>0</v>
      </c>
      <c r="AO14" s="27" t="n">
        <f aca="false">IF(COUNT(Trigo!$E12:$Z12)=0,0,MAX(0,IF((AO$6-$E$3)&lt;1,0,IFERROR(LOOKUP(2,1/(Trigo!$E12:INDEX(Trigo!$E12:$Z12,MIN(AO$6-$E$3,22))&lt;&gt;""),Trigo!$E12:INDEX(Trigo!$E12:$Z12,MIN(AO$6-$E$3,22))),0))-IF($G$2,0,IF((AO$6-$G$3)&lt;1,0,IFERROR(LOOKUP(2,1/(Trigo!$E12:INDEX(Trigo!$E12:$Z12,MIN(AO$6-$G$3,22))&lt;&gt;""),Trigo!$E12:INDEX(Trigo!$E12:$Z12,MIN(AO$6-$G$3,22))),0)))))</f>
        <v>0</v>
      </c>
      <c r="AP14" s="27" t="n">
        <f aca="false">IF(COUNT(Trigo!$E12:$Z12)=0,0,MAX(0,IF((AP$6-$E$3)&lt;1,0,IFERROR(LOOKUP(2,1/(Trigo!$E12:INDEX(Trigo!$E12:$Z12,MIN(AP$6-$E$3,22))&lt;&gt;""),Trigo!$E12:INDEX(Trigo!$E12:$Z12,MIN(AP$6-$E$3,22))),0))-IF($G$2,0,IF((AP$6-$G$3)&lt;1,0,IFERROR(LOOKUP(2,1/(Trigo!$E12:INDEX(Trigo!$E12:$Z12,MIN(AP$6-$G$3,22))&lt;&gt;""),Trigo!$E12:INDEX(Trigo!$E12:$Z12,MIN(AP$6-$G$3,22))),0)))))</f>
        <v>0</v>
      </c>
      <c r="AQ14" s="27" t="n">
        <f aca="false">IF(COUNT(Trigo!$E12:$Z12)=0,0,MAX(0,IF((AQ$6-$E$3)&lt;1,0,IFERROR(LOOKUP(2,1/(Trigo!$E12:INDEX(Trigo!$E12:$Z12,MIN(AQ$6-$E$3,22))&lt;&gt;""),Trigo!$E12:INDEX(Trigo!$E12:$Z12,MIN(AQ$6-$E$3,22))),0))-IF($G$2,0,IF((AQ$6-$G$3)&lt;1,0,IFERROR(LOOKUP(2,1/(Trigo!$E12:INDEX(Trigo!$E12:$Z12,MIN(AQ$6-$G$3,22))&lt;&gt;""),Trigo!$E12:INDEX(Trigo!$E12:$Z12,MIN(AQ$6-$G$3,22))),0)))))</f>
        <v>0</v>
      </c>
      <c r="AR14" s="27" t="n">
        <f aca="false">IF(COUNT(Trigo!$E12:$Z12)=0,0,MAX(0,IF((AR$6-$E$3)&lt;1,0,IFERROR(LOOKUP(2,1/(Trigo!$E12:INDEX(Trigo!$E12:$Z12,MIN(AR$6-$E$3,22))&lt;&gt;""),Trigo!$E12:INDEX(Trigo!$E12:$Z12,MIN(AR$6-$E$3,22))),0))-IF($G$2,0,IF((AR$6-$G$3)&lt;1,0,IFERROR(LOOKUP(2,1/(Trigo!$E12:INDEX(Trigo!$E12:$Z12,MIN(AR$6-$G$3,22))&lt;&gt;""),Trigo!$E12:INDEX(Trigo!$E12:$Z12,MIN(AR$6-$G$3,22))),0)))))</f>
        <v>0</v>
      </c>
      <c r="AS14" s="27" t="n">
        <f aca="false">IF(COUNT(Trigo!$E12:$Z12)=0,0,MAX(0,IF((AS$6-$E$3)&lt;1,0,IFERROR(LOOKUP(2,1/(Trigo!$E12:INDEX(Trigo!$E12:$Z12,MIN(AS$6-$E$3,22))&lt;&gt;""),Trigo!$E12:INDEX(Trigo!$E12:$Z12,MIN(AS$6-$E$3,22))),0))-IF($G$2,0,IF((AS$6-$G$3)&lt;1,0,IFERROR(LOOKUP(2,1/(Trigo!$E12:INDEX(Trigo!$E12:$Z12,MIN(AS$6-$G$3,22))&lt;&gt;""),Trigo!$E12:INDEX(Trigo!$E12:$Z12,MIN(AS$6-$G$3,22))),0)))))</f>
        <v>0</v>
      </c>
      <c r="AT14" s="27" t="n">
        <f aca="false">IF(COUNT(Trigo!$E12:$Z12)=0,0,MAX(0,IF((AT$6-$E$3)&lt;1,0,IFERROR(LOOKUP(2,1/(Trigo!$E12:INDEX(Trigo!$E12:$Z12,MIN(AT$6-$E$3,22))&lt;&gt;""),Trigo!$E12:INDEX(Trigo!$E12:$Z12,MIN(AT$6-$E$3,22))),0))-IF($G$2,0,IF((AT$6-$G$3)&lt;1,0,IFERROR(LOOKUP(2,1/(Trigo!$E12:INDEX(Trigo!$E12:$Z12,MIN(AT$6-$G$3,22))&lt;&gt;""),Trigo!$E12:INDEX(Trigo!$E12:$Z12,MIN(AT$6-$G$3,22))),0)))))</f>
        <v>0</v>
      </c>
      <c r="AU14" s="27" t="n">
        <f aca="false">IF(COUNT(Trigo!$E12:$Z12)=0,0,MAX(0,IF((AU$6-$E$3)&lt;1,0,IFERROR(LOOKUP(2,1/(Trigo!$E12:INDEX(Trigo!$E12:$Z12,MIN(AU$6-$E$3,22))&lt;&gt;""),Trigo!$E12:INDEX(Trigo!$E12:$Z12,MIN(AU$6-$E$3,22))),0))-IF($G$2,0,IF((AU$6-$G$3)&lt;1,0,IFERROR(LOOKUP(2,1/(Trigo!$E12:INDEX(Trigo!$E12:$Z12,MIN(AU$6-$G$3,22))&lt;&gt;""),Trigo!$E12:INDEX(Trigo!$E12:$Z12,MIN(AU$6-$G$3,22))),0)))))</f>
        <v>0</v>
      </c>
      <c r="AV14" s="27" t="n">
        <f aca="false">IF(COUNT(Trigo!$E12:$Z12)=0,0,MAX(0,IF((AV$6-$E$3)&lt;1,0,IFERROR(LOOKUP(2,1/(Trigo!$E12:INDEX(Trigo!$E12:$Z12,MIN(AV$6-$E$3,22))&lt;&gt;""),Trigo!$E12:INDEX(Trigo!$E12:$Z12,MIN(AV$6-$E$3,22))),0))-IF($G$2,0,IF((AV$6-$G$3)&lt;1,0,IFERROR(LOOKUP(2,1/(Trigo!$E12:INDEX(Trigo!$E12:$Z12,MIN(AV$6-$G$3,22))&lt;&gt;""),Trigo!$E12:INDEX(Trigo!$E12:$Z12,MIN(AV$6-$G$3,22))),0)))))</f>
        <v>0</v>
      </c>
      <c r="AW14" s="27" t="n">
        <f aca="false">IF(COUNT(Trigo!$E12:$Z12)=0,0,MAX(0,IF((AW$6-$E$3)&lt;1,0,IFERROR(LOOKUP(2,1/(Trigo!$E12:INDEX(Trigo!$E12:$Z12,MIN(AW$6-$E$3,22))&lt;&gt;""),Trigo!$E12:INDEX(Trigo!$E12:$Z12,MIN(AW$6-$E$3,22))),0))-IF($G$2,0,IF((AW$6-$G$3)&lt;1,0,IFERROR(LOOKUP(2,1/(Trigo!$E12:INDEX(Trigo!$E12:$Z12,MIN(AW$6-$G$3,22))&lt;&gt;""),Trigo!$E12:INDEX(Trigo!$E12:$Z12,MIN(AW$6-$G$3,22))),0)))))</f>
        <v>0</v>
      </c>
      <c r="AX14" s="27" t="n">
        <f aca="false">IF(COUNT(Trigo!$E12:$Z12)=0,0,MAX(0,IF((AX$6-$E$3)&lt;1,0,IFERROR(LOOKUP(2,1/(Trigo!$E12:INDEX(Trigo!$E12:$Z12,MIN(AX$6-$E$3,22))&lt;&gt;""),Trigo!$E12:INDEX(Trigo!$E12:$Z12,MIN(AX$6-$E$3,22))),0))-IF($G$2,0,IF((AX$6-$G$3)&lt;1,0,IFERROR(LOOKUP(2,1/(Trigo!$E12:INDEX(Trigo!$E12:$Z12,MIN(AX$6-$G$3,22))&lt;&gt;""),Trigo!$E12:INDEX(Trigo!$E12:$Z12,MIN(AX$6-$G$3,22))),0)))))</f>
        <v>0</v>
      </c>
      <c r="AY14" s="27" t="n">
        <f aca="false">IF(COUNT(Trigo!$E12:$Z12)=0,0,MAX(0,IF((AY$6-$E$3)&lt;1,0,IFERROR(LOOKUP(2,1/(Trigo!$E12:INDEX(Trigo!$E12:$Z12,MIN(AY$6-$E$3,22))&lt;&gt;""),Trigo!$E12:INDEX(Trigo!$E12:$Z12,MIN(AY$6-$E$3,22))),0))-IF($G$2,0,IF((AY$6-$G$3)&lt;1,0,IFERROR(LOOKUP(2,1/(Trigo!$E12:INDEX(Trigo!$E12:$Z12,MIN(AY$6-$G$3,22))&lt;&gt;""),Trigo!$E12:INDEX(Trigo!$E12:$Z12,MIN(AY$6-$G$3,22))),0)))))</f>
        <v>0</v>
      </c>
      <c r="AZ14" s="27" t="n">
        <f aca="false">IF(COUNT(Trigo!$E12:$Z12)=0,0,MAX(0,IF((AZ$6-$E$3)&lt;1,0,IFERROR(LOOKUP(2,1/(Trigo!$E12:INDEX(Trigo!$E12:$Z12,MIN(AZ$6-$E$3,22))&lt;&gt;""),Trigo!$E12:INDEX(Trigo!$E12:$Z12,MIN(AZ$6-$E$3,22))),0))-IF($G$2,0,IF((AZ$6-$G$3)&lt;1,0,IFERROR(LOOKUP(2,1/(Trigo!$E12:INDEX(Trigo!$E12:$Z12,MIN(AZ$6-$G$3,22))&lt;&gt;""),Trigo!$E12:INDEX(Trigo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IF(COUNT(Trigo!$E13:$Z13)&gt;0,N(Trigo!$D13),0)</f>
        <v>0</v>
      </c>
      <c r="E15" s="27" t="n">
        <f aca="false">IF(COUNT(Trigo!$E13:$Z13)=0,0,MAX(0,IF((E$6-$E$3)&lt;1,0,IFERROR(LOOKUP(2,1/(Trigo!$E13:INDEX(Trigo!$E13:$Z13,MIN(E$6-$E$3,22))&lt;&gt;""),Trigo!$E13:INDEX(Trigo!$E13:$Z13,MIN(E$6-$E$3,22))),0))-IF($G$2,0,IF((E$6-$G$3)&lt;1,0,IFERROR(LOOKUP(2,1/(Trigo!$E13:INDEX(Trigo!$E13:$Z13,MIN(E$6-$G$3,22))&lt;&gt;""),Trigo!$E13:INDEX(Trigo!$E13:$Z13,MIN(E$6-$G$3,22))),0)))))</f>
        <v>0</v>
      </c>
      <c r="F15" s="27" t="n">
        <f aca="false">IF(COUNT(Trigo!$E13:$Z13)=0,0,MAX(0,IF((F$6-$E$3)&lt;1,0,IFERROR(LOOKUP(2,1/(Trigo!$E13:INDEX(Trigo!$E13:$Z13,MIN(F$6-$E$3,22))&lt;&gt;""),Trigo!$E13:INDEX(Trigo!$E13:$Z13,MIN(F$6-$E$3,22))),0))-IF($G$2,0,IF((F$6-$G$3)&lt;1,0,IFERROR(LOOKUP(2,1/(Trigo!$E13:INDEX(Trigo!$E13:$Z13,MIN(F$6-$G$3,22))&lt;&gt;""),Trigo!$E13:INDEX(Trigo!$E13:$Z13,MIN(F$6-$G$3,22))),0)))))</f>
        <v>0</v>
      </c>
      <c r="G15" s="27" t="n">
        <f aca="false">IF(COUNT(Trigo!$E13:$Z13)=0,0,MAX(0,IF((G$6-$E$3)&lt;1,0,IFERROR(LOOKUP(2,1/(Trigo!$E13:INDEX(Trigo!$E13:$Z13,MIN(G$6-$E$3,22))&lt;&gt;""),Trigo!$E13:INDEX(Trigo!$E13:$Z13,MIN(G$6-$E$3,22))),0))-IF($G$2,0,IF((G$6-$G$3)&lt;1,0,IFERROR(LOOKUP(2,1/(Trigo!$E13:INDEX(Trigo!$E13:$Z13,MIN(G$6-$G$3,22))&lt;&gt;""),Trigo!$E13:INDEX(Trigo!$E13:$Z13,MIN(G$6-$G$3,22))),0)))))</f>
        <v>0</v>
      </c>
      <c r="H15" s="27" t="n">
        <f aca="false">IF(COUNT(Trigo!$E13:$Z13)=0,0,MAX(0,IF((H$6-$E$3)&lt;1,0,IFERROR(LOOKUP(2,1/(Trigo!$E13:INDEX(Trigo!$E13:$Z13,MIN(H$6-$E$3,22))&lt;&gt;""),Trigo!$E13:INDEX(Trigo!$E13:$Z13,MIN(H$6-$E$3,22))),0))-IF($G$2,0,IF((H$6-$G$3)&lt;1,0,IFERROR(LOOKUP(2,1/(Trigo!$E13:INDEX(Trigo!$E13:$Z13,MIN(H$6-$G$3,22))&lt;&gt;""),Trigo!$E13:INDEX(Trigo!$E13:$Z13,MIN(H$6-$G$3,22))),0)))))</f>
        <v>0</v>
      </c>
      <c r="I15" s="27" t="n">
        <f aca="false">IF(COUNT(Trigo!$E13:$Z13)=0,0,MAX(0,IF((I$6-$E$3)&lt;1,0,IFERROR(LOOKUP(2,1/(Trigo!$E13:INDEX(Trigo!$E13:$Z13,MIN(I$6-$E$3,22))&lt;&gt;""),Trigo!$E13:INDEX(Trigo!$E13:$Z13,MIN(I$6-$E$3,22))),0))-IF($G$2,0,IF((I$6-$G$3)&lt;1,0,IFERROR(LOOKUP(2,1/(Trigo!$E13:INDEX(Trigo!$E13:$Z13,MIN(I$6-$G$3,22))&lt;&gt;""),Trigo!$E13:INDEX(Trigo!$E13:$Z13,MIN(I$6-$G$3,22))),0)))))</f>
        <v>0</v>
      </c>
      <c r="J15" s="27" t="n">
        <f aca="false">IF(COUNT(Trigo!$E13:$Z13)=0,0,MAX(0,IF((J$6-$E$3)&lt;1,0,IFERROR(LOOKUP(2,1/(Trigo!$E13:INDEX(Trigo!$E13:$Z13,MIN(J$6-$E$3,22))&lt;&gt;""),Trigo!$E13:INDEX(Trigo!$E13:$Z13,MIN(J$6-$E$3,22))),0))-IF($G$2,0,IF((J$6-$G$3)&lt;1,0,IFERROR(LOOKUP(2,1/(Trigo!$E13:INDEX(Trigo!$E13:$Z13,MIN(J$6-$G$3,22))&lt;&gt;""),Trigo!$E13:INDEX(Trigo!$E13:$Z13,MIN(J$6-$G$3,22))),0)))))</f>
        <v>0</v>
      </c>
      <c r="K15" s="27" t="n">
        <f aca="false">IF(COUNT(Trigo!$E13:$Z13)=0,0,MAX(0,IF((K$6-$E$3)&lt;1,0,IFERROR(LOOKUP(2,1/(Trigo!$E13:INDEX(Trigo!$E13:$Z13,MIN(K$6-$E$3,22))&lt;&gt;""),Trigo!$E13:INDEX(Trigo!$E13:$Z13,MIN(K$6-$E$3,22))),0))-IF($G$2,0,IF((K$6-$G$3)&lt;1,0,IFERROR(LOOKUP(2,1/(Trigo!$E13:INDEX(Trigo!$E13:$Z13,MIN(K$6-$G$3,22))&lt;&gt;""),Trigo!$E13:INDEX(Trigo!$E13:$Z13,MIN(K$6-$G$3,22))),0)))))</f>
        <v>0</v>
      </c>
      <c r="L15" s="27" t="n">
        <f aca="false">IF(COUNT(Trigo!$E13:$Z13)=0,0,MAX(0,IF((L$6-$E$3)&lt;1,0,IFERROR(LOOKUP(2,1/(Trigo!$E13:INDEX(Trigo!$E13:$Z13,MIN(L$6-$E$3,22))&lt;&gt;""),Trigo!$E13:INDEX(Trigo!$E13:$Z13,MIN(L$6-$E$3,22))),0))-IF($G$2,0,IF((L$6-$G$3)&lt;1,0,IFERROR(LOOKUP(2,1/(Trigo!$E13:INDEX(Trigo!$E13:$Z13,MIN(L$6-$G$3,22))&lt;&gt;""),Trigo!$E13:INDEX(Trigo!$E13:$Z13,MIN(L$6-$G$3,22))),0)))))</f>
        <v>0</v>
      </c>
      <c r="M15" s="27" t="n">
        <f aca="false">IF(COUNT(Trigo!$E13:$Z13)=0,0,MAX(0,IF((M$6-$E$3)&lt;1,0,IFERROR(LOOKUP(2,1/(Trigo!$E13:INDEX(Trigo!$E13:$Z13,MIN(M$6-$E$3,22))&lt;&gt;""),Trigo!$E13:INDEX(Trigo!$E13:$Z13,MIN(M$6-$E$3,22))),0))-IF($G$2,0,IF((M$6-$G$3)&lt;1,0,IFERROR(LOOKUP(2,1/(Trigo!$E13:INDEX(Trigo!$E13:$Z13,MIN(M$6-$G$3,22))&lt;&gt;""),Trigo!$E13:INDEX(Trigo!$E13:$Z13,MIN(M$6-$G$3,22))),0)))))</f>
        <v>0</v>
      </c>
      <c r="N15" s="27" t="n">
        <f aca="false">IF(COUNT(Trigo!$E13:$Z13)=0,0,MAX(0,IF((N$6-$E$3)&lt;1,0,IFERROR(LOOKUP(2,1/(Trigo!$E13:INDEX(Trigo!$E13:$Z13,MIN(N$6-$E$3,22))&lt;&gt;""),Trigo!$E13:INDEX(Trigo!$E13:$Z13,MIN(N$6-$E$3,22))),0))-IF($G$2,0,IF((N$6-$G$3)&lt;1,0,IFERROR(LOOKUP(2,1/(Trigo!$E13:INDEX(Trigo!$E13:$Z13,MIN(N$6-$G$3,22))&lt;&gt;""),Trigo!$E13:INDEX(Trigo!$E13:$Z13,MIN(N$6-$G$3,22))),0)))))</f>
        <v>0</v>
      </c>
      <c r="O15" s="27" t="n">
        <f aca="false">IF(COUNT(Trigo!$E13:$Z13)=0,0,MAX(0,IF((O$6-$E$3)&lt;1,0,IFERROR(LOOKUP(2,1/(Trigo!$E13:INDEX(Trigo!$E13:$Z13,MIN(O$6-$E$3,22))&lt;&gt;""),Trigo!$E13:INDEX(Trigo!$E13:$Z13,MIN(O$6-$E$3,22))),0))-IF($G$2,0,IF((O$6-$G$3)&lt;1,0,IFERROR(LOOKUP(2,1/(Trigo!$E13:INDEX(Trigo!$E13:$Z13,MIN(O$6-$G$3,22))&lt;&gt;""),Trigo!$E13:INDEX(Trigo!$E13:$Z13,MIN(O$6-$G$3,22))),0)))))</f>
        <v>0</v>
      </c>
      <c r="P15" s="27" t="n">
        <f aca="false">IF(COUNT(Trigo!$E13:$Z13)=0,0,MAX(0,IF((P$6-$E$3)&lt;1,0,IFERROR(LOOKUP(2,1/(Trigo!$E13:INDEX(Trigo!$E13:$Z13,MIN(P$6-$E$3,22))&lt;&gt;""),Trigo!$E13:INDEX(Trigo!$E13:$Z13,MIN(P$6-$E$3,22))),0))-IF($G$2,0,IF((P$6-$G$3)&lt;1,0,IFERROR(LOOKUP(2,1/(Trigo!$E13:INDEX(Trigo!$E13:$Z13,MIN(P$6-$G$3,22))&lt;&gt;""),Trigo!$E13:INDEX(Trigo!$E13:$Z13,MIN(P$6-$G$3,22))),0)))))</f>
        <v>0</v>
      </c>
      <c r="Q15" s="27" t="n">
        <f aca="false">IF(COUNT(Trigo!$E13:$Z13)=0,0,MAX(0,IF((Q$6-$E$3)&lt;1,0,IFERROR(LOOKUP(2,1/(Trigo!$E13:INDEX(Trigo!$E13:$Z13,MIN(Q$6-$E$3,22))&lt;&gt;""),Trigo!$E13:INDEX(Trigo!$E13:$Z13,MIN(Q$6-$E$3,22))),0))-IF($G$2,0,IF((Q$6-$G$3)&lt;1,0,IFERROR(LOOKUP(2,1/(Trigo!$E13:INDEX(Trigo!$E13:$Z13,MIN(Q$6-$G$3,22))&lt;&gt;""),Trigo!$E13:INDEX(Trigo!$E13:$Z13,MIN(Q$6-$G$3,22))),0)))))</f>
        <v>0</v>
      </c>
      <c r="R15" s="27" t="n">
        <f aca="false">IF(COUNT(Trigo!$E13:$Z13)=0,0,MAX(0,IF((R$6-$E$3)&lt;1,0,IFERROR(LOOKUP(2,1/(Trigo!$E13:INDEX(Trigo!$E13:$Z13,MIN(R$6-$E$3,22))&lt;&gt;""),Trigo!$E13:INDEX(Trigo!$E13:$Z13,MIN(R$6-$E$3,22))),0))-IF($G$2,0,IF((R$6-$G$3)&lt;1,0,IFERROR(LOOKUP(2,1/(Trigo!$E13:INDEX(Trigo!$E13:$Z13,MIN(R$6-$G$3,22))&lt;&gt;""),Trigo!$E13:INDEX(Trigo!$E13:$Z13,MIN(R$6-$G$3,22))),0)))))</f>
        <v>0</v>
      </c>
      <c r="S15" s="27" t="n">
        <f aca="false">IF(COUNT(Trigo!$E13:$Z13)=0,0,MAX(0,IF((S$6-$E$3)&lt;1,0,IFERROR(LOOKUP(2,1/(Trigo!$E13:INDEX(Trigo!$E13:$Z13,MIN(S$6-$E$3,22))&lt;&gt;""),Trigo!$E13:INDEX(Trigo!$E13:$Z13,MIN(S$6-$E$3,22))),0))-IF($G$2,0,IF((S$6-$G$3)&lt;1,0,IFERROR(LOOKUP(2,1/(Trigo!$E13:INDEX(Trigo!$E13:$Z13,MIN(S$6-$G$3,22))&lt;&gt;""),Trigo!$E13:INDEX(Trigo!$E13:$Z13,MIN(S$6-$G$3,22))),0)))))</f>
        <v>0</v>
      </c>
      <c r="T15" s="27" t="n">
        <f aca="false">IF(COUNT(Trigo!$E13:$Z13)=0,0,MAX(0,IF((T$6-$E$3)&lt;1,0,IFERROR(LOOKUP(2,1/(Trigo!$E13:INDEX(Trigo!$E13:$Z13,MIN(T$6-$E$3,22))&lt;&gt;""),Trigo!$E13:INDEX(Trigo!$E13:$Z13,MIN(T$6-$E$3,22))),0))-IF($G$2,0,IF((T$6-$G$3)&lt;1,0,IFERROR(LOOKUP(2,1/(Trigo!$E13:INDEX(Trigo!$E13:$Z13,MIN(T$6-$G$3,22))&lt;&gt;""),Trigo!$E13:INDEX(Trigo!$E13:$Z13,MIN(T$6-$G$3,22))),0)))))</f>
        <v>0</v>
      </c>
      <c r="U15" s="27" t="n">
        <f aca="false">IF(COUNT(Trigo!$E13:$Z13)=0,0,MAX(0,IF((U$6-$E$3)&lt;1,0,IFERROR(LOOKUP(2,1/(Trigo!$E13:INDEX(Trigo!$E13:$Z13,MIN(U$6-$E$3,22))&lt;&gt;""),Trigo!$E13:INDEX(Trigo!$E13:$Z13,MIN(U$6-$E$3,22))),0))-IF($G$2,0,IF((U$6-$G$3)&lt;1,0,IFERROR(LOOKUP(2,1/(Trigo!$E13:INDEX(Trigo!$E13:$Z13,MIN(U$6-$G$3,22))&lt;&gt;""),Trigo!$E13:INDEX(Trigo!$E13:$Z13,MIN(U$6-$G$3,22))),0)))))</f>
        <v>0</v>
      </c>
      <c r="V15" s="27" t="n">
        <f aca="false">IF(COUNT(Trigo!$E13:$Z13)=0,0,MAX(0,IF((V$6-$E$3)&lt;1,0,IFERROR(LOOKUP(2,1/(Trigo!$E13:INDEX(Trigo!$E13:$Z13,MIN(V$6-$E$3,22))&lt;&gt;""),Trigo!$E13:INDEX(Trigo!$E13:$Z13,MIN(V$6-$E$3,22))),0))-IF($G$2,0,IF((V$6-$G$3)&lt;1,0,IFERROR(LOOKUP(2,1/(Trigo!$E13:INDEX(Trigo!$E13:$Z13,MIN(V$6-$G$3,22))&lt;&gt;""),Trigo!$E13:INDEX(Trigo!$E13:$Z13,MIN(V$6-$G$3,22))),0)))))</f>
        <v>0</v>
      </c>
      <c r="W15" s="27" t="n">
        <f aca="false">IF(COUNT(Trigo!$E13:$Z13)=0,0,MAX(0,IF((W$6-$E$3)&lt;1,0,IFERROR(LOOKUP(2,1/(Trigo!$E13:INDEX(Trigo!$E13:$Z13,MIN(W$6-$E$3,22))&lt;&gt;""),Trigo!$E13:INDEX(Trigo!$E13:$Z13,MIN(W$6-$E$3,22))),0))-IF($G$2,0,IF((W$6-$G$3)&lt;1,0,IFERROR(LOOKUP(2,1/(Trigo!$E13:INDEX(Trigo!$E13:$Z13,MIN(W$6-$G$3,22))&lt;&gt;""),Trigo!$E13:INDEX(Trigo!$E13:$Z13,MIN(W$6-$G$3,22))),0)))))</f>
        <v>0</v>
      </c>
      <c r="X15" s="27" t="n">
        <f aca="false">IF(COUNT(Trigo!$E13:$Z13)=0,0,MAX(0,IF((X$6-$E$3)&lt;1,0,IFERROR(LOOKUP(2,1/(Trigo!$E13:INDEX(Trigo!$E13:$Z13,MIN(X$6-$E$3,22))&lt;&gt;""),Trigo!$E13:INDEX(Trigo!$E13:$Z13,MIN(X$6-$E$3,22))),0))-IF($G$2,0,IF((X$6-$G$3)&lt;1,0,IFERROR(LOOKUP(2,1/(Trigo!$E13:INDEX(Trigo!$E13:$Z13,MIN(X$6-$G$3,22))&lt;&gt;""),Trigo!$E13:INDEX(Trigo!$E13:$Z13,MIN(X$6-$G$3,22))),0)))))</f>
        <v>0</v>
      </c>
      <c r="Y15" s="27" t="n">
        <f aca="false">IF(COUNT(Trigo!$E13:$Z13)=0,0,MAX(0,IF((Y$6-$E$3)&lt;1,0,IFERROR(LOOKUP(2,1/(Trigo!$E13:INDEX(Trigo!$E13:$Z13,MIN(Y$6-$E$3,22))&lt;&gt;""),Trigo!$E13:INDEX(Trigo!$E13:$Z13,MIN(Y$6-$E$3,22))),0))-IF($G$2,0,IF((Y$6-$G$3)&lt;1,0,IFERROR(LOOKUP(2,1/(Trigo!$E13:INDEX(Trigo!$E13:$Z13,MIN(Y$6-$G$3,22))&lt;&gt;""),Trigo!$E13:INDEX(Trigo!$E13:$Z13,MIN(Y$6-$G$3,22))),0)))))</f>
        <v>0</v>
      </c>
      <c r="Z15" s="27" t="n">
        <f aca="false">IF(COUNT(Trigo!$E13:$Z13)=0,0,MAX(0,IF((Z$6-$E$3)&lt;1,0,IFERROR(LOOKUP(2,1/(Trigo!$E13:INDEX(Trigo!$E13:$Z13,MIN(Z$6-$E$3,22))&lt;&gt;""),Trigo!$E13:INDEX(Trigo!$E13:$Z13,MIN(Z$6-$E$3,22))),0))-IF($G$2,0,IF((Z$6-$G$3)&lt;1,0,IFERROR(LOOKUP(2,1/(Trigo!$E13:INDEX(Trigo!$E13:$Z13,MIN(Z$6-$G$3,22))&lt;&gt;""),Trigo!$E13:INDEX(Trigo!$E13:$Z13,MIN(Z$6-$G$3,22))),0)))))</f>
        <v>0</v>
      </c>
      <c r="AA15" s="27" t="n">
        <f aca="false">IF(COUNT(Trigo!$E13:$Z13)=0,0,MAX(0,IF((AA$6-$E$3)&lt;1,0,IFERROR(LOOKUP(2,1/(Trigo!$E13:INDEX(Trigo!$E13:$Z13,MIN(AA$6-$E$3,22))&lt;&gt;""),Trigo!$E13:INDEX(Trigo!$E13:$Z13,MIN(AA$6-$E$3,22))),0))-IF($G$2,0,IF((AA$6-$G$3)&lt;1,0,IFERROR(LOOKUP(2,1/(Trigo!$E13:INDEX(Trigo!$E13:$Z13,MIN(AA$6-$G$3,22))&lt;&gt;""),Trigo!$E13:INDEX(Trigo!$E13:$Z13,MIN(AA$6-$G$3,22))),0)))))</f>
        <v>0</v>
      </c>
      <c r="AB15" s="27" t="n">
        <f aca="false">IF(COUNT(Trigo!$E13:$Z13)=0,0,MAX(0,IF((AB$6-$E$3)&lt;1,0,IFERROR(LOOKUP(2,1/(Trigo!$E13:INDEX(Trigo!$E13:$Z13,MIN(AB$6-$E$3,22))&lt;&gt;""),Trigo!$E13:INDEX(Trigo!$E13:$Z13,MIN(AB$6-$E$3,22))),0))-IF($G$2,0,IF((AB$6-$G$3)&lt;1,0,IFERROR(LOOKUP(2,1/(Trigo!$E13:INDEX(Trigo!$E13:$Z13,MIN(AB$6-$G$3,22))&lt;&gt;""),Trigo!$E13:INDEX(Trigo!$E13:$Z13,MIN(AB$6-$G$3,22))),0)))))</f>
        <v>0</v>
      </c>
      <c r="AC15" s="27" t="n">
        <f aca="false">IF(COUNT(Trigo!$E13:$Z13)=0,0,MAX(0,IF((AC$6-$E$3)&lt;1,0,IFERROR(LOOKUP(2,1/(Trigo!$E13:INDEX(Trigo!$E13:$Z13,MIN(AC$6-$E$3,22))&lt;&gt;""),Trigo!$E13:INDEX(Trigo!$E13:$Z13,MIN(AC$6-$E$3,22))),0))-IF($G$2,0,IF((AC$6-$G$3)&lt;1,0,IFERROR(LOOKUP(2,1/(Trigo!$E13:INDEX(Trigo!$E13:$Z13,MIN(AC$6-$G$3,22))&lt;&gt;""),Trigo!$E13:INDEX(Trigo!$E13:$Z13,MIN(AC$6-$G$3,22))),0)))))</f>
        <v>0</v>
      </c>
      <c r="AD15" s="27" t="n">
        <f aca="false">IF(COUNT(Trigo!$E13:$Z13)=0,0,MAX(0,IF((AD$6-$E$3)&lt;1,0,IFERROR(LOOKUP(2,1/(Trigo!$E13:INDEX(Trigo!$E13:$Z13,MIN(AD$6-$E$3,22))&lt;&gt;""),Trigo!$E13:INDEX(Trigo!$E13:$Z13,MIN(AD$6-$E$3,22))),0))-IF($G$2,0,IF((AD$6-$G$3)&lt;1,0,IFERROR(LOOKUP(2,1/(Trigo!$E13:INDEX(Trigo!$E13:$Z13,MIN(AD$6-$G$3,22))&lt;&gt;""),Trigo!$E13:INDEX(Trigo!$E13:$Z13,MIN(AD$6-$G$3,22))),0)))))</f>
        <v>0</v>
      </c>
      <c r="AE15" s="27" t="n">
        <f aca="false">IF(COUNT(Trigo!$E13:$Z13)=0,0,MAX(0,IF((AE$6-$E$3)&lt;1,0,IFERROR(LOOKUP(2,1/(Trigo!$E13:INDEX(Trigo!$E13:$Z13,MIN(AE$6-$E$3,22))&lt;&gt;""),Trigo!$E13:INDEX(Trigo!$E13:$Z13,MIN(AE$6-$E$3,22))),0))-IF($G$2,0,IF((AE$6-$G$3)&lt;1,0,IFERROR(LOOKUP(2,1/(Trigo!$E13:INDEX(Trigo!$E13:$Z13,MIN(AE$6-$G$3,22))&lt;&gt;""),Trigo!$E13:INDEX(Trigo!$E13:$Z13,MIN(AE$6-$G$3,22))),0)))))</f>
        <v>0</v>
      </c>
      <c r="AF15" s="27" t="n">
        <f aca="false">IF(COUNT(Trigo!$E13:$Z13)=0,0,MAX(0,IF((AF$6-$E$3)&lt;1,0,IFERROR(LOOKUP(2,1/(Trigo!$E13:INDEX(Trigo!$E13:$Z13,MIN(AF$6-$E$3,22))&lt;&gt;""),Trigo!$E13:INDEX(Trigo!$E13:$Z13,MIN(AF$6-$E$3,22))),0))-IF($G$2,0,IF((AF$6-$G$3)&lt;1,0,IFERROR(LOOKUP(2,1/(Trigo!$E13:INDEX(Trigo!$E13:$Z13,MIN(AF$6-$G$3,22))&lt;&gt;""),Trigo!$E13:INDEX(Trigo!$E13:$Z13,MIN(AF$6-$G$3,22))),0)))))</f>
        <v>0</v>
      </c>
      <c r="AG15" s="27" t="n">
        <f aca="false">IF(COUNT(Trigo!$E13:$Z13)=0,0,MAX(0,IF((AG$6-$E$3)&lt;1,0,IFERROR(LOOKUP(2,1/(Trigo!$E13:INDEX(Trigo!$E13:$Z13,MIN(AG$6-$E$3,22))&lt;&gt;""),Trigo!$E13:INDEX(Trigo!$E13:$Z13,MIN(AG$6-$E$3,22))),0))-IF($G$2,0,IF((AG$6-$G$3)&lt;1,0,IFERROR(LOOKUP(2,1/(Trigo!$E13:INDEX(Trigo!$E13:$Z13,MIN(AG$6-$G$3,22))&lt;&gt;""),Trigo!$E13:INDEX(Trigo!$E13:$Z13,MIN(AG$6-$G$3,22))),0)))))</f>
        <v>0</v>
      </c>
      <c r="AH15" s="27" t="n">
        <f aca="false">IF(COUNT(Trigo!$E13:$Z13)=0,0,MAX(0,IF((AH$6-$E$3)&lt;1,0,IFERROR(LOOKUP(2,1/(Trigo!$E13:INDEX(Trigo!$E13:$Z13,MIN(AH$6-$E$3,22))&lt;&gt;""),Trigo!$E13:INDEX(Trigo!$E13:$Z13,MIN(AH$6-$E$3,22))),0))-IF($G$2,0,IF((AH$6-$G$3)&lt;1,0,IFERROR(LOOKUP(2,1/(Trigo!$E13:INDEX(Trigo!$E13:$Z13,MIN(AH$6-$G$3,22))&lt;&gt;""),Trigo!$E13:INDEX(Trigo!$E13:$Z13,MIN(AH$6-$G$3,22))),0)))))</f>
        <v>0</v>
      </c>
      <c r="AI15" s="27" t="n">
        <f aca="false">IF(COUNT(Trigo!$E13:$Z13)=0,0,MAX(0,IF((AI$6-$E$3)&lt;1,0,IFERROR(LOOKUP(2,1/(Trigo!$E13:INDEX(Trigo!$E13:$Z13,MIN(AI$6-$E$3,22))&lt;&gt;""),Trigo!$E13:INDEX(Trigo!$E13:$Z13,MIN(AI$6-$E$3,22))),0))-IF($G$2,0,IF((AI$6-$G$3)&lt;1,0,IFERROR(LOOKUP(2,1/(Trigo!$E13:INDEX(Trigo!$E13:$Z13,MIN(AI$6-$G$3,22))&lt;&gt;""),Trigo!$E13:INDEX(Trigo!$E13:$Z13,MIN(AI$6-$G$3,22))),0)))))</f>
        <v>0</v>
      </c>
      <c r="AJ15" s="27" t="n">
        <f aca="false">IF(COUNT(Trigo!$E13:$Z13)=0,0,MAX(0,IF((AJ$6-$E$3)&lt;1,0,IFERROR(LOOKUP(2,1/(Trigo!$E13:INDEX(Trigo!$E13:$Z13,MIN(AJ$6-$E$3,22))&lt;&gt;""),Trigo!$E13:INDEX(Trigo!$E13:$Z13,MIN(AJ$6-$E$3,22))),0))-IF($G$2,0,IF((AJ$6-$G$3)&lt;1,0,IFERROR(LOOKUP(2,1/(Trigo!$E13:INDEX(Trigo!$E13:$Z13,MIN(AJ$6-$G$3,22))&lt;&gt;""),Trigo!$E13:INDEX(Trigo!$E13:$Z13,MIN(AJ$6-$G$3,22))),0)))))</f>
        <v>0</v>
      </c>
      <c r="AK15" s="27" t="n">
        <f aca="false">IF(COUNT(Trigo!$E13:$Z13)=0,0,MAX(0,IF((AK$6-$E$3)&lt;1,0,IFERROR(LOOKUP(2,1/(Trigo!$E13:INDEX(Trigo!$E13:$Z13,MIN(AK$6-$E$3,22))&lt;&gt;""),Trigo!$E13:INDEX(Trigo!$E13:$Z13,MIN(AK$6-$E$3,22))),0))-IF($G$2,0,IF((AK$6-$G$3)&lt;1,0,IFERROR(LOOKUP(2,1/(Trigo!$E13:INDEX(Trigo!$E13:$Z13,MIN(AK$6-$G$3,22))&lt;&gt;""),Trigo!$E13:INDEX(Trigo!$E13:$Z13,MIN(AK$6-$G$3,22))),0)))))</f>
        <v>0</v>
      </c>
      <c r="AL15" s="27" t="n">
        <f aca="false">IF(COUNT(Trigo!$E13:$Z13)=0,0,MAX(0,IF((AL$6-$E$3)&lt;1,0,IFERROR(LOOKUP(2,1/(Trigo!$E13:INDEX(Trigo!$E13:$Z13,MIN(AL$6-$E$3,22))&lt;&gt;""),Trigo!$E13:INDEX(Trigo!$E13:$Z13,MIN(AL$6-$E$3,22))),0))-IF($G$2,0,IF((AL$6-$G$3)&lt;1,0,IFERROR(LOOKUP(2,1/(Trigo!$E13:INDEX(Trigo!$E13:$Z13,MIN(AL$6-$G$3,22))&lt;&gt;""),Trigo!$E13:INDEX(Trigo!$E13:$Z13,MIN(AL$6-$G$3,22))),0)))))</f>
        <v>0</v>
      </c>
      <c r="AM15" s="27" t="n">
        <f aca="false">IF(COUNT(Trigo!$E13:$Z13)=0,0,MAX(0,IF((AM$6-$E$3)&lt;1,0,IFERROR(LOOKUP(2,1/(Trigo!$E13:INDEX(Trigo!$E13:$Z13,MIN(AM$6-$E$3,22))&lt;&gt;""),Trigo!$E13:INDEX(Trigo!$E13:$Z13,MIN(AM$6-$E$3,22))),0))-IF($G$2,0,IF((AM$6-$G$3)&lt;1,0,IFERROR(LOOKUP(2,1/(Trigo!$E13:INDEX(Trigo!$E13:$Z13,MIN(AM$6-$G$3,22))&lt;&gt;""),Trigo!$E13:INDEX(Trigo!$E13:$Z13,MIN(AM$6-$G$3,22))),0)))))</f>
        <v>0</v>
      </c>
      <c r="AN15" s="27" t="n">
        <f aca="false">IF(COUNT(Trigo!$E13:$Z13)=0,0,MAX(0,IF((AN$6-$E$3)&lt;1,0,IFERROR(LOOKUP(2,1/(Trigo!$E13:INDEX(Trigo!$E13:$Z13,MIN(AN$6-$E$3,22))&lt;&gt;""),Trigo!$E13:INDEX(Trigo!$E13:$Z13,MIN(AN$6-$E$3,22))),0))-IF($G$2,0,IF((AN$6-$G$3)&lt;1,0,IFERROR(LOOKUP(2,1/(Trigo!$E13:INDEX(Trigo!$E13:$Z13,MIN(AN$6-$G$3,22))&lt;&gt;""),Trigo!$E13:INDEX(Trigo!$E13:$Z13,MIN(AN$6-$G$3,22))),0)))))</f>
        <v>0</v>
      </c>
      <c r="AO15" s="27" t="n">
        <f aca="false">IF(COUNT(Trigo!$E13:$Z13)=0,0,MAX(0,IF((AO$6-$E$3)&lt;1,0,IFERROR(LOOKUP(2,1/(Trigo!$E13:INDEX(Trigo!$E13:$Z13,MIN(AO$6-$E$3,22))&lt;&gt;""),Trigo!$E13:INDEX(Trigo!$E13:$Z13,MIN(AO$6-$E$3,22))),0))-IF($G$2,0,IF((AO$6-$G$3)&lt;1,0,IFERROR(LOOKUP(2,1/(Trigo!$E13:INDEX(Trigo!$E13:$Z13,MIN(AO$6-$G$3,22))&lt;&gt;""),Trigo!$E13:INDEX(Trigo!$E13:$Z13,MIN(AO$6-$G$3,22))),0)))))</f>
        <v>0</v>
      </c>
      <c r="AP15" s="27" t="n">
        <f aca="false">IF(COUNT(Trigo!$E13:$Z13)=0,0,MAX(0,IF((AP$6-$E$3)&lt;1,0,IFERROR(LOOKUP(2,1/(Trigo!$E13:INDEX(Trigo!$E13:$Z13,MIN(AP$6-$E$3,22))&lt;&gt;""),Trigo!$E13:INDEX(Trigo!$E13:$Z13,MIN(AP$6-$E$3,22))),0))-IF($G$2,0,IF((AP$6-$G$3)&lt;1,0,IFERROR(LOOKUP(2,1/(Trigo!$E13:INDEX(Trigo!$E13:$Z13,MIN(AP$6-$G$3,22))&lt;&gt;""),Trigo!$E13:INDEX(Trigo!$E13:$Z13,MIN(AP$6-$G$3,22))),0)))))</f>
        <v>0</v>
      </c>
      <c r="AQ15" s="27" t="n">
        <f aca="false">IF(COUNT(Trigo!$E13:$Z13)=0,0,MAX(0,IF((AQ$6-$E$3)&lt;1,0,IFERROR(LOOKUP(2,1/(Trigo!$E13:INDEX(Trigo!$E13:$Z13,MIN(AQ$6-$E$3,22))&lt;&gt;""),Trigo!$E13:INDEX(Trigo!$E13:$Z13,MIN(AQ$6-$E$3,22))),0))-IF($G$2,0,IF((AQ$6-$G$3)&lt;1,0,IFERROR(LOOKUP(2,1/(Trigo!$E13:INDEX(Trigo!$E13:$Z13,MIN(AQ$6-$G$3,22))&lt;&gt;""),Trigo!$E13:INDEX(Trigo!$E13:$Z13,MIN(AQ$6-$G$3,22))),0)))))</f>
        <v>0</v>
      </c>
      <c r="AR15" s="27" t="n">
        <f aca="false">IF(COUNT(Trigo!$E13:$Z13)=0,0,MAX(0,IF((AR$6-$E$3)&lt;1,0,IFERROR(LOOKUP(2,1/(Trigo!$E13:INDEX(Trigo!$E13:$Z13,MIN(AR$6-$E$3,22))&lt;&gt;""),Trigo!$E13:INDEX(Trigo!$E13:$Z13,MIN(AR$6-$E$3,22))),0))-IF($G$2,0,IF((AR$6-$G$3)&lt;1,0,IFERROR(LOOKUP(2,1/(Trigo!$E13:INDEX(Trigo!$E13:$Z13,MIN(AR$6-$G$3,22))&lt;&gt;""),Trigo!$E13:INDEX(Trigo!$E13:$Z13,MIN(AR$6-$G$3,22))),0)))))</f>
        <v>0</v>
      </c>
      <c r="AS15" s="27" t="n">
        <f aca="false">IF(COUNT(Trigo!$E13:$Z13)=0,0,MAX(0,IF((AS$6-$E$3)&lt;1,0,IFERROR(LOOKUP(2,1/(Trigo!$E13:INDEX(Trigo!$E13:$Z13,MIN(AS$6-$E$3,22))&lt;&gt;""),Trigo!$E13:INDEX(Trigo!$E13:$Z13,MIN(AS$6-$E$3,22))),0))-IF($G$2,0,IF((AS$6-$G$3)&lt;1,0,IFERROR(LOOKUP(2,1/(Trigo!$E13:INDEX(Trigo!$E13:$Z13,MIN(AS$6-$G$3,22))&lt;&gt;""),Trigo!$E13:INDEX(Trigo!$E13:$Z13,MIN(AS$6-$G$3,22))),0)))))</f>
        <v>0</v>
      </c>
      <c r="AT15" s="27" t="n">
        <f aca="false">IF(COUNT(Trigo!$E13:$Z13)=0,0,MAX(0,IF((AT$6-$E$3)&lt;1,0,IFERROR(LOOKUP(2,1/(Trigo!$E13:INDEX(Trigo!$E13:$Z13,MIN(AT$6-$E$3,22))&lt;&gt;""),Trigo!$E13:INDEX(Trigo!$E13:$Z13,MIN(AT$6-$E$3,22))),0))-IF($G$2,0,IF((AT$6-$G$3)&lt;1,0,IFERROR(LOOKUP(2,1/(Trigo!$E13:INDEX(Trigo!$E13:$Z13,MIN(AT$6-$G$3,22))&lt;&gt;""),Trigo!$E13:INDEX(Trigo!$E13:$Z13,MIN(AT$6-$G$3,22))),0)))))</f>
        <v>0</v>
      </c>
      <c r="AU15" s="27" t="n">
        <f aca="false">IF(COUNT(Trigo!$E13:$Z13)=0,0,MAX(0,IF((AU$6-$E$3)&lt;1,0,IFERROR(LOOKUP(2,1/(Trigo!$E13:INDEX(Trigo!$E13:$Z13,MIN(AU$6-$E$3,22))&lt;&gt;""),Trigo!$E13:INDEX(Trigo!$E13:$Z13,MIN(AU$6-$E$3,22))),0))-IF($G$2,0,IF((AU$6-$G$3)&lt;1,0,IFERROR(LOOKUP(2,1/(Trigo!$E13:INDEX(Trigo!$E13:$Z13,MIN(AU$6-$G$3,22))&lt;&gt;""),Trigo!$E13:INDEX(Trigo!$E13:$Z13,MIN(AU$6-$G$3,22))),0)))))</f>
        <v>0</v>
      </c>
      <c r="AV15" s="27" t="n">
        <f aca="false">IF(COUNT(Trigo!$E13:$Z13)=0,0,MAX(0,IF((AV$6-$E$3)&lt;1,0,IFERROR(LOOKUP(2,1/(Trigo!$E13:INDEX(Trigo!$E13:$Z13,MIN(AV$6-$E$3,22))&lt;&gt;""),Trigo!$E13:INDEX(Trigo!$E13:$Z13,MIN(AV$6-$E$3,22))),0))-IF($G$2,0,IF((AV$6-$G$3)&lt;1,0,IFERROR(LOOKUP(2,1/(Trigo!$E13:INDEX(Trigo!$E13:$Z13,MIN(AV$6-$G$3,22))&lt;&gt;""),Trigo!$E13:INDEX(Trigo!$E13:$Z13,MIN(AV$6-$G$3,22))),0)))))</f>
        <v>0</v>
      </c>
      <c r="AW15" s="27" t="n">
        <f aca="false">IF(COUNT(Trigo!$E13:$Z13)=0,0,MAX(0,IF((AW$6-$E$3)&lt;1,0,IFERROR(LOOKUP(2,1/(Trigo!$E13:INDEX(Trigo!$E13:$Z13,MIN(AW$6-$E$3,22))&lt;&gt;""),Trigo!$E13:INDEX(Trigo!$E13:$Z13,MIN(AW$6-$E$3,22))),0))-IF($G$2,0,IF((AW$6-$G$3)&lt;1,0,IFERROR(LOOKUP(2,1/(Trigo!$E13:INDEX(Trigo!$E13:$Z13,MIN(AW$6-$G$3,22))&lt;&gt;""),Trigo!$E13:INDEX(Trigo!$E13:$Z13,MIN(AW$6-$G$3,22))),0)))))</f>
        <v>0</v>
      </c>
      <c r="AX15" s="27" t="n">
        <f aca="false">IF(COUNT(Trigo!$E13:$Z13)=0,0,MAX(0,IF((AX$6-$E$3)&lt;1,0,IFERROR(LOOKUP(2,1/(Trigo!$E13:INDEX(Trigo!$E13:$Z13,MIN(AX$6-$E$3,22))&lt;&gt;""),Trigo!$E13:INDEX(Trigo!$E13:$Z13,MIN(AX$6-$E$3,22))),0))-IF($G$2,0,IF((AX$6-$G$3)&lt;1,0,IFERROR(LOOKUP(2,1/(Trigo!$E13:INDEX(Trigo!$E13:$Z13,MIN(AX$6-$G$3,22))&lt;&gt;""),Trigo!$E13:INDEX(Trigo!$E13:$Z13,MIN(AX$6-$G$3,22))),0)))))</f>
        <v>0</v>
      </c>
      <c r="AY15" s="27" t="n">
        <f aca="false">IF(COUNT(Trigo!$E13:$Z13)=0,0,MAX(0,IF((AY$6-$E$3)&lt;1,0,IFERROR(LOOKUP(2,1/(Trigo!$E13:INDEX(Trigo!$E13:$Z13,MIN(AY$6-$E$3,22))&lt;&gt;""),Trigo!$E13:INDEX(Trigo!$E13:$Z13,MIN(AY$6-$E$3,22))),0))-IF($G$2,0,IF((AY$6-$G$3)&lt;1,0,IFERROR(LOOKUP(2,1/(Trigo!$E13:INDEX(Trigo!$E13:$Z13,MIN(AY$6-$G$3,22))&lt;&gt;""),Trigo!$E13:INDEX(Trigo!$E13:$Z13,MIN(AY$6-$G$3,22))),0)))))</f>
        <v>0</v>
      </c>
      <c r="AZ15" s="27" t="n">
        <f aca="false">IF(COUNT(Trigo!$E13:$Z13)=0,0,MAX(0,IF((AZ$6-$E$3)&lt;1,0,IFERROR(LOOKUP(2,1/(Trigo!$E13:INDEX(Trigo!$E13:$Z13,MIN(AZ$6-$E$3,22))&lt;&gt;""),Trigo!$E13:INDEX(Trigo!$E13:$Z13,MIN(AZ$6-$E$3,22))),0))-IF($G$2,0,IF((AZ$6-$G$3)&lt;1,0,IFERROR(LOOKUP(2,1/(Trigo!$E13:INDEX(Trigo!$E13:$Z13,MIN(AZ$6-$G$3,22))&lt;&gt;""),Trigo!$E13:INDEX(Trigo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IF(COUNT(Trigo!$E14:$Z14)&gt;0,N(Trigo!$D14),0)</f>
        <v>0</v>
      </c>
      <c r="E16" s="27" t="n">
        <f aca="false">IF(COUNT(Trigo!$E14:$Z14)=0,0,MAX(0,IF((E$6-$E$3)&lt;1,0,IFERROR(LOOKUP(2,1/(Trigo!$E14:INDEX(Trigo!$E14:$Z14,MIN(E$6-$E$3,22))&lt;&gt;""),Trigo!$E14:INDEX(Trigo!$E14:$Z14,MIN(E$6-$E$3,22))),0))-IF($G$2,0,IF((E$6-$G$3)&lt;1,0,IFERROR(LOOKUP(2,1/(Trigo!$E14:INDEX(Trigo!$E14:$Z14,MIN(E$6-$G$3,22))&lt;&gt;""),Trigo!$E14:INDEX(Trigo!$E14:$Z14,MIN(E$6-$G$3,22))),0)))))</f>
        <v>0</v>
      </c>
      <c r="F16" s="27" t="n">
        <f aca="false">IF(COUNT(Trigo!$E14:$Z14)=0,0,MAX(0,IF((F$6-$E$3)&lt;1,0,IFERROR(LOOKUP(2,1/(Trigo!$E14:INDEX(Trigo!$E14:$Z14,MIN(F$6-$E$3,22))&lt;&gt;""),Trigo!$E14:INDEX(Trigo!$E14:$Z14,MIN(F$6-$E$3,22))),0))-IF($G$2,0,IF((F$6-$G$3)&lt;1,0,IFERROR(LOOKUP(2,1/(Trigo!$E14:INDEX(Trigo!$E14:$Z14,MIN(F$6-$G$3,22))&lt;&gt;""),Trigo!$E14:INDEX(Trigo!$E14:$Z14,MIN(F$6-$G$3,22))),0)))))</f>
        <v>0</v>
      </c>
      <c r="G16" s="27" t="n">
        <f aca="false">IF(COUNT(Trigo!$E14:$Z14)=0,0,MAX(0,IF((G$6-$E$3)&lt;1,0,IFERROR(LOOKUP(2,1/(Trigo!$E14:INDEX(Trigo!$E14:$Z14,MIN(G$6-$E$3,22))&lt;&gt;""),Trigo!$E14:INDEX(Trigo!$E14:$Z14,MIN(G$6-$E$3,22))),0))-IF($G$2,0,IF((G$6-$G$3)&lt;1,0,IFERROR(LOOKUP(2,1/(Trigo!$E14:INDEX(Trigo!$E14:$Z14,MIN(G$6-$G$3,22))&lt;&gt;""),Trigo!$E14:INDEX(Trigo!$E14:$Z14,MIN(G$6-$G$3,22))),0)))))</f>
        <v>0</v>
      </c>
      <c r="H16" s="27" t="n">
        <f aca="false">IF(COUNT(Trigo!$E14:$Z14)=0,0,MAX(0,IF((H$6-$E$3)&lt;1,0,IFERROR(LOOKUP(2,1/(Trigo!$E14:INDEX(Trigo!$E14:$Z14,MIN(H$6-$E$3,22))&lt;&gt;""),Trigo!$E14:INDEX(Trigo!$E14:$Z14,MIN(H$6-$E$3,22))),0))-IF($G$2,0,IF((H$6-$G$3)&lt;1,0,IFERROR(LOOKUP(2,1/(Trigo!$E14:INDEX(Trigo!$E14:$Z14,MIN(H$6-$G$3,22))&lt;&gt;""),Trigo!$E14:INDEX(Trigo!$E14:$Z14,MIN(H$6-$G$3,22))),0)))))</f>
        <v>0</v>
      </c>
      <c r="I16" s="27" t="n">
        <f aca="false">IF(COUNT(Trigo!$E14:$Z14)=0,0,MAX(0,IF((I$6-$E$3)&lt;1,0,IFERROR(LOOKUP(2,1/(Trigo!$E14:INDEX(Trigo!$E14:$Z14,MIN(I$6-$E$3,22))&lt;&gt;""),Trigo!$E14:INDEX(Trigo!$E14:$Z14,MIN(I$6-$E$3,22))),0))-IF($G$2,0,IF((I$6-$G$3)&lt;1,0,IFERROR(LOOKUP(2,1/(Trigo!$E14:INDEX(Trigo!$E14:$Z14,MIN(I$6-$G$3,22))&lt;&gt;""),Trigo!$E14:INDEX(Trigo!$E14:$Z14,MIN(I$6-$G$3,22))),0)))))</f>
        <v>0</v>
      </c>
      <c r="J16" s="27" t="n">
        <f aca="false">IF(COUNT(Trigo!$E14:$Z14)=0,0,MAX(0,IF((J$6-$E$3)&lt;1,0,IFERROR(LOOKUP(2,1/(Trigo!$E14:INDEX(Trigo!$E14:$Z14,MIN(J$6-$E$3,22))&lt;&gt;""),Trigo!$E14:INDEX(Trigo!$E14:$Z14,MIN(J$6-$E$3,22))),0))-IF($G$2,0,IF((J$6-$G$3)&lt;1,0,IFERROR(LOOKUP(2,1/(Trigo!$E14:INDEX(Trigo!$E14:$Z14,MIN(J$6-$G$3,22))&lt;&gt;""),Trigo!$E14:INDEX(Trigo!$E14:$Z14,MIN(J$6-$G$3,22))),0)))))</f>
        <v>0</v>
      </c>
      <c r="K16" s="27" t="n">
        <f aca="false">IF(COUNT(Trigo!$E14:$Z14)=0,0,MAX(0,IF((K$6-$E$3)&lt;1,0,IFERROR(LOOKUP(2,1/(Trigo!$E14:INDEX(Trigo!$E14:$Z14,MIN(K$6-$E$3,22))&lt;&gt;""),Trigo!$E14:INDEX(Trigo!$E14:$Z14,MIN(K$6-$E$3,22))),0))-IF($G$2,0,IF((K$6-$G$3)&lt;1,0,IFERROR(LOOKUP(2,1/(Trigo!$E14:INDEX(Trigo!$E14:$Z14,MIN(K$6-$G$3,22))&lt;&gt;""),Trigo!$E14:INDEX(Trigo!$E14:$Z14,MIN(K$6-$G$3,22))),0)))))</f>
        <v>0</v>
      </c>
      <c r="L16" s="27" t="n">
        <f aca="false">IF(COUNT(Trigo!$E14:$Z14)=0,0,MAX(0,IF((L$6-$E$3)&lt;1,0,IFERROR(LOOKUP(2,1/(Trigo!$E14:INDEX(Trigo!$E14:$Z14,MIN(L$6-$E$3,22))&lt;&gt;""),Trigo!$E14:INDEX(Trigo!$E14:$Z14,MIN(L$6-$E$3,22))),0))-IF($G$2,0,IF((L$6-$G$3)&lt;1,0,IFERROR(LOOKUP(2,1/(Trigo!$E14:INDEX(Trigo!$E14:$Z14,MIN(L$6-$G$3,22))&lt;&gt;""),Trigo!$E14:INDEX(Trigo!$E14:$Z14,MIN(L$6-$G$3,22))),0)))))</f>
        <v>0</v>
      </c>
      <c r="M16" s="27" t="n">
        <f aca="false">IF(COUNT(Trigo!$E14:$Z14)=0,0,MAX(0,IF((M$6-$E$3)&lt;1,0,IFERROR(LOOKUP(2,1/(Trigo!$E14:INDEX(Trigo!$E14:$Z14,MIN(M$6-$E$3,22))&lt;&gt;""),Trigo!$E14:INDEX(Trigo!$E14:$Z14,MIN(M$6-$E$3,22))),0))-IF($G$2,0,IF((M$6-$G$3)&lt;1,0,IFERROR(LOOKUP(2,1/(Trigo!$E14:INDEX(Trigo!$E14:$Z14,MIN(M$6-$G$3,22))&lt;&gt;""),Trigo!$E14:INDEX(Trigo!$E14:$Z14,MIN(M$6-$G$3,22))),0)))))</f>
        <v>0</v>
      </c>
      <c r="N16" s="27" t="n">
        <f aca="false">IF(COUNT(Trigo!$E14:$Z14)=0,0,MAX(0,IF((N$6-$E$3)&lt;1,0,IFERROR(LOOKUP(2,1/(Trigo!$E14:INDEX(Trigo!$E14:$Z14,MIN(N$6-$E$3,22))&lt;&gt;""),Trigo!$E14:INDEX(Trigo!$E14:$Z14,MIN(N$6-$E$3,22))),0))-IF($G$2,0,IF((N$6-$G$3)&lt;1,0,IFERROR(LOOKUP(2,1/(Trigo!$E14:INDEX(Trigo!$E14:$Z14,MIN(N$6-$G$3,22))&lt;&gt;""),Trigo!$E14:INDEX(Trigo!$E14:$Z14,MIN(N$6-$G$3,22))),0)))))</f>
        <v>0</v>
      </c>
      <c r="O16" s="27" t="n">
        <f aca="false">IF(COUNT(Trigo!$E14:$Z14)=0,0,MAX(0,IF((O$6-$E$3)&lt;1,0,IFERROR(LOOKUP(2,1/(Trigo!$E14:INDEX(Trigo!$E14:$Z14,MIN(O$6-$E$3,22))&lt;&gt;""),Trigo!$E14:INDEX(Trigo!$E14:$Z14,MIN(O$6-$E$3,22))),0))-IF($G$2,0,IF((O$6-$G$3)&lt;1,0,IFERROR(LOOKUP(2,1/(Trigo!$E14:INDEX(Trigo!$E14:$Z14,MIN(O$6-$G$3,22))&lt;&gt;""),Trigo!$E14:INDEX(Trigo!$E14:$Z14,MIN(O$6-$G$3,22))),0)))))</f>
        <v>0</v>
      </c>
      <c r="P16" s="27" t="n">
        <f aca="false">IF(COUNT(Trigo!$E14:$Z14)=0,0,MAX(0,IF((P$6-$E$3)&lt;1,0,IFERROR(LOOKUP(2,1/(Trigo!$E14:INDEX(Trigo!$E14:$Z14,MIN(P$6-$E$3,22))&lt;&gt;""),Trigo!$E14:INDEX(Trigo!$E14:$Z14,MIN(P$6-$E$3,22))),0))-IF($G$2,0,IF((P$6-$G$3)&lt;1,0,IFERROR(LOOKUP(2,1/(Trigo!$E14:INDEX(Trigo!$E14:$Z14,MIN(P$6-$G$3,22))&lt;&gt;""),Trigo!$E14:INDEX(Trigo!$E14:$Z14,MIN(P$6-$G$3,22))),0)))))</f>
        <v>0</v>
      </c>
      <c r="Q16" s="27" t="n">
        <f aca="false">IF(COUNT(Trigo!$E14:$Z14)=0,0,MAX(0,IF((Q$6-$E$3)&lt;1,0,IFERROR(LOOKUP(2,1/(Trigo!$E14:INDEX(Trigo!$E14:$Z14,MIN(Q$6-$E$3,22))&lt;&gt;""),Trigo!$E14:INDEX(Trigo!$E14:$Z14,MIN(Q$6-$E$3,22))),0))-IF($G$2,0,IF((Q$6-$G$3)&lt;1,0,IFERROR(LOOKUP(2,1/(Trigo!$E14:INDEX(Trigo!$E14:$Z14,MIN(Q$6-$G$3,22))&lt;&gt;""),Trigo!$E14:INDEX(Trigo!$E14:$Z14,MIN(Q$6-$G$3,22))),0)))))</f>
        <v>0</v>
      </c>
      <c r="R16" s="27" t="n">
        <f aca="false">IF(COUNT(Trigo!$E14:$Z14)=0,0,MAX(0,IF((R$6-$E$3)&lt;1,0,IFERROR(LOOKUP(2,1/(Trigo!$E14:INDEX(Trigo!$E14:$Z14,MIN(R$6-$E$3,22))&lt;&gt;""),Trigo!$E14:INDEX(Trigo!$E14:$Z14,MIN(R$6-$E$3,22))),0))-IF($G$2,0,IF((R$6-$G$3)&lt;1,0,IFERROR(LOOKUP(2,1/(Trigo!$E14:INDEX(Trigo!$E14:$Z14,MIN(R$6-$G$3,22))&lt;&gt;""),Trigo!$E14:INDEX(Trigo!$E14:$Z14,MIN(R$6-$G$3,22))),0)))))</f>
        <v>0</v>
      </c>
      <c r="S16" s="27" t="n">
        <f aca="false">IF(COUNT(Trigo!$E14:$Z14)=0,0,MAX(0,IF((S$6-$E$3)&lt;1,0,IFERROR(LOOKUP(2,1/(Trigo!$E14:INDEX(Trigo!$E14:$Z14,MIN(S$6-$E$3,22))&lt;&gt;""),Trigo!$E14:INDEX(Trigo!$E14:$Z14,MIN(S$6-$E$3,22))),0))-IF($G$2,0,IF((S$6-$G$3)&lt;1,0,IFERROR(LOOKUP(2,1/(Trigo!$E14:INDEX(Trigo!$E14:$Z14,MIN(S$6-$G$3,22))&lt;&gt;""),Trigo!$E14:INDEX(Trigo!$E14:$Z14,MIN(S$6-$G$3,22))),0)))))</f>
        <v>0</v>
      </c>
      <c r="T16" s="27" t="n">
        <f aca="false">IF(COUNT(Trigo!$E14:$Z14)=0,0,MAX(0,IF((T$6-$E$3)&lt;1,0,IFERROR(LOOKUP(2,1/(Trigo!$E14:INDEX(Trigo!$E14:$Z14,MIN(T$6-$E$3,22))&lt;&gt;""),Trigo!$E14:INDEX(Trigo!$E14:$Z14,MIN(T$6-$E$3,22))),0))-IF($G$2,0,IF((T$6-$G$3)&lt;1,0,IFERROR(LOOKUP(2,1/(Trigo!$E14:INDEX(Trigo!$E14:$Z14,MIN(T$6-$G$3,22))&lt;&gt;""),Trigo!$E14:INDEX(Trigo!$E14:$Z14,MIN(T$6-$G$3,22))),0)))))</f>
        <v>0</v>
      </c>
      <c r="U16" s="27" t="n">
        <f aca="false">IF(COUNT(Trigo!$E14:$Z14)=0,0,MAX(0,IF((U$6-$E$3)&lt;1,0,IFERROR(LOOKUP(2,1/(Trigo!$E14:INDEX(Trigo!$E14:$Z14,MIN(U$6-$E$3,22))&lt;&gt;""),Trigo!$E14:INDEX(Trigo!$E14:$Z14,MIN(U$6-$E$3,22))),0))-IF($G$2,0,IF((U$6-$G$3)&lt;1,0,IFERROR(LOOKUP(2,1/(Trigo!$E14:INDEX(Trigo!$E14:$Z14,MIN(U$6-$G$3,22))&lt;&gt;""),Trigo!$E14:INDEX(Trigo!$E14:$Z14,MIN(U$6-$G$3,22))),0)))))</f>
        <v>0</v>
      </c>
      <c r="V16" s="27" t="n">
        <f aca="false">IF(COUNT(Trigo!$E14:$Z14)=0,0,MAX(0,IF((V$6-$E$3)&lt;1,0,IFERROR(LOOKUP(2,1/(Trigo!$E14:INDEX(Trigo!$E14:$Z14,MIN(V$6-$E$3,22))&lt;&gt;""),Trigo!$E14:INDEX(Trigo!$E14:$Z14,MIN(V$6-$E$3,22))),0))-IF($G$2,0,IF((V$6-$G$3)&lt;1,0,IFERROR(LOOKUP(2,1/(Trigo!$E14:INDEX(Trigo!$E14:$Z14,MIN(V$6-$G$3,22))&lt;&gt;""),Trigo!$E14:INDEX(Trigo!$E14:$Z14,MIN(V$6-$G$3,22))),0)))))</f>
        <v>0</v>
      </c>
      <c r="W16" s="27" t="n">
        <f aca="false">IF(COUNT(Trigo!$E14:$Z14)=0,0,MAX(0,IF((W$6-$E$3)&lt;1,0,IFERROR(LOOKUP(2,1/(Trigo!$E14:INDEX(Trigo!$E14:$Z14,MIN(W$6-$E$3,22))&lt;&gt;""),Trigo!$E14:INDEX(Trigo!$E14:$Z14,MIN(W$6-$E$3,22))),0))-IF($G$2,0,IF((W$6-$G$3)&lt;1,0,IFERROR(LOOKUP(2,1/(Trigo!$E14:INDEX(Trigo!$E14:$Z14,MIN(W$6-$G$3,22))&lt;&gt;""),Trigo!$E14:INDEX(Trigo!$E14:$Z14,MIN(W$6-$G$3,22))),0)))))</f>
        <v>0</v>
      </c>
      <c r="X16" s="27" t="n">
        <f aca="false">IF(COUNT(Trigo!$E14:$Z14)=0,0,MAX(0,IF((X$6-$E$3)&lt;1,0,IFERROR(LOOKUP(2,1/(Trigo!$E14:INDEX(Trigo!$E14:$Z14,MIN(X$6-$E$3,22))&lt;&gt;""),Trigo!$E14:INDEX(Trigo!$E14:$Z14,MIN(X$6-$E$3,22))),0))-IF($G$2,0,IF((X$6-$G$3)&lt;1,0,IFERROR(LOOKUP(2,1/(Trigo!$E14:INDEX(Trigo!$E14:$Z14,MIN(X$6-$G$3,22))&lt;&gt;""),Trigo!$E14:INDEX(Trigo!$E14:$Z14,MIN(X$6-$G$3,22))),0)))))</f>
        <v>0</v>
      </c>
      <c r="Y16" s="27" t="n">
        <f aca="false">IF(COUNT(Trigo!$E14:$Z14)=0,0,MAX(0,IF((Y$6-$E$3)&lt;1,0,IFERROR(LOOKUP(2,1/(Trigo!$E14:INDEX(Trigo!$E14:$Z14,MIN(Y$6-$E$3,22))&lt;&gt;""),Trigo!$E14:INDEX(Trigo!$E14:$Z14,MIN(Y$6-$E$3,22))),0))-IF($G$2,0,IF((Y$6-$G$3)&lt;1,0,IFERROR(LOOKUP(2,1/(Trigo!$E14:INDEX(Trigo!$E14:$Z14,MIN(Y$6-$G$3,22))&lt;&gt;""),Trigo!$E14:INDEX(Trigo!$E14:$Z14,MIN(Y$6-$G$3,22))),0)))))</f>
        <v>0</v>
      </c>
      <c r="Z16" s="27" t="n">
        <f aca="false">IF(COUNT(Trigo!$E14:$Z14)=0,0,MAX(0,IF((Z$6-$E$3)&lt;1,0,IFERROR(LOOKUP(2,1/(Trigo!$E14:INDEX(Trigo!$E14:$Z14,MIN(Z$6-$E$3,22))&lt;&gt;""),Trigo!$E14:INDEX(Trigo!$E14:$Z14,MIN(Z$6-$E$3,22))),0))-IF($G$2,0,IF((Z$6-$G$3)&lt;1,0,IFERROR(LOOKUP(2,1/(Trigo!$E14:INDEX(Trigo!$E14:$Z14,MIN(Z$6-$G$3,22))&lt;&gt;""),Trigo!$E14:INDEX(Trigo!$E14:$Z14,MIN(Z$6-$G$3,22))),0)))))</f>
        <v>0</v>
      </c>
      <c r="AA16" s="27" t="n">
        <f aca="false">IF(COUNT(Trigo!$E14:$Z14)=0,0,MAX(0,IF((AA$6-$E$3)&lt;1,0,IFERROR(LOOKUP(2,1/(Trigo!$E14:INDEX(Trigo!$E14:$Z14,MIN(AA$6-$E$3,22))&lt;&gt;""),Trigo!$E14:INDEX(Trigo!$E14:$Z14,MIN(AA$6-$E$3,22))),0))-IF($G$2,0,IF((AA$6-$G$3)&lt;1,0,IFERROR(LOOKUP(2,1/(Trigo!$E14:INDEX(Trigo!$E14:$Z14,MIN(AA$6-$G$3,22))&lt;&gt;""),Trigo!$E14:INDEX(Trigo!$E14:$Z14,MIN(AA$6-$G$3,22))),0)))))</f>
        <v>0</v>
      </c>
      <c r="AB16" s="27" t="n">
        <f aca="false">IF(COUNT(Trigo!$E14:$Z14)=0,0,MAX(0,IF((AB$6-$E$3)&lt;1,0,IFERROR(LOOKUP(2,1/(Trigo!$E14:INDEX(Trigo!$E14:$Z14,MIN(AB$6-$E$3,22))&lt;&gt;""),Trigo!$E14:INDEX(Trigo!$E14:$Z14,MIN(AB$6-$E$3,22))),0))-IF($G$2,0,IF((AB$6-$G$3)&lt;1,0,IFERROR(LOOKUP(2,1/(Trigo!$E14:INDEX(Trigo!$E14:$Z14,MIN(AB$6-$G$3,22))&lt;&gt;""),Trigo!$E14:INDEX(Trigo!$E14:$Z14,MIN(AB$6-$G$3,22))),0)))))</f>
        <v>0</v>
      </c>
      <c r="AC16" s="27" t="n">
        <f aca="false">IF(COUNT(Trigo!$E14:$Z14)=0,0,MAX(0,IF((AC$6-$E$3)&lt;1,0,IFERROR(LOOKUP(2,1/(Trigo!$E14:INDEX(Trigo!$E14:$Z14,MIN(AC$6-$E$3,22))&lt;&gt;""),Trigo!$E14:INDEX(Trigo!$E14:$Z14,MIN(AC$6-$E$3,22))),0))-IF($G$2,0,IF((AC$6-$G$3)&lt;1,0,IFERROR(LOOKUP(2,1/(Trigo!$E14:INDEX(Trigo!$E14:$Z14,MIN(AC$6-$G$3,22))&lt;&gt;""),Trigo!$E14:INDEX(Trigo!$E14:$Z14,MIN(AC$6-$G$3,22))),0)))))</f>
        <v>0</v>
      </c>
      <c r="AD16" s="27" t="n">
        <f aca="false">IF(COUNT(Trigo!$E14:$Z14)=0,0,MAX(0,IF((AD$6-$E$3)&lt;1,0,IFERROR(LOOKUP(2,1/(Trigo!$E14:INDEX(Trigo!$E14:$Z14,MIN(AD$6-$E$3,22))&lt;&gt;""),Trigo!$E14:INDEX(Trigo!$E14:$Z14,MIN(AD$6-$E$3,22))),0))-IF($G$2,0,IF((AD$6-$G$3)&lt;1,0,IFERROR(LOOKUP(2,1/(Trigo!$E14:INDEX(Trigo!$E14:$Z14,MIN(AD$6-$G$3,22))&lt;&gt;""),Trigo!$E14:INDEX(Trigo!$E14:$Z14,MIN(AD$6-$G$3,22))),0)))))</f>
        <v>0</v>
      </c>
      <c r="AE16" s="27" t="n">
        <f aca="false">IF(COUNT(Trigo!$E14:$Z14)=0,0,MAX(0,IF((AE$6-$E$3)&lt;1,0,IFERROR(LOOKUP(2,1/(Trigo!$E14:INDEX(Trigo!$E14:$Z14,MIN(AE$6-$E$3,22))&lt;&gt;""),Trigo!$E14:INDEX(Trigo!$E14:$Z14,MIN(AE$6-$E$3,22))),0))-IF($G$2,0,IF((AE$6-$G$3)&lt;1,0,IFERROR(LOOKUP(2,1/(Trigo!$E14:INDEX(Trigo!$E14:$Z14,MIN(AE$6-$G$3,22))&lt;&gt;""),Trigo!$E14:INDEX(Trigo!$E14:$Z14,MIN(AE$6-$G$3,22))),0)))))</f>
        <v>0</v>
      </c>
      <c r="AF16" s="27" t="n">
        <f aca="false">IF(COUNT(Trigo!$E14:$Z14)=0,0,MAX(0,IF((AF$6-$E$3)&lt;1,0,IFERROR(LOOKUP(2,1/(Trigo!$E14:INDEX(Trigo!$E14:$Z14,MIN(AF$6-$E$3,22))&lt;&gt;""),Trigo!$E14:INDEX(Trigo!$E14:$Z14,MIN(AF$6-$E$3,22))),0))-IF($G$2,0,IF((AF$6-$G$3)&lt;1,0,IFERROR(LOOKUP(2,1/(Trigo!$E14:INDEX(Trigo!$E14:$Z14,MIN(AF$6-$G$3,22))&lt;&gt;""),Trigo!$E14:INDEX(Trigo!$E14:$Z14,MIN(AF$6-$G$3,22))),0)))))</f>
        <v>0</v>
      </c>
      <c r="AG16" s="27" t="n">
        <f aca="false">IF(COUNT(Trigo!$E14:$Z14)=0,0,MAX(0,IF((AG$6-$E$3)&lt;1,0,IFERROR(LOOKUP(2,1/(Trigo!$E14:INDEX(Trigo!$E14:$Z14,MIN(AG$6-$E$3,22))&lt;&gt;""),Trigo!$E14:INDEX(Trigo!$E14:$Z14,MIN(AG$6-$E$3,22))),0))-IF($G$2,0,IF((AG$6-$G$3)&lt;1,0,IFERROR(LOOKUP(2,1/(Trigo!$E14:INDEX(Trigo!$E14:$Z14,MIN(AG$6-$G$3,22))&lt;&gt;""),Trigo!$E14:INDEX(Trigo!$E14:$Z14,MIN(AG$6-$G$3,22))),0)))))</f>
        <v>0</v>
      </c>
      <c r="AH16" s="27" t="n">
        <f aca="false">IF(COUNT(Trigo!$E14:$Z14)=0,0,MAX(0,IF((AH$6-$E$3)&lt;1,0,IFERROR(LOOKUP(2,1/(Trigo!$E14:INDEX(Trigo!$E14:$Z14,MIN(AH$6-$E$3,22))&lt;&gt;""),Trigo!$E14:INDEX(Trigo!$E14:$Z14,MIN(AH$6-$E$3,22))),0))-IF($G$2,0,IF((AH$6-$G$3)&lt;1,0,IFERROR(LOOKUP(2,1/(Trigo!$E14:INDEX(Trigo!$E14:$Z14,MIN(AH$6-$G$3,22))&lt;&gt;""),Trigo!$E14:INDEX(Trigo!$E14:$Z14,MIN(AH$6-$G$3,22))),0)))))</f>
        <v>0</v>
      </c>
      <c r="AI16" s="27" t="n">
        <f aca="false">IF(COUNT(Trigo!$E14:$Z14)=0,0,MAX(0,IF((AI$6-$E$3)&lt;1,0,IFERROR(LOOKUP(2,1/(Trigo!$E14:INDEX(Trigo!$E14:$Z14,MIN(AI$6-$E$3,22))&lt;&gt;""),Trigo!$E14:INDEX(Trigo!$E14:$Z14,MIN(AI$6-$E$3,22))),0))-IF($G$2,0,IF((AI$6-$G$3)&lt;1,0,IFERROR(LOOKUP(2,1/(Trigo!$E14:INDEX(Trigo!$E14:$Z14,MIN(AI$6-$G$3,22))&lt;&gt;""),Trigo!$E14:INDEX(Trigo!$E14:$Z14,MIN(AI$6-$G$3,22))),0)))))</f>
        <v>0</v>
      </c>
      <c r="AJ16" s="27" t="n">
        <f aca="false">IF(COUNT(Trigo!$E14:$Z14)=0,0,MAX(0,IF((AJ$6-$E$3)&lt;1,0,IFERROR(LOOKUP(2,1/(Trigo!$E14:INDEX(Trigo!$E14:$Z14,MIN(AJ$6-$E$3,22))&lt;&gt;""),Trigo!$E14:INDEX(Trigo!$E14:$Z14,MIN(AJ$6-$E$3,22))),0))-IF($G$2,0,IF((AJ$6-$G$3)&lt;1,0,IFERROR(LOOKUP(2,1/(Trigo!$E14:INDEX(Trigo!$E14:$Z14,MIN(AJ$6-$G$3,22))&lt;&gt;""),Trigo!$E14:INDEX(Trigo!$E14:$Z14,MIN(AJ$6-$G$3,22))),0)))))</f>
        <v>0</v>
      </c>
      <c r="AK16" s="27" t="n">
        <f aca="false">IF(COUNT(Trigo!$E14:$Z14)=0,0,MAX(0,IF((AK$6-$E$3)&lt;1,0,IFERROR(LOOKUP(2,1/(Trigo!$E14:INDEX(Trigo!$E14:$Z14,MIN(AK$6-$E$3,22))&lt;&gt;""),Trigo!$E14:INDEX(Trigo!$E14:$Z14,MIN(AK$6-$E$3,22))),0))-IF($G$2,0,IF((AK$6-$G$3)&lt;1,0,IFERROR(LOOKUP(2,1/(Trigo!$E14:INDEX(Trigo!$E14:$Z14,MIN(AK$6-$G$3,22))&lt;&gt;""),Trigo!$E14:INDEX(Trigo!$E14:$Z14,MIN(AK$6-$G$3,22))),0)))))</f>
        <v>0</v>
      </c>
      <c r="AL16" s="27" t="n">
        <f aca="false">IF(COUNT(Trigo!$E14:$Z14)=0,0,MAX(0,IF((AL$6-$E$3)&lt;1,0,IFERROR(LOOKUP(2,1/(Trigo!$E14:INDEX(Trigo!$E14:$Z14,MIN(AL$6-$E$3,22))&lt;&gt;""),Trigo!$E14:INDEX(Trigo!$E14:$Z14,MIN(AL$6-$E$3,22))),0))-IF($G$2,0,IF((AL$6-$G$3)&lt;1,0,IFERROR(LOOKUP(2,1/(Trigo!$E14:INDEX(Trigo!$E14:$Z14,MIN(AL$6-$G$3,22))&lt;&gt;""),Trigo!$E14:INDEX(Trigo!$E14:$Z14,MIN(AL$6-$G$3,22))),0)))))</f>
        <v>0</v>
      </c>
      <c r="AM16" s="27" t="n">
        <f aca="false">IF(COUNT(Trigo!$E14:$Z14)=0,0,MAX(0,IF((AM$6-$E$3)&lt;1,0,IFERROR(LOOKUP(2,1/(Trigo!$E14:INDEX(Trigo!$E14:$Z14,MIN(AM$6-$E$3,22))&lt;&gt;""),Trigo!$E14:INDEX(Trigo!$E14:$Z14,MIN(AM$6-$E$3,22))),0))-IF($G$2,0,IF((AM$6-$G$3)&lt;1,0,IFERROR(LOOKUP(2,1/(Trigo!$E14:INDEX(Trigo!$E14:$Z14,MIN(AM$6-$G$3,22))&lt;&gt;""),Trigo!$E14:INDEX(Trigo!$E14:$Z14,MIN(AM$6-$G$3,22))),0)))))</f>
        <v>0</v>
      </c>
      <c r="AN16" s="27" t="n">
        <f aca="false">IF(COUNT(Trigo!$E14:$Z14)=0,0,MAX(0,IF((AN$6-$E$3)&lt;1,0,IFERROR(LOOKUP(2,1/(Trigo!$E14:INDEX(Trigo!$E14:$Z14,MIN(AN$6-$E$3,22))&lt;&gt;""),Trigo!$E14:INDEX(Trigo!$E14:$Z14,MIN(AN$6-$E$3,22))),0))-IF($G$2,0,IF((AN$6-$G$3)&lt;1,0,IFERROR(LOOKUP(2,1/(Trigo!$E14:INDEX(Trigo!$E14:$Z14,MIN(AN$6-$G$3,22))&lt;&gt;""),Trigo!$E14:INDEX(Trigo!$E14:$Z14,MIN(AN$6-$G$3,22))),0)))))</f>
        <v>0</v>
      </c>
      <c r="AO16" s="27" t="n">
        <f aca="false">IF(COUNT(Trigo!$E14:$Z14)=0,0,MAX(0,IF((AO$6-$E$3)&lt;1,0,IFERROR(LOOKUP(2,1/(Trigo!$E14:INDEX(Trigo!$E14:$Z14,MIN(AO$6-$E$3,22))&lt;&gt;""),Trigo!$E14:INDEX(Trigo!$E14:$Z14,MIN(AO$6-$E$3,22))),0))-IF($G$2,0,IF((AO$6-$G$3)&lt;1,0,IFERROR(LOOKUP(2,1/(Trigo!$E14:INDEX(Trigo!$E14:$Z14,MIN(AO$6-$G$3,22))&lt;&gt;""),Trigo!$E14:INDEX(Trigo!$E14:$Z14,MIN(AO$6-$G$3,22))),0)))))</f>
        <v>0</v>
      </c>
      <c r="AP16" s="27" t="n">
        <f aca="false">IF(COUNT(Trigo!$E14:$Z14)=0,0,MAX(0,IF((AP$6-$E$3)&lt;1,0,IFERROR(LOOKUP(2,1/(Trigo!$E14:INDEX(Trigo!$E14:$Z14,MIN(AP$6-$E$3,22))&lt;&gt;""),Trigo!$E14:INDEX(Trigo!$E14:$Z14,MIN(AP$6-$E$3,22))),0))-IF($G$2,0,IF((AP$6-$G$3)&lt;1,0,IFERROR(LOOKUP(2,1/(Trigo!$E14:INDEX(Trigo!$E14:$Z14,MIN(AP$6-$G$3,22))&lt;&gt;""),Trigo!$E14:INDEX(Trigo!$E14:$Z14,MIN(AP$6-$G$3,22))),0)))))</f>
        <v>0</v>
      </c>
      <c r="AQ16" s="27" t="n">
        <f aca="false">IF(COUNT(Trigo!$E14:$Z14)=0,0,MAX(0,IF((AQ$6-$E$3)&lt;1,0,IFERROR(LOOKUP(2,1/(Trigo!$E14:INDEX(Trigo!$E14:$Z14,MIN(AQ$6-$E$3,22))&lt;&gt;""),Trigo!$E14:INDEX(Trigo!$E14:$Z14,MIN(AQ$6-$E$3,22))),0))-IF($G$2,0,IF((AQ$6-$G$3)&lt;1,0,IFERROR(LOOKUP(2,1/(Trigo!$E14:INDEX(Trigo!$E14:$Z14,MIN(AQ$6-$G$3,22))&lt;&gt;""),Trigo!$E14:INDEX(Trigo!$E14:$Z14,MIN(AQ$6-$G$3,22))),0)))))</f>
        <v>0</v>
      </c>
      <c r="AR16" s="27" t="n">
        <f aca="false">IF(COUNT(Trigo!$E14:$Z14)=0,0,MAX(0,IF((AR$6-$E$3)&lt;1,0,IFERROR(LOOKUP(2,1/(Trigo!$E14:INDEX(Trigo!$E14:$Z14,MIN(AR$6-$E$3,22))&lt;&gt;""),Trigo!$E14:INDEX(Trigo!$E14:$Z14,MIN(AR$6-$E$3,22))),0))-IF($G$2,0,IF((AR$6-$G$3)&lt;1,0,IFERROR(LOOKUP(2,1/(Trigo!$E14:INDEX(Trigo!$E14:$Z14,MIN(AR$6-$G$3,22))&lt;&gt;""),Trigo!$E14:INDEX(Trigo!$E14:$Z14,MIN(AR$6-$G$3,22))),0)))))</f>
        <v>0</v>
      </c>
      <c r="AS16" s="27" t="n">
        <f aca="false">IF(COUNT(Trigo!$E14:$Z14)=0,0,MAX(0,IF((AS$6-$E$3)&lt;1,0,IFERROR(LOOKUP(2,1/(Trigo!$E14:INDEX(Trigo!$E14:$Z14,MIN(AS$6-$E$3,22))&lt;&gt;""),Trigo!$E14:INDEX(Trigo!$E14:$Z14,MIN(AS$6-$E$3,22))),0))-IF($G$2,0,IF((AS$6-$G$3)&lt;1,0,IFERROR(LOOKUP(2,1/(Trigo!$E14:INDEX(Trigo!$E14:$Z14,MIN(AS$6-$G$3,22))&lt;&gt;""),Trigo!$E14:INDEX(Trigo!$E14:$Z14,MIN(AS$6-$G$3,22))),0)))))</f>
        <v>0</v>
      </c>
      <c r="AT16" s="27" t="n">
        <f aca="false">IF(COUNT(Trigo!$E14:$Z14)=0,0,MAX(0,IF((AT$6-$E$3)&lt;1,0,IFERROR(LOOKUP(2,1/(Trigo!$E14:INDEX(Trigo!$E14:$Z14,MIN(AT$6-$E$3,22))&lt;&gt;""),Trigo!$E14:INDEX(Trigo!$E14:$Z14,MIN(AT$6-$E$3,22))),0))-IF($G$2,0,IF((AT$6-$G$3)&lt;1,0,IFERROR(LOOKUP(2,1/(Trigo!$E14:INDEX(Trigo!$E14:$Z14,MIN(AT$6-$G$3,22))&lt;&gt;""),Trigo!$E14:INDEX(Trigo!$E14:$Z14,MIN(AT$6-$G$3,22))),0)))))</f>
        <v>0</v>
      </c>
      <c r="AU16" s="27" t="n">
        <f aca="false">IF(COUNT(Trigo!$E14:$Z14)=0,0,MAX(0,IF((AU$6-$E$3)&lt;1,0,IFERROR(LOOKUP(2,1/(Trigo!$E14:INDEX(Trigo!$E14:$Z14,MIN(AU$6-$E$3,22))&lt;&gt;""),Trigo!$E14:INDEX(Trigo!$E14:$Z14,MIN(AU$6-$E$3,22))),0))-IF($G$2,0,IF((AU$6-$G$3)&lt;1,0,IFERROR(LOOKUP(2,1/(Trigo!$E14:INDEX(Trigo!$E14:$Z14,MIN(AU$6-$G$3,22))&lt;&gt;""),Trigo!$E14:INDEX(Trigo!$E14:$Z14,MIN(AU$6-$G$3,22))),0)))))</f>
        <v>0</v>
      </c>
      <c r="AV16" s="27" t="n">
        <f aca="false">IF(COUNT(Trigo!$E14:$Z14)=0,0,MAX(0,IF((AV$6-$E$3)&lt;1,0,IFERROR(LOOKUP(2,1/(Trigo!$E14:INDEX(Trigo!$E14:$Z14,MIN(AV$6-$E$3,22))&lt;&gt;""),Trigo!$E14:INDEX(Trigo!$E14:$Z14,MIN(AV$6-$E$3,22))),0))-IF($G$2,0,IF((AV$6-$G$3)&lt;1,0,IFERROR(LOOKUP(2,1/(Trigo!$E14:INDEX(Trigo!$E14:$Z14,MIN(AV$6-$G$3,22))&lt;&gt;""),Trigo!$E14:INDEX(Trigo!$E14:$Z14,MIN(AV$6-$G$3,22))),0)))))</f>
        <v>0</v>
      </c>
      <c r="AW16" s="27" t="n">
        <f aca="false">IF(COUNT(Trigo!$E14:$Z14)=0,0,MAX(0,IF((AW$6-$E$3)&lt;1,0,IFERROR(LOOKUP(2,1/(Trigo!$E14:INDEX(Trigo!$E14:$Z14,MIN(AW$6-$E$3,22))&lt;&gt;""),Trigo!$E14:INDEX(Trigo!$E14:$Z14,MIN(AW$6-$E$3,22))),0))-IF($G$2,0,IF((AW$6-$G$3)&lt;1,0,IFERROR(LOOKUP(2,1/(Trigo!$E14:INDEX(Trigo!$E14:$Z14,MIN(AW$6-$G$3,22))&lt;&gt;""),Trigo!$E14:INDEX(Trigo!$E14:$Z14,MIN(AW$6-$G$3,22))),0)))))</f>
        <v>0</v>
      </c>
      <c r="AX16" s="27" t="n">
        <f aca="false">IF(COUNT(Trigo!$E14:$Z14)=0,0,MAX(0,IF((AX$6-$E$3)&lt;1,0,IFERROR(LOOKUP(2,1/(Trigo!$E14:INDEX(Trigo!$E14:$Z14,MIN(AX$6-$E$3,22))&lt;&gt;""),Trigo!$E14:INDEX(Trigo!$E14:$Z14,MIN(AX$6-$E$3,22))),0))-IF($G$2,0,IF((AX$6-$G$3)&lt;1,0,IFERROR(LOOKUP(2,1/(Trigo!$E14:INDEX(Trigo!$E14:$Z14,MIN(AX$6-$G$3,22))&lt;&gt;""),Trigo!$E14:INDEX(Trigo!$E14:$Z14,MIN(AX$6-$G$3,22))),0)))))</f>
        <v>0</v>
      </c>
      <c r="AY16" s="27" t="n">
        <f aca="false">IF(COUNT(Trigo!$E14:$Z14)=0,0,MAX(0,IF((AY$6-$E$3)&lt;1,0,IFERROR(LOOKUP(2,1/(Trigo!$E14:INDEX(Trigo!$E14:$Z14,MIN(AY$6-$E$3,22))&lt;&gt;""),Trigo!$E14:INDEX(Trigo!$E14:$Z14,MIN(AY$6-$E$3,22))),0))-IF($G$2,0,IF((AY$6-$G$3)&lt;1,0,IFERROR(LOOKUP(2,1/(Trigo!$E14:INDEX(Trigo!$E14:$Z14,MIN(AY$6-$G$3,22))&lt;&gt;""),Trigo!$E14:INDEX(Trigo!$E14:$Z14,MIN(AY$6-$G$3,22))),0)))))</f>
        <v>0</v>
      </c>
      <c r="AZ16" s="27" t="n">
        <f aca="false">IF(COUNT(Trigo!$E14:$Z14)=0,0,MAX(0,IF((AZ$6-$E$3)&lt;1,0,IFERROR(LOOKUP(2,1/(Trigo!$E14:INDEX(Trigo!$E14:$Z14,MIN(AZ$6-$E$3,22))&lt;&gt;""),Trigo!$E14:INDEX(Trigo!$E14:$Z14,MIN(AZ$6-$E$3,22))),0))-IF($G$2,0,IF((AZ$6-$G$3)&lt;1,0,IFERROR(LOOKUP(2,1/(Trigo!$E14:INDEX(Trigo!$E14:$Z14,MIN(AZ$6-$G$3,22))&lt;&gt;""),Trigo!$E14:INDEX(Trigo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IF(COUNT(Trigo!$E15:$Z15)&gt;0,N(Trigo!$D15),0)</f>
        <v>0</v>
      </c>
      <c r="E17" s="27" t="n">
        <f aca="false">IF(COUNT(Trigo!$E15:$Z15)=0,0,MAX(0,IF((E$6-$E$3)&lt;1,0,IFERROR(LOOKUP(2,1/(Trigo!$E15:INDEX(Trigo!$E15:$Z15,MIN(E$6-$E$3,22))&lt;&gt;""),Trigo!$E15:INDEX(Trigo!$E15:$Z15,MIN(E$6-$E$3,22))),0))-IF($G$2,0,IF((E$6-$G$3)&lt;1,0,IFERROR(LOOKUP(2,1/(Trigo!$E15:INDEX(Trigo!$E15:$Z15,MIN(E$6-$G$3,22))&lt;&gt;""),Trigo!$E15:INDEX(Trigo!$E15:$Z15,MIN(E$6-$G$3,22))),0)))))</f>
        <v>0</v>
      </c>
      <c r="F17" s="27" t="n">
        <f aca="false">IF(COUNT(Trigo!$E15:$Z15)=0,0,MAX(0,IF((F$6-$E$3)&lt;1,0,IFERROR(LOOKUP(2,1/(Trigo!$E15:INDEX(Trigo!$E15:$Z15,MIN(F$6-$E$3,22))&lt;&gt;""),Trigo!$E15:INDEX(Trigo!$E15:$Z15,MIN(F$6-$E$3,22))),0))-IF($G$2,0,IF((F$6-$G$3)&lt;1,0,IFERROR(LOOKUP(2,1/(Trigo!$E15:INDEX(Trigo!$E15:$Z15,MIN(F$6-$G$3,22))&lt;&gt;""),Trigo!$E15:INDEX(Trigo!$E15:$Z15,MIN(F$6-$G$3,22))),0)))))</f>
        <v>0</v>
      </c>
      <c r="G17" s="27" t="n">
        <f aca="false">IF(COUNT(Trigo!$E15:$Z15)=0,0,MAX(0,IF((G$6-$E$3)&lt;1,0,IFERROR(LOOKUP(2,1/(Trigo!$E15:INDEX(Trigo!$E15:$Z15,MIN(G$6-$E$3,22))&lt;&gt;""),Trigo!$E15:INDEX(Trigo!$E15:$Z15,MIN(G$6-$E$3,22))),0))-IF($G$2,0,IF((G$6-$G$3)&lt;1,0,IFERROR(LOOKUP(2,1/(Trigo!$E15:INDEX(Trigo!$E15:$Z15,MIN(G$6-$G$3,22))&lt;&gt;""),Trigo!$E15:INDEX(Trigo!$E15:$Z15,MIN(G$6-$G$3,22))),0)))))</f>
        <v>0</v>
      </c>
      <c r="H17" s="27" t="n">
        <f aca="false">IF(COUNT(Trigo!$E15:$Z15)=0,0,MAX(0,IF((H$6-$E$3)&lt;1,0,IFERROR(LOOKUP(2,1/(Trigo!$E15:INDEX(Trigo!$E15:$Z15,MIN(H$6-$E$3,22))&lt;&gt;""),Trigo!$E15:INDEX(Trigo!$E15:$Z15,MIN(H$6-$E$3,22))),0))-IF($G$2,0,IF((H$6-$G$3)&lt;1,0,IFERROR(LOOKUP(2,1/(Trigo!$E15:INDEX(Trigo!$E15:$Z15,MIN(H$6-$G$3,22))&lt;&gt;""),Trigo!$E15:INDEX(Trigo!$E15:$Z15,MIN(H$6-$G$3,22))),0)))))</f>
        <v>0</v>
      </c>
      <c r="I17" s="27" t="n">
        <f aca="false">IF(COUNT(Trigo!$E15:$Z15)=0,0,MAX(0,IF((I$6-$E$3)&lt;1,0,IFERROR(LOOKUP(2,1/(Trigo!$E15:INDEX(Trigo!$E15:$Z15,MIN(I$6-$E$3,22))&lt;&gt;""),Trigo!$E15:INDEX(Trigo!$E15:$Z15,MIN(I$6-$E$3,22))),0))-IF($G$2,0,IF((I$6-$G$3)&lt;1,0,IFERROR(LOOKUP(2,1/(Trigo!$E15:INDEX(Trigo!$E15:$Z15,MIN(I$6-$G$3,22))&lt;&gt;""),Trigo!$E15:INDEX(Trigo!$E15:$Z15,MIN(I$6-$G$3,22))),0)))))</f>
        <v>0</v>
      </c>
      <c r="J17" s="27" t="n">
        <f aca="false">IF(COUNT(Trigo!$E15:$Z15)=0,0,MAX(0,IF((J$6-$E$3)&lt;1,0,IFERROR(LOOKUP(2,1/(Trigo!$E15:INDEX(Trigo!$E15:$Z15,MIN(J$6-$E$3,22))&lt;&gt;""),Trigo!$E15:INDEX(Trigo!$E15:$Z15,MIN(J$6-$E$3,22))),0))-IF($G$2,0,IF((J$6-$G$3)&lt;1,0,IFERROR(LOOKUP(2,1/(Trigo!$E15:INDEX(Trigo!$E15:$Z15,MIN(J$6-$G$3,22))&lt;&gt;""),Trigo!$E15:INDEX(Trigo!$E15:$Z15,MIN(J$6-$G$3,22))),0)))))</f>
        <v>0</v>
      </c>
      <c r="K17" s="27" t="n">
        <f aca="false">IF(COUNT(Trigo!$E15:$Z15)=0,0,MAX(0,IF((K$6-$E$3)&lt;1,0,IFERROR(LOOKUP(2,1/(Trigo!$E15:INDEX(Trigo!$E15:$Z15,MIN(K$6-$E$3,22))&lt;&gt;""),Trigo!$E15:INDEX(Trigo!$E15:$Z15,MIN(K$6-$E$3,22))),0))-IF($G$2,0,IF((K$6-$G$3)&lt;1,0,IFERROR(LOOKUP(2,1/(Trigo!$E15:INDEX(Trigo!$E15:$Z15,MIN(K$6-$G$3,22))&lt;&gt;""),Trigo!$E15:INDEX(Trigo!$E15:$Z15,MIN(K$6-$G$3,22))),0)))))</f>
        <v>0</v>
      </c>
      <c r="L17" s="27" t="n">
        <f aca="false">IF(COUNT(Trigo!$E15:$Z15)=0,0,MAX(0,IF((L$6-$E$3)&lt;1,0,IFERROR(LOOKUP(2,1/(Trigo!$E15:INDEX(Trigo!$E15:$Z15,MIN(L$6-$E$3,22))&lt;&gt;""),Trigo!$E15:INDEX(Trigo!$E15:$Z15,MIN(L$6-$E$3,22))),0))-IF($G$2,0,IF((L$6-$G$3)&lt;1,0,IFERROR(LOOKUP(2,1/(Trigo!$E15:INDEX(Trigo!$E15:$Z15,MIN(L$6-$G$3,22))&lt;&gt;""),Trigo!$E15:INDEX(Trigo!$E15:$Z15,MIN(L$6-$G$3,22))),0)))))</f>
        <v>0</v>
      </c>
      <c r="M17" s="27" t="n">
        <f aca="false">IF(COUNT(Trigo!$E15:$Z15)=0,0,MAX(0,IF((M$6-$E$3)&lt;1,0,IFERROR(LOOKUP(2,1/(Trigo!$E15:INDEX(Trigo!$E15:$Z15,MIN(M$6-$E$3,22))&lt;&gt;""),Trigo!$E15:INDEX(Trigo!$E15:$Z15,MIN(M$6-$E$3,22))),0))-IF($G$2,0,IF((M$6-$G$3)&lt;1,0,IFERROR(LOOKUP(2,1/(Trigo!$E15:INDEX(Trigo!$E15:$Z15,MIN(M$6-$G$3,22))&lt;&gt;""),Trigo!$E15:INDEX(Trigo!$E15:$Z15,MIN(M$6-$G$3,22))),0)))))</f>
        <v>0</v>
      </c>
      <c r="N17" s="27" t="n">
        <f aca="false">IF(COUNT(Trigo!$E15:$Z15)=0,0,MAX(0,IF((N$6-$E$3)&lt;1,0,IFERROR(LOOKUP(2,1/(Trigo!$E15:INDEX(Trigo!$E15:$Z15,MIN(N$6-$E$3,22))&lt;&gt;""),Trigo!$E15:INDEX(Trigo!$E15:$Z15,MIN(N$6-$E$3,22))),0))-IF($G$2,0,IF((N$6-$G$3)&lt;1,0,IFERROR(LOOKUP(2,1/(Trigo!$E15:INDEX(Trigo!$E15:$Z15,MIN(N$6-$G$3,22))&lt;&gt;""),Trigo!$E15:INDEX(Trigo!$E15:$Z15,MIN(N$6-$G$3,22))),0)))))</f>
        <v>0</v>
      </c>
      <c r="O17" s="27" t="n">
        <f aca="false">IF(COUNT(Trigo!$E15:$Z15)=0,0,MAX(0,IF((O$6-$E$3)&lt;1,0,IFERROR(LOOKUP(2,1/(Trigo!$E15:INDEX(Trigo!$E15:$Z15,MIN(O$6-$E$3,22))&lt;&gt;""),Trigo!$E15:INDEX(Trigo!$E15:$Z15,MIN(O$6-$E$3,22))),0))-IF($G$2,0,IF((O$6-$G$3)&lt;1,0,IFERROR(LOOKUP(2,1/(Trigo!$E15:INDEX(Trigo!$E15:$Z15,MIN(O$6-$G$3,22))&lt;&gt;""),Trigo!$E15:INDEX(Trigo!$E15:$Z15,MIN(O$6-$G$3,22))),0)))))</f>
        <v>0</v>
      </c>
      <c r="P17" s="27" t="n">
        <f aca="false">IF(COUNT(Trigo!$E15:$Z15)=0,0,MAX(0,IF((P$6-$E$3)&lt;1,0,IFERROR(LOOKUP(2,1/(Trigo!$E15:INDEX(Trigo!$E15:$Z15,MIN(P$6-$E$3,22))&lt;&gt;""),Trigo!$E15:INDEX(Trigo!$E15:$Z15,MIN(P$6-$E$3,22))),0))-IF($G$2,0,IF((P$6-$G$3)&lt;1,0,IFERROR(LOOKUP(2,1/(Trigo!$E15:INDEX(Trigo!$E15:$Z15,MIN(P$6-$G$3,22))&lt;&gt;""),Trigo!$E15:INDEX(Trigo!$E15:$Z15,MIN(P$6-$G$3,22))),0)))))</f>
        <v>0</v>
      </c>
      <c r="Q17" s="27" t="n">
        <f aca="false">IF(COUNT(Trigo!$E15:$Z15)=0,0,MAX(0,IF((Q$6-$E$3)&lt;1,0,IFERROR(LOOKUP(2,1/(Trigo!$E15:INDEX(Trigo!$E15:$Z15,MIN(Q$6-$E$3,22))&lt;&gt;""),Trigo!$E15:INDEX(Trigo!$E15:$Z15,MIN(Q$6-$E$3,22))),0))-IF($G$2,0,IF((Q$6-$G$3)&lt;1,0,IFERROR(LOOKUP(2,1/(Trigo!$E15:INDEX(Trigo!$E15:$Z15,MIN(Q$6-$G$3,22))&lt;&gt;""),Trigo!$E15:INDEX(Trigo!$E15:$Z15,MIN(Q$6-$G$3,22))),0)))))</f>
        <v>0</v>
      </c>
      <c r="R17" s="27" t="n">
        <f aca="false">IF(COUNT(Trigo!$E15:$Z15)=0,0,MAX(0,IF((R$6-$E$3)&lt;1,0,IFERROR(LOOKUP(2,1/(Trigo!$E15:INDEX(Trigo!$E15:$Z15,MIN(R$6-$E$3,22))&lt;&gt;""),Trigo!$E15:INDEX(Trigo!$E15:$Z15,MIN(R$6-$E$3,22))),0))-IF($G$2,0,IF((R$6-$G$3)&lt;1,0,IFERROR(LOOKUP(2,1/(Trigo!$E15:INDEX(Trigo!$E15:$Z15,MIN(R$6-$G$3,22))&lt;&gt;""),Trigo!$E15:INDEX(Trigo!$E15:$Z15,MIN(R$6-$G$3,22))),0)))))</f>
        <v>0</v>
      </c>
      <c r="S17" s="27" t="n">
        <f aca="false">IF(COUNT(Trigo!$E15:$Z15)=0,0,MAX(0,IF((S$6-$E$3)&lt;1,0,IFERROR(LOOKUP(2,1/(Trigo!$E15:INDEX(Trigo!$E15:$Z15,MIN(S$6-$E$3,22))&lt;&gt;""),Trigo!$E15:INDEX(Trigo!$E15:$Z15,MIN(S$6-$E$3,22))),0))-IF($G$2,0,IF((S$6-$G$3)&lt;1,0,IFERROR(LOOKUP(2,1/(Trigo!$E15:INDEX(Trigo!$E15:$Z15,MIN(S$6-$G$3,22))&lt;&gt;""),Trigo!$E15:INDEX(Trigo!$E15:$Z15,MIN(S$6-$G$3,22))),0)))))</f>
        <v>0</v>
      </c>
      <c r="T17" s="27" t="n">
        <f aca="false">IF(COUNT(Trigo!$E15:$Z15)=0,0,MAX(0,IF((T$6-$E$3)&lt;1,0,IFERROR(LOOKUP(2,1/(Trigo!$E15:INDEX(Trigo!$E15:$Z15,MIN(T$6-$E$3,22))&lt;&gt;""),Trigo!$E15:INDEX(Trigo!$E15:$Z15,MIN(T$6-$E$3,22))),0))-IF($G$2,0,IF((T$6-$G$3)&lt;1,0,IFERROR(LOOKUP(2,1/(Trigo!$E15:INDEX(Trigo!$E15:$Z15,MIN(T$6-$G$3,22))&lt;&gt;""),Trigo!$E15:INDEX(Trigo!$E15:$Z15,MIN(T$6-$G$3,22))),0)))))</f>
        <v>0</v>
      </c>
      <c r="U17" s="27" t="n">
        <f aca="false">IF(COUNT(Trigo!$E15:$Z15)=0,0,MAX(0,IF((U$6-$E$3)&lt;1,0,IFERROR(LOOKUP(2,1/(Trigo!$E15:INDEX(Trigo!$E15:$Z15,MIN(U$6-$E$3,22))&lt;&gt;""),Trigo!$E15:INDEX(Trigo!$E15:$Z15,MIN(U$6-$E$3,22))),0))-IF($G$2,0,IF((U$6-$G$3)&lt;1,0,IFERROR(LOOKUP(2,1/(Trigo!$E15:INDEX(Trigo!$E15:$Z15,MIN(U$6-$G$3,22))&lt;&gt;""),Trigo!$E15:INDEX(Trigo!$E15:$Z15,MIN(U$6-$G$3,22))),0)))))</f>
        <v>0</v>
      </c>
      <c r="V17" s="27" t="n">
        <f aca="false">IF(COUNT(Trigo!$E15:$Z15)=0,0,MAX(0,IF((V$6-$E$3)&lt;1,0,IFERROR(LOOKUP(2,1/(Trigo!$E15:INDEX(Trigo!$E15:$Z15,MIN(V$6-$E$3,22))&lt;&gt;""),Trigo!$E15:INDEX(Trigo!$E15:$Z15,MIN(V$6-$E$3,22))),0))-IF($G$2,0,IF((V$6-$G$3)&lt;1,0,IFERROR(LOOKUP(2,1/(Trigo!$E15:INDEX(Trigo!$E15:$Z15,MIN(V$6-$G$3,22))&lt;&gt;""),Trigo!$E15:INDEX(Trigo!$E15:$Z15,MIN(V$6-$G$3,22))),0)))))</f>
        <v>0</v>
      </c>
      <c r="W17" s="27" t="n">
        <f aca="false">IF(COUNT(Trigo!$E15:$Z15)=0,0,MAX(0,IF((W$6-$E$3)&lt;1,0,IFERROR(LOOKUP(2,1/(Trigo!$E15:INDEX(Trigo!$E15:$Z15,MIN(W$6-$E$3,22))&lt;&gt;""),Trigo!$E15:INDEX(Trigo!$E15:$Z15,MIN(W$6-$E$3,22))),0))-IF($G$2,0,IF((W$6-$G$3)&lt;1,0,IFERROR(LOOKUP(2,1/(Trigo!$E15:INDEX(Trigo!$E15:$Z15,MIN(W$6-$G$3,22))&lt;&gt;""),Trigo!$E15:INDEX(Trigo!$E15:$Z15,MIN(W$6-$G$3,22))),0)))))</f>
        <v>0</v>
      </c>
      <c r="X17" s="27" t="n">
        <f aca="false">IF(COUNT(Trigo!$E15:$Z15)=0,0,MAX(0,IF((X$6-$E$3)&lt;1,0,IFERROR(LOOKUP(2,1/(Trigo!$E15:INDEX(Trigo!$E15:$Z15,MIN(X$6-$E$3,22))&lt;&gt;""),Trigo!$E15:INDEX(Trigo!$E15:$Z15,MIN(X$6-$E$3,22))),0))-IF($G$2,0,IF((X$6-$G$3)&lt;1,0,IFERROR(LOOKUP(2,1/(Trigo!$E15:INDEX(Trigo!$E15:$Z15,MIN(X$6-$G$3,22))&lt;&gt;""),Trigo!$E15:INDEX(Trigo!$E15:$Z15,MIN(X$6-$G$3,22))),0)))))</f>
        <v>0</v>
      </c>
      <c r="Y17" s="27" t="n">
        <f aca="false">IF(COUNT(Trigo!$E15:$Z15)=0,0,MAX(0,IF((Y$6-$E$3)&lt;1,0,IFERROR(LOOKUP(2,1/(Trigo!$E15:INDEX(Trigo!$E15:$Z15,MIN(Y$6-$E$3,22))&lt;&gt;""),Trigo!$E15:INDEX(Trigo!$E15:$Z15,MIN(Y$6-$E$3,22))),0))-IF($G$2,0,IF((Y$6-$G$3)&lt;1,0,IFERROR(LOOKUP(2,1/(Trigo!$E15:INDEX(Trigo!$E15:$Z15,MIN(Y$6-$G$3,22))&lt;&gt;""),Trigo!$E15:INDEX(Trigo!$E15:$Z15,MIN(Y$6-$G$3,22))),0)))))</f>
        <v>0</v>
      </c>
      <c r="Z17" s="27" t="n">
        <f aca="false">IF(COUNT(Trigo!$E15:$Z15)=0,0,MAX(0,IF((Z$6-$E$3)&lt;1,0,IFERROR(LOOKUP(2,1/(Trigo!$E15:INDEX(Trigo!$E15:$Z15,MIN(Z$6-$E$3,22))&lt;&gt;""),Trigo!$E15:INDEX(Trigo!$E15:$Z15,MIN(Z$6-$E$3,22))),0))-IF($G$2,0,IF((Z$6-$G$3)&lt;1,0,IFERROR(LOOKUP(2,1/(Trigo!$E15:INDEX(Trigo!$E15:$Z15,MIN(Z$6-$G$3,22))&lt;&gt;""),Trigo!$E15:INDEX(Trigo!$E15:$Z15,MIN(Z$6-$G$3,22))),0)))))</f>
        <v>0</v>
      </c>
      <c r="AA17" s="27" t="n">
        <f aca="false">IF(COUNT(Trigo!$E15:$Z15)=0,0,MAX(0,IF((AA$6-$E$3)&lt;1,0,IFERROR(LOOKUP(2,1/(Trigo!$E15:INDEX(Trigo!$E15:$Z15,MIN(AA$6-$E$3,22))&lt;&gt;""),Trigo!$E15:INDEX(Trigo!$E15:$Z15,MIN(AA$6-$E$3,22))),0))-IF($G$2,0,IF((AA$6-$G$3)&lt;1,0,IFERROR(LOOKUP(2,1/(Trigo!$E15:INDEX(Trigo!$E15:$Z15,MIN(AA$6-$G$3,22))&lt;&gt;""),Trigo!$E15:INDEX(Trigo!$E15:$Z15,MIN(AA$6-$G$3,22))),0)))))</f>
        <v>0</v>
      </c>
      <c r="AB17" s="27" t="n">
        <f aca="false">IF(COUNT(Trigo!$E15:$Z15)=0,0,MAX(0,IF((AB$6-$E$3)&lt;1,0,IFERROR(LOOKUP(2,1/(Trigo!$E15:INDEX(Trigo!$E15:$Z15,MIN(AB$6-$E$3,22))&lt;&gt;""),Trigo!$E15:INDEX(Trigo!$E15:$Z15,MIN(AB$6-$E$3,22))),0))-IF($G$2,0,IF((AB$6-$G$3)&lt;1,0,IFERROR(LOOKUP(2,1/(Trigo!$E15:INDEX(Trigo!$E15:$Z15,MIN(AB$6-$G$3,22))&lt;&gt;""),Trigo!$E15:INDEX(Trigo!$E15:$Z15,MIN(AB$6-$G$3,22))),0)))))</f>
        <v>0</v>
      </c>
      <c r="AC17" s="27" t="n">
        <f aca="false">IF(COUNT(Trigo!$E15:$Z15)=0,0,MAX(0,IF((AC$6-$E$3)&lt;1,0,IFERROR(LOOKUP(2,1/(Trigo!$E15:INDEX(Trigo!$E15:$Z15,MIN(AC$6-$E$3,22))&lt;&gt;""),Trigo!$E15:INDEX(Trigo!$E15:$Z15,MIN(AC$6-$E$3,22))),0))-IF($G$2,0,IF((AC$6-$G$3)&lt;1,0,IFERROR(LOOKUP(2,1/(Trigo!$E15:INDEX(Trigo!$E15:$Z15,MIN(AC$6-$G$3,22))&lt;&gt;""),Trigo!$E15:INDEX(Trigo!$E15:$Z15,MIN(AC$6-$G$3,22))),0)))))</f>
        <v>0</v>
      </c>
      <c r="AD17" s="27" t="n">
        <f aca="false">IF(COUNT(Trigo!$E15:$Z15)=0,0,MAX(0,IF((AD$6-$E$3)&lt;1,0,IFERROR(LOOKUP(2,1/(Trigo!$E15:INDEX(Trigo!$E15:$Z15,MIN(AD$6-$E$3,22))&lt;&gt;""),Trigo!$E15:INDEX(Trigo!$E15:$Z15,MIN(AD$6-$E$3,22))),0))-IF($G$2,0,IF((AD$6-$G$3)&lt;1,0,IFERROR(LOOKUP(2,1/(Trigo!$E15:INDEX(Trigo!$E15:$Z15,MIN(AD$6-$G$3,22))&lt;&gt;""),Trigo!$E15:INDEX(Trigo!$E15:$Z15,MIN(AD$6-$G$3,22))),0)))))</f>
        <v>0</v>
      </c>
      <c r="AE17" s="27" t="n">
        <f aca="false">IF(COUNT(Trigo!$E15:$Z15)=0,0,MAX(0,IF((AE$6-$E$3)&lt;1,0,IFERROR(LOOKUP(2,1/(Trigo!$E15:INDEX(Trigo!$E15:$Z15,MIN(AE$6-$E$3,22))&lt;&gt;""),Trigo!$E15:INDEX(Trigo!$E15:$Z15,MIN(AE$6-$E$3,22))),0))-IF($G$2,0,IF((AE$6-$G$3)&lt;1,0,IFERROR(LOOKUP(2,1/(Trigo!$E15:INDEX(Trigo!$E15:$Z15,MIN(AE$6-$G$3,22))&lt;&gt;""),Trigo!$E15:INDEX(Trigo!$E15:$Z15,MIN(AE$6-$G$3,22))),0)))))</f>
        <v>0</v>
      </c>
      <c r="AF17" s="27" t="n">
        <f aca="false">IF(COUNT(Trigo!$E15:$Z15)=0,0,MAX(0,IF((AF$6-$E$3)&lt;1,0,IFERROR(LOOKUP(2,1/(Trigo!$E15:INDEX(Trigo!$E15:$Z15,MIN(AF$6-$E$3,22))&lt;&gt;""),Trigo!$E15:INDEX(Trigo!$E15:$Z15,MIN(AF$6-$E$3,22))),0))-IF($G$2,0,IF((AF$6-$G$3)&lt;1,0,IFERROR(LOOKUP(2,1/(Trigo!$E15:INDEX(Trigo!$E15:$Z15,MIN(AF$6-$G$3,22))&lt;&gt;""),Trigo!$E15:INDEX(Trigo!$E15:$Z15,MIN(AF$6-$G$3,22))),0)))))</f>
        <v>0</v>
      </c>
      <c r="AG17" s="27" t="n">
        <f aca="false">IF(COUNT(Trigo!$E15:$Z15)=0,0,MAX(0,IF((AG$6-$E$3)&lt;1,0,IFERROR(LOOKUP(2,1/(Trigo!$E15:INDEX(Trigo!$E15:$Z15,MIN(AG$6-$E$3,22))&lt;&gt;""),Trigo!$E15:INDEX(Trigo!$E15:$Z15,MIN(AG$6-$E$3,22))),0))-IF($G$2,0,IF((AG$6-$G$3)&lt;1,0,IFERROR(LOOKUP(2,1/(Trigo!$E15:INDEX(Trigo!$E15:$Z15,MIN(AG$6-$G$3,22))&lt;&gt;""),Trigo!$E15:INDEX(Trigo!$E15:$Z15,MIN(AG$6-$G$3,22))),0)))))</f>
        <v>0</v>
      </c>
      <c r="AH17" s="27" t="n">
        <f aca="false">IF(COUNT(Trigo!$E15:$Z15)=0,0,MAX(0,IF((AH$6-$E$3)&lt;1,0,IFERROR(LOOKUP(2,1/(Trigo!$E15:INDEX(Trigo!$E15:$Z15,MIN(AH$6-$E$3,22))&lt;&gt;""),Trigo!$E15:INDEX(Trigo!$E15:$Z15,MIN(AH$6-$E$3,22))),0))-IF($G$2,0,IF((AH$6-$G$3)&lt;1,0,IFERROR(LOOKUP(2,1/(Trigo!$E15:INDEX(Trigo!$E15:$Z15,MIN(AH$6-$G$3,22))&lt;&gt;""),Trigo!$E15:INDEX(Trigo!$E15:$Z15,MIN(AH$6-$G$3,22))),0)))))</f>
        <v>0</v>
      </c>
      <c r="AI17" s="27" t="n">
        <f aca="false">IF(COUNT(Trigo!$E15:$Z15)=0,0,MAX(0,IF((AI$6-$E$3)&lt;1,0,IFERROR(LOOKUP(2,1/(Trigo!$E15:INDEX(Trigo!$E15:$Z15,MIN(AI$6-$E$3,22))&lt;&gt;""),Trigo!$E15:INDEX(Trigo!$E15:$Z15,MIN(AI$6-$E$3,22))),0))-IF($G$2,0,IF((AI$6-$G$3)&lt;1,0,IFERROR(LOOKUP(2,1/(Trigo!$E15:INDEX(Trigo!$E15:$Z15,MIN(AI$6-$G$3,22))&lt;&gt;""),Trigo!$E15:INDEX(Trigo!$E15:$Z15,MIN(AI$6-$G$3,22))),0)))))</f>
        <v>0</v>
      </c>
      <c r="AJ17" s="27" t="n">
        <f aca="false">IF(COUNT(Trigo!$E15:$Z15)=0,0,MAX(0,IF((AJ$6-$E$3)&lt;1,0,IFERROR(LOOKUP(2,1/(Trigo!$E15:INDEX(Trigo!$E15:$Z15,MIN(AJ$6-$E$3,22))&lt;&gt;""),Trigo!$E15:INDEX(Trigo!$E15:$Z15,MIN(AJ$6-$E$3,22))),0))-IF($G$2,0,IF((AJ$6-$G$3)&lt;1,0,IFERROR(LOOKUP(2,1/(Trigo!$E15:INDEX(Trigo!$E15:$Z15,MIN(AJ$6-$G$3,22))&lt;&gt;""),Trigo!$E15:INDEX(Trigo!$E15:$Z15,MIN(AJ$6-$G$3,22))),0)))))</f>
        <v>0</v>
      </c>
      <c r="AK17" s="27" t="n">
        <f aca="false">IF(COUNT(Trigo!$E15:$Z15)=0,0,MAX(0,IF((AK$6-$E$3)&lt;1,0,IFERROR(LOOKUP(2,1/(Trigo!$E15:INDEX(Trigo!$E15:$Z15,MIN(AK$6-$E$3,22))&lt;&gt;""),Trigo!$E15:INDEX(Trigo!$E15:$Z15,MIN(AK$6-$E$3,22))),0))-IF($G$2,0,IF((AK$6-$G$3)&lt;1,0,IFERROR(LOOKUP(2,1/(Trigo!$E15:INDEX(Trigo!$E15:$Z15,MIN(AK$6-$G$3,22))&lt;&gt;""),Trigo!$E15:INDEX(Trigo!$E15:$Z15,MIN(AK$6-$G$3,22))),0)))))</f>
        <v>0</v>
      </c>
      <c r="AL17" s="27" t="n">
        <f aca="false">IF(COUNT(Trigo!$E15:$Z15)=0,0,MAX(0,IF((AL$6-$E$3)&lt;1,0,IFERROR(LOOKUP(2,1/(Trigo!$E15:INDEX(Trigo!$E15:$Z15,MIN(AL$6-$E$3,22))&lt;&gt;""),Trigo!$E15:INDEX(Trigo!$E15:$Z15,MIN(AL$6-$E$3,22))),0))-IF($G$2,0,IF((AL$6-$G$3)&lt;1,0,IFERROR(LOOKUP(2,1/(Trigo!$E15:INDEX(Trigo!$E15:$Z15,MIN(AL$6-$G$3,22))&lt;&gt;""),Trigo!$E15:INDEX(Trigo!$E15:$Z15,MIN(AL$6-$G$3,22))),0)))))</f>
        <v>0</v>
      </c>
      <c r="AM17" s="27" t="n">
        <f aca="false">IF(COUNT(Trigo!$E15:$Z15)=0,0,MAX(0,IF((AM$6-$E$3)&lt;1,0,IFERROR(LOOKUP(2,1/(Trigo!$E15:INDEX(Trigo!$E15:$Z15,MIN(AM$6-$E$3,22))&lt;&gt;""),Trigo!$E15:INDEX(Trigo!$E15:$Z15,MIN(AM$6-$E$3,22))),0))-IF($G$2,0,IF((AM$6-$G$3)&lt;1,0,IFERROR(LOOKUP(2,1/(Trigo!$E15:INDEX(Trigo!$E15:$Z15,MIN(AM$6-$G$3,22))&lt;&gt;""),Trigo!$E15:INDEX(Trigo!$E15:$Z15,MIN(AM$6-$G$3,22))),0)))))</f>
        <v>0</v>
      </c>
      <c r="AN17" s="27" t="n">
        <f aca="false">IF(COUNT(Trigo!$E15:$Z15)=0,0,MAX(0,IF((AN$6-$E$3)&lt;1,0,IFERROR(LOOKUP(2,1/(Trigo!$E15:INDEX(Trigo!$E15:$Z15,MIN(AN$6-$E$3,22))&lt;&gt;""),Trigo!$E15:INDEX(Trigo!$E15:$Z15,MIN(AN$6-$E$3,22))),0))-IF($G$2,0,IF((AN$6-$G$3)&lt;1,0,IFERROR(LOOKUP(2,1/(Trigo!$E15:INDEX(Trigo!$E15:$Z15,MIN(AN$6-$G$3,22))&lt;&gt;""),Trigo!$E15:INDEX(Trigo!$E15:$Z15,MIN(AN$6-$G$3,22))),0)))))</f>
        <v>0</v>
      </c>
      <c r="AO17" s="27" t="n">
        <f aca="false">IF(COUNT(Trigo!$E15:$Z15)=0,0,MAX(0,IF((AO$6-$E$3)&lt;1,0,IFERROR(LOOKUP(2,1/(Trigo!$E15:INDEX(Trigo!$E15:$Z15,MIN(AO$6-$E$3,22))&lt;&gt;""),Trigo!$E15:INDEX(Trigo!$E15:$Z15,MIN(AO$6-$E$3,22))),0))-IF($G$2,0,IF((AO$6-$G$3)&lt;1,0,IFERROR(LOOKUP(2,1/(Trigo!$E15:INDEX(Trigo!$E15:$Z15,MIN(AO$6-$G$3,22))&lt;&gt;""),Trigo!$E15:INDEX(Trigo!$E15:$Z15,MIN(AO$6-$G$3,22))),0)))))</f>
        <v>0</v>
      </c>
      <c r="AP17" s="27" t="n">
        <f aca="false">IF(COUNT(Trigo!$E15:$Z15)=0,0,MAX(0,IF((AP$6-$E$3)&lt;1,0,IFERROR(LOOKUP(2,1/(Trigo!$E15:INDEX(Trigo!$E15:$Z15,MIN(AP$6-$E$3,22))&lt;&gt;""),Trigo!$E15:INDEX(Trigo!$E15:$Z15,MIN(AP$6-$E$3,22))),0))-IF($G$2,0,IF((AP$6-$G$3)&lt;1,0,IFERROR(LOOKUP(2,1/(Trigo!$E15:INDEX(Trigo!$E15:$Z15,MIN(AP$6-$G$3,22))&lt;&gt;""),Trigo!$E15:INDEX(Trigo!$E15:$Z15,MIN(AP$6-$G$3,22))),0)))))</f>
        <v>0</v>
      </c>
      <c r="AQ17" s="27" t="n">
        <f aca="false">IF(COUNT(Trigo!$E15:$Z15)=0,0,MAX(0,IF((AQ$6-$E$3)&lt;1,0,IFERROR(LOOKUP(2,1/(Trigo!$E15:INDEX(Trigo!$E15:$Z15,MIN(AQ$6-$E$3,22))&lt;&gt;""),Trigo!$E15:INDEX(Trigo!$E15:$Z15,MIN(AQ$6-$E$3,22))),0))-IF($G$2,0,IF((AQ$6-$G$3)&lt;1,0,IFERROR(LOOKUP(2,1/(Trigo!$E15:INDEX(Trigo!$E15:$Z15,MIN(AQ$6-$G$3,22))&lt;&gt;""),Trigo!$E15:INDEX(Trigo!$E15:$Z15,MIN(AQ$6-$G$3,22))),0)))))</f>
        <v>0</v>
      </c>
      <c r="AR17" s="27" t="n">
        <f aca="false">IF(COUNT(Trigo!$E15:$Z15)=0,0,MAX(0,IF((AR$6-$E$3)&lt;1,0,IFERROR(LOOKUP(2,1/(Trigo!$E15:INDEX(Trigo!$E15:$Z15,MIN(AR$6-$E$3,22))&lt;&gt;""),Trigo!$E15:INDEX(Trigo!$E15:$Z15,MIN(AR$6-$E$3,22))),0))-IF($G$2,0,IF((AR$6-$G$3)&lt;1,0,IFERROR(LOOKUP(2,1/(Trigo!$E15:INDEX(Trigo!$E15:$Z15,MIN(AR$6-$G$3,22))&lt;&gt;""),Trigo!$E15:INDEX(Trigo!$E15:$Z15,MIN(AR$6-$G$3,22))),0)))))</f>
        <v>0</v>
      </c>
      <c r="AS17" s="27" t="n">
        <f aca="false">IF(COUNT(Trigo!$E15:$Z15)=0,0,MAX(0,IF((AS$6-$E$3)&lt;1,0,IFERROR(LOOKUP(2,1/(Trigo!$E15:INDEX(Trigo!$E15:$Z15,MIN(AS$6-$E$3,22))&lt;&gt;""),Trigo!$E15:INDEX(Trigo!$E15:$Z15,MIN(AS$6-$E$3,22))),0))-IF($G$2,0,IF((AS$6-$G$3)&lt;1,0,IFERROR(LOOKUP(2,1/(Trigo!$E15:INDEX(Trigo!$E15:$Z15,MIN(AS$6-$G$3,22))&lt;&gt;""),Trigo!$E15:INDEX(Trigo!$E15:$Z15,MIN(AS$6-$G$3,22))),0)))))</f>
        <v>0</v>
      </c>
      <c r="AT17" s="27" t="n">
        <f aca="false">IF(COUNT(Trigo!$E15:$Z15)=0,0,MAX(0,IF((AT$6-$E$3)&lt;1,0,IFERROR(LOOKUP(2,1/(Trigo!$E15:INDEX(Trigo!$E15:$Z15,MIN(AT$6-$E$3,22))&lt;&gt;""),Trigo!$E15:INDEX(Trigo!$E15:$Z15,MIN(AT$6-$E$3,22))),0))-IF($G$2,0,IF((AT$6-$G$3)&lt;1,0,IFERROR(LOOKUP(2,1/(Trigo!$E15:INDEX(Trigo!$E15:$Z15,MIN(AT$6-$G$3,22))&lt;&gt;""),Trigo!$E15:INDEX(Trigo!$E15:$Z15,MIN(AT$6-$G$3,22))),0)))))</f>
        <v>0</v>
      </c>
      <c r="AU17" s="27" t="n">
        <f aca="false">IF(COUNT(Trigo!$E15:$Z15)=0,0,MAX(0,IF((AU$6-$E$3)&lt;1,0,IFERROR(LOOKUP(2,1/(Trigo!$E15:INDEX(Trigo!$E15:$Z15,MIN(AU$6-$E$3,22))&lt;&gt;""),Trigo!$E15:INDEX(Trigo!$E15:$Z15,MIN(AU$6-$E$3,22))),0))-IF($G$2,0,IF((AU$6-$G$3)&lt;1,0,IFERROR(LOOKUP(2,1/(Trigo!$E15:INDEX(Trigo!$E15:$Z15,MIN(AU$6-$G$3,22))&lt;&gt;""),Trigo!$E15:INDEX(Trigo!$E15:$Z15,MIN(AU$6-$G$3,22))),0)))))</f>
        <v>0</v>
      </c>
      <c r="AV17" s="27" t="n">
        <f aca="false">IF(COUNT(Trigo!$E15:$Z15)=0,0,MAX(0,IF((AV$6-$E$3)&lt;1,0,IFERROR(LOOKUP(2,1/(Trigo!$E15:INDEX(Trigo!$E15:$Z15,MIN(AV$6-$E$3,22))&lt;&gt;""),Trigo!$E15:INDEX(Trigo!$E15:$Z15,MIN(AV$6-$E$3,22))),0))-IF($G$2,0,IF((AV$6-$G$3)&lt;1,0,IFERROR(LOOKUP(2,1/(Trigo!$E15:INDEX(Trigo!$E15:$Z15,MIN(AV$6-$G$3,22))&lt;&gt;""),Trigo!$E15:INDEX(Trigo!$E15:$Z15,MIN(AV$6-$G$3,22))),0)))))</f>
        <v>0</v>
      </c>
      <c r="AW17" s="27" t="n">
        <f aca="false">IF(COUNT(Trigo!$E15:$Z15)=0,0,MAX(0,IF((AW$6-$E$3)&lt;1,0,IFERROR(LOOKUP(2,1/(Trigo!$E15:INDEX(Trigo!$E15:$Z15,MIN(AW$6-$E$3,22))&lt;&gt;""),Trigo!$E15:INDEX(Trigo!$E15:$Z15,MIN(AW$6-$E$3,22))),0))-IF($G$2,0,IF((AW$6-$G$3)&lt;1,0,IFERROR(LOOKUP(2,1/(Trigo!$E15:INDEX(Trigo!$E15:$Z15,MIN(AW$6-$G$3,22))&lt;&gt;""),Trigo!$E15:INDEX(Trigo!$E15:$Z15,MIN(AW$6-$G$3,22))),0)))))</f>
        <v>0</v>
      </c>
      <c r="AX17" s="27" t="n">
        <f aca="false">IF(COUNT(Trigo!$E15:$Z15)=0,0,MAX(0,IF((AX$6-$E$3)&lt;1,0,IFERROR(LOOKUP(2,1/(Trigo!$E15:INDEX(Trigo!$E15:$Z15,MIN(AX$6-$E$3,22))&lt;&gt;""),Trigo!$E15:INDEX(Trigo!$E15:$Z15,MIN(AX$6-$E$3,22))),0))-IF($G$2,0,IF((AX$6-$G$3)&lt;1,0,IFERROR(LOOKUP(2,1/(Trigo!$E15:INDEX(Trigo!$E15:$Z15,MIN(AX$6-$G$3,22))&lt;&gt;""),Trigo!$E15:INDEX(Trigo!$E15:$Z15,MIN(AX$6-$G$3,22))),0)))))</f>
        <v>0</v>
      </c>
      <c r="AY17" s="27" t="n">
        <f aca="false">IF(COUNT(Trigo!$E15:$Z15)=0,0,MAX(0,IF((AY$6-$E$3)&lt;1,0,IFERROR(LOOKUP(2,1/(Trigo!$E15:INDEX(Trigo!$E15:$Z15,MIN(AY$6-$E$3,22))&lt;&gt;""),Trigo!$E15:INDEX(Trigo!$E15:$Z15,MIN(AY$6-$E$3,22))),0))-IF($G$2,0,IF((AY$6-$G$3)&lt;1,0,IFERROR(LOOKUP(2,1/(Trigo!$E15:INDEX(Trigo!$E15:$Z15,MIN(AY$6-$G$3,22))&lt;&gt;""),Trigo!$E15:INDEX(Trigo!$E15:$Z15,MIN(AY$6-$G$3,22))),0)))))</f>
        <v>0</v>
      </c>
      <c r="AZ17" s="27" t="n">
        <f aca="false">IF(COUNT(Trigo!$E15:$Z15)=0,0,MAX(0,IF((AZ$6-$E$3)&lt;1,0,IFERROR(LOOKUP(2,1/(Trigo!$E15:INDEX(Trigo!$E15:$Z15,MIN(AZ$6-$E$3,22))&lt;&gt;""),Trigo!$E15:INDEX(Trigo!$E15:$Z15,MIN(AZ$6-$E$3,22))),0))-IF($G$2,0,IF((AZ$6-$G$3)&lt;1,0,IFERROR(LOOKUP(2,1/(Trigo!$E15:INDEX(Trigo!$E15:$Z15,MIN(AZ$6-$G$3,22))&lt;&gt;""),Trigo!$E15:INDEX(Trigo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IF(COUNT(Trigo!$E16:$Z16)&gt;0,N(Trigo!$D16),0)</f>
        <v>0</v>
      </c>
      <c r="E18" s="27" t="n">
        <f aca="false">IF(COUNT(Trigo!$E16:$Z16)=0,0,MAX(0,IF((E$6-$E$3)&lt;1,0,IFERROR(LOOKUP(2,1/(Trigo!$E16:INDEX(Trigo!$E16:$Z16,MIN(E$6-$E$3,22))&lt;&gt;""),Trigo!$E16:INDEX(Trigo!$E16:$Z16,MIN(E$6-$E$3,22))),0))-IF($G$2,0,IF((E$6-$G$3)&lt;1,0,IFERROR(LOOKUP(2,1/(Trigo!$E16:INDEX(Trigo!$E16:$Z16,MIN(E$6-$G$3,22))&lt;&gt;""),Trigo!$E16:INDEX(Trigo!$E16:$Z16,MIN(E$6-$G$3,22))),0)))))</f>
        <v>0</v>
      </c>
      <c r="F18" s="27" t="n">
        <f aca="false">IF(COUNT(Trigo!$E16:$Z16)=0,0,MAX(0,IF((F$6-$E$3)&lt;1,0,IFERROR(LOOKUP(2,1/(Trigo!$E16:INDEX(Trigo!$E16:$Z16,MIN(F$6-$E$3,22))&lt;&gt;""),Trigo!$E16:INDEX(Trigo!$E16:$Z16,MIN(F$6-$E$3,22))),0))-IF($G$2,0,IF((F$6-$G$3)&lt;1,0,IFERROR(LOOKUP(2,1/(Trigo!$E16:INDEX(Trigo!$E16:$Z16,MIN(F$6-$G$3,22))&lt;&gt;""),Trigo!$E16:INDEX(Trigo!$E16:$Z16,MIN(F$6-$G$3,22))),0)))))</f>
        <v>0</v>
      </c>
      <c r="G18" s="27" t="n">
        <f aca="false">IF(COUNT(Trigo!$E16:$Z16)=0,0,MAX(0,IF((G$6-$E$3)&lt;1,0,IFERROR(LOOKUP(2,1/(Trigo!$E16:INDEX(Trigo!$E16:$Z16,MIN(G$6-$E$3,22))&lt;&gt;""),Trigo!$E16:INDEX(Trigo!$E16:$Z16,MIN(G$6-$E$3,22))),0))-IF($G$2,0,IF((G$6-$G$3)&lt;1,0,IFERROR(LOOKUP(2,1/(Trigo!$E16:INDEX(Trigo!$E16:$Z16,MIN(G$6-$G$3,22))&lt;&gt;""),Trigo!$E16:INDEX(Trigo!$E16:$Z16,MIN(G$6-$G$3,22))),0)))))</f>
        <v>0</v>
      </c>
      <c r="H18" s="27" t="n">
        <f aca="false">IF(COUNT(Trigo!$E16:$Z16)=0,0,MAX(0,IF((H$6-$E$3)&lt;1,0,IFERROR(LOOKUP(2,1/(Trigo!$E16:INDEX(Trigo!$E16:$Z16,MIN(H$6-$E$3,22))&lt;&gt;""),Trigo!$E16:INDEX(Trigo!$E16:$Z16,MIN(H$6-$E$3,22))),0))-IF($G$2,0,IF((H$6-$G$3)&lt;1,0,IFERROR(LOOKUP(2,1/(Trigo!$E16:INDEX(Trigo!$E16:$Z16,MIN(H$6-$G$3,22))&lt;&gt;""),Trigo!$E16:INDEX(Trigo!$E16:$Z16,MIN(H$6-$G$3,22))),0)))))</f>
        <v>0</v>
      </c>
      <c r="I18" s="27" t="n">
        <f aca="false">IF(COUNT(Trigo!$E16:$Z16)=0,0,MAX(0,IF((I$6-$E$3)&lt;1,0,IFERROR(LOOKUP(2,1/(Trigo!$E16:INDEX(Trigo!$E16:$Z16,MIN(I$6-$E$3,22))&lt;&gt;""),Trigo!$E16:INDEX(Trigo!$E16:$Z16,MIN(I$6-$E$3,22))),0))-IF($G$2,0,IF((I$6-$G$3)&lt;1,0,IFERROR(LOOKUP(2,1/(Trigo!$E16:INDEX(Trigo!$E16:$Z16,MIN(I$6-$G$3,22))&lt;&gt;""),Trigo!$E16:INDEX(Trigo!$E16:$Z16,MIN(I$6-$G$3,22))),0)))))</f>
        <v>0</v>
      </c>
      <c r="J18" s="27" t="n">
        <f aca="false">IF(COUNT(Trigo!$E16:$Z16)=0,0,MAX(0,IF((J$6-$E$3)&lt;1,0,IFERROR(LOOKUP(2,1/(Trigo!$E16:INDEX(Trigo!$E16:$Z16,MIN(J$6-$E$3,22))&lt;&gt;""),Trigo!$E16:INDEX(Trigo!$E16:$Z16,MIN(J$6-$E$3,22))),0))-IF($G$2,0,IF((J$6-$G$3)&lt;1,0,IFERROR(LOOKUP(2,1/(Trigo!$E16:INDEX(Trigo!$E16:$Z16,MIN(J$6-$G$3,22))&lt;&gt;""),Trigo!$E16:INDEX(Trigo!$E16:$Z16,MIN(J$6-$G$3,22))),0)))))</f>
        <v>0</v>
      </c>
      <c r="K18" s="27" t="n">
        <f aca="false">IF(COUNT(Trigo!$E16:$Z16)=0,0,MAX(0,IF((K$6-$E$3)&lt;1,0,IFERROR(LOOKUP(2,1/(Trigo!$E16:INDEX(Trigo!$E16:$Z16,MIN(K$6-$E$3,22))&lt;&gt;""),Trigo!$E16:INDEX(Trigo!$E16:$Z16,MIN(K$6-$E$3,22))),0))-IF($G$2,0,IF((K$6-$G$3)&lt;1,0,IFERROR(LOOKUP(2,1/(Trigo!$E16:INDEX(Trigo!$E16:$Z16,MIN(K$6-$G$3,22))&lt;&gt;""),Trigo!$E16:INDEX(Trigo!$E16:$Z16,MIN(K$6-$G$3,22))),0)))))</f>
        <v>0</v>
      </c>
      <c r="L18" s="27" t="n">
        <f aca="false">IF(COUNT(Trigo!$E16:$Z16)=0,0,MAX(0,IF((L$6-$E$3)&lt;1,0,IFERROR(LOOKUP(2,1/(Trigo!$E16:INDEX(Trigo!$E16:$Z16,MIN(L$6-$E$3,22))&lt;&gt;""),Trigo!$E16:INDEX(Trigo!$E16:$Z16,MIN(L$6-$E$3,22))),0))-IF($G$2,0,IF((L$6-$G$3)&lt;1,0,IFERROR(LOOKUP(2,1/(Trigo!$E16:INDEX(Trigo!$E16:$Z16,MIN(L$6-$G$3,22))&lt;&gt;""),Trigo!$E16:INDEX(Trigo!$E16:$Z16,MIN(L$6-$G$3,22))),0)))))</f>
        <v>0</v>
      </c>
      <c r="M18" s="27" t="n">
        <f aca="false">IF(COUNT(Trigo!$E16:$Z16)=0,0,MAX(0,IF((M$6-$E$3)&lt;1,0,IFERROR(LOOKUP(2,1/(Trigo!$E16:INDEX(Trigo!$E16:$Z16,MIN(M$6-$E$3,22))&lt;&gt;""),Trigo!$E16:INDEX(Trigo!$E16:$Z16,MIN(M$6-$E$3,22))),0))-IF($G$2,0,IF((M$6-$G$3)&lt;1,0,IFERROR(LOOKUP(2,1/(Trigo!$E16:INDEX(Trigo!$E16:$Z16,MIN(M$6-$G$3,22))&lt;&gt;""),Trigo!$E16:INDEX(Trigo!$E16:$Z16,MIN(M$6-$G$3,22))),0)))))</f>
        <v>0</v>
      </c>
      <c r="N18" s="27" t="n">
        <f aca="false">IF(COUNT(Trigo!$E16:$Z16)=0,0,MAX(0,IF((N$6-$E$3)&lt;1,0,IFERROR(LOOKUP(2,1/(Trigo!$E16:INDEX(Trigo!$E16:$Z16,MIN(N$6-$E$3,22))&lt;&gt;""),Trigo!$E16:INDEX(Trigo!$E16:$Z16,MIN(N$6-$E$3,22))),0))-IF($G$2,0,IF((N$6-$G$3)&lt;1,0,IFERROR(LOOKUP(2,1/(Trigo!$E16:INDEX(Trigo!$E16:$Z16,MIN(N$6-$G$3,22))&lt;&gt;""),Trigo!$E16:INDEX(Trigo!$E16:$Z16,MIN(N$6-$G$3,22))),0)))))</f>
        <v>0</v>
      </c>
      <c r="O18" s="27" t="n">
        <f aca="false">IF(COUNT(Trigo!$E16:$Z16)=0,0,MAX(0,IF((O$6-$E$3)&lt;1,0,IFERROR(LOOKUP(2,1/(Trigo!$E16:INDEX(Trigo!$E16:$Z16,MIN(O$6-$E$3,22))&lt;&gt;""),Trigo!$E16:INDEX(Trigo!$E16:$Z16,MIN(O$6-$E$3,22))),0))-IF($G$2,0,IF((O$6-$G$3)&lt;1,0,IFERROR(LOOKUP(2,1/(Trigo!$E16:INDEX(Trigo!$E16:$Z16,MIN(O$6-$G$3,22))&lt;&gt;""),Trigo!$E16:INDEX(Trigo!$E16:$Z16,MIN(O$6-$G$3,22))),0)))))</f>
        <v>0</v>
      </c>
      <c r="P18" s="27" t="n">
        <f aca="false">IF(COUNT(Trigo!$E16:$Z16)=0,0,MAX(0,IF((P$6-$E$3)&lt;1,0,IFERROR(LOOKUP(2,1/(Trigo!$E16:INDEX(Trigo!$E16:$Z16,MIN(P$6-$E$3,22))&lt;&gt;""),Trigo!$E16:INDEX(Trigo!$E16:$Z16,MIN(P$6-$E$3,22))),0))-IF($G$2,0,IF((P$6-$G$3)&lt;1,0,IFERROR(LOOKUP(2,1/(Trigo!$E16:INDEX(Trigo!$E16:$Z16,MIN(P$6-$G$3,22))&lt;&gt;""),Trigo!$E16:INDEX(Trigo!$E16:$Z16,MIN(P$6-$G$3,22))),0)))))</f>
        <v>0</v>
      </c>
      <c r="Q18" s="27" t="n">
        <f aca="false">IF(COUNT(Trigo!$E16:$Z16)=0,0,MAX(0,IF((Q$6-$E$3)&lt;1,0,IFERROR(LOOKUP(2,1/(Trigo!$E16:INDEX(Trigo!$E16:$Z16,MIN(Q$6-$E$3,22))&lt;&gt;""),Trigo!$E16:INDEX(Trigo!$E16:$Z16,MIN(Q$6-$E$3,22))),0))-IF($G$2,0,IF((Q$6-$G$3)&lt;1,0,IFERROR(LOOKUP(2,1/(Trigo!$E16:INDEX(Trigo!$E16:$Z16,MIN(Q$6-$G$3,22))&lt;&gt;""),Trigo!$E16:INDEX(Trigo!$E16:$Z16,MIN(Q$6-$G$3,22))),0)))))</f>
        <v>0</v>
      </c>
      <c r="R18" s="27" t="n">
        <f aca="false">IF(COUNT(Trigo!$E16:$Z16)=0,0,MAX(0,IF((R$6-$E$3)&lt;1,0,IFERROR(LOOKUP(2,1/(Trigo!$E16:INDEX(Trigo!$E16:$Z16,MIN(R$6-$E$3,22))&lt;&gt;""),Trigo!$E16:INDEX(Trigo!$E16:$Z16,MIN(R$6-$E$3,22))),0))-IF($G$2,0,IF((R$6-$G$3)&lt;1,0,IFERROR(LOOKUP(2,1/(Trigo!$E16:INDEX(Trigo!$E16:$Z16,MIN(R$6-$G$3,22))&lt;&gt;""),Trigo!$E16:INDEX(Trigo!$E16:$Z16,MIN(R$6-$G$3,22))),0)))))</f>
        <v>0</v>
      </c>
      <c r="S18" s="27" t="n">
        <f aca="false">IF(COUNT(Trigo!$E16:$Z16)=0,0,MAX(0,IF((S$6-$E$3)&lt;1,0,IFERROR(LOOKUP(2,1/(Trigo!$E16:INDEX(Trigo!$E16:$Z16,MIN(S$6-$E$3,22))&lt;&gt;""),Trigo!$E16:INDEX(Trigo!$E16:$Z16,MIN(S$6-$E$3,22))),0))-IF($G$2,0,IF((S$6-$G$3)&lt;1,0,IFERROR(LOOKUP(2,1/(Trigo!$E16:INDEX(Trigo!$E16:$Z16,MIN(S$6-$G$3,22))&lt;&gt;""),Trigo!$E16:INDEX(Trigo!$E16:$Z16,MIN(S$6-$G$3,22))),0)))))</f>
        <v>0</v>
      </c>
      <c r="T18" s="27" t="n">
        <f aca="false">IF(COUNT(Trigo!$E16:$Z16)=0,0,MAX(0,IF((T$6-$E$3)&lt;1,0,IFERROR(LOOKUP(2,1/(Trigo!$E16:INDEX(Trigo!$E16:$Z16,MIN(T$6-$E$3,22))&lt;&gt;""),Trigo!$E16:INDEX(Trigo!$E16:$Z16,MIN(T$6-$E$3,22))),0))-IF($G$2,0,IF((T$6-$G$3)&lt;1,0,IFERROR(LOOKUP(2,1/(Trigo!$E16:INDEX(Trigo!$E16:$Z16,MIN(T$6-$G$3,22))&lt;&gt;""),Trigo!$E16:INDEX(Trigo!$E16:$Z16,MIN(T$6-$G$3,22))),0)))))</f>
        <v>0</v>
      </c>
      <c r="U18" s="27" t="n">
        <f aca="false">IF(COUNT(Trigo!$E16:$Z16)=0,0,MAX(0,IF((U$6-$E$3)&lt;1,0,IFERROR(LOOKUP(2,1/(Trigo!$E16:INDEX(Trigo!$E16:$Z16,MIN(U$6-$E$3,22))&lt;&gt;""),Trigo!$E16:INDEX(Trigo!$E16:$Z16,MIN(U$6-$E$3,22))),0))-IF($G$2,0,IF((U$6-$G$3)&lt;1,0,IFERROR(LOOKUP(2,1/(Trigo!$E16:INDEX(Trigo!$E16:$Z16,MIN(U$6-$G$3,22))&lt;&gt;""),Trigo!$E16:INDEX(Trigo!$E16:$Z16,MIN(U$6-$G$3,22))),0)))))</f>
        <v>0</v>
      </c>
      <c r="V18" s="27" t="n">
        <f aca="false">IF(COUNT(Trigo!$E16:$Z16)=0,0,MAX(0,IF((V$6-$E$3)&lt;1,0,IFERROR(LOOKUP(2,1/(Trigo!$E16:INDEX(Trigo!$E16:$Z16,MIN(V$6-$E$3,22))&lt;&gt;""),Trigo!$E16:INDEX(Trigo!$E16:$Z16,MIN(V$6-$E$3,22))),0))-IF($G$2,0,IF((V$6-$G$3)&lt;1,0,IFERROR(LOOKUP(2,1/(Trigo!$E16:INDEX(Trigo!$E16:$Z16,MIN(V$6-$G$3,22))&lt;&gt;""),Trigo!$E16:INDEX(Trigo!$E16:$Z16,MIN(V$6-$G$3,22))),0)))))</f>
        <v>0</v>
      </c>
      <c r="W18" s="27" t="n">
        <f aca="false">IF(COUNT(Trigo!$E16:$Z16)=0,0,MAX(0,IF((W$6-$E$3)&lt;1,0,IFERROR(LOOKUP(2,1/(Trigo!$E16:INDEX(Trigo!$E16:$Z16,MIN(W$6-$E$3,22))&lt;&gt;""),Trigo!$E16:INDEX(Trigo!$E16:$Z16,MIN(W$6-$E$3,22))),0))-IF($G$2,0,IF((W$6-$G$3)&lt;1,0,IFERROR(LOOKUP(2,1/(Trigo!$E16:INDEX(Trigo!$E16:$Z16,MIN(W$6-$G$3,22))&lt;&gt;""),Trigo!$E16:INDEX(Trigo!$E16:$Z16,MIN(W$6-$G$3,22))),0)))))</f>
        <v>0</v>
      </c>
      <c r="X18" s="27" t="n">
        <f aca="false">IF(COUNT(Trigo!$E16:$Z16)=0,0,MAX(0,IF((X$6-$E$3)&lt;1,0,IFERROR(LOOKUP(2,1/(Trigo!$E16:INDEX(Trigo!$E16:$Z16,MIN(X$6-$E$3,22))&lt;&gt;""),Trigo!$E16:INDEX(Trigo!$E16:$Z16,MIN(X$6-$E$3,22))),0))-IF($G$2,0,IF((X$6-$G$3)&lt;1,0,IFERROR(LOOKUP(2,1/(Trigo!$E16:INDEX(Trigo!$E16:$Z16,MIN(X$6-$G$3,22))&lt;&gt;""),Trigo!$E16:INDEX(Trigo!$E16:$Z16,MIN(X$6-$G$3,22))),0)))))</f>
        <v>0</v>
      </c>
      <c r="Y18" s="27" t="n">
        <f aca="false">IF(COUNT(Trigo!$E16:$Z16)=0,0,MAX(0,IF((Y$6-$E$3)&lt;1,0,IFERROR(LOOKUP(2,1/(Trigo!$E16:INDEX(Trigo!$E16:$Z16,MIN(Y$6-$E$3,22))&lt;&gt;""),Trigo!$E16:INDEX(Trigo!$E16:$Z16,MIN(Y$6-$E$3,22))),0))-IF($G$2,0,IF((Y$6-$G$3)&lt;1,0,IFERROR(LOOKUP(2,1/(Trigo!$E16:INDEX(Trigo!$E16:$Z16,MIN(Y$6-$G$3,22))&lt;&gt;""),Trigo!$E16:INDEX(Trigo!$E16:$Z16,MIN(Y$6-$G$3,22))),0)))))</f>
        <v>0</v>
      </c>
      <c r="Z18" s="27" t="n">
        <f aca="false">IF(COUNT(Trigo!$E16:$Z16)=0,0,MAX(0,IF((Z$6-$E$3)&lt;1,0,IFERROR(LOOKUP(2,1/(Trigo!$E16:INDEX(Trigo!$E16:$Z16,MIN(Z$6-$E$3,22))&lt;&gt;""),Trigo!$E16:INDEX(Trigo!$E16:$Z16,MIN(Z$6-$E$3,22))),0))-IF($G$2,0,IF((Z$6-$G$3)&lt;1,0,IFERROR(LOOKUP(2,1/(Trigo!$E16:INDEX(Trigo!$E16:$Z16,MIN(Z$6-$G$3,22))&lt;&gt;""),Trigo!$E16:INDEX(Trigo!$E16:$Z16,MIN(Z$6-$G$3,22))),0)))))</f>
        <v>0</v>
      </c>
      <c r="AA18" s="27" t="n">
        <f aca="false">IF(COUNT(Trigo!$E16:$Z16)=0,0,MAX(0,IF((AA$6-$E$3)&lt;1,0,IFERROR(LOOKUP(2,1/(Trigo!$E16:INDEX(Trigo!$E16:$Z16,MIN(AA$6-$E$3,22))&lt;&gt;""),Trigo!$E16:INDEX(Trigo!$E16:$Z16,MIN(AA$6-$E$3,22))),0))-IF($G$2,0,IF((AA$6-$G$3)&lt;1,0,IFERROR(LOOKUP(2,1/(Trigo!$E16:INDEX(Trigo!$E16:$Z16,MIN(AA$6-$G$3,22))&lt;&gt;""),Trigo!$E16:INDEX(Trigo!$E16:$Z16,MIN(AA$6-$G$3,22))),0)))))</f>
        <v>0</v>
      </c>
      <c r="AB18" s="27" t="n">
        <f aca="false">IF(COUNT(Trigo!$E16:$Z16)=0,0,MAX(0,IF((AB$6-$E$3)&lt;1,0,IFERROR(LOOKUP(2,1/(Trigo!$E16:INDEX(Trigo!$E16:$Z16,MIN(AB$6-$E$3,22))&lt;&gt;""),Trigo!$E16:INDEX(Trigo!$E16:$Z16,MIN(AB$6-$E$3,22))),0))-IF($G$2,0,IF((AB$6-$G$3)&lt;1,0,IFERROR(LOOKUP(2,1/(Trigo!$E16:INDEX(Trigo!$E16:$Z16,MIN(AB$6-$G$3,22))&lt;&gt;""),Trigo!$E16:INDEX(Trigo!$E16:$Z16,MIN(AB$6-$G$3,22))),0)))))</f>
        <v>0</v>
      </c>
      <c r="AC18" s="27" t="n">
        <f aca="false">IF(COUNT(Trigo!$E16:$Z16)=0,0,MAX(0,IF((AC$6-$E$3)&lt;1,0,IFERROR(LOOKUP(2,1/(Trigo!$E16:INDEX(Trigo!$E16:$Z16,MIN(AC$6-$E$3,22))&lt;&gt;""),Trigo!$E16:INDEX(Trigo!$E16:$Z16,MIN(AC$6-$E$3,22))),0))-IF($G$2,0,IF((AC$6-$G$3)&lt;1,0,IFERROR(LOOKUP(2,1/(Trigo!$E16:INDEX(Trigo!$E16:$Z16,MIN(AC$6-$G$3,22))&lt;&gt;""),Trigo!$E16:INDEX(Trigo!$E16:$Z16,MIN(AC$6-$G$3,22))),0)))))</f>
        <v>0</v>
      </c>
      <c r="AD18" s="27" t="n">
        <f aca="false">IF(COUNT(Trigo!$E16:$Z16)=0,0,MAX(0,IF((AD$6-$E$3)&lt;1,0,IFERROR(LOOKUP(2,1/(Trigo!$E16:INDEX(Trigo!$E16:$Z16,MIN(AD$6-$E$3,22))&lt;&gt;""),Trigo!$E16:INDEX(Trigo!$E16:$Z16,MIN(AD$6-$E$3,22))),0))-IF($G$2,0,IF((AD$6-$G$3)&lt;1,0,IFERROR(LOOKUP(2,1/(Trigo!$E16:INDEX(Trigo!$E16:$Z16,MIN(AD$6-$G$3,22))&lt;&gt;""),Trigo!$E16:INDEX(Trigo!$E16:$Z16,MIN(AD$6-$G$3,22))),0)))))</f>
        <v>0</v>
      </c>
      <c r="AE18" s="27" t="n">
        <f aca="false">IF(COUNT(Trigo!$E16:$Z16)=0,0,MAX(0,IF((AE$6-$E$3)&lt;1,0,IFERROR(LOOKUP(2,1/(Trigo!$E16:INDEX(Trigo!$E16:$Z16,MIN(AE$6-$E$3,22))&lt;&gt;""),Trigo!$E16:INDEX(Trigo!$E16:$Z16,MIN(AE$6-$E$3,22))),0))-IF($G$2,0,IF((AE$6-$G$3)&lt;1,0,IFERROR(LOOKUP(2,1/(Trigo!$E16:INDEX(Trigo!$E16:$Z16,MIN(AE$6-$G$3,22))&lt;&gt;""),Trigo!$E16:INDEX(Trigo!$E16:$Z16,MIN(AE$6-$G$3,22))),0)))))</f>
        <v>0</v>
      </c>
      <c r="AF18" s="27" t="n">
        <f aca="false">IF(COUNT(Trigo!$E16:$Z16)=0,0,MAX(0,IF((AF$6-$E$3)&lt;1,0,IFERROR(LOOKUP(2,1/(Trigo!$E16:INDEX(Trigo!$E16:$Z16,MIN(AF$6-$E$3,22))&lt;&gt;""),Trigo!$E16:INDEX(Trigo!$E16:$Z16,MIN(AF$6-$E$3,22))),0))-IF($G$2,0,IF((AF$6-$G$3)&lt;1,0,IFERROR(LOOKUP(2,1/(Trigo!$E16:INDEX(Trigo!$E16:$Z16,MIN(AF$6-$G$3,22))&lt;&gt;""),Trigo!$E16:INDEX(Trigo!$E16:$Z16,MIN(AF$6-$G$3,22))),0)))))</f>
        <v>0</v>
      </c>
      <c r="AG18" s="27" t="n">
        <f aca="false">IF(COUNT(Trigo!$E16:$Z16)=0,0,MAX(0,IF((AG$6-$E$3)&lt;1,0,IFERROR(LOOKUP(2,1/(Trigo!$E16:INDEX(Trigo!$E16:$Z16,MIN(AG$6-$E$3,22))&lt;&gt;""),Trigo!$E16:INDEX(Trigo!$E16:$Z16,MIN(AG$6-$E$3,22))),0))-IF($G$2,0,IF((AG$6-$G$3)&lt;1,0,IFERROR(LOOKUP(2,1/(Trigo!$E16:INDEX(Trigo!$E16:$Z16,MIN(AG$6-$G$3,22))&lt;&gt;""),Trigo!$E16:INDEX(Trigo!$E16:$Z16,MIN(AG$6-$G$3,22))),0)))))</f>
        <v>0</v>
      </c>
      <c r="AH18" s="27" t="n">
        <f aca="false">IF(COUNT(Trigo!$E16:$Z16)=0,0,MAX(0,IF((AH$6-$E$3)&lt;1,0,IFERROR(LOOKUP(2,1/(Trigo!$E16:INDEX(Trigo!$E16:$Z16,MIN(AH$6-$E$3,22))&lt;&gt;""),Trigo!$E16:INDEX(Trigo!$E16:$Z16,MIN(AH$6-$E$3,22))),0))-IF($G$2,0,IF((AH$6-$G$3)&lt;1,0,IFERROR(LOOKUP(2,1/(Trigo!$E16:INDEX(Trigo!$E16:$Z16,MIN(AH$6-$G$3,22))&lt;&gt;""),Trigo!$E16:INDEX(Trigo!$E16:$Z16,MIN(AH$6-$G$3,22))),0)))))</f>
        <v>0</v>
      </c>
      <c r="AI18" s="27" t="n">
        <f aca="false">IF(COUNT(Trigo!$E16:$Z16)=0,0,MAX(0,IF((AI$6-$E$3)&lt;1,0,IFERROR(LOOKUP(2,1/(Trigo!$E16:INDEX(Trigo!$E16:$Z16,MIN(AI$6-$E$3,22))&lt;&gt;""),Trigo!$E16:INDEX(Trigo!$E16:$Z16,MIN(AI$6-$E$3,22))),0))-IF($G$2,0,IF((AI$6-$G$3)&lt;1,0,IFERROR(LOOKUP(2,1/(Trigo!$E16:INDEX(Trigo!$E16:$Z16,MIN(AI$6-$G$3,22))&lt;&gt;""),Trigo!$E16:INDEX(Trigo!$E16:$Z16,MIN(AI$6-$G$3,22))),0)))))</f>
        <v>0</v>
      </c>
      <c r="AJ18" s="27" t="n">
        <f aca="false">IF(COUNT(Trigo!$E16:$Z16)=0,0,MAX(0,IF((AJ$6-$E$3)&lt;1,0,IFERROR(LOOKUP(2,1/(Trigo!$E16:INDEX(Trigo!$E16:$Z16,MIN(AJ$6-$E$3,22))&lt;&gt;""),Trigo!$E16:INDEX(Trigo!$E16:$Z16,MIN(AJ$6-$E$3,22))),0))-IF($G$2,0,IF((AJ$6-$G$3)&lt;1,0,IFERROR(LOOKUP(2,1/(Trigo!$E16:INDEX(Trigo!$E16:$Z16,MIN(AJ$6-$G$3,22))&lt;&gt;""),Trigo!$E16:INDEX(Trigo!$E16:$Z16,MIN(AJ$6-$G$3,22))),0)))))</f>
        <v>0</v>
      </c>
      <c r="AK18" s="27" t="n">
        <f aca="false">IF(COUNT(Trigo!$E16:$Z16)=0,0,MAX(0,IF((AK$6-$E$3)&lt;1,0,IFERROR(LOOKUP(2,1/(Trigo!$E16:INDEX(Trigo!$E16:$Z16,MIN(AK$6-$E$3,22))&lt;&gt;""),Trigo!$E16:INDEX(Trigo!$E16:$Z16,MIN(AK$6-$E$3,22))),0))-IF($G$2,0,IF((AK$6-$G$3)&lt;1,0,IFERROR(LOOKUP(2,1/(Trigo!$E16:INDEX(Trigo!$E16:$Z16,MIN(AK$6-$G$3,22))&lt;&gt;""),Trigo!$E16:INDEX(Trigo!$E16:$Z16,MIN(AK$6-$G$3,22))),0)))))</f>
        <v>0</v>
      </c>
      <c r="AL18" s="27" t="n">
        <f aca="false">IF(COUNT(Trigo!$E16:$Z16)=0,0,MAX(0,IF((AL$6-$E$3)&lt;1,0,IFERROR(LOOKUP(2,1/(Trigo!$E16:INDEX(Trigo!$E16:$Z16,MIN(AL$6-$E$3,22))&lt;&gt;""),Trigo!$E16:INDEX(Trigo!$E16:$Z16,MIN(AL$6-$E$3,22))),0))-IF($G$2,0,IF((AL$6-$G$3)&lt;1,0,IFERROR(LOOKUP(2,1/(Trigo!$E16:INDEX(Trigo!$E16:$Z16,MIN(AL$6-$G$3,22))&lt;&gt;""),Trigo!$E16:INDEX(Trigo!$E16:$Z16,MIN(AL$6-$G$3,22))),0)))))</f>
        <v>0</v>
      </c>
      <c r="AM18" s="27" t="n">
        <f aca="false">IF(COUNT(Trigo!$E16:$Z16)=0,0,MAX(0,IF((AM$6-$E$3)&lt;1,0,IFERROR(LOOKUP(2,1/(Trigo!$E16:INDEX(Trigo!$E16:$Z16,MIN(AM$6-$E$3,22))&lt;&gt;""),Trigo!$E16:INDEX(Trigo!$E16:$Z16,MIN(AM$6-$E$3,22))),0))-IF($G$2,0,IF((AM$6-$G$3)&lt;1,0,IFERROR(LOOKUP(2,1/(Trigo!$E16:INDEX(Trigo!$E16:$Z16,MIN(AM$6-$G$3,22))&lt;&gt;""),Trigo!$E16:INDEX(Trigo!$E16:$Z16,MIN(AM$6-$G$3,22))),0)))))</f>
        <v>0</v>
      </c>
      <c r="AN18" s="27" t="n">
        <f aca="false">IF(COUNT(Trigo!$E16:$Z16)=0,0,MAX(0,IF((AN$6-$E$3)&lt;1,0,IFERROR(LOOKUP(2,1/(Trigo!$E16:INDEX(Trigo!$E16:$Z16,MIN(AN$6-$E$3,22))&lt;&gt;""),Trigo!$E16:INDEX(Trigo!$E16:$Z16,MIN(AN$6-$E$3,22))),0))-IF($G$2,0,IF((AN$6-$G$3)&lt;1,0,IFERROR(LOOKUP(2,1/(Trigo!$E16:INDEX(Trigo!$E16:$Z16,MIN(AN$6-$G$3,22))&lt;&gt;""),Trigo!$E16:INDEX(Trigo!$E16:$Z16,MIN(AN$6-$G$3,22))),0)))))</f>
        <v>0</v>
      </c>
      <c r="AO18" s="27" t="n">
        <f aca="false">IF(COUNT(Trigo!$E16:$Z16)=0,0,MAX(0,IF((AO$6-$E$3)&lt;1,0,IFERROR(LOOKUP(2,1/(Trigo!$E16:INDEX(Trigo!$E16:$Z16,MIN(AO$6-$E$3,22))&lt;&gt;""),Trigo!$E16:INDEX(Trigo!$E16:$Z16,MIN(AO$6-$E$3,22))),0))-IF($G$2,0,IF((AO$6-$G$3)&lt;1,0,IFERROR(LOOKUP(2,1/(Trigo!$E16:INDEX(Trigo!$E16:$Z16,MIN(AO$6-$G$3,22))&lt;&gt;""),Trigo!$E16:INDEX(Trigo!$E16:$Z16,MIN(AO$6-$G$3,22))),0)))))</f>
        <v>0</v>
      </c>
      <c r="AP18" s="27" t="n">
        <f aca="false">IF(COUNT(Trigo!$E16:$Z16)=0,0,MAX(0,IF((AP$6-$E$3)&lt;1,0,IFERROR(LOOKUP(2,1/(Trigo!$E16:INDEX(Trigo!$E16:$Z16,MIN(AP$6-$E$3,22))&lt;&gt;""),Trigo!$E16:INDEX(Trigo!$E16:$Z16,MIN(AP$6-$E$3,22))),0))-IF($G$2,0,IF((AP$6-$G$3)&lt;1,0,IFERROR(LOOKUP(2,1/(Trigo!$E16:INDEX(Trigo!$E16:$Z16,MIN(AP$6-$G$3,22))&lt;&gt;""),Trigo!$E16:INDEX(Trigo!$E16:$Z16,MIN(AP$6-$G$3,22))),0)))))</f>
        <v>0</v>
      </c>
      <c r="AQ18" s="27" t="n">
        <f aca="false">IF(COUNT(Trigo!$E16:$Z16)=0,0,MAX(0,IF((AQ$6-$E$3)&lt;1,0,IFERROR(LOOKUP(2,1/(Trigo!$E16:INDEX(Trigo!$E16:$Z16,MIN(AQ$6-$E$3,22))&lt;&gt;""),Trigo!$E16:INDEX(Trigo!$E16:$Z16,MIN(AQ$6-$E$3,22))),0))-IF($G$2,0,IF((AQ$6-$G$3)&lt;1,0,IFERROR(LOOKUP(2,1/(Trigo!$E16:INDEX(Trigo!$E16:$Z16,MIN(AQ$6-$G$3,22))&lt;&gt;""),Trigo!$E16:INDEX(Trigo!$E16:$Z16,MIN(AQ$6-$G$3,22))),0)))))</f>
        <v>0</v>
      </c>
      <c r="AR18" s="27" t="n">
        <f aca="false">IF(COUNT(Trigo!$E16:$Z16)=0,0,MAX(0,IF((AR$6-$E$3)&lt;1,0,IFERROR(LOOKUP(2,1/(Trigo!$E16:INDEX(Trigo!$E16:$Z16,MIN(AR$6-$E$3,22))&lt;&gt;""),Trigo!$E16:INDEX(Trigo!$E16:$Z16,MIN(AR$6-$E$3,22))),0))-IF($G$2,0,IF((AR$6-$G$3)&lt;1,0,IFERROR(LOOKUP(2,1/(Trigo!$E16:INDEX(Trigo!$E16:$Z16,MIN(AR$6-$G$3,22))&lt;&gt;""),Trigo!$E16:INDEX(Trigo!$E16:$Z16,MIN(AR$6-$G$3,22))),0)))))</f>
        <v>0</v>
      </c>
      <c r="AS18" s="27" t="n">
        <f aca="false">IF(COUNT(Trigo!$E16:$Z16)=0,0,MAX(0,IF((AS$6-$E$3)&lt;1,0,IFERROR(LOOKUP(2,1/(Trigo!$E16:INDEX(Trigo!$E16:$Z16,MIN(AS$6-$E$3,22))&lt;&gt;""),Trigo!$E16:INDEX(Trigo!$E16:$Z16,MIN(AS$6-$E$3,22))),0))-IF($G$2,0,IF((AS$6-$G$3)&lt;1,0,IFERROR(LOOKUP(2,1/(Trigo!$E16:INDEX(Trigo!$E16:$Z16,MIN(AS$6-$G$3,22))&lt;&gt;""),Trigo!$E16:INDEX(Trigo!$E16:$Z16,MIN(AS$6-$G$3,22))),0)))))</f>
        <v>0</v>
      </c>
      <c r="AT18" s="27" t="n">
        <f aca="false">IF(COUNT(Trigo!$E16:$Z16)=0,0,MAX(0,IF((AT$6-$E$3)&lt;1,0,IFERROR(LOOKUP(2,1/(Trigo!$E16:INDEX(Trigo!$E16:$Z16,MIN(AT$6-$E$3,22))&lt;&gt;""),Trigo!$E16:INDEX(Trigo!$E16:$Z16,MIN(AT$6-$E$3,22))),0))-IF($G$2,0,IF((AT$6-$G$3)&lt;1,0,IFERROR(LOOKUP(2,1/(Trigo!$E16:INDEX(Trigo!$E16:$Z16,MIN(AT$6-$G$3,22))&lt;&gt;""),Trigo!$E16:INDEX(Trigo!$E16:$Z16,MIN(AT$6-$G$3,22))),0)))))</f>
        <v>0</v>
      </c>
      <c r="AU18" s="27" t="n">
        <f aca="false">IF(COUNT(Trigo!$E16:$Z16)=0,0,MAX(0,IF((AU$6-$E$3)&lt;1,0,IFERROR(LOOKUP(2,1/(Trigo!$E16:INDEX(Trigo!$E16:$Z16,MIN(AU$6-$E$3,22))&lt;&gt;""),Trigo!$E16:INDEX(Trigo!$E16:$Z16,MIN(AU$6-$E$3,22))),0))-IF($G$2,0,IF((AU$6-$G$3)&lt;1,0,IFERROR(LOOKUP(2,1/(Trigo!$E16:INDEX(Trigo!$E16:$Z16,MIN(AU$6-$G$3,22))&lt;&gt;""),Trigo!$E16:INDEX(Trigo!$E16:$Z16,MIN(AU$6-$G$3,22))),0)))))</f>
        <v>0</v>
      </c>
      <c r="AV18" s="27" t="n">
        <f aca="false">IF(COUNT(Trigo!$E16:$Z16)=0,0,MAX(0,IF((AV$6-$E$3)&lt;1,0,IFERROR(LOOKUP(2,1/(Trigo!$E16:INDEX(Trigo!$E16:$Z16,MIN(AV$6-$E$3,22))&lt;&gt;""),Trigo!$E16:INDEX(Trigo!$E16:$Z16,MIN(AV$6-$E$3,22))),0))-IF($G$2,0,IF((AV$6-$G$3)&lt;1,0,IFERROR(LOOKUP(2,1/(Trigo!$E16:INDEX(Trigo!$E16:$Z16,MIN(AV$6-$G$3,22))&lt;&gt;""),Trigo!$E16:INDEX(Trigo!$E16:$Z16,MIN(AV$6-$G$3,22))),0)))))</f>
        <v>0</v>
      </c>
      <c r="AW18" s="27" t="n">
        <f aca="false">IF(COUNT(Trigo!$E16:$Z16)=0,0,MAX(0,IF((AW$6-$E$3)&lt;1,0,IFERROR(LOOKUP(2,1/(Trigo!$E16:INDEX(Trigo!$E16:$Z16,MIN(AW$6-$E$3,22))&lt;&gt;""),Trigo!$E16:INDEX(Trigo!$E16:$Z16,MIN(AW$6-$E$3,22))),0))-IF($G$2,0,IF((AW$6-$G$3)&lt;1,0,IFERROR(LOOKUP(2,1/(Trigo!$E16:INDEX(Trigo!$E16:$Z16,MIN(AW$6-$G$3,22))&lt;&gt;""),Trigo!$E16:INDEX(Trigo!$E16:$Z16,MIN(AW$6-$G$3,22))),0)))))</f>
        <v>0</v>
      </c>
      <c r="AX18" s="27" t="n">
        <f aca="false">IF(COUNT(Trigo!$E16:$Z16)=0,0,MAX(0,IF((AX$6-$E$3)&lt;1,0,IFERROR(LOOKUP(2,1/(Trigo!$E16:INDEX(Trigo!$E16:$Z16,MIN(AX$6-$E$3,22))&lt;&gt;""),Trigo!$E16:INDEX(Trigo!$E16:$Z16,MIN(AX$6-$E$3,22))),0))-IF($G$2,0,IF((AX$6-$G$3)&lt;1,0,IFERROR(LOOKUP(2,1/(Trigo!$E16:INDEX(Trigo!$E16:$Z16,MIN(AX$6-$G$3,22))&lt;&gt;""),Trigo!$E16:INDEX(Trigo!$E16:$Z16,MIN(AX$6-$G$3,22))),0)))))</f>
        <v>0</v>
      </c>
      <c r="AY18" s="27" t="n">
        <f aca="false">IF(COUNT(Trigo!$E16:$Z16)=0,0,MAX(0,IF((AY$6-$E$3)&lt;1,0,IFERROR(LOOKUP(2,1/(Trigo!$E16:INDEX(Trigo!$E16:$Z16,MIN(AY$6-$E$3,22))&lt;&gt;""),Trigo!$E16:INDEX(Trigo!$E16:$Z16,MIN(AY$6-$E$3,22))),0))-IF($G$2,0,IF((AY$6-$G$3)&lt;1,0,IFERROR(LOOKUP(2,1/(Trigo!$E16:INDEX(Trigo!$E16:$Z16,MIN(AY$6-$G$3,22))&lt;&gt;""),Trigo!$E16:INDEX(Trigo!$E16:$Z16,MIN(AY$6-$G$3,22))),0)))))</f>
        <v>0</v>
      </c>
      <c r="AZ18" s="27" t="n">
        <f aca="false">IF(COUNT(Trigo!$E16:$Z16)=0,0,MAX(0,IF((AZ$6-$E$3)&lt;1,0,IFERROR(LOOKUP(2,1/(Trigo!$E16:INDEX(Trigo!$E16:$Z16,MIN(AZ$6-$E$3,22))&lt;&gt;""),Trigo!$E16:INDEX(Trigo!$E16:$Z16,MIN(AZ$6-$E$3,22))),0))-IF($G$2,0,IF((AZ$6-$G$3)&lt;1,0,IFERROR(LOOKUP(2,1/(Trigo!$E16:INDEX(Trigo!$E16:$Z16,MIN(AZ$6-$G$3,22))&lt;&gt;""),Trigo!$E16:INDEX(Trigo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IF(COUNT(Trigo!$E17:$Z17)&gt;0,N(Trigo!$D17),0)</f>
        <v>0</v>
      </c>
      <c r="E19" s="27" t="n">
        <f aca="false">IF(COUNT(Trigo!$E17:$Z17)=0,0,MAX(0,IF((E$6-$E$3)&lt;1,0,IFERROR(LOOKUP(2,1/(Trigo!$E17:INDEX(Trigo!$E17:$Z17,MIN(E$6-$E$3,22))&lt;&gt;""),Trigo!$E17:INDEX(Trigo!$E17:$Z17,MIN(E$6-$E$3,22))),0))-IF($G$2,0,IF((E$6-$G$3)&lt;1,0,IFERROR(LOOKUP(2,1/(Trigo!$E17:INDEX(Trigo!$E17:$Z17,MIN(E$6-$G$3,22))&lt;&gt;""),Trigo!$E17:INDEX(Trigo!$E17:$Z17,MIN(E$6-$G$3,22))),0)))))</f>
        <v>0</v>
      </c>
      <c r="F19" s="27" t="n">
        <f aca="false">IF(COUNT(Trigo!$E17:$Z17)=0,0,MAX(0,IF((F$6-$E$3)&lt;1,0,IFERROR(LOOKUP(2,1/(Trigo!$E17:INDEX(Trigo!$E17:$Z17,MIN(F$6-$E$3,22))&lt;&gt;""),Trigo!$E17:INDEX(Trigo!$E17:$Z17,MIN(F$6-$E$3,22))),0))-IF($G$2,0,IF((F$6-$G$3)&lt;1,0,IFERROR(LOOKUP(2,1/(Trigo!$E17:INDEX(Trigo!$E17:$Z17,MIN(F$6-$G$3,22))&lt;&gt;""),Trigo!$E17:INDEX(Trigo!$E17:$Z17,MIN(F$6-$G$3,22))),0)))))</f>
        <v>0</v>
      </c>
      <c r="G19" s="27" t="n">
        <f aca="false">IF(COUNT(Trigo!$E17:$Z17)=0,0,MAX(0,IF((G$6-$E$3)&lt;1,0,IFERROR(LOOKUP(2,1/(Trigo!$E17:INDEX(Trigo!$E17:$Z17,MIN(G$6-$E$3,22))&lt;&gt;""),Trigo!$E17:INDEX(Trigo!$E17:$Z17,MIN(G$6-$E$3,22))),0))-IF($G$2,0,IF((G$6-$G$3)&lt;1,0,IFERROR(LOOKUP(2,1/(Trigo!$E17:INDEX(Trigo!$E17:$Z17,MIN(G$6-$G$3,22))&lt;&gt;""),Trigo!$E17:INDEX(Trigo!$E17:$Z17,MIN(G$6-$G$3,22))),0)))))</f>
        <v>0</v>
      </c>
      <c r="H19" s="27" t="n">
        <f aca="false">IF(COUNT(Trigo!$E17:$Z17)=0,0,MAX(0,IF((H$6-$E$3)&lt;1,0,IFERROR(LOOKUP(2,1/(Trigo!$E17:INDEX(Trigo!$E17:$Z17,MIN(H$6-$E$3,22))&lt;&gt;""),Trigo!$E17:INDEX(Trigo!$E17:$Z17,MIN(H$6-$E$3,22))),0))-IF($G$2,0,IF((H$6-$G$3)&lt;1,0,IFERROR(LOOKUP(2,1/(Trigo!$E17:INDEX(Trigo!$E17:$Z17,MIN(H$6-$G$3,22))&lt;&gt;""),Trigo!$E17:INDEX(Trigo!$E17:$Z17,MIN(H$6-$G$3,22))),0)))))</f>
        <v>0</v>
      </c>
      <c r="I19" s="27" t="n">
        <f aca="false">IF(COUNT(Trigo!$E17:$Z17)=0,0,MAX(0,IF((I$6-$E$3)&lt;1,0,IFERROR(LOOKUP(2,1/(Trigo!$E17:INDEX(Trigo!$E17:$Z17,MIN(I$6-$E$3,22))&lt;&gt;""),Trigo!$E17:INDEX(Trigo!$E17:$Z17,MIN(I$6-$E$3,22))),0))-IF($G$2,0,IF((I$6-$G$3)&lt;1,0,IFERROR(LOOKUP(2,1/(Trigo!$E17:INDEX(Trigo!$E17:$Z17,MIN(I$6-$G$3,22))&lt;&gt;""),Trigo!$E17:INDEX(Trigo!$E17:$Z17,MIN(I$6-$G$3,22))),0)))))</f>
        <v>0</v>
      </c>
      <c r="J19" s="27" t="n">
        <f aca="false">IF(COUNT(Trigo!$E17:$Z17)=0,0,MAX(0,IF((J$6-$E$3)&lt;1,0,IFERROR(LOOKUP(2,1/(Trigo!$E17:INDEX(Trigo!$E17:$Z17,MIN(J$6-$E$3,22))&lt;&gt;""),Trigo!$E17:INDEX(Trigo!$E17:$Z17,MIN(J$6-$E$3,22))),0))-IF($G$2,0,IF((J$6-$G$3)&lt;1,0,IFERROR(LOOKUP(2,1/(Trigo!$E17:INDEX(Trigo!$E17:$Z17,MIN(J$6-$G$3,22))&lt;&gt;""),Trigo!$E17:INDEX(Trigo!$E17:$Z17,MIN(J$6-$G$3,22))),0)))))</f>
        <v>0</v>
      </c>
      <c r="K19" s="27" t="n">
        <f aca="false">IF(COUNT(Trigo!$E17:$Z17)=0,0,MAX(0,IF((K$6-$E$3)&lt;1,0,IFERROR(LOOKUP(2,1/(Trigo!$E17:INDEX(Trigo!$E17:$Z17,MIN(K$6-$E$3,22))&lt;&gt;""),Trigo!$E17:INDEX(Trigo!$E17:$Z17,MIN(K$6-$E$3,22))),0))-IF($G$2,0,IF((K$6-$G$3)&lt;1,0,IFERROR(LOOKUP(2,1/(Trigo!$E17:INDEX(Trigo!$E17:$Z17,MIN(K$6-$G$3,22))&lt;&gt;""),Trigo!$E17:INDEX(Trigo!$E17:$Z17,MIN(K$6-$G$3,22))),0)))))</f>
        <v>0</v>
      </c>
      <c r="L19" s="27" t="n">
        <f aca="false">IF(COUNT(Trigo!$E17:$Z17)=0,0,MAX(0,IF((L$6-$E$3)&lt;1,0,IFERROR(LOOKUP(2,1/(Trigo!$E17:INDEX(Trigo!$E17:$Z17,MIN(L$6-$E$3,22))&lt;&gt;""),Trigo!$E17:INDEX(Trigo!$E17:$Z17,MIN(L$6-$E$3,22))),0))-IF($G$2,0,IF((L$6-$G$3)&lt;1,0,IFERROR(LOOKUP(2,1/(Trigo!$E17:INDEX(Trigo!$E17:$Z17,MIN(L$6-$G$3,22))&lt;&gt;""),Trigo!$E17:INDEX(Trigo!$E17:$Z17,MIN(L$6-$G$3,22))),0)))))</f>
        <v>0</v>
      </c>
      <c r="M19" s="27" t="n">
        <f aca="false">IF(COUNT(Trigo!$E17:$Z17)=0,0,MAX(0,IF((M$6-$E$3)&lt;1,0,IFERROR(LOOKUP(2,1/(Trigo!$E17:INDEX(Trigo!$E17:$Z17,MIN(M$6-$E$3,22))&lt;&gt;""),Trigo!$E17:INDEX(Trigo!$E17:$Z17,MIN(M$6-$E$3,22))),0))-IF($G$2,0,IF((M$6-$G$3)&lt;1,0,IFERROR(LOOKUP(2,1/(Trigo!$E17:INDEX(Trigo!$E17:$Z17,MIN(M$6-$G$3,22))&lt;&gt;""),Trigo!$E17:INDEX(Trigo!$E17:$Z17,MIN(M$6-$G$3,22))),0)))))</f>
        <v>0</v>
      </c>
      <c r="N19" s="27" t="n">
        <f aca="false">IF(COUNT(Trigo!$E17:$Z17)=0,0,MAX(0,IF((N$6-$E$3)&lt;1,0,IFERROR(LOOKUP(2,1/(Trigo!$E17:INDEX(Trigo!$E17:$Z17,MIN(N$6-$E$3,22))&lt;&gt;""),Trigo!$E17:INDEX(Trigo!$E17:$Z17,MIN(N$6-$E$3,22))),0))-IF($G$2,0,IF((N$6-$G$3)&lt;1,0,IFERROR(LOOKUP(2,1/(Trigo!$E17:INDEX(Trigo!$E17:$Z17,MIN(N$6-$G$3,22))&lt;&gt;""),Trigo!$E17:INDEX(Trigo!$E17:$Z17,MIN(N$6-$G$3,22))),0)))))</f>
        <v>0</v>
      </c>
      <c r="O19" s="27" t="n">
        <f aca="false">IF(COUNT(Trigo!$E17:$Z17)=0,0,MAX(0,IF((O$6-$E$3)&lt;1,0,IFERROR(LOOKUP(2,1/(Trigo!$E17:INDEX(Trigo!$E17:$Z17,MIN(O$6-$E$3,22))&lt;&gt;""),Trigo!$E17:INDEX(Trigo!$E17:$Z17,MIN(O$6-$E$3,22))),0))-IF($G$2,0,IF((O$6-$G$3)&lt;1,0,IFERROR(LOOKUP(2,1/(Trigo!$E17:INDEX(Trigo!$E17:$Z17,MIN(O$6-$G$3,22))&lt;&gt;""),Trigo!$E17:INDEX(Trigo!$E17:$Z17,MIN(O$6-$G$3,22))),0)))))</f>
        <v>0</v>
      </c>
      <c r="P19" s="27" t="n">
        <f aca="false">IF(COUNT(Trigo!$E17:$Z17)=0,0,MAX(0,IF((P$6-$E$3)&lt;1,0,IFERROR(LOOKUP(2,1/(Trigo!$E17:INDEX(Trigo!$E17:$Z17,MIN(P$6-$E$3,22))&lt;&gt;""),Trigo!$E17:INDEX(Trigo!$E17:$Z17,MIN(P$6-$E$3,22))),0))-IF($G$2,0,IF((P$6-$G$3)&lt;1,0,IFERROR(LOOKUP(2,1/(Trigo!$E17:INDEX(Trigo!$E17:$Z17,MIN(P$6-$G$3,22))&lt;&gt;""),Trigo!$E17:INDEX(Trigo!$E17:$Z17,MIN(P$6-$G$3,22))),0)))))</f>
        <v>0</v>
      </c>
      <c r="Q19" s="27" t="n">
        <f aca="false">IF(COUNT(Trigo!$E17:$Z17)=0,0,MAX(0,IF((Q$6-$E$3)&lt;1,0,IFERROR(LOOKUP(2,1/(Trigo!$E17:INDEX(Trigo!$E17:$Z17,MIN(Q$6-$E$3,22))&lt;&gt;""),Trigo!$E17:INDEX(Trigo!$E17:$Z17,MIN(Q$6-$E$3,22))),0))-IF($G$2,0,IF((Q$6-$G$3)&lt;1,0,IFERROR(LOOKUP(2,1/(Trigo!$E17:INDEX(Trigo!$E17:$Z17,MIN(Q$6-$G$3,22))&lt;&gt;""),Trigo!$E17:INDEX(Trigo!$E17:$Z17,MIN(Q$6-$G$3,22))),0)))))</f>
        <v>0</v>
      </c>
      <c r="R19" s="27" t="n">
        <f aca="false">IF(COUNT(Trigo!$E17:$Z17)=0,0,MAX(0,IF((R$6-$E$3)&lt;1,0,IFERROR(LOOKUP(2,1/(Trigo!$E17:INDEX(Trigo!$E17:$Z17,MIN(R$6-$E$3,22))&lt;&gt;""),Trigo!$E17:INDEX(Trigo!$E17:$Z17,MIN(R$6-$E$3,22))),0))-IF($G$2,0,IF((R$6-$G$3)&lt;1,0,IFERROR(LOOKUP(2,1/(Trigo!$E17:INDEX(Trigo!$E17:$Z17,MIN(R$6-$G$3,22))&lt;&gt;""),Trigo!$E17:INDEX(Trigo!$E17:$Z17,MIN(R$6-$G$3,22))),0)))))</f>
        <v>0</v>
      </c>
      <c r="S19" s="27" t="n">
        <f aca="false">IF(COUNT(Trigo!$E17:$Z17)=0,0,MAX(0,IF((S$6-$E$3)&lt;1,0,IFERROR(LOOKUP(2,1/(Trigo!$E17:INDEX(Trigo!$E17:$Z17,MIN(S$6-$E$3,22))&lt;&gt;""),Trigo!$E17:INDEX(Trigo!$E17:$Z17,MIN(S$6-$E$3,22))),0))-IF($G$2,0,IF((S$6-$G$3)&lt;1,0,IFERROR(LOOKUP(2,1/(Trigo!$E17:INDEX(Trigo!$E17:$Z17,MIN(S$6-$G$3,22))&lt;&gt;""),Trigo!$E17:INDEX(Trigo!$E17:$Z17,MIN(S$6-$G$3,22))),0)))))</f>
        <v>0</v>
      </c>
      <c r="T19" s="27" t="n">
        <f aca="false">IF(COUNT(Trigo!$E17:$Z17)=0,0,MAX(0,IF((T$6-$E$3)&lt;1,0,IFERROR(LOOKUP(2,1/(Trigo!$E17:INDEX(Trigo!$E17:$Z17,MIN(T$6-$E$3,22))&lt;&gt;""),Trigo!$E17:INDEX(Trigo!$E17:$Z17,MIN(T$6-$E$3,22))),0))-IF($G$2,0,IF((T$6-$G$3)&lt;1,0,IFERROR(LOOKUP(2,1/(Trigo!$E17:INDEX(Trigo!$E17:$Z17,MIN(T$6-$G$3,22))&lt;&gt;""),Trigo!$E17:INDEX(Trigo!$E17:$Z17,MIN(T$6-$G$3,22))),0)))))</f>
        <v>0</v>
      </c>
      <c r="U19" s="27" t="n">
        <f aca="false">IF(COUNT(Trigo!$E17:$Z17)=0,0,MAX(0,IF((U$6-$E$3)&lt;1,0,IFERROR(LOOKUP(2,1/(Trigo!$E17:INDEX(Trigo!$E17:$Z17,MIN(U$6-$E$3,22))&lt;&gt;""),Trigo!$E17:INDEX(Trigo!$E17:$Z17,MIN(U$6-$E$3,22))),0))-IF($G$2,0,IF((U$6-$G$3)&lt;1,0,IFERROR(LOOKUP(2,1/(Trigo!$E17:INDEX(Trigo!$E17:$Z17,MIN(U$6-$G$3,22))&lt;&gt;""),Trigo!$E17:INDEX(Trigo!$E17:$Z17,MIN(U$6-$G$3,22))),0)))))</f>
        <v>0</v>
      </c>
      <c r="V19" s="27" t="n">
        <f aca="false">IF(COUNT(Trigo!$E17:$Z17)=0,0,MAX(0,IF((V$6-$E$3)&lt;1,0,IFERROR(LOOKUP(2,1/(Trigo!$E17:INDEX(Trigo!$E17:$Z17,MIN(V$6-$E$3,22))&lt;&gt;""),Trigo!$E17:INDEX(Trigo!$E17:$Z17,MIN(V$6-$E$3,22))),0))-IF($G$2,0,IF((V$6-$G$3)&lt;1,0,IFERROR(LOOKUP(2,1/(Trigo!$E17:INDEX(Trigo!$E17:$Z17,MIN(V$6-$G$3,22))&lt;&gt;""),Trigo!$E17:INDEX(Trigo!$E17:$Z17,MIN(V$6-$G$3,22))),0)))))</f>
        <v>0</v>
      </c>
      <c r="W19" s="27" t="n">
        <f aca="false">IF(COUNT(Trigo!$E17:$Z17)=0,0,MAX(0,IF((W$6-$E$3)&lt;1,0,IFERROR(LOOKUP(2,1/(Trigo!$E17:INDEX(Trigo!$E17:$Z17,MIN(W$6-$E$3,22))&lt;&gt;""),Trigo!$E17:INDEX(Trigo!$E17:$Z17,MIN(W$6-$E$3,22))),0))-IF($G$2,0,IF((W$6-$G$3)&lt;1,0,IFERROR(LOOKUP(2,1/(Trigo!$E17:INDEX(Trigo!$E17:$Z17,MIN(W$6-$G$3,22))&lt;&gt;""),Trigo!$E17:INDEX(Trigo!$E17:$Z17,MIN(W$6-$G$3,22))),0)))))</f>
        <v>0</v>
      </c>
      <c r="X19" s="27" t="n">
        <f aca="false">IF(COUNT(Trigo!$E17:$Z17)=0,0,MAX(0,IF((X$6-$E$3)&lt;1,0,IFERROR(LOOKUP(2,1/(Trigo!$E17:INDEX(Trigo!$E17:$Z17,MIN(X$6-$E$3,22))&lt;&gt;""),Trigo!$E17:INDEX(Trigo!$E17:$Z17,MIN(X$6-$E$3,22))),0))-IF($G$2,0,IF((X$6-$G$3)&lt;1,0,IFERROR(LOOKUP(2,1/(Trigo!$E17:INDEX(Trigo!$E17:$Z17,MIN(X$6-$G$3,22))&lt;&gt;""),Trigo!$E17:INDEX(Trigo!$E17:$Z17,MIN(X$6-$G$3,22))),0)))))</f>
        <v>0</v>
      </c>
      <c r="Y19" s="27" t="n">
        <f aca="false">IF(COUNT(Trigo!$E17:$Z17)=0,0,MAX(0,IF((Y$6-$E$3)&lt;1,0,IFERROR(LOOKUP(2,1/(Trigo!$E17:INDEX(Trigo!$E17:$Z17,MIN(Y$6-$E$3,22))&lt;&gt;""),Trigo!$E17:INDEX(Trigo!$E17:$Z17,MIN(Y$6-$E$3,22))),0))-IF($G$2,0,IF((Y$6-$G$3)&lt;1,0,IFERROR(LOOKUP(2,1/(Trigo!$E17:INDEX(Trigo!$E17:$Z17,MIN(Y$6-$G$3,22))&lt;&gt;""),Trigo!$E17:INDEX(Trigo!$E17:$Z17,MIN(Y$6-$G$3,22))),0)))))</f>
        <v>0</v>
      </c>
      <c r="Z19" s="27" t="n">
        <f aca="false">IF(COUNT(Trigo!$E17:$Z17)=0,0,MAX(0,IF((Z$6-$E$3)&lt;1,0,IFERROR(LOOKUP(2,1/(Trigo!$E17:INDEX(Trigo!$E17:$Z17,MIN(Z$6-$E$3,22))&lt;&gt;""),Trigo!$E17:INDEX(Trigo!$E17:$Z17,MIN(Z$6-$E$3,22))),0))-IF($G$2,0,IF((Z$6-$G$3)&lt;1,0,IFERROR(LOOKUP(2,1/(Trigo!$E17:INDEX(Trigo!$E17:$Z17,MIN(Z$6-$G$3,22))&lt;&gt;""),Trigo!$E17:INDEX(Trigo!$E17:$Z17,MIN(Z$6-$G$3,22))),0)))))</f>
        <v>0</v>
      </c>
      <c r="AA19" s="27" t="n">
        <f aca="false">IF(COUNT(Trigo!$E17:$Z17)=0,0,MAX(0,IF((AA$6-$E$3)&lt;1,0,IFERROR(LOOKUP(2,1/(Trigo!$E17:INDEX(Trigo!$E17:$Z17,MIN(AA$6-$E$3,22))&lt;&gt;""),Trigo!$E17:INDEX(Trigo!$E17:$Z17,MIN(AA$6-$E$3,22))),0))-IF($G$2,0,IF((AA$6-$G$3)&lt;1,0,IFERROR(LOOKUP(2,1/(Trigo!$E17:INDEX(Trigo!$E17:$Z17,MIN(AA$6-$G$3,22))&lt;&gt;""),Trigo!$E17:INDEX(Trigo!$E17:$Z17,MIN(AA$6-$G$3,22))),0)))))</f>
        <v>0</v>
      </c>
      <c r="AB19" s="27" t="n">
        <f aca="false">IF(COUNT(Trigo!$E17:$Z17)=0,0,MAX(0,IF((AB$6-$E$3)&lt;1,0,IFERROR(LOOKUP(2,1/(Trigo!$E17:INDEX(Trigo!$E17:$Z17,MIN(AB$6-$E$3,22))&lt;&gt;""),Trigo!$E17:INDEX(Trigo!$E17:$Z17,MIN(AB$6-$E$3,22))),0))-IF($G$2,0,IF((AB$6-$G$3)&lt;1,0,IFERROR(LOOKUP(2,1/(Trigo!$E17:INDEX(Trigo!$E17:$Z17,MIN(AB$6-$G$3,22))&lt;&gt;""),Trigo!$E17:INDEX(Trigo!$E17:$Z17,MIN(AB$6-$G$3,22))),0)))))</f>
        <v>0</v>
      </c>
      <c r="AC19" s="27" t="n">
        <f aca="false">IF(COUNT(Trigo!$E17:$Z17)=0,0,MAX(0,IF((AC$6-$E$3)&lt;1,0,IFERROR(LOOKUP(2,1/(Trigo!$E17:INDEX(Trigo!$E17:$Z17,MIN(AC$6-$E$3,22))&lt;&gt;""),Trigo!$E17:INDEX(Trigo!$E17:$Z17,MIN(AC$6-$E$3,22))),0))-IF($G$2,0,IF((AC$6-$G$3)&lt;1,0,IFERROR(LOOKUP(2,1/(Trigo!$E17:INDEX(Trigo!$E17:$Z17,MIN(AC$6-$G$3,22))&lt;&gt;""),Trigo!$E17:INDEX(Trigo!$E17:$Z17,MIN(AC$6-$G$3,22))),0)))))</f>
        <v>0</v>
      </c>
      <c r="AD19" s="27" t="n">
        <f aca="false">IF(COUNT(Trigo!$E17:$Z17)=0,0,MAX(0,IF((AD$6-$E$3)&lt;1,0,IFERROR(LOOKUP(2,1/(Trigo!$E17:INDEX(Trigo!$E17:$Z17,MIN(AD$6-$E$3,22))&lt;&gt;""),Trigo!$E17:INDEX(Trigo!$E17:$Z17,MIN(AD$6-$E$3,22))),0))-IF($G$2,0,IF((AD$6-$G$3)&lt;1,0,IFERROR(LOOKUP(2,1/(Trigo!$E17:INDEX(Trigo!$E17:$Z17,MIN(AD$6-$G$3,22))&lt;&gt;""),Trigo!$E17:INDEX(Trigo!$E17:$Z17,MIN(AD$6-$G$3,22))),0)))))</f>
        <v>0</v>
      </c>
      <c r="AE19" s="27" t="n">
        <f aca="false">IF(COUNT(Trigo!$E17:$Z17)=0,0,MAX(0,IF((AE$6-$E$3)&lt;1,0,IFERROR(LOOKUP(2,1/(Trigo!$E17:INDEX(Trigo!$E17:$Z17,MIN(AE$6-$E$3,22))&lt;&gt;""),Trigo!$E17:INDEX(Trigo!$E17:$Z17,MIN(AE$6-$E$3,22))),0))-IF($G$2,0,IF((AE$6-$G$3)&lt;1,0,IFERROR(LOOKUP(2,1/(Trigo!$E17:INDEX(Trigo!$E17:$Z17,MIN(AE$6-$G$3,22))&lt;&gt;""),Trigo!$E17:INDEX(Trigo!$E17:$Z17,MIN(AE$6-$G$3,22))),0)))))</f>
        <v>0</v>
      </c>
      <c r="AF19" s="27" t="n">
        <f aca="false">IF(COUNT(Trigo!$E17:$Z17)=0,0,MAX(0,IF((AF$6-$E$3)&lt;1,0,IFERROR(LOOKUP(2,1/(Trigo!$E17:INDEX(Trigo!$E17:$Z17,MIN(AF$6-$E$3,22))&lt;&gt;""),Trigo!$E17:INDEX(Trigo!$E17:$Z17,MIN(AF$6-$E$3,22))),0))-IF($G$2,0,IF((AF$6-$G$3)&lt;1,0,IFERROR(LOOKUP(2,1/(Trigo!$E17:INDEX(Trigo!$E17:$Z17,MIN(AF$6-$G$3,22))&lt;&gt;""),Trigo!$E17:INDEX(Trigo!$E17:$Z17,MIN(AF$6-$G$3,22))),0)))))</f>
        <v>0</v>
      </c>
      <c r="AG19" s="27" t="n">
        <f aca="false">IF(COUNT(Trigo!$E17:$Z17)=0,0,MAX(0,IF((AG$6-$E$3)&lt;1,0,IFERROR(LOOKUP(2,1/(Trigo!$E17:INDEX(Trigo!$E17:$Z17,MIN(AG$6-$E$3,22))&lt;&gt;""),Trigo!$E17:INDEX(Trigo!$E17:$Z17,MIN(AG$6-$E$3,22))),0))-IF($G$2,0,IF((AG$6-$G$3)&lt;1,0,IFERROR(LOOKUP(2,1/(Trigo!$E17:INDEX(Trigo!$E17:$Z17,MIN(AG$6-$G$3,22))&lt;&gt;""),Trigo!$E17:INDEX(Trigo!$E17:$Z17,MIN(AG$6-$G$3,22))),0)))))</f>
        <v>0</v>
      </c>
      <c r="AH19" s="27" t="n">
        <f aca="false">IF(COUNT(Trigo!$E17:$Z17)=0,0,MAX(0,IF((AH$6-$E$3)&lt;1,0,IFERROR(LOOKUP(2,1/(Trigo!$E17:INDEX(Trigo!$E17:$Z17,MIN(AH$6-$E$3,22))&lt;&gt;""),Trigo!$E17:INDEX(Trigo!$E17:$Z17,MIN(AH$6-$E$3,22))),0))-IF($G$2,0,IF((AH$6-$G$3)&lt;1,0,IFERROR(LOOKUP(2,1/(Trigo!$E17:INDEX(Trigo!$E17:$Z17,MIN(AH$6-$G$3,22))&lt;&gt;""),Trigo!$E17:INDEX(Trigo!$E17:$Z17,MIN(AH$6-$G$3,22))),0)))))</f>
        <v>0</v>
      </c>
      <c r="AI19" s="27" t="n">
        <f aca="false">IF(COUNT(Trigo!$E17:$Z17)=0,0,MAX(0,IF((AI$6-$E$3)&lt;1,0,IFERROR(LOOKUP(2,1/(Trigo!$E17:INDEX(Trigo!$E17:$Z17,MIN(AI$6-$E$3,22))&lt;&gt;""),Trigo!$E17:INDEX(Trigo!$E17:$Z17,MIN(AI$6-$E$3,22))),0))-IF($G$2,0,IF((AI$6-$G$3)&lt;1,0,IFERROR(LOOKUP(2,1/(Trigo!$E17:INDEX(Trigo!$E17:$Z17,MIN(AI$6-$G$3,22))&lt;&gt;""),Trigo!$E17:INDEX(Trigo!$E17:$Z17,MIN(AI$6-$G$3,22))),0)))))</f>
        <v>0</v>
      </c>
      <c r="AJ19" s="27" t="n">
        <f aca="false">IF(COUNT(Trigo!$E17:$Z17)=0,0,MAX(0,IF((AJ$6-$E$3)&lt;1,0,IFERROR(LOOKUP(2,1/(Trigo!$E17:INDEX(Trigo!$E17:$Z17,MIN(AJ$6-$E$3,22))&lt;&gt;""),Trigo!$E17:INDEX(Trigo!$E17:$Z17,MIN(AJ$6-$E$3,22))),0))-IF($G$2,0,IF((AJ$6-$G$3)&lt;1,0,IFERROR(LOOKUP(2,1/(Trigo!$E17:INDEX(Trigo!$E17:$Z17,MIN(AJ$6-$G$3,22))&lt;&gt;""),Trigo!$E17:INDEX(Trigo!$E17:$Z17,MIN(AJ$6-$G$3,22))),0)))))</f>
        <v>0</v>
      </c>
      <c r="AK19" s="27" t="n">
        <f aca="false">IF(COUNT(Trigo!$E17:$Z17)=0,0,MAX(0,IF((AK$6-$E$3)&lt;1,0,IFERROR(LOOKUP(2,1/(Trigo!$E17:INDEX(Trigo!$E17:$Z17,MIN(AK$6-$E$3,22))&lt;&gt;""),Trigo!$E17:INDEX(Trigo!$E17:$Z17,MIN(AK$6-$E$3,22))),0))-IF($G$2,0,IF((AK$6-$G$3)&lt;1,0,IFERROR(LOOKUP(2,1/(Trigo!$E17:INDEX(Trigo!$E17:$Z17,MIN(AK$6-$G$3,22))&lt;&gt;""),Trigo!$E17:INDEX(Trigo!$E17:$Z17,MIN(AK$6-$G$3,22))),0)))))</f>
        <v>0</v>
      </c>
      <c r="AL19" s="27" t="n">
        <f aca="false">IF(COUNT(Trigo!$E17:$Z17)=0,0,MAX(0,IF((AL$6-$E$3)&lt;1,0,IFERROR(LOOKUP(2,1/(Trigo!$E17:INDEX(Trigo!$E17:$Z17,MIN(AL$6-$E$3,22))&lt;&gt;""),Trigo!$E17:INDEX(Trigo!$E17:$Z17,MIN(AL$6-$E$3,22))),0))-IF($G$2,0,IF((AL$6-$G$3)&lt;1,0,IFERROR(LOOKUP(2,1/(Trigo!$E17:INDEX(Trigo!$E17:$Z17,MIN(AL$6-$G$3,22))&lt;&gt;""),Trigo!$E17:INDEX(Trigo!$E17:$Z17,MIN(AL$6-$G$3,22))),0)))))</f>
        <v>0</v>
      </c>
      <c r="AM19" s="27" t="n">
        <f aca="false">IF(COUNT(Trigo!$E17:$Z17)=0,0,MAX(0,IF((AM$6-$E$3)&lt;1,0,IFERROR(LOOKUP(2,1/(Trigo!$E17:INDEX(Trigo!$E17:$Z17,MIN(AM$6-$E$3,22))&lt;&gt;""),Trigo!$E17:INDEX(Trigo!$E17:$Z17,MIN(AM$6-$E$3,22))),0))-IF($G$2,0,IF((AM$6-$G$3)&lt;1,0,IFERROR(LOOKUP(2,1/(Trigo!$E17:INDEX(Trigo!$E17:$Z17,MIN(AM$6-$G$3,22))&lt;&gt;""),Trigo!$E17:INDEX(Trigo!$E17:$Z17,MIN(AM$6-$G$3,22))),0)))))</f>
        <v>0</v>
      </c>
      <c r="AN19" s="27" t="n">
        <f aca="false">IF(COUNT(Trigo!$E17:$Z17)=0,0,MAX(0,IF((AN$6-$E$3)&lt;1,0,IFERROR(LOOKUP(2,1/(Trigo!$E17:INDEX(Trigo!$E17:$Z17,MIN(AN$6-$E$3,22))&lt;&gt;""),Trigo!$E17:INDEX(Trigo!$E17:$Z17,MIN(AN$6-$E$3,22))),0))-IF($G$2,0,IF((AN$6-$G$3)&lt;1,0,IFERROR(LOOKUP(2,1/(Trigo!$E17:INDEX(Trigo!$E17:$Z17,MIN(AN$6-$G$3,22))&lt;&gt;""),Trigo!$E17:INDEX(Trigo!$E17:$Z17,MIN(AN$6-$G$3,22))),0)))))</f>
        <v>0</v>
      </c>
      <c r="AO19" s="27" t="n">
        <f aca="false">IF(COUNT(Trigo!$E17:$Z17)=0,0,MAX(0,IF((AO$6-$E$3)&lt;1,0,IFERROR(LOOKUP(2,1/(Trigo!$E17:INDEX(Trigo!$E17:$Z17,MIN(AO$6-$E$3,22))&lt;&gt;""),Trigo!$E17:INDEX(Trigo!$E17:$Z17,MIN(AO$6-$E$3,22))),0))-IF($G$2,0,IF((AO$6-$G$3)&lt;1,0,IFERROR(LOOKUP(2,1/(Trigo!$E17:INDEX(Trigo!$E17:$Z17,MIN(AO$6-$G$3,22))&lt;&gt;""),Trigo!$E17:INDEX(Trigo!$E17:$Z17,MIN(AO$6-$G$3,22))),0)))))</f>
        <v>0</v>
      </c>
      <c r="AP19" s="27" t="n">
        <f aca="false">IF(COUNT(Trigo!$E17:$Z17)=0,0,MAX(0,IF((AP$6-$E$3)&lt;1,0,IFERROR(LOOKUP(2,1/(Trigo!$E17:INDEX(Trigo!$E17:$Z17,MIN(AP$6-$E$3,22))&lt;&gt;""),Trigo!$E17:INDEX(Trigo!$E17:$Z17,MIN(AP$6-$E$3,22))),0))-IF($G$2,0,IF((AP$6-$G$3)&lt;1,0,IFERROR(LOOKUP(2,1/(Trigo!$E17:INDEX(Trigo!$E17:$Z17,MIN(AP$6-$G$3,22))&lt;&gt;""),Trigo!$E17:INDEX(Trigo!$E17:$Z17,MIN(AP$6-$G$3,22))),0)))))</f>
        <v>0</v>
      </c>
      <c r="AQ19" s="27" t="n">
        <f aca="false">IF(COUNT(Trigo!$E17:$Z17)=0,0,MAX(0,IF((AQ$6-$E$3)&lt;1,0,IFERROR(LOOKUP(2,1/(Trigo!$E17:INDEX(Trigo!$E17:$Z17,MIN(AQ$6-$E$3,22))&lt;&gt;""),Trigo!$E17:INDEX(Trigo!$E17:$Z17,MIN(AQ$6-$E$3,22))),0))-IF($G$2,0,IF((AQ$6-$G$3)&lt;1,0,IFERROR(LOOKUP(2,1/(Trigo!$E17:INDEX(Trigo!$E17:$Z17,MIN(AQ$6-$G$3,22))&lt;&gt;""),Trigo!$E17:INDEX(Trigo!$E17:$Z17,MIN(AQ$6-$G$3,22))),0)))))</f>
        <v>0</v>
      </c>
      <c r="AR19" s="27" t="n">
        <f aca="false">IF(COUNT(Trigo!$E17:$Z17)=0,0,MAX(0,IF((AR$6-$E$3)&lt;1,0,IFERROR(LOOKUP(2,1/(Trigo!$E17:INDEX(Trigo!$E17:$Z17,MIN(AR$6-$E$3,22))&lt;&gt;""),Trigo!$E17:INDEX(Trigo!$E17:$Z17,MIN(AR$6-$E$3,22))),0))-IF($G$2,0,IF((AR$6-$G$3)&lt;1,0,IFERROR(LOOKUP(2,1/(Trigo!$E17:INDEX(Trigo!$E17:$Z17,MIN(AR$6-$G$3,22))&lt;&gt;""),Trigo!$E17:INDEX(Trigo!$E17:$Z17,MIN(AR$6-$G$3,22))),0)))))</f>
        <v>0</v>
      </c>
      <c r="AS19" s="27" t="n">
        <f aca="false">IF(COUNT(Trigo!$E17:$Z17)=0,0,MAX(0,IF((AS$6-$E$3)&lt;1,0,IFERROR(LOOKUP(2,1/(Trigo!$E17:INDEX(Trigo!$E17:$Z17,MIN(AS$6-$E$3,22))&lt;&gt;""),Trigo!$E17:INDEX(Trigo!$E17:$Z17,MIN(AS$6-$E$3,22))),0))-IF($G$2,0,IF((AS$6-$G$3)&lt;1,0,IFERROR(LOOKUP(2,1/(Trigo!$E17:INDEX(Trigo!$E17:$Z17,MIN(AS$6-$G$3,22))&lt;&gt;""),Trigo!$E17:INDEX(Trigo!$E17:$Z17,MIN(AS$6-$G$3,22))),0)))))</f>
        <v>0</v>
      </c>
      <c r="AT19" s="27" t="n">
        <f aca="false">IF(COUNT(Trigo!$E17:$Z17)=0,0,MAX(0,IF((AT$6-$E$3)&lt;1,0,IFERROR(LOOKUP(2,1/(Trigo!$E17:INDEX(Trigo!$E17:$Z17,MIN(AT$6-$E$3,22))&lt;&gt;""),Trigo!$E17:INDEX(Trigo!$E17:$Z17,MIN(AT$6-$E$3,22))),0))-IF($G$2,0,IF((AT$6-$G$3)&lt;1,0,IFERROR(LOOKUP(2,1/(Trigo!$E17:INDEX(Trigo!$E17:$Z17,MIN(AT$6-$G$3,22))&lt;&gt;""),Trigo!$E17:INDEX(Trigo!$E17:$Z17,MIN(AT$6-$G$3,22))),0)))))</f>
        <v>0</v>
      </c>
      <c r="AU19" s="27" t="n">
        <f aca="false">IF(COUNT(Trigo!$E17:$Z17)=0,0,MAX(0,IF((AU$6-$E$3)&lt;1,0,IFERROR(LOOKUP(2,1/(Trigo!$E17:INDEX(Trigo!$E17:$Z17,MIN(AU$6-$E$3,22))&lt;&gt;""),Trigo!$E17:INDEX(Trigo!$E17:$Z17,MIN(AU$6-$E$3,22))),0))-IF($G$2,0,IF((AU$6-$G$3)&lt;1,0,IFERROR(LOOKUP(2,1/(Trigo!$E17:INDEX(Trigo!$E17:$Z17,MIN(AU$6-$G$3,22))&lt;&gt;""),Trigo!$E17:INDEX(Trigo!$E17:$Z17,MIN(AU$6-$G$3,22))),0)))))</f>
        <v>0</v>
      </c>
      <c r="AV19" s="27" t="n">
        <f aca="false">IF(COUNT(Trigo!$E17:$Z17)=0,0,MAX(0,IF((AV$6-$E$3)&lt;1,0,IFERROR(LOOKUP(2,1/(Trigo!$E17:INDEX(Trigo!$E17:$Z17,MIN(AV$6-$E$3,22))&lt;&gt;""),Trigo!$E17:INDEX(Trigo!$E17:$Z17,MIN(AV$6-$E$3,22))),0))-IF($G$2,0,IF((AV$6-$G$3)&lt;1,0,IFERROR(LOOKUP(2,1/(Trigo!$E17:INDEX(Trigo!$E17:$Z17,MIN(AV$6-$G$3,22))&lt;&gt;""),Trigo!$E17:INDEX(Trigo!$E17:$Z17,MIN(AV$6-$G$3,22))),0)))))</f>
        <v>0</v>
      </c>
      <c r="AW19" s="27" t="n">
        <f aca="false">IF(COUNT(Trigo!$E17:$Z17)=0,0,MAX(0,IF((AW$6-$E$3)&lt;1,0,IFERROR(LOOKUP(2,1/(Trigo!$E17:INDEX(Trigo!$E17:$Z17,MIN(AW$6-$E$3,22))&lt;&gt;""),Trigo!$E17:INDEX(Trigo!$E17:$Z17,MIN(AW$6-$E$3,22))),0))-IF($G$2,0,IF((AW$6-$G$3)&lt;1,0,IFERROR(LOOKUP(2,1/(Trigo!$E17:INDEX(Trigo!$E17:$Z17,MIN(AW$6-$G$3,22))&lt;&gt;""),Trigo!$E17:INDEX(Trigo!$E17:$Z17,MIN(AW$6-$G$3,22))),0)))))</f>
        <v>0</v>
      </c>
      <c r="AX19" s="27" t="n">
        <f aca="false">IF(COUNT(Trigo!$E17:$Z17)=0,0,MAX(0,IF((AX$6-$E$3)&lt;1,0,IFERROR(LOOKUP(2,1/(Trigo!$E17:INDEX(Trigo!$E17:$Z17,MIN(AX$6-$E$3,22))&lt;&gt;""),Trigo!$E17:INDEX(Trigo!$E17:$Z17,MIN(AX$6-$E$3,22))),0))-IF($G$2,0,IF((AX$6-$G$3)&lt;1,0,IFERROR(LOOKUP(2,1/(Trigo!$E17:INDEX(Trigo!$E17:$Z17,MIN(AX$6-$G$3,22))&lt;&gt;""),Trigo!$E17:INDEX(Trigo!$E17:$Z17,MIN(AX$6-$G$3,22))),0)))))</f>
        <v>0</v>
      </c>
      <c r="AY19" s="27" t="n">
        <f aca="false">IF(COUNT(Trigo!$E17:$Z17)=0,0,MAX(0,IF((AY$6-$E$3)&lt;1,0,IFERROR(LOOKUP(2,1/(Trigo!$E17:INDEX(Trigo!$E17:$Z17,MIN(AY$6-$E$3,22))&lt;&gt;""),Trigo!$E17:INDEX(Trigo!$E17:$Z17,MIN(AY$6-$E$3,22))),0))-IF($G$2,0,IF((AY$6-$G$3)&lt;1,0,IFERROR(LOOKUP(2,1/(Trigo!$E17:INDEX(Trigo!$E17:$Z17,MIN(AY$6-$G$3,22))&lt;&gt;""),Trigo!$E17:INDEX(Trigo!$E17:$Z17,MIN(AY$6-$G$3,22))),0)))))</f>
        <v>0</v>
      </c>
      <c r="AZ19" s="27" t="n">
        <f aca="false">IF(COUNT(Trigo!$E17:$Z17)=0,0,MAX(0,IF((AZ$6-$E$3)&lt;1,0,IFERROR(LOOKUP(2,1/(Trigo!$E17:INDEX(Trigo!$E17:$Z17,MIN(AZ$6-$E$3,22))&lt;&gt;""),Trigo!$E17:INDEX(Trigo!$E17:$Z17,MIN(AZ$6-$E$3,22))),0))-IF($G$2,0,IF((AZ$6-$G$3)&lt;1,0,IFERROR(LOOKUP(2,1/(Trigo!$E17:INDEX(Trigo!$E17:$Z17,MIN(AZ$6-$G$3,22))&lt;&gt;""),Trigo!$E17:INDEX(Trigo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IF(COUNT(Trigo!$E18:$Z18)&gt;0,N(Trigo!$D18),0)</f>
        <v>0</v>
      </c>
      <c r="E20" s="27" t="n">
        <f aca="false">IF(COUNT(Trigo!$E18:$Z18)=0,0,MAX(0,IF((E$6-$E$3)&lt;1,0,IFERROR(LOOKUP(2,1/(Trigo!$E18:INDEX(Trigo!$E18:$Z18,MIN(E$6-$E$3,22))&lt;&gt;""),Trigo!$E18:INDEX(Trigo!$E18:$Z18,MIN(E$6-$E$3,22))),0))-IF($G$2,0,IF((E$6-$G$3)&lt;1,0,IFERROR(LOOKUP(2,1/(Trigo!$E18:INDEX(Trigo!$E18:$Z18,MIN(E$6-$G$3,22))&lt;&gt;""),Trigo!$E18:INDEX(Trigo!$E18:$Z18,MIN(E$6-$G$3,22))),0)))))</f>
        <v>0</v>
      </c>
      <c r="F20" s="27" t="n">
        <f aca="false">IF(COUNT(Trigo!$E18:$Z18)=0,0,MAX(0,IF((F$6-$E$3)&lt;1,0,IFERROR(LOOKUP(2,1/(Trigo!$E18:INDEX(Trigo!$E18:$Z18,MIN(F$6-$E$3,22))&lt;&gt;""),Trigo!$E18:INDEX(Trigo!$E18:$Z18,MIN(F$6-$E$3,22))),0))-IF($G$2,0,IF((F$6-$G$3)&lt;1,0,IFERROR(LOOKUP(2,1/(Trigo!$E18:INDEX(Trigo!$E18:$Z18,MIN(F$6-$G$3,22))&lt;&gt;""),Trigo!$E18:INDEX(Trigo!$E18:$Z18,MIN(F$6-$G$3,22))),0)))))</f>
        <v>0</v>
      </c>
      <c r="G20" s="27" t="n">
        <f aca="false">IF(COUNT(Trigo!$E18:$Z18)=0,0,MAX(0,IF((G$6-$E$3)&lt;1,0,IFERROR(LOOKUP(2,1/(Trigo!$E18:INDEX(Trigo!$E18:$Z18,MIN(G$6-$E$3,22))&lt;&gt;""),Trigo!$E18:INDEX(Trigo!$E18:$Z18,MIN(G$6-$E$3,22))),0))-IF($G$2,0,IF((G$6-$G$3)&lt;1,0,IFERROR(LOOKUP(2,1/(Trigo!$E18:INDEX(Trigo!$E18:$Z18,MIN(G$6-$G$3,22))&lt;&gt;""),Trigo!$E18:INDEX(Trigo!$E18:$Z18,MIN(G$6-$G$3,22))),0)))))</f>
        <v>0</v>
      </c>
      <c r="H20" s="27" t="n">
        <f aca="false">IF(COUNT(Trigo!$E18:$Z18)=0,0,MAX(0,IF((H$6-$E$3)&lt;1,0,IFERROR(LOOKUP(2,1/(Trigo!$E18:INDEX(Trigo!$E18:$Z18,MIN(H$6-$E$3,22))&lt;&gt;""),Trigo!$E18:INDEX(Trigo!$E18:$Z18,MIN(H$6-$E$3,22))),0))-IF($G$2,0,IF((H$6-$G$3)&lt;1,0,IFERROR(LOOKUP(2,1/(Trigo!$E18:INDEX(Trigo!$E18:$Z18,MIN(H$6-$G$3,22))&lt;&gt;""),Trigo!$E18:INDEX(Trigo!$E18:$Z18,MIN(H$6-$G$3,22))),0)))))</f>
        <v>0</v>
      </c>
      <c r="I20" s="27" t="n">
        <f aca="false">IF(COUNT(Trigo!$E18:$Z18)=0,0,MAX(0,IF((I$6-$E$3)&lt;1,0,IFERROR(LOOKUP(2,1/(Trigo!$E18:INDEX(Trigo!$E18:$Z18,MIN(I$6-$E$3,22))&lt;&gt;""),Trigo!$E18:INDEX(Trigo!$E18:$Z18,MIN(I$6-$E$3,22))),0))-IF($G$2,0,IF((I$6-$G$3)&lt;1,0,IFERROR(LOOKUP(2,1/(Trigo!$E18:INDEX(Trigo!$E18:$Z18,MIN(I$6-$G$3,22))&lt;&gt;""),Trigo!$E18:INDEX(Trigo!$E18:$Z18,MIN(I$6-$G$3,22))),0)))))</f>
        <v>0</v>
      </c>
      <c r="J20" s="27" t="n">
        <f aca="false">IF(COUNT(Trigo!$E18:$Z18)=0,0,MAX(0,IF((J$6-$E$3)&lt;1,0,IFERROR(LOOKUP(2,1/(Trigo!$E18:INDEX(Trigo!$E18:$Z18,MIN(J$6-$E$3,22))&lt;&gt;""),Trigo!$E18:INDEX(Trigo!$E18:$Z18,MIN(J$6-$E$3,22))),0))-IF($G$2,0,IF((J$6-$G$3)&lt;1,0,IFERROR(LOOKUP(2,1/(Trigo!$E18:INDEX(Trigo!$E18:$Z18,MIN(J$6-$G$3,22))&lt;&gt;""),Trigo!$E18:INDEX(Trigo!$E18:$Z18,MIN(J$6-$G$3,22))),0)))))</f>
        <v>0</v>
      </c>
      <c r="K20" s="27" t="n">
        <f aca="false">IF(COUNT(Trigo!$E18:$Z18)=0,0,MAX(0,IF((K$6-$E$3)&lt;1,0,IFERROR(LOOKUP(2,1/(Trigo!$E18:INDEX(Trigo!$E18:$Z18,MIN(K$6-$E$3,22))&lt;&gt;""),Trigo!$E18:INDEX(Trigo!$E18:$Z18,MIN(K$6-$E$3,22))),0))-IF($G$2,0,IF((K$6-$G$3)&lt;1,0,IFERROR(LOOKUP(2,1/(Trigo!$E18:INDEX(Trigo!$E18:$Z18,MIN(K$6-$G$3,22))&lt;&gt;""),Trigo!$E18:INDEX(Trigo!$E18:$Z18,MIN(K$6-$G$3,22))),0)))))</f>
        <v>0</v>
      </c>
      <c r="L20" s="27" t="n">
        <f aca="false">IF(COUNT(Trigo!$E18:$Z18)=0,0,MAX(0,IF((L$6-$E$3)&lt;1,0,IFERROR(LOOKUP(2,1/(Trigo!$E18:INDEX(Trigo!$E18:$Z18,MIN(L$6-$E$3,22))&lt;&gt;""),Trigo!$E18:INDEX(Trigo!$E18:$Z18,MIN(L$6-$E$3,22))),0))-IF($G$2,0,IF((L$6-$G$3)&lt;1,0,IFERROR(LOOKUP(2,1/(Trigo!$E18:INDEX(Trigo!$E18:$Z18,MIN(L$6-$G$3,22))&lt;&gt;""),Trigo!$E18:INDEX(Trigo!$E18:$Z18,MIN(L$6-$G$3,22))),0)))))</f>
        <v>0</v>
      </c>
      <c r="M20" s="27" t="n">
        <f aca="false">IF(COUNT(Trigo!$E18:$Z18)=0,0,MAX(0,IF((M$6-$E$3)&lt;1,0,IFERROR(LOOKUP(2,1/(Trigo!$E18:INDEX(Trigo!$E18:$Z18,MIN(M$6-$E$3,22))&lt;&gt;""),Trigo!$E18:INDEX(Trigo!$E18:$Z18,MIN(M$6-$E$3,22))),0))-IF($G$2,0,IF((M$6-$G$3)&lt;1,0,IFERROR(LOOKUP(2,1/(Trigo!$E18:INDEX(Trigo!$E18:$Z18,MIN(M$6-$G$3,22))&lt;&gt;""),Trigo!$E18:INDEX(Trigo!$E18:$Z18,MIN(M$6-$G$3,22))),0)))))</f>
        <v>0</v>
      </c>
      <c r="N20" s="27" t="n">
        <f aca="false">IF(COUNT(Trigo!$E18:$Z18)=0,0,MAX(0,IF((N$6-$E$3)&lt;1,0,IFERROR(LOOKUP(2,1/(Trigo!$E18:INDEX(Trigo!$E18:$Z18,MIN(N$6-$E$3,22))&lt;&gt;""),Trigo!$E18:INDEX(Trigo!$E18:$Z18,MIN(N$6-$E$3,22))),0))-IF($G$2,0,IF((N$6-$G$3)&lt;1,0,IFERROR(LOOKUP(2,1/(Trigo!$E18:INDEX(Trigo!$E18:$Z18,MIN(N$6-$G$3,22))&lt;&gt;""),Trigo!$E18:INDEX(Trigo!$E18:$Z18,MIN(N$6-$G$3,22))),0)))))</f>
        <v>0</v>
      </c>
      <c r="O20" s="27" t="n">
        <f aca="false">IF(COUNT(Trigo!$E18:$Z18)=0,0,MAX(0,IF((O$6-$E$3)&lt;1,0,IFERROR(LOOKUP(2,1/(Trigo!$E18:INDEX(Trigo!$E18:$Z18,MIN(O$6-$E$3,22))&lt;&gt;""),Trigo!$E18:INDEX(Trigo!$E18:$Z18,MIN(O$6-$E$3,22))),0))-IF($G$2,0,IF((O$6-$G$3)&lt;1,0,IFERROR(LOOKUP(2,1/(Trigo!$E18:INDEX(Trigo!$E18:$Z18,MIN(O$6-$G$3,22))&lt;&gt;""),Trigo!$E18:INDEX(Trigo!$E18:$Z18,MIN(O$6-$G$3,22))),0)))))</f>
        <v>0</v>
      </c>
      <c r="P20" s="27" t="n">
        <f aca="false">IF(COUNT(Trigo!$E18:$Z18)=0,0,MAX(0,IF((P$6-$E$3)&lt;1,0,IFERROR(LOOKUP(2,1/(Trigo!$E18:INDEX(Trigo!$E18:$Z18,MIN(P$6-$E$3,22))&lt;&gt;""),Trigo!$E18:INDEX(Trigo!$E18:$Z18,MIN(P$6-$E$3,22))),0))-IF($G$2,0,IF((P$6-$G$3)&lt;1,0,IFERROR(LOOKUP(2,1/(Trigo!$E18:INDEX(Trigo!$E18:$Z18,MIN(P$6-$G$3,22))&lt;&gt;""),Trigo!$E18:INDEX(Trigo!$E18:$Z18,MIN(P$6-$G$3,22))),0)))))</f>
        <v>0</v>
      </c>
      <c r="Q20" s="27" t="n">
        <f aca="false">IF(COUNT(Trigo!$E18:$Z18)=0,0,MAX(0,IF((Q$6-$E$3)&lt;1,0,IFERROR(LOOKUP(2,1/(Trigo!$E18:INDEX(Trigo!$E18:$Z18,MIN(Q$6-$E$3,22))&lt;&gt;""),Trigo!$E18:INDEX(Trigo!$E18:$Z18,MIN(Q$6-$E$3,22))),0))-IF($G$2,0,IF((Q$6-$G$3)&lt;1,0,IFERROR(LOOKUP(2,1/(Trigo!$E18:INDEX(Trigo!$E18:$Z18,MIN(Q$6-$G$3,22))&lt;&gt;""),Trigo!$E18:INDEX(Trigo!$E18:$Z18,MIN(Q$6-$G$3,22))),0)))))</f>
        <v>0</v>
      </c>
      <c r="R20" s="27" t="n">
        <f aca="false">IF(COUNT(Trigo!$E18:$Z18)=0,0,MAX(0,IF((R$6-$E$3)&lt;1,0,IFERROR(LOOKUP(2,1/(Trigo!$E18:INDEX(Trigo!$E18:$Z18,MIN(R$6-$E$3,22))&lt;&gt;""),Trigo!$E18:INDEX(Trigo!$E18:$Z18,MIN(R$6-$E$3,22))),0))-IF($G$2,0,IF((R$6-$G$3)&lt;1,0,IFERROR(LOOKUP(2,1/(Trigo!$E18:INDEX(Trigo!$E18:$Z18,MIN(R$6-$G$3,22))&lt;&gt;""),Trigo!$E18:INDEX(Trigo!$E18:$Z18,MIN(R$6-$G$3,22))),0)))))</f>
        <v>0</v>
      </c>
      <c r="S20" s="27" t="n">
        <f aca="false">IF(COUNT(Trigo!$E18:$Z18)=0,0,MAX(0,IF((S$6-$E$3)&lt;1,0,IFERROR(LOOKUP(2,1/(Trigo!$E18:INDEX(Trigo!$E18:$Z18,MIN(S$6-$E$3,22))&lt;&gt;""),Trigo!$E18:INDEX(Trigo!$E18:$Z18,MIN(S$6-$E$3,22))),0))-IF($G$2,0,IF((S$6-$G$3)&lt;1,0,IFERROR(LOOKUP(2,1/(Trigo!$E18:INDEX(Trigo!$E18:$Z18,MIN(S$6-$G$3,22))&lt;&gt;""),Trigo!$E18:INDEX(Trigo!$E18:$Z18,MIN(S$6-$G$3,22))),0)))))</f>
        <v>0</v>
      </c>
      <c r="T20" s="27" t="n">
        <f aca="false">IF(COUNT(Trigo!$E18:$Z18)=0,0,MAX(0,IF((T$6-$E$3)&lt;1,0,IFERROR(LOOKUP(2,1/(Trigo!$E18:INDEX(Trigo!$E18:$Z18,MIN(T$6-$E$3,22))&lt;&gt;""),Trigo!$E18:INDEX(Trigo!$E18:$Z18,MIN(T$6-$E$3,22))),0))-IF($G$2,0,IF((T$6-$G$3)&lt;1,0,IFERROR(LOOKUP(2,1/(Trigo!$E18:INDEX(Trigo!$E18:$Z18,MIN(T$6-$G$3,22))&lt;&gt;""),Trigo!$E18:INDEX(Trigo!$E18:$Z18,MIN(T$6-$G$3,22))),0)))))</f>
        <v>0</v>
      </c>
      <c r="U20" s="27" t="n">
        <f aca="false">IF(COUNT(Trigo!$E18:$Z18)=0,0,MAX(0,IF((U$6-$E$3)&lt;1,0,IFERROR(LOOKUP(2,1/(Trigo!$E18:INDEX(Trigo!$E18:$Z18,MIN(U$6-$E$3,22))&lt;&gt;""),Trigo!$E18:INDEX(Trigo!$E18:$Z18,MIN(U$6-$E$3,22))),0))-IF($G$2,0,IF((U$6-$G$3)&lt;1,0,IFERROR(LOOKUP(2,1/(Trigo!$E18:INDEX(Trigo!$E18:$Z18,MIN(U$6-$G$3,22))&lt;&gt;""),Trigo!$E18:INDEX(Trigo!$E18:$Z18,MIN(U$6-$G$3,22))),0)))))</f>
        <v>0</v>
      </c>
      <c r="V20" s="27" t="n">
        <f aca="false">IF(COUNT(Trigo!$E18:$Z18)=0,0,MAX(0,IF((V$6-$E$3)&lt;1,0,IFERROR(LOOKUP(2,1/(Trigo!$E18:INDEX(Trigo!$E18:$Z18,MIN(V$6-$E$3,22))&lt;&gt;""),Trigo!$E18:INDEX(Trigo!$E18:$Z18,MIN(V$6-$E$3,22))),0))-IF($G$2,0,IF((V$6-$G$3)&lt;1,0,IFERROR(LOOKUP(2,1/(Trigo!$E18:INDEX(Trigo!$E18:$Z18,MIN(V$6-$G$3,22))&lt;&gt;""),Trigo!$E18:INDEX(Trigo!$E18:$Z18,MIN(V$6-$G$3,22))),0)))))</f>
        <v>0</v>
      </c>
      <c r="W20" s="27" t="n">
        <f aca="false">IF(COUNT(Trigo!$E18:$Z18)=0,0,MAX(0,IF((W$6-$E$3)&lt;1,0,IFERROR(LOOKUP(2,1/(Trigo!$E18:INDEX(Trigo!$E18:$Z18,MIN(W$6-$E$3,22))&lt;&gt;""),Trigo!$E18:INDEX(Trigo!$E18:$Z18,MIN(W$6-$E$3,22))),0))-IF($G$2,0,IF((W$6-$G$3)&lt;1,0,IFERROR(LOOKUP(2,1/(Trigo!$E18:INDEX(Trigo!$E18:$Z18,MIN(W$6-$G$3,22))&lt;&gt;""),Trigo!$E18:INDEX(Trigo!$E18:$Z18,MIN(W$6-$G$3,22))),0)))))</f>
        <v>0</v>
      </c>
      <c r="X20" s="27" t="n">
        <f aca="false">IF(COUNT(Trigo!$E18:$Z18)=0,0,MAX(0,IF((X$6-$E$3)&lt;1,0,IFERROR(LOOKUP(2,1/(Trigo!$E18:INDEX(Trigo!$E18:$Z18,MIN(X$6-$E$3,22))&lt;&gt;""),Trigo!$E18:INDEX(Trigo!$E18:$Z18,MIN(X$6-$E$3,22))),0))-IF($G$2,0,IF((X$6-$G$3)&lt;1,0,IFERROR(LOOKUP(2,1/(Trigo!$E18:INDEX(Trigo!$E18:$Z18,MIN(X$6-$G$3,22))&lt;&gt;""),Trigo!$E18:INDEX(Trigo!$E18:$Z18,MIN(X$6-$G$3,22))),0)))))</f>
        <v>0</v>
      </c>
      <c r="Y20" s="27" t="n">
        <f aca="false">IF(COUNT(Trigo!$E18:$Z18)=0,0,MAX(0,IF((Y$6-$E$3)&lt;1,0,IFERROR(LOOKUP(2,1/(Trigo!$E18:INDEX(Trigo!$E18:$Z18,MIN(Y$6-$E$3,22))&lt;&gt;""),Trigo!$E18:INDEX(Trigo!$E18:$Z18,MIN(Y$6-$E$3,22))),0))-IF($G$2,0,IF((Y$6-$G$3)&lt;1,0,IFERROR(LOOKUP(2,1/(Trigo!$E18:INDEX(Trigo!$E18:$Z18,MIN(Y$6-$G$3,22))&lt;&gt;""),Trigo!$E18:INDEX(Trigo!$E18:$Z18,MIN(Y$6-$G$3,22))),0)))))</f>
        <v>0</v>
      </c>
      <c r="Z20" s="27" t="n">
        <f aca="false">IF(COUNT(Trigo!$E18:$Z18)=0,0,MAX(0,IF((Z$6-$E$3)&lt;1,0,IFERROR(LOOKUP(2,1/(Trigo!$E18:INDEX(Trigo!$E18:$Z18,MIN(Z$6-$E$3,22))&lt;&gt;""),Trigo!$E18:INDEX(Trigo!$E18:$Z18,MIN(Z$6-$E$3,22))),0))-IF($G$2,0,IF((Z$6-$G$3)&lt;1,0,IFERROR(LOOKUP(2,1/(Trigo!$E18:INDEX(Trigo!$E18:$Z18,MIN(Z$6-$G$3,22))&lt;&gt;""),Trigo!$E18:INDEX(Trigo!$E18:$Z18,MIN(Z$6-$G$3,22))),0)))))</f>
        <v>0</v>
      </c>
      <c r="AA20" s="27" t="n">
        <f aca="false">IF(COUNT(Trigo!$E18:$Z18)=0,0,MAX(0,IF((AA$6-$E$3)&lt;1,0,IFERROR(LOOKUP(2,1/(Trigo!$E18:INDEX(Trigo!$E18:$Z18,MIN(AA$6-$E$3,22))&lt;&gt;""),Trigo!$E18:INDEX(Trigo!$E18:$Z18,MIN(AA$6-$E$3,22))),0))-IF($G$2,0,IF((AA$6-$G$3)&lt;1,0,IFERROR(LOOKUP(2,1/(Trigo!$E18:INDEX(Trigo!$E18:$Z18,MIN(AA$6-$G$3,22))&lt;&gt;""),Trigo!$E18:INDEX(Trigo!$E18:$Z18,MIN(AA$6-$G$3,22))),0)))))</f>
        <v>0</v>
      </c>
      <c r="AB20" s="27" t="n">
        <f aca="false">IF(COUNT(Trigo!$E18:$Z18)=0,0,MAX(0,IF((AB$6-$E$3)&lt;1,0,IFERROR(LOOKUP(2,1/(Trigo!$E18:INDEX(Trigo!$E18:$Z18,MIN(AB$6-$E$3,22))&lt;&gt;""),Trigo!$E18:INDEX(Trigo!$E18:$Z18,MIN(AB$6-$E$3,22))),0))-IF($G$2,0,IF((AB$6-$G$3)&lt;1,0,IFERROR(LOOKUP(2,1/(Trigo!$E18:INDEX(Trigo!$E18:$Z18,MIN(AB$6-$G$3,22))&lt;&gt;""),Trigo!$E18:INDEX(Trigo!$E18:$Z18,MIN(AB$6-$G$3,22))),0)))))</f>
        <v>0</v>
      </c>
      <c r="AC20" s="27" t="n">
        <f aca="false">IF(COUNT(Trigo!$E18:$Z18)=0,0,MAX(0,IF((AC$6-$E$3)&lt;1,0,IFERROR(LOOKUP(2,1/(Trigo!$E18:INDEX(Trigo!$E18:$Z18,MIN(AC$6-$E$3,22))&lt;&gt;""),Trigo!$E18:INDEX(Trigo!$E18:$Z18,MIN(AC$6-$E$3,22))),0))-IF($G$2,0,IF((AC$6-$G$3)&lt;1,0,IFERROR(LOOKUP(2,1/(Trigo!$E18:INDEX(Trigo!$E18:$Z18,MIN(AC$6-$G$3,22))&lt;&gt;""),Trigo!$E18:INDEX(Trigo!$E18:$Z18,MIN(AC$6-$G$3,22))),0)))))</f>
        <v>0</v>
      </c>
      <c r="AD20" s="27" t="n">
        <f aca="false">IF(COUNT(Trigo!$E18:$Z18)=0,0,MAX(0,IF((AD$6-$E$3)&lt;1,0,IFERROR(LOOKUP(2,1/(Trigo!$E18:INDEX(Trigo!$E18:$Z18,MIN(AD$6-$E$3,22))&lt;&gt;""),Trigo!$E18:INDEX(Trigo!$E18:$Z18,MIN(AD$6-$E$3,22))),0))-IF($G$2,0,IF((AD$6-$G$3)&lt;1,0,IFERROR(LOOKUP(2,1/(Trigo!$E18:INDEX(Trigo!$E18:$Z18,MIN(AD$6-$G$3,22))&lt;&gt;""),Trigo!$E18:INDEX(Trigo!$E18:$Z18,MIN(AD$6-$G$3,22))),0)))))</f>
        <v>0</v>
      </c>
      <c r="AE20" s="27" t="n">
        <f aca="false">IF(COUNT(Trigo!$E18:$Z18)=0,0,MAX(0,IF((AE$6-$E$3)&lt;1,0,IFERROR(LOOKUP(2,1/(Trigo!$E18:INDEX(Trigo!$E18:$Z18,MIN(AE$6-$E$3,22))&lt;&gt;""),Trigo!$E18:INDEX(Trigo!$E18:$Z18,MIN(AE$6-$E$3,22))),0))-IF($G$2,0,IF((AE$6-$G$3)&lt;1,0,IFERROR(LOOKUP(2,1/(Trigo!$E18:INDEX(Trigo!$E18:$Z18,MIN(AE$6-$G$3,22))&lt;&gt;""),Trigo!$E18:INDEX(Trigo!$E18:$Z18,MIN(AE$6-$G$3,22))),0)))))</f>
        <v>0</v>
      </c>
      <c r="AF20" s="27" t="n">
        <f aca="false">IF(COUNT(Trigo!$E18:$Z18)=0,0,MAX(0,IF((AF$6-$E$3)&lt;1,0,IFERROR(LOOKUP(2,1/(Trigo!$E18:INDEX(Trigo!$E18:$Z18,MIN(AF$6-$E$3,22))&lt;&gt;""),Trigo!$E18:INDEX(Trigo!$E18:$Z18,MIN(AF$6-$E$3,22))),0))-IF($G$2,0,IF((AF$6-$G$3)&lt;1,0,IFERROR(LOOKUP(2,1/(Trigo!$E18:INDEX(Trigo!$E18:$Z18,MIN(AF$6-$G$3,22))&lt;&gt;""),Trigo!$E18:INDEX(Trigo!$E18:$Z18,MIN(AF$6-$G$3,22))),0)))))</f>
        <v>0</v>
      </c>
      <c r="AG20" s="27" t="n">
        <f aca="false">IF(COUNT(Trigo!$E18:$Z18)=0,0,MAX(0,IF((AG$6-$E$3)&lt;1,0,IFERROR(LOOKUP(2,1/(Trigo!$E18:INDEX(Trigo!$E18:$Z18,MIN(AG$6-$E$3,22))&lt;&gt;""),Trigo!$E18:INDEX(Trigo!$E18:$Z18,MIN(AG$6-$E$3,22))),0))-IF($G$2,0,IF((AG$6-$G$3)&lt;1,0,IFERROR(LOOKUP(2,1/(Trigo!$E18:INDEX(Trigo!$E18:$Z18,MIN(AG$6-$G$3,22))&lt;&gt;""),Trigo!$E18:INDEX(Trigo!$E18:$Z18,MIN(AG$6-$G$3,22))),0)))))</f>
        <v>0</v>
      </c>
      <c r="AH20" s="27" t="n">
        <f aca="false">IF(COUNT(Trigo!$E18:$Z18)=0,0,MAX(0,IF((AH$6-$E$3)&lt;1,0,IFERROR(LOOKUP(2,1/(Trigo!$E18:INDEX(Trigo!$E18:$Z18,MIN(AH$6-$E$3,22))&lt;&gt;""),Trigo!$E18:INDEX(Trigo!$E18:$Z18,MIN(AH$6-$E$3,22))),0))-IF($G$2,0,IF((AH$6-$G$3)&lt;1,0,IFERROR(LOOKUP(2,1/(Trigo!$E18:INDEX(Trigo!$E18:$Z18,MIN(AH$6-$G$3,22))&lt;&gt;""),Trigo!$E18:INDEX(Trigo!$E18:$Z18,MIN(AH$6-$G$3,22))),0)))))</f>
        <v>0</v>
      </c>
      <c r="AI20" s="27" t="n">
        <f aca="false">IF(COUNT(Trigo!$E18:$Z18)=0,0,MAX(0,IF((AI$6-$E$3)&lt;1,0,IFERROR(LOOKUP(2,1/(Trigo!$E18:INDEX(Trigo!$E18:$Z18,MIN(AI$6-$E$3,22))&lt;&gt;""),Trigo!$E18:INDEX(Trigo!$E18:$Z18,MIN(AI$6-$E$3,22))),0))-IF($G$2,0,IF((AI$6-$G$3)&lt;1,0,IFERROR(LOOKUP(2,1/(Trigo!$E18:INDEX(Trigo!$E18:$Z18,MIN(AI$6-$G$3,22))&lt;&gt;""),Trigo!$E18:INDEX(Trigo!$E18:$Z18,MIN(AI$6-$G$3,22))),0)))))</f>
        <v>0</v>
      </c>
      <c r="AJ20" s="27" t="n">
        <f aca="false">IF(COUNT(Trigo!$E18:$Z18)=0,0,MAX(0,IF((AJ$6-$E$3)&lt;1,0,IFERROR(LOOKUP(2,1/(Trigo!$E18:INDEX(Trigo!$E18:$Z18,MIN(AJ$6-$E$3,22))&lt;&gt;""),Trigo!$E18:INDEX(Trigo!$E18:$Z18,MIN(AJ$6-$E$3,22))),0))-IF($G$2,0,IF((AJ$6-$G$3)&lt;1,0,IFERROR(LOOKUP(2,1/(Trigo!$E18:INDEX(Trigo!$E18:$Z18,MIN(AJ$6-$G$3,22))&lt;&gt;""),Trigo!$E18:INDEX(Trigo!$E18:$Z18,MIN(AJ$6-$G$3,22))),0)))))</f>
        <v>0</v>
      </c>
      <c r="AK20" s="27" t="n">
        <f aca="false">IF(COUNT(Trigo!$E18:$Z18)=0,0,MAX(0,IF((AK$6-$E$3)&lt;1,0,IFERROR(LOOKUP(2,1/(Trigo!$E18:INDEX(Trigo!$E18:$Z18,MIN(AK$6-$E$3,22))&lt;&gt;""),Trigo!$E18:INDEX(Trigo!$E18:$Z18,MIN(AK$6-$E$3,22))),0))-IF($G$2,0,IF((AK$6-$G$3)&lt;1,0,IFERROR(LOOKUP(2,1/(Trigo!$E18:INDEX(Trigo!$E18:$Z18,MIN(AK$6-$G$3,22))&lt;&gt;""),Trigo!$E18:INDEX(Trigo!$E18:$Z18,MIN(AK$6-$G$3,22))),0)))))</f>
        <v>0</v>
      </c>
      <c r="AL20" s="27" t="n">
        <f aca="false">IF(COUNT(Trigo!$E18:$Z18)=0,0,MAX(0,IF((AL$6-$E$3)&lt;1,0,IFERROR(LOOKUP(2,1/(Trigo!$E18:INDEX(Trigo!$E18:$Z18,MIN(AL$6-$E$3,22))&lt;&gt;""),Trigo!$E18:INDEX(Trigo!$E18:$Z18,MIN(AL$6-$E$3,22))),0))-IF($G$2,0,IF((AL$6-$G$3)&lt;1,0,IFERROR(LOOKUP(2,1/(Trigo!$E18:INDEX(Trigo!$E18:$Z18,MIN(AL$6-$G$3,22))&lt;&gt;""),Trigo!$E18:INDEX(Trigo!$E18:$Z18,MIN(AL$6-$G$3,22))),0)))))</f>
        <v>0</v>
      </c>
      <c r="AM20" s="27" t="n">
        <f aca="false">IF(COUNT(Trigo!$E18:$Z18)=0,0,MAX(0,IF((AM$6-$E$3)&lt;1,0,IFERROR(LOOKUP(2,1/(Trigo!$E18:INDEX(Trigo!$E18:$Z18,MIN(AM$6-$E$3,22))&lt;&gt;""),Trigo!$E18:INDEX(Trigo!$E18:$Z18,MIN(AM$6-$E$3,22))),0))-IF($G$2,0,IF((AM$6-$G$3)&lt;1,0,IFERROR(LOOKUP(2,1/(Trigo!$E18:INDEX(Trigo!$E18:$Z18,MIN(AM$6-$G$3,22))&lt;&gt;""),Trigo!$E18:INDEX(Trigo!$E18:$Z18,MIN(AM$6-$G$3,22))),0)))))</f>
        <v>0</v>
      </c>
      <c r="AN20" s="27" t="n">
        <f aca="false">IF(COUNT(Trigo!$E18:$Z18)=0,0,MAX(0,IF((AN$6-$E$3)&lt;1,0,IFERROR(LOOKUP(2,1/(Trigo!$E18:INDEX(Trigo!$E18:$Z18,MIN(AN$6-$E$3,22))&lt;&gt;""),Trigo!$E18:INDEX(Trigo!$E18:$Z18,MIN(AN$6-$E$3,22))),0))-IF($G$2,0,IF((AN$6-$G$3)&lt;1,0,IFERROR(LOOKUP(2,1/(Trigo!$E18:INDEX(Trigo!$E18:$Z18,MIN(AN$6-$G$3,22))&lt;&gt;""),Trigo!$E18:INDEX(Trigo!$E18:$Z18,MIN(AN$6-$G$3,22))),0)))))</f>
        <v>0</v>
      </c>
      <c r="AO20" s="27" t="n">
        <f aca="false">IF(COUNT(Trigo!$E18:$Z18)=0,0,MAX(0,IF((AO$6-$E$3)&lt;1,0,IFERROR(LOOKUP(2,1/(Trigo!$E18:INDEX(Trigo!$E18:$Z18,MIN(AO$6-$E$3,22))&lt;&gt;""),Trigo!$E18:INDEX(Trigo!$E18:$Z18,MIN(AO$6-$E$3,22))),0))-IF($G$2,0,IF((AO$6-$G$3)&lt;1,0,IFERROR(LOOKUP(2,1/(Trigo!$E18:INDEX(Trigo!$E18:$Z18,MIN(AO$6-$G$3,22))&lt;&gt;""),Trigo!$E18:INDEX(Trigo!$E18:$Z18,MIN(AO$6-$G$3,22))),0)))))</f>
        <v>0</v>
      </c>
      <c r="AP20" s="27" t="n">
        <f aca="false">IF(COUNT(Trigo!$E18:$Z18)=0,0,MAX(0,IF((AP$6-$E$3)&lt;1,0,IFERROR(LOOKUP(2,1/(Trigo!$E18:INDEX(Trigo!$E18:$Z18,MIN(AP$6-$E$3,22))&lt;&gt;""),Trigo!$E18:INDEX(Trigo!$E18:$Z18,MIN(AP$6-$E$3,22))),0))-IF($G$2,0,IF((AP$6-$G$3)&lt;1,0,IFERROR(LOOKUP(2,1/(Trigo!$E18:INDEX(Trigo!$E18:$Z18,MIN(AP$6-$G$3,22))&lt;&gt;""),Trigo!$E18:INDEX(Trigo!$E18:$Z18,MIN(AP$6-$G$3,22))),0)))))</f>
        <v>0</v>
      </c>
      <c r="AQ20" s="27" t="n">
        <f aca="false">IF(COUNT(Trigo!$E18:$Z18)=0,0,MAX(0,IF((AQ$6-$E$3)&lt;1,0,IFERROR(LOOKUP(2,1/(Trigo!$E18:INDEX(Trigo!$E18:$Z18,MIN(AQ$6-$E$3,22))&lt;&gt;""),Trigo!$E18:INDEX(Trigo!$E18:$Z18,MIN(AQ$6-$E$3,22))),0))-IF($G$2,0,IF((AQ$6-$G$3)&lt;1,0,IFERROR(LOOKUP(2,1/(Trigo!$E18:INDEX(Trigo!$E18:$Z18,MIN(AQ$6-$G$3,22))&lt;&gt;""),Trigo!$E18:INDEX(Trigo!$E18:$Z18,MIN(AQ$6-$G$3,22))),0)))))</f>
        <v>0</v>
      </c>
      <c r="AR20" s="27" t="n">
        <f aca="false">IF(COUNT(Trigo!$E18:$Z18)=0,0,MAX(0,IF((AR$6-$E$3)&lt;1,0,IFERROR(LOOKUP(2,1/(Trigo!$E18:INDEX(Trigo!$E18:$Z18,MIN(AR$6-$E$3,22))&lt;&gt;""),Trigo!$E18:INDEX(Trigo!$E18:$Z18,MIN(AR$6-$E$3,22))),0))-IF($G$2,0,IF((AR$6-$G$3)&lt;1,0,IFERROR(LOOKUP(2,1/(Trigo!$E18:INDEX(Trigo!$E18:$Z18,MIN(AR$6-$G$3,22))&lt;&gt;""),Trigo!$E18:INDEX(Trigo!$E18:$Z18,MIN(AR$6-$G$3,22))),0)))))</f>
        <v>0</v>
      </c>
      <c r="AS20" s="27" t="n">
        <f aca="false">IF(COUNT(Trigo!$E18:$Z18)=0,0,MAX(0,IF((AS$6-$E$3)&lt;1,0,IFERROR(LOOKUP(2,1/(Trigo!$E18:INDEX(Trigo!$E18:$Z18,MIN(AS$6-$E$3,22))&lt;&gt;""),Trigo!$E18:INDEX(Trigo!$E18:$Z18,MIN(AS$6-$E$3,22))),0))-IF($G$2,0,IF((AS$6-$G$3)&lt;1,0,IFERROR(LOOKUP(2,1/(Trigo!$E18:INDEX(Trigo!$E18:$Z18,MIN(AS$6-$G$3,22))&lt;&gt;""),Trigo!$E18:INDEX(Trigo!$E18:$Z18,MIN(AS$6-$G$3,22))),0)))))</f>
        <v>0</v>
      </c>
      <c r="AT20" s="27" t="n">
        <f aca="false">IF(COUNT(Trigo!$E18:$Z18)=0,0,MAX(0,IF((AT$6-$E$3)&lt;1,0,IFERROR(LOOKUP(2,1/(Trigo!$E18:INDEX(Trigo!$E18:$Z18,MIN(AT$6-$E$3,22))&lt;&gt;""),Trigo!$E18:INDEX(Trigo!$E18:$Z18,MIN(AT$6-$E$3,22))),0))-IF($G$2,0,IF((AT$6-$G$3)&lt;1,0,IFERROR(LOOKUP(2,1/(Trigo!$E18:INDEX(Trigo!$E18:$Z18,MIN(AT$6-$G$3,22))&lt;&gt;""),Trigo!$E18:INDEX(Trigo!$E18:$Z18,MIN(AT$6-$G$3,22))),0)))))</f>
        <v>0</v>
      </c>
      <c r="AU20" s="27" t="n">
        <f aca="false">IF(COUNT(Trigo!$E18:$Z18)=0,0,MAX(0,IF((AU$6-$E$3)&lt;1,0,IFERROR(LOOKUP(2,1/(Trigo!$E18:INDEX(Trigo!$E18:$Z18,MIN(AU$6-$E$3,22))&lt;&gt;""),Trigo!$E18:INDEX(Trigo!$E18:$Z18,MIN(AU$6-$E$3,22))),0))-IF($G$2,0,IF((AU$6-$G$3)&lt;1,0,IFERROR(LOOKUP(2,1/(Trigo!$E18:INDEX(Trigo!$E18:$Z18,MIN(AU$6-$G$3,22))&lt;&gt;""),Trigo!$E18:INDEX(Trigo!$E18:$Z18,MIN(AU$6-$G$3,22))),0)))))</f>
        <v>0</v>
      </c>
      <c r="AV20" s="27" t="n">
        <f aca="false">IF(COUNT(Trigo!$E18:$Z18)=0,0,MAX(0,IF((AV$6-$E$3)&lt;1,0,IFERROR(LOOKUP(2,1/(Trigo!$E18:INDEX(Trigo!$E18:$Z18,MIN(AV$6-$E$3,22))&lt;&gt;""),Trigo!$E18:INDEX(Trigo!$E18:$Z18,MIN(AV$6-$E$3,22))),0))-IF($G$2,0,IF((AV$6-$G$3)&lt;1,0,IFERROR(LOOKUP(2,1/(Trigo!$E18:INDEX(Trigo!$E18:$Z18,MIN(AV$6-$G$3,22))&lt;&gt;""),Trigo!$E18:INDEX(Trigo!$E18:$Z18,MIN(AV$6-$G$3,22))),0)))))</f>
        <v>0</v>
      </c>
      <c r="AW20" s="27" t="n">
        <f aca="false">IF(COUNT(Trigo!$E18:$Z18)=0,0,MAX(0,IF((AW$6-$E$3)&lt;1,0,IFERROR(LOOKUP(2,1/(Trigo!$E18:INDEX(Trigo!$E18:$Z18,MIN(AW$6-$E$3,22))&lt;&gt;""),Trigo!$E18:INDEX(Trigo!$E18:$Z18,MIN(AW$6-$E$3,22))),0))-IF($G$2,0,IF((AW$6-$G$3)&lt;1,0,IFERROR(LOOKUP(2,1/(Trigo!$E18:INDEX(Trigo!$E18:$Z18,MIN(AW$6-$G$3,22))&lt;&gt;""),Trigo!$E18:INDEX(Trigo!$E18:$Z18,MIN(AW$6-$G$3,22))),0)))))</f>
        <v>0</v>
      </c>
      <c r="AX20" s="27" t="n">
        <f aca="false">IF(COUNT(Trigo!$E18:$Z18)=0,0,MAX(0,IF((AX$6-$E$3)&lt;1,0,IFERROR(LOOKUP(2,1/(Trigo!$E18:INDEX(Trigo!$E18:$Z18,MIN(AX$6-$E$3,22))&lt;&gt;""),Trigo!$E18:INDEX(Trigo!$E18:$Z18,MIN(AX$6-$E$3,22))),0))-IF($G$2,0,IF((AX$6-$G$3)&lt;1,0,IFERROR(LOOKUP(2,1/(Trigo!$E18:INDEX(Trigo!$E18:$Z18,MIN(AX$6-$G$3,22))&lt;&gt;""),Trigo!$E18:INDEX(Trigo!$E18:$Z18,MIN(AX$6-$G$3,22))),0)))))</f>
        <v>0</v>
      </c>
      <c r="AY20" s="27" t="n">
        <f aca="false">IF(COUNT(Trigo!$E18:$Z18)=0,0,MAX(0,IF((AY$6-$E$3)&lt;1,0,IFERROR(LOOKUP(2,1/(Trigo!$E18:INDEX(Trigo!$E18:$Z18,MIN(AY$6-$E$3,22))&lt;&gt;""),Trigo!$E18:INDEX(Trigo!$E18:$Z18,MIN(AY$6-$E$3,22))),0))-IF($G$2,0,IF((AY$6-$G$3)&lt;1,0,IFERROR(LOOKUP(2,1/(Trigo!$E18:INDEX(Trigo!$E18:$Z18,MIN(AY$6-$G$3,22))&lt;&gt;""),Trigo!$E18:INDEX(Trigo!$E18:$Z18,MIN(AY$6-$G$3,22))),0)))))</f>
        <v>0</v>
      </c>
      <c r="AZ20" s="27" t="n">
        <f aca="false">IF(COUNT(Trigo!$E18:$Z18)=0,0,MAX(0,IF((AZ$6-$E$3)&lt;1,0,IFERROR(LOOKUP(2,1/(Trigo!$E18:INDEX(Trigo!$E18:$Z18,MIN(AZ$6-$E$3,22))&lt;&gt;""),Trigo!$E18:INDEX(Trigo!$E18:$Z18,MIN(AZ$6-$E$3,22))),0))-IF($G$2,0,IF((AZ$6-$G$3)&lt;1,0,IFERROR(LOOKUP(2,1/(Trigo!$E18:INDEX(Trigo!$E18:$Z18,MIN(AZ$6-$G$3,22))&lt;&gt;""),Trigo!$E18:INDEX(Trigo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IF(COUNT(Trigo!$E19:$Z19)&gt;0,N(Trigo!$D19),0)</f>
        <v>0</v>
      </c>
      <c r="E21" s="27" t="n">
        <f aca="false">IF(COUNT(Trigo!$E19:$Z19)=0,0,MAX(0,IF((E$6-$E$3)&lt;1,0,IFERROR(LOOKUP(2,1/(Trigo!$E19:INDEX(Trigo!$E19:$Z19,MIN(E$6-$E$3,22))&lt;&gt;""),Trigo!$E19:INDEX(Trigo!$E19:$Z19,MIN(E$6-$E$3,22))),0))-IF($G$2,0,IF((E$6-$G$3)&lt;1,0,IFERROR(LOOKUP(2,1/(Trigo!$E19:INDEX(Trigo!$E19:$Z19,MIN(E$6-$G$3,22))&lt;&gt;""),Trigo!$E19:INDEX(Trigo!$E19:$Z19,MIN(E$6-$G$3,22))),0)))))</f>
        <v>0</v>
      </c>
      <c r="F21" s="27" t="n">
        <f aca="false">IF(COUNT(Trigo!$E19:$Z19)=0,0,MAX(0,IF((F$6-$E$3)&lt;1,0,IFERROR(LOOKUP(2,1/(Trigo!$E19:INDEX(Trigo!$E19:$Z19,MIN(F$6-$E$3,22))&lt;&gt;""),Trigo!$E19:INDEX(Trigo!$E19:$Z19,MIN(F$6-$E$3,22))),0))-IF($G$2,0,IF((F$6-$G$3)&lt;1,0,IFERROR(LOOKUP(2,1/(Trigo!$E19:INDEX(Trigo!$E19:$Z19,MIN(F$6-$G$3,22))&lt;&gt;""),Trigo!$E19:INDEX(Trigo!$E19:$Z19,MIN(F$6-$G$3,22))),0)))))</f>
        <v>0</v>
      </c>
      <c r="G21" s="27" t="n">
        <f aca="false">IF(COUNT(Trigo!$E19:$Z19)=0,0,MAX(0,IF((G$6-$E$3)&lt;1,0,IFERROR(LOOKUP(2,1/(Trigo!$E19:INDEX(Trigo!$E19:$Z19,MIN(G$6-$E$3,22))&lt;&gt;""),Trigo!$E19:INDEX(Trigo!$E19:$Z19,MIN(G$6-$E$3,22))),0))-IF($G$2,0,IF((G$6-$G$3)&lt;1,0,IFERROR(LOOKUP(2,1/(Trigo!$E19:INDEX(Trigo!$E19:$Z19,MIN(G$6-$G$3,22))&lt;&gt;""),Trigo!$E19:INDEX(Trigo!$E19:$Z19,MIN(G$6-$G$3,22))),0)))))</f>
        <v>0</v>
      </c>
      <c r="H21" s="27" t="n">
        <f aca="false">IF(COUNT(Trigo!$E19:$Z19)=0,0,MAX(0,IF((H$6-$E$3)&lt;1,0,IFERROR(LOOKUP(2,1/(Trigo!$E19:INDEX(Trigo!$E19:$Z19,MIN(H$6-$E$3,22))&lt;&gt;""),Trigo!$E19:INDEX(Trigo!$E19:$Z19,MIN(H$6-$E$3,22))),0))-IF($G$2,0,IF((H$6-$G$3)&lt;1,0,IFERROR(LOOKUP(2,1/(Trigo!$E19:INDEX(Trigo!$E19:$Z19,MIN(H$6-$G$3,22))&lt;&gt;""),Trigo!$E19:INDEX(Trigo!$E19:$Z19,MIN(H$6-$G$3,22))),0)))))</f>
        <v>0</v>
      </c>
      <c r="I21" s="27" t="n">
        <f aca="false">IF(COUNT(Trigo!$E19:$Z19)=0,0,MAX(0,IF((I$6-$E$3)&lt;1,0,IFERROR(LOOKUP(2,1/(Trigo!$E19:INDEX(Trigo!$E19:$Z19,MIN(I$6-$E$3,22))&lt;&gt;""),Trigo!$E19:INDEX(Trigo!$E19:$Z19,MIN(I$6-$E$3,22))),0))-IF($G$2,0,IF((I$6-$G$3)&lt;1,0,IFERROR(LOOKUP(2,1/(Trigo!$E19:INDEX(Trigo!$E19:$Z19,MIN(I$6-$G$3,22))&lt;&gt;""),Trigo!$E19:INDEX(Trigo!$E19:$Z19,MIN(I$6-$G$3,22))),0)))))</f>
        <v>0</v>
      </c>
      <c r="J21" s="27" t="n">
        <f aca="false">IF(COUNT(Trigo!$E19:$Z19)=0,0,MAX(0,IF((J$6-$E$3)&lt;1,0,IFERROR(LOOKUP(2,1/(Trigo!$E19:INDEX(Trigo!$E19:$Z19,MIN(J$6-$E$3,22))&lt;&gt;""),Trigo!$E19:INDEX(Trigo!$E19:$Z19,MIN(J$6-$E$3,22))),0))-IF($G$2,0,IF((J$6-$G$3)&lt;1,0,IFERROR(LOOKUP(2,1/(Trigo!$E19:INDEX(Trigo!$E19:$Z19,MIN(J$6-$G$3,22))&lt;&gt;""),Trigo!$E19:INDEX(Trigo!$E19:$Z19,MIN(J$6-$G$3,22))),0)))))</f>
        <v>0</v>
      </c>
      <c r="K21" s="27" t="n">
        <f aca="false">IF(COUNT(Trigo!$E19:$Z19)=0,0,MAX(0,IF((K$6-$E$3)&lt;1,0,IFERROR(LOOKUP(2,1/(Trigo!$E19:INDEX(Trigo!$E19:$Z19,MIN(K$6-$E$3,22))&lt;&gt;""),Trigo!$E19:INDEX(Trigo!$E19:$Z19,MIN(K$6-$E$3,22))),0))-IF($G$2,0,IF((K$6-$G$3)&lt;1,0,IFERROR(LOOKUP(2,1/(Trigo!$E19:INDEX(Trigo!$E19:$Z19,MIN(K$6-$G$3,22))&lt;&gt;""),Trigo!$E19:INDEX(Trigo!$E19:$Z19,MIN(K$6-$G$3,22))),0)))))</f>
        <v>0</v>
      </c>
      <c r="L21" s="27" t="n">
        <f aca="false">IF(COUNT(Trigo!$E19:$Z19)=0,0,MAX(0,IF((L$6-$E$3)&lt;1,0,IFERROR(LOOKUP(2,1/(Trigo!$E19:INDEX(Trigo!$E19:$Z19,MIN(L$6-$E$3,22))&lt;&gt;""),Trigo!$E19:INDEX(Trigo!$E19:$Z19,MIN(L$6-$E$3,22))),0))-IF($G$2,0,IF((L$6-$G$3)&lt;1,0,IFERROR(LOOKUP(2,1/(Trigo!$E19:INDEX(Trigo!$E19:$Z19,MIN(L$6-$G$3,22))&lt;&gt;""),Trigo!$E19:INDEX(Trigo!$E19:$Z19,MIN(L$6-$G$3,22))),0)))))</f>
        <v>0</v>
      </c>
      <c r="M21" s="27" t="n">
        <f aca="false">IF(COUNT(Trigo!$E19:$Z19)=0,0,MAX(0,IF((M$6-$E$3)&lt;1,0,IFERROR(LOOKUP(2,1/(Trigo!$E19:INDEX(Trigo!$E19:$Z19,MIN(M$6-$E$3,22))&lt;&gt;""),Trigo!$E19:INDEX(Trigo!$E19:$Z19,MIN(M$6-$E$3,22))),0))-IF($G$2,0,IF((M$6-$G$3)&lt;1,0,IFERROR(LOOKUP(2,1/(Trigo!$E19:INDEX(Trigo!$E19:$Z19,MIN(M$6-$G$3,22))&lt;&gt;""),Trigo!$E19:INDEX(Trigo!$E19:$Z19,MIN(M$6-$G$3,22))),0)))))</f>
        <v>0</v>
      </c>
      <c r="N21" s="27" t="n">
        <f aca="false">IF(COUNT(Trigo!$E19:$Z19)=0,0,MAX(0,IF((N$6-$E$3)&lt;1,0,IFERROR(LOOKUP(2,1/(Trigo!$E19:INDEX(Trigo!$E19:$Z19,MIN(N$6-$E$3,22))&lt;&gt;""),Trigo!$E19:INDEX(Trigo!$E19:$Z19,MIN(N$6-$E$3,22))),0))-IF($G$2,0,IF((N$6-$G$3)&lt;1,0,IFERROR(LOOKUP(2,1/(Trigo!$E19:INDEX(Trigo!$E19:$Z19,MIN(N$6-$G$3,22))&lt;&gt;""),Trigo!$E19:INDEX(Trigo!$E19:$Z19,MIN(N$6-$G$3,22))),0)))))</f>
        <v>0</v>
      </c>
      <c r="O21" s="27" t="n">
        <f aca="false">IF(COUNT(Trigo!$E19:$Z19)=0,0,MAX(0,IF((O$6-$E$3)&lt;1,0,IFERROR(LOOKUP(2,1/(Trigo!$E19:INDEX(Trigo!$E19:$Z19,MIN(O$6-$E$3,22))&lt;&gt;""),Trigo!$E19:INDEX(Trigo!$E19:$Z19,MIN(O$6-$E$3,22))),0))-IF($G$2,0,IF((O$6-$G$3)&lt;1,0,IFERROR(LOOKUP(2,1/(Trigo!$E19:INDEX(Trigo!$E19:$Z19,MIN(O$6-$G$3,22))&lt;&gt;""),Trigo!$E19:INDEX(Trigo!$E19:$Z19,MIN(O$6-$G$3,22))),0)))))</f>
        <v>0</v>
      </c>
      <c r="P21" s="27" t="n">
        <f aca="false">IF(COUNT(Trigo!$E19:$Z19)=0,0,MAX(0,IF((P$6-$E$3)&lt;1,0,IFERROR(LOOKUP(2,1/(Trigo!$E19:INDEX(Trigo!$E19:$Z19,MIN(P$6-$E$3,22))&lt;&gt;""),Trigo!$E19:INDEX(Trigo!$E19:$Z19,MIN(P$6-$E$3,22))),0))-IF($G$2,0,IF((P$6-$G$3)&lt;1,0,IFERROR(LOOKUP(2,1/(Trigo!$E19:INDEX(Trigo!$E19:$Z19,MIN(P$6-$G$3,22))&lt;&gt;""),Trigo!$E19:INDEX(Trigo!$E19:$Z19,MIN(P$6-$G$3,22))),0)))))</f>
        <v>0</v>
      </c>
      <c r="Q21" s="27" t="n">
        <f aca="false">IF(COUNT(Trigo!$E19:$Z19)=0,0,MAX(0,IF((Q$6-$E$3)&lt;1,0,IFERROR(LOOKUP(2,1/(Trigo!$E19:INDEX(Trigo!$E19:$Z19,MIN(Q$6-$E$3,22))&lt;&gt;""),Trigo!$E19:INDEX(Trigo!$E19:$Z19,MIN(Q$6-$E$3,22))),0))-IF($G$2,0,IF((Q$6-$G$3)&lt;1,0,IFERROR(LOOKUP(2,1/(Trigo!$E19:INDEX(Trigo!$E19:$Z19,MIN(Q$6-$G$3,22))&lt;&gt;""),Trigo!$E19:INDEX(Trigo!$E19:$Z19,MIN(Q$6-$G$3,22))),0)))))</f>
        <v>0</v>
      </c>
      <c r="R21" s="27" t="n">
        <f aca="false">IF(COUNT(Trigo!$E19:$Z19)=0,0,MAX(0,IF((R$6-$E$3)&lt;1,0,IFERROR(LOOKUP(2,1/(Trigo!$E19:INDEX(Trigo!$E19:$Z19,MIN(R$6-$E$3,22))&lt;&gt;""),Trigo!$E19:INDEX(Trigo!$E19:$Z19,MIN(R$6-$E$3,22))),0))-IF($G$2,0,IF((R$6-$G$3)&lt;1,0,IFERROR(LOOKUP(2,1/(Trigo!$E19:INDEX(Trigo!$E19:$Z19,MIN(R$6-$G$3,22))&lt;&gt;""),Trigo!$E19:INDEX(Trigo!$E19:$Z19,MIN(R$6-$G$3,22))),0)))))</f>
        <v>0</v>
      </c>
      <c r="S21" s="27" t="n">
        <f aca="false">IF(COUNT(Trigo!$E19:$Z19)=0,0,MAX(0,IF((S$6-$E$3)&lt;1,0,IFERROR(LOOKUP(2,1/(Trigo!$E19:INDEX(Trigo!$E19:$Z19,MIN(S$6-$E$3,22))&lt;&gt;""),Trigo!$E19:INDEX(Trigo!$E19:$Z19,MIN(S$6-$E$3,22))),0))-IF($G$2,0,IF((S$6-$G$3)&lt;1,0,IFERROR(LOOKUP(2,1/(Trigo!$E19:INDEX(Trigo!$E19:$Z19,MIN(S$6-$G$3,22))&lt;&gt;""),Trigo!$E19:INDEX(Trigo!$E19:$Z19,MIN(S$6-$G$3,22))),0)))))</f>
        <v>0</v>
      </c>
      <c r="T21" s="27" t="n">
        <f aca="false">IF(COUNT(Trigo!$E19:$Z19)=0,0,MAX(0,IF((T$6-$E$3)&lt;1,0,IFERROR(LOOKUP(2,1/(Trigo!$E19:INDEX(Trigo!$E19:$Z19,MIN(T$6-$E$3,22))&lt;&gt;""),Trigo!$E19:INDEX(Trigo!$E19:$Z19,MIN(T$6-$E$3,22))),0))-IF($G$2,0,IF((T$6-$G$3)&lt;1,0,IFERROR(LOOKUP(2,1/(Trigo!$E19:INDEX(Trigo!$E19:$Z19,MIN(T$6-$G$3,22))&lt;&gt;""),Trigo!$E19:INDEX(Trigo!$E19:$Z19,MIN(T$6-$G$3,22))),0)))))</f>
        <v>0</v>
      </c>
      <c r="U21" s="27" t="n">
        <f aca="false">IF(COUNT(Trigo!$E19:$Z19)=0,0,MAX(0,IF((U$6-$E$3)&lt;1,0,IFERROR(LOOKUP(2,1/(Trigo!$E19:INDEX(Trigo!$E19:$Z19,MIN(U$6-$E$3,22))&lt;&gt;""),Trigo!$E19:INDEX(Trigo!$E19:$Z19,MIN(U$6-$E$3,22))),0))-IF($G$2,0,IF((U$6-$G$3)&lt;1,0,IFERROR(LOOKUP(2,1/(Trigo!$E19:INDEX(Trigo!$E19:$Z19,MIN(U$6-$G$3,22))&lt;&gt;""),Trigo!$E19:INDEX(Trigo!$E19:$Z19,MIN(U$6-$G$3,22))),0)))))</f>
        <v>0</v>
      </c>
      <c r="V21" s="27" t="n">
        <f aca="false">IF(COUNT(Trigo!$E19:$Z19)=0,0,MAX(0,IF((V$6-$E$3)&lt;1,0,IFERROR(LOOKUP(2,1/(Trigo!$E19:INDEX(Trigo!$E19:$Z19,MIN(V$6-$E$3,22))&lt;&gt;""),Trigo!$E19:INDEX(Trigo!$E19:$Z19,MIN(V$6-$E$3,22))),0))-IF($G$2,0,IF((V$6-$G$3)&lt;1,0,IFERROR(LOOKUP(2,1/(Trigo!$E19:INDEX(Trigo!$E19:$Z19,MIN(V$6-$G$3,22))&lt;&gt;""),Trigo!$E19:INDEX(Trigo!$E19:$Z19,MIN(V$6-$G$3,22))),0)))))</f>
        <v>0</v>
      </c>
      <c r="W21" s="27" t="n">
        <f aca="false">IF(COUNT(Trigo!$E19:$Z19)=0,0,MAX(0,IF((W$6-$E$3)&lt;1,0,IFERROR(LOOKUP(2,1/(Trigo!$E19:INDEX(Trigo!$E19:$Z19,MIN(W$6-$E$3,22))&lt;&gt;""),Trigo!$E19:INDEX(Trigo!$E19:$Z19,MIN(W$6-$E$3,22))),0))-IF($G$2,0,IF((W$6-$G$3)&lt;1,0,IFERROR(LOOKUP(2,1/(Trigo!$E19:INDEX(Trigo!$E19:$Z19,MIN(W$6-$G$3,22))&lt;&gt;""),Trigo!$E19:INDEX(Trigo!$E19:$Z19,MIN(W$6-$G$3,22))),0)))))</f>
        <v>0</v>
      </c>
      <c r="X21" s="27" t="n">
        <f aca="false">IF(COUNT(Trigo!$E19:$Z19)=0,0,MAX(0,IF((X$6-$E$3)&lt;1,0,IFERROR(LOOKUP(2,1/(Trigo!$E19:INDEX(Trigo!$E19:$Z19,MIN(X$6-$E$3,22))&lt;&gt;""),Trigo!$E19:INDEX(Trigo!$E19:$Z19,MIN(X$6-$E$3,22))),0))-IF($G$2,0,IF((X$6-$G$3)&lt;1,0,IFERROR(LOOKUP(2,1/(Trigo!$E19:INDEX(Trigo!$E19:$Z19,MIN(X$6-$G$3,22))&lt;&gt;""),Trigo!$E19:INDEX(Trigo!$E19:$Z19,MIN(X$6-$G$3,22))),0)))))</f>
        <v>0</v>
      </c>
      <c r="Y21" s="27" t="n">
        <f aca="false">IF(COUNT(Trigo!$E19:$Z19)=0,0,MAX(0,IF((Y$6-$E$3)&lt;1,0,IFERROR(LOOKUP(2,1/(Trigo!$E19:INDEX(Trigo!$E19:$Z19,MIN(Y$6-$E$3,22))&lt;&gt;""),Trigo!$E19:INDEX(Trigo!$E19:$Z19,MIN(Y$6-$E$3,22))),0))-IF($G$2,0,IF((Y$6-$G$3)&lt;1,0,IFERROR(LOOKUP(2,1/(Trigo!$E19:INDEX(Trigo!$E19:$Z19,MIN(Y$6-$G$3,22))&lt;&gt;""),Trigo!$E19:INDEX(Trigo!$E19:$Z19,MIN(Y$6-$G$3,22))),0)))))</f>
        <v>0</v>
      </c>
      <c r="Z21" s="27" t="n">
        <f aca="false">IF(COUNT(Trigo!$E19:$Z19)=0,0,MAX(0,IF((Z$6-$E$3)&lt;1,0,IFERROR(LOOKUP(2,1/(Trigo!$E19:INDEX(Trigo!$E19:$Z19,MIN(Z$6-$E$3,22))&lt;&gt;""),Trigo!$E19:INDEX(Trigo!$E19:$Z19,MIN(Z$6-$E$3,22))),0))-IF($G$2,0,IF((Z$6-$G$3)&lt;1,0,IFERROR(LOOKUP(2,1/(Trigo!$E19:INDEX(Trigo!$E19:$Z19,MIN(Z$6-$G$3,22))&lt;&gt;""),Trigo!$E19:INDEX(Trigo!$E19:$Z19,MIN(Z$6-$G$3,22))),0)))))</f>
        <v>0</v>
      </c>
      <c r="AA21" s="27" t="n">
        <f aca="false">IF(COUNT(Trigo!$E19:$Z19)=0,0,MAX(0,IF((AA$6-$E$3)&lt;1,0,IFERROR(LOOKUP(2,1/(Trigo!$E19:INDEX(Trigo!$E19:$Z19,MIN(AA$6-$E$3,22))&lt;&gt;""),Trigo!$E19:INDEX(Trigo!$E19:$Z19,MIN(AA$6-$E$3,22))),0))-IF($G$2,0,IF((AA$6-$G$3)&lt;1,0,IFERROR(LOOKUP(2,1/(Trigo!$E19:INDEX(Trigo!$E19:$Z19,MIN(AA$6-$G$3,22))&lt;&gt;""),Trigo!$E19:INDEX(Trigo!$E19:$Z19,MIN(AA$6-$G$3,22))),0)))))</f>
        <v>0</v>
      </c>
      <c r="AB21" s="27" t="n">
        <f aca="false">IF(COUNT(Trigo!$E19:$Z19)=0,0,MAX(0,IF((AB$6-$E$3)&lt;1,0,IFERROR(LOOKUP(2,1/(Trigo!$E19:INDEX(Trigo!$E19:$Z19,MIN(AB$6-$E$3,22))&lt;&gt;""),Trigo!$E19:INDEX(Trigo!$E19:$Z19,MIN(AB$6-$E$3,22))),0))-IF($G$2,0,IF((AB$6-$G$3)&lt;1,0,IFERROR(LOOKUP(2,1/(Trigo!$E19:INDEX(Trigo!$E19:$Z19,MIN(AB$6-$G$3,22))&lt;&gt;""),Trigo!$E19:INDEX(Trigo!$E19:$Z19,MIN(AB$6-$G$3,22))),0)))))</f>
        <v>0</v>
      </c>
      <c r="AC21" s="27" t="n">
        <f aca="false">IF(COUNT(Trigo!$E19:$Z19)=0,0,MAX(0,IF((AC$6-$E$3)&lt;1,0,IFERROR(LOOKUP(2,1/(Trigo!$E19:INDEX(Trigo!$E19:$Z19,MIN(AC$6-$E$3,22))&lt;&gt;""),Trigo!$E19:INDEX(Trigo!$E19:$Z19,MIN(AC$6-$E$3,22))),0))-IF($G$2,0,IF((AC$6-$G$3)&lt;1,0,IFERROR(LOOKUP(2,1/(Trigo!$E19:INDEX(Trigo!$E19:$Z19,MIN(AC$6-$G$3,22))&lt;&gt;""),Trigo!$E19:INDEX(Trigo!$E19:$Z19,MIN(AC$6-$G$3,22))),0)))))</f>
        <v>0</v>
      </c>
      <c r="AD21" s="27" t="n">
        <f aca="false">IF(COUNT(Trigo!$E19:$Z19)=0,0,MAX(0,IF((AD$6-$E$3)&lt;1,0,IFERROR(LOOKUP(2,1/(Trigo!$E19:INDEX(Trigo!$E19:$Z19,MIN(AD$6-$E$3,22))&lt;&gt;""),Trigo!$E19:INDEX(Trigo!$E19:$Z19,MIN(AD$6-$E$3,22))),0))-IF($G$2,0,IF((AD$6-$G$3)&lt;1,0,IFERROR(LOOKUP(2,1/(Trigo!$E19:INDEX(Trigo!$E19:$Z19,MIN(AD$6-$G$3,22))&lt;&gt;""),Trigo!$E19:INDEX(Trigo!$E19:$Z19,MIN(AD$6-$G$3,22))),0)))))</f>
        <v>0</v>
      </c>
      <c r="AE21" s="27" t="n">
        <f aca="false">IF(COUNT(Trigo!$E19:$Z19)=0,0,MAX(0,IF((AE$6-$E$3)&lt;1,0,IFERROR(LOOKUP(2,1/(Trigo!$E19:INDEX(Trigo!$E19:$Z19,MIN(AE$6-$E$3,22))&lt;&gt;""),Trigo!$E19:INDEX(Trigo!$E19:$Z19,MIN(AE$6-$E$3,22))),0))-IF($G$2,0,IF((AE$6-$G$3)&lt;1,0,IFERROR(LOOKUP(2,1/(Trigo!$E19:INDEX(Trigo!$E19:$Z19,MIN(AE$6-$G$3,22))&lt;&gt;""),Trigo!$E19:INDEX(Trigo!$E19:$Z19,MIN(AE$6-$G$3,22))),0)))))</f>
        <v>0</v>
      </c>
      <c r="AF21" s="27" t="n">
        <f aca="false">IF(COUNT(Trigo!$E19:$Z19)=0,0,MAX(0,IF((AF$6-$E$3)&lt;1,0,IFERROR(LOOKUP(2,1/(Trigo!$E19:INDEX(Trigo!$E19:$Z19,MIN(AF$6-$E$3,22))&lt;&gt;""),Trigo!$E19:INDEX(Trigo!$E19:$Z19,MIN(AF$6-$E$3,22))),0))-IF($G$2,0,IF((AF$6-$G$3)&lt;1,0,IFERROR(LOOKUP(2,1/(Trigo!$E19:INDEX(Trigo!$E19:$Z19,MIN(AF$6-$G$3,22))&lt;&gt;""),Trigo!$E19:INDEX(Trigo!$E19:$Z19,MIN(AF$6-$G$3,22))),0)))))</f>
        <v>0</v>
      </c>
      <c r="AG21" s="27" t="n">
        <f aca="false">IF(COUNT(Trigo!$E19:$Z19)=0,0,MAX(0,IF((AG$6-$E$3)&lt;1,0,IFERROR(LOOKUP(2,1/(Trigo!$E19:INDEX(Trigo!$E19:$Z19,MIN(AG$6-$E$3,22))&lt;&gt;""),Trigo!$E19:INDEX(Trigo!$E19:$Z19,MIN(AG$6-$E$3,22))),0))-IF($G$2,0,IF((AG$6-$G$3)&lt;1,0,IFERROR(LOOKUP(2,1/(Trigo!$E19:INDEX(Trigo!$E19:$Z19,MIN(AG$6-$G$3,22))&lt;&gt;""),Trigo!$E19:INDEX(Trigo!$E19:$Z19,MIN(AG$6-$G$3,22))),0)))))</f>
        <v>0</v>
      </c>
      <c r="AH21" s="27" t="n">
        <f aca="false">IF(COUNT(Trigo!$E19:$Z19)=0,0,MAX(0,IF((AH$6-$E$3)&lt;1,0,IFERROR(LOOKUP(2,1/(Trigo!$E19:INDEX(Trigo!$E19:$Z19,MIN(AH$6-$E$3,22))&lt;&gt;""),Trigo!$E19:INDEX(Trigo!$E19:$Z19,MIN(AH$6-$E$3,22))),0))-IF($G$2,0,IF((AH$6-$G$3)&lt;1,0,IFERROR(LOOKUP(2,1/(Trigo!$E19:INDEX(Trigo!$E19:$Z19,MIN(AH$6-$G$3,22))&lt;&gt;""),Trigo!$E19:INDEX(Trigo!$E19:$Z19,MIN(AH$6-$G$3,22))),0)))))</f>
        <v>0</v>
      </c>
      <c r="AI21" s="27" t="n">
        <f aca="false">IF(COUNT(Trigo!$E19:$Z19)=0,0,MAX(0,IF((AI$6-$E$3)&lt;1,0,IFERROR(LOOKUP(2,1/(Trigo!$E19:INDEX(Trigo!$E19:$Z19,MIN(AI$6-$E$3,22))&lt;&gt;""),Trigo!$E19:INDEX(Trigo!$E19:$Z19,MIN(AI$6-$E$3,22))),0))-IF($G$2,0,IF((AI$6-$G$3)&lt;1,0,IFERROR(LOOKUP(2,1/(Trigo!$E19:INDEX(Trigo!$E19:$Z19,MIN(AI$6-$G$3,22))&lt;&gt;""),Trigo!$E19:INDEX(Trigo!$E19:$Z19,MIN(AI$6-$G$3,22))),0)))))</f>
        <v>0</v>
      </c>
      <c r="AJ21" s="27" t="n">
        <f aca="false">IF(COUNT(Trigo!$E19:$Z19)=0,0,MAX(0,IF((AJ$6-$E$3)&lt;1,0,IFERROR(LOOKUP(2,1/(Trigo!$E19:INDEX(Trigo!$E19:$Z19,MIN(AJ$6-$E$3,22))&lt;&gt;""),Trigo!$E19:INDEX(Trigo!$E19:$Z19,MIN(AJ$6-$E$3,22))),0))-IF($G$2,0,IF((AJ$6-$G$3)&lt;1,0,IFERROR(LOOKUP(2,1/(Trigo!$E19:INDEX(Trigo!$E19:$Z19,MIN(AJ$6-$G$3,22))&lt;&gt;""),Trigo!$E19:INDEX(Trigo!$E19:$Z19,MIN(AJ$6-$G$3,22))),0)))))</f>
        <v>0</v>
      </c>
      <c r="AK21" s="27" t="n">
        <f aca="false">IF(COUNT(Trigo!$E19:$Z19)=0,0,MAX(0,IF((AK$6-$E$3)&lt;1,0,IFERROR(LOOKUP(2,1/(Trigo!$E19:INDEX(Trigo!$E19:$Z19,MIN(AK$6-$E$3,22))&lt;&gt;""),Trigo!$E19:INDEX(Trigo!$E19:$Z19,MIN(AK$6-$E$3,22))),0))-IF($G$2,0,IF((AK$6-$G$3)&lt;1,0,IFERROR(LOOKUP(2,1/(Trigo!$E19:INDEX(Trigo!$E19:$Z19,MIN(AK$6-$G$3,22))&lt;&gt;""),Trigo!$E19:INDEX(Trigo!$E19:$Z19,MIN(AK$6-$G$3,22))),0)))))</f>
        <v>0</v>
      </c>
      <c r="AL21" s="27" t="n">
        <f aca="false">IF(COUNT(Trigo!$E19:$Z19)=0,0,MAX(0,IF((AL$6-$E$3)&lt;1,0,IFERROR(LOOKUP(2,1/(Trigo!$E19:INDEX(Trigo!$E19:$Z19,MIN(AL$6-$E$3,22))&lt;&gt;""),Trigo!$E19:INDEX(Trigo!$E19:$Z19,MIN(AL$6-$E$3,22))),0))-IF($G$2,0,IF((AL$6-$G$3)&lt;1,0,IFERROR(LOOKUP(2,1/(Trigo!$E19:INDEX(Trigo!$E19:$Z19,MIN(AL$6-$G$3,22))&lt;&gt;""),Trigo!$E19:INDEX(Trigo!$E19:$Z19,MIN(AL$6-$G$3,22))),0)))))</f>
        <v>0</v>
      </c>
      <c r="AM21" s="27" t="n">
        <f aca="false">IF(COUNT(Trigo!$E19:$Z19)=0,0,MAX(0,IF((AM$6-$E$3)&lt;1,0,IFERROR(LOOKUP(2,1/(Trigo!$E19:INDEX(Trigo!$E19:$Z19,MIN(AM$6-$E$3,22))&lt;&gt;""),Trigo!$E19:INDEX(Trigo!$E19:$Z19,MIN(AM$6-$E$3,22))),0))-IF($G$2,0,IF((AM$6-$G$3)&lt;1,0,IFERROR(LOOKUP(2,1/(Trigo!$E19:INDEX(Trigo!$E19:$Z19,MIN(AM$6-$G$3,22))&lt;&gt;""),Trigo!$E19:INDEX(Trigo!$E19:$Z19,MIN(AM$6-$G$3,22))),0)))))</f>
        <v>0</v>
      </c>
      <c r="AN21" s="27" t="n">
        <f aca="false">IF(COUNT(Trigo!$E19:$Z19)=0,0,MAX(0,IF((AN$6-$E$3)&lt;1,0,IFERROR(LOOKUP(2,1/(Trigo!$E19:INDEX(Trigo!$E19:$Z19,MIN(AN$6-$E$3,22))&lt;&gt;""),Trigo!$E19:INDEX(Trigo!$E19:$Z19,MIN(AN$6-$E$3,22))),0))-IF($G$2,0,IF((AN$6-$G$3)&lt;1,0,IFERROR(LOOKUP(2,1/(Trigo!$E19:INDEX(Trigo!$E19:$Z19,MIN(AN$6-$G$3,22))&lt;&gt;""),Trigo!$E19:INDEX(Trigo!$E19:$Z19,MIN(AN$6-$G$3,22))),0)))))</f>
        <v>0</v>
      </c>
      <c r="AO21" s="27" t="n">
        <f aca="false">IF(COUNT(Trigo!$E19:$Z19)=0,0,MAX(0,IF((AO$6-$E$3)&lt;1,0,IFERROR(LOOKUP(2,1/(Trigo!$E19:INDEX(Trigo!$E19:$Z19,MIN(AO$6-$E$3,22))&lt;&gt;""),Trigo!$E19:INDEX(Trigo!$E19:$Z19,MIN(AO$6-$E$3,22))),0))-IF($G$2,0,IF((AO$6-$G$3)&lt;1,0,IFERROR(LOOKUP(2,1/(Trigo!$E19:INDEX(Trigo!$E19:$Z19,MIN(AO$6-$G$3,22))&lt;&gt;""),Trigo!$E19:INDEX(Trigo!$E19:$Z19,MIN(AO$6-$G$3,22))),0)))))</f>
        <v>0</v>
      </c>
      <c r="AP21" s="27" t="n">
        <f aca="false">IF(COUNT(Trigo!$E19:$Z19)=0,0,MAX(0,IF((AP$6-$E$3)&lt;1,0,IFERROR(LOOKUP(2,1/(Trigo!$E19:INDEX(Trigo!$E19:$Z19,MIN(AP$6-$E$3,22))&lt;&gt;""),Trigo!$E19:INDEX(Trigo!$E19:$Z19,MIN(AP$6-$E$3,22))),0))-IF($G$2,0,IF((AP$6-$G$3)&lt;1,0,IFERROR(LOOKUP(2,1/(Trigo!$E19:INDEX(Trigo!$E19:$Z19,MIN(AP$6-$G$3,22))&lt;&gt;""),Trigo!$E19:INDEX(Trigo!$E19:$Z19,MIN(AP$6-$G$3,22))),0)))))</f>
        <v>0</v>
      </c>
      <c r="AQ21" s="27" t="n">
        <f aca="false">IF(COUNT(Trigo!$E19:$Z19)=0,0,MAX(0,IF((AQ$6-$E$3)&lt;1,0,IFERROR(LOOKUP(2,1/(Trigo!$E19:INDEX(Trigo!$E19:$Z19,MIN(AQ$6-$E$3,22))&lt;&gt;""),Trigo!$E19:INDEX(Trigo!$E19:$Z19,MIN(AQ$6-$E$3,22))),0))-IF($G$2,0,IF((AQ$6-$G$3)&lt;1,0,IFERROR(LOOKUP(2,1/(Trigo!$E19:INDEX(Trigo!$E19:$Z19,MIN(AQ$6-$G$3,22))&lt;&gt;""),Trigo!$E19:INDEX(Trigo!$E19:$Z19,MIN(AQ$6-$G$3,22))),0)))))</f>
        <v>0</v>
      </c>
      <c r="AR21" s="27" t="n">
        <f aca="false">IF(COUNT(Trigo!$E19:$Z19)=0,0,MAX(0,IF((AR$6-$E$3)&lt;1,0,IFERROR(LOOKUP(2,1/(Trigo!$E19:INDEX(Trigo!$E19:$Z19,MIN(AR$6-$E$3,22))&lt;&gt;""),Trigo!$E19:INDEX(Trigo!$E19:$Z19,MIN(AR$6-$E$3,22))),0))-IF($G$2,0,IF((AR$6-$G$3)&lt;1,0,IFERROR(LOOKUP(2,1/(Trigo!$E19:INDEX(Trigo!$E19:$Z19,MIN(AR$6-$G$3,22))&lt;&gt;""),Trigo!$E19:INDEX(Trigo!$E19:$Z19,MIN(AR$6-$G$3,22))),0)))))</f>
        <v>0</v>
      </c>
      <c r="AS21" s="27" t="n">
        <f aca="false">IF(COUNT(Trigo!$E19:$Z19)=0,0,MAX(0,IF((AS$6-$E$3)&lt;1,0,IFERROR(LOOKUP(2,1/(Trigo!$E19:INDEX(Trigo!$E19:$Z19,MIN(AS$6-$E$3,22))&lt;&gt;""),Trigo!$E19:INDEX(Trigo!$E19:$Z19,MIN(AS$6-$E$3,22))),0))-IF($G$2,0,IF((AS$6-$G$3)&lt;1,0,IFERROR(LOOKUP(2,1/(Trigo!$E19:INDEX(Trigo!$E19:$Z19,MIN(AS$6-$G$3,22))&lt;&gt;""),Trigo!$E19:INDEX(Trigo!$E19:$Z19,MIN(AS$6-$G$3,22))),0)))))</f>
        <v>0</v>
      </c>
      <c r="AT21" s="27" t="n">
        <f aca="false">IF(COUNT(Trigo!$E19:$Z19)=0,0,MAX(0,IF((AT$6-$E$3)&lt;1,0,IFERROR(LOOKUP(2,1/(Trigo!$E19:INDEX(Trigo!$E19:$Z19,MIN(AT$6-$E$3,22))&lt;&gt;""),Trigo!$E19:INDEX(Trigo!$E19:$Z19,MIN(AT$6-$E$3,22))),0))-IF($G$2,0,IF((AT$6-$G$3)&lt;1,0,IFERROR(LOOKUP(2,1/(Trigo!$E19:INDEX(Trigo!$E19:$Z19,MIN(AT$6-$G$3,22))&lt;&gt;""),Trigo!$E19:INDEX(Trigo!$E19:$Z19,MIN(AT$6-$G$3,22))),0)))))</f>
        <v>0</v>
      </c>
      <c r="AU21" s="27" t="n">
        <f aca="false">IF(COUNT(Trigo!$E19:$Z19)=0,0,MAX(0,IF((AU$6-$E$3)&lt;1,0,IFERROR(LOOKUP(2,1/(Trigo!$E19:INDEX(Trigo!$E19:$Z19,MIN(AU$6-$E$3,22))&lt;&gt;""),Trigo!$E19:INDEX(Trigo!$E19:$Z19,MIN(AU$6-$E$3,22))),0))-IF($G$2,0,IF((AU$6-$G$3)&lt;1,0,IFERROR(LOOKUP(2,1/(Trigo!$E19:INDEX(Trigo!$E19:$Z19,MIN(AU$6-$G$3,22))&lt;&gt;""),Trigo!$E19:INDEX(Trigo!$E19:$Z19,MIN(AU$6-$G$3,22))),0)))))</f>
        <v>0</v>
      </c>
      <c r="AV21" s="27" t="n">
        <f aca="false">IF(COUNT(Trigo!$E19:$Z19)=0,0,MAX(0,IF((AV$6-$E$3)&lt;1,0,IFERROR(LOOKUP(2,1/(Trigo!$E19:INDEX(Trigo!$E19:$Z19,MIN(AV$6-$E$3,22))&lt;&gt;""),Trigo!$E19:INDEX(Trigo!$E19:$Z19,MIN(AV$6-$E$3,22))),0))-IF($G$2,0,IF((AV$6-$G$3)&lt;1,0,IFERROR(LOOKUP(2,1/(Trigo!$E19:INDEX(Trigo!$E19:$Z19,MIN(AV$6-$G$3,22))&lt;&gt;""),Trigo!$E19:INDEX(Trigo!$E19:$Z19,MIN(AV$6-$G$3,22))),0)))))</f>
        <v>0</v>
      </c>
      <c r="AW21" s="27" t="n">
        <f aca="false">IF(COUNT(Trigo!$E19:$Z19)=0,0,MAX(0,IF((AW$6-$E$3)&lt;1,0,IFERROR(LOOKUP(2,1/(Trigo!$E19:INDEX(Trigo!$E19:$Z19,MIN(AW$6-$E$3,22))&lt;&gt;""),Trigo!$E19:INDEX(Trigo!$E19:$Z19,MIN(AW$6-$E$3,22))),0))-IF($G$2,0,IF((AW$6-$G$3)&lt;1,0,IFERROR(LOOKUP(2,1/(Trigo!$E19:INDEX(Trigo!$E19:$Z19,MIN(AW$6-$G$3,22))&lt;&gt;""),Trigo!$E19:INDEX(Trigo!$E19:$Z19,MIN(AW$6-$G$3,22))),0)))))</f>
        <v>0</v>
      </c>
      <c r="AX21" s="27" t="n">
        <f aca="false">IF(COUNT(Trigo!$E19:$Z19)=0,0,MAX(0,IF((AX$6-$E$3)&lt;1,0,IFERROR(LOOKUP(2,1/(Trigo!$E19:INDEX(Trigo!$E19:$Z19,MIN(AX$6-$E$3,22))&lt;&gt;""),Trigo!$E19:INDEX(Trigo!$E19:$Z19,MIN(AX$6-$E$3,22))),0))-IF($G$2,0,IF((AX$6-$G$3)&lt;1,0,IFERROR(LOOKUP(2,1/(Trigo!$E19:INDEX(Trigo!$E19:$Z19,MIN(AX$6-$G$3,22))&lt;&gt;""),Trigo!$E19:INDEX(Trigo!$E19:$Z19,MIN(AX$6-$G$3,22))),0)))))</f>
        <v>0</v>
      </c>
      <c r="AY21" s="27" t="n">
        <f aca="false">IF(COUNT(Trigo!$E19:$Z19)=0,0,MAX(0,IF((AY$6-$E$3)&lt;1,0,IFERROR(LOOKUP(2,1/(Trigo!$E19:INDEX(Trigo!$E19:$Z19,MIN(AY$6-$E$3,22))&lt;&gt;""),Trigo!$E19:INDEX(Trigo!$E19:$Z19,MIN(AY$6-$E$3,22))),0))-IF($G$2,0,IF((AY$6-$G$3)&lt;1,0,IFERROR(LOOKUP(2,1/(Trigo!$E19:INDEX(Trigo!$E19:$Z19,MIN(AY$6-$G$3,22))&lt;&gt;""),Trigo!$E19:INDEX(Trigo!$E19:$Z19,MIN(AY$6-$G$3,22))),0)))))</f>
        <v>0</v>
      </c>
      <c r="AZ21" s="27" t="n">
        <f aca="false">IF(COUNT(Trigo!$E19:$Z19)=0,0,MAX(0,IF((AZ$6-$E$3)&lt;1,0,IFERROR(LOOKUP(2,1/(Trigo!$E19:INDEX(Trigo!$E19:$Z19,MIN(AZ$6-$E$3,22))&lt;&gt;""),Trigo!$E19:INDEX(Trigo!$E19:$Z19,MIN(AZ$6-$E$3,22))),0))-IF($G$2,0,IF((AZ$6-$G$3)&lt;1,0,IFERROR(LOOKUP(2,1/(Trigo!$E19:INDEX(Trigo!$E19:$Z19,MIN(AZ$6-$G$3,22))&lt;&gt;""),Trigo!$E19:INDEX(Trigo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IF(COUNT(Trigo!$E20:$Z20)&gt;0,N(Trigo!$D20),0)</f>
        <v>0</v>
      </c>
      <c r="E22" s="27" t="n">
        <f aca="false">IF(COUNT(Trigo!$E20:$Z20)=0,0,MAX(0,IF((E$6-$E$3)&lt;1,0,IFERROR(LOOKUP(2,1/(Trigo!$E20:INDEX(Trigo!$E20:$Z20,MIN(E$6-$E$3,22))&lt;&gt;""),Trigo!$E20:INDEX(Trigo!$E20:$Z20,MIN(E$6-$E$3,22))),0))-IF($G$2,0,IF((E$6-$G$3)&lt;1,0,IFERROR(LOOKUP(2,1/(Trigo!$E20:INDEX(Trigo!$E20:$Z20,MIN(E$6-$G$3,22))&lt;&gt;""),Trigo!$E20:INDEX(Trigo!$E20:$Z20,MIN(E$6-$G$3,22))),0)))))</f>
        <v>0</v>
      </c>
      <c r="F22" s="27" t="n">
        <f aca="false">IF(COUNT(Trigo!$E20:$Z20)=0,0,MAX(0,IF((F$6-$E$3)&lt;1,0,IFERROR(LOOKUP(2,1/(Trigo!$E20:INDEX(Trigo!$E20:$Z20,MIN(F$6-$E$3,22))&lt;&gt;""),Trigo!$E20:INDEX(Trigo!$E20:$Z20,MIN(F$6-$E$3,22))),0))-IF($G$2,0,IF((F$6-$G$3)&lt;1,0,IFERROR(LOOKUP(2,1/(Trigo!$E20:INDEX(Trigo!$E20:$Z20,MIN(F$6-$G$3,22))&lt;&gt;""),Trigo!$E20:INDEX(Trigo!$E20:$Z20,MIN(F$6-$G$3,22))),0)))))</f>
        <v>0</v>
      </c>
      <c r="G22" s="27" t="n">
        <f aca="false">IF(COUNT(Trigo!$E20:$Z20)=0,0,MAX(0,IF((G$6-$E$3)&lt;1,0,IFERROR(LOOKUP(2,1/(Trigo!$E20:INDEX(Trigo!$E20:$Z20,MIN(G$6-$E$3,22))&lt;&gt;""),Trigo!$E20:INDEX(Trigo!$E20:$Z20,MIN(G$6-$E$3,22))),0))-IF($G$2,0,IF((G$6-$G$3)&lt;1,0,IFERROR(LOOKUP(2,1/(Trigo!$E20:INDEX(Trigo!$E20:$Z20,MIN(G$6-$G$3,22))&lt;&gt;""),Trigo!$E20:INDEX(Trigo!$E20:$Z20,MIN(G$6-$G$3,22))),0)))))</f>
        <v>0</v>
      </c>
      <c r="H22" s="27" t="n">
        <f aca="false">IF(COUNT(Trigo!$E20:$Z20)=0,0,MAX(0,IF((H$6-$E$3)&lt;1,0,IFERROR(LOOKUP(2,1/(Trigo!$E20:INDEX(Trigo!$E20:$Z20,MIN(H$6-$E$3,22))&lt;&gt;""),Trigo!$E20:INDEX(Trigo!$E20:$Z20,MIN(H$6-$E$3,22))),0))-IF($G$2,0,IF((H$6-$G$3)&lt;1,0,IFERROR(LOOKUP(2,1/(Trigo!$E20:INDEX(Trigo!$E20:$Z20,MIN(H$6-$G$3,22))&lt;&gt;""),Trigo!$E20:INDEX(Trigo!$E20:$Z20,MIN(H$6-$G$3,22))),0)))))</f>
        <v>0</v>
      </c>
      <c r="I22" s="27" t="n">
        <f aca="false">IF(COUNT(Trigo!$E20:$Z20)=0,0,MAX(0,IF((I$6-$E$3)&lt;1,0,IFERROR(LOOKUP(2,1/(Trigo!$E20:INDEX(Trigo!$E20:$Z20,MIN(I$6-$E$3,22))&lt;&gt;""),Trigo!$E20:INDEX(Trigo!$E20:$Z20,MIN(I$6-$E$3,22))),0))-IF($G$2,0,IF((I$6-$G$3)&lt;1,0,IFERROR(LOOKUP(2,1/(Trigo!$E20:INDEX(Trigo!$E20:$Z20,MIN(I$6-$G$3,22))&lt;&gt;""),Trigo!$E20:INDEX(Trigo!$E20:$Z20,MIN(I$6-$G$3,22))),0)))))</f>
        <v>0</v>
      </c>
      <c r="J22" s="27" t="n">
        <f aca="false">IF(COUNT(Trigo!$E20:$Z20)=0,0,MAX(0,IF((J$6-$E$3)&lt;1,0,IFERROR(LOOKUP(2,1/(Trigo!$E20:INDEX(Trigo!$E20:$Z20,MIN(J$6-$E$3,22))&lt;&gt;""),Trigo!$E20:INDEX(Trigo!$E20:$Z20,MIN(J$6-$E$3,22))),0))-IF($G$2,0,IF((J$6-$G$3)&lt;1,0,IFERROR(LOOKUP(2,1/(Trigo!$E20:INDEX(Trigo!$E20:$Z20,MIN(J$6-$G$3,22))&lt;&gt;""),Trigo!$E20:INDEX(Trigo!$E20:$Z20,MIN(J$6-$G$3,22))),0)))))</f>
        <v>0</v>
      </c>
      <c r="K22" s="27" t="n">
        <f aca="false">IF(COUNT(Trigo!$E20:$Z20)=0,0,MAX(0,IF((K$6-$E$3)&lt;1,0,IFERROR(LOOKUP(2,1/(Trigo!$E20:INDEX(Trigo!$E20:$Z20,MIN(K$6-$E$3,22))&lt;&gt;""),Trigo!$E20:INDEX(Trigo!$E20:$Z20,MIN(K$6-$E$3,22))),0))-IF($G$2,0,IF((K$6-$G$3)&lt;1,0,IFERROR(LOOKUP(2,1/(Trigo!$E20:INDEX(Trigo!$E20:$Z20,MIN(K$6-$G$3,22))&lt;&gt;""),Trigo!$E20:INDEX(Trigo!$E20:$Z20,MIN(K$6-$G$3,22))),0)))))</f>
        <v>0</v>
      </c>
      <c r="L22" s="27" t="n">
        <f aca="false">IF(COUNT(Trigo!$E20:$Z20)=0,0,MAX(0,IF((L$6-$E$3)&lt;1,0,IFERROR(LOOKUP(2,1/(Trigo!$E20:INDEX(Trigo!$E20:$Z20,MIN(L$6-$E$3,22))&lt;&gt;""),Trigo!$E20:INDEX(Trigo!$E20:$Z20,MIN(L$6-$E$3,22))),0))-IF($G$2,0,IF((L$6-$G$3)&lt;1,0,IFERROR(LOOKUP(2,1/(Trigo!$E20:INDEX(Trigo!$E20:$Z20,MIN(L$6-$G$3,22))&lt;&gt;""),Trigo!$E20:INDEX(Trigo!$E20:$Z20,MIN(L$6-$G$3,22))),0)))))</f>
        <v>0</v>
      </c>
      <c r="M22" s="27" t="n">
        <f aca="false">IF(COUNT(Trigo!$E20:$Z20)=0,0,MAX(0,IF((M$6-$E$3)&lt;1,0,IFERROR(LOOKUP(2,1/(Trigo!$E20:INDEX(Trigo!$E20:$Z20,MIN(M$6-$E$3,22))&lt;&gt;""),Trigo!$E20:INDEX(Trigo!$E20:$Z20,MIN(M$6-$E$3,22))),0))-IF($G$2,0,IF((M$6-$G$3)&lt;1,0,IFERROR(LOOKUP(2,1/(Trigo!$E20:INDEX(Trigo!$E20:$Z20,MIN(M$6-$G$3,22))&lt;&gt;""),Trigo!$E20:INDEX(Trigo!$E20:$Z20,MIN(M$6-$G$3,22))),0)))))</f>
        <v>0</v>
      </c>
      <c r="N22" s="27" t="n">
        <f aca="false">IF(COUNT(Trigo!$E20:$Z20)=0,0,MAX(0,IF((N$6-$E$3)&lt;1,0,IFERROR(LOOKUP(2,1/(Trigo!$E20:INDEX(Trigo!$E20:$Z20,MIN(N$6-$E$3,22))&lt;&gt;""),Trigo!$E20:INDEX(Trigo!$E20:$Z20,MIN(N$6-$E$3,22))),0))-IF($G$2,0,IF((N$6-$G$3)&lt;1,0,IFERROR(LOOKUP(2,1/(Trigo!$E20:INDEX(Trigo!$E20:$Z20,MIN(N$6-$G$3,22))&lt;&gt;""),Trigo!$E20:INDEX(Trigo!$E20:$Z20,MIN(N$6-$G$3,22))),0)))))</f>
        <v>0</v>
      </c>
      <c r="O22" s="27" t="n">
        <f aca="false">IF(COUNT(Trigo!$E20:$Z20)=0,0,MAX(0,IF((O$6-$E$3)&lt;1,0,IFERROR(LOOKUP(2,1/(Trigo!$E20:INDEX(Trigo!$E20:$Z20,MIN(O$6-$E$3,22))&lt;&gt;""),Trigo!$E20:INDEX(Trigo!$E20:$Z20,MIN(O$6-$E$3,22))),0))-IF($G$2,0,IF((O$6-$G$3)&lt;1,0,IFERROR(LOOKUP(2,1/(Trigo!$E20:INDEX(Trigo!$E20:$Z20,MIN(O$6-$G$3,22))&lt;&gt;""),Trigo!$E20:INDEX(Trigo!$E20:$Z20,MIN(O$6-$G$3,22))),0)))))</f>
        <v>0</v>
      </c>
      <c r="P22" s="27" t="n">
        <f aca="false">IF(COUNT(Trigo!$E20:$Z20)=0,0,MAX(0,IF((P$6-$E$3)&lt;1,0,IFERROR(LOOKUP(2,1/(Trigo!$E20:INDEX(Trigo!$E20:$Z20,MIN(P$6-$E$3,22))&lt;&gt;""),Trigo!$E20:INDEX(Trigo!$E20:$Z20,MIN(P$6-$E$3,22))),0))-IF($G$2,0,IF((P$6-$G$3)&lt;1,0,IFERROR(LOOKUP(2,1/(Trigo!$E20:INDEX(Trigo!$E20:$Z20,MIN(P$6-$G$3,22))&lt;&gt;""),Trigo!$E20:INDEX(Trigo!$E20:$Z20,MIN(P$6-$G$3,22))),0)))))</f>
        <v>0</v>
      </c>
      <c r="Q22" s="27" t="n">
        <f aca="false">IF(COUNT(Trigo!$E20:$Z20)=0,0,MAX(0,IF((Q$6-$E$3)&lt;1,0,IFERROR(LOOKUP(2,1/(Trigo!$E20:INDEX(Trigo!$E20:$Z20,MIN(Q$6-$E$3,22))&lt;&gt;""),Trigo!$E20:INDEX(Trigo!$E20:$Z20,MIN(Q$6-$E$3,22))),0))-IF($G$2,0,IF((Q$6-$G$3)&lt;1,0,IFERROR(LOOKUP(2,1/(Trigo!$E20:INDEX(Trigo!$E20:$Z20,MIN(Q$6-$G$3,22))&lt;&gt;""),Trigo!$E20:INDEX(Trigo!$E20:$Z20,MIN(Q$6-$G$3,22))),0)))))</f>
        <v>0</v>
      </c>
      <c r="R22" s="27" t="n">
        <f aca="false">IF(COUNT(Trigo!$E20:$Z20)=0,0,MAX(0,IF((R$6-$E$3)&lt;1,0,IFERROR(LOOKUP(2,1/(Trigo!$E20:INDEX(Trigo!$E20:$Z20,MIN(R$6-$E$3,22))&lt;&gt;""),Trigo!$E20:INDEX(Trigo!$E20:$Z20,MIN(R$6-$E$3,22))),0))-IF($G$2,0,IF((R$6-$G$3)&lt;1,0,IFERROR(LOOKUP(2,1/(Trigo!$E20:INDEX(Trigo!$E20:$Z20,MIN(R$6-$G$3,22))&lt;&gt;""),Trigo!$E20:INDEX(Trigo!$E20:$Z20,MIN(R$6-$G$3,22))),0)))))</f>
        <v>0</v>
      </c>
      <c r="S22" s="27" t="n">
        <f aca="false">IF(COUNT(Trigo!$E20:$Z20)=0,0,MAX(0,IF((S$6-$E$3)&lt;1,0,IFERROR(LOOKUP(2,1/(Trigo!$E20:INDEX(Trigo!$E20:$Z20,MIN(S$6-$E$3,22))&lt;&gt;""),Trigo!$E20:INDEX(Trigo!$E20:$Z20,MIN(S$6-$E$3,22))),0))-IF($G$2,0,IF((S$6-$G$3)&lt;1,0,IFERROR(LOOKUP(2,1/(Trigo!$E20:INDEX(Trigo!$E20:$Z20,MIN(S$6-$G$3,22))&lt;&gt;""),Trigo!$E20:INDEX(Trigo!$E20:$Z20,MIN(S$6-$G$3,22))),0)))))</f>
        <v>0</v>
      </c>
      <c r="T22" s="27" t="n">
        <f aca="false">IF(COUNT(Trigo!$E20:$Z20)=0,0,MAX(0,IF((T$6-$E$3)&lt;1,0,IFERROR(LOOKUP(2,1/(Trigo!$E20:INDEX(Trigo!$E20:$Z20,MIN(T$6-$E$3,22))&lt;&gt;""),Trigo!$E20:INDEX(Trigo!$E20:$Z20,MIN(T$6-$E$3,22))),0))-IF($G$2,0,IF((T$6-$G$3)&lt;1,0,IFERROR(LOOKUP(2,1/(Trigo!$E20:INDEX(Trigo!$E20:$Z20,MIN(T$6-$G$3,22))&lt;&gt;""),Trigo!$E20:INDEX(Trigo!$E20:$Z20,MIN(T$6-$G$3,22))),0)))))</f>
        <v>0</v>
      </c>
      <c r="U22" s="27" t="n">
        <f aca="false">IF(COUNT(Trigo!$E20:$Z20)=0,0,MAX(0,IF((U$6-$E$3)&lt;1,0,IFERROR(LOOKUP(2,1/(Trigo!$E20:INDEX(Trigo!$E20:$Z20,MIN(U$6-$E$3,22))&lt;&gt;""),Trigo!$E20:INDEX(Trigo!$E20:$Z20,MIN(U$6-$E$3,22))),0))-IF($G$2,0,IF((U$6-$G$3)&lt;1,0,IFERROR(LOOKUP(2,1/(Trigo!$E20:INDEX(Trigo!$E20:$Z20,MIN(U$6-$G$3,22))&lt;&gt;""),Trigo!$E20:INDEX(Trigo!$E20:$Z20,MIN(U$6-$G$3,22))),0)))))</f>
        <v>0</v>
      </c>
      <c r="V22" s="27" t="n">
        <f aca="false">IF(COUNT(Trigo!$E20:$Z20)=0,0,MAX(0,IF((V$6-$E$3)&lt;1,0,IFERROR(LOOKUP(2,1/(Trigo!$E20:INDEX(Trigo!$E20:$Z20,MIN(V$6-$E$3,22))&lt;&gt;""),Trigo!$E20:INDEX(Trigo!$E20:$Z20,MIN(V$6-$E$3,22))),0))-IF($G$2,0,IF((V$6-$G$3)&lt;1,0,IFERROR(LOOKUP(2,1/(Trigo!$E20:INDEX(Trigo!$E20:$Z20,MIN(V$6-$G$3,22))&lt;&gt;""),Trigo!$E20:INDEX(Trigo!$E20:$Z20,MIN(V$6-$G$3,22))),0)))))</f>
        <v>0</v>
      </c>
      <c r="W22" s="27" t="n">
        <f aca="false">IF(COUNT(Trigo!$E20:$Z20)=0,0,MAX(0,IF((W$6-$E$3)&lt;1,0,IFERROR(LOOKUP(2,1/(Trigo!$E20:INDEX(Trigo!$E20:$Z20,MIN(W$6-$E$3,22))&lt;&gt;""),Trigo!$E20:INDEX(Trigo!$E20:$Z20,MIN(W$6-$E$3,22))),0))-IF($G$2,0,IF((W$6-$G$3)&lt;1,0,IFERROR(LOOKUP(2,1/(Trigo!$E20:INDEX(Trigo!$E20:$Z20,MIN(W$6-$G$3,22))&lt;&gt;""),Trigo!$E20:INDEX(Trigo!$E20:$Z20,MIN(W$6-$G$3,22))),0)))))</f>
        <v>0</v>
      </c>
      <c r="X22" s="27" t="n">
        <f aca="false">IF(COUNT(Trigo!$E20:$Z20)=0,0,MAX(0,IF((X$6-$E$3)&lt;1,0,IFERROR(LOOKUP(2,1/(Trigo!$E20:INDEX(Trigo!$E20:$Z20,MIN(X$6-$E$3,22))&lt;&gt;""),Trigo!$E20:INDEX(Trigo!$E20:$Z20,MIN(X$6-$E$3,22))),0))-IF($G$2,0,IF((X$6-$G$3)&lt;1,0,IFERROR(LOOKUP(2,1/(Trigo!$E20:INDEX(Trigo!$E20:$Z20,MIN(X$6-$G$3,22))&lt;&gt;""),Trigo!$E20:INDEX(Trigo!$E20:$Z20,MIN(X$6-$G$3,22))),0)))))</f>
        <v>0</v>
      </c>
      <c r="Y22" s="27" t="n">
        <f aca="false">IF(COUNT(Trigo!$E20:$Z20)=0,0,MAX(0,IF((Y$6-$E$3)&lt;1,0,IFERROR(LOOKUP(2,1/(Trigo!$E20:INDEX(Trigo!$E20:$Z20,MIN(Y$6-$E$3,22))&lt;&gt;""),Trigo!$E20:INDEX(Trigo!$E20:$Z20,MIN(Y$6-$E$3,22))),0))-IF($G$2,0,IF((Y$6-$G$3)&lt;1,0,IFERROR(LOOKUP(2,1/(Trigo!$E20:INDEX(Trigo!$E20:$Z20,MIN(Y$6-$G$3,22))&lt;&gt;""),Trigo!$E20:INDEX(Trigo!$E20:$Z20,MIN(Y$6-$G$3,22))),0)))))</f>
        <v>0</v>
      </c>
      <c r="Z22" s="27" t="n">
        <f aca="false">IF(COUNT(Trigo!$E20:$Z20)=0,0,MAX(0,IF((Z$6-$E$3)&lt;1,0,IFERROR(LOOKUP(2,1/(Trigo!$E20:INDEX(Trigo!$E20:$Z20,MIN(Z$6-$E$3,22))&lt;&gt;""),Trigo!$E20:INDEX(Trigo!$E20:$Z20,MIN(Z$6-$E$3,22))),0))-IF($G$2,0,IF((Z$6-$G$3)&lt;1,0,IFERROR(LOOKUP(2,1/(Trigo!$E20:INDEX(Trigo!$E20:$Z20,MIN(Z$6-$G$3,22))&lt;&gt;""),Trigo!$E20:INDEX(Trigo!$E20:$Z20,MIN(Z$6-$G$3,22))),0)))))</f>
        <v>0</v>
      </c>
      <c r="AA22" s="27" t="n">
        <f aca="false">IF(COUNT(Trigo!$E20:$Z20)=0,0,MAX(0,IF((AA$6-$E$3)&lt;1,0,IFERROR(LOOKUP(2,1/(Trigo!$E20:INDEX(Trigo!$E20:$Z20,MIN(AA$6-$E$3,22))&lt;&gt;""),Trigo!$E20:INDEX(Trigo!$E20:$Z20,MIN(AA$6-$E$3,22))),0))-IF($G$2,0,IF((AA$6-$G$3)&lt;1,0,IFERROR(LOOKUP(2,1/(Trigo!$E20:INDEX(Trigo!$E20:$Z20,MIN(AA$6-$G$3,22))&lt;&gt;""),Trigo!$E20:INDEX(Trigo!$E20:$Z20,MIN(AA$6-$G$3,22))),0)))))</f>
        <v>0</v>
      </c>
      <c r="AB22" s="27" t="n">
        <f aca="false">IF(COUNT(Trigo!$E20:$Z20)=0,0,MAX(0,IF((AB$6-$E$3)&lt;1,0,IFERROR(LOOKUP(2,1/(Trigo!$E20:INDEX(Trigo!$E20:$Z20,MIN(AB$6-$E$3,22))&lt;&gt;""),Trigo!$E20:INDEX(Trigo!$E20:$Z20,MIN(AB$6-$E$3,22))),0))-IF($G$2,0,IF((AB$6-$G$3)&lt;1,0,IFERROR(LOOKUP(2,1/(Trigo!$E20:INDEX(Trigo!$E20:$Z20,MIN(AB$6-$G$3,22))&lt;&gt;""),Trigo!$E20:INDEX(Trigo!$E20:$Z20,MIN(AB$6-$G$3,22))),0)))))</f>
        <v>0</v>
      </c>
      <c r="AC22" s="27" t="n">
        <f aca="false">IF(COUNT(Trigo!$E20:$Z20)=0,0,MAX(0,IF((AC$6-$E$3)&lt;1,0,IFERROR(LOOKUP(2,1/(Trigo!$E20:INDEX(Trigo!$E20:$Z20,MIN(AC$6-$E$3,22))&lt;&gt;""),Trigo!$E20:INDEX(Trigo!$E20:$Z20,MIN(AC$6-$E$3,22))),0))-IF($G$2,0,IF((AC$6-$G$3)&lt;1,0,IFERROR(LOOKUP(2,1/(Trigo!$E20:INDEX(Trigo!$E20:$Z20,MIN(AC$6-$G$3,22))&lt;&gt;""),Trigo!$E20:INDEX(Trigo!$E20:$Z20,MIN(AC$6-$G$3,22))),0)))))</f>
        <v>0</v>
      </c>
      <c r="AD22" s="27" t="n">
        <f aca="false">IF(COUNT(Trigo!$E20:$Z20)=0,0,MAX(0,IF((AD$6-$E$3)&lt;1,0,IFERROR(LOOKUP(2,1/(Trigo!$E20:INDEX(Trigo!$E20:$Z20,MIN(AD$6-$E$3,22))&lt;&gt;""),Trigo!$E20:INDEX(Trigo!$E20:$Z20,MIN(AD$6-$E$3,22))),0))-IF($G$2,0,IF((AD$6-$G$3)&lt;1,0,IFERROR(LOOKUP(2,1/(Trigo!$E20:INDEX(Trigo!$E20:$Z20,MIN(AD$6-$G$3,22))&lt;&gt;""),Trigo!$E20:INDEX(Trigo!$E20:$Z20,MIN(AD$6-$G$3,22))),0)))))</f>
        <v>0</v>
      </c>
      <c r="AE22" s="27" t="n">
        <f aca="false">IF(COUNT(Trigo!$E20:$Z20)=0,0,MAX(0,IF((AE$6-$E$3)&lt;1,0,IFERROR(LOOKUP(2,1/(Trigo!$E20:INDEX(Trigo!$E20:$Z20,MIN(AE$6-$E$3,22))&lt;&gt;""),Trigo!$E20:INDEX(Trigo!$E20:$Z20,MIN(AE$6-$E$3,22))),0))-IF($G$2,0,IF((AE$6-$G$3)&lt;1,0,IFERROR(LOOKUP(2,1/(Trigo!$E20:INDEX(Trigo!$E20:$Z20,MIN(AE$6-$G$3,22))&lt;&gt;""),Trigo!$E20:INDEX(Trigo!$E20:$Z20,MIN(AE$6-$G$3,22))),0)))))</f>
        <v>0</v>
      </c>
      <c r="AF22" s="27" t="n">
        <f aca="false">IF(COUNT(Trigo!$E20:$Z20)=0,0,MAX(0,IF((AF$6-$E$3)&lt;1,0,IFERROR(LOOKUP(2,1/(Trigo!$E20:INDEX(Trigo!$E20:$Z20,MIN(AF$6-$E$3,22))&lt;&gt;""),Trigo!$E20:INDEX(Trigo!$E20:$Z20,MIN(AF$6-$E$3,22))),0))-IF($G$2,0,IF((AF$6-$G$3)&lt;1,0,IFERROR(LOOKUP(2,1/(Trigo!$E20:INDEX(Trigo!$E20:$Z20,MIN(AF$6-$G$3,22))&lt;&gt;""),Trigo!$E20:INDEX(Trigo!$E20:$Z20,MIN(AF$6-$G$3,22))),0)))))</f>
        <v>0</v>
      </c>
      <c r="AG22" s="27" t="n">
        <f aca="false">IF(COUNT(Trigo!$E20:$Z20)=0,0,MAX(0,IF((AG$6-$E$3)&lt;1,0,IFERROR(LOOKUP(2,1/(Trigo!$E20:INDEX(Trigo!$E20:$Z20,MIN(AG$6-$E$3,22))&lt;&gt;""),Trigo!$E20:INDEX(Trigo!$E20:$Z20,MIN(AG$6-$E$3,22))),0))-IF($G$2,0,IF((AG$6-$G$3)&lt;1,0,IFERROR(LOOKUP(2,1/(Trigo!$E20:INDEX(Trigo!$E20:$Z20,MIN(AG$6-$G$3,22))&lt;&gt;""),Trigo!$E20:INDEX(Trigo!$E20:$Z20,MIN(AG$6-$G$3,22))),0)))))</f>
        <v>0</v>
      </c>
      <c r="AH22" s="27" t="n">
        <f aca="false">IF(COUNT(Trigo!$E20:$Z20)=0,0,MAX(0,IF((AH$6-$E$3)&lt;1,0,IFERROR(LOOKUP(2,1/(Trigo!$E20:INDEX(Trigo!$E20:$Z20,MIN(AH$6-$E$3,22))&lt;&gt;""),Trigo!$E20:INDEX(Trigo!$E20:$Z20,MIN(AH$6-$E$3,22))),0))-IF($G$2,0,IF((AH$6-$G$3)&lt;1,0,IFERROR(LOOKUP(2,1/(Trigo!$E20:INDEX(Trigo!$E20:$Z20,MIN(AH$6-$G$3,22))&lt;&gt;""),Trigo!$E20:INDEX(Trigo!$E20:$Z20,MIN(AH$6-$G$3,22))),0)))))</f>
        <v>0</v>
      </c>
      <c r="AI22" s="27" t="n">
        <f aca="false">IF(COUNT(Trigo!$E20:$Z20)=0,0,MAX(0,IF((AI$6-$E$3)&lt;1,0,IFERROR(LOOKUP(2,1/(Trigo!$E20:INDEX(Trigo!$E20:$Z20,MIN(AI$6-$E$3,22))&lt;&gt;""),Trigo!$E20:INDEX(Trigo!$E20:$Z20,MIN(AI$6-$E$3,22))),0))-IF($G$2,0,IF((AI$6-$G$3)&lt;1,0,IFERROR(LOOKUP(2,1/(Trigo!$E20:INDEX(Trigo!$E20:$Z20,MIN(AI$6-$G$3,22))&lt;&gt;""),Trigo!$E20:INDEX(Trigo!$E20:$Z20,MIN(AI$6-$G$3,22))),0)))))</f>
        <v>0</v>
      </c>
      <c r="AJ22" s="27" t="n">
        <f aca="false">IF(COUNT(Trigo!$E20:$Z20)=0,0,MAX(0,IF((AJ$6-$E$3)&lt;1,0,IFERROR(LOOKUP(2,1/(Trigo!$E20:INDEX(Trigo!$E20:$Z20,MIN(AJ$6-$E$3,22))&lt;&gt;""),Trigo!$E20:INDEX(Trigo!$E20:$Z20,MIN(AJ$6-$E$3,22))),0))-IF($G$2,0,IF((AJ$6-$G$3)&lt;1,0,IFERROR(LOOKUP(2,1/(Trigo!$E20:INDEX(Trigo!$E20:$Z20,MIN(AJ$6-$G$3,22))&lt;&gt;""),Trigo!$E20:INDEX(Trigo!$E20:$Z20,MIN(AJ$6-$G$3,22))),0)))))</f>
        <v>0</v>
      </c>
      <c r="AK22" s="27" t="n">
        <f aca="false">IF(COUNT(Trigo!$E20:$Z20)=0,0,MAX(0,IF((AK$6-$E$3)&lt;1,0,IFERROR(LOOKUP(2,1/(Trigo!$E20:INDEX(Trigo!$E20:$Z20,MIN(AK$6-$E$3,22))&lt;&gt;""),Trigo!$E20:INDEX(Trigo!$E20:$Z20,MIN(AK$6-$E$3,22))),0))-IF($G$2,0,IF((AK$6-$G$3)&lt;1,0,IFERROR(LOOKUP(2,1/(Trigo!$E20:INDEX(Trigo!$E20:$Z20,MIN(AK$6-$G$3,22))&lt;&gt;""),Trigo!$E20:INDEX(Trigo!$E20:$Z20,MIN(AK$6-$G$3,22))),0)))))</f>
        <v>0</v>
      </c>
      <c r="AL22" s="27" t="n">
        <f aca="false">IF(COUNT(Trigo!$E20:$Z20)=0,0,MAX(0,IF((AL$6-$E$3)&lt;1,0,IFERROR(LOOKUP(2,1/(Trigo!$E20:INDEX(Trigo!$E20:$Z20,MIN(AL$6-$E$3,22))&lt;&gt;""),Trigo!$E20:INDEX(Trigo!$E20:$Z20,MIN(AL$6-$E$3,22))),0))-IF($G$2,0,IF((AL$6-$G$3)&lt;1,0,IFERROR(LOOKUP(2,1/(Trigo!$E20:INDEX(Trigo!$E20:$Z20,MIN(AL$6-$G$3,22))&lt;&gt;""),Trigo!$E20:INDEX(Trigo!$E20:$Z20,MIN(AL$6-$G$3,22))),0)))))</f>
        <v>0</v>
      </c>
      <c r="AM22" s="27" t="n">
        <f aca="false">IF(COUNT(Trigo!$E20:$Z20)=0,0,MAX(0,IF((AM$6-$E$3)&lt;1,0,IFERROR(LOOKUP(2,1/(Trigo!$E20:INDEX(Trigo!$E20:$Z20,MIN(AM$6-$E$3,22))&lt;&gt;""),Trigo!$E20:INDEX(Trigo!$E20:$Z20,MIN(AM$6-$E$3,22))),0))-IF($G$2,0,IF((AM$6-$G$3)&lt;1,0,IFERROR(LOOKUP(2,1/(Trigo!$E20:INDEX(Trigo!$E20:$Z20,MIN(AM$6-$G$3,22))&lt;&gt;""),Trigo!$E20:INDEX(Trigo!$E20:$Z20,MIN(AM$6-$G$3,22))),0)))))</f>
        <v>0</v>
      </c>
      <c r="AN22" s="27" t="n">
        <f aca="false">IF(COUNT(Trigo!$E20:$Z20)=0,0,MAX(0,IF((AN$6-$E$3)&lt;1,0,IFERROR(LOOKUP(2,1/(Trigo!$E20:INDEX(Trigo!$E20:$Z20,MIN(AN$6-$E$3,22))&lt;&gt;""),Trigo!$E20:INDEX(Trigo!$E20:$Z20,MIN(AN$6-$E$3,22))),0))-IF($G$2,0,IF((AN$6-$G$3)&lt;1,0,IFERROR(LOOKUP(2,1/(Trigo!$E20:INDEX(Trigo!$E20:$Z20,MIN(AN$6-$G$3,22))&lt;&gt;""),Trigo!$E20:INDEX(Trigo!$E20:$Z20,MIN(AN$6-$G$3,22))),0)))))</f>
        <v>0</v>
      </c>
      <c r="AO22" s="27" t="n">
        <f aca="false">IF(COUNT(Trigo!$E20:$Z20)=0,0,MAX(0,IF((AO$6-$E$3)&lt;1,0,IFERROR(LOOKUP(2,1/(Trigo!$E20:INDEX(Trigo!$E20:$Z20,MIN(AO$6-$E$3,22))&lt;&gt;""),Trigo!$E20:INDEX(Trigo!$E20:$Z20,MIN(AO$6-$E$3,22))),0))-IF($G$2,0,IF((AO$6-$G$3)&lt;1,0,IFERROR(LOOKUP(2,1/(Trigo!$E20:INDEX(Trigo!$E20:$Z20,MIN(AO$6-$G$3,22))&lt;&gt;""),Trigo!$E20:INDEX(Trigo!$E20:$Z20,MIN(AO$6-$G$3,22))),0)))))</f>
        <v>0</v>
      </c>
      <c r="AP22" s="27" t="n">
        <f aca="false">IF(COUNT(Trigo!$E20:$Z20)=0,0,MAX(0,IF((AP$6-$E$3)&lt;1,0,IFERROR(LOOKUP(2,1/(Trigo!$E20:INDEX(Trigo!$E20:$Z20,MIN(AP$6-$E$3,22))&lt;&gt;""),Trigo!$E20:INDEX(Trigo!$E20:$Z20,MIN(AP$6-$E$3,22))),0))-IF($G$2,0,IF((AP$6-$G$3)&lt;1,0,IFERROR(LOOKUP(2,1/(Trigo!$E20:INDEX(Trigo!$E20:$Z20,MIN(AP$6-$G$3,22))&lt;&gt;""),Trigo!$E20:INDEX(Trigo!$E20:$Z20,MIN(AP$6-$G$3,22))),0)))))</f>
        <v>0</v>
      </c>
      <c r="AQ22" s="27" t="n">
        <f aca="false">IF(COUNT(Trigo!$E20:$Z20)=0,0,MAX(0,IF((AQ$6-$E$3)&lt;1,0,IFERROR(LOOKUP(2,1/(Trigo!$E20:INDEX(Trigo!$E20:$Z20,MIN(AQ$6-$E$3,22))&lt;&gt;""),Trigo!$E20:INDEX(Trigo!$E20:$Z20,MIN(AQ$6-$E$3,22))),0))-IF($G$2,0,IF((AQ$6-$G$3)&lt;1,0,IFERROR(LOOKUP(2,1/(Trigo!$E20:INDEX(Trigo!$E20:$Z20,MIN(AQ$6-$G$3,22))&lt;&gt;""),Trigo!$E20:INDEX(Trigo!$E20:$Z20,MIN(AQ$6-$G$3,22))),0)))))</f>
        <v>0</v>
      </c>
      <c r="AR22" s="27" t="n">
        <f aca="false">IF(COUNT(Trigo!$E20:$Z20)=0,0,MAX(0,IF((AR$6-$E$3)&lt;1,0,IFERROR(LOOKUP(2,1/(Trigo!$E20:INDEX(Trigo!$E20:$Z20,MIN(AR$6-$E$3,22))&lt;&gt;""),Trigo!$E20:INDEX(Trigo!$E20:$Z20,MIN(AR$6-$E$3,22))),0))-IF($G$2,0,IF((AR$6-$G$3)&lt;1,0,IFERROR(LOOKUP(2,1/(Trigo!$E20:INDEX(Trigo!$E20:$Z20,MIN(AR$6-$G$3,22))&lt;&gt;""),Trigo!$E20:INDEX(Trigo!$E20:$Z20,MIN(AR$6-$G$3,22))),0)))))</f>
        <v>0</v>
      </c>
      <c r="AS22" s="27" t="n">
        <f aca="false">IF(COUNT(Trigo!$E20:$Z20)=0,0,MAX(0,IF((AS$6-$E$3)&lt;1,0,IFERROR(LOOKUP(2,1/(Trigo!$E20:INDEX(Trigo!$E20:$Z20,MIN(AS$6-$E$3,22))&lt;&gt;""),Trigo!$E20:INDEX(Trigo!$E20:$Z20,MIN(AS$6-$E$3,22))),0))-IF($G$2,0,IF((AS$6-$G$3)&lt;1,0,IFERROR(LOOKUP(2,1/(Trigo!$E20:INDEX(Trigo!$E20:$Z20,MIN(AS$6-$G$3,22))&lt;&gt;""),Trigo!$E20:INDEX(Trigo!$E20:$Z20,MIN(AS$6-$G$3,22))),0)))))</f>
        <v>0</v>
      </c>
      <c r="AT22" s="27" t="n">
        <f aca="false">IF(COUNT(Trigo!$E20:$Z20)=0,0,MAX(0,IF((AT$6-$E$3)&lt;1,0,IFERROR(LOOKUP(2,1/(Trigo!$E20:INDEX(Trigo!$E20:$Z20,MIN(AT$6-$E$3,22))&lt;&gt;""),Trigo!$E20:INDEX(Trigo!$E20:$Z20,MIN(AT$6-$E$3,22))),0))-IF($G$2,0,IF((AT$6-$G$3)&lt;1,0,IFERROR(LOOKUP(2,1/(Trigo!$E20:INDEX(Trigo!$E20:$Z20,MIN(AT$6-$G$3,22))&lt;&gt;""),Trigo!$E20:INDEX(Trigo!$E20:$Z20,MIN(AT$6-$G$3,22))),0)))))</f>
        <v>0</v>
      </c>
      <c r="AU22" s="27" t="n">
        <f aca="false">IF(COUNT(Trigo!$E20:$Z20)=0,0,MAX(0,IF((AU$6-$E$3)&lt;1,0,IFERROR(LOOKUP(2,1/(Trigo!$E20:INDEX(Trigo!$E20:$Z20,MIN(AU$6-$E$3,22))&lt;&gt;""),Trigo!$E20:INDEX(Trigo!$E20:$Z20,MIN(AU$6-$E$3,22))),0))-IF($G$2,0,IF((AU$6-$G$3)&lt;1,0,IFERROR(LOOKUP(2,1/(Trigo!$E20:INDEX(Trigo!$E20:$Z20,MIN(AU$6-$G$3,22))&lt;&gt;""),Trigo!$E20:INDEX(Trigo!$E20:$Z20,MIN(AU$6-$G$3,22))),0)))))</f>
        <v>0</v>
      </c>
      <c r="AV22" s="27" t="n">
        <f aca="false">IF(COUNT(Trigo!$E20:$Z20)=0,0,MAX(0,IF((AV$6-$E$3)&lt;1,0,IFERROR(LOOKUP(2,1/(Trigo!$E20:INDEX(Trigo!$E20:$Z20,MIN(AV$6-$E$3,22))&lt;&gt;""),Trigo!$E20:INDEX(Trigo!$E20:$Z20,MIN(AV$6-$E$3,22))),0))-IF($G$2,0,IF((AV$6-$G$3)&lt;1,0,IFERROR(LOOKUP(2,1/(Trigo!$E20:INDEX(Trigo!$E20:$Z20,MIN(AV$6-$G$3,22))&lt;&gt;""),Trigo!$E20:INDEX(Trigo!$E20:$Z20,MIN(AV$6-$G$3,22))),0)))))</f>
        <v>0</v>
      </c>
      <c r="AW22" s="27" t="n">
        <f aca="false">IF(COUNT(Trigo!$E20:$Z20)=0,0,MAX(0,IF((AW$6-$E$3)&lt;1,0,IFERROR(LOOKUP(2,1/(Trigo!$E20:INDEX(Trigo!$E20:$Z20,MIN(AW$6-$E$3,22))&lt;&gt;""),Trigo!$E20:INDEX(Trigo!$E20:$Z20,MIN(AW$6-$E$3,22))),0))-IF($G$2,0,IF((AW$6-$G$3)&lt;1,0,IFERROR(LOOKUP(2,1/(Trigo!$E20:INDEX(Trigo!$E20:$Z20,MIN(AW$6-$G$3,22))&lt;&gt;""),Trigo!$E20:INDEX(Trigo!$E20:$Z20,MIN(AW$6-$G$3,22))),0)))))</f>
        <v>0</v>
      </c>
      <c r="AX22" s="27" t="n">
        <f aca="false">IF(COUNT(Trigo!$E20:$Z20)=0,0,MAX(0,IF((AX$6-$E$3)&lt;1,0,IFERROR(LOOKUP(2,1/(Trigo!$E20:INDEX(Trigo!$E20:$Z20,MIN(AX$6-$E$3,22))&lt;&gt;""),Trigo!$E20:INDEX(Trigo!$E20:$Z20,MIN(AX$6-$E$3,22))),0))-IF($G$2,0,IF((AX$6-$G$3)&lt;1,0,IFERROR(LOOKUP(2,1/(Trigo!$E20:INDEX(Trigo!$E20:$Z20,MIN(AX$6-$G$3,22))&lt;&gt;""),Trigo!$E20:INDEX(Trigo!$E20:$Z20,MIN(AX$6-$G$3,22))),0)))))</f>
        <v>0</v>
      </c>
      <c r="AY22" s="27" t="n">
        <f aca="false">IF(COUNT(Trigo!$E20:$Z20)=0,0,MAX(0,IF((AY$6-$E$3)&lt;1,0,IFERROR(LOOKUP(2,1/(Trigo!$E20:INDEX(Trigo!$E20:$Z20,MIN(AY$6-$E$3,22))&lt;&gt;""),Trigo!$E20:INDEX(Trigo!$E20:$Z20,MIN(AY$6-$E$3,22))),0))-IF($G$2,0,IF((AY$6-$G$3)&lt;1,0,IFERROR(LOOKUP(2,1/(Trigo!$E20:INDEX(Trigo!$E20:$Z20,MIN(AY$6-$G$3,22))&lt;&gt;""),Trigo!$E20:INDEX(Trigo!$E20:$Z20,MIN(AY$6-$G$3,22))),0)))))</f>
        <v>0</v>
      </c>
      <c r="AZ22" s="27" t="n">
        <f aca="false">IF(COUNT(Trigo!$E20:$Z20)=0,0,MAX(0,IF((AZ$6-$E$3)&lt;1,0,IFERROR(LOOKUP(2,1/(Trigo!$E20:INDEX(Trigo!$E20:$Z20,MIN(AZ$6-$E$3,22))&lt;&gt;""),Trigo!$E20:INDEX(Trigo!$E20:$Z20,MIN(AZ$6-$E$3,22))),0))-IF($G$2,0,IF((AZ$6-$G$3)&lt;1,0,IFERROR(LOOKUP(2,1/(Trigo!$E20:INDEX(Trigo!$E20:$Z20,MIN(AZ$6-$G$3,22))&lt;&gt;""),Trigo!$E20:INDEX(Trigo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IF(COUNT(Trigo!$E21:$Z21)&gt;0,N(Trigo!$D21),0)</f>
        <v>0</v>
      </c>
      <c r="E23" s="27" t="n">
        <f aca="false">IF(COUNT(Trigo!$E21:$Z21)=0,0,MAX(0,IF((E$6-$E$3)&lt;1,0,IFERROR(LOOKUP(2,1/(Trigo!$E21:INDEX(Trigo!$E21:$Z21,MIN(E$6-$E$3,22))&lt;&gt;""),Trigo!$E21:INDEX(Trigo!$E21:$Z21,MIN(E$6-$E$3,22))),0))-IF($G$2,0,IF((E$6-$G$3)&lt;1,0,IFERROR(LOOKUP(2,1/(Trigo!$E21:INDEX(Trigo!$E21:$Z21,MIN(E$6-$G$3,22))&lt;&gt;""),Trigo!$E21:INDEX(Trigo!$E21:$Z21,MIN(E$6-$G$3,22))),0)))))</f>
        <v>0</v>
      </c>
      <c r="F23" s="27" t="n">
        <f aca="false">IF(COUNT(Trigo!$E21:$Z21)=0,0,MAX(0,IF((F$6-$E$3)&lt;1,0,IFERROR(LOOKUP(2,1/(Trigo!$E21:INDEX(Trigo!$E21:$Z21,MIN(F$6-$E$3,22))&lt;&gt;""),Trigo!$E21:INDEX(Trigo!$E21:$Z21,MIN(F$6-$E$3,22))),0))-IF($G$2,0,IF((F$6-$G$3)&lt;1,0,IFERROR(LOOKUP(2,1/(Trigo!$E21:INDEX(Trigo!$E21:$Z21,MIN(F$6-$G$3,22))&lt;&gt;""),Trigo!$E21:INDEX(Trigo!$E21:$Z21,MIN(F$6-$G$3,22))),0)))))</f>
        <v>0</v>
      </c>
      <c r="G23" s="27" t="n">
        <f aca="false">IF(COUNT(Trigo!$E21:$Z21)=0,0,MAX(0,IF((G$6-$E$3)&lt;1,0,IFERROR(LOOKUP(2,1/(Trigo!$E21:INDEX(Trigo!$E21:$Z21,MIN(G$6-$E$3,22))&lt;&gt;""),Trigo!$E21:INDEX(Trigo!$E21:$Z21,MIN(G$6-$E$3,22))),0))-IF($G$2,0,IF((G$6-$G$3)&lt;1,0,IFERROR(LOOKUP(2,1/(Trigo!$E21:INDEX(Trigo!$E21:$Z21,MIN(G$6-$G$3,22))&lt;&gt;""),Trigo!$E21:INDEX(Trigo!$E21:$Z21,MIN(G$6-$G$3,22))),0)))))</f>
        <v>0</v>
      </c>
      <c r="H23" s="27" t="n">
        <f aca="false">IF(COUNT(Trigo!$E21:$Z21)=0,0,MAX(0,IF((H$6-$E$3)&lt;1,0,IFERROR(LOOKUP(2,1/(Trigo!$E21:INDEX(Trigo!$E21:$Z21,MIN(H$6-$E$3,22))&lt;&gt;""),Trigo!$E21:INDEX(Trigo!$E21:$Z21,MIN(H$6-$E$3,22))),0))-IF($G$2,0,IF((H$6-$G$3)&lt;1,0,IFERROR(LOOKUP(2,1/(Trigo!$E21:INDEX(Trigo!$E21:$Z21,MIN(H$6-$G$3,22))&lt;&gt;""),Trigo!$E21:INDEX(Trigo!$E21:$Z21,MIN(H$6-$G$3,22))),0)))))</f>
        <v>0</v>
      </c>
      <c r="I23" s="27" t="n">
        <f aca="false">IF(COUNT(Trigo!$E21:$Z21)=0,0,MAX(0,IF((I$6-$E$3)&lt;1,0,IFERROR(LOOKUP(2,1/(Trigo!$E21:INDEX(Trigo!$E21:$Z21,MIN(I$6-$E$3,22))&lt;&gt;""),Trigo!$E21:INDEX(Trigo!$E21:$Z21,MIN(I$6-$E$3,22))),0))-IF($G$2,0,IF((I$6-$G$3)&lt;1,0,IFERROR(LOOKUP(2,1/(Trigo!$E21:INDEX(Trigo!$E21:$Z21,MIN(I$6-$G$3,22))&lt;&gt;""),Trigo!$E21:INDEX(Trigo!$E21:$Z21,MIN(I$6-$G$3,22))),0)))))</f>
        <v>0</v>
      </c>
      <c r="J23" s="27" t="n">
        <f aca="false">IF(COUNT(Trigo!$E21:$Z21)=0,0,MAX(0,IF((J$6-$E$3)&lt;1,0,IFERROR(LOOKUP(2,1/(Trigo!$E21:INDEX(Trigo!$E21:$Z21,MIN(J$6-$E$3,22))&lt;&gt;""),Trigo!$E21:INDEX(Trigo!$E21:$Z21,MIN(J$6-$E$3,22))),0))-IF($G$2,0,IF((J$6-$G$3)&lt;1,0,IFERROR(LOOKUP(2,1/(Trigo!$E21:INDEX(Trigo!$E21:$Z21,MIN(J$6-$G$3,22))&lt;&gt;""),Trigo!$E21:INDEX(Trigo!$E21:$Z21,MIN(J$6-$G$3,22))),0)))))</f>
        <v>0</v>
      </c>
      <c r="K23" s="27" t="n">
        <f aca="false">IF(COUNT(Trigo!$E21:$Z21)=0,0,MAX(0,IF((K$6-$E$3)&lt;1,0,IFERROR(LOOKUP(2,1/(Trigo!$E21:INDEX(Trigo!$E21:$Z21,MIN(K$6-$E$3,22))&lt;&gt;""),Trigo!$E21:INDEX(Trigo!$E21:$Z21,MIN(K$6-$E$3,22))),0))-IF($G$2,0,IF((K$6-$G$3)&lt;1,0,IFERROR(LOOKUP(2,1/(Trigo!$E21:INDEX(Trigo!$E21:$Z21,MIN(K$6-$G$3,22))&lt;&gt;""),Trigo!$E21:INDEX(Trigo!$E21:$Z21,MIN(K$6-$G$3,22))),0)))))</f>
        <v>0</v>
      </c>
      <c r="L23" s="27" t="n">
        <f aca="false">IF(COUNT(Trigo!$E21:$Z21)=0,0,MAX(0,IF((L$6-$E$3)&lt;1,0,IFERROR(LOOKUP(2,1/(Trigo!$E21:INDEX(Trigo!$E21:$Z21,MIN(L$6-$E$3,22))&lt;&gt;""),Trigo!$E21:INDEX(Trigo!$E21:$Z21,MIN(L$6-$E$3,22))),0))-IF($G$2,0,IF((L$6-$G$3)&lt;1,0,IFERROR(LOOKUP(2,1/(Trigo!$E21:INDEX(Trigo!$E21:$Z21,MIN(L$6-$G$3,22))&lt;&gt;""),Trigo!$E21:INDEX(Trigo!$E21:$Z21,MIN(L$6-$G$3,22))),0)))))</f>
        <v>0</v>
      </c>
      <c r="M23" s="27" t="n">
        <f aca="false">IF(COUNT(Trigo!$E21:$Z21)=0,0,MAX(0,IF((M$6-$E$3)&lt;1,0,IFERROR(LOOKUP(2,1/(Trigo!$E21:INDEX(Trigo!$E21:$Z21,MIN(M$6-$E$3,22))&lt;&gt;""),Trigo!$E21:INDEX(Trigo!$E21:$Z21,MIN(M$6-$E$3,22))),0))-IF($G$2,0,IF((M$6-$G$3)&lt;1,0,IFERROR(LOOKUP(2,1/(Trigo!$E21:INDEX(Trigo!$E21:$Z21,MIN(M$6-$G$3,22))&lt;&gt;""),Trigo!$E21:INDEX(Trigo!$E21:$Z21,MIN(M$6-$G$3,22))),0)))))</f>
        <v>0</v>
      </c>
      <c r="N23" s="27" t="n">
        <f aca="false">IF(COUNT(Trigo!$E21:$Z21)=0,0,MAX(0,IF((N$6-$E$3)&lt;1,0,IFERROR(LOOKUP(2,1/(Trigo!$E21:INDEX(Trigo!$E21:$Z21,MIN(N$6-$E$3,22))&lt;&gt;""),Trigo!$E21:INDEX(Trigo!$E21:$Z21,MIN(N$6-$E$3,22))),0))-IF($G$2,0,IF((N$6-$G$3)&lt;1,0,IFERROR(LOOKUP(2,1/(Trigo!$E21:INDEX(Trigo!$E21:$Z21,MIN(N$6-$G$3,22))&lt;&gt;""),Trigo!$E21:INDEX(Trigo!$E21:$Z21,MIN(N$6-$G$3,22))),0)))))</f>
        <v>0</v>
      </c>
      <c r="O23" s="27" t="n">
        <f aca="false">IF(COUNT(Trigo!$E21:$Z21)=0,0,MAX(0,IF((O$6-$E$3)&lt;1,0,IFERROR(LOOKUP(2,1/(Trigo!$E21:INDEX(Trigo!$E21:$Z21,MIN(O$6-$E$3,22))&lt;&gt;""),Trigo!$E21:INDEX(Trigo!$E21:$Z21,MIN(O$6-$E$3,22))),0))-IF($G$2,0,IF((O$6-$G$3)&lt;1,0,IFERROR(LOOKUP(2,1/(Trigo!$E21:INDEX(Trigo!$E21:$Z21,MIN(O$6-$G$3,22))&lt;&gt;""),Trigo!$E21:INDEX(Trigo!$E21:$Z21,MIN(O$6-$G$3,22))),0)))))</f>
        <v>0</v>
      </c>
      <c r="P23" s="27" t="n">
        <f aca="false">IF(COUNT(Trigo!$E21:$Z21)=0,0,MAX(0,IF((P$6-$E$3)&lt;1,0,IFERROR(LOOKUP(2,1/(Trigo!$E21:INDEX(Trigo!$E21:$Z21,MIN(P$6-$E$3,22))&lt;&gt;""),Trigo!$E21:INDEX(Trigo!$E21:$Z21,MIN(P$6-$E$3,22))),0))-IF($G$2,0,IF((P$6-$G$3)&lt;1,0,IFERROR(LOOKUP(2,1/(Trigo!$E21:INDEX(Trigo!$E21:$Z21,MIN(P$6-$G$3,22))&lt;&gt;""),Trigo!$E21:INDEX(Trigo!$E21:$Z21,MIN(P$6-$G$3,22))),0)))))</f>
        <v>0</v>
      </c>
      <c r="Q23" s="27" t="n">
        <f aca="false">IF(COUNT(Trigo!$E21:$Z21)=0,0,MAX(0,IF((Q$6-$E$3)&lt;1,0,IFERROR(LOOKUP(2,1/(Trigo!$E21:INDEX(Trigo!$E21:$Z21,MIN(Q$6-$E$3,22))&lt;&gt;""),Trigo!$E21:INDEX(Trigo!$E21:$Z21,MIN(Q$6-$E$3,22))),0))-IF($G$2,0,IF((Q$6-$G$3)&lt;1,0,IFERROR(LOOKUP(2,1/(Trigo!$E21:INDEX(Trigo!$E21:$Z21,MIN(Q$6-$G$3,22))&lt;&gt;""),Trigo!$E21:INDEX(Trigo!$E21:$Z21,MIN(Q$6-$G$3,22))),0)))))</f>
        <v>0</v>
      </c>
      <c r="R23" s="27" t="n">
        <f aca="false">IF(COUNT(Trigo!$E21:$Z21)=0,0,MAX(0,IF((R$6-$E$3)&lt;1,0,IFERROR(LOOKUP(2,1/(Trigo!$E21:INDEX(Trigo!$E21:$Z21,MIN(R$6-$E$3,22))&lt;&gt;""),Trigo!$E21:INDEX(Trigo!$E21:$Z21,MIN(R$6-$E$3,22))),0))-IF($G$2,0,IF((R$6-$G$3)&lt;1,0,IFERROR(LOOKUP(2,1/(Trigo!$E21:INDEX(Trigo!$E21:$Z21,MIN(R$6-$G$3,22))&lt;&gt;""),Trigo!$E21:INDEX(Trigo!$E21:$Z21,MIN(R$6-$G$3,22))),0)))))</f>
        <v>0</v>
      </c>
      <c r="S23" s="27" t="n">
        <f aca="false">IF(COUNT(Trigo!$E21:$Z21)=0,0,MAX(0,IF((S$6-$E$3)&lt;1,0,IFERROR(LOOKUP(2,1/(Trigo!$E21:INDEX(Trigo!$E21:$Z21,MIN(S$6-$E$3,22))&lt;&gt;""),Trigo!$E21:INDEX(Trigo!$E21:$Z21,MIN(S$6-$E$3,22))),0))-IF($G$2,0,IF((S$6-$G$3)&lt;1,0,IFERROR(LOOKUP(2,1/(Trigo!$E21:INDEX(Trigo!$E21:$Z21,MIN(S$6-$G$3,22))&lt;&gt;""),Trigo!$E21:INDEX(Trigo!$E21:$Z21,MIN(S$6-$G$3,22))),0)))))</f>
        <v>0</v>
      </c>
      <c r="T23" s="27" t="n">
        <f aca="false">IF(COUNT(Trigo!$E21:$Z21)=0,0,MAX(0,IF((T$6-$E$3)&lt;1,0,IFERROR(LOOKUP(2,1/(Trigo!$E21:INDEX(Trigo!$E21:$Z21,MIN(T$6-$E$3,22))&lt;&gt;""),Trigo!$E21:INDEX(Trigo!$E21:$Z21,MIN(T$6-$E$3,22))),0))-IF($G$2,0,IF((T$6-$G$3)&lt;1,0,IFERROR(LOOKUP(2,1/(Trigo!$E21:INDEX(Trigo!$E21:$Z21,MIN(T$6-$G$3,22))&lt;&gt;""),Trigo!$E21:INDEX(Trigo!$E21:$Z21,MIN(T$6-$G$3,22))),0)))))</f>
        <v>0</v>
      </c>
      <c r="U23" s="27" t="n">
        <f aca="false">IF(COUNT(Trigo!$E21:$Z21)=0,0,MAX(0,IF((U$6-$E$3)&lt;1,0,IFERROR(LOOKUP(2,1/(Trigo!$E21:INDEX(Trigo!$E21:$Z21,MIN(U$6-$E$3,22))&lt;&gt;""),Trigo!$E21:INDEX(Trigo!$E21:$Z21,MIN(U$6-$E$3,22))),0))-IF($G$2,0,IF((U$6-$G$3)&lt;1,0,IFERROR(LOOKUP(2,1/(Trigo!$E21:INDEX(Trigo!$E21:$Z21,MIN(U$6-$G$3,22))&lt;&gt;""),Trigo!$E21:INDEX(Trigo!$E21:$Z21,MIN(U$6-$G$3,22))),0)))))</f>
        <v>0</v>
      </c>
      <c r="V23" s="27" t="n">
        <f aca="false">IF(COUNT(Trigo!$E21:$Z21)=0,0,MAX(0,IF((V$6-$E$3)&lt;1,0,IFERROR(LOOKUP(2,1/(Trigo!$E21:INDEX(Trigo!$E21:$Z21,MIN(V$6-$E$3,22))&lt;&gt;""),Trigo!$E21:INDEX(Trigo!$E21:$Z21,MIN(V$6-$E$3,22))),0))-IF($G$2,0,IF((V$6-$G$3)&lt;1,0,IFERROR(LOOKUP(2,1/(Trigo!$E21:INDEX(Trigo!$E21:$Z21,MIN(V$6-$G$3,22))&lt;&gt;""),Trigo!$E21:INDEX(Trigo!$E21:$Z21,MIN(V$6-$G$3,22))),0)))))</f>
        <v>0</v>
      </c>
      <c r="W23" s="27" t="n">
        <f aca="false">IF(COUNT(Trigo!$E21:$Z21)=0,0,MAX(0,IF((W$6-$E$3)&lt;1,0,IFERROR(LOOKUP(2,1/(Trigo!$E21:INDEX(Trigo!$E21:$Z21,MIN(W$6-$E$3,22))&lt;&gt;""),Trigo!$E21:INDEX(Trigo!$E21:$Z21,MIN(W$6-$E$3,22))),0))-IF($G$2,0,IF((W$6-$G$3)&lt;1,0,IFERROR(LOOKUP(2,1/(Trigo!$E21:INDEX(Trigo!$E21:$Z21,MIN(W$6-$G$3,22))&lt;&gt;""),Trigo!$E21:INDEX(Trigo!$E21:$Z21,MIN(W$6-$G$3,22))),0)))))</f>
        <v>0</v>
      </c>
      <c r="X23" s="27" t="n">
        <f aca="false">IF(COUNT(Trigo!$E21:$Z21)=0,0,MAX(0,IF((X$6-$E$3)&lt;1,0,IFERROR(LOOKUP(2,1/(Trigo!$E21:INDEX(Trigo!$E21:$Z21,MIN(X$6-$E$3,22))&lt;&gt;""),Trigo!$E21:INDEX(Trigo!$E21:$Z21,MIN(X$6-$E$3,22))),0))-IF($G$2,0,IF((X$6-$G$3)&lt;1,0,IFERROR(LOOKUP(2,1/(Trigo!$E21:INDEX(Trigo!$E21:$Z21,MIN(X$6-$G$3,22))&lt;&gt;""),Trigo!$E21:INDEX(Trigo!$E21:$Z21,MIN(X$6-$G$3,22))),0)))))</f>
        <v>0</v>
      </c>
      <c r="Y23" s="27" t="n">
        <f aca="false">IF(COUNT(Trigo!$E21:$Z21)=0,0,MAX(0,IF((Y$6-$E$3)&lt;1,0,IFERROR(LOOKUP(2,1/(Trigo!$E21:INDEX(Trigo!$E21:$Z21,MIN(Y$6-$E$3,22))&lt;&gt;""),Trigo!$E21:INDEX(Trigo!$E21:$Z21,MIN(Y$6-$E$3,22))),0))-IF($G$2,0,IF((Y$6-$G$3)&lt;1,0,IFERROR(LOOKUP(2,1/(Trigo!$E21:INDEX(Trigo!$E21:$Z21,MIN(Y$6-$G$3,22))&lt;&gt;""),Trigo!$E21:INDEX(Trigo!$E21:$Z21,MIN(Y$6-$G$3,22))),0)))))</f>
        <v>0</v>
      </c>
      <c r="Z23" s="27" t="n">
        <f aca="false">IF(COUNT(Trigo!$E21:$Z21)=0,0,MAX(0,IF((Z$6-$E$3)&lt;1,0,IFERROR(LOOKUP(2,1/(Trigo!$E21:INDEX(Trigo!$E21:$Z21,MIN(Z$6-$E$3,22))&lt;&gt;""),Trigo!$E21:INDEX(Trigo!$E21:$Z21,MIN(Z$6-$E$3,22))),0))-IF($G$2,0,IF((Z$6-$G$3)&lt;1,0,IFERROR(LOOKUP(2,1/(Trigo!$E21:INDEX(Trigo!$E21:$Z21,MIN(Z$6-$G$3,22))&lt;&gt;""),Trigo!$E21:INDEX(Trigo!$E21:$Z21,MIN(Z$6-$G$3,22))),0)))))</f>
        <v>0</v>
      </c>
      <c r="AA23" s="27" t="n">
        <f aca="false">IF(COUNT(Trigo!$E21:$Z21)=0,0,MAX(0,IF((AA$6-$E$3)&lt;1,0,IFERROR(LOOKUP(2,1/(Trigo!$E21:INDEX(Trigo!$E21:$Z21,MIN(AA$6-$E$3,22))&lt;&gt;""),Trigo!$E21:INDEX(Trigo!$E21:$Z21,MIN(AA$6-$E$3,22))),0))-IF($G$2,0,IF((AA$6-$G$3)&lt;1,0,IFERROR(LOOKUP(2,1/(Trigo!$E21:INDEX(Trigo!$E21:$Z21,MIN(AA$6-$G$3,22))&lt;&gt;""),Trigo!$E21:INDEX(Trigo!$E21:$Z21,MIN(AA$6-$G$3,22))),0)))))</f>
        <v>0</v>
      </c>
      <c r="AB23" s="27" t="n">
        <f aca="false">IF(COUNT(Trigo!$E21:$Z21)=0,0,MAX(0,IF((AB$6-$E$3)&lt;1,0,IFERROR(LOOKUP(2,1/(Trigo!$E21:INDEX(Trigo!$E21:$Z21,MIN(AB$6-$E$3,22))&lt;&gt;""),Trigo!$E21:INDEX(Trigo!$E21:$Z21,MIN(AB$6-$E$3,22))),0))-IF($G$2,0,IF((AB$6-$G$3)&lt;1,0,IFERROR(LOOKUP(2,1/(Trigo!$E21:INDEX(Trigo!$E21:$Z21,MIN(AB$6-$G$3,22))&lt;&gt;""),Trigo!$E21:INDEX(Trigo!$E21:$Z21,MIN(AB$6-$G$3,22))),0)))))</f>
        <v>0</v>
      </c>
      <c r="AC23" s="27" t="n">
        <f aca="false">IF(COUNT(Trigo!$E21:$Z21)=0,0,MAX(0,IF((AC$6-$E$3)&lt;1,0,IFERROR(LOOKUP(2,1/(Trigo!$E21:INDEX(Trigo!$E21:$Z21,MIN(AC$6-$E$3,22))&lt;&gt;""),Trigo!$E21:INDEX(Trigo!$E21:$Z21,MIN(AC$6-$E$3,22))),0))-IF($G$2,0,IF((AC$6-$G$3)&lt;1,0,IFERROR(LOOKUP(2,1/(Trigo!$E21:INDEX(Trigo!$E21:$Z21,MIN(AC$6-$G$3,22))&lt;&gt;""),Trigo!$E21:INDEX(Trigo!$E21:$Z21,MIN(AC$6-$G$3,22))),0)))))</f>
        <v>0</v>
      </c>
      <c r="AD23" s="27" t="n">
        <f aca="false">IF(COUNT(Trigo!$E21:$Z21)=0,0,MAX(0,IF((AD$6-$E$3)&lt;1,0,IFERROR(LOOKUP(2,1/(Trigo!$E21:INDEX(Trigo!$E21:$Z21,MIN(AD$6-$E$3,22))&lt;&gt;""),Trigo!$E21:INDEX(Trigo!$E21:$Z21,MIN(AD$6-$E$3,22))),0))-IF($G$2,0,IF((AD$6-$G$3)&lt;1,0,IFERROR(LOOKUP(2,1/(Trigo!$E21:INDEX(Trigo!$E21:$Z21,MIN(AD$6-$G$3,22))&lt;&gt;""),Trigo!$E21:INDEX(Trigo!$E21:$Z21,MIN(AD$6-$G$3,22))),0)))))</f>
        <v>0</v>
      </c>
      <c r="AE23" s="27" t="n">
        <f aca="false">IF(COUNT(Trigo!$E21:$Z21)=0,0,MAX(0,IF((AE$6-$E$3)&lt;1,0,IFERROR(LOOKUP(2,1/(Trigo!$E21:INDEX(Trigo!$E21:$Z21,MIN(AE$6-$E$3,22))&lt;&gt;""),Trigo!$E21:INDEX(Trigo!$E21:$Z21,MIN(AE$6-$E$3,22))),0))-IF($G$2,0,IF((AE$6-$G$3)&lt;1,0,IFERROR(LOOKUP(2,1/(Trigo!$E21:INDEX(Trigo!$E21:$Z21,MIN(AE$6-$G$3,22))&lt;&gt;""),Trigo!$E21:INDEX(Trigo!$E21:$Z21,MIN(AE$6-$G$3,22))),0)))))</f>
        <v>0</v>
      </c>
      <c r="AF23" s="27" t="n">
        <f aca="false">IF(COUNT(Trigo!$E21:$Z21)=0,0,MAX(0,IF((AF$6-$E$3)&lt;1,0,IFERROR(LOOKUP(2,1/(Trigo!$E21:INDEX(Trigo!$E21:$Z21,MIN(AF$6-$E$3,22))&lt;&gt;""),Trigo!$E21:INDEX(Trigo!$E21:$Z21,MIN(AF$6-$E$3,22))),0))-IF($G$2,0,IF((AF$6-$G$3)&lt;1,0,IFERROR(LOOKUP(2,1/(Trigo!$E21:INDEX(Trigo!$E21:$Z21,MIN(AF$6-$G$3,22))&lt;&gt;""),Trigo!$E21:INDEX(Trigo!$E21:$Z21,MIN(AF$6-$G$3,22))),0)))))</f>
        <v>0</v>
      </c>
      <c r="AG23" s="27" t="n">
        <f aca="false">IF(COUNT(Trigo!$E21:$Z21)=0,0,MAX(0,IF((AG$6-$E$3)&lt;1,0,IFERROR(LOOKUP(2,1/(Trigo!$E21:INDEX(Trigo!$E21:$Z21,MIN(AG$6-$E$3,22))&lt;&gt;""),Trigo!$E21:INDEX(Trigo!$E21:$Z21,MIN(AG$6-$E$3,22))),0))-IF($G$2,0,IF((AG$6-$G$3)&lt;1,0,IFERROR(LOOKUP(2,1/(Trigo!$E21:INDEX(Trigo!$E21:$Z21,MIN(AG$6-$G$3,22))&lt;&gt;""),Trigo!$E21:INDEX(Trigo!$E21:$Z21,MIN(AG$6-$G$3,22))),0)))))</f>
        <v>0</v>
      </c>
      <c r="AH23" s="27" t="n">
        <f aca="false">IF(COUNT(Trigo!$E21:$Z21)=0,0,MAX(0,IF((AH$6-$E$3)&lt;1,0,IFERROR(LOOKUP(2,1/(Trigo!$E21:INDEX(Trigo!$E21:$Z21,MIN(AH$6-$E$3,22))&lt;&gt;""),Trigo!$E21:INDEX(Trigo!$E21:$Z21,MIN(AH$6-$E$3,22))),0))-IF($G$2,0,IF((AH$6-$G$3)&lt;1,0,IFERROR(LOOKUP(2,1/(Trigo!$E21:INDEX(Trigo!$E21:$Z21,MIN(AH$6-$G$3,22))&lt;&gt;""),Trigo!$E21:INDEX(Trigo!$E21:$Z21,MIN(AH$6-$G$3,22))),0)))))</f>
        <v>0</v>
      </c>
      <c r="AI23" s="27" t="n">
        <f aca="false">IF(COUNT(Trigo!$E21:$Z21)=0,0,MAX(0,IF((AI$6-$E$3)&lt;1,0,IFERROR(LOOKUP(2,1/(Trigo!$E21:INDEX(Trigo!$E21:$Z21,MIN(AI$6-$E$3,22))&lt;&gt;""),Trigo!$E21:INDEX(Trigo!$E21:$Z21,MIN(AI$6-$E$3,22))),0))-IF($G$2,0,IF((AI$6-$G$3)&lt;1,0,IFERROR(LOOKUP(2,1/(Trigo!$E21:INDEX(Trigo!$E21:$Z21,MIN(AI$6-$G$3,22))&lt;&gt;""),Trigo!$E21:INDEX(Trigo!$E21:$Z21,MIN(AI$6-$G$3,22))),0)))))</f>
        <v>0</v>
      </c>
      <c r="AJ23" s="27" t="n">
        <f aca="false">IF(COUNT(Trigo!$E21:$Z21)=0,0,MAX(0,IF((AJ$6-$E$3)&lt;1,0,IFERROR(LOOKUP(2,1/(Trigo!$E21:INDEX(Trigo!$E21:$Z21,MIN(AJ$6-$E$3,22))&lt;&gt;""),Trigo!$E21:INDEX(Trigo!$E21:$Z21,MIN(AJ$6-$E$3,22))),0))-IF($G$2,0,IF((AJ$6-$G$3)&lt;1,0,IFERROR(LOOKUP(2,1/(Trigo!$E21:INDEX(Trigo!$E21:$Z21,MIN(AJ$6-$G$3,22))&lt;&gt;""),Trigo!$E21:INDEX(Trigo!$E21:$Z21,MIN(AJ$6-$G$3,22))),0)))))</f>
        <v>0</v>
      </c>
      <c r="AK23" s="27" t="n">
        <f aca="false">IF(COUNT(Trigo!$E21:$Z21)=0,0,MAX(0,IF((AK$6-$E$3)&lt;1,0,IFERROR(LOOKUP(2,1/(Trigo!$E21:INDEX(Trigo!$E21:$Z21,MIN(AK$6-$E$3,22))&lt;&gt;""),Trigo!$E21:INDEX(Trigo!$E21:$Z21,MIN(AK$6-$E$3,22))),0))-IF($G$2,0,IF((AK$6-$G$3)&lt;1,0,IFERROR(LOOKUP(2,1/(Trigo!$E21:INDEX(Trigo!$E21:$Z21,MIN(AK$6-$G$3,22))&lt;&gt;""),Trigo!$E21:INDEX(Trigo!$E21:$Z21,MIN(AK$6-$G$3,22))),0)))))</f>
        <v>0</v>
      </c>
      <c r="AL23" s="27" t="n">
        <f aca="false">IF(COUNT(Trigo!$E21:$Z21)=0,0,MAX(0,IF((AL$6-$E$3)&lt;1,0,IFERROR(LOOKUP(2,1/(Trigo!$E21:INDEX(Trigo!$E21:$Z21,MIN(AL$6-$E$3,22))&lt;&gt;""),Trigo!$E21:INDEX(Trigo!$E21:$Z21,MIN(AL$6-$E$3,22))),0))-IF($G$2,0,IF((AL$6-$G$3)&lt;1,0,IFERROR(LOOKUP(2,1/(Trigo!$E21:INDEX(Trigo!$E21:$Z21,MIN(AL$6-$G$3,22))&lt;&gt;""),Trigo!$E21:INDEX(Trigo!$E21:$Z21,MIN(AL$6-$G$3,22))),0)))))</f>
        <v>0</v>
      </c>
      <c r="AM23" s="27" t="n">
        <f aca="false">IF(COUNT(Trigo!$E21:$Z21)=0,0,MAX(0,IF((AM$6-$E$3)&lt;1,0,IFERROR(LOOKUP(2,1/(Trigo!$E21:INDEX(Trigo!$E21:$Z21,MIN(AM$6-$E$3,22))&lt;&gt;""),Trigo!$E21:INDEX(Trigo!$E21:$Z21,MIN(AM$6-$E$3,22))),0))-IF($G$2,0,IF((AM$6-$G$3)&lt;1,0,IFERROR(LOOKUP(2,1/(Trigo!$E21:INDEX(Trigo!$E21:$Z21,MIN(AM$6-$G$3,22))&lt;&gt;""),Trigo!$E21:INDEX(Trigo!$E21:$Z21,MIN(AM$6-$G$3,22))),0)))))</f>
        <v>0</v>
      </c>
      <c r="AN23" s="27" t="n">
        <f aca="false">IF(COUNT(Trigo!$E21:$Z21)=0,0,MAX(0,IF((AN$6-$E$3)&lt;1,0,IFERROR(LOOKUP(2,1/(Trigo!$E21:INDEX(Trigo!$E21:$Z21,MIN(AN$6-$E$3,22))&lt;&gt;""),Trigo!$E21:INDEX(Trigo!$E21:$Z21,MIN(AN$6-$E$3,22))),0))-IF($G$2,0,IF((AN$6-$G$3)&lt;1,0,IFERROR(LOOKUP(2,1/(Trigo!$E21:INDEX(Trigo!$E21:$Z21,MIN(AN$6-$G$3,22))&lt;&gt;""),Trigo!$E21:INDEX(Trigo!$E21:$Z21,MIN(AN$6-$G$3,22))),0)))))</f>
        <v>0</v>
      </c>
      <c r="AO23" s="27" t="n">
        <f aca="false">IF(COUNT(Trigo!$E21:$Z21)=0,0,MAX(0,IF((AO$6-$E$3)&lt;1,0,IFERROR(LOOKUP(2,1/(Trigo!$E21:INDEX(Trigo!$E21:$Z21,MIN(AO$6-$E$3,22))&lt;&gt;""),Trigo!$E21:INDEX(Trigo!$E21:$Z21,MIN(AO$6-$E$3,22))),0))-IF($G$2,0,IF((AO$6-$G$3)&lt;1,0,IFERROR(LOOKUP(2,1/(Trigo!$E21:INDEX(Trigo!$E21:$Z21,MIN(AO$6-$G$3,22))&lt;&gt;""),Trigo!$E21:INDEX(Trigo!$E21:$Z21,MIN(AO$6-$G$3,22))),0)))))</f>
        <v>0</v>
      </c>
      <c r="AP23" s="27" t="n">
        <f aca="false">IF(COUNT(Trigo!$E21:$Z21)=0,0,MAX(0,IF((AP$6-$E$3)&lt;1,0,IFERROR(LOOKUP(2,1/(Trigo!$E21:INDEX(Trigo!$E21:$Z21,MIN(AP$6-$E$3,22))&lt;&gt;""),Trigo!$E21:INDEX(Trigo!$E21:$Z21,MIN(AP$6-$E$3,22))),0))-IF($G$2,0,IF((AP$6-$G$3)&lt;1,0,IFERROR(LOOKUP(2,1/(Trigo!$E21:INDEX(Trigo!$E21:$Z21,MIN(AP$6-$G$3,22))&lt;&gt;""),Trigo!$E21:INDEX(Trigo!$E21:$Z21,MIN(AP$6-$G$3,22))),0)))))</f>
        <v>0</v>
      </c>
      <c r="AQ23" s="27" t="n">
        <f aca="false">IF(COUNT(Trigo!$E21:$Z21)=0,0,MAX(0,IF((AQ$6-$E$3)&lt;1,0,IFERROR(LOOKUP(2,1/(Trigo!$E21:INDEX(Trigo!$E21:$Z21,MIN(AQ$6-$E$3,22))&lt;&gt;""),Trigo!$E21:INDEX(Trigo!$E21:$Z21,MIN(AQ$6-$E$3,22))),0))-IF($G$2,0,IF((AQ$6-$G$3)&lt;1,0,IFERROR(LOOKUP(2,1/(Trigo!$E21:INDEX(Trigo!$E21:$Z21,MIN(AQ$6-$G$3,22))&lt;&gt;""),Trigo!$E21:INDEX(Trigo!$E21:$Z21,MIN(AQ$6-$G$3,22))),0)))))</f>
        <v>0</v>
      </c>
      <c r="AR23" s="27" t="n">
        <f aca="false">IF(COUNT(Trigo!$E21:$Z21)=0,0,MAX(0,IF((AR$6-$E$3)&lt;1,0,IFERROR(LOOKUP(2,1/(Trigo!$E21:INDEX(Trigo!$E21:$Z21,MIN(AR$6-$E$3,22))&lt;&gt;""),Trigo!$E21:INDEX(Trigo!$E21:$Z21,MIN(AR$6-$E$3,22))),0))-IF($G$2,0,IF((AR$6-$G$3)&lt;1,0,IFERROR(LOOKUP(2,1/(Trigo!$E21:INDEX(Trigo!$E21:$Z21,MIN(AR$6-$G$3,22))&lt;&gt;""),Trigo!$E21:INDEX(Trigo!$E21:$Z21,MIN(AR$6-$G$3,22))),0)))))</f>
        <v>0</v>
      </c>
      <c r="AS23" s="27" t="n">
        <f aca="false">IF(COUNT(Trigo!$E21:$Z21)=0,0,MAX(0,IF((AS$6-$E$3)&lt;1,0,IFERROR(LOOKUP(2,1/(Trigo!$E21:INDEX(Trigo!$E21:$Z21,MIN(AS$6-$E$3,22))&lt;&gt;""),Trigo!$E21:INDEX(Trigo!$E21:$Z21,MIN(AS$6-$E$3,22))),0))-IF($G$2,0,IF((AS$6-$G$3)&lt;1,0,IFERROR(LOOKUP(2,1/(Trigo!$E21:INDEX(Trigo!$E21:$Z21,MIN(AS$6-$G$3,22))&lt;&gt;""),Trigo!$E21:INDEX(Trigo!$E21:$Z21,MIN(AS$6-$G$3,22))),0)))))</f>
        <v>0</v>
      </c>
      <c r="AT23" s="27" t="n">
        <f aca="false">IF(COUNT(Trigo!$E21:$Z21)=0,0,MAX(0,IF((AT$6-$E$3)&lt;1,0,IFERROR(LOOKUP(2,1/(Trigo!$E21:INDEX(Trigo!$E21:$Z21,MIN(AT$6-$E$3,22))&lt;&gt;""),Trigo!$E21:INDEX(Trigo!$E21:$Z21,MIN(AT$6-$E$3,22))),0))-IF($G$2,0,IF((AT$6-$G$3)&lt;1,0,IFERROR(LOOKUP(2,1/(Trigo!$E21:INDEX(Trigo!$E21:$Z21,MIN(AT$6-$G$3,22))&lt;&gt;""),Trigo!$E21:INDEX(Trigo!$E21:$Z21,MIN(AT$6-$G$3,22))),0)))))</f>
        <v>0</v>
      </c>
      <c r="AU23" s="27" t="n">
        <f aca="false">IF(COUNT(Trigo!$E21:$Z21)=0,0,MAX(0,IF((AU$6-$E$3)&lt;1,0,IFERROR(LOOKUP(2,1/(Trigo!$E21:INDEX(Trigo!$E21:$Z21,MIN(AU$6-$E$3,22))&lt;&gt;""),Trigo!$E21:INDEX(Trigo!$E21:$Z21,MIN(AU$6-$E$3,22))),0))-IF($G$2,0,IF((AU$6-$G$3)&lt;1,0,IFERROR(LOOKUP(2,1/(Trigo!$E21:INDEX(Trigo!$E21:$Z21,MIN(AU$6-$G$3,22))&lt;&gt;""),Trigo!$E21:INDEX(Trigo!$E21:$Z21,MIN(AU$6-$G$3,22))),0)))))</f>
        <v>0</v>
      </c>
      <c r="AV23" s="27" t="n">
        <f aca="false">IF(COUNT(Trigo!$E21:$Z21)=0,0,MAX(0,IF((AV$6-$E$3)&lt;1,0,IFERROR(LOOKUP(2,1/(Trigo!$E21:INDEX(Trigo!$E21:$Z21,MIN(AV$6-$E$3,22))&lt;&gt;""),Trigo!$E21:INDEX(Trigo!$E21:$Z21,MIN(AV$6-$E$3,22))),0))-IF($G$2,0,IF((AV$6-$G$3)&lt;1,0,IFERROR(LOOKUP(2,1/(Trigo!$E21:INDEX(Trigo!$E21:$Z21,MIN(AV$6-$G$3,22))&lt;&gt;""),Trigo!$E21:INDEX(Trigo!$E21:$Z21,MIN(AV$6-$G$3,22))),0)))))</f>
        <v>0</v>
      </c>
      <c r="AW23" s="27" t="n">
        <f aca="false">IF(COUNT(Trigo!$E21:$Z21)=0,0,MAX(0,IF((AW$6-$E$3)&lt;1,0,IFERROR(LOOKUP(2,1/(Trigo!$E21:INDEX(Trigo!$E21:$Z21,MIN(AW$6-$E$3,22))&lt;&gt;""),Trigo!$E21:INDEX(Trigo!$E21:$Z21,MIN(AW$6-$E$3,22))),0))-IF($G$2,0,IF((AW$6-$G$3)&lt;1,0,IFERROR(LOOKUP(2,1/(Trigo!$E21:INDEX(Trigo!$E21:$Z21,MIN(AW$6-$G$3,22))&lt;&gt;""),Trigo!$E21:INDEX(Trigo!$E21:$Z21,MIN(AW$6-$G$3,22))),0)))))</f>
        <v>0</v>
      </c>
      <c r="AX23" s="27" t="n">
        <f aca="false">IF(COUNT(Trigo!$E21:$Z21)=0,0,MAX(0,IF((AX$6-$E$3)&lt;1,0,IFERROR(LOOKUP(2,1/(Trigo!$E21:INDEX(Trigo!$E21:$Z21,MIN(AX$6-$E$3,22))&lt;&gt;""),Trigo!$E21:INDEX(Trigo!$E21:$Z21,MIN(AX$6-$E$3,22))),0))-IF($G$2,0,IF((AX$6-$G$3)&lt;1,0,IFERROR(LOOKUP(2,1/(Trigo!$E21:INDEX(Trigo!$E21:$Z21,MIN(AX$6-$G$3,22))&lt;&gt;""),Trigo!$E21:INDEX(Trigo!$E21:$Z21,MIN(AX$6-$G$3,22))),0)))))</f>
        <v>0</v>
      </c>
      <c r="AY23" s="27" t="n">
        <f aca="false">IF(COUNT(Trigo!$E21:$Z21)=0,0,MAX(0,IF((AY$6-$E$3)&lt;1,0,IFERROR(LOOKUP(2,1/(Trigo!$E21:INDEX(Trigo!$E21:$Z21,MIN(AY$6-$E$3,22))&lt;&gt;""),Trigo!$E21:INDEX(Trigo!$E21:$Z21,MIN(AY$6-$E$3,22))),0))-IF($G$2,0,IF((AY$6-$G$3)&lt;1,0,IFERROR(LOOKUP(2,1/(Trigo!$E21:INDEX(Trigo!$E21:$Z21,MIN(AY$6-$G$3,22))&lt;&gt;""),Trigo!$E21:INDEX(Trigo!$E21:$Z21,MIN(AY$6-$G$3,22))),0)))))</f>
        <v>0</v>
      </c>
      <c r="AZ23" s="27" t="n">
        <f aca="false">IF(COUNT(Trigo!$E21:$Z21)=0,0,MAX(0,IF((AZ$6-$E$3)&lt;1,0,IFERROR(LOOKUP(2,1/(Trigo!$E21:INDEX(Trigo!$E21:$Z21,MIN(AZ$6-$E$3,22))&lt;&gt;""),Trigo!$E21:INDEX(Trigo!$E21:$Z21,MIN(AZ$6-$E$3,22))),0))-IF($G$2,0,IF((AZ$6-$G$3)&lt;1,0,IFERROR(LOOKUP(2,1/(Trigo!$E21:INDEX(Trigo!$E21:$Z21,MIN(AZ$6-$G$3,22))&lt;&gt;""),Trigo!$E21:INDEX(Trigo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IF(COUNT(Trigo!$E22:$Z22)&gt;0,N(Trigo!$D22),0)</f>
        <v>0</v>
      </c>
      <c r="E24" s="27" t="n">
        <f aca="false">IF(COUNT(Trigo!$E22:$Z22)=0,0,MAX(0,IF((E$6-$E$3)&lt;1,0,IFERROR(LOOKUP(2,1/(Trigo!$E22:INDEX(Trigo!$E22:$Z22,MIN(E$6-$E$3,22))&lt;&gt;""),Trigo!$E22:INDEX(Trigo!$E22:$Z22,MIN(E$6-$E$3,22))),0))-IF($G$2,0,IF((E$6-$G$3)&lt;1,0,IFERROR(LOOKUP(2,1/(Trigo!$E22:INDEX(Trigo!$E22:$Z22,MIN(E$6-$G$3,22))&lt;&gt;""),Trigo!$E22:INDEX(Trigo!$E22:$Z22,MIN(E$6-$G$3,22))),0)))))</f>
        <v>0</v>
      </c>
      <c r="F24" s="27" t="n">
        <f aca="false">IF(COUNT(Trigo!$E22:$Z22)=0,0,MAX(0,IF((F$6-$E$3)&lt;1,0,IFERROR(LOOKUP(2,1/(Trigo!$E22:INDEX(Trigo!$E22:$Z22,MIN(F$6-$E$3,22))&lt;&gt;""),Trigo!$E22:INDEX(Trigo!$E22:$Z22,MIN(F$6-$E$3,22))),0))-IF($G$2,0,IF((F$6-$G$3)&lt;1,0,IFERROR(LOOKUP(2,1/(Trigo!$E22:INDEX(Trigo!$E22:$Z22,MIN(F$6-$G$3,22))&lt;&gt;""),Trigo!$E22:INDEX(Trigo!$E22:$Z22,MIN(F$6-$G$3,22))),0)))))</f>
        <v>0</v>
      </c>
      <c r="G24" s="27" t="n">
        <f aca="false">IF(COUNT(Trigo!$E22:$Z22)=0,0,MAX(0,IF((G$6-$E$3)&lt;1,0,IFERROR(LOOKUP(2,1/(Trigo!$E22:INDEX(Trigo!$E22:$Z22,MIN(G$6-$E$3,22))&lt;&gt;""),Trigo!$E22:INDEX(Trigo!$E22:$Z22,MIN(G$6-$E$3,22))),0))-IF($G$2,0,IF((G$6-$G$3)&lt;1,0,IFERROR(LOOKUP(2,1/(Trigo!$E22:INDEX(Trigo!$E22:$Z22,MIN(G$6-$G$3,22))&lt;&gt;""),Trigo!$E22:INDEX(Trigo!$E22:$Z22,MIN(G$6-$G$3,22))),0)))))</f>
        <v>0</v>
      </c>
      <c r="H24" s="27" t="n">
        <f aca="false">IF(COUNT(Trigo!$E22:$Z22)=0,0,MAX(0,IF((H$6-$E$3)&lt;1,0,IFERROR(LOOKUP(2,1/(Trigo!$E22:INDEX(Trigo!$E22:$Z22,MIN(H$6-$E$3,22))&lt;&gt;""),Trigo!$E22:INDEX(Trigo!$E22:$Z22,MIN(H$6-$E$3,22))),0))-IF($G$2,0,IF((H$6-$G$3)&lt;1,0,IFERROR(LOOKUP(2,1/(Trigo!$E22:INDEX(Trigo!$E22:$Z22,MIN(H$6-$G$3,22))&lt;&gt;""),Trigo!$E22:INDEX(Trigo!$E22:$Z22,MIN(H$6-$G$3,22))),0)))))</f>
        <v>0</v>
      </c>
      <c r="I24" s="27" t="n">
        <f aca="false">IF(COUNT(Trigo!$E22:$Z22)=0,0,MAX(0,IF((I$6-$E$3)&lt;1,0,IFERROR(LOOKUP(2,1/(Trigo!$E22:INDEX(Trigo!$E22:$Z22,MIN(I$6-$E$3,22))&lt;&gt;""),Trigo!$E22:INDEX(Trigo!$E22:$Z22,MIN(I$6-$E$3,22))),0))-IF($G$2,0,IF((I$6-$G$3)&lt;1,0,IFERROR(LOOKUP(2,1/(Trigo!$E22:INDEX(Trigo!$E22:$Z22,MIN(I$6-$G$3,22))&lt;&gt;""),Trigo!$E22:INDEX(Trigo!$E22:$Z22,MIN(I$6-$G$3,22))),0)))))</f>
        <v>0</v>
      </c>
      <c r="J24" s="27" t="n">
        <f aca="false">IF(COUNT(Trigo!$E22:$Z22)=0,0,MAX(0,IF((J$6-$E$3)&lt;1,0,IFERROR(LOOKUP(2,1/(Trigo!$E22:INDEX(Trigo!$E22:$Z22,MIN(J$6-$E$3,22))&lt;&gt;""),Trigo!$E22:INDEX(Trigo!$E22:$Z22,MIN(J$6-$E$3,22))),0))-IF($G$2,0,IF((J$6-$G$3)&lt;1,0,IFERROR(LOOKUP(2,1/(Trigo!$E22:INDEX(Trigo!$E22:$Z22,MIN(J$6-$G$3,22))&lt;&gt;""),Trigo!$E22:INDEX(Trigo!$E22:$Z22,MIN(J$6-$G$3,22))),0)))))</f>
        <v>0</v>
      </c>
      <c r="K24" s="27" t="n">
        <f aca="false">IF(COUNT(Trigo!$E22:$Z22)=0,0,MAX(0,IF((K$6-$E$3)&lt;1,0,IFERROR(LOOKUP(2,1/(Trigo!$E22:INDEX(Trigo!$E22:$Z22,MIN(K$6-$E$3,22))&lt;&gt;""),Trigo!$E22:INDEX(Trigo!$E22:$Z22,MIN(K$6-$E$3,22))),0))-IF($G$2,0,IF((K$6-$G$3)&lt;1,0,IFERROR(LOOKUP(2,1/(Trigo!$E22:INDEX(Trigo!$E22:$Z22,MIN(K$6-$G$3,22))&lt;&gt;""),Trigo!$E22:INDEX(Trigo!$E22:$Z22,MIN(K$6-$G$3,22))),0)))))</f>
        <v>0</v>
      </c>
      <c r="L24" s="27" t="n">
        <f aca="false">IF(COUNT(Trigo!$E22:$Z22)=0,0,MAX(0,IF((L$6-$E$3)&lt;1,0,IFERROR(LOOKUP(2,1/(Trigo!$E22:INDEX(Trigo!$E22:$Z22,MIN(L$6-$E$3,22))&lt;&gt;""),Trigo!$E22:INDEX(Trigo!$E22:$Z22,MIN(L$6-$E$3,22))),0))-IF($G$2,0,IF((L$6-$G$3)&lt;1,0,IFERROR(LOOKUP(2,1/(Trigo!$E22:INDEX(Trigo!$E22:$Z22,MIN(L$6-$G$3,22))&lt;&gt;""),Trigo!$E22:INDEX(Trigo!$E22:$Z22,MIN(L$6-$G$3,22))),0)))))</f>
        <v>0</v>
      </c>
      <c r="M24" s="27" t="n">
        <f aca="false">IF(COUNT(Trigo!$E22:$Z22)=0,0,MAX(0,IF((M$6-$E$3)&lt;1,0,IFERROR(LOOKUP(2,1/(Trigo!$E22:INDEX(Trigo!$E22:$Z22,MIN(M$6-$E$3,22))&lt;&gt;""),Trigo!$E22:INDEX(Trigo!$E22:$Z22,MIN(M$6-$E$3,22))),0))-IF($G$2,0,IF((M$6-$G$3)&lt;1,0,IFERROR(LOOKUP(2,1/(Trigo!$E22:INDEX(Trigo!$E22:$Z22,MIN(M$6-$G$3,22))&lt;&gt;""),Trigo!$E22:INDEX(Trigo!$E22:$Z22,MIN(M$6-$G$3,22))),0)))))</f>
        <v>0</v>
      </c>
      <c r="N24" s="27" t="n">
        <f aca="false">IF(COUNT(Trigo!$E22:$Z22)=0,0,MAX(0,IF((N$6-$E$3)&lt;1,0,IFERROR(LOOKUP(2,1/(Trigo!$E22:INDEX(Trigo!$E22:$Z22,MIN(N$6-$E$3,22))&lt;&gt;""),Trigo!$E22:INDEX(Trigo!$E22:$Z22,MIN(N$6-$E$3,22))),0))-IF($G$2,0,IF((N$6-$G$3)&lt;1,0,IFERROR(LOOKUP(2,1/(Trigo!$E22:INDEX(Trigo!$E22:$Z22,MIN(N$6-$G$3,22))&lt;&gt;""),Trigo!$E22:INDEX(Trigo!$E22:$Z22,MIN(N$6-$G$3,22))),0)))))</f>
        <v>0</v>
      </c>
      <c r="O24" s="27" t="n">
        <f aca="false">IF(COUNT(Trigo!$E22:$Z22)=0,0,MAX(0,IF((O$6-$E$3)&lt;1,0,IFERROR(LOOKUP(2,1/(Trigo!$E22:INDEX(Trigo!$E22:$Z22,MIN(O$6-$E$3,22))&lt;&gt;""),Trigo!$E22:INDEX(Trigo!$E22:$Z22,MIN(O$6-$E$3,22))),0))-IF($G$2,0,IF((O$6-$G$3)&lt;1,0,IFERROR(LOOKUP(2,1/(Trigo!$E22:INDEX(Trigo!$E22:$Z22,MIN(O$6-$G$3,22))&lt;&gt;""),Trigo!$E22:INDEX(Trigo!$E22:$Z22,MIN(O$6-$G$3,22))),0)))))</f>
        <v>0</v>
      </c>
      <c r="P24" s="27" t="n">
        <f aca="false">IF(COUNT(Trigo!$E22:$Z22)=0,0,MAX(0,IF((P$6-$E$3)&lt;1,0,IFERROR(LOOKUP(2,1/(Trigo!$E22:INDEX(Trigo!$E22:$Z22,MIN(P$6-$E$3,22))&lt;&gt;""),Trigo!$E22:INDEX(Trigo!$E22:$Z22,MIN(P$6-$E$3,22))),0))-IF($G$2,0,IF((P$6-$G$3)&lt;1,0,IFERROR(LOOKUP(2,1/(Trigo!$E22:INDEX(Trigo!$E22:$Z22,MIN(P$6-$G$3,22))&lt;&gt;""),Trigo!$E22:INDEX(Trigo!$E22:$Z22,MIN(P$6-$G$3,22))),0)))))</f>
        <v>0</v>
      </c>
      <c r="Q24" s="27" t="n">
        <f aca="false">IF(COUNT(Trigo!$E22:$Z22)=0,0,MAX(0,IF((Q$6-$E$3)&lt;1,0,IFERROR(LOOKUP(2,1/(Trigo!$E22:INDEX(Trigo!$E22:$Z22,MIN(Q$6-$E$3,22))&lt;&gt;""),Trigo!$E22:INDEX(Trigo!$E22:$Z22,MIN(Q$6-$E$3,22))),0))-IF($G$2,0,IF((Q$6-$G$3)&lt;1,0,IFERROR(LOOKUP(2,1/(Trigo!$E22:INDEX(Trigo!$E22:$Z22,MIN(Q$6-$G$3,22))&lt;&gt;""),Trigo!$E22:INDEX(Trigo!$E22:$Z22,MIN(Q$6-$G$3,22))),0)))))</f>
        <v>0</v>
      </c>
      <c r="R24" s="27" t="n">
        <f aca="false">IF(COUNT(Trigo!$E22:$Z22)=0,0,MAX(0,IF((R$6-$E$3)&lt;1,0,IFERROR(LOOKUP(2,1/(Trigo!$E22:INDEX(Trigo!$E22:$Z22,MIN(R$6-$E$3,22))&lt;&gt;""),Trigo!$E22:INDEX(Trigo!$E22:$Z22,MIN(R$6-$E$3,22))),0))-IF($G$2,0,IF((R$6-$G$3)&lt;1,0,IFERROR(LOOKUP(2,1/(Trigo!$E22:INDEX(Trigo!$E22:$Z22,MIN(R$6-$G$3,22))&lt;&gt;""),Trigo!$E22:INDEX(Trigo!$E22:$Z22,MIN(R$6-$G$3,22))),0)))))</f>
        <v>0</v>
      </c>
      <c r="S24" s="27" t="n">
        <f aca="false">IF(COUNT(Trigo!$E22:$Z22)=0,0,MAX(0,IF((S$6-$E$3)&lt;1,0,IFERROR(LOOKUP(2,1/(Trigo!$E22:INDEX(Trigo!$E22:$Z22,MIN(S$6-$E$3,22))&lt;&gt;""),Trigo!$E22:INDEX(Trigo!$E22:$Z22,MIN(S$6-$E$3,22))),0))-IF($G$2,0,IF((S$6-$G$3)&lt;1,0,IFERROR(LOOKUP(2,1/(Trigo!$E22:INDEX(Trigo!$E22:$Z22,MIN(S$6-$G$3,22))&lt;&gt;""),Trigo!$E22:INDEX(Trigo!$E22:$Z22,MIN(S$6-$G$3,22))),0)))))</f>
        <v>0</v>
      </c>
      <c r="T24" s="27" t="n">
        <f aca="false">IF(COUNT(Trigo!$E22:$Z22)=0,0,MAX(0,IF((T$6-$E$3)&lt;1,0,IFERROR(LOOKUP(2,1/(Trigo!$E22:INDEX(Trigo!$E22:$Z22,MIN(T$6-$E$3,22))&lt;&gt;""),Trigo!$E22:INDEX(Trigo!$E22:$Z22,MIN(T$6-$E$3,22))),0))-IF($G$2,0,IF((T$6-$G$3)&lt;1,0,IFERROR(LOOKUP(2,1/(Trigo!$E22:INDEX(Trigo!$E22:$Z22,MIN(T$6-$G$3,22))&lt;&gt;""),Trigo!$E22:INDEX(Trigo!$E22:$Z22,MIN(T$6-$G$3,22))),0)))))</f>
        <v>0</v>
      </c>
      <c r="U24" s="27" t="n">
        <f aca="false">IF(COUNT(Trigo!$E22:$Z22)=0,0,MAX(0,IF((U$6-$E$3)&lt;1,0,IFERROR(LOOKUP(2,1/(Trigo!$E22:INDEX(Trigo!$E22:$Z22,MIN(U$6-$E$3,22))&lt;&gt;""),Trigo!$E22:INDEX(Trigo!$E22:$Z22,MIN(U$6-$E$3,22))),0))-IF($G$2,0,IF((U$6-$G$3)&lt;1,0,IFERROR(LOOKUP(2,1/(Trigo!$E22:INDEX(Trigo!$E22:$Z22,MIN(U$6-$G$3,22))&lt;&gt;""),Trigo!$E22:INDEX(Trigo!$E22:$Z22,MIN(U$6-$G$3,22))),0)))))</f>
        <v>0</v>
      </c>
      <c r="V24" s="27" t="n">
        <f aca="false">IF(COUNT(Trigo!$E22:$Z22)=0,0,MAX(0,IF((V$6-$E$3)&lt;1,0,IFERROR(LOOKUP(2,1/(Trigo!$E22:INDEX(Trigo!$E22:$Z22,MIN(V$6-$E$3,22))&lt;&gt;""),Trigo!$E22:INDEX(Trigo!$E22:$Z22,MIN(V$6-$E$3,22))),0))-IF($G$2,0,IF((V$6-$G$3)&lt;1,0,IFERROR(LOOKUP(2,1/(Trigo!$E22:INDEX(Trigo!$E22:$Z22,MIN(V$6-$G$3,22))&lt;&gt;""),Trigo!$E22:INDEX(Trigo!$E22:$Z22,MIN(V$6-$G$3,22))),0)))))</f>
        <v>0</v>
      </c>
      <c r="W24" s="27" t="n">
        <f aca="false">IF(COUNT(Trigo!$E22:$Z22)=0,0,MAX(0,IF((W$6-$E$3)&lt;1,0,IFERROR(LOOKUP(2,1/(Trigo!$E22:INDEX(Trigo!$E22:$Z22,MIN(W$6-$E$3,22))&lt;&gt;""),Trigo!$E22:INDEX(Trigo!$E22:$Z22,MIN(W$6-$E$3,22))),0))-IF($G$2,0,IF((W$6-$G$3)&lt;1,0,IFERROR(LOOKUP(2,1/(Trigo!$E22:INDEX(Trigo!$E22:$Z22,MIN(W$6-$G$3,22))&lt;&gt;""),Trigo!$E22:INDEX(Trigo!$E22:$Z22,MIN(W$6-$G$3,22))),0)))))</f>
        <v>0</v>
      </c>
      <c r="X24" s="27" t="n">
        <f aca="false">IF(COUNT(Trigo!$E22:$Z22)=0,0,MAX(0,IF((X$6-$E$3)&lt;1,0,IFERROR(LOOKUP(2,1/(Trigo!$E22:INDEX(Trigo!$E22:$Z22,MIN(X$6-$E$3,22))&lt;&gt;""),Trigo!$E22:INDEX(Trigo!$E22:$Z22,MIN(X$6-$E$3,22))),0))-IF($G$2,0,IF((X$6-$G$3)&lt;1,0,IFERROR(LOOKUP(2,1/(Trigo!$E22:INDEX(Trigo!$E22:$Z22,MIN(X$6-$G$3,22))&lt;&gt;""),Trigo!$E22:INDEX(Trigo!$E22:$Z22,MIN(X$6-$G$3,22))),0)))))</f>
        <v>0</v>
      </c>
      <c r="Y24" s="27" t="n">
        <f aca="false">IF(COUNT(Trigo!$E22:$Z22)=0,0,MAX(0,IF((Y$6-$E$3)&lt;1,0,IFERROR(LOOKUP(2,1/(Trigo!$E22:INDEX(Trigo!$E22:$Z22,MIN(Y$6-$E$3,22))&lt;&gt;""),Trigo!$E22:INDEX(Trigo!$E22:$Z22,MIN(Y$6-$E$3,22))),0))-IF($G$2,0,IF((Y$6-$G$3)&lt;1,0,IFERROR(LOOKUP(2,1/(Trigo!$E22:INDEX(Trigo!$E22:$Z22,MIN(Y$6-$G$3,22))&lt;&gt;""),Trigo!$E22:INDEX(Trigo!$E22:$Z22,MIN(Y$6-$G$3,22))),0)))))</f>
        <v>0</v>
      </c>
      <c r="Z24" s="27" t="n">
        <f aca="false">IF(COUNT(Trigo!$E22:$Z22)=0,0,MAX(0,IF((Z$6-$E$3)&lt;1,0,IFERROR(LOOKUP(2,1/(Trigo!$E22:INDEX(Trigo!$E22:$Z22,MIN(Z$6-$E$3,22))&lt;&gt;""),Trigo!$E22:INDEX(Trigo!$E22:$Z22,MIN(Z$6-$E$3,22))),0))-IF($G$2,0,IF((Z$6-$G$3)&lt;1,0,IFERROR(LOOKUP(2,1/(Trigo!$E22:INDEX(Trigo!$E22:$Z22,MIN(Z$6-$G$3,22))&lt;&gt;""),Trigo!$E22:INDEX(Trigo!$E22:$Z22,MIN(Z$6-$G$3,22))),0)))))</f>
        <v>0</v>
      </c>
      <c r="AA24" s="27" t="n">
        <f aca="false">IF(COUNT(Trigo!$E22:$Z22)=0,0,MAX(0,IF((AA$6-$E$3)&lt;1,0,IFERROR(LOOKUP(2,1/(Trigo!$E22:INDEX(Trigo!$E22:$Z22,MIN(AA$6-$E$3,22))&lt;&gt;""),Trigo!$E22:INDEX(Trigo!$E22:$Z22,MIN(AA$6-$E$3,22))),0))-IF($G$2,0,IF((AA$6-$G$3)&lt;1,0,IFERROR(LOOKUP(2,1/(Trigo!$E22:INDEX(Trigo!$E22:$Z22,MIN(AA$6-$G$3,22))&lt;&gt;""),Trigo!$E22:INDEX(Trigo!$E22:$Z22,MIN(AA$6-$G$3,22))),0)))))</f>
        <v>0</v>
      </c>
      <c r="AB24" s="27" t="n">
        <f aca="false">IF(COUNT(Trigo!$E22:$Z22)=0,0,MAX(0,IF((AB$6-$E$3)&lt;1,0,IFERROR(LOOKUP(2,1/(Trigo!$E22:INDEX(Trigo!$E22:$Z22,MIN(AB$6-$E$3,22))&lt;&gt;""),Trigo!$E22:INDEX(Trigo!$E22:$Z22,MIN(AB$6-$E$3,22))),0))-IF($G$2,0,IF((AB$6-$G$3)&lt;1,0,IFERROR(LOOKUP(2,1/(Trigo!$E22:INDEX(Trigo!$E22:$Z22,MIN(AB$6-$G$3,22))&lt;&gt;""),Trigo!$E22:INDEX(Trigo!$E22:$Z22,MIN(AB$6-$G$3,22))),0)))))</f>
        <v>0</v>
      </c>
      <c r="AC24" s="27" t="n">
        <f aca="false">IF(COUNT(Trigo!$E22:$Z22)=0,0,MAX(0,IF((AC$6-$E$3)&lt;1,0,IFERROR(LOOKUP(2,1/(Trigo!$E22:INDEX(Trigo!$E22:$Z22,MIN(AC$6-$E$3,22))&lt;&gt;""),Trigo!$E22:INDEX(Trigo!$E22:$Z22,MIN(AC$6-$E$3,22))),0))-IF($G$2,0,IF((AC$6-$G$3)&lt;1,0,IFERROR(LOOKUP(2,1/(Trigo!$E22:INDEX(Trigo!$E22:$Z22,MIN(AC$6-$G$3,22))&lt;&gt;""),Trigo!$E22:INDEX(Trigo!$E22:$Z22,MIN(AC$6-$G$3,22))),0)))))</f>
        <v>0</v>
      </c>
      <c r="AD24" s="27" t="n">
        <f aca="false">IF(COUNT(Trigo!$E22:$Z22)=0,0,MAX(0,IF((AD$6-$E$3)&lt;1,0,IFERROR(LOOKUP(2,1/(Trigo!$E22:INDEX(Trigo!$E22:$Z22,MIN(AD$6-$E$3,22))&lt;&gt;""),Trigo!$E22:INDEX(Trigo!$E22:$Z22,MIN(AD$6-$E$3,22))),0))-IF($G$2,0,IF((AD$6-$G$3)&lt;1,0,IFERROR(LOOKUP(2,1/(Trigo!$E22:INDEX(Trigo!$E22:$Z22,MIN(AD$6-$G$3,22))&lt;&gt;""),Trigo!$E22:INDEX(Trigo!$E22:$Z22,MIN(AD$6-$G$3,22))),0)))))</f>
        <v>0</v>
      </c>
      <c r="AE24" s="27" t="n">
        <f aca="false">IF(COUNT(Trigo!$E22:$Z22)=0,0,MAX(0,IF((AE$6-$E$3)&lt;1,0,IFERROR(LOOKUP(2,1/(Trigo!$E22:INDEX(Trigo!$E22:$Z22,MIN(AE$6-$E$3,22))&lt;&gt;""),Trigo!$E22:INDEX(Trigo!$E22:$Z22,MIN(AE$6-$E$3,22))),0))-IF($G$2,0,IF((AE$6-$G$3)&lt;1,0,IFERROR(LOOKUP(2,1/(Trigo!$E22:INDEX(Trigo!$E22:$Z22,MIN(AE$6-$G$3,22))&lt;&gt;""),Trigo!$E22:INDEX(Trigo!$E22:$Z22,MIN(AE$6-$G$3,22))),0)))))</f>
        <v>0</v>
      </c>
      <c r="AF24" s="27" t="n">
        <f aca="false">IF(COUNT(Trigo!$E22:$Z22)=0,0,MAX(0,IF((AF$6-$E$3)&lt;1,0,IFERROR(LOOKUP(2,1/(Trigo!$E22:INDEX(Trigo!$E22:$Z22,MIN(AF$6-$E$3,22))&lt;&gt;""),Trigo!$E22:INDEX(Trigo!$E22:$Z22,MIN(AF$6-$E$3,22))),0))-IF($G$2,0,IF((AF$6-$G$3)&lt;1,0,IFERROR(LOOKUP(2,1/(Trigo!$E22:INDEX(Trigo!$E22:$Z22,MIN(AF$6-$G$3,22))&lt;&gt;""),Trigo!$E22:INDEX(Trigo!$E22:$Z22,MIN(AF$6-$G$3,22))),0)))))</f>
        <v>0</v>
      </c>
      <c r="AG24" s="27" t="n">
        <f aca="false">IF(COUNT(Trigo!$E22:$Z22)=0,0,MAX(0,IF((AG$6-$E$3)&lt;1,0,IFERROR(LOOKUP(2,1/(Trigo!$E22:INDEX(Trigo!$E22:$Z22,MIN(AG$6-$E$3,22))&lt;&gt;""),Trigo!$E22:INDEX(Trigo!$E22:$Z22,MIN(AG$6-$E$3,22))),0))-IF($G$2,0,IF((AG$6-$G$3)&lt;1,0,IFERROR(LOOKUP(2,1/(Trigo!$E22:INDEX(Trigo!$E22:$Z22,MIN(AG$6-$G$3,22))&lt;&gt;""),Trigo!$E22:INDEX(Trigo!$E22:$Z22,MIN(AG$6-$G$3,22))),0)))))</f>
        <v>0</v>
      </c>
      <c r="AH24" s="27" t="n">
        <f aca="false">IF(COUNT(Trigo!$E22:$Z22)=0,0,MAX(0,IF((AH$6-$E$3)&lt;1,0,IFERROR(LOOKUP(2,1/(Trigo!$E22:INDEX(Trigo!$E22:$Z22,MIN(AH$6-$E$3,22))&lt;&gt;""),Trigo!$E22:INDEX(Trigo!$E22:$Z22,MIN(AH$6-$E$3,22))),0))-IF($G$2,0,IF((AH$6-$G$3)&lt;1,0,IFERROR(LOOKUP(2,1/(Trigo!$E22:INDEX(Trigo!$E22:$Z22,MIN(AH$6-$G$3,22))&lt;&gt;""),Trigo!$E22:INDEX(Trigo!$E22:$Z22,MIN(AH$6-$G$3,22))),0)))))</f>
        <v>0</v>
      </c>
      <c r="AI24" s="27" t="n">
        <f aca="false">IF(COUNT(Trigo!$E22:$Z22)=0,0,MAX(0,IF((AI$6-$E$3)&lt;1,0,IFERROR(LOOKUP(2,1/(Trigo!$E22:INDEX(Trigo!$E22:$Z22,MIN(AI$6-$E$3,22))&lt;&gt;""),Trigo!$E22:INDEX(Trigo!$E22:$Z22,MIN(AI$6-$E$3,22))),0))-IF($G$2,0,IF((AI$6-$G$3)&lt;1,0,IFERROR(LOOKUP(2,1/(Trigo!$E22:INDEX(Trigo!$E22:$Z22,MIN(AI$6-$G$3,22))&lt;&gt;""),Trigo!$E22:INDEX(Trigo!$E22:$Z22,MIN(AI$6-$G$3,22))),0)))))</f>
        <v>0</v>
      </c>
      <c r="AJ24" s="27" t="n">
        <f aca="false">IF(COUNT(Trigo!$E22:$Z22)=0,0,MAX(0,IF((AJ$6-$E$3)&lt;1,0,IFERROR(LOOKUP(2,1/(Trigo!$E22:INDEX(Trigo!$E22:$Z22,MIN(AJ$6-$E$3,22))&lt;&gt;""),Trigo!$E22:INDEX(Trigo!$E22:$Z22,MIN(AJ$6-$E$3,22))),0))-IF($G$2,0,IF((AJ$6-$G$3)&lt;1,0,IFERROR(LOOKUP(2,1/(Trigo!$E22:INDEX(Trigo!$E22:$Z22,MIN(AJ$6-$G$3,22))&lt;&gt;""),Trigo!$E22:INDEX(Trigo!$E22:$Z22,MIN(AJ$6-$G$3,22))),0)))))</f>
        <v>0</v>
      </c>
      <c r="AK24" s="27" t="n">
        <f aca="false">IF(COUNT(Trigo!$E22:$Z22)=0,0,MAX(0,IF((AK$6-$E$3)&lt;1,0,IFERROR(LOOKUP(2,1/(Trigo!$E22:INDEX(Trigo!$E22:$Z22,MIN(AK$6-$E$3,22))&lt;&gt;""),Trigo!$E22:INDEX(Trigo!$E22:$Z22,MIN(AK$6-$E$3,22))),0))-IF($G$2,0,IF((AK$6-$G$3)&lt;1,0,IFERROR(LOOKUP(2,1/(Trigo!$E22:INDEX(Trigo!$E22:$Z22,MIN(AK$6-$G$3,22))&lt;&gt;""),Trigo!$E22:INDEX(Trigo!$E22:$Z22,MIN(AK$6-$G$3,22))),0)))))</f>
        <v>0</v>
      </c>
      <c r="AL24" s="27" t="n">
        <f aca="false">IF(COUNT(Trigo!$E22:$Z22)=0,0,MAX(0,IF((AL$6-$E$3)&lt;1,0,IFERROR(LOOKUP(2,1/(Trigo!$E22:INDEX(Trigo!$E22:$Z22,MIN(AL$6-$E$3,22))&lt;&gt;""),Trigo!$E22:INDEX(Trigo!$E22:$Z22,MIN(AL$6-$E$3,22))),0))-IF($G$2,0,IF((AL$6-$G$3)&lt;1,0,IFERROR(LOOKUP(2,1/(Trigo!$E22:INDEX(Trigo!$E22:$Z22,MIN(AL$6-$G$3,22))&lt;&gt;""),Trigo!$E22:INDEX(Trigo!$E22:$Z22,MIN(AL$6-$G$3,22))),0)))))</f>
        <v>0</v>
      </c>
      <c r="AM24" s="27" t="n">
        <f aca="false">IF(COUNT(Trigo!$E22:$Z22)=0,0,MAX(0,IF((AM$6-$E$3)&lt;1,0,IFERROR(LOOKUP(2,1/(Trigo!$E22:INDEX(Trigo!$E22:$Z22,MIN(AM$6-$E$3,22))&lt;&gt;""),Trigo!$E22:INDEX(Trigo!$E22:$Z22,MIN(AM$6-$E$3,22))),0))-IF($G$2,0,IF((AM$6-$G$3)&lt;1,0,IFERROR(LOOKUP(2,1/(Trigo!$E22:INDEX(Trigo!$E22:$Z22,MIN(AM$6-$G$3,22))&lt;&gt;""),Trigo!$E22:INDEX(Trigo!$E22:$Z22,MIN(AM$6-$G$3,22))),0)))))</f>
        <v>0</v>
      </c>
      <c r="AN24" s="27" t="n">
        <f aca="false">IF(COUNT(Trigo!$E22:$Z22)=0,0,MAX(0,IF((AN$6-$E$3)&lt;1,0,IFERROR(LOOKUP(2,1/(Trigo!$E22:INDEX(Trigo!$E22:$Z22,MIN(AN$6-$E$3,22))&lt;&gt;""),Trigo!$E22:INDEX(Trigo!$E22:$Z22,MIN(AN$6-$E$3,22))),0))-IF($G$2,0,IF((AN$6-$G$3)&lt;1,0,IFERROR(LOOKUP(2,1/(Trigo!$E22:INDEX(Trigo!$E22:$Z22,MIN(AN$6-$G$3,22))&lt;&gt;""),Trigo!$E22:INDEX(Trigo!$E22:$Z22,MIN(AN$6-$G$3,22))),0)))))</f>
        <v>0</v>
      </c>
      <c r="AO24" s="27" t="n">
        <f aca="false">IF(COUNT(Trigo!$E22:$Z22)=0,0,MAX(0,IF((AO$6-$E$3)&lt;1,0,IFERROR(LOOKUP(2,1/(Trigo!$E22:INDEX(Trigo!$E22:$Z22,MIN(AO$6-$E$3,22))&lt;&gt;""),Trigo!$E22:INDEX(Trigo!$E22:$Z22,MIN(AO$6-$E$3,22))),0))-IF($G$2,0,IF((AO$6-$G$3)&lt;1,0,IFERROR(LOOKUP(2,1/(Trigo!$E22:INDEX(Trigo!$E22:$Z22,MIN(AO$6-$G$3,22))&lt;&gt;""),Trigo!$E22:INDEX(Trigo!$E22:$Z22,MIN(AO$6-$G$3,22))),0)))))</f>
        <v>0</v>
      </c>
      <c r="AP24" s="27" t="n">
        <f aca="false">IF(COUNT(Trigo!$E22:$Z22)=0,0,MAX(0,IF((AP$6-$E$3)&lt;1,0,IFERROR(LOOKUP(2,1/(Trigo!$E22:INDEX(Trigo!$E22:$Z22,MIN(AP$6-$E$3,22))&lt;&gt;""),Trigo!$E22:INDEX(Trigo!$E22:$Z22,MIN(AP$6-$E$3,22))),0))-IF($G$2,0,IF((AP$6-$G$3)&lt;1,0,IFERROR(LOOKUP(2,1/(Trigo!$E22:INDEX(Trigo!$E22:$Z22,MIN(AP$6-$G$3,22))&lt;&gt;""),Trigo!$E22:INDEX(Trigo!$E22:$Z22,MIN(AP$6-$G$3,22))),0)))))</f>
        <v>0</v>
      </c>
      <c r="AQ24" s="27" t="n">
        <f aca="false">IF(COUNT(Trigo!$E22:$Z22)=0,0,MAX(0,IF((AQ$6-$E$3)&lt;1,0,IFERROR(LOOKUP(2,1/(Trigo!$E22:INDEX(Trigo!$E22:$Z22,MIN(AQ$6-$E$3,22))&lt;&gt;""),Trigo!$E22:INDEX(Trigo!$E22:$Z22,MIN(AQ$6-$E$3,22))),0))-IF($G$2,0,IF((AQ$6-$G$3)&lt;1,0,IFERROR(LOOKUP(2,1/(Trigo!$E22:INDEX(Trigo!$E22:$Z22,MIN(AQ$6-$G$3,22))&lt;&gt;""),Trigo!$E22:INDEX(Trigo!$E22:$Z22,MIN(AQ$6-$G$3,22))),0)))))</f>
        <v>0</v>
      </c>
      <c r="AR24" s="27" t="n">
        <f aca="false">IF(COUNT(Trigo!$E22:$Z22)=0,0,MAX(0,IF((AR$6-$E$3)&lt;1,0,IFERROR(LOOKUP(2,1/(Trigo!$E22:INDEX(Trigo!$E22:$Z22,MIN(AR$6-$E$3,22))&lt;&gt;""),Trigo!$E22:INDEX(Trigo!$E22:$Z22,MIN(AR$6-$E$3,22))),0))-IF($G$2,0,IF((AR$6-$G$3)&lt;1,0,IFERROR(LOOKUP(2,1/(Trigo!$E22:INDEX(Trigo!$E22:$Z22,MIN(AR$6-$G$3,22))&lt;&gt;""),Trigo!$E22:INDEX(Trigo!$E22:$Z22,MIN(AR$6-$G$3,22))),0)))))</f>
        <v>0</v>
      </c>
      <c r="AS24" s="27" t="n">
        <f aca="false">IF(COUNT(Trigo!$E22:$Z22)=0,0,MAX(0,IF((AS$6-$E$3)&lt;1,0,IFERROR(LOOKUP(2,1/(Trigo!$E22:INDEX(Trigo!$E22:$Z22,MIN(AS$6-$E$3,22))&lt;&gt;""),Trigo!$E22:INDEX(Trigo!$E22:$Z22,MIN(AS$6-$E$3,22))),0))-IF($G$2,0,IF((AS$6-$G$3)&lt;1,0,IFERROR(LOOKUP(2,1/(Trigo!$E22:INDEX(Trigo!$E22:$Z22,MIN(AS$6-$G$3,22))&lt;&gt;""),Trigo!$E22:INDEX(Trigo!$E22:$Z22,MIN(AS$6-$G$3,22))),0)))))</f>
        <v>0</v>
      </c>
      <c r="AT24" s="27" t="n">
        <f aca="false">IF(COUNT(Trigo!$E22:$Z22)=0,0,MAX(0,IF((AT$6-$E$3)&lt;1,0,IFERROR(LOOKUP(2,1/(Trigo!$E22:INDEX(Trigo!$E22:$Z22,MIN(AT$6-$E$3,22))&lt;&gt;""),Trigo!$E22:INDEX(Trigo!$E22:$Z22,MIN(AT$6-$E$3,22))),0))-IF($G$2,0,IF((AT$6-$G$3)&lt;1,0,IFERROR(LOOKUP(2,1/(Trigo!$E22:INDEX(Trigo!$E22:$Z22,MIN(AT$6-$G$3,22))&lt;&gt;""),Trigo!$E22:INDEX(Trigo!$E22:$Z22,MIN(AT$6-$G$3,22))),0)))))</f>
        <v>0</v>
      </c>
      <c r="AU24" s="27" t="n">
        <f aca="false">IF(COUNT(Trigo!$E22:$Z22)=0,0,MAX(0,IF((AU$6-$E$3)&lt;1,0,IFERROR(LOOKUP(2,1/(Trigo!$E22:INDEX(Trigo!$E22:$Z22,MIN(AU$6-$E$3,22))&lt;&gt;""),Trigo!$E22:INDEX(Trigo!$E22:$Z22,MIN(AU$6-$E$3,22))),0))-IF($G$2,0,IF((AU$6-$G$3)&lt;1,0,IFERROR(LOOKUP(2,1/(Trigo!$E22:INDEX(Trigo!$E22:$Z22,MIN(AU$6-$G$3,22))&lt;&gt;""),Trigo!$E22:INDEX(Trigo!$E22:$Z22,MIN(AU$6-$G$3,22))),0)))))</f>
        <v>0</v>
      </c>
      <c r="AV24" s="27" t="n">
        <f aca="false">IF(COUNT(Trigo!$E22:$Z22)=0,0,MAX(0,IF((AV$6-$E$3)&lt;1,0,IFERROR(LOOKUP(2,1/(Trigo!$E22:INDEX(Trigo!$E22:$Z22,MIN(AV$6-$E$3,22))&lt;&gt;""),Trigo!$E22:INDEX(Trigo!$E22:$Z22,MIN(AV$6-$E$3,22))),0))-IF($G$2,0,IF((AV$6-$G$3)&lt;1,0,IFERROR(LOOKUP(2,1/(Trigo!$E22:INDEX(Trigo!$E22:$Z22,MIN(AV$6-$G$3,22))&lt;&gt;""),Trigo!$E22:INDEX(Trigo!$E22:$Z22,MIN(AV$6-$G$3,22))),0)))))</f>
        <v>0</v>
      </c>
      <c r="AW24" s="27" t="n">
        <f aca="false">IF(COUNT(Trigo!$E22:$Z22)=0,0,MAX(0,IF((AW$6-$E$3)&lt;1,0,IFERROR(LOOKUP(2,1/(Trigo!$E22:INDEX(Trigo!$E22:$Z22,MIN(AW$6-$E$3,22))&lt;&gt;""),Trigo!$E22:INDEX(Trigo!$E22:$Z22,MIN(AW$6-$E$3,22))),0))-IF($G$2,0,IF((AW$6-$G$3)&lt;1,0,IFERROR(LOOKUP(2,1/(Trigo!$E22:INDEX(Trigo!$E22:$Z22,MIN(AW$6-$G$3,22))&lt;&gt;""),Trigo!$E22:INDEX(Trigo!$E22:$Z22,MIN(AW$6-$G$3,22))),0)))))</f>
        <v>0</v>
      </c>
      <c r="AX24" s="27" t="n">
        <f aca="false">IF(COUNT(Trigo!$E22:$Z22)=0,0,MAX(0,IF((AX$6-$E$3)&lt;1,0,IFERROR(LOOKUP(2,1/(Trigo!$E22:INDEX(Trigo!$E22:$Z22,MIN(AX$6-$E$3,22))&lt;&gt;""),Trigo!$E22:INDEX(Trigo!$E22:$Z22,MIN(AX$6-$E$3,22))),0))-IF($G$2,0,IF((AX$6-$G$3)&lt;1,0,IFERROR(LOOKUP(2,1/(Trigo!$E22:INDEX(Trigo!$E22:$Z22,MIN(AX$6-$G$3,22))&lt;&gt;""),Trigo!$E22:INDEX(Trigo!$E22:$Z22,MIN(AX$6-$G$3,22))),0)))))</f>
        <v>0</v>
      </c>
      <c r="AY24" s="27" t="n">
        <f aca="false">IF(COUNT(Trigo!$E22:$Z22)=0,0,MAX(0,IF((AY$6-$E$3)&lt;1,0,IFERROR(LOOKUP(2,1/(Trigo!$E22:INDEX(Trigo!$E22:$Z22,MIN(AY$6-$E$3,22))&lt;&gt;""),Trigo!$E22:INDEX(Trigo!$E22:$Z22,MIN(AY$6-$E$3,22))),0))-IF($G$2,0,IF((AY$6-$G$3)&lt;1,0,IFERROR(LOOKUP(2,1/(Trigo!$E22:INDEX(Trigo!$E22:$Z22,MIN(AY$6-$G$3,22))&lt;&gt;""),Trigo!$E22:INDEX(Trigo!$E22:$Z22,MIN(AY$6-$G$3,22))),0)))))</f>
        <v>0</v>
      </c>
      <c r="AZ24" s="27" t="n">
        <f aca="false">IF(COUNT(Trigo!$E22:$Z22)=0,0,MAX(0,IF((AZ$6-$E$3)&lt;1,0,IFERROR(LOOKUP(2,1/(Trigo!$E22:INDEX(Trigo!$E22:$Z22,MIN(AZ$6-$E$3,22))&lt;&gt;""),Trigo!$E22:INDEX(Trigo!$E22:$Z22,MIN(AZ$6-$E$3,22))),0))-IF($G$2,0,IF((AZ$6-$G$3)&lt;1,0,IFERROR(LOOKUP(2,1/(Trigo!$E22:INDEX(Trigo!$E22:$Z22,MIN(AZ$6-$G$3,22))&lt;&gt;""),Trigo!$E22:INDEX(Trigo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IF(COUNT(Trigo!$E23:$Z23)&gt;0,N(Trigo!$D23),0)</f>
        <v>0</v>
      </c>
      <c r="E25" s="27" t="n">
        <f aca="false">IF(COUNT(Trigo!$E23:$Z23)=0,0,MAX(0,IF((E$6-$E$3)&lt;1,0,IFERROR(LOOKUP(2,1/(Trigo!$E23:INDEX(Trigo!$E23:$Z23,MIN(E$6-$E$3,22))&lt;&gt;""),Trigo!$E23:INDEX(Trigo!$E23:$Z23,MIN(E$6-$E$3,22))),0))-IF($G$2,0,IF((E$6-$G$3)&lt;1,0,IFERROR(LOOKUP(2,1/(Trigo!$E23:INDEX(Trigo!$E23:$Z23,MIN(E$6-$G$3,22))&lt;&gt;""),Trigo!$E23:INDEX(Trigo!$E23:$Z23,MIN(E$6-$G$3,22))),0)))))</f>
        <v>0</v>
      </c>
      <c r="F25" s="27" t="n">
        <f aca="false">IF(COUNT(Trigo!$E23:$Z23)=0,0,MAX(0,IF((F$6-$E$3)&lt;1,0,IFERROR(LOOKUP(2,1/(Trigo!$E23:INDEX(Trigo!$E23:$Z23,MIN(F$6-$E$3,22))&lt;&gt;""),Trigo!$E23:INDEX(Trigo!$E23:$Z23,MIN(F$6-$E$3,22))),0))-IF($G$2,0,IF((F$6-$G$3)&lt;1,0,IFERROR(LOOKUP(2,1/(Trigo!$E23:INDEX(Trigo!$E23:$Z23,MIN(F$6-$G$3,22))&lt;&gt;""),Trigo!$E23:INDEX(Trigo!$E23:$Z23,MIN(F$6-$G$3,22))),0)))))</f>
        <v>0</v>
      </c>
      <c r="G25" s="27" t="n">
        <f aca="false">IF(COUNT(Trigo!$E23:$Z23)=0,0,MAX(0,IF((G$6-$E$3)&lt;1,0,IFERROR(LOOKUP(2,1/(Trigo!$E23:INDEX(Trigo!$E23:$Z23,MIN(G$6-$E$3,22))&lt;&gt;""),Trigo!$E23:INDEX(Trigo!$E23:$Z23,MIN(G$6-$E$3,22))),0))-IF($G$2,0,IF((G$6-$G$3)&lt;1,0,IFERROR(LOOKUP(2,1/(Trigo!$E23:INDEX(Trigo!$E23:$Z23,MIN(G$6-$G$3,22))&lt;&gt;""),Trigo!$E23:INDEX(Trigo!$E23:$Z23,MIN(G$6-$G$3,22))),0)))))</f>
        <v>0</v>
      </c>
      <c r="H25" s="27" t="n">
        <f aca="false">IF(COUNT(Trigo!$E23:$Z23)=0,0,MAX(0,IF((H$6-$E$3)&lt;1,0,IFERROR(LOOKUP(2,1/(Trigo!$E23:INDEX(Trigo!$E23:$Z23,MIN(H$6-$E$3,22))&lt;&gt;""),Trigo!$E23:INDEX(Trigo!$E23:$Z23,MIN(H$6-$E$3,22))),0))-IF($G$2,0,IF((H$6-$G$3)&lt;1,0,IFERROR(LOOKUP(2,1/(Trigo!$E23:INDEX(Trigo!$E23:$Z23,MIN(H$6-$G$3,22))&lt;&gt;""),Trigo!$E23:INDEX(Trigo!$E23:$Z23,MIN(H$6-$G$3,22))),0)))))</f>
        <v>0</v>
      </c>
      <c r="I25" s="27" t="n">
        <f aca="false">IF(COUNT(Trigo!$E23:$Z23)=0,0,MAX(0,IF((I$6-$E$3)&lt;1,0,IFERROR(LOOKUP(2,1/(Trigo!$E23:INDEX(Trigo!$E23:$Z23,MIN(I$6-$E$3,22))&lt;&gt;""),Trigo!$E23:INDEX(Trigo!$E23:$Z23,MIN(I$6-$E$3,22))),0))-IF($G$2,0,IF((I$6-$G$3)&lt;1,0,IFERROR(LOOKUP(2,1/(Trigo!$E23:INDEX(Trigo!$E23:$Z23,MIN(I$6-$G$3,22))&lt;&gt;""),Trigo!$E23:INDEX(Trigo!$E23:$Z23,MIN(I$6-$G$3,22))),0)))))</f>
        <v>0</v>
      </c>
      <c r="J25" s="27" t="n">
        <f aca="false">IF(COUNT(Trigo!$E23:$Z23)=0,0,MAX(0,IF((J$6-$E$3)&lt;1,0,IFERROR(LOOKUP(2,1/(Trigo!$E23:INDEX(Trigo!$E23:$Z23,MIN(J$6-$E$3,22))&lt;&gt;""),Trigo!$E23:INDEX(Trigo!$E23:$Z23,MIN(J$6-$E$3,22))),0))-IF($G$2,0,IF((J$6-$G$3)&lt;1,0,IFERROR(LOOKUP(2,1/(Trigo!$E23:INDEX(Trigo!$E23:$Z23,MIN(J$6-$G$3,22))&lt;&gt;""),Trigo!$E23:INDEX(Trigo!$E23:$Z23,MIN(J$6-$G$3,22))),0)))))</f>
        <v>0</v>
      </c>
      <c r="K25" s="27" t="n">
        <f aca="false">IF(COUNT(Trigo!$E23:$Z23)=0,0,MAX(0,IF((K$6-$E$3)&lt;1,0,IFERROR(LOOKUP(2,1/(Trigo!$E23:INDEX(Trigo!$E23:$Z23,MIN(K$6-$E$3,22))&lt;&gt;""),Trigo!$E23:INDEX(Trigo!$E23:$Z23,MIN(K$6-$E$3,22))),0))-IF($G$2,0,IF((K$6-$G$3)&lt;1,0,IFERROR(LOOKUP(2,1/(Trigo!$E23:INDEX(Trigo!$E23:$Z23,MIN(K$6-$G$3,22))&lt;&gt;""),Trigo!$E23:INDEX(Trigo!$E23:$Z23,MIN(K$6-$G$3,22))),0)))))</f>
        <v>0</v>
      </c>
      <c r="L25" s="27" t="n">
        <f aca="false">IF(COUNT(Trigo!$E23:$Z23)=0,0,MAX(0,IF((L$6-$E$3)&lt;1,0,IFERROR(LOOKUP(2,1/(Trigo!$E23:INDEX(Trigo!$E23:$Z23,MIN(L$6-$E$3,22))&lt;&gt;""),Trigo!$E23:INDEX(Trigo!$E23:$Z23,MIN(L$6-$E$3,22))),0))-IF($G$2,0,IF((L$6-$G$3)&lt;1,0,IFERROR(LOOKUP(2,1/(Trigo!$E23:INDEX(Trigo!$E23:$Z23,MIN(L$6-$G$3,22))&lt;&gt;""),Trigo!$E23:INDEX(Trigo!$E23:$Z23,MIN(L$6-$G$3,22))),0)))))</f>
        <v>0</v>
      </c>
      <c r="M25" s="27" t="n">
        <f aca="false">IF(COUNT(Trigo!$E23:$Z23)=0,0,MAX(0,IF((M$6-$E$3)&lt;1,0,IFERROR(LOOKUP(2,1/(Trigo!$E23:INDEX(Trigo!$E23:$Z23,MIN(M$6-$E$3,22))&lt;&gt;""),Trigo!$E23:INDEX(Trigo!$E23:$Z23,MIN(M$6-$E$3,22))),0))-IF($G$2,0,IF((M$6-$G$3)&lt;1,0,IFERROR(LOOKUP(2,1/(Trigo!$E23:INDEX(Trigo!$E23:$Z23,MIN(M$6-$G$3,22))&lt;&gt;""),Trigo!$E23:INDEX(Trigo!$E23:$Z23,MIN(M$6-$G$3,22))),0)))))</f>
        <v>0</v>
      </c>
      <c r="N25" s="27" t="n">
        <f aca="false">IF(COUNT(Trigo!$E23:$Z23)=0,0,MAX(0,IF((N$6-$E$3)&lt;1,0,IFERROR(LOOKUP(2,1/(Trigo!$E23:INDEX(Trigo!$E23:$Z23,MIN(N$6-$E$3,22))&lt;&gt;""),Trigo!$E23:INDEX(Trigo!$E23:$Z23,MIN(N$6-$E$3,22))),0))-IF($G$2,0,IF((N$6-$G$3)&lt;1,0,IFERROR(LOOKUP(2,1/(Trigo!$E23:INDEX(Trigo!$E23:$Z23,MIN(N$6-$G$3,22))&lt;&gt;""),Trigo!$E23:INDEX(Trigo!$E23:$Z23,MIN(N$6-$G$3,22))),0)))))</f>
        <v>0</v>
      </c>
      <c r="O25" s="27" t="n">
        <f aca="false">IF(COUNT(Trigo!$E23:$Z23)=0,0,MAX(0,IF((O$6-$E$3)&lt;1,0,IFERROR(LOOKUP(2,1/(Trigo!$E23:INDEX(Trigo!$E23:$Z23,MIN(O$6-$E$3,22))&lt;&gt;""),Trigo!$E23:INDEX(Trigo!$E23:$Z23,MIN(O$6-$E$3,22))),0))-IF($G$2,0,IF((O$6-$G$3)&lt;1,0,IFERROR(LOOKUP(2,1/(Trigo!$E23:INDEX(Trigo!$E23:$Z23,MIN(O$6-$G$3,22))&lt;&gt;""),Trigo!$E23:INDEX(Trigo!$E23:$Z23,MIN(O$6-$G$3,22))),0)))))</f>
        <v>0</v>
      </c>
      <c r="P25" s="27" t="n">
        <f aca="false">IF(COUNT(Trigo!$E23:$Z23)=0,0,MAX(0,IF((P$6-$E$3)&lt;1,0,IFERROR(LOOKUP(2,1/(Trigo!$E23:INDEX(Trigo!$E23:$Z23,MIN(P$6-$E$3,22))&lt;&gt;""),Trigo!$E23:INDEX(Trigo!$E23:$Z23,MIN(P$6-$E$3,22))),0))-IF($G$2,0,IF((P$6-$G$3)&lt;1,0,IFERROR(LOOKUP(2,1/(Trigo!$E23:INDEX(Trigo!$E23:$Z23,MIN(P$6-$G$3,22))&lt;&gt;""),Trigo!$E23:INDEX(Trigo!$E23:$Z23,MIN(P$6-$G$3,22))),0)))))</f>
        <v>0</v>
      </c>
      <c r="Q25" s="27" t="n">
        <f aca="false">IF(COUNT(Trigo!$E23:$Z23)=0,0,MAX(0,IF((Q$6-$E$3)&lt;1,0,IFERROR(LOOKUP(2,1/(Trigo!$E23:INDEX(Trigo!$E23:$Z23,MIN(Q$6-$E$3,22))&lt;&gt;""),Trigo!$E23:INDEX(Trigo!$E23:$Z23,MIN(Q$6-$E$3,22))),0))-IF($G$2,0,IF((Q$6-$G$3)&lt;1,0,IFERROR(LOOKUP(2,1/(Trigo!$E23:INDEX(Trigo!$E23:$Z23,MIN(Q$6-$G$3,22))&lt;&gt;""),Trigo!$E23:INDEX(Trigo!$E23:$Z23,MIN(Q$6-$G$3,22))),0)))))</f>
        <v>0</v>
      </c>
      <c r="R25" s="27" t="n">
        <f aca="false">IF(COUNT(Trigo!$E23:$Z23)=0,0,MAX(0,IF((R$6-$E$3)&lt;1,0,IFERROR(LOOKUP(2,1/(Trigo!$E23:INDEX(Trigo!$E23:$Z23,MIN(R$6-$E$3,22))&lt;&gt;""),Trigo!$E23:INDEX(Trigo!$E23:$Z23,MIN(R$6-$E$3,22))),0))-IF($G$2,0,IF((R$6-$G$3)&lt;1,0,IFERROR(LOOKUP(2,1/(Trigo!$E23:INDEX(Trigo!$E23:$Z23,MIN(R$6-$G$3,22))&lt;&gt;""),Trigo!$E23:INDEX(Trigo!$E23:$Z23,MIN(R$6-$G$3,22))),0)))))</f>
        <v>0</v>
      </c>
      <c r="S25" s="27" t="n">
        <f aca="false">IF(COUNT(Trigo!$E23:$Z23)=0,0,MAX(0,IF((S$6-$E$3)&lt;1,0,IFERROR(LOOKUP(2,1/(Trigo!$E23:INDEX(Trigo!$E23:$Z23,MIN(S$6-$E$3,22))&lt;&gt;""),Trigo!$E23:INDEX(Trigo!$E23:$Z23,MIN(S$6-$E$3,22))),0))-IF($G$2,0,IF((S$6-$G$3)&lt;1,0,IFERROR(LOOKUP(2,1/(Trigo!$E23:INDEX(Trigo!$E23:$Z23,MIN(S$6-$G$3,22))&lt;&gt;""),Trigo!$E23:INDEX(Trigo!$E23:$Z23,MIN(S$6-$G$3,22))),0)))))</f>
        <v>0</v>
      </c>
      <c r="T25" s="27" t="n">
        <f aca="false">IF(COUNT(Trigo!$E23:$Z23)=0,0,MAX(0,IF((T$6-$E$3)&lt;1,0,IFERROR(LOOKUP(2,1/(Trigo!$E23:INDEX(Trigo!$E23:$Z23,MIN(T$6-$E$3,22))&lt;&gt;""),Trigo!$E23:INDEX(Trigo!$E23:$Z23,MIN(T$6-$E$3,22))),0))-IF($G$2,0,IF((T$6-$G$3)&lt;1,0,IFERROR(LOOKUP(2,1/(Trigo!$E23:INDEX(Trigo!$E23:$Z23,MIN(T$6-$G$3,22))&lt;&gt;""),Trigo!$E23:INDEX(Trigo!$E23:$Z23,MIN(T$6-$G$3,22))),0)))))</f>
        <v>0</v>
      </c>
      <c r="U25" s="27" t="n">
        <f aca="false">IF(COUNT(Trigo!$E23:$Z23)=0,0,MAX(0,IF((U$6-$E$3)&lt;1,0,IFERROR(LOOKUP(2,1/(Trigo!$E23:INDEX(Trigo!$E23:$Z23,MIN(U$6-$E$3,22))&lt;&gt;""),Trigo!$E23:INDEX(Trigo!$E23:$Z23,MIN(U$6-$E$3,22))),0))-IF($G$2,0,IF((U$6-$G$3)&lt;1,0,IFERROR(LOOKUP(2,1/(Trigo!$E23:INDEX(Trigo!$E23:$Z23,MIN(U$6-$G$3,22))&lt;&gt;""),Trigo!$E23:INDEX(Trigo!$E23:$Z23,MIN(U$6-$G$3,22))),0)))))</f>
        <v>0</v>
      </c>
      <c r="V25" s="27" t="n">
        <f aca="false">IF(COUNT(Trigo!$E23:$Z23)=0,0,MAX(0,IF((V$6-$E$3)&lt;1,0,IFERROR(LOOKUP(2,1/(Trigo!$E23:INDEX(Trigo!$E23:$Z23,MIN(V$6-$E$3,22))&lt;&gt;""),Trigo!$E23:INDEX(Trigo!$E23:$Z23,MIN(V$6-$E$3,22))),0))-IF($G$2,0,IF((V$6-$G$3)&lt;1,0,IFERROR(LOOKUP(2,1/(Trigo!$E23:INDEX(Trigo!$E23:$Z23,MIN(V$6-$G$3,22))&lt;&gt;""),Trigo!$E23:INDEX(Trigo!$E23:$Z23,MIN(V$6-$G$3,22))),0)))))</f>
        <v>0</v>
      </c>
      <c r="W25" s="27" t="n">
        <f aca="false">IF(COUNT(Trigo!$E23:$Z23)=0,0,MAX(0,IF((W$6-$E$3)&lt;1,0,IFERROR(LOOKUP(2,1/(Trigo!$E23:INDEX(Trigo!$E23:$Z23,MIN(W$6-$E$3,22))&lt;&gt;""),Trigo!$E23:INDEX(Trigo!$E23:$Z23,MIN(W$6-$E$3,22))),0))-IF($G$2,0,IF((W$6-$G$3)&lt;1,0,IFERROR(LOOKUP(2,1/(Trigo!$E23:INDEX(Trigo!$E23:$Z23,MIN(W$6-$G$3,22))&lt;&gt;""),Trigo!$E23:INDEX(Trigo!$E23:$Z23,MIN(W$6-$G$3,22))),0)))))</f>
        <v>0</v>
      </c>
      <c r="X25" s="27" t="n">
        <f aca="false">IF(COUNT(Trigo!$E23:$Z23)=0,0,MAX(0,IF((X$6-$E$3)&lt;1,0,IFERROR(LOOKUP(2,1/(Trigo!$E23:INDEX(Trigo!$E23:$Z23,MIN(X$6-$E$3,22))&lt;&gt;""),Trigo!$E23:INDEX(Trigo!$E23:$Z23,MIN(X$6-$E$3,22))),0))-IF($G$2,0,IF((X$6-$G$3)&lt;1,0,IFERROR(LOOKUP(2,1/(Trigo!$E23:INDEX(Trigo!$E23:$Z23,MIN(X$6-$G$3,22))&lt;&gt;""),Trigo!$E23:INDEX(Trigo!$E23:$Z23,MIN(X$6-$G$3,22))),0)))))</f>
        <v>0</v>
      </c>
      <c r="Y25" s="27" t="n">
        <f aca="false">IF(COUNT(Trigo!$E23:$Z23)=0,0,MAX(0,IF((Y$6-$E$3)&lt;1,0,IFERROR(LOOKUP(2,1/(Trigo!$E23:INDEX(Trigo!$E23:$Z23,MIN(Y$6-$E$3,22))&lt;&gt;""),Trigo!$E23:INDEX(Trigo!$E23:$Z23,MIN(Y$6-$E$3,22))),0))-IF($G$2,0,IF((Y$6-$G$3)&lt;1,0,IFERROR(LOOKUP(2,1/(Trigo!$E23:INDEX(Trigo!$E23:$Z23,MIN(Y$6-$G$3,22))&lt;&gt;""),Trigo!$E23:INDEX(Trigo!$E23:$Z23,MIN(Y$6-$G$3,22))),0)))))</f>
        <v>0</v>
      </c>
      <c r="Z25" s="27" t="n">
        <f aca="false">IF(COUNT(Trigo!$E23:$Z23)=0,0,MAX(0,IF((Z$6-$E$3)&lt;1,0,IFERROR(LOOKUP(2,1/(Trigo!$E23:INDEX(Trigo!$E23:$Z23,MIN(Z$6-$E$3,22))&lt;&gt;""),Trigo!$E23:INDEX(Trigo!$E23:$Z23,MIN(Z$6-$E$3,22))),0))-IF($G$2,0,IF((Z$6-$G$3)&lt;1,0,IFERROR(LOOKUP(2,1/(Trigo!$E23:INDEX(Trigo!$E23:$Z23,MIN(Z$6-$G$3,22))&lt;&gt;""),Trigo!$E23:INDEX(Trigo!$E23:$Z23,MIN(Z$6-$G$3,22))),0)))))</f>
        <v>0</v>
      </c>
      <c r="AA25" s="27" t="n">
        <f aca="false">IF(COUNT(Trigo!$E23:$Z23)=0,0,MAX(0,IF((AA$6-$E$3)&lt;1,0,IFERROR(LOOKUP(2,1/(Trigo!$E23:INDEX(Trigo!$E23:$Z23,MIN(AA$6-$E$3,22))&lt;&gt;""),Trigo!$E23:INDEX(Trigo!$E23:$Z23,MIN(AA$6-$E$3,22))),0))-IF($G$2,0,IF((AA$6-$G$3)&lt;1,0,IFERROR(LOOKUP(2,1/(Trigo!$E23:INDEX(Trigo!$E23:$Z23,MIN(AA$6-$G$3,22))&lt;&gt;""),Trigo!$E23:INDEX(Trigo!$E23:$Z23,MIN(AA$6-$G$3,22))),0)))))</f>
        <v>0</v>
      </c>
      <c r="AB25" s="27" t="n">
        <f aca="false">IF(COUNT(Trigo!$E23:$Z23)=0,0,MAX(0,IF((AB$6-$E$3)&lt;1,0,IFERROR(LOOKUP(2,1/(Trigo!$E23:INDEX(Trigo!$E23:$Z23,MIN(AB$6-$E$3,22))&lt;&gt;""),Trigo!$E23:INDEX(Trigo!$E23:$Z23,MIN(AB$6-$E$3,22))),0))-IF($G$2,0,IF((AB$6-$G$3)&lt;1,0,IFERROR(LOOKUP(2,1/(Trigo!$E23:INDEX(Trigo!$E23:$Z23,MIN(AB$6-$G$3,22))&lt;&gt;""),Trigo!$E23:INDEX(Trigo!$E23:$Z23,MIN(AB$6-$G$3,22))),0)))))</f>
        <v>0</v>
      </c>
      <c r="AC25" s="27" t="n">
        <f aca="false">IF(COUNT(Trigo!$E23:$Z23)=0,0,MAX(0,IF((AC$6-$E$3)&lt;1,0,IFERROR(LOOKUP(2,1/(Trigo!$E23:INDEX(Trigo!$E23:$Z23,MIN(AC$6-$E$3,22))&lt;&gt;""),Trigo!$E23:INDEX(Trigo!$E23:$Z23,MIN(AC$6-$E$3,22))),0))-IF($G$2,0,IF((AC$6-$G$3)&lt;1,0,IFERROR(LOOKUP(2,1/(Trigo!$E23:INDEX(Trigo!$E23:$Z23,MIN(AC$6-$G$3,22))&lt;&gt;""),Trigo!$E23:INDEX(Trigo!$E23:$Z23,MIN(AC$6-$G$3,22))),0)))))</f>
        <v>0</v>
      </c>
      <c r="AD25" s="27" t="n">
        <f aca="false">IF(COUNT(Trigo!$E23:$Z23)=0,0,MAX(0,IF((AD$6-$E$3)&lt;1,0,IFERROR(LOOKUP(2,1/(Trigo!$E23:INDEX(Trigo!$E23:$Z23,MIN(AD$6-$E$3,22))&lt;&gt;""),Trigo!$E23:INDEX(Trigo!$E23:$Z23,MIN(AD$6-$E$3,22))),0))-IF($G$2,0,IF((AD$6-$G$3)&lt;1,0,IFERROR(LOOKUP(2,1/(Trigo!$E23:INDEX(Trigo!$E23:$Z23,MIN(AD$6-$G$3,22))&lt;&gt;""),Trigo!$E23:INDEX(Trigo!$E23:$Z23,MIN(AD$6-$G$3,22))),0)))))</f>
        <v>0</v>
      </c>
      <c r="AE25" s="27" t="n">
        <f aca="false">IF(COUNT(Trigo!$E23:$Z23)=0,0,MAX(0,IF((AE$6-$E$3)&lt;1,0,IFERROR(LOOKUP(2,1/(Trigo!$E23:INDEX(Trigo!$E23:$Z23,MIN(AE$6-$E$3,22))&lt;&gt;""),Trigo!$E23:INDEX(Trigo!$E23:$Z23,MIN(AE$6-$E$3,22))),0))-IF($G$2,0,IF((AE$6-$G$3)&lt;1,0,IFERROR(LOOKUP(2,1/(Trigo!$E23:INDEX(Trigo!$E23:$Z23,MIN(AE$6-$G$3,22))&lt;&gt;""),Trigo!$E23:INDEX(Trigo!$E23:$Z23,MIN(AE$6-$G$3,22))),0)))))</f>
        <v>0</v>
      </c>
      <c r="AF25" s="27" t="n">
        <f aca="false">IF(COUNT(Trigo!$E23:$Z23)=0,0,MAX(0,IF((AF$6-$E$3)&lt;1,0,IFERROR(LOOKUP(2,1/(Trigo!$E23:INDEX(Trigo!$E23:$Z23,MIN(AF$6-$E$3,22))&lt;&gt;""),Trigo!$E23:INDEX(Trigo!$E23:$Z23,MIN(AF$6-$E$3,22))),0))-IF($G$2,0,IF((AF$6-$G$3)&lt;1,0,IFERROR(LOOKUP(2,1/(Trigo!$E23:INDEX(Trigo!$E23:$Z23,MIN(AF$6-$G$3,22))&lt;&gt;""),Trigo!$E23:INDEX(Trigo!$E23:$Z23,MIN(AF$6-$G$3,22))),0)))))</f>
        <v>0</v>
      </c>
      <c r="AG25" s="27" t="n">
        <f aca="false">IF(COUNT(Trigo!$E23:$Z23)=0,0,MAX(0,IF((AG$6-$E$3)&lt;1,0,IFERROR(LOOKUP(2,1/(Trigo!$E23:INDEX(Trigo!$E23:$Z23,MIN(AG$6-$E$3,22))&lt;&gt;""),Trigo!$E23:INDEX(Trigo!$E23:$Z23,MIN(AG$6-$E$3,22))),0))-IF($G$2,0,IF((AG$6-$G$3)&lt;1,0,IFERROR(LOOKUP(2,1/(Trigo!$E23:INDEX(Trigo!$E23:$Z23,MIN(AG$6-$G$3,22))&lt;&gt;""),Trigo!$E23:INDEX(Trigo!$E23:$Z23,MIN(AG$6-$G$3,22))),0)))))</f>
        <v>0</v>
      </c>
      <c r="AH25" s="27" t="n">
        <f aca="false">IF(COUNT(Trigo!$E23:$Z23)=0,0,MAX(0,IF((AH$6-$E$3)&lt;1,0,IFERROR(LOOKUP(2,1/(Trigo!$E23:INDEX(Trigo!$E23:$Z23,MIN(AH$6-$E$3,22))&lt;&gt;""),Trigo!$E23:INDEX(Trigo!$E23:$Z23,MIN(AH$6-$E$3,22))),0))-IF($G$2,0,IF((AH$6-$G$3)&lt;1,0,IFERROR(LOOKUP(2,1/(Trigo!$E23:INDEX(Trigo!$E23:$Z23,MIN(AH$6-$G$3,22))&lt;&gt;""),Trigo!$E23:INDEX(Trigo!$E23:$Z23,MIN(AH$6-$G$3,22))),0)))))</f>
        <v>0</v>
      </c>
      <c r="AI25" s="27" t="n">
        <f aca="false">IF(COUNT(Trigo!$E23:$Z23)=0,0,MAX(0,IF((AI$6-$E$3)&lt;1,0,IFERROR(LOOKUP(2,1/(Trigo!$E23:INDEX(Trigo!$E23:$Z23,MIN(AI$6-$E$3,22))&lt;&gt;""),Trigo!$E23:INDEX(Trigo!$E23:$Z23,MIN(AI$6-$E$3,22))),0))-IF($G$2,0,IF((AI$6-$G$3)&lt;1,0,IFERROR(LOOKUP(2,1/(Trigo!$E23:INDEX(Trigo!$E23:$Z23,MIN(AI$6-$G$3,22))&lt;&gt;""),Trigo!$E23:INDEX(Trigo!$E23:$Z23,MIN(AI$6-$G$3,22))),0)))))</f>
        <v>0</v>
      </c>
      <c r="AJ25" s="27" t="n">
        <f aca="false">IF(COUNT(Trigo!$E23:$Z23)=0,0,MAX(0,IF((AJ$6-$E$3)&lt;1,0,IFERROR(LOOKUP(2,1/(Trigo!$E23:INDEX(Trigo!$E23:$Z23,MIN(AJ$6-$E$3,22))&lt;&gt;""),Trigo!$E23:INDEX(Trigo!$E23:$Z23,MIN(AJ$6-$E$3,22))),0))-IF($G$2,0,IF((AJ$6-$G$3)&lt;1,0,IFERROR(LOOKUP(2,1/(Trigo!$E23:INDEX(Trigo!$E23:$Z23,MIN(AJ$6-$G$3,22))&lt;&gt;""),Trigo!$E23:INDEX(Trigo!$E23:$Z23,MIN(AJ$6-$G$3,22))),0)))))</f>
        <v>0</v>
      </c>
      <c r="AK25" s="27" t="n">
        <f aca="false">IF(COUNT(Trigo!$E23:$Z23)=0,0,MAX(0,IF((AK$6-$E$3)&lt;1,0,IFERROR(LOOKUP(2,1/(Trigo!$E23:INDEX(Trigo!$E23:$Z23,MIN(AK$6-$E$3,22))&lt;&gt;""),Trigo!$E23:INDEX(Trigo!$E23:$Z23,MIN(AK$6-$E$3,22))),0))-IF($G$2,0,IF((AK$6-$G$3)&lt;1,0,IFERROR(LOOKUP(2,1/(Trigo!$E23:INDEX(Trigo!$E23:$Z23,MIN(AK$6-$G$3,22))&lt;&gt;""),Trigo!$E23:INDEX(Trigo!$E23:$Z23,MIN(AK$6-$G$3,22))),0)))))</f>
        <v>0</v>
      </c>
      <c r="AL25" s="27" t="n">
        <f aca="false">IF(COUNT(Trigo!$E23:$Z23)=0,0,MAX(0,IF((AL$6-$E$3)&lt;1,0,IFERROR(LOOKUP(2,1/(Trigo!$E23:INDEX(Trigo!$E23:$Z23,MIN(AL$6-$E$3,22))&lt;&gt;""),Trigo!$E23:INDEX(Trigo!$E23:$Z23,MIN(AL$6-$E$3,22))),0))-IF($G$2,0,IF((AL$6-$G$3)&lt;1,0,IFERROR(LOOKUP(2,1/(Trigo!$E23:INDEX(Trigo!$E23:$Z23,MIN(AL$6-$G$3,22))&lt;&gt;""),Trigo!$E23:INDEX(Trigo!$E23:$Z23,MIN(AL$6-$G$3,22))),0)))))</f>
        <v>0</v>
      </c>
      <c r="AM25" s="27" t="n">
        <f aca="false">IF(COUNT(Trigo!$E23:$Z23)=0,0,MAX(0,IF((AM$6-$E$3)&lt;1,0,IFERROR(LOOKUP(2,1/(Trigo!$E23:INDEX(Trigo!$E23:$Z23,MIN(AM$6-$E$3,22))&lt;&gt;""),Trigo!$E23:INDEX(Trigo!$E23:$Z23,MIN(AM$6-$E$3,22))),0))-IF($G$2,0,IF((AM$6-$G$3)&lt;1,0,IFERROR(LOOKUP(2,1/(Trigo!$E23:INDEX(Trigo!$E23:$Z23,MIN(AM$6-$G$3,22))&lt;&gt;""),Trigo!$E23:INDEX(Trigo!$E23:$Z23,MIN(AM$6-$G$3,22))),0)))))</f>
        <v>0</v>
      </c>
      <c r="AN25" s="27" t="n">
        <f aca="false">IF(COUNT(Trigo!$E23:$Z23)=0,0,MAX(0,IF((AN$6-$E$3)&lt;1,0,IFERROR(LOOKUP(2,1/(Trigo!$E23:INDEX(Trigo!$E23:$Z23,MIN(AN$6-$E$3,22))&lt;&gt;""),Trigo!$E23:INDEX(Trigo!$E23:$Z23,MIN(AN$6-$E$3,22))),0))-IF($G$2,0,IF((AN$6-$G$3)&lt;1,0,IFERROR(LOOKUP(2,1/(Trigo!$E23:INDEX(Trigo!$E23:$Z23,MIN(AN$6-$G$3,22))&lt;&gt;""),Trigo!$E23:INDEX(Trigo!$E23:$Z23,MIN(AN$6-$G$3,22))),0)))))</f>
        <v>0</v>
      </c>
      <c r="AO25" s="27" t="n">
        <f aca="false">IF(COUNT(Trigo!$E23:$Z23)=0,0,MAX(0,IF((AO$6-$E$3)&lt;1,0,IFERROR(LOOKUP(2,1/(Trigo!$E23:INDEX(Trigo!$E23:$Z23,MIN(AO$6-$E$3,22))&lt;&gt;""),Trigo!$E23:INDEX(Trigo!$E23:$Z23,MIN(AO$6-$E$3,22))),0))-IF($G$2,0,IF((AO$6-$G$3)&lt;1,0,IFERROR(LOOKUP(2,1/(Trigo!$E23:INDEX(Trigo!$E23:$Z23,MIN(AO$6-$G$3,22))&lt;&gt;""),Trigo!$E23:INDEX(Trigo!$E23:$Z23,MIN(AO$6-$G$3,22))),0)))))</f>
        <v>0</v>
      </c>
      <c r="AP25" s="27" t="n">
        <f aca="false">IF(COUNT(Trigo!$E23:$Z23)=0,0,MAX(0,IF((AP$6-$E$3)&lt;1,0,IFERROR(LOOKUP(2,1/(Trigo!$E23:INDEX(Trigo!$E23:$Z23,MIN(AP$6-$E$3,22))&lt;&gt;""),Trigo!$E23:INDEX(Trigo!$E23:$Z23,MIN(AP$6-$E$3,22))),0))-IF($G$2,0,IF((AP$6-$G$3)&lt;1,0,IFERROR(LOOKUP(2,1/(Trigo!$E23:INDEX(Trigo!$E23:$Z23,MIN(AP$6-$G$3,22))&lt;&gt;""),Trigo!$E23:INDEX(Trigo!$E23:$Z23,MIN(AP$6-$G$3,22))),0)))))</f>
        <v>0</v>
      </c>
      <c r="AQ25" s="27" t="n">
        <f aca="false">IF(COUNT(Trigo!$E23:$Z23)=0,0,MAX(0,IF((AQ$6-$E$3)&lt;1,0,IFERROR(LOOKUP(2,1/(Trigo!$E23:INDEX(Trigo!$E23:$Z23,MIN(AQ$6-$E$3,22))&lt;&gt;""),Trigo!$E23:INDEX(Trigo!$E23:$Z23,MIN(AQ$6-$E$3,22))),0))-IF($G$2,0,IF((AQ$6-$G$3)&lt;1,0,IFERROR(LOOKUP(2,1/(Trigo!$E23:INDEX(Trigo!$E23:$Z23,MIN(AQ$6-$G$3,22))&lt;&gt;""),Trigo!$E23:INDEX(Trigo!$E23:$Z23,MIN(AQ$6-$G$3,22))),0)))))</f>
        <v>0</v>
      </c>
      <c r="AR25" s="27" t="n">
        <f aca="false">IF(COUNT(Trigo!$E23:$Z23)=0,0,MAX(0,IF((AR$6-$E$3)&lt;1,0,IFERROR(LOOKUP(2,1/(Trigo!$E23:INDEX(Trigo!$E23:$Z23,MIN(AR$6-$E$3,22))&lt;&gt;""),Trigo!$E23:INDEX(Trigo!$E23:$Z23,MIN(AR$6-$E$3,22))),0))-IF($G$2,0,IF((AR$6-$G$3)&lt;1,0,IFERROR(LOOKUP(2,1/(Trigo!$E23:INDEX(Trigo!$E23:$Z23,MIN(AR$6-$G$3,22))&lt;&gt;""),Trigo!$E23:INDEX(Trigo!$E23:$Z23,MIN(AR$6-$G$3,22))),0)))))</f>
        <v>0</v>
      </c>
      <c r="AS25" s="27" t="n">
        <f aca="false">IF(COUNT(Trigo!$E23:$Z23)=0,0,MAX(0,IF((AS$6-$E$3)&lt;1,0,IFERROR(LOOKUP(2,1/(Trigo!$E23:INDEX(Trigo!$E23:$Z23,MIN(AS$6-$E$3,22))&lt;&gt;""),Trigo!$E23:INDEX(Trigo!$E23:$Z23,MIN(AS$6-$E$3,22))),0))-IF($G$2,0,IF((AS$6-$G$3)&lt;1,0,IFERROR(LOOKUP(2,1/(Trigo!$E23:INDEX(Trigo!$E23:$Z23,MIN(AS$6-$G$3,22))&lt;&gt;""),Trigo!$E23:INDEX(Trigo!$E23:$Z23,MIN(AS$6-$G$3,22))),0)))))</f>
        <v>0</v>
      </c>
      <c r="AT25" s="27" t="n">
        <f aca="false">IF(COUNT(Trigo!$E23:$Z23)=0,0,MAX(0,IF((AT$6-$E$3)&lt;1,0,IFERROR(LOOKUP(2,1/(Trigo!$E23:INDEX(Trigo!$E23:$Z23,MIN(AT$6-$E$3,22))&lt;&gt;""),Trigo!$E23:INDEX(Trigo!$E23:$Z23,MIN(AT$6-$E$3,22))),0))-IF($G$2,0,IF((AT$6-$G$3)&lt;1,0,IFERROR(LOOKUP(2,1/(Trigo!$E23:INDEX(Trigo!$E23:$Z23,MIN(AT$6-$G$3,22))&lt;&gt;""),Trigo!$E23:INDEX(Trigo!$E23:$Z23,MIN(AT$6-$G$3,22))),0)))))</f>
        <v>0</v>
      </c>
      <c r="AU25" s="27" t="n">
        <f aca="false">IF(COUNT(Trigo!$E23:$Z23)=0,0,MAX(0,IF((AU$6-$E$3)&lt;1,0,IFERROR(LOOKUP(2,1/(Trigo!$E23:INDEX(Trigo!$E23:$Z23,MIN(AU$6-$E$3,22))&lt;&gt;""),Trigo!$E23:INDEX(Trigo!$E23:$Z23,MIN(AU$6-$E$3,22))),0))-IF($G$2,0,IF((AU$6-$G$3)&lt;1,0,IFERROR(LOOKUP(2,1/(Trigo!$E23:INDEX(Trigo!$E23:$Z23,MIN(AU$6-$G$3,22))&lt;&gt;""),Trigo!$E23:INDEX(Trigo!$E23:$Z23,MIN(AU$6-$G$3,22))),0)))))</f>
        <v>0</v>
      </c>
      <c r="AV25" s="27" t="n">
        <f aca="false">IF(COUNT(Trigo!$E23:$Z23)=0,0,MAX(0,IF((AV$6-$E$3)&lt;1,0,IFERROR(LOOKUP(2,1/(Trigo!$E23:INDEX(Trigo!$E23:$Z23,MIN(AV$6-$E$3,22))&lt;&gt;""),Trigo!$E23:INDEX(Trigo!$E23:$Z23,MIN(AV$6-$E$3,22))),0))-IF($G$2,0,IF((AV$6-$G$3)&lt;1,0,IFERROR(LOOKUP(2,1/(Trigo!$E23:INDEX(Trigo!$E23:$Z23,MIN(AV$6-$G$3,22))&lt;&gt;""),Trigo!$E23:INDEX(Trigo!$E23:$Z23,MIN(AV$6-$G$3,22))),0)))))</f>
        <v>0</v>
      </c>
      <c r="AW25" s="27" t="n">
        <f aca="false">IF(COUNT(Trigo!$E23:$Z23)=0,0,MAX(0,IF((AW$6-$E$3)&lt;1,0,IFERROR(LOOKUP(2,1/(Trigo!$E23:INDEX(Trigo!$E23:$Z23,MIN(AW$6-$E$3,22))&lt;&gt;""),Trigo!$E23:INDEX(Trigo!$E23:$Z23,MIN(AW$6-$E$3,22))),0))-IF($G$2,0,IF((AW$6-$G$3)&lt;1,0,IFERROR(LOOKUP(2,1/(Trigo!$E23:INDEX(Trigo!$E23:$Z23,MIN(AW$6-$G$3,22))&lt;&gt;""),Trigo!$E23:INDEX(Trigo!$E23:$Z23,MIN(AW$6-$G$3,22))),0)))))</f>
        <v>0</v>
      </c>
      <c r="AX25" s="27" t="n">
        <f aca="false">IF(COUNT(Trigo!$E23:$Z23)=0,0,MAX(0,IF((AX$6-$E$3)&lt;1,0,IFERROR(LOOKUP(2,1/(Trigo!$E23:INDEX(Trigo!$E23:$Z23,MIN(AX$6-$E$3,22))&lt;&gt;""),Trigo!$E23:INDEX(Trigo!$E23:$Z23,MIN(AX$6-$E$3,22))),0))-IF($G$2,0,IF((AX$6-$G$3)&lt;1,0,IFERROR(LOOKUP(2,1/(Trigo!$E23:INDEX(Trigo!$E23:$Z23,MIN(AX$6-$G$3,22))&lt;&gt;""),Trigo!$E23:INDEX(Trigo!$E23:$Z23,MIN(AX$6-$G$3,22))),0)))))</f>
        <v>0</v>
      </c>
      <c r="AY25" s="27" t="n">
        <f aca="false">IF(COUNT(Trigo!$E23:$Z23)=0,0,MAX(0,IF((AY$6-$E$3)&lt;1,0,IFERROR(LOOKUP(2,1/(Trigo!$E23:INDEX(Trigo!$E23:$Z23,MIN(AY$6-$E$3,22))&lt;&gt;""),Trigo!$E23:INDEX(Trigo!$E23:$Z23,MIN(AY$6-$E$3,22))),0))-IF($G$2,0,IF((AY$6-$G$3)&lt;1,0,IFERROR(LOOKUP(2,1/(Trigo!$E23:INDEX(Trigo!$E23:$Z23,MIN(AY$6-$G$3,22))&lt;&gt;""),Trigo!$E23:INDEX(Trigo!$E23:$Z23,MIN(AY$6-$G$3,22))),0)))))</f>
        <v>0</v>
      </c>
      <c r="AZ25" s="27" t="n">
        <f aca="false">IF(COUNT(Trigo!$E23:$Z23)=0,0,MAX(0,IF((AZ$6-$E$3)&lt;1,0,IFERROR(LOOKUP(2,1/(Trigo!$E23:INDEX(Trigo!$E23:$Z23,MIN(AZ$6-$E$3,22))&lt;&gt;""),Trigo!$E23:INDEX(Trigo!$E23:$Z23,MIN(AZ$6-$E$3,22))),0))-IF($G$2,0,IF((AZ$6-$G$3)&lt;1,0,IFERROR(LOOKUP(2,1/(Trigo!$E23:INDEX(Trigo!$E23:$Z23,MIN(AZ$6-$G$3,22))&lt;&gt;""),Trigo!$E23:INDEX(Trigo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IF(COUNT(Trigo!$E24:$Z24)&gt;0,N(Trigo!$D24),0)</f>
        <v>0</v>
      </c>
      <c r="E26" s="27" t="n">
        <f aca="false">IF(COUNT(Trigo!$E24:$Z24)=0,0,MAX(0,IF((E$6-$E$3)&lt;1,0,IFERROR(LOOKUP(2,1/(Trigo!$E24:INDEX(Trigo!$E24:$Z24,MIN(E$6-$E$3,22))&lt;&gt;""),Trigo!$E24:INDEX(Trigo!$E24:$Z24,MIN(E$6-$E$3,22))),0))-IF($G$2,0,IF((E$6-$G$3)&lt;1,0,IFERROR(LOOKUP(2,1/(Trigo!$E24:INDEX(Trigo!$E24:$Z24,MIN(E$6-$G$3,22))&lt;&gt;""),Trigo!$E24:INDEX(Trigo!$E24:$Z24,MIN(E$6-$G$3,22))),0)))))</f>
        <v>0</v>
      </c>
      <c r="F26" s="27" t="n">
        <f aca="false">IF(COUNT(Trigo!$E24:$Z24)=0,0,MAX(0,IF((F$6-$E$3)&lt;1,0,IFERROR(LOOKUP(2,1/(Trigo!$E24:INDEX(Trigo!$E24:$Z24,MIN(F$6-$E$3,22))&lt;&gt;""),Trigo!$E24:INDEX(Trigo!$E24:$Z24,MIN(F$6-$E$3,22))),0))-IF($G$2,0,IF((F$6-$G$3)&lt;1,0,IFERROR(LOOKUP(2,1/(Trigo!$E24:INDEX(Trigo!$E24:$Z24,MIN(F$6-$G$3,22))&lt;&gt;""),Trigo!$E24:INDEX(Trigo!$E24:$Z24,MIN(F$6-$G$3,22))),0)))))</f>
        <v>0</v>
      </c>
      <c r="G26" s="27" t="n">
        <f aca="false">IF(COUNT(Trigo!$E24:$Z24)=0,0,MAX(0,IF((G$6-$E$3)&lt;1,0,IFERROR(LOOKUP(2,1/(Trigo!$E24:INDEX(Trigo!$E24:$Z24,MIN(G$6-$E$3,22))&lt;&gt;""),Trigo!$E24:INDEX(Trigo!$E24:$Z24,MIN(G$6-$E$3,22))),0))-IF($G$2,0,IF((G$6-$G$3)&lt;1,0,IFERROR(LOOKUP(2,1/(Trigo!$E24:INDEX(Trigo!$E24:$Z24,MIN(G$6-$G$3,22))&lt;&gt;""),Trigo!$E24:INDEX(Trigo!$E24:$Z24,MIN(G$6-$G$3,22))),0)))))</f>
        <v>0</v>
      </c>
      <c r="H26" s="27" t="n">
        <f aca="false">IF(COUNT(Trigo!$E24:$Z24)=0,0,MAX(0,IF((H$6-$E$3)&lt;1,0,IFERROR(LOOKUP(2,1/(Trigo!$E24:INDEX(Trigo!$E24:$Z24,MIN(H$6-$E$3,22))&lt;&gt;""),Trigo!$E24:INDEX(Trigo!$E24:$Z24,MIN(H$6-$E$3,22))),0))-IF($G$2,0,IF((H$6-$G$3)&lt;1,0,IFERROR(LOOKUP(2,1/(Trigo!$E24:INDEX(Trigo!$E24:$Z24,MIN(H$6-$G$3,22))&lt;&gt;""),Trigo!$E24:INDEX(Trigo!$E24:$Z24,MIN(H$6-$G$3,22))),0)))))</f>
        <v>0</v>
      </c>
      <c r="I26" s="27" t="n">
        <f aca="false">IF(COUNT(Trigo!$E24:$Z24)=0,0,MAX(0,IF((I$6-$E$3)&lt;1,0,IFERROR(LOOKUP(2,1/(Trigo!$E24:INDEX(Trigo!$E24:$Z24,MIN(I$6-$E$3,22))&lt;&gt;""),Trigo!$E24:INDEX(Trigo!$E24:$Z24,MIN(I$6-$E$3,22))),0))-IF($G$2,0,IF((I$6-$G$3)&lt;1,0,IFERROR(LOOKUP(2,1/(Trigo!$E24:INDEX(Trigo!$E24:$Z24,MIN(I$6-$G$3,22))&lt;&gt;""),Trigo!$E24:INDEX(Trigo!$E24:$Z24,MIN(I$6-$G$3,22))),0)))))</f>
        <v>0</v>
      </c>
      <c r="J26" s="27" t="n">
        <f aca="false">IF(COUNT(Trigo!$E24:$Z24)=0,0,MAX(0,IF((J$6-$E$3)&lt;1,0,IFERROR(LOOKUP(2,1/(Trigo!$E24:INDEX(Trigo!$E24:$Z24,MIN(J$6-$E$3,22))&lt;&gt;""),Trigo!$E24:INDEX(Trigo!$E24:$Z24,MIN(J$6-$E$3,22))),0))-IF($G$2,0,IF((J$6-$G$3)&lt;1,0,IFERROR(LOOKUP(2,1/(Trigo!$E24:INDEX(Trigo!$E24:$Z24,MIN(J$6-$G$3,22))&lt;&gt;""),Trigo!$E24:INDEX(Trigo!$E24:$Z24,MIN(J$6-$G$3,22))),0)))))</f>
        <v>0</v>
      </c>
      <c r="K26" s="27" t="n">
        <f aca="false">IF(COUNT(Trigo!$E24:$Z24)=0,0,MAX(0,IF((K$6-$E$3)&lt;1,0,IFERROR(LOOKUP(2,1/(Trigo!$E24:INDEX(Trigo!$E24:$Z24,MIN(K$6-$E$3,22))&lt;&gt;""),Trigo!$E24:INDEX(Trigo!$E24:$Z24,MIN(K$6-$E$3,22))),0))-IF($G$2,0,IF((K$6-$G$3)&lt;1,0,IFERROR(LOOKUP(2,1/(Trigo!$E24:INDEX(Trigo!$E24:$Z24,MIN(K$6-$G$3,22))&lt;&gt;""),Trigo!$E24:INDEX(Trigo!$E24:$Z24,MIN(K$6-$G$3,22))),0)))))</f>
        <v>0</v>
      </c>
      <c r="L26" s="27" t="n">
        <f aca="false">IF(COUNT(Trigo!$E24:$Z24)=0,0,MAX(0,IF((L$6-$E$3)&lt;1,0,IFERROR(LOOKUP(2,1/(Trigo!$E24:INDEX(Trigo!$E24:$Z24,MIN(L$6-$E$3,22))&lt;&gt;""),Trigo!$E24:INDEX(Trigo!$E24:$Z24,MIN(L$6-$E$3,22))),0))-IF($G$2,0,IF((L$6-$G$3)&lt;1,0,IFERROR(LOOKUP(2,1/(Trigo!$E24:INDEX(Trigo!$E24:$Z24,MIN(L$6-$G$3,22))&lt;&gt;""),Trigo!$E24:INDEX(Trigo!$E24:$Z24,MIN(L$6-$G$3,22))),0)))))</f>
        <v>0</v>
      </c>
      <c r="M26" s="27" t="n">
        <f aca="false">IF(COUNT(Trigo!$E24:$Z24)=0,0,MAX(0,IF((M$6-$E$3)&lt;1,0,IFERROR(LOOKUP(2,1/(Trigo!$E24:INDEX(Trigo!$E24:$Z24,MIN(M$6-$E$3,22))&lt;&gt;""),Trigo!$E24:INDEX(Trigo!$E24:$Z24,MIN(M$6-$E$3,22))),0))-IF($G$2,0,IF((M$6-$G$3)&lt;1,0,IFERROR(LOOKUP(2,1/(Trigo!$E24:INDEX(Trigo!$E24:$Z24,MIN(M$6-$G$3,22))&lt;&gt;""),Trigo!$E24:INDEX(Trigo!$E24:$Z24,MIN(M$6-$G$3,22))),0)))))</f>
        <v>0</v>
      </c>
      <c r="N26" s="27" t="n">
        <f aca="false">IF(COUNT(Trigo!$E24:$Z24)=0,0,MAX(0,IF((N$6-$E$3)&lt;1,0,IFERROR(LOOKUP(2,1/(Trigo!$E24:INDEX(Trigo!$E24:$Z24,MIN(N$6-$E$3,22))&lt;&gt;""),Trigo!$E24:INDEX(Trigo!$E24:$Z24,MIN(N$6-$E$3,22))),0))-IF($G$2,0,IF((N$6-$G$3)&lt;1,0,IFERROR(LOOKUP(2,1/(Trigo!$E24:INDEX(Trigo!$E24:$Z24,MIN(N$6-$G$3,22))&lt;&gt;""),Trigo!$E24:INDEX(Trigo!$E24:$Z24,MIN(N$6-$G$3,22))),0)))))</f>
        <v>0</v>
      </c>
      <c r="O26" s="27" t="n">
        <f aca="false">IF(COUNT(Trigo!$E24:$Z24)=0,0,MAX(0,IF((O$6-$E$3)&lt;1,0,IFERROR(LOOKUP(2,1/(Trigo!$E24:INDEX(Trigo!$E24:$Z24,MIN(O$6-$E$3,22))&lt;&gt;""),Trigo!$E24:INDEX(Trigo!$E24:$Z24,MIN(O$6-$E$3,22))),0))-IF($G$2,0,IF((O$6-$G$3)&lt;1,0,IFERROR(LOOKUP(2,1/(Trigo!$E24:INDEX(Trigo!$E24:$Z24,MIN(O$6-$G$3,22))&lt;&gt;""),Trigo!$E24:INDEX(Trigo!$E24:$Z24,MIN(O$6-$G$3,22))),0)))))</f>
        <v>0</v>
      </c>
      <c r="P26" s="27" t="n">
        <f aca="false">IF(COUNT(Trigo!$E24:$Z24)=0,0,MAX(0,IF((P$6-$E$3)&lt;1,0,IFERROR(LOOKUP(2,1/(Trigo!$E24:INDEX(Trigo!$E24:$Z24,MIN(P$6-$E$3,22))&lt;&gt;""),Trigo!$E24:INDEX(Trigo!$E24:$Z24,MIN(P$6-$E$3,22))),0))-IF($G$2,0,IF((P$6-$G$3)&lt;1,0,IFERROR(LOOKUP(2,1/(Trigo!$E24:INDEX(Trigo!$E24:$Z24,MIN(P$6-$G$3,22))&lt;&gt;""),Trigo!$E24:INDEX(Trigo!$E24:$Z24,MIN(P$6-$G$3,22))),0)))))</f>
        <v>0</v>
      </c>
      <c r="Q26" s="27" t="n">
        <f aca="false">IF(COUNT(Trigo!$E24:$Z24)=0,0,MAX(0,IF((Q$6-$E$3)&lt;1,0,IFERROR(LOOKUP(2,1/(Trigo!$E24:INDEX(Trigo!$E24:$Z24,MIN(Q$6-$E$3,22))&lt;&gt;""),Trigo!$E24:INDEX(Trigo!$E24:$Z24,MIN(Q$6-$E$3,22))),0))-IF($G$2,0,IF((Q$6-$G$3)&lt;1,0,IFERROR(LOOKUP(2,1/(Trigo!$E24:INDEX(Trigo!$E24:$Z24,MIN(Q$6-$G$3,22))&lt;&gt;""),Trigo!$E24:INDEX(Trigo!$E24:$Z24,MIN(Q$6-$G$3,22))),0)))))</f>
        <v>0</v>
      </c>
      <c r="R26" s="27" t="n">
        <f aca="false">IF(COUNT(Trigo!$E24:$Z24)=0,0,MAX(0,IF((R$6-$E$3)&lt;1,0,IFERROR(LOOKUP(2,1/(Trigo!$E24:INDEX(Trigo!$E24:$Z24,MIN(R$6-$E$3,22))&lt;&gt;""),Trigo!$E24:INDEX(Trigo!$E24:$Z24,MIN(R$6-$E$3,22))),0))-IF($G$2,0,IF((R$6-$G$3)&lt;1,0,IFERROR(LOOKUP(2,1/(Trigo!$E24:INDEX(Trigo!$E24:$Z24,MIN(R$6-$G$3,22))&lt;&gt;""),Trigo!$E24:INDEX(Trigo!$E24:$Z24,MIN(R$6-$G$3,22))),0)))))</f>
        <v>0</v>
      </c>
      <c r="S26" s="27" t="n">
        <f aca="false">IF(COUNT(Trigo!$E24:$Z24)=0,0,MAX(0,IF((S$6-$E$3)&lt;1,0,IFERROR(LOOKUP(2,1/(Trigo!$E24:INDEX(Trigo!$E24:$Z24,MIN(S$6-$E$3,22))&lt;&gt;""),Trigo!$E24:INDEX(Trigo!$E24:$Z24,MIN(S$6-$E$3,22))),0))-IF($G$2,0,IF((S$6-$G$3)&lt;1,0,IFERROR(LOOKUP(2,1/(Trigo!$E24:INDEX(Trigo!$E24:$Z24,MIN(S$6-$G$3,22))&lt;&gt;""),Trigo!$E24:INDEX(Trigo!$E24:$Z24,MIN(S$6-$G$3,22))),0)))))</f>
        <v>0</v>
      </c>
      <c r="T26" s="27" t="n">
        <f aca="false">IF(COUNT(Trigo!$E24:$Z24)=0,0,MAX(0,IF((T$6-$E$3)&lt;1,0,IFERROR(LOOKUP(2,1/(Trigo!$E24:INDEX(Trigo!$E24:$Z24,MIN(T$6-$E$3,22))&lt;&gt;""),Trigo!$E24:INDEX(Trigo!$E24:$Z24,MIN(T$6-$E$3,22))),0))-IF($G$2,0,IF((T$6-$G$3)&lt;1,0,IFERROR(LOOKUP(2,1/(Trigo!$E24:INDEX(Trigo!$E24:$Z24,MIN(T$6-$G$3,22))&lt;&gt;""),Trigo!$E24:INDEX(Trigo!$E24:$Z24,MIN(T$6-$G$3,22))),0)))))</f>
        <v>0</v>
      </c>
      <c r="U26" s="27" t="n">
        <f aca="false">IF(COUNT(Trigo!$E24:$Z24)=0,0,MAX(0,IF((U$6-$E$3)&lt;1,0,IFERROR(LOOKUP(2,1/(Trigo!$E24:INDEX(Trigo!$E24:$Z24,MIN(U$6-$E$3,22))&lt;&gt;""),Trigo!$E24:INDEX(Trigo!$E24:$Z24,MIN(U$6-$E$3,22))),0))-IF($G$2,0,IF((U$6-$G$3)&lt;1,0,IFERROR(LOOKUP(2,1/(Trigo!$E24:INDEX(Trigo!$E24:$Z24,MIN(U$6-$G$3,22))&lt;&gt;""),Trigo!$E24:INDEX(Trigo!$E24:$Z24,MIN(U$6-$G$3,22))),0)))))</f>
        <v>0</v>
      </c>
      <c r="V26" s="27" t="n">
        <f aca="false">IF(COUNT(Trigo!$E24:$Z24)=0,0,MAX(0,IF((V$6-$E$3)&lt;1,0,IFERROR(LOOKUP(2,1/(Trigo!$E24:INDEX(Trigo!$E24:$Z24,MIN(V$6-$E$3,22))&lt;&gt;""),Trigo!$E24:INDEX(Trigo!$E24:$Z24,MIN(V$6-$E$3,22))),0))-IF($G$2,0,IF((V$6-$G$3)&lt;1,0,IFERROR(LOOKUP(2,1/(Trigo!$E24:INDEX(Trigo!$E24:$Z24,MIN(V$6-$G$3,22))&lt;&gt;""),Trigo!$E24:INDEX(Trigo!$E24:$Z24,MIN(V$6-$G$3,22))),0)))))</f>
        <v>0</v>
      </c>
      <c r="W26" s="27" t="n">
        <f aca="false">IF(COUNT(Trigo!$E24:$Z24)=0,0,MAX(0,IF((W$6-$E$3)&lt;1,0,IFERROR(LOOKUP(2,1/(Trigo!$E24:INDEX(Trigo!$E24:$Z24,MIN(W$6-$E$3,22))&lt;&gt;""),Trigo!$E24:INDEX(Trigo!$E24:$Z24,MIN(W$6-$E$3,22))),0))-IF($G$2,0,IF((W$6-$G$3)&lt;1,0,IFERROR(LOOKUP(2,1/(Trigo!$E24:INDEX(Trigo!$E24:$Z24,MIN(W$6-$G$3,22))&lt;&gt;""),Trigo!$E24:INDEX(Trigo!$E24:$Z24,MIN(W$6-$G$3,22))),0)))))</f>
        <v>0</v>
      </c>
      <c r="X26" s="27" t="n">
        <f aca="false">IF(COUNT(Trigo!$E24:$Z24)=0,0,MAX(0,IF((X$6-$E$3)&lt;1,0,IFERROR(LOOKUP(2,1/(Trigo!$E24:INDEX(Trigo!$E24:$Z24,MIN(X$6-$E$3,22))&lt;&gt;""),Trigo!$E24:INDEX(Trigo!$E24:$Z24,MIN(X$6-$E$3,22))),0))-IF($G$2,0,IF((X$6-$G$3)&lt;1,0,IFERROR(LOOKUP(2,1/(Trigo!$E24:INDEX(Trigo!$E24:$Z24,MIN(X$6-$G$3,22))&lt;&gt;""),Trigo!$E24:INDEX(Trigo!$E24:$Z24,MIN(X$6-$G$3,22))),0)))))</f>
        <v>0</v>
      </c>
      <c r="Y26" s="27" t="n">
        <f aca="false">IF(COUNT(Trigo!$E24:$Z24)=0,0,MAX(0,IF((Y$6-$E$3)&lt;1,0,IFERROR(LOOKUP(2,1/(Trigo!$E24:INDEX(Trigo!$E24:$Z24,MIN(Y$6-$E$3,22))&lt;&gt;""),Trigo!$E24:INDEX(Trigo!$E24:$Z24,MIN(Y$6-$E$3,22))),0))-IF($G$2,0,IF((Y$6-$G$3)&lt;1,0,IFERROR(LOOKUP(2,1/(Trigo!$E24:INDEX(Trigo!$E24:$Z24,MIN(Y$6-$G$3,22))&lt;&gt;""),Trigo!$E24:INDEX(Trigo!$E24:$Z24,MIN(Y$6-$G$3,22))),0)))))</f>
        <v>0</v>
      </c>
      <c r="Z26" s="27" t="n">
        <f aca="false">IF(COUNT(Trigo!$E24:$Z24)=0,0,MAX(0,IF((Z$6-$E$3)&lt;1,0,IFERROR(LOOKUP(2,1/(Trigo!$E24:INDEX(Trigo!$E24:$Z24,MIN(Z$6-$E$3,22))&lt;&gt;""),Trigo!$E24:INDEX(Trigo!$E24:$Z24,MIN(Z$6-$E$3,22))),0))-IF($G$2,0,IF((Z$6-$G$3)&lt;1,0,IFERROR(LOOKUP(2,1/(Trigo!$E24:INDEX(Trigo!$E24:$Z24,MIN(Z$6-$G$3,22))&lt;&gt;""),Trigo!$E24:INDEX(Trigo!$E24:$Z24,MIN(Z$6-$G$3,22))),0)))))</f>
        <v>0</v>
      </c>
      <c r="AA26" s="27" t="n">
        <f aca="false">IF(COUNT(Trigo!$E24:$Z24)=0,0,MAX(0,IF((AA$6-$E$3)&lt;1,0,IFERROR(LOOKUP(2,1/(Trigo!$E24:INDEX(Trigo!$E24:$Z24,MIN(AA$6-$E$3,22))&lt;&gt;""),Trigo!$E24:INDEX(Trigo!$E24:$Z24,MIN(AA$6-$E$3,22))),0))-IF($G$2,0,IF((AA$6-$G$3)&lt;1,0,IFERROR(LOOKUP(2,1/(Trigo!$E24:INDEX(Trigo!$E24:$Z24,MIN(AA$6-$G$3,22))&lt;&gt;""),Trigo!$E24:INDEX(Trigo!$E24:$Z24,MIN(AA$6-$G$3,22))),0)))))</f>
        <v>0</v>
      </c>
      <c r="AB26" s="27" t="n">
        <f aca="false">IF(COUNT(Trigo!$E24:$Z24)=0,0,MAX(0,IF((AB$6-$E$3)&lt;1,0,IFERROR(LOOKUP(2,1/(Trigo!$E24:INDEX(Trigo!$E24:$Z24,MIN(AB$6-$E$3,22))&lt;&gt;""),Trigo!$E24:INDEX(Trigo!$E24:$Z24,MIN(AB$6-$E$3,22))),0))-IF($G$2,0,IF((AB$6-$G$3)&lt;1,0,IFERROR(LOOKUP(2,1/(Trigo!$E24:INDEX(Trigo!$E24:$Z24,MIN(AB$6-$G$3,22))&lt;&gt;""),Trigo!$E24:INDEX(Trigo!$E24:$Z24,MIN(AB$6-$G$3,22))),0)))))</f>
        <v>0</v>
      </c>
      <c r="AC26" s="27" t="n">
        <f aca="false">IF(COUNT(Trigo!$E24:$Z24)=0,0,MAX(0,IF((AC$6-$E$3)&lt;1,0,IFERROR(LOOKUP(2,1/(Trigo!$E24:INDEX(Trigo!$E24:$Z24,MIN(AC$6-$E$3,22))&lt;&gt;""),Trigo!$E24:INDEX(Trigo!$E24:$Z24,MIN(AC$6-$E$3,22))),0))-IF($G$2,0,IF((AC$6-$G$3)&lt;1,0,IFERROR(LOOKUP(2,1/(Trigo!$E24:INDEX(Trigo!$E24:$Z24,MIN(AC$6-$G$3,22))&lt;&gt;""),Trigo!$E24:INDEX(Trigo!$E24:$Z24,MIN(AC$6-$G$3,22))),0)))))</f>
        <v>0</v>
      </c>
      <c r="AD26" s="27" t="n">
        <f aca="false">IF(COUNT(Trigo!$E24:$Z24)=0,0,MAX(0,IF((AD$6-$E$3)&lt;1,0,IFERROR(LOOKUP(2,1/(Trigo!$E24:INDEX(Trigo!$E24:$Z24,MIN(AD$6-$E$3,22))&lt;&gt;""),Trigo!$E24:INDEX(Trigo!$E24:$Z24,MIN(AD$6-$E$3,22))),0))-IF($G$2,0,IF((AD$6-$G$3)&lt;1,0,IFERROR(LOOKUP(2,1/(Trigo!$E24:INDEX(Trigo!$E24:$Z24,MIN(AD$6-$G$3,22))&lt;&gt;""),Trigo!$E24:INDEX(Trigo!$E24:$Z24,MIN(AD$6-$G$3,22))),0)))))</f>
        <v>0</v>
      </c>
      <c r="AE26" s="27" t="n">
        <f aca="false">IF(COUNT(Trigo!$E24:$Z24)=0,0,MAX(0,IF((AE$6-$E$3)&lt;1,0,IFERROR(LOOKUP(2,1/(Trigo!$E24:INDEX(Trigo!$E24:$Z24,MIN(AE$6-$E$3,22))&lt;&gt;""),Trigo!$E24:INDEX(Trigo!$E24:$Z24,MIN(AE$6-$E$3,22))),0))-IF($G$2,0,IF((AE$6-$G$3)&lt;1,0,IFERROR(LOOKUP(2,1/(Trigo!$E24:INDEX(Trigo!$E24:$Z24,MIN(AE$6-$G$3,22))&lt;&gt;""),Trigo!$E24:INDEX(Trigo!$E24:$Z24,MIN(AE$6-$G$3,22))),0)))))</f>
        <v>0</v>
      </c>
      <c r="AF26" s="27" t="n">
        <f aca="false">IF(COUNT(Trigo!$E24:$Z24)=0,0,MAX(0,IF((AF$6-$E$3)&lt;1,0,IFERROR(LOOKUP(2,1/(Trigo!$E24:INDEX(Trigo!$E24:$Z24,MIN(AF$6-$E$3,22))&lt;&gt;""),Trigo!$E24:INDEX(Trigo!$E24:$Z24,MIN(AF$6-$E$3,22))),0))-IF($G$2,0,IF((AF$6-$G$3)&lt;1,0,IFERROR(LOOKUP(2,1/(Trigo!$E24:INDEX(Trigo!$E24:$Z24,MIN(AF$6-$G$3,22))&lt;&gt;""),Trigo!$E24:INDEX(Trigo!$E24:$Z24,MIN(AF$6-$G$3,22))),0)))))</f>
        <v>0</v>
      </c>
      <c r="AG26" s="27" t="n">
        <f aca="false">IF(COUNT(Trigo!$E24:$Z24)=0,0,MAX(0,IF((AG$6-$E$3)&lt;1,0,IFERROR(LOOKUP(2,1/(Trigo!$E24:INDEX(Trigo!$E24:$Z24,MIN(AG$6-$E$3,22))&lt;&gt;""),Trigo!$E24:INDEX(Trigo!$E24:$Z24,MIN(AG$6-$E$3,22))),0))-IF($G$2,0,IF((AG$6-$G$3)&lt;1,0,IFERROR(LOOKUP(2,1/(Trigo!$E24:INDEX(Trigo!$E24:$Z24,MIN(AG$6-$G$3,22))&lt;&gt;""),Trigo!$E24:INDEX(Trigo!$E24:$Z24,MIN(AG$6-$G$3,22))),0)))))</f>
        <v>0</v>
      </c>
      <c r="AH26" s="27" t="n">
        <f aca="false">IF(COUNT(Trigo!$E24:$Z24)=0,0,MAX(0,IF((AH$6-$E$3)&lt;1,0,IFERROR(LOOKUP(2,1/(Trigo!$E24:INDEX(Trigo!$E24:$Z24,MIN(AH$6-$E$3,22))&lt;&gt;""),Trigo!$E24:INDEX(Trigo!$E24:$Z24,MIN(AH$6-$E$3,22))),0))-IF($G$2,0,IF((AH$6-$G$3)&lt;1,0,IFERROR(LOOKUP(2,1/(Trigo!$E24:INDEX(Trigo!$E24:$Z24,MIN(AH$6-$G$3,22))&lt;&gt;""),Trigo!$E24:INDEX(Trigo!$E24:$Z24,MIN(AH$6-$G$3,22))),0)))))</f>
        <v>0</v>
      </c>
      <c r="AI26" s="27" t="n">
        <f aca="false">IF(COUNT(Trigo!$E24:$Z24)=0,0,MAX(0,IF((AI$6-$E$3)&lt;1,0,IFERROR(LOOKUP(2,1/(Trigo!$E24:INDEX(Trigo!$E24:$Z24,MIN(AI$6-$E$3,22))&lt;&gt;""),Trigo!$E24:INDEX(Trigo!$E24:$Z24,MIN(AI$6-$E$3,22))),0))-IF($G$2,0,IF((AI$6-$G$3)&lt;1,0,IFERROR(LOOKUP(2,1/(Trigo!$E24:INDEX(Trigo!$E24:$Z24,MIN(AI$6-$G$3,22))&lt;&gt;""),Trigo!$E24:INDEX(Trigo!$E24:$Z24,MIN(AI$6-$G$3,22))),0)))))</f>
        <v>0</v>
      </c>
      <c r="AJ26" s="27" t="n">
        <f aca="false">IF(COUNT(Trigo!$E24:$Z24)=0,0,MAX(0,IF((AJ$6-$E$3)&lt;1,0,IFERROR(LOOKUP(2,1/(Trigo!$E24:INDEX(Trigo!$E24:$Z24,MIN(AJ$6-$E$3,22))&lt;&gt;""),Trigo!$E24:INDEX(Trigo!$E24:$Z24,MIN(AJ$6-$E$3,22))),0))-IF($G$2,0,IF((AJ$6-$G$3)&lt;1,0,IFERROR(LOOKUP(2,1/(Trigo!$E24:INDEX(Trigo!$E24:$Z24,MIN(AJ$6-$G$3,22))&lt;&gt;""),Trigo!$E24:INDEX(Trigo!$E24:$Z24,MIN(AJ$6-$G$3,22))),0)))))</f>
        <v>0</v>
      </c>
      <c r="AK26" s="27" t="n">
        <f aca="false">IF(COUNT(Trigo!$E24:$Z24)=0,0,MAX(0,IF((AK$6-$E$3)&lt;1,0,IFERROR(LOOKUP(2,1/(Trigo!$E24:INDEX(Trigo!$E24:$Z24,MIN(AK$6-$E$3,22))&lt;&gt;""),Trigo!$E24:INDEX(Trigo!$E24:$Z24,MIN(AK$6-$E$3,22))),0))-IF($G$2,0,IF((AK$6-$G$3)&lt;1,0,IFERROR(LOOKUP(2,1/(Trigo!$E24:INDEX(Trigo!$E24:$Z24,MIN(AK$6-$G$3,22))&lt;&gt;""),Trigo!$E24:INDEX(Trigo!$E24:$Z24,MIN(AK$6-$G$3,22))),0)))))</f>
        <v>0</v>
      </c>
      <c r="AL26" s="27" t="n">
        <f aca="false">IF(COUNT(Trigo!$E24:$Z24)=0,0,MAX(0,IF((AL$6-$E$3)&lt;1,0,IFERROR(LOOKUP(2,1/(Trigo!$E24:INDEX(Trigo!$E24:$Z24,MIN(AL$6-$E$3,22))&lt;&gt;""),Trigo!$E24:INDEX(Trigo!$E24:$Z24,MIN(AL$6-$E$3,22))),0))-IF($G$2,0,IF((AL$6-$G$3)&lt;1,0,IFERROR(LOOKUP(2,1/(Trigo!$E24:INDEX(Trigo!$E24:$Z24,MIN(AL$6-$G$3,22))&lt;&gt;""),Trigo!$E24:INDEX(Trigo!$E24:$Z24,MIN(AL$6-$G$3,22))),0)))))</f>
        <v>0</v>
      </c>
      <c r="AM26" s="27" t="n">
        <f aca="false">IF(COUNT(Trigo!$E24:$Z24)=0,0,MAX(0,IF((AM$6-$E$3)&lt;1,0,IFERROR(LOOKUP(2,1/(Trigo!$E24:INDEX(Trigo!$E24:$Z24,MIN(AM$6-$E$3,22))&lt;&gt;""),Trigo!$E24:INDEX(Trigo!$E24:$Z24,MIN(AM$6-$E$3,22))),0))-IF($G$2,0,IF((AM$6-$G$3)&lt;1,0,IFERROR(LOOKUP(2,1/(Trigo!$E24:INDEX(Trigo!$E24:$Z24,MIN(AM$6-$G$3,22))&lt;&gt;""),Trigo!$E24:INDEX(Trigo!$E24:$Z24,MIN(AM$6-$G$3,22))),0)))))</f>
        <v>0</v>
      </c>
      <c r="AN26" s="27" t="n">
        <f aca="false">IF(COUNT(Trigo!$E24:$Z24)=0,0,MAX(0,IF((AN$6-$E$3)&lt;1,0,IFERROR(LOOKUP(2,1/(Trigo!$E24:INDEX(Trigo!$E24:$Z24,MIN(AN$6-$E$3,22))&lt;&gt;""),Trigo!$E24:INDEX(Trigo!$E24:$Z24,MIN(AN$6-$E$3,22))),0))-IF($G$2,0,IF((AN$6-$G$3)&lt;1,0,IFERROR(LOOKUP(2,1/(Trigo!$E24:INDEX(Trigo!$E24:$Z24,MIN(AN$6-$G$3,22))&lt;&gt;""),Trigo!$E24:INDEX(Trigo!$E24:$Z24,MIN(AN$6-$G$3,22))),0)))))</f>
        <v>0</v>
      </c>
      <c r="AO26" s="27" t="n">
        <f aca="false">IF(COUNT(Trigo!$E24:$Z24)=0,0,MAX(0,IF((AO$6-$E$3)&lt;1,0,IFERROR(LOOKUP(2,1/(Trigo!$E24:INDEX(Trigo!$E24:$Z24,MIN(AO$6-$E$3,22))&lt;&gt;""),Trigo!$E24:INDEX(Trigo!$E24:$Z24,MIN(AO$6-$E$3,22))),0))-IF($G$2,0,IF((AO$6-$G$3)&lt;1,0,IFERROR(LOOKUP(2,1/(Trigo!$E24:INDEX(Trigo!$E24:$Z24,MIN(AO$6-$G$3,22))&lt;&gt;""),Trigo!$E24:INDEX(Trigo!$E24:$Z24,MIN(AO$6-$G$3,22))),0)))))</f>
        <v>0</v>
      </c>
      <c r="AP26" s="27" t="n">
        <f aca="false">IF(COUNT(Trigo!$E24:$Z24)=0,0,MAX(0,IF((AP$6-$E$3)&lt;1,0,IFERROR(LOOKUP(2,1/(Trigo!$E24:INDEX(Trigo!$E24:$Z24,MIN(AP$6-$E$3,22))&lt;&gt;""),Trigo!$E24:INDEX(Trigo!$E24:$Z24,MIN(AP$6-$E$3,22))),0))-IF($G$2,0,IF((AP$6-$G$3)&lt;1,0,IFERROR(LOOKUP(2,1/(Trigo!$E24:INDEX(Trigo!$E24:$Z24,MIN(AP$6-$G$3,22))&lt;&gt;""),Trigo!$E24:INDEX(Trigo!$E24:$Z24,MIN(AP$6-$G$3,22))),0)))))</f>
        <v>0</v>
      </c>
      <c r="AQ26" s="27" t="n">
        <f aca="false">IF(COUNT(Trigo!$E24:$Z24)=0,0,MAX(0,IF((AQ$6-$E$3)&lt;1,0,IFERROR(LOOKUP(2,1/(Trigo!$E24:INDEX(Trigo!$E24:$Z24,MIN(AQ$6-$E$3,22))&lt;&gt;""),Trigo!$E24:INDEX(Trigo!$E24:$Z24,MIN(AQ$6-$E$3,22))),0))-IF($G$2,0,IF((AQ$6-$G$3)&lt;1,0,IFERROR(LOOKUP(2,1/(Trigo!$E24:INDEX(Trigo!$E24:$Z24,MIN(AQ$6-$G$3,22))&lt;&gt;""),Trigo!$E24:INDEX(Trigo!$E24:$Z24,MIN(AQ$6-$G$3,22))),0)))))</f>
        <v>0</v>
      </c>
      <c r="AR26" s="27" t="n">
        <f aca="false">IF(COUNT(Trigo!$E24:$Z24)=0,0,MAX(0,IF((AR$6-$E$3)&lt;1,0,IFERROR(LOOKUP(2,1/(Trigo!$E24:INDEX(Trigo!$E24:$Z24,MIN(AR$6-$E$3,22))&lt;&gt;""),Trigo!$E24:INDEX(Trigo!$E24:$Z24,MIN(AR$6-$E$3,22))),0))-IF($G$2,0,IF((AR$6-$G$3)&lt;1,0,IFERROR(LOOKUP(2,1/(Trigo!$E24:INDEX(Trigo!$E24:$Z24,MIN(AR$6-$G$3,22))&lt;&gt;""),Trigo!$E24:INDEX(Trigo!$E24:$Z24,MIN(AR$6-$G$3,22))),0)))))</f>
        <v>0</v>
      </c>
      <c r="AS26" s="27" t="n">
        <f aca="false">IF(COUNT(Trigo!$E24:$Z24)=0,0,MAX(0,IF((AS$6-$E$3)&lt;1,0,IFERROR(LOOKUP(2,1/(Trigo!$E24:INDEX(Trigo!$E24:$Z24,MIN(AS$6-$E$3,22))&lt;&gt;""),Trigo!$E24:INDEX(Trigo!$E24:$Z24,MIN(AS$6-$E$3,22))),0))-IF($G$2,0,IF((AS$6-$G$3)&lt;1,0,IFERROR(LOOKUP(2,1/(Trigo!$E24:INDEX(Trigo!$E24:$Z24,MIN(AS$6-$G$3,22))&lt;&gt;""),Trigo!$E24:INDEX(Trigo!$E24:$Z24,MIN(AS$6-$G$3,22))),0)))))</f>
        <v>0</v>
      </c>
      <c r="AT26" s="27" t="n">
        <f aca="false">IF(COUNT(Trigo!$E24:$Z24)=0,0,MAX(0,IF((AT$6-$E$3)&lt;1,0,IFERROR(LOOKUP(2,1/(Trigo!$E24:INDEX(Trigo!$E24:$Z24,MIN(AT$6-$E$3,22))&lt;&gt;""),Trigo!$E24:INDEX(Trigo!$E24:$Z24,MIN(AT$6-$E$3,22))),0))-IF($G$2,0,IF((AT$6-$G$3)&lt;1,0,IFERROR(LOOKUP(2,1/(Trigo!$E24:INDEX(Trigo!$E24:$Z24,MIN(AT$6-$G$3,22))&lt;&gt;""),Trigo!$E24:INDEX(Trigo!$E24:$Z24,MIN(AT$6-$G$3,22))),0)))))</f>
        <v>0</v>
      </c>
      <c r="AU26" s="27" t="n">
        <f aca="false">IF(COUNT(Trigo!$E24:$Z24)=0,0,MAX(0,IF((AU$6-$E$3)&lt;1,0,IFERROR(LOOKUP(2,1/(Trigo!$E24:INDEX(Trigo!$E24:$Z24,MIN(AU$6-$E$3,22))&lt;&gt;""),Trigo!$E24:INDEX(Trigo!$E24:$Z24,MIN(AU$6-$E$3,22))),0))-IF($G$2,0,IF((AU$6-$G$3)&lt;1,0,IFERROR(LOOKUP(2,1/(Trigo!$E24:INDEX(Trigo!$E24:$Z24,MIN(AU$6-$G$3,22))&lt;&gt;""),Trigo!$E24:INDEX(Trigo!$E24:$Z24,MIN(AU$6-$G$3,22))),0)))))</f>
        <v>0</v>
      </c>
      <c r="AV26" s="27" t="n">
        <f aca="false">IF(COUNT(Trigo!$E24:$Z24)=0,0,MAX(0,IF((AV$6-$E$3)&lt;1,0,IFERROR(LOOKUP(2,1/(Trigo!$E24:INDEX(Trigo!$E24:$Z24,MIN(AV$6-$E$3,22))&lt;&gt;""),Trigo!$E24:INDEX(Trigo!$E24:$Z24,MIN(AV$6-$E$3,22))),0))-IF($G$2,0,IF((AV$6-$G$3)&lt;1,0,IFERROR(LOOKUP(2,1/(Trigo!$E24:INDEX(Trigo!$E24:$Z24,MIN(AV$6-$G$3,22))&lt;&gt;""),Trigo!$E24:INDEX(Trigo!$E24:$Z24,MIN(AV$6-$G$3,22))),0)))))</f>
        <v>0</v>
      </c>
      <c r="AW26" s="27" t="n">
        <f aca="false">IF(COUNT(Trigo!$E24:$Z24)=0,0,MAX(0,IF((AW$6-$E$3)&lt;1,0,IFERROR(LOOKUP(2,1/(Trigo!$E24:INDEX(Trigo!$E24:$Z24,MIN(AW$6-$E$3,22))&lt;&gt;""),Trigo!$E24:INDEX(Trigo!$E24:$Z24,MIN(AW$6-$E$3,22))),0))-IF($G$2,0,IF((AW$6-$G$3)&lt;1,0,IFERROR(LOOKUP(2,1/(Trigo!$E24:INDEX(Trigo!$E24:$Z24,MIN(AW$6-$G$3,22))&lt;&gt;""),Trigo!$E24:INDEX(Trigo!$E24:$Z24,MIN(AW$6-$G$3,22))),0)))))</f>
        <v>0</v>
      </c>
      <c r="AX26" s="27" t="n">
        <f aca="false">IF(COUNT(Trigo!$E24:$Z24)=0,0,MAX(0,IF((AX$6-$E$3)&lt;1,0,IFERROR(LOOKUP(2,1/(Trigo!$E24:INDEX(Trigo!$E24:$Z24,MIN(AX$6-$E$3,22))&lt;&gt;""),Trigo!$E24:INDEX(Trigo!$E24:$Z24,MIN(AX$6-$E$3,22))),0))-IF($G$2,0,IF((AX$6-$G$3)&lt;1,0,IFERROR(LOOKUP(2,1/(Trigo!$E24:INDEX(Trigo!$E24:$Z24,MIN(AX$6-$G$3,22))&lt;&gt;""),Trigo!$E24:INDEX(Trigo!$E24:$Z24,MIN(AX$6-$G$3,22))),0)))))</f>
        <v>0</v>
      </c>
      <c r="AY26" s="27" t="n">
        <f aca="false">IF(COUNT(Trigo!$E24:$Z24)=0,0,MAX(0,IF((AY$6-$E$3)&lt;1,0,IFERROR(LOOKUP(2,1/(Trigo!$E24:INDEX(Trigo!$E24:$Z24,MIN(AY$6-$E$3,22))&lt;&gt;""),Trigo!$E24:INDEX(Trigo!$E24:$Z24,MIN(AY$6-$E$3,22))),0))-IF($G$2,0,IF((AY$6-$G$3)&lt;1,0,IFERROR(LOOKUP(2,1/(Trigo!$E24:INDEX(Trigo!$E24:$Z24,MIN(AY$6-$G$3,22))&lt;&gt;""),Trigo!$E24:INDEX(Trigo!$E24:$Z24,MIN(AY$6-$G$3,22))),0)))))</f>
        <v>0</v>
      </c>
      <c r="AZ26" s="27" t="n">
        <f aca="false">IF(COUNT(Trigo!$E24:$Z24)=0,0,MAX(0,IF((AZ$6-$E$3)&lt;1,0,IFERROR(LOOKUP(2,1/(Trigo!$E24:INDEX(Trigo!$E24:$Z24,MIN(AZ$6-$E$3,22))&lt;&gt;""),Trigo!$E24:INDEX(Trigo!$E24:$Z24,MIN(AZ$6-$E$3,22))),0))-IF($G$2,0,IF((AZ$6-$G$3)&lt;1,0,IFERROR(LOOKUP(2,1/(Trigo!$E24:INDEX(Trigo!$E24:$Z24,MIN(AZ$6-$G$3,22))&lt;&gt;""),Trigo!$E24:INDEX(Trigo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IF(COUNT(Trigo!$E25:$Z25)&gt;0,N(Trigo!$D25),0)</f>
        <v>0</v>
      </c>
      <c r="E27" s="27" t="n">
        <f aca="false">IF(COUNT(Trigo!$E25:$Z25)=0,0,MAX(0,IF((E$6-$E$3)&lt;1,0,IFERROR(LOOKUP(2,1/(Trigo!$E25:INDEX(Trigo!$E25:$Z25,MIN(E$6-$E$3,22))&lt;&gt;""),Trigo!$E25:INDEX(Trigo!$E25:$Z25,MIN(E$6-$E$3,22))),0))-IF($G$2,0,IF((E$6-$G$3)&lt;1,0,IFERROR(LOOKUP(2,1/(Trigo!$E25:INDEX(Trigo!$E25:$Z25,MIN(E$6-$G$3,22))&lt;&gt;""),Trigo!$E25:INDEX(Trigo!$E25:$Z25,MIN(E$6-$G$3,22))),0)))))</f>
        <v>0</v>
      </c>
      <c r="F27" s="27" t="n">
        <f aca="false">IF(COUNT(Trigo!$E25:$Z25)=0,0,MAX(0,IF((F$6-$E$3)&lt;1,0,IFERROR(LOOKUP(2,1/(Trigo!$E25:INDEX(Trigo!$E25:$Z25,MIN(F$6-$E$3,22))&lt;&gt;""),Trigo!$E25:INDEX(Trigo!$E25:$Z25,MIN(F$6-$E$3,22))),0))-IF($G$2,0,IF((F$6-$G$3)&lt;1,0,IFERROR(LOOKUP(2,1/(Trigo!$E25:INDEX(Trigo!$E25:$Z25,MIN(F$6-$G$3,22))&lt;&gt;""),Trigo!$E25:INDEX(Trigo!$E25:$Z25,MIN(F$6-$G$3,22))),0)))))</f>
        <v>0</v>
      </c>
      <c r="G27" s="27" t="n">
        <f aca="false">IF(COUNT(Trigo!$E25:$Z25)=0,0,MAX(0,IF((G$6-$E$3)&lt;1,0,IFERROR(LOOKUP(2,1/(Trigo!$E25:INDEX(Trigo!$E25:$Z25,MIN(G$6-$E$3,22))&lt;&gt;""),Trigo!$E25:INDEX(Trigo!$E25:$Z25,MIN(G$6-$E$3,22))),0))-IF($G$2,0,IF((G$6-$G$3)&lt;1,0,IFERROR(LOOKUP(2,1/(Trigo!$E25:INDEX(Trigo!$E25:$Z25,MIN(G$6-$G$3,22))&lt;&gt;""),Trigo!$E25:INDEX(Trigo!$E25:$Z25,MIN(G$6-$G$3,22))),0)))))</f>
        <v>0</v>
      </c>
      <c r="H27" s="27" t="n">
        <f aca="false">IF(COUNT(Trigo!$E25:$Z25)=0,0,MAX(0,IF((H$6-$E$3)&lt;1,0,IFERROR(LOOKUP(2,1/(Trigo!$E25:INDEX(Trigo!$E25:$Z25,MIN(H$6-$E$3,22))&lt;&gt;""),Trigo!$E25:INDEX(Trigo!$E25:$Z25,MIN(H$6-$E$3,22))),0))-IF($G$2,0,IF((H$6-$G$3)&lt;1,0,IFERROR(LOOKUP(2,1/(Trigo!$E25:INDEX(Trigo!$E25:$Z25,MIN(H$6-$G$3,22))&lt;&gt;""),Trigo!$E25:INDEX(Trigo!$E25:$Z25,MIN(H$6-$G$3,22))),0)))))</f>
        <v>0</v>
      </c>
      <c r="I27" s="27" t="n">
        <f aca="false">IF(COUNT(Trigo!$E25:$Z25)=0,0,MAX(0,IF((I$6-$E$3)&lt;1,0,IFERROR(LOOKUP(2,1/(Trigo!$E25:INDEX(Trigo!$E25:$Z25,MIN(I$6-$E$3,22))&lt;&gt;""),Trigo!$E25:INDEX(Trigo!$E25:$Z25,MIN(I$6-$E$3,22))),0))-IF($G$2,0,IF((I$6-$G$3)&lt;1,0,IFERROR(LOOKUP(2,1/(Trigo!$E25:INDEX(Trigo!$E25:$Z25,MIN(I$6-$G$3,22))&lt;&gt;""),Trigo!$E25:INDEX(Trigo!$E25:$Z25,MIN(I$6-$G$3,22))),0)))))</f>
        <v>0</v>
      </c>
      <c r="J27" s="27" t="n">
        <f aca="false">IF(COUNT(Trigo!$E25:$Z25)=0,0,MAX(0,IF((J$6-$E$3)&lt;1,0,IFERROR(LOOKUP(2,1/(Trigo!$E25:INDEX(Trigo!$E25:$Z25,MIN(J$6-$E$3,22))&lt;&gt;""),Trigo!$E25:INDEX(Trigo!$E25:$Z25,MIN(J$6-$E$3,22))),0))-IF($G$2,0,IF((J$6-$G$3)&lt;1,0,IFERROR(LOOKUP(2,1/(Trigo!$E25:INDEX(Trigo!$E25:$Z25,MIN(J$6-$G$3,22))&lt;&gt;""),Trigo!$E25:INDEX(Trigo!$E25:$Z25,MIN(J$6-$G$3,22))),0)))))</f>
        <v>0</v>
      </c>
      <c r="K27" s="27" t="n">
        <f aca="false">IF(COUNT(Trigo!$E25:$Z25)=0,0,MAX(0,IF((K$6-$E$3)&lt;1,0,IFERROR(LOOKUP(2,1/(Trigo!$E25:INDEX(Trigo!$E25:$Z25,MIN(K$6-$E$3,22))&lt;&gt;""),Trigo!$E25:INDEX(Trigo!$E25:$Z25,MIN(K$6-$E$3,22))),0))-IF($G$2,0,IF((K$6-$G$3)&lt;1,0,IFERROR(LOOKUP(2,1/(Trigo!$E25:INDEX(Trigo!$E25:$Z25,MIN(K$6-$G$3,22))&lt;&gt;""),Trigo!$E25:INDEX(Trigo!$E25:$Z25,MIN(K$6-$G$3,22))),0)))))</f>
        <v>0</v>
      </c>
      <c r="L27" s="27" t="n">
        <f aca="false">IF(COUNT(Trigo!$E25:$Z25)=0,0,MAX(0,IF((L$6-$E$3)&lt;1,0,IFERROR(LOOKUP(2,1/(Trigo!$E25:INDEX(Trigo!$E25:$Z25,MIN(L$6-$E$3,22))&lt;&gt;""),Trigo!$E25:INDEX(Trigo!$E25:$Z25,MIN(L$6-$E$3,22))),0))-IF($G$2,0,IF((L$6-$G$3)&lt;1,0,IFERROR(LOOKUP(2,1/(Trigo!$E25:INDEX(Trigo!$E25:$Z25,MIN(L$6-$G$3,22))&lt;&gt;""),Trigo!$E25:INDEX(Trigo!$E25:$Z25,MIN(L$6-$G$3,22))),0)))))</f>
        <v>0</v>
      </c>
      <c r="M27" s="27" t="n">
        <f aca="false">IF(COUNT(Trigo!$E25:$Z25)=0,0,MAX(0,IF((M$6-$E$3)&lt;1,0,IFERROR(LOOKUP(2,1/(Trigo!$E25:INDEX(Trigo!$E25:$Z25,MIN(M$6-$E$3,22))&lt;&gt;""),Trigo!$E25:INDEX(Trigo!$E25:$Z25,MIN(M$6-$E$3,22))),0))-IF($G$2,0,IF((M$6-$G$3)&lt;1,0,IFERROR(LOOKUP(2,1/(Trigo!$E25:INDEX(Trigo!$E25:$Z25,MIN(M$6-$G$3,22))&lt;&gt;""),Trigo!$E25:INDEX(Trigo!$E25:$Z25,MIN(M$6-$G$3,22))),0)))))</f>
        <v>0</v>
      </c>
      <c r="N27" s="27" t="n">
        <f aca="false">IF(COUNT(Trigo!$E25:$Z25)=0,0,MAX(0,IF((N$6-$E$3)&lt;1,0,IFERROR(LOOKUP(2,1/(Trigo!$E25:INDEX(Trigo!$E25:$Z25,MIN(N$6-$E$3,22))&lt;&gt;""),Trigo!$E25:INDEX(Trigo!$E25:$Z25,MIN(N$6-$E$3,22))),0))-IF($G$2,0,IF((N$6-$G$3)&lt;1,0,IFERROR(LOOKUP(2,1/(Trigo!$E25:INDEX(Trigo!$E25:$Z25,MIN(N$6-$G$3,22))&lt;&gt;""),Trigo!$E25:INDEX(Trigo!$E25:$Z25,MIN(N$6-$G$3,22))),0)))))</f>
        <v>0</v>
      </c>
      <c r="O27" s="27" t="n">
        <f aca="false">IF(COUNT(Trigo!$E25:$Z25)=0,0,MAX(0,IF((O$6-$E$3)&lt;1,0,IFERROR(LOOKUP(2,1/(Trigo!$E25:INDEX(Trigo!$E25:$Z25,MIN(O$6-$E$3,22))&lt;&gt;""),Trigo!$E25:INDEX(Trigo!$E25:$Z25,MIN(O$6-$E$3,22))),0))-IF($G$2,0,IF((O$6-$G$3)&lt;1,0,IFERROR(LOOKUP(2,1/(Trigo!$E25:INDEX(Trigo!$E25:$Z25,MIN(O$6-$G$3,22))&lt;&gt;""),Trigo!$E25:INDEX(Trigo!$E25:$Z25,MIN(O$6-$G$3,22))),0)))))</f>
        <v>0</v>
      </c>
      <c r="P27" s="27" t="n">
        <f aca="false">IF(COUNT(Trigo!$E25:$Z25)=0,0,MAX(0,IF((P$6-$E$3)&lt;1,0,IFERROR(LOOKUP(2,1/(Trigo!$E25:INDEX(Trigo!$E25:$Z25,MIN(P$6-$E$3,22))&lt;&gt;""),Trigo!$E25:INDEX(Trigo!$E25:$Z25,MIN(P$6-$E$3,22))),0))-IF($G$2,0,IF((P$6-$G$3)&lt;1,0,IFERROR(LOOKUP(2,1/(Trigo!$E25:INDEX(Trigo!$E25:$Z25,MIN(P$6-$G$3,22))&lt;&gt;""),Trigo!$E25:INDEX(Trigo!$E25:$Z25,MIN(P$6-$G$3,22))),0)))))</f>
        <v>0</v>
      </c>
      <c r="Q27" s="27" t="n">
        <f aca="false">IF(COUNT(Trigo!$E25:$Z25)=0,0,MAX(0,IF((Q$6-$E$3)&lt;1,0,IFERROR(LOOKUP(2,1/(Trigo!$E25:INDEX(Trigo!$E25:$Z25,MIN(Q$6-$E$3,22))&lt;&gt;""),Trigo!$E25:INDEX(Trigo!$E25:$Z25,MIN(Q$6-$E$3,22))),0))-IF($G$2,0,IF((Q$6-$G$3)&lt;1,0,IFERROR(LOOKUP(2,1/(Trigo!$E25:INDEX(Trigo!$E25:$Z25,MIN(Q$6-$G$3,22))&lt;&gt;""),Trigo!$E25:INDEX(Trigo!$E25:$Z25,MIN(Q$6-$G$3,22))),0)))))</f>
        <v>0</v>
      </c>
      <c r="R27" s="27" t="n">
        <f aca="false">IF(COUNT(Trigo!$E25:$Z25)=0,0,MAX(0,IF((R$6-$E$3)&lt;1,0,IFERROR(LOOKUP(2,1/(Trigo!$E25:INDEX(Trigo!$E25:$Z25,MIN(R$6-$E$3,22))&lt;&gt;""),Trigo!$E25:INDEX(Trigo!$E25:$Z25,MIN(R$6-$E$3,22))),0))-IF($G$2,0,IF((R$6-$G$3)&lt;1,0,IFERROR(LOOKUP(2,1/(Trigo!$E25:INDEX(Trigo!$E25:$Z25,MIN(R$6-$G$3,22))&lt;&gt;""),Trigo!$E25:INDEX(Trigo!$E25:$Z25,MIN(R$6-$G$3,22))),0)))))</f>
        <v>0</v>
      </c>
      <c r="S27" s="27" t="n">
        <f aca="false">IF(COUNT(Trigo!$E25:$Z25)=0,0,MAX(0,IF((S$6-$E$3)&lt;1,0,IFERROR(LOOKUP(2,1/(Trigo!$E25:INDEX(Trigo!$E25:$Z25,MIN(S$6-$E$3,22))&lt;&gt;""),Trigo!$E25:INDEX(Trigo!$E25:$Z25,MIN(S$6-$E$3,22))),0))-IF($G$2,0,IF((S$6-$G$3)&lt;1,0,IFERROR(LOOKUP(2,1/(Trigo!$E25:INDEX(Trigo!$E25:$Z25,MIN(S$6-$G$3,22))&lt;&gt;""),Trigo!$E25:INDEX(Trigo!$E25:$Z25,MIN(S$6-$G$3,22))),0)))))</f>
        <v>0</v>
      </c>
      <c r="T27" s="27" t="n">
        <f aca="false">IF(COUNT(Trigo!$E25:$Z25)=0,0,MAX(0,IF((T$6-$E$3)&lt;1,0,IFERROR(LOOKUP(2,1/(Trigo!$E25:INDEX(Trigo!$E25:$Z25,MIN(T$6-$E$3,22))&lt;&gt;""),Trigo!$E25:INDEX(Trigo!$E25:$Z25,MIN(T$6-$E$3,22))),0))-IF($G$2,0,IF((T$6-$G$3)&lt;1,0,IFERROR(LOOKUP(2,1/(Trigo!$E25:INDEX(Trigo!$E25:$Z25,MIN(T$6-$G$3,22))&lt;&gt;""),Trigo!$E25:INDEX(Trigo!$E25:$Z25,MIN(T$6-$G$3,22))),0)))))</f>
        <v>0</v>
      </c>
      <c r="U27" s="27" t="n">
        <f aca="false">IF(COUNT(Trigo!$E25:$Z25)=0,0,MAX(0,IF((U$6-$E$3)&lt;1,0,IFERROR(LOOKUP(2,1/(Trigo!$E25:INDEX(Trigo!$E25:$Z25,MIN(U$6-$E$3,22))&lt;&gt;""),Trigo!$E25:INDEX(Trigo!$E25:$Z25,MIN(U$6-$E$3,22))),0))-IF($G$2,0,IF((U$6-$G$3)&lt;1,0,IFERROR(LOOKUP(2,1/(Trigo!$E25:INDEX(Trigo!$E25:$Z25,MIN(U$6-$G$3,22))&lt;&gt;""),Trigo!$E25:INDEX(Trigo!$E25:$Z25,MIN(U$6-$G$3,22))),0)))))</f>
        <v>0</v>
      </c>
      <c r="V27" s="27" t="n">
        <f aca="false">IF(COUNT(Trigo!$E25:$Z25)=0,0,MAX(0,IF((V$6-$E$3)&lt;1,0,IFERROR(LOOKUP(2,1/(Trigo!$E25:INDEX(Trigo!$E25:$Z25,MIN(V$6-$E$3,22))&lt;&gt;""),Trigo!$E25:INDEX(Trigo!$E25:$Z25,MIN(V$6-$E$3,22))),0))-IF($G$2,0,IF((V$6-$G$3)&lt;1,0,IFERROR(LOOKUP(2,1/(Trigo!$E25:INDEX(Trigo!$E25:$Z25,MIN(V$6-$G$3,22))&lt;&gt;""),Trigo!$E25:INDEX(Trigo!$E25:$Z25,MIN(V$6-$G$3,22))),0)))))</f>
        <v>0</v>
      </c>
      <c r="W27" s="27" t="n">
        <f aca="false">IF(COUNT(Trigo!$E25:$Z25)=0,0,MAX(0,IF((W$6-$E$3)&lt;1,0,IFERROR(LOOKUP(2,1/(Trigo!$E25:INDEX(Trigo!$E25:$Z25,MIN(W$6-$E$3,22))&lt;&gt;""),Trigo!$E25:INDEX(Trigo!$E25:$Z25,MIN(W$6-$E$3,22))),0))-IF($G$2,0,IF((W$6-$G$3)&lt;1,0,IFERROR(LOOKUP(2,1/(Trigo!$E25:INDEX(Trigo!$E25:$Z25,MIN(W$6-$G$3,22))&lt;&gt;""),Trigo!$E25:INDEX(Trigo!$E25:$Z25,MIN(W$6-$G$3,22))),0)))))</f>
        <v>0</v>
      </c>
      <c r="X27" s="27" t="n">
        <f aca="false">IF(COUNT(Trigo!$E25:$Z25)=0,0,MAX(0,IF((X$6-$E$3)&lt;1,0,IFERROR(LOOKUP(2,1/(Trigo!$E25:INDEX(Trigo!$E25:$Z25,MIN(X$6-$E$3,22))&lt;&gt;""),Trigo!$E25:INDEX(Trigo!$E25:$Z25,MIN(X$6-$E$3,22))),0))-IF($G$2,0,IF((X$6-$G$3)&lt;1,0,IFERROR(LOOKUP(2,1/(Trigo!$E25:INDEX(Trigo!$E25:$Z25,MIN(X$6-$G$3,22))&lt;&gt;""),Trigo!$E25:INDEX(Trigo!$E25:$Z25,MIN(X$6-$G$3,22))),0)))))</f>
        <v>0</v>
      </c>
      <c r="Y27" s="27" t="n">
        <f aca="false">IF(COUNT(Trigo!$E25:$Z25)=0,0,MAX(0,IF((Y$6-$E$3)&lt;1,0,IFERROR(LOOKUP(2,1/(Trigo!$E25:INDEX(Trigo!$E25:$Z25,MIN(Y$6-$E$3,22))&lt;&gt;""),Trigo!$E25:INDEX(Trigo!$E25:$Z25,MIN(Y$6-$E$3,22))),0))-IF($G$2,0,IF((Y$6-$G$3)&lt;1,0,IFERROR(LOOKUP(2,1/(Trigo!$E25:INDEX(Trigo!$E25:$Z25,MIN(Y$6-$G$3,22))&lt;&gt;""),Trigo!$E25:INDEX(Trigo!$E25:$Z25,MIN(Y$6-$G$3,22))),0)))))</f>
        <v>0</v>
      </c>
      <c r="Z27" s="27" t="n">
        <f aca="false">IF(COUNT(Trigo!$E25:$Z25)=0,0,MAX(0,IF((Z$6-$E$3)&lt;1,0,IFERROR(LOOKUP(2,1/(Trigo!$E25:INDEX(Trigo!$E25:$Z25,MIN(Z$6-$E$3,22))&lt;&gt;""),Trigo!$E25:INDEX(Trigo!$E25:$Z25,MIN(Z$6-$E$3,22))),0))-IF($G$2,0,IF((Z$6-$G$3)&lt;1,0,IFERROR(LOOKUP(2,1/(Trigo!$E25:INDEX(Trigo!$E25:$Z25,MIN(Z$6-$G$3,22))&lt;&gt;""),Trigo!$E25:INDEX(Trigo!$E25:$Z25,MIN(Z$6-$G$3,22))),0)))))</f>
        <v>0</v>
      </c>
      <c r="AA27" s="27" t="n">
        <f aca="false">IF(COUNT(Trigo!$E25:$Z25)=0,0,MAX(0,IF((AA$6-$E$3)&lt;1,0,IFERROR(LOOKUP(2,1/(Trigo!$E25:INDEX(Trigo!$E25:$Z25,MIN(AA$6-$E$3,22))&lt;&gt;""),Trigo!$E25:INDEX(Trigo!$E25:$Z25,MIN(AA$6-$E$3,22))),0))-IF($G$2,0,IF((AA$6-$G$3)&lt;1,0,IFERROR(LOOKUP(2,1/(Trigo!$E25:INDEX(Trigo!$E25:$Z25,MIN(AA$6-$G$3,22))&lt;&gt;""),Trigo!$E25:INDEX(Trigo!$E25:$Z25,MIN(AA$6-$G$3,22))),0)))))</f>
        <v>0</v>
      </c>
      <c r="AB27" s="27" t="n">
        <f aca="false">IF(COUNT(Trigo!$E25:$Z25)=0,0,MAX(0,IF((AB$6-$E$3)&lt;1,0,IFERROR(LOOKUP(2,1/(Trigo!$E25:INDEX(Trigo!$E25:$Z25,MIN(AB$6-$E$3,22))&lt;&gt;""),Trigo!$E25:INDEX(Trigo!$E25:$Z25,MIN(AB$6-$E$3,22))),0))-IF($G$2,0,IF((AB$6-$G$3)&lt;1,0,IFERROR(LOOKUP(2,1/(Trigo!$E25:INDEX(Trigo!$E25:$Z25,MIN(AB$6-$G$3,22))&lt;&gt;""),Trigo!$E25:INDEX(Trigo!$E25:$Z25,MIN(AB$6-$G$3,22))),0)))))</f>
        <v>0</v>
      </c>
      <c r="AC27" s="27" t="n">
        <f aca="false">IF(COUNT(Trigo!$E25:$Z25)=0,0,MAX(0,IF((AC$6-$E$3)&lt;1,0,IFERROR(LOOKUP(2,1/(Trigo!$E25:INDEX(Trigo!$E25:$Z25,MIN(AC$6-$E$3,22))&lt;&gt;""),Trigo!$E25:INDEX(Trigo!$E25:$Z25,MIN(AC$6-$E$3,22))),0))-IF($G$2,0,IF((AC$6-$G$3)&lt;1,0,IFERROR(LOOKUP(2,1/(Trigo!$E25:INDEX(Trigo!$E25:$Z25,MIN(AC$6-$G$3,22))&lt;&gt;""),Trigo!$E25:INDEX(Trigo!$E25:$Z25,MIN(AC$6-$G$3,22))),0)))))</f>
        <v>0</v>
      </c>
      <c r="AD27" s="27" t="n">
        <f aca="false">IF(COUNT(Trigo!$E25:$Z25)=0,0,MAX(0,IF((AD$6-$E$3)&lt;1,0,IFERROR(LOOKUP(2,1/(Trigo!$E25:INDEX(Trigo!$E25:$Z25,MIN(AD$6-$E$3,22))&lt;&gt;""),Trigo!$E25:INDEX(Trigo!$E25:$Z25,MIN(AD$6-$E$3,22))),0))-IF($G$2,0,IF((AD$6-$G$3)&lt;1,0,IFERROR(LOOKUP(2,1/(Trigo!$E25:INDEX(Trigo!$E25:$Z25,MIN(AD$6-$G$3,22))&lt;&gt;""),Trigo!$E25:INDEX(Trigo!$E25:$Z25,MIN(AD$6-$G$3,22))),0)))))</f>
        <v>0</v>
      </c>
      <c r="AE27" s="27" t="n">
        <f aca="false">IF(COUNT(Trigo!$E25:$Z25)=0,0,MAX(0,IF((AE$6-$E$3)&lt;1,0,IFERROR(LOOKUP(2,1/(Trigo!$E25:INDEX(Trigo!$E25:$Z25,MIN(AE$6-$E$3,22))&lt;&gt;""),Trigo!$E25:INDEX(Trigo!$E25:$Z25,MIN(AE$6-$E$3,22))),0))-IF($G$2,0,IF((AE$6-$G$3)&lt;1,0,IFERROR(LOOKUP(2,1/(Trigo!$E25:INDEX(Trigo!$E25:$Z25,MIN(AE$6-$G$3,22))&lt;&gt;""),Trigo!$E25:INDEX(Trigo!$E25:$Z25,MIN(AE$6-$G$3,22))),0)))))</f>
        <v>0</v>
      </c>
      <c r="AF27" s="27" t="n">
        <f aca="false">IF(COUNT(Trigo!$E25:$Z25)=0,0,MAX(0,IF((AF$6-$E$3)&lt;1,0,IFERROR(LOOKUP(2,1/(Trigo!$E25:INDEX(Trigo!$E25:$Z25,MIN(AF$6-$E$3,22))&lt;&gt;""),Trigo!$E25:INDEX(Trigo!$E25:$Z25,MIN(AF$6-$E$3,22))),0))-IF($G$2,0,IF((AF$6-$G$3)&lt;1,0,IFERROR(LOOKUP(2,1/(Trigo!$E25:INDEX(Trigo!$E25:$Z25,MIN(AF$6-$G$3,22))&lt;&gt;""),Trigo!$E25:INDEX(Trigo!$E25:$Z25,MIN(AF$6-$G$3,22))),0)))))</f>
        <v>0</v>
      </c>
      <c r="AG27" s="27" t="n">
        <f aca="false">IF(COUNT(Trigo!$E25:$Z25)=0,0,MAX(0,IF((AG$6-$E$3)&lt;1,0,IFERROR(LOOKUP(2,1/(Trigo!$E25:INDEX(Trigo!$E25:$Z25,MIN(AG$6-$E$3,22))&lt;&gt;""),Trigo!$E25:INDEX(Trigo!$E25:$Z25,MIN(AG$6-$E$3,22))),0))-IF($G$2,0,IF((AG$6-$G$3)&lt;1,0,IFERROR(LOOKUP(2,1/(Trigo!$E25:INDEX(Trigo!$E25:$Z25,MIN(AG$6-$G$3,22))&lt;&gt;""),Trigo!$E25:INDEX(Trigo!$E25:$Z25,MIN(AG$6-$G$3,22))),0)))))</f>
        <v>0</v>
      </c>
      <c r="AH27" s="27" t="n">
        <f aca="false">IF(COUNT(Trigo!$E25:$Z25)=0,0,MAX(0,IF((AH$6-$E$3)&lt;1,0,IFERROR(LOOKUP(2,1/(Trigo!$E25:INDEX(Trigo!$E25:$Z25,MIN(AH$6-$E$3,22))&lt;&gt;""),Trigo!$E25:INDEX(Trigo!$E25:$Z25,MIN(AH$6-$E$3,22))),0))-IF($G$2,0,IF((AH$6-$G$3)&lt;1,0,IFERROR(LOOKUP(2,1/(Trigo!$E25:INDEX(Trigo!$E25:$Z25,MIN(AH$6-$G$3,22))&lt;&gt;""),Trigo!$E25:INDEX(Trigo!$E25:$Z25,MIN(AH$6-$G$3,22))),0)))))</f>
        <v>0</v>
      </c>
      <c r="AI27" s="27" t="n">
        <f aca="false">IF(COUNT(Trigo!$E25:$Z25)=0,0,MAX(0,IF((AI$6-$E$3)&lt;1,0,IFERROR(LOOKUP(2,1/(Trigo!$E25:INDEX(Trigo!$E25:$Z25,MIN(AI$6-$E$3,22))&lt;&gt;""),Trigo!$E25:INDEX(Trigo!$E25:$Z25,MIN(AI$6-$E$3,22))),0))-IF($G$2,0,IF((AI$6-$G$3)&lt;1,0,IFERROR(LOOKUP(2,1/(Trigo!$E25:INDEX(Trigo!$E25:$Z25,MIN(AI$6-$G$3,22))&lt;&gt;""),Trigo!$E25:INDEX(Trigo!$E25:$Z25,MIN(AI$6-$G$3,22))),0)))))</f>
        <v>0</v>
      </c>
      <c r="AJ27" s="27" t="n">
        <f aca="false">IF(COUNT(Trigo!$E25:$Z25)=0,0,MAX(0,IF((AJ$6-$E$3)&lt;1,0,IFERROR(LOOKUP(2,1/(Trigo!$E25:INDEX(Trigo!$E25:$Z25,MIN(AJ$6-$E$3,22))&lt;&gt;""),Trigo!$E25:INDEX(Trigo!$E25:$Z25,MIN(AJ$6-$E$3,22))),0))-IF($G$2,0,IF((AJ$6-$G$3)&lt;1,0,IFERROR(LOOKUP(2,1/(Trigo!$E25:INDEX(Trigo!$E25:$Z25,MIN(AJ$6-$G$3,22))&lt;&gt;""),Trigo!$E25:INDEX(Trigo!$E25:$Z25,MIN(AJ$6-$G$3,22))),0)))))</f>
        <v>0</v>
      </c>
      <c r="AK27" s="27" t="n">
        <f aca="false">IF(COUNT(Trigo!$E25:$Z25)=0,0,MAX(0,IF((AK$6-$E$3)&lt;1,0,IFERROR(LOOKUP(2,1/(Trigo!$E25:INDEX(Trigo!$E25:$Z25,MIN(AK$6-$E$3,22))&lt;&gt;""),Trigo!$E25:INDEX(Trigo!$E25:$Z25,MIN(AK$6-$E$3,22))),0))-IF($G$2,0,IF((AK$6-$G$3)&lt;1,0,IFERROR(LOOKUP(2,1/(Trigo!$E25:INDEX(Trigo!$E25:$Z25,MIN(AK$6-$G$3,22))&lt;&gt;""),Trigo!$E25:INDEX(Trigo!$E25:$Z25,MIN(AK$6-$G$3,22))),0)))))</f>
        <v>0</v>
      </c>
      <c r="AL27" s="27" t="n">
        <f aca="false">IF(COUNT(Trigo!$E25:$Z25)=0,0,MAX(0,IF((AL$6-$E$3)&lt;1,0,IFERROR(LOOKUP(2,1/(Trigo!$E25:INDEX(Trigo!$E25:$Z25,MIN(AL$6-$E$3,22))&lt;&gt;""),Trigo!$E25:INDEX(Trigo!$E25:$Z25,MIN(AL$6-$E$3,22))),0))-IF($G$2,0,IF((AL$6-$G$3)&lt;1,0,IFERROR(LOOKUP(2,1/(Trigo!$E25:INDEX(Trigo!$E25:$Z25,MIN(AL$6-$G$3,22))&lt;&gt;""),Trigo!$E25:INDEX(Trigo!$E25:$Z25,MIN(AL$6-$G$3,22))),0)))))</f>
        <v>0</v>
      </c>
      <c r="AM27" s="27" t="n">
        <f aca="false">IF(COUNT(Trigo!$E25:$Z25)=0,0,MAX(0,IF((AM$6-$E$3)&lt;1,0,IFERROR(LOOKUP(2,1/(Trigo!$E25:INDEX(Trigo!$E25:$Z25,MIN(AM$6-$E$3,22))&lt;&gt;""),Trigo!$E25:INDEX(Trigo!$E25:$Z25,MIN(AM$6-$E$3,22))),0))-IF($G$2,0,IF((AM$6-$G$3)&lt;1,0,IFERROR(LOOKUP(2,1/(Trigo!$E25:INDEX(Trigo!$E25:$Z25,MIN(AM$6-$G$3,22))&lt;&gt;""),Trigo!$E25:INDEX(Trigo!$E25:$Z25,MIN(AM$6-$G$3,22))),0)))))</f>
        <v>0</v>
      </c>
      <c r="AN27" s="27" t="n">
        <f aca="false">IF(COUNT(Trigo!$E25:$Z25)=0,0,MAX(0,IF((AN$6-$E$3)&lt;1,0,IFERROR(LOOKUP(2,1/(Trigo!$E25:INDEX(Trigo!$E25:$Z25,MIN(AN$6-$E$3,22))&lt;&gt;""),Trigo!$E25:INDEX(Trigo!$E25:$Z25,MIN(AN$6-$E$3,22))),0))-IF($G$2,0,IF((AN$6-$G$3)&lt;1,0,IFERROR(LOOKUP(2,1/(Trigo!$E25:INDEX(Trigo!$E25:$Z25,MIN(AN$6-$G$3,22))&lt;&gt;""),Trigo!$E25:INDEX(Trigo!$E25:$Z25,MIN(AN$6-$G$3,22))),0)))))</f>
        <v>0</v>
      </c>
      <c r="AO27" s="27" t="n">
        <f aca="false">IF(COUNT(Trigo!$E25:$Z25)=0,0,MAX(0,IF((AO$6-$E$3)&lt;1,0,IFERROR(LOOKUP(2,1/(Trigo!$E25:INDEX(Trigo!$E25:$Z25,MIN(AO$6-$E$3,22))&lt;&gt;""),Trigo!$E25:INDEX(Trigo!$E25:$Z25,MIN(AO$6-$E$3,22))),0))-IF($G$2,0,IF((AO$6-$G$3)&lt;1,0,IFERROR(LOOKUP(2,1/(Trigo!$E25:INDEX(Trigo!$E25:$Z25,MIN(AO$6-$G$3,22))&lt;&gt;""),Trigo!$E25:INDEX(Trigo!$E25:$Z25,MIN(AO$6-$G$3,22))),0)))))</f>
        <v>0</v>
      </c>
      <c r="AP27" s="27" t="n">
        <f aca="false">IF(COUNT(Trigo!$E25:$Z25)=0,0,MAX(0,IF((AP$6-$E$3)&lt;1,0,IFERROR(LOOKUP(2,1/(Trigo!$E25:INDEX(Trigo!$E25:$Z25,MIN(AP$6-$E$3,22))&lt;&gt;""),Trigo!$E25:INDEX(Trigo!$E25:$Z25,MIN(AP$6-$E$3,22))),0))-IF($G$2,0,IF((AP$6-$G$3)&lt;1,0,IFERROR(LOOKUP(2,1/(Trigo!$E25:INDEX(Trigo!$E25:$Z25,MIN(AP$6-$G$3,22))&lt;&gt;""),Trigo!$E25:INDEX(Trigo!$E25:$Z25,MIN(AP$6-$G$3,22))),0)))))</f>
        <v>0</v>
      </c>
      <c r="AQ27" s="27" t="n">
        <f aca="false">IF(COUNT(Trigo!$E25:$Z25)=0,0,MAX(0,IF((AQ$6-$E$3)&lt;1,0,IFERROR(LOOKUP(2,1/(Trigo!$E25:INDEX(Trigo!$E25:$Z25,MIN(AQ$6-$E$3,22))&lt;&gt;""),Trigo!$E25:INDEX(Trigo!$E25:$Z25,MIN(AQ$6-$E$3,22))),0))-IF($G$2,0,IF((AQ$6-$G$3)&lt;1,0,IFERROR(LOOKUP(2,1/(Trigo!$E25:INDEX(Trigo!$E25:$Z25,MIN(AQ$6-$G$3,22))&lt;&gt;""),Trigo!$E25:INDEX(Trigo!$E25:$Z25,MIN(AQ$6-$G$3,22))),0)))))</f>
        <v>0</v>
      </c>
      <c r="AR27" s="27" t="n">
        <f aca="false">IF(COUNT(Trigo!$E25:$Z25)=0,0,MAX(0,IF((AR$6-$E$3)&lt;1,0,IFERROR(LOOKUP(2,1/(Trigo!$E25:INDEX(Trigo!$E25:$Z25,MIN(AR$6-$E$3,22))&lt;&gt;""),Trigo!$E25:INDEX(Trigo!$E25:$Z25,MIN(AR$6-$E$3,22))),0))-IF($G$2,0,IF((AR$6-$G$3)&lt;1,0,IFERROR(LOOKUP(2,1/(Trigo!$E25:INDEX(Trigo!$E25:$Z25,MIN(AR$6-$G$3,22))&lt;&gt;""),Trigo!$E25:INDEX(Trigo!$E25:$Z25,MIN(AR$6-$G$3,22))),0)))))</f>
        <v>0</v>
      </c>
      <c r="AS27" s="27" t="n">
        <f aca="false">IF(COUNT(Trigo!$E25:$Z25)=0,0,MAX(0,IF((AS$6-$E$3)&lt;1,0,IFERROR(LOOKUP(2,1/(Trigo!$E25:INDEX(Trigo!$E25:$Z25,MIN(AS$6-$E$3,22))&lt;&gt;""),Trigo!$E25:INDEX(Trigo!$E25:$Z25,MIN(AS$6-$E$3,22))),0))-IF($G$2,0,IF((AS$6-$G$3)&lt;1,0,IFERROR(LOOKUP(2,1/(Trigo!$E25:INDEX(Trigo!$E25:$Z25,MIN(AS$6-$G$3,22))&lt;&gt;""),Trigo!$E25:INDEX(Trigo!$E25:$Z25,MIN(AS$6-$G$3,22))),0)))))</f>
        <v>0</v>
      </c>
      <c r="AT27" s="27" t="n">
        <f aca="false">IF(COUNT(Trigo!$E25:$Z25)=0,0,MAX(0,IF((AT$6-$E$3)&lt;1,0,IFERROR(LOOKUP(2,1/(Trigo!$E25:INDEX(Trigo!$E25:$Z25,MIN(AT$6-$E$3,22))&lt;&gt;""),Trigo!$E25:INDEX(Trigo!$E25:$Z25,MIN(AT$6-$E$3,22))),0))-IF($G$2,0,IF((AT$6-$G$3)&lt;1,0,IFERROR(LOOKUP(2,1/(Trigo!$E25:INDEX(Trigo!$E25:$Z25,MIN(AT$6-$G$3,22))&lt;&gt;""),Trigo!$E25:INDEX(Trigo!$E25:$Z25,MIN(AT$6-$G$3,22))),0)))))</f>
        <v>0</v>
      </c>
      <c r="AU27" s="27" t="n">
        <f aca="false">IF(COUNT(Trigo!$E25:$Z25)=0,0,MAX(0,IF((AU$6-$E$3)&lt;1,0,IFERROR(LOOKUP(2,1/(Trigo!$E25:INDEX(Trigo!$E25:$Z25,MIN(AU$6-$E$3,22))&lt;&gt;""),Trigo!$E25:INDEX(Trigo!$E25:$Z25,MIN(AU$6-$E$3,22))),0))-IF($G$2,0,IF((AU$6-$G$3)&lt;1,0,IFERROR(LOOKUP(2,1/(Trigo!$E25:INDEX(Trigo!$E25:$Z25,MIN(AU$6-$G$3,22))&lt;&gt;""),Trigo!$E25:INDEX(Trigo!$E25:$Z25,MIN(AU$6-$G$3,22))),0)))))</f>
        <v>0</v>
      </c>
      <c r="AV27" s="27" t="n">
        <f aca="false">IF(COUNT(Trigo!$E25:$Z25)=0,0,MAX(0,IF((AV$6-$E$3)&lt;1,0,IFERROR(LOOKUP(2,1/(Trigo!$E25:INDEX(Trigo!$E25:$Z25,MIN(AV$6-$E$3,22))&lt;&gt;""),Trigo!$E25:INDEX(Trigo!$E25:$Z25,MIN(AV$6-$E$3,22))),0))-IF($G$2,0,IF((AV$6-$G$3)&lt;1,0,IFERROR(LOOKUP(2,1/(Trigo!$E25:INDEX(Trigo!$E25:$Z25,MIN(AV$6-$G$3,22))&lt;&gt;""),Trigo!$E25:INDEX(Trigo!$E25:$Z25,MIN(AV$6-$G$3,22))),0)))))</f>
        <v>0</v>
      </c>
      <c r="AW27" s="27" t="n">
        <f aca="false">IF(COUNT(Trigo!$E25:$Z25)=0,0,MAX(0,IF((AW$6-$E$3)&lt;1,0,IFERROR(LOOKUP(2,1/(Trigo!$E25:INDEX(Trigo!$E25:$Z25,MIN(AW$6-$E$3,22))&lt;&gt;""),Trigo!$E25:INDEX(Trigo!$E25:$Z25,MIN(AW$6-$E$3,22))),0))-IF($G$2,0,IF((AW$6-$G$3)&lt;1,0,IFERROR(LOOKUP(2,1/(Trigo!$E25:INDEX(Trigo!$E25:$Z25,MIN(AW$6-$G$3,22))&lt;&gt;""),Trigo!$E25:INDEX(Trigo!$E25:$Z25,MIN(AW$6-$G$3,22))),0)))))</f>
        <v>0</v>
      </c>
      <c r="AX27" s="27" t="n">
        <f aca="false">IF(COUNT(Trigo!$E25:$Z25)=0,0,MAX(0,IF((AX$6-$E$3)&lt;1,0,IFERROR(LOOKUP(2,1/(Trigo!$E25:INDEX(Trigo!$E25:$Z25,MIN(AX$6-$E$3,22))&lt;&gt;""),Trigo!$E25:INDEX(Trigo!$E25:$Z25,MIN(AX$6-$E$3,22))),0))-IF($G$2,0,IF((AX$6-$G$3)&lt;1,0,IFERROR(LOOKUP(2,1/(Trigo!$E25:INDEX(Trigo!$E25:$Z25,MIN(AX$6-$G$3,22))&lt;&gt;""),Trigo!$E25:INDEX(Trigo!$E25:$Z25,MIN(AX$6-$G$3,22))),0)))))</f>
        <v>0</v>
      </c>
      <c r="AY27" s="27" t="n">
        <f aca="false">IF(COUNT(Trigo!$E25:$Z25)=0,0,MAX(0,IF((AY$6-$E$3)&lt;1,0,IFERROR(LOOKUP(2,1/(Trigo!$E25:INDEX(Trigo!$E25:$Z25,MIN(AY$6-$E$3,22))&lt;&gt;""),Trigo!$E25:INDEX(Trigo!$E25:$Z25,MIN(AY$6-$E$3,22))),0))-IF($G$2,0,IF((AY$6-$G$3)&lt;1,0,IFERROR(LOOKUP(2,1/(Trigo!$E25:INDEX(Trigo!$E25:$Z25,MIN(AY$6-$G$3,22))&lt;&gt;""),Trigo!$E25:INDEX(Trigo!$E25:$Z25,MIN(AY$6-$G$3,22))),0)))))</f>
        <v>0</v>
      </c>
      <c r="AZ27" s="27" t="n">
        <f aca="false">IF(COUNT(Trigo!$E25:$Z25)=0,0,MAX(0,IF((AZ$6-$E$3)&lt;1,0,IFERROR(LOOKUP(2,1/(Trigo!$E25:INDEX(Trigo!$E25:$Z25,MIN(AZ$6-$E$3,22))&lt;&gt;""),Trigo!$E25:INDEX(Trigo!$E25:$Z25,MIN(AZ$6-$E$3,22))),0))-IF($G$2,0,IF((AZ$6-$G$3)&lt;1,0,IFERROR(LOOKUP(2,1/(Trigo!$E25:INDEX(Trigo!$E25:$Z25,MIN(AZ$6-$G$3,22))&lt;&gt;""),Trigo!$E25:INDEX(Trigo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IF(COUNT(Trigo!$E26:$Z26)&gt;0,N(Trigo!$D26),0)</f>
        <v>0</v>
      </c>
      <c r="E28" s="27" t="n">
        <f aca="false">IF(COUNT(Trigo!$E26:$Z26)=0,0,MAX(0,IF((E$6-$E$3)&lt;1,0,IFERROR(LOOKUP(2,1/(Trigo!$E26:INDEX(Trigo!$E26:$Z26,MIN(E$6-$E$3,22))&lt;&gt;""),Trigo!$E26:INDEX(Trigo!$E26:$Z26,MIN(E$6-$E$3,22))),0))-IF($G$2,0,IF((E$6-$G$3)&lt;1,0,IFERROR(LOOKUP(2,1/(Trigo!$E26:INDEX(Trigo!$E26:$Z26,MIN(E$6-$G$3,22))&lt;&gt;""),Trigo!$E26:INDEX(Trigo!$E26:$Z26,MIN(E$6-$G$3,22))),0)))))</f>
        <v>0</v>
      </c>
      <c r="F28" s="27" t="n">
        <f aca="false">IF(COUNT(Trigo!$E26:$Z26)=0,0,MAX(0,IF((F$6-$E$3)&lt;1,0,IFERROR(LOOKUP(2,1/(Trigo!$E26:INDEX(Trigo!$E26:$Z26,MIN(F$6-$E$3,22))&lt;&gt;""),Trigo!$E26:INDEX(Trigo!$E26:$Z26,MIN(F$6-$E$3,22))),0))-IF($G$2,0,IF((F$6-$G$3)&lt;1,0,IFERROR(LOOKUP(2,1/(Trigo!$E26:INDEX(Trigo!$E26:$Z26,MIN(F$6-$G$3,22))&lt;&gt;""),Trigo!$E26:INDEX(Trigo!$E26:$Z26,MIN(F$6-$G$3,22))),0)))))</f>
        <v>0</v>
      </c>
      <c r="G28" s="27" t="n">
        <f aca="false">IF(COUNT(Trigo!$E26:$Z26)=0,0,MAX(0,IF((G$6-$E$3)&lt;1,0,IFERROR(LOOKUP(2,1/(Trigo!$E26:INDEX(Trigo!$E26:$Z26,MIN(G$6-$E$3,22))&lt;&gt;""),Trigo!$E26:INDEX(Trigo!$E26:$Z26,MIN(G$6-$E$3,22))),0))-IF($G$2,0,IF((G$6-$G$3)&lt;1,0,IFERROR(LOOKUP(2,1/(Trigo!$E26:INDEX(Trigo!$E26:$Z26,MIN(G$6-$G$3,22))&lt;&gt;""),Trigo!$E26:INDEX(Trigo!$E26:$Z26,MIN(G$6-$G$3,22))),0)))))</f>
        <v>0</v>
      </c>
      <c r="H28" s="27" t="n">
        <f aca="false">IF(COUNT(Trigo!$E26:$Z26)=0,0,MAX(0,IF((H$6-$E$3)&lt;1,0,IFERROR(LOOKUP(2,1/(Trigo!$E26:INDEX(Trigo!$E26:$Z26,MIN(H$6-$E$3,22))&lt;&gt;""),Trigo!$E26:INDEX(Trigo!$E26:$Z26,MIN(H$6-$E$3,22))),0))-IF($G$2,0,IF((H$6-$G$3)&lt;1,0,IFERROR(LOOKUP(2,1/(Trigo!$E26:INDEX(Trigo!$E26:$Z26,MIN(H$6-$G$3,22))&lt;&gt;""),Trigo!$E26:INDEX(Trigo!$E26:$Z26,MIN(H$6-$G$3,22))),0)))))</f>
        <v>0</v>
      </c>
      <c r="I28" s="27" t="n">
        <f aca="false">IF(COUNT(Trigo!$E26:$Z26)=0,0,MAX(0,IF((I$6-$E$3)&lt;1,0,IFERROR(LOOKUP(2,1/(Trigo!$E26:INDEX(Trigo!$E26:$Z26,MIN(I$6-$E$3,22))&lt;&gt;""),Trigo!$E26:INDEX(Trigo!$E26:$Z26,MIN(I$6-$E$3,22))),0))-IF($G$2,0,IF((I$6-$G$3)&lt;1,0,IFERROR(LOOKUP(2,1/(Trigo!$E26:INDEX(Trigo!$E26:$Z26,MIN(I$6-$G$3,22))&lt;&gt;""),Trigo!$E26:INDEX(Trigo!$E26:$Z26,MIN(I$6-$G$3,22))),0)))))</f>
        <v>0</v>
      </c>
      <c r="J28" s="27" t="n">
        <f aca="false">IF(COUNT(Trigo!$E26:$Z26)=0,0,MAX(0,IF((J$6-$E$3)&lt;1,0,IFERROR(LOOKUP(2,1/(Trigo!$E26:INDEX(Trigo!$E26:$Z26,MIN(J$6-$E$3,22))&lt;&gt;""),Trigo!$E26:INDEX(Trigo!$E26:$Z26,MIN(J$6-$E$3,22))),0))-IF($G$2,0,IF((J$6-$G$3)&lt;1,0,IFERROR(LOOKUP(2,1/(Trigo!$E26:INDEX(Trigo!$E26:$Z26,MIN(J$6-$G$3,22))&lt;&gt;""),Trigo!$E26:INDEX(Trigo!$E26:$Z26,MIN(J$6-$G$3,22))),0)))))</f>
        <v>0</v>
      </c>
      <c r="K28" s="27" t="n">
        <f aca="false">IF(COUNT(Trigo!$E26:$Z26)=0,0,MAX(0,IF((K$6-$E$3)&lt;1,0,IFERROR(LOOKUP(2,1/(Trigo!$E26:INDEX(Trigo!$E26:$Z26,MIN(K$6-$E$3,22))&lt;&gt;""),Trigo!$E26:INDEX(Trigo!$E26:$Z26,MIN(K$6-$E$3,22))),0))-IF($G$2,0,IF((K$6-$G$3)&lt;1,0,IFERROR(LOOKUP(2,1/(Trigo!$E26:INDEX(Trigo!$E26:$Z26,MIN(K$6-$G$3,22))&lt;&gt;""),Trigo!$E26:INDEX(Trigo!$E26:$Z26,MIN(K$6-$G$3,22))),0)))))</f>
        <v>0</v>
      </c>
      <c r="L28" s="27" t="n">
        <f aca="false">IF(COUNT(Trigo!$E26:$Z26)=0,0,MAX(0,IF((L$6-$E$3)&lt;1,0,IFERROR(LOOKUP(2,1/(Trigo!$E26:INDEX(Trigo!$E26:$Z26,MIN(L$6-$E$3,22))&lt;&gt;""),Trigo!$E26:INDEX(Trigo!$E26:$Z26,MIN(L$6-$E$3,22))),0))-IF($G$2,0,IF((L$6-$G$3)&lt;1,0,IFERROR(LOOKUP(2,1/(Trigo!$E26:INDEX(Trigo!$E26:$Z26,MIN(L$6-$G$3,22))&lt;&gt;""),Trigo!$E26:INDEX(Trigo!$E26:$Z26,MIN(L$6-$G$3,22))),0)))))</f>
        <v>0</v>
      </c>
      <c r="M28" s="27" t="n">
        <f aca="false">IF(COUNT(Trigo!$E26:$Z26)=0,0,MAX(0,IF((M$6-$E$3)&lt;1,0,IFERROR(LOOKUP(2,1/(Trigo!$E26:INDEX(Trigo!$E26:$Z26,MIN(M$6-$E$3,22))&lt;&gt;""),Trigo!$E26:INDEX(Trigo!$E26:$Z26,MIN(M$6-$E$3,22))),0))-IF($G$2,0,IF((M$6-$G$3)&lt;1,0,IFERROR(LOOKUP(2,1/(Trigo!$E26:INDEX(Trigo!$E26:$Z26,MIN(M$6-$G$3,22))&lt;&gt;""),Trigo!$E26:INDEX(Trigo!$E26:$Z26,MIN(M$6-$G$3,22))),0)))))</f>
        <v>0</v>
      </c>
      <c r="N28" s="27" t="n">
        <f aca="false">IF(COUNT(Trigo!$E26:$Z26)=0,0,MAX(0,IF((N$6-$E$3)&lt;1,0,IFERROR(LOOKUP(2,1/(Trigo!$E26:INDEX(Trigo!$E26:$Z26,MIN(N$6-$E$3,22))&lt;&gt;""),Trigo!$E26:INDEX(Trigo!$E26:$Z26,MIN(N$6-$E$3,22))),0))-IF($G$2,0,IF((N$6-$G$3)&lt;1,0,IFERROR(LOOKUP(2,1/(Trigo!$E26:INDEX(Trigo!$E26:$Z26,MIN(N$6-$G$3,22))&lt;&gt;""),Trigo!$E26:INDEX(Trigo!$E26:$Z26,MIN(N$6-$G$3,22))),0)))))</f>
        <v>0</v>
      </c>
      <c r="O28" s="27" t="n">
        <f aca="false">IF(COUNT(Trigo!$E26:$Z26)=0,0,MAX(0,IF((O$6-$E$3)&lt;1,0,IFERROR(LOOKUP(2,1/(Trigo!$E26:INDEX(Trigo!$E26:$Z26,MIN(O$6-$E$3,22))&lt;&gt;""),Trigo!$E26:INDEX(Trigo!$E26:$Z26,MIN(O$6-$E$3,22))),0))-IF($G$2,0,IF((O$6-$G$3)&lt;1,0,IFERROR(LOOKUP(2,1/(Trigo!$E26:INDEX(Trigo!$E26:$Z26,MIN(O$6-$G$3,22))&lt;&gt;""),Trigo!$E26:INDEX(Trigo!$E26:$Z26,MIN(O$6-$G$3,22))),0)))))</f>
        <v>0</v>
      </c>
      <c r="P28" s="27" t="n">
        <f aca="false">IF(COUNT(Trigo!$E26:$Z26)=0,0,MAX(0,IF((P$6-$E$3)&lt;1,0,IFERROR(LOOKUP(2,1/(Trigo!$E26:INDEX(Trigo!$E26:$Z26,MIN(P$6-$E$3,22))&lt;&gt;""),Trigo!$E26:INDEX(Trigo!$E26:$Z26,MIN(P$6-$E$3,22))),0))-IF($G$2,0,IF((P$6-$G$3)&lt;1,0,IFERROR(LOOKUP(2,1/(Trigo!$E26:INDEX(Trigo!$E26:$Z26,MIN(P$6-$G$3,22))&lt;&gt;""),Trigo!$E26:INDEX(Trigo!$E26:$Z26,MIN(P$6-$G$3,22))),0)))))</f>
        <v>0</v>
      </c>
      <c r="Q28" s="27" t="n">
        <f aca="false">IF(COUNT(Trigo!$E26:$Z26)=0,0,MAX(0,IF((Q$6-$E$3)&lt;1,0,IFERROR(LOOKUP(2,1/(Trigo!$E26:INDEX(Trigo!$E26:$Z26,MIN(Q$6-$E$3,22))&lt;&gt;""),Trigo!$E26:INDEX(Trigo!$E26:$Z26,MIN(Q$6-$E$3,22))),0))-IF($G$2,0,IF((Q$6-$G$3)&lt;1,0,IFERROR(LOOKUP(2,1/(Trigo!$E26:INDEX(Trigo!$E26:$Z26,MIN(Q$6-$G$3,22))&lt;&gt;""),Trigo!$E26:INDEX(Trigo!$E26:$Z26,MIN(Q$6-$G$3,22))),0)))))</f>
        <v>0</v>
      </c>
      <c r="R28" s="27" t="n">
        <f aca="false">IF(COUNT(Trigo!$E26:$Z26)=0,0,MAX(0,IF((R$6-$E$3)&lt;1,0,IFERROR(LOOKUP(2,1/(Trigo!$E26:INDEX(Trigo!$E26:$Z26,MIN(R$6-$E$3,22))&lt;&gt;""),Trigo!$E26:INDEX(Trigo!$E26:$Z26,MIN(R$6-$E$3,22))),0))-IF($G$2,0,IF((R$6-$G$3)&lt;1,0,IFERROR(LOOKUP(2,1/(Trigo!$E26:INDEX(Trigo!$E26:$Z26,MIN(R$6-$G$3,22))&lt;&gt;""),Trigo!$E26:INDEX(Trigo!$E26:$Z26,MIN(R$6-$G$3,22))),0)))))</f>
        <v>0</v>
      </c>
      <c r="S28" s="27" t="n">
        <f aca="false">IF(COUNT(Trigo!$E26:$Z26)=0,0,MAX(0,IF((S$6-$E$3)&lt;1,0,IFERROR(LOOKUP(2,1/(Trigo!$E26:INDEX(Trigo!$E26:$Z26,MIN(S$6-$E$3,22))&lt;&gt;""),Trigo!$E26:INDEX(Trigo!$E26:$Z26,MIN(S$6-$E$3,22))),0))-IF($G$2,0,IF((S$6-$G$3)&lt;1,0,IFERROR(LOOKUP(2,1/(Trigo!$E26:INDEX(Trigo!$E26:$Z26,MIN(S$6-$G$3,22))&lt;&gt;""),Trigo!$E26:INDEX(Trigo!$E26:$Z26,MIN(S$6-$G$3,22))),0)))))</f>
        <v>0</v>
      </c>
      <c r="T28" s="27" t="n">
        <f aca="false">IF(COUNT(Trigo!$E26:$Z26)=0,0,MAX(0,IF((T$6-$E$3)&lt;1,0,IFERROR(LOOKUP(2,1/(Trigo!$E26:INDEX(Trigo!$E26:$Z26,MIN(T$6-$E$3,22))&lt;&gt;""),Trigo!$E26:INDEX(Trigo!$E26:$Z26,MIN(T$6-$E$3,22))),0))-IF($G$2,0,IF((T$6-$G$3)&lt;1,0,IFERROR(LOOKUP(2,1/(Trigo!$E26:INDEX(Trigo!$E26:$Z26,MIN(T$6-$G$3,22))&lt;&gt;""),Trigo!$E26:INDEX(Trigo!$E26:$Z26,MIN(T$6-$G$3,22))),0)))))</f>
        <v>0</v>
      </c>
      <c r="U28" s="27" t="n">
        <f aca="false">IF(COUNT(Trigo!$E26:$Z26)=0,0,MAX(0,IF((U$6-$E$3)&lt;1,0,IFERROR(LOOKUP(2,1/(Trigo!$E26:INDEX(Trigo!$E26:$Z26,MIN(U$6-$E$3,22))&lt;&gt;""),Trigo!$E26:INDEX(Trigo!$E26:$Z26,MIN(U$6-$E$3,22))),0))-IF($G$2,0,IF((U$6-$G$3)&lt;1,0,IFERROR(LOOKUP(2,1/(Trigo!$E26:INDEX(Trigo!$E26:$Z26,MIN(U$6-$G$3,22))&lt;&gt;""),Trigo!$E26:INDEX(Trigo!$E26:$Z26,MIN(U$6-$G$3,22))),0)))))</f>
        <v>0</v>
      </c>
      <c r="V28" s="27" t="n">
        <f aca="false">IF(COUNT(Trigo!$E26:$Z26)=0,0,MAX(0,IF((V$6-$E$3)&lt;1,0,IFERROR(LOOKUP(2,1/(Trigo!$E26:INDEX(Trigo!$E26:$Z26,MIN(V$6-$E$3,22))&lt;&gt;""),Trigo!$E26:INDEX(Trigo!$E26:$Z26,MIN(V$6-$E$3,22))),0))-IF($G$2,0,IF((V$6-$G$3)&lt;1,0,IFERROR(LOOKUP(2,1/(Trigo!$E26:INDEX(Trigo!$E26:$Z26,MIN(V$6-$G$3,22))&lt;&gt;""),Trigo!$E26:INDEX(Trigo!$E26:$Z26,MIN(V$6-$G$3,22))),0)))))</f>
        <v>0</v>
      </c>
      <c r="W28" s="27" t="n">
        <f aca="false">IF(COUNT(Trigo!$E26:$Z26)=0,0,MAX(0,IF((W$6-$E$3)&lt;1,0,IFERROR(LOOKUP(2,1/(Trigo!$E26:INDEX(Trigo!$E26:$Z26,MIN(W$6-$E$3,22))&lt;&gt;""),Trigo!$E26:INDEX(Trigo!$E26:$Z26,MIN(W$6-$E$3,22))),0))-IF($G$2,0,IF((W$6-$G$3)&lt;1,0,IFERROR(LOOKUP(2,1/(Trigo!$E26:INDEX(Trigo!$E26:$Z26,MIN(W$6-$G$3,22))&lt;&gt;""),Trigo!$E26:INDEX(Trigo!$E26:$Z26,MIN(W$6-$G$3,22))),0)))))</f>
        <v>0</v>
      </c>
      <c r="X28" s="27" t="n">
        <f aca="false">IF(COUNT(Trigo!$E26:$Z26)=0,0,MAX(0,IF((X$6-$E$3)&lt;1,0,IFERROR(LOOKUP(2,1/(Trigo!$E26:INDEX(Trigo!$E26:$Z26,MIN(X$6-$E$3,22))&lt;&gt;""),Trigo!$E26:INDEX(Trigo!$E26:$Z26,MIN(X$6-$E$3,22))),0))-IF($G$2,0,IF((X$6-$G$3)&lt;1,0,IFERROR(LOOKUP(2,1/(Trigo!$E26:INDEX(Trigo!$E26:$Z26,MIN(X$6-$G$3,22))&lt;&gt;""),Trigo!$E26:INDEX(Trigo!$E26:$Z26,MIN(X$6-$G$3,22))),0)))))</f>
        <v>0</v>
      </c>
      <c r="Y28" s="27" t="n">
        <f aca="false">IF(COUNT(Trigo!$E26:$Z26)=0,0,MAX(0,IF((Y$6-$E$3)&lt;1,0,IFERROR(LOOKUP(2,1/(Trigo!$E26:INDEX(Trigo!$E26:$Z26,MIN(Y$6-$E$3,22))&lt;&gt;""),Trigo!$E26:INDEX(Trigo!$E26:$Z26,MIN(Y$6-$E$3,22))),0))-IF($G$2,0,IF((Y$6-$G$3)&lt;1,0,IFERROR(LOOKUP(2,1/(Trigo!$E26:INDEX(Trigo!$E26:$Z26,MIN(Y$6-$G$3,22))&lt;&gt;""),Trigo!$E26:INDEX(Trigo!$E26:$Z26,MIN(Y$6-$G$3,22))),0)))))</f>
        <v>0</v>
      </c>
      <c r="Z28" s="27" t="n">
        <f aca="false">IF(COUNT(Trigo!$E26:$Z26)=0,0,MAX(0,IF((Z$6-$E$3)&lt;1,0,IFERROR(LOOKUP(2,1/(Trigo!$E26:INDEX(Trigo!$E26:$Z26,MIN(Z$6-$E$3,22))&lt;&gt;""),Trigo!$E26:INDEX(Trigo!$E26:$Z26,MIN(Z$6-$E$3,22))),0))-IF($G$2,0,IF((Z$6-$G$3)&lt;1,0,IFERROR(LOOKUP(2,1/(Trigo!$E26:INDEX(Trigo!$E26:$Z26,MIN(Z$6-$G$3,22))&lt;&gt;""),Trigo!$E26:INDEX(Trigo!$E26:$Z26,MIN(Z$6-$G$3,22))),0)))))</f>
        <v>0</v>
      </c>
      <c r="AA28" s="27" t="n">
        <f aca="false">IF(COUNT(Trigo!$E26:$Z26)=0,0,MAX(0,IF((AA$6-$E$3)&lt;1,0,IFERROR(LOOKUP(2,1/(Trigo!$E26:INDEX(Trigo!$E26:$Z26,MIN(AA$6-$E$3,22))&lt;&gt;""),Trigo!$E26:INDEX(Trigo!$E26:$Z26,MIN(AA$6-$E$3,22))),0))-IF($G$2,0,IF((AA$6-$G$3)&lt;1,0,IFERROR(LOOKUP(2,1/(Trigo!$E26:INDEX(Trigo!$E26:$Z26,MIN(AA$6-$G$3,22))&lt;&gt;""),Trigo!$E26:INDEX(Trigo!$E26:$Z26,MIN(AA$6-$G$3,22))),0)))))</f>
        <v>0</v>
      </c>
      <c r="AB28" s="27" t="n">
        <f aca="false">IF(COUNT(Trigo!$E26:$Z26)=0,0,MAX(0,IF((AB$6-$E$3)&lt;1,0,IFERROR(LOOKUP(2,1/(Trigo!$E26:INDEX(Trigo!$E26:$Z26,MIN(AB$6-$E$3,22))&lt;&gt;""),Trigo!$E26:INDEX(Trigo!$E26:$Z26,MIN(AB$6-$E$3,22))),0))-IF($G$2,0,IF((AB$6-$G$3)&lt;1,0,IFERROR(LOOKUP(2,1/(Trigo!$E26:INDEX(Trigo!$E26:$Z26,MIN(AB$6-$G$3,22))&lt;&gt;""),Trigo!$E26:INDEX(Trigo!$E26:$Z26,MIN(AB$6-$G$3,22))),0)))))</f>
        <v>0</v>
      </c>
      <c r="AC28" s="27" t="n">
        <f aca="false">IF(COUNT(Trigo!$E26:$Z26)=0,0,MAX(0,IF((AC$6-$E$3)&lt;1,0,IFERROR(LOOKUP(2,1/(Trigo!$E26:INDEX(Trigo!$E26:$Z26,MIN(AC$6-$E$3,22))&lt;&gt;""),Trigo!$E26:INDEX(Trigo!$E26:$Z26,MIN(AC$6-$E$3,22))),0))-IF($G$2,0,IF((AC$6-$G$3)&lt;1,0,IFERROR(LOOKUP(2,1/(Trigo!$E26:INDEX(Trigo!$E26:$Z26,MIN(AC$6-$G$3,22))&lt;&gt;""),Trigo!$E26:INDEX(Trigo!$E26:$Z26,MIN(AC$6-$G$3,22))),0)))))</f>
        <v>0</v>
      </c>
      <c r="AD28" s="27" t="n">
        <f aca="false">IF(COUNT(Trigo!$E26:$Z26)=0,0,MAX(0,IF((AD$6-$E$3)&lt;1,0,IFERROR(LOOKUP(2,1/(Trigo!$E26:INDEX(Trigo!$E26:$Z26,MIN(AD$6-$E$3,22))&lt;&gt;""),Trigo!$E26:INDEX(Trigo!$E26:$Z26,MIN(AD$6-$E$3,22))),0))-IF($G$2,0,IF((AD$6-$G$3)&lt;1,0,IFERROR(LOOKUP(2,1/(Trigo!$E26:INDEX(Trigo!$E26:$Z26,MIN(AD$6-$G$3,22))&lt;&gt;""),Trigo!$E26:INDEX(Trigo!$E26:$Z26,MIN(AD$6-$G$3,22))),0)))))</f>
        <v>0</v>
      </c>
      <c r="AE28" s="27" t="n">
        <f aca="false">IF(COUNT(Trigo!$E26:$Z26)=0,0,MAX(0,IF((AE$6-$E$3)&lt;1,0,IFERROR(LOOKUP(2,1/(Trigo!$E26:INDEX(Trigo!$E26:$Z26,MIN(AE$6-$E$3,22))&lt;&gt;""),Trigo!$E26:INDEX(Trigo!$E26:$Z26,MIN(AE$6-$E$3,22))),0))-IF($G$2,0,IF((AE$6-$G$3)&lt;1,0,IFERROR(LOOKUP(2,1/(Trigo!$E26:INDEX(Trigo!$E26:$Z26,MIN(AE$6-$G$3,22))&lt;&gt;""),Trigo!$E26:INDEX(Trigo!$E26:$Z26,MIN(AE$6-$G$3,22))),0)))))</f>
        <v>0</v>
      </c>
      <c r="AF28" s="27" t="n">
        <f aca="false">IF(COUNT(Trigo!$E26:$Z26)=0,0,MAX(0,IF((AF$6-$E$3)&lt;1,0,IFERROR(LOOKUP(2,1/(Trigo!$E26:INDEX(Trigo!$E26:$Z26,MIN(AF$6-$E$3,22))&lt;&gt;""),Trigo!$E26:INDEX(Trigo!$E26:$Z26,MIN(AF$6-$E$3,22))),0))-IF($G$2,0,IF((AF$6-$G$3)&lt;1,0,IFERROR(LOOKUP(2,1/(Trigo!$E26:INDEX(Trigo!$E26:$Z26,MIN(AF$6-$G$3,22))&lt;&gt;""),Trigo!$E26:INDEX(Trigo!$E26:$Z26,MIN(AF$6-$G$3,22))),0)))))</f>
        <v>0</v>
      </c>
      <c r="AG28" s="27" t="n">
        <f aca="false">IF(COUNT(Trigo!$E26:$Z26)=0,0,MAX(0,IF((AG$6-$E$3)&lt;1,0,IFERROR(LOOKUP(2,1/(Trigo!$E26:INDEX(Trigo!$E26:$Z26,MIN(AG$6-$E$3,22))&lt;&gt;""),Trigo!$E26:INDEX(Trigo!$E26:$Z26,MIN(AG$6-$E$3,22))),0))-IF($G$2,0,IF((AG$6-$G$3)&lt;1,0,IFERROR(LOOKUP(2,1/(Trigo!$E26:INDEX(Trigo!$E26:$Z26,MIN(AG$6-$G$3,22))&lt;&gt;""),Trigo!$E26:INDEX(Trigo!$E26:$Z26,MIN(AG$6-$G$3,22))),0)))))</f>
        <v>0</v>
      </c>
      <c r="AH28" s="27" t="n">
        <f aca="false">IF(COUNT(Trigo!$E26:$Z26)=0,0,MAX(0,IF((AH$6-$E$3)&lt;1,0,IFERROR(LOOKUP(2,1/(Trigo!$E26:INDEX(Trigo!$E26:$Z26,MIN(AH$6-$E$3,22))&lt;&gt;""),Trigo!$E26:INDEX(Trigo!$E26:$Z26,MIN(AH$6-$E$3,22))),0))-IF($G$2,0,IF((AH$6-$G$3)&lt;1,0,IFERROR(LOOKUP(2,1/(Trigo!$E26:INDEX(Trigo!$E26:$Z26,MIN(AH$6-$G$3,22))&lt;&gt;""),Trigo!$E26:INDEX(Trigo!$E26:$Z26,MIN(AH$6-$G$3,22))),0)))))</f>
        <v>0</v>
      </c>
      <c r="AI28" s="27" t="n">
        <f aca="false">IF(COUNT(Trigo!$E26:$Z26)=0,0,MAX(0,IF((AI$6-$E$3)&lt;1,0,IFERROR(LOOKUP(2,1/(Trigo!$E26:INDEX(Trigo!$E26:$Z26,MIN(AI$6-$E$3,22))&lt;&gt;""),Trigo!$E26:INDEX(Trigo!$E26:$Z26,MIN(AI$6-$E$3,22))),0))-IF($G$2,0,IF((AI$6-$G$3)&lt;1,0,IFERROR(LOOKUP(2,1/(Trigo!$E26:INDEX(Trigo!$E26:$Z26,MIN(AI$6-$G$3,22))&lt;&gt;""),Trigo!$E26:INDEX(Trigo!$E26:$Z26,MIN(AI$6-$G$3,22))),0)))))</f>
        <v>0</v>
      </c>
      <c r="AJ28" s="27" t="n">
        <f aca="false">IF(COUNT(Trigo!$E26:$Z26)=0,0,MAX(0,IF((AJ$6-$E$3)&lt;1,0,IFERROR(LOOKUP(2,1/(Trigo!$E26:INDEX(Trigo!$E26:$Z26,MIN(AJ$6-$E$3,22))&lt;&gt;""),Trigo!$E26:INDEX(Trigo!$E26:$Z26,MIN(AJ$6-$E$3,22))),0))-IF($G$2,0,IF((AJ$6-$G$3)&lt;1,0,IFERROR(LOOKUP(2,1/(Trigo!$E26:INDEX(Trigo!$E26:$Z26,MIN(AJ$6-$G$3,22))&lt;&gt;""),Trigo!$E26:INDEX(Trigo!$E26:$Z26,MIN(AJ$6-$G$3,22))),0)))))</f>
        <v>0</v>
      </c>
      <c r="AK28" s="27" t="n">
        <f aca="false">IF(COUNT(Trigo!$E26:$Z26)=0,0,MAX(0,IF((AK$6-$E$3)&lt;1,0,IFERROR(LOOKUP(2,1/(Trigo!$E26:INDEX(Trigo!$E26:$Z26,MIN(AK$6-$E$3,22))&lt;&gt;""),Trigo!$E26:INDEX(Trigo!$E26:$Z26,MIN(AK$6-$E$3,22))),0))-IF($G$2,0,IF((AK$6-$G$3)&lt;1,0,IFERROR(LOOKUP(2,1/(Trigo!$E26:INDEX(Trigo!$E26:$Z26,MIN(AK$6-$G$3,22))&lt;&gt;""),Trigo!$E26:INDEX(Trigo!$E26:$Z26,MIN(AK$6-$G$3,22))),0)))))</f>
        <v>0</v>
      </c>
      <c r="AL28" s="27" t="n">
        <f aca="false">IF(COUNT(Trigo!$E26:$Z26)=0,0,MAX(0,IF((AL$6-$E$3)&lt;1,0,IFERROR(LOOKUP(2,1/(Trigo!$E26:INDEX(Trigo!$E26:$Z26,MIN(AL$6-$E$3,22))&lt;&gt;""),Trigo!$E26:INDEX(Trigo!$E26:$Z26,MIN(AL$6-$E$3,22))),0))-IF($G$2,0,IF((AL$6-$G$3)&lt;1,0,IFERROR(LOOKUP(2,1/(Trigo!$E26:INDEX(Trigo!$E26:$Z26,MIN(AL$6-$G$3,22))&lt;&gt;""),Trigo!$E26:INDEX(Trigo!$E26:$Z26,MIN(AL$6-$G$3,22))),0)))))</f>
        <v>0</v>
      </c>
      <c r="AM28" s="27" t="n">
        <f aca="false">IF(COUNT(Trigo!$E26:$Z26)=0,0,MAX(0,IF((AM$6-$E$3)&lt;1,0,IFERROR(LOOKUP(2,1/(Trigo!$E26:INDEX(Trigo!$E26:$Z26,MIN(AM$6-$E$3,22))&lt;&gt;""),Trigo!$E26:INDEX(Trigo!$E26:$Z26,MIN(AM$6-$E$3,22))),0))-IF($G$2,0,IF((AM$6-$G$3)&lt;1,0,IFERROR(LOOKUP(2,1/(Trigo!$E26:INDEX(Trigo!$E26:$Z26,MIN(AM$6-$G$3,22))&lt;&gt;""),Trigo!$E26:INDEX(Trigo!$E26:$Z26,MIN(AM$6-$G$3,22))),0)))))</f>
        <v>0</v>
      </c>
      <c r="AN28" s="27" t="n">
        <f aca="false">IF(COUNT(Trigo!$E26:$Z26)=0,0,MAX(0,IF((AN$6-$E$3)&lt;1,0,IFERROR(LOOKUP(2,1/(Trigo!$E26:INDEX(Trigo!$E26:$Z26,MIN(AN$6-$E$3,22))&lt;&gt;""),Trigo!$E26:INDEX(Trigo!$E26:$Z26,MIN(AN$6-$E$3,22))),0))-IF($G$2,0,IF((AN$6-$G$3)&lt;1,0,IFERROR(LOOKUP(2,1/(Trigo!$E26:INDEX(Trigo!$E26:$Z26,MIN(AN$6-$G$3,22))&lt;&gt;""),Trigo!$E26:INDEX(Trigo!$E26:$Z26,MIN(AN$6-$G$3,22))),0)))))</f>
        <v>0</v>
      </c>
      <c r="AO28" s="27" t="n">
        <f aca="false">IF(COUNT(Trigo!$E26:$Z26)=0,0,MAX(0,IF((AO$6-$E$3)&lt;1,0,IFERROR(LOOKUP(2,1/(Trigo!$E26:INDEX(Trigo!$E26:$Z26,MIN(AO$6-$E$3,22))&lt;&gt;""),Trigo!$E26:INDEX(Trigo!$E26:$Z26,MIN(AO$6-$E$3,22))),0))-IF($G$2,0,IF((AO$6-$G$3)&lt;1,0,IFERROR(LOOKUP(2,1/(Trigo!$E26:INDEX(Trigo!$E26:$Z26,MIN(AO$6-$G$3,22))&lt;&gt;""),Trigo!$E26:INDEX(Trigo!$E26:$Z26,MIN(AO$6-$G$3,22))),0)))))</f>
        <v>0</v>
      </c>
      <c r="AP28" s="27" t="n">
        <f aca="false">IF(COUNT(Trigo!$E26:$Z26)=0,0,MAX(0,IF((AP$6-$E$3)&lt;1,0,IFERROR(LOOKUP(2,1/(Trigo!$E26:INDEX(Trigo!$E26:$Z26,MIN(AP$6-$E$3,22))&lt;&gt;""),Trigo!$E26:INDEX(Trigo!$E26:$Z26,MIN(AP$6-$E$3,22))),0))-IF($G$2,0,IF((AP$6-$G$3)&lt;1,0,IFERROR(LOOKUP(2,1/(Trigo!$E26:INDEX(Trigo!$E26:$Z26,MIN(AP$6-$G$3,22))&lt;&gt;""),Trigo!$E26:INDEX(Trigo!$E26:$Z26,MIN(AP$6-$G$3,22))),0)))))</f>
        <v>0</v>
      </c>
      <c r="AQ28" s="27" t="n">
        <f aca="false">IF(COUNT(Trigo!$E26:$Z26)=0,0,MAX(0,IF((AQ$6-$E$3)&lt;1,0,IFERROR(LOOKUP(2,1/(Trigo!$E26:INDEX(Trigo!$E26:$Z26,MIN(AQ$6-$E$3,22))&lt;&gt;""),Trigo!$E26:INDEX(Trigo!$E26:$Z26,MIN(AQ$6-$E$3,22))),0))-IF($G$2,0,IF((AQ$6-$G$3)&lt;1,0,IFERROR(LOOKUP(2,1/(Trigo!$E26:INDEX(Trigo!$E26:$Z26,MIN(AQ$6-$G$3,22))&lt;&gt;""),Trigo!$E26:INDEX(Trigo!$E26:$Z26,MIN(AQ$6-$G$3,22))),0)))))</f>
        <v>0</v>
      </c>
      <c r="AR28" s="27" t="n">
        <f aca="false">IF(COUNT(Trigo!$E26:$Z26)=0,0,MAX(0,IF((AR$6-$E$3)&lt;1,0,IFERROR(LOOKUP(2,1/(Trigo!$E26:INDEX(Trigo!$E26:$Z26,MIN(AR$6-$E$3,22))&lt;&gt;""),Trigo!$E26:INDEX(Trigo!$E26:$Z26,MIN(AR$6-$E$3,22))),0))-IF($G$2,0,IF((AR$6-$G$3)&lt;1,0,IFERROR(LOOKUP(2,1/(Trigo!$E26:INDEX(Trigo!$E26:$Z26,MIN(AR$6-$G$3,22))&lt;&gt;""),Trigo!$E26:INDEX(Trigo!$E26:$Z26,MIN(AR$6-$G$3,22))),0)))))</f>
        <v>0</v>
      </c>
      <c r="AS28" s="27" t="n">
        <f aca="false">IF(COUNT(Trigo!$E26:$Z26)=0,0,MAX(0,IF((AS$6-$E$3)&lt;1,0,IFERROR(LOOKUP(2,1/(Trigo!$E26:INDEX(Trigo!$E26:$Z26,MIN(AS$6-$E$3,22))&lt;&gt;""),Trigo!$E26:INDEX(Trigo!$E26:$Z26,MIN(AS$6-$E$3,22))),0))-IF($G$2,0,IF((AS$6-$G$3)&lt;1,0,IFERROR(LOOKUP(2,1/(Trigo!$E26:INDEX(Trigo!$E26:$Z26,MIN(AS$6-$G$3,22))&lt;&gt;""),Trigo!$E26:INDEX(Trigo!$E26:$Z26,MIN(AS$6-$G$3,22))),0)))))</f>
        <v>0</v>
      </c>
      <c r="AT28" s="27" t="n">
        <f aca="false">IF(COUNT(Trigo!$E26:$Z26)=0,0,MAX(0,IF((AT$6-$E$3)&lt;1,0,IFERROR(LOOKUP(2,1/(Trigo!$E26:INDEX(Trigo!$E26:$Z26,MIN(AT$6-$E$3,22))&lt;&gt;""),Trigo!$E26:INDEX(Trigo!$E26:$Z26,MIN(AT$6-$E$3,22))),0))-IF($G$2,0,IF((AT$6-$G$3)&lt;1,0,IFERROR(LOOKUP(2,1/(Trigo!$E26:INDEX(Trigo!$E26:$Z26,MIN(AT$6-$G$3,22))&lt;&gt;""),Trigo!$E26:INDEX(Trigo!$E26:$Z26,MIN(AT$6-$G$3,22))),0)))))</f>
        <v>0</v>
      </c>
      <c r="AU28" s="27" t="n">
        <f aca="false">IF(COUNT(Trigo!$E26:$Z26)=0,0,MAX(0,IF((AU$6-$E$3)&lt;1,0,IFERROR(LOOKUP(2,1/(Trigo!$E26:INDEX(Trigo!$E26:$Z26,MIN(AU$6-$E$3,22))&lt;&gt;""),Trigo!$E26:INDEX(Trigo!$E26:$Z26,MIN(AU$6-$E$3,22))),0))-IF($G$2,0,IF((AU$6-$G$3)&lt;1,0,IFERROR(LOOKUP(2,1/(Trigo!$E26:INDEX(Trigo!$E26:$Z26,MIN(AU$6-$G$3,22))&lt;&gt;""),Trigo!$E26:INDEX(Trigo!$E26:$Z26,MIN(AU$6-$G$3,22))),0)))))</f>
        <v>0</v>
      </c>
      <c r="AV28" s="27" t="n">
        <f aca="false">IF(COUNT(Trigo!$E26:$Z26)=0,0,MAX(0,IF((AV$6-$E$3)&lt;1,0,IFERROR(LOOKUP(2,1/(Trigo!$E26:INDEX(Trigo!$E26:$Z26,MIN(AV$6-$E$3,22))&lt;&gt;""),Trigo!$E26:INDEX(Trigo!$E26:$Z26,MIN(AV$6-$E$3,22))),0))-IF($G$2,0,IF((AV$6-$G$3)&lt;1,0,IFERROR(LOOKUP(2,1/(Trigo!$E26:INDEX(Trigo!$E26:$Z26,MIN(AV$6-$G$3,22))&lt;&gt;""),Trigo!$E26:INDEX(Trigo!$E26:$Z26,MIN(AV$6-$G$3,22))),0)))))</f>
        <v>0</v>
      </c>
      <c r="AW28" s="27" t="n">
        <f aca="false">IF(COUNT(Trigo!$E26:$Z26)=0,0,MAX(0,IF((AW$6-$E$3)&lt;1,0,IFERROR(LOOKUP(2,1/(Trigo!$E26:INDEX(Trigo!$E26:$Z26,MIN(AW$6-$E$3,22))&lt;&gt;""),Trigo!$E26:INDEX(Trigo!$E26:$Z26,MIN(AW$6-$E$3,22))),0))-IF($G$2,0,IF((AW$6-$G$3)&lt;1,0,IFERROR(LOOKUP(2,1/(Trigo!$E26:INDEX(Trigo!$E26:$Z26,MIN(AW$6-$G$3,22))&lt;&gt;""),Trigo!$E26:INDEX(Trigo!$E26:$Z26,MIN(AW$6-$G$3,22))),0)))))</f>
        <v>0</v>
      </c>
      <c r="AX28" s="27" t="n">
        <f aca="false">IF(COUNT(Trigo!$E26:$Z26)=0,0,MAX(0,IF((AX$6-$E$3)&lt;1,0,IFERROR(LOOKUP(2,1/(Trigo!$E26:INDEX(Trigo!$E26:$Z26,MIN(AX$6-$E$3,22))&lt;&gt;""),Trigo!$E26:INDEX(Trigo!$E26:$Z26,MIN(AX$6-$E$3,22))),0))-IF($G$2,0,IF((AX$6-$G$3)&lt;1,0,IFERROR(LOOKUP(2,1/(Trigo!$E26:INDEX(Trigo!$E26:$Z26,MIN(AX$6-$G$3,22))&lt;&gt;""),Trigo!$E26:INDEX(Trigo!$E26:$Z26,MIN(AX$6-$G$3,22))),0)))))</f>
        <v>0</v>
      </c>
      <c r="AY28" s="27" t="n">
        <f aca="false">IF(COUNT(Trigo!$E26:$Z26)=0,0,MAX(0,IF((AY$6-$E$3)&lt;1,0,IFERROR(LOOKUP(2,1/(Trigo!$E26:INDEX(Trigo!$E26:$Z26,MIN(AY$6-$E$3,22))&lt;&gt;""),Trigo!$E26:INDEX(Trigo!$E26:$Z26,MIN(AY$6-$E$3,22))),0))-IF($G$2,0,IF((AY$6-$G$3)&lt;1,0,IFERROR(LOOKUP(2,1/(Trigo!$E26:INDEX(Trigo!$E26:$Z26,MIN(AY$6-$G$3,22))&lt;&gt;""),Trigo!$E26:INDEX(Trigo!$E26:$Z26,MIN(AY$6-$G$3,22))),0)))))</f>
        <v>0</v>
      </c>
      <c r="AZ28" s="27" t="n">
        <f aca="false">IF(COUNT(Trigo!$E26:$Z26)=0,0,MAX(0,IF((AZ$6-$E$3)&lt;1,0,IFERROR(LOOKUP(2,1/(Trigo!$E26:INDEX(Trigo!$E26:$Z26,MIN(AZ$6-$E$3,22))&lt;&gt;""),Trigo!$E26:INDEX(Trigo!$E26:$Z26,MIN(AZ$6-$E$3,22))),0))-IF($G$2,0,IF((AZ$6-$G$3)&lt;1,0,IFERROR(LOOKUP(2,1/(Trigo!$E26:INDEX(Trigo!$E26:$Z26,MIN(AZ$6-$G$3,22))&lt;&gt;""),Trigo!$E26:INDEX(Trigo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IF(COUNT(Trigo!$E27:$Z27)&gt;0,N(Trigo!$D27),0)</f>
        <v>0</v>
      </c>
      <c r="E29" s="27" t="n">
        <f aca="false">IF(COUNT(Trigo!$E27:$Z27)=0,0,MAX(0,IF((E$6-$E$3)&lt;1,0,IFERROR(LOOKUP(2,1/(Trigo!$E27:INDEX(Trigo!$E27:$Z27,MIN(E$6-$E$3,22))&lt;&gt;""),Trigo!$E27:INDEX(Trigo!$E27:$Z27,MIN(E$6-$E$3,22))),0))-IF($G$2,0,IF((E$6-$G$3)&lt;1,0,IFERROR(LOOKUP(2,1/(Trigo!$E27:INDEX(Trigo!$E27:$Z27,MIN(E$6-$G$3,22))&lt;&gt;""),Trigo!$E27:INDEX(Trigo!$E27:$Z27,MIN(E$6-$G$3,22))),0)))))</f>
        <v>0</v>
      </c>
      <c r="F29" s="27" t="n">
        <f aca="false">IF(COUNT(Trigo!$E27:$Z27)=0,0,MAX(0,IF((F$6-$E$3)&lt;1,0,IFERROR(LOOKUP(2,1/(Trigo!$E27:INDEX(Trigo!$E27:$Z27,MIN(F$6-$E$3,22))&lt;&gt;""),Trigo!$E27:INDEX(Trigo!$E27:$Z27,MIN(F$6-$E$3,22))),0))-IF($G$2,0,IF((F$6-$G$3)&lt;1,0,IFERROR(LOOKUP(2,1/(Trigo!$E27:INDEX(Trigo!$E27:$Z27,MIN(F$6-$G$3,22))&lt;&gt;""),Trigo!$E27:INDEX(Trigo!$E27:$Z27,MIN(F$6-$G$3,22))),0)))))</f>
        <v>0</v>
      </c>
      <c r="G29" s="27" t="n">
        <f aca="false">IF(COUNT(Trigo!$E27:$Z27)=0,0,MAX(0,IF((G$6-$E$3)&lt;1,0,IFERROR(LOOKUP(2,1/(Trigo!$E27:INDEX(Trigo!$E27:$Z27,MIN(G$6-$E$3,22))&lt;&gt;""),Trigo!$E27:INDEX(Trigo!$E27:$Z27,MIN(G$6-$E$3,22))),0))-IF($G$2,0,IF((G$6-$G$3)&lt;1,0,IFERROR(LOOKUP(2,1/(Trigo!$E27:INDEX(Trigo!$E27:$Z27,MIN(G$6-$G$3,22))&lt;&gt;""),Trigo!$E27:INDEX(Trigo!$E27:$Z27,MIN(G$6-$G$3,22))),0)))))</f>
        <v>0</v>
      </c>
      <c r="H29" s="27" t="n">
        <f aca="false">IF(COUNT(Trigo!$E27:$Z27)=0,0,MAX(0,IF((H$6-$E$3)&lt;1,0,IFERROR(LOOKUP(2,1/(Trigo!$E27:INDEX(Trigo!$E27:$Z27,MIN(H$6-$E$3,22))&lt;&gt;""),Trigo!$E27:INDEX(Trigo!$E27:$Z27,MIN(H$6-$E$3,22))),0))-IF($G$2,0,IF((H$6-$G$3)&lt;1,0,IFERROR(LOOKUP(2,1/(Trigo!$E27:INDEX(Trigo!$E27:$Z27,MIN(H$6-$G$3,22))&lt;&gt;""),Trigo!$E27:INDEX(Trigo!$E27:$Z27,MIN(H$6-$G$3,22))),0)))))</f>
        <v>0</v>
      </c>
      <c r="I29" s="27" t="n">
        <f aca="false">IF(COUNT(Trigo!$E27:$Z27)=0,0,MAX(0,IF((I$6-$E$3)&lt;1,0,IFERROR(LOOKUP(2,1/(Trigo!$E27:INDEX(Trigo!$E27:$Z27,MIN(I$6-$E$3,22))&lt;&gt;""),Trigo!$E27:INDEX(Trigo!$E27:$Z27,MIN(I$6-$E$3,22))),0))-IF($G$2,0,IF((I$6-$G$3)&lt;1,0,IFERROR(LOOKUP(2,1/(Trigo!$E27:INDEX(Trigo!$E27:$Z27,MIN(I$6-$G$3,22))&lt;&gt;""),Trigo!$E27:INDEX(Trigo!$E27:$Z27,MIN(I$6-$G$3,22))),0)))))</f>
        <v>0</v>
      </c>
      <c r="J29" s="27" t="n">
        <f aca="false">IF(COUNT(Trigo!$E27:$Z27)=0,0,MAX(0,IF((J$6-$E$3)&lt;1,0,IFERROR(LOOKUP(2,1/(Trigo!$E27:INDEX(Trigo!$E27:$Z27,MIN(J$6-$E$3,22))&lt;&gt;""),Trigo!$E27:INDEX(Trigo!$E27:$Z27,MIN(J$6-$E$3,22))),0))-IF($G$2,0,IF((J$6-$G$3)&lt;1,0,IFERROR(LOOKUP(2,1/(Trigo!$E27:INDEX(Trigo!$E27:$Z27,MIN(J$6-$G$3,22))&lt;&gt;""),Trigo!$E27:INDEX(Trigo!$E27:$Z27,MIN(J$6-$G$3,22))),0)))))</f>
        <v>0</v>
      </c>
      <c r="K29" s="27" t="n">
        <f aca="false">IF(COUNT(Trigo!$E27:$Z27)=0,0,MAX(0,IF((K$6-$E$3)&lt;1,0,IFERROR(LOOKUP(2,1/(Trigo!$E27:INDEX(Trigo!$E27:$Z27,MIN(K$6-$E$3,22))&lt;&gt;""),Trigo!$E27:INDEX(Trigo!$E27:$Z27,MIN(K$6-$E$3,22))),0))-IF($G$2,0,IF((K$6-$G$3)&lt;1,0,IFERROR(LOOKUP(2,1/(Trigo!$E27:INDEX(Trigo!$E27:$Z27,MIN(K$6-$G$3,22))&lt;&gt;""),Trigo!$E27:INDEX(Trigo!$E27:$Z27,MIN(K$6-$G$3,22))),0)))))</f>
        <v>0</v>
      </c>
      <c r="L29" s="27" t="n">
        <f aca="false">IF(COUNT(Trigo!$E27:$Z27)=0,0,MAX(0,IF((L$6-$E$3)&lt;1,0,IFERROR(LOOKUP(2,1/(Trigo!$E27:INDEX(Trigo!$E27:$Z27,MIN(L$6-$E$3,22))&lt;&gt;""),Trigo!$E27:INDEX(Trigo!$E27:$Z27,MIN(L$6-$E$3,22))),0))-IF($G$2,0,IF((L$6-$G$3)&lt;1,0,IFERROR(LOOKUP(2,1/(Trigo!$E27:INDEX(Trigo!$E27:$Z27,MIN(L$6-$G$3,22))&lt;&gt;""),Trigo!$E27:INDEX(Trigo!$E27:$Z27,MIN(L$6-$G$3,22))),0)))))</f>
        <v>0</v>
      </c>
      <c r="M29" s="27" t="n">
        <f aca="false">IF(COUNT(Trigo!$E27:$Z27)=0,0,MAX(0,IF((M$6-$E$3)&lt;1,0,IFERROR(LOOKUP(2,1/(Trigo!$E27:INDEX(Trigo!$E27:$Z27,MIN(M$6-$E$3,22))&lt;&gt;""),Trigo!$E27:INDEX(Trigo!$E27:$Z27,MIN(M$6-$E$3,22))),0))-IF($G$2,0,IF((M$6-$G$3)&lt;1,0,IFERROR(LOOKUP(2,1/(Trigo!$E27:INDEX(Trigo!$E27:$Z27,MIN(M$6-$G$3,22))&lt;&gt;""),Trigo!$E27:INDEX(Trigo!$E27:$Z27,MIN(M$6-$G$3,22))),0)))))</f>
        <v>0</v>
      </c>
      <c r="N29" s="27" t="n">
        <f aca="false">IF(COUNT(Trigo!$E27:$Z27)=0,0,MAX(0,IF((N$6-$E$3)&lt;1,0,IFERROR(LOOKUP(2,1/(Trigo!$E27:INDEX(Trigo!$E27:$Z27,MIN(N$6-$E$3,22))&lt;&gt;""),Trigo!$E27:INDEX(Trigo!$E27:$Z27,MIN(N$6-$E$3,22))),0))-IF($G$2,0,IF((N$6-$G$3)&lt;1,0,IFERROR(LOOKUP(2,1/(Trigo!$E27:INDEX(Trigo!$E27:$Z27,MIN(N$6-$G$3,22))&lt;&gt;""),Trigo!$E27:INDEX(Trigo!$E27:$Z27,MIN(N$6-$G$3,22))),0)))))</f>
        <v>0</v>
      </c>
      <c r="O29" s="27" t="n">
        <f aca="false">IF(COUNT(Trigo!$E27:$Z27)=0,0,MAX(0,IF((O$6-$E$3)&lt;1,0,IFERROR(LOOKUP(2,1/(Trigo!$E27:INDEX(Trigo!$E27:$Z27,MIN(O$6-$E$3,22))&lt;&gt;""),Trigo!$E27:INDEX(Trigo!$E27:$Z27,MIN(O$6-$E$3,22))),0))-IF($G$2,0,IF((O$6-$G$3)&lt;1,0,IFERROR(LOOKUP(2,1/(Trigo!$E27:INDEX(Trigo!$E27:$Z27,MIN(O$6-$G$3,22))&lt;&gt;""),Trigo!$E27:INDEX(Trigo!$E27:$Z27,MIN(O$6-$G$3,22))),0)))))</f>
        <v>0</v>
      </c>
      <c r="P29" s="27" t="n">
        <f aca="false">IF(COUNT(Trigo!$E27:$Z27)=0,0,MAX(0,IF((P$6-$E$3)&lt;1,0,IFERROR(LOOKUP(2,1/(Trigo!$E27:INDEX(Trigo!$E27:$Z27,MIN(P$6-$E$3,22))&lt;&gt;""),Trigo!$E27:INDEX(Trigo!$E27:$Z27,MIN(P$6-$E$3,22))),0))-IF($G$2,0,IF((P$6-$G$3)&lt;1,0,IFERROR(LOOKUP(2,1/(Trigo!$E27:INDEX(Trigo!$E27:$Z27,MIN(P$6-$G$3,22))&lt;&gt;""),Trigo!$E27:INDEX(Trigo!$E27:$Z27,MIN(P$6-$G$3,22))),0)))))</f>
        <v>0</v>
      </c>
      <c r="Q29" s="27" t="n">
        <f aca="false">IF(COUNT(Trigo!$E27:$Z27)=0,0,MAX(0,IF((Q$6-$E$3)&lt;1,0,IFERROR(LOOKUP(2,1/(Trigo!$E27:INDEX(Trigo!$E27:$Z27,MIN(Q$6-$E$3,22))&lt;&gt;""),Trigo!$E27:INDEX(Trigo!$E27:$Z27,MIN(Q$6-$E$3,22))),0))-IF($G$2,0,IF((Q$6-$G$3)&lt;1,0,IFERROR(LOOKUP(2,1/(Trigo!$E27:INDEX(Trigo!$E27:$Z27,MIN(Q$6-$G$3,22))&lt;&gt;""),Trigo!$E27:INDEX(Trigo!$E27:$Z27,MIN(Q$6-$G$3,22))),0)))))</f>
        <v>0</v>
      </c>
      <c r="R29" s="27" t="n">
        <f aca="false">IF(COUNT(Trigo!$E27:$Z27)=0,0,MAX(0,IF((R$6-$E$3)&lt;1,0,IFERROR(LOOKUP(2,1/(Trigo!$E27:INDEX(Trigo!$E27:$Z27,MIN(R$6-$E$3,22))&lt;&gt;""),Trigo!$E27:INDEX(Trigo!$E27:$Z27,MIN(R$6-$E$3,22))),0))-IF($G$2,0,IF((R$6-$G$3)&lt;1,0,IFERROR(LOOKUP(2,1/(Trigo!$E27:INDEX(Trigo!$E27:$Z27,MIN(R$6-$G$3,22))&lt;&gt;""),Trigo!$E27:INDEX(Trigo!$E27:$Z27,MIN(R$6-$G$3,22))),0)))))</f>
        <v>0</v>
      </c>
      <c r="S29" s="27" t="n">
        <f aca="false">IF(COUNT(Trigo!$E27:$Z27)=0,0,MAX(0,IF((S$6-$E$3)&lt;1,0,IFERROR(LOOKUP(2,1/(Trigo!$E27:INDEX(Trigo!$E27:$Z27,MIN(S$6-$E$3,22))&lt;&gt;""),Trigo!$E27:INDEX(Trigo!$E27:$Z27,MIN(S$6-$E$3,22))),0))-IF($G$2,0,IF((S$6-$G$3)&lt;1,0,IFERROR(LOOKUP(2,1/(Trigo!$E27:INDEX(Trigo!$E27:$Z27,MIN(S$6-$G$3,22))&lt;&gt;""),Trigo!$E27:INDEX(Trigo!$E27:$Z27,MIN(S$6-$G$3,22))),0)))))</f>
        <v>0</v>
      </c>
      <c r="T29" s="27" t="n">
        <f aca="false">IF(COUNT(Trigo!$E27:$Z27)=0,0,MAX(0,IF((T$6-$E$3)&lt;1,0,IFERROR(LOOKUP(2,1/(Trigo!$E27:INDEX(Trigo!$E27:$Z27,MIN(T$6-$E$3,22))&lt;&gt;""),Trigo!$E27:INDEX(Trigo!$E27:$Z27,MIN(T$6-$E$3,22))),0))-IF($G$2,0,IF((T$6-$G$3)&lt;1,0,IFERROR(LOOKUP(2,1/(Trigo!$E27:INDEX(Trigo!$E27:$Z27,MIN(T$6-$G$3,22))&lt;&gt;""),Trigo!$E27:INDEX(Trigo!$E27:$Z27,MIN(T$6-$G$3,22))),0)))))</f>
        <v>0</v>
      </c>
      <c r="U29" s="27" t="n">
        <f aca="false">IF(COUNT(Trigo!$E27:$Z27)=0,0,MAX(0,IF((U$6-$E$3)&lt;1,0,IFERROR(LOOKUP(2,1/(Trigo!$E27:INDEX(Trigo!$E27:$Z27,MIN(U$6-$E$3,22))&lt;&gt;""),Trigo!$E27:INDEX(Trigo!$E27:$Z27,MIN(U$6-$E$3,22))),0))-IF($G$2,0,IF((U$6-$G$3)&lt;1,0,IFERROR(LOOKUP(2,1/(Trigo!$E27:INDEX(Trigo!$E27:$Z27,MIN(U$6-$G$3,22))&lt;&gt;""),Trigo!$E27:INDEX(Trigo!$E27:$Z27,MIN(U$6-$G$3,22))),0)))))</f>
        <v>0</v>
      </c>
      <c r="V29" s="27" t="n">
        <f aca="false">IF(COUNT(Trigo!$E27:$Z27)=0,0,MAX(0,IF((V$6-$E$3)&lt;1,0,IFERROR(LOOKUP(2,1/(Trigo!$E27:INDEX(Trigo!$E27:$Z27,MIN(V$6-$E$3,22))&lt;&gt;""),Trigo!$E27:INDEX(Trigo!$E27:$Z27,MIN(V$6-$E$3,22))),0))-IF($G$2,0,IF((V$6-$G$3)&lt;1,0,IFERROR(LOOKUP(2,1/(Trigo!$E27:INDEX(Trigo!$E27:$Z27,MIN(V$6-$G$3,22))&lt;&gt;""),Trigo!$E27:INDEX(Trigo!$E27:$Z27,MIN(V$6-$G$3,22))),0)))))</f>
        <v>0</v>
      </c>
      <c r="W29" s="27" t="n">
        <f aca="false">IF(COUNT(Trigo!$E27:$Z27)=0,0,MAX(0,IF((W$6-$E$3)&lt;1,0,IFERROR(LOOKUP(2,1/(Trigo!$E27:INDEX(Trigo!$E27:$Z27,MIN(W$6-$E$3,22))&lt;&gt;""),Trigo!$E27:INDEX(Trigo!$E27:$Z27,MIN(W$6-$E$3,22))),0))-IF($G$2,0,IF((W$6-$G$3)&lt;1,0,IFERROR(LOOKUP(2,1/(Trigo!$E27:INDEX(Trigo!$E27:$Z27,MIN(W$6-$G$3,22))&lt;&gt;""),Trigo!$E27:INDEX(Trigo!$E27:$Z27,MIN(W$6-$G$3,22))),0)))))</f>
        <v>0</v>
      </c>
      <c r="X29" s="27" t="n">
        <f aca="false">IF(COUNT(Trigo!$E27:$Z27)=0,0,MAX(0,IF((X$6-$E$3)&lt;1,0,IFERROR(LOOKUP(2,1/(Trigo!$E27:INDEX(Trigo!$E27:$Z27,MIN(X$6-$E$3,22))&lt;&gt;""),Trigo!$E27:INDEX(Trigo!$E27:$Z27,MIN(X$6-$E$3,22))),0))-IF($G$2,0,IF((X$6-$G$3)&lt;1,0,IFERROR(LOOKUP(2,1/(Trigo!$E27:INDEX(Trigo!$E27:$Z27,MIN(X$6-$G$3,22))&lt;&gt;""),Trigo!$E27:INDEX(Trigo!$E27:$Z27,MIN(X$6-$G$3,22))),0)))))</f>
        <v>0</v>
      </c>
      <c r="Y29" s="27" t="n">
        <f aca="false">IF(COUNT(Trigo!$E27:$Z27)=0,0,MAX(0,IF((Y$6-$E$3)&lt;1,0,IFERROR(LOOKUP(2,1/(Trigo!$E27:INDEX(Trigo!$E27:$Z27,MIN(Y$6-$E$3,22))&lt;&gt;""),Trigo!$E27:INDEX(Trigo!$E27:$Z27,MIN(Y$6-$E$3,22))),0))-IF($G$2,0,IF((Y$6-$G$3)&lt;1,0,IFERROR(LOOKUP(2,1/(Trigo!$E27:INDEX(Trigo!$E27:$Z27,MIN(Y$6-$G$3,22))&lt;&gt;""),Trigo!$E27:INDEX(Trigo!$E27:$Z27,MIN(Y$6-$G$3,22))),0)))))</f>
        <v>0</v>
      </c>
      <c r="Z29" s="27" t="n">
        <f aca="false">IF(COUNT(Trigo!$E27:$Z27)=0,0,MAX(0,IF((Z$6-$E$3)&lt;1,0,IFERROR(LOOKUP(2,1/(Trigo!$E27:INDEX(Trigo!$E27:$Z27,MIN(Z$6-$E$3,22))&lt;&gt;""),Trigo!$E27:INDEX(Trigo!$E27:$Z27,MIN(Z$6-$E$3,22))),0))-IF($G$2,0,IF((Z$6-$G$3)&lt;1,0,IFERROR(LOOKUP(2,1/(Trigo!$E27:INDEX(Trigo!$E27:$Z27,MIN(Z$6-$G$3,22))&lt;&gt;""),Trigo!$E27:INDEX(Trigo!$E27:$Z27,MIN(Z$6-$G$3,22))),0)))))</f>
        <v>0</v>
      </c>
      <c r="AA29" s="27" t="n">
        <f aca="false">IF(COUNT(Trigo!$E27:$Z27)=0,0,MAX(0,IF((AA$6-$E$3)&lt;1,0,IFERROR(LOOKUP(2,1/(Trigo!$E27:INDEX(Trigo!$E27:$Z27,MIN(AA$6-$E$3,22))&lt;&gt;""),Trigo!$E27:INDEX(Trigo!$E27:$Z27,MIN(AA$6-$E$3,22))),0))-IF($G$2,0,IF((AA$6-$G$3)&lt;1,0,IFERROR(LOOKUP(2,1/(Trigo!$E27:INDEX(Trigo!$E27:$Z27,MIN(AA$6-$G$3,22))&lt;&gt;""),Trigo!$E27:INDEX(Trigo!$E27:$Z27,MIN(AA$6-$G$3,22))),0)))))</f>
        <v>0</v>
      </c>
      <c r="AB29" s="27" t="n">
        <f aca="false">IF(COUNT(Trigo!$E27:$Z27)=0,0,MAX(0,IF((AB$6-$E$3)&lt;1,0,IFERROR(LOOKUP(2,1/(Trigo!$E27:INDEX(Trigo!$E27:$Z27,MIN(AB$6-$E$3,22))&lt;&gt;""),Trigo!$E27:INDEX(Trigo!$E27:$Z27,MIN(AB$6-$E$3,22))),0))-IF($G$2,0,IF((AB$6-$G$3)&lt;1,0,IFERROR(LOOKUP(2,1/(Trigo!$E27:INDEX(Trigo!$E27:$Z27,MIN(AB$6-$G$3,22))&lt;&gt;""),Trigo!$E27:INDEX(Trigo!$E27:$Z27,MIN(AB$6-$G$3,22))),0)))))</f>
        <v>0</v>
      </c>
      <c r="AC29" s="27" t="n">
        <f aca="false">IF(COUNT(Trigo!$E27:$Z27)=0,0,MAX(0,IF((AC$6-$E$3)&lt;1,0,IFERROR(LOOKUP(2,1/(Trigo!$E27:INDEX(Trigo!$E27:$Z27,MIN(AC$6-$E$3,22))&lt;&gt;""),Trigo!$E27:INDEX(Trigo!$E27:$Z27,MIN(AC$6-$E$3,22))),0))-IF($G$2,0,IF((AC$6-$G$3)&lt;1,0,IFERROR(LOOKUP(2,1/(Trigo!$E27:INDEX(Trigo!$E27:$Z27,MIN(AC$6-$G$3,22))&lt;&gt;""),Trigo!$E27:INDEX(Trigo!$E27:$Z27,MIN(AC$6-$G$3,22))),0)))))</f>
        <v>0</v>
      </c>
      <c r="AD29" s="27" t="n">
        <f aca="false">IF(COUNT(Trigo!$E27:$Z27)=0,0,MAX(0,IF((AD$6-$E$3)&lt;1,0,IFERROR(LOOKUP(2,1/(Trigo!$E27:INDEX(Trigo!$E27:$Z27,MIN(AD$6-$E$3,22))&lt;&gt;""),Trigo!$E27:INDEX(Trigo!$E27:$Z27,MIN(AD$6-$E$3,22))),0))-IF($G$2,0,IF((AD$6-$G$3)&lt;1,0,IFERROR(LOOKUP(2,1/(Trigo!$E27:INDEX(Trigo!$E27:$Z27,MIN(AD$6-$G$3,22))&lt;&gt;""),Trigo!$E27:INDEX(Trigo!$E27:$Z27,MIN(AD$6-$G$3,22))),0)))))</f>
        <v>0</v>
      </c>
      <c r="AE29" s="27" t="n">
        <f aca="false">IF(COUNT(Trigo!$E27:$Z27)=0,0,MAX(0,IF((AE$6-$E$3)&lt;1,0,IFERROR(LOOKUP(2,1/(Trigo!$E27:INDEX(Trigo!$E27:$Z27,MIN(AE$6-$E$3,22))&lt;&gt;""),Trigo!$E27:INDEX(Trigo!$E27:$Z27,MIN(AE$6-$E$3,22))),0))-IF($G$2,0,IF((AE$6-$G$3)&lt;1,0,IFERROR(LOOKUP(2,1/(Trigo!$E27:INDEX(Trigo!$E27:$Z27,MIN(AE$6-$G$3,22))&lt;&gt;""),Trigo!$E27:INDEX(Trigo!$E27:$Z27,MIN(AE$6-$G$3,22))),0)))))</f>
        <v>0</v>
      </c>
      <c r="AF29" s="27" t="n">
        <f aca="false">IF(COUNT(Trigo!$E27:$Z27)=0,0,MAX(0,IF((AF$6-$E$3)&lt;1,0,IFERROR(LOOKUP(2,1/(Trigo!$E27:INDEX(Trigo!$E27:$Z27,MIN(AF$6-$E$3,22))&lt;&gt;""),Trigo!$E27:INDEX(Trigo!$E27:$Z27,MIN(AF$6-$E$3,22))),0))-IF($G$2,0,IF((AF$6-$G$3)&lt;1,0,IFERROR(LOOKUP(2,1/(Trigo!$E27:INDEX(Trigo!$E27:$Z27,MIN(AF$6-$G$3,22))&lt;&gt;""),Trigo!$E27:INDEX(Trigo!$E27:$Z27,MIN(AF$6-$G$3,22))),0)))))</f>
        <v>0</v>
      </c>
      <c r="AG29" s="27" t="n">
        <f aca="false">IF(COUNT(Trigo!$E27:$Z27)=0,0,MAX(0,IF((AG$6-$E$3)&lt;1,0,IFERROR(LOOKUP(2,1/(Trigo!$E27:INDEX(Trigo!$E27:$Z27,MIN(AG$6-$E$3,22))&lt;&gt;""),Trigo!$E27:INDEX(Trigo!$E27:$Z27,MIN(AG$6-$E$3,22))),0))-IF($G$2,0,IF((AG$6-$G$3)&lt;1,0,IFERROR(LOOKUP(2,1/(Trigo!$E27:INDEX(Trigo!$E27:$Z27,MIN(AG$6-$G$3,22))&lt;&gt;""),Trigo!$E27:INDEX(Trigo!$E27:$Z27,MIN(AG$6-$G$3,22))),0)))))</f>
        <v>0</v>
      </c>
      <c r="AH29" s="27" t="n">
        <f aca="false">IF(COUNT(Trigo!$E27:$Z27)=0,0,MAX(0,IF((AH$6-$E$3)&lt;1,0,IFERROR(LOOKUP(2,1/(Trigo!$E27:INDEX(Trigo!$E27:$Z27,MIN(AH$6-$E$3,22))&lt;&gt;""),Trigo!$E27:INDEX(Trigo!$E27:$Z27,MIN(AH$6-$E$3,22))),0))-IF($G$2,0,IF((AH$6-$G$3)&lt;1,0,IFERROR(LOOKUP(2,1/(Trigo!$E27:INDEX(Trigo!$E27:$Z27,MIN(AH$6-$G$3,22))&lt;&gt;""),Trigo!$E27:INDEX(Trigo!$E27:$Z27,MIN(AH$6-$G$3,22))),0)))))</f>
        <v>0</v>
      </c>
      <c r="AI29" s="27" t="n">
        <f aca="false">IF(COUNT(Trigo!$E27:$Z27)=0,0,MAX(0,IF((AI$6-$E$3)&lt;1,0,IFERROR(LOOKUP(2,1/(Trigo!$E27:INDEX(Trigo!$E27:$Z27,MIN(AI$6-$E$3,22))&lt;&gt;""),Trigo!$E27:INDEX(Trigo!$E27:$Z27,MIN(AI$6-$E$3,22))),0))-IF($G$2,0,IF((AI$6-$G$3)&lt;1,0,IFERROR(LOOKUP(2,1/(Trigo!$E27:INDEX(Trigo!$E27:$Z27,MIN(AI$6-$G$3,22))&lt;&gt;""),Trigo!$E27:INDEX(Trigo!$E27:$Z27,MIN(AI$6-$G$3,22))),0)))))</f>
        <v>0</v>
      </c>
      <c r="AJ29" s="27" t="n">
        <f aca="false">IF(COUNT(Trigo!$E27:$Z27)=0,0,MAX(0,IF((AJ$6-$E$3)&lt;1,0,IFERROR(LOOKUP(2,1/(Trigo!$E27:INDEX(Trigo!$E27:$Z27,MIN(AJ$6-$E$3,22))&lt;&gt;""),Trigo!$E27:INDEX(Trigo!$E27:$Z27,MIN(AJ$6-$E$3,22))),0))-IF($G$2,0,IF((AJ$6-$G$3)&lt;1,0,IFERROR(LOOKUP(2,1/(Trigo!$E27:INDEX(Trigo!$E27:$Z27,MIN(AJ$6-$G$3,22))&lt;&gt;""),Trigo!$E27:INDEX(Trigo!$E27:$Z27,MIN(AJ$6-$G$3,22))),0)))))</f>
        <v>0</v>
      </c>
      <c r="AK29" s="27" t="n">
        <f aca="false">IF(COUNT(Trigo!$E27:$Z27)=0,0,MAX(0,IF((AK$6-$E$3)&lt;1,0,IFERROR(LOOKUP(2,1/(Trigo!$E27:INDEX(Trigo!$E27:$Z27,MIN(AK$6-$E$3,22))&lt;&gt;""),Trigo!$E27:INDEX(Trigo!$E27:$Z27,MIN(AK$6-$E$3,22))),0))-IF($G$2,0,IF((AK$6-$G$3)&lt;1,0,IFERROR(LOOKUP(2,1/(Trigo!$E27:INDEX(Trigo!$E27:$Z27,MIN(AK$6-$G$3,22))&lt;&gt;""),Trigo!$E27:INDEX(Trigo!$E27:$Z27,MIN(AK$6-$G$3,22))),0)))))</f>
        <v>0</v>
      </c>
      <c r="AL29" s="27" t="n">
        <f aca="false">IF(COUNT(Trigo!$E27:$Z27)=0,0,MAX(0,IF((AL$6-$E$3)&lt;1,0,IFERROR(LOOKUP(2,1/(Trigo!$E27:INDEX(Trigo!$E27:$Z27,MIN(AL$6-$E$3,22))&lt;&gt;""),Trigo!$E27:INDEX(Trigo!$E27:$Z27,MIN(AL$6-$E$3,22))),0))-IF($G$2,0,IF((AL$6-$G$3)&lt;1,0,IFERROR(LOOKUP(2,1/(Trigo!$E27:INDEX(Trigo!$E27:$Z27,MIN(AL$6-$G$3,22))&lt;&gt;""),Trigo!$E27:INDEX(Trigo!$E27:$Z27,MIN(AL$6-$G$3,22))),0)))))</f>
        <v>0</v>
      </c>
      <c r="AM29" s="27" t="n">
        <f aca="false">IF(COUNT(Trigo!$E27:$Z27)=0,0,MAX(0,IF((AM$6-$E$3)&lt;1,0,IFERROR(LOOKUP(2,1/(Trigo!$E27:INDEX(Trigo!$E27:$Z27,MIN(AM$6-$E$3,22))&lt;&gt;""),Trigo!$E27:INDEX(Trigo!$E27:$Z27,MIN(AM$6-$E$3,22))),0))-IF($G$2,0,IF((AM$6-$G$3)&lt;1,0,IFERROR(LOOKUP(2,1/(Trigo!$E27:INDEX(Trigo!$E27:$Z27,MIN(AM$6-$G$3,22))&lt;&gt;""),Trigo!$E27:INDEX(Trigo!$E27:$Z27,MIN(AM$6-$G$3,22))),0)))))</f>
        <v>0</v>
      </c>
      <c r="AN29" s="27" t="n">
        <f aca="false">IF(COUNT(Trigo!$E27:$Z27)=0,0,MAX(0,IF((AN$6-$E$3)&lt;1,0,IFERROR(LOOKUP(2,1/(Trigo!$E27:INDEX(Trigo!$E27:$Z27,MIN(AN$6-$E$3,22))&lt;&gt;""),Trigo!$E27:INDEX(Trigo!$E27:$Z27,MIN(AN$6-$E$3,22))),0))-IF($G$2,0,IF((AN$6-$G$3)&lt;1,0,IFERROR(LOOKUP(2,1/(Trigo!$E27:INDEX(Trigo!$E27:$Z27,MIN(AN$6-$G$3,22))&lt;&gt;""),Trigo!$E27:INDEX(Trigo!$E27:$Z27,MIN(AN$6-$G$3,22))),0)))))</f>
        <v>0</v>
      </c>
      <c r="AO29" s="27" t="n">
        <f aca="false">IF(COUNT(Trigo!$E27:$Z27)=0,0,MAX(0,IF((AO$6-$E$3)&lt;1,0,IFERROR(LOOKUP(2,1/(Trigo!$E27:INDEX(Trigo!$E27:$Z27,MIN(AO$6-$E$3,22))&lt;&gt;""),Trigo!$E27:INDEX(Trigo!$E27:$Z27,MIN(AO$6-$E$3,22))),0))-IF($G$2,0,IF((AO$6-$G$3)&lt;1,0,IFERROR(LOOKUP(2,1/(Trigo!$E27:INDEX(Trigo!$E27:$Z27,MIN(AO$6-$G$3,22))&lt;&gt;""),Trigo!$E27:INDEX(Trigo!$E27:$Z27,MIN(AO$6-$G$3,22))),0)))))</f>
        <v>0</v>
      </c>
      <c r="AP29" s="27" t="n">
        <f aca="false">IF(COUNT(Trigo!$E27:$Z27)=0,0,MAX(0,IF((AP$6-$E$3)&lt;1,0,IFERROR(LOOKUP(2,1/(Trigo!$E27:INDEX(Trigo!$E27:$Z27,MIN(AP$6-$E$3,22))&lt;&gt;""),Trigo!$E27:INDEX(Trigo!$E27:$Z27,MIN(AP$6-$E$3,22))),0))-IF($G$2,0,IF((AP$6-$G$3)&lt;1,0,IFERROR(LOOKUP(2,1/(Trigo!$E27:INDEX(Trigo!$E27:$Z27,MIN(AP$6-$G$3,22))&lt;&gt;""),Trigo!$E27:INDEX(Trigo!$E27:$Z27,MIN(AP$6-$G$3,22))),0)))))</f>
        <v>0</v>
      </c>
      <c r="AQ29" s="27" t="n">
        <f aca="false">IF(COUNT(Trigo!$E27:$Z27)=0,0,MAX(0,IF((AQ$6-$E$3)&lt;1,0,IFERROR(LOOKUP(2,1/(Trigo!$E27:INDEX(Trigo!$E27:$Z27,MIN(AQ$6-$E$3,22))&lt;&gt;""),Trigo!$E27:INDEX(Trigo!$E27:$Z27,MIN(AQ$6-$E$3,22))),0))-IF($G$2,0,IF((AQ$6-$G$3)&lt;1,0,IFERROR(LOOKUP(2,1/(Trigo!$E27:INDEX(Trigo!$E27:$Z27,MIN(AQ$6-$G$3,22))&lt;&gt;""),Trigo!$E27:INDEX(Trigo!$E27:$Z27,MIN(AQ$6-$G$3,22))),0)))))</f>
        <v>0</v>
      </c>
      <c r="AR29" s="27" t="n">
        <f aca="false">IF(COUNT(Trigo!$E27:$Z27)=0,0,MAX(0,IF((AR$6-$E$3)&lt;1,0,IFERROR(LOOKUP(2,1/(Trigo!$E27:INDEX(Trigo!$E27:$Z27,MIN(AR$6-$E$3,22))&lt;&gt;""),Trigo!$E27:INDEX(Trigo!$E27:$Z27,MIN(AR$6-$E$3,22))),0))-IF($G$2,0,IF((AR$6-$G$3)&lt;1,0,IFERROR(LOOKUP(2,1/(Trigo!$E27:INDEX(Trigo!$E27:$Z27,MIN(AR$6-$G$3,22))&lt;&gt;""),Trigo!$E27:INDEX(Trigo!$E27:$Z27,MIN(AR$6-$G$3,22))),0)))))</f>
        <v>0</v>
      </c>
      <c r="AS29" s="27" t="n">
        <f aca="false">IF(COUNT(Trigo!$E27:$Z27)=0,0,MAX(0,IF((AS$6-$E$3)&lt;1,0,IFERROR(LOOKUP(2,1/(Trigo!$E27:INDEX(Trigo!$E27:$Z27,MIN(AS$6-$E$3,22))&lt;&gt;""),Trigo!$E27:INDEX(Trigo!$E27:$Z27,MIN(AS$6-$E$3,22))),0))-IF($G$2,0,IF((AS$6-$G$3)&lt;1,0,IFERROR(LOOKUP(2,1/(Trigo!$E27:INDEX(Trigo!$E27:$Z27,MIN(AS$6-$G$3,22))&lt;&gt;""),Trigo!$E27:INDEX(Trigo!$E27:$Z27,MIN(AS$6-$G$3,22))),0)))))</f>
        <v>0</v>
      </c>
      <c r="AT29" s="27" t="n">
        <f aca="false">IF(COUNT(Trigo!$E27:$Z27)=0,0,MAX(0,IF((AT$6-$E$3)&lt;1,0,IFERROR(LOOKUP(2,1/(Trigo!$E27:INDEX(Trigo!$E27:$Z27,MIN(AT$6-$E$3,22))&lt;&gt;""),Trigo!$E27:INDEX(Trigo!$E27:$Z27,MIN(AT$6-$E$3,22))),0))-IF($G$2,0,IF((AT$6-$G$3)&lt;1,0,IFERROR(LOOKUP(2,1/(Trigo!$E27:INDEX(Trigo!$E27:$Z27,MIN(AT$6-$G$3,22))&lt;&gt;""),Trigo!$E27:INDEX(Trigo!$E27:$Z27,MIN(AT$6-$G$3,22))),0)))))</f>
        <v>0</v>
      </c>
      <c r="AU29" s="27" t="n">
        <f aca="false">IF(COUNT(Trigo!$E27:$Z27)=0,0,MAX(0,IF((AU$6-$E$3)&lt;1,0,IFERROR(LOOKUP(2,1/(Trigo!$E27:INDEX(Trigo!$E27:$Z27,MIN(AU$6-$E$3,22))&lt;&gt;""),Trigo!$E27:INDEX(Trigo!$E27:$Z27,MIN(AU$6-$E$3,22))),0))-IF($G$2,0,IF((AU$6-$G$3)&lt;1,0,IFERROR(LOOKUP(2,1/(Trigo!$E27:INDEX(Trigo!$E27:$Z27,MIN(AU$6-$G$3,22))&lt;&gt;""),Trigo!$E27:INDEX(Trigo!$E27:$Z27,MIN(AU$6-$G$3,22))),0)))))</f>
        <v>0</v>
      </c>
      <c r="AV29" s="27" t="n">
        <f aca="false">IF(COUNT(Trigo!$E27:$Z27)=0,0,MAX(0,IF((AV$6-$E$3)&lt;1,0,IFERROR(LOOKUP(2,1/(Trigo!$E27:INDEX(Trigo!$E27:$Z27,MIN(AV$6-$E$3,22))&lt;&gt;""),Trigo!$E27:INDEX(Trigo!$E27:$Z27,MIN(AV$6-$E$3,22))),0))-IF($G$2,0,IF((AV$6-$G$3)&lt;1,0,IFERROR(LOOKUP(2,1/(Trigo!$E27:INDEX(Trigo!$E27:$Z27,MIN(AV$6-$G$3,22))&lt;&gt;""),Trigo!$E27:INDEX(Trigo!$E27:$Z27,MIN(AV$6-$G$3,22))),0)))))</f>
        <v>0</v>
      </c>
      <c r="AW29" s="27" t="n">
        <f aca="false">IF(COUNT(Trigo!$E27:$Z27)=0,0,MAX(0,IF((AW$6-$E$3)&lt;1,0,IFERROR(LOOKUP(2,1/(Trigo!$E27:INDEX(Trigo!$E27:$Z27,MIN(AW$6-$E$3,22))&lt;&gt;""),Trigo!$E27:INDEX(Trigo!$E27:$Z27,MIN(AW$6-$E$3,22))),0))-IF($G$2,0,IF((AW$6-$G$3)&lt;1,0,IFERROR(LOOKUP(2,1/(Trigo!$E27:INDEX(Trigo!$E27:$Z27,MIN(AW$6-$G$3,22))&lt;&gt;""),Trigo!$E27:INDEX(Trigo!$E27:$Z27,MIN(AW$6-$G$3,22))),0)))))</f>
        <v>0</v>
      </c>
      <c r="AX29" s="27" t="n">
        <f aca="false">IF(COUNT(Trigo!$E27:$Z27)=0,0,MAX(0,IF((AX$6-$E$3)&lt;1,0,IFERROR(LOOKUP(2,1/(Trigo!$E27:INDEX(Trigo!$E27:$Z27,MIN(AX$6-$E$3,22))&lt;&gt;""),Trigo!$E27:INDEX(Trigo!$E27:$Z27,MIN(AX$6-$E$3,22))),0))-IF($G$2,0,IF((AX$6-$G$3)&lt;1,0,IFERROR(LOOKUP(2,1/(Trigo!$E27:INDEX(Trigo!$E27:$Z27,MIN(AX$6-$G$3,22))&lt;&gt;""),Trigo!$E27:INDEX(Trigo!$E27:$Z27,MIN(AX$6-$G$3,22))),0)))))</f>
        <v>0</v>
      </c>
      <c r="AY29" s="27" t="n">
        <f aca="false">IF(COUNT(Trigo!$E27:$Z27)=0,0,MAX(0,IF((AY$6-$E$3)&lt;1,0,IFERROR(LOOKUP(2,1/(Trigo!$E27:INDEX(Trigo!$E27:$Z27,MIN(AY$6-$E$3,22))&lt;&gt;""),Trigo!$E27:INDEX(Trigo!$E27:$Z27,MIN(AY$6-$E$3,22))),0))-IF($G$2,0,IF((AY$6-$G$3)&lt;1,0,IFERROR(LOOKUP(2,1/(Trigo!$E27:INDEX(Trigo!$E27:$Z27,MIN(AY$6-$G$3,22))&lt;&gt;""),Trigo!$E27:INDEX(Trigo!$E27:$Z27,MIN(AY$6-$G$3,22))),0)))))</f>
        <v>0</v>
      </c>
      <c r="AZ29" s="27" t="n">
        <f aca="false">IF(COUNT(Trigo!$E27:$Z27)=0,0,MAX(0,IF((AZ$6-$E$3)&lt;1,0,IFERROR(LOOKUP(2,1/(Trigo!$E27:INDEX(Trigo!$E27:$Z27,MIN(AZ$6-$E$3,22))&lt;&gt;""),Trigo!$E27:INDEX(Trigo!$E27:$Z27,MIN(AZ$6-$E$3,22))),0))-IF($G$2,0,IF((AZ$6-$G$3)&lt;1,0,IFERROR(LOOKUP(2,1/(Trigo!$E27:INDEX(Trigo!$E27:$Z27,MIN(AZ$6-$G$3,22))&lt;&gt;""),Trigo!$E27:INDEX(Trigo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IF(COUNT(Trigo!$E28:$Z28)&gt;0,N(Trigo!$D28),0)</f>
        <v>0</v>
      </c>
      <c r="E30" s="27" t="n">
        <f aca="false">IF(COUNT(Trigo!$E28:$Z28)=0,0,MAX(0,IF((E$6-$E$3)&lt;1,0,IFERROR(LOOKUP(2,1/(Trigo!$E28:INDEX(Trigo!$E28:$Z28,MIN(E$6-$E$3,22))&lt;&gt;""),Trigo!$E28:INDEX(Trigo!$E28:$Z28,MIN(E$6-$E$3,22))),0))-IF($G$2,0,IF((E$6-$G$3)&lt;1,0,IFERROR(LOOKUP(2,1/(Trigo!$E28:INDEX(Trigo!$E28:$Z28,MIN(E$6-$G$3,22))&lt;&gt;""),Trigo!$E28:INDEX(Trigo!$E28:$Z28,MIN(E$6-$G$3,22))),0)))))</f>
        <v>0</v>
      </c>
      <c r="F30" s="27" t="n">
        <f aca="false">IF(COUNT(Trigo!$E28:$Z28)=0,0,MAX(0,IF((F$6-$E$3)&lt;1,0,IFERROR(LOOKUP(2,1/(Trigo!$E28:INDEX(Trigo!$E28:$Z28,MIN(F$6-$E$3,22))&lt;&gt;""),Trigo!$E28:INDEX(Trigo!$E28:$Z28,MIN(F$6-$E$3,22))),0))-IF($G$2,0,IF((F$6-$G$3)&lt;1,0,IFERROR(LOOKUP(2,1/(Trigo!$E28:INDEX(Trigo!$E28:$Z28,MIN(F$6-$G$3,22))&lt;&gt;""),Trigo!$E28:INDEX(Trigo!$E28:$Z28,MIN(F$6-$G$3,22))),0)))))</f>
        <v>0</v>
      </c>
      <c r="G30" s="27" t="n">
        <f aca="false">IF(COUNT(Trigo!$E28:$Z28)=0,0,MAX(0,IF((G$6-$E$3)&lt;1,0,IFERROR(LOOKUP(2,1/(Trigo!$E28:INDEX(Trigo!$E28:$Z28,MIN(G$6-$E$3,22))&lt;&gt;""),Trigo!$E28:INDEX(Trigo!$E28:$Z28,MIN(G$6-$E$3,22))),0))-IF($G$2,0,IF((G$6-$G$3)&lt;1,0,IFERROR(LOOKUP(2,1/(Trigo!$E28:INDEX(Trigo!$E28:$Z28,MIN(G$6-$G$3,22))&lt;&gt;""),Trigo!$E28:INDEX(Trigo!$E28:$Z28,MIN(G$6-$G$3,22))),0)))))</f>
        <v>0</v>
      </c>
      <c r="H30" s="27" t="n">
        <f aca="false">IF(COUNT(Trigo!$E28:$Z28)=0,0,MAX(0,IF((H$6-$E$3)&lt;1,0,IFERROR(LOOKUP(2,1/(Trigo!$E28:INDEX(Trigo!$E28:$Z28,MIN(H$6-$E$3,22))&lt;&gt;""),Trigo!$E28:INDEX(Trigo!$E28:$Z28,MIN(H$6-$E$3,22))),0))-IF($G$2,0,IF((H$6-$G$3)&lt;1,0,IFERROR(LOOKUP(2,1/(Trigo!$E28:INDEX(Trigo!$E28:$Z28,MIN(H$6-$G$3,22))&lt;&gt;""),Trigo!$E28:INDEX(Trigo!$E28:$Z28,MIN(H$6-$G$3,22))),0)))))</f>
        <v>0</v>
      </c>
      <c r="I30" s="27" t="n">
        <f aca="false">IF(COUNT(Trigo!$E28:$Z28)=0,0,MAX(0,IF((I$6-$E$3)&lt;1,0,IFERROR(LOOKUP(2,1/(Trigo!$E28:INDEX(Trigo!$E28:$Z28,MIN(I$6-$E$3,22))&lt;&gt;""),Trigo!$E28:INDEX(Trigo!$E28:$Z28,MIN(I$6-$E$3,22))),0))-IF($G$2,0,IF((I$6-$G$3)&lt;1,0,IFERROR(LOOKUP(2,1/(Trigo!$E28:INDEX(Trigo!$E28:$Z28,MIN(I$6-$G$3,22))&lt;&gt;""),Trigo!$E28:INDEX(Trigo!$E28:$Z28,MIN(I$6-$G$3,22))),0)))))</f>
        <v>0</v>
      </c>
      <c r="J30" s="27" t="n">
        <f aca="false">IF(COUNT(Trigo!$E28:$Z28)=0,0,MAX(0,IF((J$6-$E$3)&lt;1,0,IFERROR(LOOKUP(2,1/(Trigo!$E28:INDEX(Trigo!$E28:$Z28,MIN(J$6-$E$3,22))&lt;&gt;""),Trigo!$E28:INDEX(Trigo!$E28:$Z28,MIN(J$6-$E$3,22))),0))-IF($G$2,0,IF((J$6-$G$3)&lt;1,0,IFERROR(LOOKUP(2,1/(Trigo!$E28:INDEX(Trigo!$E28:$Z28,MIN(J$6-$G$3,22))&lt;&gt;""),Trigo!$E28:INDEX(Trigo!$E28:$Z28,MIN(J$6-$G$3,22))),0)))))</f>
        <v>0</v>
      </c>
      <c r="K30" s="27" t="n">
        <f aca="false">IF(COUNT(Trigo!$E28:$Z28)=0,0,MAX(0,IF((K$6-$E$3)&lt;1,0,IFERROR(LOOKUP(2,1/(Trigo!$E28:INDEX(Trigo!$E28:$Z28,MIN(K$6-$E$3,22))&lt;&gt;""),Trigo!$E28:INDEX(Trigo!$E28:$Z28,MIN(K$6-$E$3,22))),0))-IF($G$2,0,IF((K$6-$G$3)&lt;1,0,IFERROR(LOOKUP(2,1/(Trigo!$E28:INDEX(Trigo!$E28:$Z28,MIN(K$6-$G$3,22))&lt;&gt;""),Trigo!$E28:INDEX(Trigo!$E28:$Z28,MIN(K$6-$G$3,22))),0)))))</f>
        <v>0</v>
      </c>
      <c r="L30" s="27" t="n">
        <f aca="false">IF(COUNT(Trigo!$E28:$Z28)=0,0,MAX(0,IF((L$6-$E$3)&lt;1,0,IFERROR(LOOKUP(2,1/(Trigo!$E28:INDEX(Trigo!$E28:$Z28,MIN(L$6-$E$3,22))&lt;&gt;""),Trigo!$E28:INDEX(Trigo!$E28:$Z28,MIN(L$6-$E$3,22))),0))-IF($G$2,0,IF((L$6-$G$3)&lt;1,0,IFERROR(LOOKUP(2,1/(Trigo!$E28:INDEX(Trigo!$E28:$Z28,MIN(L$6-$G$3,22))&lt;&gt;""),Trigo!$E28:INDEX(Trigo!$E28:$Z28,MIN(L$6-$G$3,22))),0)))))</f>
        <v>0</v>
      </c>
      <c r="M30" s="27" t="n">
        <f aca="false">IF(COUNT(Trigo!$E28:$Z28)=0,0,MAX(0,IF((M$6-$E$3)&lt;1,0,IFERROR(LOOKUP(2,1/(Trigo!$E28:INDEX(Trigo!$E28:$Z28,MIN(M$6-$E$3,22))&lt;&gt;""),Trigo!$E28:INDEX(Trigo!$E28:$Z28,MIN(M$6-$E$3,22))),0))-IF($G$2,0,IF((M$6-$G$3)&lt;1,0,IFERROR(LOOKUP(2,1/(Trigo!$E28:INDEX(Trigo!$E28:$Z28,MIN(M$6-$G$3,22))&lt;&gt;""),Trigo!$E28:INDEX(Trigo!$E28:$Z28,MIN(M$6-$G$3,22))),0)))))</f>
        <v>0</v>
      </c>
      <c r="N30" s="27" t="n">
        <f aca="false">IF(COUNT(Trigo!$E28:$Z28)=0,0,MAX(0,IF((N$6-$E$3)&lt;1,0,IFERROR(LOOKUP(2,1/(Trigo!$E28:INDEX(Trigo!$E28:$Z28,MIN(N$6-$E$3,22))&lt;&gt;""),Trigo!$E28:INDEX(Trigo!$E28:$Z28,MIN(N$6-$E$3,22))),0))-IF($G$2,0,IF((N$6-$G$3)&lt;1,0,IFERROR(LOOKUP(2,1/(Trigo!$E28:INDEX(Trigo!$E28:$Z28,MIN(N$6-$G$3,22))&lt;&gt;""),Trigo!$E28:INDEX(Trigo!$E28:$Z28,MIN(N$6-$G$3,22))),0)))))</f>
        <v>0</v>
      </c>
      <c r="O30" s="27" t="n">
        <f aca="false">IF(COUNT(Trigo!$E28:$Z28)=0,0,MAX(0,IF((O$6-$E$3)&lt;1,0,IFERROR(LOOKUP(2,1/(Trigo!$E28:INDEX(Trigo!$E28:$Z28,MIN(O$6-$E$3,22))&lt;&gt;""),Trigo!$E28:INDEX(Trigo!$E28:$Z28,MIN(O$6-$E$3,22))),0))-IF($G$2,0,IF((O$6-$G$3)&lt;1,0,IFERROR(LOOKUP(2,1/(Trigo!$E28:INDEX(Trigo!$E28:$Z28,MIN(O$6-$G$3,22))&lt;&gt;""),Trigo!$E28:INDEX(Trigo!$E28:$Z28,MIN(O$6-$G$3,22))),0)))))</f>
        <v>0</v>
      </c>
      <c r="P30" s="27" t="n">
        <f aca="false">IF(COUNT(Trigo!$E28:$Z28)=0,0,MAX(0,IF((P$6-$E$3)&lt;1,0,IFERROR(LOOKUP(2,1/(Trigo!$E28:INDEX(Trigo!$E28:$Z28,MIN(P$6-$E$3,22))&lt;&gt;""),Trigo!$E28:INDEX(Trigo!$E28:$Z28,MIN(P$6-$E$3,22))),0))-IF($G$2,0,IF((P$6-$G$3)&lt;1,0,IFERROR(LOOKUP(2,1/(Trigo!$E28:INDEX(Trigo!$E28:$Z28,MIN(P$6-$G$3,22))&lt;&gt;""),Trigo!$E28:INDEX(Trigo!$E28:$Z28,MIN(P$6-$G$3,22))),0)))))</f>
        <v>0</v>
      </c>
      <c r="Q30" s="27" t="n">
        <f aca="false">IF(COUNT(Trigo!$E28:$Z28)=0,0,MAX(0,IF((Q$6-$E$3)&lt;1,0,IFERROR(LOOKUP(2,1/(Trigo!$E28:INDEX(Trigo!$E28:$Z28,MIN(Q$6-$E$3,22))&lt;&gt;""),Trigo!$E28:INDEX(Trigo!$E28:$Z28,MIN(Q$6-$E$3,22))),0))-IF($G$2,0,IF((Q$6-$G$3)&lt;1,0,IFERROR(LOOKUP(2,1/(Trigo!$E28:INDEX(Trigo!$E28:$Z28,MIN(Q$6-$G$3,22))&lt;&gt;""),Trigo!$E28:INDEX(Trigo!$E28:$Z28,MIN(Q$6-$G$3,22))),0)))))</f>
        <v>0</v>
      </c>
      <c r="R30" s="27" t="n">
        <f aca="false">IF(COUNT(Trigo!$E28:$Z28)=0,0,MAX(0,IF((R$6-$E$3)&lt;1,0,IFERROR(LOOKUP(2,1/(Trigo!$E28:INDEX(Trigo!$E28:$Z28,MIN(R$6-$E$3,22))&lt;&gt;""),Trigo!$E28:INDEX(Trigo!$E28:$Z28,MIN(R$6-$E$3,22))),0))-IF($G$2,0,IF((R$6-$G$3)&lt;1,0,IFERROR(LOOKUP(2,1/(Trigo!$E28:INDEX(Trigo!$E28:$Z28,MIN(R$6-$G$3,22))&lt;&gt;""),Trigo!$E28:INDEX(Trigo!$E28:$Z28,MIN(R$6-$G$3,22))),0)))))</f>
        <v>0</v>
      </c>
      <c r="S30" s="27" t="n">
        <f aca="false">IF(COUNT(Trigo!$E28:$Z28)=0,0,MAX(0,IF((S$6-$E$3)&lt;1,0,IFERROR(LOOKUP(2,1/(Trigo!$E28:INDEX(Trigo!$E28:$Z28,MIN(S$6-$E$3,22))&lt;&gt;""),Trigo!$E28:INDEX(Trigo!$E28:$Z28,MIN(S$6-$E$3,22))),0))-IF($G$2,0,IF((S$6-$G$3)&lt;1,0,IFERROR(LOOKUP(2,1/(Trigo!$E28:INDEX(Trigo!$E28:$Z28,MIN(S$6-$G$3,22))&lt;&gt;""),Trigo!$E28:INDEX(Trigo!$E28:$Z28,MIN(S$6-$G$3,22))),0)))))</f>
        <v>0</v>
      </c>
      <c r="T30" s="27" t="n">
        <f aca="false">IF(COUNT(Trigo!$E28:$Z28)=0,0,MAX(0,IF((T$6-$E$3)&lt;1,0,IFERROR(LOOKUP(2,1/(Trigo!$E28:INDEX(Trigo!$E28:$Z28,MIN(T$6-$E$3,22))&lt;&gt;""),Trigo!$E28:INDEX(Trigo!$E28:$Z28,MIN(T$6-$E$3,22))),0))-IF($G$2,0,IF((T$6-$G$3)&lt;1,0,IFERROR(LOOKUP(2,1/(Trigo!$E28:INDEX(Trigo!$E28:$Z28,MIN(T$6-$G$3,22))&lt;&gt;""),Trigo!$E28:INDEX(Trigo!$E28:$Z28,MIN(T$6-$G$3,22))),0)))))</f>
        <v>0</v>
      </c>
      <c r="U30" s="27" t="n">
        <f aca="false">IF(COUNT(Trigo!$E28:$Z28)=0,0,MAX(0,IF((U$6-$E$3)&lt;1,0,IFERROR(LOOKUP(2,1/(Trigo!$E28:INDEX(Trigo!$E28:$Z28,MIN(U$6-$E$3,22))&lt;&gt;""),Trigo!$E28:INDEX(Trigo!$E28:$Z28,MIN(U$6-$E$3,22))),0))-IF($G$2,0,IF((U$6-$G$3)&lt;1,0,IFERROR(LOOKUP(2,1/(Trigo!$E28:INDEX(Trigo!$E28:$Z28,MIN(U$6-$G$3,22))&lt;&gt;""),Trigo!$E28:INDEX(Trigo!$E28:$Z28,MIN(U$6-$G$3,22))),0)))))</f>
        <v>0</v>
      </c>
      <c r="V30" s="27" t="n">
        <f aca="false">IF(COUNT(Trigo!$E28:$Z28)=0,0,MAX(0,IF((V$6-$E$3)&lt;1,0,IFERROR(LOOKUP(2,1/(Trigo!$E28:INDEX(Trigo!$E28:$Z28,MIN(V$6-$E$3,22))&lt;&gt;""),Trigo!$E28:INDEX(Trigo!$E28:$Z28,MIN(V$6-$E$3,22))),0))-IF($G$2,0,IF((V$6-$G$3)&lt;1,0,IFERROR(LOOKUP(2,1/(Trigo!$E28:INDEX(Trigo!$E28:$Z28,MIN(V$6-$G$3,22))&lt;&gt;""),Trigo!$E28:INDEX(Trigo!$E28:$Z28,MIN(V$6-$G$3,22))),0)))))</f>
        <v>0</v>
      </c>
      <c r="W30" s="27" t="n">
        <f aca="false">IF(COUNT(Trigo!$E28:$Z28)=0,0,MAX(0,IF((W$6-$E$3)&lt;1,0,IFERROR(LOOKUP(2,1/(Trigo!$E28:INDEX(Trigo!$E28:$Z28,MIN(W$6-$E$3,22))&lt;&gt;""),Trigo!$E28:INDEX(Trigo!$E28:$Z28,MIN(W$6-$E$3,22))),0))-IF($G$2,0,IF((W$6-$G$3)&lt;1,0,IFERROR(LOOKUP(2,1/(Trigo!$E28:INDEX(Trigo!$E28:$Z28,MIN(W$6-$G$3,22))&lt;&gt;""),Trigo!$E28:INDEX(Trigo!$E28:$Z28,MIN(W$6-$G$3,22))),0)))))</f>
        <v>0</v>
      </c>
      <c r="X30" s="27" t="n">
        <f aca="false">IF(COUNT(Trigo!$E28:$Z28)=0,0,MAX(0,IF((X$6-$E$3)&lt;1,0,IFERROR(LOOKUP(2,1/(Trigo!$E28:INDEX(Trigo!$E28:$Z28,MIN(X$6-$E$3,22))&lt;&gt;""),Trigo!$E28:INDEX(Trigo!$E28:$Z28,MIN(X$6-$E$3,22))),0))-IF($G$2,0,IF((X$6-$G$3)&lt;1,0,IFERROR(LOOKUP(2,1/(Trigo!$E28:INDEX(Trigo!$E28:$Z28,MIN(X$6-$G$3,22))&lt;&gt;""),Trigo!$E28:INDEX(Trigo!$E28:$Z28,MIN(X$6-$G$3,22))),0)))))</f>
        <v>0</v>
      </c>
      <c r="Y30" s="27" t="n">
        <f aca="false">IF(COUNT(Trigo!$E28:$Z28)=0,0,MAX(0,IF((Y$6-$E$3)&lt;1,0,IFERROR(LOOKUP(2,1/(Trigo!$E28:INDEX(Trigo!$E28:$Z28,MIN(Y$6-$E$3,22))&lt;&gt;""),Trigo!$E28:INDEX(Trigo!$E28:$Z28,MIN(Y$6-$E$3,22))),0))-IF($G$2,0,IF((Y$6-$G$3)&lt;1,0,IFERROR(LOOKUP(2,1/(Trigo!$E28:INDEX(Trigo!$E28:$Z28,MIN(Y$6-$G$3,22))&lt;&gt;""),Trigo!$E28:INDEX(Trigo!$E28:$Z28,MIN(Y$6-$G$3,22))),0)))))</f>
        <v>0</v>
      </c>
      <c r="Z30" s="27" t="n">
        <f aca="false">IF(COUNT(Trigo!$E28:$Z28)=0,0,MAX(0,IF((Z$6-$E$3)&lt;1,0,IFERROR(LOOKUP(2,1/(Trigo!$E28:INDEX(Trigo!$E28:$Z28,MIN(Z$6-$E$3,22))&lt;&gt;""),Trigo!$E28:INDEX(Trigo!$E28:$Z28,MIN(Z$6-$E$3,22))),0))-IF($G$2,0,IF((Z$6-$G$3)&lt;1,0,IFERROR(LOOKUP(2,1/(Trigo!$E28:INDEX(Trigo!$E28:$Z28,MIN(Z$6-$G$3,22))&lt;&gt;""),Trigo!$E28:INDEX(Trigo!$E28:$Z28,MIN(Z$6-$G$3,22))),0)))))</f>
        <v>0</v>
      </c>
      <c r="AA30" s="27" t="n">
        <f aca="false">IF(COUNT(Trigo!$E28:$Z28)=0,0,MAX(0,IF((AA$6-$E$3)&lt;1,0,IFERROR(LOOKUP(2,1/(Trigo!$E28:INDEX(Trigo!$E28:$Z28,MIN(AA$6-$E$3,22))&lt;&gt;""),Trigo!$E28:INDEX(Trigo!$E28:$Z28,MIN(AA$6-$E$3,22))),0))-IF($G$2,0,IF((AA$6-$G$3)&lt;1,0,IFERROR(LOOKUP(2,1/(Trigo!$E28:INDEX(Trigo!$E28:$Z28,MIN(AA$6-$G$3,22))&lt;&gt;""),Trigo!$E28:INDEX(Trigo!$E28:$Z28,MIN(AA$6-$G$3,22))),0)))))</f>
        <v>0</v>
      </c>
      <c r="AB30" s="27" t="n">
        <f aca="false">IF(COUNT(Trigo!$E28:$Z28)=0,0,MAX(0,IF((AB$6-$E$3)&lt;1,0,IFERROR(LOOKUP(2,1/(Trigo!$E28:INDEX(Trigo!$E28:$Z28,MIN(AB$6-$E$3,22))&lt;&gt;""),Trigo!$E28:INDEX(Trigo!$E28:$Z28,MIN(AB$6-$E$3,22))),0))-IF($G$2,0,IF((AB$6-$G$3)&lt;1,0,IFERROR(LOOKUP(2,1/(Trigo!$E28:INDEX(Trigo!$E28:$Z28,MIN(AB$6-$G$3,22))&lt;&gt;""),Trigo!$E28:INDEX(Trigo!$E28:$Z28,MIN(AB$6-$G$3,22))),0)))))</f>
        <v>0</v>
      </c>
      <c r="AC30" s="27" t="n">
        <f aca="false">IF(COUNT(Trigo!$E28:$Z28)=0,0,MAX(0,IF((AC$6-$E$3)&lt;1,0,IFERROR(LOOKUP(2,1/(Trigo!$E28:INDEX(Trigo!$E28:$Z28,MIN(AC$6-$E$3,22))&lt;&gt;""),Trigo!$E28:INDEX(Trigo!$E28:$Z28,MIN(AC$6-$E$3,22))),0))-IF($G$2,0,IF((AC$6-$G$3)&lt;1,0,IFERROR(LOOKUP(2,1/(Trigo!$E28:INDEX(Trigo!$E28:$Z28,MIN(AC$6-$G$3,22))&lt;&gt;""),Trigo!$E28:INDEX(Trigo!$E28:$Z28,MIN(AC$6-$G$3,22))),0)))))</f>
        <v>0</v>
      </c>
      <c r="AD30" s="27" t="n">
        <f aca="false">IF(COUNT(Trigo!$E28:$Z28)=0,0,MAX(0,IF((AD$6-$E$3)&lt;1,0,IFERROR(LOOKUP(2,1/(Trigo!$E28:INDEX(Trigo!$E28:$Z28,MIN(AD$6-$E$3,22))&lt;&gt;""),Trigo!$E28:INDEX(Trigo!$E28:$Z28,MIN(AD$6-$E$3,22))),0))-IF($G$2,0,IF((AD$6-$G$3)&lt;1,0,IFERROR(LOOKUP(2,1/(Trigo!$E28:INDEX(Trigo!$E28:$Z28,MIN(AD$6-$G$3,22))&lt;&gt;""),Trigo!$E28:INDEX(Trigo!$E28:$Z28,MIN(AD$6-$G$3,22))),0)))))</f>
        <v>0</v>
      </c>
      <c r="AE30" s="27" t="n">
        <f aca="false">IF(COUNT(Trigo!$E28:$Z28)=0,0,MAX(0,IF((AE$6-$E$3)&lt;1,0,IFERROR(LOOKUP(2,1/(Trigo!$E28:INDEX(Trigo!$E28:$Z28,MIN(AE$6-$E$3,22))&lt;&gt;""),Trigo!$E28:INDEX(Trigo!$E28:$Z28,MIN(AE$6-$E$3,22))),0))-IF($G$2,0,IF((AE$6-$G$3)&lt;1,0,IFERROR(LOOKUP(2,1/(Trigo!$E28:INDEX(Trigo!$E28:$Z28,MIN(AE$6-$G$3,22))&lt;&gt;""),Trigo!$E28:INDEX(Trigo!$E28:$Z28,MIN(AE$6-$G$3,22))),0)))))</f>
        <v>0</v>
      </c>
      <c r="AF30" s="27" t="n">
        <f aca="false">IF(COUNT(Trigo!$E28:$Z28)=0,0,MAX(0,IF((AF$6-$E$3)&lt;1,0,IFERROR(LOOKUP(2,1/(Trigo!$E28:INDEX(Trigo!$E28:$Z28,MIN(AF$6-$E$3,22))&lt;&gt;""),Trigo!$E28:INDEX(Trigo!$E28:$Z28,MIN(AF$6-$E$3,22))),0))-IF($G$2,0,IF((AF$6-$G$3)&lt;1,0,IFERROR(LOOKUP(2,1/(Trigo!$E28:INDEX(Trigo!$E28:$Z28,MIN(AF$6-$G$3,22))&lt;&gt;""),Trigo!$E28:INDEX(Trigo!$E28:$Z28,MIN(AF$6-$G$3,22))),0)))))</f>
        <v>0</v>
      </c>
      <c r="AG30" s="27" t="n">
        <f aca="false">IF(COUNT(Trigo!$E28:$Z28)=0,0,MAX(0,IF((AG$6-$E$3)&lt;1,0,IFERROR(LOOKUP(2,1/(Trigo!$E28:INDEX(Trigo!$E28:$Z28,MIN(AG$6-$E$3,22))&lt;&gt;""),Trigo!$E28:INDEX(Trigo!$E28:$Z28,MIN(AG$6-$E$3,22))),0))-IF($G$2,0,IF((AG$6-$G$3)&lt;1,0,IFERROR(LOOKUP(2,1/(Trigo!$E28:INDEX(Trigo!$E28:$Z28,MIN(AG$6-$G$3,22))&lt;&gt;""),Trigo!$E28:INDEX(Trigo!$E28:$Z28,MIN(AG$6-$G$3,22))),0)))))</f>
        <v>0</v>
      </c>
      <c r="AH30" s="27" t="n">
        <f aca="false">IF(COUNT(Trigo!$E28:$Z28)=0,0,MAX(0,IF((AH$6-$E$3)&lt;1,0,IFERROR(LOOKUP(2,1/(Trigo!$E28:INDEX(Trigo!$E28:$Z28,MIN(AH$6-$E$3,22))&lt;&gt;""),Trigo!$E28:INDEX(Trigo!$E28:$Z28,MIN(AH$6-$E$3,22))),0))-IF($G$2,0,IF((AH$6-$G$3)&lt;1,0,IFERROR(LOOKUP(2,1/(Trigo!$E28:INDEX(Trigo!$E28:$Z28,MIN(AH$6-$G$3,22))&lt;&gt;""),Trigo!$E28:INDEX(Trigo!$E28:$Z28,MIN(AH$6-$G$3,22))),0)))))</f>
        <v>0</v>
      </c>
      <c r="AI30" s="27" t="n">
        <f aca="false">IF(COUNT(Trigo!$E28:$Z28)=0,0,MAX(0,IF((AI$6-$E$3)&lt;1,0,IFERROR(LOOKUP(2,1/(Trigo!$E28:INDEX(Trigo!$E28:$Z28,MIN(AI$6-$E$3,22))&lt;&gt;""),Trigo!$E28:INDEX(Trigo!$E28:$Z28,MIN(AI$6-$E$3,22))),0))-IF($G$2,0,IF((AI$6-$G$3)&lt;1,0,IFERROR(LOOKUP(2,1/(Trigo!$E28:INDEX(Trigo!$E28:$Z28,MIN(AI$6-$G$3,22))&lt;&gt;""),Trigo!$E28:INDEX(Trigo!$E28:$Z28,MIN(AI$6-$G$3,22))),0)))))</f>
        <v>0</v>
      </c>
      <c r="AJ30" s="27" t="n">
        <f aca="false">IF(COUNT(Trigo!$E28:$Z28)=0,0,MAX(0,IF((AJ$6-$E$3)&lt;1,0,IFERROR(LOOKUP(2,1/(Trigo!$E28:INDEX(Trigo!$E28:$Z28,MIN(AJ$6-$E$3,22))&lt;&gt;""),Trigo!$E28:INDEX(Trigo!$E28:$Z28,MIN(AJ$6-$E$3,22))),0))-IF($G$2,0,IF((AJ$6-$G$3)&lt;1,0,IFERROR(LOOKUP(2,1/(Trigo!$E28:INDEX(Trigo!$E28:$Z28,MIN(AJ$6-$G$3,22))&lt;&gt;""),Trigo!$E28:INDEX(Trigo!$E28:$Z28,MIN(AJ$6-$G$3,22))),0)))))</f>
        <v>0</v>
      </c>
      <c r="AK30" s="27" t="n">
        <f aca="false">IF(COUNT(Trigo!$E28:$Z28)=0,0,MAX(0,IF((AK$6-$E$3)&lt;1,0,IFERROR(LOOKUP(2,1/(Trigo!$E28:INDEX(Trigo!$E28:$Z28,MIN(AK$6-$E$3,22))&lt;&gt;""),Trigo!$E28:INDEX(Trigo!$E28:$Z28,MIN(AK$6-$E$3,22))),0))-IF($G$2,0,IF((AK$6-$G$3)&lt;1,0,IFERROR(LOOKUP(2,1/(Trigo!$E28:INDEX(Trigo!$E28:$Z28,MIN(AK$6-$G$3,22))&lt;&gt;""),Trigo!$E28:INDEX(Trigo!$E28:$Z28,MIN(AK$6-$G$3,22))),0)))))</f>
        <v>0</v>
      </c>
      <c r="AL30" s="27" t="n">
        <f aca="false">IF(COUNT(Trigo!$E28:$Z28)=0,0,MAX(0,IF((AL$6-$E$3)&lt;1,0,IFERROR(LOOKUP(2,1/(Trigo!$E28:INDEX(Trigo!$E28:$Z28,MIN(AL$6-$E$3,22))&lt;&gt;""),Trigo!$E28:INDEX(Trigo!$E28:$Z28,MIN(AL$6-$E$3,22))),0))-IF($G$2,0,IF((AL$6-$G$3)&lt;1,0,IFERROR(LOOKUP(2,1/(Trigo!$E28:INDEX(Trigo!$E28:$Z28,MIN(AL$6-$G$3,22))&lt;&gt;""),Trigo!$E28:INDEX(Trigo!$E28:$Z28,MIN(AL$6-$G$3,22))),0)))))</f>
        <v>0</v>
      </c>
      <c r="AM30" s="27" t="n">
        <f aca="false">IF(COUNT(Trigo!$E28:$Z28)=0,0,MAX(0,IF((AM$6-$E$3)&lt;1,0,IFERROR(LOOKUP(2,1/(Trigo!$E28:INDEX(Trigo!$E28:$Z28,MIN(AM$6-$E$3,22))&lt;&gt;""),Trigo!$E28:INDEX(Trigo!$E28:$Z28,MIN(AM$6-$E$3,22))),0))-IF($G$2,0,IF((AM$6-$G$3)&lt;1,0,IFERROR(LOOKUP(2,1/(Trigo!$E28:INDEX(Trigo!$E28:$Z28,MIN(AM$6-$G$3,22))&lt;&gt;""),Trigo!$E28:INDEX(Trigo!$E28:$Z28,MIN(AM$6-$G$3,22))),0)))))</f>
        <v>0</v>
      </c>
      <c r="AN30" s="27" t="n">
        <f aca="false">IF(COUNT(Trigo!$E28:$Z28)=0,0,MAX(0,IF((AN$6-$E$3)&lt;1,0,IFERROR(LOOKUP(2,1/(Trigo!$E28:INDEX(Trigo!$E28:$Z28,MIN(AN$6-$E$3,22))&lt;&gt;""),Trigo!$E28:INDEX(Trigo!$E28:$Z28,MIN(AN$6-$E$3,22))),0))-IF($G$2,0,IF((AN$6-$G$3)&lt;1,0,IFERROR(LOOKUP(2,1/(Trigo!$E28:INDEX(Trigo!$E28:$Z28,MIN(AN$6-$G$3,22))&lt;&gt;""),Trigo!$E28:INDEX(Trigo!$E28:$Z28,MIN(AN$6-$G$3,22))),0)))))</f>
        <v>0</v>
      </c>
      <c r="AO30" s="27" t="n">
        <f aca="false">IF(COUNT(Trigo!$E28:$Z28)=0,0,MAX(0,IF((AO$6-$E$3)&lt;1,0,IFERROR(LOOKUP(2,1/(Trigo!$E28:INDEX(Trigo!$E28:$Z28,MIN(AO$6-$E$3,22))&lt;&gt;""),Trigo!$E28:INDEX(Trigo!$E28:$Z28,MIN(AO$6-$E$3,22))),0))-IF($G$2,0,IF((AO$6-$G$3)&lt;1,0,IFERROR(LOOKUP(2,1/(Trigo!$E28:INDEX(Trigo!$E28:$Z28,MIN(AO$6-$G$3,22))&lt;&gt;""),Trigo!$E28:INDEX(Trigo!$E28:$Z28,MIN(AO$6-$G$3,22))),0)))))</f>
        <v>0</v>
      </c>
      <c r="AP30" s="27" t="n">
        <f aca="false">IF(COUNT(Trigo!$E28:$Z28)=0,0,MAX(0,IF((AP$6-$E$3)&lt;1,0,IFERROR(LOOKUP(2,1/(Trigo!$E28:INDEX(Trigo!$E28:$Z28,MIN(AP$6-$E$3,22))&lt;&gt;""),Trigo!$E28:INDEX(Trigo!$E28:$Z28,MIN(AP$6-$E$3,22))),0))-IF($G$2,0,IF((AP$6-$G$3)&lt;1,0,IFERROR(LOOKUP(2,1/(Trigo!$E28:INDEX(Trigo!$E28:$Z28,MIN(AP$6-$G$3,22))&lt;&gt;""),Trigo!$E28:INDEX(Trigo!$E28:$Z28,MIN(AP$6-$G$3,22))),0)))))</f>
        <v>0</v>
      </c>
      <c r="AQ30" s="27" t="n">
        <f aca="false">IF(COUNT(Trigo!$E28:$Z28)=0,0,MAX(0,IF((AQ$6-$E$3)&lt;1,0,IFERROR(LOOKUP(2,1/(Trigo!$E28:INDEX(Trigo!$E28:$Z28,MIN(AQ$6-$E$3,22))&lt;&gt;""),Trigo!$E28:INDEX(Trigo!$E28:$Z28,MIN(AQ$6-$E$3,22))),0))-IF($G$2,0,IF((AQ$6-$G$3)&lt;1,0,IFERROR(LOOKUP(2,1/(Trigo!$E28:INDEX(Trigo!$E28:$Z28,MIN(AQ$6-$G$3,22))&lt;&gt;""),Trigo!$E28:INDEX(Trigo!$E28:$Z28,MIN(AQ$6-$G$3,22))),0)))))</f>
        <v>0</v>
      </c>
      <c r="AR30" s="27" t="n">
        <f aca="false">IF(COUNT(Trigo!$E28:$Z28)=0,0,MAX(0,IF((AR$6-$E$3)&lt;1,0,IFERROR(LOOKUP(2,1/(Trigo!$E28:INDEX(Trigo!$E28:$Z28,MIN(AR$6-$E$3,22))&lt;&gt;""),Trigo!$E28:INDEX(Trigo!$E28:$Z28,MIN(AR$6-$E$3,22))),0))-IF($G$2,0,IF((AR$6-$G$3)&lt;1,0,IFERROR(LOOKUP(2,1/(Trigo!$E28:INDEX(Trigo!$E28:$Z28,MIN(AR$6-$G$3,22))&lt;&gt;""),Trigo!$E28:INDEX(Trigo!$E28:$Z28,MIN(AR$6-$G$3,22))),0)))))</f>
        <v>0</v>
      </c>
      <c r="AS30" s="27" t="n">
        <f aca="false">IF(COUNT(Trigo!$E28:$Z28)=0,0,MAX(0,IF((AS$6-$E$3)&lt;1,0,IFERROR(LOOKUP(2,1/(Trigo!$E28:INDEX(Trigo!$E28:$Z28,MIN(AS$6-$E$3,22))&lt;&gt;""),Trigo!$E28:INDEX(Trigo!$E28:$Z28,MIN(AS$6-$E$3,22))),0))-IF($G$2,0,IF((AS$6-$G$3)&lt;1,0,IFERROR(LOOKUP(2,1/(Trigo!$E28:INDEX(Trigo!$E28:$Z28,MIN(AS$6-$G$3,22))&lt;&gt;""),Trigo!$E28:INDEX(Trigo!$E28:$Z28,MIN(AS$6-$G$3,22))),0)))))</f>
        <v>0</v>
      </c>
      <c r="AT30" s="27" t="n">
        <f aca="false">IF(COUNT(Trigo!$E28:$Z28)=0,0,MAX(0,IF((AT$6-$E$3)&lt;1,0,IFERROR(LOOKUP(2,1/(Trigo!$E28:INDEX(Trigo!$E28:$Z28,MIN(AT$6-$E$3,22))&lt;&gt;""),Trigo!$E28:INDEX(Trigo!$E28:$Z28,MIN(AT$6-$E$3,22))),0))-IF($G$2,0,IF((AT$6-$G$3)&lt;1,0,IFERROR(LOOKUP(2,1/(Trigo!$E28:INDEX(Trigo!$E28:$Z28,MIN(AT$6-$G$3,22))&lt;&gt;""),Trigo!$E28:INDEX(Trigo!$E28:$Z28,MIN(AT$6-$G$3,22))),0)))))</f>
        <v>0</v>
      </c>
      <c r="AU30" s="27" t="n">
        <f aca="false">IF(COUNT(Trigo!$E28:$Z28)=0,0,MAX(0,IF((AU$6-$E$3)&lt;1,0,IFERROR(LOOKUP(2,1/(Trigo!$E28:INDEX(Trigo!$E28:$Z28,MIN(AU$6-$E$3,22))&lt;&gt;""),Trigo!$E28:INDEX(Trigo!$E28:$Z28,MIN(AU$6-$E$3,22))),0))-IF($G$2,0,IF((AU$6-$G$3)&lt;1,0,IFERROR(LOOKUP(2,1/(Trigo!$E28:INDEX(Trigo!$E28:$Z28,MIN(AU$6-$G$3,22))&lt;&gt;""),Trigo!$E28:INDEX(Trigo!$E28:$Z28,MIN(AU$6-$G$3,22))),0)))))</f>
        <v>0</v>
      </c>
      <c r="AV30" s="27" t="n">
        <f aca="false">IF(COUNT(Trigo!$E28:$Z28)=0,0,MAX(0,IF((AV$6-$E$3)&lt;1,0,IFERROR(LOOKUP(2,1/(Trigo!$E28:INDEX(Trigo!$E28:$Z28,MIN(AV$6-$E$3,22))&lt;&gt;""),Trigo!$E28:INDEX(Trigo!$E28:$Z28,MIN(AV$6-$E$3,22))),0))-IF($G$2,0,IF((AV$6-$G$3)&lt;1,0,IFERROR(LOOKUP(2,1/(Trigo!$E28:INDEX(Trigo!$E28:$Z28,MIN(AV$6-$G$3,22))&lt;&gt;""),Trigo!$E28:INDEX(Trigo!$E28:$Z28,MIN(AV$6-$G$3,22))),0)))))</f>
        <v>0</v>
      </c>
      <c r="AW30" s="27" t="n">
        <f aca="false">IF(COUNT(Trigo!$E28:$Z28)=0,0,MAX(0,IF((AW$6-$E$3)&lt;1,0,IFERROR(LOOKUP(2,1/(Trigo!$E28:INDEX(Trigo!$E28:$Z28,MIN(AW$6-$E$3,22))&lt;&gt;""),Trigo!$E28:INDEX(Trigo!$E28:$Z28,MIN(AW$6-$E$3,22))),0))-IF($G$2,0,IF((AW$6-$G$3)&lt;1,0,IFERROR(LOOKUP(2,1/(Trigo!$E28:INDEX(Trigo!$E28:$Z28,MIN(AW$6-$G$3,22))&lt;&gt;""),Trigo!$E28:INDEX(Trigo!$E28:$Z28,MIN(AW$6-$G$3,22))),0)))))</f>
        <v>0</v>
      </c>
      <c r="AX30" s="27" t="n">
        <f aca="false">IF(COUNT(Trigo!$E28:$Z28)=0,0,MAX(0,IF((AX$6-$E$3)&lt;1,0,IFERROR(LOOKUP(2,1/(Trigo!$E28:INDEX(Trigo!$E28:$Z28,MIN(AX$6-$E$3,22))&lt;&gt;""),Trigo!$E28:INDEX(Trigo!$E28:$Z28,MIN(AX$6-$E$3,22))),0))-IF($G$2,0,IF((AX$6-$G$3)&lt;1,0,IFERROR(LOOKUP(2,1/(Trigo!$E28:INDEX(Trigo!$E28:$Z28,MIN(AX$6-$G$3,22))&lt;&gt;""),Trigo!$E28:INDEX(Trigo!$E28:$Z28,MIN(AX$6-$G$3,22))),0)))))</f>
        <v>0</v>
      </c>
      <c r="AY30" s="27" t="n">
        <f aca="false">IF(COUNT(Trigo!$E28:$Z28)=0,0,MAX(0,IF((AY$6-$E$3)&lt;1,0,IFERROR(LOOKUP(2,1/(Trigo!$E28:INDEX(Trigo!$E28:$Z28,MIN(AY$6-$E$3,22))&lt;&gt;""),Trigo!$E28:INDEX(Trigo!$E28:$Z28,MIN(AY$6-$E$3,22))),0))-IF($G$2,0,IF((AY$6-$G$3)&lt;1,0,IFERROR(LOOKUP(2,1/(Trigo!$E28:INDEX(Trigo!$E28:$Z28,MIN(AY$6-$G$3,22))&lt;&gt;""),Trigo!$E28:INDEX(Trigo!$E28:$Z28,MIN(AY$6-$G$3,22))),0)))))</f>
        <v>0</v>
      </c>
      <c r="AZ30" s="27" t="n">
        <f aca="false">IF(COUNT(Trigo!$E28:$Z28)=0,0,MAX(0,IF((AZ$6-$E$3)&lt;1,0,IFERROR(LOOKUP(2,1/(Trigo!$E28:INDEX(Trigo!$E28:$Z28,MIN(AZ$6-$E$3,22))&lt;&gt;""),Trigo!$E28:INDEX(Trigo!$E28:$Z28,MIN(AZ$6-$E$3,22))),0))-IF($G$2,0,IF((AZ$6-$G$3)&lt;1,0,IFERROR(LOOKUP(2,1/(Trigo!$E28:INDEX(Trigo!$E28:$Z28,MIN(AZ$6-$G$3,22))&lt;&gt;""),Trigo!$E28:INDEX(Trigo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IF(COUNT(Trigo!$E29:$Z29)&gt;0,N(Trigo!$D29),0)</f>
        <v>0</v>
      </c>
      <c r="E31" s="27" t="n">
        <f aca="false">IF(COUNT(Trigo!$E29:$Z29)=0,0,MAX(0,IF((E$6-$E$3)&lt;1,0,IFERROR(LOOKUP(2,1/(Trigo!$E29:INDEX(Trigo!$E29:$Z29,MIN(E$6-$E$3,22))&lt;&gt;""),Trigo!$E29:INDEX(Trigo!$E29:$Z29,MIN(E$6-$E$3,22))),0))-IF($G$2,0,IF((E$6-$G$3)&lt;1,0,IFERROR(LOOKUP(2,1/(Trigo!$E29:INDEX(Trigo!$E29:$Z29,MIN(E$6-$G$3,22))&lt;&gt;""),Trigo!$E29:INDEX(Trigo!$E29:$Z29,MIN(E$6-$G$3,22))),0)))))</f>
        <v>0</v>
      </c>
      <c r="F31" s="27" t="n">
        <f aca="false">IF(COUNT(Trigo!$E29:$Z29)=0,0,MAX(0,IF((F$6-$E$3)&lt;1,0,IFERROR(LOOKUP(2,1/(Trigo!$E29:INDEX(Trigo!$E29:$Z29,MIN(F$6-$E$3,22))&lt;&gt;""),Trigo!$E29:INDEX(Trigo!$E29:$Z29,MIN(F$6-$E$3,22))),0))-IF($G$2,0,IF((F$6-$G$3)&lt;1,0,IFERROR(LOOKUP(2,1/(Trigo!$E29:INDEX(Trigo!$E29:$Z29,MIN(F$6-$G$3,22))&lt;&gt;""),Trigo!$E29:INDEX(Trigo!$E29:$Z29,MIN(F$6-$G$3,22))),0)))))</f>
        <v>0</v>
      </c>
      <c r="G31" s="27" t="n">
        <f aca="false">IF(COUNT(Trigo!$E29:$Z29)=0,0,MAX(0,IF((G$6-$E$3)&lt;1,0,IFERROR(LOOKUP(2,1/(Trigo!$E29:INDEX(Trigo!$E29:$Z29,MIN(G$6-$E$3,22))&lt;&gt;""),Trigo!$E29:INDEX(Trigo!$E29:$Z29,MIN(G$6-$E$3,22))),0))-IF($G$2,0,IF((G$6-$G$3)&lt;1,0,IFERROR(LOOKUP(2,1/(Trigo!$E29:INDEX(Trigo!$E29:$Z29,MIN(G$6-$G$3,22))&lt;&gt;""),Trigo!$E29:INDEX(Trigo!$E29:$Z29,MIN(G$6-$G$3,22))),0)))))</f>
        <v>0</v>
      </c>
      <c r="H31" s="27" t="n">
        <f aca="false">IF(COUNT(Trigo!$E29:$Z29)=0,0,MAX(0,IF((H$6-$E$3)&lt;1,0,IFERROR(LOOKUP(2,1/(Trigo!$E29:INDEX(Trigo!$E29:$Z29,MIN(H$6-$E$3,22))&lt;&gt;""),Trigo!$E29:INDEX(Trigo!$E29:$Z29,MIN(H$6-$E$3,22))),0))-IF($G$2,0,IF((H$6-$G$3)&lt;1,0,IFERROR(LOOKUP(2,1/(Trigo!$E29:INDEX(Trigo!$E29:$Z29,MIN(H$6-$G$3,22))&lt;&gt;""),Trigo!$E29:INDEX(Trigo!$E29:$Z29,MIN(H$6-$G$3,22))),0)))))</f>
        <v>0</v>
      </c>
      <c r="I31" s="27" t="n">
        <f aca="false">IF(COUNT(Trigo!$E29:$Z29)=0,0,MAX(0,IF((I$6-$E$3)&lt;1,0,IFERROR(LOOKUP(2,1/(Trigo!$E29:INDEX(Trigo!$E29:$Z29,MIN(I$6-$E$3,22))&lt;&gt;""),Trigo!$E29:INDEX(Trigo!$E29:$Z29,MIN(I$6-$E$3,22))),0))-IF($G$2,0,IF((I$6-$G$3)&lt;1,0,IFERROR(LOOKUP(2,1/(Trigo!$E29:INDEX(Trigo!$E29:$Z29,MIN(I$6-$G$3,22))&lt;&gt;""),Trigo!$E29:INDEX(Trigo!$E29:$Z29,MIN(I$6-$G$3,22))),0)))))</f>
        <v>0</v>
      </c>
      <c r="J31" s="27" t="n">
        <f aca="false">IF(COUNT(Trigo!$E29:$Z29)=0,0,MAX(0,IF((J$6-$E$3)&lt;1,0,IFERROR(LOOKUP(2,1/(Trigo!$E29:INDEX(Trigo!$E29:$Z29,MIN(J$6-$E$3,22))&lt;&gt;""),Trigo!$E29:INDEX(Trigo!$E29:$Z29,MIN(J$6-$E$3,22))),0))-IF($G$2,0,IF((J$6-$G$3)&lt;1,0,IFERROR(LOOKUP(2,1/(Trigo!$E29:INDEX(Trigo!$E29:$Z29,MIN(J$6-$G$3,22))&lt;&gt;""),Trigo!$E29:INDEX(Trigo!$E29:$Z29,MIN(J$6-$G$3,22))),0)))))</f>
        <v>0</v>
      </c>
      <c r="K31" s="27" t="n">
        <f aca="false">IF(COUNT(Trigo!$E29:$Z29)=0,0,MAX(0,IF((K$6-$E$3)&lt;1,0,IFERROR(LOOKUP(2,1/(Trigo!$E29:INDEX(Trigo!$E29:$Z29,MIN(K$6-$E$3,22))&lt;&gt;""),Trigo!$E29:INDEX(Trigo!$E29:$Z29,MIN(K$6-$E$3,22))),0))-IF($G$2,0,IF((K$6-$G$3)&lt;1,0,IFERROR(LOOKUP(2,1/(Trigo!$E29:INDEX(Trigo!$E29:$Z29,MIN(K$6-$G$3,22))&lt;&gt;""),Trigo!$E29:INDEX(Trigo!$E29:$Z29,MIN(K$6-$G$3,22))),0)))))</f>
        <v>0</v>
      </c>
      <c r="L31" s="27" t="n">
        <f aca="false">IF(COUNT(Trigo!$E29:$Z29)=0,0,MAX(0,IF((L$6-$E$3)&lt;1,0,IFERROR(LOOKUP(2,1/(Trigo!$E29:INDEX(Trigo!$E29:$Z29,MIN(L$6-$E$3,22))&lt;&gt;""),Trigo!$E29:INDEX(Trigo!$E29:$Z29,MIN(L$6-$E$3,22))),0))-IF($G$2,0,IF((L$6-$G$3)&lt;1,0,IFERROR(LOOKUP(2,1/(Trigo!$E29:INDEX(Trigo!$E29:$Z29,MIN(L$6-$G$3,22))&lt;&gt;""),Trigo!$E29:INDEX(Trigo!$E29:$Z29,MIN(L$6-$G$3,22))),0)))))</f>
        <v>0</v>
      </c>
      <c r="M31" s="27" t="n">
        <f aca="false">IF(COUNT(Trigo!$E29:$Z29)=0,0,MAX(0,IF((M$6-$E$3)&lt;1,0,IFERROR(LOOKUP(2,1/(Trigo!$E29:INDEX(Trigo!$E29:$Z29,MIN(M$6-$E$3,22))&lt;&gt;""),Trigo!$E29:INDEX(Trigo!$E29:$Z29,MIN(M$6-$E$3,22))),0))-IF($G$2,0,IF((M$6-$G$3)&lt;1,0,IFERROR(LOOKUP(2,1/(Trigo!$E29:INDEX(Trigo!$E29:$Z29,MIN(M$6-$G$3,22))&lt;&gt;""),Trigo!$E29:INDEX(Trigo!$E29:$Z29,MIN(M$6-$G$3,22))),0)))))</f>
        <v>0</v>
      </c>
      <c r="N31" s="27" t="n">
        <f aca="false">IF(COUNT(Trigo!$E29:$Z29)=0,0,MAX(0,IF((N$6-$E$3)&lt;1,0,IFERROR(LOOKUP(2,1/(Trigo!$E29:INDEX(Trigo!$E29:$Z29,MIN(N$6-$E$3,22))&lt;&gt;""),Trigo!$E29:INDEX(Trigo!$E29:$Z29,MIN(N$6-$E$3,22))),0))-IF($G$2,0,IF((N$6-$G$3)&lt;1,0,IFERROR(LOOKUP(2,1/(Trigo!$E29:INDEX(Trigo!$E29:$Z29,MIN(N$6-$G$3,22))&lt;&gt;""),Trigo!$E29:INDEX(Trigo!$E29:$Z29,MIN(N$6-$G$3,22))),0)))))</f>
        <v>0</v>
      </c>
      <c r="O31" s="27" t="n">
        <f aca="false">IF(COUNT(Trigo!$E29:$Z29)=0,0,MAX(0,IF((O$6-$E$3)&lt;1,0,IFERROR(LOOKUP(2,1/(Trigo!$E29:INDEX(Trigo!$E29:$Z29,MIN(O$6-$E$3,22))&lt;&gt;""),Trigo!$E29:INDEX(Trigo!$E29:$Z29,MIN(O$6-$E$3,22))),0))-IF($G$2,0,IF((O$6-$G$3)&lt;1,0,IFERROR(LOOKUP(2,1/(Trigo!$E29:INDEX(Trigo!$E29:$Z29,MIN(O$6-$G$3,22))&lt;&gt;""),Trigo!$E29:INDEX(Trigo!$E29:$Z29,MIN(O$6-$G$3,22))),0)))))</f>
        <v>0</v>
      </c>
      <c r="P31" s="27" t="n">
        <f aca="false">IF(COUNT(Trigo!$E29:$Z29)=0,0,MAX(0,IF((P$6-$E$3)&lt;1,0,IFERROR(LOOKUP(2,1/(Trigo!$E29:INDEX(Trigo!$E29:$Z29,MIN(P$6-$E$3,22))&lt;&gt;""),Trigo!$E29:INDEX(Trigo!$E29:$Z29,MIN(P$6-$E$3,22))),0))-IF($G$2,0,IF((P$6-$G$3)&lt;1,0,IFERROR(LOOKUP(2,1/(Trigo!$E29:INDEX(Trigo!$E29:$Z29,MIN(P$6-$G$3,22))&lt;&gt;""),Trigo!$E29:INDEX(Trigo!$E29:$Z29,MIN(P$6-$G$3,22))),0)))))</f>
        <v>0</v>
      </c>
      <c r="Q31" s="27" t="n">
        <f aca="false">IF(COUNT(Trigo!$E29:$Z29)=0,0,MAX(0,IF((Q$6-$E$3)&lt;1,0,IFERROR(LOOKUP(2,1/(Trigo!$E29:INDEX(Trigo!$E29:$Z29,MIN(Q$6-$E$3,22))&lt;&gt;""),Trigo!$E29:INDEX(Trigo!$E29:$Z29,MIN(Q$6-$E$3,22))),0))-IF($G$2,0,IF((Q$6-$G$3)&lt;1,0,IFERROR(LOOKUP(2,1/(Trigo!$E29:INDEX(Trigo!$E29:$Z29,MIN(Q$6-$G$3,22))&lt;&gt;""),Trigo!$E29:INDEX(Trigo!$E29:$Z29,MIN(Q$6-$G$3,22))),0)))))</f>
        <v>0</v>
      </c>
      <c r="R31" s="27" t="n">
        <f aca="false">IF(COUNT(Trigo!$E29:$Z29)=0,0,MAX(0,IF((R$6-$E$3)&lt;1,0,IFERROR(LOOKUP(2,1/(Trigo!$E29:INDEX(Trigo!$E29:$Z29,MIN(R$6-$E$3,22))&lt;&gt;""),Trigo!$E29:INDEX(Trigo!$E29:$Z29,MIN(R$6-$E$3,22))),0))-IF($G$2,0,IF((R$6-$G$3)&lt;1,0,IFERROR(LOOKUP(2,1/(Trigo!$E29:INDEX(Trigo!$E29:$Z29,MIN(R$6-$G$3,22))&lt;&gt;""),Trigo!$E29:INDEX(Trigo!$E29:$Z29,MIN(R$6-$G$3,22))),0)))))</f>
        <v>0</v>
      </c>
      <c r="S31" s="27" t="n">
        <f aca="false">IF(COUNT(Trigo!$E29:$Z29)=0,0,MAX(0,IF((S$6-$E$3)&lt;1,0,IFERROR(LOOKUP(2,1/(Trigo!$E29:INDEX(Trigo!$E29:$Z29,MIN(S$6-$E$3,22))&lt;&gt;""),Trigo!$E29:INDEX(Trigo!$E29:$Z29,MIN(S$6-$E$3,22))),0))-IF($G$2,0,IF((S$6-$G$3)&lt;1,0,IFERROR(LOOKUP(2,1/(Trigo!$E29:INDEX(Trigo!$E29:$Z29,MIN(S$6-$G$3,22))&lt;&gt;""),Trigo!$E29:INDEX(Trigo!$E29:$Z29,MIN(S$6-$G$3,22))),0)))))</f>
        <v>0</v>
      </c>
      <c r="T31" s="27" t="n">
        <f aca="false">IF(COUNT(Trigo!$E29:$Z29)=0,0,MAX(0,IF((T$6-$E$3)&lt;1,0,IFERROR(LOOKUP(2,1/(Trigo!$E29:INDEX(Trigo!$E29:$Z29,MIN(T$6-$E$3,22))&lt;&gt;""),Trigo!$E29:INDEX(Trigo!$E29:$Z29,MIN(T$6-$E$3,22))),0))-IF($G$2,0,IF((T$6-$G$3)&lt;1,0,IFERROR(LOOKUP(2,1/(Trigo!$E29:INDEX(Trigo!$E29:$Z29,MIN(T$6-$G$3,22))&lt;&gt;""),Trigo!$E29:INDEX(Trigo!$E29:$Z29,MIN(T$6-$G$3,22))),0)))))</f>
        <v>0</v>
      </c>
      <c r="U31" s="27" t="n">
        <f aca="false">IF(COUNT(Trigo!$E29:$Z29)=0,0,MAX(0,IF((U$6-$E$3)&lt;1,0,IFERROR(LOOKUP(2,1/(Trigo!$E29:INDEX(Trigo!$E29:$Z29,MIN(U$6-$E$3,22))&lt;&gt;""),Trigo!$E29:INDEX(Trigo!$E29:$Z29,MIN(U$6-$E$3,22))),0))-IF($G$2,0,IF((U$6-$G$3)&lt;1,0,IFERROR(LOOKUP(2,1/(Trigo!$E29:INDEX(Trigo!$E29:$Z29,MIN(U$6-$G$3,22))&lt;&gt;""),Trigo!$E29:INDEX(Trigo!$E29:$Z29,MIN(U$6-$G$3,22))),0)))))</f>
        <v>0</v>
      </c>
      <c r="V31" s="27" t="n">
        <f aca="false">IF(COUNT(Trigo!$E29:$Z29)=0,0,MAX(0,IF((V$6-$E$3)&lt;1,0,IFERROR(LOOKUP(2,1/(Trigo!$E29:INDEX(Trigo!$E29:$Z29,MIN(V$6-$E$3,22))&lt;&gt;""),Trigo!$E29:INDEX(Trigo!$E29:$Z29,MIN(V$6-$E$3,22))),0))-IF($G$2,0,IF((V$6-$G$3)&lt;1,0,IFERROR(LOOKUP(2,1/(Trigo!$E29:INDEX(Trigo!$E29:$Z29,MIN(V$6-$G$3,22))&lt;&gt;""),Trigo!$E29:INDEX(Trigo!$E29:$Z29,MIN(V$6-$G$3,22))),0)))))</f>
        <v>0</v>
      </c>
      <c r="W31" s="27" t="n">
        <f aca="false">IF(COUNT(Trigo!$E29:$Z29)=0,0,MAX(0,IF((W$6-$E$3)&lt;1,0,IFERROR(LOOKUP(2,1/(Trigo!$E29:INDEX(Trigo!$E29:$Z29,MIN(W$6-$E$3,22))&lt;&gt;""),Trigo!$E29:INDEX(Trigo!$E29:$Z29,MIN(W$6-$E$3,22))),0))-IF($G$2,0,IF((W$6-$G$3)&lt;1,0,IFERROR(LOOKUP(2,1/(Trigo!$E29:INDEX(Trigo!$E29:$Z29,MIN(W$6-$G$3,22))&lt;&gt;""),Trigo!$E29:INDEX(Trigo!$E29:$Z29,MIN(W$6-$G$3,22))),0)))))</f>
        <v>0</v>
      </c>
      <c r="X31" s="27" t="n">
        <f aca="false">IF(COUNT(Trigo!$E29:$Z29)=0,0,MAX(0,IF((X$6-$E$3)&lt;1,0,IFERROR(LOOKUP(2,1/(Trigo!$E29:INDEX(Trigo!$E29:$Z29,MIN(X$6-$E$3,22))&lt;&gt;""),Trigo!$E29:INDEX(Trigo!$E29:$Z29,MIN(X$6-$E$3,22))),0))-IF($G$2,0,IF((X$6-$G$3)&lt;1,0,IFERROR(LOOKUP(2,1/(Trigo!$E29:INDEX(Trigo!$E29:$Z29,MIN(X$6-$G$3,22))&lt;&gt;""),Trigo!$E29:INDEX(Trigo!$E29:$Z29,MIN(X$6-$G$3,22))),0)))))</f>
        <v>0</v>
      </c>
      <c r="Y31" s="27" t="n">
        <f aca="false">IF(COUNT(Trigo!$E29:$Z29)=0,0,MAX(0,IF((Y$6-$E$3)&lt;1,0,IFERROR(LOOKUP(2,1/(Trigo!$E29:INDEX(Trigo!$E29:$Z29,MIN(Y$6-$E$3,22))&lt;&gt;""),Trigo!$E29:INDEX(Trigo!$E29:$Z29,MIN(Y$6-$E$3,22))),0))-IF($G$2,0,IF((Y$6-$G$3)&lt;1,0,IFERROR(LOOKUP(2,1/(Trigo!$E29:INDEX(Trigo!$E29:$Z29,MIN(Y$6-$G$3,22))&lt;&gt;""),Trigo!$E29:INDEX(Trigo!$E29:$Z29,MIN(Y$6-$G$3,22))),0)))))</f>
        <v>0</v>
      </c>
      <c r="Z31" s="27" t="n">
        <f aca="false">IF(COUNT(Trigo!$E29:$Z29)=0,0,MAX(0,IF((Z$6-$E$3)&lt;1,0,IFERROR(LOOKUP(2,1/(Trigo!$E29:INDEX(Trigo!$E29:$Z29,MIN(Z$6-$E$3,22))&lt;&gt;""),Trigo!$E29:INDEX(Trigo!$E29:$Z29,MIN(Z$6-$E$3,22))),0))-IF($G$2,0,IF((Z$6-$G$3)&lt;1,0,IFERROR(LOOKUP(2,1/(Trigo!$E29:INDEX(Trigo!$E29:$Z29,MIN(Z$6-$G$3,22))&lt;&gt;""),Trigo!$E29:INDEX(Trigo!$E29:$Z29,MIN(Z$6-$G$3,22))),0)))))</f>
        <v>0</v>
      </c>
      <c r="AA31" s="27" t="n">
        <f aca="false">IF(COUNT(Trigo!$E29:$Z29)=0,0,MAX(0,IF((AA$6-$E$3)&lt;1,0,IFERROR(LOOKUP(2,1/(Trigo!$E29:INDEX(Trigo!$E29:$Z29,MIN(AA$6-$E$3,22))&lt;&gt;""),Trigo!$E29:INDEX(Trigo!$E29:$Z29,MIN(AA$6-$E$3,22))),0))-IF($G$2,0,IF((AA$6-$G$3)&lt;1,0,IFERROR(LOOKUP(2,1/(Trigo!$E29:INDEX(Trigo!$E29:$Z29,MIN(AA$6-$G$3,22))&lt;&gt;""),Trigo!$E29:INDEX(Trigo!$E29:$Z29,MIN(AA$6-$G$3,22))),0)))))</f>
        <v>0</v>
      </c>
      <c r="AB31" s="27" t="n">
        <f aca="false">IF(COUNT(Trigo!$E29:$Z29)=0,0,MAX(0,IF((AB$6-$E$3)&lt;1,0,IFERROR(LOOKUP(2,1/(Trigo!$E29:INDEX(Trigo!$E29:$Z29,MIN(AB$6-$E$3,22))&lt;&gt;""),Trigo!$E29:INDEX(Trigo!$E29:$Z29,MIN(AB$6-$E$3,22))),0))-IF($G$2,0,IF((AB$6-$G$3)&lt;1,0,IFERROR(LOOKUP(2,1/(Trigo!$E29:INDEX(Trigo!$E29:$Z29,MIN(AB$6-$G$3,22))&lt;&gt;""),Trigo!$E29:INDEX(Trigo!$E29:$Z29,MIN(AB$6-$G$3,22))),0)))))</f>
        <v>0</v>
      </c>
      <c r="AC31" s="27" t="n">
        <f aca="false">IF(COUNT(Trigo!$E29:$Z29)=0,0,MAX(0,IF((AC$6-$E$3)&lt;1,0,IFERROR(LOOKUP(2,1/(Trigo!$E29:INDEX(Trigo!$E29:$Z29,MIN(AC$6-$E$3,22))&lt;&gt;""),Trigo!$E29:INDEX(Trigo!$E29:$Z29,MIN(AC$6-$E$3,22))),0))-IF($G$2,0,IF((AC$6-$G$3)&lt;1,0,IFERROR(LOOKUP(2,1/(Trigo!$E29:INDEX(Trigo!$E29:$Z29,MIN(AC$6-$G$3,22))&lt;&gt;""),Trigo!$E29:INDEX(Trigo!$E29:$Z29,MIN(AC$6-$G$3,22))),0)))))</f>
        <v>0</v>
      </c>
      <c r="AD31" s="27" t="n">
        <f aca="false">IF(COUNT(Trigo!$E29:$Z29)=0,0,MAX(0,IF((AD$6-$E$3)&lt;1,0,IFERROR(LOOKUP(2,1/(Trigo!$E29:INDEX(Trigo!$E29:$Z29,MIN(AD$6-$E$3,22))&lt;&gt;""),Trigo!$E29:INDEX(Trigo!$E29:$Z29,MIN(AD$6-$E$3,22))),0))-IF($G$2,0,IF((AD$6-$G$3)&lt;1,0,IFERROR(LOOKUP(2,1/(Trigo!$E29:INDEX(Trigo!$E29:$Z29,MIN(AD$6-$G$3,22))&lt;&gt;""),Trigo!$E29:INDEX(Trigo!$E29:$Z29,MIN(AD$6-$G$3,22))),0)))))</f>
        <v>0</v>
      </c>
      <c r="AE31" s="27" t="n">
        <f aca="false">IF(COUNT(Trigo!$E29:$Z29)=0,0,MAX(0,IF((AE$6-$E$3)&lt;1,0,IFERROR(LOOKUP(2,1/(Trigo!$E29:INDEX(Trigo!$E29:$Z29,MIN(AE$6-$E$3,22))&lt;&gt;""),Trigo!$E29:INDEX(Trigo!$E29:$Z29,MIN(AE$6-$E$3,22))),0))-IF($G$2,0,IF((AE$6-$G$3)&lt;1,0,IFERROR(LOOKUP(2,1/(Trigo!$E29:INDEX(Trigo!$E29:$Z29,MIN(AE$6-$G$3,22))&lt;&gt;""),Trigo!$E29:INDEX(Trigo!$E29:$Z29,MIN(AE$6-$G$3,22))),0)))))</f>
        <v>0</v>
      </c>
      <c r="AF31" s="27" t="n">
        <f aca="false">IF(COUNT(Trigo!$E29:$Z29)=0,0,MAX(0,IF((AF$6-$E$3)&lt;1,0,IFERROR(LOOKUP(2,1/(Trigo!$E29:INDEX(Trigo!$E29:$Z29,MIN(AF$6-$E$3,22))&lt;&gt;""),Trigo!$E29:INDEX(Trigo!$E29:$Z29,MIN(AF$6-$E$3,22))),0))-IF($G$2,0,IF((AF$6-$G$3)&lt;1,0,IFERROR(LOOKUP(2,1/(Trigo!$E29:INDEX(Trigo!$E29:$Z29,MIN(AF$6-$G$3,22))&lt;&gt;""),Trigo!$E29:INDEX(Trigo!$E29:$Z29,MIN(AF$6-$G$3,22))),0)))))</f>
        <v>0</v>
      </c>
      <c r="AG31" s="27" t="n">
        <f aca="false">IF(COUNT(Trigo!$E29:$Z29)=0,0,MAX(0,IF((AG$6-$E$3)&lt;1,0,IFERROR(LOOKUP(2,1/(Trigo!$E29:INDEX(Trigo!$E29:$Z29,MIN(AG$6-$E$3,22))&lt;&gt;""),Trigo!$E29:INDEX(Trigo!$E29:$Z29,MIN(AG$6-$E$3,22))),0))-IF($G$2,0,IF((AG$6-$G$3)&lt;1,0,IFERROR(LOOKUP(2,1/(Trigo!$E29:INDEX(Trigo!$E29:$Z29,MIN(AG$6-$G$3,22))&lt;&gt;""),Trigo!$E29:INDEX(Trigo!$E29:$Z29,MIN(AG$6-$G$3,22))),0)))))</f>
        <v>0</v>
      </c>
      <c r="AH31" s="27" t="n">
        <f aca="false">IF(COUNT(Trigo!$E29:$Z29)=0,0,MAX(0,IF((AH$6-$E$3)&lt;1,0,IFERROR(LOOKUP(2,1/(Trigo!$E29:INDEX(Trigo!$E29:$Z29,MIN(AH$6-$E$3,22))&lt;&gt;""),Trigo!$E29:INDEX(Trigo!$E29:$Z29,MIN(AH$6-$E$3,22))),0))-IF($G$2,0,IF((AH$6-$G$3)&lt;1,0,IFERROR(LOOKUP(2,1/(Trigo!$E29:INDEX(Trigo!$E29:$Z29,MIN(AH$6-$G$3,22))&lt;&gt;""),Trigo!$E29:INDEX(Trigo!$E29:$Z29,MIN(AH$6-$G$3,22))),0)))))</f>
        <v>0</v>
      </c>
      <c r="AI31" s="27" t="n">
        <f aca="false">IF(COUNT(Trigo!$E29:$Z29)=0,0,MAX(0,IF((AI$6-$E$3)&lt;1,0,IFERROR(LOOKUP(2,1/(Trigo!$E29:INDEX(Trigo!$E29:$Z29,MIN(AI$6-$E$3,22))&lt;&gt;""),Trigo!$E29:INDEX(Trigo!$E29:$Z29,MIN(AI$6-$E$3,22))),0))-IF($G$2,0,IF((AI$6-$G$3)&lt;1,0,IFERROR(LOOKUP(2,1/(Trigo!$E29:INDEX(Trigo!$E29:$Z29,MIN(AI$6-$G$3,22))&lt;&gt;""),Trigo!$E29:INDEX(Trigo!$E29:$Z29,MIN(AI$6-$G$3,22))),0)))))</f>
        <v>0</v>
      </c>
      <c r="AJ31" s="27" t="n">
        <f aca="false">IF(COUNT(Trigo!$E29:$Z29)=0,0,MAX(0,IF((AJ$6-$E$3)&lt;1,0,IFERROR(LOOKUP(2,1/(Trigo!$E29:INDEX(Trigo!$E29:$Z29,MIN(AJ$6-$E$3,22))&lt;&gt;""),Trigo!$E29:INDEX(Trigo!$E29:$Z29,MIN(AJ$6-$E$3,22))),0))-IF($G$2,0,IF((AJ$6-$G$3)&lt;1,0,IFERROR(LOOKUP(2,1/(Trigo!$E29:INDEX(Trigo!$E29:$Z29,MIN(AJ$6-$G$3,22))&lt;&gt;""),Trigo!$E29:INDEX(Trigo!$E29:$Z29,MIN(AJ$6-$G$3,22))),0)))))</f>
        <v>0</v>
      </c>
      <c r="AK31" s="27" t="n">
        <f aca="false">IF(COUNT(Trigo!$E29:$Z29)=0,0,MAX(0,IF((AK$6-$E$3)&lt;1,0,IFERROR(LOOKUP(2,1/(Trigo!$E29:INDEX(Trigo!$E29:$Z29,MIN(AK$6-$E$3,22))&lt;&gt;""),Trigo!$E29:INDEX(Trigo!$E29:$Z29,MIN(AK$6-$E$3,22))),0))-IF($G$2,0,IF((AK$6-$G$3)&lt;1,0,IFERROR(LOOKUP(2,1/(Trigo!$E29:INDEX(Trigo!$E29:$Z29,MIN(AK$6-$G$3,22))&lt;&gt;""),Trigo!$E29:INDEX(Trigo!$E29:$Z29,MIN(AK$6-$G$3,22))),0)))))</f>
        <v>0</v>
      </c>
      <c r="AL31" s="27" t="n">
        <f aca="false">IF(COUNT(Trigo!$E29:$Z29)=0,0,MAX(0,IF((AL$6-$E$3)&lt;1,0,IFERROR(LOOKUP(2,1/(Trigo!$E29:INDEX(Trigo!$E29:$Z29,MIN(AL$6-$E$3,22))&lt;&gt;""),Trigo!$E29:INDEX(Trigo!$E29:$Z29,MIN(AL$6-$E$3,22))),0))-IF($G$2,0,IF((AL$6-$G$3)&lt;1,0,IFERROR(LOOKUP(2,1/(Trigo!$E29:INDEX(Trigo!$E29:$Z29,MIN(AL$6-$G$3,22))&lt;&gt;""),Trigo!$E29:INDEX(Trigo!$E29:$Z29,MIN(AL$6-$G$3,22))),0)))))</f>
        <v>0</v>
      </c>
      <c r="AM31" s="27" t="n">
        <f aca="false">IF(COUNT(Trigo!$E29:$Z29)=0,0,MAX(0,IF((AM$6-$E$3)&lt;1,0,IFERROR(LOOKUP(2,1/(Trigo!$E29:INDEX(Trigo!$E29:$Z29,MIN(AM$6-$E$3,22))&lt;&gt;""),Trigo!$E29:INDEX(Trigo!$E29:$Z29,MIN(AM$6-$E$3,22))),0))-IF($G$2,0,IF((AM$6-$G$3)&lt;1,0,IFERROR(LOOKUP(2,1/(Trigo!$E29:INDEX(Trigo!$E29:$Z29,MIN(AM$6-$G$3,22))&lt;&gt;""),Trigo!$E29:INDEX(Trigo!$E29:$Z29,MIN(AM$6-$G$3,22))),0)))))</f>
        <v>0</v>
      </c>
      <c r="AN31" s="27" t="n">
        <f aca="false">IF(COUNT(Trigo!$E29:$Z29)=0,0,MAX(0,IF((AN$6-$E$3)&lt;1,0,IFERROR(LOOKUP(2,1/(Trigo!$E29:INDEX(Trigo!$E29:$Z29,MIN(AN$6-$E$3,22))&lt;&gt;""),Trigo!$E29:INDEX(Trigo!$E29:$Z29,MIN(AN$6-$E$3,22))),0))-IF($G$2,0,IF((AN$6-$G$3)&lt;1,0,IFERROR(LOOKUP(2,1/(Trigo!$E29:INDEX(Trigo!$E29:$Z29,MIN(AN$6-$G$3,22))&lt;&gt;""),Trigo!$E29:INDEX(Trigo!$E29:$Z29,MIN(AN$6-$G$3,22))),0)))))</f>
        <v>0</v>
      </c>
      <c r="AO31" s="27" t="n">
        <f aca="false">IF(COUNT(Trigo!$E29:$Z29)=0,0,MAX(0,IF((AO$6-$E$3)&lt;1,0,IFERROR(LOOKUP(2,1/(Trigo!$E29:INDEX(Trigo!$E29:$Z29,MIN(AO$6-$E$3,22))&lt;&gt;""),Trigo!$E29:INDEX(Trigo!$E29:$Z29,MIN(AO$6-$E$3,22))),0))-IF($G$2,0,IF((AO$6-$G$3)&lt;1,0,IFERROR(LOOKUP(2,1/(Trigo!$E29:INDEX(Trigo!$E29:$Z29,MIN(AO$6-$G$3,22))&lt;&gt;""),Trigo!$E29:INDEX(Trigo!$E29:$Z29,MIN(AO$6-$G$3,22))),0)))))</f>
        <v>0</v>
      </c>
      <c r="AP31" s="27" t="n">
        <f aca="false">IF(COUNT(Trigo!$E29:$Z29)=0,0,MAX(0,IF((AP$6-$E$3)&lt;1,0,IFERROR(LOOKUP(2,1/(Trigo!$E29:INDEX(Trigo!$E29:$Z29,MIN(AP$6-$E$3,22))&lt;&gt;""),Trigo!$E29:INDEX(Trigo!$E29:$Z29,MIN(AP$6-$E$3,22))),0))-IF($G$2,0,IF((AP$6-$G$3)&lt;1,0,IFERROR(LOOKUP(2,1/(Trigo!$E29:INDEX(Trigo!$E29:$Z29,MIN(AP$6-$G$3,22))&lt;&gt;""),Trigo!$E29:INDEX(Trigo!$E29:$Z29,MIN(AP$6-$G$3,22))),0)))))</f>
        <v>0</v>
      </c>
      <c r="AQ31" s="27" t="n">
        <f aca="false">IF(COUNT(Trigo!$E29:$Z29)=0,0,MAX(0,IF((AQ$6-$E$3)&lt;1,0,IFERROR(LOOKUP(2,1/(Trigo!$E29:INDEX(Trigo!$E29:$Z29,MIN(AQ$6-$E$3,22))&lt;&gt;""),Trigo!$E29:INDEX(Trigo!$E29:$Z29,MIN(AQ$6-$E$3,22))),0))-IF($G$2,0,IF((AQ$6-$G$3)&lt;1,0,IFERROR(LOOKUP(2,1/(Trigo!$E29:INDEX(Trigo!$E29:$Z29,MIN(AQ$6-$G$3,22))&lt;&gt;""),Trigo!$E29:INDEX(Trigo!$E29:$Z29,MIN(AQ$6-$G$3,22))),0)))))</f>
        <v>0</v>
      </c>
      <c r="AR31" s="27" t="n">
        <f aca="false">IF(COUNT(Trigo!$E29:$Z29)=0,0,MAX(0,IF((AR$6-$E$3)&lt;1,0,IFERROR(LOOKUP(2,1/(Trigo!$E29:INDEX(Trigo!$E29:$Z29,MIN(AR$6-$E$3,22))&lt;&gt;""),Trigo!$E29:INDEX(Trigo!$E29:$Z29,MIN(AR$6-$E$3,22))),0))-IF($G$2,0,IF((AR$6-$G$3)&lt;1,0,IFERROR(LOOKUP(2,1/(Trigo!$E29:INDEX(Trigo!$E29:$Z29,MIN(AR$6-$G$3,22))&lt;&gt;""),Trigo!$E29:INDEX(Trigo!$E29:$Z29,MIN(AR$6-$G$3,22))),0)))))</f>
        <v>0</v>
      </c>
      <c r="AS31" s="27" t="n">
        <f aca="false">IF(COUNT(Trigo!$E29:$Z29)=0,0,MAX(0,IF((AS$6-$E$3)&lt;1,0,IFERROR(LOOKUP(2,1/(Trigo!$E29:INDEX(Trigo!$E29:$Z29,MIN(AS$6-$E$3,22))&lt;&gt;""),Trigo!$E29:INDEX(Trigo!$E29:$Z29,MIN(AS$6-$E$3,22))),0))-IF($G$2,0,IF((AS$6-$G$3)&lt;1,0,IFERROR(LOOKUP(2,1/(Trigo!$E29:INDEX(Trigo!$E29:$Z29,MIN(AS$6-$G$3,22))&lt;&gt;""),Trigo!$E29:INDEX(Trigo!$E29:$Z29,MIN(AS$6-$G$3,22))),0)))))</f>
        <v>0</v>
      </c>
      <c r="AT31" s="27" t="n">
        <f aca="false">IF(COUNT(Trigo!$E29:$Z29)=0,0,MAX(0,IF((AT$6-$E$3)&lt;1,0,IFERROR(LOOKUP(2,1/(Trigo!$E29:INDEX(Trigo!$E29:$Z29,MIN(AT$6-$E$3,22))&lt;&gt;""),Trigo!$E29:INDEX(Trigo!$E29:$Z29,MIN(AT$6-$E$3,22))),0))-IF($G$2,0,IF((AT$6-$G$3)&lt;1,0,IFERROR(LOOKUP(2,1/(Trigo!$E29:INDEX(Trigo!$E29:$Z29,MIN(AT$6-$G$3,22))&lt;&gt;""),Trigo!$E29:INDEX(Trigo!$E29:$Z29,MIN(AT$6-$G$3,22))),0)))))</f>
        <v>0</v>
      </c>
      <c r="AU31" s="27" t="n">
        <f aca="false">IF(COUNT(Trigo!$E29:$Z29)=0,0,MAX(0,IF((AU$6-$E$3)&lt;1,0,IFERROR(LOOKUP(2,1/(Trigo!$E29:INDEX(Trigo!$E29:$Z29,MIN(AU$6-$E$3,22))&lt;&gt;""),Trigo!$E29:INDEX(Trigo!$E29:$Z29,MIN(AU$6-$E$3,22))),0))-IF($G$2,0,IF((AU$6-$G$3)&lt;1,0,IFERROR(LOOKUP(2,1/(Trigo!$E29:INDEX(Trigo!$E29:$Z29,MIN(AU$6-$G$3,22))&lt;&gt;""),Trigo!$E29:INDEX(Trigo!$E29:$Z29,MIN(AU$6-$G$3,22))),0)))))</f>
        <v>0</v>
      </c>
      <c r="AV31" s="27" t="n">
        <f aca="false">IF(COUNT(Trigo!$E29:$Z29)=0,0,MAX(0,IF((AV$6-$E$3)&lt;1,0,IFERROR(LOOKUP(2,1/(Trigo!$E29:INDEX(Trigo!$E29:$Z29,MIN(AV$6-$E$3,22))&lt;&gt;""),Trigo!$E29:INDEX(Trigo!$E29:$Z29,MIN(AV$6-$E$3,22))),0))-IF($G$2,0,IF((AV$6-$G$3)&lt;1,0,IFERROR(LOOKUP(2,1/(Trigo!$E29:INDEX(Trigo!$E29:$Z29,MIN(AV$6-$G$3,22))&lt;&gt;""),Trigo!$E29:INDEX(Trigo!$E29:$Z29,MIN(AV$6-$G$3,22))),0)))))</f>
        <v>0</v>
      </c>
      <c r="AW31" s="27" t="n">
        <f aca="false">IF(COUNT(Trigo!$E29:$Z29)=0,0,MAX(0,IF((AW$6-$E$3)&lt;1,0,IFERROR(LOOKUP(2,1/(Trigo!$E29:INDEX(Trigo!$E29:$Z29,MIN(AW$6-$E$3,22))&lt;&gt;""),Trigo!$E29:INDEX(Trigo!$E29:$Z29,MIN(AW$6-$E$3,22))),0))-IF($G$2,0,IF((AW$6-$G$3)&lt;1,0,IFERROR(LOOKUP(2,1/(Trigo!$E29:INDEX(Trigo!$E29:$Z29,MIN(AW$6-$G$3,22))&lt;&gt;""),Trigo!$E29:INDEX(Trigo!$E29:$Z29,MIN(AW$6-$G$3,22))),0)))))</f>
        <v>0</v>
      </c>
      <c r="AX31" s="27" t="n">
        <f aca="false">IF(COUNT(Trigo!$E29:$Z29)=0,0,MAX(0,IF((AX$6-$E$3)&lt;1,0,IFERROR(LOOKUP(2,1/(Trigo!$E29:INDEX(Trigo!$E29:$Z29,MIN(AX$6-$E$3,22))&lt;&gt;""),Trigo!$E29:INDEX(Trigo!$E29:$Z29,MIN(AX$6-$E$3,22))),0))-IF($G$2,0,IF((AX$6-$G$3)&lt;1,0,IFERROR(LOOKUP(2,1/(Trigo!$E29:INDEX(Trigo!$E29:$Z29,MIN(AX$6-$G$3,22))&lt;&gt;""),Trigo!$E29:INDEX(Trigo!$E29:$Z29,MIN(AX$6-$G$3,22))),0)))))</f>
        <v>0</v>
      </c>
      <c r="AY31" s="27" t="n">
        <f aca="false">IF(COUNT(Trigo!$E29:$Z29)=0,0,MAX(0,IF((AY$6-$E$3)&lt;1,0,IFERROR(LOOKUP(2,1/(Trigo!$E29:INDEX(Trigo!$E29:$Z29,MIN(AY$6-$E$3,22))&lt;&gt;""),Trigo!$E29:INDEX(Trigo!$E29:$Z29,MIN(AY$6-$E$3,22))),0))-IF($G$2,0,IF((AY$6-$G$3)&lt;1,0,IFERROR(LOOKUP(2,1/(Trigo!$E29:INDEX(Trigo!$E29:$Z29,MIN(AY$6-$G$3,22))&lt;&gt;""),Trigo!$E29:INDEX(Trigo!$E29:$Z29,MIN(AY$6-$G$3,22))),0)))))</f>
        <v>0</v>
      </c>
      <c r="AZ31" s="27" t="n">
        <f aca="false">IF(COUNT(Trigo!$E29:$Z29)=0,0,MAX(0,IF((AZ$6-$E$3)&lt;1,0,IFERROR(LOOKUP(2,1/(Trigo!$E29:INDEX(Trigo!$E29:$Z29,MIN(AZ$6-$E$3,22))&lt;&gt;""),Trigo!$E29:INDEX(Trigo!$E29:$Z29,MIN(AZ$6-$E$3,22))),0))-IF($G$2,0,IF((AZ$6-$G$3)&lt;1,0,IFERROR(LOOKUP(2,1/(Trigo!$E29:INDEX(Trigo!$E29:$Z29,MIN(AZ$6-$G$3,22))&lt;&gt;""),Trigo!$E29:INDEX(Trigo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IF(COUNT(Trigo!$E30:$Z30)&gt;0,N(Trigo!$D30),0)</f>
        <v>0</v>
      </c>
      <c r="E32" s="27" t="n">
        <f aca="false">IF(COUNT(Trigo!$E30:$Z30)=0,0,MAX(0,IF((E$6-$E$3)&lt;1,0,IFERROR(LOOKUP(2,1/(Trigo!$E30:INDEX(Trigo!$E30:$Z30,MIN(E$6-$E$3,22))&lt;&gt;""),Trigo!$E30:INDEX(Trigo!$E30:$Z30,MIN(E$6-$E$3,22))),0))-IF($G$2,0,IF((E$6-$G$3)&lt;1,0,IFERROR(LOOKUP(2,1/(Trigo!$E30:INDEX(Trigo!$E30:$Z30,MIN(E$6-$G$3,22))&lt;&gt;""),Trigo!$E30:INDEX(Trigo!$E30:$Z30,MIN(E$6-$G$3,22))),0)))))</f>
        <v>0</v>
      </c>
      <c r="F32" s="27" t="n">
        <f aca="false">IF(COUNT(Trigo!$E30:$Z30)=0,0,MAX(0,IF((F$6-$E$3)&lt;1,0,IFERROR(LOOKUP(2,1/(Trigo!$E30:INDEX(Trigo!$E30:$Z30,MIN(F$6-$E$3,22))&lt;&gt;""),Trigo!$E30:INDEX(Trigo!$E30:$Z30,MIN(F$6-$E$3,22))),0))-IF($G$2,0,IF((F$6-$G$3)&lt;1,0,IFERROR(LOOKUP(2,1/(Trigo!$E30:INDEX(Trigo!$E30:$Z30,MIN(F$6-$G$3,22))&lt;&gt;""),Trigo!$E30:INDEX(Trigo!$E30:$Z30,MIN(F$6-$G$3,22))),0)))))</f>
        <v>0</v>
      </c>
      <c r="G32" s="27" t="n">
        <f aca="false">IF(COUNT(Trigo!$E30:$Z30)=0,0,MAX(0,IF((G$6-$E$3)&lt;1,0,IFERROR(LOOKUP(2,1/(Trigo!$E30:INDEX(Trigo!$E30:$Z30,MIN(G$6-$E$3,22))&lt;&gt;""),Trigo!$E30:INDEX(Trigo!$E30:$Z30,MIN(G$6-$E$3,22))),0))-IF($G$2,0,IF((G$6-$G$3)&lt;1,0,IFERROR(LOOKUP(2,1/(Trigo!$E30:INDEX(Trigo!$E30:$Z30,MIN(G$6-$G$3,22))&lt;&gt;""),Trigo!$E30:INDEX(Trigo!$E30:$Z30,MIN(G$6-$G$3,22))),0)))))</f>
        <v>0</v>
      </c>
      <c r="H32" s="27" t="n">
        <f aca="false">IF(COUNT(Trigo!$E30:$Z30)=0,0,MAX(0,IF((H$6-$E$3)&lt;1,0,IFERROR(LOOKUP(2,1/(Trigo!$E30:INDEX(Trigo!$E30:$Z30,MIN(H$6-$E$3,22))&lt;&gt;""),Trigo!$E30:INDEX(Trigo!$E30:$Z30,MIN(H$6-$E$3,22))),0))-IF($G$2,0,IF((H$6-$G$3)&lt;1,0,IFERROR(LOOKUP(2,1/(Trigo!$E30:INDEX(Trigo!$E30:$Z30,MIN(H$6-$G$3,22))&lt;&gt;""),Trigo!$E30:INDEX(Trigo!$E30:$Z30,MIN(H$6-$G$3,22))),0)))))</f>
        <v>0</v>
      </c>
      <c r="I32" s="27" t="n">
        <f aca="false">IF(COUNT(Trigo!$E30:$Z30)=0,0,MAX(0,IF((I$6-$E$3)&lt;1,0,IFERROR(LOOKUP(2,1/(Trigo!$E30:INDEX(Trigo!$E30:$Z30,MIN(I$6-$E$3,22))&lt;&gt;""),Trigo!$E30:INDEX(Trigo!$E30:$Z30,MIN(I$6-$E$3,22))),0))-IF($G$2,0,IF((I$6-$G$3)&lt;1,0,IFERROR(LOOKUP(2,1/(Trigo!$E30:INDEX(Trigo!$E30:$Z30,MIN(I$6-$G$3,22))&lt;&gt;""),Trigo!$E30:INDEX(Trigo!$E30:$Z30,MIN(I$6-$G$3,22))),0)))))</f>
        <v>0</v>
      </c>
      <c r="J32" s="27" t="n">
        <f aca="false">IF(COUNT(Trigo!$E30:$Z30)=0,0,MAX(0,IF((J$6-$E$3)&lt;1,0,IFERROR(LOOKUP(2,1/(Trigo!$E30:INDEX(Trigo!$E30:$Z30,MIN(J$6-$E$3,22))&lt;&gt;""),Trigo!$E30:INDEX(Trigo!$E30:$Z30,MIN(J$6-$E$3,22))),0))-IF($G$2,0,IF((J$6-$G$3)&lt;1,0,IFERROR(LOOKUP(2,1/(Trigo!$E30:INDEX(Trigo!$E30:$Z30,MIN(J$6-$G$3,22))&lt;&gt;""),Trigo!$E30:INDEX(Trigo!$E30:$Z30,MIN(J$6-$G$3,22))),0)))))</f>
        <v>0</v>
      </c>
      <c r="K32" s="27" t="n">
        <f aca="false">IF(COUNT(Trigo!$E30:$Z30)=0,0,MAX(0,IF((K$6-$E$3)&lt;1,0,IFERROR(LOOKUP(2,1/(Trigo!$E30:INDEX(Trigo!$E30:$Z30,MIN(K$6-$E$3,22))&lt;&gt;""),Trigo!$E30:INDEX(Trigo!$E30:$Z30,MIN(K$6-$E$3,22))),0))-IF($G$2,0,IF((K$6-$G$3)&lt;1,0,IFERROR(LOOKUP(2,1/(Trigo!$E30:INDEX(Trigo!$E30:$Z30,MIN(K$6-$G$3,22))&lt;&gt;""),Trigo!$E30:INDEX(Trigo!$E30:$Z30,MIN(K$6-$G$3,22))),0)))))</f>
        <v>0</v>
      </c>
      <c r="L32" s="27" t="n">
        <f aca="false">IF(COUNT(Trigo!$E30:$Z30)=0,0,MAX(0,IF((L$6-$E$3)&lt;1,0,IFERROR(LOOKUP(2,1/(Trigo!$E30:INDEX(Trigo!$E30:$Z30,MIN(L$6-$E$3,22))&lt;&gt;""),Trigo!$E30:INDEX(Trigo!$E30:$Z30,MIN(L$6-$E$3,22))),0))-IF($G$2,0,IF((L$6-$G$3)&lt;1,0,IFERROR(LOOKUP(2,1/(Trigo!$E30:INDEX(Trigo!$E30:$Z30,MIN(L$6-$G$3,22))&lt;&gt;""),Trigo!$E30:INDEX(Trigo!$E30:$Z30,MIN(L$6-$G$3,22))),0)))))</f>
        <v>0</v>
      </c>
      <c r="M32" s="27" t="n">
        <f aca="false">IF(COUNT(Trigo!$E30:$Z30)=0,0,MAX(0,IF((M$6-$E$3)&lt;1,0,IFERROR(LOOKUP(2,1/(Trigo!$E30:INDEX(Trigo!$E30:$Z30,MIN(M$6-$E$3,22))&lt;&gt;""),Trigo!$E30:INDEX(Trigo!$E30:$Z30,MIN(M$6-$E$3,22))),0))-IF($G$2,0,IF((M$6-$G$3)&lt;1,0,IFERROR(LOOKUP(2,1/(Trigo!$E30:INDEX(Trigo!$E30:$Z30,MIN(M$6-$G$3,22))&lt;&gt;""),Trigo!$E30:INDEX(Trigo!$E30:$Z30,MIN(M$6-$G$3,22))),0)))))</f>
        <v>0</v>
      </c>
      <c r="N32" s="27" t="n">
        <f aca="false">IF(COUNT(Trigo!$E30:$Z30)=0,0,MAX(0,IF((N$6-$E$3)&lt;1,0,IFERROR(LOOKUP(2,1/(Trigo!$E30:INDEX(Trigo!$E30:$Z30,MIN(N$6-$E$3,22))&lt;&gt;""),Trigo!$E30:INDEX(Trigo!$E30:$Z30,MIN(N$6-$E$3,22))),0))-IF($G$2,0,IF((N$6-$G$3)&lt;1,0,IFERROR(LOOKUP(2,1/(Trigo!$E30:INDEX(Trigo!$E30:$Z30,MIN(N$6-$G$3,22))&lt;&gt;""),Trigo!$E30:INDEX(Trigo!$E30:$Z30,MIN(N$6-$G$3,22))),0)))))</f>
        <v>0</v>
      </c>
      <c r="O32" s="27" t="n">
        <f aca="false">IF(COUNT(Trigo!$E30:$Z30)=0,0,MAX(0,IF((O$6-$E$3)&lt;1,0,IFERROR(LOOKUP(2,1/(Trigo!$E30:INDEX(Trigo!$E30:$Z30,MIN(O$6-$E$3,22))&lt;&gt;""),Trigo!$E30:INDEX(Trigo!$E30:$Z30,MIN(O$6-$E$3,22))),0))-IF($G$2,0,IF((O$6-$G$3)&lt;1,0,IFERROR(LOOKUP(2,1/(Trigo!$E30:INDEX(Trigo!$E30:$Z30,MIN(O$6-$G$3,22))&lt;&gt;""),Trigo!$E30:INDEX(Trigo!$E30:$Z30,MIN(O$6-$G$3,22))),0)))))</f>
        <v>0</v>
      </c>
      <c r="P32" s="27" t="n">
        <f aca="false">IF(COUNT(Trigo!$E30:$Z30)=0,0,MAX(0,IF((P$6-$E$3)&lt;1,0,IFERROR(LOOKUP(2,1/(Trigo!$E30:INDEX(Trigo!$E30:$Z30,MIN(P$6-$E$3,22))&lt;&gt;""),Trigo!$E30:INDEX(Trigo!$E30:$Z30,MIN(P$6-$E$3,22))),0))-IF($G$2,0,IF((P$6-$G$3)&lt;1,0,IFERROR(LOOKUP(2,1/(Trigo!$E30:INDEX(Trigo!$E30:$Z30,MIN(P$6-$G$3,22))&lt;&gt;""),Trigo!$E30:INDEX(Trigo!$E30:$Z30,MIN(P$6-$G$3,22))),0)))))</f>
        <v>0</v>
      </c>
      <c r="Q32" s="27" t="n">
        <f aca="false">IF(COUNT(Trigo!$E30:$Z30)=0,0,MAX(0,IF((Q$6-$E$3)&lt;1,0,IFERROR(LOOKUP(2,1/(Trigo!$E30:INDEX(Trigo!$E30:$Z30,MIN(Q$6-$E$3,22))&lt;&gt;""),Trigo!$E30:INDEX(Trigo!$E30:$Z30,MIN(Q$6-$E$3,22))),0))-IF($G$2,0,IF((Q$6-$G$3)&lt;1,0,IFERROR(LOOKUP(2,1/(Trigo!$E30:INDEX(Trigo!$E30:$Z30,MIN(Q$6-$G$3,22))&lt;&gt;""),Trigo!$E30:INDEX(Trigo!$E30:$Z30,MIN(Q$6-$G$3,22))),0)))))</f>
        <v>0</v>
      </c>
      <c r="R32" s="27" t="n">
        <f aca="false">IF(COUNT(Trigo!$E30:$Z30)=0,0,MAX(0,IF((R$6-$E$3)&lt;1,0,IFERROR(LOOKUP(2,1/(Trigo!$E30:INDEX(Trigo!$E30:$Z30,MIN(R$6-$E$3,22))&lt;&gt;""),Trigo!$E30:INDEX(Trigo!$E30:$Z30,MIN(R$6-$E$3,22))),0))-IF($G$2,0,IF((R$6-$G$3)&lt;1,0,IFERROR(LOOKUP(2,1/(Trigo!$E30:INDEX(Trigo!$E30:$Z30,MIN(R$6-$G$3,22))&lt;&gt;""),Trigo!$E30:INDEX(Trigo!$E30:$Z30,MIN(R$6-$G$3,22))),0)))))</f>
        <v>0</v>
      </c>
      <c r="S32" s="27" t="n">
        <f aca="false">IF(COUNT(Trigo!$E30:$Z30)=0,0,MAX(0,IF((S$6-$E$3)&lt;1,0,IFERROR(LOOKUP(2,1/(Trigo!$E30:INDEX(Trigo!$E30:$Z30,MIN(S$6-$E$3,22))&lt;&gt;""),Trigo!$E30:INDEX(Trigo!$E30:$Z30,MIN(S$6-$E$3,22))),0))-IF($G$2,0,IF((S$6-$G$3)&lt;1,0,IFERROR(LOOKUP(2,1/(Trigo!$E30:INDEX(Trigo!$E30:$Z30,MIN(S$6-$G$3,22))&lt;&gt;""),Trigo!$E30:INDEX(Trigo!$E30:$Z30,MIN(S$6-$G$3,22))),0)))))</f>
        <v>0</v>
      </c>
      <c r="T32" s="27" t="n">
        <f aca="false">IF(COUNT(Trigo!$E30:$Z30)=0,0,MAX(0,IF((T$6-$E$3)&lt;1,0,IFERROR(LOOKUP(2,1/(Trigo!$E30:INDEX(Trigo!$E30:$Z30,MIN(T$6-$E$3,22))&lt;&gt;""),Trigo!$E30:INDEX(Trigo!$E30:$Z30,MIN(T$6-$E$3,22))),0))-IF($G$2,0,IF((T$6-$G$3)&lt;1,0,IFERROR(LOOKUP(2,1/(Trigo!$E30:INDEX(Trigo!$E30:$Z30,MIN(T$6-$G$3,22))&lt;&gt;""),Trigo!$E30:INDEX(Trigo!$E30:$Z30,MIN(T$6-$G$3,22))),0)))))</f>
        <v>0</v>
      </c>
      <c r="U32" s="27" t="n">
        <f aca="false">IF(COUNT(Trigo!$E30:$Z30)=0,0,MAX(0,IF((U$6-$E$3)&lt;1,0,IFERROR(LOOKUP(2,1/(Trigo!$E30:INDEX(Trigo!$E30:$Z30,MIN(U$6-$E$3,22))&lt;&gt;""),Trigo!$E30:INDEX(Trigo!$E30:$Z30,MIN(U$6-$E$3,22))),0))-IF($G$2,0,IF((U$6-$G$3)&lt;1,0,IFERROR(LOOKUP(2,1/(Trigo!$E30:INDEX(Trigo!$E30:$Z30,MIN(U$6-$G$3,22))&lt;&gt;""),Trigo!$E30:INDEX(Trigo!$E30:$Z30,MIN(U$6-$G$3,22))),0)))))</f>
        <v>0</v>
      </c>
      <c r="V32" s="27" t="n">
        <f aca="false">IF(COUNT(Trigo!$E30:$Z30)=0,0,MAX(0,IF((V$6-$E$3)&lt;1,0,IFERROR(LOOKUP(2,1/(Trigo!$E30:INDEX(Trigo!$E30:$Z30,MIN(V$6-$E$3,22))&lt;&gt;""),Trigo!$E30:INDEX(Trigo!$E30:$Z30,MIN(V$6-$E$3,22))),0))-IF($G$2,0,IF((V$6-$G$3)&lt;1,0,IFERROR(LOOKUP(2,1/(Trigo!$E30:INDEX(Trigo!$E30:$Z30,MIN(V$6-$G$3,22))&lt;&gt;""),Trigo!$E30:INDEX(Trigo!$E30:$Z30,MIN(V$6-$G$3,22))),0)))))</f>
        <v>0</v>
      </c>
      <c r="W32" s="27" t="n">
        <f aca="false">IF(COUNT(Trigo!$E30:$Z30)=0,0,MAX(0,IF((W$6-$E$3)&lt;1,0,IFERROR(LOOKUP(2,1/(Trigo!$E30:INDEX(Trigo!$E30:$Z30,MIN(W$6-$E$3,22))&lt;&gt;""),Trigo!$E30:INDEX(Trigo!$E30:$Z30,MIN(W$6-$E$3,22))),0))-IF($G$2,0,IF((W$6-$G$3)&lt;1,0,IFERROR(LOOKUP(2,1/(Trigo!$E30:INDEX(Trigo!$E30:$Z30,MIN(W$6-$G$3,22))&lt;&gt;""),Trigo!$E30:INDEX(Trigo!$E30:$Z30,MIN(W$6-$G$3,22))),0)))))</f>
        <v>0</v>
      </c>
      <c r="X32" s="27" t="n">
        <f aca="false">IF(COUNT(Trigo!$E30:$Z30)=0,0,MAX(0,IF((X$6-$E$3)&lt;1,0,IFERROR(LOOKUP(2,1/(Trigo!$E30:INDEX(Trigo!$E30:$Z30,MIN(X$6-$E$3,22))&lt;&gt;""),Trigo!$E30:INDEX(Trigo!$E30:$Z30,MIN(X$6-$E$3,22))),0))-IF($G$2,0,IF((X$6-$G$3)&lt;1,0,IFERROR(LOOKUP(2,1/(Trigo!$E30:INDEX(Trigo!$E30:$Z30,MIN(X$6-$G$3,22))&lt;&gt;""),Trigo!$E30:INDEX(Trigo!$E30:$Z30,MIN(X$6-$G$3,22))),0)))))</f>
        <v>0</v>
      </c>
      <c r="Y32" s="27" t="n">
        <f aca="false">IF(COUNT(Trigo!$E30:$Z30)=0,0,MAX(0,IF((Y$6-$E$3)&lt;1,0,IFERROR(LOOKUP(2,1/(Trigo!$E30:INDEX(Trigo!$E30:$Z30,MIN(Y$6-$E$3,22))&lt;&gt;""),Trigo!$E30:INDEX(Trigo!$E30:$Z30,MIN(Y$6-$E$3,22))),0))-IF($G$2,0,IF((Y$6-$G$3)&lt;1,0,IFERROR(LOOKUP(2,1/(Trigo!$E30:INDEX(Trigo!$E30:$Z30,MIN(Y$6-$G$3,22))&lt;&gt;""),Trigo!$E30:INDEX(Trigo!$E30:$Z30,MIN(Y$6-$G$3,22))),0)))))</f>
        <v>0</v>
      </c>
      <c r="Z32" s="27" t="n">
        <f aca="false">IF(COUNT(Trigo!$E30:$Z30)=0,0,MAX(0,IF((Z$6-$E$3)&lt;1,0,IFERROR(LOOKUP(2,1/(Trigo!$E30:INDEX(Trigo!$E30:$Z30,MIN(Z$6-$E$3,22))&lt;&gt;""),Trigo!$E30:INDEX(Trigo!$E30:$Z30,MIN(Z$6-$E$3,22))),0))-IF($G$2,0,IF((Z$6-$G$3)&lt;1,0,IFERROR(LOOKUP(2,1/(Trigo!$E30:INDEX(Trigo!$E30:$Z30,MIN(Z$6-$G$3,22))&lt;&gt;""),Trigo!$E30:INDEX(Trigo!$E30:$Z30,MIN(Z$6-$G$3,22))),0)))))</f>
        <v>0</v>
      </c>
      <c r="AA32" s="27" t="n">
        <f aca="false">IF(COUNT(Trigo!$E30:$Z30)=0,0,MAX(0,IF((AA$6-$E$3)&lt;1,0,IFERROR(LOOKUP(2,1/(Trigo!$E30:INDEX(Trigo!$E30:$Z30,MIN(AA$6-$E$3,22))&lt;&gt;""),Trigo!$E30:INDEX(Trigo!$E30:$Z30,MIN(AA$6-$E$3,22))),0))-IF($G$2,0,IF((AA$6-$G$3)&lt;1,0,IFERROR(LOOKUP(2,1/(Trigo!$E30:INDEX(Trigo!$E30:$Z30,MIN(AA$6-$G$3,22))&lt;&gt;""),Trigo!$E30:INDEX(Trigo!$E30:$Z30,MIN(AA$6-$G$3,22))),0)))))</f>
        <v>0</v>
      </c>
      <c r="AB32" s="27" t="n">
        <f aca="false">IF(COUNT(Trigo!$E30:$Z30)=0,0,MAX(0,IF((AB$6-$E$3)&lt;1,0,IFERROR(LOOKUP(2,1/(Trigo!$E30:INDEX(Trigo!$E30:$Z30,MIN(AB$6-$E$3,22))&lt;&gt;""),Trigo!$E30:INDEX(Trigo!$E30:$Z30,MIN(AB$6-$E$3,22))),0))-IF($G$2,0,IF((AB$6-$G$3)&lt;1,0,IFERROR(LOOKUP(2,1/(Trigo!$E30:INDEX(Trigo!$E30:$Z30,MIN(AB$6-$G$3,22))&lt;&gt;""),Trigo!$E30:INDEX(Trigo!$E30:$Z30,MIN(AB$6-$G$3,22))),0)))))</f>
        <v>0</v>
      </c>
      <c r="AC32" s="27" t="n">
        <f aca="false">IF(COUNT(Trigo!$E30:$Z30)=0,0,MAX(0,IF((AC$6-$E$3)&lt;1,0,IFERROR(LOOKUP(2,1/(Trigo!$E30:INDEX(Trigo!$E30:$Z30,MIN(AC$6-$E$3,22))&lt;&gt;""),Trigo!$E30:INDEX(Trigo!$E30:$Z30,MIN(AC$6-$E$3,22))),0))-IF($G$2,0,IF((AC$6-$G$3)&lt;1,0,IFERROR(LOOKUP(2,1/(Trigo!$E30:INDEX(Trigo!$E30:$Z30,MIN(AC$6-$G$3,22))&lt;&gt;""),Trigo!$E30:INDEX(Trigo!$E30:$Z30,MIN(AC$6-$G$3,22))),0)))))</f>
        <v>0</v>
      </c>
      <c r="AD32" s="27" t="n">
        <f aca="false">IF(COUNT(Trigo!$E30:$Z30)=0,0,MAX(0,IF((AD$6-$E$3)&lt;1,0,IFERROR(LOOKUP(2,1/(Trigo!$E30:INDEX(Trigo!$E30:$Z30,MIN(AD$6-$E$3,22))&lt;&gt;""),Trigo!$E30:INDEX(Trigo!$E30:$Z30,MIN(AD$6-$E$3,22))),0))-IF($G$2,0,IF((AD$6-$G$3)&lt;1,0,IFERROR(LOOKUP(2,1/(Trigo!$E30:INDEX(Trigo!$E30:$Z30,MIN(AD$6-$G$3,22))&lt;&gt;""),Trigo!$E30:INDEX(Trigo!$E30:$Z30,MIN(AD$6-$G$3,22))),0)))))</f>
        <v>0</v>
      </c>
      <c r="AE32" s="27" t="n">
        <f aca="false">IF(COUNT(Trigo!$E30:$Z30)=0,0,MAX(0,IF((AE$6-$E$3)&lt;1,0,IFERROR(LOOKUP(2,1/(Trigo!$E30:INDEX(Trigo!$E30:$Z30,MIN(AE$6-$E$3,22))&lt;&gt;""),Trigo!$E30:INDEX(Trigo!$E30:$Z30,MIN(AE$6-$E$3,22))),0))-IF($G$2,0,IF((AE$6-$G$3)&lt;1,0,IFERROR(LOOKUP(2,1/(Trigo!$E30:INDEX(Trigo!$E30:$Z30,MIN(AE$6-$G$3,22))&lt;&gt;""),Trigo!$E30:INDEX(Trigo!$E30:$Z30,MIN(AE$6-$G$3,22))),0)))))</f>
        <v>0</v>
      </c>
      <c r="AF32" s="27" t="n">
        <f aca="false">IF(COUNT(Trigo!$E30:$Z30)=0,0,MAX(0,IF((AF$6-$E$3)&lt;1,0,IFERROR(LOOKUP(2,1/(Trigo!$E30:INDEX(Trigo!$E30:$Z30,MIN(AF$6-$E$3,22))&lt;&gt;""),Trigo!$E30:INDEX(Trigo!$E30:$Z30,MIN(AF$6-$E$3,22))),0))-IF($G$2,0,IF((AF$6-$G$3)&lt;1,0,IFERROR(LOOKUP(2,1/(Trigo!$E30:INDEX(Trigo!$E30:$Z30,MIN(AF$6-$G$3,22))&lt;&gt;""),Trigo!$E30:INDEX(Trigo!$E30:$Z30,MIN(AF$6-$G$3,22))),0)))))</f>
        <v>0</v>
      </c>
      <c r="AG32" s="27" t="n">
        <f aca="false">IF(COUNT(Trigo!$E30:$Z30)=0,0,MAX(0,IF((AG$6-$E$3)&lt;1,0,IFERROR(LOOKUP(2,1/(Trigo!$E30:INDEX(Trigo!$E30:$Z30,MIN(AG$6-$E$3,22))&lt;&gt;""),Trigo!$E30:INDEX(Trigo!$E30:$Z30,MIN(AG$6-$E$3,22))),0))-IF($G$2,0,IF((AG$6-$G$3)&lt;1,0,IFERROR(LOOKUP(2,1/(Trigo!$E30:INDEX(Trigo!$E30:$Z30,MIN(AG$6-$G$3,22))&lt;&gt;""),Trigo!$E30:INDEX(Trigo!$E30:$Z30,MIN(AG$6-$G$3,22))),0)))))</f>
        <v>0</v>
      </c>
      <c r="AH32" s="27" t="n">
        <f aca="false">IF(COUNT(Trigo!$E30:$Z30)=0,0,MAX(0,IF((AH$6-$E$3)&lt;1,0,IFERROR(LOOKUP(2,1/(Trigo!$E30:INDEX(Trigo!$E30:$Z30,MIN(AH$6-$E$3,22))&lt;&gt;""),Trigo!$E30:INDEX(Trigo!$E30:$Z30,MIN(AH$6-$E$3,22))),0))-IF($G$2,0,IF((AH$6-$G$3)&lt;1,0,IFERROR(LOOKUP(2,1/(Trigo!$E30:INDEX(Trigo!$E30:$Z30,MIN(AH$6-$G$3,22))&lt;&gt;""),Trigo!$E30:INDEX(Trigo!$E30:$Z30,MIN(AH$6-$G$3,22))),0)))))</f>
        <v>0</v>
      </c>
      <c r="AI32" s="27" t="n">
        <f aca="false">IF(COUNT(Trigo!$E30:$Z30)=0,0,MAX(0,IF((AI$6-$E$3)&lt;1,0,IFERROR(LOOKUP(2,1/(Trigo!$E30:INDEX(Trigo!$E30:$Z30,MIN(AI$6-$E$3,22))&lt;&gt;""),Trigo!$E30:INDEX(Trigo!$E30:$Z30,MIN(AI$6-$E$3,22))),0))-IF($G$2,0,IF((AI$6-$G$3)&lt;1,0,IFERROR(LOOKUP(2,1/(Trigo!$E30:INDEX(Trigo!$E30:$Z30,MIN(AI$6-$G$3,22))&lt;&gt;""),Trigo!$E30:INDEX(Trigo!$E30:$Z30,MIN(AI$6-$G$3,22))),0)))))</f>
        <v>0</v>
      </c>
      <c r="AJ32" s="27" t="n">
        <f aca="false">IF(COUNT(Trigo!$E30:$Z30)=0,0,MAX(0,IF((AJ$6-$E$3)&lt;1,0,IFERROR(LOOKUP(2,1/(Trigo!$E30:INDEX(Trigo!$E30:$Z30,MIN(AJ$6-$E$3,22))&lt;&gt;""),Trigo!$E30:INDEX(Trigo!$E30:$Z30,MIN(AJ$6-$E$3,22))),0))-IF($G$2,0,IF((AJ$6-$G$3)&lt;1,0,IFERROR(LOOKUP(2,1/(Trigo!$E30:INDEX(Trigo!$E30:$Z30,MIN(AJ$6-$G$3,22))&lt;&gt;""),Trigo!$E30:INDEX(Trigo!$E30:$Z30,MIN(AJ$6-$G$3,22))),0)))))</f>
        <v>0</v>
      </c>
      <c r="AK32" s="27" t="n">
        <f aca="false">IF(COUNT(Trigo!$E30:$Z30)=0,0,MAX(0,IF((AK$6-$E$3)&lt;1,0,IFERROR(LOOKUP(2,1/(Trigo!$E30:INDEX(Trigo!$E30:$Z30,MIN(AK$6-$E$3,22))&lt;&gt;""),Trigo!$E30:INDEX(Trigo!$E30:$Z30,MIN(AK$6-$E$3,22))),0))-IF($G$2,0,IF((AK$6-$G$3)&lt;1,0,IFERROR(LOOKUP(2,1/(Trigo!$E30:INDEX(Trigo!$E30:$Z30,MIN(AK$6-$G$3,22))&lt;&gt;""),Trigo!$E30:INDEX(Trigo!$E30:$Z30,MIN(AK$6-$G$3,22))),0)))))</f>
        <v>0</v>
      </c>
      <c r="AL32" s="27" t="n">
        <f aca="false">IF(COUNT(Trigo!$E30:$Z30)=0,0,MAX(0,IF((AL$6-$E$3)&lt;1,0,IFERROR(LOOKUP(2,1/(Trigo!$E30:INDEX(Trigo!$E30:$Z30,MIN(AL$6-$E$3,22))&lt;&gt;""),Trigo!$E30:INDEX(Trigo!$E30:$Z30,MIN(AL$6-$E$3,22))),0))-IF($G$2,0,IF((AL$6-$G$3)&lt;1,0,IFERROR(LOOKUP(2,1/(Trigo!$E30:INDEX(Trigo!$E30:$Z30,MIN(AL$6-$G$3,22))&lt;&gt;""),Trigo!$E30:INDEX(Trigo!$E30:$Z30,MIN(AL$6-$G$3,22))),0)))))</f>
        <v>0</v>
      </c>
      <c r="AM32" s="27" t="n">
        <f aca="false">IF(COUNT(Trigo!$E30:$Z30)=0,0,MAX(0,IF((AM$6-$E$3)&lt;1,0,IFERROR(LOOKUP(2,1/(Trigo!$E30:INDEX(Trigo!$E30:$Z30,MIN(AM$6-$E$3,22))&lt;&gt;""),Trigo!$E30:INDEX(Trigo!$E30:$Z30,MIN(AM$6-$E$3,22))),0))-IF($G$2,0,IF((AM$6-$G$3)&lt;1,0,IFERROR(LOOKUP(2,1/(Trigo!$E30:INDEX(Trigo!$E30:$Z30,MIN(AM$6-$G$3,22))&lt;&gt;""),Trigo!$E30:INDEX(Trigo!$E30:$Z30,MIN(AM$6-$G$3,22))),0)))))</f>
        <v>0</v>
      </c>
      <c r="AN32" s="27" t="n">
        <f aca="false">IF(COUNT(Trigo!$E30:$Z30)=0,0,MAX(0,IF((AN$6-$E$3)&lt;1,0,IFERROR(LOOKUP(2,1/(Trigo!$E30:INDEX(Trigo!$E30:$Z30,MIN(AN$6-$E$3,22))&lt;&gt;""),Trigo!$E30:INDEX(Trigo!$E30:$Z30,MIN(AN$6-$E$3,22))),0))-IF($G$2,0,IF((AN$6-$G$3)&lt;1,0,IFERROR(LOOKUP(2,1/(Trigo!$E30:INDEX(Trigo!$E30:$Z30,MIN(AN$6-$G$3,22))&lt;&gt;""),Trigo!$E30:INDEX(Trigo!$E30:$Z30,MIN(AN$6-$G$3,22))),0)))))</f>
        <v>0</v>
      </c>
      <c r="AO32" s="27" t="n">
        <f aca="false">IF(COUNT(Trigo!$E30:$Z30)=0,0,MAX(0,IF((AO$6-$E$3)&lt;1,0,IFERROR(LOOKUP(2,1/(Trigo!$E30:INDEX(Trigo!$E30:$Z30,MIN(AO$6-$E$3,22))&lt;&gt;""),Trigo!$E30:INDEX(Trigo!$E30:$Z30,MIN(AO$6-$E$3,22))),0))-IF($G$2,0,IF((AO$6-$G$3)&lt;1,0,IFERROR(LOOKUP(2,1/(Trigo!$E30:INDEX(Trigo!$E30:$Z30,MIN(AO$6-$G$3,22))&lt;&gt;""),Trigo!$E30:INDEX(Trigo!$E30:$Z30,MIN(AO$6-$G$3,22))),0)))))</f>
        <v>0</v>
      </c>
      <c r="AP32" s="27" t="n">
        <f aca="false">IF(COUNT(Trigo!$E30:$Z30)=0,0,MAX(0,IF((AP$6-$E$3)&lt;1,0,IFERROR(LOOKUP(2,1/(Trigo!$E30:INDEX(Trigo!$E30:$Z30,MIN(AP$6-$E$3,22))&lt;&gt;""),Trigo!$E30:INDEX(Trigo!$E30:$Z30,MIN(AP$6-$E$3,22))),0))-IF($G$2,0,IF((AP$6-$G$3)&lt;1,0,IFERROR(LOOKUP(2,1/(Trigo!$E30:INDEX(Trigo!$E30:$Z30,MIN(AP$6-$G$3,22))&lt;&gt;""),Trigo!$E30:INDEX(Trigo!$E30:$Z30,MIN(AP$6-$G$3,22))),0)))))</f>
        <v>0</v>
      </c>
      <c r="AQ32" s="27" t="n">
        <f aca="false">IF(COUNT(Trigo!$E30:$Z30)=0,0,MAX(0,IF((AQ$6-$E$3)&lt;1,0,IFERROR(LOOKUP(2,1/(Trigo!$E30:INDEX(Trigo!$E30:$Z30,MIN(AQ$6-$E$3,22))&lt;&gt;""),Trigo!$E30:INDEX(Trigo!$E30:$Z30,MIN(AQ$6-$E$3,22))),0))-IF($G$2,0,IF((AQ$6-$G$3)&lt;1,0,IFERROR(LOOKUP(2,1/(Trigo!$E30:INDEX(Trigo!$E30:$Z30,MIN(AQ$6-$G$3,22))&lt;&gt;""),Trigo!$E30:INDEX(Trigo!$E30:$Z30,MIN(AQ$6-$G$3,22))),0)))))</f>
        <v>0</v>
      </c>
      <c r="AR32" s="27" t="n">
        <f aca="false">IF(COUNT(Trigo!$E30:$Z30)=0,0,MAX(0,IF((AR$6-$E$3)&lt;1,0,IFERROR(LOOKUP(2,1/(Trigo!$E30:INDEX(Trigo!$E30:$Z30,MIN(AR$6-$E$3,22))&lt;&gt;""),Trigo!$E30:INDEX(Trigo!$E30:$Z30,MIN(AR$6-$E$3,22))),0))-IF($G$2,0,IF((AR$6-$G$3)&lt;1,0,IFERROR(LOOKUP(2,1/(Trigo!$E30:INDEX(Trigo!$E30:$Z30,MIN(AR$6-$G$3,22))&lt;&gt;""),Trigo!$E30:INDEX(Trigo!$E30:$Z30,MIN(AR$6-$G$3,22))),0)))))</f>
        <v>0</v>
      </c>
      <c r="AS32" s="27" t="n">
        <f aca="false">IF(COUNT(Trigo!$E30:$Z30)=0,0,MAX(0,IF((AS$6-$E$3)&lt;1,0,IFERROR(LOOKUP(2,1/(Trigo!$E30:INDEX(Trigo!$E30:$Z30,MIN(AS$6-$E$3,22))&lt;&gt;""),Trigo!$E30:INDEX(Trigo!$E30:$Z30,MIN(AS$6-$E$3,22))),0))-IF($G$2,0,IF((AS$6-$G$3)&lt;1,0,IFERROR(LOOKUP(2,1/(Trigo!$E30:INDEX(Trigo!$E30:$Z30,MIN(AS$6-$G$3,22))&lt;&gt;""),Trigo!$E30:INDEX(Trigo!$E30:$Z30,MIN(AS$6-$G$3,22))),0)))))</f>
        <v>0</v>
      </c>
      <c r="AT32" s="27" t="n">
        <f aca="false">IF(COUNT(Trigo!$E30:$Z30)=0,0,MAX(0,IF((AT$6-$E$3)&lt;1,0,IFERROR(LOOKUP(2,1/(Trigo!$E30:INDEX(Trigo!$E30:$Z30,MIN(AT$6-$E$3,22))&lt;&gt;""),Trigo!$E30:INDEX(Trigo!$E30:$Z30,MIN(AT$6-$E$3,22))),0))-IF($G$2,0,IF((AT$6-$G$3)&lt;1,0,IFERROR(LOOKUP(2,1/(Trigo!$E30:INDEX(Trigo!$E30:$Z30,MIN(AT$6-$G$3,22))&lt;&gt;""),Trigo!$E30:INDEX(Trigo!$E30:$Z30,MIN(AT$6-$G$3,22))),0)))))</f>
        <v>0</v>
      </c>
      <c r="AU32" s="27" t="n">
        <f aca="false">IF(COUNT(Trigo!$E30:$Z30)=0,0,MAX(0,IF((AU$6-$E$3)&lt;1,0,IFERROR(LOOKUP(2,1/(Trigo!$E30:INDEX(Trigo!$E30:$Z30,MIN(AU$6-$E$3,22))&lt;&gt;""),Trigo!$E30:INDEX(Trigo!$E30:$Z30,MIN(AU$6-$E$3,22))),0))-IF($G$2,0,IF((AU$6-$G$3)&lt;1,0,IFERROR(LOOKUP(2,1/(Trigo!$E30:INDEX(Trigo!$E30:$Z30,MIN(AU$6-$G$3,22))&lt;&gt;""),Trigo!$E30:INDEX(Trigo!$E30:$Z30,MIN(AU$6-$G$3,22))),0)))))</f>
        <v>0</v>
      </c>
      <c r="AV32" s="27" t="n">
        <f aca="false">IF(COUNT(Trigo!$E30:$Z30)=0,0,MAX(0,IF((AV$6-$E$3)&lt;1,0,IFERROR(LOOKUP(2,1/(Trigo!$E30:INDEX(Trigo!$E30:$Z30,MIN(AV$6-$E$3,22))&lt;&gt;""),Trigo!$E30:INDEX(Trigo!$E30:$Z30,MIN(AV$6-$E$3,22))),0))-IF($G$2,0,IF((AV$6-$G$3)&lt;1,0,IFERROR(LOOKUP(2,1/(Trigo!$E30:INDEX(Trigo!$E30:$Z30,MIN(AV$6-$G$3,22))&lt;&gt;""),Trigo!$E30:INDEX(Trigo!$E30:$Z30,MIN(AV$6-$G$3,22))),0)))))</f>
        <v>0</v>
      </c>
      <c r="AW32" s="27" t="n">
        <f aca="false">IF(COUNT(Trigo!$E30:$Z30)=0,0,MAX(0,IF((AW$6-$E$3)&lt;1,0,IFERROR(LOOKUP(2,1/(Trigo!$E30:INDEX(Trigo!$E30:$Z30,MIN(AW$6-$E$3,22))&lt;&gt;""),Trigo!$E30:INDEX(Trigo!$E30:$Z30,MIN(AW$6-$E$3,22))),0))-IF($G$2,0,IF((AW$6-$G$3)&lt;1,0,IFERROR(LOOKUP(2,1/(Trigo!$E30:INDEX(Trigo!$E30:$Z30,MIN(AW$6-$G$3,22))&lt;&gt;""),Trigo!$E30:INDEX(Trigo!$E30:$Z30,MIN(AW$6-$G$3,22))),0)))))</f>
        <v>0</v>
      </c>
      <c r="AX32" s="27" t="n">
        <f aca="false">IF(COUNT(Trigo!$E30:$Z30)=0,0,MAX(0,IF((AX$6-$E$3)&lt;1,0,IFERROR(LOOKUP(2,1/(Trigo!$E30:INDEX(Trigo!$E30:$Z30,MIN(AX$6-$E$3,22))&lt;&gt;""),Trigo!$E30:INDEX(Trigo!$E30:$Z30,MIN(AX$6-$E$3,22))),0))-IF($G$2,0,IF((AX$6-$G$3)&lt;1,0,IFERROR(LOOKUP(2,1/(Trigo!$E30:INDEX(Trigo!$E30:$Z30,MIN(AX$6-$G$3,22))&lt;&gt;""),Trigo!$E30:INDEX(Trigo!$E30:$Z30,MIN(AX$6-$G$3,22))),0)))))</f>
        <v>0</v>
      </c>
      <c r="AY32" s="27" t="n">
        <f aca="false">IF(COUNT(Trigo!$E30:$Z30)=0,0,MAX(0,IF((AY$6-$E$3)&lt;1,0,IFERROR(LOOKUP(2,1/(Trigo!$E30:INDEX(Trigo!$E30:$Z30,MIN(AY$6-$E$3,22))&lt;&gt;""),Trigo!$E30:INDEX(Trigo!$E30:$Z30,MIN(AY$6-$E$3,22))),0))-IF($G$2,0,IF((AY$6-$G$3)&lt;1,0,IFERROR(LOOKUP(2,1/(Trigo!$E30:INDEX(Trigo!$E30:$Z30,MIN(AY$6-$G$3,22))&lt;&gt;""),Trigo!$E30:INDEX(Trigo!$E30:$Z30,MIN(AY$6-$G$3,22))),0)))))</f>
        <v>0</v>
      </c>
      <c r="AZ32" s="27" t="n">
        <f aca="false">IF(COUNT(Trigo!$E30:$Z30)=0,0,MAX(0,IF((AZ$6-$E$3)&lt;1,0,IFERROR(LOOKUP(2,1/(Trigo!$E30:INDEX(Trigo!$E30:$Z30,MIN(AZ$6-$E$3,22))&lt;&gt;""),Trigo!$E30:INDEX(Trigo!$E30:$Z30,MIN(AZ$6-$E$3,22))),0))-IF($G$2,0,IF((AZ$6-$G$3)&lt;1,0,IFERROR(LOOKUP(2,1/(Trigo!$E30:INDEX(Trigo!$E30:$Z30,MIN(AZ$6-$G$3,22))&lt;&gt;""),Trigo!$E30:INDEX(Trigo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IF(COUNT(Trigo!$E31:$Z31)&gt;0,N(Trigo!$D31),0)</f>
        <v>0</v>
      </c>
      <c r="E33" s="27" t="n">
        <f aca="false">IF(COUNT(Trigo!$E31:$Z31)=0,0,MAX(0,IF((E$6-$E$3)&lt;1,0,IFERROR(LOOKUP(2,1/(Trigo!$E31:INDEX(Trigo!$E31:$Z31,MIN(E$6-$E$3,22))&lt;&gt;""),Trigo!$E31:INDEX(Trigo!$E31:$Z31,MIN(E$6-$E$3,22))),0))-IF($G$2,0,IF((E$6-$G$3)&lt;1,0,IFERROR(LOOKUP(2,1/(Trigo!$E31:INDEX(Trigo!$E31:$Z31,MIN(E$6-$G$3,22))&lt;&gt;""),Trigo!$E31:INDEX(Trigo!$E31:$Z31,MIN(E$6-$G$3,22))),0)))))</f>
        <v>0</v>
      </c>
      <c r="F33" s="27" t="n">
        <f aca="false">IF(COUNT(Trigo!$E31:$Z31)=0,0,MAX(0,IF((F$6-$E$3)&lt;1,0,IFERROR(LOOKUP(2,1/(Trigo!$E31:INDEX(Trigo!$E31:$Z31,MIN(F$6-$E$3,22))&lt;&gt;""),Trigo!$E31:INDEX(Trigo!$E31:$Z31,MIN(F$6-$E$3,22))),0))-IF($G$2,0,IF((F$6-$G$3)&lt;1,0,IFERROR(LOOKUP(2,1/(Trigo!$E31:INDEX(Trigo!$E31:$Z31,MIN(F$6-$G$3,22))&lt;&gt;""),Trigo!$E31:INDEX(Trigo!$E31:$Z31,MIN(F$6-$G$3,22))),0)))))</f>
        <v>0</v>
      </c>
      <c r="G33" s="27" t="n">
        <f aca="false">IF(COUNT(Trigo!$E31:$Z31)=0,0,MAX(0,IF((G$6-$E$3)&lt;1,0,IFERROR(LOOKUP(2,1/(Trigo!$E31:INDEX(Trigo!$E31:$Z31,MIN(G$6-$E$3,22))&lt;&gt;""),Trigo!$E31:INDEX(Trigo!$E31:$Z31,MIN(G$6-$E$3,22))),0))-IF($G$2,0,IF((G$6-$G$3)&lt;1,0,IFERROR(LOOKUP(2,1/(Trigo!$E31:INDEX(Trigo!$E31:$Z31,MIN(G$6-$G$3,22))&lt;&gt;""),Trigo!$E31:INDEX(Trigo!$E31:$Z31,MIN(G$6-$G$3,22))),0)))))</f>
        <v>0</v>
      </c>
      <c r="H33" s="27" t="n">
        <f aca="false">IF(COUNT(Trigo!$E31:$Z31)=0,0,MAX(0,IF((H$6-$E$3)&lt;1,0,IFERROR(LOOKUP(2,1/(Trigo!$E31:INDEX(Trigo!$E31:$Z31,MIN(H$6-$E$3,22))&lt;&gt;""),Trigo!$E31:INDEX(Trigo!$E31:$Z31,MIN(H$6-$E$3,22))),0))-IF($G$2,0,IF((H$6-$G$3)&lt;1,0,IFERROR(LOOKUP(2,1/(Trigo!$E31:INDEX(Trigo!$E31:$Z31,MIN(H$6-$G$3,22))&lt;&gt;""),Trigo!$E31:INDEX(Trigo!$E31:$Z31,MIN(H$6-$G$3,22))),0)))))</f>
        <v>0</v>
      </c>
      <c r="I33" s="27" t="n">
        <f aca="false">IF(COUNT(Trigo!$E31:$Z31)=0,0,MAX(0,IF((I$6-$E$3)&lt;1,0,IFERROR(LOOKUP(2,1/(Trigo!$E31:INDEX(Trigo!$E31:$Z31,MIN(I$6-$E$3,22))&lt;&gt;""),Trigo!$E31:INDEX(Trigo!$E31:$Z31,MIN(I$6-$E$3,22))),0))-IF($G$2,0,IF((I$6-$G$3)&lt;1,0,IFERROR(LOOKUP(2,1/(Trigo!$E31:INDEX(Trigo!$E31:$Z31,MIN(I$6-$G$3,22))&lt;&gt;""),Trigo!$E31:INDEX(Trigo!$E31:$Z31,MIN(I$6-$G$3,22))),0)))))</f>
        <v>0</v>
      </c>
      <c r="J33" s="27" t="n">
        <f aca="false">IF(COUNT(Trigo!$E31:$Z31)=0,0,MAX(0,IF((J$6-$E$3)&lt;1,0,IFERROR(LOOKUP(2,1/(Trigo!$E31:INDEX(Trigo!$E31:$Z31,MIN(J$6-$E$3,22))&lt;&gt;""),Trigo!$E31:INDEX(Trigo!$E31:$Z31,MIN(J$6-$E$3,22))),0))-IF($G$2,0,IF((J$6-$G$3)&lt;1,0,IFERROR(LOOKUP(2,1/(Trigo!$E31:INDEX(Trigo!$E31:$Z31,MIN(J$6-$G$3,22))&lt;&gt;""),Trigo!$E31:INDEX(Trigo!$E31:$Z31,MIN(J$6-$G$3,22))),0)))))</f>
        <v>0</v>
      </c>
      <c r="K33" s="27" t="n">
        <f aca="false">IF(COUNT(Trigo!$E31:$Z31)=0,0,MAX(0,IF((K$6-$E$3)&lt;1,0,IFERROR(LOOKUP(2,1/(Trigo!$E31:INDEX(Trigo!$E31:$Z31,MIN(K$6-$E$3,22))&lt;&gt;""),Trigo!$E31:INDEX(Trigo!$E31:$Z31,MIN(K$6-$E$3,22))),0))-IF($G$2,0,IF((K$6-$G$3)&lt;1,0,IFERROR(LOOKUP(2,1/(Trigo!$E31:INDEX(Trigo!$E31:$Z31,MIN(K$6-$G$3,22))&lt;&gt;""),Trigo!$E31:INDEX(Trigo!$E31:$Z31,MIN(K$6-$G$3,22))),0)))))</f>
        <v>0</v>
      </c>
      <c r="L33" s="27" t="n">
        <f aca="false">IF(COUNT(Trigo!$E31:$Z31)=0,0,MAX(0,IF((L$6-$E$3)&lt;1,0,IFERROR(LOOKUP(2,1/(Trigo!$E31:INDEX(Trigo!$E31:$Z31,MIN(L$6-$E$3,22))&lt;&gt;""),Trigo!$E31:INDEX(Trigo!$E31:$Z31,MIN(L$6-$E$3,22))),0))-IF($G$2,0,IF((L$6-$G$3)&lt;1,0,IFERROR(LOOKUP(2,1/(Trigo!$E31:INDEX(Trigo!$E31:$Z31,MIN(L$6-$G$3,22))&lt;&gt;""),Trigo!$E31:INDEX(Trigo!$E31:$Z31,MIN(L$6-$G$3,22))),0)))))</f>
        <v>0</v>
      </c>
      <c r="M33" s="27" t="n">
        <f aca="false">IF(COUNT(Trigo!$E31:$Z31)=0,0,MAX(0,IF((M$6-$E$3)&lt;1,0,IFERROR(LOOKUP(2,1/(Trigo!$E31:INDEX(Trigo!$E31:$Z31,MIN(M$6-$E$3,22))&lt;&gt;""),Trigo!$E31:INDEX(Trigo!$E31:$Z31,MIN(M$6-$E$3,22))),0))-IF($G$2,0,IF((M$6-$G$3)&lt;1,0,IFERROR(LOOKUP(2,1/(Trigo!$E31:INDEX(Trigo!$E31:$Z31,MIN(M$6-$G$3,22))&lt;&gt;""),Trigo!$E31:INDEX(Trigo!$E31:$Z31,MIN(M$6-$G$3,22))),0)))))</f>
        <v>0</v>
      </c>
      <c r="N33" s="27" t="n">
        <f aca="false">IF(COUNT(Trigo!$E31:$Z31)=0,0,MAX(0,IF((N$6-$E$3)&lt;1,0,IFERROR(LOOKUP(2,1/(Trigo!$E31:INDEX(Trigo!$E31:$Z31,MIN(N$6-$E$3,22))&lt;&gt;""),Trigo!$E31:INDEX(Trigo!$E31:$Z31,MIN(N$6-$E$3,22))),0))-IF($G$2,0,IF((N$6-$G$3)&lt;1,0,IFERROR(LOOKUP(2,1/(Trigo!$E31:INDEX(Trigo!$E31:$Z31,MIN(N$6-$G$3,22))&lt;&gt;""),Trigo!$E31:INDEX(Trigo!$E31:$Z31,MIN(N$6-$G$3,22))),0)))))</f>
        <v>0</v>
      </c>
      <c r="O33" s="27" t="n">
        <f aca="false">IF(COUNT(Trigo!$E31:$Z31)=0,0,MAX(0,IF((O$6-$E$3)&lt;1,0,IFERROR(LOOKUP(2,1/(Trigo!$E31:INDEX(Trigo!$E31:$Z31,MIN(O$6-$E$3,22))&lt;&gt;""),Trigo!$E31:INDEX(Trigo!$E31:$Z31,MIN(O$6-$E$3,22))),0))-IF($G$2,0,IF((O$6-$G$3)&lt;1,0,IFERROR(LOOKUP(2,1/(Trigo!$E31:INDEX(Trigo!$E31:$Z31,MIN(O$6-$G$3,22))&lt;&gt;""),Trigo!$E31:INDEX(Trigo!$E31:$Z31,MIN(O$6-$G$3,22))),0)))))</f>
        <v>0</v>
      </c>
      <c r="P33" s="27" t="n">
        <f aca="false">IF(COUNT(Trigo!$E31:$Z31)=0,0,MAX(0,IF((P$6-$E$3)&lt;1,0,IFERROR(LOOKUP(2,1/(Trigo!$E31:INDEX(Trigo!$E31:$Z31,MIN(P$6-$E$3,22))&lt;&gt;""),Trigo!$E31:INDEX(Trigo!$E31:$Z31,MIN(P$6-$E$3,22))),0))-IF($G$2,0,IF((P$6-$G$3)&lt;1,0,IFERROR(LOOKUP(2,1/(Trigo!$E31:INDEX(Trigo!$E31:$Z31,MIN(P$6-$G$3,22))&lt;&gt;""),Trigo!$E31:INDEX(Trigo!$E31:$Z31,MIN(P$6-$G$3,22))),0)))))</f>
        <v>0</v>
      </c>
      <c r="Q33" s="27" t="n">
        <f aca="false">IF(COUNT(Trigo!$E31:$Z31)=0,0,MAX(0,IF((Q$6-$E$3)&lt;1,0,IFERROR(LOOKUP(2,1/(Trigo!$E31:INDEX(Trigo!$E31:$Z31,MIN(Q$6-$E$3,22))&lt;&gt;""),Trigo!$E31:INDEX(Trigo!$E31:$Z31,MIN(Q$6-$E$3,22))),0))-IF($G$2,0,IF((Q$6-$G$3)&lt;1,0,IFERROR(LOOKUP(2,1/(Trigo!$E31:INDEX(Trigo!$E31:$Z31,MIN(Q$6-$G$3,22))&lt;&gt;""),Trigo!$E31:INDEX(Trigo!$E31:$Z31,MIN(Q$6-$G$3,22))),0)))))</f>
        <v>0</v>
      </c>
      <c r="R33" s="27" t="n">
        <f aca="false">IF(COUNT(Trigo!$E31:$Z31)=0,0,MAX(0,IF((R$6-$E$3)&lt;1,0,IFERROR(LOOKUP(2,1/(Trigo!$E31:INDEX(Trigo!$E31:$Z31,MIN(R$6-$E$3,22))&lt;&gt;""),Trigo!$E31:INDEX(Trigo!$E31:$Z31,MIN(R$6-$E$3,22))),0))-IF($G$2,0,IF((R$6-$G$3)&lt;1,0,IFERROR(LOOKUP(2,1/(Trigo!$E31:INDEX(Trigo!$E31:$Z31,MIN(R$6-$G$3,22))&lt;&gt;""),Trigo!$E31:INDEX(Trigo!$E31:$Z31,MIN(R$6-$G$3,22))),0)))))</f>
        <v>0</v>
      </c>
      <c r="S33" s="27" t="n">
        <f aca="false">IF(COUNT(Trigo!$E31:$Z31)=0,0,MAX(0,IF((S$6-$E$3)&lt;1,0,IFERROR(LOOKUP(2,1/(Trigo!$E31:INDEX(Trigo!$E31:$Z31,MIN(S$6-$E$3,22))&lt;&gt;""),Trigo!$E31:INDEX(Trigo!$E31:$Z31,MIN(S$6-$E$3,22))),0))-IF($G$2,0,IF((S$6-$G$3)&lt;1,0,IFERROR(LOOKUP(2,1/(Trigo!$E31:INDEX(Trigo!$E31:$Z31,MIN(S$6-$G$3,22))&lt;&gt;""),Trigo!$E31:INDEX(Trigo!$E31:$Z31,MIN(S$6-$G$3,22))),0)))))</f>
        <v>0</v>
      </c>
      <c r="T33" s="27" t="n">
        <f aca="false">IF(COUNT(Trigo!$E31:$Z31)=0,0,MAX(0,IF((T$6-$E$3)&lt;1,0,IFERROR(LOOKUP(2,1/(Trigo!$E31:INDEX(Trigo!$E31:$Z31,MIN(T$6-$E$3,22))&lt;&gt;""),Trigo!$E31:INDEX(Trigo!$E31:$Z31,MIN(T$6-$E$3,22))),0))-IF($G$2,0,IF((T$6-$G$3)&lt;1,0,IFERROR(LOOKUP(2,1/(Trigo!$E31:INDEX(Trigo!$E31:$Z31,MIN(T$6-$G$3,22))&lt;&gt;""),Trigo!$E31:INDEX(Trigo!$E31:$Z31,MIN(T$6-$G$3,22))),0)))))</f>
        <v>0</v>
      </c>
      <c r="U33" s="27" t="n">
        <f aca="false">IF(COUNT(Trigo!$E31:$Z31)=0,0,MAX(0,IF((U$6-$E$3)&lt;1,0,IFERROR(LOOKUP(2,1/(Trigo!$E31:INDEX(Trigo!$E31:$Z31,MIN(U$6-$E$3,22))&lt;&gt;""),Trigo!$E31:INDEX(Trigo!$E31:$Z31,MIN(U$6-$E$3,22))),0))-IF($G$2,0,IF((U$6-$G$3)&lt;1,0,IFERROR(LOOKUP(2,1/(Trigo!$E31:INDEX(Trigo!$E31:$Z31,MIN(U$6-$G$3,22))&lt;&gt;""),Trigo!$E31:INDEX(Trigo!$E31:$Z31,MIN(U$6-$G$3,22))),0)))))</f>
        <v>0</v>
      </c>
      <c r="V33" s="27" t="n">
        <f aca="false">IF(COUNT(Trigo!$E31:$Z31)=0,0,MAX(0,IF((V$6-$E$3)&lt;1,0,IFERROR(LOOKUP(2,1/(Trigo!$E31:INDEX(Trigo!$E31:$Z31,MIN(V$6-$E$3,22))&lt;&gt;""),Trigo!$E31:INDEX(Trigo!$E31:$Z31,MIN(V$6-$E$3,22))),0))-IF($G$2,0,IF((V$6-$G$3)&lt;1,0,IFERROR(LOOKUP(2,1/(Trigo!$E31:INDEX(Trigo!$E31:$Z31,MIN(V$6-$G$3,22))&lt;&gt;""),Trigo!$E31:INDEX(Trigo!$E31:$Z31,MIN(V$6-$G$3,22))),0)))))</f>
        <v>0</v>
      </c>
      <c r="W33" s="27" t="n">
        <f aca="false">IF(COUNT(Trigo!$E31:$Z31)=0,0,MAX(0,IF((W$6-$E$3)&lt;1,0,IFERROR(LOOKUP(2,1/(Trigo!$E31:INDEX(Trigo!$E31:$Z31,MIN(W$6-$E$3,22))&lt;&gt;""),Trigo!$E31:INDEX(Trigo!$E31:$Z31,MIN(W$6-$E$3,22))),0))-IF($G$2,0,IF((W$6-$G$3)&lt;1,0,IFERROR(LOOKUP(2,1/(Trigo!$E31:INDEX(Trigo!$E31:$Z31,MIN(W$6-$G$3,22))&lt;&gt;""),Trigo!$E31:INDEX(Trigo!$E31:$Z31,MIN(W$6-$G$3,22))),0)))))</f>
        <v>0</v>
      </c>
      <c r="X33" s="27" t="n">
        <f aca="false">IF(COUNT(Trigo!$E31:$Z31)=0,0,MAX(0,IF((X$6-$E$3)&lt;1,0,IFERROR(LOOKUP(2,1/(Trigo!$E31:INDEX(Trigo!$E31:$Z31,MIN(X$6-$E$3,22))&lt;&gt;""),Trigo!$E31:INDEX(Trigo!$E31:$Z31,MIN(X$6-$E$3,22))),0))-IF($G$2,0,IF((X$6-$G$3)&lt;1,0,IFERROR(LOOKUP(2,1/(Trigo!$E31:INDEX(Trigo!$E31:$Z31,MIN(X$6-$G$3,22))&lt;&gt;""),Trigo!$E31:INDEX(Trigo!$E31:$Z31,MIN(X$6-$G$3,22))),0)))))</f>
        <v>0</v>
      </c>
      <c r="Y33" s="27" t="n">
        <f aca="false">IF(COUNT(Trigo!$E31:$Z31)=0,0,MAX(0,IF((Y$6-$E$3)&lt;1,0,IFERROR(LOOKUP(2,1/(Trigo!$E31:INDEX(Trigo!$E31:$Z31,MIN(Y$6-$E$3,22))&lt;&gt;""),Trigo!$E31:INDEX(Trigo!$E31:$Z31,MIN(Y$6-$E$3,22))),0))-IF($G$2,0,IF((Y$6-$G$3)&lt;1,0,IFERROR(LOOKUP(2,1/(Trigo!$E31:INDEX(Trigo!$E31:$Z31,MIN(Y$6-$G$3,22))&lt;&gt;""),Trigo!$E31:INDEX(Trigo!$E31:$Z31,MIN(Y$6-$G$3,22))),0)))))</f>
        <v>0</v>
      </c>
      <c r="Z33" s="27" t="n">
        <f aca="false">IF(COUNT(Trigo!$E31:$Z31)=0,0,MAX(0,IF((Z$6-$E$3)&lt;1,0,IFERROR(LOOKUP(2,1/(Trigo!$E31:INDEX(Trigo!$E31:$Z31,MIN(Z$6-$E$3,22))&lt;&gt;""),Trigo!$E31:INDEX(Trigo!$E31:$Z31,MIN(Z$6-$E$3,22))),0))-IF($G$2,0,IF((Z$6-$G$3)&lt;1,0,IFERROR(LOOKUP(2,1/(Trigo!$E31:INDEX(Trigo!$E31:$Z31,MIN(Z$6-$G$3,22))&lt;&gt;""),Trigo!$E31:INDEX(Trigo!$E31:$Z31,MIN(Z$6-$G$3,22))),0)))))</f>
        <v>0</v>
      </c>
      <c r="AA33" s="27" t="n">
        <f aca="false">IF(COUNT(Trigo!$E31:$Z31)=0,0,MAX(0,IF((AA$6-$E$3)&lt;1,0,IFERROR(LOOKUP(2,1/(Trigo!$E31:INDEX(Trigo!$E31:$Z31,MIN(AA$6-$E$3,22))&lt;&gt;""),Trigo!$E31:INDEX(Trigo!$E31:$Z31,MIN(AA$6-$E$3,22))),0))-IF($G$2,0,IF((AA$6-$G$3)&lt;1,0,IFERROR(LOOKUP(2,1/(Trigo!$E31:INDEX(Trigo!$E31:$Z31,MIN(AA$6-$G$3,22))&lt;&gt;""),Trigo!$E31:INDEX(Trigo!$E31:$Z31,MIN(AA$6-$G$3,22))),0)))))</f>
        <v>0</v>
      </c>
      <c r="AB33" s="27" t="n">
        <f aca="false">IF(COUNT(Trigo!$E31:$Z31)=0,0,MAX(0,IF((AB$6-$E$3)&lt;1,0,IFERROR(LOOKUP(2,1/(Trigo!$E31:INDEX(Trigo!$E31:$Z31,MIN(AB$6-$E$3,22))&lt;&gt;""),Trigo!$E31:INDEX(Trigo!$E31:$Z31,MIN(AB$6-$E$3,22))),0))-IF($G$2,0,IF((AB$6-$G$3)&lt;1,0,IFERROR(LOOKUP(2,1/(Trigo!$E31:INDEX(Trigo!$E31:$Z31,MIN(AB$6-$G$3,22))&lt;&gt;""),Trigo!$E31:INDEX(Trigo!$E31:$Z31,MIN(AB$6-$G$3,22))),0)))))</f>
        <v>0</v>
      </c>
      <c r="AC33" s="27" t="n">
        <f aca="false">IF(COUNT(Trigo!$E31:$Z31)=0,0,MAX(0,IF((AC$6-$E$3)&lt;1,0,IFERROR(LOOKUP(2,1/(Trigo!$E31:INDEX(Trigo!$E31:$Z31,MIN(AC$6-$E$3,22))&lt;&gt;""),Trigo!$E31:INDEX(Trigo!$E31:$Z31,MIN(AC$6-$E$3,22))),0))-IF($G$2,0,IF((AC$6-$G$3)&lt;1,0,IFERROR(LOOKUP(2,1/(Trigo!$E31:INDEX(Trigo!$E31:$Z31,MIN(AC$6-$G$3,22))&lt;&gt;""),Trigo!$E31:INDEX(Trigo!$E31:$Z31,MIN(AC$6-$G$3,22))),0)))))</f>
        <v>0</v>
      </c>
      <c r="AD33" s="27" t="n">
        <f aca="false">IF(COUNT(Trigo!$E31:$Z31)=0,0,MAX(0,IF((AD$6-$E$3)&lt;1,0,IFERROR(LOOKUP(2,1/(Trigo!$E31:INDEX(Trigo!$E31:$Z31,MIN(AD$6-$E$3,22))&lt;&gt;""),Trigo!$E31:INDEX(Trigo!$E31:$Z31,MIN(AD$6-$E$3,22))),0))-IF($G$2,0,IF((AD$6-$G$3)&lt;1,0,IFERROR(LOOKUP(2,1/(Trigo!$E31:INDEX(Trigo!$E31:$Z31,MIN(AD$6-$G$3,22))&lt;&gt;""),Trigo!$E31:INDEX(Trigo!$E31:$Z31,MIN(AD$6-$G$3,22))),0)))))</f>
        <v>0</v>
      </c>
      <c r="AE33" s="27" t="n">
        <f aca="false">IF(COUNT(Trigo!$E31:$Z31)=0,0,MAX(0,IF((AE$6-$E$3)&lt;1,0,IFERROR(LOOKUP(2,1/(Trigo!$E31:INDEX(Trigo!$E31:$Z31,MIN(AE$6-$E$3,22))&lt;&gt;""),Trigo!$E31:INDEX(Trigo!$E31:$Z31,MIN(AE$6-$E$3,22))),0))-IF($G$2,0,IF((AE$6-$G$3)&lt;1,0,IFERROR(LOOKUP(2,1/(Trigo!$E31:INDEX(Trigo!$E31:$Z31,MIN(AE$6-$G$3,22))&lt;&gt;""),Trigo!$E31:INDEX(Trigo!$E31:$Z31,MIN(AE$6-$G$3,22))),0)))))</f>
        <v>0</v>
      </c>
      <c r="AF33" s="27" t="n">
        <f aca="false">IF(COUNT(Trigo!$E31:$Z31)=0,0,MAX(0,IF((AF$6-$E$3)&lt;1,0,IFERROR(LOOKUP(2,1/(Trigo!$E31:INDEX(Trigo!$E31:$Z31,MIN(AF$6-$E$3,22))&lt;&gt;""),Trigo!$E31:INDEX(Trigo!$E31:$Z31,MIN(AF$6-$E$3,22))),0))-IF($G$2,0,IF((AF$6-$G$3)&lt;1,0,IFERROR(LOOKUP(2,1/(Trigo!$E31:INDEX(Trigo!$E31:$Z31,MIN(AF$6-$G$3,22))&lt;&gt;""),Trigo!$E31:INDEX(Trigo!$E31:$Z31,MIN(AF$6-$G$3,22))),0)))))</f>
        <v>0</v>
      </c>
      <c r="AG33" s="27" t="n">
        <f aca="false">IF(COUNT(Trigo!$E31:$Z31)=0,0,MAX(0,IF((AG$6-$E$3)&lt;1,0,IFERROR(LOOKUP(2,1/(Trigo!$E31:INDEX(Trigo!$E31:$Z31,MIN(AG$6-$E$3,22))&lt;&gt;""),Trigo!$E31:INDEX(Trigo!$E31:$Z31,MIN(AG$6-$E$3,22))),0))-IF($G$2,0,IF((AG$6-$G$3)&lt;1,0,IFERROR(LOOKUP(2,1/(Trigo!$E31:INDEX(Trigo!$E31:$Z31,MIN(AG$6-$G$3,22))&lt;&gt;""),Trigo!$E31:INDEX(Trigo!$E31:$Z31,MIN(AG$6-$G$3,22))),0)))))</f>
        <v>0</v>
      </c>
      <c r="AH33" s="27" t="n">
        <f aca="false">IF(COUNT(Trigo!$E31:$Z31)=0,0,MAX(0,IF((AH$6-$E$3)&lt;1,0,IFERROR(LOOKUP(2,1/(Trigo!$E31:INDEX(Trigo!$E31:$Z31,MIN(AH$6-$E$3,22))&lt;&gt;""),Trigo!$E31:INDEX(Trigo!$E31:$Z31,MIN(AH$6-$E$3,22))),0))-IF($G$2,0,IF((AH$6-$G$3)&lt;1,0,IFERROR(LOOKUP(2,1/(Trigo!$E31:INDEX(Trigo!$E31:$Z31,MIN(AH$6-$G$3,22))&lt;&gt;""),Trigo!$E31:INDEX(Trigo!$E31:$Z31,MIN(AH$6-$G$3,22))),0)))))</f>
        <v>0</v>
      </c>
      <c r="AI33" s="27" t="n">
        <f aca="false">IF(COUNT(Trigo!$E31:$Z31)=0,0,MAX(0,IF((AI$6-$E$3)&lt;1,0,IFERROR(LOOKUP(2,1/(Trigo!$E31:INDEX(Trigo!$E31:$Z31,MIN(AI$6-$E$3,22))&lt;&gt;""),Trigo!$E31:INDEX(Trigo!$E31:$Z31,MIN(AI$6-$E$3,22))),0))-IF($G$2,0,IF((AI$6-$G$3)&lt;1,0,IFERROR(LOOKUP(2,1/(Trigo!$E31:INDEX(Trigo!$E31:$Z31,MIN(AI$6-$G$3,22))&lt;&gt;""),Trigo!$E31:INDEX(Trigo!$E31:$Z31,MIN(AI$6-$G$3,22))),0)))))</f>
        <v>0</v>
      </c>
      <c r="AJ33" s="27" t="n">
        <f aca="false">IF(COUNT(Trigo!$E31:$Z31)=0,0,MAX(0,IF((AJ$6-$E$3)&lt;1,0,IFERROR(LOOKUP(2,1/(Trigo!$E31:INDEX(Trigo!$E31:$Z31,MIN(AJ$6-$E$3,22))&lt;&gt;""),Trigo!$E31:INDEX(Trigo!$E31:$Z31,MIN(AJ$6-$E$3,22))),0))-IF($G$2,0,IF((AJ$6-$G$3)&lt;1,0,IFERROR(LOOKUP(2,1/(Trigo!$E31:INDEX(Trigo!$E31:$Z31,MIN(AJ$6-$G$3,22))&lt;&gt;""),Trigo!$E31:INDEX(Trigo!$E31:$Z31,MIN(AJ$6-$G$3,22))),0)))))</f>
        <v>0</v>
      </c>
      <c r="AK33" s="27" t="n">
        <f aca="false">IF(COUNT(Trigo!$E31:$Z31)=0,0,MAX(0,IF((AK$6-$E$3)&lt;1,0,IFERROR(LOOKUP(2,1/(Trigo!$E31:INDEX(Trigo!$E31:$Z31,MIN(AK$6-$E$3,22))&lt;&gt;""),Trigo!$E31:INDEX(Trigo!$E31:$Z31,MIN(AK$6-$E$3,22))),0))-IF($G$2,0,IF((AK$6-$G$3)&lt;1,0,IFERROR(LOOKUP(2,1/(Trigo!$E31:INDEX(Trigo!$E31:$Z31,MIN(AK$6-$G$3,22))&lt;&gt;""),Trigo!$E31:INDEX(Trigo!$E31:$Z31,MIN(AK$6-$G$3,22))),0)))))</f>
        <v>0</v>
      </c>
      <c r="AL33" s="27" t="n">
        <f aca="false">IF(COUNT(Trigo!$E31:$Z31)=0,0,MAX(0,IF((AL$6-$E$3)&lt;1,0,IFERROR(LOOKUP(2,1/(Trigo!$E31:INDEX(Trigo!$E31:$Z31,MIN(AL$6-$E$3,22))&lt;&gt;""),Trigo!$E31:INDEX(Trigo!$E31:$Z31,MIN(AL$6-$E$3,22))),0))-IF($G$2,0,IF((AL$6-$G$3)&lt;1,0,IFERROR(LOOKUP(2,1/(Trigo!$E31:INDEX(Trigo!$E31:$Z31,MIN(AL$6-$G$3,22))&lt;&gt;""),Trigo!$E31:INDEX(Trigo!$E31:$Z31,MIN(AL$6-$G$3,22))),0)))))</f>
        <v>0</v>
      </c>
      <c r="AM33" s="27" t="n">
        <f aca="false">IF(COUNT(Trigo!$E31:$Z31)=0,0,MAX(0,IF((AM$6-$E$3)&lt;1,0,IFERROR(LOOKUP(2,1/(Trigo!$E31:INDEX(Trigo!$E31:$Z31,MIN(AM$6-$E$3,22))&lt;&gt;""),Trigo!$E31:INDEX(Trigo!$E31:$Z31,MIN(AM$6-$E$3,22))),0))-IF($G$2,0,IF((AM$6-$G$3)&lt;1,0,IFERROR(LOOKUP(2,1/(Trigo!$E31:INDEX(Trigo!$E31:$Z31,MIN(AM$6-$G$3,22))&lt;&gt;""),Trigo!$E31:INDEX(Trigo!$E31:$Z31,MIN(AM$6-$G$3,22))),0)))))</f>
        <v>0</v>
      </c>
      <c r="AN33" s="27" t="n">
        <f aca="false">IF(COUNT(Trigo!$E31:$Z31)=0,0,MAX(0,IF((AN$6-$E$3)&lt;1,0,IFERROR(LOOKUP(2,1/(Trigo!$E31:INDEX(Trigo!$E31:$Z31,MIN(AN$6-$E$3,22))&lt;&gt;""),Trigo!$E31:INDEX(Trigo!$E31:$Z31,MIN(AN$6-$E$3,22))),0))-IF($G$2,0,IF((AN$6-$G$3)&lt;1,0,IFERROR(LOOKUP(2,1/(Trigo!$E31:INDEX(Trigo!$E31:$Z31,MIN(AN$6-$G$3,22))&lt;&gt;""),Trigo!$E31:INDEX(Trigo!$E31:$Z31,MIN(AN$6-$G$3,22))),0)))))</f>
        <v>0</v>
      </c>
      <c r="AO33" s="27" t="n">
        <f aca="false">IF(COUNT(Trigo!$E31:$Z31)=0,0,MAX(0,IF((AO$6-$E$3)&lt;1,0,IFERROR(LOOKUP(2,1/(Trigo!$E31:INDEX(Trigo!$E31:$Z31,MIN(AO$6-$E$3,22))&lt;&gt;""),Trigo!$E31:INDEX(Trigo!$E31:$Z31,MIN(AO$6-$E$3,22))),0))-IF($G$2,0,IF((AO$6-$G$3)&lt;1,0,IFERROR(LOOKUP(2,1/(Trigo!$E31:INDEX(Trigo!$E31:$Z31,MIN(AO$6-$G$3,22))&lt;&gt;""),Trigo!$E31:INDEX(Trigo!$E31:$Z31,MIN(AO$6-$G$3,22))),0)))))</f>
        <v>0</v>
      </c>
      <c r="AP33" s="27" t="n">
        <f aca="false">IF(COUNT(Trigo!$E31:$Z31)=0,0,MAX(0,IF((AP$6-$E$3)&lt;1,0,IFERROR(LOOKUP(2,1/(Trigo!$E31:INDEX(Trigo!$E31:$Z31,MIN(AP$6-$E$3,22))&lt;&gt;""),Trigo!$E31:INDEX(Trigo!$E31:$Z31,MIN(AP$6-$E$3,22))),0))-IF($G$2,0,IF((AP$6-$G$3)&lt;1,0,IFERROR(LOOKUP(2,1/(Trigo!$E31:INDEX(Trigo!$E31:$Z31,MIN(AP$6-$G$3,22))&lt;&gt;""),Trigo!$E31:INDEX(Trigo!$E31:$Z31,MIN(AP$6-$G$3,22))),0)))))</f>
        <v>0</v>
      </c>
      <c r="AQ33" s="27" t="n">
        <f aca="false">IF(COUNT(Trigo!$E31:$Z31)=0,0,MAX(0,IF((AQ$6-$E$3)&lt;1,0,IFERROR(LOOKUP(2,1/(Trigo!$E31:INDEX(Trigo!$E31:$Z31,MIN(AQ$6-$E$3,22))&lt;&gt;""),Trigo!$E31:INDEX(Trigo!$E31:$Z31,MIN(AQ$6-$E$3,22))),0))-IF($G$2,0,IF((AQ$6-$G$3)&lt;1,0,IFERROR(LOOKUP(2,1/(Trigo!$E31:INDEX(Trigo!$E31:$Z31,MIN(AQ$6-$G$3,22))&lt;&gt;""),Trigo!$E31:INDEX(Trigo!$E31:$Z31,MIN(AQ$6-$G$3,22))),0)))))</f>
        <v>0</v>
      </c>
      <c r="AR33" s="27" t="n">
        <f aca="false">IF(COUNT(Trigo!$E31:$Z31)=0,0,MAX(0,IF((AR$6-$E$3)&lt;1,0,IFERROR(LOOKUP(2,1/(Trigo!$E31:INDEX(Trigo!$E31:$Z31,MIN(AR$6-$E$3,22))&lt;&gt;""),Trigo!$E31:INDEX(Trigo!$E31:$Z31,MIN(AR$6-$E$3,22))),0))-IF($G$2,0,IF((AR$6-$G$3)&lt;1,0,IFERROR(LOOKUP(2,1/(Trigo!$E31:INDEX(Trigo!$E31:$Z31,MIN(AR$6-$G$3,22))&lt;&gt;""),Trigo!$E31:INDEX(Trigo!$E31:$Z31,MIN(AR$6-$G$3,22))),0)))))</f>
        <v>0</v>
      </c>
      <c r="AS33" s="27" t="n">
        <f aca="false">IF(COUNT(Trigo!$E31:$Z31)=0,0,MAX(0,IF((AS$6-$E$3)&lt;1,0,IFERROR(LOOKUP(2,1/(Trigo!$E31:INDEX(Trigo!$E31:$Z31,MIN(AS$6-$E$3,22))&lt;&gt;""),Trigo!$E31:INDEX(Trigo!$E31:$Z31,MIN(AS$6-$E$3,22))),0))-IF($G$2,0,IF((AS$6-$G$3)&lt;1,0,IFERROR(LOOKUP(2,1/(Trigo!$E31:INDEX(Trigo!$E31:$Z31,MIN(AS$6-$G$3,22))&lt;&gt;""),Trigo!$E31:INDEX(Trigo!$E31:$Z31,MIN(AS$6-$G$3,22))),0)))))</f>
        <v>0</v>
      </c>
      <c r="AT33" s="27" t="n">
        <f aca="false">IF(COUNT(Trigo!$E31:$Z31)=0,0,MAX(0,IF((AT$6-$E$3)&lt;1,0,IFERROR(LOOKUP(2,1/(Trigo!$E31:INDEX(Trigo!$E31:$Z31,MIN(AT$6-$E$3,22))&lt;&gt;""),Trigo!$E31:INDEX(Trigo!$E31:$Z31,MIN(AT$6-$E$3,22))),0))-IF($G$2,0,IF((AT$6-$G$3)&lt;1,0,IFERROR(LOOKUP(2,1/(Trigo!$E31:INDEX(Trigo!$E31:$Z31,MIN(AT$6-$G$3,22))&lt;&gt;""),Trigo!$E31:INDEX(Trigo!$E31:$Z31,MIN(AT$6-$G$3,22))),0)))))</f>
        <v>0</v>
      </c>
      <c r="AU33" s="27" t="n">
        <f aca="false">IF(COUNT(Trigo!$E31:$Z31)=0,0,MAX(0,IF((AU$6-$E$3)&lt;1,0,IFERROR(LOOKUP(2,1/(Trigo!$E31:INDEX(Trigo!$E31:$Z31,MIN(AU$6-$E$3,22))&lt;&gt;""),Trigo!$E31:INDEX(Trigo!$E31:$Z31,MIN(AU$6-$E$3,22))),0))-IF($G$2,0,IF((AU$6-$G$3)&lt;1,0,IFERROR(LOOKUP(2,1/(Trigo!$E31:INDEX(Trigo!$E31:$Z31,MIN(AU$6-$G$3,22))&lt;&gt;""),Trigo!$E31:INDEX(Trigo!$E31:$Z31,MIN(AU$6-$G$3,22))),0)))))</f>
        <v>0</v>
      </c>
      <c r="AV33" s="27" t="n">
        <f aca="false">IF(COUNT(Trigo!$E31:$Z31)=0,0,MAX(0,IF((AV$6-$E$3)&lt;1,0,IFERROR(LOOKUP(2,1/(Trigo!$E31:INDEX(Trigo!$E31:$Z31,MIN(AV$6-$E$3,22))&lt;&gt;""),Trigo!$E31:INDEX(Trigo!$E31:$Z31,MIN(AV$6-$E$3,22))),0))-IF($G$2,0,IF((AV$6-$G$3)&lt;1,0,IFERROR(LOOKUP(2,1/(Trigo!$E31:INDEX(Trigo!$E31:$Z31,MIN(AV$6-$G$3,22))&lt;&gt;""),Trigo!$E31:INDEX(Trigo!$E31:$Z31,MIN(AV$6-$G$3,22))),0)))))</f>
        <v>0</v>
      </c>
      <c r="AW33" s="27" t="n">
        <f aca="false">IF(COUNT(Trigo!$E31:$Z31)=0,0,MAX(0,IF((AW$6-$E$3)&lt;1,0,IFERROR(LOOKUP(2,1/(Trigo!$E31:INDEX(Trigo!$E31:$Z31,MIN(AW$6-$E$3,22))&lt;&gt;""),Trigo!$E31:INDEX(Trigo!$E31:$Z31,MIN(AW$6-$E$3,22))),0))-IF($G$2,0,IF((AW$6-$G$3)&lt;1,0,IFERROR(LOOKUP(2,1/(Trigo!$E31:INDEX(Trigo!$E31:$Z31,MIN(AW$6-$G$3,22))&lt;&gt;""),Trigo!$E31:INDEX(Trigo!$E31:$Z31,MIN(AW$6-$G$3,22))),0)))))</f>
        <v>0</v>
      </c>
      <c r="AX33" s="27" t="n">
        <f aca="false">IF(COUNT(Trigo!$E31:$Z31)=0,0,MAX(0,IF((AX$6-$E$3)&lt;1,0,IFERROR(LOOKUP(2,1/(Trigo!$E31:INDEX(Trigo!$E31:$Z31,MIN(AX$6-$E$3,22))&lt;&gt;""),Trigo!$E31:INDEX(Trigo!$E31:$Z31,MIN(AX$6-$E$3,22))),0))-IF($G$2,0,IF((AX$6-$G$3)&lt;1,0,IFERROR(LOOKUP(2,1/(Trigo!$E31:INDEX(Trigo!$E31:$Z31,MIN(AX$6-$G$3,22))&lt;&gt;""),Trigo!$E31:INDEX(Trigo!$E31:$Z31,MIN(AX$6-$G$3,22))),0)))))</f>
        <v>0</v>
      </c>
      <c r="AY33" s="27" t="n">
        <f aca="false">IF(COUNT(Trigo!$E31:$Z31)=0,0,MAX(0,IF((AY$6-$E$3)&lt;1,0,IFERROR(LOOKUP(2,1/(Trigo!$E31:INDEX(Trigo!$E31:$Z31,MIN(AY$6-$E$3,22))&lt;&gt;""),Trigo!$E31:INDEX(Trigo!$E31:$Z31,MIN(AY$6-$E$3,22))),0))-IF($G$2,0,IF((AY$6-$G$3)&lt;1,0,IFERROR(LOOKUP(2,1/(Trigo!$E31:INDEX(Trigo!$E31:$Z31,MIN(AY$6-$G$3,22))&lt;&gt;""),Trigo!$E31:INDEX(Trigo!$E31:$Z31,MIN(AY$6-$G$3,22))),0)))))</f>
        <v>0</v>
      </c>
      <c r="AZ33" s="27" t="n">
        <f aca="false">IF(COUNT(Trigo!$E31:$Z31)=0,0,MAX(0,IF((AZ$6-$E$3)&lt;1,0,IFERROR(LOOKUP(2,1/(Trigo!$E31:INDEX(Trigo!$E31:$Z31,MIN(AZ$6-$E$3,22))&lt;&gt;""),Trigo!$E31:INDEX(Trigo!$E31:$Z31,MIN(AZ$6-$E$3,22))),0))-IF($G$2,0,IF((AZ$6-$G$3)&lt;1,0,IFERROR(LOOKUP(2,1/(Trigo!$E31:INDEX(Trigo!$E31:$Z31,MIN(AZ$6-$G$3,22))&lt;&gt;""),Trigo!$E31:INDEX(Trigo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IF(COUNT(Trigo!$E32:$Z32)&gt;0,N(Trigo!$D32),0)</f>
        <v>0</v>
      </c>
      <c r="E34" s="27" t="n">
        <f aca="false">IF(COUNT(Trigo!$E32:$Z32)=0,0,MAX(0,IF((E$6-$E$3)&lt;1,0,IFERROR(LOOKUP(2,1/(Trigo!$E32:INDEX(Trigo!$E32:$Z32,MIN(E$6-$E$3,22))&lt;&gt;""),Trigo!$E32:INDEX(Trigo!$E32:$Z32,MIN(E$6-$E$3,22))),0))-IF($G$2,0,IF((E$6-$G$3)&lt;1,0,IFERROR(LOOKUP(2,1/(Trigo!$E32:INDEX(Trigo!$E32:$Z32,MIN(E$6-$G$3,22))&lt;&gt;""),Trigo!$E32:INDEX(Trigo!$E32:$Z32,MIN(E$6-$G$3,22))),0)))))</f>
        <v>0</v>
      </c>
      <c r="F34" s="27" t="n">
        <f aca="false">IF(COUNT(Trigo!$E32:$Z32)=0,0,MAX(0,IF((F$6-$E$3)&lt;1,0,IFERROR(LOOKUP(2,1/(Trigo!$E32:INDEX(Trigo!$E32:$Z32,MIN(F$6-$E$3,22))&lt;&gt;""),Trigo!$E32:INDEX(Trigo!$E32:$Z32,MIN(F$6-$E$3,22))),0))-IF($G$2,0,IF((F$6-$G$3)&lt;1,0,IFERROR(LOOKUP(2,1/(Trigo!$E32:INDEX(Trigo!$E32:$Z32,MIN(F$6-$G$3,22))&lt;&gt;""),Trigo!$E32:INDEX(Trigo!$E32:$Z32,MIN(F$6-$G$3,22))),0)))))</f>
        <v>0</v>
      </c>
      <c r="G34" s="27" t="n">
        <f aca="false">IF(COUNT(Trigo!$E32:$Z32)=0,0,MAX(0,IF((G$6-$E$3)&lt;1,0,IFERROR(LOOKUP(2,1/(Trigo!$E32:INDEX(Trigo!$E32:$Z32,MIN(G$6-$E$3,22))&lt;&gt;""),Trigo!$E32:INDEX(Trigo!$E32:$Z32,MIN(G$6-$E$3,22))),0))-IF($G$2,0,IF((G$6-$G$3)&lt;1,0,IFERROR(LOOKUP(2,1/(Trigo!$E32:INDEX(Trigo!$E32:$Z32,MIN(G$6-$G$3,22))&lt;&gt;""),Trigo!$E32:INDEX(Trigo!$E32:$Z32,MIN(G$6-$G$3,22))),0)))))</f>
        <v>0</v>
      </c>
      <c r="H34" s="27" t="n">
        <f aca="false">IF(COUNT(Trigo!$E32:$Z32)=0,0,MAX(0,IF((H$6-$E$3)&lt;1,0,IFERROR(LOOKUP(2,1/(Trigo!$E32:INDEX(Trigo!$E32:$Z32,MIN(H$6-$E$3,22))&lt;&gt;""),Trigo!$E32:INDEX(Trigo!$E32:$Z32,MIN(H$6-$E$3,22))),0))-IF($G$2,0,IF((H$6-$G$3)&lt;1,0,IFERROR(LOOKUP(2,1/(Trigo!$E32:INDEX(Trigo!$E32:$Z32,MIN(H$6-$G$3,22))&lt;&gt;""),Trigo!$E32:INDEX(Trigo!$E32:$Z32,MIN(H$6-$G$3,22))),0)))))</f>
        <v>0</v>
      </c>
      <c r="I34" s="27" t="n">
        <f aca="false">IF(COUNT(Trigo!$E32:$Z32)=0,0,MAX(0,IF((I$6-$E$3)&lt;1,0,IFERROR(LOOKUP(2,1/(Trigo!$E32:INDEX(Trigo!$E32:$Z32,MIN(I$6-$E$3,22))&lt;&gt;""),Trigo!$E32:INDEX(Trigo!$E32:$Z32,MIN(I$6-$E$3,22))),0))-IF($G$2,0,IF((I$6-$G$3)&lt;1,0,IFERROR(LOOKUP(2,1/(Trigo!$E32:INDEX(Trigo!$E32:$Z32,MIN(I$6-$G$3,22))&lt;&gt;""),Trigo!$E32:INDEX(Trigo!$E32:$Z32,MIN(I$6-$G$3,22))),0)))))</f>
        <v>0</v>
      </c>
      <c r="J34" s="27" t="n">
        <f aca="false">IF(COUNT(Trigo!$E32:$Z32)=0,0,MAX(0,IF((J$6-$E$3)&lt;1,0,IFERROR(LOOKUP(2,1/(Trigo!$E32:INDEX(Trigo!$E32:$Z32,MIN(J$6-$E$3,22))&lt;&gt;""),Trigo!$E32:INDEX(Trigo!$E32:$Z32,MIN(J$6-$E$3,22))),0))-IF($G$2,0,IF((J$6-$G$3)&lt;1,0,IFERROR(LOOKUP(2,1/(Trigo!$E32:INDEX(Trigo!$E32:$Z32,MIN(J$6-$G$3,22))&lt;&gt;""),Trigo!$E32:INDEX(Trigo!$E32:$Z32,MIN(J$6-$G$3,22))),0)))))</f>
        <v>0</v>
      </c>
      <c r="K34" s="27" t="n">
        <f aca="false">IF(COUNT(Trigo!$E32:$Z32)=0,0,MAX(0,IF((K$6-$E$3)&lt;1,0,IFERROR(LOOKUP(2,1/(Trigo!$E32:INDEX(Trigo!$E32:$Z32,MIN(K$6-$E$3,22))&lt;&gt;""),Trigo!$E32:INDEX(Trigo!$E32:$Z32,MIN(K$6-$E$3,22))),0))-IF($G$2,0,IF((K$6-$G$3)&lt;1,0,IFERROR(LOOKUP(2,1/(Trigo!$E32:INDEX(Trigo!$E32:$Z32,MIN(K$6-$G$3,22))&lt;&gt;""),Trigo!$E32:INDEX(Trigo!$E32:$Z32,MIN(K$6-$G$3,22))),0)))))</f>
        <v>0</v>
      </c>
      <c r="L34" s="27" t="n">
        <f aca="false">IF(COUNT(Trigo!$E32:$Z32)=0,0,MAX(0,IF((L$6-$E$3)&lt;1,0,IFERROR(LOOKUP(2,1/(Trigo!$E32:INDEX(Trigo!$E32:$Z32,MIN(L$6-$E$3,22))&lt;&gt;""),Trigo!$E32:INDEX(Trigo!$E32:$Z32,MIN(L$6-$E$3,22))),0))-IF($G$2,0,IF((L$6-$G$3)&lt;1,0,IFERROR(LOOKUP(2,1/(Trigo!$E32:INDEX(Trigo!$E32:$Z32,MIN(L$6-$G$3,22))&lt;&gt;""),Trigo!$E32:INDEX(Trigo!$E32:$Z32,MIN(L$6-$G$3,22))),0)))))</f>
        <v>0</v>
      </c>
      <c r="M34" s="27" t="n">
        <f aca="false">IF(COUNT(Trigo!$E32:$Z32)=0,0,MAX(0,IF((M$6-$E$3)&lt;1,0,IFERROR(LOOKUP(2,1/(Trigo!$E32:INDEX(Trigo!$E32:$Z32,MIN(M$6-$E$3,22))&lt;&gt;""),Trigo!$E32:INDEX(Trigo!$E32:$Z32,MIN(M$6-$E$3,22))),0))-IF($G$2,0,IF((M$6-$G$3)&lt;1,0,IFERROR(LOOKUP(2,1/(Trigo!$E32:INDEX(Trigo!$E32:$Z32,MIN(M$6-$G$3,22))&lt;&gt;""),Trigo!$E32:INDEX(Trigo!$E32:$Z32,MIN(M$6-$G$3,22))),0)))))</f>
        <v>0</v>
      </c>
      <c r="N34" s="27" t="n">
        <f aca="false">IF(COUNT(Trigo!$E32:$Z32)=0,0,MAX(0,IF((N$6-$E$3)&lt;1,0,IFERROR(LOOKUP(2,1/(Trigo!$E32:INDEX(Trigo!$E32:$Z32,MIN(N$6-$E$3,22))&lt;&gt;""),Trigo!$E32:INDEX(Trigo!$E32:$Z32,MIN(N$6-$E$3,22))),0))-IF($G$2,0,IF((N$6-$G$3)&lt;1,0,IFERROR(LOOKUP(2,1/(Trigo!$E32:INDEX(Trigo!$E32:$Z32,MIN(N$6-$G$3,22))&lt;&gt;""),Trigo!$E32:INDEX(Trigo!$E32:$Z32,MIN(N$6-$G$3,22))),0)))))</f>
        <v>0</v>
      </c>
      <c r="O34" s="27" t="n">
        <f aca="false">IF(COUNT(Trigo!$E32:$Z32)=0,0,MAX(0,IF((O$6-$E$3)&lt;1,0,IFERROR(LOOKUP(2,1/(Trigo!$E32:INDEX(Trigo!$E32:$Z32,MIN(O$6-$E$3,22))&lt;&gt;""),Trigo!$E32:INDEX(Trigo!$E32:$Z32,MIN(O$6-$E$3,22))),0))-IF($G$2,0,IF((O$6-$G$3)&lt;1,0,IFERROR(LOOKUP(2,1/(Trigo!$E32:INDEX(Trigo!$E32:$Z32,MIN(O$6-$G$3,22))&lt;&gt;""),Trigo!$E32:INDEX(Trigo!$E32:$Z32,MIN(O$6-$G$3,22))),0)))))</f>
        <v>0</v>
      </c>
      <c r="P34" s="27" t="n">
        <f aca="false">IF(COUNT(Trigo!$E32:$Z32)=0,0,MAX(0,IF((P$6-$E$3)&lt;1,0,IFERROR(LOOKUP(2,1/(Trigo!$E32:INDEX(Trigo!$E32:$Z32,MIN(P$6-$E$3,22))&lt;&gt;""),Trigo!$E32:INDEX(Trigo!$E32:$Z32,MIN(P$6-$E$3,22))),0))-IF($G$2,0,IF((P$6-$G$3)&lt;1,0,IFERROR(LOOKUP(2,1/(Trigo!$E32:INDEX(Trigo!$E32:$Z32,MIN(P$6-$G$3,22))&lt;&gt;""),Trigo!$E32:INDEX(Trigo!$E32:$Z32,MIN(P$6-$G$3,22))),0)))))</f>
        <v>0</v>
      </c>
      <c r="Q34" s="27" t="n">
        <f aca="false">IF(COUNT(Trigo!$E32:$Z32)=0,0,MAX(0,IF((Q$6-$E$3)&lt;1,0,IFERROR(LOOKUP(2,1/(Trigo!$E32:INDEX(Trigo!$E32:$Z32,MIN(Q$6-$E$3,22))&lt;&gt;""),Trigo!$E32:INDEX(Trigo!$E32:$Z32,MIN(Q$6-$E$3,22))),0))-IF($G$2,0,IF((Q$6-$G$3)&lt;1,0,IFERROR(LOOKUP(2,1/(Trigo!$E32:INDEX(Trigo!$E32:$Z32,MIN(Q$6-$G$3,22))&lt;&gt;""),Trigo!$E32:INDEX(Trigo!$E32:$Z32,MIN(Q$6-$G$3,22))),0)))))</f>
        <v>0</v>
      </c>
      <c r="R34" s="27" t="n">
        <f aca="false">IF(COUNT(Trigo!$E32:$Z32)=0,0,MAX(0,IF((R$6-$E$3)&lt;1,0,IFERROR(LOOKUP(2,1/(Trigo!$E32:INDEX(Trigo!$E32:$Z32,MIN(R$6-$E$3,22))&lt;&gt;""),Trigo!$E32:INDEX(Trigo!$E32:$Z32,MIN(R$6-$E$3,22))),0))-IF($G$2,0,IF((R$6-$G$3)&lt;1,0,IFERROR(LOOKUP(2,1/(Trigo!$E32:INDEX(Trigo!$E32:$Z32,MIN(R$6-$G$3,22))&lt;&gt;""),Trigo!$E32:INDEX(Trigo!$E32:$Z32,MIN(R$6-$G$3,22))),0)))))</f>
        <v>0</v>
      </c>
      <c r="S34" s="27" t="n">
        <f aca="false">IF(COUNT(Trigo!$E32:$Z32)=0,0,MAX(0,IF((S$6-$E$3)&lt;1,0,IFERROR(LOOKUP(2,1/(Trigo!$E32:INDEX(Trigo!$E32:$Z32,MIN(S$6-$E$3,22))&lt;&gt;""),Trigo!$E32:INDEX(Trigo!$E32:$Z32,MIN(S$6-$E$3,22))),0))-IF($G$2,0,IF((S$6-$G$3)&lt;1,0,IFERROR(LOOKUP(2,1/(Trigo!$E32:INDEX(Trigo!$E32:$Z32,MIN(S$6-$G$3,22))&lt;&gt;""),Trigo!$E32:INDEX(Trigo!$E32:$Z32,MIN(S$6-$G$3,22))),0)))))</f>
        <v>0</v>
      </c>
      <c r="T34" s="27" t="n">
        <f aca="false">IF(COUNT(Trigo!$E32:$Z32)=0,0,MAX(0,IF((T$6-$E$3)&lt;1,0,IFERROR(LOOKUP(2,1/(Trigo!$E32:INDEX(Trigo!$E32:$Z32,MIN(T$6-$E$3,22))&lt;&gt;""),Trigo!$E32:INDEX(Trigo!$E32:$Z32,MIN(T$6-$E$3,22))),0))-IF($G$2,0,IF((T$6-$G$3)&lt;1,0,IFERROR(LOOKUP(2,1/(Trigo!$E32:INDEX(Trigo!$E32:$Z32,MIN(T$6-$G$3,22))&lt;&gt;""),Trigo!$E32:INDEX(Trigo!$E32:$Z32,MIN(T$6-$G$3,22))),0)))))</f>
        <v>0</v>
      </c>
      <c r="U34" s="27" t="n">
        <f aca="false">IF(COUNT(Trigo!$E32:$Z32)=0,0,MAX(0,IF((U$6-$E$3)&lt;1,0,IFERROR(LOOKUP(2,1/(Trigo!$E32:INDEX(Trigo!$E32:$Z32,MIN(U$6-$E$3,22))&lt;&gt;""),Trigo!$E32:INDEX(Trigo!$E32:$Z32,MIN(U$6-$E$3,22))),0))-IF($G$2,0,IF((U$6-$G$3)&lt;1,0,IFERROR(LOOKUP(2,1/(Trigo!$E32:INDEX(Trigo!$E32:$Z32,MIN(U$6-$G$3,22))&lt;&gt;""),Trigo!$E32:INDEX(Trigo!$E32:$Z32,MIN(U$6-$G$3,22))),0)))))</f>
        <v>0</v>
      </c>
      <c r="V34" s="27" t="n">
        <f aca="false">IF(COUNT(Trigo!$E32:$Z32)=0,0,MAX(0,IF((V$6-$E$3)&lt;1,0,IFERROR(LOOKUP(2,1/(Trigo!$E32:INDEX(Trigo!$E32:$Z32,MIN(V$6-$E$3,22))&lt;&gt;""),Trigo!$E32:INDEX(Trigo!$E32:$Z32,MIN(V$6-$E$3,22))),0))-IF($G$2,0,IF((V$6-$G$3)&lt;1,0,IFERROR(LOOKUP(2,1/(Trigo!$E32:INDEX(Trigo!$E32:$Z32,MIN(V$6-$G$3,22))&lt;&gt;""),Trigo!$E32:INDEX(Trigo!$E32:$Z32,MIN(V$6-$G$3,22))),0)))))</f>
        <v>0</v>
      </c>
      <c r="W34" s="27" t="n">
        <f aca="false">IF(COUNT(Trigo!$E32:$Z32)=0,0,MAX(0,IF((W$6-$E$3)&lt;1,0,IFERROR(LOOKUP(2,1/(Trigo!$E32:INDEX(Trigo!$E32:$Z32,MIN(W$6-$E$3,22))&lt;&gt;""),Trigo!$E32:INDEX(Trigo!$E32:$Z32,MIN(W$6-$E$3,22))),0))-IF($G$2,0,IF((W$6-$G$3)&lt;1,0,IFERROR(LOOKUP(2,1/(Trigo!$E32:INDEX(Trigo!$E32:$Z32,MIN(W$6-$G$3,22))&lt;&gt;""),Trigo!$E32:INDEX(Trigo!$E32:$Z32,MIN(W$6-$G$3,22))),0)))))</f>
        <v>0</v>
      </c>
      <c r="X34" s="27" t="n">
        <f aca="false">IF(COUNT(Trigo!$E32:$Z32)=0,0,MAX(0,IF((X$6-$E$3)&lt;1,0,IFERROR(LOOKUP(2,1/(Trigo!$E32:INDEX(Trigo!$E32:$Z32,MIN(X$6-$E$3,22))&lt;&gt;""),Trigo!$E32:INDEX(Trigo!$E32:$Z32,MIN(X$6-$E$3,22))),0))-IF($G$2,0,IF((X$6-$G$3)&lt;1,0,IFERROR(LOOKUP(2,1/(Trigo!$E32:INDEX(Trigo!$E32:$Z32,MIN(X$6-$G$3,22))&lt;&gt;""),Trigo!$E32:INDEX(Trigo!$E32:$Z32,MIN(X$6-$G$3,22))),0)))))</f>
        <v>0</v>
      </c>
      <c r="Y34" s="27" t="n">
        <f aca="false">IF(COUNT(Trigo!$E32:$Z32)=0,0,MAX(0,IF((Y$6-$E$3)&lt;1,0,IFERROR(LOOKUP(2,1/(Trigo!$E32:INDEX(Trigo!$E32:$Z32,MIN(Y$6-$E$3,22))&lt;&gt;""),Trigo!$E32:INDEX(Trigo!$E32:$Z32,MIN(Y$6-$E$3,22))),0))-IF($G$2,0,IF((Y$6-$G$3)&lt;1,0,IFERROR(LOOKUP(2,1/(Trigo!$E32:INDEX(Trigo!$E32:$Z32,MIN(Y$6-$G$3,22))&lt;&gt;""),Trigo!$E32:INDEX(Trigo!$E32:$Z32,MIN(Y$6-$G$3,22))),0)))))</f>
        <v>0</v>
      </c>
      <c r="Z34" s="27" t="n">
        <f aca="false">IF(COUNT(Trigo!$E32:$Z32)=0,0,MAX(0,IF((Z$6-$E$3)&lt;1,0,IFERROR(LOOKUP(2,1/(Trigo!$E32:INDEX(Trigo!$E32:$Z32,MIN(Z$6-$E$3,22))&lt;&gt;""),Trigo!$E32:INDEX(Trigo!$E32:$Z32,MIN(Z$6-$E$3,22))),0))-IF($G$2,0,IF((Z$6-$G$3)&lt;1,0,IFERROR(LOOKUP(2,1/(Trigo!$E32:INDEX(Trigo!$E32:$Z32,MIN(Z$6-$G$3,22))&lt;&gt;""),Trigo!$E32:INDEX(Trigo!$E32:$Z32,MIN(Z$6-$G$3,22))),0)))))</f>
        <v>0</v>
      </c>
      <c r="AA34" s="27" t="n">
        <f aca="false">IF(COUNT(Trigo!$E32:$Z32)=0,0,MAX(0,IF((AA$6-$E$3)&lt;1,0,IFERROR(LOOKUP(2,1/(Trigo!$E32:INDEX(Trigo!$E32:$Z32,MIN(AA$6-$E$3,22))&lt;&gt;""),Trigo!$E32:INDEX(Trigo!$E32:$Z32,MIN(AA$6-$E$3,22))),0))-IF($G$2,0,IF((AA$6-$G$3)&lt;1,0,IFERROR(LOOKUP(2,1/(Trigo!$E32:INDEX(Trigo!$E32:$Z32,MIN(AA$6-$G$3,22))&lt;&gt;""),Trigo!$E32:INDEX(Trigo!$E32:$Z32,MIN(AA$6-$G$3,22))),0)))))</f>
        <v>0</v>
      </c>
      <c r="AB34" s="27" t="n">
        <f aca="false">IF(COUNT(Trigo!$E32:$Z32)=0,0,MAX(0,IF((AB$6-$E$3)&lt;1,0,IFERROR(LOOKUP(2,1/(Trigo!$E32:INDEX(Trigo!$E32:$Z32,MIN(AB$6-$E$3,22))&lt;&gt;""),Trigo!$E32:INDEX(Trigo!$E32:$Z32,MIN(AB$6-$E$3,22))),0))-IF($G$2,0,IF((AB$6-$G$3)&lt;1,0,IFERROR(LOOKUP(2,1/(Trigo!$E32:INDEX(Trigo!$E32:$Z32,MIN(AB$6-$G$3,22))&lt;&gt;""),Trigo!$E32:INDEX(Trigo!$E32:$Z32,MIN(AB$6-$G$3,22))),0)))))</f>
        <v>0</v>
      </c>
      <c r="AC34" s="27" t="n">
        <f aca="false">IF(COUNT(Trigo!$E32:$Z32)=0,0,MAX(0,IF((AC$6-$E$3)&lt;1,0,IFERROR(LOOKUP(2,1/(Trigo!$E32:INDEX(Trigo!$E32:$Z32,MIN(AC$6-$E$3,22))&lt;&gt;""),Trigo!$E32:INDEX(Trigo!$E32:$Z32,MIN(AC$6-$E$3,22))),0))-IF($G$2,0,IF((AC$6-$G$3)&lt;1,0,IFERROR(LOOKUP(2,1/(Trigo!$E32:INDEX(Trigo!$E32:$Z32,MIN(AC$6-$G$3,22))&lt;&gt;""),Trigo!$E32:INDEX(Trigo!$E32:$Z32,MIN(AC$6-$G$3,22))),0)))))</f>
        <v>0</v>
      </c>
      <c r="AD34" s="27" t="n">
        <f aca="false">IF(COUNT(Trigo!$E32:$Z32)=0,0,MAX(0,IF((AD$6-$E$3)&lt;1,0,IFERROR(LOOKUP(2,1/(Trigo!$E32:INDEX(Trigo!$E32:$Z32,MIN(AD$6-$E$3,22))&lt;&gt;""),Trigo!$E32:INDEX(Trigo!$E32:$Z32,MIN(AD$6-$E$3,22))),0))-IF($G$2,0,IF((AD$6-$G$3)&lt;1,0,IFERROR(LOOKUP(2,1/(Trigo!$E32:INDEX(Trigo!$E32:$Z32,MIN(AD$6-$G$3,22))&lt;&gt;""),Trigo!$E32:INDEX(Trigo!$E32:$Z32,MIN(AD$6-$G$3,22))),0)))))</f>
        <v>0</v>
      </c>
      <c r="AE34" s="27" t="n">
        <f aca="false">IF(COUNT(Trigo!$E32:$Z32)=0,0,MAX(0,IF((AE$6-$E$3)&lt;1,0,IFERROR(LOOKUP(2,1/(Trigo!$E32:INDEX(Trigo!$E32:$Z32,MIN(AE$6-$E$3,22))&lt;&gt;""),Trigo!$E32:INDEX(Trigo!$E32:$Z32,MIN(AE$6-$E$3,22))),0))-IF($G$2,0,IF((AE$6-$G$3)&lt;1,0,IFERROR(LOOKUP(2,1/(Trigo!$E32:INDEX(Trigo!$E32:$Z32,MIN(AE$6-$G$3,22))&lt;&gt;""),Trigo!$E32:INDEX(Trigo!$E32:$Z32,MIN(AE$6-$G$3,22))),0)))))</f>
        <v>0</v>
      </c>
      <c r="AF34" s="27" t="n">
        <f aca="false">IF(COUNT(Trigo!$E32:$Z32)=0,0,MAX(0,IF((AF$6-$E$3)&lt;1,0,IFERROR(LOOKUP(2,1/(Trigo!$E32:INDEX(Trigo!$E32:$Z32,MIN(AF$6-$E$3,22))&lt;&gt;""),Trigo!$E32:INDEX(Trigo!$E32:$Z32,MIN(AF$6-$E$3,22))),0))-IF($G$2,0,IF((AF$6-$G$3)&lt;1,0,IFERROR(LOOKUP(2,1/(Trigo!$E32:INDEX(Trigo!$E32:$Z32,MIN(AF$6-$G$3,22))&lt;&gt;""),Trigo!$E32:INDEX(Trigo!$E32:$Z32,MIN(AF$6-$G$3,22))),0)))))</f>
        <v>0</v>
      </c>
      <c r="AG34" s="27" t="n">
        <f aca="false">IF(COUNT(Trigo!$E32:$Z32)=0,0,MAX(0,IF((AG$6-$E$3)&lt;1,0,IFERROR(LOOKUP(2,1/(Trigo!$E32:INDEX(Trigo!$E32:$Z32,MIN(AG$6-$E$3,22))&lt;&gt;""),Trigo!$E32:INDEX(Trigo!$E32:$Z32,MIN(AG$6-$E$3,22))),0))-IF($G$2,0,IF((AG$6-$G$3)&lt;1,0,IFERROR(LOOKUP(2,1/(Trigo!$E32:INDEX(Trigo!$E32:$Z32,MIN(AG$6-$G$3,22))&lt;&gt;""),Trigo!$E32:INDEX(Trigo!$E32:$Z32,MIN(AG$6-$G$3,22))),0)))))</f>
        <v>0</v>
      </c>
      <c r="AH34" s="27" t="n">
        <f aca="false">IF(COUNT(Trigo!$E32:$Z32)=0,0,MAX(0,IF((AH$6-$E$3)&lt;1,0,IFERROR(LOOKUP(2,1/(Trigo!$E32:INDEX(Trigo!$E32:$Z32,MIN(AH$6-$E$3,22))&lt;&gt;""),Trigo!$E32:INDEX(Trigo!$E32:$Z32,MIN(AH$6-$E$3,22))),0))-IF($G$2,0,IF((AH$6-$G$3)&lt;1,0,IFERROR(LOOKUP(2,1/(Trigo!$E32:INDEX(Trigo!$E32:$Z32,MIN(AH$6-$G$3,22))&lt;&gt;""),Trigo!$E32:INDEX(Trigo!$E32:$Z32,MIN(AH$6-$G$3,22))),0)))))</f>
        <v>0</v>
      </c>
      <c r="AI34" s="27" t="n">
        <f aca="false">IF(COUNT(Trigo!$E32:$Z32)=0,0,MAX(0,IF((AI$6-$E$3)&lt;1,0,IFERROR(LOOKUP(2,1/(Trigo!$E32:INDEX(Trigo!$E32:$Z32,MIN(AI$6-$E$3,22))&lt;&gt;""),Trigo!$E32:INDEX(Trigo!$E32:$Z32,MIN(AI$6-$E$3,22))),0))-IF($G$2,0,IF((AI$6-$G$3)&lt;1,0,IFERROR(LOOKUP(2,1/(Trigo!$E32:INDEX(Trigo!$E32:$Z32,MIN(AI$6-$G$3,22))&lt;&gt;""),Trigo!$E32:INDEX(Trigo!$E32:$Z32,MIN(AI$6-$G$3,22))),0)))))</f>
        <v>0</v>
      </c>
      <c r="AJ34" s="27" t="n">
        <f aca="false">IF(COUNT(Trigo!$E32:$Z32)=0,0,MAX(0,IF((AJ$6-$E$3)&lt;1,0,IFERROR(LOOKUP(2,1/(Trigo!$E32:INDEX(Trigo!$E32:$Z32,MIN(AJ$6-$E$3,22))&lt;&gt;""),Trigo!$E32:INDEX(Trigo!$E32:$Z32,MIN(AJ$6-$E$3,22))),0))-IF($G$2,0,IF((AJ$6-$G$3)&lt;1,0,IFERROR(LOOKUP(2,1/(Trigo!$E32:INDEX(Trigo!$E32:$Z32,MIN(AJ$6-$G$3,22))&lt;&gt;""),Trigo!$E32:INDEX(Trigo!$E32:$Z32,MIN(AJ$6-$G$3,22))),0)))))</f>
        <v>0</v>
      </c>
      <c r="AK34" s="27" t="n">
        <f aca="false">IF(COUNT(Trigo!$E32:$Z32)=0,0,MAX(0,IF((AK$6-$E$3)&lt;1,0,IFERROR(LOOKUP(2,1/(Trigo!$E32:INDEX(Trigo!$E32:$Z32,MIN(AK$6-$E$3,22))&lt;&gt;""),Trigo!$E32:INDEX(Trigo!$E32:$Z32,MIN(AK$6-$E$3,22))),0))-IF($G$2,0,IF((AK$6-$G$3)&lt;1,0,IFERROR(LOOKUP(2,1/(Trigo!$E32:INDEX(Trigo!$E32:$Z32,MIN(AK$6-$G$3,22))&lt;&gt;""),Trigo!$E32:INDEX(Trigo!$E32:$Z32,MIN(AK$6-$G$3,22))),0)))))</f>
        <v>0</v>
      </c>
      <c r="AL34" s="27" t="n">
        <f aca="false">IF(COUNT(Trigo!$E32:$Z32)=0,0,MAX(0,IF((AL$6-$E$3)&lt;1,0,IFERROR(LOOKUP(2,1/(Trigo!$E32:INDEX(Trigo!$E32:$Z32,MIN(AL$6-$E$3,22))&lt;&gt;""),Trigo!$E32:INDEX(Trigo!$E32:$Z32,MIN(AL$6-$E$3,22))),0))-IF($G$2,0,IF((AL$6-$G$3)&lt;1,0,IFERROR(LOOKUP(2,1/(Trigo!$E32:INDEX(Trigo!$E32:$Z32,MIN(AL$6-$G$3,22))&lt;&gt;""),Trigo!$E32:INDEX(Trigo!$E32:$Z32,MIN(AL$6-$G$3,22))),0)))))</f>
        <v>0</v>
      </c>
      <c r="AM34" s="27" t="n">
        <f aca="false">IF(COUNT(Trigo!$E32:$Z32)=0,0,MAX(0,IF((AM$6-$E$3)&lt;1,0,IFERROR(LOOKUP(2,1/(Trigo!$E32:INDEX(Trigo!$E32:$Z32,MIN(AM$6-$E$3,22))&lt;&gt;""),Trigo!$E32:INDEX(Trigo!$E32:$Z32,MIN(AM$6-$E$3,22))),0))-IF($G$2,0,IF((AM$6-$G$3)&lt;1,0,IFERROR(LOOKUP(2,1/(Trigo!$E32:INDEX(Trigo!$E32:$Z32,MIN(AM$6-$G$3,22))&lt;&gt;""),Trigo!$E32:INDEX(Trigo!$E32:$Z32,MIN(AM$6-$G$3,22))),0)))))</f>
        <v>0</v>
      </c>
      <c r="AN34" s="27" t="n">
        <f aca="false">IF(COUNT(Trigo!$E32:$Z32)=0,0,MAX(0,IF((AN$6-$E$3)&lt;1,0,IFERROR(LOOKUP(2,1/(Trigo!$E32:INDEX(Trigo!$E32:$Z32,MIN(AN$6-$E$3,22))&lt;&gt;""),Trigo!$E32:INDEX(Trigo!$E32:$Z32,MIN(AN$6-$E$3,22))),0))-IF($G$2,0,IF((AN$6-$G$3)&lt;1,0,IFERROR(LOOKUP(2,1/(Trigo!$E32:INDEX(Trigo!$E32:$Z32,MIN(AN$6-$G$3,22))&lt;&gt;""),Trigo!$E32:INDEX(Trigo!$E32:$Z32,MIN(AN$6-$G$3,22))),0)))))</f>
        <v>0</v>
      </c>
      <c r="AO34" s="27" t="n">
        <f aca="false">IF(COUNT(Trigo!$E32:$Z32)=0,0,MAX(0,IF((AO$6-$E$3)&lt;1,0,IFERROR(LOOKUP(2,1/(Trigo!$E32:INDEX(Trigo!$E32:$Z32,MIN(AO$6-$E$3,22))&lt;&gt;""),Trigo!$E32:INDEX(Trigo!$E32:$Z32,MIN(AO$6-$E$3,22))),0))-IF($G$2,0,IF((AO$6-$G$3)&lt;1,0,IFERROR(LOOKUP(2,1/(Trigo!$E32:INDEX(Trigo!$E32:$Z32,MIN(AO$6-$G$3,22))&lt;&gt;""),Trigo!$E32:INDEX(Trigo!$E32:$Z32,MIN(AO$6-$G$3,22))),0)))))</f>
        <v>0</v>
      </c>
      <c r="AP34" s="27" t="n">
        <f aca="false">IF(COUNT(Trigo!$E32:$Z32)=0,0,MAX(0,IF((AP$6-$E$3)&lt;1,0,IFERROR(LOOKUP(2,1/(Trigo!$E32:INDEX(Trigo!$E32:$Z32,MIN(AP$6-$E$3,22))&lt;&gt;""),Trigo!$E32:INDEX(Trigo!$E32:$Z32,MIN(AP$6-$E$3,22))),0))-IF($G$2,0,IF((AP$6-$G$3)&lt;1,0,IFERROR(LOOKUP(2,1/(Trigo!$E32:INDEX(Trigo!$E32:$Z32,MIN(AP$6-$G$3,22))&lt;&gt;""),Trigo!$E32:INDEX(Trigo!$E32:$Z32,MIN(AP$6-$G$3,22))),0)))))</f>
        <v>0</v>
      </c>
      <c r="AQ34" s="27" t="n">
        <f aca="false">IF(COUNT(Trigo!$E32:$Z32)=0,0,MAX(0,IF((AQ$6-$E$3)&lt;1,0,IFERROR(LOOKUP(2,1/(Trigo!$E32:INDEX(Trigo!$E32:$Z32,MIN(AQ$6-$E$3,22))&lt;&gt;""),Trigo!$E32:INDEX(Trigo!$E32:$Z32,MIN(AQ$6-$E$3,22))),0))-IF($G$2,0,IF((AQ$6-$G$3)&lt;1,0,IFERROR(LOOKUP(2,1/(Trigo!$E32:INDEX(Trigo!$E32:$Z32,MIN(AQ$6-$G$3,22))&lt;&gt;""),Trigo!$E32:INDEX(Trigo!$E32:$Z32,MIN(AQ$6-$G$3,22))),0)))))</f>
        <v>0</v>
      </c>
      <c r="AR34" s="27" t="n">
        <f aca="false">IF(COUNT(Trigo!$E32:$Z32)=0,0,MAX(0,IF((AR$6-$E$3)&lt;1,0,IFERROR(LOOKUP(2,1/(Trigo!$E32:INDEX(Trigo!$E32:$Z32,MIN(AR$6-$E$3,22))&lt;&gt;""),Trigo!$E32:INDEX(Trigo!$E32:$Z32,MIN(AR$6-$E$3,22))),0))-IF($G$2,0,IF((AR$6-$G$3)&lt;1,0,IFERROR(LOOKUP(2,1/(Trigo!$E32:INDEX(Trigo!$E32:$Z32,MIN(AR$6-$G$3,22))&lt;&gt;""),Trigo!$E32:INDEX(Trigo!$E32:$Z32,MIN(AR$6-$G$3,22))),0)))))</f>
        <v>0</v>
      </c>
      <c r="AS34" s="27" t="n">
        <f aca="false">IF(COUNT(Trigo!$E32:$Z32)=0,0,MAX(0,IF((AS$6-$E$3)&lt;1,0,IFERROR(LOOKUP(2,1/(Trigo!$E32:INDEX(Trigo!$E32:$Z32,MIN(AS$6-$E$3,22))&lt;&gt;""),Trigo!$E32:INDEX(Trigo!$E32:$Z32,MIN(AS$6-$E$3,22))),0))-IF($G$2,0,IF((AS$6-$G$3)&lt;1,0,IFERROR(LOOKUP(2,1/(Trigo!$E32:INDEX(Trigo!$E32:$Z32,MIN(AS$6-$G$3,22))&lt;&gt;""),Trigo!$E32:INDEX(Trigo!$E32:$Z32,MIN(AS$6-$G$3,22))),0)))))</f>
        <v>0</v>
      </c>
      <c r="AT34" s="27" t="n">
        <f aca="false">IF(COUNT(Trigo!$E32:$Z32)=0,0,MAX(0,IF((AT$6-$E$3)&lt;1,0,IFERROR(LOOKUP(2,1/(Trigo!$E32:INDEX(Trigo!$E32:$Z32,MIN(AT$6-$E$3,22))&lt;&gt;""),Trigo!$E32:INDEX(Trigo!$E32:$Z32,MIN(AT$6-$E$3,22))),0))-IF($G$2,0,IF((AT$6-$G$3)&lt;1,0,IFERROR(LOOKUP(2,1/(Trigo!$E32:INDEX(Trigo!$E32:$Z32,MIN(AT$6-$G$3,22))&lt;&gt;""),Trigo!$E32:INDEX(Trigo!$E32:$Z32,MIN(AT$6-$G$3,22))),0)))))</f>
        <v>0</v>
      </c>
      <c r="AU34" s="27" t="n">
        <f aca="false">IF(COUNT(Trigo!$E32:$Z32)=0,0,MAX(0,IF((AU$6-$E$3)&lt;1,0,IFERROR(LOOKUP(2,1/(Trigo!$E32:INDEX(Trigo!$E32:$Z32,MIN(AU$6-$E$3,22))&lt;&gt;""),Trigo!$E32:INDEX(Trigo!$E32:$Z32,MIN(AU$6-$E$3,22))),0))-IF($G$2,0,IF((AU$6-$G$3)&lt;1,0,IFERROR(LOOKUP(2,1/(Trigo!$E32:INDEX(Trigo!$E32:$Z32,MIN(AU$6-$G$3,22))&lt;&gt;""),Trigo!$E32:INDEX(Trigo!$E32:$Z32,MIN(AU$6-$G$3,22))),0)))))</f>
        <v>0</v>
      </c>
      <c r="AV34" s="27" t="n">
        <f aca="false">IF(COUNT(Trigo!$E32:$Z32)=0,0,MAX(0,IF((AV$6-$E$3)&lt;1,0,IFERROR(LOOKUP(2,1/(Trigo!$E32:INDEX(Trigo!$E32:$Z32,MIN(AV$6-$E$3,22))&lt;&gt;""),Trigo!$E32:INDEX(Trigo!$E32:$Z32,MIN(AV$6-$E$3,22))),0))-IF($G$2,0,IF((AV$6-$G$3)&lt;1,0,IFERROR(LOOKUP(2,1/(Trigo!$E32:INDEX(Trigo!$E32:$Z32,MIN(AV$6-$G$3,22))&lt;&gt;""),Trigo!$E32:INDEX(Trigo!$E32:$Z32,MIN(AV$6-$G$3,22))),0)))))</f>
        <v>0</v>
      </c>
      <c r="AW34" s="27" t="n">
        <f aca="false">IF(COUNT(Trigo!$E32:$Z32)=0,0,MAX(0,IF((AW$6-$E$3)&lt;1,0,IFERROR(LOOKUP(2,1/(Trigo!$E32:INDEX(Trigo!$E32:$Z32,MIN(AW$6-$E$3,22))&lt;&gt;""),Trigo!$E32:INDEX(Trigo!$E32:$Z32,MIN(AW$6-$E$3,22))),0))-IF($G$2,0,IF((AW$6-$G$3)&lt;1,0,IFERROR(LOOKUP(2,1/(Trigo!$E32:INDEX(Trigo!$E32:$Z32,MIN(AW$6-$G$3,22))&lt;&gt;""),Trigo!$E32:INDEX(Trigo!$E32:$Z32,MIN(AW$6-$G$3,22))),0)))))</f>
        <v>0</v>
      </c>
      <c r="AX34" s="27" t="n">
        <f aca="false">IF(COUNT(Trigo!$E32:$Z32)=0,0,MAX(0,IF((AX$6-$E$3)&lt;1,0,IFERROR(LOOKUP(2,1/(Trigo!$E32:INDEX(Trigo!$E32:$Z32,MIN(AX$6-$E$3,22))&lt;&gt;""),Trigo!$E32:INDEX(Trigo!$E32:$Z32,MIN(AX$6-$E$3,22))),0))-IF($G$2,0,IF((AX$6-$G$3)&lt;1,0,IFERROR(LOOKUP(2,1/(Trigo!$E32:INDEX(Trigo!$E32:$Z32,MIN(AX$6-$G$3,22))&lt;&gt;""),Trigo!$E32:INDEX(Trigo!$E32:$Z32,MIN(AX$6-$G$3,22))),0)))))</f>
        <v>0</v>
      </c>
      <c r="AY34" s="27" t="n">
        <f aca="false">IF(COUNT(Trigo!$E32:$Z32)=0,0,MAX(0,IF((AY$6-$E$3)&lt;1,0,IFERROR(LOOKUP(2,1/(Trigo!$E32:INDEX(Trigo!$E32:$Z32,MIN(AY$6-$E$3,22))&lt;&gt;""),Trigo!$E32:INDEX(Trigo!$E32:$Z32,MIN(AY$6-$E$3,22))),0))-IF($G$2,0,IF((AY$6-$G$3)&lt;1,0,IFERROR(LOOKUP(2,1/(Trigo!$E32:INDEX(Trigo!$E32:$Z32,MIN(AY$6-$G$3,22))&lt;&gt;""),Trigo!$E32:INDEX(Trigo!$E32:$Z32,MIN(AY$6-$G$3,22))),0)))))</f>
        <v>0</v>
      </c>
      <c r="AZ34" s="27" t="n">
        <f aca="false">IF(COUNT(Trigo!$E32:$Z32)=0,0,MAX(0,IF((AZ$6-$E$3)&lt;1,0,IFERROR(LOOKUP(2,1/(Trigo!$E32:INDEX(Trigo!$E32:$Z32,MIN(AZ$6-$E$3,22))&lt;&gt;""),Trigo!$E32:INDEX(Trigo!$E32:$Z32,MIN(AZ$6-$E$3,22))),0))-IF($G$2,0,IF((AZ$6-$G$3)&lt;1,0,IFERROR(LOOKUP(2,1/(Trigo!$E32:INDEX(Trigo!$E32:$Z32,MIN(AZ$6-$G$3,22))&lt;&gt;""),Trigo!$E32:INDEX(Trigo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IF(COUNT(Trigo!$E33:$Z33)&gt;0,N(Trigo!$D33),0)</f>
        <v>0</v>
      </c>
      <c r="E35" s="27" t="n">
        <f aca="false">IF(COUNT(Trigo!$E33:$Z33)=0,0,MAX(0,IF((E$6-$E$3)&lt;1,0,IFERROR(LOOKUP(2,1/(Trigo!$E33:INDEX(Trigo!$E33:$Z33,MIN(E$6-$E$3,22))&lt;&gt;""),Trigo!$E33:INDEX(Trigo!$E33:$Z33,MIN(E$6-$E$3,22))),0))-IF($G$2,0,IF((E$6-$G$3)&lt;1,0,IFERROR(LOOKUP(2,1/(Trigo!$E33:INDEX(Trigo!$E33:$Z33,MIN(E$6-$G$3,22))&lt;&gt;""),Trigo!$E33:INDEX(Trigo!$E33:$Z33,MIN(E$6-$G$3,22))),0)))))</f>
        <v>0</v>
      </c>
      <c r="F35" s="27" t="n">
        <f aca="false">IF(COUNT(Trigo!$E33:$Z33)=0,0,MAX(0,IF((F$6-$E$3)&lt;1,0,IFERROR(LOOKUP(2,1/(Trigo!$E33:INDEX(Trigo!$E33:$Z33,MIN(F$6-$E$3,22))&lt;&gt;""),Trigo!$E33:INDEX(Trigo!$E33:$Z33,MIN(F$6-$E$3,22))),0))-IF($G$2,0,IF((F$6-$G$3)&lt;1,0,IFERROR(LOOKUP(2,1/(Trigo!$E33:INDEX(Trigo!$E33:$Z33,MIN(F$6-$G$3,22))&lt;&gt;""),Trigo!$E33:INDEX(Trigo!$E33:$Z33,MIN(F$6-$G$3,22))),0)))))</f>
        <v>0</v>
      </c>
      <c r="G35" s="27" t="n">
        <f aca="false">IF(COUNT(Trigo!$E33:$Z33)=0,0,MAX(0,IF((G$6-$E$3)&lt;1,0,IFERROR(LOOKUP(2,1/(Trigo!$E33:INDEX(Trigo!$E33:$Z33,MIN(G$6-$E$3,22))&lt;&gt;""),Trigo!$E33:INDEX(Trigo!$E33:$Z33,MIN(G$6-$E$3,22))),0))-IF($G$2,0,IF((G$6-$G$3)&lt;1,0,IFERROR(LOOKUP(2,1/(Trigo!$E33:INDEX(Trigo!$E33:$Z33,MIN(G$6-$G$3,22))&lt;&gt;""),Trigo!$E33:INDEX(Trigo!$E33:$Z33,MIN(G$6-$G$3,22))),0)))))</f>
        <v>0</v>
      </c>
      <c r="H35" s="27" t="n">
        <f aca="false">IF(COUNT(Trigo!$E33:$Z33)=0,0,MAX(0,IF((H$6-$E$3)&lt;1,0,IFERROR(LOOKUP(2,1/(Trigo!$E33:INDEX(Trigo!$E33:$Z33,MIN(H$6-$E$3,22))&lt;&gt;""),Trigo!$E33:INDEX(Trigo!$E33:$Z33,MIN(H$6-$E$3,22))),0))-IF($G$2,0,IF((H$6-$G$3)&lt;1,0,IFERROR(LOOKUP(2,1/(Trigo!$E33:INDEX(Trigo!$E33:$Z33,MIN(H$6-$G$3,22))&lt;&gt;""),Trigo!$E33:INDEX(Trigo!$E33:$Z33,MIN(H$6-$G$3,22))),0)))))</f>
        <v>0</v>
      </c>
      <c r="I35" s="27" t="n">
        <f aca="false">IF(COUNT(Trigo!$E33:$Z33)=0,0,MAX(0,IF((I$6-$E$3)&lt;1,0,IFERROR(LOOKUP(2,1/(Trigo!$E33:INDEX(Trigo!$E33:$Z33,MIN(I$6-$E$3,22))&lt;&gt;""),Trigo!$E33:INDEX(Trigo!$E33:$Z33,MIN(I$6-$E$3,22))),0))-IF($G$2,0,IF((I$6-$G$3)&lt;1,0,IFERROR(LOOKUP(2,1/(Trigo!$E33:INDEX(Trigo!$E33:$Z33,MIN(I$6-$G$3,22))&lt;&gt;""),Trigo!$E33:INDEX(Trigo!$E33:$Z33,MIN(I$6-$G$3,22))),0)))))</f>
        <v>0</v>
      </c>
      <c r="J35" s="27" t="n">
        <f aca="false">IF(COUNT(Trigo!$E33:$Z33)=0,0,MAX(0,IF((J$6-$E$3)&lt;1,0,IFERROR(LOOKUP(2,1/(Trigo!$E33:INDEX(Trigo!$E33:$Z33,MIN(J$6-$E$3,22))&lt;&gt;""),Trigo!$E33:INDEX(Trigo!$E33:$Z33,MIN(J$6-$E$3,22))),0))-IF($G$2,0,IF((J$6-$G$3)&lt;1,0,IFERROR(LOOKUP(2,1/(Trigo!$E33:INDEX(Trigo!$E33:$Z33,MIN(J$6-$G$3,22))&lt;&gt;""),Trigo!$E33:INDEX(Trigo!$E33:$Z33,MIN(J$6-$G$3,22))),0)))))</f>
        <v>0</v>
      </c>
      <c r="K35" s="27" t="n">
        <f aca="false">IF(COUNT(Trigo!$E33:$Z33)=0,0,MAX(0,IF((K$6-$E$3)&lt;1,0,IFERROR(LOOKUP(2,1/(Trigo!$E33:INDEX(Trigo!$E33:$Z33,MIN(K$6-$E$3,22))&lt;&gt;""),Trigo!$E33:INDEX(Trigo!$E33:$Z33,MIN(K$6-$E$3,22))),0))-IF($G$2,0,IF((K$6-$G$3)&lt;1,0,IFERROR(LOOKUP(2,1/(Trigo!$E33:INDEX(Trigo!$E33:$Z33,MIN(K$6-$G$3,22))&lt;&gt;""),Trigo!$E33:INDEX(Trigo!$E33:$Z33,MIN(K$6-$G$3,22))),0)))))</f>
        <v>0</v>
      </c>
      <c r="L35" s="27" t="n">
        <f aca="false">IF(COUNT(Trigo!$E33:$Z33)=0,0,MAX(0,IF((L$6-$E$3)&lt;1,0,IFERROR(LOOKUP(2,1/(Trigo!$E33:INDEX(Trigo!$E33:$Z33,MIN(L$6-$E$3,22))&lt;&gt;""),Trigo!$E33:INDEX(Trigo!$E33:$Z33,MIN(L$6-$E$3,22))),0))-IF($G$2,0,IF((L$6-$G$3)&lt;1,0,IFERROR(LOOKUP(2,1/(Trigo!$E33:INDEX(Trigo!$E33:$Z33,MIN(L$6-$G$3,22))&lt;&gt;""),Trigo!$E33:INDEX(Trigo!$E33:$Z33,MIN(L$6-$G$3,22))),0)))))</f>
        <v>0</v>
      </c>
      <c r="M35" s="27" t="n">
        <f aca="false">IF(COUNT(Trigo!$E33:$Z33)=0,0,MAX(0,IF((M$6-$E$3)&lt;1,0,IFERROR(LOOKUP(2,1/(Trigo!$E33:INDEX(Trigo!$E33:$Z33,MIN(M$6-$E$3,22))&lt;&gt;""),Trigo!$E33:INDEX(Trigo!$E33:$Z33,MIN(M$6-$E$3,22))),0))-IF($G$2,0,IF((M$6-$G$3)&lt;1,0,IFERROR(LOOKUP(2,1/(Trigo!$E33:INDEX(Trigo!$E33:$Z33,MIN(M$6-$G$3,22))&lt;&gt;""),Trigo!$E33:INDEX(Trigo!$E33:$Z33,MIN(M$6-$G$3,22))),0)))))</f>
        <v>0</v>
      </c>
      <c r="N35" s="27" t="n">
        <f aca="false">IF(COUNT(Trigo!$E33:$Z33)=0,0,MAX(0,IF((N$6-$E$3)&lt;1,0,IFERROR(LOOKUP(2,1/(Trigo!$E33:INDEX(Trigo!$E33:$Z33,MIN(N$6-$E$3,22))&lt;&gt;""),Trigo!$E33:INDEX(Trigo!$E33:$Z33,MIN(N$6-$E$3,22))),0))-IF($G$2,0,IF((N$6-$G$3)&lt;1,0,IFERROR(LOOKUP(2,1/(Trigo!$E33:INDEX(Trigo!$E33:$Z33,MIN(N$6-$G$3,22))&lt;&gt;""),Trigo!$E33:INDEX(Trigo!$E33:$Z33,MIN(N$6-$G$3,22))),0)))))</f>
        <v>0</v>
      </c>
      <c r="O35" s="27" t="n">
        <f aca="false">IF(COUNT(Trigo!$E33:$Z33)=0,0,MAX(0,IF((O$6-$E$3)&lt;1,0,IFERROR(LOOKUP(2,1/(Trigo!$E33:INDEX(Trigo!$E33:$Z33,MIN(O$6-$E$3,22))&lt;&gt;""),Trigo!$E33:INDEX(Trigo!$E33:$Z33,MIN(O$6-$E$3,22))),0))-IF($G$2,0,IF((O$6-$G$3)&lt;1,0,IFERROR(LOOKUP(2,1/(Trigo!$E33:INDEX(Trigo!$E33:$Z33,MIN(O$6-$G$3,22))&lt;&gt;""),Trigo!$E33:INDEX(Trigo!$E33:$Z33,MIN(O$6-$G$3,22))),0)))))</f>
        <v>0</v>
      </c>
      <c r="P35" s="27" t="n">
        <f aca="false">IF(COUNT(Trigo!$E33:$Z33)=0,0,MAX(0,IF((P$6-$E$3)&lt;1,0,IFERROR(LOOKUP(2,1/(Trigo!$E33:INDEX(Trigo!$E33:$Z33,MIN(P$6-$E$3,22))&lt;&gt;""),Trigo!$E33:INDEX(Trigo!$E33:$Z33,MIN(P$6-$E$3,22))),0))-IF($G$2,0,IF((P$6-$G$3)&lt;1,0,IFERROR(LOOKUP(2,1/(Trigo!$E33:INDEX(Trigo!$E33:$Z33,MIN(P$6-$G$3,22))&lt;&gt;""),Trigo!$E33:INDEX(Trigo!$E33:$Z33,MIN(P$6-$G$3,22))),0)))))</f>
        <v>0</v>
      </c>
      <c r="Q35" s="27" t="n">
        <f aca="false">IF(COUNT(Trigo!$E33:$Z33)=0,0,MAX(0,IF((Q$6-$E$3)&lt;1,0,IFERROR(LOOKUP(2,1/(Trigo!$E33:INDEX(Trigo!$E33:$Z33,MIN(Q$6-$E$3,22))&lt;&gt;""),Trigo!$E33:INDEX(Trigo!$E33:$Z33,MIN(Q$6-$E$3,22))),0))-IF($G$2,0,IF((Q$6-$G$3)&lt;1,0,IFERROR(LOOKUP(2,1/(Trigo!$E33:INDEX(Trigo!$E33:$Z33,MIN(Q$6-$G$3,22))&lt;&gt;""),Trigo!$E33:INDEX(Trigo!$E33:$Z33,MIN(Q$6-$G$3,22))),0)))))</f>
        <v>0</v>
      </c>
      <c r="R35" s="27" t="n">
        <f aca="false">IF(COUNT(Trigo!$E33:$Z33)=0,0,MAX(0,IF((R$6-$E$3)&lt;1,0,IFERROR(LOOKUP(2,1/(Trigo!$E33:INDEX(Trigo!$E33:$Z33,MIN(R$6-$E$3,22))&lt;&gt;""),Trigo!$E33:INDEX(Trigo!$E33:$Z33,MIN(R$6-$E$3,22))),0))-IF($G$2,0,IF((R$6-$G$3)&lt;1,0,IFERROR(LOOKUP(2,1/(Trigo!$E33:INDEX(Trigo!$E33:$Z33,MIN(R$6-$G$3,22))&lt;&gt;""),Trigo!$E33:INDEX(Trigo!$E33:$Z33,MIN(R$6-$G$3,22))),0)))))</f>
        <v>0</v>
      </c>
      <c r="S35" s="27" t="n">
        <f aca="false">IF(COUNT(Trigo!$E33:$Z33)=0,0,MAX(0,IF((S$6-$E$3)&lt;1,0,IFERROR(LOOKUP(2,1/(Trigo!$E33:INDEX(Trigo!$E33:$Z33,MIN(S$6-$E$3,22))&lt;&gt;""),Trigo!$E33:INDEX(Trigo!$E33:$Z33,MIN(S$6-$E$3,22))),0))-IF($G$2,0,IF((S$6-$G$3)&lt;1,0,IFERROR(LOOKUP(2,1/(Trigo!$E33:INDEX(Trigo!$E33:$Z33,MIN(S$6-$G$3,22))&lt;&gt;""),Trigo!$E33:INDEX(Trigo!$E33:$Z33,MIN(S$6-$G$3,22))),0)))))</f>
        <v>0</v>
      </c>
      <c r="T35" s="27" t="n">
        <f aca="false">IF(COUNT(Trigo!$E33:$Z33)=0,0,MAX(0,IF((T$6-$E$3)&lt;1,0,IFERROR(LOOKUP(2,1/(Trigo!$E33:INDEX(Trigo!$E33:$Z33,MIN(T$6-$E$3,22))&lt;&gt;""),Trigo!$E33:INDEX(Trigo!$E33:$Z33,MIN(T$6-$E$3,22))),0))-IF($G$2,0,IF((T$6-$G$3)&lt;1,0,IFERROR(LOOKUP(2,1/(Trigo!$E33:INDEX(Trigo!$E33:$Z33,MIN(T$6-$G$3,22))&lt;&gt;""),Trigo!$E33:INDEX(Trigo!$E33:$Z33,MIN(T$6-$G$3,22))),0)))))</f>
        <v>0</v>
      </c>
      <c r="U35" s="27" t="n">
        <f aca="false">IF(COUNT(Trigo!$E33:$Z33)=0,0,MAX(0,IF((U$6-$E$3)&lt;1,0,IFERROR(LOOKUP(2,1/(Trigo!$E33:INDEX(Trigo!$E33:$Z33,MIN(U$6-$E$3,22))&lt;&gt;""),Trigo!$E33:INDEX(Trigo!$E33:$Z33,MIN(U$6-$E$3,22))),0))-IF($G$2,0,IF((U$6-$G$3)&lt;1,0,IFERROR(LOOKUP(2,1/(Trigo!$E33:INDEX(Trigo!$E33:$Z33,MIN(U$6-$G$3,22))&lt;&gt;""),Trigo!$E33:INDEX(Trigo!$E33:$Z33,MIN(U$6-$G$3,22))),0)))))</f>
        <v>0</v>
      </c>
      <c r="V35" s="27" t="n">
        <f aca="false">IF(COUNT(Trigo!$E33:$Z33)=0,0,MAX(0,IF((V$6-$E$3)&lt;1,0,IFERROR(LOOKUP(2,1/(Trigo!$E33:INDEX(Trigo!$E33:$Z33,MIN(V$6-$E$3,22))&lt;&gt;""),Trigo!$E33:INDEX(Trigo!$E33:$Z33,MIN(V$6-$E$3,22))),0))-IF($G$2,0,IF((V$6-$G$3)&lt;1,0,IFERROR(LOOKUP(2,1/(Trigo!$E33:INDEX(Trigo!$E33:$Z33,MIN(V$6-$G$3,22))&lt;&gt;""),Trigo!$E33:INDEX(Trigo!$E33:$Z33,MIN(V$6-$G$3,22))),0)))))</f>
        <v>0</v>
      </c>
      <c r="W35" s="27" t="n">
        <f aca="false">IF(COUNT(Trigo!$E33:$Z33)=0,0,MAX(0,IF((W$6-$E$3)&lt;1,0,IFERROR(LOOKUP(2,1/(Trigo!$E33:INDEX(Trigo!$E33:$Z33,MIN(W$6-$E$3,22))&lt;&gt;""),Trigo!$E33:INDEX(Trigo!$E33:$Z33,MIN(W$6-$E$3,22))),0))-IF($G$2,0,IF((W$6-$G$3)&lt;1,0,IFERROR(LOOKUP(2,1/(Trigo!$E33:INDEX(Trigo!$E33:$Z33,MIN(W$6-$G$3,22))&lt;&gt;""),Trigo!$E33:INDEX(Trigo!$E33:$Z33,MIN(W$6-$G$3,22))),0)))))</f>
        <v>0</v>
      </c>
      <c r="X35" s="27" t="n">
        <f aca="false">IF(COUNT(Trigo!$E33:$Z33)=0,0,MAX(0,IF((X$6-$E$3)&lt;1,0,IFERROR(LOOKUP(2,1/(Trigo!$E33:INDEX(Trigo!$E33:$Z33,MIN(X$6-$E$3,22))&lt;&gt;""),Trigo!$E33:INDEX(Trigo!$E33:$Z33,MIN(X$6-$E$3,22))),0))-IF($G$2,0,IF((X$6-$G$3)&lt;1,0,IFERROR(LOOKUP(2,1/(Trigo!$E33:INDEX(Trigo!$E33:$Z33,MIN(X$6-$G$3,22))&lt;&gt;""),Trigo!$E33:INDEX(Trigo!$E33:$Z33,MIN(X$6-$G$3,22))),0)))))</f>
        <v>0</v>
      </c>
      <c r="Y35" s="27" t="n">
        <f aca="false">IF(COUNT(Trigo!$E33:$Z33)=0,0,MAX(0,IF((Y$6-$E$3)&lt;1,0,IFERROR(LOOKUP(2,1/(Trigo!$E33:INDEX(Trigo!$E33:$Z33,MIN(Y$6-$E$3,22))&lt;&gt;""),Trigo!$E33:INDEX(Trigo!$E33:$Z33,MIN(Y$6-$E$3,22))),0))-IF($G$2,0,IF((Y$6-$G$3)&lt;1,0,IFERROR(LOOKUP(2,1/(Trigo!$E33:INDEX(Trigo!$E33:$Z33,MIN(Y$6-$G$3,22))&lt;&gt;""),Trigo!$E33:INDEX(Trigo!$E33:$Z33,MIN(Y$6-$G$3,22))),0)))))</f>
        <v>0</v>
      </c>
      <c r="Z35" s="27" t="n">
        <f aca="false">IF(COUNT(Trigo!$E33:$Z33)=0,0,MAX(0,IF((Z$6-$E$3)&lt;1,0,IFERROR(LOOKUP(2,1/(Trigo!$E33:INDEX(Trigo!$E33:$Z33,MIN(Z$6-$E$3,22))&lt;&gt;""),Trigo!$E33:INDEX(Trigo!$E33:$Z33,MIN(Z$6-$E$3,22))),0))-IF($G$2,0,IF((Z$6-$G$3)&lt;1,0,IFERROR(LOOKUP(2,1/(Trigo!$E33:INDEX(Trigo!$E33:$Z33,MIN(Z$6-$G$3,22))&lt;&gt;""),Trigo!$E33:INDEX(Trigo!$E33:$Z33,MIN(Z$6-$G$3,22))),0)))))</f>
        <v>0</v>
      </c>
      <c r="AA35" s="27" t="n">
        <f aca="false">IF(COUNT(Trigo!$E33:$Z33)=0,0,MAX(0,IF((AA$6-$E$3)&lt;1,0,IFERROR(LOOKUP(2,1/(Trigo!$E33:INDEX(Trigo!$E33:$Z33,MIN(AA$6-$E$3,22))&lt;&gt;""),Trigo!$E33:INDEX(Trigo!$E33:$Z33,MIN(AA$6-$E$3,22))),0))-IF($G$2,0,IF((AA$6-$G$3)&lt;1,0,IFERROR(LOOKUP(2,1/(Trigo!$E33:INDEX(Trigo!$E33:$Z33,MIN(AA$6-$G$3,22))&lt;&gt;""),Trigo!$E33:INDEX(Trigo!$E33:$Z33,MIN(AA$6-$G$3,22))),0)))))</f>
        <v>0</v>
      </c>
      <c r="AB35" s="27" t="n">
        <f aca="false">IF(COUNT(Trigo!$E33:$Z33)=0,0,MAX(0,IF((AB$6-$E$3)&lt;1,0,IFERROR(LOOKUP(2,1/(Trigo!$E33:INDEX(Trigo!$E33:$Z33,MIN(AB$6-$E$3,22))&lt;&gt;""),Trigo!$E33:INDEX(Trigo!$E33:$Z33,MIN(AB$6-$E$3,22))),0))-IF($G$2,0,IF((AB$6-$G$3)&lt;1,0,IFERROR(LOOKUP(2,1/(Trigo!$E33:INDEX(Trigo!$E33:$Z33,MIN(AB$6-$G$3,22))&lt;&gt;""),Trigo!$E33:INDEX(Trigo!$E33:$Z33,MIN(AB$6-$G$3,22))),0)))))</f>
        <v>0</v>
      </c>
      <c r="AC35" s="27" t="n">
        <f aca="false">IF(COUNT(Trigo!$E33:$Z33)=0,0,MAX(0,IF((AC$6-$E$3)&lt;1,0,IFERROR(LOOKUP(2,1/(Trigo!$E33:INDEX(Trigo!$E33:$Z33,MIN(AC$6-$E$3,22))&lt;&gt;""),Trigo!$E33:INDEX(Trigo!$E33:$Z33,MIN(AC$6-$E$3,22))),0))-IF($G$2,0,IF((AC$6-$G$3)&lt;1,0,IFERROR(LOOKUP(2,1/(Trigo!$E33:INDEX(Trigo!$E33:$Z33,MIN(AC$6-$G$3,22))&lt;&gt;""),Trigo!$E33:INDEX(Trigo!$E33:$Z33,MIN(AC$6-$G$3,22))),0)))))</f>
        <v>0</v>
      </c>
      <c r="AD35" s="27" t="n">
        <f aca="false">IF(COUNT(Trigo!$E33:$Z33)=0,0,MAX(0,IF((AD$6-$E$3)&lt;1,0,IFERROR(LOOKUP(2,1/(Trigo!$E33:INDEX(Trigo!$E33:$Z33,MIN(AD$6-$E$3,22))&lt;&gt;""),Trigo!$E33:INDEX(Trigo!$E33:$Z33,MIN(AD$6-$E$3,22))),0))-IF($G$2,0,IF((AD$6-$G$3)&lt;1,0,IFERROR(LOOKUP(2,1/(Trigo!$E33:INDEX(Trigo!$E33:$Z33,MIN(AD$6-$G$3,22))&lt;&gt;""),Trigo!$E33:INDEX(Trigo!$E33:$Z33,MIN(AD$6-$G$3,22))),0)))))</f>
        <v>0</v>
      </c>
      <c r="AE35" s="27" t="n">
        <f aca="false">IF(COUNT(Trigo!$E33:$Z33)=0,0,MAX(0,IF((AE$6-$E$3)&lt;1,0,IFERROR(LOOKUP(2,1/(Trigo!$E33:INDEX(Trigo!$E33:$Z33,MIN(AE$6-$E$3,22))&lt;&gt;""),Trigo!$E33:INDEX(Trigo!$E33:$Z33,MIN(AE$6-$E$3,22))),0))-IF($G$2,0,IF((AE$6-$G$3)&lt;1,0,IFERROR(LOOKUP(2,1/(Trigo!$E33:INDEX(Trigo!$E33:$Z33,MIN(AE$6-$G$3,22))&lt;&gt;""),Trigo!$E33:INDEX(Trigo!$E33:$Z33,MIN(AE$6-$G$3,22))),0)))))</f>
        <v>0</v>
      </c>
      <c r="AF35" s="27" t="n">
        <f aca="false">IF(COUNT(Trigo!$E33:$Z33)=0,0,MAX(0,IF((AF$6-$E$3)&lt;1,0,IFERROR(LOOKUP(2,1/(Trigo!$E33:INDEX(Trigo!$E33:$Z33,MIN(AF$6-$E$3,22))&lt;&gt;""),Trigo!$E33:INDEX(Trigo!$E33:$Z33,MIN(AF$6-$E$3,22))),0))-IF($G$2,0,IF((AF$6-$G$3)&lt;1,0,IFERROR(LOOKUP(2,1/(Trigo!$E33:INDEX(Trigo!$E33:$Z33,MIN(AF$6-$G$3,22))&lt;&gt;""),Trigo!$E33:INDEX(Trigo!$E33:$Z33,MIN(AF$6-$G$3,22))),0)))))</f>
        <v>0</v>
      </c>
      <c r="AG35" s="27" t="n">
        <f aca="false">IF(COUNT(Trigo!$E33:$Z33)=0,0,MAX(0,IF((AG$6-$E$3)&lt;1,0,IFERROR(LOOKUP(2,1/(Trigo!$E33:INDEX(Trigo!$E33:$Z33,MIN(AG$6-$E$3,22))&lt;&gt;""),Trigo!$E33:INDEX(Trigo!$E33:$Z33,MIN(AG$6-$E$3,22))),0))-IF($G$2,0,IF((AG$6-$G$3)&lt;1,0,IFERROR(LOOKUP(2,1/(Trigo!$E33:INDEX(Trigo!$E33:$Z33,MIN(AG$6-$G$3,22))&lt;&gt;""),Trigo!$E33:INDEX(Trigo!$E33:$Z33,MIN(AG$6-$G$3,22))),0)))))</f>
        <v>0</v>
      </c>
      <c r="AH35" s="27" t="n">
        <f aca="false">IF(COUNT(Trigo!$E33:$Z33)=0,0,MAX(0,IF((AH$6-$E$3)&lt;1,0,IFERROR(LOOKUP(2,1/(Trigo!$E33:INDEX(Trigo!$E33:$Z33,MIN(AH$6-$E$3,22))&lt;&gt;""),Trigo!$E33:INDEX(Trigo!$E33:$Z33,MIN(AH$6-$E$3,22))),0))-IF($G$2,0,IF((AH$6-$G$3)&lt;1,0,IFERROR(LOOKUP(2,1/(Trigo!$E33:INDEX(Trigo!$E33:$Z33,MIN(AH$6-$G$3,22))&lt;&gt;""),Trigo!$E33:INDEX(Trigo!$E33:$Z33,MIN(AH$6-$G$3,22))),0)))))</f>
        <v>0</v>
      </c>
      <c r="AI35" s="27" t="n">
        <f aca="false">IF(COUNT(Trigo!$E33:$Z33)=0,0,MAX(0,IF((AI$6-$E$3)&lt;1,0,IFERROR(LOOKUP(2,1/(Trigo!$E33:INDEX(Trigo!$E33:$Z33,MIN(AI$6-$E$3,22))&lt;&gt;""),Trigo!$E33:INDEX(Trigo!$E33:$Z33,MIN(AI$6-$E$3,22))),0))-IF($G$2,0,IF((AI$6-$G$3)&lt;1,0,IFERROR(LOOKUP(2,1/(Trigo!$E33:INDEX(Trigo!$E33:$Z33,MIN(AI$6-$G$3,22))&lt;&gt;""),Trigo!$E33:INDEX(Trigo!$E33:$Z33,MIN(AI$6-$G$3,22))),0)))))</f>
        <v>0</v>
      </c>
      <c r="AJ35" s="27" t="n">
        <f aca="false">IF(COUNT(Trigo!$E33:$Z33)=0,0,MAX(0,IF((AJ$6-$E$3)&lt;1,0,IFERROR(LOOKUP(2,1/(Trigo!$E33:INDEX(Trigo!$E33:$Z33,MIN(AJ$6-$E$3,22))&lt;&gt;""),Trigo!$E33:INDEX(Trigo!$E33:$Z33,MIN(AJ$6-$E$3,22))),0))-IF($G$2,0,IF((AJ$6-$G$3)&lt;1,0,IFERROR(LOOKUP(2,1/(Trigo!$E33:INDEX(Trigo!$E33:$Z33,MIN(AJ$6-$G$3,22))&lt;&gt;""),Trigo!$E33:INDEX(Trigo!$E33:$Z33,MIN(AJ$6-$G$3,22))),0)))))</f>
        <v>0</v>
      </c>
      <c r="AK35" s="27" t="n">
        <f aca="false">IF(COUNT(Trigo!$E33:$Z33)=0,0,MAX(0,IF((AK$6-$E$3)&lt;1,0,IFERROR(LOOKUP(2,1/(Trigo!$E33:INDEX(Trigo!$E33:$Z33,MIN(AK$6-$E$3,22))&lt;&gt;""),Trigo!$E33:INDEX(Trigo!$E33:$Z33,MIN(AK$6-$E$3,22))),0))-IF($G$2,0,IF((AK$6-$G$3)&lt;1,0,IFERROR(LOOKUP(2,1/(Trigo!$E33:INDEX(Trigo!$E33:$Z33,MIN(AK$6-$G$3,22))&lt;&gt;""),Trigo!$E33:INDEX(Trigo!$E33:$Z33,MIN(AK$6-$G$3,22))),0)))))</f>
        <v>0</v>
      </c>
      <c r="AL35" s="27" t="n">
        <f aca="false">IF(COUNT(Trigo!$E33:$Z33)=0,0,MAX(0,IF((AL$6-$E$3)&lt;1,0,IFERROR(LOOKUP(2,1/(Trigo!$E33:INDEX(Trigo!$E33:$Z33,MIN(AL$6-$E$3,22))&lt;&gt;""),Trigo!$E33:INDEX(Trigo!$E33:$Z33,MIN(AL$6-$E$3,22))),0))-IF($G$2,0,IF((AL$6-$G$3)&lt;1,0,IFERROR(LOOKUP(2,1/(Trigo!$E33:INDEX(Trigo!$E33:$Z33,MIN(AL$6-$G$3,22))&lt;&gt;""),Trigo!$E33:INDEX(Trigo!$E33:$Z33,MIN(AL$6-$G$3,22))),0)))))</f>
        <v>0</v>
      </c>
      <c r="AM35" s="27" t="n">
        <f aca="false">IF(COUNT(Trigo!$E33:$Z33)=0,0,MAX(0,IF((AM$6-$E$3)&lt;1,0,IFERROR(LOOKUP(2,1/(Trigo!$E33:INDEX(Trigo!$E33:$Z33,MIN(AM$6-$E$3,22))&lt;&gt;""),Trigo!$E33:INDEX(Trigo!$E33:$Z33,MIN(AM$6-$E$3,22))),0))-IF($G$2,0,IF((AM$6-$G$3)&lt;1,0,IFERROR(LOOKUP(2,1/(Trigo!$E33:INDEX(Trigo!$E33:$Z33,MIN(AM$6-$G$3,22))&lt;&gt;""),Trigo!$E33:INDEX(Trigo!$E33:$Z33,MIN(AM$6-$G$3,22))),0)))))</f>
        <v>0</v>
      </c>
      <c r="AN35" s="27" t="n">
        <f aca="false">IF(COUNT(Trigo!$E33:$Z33)=0,0,MAX(0,IF((AN$6-$E$3)&lt;1,0,IFERROR(LOOKUP(2,1/(Trigo!$E33:INDEX(Trigo!$E33:$Z33,MIN(AN$6-$E$3,22))&lt;&gt;""),Trigo!$E33:INDEX(Trigo!$E33:$Z33,MIN(AN$6-$E$3,22))),0))-IF($G$2,0,IF((AN$6-$G$3)&lt;1,0,IFERROR(LOOKUP(2,1/(Trigo!$E33:INDEX(Trigo!$E33:$Z33,MIN(AN$6-$G$3,22))&lt;&gt;""),Trigo!$E33:INDEX(Trigo!$E33:$Z33,MIN(AN$6-$G$3,22))),0)))))</f>
        <v>0</v>
      </c>
      <c r="AO35" s="27" t="n">
        <f aca="false">IF(COUNT(Trigo!$E33:$Z33)=0,0,MAX(0,IF((AO$6-$E$3)&lt;1,0,IFERROR(LOOKUP(2,1/(Trigo!$E33:INDEX(Trigo!$E33:$Z33,MIN(AO$6-$E$3,22))&lt;&gt;""),Trigo!$E33:INDEX(Trigo!$E33:$Z33,MIN(AO$6-$E$3,22))),0))-IF($G$2,0,IF((AO$6-$G$3)&lt;1,0,IFERROR(LOOKUP(2,1/(Trigo!$E33:INDEX(Trigo!$E33:$Z33,MIN(AO$6-$G$3,22))&lt;&gt;""),Trigo!$E33:INDEX(Trigo!$E33:$Z33,MIN(AO$6-$G$3,22))),0)))))</f>
        <v>0</v>
      </c>
      <c r="AP35" s="27" t="n">
        <f aca="false">IF(COUNT(Trigo!$E33:$Z33)=0,0,MAX(0,IF((AP$6-$E$3)&lt;1,0,IFERROR(LOOKUP(2,1/(Trigo!$E33:INDEX(Trigo!$E33:$Z33,MIN(AP$6-$E$3,22))&lt;&gt;""),Trigo!$E33:INDEX(Trigo!$E33:$Z33,MIN(AP$6-$E$3,22))),0))-IF($G$2,0,IF((AP$6-$G$3)&lt;1,0,IFERROR(LOOKUP(2,1/(Trigo!$E33:INDEX(Trigo!$E33:$Z33,MIN(AP$6-$G$3,22))&lt;&gt;""),Trigo!$E33:INDEX(Trigo!$E33:$Z33,MIN(AP$6-$G$3,22))),0)))))</f>
        <v>0</v>
      </c>
      <c r="AQ35" s="27" t="n">
        <f aca="false">IF(COUNT(Trigo!$E33:$Z33)=0,0,MAX(0,IF((AQ$6-$E$3)&lt;1,0,IFERROR(LOOKUP(2,1/(Trigo!$E33:INDEX(Trigo!$E33:$Z33,MIN(AQ$6-$E$3,22))&lt;&gt;""),Trigo!$E33:INDEX(Trigo!$E33:$Z33,MIN(AQ$6-$E$3,22))),0))-IF($G$2,0,IF((AQ$6-$G$3)&lt;1,0,IFERROR(LOOKUP(2,1/(Trigo!$E33:INDEX(Trigo!$E33:$Z33,MIN(AQ$6-$G$3,22))&lt;&gt;""),Trigo!$E33:INDEX(Trigo!$E33:$Z33,MIN(AQ$6-$G$3,22))),0)))))</f>
        <v>0</v>
      </c>
      <c r="AR35" s="27" t="n">
        <f aca="false">IF(COUNT(Trigo!$E33:$Z33)=0,0,MAX(0,IF((AR$6-$E$3)&lt;1,0,IFERROR(LOOKUP(2,1/(Trigo!$E33:INDEX(Trigo!$E33:$Z33,MIN(AR$6-$E$3,22))&lt;&gt;""),Trigo!$E33:INDEX(Trigo!$E33:$Z33,MIN(AR$6-$E$3,22))),0))-IF($G$2,0,IF((AR$6-$G$3)&lt;1,0,IFERROR(LOOKUP(2,1/(Trigo!$E33:INDEX(Trigo!$E33:$Z33,MIN(AR$6-$G$3,22))&lt;&gt;""),Trigo!$E33:INDEX(Trigo!$E33:$Z33,MIN(AR$6-$G$3,22))),0)))))</f>
        <v>0</v>
      </c>
      <c r="AS35" s="27" t="n">
        <f aca="false">IF(COUNT(Trigo!$E33:$Z33)=0,0,MAX(0,IF((AS$6-$E$3)&lt;1,0,IFERROR(LOOKUP(2,1/(Trigo!$E33:INDEX(Trigo!$E33:$Z33,MIN(AS$6-$E$3,22))&lt;&gt;""),Trigo!$E33:INDEX(Trigo!$E33:$Z33,MIN(AS$6-$E$3,22))),0))-IF($G$2,0,IF((AS$6-$G$3)&lt;1,0,IFERROR(LOOKUP(2,1/(Trigo!$E33:INDEX(Trigo!$E33:$Z33,MIN(AS$6-$G$3,22))&lt;&gt;""),Trigo!$E33:INDEX(Trigo!$E33:$Z33,MIN(AS$6-$G$3,22))),0)))))</f>
        <v>0</v>
      </c>
      <c r="AT35" s="27" t="n">
        <f aca="false">IF(COUNT(Trigo!$E33:$Z33)=0,0,MAX(0,IF((AT$6-$E$3)&lt;1,0,IFERROR(LOOKUP(2,1/(Trigo!$E33:INDEX(Trigo!$E33:$Z33,MIN(AT$6-$E$3,22))&lt;&gt;""),Trigo!$E33:INDEX(Trigo!$E33:$Z33,MIN(AT$6-$E$3,22))),0))-IF($G$2,0,IF((AT$6-$G$3)&lt;1,0,IFERROR(LOOKUP(2,1/(Trigo!$E33:INDEX(Trigo!$E33:$Z33,MIN(AT$6-$G$3,22))&lt;&gt;""),Trigo!$E33:INDEX(Trigo!$E33:$Z33,MIN(AT$6-$G$3,22))),0)))))</f>
        <v>0</v>
      </c>
      <c r="AU35" s="27" t="n">
        <f aca="false">IF(COUNT(Trigo!$E33:$Z33)=0,0,MAX(0,IF((AU$6-$E$3)&lt;1,0,IFERROR(LOOKUP(2,1/(Trigo!$E33:INDEX(Trigo!$E33:$Z33,MIN(AU$6-$E$3,22))&lt;&gt;""),Trigo!$E33:INDEX(Trigo!$E33:$Z33,MIN(AU$6-$E$3,22))),0))-IF($G$2,0,IF((AU$6-$G$3)&lt;1,0,IFERROR(LOOKUP(2,1/(Trigo!$E33:INDEX(Trigo!$E33:$Z33,MIN(AU$6-$G$3,22))&lt;&gt;""),Trigo!$E33:INDEX(Trigo!$E33:$Z33,MIN(AU$6-$G$3,22))),0)))))</f>
        <v>0</v>
      </c>
      <c r="AV35" s="27" t="n">
        <f aca="false">IF(COUNT(Trigo!$E33:$Z33)=0,0,MAX(0,IF((AV$6-$E$3)&lt;1,0,IFERROR(LOOKUP(2,1/(Trigo!$E33:INDEX(Trigo!$E33:$Z33,MIN(AV$6-$E$3,22))&lt;&gt;""),Trigo!$E33:INDEX(Trigo!$E33:$Z33,MIN(AV$6-$E$3,22))),0))-IF($G$2,0,IF((AV$6-$G$3)&lt;1,0,IFERROR(LOOKUP(2,1/(Trigo!$E33:INDEX(Trigo!$E33:$Z33,MIN(AV$6-$G$3,22))&lt;&gt;""),Trigo!$E33:INDEX(Trigo!$E33:$Z33,MIN(AV$6-$G$3,22))),0)))))</f>
        <v>0</v>
      </c>
      <c r="AW35" s="27" t="n">
        <f aca="false">IF(COUNT(Trigo!$E33:$Z33)=0,0,MAX(0,IF((AW$6-$E$3)&lt;1,0,IFERROR(LOOKUP(2,1/(Trigo!$E33:INDEX(Trigo!$E33:$Z33,MIN(AW$6-$E$3,22))&lt;&gt;""),Trigo!$E33:INDEX(Trigo!$E33:$Z33,MIN(AW$6-$E$3,22))),0))-IF($G$2,0,IF((AW$6-$G$3)&lt;1,0,IFERROR(LOOKUP(2,1/(Trigo!$E33:INDEX(Trigo!$E33:$Z33,MIN(AW$6-$G$3,22))&lt;&gt;""),Trigo!$E33:INDEX(Trigo!$E33:$Z33,MIN(AW$6-$G$3,22))),0)))))</f>
        <v>0</v>
      </c>
      <c r="AX35" s="27" t="n">
        <f aca="false">IF(COUNT(Trigo!$E33:$Z33)=0,0,MAX(0,IF((AX$6-$E$3)&lt;1,0,IFERROR(LOOKUP(2,1/(Trigo!$E33:INDEX(Trigo!$E33:$Z33,MIN(AX$6-$E$3,22))&lt;&gt;""),Trigo!$E33:INDEX(Trigo!$E33:$Z33,MIN(AX$6-$E$3,22))),0))-IF($G$2,0,IF((AX$6-$G$3)&lt;1,0,IFERROR(LOOKUP(2,1/(Trigo!$E33:INDEX(Trigo!$E33:$Z33,MIN(AX$6-$G$3,22))&lt;&gt;""),Trigo!$E33:INDEX(Trigo!$E33:$Z33,MIN(AX$6-$G$3,22))),0)))))</f>
        <v>0</v>
      </c>
      <c r="AY35" s="27" t="n">
        <f aca="false">IF(COUNT(Trigo!$E33:$Z33)=0,0,MAX(0,IF((AY$6-$E$3)&lt;1,0,IFERROR(LOOKUP(2,1/(Trigo!$E33:INDEX(Trigo!$E33:$Z33,MIN(AY$6-$E$3,22))&lt;&gt;""),Trigo!$E33:INDEX(Trigo!$E33:$Z33,MIN(AY$6-$E$3,22))),0))-IF($G$2,0,IF((AY$6-$G$3)&lt;1,0,IFERROR(LOOKUP(2,1/(Trigo!$E33:INDEX(Trigo!$E33:$Z33,MIN(AY$6-$G$3,22))&lt;&gt;""),Trigo!$E33:INDEX(Trigo!$E33:$Z33,MIN(AY$6-$G$3,22))),0)))))</f>
        <v>0</v>
      </c>
      <c r="AZ35" s="27" t="n">
        <f aca="false">IF(COUNT(Trigo!$E33:$Z33)=0,0,MAX(0,IF((AZ$6-$E$3)&lt;1,0,IFERROR(LOOKUP(2,1/(Trigo!$E33:INDEX(Trigo!$E33:$Z33,MIN(AZ$6-$E$3,22))&lt;&gt;""),Trigo!$E33:INDEX(Trigo!$E33:$Z33,MIN(AZ$6-$E$3,22))),0))-IF($G$2,0,IF((AZ$6-$G$3)&lt;1,0,IFERROR(LOOKUP(2,1/(Trigo!$E33:INDEX(Trigo!$E33:$Z33,MIN(AZ$6-$G$3,22))&lt;&gt;""),Trigo!$E33:INDEX(Trigo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IF(COUNT(Trigo!$E34:$Z34)&gt;0,N(Trigo!$D34),0)</f>
        <v>0</v>
      </c>
      <c r="E36" s="27" t="n">
        <f aca="false">IF(COUNT(Trigo!$E34:$Z34)=0,0,MAX(0,IF((E$6-$E$3)&lt;1,0,IFERROR(LOOKUP(2,1/(Trigo!$E34:INDEX(Trigo!$E34:$Z34,MIN(E$6-$E$3,22))&lt;&gt;""),Trigo!$E34:INDEX(Trigo!$E34:$Z34,MIN(E$6-$E$3,22))),0))-IF($G$2,0,IF((E$6-$G$3)&lt;1,0,IFERROR(LOOKUP(2,1/(Trigo!$E34:INDEX(Trigo!$E34:$Z34,MIN(E$6-$G$3,22))&lt;&gt;""),Trigo!$E34:INDEX(Trigo!$E34:$Z34,MIN(E$6-$G$3,22))),0)))))</f>
        <v>0</v>
      </c>
      <c r="F36" s="27" t="n">
        <f aca="false">IF(COUNT(Trigo!$E34:$Z34)=0,0,MAX(0,IF((F$6-$E$3)&lt;1,0,IFERROR(LOOKUP(2,1/(Trigo!$E34:INDEX(Trigo!$E34:$Z34,MIN(F$6-$E$3,22))&lt;&gt;""),Trigo!$E34:INDEX(Trigo!$E34:$Z34,MIN(F$6-$E$3,22))),0))-IF($G$2,0,IF((F$6-$G$3)&lt;1,0,IFERROR(LOOKUP(2,1/(Trigo!$E34:INDEX(Trigo!$E34:$Z34,MIN(F$6-$G$3,22))&lt;&gt;""),Trigo!$E34:INDEX(Trigo!$E34:$Z34,MIN(F$6-$G$3,22))),0)))))</f>
        <v>0</v>
      </c>
      <c r="G36" s="27" t="n">
        <f aca="false">IF(COUNT(Trigo!$E34:$Z34)=0,0,MAX(0,IF((G$6-$E$3)&lt;1,0,IFERROR(LOOKUP(2,1/(Trigo!$E34:INDEX(Trigo!$E34:$Z34,MIN(G$6-$E$3,22))&lt;&gt;""),Trigo!$E34:INDEX(Trigo!$E34:$Z34,MIN(G$6-$E$3,22))),0))-IF($G$2,0,IF((G$6-$G$3)&lt;1,0,IFERROR(LOOKUP(2,1/(Trigo!$E34:INDEX(Trigo!$E34:$Z34,MIN(G$6-$G$3,22))&lt;&gt;""),Trigo!$E34:INDEX(Trigo!$E34:$Z34,MIN(G$6-$G$3,22))),0)))))</f>
        <v>0</v>
      </c>
      <c r="H36" s="27" t="n">
        <f aca="false">IF(COUNT(Trigo!$E34:$Z34)=0,0,MAX(0,IF((H$6-$E$3)&lt;1,0,IFERROR(LOOKUP(2,1/(Trigo!$E34:INDEX(Trigo!$E34:$Z34,MIN(H$6-$E$3,22))&lt;&gt;""),Trigo!$E34:INDEX(Trigo!$E34:$Z34,MIN(H$6-$E$3,22))),0))-IF($G$2,0,IF((H$6-$G$3)&lt;1,0,IFERROR(LOOKUP(2,1/(Trigo!$E34:INDEX(Trigo!$E34:$Z34,MIN(H$6-$G$3,22))&lt;&gt;""),Trigo!$E34:INDEX(Trigo!$E34:$Z34,MIN(H$6-$G$3,22))),0)))))</f>
        <v>0</v>
      </c>
      <c r="I36" s="27" t="n">
        <f aca="false">IF(COUNT(Trigo!$E34:$Z34)=0,0,MAX(0,IF((I$6-$E$3)&lt;1,0,IFERROR(LOOKUP(2,1/(Trigo!$E34:INDEX(Trigo!$E34:$Z34,MIN(I$6-$E$3,22))&lt;&gt;""),Trigo!$E34:INDEX(Trigo!$E34:$Z34,MIN(I$6-$E$3,22))),0))-IF($G$2,0,IF((I$6-$G$3)&lt;1,0,IFERROR(LOOKUP(2,1/(Trigo!$E34:INDEX(Trigo!$E34:$Z34,MIN(I$6-$G$3,22))&lt;&gt;""),Trigo!$E34:INDEX(Trigo!$E34:$Z34,MIN(I$6-$G$3,22))),0)))))</f>
        <v>0</v>
      </c>
      <c r="J36" s="27" t="n">
        <f aca="false">IF(COUNT(Trigo!$E34:$Z34)=0,0,MAX(0,IF((J$6-$E$3)&lt;1,0,IFERROR(LOOKUP(2,1/(Trigo!$E34:INDEX(Trigo!$E34:$Z34,MIN(J$6-$E$3,22))&lt;&gt;""),Trigo!$E34:INDEX(Trigo!$E34:$Z34,MIN(J$6-$E$3,22))),0))-IF($G$2,0,IF((J$6-$G$3)&lt;1,0,IFERROR(LOOKUP(2,1/(Trigo!$E34:INDEX(Trigo!$E34:$Z34,MIN(J$6-$G$3,22))&lt;&gt;""),Trigo!$E34:INDEX(Trigo!$E34:$Z34,MIN(J$6-$G$3,22))),0)))))</f>
        <v>0</v>
      </c>
      <c r="K36" s="27" t="n">
        <f aca="false">IF(COUNT(Trigo!$E34:$Z34)=0,0,MAX(0,IF((K$6-$E$3)&lt;1,0,IFERROR(LOOKUP(2,1/(Trigo!$E34:INDEX(Trigo!$E34:$Z34,MIN(K$6-$E$3,22))&lt;&gt;""),Trigo!$E34:INDEX(Trigo!$E34:$Z34,MIN(K$6-$E$3,22))),0))-IF($G$2,0,IF((K$6-$G$3)&lt;1,0,IFERROR(LOOKUP(2,1/(Trigo!$E34:INDEX(Trigo!$E34:$Z34,MIN(K$6-$G$3,22))&lt;&gt;""),Trigo!$E34:INDEX(Trigo!$E34:$Z34,MIN(K$6-$G$3,22))),0)))))</f>
        <v>0</v>
      </c>
      <c r="L36" s="27" t="n">
        <f aca="false">IF(COUNT(Trigo!$E34:$Z34)=0,0,MAX(0,IF((L$6-$E$3)&lt;1,0,IFERROR(LOOKUP(2,1/(Trigo!$E34:INDEX(Trigo!$E34:$Z34,MIN(L$6-$E$3,22))&lt;&gt;""),Trigo!$E34:INDEX(Trigo!$E34:$Z34,MIN(L$6-$E$3,22))),0))-IF($G$2,0,IF((L$6-$G$3)&lt;1,0,IFERROR(LOOKUP(2,1/(Trigo!$E34:INDEX(Trigo!$E34:$Z34,MIN(L$6-$G$3,22))&lt;&gt;""),Trigo!$E34:INDEX(Trigo!$E34:$Z34,MIN(L$6-$G$3,22))),0)))))</f>
        <v>0</v>
      </c>
      <c r="M36" s="27" t="n">
        <f aca="false">IF(COUNT(Trigo!$E34:$Z34)=0,0,MAX(0,IF((M$6-$E$3)&lt;1,0,IFERROR(LOOKUP(2,1/(Trigo!$E34:INDEX(Trigo!$E34:$Z34,MIN(M$6-$E$3,22))&lt;&gt;""),Trigo!$E34:INDEX(Trigo!$E34:$Z34,MIN(M$6-$E$3,22))),0))-IF($G$2,0,IF((M$6-$G$3)&lt;1,0,IFERROR(LOOKUP(2,1/(Trigo!$E34:INDEX(Trigo!$E34:$Z34,MIN(M$6-$G$3,22))&lt;&gt;""),Trigo!$E34:INDEX(Trigo!$E34:$Z34,MIN(M$6-$G$3,22))),0)))))</f>
        <v>0</v>
      </c>
      <c r="N36" s="27" t="n">
        <f aca="false">IF(COUNT(Trigo!$E34:$Z34)=0,0,MAX(0,IF((N$6-$E$3)&lt;1,0,IFERROR(LOOKUP(2,1/(Trigo!$E34:INDEX(Trigo!$E34:$Z34,MIN(N$6-$E$3,22))&lt;&gt;""),Trigo!$E34:INDEX(Trigo!$E34:$Z34,MIN(N$6-$E$3,22))),0))-IF($G$2,0,IF((N$6-$G$3)&lt;1,0,IFERROR(LOOKUP(2,1/(Trigo!$E34:INDEX(Trigo!$E34:$Z34,MIN(N$6-$G$3,22))&lt;&gt;""),Trigo!$E34:INDEX(Trigo!$E34:$Z34,MIN(N$6-$G$3,22))),0)))))</f>
        <v>0</v>
      </c>
      <c r="O36" s="27" t="n">
        <f aca="false">IF(COUNT(Trigo!$E34:$Z34)=0,0,MAX(0,IF((O$6-$E$3)&lt;1,0,IFERROR(LOOKUP(2,1/(Trigo!$E34:INDEX(Trigo!$E34:$Z34,MIN(O$6-$E$3,22))&lt;&gt;""),Trigo!$E34:INDEX(Trigo!$E34:$Z34,MIN(O$6-$E$3,22))),0))-IF($G$2,0,IF((O$6-$G$3)&lt;1,0,IFERROR(LOOKUP(2,1/(Trigo!$E34:INDEX(Trigo!$E34:$Z34,MIN(O$6-$G$3,22))&lt;&gt;""),Trigo!$E34:INDEX(Trigo!$E34:$Z34,MIN(O$6-$G$3,22))),0)))))</f>
        <v>0</v>
      </c>
      <c r="P36" s="27" t="n">
        <f aca="false">IF(COUNT(Trigo!$E34:$Z34)=0,0,MAX(0,IF((P$6-$E$3)&lt;1,0,IFERROR(LOOKUP(2,1/(Trigo!$E34:INDEX(Trigo!$E34:$Z34,MIN(P$6-$E$3,22))&lt;&gt;""),Trigo!$E34:INDEX(Trigo!$E34:$Z34,MIN(P$6-$E$3,22))),0))-IF($G$2,0,IF((P$6-$G$3)&lt;1,0,IFERROR(LOOKUP(2,1/(Trigo!$E34:INDEX(Trigo!$E34:$Z34,MIN(P$6-$G$3,22))&lt;&gt;""),Trigo!$E34:INDEX(Trigo!$E34:$Z34,MIN(P$6-$G$3,22))),0)))))</f>
        <v>0</v>
      </c>
      <c r="Q36" s="27" t="n">
        <f aca="false">IF(COUNT(Trigo!$E34:$Z34)=0,0,MAX(0,IF((Q$6-$E$3)&lt;1,0,IFERROR(LOOKUP(2,1/(Trigo!$E34:INDEX(Trigo!$E34:$Z34,MIN(Q$6-$E$3,22))&lt;&gt;""),Trigo!$E34:INDEX(Trigo!$E34:$Z34,MIN(Q$6-$E$3,22))),0))-IF($G$2,0,IF((Q$6-$G$3)&lt;1,0,IFERROR(LOOKUP(2,1/(Trigo!$E34:INDEX(Trigo!$E34:$Z34,MIN(Q$6-$G$3,22))&lt;&gt;""),Trigo!$E34:INDEX(Trigo!$E34:$Z34,MIN(Q$6-$G$3,22))),0)))))</f>
        <v>0</v>
      </c>
      <c r="R36" s="27" t="n">
        <f aca="false">IF(COUNT(Trigo!$E34:$Z34)=0,0,MAX(0,IF((R$6-$E$3)&lt;1,0,IFERROR(LOOKUP(2,1/(Trigo!$E34:INDEX(Trigo!$E34:$Z34,MIN(R$6-$E$3,22))&lt;&gt;""),Trigo!$E34:INDEX(Trigo!$E34:$Z34,MIN(R$6-$E$3,22))),0))-IF($G$2,0,IF((R$6-$G$3)&lt;1,0,IFERROR(LOOKUP(2,1/(Trigo!$E34:INDEX(Trigo!$E34:$Z34,MIN(R$6-$G$3,22))&lt;&gt;""),Trigo!$E34:INDEX(Trigo!$E34:$Z34,MIN(R$6-$G$3,22))),0)))))</f>
        <v>0</v>
      </c>
      <c r="S36" s="27" t="n">
        <f aca="false">IF(COUNT(Trigo!$E34:$Z34)=0,0,MAX(0,IF((S$6-$E$3)&lt;1,0,IFERROR(LOOKUP(2,1/(Trigo!$E34:INDEX(Trigo!$E34:$Z34,MIN(S$6-$E$3,22))&lt;&gt;""),Trigo!$E34:INDEX(Trigo!$E34:$Z34,MIN(S$6-$E$3,22))),0))-IF($G$2,0,IF((S$6-$G$3)&lt;1,0,IFERROR(LOOKUP(2,1/(Trigo!$E34:INDEX(Trigo!$E34:$Z34,MIN(S$6-$G$3,22))&lt;&gt;""),Trigo!$E34:INDEX(Trigo!$E34:$Z34,MIN(S$6-$G$3,22))),0)))))</f>
        <v>0</v>
      </c>
      <c r="T36" s="27" t="n">
        <f aca="false">IF(COUNT(Trigo!$E34:$Z34)=0,0,MAX(0,IF((T$6-$E$3)&lt;1,0,IFERROR(LOOKUP(2,1/(Trigo!$E34:INDEX(Trigo!$E34:$Z34,MIN(T$6-$E$3,22))&lt;&gt;""),Trigo!$E34:INDEX(Trigo!$E34:$Z34,MIN(T$6-$E$3,22))),0))-IF($G$2,0,IF((T$6-$G$3)&lt;1,0,IFERROR(LOOKUP(2,1/(Trigo!$E34:INDEX(Trigo!$E34:$Z34,MIN(T$6-$G$3,22))&lt;&gt;""),Trigo!$E34:INDEX(Trigo!$E34:$Z34,MIN(T$6-$G$3,22))),0)))))</f>
        <v>0</v>
      </c>
      <c r="U36" s="27" t="n">
        <f aca="false">IF(COUNT(Trigo!$E34:$Z34)=0,0,MAX(0,IF((U$6-$E$3)&lt;1,0,IFERROR(LOOKUP(2,1/(Trigo!$E34:INDEX(Trigo!$E34:$Z34,MIN(U$6-$E$3,22))&lt;&gt;""),Trigo!$E34:INDEX(Trigo!$E34:$Z34,MIN(U$6-$E$3,22))),0))-IF($G$2,0,IF((U$6-$G$3)&lt;1,0,IFERROR(LOOKUP(2,1/(Trigo!$E34:INDEX(Trigo!$E34:$Z34,MIN(U$6-$G$3,22))&lt;&gt;""),Trigo!$E34:INDEX(Trigo!$E34:$Z34,MIN(U$6-$G$3,22))),0)))))</f>
        <v>0</v>
      </c>
      <c r="V36" s="27" t="n">
        <f aca="false">IF(COUNT(Trigo!$E34:$Z34)=0,0,MAX(0,IF((V$6-$E$3)&lt;1,0,IFERROR(LOOKUP(2,1/(Trigo!$E34:INDEX(Trigo!$E34:$Z34,MIN(V$6-$E$3,22))&lt;&gt;""),Trigo!$E34:INDEX(Trigo!$E34:$Z34,MIN(V$6-$E$3,22))),0))-IF($G$2,0,IF((V$6-$G$3)&lt;1,0,IFERROR(LOOKUP(2,1/(Trigo!$E34:INDEX(Trigo!$E34:$Z34,MIN(V$6-$G$3,22))&lt;&gt;""),Trigo!$E34:INDEX(Trigo!$E34:$Z34,MIN(V$6-$G$3,22))),0)))))</f>
        <v>0</v>
      </c>
      <c r="W36" s="27" t="n">
        <f aca="false">IF(COUNT(Trigo!$E34:$Z34)=0,0,MAX(0,IF((W$6-$E$3)&lt;1,0,IFERROR(LOOKUP(2,1/(Trigo!$E34:INDEX(Trigo!$E34:$Z34,MIN(W$6-$E$3,22))&lt;&gt;""),Trigo!$E34:INDEX(Trigo!$E34:$Z34,MIN(W$6-$E$3,22))),0))-IF($G$2,0,IF((W$6-$G$3)&lt;1,0,IFERROR(LOOKUP(2,1/(Trigo!$E34:INDEX(Trigo!$E34:$Z34,MIN(W$6-$G$3,22))&lt;&gt;""),Trigo!$E34:INDEX(Trigo!$E34:$Z34,MIN(W$6-$G$3,22))),0)))))</f>
        <v>0</v>
      </c>
      <c r="X36" s="27" t="n">
        <f aca="false">IF(COUNT(Trigo!$E34:$Z34)=0,0,MAX(0,IF((X$6-$E$3)&lt;1,0,IFERROR(LOOKUP(2,1/(Trigo!$E34:INDEX(Trigo!$E34:$Z34,MIN(X$6-$E$3,22))&lt;&gt;""),Trigo!$E34:INDEX(Trigo!$E34:$Z34,MIN(X$6-$E$3,22))),0))-IF($G$2,0,IF((X$6-$G$3)&lt;1,0,IFERROR(LOOKUP(2,1/(Trigo!$E34:INDEX(Trigo!$E34:$Z34,MIN(X$6-$G$3,22))&lt;&gt;""),Trigo!$E34:INDEX(Trigo!$E34:$Z34,MIN(X$6-$G$3,22))),0)))))</f>
        <v>0</v>
      </c>
      <c r="Y36" s="27" t="n">
        <f aca="false">IF(COUNT(Trigo!$E34:$Z34)=0,0,MAX(0,IF((Y$6-$E$3)&lt;1,0,IFERROR(LOOKUP(2,1/(Trigo!$E34:INDEX(Trigo!$E34:$Z34,MIN(Y$6-$E$3,22))&lt;&gt;""),Trigo!$E34:INDEX(Trigo!$E34:$Z34,MIN(Y$6-$E$3,22))),0))-IF($G$2,0,IF((Y$6-$G$3)&lt;1,0,IFERROR(LOOKUP(2,1/(Trigo!$E34:INDEX(Trigo!$E34:$Z34,MIN(Y$6-$G$3,22))&lt;&gt;""),Trigo!$E34:INDEX(Trigo!$E34:$Z34,MIN(Y$6-$G$3,22))),0)))))</f>
        <v>0</v>
      </c>
      <c r="Z36" s="27" t="n">
        <f aca="false">IF(COUNT(Trigo!$E34:$Z34)=0,0,MAX(0,IF((Z$6-$E$3)&lt;1,0,IFERROR(LOOKUP(2,1/(Trigo!$E34:INDEX(Trigo!$E34:$Z34,MIN(Z$6-$E$3,22))&lt;&gt;""),Trigo!$E34:INDEX(Trigo!$E34:$Z34,MIN(Z$6-$E$3,22))),0))-IF($G$2,0,IF((Z$6-$G$3)&lt;1,0,IFERROR(LOOKUP(2,1/(Trigo!$E34:INDEX(Trigo!$E34:$Z34,MIN(Z$6-$G$3,22))&lt;&gt;""),Trigo!$E34:INDEX(Trigo!$E34:$Z34,MIN(Z$6-$G$3,22))),0)))))</f>
        <v>0</v>
      </c>
      <c r="AA36" s="27" t="n">
        <f aca="false">IF(COUNT(Trigo!$E34:$Z34)=0,0,MAX(0,IF((AA$6-$E$3)&lt;1,0,IFERROR(LOOKUP(2,1/(Trigo!$E34:INDEX(Trigo!$E34:$Z34,MIN(AA$6-$E$3,22))&lt;&gt;""),Trigo!$E34:INDEX(Trigo!$E34:$Z34,MIN(AA$6-$E$3,22))),0))-IF($G$2,0,IF((AA$6-$G$3)&lt;1,0,IFERROR(LOOKUP(2,1/(Trigo!$E34:INDEX(Trigo!$E34:$Z34,MIN(AA$6-$G$3,22))&lt;&gt;""),Trigo!$E34:INDEX(Trigo!$E34:$Z34,MIN(AA$6-$G$3,22))),0)))))</f>
        <v>0</v>
      </c>
      <c r="AB36" s="27" t="n">
        <f aca="false">IF(COUNT(Trigo!$E34:$Z34)=0,0,MAX(0,IF((AB$6-$E$3)&lt;1,0,IFERROR(LOOKUP(2,1/(Trigo!$E34:INDEX(Trigo!$E34:$Z34,MIN(AB$6-$E$3,22))&lt;&gt;""),Trigo!$E34:INDEX(Trigo!$E34:$Z34,MIN(AB$6-$E$3,22))),0))-IF($G$2,0,IF((AB$6-$G$3)&lt;1,0,IFERROR(LOOKUP(2,1/(Trigo!$E34:INDEX(Trigo!$E34:$Z34,MIN(AB$6-$G$3,22))&lt;&gt;""),Trigo!$E34:INDEX(Trigo!$E34:$Z34,MIN(AB$6-$G$3,22))),0)))))</f>
        <v>0</v>
      </c>
      <c r="AC36" s="27" t="n">
        <f aca="false">IF(COUNT(Trigo!$E34:$Z34)=0,0,MAX(0,IF((AC$6-$E$3)&lt;1,0,IFERROR(LOOKUP(2,1/(Trigo!$E34:INDEX(Trigo!$E34:$Z34,MIN(AC$6-$E$3,22))&lt;&gt;""),Trigo!$E34:INDEX(Trigo!$E34:$Z34,MIN(AC$6-$E$3,22))),0))-IF($G$2,0,IF((AC$6-$G$3)&lt;1,0,IFERROR(LOOKUP(2,1/(Trigo!$E34:INDEX(Trigo!$E34:$Z34,MIN(AC$6-$G$3,22))&lt;&gt;""),Trigo!$E34:INDEX(Trigo!$E34:$Z34,MIN(AC$6-$G$3,22))),0)))))</f>
        <v>0</v>
      </c>
      <c r="AD36" s="27" t="n">
        <f aca="false">IF(COUNT(Trigo!$E34:$Z34)=0,0,MAX(0,IF((AD$6-$E$3)&lt;1,0,IFERROR(LOOKUP(2,1/(Trigo!$E34:INDEX(Trigo!$E34:$Z34,MIN(AD$6-$E$3,22))&lt;&gt;""),Trigo!$E34:INDEX(Trigo!$E34:$Z34,MIN(AD$6-$E$3,22))),0))-IF($G$2,0,IF((AD$6-$G$3)&lt;1,0,IFERROR(LOOKUP(2,1/(Trigo!$E34:INDEX(Trigo!$E34:$Z34,MIN(AD$6-$G$3,22))&lt;&gt;""),Trigo!$E34:INDEX(Trigo!$E34:$Z34,MIN(AD$6-$G$3,22))),0)))))</f>
        <v>0</v>
      </c>
      <c r="AE36" s="27" t="n">
        <f aca="false">IF(COUNT(Trigo!$E34:$Z34)=0,0,MAX(0,IF((AE$6-$E$3)&lt;1,0,IFERROR(LOOKUP(2,1/(Trigo!$E34:INDEX(Trigo!$E34:$Z34,MIN(AE$6-$E$3,22))&lt;&gt;""),Trigo!$E34:INDEX(Trigo!$E34:$Z34,MIN(AE$6-$E$3,22))),0))-IF($G$2,0,IF((AE$6-$G$3)&lt;1,0,IFERROR(LOOKUP(2,1/(Trigo!$E34:INDEX(Trigo!$E34:$Z34,MIN(AE$6-$G$3,22))&lt;&gt;""),Trigo!$E34:INDEX(Trigo!$E34:$Z34,MIN(AE$6-$G$3,22))),0)))))</f>
        <v>0</v>
      </c>
      <c r="AF36" s="27" t="n">
        <f aca="false">IF(COUNT(Trigo!$E34:$Z34)=0,0,MAX(0,IF((AF$6-$E$3)&lt;1,0,IFERROR(LOOKUP(2,1/(Trigo!$E34:INDEX(Trigo!$E34:$Z34,MIN(AF$6-$E$3,22))&lt;&gt;""),Trigo!$E34:INDEX(Trigo!$E34:$Z34,MIN(AF$6-$E$3,22))),0))-IF($G$2,0,IF((AF$6-$G$3)&lt;1,0,IFERROR(LOOKUP(2,1/(Trigo!$E34:INDEX(Trigo!$E34:$Z34,MIN(AF$6-$G$3,22))&lt;&gt;""),Trigo!$E34:INDEX(Trigo!$E34:$Z34,MIN(AF$6-$G$3,22))),0)))))</f>
        <v>0</v>
      </c>
      <c r="AG36" s="27" t="n">
        <f aca="false">IF(COUNT(Trigo!$E34:$Z34)=0,0,MAX(0,IF((AG$6-$E$3)&lt;1,0,IFERROR(LOOKUP(2,1/(Trigo!$E34:INDEX(Trigo!$E34:$Z34,MIN(AG$6-$E$3,22))&lt;&gt;""),Trigo!$E34:INDEX(Trigo!$E34:$Z34,MIN(AG$6-$E$3,22))),0))-IF($G$2,0,IF((AG$6-$G$3)&lt;1,0,IFERROR(LOOKUP(2,1/(Trigo!$E34:INDEX(Trigo!$E34:$Z34,MIN(AG$6-$G$3,22))&lt;&gt;""),Trigo!$E34:INDEX(Trigo!$E34:$Z34,MIN(AG$6-$G$3,22))),0)))))</f>
        <v>0</v>
      </c>
      <c r="AH36" s="27" t="n">
        <f aca="false">IF(COUNT(Trigo!$E34:$Z34)=0,0,MAX(0,IF((AH$6-$E$3)&lt;1,0,IFERROR(LOOKUP(2,1/(Trigo!$E34:INDEX(Trigo!$E34:$Z34,MIN(AH$6-$E$3,22))&lt;&gt;""),Trigo!$E34:INDEX(Trigo!$E34:$Z34,MIN(AH$6-$E$3,22))),0))-IF($G$2,0,IF((AH$6-$G$3)&lt;1,0,IFERROR(LOOKUP(2,1/(Trigo!$E34:INDEX(Trigo!$E34:$Z34,MIN(AH$6-$G$3,22))&lt;&gt;""),Trigo!$E34:INDEX(Trigo!$E34:$Z34,MIN(AH$6-$G$3,22))),0)))))</f>
        <v>0</v>
      </c>
      <c r="AI36" s="27" t="n">
        <f aca="false">IF(COUNT(Trigo!$E34:$Z34)=0,0,MAX(0,IF((AI$6-$E$3)&lt;1,0,IFERROR(LOOKUP(2,1/(Trigo!$E34:INDEX(Trigo!$E34:$Z34,MIN(AI$6-$E$3,22))&lt;&gt;""),Trigo!$E34:INDEX(Trigo!$E34:$Z34,MIN(AI$6-$E$3,22))),0))-IF($G$2,0,IF((AI$6-$G$3)&lt;1,0,IFERROR(LOOKUP(2,1/(Trigo!$E34:INDEX(Trigo!$E34:$Z34,MIN(AI$6-$G$3,22))&lt;&gt;""),Trigo!$E34:INDEX(Trigo!$E34:$Z34,MIN(AI$6-$G$3,22))),0)))))</f>
        <v>0</v>
      </c>
      <c r="AJ36" s="27" t="n">
        <f aca="false">IF(COUNT(Trigo!$E34:$Z34)=0,0,MAX(0,IF((AJ$6-$E$3)&lt;1,0,IFERROR(LOOKUP(2,1/(Trigo!$E34:INDEX(Trigo!$E34:$Z34,MIN(AJ$6-$E$3,22))&lt;&gt;""),Trigo!$E34:INDEX(Trigo!$E34:$Z34,MIN(AJ$6-$E$3,22))),0))-IF($G$2,0,IF((AJ$6-$G$3)&lt;1,0,IFERROR(LOOKUP(2,1/(Trigo!$E34:INDEX(Trigo!$E34:$Z34,MIN(AJ$6-$G$3,22))&lt;&gt;""),Trigo!$E34:INDEX(Trigo!$E34:$Z34,MIN(AJ$6-$G$3,22))),0)))))</f>
        <v>0</v>
      </c>
      <c r="AK36" s="27" t="n">
        <f aca="false">IF(COUNT(Trigo!$E34:$Z34)=0,0,MAX(0,IF((AK$6-$E$3)&lt;1,0,IFERROR(LOOKUP(2,1/(Trigo!$E34:INDEX(Trigo!$E34:$Z34,MIN(AK$6-$E$3,22))&lt;&gt;""),Trigo!$E34:INDEX(Trigo!$E34:$Z34,MIN(AK$6-$E$3,22))),0))-IF($G$2,0,IF((AK$6-$G$3)&lt;1,0,IFERROR(LOOKUP(2,1/(Trigo!$E34:INDEX(Trigo!$E34:$Z34,MIN(AK$6-$G$3,22))&lt;&gt;""),Trigo!$E34:INDEX(Trigo!$E34:$Z34,MIN(AK$6-$G$3,22))),0)))))</f>
        <v>0</v>
      </c>
      <c r="AL36" s="27" t="n">
        <f aca="false">IF(COUNT(Trigo!$E34:$Z34)=0,0,MAX(0,IF((AL$6-$E$3)&lt;1,0,IFERROR(LOOKUP(2,1/(Trigo!$E34:INDEX(Trigo!$E34:$Z34,MIN(AL$6-$E$3,22))&lt;&gt;""),Trigo!$E34:INDEX(Trigo!$E34:$Z34,MIN(AL$6-$E$3,22))),0))-IF($G$2,0,IF((AL$6-$G$3)&lt;1,0,IFERROR(LOOKUP(2,1/(Trigo!$E34:INDEX(Trigo!$E34:$Z34,MIN(AL$6-$G$3,22))&lt;&gt;""),Trigo!$E34:INDEX(Trigo!$E34:$Z34,MIN(AL$6-$G$3,22))),0)))))</f>
        <v>0</v>
      </c>
      <c r="AM36" s="27" t="n">
        <f aca="false">IF(COUNT(Trigo!$E34:$Z34)=0,0,MAX(0,IF((AM$6-$E$3)&lt;1,0,IFERROR(LOOKUP(2,1/(Trigo!$E34:INDEX(Trigo!$E34:$Z34,MIN(AM$6-$E$3,22))&lt;&gt;""),Trigo!$E34:INDEX(Trigo!$E34:$Z34,MIN(AM$6-$E$3,22))),0))-IF($G$2,0,IF((AM$6-$G$3)&lt;1,0,IFERROR(LOOKUP(2,1/(Trigo!$E34:INDEX(Trigo!$E34:$Z34,MIN(AM$6-$G$3,22))&lt;&gt;""),Trigo!$E34:INDEX(Trigo!$E34:$Z34,MIN(AM$6-$G$3,22))),0)))))</f>
        <v>0</v>
      </c>
      <c r="AN36" s="27" t="n">
        <f aca="false">IF(COUNT(Trigo!$E34:$Z34)=0,0,MAX(0,IF((AN$6-$E$3)&lt;1,0,IFERROR(LOOKUP(2,1/(Trigo!$E34:INDEX(Trigo!$E34:$Z34,MIN(AN$6-$E$3,22))&lt;&gt;""),Trigo!$E34:INDEX(Trigo!$E34:$Z34,MIN(AN$6-$E$3,22))),0))-IF($G$2,0,IF((AN$6-$G$3)&lt;1,0,IFERROR(LOOKUP(2,1/(Trigo!$E34:INDEX(Trigo!$E34:$Z34,MIN(AN$6-$G$3,22))&lt;&gt;""),Trigo!$E34:INDEX(Trigo!$E34:$Z34,MIN(AN$6-$G$3,22))),0)))))</f>
        <v>0</v>
      </c>
      <c r="AO36" s="27" t="n">
        <f aca="false">IF(COUNT(Trigo!$E34:$Z34)=0,0,MAX(0,IF((AO$6-$E$3)&lt;1,0,IFERROR(LOOKUP(2,1/(Trigo!$E34:INDEX(Trigo!$E34:$Z34,MIN(AO$6-$E$3,22))&lt;&gt;""),Trigo!$E34:INDEX(Trigo!$E34:$Z34,MIN(AO$6-$E$3,22))),0))-IF($G$2,0,IF((AO$6-$G$3)&lt;1,0,IFERROR(LOOKUP(2,1/(Trigo!$E34:INDEX(Trigo!$E34:$Z34,MIN(AO$6-$G$3,22))&lt;&gt;""),Trigo!$E34:INDEX(Trigo!$E34:$Z34,MIN(AO$6-$G$3,22))),0)))))</f>
        <v>0</v>
      </c>
      <c r="AP36" s="27" t="n">
        <f aca="false">IF(COUNT(Trigo!$E34:$Z34)=0,0,MAX(0,IF((AP$6-$E$3)&lt;1,0,IFERROR(LOOKUP(2,1/(Trigo!$E34:INDEX(Trigo!$E34:$Z34,MIN(AP$6-$E$3,22))&lt;&gt;""),Trigo!$E34:INDEX(Trigo!$E34:$Z34,MIN(AP$6-$E$3,22))),0))-IF($G$2,0,IF((AP$6-$G$3)&lt;1,0,IFERROR(LOOKUP(2,1/(Trigo!$E34:INDEX(Trigo!$E34:$Z34,MIN(AP$6-$G$3,22))&lt;&gt;""),Trigo!$E34:INDEX(Trigo!$E34:$Z34,MIN(AP$6-$G$3,22))),0)))))</f>
        <v>0</v>
      </c>
      <c r="AQ36" s="27" t="n">
        <f aca="false">IF(COUNT(Trigo!$E34:$Z34)=0,0,MAX(0,IF((AQ$6-$E$3)&lt;1,0,IFERROR(LOOKUP(2,1/(Trigo!$E34:INDEX(Trigo!$E34:$Z34,MIN(AQ$6-$E$3,22))&lt;&gt;""),Trigo!$E34:INDEX(Trigo!$E34:$Z34,MIN(AQ$6-$E$3,22))),0))-IF($G$2,0,IF((AQ$6-$G$3)&lt;1,0,IFERROR(LOOKUP(2,1/(Trigo!$E34:INDEX(Trigo!$E34:$Z34,MIN(AQ$6-$G$3,22))&lt;&gt;""),Trigo!$E34:INDEX(Trigo!$E34:$Z34,MIN(AQ$6-$G$3,22))),0)))))</f>
        <v>0</v>
      </c>
      <c r="AR36" s="27" t="n">
        <f aca="false">IF(COUNT(Trigo!$E34:$Z34)=0,0,MAX(0,IF((AR$6-$E$3)&lt;1,0,IFERROR(LOOKUP(2,1/(Trigo!$E34:INDEX(Trigo!$E34:$Z34,MIN(AR$6-$E$3,22))&lt;&gt;""),Trigo!$E34:INDEX(Trigo!$E34:$Z34,MIN(AR$6-$E$3,22))),0))-IF($G$2,0,IF((AR$6-$G$3)&lt;1,0,IFERROR(LOOKUP(2,1/(Trigo!$E34:INDEX(Trigo!$E34:$Z34,MIN(AR$6-$G$3,22))&lt;&gt;""),Trigo!$E34:INDEX(Trigo!$E34:$Z34,MIN(AR$6-$G$3,22))),0)))))</f>
        <v>0</v>
      </c>
      <c r="AS36" s="27" t="n">
        <f aca="false">IF(COUNT(Trigo!$E34:$Z34)=0,0,MAX(0,IF((AS$6-$E$3)&lt;1,0,IFERROR(LOOKUP(2,1/(Trigo!$E34:INDEX(Trigo!$E34:$Z34,MIN(AS$6-$E$3,22))&lt;&gt;""),Trigo!$E34:INDEX(Trigo!$E34:$Z34,MIN(AS$6-$E$3,22))),0))-IF($G$2,0,IF((AS$6-$G$3)&lt;1,0,IFERROR(LOOKUP(2,1/(Trigo!$E34:INDEX(Trigo!$E34:$Z34,MIN(AS$6-$G$3,22))&lt;&gt;""),Trigo!$E34:INDEX(Trigo!$E34:$Z34,MIN(AS$6-$G$3,22))),0)))))</f>
        <v>0</v>
      </c>
      <c r="AT36" s="27" t="n">
        <f aca="false">IF(COUNT(Trigo!$E34:$Z34)=0,0,MAX(0,IF((AT$6-$E$3)&lt;1,0,IFERROR(LOOKUP(2,1/(Trigo!$E34:INDEX(Trigo!$E34:$Z34,MIN(AT$6-$E$3,22))&lt;&gt;""),Trigo!$E34:INDEX(Trigo!$E34:$Z34,MIN(AT$6-$E$3,22))),0))-IF($G$2,0,IF((AT$6-$G$3)&lt;1,0,IFERROR(LOOKUP(2,1/(Trigo!$E34:INDEX(Trigo!$E34:$Z34,MIN(AT$6-$G$3,22))&lt;&gt;""),Trigo!$E34:INDEX(Trigo!$E34:$Z34,MIN(AT$6-$G$3,22))),0)))))</f>
        <v>0</v>
      </c>
      <c r="AU36" s="27" t="n">
        <f aca="false">IF(COUNT(Trigo!$E34:$Z34)=0,0,MAX(0,IF((AU$6-$E$3)&lt;1,0,IFERROR(LOOKUP(2,1/(Trigo!$E34:INDEX(Trigo!$E34:$Z34,MIN(AU$6-$E$3,22))&lt;&gt;""),Trigo!$E34:INDEX(Trigo!$E34:$Z34,MIN(AU$6-$E$3,22))),0))-IF($G$2,0,IF((AU$6-$G$3)&lt;1,0,IFERROR(LOOKUP(2,1/(Trigo!$E34:INDEX(Trigo!$E34:$Z34,MIN(AU$6-$G$3,22))&lt;&gt;""),Trigo!$E34:INDEX(Trigo!$E34:$Z34,MIN(AU$6-$G$3,22))),0)))))</f>
        <v>0</v>
      </c>
      <c r="AV36" s="27" t="n">
        <f aca="false">IF(COUNT(Trigo!$E34:$Z34)=0,0,MAX(0,IF((AV$6-$E$3)&lt;1,0,IFERROR(LOOKUP(2,1/(Trigo!$E34:INDEX(Trigo!$E34:$Z34,MIN(AV$6-$E$3,22))&lt;&gt;""),Trigo!$E34:INDEX(Trigo!$E34:$Z34,MIN(AV$6-$E$3,22))),0))-IF($G$2,0,IF((AV$6-$G$3)&lt;1,0,IFERROR(LOOKUP(2,1/(Trigo!$E34:INDEX(Trigo!$E34:$Z34,MIN(AV$6-$G$3,22))&lt;&gt;""),Trigo!$E34:INDEX(Trigo!$E34:$Z34,MIN(AV$6-$G$3,22))),0)))))</f>
        <v>0</v>
      </c>
      <c r="AW36" s="27" t="n">
        <f aca="false">IF(COUNT(Trigo!$E34:$Z34)=0,0,MAX(0,IF((AW$6-$E$3)&lt;1,0,IFERROR(LOOKUP(2,1/(Trigo!$E34:INDEX(Trigo!$E34:$Z34,MIN(AW$6-$E$3,22))&lt;&gt;""),Trigo!$E34:INDEX(Trigo!$E34:$Z34,MIN(AW$6-$E$3,22))),0))-IF($G$2,0,IF((AW$6-$G$3)&lt;1,0,IFERROR(LOOKUP(2,1/(Trigo!$E34:INDEX(Trigo!$E34:$Z34,MIN(AW$6-$G$3,22))&lt;&gt;""),Trigo!$E34:INDEX(Trigo!$E34:$Z34,MIN(AW$6-$G$3,22))),0)))))</f>
        <v>0</v>
      </c>
      <c r="AX36" s="27" t="n">
        <f aca="false">IF(COUNT(Trigo!$E34:$Z34)=0,0,MAX(0,IF((AX$6-$E$3)&lt;1,0,IFERROR(LOOKUP(2,1/(Trigo!$E34:INDEX(Trigo!$E34:$Z34,MIN(AX$6-$E$3,22))&lt;&gt;""),Trigo!$E34:INDEX(Trigo!$E34:$Z34,MIN(AX$6-$E$3,22))),0))-IF($G$2,0,IF((AX$6-$G$3)&lt;1,0,IFERROR(LOOKUP(2,1/(Trigo!$E34:INDEX(Trigo!$E34:$Z34,MIN(AX$6-$G$3,22))&lt;&gt;""),Trigo!$E34:INDEX(Trigo!$E34:$Z34,MIN(AX$6-$G$3,22))),0)))))</f>
        <v>0</v>
      </c>
      <c r="AY36" s="27" t="n">
        <f aca="false">IF(COUNT(Trigo!$E34:$Z34)=0,0,MAX(0,IF((AY$6-$E$3)&lt;1,0,IFERROR(LOOKUP(2,1/(Trigo!$E34:INDEX(Trigo!$E34:$Z34,MIN(AY$6-$E$3,22))&lt;&gt;""),Trigo!$E34:INDEX(Trigo!$E34:$Z34,MIN(AY$6-$E$3,22))),0))-IF($G$2,0,IF((AY$6-$G$3)&lt;1,0,IFERROR(LOOKUP(2,1/(Trigo!$E34:INDEX(Trigo!$E34:$Z34,MIN(AY$6-$G$3,22))&lt;&gt;""),Trigo!$E34:INDEX(Trigo!$E34:$Z34,MIN(AY$6-$G$3,22))),0)))))</f>
        <v>0</v>
      </c>
      <c r="AZ36" s="27" t="n">
        <f aca="false">IF(COUNT(Trigo!$E34:$Z34)=0,0,MAX(0,IF((AZ$6-$E$3)&lt;1,0,IFERROR(LOOKUP(2,1/(Trigo!$E34:INDEX(Trigo!$E34:$Z34,MIN(AZ$6-$E$3,22))&lt;&gt;""),Trigo!$E34:INDEX(Trigo!$E34:$Z34,MIN(AZ$6-$E$3,22))),0))-IF($G$2,0,IF((AZ$6-$G$3)&lt;1,0,IFERROR(LOOKUP(2,1/(Trigo!$E34:INDEX(Trigo!$E34:$Z34,MIN(AZ$6-$G$3,22))&lt;&gt;""),Trigo!$E34:INDEX(Trigo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IF(COUNT(Trigo!$E35:$Z35)&gt;0,N(Trigo!$D35),0)</f>
        <v>0</v>
      </c>
      <c r="E37" s="27" t="n">
        <f aca="false">IF(COUNT(Trigo!$E35:$Z35)=0,0,MAX(0,IF((E$6-$E$3)&lt;1,0,IFERROR(LOOKUP(2,1/(Trigo!$E35:INDEX(Trigo!$E35:$Z35,MIN(E$6-$E$3,22))&lt;&gt;""),Trigo!$E35:INDEX(Trigo!$E35:$Z35,MIN(E$6-$E$3,22))),0))-IF($G$2,0,IF((E$6-$G$3)&lt;1,0,IFERROR(LOOKUP(2,1/(Trigo!$E35:INDEX(Trigo!$E35:$Z35,MIN(E$6-$G$3,22))&lt;&gt;""),Trigo!$E35:INDEX(Trigo!$E35:$Z35,MIN(E$6-$G$3,22))),0)))))</f>
        <v>0</v>
      </c>
      <c r="F37" s="27" t="n">
        <f aca="false">IF(COUNT(Trigo!$E35:$Z35)=0,0,MAX(0,IF((F$6-$E$3)&lt;1,0,IFERROR(LOOKUP(2,1/(Trigo!$E35:INDEX(Trigo!$E35:$Z35,MIN(F$6-$E$3,22))&lt;&gt;""),Trigo!$E35:INDEX(Trigo!$E35:$Z35,MIN(F$6-$E$3,22))),0))-IF($G$2,0,IF((F$6-$G$3)&lt;1,0,IFERROR(LOOKUP(2,1/(Trigo!$E35:INDEX(Trigo!$E35:$Z35,MIN(F$6-$G$3,22))&lt;&gt;""),Trigo!$E35:INDEX(Trigo!$E35:$Z35,MIN(F$6-$G$3,22))),0)))))</f>
        <v>0</v>
      </c>
      <c r="G37" s="27" t="n">
        <f aca="false">IF(COUNT(Trigo!$E35:$Z35)=0,0,MAX(0,IF((G$6-$E$3)&lt;1,0,IFERROR(LOOKUP(2,1/(Trigo!$E35:INDEX(Trigo!$E35:$Z35,MIN(G$6-$E$3,22))&lt;&gt;""),Trigo!$E35:INDEX(Trigo!$E35:$Z35,MIN(G$6-$E$3,22))),0))-IF($G$2,0,IF((G$6-$G$3)&lt;1,0,IFERROR(LOOKUP(2,1/(Trigo!$E35:INDEX(Trigo!$E35:$Z35,MIN(G$6-$G$3,22))&lt;&gt;""),Trigo!$E35:INDEX(Trigo!$E35:$Z35,MIN(G$6-$G$3,22))),0)))))</f>
        <v>0</v>
      </c>
      <c r="H37" s="27" t="n">
        <f aca="false">IF(COUNT(Trigo!$E35:$Z35)=0,0,MAX(0,IF((H$6-$E$3)&lt;1,0,IFERROR(LOOKUP(2,1/(Trigo!$E35:INDEX(Trigo!$E35:$Z35,MIN(H$6-$E$3,22))&lt;&gt;""),Trigo!$E35:INDEX(Trigo!$E35:$Z35,MIN(H$6-$E$3,22))),0))-IF($G$2,0,IF((H$6-$G$3)&lt;1,0,IFERROR(LOOKUP(2,1/(Trigo!$E35:INDEX(Trigo!$E35:$Z35,MIN(H$6-$G$3,22))&lt;&gt;""),Trigo!$E35:INDEX(Trigo!$E35:$Z35,MIN(H$6-$G$3,22))),0)))))</f>
        <v>0</v>
      </c>
      <c r="I37" s="27" t="n">
        <f aca="false">IF(COUNT(Trigo!$E35:$Z35)=0,0,MAX(0,IF((I$6-$E$3)&lt;1,0,IFERROR(LOOKUP(2,1/(Trigo!$E35:INDEX(Trigo!$E35:$Z35,MIN(I$6-$E$3,22))&lt;&gt;""),Trigo!$E35:INDEX(Trigo!$E35:$Z35,MIN(I$6-$E$3,22))),0))-IF($G$2,0,IF((I$6-$G$3)&lt;1,0,IFERROR(LOOKUP(2,1/(Trigo!$E35:INDEX(Trigo!$E35:$Z35,MIN(I$6-$G$3,22))&lt;&gt;""),Trigo!$E35:INDEX(Trigo!$E35:$Z35,MIN(I$6-$G$3,22))),0)))))</f>
        <v>0</v>
      </c>
      <c r="J37" s="27" t="n">
        <f aca="false">IF(COUNT(Trigo!$E35:$Z35)=0,0,MAX(0,IF((J$6-$E$3)&lt;1,0,IFERROR(LOOKUP(2,1/(Trigo!$E35:INDEX(Trigo!$E35:$Z35,MIN(J$6-$E$3,22))&lt;&gt;""),Trigo!$E35:INDEX(Trigo!$E35:$Z35,MIN(J$6-$E$3,22))),0))-IF($G$2,0,IF((J$6-$G$3)&lt;1,0,IFERROR(LOOKUP(2,1/(Trigo!$E35:INDEX(Trigo!$E35:$Z35,MIN(J$6-$G$3,22))&lt;&gt;""),Trigo!$E35:INDEX(Trigo!$E35:$Z35,MIN(J$6-$G$3,22))),0)))))</f>
        <v>0</v>
      </c>
      <c r="K37" s="27" t="n">
        <f aca="false">IF(COUNT(Trigo!$E35:$Z35)=0,0,MAX(0,IF((K$6-$E$3)&lt;1,0,IFERROR(LOOKUP(2,1/(Trigo!$E35:INDEX(Trigo!$E35:$Z35,MIN(K$6-$E$3,22))&lt;&gt;""),Trigo!$E35:INDEX(Trigo!$E35:$Z35,MIN(K$6-$E$3,22))),0))-IF($G$2,0,IF((K$6-$G$3)&lt;1,0,IFERROR(LOOKUP(2,1/(Trigo!$E35:INDEX(Trigo!$E35:$Z35,MIN(K$6-$G$3,22))&lt;&gt;""),Trigo!$E35:INDEX(Trigo!$E35:$Z35,MIN(K$6-$G$3,22))),0)))))</f>
        <v>0</v>
      </c>
      <c r="L37" s="27" t="n">
        <f aca="false">IF(COUNT(Trigo!$E35:$Z35)=0,0,MAX(0,IF((L$6-$E$3)&lt;1,0,IFERROR(LOOKUP(2,1/(Trigo!$E35:INDEX(Trigo!$E35:$Z35,MIN(L$6-$E$3,22))&lt;&gt;""),Trigo!$E35:INDEX(Trigo!$E35:$Z35,MIN(L$6-$E$3,22))),0))-IF($G$2,0,IF((L$6-$G$3)&lt;1,0,IFERROR(LOOKUP(2,1/(Trigo!$E35:INDEX(Trigo!$E35:$Z35,MIN(L$6-$G$3,22))&lt;&gt;""),Trigo!$E35:INDEX(Trigo!$E35:$Z35,MIN(L$6-$G$3,22))),0)))))</f>
        <v>0</v>
      </c>
      <c r="M37" s="27" t="n">
        <f aca="false">IF(COUNT(Trigo!$E35:$Z35)=0,0,MAX(0,IF((M$6-$E$3)&lt;1,0,IFERROR(LOOKUP(2,1/(Trigo!$E35:INDEX(Trigo!$E35:$Z35,MIN(M$6-$E$3,22))&lt;&gt;""),Trigo!$E35:INDEX(Trigo!$E35:$Z35,MIN(M$6-$E$3,22))),0))-IF($G$2,0,IF((M$6-$G$3)&lt;1,0,IFERROR(LOOKUP(2,1/(Trigo!$E35:INDEX(Trigo!$E35:$Z35,MIN(M$6-$G$3,22))&lt;&gt;""),Trigo!$E35:INDEX(Trigo!$E35:$Z35,MIN(M$6-$G$3,22))),0)))))</f>
        <v>0</v>
      </c>
      <c r="N37" s="27" t="n">
        <f aca="false">IF(COUNT(Trigo!$E35:$Z35)=0,0,MAX(0,IF((N$6-$E$3)&lt;1,0,IFERROR(LOOKUP(2,1/(Trigo!$E35:INDEX(Trigo!$E35:$Z35,MIN(N$6-$E$3,22))&lt;&gt;""),Trigo!$E35:INDEX(Trigo!$E35:$Z35,MIN(N$6-$E$3,22))),0))-IF($G$2,0,IF((N$6-$G$3)&lt;1,0,IFERROR(LOOKUP(2,1/(Trigo!$E35:INDEX(Trigo!$E35:$Z35,MIN(N$6-$G$3,22))&lt;&gt;""),Trigo!$E35:INDEX(Trigo!$E35:$Z35,MIN(N$6-$G$3,22))),0)))))</f>
        <v>0</v>
      </c>
      <c r="O37" s="27" t="n">
        <f aca="false">IF(COUNT(Trigo!$E35:$Z35)=0,0,MAX(0,IF((O$6-$E$3)&lt;1,0,IFERROR(LOOKUP(2,1/(Trigo!$E35:INDEX(Trigo!$E35:$Z35,MIN(O$6-$E$3,22))&lt;&gt;""),Trigo!$E35:INDEX(Trigo!$E35:$Z35,MIN(O$6-$E$3,22))),0))-IF($G$2,0,IF((O$6-$G$3)&lt;1,0,IFERROR(LOOKUP(2,1/(Trigo!$E35:INDEX(Trigo!$E35:$Z35,MIN(O$6-$G$3,22))&lt;&gt;""),Trigo!$E35:INDEX(Trigo!$E35:$Z35,MIN(O$6-$G$3,22))),0)))))</f>
        <v>0</v>
      </c>
      <c r="P37" s="27" t="n">
        <f aca="false">IF(COUNT(Trigo!$E35:$Z35)=0,0,MAX(0,IF((P$6-$E$3)&lt;1,0,IFERROR(LOOKUP(2,1/(Trigo!$E35:INDEX(Trigo!$E35:$Z35,MIN(P$6-$E$3,22))&lt;&gt;""),Trigo!$E35:INDEX(Trigo!$E35:$Z35,MIN(P$6-$E$3,22))),0))-IF($G$2,0,IF((P$6-$G$3)&lt;1,0,IFERROR(LOOKUP(2,1/(Trigo!$E35:INDEX(Trigo!$E35:$Z35,MIN(P$6-$G$3,22))&lt;&gt;""),Trigo!$E35:INDEX(Trigo!$E35:$Z35,MIN(P$6-$G$3,22))),0)))))</f>
        <v>0</v>
      </c>
      <c r="Q37" s="27" t="n">
        <f aca="false">IF(COUNT(Trigo!$E35:$Z35)=0,0,MAX(0,IF((Q$6-$E$3)&lt;1,0,IFERROR(LOOKUP(2,1/(Trigo!$E35:INDEX(Trigo!$E35:$Z35,MIN(Q$6-$E$3,22))&lt;&gt;""),Trigo!$E35:INDEX(Trigo!$E35:$Z35,MIN(Q$6-$E$3,22))),0))-IF($G$2,0,IF((Q$6-$G$3)&lt;1,0,IFERROR(LOOKUP(2,1/(Trigo!$E35:INDEX(Trigo!$E35:$Z35,MIN(Q$6-$G$3,22))&lt;&gt;""),Trigo!$E35:INDEX(Trigo!$E35:$Z35,MIN(Q$6-$G$3,22))),0)))))</f>
        <v>0</v>
      </c>
      <c r="R37" s="27" t="n">
        <f aca="false">IF(COUNT(Trigo!$E35:$Z35)=0,0,MAX(0,IF((R$6-$E$3)&lt;1,0,IFERROR(LOOKUP(2,1/(Trigo!$E35:INDEX(Trigo!$E35:$Z35,MIN(R$6-$E$3,22))&lt;&gt;""),Trigo!$E35:INDEX(Trigo!$E35:$Z35,MIN(R$6-$E$3,22))),0))-IF($G$2,0,IF((R$6-$G$3)&lt;1,0,IFERROR(LOOKUP(2,1/(Trigo!$E35:INDEX(Trigo!$E35:$Z35,MIN(R$6-$G$3,22))&lt;&gt;""),Trigo!$E35:INDEX(Trigo!$E35:$Z35,MIN(R$6-$G$3,22))),0)))))</f>
        <v>0</v>
      </c>
      <c r="S37" s="27" t="n">
        <f aca="false">IF(COUNT(Trigo!$E35:$Z35)=0,0,MAX(0,IF((S$6-$E$3)&lt;1,0,IFERROR(LOOKUP(2,1/(Trigo!$E35:INDEX(Trigo!$E35:$Z35,MIN(S$6-$E$3,22))&lt;&gt;""),Trigo!$E35:INDEX(Trigo!$E35:$Z35,MIN(S$6-$E$3,22))),0))-IF($G$2,0,IF((S$6-$G$3)&lt;1,0,IFERROR(LOOKUP(2,1/(Trigo!$E35:INDEX(Trigo!$E35:$Z35,MIN(S$6-$G$3,22))&lt;&gt;""),Trigo!$E35:INDEX(Trigo!$E35:$Z35,MIN(S$6-$G$3,22))),0)))))</f>
        <v>0</v>
      </c>
      <c r="T37" s="27" t="n">
        <f aca="false">IF(COUNT(Trigo!$E35:$Z35)=0,0,MAX(0,IF((T$6-$E$3)&lt;1,0,IFERROR(LOOKUP(2,1/(Trigo!$E35:INDEX(Trigo!$E35:$Z35,MIN(T$6-$E$3,22))&lt;&gt;""),Trigo!$E35:INDEX(Trigo!$E35:$Z35,MIN(T$6-$E$3,22))),0))-IF($G$2,0,IF((T$6-$G$3)&lt;1,0,IFERROR(LOOKUP(2,1/(Trigo!$E35:INDEX(Trigo!$E35:$Z35,MIN(T$6-$G$3,22))&lt;&gt;""),Trigo!$E35:INDEX(Trigo!$E35:$Z35,MIN(T$6-$G$3,22))),0)))))</f>
        <v>0</v>
      </c>
      <c r="U37" s="27" t="n">
        <f aca="false">IF(COUNT(Trigo!$E35:$Z35)=0,0,MAX(0,IF((U$6-$E$3)&lt;1,0,IFERROR(LOOKUP(2,1/(Trigo!$E35:INDEX(Trigo!$E35:$Z35,MIN(U$6-$E$3,22))&lt;&gt;""),Trigo!$E35:INDEX(Trigo!$E35:$Z35,MIN(U$6-$E$3,22))),0))-IF($G$2,0,IF((U$6-$G$3)&lt;1,0,IFERROR(LOOKUP(2,1/(Trigo!$E35:INDEX(Trigo!$E35:$Z35,MIN(U$6-$G$3,22))&lt;&gt;""),Trigo!$E35:INDEX(Trigo!$E35:$Z35,MIN(U$6-$G$3,22))),0)))))</f>
        <v>0</v>
      </c>
      <c r="V37" s="27" t="n">
        <f aca="false">IF(COUNT(Trigo!$E35:$Z35)=0,0,MAX(0,IF((V$6-$E$3)&lt;1,0,IFERROR(LOOKUP(2,1/(Trigo!$E35:INDEX(Trigo!$E35:$Z35,MIN(V$6-$E$3,22))&lt;&gt;""),Trigo!$E35:INDEX(Trigo!$E35:$Z35,MIN(V$6-$E$3,22))),0))-IF($G$2,0,IF((V$6-$G$3)&lt;1,0,IFERROR(LOOKUP(2,1/(Trigo!$E35:INDEX(Trigo!$E35:$Z35,MIN(V$6-$G$3,22))&lt;&gt;""),Trigo!$E35:INDEX(Trigo!$E35:$Z35,MIN(V$6-$G$3,22))),0)))))</f>
        <v>0</v>
      </c>
      <c r="W37" s="27" t="n">
        <f aca="false">IF(COUNT(Trigo!$E35:$Z35)=0,0,MAX(0,IF((W$6-$E$3)&lt;1,0,IFERROR(LOOKUP(2,1/(Trigo!$E35:INDEX(Trigo!$E35:$Z35,MIN(W$6-$E$3,22))&lt;&gt;""),Trigo!$E35:INDEX(Trigo!$E35:$Z35,MIN(W$6-$E$3,22))),0))-IF($G$2,0,IF((W$6-$G$3)&lt;1,0,IFERROR(LOOKUP(2,1/(Trigo!$E35:INDEX(Trigo!$E35:$Z35,MIN(W$6-$G$3,22))&lt;&gt;""),Trigo!$E35:INDEX(Trigo!$E35:$Z35,MIN(W$6-$G$3,22))),0)))))</f>
        <v>0</v>
      </c>
      <c r="X37" s="27" t="n">
        <f aca="false">IF(COUNT(Trigo!$E35:$Z35)=0,0,MAX(0,IF((X$6-$E$3)&lt;1,0,IFERROR(LOOKUP(2,1/(Trigo!$E35:INDEX(Trigo!$E35:$Z35,MIN(X$6-$E$3,22))&lt;&gt;""),Trigo!$E35:INDEX(Trigo!$E35:$Z35,MIN(X$6-$E$3,22))),0))-IF($G$2,0,IF((X$6-$G$3)&lt;1,0,IFERROR(LOOKUP(2,1/(Trigo!$E35:INDEX(Trigo!$E35:$Z35,MIN(X$6-$G$3,22))&lt;&gt;""),Trigo!$E35:INDEX(Trigo!$E35:$Z35,MIN(X$6-$G$3,22))),0)))))</f>
        <v>0</v>
      </c>
      <c r="Y37" s="27" t="n">
        <f aca="false">IF(COUNT(Trigo!$E35:$Z35)=0,0,MAX(0,IF((Y$6-$E$3)&lt;1,0,IFERROR(LOOKUP(2,1/(Trigo!$E35:INDEX(Trigo!$E35:$Z35,MIN(Y$6-$E$3,22))&lt;&gt;""),Trigo!$E35:INDEX(Trigo!$E35:$Z35,MIN(Y$6-$E$3,22))),0))-IF($G$2,0,IF((Y$6-$G$3)&lt;1,0,IFERROR(LOOKUP(2,1/(Trigo!$E35:INDEX(Trigo!$E35:$Z35,MIN(Y$6-$G$3,22))&lt;&gt;""),Trigo!$E35:INDEX(Trigo!$E35:$Z35,MIN(Y$6-$G$3,22))),0)))))</f>
        <v>0</v>
      </c>
      <c r="Z37" s="27" t="n">
        <f aca="false">IF(COUNT(Trigo!$E35:$Z35)=0,0,MAX(0,IF((Z$6-$E$3)&lt;1,0,IFERROR(LOOKUP(2,1/(Trigo!$E35:INDEX(Trigo!$E35:$Z35,MIN(Z$6-$E$3,22))&lt;&gt;""),Trigo!$E35:INDEX(Trigo!$E35:$Z35,MIN(Z$6-$E$3,22))),0))-IF($G$2,0,IF((Z$6-$G$3)&lt;1,0,IFERROR(LOOKUP(2,1/(Trigo!$E35:INDEX(Trigo!$E35:$Z35,MIN(Z$6-$G$3,22))&lt;&gt;""),Trigo!$E35:INDEX(Trigo!$E35:$Z35,MIN(Z$6-$G$3,22))),0)))))</f>
        <v>0</v>
      </c>
      <c r="AA37" s="27" t="n">
        <f aca="false">IF(COUNT(Trigo!$E35:$Z35)=0,0,MAX(0,IF((AA$6-$E$3)&lt;1,0,IFERROR(LOOKUP(2,1/(Trigo!$E35:INDEX(Trigo!$E35:$Z35,MIN(AA$6-$E$3,22))&lt;&gt;""),Trigo!$E35:INDEX(Trigo!$E35:$Z35,MIN(AA$6-$E$3,22))),0))-IF($G$2,0,IF((AA$6-$G$3)&lt;1,0,IFERROR(LOOKUP(2,1/(Trigo!$E35:INDEX(Trigo!$E35:$Z35,MIN(AA$6-$G$3,22))&lt;&gt;""),Trigo!$E35:INDEX(Trigo!$E35:$Z35,MIN(AA$6-$G$3,22))),0)))))</f>
        <v>0</v>
      </c>
      <c r="AB37" s="27" t="n">
        <f aca="false">IF(COUNT(Trigo!$E35:$Z35)=0,0,MAX(0,IF((AB$6-$E$3)&lt;1,0,IFERROR(LOOKUP(2,1/(Trigo!$E35:INDEX(Trigo!$E35:$Z35,MIN(AB$6-$E$3,22))&lt;&gt;""),Trigo!$E35:INDEX(Trigo!$E35:$Z35,MIN(AB$6-$E$3,22))),0))-IF($G$2,0,IF((AB$6-$G$3)&lt;1,0,IFERROR(LOOKUP(2,1/(Trigo!$E35:INDEX(Trigo!$E35:$Z35,MIN(AB$6-$G$3,22))&lt;&gt;""),Trigo!$E35:INDEX(Trigo!$E35:$Z35,MIN(AB$6-$G$3,22))),0)))))</f>
        <v>0</v>
      </c>
      <c r="AC37" s="27" t="n">
        <f aca="false">IF(COUNT(Trigo!$E35:$Z35)=0,0,MAX(0,IF((AC$6-$E$3)&lt;1,0,IFERROR(LOOKUP(2,1/(Trigo!$E35:INDEX(Trigo!$E35:$Z35,MIN(AC$6-$E$3,22))&lt;&gt;""),Trigo!$E35:INDEX(Trigo!$E35:$Z35,MIN(AC$6-$E$3,22))),0))-IF($G$2,0,IF((AC$6-$G$3)&lt;1,0,IFERROR(LOOKUP(2,1/(Trigo!$E35:INDEX(Trigo!$E35:$Z35,MIN(AC$6-$G$3,22))&lt;&gt;""),Trigo!$E35:INDEX(Trigo!$E35:$Z35,MIN(AC$6-$G$3,22))),0)))))</f>
        <v>0</v>
      </c>
      <c r="AD37" s="27" t="n">
        <f aca="false">IF(COUNT(Trigo!$E35:$Z35)=0,0,MAX(0,IF((AD$6-$E$3)&lt;1,0,IFERROR(LOOKUP(2,1/(Trigo!$E35:INDEX(Trigo!$E35:$Z35,MIN(AD$6-$E$3,22))&lt;&gt;""),Trigo!$E35:INDEX(Trigo!$E35:$Z35,MIN(AD$6-$E$3,22))),0))-IF($G$2,0,IF((AD$6-$G$3)&lt;1,0,IFERROR(LOOKUP(2,1/(Trigo!$E35:INDEX(Trigo!$E35:$Z35,MIN(AD$6-$G$3,22))&lt;&gt;""),Trigo!$E35:INDEX(Trigo!$E35:$Z35,MIN(AD$6-$G$3,22))),0)))))</f>
        <v>0</v>
      </c>
      <c r="AE37" s="27" t="n">
        <f aca="false">IF(COUNT(Trigo!$E35:$Z35)=0,0,MAX(0,IF((AE$6-$E$3)&lt;1,0,IFERROR(LOOKUP(2,1/(Trigo!$E35:INDEX(Trigo!$E35:$Z35,MIN(AE$6-$E$3,22))&lt;&gt;""),Trigo!$E35:INDEX(Trigo!$E35:$Z35,MIN(AE$6-$E$3,22))),0))-IF($G$2,0,IF((AE$6-$G$3)&lt;1,0,IFERROR(LOOKUP(2,1/(Trigo!$E35:INDEX(Trigo!$E35:$Z35,MIN(AE$6-$G$3,22))&lt;&gt;""),Trigo!$E35:INDEX(Trigo!$E35:$Z35,MIN(AE$6-$G$3,22))),0)))))</f>
        <v>0</v>
      </c>
      <c r="AF37" s="27" t="n">
        <f aca="false">IF(COUNT(Trigo!$E35:$Z35)=0,0,MAX(0,IF((AF$6-$E$3)&lt;1,0,IFERROR(LOOKUP(2,1/(Trigo!$E35:INDEX(Trigo!$E35:$Z35,MIN(AF$6-$E$3,22))&lt;&gt;""),Trigo!$E35:INDEX(Trigo!$E35:$Z35,MIN(AF$6-$E$3,22))),0))-IF($G$2,0,IF((AF$6-$G$3)&lt;1,0,IFERROR(LOOKUP(2,1/(Trigo!$E35:INDEX(Trigo!$E35:$Z35,MIN(AF$6-$G$3,22))&lt;&gt;""),Trigo!$E35:INDEX(Trigo!$E35:$Z35,MIN(AF$6-$G$3,22))),0)))))</f>
        <v>0</v>
      </c>
      <c r="AG37" s="27" t="n">
        <f aca="false">IF(COUNT(Trigo!$E35:$Z35)=0,0,MAX(0,IF((AG$6-$E$3)&lt;1,0,IFERROR(LOOKUP(2,1/(Trigo!$E35:INDEX(Trigo!$E35:$Z35,MIN(AG$6-$E$3,22))&lt;&gt;""),Trigo!$E35:INDEX(Trigo!$E35:$Z35,MIN(AG$6-$E$3,22))),0))-IF($G$2,0,IF((AG$6-$G$3)&lt;1,0,IFERROR(LOOKUP(2,1/(Trigo!$E35:INDEX(Trigo!$E35:$Z35,MIN(AG$6-$G$3,22))&lt;&gt;""),Trigo!$E35:INDEX(Trigo!$E35:$Z35,MIN(AG$6-$G$3,22))),0)))))</f>
        <v>0</v>
      </c>
      <c r="AH37" s="27" t="n">
        <f aca="false">IF(COUNT(Trigo!$E35:$Z35)=0,0,MAX(0,IF((AH$6-$E$3)&lt;1,0,IFERROR(LOOKUP(2,1/(Trigo!$E35:INDEX(Trigo!$E35:$Z35,MIN(AH$6-$E$3,22))&lt;&gt;""),Trigo!$E35:INDEX(Trigo!$E35:$Z35,MIN(AH$6-$E$3,22))),0))-IF($G$2,0,IF((AH$6-$G$3)&lt;1,0,IFERROR(LOOKUP(2,1/(Trigo!$E35:INDEX(Trigo!$E35:$Z35,MIN(AH$6-$G$3,22))&lt;&gt;""),Trigo!$E35:INDEX(Trigo!$E35:$Z35,MIN(AH$6-$G$3,22))),0)))))</f>
        <v>0</v>
      </c>
      <c r="AI37" s="27" t="n">
        <f aca="false">IF(COUNT(Trigo!$E35:$Z35)=0,0,MAX(0,IF((AI$6-$E$3)&lt;1,0,IFERROR(LOOKUP(2,1/(Trigo!$E35:INDEX(Trigo!$E35:$Z35,MIN(AI$6-$E$3,22))&lt;&gt;""),Trigo!$E35:INDEX(Trigo!$E35:$Z35,MIN(AI$6-$E$3,22))),0))-IF($G$2,0,IF((AI$6-$G$3)&lt;1,0,IFERROR(LOOKUP(2,1/(Trigo!$E35:INDEX(Trigo!$E35:$Z35,MIN(AI$6-$G$3,22))&lt;&gt;""),Trigo!$E35:INDEX(Trigo!$E35:$Z35,MIN(AI$6-$G$3,22))),0)))))</f>
        <v>0</v>
      </c>
      <c r="AJ37" s="27" t="n">
        <f aca="false">IF(COUNT(Trigo!$E35:$Z35)=0,0,MAX(0,IF((AJ$6-$E$3)&lt;1,0,IFERROR(LOOKUP(2,1/(Trigo!$E35:INDEX(Trigo!$E35:$Z35,MIN(AJ$6-$E$3,22))&lt;&gt;""),Trigo!$E35:INDEX(Trigo!$E35:$Z35,MIN(AJ$6-$E$3,22))),0))-IF($G$2,0,IF((AJ$6-$G$3)&lt;1,0,IFERROR(LOOKUP(2,1/(Trigo!$E35:INDEX(Trigo!$E35:$Z35,MIN(AJ$6-$G$3,22))&lt;&gt;""),Trigo!$E35:INDEX(Trigo!$E35:$Z35,MIN(AJ$6-$G$3,22))),0)))))</f>
        <v>0</v>
      </c>
      <c r="AK37" s="27" t="n">
        <f aca="false">IF(COUNT(Trigo!$E35:$Z35)=0,0,MAX(0,IF((AK$6-$E$3)&lt;1,0,IFERROR(LOOKUP(2,1/(Trigo!$E35:INDEX(Trigo!$E35:$Z35,MIN(AK$6-$E$3,22))&lt;&gt;""),Trigo!$E35:INDEX(Trigo!$E35:$Z35,MIN(AK$6-$E$3,22))),0))-IF($G$2,0,IF((AK$6-$G$3)&lt;1,0,IFERROR(LOOKUP(2,1/(Trigo!$E35:INDEX(Trigo!$E35:$Z35,MIN(AK$6-$G$3,22))&lt;&gt;""),Trigo!$E35:INDEX(Trigo!$E35:$Z35,MIN(AK$6-$G$3,22))),0)))))</f>
        <v>0</v>
      </c>
      <c r="AL37" s="27" t="n">
        <f aca="false">IF(COUNT(Trigo!$E35:$Z35)=0,0,MAX(0,IF((AL$6-$E$3)&lt;1,0,IFERROR(LOOKUP(2,1/(Trigo!$E35:INDEX(Trigo!$E35:$Z35,MIN(AL$6-$E$3,22))&lt;&gt;""),Trigo!$E35:INDEX(Trigo!$E35:$Z35,MIN(AL$6-$E$3,22))),0))-IF($G$2,0,IF((AL$6-$G$3)&lt;1,0,IFERROR(LOOKUP(2,1/(Trigo!$E35:INDEX(Trigo!$E35:$Z35,MIN(AL$6-$G$3,22))&lt;&gt;""),Trigo!$E35:INDEX(Trigo!$E35:$Z35,MIN(AL$6-$G$3,22))),0)))))</f>
        <v>0</v>
      </c>
      <c r="AM37" s="27" t="n">
        <f aca="false">IF(COUNT(Trigo!$E35:$Z35)=0,0,MAX(0,IF((AM$6-$E$3)&lt;1,0,IFERROR(LOOKUP(2,1/(Trigo!$E35:INDEX(Trigo!$E35:$Z35,MIN(AM$6-$E$3,22))&lt;&gt;""),Trigo!$E35:INDEX(Trigo!$E35:$Z35,MIN(AM$6-$E$3,22))),0))-IF($G$2,0,IF((AM$6-$G$3)&lt;1,0,IFERROR(LOOKUP(2,1/(Trigo!$E35:INDEX(Trigo!$E35:$Z35,MIN(AM$6-$G$3,22))&lt;&gt;""),Trigo!$E35:INDEX(Trigo!$E35:$Z35,MIN(AM$6-$G$3,22))),0)))))</f>
        <v>0</v>
      </c>
      <c r="AN37" s="27" t="n">
        <f aca="false">IF(COUNT(Trigo!$E35:$Z35)=0,0,MAX(0,IF((AN$6-$E$3)&lt;1,0,IFERROR(LOOKUP(2,1/(Trigo!$E35:INDEX(Trigo!$E35:$Z35,MIN(AN$6-$E$3,22))&lt;&gt;""),Trigo!$E35:INDEX(Trigo!$E35:$Z35,MIN(AN$6-$E$3,22))),0))-IF($G$2,0,IF((AN$6-$G$3)&lt;1,0,IFERROR(LOOKUP(2,1/(Trigo!$E35:INDEX(Trigo!$E35:$Z35,MIN(AN$6-$G$3,22))&lt;&gt;""),Trigo!$E35:INDEX(Trigo!$E35:$Z35,MIN(AN$6-$G$3,22))),0)))))</f>
        <v>0</v>
      </c>
      <c r="AO37" s="27" t="n">
        <f aca="false">IF(COUNT(Trigo!$E35:$Z35)=0,0,MAX(0,IF((AO$6-$E$3)&lt;1,0,IFERROR(LOOKUP(2,1/(Trigo!$E35:INDEX(Trigo!$E35:$Z35,MIN(AO$6-$E$3,22))&lt;&gt;""),Trigo!$E35:INDEX(Trigo!$E35:$Z35,MIN(AO$6-$E$3,22))),0))-IF($G$2,0,IF((AO$6-$G$3)&lt;1,0,IFERROR(LOOKUP(2,1/(Trigo!$E35:INDEX(Trigo!$E35:$Z35,MIN(AO$6-$G$3,22))&lt;&gt;""),Trigo!$E35:INDEX(Trigo!$E35:$Z35,MIN(AO$6-$G$3,22))),0)))))</f>
        <v>0</v>
      </c>
      <c r="AP37" s="27" t="n">
        <f aca="false">IF(COUNT(Trigo!$E35:$Z35)=0,0,MAX(0,IF((AP$6-$E$3)&lt;1,0,IFERROR(LOOKUP(2,1/(Trigo!$E35:INDEX(Trigo!$E35:$Z35,MIN(AP$6-$E$3,22))&lt;&gt;""),Trigo!$E35:INDEX(Trigo!$E35:$Z35,MIN(AP$6-$E$3,22))),0))-IF($G$2,0,IF((AP$6-$G$3)&lt;1,0,IFERROR(LOOKUP(2,1/(Trigo!$E35:INDEX(Trigo!$E35:$Z35,MIN(AP$6-$G$3,22))&lt;&gt;""),Trigo!$E35:INDEX(Trigo!$E35:$Z35,MIN(AP$6-$G$3,22))),0)))))</f>
        <v>0</v>
      </c>
      <c r="AQ37" s="27" t="n">
        <f aca="false">IF(COUNT(Trigo!$E35:$Z35)=0,0,MAX(0,IF((AQ$6-$E$3)&lt;1,0,IFERROR(LOOKUP(2,1/(Trigo!$E35:INDEX(Trigo!$E35:$Z35,MIN(AQ$6-$E$3,22))&lt;&gt;""),Trigo!$E35:INDEX(Trigo!$E35:$Z35,MIN(AQ$6-$E$3,22))),0))-IF($G$2,0,IF((AQ$6-$G$3)&lt;1,0,IFERROR(LOOKUP(2,1/(Trigo!$E35:INDEX(Trigo!$E35:$Z35,MIN(AQ$6-$G$3,22))&lt;&gt;""),Trigo!$E35:INDEX(Trigo!$E35:$Z35,MIN(AQ$6-$G$3,22))),0)))))</f>
        <v>0</v>
      </c>
      <c r="AR37" s="27" t="n">
        <f aca="false">IF(COUNT(Trigo!$E35:$Z35)=0,0,MAX(0,IF((AR$6-$E$3)&lt;1,0,IFERROR(LOOKUP(2,1/(Trigo!$E35:INDEX(Trigo!$E35:$Z35,MIN(AR$6-$E$3,22))&lt;&gt;""),Trigo!$E35:INDEX(Trigo!$E35:$Z35,MIN(AR$6-$E$3,22))),0))-IF($G$2,0,IF((AR$6-$G$3)&lt;1,0,IFERROR(LOOKUP(2,1/(Trigo!$E35:INDEX(Trigo!$E35:$Z35,MIN(AR$6-$G$3,22))&lt;&gt;""),Trigo!$E35:INDEX(Trigo!$E35:$Z35,MIN(AR$6-$G$3,22))),0)))))</f>
        <v>0</v>
      </c>
      <c r="AS37" s="27" t="n">
        <f aca="false">IF(COUNT(Trigo!$E35:$Z35)=0,0,MAX(0,IF((AS$6-$E$3)&lt;1,0,IFERROR(LOOKUP(2,1/(Trigo!$E35:INDEX(Trigo!$E35:$Z35,MIN(AS$6-$E$3,22))&lt;&gt;""),Trigo!$E35:INDEX(Trigo!$E35:$Z35,MIN(AS$6-$E$3,22))),0))-IF($G$2,0,IF((AS$6-$G$3)&lt;1,0,IFERROR(LOOKUP(2,1/(Trigo!$E35:INDEX(Trigo!$E35:$Z35,MIN(AS$6-$G$3,22))&lt;&gt;""),Trigo!$E35:INDEX(Trigo!$E35:$Z35,MIN(AS$6-$G$3,22))),0)))))</f>
        <v>0</v>
      </c>
      <c r="AT37" s="27" t="n">
        <f aca="false">IF(COUNT(Trigo!$E35:$Z35)=0,0,MAX(0,IF((AT$6-$E$3)&lt;1,0,IFERROR(LOOKUP(2,1/(Trigo!$E35:INDEX(Trigo!$E35:$Z35,MIN(AT$6-$E$3,22))&lt;&gt;""),Trigo!$E35:INDEX(Trigo!$E35:$Z35,MIN(AT$6-$E$3,22))),0))-IF($G$2,0,IF((AT$6-$G$3)&lt;1,0,IFERROR(LOOKUP(2,1/(Trigo!$E35:INDEX(Trigo!$E35:$Z35,MIN(AT$6-$G$3,22))&lt;&gt;""),Trigo!$E35:INDEX(Trigo!$E35:$Z35,MIN(AT$6-$G$3,22))),0)))))</f>
        <v>0</v>
      </c>
      <c r="AU37" s="27" t="n">
        <f aca="false">IF(COUNT(Trigo!$E35:$Z35)=0,0,MAX(0,IF((AU$6-$E$3)&lt;1,0,IFERROR(LOOKUP(2,1/(Trigo!$E35:INDEX(Trigo!$E35:$Z35,MIN(AU$6-$E$3,22))&lt;&gt;""),Trigo!$E35:INDEX(Trigo!$E35:$Z35,MIN(AU$6-$E$3,22))),0))-IF($G$2,0,IF((AU$6-$G$3)&lt;1,0,IFERROR(LOOKUP(2,1/(Trigo!$E35:INDEX(Trigo!$E35:$Z35,MIN(AU$6-$G$3,22))&lt;&gt;""),Trigo!$E35:INDEX(Trigo!$E35:$Z35,MIN(AU$6-$G$3,22))),0)))))</f>
        <v>0</v>
      </c>
      <c r="AV37" s="27" t="n">
        <f aca="false">IF(COUNT(Trigo!$E35:$Z35)=0,0,MAX(0,IF((AV$6-$E$3)&lt;1,0,IFERROR(LOOKUP(2,1/(Trigo!$E35:INDEX(Trigo!$E35:$Z35,MIN(AV$6-$E$3,22))&lt;&gt;""),Trigo!$E35:INDEX(Trigo!$E35:$Z35,MIN(AV$6-$E$3,22))),0))-IF($G$2,0,IF((AV$6-$G$3)&lt;1,0,IFERROR(LOOKUP(2,1/(Trigo!$E35:INDEX(Trigo!$E35:$Z35,MIN(AV$6-$G$3,22))&lt;&gt;""),Trigo!$E35:INDEX(Trigo!$E35:$Z35,MIN(AV$6-$G$3,22))),0)))))</f>
        <v>0</v>
      </c>
      <c r="AW37" s="27" t="n">
        <f aca="false">IF(COUNT(Trigo!$E35:$Z35)=0,0,MAX(0,IF((AW$6-$E$3)&lt;1,0,IFERROR(LOOKUP(2,1/(Trigo!$E35:INDEX(Trigo!$E35:$Z35,MIN(AW$6-$E$3,22))&lt;&gt;""),Trigo!$E35:INDEX(Trigo!$E35:$Z35,MIN(AW$6-$E$3,22))),0))-IF($G$2,0,IF((AW$6-$G$3)&lt;1,0,IFERROR(LOOKUP(2,1/(Trigo!$E35:INDEX(Trigo!$E35:$Z35,MIN(AW$6-$G$3,22))&lt;&gt;""),Trigo!$E35:INDEX(Trigo!$E35:$Z35,MIN(AW$6-$G$3,22))),0)))))</f>
        <v>0</v>
      </c>
      <c r="AX37" s="27" t="n">
        <f aca="false">IF(COUNT(Trigo!$E35:$Z35)=0,0,MAX(0,IF((AX$6-$E$3)&lt;1,0,IFERROR(LOOKUP(2,1/(Trigo!$E35:INDEX(Trigo!$E35:$Z35,MIN(AX$6-$E$3,22))&lt;&gt;""),Trigo!$E35:INDEX(Trigo!$E35:$Z35,MIN(AX$6-$E$3,22))),0))-IF($G$2,0,IF((AX$6-$G$3)&lt;1,0,IFERROR(LOOKUP(2,1/(Trigo!$E35:INDEX(Trigo!$E35:$Z35,MIN(AX$6-$G$3,22))&lt;&gt;""),Trigo!$E35:INDEX(Trigo!$E35:$Z35,MIN(AX$6-$G$3,22))),0)))))</f>
        <v>0</v>
      </c>
      <c r="AY37" s="27" t="n">
        <f aca="false">IF(COUNT(Trigo!$E35:$Z35)=0,0,MAX(0,IF((AY$6-$E$3)&lt;1,0,IFERROR(LOOKUP(2,1/(Trigo!$E35:INDEX(Trigo!$E35:$Z35,MIN(AY$6-$E$3,22))&lt;&gt;""),Trigo!$E35:INDEX(Trigo!$E35:$Z35,MIN(AY$6-$E$3,22))),0))-IF($G$2,0,IF((AY$6-$G$3)&lt;1,0,IFERROR(LOOKUP(2,1/(Trigo!$E35:INDEX(Trigo!$E35:$Z35,MIN(AY$6-$G$3,22))&lt;&gt;""),Trigo!$E35:INDEX(Trigo!$E35:$Z35,MIN(AY$6-$G$3,22))),0)))))</f>
        <v>0</v>
      </c>
      <c r="AZ37" s="27" t="n">
        <f aca="false">IF(COUNT(Trigo!$E35:$Z35)=0,0,MAX(0,IF((AZ$6-$E$3)&lt;1,0,IFERROR(LOOKUP(2,1/(Trigo!$E35:INDEX(Trigo!$E35:$Z35,MIN(AZ$6-$E$3,22))&lt;&gt;""),Trigo!$E35:INDEX(Trigo!$E35:$Z35,MIN(AZ$6-$E$3,22))),0))-IF($G$2,0,IF((AZ$6-$G$3)&lt;1,0,IFERROR(LOOKUP(2,1/(Trigo!$E35:INDEX(Trigo!$E35:$Z35,MIN(AZ$6-$G$3,22))&lt;&gt;""),Trigo!$E35:INDEX(Trigo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IF(COUNT(Trigo!$E36:$Z36)&gt;0,N(Trigo!$D36),0)</f>
        <v>0</v>
      </c>
      <c r="E38" s="27" t="n">
        <f aca="false">IF(COUNT(Trigo!$E36:$Z36)=0,0,MAX(0,IF((E$6-$E$3)&lt;1,0,IFERROR(LOOKUP(2,1/(Trigo!$E36:INDEX(Trigo!$E36:$Z36,MIN(E$6-$E$3,22))&lt;&gt;""),Trigo!$E36:INDEX(Trigo!$E36:$Z36,MIN(E$6-$E$3,22))),0))-IF($G$2,0,IF((E$6-$G$3)&lt;1,0,IFERROR(LOOKUP(2,1/(Trigo!$E36:INDEX(Trigo!$E36:$Z36,MIN(E$6-$G$3,22))&lt;&gt;""),Trigo!$E36:INDEX(Trigo!$E36:$Z36,MIN(E$6-$G$3,22))),0)))))</f>
        <v>0</v>
      </c>
      <c r="F38" s="27" t="n">
        <f aca="false">IF(COUNT(Trigo!$E36:$Z36)=0,0,MAX(0,IF((F$6-$E$3)&lt;1,0,IFERROR(LOOKUP(2,1/(Trigo!$E36:INDEX(Trigo!$E36:$Z36,MIN(F$6-$E$3,22))&lt;&gt;""),Trigo!$E36:INDEX(Trigo!$E36:$Z36,MIN(F$6-$E$3,22))),0))-IF($G$2,0,IF((F$6-$G$3)&lt;1,0,IFERROR(LOOKUP(2,1/(Trigo!$E36:INDEX(Trigo!$E36:$Z36,MIN(F$6-$G$3,22))&lt;&gt;""),Trigo!$E36:INDEX(Trigo!$E36:$Z36,MIN(F$6-$G$3,22))),0)))))</f>
        <v>0</v>
      </c>
      <c r="G38" s="27" t="n">
        <f aca="false">IF(COUNT(Trigo!$E36:$Z36)=0,0,MAX(0,IF((G$6-$E$3)&lt;1,0,IFERROR(LOOKUP(2,1/(Trigo!$E36:INDEX(Trigo!$E36:$Z36,MIN(G$6-$E$3,22))&lt;&gt;""),Trigo!$E36:INDEX(Trigo!$E36:$Z36,MIN(G$6-$E$3,22))),0))-IF($G$2,0,IF((G$6-$G$3)&lt;1,0,IFERROR(LOOKUP(2,1/(Trigo!$E36:INDEX(Trigo!$E36:$Z36,MIN(G$6-$G$3,22))&lt;&gt;""),Trigo!$E36:INDEX(Trigo!$E36:$Z36,MIN(G$6-$G$3,22))),0)))))</f>
        <v>0</v>
      </c>
      <c r="H38" s="27" t="n">
        <f aca="false">IF(COUNT(Trigo!$E36:$Z36)=0,0,MAX(0,IF((H$6-$E$3)&lt;1,0,IFERROR(LOOKUP(2,1/(Trigo!$E36:INDEX(Trigo!$E36:$Z36,MIN(H$6-$E$3,22))&lt;&gt;""),Trigo!$E36:INDEX(Trigo!$E36:$Z36,MIN(H$6-$E$3,22))),0))-IF($G$2,0,IF((H$6-$G$3)&lt;1,0,IFERROR(LOOKUP(2,1/(Trigo!$E36:INDEX(Trigo!$E36:$Z36,MIN(H$6-$G$3,22))&lt;&gt;""),Trigo!$E36:INDEX(Trigo!$E36:$Z36,MIN(H$6-$G$3,22))),0)))))</f>
        <v>0</v>
      </c>
      <c r="I38" s="27" t="n">
        <f aca="false">IF(COUNT(Trigo!$E36:$Z36)=0,0,MAX(0,IF((I$6-$E$3)&lt;1,0,IFERROR(LOOKUP(2,1/(Trigo!$E36:INDEX(Trigo!$E36:$Z36,MIN(I$6-$E$3,22))&lt;&gt;""),Trigo!$E36:INDEX(Trigo!$E36:$Z36,MIN(I$6-$E$3,22))),0))-IF($G$2,0,IF((I$6-$G$3)&lt;1,0,IFERROR(LOOKUP(2,1/(Trigo!$E36:INDEX(Trigo!$E36:$Z36,MIN(I$6-$G$3,22))&lt;&gt;""),Trigo!$E36:INDEX(Trigo!$E36:$Z36,MIN(I$6-$G$3,22))),0)))))</f>
        <v>0</v>
      </c>
      <c r="J38" s="27" t="n">
        <f aca="false">IF(COUNT(Trigo!$E36:$Z36)=0,0,MAX(0,IF((J$6-$E$3)&lt;1,0,IFERROR(LOOKUP(2,1/(Trigo!$E36:INDEX(Trigo!$E36:$Z36,MIN(J$6-$E$3,22))&lt;&gt;""),Trigo!$E36:INDEX(Trigo!$E36:$Z36,MIN(J$6-$E$3,22))),0))-IF($G$2,0,IF((J$6-$G$3)&lt;1,0,IFERROR(LOOKUP(2,1/(Trigo!$E36:INDEX(Trigo!$E36:$Z36,MIN(J$6-$G$3,22))&lt;&gt;""),Trigo!$E36:INDEX(Trigo!$E36:$Z36,MIN(J$6-$G$3,22))),0)))))</f>
        <v>0</v>
      </c>
      <c r="K38" s="27" t="n">
        <f aca="false">IF(COUNT(Trigo!$E36:$Z36)=0,0,MAX(0,IF((K$6-$E$3)&lt;1,0,IFERROR(LOOKUP(2,1/(Trigo!$E36:INDEX(Trigo!$E36:$Z36,MIN(K$6-$E$3,22))&lt;&gt;""),Trigo!$E36:INDEX(Trigo!$E36:$Z36,MIN(K$6-$E$3,22))),0))-IF($G$2,0,IF((K$6-$G$3)&lt;1,0,IFERROR(LOOKUP(2,1/(Trigo!$E36:INDEX(Trigo!$E36:$Z36,MIN(K$6-$G$3,22))&lt;&gt;""),Trigo!$E36:INDEX(Trigo!$E36:$Z36,MIN(K$6-$G$3,22))),0)))))</f>
        <v>0</v>
      </c>
      <c r="L38" s="27" t="n">
        <f aca="false">IF(COUNT(Trigo!$E36:$Z36)=0,0,MAX(0,IF((L$6-$E$3)&lt;1,0,IFERROR(LOOKUP(2,1/(Trigo!$E36:INDEX(Trigo!$E36:$Z36,MIN(L$6-$E$3,22))&lt;&gt;""),Trigo!$E36:INDEX(Trigo!$E36:$Z36,MIN(L$6-$E$3,22))),0))-IF($G$2,0,IF((L$6-$G$3)&lt;1,0,IFERROR(LOOKUP(2,1/(Trigo!$E36:INDEX(Trigo!$E36:$Z36,MIN(L$6-$G$3,22))&lt;&gt;""),Trigo!$E36:INDEX(Trigo!$E36:$Z36,MIN(L$6-$G$3,22))),0)))))</f>
        <v>0</v>
      </c>
      <c r="M38" s="27" t="n">
        <f aca="false">IF(COUNT(Trigo!$E36:$Z36)=0,0,MAX(0,IF((M$6-$E$3)&lt;1,0,IFERROR(LOOKUP(2,1/(Trigo!$E36:INDEX(Trigo!$E36:$Z36,MIN(M$6-$E$3,22))&lt;&gt;""),Trigo!$E36:INDEX(Trigo!$E36:$Z36,MIN(M$6-$E$3,22))),0))-IF($G$2,0,IF((M$6-$G$3)&lt;1,0,IFERROR(LOOKUP(2,1/(Trigo!$E36:INDEX(Trigo!$E36:$Z36,MIN(M$6-$G$3,22))&lt;&gt;""),Trigo!$E36:INDEX(Trigo!$E36:$Z36,MIN(M$6-$G$3,22))),0)))))</f>
        <v>0</v>
      </c>
      <c r="N38" s="27" t="n">
        <f aca="false">IF(COUNT(Trigo!$E36:$Z36)=0,0,MAX(0,IF((N$6-$E$3)&lt;1,0,IFERROR(LOOKUP(2,1/(Trigo!$E36:INDEX(Trigo!$E36:$Z36,MIN(N$6-$E$3,22))&lt;&gt;""),Trigo!$E36:INDEX(Trigo!$E36:$Z36,MIN(N$6-$E$3,22))),0))-IF($G$2,0,IF((N$6-$G$3)&lt;1,0,IFERROR(LOOKUP(2,1/(Trigo!$E36:INDEX(Trigo!$E36:$Z36,MIN(N$6-$G$3,22))&lt;&gt;""),Trigo!$E36:INDEX(Trigo!$E36:$Z36,MIN(N$6-$G$3,22))),0)))))</f>
        <v>0</v>
      </c>
      <c r="O38" s="27" t="n">
        <f aca="false">IF(COUNT(Trigo!$E36:$Z36)=0,0,MAX(0,IF((O$6-$E$3)&lt;1,0,IFERROR(LOOKUP(2,1/(Trigo!$E36:INDEX(Trigo!$E36:$Z36,MIN(O$6-$E$3,22))&lt;&gt;""),Trigo!$E36:INDEX(Trigo!$E36:$Z36,MIN(O$6-$E$3,22))),0))-IF($G$2,0,IF((O$6-$G$3)&lt;1,0,IFERROR(LOOKUP(2,1/(Trigo!$E36:INDEX(Trigo!$E36:$Z36,MIN(O$6-$G$3,22))&lt;&gt;""),Trigo!$E36:INDEX(Trigo!$E36:$Z36,MIN(O$6-$G$3,22))),0)))))</f>
        <v>0</v>
      </c>
      <c r="P38" s="27" t="n">
        <f aca="false">IF(COUNT(Trigo!$E36:$Z36)=0,0,MAX(0,IF((P$6-$E$3)&lt;1,0,IFERROR(LOOKUP(2,1/(Trigo!$E36:INDEX(Trigo!$E36:$Z36,MIN(P$6-$E$3,22))&lt;&gt;""),Trigo!$E36:INDEX(Trigo!$E36:$Z36,MIN(P$6-$E$3,22))),0))-IF($G$2,0,IF((P$6-$G$3)&lt;1,0,IFERROR(LOOKUP(2,1/(Trigo!$E36:INDEX(Trigo!$E36:$Z36,MIN(P$6-$G$3,22))&lt;&gt;""),Trigo!$E36:INDEX(Trigo!$E36:$Z36,MIN(P$6-$G$3,22))),0)))))</f>
        <v>0</v>
      </c>
      <c r="Q38" s="27" t="n">
        <f aca="false">IF(COUNT(Trigo!$E36:$Z36)=0,0,MAX(0,IF((Q$6-$E$3)&lt;1,0,IFERROR(LOOKUP(2,1/(Trigo!$E36:INDEX(Trigo!$E36:$Z36,MIN(Q$6-$E$3,22))&lt;&gt;""),Trigo!$E36:INDEX(Trigo!$E36:$Z36,MIN(Q$6-$E$3,22))),0))-IF($G$2,0,IF((Q$6-$G$3)&lt;1,0,IFERROR(LOOKUP(2,1/(Trigo!$E36:INDEX(Trigo!$E36:$Z36,MIN(Q$6-$G$3,22))&lt;&gt;""),Trigo!$E36:INDEX(Trigo!$E36:$Z36,MIN(Q$6-$G$3,22))),0)))))</f>
        <v>0</v>
      </c>
      <c r="R38" s="27" t="n">
        <f aca="false">IF(COUNT(Trigo!$E36:$Z36)=0,0,MAX(0,IF((R$6-$E$3)&lt;1,0,IFERROR(LOOKUP(2,1/(Trigo!$E36:INDEX(Trigo!$E36:$Z36,MIN(R$6-$E$3,22))&lt;&gt;""),Trigo!$E36:INDEX(Trigo!$E36:$Z36,MIN(R$6-$E$3,22))),0))-IF($G$2,0,IF((R$6-$G$3)&lt;1,0,IFERROR(LOOKUP(2,1/(Trigo!$E36:INDEX(Trigo!$E36:$Z36,MIN(R$6-$G$3,22))&lt;&gt;""),Trigo!$E36:INDEX(Trigo!$E36:$Z36,MIN(R$6-$G$3,22))),0)))))</f>
        <v>0</v>
      </c>
      <c r="S38" s="27" t="n">
        <f aca="false">IF(COUNT(Trigo!$E36:$Z36)=0,0,MAX(0,IF((S$6-$E$3)&lt;1,0,IFERROR(LOOKUP(2,1/(Trigo!$E36:INDEX(Trigo!$E36:$Z36,MIN(S$6-$E$3,22))&lt;&gt;""),Trigo!$E36:INDEX(Trigo!$E36:$Z36,MIN(S$6-$E$3,22))),0))-IF($G$2,0,IF((S$6-$G$3)&lt;1,0,IFERROR(LOOKUP(2,1/(Trigo!$E36:INDEX(Trigo!$E36:$Z36,MIN(S$6-$G$3,22))&lt;&gt;""),Trigo!$E36:INDEX(Trigo!$E36:$Z36,MIN(S$6-$G$3,22))),0)))))</f>
        <v>0</v>
      </c>
      <c r="T38" s="27" t="n">
        <f aca="false">IF(COUNT(Trigo!$E36:$Z36)=0,0,MAX(0,IF((T$6-$E$3)&lt;1,0,IFERROR(LOOKUP(2,1/(Trigo!$E36:INDEX(Trigo!$E36:$Z36,MIN(T$6-$E$3,22))&lt;&gt;""),Trigo!$E36:INDEX(Trigo!$E36:$Z36,MIN(T$6-$E$3,22))),0))-IF($G$2,0,IF((T$6-$G$3)&lt;1,0,IFERROR(LOOKUP(2,1/(Trigo!$E36:INDEX(Trigo!$E36:$Z36,MIN(T$6-$G$3,22))&lt;&gt;""),Trigo!$E36:INDEX(Trigo!$E36:$Z36,MIN(T$6-$G$3,22))),0)))))</f>
        <v>0</v>
      </c>
      <c r="U38" s="27" t="n">
        <f aca="false">IF(COUNT(Trigo!$E36:$Z36)=0,0,MAX(0,IF((U$6-$E$3)&lt;1,0,IFERROR(LOOKUP(2,1/(Trigo!$E36:INDEX(Trigo!$E36:$Z36,MIN(U$6-$E$3,22))&lt;&gt;""),Trigo!$E36:INDEX(Trigo!$E36:$Z36,MIN(U$6-$E$3,22))),0))-IF($G$2,0,IF((U$6-$G$3)&lt;1,0,IFERROR(LOOKUP(2,1/(Trigo!$E36:INDEX(Trigo!$E36:$Z36,MIN(U$6-$G$3,22))&lt;&gt;""),Trigo!$E36:INDEX(Trigo!$E36:$Z36,MIN(U$6-$G$3,22))),0)))))</f>
        <v>0</v>
      </c>
      <c r="V38" s="27" t="n">
        <f aca="false">IF(COUNT(Trigo!$E36:$Z36)=0,0,MAX(0,IF((V$6-$E$3)&lt;1,0,IFERROR(LOOKUP(2,1/(Trigo!$E36:INDEX(Trigo!$E36:$Z36,MIN(V$6-$E$3,22))&lt;&gt;""),Trigo!$E36:INDEX(Trigo!$E36:$Z36,MIN(V$6-$E$3,22))),0))-IF($G$2,0,IF((V$6-$G$3)&lt;1,0,IFERROR(LOOKUP(2,1/(Trigo!$E36:INDEX(Trigo!$E36:$Z36,MIN(V$6-$G$3,22))&lt;&gt;""),Trigo!$E36:INDEX(Trigo!$E36:$Z36,MIN(V$6-$G$3,22))),0)))))</f>
        <v>0</v>
      </c>
      <c r="W38" s="27" t="n">
        <f aca="false">IF(COUNT(Trigo!$E36:$Z36)=0,0,MAX(0,IF((W$6-$E$3)&lt;1,0,IFERROR(LOOKUP(2,1/(Trigo!$E36:INDEX(Trigo!$E36:$Z36,MIN(W$6-$E$3,22))&lt;&gt;""),Trigo!$E36:INDEX(Trigo!$E36:$Z36,MIN(W$6-$E$3,22))),0))-IF($G$2,0,IF((W$6-$G$3)&lt;1,0,IFERROR(LOOKUP(2,1/(Trigo!$E36:INDEX(Trigo!$E36:$Z36,MIN(W$6-$G$3,22))&lt;&gt;""),Trigo!$E36:INDEX(Trigo!$E36:$Z36,MIN(W$6-$G$3,22))),0)))))</f>
        <v>0</v>
      </c>
      <c r="X38" s="27" t="n">
        <f aca="false">IF(COUNT(Trigo!$E36:$Z36)=0,0,MAX(0,IF((X$6-$E$3)&lt;1,0,IFERROR(LOOKUP(2,1/(Trigo!$E36:INDEX(Trigo!$E36:$Z36,MIN(X$6-$E$3,22))&lt;&gt;""),Trigo!$E36:INDEX(Trigo!$E36:$Z36,MIN(X$6-$E$3,22))),0))-IF($G$2,0,IF((X$6-$G$3)&lt;1,0,IFERROR(LOOKUP(2,1/(Trigo!$E36:INDEX(Trigo!$E36:$Z36,MIN(X$6-$G$3,22))&lt;&gt;""),Trigo!$E36:INDEX(Trigo!$E36:$Z36,MIN(X$6-$G$3,22))),0)))))</f>
        <v>0</v>
      </c>
      <c r="Y38" s="27" t="n">
        <f aca="false">IF(COUNT(Trigo!$E36:$Z36)=0,0,MAX(0,IF((Y$6-$E$3)&lt;1,0,IFERROR(LOOKUP(2,1/(Trigo!$E36:INDEX(Trigo!$E36:$Z36,MIN(Y$6-$E$3,22))&lt;&gt;""),Trigo!$E36:INDEX(Trigo!$E36:$Z36,MIN(Y$6-$E$3,22))),0))-IF($G$2,0,IF((Y$6-$G$3)&lt;1,0,IFERROR(LOOKUP(2,1/(Trigo!$E36:INDEX(Trigo!$E36:$Z36,MIN(Y$6-$G$3,22))&lt;&gt;""),Trigo!$E36:INDEX(Trigo!$E36:$Z36,MIN(Y$6-$G$3,22))),0)))))</f>
        <v>0</v>
      </c>
      <c r="Z38" s="27" t="n">
        <f aca="false">IF(COUNT(Trigo!$E36:$Z36)=0,0,MAX(0,IF((Z$6-$E$3)&lt;1,0,IFERROR(LOOKUP(2,1/(Trigo!$E36:INDEX(Trigo!$E36:$Z36,MIN(Z$6-$E$3,22))&lt;&gt;""),Trigo!$E36:INDEX(Trigo!$E36:$Z36,MIN(Z$6-$E$3,22))),0))-IF($G$2,0,IF((Z$6-$G$3)&lt;1,0,IFERROR(LOOKUP(2,1/(Trigo!$E36:INDEX(Trigo!$E36:$Z36,MIN(Z$6-$G$3,22))&lt;&gt;""),Trigo!$E36:INDEX(Trigo!$E36:$Z36,MIN(Z$6-$G$3,22))),0)))))</f>
        <v>0</v>
      </c>
      <c r="AA38" s="27" t="n">
        <f aca="false">IF(COUNT(Trigo!$E36:$Z36)=0,0,MAX(0,IF((AA$6-$E$3)&lt;1,0,IFERROR(LOOKUP(2,1/(Trigo!$E36:INDEX(Trigo!$E36:$Z36,MIN(AA$6-$E$3,22))&lt;&gt;""),Trigo!$E36:INDEX(Trigo!$E36:$Z36,MIN(AA$6-$E$3,22))),0))-IF($G$2,0,IF((AA$6-$G$3)&lt;1,0,IFERROR(LOOKUP(2,1/(Trigo!$E36:INDEX(Trigo!$E36:$Z36,MIN(AA$6-$G$3,22))&lt;&gt;""),Trigo!$E36:INDEX(Trigo!$E36:$Z36,MIN(AA$6-$G$3,22))),0)))))</f>
        <v>0</v>
      </c>
      <c r="AB38" s="27" t="n">
        <f aca="false">IF(COUNT(Trigo!$E36:$Z36)=0,0,MAX(0,IF((AB$6-$E$3)&lt;1,0,IFERROR(LOOKUP(2,1/(Trigo!$E36:INDEX(Trigo!$E36:$Z36,MIN(AB$6-$E$3,22))&lt;&gt;""),Trigo!$E36:INDEX(Trigo!$E36:$Z36,MIN(AB$6-$E$3,22))),0))-IF($G$2,0,IF((AB$6-$G$3)&lt;1,0,IFERROR(LOOKUP(2,1/(Trigo!$E36:INDEX(Trigo!$E36:$Z36,MIN(AB$6-$G$3,22))&lt;&gt;""),Trigo!$E36:INDEX(Trigo!$E36:$Z36,MIN(AB$6-$G$3,22))),0)))))</f>
        <v>0</v>
      </c>
      <c r="AC38" s="27" t="n">
        <f aca="false">IF(COUNT(Trigo!$E36:$Z36)=0,0,MAX(0,IF((AC$6-$E$3)&lt;1,0,IFERROR(LOOKUP(2,1/(Trigo!$E36:INDEX(Trigo!$E36:$Z36,MIN(AC$6-$E$3,22))&lt;&gt;""),Trigo!$E36:INDEX(Trigo!$E36:$Z36,MIN(AC$6-$E$3,22))),0))-IF($G$2,0,IF((AC$6-$G$3)&lt;1,0,IFERROR(LOOKUP(2,1/(Trigo!$E36:INDEX(Trigo!$E36:$Z36,MIN(AC$6-$G$3,22))&lt;&gt;""),Trigo!$E36:INDEX(Trigo!$E36:$Z36,MIN(AC$6-$G$3,22))),0)))))</f>
        <v>0</v>
      </c>
      <c r="AD38" s="27" t="n">
        <f aca="false">IF(COUNT(Trigo!$E36:$Z36)=0,0,MAX(0,IF((AD$6-$E$3)&lt;1,0,IFERROR(LOOKUP(2,1/(Trigo!$E36:INDEX(Trigo!$E36:$Z36,MIN(AD$6-$E$3,22))&lt;&gt;""),Trigo!$E36:INDEX(Trigo!$E36:$Z36,MIN(AD$6-$E$3,22))),0))-IF($G$2,0,IF((AD$6-$G$3)&lt;1,0,IFERROR(LOOKUP(2,1/(Trigo!$E36:INDEX(Trigo!$E36:$Z36,MIN(AD$6-$G$3,22))&lt;&gt;""),Trigo!$E36:INDEX(Trigo!$E36:$Z36,MIN(AD$6-$G$3,22))),0)))))</f>
        <v>0</v>
      </c>
      <c r="AE38" s="27" t="n">
        <f aca="false">IF(COUNT(Trigo!$E36:$Z36)=0,0,MAX(0,IF((AE$6-$E$3)&lt;1,0,IFERROR(LOOKUP(2,1/(Trigo!$E36:INDEX(Trigo!$E36:$Z36,MIN(AE$6-$E$3,22))&lt;&gt;""),Trigo!$E36:INDEX(Trigo!$E36:$Z36,MIN(AE$6-$E$3,22))),0))-IF($G$2,0,IF((AE$6-$G$3)&lt;1,0,IFERROR(LOOKUP(2,1/(Trigo!$E36:INDEX(Trigo!$E36:$Z36,MIN(AE$6-$G$3,22))&lt;&gt;""),Trigo!$E36:INDEX(Trigo!$E36:$Z36,MIN(AE$6-$G$3,22))),0)))))</f>
        <v>0</v>
      </c>
      <c r="AF38" s="27" t="n">
        <f aca="false">IF(COUNT(Trigo!$E36:$Z36)=0,0,MAX(0,IF((AF$6-$E$3)&lt;1,0,IFERROR(LOOKUP(2,1/(Trigo!$E36:INDEX(Trigo!$E36:$Z36,MIN(AF$6-$E$3,22))&lt;&gt;""),Trigo!$E36:INDEX(Trigo!$E36:$Z36,MIN(AF$6-$E$3,22))),0))-IF($G$2,0,IF((AF$6-$G$3)&lt;1,0,IFERROR(LOOKUP(2,1/(Trigo!$E36:INDEX(Trigo!$E36:$Z36,MIN(AF$6-$G$3,22))&lt;&gt;""),Trigo!$E36:INDEX(Trigo!$E36:$Z36,MIN(AF$6-$G$3,22))),0)))))</f>
        <v>0</v>
      </c>
      <c r="AG38" s="27" t="n">
        <f aca="false">IF(COUNT(Trigo!$E36:$Z36)=0,0,MAX(0,IF((AG$6-$E$3)&lt;1,0,IFERROR(LOOKUP(2,1/(Trigo!$E36:INDEX(Trigo!$E36:$Z36,MIN(AG$6-$E$3,22))&lt;&gt;""),Trigo!$E36:INDEX(Trigo!$E36:$Z36,MIN(AG$6-$E$3,22))),0))-IF($G$2,0,IF((AG$6-$G$3)&lt;1,0,IFERROR(LOOKUP(2,1/(Trigo!$E36:INDEX(Trigo!$E36:$Z36,MIN(AG$6-$G$3,22))&lt;&gt;""),Trigo!$E36:INDEX(Trigo!$E36:$Z36,MIN(AG$6-$G$3,22))),0)))))</f>
        <v>0</v>
      </c>
      <c r="AH38" s="27" t="n">
        <f aca="false">IF(COUNT(Trigo!$E36:$Z36)=0,0,MAX(0,IF((AH$6-$E$3)&lt;1,0,IFERROR(LOOKUP(2,1/(Trigo!$E36:INDEX(Trigo!$E36:$Z36,MIN(AH$6-$E$3,22))&lt;&gt;""),Trigo!$E36:INDEX(Trigo!$E36:$Z36,MIN(AH$6-$E$3,22))),0))-IF($G$2,0,IF((AH$6-$G$3)&lt;1,0,IFERROR(LOOKUP(2,1/(Trigo!$E36:INDEX(Trigo!$E36:$Z36,MIN(AH$6-$G$3,22))&lt;&gt;""),Trigo!$E36:INDEX(Trigo!$E36:$Z36,MIN(AH$6-$G$3,22))),0)))))</f>
        <v>0</v>
      </c>
      <c r="AI38" s="27" t="n">
        <f aca="false">IF(COUNT(Trigo!$E36:$Z36)=0,0,MAX(0,IF((AI$6-$E$3)&lt;1,0,IFERROR(LOOKUP(2,1/(Trigo!$E36:INDEX(Trigo!$E36:$Z36,MIN(AI$6-$E$3,22))&lt;&gt;""),Trigo!$E36:INDEX(Trigo!$E36:$Z36,MIN(AI$6-$E$3,22))),0))-IF($G$2,0,IF((AI$6-$G$3)&lt;1,0,IFERROR(LOOKUP(2,1/(Trigo!$E36:INDEX(Trigo!$E36:$Z36,MIN(AI$6-$G$3,22))&lt;&gt;""),Trigo!$E36:INDEX(Trigo!$E36:$Z36,MIN(AI$6-$G$3,22))),0)))))</f>
        <v>0</v>
      </c>
      <c r="AJ38" s="27" t="n">
        <f aca="false">IF(COUNT(Trigo!$E36:$Z36)=0,0,MAX(0,IF((AJ$6-$E$3)&lt;1,0,IFERROR(LOOKUP(2,1/(Trigo!$E36:INDEX(Trigo!$E36:$Z36,MIN(AJ$6-$E$3,22))&lt;&gt;""),Trigo!$E36:INDEX(Trigo!$E36:$Z36,MIN(AJ$6-$E$3,22))),0))-IF($G$2,0,IF((AJ$6-$G$3)&lt;1,0,IFERROR(LOOKUP(2,1/(Trigo!$E36:INDEX(Trigo!$E36:$Z36,MIN(AJ$6-$G$3,22))&lt;&gt;""),Trigo!$E36:INDEX(Trigo!$E36:$Z36,MIN(AJ$6-$G$3,22))),0)))))</f>
        <v>0</v>
      </c>
      <c r="AK38" s="27" t="n">
        <f aca="false">IF(COUNT(Trigo!$E36:$Z36)=0,0,MAX(0,IF((AK$6-$E$3)&lt;1,0,IFERROR(LOOKUP(2,1/(Trigo!$E36:INDEX(Trigo!$E36:$Z36,MIN(AK$6-$E$3,22))&lt;&gt;""),Trigo!$E36:INDEX(Trigo!$E36:$Z36,MIN(AK$6-$E$3,22))),0))-IF($G$2,0,IF((AK$6-$G$3)&lt;1,0,IFERROR(LOOKUP(2,1/(Trigo!$E36:INDEX(Trigo!$E36:$Z36,MIN(AK$6-$G$3,22))&lt;&gt;""),Trigo!$E36:INDEX(Trigo!$E36:$Z36,MIN(AK$6-$G$3,22))),0)))))</f>
        <v>0</v>
      </c>
      <c r="AL38" s="27" t="n">
        <f aca="false">IF(COUNT(Trigo!$E36:$Z36)=0,0,MAX(0,IF((AL$6-$E$3)&lt;1,0,IFERROR(LOOKUP(2,1/(Trigo!$E36:INDEX(Trigo!$E36:$Z36,MIN(AL$6-$E$3,22))&lt;&gt;""),Trigo!$E36:INDEX(Trigo!$E36:$Z36,MIN(AL$6-$E$3,22))),0))-IF($G$2,0,IF((AL$6-$G$3)&lt;1,0,IFERROR(LOOKUP(2,1/(Trigo!$E36:INDEX(Trigo!$E36:$Z36,MIN(AL$6-$G$3,22))&lt;&gt;""),Trigo!$E36:INDEX(Trigo!$E36:$Z36,MIN(AL$6-$G$3,22))),0)))))</f>
        <v>0</v>
      </c>
      <c r="AM38" s="27" t="n">
        <f aca="false">IF(COUNT(Trigo!$E36:$Z36)=0,0,MAX(0,IF((AM$6-$E$3)&lt;1,0,IFERROR(LOOKUP(2,1/(Trigo!$E36:INDEX(Trigo!$E36:$Z36,MIN(AM$6-$E$3,22))&lt;&gt;""),Trigo!$E36:INDEX(Trigo!$E36:$Z36,MIN(AM$6-$E$3,22))),0))-IF($G$2,0,IF((AM$6-$G$3)&lt;1,0,IFERROR(LOOKUP(2,1/(Trigo!$E36:INDEX(Trigo!$E36:$Z36,MIN(AM$6-$G$3,22))&lt;&gt;""),Trigo!$E36:INDEX(Trigo!$E36:$Z36,MIN(AM$6-$G$3,22))),0)))))</f>
        <v>0</v>
      </c>
      <c r="AN38" s="27" t="n">
        <f aca="false">IF(COUNT(Trigo!$E36:$Z36)=0,0,MAX(0,IF((AN$6-$E$3)&lt;1,0,IFERROR(LOOKUP(2,1/(Trigo!$E36:INDEX(Trigo!$E36:$Z36,MIN(AN$6-$E$3,22))&lt;&gt;""),Trigo!$E36:INDEX(Trigo!$E36:$Z36,MIN(AN$6-$E$3,22))),0))-IF($G$2,0,IF((AN$6-$G$3)&lt;1,0,IFERROR(LOOKUP(2,1/(Trigo!$E36:INDEX(Trigo!$E36:$Z36,MIN(AN$6-$G$3,22))&lt;&gt;""),Trigo!$E36:INDEX(Trigo!$E36:$Z36,MIN(AN$6-$G$3,22))),0)))))</f>
        <v>0</v>
      </c>
      <c r="AO38" s="27" t="n">
        <f aca="false">IF(COUNT(Trigo!$E36:$Z36)=0,0,MAX(0,IF((AO$6-$E$3)&lt;1,0,IFERROR(LOOKUP(2,1/(Trigo!$E36:INDEX(Trigo!$E36:$Z36,MIN(AO$6-$E$3,22))&lt;&gt;""),Trigo!$E36:INDEX(Trigo!$E36:$Z36,MIN(AO$6-$E$3,22))),0))-IF($G$2,0,IF((AO$6-$G$3)&lt;1,0,IFERROR(LOOKUP(2,1/(Trigo!$E36:INDEX(Trigo!$E36:$Z36,MIN(AO$6-$G$3,22))&lt;&gt;""),Trigo!$E36:INDEX(Trigo!$E36:$Z36,MIN(AO$6-$G$3,22))),0)))))</f>
        <v>0</v>
      </c>
      <c r="AP38" s="27" t="n">
        <f aca="false">IF(COUNT(Trigo!$E36:$Z36)=0,0,MAX(0,IF((AP$6-$E$3)&lt;1,0,IFERROR(LOOKUP(2,1/(Trigo!$E36:INDEX(Trigo!$E36:$Z36,MIN(AP$6-$E$3,22))&lt;&gt;""),Trigo!$E36:INDEX(Trigo!$E36:$Z36,MIN(AP$6-$E$3,22))),0))-IF($G$2,0,IF((AP$6-$G$3)&lt;1,0,IFERROR(LOOKUP(2,1/(Trigo!$E36:INDEX(Trigo!$E36:$Z36,MIN(AP$6-$G$3,22))&lt;&gt;""),Trigo!$E36:INDEX(Trigo!$E36:$Z36,MIN(AP$6-$G$3,22))),0)))))</f>
        <v>0</v>
      </c>
      <c r="AQ38" s="27" t="n">
        <f aca="false">IF(COUNT(Trigo!$E36:$Z36)=0,0,MAX(0,IF((AQ$6-$E$3)&lt;1,0,IFERROR(LOOKUP(2,1/(Trigo!$E36:INDEX(Trigo!$E36:$Z36,MIN(AQ$6-$E$3,22))&lt;&gt;""),Trigo!$E36:INDEX(Trigo!$E36:$Z36,MIN(AQ$6-$E$3,22))),0))-IF($G$2,0,IF((AQ$6-$G$3)&lt;1,0,IFERROR(LOOKUP(2,1/(Trigo!$E36:INDEX(Trigo!$E36:$Z36,MIN(AQ$6-$G$3,22))&lt;&gt;""),Trigo!$E36:INDEX(Trigo!$E36:$Z36,MIN(AQ$6-$G$3,22))),0)))))</f>
        <v>0</v>
      </c>
      <c r="AR38" s="27" t="n">
        <f aca="false">IF(COUNT(Trigo!$E36:$Z36)=0,0,MAX(0,IF((AR$6-$E$3)&lt;1,0,IFERROR(LOOKUP(2,1/(Trigo!$E36:INDEX(Trigo!$E36:$Z36,MIN(AR$6-$E$3,22))&lt;&gt;""),Trigo!$E36:INDEX(Trigo!$E36:$Z36,MIN(AR$6-$E$3,22))),0))-IF($G$2,0,IF((AR$6-$G$3)&lt;1,0,IFERROR(LOOKUP(2,1/(Trigo!$E36:INDEX(Trigo!$E36:$Z36,MIN(AR$6-$G$3,22))&lt;&gt;""),Trigo!$E36:INDEX(Trigo!$E36:$Z36,MIN(AR$6-$G$3,22))),0)))))</f>
        <v>0</v>
      </c>
      <c r="AS38" s="27" t="n">
        <f aca="false">IF(COUNT(Trigo!$E36:$Z36)=0,0,MAX(0,IF((AS$6-$E$3)&lt;1,0,IFERROR(LOOKUP(2,1/(Trigo!$E36:INDEX(Trigo!$E36:$Z36,MIN(AS$6-$E$3,22))&lt;&gt;""),Trigo!$E36:INDEX(Trigo!$E36:$Z36,MIN(AS$6-$E$3,22))),0))-IF($G$2,0,IF((AS$6-$G$3)&lt;1,0,IFERROR(LOOKUP(2,1/(Trigo!$E36:INDEX(Trigo!$E36:$Z36,MIN(AS$6-$G$3,22))&lt;&gt;""),Trigo!$E36:INDEX(Trigo!$E36:$Z36,MIN(AS$6-$G$3,22))),0)))))</f>
        <v>0</v>
      </c>
      <c r="AT38" s="27" t="n">
        <f aca="false">IF(COUNT(Trigo!$E36:$Z36)=0,0,MAX(0,IF((AT$6-$E$3)&lt;1,0,IFERROR(LOOKUP(2,1/(Trigo!$E36:INDEX(Trigo!$E36:$Z36,MIN(AT$6-$E$3,22))&lt;&gt;""),Trigo!$E36:INDEX(Trigo!$E36:$Z36,MIN(AT$6-$E$3,22))),0))-IF($G$2,0,IF((AT$6-$G$3)&lt;1,0,IFERROR(LOOKUP(2,1/(Trigo!$E36:INDEX(Trigo!$E36:$Z36,MIN(AT$6-$G$3,22))&lt;&gt;""),Trigo!$E36:INDEX(Trigo!$E36:$Z36,MIN(AT$6-$G$3,22))),0)))))</f>
        <v>0</v>
      </c>
      <c r="AU38" s="27" t="n">
        <f aca="false">IF(COUNT(Trigo!$E36:$Z36)=0,0,MAX(0,IF((AU$6-$E$3)&lt;1,0,IFERROR(LOOKUP(2,1/(Trigo!$E36:INDEX(Trigo!$E36:$Z36,MIN(AU$6-$E$3,22))&lt;&gt;""),Trigo!$E36:INDEX(Trigo!$E36:$Z36,MIN(AU$6-$E$3,22))),0))-IF($G$2,0,IF((AU$6-$G$3)&lt;1,0,IFERROR(LOOKUP(2,1/(Trigo!$E36:INDEX(Trigo!$E36:$Z36,MIN(AU$6-$G$3,22))&lt;&gt;""),Trigo!$E36:INDEX(Trigo!$E36:$Z36,MIN(AU$6-$G$3,22))),0)))))</f>
        <v>0</v>
      </c>
      <c r="AV38" s="27" t="n">
        <f aca="false">IF(COUNT(Trigo!$E36:$Z36)=0,0,MAX(0,IF((AV$6-$E$3)&lt;1,0,IFERROR(LOOKUP(2,1/(Trigo!$E36:INDEX(Trigo!$E36:$Z36,MIN(AV$6-$E$3,22))&lt;&gt;""),Trigo!$E36:INDEX(Trigo!$E36:$Z36,MIN(AV$6-$E$3,22))),0))-IF($G$2,0,IF((AV$6-$G$3)&lt;1,0,IFERROR(LOOKUP(2,1/(Trigo!$E36:INDEX(Trigo!$E36:$Z36,MIN(AV$6-$G$3,22))&lt;&gt;""),Trigo!$E36:INDEX(Trigo!$E36:$Z36,MIN(AV$6-$G$3,22))),0)))))</f>
        <v>0</v>
      </c>
      <c r="AW38" s="27" t="n">
        <f aca="false">IF(COUNT(Trigo!$E36:$Z36)=0,0,MAX(0,IF((AW$6-$E$3)&lt;1,0,IFERROR(LOOKUP(2,1/(Trigo!$E36:INDEX(Trigo!$E36:$Z36,MIN(AW$6-$E$3,22))&lt;&gt;""),Trigo!$E36:INDEX(Trigo!$E36:$Z36,MIN(AW$6-$E$3,22))),0))-IF($G$2,0,IF((AW$6-$G$3)&lt;1,0,IFERROR(LOOKUP(2,1/(Trigo!$E36:INDEX(Trigo!$E36:$Z36,MIN(AW$6-$G$3,22))&lt;&gt;""),Trigo!$E36:INDEX(Trigo!$E36:$Z36,MIN(AW$6-$G$3,22))),0)))))</f>
        <v>0</v>
      </c>
      <c r="AX38" s="27" t="n">
        <f aca="false">IF(COUNT(Trigo!$E36:$Z36)=0,0,MAX(0,IF((AX$6-$E$3)&lt;1,0,IFERROR(LOOKUP(2,1/(Trigo!$E36:INDEX(Trigo!$E36:$Z36,MIN(AX$6-$E$3,22))&lt;&gt;""),Trigo!$E36:INDEX(Trigo!$E36:$Z36,MIN(AX$6-$E$3,22))),0))-IF($G$2,0,IF((AX$6-$G$3)&lt;1,0,IFERROR(LOOKUP(2,1/(Trigo!$E36:INDEX(Trigo!$E36:$Z36,MIN(AX$6-$G$3,22))&lt;&gt;""),Trigo!$E36:INDEX(Trigo!$E36:$Z36,MIN(AX$6-$G$3,22))),0)))))</f>
        <v>0</v>
      </c>
      <c r="AY38" s="27" t="n">
        <f aca="false">IF(COUNT(Trigo!$E36:$Z36)=0,0,MAX(0,IF((AY$6-$E$3)&lt;1,0,IFERROR(LOOKUP(2,1/(Trigo!$E36:INDEX(Trigo!$E36:$Z36,MIN(AY$6-$E$3,22))&lt;&gt;""),Trigo!$E36:INDEX(Trigo!$E36:$Z36,MIN(AY$6-$E$3,22))),0))-IF($G$2,0,IF((AY$6-$G$3)&lt;1,0,IFERROR(LOOKUP(2,1/(Trigo!$E36:INDEX(Trigo!$E36:$Z36,MIN(AY$6-$G$3,22))&lt;&gt;""),Trigo!$E36:INDEX(Trigo!$E36:$Z36,MIN(AY$6-$G$3,22))),0)))))</f>
        <v>0</v>
      </c>
      <c r="AZ38" s="27" t="n">
        <f aca="false">IF(COUNT(Trigo!$E36:$Z36)=0,0,MAX(0,IF((AZ$6-$E$3)&lt;1,0,IFERROR(LOOKUP(2,1/(Trigo!$E36:INDEX(Trigo!$E36:$Z36,MIN(AZ$6-$E$3,22))&lt;&gt;""),Trigo!$E36:INDEX(Trigo!$E36:$Z36,MIN(AZ$6-$E$3,22))),0))-IF($G$2,0,IF((AZ$6-$G$3)&lt;1,0,IFERROR(LOOKUP(2,1/(Trigo!$E36:INDEX(Trigo!$E36:$Z36,MIN(AZ$6-$G$3,22))&lt;&gt;""),Trigo!$E36:INDEX(Trigo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IF(COUNT(Trigo!$E37:$Z37)&gt;0,N(Trigo!$D37),0)</f>
        <v>0</v>
      </c>
      <c r="E39" s="27" t="n">
        <f aca="false">IF(COUNT(Trigo!$E37:$Z37)=0,0,MAX(0,IF((E$6-$E$3)&lt;1,0,IFERROR(LOOKUP(2,1/(Trigo!$E37:INDEX(Trigo!$E37:$Z37,MIN(E$6-$E$3,22))&lt;&gt;""),Trigo!$E37:INDEX(Trigo!$E37:$Z37,MIN(E$6-$E$3,22))),0))-IF($G$2,0,IF((E$6-$G$3)&lt;1,0,IFERROR(LOOKUP(2,1/(Trigo!$E37:INDEX(Trigo!$E37:$Z37,MIN(E$6-$G$3,22))&lt;&gt;""),Trigo!$E37:INDEX(Trigo!$E37:$Z37,MIN(E$6-$G$3,22))),0)))))</f>
        <v>0</v>
      </c>
      <c r="F39" s="27" t="n">
        <f aca="false">IF(COUNT(Trigo!$E37:$Z37)=0,0,MAX(0,IF((F$6-$E$3)&lt;1,0,IFERROR(LOOKUP(2,1/(Trigo!$E37:INDEX(Trigo!$E37:$Z37,MIN(F$6-$E$3,22))&lt;&gt;""),Trigo!$E37:INDEX(Trigo!$E37:$Z37,MIN(F$6-$E$3,22))),0))-IF($G$2,0,IF((F$6-$G$3)&lt;1,0,IFERROR(LOOKUP(2,1/(Trigo!$E37:INDEX(Trigo!$E37:$Z37,MIN(F$6-$G$3,22))&lt;&gt;""),Trigo!$E37:INDEX(Trigo!$E37:$Z37,MIN(F$6-$G$3,22))),0)))))</f>
        <v>0</v>
      </c>
      <c r="G39" s="27" t="n">
        <f aca="false">IF(COUNT(Trigo!$E37:$Z37)=0,0,MAX(0,IF((G$6-$E$3)&lt;1,0,IFERROR(LOOKUP(2,1/(Trigo!$E37:INDEX(Trigo!$E37:$Z37,MIN(G$6-$E$3,22))&lt;&gt;""),Trigo!$E37:INDEX(Trigo!$E37:$Z37,MIN(G$6-$E$3,22))),0))-IF($G$2,0,IF((G$6-$G$3)&lt;1,0,IFERROR(LOOKUP(2,1/(Trigo!$E37:INDEX(Trigo!$E37:$Z37,MIN(G$6-$G$3,22))&lt;&gt;""),Trigo!$E37:INDEX(Trigo!$E37:$Z37,MIN(G$6-$G$3,22))),0)))))</f>
        <v>0</v>
      </c>
      <c r="H39" s="27" t="n">
        <f aca="false">IF(COUNT(Trigo!$E37:$Z37)=0,0,MAX(0,IF((H$6-$E$3)&lt;1,0,IFERROR(LOOKUP(2,1/(Trigo!$E37:INDEX(Trigo!$E37:$Z37,MIN(H$6-$E$3,22))&lt;&gt;""),Trigo!$E37:INDEX(Trigo!$E37:$Z37,MIN(H$6-$E$3,22))),0))-IF($G$2,0,IF((H$6-$G$3)&lt;1,0,IFERROR(LOOKUP(2,1/(Trigo!$E37:INDEX(Trigo!$E37:$Z37,MIN(H$6-$G$3,22))&lt;&gt;""),Trigo!$E37:INDEX(Trigo!$E37:$Z37,MIN(H$6-$G$3,22))),0)))))</f>
        <v>0</v>
      </c>
      <c r="I39" s="27" t="n">
        <f aca="false">IF(COUNT(Trigo!$E37:$Z37)=0,0,MAX(0,IF((I$6-$E$3)&lt;1,0,IFERROR(LOOKUP(2,1/(Trigo!$E37:INDEX(Trigo!$E37:$Z37,MIN(I$6-$E$3,22))&lt;&gt;""),Trigo!$E37:INDEX(Trigo!$E37:$Z37,MIN(I$6-$E$3,22))),0))-IF($G$2,0,IF((I$6-$G$3)&lt;1,0,IFERROR(LOOKUP(2,1/(Trigo!$E37:INDEX(Trigo!$E37:$Z37,MIN(I$6-$G$3,22))&lt;&gt;""),Trigo!$E37:INDEX(Trigo!$E37:$Z37,MIN(I$6-$G$3,22))),0)))))</f>
        <v>0</v>
      </c>
      <c r="J39" s="27" t="n">
        <f aca="false">IF(COUNT(Trigo!$E37:$Z37)=0,0,MAX(0,IF((J$6-$E$3)&lt;1,0,IFERROR(LOOKUP(2,1/(Trigo!$E37:INDEX(Trigo!$E37:$Z37,MIN(J$6-$E$3,22))&lt;&gt;""),Trigo!$E37:INDEX(Trigo!$E37:$Z37,MIN(J$6-$E$3,22))),0))-IF($G$2,0,IF((J$6-$G$3)&lt;1,0,IFERROR(LOOKUP(2,1/(Trigo!$E37:INDEX(Trigo!$E37:$Z37,MIN(J$6-$G$3,22))&lt;&gt;""),Trigo!$E37:INDEX(Trigo!$E37:$Z37,MIN(J$6-$G$3,22))),0)))))</f>
        <v>0</v>
      </c>
      <c r="K39" s="27" t="n">
        <f aca="false">IF(COUNT(Trigo!$E37:$Z37)=0,0,MAX(0,IF((K$6-$E$3)&lt;1,0,IFERROR(LOOKUP(2,1/(Trigo!$E37:INDEX(Trigo!$E37:$Z37,MIN(K$6-$E$3,22))&lt;&gt;""),Trigo!$E37:INDEX(Trigo!$E37:$Z37,MIN(K$6-$E$3,22))),0))-IF($G$2,0,IF((K$6-$G$3)&lt;1,0,IFERROR(LOOKUP(2,1/(Trigo!$E37:INDEX(Trigo!$E37:$Z37,MIN(K$6-$G$3,22))&lt;&gt;""),Trigo!$E37:INDEX(Trigo!$E37:$Z37,MIN(K$6-$G$3,22))),0)))))</f>
        <v>0</v>
      </c>
      <c r="L39" s="27" t="n">
        <f aca="false">IF(COUNT(Trigo!$E37:$Z37)=0,0,MAX(0,IF((L$6-$E$3)&lt;1,0,IFERROR(LOOKUP(2,1/(Trigo!$E37:INDEX(Trigo!$E37:$Z37,MIN(L$6-$E$3,22))&lt;&gt;""),Trigo!$E37:INDEX(Trigo!$E37:$Z37,MIN(L$6-$E$3,22))),0))-IF($G$2,0,IF((L$6-$G$3)&lt;1,0,IFERROR(LOOKUP(2,1/(Trigo!$E37:INDEX(Trigo!$E37:$Z37,MIN(L$6-$G$3,22))&lt;&gt;""),Trigo!$E37:INDEX(Trigo!$E37:$Z37,MIN(L$6-$G$3,22))),0)))))</f>
        <v>0</v>
      </c>
      <c r="M39" s="27" t="n">
        <f aca="false">IF(COUNT(Trigo!$E37:$Z37)=0,0,MAX(0,IF((M$6-$E$3)&lt;1,0,IFERROR(LOOKUP(2,1/(Trigo!$E37:INDEX(Trigo!$E37:$Z37,MIN(M$6-$E$3,22))&lt;&gt;""),Trigo!$E37:INDEX(Trigo!$E37:$Z37,MIN(M$6-$E$3,22))),0))-IF($G$2,0,IF((M$6-$G$3)&lt;1,0,IFERROR(LOOKUP(2,1/(Trigo!$E37:INDEX(Trigo!$E37:$Z37,MIN(M$6-$G$3,22))&lt;&gt;""),Trigo!$E37:INDEX(Trigo!$E37:$Z37,MIN(M$6-$G$3,22))),0)))))</f>
        <v>0</v>
      </c>
      <c r="N39" s="27" t="n">
        <f aca="false">IF(COUNT(Trigo!$E37:$Z37)=0,0,MAX(0,IF((N$6-$E$3)&lt;1,0,IFERROR(LOOKUP(2,1/(Trigo!$E37:INDEX(Trigo!$E37:$Z37,MIN(N$6-$E$3,22))&lt;&gt;""),Trigo!$E37:INDEX(Trigo!$E37:$Z37,MIN(N$6-$E$3,22))),0))-IF($G$2,0,IF((N$6-$G$3)&lt;1,0,IFERROR(LOOKUP(2,1/(Trigo!$E37:INDEX(Trigo!$E37:$Z37,MIN(N$6-$G$3,22))&lt;&gt;""),Trigo!$E37:INDEX(Trigo!$E37:$Z37,MIN(N$6-$G$3,22))),0)))))</f>
        <v>0</v>
      </c>
      <c r="O39" s="27" t="n">
        <f aca="false">IF(COUNT(Trigo!$E37:$Z37)=0,0,MAX(0,IF((O$6-$E$3)&lt;1,0,IFERROR(LOOKUP(2,1/(Trigo!$E37:INDEX(Trigo!$E37:$Z37,MIN(O$6-$E$3,22))&lt;&gt;""),Trigo!$E37:INDEX(Trigo!$E37:$Z37,MIN(O$6-$E$3,22))),0))-IF($G$2,0,IF((O$6-$G$3)&lt;1,0,IFERROR(LOOKUP(2,1/(Trigo!$E37:INDEX(Trigo!$E37:$Z37,MIN(O$6-$G$3,22))&lt;&gt;""),Trigo!$E37:INDEX(Trigo!$E37:$Z37,MIN(O$6-$G$3,22))),0)))))</f>
        <v>0</v>
      </c>
      <c r="P39" s="27" t="n">
        <f aca="false">IF(COUNT(Trigo!$E37:$Z37)=0,0,MAX(0,IF((P$6-$E$3)&lt;1,0,IFERROR(LOOKUP(2,1/(Trigo!$E37:INDEX(Trigo!$E37:$Z37,MIN(P$6-$E$3,22))&lt;&gt;""),Trigo!$E37:INDEX(Trigo!$E37:$Z37,MIN(P$6-$E$3,22))),0))-IF($G$2,0,IF((P$6-$G$3)&lt;1,0,IFERROR(LOOKUP(2,1/(Trigo!$E37:INDEX(Trigo!$E37:$Z37,MIN(P$6-$G$3,22))&lt;&gt;""),Trigo!$E37:INDEX(Trigo!$E37:$Z37,MIN(P$6-$G$3,22))),0)))))</f>
        <v>0</v>
      </c>
      <c r="Q39" s="27" t="n">
        <f aca="false">IF(COUNT(Trigo!$E37:$Z37)=0,0,MAX(0,IF((Q$6-$E$3)&lt;1,0,IFERROR(LOOKUP(2,1/(Trigo!$E37:INDEX(Trigo!$E37:$Z37,MIN(Q$6-$E$3,22))&lt;&gt;""),Trigo!$E37:INDEX(Trigo!$E37:$Z37,MIN(Q$6-$E$3,22))),0))-IF($G$2,0,IF((Q$6-$G$3)&lt;1,0,IFERROR(LOOKUP(2,1/(Trigo!$E37:INDEX(Trigo!$E37:$Z37,MIN(Q$6-$G$3,22))&lt;&gt;""),Trigo!$E37:INDEX(Trigo!$E37:$Z37,MIN(Q$6-$G$3,22))),0)))))</f>
        <v>0</v>
      </c>
      <c r="R39" s="27" t="n">
        <f aca="false">IF(COUNT(Trigo!$E37:$Z37)=0,0,MAX(0,IF((R$6-$E$3)&lt;1,0,IFERROR(LOOKUP(2,1/(Trigo!$E37:INDEX(Trigo!$E37:$Z37,MIN(R$6-$E$3,22))&lt;&gt;""),Trigo!$E37:INDEX(Trigo!$E37:$Z37,MIN(R$6-$E$3,22))),0))-IF($G$2,0,IF((R$6-$G$3)&lt;1,0,IFERROR(LOOKUP(2,1/(Trigo!$E37:INDEX(Trigo!$E37:$Z37,MIN(R$6-$G$3,22))&lt;&gt;""),Trigo!$E37:INDEX(Trigo!$E37:$Z37,MIN(R$6-$G$3,22))),0)))))</f>
        <v>0</v>
      </c>
      <c r="S39" s="27" t="n">
        <f aca="false">IF(COUNT(Trigo!$E37:$Z37)=0,0,MAX(0,IF((S$6-$E$3)&lt;1,0,IFERROR(LOOKUP(2,1/(Trigo!$E37:INDEX(Trigo!$E37:$Z37,MIN(S$6-$E$3,22))&lt;&gt;""),Trigo!$E37:INDEX(Trigo!$E37:$Z37,MIN(S$6-$E$3,22))),0))-IF($G$2,0,IF((S$6-$G$3)&lt;1,0,IFERROR(LOOKUP(2,1/(Trigo!$E37:INDEX(Trigo!$E37:$Z37,MIN(S$6-$G$3,22))&lt;&gt;""),Trigo!$E37:INDEX(Trigo!$E37:$Z37,MIN(S$6-$G$3,22))),0)))))</f>
        <v>0</v>
      </c>
      <c r="T39" s="27" t="n">
        <f aca="false">IF(COUNT(Trigo!$E37:$Z37)=0,0,MAX(0,IF((T$6-$E$3)&lt;1,0,IFERROR(LOOKUP(2,1/(Trigo!$E37:INDEX(Trigo!$E37:$Z37,MIN(T$6-$E$3,22))&lt;&gt;""),Trigo!$E37:INDEX(Trigo!$E37:$Z37,MIN(T$6-$E$3,22))),0))-IF($G$2,0,IF((T$6-$G$3)&lt;1,0,IFERROR(LOOKUP(2,1/(Trigo!$E37:INDEX(Trigo!$E37:$Z37,MIN(T$6-$G$3,22))&lt;&gt;""),Trigo!$E37:INDEX(Trigo!$E37:$Z37,MIN(T$6-$G$3,22))),0)))))</f>
        <v>0</v>
      </c>
      <c r="U39" s="27" t="n">
        <f aca="false">IF(COUNT(Trigo!$E37:$Z37)=0,0,MAX(0,IF((U$6-$E$3)&lt;1,0,IFERROR(LOOKUP(2,1/(Trigo!$E37:INDEX(Trigo!$E37:$Z37,MIN(U$6-$E$3,22))&lt;&gt;""),Trigo!$E37:INDEX(Trigo!$E37:$Z37,MIN(U$6-$E$3,22))),0))-IF($G$2,0,IF((U$6-$G$3)&lt;1,0,IFERROR(LOOKUP(2,1/(Trigo!$E37:INDEX(Trigo!$E37:$Z37,MIN(U$6-$G$3,22))&lt;&gt;""),Trigo!$E37:INDEX(Trigo!$E37:$Z37,MIN(U$6-$G$3,22))),0)))))</f>
        <v>0</v>
      </c>
      <c r="V39" s="27" t="n">
        <f aca="false">IF(COUNT(Trigo!$E37:$Z37)=0,0,MAX(0,IF((V$6-$E$3)&lt;1,0,IFERROR(LOOKUP(2,1/(Trigo!$E37:INDEX(Trigo!$E37:$Z37,MIN(V$6-$E$3,22))&lt;&gt;""),Trigo!$E37:INDEX(Trigo!$E37:$Z37,MIN(V$6-$E$3,22))),0))-IF($G$2,0,IF((V$6-$G$3)&lt;1,0,IFERROR(LOOKUP(2,1/(Trigo!$E37:INDEX(Trigo!$E37:$Z37,MIN(V$6-$G$3,22))&lt;&gt;""),Trigo!$E37:INDEX(Trigo!$E37:$Z37,MIN(V$6-$G$3,22))),0)))))</f>
        <v>0</v>
      </c>
      <c r="W39" s="27" t="n">
        <f aca="false">IF(COUNT(Trigo!$E37:$Z37)=0,0,MAX(0,IF((W$6-$E$3)&lt;1,0,IFERROR(LOOKUP(2,1/(Trigo!$E37:INDEX(Trigo!$E37:$Z37,MIN(W$6-$E$3,22))&lt;&gt;""),Trigo!$E37:INDEX(Trigo!$E37:$Z37,MIN(W$6-$E$3,22))),0))-IF($G$2,0,IF((W$6-$G$3)&lt;1,0,IFERROR(LOOKUP(2,1/(Trigo!$E37:INDEX(Trigo!$E37:$Z37,MIN(W$6-$G$3,22))&lt;&gt;""),Trigo!$E37:INDEX(Trigo!$E37:$Z37,MIN(W$6-$G$3,22))),0)))))</f>
        <v>0</v>
      </c>
      <c r="X39" s="27" t="n">
        <f aca="false">IF(COUNT(Trigo!$E37:$Z37)=0,0,MAX(0,IF((X$6-$E$3)&lt;1,0,IFERROR(LOOKUP(2,1/(Trigo!$E37:INDEX(Trigo!$E37:$Z37,MIN(X$6-$E$3,22))&lt;&gt;""),Trigo!$E37:INDEX(Trigo!$E37:$Z37,MIN(X$6-$E$3,22))),0))-IF($G$2,0,IF((X$6-$G$3)&lt;1,0,IFERROR(LOOKUP(2,1/(Trigo!$E37:INDEX(Trigo!$E37:$Z37,MIN(X$6-$G$3,22))&lt;&gt;""),Trigo!$E37:INDEX(Trigo!$E37:$Z37,MIN(X$6-$G$3,22))),0)))))</f>
        <v>0</v>
      </c>
      <c r="Y39" s="27" t="n">
        <f aca="false">IF(COUNT(Trigo!$E37:$Z37)=0,0,MAX(0,IF((Y$6-$E$3)&lt;1,0,IFERROR(LOOKUP(2,1/(Trigo!$E37:INDEX(Trigo!$E37:$Z37,MIN(Y$6-$E$3,22))&lt;&gt;""),Trigo!$E37:INDEX(Trigo!$E37:$Z37,MIN(Y$6-$E$3,22))),0))-IF($G$2,0,IF((Y$6-$G$3)&lt;1,0,IFERROR(LOOKUP(2,1/(Trigo!$E37:INDEX(Trigo!$E37:$Z37,MIN(Y$6-$G$3,22))&lt;&gt;""),Trigo!$E37:INDEX(Trigo!$E37:$Z37,MIN(Y$6-$G$3,22))),0)))))</f>
        <v>0</v>
      </c>
      <c r="Z39" s="27" t="n">
        <f aca="false">IF(COUNT(Trigo!$E37:$Z37)=0,0,MAX(0,IF((Z$6-$E$3)&lt;1,0,IFERROR(LOOKUP(2,1/(Trigo!$E37:INDEX(Trigo!$E37:$Z37,MIN(Z$6-$E$3,22))&lt;&gt;""),Trigo!$E37:INDEX(Trigo!$E37:$Z37,MIN(Z$6-$E$3,22))),0))-IF($G$2,0,IF((Z$6-$G$3)&lt;1,0,IFERROR(LOOKUP(2,1/(Trigo!$E37:INDEX(Trigo!$E37:$Z37,MIN(Z$6-$G$3,22))&lt;&gt;""),Trigo!$E37:INDEX(Trigo!$E37:$Z37,MIN(Z$6-$G$3,22))),0)))))</f>
        <v>0</v>
      </c>
      <c r="AA39" s="27" t="n">
        <f aca="false">IF(COUNT(Trigo!$E37:$Z37)=0,0,MAX(0,IF((AA$6-$E$3)&lt;1,0,IFERROR(LOOKUP(2,1/(Trigo!$E37:INDEX(Trigo!$E37:$Z37,MIN(AA$6-$E$3,22))&lt;&gt;""),Trigo!$E37:INDEX(Trigo!$E37:$Z37,MIN(AA$6-$E$3,22))),0))-IF($G$2,0,IF((AA$6-$G$3)&lt;1,0,IFERROR(LOOKUP(2,1/(Trigo!$E37:INDEX(Trigo!$E37:$Z37,MIN(AA$6-$G$3,22))&lt;&gt;""),Trigo!$E37:INDEX(Trigo!$E37:$Z37,MIN(AA$6-$G$3,22))),0)))))</f>
        <v>0</v>
      </c>
      <c r="AB39" s="27" t="n">
        <f aca="false">IF(COUNT(Trigo!$E37:$Z37)=0,0,MAX(0,IF((AB$6-$E$3)&lt;1,0,IFERROR(LOOKUP(2,1/(Trigo!$E37:INDEX(Trigo!$E37:$Z37,MIN(AB$6-$E$3,22))&lt;&gt;""),Trigo!$E37:INDEX(Trigo!$E37:$Z37,MIN(AB$6-$E$3,22))),0))-IF($G$2,0,IF((AB$6-$G$3)&lt;1,0,IFERROR(LOOKUP(2,1/(Trigo!$E37:INDEX(Trigo!$E37:$Z37,MIN(AB$6-$G$3,22))&lt;&gt;""),Trigo!$E37:INDEX(Trigo!$E37:$Z37,MIN(AB$6-$G$3,22))),0)))))</f>
        <v>0</v>
      </c>
      <c r="AC39" s="27" t="n">
        <f aca="false">IF(COUNT(Trigo!$E37:$Z37)=0,0,MAX(0,IF((AC$6-$E$3)&lt;1,0,IFERROR(LOOKUP(2,1/(Trigo!$E37:INDEX(Trigo!$E37:$Z37,MIN(AC$6-$E$3,22))&lt;&gt;""),Trigo!$E37:INDEX(Trigo!$E37:$Z37,MIN(AC$6-$E$3,22))),0))-IF($G$2,0,IF((AC$6-$G$3)&lt;1,0,IFERROR(LOOKUP(2,1/(Trigo!$E37:INDEX(Trigo!$E37:$Z37,MIN(AC$6-$G$3,22))&lt;&gt;""),Trigo!$E37:INDEX(Trigo!$E37:$Z37,MIN(AC$6-$G$3,22))),0)))))</f>
        <v>0</v>
      </c>
      <c r="AD39" s="27" t="n">
        <f aca="false">IF(COUNT(Trigo!$E37:$Z37)=0,0,MAX(0,IF((AD$6-$E$3)&lt;1,0,IFERROR(LOOKUP(2,1/(Trigo!$E37:INDEX(Trigo!$E37:$Z37,MIN(AD$6-$E$3,22))&lt;&gt;""),Trigo!$E37:INDEX(Trigo!$E37:$Z37,MIN(AD$6-$E$3,22))),0))-IF($G$2,0,IF((AD$6-$G$3)&lt;1,0,IFERROR(LOOKUP(2,1/(Trigo!$E37:INDEX(Trigo!$E37:$Z37,MIN(AD$6-$G$3,22))&lt;&gt;""),Trigo!$E37:INDEX(Trigo!$E37:$Z37,MIN(AD$6-$G$3,22))),0)))))</f>
        <v>0</v>
      </c>
      <c r="AE39" s="27" t="n">
        <f aca="false">IF(COUNT(Trigo!$E37:$Z37)=0,0,MAX(0,IF((AE$6-$E$3)&lt;1,0,IFERROR(LOOKUP(2,1/(Trigo!$E37:INDEX(Trigo!$E37:$Z37,MIN(AE$6-$E$3,22))&lt;&gt;""),Trigo!$E37:INDEX(Trigo!$E37:$Z37,MIN(AE$6-$E$3,22))),0))-IF($G$2,0,IF((AE$6-$G$3)&lt;1,0,IFERROR(LOOKUP(2,1/(Trigo!$E37:INDEX(Trigo!$E37:$Z37,MIN(AE$6-$G$3,22))&lt;&gt;""),Trigo!$E37:INDEX(Trigo!$E37:$Z37,MIN(AE$6-$G$3,22))),0)))))</f>
        <v>0</v>
      </c>
      <c r="AF39" s="27" t="n">
        <f aca="false">IF(COUNT(Trigo!$E37:$Z37)=0,0,MAX(0,IF((AF$6-$E$3)&lt;1,0,IFERROR(LOOKUP(2,1/(Trigo!$E37:INDEX(Trigo!$E37:$Z37,MIN(AF$6-$E$3,22))&lt;&gt;""),Trigo!$E37:INDEX(Trigo!$E37:$Z37,MIN(AF$6-$E$3,22))),0))-IF($G$2,0,IF((AF$6-$G$3)&lt;1,0,IFERROR(LOOKUP(2,1/(Trigo!$E37:INDEX(Trigo!$E37:$Z37,MIN(AF$6-$G$3,22))&lt;&gt;""),Trigo!$E37:INDEX(Trigo!$E37:$Z37,MIN(AF$6-$G$3,22))),0)))))</f>
        <v>0</v>
      </c>
      <c r="AG39" s="27" t="n">
        <f aca="false">IF(COUNT(Trigo!$E37:$Z37)=0,0,MAX(0,IF((AG$6-$E$3)&lt;1,0,IFERROR(LOOKUP(2,1/(Trigo!$E37:INDEX(Trigo!$E37:$Z37,MIN(AG$6-$E$3,22))&lt;&gt;""),Trigo!$E37:INDEX(Trigo!$E37:$Z37,MIN(AG$6-$E$3,22))),0))-IF($G$2,0,IF((AG$6-$G$3)&lt;1,0,IFERROR(LOOKUP(2,1/(Trigo!$E37:INDEX(Trigo!$E37:$Z37,MIN(AG$6-$G$3,22))&lt;&gt;""),Trigo!$E37:INDEX(Trigo!$E37:$Z37,MIN(AG$6-$G$3,22))),0)))))</f>
        <v>0</v>
      </c>
      <c r="AH39" s="27" t="n">
        <f aca="false">IF(COUNT(Trigo!$E37:$Z37)=0,0,MAX(0,IF((AH$6-$E$3)&lt;1,0,IFERROR(LOOKUP(2,1/(Trigo!$E37:INDEX(Trigo!$E37:$Z37,MIN(AH$6-$E$3,22))&lt;&gt;""),Trigo!$E37:INDEX(Trigo!$E37:$Z37,MIN(AH$6-$E$3,22))),0))-IF($G$2,0,IF((AH$6-$G$3)&lt;1,0,IFERROR(LOOKUP(2,1/(Trigo!$E37:INDEX(Trigo!$E37:$Z37,MIN(AH$6-$G$3,22))&lt;&gt;""),Trigo!$E37:INDEX(Trigo!$E37:$Z37,MIN(AH$6-$G$3,22))),0)))))</f>
        <v>0</v>
      </c>
      <c r="AI39" s="27" t="n">
        <f aca="false">IF(COUNT(Trigo!$E37:$Z37)=0,0,MAX(0,IF((AI$6-$E$3)&lt;1,0,IFERROR(LOOKUP(2,1/(Trigo!$E37:INDEX(Trigo!$E37:$Z37,MIN(AI$6-$E$3,22))&lt;&gt;""),Trigo!$E37:INDEX(Trigo!$E37:$Z37,MIN(AI$6-$E$3,22))),0))-IF($G$2,0,IF((AI$6-$G$3)&lt;1,0,IFERROR(LOOKUP(2,1/(Trigo!$E37:INDEX(Trigo!$E37:$Z37,MIN(AI$6-$G$3,22))&lt;&gt;""),Trigo!$E37:INDEX(Trigo!$E37:$Z37,MIN(AI$6-$G$3,22))),0)))))</f>
        <v>0</v>
      </c>
      <c r="AJ39" s="27" t="n">
        <f aca="false">IF(COUNT(Trigo!$E37:$Z37)=0,0,MAX(0,IF((AJ$6-$E$3)&lt;1,0,IFERROR(LOOKUP(2,1/(Trigo!$E37:INDEX(Trigo!$E37:$Z37,MIN(AJ$6-$E$3,22))&lt;&gt;""),Trigo!$E37:INDEX(Trigo!$E37:$Z37,MIN(AJ$6-$E$3,22))),0))-IF($G$2,0,IF((AJ$6-$G$3)&lt;1,0,IFERROR(LOOKUP(2,1/(Trigo!$E37:INDEX(Trigo!$E37:$Z37,MIN(AJ$6-$G$3,22))&lt;&gt;""),Trigo!$E37:INDEX(Trigo!$E37:$Z37,MIN(AJ$6-$G$3,22))),0)))))</f>
        <v>0</v>
      </c>
      <c r="AK39" s="27" t="n">
        <f aca="false">IF(COUNT(Trigo!$E37:$Z37)=0,0,MAX(0,IF((AK$6-$E$3)&lt;1,0,IFERROR(LOOKUP(2,1/(Trigo!$E37:INDEX(Trigo!$E37:$Z37,MIN(AK$6-$E$3,22))&lt;&gt;""),Trigo!$E37:INDEX(Trigo!$E37:$Z37,MIN(AK$6-$E$3,22))),0))-IF($G$2,0,IF((AK$6-$G$3)&lt;1,0,IFERROR(LOOKUP(2,1/(Trigo!$E37:INDEX(Trigo!$E37:$Z37,MIN(AK$6-$G$3,22))&lt;&gt;""),Trigo!$E37:INDEX(Trigo!$E37:$Z37,MIN(AK$6-$G$3,22))),0)))))</f>
        <v>0</v>
      </c>
      <c r="AL39" s="27" t="n">
        <f aca="false">IF(COUNT(Trigo!$E37:$Z37)=0,0,MAX(0,IF((AL$6-$E$3)&lt;1,0,IFERROR(LOOKUP(2,1/(Trigo!$E37:INDEX(Trigo!$E37:$Z37,MIN(AL$6-$E$3,22))&lt;&gt;""),Trigo!$E37:INDEX(Trigo!$E37:$Z37,MIN(AL$6-$E$3,22))),0))-IF($G$2,0,IF((AL$6-$G$3)&lt;1,0,IFERROR(LOOKUP(2,1/(Trigo!$E37:INDEX(Trigo!$E37:$Z37,MIN(AL$6-$G$3,22))&lt;&gt;""),Trigo!$E37:INDEX(Trigo!$E37:$Z37,MIN(AL$6-$G$3,22))),0)))))</f>
        <v>0</v>
      </c>
      <c r="AM39" s="27" t="n">
        <f aca="false">IF(COUNT(Trigo!$E37:$Z37)=0,0,MAX(0,IF((AM$6-$E$3)&lt;1,0,IFERROR(LOOKUP(2,1/(Trigo!$E37:INDEX(Trigo!$E37:$Z37,MIN(AM$6-$E$3,22))&lt;&gt;""),Trigo!$E37:INDEX(Trigo!$E37:$Z37,MIN(AM$6-$E$3,22))),0))-IF($G$2,0,IF((AM$6-$G$3)&lt;1,0,IFERROR(LOOKUP(2,1/(Trigo!$E37:INDEX(Trigo!$E37:$Z37,MIN(AM$6-$G$3,22))&lt;&gt;""),Trigo!$E37:INDEX(Trigo!$E37:$Z37,MIN(AM$6-$G$3,22))),0)))))</f>
        <v>0</v>
      </c>
      <c r="AN39" s="27" t="n">
        <f aca="false">IF(COUNT(Trigo!$E37:$Z37)=0,0,MAX(0,IF((AN$6-$E$3)&lt;1,0,IFERROR(LOOKUP(2,1/(Trigo!$E37:INDEX(Trigo!$E37:$Z37,MIN(AN$6-$E$3,22))&lt;&gt;""),Trigo!$E37:INDEX(Trigo!$E37:$Z37,MIN(AN$6-$E$3,22))),0))-IF($G$2,0,IF((AN$6-$G$3)&lt;1,0,IFERROR(LOOKUP(2,1/(Trigo!$E37:INDEX(Trigo!$E37:$Z37,MIN(AN$6-$G$3,22))&lt;&gt;""),Trigo!$E37:INDEX(Trigo!$E37:$Z37,MIN(AN$6-$G$3,22))),0)))))</f>
        <v>0</v>
      </c>
      <c r="AO39" s="27" t="n">
        <f aca="false">IF(COUNT(Trigo!$E37:$Z37)=0,0,MAX(0,IF((AO$6-$E$3)&lt;1,0,IFERROR(LOOKUP(2,1/(Trigo!$E37:INDEX(Trigo!$E37:$Z37,MIN(AO$6-$E$3,22))&lt;&gt;""),Trigo!$E37:INDEX(Trigo!$E37:$Z37,MIN(AO$6-$E$3,22))),0))-IF($G$2,0,IF((AO$6-$G$3)&lt;1,0,IFERROR(LOOKUP(2,1/(Trigo!$E37:INDEX(Trigo!$E37:$Z37,MIN(AO$6-$G$3,22))&lt;&gt;""),Trigo!$E37:INDEX(Trigo!$E37:$Z37,MIN(AO$6-$G$3,22))),0)))))</f>
        <v>0</v>
      </c>
      <c r="AP39" s="27" t="n">
        <f aca="false">IF(COUNT(Trigo!$E37:$Z37)=0,0,MAX(0,IF((AP$6-$E$3)&lt;1,0,IFERROR(LOOKUP(2,1/(Trigo!$E37:INDEX(Trigo!$E37:$Z37,MIN(AP$6-$E$3,22))&lt;&gt;""),Trigo!$E37:INDEX(Trigo!$E37:$Z37,MIN(AP$6-$E$3,22))),0))-IF($G$2,0,IF((AP$6-$G$3)&lt;1,0,IFERROR(LOOKUP(2,1/(Trigo!$E37:INDEX(Trigo!$E37:$Z37,MIN(AP$6-$G$3,22))&lt;&gt;""),Trigo!$E37:INDEX(Trigo!$E37:$Z37,MIN(AP$6-$G$3,22))),0)))))</f>
        <v>0</v>
      </c>
      <c r="AQ39" s="27" t="n">
        <f aca="false">IF(COUNT(Trigo!$E37:$Z37)=0,0,MAX(0,IF((AQ$6-$E$3)&lt;1,0,IFERROR(LOOKUP(2,1/(Trigo!$E37:INDEX(Trigo!$E37:$Z37,MIN(AQ$6-$E$3,22))&lt;&gt;""),Trigo!$E37:INDEX(Trigo!$E37:$Z37,MIN(AQ$6-$E$3,22))),0))-IF($G$2,0,IF((AQ$6-$G$3)&lt;1,0,IFERROR(LOOKUP(2,1/(Trigo!$E37:INDEX(Trigo!$E37:$Z37,MIN(AQ$6-$G$3,22))&lt;&gt;""),Trigo!$E37:INDEX(Trigo!$E37:$Z37,MIN(AQ$6-$G$3,22))),0)))))</f>
        <v>0</v>
      </c>
      <c r="AR39" s="27" t="n">
        <f aca="false">IF(COUNT(Trigo!$E37:$Z37)=0,0,MAX(0,IF((AR$6-$E$3)&lt;1,0,IFERROR(LOOKUP(2,1/(Trigo!$E37:INDEX(Trigo!$E37:$Z37,MIN(AR$6-$E$3,22))&lt;&gt;""),Trigo!$E37:INDEX(Trigo!$E37:$Z37,MIN(AR$6-$E$3,22))),0))-IF($G$2,0,IF((AR$6-$G$3)&lt;1,0,IFERROR(LOOKUP(2,1/(Trigo!$E37:INDEX(Trigo!$E37:$Z37,MIN(AR$6-$G$3,22))&lt;&gt;""),Trigo!$E37:INDEX(Trigo!$E37:$Z37,MIN(AR$6-$G$3,22))),0)))))</f>
        <v>0</v>
      </c>
      <c r="AS39" s="27" t="n">
        <f aca="false">IF(COUNT(Trigo!$E37:$Z37)=0,0,MAX(0,IF((AS$6-$E$3)&lt;1,0,IFERROR(LOOKUP(2,1/(Trigo!$E37:INDEX(Trigo!$E37:$Z37,MIN(AS$6-$E$3,22))&lt;&gt;""),Trigo!$E37:INDEX(Trigo!$E37:$Z37,MIN(AS$6-$E$3,22))),0))-IF($G$2,0,IF((AS$6-$G$3)&lt;1,0,IFERROR(LOOKUP(2,1/(Trigo!$E37:INDEX(Trigo!$E37:$Z37,MIN(AS$6-$G$3,22))&lt;&gt;""),Trigo!$E37:INDEX(Trigo!$E37:$Z37,MIN(AS$6-$G$3,22))),0)))))</f>
        <v>0</v>
      </c>
      <c r="AT39" s="27" t="n">
        <f aca="false">IF(COUNT(Trigo!$E37:$Z37)=0,0,MAX(0,IF((AT$6-$E$3)&lt;1,0,IFERROR(LOOKUP(2,1/(Trigo!$E37:INDEX(Trigo!$E37:$Z37,MIN(AT$6-$E$3,22))&lt;&gt;""),Trigo!$E37:INDEX(Trigo!$E37:$Z37,MIN(AT$6-$E$3,22))),0))-IF($G$2,0,IF((AT$6-$G$3)&lt;1,0,IFERROR(LOOKUP(2,1/(Trigo!$E37:INDEX(Trigo!$E37:$Z37,MIN(AT$6-$G$3,22))&lt;&gt;""),Trigo!$E37:INDEX(Trigo!$E37:$Z37,MIN(AT$6-$G$3,22))),0)))))</f>
        <v>0</v>
      </c>
      <c r="AU39" s="27" t="n">
        <f aca="false">IF(COUNT(Trigo!$E37:$Z37)=0,0,MAX(0,IF((AU$6-$E$3)&lt;1,0,IFERROR(LOOKUP(2,1/(Trigo!$E37:INDEX(Trigo!$E37:$Z37,MIN(AU$6-$E$3,22))&lt;&gt;""),Trigo!$E37:INDEX(Trigo!$E37:$Z37,MIN(AU$6-$E$3,22))),0))-IF($G$2,0,IF((AU$6-$G$3)&lt;1,0,IFERROR(LOOKUP(2,1/(Trigo!$E37:INDEX(Trigo!$E37:$Z37,MIN(AU$6-$G$3,22))&lt;&gt;""),Trigo!$E37:INDEX(Trigo!$E37:$Z37,MIN(AU$6-$G$3,22))),0)))))</f>
        <v>0</v>
      </c>
      <c r="AV39" s="27" t="n">
        <f aca="false">IF(COUNT(Trigo!$E37:$Z37)=0,0,MAX(0,IF((AV$6-$E$3)&lt;1,0,IFERROR(LOOKUP(2,1/(Trigo!$E37:INDEX(Trigo!$E37:$Z37,MIN(AV$6-$E$3,22))&lt;&gt;""),Trigo!$E37:INDEX(Trigo!$E37:$Z37,MIN(AV$6-$E$3,22))),0))-IF($G$2,0,IF((AV$6-$G$3)&lt;1,0,IFERROR(LOOKUP(2,1/(Trigo!$E37:INDEX(Trigo!$E37:$Z37,MIN(AV$6-$G$3,22))&lt;&gt;""),Trigo!$E37:INDEX(Trigo!$E37:$Z37,MIN(AV$6-$G$3,22))),0)))))</f>
        <v>0</v>
      </c>
      <c r="AW39" s="27" t="n">
        <f aca="false">IF(COUNT(Trigo!$E37:$Z37)=0,0,MAX(0,IF((AW$6-$E$3)&lt;1,0,IFERROR(LOOKUP(2,1/(Trigo!$E37:INDEX(Trigo!$E37:$Z37,MIN(AW$6-$E$3,22))&lt;&gt;""),Trigo!$E37:INDEX(Trigo!$E37:$Z37,MIN(AW$6-$E$3,22))),0))-IF($G$2,0,IF((AW$6-$G$3)&lt;1,0,IFERROR(LOOKUP(2,1/(Trigo!$E37:INDEX(Trigo!$E37:$Z37,MIN(AW$6-$G$3,22))&lt;&gt;""),Trigo!$E37:INDEX(Trigo!$E37:$Z37,MIN(AW$6-$G$3,22))),0)))))</f>
        <v>0</v>
      </c>
      <c r="AX39" s="27" t="n">
        <f aca="false">IF(COUNT(Trigo!$E37:$Z37)=0,0,MAX(0,IF((AX$6-$E$3)&lt;1,0,IFERROR(LOOKUP(2,1/(Trigo!$E37:INDEX(Trigo!$E37:$Z37,MIN(AX$6-$E$3,22))&lt;&gt;""),Trigo!$E37:INDEX(Trigo!$E37:$Z37,MIN(AX$6-$E$3,22))),0))-IF($G$2,0,IF((AX$6-$G$3)&lt;1,0,IFERROR(LOOKUP(2,1/(Trigo!$E37:INDEX(Trigo!$E37:$Z37,MIN(AX$6-$G$3,22))&lt;&gt;""),Trigo!$E37:INDEX(Trigo!$E37:$Z37,MIN(AX$6-$G$3,22))),0)))))</f>
        <v>0</v>
      </c>
      <c r="AY39" s="27" t="n">
        <f aca="false">IF(COUNT(Trigo!$E37:$Z37)=0,0,MAX(0,IF((AY$6-$E$3)&lt;1,0,IFERROR(LOOKUP(2,1/(Trigo!$E37:INDEX(Trigo!$E37:$Z37,MIN(AY$6-$E$3,22))&lt;&gt;""),Trigo!$E37:INDEX(Trigo!$E37:$Z37,MIN(AY$6-$E$3,22))),0))-IF($G$2,0,IF((AY$6-$G$3)&lt;1,0,IFERROR(LOOKUP(2,1/(Trigo!$E37:INDEX(Trigo!$E37:$Z37,MIN(AY$6-$G$3,22))&lt;&gt;""),Trigo!$E37:INDEX(Trigo!$E37:$Z37,MIN(AY$6-$G$3,22))),0)))))</f>
        <v>0</v>
      </c>
      <c r="AZ39" s="27" t="n">
        <f aca="false">IF(COUNT(Trigo!$E37:$Z37)=0,0,MAX(0,IF((AZ$6-$E$3)&lt;1,0,IFERROR(LOOKUP(2,1/(Trigo!$E37:INDEX(Trigo!$E37:$Z37,MIN(AZ$6-$E$3,22))&lt;&gt;""),Trigo!$E37:INDEX(Trigo!$E37:$Z37,MIN(AZ$6-$E$3,22))),0))-IF($G$2,0,IF((AZ$6-$G$3)&lt;1,0,IFERROR(LOOKUP(2,1/(Trigo!$E37:INDEX(Trigo!$E37:$Z37,MIN(AZ$6-$G$3,22))&lt;&gt;""),Trigo!$E37:INDEX(Trigo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IF(COUNT(Trigo!$E38:$Z38)&gt;0,N(Trigo!$D38),0)</f>
        <v>0</v>
      </c>
      <c r="E40" s="27" t="n">
        <f aca="false">IF(COUNT(Trigo!$E38:$Z38)=0,0,MAX(0,IF((E$6-$E$3)&lt;1,0,IFERROR(LOOKUP(2,1/(Trigo!$E38:INDEX(Trigo!$E38:$Z38,MIN(E$6-$E$3,22))&lt;&gt;""),Trigo!$E38:INDEX(Trigo!$E38:$Z38,MIN(E$6-$E$3,22))),0))-IF($G$2,0,IF((E$6-$G$3)&lt;1,0,IFERROR(LOOKUP(2,1/(Trigo!$E38:INDEX(Trigo!$E38:$Z38,MIN(E$6-$G$3,22))&lt;&gt;""),Trigo!$E38:INDEX(Trigo!$E38:$Z38,MIN(E$6-$G$3,22))),0)))))</f>
        <v>0</v>
      </c>
      <c r="F40" s="27" t="n">
        <f aca="false">IF(COUNT(Trigo!$E38:$Z38)=0,0,MAX(0,IF((F$6-$E$3)&lt;1,0,IFERROR(LOOKUP(2,1/(Trigo!$E38:INDEX(Trigo!$E38:$Z38,MIN(F$6-$E$3,22))&lt;&gt;""),Trigo!$E38:INDEX(Trigo!$E38:$Z38,MIN(F$6-$E$3,22))),0))-IF($G$2,0,IF((F$6-$G$3)&lt;1,0,IFERROR(LOOKUP(2,1/(Trigo!$E38:INDEX(Trigo!$E38:$Z38,MIN(F$6-$G$3,22))&lt;&gt;""),Trigo!$E38:INDEX(Trigo!$E38:$Z38,MIN(F$6-$G$3,22))),0)))))</f>
        <v>0</v>
      </c>
      <c r="G40" s="27" t="n">
        <f aca="false">IF(COUNT(Trigo!$E38:$Z38)=0,0,MAX(0,IF((G$6-$E$3)&lt;1,0,IFERROR(LOOKUP(2,1/(Trigo!$E38:INDEX(Trigo!$E38:$Z38,MIN(G$6-$E$3,22))&lt;&gt;""),Trigo!$E38:INDEX(Trigo!$E38:$Z38,MIN(G$6-$E$3,22))),0))-IF($G$2,0,IF((G$6-$G$3)&lt;1,0,IFERROR(LOOKUP(2,1/(Trigo!$E38:INDEX(Trigo!$E38:$Z38,MIN(G$6-$G$3,22))&lt;&gt;""),Trigo!$E38:INDEX(Trigo!$E38:$Z38,MIN(G$6-$G$3,22))),0)))))</f>
        <v>0</v>
      </c>
      <c r="H40" s="27" t="n">
        <f aca="false">IF(COUNT(Trigo!$E38:$Z38)=0,0,MAX(0,IF((H$6-$E$3)&lt;1,0,IFERROR(LOOKUP(2,1/(Trigo!$E38:INDEX(Trigo!$E38:$Z38,MIN(H$6-$E$3,22))&lt;&gt;""),Trigo!$E38:INDEX(Trigo!$E38:$Z38,MIN(H$6-$E$3,22))),0))-IF($G$2,0,IF((H$6-$G$3)&lt;1,0,IFERROR(LOOKUP(2,1/(Trigo!$E38:INDEX(Trigo!$E38:$Z38,MIN(H$6-$G$3,22))&lt;&gt;""),Trigo!$E38:INDEX(Trigo!$E38:$Z38,MIN(H$6-$G$3,22))),0)))))</f>
        <v>0</v>
      </c>
      <c r="I40" s="27" t="n">
        <f aca="false">IF(COUNT(Trigo!$E38:$Z38)=0,0,MAX(0,IF((I$6-$E$3)&lt;1,0,IFERROR(LOOKUP(2,1/(Trigo!$E38:INDEX(Trigo!$E38:$Z38,MIN(I$6-$E$3,22))&lt;&gt;""),Trigo!$E38:INDEX(Trigo!$E38:$Z38,MIN(I$6-$E$3,22))),0))-IF($G$2,0,IF((I$6-$G$3)&lt;1,0,IFERROR(LOOKUP(2,1/(Trigo!$E38:INDEX(Trigo!$E38:$Z38,MIN(I$6-$G$3,22))&lt;&gt;""),Trigo!$E38:INDEX(Trigo!$E38:$Z38,MIN(I$6-$G$3,22))),0)))))</f>
        <v>0</v>
      </c>
      <c r="J40" s="27" t="n">
        <f aca="false">IF(COUNT(Trigo!$E38:$Z38)=0,0,MAX(0,IF((J$6-$E$3)&lt;1,0,IFERROR(LOOKUP(2,1/(Trigo!$E38:INDEX(Trigo!$E38:$Z38,MIN(J$6-$E$3,22))&lt;&gt;""),Trigo!$E38:INDEX(Trigo!$E38:$Z38,MIN(J$6-$E$3,22))),0))-IF($G$2,0,IF((J$6-$G$3)&lt;1,0,IFERROR(LOOKUP(2,1/(Trigo!$E38:INDEX(Trigo!$E38:$Z38,MIN(J$6-$G$3,22))&lt;&gt;""),Trigo!$E38:INDEX(Trigo!$E38:$Z38,MIN(J$6-$G$3,22))),0)))))</f>
        <v>0</v>
      </c>
      <c r="K40" s="27" t="n">
        <f aca="false">IF(COUNT(Trigo!$E38:$Z38)=0,0,MAX(0,IF((K$6-$E$3)&lt;1,0,IFERROR(LOOKUP(2,1/(Trigo!$E38:INDEX(Trigo!$E38:$Z38,MIN(K$6-$E$3,22))&lt;&gt;""),Trigo!$E38:INDEX(Trigo!$E38:$Z38,MIN(K$6-$E$3,22))),0))-IF($G$2,0,IF((K$6-$G$3)&lt;1,0,IFERROR(LOOKUP(2,1/(Trigo!$E38:INDEX(Trigo!$E38:$Z38,MIN(K$6-$G$3,22))&lt;&gt;""),Trigo!$E38:INDEX(Trigo!$E38:$Z38,MIN(K$6-$G$3,22))),0)))))</f>
        <v>0</v>
      </c>
      <c r="L40" s="27" t="n">
        <f aca="false">IF(COUNT(Trigo!$E38:$Z38)=0,0,MAX(0,IF((L$6-$E$3)&lt;1,0,IFERROR(LOOKUP(2,1/(Trigo!$E38:INDEX(Trigo!$E38:$Z38,MIN(L$6-$E$3,22))&lt;&gt;""),Trigo!$E38:INDEX(Trigo!$E38:$Z38,MIN(L$6-$E$3,22))),0))-IF($G$2,0,IF((L$6-$G$3)&lt;1,0,IFERROR(LOOKUP(2,1/(Trigo!$E38:INDEX(Trigo!$E38:$Z38,MIN(L$6-$G$3,22))&lt;&gt;""),Trigo!$E38:INDEX(Trigo!$E38:$Z38,MIN(L$6-$G$3,22))),0)))))</f>
        <v>0</v>
      </c>
      <c r="M40" s="27" t="n">
        <f aca="false">IF(COUNT(Trigo!$E38:$Z38)=0,0,MAX(0,IF((M$6-$E$3)&lt;1,0,IFERROR(LOOKUP(2,1/(Trigo!$E38:INDEX(Trigo!$E38:$Z38,MIN(M$6-$E$3,22))&lt;&gt;""),Trigo!$E38:INDEX(Trigo!$E38:$Z38,MIN(M$6-$E$3,22))),0))-IF($G$2,0,IF((M$6-$G$3)&lt;1,0,IFERROR(LOOKUP(2,1/(Trigo!$E38:INDEX(Trigo!$E38:$Z38,MIN(M$6-$G$3,22))&lt;&gt;""),Trigo!$E38:INDEX(Trigo!$E38:$Z38,MIN(M$6-$G$3,22))),0)))))</f>
        <v>0</v>
      </c>
      <c r="N40" s="27" t="n">
        <f aca="false">IF(COUNT(Trigo!$E38:$Z38)=0,0,MAX(0,IF((N$6-$E$3)&lt;1,0,IFERROR(LOOKUP(2,1/(Trigo!$E38:INDEX(Trigo!$E38:$Z38,MIN(N$6-$E$3,22))&lt;&gt;""),Trigo!$E38:INDEX(Trigo!$E38:$Z38,MIN(N$6-$E$3,22))),0))-IF($G$2,0,IF((N$6-$G$3)&lt;1,0,IFERROR(LOOKUP(2,1/(Trigo!$E38:INDEX(Trigo!$E38:$Z38,MIN(N$6-$G$3,22))&lt;&gt;""),Trigo!$E38:INDEX(Trigo!$E38:$Z38,MIN(N$6-$G$3,22))),0)))))</f>
        <v>0</v>
      </c>
      <c r="O40" s="27" t="n">
        <f aca="false">IF(COUNT(Trigo!$E38:$Z38)=0,0,MAX(0,IF((O$6-$E$3)&lt;1,0,IFERROR(LOOKUP(2,1/(Trigo!$E38:INDEX(Trigo!$E38:$Z38,MIN(O$6-$E$3,22))&lt;&gt;""),Trigo!$E38:INDEX(Trigo!$E38:$Z38,MIN(O$6-$E$3,22))),0))-IF($G$2,0,IF((O$6-$G$3)&lt;1,0,IFERROR(LOOKUP(2,1/(Trigo!$E38:INDEX(Trigo!$E38:$Z38,MIN(O$6-$G$3,22))&lt;&gt;""),Trigo!$E38:INDEX(Trigo!$E38:$Z38,MIN(O$6-$G$3,22))),0)))))</f>
        <v>0</v>
      </c>
      <c r="P40" s="27" t="n">
        <f aca="false">IF(COUNT(Trigo!$E38:$Z38)=0,0,MAX(0,IF((P$6-$E$3)&lt;1,0,IFERROR(LOOKUP(2,1/(Trigo!$E38:INDEX(Trigo!$E38:$Z38,MIN(P$6-$E$3,22))&lt;&gt;""),Trigo!$E38:INDEX(Trigo!$E38:$Z38,MIN(P$6-$E$3,22))),0))-IF($G$2,0,IF((P$6-$G$3)&lt;1,0,IFERROR(LOOKUP(2,1/(Trigo!$E38:INDEX(Trigo!$E38:$Z38,MIN(P$6-$G$3,22))&lt;&gt;""),Trigo!$E38:INDEX(Trigo!$E38:$Z38,MIN(P$6-$G$3,22))),0)))))</f>
        <v>0</v>
      </c>
      <c r="Q40" s="27" t="n">
        <f aca="false">IF(COUNT(Trigo!$E38:$Z38)=0,0,MAX(0,IF((Q$6-$E$3)&lt;1,0,IFERROR(LOOKUP(2,1/(Trigo!$E38:INDEX(Trigo!$E38:$Z38,MIN(Q$6-$E$3,22))&lt;&gt;""),Trigo!$E38:INDEX(Trigo!$E38:$Z38,MIN(Q$6-$E$3,22))),0))-IF($G$2,0,IF((Q$6-$G$3)&lt;1,0,IFERROR(LOOKUP(2,1/(Trigo!$E38:INDEX(Trigo!$E38:$Z38,MIN(Q$6-$G$3,22))&lt;&gt;""),Trigo!$E38:INDEX(Trigo!$E38:$Z38,MIN(Q$6-$G$3,22))),0)))))</f>
        <v>0</v>
      </c>
      <c r="R40" s="27" t="n">
        <f aca="false">IF(COUNT(Trigo!$E38:$Z38)=0,0,MAX(0,IF((R$6-$E$3)&lt;1,0,IFERROR(LOOKUP(2,1/(Trigo!$E38:INDEX(Trigo!$E38:$Z38,MIN(R$6-$E$3,22))&lt;&gt;""),Trigo!$E38:INDEX(Trigo!$E38:$Z38,MIN(R$6-$E$3,22))),0))-IF($G$2,0,IF((R$6-$G$3)&lt;1,0,IFERROR(LOOKUP(2,1/(Trigo!$E38:INDEX(Trigo!$E38:$Z38,MIN(R$6-$G$3,22))&lt;&gt;""),Trigo!$E38:INDEX(Trigo!$E38:$Z38,MIN(R$6-$G$3,22))),0)))))</f>
        <v>0</v>
      </c>
      <c r="S40" s="27" t="n">
        <f aca="false">IF(COUNT(Trigo!$E38:$Z38)=0,0,MAX(0,IF((S$6-$E$3)&lt;1,0,IFERROR(LOOKUP(2,1/(Trigo!$E38:INDEX(Trigo!$E38:$Z38,MIN(S$6-$E$3,22))&lt;&gt;""),Trigo!$E38:INDEX(Trigo!$E38:$Z38,MIN(S$6-$E$3,22))),0))-IF($G$2,0,IF((S$6-$G$3)&lt;1,0,IFERROR(LOOKUP(2,1/(Trigo!$E38:INDEX(Trigo!$E38:$Z38,MIN(S$6-$G$3,22))&lt;&gt;""),Trigo!$E38:INDEX(Trigo!$E38:$Z38,MIN(S$6-$G$3,22))),0)))))</f>
        <v>0</v>
      </c>
      <c r="T40" s="27" t="n">
        <f aca="false">IF(COUNT(Trigo!$E38:$Z38)=0,0,MAX(0,IF((T$6-$E$3)&lt;1,0,IFERROR(LOOKUP(2,1/(Trigo!$E38:INDEX(Trigo!$E38:$Z38,MIN(T$6-$E$3,22))&lt;&gt;""),Trigo!$E38:INDEX(Trigo!$E38:$Z38,MIN(T$6-$E$3,22))),0))-IF($G$2,0,IF((T$6-$G$3)&lt;1,0,IFERROR(LOOKUP(2,1/(Trigo!$E38:INDEX(Trigo!$E38:$Z38,MIN(T$6-$G$3,22))&lt;&gt;""),Trigo!$E38:INDEX(Trigo!$E38:$Z38,MIN(T$6-$G$3,22))),0)))))</f>
        <v>0</v>
      </c>
      <c r="U40" s="27" t="n">
        <f aca="false">IF(COUNT(Trigo!$E38:$Z38)=0,0,MAX(0,IF((U$6-$E$3)&lt;1,0,IFERROR(LOOKUP(2,1/(Trigo!$E38:INDEX(Trigo!$E38:$Z38,MIN(U$6-$E$3,22))&lt;&gt;""),Trigo!$E38:INDEX(Trigo!$E38:$Z38,MIN(U$6-$E$3,22))),0))-IF($G$2,0,IF((U$6-$G$3)&lt;1,0,IFERROR(LOOKUP(2,1/(Trigo!$E38:INDEX(Trigo!$E38:$Z38,MIN(U$6-$G$3,22))&lt;&gt;""),Trigo!$E38:INDEX(Trigo!$E38:$Z38,MIN(U$6-$G$3,22))),0)))))</f>
        <v>0</v>
      </c>
      <c r="V40" s="27" t="n">
        <f aca="false">IF(COUNT(Trigo!$E38:$Z38)=0,0,MAX(0,IF((V$6-$E$3)&lt;1,0,IFERROR(LOOKUP(2,1/(Trigo!$E38:INDEX(Trigo!$E38:$Z38,MIN(V$6-$E$3,22))&lt;&gt;""),Trigo!$E38:INDEX(Trigo!$E38:$Z38,MIN(V$6-$E$3,22))),0))-IF($G$2,0,IF((V$6-$G$3)&lt;1,0,IFERROR(LOOKUP(2,1/(Trigo!$E38:INDEX(Trigo!$E38:$Z38,MIN(V$6-$G$3,22))&lt;&gt;""),Trigo!$E38:INDEX(Trigo!$E38:$Z38,MIN(V$6-$G$3,22))),0)))))</f>
        <v>0</v>
      </c>
      <c r="W40" s="27" t="n">
        <f aca="false">IF(COUNT(Trigo!$E38:$Z38)=0,0,MAX(0,IF((W$6-$E$3)&lt;1,0,IFERROR(LOOKUP(2,1/(Trigo!$E38:INDEX(Trigo!$E38:$Z38,MIN(W$6-$E$3,22))&lt;&gt;""),Trigo!$E38:INDEX(Trigo!$E38:$Z38,MIN(W$6-$E$3,22))),0))-IF($G$2,0,IF((W$6-$G$3)&lt;1,0,IFERROR(LOOKUP(2,1/(Trigo!$E38:INDEX(Trigo!$E38:$Z38,MIN(W$6-$G$3,22))&lt;&gt;""),Trigo!$E38:INDEX(Trigo!$E38:$Z38,MIN(W$6-$G$3,22))),0)))))</f>
        <v>0</v>
      </c>
      <c r="X40" s="27" t="n">
        <f aca="false">IF(COUNT(Trigo!$E38:$Z38)=0,0,MAX(0,IF((X$6-$E$3)&lt;1,0,IFERROR(LOOKUP(2,1/(Trigo!$E38:INDEX(Trigo!$E38:$Z38,MIN(X$6-$E$3,22))&lt;&gt;""),Trigo!$E38:INDEX(Trigo!$E38:$Z38,MIN(X$6-$E$3,22))),0))-IF($G$2,0,IF((X$6-$G$3)&lt;1,0,IFERROR(LOOKUP(2,1/(Trigo!$E38:INDEX(Trigo!$E38:$Z38,MIN(X$6-$G$3,22))&lt;&gt;""),Trigo!$E38:INDEX(Trigo!$E38:$Z38,MIN(X$6-$G$3,22))),0)))))</f>
        <v>0</v>
      </c>
      <c r="Y40" s="27" t="n">
        <f aca="false">IF(COUNT(Trigo!$E38:$Z38)=0,0,MAX(0,IF((Y$6-$E$3)&lt;1,0,IFERROR(LOOKUP(2,1/(Trigo!$E38:INDEX(Trigo!$E38:$Z38,MIN(Y$6-$E$3,22))&lt;&gt;""),Trigo!$E38:INDEX(Trigo!$E38:$Z38,MIN(Y$6-$E$3,22))),0))-IF($G$2,0,IF((Y$6-$G$3)&lt;1,0,IFERROR(LOOKUP(2,1/(Trigo!$E38:INDEX(Trigo!$E38:$Z38,MIN(Y$6-$G$3,22))&lt;&gt;""),Trigo!$E38:INDEX(Trigo!$E38:$Z38,MIN(Y$6-$G$3,22))),0)))))</f>
        <v>0</v>
      </c>
      <c r="Z40" s="27" t="n">
        <f aca="false">IF(COUNT(Trigo!$E38:$Z38)=0,0,MAX(0,IF((Z$6-$E$3)&lt;1,0,IFERROR(LOOKUP(2,1/(Trigo!$E38:INDEX(Trigo!$E38:$Z38,MIN(Z$6-$E$3,22))&lt;&gt;""),Trigo!$E38:INDEX(Trigo!$E38:$Z38,MIN(Z$6-$E$3,22))),0))-IF($G$2,0,IF((Z$6-$G$3)&lt;1,0,IFERROR(LOOKUP(2,1/(Trigo!$E38:INDEX(Trigo!$E38:$Z38,MIN(Z$6-$G$3,22))&lt;&gt;""),Trigo!$E38:INDEX(Trigo!$E38:$Z38,MIN(Z$6-$G$3,22))),0)))))</f>
        <v>0</v>
      </c>
      <c r="AA40" s="27" t="n">
        <f aca="false">IF(COUNT(Trigo!$E38:$Z38)=0,0,MAX(0,IF((AA$6-$E$3)&lt;1,0,IFERROR(LOOKUP(2,1/(Trigo!$E38:INDEX(Trigo!$E38:$Z38,MIN(AA$6-$E$3,22))&lt;&gt;""),Trigo!$E38:INDEX(Trigo!$E38:$Z38,MIN(AA$6-$E$3,22))),0))-IF($G$2,0,IF((AA$6-$G$3)&lt;1,0,IFERROR(LOOKUP(2,1/(Trigo!$E38:INDEX(Trigo!$E38:$Z38,MIN(AA$6-$G$3,22))&lt;&gt;""),Trigo!$E38:INDEX(Trigo!$E38:$Z38,MIN(AA$6-$G$3,22))),0)))))</f>
        <v>0</v>
      </c>
      <c r="AB40" s="27" t="n">
        <f aca="false">IF(COUNT(Trigo!$E38:$Z38)=0,0,MAX(0,IF((AB$6-$E$3)&lt;1,0,IFERROR(LOOKUP(2,1/(Trigo!$E38:INDEX(Trigo!$E38:$Z38,MIN(AB$6-$E$3,22))&lt;&gt;""),Trigo!$E38:INDEX(Trigo!$E38:$Z38,MIN(AB$6-$E$3,22))),0))-IF($G$2,0,IF((AB$6-$G$3)&lt;1,0,IFERROR(LOOKUP(2,1/(Trigo!$E38:INDEX(Trigo!$E38:$Z38,MIN(AB$6-$G$3,22))&lt;&gt;""),Trigo!$E38:INDEX(Trigo!$E38:$Z38,MIN(AB$6-$G$3,22))),0)))))</f>
        <v>0</v>
      </c>
      <c r="AC40" s="27" t="n">
        <f aca="false">IF(COUNT(Trigo!$E38:$Z38)=0,0,MAX(0,IF((AC$6-$E$3)&lt;1,0,IFERROR(LOOKUP(2,1/(Trigo!$E38:INDEX(Trigo!$E38:$Z38,MIN(AC$6-$E$3,22))&lt;&gt;""),Trigo!$E38:INDEX(Trigo!$E38:$Z38,MIN(AC$6-$E$3,22))),0))-IF($G$2,0,IF((AC$6-$G$3)&lt;1,0,IFERROR(LOOKUP(2,1/(Trigo!$E38:INDEX(Trigo!$E38:$Z38,MIN(AC$6-$G$3,22))&lt;&gt;""),Trigo!$E38:INDEX(Trigo!$E38:$Z38,MIN(AC$6-$G$3,22))),0)))))</f>
        <v>0</v>
      </c>
      <c r="AD40" s="27" t="n">
        <f aca="false">IF(COUNT(Trigo!$E38:$Z38)=0,0,MAX(0,IF((AD$6-$E$3)&lt;1,0,IFERROR(LOOKUP(2,1/(Trigo!$E38:INDEX(Trigo!$E38:$Z38,MIN(AD$6-$E$3,22))&lt;&gt;""),Trigo!$E38:INDEX(Trigo!$E38:$Z38,MIN(AD$6-$E$3,22))),0))-IF($G$2,0,IF((AD$6-$G$3)&lt;1,0,IFERROR(LOOKUP(2,1/(Trigo!$E38:INDEX(Trigo!$E38:$Z38,MIN(AD$6-$G$3,22))&lt;&gt;""),Trigo!$E38:INDEX(Trigo!$E38:$Z38,MIN(AD$6-$G$3,22))),0)))))</f>
        <v>0</v>
      </c>
      <c r="AE40" s="27" t="n">
        <f aca="false">IF(COUNT(Trigo!$E38:$Z38)=0,0,MAX(0,IF((AE$6-$E$3)&lt;1,0,IFERROR(LOOKUP(2,1/(Trigo!$E38:INDEX(Trigo!$E38:$Z38,MIN(AE$6-$E$3,22))&lt;&gt;""),Trigo!$E38:INDEX(Trigo!$E38:$Z38,MIN(AE$6-$E$3,22))),0))-IF($G$2,0,IF((AE$6-$G$3)&lt;1,0,IFERROR(LOOKUP(2,1/(Trigo!$E38:INDEX(Trigo!$E38:$Z38,MIN(AE$6-$G$3,22))&lt;&gt;""),Trigo!$E38:INDEX(Trigo!$E38:$Z38,MIN(AE$6-$G$3,22))),0)))))</f>
        <v>0</v>
      </c>
      <c r="AF40" s="27" t="n">
        <f aca="false">IF(COUNT(Trigo!$E38:$Z38)=0,0,MAX(0,IF((AF$6-$E$3)&lt;1,0,IFERROR(LOOKUP(2,1/(Trigo!$E38:INDEX(Trigo!$E38:$Z38,MIN(AF$6-$E$3,22))&lt;&gt;""),Trigo!$E38:INDEX(Trigo!$E38:$Z38,MIN(AF$6-$E$3,22))),0))-IF($G$2,0,IF((AF$6-$G$3)&lt;1,0,IFERROR(LOOKUP(2,1/(Trigo!$E38:INDEX(Trigo!$E38:$Z38,MIN(AF$6-$G$3,22))&lt;&gt;""),Trigo!$E38:INDEX(Trigo!$E38:$Z38,MIN(AF$6-$G$3,22))),0)))))</f>
        <v>0</v>
      </c>
      <c r="AG40" s="27" t="n">
        <f aca="false">IF(COUNT(Trigo!$E38:$Z38)=0,0,MAX(0,IF((AG$6-$E$3)&lt;1,0,IFERROR(LOOKUP(2,1/(Trigo!$E38:INDEX(Trigo!$E38:$Z38,MIN(AG$6-$E$3,22))&lt;&gt;""),Trigo!$E38:INDEX(Trigo!$E38:$Z38,MIN(AG$6-$E$3,22))),0))-IF($G$2,0,IF((AG$6-$G$3)&lt;1,0,IFERROR(LOOKUP(2,1/(Trigo!$E38:INDEX(Trigo!$E38:$Z38,MIN(AG$6-$G$3,22))&lt;&gt;""),Trigo!$E38:INDEX(Trigo!$E38:$Z38,MIN(AG$6-$G$3,22))),0)))))</f>
        <v>0</v>
      </c>
      <c r="AH40" s="27" t="n">
        <f aca="false">IF(COUNT(Trigo!$E38:$Z38)=0,0,MAX(0,IF((AH$6-$E$3)&lt;1,0,IFERROR(LOOKUP(2,1/(Trigo!$E38:INDEX(Trigo!$E38:$Z38,MIN(AH$6-$E$3,22))&lt;&gt;""),Trigo!$E38:INDEX(Trigo!$E38:$Z38,MIN(AH$6-$E$3,22))),0))-IF($G$2,0,IF((AH$6-$G$3)&lt;1,0,IFERROR(LOOKUP(2,1/(Trigo!$E38:INDEX(Trigo!$E38:$Z38,MIN(AH$6-$G$3,22))&lt;&gt;""),Trigo!$E38:INDEX(Trigo!$E38:$Z38,MIN(AH$6-$G$3,22))),0)))))</f>
        <v>0</v>
      </c>
      <c r="AI40" s="27" t="n">
        <f aca="false">IF(COUNT(Trigo!$E38:$Z38)=0,0,MAX(0,IF((AI$6-$E$3)&lt;1,0,IFERROR(LOOKUP(2,1/(Trigo!$E38:INDEX(Trigo!$E38:$Z38,MIN(AI$6-$E$3,22))&lt;&gt;""),Trigo!$E38:INDEX(Trigo!$E38:$Z38,MIN(AI$6-$E$3,22))),0))-IF($G$2,0,IF((AI$6-$G$3)&lt;1,0,IFERROR(LOOKUP(2,1/(Trigo!$E38:INDEX(Trigo!$E38:$Z38,MIN(AI$6-$G$3,22))&lt;&gt;""),Trigo!$E38:INDEX(Trigo!$E38:$Z38,MIN(AI$6-$G$3,22))),0)))))</f>
        <v>0</v>
      </c>
      <c r="AJ40" s="27" t="n">
        <f aca="false">IF(COUNT(Trigo!$E38:$Z38)=0,0,MAX(0,IF((AJ$6-$E$3)&lt;1,0,IFERROR(LOOKUP(2,1/(Trigo!$E38:INDEX(Trigo!$E38:$Z38,MIN(AJ$6-$E$3,22))&lt;&gt;""),Trigo!$E38:INDEX(Trigo!$E38:$Z38,MIN(AJ$6-$E$3,22))),0))-IF($G$2,0,IF((AJ$6-$G$3)&lt;1,0,IFERROR(LOOKUP(2,1/(Trigo!$E38:INDEX(Trigo!$E38:$Z38,MIN(AJ$6-$G$3,22))&lt;&gt;""),Trigo!$E38:INDEX(Trigo!$E38:$Z38,MIN(AJ$6-$G$3,22))),0)))))</f>
        <v>0</v>
      </c>
      <c r="AK40" s="27" t="n">
        <f aca="false">IF(COUNT(Trigo!$E38:$Z38)=0,0,MAX(0,IF((AK$6-$E$3)&lt;1,0,IFERROR(LOOKUP(2,1/(Trigo!$E38:INDEX(Trigo!$E38:$Z38,MIN(AK$6-$E$3,22))&lt;&gt;""),Trigo!$E38:INDEX(Trigo!$E38:$Z38,MIN(AK$6-$E$3,22))),0))-IF($G$2,0,IF((AK$6-$G$3)&lt;1,0,IFERROR(LOOKUP(2,1/(Trigo!$E38:INDEX(Trigo!$E38:$Z38,MIN(AK$6-$G$3,22))&lt;&gt;""),Trigo!$E38:INDEX(Trigo!$E38:$Z38,MIN(AK$6-$G$3,22))),0)))))</f>
        <v>0</v>
      </c>
      <c r="AL40" s="27" t="n">
        <f aca="false">IF(COUNT(Trigo!$E38:$Z38)=0,0,MAX(0,IF((AL$6-$E$3)&lt;1,0,IFERROR(LOOKUP(2,1/(Trigo!$E38:INDEX(Trigo!$E38:$Z38,MIN(AL$6-$E$3,22))&lt;&gt;""),Trigo!$E38:INDEX(Trigo!$E38:$Z38,MIN(AL$6-$E$3,22))),0))-IF($G$2,0,IF((AL$6-$G$3)&lt;1,0,IFERROR(LOOKUP(2,1/(Trigo!$E38:INDEX(Trigo!$E38:$Z38,MIN(AL$6-$G$3,22))&lt;&gt;""),Trigo!$E38:INDEX(Trigo!$E38:$Z38,MIN(AL$6-$G$3,22))),0)))))</f>
        <v>0</v>
      </c>
      <c r="AM40" s="27" t="n">
        <f aca="false">IF(COUNT(Trigo!$E38:$Z38)=0,0,MAX(0,IF((AM$6-$E$3)&lt;1,0,IFERROR(LOOKUP(2,1/(Trigo!$E38:INDEX(Trigo!$E38:$Z38,MIN(AM$6-$E$3,22))&lt;&gt;""),Trigo!$E38:INDEX(Trigo!$E38:$Z38,MIN(AM$6-$E$3,22))),0))-IF($G$2,0,IF((AM$6-$G$3)&lt;1,0,IFERROR(LOOKUP(2,1/(Trigo!$E38:INDEX(Trigo!$E38:$Z38,MIN(AM$6-$G$3,22))&lt;&gt;""),Trigo!$E38:INDEX(Trigo!$E38:$Z38,MIN(AM$6-$G$3,22))),0)))))</f>
        <v>0</v>
      </c>
      <c r="AN40" s="27" t="n">
        <f aca="false">IF(COUNT(Trigo!$E38:$Z38)=0,0,MAX(0,IF((AN$6-$E$3)&lt;1,0,IFERROR(LOOKUP(2,1/(Trigo!$E38:INDEX(Trigo!$E38:$Z38,MIN(AN$6-$E$3,22))&lt;&gt;""),Trigo!$E38:INDEX(Trigo!$E38:$Z38,MIN(AN$6-$E$3,22))),0))-IF($G$2,0,IF((AN$6-$G$3)&lt;1,0,IFERROR(LOOKUP(2,1/(Trigo!$E38:INDEX(Trigo!$E38:$Z38,MIN(AN$6-$G$3,22))&lt;&gt;""),Trigo!$E38:INDEX(Trigo!$E38:$Z38,MIN(AN$6-$G$3,22))),0)))))</f>
        <v>0</v>
      </c>
      <c r="AO40" s="27" t="n">
        <f aca="false">IF(COUNT(Trigo!$E38:$Z38)=0,0,MAX(0,IF((AO$6-$E$3)&lt;1,0,IFERROR(LOOKUP(2,1/(Trigo!$E38:INDEX(Trigo!$E38:$Z38,MIN(AO$6-$E$3,22))&lt;&gt;""),Trigo!$E38:INDEX(Trigo!$E38:$Z38,MIN(AO$6-$E$3,22))),0))-IF($G$2,0,IF((AO$6-$G$3)&lt;1,0,IFERROR(LOOKUP(2,1/(Trigo!$E38:INDEX(Trigo!$E38:$Z38,MIN(AO$6-$G$3,22))&lt;&gt;""),Trigo!$E38:INDEX(Trigo!$E38:$Z38,MIN(AO$6-$G$3,22))),0)))))</f>
        <v>0</v>
      </c>
      <c r="AP40" s="27" t="n">
        <f aca="false">IF(COUNT(Trigo!$E38:$Z38)=0,0,MAX(0,IF((AP$6-$E$3)&lt;1,0,IFERROR(LOOKUP(2,1/(Trigo!$E38:INDEX(Trigo!$E38:$Z38,MIN(AP$6-$E$3,22))&lt;&gt;""),Trigo!$E38:INDEX(Trigo!$E38:$Z38,MIN(AP$6-$E$3,22))),0))-IF($G$2,0,IF((AP$6-$G$3)&lt;1,0,IFERROR(LOOKUP(2,1/(Trigo!$E38:INDEX(Trigo!$E38:$Z38,MIN(AP$6-$G$3,22))&lt;&gt;""),Trigo!$E38:INDEX(Trigo!$E38:$Z38,MIN(AP$6-$G$3,22))),0)))))</f>
        <v>0</v>
      </c>
      <c r="AQ40" s="27" t="n">
        <f aca="false">IF(COUNT(Trigo!$E38:$Z38)=0,0,MAX(0,IF((AQ$6-$E$3)&lt;1,0,IFERROR(LOOKUP(2,1/(Trigo!$E38:INDEX(Trigo!$E38:$Z38,MIN(AQ$6-$E$3,22))&lt;&gt;""),Trigo!$E38:INDEX(Trigo!$E38:$Z38,MIN(AQ$6-$E$3,22))),0))-IF($G$2,0,IF((AQ$6-$G$3)&lt;1,0,IFERROR(LOOKUP(2,1/(Trigo!$E38:INDEX(Trigo!$E38:$Z38,MIN(AQ$6-$G$3,22))&lt;&gt;""),Trigo!$E38:INDEX(Trigo!$E38:$Z38,MIN(AQ$6-$G$3,22))),0)))))</f>
        <v>0</v>
      </c>
      <c r="AR40" s="27" t="n">
        <f aca="false">IF(COUNT(Trigo!$E38:$Z38)=0,0,MAX(0,IF((AR$6-$E$3)&lt;1,0,IFERROR(LOOKUP(2,1/(Trigo!$E38:INDEX(Trigo!$E38:$Z38,MIN(AR$6-$E$3,22))&lt;&gt;""),Trigo!$E38:INDEX(Trigo!$E38:$Z38,MIN(AR$6-$E$3,22))),0))-IF($G$2,0,IF((AR$6-$G$3)&lt;1,0,IFERROR(LOOKUP(2,1/(Trigo!$E38:INDEX(Trigo!$E38:$Z38,MIN(AR$6-$G$3,22))&lt;&gt;""),Trigo!$E38:INDEX(Trigo!$E38:$Z38,MIN(AR$6-$G$3,22))),0)))))</f>
        <v>0</v>
      </c>
      <c r="AS40" s="27" t="n">
        <f aca="false">IF(COUNT(Trigo!$E38:$Z38)=0,0,MAX(0,IF((AS$6-$E$3)&lt;1,0,IFERROR(LOOKUP(2,1/(Trigo!$E38:INDEX(Trigo!$E38:$Z38,MIN(AS$6-$E$3,22))&lt;&gt;""),Trigo!$E38:INDEX(Trigo!$E38:$Z38,MIN(AS$6-$E$3,22))),0))-IF($G$2,0,IF((AS$6-$G$3)&lt;1,0,IFERROR(LOOKUP(2,1/(Trigo!$E38:INDEX(Trigo!$E38:$Z38,MIN(AS$6-$G$3,22))&lt;&gt;""),Trigo!$E38:INDEX(Trigo!$E38:$Z38,MIN(AS$6-$G$3,22))),0)))))</f>
        <v>0</v>
      </c>
      <c r="AT40" s="27" t="n">
        <f aca="false">IF(COUNT(Trigo!$E38:$Z38)=0,0,MAX(0,IF((AT$6-$E$3)&lt;1,0,IFERROR(LOOKUP(2,1/(Trigo!$E38:INDEX(Trigo!$E38:$Z38,MIN(AT$6-$E$3,22))&lt;&gt;""),Trigo!$E38:INDEX(Trigo!$E38:$Z38,MIN(AT$6-$E$3,22))),0))-IF($G$2,0,IF((AT$6-$G$3)&lt;1,0,IFERROR(LOOKUP(2,1/(Trigo!$E38:INDEX(Trigo!$E38:$Z38,MIN(AT$6-$G$3,22))&lt;&gt;""),Trigo!$E38:INDEX(Trigo!$E38:$Z38,MIN(AT$6-$G$3,22))),0)))))</f>
        <v>0</v>
      </c>
      <c r="AU40" s="27" t="n">
        <f aca="false">IF(COUNT(Trigo!$E38:$Z38)=0,0,MAX(0,IF((AU$6-$E$3)&lt;1,0,IFERROR(LOOKUP(2,1/(Trigo!$E38:INDEX(Trigo!$E38:$Z38,MIN(AU$6-$E$3,22))&lt;&gt;""),Trigo!$E38:INDEX(Trigo!$E38:$Z38,MIN(AU$6-$E$3,22))),0))-IF($G$2,0,IF((AU$6-$G$3)&lt;1,0,IFERROR(LOOKUP(2,1/(Trigo!$E38:INDEX(Trigo!$E38:$Z38,MIN(AU$6-$G$3,22))&lt;&gt;""),Trigo!$E38:INDEX(Trigo!$E38:$Z38,MIN(AU$6-$G$3,22))),0)))))</f>
        <v>0</v>
      </c>
      <c r="AV40" s="27" t="n">
        <f aca="false">IF(COUNT(Trigo!$E38:$Z38)=0,0,MAX(0,IF((AV$6-$E$3)&lt;1,0,IFERROR(LOOKUP(2,1/(Trigo!$E38:INDEX(Trigo!$E38:$Z38,MIN(AV$6-$E$3,22))&lt;&gt;""),Trigo!$E38:INDEX(Trigo!$E38:$Z38,MIN(AV$6-$E$3,22))),0))-IF($G$2,0,IF((AV$6-$G$3)&lt;1,0,IFERROR(LOOKUP(2,1/(Trigo!$E38:INDEX(Trigo!$E38:$Z38,MIN(AV$6-$G$3,22))&lt;&gt;""),Trigo!$E38:INDEX(Trigo!$E38:$Z38,MIN(AV$6-$G$3,22))),0)))))</f>
        <v>0</v>
      </c>
      <c r="AW40" s="27" t="n">
        <f aca="false">IF(COUNT(Trigo!$E38:$Z38)=0,0,MAX(0,IF((AW$6-$E$3)&lt;1,0,IFERROR(LOOKUP(2,1/(Trigo!$E38:INDEX(Trigo!$E38:$Z38,MIN(AW$6-$E$3,22))&lt;&gt;""),Trigo!$E38:INDEX(Trigo!$E38:$Z38,MIN(AW$6-$E$3,22))),0))-IF($G$2,0,IF((AW$6-$G$3)&lt;1,0,IFERROR(LOOKUP(2,1/(Trigo!$E38:INDEX(Trigo!$E38:$Z38,MIN(AW$6-$G$3,22))&lt;&gt;""),Trigo!$E38:INDEX(Trigo!$E38:$Z38,MIN(AW$6-$G$3,22))),0)))))</f>
        <v>0</v>
      </c>
      <c r="AX40" s="27" t="n">
        <f aca="false">IF(COUNT(Trigo!$E38:$Z38)=0,0,MAX(0,IF((AX$6-$E$3)&lt;1,0,IFERROR(LOOKUP(2,1/(Trigo!$E38:INDEX(Trigo!$E38:$Z38,MIN(AX$6-$E$3,22))&lt;&gt;""),Trigo!$E38:INDEX(Trigo!$E38:$Z38,MIN(AX$6-$E$3,22))),0))-IF($G$2,0,IF((AX$6-$G$3)&lt;1,0,IFERROR(LOOKUP(2,1/(Trigo!$E38:INDEX(Trigo!$E38:$Z38,MIN(AX$6-$G$3,22))&lt;&gt;""),Trigo!$E38:INDEX(Trigo!$E38:$Z38,MIN(AX$6-$G$3,22))),0)))))</f>
        <v>0</v>
      </c>
      <c r="AY40" s="27" t="n">
        <f aca="false">IF(COUNT(Trigo!$E38:$Z38)=0,0,MAX(0,IF((AY$6-$E$3)&lt;1,0,IFERROR(LOOKUP(2,1/(Trigo!$E38:INDEX(Trigo!$E38:$Z38,MIN(AY$6-$E$3,22))&lt;&gt;""),Trigo!$E38:INDEX(Trigo!$E38:$Z38,MIN(AY$6-$E$3,22))),0))-IF($G$2,0,IF((AY$6-$G$3)&lt;1,0,IFERROR(LOOKUP(2,1/(Trigo!$E38:INDEX(Trigo!$E38:$Z38,MIN(AY$6-$G$3,22))&lt;&gt;""),Trigo!$E38:INDEX(Trigo!$E38:$Z38,MIN(AY$6-$G$3,22))),0)))))</f>
        <v>0</v>
      </c>
      <c r="AZ40" s="27" t="n">
        <f aca="false">IF(COUNT(Trigo!$E38:$Z38)=0,0,MAX(0,IF((AZ$6-$E$3)&lt;1,0,IFERROR(LOOKUP(2,1/(Trigo!$E38:INDEX(Trigo!$E38:$Z38,MIN(AZ$6-$E$3,22))&lt;&gt;""),Trigo!$E38:INDEX(Trigo!$E38:$Z38,MIN(AZ$6-$E$3,22))),0))-IF($G$2,0,IF((AZ$6-$G$3)&lt;1,0,IFERROR(LOOKUP(2,1/(Trigo!$E38:INDEX(Trigo!$E38:$Z38,MIN(AZ$6-$G$3,22))&lt;&gt;""),Trigo!$E38:INDEX(Trigo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IF(COUNT(Trigo!$E39:$Z39)&gt;0,N(Trigo!$D39),0)</f>
        <v>0</v>
      </c>
      <c r="E41" s="27" t="n">
        <f aca="false">IF(COUNT(Trigo!$E39:$Z39)=0,0,MAX(0,IF((E$6-$E$3)&lt;1,0,IFERROR(LOOKUP(2,1/(Trigo!$E39:INDEX(Trigo!$E39:$Z39,MIN(E$6-$E$3,22))&lt;&gt;""),Trigo!$E39:INDEX(Trigo!$E39:$Z39,MIN(E$6-$E$3,22))),0))-IF($G$2,0,IF((E$6-$G$3)&lt;1,0,IFERROR(LOOKUP(2,1/(Trigo!$E39:INDEX(Trigo!$E39:$Z39,MIN(E$6-$G$3,22))&lt;&gt;""),Trigo!$E39:INDEX(Trigo!$E39:$Z39,MIN(E$6-$G$3,22))),0)))))</f>
        <v>0</v>
      </c>
      <c r="F41" s="27" t="n">
        <f aca="false">IF(COUNT(Trigo!$E39:$Z39)=0,0,MAX(0,IF((F$6-$E$3)&lt;1,0,IFERROR(LOOKUP(2,1/(Trigo!$E39:INDEX(Trigo!$E39:$Z39,MIN(F$6-$E$3,22))&lt;&gt;""),Trigo!$E39:INDEX(Trigo!$E39:$Z39,MIN(F$6-$E$3,22))),0))-IF($G$2,0,IF((F$6-$G$3)&lt;1,0,IFERROR(LOOKUP(2,1/(Trigo!$E39:INDEX(Trigo!$E39:$Z39,MIN(F$6-$G$3,22))&lt;&gt;""),Trigo!$E39:INDEX(Trigo!$E39:$Z39,MIN(F$6-$G$3,22))),0)))))</f>
        <v>0</v>
      </c>
      <c r="G41" s="27" t="n">
        <f aca="false">IF(COUNT(Trigo!$E39:$Z39)=0,0,MAX(0,IF((G$6-$E$3)&lt;1,0,IFERROR(LOOKUP(2,1/(Trigo!$E39:INDEX(Trigo!$E39:$Z39,MIN(G$6-$E$3,22))&lt;&gt;""),Trigo!$E39:INDEX(Trigo!$E39:$Z39,MIN(G$6-$E$3,22))),0))-IF($G$2,0,IF((G$6-$G$3)&lt;1,0,IFERROR(LOOKUP(2,1/(Trigo!$E39:INDEX(Trigo!$E39:$Z39,MIN(G$6-$G$3,22))&lt;&gt;""),Trigo!$E39:INDEX(Trigo!$E39:$Z39,MIN(G$6-$G$3,22))),0)))))</f>
        <v>0</v>
      </c>
      <c r="H41" s="27" t="n">
        <f aca="false">IF(COUNT(Trigo!$E39:$Z39)=0,0,MAX(0,IF((H$6-$E$3)&lt;1,0,IFERROR(LOOKUP(2,1/(Trigo!$E39:INDEX(Trigo!$E39:$Z39,MIN(H$6-$E$3,22))&lt;&gt;""),Trigo!$E39:INDEX(Trigo!$E39:$Z39,MIN(H$6-$E$3,22))),0))-IF($G$2,0,IF((H$6-$G$3)&lt;1,0,IFERROR(LOOKUP(2,1/(Trigo!$E39:INDEX(Trigo!$E39:$Z39,MIN(H$6-$G$3,22))&lt;&gt;""),Trigo!$E39:INDEX(Trigo!$E39:$Z39,MIN(H$6-$G$3,22))),0)))))</f>
        <v>0</v>
      </c>
      <c r="I41" s="27" t="n">
        <f aca="false">IF(COUNT(Trigo!$E39:$Z39)=0,0,MAX(0,IF((I$6-$E$3)&lt;1,0,IFERROR(LOOKUP(2,1/(Trigo!$E39:INDEX(Trigo!$E39:$Z39,MIN(I$6-$E$3,22))&lt;&gt;""),Trigo!$E39:INDEX(Trigo!$E39:$Z39,MIN(I$6-$E$3,22))),0))-IF($G$2,0,IF((I$6-$G$3)&lt;1,0,IFERROR(LOOKUP(2,1/(Trigo!$E39:INDEX(Trigo!$E39:$Z39,MIN(I$6-$G$3,22))&lt;&gt;""),Trigo!$E39:INDEX(Trigo!$E39:$Z39,MIN(I$6-$G$3,22))),0)))))</f>
        <v>0</v>
      </c>
      <c r="J41" s="27" t="n">
        <f aca="false">IF(COUNT(Trigo!$E39:$Z39)=0,0,MAX(0,IF((J$6-$E$3)&lt;1,0,IFERROR(LOOKUP(2,1/(Trigo!$E39:INDEX(Trigo!$E39:$Z39,MIN(J$6-$E$3,22))&lt;&gt;""),Trigo!$E39:INDEX(Trigo!$E39:$Z39,MIN(J$6-$E$3,22))),0))-IF($G$2,0,IF((J$6-$G$3)&lt;1,0,IFERROR(LOOKUP(2,1/(Trigo!$E39:INDEX(Trigo!$E39:$Z39,MIN(J$6-$G$3,22))&lt;&gt;""),Trigo!$E39:INDEX(Trigo!$E39:$Z39,MIN(J$6-$G$3,22))),0)))))</f>
        <v>0</v>
      </c>
      <c r="K41" s="27" t="n">
        <f aca="false">IF(COUNT(Trigo!$E39:$Z39)=0,0,MAX(0,IF((K$6-$E$3)&lt;1,0,IFERROR(LOOKUP(2,1/(Trigo!$E39:INDEX(Trigo!$E39:$Z39,MIN(K$6-$E$3,22))&lt;&gt;""),Trigo!$E39:INDEX(Trigo!$E39:$Z39,MIN(K$6-$E$3,22))),0))-IF($G$2,0,IF((K$6-$G$3)&lt;1,0,IFERROR(LOOKUP(2,1/(Trigo!$E39:INDEX(Trigo!$E39:$Z39,MIN(K$6-$G$3,22))&lt;&gt;""),Trigo!$E39:INDEX(Trigo!$E39:$Z39,MIN(K$6-$G$3,22))),0)))))</f>
        <v>0</v>
      </c>
      <c r="L41" s="27" t="n">
        <f aca="false">IF(COUNT(Trigo!$E39:$Z39)=0,0,MAX(0,IF((L$6-$E$3)&lt;1,0,IFERROR(LOOKUP(2,1/(Trigo!$E39:INDEX(Trigo!$E39:$Z39,MIN(L$6-$E$3,22))&lt;&gt;""),Trigo!$E39:INDEX(Trigo!$E39:$Z39,MIN(L$6-$E$3,22))),0))-IF($G$2,0,IF((L$6-$G$3)&lt;1,0,IFERROR(LOOKUP(2,1/(Trigo!$E39:INDEX(Trigo!$E39:$Z39,MIN(L$6-$G$3,22))&lt;&gt;""),Trigo!$E39:INDEX(Trigo!$E39:$Z39,MIN(L$6-$G$3,22))),0)))))</f>
        <v>0</v>
      </c>
      <c r="M41" s="27" t="n">
        <f aca="false">IF(COUNT(Trigo!$E39:$Z39)=0,0,MAX(0,IF((M$6-$E$3)&lt;1,0,IFERROR(LOOKUP(2,1/(Trigo!$E39:INDEX(Trigo!$E39:$Z39,MIN(M$6-$E$3,22))&lt;&gt;""),Trigo!$E39:INDEX(Trigo!$E39:$Z39,MIN(M$6-$E$3,22))),0))-IF($G$2,0,IF((M$6-$G$3)&lt;1,0,IFERROR(LOOKUP(2,1/(Trigo!$E39:INDEX(Trigo!$E39:$Z39,MIN(M$6-$G$3,22))&lt;&gt;""),Trigo!$E39:INDEX(Trigo!$E39:$Z39,MIN(M$6-$G$3,22))),0)))))</f>
        <v>0</v>
      </c>
      <c r="N41" s="27" t="n">
        <f aca="false">IF(COUNT(Trigo!$E39:$Z39)=0,0,MAX(0,IF((N$6-$E$3)&lt;1,0,IFERROR(LOOKUP(2,1/(Trigo!$E39:INDEX(Trigo!$E39:$Z39,MIN(N$6-$E$3,22))&lt;&gt;""),Trigo!$E39:INDEX(Trigo!$E39:$Z39,MIN(N$6-$E$3,22))),0))-IF($G$2,0,IF((N$6-$G$3)&lt;1,0,IFERROR(LOOKUP(2,1/(Trigo!$E39:INDEX(Trigo!$E39:$Z39,MIN(N$6-$G$3,22))&lt;&gt;""),Trigo!$E39:INDEX(Trigo!$E39:$Z39,MIN(N$6-$G$3,22))),0)))))</f>
        <v>0</v>
      </c>
      <c r="O41" s="27" t="n">
        <f aca="false">IF(COUNT(Trigo!$E39:$Z39)=0,0,MAX(0,IF((O$6-$E$3)&lt;1,0,IFERROR(LOOKUP(2,1/(Trigo!$E39:INDEX(Trigo!$E39:$Z39,MIN(O$6-$E$3,22))&lt;&gt;""),Trigo!$E39:INDEX(Trigo!$E39:$Z39,MIN(O$6-$E$3,22))),0))-IF($G$2,0,IF((O$6-$G$3)&lt;1,0,IFERROR(LOOKUP(2,1/(Trigo!$E39:INDEX(Trigo!$E39:$Z39,MIN(O$6-$G$3,22))&lt;&gt;""),Trigo!$E39:INDEX(Trigo!$E39:$Z39,MIN(O$6-$G$3,22))),0)))))</f>
        <v>0</v>
      </c>
      <c r="P41" s="27" t="n">
        <f aca="false">IF(COUNT(Trigo!$E39:$Z39)=0,0,MAX(0,IF((P$6-$E$3)&lt;1,0,IFERROR(LOOKUP(2,1/(Trigo!$E39:INDEX(Trigo!$E39:$Z39,MIN(P$6-$E$3,22))&lt;&gt;""),Trigo!$E39:INDEX(Trigo!$E39:$Z39,MIN(P$6-$E$3,22))),0))-IF($G$2,0,IF((P$6-$G$3)&lt;1,0,IFERROR(LOOKUP(2,1/(Trigo!$E39:INDEX(Trigo!$E39:$Z39,MIN(P$6-$G$3,22))&lt;&gt;""),Trigo!$E39:INDEX(Trigo!$E39:$Z39,MIN(P$6-$G$3,22))),0)))))</f>
        <v>0</v>
      </c>
      <c r="Q41" s="27" t="n">
        <f aca="false">IF(COUNT(Trigo!$E39:$Z39)=0,0,MAX(0,IF((Q$6-$E$3)&lt;1,0,IFERROR(LOOKUP(2,1/(Trigo!$E39:INDEX(Trigo!$E39:$Z39,MIN(Q$6-$E$3,22))&lt;&gt;""),Trigo!$E39:INDEX(Trigo!$E39:$Z39,MIN(Q$6-$E$3,22))),0))-IF($G$2,0,IF((Q$6-$G$3)&lt;1,0,IFERROR(LOOKUP(2,1/(Trigo!$E39:INDEX(Trigo!$E39:$Z39,MIN(Q$6-$G$3,22))&lt;&gt;""),Trigo!$E39:INDEX(Trigo!$E39:$Z39,MIN(Q$6-$G$3,22))),0)))))</f>
        <v>0</v>
      </c>
      <c r="R41" s="27" t="n">
        <f aca="false">IF(COUNT(Trigo!$E39:$Z39)=0,0,MAX(0,IF((R$6-$E$3)&lt;1,0,IFERROR(LOOKUP(2,1/(Trigo!$E39:INDEX(Trigo!$E39:$Z39,MIN(R$6-$E$3,22))&lt;&gt;""),Trigo!$E39:INDEX(Trigo!$E39:$Z39,MIN(R$6-$E$3,22))),0))-IF($G$2,0,IF((R$6-$G$3)&lt;1,0,IFERROR(LOOKUP(2,1/(Trigo!$E39:INDEX(Trigo!$E39:$Z39,MIN(R$6-$G$3,22))&lt;&gt;""),Trigo!$E39:INDEX(Trigo!$E39:$Z39,MIN(R$6-$G$3,22))),0)))))</f>
        <v>0</v>
      </c>
      <c r="S41" s="27" t="n">
        <f aca="false">IF(COUNT(Trigo!$E39:$Z39)=0,0,MAX(0,IF((S$6-$E$3)&lt;1,0,IFERROR(LOOKUP(2,1/(Trigo!$E39:INDEX(Trigo!$E39:$Z39,MIN(S$6-$E$3,22))&lt;&gt;""),Trigo!$E39:INDEX(Trigo!$E39:$Z39,MIN(S$6-$E$3,22))),0))-IF($G$2,0,IF((S$6-$G$3)&lt;1,0,IFERROR(LOOKUP(2,1/(Trigo!$E39:INDEX(Trigo!$E39:$Z39,MIN(S$6-$G$3,22))&lt;&gt;""),Trigo!$E39:INDEX(Trigo!$E39:$Z39,MIN(S$6-$G$3,22))),0)))))</f>
        <v>0</v>
      </c>
      <c r="T41" s="27" t="n">
        <f aca="false">IF(COUNT(Trigo!$E39:$Z39)=0,0,MAX(0,IF((T$6-$E$3)&lt;1,0,IFERROR(LOOKUP(2,1/(Trigo!$E39:INDEX(Trigo!$E39:$Z39,MIN(T$6-$E$3,22))&lt;&gt;""),Trigo!$E39:INDEX(Trigo!$E39:$Z39,MIN(T$6-$E$3,22))),0))-IF($G$2,0,IF((T$6-$G$3)&lt;1,0,IFERROR(LOOKUP(2,1/(Trigo!$E39:INDEX(Trigo!$E39:$Z39,MIN(T$6-$G$3,22))&lt;&gt;""),Trigo!$E39:INDEX(Trigo!$E39:$Z39,MIN(T$6-$G$3,22))),0)))))</f>
        <v>0</v>
      </c>
      <c r="U41" s="27" t="n">
        <f aca="false">IF(COUNT(Trigo!$E39:$Z39)=0,0,MAX(0,IF((U$6-$E$3)&lt;1,0,IFERROR(LOOKUP(2,1/(Trigo!$E39:INDEX(Trigo!$E39:$Z39,MIN(U$6-$E$3,22))&lt;&gt;""),Trigo!$E39:INDEX(Trigo!$E39:$Z39,MIN(U$6-$E$3,22))),0))-IF($G$2,0,IF((U$6-$G$3)&lt;1,0,IFERROR(LOOKUP(2,1/(Trigo!$E39:INDEX(Trigo!$E39:$Z39,MIN(U$6-$G$3,22))&lt;&gt;""),Trigo!$E39:INDEX(Trigo!$E39:$Z39,MIN(U$6-$G$3,22))),0)))))</f>
        <v>0</v>
      </c>
      <c r="V41" s="27" t="n">
        <f aca="false">IF(COUNT(Trigo!$E39:$Z39)=0,0,MAX(0,IF((V$6-$E$3)&lt;1,0,IFERROR(LOOKUP(2,1/(Trigo!$E39:INDEX(Trigo!$E39:$Z39,MIN(V$6-$E$3,22))&lt;&gt;""),Trigo!$E39:INDEX(Trigo!$E39:$Z39,MIN(V$6-$E$3,22))),0))-IF($G$2,0,IF((V$6-$G$3)&lt;1,0,IFERROR(LOOKUP(2,1/(Trigo!$E39:INDEX(Trigo!$E39:$Z39,MIN(V$6-$G$3,22))&lt;&gt;""),Trigo!$E39:INDEX(Trigo!$E39:$Z39,MIN(V$6-$G$3,22))),0)))))</f>
        <v>0</v>
      </c>
      <c r="W41" s="27" t="n">
        <f aca="false">IF(COUNT(Trigo!$E39:$Z39)=0,0,MAX(0,IF((W$6-$E$3)&lt;1,0,IFERROR(LOOKUP(2,1/(Trigo!$E39:INDEX(Trigo!$E39:$Z39,MIN(W$6-$E$3,22))&lt;&gt;""),Trigo!$E39:INDEX(Trigo!$E39:$Z39,MIN(W$6-$E$3,22))),0))-IF($G$2,0,IF((W$6-$G$3)&lt;1,0,IFERROR(LOOKUP(2,1/(Trigo!$E39:INDEX(Trigo!$E39:$Z39,MIN(W$6-$G$3,22))&lt;&gt;""),Trigo!$E39:INDEX(Trigo!$E39:$Z39,MIN(W$6-$G$3,22))),0)))))</f>
        <v>0</v>
      </c>
      <c r="X41" s="27" t="n">
        <f aca="false">IF(COUNT(Trigo!$E39:$Z39)=0,0,MAX(0,IF((X$6-$E$3)&lt;1,0,IFERROR(LOOKUP(2,1/(Trigo!$E39:INDEX(Trigo!$E39:$Z39,MIN(X$6-$E$3,22))&lt;&gt;""),Trigo!$E39:INDEX(Trigo!$E39:$Z39,MIN(X$6-$E$3,22))),0))-IF($G$2,0,IF((X$6-$G$3)&lt;1,0,IFERROR(LOOKUP(2,1/(Trigo!$E39:INDEX(Trigo!$E39:$Z39,MIN(X$6-$G$3,22))&lt;&gt;""),Trigo!$E39:INDEX(Trigo!$E39:$Z39,MIN(X$6-$G$3,22))),0)))))</f>
        <v>0</v>
      </c>
      <c r="Y41" s="27" t="n">
        <f aca="false">IF(COUNT(Trigo!$E39:$Z39)=0,0,MAX(0,IF((Y$6-$E$3)&lt;1,0,IFERROR(LOOKUP(2,1/(Trigo!$E39:INDEX(Trigo!$E39:$Z39,MIN(Y$6-$E$3,22))&lt;&gt;""),Trigo!$E39:INDEX(Trigo!$E39:$Z39,MIN(Y$6-$E$3,22))),0))-IF($G$2,0,IF((Y$6-$G$3)&lt;1,0,IFERROR(LOOKUP(2,1/(Trigo!$E39:INDEX(Trigo!$E39:$Z39,MIN(Y$6-$G$3,22))&lt;&gt;""),Trigo!$E39:INDEX(Trigo!$E39:$Z39,MIN(Y$6-$G$3,22))),0)))))</f>
        <v>0</v>
      </c>
      <c r="Z41" s="27" t="n">
        <f aca="false">IF(COUNT(Trigo!$E39:$Z39)=0,0,MAX(0,IF((Z$6-$E$3)&lt;1,0,IFERROR(LOOKUP(2,1/(Trigo!$E39:INDEX(Trigo!$E39:$Z39,MIN(Z$6-$E$3,22))&lt;&gt;""),Trigo!$E39:INDEX(Trigo!$E39:$Z39,MIN(Z$6-$E$3,22))),0))-IF($G$2,0,IF((Z$6-$G$3)&lt;1,0,IFERROR(LOOKUP(2,1/(Trigo!$E39:INDEX(Trigo!$E39:$Z39,MIN(Z$6-$G$3,22))&lt;&gt;""),Trigo!$E39:INDEX(Trigo!$E39:$Z39,MIN(Z$6-$G$3,22))),0)))))</f>
        <v>0</v>
      </c>
      <c r="AA41" s="27" t="n">
        <f aca="false">IF(COUNT(Trigo!$E39:$Z39)=0,0,MAX(0,IF((AA$6-$E$3)&lt;1,0,IFERROR(LOOKUP(2,1/(Trigo!$E39:INDEX(Trigo!$E39:$Z39,MIN(AA$6-$E$3,22))&lt;&gt;""),Trigo!$E39:INDEX(Trigo!$E39:$Z39,MIN(AA$6-$E$3,22))),0))-IF($G$2,0,IF((AA$6-$G$3)&lt;1,0,IFERROR(LOOKUP(2,1/(Trigo!$E39:INDEX(Trigo!$E39:$Z39,MIN(AA$6-$G$3,22))&lt;&gt;""),Trigo!$E39:INDEX(Trigo!$E39:$Z39,MIN(AA$6-$G$3,22))),0)))))</f>
        <v>0</v>
      </c>
      <c r="AB41" s="27" t="n">
        <f aca="false">IF(COUNT(Trigo!$E39:$Z39)=0,0,MAX(0,IF((AB$6-$E$3)&lt;1,0,IFERROR(LOOKUP(2,1/(Trigo!$E39:INDEX(Trigo!$E39:$Z39,MIN(AB$6-$E$3,22))&lt;&gt;""),Trigo!$E39:INDEX(Trigo!$E39:$Z39,MIN(AB$6-$E$3,22))),0))-IF($G$2,0,IF((AB$6-$G$3)&lt;1,0,IFERROR(LOOKUP(2,1/(Trigo!$E39:INDEX(Trigo!$E39:$Z39,MIN(AB$6-$G$3,22))&lt;&gt;""),Trigo!$E39:INDEX(Trigo!$E39:$Z39,MIN(AB$6-$G$3,22))),0)))))</f>
        <v>0</v>
      </c>
      <c r="AC41" s="27" t="n">
        <f aca="false">IF(COUNT(Trigo!$E39:$Z39)=0,0,MAX(0,IF((AC$6-$E$3)&lt;1,0,IFERROR(LOOKUP(2,1/(Trigo!$E39:INDEX(Trigo!$E39:$Z39,MIN(AC$6-$E$3,22))&lt;&gt;""),Trigo!$E39:INDEX(Trigo!$E39:$Z39,MIN(AC$6-$E$3,22))),0))-IF($G$2,0,IF((AC$6-$G$3)&lt;1,0,IFERROR(LOOKUP(2,1/(Trigo!$E39:INDEX(Trigo!$E39:$Z39,MIN(AC$6-$G$3,22))&lt;&gt;""),Trigo!$E39:INDEX(Trigo!$E39:$Z39,MIN(AC$6-$G$3,22))),0)))))</f>
        <v>0</v>
      </c>
      <c r="AD41" s="27" t="n">
        <f aca="false">IF(COUNT(Trigo!$E39:$Z39)=0,0,MAX(0,IF((AD$6-$E$3)&lt;1,0,IFERROR(LOOKUP(2,1/(Trigo!$E39:INDEX(Trigo!$E39:$Z39,MIN(AD$6-$E$3,22))&lt;&gt;""),Trigo!$E39:INDEX(Trigo!$E39:$Z39,MIN(AD$6-$E$3,22))),0))-IF($G$2,0,IF((AD$6-$G$3)&lt;1,0,IFERROR(LOOKUP(2,1/(Trigo!$E39:INDEX(Trigo!$E39:$Z39,MIN(AD$6-$G$3,22))&lt;&gt;""),Trigo!$E39:INDEX(Trigo!$E39:$Z39,MIN(AD$6-$G$3,22))),0)))))</f>
        <v>0</v>
      </c>
      <c r="AE41" s="27" t="n">
        <f aca="false">IF(COUNT(Trigo!$E39:$Z39)=0,0,MAX(0,IF((AE$6-$E$3)&lt;1,0,IFERROR(LOOKUP(2,1/(Trigo!$E39:INDEX(Trigo!$E39:$Z39,MIN(AE$6-$E$3,22))&lt;&gt;""),Trigo!$E39:INDEX(Trigo!$E39:$Z39,MIN(AE$6-$E$3,22))),0))-IF($G$2,0,IF((AE$6-$G$3)&lt;1,0,IFERROR(LOOKUP(2,1/(Trigo!$E39:INDEX(Trigo!$E39:$Z39,MIN(AE$6-$G$3,22))&lt;&gt;""),Trigo!$E39:INDEX(Trigo!$E39:$Z39,MIN(AE$6-$G$3,22))),0)))))</f>
        <v>0</v>
      </c>
      <c r="AF41" s="27" t="n">
        <f aca="false">IF(COUNT(Trigo!$E39:$Z39)=0,0,MAX(0,IF((AF$6-$E$3)&lt;1,0,IFERROR(LOOKUP(2,1/(Trigo!$E39:INDEX(Trigo!$E39:$Z39,MIN(AF$6-$E$3,22))&lt;&gt;""),Trigo!$E39:INDEX(Trigo!$E39:$Z39,MIN(AF$6-$E$3,22))),0))-IF($G$2,0,IF((AF$6-$G$3)&lt;1,0,IFERROR(LOOKUP(2,1/(Trigo!$E39:INDEX(Trigo!$E39:$Z39,MIN(AF$6-$G$3,22))&lt;&gt;""),Trigo!$E39:INDEX(Trigo!$E39:$Z39,MIN(AF$6-$G$3,22))),0)))))</f>
        <v>0</v>
      </c>
      <c r="AG41" s="27" t="n">
        <f aca="false">IF(COUNT(Trigo!$E39:$Z39)=0,0,MAX(0,IF((AG$6-$E$3)&lt;1,0,IFERROR(LOOKUP(2,1/(Trigo!$E39:INDEX(Trigo!$E39:$Z39,MIN(AG$6-$E$3,22))&lt;&gt;""),Trigo!$E39:INDEX(Trigo!$E39:$Z39,MIN(AG$6-$E$3,22))),0))-IF($G$2,0,IF((AG$6-$G$3)&lt;1,0,IFERROR(LOOKUP(2,1/(Trigo!$E39:INDEX(Trigo!$E39:$Z39,MIN(AG$6-$G$3,22))&lt;&gt;""),Trigo!$E39:INDEX(Trigo!$E39:$Z39,MIN(AG$6-$G$3,22))),0)))))</f>
        <v>0</v>
      </c>
      <c r="AH41" s="27" t="n">
        <f aca="false">IF(COUNT(Trigo!$E39:$Z39)=0,0,MAX(0,IF((AH$6-$E$3)&lt;1,0,IFERROR(LOOKUP(2,1/(Trigo!$E39:INDEX(Trigo!$E39:$Z39,MIN(AH$6-$E$3,22))&lt;&gt;""),Trigo!$E39:INDEX(Trigo!$E39:$Z39,MIN(AH$6-$E$3,22))),0))-IF($G$2,0,IF((AH$6-$G$3)&lt;1,0,IFERROR(LOOKUP(2,1/(Trigo!$E39:INDEX(Trigo!$E39:$Z39,MIN(AH$6-$G$3,22))&lt;&gt;""),Trigo!$E39:INDEX(Trigo!$E39:$Z39,MIN(AH$6-$G$3,22))),0)))))</f>
        <v>0</v>
      </c>
      <c r="AI41" s="27" t="n">
        <f aca="false">IF(COUNT(Trigo!$E39:$Z39)=0,0,MAX(0,IF((AI$6-$E$3)&lt;1,0,IFERROR(LOOKUP(2,1/(Trigo!$E39:INDEX(Trigo!$E39:$Z39,MIN(AI$6-$E$3,22))&lt;&gt;""),Trigo!$E39:INDEX(Trigo!$E39:$Z39,MIN(AI$6-$E$3,22))),0))-IF($G$2,0,IF((AI$6-$G$3)&lt;1,0,IFERROR(LOOKUP(2,1/(Trigo!$E39:INDEX(Trigo!$E39:$Z39,MIN(AI$6-$G$3,22))&lt;&gt;""),Trigo!$E39:INDEX(Trigo!$E39:$Z39,MIN(AI$6-$G$3,22))),0)))))</f>
        <v>0</v>
      </c>
      <c r="AJ41" s="27" t="n">
        <f aca="false">IF(COUNT(Trigo!$E39:$Z39)=0,0,MAX(0,IF((AJ$6-$E$3)&lt;1,0,IFERROR(LOOKUP(2,1/(Trigo!$E39:INDEX(Trigo!$E39:$Z39,MIN(AJ$6-$E$3,22))&lt;&gt;""),Trigo!$E39:INDEX(Trigo!$E39:$Z39,MIN(AJ$6-$E$3,22))),0))-IF($G$2,0,IF((AJ$6-$G$3)&lt;1,0,IFERROR(LOOKUP(2,1/(Trigo!$E39:INDEX(Trigo!$E39:$Z39,MIN(AJ$6-$G$3,22))&lt;&gt;""),Trigo!$E39:INDEX(Trigo!$E39:$Z39,MIN(AJ$6-$G$3,22))),0)))))</f>
        <v>0</v>
      </c>
      <c r="AK41" s="27" t="n">
        <f aca="false">IF(COUNT(Trigo!$E39:$Z39)=0,0,MAX(0,IF((AK$6-$E$3)&lt;1,0,IFERROR(LOOKUP(2,1/(Trigo!$E39:INDEX(Trigo!$E39:$Z39,MIN(AK$6-$E$3,22))&lt;&gt;""),Trigo!$E39:INDEX(Trigo!$E39:$Z39,MIN(AK$6-$E$3,22))),0))-IF($G$2,0,IF((AK$6-$G$3)&lt;1,0,IFERROR(LOOKUP(2,1/(Trigo!$E39:INDEX(Trigo!$E39:$Z39,MIN(AK$6-$G$3,22))&lt;&gt;""),Trigo!$E39:INDEX(Trigo!$E39:$Z39,MIN(AK$6-$G$3,22))),0)))))</f>
        <v>0</v>
      </c>
      <c r="AL41" s="27" t="n">
        <f aca="false">IF(COUNT(Trigo!$E39:$Z39)=0,0,MAX(0,IF((AL$6-$E$3)&lt;1,0,IFERROR(LOOKUP(2,1/(Trigo!$E39:INDEX(Trigo!$E39:$Z39,MIN(AL$6-$E$3,22))&lt;&gt;""),Trigo!$E39:INDEX(Trigo!$E39:$Z39,MIN(AL$6-$E$3,22))),0))-IF($G$2,0,IF((AL$6-$G$3)&lt;1,0,IFERROR(LOOKUP(2,1/(Trigo!$E39:INDEX(Trigo!$E39:$Z39,MIN(AL$6-$G$3,22))&lt;&gt;""),Trigo!$E39:INDEX(Trigo!$E39:$Z39,MIN(AL$6-$G$3,22))),0)))))</f>
        <v>0</v>
      </c>
      <c r="AM41" s="27" t="n">
        <f aca="false">IF(COUNT(Trigo!$E39:$Z39)=0,0,MAX(0,IF((AM$6-$E$3)&lt;1,0,IFERROR(LOOKUP(2,1/(Trigo!$E39:INDEX(Trigo!$E39:$Z39,MIN(AM$6-$E$3,22))&lt;&gt;""),Trigo!$E39:INDEX(Trigo!$E39:$Z39,MIN(AM$6-$E$3,22))),0))-IF($G$2,0,IF((AM$6-$G$3)&lt;1,0,IFERROR(LOOKUP(2,1/(Trigo!$E39:INDEX(Trigo!$E39:$Z39,MIN(AM$6-$G$3,22))&lt;&gt;""),Trigo!$E39:INDEX(Trigo!$E39:$Z39,MIN(AM$6-$G$3,22))),0)))))</f>
        <v>0</v>
      </c>
      <c r="AN41" s="27" t="n">
        <f aca="false">IF(COUNT(Trigo!$E39:$Z39)=0,0,MAX(0,IF((AN$6-$E$3)&lt;1,0,IFERROR(LOOKUP(2,1/(Trigo!$E39:INDEX(Trigo!$E39:$Z39,MIN(AN$6-$E$3,22))&lt;&gt;""),Trigo!$E39:INDEX(Trigo!$E39:$Z39,MIN(AN$6-$E$3,22))),0))-IF($G$2,0,IF((AN$6-$G$3)&lt;1,0,IFERROR(LOOKUP(2,1/(Trigo!$E39:INDEX(Trigo!$E39:$Z39,MIN(AN$6-$G$3,22))&lt;&gt;""),Trigo!$E39:INDEX(Trigo!$E39:$Z39,MIN(AN$6-$G$3,22))),0)))))</f>
        <v>0</v>
      </c>
      <c r="AO41" s="27" t="n">
        <f aca="false">IF(COUNT(Trigo!$E39:$Z39)=0,0,MAX(0,IF((AO$6-$E$3)&lt;1,0,IFERROR(LOOKUP(2,1/(Trigo!$E39:INDEX(Trigo!$E39:$Z39,MIN(AO$6-$E$3,22))&lt;&gt;""),Trigo!$E39:INDEX(Trigo!$E39:$Z39,MIN(AO$6-$E$3,22))),0))-IF($G$2,0,IF((AO$6-$G$3)&lt;1,0,IFERROR(LOOKUP(2,1/(Trigo!$E39:INDEX(Trigo!$E39:$Z39,MIN(AO$6-$G$3,22))&lt;&gt;""),Trigo!$E39:INDEX(Trigo!$E39:$Z39,MIN(AO$6-$G$3,22))),0)))))</f>
        <v>0</v>
      </c>
      <c r="AP41" s="27" t="n">
        <f aca="false">IF(COUNT(Trigo!$E39:$Z39)=0,0,MAX(0,IF((AP$6-$E$3)&lt;1,0,IFERROR(LOOKUP(2,1/(Trigo!$E39:INDEX(Trigo!$E39:$Z39,MIN(AP$6-$E$3,22))&lt;&gt;""),Trigo!$E39:INDEX(Trigo!$E39:$Z39,MIN(AP$6-$E$3,22))),0))-IF($G$2,0,IF((AP$6-$G$3)&lt;1,0,IFERROR(LOOKUP(2,1/(Trigo!$E39:INDEX(Trigo!$E39:$Z39,MIN(AP$6-$G$3,22))&lt;&gt;""),Trigo!$E39:INDEX(Trigo!$E39:$Z39,MIN(AP$6-$G$3,22))),0)))))</f>
        <v>0</v>
      </c>
      <c r="AQ41" s="27" t="n">
        <f aca="false">IF(COUNT(Trigo!$E39:$Z39)=0,0,MAX(0,IF((AQ$6-$E$3)&lt;1,0,IFERROR(LOOKUP(2,1/(Trigo!$E39:INDEX(Trigo!$E39:$Z39,MIN(AQ$6-$E$3,22))&lt;&gt;""),Trigo!$E39:INDEX(Trigo!$E39:$Z39,MIN(AQ$6-$E$3,22))),0))-IF($G$2,0,IF((AQ$6-$G$3)&lt;1,0,IFERROR(LOOKUP(2,1/(Trigo!$E39:INDEX(Trigo!$E39:$Z39,MIN(AQ$6-$G$3,22))&lt;&gt;""),Trigo!$E39:INDEX(Trigo!$E39:$Z39,MIN(AQ$6-$G$3,22))),0)))))</f>
        <v>0</v>
      </c>
      <c r="AR41" s="27" t="n">
        <f aca="false">IF(COUNT(Trigo!$E39:$Z39)=0,0,MAX(0,IF((AR$6-$E$3)&lt;1,0,IFERROR(LOOKUP(2,1/(Trigo!$E39:INDEX(Trigo!$E39:$Z39,MIN(AR$6-$E$3,22))&lt;&gt;""),Trigo!$E39:INDEX(Trigo!$E39:$Z39,MIN(AR$6-$E$3,22))),0))-IF($G$2,0,IF((AR$6-$G$3)&lt;1,0,IFERROR(LOOKUP(2,1/(Trigo!$E39:INDEX(Trigo!$E39:$Z39,MIN(AR$6-$G$3,22))&lt;&gt;""),Trigo!$E39:INDEX(Trigo!$E39:$Z39,MIN(AR$6-$G$3,22))),0)))))</f>
        <v>0</v>
      </c>
      <c r="AS41" s="27" t="n">
        <f aca="false">IF(COUNT(Trigo!$E39:$Z39)=0,0,MAX(0,IF((AS$6-$E$3)&lt;1,0,IFERROR(LOOKUP(2,1/(Trigo!$E39:INDEX(Trigo!$E39:$Z39,MIN(AS$6-$E$3,22))&lt;&gt;""),Trigo!$E39:INDEX(Trigo!$E39:$Z39,MIN(AS$6-$E$3,22))),0))-IF($G$2,0,IF((AS$6-$G$3)&lt;1,0,IFERROR(LOOKUP(2,1/(Trigo!$E39:INDEX(Trigo!$E39:$Z39,MIN(AS$6-$G$3,22))&lt;&gt;""),Trigo!$E39:INDEX(Trigo!$E39:$Z39,MIN(AS$6-$G$3,22))),0)))))</f>
        <v>0</v>
      </c>
      <c r="AT41" s="27" t="n">
        <f aca="false">IF(COUNT(Trigo!$E39:$Z39)=0,0,MAX(0,IF((AT$6-$E$3)&lt;1,0,IFERROR(LOOKUP(2,1/(Trigo!$E39:INDEX(Trigo!$E39:$Z39,MIN(AT$6-$E$3,22))&lt;&gt;""),Trigo!$E39:INDEX(Trigo!$E39:$Z39,MIN(AT$6-$E$3,22))),0))-IF($G$2,0,IF((AT$6-$G$3)&lt;1,0,IFERROR(LOOKUP(2,1/(Trigo!$E39:INDEX(Trigo!$E39:$Z39,MIN(AT$6-$G$3,22))&lt;&gt;""),Trigo!$E39:INDEX(Trigo!$E39:$Z39,MIN(AT$6-$G$3,22))),0)))))</f>
        <v>0</v>
      </c>
      <c r="AU41" s="27" t="n">
        <f aca="false">IF(COUNT(Trigo!$E39:$Z39)=0,0,MAX(0,IF((AU$6-$E$3)&lt;1,0,IFERROR(LOOKUP(2,1/(Trigo!$E39:INDEX(Trigo!$E39:$Z39,MIN(AU$6-$E$3,22))&lt;&gt;""),Trigo!$E39:INDEX(Trigo!$E39:$Z39,MIN(AU$6-$E$3,22))),0))-IF($G$2,0,IF((AU$6-$G$3)&lt;1,0,IFERROR(LOOKUP(2,1/(Trigo!$E39:INDEX(Trigo!$E39:$Z39,MIN(AU$6-$G$3,22))&lt;&gt;""),Trigo!$E39:INDEX(Trigo!$E39:$Z39,MIN(AU$6-$G$3,22))),0)))))</f>
        <v>0</v>
      </c>
      <c r="AV41" s="27" t="n">
        <f aca="false">IF(COUNT(Trigo!$E39:$Z39)=0,0,MAX(0,IF((AV$6-$E$3)&lt;1,0,IFERROR(LOOKUP(2,1/(Trigo!$E39:INDEX(Trigo!$E39:$Z39,MIN(AV$6-$E$3,22))&lt;&gt;""),Trigo!$E39:INDEX(Trigo!$E39:$Z39,MIN(AV$6-$E$3,22))),0))-IF($G$2,0,IF((AV$6-$G$3)&lt;1,0,IFERROR(LOOKUP(2,1/(Trigo!$E39:INDEX(Trigo!$E39:$Z39,MIN(AV$6-$G$3,22))&lt;&gt;""),Trigo!$E39:INDEX(Trigo!$E39:$Z39,MIN(AV$6-$G$3,22))),0)))))</f>
        <v>0</v>
      </c>
      <c r="AW41" s="27" t="n">
        <f aca="false">IF(COUNT(Trigo!$E39:$Z39)=0,0,MAX(0,IF((AW$6-$E$3)&lt;1,0,IFERROR(LOOKUP(2,1/(Trigo!$E39:INDEX(Trigo!$E39:$Z39,MIN(AW$6-$E$3,22))&lt;&gt;""),Trigo!$E39:INDEX(Trigo!$E39:$Z39,MIN(AW$6-$E$3,22))),0))-IF($G$2,0,IF((AW$6-$G$3)&lt;1,0,IFERROR(LOOKUP(2,1/(Trigo!$E39:INDEX(Trigo!$E39:$Z39,MIN(AW$6-$G$3,22))&lt;&gt;""),Trigo!$E39:INDEX(Trigo!$E39:$Z39,MIN(AW$6-$G$3,22))),0)))))</f>
        <v>0</v>
      </c>
      <c r="AX41" s="27" t="n">
        <f aca="false">IF(COUNT(Trigo!$E39:$Z39)=0,0,MAX(0,IF((AX$6-$E$3)&lt;1,0,IFERROR(LOOKUP(2,1/(Trigo!$E39:INDEX(Trigo!$E39:$Z39,MIN(AX$6-$E$3,22))&lt;&gt;""),Trigo!$E39:INDEX(Trigo!$E39:$Z39,MIN(AX$6-$E$3,22))),0))-IF($G$2,0,IF((AX$6-$G$3)&lt;1,0,IFERROR(LOOKUP(2,1/(Trigo!$E39:INDEX(Trigo!$E39:$Z39,MIN(AX$6-$G$3,22))&lt;&gt;""),Trigo!$E39:INDEX(Trigo!$E39:$Z39,MIN(AX$6-$G$3,22))),0)))))</f>
        <v>0</v>
      </c>
      <c r="AY41" s="27" t="n">
        <f aca="false">IF(COUNT(Trigo!$E39:$Z39)=0,0,MAX(0,IF((AY$6-$E$3)&lt;1,0,IFERROR(LOOKUP(2,1/(Trigo!$E39:INDEX(Trigo!$E39:$Z39,MIN(AY$6-$E$3,22))&lt;&gt;""),Trigo!$E39:INDEX(Trigo!$E39:$Z39,MIN(AY$6-$E$3,22))),0))-IF($G$2,0,IF((AY$6-$G$3)&lt;1,0,IFERROR(LOOKUP(2,1/(Trigo!$E39:INDEX(Trigo!$E39:$Z39,MIN(AY$6-$G$3,22))&lt;&gt;""),Trigo!$E39:INDEX(Trigo!$E39:$Z39,MIN(AY$6-$G$3,22))),0)))))</f>
        <v>0</v>
      </c>
      <c r="AZ41" s="27" t="n">
        <f aca="false">IF(COUNT(Trigo!$E39:$Z39)=0,0,MAX(0,IF((AZ$6-$E$3)&lt;1,0,IFERROR(LOOKUP(2,1/(Trigo!$E39:INDEX(Trigo!$E39:$Z39,MIN(AZ$6-$E$3,22))&lt;&gt;""),Trigo!$E39:INDEX(Trigo!$E39:$Z39,MIN(AZ$6-$E$3,22))),0))-IF($G$2,0,IF((AZ$6-$G$3)&lt;1,0,IFERROR(LOOKUP(2,1/(Trigo!$E39:INDEX(Trigo!$E39:$Z39,MIN(AZ$6-$G$3,22))&lt;&gt;""),Trigo!$E39:INDEX(Trigo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IF(COUNT(Trigo!$E40:$Z40)&gt;0,N(Trigo!$D40),0)</f>
        <v>0</v>
      </c>
      <c r="E42" s="27" t="n">
        <f aca="false">IF(COUNT(Trigo!$E40:$Z40)=0,0,MAX(0,IF((E$6-$E$3)&lt;1,0,IFERROR(LOOKUP(2,1/(Trigo!$E40:INDEX(Trigo!$E40:$Z40,MIN(E$6-$E$3,22))&lt;&gt;""),Trigo!$E40:INDEX(Trigo!$E40:$Z40,MIN(E$6-$E$3,22))),0))-IF($G$2,0,IF((E$6-$G$3)&lt;1,0,IFERROR(LOOKUP(2,1/(Trigo!$E40:INDEX(Trigo!$E40:$Z40,MIN(E$6-$G$3,22))&lt;&gt;""),Trigo!$E40:INDEX(Trigo!$E40:$Z40,MIN(E$6-$G$3,22))),0)))))</f>
        <v>0</v>
      </c>
      <c r="F42" s="27" t="n">
        <f aca="false">IF(COUNT(Trigo!$E40:$Z40)=0,0,MAX(0,IF((F$6-$E$3)&lt;1,0,IFERROR(LOOKUP(2,1/(Trigo!$E40:INDEX(Trigo!$E40:$Z40,MIN(F$6-$E$3,22))&lt;&gt;""),Trigo!$E40:INDEX(Trigo!$E40:$Z40,MIN(F$6-$E$3,22))),0))-IF($G$2,0,IF((F$6-$G$3)&lt;1,0,IFERROR(LOOKUP(2,1/(Trigo!$E40:INDEX(Trigo!$E40:$Z40,MIN(F$6-$G$3,22))&lt;&gt;""),Trigo!$E40:INDEX(Trigo!$E40:$Z40,MIN(F$6-$G$3,22))),0)))))</f>
        <v>0</v>
      </c>
      <c r="G42" s="27" t="n">
        <f aca="false">IF(COUNT(Trigo!$E40:$Z40)=0,0,MAX(0,IF((G$6-$E$3)&lt;1,0,IFERROR(LOOKUP(2,1/(Trigo!$E40:INDEX(Trigo!$E40:$Z40,MIN(G$6-$E$3,22))&lt;&gt;""),Trigo!$E40:INDEX(Trigo!$E40:$Z40,MIN(G$6-$E$3,22))),0))-IF($G$2,0,IF((G$6-$G$3)&lt;1,0,IFERROR(LOOKUP(2,1/(Trigo!$E40:INDEX(Trigo!$E40:$Z40,MIN(G$6-$G$3,22))&lt;&gt;""),Trigo!$E40:INDEX(Trigo!$E40:$Z40,MIN(G$6-$G$3,22))),0)))))</f>
        <v>0</v>
      </c>
      <c r="H42" s="27" t="n">
        <f aca="false">IF(COUNT(Trigo!$E40:$Z40)=0,0,MAX(0,IF((H$6-$E$3)&lt;1,0,IFERROR(LOOKUP(2,1/(Trigo!$E40:INDEX(Trigo!$E40:$Z40,MIN(H$6-$E$3,22))&lt;&gt;""),Trigo!$E40:INDEX(Trigo!$E40:$Z40,MIN(H$6-$E$3,22))),0))-IF($G$2,0,IF((H$6-$G$3)&lt;1,0,IFERROR(LOOKUP(2,1/(Trigo!$E40:INDEX(Trigo!$E40:$Z40,MIN(H$6-$G$3,22))&lt;&gt;""),Trigo!$E40:INDEX(Trigo!$E40:$Z40,MIN(H$6-$G$3,22))),0)))))</f>
        <v>0</v>
      </c>
      <c r="I42" s="27" t="n">
        <f aca="false">IF(COUNT(Trigo!$E40:$Z40)=0,0,MAX(0,IF((I$6-$E$3)&lt;1,0,IFERROR(LOOKUP(2,1/(Trigo!$E40:INDEX(Trigo!$E40:$Z40,MIN(I$6-$E$3,22))&lt;&gt;""),Trigo!$E40:INDEX(Trigo!$E40:$Z40,MIN(I$6-$E$3,22))),0))-IF($G$2,0,IF((I$6-$G$3)&lt;1,0,IFERROR(LOOKUP(2,1/(Trigo!$E40:INDEX(Trigo!$E40:$Z40,MIN(I$6-$G$3,22))&lt;&gt;""),Trigo!$E40:INDEX(Trigo!$E40:$Z40,MIN(I$6-$G$3,22))),0)))))</f>
        <v>0</v>
      </c>
      <c r="J42" s="27" t="n">
        <f aca="false">IF(COUNT(Trigo!$E40:$Z40)=0,0,MAX(0,IF((J$6-$E$3)&lt;1,0,IFERROR(LOOKUP(2,1/(Trigo!$E40:INDEX(Trigo!$E40:$Z40,MIN(J$6-$E$3,22))&lt;&gt;""),Trigo!$E40:INDEX(Trigo!$E40:$Z40,MIN(J$6-$E$3,22))),0))-IF($G$2,0,IF((J$6-$G$3)&lt;1,0,IFERROR(LOOKUP(2,1/(Trigo!$E40:INDEX(Trigo!$E40:$Z40,MIN(J$6-$G$3,22))&lt;&gt;""),Trigo!$E40:INDEX(Trigo!$E40:$Z40,MIN(J$6-$G$3,22))),0)))))</f>
        <v>0</v>
      </c>
      <c r="K42" s="27" t="n">
        <f aca="false">IF(COUNT(Trigo!$E40:$Z40)=0,0,MAX(0,IF((K$6-$E$3)&lt;1,0,IFERROR(LOOKUP(2,1/(Trigo!$E40:INDEX(Trigo!$E40:$Z40,MIN(K$6-$E$3,22))&lt;&gt;""),Trigo!$E40:INDEX(Trigo!$E40:$Z40,MIN(K$6-$E$3,22))),0))-IF($G$2,0,IF((K$6-$G$3)&lt;1,0,IFERROR(LOOKUP(2,1/(Trigo!$E40:INDEX(Trigo!$E40:$Z40,MIN(K$6-$G$3,22))&lt;&gt;""),Trigo!$E40:INDEX(Trigo!$E40:$Z40,MIN(K$6-$G$3,22))),0)))))</f>
        <v>0</v>
      </c>
      <c r="L42" s="27" t="n">
        <f aca="false">IF(COUNT(Trigo!$E40:$Z40)=0,0,MAX(0,IF((L$6-$E$3)&lt;1,0,IFERROR(LOOKUP(2,1/(Trigo!$E40:INDEX(Trigo!$E40:$Z40,MIN(L$6-$E$3,22))&lt;&gt;""),Trigo!$E40:INDEX(Trigo!$E40:$Z40,MIN(L$6-$E$3,22))),0))-IF($G$2,0,IF((L$6-$G$3)&lt;1,0,IFERROR(LOOKUP(2,1/(Trigo!$E40:INDEX(Trigo!$E40:$Z40,MIN(L$6-$G$3,22))&lt;&gt;""),Trigo!$E40:INDEX(Trigo!$E40:$Z40,MIN(L$6-$G$3,22))),0)))))</f>
        <v>0</v>
      </c>
      <c r="M42" s="27" t="n">
        <f aca="false">IF(COUNT(Trigo!$E40:$Z40)=0,0,MAX(0,IF((M$6-$E$3)&lt;1,0,IFERROR(LOOKUP(2,1/(Trigo!$E40:INDEX(Trigo!$E40:$Z40,MIN(M$6-$E$3,22))&lt;&gt;""),Trigo!$E40:INDEX(Trigo!$E40:$Z40,MIN(M$6-$E$3,22))),0))-IF($G$2,0,IF((M$6-$G$3)&lt;1,0,IFERROR(LOOKUP(2,1/(Trigo!$E40:INDEX(Trigo!$E40:$Z40,MIN(M$6-$G$3,22))&lt;&gt;""),Trigo!$E40:INDEX(Trigo!$E40:$Z40,MIN(M$6-$G$3,22))),0)))))</f>
        <v>0</v>
      </c>
      <c r="N42" s="27" t="n">
        <f aca="false">IF(COUNT(Trigo!$E40:$Z40)=0,0,MAX(0,IF((N$6-$E$3)&lt;1,0,IFERROR(LOOKUP(2,1/(Trigo!$E40:INDEX(Trigo!$E40:$Z40,MIN(N$6-$E$3,22))&lt;&gt;""),Trigo!$E40:INDEX(Trigo!$E40:$Z40,MIN(N$6-$E$3,22))),0))-IF($G$2,0,IF((N$6-$G$3)&lt;1,0,IFERROR(LOOKUP(2,1/(Trigo!$E40:INDEX(Trigo!$E40:$Z40,MIN(N$6-$G$3,22))&lt;&gt;""),Trigo!$E40:INDEX(Trigo!$E40:$Z40,MIN(N$6-$G$3,22))),0)))))</f>
        <v>0</v>
      </c>
      <c r="O42" s="27" t="n">
        <f aca="false">IF(COUNT(Trigo!$E40:$Z40)=0,0,MAX(0,IF((O$6-$E$3)&lt;1,0,IFERROR(LOOKUP(2,1/(Trigo!$E40:INDEX(Trigo!$E40:$Z40,MIN(O$6-$E$3,22))&lt;&gt;""),Trigo!$E40:INDEX(Trigo!$E40:$Z40,MIN(O$6-$E$3,22))),0))-IF($G$2,0,IF((O$6-$G$3)&lt;1,0,IFERROR(LOOKUP(2,1/(Trigo!$E40:INDEX(Trigo!$E40:$Z40,MIN(O$6-$G$3,22))&lt;&gt;""),Trigo!$E40:INDEX(Trigo!$E40:$Z40,MIN(O$6-$G$3,22))),0)))))</f>
        <v>0</v>
      </c>
      <c r="P42" s="27" t="n">
        <f aca="false">IF(COUNT(Trigo!$E40:$Z40)=0,0,MAX(0,IF((P$6-$E$3)&lt;1,0,IFERROR(LOOKUP(2,1/(Trigo!$E40:INDEX(Trigo!$E40:$Z40,MIN(P$6-$E$3,22))&lt;&gt;""),Trigo!$E40:INDEX(Trigo!$E40:$Z40,MIN(P$6-$E$3,22))),0))-IF($G$2,0,IF((P$6-$G$3)&lt;1,0,IFERROR(LOOKUP(2,1/(Trigo!$E40:INDEX(Trigo!$E40:$Z40,MIN(P$6-$G$3,22))&lt;&gt;""),Trigo!$E40:INDEX(Trigo!$E40:$Z40,MIN(P$6-$G$3,22))),0)))))</f>
        <v>0</v>
      </c>
      <c r="Q42" s="27" t="n">
        <f aca="false">IF(COUNT(Trigo!$E40:$Z40)=0,0,MAX(0,IF((Q$6-$E$3)&lt;1,0,IFERROR(LOOKUP(2,1/(Trigo!$E40:INDEX(Trigo!$E40:$Z40,MIN(Q$6-$E$3,22))&lt;&gt;""),Trigo!$E40:INDEX(Trigo!$E40:$Z40,MIN(Q$6-$E$3,22))),0))-IF($G$2,0,IF((Q$6-$G$3)&lt;1,0,IFERROR(LOOKUP(2,1/(Trigo!$E40:INDEX(Trigo!$E40:$Z40,MIN(Q$6-$G$3,22))&lt;&gt;""),Trigo!$E40:INDEX(Trigo!$E40:$Z40,MIN(Q$6-$G$3,22))),0)))))</f>
        <v>0</v>
      </c>
      <c r="R42" s="27" t="n">
        <f aca="false">IF(COUNT(Trigo!$E40:$Z40)=0,0,MAX(0,IF((R$6-$E$3)&lt;1,0,IFERROR(LOOKUP(2,1/(Trigo!$E40:INDEX(Trigo!$E40:$Z40,MIN(R$6-$E$3,22))&lt;&gt;""),Trigo!$E40:INDEX(Trigo!$E40:$Z40,MIN(R$6-$E$3,22))),0))-IF($G$2,0,IF((R$6-$G$3)&lt;1,0,IFERROR(LOOKUP(2,1/(Trigo!$E40:INDEX(Trigo!$E40:$Z40,MIN(R$6-$G$3,22))&lt;&gt;""),Trigo!$E40:INDEX(Trigo!$E40:$Z40,MIN(R$6-$G$3,22))),0)))))</f>
        <v>0</v>
      </c>
      <c r="S42" s="27" t="n">
        <f aca="false">IF(COUNT(Trigo!$E40:$Z40)=0,0,MAX(0,IF((S$6-$E$3)&lt;1,0,IFERROR(LOOKUP(2,1/(Trigo!$E40:INDEX(Trigo!$E40:$Z40,MIN(S$6-$E$3,22))&lt;&gt;""),Trigo!$E40:INDEX(Trigo!$E40:$Z40,MIN(S$6-$E$3,22))),0))-IF($G$2,0,IF((S$6-$G$3)&lt;1,0,IFERROR(LOOKUP(2,1/(Trigo!$E40:INDEX(Trigo!$E40:$Z40,MIN(S$6-$G$3,22))&lt;&gt;""),Trigo!$E40:INDEX(Trigo!$E40:$Z40,MIN(S$6-$G$3,22))),0)))))</f>
        <v>0</v>
      </c>
      <c r="T42" s="27" t="n">
        <f aca="false">IF(COUNT(Trigo!$E40:$Z40)=0,0,MAX(0,IF((T$6-$E$3)&lt;1,0,IFERROR(LOOKUP(2,1/(Trigo!$E40:INDEX(Trigo!$E40:$Z40,MIN(T$6-$E$3,22))&lt;&gt;""),Trigo!$E40:INDEX(Trigo!$E40:$Z40,MIN(T$6-$E$3,22))),0))-IF($G$2,0,IF((T$6-$G$3)&lt;1,0,IFERROR(LOOKUP(2,1/(Trigo!$E40:INDEX(Trigo!$E40:$Z40,MIN(T$6-$G$3,22))&lt;&gt;""),Trigo!$E40:INDEX(Trigo!$E40:$Z40,MIN(T$6-$G$3,22))),0)))))</f>
        <v>0</v>
      </c>
      <c r="U42" s="27" t="n">
        <f aca="false">IF(COUNT(Trigo!$E40:$Z40)=0,0,MAX(0,IF((U$6-$E$3)&lt;1,0,IFERROR(LOOKUP(2,1/(Trigo!$E40:INDEX(Trigo!$E40:$Z40,MIN(U$6-$E$3,22))&lt;&gt;""),Trigo!$E40:INDEX(Trigo!$E40:$Z40,MIN(U$6-$E$3,22))),0))-IF($G$2,0,IF((U$6-$G$3)&lt;1,0,IFERROR(LOOKUP(2,1/(Trigo!$E40:INDEX(Trigo!$E40:$Z40,MIN(U$6-$G$3,22))&lt;&gt;""),Trigo!$E40:INDEX(Trigo!$E40:$Z40,MIN(U$6-$G$3,22))),0)))))</f>
        <v>0</v>
      </c>
      <c r="V42" s="27" t="n">
        <f aca="false">IF(COUNT(Trigo!$E40:$Z40)=0,0,MAX(0,IF((V$6-$E$3)&lt;1,0,IFERROR(LOOKUP(2,1/(Trigo!$E40:INDEX(Trigo!$E40:$Z40,MIN(V$6-$E$3,22))&lt;&gt;""),Trigo!$E40:INDEX(Trigo!$E40:$Z40,MIN(V$6-$E$3,22))),0))-IF($G$2,0,IF((V$6-$G$3)&lt;1,0,IFERROR(LOOKUP(2,1/(Trigo!$E40:INDEX(Trigo!$E40:$Z40,MIN(V$6-$G$3,22))&lt;&gt;""),Trigo!$E40:INDEX(Trigo!$E40:$Z40,MIN(V$6-$G$3,22))),0)))))</f>
        <v>0</v>
      </c>
      <c r="W42" s="27" t="n">
        <f aca="false">IF(COUNT(Trigo!$E40:$Z40)=0,0,MAX(0,IF((W$6-$E$3)&lt;1,0,IFERROR(LOOKUP(2,1/(Trigo!$E40:INDEX(Trigo!$E40:$Z40,MIN(W$6-$E$3,22))&lt;&gt;""),Trigo!$E40:INDEX(Trigo!$E40:$Z40,MIN(W$6-$E$3,22))),0))-IF($G$2,0,IF((W$6-$G$3)&lt;1,0,IFERROR(LOOKUP(2,1/(Trigo!$E40:INDEX(Trigo!$E40:$Z40,MIN(W$6-$G$3,22))&lt;&gt;""),Trigo!$E40:INDEX(Trigo!$E40:$Z40,MIN(W$6-$G$3,22))),0)))))</f>
        <v>0</v>
      </c>
      <c r="X42" s="27" t="n">
        <f aca="false">IF(COUNT(Trigo!$E40:$Z40)=0,0,MAX(0,IF((X$6-$E$3)&lt;1,0,IFERROR(LOOKUP(2,1/(Trigo!$E40:INDEX(Trigo!$E40:$Z40,MIN(X$6-$E$3,22))&lt;&gt;""),Trigo!$E40:INDEX(Trigo!$E40:$Z40,MIN(X$6-$E$3,22))),0))-IF($G$2,0,IF((X$6-$G$3)&lt;1,0,IFERROR(LOOKUP(2,1/(Trigo!$E40:INDEX(Trigo!$E40:$Z40,MIN(X$6-$G$3,22))&lt;&gt;""),Trigo!$E40:INDEX(Trigo!$E40:$Z40,MIN(X$6-$G$3,22))),0)))))</f>
        <v>0</v>
      </c>
      <c r="Y42" s="27" t="n">
        <f aca="false">IF(COUNT(Trigo!$E40:$Z40)=0,0,MAX(0,IF((Y$6-$E$3)&lt;1,0,IFERROR(LOOKUP(2,1/(Trigo!$E40:INDEX(Trigo!$E40:$Z40,MIN(Y$6-$E$3,22))&lt;&gt;""),Trigo!$E40:INDEX(Trigo!$E40:$Z40,MIN(Y$6-$E$3,22))),0))-IF($G$2,0,IF((Y$6-$G$3)&lt;1,0,IFERROR(LOOKUP(2,1/(Trigo!$E40:INDEX(Trigo!$E40:$Z40,MIN(Y$6-$G$3,22))&lt;&gt;""),Trigo!$E40:INDEX(Trigo!$E40:$Z40,MIN(Y$6-$G$3,22))),0)))))</f>
        <v>0</v>
      </c>
      <c r="Z42" s="27" t="n">
        <f aca="false">IF(COUNT(Trigo!$E40:$Z40)=0,0,MAX(0,IF((Z$6-$E$3)&lt;1,0,IFERROR(LOOKUP(2,1/(Trigo!$E40:INDEX(Trigo!$E40:$Z40,MIN(Z$6-$E$3,22))&lt;&gt;""),Trigo!$E40:INDEX(Trigo!$E40:$Z40,MIN(Z$6-$E$3,22))),0))-IF($G$2,0,IF((Z$6-$G$3)&lt;1,0,IFERROR(LOOKUP(2,1/(Trigo!$E40:INDEX(Trigo!$E40:$Z40,MIN(Z$6-$G$3,22))&lt;&gt;""),Trigo!$E40:INDEX(Trigo!$E40:$Z40,MIN(Z$6-$G$3,22))),0)))))</f>
        <v>0</v>
      </c>
      <c r="AA42" s="27" t="n">
        <f aca="false">IF(COUNT(Trigo!$E40:$Z40)=0,0,MAX(0,IF((AA$6-$E$3)&lt;1,0,IFERROR(LOOKUP(2,1/(Trigo!$E40:INDEX(Trigo!$E40:$Z40,MIN(AA$6-$E$3,22))&lt;&gt;""),Trigo!$E40:INDEX(Trigo!$E40:$Z40,MIN(AA$6-$E$3,22))),0))-IF($G$2,0,IF((AA$6-$G$3)&lt;1,0,IFERROR(LOOKUP(2,1/(Trigo!$E40:INDEX(Trigo!$E40:$Z40,MIN(AA$6-$G$3,22))&lt;&gt;""),Trigo!$E40:INDEX(Trigo!$E40:$Z40,MIN(AA$6-$G$3,22))),0)))))</f>
        <v>0</v>
      </c>
      <c r="AB42" s="27" t="n">
        <f aca="false">IF(COUNT(Trigo!$E40:$Z40)=0,0,MAX(0,IF((AB$6-$E$3)&lt;1,0,IFERROR(LOOKUP(2,1/(Trigo!$E40:INDEX(Trigo!$E40:$Z40,MIN(AB$6-$E$3,22))&lt;&gt;""),Trigo!$E40:INDEX(Trigo!$E40:$Z40,MIN(AB$6-$E$3,22))),0))-IF($G$2,0,IF((AB$6-$G$3)&lt;1,0,IFERROR(LOOKUP(2,1/(Trigo!$E40:INDEX(Trigo!$E40:$Z40,MIN(AB$6-$G$3,22))&lt;&gt;""),Trigo!$E40:INDEX(Trigo!$E40:$Z40,MIN(AB$6-$G$3,22))),0)))))</f>
        <v>0</v>
      </c>
      <c r="AC42" s="27" t="n">
        <f aca="false">IF(COUNT(Trigo!$E40:$Z40)=0,0,MAX(0,IF((AC$6-$E$3)&lt;1,0,IFERROR(LOOKUP(2,1/(Trigo!$E40:INDEX(Trigo!$E40:$Z40,MIN(AC$6-$E$3,22))&lt;&gt;""),Trigo!$E40:INDEX(Trigo!$E40:$Z40,MIN(AC$6-$E$3,22))),0))-IF($G$2,0,IF((AC$6-$G$3)&lt;1,0,IFERROR(LOOKUP(2,1/(Trigo!$E40:INDEX(Trigo!$E40:$Z40,MIN(AC$6-$G$3,22))&lt;&gt;""),Trigo!$E40:INDEX(Trigo!$E40:$Z40,MIN(AC$6-$G$3,22))),0)))))</f>
        <v>0</v>
      </c>
      <c r="AD42" s="27" t="n">
        <f aca="false">IF(COUNT(Trigo!$E40:$Z40)=0,0,MAX(0,IF((AD$6-$E$3)&lt;1,0,IFERROR(LOOKUP(2,1/(Trigo!$E40:INDEX(Trigo!$E40:$Z40,MIN(AD$6-$E$3,22))&lt;&gt;""),Trigo!$E40:INDEX(Trigo!$E40:$Z40,MIN(AD$6-$E$3,22))),0))-IF($G$2,0,IF((AD$6-$G$3)&lt;1,0,IFERROR(LOOKUP(2,1/(Trigo!$E40:INDEX(Trigo!$E40:$Z40,MIN(AD$6-$G$3,22))&lt;&gt;""),Trigo!$E40:INDEX(Trigo!$E40:$Z40,MIN(AD$6-$G$3,22))),0)))))</f>
        <v>0</v>
      </c>
      <c r="AE42" s="27" t="n">
        <f aca="false">IF(COUNT(Trigo!$E40:$Z40)=0,0,MAX(0,IF((AE$6-$E$3)&lt;1,0,IFERROR(LOOKUP(2,1/(Trigo!$E40:INDEX(Trigo!$E40:$Z40,MIN(AE$6-$E$3,22))&lt;&gt;""),Trigo!$E40:INDEX(Trigo!$E40:$Z40,MIN(AE$6-$E$3,22))),0))-IF($G$2,0,IF((AE$6-$G$3)&lt;1,0,IFERROR(LOOKUP(2,1/(Trigo!$E40:INDEX(Trigo!$E40:$Z40,MIN(AE$6-$G$3,22))&lt;&gt;""),Trigo!$E40:INDEX(Trigo!$E40:$Z40,MIN(AE$6-$G$3,22))),0)))))</f>
        <v>0</v>
      </c>
      <c r="AF42" s="27" t="n">
        <f aca="false">IF(COUNT(Trigo!$E40:$Z40)=0,0,MAX(0,IF((AF$6-$E$3)&lt;1,0,IFERROR(LOOKUP(2,1/(Trigo!$E40:INDEX(Trigo!$E40:$Z40,MIN(AF$6-$E$3,22))&lt;&gt;""),Trigo!$E40:INDEX(Trigo!$E40:$Z40,MIN(AF$6-$E$3,22))),0))-IF($G$2,0,IF((AF$6-$G$3)&lt;1,0,IFERROR(LOOKUP(2,1/(Trigo!$E40:INDEX(Trigo!$E40:$Z40,MIN(AF$6-$G$3,22))&lt;&gt;""),Trigo!$E40:INDEX(Trigo!$E40:$Z40,MIN(AF$6-$G$3,22))),0)))))</f>
        <v>0</v>
      </c>
      <c r="AG42" s="27" t="n">
        <f aca="false">IF(COUNT(Trigo!$E40:$Z40)=0,0,MAX(0,IF((AG$6-$E$3)&lt;1,0,IFERROR(LOOKUP(2,1/(Trigo!$E40:INDEX(Trigo!$E40:$Z40,MIN(AG$6-$E$3,22))&lt;&gt;""),Trigo!$E40:INDEX(Trigo!$E40:$Z40,MIN(AG$6-$E$3,22))),0))-IF($G$2,0,IF((AG$6-$G$3)&lt;1,0,IFERROR(LOOKUP(2,1/(Trigo!$E40:INDEX(Trigo!$E40:$Z40,MIN(AG$6-$G$3,22))&lt;&gt;""),Trigo!$E40:INDEX(Trigo!$E40:$Z40,MIN(AG$6-$G$3,22))),0)))))</f>
        <v>0</v>
      </c>
      <c r="AH42" s="27" t="n">
        <f aca="false">IF(COUNT(Trigo!$E40:$Z40)=0,0,MAX(0,IF((AH$6-$E$3)&lt;1,0,IFERROR(LOOKUP(2,1/(Trigo!$E40:INDEX(Trigo!$E40:$Z40,MIN(AH$6-$E$3,22))&lt;&gt;""),Trigo!$E40:INDEX(Trigo!$E40:$Z40,MIN(AH$6-$E$3,22))),0))-IF($G$2,0,IF((AH$6-$G$3)&lt;1,0,IFERROR(LOOKUP(2,1/(Trigo!$E40:INDEX(Trigo!$E40:$Z40,MIN(AH$6-$G$3,22))&lt;&gt;""),Trigo!$E40:INDEX(Trigo!$E40:$Z40,MIN(AH$6-$G$3,22))),0)))))</f>
        <v>0</v>
      </c>
      <c r="AI42" s="27" t="n">
        <f aca="false">IF(COUNT(Trigo!$E40:$Z40)=0,0,MAX(0,IF((AI$6-$E$3)&lt;1,0,IFERROR(LOOKUP(2,1/(Trigo!$E40:INDEX(Trigo!$E40:$Z40,MIN(AI$6-$E$3,22))&lt;&gt;""),Trigo!$E40:INDEX(Trigo!$E40:$Z40,MIN(AI$6-$E$3,22))),0))-IF($G$2,0,IF((AI$6-$G$3)&lt;1,0,IFERROR(LOOKUP(2,1/(Trigo!$E40:INDEX(Trigo!$E40:$Z40,MIN(AI$6-$G$3,22))&lt;&gt;""),Trigo!$E40:INDEX(Trigo!$E40:$Z40,MIN(AI$6-$G$3,22))),0)))))</f>
        <v>0</v>
      </c>
      <c r="AJ42" s="27" t="n">
        <f aca="false">IF(COUNT(Trigo!$E40:$Z40)=0,0,MAX(0,IF((AJ$6-$E$3)&lt;1,0,IFERROR(LOOKUP(2,1/(Trigo!$E40:INDEX(Trigo!$E40:$Z40,MIN(AJ$6-$E$3,22))&lt;&gt;""),Trigo!$E40:INDEX(Trigo!$E40:$Z40,MIN(AJ$6-$E$3,22))),0))-IF($G$2,0,IF((AJ$6-$G$3)&lt;1,0,IFERROR(LOOKUP(2,1/(Trigo!$E40:INDEX(Trigo!$E40:$Z40,MIN(AJ$6-$G$3,22))&lt;&gt;""),Trigo!$E40:INDEX(Trigo!$E40:$Z40,MIN(AJ$6-$G$3,22))),0)))))</f>
        <v>0</v>
      </c>
      <c r="AK42" s="27" t="n">
        <f aca="false">IF(COUNT(Trigo!$E40:$Z40)=0,0,MAX(0,IF((AK$6-$E$3)&lt;1,0,IFERROR(LOOKUP(2,1/(Trigo!$E40:INDEX(Trigo!$E40:$Z40,MIN(AK$6-$E$3,22))&lt;&gt;""),Trigo!$E40:INDEX(Trigo!$E40:$Z40,MIN(AK$6-$E$3,22))),0))-IF($G$2,0,IF((AK$6-$G$3)&lt;1,0,IFERROR(LOOKUP(2,1/(Trigo!$E40:INDEX(Trigo!$E40:$Z40,MIN(AK$6-$G$3,22))&lt;&gt;""),Trigo!$E40:INDEX(Trigo!$E40:$Z40,MIN(AK$6-$G$3,22))),0)))))</f>
        <v>0</v>
      </c>
      <c r="AL42" s="27" t="n">
        <f aca="false">IF(COUNT(Trigo!$E40:$Z40)=0,0,MAX(0,IF((AL$6-$E$3)&lt;1,0,IFERROR(LOOKUP(2,1/(Trigo!$E40:INDEX(Trigo!$E40:$Z40,MIN(AL$6-$E$3,22))&lt;&gt;""),Trigo!$E40:INDEX(Trigo!$E40:$Z40,MIN(AL$6-$E$3,22))),0))-IF($G$2,0,IF((AL$6-$G$3)&lt;1,0,IFERROR(LOOKUP(2,1/(Trigo!$E40:INDEX(Trigo!$E40:$Z40,MIN(AL$6-$G$3,22))&lt;&gt;""),Trigo!$E40:INDEX(Trigo!$E40:$Z40,MIN(AL$6-$G$3,22))),0)))))</f>
        <v>0</v>
      </c>
      <c r="AM42" s="27" t="n">
        <f aca="false">IF(COUNT(Trigo!$E40:$Z40)=0,0,MAX(0,IF((AM$6-$E$3)&lt;1,0,IFERROR(LOOKUP(2,1/(Trigo!$E40:INDEX(Trigo!$E40:$Z40,MIN(AM$6-$E$3,22))&lt;&gt;""),Trigo!$E40:INDEX(Trigo!$E40:$Z40,MIN(AM$6-$E$3,22))),0))-IF($G$2,0,IF((AM$6-$G$3)&lt;1,0,IFERROR(LOOKUP(2,1/(Trigo!$E40:INDEX(Trigo!$E40:$Z40,MIN(AM$6-$G$3,22))&lt;&gt;""),Trigo!$E40:INDEX(Trigo!$E40:$Z40,MIN(AM$6-$G$3,22))),0)))))</f>
        <v>0</v>
      </c>
      <c r="AN42" s="27" t="n">
        <f aca="false">IF(COUNT(Trigo!$E40:$Z40)=0,0,MAX(0,IF((AN$6-$E$3)&lt;1,0,IFERROR(LOOKUP(2,1/(Trigo!$E40:INDEX(Trigo!$E40:$Z40,MIN(AN$6-$E$3,22))&lt;&gt;""),Trigo!$E40:INDEX(Trigo!$E40:$Z40,MIN(AN$6-$E$3,22))),0))-IF($G$2,0,IF((AN$6-$G$3)&lt;1,0,IFERROR(LOOKUP(2,1/(Trigo!$E40:INDEX(Trigo!$E40:$Z40,MIN(AN$6-$G$3,22))&lt;&gt;""),Trigo!$E40:INDEX(Trigo!$E40:$Z40,MIN(AN$6-$G$3,22))),0)))))</f>
        <v>0</v>
      </c>
      <c r="AO42" s="27" t="n">
        <f aca="false">IF(COUNT(Trigo!$E40:$Z40)=0,0,MAX(0,IF((AO$6-$E$3)&lt;1,0,IFERROR(LOOKUP(2,1/(Trigo!$E40:INDEX(Trigo!$E40:$Z40,MIN(AO$6-$E$3,22))&lt;&gt;""),Trigo!$E40:INDEX(Trigo!$E40:$Z40,MIN(AO$6-$E$3,22))),0))-IF($G$2,0,IF((AO$6-$G$3)&lt;1,0,IFERROR(LOOKUP(2,1/(Trigo!$E40:INDEX(Trigo!$E40:$Z40,MIN(AO$6-$G$3,22))&lt;&gt;""),Trigo!$E40:INDEX(Trigo!$E40:$Z40,MIN(AO$6-$G$3,22))),0)))))</f>
        <v>0</v>
      </c>
      <c r="AP42" s="27" t="n">
        <f aca="false">IF(COUNT(Trigo!$E40:$Z40)=0,0,MAX(0,IF((AP$6-$E$3)&lt;1,0,IFERROR(LOOKUP(2,1/(Trigo!$E40:INDEX(Trigo!$E40:$Z40,MIN(AP$6-$E$3,22))&lt;&gt;""),Trigo!$E40:INDEX(Trigo!$E40:$Z40,MIN(AP$6-$E$3,22))),0))-IF($G$2,0,IF((AP$6-$G$3)&lt;1,0,IFERROR(LOOKUP(2,1/(Trigo!$E40:INDEX(Trigo!$E40:$Z40,MIN(AP$6-$G$3,22))&lt;&gt;""),Trigo!$E40:INDEX(Trigo!$E40:$Z40,MIN(AP$6-$G$3,22))),0)))))</f>
        <v>0</v>
      </c>
      <c r="AQ42" s="27" t="n">
        <f aca="false">IF(COUNT(Trigo!$E40:$Z40)=0,0,MAX(0,IF((AQ$6-$E$3)&lt;1,0,IFERROR(LOOKUP(2,1/(Trigo!$E40:INDEX(Trigo!$E40:$Z40,MIN(AQ$6-$E$3,22))&lt;&gt;""),Trigo!$E40:INDEX(Trigo!$E40:$Z40,MIN(AQ$6-$E$3,22))),0))-IF($G$2,0,IF((AQ$6-$G$3)&lt;1,0,IFERROR(LOOKUP(2,1/(Trigo!$E40:INDEX(Trigo!$E40:$Z40,MIN(AQ$6-$G$3,22))&lt;&gt;""),Trigo!$E40:INDEX(Trigo!$E40:$Z40,MIN(AQ$6-$G$3,22))),0)))))</f>
        <v>0</v>
      </c>
      <c r="AR42" s="27" t="n">
        <f aca="false">IF(COUNT(Trigo!$E40:$Z40)=0,0,MAX(0,IF((AR$6-$E$3)&lt;1,0,IFERROR(LOOKUP(2,1/(Trigo!$E40:INDEX(Trigo!$E40:$Z40,MIN(AR$6-$E$3,22))&lt;&gt;""),Trigo!$E40:INDEX(Trigo!$E40:$Z40,MIN(AR$6-$E$3,22))),0))-IF($G$2,0,IF((AR$6-$G$3)&lt;1,0,IFERROR(LOOKUP(2,1/(Trigo!$E40:INDEX(Trigo!$E40:$Z40,MIN(AR$6-$G$3,22))&lt;&gt;""),Trigo!$E40:INDEX(Trigo!$E40:$Z40,MIN(AR$6-$G$3,22))),0)))))</f>
        <v>0</v>
      </c>
      <c r="AS42" s="27" t="n">
        <f aca="false">IF(COUNT(Trigo!$E40:$Z40)=0,0,MAX(0,IF((AS$6-$E$3)&lt;1,0,IFERROR(LOOKUP(2,1/(Trigo!$E40:INDEX(Trigo!$E40:$Z40,MIN(AS$6-$E$3,22))&lt;&gt;""),Trigo!$E40:INDEX(Trigo!$E40:$Z40,MIN(AS$6-$E$3,22))),0))-IF($G$2,0,IF((AS$6-$G$3)&lt;1,0,IFERROR(LOOKUP(2,1/(Trigo!$E40:INDEX(Trigo!$E40:$Z40,MIN(AS$6-$G$3,22))&lt;&gt;""),Trigo!$E40:INDEX(Trigo!$E40:$Z40,MIN(AS$6-$G$3,22))),0)))))</f>
        <v>0</v>
      </c>
      <c r="AT42" s="27" t="n">
        <f aca="false">IF(COUNT(Trigo!$E40:$Z40)=0,0,MAX(0,IF((AT$6-$E$3)&lt;1,0,IFERROR(LOOKUP(2,1/(Trigo!$E40:INDEX(Trigo!$E40:$Z40,MIN(AT$6-$E$3,22))&lt;&gt;""),Trigo!$E40:INDEX(Trigo!$E40:$Z40,MIN(AT$6-$E$3,22))),0))-IF($G$2,0,IF((AT$6-$G$3)&lt;1,0,IFERROR(LOOKUP(2,1/(Trigo!$E40:INDEX(Trigo!$E40:$Z40,MIN(AT$6-$G$3,22))&lt;&gt;""),Trigo!$E40:INDEX(Trigo!$E40:$Z40,MIN(AT$6-$G$3,22))),0)))))</f>
        <v>0</v>
      </c>
      <c r="AU42" s="27" t="n">
        <f aca="false">IF(COUNT(Trigo!$E40:$Z40)=0,0,MAX(0,IF((AU$6-$E$3)&lt;1,0,IFERROR(LOOKUP(2,1/(Trigo!$E40:INDEX(Trigo!$E40:$Z40,MIN(AU$6-$E$3,22))&lt;&gt;""),Trigo!$E40:INDEX(Trigo!$E40:$Z40,MIN(AU$6-$E$3,22))),0))-IF($G$2,0,IF((AU$6-$G$3)&lt;1,0,IFERROR(LOOKUP(2,1/(Trigo!$E40:INDEX(Trigo!$E40:$Z40,MIN(AU$6-$G$3,22))&lt;&gt;""),Trigo!$E40:INDEX(Trigo!$E40:$Z40,MIN(AU$6-$G$3,22))),0)))))</f>
        <v>0</v>
      </c>
      <c r="AV42" s="27" t="n">
        <f aca="false">IF(COUNT(Trigo!$E40:$Z40)=0,0,MAX(0,IF((AV$6-$E$3)&lt;1,0,IFERROR(LOOKUP(2,1/(Trigo!$E40:INDEX(Trigo!$E40:$Z40,MIN(AV$6-$E$3,22))&lt;&gt;""),Trigo!$E40:INDEX(Trigo!$E40:$Z40,MIN(AV$6-$E$3,22))),0))-IF($G$2,0,IF((AV$6-$G$3)&lt;1,0,IFERROR(LOOKUP(2,1/(Trigo!$E40:INDEX(Trigo!$E40:$Z40,MIN(AV$6-$G$3,22))&lt;&gt;""),Trigo!$E40:INDEX(Trigo!$E40:$Z40,MIN(AV$6-$G$3,22))),0)))))</f>
        <v>0</v>
      </c>
      <c r="AW42" s="27" t="n">
        <f aca="false">IF(COUNT(Trigo!$E40:$Z40)=0,0,MAX(0,IF((AW$6-$E$3)&lt;1,0,IFERROR(LOOKUP(2,1/(Trigo!$E40:INDEX(Trigo!$E40:$Z40,MIN(AW$6-$E$3,22))&lt;&gt;""),Trigo!$E40:INDEX(Trigo!$E40:$Z40,MIN(AW$6-$E$3,22))),0))-IF($G$2,0,IF((AW$6-$G$3)&lt;1,0,IFERROR(LOOKUP(2,1/(Trigo!$E40:INDEX(Trigo!$E40:$Z40,MIN(AW$6-$G$3,22))&lt;&gt;""),Trigo!$E40:INDEX(Trigo!$E40:$Z40,MIN(AW$6-$G$3,22))),0)))))</f>
        <v>0</v>
      </c>
      <c r="AX42" s="27" t="n">
        <f aca="false">IF(COUNT(Trigo!$E40:$Z40)=0,0,MAX(0,IF((AX$6-$E$3)&lt;1,0,IFERROR(LOOKUP(2,1/(Trigo!$E40:INDEX(Trigo!$E40:$Z40,MIN(AX$6-$E$3,22))&lt;&gt;""),Trigo!$E40:INDEX(Trigo!$E40:$Z40,MIN(AX$6-$E$3,22))),0))-IF($G$2,0,IF((AX$6-$G$3)&lt;1,0,IFERROR(LOOKUP(2,1/(Trigo!$E40:INDEX(Trigo!$E40:$Z40,MIN(AX$6-$G$3,22))&lt;&gt;""),Trigo!$E40:INDEX(Trigo!$E40:$Z40,MIN(AX$6-$G$3,22))),0)))))</f>
        <v>0</v>
      </c>
      <c r="AY42" s="27" t="n">
        <f aca="false">IF(COUNT(Trigo!$E40:$Z40)=0,0,MAX(0,IF((AY$6-$E$3)&lt;1,0,IFERROR(LOOKUP(2,1/(Trigo!$E40:INDEX(Trigo!$E40:$Z40,MIN(AY$6-$E$3,22))&lt;&gt;""),Trigo!$E40:INDEX(Trigo!$E40:$Z40,MIN(AY$6-$E$3,22))),0))-IF($G$2,0,IF((AY$6-$G$3)&lt;1,0,IFERROR(LOOKUP(2,1/(Trigo!$E40:INDEX(Trigo!$E40:$Z40,MIN(AY$6-$G$3,22))&lt;&gt;""),Trigo!$E40:INDEX(Trigo!$E40:$Z40,MIN(AY$6-$G$3,22))),0)))))</f>
        <v>0</v>
      </c>
      <c r="AZ42" s="27" t="n">
        <f aca="false">IF(COUNT(Trigo!$E40:$Z40)=0,0,MAX(0,IF((AZ$6-$E$3)&lt;1,0,IFERROR(LOOKUP(2,1/(Trigo!$E40:INDEX(Trigo!$E40:$Z40,MIN(AZ$6-$E$3,22))&lt;&gt;""),Trigo!$E40:INDEX(Trigo!$E40:$Z40,MIN(AZ$6-$E$3,22))),0))-IF($G$2,0,IF((AZ$6-$G$3)&lt;1,0,IFERROR(LOOKUP(2,1/(Trigo!$E40:INDEX(Trigo!$E40:$Z40,MIN(AZ$6-$G$3,22))&lt;&gt;""),Trigo!$E40:INDEX(Trigo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IF(COUNT(Trigo!$E41:$Z41)&gt;0,N(Trigo!$D41),0)</f>
        <v>0</v>
      </c>
      <c r="E43" s="27" t="n">
        <f aca="false">IF(COUNT(Trigo!$E41:$Z41)=0,0,MAX(0,IF((E$6-$E$3)&lt;1,0,IFERROR(LOOKUP(2,1/(Trigo!$E41:INDEX(Trigo!$E41:$Z41,MIN(E$6-$E$3,22))&lt;&gt;""),Trigo!$E41:INDEX(Trigo!$E41:$Z41,MIN(E$6-$E$3,22))),0))-IF($G$2,0,IF((E$6-$G$3)&lt;1,0,IFERROR(LOOKUP(2,1/(Trigo!$E41:INDEX(Trigo!$E41:$Z41,MIN(E$6-$G$3,22))&lt;&gt;""),Trigo!$E41:INDEX(Trigo!$E41:$Z41,MIN(E$6-$G$3,22))),0)))))</f>
        <v>0</v>
      </c>
      <c r="F43" s="27" t="n">
        <f aca="false">IF(COUNT(Trigo!$E41:$Z41)=0,0,MAX(0,IF((F$6-$E$3)&lt;1,0,IFERROR(LOOKUP(2,1/(Trigo!$E41:INDEX(Trigo!$E41:$Z41,MIN(F$6-$E$3,22))&lt;&gt;""),Trigo!$E41:INDEX(Trigo!$E41:$Z41,MIN(F$6-$E$3,22))),0))-IF($G$2,0,IF((F$6-$G$3)&lt;1,0,IFERROR(LOOKUP(2,1/(Trigo!$E41:INDEX(Trigo!$E41:$Z41,MIN(F$6-$G$3,22))&lt;&gt;""),Trigo!$E41:INDEX(Trigo!$E41:$Z41,MIN(F$6-$G$3,22))),0)))))</f>
        <v>0</v>
      </c>
      <c r="G43" s="27" t="n">
        <f aca="false">IF(COUNT(Trigo!$E41:$Z41)=0,0,MAX(0,IF((G$6-$E$3)&lt;1,0,IFERROR(LOOKUP(2,1/(Trigo!$E41:INDEX(Trigo!$E41:$Z41,MIN(G$6-$E$3,22))&lt;&gt;""),Trigo!$E41:INDEX(Trigo!$E41:$Z41,MIN(G$6-$E$3,22))),0))-IF($G$2,0,IF((G$6-$G$3)&lt;1,0,IFERROR(LOOKUP(2,1/(Trigo!$E41:INDEX(Trigo!$E41:$Z41,MIN(G$6-$G$3,22))&lt;&gt;""),Trigo!$E41:INDEX(Trigo!$E41:$Z41,MIN(G$6-$G$3,22))),0)))))</f>
        <v>0</v>
      </c>
      <c r="H43" s="27" t="n">
        <f aca="false">IF(COUNT(Trigo!$E41:$Z41)=0,0,MAX(0,IF((H$6-$E$3)&lt;1,0,IFERROR(LOOKUP(2,1/(Trigo!$E41:INDEX(Trigo!$E41:$Z41,MIN(H$6-$E$3,22))&lt;&gt;""),Trigo!$E41:INDEX(Trigo!$E41:$Z41,MIN(H$6-$E$3,22))),0))-IF($G$2,0,IF((H$6-$G$3)&lt;1,0,IFERROR(LOOKUP(2,1/(Trigo!$E41:INDEX(Trigo!$E41:$Z41,MIN(H$6-$G$3,22))&lt;&gt;""),Trigo!$E41:INDEX(Trigo!$E41:$Z41,MIN(H$6-$G$3,22))),0)))))</f>
        <v>0</v>
      </c>
      <c r="I43" s="27" t="n">
        <f aca="false">IF(COUNT(Trigo!$E41:$Z41)=0,0,MAX(0,IF((I$6-$E$3)&lt;1,0,IFERROR(LOOKUP(2,1/(Trigo!$E41:INDEX(Trigo!$E41:$Z41,MIN(I$6-$E$3,22))&lt;&gt;""),Trigo!$E41:INDEX(Trigo!$E41:$Z41,MIN(I$6-$E$3,22))),0))-IF($G$2,0,IF((I$6-$G$3)&lt;1,0,IFERROR(LOOKUP(2,1/(Trigo!$E41:INDEX(Trigo!$E41:$Z41,MIN(I$6-$G$3,22))&lt;&gt;""),Trigo!$E41:INDEX(Trigo!$E41:$Z41,MIN(I$6-$G$3,22))),0)))))</f>
        <v>0</v>
      </c>
      <c r="J43" s="27" t="n">
        <f aca="false">IF(COUNT(Trigo!$E41:$Z41)=0,0,MAX(0,IF((J$6-$E$3)&lt;1,0,IFERROR(LOOKUP(2,1/(Trigo!$E41:INDEX(Trigo!$E41:$Z41,MIN(J$6-$E$3,22))&lt;&gt;""),Trigo!$E41:INDEX(Trigo!$E41:$Z41,MIN(J$6-$E$3,22))),0))-IF($G$2,0,IF((J$6-$G$3)&lt;1,0,IFERROR(LOOKUP(2,1/(Trigo!$E41:INDEX(Trigo!$E41:$Z41,MIN(J$6-$G$3,22))&lt;&gt;""),Trigo!$E41:INDEX(Trigo!$E41:$Z41,MIN(J$6-$G$3,22))),0)))))</f>
        <v>0</v>
      </c>
      <c r="K43" s="27" t="n">
        <f aca="false">IF(COUNT(Trigo!$E41:$Z41)=0,0,MAX(0,IF((K$6-$E$3)&lt;1,0,IFERROR(LOOKUP(2,1/(Trigo!$E41:INDEX(Trigo!$E41:$Z41,MIN(K$6-$E$3,22))&lt;&gt;""),Trigo!$E41:INDEX(Trigo!$E41:$Z41,MIN(K$6-$E$3,22))),0))-IF($G$2,0,IF((K$6-$G$3)&lt;1,0,IFERROR(LOOKUP(2,1/(Trigo!$E41:INDEX(Trigo!$E41:$Z41,MIN(K$6-$G$3,22))&lt;&gt;""),Trigo!$E41:INDEX(Trigo!$E41:$Z41,MIN(K$6-$G$3,22))),0)))))</f>
        <v>0</v>
      </c>
      <c r="L43" s="27" t="n">
        <f aca="false">IF(COUNT(Trigo!$E41:$Z41)=0,0,MAX(0,IF((L$6-$E$3)&lt;1,0,IFERROR(LOOKUP(2,1/(Trigo!$E41:INDEX(Trigo!$E41:$Z41,MIN(L$6-$E$3,22))&lt;&gt;""),Trigo!$E41:INDEX(Trigo!$E41:$Z41,MIN(L$6-$E$3,22))),0))-IF($G$2,0,IF((L$6-$G$3)&lt;1,0,IFERROR(LOOKUP(2,1/(Trigo!$E41:INDEX(Trigo!$E41:$Z41,MIN(L$6-$G$3,22))&lt;&gt;""),Trigo!$E41:INDEX(Trigo!$E41:$Z41,MIN(L$6-$G$3,22))),0)))))</f>
        <v>0</v>
      </c>
      <c r="M43" s="27" t="n">
        <f aca="false">IF(COUNT(Trigo!$E41:$Z41)=0,0,MAX(0,IF((M$6-$E$3)&lt;1,0,IFERROR(LOOKUP(2,1/(Trigo!$E41:INDEX(Trigo!$E41:$Z41,MIN(M$6-$E$3,22))&lt;&gt;""),Trigo!$E41:INDEX(Trigo!$E41:$Z41,MIN(M$6-$E$3,22))),0))-IF($G$2,0,IF((M$6-$G$3)&lt;1,0,IFERROR(LOOKUP(2,1/(Trigo!$E41:INDEX(Trigo!$E41:$Z41,MIN(M$6-$G$3,22))&lt;&gt;""),Trigo!$E41:INDEX(Trigo!$E41:$Z41,MIN(M$6-$G$3,22))),0)))))</f>
        <v>0</v>
      </c>
      <c r="N43" s="27" t="n">
        <f aca="false">IF(COUNT(Trigo!$E41:$Z41)=0,0,MAX(0,IF((N$6-$E$3)&lt;1,0,IFERROR(LOOKUP(2,1/(Trigo!$E41:INDEX(Trigo!$E41:$Z41,MIN(N$6-$E$3,22))&lt;&gt;""),Trigo!$E41:INDEX(Trigo!$E41:$Z41,MIN(N$6-$E$3,22))),0))-IF($G$2,0,IF((N$6-$G$3)&lt;1,0,IFERROR(LOOKUP(2,1/(Trigo!$E41:INDEX(Trigo!$E41:$Z41,MIN(N$6-$G$3,22))&lt;&gt;""),Trigo!$E41:INDEX(Trigo!$E41:$Z41,MIN(N$6-$G$3,22))),0)))))</f>
        <v>0</v>
      </c>
      <c r="O43" s="27" t="n">
        <f aca="false">IF(COUNT(Trigo!$E41:$Z41)=0,0,MAX(0,IF((O$6-$E$3)&lt;1,0,IFERROR(LOOKUP(2,1/(Trigo!$E41:INDEX(Trigo!$E41:$Z41,MIN(O$6-$E$3,22))&lt;&gt;""),Trigo!$E41:INDEX(Trigo!$E41:$Z41,MIN(O$6-$E$3,22))),0))-IF($G$2,0,IF((O$6-$G$3)&lt;1,0,IFERROR(LOOKUP(2,1/(Trigo!$E41:INDEX(Trigo!$E41:$Z41,MIN(O$6-$G$3,22))&lt;&gt;""),Trigo!$E41:INDEX(Trigo!$E41:$Z41,MIN(O$6-$G$3,22))),0)))))</f>
        <v>0</v>
      </c>
      <c r="P43" s="27" t="n">
        <f aca="false">IF(COUNT(Trigo!$E41:$Z41)=0,0,MAX(0,IF((P$6-$E$3)&lt;1,0,IFERROR(LOOKUP(2,1/(Trigo!$E41:INDEX(Trigo!$E41:$Z41,MIN(P$6-$E$3,22))&lt;&gt;""),Trigo!$E41:INDEX(Trigo!$E41:$Z41,MIN(P$6-$E$3,22))),0))-IF($G$2,0,IF((P$6-$G$3)&lt;1,0,IFERROR(LOOKUP(2,1/(Trigo!$E41:INDEX(Trigo!$E41:$Z41,MIN(P$6-$G$3,22))&lt;&gt;""),Trigo!$E41:INDEX(Trigo!$E41:$Z41,MIN(P$6-$G$3,22))),0)))))</f>
        <v>0</v>
      </c>
      <c r="Q43" s="27" t="n">
        <f aca="false">IF(COUNT(Trigo!$E41:$Z41)=0,0,MAX(0,IF((Q$6-$E$3)&lt;1,0,IFERROR(LOOKUP(2,1/(Trigo!$E41:INDEX(Trigo!$E41:$Z41,MIN(Q$6-$E$3,22))&lt;&gt;""),Trigo!$E41:INDEX(Trigo!$E41:$Z41,MIN(Q$6-$E$3,22))),0))-IF($G$2,0,IF((Q$6-$G$3)&lt;1,0,IFERROR(LOOKUP(2,1/(Trigo!$E41:INDEX(Trigo!$E41:$Z41,MIN(Q$6-$G$3,22))&lt;&gt;""),Trigo!$E41:INDEX(Trigo!$E41:$Z41,MIN(Q$6-$G$3,22))),0)))))</f>
        <v>0</v>
      </c>
      <c r="R43" s="27" t="n">
        <f aca="false">IF(COUNT(Trigo!$E41:$Z41)=0,0,MAX(0,IF((R$6-$E$3)&lt;1,0,IFERROR(LOOKUP(2,1/(Trigo!$E41:INDEX(Trigo!$E41:$Z41,MIN(R$6-$E$3,22))&lt;&gt;""),Trigo!$E41:INDEX(Trigo!$E41:$Z41,MIN(R$6-$E$3,22))),0))-IF($G$2,0,IF((R$6-$G$3)&lt;1,0,IFERROR(LOOKUP(2,1/(Trigo!$E41:INDEX(Trigo!$E41:$Z41,MIN(R$6-$G$3,22))&lt;&gt;""),Trigo!$E41:INDEX(Trigo!$E41:$Z41,MIN(R$6-$G$3,22))),0)))))</f>
        <v>0</v>
      </c>
      <c r="S43" s="27" t="n">
        <f aca="false">IF(COUNT(Trigo!$E41:$Z41)=0,0,MAX(0,IF((S$6-$E$3)&lt;1,0,IFERROR(LOOKUP(2,1/(Trigo!$E41:INDEX(Trigo!$E41:$Z41,MIN(S$6-$E$3,22))&lt;&gt;""),Trigo!$E41:INDEX(Trigo!$E41:$Z41,MIN(S$6-$E$3,22))),0))-IF($G$2,0,IF((S$6-$G$3)&lt;1,0,IFERROR(LOOKUP(2,1/(Trigo!$E41:INDEX(Trigo!$E41:$Z41,MIN(S$6-$G$3,22))&lt;&gt;""),Trigo!$E41:INDEX(Trigo!$E41:$Z41,MIN(S$6-$G$3,22))),0)))))</f>
        <v>0</v>
      </c>
      <c r="T43" s="27" t="n">
        <f aca="false">IF(COUNT(Trigo!$E41:$Z41)=0,0,MAX(0,IF((T$6-$E$3)&lt;1,0,IFERROR(LOOKUP(2,1/(Trigo!$E41:INDEX(Trigo!$E41:$Z41,MIN(T$6-$E$3,22))&lt;&gt;""),Trigo!$E41:INDEX(Trigo!$E41:$Z41,MIN(T$6-$E$3,22))),0))-IF($G$2,0,IF((T$6-$G$3)&lt;1,0,IFERROR(LOOKUP(2,1/(Trigo!$E41:INDEX(Trigo!$E41:$Z41,MIN(T$6-$G$3,22))&lt;&gt;""),Trigo!$E41:INDEX(Trigo!$E41:$Z41,MIN(T$6-$G$3,22))),0)))))</f>
        <v>0</v>
      </c>
      <c r="U43" s="27" t="n">
        <f aca="false">IF(COUNT(Trigo!$E41:$Z41)=0,0,MAX(0,IF((U$6-$E$3)&lt;1,0,IFERROR(LOOKUP(2,1/(Trigo!$E41:INDEX(Trigo!$E41:$Z41,MIN(U$6-$E$3,22))&lt;&gt;""),Trigo!$E41:INDEX(Trigo!$E41:$Z41,MIN(U$6-$E$3,22))),0))-IF($G$2,0,IF((U$6-$G$3)&lt;1,0,IFERROR(LOOKUP(2,1/(Trigo!$E41:INDEX(Trigo!$E41:$Z41,MIN(U$6-$G$3,22))&lt;&gt;""),Trigo!$E41:INDEX(Trigo!$E41:$Z41,MIN(U$6-$G$3,22))),0)))))</f>
        <v>0</v>
      </c>
      <c r="V43" s="27" t="n">
        <f aca="false">IF(COUNT(Trigo!$E41:$Z41)=0,0,MAX(0,IF((V$6-$E$3)&lt;1,0,IFERROR(LOOKUP(2,1/(Trigo!$E41:INDEX(Trigo!$E41:$Z41,MIN(V$6-$E$3,22))&lt;&gt;""),Trigo!$E41:INDEX(Trigo!$E41:$Z41,MIN(V$6-$E$3,22))),0))-IF($G$2,0,IF((V$6-$G$3)&lt;1,0,IFERROR(LOOKUP(2,1/(Trigo!$E41:INDEX(Trigo!$E41:$Z41,MIN(V$6-$G$3,22))&lt;&gt;""),Trigo!$E41:INDEX(Trigo!$E41:$Z41,MIN(V$6-$G$3,22))),0)))))</f>
        <v>0</v>
      </c>
      <c r="W43" s="27" t="n">
        <f aca="false">IF(COUNT(Trigo!$E41:$Z41)=0,0,MAX(0,IF((W$6-$E$3)&lt;1,0,IFERROR(LOOKUP(2,1/(Trigo!$E41:INDEX(Trigo!$E41:$Z41,MIN(W$6-$E$3,22))&lt;&gt;""),Trigo!$E41:INDEX(Trigo!$E41:$Z41,MIN(W$6-$E$3,22))),0))-IF($G$2,0,IF((W$6-$G$3)&lt;1,0,IFERROR(LOOKUP(2,1/(Trigo!$E41:INDEX(Trigo!$E41:$Z41,MIN(W$6-$G$3,22))&lt;&gt;""),Trigo!$E41:INDEX(Trigo!$E41:$Z41,MIN(W$6-$G$3,22))),0)))))</f>
        <v>0</v>
      </c>
      <c r="X43" s="27" t="n">
        <f aca="false">IF(COUNT(Trigo!$E41:$Z41)=0,0,MAX(0,IF((X$6-$E$3)&lt;1,0,IFERROR(LOOKUP(2,1/(Trigo!$E41:INDEX(Trigo!$E41:$Z41,MIN(X$6-$E$3,22))&lt;&gt;""),Trigo!$E41:INDEX(Trigo!$E41:$Z41,MIN(X$6-$E$3,22))),0))-IF($G$2,0,IF((X$6-$G$3)&lt;1,0,IFERROR(LOOKUP(2,1/(Trigo!$E41:INDEX(Trigo!$E41:$Z41,MIN(X$6-$G$3,22))&lt;&gt;""),Trigo!$E41:INDEX(Trigo!$E41:$Z41,MIN(X$6-$G$3,22))),0)))))</f>
        <v>0</v>
      </c>
      <c r="Y43" s="27" t="n">
        <f aca="false">IF(COUNT(Trigo!$E41:$Z41)=0,0,MAX(0,IF((Y$6-$E$3)&lt;1,0,IFERROR(LOOKUP(2,1/(Trigo!$E41:INDEX(Trigo!$E41:$Z41,MIN(Y$6-$E$3,22))&lt;&gt;""),Trigo!$E41:INDEX(Trigo!$E41:$Z41,MIN(Y$6-$E$3,22))),0))-IF($G$2,0,IF((Y$6-$G$3)&lt;1,0,IFERROR(LOOKUP(2,1/(Trigo!$E41:INDEX(Trigo!$E41:$Z41,MIN(Y$6-$G$3,22))&lt;&gt;""),Trigo!$E41:INDEX(Trigo!$E41:$Z41,MIN(Y$6-$G$3,22))),0)))))</f>
        <v>0</v>
      </c>
      <c r="Z43" s="27" t="n">
        <f aca="false">IF(COUNT(Trigo!$E41:$Z41)=0,0,MAX(0,IF((Z$6-$E$3)&lt;1,0,IFERROR(LOOKUP(2,1/(Trigo!$E41:INDEX(Trigo!$E41:$Z41,MIN(Z$6-$E$3,22))&lt;&gt;""),Trigo!$E41:INDEX(Trigo!$E41:$Z41,MIN(Z$6-$E$3,22))),0))-IF($G$2,0,IF((Z$6-$G$3)&lt;1,0,IFERROR(LOOKUP(2,1/(Trigo!$E41:INDEX(Trigo!$E41:$Z41,MIN(Z$6-$G$3,22))&lt;&gt;""),Trigo!$E41:INDEX(Trigo!$E41:$Z41,MIN(Z$6-$G$3,22))),0)))))</f>
        <v>0</v>
      </c>
      <c r="AA43" s="27" t="n">
        <f aca="false">IF(COUNT(Trigo!$E41:$Z41)=0,0,MAX(0,IF((AA$6-$E$3)&lt;1,0,IFERROR(LOOKUP(2,1/(Trigo!$E41:INDEX(Trigo!$E41:$Z41,MIN(AA$6-$E$3,22))&lt;&gt;""),Trigo!$E41:INDEX(Trigo!$E41:$Z41,MIN(AA$6-$E$3,22))),0))-IF($G$2,0,IF((AA$6-$G$3)&lt;1,0,IFERROR(LOOKUP(2,1/(Trigo!$E41:INDEX(Trigo!$E41:$Z41,MIN(AA$6-$G$3,22))&lt;&gt;""),Trigo!$E41:INDEX(Trigo!$E41:$Z41,MIN(AA$6-$G$3,22))),0)))))</f>
        <v>0</v>
      </c>
      <c r="AB43" s="27" t="n">
        <f aca="false">IF(COUNT(Trigo!$E41:$Z41)=0,0,MAX(0,IF((AB$6-$E$3)&lt;1,0,IFERROR(LOOKUP(2,1/(Trigo!$E41:INDEX(Trigo!$E41:$Z41,MIN(AB$6-$E$3,22))&lt;&gt;""),Trigo!$E41:INDEX(Trigo!$E41:$Z41,MIN(AB$6-$E$3,22))),0))-IF($G$2,0,IF((AB$6-$G$3)&lt;1,0,IFERROR(LOOKUP(2,1/(Trigo!$E41:INDEX(Trigo!$E41:$Z41,MIN(AB$6-$G$3,22))&lt;&gt;""),Trigo!$E41:INDEX(Trigo!$E41:$Z41,MIN(AB$6-$G$3,22))),0)))))</f>
        <v>0</v>
      </c>
      <c r="AC43" s="27" t="n">
        <f aca="false">IF(COUNT(Trigo!$E41:$Z41)=0,0,MAX(0,IF((AC$6-$E$3)&lt;1,0,IFERROR(LOOKUP(2,1/(Trigo!$E41:INDEX(Trigo!$E41:$Z41,MIN(AC$6-$E$3,22))&lt;&gt;""),Trigo!$E41:INDEX(Trigo!$E41:$Z41,MIN(AC$6-$E$3,22))),0))-IF($G$2,0,IF((AC$6-$G$3)&lt;1,0,IFERROR(LOOKUP(2,1/(Trigo!$E41:INDEX(Trigo!$E41:$Z41,MIN(AC$6-$G$3,22))&lt;&gt;""),Trigo!$E41:INDEX(Trigo!$E41:$Z41,MIN(AC$6-$G$3,22))),0)))))</f>
        <v>0</v>
      </c>
      <c r="AD43" s="27" t="n">
        <f aca="false">IF(COUNT(Trigo!$E41:$Z41)=0,0,MAX(0,IF((AD$6-$E$3)&lt;1,0,IFERROR(LOOKUP(2,1/(Trigo!$E41:INDEX(Trigo!$E41:$Z41,MIN(AD$6-$E$3,22))&lt;&gt;""),Trigo!$E41:INDEX(Trigo!$E41:$Z41,MIN(AD$6-$E$3,22))),0))-IF($G$2,0,IF((AD$6-$G$3)&lt;1,0,IFERROR(LOOKUP(2,1/(Trigo!$E41:INDEX(Trigo!$E41:$Z41,MIN(AD$6-$G$3,22))&lt;&gt;""),Trigo!$E41:INDEX(Trigo!$E41:$Z41,MIN(AD$6-$G$3,22))),0)))))</f>
        <v>0</v>
      </c>
      <c r="AE43" s="27" t="n">
        <f aca="false">IF(COUNT(Trigo!$E41:$Z41)=0,0,MAX(0,IF((AE$6-$E$3)&lt;1,0,IFERROR(LOOKUP(2,1/(Trigo!$E41:INDEX(Trigo!$E41:$Z41,MIN(AE$6-$E$3,22))&lt;&gt;""),Trigo!$E41:INDEX(Trigo!$E41:$Z41,MIN(AE$6-$E$3,22))),0))-IF($G$2,0,IF((AE$6-$G$3)&lt;1,0,IFERROR(LOOKUP(2,1/(Trigo!$E41:INDEX(Trigo!$E41:$Z41,MIN(AE$6-$G$3,22))&lt;&gt;""),Trigo!$E41:INDEX(Trigo!$E41:$Z41,MIN(AE$6-$G$3,22))),0)))))</f>
        <v>0</v>
      </c>
      <c r="AF43" s="27" t="n">
        <f aca="false">IF(COUNT(Trigo!$E41:$Z41)=0,0,MAX(0,IF((AF$6-$E$3)&lt;1,0,IFERROR(LOOKUP(2,1/(Trigo!$E41:INDEX(Trigo!$E41:$Z41,MIN(AF$6-$E$3,22))&lt;&gt;""),Trigo!$E41:INDEX(Trigo!$E41:$Z41,MIN(AF$6-$E$3,22))),0))-IF($G$2,0,IF((AF$6-$G$3)&lt;1,0,IFERROR(LOOKUP(2,1/(Trigo!$E41:INDEX(Trigo!$E41:$Z41,MIN(AF$6-$G$3,22))&lt;&gt;""),Trigo!$E41:INDEX(Trigo!$E41:$Z41,MIN(AF$6-$G$3,22))),0)))))</f>
        <v>0</v>
      </c>
      <c r="AG43" s="27" t="n">
        <f aca="false">IF(COUNT(Trigo!$E41:$Z41)=0,0,MAX(0,IF((AG$6-$E$3)&lt;1,0,IFERROR(LOOKUP(2,1/(Trigo!$E41:INDEX(Trigo!$E41:$Z41,MIN(AG$6-$E$3,22))&lt;&gt;""),Trigo!$E41:INDEX(Trigo!$E41:$Z41,MIN(AG$6-$E$3,22))),0))-IF($G$2,0,IF((AG$6-$G$3)&lt;1,0,IFERROR(LOOKUP(2,1/(Trigo!$E41:INDEX(Trigo!$E41:$Z41,MIN(AG$6-$G$3,22))&lt;&gt;""),Trigo!$E41:INDEX(Trigo!$E41:$Z41,MIN(AG$6-$G$3,22))),0)))))</f>
        <v>0</v>
      </c>
      <c r="AH43" s="27" t="n">
        <f aca="false">IF(COUNT(Trigo!$E41:$Z41)=0,0,MAX(0,IF((AH$6-$E$3)&lt;1,0,IFERROR(LOOKUP(2,1/(Trigo!$E41:INDEX(Trigo!$E41:$Z41,MIN(AH$6-$E$3,22))&lt;&gt;""),Trigo!$E41:INDEX(Trigo!$E41:$Z41,MIN(AH$6-$E$3,22))),0))-IF($G$2,0,IF((AH$6-$G$3)&lt;1,0,IFERROR(LOOKUP(2,1/(Trigo!$E41:INDEX(Trigo!$E41:$Z41,MIN(AH$6-$G$3,22))&lt;&gt;""),Trigo!$E41:INDEX(Trigo!$E41:$Z41,MIN(AH$6-$G$3,22))),0)))))</f>
        <v>0</v>
      </c>
      <c r="AI43" s="27" t="n">
        <f aca="false">IF(COUNT(Trigo!$E41:$Z41)=0,0,MAX(0,IF((AI$6-$E$3)&lt;1,0,IFERROR(LOOKUP(2,1/(Trigo!$E41:INDEX(Trigo!$E41:$Z41,MIN(AI$6-$E$3,22))&lt;&gt;""),Trigo!$E41:INDEX(Trigo!$E41:$Z41,MIN(AI$6-$E$3,22))),0))-IF($G$2,0,IF((AI$6-$G$3)&lt;1,0,IFERROR(LOOKUP(2,1/(Trigo!$E41:INDEX(Trigo!$E41:$Z41,MIN(AI$6-$G$3,22))&lt;&gt;""),Trigo!$E41:INDEX(Trigo!$E41:$Z41,MIN(AI$6-$G$3,22))),0)))))</f>
        <v>0</v>
      </c>
      <c r="AJ43" s="27" t="n">
        <f aca="false">IF(COUNT(Trigo!$E41:$Z41)=0,0,MAX(0,IF((AJ$6-$E$3)&lt;1,0,IFERROR(LOOKUP(2,1/(Trigo!$E41:INDEX(Trigo!$E41:$Z41,MIN(AJ$6-$E$3,22))&lt;&gt;""),Trigo!$E41:INDEX(Trigo!$E41:$Z41,MIN(AJ$6-$E$3,22))),0))-IF($G$2,0,IF((AJ$6-$G$3)&lt;1,0,IFERROR(LOOKUP(2,1/(Trigo!$E41:INDEX(Trigo!$E41:$Z41,MIN(AJ$6-$G$3,22))&lt;&gt;""),Trigo!$E41:INDEX(Trigo!$E41:$Z41,MIN(AJ$6-$G$3,22))),0)))))</f>
        <v>0</v>
      </c>
      <c r="AK43" s="27" t="n">
        <f aca="false">IF(COUNT(Trigo!$E41:$Z41)=0,0,MAX(0,IF((AK$6-$E$3)&lt;1,0,IFERROR(LOOKUP(2,1/(Trigo!$E41:INDEX(Trigo!$E41:$Z41,MIN(AK$6-$E$3,22))&lt;&gt;""),Trigo!$E41:INDEX(Trigo!$E41:$Z41,MIN(AK$6-$E$3,22))),0))-IF($G$2,0,IF((AK$6-$G$3)&lt;1,0,IFERROR(LOOKUP(2,1/(Trigo!$E41:INDEX(Trigo!$E41:$Z41,MIN(AK$6-$G$3,22))&lt;&gt;""),Trigo!$E41:INDEX(Trigo!$E41:$Z41,MIN(AK$6-$G$3,22))),0)))))</f>
        <v>0</v>
      </c>
      <c r="AL43" s="27" t="n">
        <f aca="false">IF(COUNT(Trigo!$E41:$Z41)=0,0,MAX(0,IF((AL$6-$E$3)&lt;1,0,IFERROR(LOOKUP(2,1/(Trigo!$E41:INDEX(Trigo!$E41:$Z41,MIN(AL$6-$E$3,22))&lt;&gt;""),Trigo!$E41:INDEX(Trigo!$E41:$Z41,MIN(AL$6-$E$3,22))),0))-IF($G$2,0,IF((AL$6-$G$3)&lt;1,0,IFERROR(LOOKUP(2,1/(Trigo!$E41:INDEX(Trigo!$E41:$Z41,MIN(AL$6-$G$3,22))&lt;&gt;""),Trigo!$E41:INDEX(Trigo!$E41:$Z41,MIN(AL$6-$G$3,22))),0)))))</f>
        <v>0</v>
      </c>
      <c r="AM43" s="27" t="n">
        <f aca="false">IF(COUNT(Trigo!$E41:$Z41)=0,0,MAX(0,IF((AM$6-$E$3)&lt;1,0,IFERROR(LOOKUP(2,1/(Trigo!$E41:INDEX(Trigo!$E41:$Z41,MIN(AM$6-$E$3,22))&lt;&gt;""),Trigo!$E41:INDEX(Trigo!$E41:$Z41,MIN(AM$6-$E$3,22))),0))-IF($G$2,0,IF((AM$6-$G$3)&lt;1,0,IFERROR(LOOKUP(2,1/(Trigo!$E41:INDEX(Trigo!$E41:$Z41,MIN(AM$6-$G$3,22))&lt;&gt;""),Trigo!$E41:INDEX(Trigo!$E41:$Z41,MIN(AM$6-$G$3,22))),0)))))</f>
        <v>0</v>
      </c>
      <c r="AN43" s="27" t="n">
        <f aca="false">IF(COUNT(Trigo!$E41:$Z41)=0,0,MAX(0,IF((AN$6-$E$3)&lt;1,0,IFERROR(LOOKUP(2,1/(Trigo!$E41:INDEX(Trigo!$E41:$Z41,MIN(AN$6-$E$3,22))&lt;&gt;""),Trigo!$E41:INDEX(Trigo!$E41:$Z41,MIN(AN$6-$E$3,22))),0))-IF($G$2,0,IF((AN$6-$G$3)&lt;1,0,IFERROR(LOOKUP(2,1/(Trigo!$E41:INDEX(Trigo!$E41:$Z41,MIN(AN$6-$G$3,22))&lt;&gt;""),Trigo!$E41:INDEX(Trigo!$E41:$Z41,MIN(AN$6-$G$3,22))),0)))))</f>
        <v>0</v>
      </c>
      <c r="AO43" s="27" t="n">
        <f aca="false">IF(COUNT(Trigo!$E41:$Z41)=0,0,MAX(0,IF((AO$6-$E$3)&lt;1,0,IFERROR(LOOKUP(2,1/(Trigo!$E41:INDEX(Trigo!$E41:$Z41,MIN(AO$6-$E$3,22))&lt;&gt;""),Trigo!$E41:INDEX(Trigo!$E41:$Z41,MIN(AO$6-$E$3,22))),0))-IF($G$2,0,IF((AO$6-$G$3)&lt;1,0,IFERROR(LOOKUP(2,1/(Trigo!$E41:INDEX(Trigo!$E41:$Z41,MIN(AO$6-$G$3,22))&lt;&gt;""),Trigo!$E41:INDEX(Trigo!$E41:$Z41,MIN(AO$6-$G$3,22))),0)))))</f>
        <v>0</v>
      </c>
      <c r="AP43" s="27" t="n">
        <f aca="false">IF(COUNT(Trigo!$E41:$Z41)=0,0,MAX(0,IF((AP$6-$E$3)&lt;1,0,IFERROR(LOOKUP(2,1/(Trigo!$E41:INDEX(Trigo!$E41:$Z41,MIN(AP$6-$E$3,22))&lt;&gt;""),Trigo!$E41:INDEX(Trigo!$E41:$Z41,MIN(AP$6-$E$3,22))),0))-IF($G$2,0,IF((AP$6-$G$3)&lt;1,0,IFERROR(LOOKUP(2,1/(Trigo!$E41:INDEX(Trigo!$E41:$Z41,MIN(AP$6-$G$3,22))&lt;&gt;""),Trigo!$E41:INDEX(Trigo!$E41:$Z41,MIN(AP$6-$G$3,22))),0)))))</f>
        <v>0</v>
      </c>
      <c r="AQ43" s="27" t="n">
        <f aca="false">IF(COUNT(Trigo!$E41:$Z41)=0,0,MAX(0,IF((AQ$6-$E$3)&lt;1,0,IFERROR(LOOKUP(2,1/(Trigo!$E41:INDEX(Trigo!$E41:$Z41,MIN(AQ$6-$E$3,22))&lt;&gt;""),Trigo!$E41:INDEX(Trigo!$E41:$Z41,MIN(AQ$6-$E$3,22))),0))-IF($G$2,0,IF((AQ$6-$G$3)&lt;1,0,IFERROR(LOOKUP(2,1/(Trigo!$E41:INDEX(Trigo!$E41:$Z41,MIN(AQ$6-$G$3,22))&lt;&gt;""),Trigo!$E41:INDEX(Trigo!$E41:$Z41,MIN(AQ$6-$G$3,22))),0)))))</f>
        <v>0</v>
      </c>
      <c r="AR43" s="27" t="n">
        <f aca="false">IF(COUNT(Trigo!$E41:$Z41)=0,0,MAX(0,IF((AR$6-$E$3)&lt;1,0,IFERROR(LOOKUP(2,1/(Trigo!$E41:INDEX(Trigo!$E41:$Z41,MIN(AR$6-$E$3,22))&lt;&gt;""),Trigo!$E41:INDEX(Trigo!$E41:$Z41,MIN(AR$6-$E$3,22))),0))-IF($G$2,0,IF((AR$6-$G$3)&lt;1,0,IFERROR(LOOKUP(2,1/(Trigo!$E41:INDEX(Trigo!$E41:$Z41,MIN(AR$6-$G$3,22))&lt;&gt;""),Trigo!$E41:INDEX(Trigo!$E41:$Z41,MIN(AR$6-$G$3,22))),0)))))</f>
        <v>0</v>
      </c>
      <c r="AS43" s="27" t="n">
        <f aca="false">IF(COUNT(Trigo!$E41:$Z41)=0,0,MAX(0,IF((AS$6-$E$3)&lt;1,0,IFERROR(LOOKUP(2,1/(Trigo!$E41:INDEX(Trigo!$E41:$Z41,MIN(AS$6-$E$3,22))&lt;&gt;""),Trigo!$E41:INDEX(Trigo!$E41:$Z41,MIN(AS$6-$E$3,22))),0))-IF($G$2,0,IF((AS$6-$G$3)&lt;1,0,IFERROR(LOOKUP(2,1/(Trigo!$E41:INDEX(Trigo!$E41:$Z41,MIN(AS$6-$G$3,22))&lt;&gt;""),Trigo!$E41:INDEX(Trigo!$E41:$Z41,MIN(AS$6-$G$3,22))),0)))))</f>
        <v>0</v>
      </c>
      <c r="AT43" s="27" t="n">
        <f aca="false">IF(COUNT(Trigo!$E41:$Z41)=0,0,MAX(0,IF((AT$6-$E$3)&lt;1,0,IFERROR(LOOKUP(2,1/(Trigo!$E41:INDEX(Trigo!$E41:$Z41,MIN(AT$6-$E$3,22))&lt;&gt;""),Trigo!$E41:INDEX(Trigo!$E41:$Z41,MIN(AT$6-$E$3,22))),0))-IF($G$2,0,IF((AT$6-$G$3)&lt;1,0,IFERROR(LOOKUP(2,1/(Trigo!$E41:INDEX(Trigo!$E41:$Z41,MIN(AT$6-$G$3,22))&lt;&gt;""),Trigo!$E41:INDEX(Trigo!$E41:$Z41,MIN(AT$6-$G$3,22))),0)))))</f>
        <v>0</v>
      </c>
      <c r="AU43" s="27" t="n">
        <f aca="false">IF(COUNT(Trigo!$E41:$Z41)=0,0,MAX(0,IF((AU$6-$E$3)&lt;1,0,IFERROR(LOOKUP(2,1/(Trigo!$E41:INDEX(Trigo!$E41:$Z41,MIN(AU$6-$E$3,22))&lt;&gt;""),Trigo!$E41:INDEX(Trigo!$E41:$Z41,MIN(AU$6-$E$3,22))),0))-IF($G$2,0,IF((AU$6-$G$3)&lt;1,0,IFERROR(LOOKUP(2,1/(Trigo!$E41:INDEX(Trigo!$E41:$Z41,MIN(AU$6-$G$3,22))&lt;&gt;""),Trigo!$E41:INDEX(Trigo!$E41:$Z41,MIN(AU$6-$G$3,22))),0)))))</f>
        <v>0</v>
      </c>
      <c r="AV43" s="27" t="n">
        <f aca="false">IF(COUNT(Trigo!$E41:$Z41)=0,0,MAX(0,IF((AV$6-$E$3)&lt;1,0,IFERROR(LOOKUP(2,1/(Trigo!$E41:INDEX(Trigo!$E41:$Z41,MIN(AV$6-$E$3,22))&lt;&gt;""),Trigo!$E41:INDEX(Trigo!$E41:$Z41,MIN(AV$6-$E$3,22))),0))-IF($G$2,0,IF((AV$6-$G$3)&lt;1,0,IFERROR(LOOKUP(2,1/(Trigo!$E41:INDEX(Trigo!$E41:$Z41,MIN(AV$6-$G$3,22))&lt;&gt;""),Trigo!$E41:INDEX(Trigo!$E41:$Z41,MIN(AV$6-$G$3,22))),0)))))</f>
        <v>0</v>
      </c>
      <c r="AW43" s="27" t="n">
        <f aca="false">IF(COUNT(Trigo!$E41:$Z41)=0,0,MAX(0,IF((AW$6-$E$3)&lt;1,0,IFERROR(LOOKUP(2,1/(Trigo!$E41:INDEX(Trigo!$E41:$Z41,MIN(AW$6-$E$3,22))&lt;&gt;""),Trigo!$E41:INDEX(Trigo!$E41:$Z41,MIN(AW$6-$E$3,22))),0))-IF($G$2,0,IF((AW$6-$G$3)&lt;1,0,IFERROR(LOOKUP(2,1/(Trigo!$E41:INDEX(Trigo!$E41:$Z41,MIN(AW$6-$G$3,22))&lt;&gt;""),Trigo!$E41:INDEX(Trigo!$E41:$Z41,MIN(AW$6-$G$3,22))),0)))))</f>
        <v>0</v>
      </c>
      <c r="AX43" s="27" t="n">
        <f aca="false">IF(COUNT(Trigo!$E41:$Z41)=0,0,MAX(0,IF((AX$6-$E$3)&lt;1,0,IFERROR(LOOKUP(2,1/(Trigo!$E41:INDEX(Trigo!$E41:$Z41,MIN(AX$6-$E$3,22))&lt;&gt;""),Trigo!$E41:INDEX(Trigo!$E41:$Z41,MIN(AX$6-$E$3,22))),0))-IF($G$2,0,IF((AX$6-$G$3)&lt;1,0,IFERROR(LOOKUP(2,1/(Trigo!$E41:INDEX(Trigo!$E41:$Z41,MIN(AX$6-$G$3,22))&lt;&gt;""),Trigo!$E41:INDEX(Trigo!$E41:$Z41,MIN(AX$6-$G$3,22))),0)))))</f>
        <v>0</v>
      </c>
      <c r="AY43" s="27" t="n">
        <f aca="false">IF(COUNT(Trigo!$E41:$Z41)=0,0,MAX(0,IF((AY$6-$E$3)&lt;1,0,IFERROR(LOOKUP(2,1/(Trigo!$E41:INDEX(Trigo!$E41:$Z41,MIN(AY$6-$E$3,22))&lt;&gt;""),Trigo!$E41:INDEX(Trigo!$E41:$Z41,MIN(AY$6-$E$3,22))),0))-IF($G$2,0,IF((AY$6-$G$3)&lt;1,0,IFERROR(LOOKUP(2,1/(Trigo!$E41:INDEX(Trigo!$E41:$Z41,MIN(AY$6-$G$3,22))&lt;&gt;""),Trigo!$E41:INDEX(Trigo!$E41:$Z41,MIN(AY$6-$G$3,22))),0)))))</f>
        <v>0</v>
      </c>
      <c r="AZ43" s="27" t="n">
        <f aca="false">IF(COUNT(Trigo!$E41:$Z41)=0,0,MAX(0,IF((AZ$6-$E$3)&lt;1,0,IFERROR(LOOKUP(2,1/(Trigo!$E41:INDEX(Trigo!$E41:$Z41,MIN(AZ$6-$E$3,22))&lt;&gt;""),Trigo!$E41:INDEX(Trigo!$E41:$Z41,MIN(AZ$6-$E$3,22))),0))-IF($G$2,0,IF((AZ$6-$G$3)&lt;1,0,IFERROR(LOOKUP(2,1/(Trigo!$E41:INDEX(Trigo!$E41:$Z41,MIN(AZ$6-$G$3,22))&lt;&gt;""),Trigo!$E41:INDEX(Trigo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IF(COUNT(Trigo!$E42:$Z42)&gt;0,N(Trigo!$D42),0)</f>
        <v>0</v>
      </c>
      <c r="E44" s="27" t="n">
        <f aca="false">IF(COUNT(Trigo!$E42:$Z42)=0,0,MAX(0,IF((E$6-$E$3)&lt;1,0,IFERROR(LOOKUP(2,1/(Trigo!$E42:INDEX(Trigo!$E42:$Z42,MIN(E$6-$E$3,22))&lt;&gt;""),Trigo!$E42:INDEX(Trigo!$E42:$Z42,MIN(E$6-$E$3,22))),0))-IF($G$2,0,IF((E$6-$G$3)&lt;1,0,IFERROR(LOOKUP(2,1/(Trigo!$E42:INDEX(Trigo!$E42:$Z42,MIN(E$6-$G$3,22))&lt;&gt;""),Trigo!$E42:INDEX(Trigo!$E42:$Z42,MIN(E$6-$G$3,22))),0)))))</f>
        <v>0</v>
      </c>
      <c r="F44" s="27" t="n">
        <f aca="false">IF(COUNT(Trigo!$E42:$Z42)=0,0,MAX(0,IF((F$6-$E$3)&lt;1,0,IFERROR(LOOKUP(2,1/(Trigo!$E42:INDEX(Trigo!$E42:$Z42,MIN(F$6-$E$3,22))&lt;&gt;""),Trigo!$E42:INDEX(Trigo!$E42:$Z42,MIN(F$6-$E$3,22))),0))-IF($G$2,0,IF((F$6-$G$3)&lt;1,0,IFERROR(LOOKUP(2,1/(Trigo!$E42:INDEX(Trigo!$E42:$Z42,MIN(F$6-$G$3,22))&lt;&gt;""),Trigo!$E42:INDEX(Trigo!$E42:$Z42,MIN(F$6-$G$3,22))),0)))))</f>
        <v>0</v>
      </c>
      <c r="G44" s="27" t="n">
        <f aca="false">IF(COUNT(Trigo!$E42:$Z42)=0,0,MAX(0,IF((G$6-$E$3)&lt;1,0,IFERROR(LOOKUP(2,1/(Trigo!$E42:INDEX(Trigo!$E42:$Z42,MIN(G$6-$E$3,22))&lt;&gt;""),Trigo!$E42:INDEX(Trigo!$E42:$Z42,MIN(G$6-$E$3,22))),0))-IF($G$2,0,IF((G$6-$G$3)&lt;1,0,IFERROR(LOOKUP(2,1/(Trigo!$E42:INDEX(Trigo!$E42:$Z42,MIN(G$6-$G$3,22))&lt;&gt;""),Trigo!$E42:INDEX(Trigo!$E42:$Z42,MIN(G$6-$G$3,22))),0)))))</f>
        <v>0</v>
      </c>
      <c r="H44" s="27" t="n">
        <f aca="false">IF(COUNT(Trigo!$E42:$Z42)=0,0,MAX(0,IF((H$6-$E$3)&lt;1,0,IFERROR(LOOKUP(2,1/(Trigo!$E42:INDEX(Trigo!$E42:$Z42,MIN(H$6-$E$3,22))&lt;&gt;""),Trigo!$E42:INDEX(Trigo!$E42:$Z42,MIN(H$6-$E$3,22))),0))-IF($G$2,0,IF((H$6-$G$3)&lt;1,0,IFERROR(LOOKUP(2,1/(Trigo!$E42:INDEX(Trigo!$E42:$Z42,MIN(H$6-$G$3,22))&lt;&gt;""),Trigo!$E42:INDEX(Trigo!$E42:$Z42,MIN(H$6-$G$3,22))),0)))))</f>
        <v>0</v>
      </c>
      <c r="I44" s="27" t="n">
        <f aca="false">IF(COUNT(Trigo!$E42:$Z42)=0,0,MAX(0,IF((I$6-$E$3)&lt;1,0,IFERROR(LOOKUP(2,1/(Trigo!$E42:INDEX(Trigo!$E42:$Z42,MIN(I$6-$E$3,22))&lt;&gt;""),Trigo!$E42:INDEX(Trigo!$E42:$Z42,MIN(I$6-$E$3,22))),0))-IF($G$2,0,IF((I$6-$G$3)&lt;1,0,IFERROR(LOOKUP(2,1/(Trigo!$E42:INDEX(Trigo!$E42:$Z42,MIN(I$6-$G$3,22))&lt;&gt;""),Trigo!$E42:INDEX(Trigo!$E42:$Z42,MIN(I$6-$G$3,22))),0)))))</f>
        <v>0</v>
      </c>
      <c r="J44" s="27" t="n">
        <f aca="false">IF(COUNT(Trigo!$E42:$Z42)=0,0,MAX(0,IF((J$6-$E$3)&lt;1,0,IFERROR(LOOKUP(2,1/(Trigo!$E42:INDEX(Trigo!$E42:$Z42,MIN(J$6-$E$3,22))&lt;&gt;""),Trigo!$E42:INDEX(Trigo!$E42:$Z42,MIN(J$6-$E$3,22))),0))-IF($G$2,0,IF((J$6-$G$3)&lt;1,0,IFERROR(LOOKUP(2,1/(Trigo!$E42:INDEX(Trigo!$E42:$Z42,MIN(J$6-$G$3,22))&lt;&gt;""),Trigo!$E42:INDEX(Trigo!$E42:$Z42,MIN(J$6-$G$3,22))),0)))))</f>
        <v>0</v>
      </c>
      <c r="K44" s="27" t="n">
        <f aca="false">IF(COUNT(Trigo!$E42:$Z42)=0,0,MAX(0,IF((K$6-$E$3)&lt;1,0,IFERROR(LOOKUP(2,1/(Trigo!$E42:INDEX(Trigo!$E42:$Z42,MIN(K$6-$E$3,22))&lt;&gt;""),Trigo!$E42:INDEX(Trigo!$E42:$Z42,MIN(K$6-$E$3,22))),0))-IF($G$2,0,IF((K$6-$G$3)&lt;1,0,IFERROR(LOOKUP(2,1/(Trigo!$E42:INDEX(Trigo!$E42:$Z42,MIN(K$6-$G$3,22))&lt;&gt;""),Trigo!$E42:INDEX(Trigo!$E42:$Z42,MIN(K$6-$G$3,22))),0)))))</f>
        <v>0</v>
      </c>
      <c r="L44" s="27" t="n">
        <f aca="false">IF(COUNT(Trigo!$E42:$Z42)=0,0,MAX(0,IF((L$6-$E$3)&lt;1,0,IFERROR(LOOKUP(2,1/(Trigo!$E42:INDEX(Trigo!$E42:$Z42,MIN(L$6-$E$3,22))&lt;&gt;""),Trigo!$E42:INDEX(Trigo!$E42:$Z42,MIN(L$6-$E$3,22))),0))-IF($G$2,0,IF((L$6-$G$3)&lt;1,0,IFERROR(LOOKUP(2,1/(Trigo!$E42:INDEX(Trigo!$E42:$Z42,MIN(L$6-$G$3,22))&lt;&gt;""),Trigo!$E42:INDEX(Trigo!$E42:$Z42,MIN(L$6-$G$3,22))),0)))))</f>
        <v>0</v>
      </c>
      <c r="M44" s="27" t="n">
        <f aca="false">IF(COUNT(Trigo!$E42:$Z42)=0,0,MAX(0,IF((M$6-$E$3)&lt;1,0,IFERROR(LOOKUP(2,1/(Trigo!$E42:INDEX(Trigo!$E42:$Z42,MIN(M$6-$E$3,22))&lt;&gt;""),Trigo!$E42:INDEX(Trigo!$E42:$Z42,MIN(M$6-$E$3,22))),0))-IF($G$2,0,IF((M$6-$G$3)&lt;1,0,IFERROR(LOOKUP(2,1/(Trigo!$E42:INDEX(Trigo!$E42:$Z42,MIN(M$6-$G$3,22))&lt;&gt;""),Trigo!$E42:INDEX(Trigo!$E42:$Z42,MIN(M$6-$G$3,22))),0)))))</f>
        <v>0</v>
      </c>
      <c r="N44" s="27" t="n">
        <f aca="false">IF(COUNT(Trigo!$E42:$Z42)=0,0,MAX(0,IF((N$6-$E$3)&lt;1,0,IFERROR(LOOKUP(2,1/(Trigo!$E42:INDEX(Trigo!$E42:$Z42,MIN(N$6-$E$3,22))&lt;&gt;""),Trigo!$E42:INDEX(Trigo!$E42:$Z42,MIN(N$6-$E$3,22))),0))-IF($G$2,0,IF((N$6-$G$3)&lt;1,0,IFERROR(LOOKUP(2,1/(Trigo!$E42:INDEX(Trigo!$E42:$Z42,MIN(N$6-$G$3,22))&lt;&gt;""),Trigo!$E42:INDEX(Trigo!$E42:$Z42,MIN(N$6-$G$3,22))),0)))))</f>
        <v>0</v>
      </c>
      <c r="O44" s="27" t="n">
        <f aca="false">IF(COUNT(Trigo!$E42:$Z42)=0,0,MAX(0,IF((O$6-$E$3)&lt;1,0,IFERROR(LOOKUP(2,1/(Trigo!$E42:INDEX(Trigo!$E42:$Z42,MIN(O$6-$E$3,22))&lt;&gt;""),Trigo!$E42:INDEX(Trigo!$E42:$Z42,MIN(O$6-$E$3,22))),0))-IF($G$2,0,IF((O$6-$G$3)&lt;1,0,IFERROR(LOOKUP(2,1/(Trigo!$E42:INDEX(Trigo!$E42:$Z42,MIN(O$6-$G$3,22))&lt;&gt;""),Trigo!$E42:INDEX(Trigo!$E42:$Z42,MIN(O$6-$G$3,22))),0)))))</f>
        <v>0</v>
      </c>
      <c r="P44" s="27" t="n">
        <f aca="false">IF(COUNT(Trigo!$E42:$Z42)=0,0,MAX(0,IF((P$6-$E$3)&lt;1,0,IFERROR(LOOKUP(2,1/(Trigo!$E42:INDEX(Trigo!$E42:$Z42,MIN(P$6-$E$3,22))&lt;&gt;""),Trigo!$E42:INDEX(Trigo!$E42:$Z42,MIN(P$6-$E$3,22))),0))-IF($G$2,0,IF((P$6-$G$3)&lt;1,0,IFERROR(LOOKUP(2,1/(Trigo!$E42:INDEX(Trigo!$E42:$Z42,MIN(P$6-$G$3,22))&lt;&gt;""),Trigo!$E42:INDEX(Trigo!$E42:$Z42,MIN(P$6-$G$3,22))),0)))))</f>
        <v>0</v>
      </c>
      <c r="Q44" s="27" t="n">
        <f aca="false">IF(COUNT(Trigo!$E42:$Z42)=0,0,MAX(0,IF((Q$6-$E$3)&lt;1,0,IFERROR(LOOKUP(2,1/(Trigo!$E42:INDEX(Trigo!$E42:$Z42,MIN(Q$6-$E$3,22))&lt;&gt;""),Trigo!$E42:INDEX(Trigo!$E42:$Z42,MIN(Q$6-$E$3,22))),0))-IF($G$2,0,IF((Q$6-$G$3)&lt;1,0,IFERROR(LOOKUP(2,1/(Trigo!$E42:INDEX(Trigo!$E42:$Z42,MIN(Q$6-$G$3,22))&lt;&gt;""),Trigo!$E42:INDEX(Trigo!$E42:$Z42,MIN(Q$6-$G$3,22))),0)))))</f>
        <v>0</v>
      </c>
      <c r="R44" s="27" t="n">
        <f aca="false">IF(COUNT(Trigo!$E42:$Z42)=0,0,MAX(0,IF((R$6-$E$3)&lt;1,0,IFERROR(LOOKUP(2,1/(Trigo!$E42:INDEX(Trigo!$E42:$Z42,MIN(R$6-$E$3,22))&lt;&gt;""),Trigo!$E42:INDEX(Trigo!$E42:$Z42,MIN(R$6-$E$3,22))),0))-IF($G$2,0,IF((R$6-$G$3)&lt;1,0,IFERROR(LOOKUP(2,1/(Trigo!$E42:INDEX(Trigo!$E42:$Z42,MIN(R$6-$G$3,22))&lt;&gt;""),Trigo!$E42:INDEX(Trigo!$E42:$Z42,MIN(R$6-$G$3,22))),0)))))</f>
        <v>0</v>
      </c>
      <c r="S44" s="27" t="n">
        <f aca="false">IF(COUNT(Trigo!$E42:$Z42)=0,0,MAX(0,IF((S$6-$E$3)&lt;1,0,IFERROR(LOOKUP(2,1/(Trigo!$E42:INDEX(Trigo!$E42:$Z42,MIN(S$6-$E$3,22))&lt;&gt;""),Trigo!$E42:INDEX(Trigo!$E42:$Z42,MIN(S$6-$E$3,22))),0))-IF($G$2,0,IF((S$6-$G$3)&lt;1,0,IFERROR(LOOKUP(2,1/(Trigo!$E42:INDEX(Trigo!$E42:$Z42,MIN(S$6-$G$3,22))&lt;&gt;""),Trigo!$E42:INDEX(Trigo!$E42:$Z42,MIN(S$6-$G$3,22))),0)))))</f>
        <v>0</v>
      </c>
      <c r="T44" s="27" t="n">
        <f aca="false">IF(COUNT(Trigo!$E42:$Z42)=0,0,MAX(0,IF((T$6-$E$3)&lt;1,0,IFERROR(LOOKUP(2,1/(Trigo!$E42:INDEX(Trigo!$E42:$Z42,MIN(T$6-$E$3,22))&lt;&gt;""),Trigo!$E42:INDEX(Trigo!$E42:$Z42,MIN(T$6-$E$3,22))),0))-IF($G$2,0,IF((T$6-$G$3)&lt;1,0,IFERROR(LOOKUP(2,1/(Trigo!$E42:INDEX(Trigo!$E42:$Z42,MIN(T$6-$G$3,22))&lt;&gt;""),Trigo!$E42:INDEX(Trigo!$E42:$Z42,MIN(T$6-$G$3,22))),0)))))</f>
        <v>0</v>
      </c>
      <c r="U44" s="27" t="n">
        <f aca="false">IF(COUNT(Trigo!$E42:$Z42)=0,0,MAX(0,IF((U$6-$E$3)&lt;1,0,IFERROR(LOOKUP(2,1/(Trigo!$E42:INDEX(Trigo!$E42:$Z42,MIN(U$6-$E$3,22))&lt;&gt;""),Trigo!$E42:INDEX(Trigo!$E42:$Z42,MIN(U$6-$E$3,22))),0))-IF($G$2,0,IF((U$6-$G$3)&lt;1,0,IFERROR(LOOKUP(2,1/(Trigo!$E42:INDEX(Trigo!$E42:$Z42,MIN(U$6-$G$3,22))&lt;&gt;""),Trigo!$E42:INDEX(Trigo!$E42:$Z42,MIN(U$6-$G$3,22))),0)))))</f>
        <v>0</v>
      </c>
      <c r="V44" s="27" t="n">
        <f aca="false">IF(COUNT(Trigo!$E42:$Z42)=0,0,MAX(0,IF((V$6-$E$3)&lt;1,0,IFERROR(LOOKUP(2,1/(Trigo!$E42:INDEX(Trigo!$E42:$Z42,MIN(V$6-$E$3,22))&lt;&gt;""),Trigo!$E42:INDEX(Trigo!$E42:$Z42,MIN(V$6-$E$3,22))),0))-IF($G$2,0,IF((V$6-$G$3)&lt;1,0,IFERROR(LOOKUP(2,1/(Trigo!$E42:INDEX(Trigo!$E42:$Z42,MIN(V$6-$G$3,22))&lt;&gt;""),Trigo!$E42:INDEX(Trigo!$E42:$Z42,MIN(V$6-$G$3,22))),0)))))</f>
        <v>0</v>
      </c>
      <c r="W44" s="27" t="n">
        <f aca="false">IF(COUNT(Trigo!$E42:$Z42)=0,0,MAX(0,IF((W$6-$E$3)&lt;1,0,IFERROR(LOOKUP(2,1/(Trigo!$E42:INDEX(Trigo!$E42:$Z42,MIN(W$6-$E$3,22))&lt;&gt;""),Trigo!$E42:INDEX(Trigo!$E42:$Z42,MIN(W$6-$E$3,22))),0))-IF($G$2,0,IF((W$6-$G$3)&lt;1,0,IFERROR(LOOKUP(2,1/(Trigo!$E42:INDEX(Trigo!$E42:$Z42,MIN(W$6-$G$3,22))&lt;&gt;""),Trigo!$E42:INDEX(Trigo!$E42:$Z42,MIN(W$6-$G$3,22))),0)))))</f>
        <v>0</v>
      </c>
      <c r="X44" s="27" t="n">
        <f aca="false">IF(COUNT(Trigo!$E42:$Z42)=0,0,MAX(0,IF((X$6-$E$3)&lt;1,0,IFERROR(LOOKUP(2,1/(Trigo!$E42:INDEX(Trigo!$E42:$Z42,MIN(X$6-$E$3,22))&lt;&gt;""),Trigo!$E42:INDEX(Trigo!$E42:$Z42,MIN(X$6-$E$3,22))),0))-IF($G$2,0,IF((X$6-$G$3)&lt;1,0,IFERROR(LOOKUP(2,1/(Trigo!$E42:INDEX(Trigo!$E42:$Z42,MIN(X$6-$G$3,22))&lt;&gt;""),Trigo!$E42:INDEX(Trigo!$E42:$Z42,MIN(X$6-$G$3,22))),0)))))</f>
        <v>0</v>
      </c>
      <c r="Y44" s="27" t="n">
        <f aca="false">IF(COUNT(Trigo!$E42:$Z42)=0,0,MAX(0,IF((Y$6-$E$3)&lt;1,0,IFERROR(LOOKUP(2,1/(Trigo!$E42:INDEX(Trigo!$E42:$Z42,MIN(Y$6-$E$3,22))&lt;&gt;""),Trigo!$E42:INDEX(Trigo!$E42:$Z42,MIN(Y$6-$E$3,22))),0))-IF($G$2,0,IF((Y$6-$G$3)&lt;1,0,IFERROR(LOOKUP(2,1/(Trigo!$E42:INDEX(Trigo!$E42:$Z42,MIN(Y$6-$G$3,22))&lt;&gt;""),Trigo!$E42:INDEX(Trigo!$E42:$Z42,MIN(Y$6-$G$3,22))),0)))))</f>
        <v>0</v>
      </c>
      <c r="Z44" s="27" t="n">
        <f aca="false">IF(COUNT(Trigo!$E42:$Z42)=0,0,MAX(0,IF((Z$6-$E$3)&lt;1,0,IFERROR(LOOKUP(2,1/(Trigo!$E42:INDEX(Trigo!$E42:$Z42,MIN(Z$6-$E$3,22))&lt;&gt;""),Trigo!$E42:INDEX(Trigo!$E42:$Z42,MIN(Z$6-$E$3,22))),0))-IF($G$2,0,IF((Z$6-$G$3)&lt;1,0,IFERROR(LOOKUP(2,1/(Trigo!$E42:INDEX(Trigo!$E42:$Z42,MIN(Z$6-$G$3,22))&lt;&gt;""),Trigo!$E42:INDEX(Trigo!$E42:$Z42,MIN(Z$6-$G$3,22))),0)))))</f>
        <v>0</v>
      </c>
      <c r="AA44" s="27" t="n">
        <f aca="false">IF(COUNT(Trigo!$E42:$Z42)=0,0,MAX(0,IF((AA$6-$E$3)&lt;1,0,IFERROR(LOOKUP(2,1/(Trigo!$E42:INDEX(Trigo!$E42:$Z42,MIN(AA$6-$E$3,22))&lt;&gt;""),Trigo!$E42:INDEX(Trigo!$E42:$Z42,MIN(AA$6-$E$3,22))),0))-IF($G$2,0,IF((AA$6-$G$3)&lt;1,0,IFERROR(LOOKUP(2,1/(Trigo!$E42:INDEX(Trigo!$E42:$Z42,MIN(AA$6-$G$3,22))&lt;&gt;""),Trigo!$E42:INDEX(Trigo!$E42:$Z42,MIN(AA$6-$G$3,22))),0)))))</f>
        <v>0</v>
      </c>
      <c r="AB44" s="27" t="n">
        <f aca="false">IF(COUNT(Trigo!$E42:$Z42)=0,0,MAX(0,IF((AB$6-$E$3)&lt;1,0,IFERROR(LOOKUP(2,1/(Trigo!$E42:INDEX(Trigo!$E42:$Z42,MIN(AB$6-$E$3,22))&lt;&gt;""),Trigo!$E42:INDEX(Trigo!$E42:$Z42,MIN(AB$6-$E$3,22))),0))-IF($G$2,0,IF((AB$6-$G$3)&lt;1,0,IFERROR(LOOKUP(2,1/(Trigo!$E42:INDEX(Trigo!$E42:$Z42,MIN(AB$6-$G$3,22))&lt;&gt;""),Trigo!$E42:INDEX(Trigo!$E42:$Z42,MIN(AB$6-$G$3,22))),0)))))</f>
        <v>0</v>
      </c>
      <c r="AC44" s="27" t="n">
        <f aca="false">IF(COUNT(Trigo!$E42:$Z42)=0,0,MAX(0,IF((AC$6-$E$3)&lt;1,0,IFERROR(LOOKUP(2,1/(Trigo!$E42:INDEX(Trigo!$E42:$Z42,MIN(AC$6-$E$3,22))&lt;&gt;""),Trigo!$E42:INDEX(Trigo!$E42:$Z42,MIN(AC$6-$E$3,22))),0))-IF($G$2,0,IF((AC$6-$G$3)&lt;1,0,IFERROR(LOOKUP(2,1/(Trigo!$E42:INDEX(Trigo!$E42:$Z42,MIN(AC$6-$G$3,22))&lt;&gt;""),Trigo!$E42:INDEX(Trigo!$E42:$Z42,MIN(AC$6-$G$3,22))),0)))))</f>
        <v>0</v>
      </c>
      <c r="AD44" s="27" t="n">
        <f aca="false">IF(COUNT(Trigo!$E42:$Z42)=0,0,MAX(0,IF((AD$6-$E$3)&lt;1,0,IFERROR(LOOKUP(2,1/(Trigo!$E42:INDEX(Trigo!$E42:$Z42,MIN(AD$6-$E$3,22))&lt;&gt;""),Trigo!$E42:INDEX(Trigo!$E42:$Z42,MIN(AD$6-$E$3,22))),0))-IF($G$2,0,IF((AD$6-$G$3)&lt;1,0,IFERROR(LOOKUP(2,1/(Trigo!$E42:INDEX(Trigo!$E42:$Z42,MIN(AD$6-$G$3,22))&lt;&gt;""),Trigo!$E42:INDEX(Trigo!$E42:$Z42,MIN(AD$6-$G$3,22))),0)))))</f>
        <v>0</v>
      </c>
      <c r="AE44" s="27" t="n">
        <f aca="false">IF(COUNT(Trigo!$E42:$Z42)=0,0,MAX(0,IF((AE$6-$E$3)&lt;1,0,IFERROR(LOOKUP(2,1/(Trigo!$E42:INDEX(Trigo!$E42:$Z42,MIN(AE$6-$E$3,22))&lt;&gt;""),Trigo!$E42:INDEX(Trigo!$E42:$Z42,MIN(AE$6-$E$3,22))),0))-IF($G$2,0,IF((AE$6-$G$3)&lt;1,0,IFERROR(LOOKUP(2,1/(Trigo!$E42:INDEX(Trigo!$E42:$Z42,MIN(AE$6-$G$3,22))&lt;&gt;""),Trigo!$E42:INDEX(Trigo!$E42:$Z42,MIN(AE$6-$G$3,22))),0)))))</f>
        <v>0</v>
      </c>
      <c r="AF44" s="27" t="n">
        <f aca="false">IF(COUNT(Trigo!$E42:$Z42)=0,0,MAX(0,IF((AF$6-$E$3)&lt;1,0,IFERROR(LOOKUP(2,1/(Trigo!$E42:INDEX(Trigo!$E42:$Z42,MIN(AF$6-$E$3,22))&lt;&gt;""),Trigo!$E42:INDEX(Trigo!$E42:$Z42,MIN(AF$6-$E$3,22))),0))-IF($G$2,0,IF((AF$6-$G$3)&lt;1,0,IFERROR(LOOKUP(2,1/(Trigo!$E42:INDEX(Trigo!$E42:$Z42,MIN(AF$6-$G$3,22))&lt;&gt;""),Trigo!$E42:INDEX(Trigo!$E42:$Z42,MIN(AF$6-$G$3,22))),0)))))</f>
        <v>0</v>
      </c>
      <c r="AG44" s="27" t="n">
        <f aca="false">IF(COUNT(Trigo!$E42:$Z42)=0,0,MAX(0,IF((AG$6-$E$3)&lt;1,0,IFERROR(LOOKUP(2,1/(Trigo!$E42:INDEX(Trigo!$E42:$Z42,MIN(AG$6-$E$3,22))&lt;&gt;""),Trigo!$E42:INDEX(Trigo!$E42:$Z42,MIN(AG$6-$E$3,22))),0))-IF($G$2,0,IF((AG$6-$G$3)&lt;1,0,IFERROR(LOOKUP(2,1/(Trigo!$E42:INDEX(Trigo!$E42:$Z42,MIN(AG$6-$G$3,22))&lt;&gt;""),Trigo!$E42:INDEX(Trigo!$E42:$Z42,MIN(AG$6-$G$3,22))),0)))))</f>
        <v>0</v>
      </c>
      <c r="AH44" s="27" t="n">
        <f aca="false">IF(COUNT(Trigo!$E42:$Z42)=0,0,MAX(0,IF((AH$6-$E$3)&lt;1,0,IFERROR(LOOKUP(2,1/(Trigo!$E42:INDEX(Trigo!$E42:$Z42,MIN(AH$6-$E$3,22))&lt;&gt;""),Trigo!$E42:INDEX(Trigo!$E42:$Z42,MIN(AH$6-$E$3,22))),0))-IF($G$2,0,IF((AH$6-$G$3)&lt;1,0,IFERROR(LOOKUP(2,1/(Trigo!$E42:INDEX(Trigo!$E42:$Z42,MIN(AH$6-$G$3,22))&lt;&gt;""),Trigo!$E42:INDEX(Trigo!$E42:$Z42,MIN(AH$6-$G$3,22))),0)))))</f>
        <v>0</v>
      </c>
      <c r="AI44" s="27" t="n">
        <f aca="false">IF(COUNT(Trigo!$E42:$Z42)=0,0,MAX(0,IF((AI$6-$E$3)&lt;1,0,IFERROR(LOOKUP(2,1/(Trigo!$E42:INDEX(Trigo!$E42:$Z42,MIN(AI$6-$E$3,22))&lt;&gt;""),Trigo!$E42:INDEX(Trigo!$E42:$Z42,MIN(AI$6-$E$3,22))),0))-IF($G$2,0,IF((AI$6-$G$3)&lt;1,0,IFERROR(LOOKUP(2,1/(Trigo!$E42:INDEX(Trigo!$E42:$Z42,MIN(AI$6-$G$3,22))&lt;&gt;""),Trigo!$E42:INDEX(Trigo!$E42:$Z42,MIN(AI$6-$G$3,22))),0)))))</f>
        <v>0</v>
      </c>
      <c r="AJ44" s="27" t="n">
        <f aca="false">IF(COUNT(Trigo!$E42:$Z42)=0,0,MAX(0,IF((AJ$6-$E$3)&lt;1,0,IFERROR(LOOKUP(2,1/(Trigo!$E42:INDEX(Trigo!$E42:$Z42,MIN(AJ$6-$E$3,22))&lt;&gt;""),Trigo!$E42:INDEX(Trigo!$E42:$Z42,MIN(AJ$6-$E$3,22))),0))-IF($G$2,0,IF((AJ$6-$G$3)&lt;1,0,IFERROR(LOOKUP(2,1/(Trigo!$E42:INDEX(Trigo!$E42:$Z42,MIN(AJ$6-$G$3,22))&lt;&gt;""),Trigo!$E42:INDEX(Trigo!$E42:$Z42,MIN(AJ$6-$G$3,22))),0)))))</f>
        <v>0</v>
      </c>
      <c r="AK44" s="27" t="n">
        <f aca="false">IF(COUNT(Trigo!$E42:$Z42)=0,0,MAX(0,IF((AK$6-$E$3)&lt;1,0,IFERROR(LOOKUP(2,1/(Trigo!$E42:INDEX(Trigo!$E42:$Z42,MIN(AK$6-$E$3,22))&lt;&gt;""),Trigo!$E42:INDEX(Trigo!$E42:$Z42,MIN(AK$6-$E$3,22))),0))-IF($G$2,0,IF((AK$6-$G$3)&lt;1,0,IFERROR(LOOKUP(2,1/(Trigo!$E42:INDEX(Trigo!$E42:$Z42,MIN(AK$6-$G$3,22))&lt;&gt;""),Trigo!$E42:INDEX(Trigo!$E42:$Z42,MIN(AK$6-$G$3,22))),0)))))</f>
        <v>0</v>
      </c>
      <c r="AL44" s="27" t="n">
        <f aca="false">IF(COUNT(Trigo!$E42:$Z42)=0,0,MAX(0,IF((AL$6-$E$3)&lt;1,0,IFERROR(LOOKUP(2,1/(Trigo!$E42:INDEX(Trigo!$E42:$Z42,MIN(AL$6-$E$3,22))&lt;&gt;""),Trigo!$E42:INDEX(Trigo!$E42:$Z42,MIN(AL$6-$E$3,22))),0))-IF($G$2,0,IF((AL$6-$G$3)&lt;1,0,IFERROR(LOOKUP(2,1/(Trigo!$E42:INDEX(Trigo!$E42:$Z42,MIN(AL$6-$G$3,22))&lt;&gt;""),Trigo!$E42:INDEX(Trigo!$E42:$Z42,MIN(AL$6-$G$3,22))),0)))))</f>
        <v>0</v>
      </c>
      <c r="AM44" s="27" t="n">
        <f aca="false">IF(COUNT(Trigo!$E42:$Z42)=0,0,MAX(0,IF((AM$6-$E$3)&lt;1,0,IFERROR(LOOKUP(2,1/(Trigo!$E42:INDEX(Trigo!$E42:$Z42,MIN(AM$6-$E$3,22))&lt;&gt;""),Trigo!$E42:INDEX(Trigo!$E42:$Z42,MIN(AM$6-$E$3,22))),0))-IF($G$2,0,IF((AM$6-$G$3)&lt;1,0,IFERROR(LOOKUP(2,1/(Trigo!$E42:INDEX(Trigo!$E42:$Z42,MIN(AM$6-$G$3,22))&lt;&gt;""),Trigo!$E42:INDEX(Trigo!$E42:$Z42,MIN(AM$6-$G$3,22))),0)))))</f>
        <v>0</v>
      </c>
      <c r="AN44" s="27" t="n">
        <f aca="false">IF(COUNT(Trigo!$E42:$Z42)=0,0,MAX(0,IF((AN$6-$E$3)&lt;1,0,IFERROR(LOOKUP(2,1/(Trigo!$E42:INDEX(Trigo!$E42:$Z42,MIN(AN$6-$E$3,22))&lt;&gt;""),Trigo!$E42:INDEX(Trigo!$E42:$Z42,MIN(AN$6-$E$3,22))),0))-IF($G$2,0,IF((AN$6-$G$3)&lt;1,0,IFERROR(LOOKUP(2,1/(Trigo!$E42:INDEX(Trigo!$E42:$Z42,MIN(AN$6-$G$3,22))&lt;&gt;""),Trigo!$E42:INDEX(Trigo!$E42:$Z42,MIN(AN$6-$G$3,22))),0)))))</f>
        <v>0</v>
      </c>
      <c r="AO44" s="27" t="n">
        <f aca="false">IF(COUNT(Trigo!$E42:$Z42)=0,0,MAX(0,IF((AO$6-$E$3)&lt;1,0,IFERROR(LOOKUP(2,1/(Trigo!$E42:INDEX(Trigo!$E42:$Z42,MIN(AO$6-$E$3,22))&lt;&gt;""),Trigo!$E42:INDEX(Trigo!$E42:$Z42,MIN(AO$6-$E$3,22))),0))-IF($G$2,0,IF((AO$6-$G$3)&lt;1,0,IFERROR(LOOKUP(2,1/(Trigo!$E42:INDEX(Trigo!$E42:$Z42,MIN(AO$6-$G$3,22))&lt;&gt;""),Trigo!$E42:INDEX(Trigo!$E42:$Z42,MIN(AO$6-$G$3,22))),0)))))</f>
        <v>0</v>
      </c>
      <c r="AP44" s="27" t="n">
        <f aca="false">IF(COUNT(Trigo!$E42:$Z42)=0,0,MAX(0,IF((AP$6-$E$3)&lt;1,0,IFERROR(LOOKUP(2,1/(Trigo!$E42:INDEX(Trigo!$E42:$Z42,MIN(AP$6-$E$3,22))&lt;&gt;""),Trigo!$E42:INDEX(Trigo!$E42:$Z42,MIN(AP$6-$E$3,22))),0))-IF($G$2,0,IF((AP$6-$G$3)&lt;1,0,IFERROR(LOOKUP(2,1/(Trigo!$E42:INDEX(Trigo!$E42:$Z42,MIN(AP$6-$G$3,22))&lt;&gt;""),Trigo!$E42:INDEX(Trigo!$E42:$Z42,MIN(AP$6-$G$3,22))),0)))))</f>
        <v>0</v>
      </c>
      <c r="AQ44" s="27" t="n">
        <f aca="false">IF(COUNT(Trigo!$E42:$Z42)=0,0,MAX(0,IF((AQ$6-$E$3)&lt;1,0,IFERROR(LOOKUP(2,1/(Trigo!$E42:INDEX(Trigo!$E42:$Z42,MIN(AQ$6-$E$3,22))&lt;&gt;""),Trigo!$E42:INDEX(Trigo!$E42:$Z42,MIN(AQ$6-$E$3,22))),0))-IF($G$2,0,IF((AQ$6-$G$3)&lt;1,0,IFERROR(LOOKUP(2,1/(Trigo!$E42:INDEX(Trigo!$E42:$Z42,MIN(AQ$6-$G$3,22))&lt;&gt;""),Trigo!$E42:INDEX(Trigo!$E42:$Z42,MIN(AQ$6-$G$3,22))),0)))))</f>
        <v>0</v>
      </c>
      <c r="AR44" s="27" t="n">
        <f aca="false">IF(COUNT(Trigo!$E42:$Z42)=0,0,MAX(0,IF((AR$6-$E$3)&lt;1,0,IFERROR(LOOKUP(2,1/(Trigo!$E42:INDEX(Trigo!$E42:$Z42,MIN(AR$6-$E$3,22))&lt;&gt;""),Trigo!$E42:INDEX(Trigo!$E42:$Z42,MIN(AR$6-$E$3,22))),0))-IF($G$2,0,IF((AR$6-$G$3)&lt;1,0,IFERROR(LOOKUP(2,1/(Trigo!$E42:INDEX(Trigo!$E42:$Z42,MIN(AR$6-$G$3,22))&lt;&gt;""),Trigo!$E42:INDEX(Trigo!$E42:$Z42,MIN(AR$6-$G$3,22))),0)))))</f>
        <v>0</v>
      </c>
      <c r="AS44" s="27" t="n">
        <f aca="false">IF(COUNT(Trigo!$E42:$Z42)=0,0,MAX(0,IF((AS$6-$E$3)&lt;1,0,IFERROR(LOOKUP(2,1/(Trigo!$E42:INDEX(Trigo!$E42:$Z42,MIN(AS$6-$E$3,22))&lt;&gt;""),Trigo!$E42:INDEX(Trigo!$E42:$Z42,MIN(AS$6-$E$3,22))),0))-IF($G$2,0,IF((AS$6-$G$3)&lt;1,0,IFERROR(LOOKUP(2,1/(Trigo!$E42:INDEX(Trigo!$E42:$Z42,MIN(AS$6-$G$3,22))&lt;&gt;""),Trigo!$E42:INDEX(Trigo!$E42:$Z42,MIN(AS$6-$G$3,22))),0)))))</f>
        <v>0</v>
      </c>
      <c r="AT44" s="27" t="n">
        <f aca="false">IF(COUNT(Trigo!$E42:$Z42)=0,0,MAX(0,IF((AT$6-$E$3)&lt;1,0,IFERROR(LOOKUP(2,1/(Trigo!$E42:INDEX(Trigo!$E42:$Z42,MIN(AT$6-$E$3,22))&lt;&gt;""),Trigo!$E42:INDEX(Trigo!$E42:$Z42,MIN(AT$6-$E$3,22))),0))-IF($G$2,0,IF((AT$6-$G$3)&lt;1,0,IFERROR(LOOKUP(2,1/(Trigo!$E42:INDEX(Trigo!$E42:$Z42,MIN(AT$6-$G$3,22))&lt;&gt;""),Trigo!$E42:INDEX(Trigo!$E42:$Z42,MIN(AT$6-$G$3,22))),0)))))</f>
        <v>0</v>
      </c>
      <c r="AU44" s="27" t="n">
        <f aca="false">IF(COUNT(Trigo!$E42:$Z42)=0,0,MAX(0,IF((AU$6-$E$3)&lt;1,0,IFERROR(LOOKUP(2,1/(Trigo!$E42:INDEX(Trigo!$E42:$Z42,MIN(AU$6-$E$3,22))&lt;&gt;""),Trigo!$E42:INDEX(Trigo!$E42:$Z42,MIN(AU$6-$E$3,22))),0))-IF($G$2,0,IF((AU$6-$G$3)&lt;1,0,IFERROR(LOOKUP(2,1/(Trigo!$E42:INDEX(Trigo!$E42:$Z42,MIN(AU$6-$G$3,22))&lt;&gt;""),Trigo!$E42:INDEX(Trigo!$E42:$Z42,MIN(AU$6-$G$3,22))),0)))))</f>
        <v>0</v>
      </c>
      <c r="AV44" s="27" t="n">
        <f aca="false">IF(COUNT(Trigo!$E42:$Z42)=0,0,MAX(0,IF((AV$6-$E$3)&lt;1,0,IFERROR(LOOKUP(2,1/(Trigo!$E42:INDEX(Trigo!$E42:$Z42,MIN(AV$6-$E$3,22))&lt;&gt;""),Trigo!$E42:INDEX(Trigo!$E42:$Z42,MIN(AV$6-$E$3,22))),0))-IF($G$2,0,IF((AV$6-$G$3)&lt;1,0,IFERROR(LOOKUP(2,1/(Trigo!$E42:INDEX(Trigo!$E42:$Z42,MIN(AV$6-$G$3,22))&lt;&gt;""),Trigo!$E42:INDEX(Trigo!$E42:$Z42,MIN(AV$6-$G$3,22))),0)))))</f>
        <v>0</v>
      </c>
      <c r="AW44" s="27" t="n">
        <f aca="false">IF(COUNT(Trigo!$E42:$Z42)=0,0,MAX(0,IF((AW$6-$E$3)&lt;1,0,IFERROR(LOOKUP(2,1/(Trigo!$E42:INDEX(Trigo!$E42:$Z42,MIN(AW$6-$E$3,22))&lt;&gt;""),Trigo!$E42:INDEX(Trigo!$E42:$Z42,MIN(AW$6-$E$3,22))),0))-IF($G$2,0,IF((AW$6-$G$3)&lt;1,0,IFERROR(LOOKUP(2,1/(Trigo!$E42:INDEX(Trigo!$E42:$Z42,MIN(AW$6-$G$3,22))&lt;&gt;""),Trigo!$E42:INDEX(Trigo!$E42:$Z42,MIN(AW$6-$G$3,22))),0)))))</f>
        <v>0</v>
      </c>
      <c r="AX44" s="27" t="n">
        <f aca="false">IF(COUNT(Trigo!$E42:$Z42)=0,0,MAX(0,IF((AX$6-$E$3)&lt;1,0,IFERROR(LOOKUP(2,1/(Trigo!$E42:INDEX(Trigo!$E42:$Z42,MIN(AX$6-$E$3,22))&lt;&gt;""),Trigo!$E42:INDEX(Trigo!$E42:$Z42,MIN(AX$6-$E$3,22))),0))-IF($G$2,0,IF((AX$6-$G$3)&lt;1,0,IFERROR(LOOKUP(2,1/(Trigo!$E42:INDEX(Trigo!$E42:$Z42,MIN(AX$6-$G$3,22))&lt;&gt;""),Trigo!$E42:INDEX(Trigo!$E42:$Z42,MIN(AX$6-$G$3,22))),0)))))</f>
        <v>0</v>
      </c>
      <c r="AY44" s="27" t="n">
        <f aca="false">IF(COUNT(Trigo!$E42:$Z42)=0,0,MAX(0,IF((AY$6-$E$3)&lt;1,0,IFERROR(LOOKUP(2,1/(Trigo!$E42:INDEX(Trigo!$E42:$Z42,MIN(AY$6-$E$3,22))&lt;&gt;""),Trigo!$E42:INDEX(Trigo!$E42:$Z42,MIN(AY$6-$E$3,22))),0))-IF($G$2,0,IF((AY$6-$G$3)&lt;1,0,IFERROR(LOOKUP(2,1/(Trigo!$E42:INDEX(Trigo!$E42:$Z42,MIN(AY$6-$G$3,22))&lt;&gt;""),Trigo!$E42:INDEX(Trigo!$E42:$Z42,MIN(AY$6-$G$3,22))),0)))))</f>
        <v>0</v>
      </c>
      <c r="AZ44" s="27" t="n">
        <f aca="false">IF(COUNT(Trigo!$E42:$Z42)=0,0,MAX(0,IF((AZ$6-$E$3)&lt;1,0,IFERROR(LOOKUP(2,1/(Trigo!$E42:INDEX(Trigo!$E42:$Z42,MIN(AZ$6-$E$3,22))&lt;&gt;""),Trigo!$E42:INDEX(Trigo!$E42:$Z42,MIN(AZ$6-$E$3,22))),0))-IF($G$2,0,IF((AZ$6-$G$3)&lt;1,0,IFERROR(LOOKUP(2,1/(Trigo!$E42:INDEX(Trigo!$E42:$Z42,MIN(AZ$6-$G$3,22))&lt;&gt;""),Trigo!$E42:INDEX(Trigo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IF(COUNT(Trigo!$E43:$Z43)&gt;0,N(Trigo!$D43),0)</f>
        <v>0</v>
      </c>
      <c r="E45" s="27" t="n">
        <f aca="false">IF(COUNT(Trigo!$E43:$Z43)=0,0,MAX(0,IF((E$6-$E$3)&lt;1,0,IFERROR(LOOKUP(2,1/(Trigo!$E43:INDEX(Trigo!$E43:$Z43,MIN(E$6-$E$3,22))&lt;&gt;""),Trigo!$E43:INDEX(Trigo!$E43:$Z43,MIN(E$6-$E$3,22))),0))-IF($G$2,0,IF((E$6-$G$3)&lt;1,0,IFERROR(LOOKUP(2,1/(Trigo!$E43:INDEX(Trigo!$E43:$Z43,MIN(E$6-$G$3,22))&lt;&gt;""),Trigo!$E43:INDEX(Trigo!$E43:$Z43,MIN(E$6-$G$3,22))),0)))))</f>
        <v>0</v>
      </c>
      <c r="F45" s="27" t="n">
        <f aca="false">IF(COUNT(Trigo!$E43:$Z43)=0,0,MAX(0,IF((F$6-$E$3)&lt;1,0,IFERROR(LOOKUP(2,1/(Trigo!$E43:INDEX(Trigo!$E43:$Z43,MIN(F$6-$E$3,22))&lt;&gt;""),Trigo!$E43:INDEX(Trigo!$E43:$Z43,MIN(F$6-$E$3,22))),0))-IF($G$2,0,IF((F$6-$G$3)&lt;1,0,IFERROR(LOOKUP(2,1/(Trigo!$E43:INDEX(Trigo!$E43:$Z43,MIN(F$6-$G$3,22))&lt;&gt;""),Trigo!$E43:INDEX(Trigo!$E43:$Z43,MIN(F$6-$G$3,22))),0)))))</f>
        <v>0</v>
      </c>
      <c r="G45" s="27" t="n">
        <f aca="false">IF(COUNT(Trigo!$E43:$Z43)=0,0,MAX(0,IF((G$6-$E$3)&lt;1,0,IFERROR(LOOKUP(2,1/(Trigo!$E43:INDEX(Trigo!$E43:$Z43,MIN(G$6-$E$3,22))&lt;&gt;""),Trigo!$E43:INDEX(Trigo!$E43:$Z43,MIN(G$6-$E$3,22))),0))-IF($G$2,0,IF((G$6-$G$3)&lt;1,0,IFERROR(LOOKUP(2,1/(Trigo!$E43:INDEX(Trigo!$E43:$Z43,MIN(G$6-$G$3,22))&lt;&gt;""),Trigo!$E43:INDEX(Trigo!$E43:$Z43,MIN(G$6-$G$3,22))),0)))))</f>
        <v>0</v>
      </c>
      <c r="H45" s="27" t="n">
        <f aca="false">IF(COUNT(Trigo!$E43:$Z43)=0,0,MAX(0,IF((H$6-$E$3)&lt;1,0,IFERROR(LOOKUP(2,1/(Trigo!$E43:INDEX(Trigo!$E43:$Z43,MIN(H$6-$E$3,22))&lt;&gt;""),Trigo!$E43:INDEX(Trigo!$E43:$Z43,MIN(H$6-$E$3,22))),0))-IF($G$2,0,IF((H$6-$G$3)&lt;1,0,IFERROR(LOOKUP(2,1/(Trigo!$E43:INDEX(Trigo!$E43:$Z43,MIN(H$6-$G$3,22))&lt;&gt;""),Trigo!$E43:INDEX(Trigo!$E43:$Z43,MIN(H$6-$G$3,22))),0)))))</f>
        <v>0</v>
      </c>
      <c r="I45" s="27" t="n">
        <f aca="false">IF(COUNT(Trigo!$E43:$Z43)=0,0,MAX(0,IF((I$6-$E$3)&lt;1,0,IFERROR(LOOKUP(2,1/(Trigo!$E43:INDEX(Trigo!$E43:$Z43,MIN(I$6-$E$3,22))&lt;&gt;""),Trigo!$E43:INDEX(Trigo!$E43:$Z43,MIN(I$6-$E$3,22))),0))-IF($G$2,0,IF((I$6-$G$3)&lt;1,0,IFERROR(LOOKUP(2,1/(Trigo!$E43:INDEX(Trigo!$E43:$Z43,MIN(I$6-$G$3,22))&lt;&gt;""),Trigo!$E43:INDEX(Trigo!$E43:$Z43,MIN(I$6-$G$3,22))),0)))))</f>
        <v>0</v>
      </c>
      <c r="J45" s="27" t="n">
        <f aca="false">IF(COUNT(Trigo!$E43:$Z43)=0,0,MAX(0,IF((J$6-$E$3)&lt;1,0,IFERROR(LOOKUP(2,1/(Trigo!$E43:INDEX(Trigo!$E43:$Z43,MIN(J$6-$E$3,22))&lt;&gt;""),Trigo!$E43:INDEX(Trigo!$E43:$Z43,MIN(J$6-$E$3,22))),0))-IF($G$2,0,IF((J$6-$G$3)&lt;1,0,IFERROR(LOOKUP(2,1/(Trigo!$E43:INDEX(Trigo!$E43:$Z43,MIN(J$6-$G$3,22))&lt;&gt;""),Trigo!$E43:INDEX(Trigo!$E43:$Z43,MIN(J$6-$G$3,22))),0)))))</f>
        <v>0</v>
      </c>
      <c r="K45" s="27" t="n">
        <f aca="false">IF(COUNT(Trigo!$E43:$Z43)=0,0,MAX(0,IF((K$6-$E$3)&lt;1,0,IFERROR(LOOKUP(2,1/(Trigo!$E43:INDEX(Trigo!$E43:$Z43,MIN(K$6-$E$3,22))&lt;&gt;""),Trigo!$E43:INDEX(Trigo!$E43:$Z43,MIN(K$6-$E$3,22))),0))-IF($G$2,0,IF((K$6-$G$3)&lt;1,0,IFERROR(LOOKUP(2,1/(Trigo!$E43:INDEX(Trigo!$E43:$Z43,MIN(K$6-$G$3,22))&lt;&gt;""),Trigo!$E43:INDEX(Trigo!$E43:$Z43,MIN(K$6-$G$3,22))),0)))))</f>
        <v>0</v>
      </c>
      <c r="L45" s="27" t="n">
        <f aca="false">IF(COUNT(Trigo!$E43:$Z43)=0,0,MAX(0,IF((L$6-$E$3)&lt;1,0,IFERROR(LOOKUP(2,1/(Trigo!$E43:INDEX(Trigo!$E43:$Z43,MIN(L$6-$E$3,22))&lt;&gt;""),Trigo!$E43:INDEX(Trigo!$E43:$Z43,MIN(L$6-$E$3,22))),0))-IF($G$2,0,IF((L$6-$G$3)&lt;1,0,IFERROR(LOOKUP(2,1/(Trigo!$E43:INDEX(Trigo!$E43:$Z43,MIN(L$6-$G$3,22))&lt;&gt;""),Trigo!$E43:INDEX(Trigo!$E43:$Z43,MIN(L$6-$G$3,22))),0)))))</f>
        <v>0</v>
      </c>
      <c r="M45" s="27" t="n">
        <f aca="false">IF(COUNT(Trigo!$E43:$Z43)=0,0,MAX(0,IF((M$6-$E$3)&lt;1,0,IFERROR(LOOKUP(2,1/(Trigo!$E43:INDEX(Trigo!$E43:$Z43,MIN(M$6-$E$3,22))&lt;&gt;""),Trigo!$E43:INDEX(Trigo!$E43:$Z43,MIN(M$6-$E$3,22))),0))-IF($G$2,0,IF((M$6-$G$3)&lt;1,0,IFERROR(LOOKUP(2,1/(Trigo!$E43:INDEX(Trigo!$E43:$Z43,MIN(M$6-$G$3,22))&lt;&gt;""),Trigo!$E43:INDEX(Trigo!$E43:$Z43,MIN(M$6-$G$3,22))),0)))))</f>
        <v>0</v>
      </c>
      <c r="N45" s="27" t="n">
        <f aca="false">IF(COUNT(Trigo!$E43:$Z43)=0,0,MAX(0,IF((N$6-$E$3)&lt;1,0,IFERROR(LOOKUP(2,1/(Trigo!$E43:INDEX(Trigo!$E43:$Z43,MIN(N$6-$E$3,22))&lt;&gt;""),Trigo!$E43:INDEX(Trigo!$E43:$Z43,MIN(N$6-$E$3,22))),0))-IF($G$2,0,IF((N$6-$G$3)&lt;1,0,IFERROR(LOOKUP(2,1/(Trigo!$E43:INDEX(Trigo!$E43:$Z43,MIN(N$6-$G$3,22))&lt;&gt;""),Trigo!$E43:INDEX(Trigo!$E43:$Z43,MIN(N$6-$G$3,22))),0)))))</f>
        <v>0</v>
      </c>
      <c r="O45" s="27" t="n">
        <f aca="false">IF(COUNT(Trigo!$E43:$Z43)=0,0,MAX(0,IF((O$6-$E$3)&lt;1,0,IFERROR(LOOKUP(2,1/(Trigo!$E43:INDEX(Trigo!$E43:$Z43,MIN(O$6-$E$3,22))&lt;&gt;""),Trigo!$E43:INDEX(Trigo!$E43:$Z43,MIN(O$6-$E$3,22))),0))-IF($G$2,0,IF((O$6-$G$3)&lt;1,0,IFERROR(LOOKUP(2,1/(Trigo!$E43:INDEX(Trigo!$E43:$Z43,MIN(O$6-$G$3,22))&lt;&gt;""),Trigo!$E43:INDEX(Trigo!$E43:$Z43,MIN(O$6-$G$3,22))),0)))))</f>
        <v>0</v>
      </c>
      <c r="P45" s="27" t="n">
        <f aca="false">IF(COUNT(Trigo!$E43:$Z43)=0,0,MAX(0,IF((P$6-$E$3)&lt;1,0,IFERROR(LOOKUP(2,1/(Trigo!$E43:INDEX(Trigo!$E43:$Z43,MIN(P$6-$E$3,22))&lt;&gt;""),Trigo!$E43:INDEX(Trigo!$E43:$Z43,MIN(P$6-$E$3,22))),0))-IF($G$2,0,IF((P$6-$G$3)&lt;1,0,IFERROR(LOOKUP(2,1/(Trigo!$E43:INDEX(Trigo!$E43:$Z43,MIN(P$6-$G$3,22))&lt;&gt;""),Trigo!$E43:INDEX(Trigo!$E43:$Z43,MIN(P$6-$G$3,22))),0)))))</f>
        <v>0</v>
      </c>
      <c r="Q45" s="27" t="n">
        <f aca="false">IF(COUNT(Trigo!$E43:$Z43)=0,0,MAX(0,IF((Q$6-$E$3)&lt;1,0,IFERROR(LOOKUP(2,1/(Trigo!$E43:INDEX(Trigo!$E43:$Z43,MIN(Q$6-$E$3,22))&lt;&gt;""),Trigo!$E43:INDEX(Trigo!$E43:$Z43,MIN(Q$6-$E$3,22))),0))-IF($G$2,0,IF((Q$6-$G$3)&lt;1,0,IFERROR(LOOKUP(2,1/(Trigo!$E43:INDEX(Trigo!$E43:$Z43,MIN(Q$6-$G$3,22))&lt;&gt;""),Trigo!$E43:INDEX(Trigo!$E43:$Z43,MIN(Q$6-$G$3,22))),0)))))</f>
        <v>0</v>
      </c>
      <c r="R45" s="27" t="n">
        <f aca="false">IF(COUNT(Trigo!$E43:$Z43)=0,0,MAX(0,IF((R$6-$E$3)&lt;1,0,IFERROR(LOOKUP(2,1/(Trigo!$E43:INDEX(Trigo!$E43:$Z43,MIN(R$6-$E$3,22))&lt;&gt;""),Trigo!$E43:INDEX(Trigo!$E43:$Z43,MIN(R$6-$E$3,22))),0))-IF($G$2,0,IF((R$6-$G$3)&lt;1,0,IFERROR(LOOKUP(2,1/(Trigo!$E43:INDEX(Trigo!$E43:$Z43,MIN(R$6-$G$3,22))&lt;&gt;""),Trigo!$E43:INDEX(Trigo!$E43:$Z43,MIN(R$6-$G$3,22))),0)))))</f>
        <v>0</v>
      </c>
      <c r="S45" s="27" t="n">
        <f aca="false">IF(COUNT(Trigo!$E43:$Z43)=0,0,MAX(0,IF((S$6-$E$3)&lt;1,0,IFERROR(LOOKUP(2,1/(Trigo!$E43:INDEX(Trigo!$E43:$Z43,MIN(S$6-$E$3,22))&lt;&gt;""),Trigo!$E43:INDEX(Trigo!$E43:$Z43,MIN(S$6-$E$3,22))),0))-IF($G$2,0,IF((S$6-$G$3)&lt;1,0,IFERROR(LOOKUP(2,1/(Trigo!$E43:INDEX(Trigo!$E43:$Z43,MIN(S$6-$G$3,22))&lt;&gt;""),Trigo!$E43:INDEX(Trigo!$E43:$Z43,MIN(S$6-$G$3,22))),0)))))</f>
        <v>0</v>
      </c>
      <c r="T45" s="27" t="n">
        <f aca="false">IF(COUNT(Trigo!$E43:$Z43)=0,0,MAX(0,IF((T$6-$E$3)&lt;1,0,IFERROR(LOOKUP(2,1/(Trigo!$E43:INDEX(Trigo!$E43:$Z43,MIN(T$6-$E$3,22))&lt;&gt;""),Trigo!$E43:INDEX(Trigo!$E43:$Z43,MIN(T$6-$E$3,22))),0))-IF($G$2,0,IF((T$6-$G$3)&lt;1,0,IFERROR(LOOKUP(2,1/(Trigo!$E43:INDEX(Trigo!$E43:$Z43,MIN(T$6-$G$3,22))&lt;&gt;""),Trigo!$E43:INDEX(Trigo!$E43:$Z43,MIN(T$6-$G$3,22))),0)))))</f>
        <v>0</v>
      </c>
      <c r="U45" s="27" t="n">
        <f aca="false">IF(COUNT(Trigo!$E43:$Z43)=0,0,MAX(0,IF((U$6-$E$3)&lt;1,0,IFERROR(LOOKUP(2,1/(Trigo!$E43:INDEX(Trigo!$E43:$Z43,MIN(U$6-$E$3,22))&lt;&gt;""),Trigo!$E43:INDEX(Trigo!$E43:$Z43,MIN(U$6-$E$3,22))),0))-IF($G$2,0,IF((U$6-$G$3)&lt;1,0,IFERROR(LOOKUP(2,1/(Trigo!$E43:INDEX(Trigo!$E43:$Z43,MIN(U$6-$G$3,22))&lt;&gt;""),Trigo!$E43:INDEX(Trigo!$E43:$Z43,MIN(U$6-$G$3,22))),0)))))</f>
        <v>0</v>
      </c>
      <c r="V45" s="27" t="n">
        <f aca="false">IF(COUNT(Trigo!$E43:$Z43)=0,0,MAX(0,IF((V$6-$E$3)&lt;1,0,IFERROR(LOOKUP(2,1/(Trigo!$E43:INDEX(Trigo!$E43:$Z43,MIN(V$6-$E$3,22))&lt;&gt;""),Trigo!$E43:INDEX(Trigo!$E43:$Z43,MIN(V$6-$E$3,22))),0))-IF($G$2,0,IF((V$6-$G$3)&lt;1,0,IFERROR(LOOKUP(2,1/(Trigo!$E43:INDEX(Trigo!$E43:$Z43,MIN(V$6-$G$3,22))&lt;&gt;""),Trigo!$E43:INDEX(Trigo!$E43:$Z43,MIN(V$6-$G$3,22))),0)))))</f>
        <v>0</v>
      </c>
      <c r="W45" s="27" t="n">
        <f aca="false">IF(COUNT(Trigo!$E43:$Z43)=0,0,MAX(0,IF((W$6-$E$3)&lt;1,0,IFERROR(LOOKUP(2,1/(Trigo!$E43:INDEX(Trigo!$E43:$Z43,MIN(W$6-$E$3,22))&lt;&gt;""),Trigo!$E43:INDEX(Trigo!$E43:$Z43,MIN(W$6-$E$3,22))),0))-IF($G$2,0,IF((W$6-$G$3)&lt;1,0,IFERROR(LOOKUP(2,1/(Trigo!$E43:INDEX(Trigo!$E43:$Z43,MIN(W$6-$G$3,22))&lt;&gt;""),Trigo!$E43:INDEX(Trigo!$E43:$Z43,MIN(W$6-$G$3,22))),0)))))</f>
        <v>0</v>
      </c>
      <c r="X45" s="27" t="n">
        <f aca="false">IF(COUNT(Trigo!$E43:$Z43)=0,0,MAX(0,IF((X$6-$E$3)&lt;1,0,IFERROR(LOOKUP(2,1/(Trigo!$E43:INDEX(Trigo!$E43:$Z43,MIN(X$6-$E$3,22))&lt;&gt;""),Trigo!$E43:INDEX(Trigo!$E43:$Z43,MIN(X$6-$E$3,22))),0))-IF($G$2,0,IF((X$6-$G$3)&lt;1,0,IFERROR(LOOKUP(2,1/(Trigo!$E43:INDEX(Trigo!$E43:$Z43,MIN(X$6-$G$3,22))&lt;&gt;""),Trigo!$E43:INDEX(Trigo!$E43:$Z43,MIN(X$6-$G$3,22))),0)))))</f>
        <v>0</v>
      </c>
      <c r="Y45" s="27" t="n">
        <f aca="false">IF(COUNT(Trigo!$E43:$Z43)=0,0,MAX(0,IF((Y$6-$E$3)&lt;1,0,IFERROR(LOOKUP(2,1/(Trigo!$E43:INDEX(Trigo!$E43:$Z43,MIN(Y$6-$E$3,22))&lt;&gt;""),Trigo!$E43:INDEX(Trigo!$E43:$Z43,MIN(Y$6-$E$3,22))),0))-IF($G$2,0,IF((Y$6-$G$3)&lt;1,0,IFERROR(LOOKUP(2,1/(Trigo!$E43:INDEX(Trigo!$E43:$Z43,MIN(Y$6-$G$3,22))&lt;&gt;""),Trigo!$E43:INDEX(Trigo!$E43:$Z43,MIN(Y$6-$G$3,22))),0)))))</f>
        <v>0</v>
      </c>
      <c r="Z45" s="27" t="n">
        <f aca="false">IF(COUNT(Trigo!$E43:$Z43)=0,0,MAX(0,IF((Z$6-$E$3)&lt;1,0,IFERROR(LOOKUP(2,1/(Trigo!$E43:INDEX(Trigo!$E43:$Z43,MIN(Z$6-$E$3,22))&lt;&gt;""),Trigo!$E43:INDEX(Trigo!$E43:$Z43,MIN(Z$6-$E$3,22))),0))-IF($G$2,0,IF((Z$6-$G$3)&lt;1,0,IFERROR(LOOKUP(2,1/(Trigo!$E43:INDEX(Trigo!$E43:$Z43,MIN(Z$6-$G$3,22))&lt;&gt;""),Trigo!$E43:INDEX(Trigo!$E43:$Z43,MIN(Z$6-$G$3,22))),0)))))</f>
        <v>0</v>
      </c>
      <c r="AA45" s="27" t="n">
        <f aca="false">IF(COUNT(Trigo!$E43:$Z43)=0,0,MAX(0,IF((AA$6-$E$3)&lt;1,0,IFERROR(LOOKUP(2,1/(Trigo!$E43:INDEX(Trigo!$E43:$Z43,MIN(AA$6-$E$3,22))&lt;&gt;""),Trigo!$E43:INDEX(Trigo!$E43:$Z43,MIN(AA$6-$E$3,22))),0))-IF($G$2,0,IF((AA$6-$G$3)&lt;1,0,IFERROR(LOOKUP(2,1/(Trigo!$E43:INDEX(Trigo!$E43:$Z43,MIN(AA$6-$G$3,22))&lt;&gt;""),Trigo!$E43:INDEX(Trigo!$E43:$Z43,MIN(AA$6-$G$3,22))),0)))))</f>
        <v>0</v>
      </c>
      <c r="AB45" s="27" t="n">
        <f aca="false">IF(COUNT(Trigo!$E43:$Z43)=0,0,MAX(0,IF((AB$6-$E$3)&lt;1,0,IFERROR(LOOKUP(2,1/(Trigo!$E43:INDEX(Trigo!$E43:$Z43,MIN(AB$6-$E$3,22))&lt;&gt;""),Trigo!$E43:INDEX(Trigo!$E43:$Z43,MIN(AB$6-$E$3,22))),0))-IF($G$2,0,IF((AB$6-$G$3)&lt;1,0,IFERROR(LOOKUP(2,1/(Trigo!$E43:INDEX(Trigo!$E43:$Z43,MIN(AB$6-$G$3,22))&lt;&gt;""),Trigo!$E43:INDEX(Trigo!$E43:$Z43,MIN(AB$6-$G$3,22))),0)))))</f>
        <v>0</v>
      </c>
      <c r="AC45" s="27" t="n">
        <f aca="false">IF(COUNT(Trigo!$E43:$Z43)=0,0,MAX(0,IF((AC$6-$E$3)&lt;1,0,IFERROR(LOOKUP(2,1/(Trigo!$E43:INDEX(Trigo!$E43:$Z43,MIN(AC$6-$E$3,22))&lt;&gt;""),Trigo!$E43:INDEX(Trigo!$E43:$Z43,MIN(AC$6-$E$3,22))),0))-IF($G$2,0,IF((AC$6-$G$3)&lt;1,0,IFERROR(LOOKUP(2,1/(Trigo!$E43:INDEX(Trigo!$E43:$Z43,MIN(AC$6-$G$3,22))&lt;&gt;""),Trigo!$E43:INDEX(Trigo!$E43:$Z43,MIN(AC$6-$G$3,22))),0)))))</f>
        <v>0</v>
      </c>
      <c r="AD45" s="27" t="n">
        <f aca="false">IF(COUNT(Trigo!$E43:$Z43)=0,0,MAX(0,IF((AD$6-$E$3)&lt;1,0,IFERROR(LOOKUP(2,1/(Trigo!$E43:INDEX(Trigo!$E43:$Z43,MIN(AD$6-$E$3,22))&lt;&gt;""),Trigo!$E43:INDEX(Trigo!$E43:$Z43,MIN(AD$6-$E$3,22))),0))-IF($G$2,0,IF((AD$6-$G$3)&lt;1,0,IFERROR(LOOKUP(2,1/(Trigo!$E43:INDEX(Trigo!$E43:$Z43,MIN(AD$6-$G$3,22))&lt;&gt;""),Trigo!$E43:INDEX(Trigo!$E43:$Z43,MIN(AD$6-$G$3,22))),0)))))</f>
        <v>0</v>
      </c>
      <c r="AE45" s="27" t="n">
        <f aca="false">IF(COUNT(Trigo!$E43:$Z43)=0,0,MAX(0,IF((AE$6-$E$3)&lt;1,0,IFERROR(LOOKUP(2,1/(Trigo!$E43:INDEX(Trigo!$E43:$Z43,MIN(AE$6-$E$3,22))&lt;&gt;""),Trigo!$E43:INDEX(Trigo!$E43:$Z43,MIN(AE$6-$E$3,22))),0))-IF($G$2,0,IF((AE$6-$G$3)&lt;1,0,IFERROR(LOOKUP(2,1/(Trigo!$E43:INDEX(Trigo!$E43:$Z43,MIN(AE$6-$G$3,22))&lt;&gt;""),Trigo!$E43:INDEX(Trigo!$E43:$Z43,MIN(AE$6-$G$3,22))),0)))))</f>
        <v>0</v>
      </c>
      <c r="AF45" s="27" t="n">
        <f aca="false">IF(COUNT(Trigo!$E43:$Z43)=0,0,MAX(0,IF((AF$6-$E$3)&lt;1,0,IFERROR(LOOKUP(2,1/(Trigo!$E43:INDEX(Trigo!$E43:$Z43,MIN(AF$6-$E$3,22))&lt;&gt;""),Trigo!$E43:INDEX(Trigo!$E43:$Z43,MIN(AF$6-$E$3,22))),0))-IF($G$2,0,IF((AF$6-$G$3)&lt;1,0,IFERROR(LOOKUP(2,1/(Trigo!$E43:INDEX(Trigo!$E43:$Z43,MIN(AF$6-$G$3,22))&lt;&gt;""),Trigo!$E43:INDEX(Trigo!$E43:$Z43,MIN(AF$6-$G$3,22))),0)))))</f>
        <v>0</v>
      </c>
      <c r="AG45" s="27" t="n">
        <f aca="false">IF(COUNT(Trigo!$E43:$Z43)=0,0,MAX(0,IF((AG$6-$E$3)&lt;1,0,IFERROR(LOOKUP(2,1/(Trigo!$E43:INDEX(Trigo!$E43:$Z43,MIN(AG$6-$E$3,22))&lt;&gt;""),Trigo!$E43:INDEX(Trigo!$E43:$Z43,MIN(AG$6-$E$3,22))),0))-IF($G$2,0,IF((AG$6-$G$3)&lt;1,0,IFERROR(LOOKUP(2,1/(Trigo!$E43:INDEX(Trigo!$E43:$Z43,MIN(AG$6-$G$3,22))&lt;&gt;""),Trigo!$E43:INDEX(Trigo!$E43:$Z43,MIN(AG$6-$G$3,22))),0)))))</f>
        <v>0</v>
      </c>
      <c r="AH45" s="27" t="n">
        <f aca="false">IF(COUNT(Trigo!$E43:$Z43)=0,0,MAX(0,IF((AH$6-$E$3)&lt;1,0,IFERROR(LOOKUP(2,1/(Trigo!$E43:INDEX(Trigo!$E43:$Z43,MIN(AH$6-$E$3,22))&lt;&gt;""),Trigo!$E43:INDEX(Trigo!$E43:$Z43,MIN(AH$6-$E$3,22))),0))-IF($G$2,0,IF((AH$6-$G$3)&lt;1,0,IFERROR(LOOKUP(2,1/(Trigo!$E43:INDEX(Trigo!$E43:$Z43,MIN(AH$6-$G$3,22))&lt;&gt;""),Trigo!$E43:INDEX(Trigo!$E43:$Z43,MIN(AH$6-$G$3,22))),0)))))</f>
        <v>0</v>
      </c>
      <c r="AI45" s="27" t="n">
        <f aca="false">IF(COUNT(Trigo!$E43:$Z43)=0,0,MAX(0,IF((AI$6-$E$3)&lt;1,0,IFERROR(LOOKUP(2,1/(Trigo!$E43:INDEX(Trigo!$E43:$Z43,MIN(AI$6-$E$3,22))&lt;&gt;""),Trigo!$E43:INDEX(Trigo!$E43:$Z43,MIN(AI$6-$E$3,22))),0))-IF($G$2,0,IF((AI$6-$G$3)&lt;1,0,IFERROR(LOOKUP(2,1/(Trigo!$E43:INDEX(Trigo!$E43:$Z43,MIN(AI$6-$G$3,22))&lt;&gt;""),Trigo!$E43:INDEX(Trigo!$E43:$Z43,MIN(AI$6-$G$3,22))),0)))))</f>
        <v>0</v>
      </c>
      <c r="AJ45" s="27" t="n">
        <f aca="false">IF(COUNT(Trigo!$E43:$Z43)=0,0,MAX(0,IF((AJ$6-$E$3)&lt;1,0,IFERROR(LOOKUP(2,1/(Trigo!$E43:INDEX(Trigo!$E43:$Z43,MIN(AJ$6-$E$3,22))&lt;&gt;""),Trigo!$E43:INDEX(Trigo!$E43:$Z43,MIN(AJ$6-$E$3,22))),0))-IF($G$2,0,IF((AJ$6-$G$3)&lt;1,0,IFERROR(LOOKUP(2,1/(Trigo!$E43:INDEX(Trigo!$E43:$Z43,MIN(AJ$6-$G$3,22))&lt;&gt;""),Trigo!$E43:INDEX(Trigo!$E43:$Z43,MIN(AJ$6-$G$3,22))),0)))))</f>
        <v>0</v>
      </c>
      <c r="AK45" s="27" t="n">
        <f aca="false">IF(COUNT(Trigo!$E43:$Z43)=0,0,MAX(0,IF((AK$6-$E$3)&lt;1,0,IFERROR(LOOKUP(2,1/(Trigo!$E43:INDEX(Trigo!$E43:$Z43,MIN(AK$6-$E$3,22))&lt;&gt;""),Trigo!$E43:INDEX(Trigo!$E43:$Z43,MIN(AK$6-$E$3,22))),0))-IF($G$2,0,IF((AK$6-$G$3)&lt;1,0,IFERROR(LOOKUP(2,1/(Trigo!$E43:INDEX(Trigo!$E43:$Z43,MIN(AK$6-$G$3,22))&lt;&gt;""),Trigo!$E43:INDEX(Trigo!$E43:$Z43,MIN(AK$6-$G$3,22))),0)))))</f>
        <v>0</v>
      </c>
      <c r="AL45" s="27" t="n">
        <f aca="false">IF(COUNT(Trigo!$E43:$Z43)=0,0,MAX(0,IF((AL$6-$E$3)&lt;1,0,IFERROR(LOOKUP(2,1/(Trigo!$E43:INDEX(Trigo!$E43:$Z43,MIN(AL$6-$E$3,22))&lt;&gt;""),Trigo!$E43:INDEX(Trigo!$E43:$Z43,MIN(AL$6-$E$3,22))),0))-IF($G$2,0,IF((AL$6-$G$3)&lt;1,0,IFERROR(LOOKUP(2,1/(Trigo!$E43:INDEX(Trigo!$E43:$Z43,MIN(AL$6-$G$3,22))&lt;&gt;""),Trigo!$E43:INDEX(Trigo!$E43:$Z43,MIN(AL$6-$G$3,22))),0)))))</f>
        <v>0</v>
      </c>
      <c r="AM45" s="27" t="n">
        <f aca="false">IF(COUNT(Trigo!$E43:$Z43)=0,0,MAX(0,IF((AM$6-$E$3)&lt;1,0,IFERROR(LOOKUP(2,1/(Trigo!$E43:INDEX(Trigo!$E43:$Z43,MIN(AM$6-$E$3,22))&lt;&gt;""),Trigo!$E43:INDEX(Trigo!$E43:$Z43,MIN(AM$6-$E$3,22))),0))-IF($G$2,0,IF((AM$6-$G$3)&lt;1,0,IFERROR(LOOKUP(2,1/(Trigo!$E43:INDEX(Trigo!$E43:$Z43,MIN(AM$6-$G$3,22))&lt;&gt;""),Trigo!$E43:INDEX(Trigo!$E43:$Z43,MIN(AM$6-$G$3,22))),0)))))</f>
        <v>0</v>
      </c>
      <c r="AN45" s="27" t="n">
        <f aca="false">IF(COUNT(Trigo!$E43:$Z43)=0,0,MAX(0,IF((AN$6-$E$3)&lt;1,0,IFERROR(LOOKUP(2,1/(Trigo!$E43:INDEX(Trigo!$E43:$Z43,MIN(AN$6-$E$3,22))&lt;&gt;""),Trigo!$E43:INDEX(Trigo!$E43:$Z43,MIN(AN$6-$E$3,22))),0))-IF($G$2,0,IF((AN$6-$G$3)&lt;1,0,IFERROR(LOOKUP(2,1/(Trigo!$E43:INDEX(Trigo!$E43:$Z43,MIN(AN$6-$G$3,22))&lt;&gt;""),Trigo!$E43:INDEX(Trigo!$E43:$Z43,MIN(AN$6-$G$3,22))),0)))))</f>
        <v>0</v>
      </c>
      <c r="AO45" s="27" t="n">
        <f aca="false">IF(COUNT(Trigo!$E43:$Z43)=0,0,MAX(0,IF((AO$6-$E$3)&lt;1,0,IFERROR(LOOKUP(2,1/(Trigo!$E43:INDEX(Trigo!$E43:$Z43,MIN(AO$6-$E$3,22))&lt;&gt;""),Trigo!$E43:INDEX(Trigo!$E43:$Z43,MIN(AO$6-$E$3,22))),0))-IF($G$2,0,IF((AO$6-$G$3)&lt;1,0,IFERROR(LOOKUP(2,1/(Trigo!$E43:INDEX(Trigo!$E43:$Z43,MIN(AO$6-$G$3,22))&lt;&gt;""),Trigo!$E43:INDEX(Trigo!$E43:$Z43,MIN(AO$6-$G$3,22))),0)))))</f>
        <v>0</v>
      </c>
      <c r="AP45" s="27" t="n">
        <f aca="false">IF(COUNT(Trigo!$E43:$Z43)=0,0,MAX(0,IF((AP$6-$E$3)&lt;1,0,IFERROR(LOOKUP(2,1/(Trigo!$E43:INDEX(Trigo!$E43:$Z43,MIN(AP$6-$E$3,22))&lt;&gt;""),Trigo!$E43:INDEX(Trigo!$E43:$Z43,MIN(AP$6-$E$3,22))),0))-IF($G$2,0,IF((AP$6-$G$3)&lt;1,0,IFERROR(LOOKUP(2,1/(Trigo!$E43:INDEX(Trigo!$E43:$Z43,MIN(AP$6-$G$3,22))&lt;&gt;""),Trigo!$E43:INDEX(Trigo!$E43:$Z43,MIN(AP$6-$G$3,22))),0)))))</f>
        <v>0</v>
      </c>
      <c r="AQ45" s="27" t="n">
        <f aca="false">IF(COUNT(Trigo!$E43:$Z43)=0,0,MAX(0,IF((AQ$6-$E$3)&lt;1,0,IFERROR(LOOKUP(2,1/(Trigo!$E43:INDEX(Trigo!$E43:$Z43,MIN(AQ$6-$E$3,22))&lt;&gt;""),Trigo!$E43:INDEX(Trigo!$E43:$Z43,MIN(AQ$6-$E$3,22))),0))-IF($G$2,0,IF((AQ$6-$G$3)&lt;1,0,IFERROR(LOOKUP(2,1/(Trigo!$E43:INDEX(Trigo!$E43:$Z43,MIN(AQ$6-$G$3,22))&lt;&gt;""),Trigo!$E43:INDEX(Trigo!$E43:$Z43,MIN(AQ$6-$G$3,22))),0)))))</f>
        <v>0</v>
      </c>
      <c r="AR45" s="27" t="n">
        <f aca="false">IF(COUNT(Trigo!$E43:$Z43)=0,0,MAX(0,IF((AR$6-$E$3)&lt;1,0,IFERROR(LOOKUP(2,1/(Trigo!$E43:INDEX(Trigo!$E43:$Z43,MIN(AR$6-$E$3,22))&lt;&gt;""),Trigo!$E43:INDEX(Trigo!$E43:$Z43,MIN(AR$6-$E$3,22))),0))-IF($G$2,0,IF((AR$6-$G$3)&lt;1,0,IFERROR(LOOKUP(2,1/(Trigo!$E43:INDEX(Trigo!$E43:$Z43,MIN(AR$6-$G$3,22))&lt;&gt;""),Trigo!$E43:INDEX(Trigo!$E43:$Z43,MIN(AR$6-$G$3,22))),0)))))</f>
        <v>0</v>
      </c>
      <c r="AS45" s="27" t="n">
        <f aca="false">IF(COUNT(Trigo!$E43:$Z43)=0,0,MAX(0,IF((AS$6-$E$3)&lt;1,0,IFERROR(LOOKUP(2,1/(Trigo!$E43:INDEX(Trigo!$E43:$Z43,MIN(AS$6-$E$3,22))&lt;&gt;""),Trigo!$E43:INDEX(Trigo!$E43:$Z43,MIN(AS$6-$E$3,22))),0))-IF($G$2,0,IF((AS$6-$G$3)&lt;1,0,IFERROR(LOOKUP(2,1/(Trigo!$E43:INDEX(Trigo!$E43:$Z43,MIN(AS$6-$G$3,22))&lt;&gt;""),Trigo!$E43:INDEX(Trigo!$E43:$Z43,MIN(AS$6-$G$3,22))),0)))))</f>
        <v>0</v>
      </c>
      <c r="AT45" s="27" t="n">
        <f aca="false">IF(COUNT(Trigo!$E43:$Z43)=0,0,MAX(0,IF((AT$6-$E$3)&lt;1,0,IFERROR(LOOKUP(2,1/(Trigo!$E43:INDEX(Trigo!$E43:$Z43,MIN(AT$6-$E$3,22))&lt;&gt;""),Trigo!$E43:INDEX(Trigo!$E43:$Z43,MIN(AT$6-$E$3,22))),0))-IF($G$2,0,IF((AT$6-$G$3)&lt;1,0,IFERROR(LOOKUP(2,1/(Trigo!$E43:INDEX(Trigo!$E43:$Z43,MIN(AT$6-$G$3,22))&lt;&gt;""),Trigo!$E43:INDEX(Trigo!$E43:$Z43,MIN(AT$6-$G$3,22))),0)))))</f>
        <v>0</v>
      </c>
      <c r="AU45" s="27" t="n">
        <f aca="false">IF(COUNT(Trigo!$E43:$Z43)=0,0,MAX(0,IF((AU$6-$E$3)&lt;1,0,IFERROR(LOOKUP(2,1/(Trigo!$E43:INDEX(Trigo!$E43:$Z43,MIN(AU$6-$E$3,22))&lt;&gt;""),Trigo!$E43:INDEX(Trigo!$E43:$Z43,MIN(AU$6-$E$3,22))),0))-IF($G$2,0,IF((AU$6-$G$3)&lt;1,0,IFERROR(LOOKUP(2,1/(Trigo!$E43:INDEX(Trigo!$E43:$Z43,MIN(AU$6-$G$3,22))&lt;&gt;""),Trigo!$E43:INDEX(Trigo!$E43:$Z43,MIN(AU$6-$G$3,22))),0)))))</f>
        <v>0</v>
      </c>
      <c r="AV45" s="27" t="n">
        <f aca="false">IF(COUNT(Trigo!$E43:$Z43)=0,0,MAX(0,IF((AV$6-$E$3)&lt;1,0,IFERROR(LOOKUP(2,1/(Trigo!$E43:INDEX(Trigo!$E43:$Z43,MIN(AV$6-$E$3,22))&lt;&gt;""),Trigo!$E43:INDEX(Trigo!$E43:$Z43,MIN(AV$6-$E$3,22))),0))-IF($G$2,0,IF((AV$6-$G$3)&lt;1,0,IFERROR(LOOKUP(2,1/(Trigo!$E43:INDEX(Trigo!$E43:$Z43,MIN(AV$6-$G$3,22))&lt;&gt;""),Trigo!$E43:INDEX(Trigo!$E43:$Z43,MIN(AV$6-$G$3,22))),0)))))</f>
        <v>0</v>
      </c>
      <c r="AW45" s="27" t="n">
        <f aca="false">IF(COUNT(Trigo!$E43:$Z43)=0,0,MAX(0,IF((AW$6-$E$3)&lt;1,0,IFERROR(LOOKUP(2,1/(Trigo!$E43:INDEX(Trigo!$E43:$Z43,MIN(AW$6-$E$3,22))&lt;&gt;""),Trigo!$E43:INDEX(Trigo!$E43:$Z43,MIN(AW$6-$E$3,22))),0))-IF($G$2,0,IF((AW$6-$G$3)&lt;1,0,IFERROR(LOOKUP(2,1/(Trigo!$E43:INDEX(Trigo!$E43:$Z43,MIN(AW$6-$G$3,22))&lt;&gt;""),Trigo!$E43:INDEX(Trigo!$E43:$Z43,MIN(AW$6-$G$3,22))),0)))))</f>
        <v>0</v>
      </c>
      <c r="AX45" s="27" t="n">
        <f aca="false">IF(COUNT(Trigo!$E43:$Z43)=0,0,MAX(0,IF((AX$6-$E$3)&lt;1,0,IFERROR(LOOKUP(2,1/(Trigo!$E43:INDEX(Trigo!$E43:$Z43,MIN(AX$6-$E$3,22))&lt;&gt;""),Trigo!$E43:INDEX(Trigo!$E43:$Z43,MIN(AX$6-$E$3,22))),0))-IF($G$2,0,IF((AX$6-$G$3)&lt;1,0,IFERROR(LOOKUP(2,1/(Trigo!$E43:INDEX(Trigo!$E43:$Z43,MIN(AX$6-$G$3,22))&lt;&gt;""),Trigo!$E43:INDEX(Trigo!$E43:$Z43,MIN(AX$6-$G$3,22))),0)))))</f>
        <v>0</v>
      </c>
      <c r="AY45" s="27" t="n">
        <f aca="false">IF(COUNT(Trigo!$E43:$Z43)=0,0,MAX(0,IF((AY$6-$E$3)&lt;1,0,IFERROR(LOOKUP(2,1/(Trigo!$E43:INDEX(Trigo!$E43:$Z43,MIN(AY$6-$E$3,22))&lt;&gt;""),Trigo!$E43:INDEX(Trigo!$E43:$Z43,MIN(AY$6-$E$3,22))),0))-IF($G$2,0,IF((AY$6-$G$3)&lt;1,0,IFERROR(LOOKUP(2,1/(Trigo!$E43:INDEX(Trigo!$E43:$Z43,MIN(AY$6-$G$3,22))&lt;&gt;""),Trigo!$E43:INDEX(Trigo!$E43:$Z43,MIN(AY$6-$G$3,22))),0)))))</f>
        <v>0</v>
      </c>
      <c r="AZ45" s="27" t="n">
        <f aca="false">IF(COUNT(Trigo!$E43:$Z43)=0,0,MAX(0,IF((AZ$6-$E$3)&lt;1,0,IFERROR(LOOKUP(2,1/(Trigo!$E43:INDEX(Trigo!$E43:$Z43,MIN(AZ$6-$E$3,22))&lt;&gt;""),Trigo!$E43:INDEX(Trigo!$E43:$Z43,MIN(AZ$6-$E$3,22))),0))-IF($G$2,0,IF((AZ$6-$G$3)&lt;1,0,IFERROR(LOOKUP(2,1/(Trigo!$E43:INDEX(Trigo!$E43:$Z43,MIN(AZ$6-$G$3,22))&lt;&gt;""),Trigo!$E43:INDEX(Trigo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IF(COUNT(Trigo!$E44:$Z44)&gt;0,N(Trigo!$D44),0)</f>
        <v>0</v>
      </c>
      <c r="E46" s="27" t="n">
        <f aca="false">IF(COUNT(Trigo!$E44:$Z44)=0,0,MAX(0,IF((E$6-$E$3)&lt;1,0,IFERROR(LOOKUP(2,1/(Trigo!$E44:INDEX(Trigo!$E44:$Z44,MIN(E$6-$E$3,22))&lt;&gt;""),Trigo!$E44:INDEX(Trigo!$E44:$Z44,MIN(E$6-$E$3,22))),0))-IF($G$2,0,IF((E$6-$G$3)&lt;1,0,IFERROR(LOOKUP(2,1/(Trigo!$E44:INDEX(Trigo!$E44:$Z44,MIN(E$6-$G$3,22))&lt;&gt;""),Trigo!$E44:INDEX(Trigo!$E44:$Z44,MIN(E$6-$G$3,22))),0)))))</f>
        <v>0</v>
      </c>
      <c r="F46" s="27" t="n">
        <f aca="false">IF(COUNT(Trigo!$E44:$Z44)=0,0,MAX(0,IF((F$6-$E$3)&lt;1,0,IFERROR(LOOKUP(2,1/(Trigo!$E44:INDEX(Trigo!$E44:$Z44,MIN(F$6-$E$3,22))&lt;&gt;""),Trigo!$E44:INDEX(Trigo!$E44:$Z44,MIN(F$6-$E$3,22))),0))-IF($G$2,0,IF((F$6-$G$3)&lt;1,0,IFERROR(LOOKUP(2,1/(Trigo!$E44:INDEX(Trigo!$E44:$Z44,MIN(F$6-$G$3,22))&lt;&gt;""),Trigo!$E44:INDEX(Trigo!$E44:$Z44,MIN(F$6-$G$3,22))),0)))))</f>
        <v>0</v>
      </c>
      <c r="G46" s="27" t="n">
        <f aca="false">IF(COUNT(Trigo!$E44:$Z44)=0,0,MAX(0,IF((G$6-$E$3)&lt;1,0,IFERROR(LOOKUP(2,1/(Trigo!$E44:INDEX(Trigo!$E44:$Z44,MIN(G$6-$E$3,22))&lt;&gt;""),Trigo!$E44:INDEX(Trigo!$E44:$Z44,MIN(G$6-$E$3,22))),0))-IF($G$2,0,IF((G$6-$G$3)&lt;1,0,IFERROR(LOOKUP(2,1/(Trigo!$E44:INDEX(Trigo!$E44:$Z44,MIN(G$6-$G$3,22))&lt;&gt;""),Trigo!$E44:INDEX(Trigo!$E44:$Z44,MIN(G$6-$G$3,22))),0)))))</f>
        <v>0</v>
      </c>
      <c r="H46" s="27" t="n">
        <f aca="false">IF(COUNT(Trigo!$E44:$Z44)=0,0,MAX(0,IF((H$6-$E$3)&lt;1,0,IFERROR(LOOKUP(2,1/(Trigo!$E44:INDEX(Trigo!$E44:$Z44,MIN(H$6-$E$3,22))&lt;&gt;""),Trigo!$E44:INDEX(Trigo!$E44:$Z44,MIN(H$6-$E$3,22))),0))-IF($G$2,0,IF((H$6-$G$3)&lt;1,0,IFERROR(LOOKUP(2,1/(Trigo!$E44:INDEX(Trigo!$E44:$Z44,MIN(H$6-$G$3,22))&lt;&gt;""),Trigo!$E44:INDEX(Trigo!$E44:$Z44,MIN(H$6-$G$3,22))),0)))))</f>
        <v>0</v>
      </c>
      <c r="I46" s="27" t="n">
        <f aca="false">IF(COUNT(Trigo!$E44:$Z44)=0,0,MAX(0,IF((I$6-$E$3)&lt;1,0,IFERROR(LOOKUP(2,1/(Trigo!$E44:INDEX(Trigo!$E44:$Z44,MIN(I$6-$E$3,22))&lt;&gt;""),Trigo!$E44:INDEX(Trigo!$E44:$Z44,MIN(I$6-$E$3,22))),0))-IF($G$2,0,IF((I$6-$G$3)&lt;1,0,IFERROR(LOOKUP(2,1/(Trigo!$E44:INDEX(Trigo!$E44:$Z44,MIN(I$6-$G$3,22))&lt;&gt;""),Trigo!$E44:INDEX(Trigo!$E44:$Z44,MIN(I$6-$G$3,22))),0)))))</f>
        <v>0</v>
      </c>
      <c r="J46" s="27" t="n">
        <f aca="false">IF(COUNT(Trigo!$E44:$Z44)=0,0,MAX(0,IF((J$6-$E$3)&lt;1,0,IFERROR(LOOKUP(2,1/(Trigo!$E44:INDEX(Trigo!$E44:$Z44,MIN(J$6-$E$3,22))&lt;&gt;""),Trigo!$E44:INDEX(Trigo!$E44:$Z44,MIN(J$6-$E$3,22))),0))-IF($G$2,0,IF((J$6-$G$3)&lt;1,0,IFERROR(LOOKUP(2,1/(Trigo!$E44:INDEX(Trigo!$E44:$Z44,MIN(J$6-$G$3,22))&lt;&gt;""),Trigo!$E44:INDEX(Trigo!$E44:$Z44,MIN(J$6-$G$3,22))),0)))))</f>
        <v>0</v>
      </c>
      <c r="K46" s="27" t="n">
        <f aca="false">IF(COUNT(Trigo!$E44:$Z44)=0,0,MAX(0,IF((K$6-$E$3)&lt;1,0,IFERROR(LOOKUP(2,1/(Trigo!$E44:INDEX(Trigo!$E44:$Z44,MIN(K$6-$E$3,22))&lt;&gt;""),Trigo!$E44:INDEX(Trigo!$E44:$Z44,MIN(K$6-$E$3,22))),0))-IF($G$2,0,IF((K$6-$G$3)&lt;1,0,IFERROR(LOOKUP(2,1/(Trigo!$E44:INDEX(Trigo!$E44:$Z44,MIN(K$6-$G$3,22))&lt;&gt;""),Trigo!$E44:INDEX(Trigo!$E44:$Z44,MIN(K$6-$G$3,22))),0)))))</f>
        <v>0</v>
      </c>
      <c r="L46" s="27" t="n">
        <f aca="false">IF(COUNT(Trigo!$E44:$Z44)=0,0,MAX(0,IF((L$6-$E$3)&lt;1,0,IFERROR(LOOKUP(2,1/(Trigo!$E44:INDEX(Trigo!$E44:$Z44,MIN(L$6-$E$3,22))&lt;&gt;""),Trigo!$E44:INDEX(Trigo!$E44:$Z44,MIN(L$6-$E$3,22))),0))-IF($G$2,0,IF((L$6-$G$3)&lt;1,0,IFERROR(LOOKUP(2,1/(Trigo!$E44:INDEX(Trigo!$E44:$Z44,MIN(L$6-$G$3,22))&lt;&gt;""),Trigo!$E44:INDEX(Trigo!$E44:$Z44,MIN(L$6-$G$3,22))),0)))))</f>
        <v>0</v>
      </c>
      <c r="M46" s="27" t="n">
        <f aca="false">IF(COUNT(Trigo!$E44:$Z44)=0,0,MAX(0,IF((M$6-$E$3)&lt;1,0,IFERROR(LOOKUP(2,1/(Trigo!$E44:INDEX(Trigo!$E44:$Z44,MIN(M$6-$E$3,22))&lt;&gt;""),Trigo!$E44:INDEX(Trigo!$E44:$Z44,MIN(M$6-$E$3,22))),0))-IF($G$2,0,IF((M$6-$G$3)&lt;1,0,IFERROR(LOOKUP(2,1/(Trigo!$E44:INDEX(Trigo!$E44:$Z44,MIN(M$6-$G$3,22))&lt;&gt;""),Trigo!$E44:INDEX(Trigo!$E44:$Z44,MIN(M$6-$G$3,22))),0)))))</f>
        <v>0</v>
      </c>
      <c r="N46" s="27" t="n">
        <f aca="false">IF(COUNT(Trigo!$E44:$Z44)=0,0,MAX(0,IF((N$6-$E$3)&lt;1,0,IFERROR(LOOKUP(2,1/(Trigo!$E44:INDEX(Trigo!$E44:$Z44,MIN(N$6-$E$3,22))&lt;&gt;""),Trigo!$E44:INDEX(Trigo!$E44:$Z44,MIN(N$6-$E$3,22))),0))-IF($G$2,0,IF((N$6-$G$3)&lt;1,0,IFERROR(LOOKUP(2,1/(Trigo!$E44:INDEX(Trigo!$E44:$Z44,MIN(N$6-$G$3,22))&lt;&gt;""),Trigo!$E44:INDEX(Trigo!$E44:$Z44,MIN(N$6-$G$3,22))),0)))))</f>
        <v>0</v>
      </c>
      <c r="O46" s="27" t="n">
        <f aca="false">IF(COUNT(Trigo!$E44:$Z44)=0,0,MAX(0,IF((O$6-$E$3)&lt;1,0,IFERROR(LOOKUP(2,1/(Trigo!$E44:INDEX(Trigo!$E44:$Z44,MIN(O$6-$E$3,22))&lt;&gt;""),Trigo!$E44:INDEX(Trigo!$E44:$Z44,MIN(O$6-$E$3,22))),0))-IF($G$2,0,IF((O$6-$G$3)&lt;1,0,IFERROR(LOOKUP(2,1/(Trigo!$E44:INDEX(Trigo!$E44:$Z44,MIN(O$6-$G$3,22))&lt;&gt;""),Trigo!$E44:INDEX(Trigo!$E44:$Z44,MIN(O$6-$G$3,22))),0)))))</f>
        <v>0</v>
      </c>
      <c r="P46" s="27" t="n">
        <f aca="false">IF(COUNT(Trigo!$E44:$Z44)=0,0,MAX(0,IF((P$6-$E$3)&lt;1,0,IFERROR(LOOKUP(2,1/(Trigo!$E44:INDEX(Trigo!$E44:$Z44,MIN(P$6-$E$3,22))&lt;&gt;""),Trigo!$E44:INDEX(Trigo!$E44:$Z44,MIN(P$6-$E$3,22))),0))-IF($G$2,0,IF((P$6-$G$3)&lt;1,0,IFERROR(LOOKUP(2,1/(Trigo!$E44:INDEX(Trigo!$E44:$Z44,MIN(P$6-$G$3,22))&lt;&gt;""),Trigo!$E44:INDEX(Trigo!$E44:$Z44,MIN(P$6-$G$3,22))),0)))))</f>
        <v>0</v>
      </c>
      <c r="Q46" s="27" t="n">
        <f aca="false">IF(COUNT(Trigo!$E44:$Z44)=0,0,MAX(0,IF((Q$6-$E$3)&lt;1,0,IFERROR(LOOKUP(2,1/(Trigo!$E44:INDEX(Trigo!$E44:$Z44,MIN(Q$6-$E$3,22))&lt;&gt;""),Trigo!$E44:INDEX(Trigo!$E44:$Z44,MIN(Q$6-$E$3,22))),0))-IF($G$2,0,IF((Q$6-$G$3)&lt;1,0,IFERROR(LOOKUP(2,1/(Trigo!$E44:INDEX(Trigo!$E44:$Z44,MIN(Q$6-$G$3,22))&lt;&gt;""),Trigo!$E44:INDEX(Trigo!$E44:$Z44,MIN(Q$6-$G$3,22))),0)))))</f>
        <v>0</v>
      </c>
      <c r="R46" s="27" t="n">
        <f aca="false">IF(COUNT(Trigo!$E44:$Z44)=0,0,MAX(0,IF((R$6-$E$3)&lt;1,0,IFERROR(LOOKUP(2,1/(Trigo!$E44:INDEX(Trigo!$E44:$Z44,MIN(R$6-$E$3,22))&lt;&gt;""),Trigo!$E44:INDEX(Trigo!$E44:$Z44,MIN(R$6-$E$3,22))),0))-IF($G$2,0,IF((R$6-$G$3)&lt;1,0,IFERROR(LOOKUP(2,1/(Trigo!$E44:INDEX(Trigo!$E44:$Z44,MIN(R$6-$G$3,22))&lt;&gt;""),Trigo!$E44:INDEX(Trigo!$E44:$Z44,MIN(R$6-$G$3,22))),0)))))</f>
        <v>0</v>
      </c>
      <c r="S46" s="27" t="n">
        <f aca="false">IF(COUNT(Trigo!$E44:$Z44)=0,0,MAX(0,IF((S$6-$E$3)&lt;1,0,IFERROR(LOOKUP(2,1/(Trigo!$E44:INDEX(Trigo!$E44:$Z44,MIN(S$6-$E$3,22))&lt;&gt;""),Trigo!$E44:INDEX(Trigo!$E44:$Z44,MIN(S$6-$E$3,22))),0))-IF($G$2,0,IF((S$6-$G$3)&lt;1,0,IFERROR(LOOKUP(2,1/(Trigo!$E44:INDEX(Trigo!$E44:$Z44,MIN(S$6-$G$3,22))&lt;&gt;""),Trigo!$E44:INDEX(Trigo!$E44:$Z44,MIN(S$6-$G$3,22))),0)))))</f>
        <v>0</v>
      </c>
      <c r="T46" s="27" t="n">
        <f aca="false">IF(COUNT(Trigo!$E44:$Z44)=0,0,MAX(0,IF((T$6-$E$3)&lt;1,0,IFERROR(LOOKUP(2,1/(Trigo!$E44:INDEX(Trigo!$E44:$Z44,MIN(T$6-$E$3,22))&lt;&gt;""),Trigo!$E44:INDEX(Trigo!$E44:$Z44,MIN(T$6-$E$3,22))),0))-IF($G$2,0,IF((T$6-$G$3)&lt;1,0,IFERROR(LOOKUP(2,1/(Trigo!$E44:INDEX(Trigo!$E44:$Z44,MIN(T$6-$G$3,22))&lt;&gt;""),Trigo!$E44:INDEX(Trigo!$E44:$Z44,MIN(T$6-$G$3,22))),0)))))</f>
        <v>0</v>
      </c>
      <c r="U46" s="27" t="n">
        <f aca="false">IF(COUNT(Trigo!$E44:$Z44)=0,0,MAX(0,IF((U$6-$E$3)&lt;1,0,IFERROR(LOOKUP(2,1/(Trigo!$E44:INDEX(Trigo!$E44:$Z44,MIN(U$6-$E$3,22))&lt;&gt;""),Trigo!$E44:INDEX(Trigo!$E44:$Z44,MIN(U$6-$E$3,22))),0))-IF($G$2,0,IF((U$6-$G$3)&lt;1,0,IFERROR(LOOKUP(2,1/(Trigo!$E44:INDEX(Trigo!$E44:$Z44,MIN(U$6-$G$3,22))&lt;&gt;""),Trigo!$E44:INDEX(Trigo!$E44:$Z44,MIN(U$6-$G$3,22))),0)))))</f>
        <v>0</v>
      </c>
      <c r="V46" s="27" t="n">
        <f aca="false">IF(COUNT(Trigo!$E44:$Z44)=0,0,MAX(0,IF((V$6-$E$3)&lt;1,0,IFERROR(LOOKUP(2,1/(Trigo!$E44:INDEX(Trigo!$E44:$Z44,MIN(V$6-$E$3,22))&lt;&gt;""),Trigo!$E44:INDEX(Trigo!$E44:$Z44,MIN(V$6-$E$3,22))),0))-IF($G$2,0,IF((V$6-$G$3)&lt;1,0,IFERROR(LOOKUP(2,1/(Trigo!$E44:INDEX(Trigo!$E44:$Z44,MIN(V$6-$G$3,22))&lt;&gt;""),Trigo!$E44:INDEX(Trigo!$E44:$Z44,MIN(V$6-$G$3,22))),0)))))</f>
        <v>0</v>
      </c>
      <c r="W46" s="27" t="n">
        <f aca="false">IF(COUNT(Trigo!$E44:$Z44)=0,0,MAX(0,IF((W$6-$E$3)&lt;1,0,IFERROR(LOOKUP(2,1/(Trigo!$E44:INDEX(Trigo!$E44:$Z44,MIN(W$6-$E$3,22))&lt;&gt;""),Trigo!$E44:INDEX(Trigo!$E44:$Z44,MIN(W$6-$E$3,22))),0))-IF($G$2,0,IF((W$6-$G$3)&lt;1,0,IFERROR(LOOKUP(2,1/(Trigo!$E44:INDEX(Trigo!$E44:$Z44,MIN(W$6-$G$3,22))&lt;&gt;""),Trigo!$E44:INDEX(Trigo!$E44:$Z44,MIN(W$6-$G$3,22))),0)))))</f>
        <v>0</v>
      </c>
      <c r="X46" s="27" t="n">
        <f aca="false">IF(COUNT(Trigo!$E44:$Z44)=0,0,MAX(0,IF((X$6-$E$3)&lt;1,0,IFERROR(LOOKUP(2,1/(Trigo!$E44:INDEX(Trigo!$E44:$Z44,MIN(X$6-$E$3,22))&lt;&gt;""),Trigo!$E44:INDEX(Trigo!$E44:$Z44,MIN(X$6-$E$3,22))),0))-IF($G$2,0,IF((X$6-$G$3)&lt;1,0,IFERROR(LOOKUP(2,1/(Trigo!$E44:INDEX(Trigo!$E44:$Z44,MIN(X$6-$G$3,22))&lt;&gt;""),Trigo!$E44:INDEX(Trigo!$E44:$Z44,MIN(X$6-$G$3,22))),0)))))</f>
        <v>0</v>
      </c>
      <c r="Y46" s="27" t="n">
        <f aca="false">IF(COUNT(Trigo!$E44:$Z44)=0,0,MAX(0,IF((Y$6-$E$3)&lt;1,0,IFERROR(LOOKUP(2,1/(Trigo!$E44:INDEX(Trigo!$E44:$Z44,MIN(Y$6-$E$3,22))&lt;&gt;""),Trigo!$E44:INDEX(Trigo!$E44:$Z44,MIN(Y$6-$E$3,22))),0))-IF($G$2,0,IF((Y$6-$G$3)&lt;1,0,IFERROR(LOOKUP(2,1/(Trigo!$E44:INDEX(Trigo!$E44:$Z44,MIN(Y$6-$G$3,22))&lt;&gt;""),Trigo!$E44:INDEX(Trigo!$E44:$Z44,MIN(Y$6-$G$3,22))),0)))))</f>
        <v>0</v>
      </c>
      <c r="Z46" s="27" t="n">
        <f aca="false">IF(COUNT(Trigo!$E44:$Z44)=0,0,MAX(0,IF((Z$6-$E$3)&lt;1,0,IFERROR(LOOKUP(2,1/(Trigo!$E44:INDEX(Trigo!$E44:$Z44,MIN(Z$6-$E$3,22))&lt;&gt;""),Trigo!$E44:INDEX(Trigo!$E44:$Z44,MIN(Z$6-$E$3,22))),0))-IF($G$2,0,IF((Z$6-$G$3)&lt;1,0,IFERROR(LOOKUP(2,1/(Trigo!$E44:INDEX(Trigo!$E44:$Z44,MIN(Z$6-$G$3,22))&lt;&gt;""),Trigo!$E44:INDEX(Trigo!$E44:$Z44,MIN(Z$6-$G$3,22))),0)))))</f>
        <v>0</v>
      </c>
      <c r="AA46" s="27" t="n">
        <f aca="false">IF(COUNT(Trigo!$E44:$Z44)=0,0,MAX(0,IF((AA$6-$E$3)&lt;1,0,IFERROR(LOOKUP(2,1/(Trigo!$E44:INDEX(Trigo!$E44:$Z44,MIN(AA$6-$E$3,22))&lt;&gt;""),Trigo!$E44:INDEX(Trigo!$E44:$Z44,MIN(AA$6-$E$3,22))),0))-IF($G$2,0,IF((AA$6-$G$3)&lt;1,0,IFERROR(LOOKUP(2,1/(Trigo!$E44:INDEX(Trigo!$E44:$Z44,MIN(AA$6-$G$3,22))&lt;&gt;""),Trigo!$E44:INDEX(Trigo!$E44:$Z44,MIN(AA$6-$G$3,22))),0)))))</f>
        <v>0</v>
      </c>
      <c r="AB46" s="27" t="n">
        <f aca="false">IF(COUNT(Trigo!$E44:$Z44)=0,0,MAX(0,IF((AB$6-$E$3)&lt;1,0,IFERROR(LOOKUP(2,1/(Trigo!$E44:INDEX(Trigo!$E44:$Z44,MIN(AB$6-$E$3,22))&lt;&gt;""),Trigo!$E44:INDEX(Trigo!$E44:$Z44,MIN(AB$6-$E$3,22))),0))-IF($G$2,0,IF((AB$6-$G$3)&lt;1,0,IFERROR(LOOKUP(2,1/(Trigo!$E44:INDEX(Trigo!$E44:$Z44,MIN(AB$6-$G$3,22))&lt;&gt;""),Trigo!$E44:INDEX(Trigo!$E44:$Z44,MIN(AB$6-$G$3,22))),0)))))</f>
        <v>0</v>
      </c>
      <c r="AC46" s="27" t="n">
        <f aca="false">IF(COUNT(Trigo!$E44:$Z44)=0,0,MAX(0,IF((AC$6-$E$3)&lt;1,0,IFERROR(LOOKUP(2,1/(Trigo!$E44:INDEX(Trigo!$E44:$Z44,MIN(AC$6-$E$3,22))&lt;&gt;""),Trigo!$E44:INDEX(Trigo!$E44:$Z44,MIN(AC$6-$E$3,22))),0))-IF($G$2,0,IF((AC$6-$G$3)&lt;1,0,IFERROR(LOOKUP(2,1/(Trigo!$E44:INDEX(Trigo!$E44:$Z44,MIN(AC$6-$G$3,22))&lt;&gt;""),Trigo!$E44:INDEX(Trigo!$E44:$Z44,MIN(AC$6-$G$3,22))),0)))))</f>
        <v>0</v>
      </c>
      <c r="AD46" s="27" t="n">
        <f aca="false">IF(COUNT(Trigo!$E44:$Z44)=0,0,MAX(0,IF((AD$6-$E$3)&lt;1,0,IFERROR(LOOKUP(2,1/(Trigo!$E44:INDEX(Trigo!$E44:$Z44,MIN(AD$6-$E$3,22))&lt;&gt;""),Trigo!$E44:INDEX(Trigo!$E44:$Z44,MIN(AD$6-$E$3,22))),0))-IF($G$2,0,IF((AD$6-$G$3)&lt;1,0,IFERROR(LOOKUP(2,1/(Trigo!$E44:INDEX(Trigo!$E44:$Z44,MIN(AD$6-$G$3,22))&lt;&gt;""),Trigo!$E44:INDEX(Trigo!$E44:$Z44,MIN(AD$6-$G$3,22))),0)))))</f>
        <v>0</v>
      </c>
      <c r="AE46" s="27" t="n">
        <f aca="false">IF(COUNT(Trigo!$E44:$Z44)=0,0,MAX(0,IF((AE$6-$E$3)&lt;1,0,IFERROR(LOOKUP(2,1/(Trigo!$E44:INDEX(Trigo!$E44:$Z44,MIN(AE$6-$E$3,22))&lt;&gt;""),Trigo!$E44:INDEX(Trigo!$E44:$Z44,MIN(AE$6-$E$3,22))),0))-IF($G$2,0,IF((AE$6-$G$3)&lt;1,0,IFERROR(LOOKUP(2,1/(Trigo!$E44:INDEX(Trigo!$E44:$Z44,MIN(AE$6-$G$3,22))&lt;&gt;""),Trigo!$E44:INDEX(Trigo!$E44:$Z44,MIN(AE$6-$G$3,22))),0)))))</f>
        <v>0</v>
      </c>
      <c r="AF46" s="27" t="n">
        <f aca="false">IF(COUNT(Trigo!$E44:$Z44)=0,0,MAX(0,IF((AF$6-$E$3)&lt;1,0,IFERROR(LOOKUP(2,1/(Trigo!$E44:INDEX(Trigo!$E44:$Z44,MIN(AF$6-$E$3,22))&lt;&gt;""),Trigo!$E44:INDEX(Trigo!$E44:$Z44,MIN(AF$6-$E$3,22))),0))-IF($G$2,0,IF((AF$6-$G$3)&lt;1,0,IFERROR(LOOKUP(2,1/(Trigo!$E44:INDEX(Trigo!$E44:$Z44,MIN(AF$6-$G$3,22))&lt;&gt;""),Trigo!$E44:INDEX(Trigo!$E44:$Z44,MIN(AF$6-$G$3,22))),0)))))</f>
        <v>0</v>
      </c>
      <c r="AG46" s="27" t="n">
        <f aca="false">IF(COUNT(Trigo!$E44:$Z44)=0,0,MAX(0,IF((AG$6-$E$3)&lt;1,0,IFERROR(LOOKUP(2,1/(Trigo!$E44:INDEX(Trigo!$E44:$Z44,MIN(AG$6-$E$3,22))&lt;&gt;""),Trigo!$E44:INDEX(Trigo!$E44:$Z44,MIN(AG$6-$E$3,22))),0))-IF($G$2,0,IF((AG$6-$G$3)&lt;1,0,IFERROR(LOOKUP(2,1/(Trigo!$E44:INDEX(Trigo!$E44:$Z44,MIN(AG$6-$G$3,22))&lt;&gt;""),Trigo!$E44:INDEX(Trigo!$E44:$Z44,MIN(AG$6-$G$3,22))),0)))))</f>
        <v>0</v>
      </c>
      <c r="AH46" s="27" t="n">
        <f aca="false">IF(COUNT(Trigo!$E44:$Z44)=0,0,MAX(0,IF((AH$6-$E$3)&lt;1,0,IFERROR(LOOKUP(2,1/(Trigo!$E44:INDEX(Trigo!$E44:$Z44,MIN(AH$6-$E$3,22))&lt;&gt;""),Trigo!$E44:INDEX(Trigo!$E44:$Z44,MIN(AH$6-$E$3,22))),0))-IF($G$2,0,IF((AH$6-$G$3)&lt;1,0,IFERROR(LOOKUP(2,1/(Trigo!$E44:INDEX(Trigo!$E44:$Z44,MIN(AH$6-$G$3,22))&lt;&gt;""),Trigo!$E44:INDEX(Trigo!$E44:$Z44,MIN(AH$6-$G$3,22))),0)))))</f>
        <v>0</v>
      </c>
      <c r="AI46" s="27" t="n">
        <f aca="false">IF(COUNT(Trigo!$E44:$Z44)=0,0,MAX(0,IF((AI$6-$E$3)&lt;1,0,IFERROR(LOOKUP(2,1/(Trigo!$E44:INDEX(Trigo!$E44:$Z44,MIN(AI$6-$E$3,22))&lt;&gt;""),Trigo!$E44:INDEX(Trigo!$E44:$Z44,MIN(AI$6-$E$3,22))),0))-IF($G$2,0,IF((AI$6-$G$3)&lt;1,0,IFERROR(LOOKUP(2,1/(Trigo!$E44:INDEX(Trigo!$E44:$Z44,MIN(AI$6-$G$3,22))&lt;&gt;""),Trigo!$E44:INDEX(Trigo!$E44:$Z44,MIN(AI$6-$G$3,22))),0)))))</f>
        <v>0</v>
      </c>
      <c r="AJ46" s="27" t="n">
        <f aca="false">IF(COUNT(Trigo!$E44:$Z44)=0,0,MAX(0,IF((AJ$6-$E$3)&lt;1,0,IFERROR(LOOKUP(2,1/(Trigo!$E44:INDEX(Trigo!$E44:$Z44,MIN(AJ$6-$E$3,22))&lt;&gt;""),Trigo!$E44:INDEX(Trigo!$E44:$Z44,MIN(AJ$6-$E$3,22))),0))-IF($G$2,0,IF((AJ$6-$G$3)&lt;1,0,IFERROR(LOOKUP(2,1/(Trigo!$E44:INDEX(Trigo!$E44:$Z44,MIN(AJ$6-$G$3,22))&lt;&gt;""),Trigo!$E44:INDEX(Trigo!$E44:$Z44,MIN(AJ$6-$G$3,22))),0)))))</f>
        <v>0</v>
      </c>
      <c r="AK46" s="27" t="n">
        <f aca="false">IF(COUNT(Trigo!$E44:$Z44)=0,0,MAX(0,IF((AK$6-$E$3)&lt;1,0,IFERROR(LOOKUP(2,1/(Trigo!$E44:INDEX(Trigo!$E44:$Z44,MIN(AK$6-$E$3,22))&lt;&gt;""),Trigo!$E44:INDEX(Trigo!$E44:$Z44,MIN(AK$6-$E$3,22))),0))-IF($G$2,0,IF((AK$6-$G$3)&lt;1,0,IFERROR(LOOKUP(2,1/(Trigo!$E44:INDEX(Trigo!$E44:$Z44,MIN(AK$6-$G$3,22))&lt;&gt;""),Trigo!$E44:INDEX(Trigo!$E44:$Z44,MIN(AK$6-$G$3,22))),0)))))</f>
        <v>0</v>
      </c>
      <c r="AL46" s="27" t="n">
        <f aca="false">IF(COUNT(Trigo!$E44:$Z44)=0,0,MAX(0,IF((AL$6-$E$3)&lt;1,0,IFERROR(LOOKUP(2,1/(Trigo!$E44:INDEX(Trigo!$E44:$Z44,MIN(AL$6-$E$3,22))&lt;&gt;""),Trigo!$E44:INDEX(Trigo!$E44:$Z44,MIN(AL$6-$E$3,22))),0))-IF($G$2,0,IF((AL$6-$G$3)&lt;1,0,IFERROR(LOOKUP(2,1/(Trigo!$E44:INDEX(Trigo!$E44:$Z44,MIN(AL$6-$G$3,22))&lt;&gt;""),Trigo!$E44:INDEX(Trigo!$E44:$Z44,MIN(AL$6-$G$3,22))),0)))))</f>
        <v>0</v>
      </c>
      <c r="AM46" s="27" t="n">
        <f aca="false">IF(COUNT(Trigo!$E44:$Z44)=0,0,MAX(0,IF((AM$6-$E$3)&lt;1,0,IFERROR(LOOKUP(2,1/(Trigo!$E44:INDEX(Trigo!$E44:$Z44,MIN(AM$6-$E$3,22))&lt;&gt;""),Trigo!$E44:INDEX(Trigo!$E44:$Z44,MIN(AM$6-$E$3,22))),0))-IF($G$2,0,IF((AM$6-$G$3)&lt;1,0,IFERROR(LOOKUP(2,1/(Trigo!$E44:INDEX(Trigo!$E44:$Z44,MIN(AM$6-$G$3,22))&lt;&gt;""),Trigo!$E44:INDEX(Trigo!$E44:$Z44,MIN(AM$6-$G$3,22))),0)))))</f>
        <v>0</v>
      </c>
      <c r="AN46" s="27" t="n">
        <f aca="false">IF(COUNT(Trigo!$E44:$Z44)=0,0,MAX(0,IF((AN$6-$E$3)&lt;1,0,IFERROR(LOOKUP(2,1/(Trigo!$E44:INDEX(Trigo!$E44:$Z44,MIN(AN$6-$E$3,22))&lt;&gt;""),Trigo!$E44:INDEX(Trigo!$E44:$Z44,MIN(AN$6-$E$3,22))),0))-IF($G$2,0,IF((AN$6-$G$3)&lt;1,0,IFERROR(LOOKUP(2,1/(Trigo!$E44:INDEX(Trigo!$E44:$Z44,MIN(AN$6-$G$3,22))&lt;&gt;""),Trigo!$E44:INDEX(Trigo!$E44:$Z44,MIN(AN$6-$G$3,22))),0)))))</f>
        <v>0</v>
      </c>
      <c r="AO46" s="27" t="n">
        <f aca="false">IF(COUNT(Trigo!$E44:$Z44)=0,0,MAX(0,IF((AO$6-$E$3)&lt;1,0,IFERROR(LOOKUP(2,1/(Trigo!$E44:INDEX(Trigo!$E44:$Z44,MIN(AO$6-$E$3,22))&lt;&gt;""),Trigo!$E44:INDEX(Trigo!$E44:$Z44,MIN(AO$6-$E$3,22))),0))-IF($G$2,0,IF((AO$6-$G$3)&lt;1,0,IFERROR(LOOKUP(2,1/(Trigo!$E44:INDEX(Trigo!$E44:$Z44,MIN(AO$6-$G$3,22))&lt;&gt;""),Trigo!$E44:INDEX(Trigo!$E44:$Z44,MIN(AO$6-$G$3,22))),0)))))</f>
        <v>0</v>
      </c>
      <c r="AP46" s="27" t="n">
        <f aca="false">IF(COUNT(Trigo!$E44:$Z44)=0,0,MAX(0,IF((AP$6-$E$3)&lt;1,0,IFERROR(LOOKUP(2,1/(Trigo!$E44:INDEX(Trigo!$E44:$Z44,MIN(AP$6-$E$3,22))&lt;&gt;""),Trigo!$E44:INDEX(Trigo!$E44:$Z44,MIN(AP$6-$E$3,22))),0))-IF($G$2,0,IF((AP$6-$G$3)&lt;1,0,IFERROR(LOOKUP(2,1/(Trigo!$E44:INDEX(Trigo!$E44:$Z44,MIN(AP$6-$G$3,22))&lt;&gt;""),Trigo!$E44:INDEX(Trigo!$E44:$Z44,MIN(AP$6-$G$3,22))),0)))))</f>
        <v>0</v>
      </c>
      <c r="AQ46" s="27" t="n">
        <f aca="false">IF(COUNT(Trigo!$E44:$Z44)=0,0,MAX(0,IF((AQ$6-$E$3)&lt;1,0,IFERROR(LOOKUP(2,1/(Trigo!$E44:INDEX(Trigo!$E44:$Z44,MIN(AQ$6-$E$3,22))&lt;&gt;""),Trigo!$E44:INDEX(Trigo!$E44:$Z44,MIN(AQ$6-$E$3,22))),0))-IF($G$2,0,IF((AQ$6-$G$3)&lt;1,0,IFERROR(LOOKUP(2,1/(Trigo!$E44:INDEX(Trigo!$E44:$Z44,MIN(AQ$6-$G$3,22))&lt;&gt;""),Trigo!$E44:INDEX(Trigo!$E44:$Z44,MIN(AQ$6-$G$3,22))),0)))))</f>
        <v>0</v>
      </c>
      <c r="AR46" s="27" t="n">
        <f aca="false">IF(COUNT(Trigo!$E44:$Z44)=0,0,MAX(0,IF((AR$6-$E$3)&lt;1,0,IFERROR(LOOKUP(2,1/(Trigo!$E44:INDEX(Trigo!$E44:$Z44,MIN(AR$6-$E$3,22))&lt;&gt;""),Trigo!$E44:INDEX(Trigo!$E44:$Z44,MIN(AR$6-$E$3,22))),0))-IF($G$2,0,IF((AR$6-$G$3)&lt;1,0,IFERROR(LOOKUP(2,1/(Trigo!$E44:INDEX(Trigo!$E44:$Z44,MIN(AR$6-$G$3,22))&lt;&gt;""),Trigo!$E44:INDEX(Trigo!$E44:$Z44,MIN(AR$6-$G$3,22))),0)))))</f>
        <v>0</v>
      </c>
      <c r="AS46" s="27" t="n">
        <f aca="false">IF(COUNT(Trigo!$E44:$Z44)=0,0,MAX(0,IF((AS$6-$E$3)&lt;1,0,IFERROR(LOOKUP(2,1/(Trigo!$E44:INDEX(Trigo!$E44:$Z44,MIN(AS$6-$E$3,22))&lt;&gt;""),Trigo!$E44:INDEX(Trigo!$E44:$Z44,MIN(AS$6-$E$3,22))),0))-IF($G$2,0,IF((AS$6-$G$3)&lt;1,0,IFERROR(LOOKUP(2,1/(Trigo!$E44:INDEX(Trigo!$E44:$Z44,MIN(AS$6-$G$3,22))&lt;&gt;""),Trigo!$E44:INDEX(Trigo!$E44:$Z44,MIN(AS$6-$G$3,22))),0)))))</f>
        <v>0</v>
      </c>
      <c r="AT46" s="27" t="n">
        <f aca="false">IF(COUNT(Trigo!$E44:$Z44)=0,0,MAX(0,IF((AT$6-$E$3)&lt;1,0,IFERROR(LOOKUP(2,1/(Trigo!$E44:INDEX(Trigo!$E44:$Z44,MIN(AT$6-$E$3,22))&lt;&gt;""),Trigo!$E44:INDEX(Trigo!$E44:$Z44,MIN(AT$6-$E$3,22))),0))-IF($G$2,0,IF((AT$6-$G$3)&lt;1,0,IFERROR(LOOKUP(2,1/(Trigo!$E44:INDEX(Trigo!$E44:$Z44,MIN(AT$6-$G$3,22))&lt;&gt;""),Trigo!$E44:INDEX(Trigo!$E44:$Z44,MIN(AT$6-$G$3,22))),0)))))</f>
        <v>0</v>
      </c>
      <c r="AU46" s="27" t="n">
        <f aca="false">IF(COUNT(Trigo!$E44:$Z44)=0,0,MAX(0,IF((AU$6-$E$3)&lt;1,0,IFERROR(LOOKUP(2,1/(Trigo!$E44:INDEX(Trigo!$E44:$Z44,MIN(AU$6-$E$3,22))&lt;&gt;""),Trigo!$E44:INDEX(Trigo!$E44:$Z44,MIN(AU$6-$E$3,22))),0))-IF($G$2,0,IF((AU$6-$G$3)&lt;1,0,IFERROR(LOOKUP(2,1/(Trigo!$E44:INDEX(Trigo!$E44:$Z44,MIN(AU$6-$G$3,22))&lt;&gt;""),Trigo!$E44:INDEX(Trigo!$E44:$Z44,MIN(AU$6-$G$3,22))),0)))))</f>
        <v>0</v>
      </c>
      <c r="AV46" s="27" t="n">
        <f aca="false">IF(COUNT(Trigo!$E44:$Z44)=0,0,MAX(0,IF((AV$6-$E$3)&lt;1,0,IFERROR(LOOKUP(2,1/(Trigo!$E44:INDEX(Trigo!$E44:$Z44,MIN(AV$6-$E$3,22))&lt;&gt;""),Trigo!$E44:INDEX(Trigo!$E44:$Z44,MIN(AV$6-$E$3,22))),0))-IF($G$2,0,IF((AV$6-$G$3)&lt;1,0,IFERROR(LOOKUP(2,1/(Trigo!$E44:INDEX(Trigo!$E44:$Z44,MIN(AV$6-$G$3,22))&lt;&gt;""),Trigo!$E44:INDEX(Trigo!$E44:$Z44,MIN(AV$6-$G$3,22))),0)))))</f>
        <v>0</v>
      </c>
      <c r="AW46" s="27" t="n">
        <f aca="false">IF(COUNT(Trigo!$E44:$Z44)=0,0,MAX(0,IF((AW$6-$E$3)&lt;1,0,IFERROR(LOOKUP(2,1/(Trigo!$E44:INDEX(Trigo!$E44:$Z44,MIN(AW$6-$E$3,22))&lt;&gt;""),Trigo!$E44:INDEX(Trigo!$E44:$Z44,MIN(AW$6-$E$3,22))),0))-IF($G$2,0,IF((AW$6-$G$3)&lt;1,0,IFERROR(LOOKUP(2,1/(Trigo!$E44:INDEX(Trigo!$E44:$Z44,MIN(AW$6-$G$3,22))&lt;&gt;""),Trigo!$E44:INDEX(Trigo!$E44:$Z44,MIN(AW$6-$G$3,22))),0)))))</f>
        <v>0</v>
      </c>
      <c r="AX46" s="27" t="n">
        <f aca="false">IF(COUNT(Trigo!$E44:$Z44)=0,0,MAX(0,IF((AX$6-$E$3)&lt;1,0,IFERROR(LOOKUP(2,1/(Trigo!$E44:INDEX(Trigo!$E44:$Z44,MIN(AX$6-$E$3,22))&lt;&gt;""),Trigo!$E44:INDEX(Trigo!$E44:$Z44,MIN(AX$6-$E$3,22))),0))-IF($G$2,0,IF((AX$6-$G$3)&lt;1,0,IFERROR(LOOKUP(2,1/(Trigo!$E44:INDEX(Trigo!$E44:$Z44,MIN(AX$6-$G$3,22))&lt;&gt;""),Trigo!$E44:INDEX(Trigo!$E44:$Z44,MIN(AX$6-$G$3,22))),0)))))</f>
        <v>0</v>
      </c>
      <c r="AY46" s="27" t="n">
        <f aca="false">IF(COUNT(Trigo!$E44:$Z44)=0,0,MAX(0,IF((AY$6-$E$3)&lt;1,0,IFERROR(LOOKUP(2,1/(Trigo!$E44:INDEX(Trigo!$E44:$Z44,MIN(AY$6-$E$3,22))&lt;&gt;""),Trigo!$E44:INDEX(Trigo!$E44:$Z44,MIN(AY$6-$E$3,22))),0))-IF($G$2,0,IF((AY$6-$G$3)&lt;1,0,IFERROR(LOOKUP(2,1/(Trigo!$E44:INDEX(Trigo!$E44:$Z44,MIN(AY$6-$G$3,22))&lt;&gt;""),Trigo!$E44:INDEX(Trigo!$E44:$Z44,MIN(AY$6-$G$3,22))),0)))))</f>
        <v>0</v>
      </c>
      <c r="AZ46" s="27" t="n">
        <f aca="false">IF(COUNT(Trigo!$E44:$Z44)=0,0,MAX(0,IF((AZ$6-$E$3)&lt;1,0,IFERROR(LOOKUP(2,1/(Trigo!$E44:INDEX(Trigo!$E44:$Z44,MIN(AZ$6-$E$3,22))&lt;&gt;""),Trigo!$E44:INDEX(Trigo!$E44:$Z44,MIN(AZ$6-$E$3,22))),0))-IF($G$2,0,IF((AZ$6-$G$3)&lt;1,0,IFERROR(LOOKUP(2,1/(Trigo!$E44:INDEX(Trigo!$E44:$Z44,MIN(AZ$6-$G$3,22))&lt;&gt;""),Trigo!$E44:INDEX(Trigo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IF(COUNT(Trigo!$E45:$Z45)&gt;0,N(Trigo!$D45),0)</f>
        <v>0</v>
      </c>
      <c r="E47" s="27" t="n">
        <f aca="false">IF(COUNT(Trigo!$E45:$Z45)=0,0,MAX(0,IF((E$6-$E$3)&lt;1,0,IFERROR(LOOKUP(2,1/(Trigo!$E45:INDEX(Trigo!$E45:$Z45,MIN(E$6-$E$3,22))&lt;&gt;""),Trigo!$E45:INDEX(Trigo!$E45:$Z45,MIN(E$6-$E$3,22))),0))-IF($G$2,0,IF((E$6-$G$3)&lt;1,0,IFERROR(LOOKUP(2,1/(Trigo!$E45:INDEX(Trigo!$E45:$Z45,MIN(E$6-$G$3,22))&lt;&gt;""),Trigo!$E45:INDEX(Trigo!$E45:$Z45,MIN(E$6-$G$3,22))),0)))))</f>
        <v>0</v>
      </c>
      <c r="F47" s="27" t="n">
        <f aca="false">IF(COUNT(Trigo!$E45:$Z45)=0,0,MAX(0,IF((F$6-$E$3)&lt;1,0,IFERROR(LOOKUP(2,1/(Trigo!$E45:INDEX(Trigo!$E45:$Z45,MIN(F$6-$E$3,22))&lt;&gt;""),Trigo!$E45:INDEX(Trigo!$E45:$Z45,MIN(F$6-$E$3,22))),0))-IF($G$2,0,IF((F$6-$G$3)&lt;1,0,IFERROR(LOOKUP(2,1/(Trigo!$E45:INDEX(Trigo!$E45:$Z45,MIN(F$6-$G$3,22))&lt;&gt;""),Trigo!$E45:INDEX(Trigo!$E45:$Z45,MIN(F$6-$G$3,22))),0)))))</f>
        <v>0</v>
      </c>
      <c r="G47" s="27" t="n">
        <f aca="false">IF(COUNT(Trigo!$E45:$Z45)=0,0,MAX(0,IF((G$6-$E$3)&lt;1,0,IFERROR(LOOKUP(2,1/(Trigo!$E45:INDEX(Trigo!$E45:$Z45,MIN(G$6-$E$3,22))&lt;&gt;""),Trigo!$E45:INDEX(Trigo!$E45:$Z45,MIN(G$6-$E$3,22))),0))-IF($G$2,0,IF((G$6-$G$3)&lt;1,0,IFERROR(LOOKUP(2,1/(Trigo!$E45:INDEX(Trigo!$E45:$Z45,MIN(G$6-$G$3,22))&lt;&gt;""),Trigo!$E45:INDEX(Trigo!$E45:$Z45,MIN(G$6-$G$3,22))),0)))))</f>
        <v>0</v>
      </c>
      <c r="H47" s="27" t="n">
        <f aca="false">IF(COUNT(Trigo!$E45:$Z45)=0,0,MAX(0,IF((H$6-$E$3)&lt;1,0,IFERROR(LOOKUP(2,1/(Trigo!$E45:INDEX(Trigo!$E45:$Z45,MIN(H$6-$E$3,22))&lt;&gt;""),Trigo!$E45:INDEX(Trigo!$E45:$Z45,MIN(H$6-$E$3,22))),0))-IF($G$2,0,IF((H$6-$G$3)&lt;1,0,IFERROR(LOOKUP(2,1/(Trigo!$E45:INDEX(Trigo!$E45:$Z45,MIN(H$6-$G$3,22))&lt;&gt;""),Trigo!$E45:INDEX(Trigo!$E45:$Z45,MIN(H$6-$G$3,22))),0)))))</f>
        <v>0</v>
      </c>
      <c r="I47" s="27" t="n">
        <f aca="false">IF(COUNT(Trigo!$E45:$Z45)=0,0,MAX(0,IF((I$6-$E$3)&lt;1,0,IFERROR(LOOKUP(2,1/(Trigo!$E45:INDEX(Trigo!$E45:$Z45,MIN(I$6-$E$3,22))&lt;&gt;""),Trigo!$E45:INDEX(Trigo!$E45:$Z45,MIN(I$6-$E$3,22))),0))-IF($G$2,0,IF((I$6-$G$3)&lt;1,0,IFERROR(LOOKUP(2,1/(Trigo!$E45:INDEX(Trigo!$E45:$Z45,MIN(I$6-$G$3,22))&lt;&gt;""),Trigo!$E45:INDEX(Trigo!$E45:$Z45,MIN(I$6-$G$3,22))),0)))))</f>
        <v>0</v>
      </c>
      <c r="J47" s="27" t="n">
        <f aca="false">IF(COUNT(Trigo!$E45:$Z45)=0,0,MAX(0,IF((J$6-$E$3)&lt;1,0,IFERROR(LOOKUP(2,1/(Trigo!$E45:INDEX(Trigo!$E45:$Z45,MIN(J$6-$E$3,22))&lt;&gt;""),Trigo!$E45:INDEX(Trigo!$E45:$Z45,MIN(J$6-$E$3,22))),0))-IF($G$2,0,IF((J$6-$G$3)&lt;1,0,IFERROR(LOOKUP(2,1/(Trigo!$E45:INDEX(Trigo!$E45:$Z45,MIN(J$6-$G$3,22))&lt;&gt;""),Trigo!$E45:INDEX(Trigo!$E45:$Z45,MIN(J$6-$G$3,22))),0)))))</f>
        <v>0</v>
      </c>
      <c r="K47" s="27" t="n">
        <f aca="false">IF(COUNT(Trigo!$E45:$Z45)=0,0,MAX(0,IF((K$6-$E$3)&lt;1,0,IFERROR(LOOKUP(2,1/(Trigo!$E45:INDEX(Trigo!$E45:$Z45,MIN(K$6-$E$3,22))&lt;&gt;""),Trigo!$E45:INDEX(Trigo!$E45:$Z45,MIN(K$6-$E$3,22))),0))-IF($G$2,0,IF((K$6-$G$3)&lt;1,0,IFERROR(LOOKUP(2,1/(Trigo!$E45:INDEX(Trigo!$E45:$Z45,MIN(K$6-$G$3,22))&lt;&gt;""),Trigo!$E45:INDEX(Trigo!$E45:$Z45,MIN(K$6-$G$3,22))),0)))))</f>
        <v>0</v>
      </c>
      <c r="L47" s="27" t="n">
        <f aca="false">IF(COUNT(Trigo!$E45:$Z45)=0,0,MAX(0,IF((L$6-$E$3)&lt;1,0,IFERROR(LOOKUP(2,1/(Trigo!$E45:INDEX(Trigo!$E45:$Z45,MIN(L$6-$E$3,22))&lt;&gt;""),Trigo!$E45:INDEX(Trigo!$E45:$Z45,MIN(L$6-$E$3,22))),0))-IF($G$2,0,IF((L$6-$G$3)&lt;1,0,IFERROR(LOOKUP(2,1/(Trigo!$E45:INDEX(Trigo!$E45:$Z45,MIN(L$6-$G$3,22))&lt;&gt;""),Trigo!$E45:INDEX(Trigo!$E45:$Z45,MIN(L$6-$G$3,22))),0)))))</f>
        <v>0</v>
      </c>
      <c r="M47" s="27" t="n">
        <f aca="false">IF(COUNT(Trigo!$E45:$Z45)=0,0,MAX(0,IF((M$6-$E$3)&lt;1,0,IFERROR(LOOKUP(2,1/(Trigo!$E45:INDEX(Trigo!$E45:$Z45,MIN(M$6-$E$3,22))&lt;&gt;""),Trigo!$E45:INDEX(Trigo!$E45:$Z45,MIN(M$6-$E$3,22))),0))-IF($G$2,0,IF((M$6-$G$3)&lt;1,0,IFERROR(LOOKUP(2,1/(Trigo!$E45:INDEX(Trigo!$E45:$Z45,MIN(M$6-$G$3,22))&lt;&gt;""),Trigo!$E45:INDEX(Trigo!$E45:$Z45,MIN(M$6-$G$3,22))),0)))))</f>
        <v>0</v>
      </c>
      <c r="N47" s="27" t="n">
        <f aca="false">IF(COUNT(Trigo!$E45:$Z45)=0,0,MAX(0,IF((N$6-$E$3)&lt;1,0,IFERROR(LOOKUP(2,1/(Trigo!$E45:INDEX(Trigo!$E45:$Z45,MIN(N$6-$E$3,22))&lt;&gt;""),Trigo!$E45:INDEX(Trigo!$E45:$Z45,MIN(N$6-$E$3,22))),0))-IF($G$2,0,IF((N$6-$G$3)&lt;1,0,IFERROR(LOOKUP(2,1/(Trigo!$E45:INDEX(Trigo!$E45:$Z45,MIN(N$6-$G$3,22))&lt;&gt;""),Trigo!$E45:INDEX(Trigo!$E45:$Z45,MIN(N$6-$G$3,22))),0)))))</f>
        <v>0</v>
      </c>
      <c r="O47" s="27" t="n">
        <f aca="false">IF(COUNT(Trigo!$E45:$Z45)=0,0,MAX(0,IF((O$6-$E$3)&lt;1,0,IFERROR(LOOKUP(2,1/(Trigo!$E45:INDEX(Trigo!$E45:$Z45,MIN(O$6-$E$3,22))&lt;&gt;""),Trigo!$E45:INDEX(Trigo!$E45:$Z45,MIN(O$6-$E$3,22))),0))-IF($G$2,0,IF((O$6-$G$3)&lt;1,0,IFERROR(LOOKUP(2,1/(Trigo!$E45:INDEX(Trigo!$E45:$Z45,MIN(O$6-$G$3,22))&lt;&gt;""),Trigo!$E45:INDEX(Trigo!$E45:$Z45,MIN(O$6-$G$3,22))),0)))))</f>
        <v>0</v>
      </c>
      <c r="P47" s="27" t="n">
        <f aca="false">IF(COUNT(Trigo!$E45:$Z45)=0,0,MAX(0,IF((P$6-$E$3)&lt;1,0,IFERROR(LOOKUP(2,1/(Trigo!$E45:INDEX(Trigo!$E45:$Z45,MIN(P$6-$E$3,22))&lt;&gt;""),Trigo!$E45:INDEX(Trigo!$E45:$Z45,MIN(P$6-$E$3,22))),0))-IF($G$2,0,IF((P$6-$G$3)&lt;1,0,IFERROR(LOOKUP(2,1/(Trigo!$E45:INDEX(Trigo!$E45:$Z45,MIN(P$6-$G$3,22))&lt;&gt;""),Trigo!$E45:INDEX(Trigo!$E45:$Z45,MIN(P$6-$G$3,22))),0)))))</f>
        <v>0</v>
      </c>
      <c r="Q47" s="27" t="n">
        <f aca="false">IF(COUNT(Trigo!$E45:$Z45)=0,0,MAX(0,IF((Q$6-$E$3)&lt;1,0,IFERROR(LOOKUP(2,1/(Trigo!$E45:INDEX(Trigo!$E45:$Z45,MIN(Q$6-$E$3,22))&lt;&gt;""),Trigo!$E45:INDEX(Trigo!$E45:$Z45,MIN(Q$6-$E$3,22))),0))-IF($G$2,0,IF((Q$6-$G$3)&lt;1,0,IFERROR(LOOKUP(2,1/(Trigo!$E45:INDEX(Trigo!$E45:$Z45,MIN(Q$6-$G$3,22))&lt;&gt;""),Trigo!$E45:INDEX(Trigo!$E45:$Z45,MIN(Q$6-$G$3,22))),0)))))</f>
        <v>0</v>
      </c>
      <c r="R47" s="27" t="n">
        <f aca="false">IF(COUNT(Trigo!$E45:$Z45)=0,0,MAX(0,IF((R$6-$E$3)&lt;1,0,IFERROR(LOOKUP(2,1/(Trigo!$E45:INDEX(Trigo!$E45:$Z45,MIN(R$6-$E$3,22))&lt;&gt;""),Trigo!$E45:INDEX(Trigo!$E45:$Z45,MIN(R$6-$E$3,22))),0))-IF($G$2,0,IF((R$6-$G$3)&lt;1,0,IFERROR(LOOKUP(2,1/(Trigo!$E45:INDEX(Trigo!$E45:$Z45,MIN(R$6-$G$3,22))&lt;&gt;""),Trigo!$E45:INDEX(Trigo!$E45:$Z45,MIN(R$6-$G$3,22))),0)))))</f>
        <v>0</v>
      </c>
      <c r="S47" s="27" t="n">
        <f aca="false">IF(COUNT(Trigo!$E45:$Z45)=0,0,MAX(0,IF((S$6-$E$3)&lt;1,0,IFERROR(LOOKUP(2,1/(Trigo!$E45:INDEX(Trigo!$E45:$Z45,MIN(S$6-$E$3,22))&lt;&gt;""),Trigo!$E45:INDEX(Trigo!$E45:$Z45,MIN(S$6-$E$3,22))),0))-IF($G$2,0,IF((S$6-$G$3)&lt;1,0,IFERROR(LOOKUP(2,1/(Trigo!$E45:INDEX(Trigo!$E45:$Z45,MIN(S$6-$G$3,22))&lt;&gt;""),Trigo!$E45:INDEX(Trigo!$E45:$Z45,MIN(S$6-$G$3,22))),0)))))</f>
        <v>0</v>
      </c>
      <c r="T47" s="27" t="n">
        <f aca="false">IF(COUNT(Trigo!$E45:$Z45)=0,0,MAX(0,IF((T$6-$E$3)&lt;1,0,IFERROR(LOOKUP(2,1/(Trigo!$E45:INDEX(Trigo!$E45:$Z45,MIN(T$6-$E$3,22))&lt;&gt;""),Trigo!$E45:INDEX(Trigo!$E45:$Z45,MIN(T$6-$E$3,22))),0))-IF($G$2,0,IF((T$6-$G$3)&lt;1,0,IFERROR(LOOKUP(2,1/(Trigo!$E45:INDEX(Trigo!$E45:$Z45,MIN(T$6-$G$3,22))&lt;&gt;""),Trigo!$E45:INDEX(Trigo!$E45:$Z45,MIN(T$6-$G$3,22))),0)))))</f>
        <v>0</v>
      </c>
      <c r="U47" s="27" t="n">
        <f aca="false">IF(COUNT(Trigo!$E45:$Z45)=0,0,MAX(0,IF((U$6-$E$3)&lt;1,0,IFERROR(LOOKUP(2,1/(Trigo!$E45:INDEX(Trigo!$E45:$Z45,MIN(U$6-$E$3,22))&lt;&gt;""),Trigo!$E45:INDEX(Trigo!$E45:$Z45,MIN(U$6-$E$3,22))),0))-IF($G$2,0,IF((U$6-$G$3)&lt;1,0,IFERROR(LOOKUP(2,1/(Trigo!$E45:INDEX(Trigo!$E45:$Z45,MIN(U$6-$G$3,22))&lt;&gt;""),Trigo!$E45:INDEX(Trigo!$E45:$Z45,MIN(U$6-$G$3,22))),0)))))</f>
        <v>0</v>
      </c>
      <c r="V47" s="27" t="n">
        <f aca="false">IF(COUNT(Trigo!$E45:$Z45)=0,0,MAX(0,IF((V$6-$E$3)&lt;1,0,IFERROR(LOOKUP(2,1/(Trigo!$E45:INDEX(Trigo!$E45:$Z45,MIN(V$6-$E$3,22))&lt;&gt;""),Trigo!$E45:INDEX(Trigo!$E45:$Z45,MIN(V$6-$E$3,22))),0))-IF($G$2,0,IF((V$6-$G$3)&lt;1,0,IFERROR(LOOKUP(2,1/(Trigo!$E45:INDEX(Trigo!$E45:$Z45,MIN(V$6-$G$3,22))&lt;&gt;""),Trigo!$E45:INDEX(Trigo!$E45:$Z45,MIN(V$6-$G$3,22))),0)))))</f>
        <v>0</v>
      </c>
      <c r="W47" s="27" t="n">
        <f aca="false">IF(COUNT(Trigo!$E45:$Z45)=0,0,MAX(0,IF((W$6-$E$3)&lt;1,0,IFERROR(LOOKUP(2,1/(Trigo!$E45:INDEX(Trigo!$E45:$Z45,MIN(W$6-$E$3,22))&lt;&gt;""),Trigo!$E45:INDEX(Trigo!$E45:$Z45,MIN(W$6-$E$3,22))),0))-IF($G$2,0,IF((W$6-$G$3)&lt;1,0,IFERROR(LOOKUP(2,1/(Trigo!$E45:INDEX(Trigo!$E45:$Z45,MIN(W$6-$G$3,22))&lt;&gt;""),Trigo!$E45:INDEX(Trigo!$E45:$Z45,MIN(W$6-$G$3,22))),0)))))</f>
        <v>0</v>
      </c>
      <c r="X47" s="27" t="n">
        <f aca="false">IF(COUNT(Trigo!$E45:$Z45)=0,0,MAX(0,IF((X$6-$E$3)&lt;1,0,IFERROR(LOOKUP(2,1/(Trigo!$E45:INDEX(Trigo!$E45:$Z45,MIN(X$6-$E$3,22))&lt;&gt;""),Trigo!$E45:INDEX(Trigo!$E45:$Z45,MIN(X$6-$E$3,22))),0))-IF($G$2,0,IF((X$6-$G$3)&lt;1,0,IFERROR(LOOKUP(2,1/(Trigo!$E45:INDEX(Trigo!$E45:$Z45,MIN(X$6-$G$3,22))&lt;&gt;""),Trigo!$E45:INDEX(Trigo!$E45:$Z45,MIN(X$6-$G$3,22))),0)))))</f>
        <v>0</v>
      </c>
      <c r="Y47" s="27" t="n">
        <f aca="false">IF(COUNT(Trigo!$E45:$Z45)=0,0,MAX(0,IF((Y$6-$E$3)&lt;1,0,IFERROR(LOOKUP(2,1/(Trigo!$E45:INDEX(Trigo!$E45:$Z45,MIN(Y$6-$E$3,22))&lt;&gt;""),Trigo!$E45:INDEX(Trigo!$E45:$Z45,MIN(Y$6-$E$3,22))),0))-IF($G$2,0,IF((Y$6-$G$3)&lt;1,0,IFERROR(LOOKUP(2,1/(Trigo!$E45:INDEX(Trigo!$E45:$Z45,MIN(Y$6-$G$3,22))&lt;&gt;""),Trigo!$E45:INDEX(Trigo!$E45:$Z45,MIN(Y$6-$G$3,22))),0)))))</f>
        <v>0</v>
      </c>
      <c r="Z47" s="27" t="n">
        <f aca="false">IF(COUNT(Trigo!$E45:$Z45)=0,0,MAX(0,IF((Z$6-$E$3)&lt;1,0,IFERROR(LOOKUP(2,1/(Trigo!$E45:INDEX(Trigo!$E45:$Z45,MIN(Z$6-$E$3,22))&lt;&gt;""),Trigo!$E45:INDEX(Trigo!$E45:$Z45,MIN(Z$6-$E$3,22))),0))-IF($G$2,0,IF((Z$6-$G$3)&lt;1,0,IFERROR(LOOKUP(2,1/(Trigo!$E45:INDEX(Trigo!$E45:$Z45,MIN(Z$6-$G$3,22))&lt;&gt;""),Trigo!$E45:INDEX(Trigo!$E45:$Z45,MIN(Z$6-$G$3,22))),0)))))</f>
        <v>0</v>
      </c>
      <c r="AA47" s="27" t="n">
        <f aca="false">IF(COUNT(Trigo!$E45:$Z45)=0,0,MAX(0,IF((AA$6-$E$3)&lt;1,0,IFERROR(LOOKUP(2,1/(Trigo!$E45:INDEX(Trigo!$E45:$Z45,MIN(AA$6-$E$3,22))&lt;&gt;""),Trigo!$E45:INDEX(Trigo!$E45:$Z45,MIN(AA$6-$E$3,22))),0))-IF($G$2,0,IF((AA$6-$G$3)&lt;1,0,IFERROR(LOOKUP(2,1/(Trigo!$E45:INDEX(Trigo!$E45:$Z45,MIN(AA$6-$G$3,22))&lt;&gt;""),Trigo!$E45:INDEX(Trigo!$E45:$Z45,MIN(AA$6-$G$3,22))),0)))))</f>
        <v>0</v>
      </c>
      <c r="AB47" s="27" t="n">
        <f aca="false">IF(COUNT(Trigo!$E45:$Z45)=0,0,MAX(0,IF((AB$6-$E$3)&lt;1,0,IFERROR(LOOKUP(2,1/(Trigo!$E45:INDEX(Trigo!$E45:$Z45,MIN(AB$6-$E$3,22))&lt;&gt;""),Trigo!$E45:INDEX(Trigo!$E45:$Z45,MIN(AB$6-$E$3,22))),0))-IF($G$2,0,IF((AB$6-$G$3)&lt;1,0,IFERROR(LOOKUP(2,1/(Trigo!$E45:INDEX(Trigo!$E45:$Z45,MIN(AB$6-$G$3,22))&lt;&gt;""),Trigo!$E45:INDEX(Trigo!$E45:$Z45,MIN(AB$6-$G$3,22))),0)))))</f>
        <v>0</v>
      </c>
      <c r="AC47" s="27" t="n">
        <f aca="false">IF(COUNT(Trigo!$E45:$Z45)=0,0,MAX(0,IF((AC$6-$E$3)&lt;1,0,IFERROR(LOOKUP(2,1/(Trigo!$E45:INDEX(Trigo!$E45:$Z45,MIN(AC$6-$E$3,22))&lt;&gt;""),Trigo!$E45:INDEX(Trigo!$E45:$Z45,MIN(AC$6-$E$3,22))),0))-IF($G$2,0,IF((AC$6-$G$3)&lt;1,0,IFERROR(LOOKUP(2,1/(Trigo!$E45:INDEX(Trigo!$E45:$Z45,MIN(AC$6-$G$3,22))&lt;&gt;""),Trigo!$E45:INDEX(Trigo!$E45:$Z45,MIN(AC$6-$G$3,22))),0)))))</f>
        <v>0</v>
      </c>
      <c r="AD47" s="27" t="n">
        <f aca="false">IF(COUNT(Trigo!$E45:$Z45)=0,0,MAX(0,IF((AD$6-$E$3)&lt;1,0,IFERROR(LOOKUP(2,1/(Trigo!$E45:INDEX(Trigo!$E45:$Z45,MIN(AD$6-$E$3,22))&lt;&gt;""),Trigo!$E45:INDEX(Trigo!$E45:$Z45,MIN(AD$6-$E$3,22))),0))-IF($G$2,0,IF((AD$6-$G$3)&lt;1,0,IFERROR(LOOKUP(2,1/(Trigo!$E45:INDEX(Trigo!$E45:$Z45,MIN(AD$6-$G$3,22))&lt;&gt;""),Trigo!$E45:INDEX(Trigo!$E45:$Z45,MIN(AD$6-$G$3,22))),0)))))</f>
        <v>0</v>
      </c>
      <c r="AE47" s="27" t="n">
        <f aca="false">IF(COUNT(Trigo!$E45:$Z45)=0,0,MAX(0,IF((AE$6-$E$3)&lt;1,0,IFERROR(LOOKUP(2,1/(Trigo!$E45:INDEX(Trigo!$E45:$Z45,MIN(AE$6-$E$3,22))&lt;&gt;""),Trigo!$E45:INDEX(Trigo!$E45:$Z45,MIN(AE$6-$E$3,22))),0))-IF($G$2,0,IF((AE$6-$G$3)&lt;1,0,IFERROR(LOOKUP(2,1/(Trigo!$E45:INDEX(Trigo!$E45:$Z45,MIN(AE$6-$G$3,22))&lt;&gt;""),Trigo!$E45:INDEX(Trigo!$E45:$Z45,MIN(AE$6-$G$3,22))),0)))))</f>
        <v>0</v>
      </c>
      <c r="AF47" s="27" t="n">
        <f aca="false">IF(COUNT(Trigo!$E45:$Z45)=0,0,MAX(0,IF((AF$6-$E$3)&lt;1,0,IFERROR(LOOKUP(2,1/(Trigo!$E45:INDEX(Trigo!$E45:$Z45,MIN(AF$6-$E$3,22))&lt;&gt;""),Trigo!$E45:INDEX(Trigo!$E45:$Z45,MIN(AF$6-$E$3,22))),0))-IF($G$2,0,IF((AF$6-$G$3)&lt;1,0,IFERROR(LOOKUP(2,1/(Trigo!$E45:INDEX(Trigo!$E45:$Z45,MIN(AF$6-$G$3,22))&lt;&gt;""),Trigo!$E45:INDEX(Trigo!$E45:$Z45,MIN(AF$6-$G$3,22))),0)))))</f>
        <v>0</v>
      </c>
      <c r="AG47" s="27" t="n">
        <f aca="false">IF(COUNT(Trigo!$E45:$Z45)=0,0,MAX(0,IF((AG$6-$E$3)&lt;1,0,IFERROR(LOOKUP(2,1/(Trigo!$E45:INDEX(Trigo!$E45:$Z45,MIN(AG$6-$E$3,22))&lt;&gt;""),Trigo!$E45:INDEX(Trigo!$E45:$Z45,MIN(AG$6-$E$3,22))),0))-IF($G$2,0,IF((AG$6-$G$3)&lt;1,0,IFERROR(LOOKUP(2,1/(Trigo!$E45:INDEX(Trigo!$E45:$Z45,MIN(AG$6-$G$3,22))&lt;&gt;""),Trigo!$E45:INDEX(Trigo!$E45:$Z45,MIN(AG$6-$G$3,22))),0)))))</f>
        <v>0</v>
      </c>
      <c r="AH47" s="27" t="n">
        <f aca="false">IF(COUNT(Trigo!$E45:$Z45)=0,0,MAX(0,IF((AH$6-$E$3)&lt;1,0,IFERROR(LOOKUP(2,1/(Trigo!$E45:INDEX(Trigo!$E45:$Z45,MIN(AH$6-$E$3,22))&lt;&gt;""),Trigo!$E45:INDEX(Trigo!$E45:$Z45,MIN(AH$6-$E$3,22))),0))-IF($G$2,0,IF((AH$6-$G$3)&lt;1,0,IFERROR(LOOKUP(2,1/(Trigo!$E45:INDEX(Trigo!$E45:$Z45,MIN(AH$6-$G$3,22))&lt;&gt;""),Trigo!$E45:INDEX(Trigo!$E45:$Z45,MIN(AH$6-$G$3,22))),0)))))</f>
        <v>0</v>
      </c>
      <c r="AI47" s="27" t="n">
        <f aca="false">IF(COUNT(Trigo!$E45:$Z45)=0,0,MAX(0,IF((AI$6-$E$3)&lt;1,0,IFERROR(LOOKUP(2,1/(Trigo!$E45:INDEX(Trigo!$E45:$Z45,MIN(AI$6-$E$3,22))&lt;&gt;""),Trigo!$E45:INDEX(Trigo!$E45:$Z45,MIN(AI$6-$E$3,22))),0))-IF($G$2,0,IF((AI$6-$G$3)&lt;1,0,IFERROR(LOOKUP(2,1/(Trigo!$E45:INDEX(Trigo!$E45:$Z45,MIN(AI$6-$G$3,22))&lt;&gt;""),Trigo!$E45:INDEX(Trigo!$E45:$Z45,MIN(AI$6-$G$3,22))),0)))))</f>
        <v>0</v>
      </c>
      <c r="AJ47" s="27" t="n">
        <f aca="false">IF(COUNT(Trigo!$E45:$Z45)=0,0,MAX(0,IF((AJ$6-$E$3)&lt;1,0,IFERROR(LOOKUP(2,1/(Trigo!$E45:INDEX(Trigo!$E45:$Z45,MIN(AJ$6-$E$3,22))&lt;&gt;""),Trigo!$E45:INDEX(Trigo!$E45:$Z45,MIN(AJ$6-$E$3,22))),0))-IF($G$2,0,IF((AJ$6-$G$3)&lt;1,0,IFERROR(LOOKUP(2,1/(Trigo!$E45:INDEX(Trigo!$E45:$Z45,MIN(AJ$6-$G$3,22))&lt;&gt;""),Trigo!$E45:INDEX(Trigo!$E45:$Z45,MIN(AJ$6-$G$3,22))),0)))))</f>
        <v>0</v>
      </c>
      <c r="AK47" s="27" t="n">
        <f aca="false">IF(COUNT(Trigo!$E45:$Z45)=0,0,MAX(0,IF((AK$6-$E$3)&lt;1,0,IFERROR(LOOKUP(2,1/(Trigo!$E45:INDEX(Trigo!$E45:$Z45,MIN(AK$6-$E$3,22))&lt;&gt;""),Trigo!$E45:INDEX(Trigo!$E45:$Z45,MIN(AK$6-$E$3,22))),0))-IF($G$2,0,IF((AK$6-$G$3)&lt;1,0,IFERROR(LOOKUP(2,1/(Trigo!$E45:INDEX(Trigo!$E45:$Z45,MIN(AK$6-$G$3,22))&lt;&gt;""),Trigo!$E45:INDEX(Trigo!$E45:$Z45,MIN(AK$6-$G$3,22))),0)))))</f>
        <v>0</v>
      </c>
      <c r="AL47" s="27" t="n">
        <f aca="false">IF(COUNT(Trigo!$E45:$Z45)=0,0,MAX(0,IF((AL$6-$E$3)&lt;1,0,IFERROR(LOOKUP(2,1/(Trigo!$E45:INDEX(Trigo!$E45:$Z45,MIN(AL$6-$E$3,22))&lt;&gt;""),Trigo!$E45:INDEX(Trigo!$E45:$Z45,MIN(AL$6-$E$3,22))),0))-IF($G$2,0,IF((AL$6-$G$3)&lt;1,0,IFERROR(LOOKUP(2,1/(Trigo!$E45:INDEX(Trigo!$E45:$Z45,MIN(AL$6-$G$3,22))&lt;&gt;""),Trigo!$E45:INDEX(Trigo!$E45:$Z45,MIN(AL$6-$G$3,22))),0)))))</f>
        <v>0</v>
      </c>
      <c r="AM47" s="27" t="n">
        <f aca="false">IF(COUNT(Trigo!$E45:$Z45)=0,0,MAX(0,IF((AM$6-$E$3)&lt;1,0,IFERROR(LOOKUP(2,1/(Trigo!$E45:INDEX(Trigo!$E45:$Z45,MIN(AM$6-$E$3,22))&lt;&gt;""),Trigo!$E45:INDEX(Trigo!$E45:$Z45,MIN(AM$6-$E$3,22))),0))-IF($G$2,0,IF((AM$6-$G$3)&lt;1,0,IFERROR(LOOKUP(2,1/(Trigo!$E45:INDEX(Trigo!$E45:$Z45,MIN(AM$6-$G$3,22))&lt;&gt;""),Trigo!$E45:INDEX(Trigo!$E45:$Z45,MIN(AM$6-$G$3,22))),0)))))</f>
        <v>0</v>
      </c>
      <c r="AN47" s="27" t="n">
        <f aca="false">IF(COUNT(Trigo!$E45:$Z45)=0,0,MAX(0,IF((AN$6-$E$3)&lt;1,0,IFERROR(LOOKUP(2,1/(Trigo!$E45:INDEX(Trigo!$E45:$Z45,MIN(AN$6-$E$3,22))&lt;&gt;""),Trigo!$E45:INDEX(Trigo!$E45:$Z45,MIN(AN$6-$E$3,22))),0))-IF($G$2,0,IF((AN$6-$G$3)&lt;1,0,IFERROR(LOOKUP(2,1/(Trigo!$E45:INDEX(Trigo!$E45:$Z45,MIN(AN$6-$G$3,22))&lt;&gt;""),Trigo!$E45:INDEX(Trigo!$E45:$Z45,MIN(AN$6-$G$3,22))),0)))))</f>
        <v>0</v>
      </c>
      <c r="AO47" s="27" t="n">
        <f aca="false">IF(COUNT(Trigo!$E45:$Z45)=0,0,MAX(0,IF((AO$6-$E$3)&lt;1,0,IFERROR(LOOKUP(2,1/(Trigo!$E45:INDEX(Trigo!$E45:$Z45,MIN(AO$6-$E$3,22))&lt;&gt;""),Trigo!$E45:INDEX(Trigo!$E45:$Z45,MIN(AO$6-$E$3,22))),0))-IF($G$2,0,IF((AO$6-$G$3)&lt;1,0,IFERROR(LOOKUP(2,1/(Trigo!$E45:INDEX(Trigo!$E45:$Z45,MIN(AO$6-$G$3,22))&lt;&gt;""),Trigo!$E45:INDEX(Trigo!$E45:$Z45,MIN(AO$6-$G$3,22))),0)))))</f>
        <v>0</v>
      </c>
      <c r="AP47" s="27" t="n">
        <f aca="false">IF(COUNT(Trigo!$E45:$Z45)=0,0,MAX(0,IF((AP$6-$E$3)&lt;1,0,IFERROR(LOOKUP(2,1/(Trigo!$E45:INDEX(Trigo!$E45:$Z45,MIN(AP$6-$E$3,22))&lt;&gt;""),Trigo!$E45:INDEX(Trigo!$E45:$Z45,MIN(AP$6-$E$3,22))),0))-IF($G$2,0,IF((AP$6-$G$3)&lt;1,0,IFERROR(LOOKUP(2,1/(Trigo!$E45:INDEX(Trigo!$E45:$Z45,MIN(AP$6-$G$3,22))&lt;&gt;""),Trigo!$E45:INDEX(Trigo!$E45:$Z45,MIN(AP$6-$G$3,22))),0)))))</f>
        <v>0</v>
      </c>
      <c r="AQ47" s="27" t="n">
        <f aca="false">IF(COUNT(Trigo!$E45:$Z45)=0,0,MAX(0,IF((AQ$6-$E$3)&lt;1,0,IFERROR(LOOKUP(2,1/(Trigo!$E45:INDEX(Trigo!$E45:$Z45,MIN(AQ$6-$E$3,22))&lt;&gt;""),Trigo!$E45:INDEX(Trigo!$E45:$Z45,MIN(AQ$6-$E$3,22))),0))-IF($G$2,0,IF((AQ$6-$G$3)&lt;1,0,IFERROR(LOOKUP(2,1/(Trigo!$E45:INDEX(Trigo!$E45:$Z45,MIN(AQ$6-$G$3,22))&lt;&gt;""),Trigo!$E45:INDEX(Trigo!$E45:$Z45,MIN(AQ$6-$G$3,22))),0)))))</f>
        <v>0</v>
      </c>
      <c r="AR47" s="27" t="n">
        <f aca="false">IF(COUNT(Trigo!$E45:$Z45)=0,0,MAX(0,IF((AR$6-$E$3)&lt;1,0,IFERROR(LOOKUP(2,1/(Trigo!$E45:INDEX(Trigo!$E45:$Z45,MIN(AR$6-$E$3,22))&lt;&gt;""),Trigo!$E45:INDEX(Trigo!$E45:$Z45,MIN(AR$6-$E$3,22))),0))-IF($G$2,0,IF((AR$6-$G$3)&lt;1,0,IFERROR(LOOKUP(2,1/(Trigo!$E45:INDEX(Trigo!$E45:$Z45,MIN(AR$6-$G$3,22))&lt;&gt;""),Trigo!$E45:INDEX(Trigo!$E45:$Z45,MIN(AR$6-$G$3,22))),0)))))</f>
        <v>0</v>
      </c>
      <c r="AS47" s="27" t="n">
        <f aca="false">IF(COUNT(Trigo!$E45:$Z45)=0,0,MAX(0,IF((AS$6-$E$3)&lt;1,0,IFERROR(LOOKUP(2,1/(Trigo!$E45:INDEX(Trigo!$E45:$Z45,MIN(AS$6-$E$3,22))&lt;&gt;""),Trigo!$E45:INDEX(Trigo!$E45:$Z45,MIN(AS$6-$E$3,22))),0))-IF($G$2,0,IF((AS$6-$G$3)&lt;1,0,IFERROR(LOOKUP(2,1/(Trigo!$E45:INDEX(Trigo!$E45:$Z45,MIN(AS$6-$G$3,22))&lt;&gt;""),Trigo!$E45:INDEX(Trigo!$E45:$Z45,MIN(AS$6-$G$3,22))),0)))))</f>
        <v>0</v>
      </c>
      <c r="AT47" s="27" t="n">
        <f aca="false">IF(COUNT(Trigo!$E45:$Z45)=0,0,MAX(0,IF((AT$6-$E$3)&lt;1,0,IFERROR(LOOKUP(2,1/(Trigo!$E45:INDEX(Trigo!$E45:$Z45,MIN(AT$6-$E$3,22))&lt;&gt;""),Trigo!$E45:INDEX(Trigo!$E45:$Z45,MIN(AT$6-$E$3,22))),0))-IF($G$2,0,IF((AT$6-$G$3)&lt;1,0,IFERROR(LOOKUP(2,1/(Trigo!$E45:INDEX(Trigo!$E45:$Z45,MIN(AT$6-$G$3,22))&lt;&gt;""),Trigo!$E45:INDEX(Trigo!$E45:$Z45,MIN(AT$6-$G$3,22))),0)))))</f>
        <v>0</v>
      </c>
      <c r="AU47" s="27" t="n">
        <f aca="false">IF(COUNT(Trigo!$E45:$Z45)=0,0,MAX(0,IF((AU$6-$E$3)&lt;1,0,IFERROR(LOOKUP(2,1/(Trigo!$E45:INDEX(Trigo!$E45:$Z45,MIN(AU$6-$E$3,22))&lt;&gt;""),Trigo!$E45:INDEX(Trigo!$E45:$Z45,MIN(AU$6-$E$3,22))),0))-IF($G$2,0,IF((AU$6-$G$3)&lt;1,0,IFERROR(LOOKUP(2,1/(Trigo!$E45:INDEX(Trigo!$E45:$Z45,MIN(AU$6-$G$3,22))&lt;&gt;""),Trigo!$E45:INDEX(Trigo!$E45:$Z45,MIN(AU$6-$G$3,22))),0)))))</f>
        <v>0</v>
      </c>
      <c r="AV47" s="27" t="n">
        <f aca="false">IF(COUNT(Trigo!$E45:$Z45)=0,0,MAX(0,IF((AV$6-$E$3)&lt;1,0,IFERROR(LOOKUP(2,1/(Trigo!$E45:INDEX(Trigo!$E45:$Z45,MIN(AV$6-$E$3,22))&lt;&gt;""),Trigo!$E45:INDEX(Trigo!$E45:$Z45,MIN(AV$6-$E$3,22))),0))-IF($G$2,0,IF((AV$6-$G$3)&lt;1,0,IFERROR(LOOKUP(2,1/(Trigo!$E45:INDEX(Trigo!$E45:$Z45,MIN(AV$6-$G$3,22))&lt;&gt;""),Trigo!$E45:INDEX(Trigo!$E45:$Z45,MIN(AV$6-$G$3,22))),0)))))</f>
        <v>0</v>
      </c>
      <c r="AW47" s="27" t="n">
        <f aca="false">IF(COUNT(Trigo!$E45:$Z45)=0,0,MAX(0,IF((AW$6-$E$3)&lt;1,0,IFERROR(LOOKUP(2,1/(Trigo!$E45:INDEX(Trigo!$E45:$Z45,MIN(AW$6-$E$3,22))&lt;&gt;""),Trigo!$E45:INDEX(Trigo!$E45:$Z45,MIN(AW$6-$E$3,22))),0))-IF($G$2,0,IF((AW$6-$G$3)&lt;1,0,IFERROR(LOOKUP(2,1/(Trigo!$E45:INDEX(Trigo!$E45:$Z45,MIN(AW$6-$G$3,22))&lt;&gt;""),Trigo!$E45:INDEX(Trigo!$E45:$Z45,MIN(AW$6-$G$3,22))),0)))))</f>
        <v>0</v>
      </c>
      <c r="AX47" s="27" t="n">
        <f aca="false">IF(COUNT(Trigo!$E45:$Z45)=0,0,MAX(0,IF((AX$6-$E$3)&lt;1,0,IFERROR(LOOKUP(2,1/(Trigo!$E45:INDEX(Trigo!$E45:$Z45,MIN(AX$6-$E$3,22))&lt;&gt;""),Trigo!$E45:INDEX(Trigo!$E45:$Z45,MIN(AX$6-$E$3,22))),0))-IF($G$2,0,IF((AX$6-$G$3)&lt;1,0,IFERROR(LOOKUP(2,1/(Trigo!$E45:INDEX(Trigo!$E45:$Z45,MIN(AX$6-$G$3,22))&lt;&gt;""),Trigo!$E45:INDEX(Trigo!$E45:$Z45,MIN(AX$6-$G$3,22))),0)))))</f>
        <v>0</v>
      </c>
      <c r="AY47" s="27" t="n">
        <f aca="false">IF(COUNT(Trigo!$E45:$Z45)=0,0,MAX(0,IF((AY$6-$E$3)&lt;1,0,IFERROR(LOOKUP(2,1/(Trigo!$E45:INDEX(Trigo!$E45:$Z45,MIN(AY$6-$E$3,22))&lt;&gt;""),Trigo!$E45:INDEX(Trigo!$E45:$Z45,MIN(AY$6-$E$3,22))),0))-IF($G$2,0,IF((AY$6-$G$3)&lt;1,0,IFERROR(LOOKUP(2,1/(Trigo!$E45:INDEX(Trigo!$E45:$Z45,MIN(AY$6-$G$3,22))&lt;&gt;""),Trigo!$E45:INDEX(Trigo!$E45:$Z45,MIN(AY$6-$G$3,22))),0)))))</f>
        <v>0</v>
      </c>
      <c r="AZ47" s="27" t="n">
        <f aca="false">IF(COUNT(Trigo!$E45:$Z45)=0,0,MAX(0,IF((AZ$6-$E$3)&lt;1,0,IFERROR(LOOKUP(2,1/(Trigo!$E45:INDEX(Trigo!$E45:$Z45,MIN(AZ$6-$E$3,22))&lt;&gt;""),Trigo!$E45:INDEX(Trigo!$E45:$Z45,MIN(AZ$6-$E$3,22))),0))-IF($G$2,0,IF((AZ$6-$G$3)&lt;1,0,IFERROR(LOOKUP(2,1/(Trigo!$E45:INDEX(Trigo!$E45:$Z45,MIN(AZ$6-$G$3,22))&lt;&gt;""),Trigo!$E45:INDEX(Trigo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IF(COUNT(Trigo!$E46:$Z46)&gt;0,N(Trigo!$D46),0)</f>
        <v>0</v>
      </c>
      <c r="E48" s="27" t="n">
        <f aca="false">IF(COUNT(Trigo!$E46:$Z46)=0,0,MAX(0,IF((E$6-$E$3)&lt;1,0,IFERROR(LOOKUP(2,1/(Trigo!$E46:INDEX(Trigo!$E46:$Z46,MIN(E$6-$E$3,22))&lt;&gt;""),Trigo!$E46:INDEX(Trigo!$E46:$Z46,MIN(E$6-$E$3,22))),0))-IF($G$2,0,IF((E$6-$G$3)&lt;1,0,IFERROR(LOOKUP(2,1/(Trigo!$E46:INDEX(Trigo!$E46:$Z46,MIN(E$6-$G$3,22))&lt;&gt;""),Trigo!$E46:INDEX(Trigo!$E46:$Z46,MIN(E$6-$G$3,22))),0)))))</f>
        <v>0</v>
      </c>
      <c r="F48" s="27" t="n">
        <f aca="false">IF(COUNT(Trigo!$E46:$Z46)=0,0,MAX(0,IF((F$6-$E$3)&lt;1,0,IFERROR(LOOKUP(2,1/(Trigo!$E46:INDEX(Trigo!$E46:$Z46,MIN(F$6-$E$3,22))&lt;&gt;""),Trigo!$E46:INDEX(Trigo!$E46:$Z46,MIN(F$6-$E$3,22))),0))-IF($G$2,0,IF((F$6-$G$3)&lt;1,0,IFERROR(LOOKUP(2,1/(Trigo!$E46:INDEX(Trigo!$E46:$Z46,MIN(F$6-$G$3,22))&lt;&gt;""),Trigo!$E46:INDEX(Trigo!$E46:$Z46,MIN(F$6-$G$3,22))),0)))))</f>
        <v>0</v>
      </c>
      <c r="G48" s="27" t="n">
        <f aca="false">IF(COUNT(Trigo!$E46:$Z46)=0,0,MAX(0,IF((G$6-$E$3)&lt;1,0,IFERROR(LOOKUP(2,1/(Trigo!$E46:INDEX(Trigo!$E46:$Z46,MIN(G$6-$E$3,22))&lt;&gt;""),Trigo!$E46:INDEX(Trigo!$E46:$Z46,MIN(G$6-$E$3,22))),0))-IF($G$2,0,IF((G$6-$G$3)&lt;1,0,IFERROR(LOOKUP(2,1/(Trigo!$E46:INDEX(Trigo!$E46:$Z46,MIN(G$6-$G$3,22))&lt;&gt;""),Trigo!$E46:INDEX(Trigo!$E46:$Z46,MIN(G$6-$G$3,22))),0)))))</f>
        <v>0</v>
      </c>
      <c r="H48" s="27" t="n">
        <f aca="false">IF(COUNT(Trigo!$E46:$Z46)=0,0,MAX(0,IF((H$6-$E$3)&lt;1,0,IFERROR(LOOKUP(2,1/(Trigo!$E46:INDEX(Trigo!$E46:$Z46,MIN(H$6-$E$3,22))&lt;&gt;""),Trigo!$E46:INDEX(Trigo!$E46:$Z46,MIN(H$6-$E$3,22))),0))-IF($G$2,0,IF((H$6-$G$3)&lt;1,0,IFERROR(LOOKUP(2,1/(Trigo!$E46:INDEX(Trigo!$E46:$Z46,MIN(H$6-$G$3,22))&lt;&gt;""),Trigo!$E46:INDEX(Trigo!$E46:$Z46,MIN(H$6-$G$3,22))),0)))))</f>
        <v>0</v>
      </c>
      <c r="I48" s="27" t="n">
        <f aca="false">IF(COUNT(Trigo!$E46:$Z46)=0,0,MAX(0,IF((I$6-$E$3)&lt;1,0,IFERROR(LOOKUP(2,1/(Trigo!$E46:INDEX(Trigo!$E46:$Z46,MIN(I$6-$E$3,22))&lt;&gt;""),Trigo!$E46:INDEX(Trigo!$E46:$Z46,MIN(I$6-$E$3,22))),0))-IF($G$2,0,IF((I$6-$G$3)&lt;1,0,IFERROR(LOOKUP(2,1/(Trigo!$E46:INDEX(Trigo!$E46:$Z46,MIN(I$6-$G$3,22))&lt;&gt;""),Trigo!$E46:INDEX(Trigo!$E46:$Z46,MIN(I$6-$G$3,22))),0)))))</f>
        <v>0</v>
      </c>
      <c r="J48" s="27" t="n">
        <f aca="false">IF(COUNT(Trigo!$E46:$Z46)=0,0,MAX(0,IF((J$6-$E$3)&lt;1,0,IFERROR(LOOKUP(2,1/(Trigo!$E46:INDEX(Trigo!$E46:$Z46,MIN(J$6-$E$3,22))&lt;&gt;""),Trigo!$E46:INDEX(Trigo!$E46:$Z46,MIN(J$6-$E$3,22))),0))-IF($G$2,0,IF((J$6-$G$3)&lt;1,0,IFERROR(LOOKUP(2,1/(Trigo!$E46:INDEX(Trigo!$E46:$Z46,MIN(J$6-$G$3,22))&lt;&gt;""),Trigo!$E46:INDEX(Trigo!$E46:$Z46,MIN(J$6-$G$3,22))),0)))))</f>
        <v>0</v>
      </c>
      <c r="K48" s="27" t="n">
        <f aca="false">IF(COUNT(Trigo!$E46:$Z46)=0,0,MAX(0,IF((K$6-$E$3)&lt;1,0,IFERROR(LOOKUP(2,1/(Trigo!$E46:INDEX(Trigo!$E46:$Z46,MIN(K$6-$E$3,22))&lt;&gt;""),Trigo!$E46:INDEX(Trigo!$E46:$Z46,MIN(K$6-$E$3,22))),0))-IF($G$2,0,IF((K$6-$G$3)&lt;1,0,IFERROR(LOOKUP(2,1/(Trigo!$E46:INDEX(Trigo!$E46:$Z46,MIN(K$6-$G$3,22))&lt;&gt;""),Trigo!$E46:INDEX(Trigo!$E46:$Z46,MIN(K$6-$G$3,22))),0)))))</f>
        <v>0</v>
      </c>
      <c r="L48" s="27" t="n">
        <f aca="false">IF(COUNT(Trigo!$E46:$Z46)=0,0,MAX(0,IF((L$6-$E$3)&lt;1,0,IFERROR(LOOKUP(2,1/(Trigo!$E46:INDEX(Trigo!$E46:$Z46,MIN(L$6-$E$3,22))&lt;&gt;""),Trigo!$E46:INDEX(Trigo!$E46:$Z46,MIN(L$6-$E$3,22))),0))-IF($G$2,0,IF((L$6-$G$3)&lt;1,0,IFERROR(LOOKUP(2,1/(Trigo!$E46:INDEX(Trigo!$E46:$Z46,MIN(L$6-$G$3,22))&lt;&gt;""),Trigo!$E46:INDEX(Trigo!$E46:$Z46,MIN(L$6-$G$3,22))),0)))))</f>
        <v>0</v>
      </c>
      <c r="M48" s="27" t="n">
        <f aca="false">IF(COUNT(Trigo!$E46:$Z46)=0,0,MAX(0,IF((M$6-$E$3)&lt;1,0,IFERROR(LOOKUP(2,1/(Trigo!$E46:INDEX(Trigo!$E46:$Z46,MIN(M$6-$E$3,22))&lt;&gt;""),Trigo!$E46:INDEX(Trigo!$E46:$Z46,MIN(M$6-$E$3,22))),0))-IF($G$2,0,IF((M$6-$G$3)&lt;1,0,IFERROR(LOOKUP(2,1/(Trigo!$E46:INDEX(Trigo!$E46:$Z46,MIN(M$6-$G$3,22))&lt;&gt;""),Trigo!$E46:INDEX(Trigo!$E46:$Z46,MIN(M$6-$G$3,22))),0)))))</f>
        <v>0</v>
      </c>
      <c r="N48" s="27" t="n">
        <f aca="false">IF(COUNT(Trigo!$E46:$Z46)=0,0,MAX(0,IF((N$6-$E$3)&lt;1,0,IFERROR(LOOKUP(2,1/(Trigo!$E46:INDEX(Trigo!$E46:$Z46,MIN(N$6-$E$3,22))&lt;&gt;""),Trigo!$E46:INDEX(Trigo!$E46:$Z46,MIN(N$6-$E$3,22))),0))-IF($G$2,0,IF((N$6-$G$3)&lt;1,0,IFERROR(LOOKUP(2,1/(Trigo!$E46:INDEX(Trigo!$E46:$Z46,MIN(N$6-$G$3,22))&lt;&gt;""),Trigo!$E46:INDEX(Trigo!$E46:$Z46,MIN(N$6-$G$3,22))),0)))))</f>
        <v>0</v>
      </c>
      <c r="O48" s="27" t="n">
        <f aca="false">IF(COUNT(Trigo!$E46:$Z46)=0,0,MAX(0,IF((O$6-$E$3)&lt;1,0,IFERROR(LOOKUP(2,1/(Trigo!$E46:INDEX(Trigo!$E46:$Z46,MIN(O$6-$E$3,22))&lt;&gt;""),Trigo!$E46:INDEX(Trigo!$E46:$Z46,MIN(O$6-$E$3,22))),0))-IF($G$2,0,IF((O$6-$G$3)&lt;1,0,IFERROR(LOOKUP(2,1/(Trigo!$E46:INDEX(Trigo!$E46:$Z46,MIN(O$6-$G$3,22))&lt;&gt;""),Trigo!$E46:INDEX(Trigo!$E46:$Z46,MIN(O$6-$G$3,22))),0)))))</f>
        <v>0</v>
      </c>
      <c r="P48" s="27" t="n">
        <f aca="false">IF(COUNT(Trigo!$E46:$Z46)=0,0,MAX(0,IF((P$6-$E$3)&lt;1,0,IFERROR(LOOKUP(2,1/(Trigo!$E46:INDEX(Trigo!$E46:$Z46,MIN(P$6-$E$3,22))&lt;&gt;""),Trigo!$E46:INDEX(Trigo!$E46:$Z46,MIN(P$6-$E$3,22))),0))-IF($G$2,0,IF((P$6-$G$3)&lt;1,0,IFERROR(LOOKUP(2,1/(Trigo!$E46:INDEX(Trigo!$E46:$Z46,MIN(P$6-$G$3,22))&lt;&gt;""),Trigo!$E46:INDEX(Trigo!$E46:$Z46,MIN(P$6-$G$3,22))),0)))))</f>
        <v>0</v>
      </c>
      <c r="Q48" s="27" t="n">
        <f aca="false">IF(COUNT(Trigo!$E46:$Z46)=0,0,MAX(0,IF((Q$6-$E$3)&lt;1,0,IFERROR(LOOKUP(2,1/(Trigo!$E46:INDEX(Trigo!$E46:$Z46,MIN(Q$6-$E$3,22))&lt;&gt;""),Trigo!$E46:INDEX(Trigo!$E46:$Z46,MIN(Q$6-$E$3,22))),0))-IF($G$2,0,IF((Q$6-$G$3)&lt;1,0,IFERROR(LOOKUP(2,1/(Trigo!$E46:INDEX(Trigo!$E46:$Z46,MIN(Q$6-$G$3,22))&lt;&gt;""),Trigo!$E46:INDEX(Trigo!$E46:$Z46,MIN(Q$6-$G$3,22))),0)))))</f>
        <v>0</v>
      </c>
      <c r="R48" s="27" t="n">
        <f aca="false">IF(COUNT(Trigo!$E46:$Z46)=0,0,MAX(0,IF((R$6-$E$3)&lt;1,0,IFERROR(LOOKUP(2,1/(Trigo!$E46:INDEX(Trigo!$E46:$Z46,MIN(R$6-$E$3,22))&lt;&gt;""),Trigo!$E46:INDEX(Trigo!$E46:$Z46,MIN(R$6-$E$3,22))),0))-IF($G$2,0,IF((R$6-$G$3)&lt;1,0,IFERROR(LOOKUP(2,1/(Trigo!$E46:INDEX(Trigo!$E46:$Z46,MIN(R$6-$G$3,22))&lt;&gt;""),Trigo!$E46:INDEX(Trigo!$E46:$Z46,MIN(R$6-$G$3,22))),0)))))</f>
        <v>0</v>
      </c>
      <c r="S48" s="27" t="n">
        <f aca="false">IF(COUNT(Trigo!$E46:$Z46)=0,0,MAX(0,IF((S$6-$E$3)&lt;1,0,IFERROR(LOOKUP(2,1/(Trigo!$E46:INDEX(Trigo!$E46:$Z46,MIN(S$6-$E$3,22))&lt;&gt;""),Trigo!$E46:INDEX(Trigo!$E46:$Z46,MIN(S$6-$E$3,22))),0))-IF($G$2,0,IF((S$6-$G$3)&lt;1,0,IFERROR(LOOKUP(2,1/(Trigo!$E46:INDEX(Trigo!$E46:$Z46,MIN(S$6-$G$3,22))&lt;&gt;""),Trigo!$E46:INDEX(Trigo!$E46:$Z46,MIN(S$6-$G$3,22))),0)))))</f>
        <v>0</v>
      </c>
      <c r="T48" s="27" t="n">
        <f aca="false">IF(COUNT(Trigo!$E46:$Z46)=0,0,MAX(0,IF((T$6-$E$3)&lt;1,0,IFERROR(LOOKUP(2,1/(Trigo!$E46:INDEX(Trigo!$E46:$Z46,MIN(T$6-$E$3,22))&lt;&gt;""),Trigo!$E46:INDEX(Trigo!$E46:$Z46,MIN(T$6-$E$3,22))),0))-IF($G$2,0,IF((T$6-$G$3)&lt;1,0,IFERROR(LOOKUP(2,1/(Trigo!$E46:INDEX(Trigo!$E46:$Z46,MIN(T$6-$G$3,22))&lt;&gt;""),Trigo!$E46:INDEX(Trigo!$E46:$Z46,MIN(T$6-$G$3,22))),0)))))</f>
        <v>0</v>
      </c>
      <c r="U48" s="27" t="n">
        <f aca="false">IF(COUNT(Trigo!$E46:$Z46)=0,0,MAX(0,IF((U$6-$E$3)&lt;1,0,IFERROR(LOOKUP(2,1/(Trigo!$E46:INDEX(Trigo!$E46:$Z46,MIN(U$6-$E$3,22))&lt;&gt;""),Trigo!$E46:INDEX(Trigo!$E46:$Z46,MIN(U$6-$E$3,22))),0))-IF($G$2,0,IF((U$6-$G$3)&lt;1,0,IFERROR(LOOKUP(2,1/(Trigo!$E46:INDEX(Trigo!$E46:$Z46,MIN(U$6-$G$3,22))&lt;&gt;""),Trigo!$E46:INDEX(Trigo!$E46:$Z46,MIN(U$6-$G$3,22))),0)))))</f>
        <v>0</v>
      </c>
      <c r="V48" s="27" t="n">
        <f aca="false">IF(COUNT(Trigo!$E46:$Z46)=0,0,MAX(0,IF((V$6-$E$3)&lt;1,0,IFERROR(LOOKUP(2,1/(Trigo!$E46:INDEX(Trigo!$E46:$Z46,MIN(V$6-$E$3,22))&lt;&gt;""),Trigo!$E46:INDEX(Trigo!$E46:$Z46,MIN(V$6-$E$3,22))),0))-IF($G$2,0,IF((V$6-$G$3)&lt;1,0,IFERROR(LOOKUP(2,1/(Trigo!$E46:INDEX(Trigo!$E46:$Z46,MIN(V$6-$G$3,22))&lt;&gt;""),Trigo!$E46:INDEX(Trigo!$E46:$Z46,MIN(V$6-$G$3,22))),0)))))</f>
        <v>0</v>
      </c>
      <c r="W48" s="27" t="n">
        <f aca="false">IF(COUNT(Trigo!$E46:$Z46)=0,0,MAX(0,IF((W$6-$E$3)&lt;1,0,IFERROR(LOOKUP(2,1/(Trigo!$E46:INDEX(Trigo!$E46:$Z46,MIN(W$6-$E$3,22))&lt;&gt;""),Trigo!$E46:INDEX(Trigo!$E46:$Z46,MIN(W$6-$E$3,22))),0))-IF($G$2,0,IF((W$6-$G$3)&lt;1,0,IFERROR(LOOKUP(2,1/(Trigo!$E46:INDEX(Trigo!$E46:$Z46,MIN(W$6-$G$3,22))&lt;&gt;""),Trigo!$E46:INDEX(Trigo!$E46:$Z46,MIN(W$6-$G$3,22))),0)))))</f>
        <v>0</v>
      </c>
      <c r="X48" s="27" t="n">
        <f aca="false">IF(COUNT(Trigo!$E46:$Z46)=0,0,MAX(0,IF((X$6-$E$3)&lt;1,0,IFERROR(LOOKUP(2,1/(Trigo!$E46:INDEX(Trigo!$E46:$Z46,MIN(X$6-$E$3,22))&lt;&gt;""),Trigo!$E46:INDEX(Trigo!$E46:$Z46,MIN(X$6-$E$3,22))),0))-IF($G$2,0,IF((X$6-$G$3)&lt;1,0,IFERROR(LOOKUP(2,1/(Trigo!$E46:INDEX(Trigo!$E46:$Z46,MIN(X$6-$G$3,22))&lt;&gt;""),Trigo!$E46:INDEX(Trigo!$E46:$Z46,MIN(X$6-$G$3,22))),0)))))</f>
        <v>0</v>
      </c>
      <c r="Y48" s="27" t="n">
        <f aca="false">IF(COUNT(Trigo!$E46:$Z46)=0,0,MAX(0,IF((Y$6-$E$3)&lt;1,0,IFERROR(LOOKUP(2,1/(Trigo!$E46:INDEX(Trigo!$E46:$Z46,MIN(Y$6-$E$3,22))&lt;&gt;""),Trigo!$E46:INDEX(Trigo!$E46:$Z46,MIN(Y$6-$E$3,22))),0))-IF($G$2,0,IF((Y$6-$G$3)&lt;1,0,IFERROR(LOOKUP(2,1/(Trigo!$E46:INDEX(Trigo!$E46:$Z46,MIN(Y$6-$G$3,22))&lt;&gt;""),Trigo!$E46:INDEX(Trigo!$E46:$Z46,MIN(Y$6-$G$3,22))),0)))))</f>
        <v>0</v>
      </c>
      <c r="Z48" s="27" t="n">
        <f aca="false">IF(COUNT(Trigo!$E46:$Z46)=0,0,MAX(0,IF((Z$6-$E$3)&lt;1,0,IFERROR(LOOKUP(2,1/(Trigo!$E46:INDEX(Trigo!$E46:$Z46,MIN(Z$6-$E$3,22))&lt;&gt;""),Trigo!$E46:INDEX(Trigo!$E46:$Z46,MIN(Z$6-$E$3,22))),0))-IF($G$2,0,IF((Z$6-$G$3)&lt;1,0,IFERROR(LOOKUP(2,1/(Trigo!$E46:INDEX(Trigo!$E46:$Z46,MIN(Z$6-$G$3,22))&lt;&gt;""),Trigo!$E46:INDEX(Trigo!$E46:$Z46,MIN(Z$6-$G$3,22))),0)))))</f>
        <v>0</v>
      </c>
      <c r="AA48" s="27" t="n">
        <f aca="false">IF(COUNT(Trigo!$E46:$Z46)=0,0,MAX(0,IF((AA$6-$E$3)&lt;1,0,IFERROR(LOOKUP(2,1/(Trigo!$E46:INDEX(Trigo!$E46:$Z46,MIN(AA$6-$E$3,22))&lt;&gt;""),Trigo!$E46:INDEX(Trigo!$E46:$Z46,MIN(AA$6-$E$3,22))),0))-IF($G$2,0,IF((AA$6-$G$3)&lt;1,0,IFERROR(LOOKUP(2,1/(Trigo!$E46:INDEX(Trigo!$E46:$Z46,MIN(AA$6-$G$3,22))&lt;&gt;""),Trigo!$E46:INDEX(Trigo!$E46:$Z46,MIN(AA$6-$G$3,22))),0)))))</f>
        <v>0</v>
      </c>
      <c r="AB48" s="27" t="n">
        <f aca="false">IF(COUNT(Trigo!$E46:$Z46)=0,0,MAX(0,IF((AB$6-$E$3)&lt;1,0,IFERROR(LOOKUP(2,1/(Trigo!$E46:INDEX(Trigo!$E46:$Z46,MIN(AB$6-$E$3,22))&lt;&gt;""),Trigo!$E46:INDEX(Trigo!$E46:$Z46,MIN(AB$6-$E$3,22))),0))-IF($G$2,0,IF((AB$6-$G$3)&lt;1,0,IFERROR(LOOKUP(2,1/(Trigo!$E46:INDEX(Trigo!$E46:$Z46,MIN(AB$6-$G$3,22))&lt;&gt;""),Trigo!$E46:INDEX(Trigo!$E46:$Z46,MIN(AB$6-$G$3,22))),0)))))</f>
        <v>0</v>
      </c>
      <c r="AC48" s="27" t="n">
        <f aca="false">IF(COUNT(Trigo!$E46:$Z46)=0,0,MAX(0,IF((AC$6-$E$3)&lt;1,0,IFERROR(LOOKUP(2,1/(Trigo!$E46:INDEX(Trigo!$E46:$Z46,MIN(AC$6-$E$3,22))&lt;&gt;""),Trigo!$E46:INDEX(Trigo!$E46:$Z46,MIN(AC$6-$E$3,22))),0))-IF($G$2,0,IF((AC$6-$G$3)&lt;1,0,IFERROR(LOOKUP(2,1/(Trigo!$E46:INDEX(Trigo!$E46:$Z46,MIN(AC$6-$G$3,22))&lt;&gt;""),Trigo!$E46:INDEX(Trigo!$E46:$Z46,MIN(AC$6-$G$3,22))),0)))))</f>
        <v>0</v>
      </c>
      <c r="AD48" s="27" t="n">
        <f aca="false">IF(COUNT(Trigo!$E46:$Z46)=0,0,MAX(0,IF((AD$6-$E$3)&lt;1,0,IFERROR(LOOKUP(2,1/(Trigo!$E46:INDEX(Trigo!$E46:$Z46,MIN(AD$6-$E$3,22))&lt;&gt;""),Trigo!$E46:INDEX(Trigo!$E46:$Z46,MIN(AD$6-$E$3,22))),0))-IF($G$2,0,IF((AD$6-$G$3)&lt;1,0,IFERROR(LOOKUP(2,1/(Trigo!$E46:INDEX(Trigo!$E46:$Z46,MIN(AD$6-$G$3,22))&lt;&gt;""),Trigo!$E46:INDEX(Trigo!$E46:$Z46,MIN(AD$6-$G$3,22))),0)))))</f>
        <v>0</v>
      </c>
      <c r="AE48" s="27" t="n">
        <f aca="false">IF(COUNT(Trigo!$E46:$Z46)=0,0,MAX(0,IF((AE$6-$E$3)&lt;1,0,IFERROR(LOOKUP(2,1/(Trigo!$E46:INDEX(Trigo!$E46:$Z46,MIN(AE$6-$E$3,22))&lt;&gt;""),Trigo!$E46:INDEX(Trigo!$E46:$Z46,MIN(AE$6-$E$3,22))),0))-IF($G$2,0,IF((AE$6-$G$3)&lt;1,0,IFERROR(LOOKUP(2,1/(Trigo!$E46:INDEX(Trigo!$E46:$Z46,MIN(AE$6-$G$3,22))&lt;&gt;""),Trigo!$E46:INDEX(Trigo!$E46:$Z46,MIN(AE$6-$G$3,22))),0)))))</f>
        <v>0</v>
      </c>
      <c r="AF48" s="27" t="n">
        <f aca="false">IF(COUNT(Trigo!$E46:$Z46)=0,0,MAX(0,IF((AF$6-$E$3)&lt;1,0,IFERROR(LOOKUP(2,1/(Trigo!$E46:INDEX(Trigo!$E46:$Z46,MIN(AF$6-$E$3,22))&lt;&gt;""),Trigo!$E46:INDEX(Trigo!$E46:$Z46,MIN(AF$6-$E$3,22))),0))-IF($G$2,0,IF((AF$6-$G$3)&lt;1,0,IFERROR(LOOKUP(2,1/(Trigo!$E46:INDEX(Trigo!$E46:$Z46,MIN(AF$6-$G$3,22))&lt;&gt;""),Trigo!$E46:INDEX(Trigo!$E46:$Z46,MIN(AF$6-$G$3,22))),0)))))</f>
        <v>0</v>
      </c>
      <c r="AG48" s="27" t="n">
        <f aca="false">IF(COUNT(Trigo!$E46:$Z46)=0,0,MAX(0,IF((AG$6-$E$3)&lt;1,0,IFERROR(LOOKUP(2,1/(Trigo!$E46:INDEX(Trigo!$E46:$Z46,MIN(AG$6-$E$3,22))&lt;&gt;""),Trigo!$E46:INDEX(Trigo!$E46:$Z46,MIN(AG$6-$E$3,22))),0))-IF($G$2,0,IF((AG$6-$G$3)&lt;1,0,IFERROR(LOOKUP(2,1/(Trigo!$E46:INDEX(Trigo!$E46:$Z46,MIN(AG$6-$G$3,22))&lt;&gt;""),Trigo!$E46:INDEX(Trigo!$E46:$Z46,MIN(AG$6-$G$3,22))),0)))))</f>
        <v>0</v>
      </c>
      <c r="AH48" s="27" t="n">
        <f aca="false">IF(COUNT(Trigo!$E46:$Z46)=0,0,MAX(0,IF((AH$6-$E$3)&lt;1,0,IFERROR(LOOKUP(2,1/(Trigo!$E46:INDEX(Trigo!$E46:$Z46,MIN(AH$6-$E$3,22))&lt;&gt;""),Trigo!$E46:INDEX(Trigo!$E46:$Z46,MIN(AH$6-$E$3,22))),0))-IF($G$2,0,IF((AH$6-$G$3)&lt;1,0,IFERROR(LOOKUP(2,1/(Trigo!$E46:INDEX(Trigo!$E46:$Z46,MIN(AH$6-$G$3,22))&lt;&gt;""),Trigo!$E46:INDEX(Trigo!$E46:$Z46,MIN(AH$6-$G$3,22))),0)))))</f>
        <v>0</v>
      </c>
      <c r="AI48" s="27" t="n">
        <f aca="false">IF(COUNT(Trigo!$E46:$Z46)=0,0,MAX(0,IF((AI$6-$E$3)&lt;1,0,IFERROR(LOOKUP(2,1/(Trigo!$E46:INDEX(Trigo!$E46:$Z46,MIN(AI$6-$E$3,22))&lt;&gt;""),Trigo!$E46:INDEX(Trigo!$E46:$Z46,MIN(AI$6-$E$3,22))),0))-IF($G$2,0,IF((AI$6-$G$3)&lt;1,0,IFERROR(LOOKUP(2,1/(Trigo!$E46:INDEX(Trigo!$E46:$Z46,MIN(AI$6-$G$3,22))&lt;&gt;""),Trigo!$E46:INDEX(Trigo!$E46:$Z46,MIN(AI$6-$G$3,22))),0)))))</f>
        <v>0</v>
      </c>
      <c r="AJ48" s="27" t="n">
        <f aca="false">IF(COUNT(Trigo!$E46:$Z46)=0,0,MAX(0,IF((AJ$6-$E$3)&lt;1,0,IFERROR(LOOKUP(2,1/(Trigo!$E46:INDEX(Trigo!$E46:$Z46,MIN(AJ$6-$E$3,22))&lt;&gt;""),Trigo!$E46:INDEX(Trigo!$E46:$Z46,MIN(AJ$6-$E$3,22))),0))-IF($G$2,0,IF((AJ$6-$G$3)&lt;1,0,IFERROR(LOOKUP(2,1/(Trigo!$E46:INDEX(Trigo!$E46:$Z46,MIN(AJ$6-$G$3,22))&lt;&gt;""),Trigo!$E46:INDEX(Trigo!$E46:$Z46,MIN(AJ$6-$G$3,22))),0)))))</f>
        <v>0</v>
      </c>
      <c r="AK48" s="27" t="n">
        <f aca="false">IF(COUNT(Trigo!$E46:$Z46)=0,0,MAX(0,IF((AK$6-$E$3)&lt;1,0,IFERROR(LOOKUP(2,1/(Trigo!$E46:INDEX(Trigo!$E46:$Z46,MIN(AK$6-$E$3,22))&lt;&gt;""),Trigo!$E46:INDEX(Trigo!$E46:$Z46,MIN(AK$6-$E$3,22))),0))-IF($G$2,0,IF((AK$6-$G$3)&lt;1,0,IFERROR(LOOKUP(2,1/(Trigo!$E46:INDEX(Trigo!$E46:$Z46,MIN(AK$6-$G$3,22))&lt;&gt;""),Trigo!$E46:INDEX(Trigo!$E46:$Z46,MIN(AK$6-$G$3,22))),0)))))</f>
        <v>0</v>
      </c>
      <c r="AL48" s="27" t="n">
        <f aca="false">IF(COUNT(Trigo!$E46:$Z46)=0,0,MAX(0,IF((AL$6-$E$3)&lt;1,0,IFERROR(LOOKUP(2,1/(Trigo!$E46:INDEX(Trigo!$E46:$Z46,MIN(AL$6-$E$3,22))&lt;&gt;""),Trigo!$E46:INDEX(Trigo!$E46:$Z46,MIN(AL$6-$E$3,22))),0))-IF($G$2,0,IF((AL$6-$G$3)&lt;1,0,IFERROR(LOOKUP(2,1/(Trigo!$E46:INDEX(Trigo!$E46:$Z46,MIN(AL$6-$G$3,22))&lt;&gt;""),Trigo!$E46:INDEX(Trigo!$E46:$Z46,MIN(AL$6-$G$3,22))),0)))))</f>
        <v>0</v>
      </c>
      <c r="AM48" s="27" t="n">
        <f aca="false">IF(COUNT(Trigo!$E46:$Z46)=0,0,MAX(0,IF((AM$6-$E$3)&lt;1,0,IFERROR(LOOKUP(2,1/(Trigo!$E46:INDEX(Trigo!$E46:$Z46,MIN(AM$6-$E$3,22))&lt;&gt;""),Trigo!$E46:INDEX(Trigo!$E46:$Z46,MIN(AM$6-$E$3,22))),0))-IF($G$2,0,IF((AM$6-$G$3)&lt;1,0,IFERROR(LOOKUP(2,1/(Trigo!$E46:INDEX(Trigo!$E46:$Z46,MIN(AM$6-$G$3,22))&lt;&gt;""),Trigo!$E46:INDEX(Trigo!$E46:$Z46,MIN(AM$6-$G$3,22))),0)))))</f>
        <v>0</v>
      </c>
      <c r="AN48" s="27" t="n">
        <f aca="false">IF(COUNT(Trigo!$E46:$Z46)=0,0,MAX(0,IF((AN$6-$E$3)&lt;1,0,IFERROR(LOOKUP(2,1/(Trigo!$E46:INDEX(Trigo!$E46:$Z46,MIN(AN$6-$E$3,22))&lt;&gt;""),Trigo!$E46:INDEX(Trigo!$E46:$Z46,MIN(AN$6-$E$3,22))),0))-IF($G$2,0,IF((AN$6-$G$3)&lt;1,0,IFERROR(LOOKUP(2,1/(Trigo!$E46:INDEX(Trigo!$E46:$Z46,MIN(AN$6-$G$3,22))&lt;&gt;""),Trigo!$E46:INDEX(Trigo!$E46:$Z46,MIN(AN$6-$G$3,22))),0)))))</f>
        <v>0</v>
      </c>
      <c r="AO48" s="27" t="n">
        <f aca="false">IF(COUNT(Trigo!$E46:$Z46)=0,0,MAX(0,IF((AO$6-$E$3)&lt;1,0,IFERROR(LOOKUP(2,1/(Trigo!$E46:INDEX(Trigo!$E46:$Z46,MIN(AO$6-$E$3,22))&lt;&gt;""),Trigo!$E46:INDEX(Trigo!$E46:$Z46,MIN(AO$6-$E$3,22))),0))-IF($G$2,0,IF((AO$6-$G$3)&lt;1,0,IFERROR(LOOKUP(2,1/(Trigo!$E46:INDEX(Trigo!$E46:$Z46,MIN(AO$6-$G$3,22))&lt;&gt;""),Trigo!$E46:INDEX(Trigo!$E46:$Z46,MIN(AO$6-$G$3,22))),0)))))</f>
        <v>0</v>
      </c>
      <c r="AP48" s="27" t="n">
        <f aca="false">IF(COUNT(Trigo!$E46:$Z46)=0,0,MAX(0,IF((AP$6-$E$3)&lt;1,0,IFERROR(LOOKUP(2,1/(Trigo!$E46:INDEX(Trigo!$E46:$Z46,MIN(AP$6-$E$3,22))&lt;&gt;""),Trigo!$E46:INDEX(Trigo!$E46:$Z46,MIN(AP$6-$E$3,22))),0))-IF($G$2,0,IF((AP$6-$G$3)&lt;1,0,IFERROR(LOOKUP(2,1/(Trigo!$E46:INDEX(Trigo!$E46:$Z46,MIN(AP$6-$G$3,22))&lt;&gt;""),Trigo!$E46:INDEX(Trigo!$E46:$Z46,MIN(AP$6-$G$3,22))),0)))))</f>
        <v>0</v>
      </c>
      <c r="AQ48" s="27" t="n">
        <f aca="false">IF(COUNT(Trigo!$E46:$Z46)=0,0,MAX(0,IF((AQ$6-$E$3)&lt;1,0,IFERROR(LOOKUP(2,1/(Trigo!$E46:INDEX(Trigo!$E46:$Z46,MIN(AQ$6-$E$3,22))&lt;&gt;""),Trigo!$E46:INDEX(Trigo!$E46:$Z46,MIN(AQ$6-$E$3,22))),0))-IF($G$2,0,IF((AQ$6-$G$3)&lt;1,0,IFERROR(LOOKUP(2,1/(Trigo!$E46:INDEX(Trigo!$E46:$Z46,MIN(AQ$6-$G$3,22))&lt;&gt;""),Trigo!$E46:INDEX(Trigo!$E46:$Z46,MIN(AQ$6-$G$3,22))),0)))))</f>
        <v>0</v>
      </c>
      <c r="AR48" s="27" t="n">
        <f aca="false">IF(COUNT(Trigo!$E46:$Z46)=0,0,MAX(0,IF((AR$6-$E$3)&lt;1,0,IFERROR(LOOKUP(2,1/(Trigo!$E46:INDEX(Trigo!$E46:$Z46,MIN(AR$6-$E$3,22))&lt;&gt;""),Trigo!$E46:INDEX(Trigo!$E46:$Z46,MIN(AR$6-$E$3,22))),0))-IF($G$2,0,IF((AR$6-$G$3)&lt;1,0,IFERROR(LOOKUP(2,1/(Trigo!$E46:INDEX(Trigo!$E46:$Z46,MIN(AR$6-$G$3,22))&lt;&gt;""),Trigo!$E46:INDEX(Trigo!$E46:$Z46,MIN(AR$6-$G$3,22))),0)))))</f>
        <v>0</v>
      </c>
      <c r="AS48" s="27" t="n">
        <f aca="false">IF(COUNT(Trigo!$E46:$Z46)=0,0,MAX(0,IF((AS$6-$E$3)&lt;1,0,IFERROR(LOOKUP(2,1/(Trigo!$E46:INDEX(Trigo!$E46:$Z46,MIN(AS$6-$E$3,22))&lt;&gt;""),Trigo!$E46:INDEX(Trigo!$E46:$Z46,MIN(AS$6-$E$3,22))),0))-IF($G$2,0,IF((AS$6-$G$3)&lt;1,0,IFERROR(LOOKUP(2,1/(Trigo!$E46:INDEX(Trigo!$E46:$Z46,MIN(AS$6-$G$3,22))&lt;&gt;""),Trigo!$E46:INDEX(Trigo!$E46:$Z46,MIN(AS$6-$G$3,22))),0)))))</f>
        <v>0</v>
      </c>
      <c r="AT48" s="27" t="n">
        <f aca="false">IF(COUNT(Trigo!$E46:$Z46)=0,0,MAX(0,IF((AT$6-$E$3)&lt;1,0,IFERROR(LOOKUP(2,1/(Trigo!$E46:INDEX(Trigo!$E46:$Z46,MIN(AT$6-$E$3,22))&lt;&gt;""),Trigo!$E46:INDEX(Trigo!$E46:$Z46,MIN(AT$6-$E$3,22))),0))-IF($G$2,0,IF((AT$6-$G$3)&lt;1,0,IFERROR(LOOKUP(2,1/(Trigo!$E46:INDEX(Trigo!$E46:$Z46,MIN(AT$6-$G$3,22))&lt;&gt;""),Trigo!$E46:INDEX(Trigo!$E46:$Z46,MIN(AT$6-$G$3,22))),0)))))</f>
        <v>0</v>
      </c>
      <c r="AU48" s="27" t="n">
        <f aca="false">IF(COUNT(Trigo!$E46:$Z46)=0,0,MAX(0,IF((AU$6-$E$3)&lt;1,0,IFERROR(LOOKUP(2,1/(Trigo!$E46:INDEX(Trigo!$E46:$Z46,MIN(AU$6-$E$3,22))&lt;&gt;""),Trigo!$E46:INDEX(Trigo!$E46:$Z46,MIN(AU$6-$E$3,22))),0))-IF($G$2,0,IF((AU$6-$G$3)&lt;1,0,IFERROR(LOOKUP(2,1/(Trigo!$E46:INDEX(Trigo!$E46:$Z46,MIN(AU$6-$G$3,22))&lt;&gt;""),Trigo!$E46:INDEX(Trigo!$E46:$Z46,MIN(AU$6-$G$3,22))),0)))))</f>
        <v>0</v>
      </c>
      <c r="AV48" s="27" t="n">
        <f aca="false">IF(COUNT(Trigo!$E46:$Z46)=0,0,MAX(0,IF((AV$6-$E$3)&lt;1,0,IFERROR(LOOKUP(2,1/(Trigo!$E46:INDEX(Trigo!$E46:$Z46,MIN(AV$6-$E$3,22))&lt;&gt;""),Trigo!$E46:INDEX(Trigo!$E46:$Z46,MIN(AV$6-$E$3,22))),0))-IF($G$2,0,IF((AV$6-$G$3)&lt;1,0,IFERROR(LOOKUP(2,1/(Trigo!$E46:INDEX(Trigo!$E46:$Z46,MIN(AV$6-$G$3,22))&lt;&gt;""),Trigo!$E46:INDEX(Trigo!$E46:$Z46,MIN(AV$6-$G$3,22))),0)))))</f>
        <v>0</v>
      </c>
      <c r="AW48" s="27" t="n">
        <f aca="false">IF(COUNT(Trigo!$E46:$Z46)=0,0,MAX(0,IF((AW$6-$E$3)&lt;1,0,IFERROR(LOOKUP(2,1/(Trigo!$E46:INDEX(Trigo!$E46:$Z46,MIN(AW$6-$E$3,22))&lt;&gt;""),Trigo!$E46:INDEX(Trigo!$E46:$Z46,MIN(AW$6-$E$3,22))),0))-IF($G$2,0,IF((AW$6-$G$3)&lt;1,0,IFERROR(LOOKUP(2,1/(Trigo!$E46:INDEX(Trigo!$E46:$Z46,MIN(AW$6-$G$3,22))&lt;&gt;""),Trigo!$E46:INDEX(Trigo!$E46:$Z46,MIN(AW$6-$G$3,22))),0)))))</f>
        <v>0</v>
      </c>
      <c r="AX48" s="27" t="n">
        <f aca="false">IF(COUNT(Trigo!$E46:$Z46)=0,0,MAX(0,IF((AX$6-$E$3)&lt;1,0,IFERROR(LOOKUP(2,1/(Trigo!$E46:INDEX(Trigo!$E46:$Z46,MIN(AX$6-$E$3,22))&lt;&gt;""),Trigo!$E46:INDEX(Trigo!$E46:$Z46,MIN(AX$6-$E$3,22))),0))-IF($G$2,0,IF((AX$6-$G$3)&lt;1,0,IFERROR(LOOKUP(2,1/(Trigo!$E46:INDEX(Trigo!$E46:$Z46,MIN(AX$6-$G$3,22))&lt;&gt;""),Trigo!$E46:INDEX(Trigo!$E46:$Z46,MIN(AX$6-$G$3,22))),0)))))</f>
        <v>0</v>
      </c>
      <c r="AY48" s="27" t="n">
        <f aca="false">IF(COUNT(Trigo!$E46:$Z46)=0,0,MAX(0,IF((AY$6-$E$3)&lt;1,0,IFERROR(LOOKUP(2,1/(Trigo!$E46:INDEX(Trigo!$E46:$Z46,MIN(AY$6-$E$3,22))&lt;&gt;""),Trigo!$E46:INDEX(Trigo!$E46:$Z46,MIN(AY$6-$E$3,22))),0))-IF($G$2,0,IF((AY$6-$G$3)&lt;1,0,IFERROR(LOOKUP(2,1/(Trigo!$E46:INDEX(Trigo!$E46:$Z46,MIN(AY$6-$G$3,22))&lt;&gt;""),Trigo!$E46:INDEX(Trigo!$E46:$Z46,MIN(AY$6-$G$3,22))),0)))))</f>
        <v>0</v>
      </c>
      <c r="AZ48" s="27" t="n">
        <f aca="false">IF(COUNT(Trigo!$E46:$Z46)=0,0,MAX(0,IF((AZ$6-$E$3)&lt;1,0,IFERROR(LOOKUP(2,1/(Trigo!$E46:INDEX(Trigo!$E46:$Z46,MIN(AZ$6-$E$3,22))&lt;&gt;""),Trigo!$E46:INDEX(Trigo!$E46:$Z46,MIN(AZ$6-$E$3,22))),0))-IF($G$2,0,IF((AZ$6-$G$3)&lt;1,0,IFERROR(LOOKUP(2,1/(Trigo!$E46:INDEX(Trigo!$E46:$Z46,MIN(AZ$6-$G$3,22))&lt;&gt;""),Trigo!$E46:INDEX(Trigo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IF(COUNT(Trigo!$E47:$Z47)&gt;0,N(Trigo!$D47),0)</f>
        <v>0</v>
      </c>
      <c r="E49" s="27" t="n">
        <f aca="false">IF(COUNT(Trigo!$E47:$Z47)=0,0,MAX(0,IF((E$6-$E$3)&lt;1,0,IFERROR(LOOKUP(2,1/(Trigo!$E47:INDEX(Trigo!$E47:$Z47,MIN(E$6-$E$3,22))&lt;&gt;""),Trigo!$E47:INDEX(Trigo!$E47:$Z47,MIN(E$6-$E$3,22))),0))-IF($G$2,0,IF((E$6-$G$3)&lt;1,0,IFERROR(LOOKUP(2,1/(Trigo!$E47:INDEX(Trigo!$E47:$Z47,MIN(E$6-$G$3,22))&lt;&gt;""),Trigo!$E47:INDEX(Trigo!$E47:$Z47,MIN(E$6-$G$3,22))),0)))))</f>
        <v>0</v>
      </c>
      <c r="F49" s="27" t="n">
        <f aca="false">IF(COUNT(Trigo!$E47:$Z47)=0,0,MAX(0,IF((F$6-$E$3)&lt;1,0,IFERROR(LOOKUP(2,1/(Trigo!$E47:INDEX(Trigo!$E47:$Z47,MIN(F$6-$E$3,22))&lt;&gt;""),Trigo!$E47:INDEX(Trigo!$E47:$Z47,MIN(F$6-$E$3,22))),0))-IF($G$2,0,IF((F$6-$G$3)&lt;1,0,IFERROR(LOOKUP(2,1/(Trigo!$E47:INDEX(Trigo!$E47:$Z47,MIN(F$6-$G$3,22))&lt;&gt;""),Trigo!$E47:INDEX(Trigo!$E47:$Z47,MIN(F$6-$G$3,22))),0)))))</f>
        <v>0</v>
      </c>
      <c r="G49" s="27" t="n">
        <f aca="false">IF(COUNT(Trigo!$E47:$Z47)=0,0,MAX(0,IF((G$6-$E$3)&lt;1,0,IFERROR(LOOKUP(2,1/(Trigo!$E47:INDEX(Trigo!$E47:$Z47,MIN(G$6-$E$3,22))&lt;&gt;""),Trigo!$E47:INDEX(Trigo!$E47:$Z47,MIN(G$6-$E$3,22))),0))-IF($G$2,0,IF((G$6-$G$3)&lt;1,0,IFERROR(LOOKUP(2,1/(Trigo!$E47:INDEX(Trigo!$E47:$Z47,MIN(G$6-$G$3,22))&lt;&gt;""),Trigo!$E47:INDEX(Trigo!$E47:$Z47,MIN(G$6-$G$3,22))),0)))))</f>
        <v>0</v>
      </c>
      <c r="H49" s="27" t="n">
        <f aca="false">IF(COUNT(Trigo!$E47:$Z47)=0,0,MAX(0,IF((H$6-$E$3)&lt;1,0,IFERROR(LOOKUP(2,1/(Trigo!$E47:INDEX(Trigo!$E47:$Z47,MIN(H$6-$E$3,22))&lt;&gt;""),Trigo!$E47:INDEX(Trigo!$E47:$Z47,MIN(H$6-$E$3,22))),0))-IF($G$2,0,IF((H$6-$G$3)&lt;1,0,IFERROR(LOOKUP(2,1/(Trigo!$E47:INDEX(Trigo!$E47:$Z47,MIN(H$6-$G$3,22))&lt;&gt;""),Trigo!$E47:INDEX(Trigo!$E47:$Z47,MIN(H$6-$G$3,22))),0)))))</f>
        <v>0</v>
      </c>
      <c r="I49" s="27" t="n">
        <f aca="false">IF(COUNT(Trigo!$E47:$Z47)=0,0,MAX(0,IF((I$6-$E$3)&lt;1,0,IFERROR(LOOKUP(2,1/(Trigo!$E47:INDEX(Trigo!$E47:$Z47,MIN(I$6-$E$3,22))&lt;&gt;""),Trigo!$E47:INDEX(Trigo!$E47:$Z47,MIN(I$6-$E$3,22))),0))-IF($G$2,0,IF((I$6-$G$3)&lt;1,0,IFERROR(LOOKUP(2,1/(Trigo!$E47:INDEX(Trigo!$E47:$Z47,MIN(I$6-$G$3,22))&lt;&gt;""),Trigo!$E47:INDEX(Trigo!$E47:$Z47,MIN(I$6-$G$3,22))),0)))))</f>
        <v>0</v>
      </c>
      <c r="J49" s="27" t="n">
        <f aca="false">IF(COUNT(Trigo!$E47:$Z47)=0,0,MAX(0,IF((J$6-$E$3)&lt;1,0,IFERROR(LOOKUP(2,1/(Trigo!$E47:INDEX(Trigo!$E47:$Z47,MIN(J$6-$E$3,22))&lt;&gt;""),Trigo!$E47:INDEX(Trigo!$E47:$Z47,MIN(J$6-$E$3,22))),0))-IF($G$2,0,IF((J$6-$G$3)&lt;1,0,IFERROR(LOOKUP(2,1/(Trigo!$E47:INDEX(Trigo!$E47:$Z47,MIN(J$6-$G$3,22))&lt;&gt;""),Trigo!$E47:INDEX(Trigo!$E47:$Z47,MIN(J$6-$G$3,22))),0)))))</f>
        <v>0</v>
      </c>
      <c r="K49" s="27" t="n">
        <f aca="false">IF(COUNT(Trigo!$E47:$Z47)=0,0,MAX(0,IF((K$6-$E$3)&lt;1,0,IFERROR(LOOKUP(2,1/(Trigo!$E47:INDEX(Trigo!$E47:$Z47,MIN(K$6-$E$3,22))&lt;&gt;""),Trigo!$E47:INDEX(Trigo!$E47:$Z47,MIN(K$6-$E$3,22))),0))-IF($G$2,0,IF((K$6-$G$3)&lt;1,0,IFERROR(LOOKUP(2,1/(Trigo!$E47:INDEX(Trigo!$E47:$Z47,MIN(K$6-$G$3,22))&lt;&gt;""),Trigo!$E47:INDEX(Trigo!$E47:$Z47,MIN(K$6-$G$3,22))),0)))))</f>
        <v>0</v>
      </c>
      <c r="L49" s="27" t="n">
        <f aca="false">IF(COUNT(Trigo!$E47:$Z47)=0,0,MAX(0,IF((L$6-$E$3)&lt;1,0,IFERROR(LOOKUP(2,1/(Trigo!$E47:INDEX(Trigo!$E47:$Z47,MIN(L$6-$E$3,22))&lt;&gt;""),Trigo!$E47:INDEX(Trigo!$E47:$Z47,MIN(L$6-$E$3,22))),0))-IF($G$2,0,IF((L$6-$G$3)&lt;1,0,IFERROR(LOOKUP(2,1/(Trigo!$E47:INDEX(Trigo!$E47:$Z47,MIN(L$6-$G$3,22))&lt;&gt;""),Trigo!$E47:INDEX(Trigo!$E47:$Z47,MIN(L$6-$G$3,22))),0)))))</f>
        <v>0</v>
      </c>
      <c r="M49" s="27" t="n">
        <f aca="false">IF(COUNT(Trigo!$E47:$Z47)=0,0,MAX(0,IF((M$6-$E$3)&lt;1,0,IFERROR(LOOKUP(2,1/(Trigo!$E47:INDEX(Trigo!$E47:$Z47,MIN(M$6-$E$3,22))&lt;&gt;""),Trigo!$E47:INDEX(Trigo!$E47:$Z47,MIN(M$6-$E$3,22))),0))-IF($G$2,0,IF((M$6-$G$3)&lt;1,0,IFERROR(LOOKUP(2,1/(Trigo!$E47:INDEX(Trigo!$E47:$Z47,MIN(M$6-$G$3,22))&lt;&gt;""),Trigo!$E47:INDEX(Trigo!$E47:$Z47,MIN(M$6-$G$3,22))),0)))))</f>
        <v>0</v>
      </c>
      <c r="N49" s="27" t="n">
        <f aca="false">IF(COUNT(Trigo!$E47:$Z47)=0,0,MAX(0,IF((N$6-$E$3)&lt;1,0,IFERROR(LOOKUP(2,1/(Trigo!$E47:INDEX(Trigo!$E47:$Z47,MIN(N$6-$E$3,22))&lt;&gt;""),Trigo!$E47:INDEX(Trigo!$E47:$Z47,MIN(N$6-$E$3,22))),0))-IF($G$2,0,IF((N$6-$G$3)&lt;1,0,IFERROR(LOOKUP(2,1/(Trigo!$E47:INDEX(Trigo!$E47:$Z47,MIN(N$6-$G$3,22))&lt;&gt;""),Trigo!$E47:INDEX(Trigo!$E47:$Z47,MIN(N$6-$G$3,22))),0)))))</f>
        <v>0</v>
      </c>
      <c r="O49" s="27" t="n">
        <f aca="false">IF(COUNT(Trigo!$E47:$Z47)=0,0,MAX(0,IF((O$6-$E$3)&lt;1,0,IFERROR(LOOKUP(2,1/(Trigo!$E47:INDEX(Trigo!$E47:$Z47,MIN(O$6-$E$3,22))&lt;&gt;""),Trigo!$E47:INDEX(Trigo!$E47:$Z47,MIN(O$6-$E$3,22))),0))-IF($G$2,0,IF((O$6-$G$3)&lt;1,0,IFERROR(LOOKUP(2,1/(Trigo!$E47:INDEX(Trigo!$E47:$Z47,MIN(O$6-$G$3,22))&lt;&gt;""),Trigo!$E47:INDEX(Trigo!$E47:$Z47,MIN(O$6-$G$3,22))),0)))))</f>
        <v>0</v>
      </c>
      <c r="P49" s="27" t="n">
        <f aca="false">IF(COUNT(Trigo!$E47:$Z47)=0,0,MAX(0,IF((P$6-$E$3)&lt;1,0,IFERROR(LOOKUP(2,1/(Trigo!$E47:INDEX(Trigo!$E47:$Z47,MIN(P$6-$E$3,22))&lt;&gt;""),Trigo!$E47:INDEX(Trigo!$E47:$Z47,MIN(P$6-$E$3,22))),0))-IF($G$2,0,IF((P$6-$G$3)&lt;1,0,IFERROR(LOOKUP(2,1/(Trigo!$E47:INDEX(Trigo!$E47:$Z47,MIN(P$6-$G$3,22))&lt;&gt;""),Trigo!$E47:INDEX(Trigo!$E47:$Z47,MIN(P$6-$G$3,22))),0)))))</f>
        <v>0</v>
      </c>
      <c r="Q49" s="27" t="n">
        <f aca="false">IF(COUNT(Trigo!$E47:$Z47)=0,0,MAX(0,IF((Q$6-$E$3)&lt;1,0,IFERROR(LOOKUP(2,1/(Trigo!$E47:INDEX(Trigo!$E47:$Z47,MIN(Q$6-$E$3,22))&lt;&gt;""),Trigo!$E47:INDEX(Trigo!$E47:$Z47,MIN(Q$6-$E$3,22))),0))-IF($G$2,0,IF((Q$6-$G$3)&lt;1,0,IFERROR(LOOKUP(2,1/(Trigo!$E47:INDEX(Trigo!$E47:$Z47,MIN(Q$6-$G$3,22))&lt;&gt;""),Trigo!$E47:INDEX(Trigo!$E47:$Z47,MIN(Q$6-$G$3,22))),0)))))</f>
        <v>0</v>
      </c>
      <c r="R49" s="27" t="n">
        <f aca="false">IF(COUNT(Trigo!$E47:$Z47)=0,0,MAX(0,IF((R$6-$E$3)&lt;1,0,IFERROR(LOOKUP(2,1/(Trigo!$E47:INDEX(Trigo!$E47:$Z47,MIN(R$6-$E$3,22))&lt;&gt;""),Trigo!$E47:INDEX(Trigo!$E47:$Z47,MIN(R$6-$E$3,22))),0))-IF($G$2,0,IF((R$6-$G$3)&lt;1,0,IFERROR(LOOKUP(2,1/(Trigo!$E47:INDEX(Trigo!$E47:$Z47,MIN(R$6-$G$3,22))&lt;&gt;""),Trigo!$E47:INDEX(Trigo!$E47:$Z47,MIN(R$6-$G$3,22))),0)))))</f>
        <v>0</v>
      </c>
      <c r="S49" s="27" t="n">
        <f aca="false">IF(COUNT(Trigo!$E47:$Z47)=0,0,MAX(0,IF((S$6-$E$3)&lt;1,0,IFERROR(LOOKUP(2,1/(Trigo!$E47:INDEX(Trigo!$E47:$Z47,MIN(S$6-$E$3,22))&lt;&gt;""),Trigo!$E47:INDEX(Trigo!$E47:$Z47,MIN(S$6-$E$3,22))),0))-IF($G$2,0,IF((S$6-$G$3)&lt;1,0,IFERROR(LOOKUP(2,1/(Trigo!$E47:INDEX(Trigo!$E47:$Z47,MIN(S$6-$G$3,22))&lt;&gt;""),Trigo!$E47:INDEX(Trigo!$E47:$Z47,MIN(S$6-$G$3,22))),0)))))</f>
        <v>0</v>
      </c>
      <c r="T49" s="27" t="n">
        <f aca="false">IF(COUNT(Trigo!$E47:$Z47)=0,0,MAX(0,IF((T$6-$E$3)&lt;1,0,IFERROR(LOOKUP(2,1/(Trigo!$E47:INDEX(Trigo!$E47:$Z47,MIN(T$6-$E$3,22))&lt;&gt;""),Trigo!$E47:INDEX(Trigo!$E47:$Z47,MIN(T$6-$E$3,22))),0))-IF($G$2,0,IF((T$6-$G$3)&lt;1,0,IFERROR(LOOKUP(2,1/(Trigo!$E47:INDEX(Trigo!$E47:$Z47,MIN(T$6-$G$3,22))&lt;&gt;""),Trigo!$E47:INDEX(Trigo!$E47:$Z47,MIN(T$6-$G$3,22))),0)))))</f>
        <v>0</v>
      </c>
      <c r="U49" s="27" t="n">
        <f aca="false">IF(COUNT(Trigo!$E47:$Z47)=0,0,MAX(0,IF((U$6-$E$3)&lt;1,0,IFERROR(LOOKUP(2,1/(Trigo!$E47:INDEX(Trigo!$E47:$Z47,MIN(U$6-$E$3,22))&lt;&gt;""),Trigo!$E47:INDEX(Trigo!$E47:$Z47,MIN(U$6-$E$3,22))),0))-IF($G$2,0,IF((U$6-$G$3)&lt;1,0,IFERROR(LOOKUP(2,1/(Trigo!$E47:INDEX(Trigo!$E47:$Z47,MIN(U$6-$G$3,22))&lt;&gt;""),Trigo!$E47:INDEX(Trigo!$E47:$Z47,MIN(U$6-$G$3,22))),0)))))</f>
        <v>0</v>
      </c>
      <c r="V49" s="27" t="n">
        <f aca="false">IF(COUNT(Trigo!$E47:$Z47)=0,0,MAX(0,IF((V$6-$E$3)&lt;1,0,IFERROR(LOOKUP(2,1/(Trigo!$E47:INDEX(Trigo!$E47:$Z47,MIN(V$6-$E$3,22))&lt;&gt;""),Trigo!$E47:INDEX(Trigo!$E47:$Z47,MIN(V$6-$E$3,22))),0))-IF($G$2,0,IF((V$6-$G$3)&lt;1,0,IFERROR(LOOKUP(2,1/(Trigo!$E47:INDEX(Trigo!$E47:$Z47,MIN(V$6-$G$3,22))&lt;&gt;""),Trigo!$E47:INDEX(Trigo!$E47:$Z47,MIN(V$6-$G$3,22))),0)))))</f>
        <v>0</v>
      </c>
      <c r="W49" s="27" t="n">
        <f aca="false">IF(COUNT(Trigo!$E47:$Z47)=0,0,MAX(0,IF((W$6-$E$3)&lt;1,0,IFERROR(LOOKUP(2,1/(Trigo!$E47:INDEX(Trigo!$E47:$Z47,MIN(W$6-$E$3,22))&lt;&gt;""),Trigo!$E47:INDEX(Trigo!$E47:$Z47,MIN(W$6-$E$3,22))),0))-IF($G$2,0,IF((W$6-$G$3)&lt;1,0,IFERROR(LOOKUP(2,1/(Trigo!$E47:INDEX(Trigo!$E47:$Z47,MIN(W$6-$G$3,22))&lt;&gt;""),Trigo!$E47:INDEX(Trigo!$E47:$Z47,MIN(W$6-$G$3,22))),0)))))</f>
        <v>0</v>
      </c>
      <c r="X49" s="27" t="n">
        <f aca="false">IF(COUNT(Trigo!$E47:$Z47)=0,0,MAX(0,IF((X$6-$E$3)&lt;1,0,IFERROR(LOOKUP(2,1/(Trigo!$E47:INDEX(Trigo!$E47:$Z47,MIN(X$6-$E$3,22))&lt;&gt;""),Trigo!$E47:INDEX(Trigo!$E47:$Z47,MIN(X$6-$E$3,22))),0))-IF($G$2,0,IF((X$6-$G$3)&lt;1,0,IFERROR(LOOKUP(2,1/(Trigo!$E47:INDEX(Trigo!$E47:$Z47,MIN(X$6-$G$3,22))&lt;&gt;""),Trigo!$E47:INDEX(Trigo!$E47:$Z47,MIN(X$6-$G$3,22))),0)))))</f>
        <v>0</v>
      </c>
      <c r="Y49" s="27" t="n">
        <f aca="false">IF(COUNT(Trigo!$E47:$Z47)=0,0,MAX(0,IF((Y$6-$E$3)&lt;1,0,IFERROR(LOOKUP(2,1/(Trigo!$E47:INDEX(Trigo!$E47:$Z47,MIN(Y$6-$E$3,22))&lt;&gt;""),Trigo!$E47:INDEX(Trigo!$E47:$Z47,MIN(Y$6-$E$3,22))),0))-IF($G$2,0,IF((Y$6-$G$3)&lt;1,0,IFERROR(LOOKUP(2,1/(Trigo!$E47:INDEX(Trigo!$E47:$Z47,MIN(Y$6-$G$3,22))&lt;&gt;""),Trigo!$E47:INDEX(Trigo!$E47:$Z47,MIN(Y$6-$G$3,22))),0)))))</f>
        <v>0</v>
      </c>
      <c r="Z49" s="27" t="n">
        <f aca="false">IF(COUNT(Trigo!$E47:$Z47)=0,0,MAX(0,IF((Z$6-$E$3)&lt;1,0,IFERROR(LOOKUP(2,1/(Trigo!$E47:INDEX(Trigo!$E47:$Z47,MIN(Z$6-$E$3,22))&lt;&gt;""),Trigo!$E47:INDEX(Trigo!$E47:$Z47,MIN(Z$6-$E$3,22))),0))-IF($G$2,0,IF((Z$6-$G$3)&lt;1,0,IFERROR(LOOKUP(2,1/(Trigo!$E47:INDEX(Trigo!$E47:$Z47,MIN(Z$6-$G$3,22))&lt;&gt;""),Trigo!$E47:INDEX(Trigo!$E47:$Z47,MIN(Z$6-$G$3,22))),0)))))</f>
        <v>0</v>
      </c>
      <c r="AA49" s="27" t="n">
        <f aca="false">IF(COUNT(Trigo!$E47:$Z47)=0,0,MAX(0,IF((AA$6-$E$3)&lt;1,0,IFERROR(LOOKUP(2,1/(Trigo!$E47:INDEX(Trigo!$E47:$Z47,MIN(AA$6-$E$3,22))&lt;&gt;""),Trigo!$E47:INDEX(Trigo!$E47:$Z47,MIN(AA$6-$E$3,22))),0))-IF($G$2,0,IF((AA$6-$G$3)&lt;1,0,IFERROR(LOOKUP(2,1/(Trigo!$E47:INDEX(Trigo!$E47:$Z47,MIN(AA$6-$G$3,22))&lt;&gt;""),Trigo!$E47:INDEX(Trigo!$E47:$Z47,MIN(AA$6-$G$3,22))),0)))))</f>
        <v>0</v>
      </c>
      <c r="AB49" s="27" t="n">
        <f aca="false">IF(COUNT(Trigo!$E47:$Z47)=0,0,MAX(0,IF((AB$6-$E$3)&lt;1,0,IFERROR(LOOKUP(2,1/(Trigo!$E47:INDEX(Trigo!$E47:$Z47,MIN(AB$6-$E$3,22))&lt;&gt;""),Trigo!$E47:INDEX(Trigo!$E47:$Z47,MIN(AB$6-$E$3,22))),0))-IF($G$2,0,IF((AB$6-$G$3)&lt;1,0,IFERROR(LOOKUP(2,1/(Trigo!$E47:INDEX(Trigo!$E47:$Z47,MIN(AB$6-$G$3,22))&lt;&gt;""),Trigo!$E47:INDEX(Trigo!$E47:$Z47,MIN(AB$6-$G$3,22))),0)))))</f>
        <v>0</v>
      </c>
      <c r="AC49" s="27" t="n">
        <f aca="false">IF(COUNT(Trigo!$E47:$Z47)=0,0,MAX(0,IF((AC$6-$E$3)&lt;1,0,IFERROR(LOOKUP(2,1/(Trigo!$E47:INDEX(Trigo!$E47:$Z47,MIN(AC$6-$E$3,22))&lt;&gt;""),Trigo!$E47:INDEX(Trigo!$E47:$Z47,MIN(AC$6-$E$3,22))),0))-IF($G$2,0,IF((AC$6-$G$3)&lt;1,0,IFERROR(LOOKUP(2,1/(Trigo!$E47:INDEX(Trigo!$E47:$Z47,MIN(AC$6-$G$3,22))&lt;&gt;""),Trigo!$E47:INDEX(Trigo!$E47:$Z47,MIN(AC$6-$G$3,22))),0)))))</f>
        <v>0</v>
      </c>
      <c r="AD49" s="27" t="n">
        <f aca="false">IF(COUNT(Trigo!$E47:$Z47)=0,0,MAX(0,IF((AD$6-$E$3)&lt;1,0,IFERROR(LOOKUP(2,1/(Trigo!$E47:INDEX(Trigo!$E47:$Z47,MIN(AD$6-$E$3,22))&lt;&gt;""),Trigo!$E47:INDEX(Trigo!$E47:$Z47,MIN(AD$6-$E$3,22))),0))-IF($G$2,0,IF((AD$6-$G$3)&lt;1,0,IFERROR(LOOKUP(2,1/(Trigo!$E47:INDEX(Trigo!$E47:$Z47,MIN(AD$6-$G$3,22))&lt;&gt;""),Trigo!$E47:INDEX(Trigo!$E47:$Z47,MIN(AD$6-$G$3,22))),0)))))</f>
        <v>0</v>
      </c>
      <c r="AE49" s="27" t="n">
        <f aca="false">IF(COUNT(Trigo!$E47:$Z47)=0,0,MAX(0,IF((AE$6-$E$3)&lt;1,0,IFERROR(LOOKUP(2,1/(Trigo!$E47:INDEX(Trigo!$E47:$Z47,MIN(AE$6-$E$3,22))&lt;&gt;""),Trigo!$E47:INDEX(Trigo!$E47:$Z47,MIN(AE$6-$E$3,22))),0))-IF($G$2,0,IF((AE$6-$G$3)&lt;1,0,IFERROR(LOOKUP(2,1/(Trigo!$E47:INDEX(Trigo!$E47:$Z47,MIN(AE$6-$G$3,22))&lt;&gt;""),Trigo!$E47:INDEX(Trigo!$E47:$Z47,MIN(AE$6-$G$3,22))),0)))))</f>
        <v>0</v>
      </c>
      <c r="AF49" s="27" t="n">
        <f aca="false">IF(COUNT(Trigo!$E47:$Z47)=0,0,MAX(0,IF((AF$6-$E$3)&lt;1,0,IFERROR(LOOKUP(2,1/(Trigo!$E47:INDEX(Trigo!$E47:$Z47,MIN(AF$6-$E$3,22))&lt;&gt;""),Trigo!$E47:INDEX(Trigo!$E47:$Z47,MIN(AF$6-$E$3,22))),0))-IF($G$2,0,IF((AF$6-$G$3)&lt;1,0,IFERROR(LOOKUP(2,1/(Trigo!$E47:INDEX(Trigo!$E47:$Z47,MIN(AF$6-$G$3,22))&lt;&gt;""),Trigo!$E47:INDEX(Trigo!$E47:$Z47,MIN(AF$6-$G$3,22))),0)))))</f>
        <v>0</v>
      </c>
      <c r="AG49" s="27" t="n">
        <f aca="false">IF(COUNT(Trigo!$E47:$Z47)=0,0,MAX(0,IF((AG$6-$E$3)&lt;1,0,IFERROR(LOOKUP(2,1/(Trigo!$E47:INDEX(Trigo!$E47:$Z47,MIN(AG$6-$E$3,22))&lt;&gt;""),Trigo!$E47:INDEX(Trigo!$E47:$Z47,MIN(AG$6-$E$3,22))),0))-IF($G$2,0,IF((AG$6-$G$3)&lt;1,0,IFERROR(LOOKUP(2,1/(Trigo!$E47:INDEX(Trigo!$E47:$Z47,MIN(AG$6-$G$3,22))&lt;&gt;""),Trigo!$E47:INDEX(Trigo!$E47:$Z47,MIN(AG$6-$G$3,22))),0)))))</f>
        <v>0</v>
      </c>
      <c r="AH49" s="27" t="n">
        <f aca="false">IF(COUNT(Trigo!$E47:$Z47)=0,0,MAX(0,IF((AH$6-$E$3)&lt;1,0,IFERROR(LOOKUP(2,1/(Trigo!$E47:INDEX(Trigo!$E47:$Z47,MIN(AH$6-$E$3,22))&lt;&gt;""),Trigo!$E47:INDEX(Trigo!$E47:$Z47,MIN(AH$6-$E$3,22))),0))-IF($G$2,0,IF((AH$6-$G$3)&lt;1,0,IFERROR(LOOKUP(2,1/(Trigo!$E47:INDEX(Trigo!$E47:$Z47,MIN(AH$6-$G$3,22))&lt;&gt;""),Trigo!$E47:INDEX(Trigo!$E47:$Z47,MIN(AH$6-$G$3,22))),0)))))</f>
        <v>0</v>
      </c>
      <c r="AI49" s="27" t="n">
        <f aca="false">IF(COUNT(Trigo!$E47:$Z47)=0,0,MAX(0,IF((AI$6-$E$3)&lt;1,0,IFERROR(LOOKUP(2,1/(Trigo!$E47:INDEX(Trigo!$E47:$Z47,MIN(AI$6-$E$3,22))&lt;&gt;""),Trigo!$E47:INDEX(Trigo!$E47:$Z47,MIN(AI$6-$E$3,22))),0))-IF($G$2,0,IF((AI$6-$G$3)&lt;1,0,IFERROR(LOOKUP(2,1/(Trigo!$E47:INDEX(Trigo!$E47:$Z47,MIN(AI$6-$G$3,22))&lt;&gt;""),Trigo!$E47:INDEX(Trigo!$E47:$Z47,MIN(AI$6-$G$3,22))),0)))))</f>
        <v>0</v>
      </c>
      <c r="AJ49" s="27" t="n">
        <f aca="false">IF(COUNT(Trigo!$E47:$Z47)=0,0,MAX(0,IF((AJ$6-$E$3)&lt;1,0,IFERROR(LOOKUP(2,1/(Trigo!$E47:INDEX(Trigo!$E47:$Z47,MIN(AJ$6-$E$3,22))&lt;&gt;""),Trigo!$E47:INDEX(Trigo!$E47:$Z47,MIN(AJ$6-$E$3,22))),0))-IF($G$2,0,IF((AJ$6-$G$3)&lt;1,0,IFERROR(LOOKUP(2,1/(Trigo!$E47:INDEX(Trigo!$E47:$Z47,MIN(AJ$6-$G$3,22))&lt;&gt;""),Trigo!$E47:INDEX(Trigo!$E47:$Z47,MIN(AJ$6-$G$3,22))),0)))))</f>
        <v>0</v>
      </c>
      <c r="AK49" s="27" t="n">
        <f aca="false">IF(COUNT(Trigo!$E47:$Z47)=0,0,MAX(0,IF((AK$6-$E$3)&lt;1,0,IFERROR(LOOKUP(2,1/(Trigo!$E47:INDEX(Trigo!$E47:$Z47,MIN(AK$6-$E$3,22))&lt;&gt;""),Trigo!$E47:INDEX(Trigo!$E47:$Z47,MIN(AK$6-$E$3,22))),0))-IF($G$2,0,IF((AK$6-$G$3)&lt;1,0,IFERROR(LOOKUP(2,1/(Trigo!$E47:INDEX(Trigo!$E47:$Z47,MIN(AK$6-$G$3,22))&lt;&gt;""),Trigo!$E47:INDEX(Trigo!$E47:$Z47,MIN(AK$6-$G$3,22))),0)))))</f>
        <v>0</v>
      </c>
      <c r="AL49" s="27" t="n">
        <f aca="false">IF(COUNT(Trigo!$E47:$Z47)=0,0,MAX(0,IF((AL$6-$E$3)&lt;1,0,IFERROR(LOOKUP(2,1/(Trigo!$E47:INDEX(Trigo!$E47:$Z47,MIN(AL$6-$E$3,22))&lt;&gt;""),Trigo!$E47:INDEX(Trigo!$E47:$Z47,MIN(AL$6-$E$3,22))),0))-IF($G$2,0,IF((AL$6-$G$3)&lt;1,0,IFERROR(LOOKUP(2,1/(Trigo!$E47:INDEX(Trigo!$E47:$Z47,MIN(AL$6-$G$3,22))&lt;&gt;""),Trigo!$E47:INDEX(Trigo!$E47:$Z47,MIN(AL$6-$G$3,22))),0)))))</f>
        <v>0</v>
      </c>
      <c r="AM49" s="27" t="n">
        <f aca="false">IF(COUNT(Trigo!$E47:$Z47)=0,0,MAX(0,IF((AM$6-$E$3)&lt;1,0,IFERROR(LOOKUP(2,1/(Trigo!$E47:INDEX(Trigo!$E47:$Z47,MIN(AM$6-$E$3,22))&lt;&gt;""),Trigo!$E47:INDEX(Trigo!$E47:$Z47,MIN(AM$6-$E$3,22))),0))-IF($G$2,0,IF((AM$6-$G$3)&lt;1,0,IFERROR(LOOKUP(2,1/(Trigo!$E47:INDEX(Trigo!$E47:$Z47,MIN(AM$6-$G$3,22))&lt;&gt;""),Trigo!$E47:INDEX(Trigo!$E47:$Z47,MIN(AM$6-$G$3,22))),0)))))</f>
        <v>0</v>
      </c>
      <c r="AN49" s="27" t="n">
        <f aca="false">IF(COUNT(Trigo!$E47:$Z47)=0,0,MAX(0,IF((AN$6-$E$3)&lt;1,0,IFERROR(LOOKUP(2,1/(Trigo!$E47:INDEX(Trigo!$E47:$Z47,MIN(AN$6-$E$3,22))&lt;&gt;""),Trigo!$E47:INDEX(Trigo!$E47:$Z47,MIN(AN$6-$E$3,22))),0))-IF($G$2,0,IF((AN$6-$G$3)&lt;1,0,IFERROR(LOOKUP(2,1/(Trigo!$E47:INDEX(Trigo!$E47:$Z47,MIN(AN$6-$G$3,22))&lt;&gt;""),Trigo!$E47:INDEX(Trigo!$E47:$Z47,MIN(AN$6-$G$3,22))),0)))))</f>
        <v>0</v>
      </c>
      <c r="AO49" s="27" t="n">
        <f aca="false">IF(COUNT(Trigo!$E47:$Z47)=0,0,MAX(0,IF((AO$6-$E$3)&lt;1,0,IFERROR(LOOKUP(2,1/(Trigo!$E47:INDEX(Trigo!$E47:$Z47,MIN(AO$6-$E$3,22))&lt;&gt;""),Trigo!$E47:INDEX(Trigo!$E47:$Z47,MIN(AO$6-$E$3,22))),0))-IF($G$2,0,IF((AO$6-$G$3)&lt;1,0,IFERROR(LOOKUP(2,1/(Trigo!$E47:INDEX(Trigo!$E47:$Z47,MIN(AO$6-$G$3,22))&lt;&gt;""),Trigo!$E47:INDEX(Trigo!$E47:$Z47,MIN(AO$6-$G$3,22))),0)))))</f>
        <v>0</v>
      </c>
      <c r="AP49" s="27" t="n">
        <f aca="false">IF(COUNT(Trigo!$E47:$Z47)=0,0,MAX(0,IF((AP$6-$E$3)&lt;1,0,IFERROR(LOOKUP(2,1/(Trigo!$E47:INDEX(Trigo!$E47:$Z47,MIN(AP$6-$E$3,22))&lt;&gt;""),Trigo!$E47:INDEX(Trigo!$E47:$Z47,MIN(AP$6-$E$3,22))),0))-IF($G$2,0,IF((AP$6-$G$3)&lt;1,0,IFERROR(LOOKUP(2,1/(Trigo!$E47:INDEX(Trigo!$E47:$Z47,MIN(AP$6-$G$3,22))&lt;&gt;""),Trigo!$E47:INDEX(Trigo!$E47:$Z47,MIN(AP$6-$G$3,22))),0)))))</f>
        <v>0</v>
      </c>
      <c r="AQ49" s="27" t="n">
        <f aca="false">IF(COUNT(Trigo!$E47:$Z47)=0,0,MAX(0,IF((AQ$6-$E$3)&lt;1,0,IFERROR(LOOKUP(2,1/(Trigo!$E47:INDEX(Trigo!$E47:$Z47,MIN(AQ$6-$E$3,22))&lt;&gt;""),Trigo!$E47:INDEX(Trigo!$E47:$Z47,MIN(AQ$6-$E$3,22))),0))-IF($G$2,0,IF((AQ$6-$G$3)&lt;1,0,IFERROR(LOOKUP(2,1/(Trigo!$E47:INDEX(Trigo!$E47:$Z47,MIN(AQ$6-$G$3,22))&lt;&gt;""),Trigo!$E47:INDEX(Trigo!$E47:$Z47,MIN(AQ$6-$G$3,22))),0)))))</f>
        <v>0</v>
      </c>
      <c r="AR49" s="27" t="n">
        <f aca="false">IF(COUNT(Trigo!$E47:$Z47)=0,0,MAX(0,IF((AR$6-$E$3)&lt;1,0,IFERROR(LOOKUP(2,1/(Trigo!$E47:INDEX(Trigo!$E47:$Z47,MIN(AR$6-$E$3,22))&lt;&gt;""),Trigo!$E47:INDEX(Trigo!$E47:$Z47,MIN(AR$6-$E$3,22))),0))-IF($G$2,0,IF((AR$6-$G$3)&lt;1,0,IFERROR(LOOKUP(2,1/(Trigo!$E47:INDEX(Trigo!$E47:$Z47,MIN(AR$6-$G$3,22))&lt;&gt;""),Trigo!$E47:INDEX(Trigo!$E47:$Z47,MIN(AR$6-$G$3,22))),0)))))</f>
        <v>0</v>
      </c>
      <c r="AS49" s="27" t="n">
        <f aca="false">IF(COUNT(Trigo!$E47:$Z47)=0,0,MAX(0,IF((AS$6-$E$3)&lt;1,0,IFERROR(LOOKUP(2,1/(Trigo!$E47:INDEX(Trigo!$E47:$Z47,MIN(AS$6-$E$3,22))&lt;&gt;""),Trigo!$E47:INDEX(Trigo!$E47:$Z47,MIN(AS$6-$E$3,22))),0))-IF($G$2,0,IF((AS$6-$G$3)&lt;1,0,IFERROR(LOOKUP(2,1/(Trigo!$E47:INDEX(Trigo!$E47:$Z47,MIN(AS$6-$G$3,22))&lt;&gt;""),Trigo!$E47:INDEX(Trigo!$E47:$Z47,MIN(AS$6-$G$3,22))),0)))))</f>
        <v>0</v>
      </c>
      <c r="AT49" s="27" t="n">
        <f aca="false">IF(COUNT(Trigo!$E47:$Z47)=0,0,MAX(0,IF((AT$6-$E$3)&lt;1,0,IFERROR(LOOKUP(2,1/(Trigo!$E47:INDEX(Trigo!$E47:$Z47,MIN(AT$6-$E$3,22))&lt;&gt;""),Trigo!$E47:INDEX(Trigo!$E47:$Z47,MIN(AT$6-$E$3,22))),0))-IF($G$2,0,IF((AT$6-$G$3)&lt;1,0,IFERROR(LOOKUP(2,1/(Trigo!$E47:INDEX(Trigo!$E47:$Z47,MIN(AT$6-$G$3,22))&lt;&gt;""),Trigo!$E47:INDEX(Trigo!$E47:$Z47,MIN(AT$6-$G$3,22))),0)))))</f>
        <v>0</v>
      </c>
      <c r="AU49" s="27" t="n">
        <f aca="false">IF(COUNT(Trigo!$E47:$Z47)=0,0,MAX(0,IF((AU$6-$E$3)&lt;1,0,IFERROR(LOOKUP(2,1/(Trigo!$E47:INDEX(Trigo!$E47:$Z47,MIN(AU$6-$E$3,22))&lt;&gt;""),Trigo!$E47:INDEX(Trigo!$E47:$Z47,MIN(AU$6-$E$3,22))),0))-IF($G$2,0,IF((AU$6-$G$3)&lt;1,0,IFERROR(LOOKUP(2,1/(Trigo!$E47:INDEX(Trigo!$E47:$Z47,MIN(AU$6-$G$3,22))&lt;&gt;""),Trigo!$E47:INDEX(Trigo!$E47:$Z47,MIN(AU$6-$G$3,22))),0)))))</f>
        <v>0</v>
      </c>
      <c r="AV49" s="27" t="n">
        <f aca="false">IF(COUNT(Trigo!$E47:$Z47)=0,0,MAX(0,IF((AV$6-$E$3)&lt;1,0,IFERROR(LOOKUP(2,1/(Trigo!$E47:INDEX(Trigo!$E47:$Z47,MIN(AV$6-$E$3,22))&lt;&gt;""),Trigo!$E47:INDEX(Trigo!$E47:$Z47,MIN(AV$6-$E$3,22))),0))-IF($G$2,0,IF((AV$6-$G$3)&lt;1,0,IFERROR(LOOKUP(2,1/(Trigo!$E47:INDEX(Trigo!$E47:$Z47,MIN(AV$6-$G$3,22))&lt;&gt;""),Trigo!$E47:INDEX(Trigo!$E47:$Z47,MIN(AV$6-$G$3,22))),0)))))</f>
        <v>0</v>
      </c>
      <c r="AW49" s="27" t="n">
        <f aca="false">IF(COUNT(Trigo!$E47:$Z47)=0,0,MAX(0,IF((AW$6-$E$3)&lt;1,0,IFERROR(LOOKUP(2,1/(Trigo!$E47:INDEX(Trigo!$E47:$Z47,MIN(AW$6-$E$3,22))&lt;&gt;""),Trigo!$E47:INDEX(Trigo!$E47:$Z47,MIN(AW$6-$E$3,22))),0))-IF($G$2,0,IF((AW$6-$G$3)&lt;1,0,IFERROR(LOOKUP(2,1/(Trigo!$E47:INDEX(Trigo!$E47:$Z47,MIN(AW$6-$G$3,22))&lt;&gt;""),Trigo!$E47:INDEX(Trigo!$E47:$Z47,MIN(AW$6-$G$3,22))),0)))))</f>
        <v>0</v>
      </c>
      <c r="AX49" s="27" t="n">
        <f aca="false">IF(COUNT(Trigo!$E47:$Z47)=0,0,MAX(0,IF((AX$6-$E$3)&lt;1,0,IFERROR(LOOKUP(2,1/(Trigo!$E47:INDEX(Trigo!$E47:$Z47,MIN(AX$6-$E$3,22))&lt;&gt;""),Trigo!$E47:INDEX(Trigo!$E47:$Z47,MIN(AX$6-$E$3,22))),0))-IF($G$2,0,IF((AX$6-$G$3)&lt;1,0,IFERROR(LOOKUP(2,1/(Trigo!$E47:INDEX(Trigo!$E47:$Z47,MIN(AX$6-$G$3,22))&lt;&gt;""),Trigo!$E47:INDEX(Trigo!$E47:$Z47,MIN(AX$6-$G$3,22))),0)))))</f>
        <v>0</v>
      </c>
      <c r="AY49" s="27" t="n">
        <f aca="false">IF(COUNT(Trigo!$E47:$Z47)=0,0,MAX(0,IF((AY$6-$E$3)&lt;1,0,IFERROR(LOOKUP(2,1/(Trigo!$E47:INDEX(Trigo!$E47:$Z47,MIN(AY$6-$E$3,22))&lt;&gt;""),Trigo!$E47:INDEX(Trigo!$E47:$Z47,MIN(AY$6-$E$3,22))),0))-IF($G$2,0,IF((AY$6-$G$3)&lt;1,0,IFERROR(LOOKUP(2,1/(Trigo!$E47:INDEX(Trigo!$E47:$Z47,MIN(AY$6-$G$3,22))&lt;&gt;""),Trigo!$E47:INDEX(Trigo!$E47:$Z47,MIN(AY$6-$G$3,22))),0)))))</f>
        <v>0</v>
      </c>
      <c r="AZ49" s="27" t="n">
        <f aca="false">IF(COUNT(Trigo!$E47:$Z47)=0,0,MAX(0,IF((AZ$6-$E$3)&lt;1,0,IFERROR(LOOKUP(2,1/(Trigo!$E47:INDEX(Trigo!$E47:$Z47,MIN(AZ$6-$E$3,22))&lt;&gt;""),Trigo!$E47:INDEX(Trigo!$E47:$Z47,MIN(AZ$6-$E$3,22))),0))-IF($G$2,0,IF((AZ$6-$G$3)&lt;1,0,IFERROR(LOOKUP(2,1/(Trigo!$E47:INDEX(Trigo!$E47:$Z47,MIN(AZ$6-$G$3,22))&lt;&gt;""),Trigo!$E47:INDEX(Trigo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IF(COUNT(Trigo!$E48:$Z48)&gt;0,N(Trigo!$D48),0)</f>
        <v>0</v>
      </c>
      <c r="E50" s="27" t="n">
        <f aca="false">IF(COUNT(Trigo!$E48:$Z48)=0,0,MAX(0,IF((E$6-$E$3)&lt;1,0,IFERROR(LOOKUP(2,1/(Trigo!$E48:INDEX(Trigo!$E48:$Z48,MIN(E$6-$E$3,22))&lt;&gt;""),Trigo!$E48:INDEX(Trigo!$E48:$Z48,MIN(E$6-$E$3,22))),0))-IF($G$2,0,IF((E$6-$G$3)&lt;1,0,IFERROR(LOOKUP(2,1/(Trigo!$E48:INDEX(Trigo!$E48:$Z48,MIN(E$6-$G$3,22))&lt;&gt;""),Trigo!$E48:INDEX(Trigo!$E48:$Z48,MIN(E$6-$G$3,22))),0)))))</f>
        <v>0</v>
      </c>
      <c r="F50" s="27" t="n">
        <f aca="false">IF(COUNT(Trigo!$E48:$Z48)=0,0,MAX(0,IF((F$6-$E$3)&lt;1,0,IFERROR(LOOKUP(2,1/(Trigo!$E48:INDEX(Trigo!$E48:$Z48,MIN(F$6-$E$3,22))&lt;&gt;""),Trigo!$E48:INDEX(Trigo!$E48:$Z48,MIN(F$6-$E$3,22))),0))-IF($G$2,0,IF((F$6-$G$3)&lt;1,0,IFERROR(LOOKUP(2,1/(Trigo!$E48:INDEX(Trigo!$E48:$Z48,MIN(F$6-$G$3,22))&lt;&gt;""),Trigo!$E48:INDEX(Trigo!$E48:$Z48,MIN(F$6-$G$3,22))),0)))))</f>
        <v>0</v>
      </c>
      <c r="G50" s="27" t="n">
        <f aca="false">IF(COUNT(Trigo!$E48:$Z48)=0,0,MAX(0,IF((G$6-$E$3)&lt;1,0,IFERROR(LOOKUP(2,1/(Trigo!$E48:INDEX(Trigo!$E48:$Z48,MIN(G$6-$E$3,22))&lt;&gt;""),Trigo!$E48:INDEX(Trigo!$E48:$Z48,MIN(G$6-$E$3,22))),0))-IF($G$2,0,IF((G$6-$G$3)&lt;1,0,IFERROR(LOOKUP(2,1/(Trigo!$E48:INDEX(Trigo!$E48:$Z48,MIN(G$6-$G$3,22))&lt;&gt;""),Trigo!$E48:INDEX(Trigo!$E48:$Z48,MIN(G$6-$G$3,22))),0)))))</f>
        <v>0</v>
      </c>
      <c r="H50" s="27" t="n">
        <f aca="false">IF(COUNT(Trigo!$E48:$Z48)=0,0,MAX(0,IF((H$6-$E$3)&lt;1,0,IFERROR(LOOKUP(2,1/(Trigo!$E48:INDEX(Trigo!$E48:$Z48,MIN(H$6-$E$3,22))&lt;&gt;""),Trigo!$E48:INDEX(Trigo!$E48:$Z48,MIN(H$6-$E$3,22))),0))-IF($G$2,0,IF((H$6-$G$3)&lt;1,0,IFERROR(LOOKUP(2,1/(Trigo!$E48:INDEX(Trigo!$E48:$Z48,MIN(H$6-$G$3,22))&lt;&gt;""),Trigo!$E48:INDEX(Trigo!$E48:$Z48,MIN(H$6-$G$3,22))),0)))))</f>
        <v>0</v>
      </c>
      <c r="I50" s="27" t="n">
        <f aca="false">IF(COUNT(Trigo!$E48:$Z48)=0,0,MAX(0,IF((I$6-$E$3)&lt;1,0,IFERROR(LOOKUP(2,1/(Trigo!$E48:INDEX(Trigo!$E48:$Z48,MIN(I$6-$E$3,22))&lt;&gt;""),Trigo!$E48:INDEX(Trigo!$E48:$Z48,MIN(I$6-$E$3,22))),0))-IF($G$2,0,IF((I$6-$G$3)&lt;1,0,IFERROR(LOOKUP(2,1/(Trigo!$E48:INDEX(Trigo!$E48:$Z48,MIN(I$6-$G$3,22))&lt;&gt;""),Trigo!$E48:INDEX(Trigo!$E48:$Z48,MIN(I$6-$G$3,22))),0)))))</f>
        <v>0</v>
      </c>
      <c r="J50" s="27" t="n">
        <f aca="false">IF(COUNT(Trigo!$E48:$Z48)=0,0,MAX(0,IF((J$6-$E$3)&lt;1,0,IFERROR(LOOKUP(2,1/(Trigo!$E48:INDEX(Trigo!$E48:$Z48,MIN(J$6-$E$3,22))&lt;&gt;""),Trigo!$E48:INDEX(Trigo!$E48:$Z48,MIN(J$6-$E$3,22))),0))-IF($G$2,0,IF((J$6-$G$3)&lt;1,0,IFERROR(LOOKUP(2,1/(Trigo!$E48:INDEX(Trigo!$E48:$Z48,MIN(J$6-$G$3,22))&lt;&gt;""),Trigo!$E48:INDEX(Trigo!$E48:$Z48,MIN(J$6-$G$3,22))),0)))))</f>
        <v>0</v>
      </c>
      <c r="K50" s="27" t="n">
        <f aca="false">IF(COUNT(Trigo!$E48:$Z48)=0,0,MAX(0,IF((K$6-$E$3)&lt;1,0,IFERROR(LOOKUP(2,1/(Trigo!$E48:INDEX(Trigo!$E48:$Z48,MIN(K$6-$E$3,22))&lt;&gt;""),Trigo!$E48:INDEX(Trigo!$E48:$Z48,MIN(K$6-$E$3,22))),0))-IF($G$2,0,IF((K$6-$G$3)&lt;1,0,IFERROR(LOOKUP(2,1/(Trigo!$E48:INDEX(Trigo!$E48:$Z48,MIN(K$6-$G$3,22))&lt;&gt;""),Trigo!$E48:INDEX(Trigo!$E48:$Z48,MIN(K$6-$G$3,22))),0)))))</f>
        <v>0</v>
      </c>
      <c r="L50" s="27" t="n">
        <f aca="false">IF(COUNT(Trigo!$E48:$Z48)=0,0,MAX(0,IF((L$6-$E$3)&lt;1,0,IFERROR(LOOKUP(2,1/(Trigo!$E48:INDEX(Trigo!$E48:$Z48,MIN(L$6-$E$3,22))&lt;&gt;""),Trigo!$E48:INDEX(Trigo!$E48:$Z48,MIN(L$6-$E$3,22))),0))-IF($G$2,0,IF((L$6-$G$3)&lt;1,0,IFERROR(LOOKUP(2,1/(Trigo!$E48:INDEX(Trigo!$E48:$Z48,MIN(L$6-$G$3,22))&lt;&gt;""),Trigo!$E48:INDEX(Trigo!$E48:$Z48,MIN(L$6-$G$3,22))),0)))))</f>
        <v>0</v>
      </c>
      <c r="M50" s="27" t="n">
        <f aca="false">IF(COUNT(Trigo!$E48:$Z48)=0,0,MAX(0,IF((M$6-$E$3)&lt;1,0,IFERROR(LOOKUP(2,1/(Trigo!$E48:INDEX(Trigo!$E48:$Z48,MIN(M$6-$E$3,22))&lt;&gt;""),Trigo!$E48:INDEX(Trigo!$E48:$Z48,MIN(M$6-$E$3,22))),0))-IF($G$2,0,IF((M$6-$G$3)&lt;1,0,IFERROR(LOOKUP(2,1/(Trigo!$E48:INDEX(Trigo!$E48:$Z48,MIN(M$6-$G$3,22))&lt;&gt;""),Trigo!$E48:INDEX(Trigo!$E48:$Z48,MIN(M$6-$G$3,22))),0)))))</f>
        <v>0</v>
      </c>
      <c r="N50" s="27" t="n">
        <f aca="false">IF(COUNT(Trigo!$E48:$Z48)=0,0,MAX(0,IF((N$6-$E$3)&lt;1,0,IFERROR(LOOKUP(2,1/(Trigo!$E48:INDEX(Trigo!$E48:$Z48,MIN(N$6-$E$3,22))&lt;&gt;""),Trigo!$E48:INDEX(Trigo!$E48:$Z48,MIN(N$6-$E$3,22))),0))-IF($G$2,0,IF((N$6-$G$3)&lt;1,0,IFERROR(LOOKUP(2,1/(Trigo!$E48:INDEX(Trigo!$E48:$Z48,MIN(N$6-$G$3,22))&lt;&gt;""),Trigo!$E48:INDEX(Trigo!$E48:$Z48,MIN(N$6-$G$3,22))),0)))))</f>
        <v>0</v>
      </c>
      <c r="O50" s="27" t="n">
        <f aca="false">IF(COUNT(Trigo!$E48:$Z48)=0,0,MAX(0,IF((O$6-$E$3)&lt;1,0,IFERROR(LOOKUP(2,1/(Trigo!$E48:INDEX(Trigo!$E48:$Z48,MIN(O$6-$E$3,22))&lt;&gt;""),Trigo!$E48:INDEX(Trigo!$E48:$Z48,MIN(O$6-$E$3,22))),0))-IF($G$2,0,IF((O$6-$G$3)&lt;1,0,IFERROR(LOOKUP(2,1/(Trigo!$E48:INDEX(Trigo!$E48:$Z48,MIN(O$6-$G$3,22))&lt;&gt;""),Trigo!$E48:INDEX(Trigo!$E48:$Z48,MIN(O$6-$G$3,22))),0)))))</f>
        <v>0</v>
      </c>
      <c r="P50" s="27" t="n">
        <f aca="false">IF(COUNT(Trigo!$E48:$Z48)=0,0,MAX(0,IF((P$6-$E$3)&lt;1,0,IFERROR(LOOKUP(2,1/(Trigo!$E48:INDEX(Trigo!$E48:$Z48,MIN(P$6-$E$3,22))&lt;&gt;""),Trigo!$E48:INDEX(Trigo!$E48:$Z48,MIN(P$6-$E$3,22))),0))-IF($G$2,0,IF((P$6-$G$3)&lt;1,0,IFERROR(LOOKUP(2,1/(Trigo!$E48:INDEX(Trigo!$E48:$Z48,MIN(P$6-$G$3,22))&lt;&gt;""),Trigo!$E48:INDEX(Trigo!$E48:$Z48,MIN(P$6-$G$3,22))),0)))))</f>
        <v>0</v>
      </c>
      <c r="Q50" s="27" t="n">
        <f aca="false">IF(COUNT(Trigo!$E48:$Z48)=0,0,MAX(0,IF((Q$6-$E$3)&lt;1,0,IFERROR(LOOKUP(2,1/(Trigo!$E48:INDEX(Trigo!$E48:$Z48,MIN(Q$6-$E$3,22))&lt;&gt;""),Trigo!$E48:INDEX(Trigo!$E48:$Z48,MIN(Q$6-$E$3,22))),0))-IF($G$2,0,IF((Q$6-$G$3)&lt;1,0,IFERROR(LOOKUP(2,1/(Trigo!$E48:INDEX(Trigo!$E48:$Z48,MIN(Q$6-$G$3,22))&lt;&gt;""),Trigo!$E48:INDEX(Trigo!$E48:$Z48,MIN(Q$6-$G$3,22))),0)))))</f>
        <v>0</v>
      </c>
      <c r="R50" s="27" t="n">
        <f aca="false">IF(COUNT(Trigo!$E48:$Z48)=0,0,MAX(0,IF((R$6-$E$3)&lt;1,0,IFERROR(LOOKUP(2,1/(Trigo!$E48:INDEX(Trigo!$E48:$Z48,MIN(R$6-$E$3,22))&lt;&gt;""),Trigo!$E48:INDEX(Trigo!$E48:$Z48,MIN(R$6-$E$3,22))),0))-IF($G$2,0,IF((R$6-$G$3)&lt;1,0,IFERROR(LOOKUP(2,1/(Trigo!$E48:INDEX(Trigo!$E48:$Z48,MIN(R$6-$G$3,22))&lt;&gt;""),Trigo!$E48:INDEX(Trigo!$E48:$Z48,MIN(R$6-$G$3,22))),0)))))</f>
        <v>0</v>
      </c>
      <c r="S50" s="27" t="n">
        <f aca="false">IF(COUNT(Trigo!$E48:$Z48)=0,0,MAX(0,IF((S$6-$E$3)&lt;1,0,IFERROR(LOOKUP(2,1/(Trigo!$E48:INDEX(Trigo!$E48:$Z48,MIN(S$6-$E$3,22))&lt;&gt;""),Trigo!$E48:INDEX(Trigo!$E48:$Z48,MIN(S$6-$E$3,22))),0))-IF($G$2,0,IF((S$6-$G$3)&lt;1,0,IFERROR(LOOKUP(2,1/(Trigo!$E48:INDEX(Trigo!$E48:$Z48,MIN(S$6-$G$3,22))&lt;&gt;""),Trigo!$E48:INDEX(Trigo!$E48:$Z48,MIN(S$6-$G$3,22))),0)))))</f>
        <v>0</v>
      </c>
      <c r="T50" s="27" t="n">
        <f aca="false">IF(COUNT(Trigo!$E48:$Z48)=0,0,MAX(0,IF((T$6-$E$3)&lt;1,0,IFERROR(LOOKUP(2,1/(Trigo!$E48:INDEX(Trigo!$E48:$Z48,MIN(T$6-$E$3,22))&lt;&gt;""),Trigo!$E48:INDEX(Trigo!$E48:$Z48,MIN(T$6-$E$3,22))),0))-IF($G$2,0,IF((T$6-$G$3)&lt;1,0,IFERROR(LOOKUP(2,1/(Trigo!$E48:INDEX(Trigo!$E48:$Z48,MIN(T$6-$G$3,22))&lt;&gt;""),Trigo!$E48:INDEX(Trigo!$E48:$Z48,MIN(T$6-$G$3,22))),0)))))</f>
        <v>0</v>
      </c>
      <c r="U50" s="27" t="n">
        <f aca="false">IF(COUNT(Trigo!$E48:$Z48)=0,0,MAX(0,IF((U$6-$E$3)&lt;1,0,IFERROR(LOOKUP(2,1/(Trigo!$E48:INDEX(Trigo!$E48:$Z48,MIN(U$6-$E$3,22))&lt;&gt;""),Trigo!$E48:INDEX(Trigo!$E48:$Z48,MIN(U$6-$E$3,22))),0))-IF($G$2,0,IF((U$6-$G$3)&lt;1,0,IFERROR(LOOKUP(2,1/(Trigo!$E48:INDEX(Trigo!$E48:$Z48,MIN(U$6-$G$3,22))&lt;&gt;""),Trigo!$E48:INDEX(Trigo!$E48:$Z48,MIN(U$6-$G$3,22))),0)))))</f>
        <v>0</v>
      </c>
      <c r="V50" s="27" t="n">
        <f aca="false">IF(COUNT(Trigo!$E48:$Z48)=0,0,MAX(0,IF((V$6-$E$3)&lt;1,0,IFERROR(LOOKUP(2,1/(Trigo!$E48:INDEX(Trigo!$E48:$Z48,MIN(V$6-$E$3,22))&lt;&gt;""),Trigo!$E48:INDEX(Trigo!$E48:$Z48,MIN(V$6-$E$3,22))),0))-IF($G$2,0,IF((V$6-$G$3)&lt;1,0,IFERROR(LOOKUP(2,1/(Trigo!$E48:INDEX(Trigo!$E48:$Z48,MIN(V$6-$G$3,22))&lt;&gt;""),Trigo!$E48:INDEX(Trigo!$E48:$Z48,MIN(V$6-$G$3,22))),0)))))</f>
        <v>0</v>
      </c>
      <c r="W50" s="27" t="n">
        <f aca="false">IF(COUNT(Trigo!$E48:$Z48)=0,0,MAX(0,IF((W$6-$E$3)&lt;1,0,IFERROR(LOOKUP(2,1/(Trigo!$E48:INDEX(Trigo!$E48:$Z48,MIN(W$6-$E$3,22))&lt;&gt;""),Trigo!$E48:INDEX(Trigo!$E48:$Z48,MIN(W$6-$E$3,22))),0))-IF($G$2,0,IF((W$6-$G$3)&lt;1,0,IFERROR(LOOKUP(2,1/(Trigo!$E48:INDEX(Trigo!$E48:$Z48,MIN(W$6-$G$3,22))&lt;&gt;""),Trigo!$E48:INDEX(Trigo!$E48:$Z48,MIN(W$6-$G$3,22))),0)))))</f>
        <v>0</v>
      </c>
      <c r="X50" s="27" t="n">
        <f aca="false">IF(COUNT(Trigo!$E48:$Z48)=0,0,MAX(0,IF((X$6-$E$3)&lt;1,0,IFERROR(LOOKUP(2,1/(Trigo!$E48:INDEX(Trigo!$E48:$Z48,MIN(X$6-$E$3,22))&lt;&gt;""),Trigo!$E48:INDEX(Trigo!$E48:$Z48,MIN(X$6-$E$3,22))),0))-IF($G$2,0,IF((X$6-$G$3)&lt;1,0,IFERROR(LOOKUP(2,1/(Trigo!$E48:INDEX(Trigo!$E48:$Z48,MIN(X$6-$G$3,22))&lt;&gt;""),Trigo!$E48:INDEX(Trigo!$E48:$Z48,MIN(X$6-$G$3,22))),0)))))</f>
        <v>0</v>
      </c>
      <c r="Y50" s="27" t="n">
        <f aca="false">IF(COUNT(Trigo!$E48:$Z48)=0,0,MAX(0,IF((Y$6-$E$3)&lt;1,0,IFERROR(LOOKUP(2,1/(Trigo!$E48:INDEX(Trigo!$E48:$Z48,MIN(Y$6-$E$3,22))&lt;&gt;""),Trigo!$E48:INDEX(Trigo!$E48:$Z48,MIN(Y$6-$E$3,22))),0))-IF($G$2,0,IF((Y$6-$G$3)&lt;1,0,IFERROR(LOOKUP(2,1/(Trigo!$E48:INDEX(Trigo!$E48:$Z48,MIN(Y$6-$G$3,22))&lt;&gt;""),Trigo!$E48:INDEX(Trigo!$E48:$Z48,MIN(Y$6-$G$3,22))),0)))))</f>
        <v>0</v>
      </c>
      <c r="Z50" s="27" t="n">
        <f aca="false">IF(COUNT(Trigo!$E48:$Z48)=0,0,MAX(0,IF((Z$6-$E$3)&lt;1,0,IFERROR(LOOKUP(2,1/(Trigo!$E48:INDEX(Trigo!$E48:$Z48,MIN(Z$6-$E$3,22))&lt;&gt;""),Trigo!$E48:INDEX(Trigo!$E48:$Z48,MIN(Z$6-$E$3,22))),0))-IF($G$2,0,IF((Z$6-$G$3)&lt;1,0,IFERROR(LOOKUP(2,1/(Trigo!$E48:INDEX(Trigo!$E48:$Z48,MIN(Z$6-$G$3,22))&lt;&gt;""),Trigo!$E48:INDEX(Trigo!$E48:$Z48,MIN(Z$6-$G$3,22))),0)))))</f>
        <v>0</v>
      </c>
      <c r="AA50" s="27" t="n">
        <f aca="false">IF(COUNT(Trigo!$E48:$Z48)=0,0,MAX(0,IF((AA$6-$E$3)&lt;1,0,IFERROR(LOOKUP(2,1/(Trigo!$E48:INDEX(Trigo!$E48:$Z48,MIN(AA$6-$E$3,22))&lt;&gt;""),Trigo!$E48:INDEX(Trigo!$E48:$Z48,MIN(AA$6-$E$3,22))),0))-IF($G$2,0,IF((AA$6-$G$3)&lt;1,0,IFERROR(LOOKUP(2,1/(Trigo!$E48:INDEX(Trigo!$E48:$Z48,MIN(AA$6-$G$3,22))&lt;&gt;""),Trigo!$E48:INDEX(Trigo!$E48:$Z48,MIN(AA$6-$G$3,22))),0)))))</f>
        <v>0</v>
      </c>
      <c r="AB50" s="27" t="n">
        <f aca="false">IF(COUNT(Trigo!$E48:$Z48)=0,0,MAX(0,IF((AB$6-$E$3)&lt;1,0,IFERROR(LOOKUP(2,1/(Trigo!$E48:INDEX(Trigo!$E48:$Z48,MIN(AB$6-$E$3,22))&lt;&gt;""),Trigo!$E48:INDEX(Trigo!$E48:$Z48,MIN(AB$6-$E$3,22))),0))-IF($G$2,0,IF((AB$6-$G$3)&lt;1,0,IFERROR(LOOKUP(2,1/(Trigo!$E48:INDEX(Trigo!$E48:$Z48,MIN(AB$6-$G$3,22))&lt;&gt;""),Trigo!$E48:INDEX(Trigo!$E48:$Z48,MIN(AB$6-$G$3,22))),0)))))</f>
        <v>0</v>
      </c>
      <c r="AC50" s="27" t="n">
        <f aca="false">IF(COUNT(Trigo!$E48:$Z48)=0,0,MAX(0,IF((AC$6-$E$3)&lt;1,0,IFERROR(LOOKUP(2,1/(Trigo!$E48:INDEX(Trigo!$E48:$Z48,MIN(AC$6-$E$3,22))&lt;&gt;""),Trigo!$E48:INDEX(Trigo!$E48:$Z48,MIN(AC$6-$E$3,22))),0))-IF($G$2,0,IF((AC$6-$G$3)&lt;1,0,IFERROR(LOOKUP(2,1/(Trigo!$E48:INDEX(Trigo!$E48:$Z48,MIN(AC$6-$G$3,22))&lt;&gt;""),Trigo!$E48:INDEX(Trigo!$E48:$Z48,MIN(AC$6-$G$3,22))),0)))))</f>
        <v>0</v>
      </c>
      <c r="AD50" s="27" t="n">
        <f aca="false">IF(COUNT(Trigo!$E48:$Z48)=0,0,MAX(0,IF((AD$6-$E$3)&lt;1,0,IFERROR(LOOKUP(2,1/(Trigo!$E48:INDEX(Trigo!$E48:$Z48,MIN(AD$6-$E$3,22))&lt;&gt;""),Trigo!$E48:INDEX(Trigo!$E48:$Z48,MIN(AD$6-$E$3,22))),0))-IF($G$2,0,IF((AD$6-$G$3)&lt;1,0,IFERROR(LOOKUP(2,1/(Trigo!$E48:INDEX(Trigo!$E48:$Z48,MIN(AD$6-$G$3,22))&lt;&gt;""),Trigo!$E48:INDEX(Trigo!$E48:$Z48,MIN(AD$6-$G$3,22))),0)))))</f>
        <v>0</v>
      </c>
      <c r="AE50" s="27" t="n">
        <f aca="false">IF(COUNT(Trigo!$E48:$Z48)=0,0,MAX(0,IF((AE$6-$E$3)&lt;1,0,IFERROR(LOOKUP(2,1/(Trigo!$E48:INDEX(Trigo!$E48:$Z48,MIN(AE$6-$E$3,22))&lt;&gt;""),Trigo!$E48:INDEX(Trigo!$E48:$Z48,MIN(AE$6-$E$3,22))),0))-IF($G$2,0,IF((AE$6-$G$3)&lt;1,0,IFERROR(LOOKUP(2,1/(Trigo!$E48:INDEX(Trigo!$E48:$Z48,MIN(AE$6-$G$3,22))&lt;&gt;""),Trigo!$E48:INDEX(Trigo!$E48:$Z48,MIN(AE$6-$G$3,22))),0)))))</f>
        <v>0</v>
      </c>
      <c r="AF50" s="27" t="n">
        <f aca="false">IF(COUNT(Trigo!$E48:$Z48)=0,0,MAX(0,IF((AF$6-$E$3)&lt;1,0,IFERROR(LOOKUP(2,1/(Trigo!$E48:INDEX(Trigo!$E48:$Z48,MIN(AF$6-$E$3,22))&lt;&gt;""),Trigo!$E48:INDEX(Trigo!$E48:$Z48,MIN(AF$6-$E$3,22))),0))-IF($G$2,0,IF((AF$6-$G$3)&lt;1,0,IFERROR(LOOKUP(2,1/(Trigo!$E48:INDEX(Trigo!$E48:$Z48,MIN(AF$6-$G$3,22))&lt;&gt;""),Trigo!$E48:INDEX(Trigo!$E48:$Z48,MIN(AF$6-$G$3,22))),0)))))</f>
        <v>0</v>
      </c>
      <c r="AG50" s="27" t="n">
        <f aca="false">IF(COUNT(Trigo!$E48:$Z48)=0,0,MAX(0,IF((AG$6-$E$3)&lt;1,0,IFERROR(LOOKUP(2,1/(Trigo!$E48:INDEX(Trigo!$E48:$Z48,MIN(AG$6-$E$3,22))&lt;&gt;""),Trigo!$E48:INDEX(Trigo!$E48:$Z48,MIN(AG$6-$E$3,22))),0))-IF($G$2,0,IF((AG$6-$G$3)&lt;1,0,IFERROR(LOOKUP(2,1/(Trigo!$E48:INDEX(Trigo!$E48:$Z48,MIN(AG$6-$G$3,22))&lt;&gt;""),Trigo!$E48:INDEX(Trigo!$E48:$Z48,MIN(AG$6-$G$3,22))),0)))))</f>
        <v>0</v>
      </c>
      <c r="AH50" s="27" t="n">
        <f aca="false">IF(COUNT(Trigo!$E48:$Z48)=0,0,MAX(0,IF((AH$6-$E$3)&lt;1,0,IFERROR(LOOKUP(2,1/(Trigo!$E48:INDEX(Trigo!$E48:$Z48,MIN(AH$6-$E$3,22))&lt;&gt;""),Trigo!$E48:INDEX(Trigo!$E48:$Z48,MIN(AH$6-$E$3,22))),0))-IF($G$2,0,IF((AH$6-$G$3)&lt;1,0,IFERROR(LOOKUP(2,1/(Trigo!$E48:INDEX(Trigo!$E48:$Z48,MIN(AH$6-$G$3,22))&lt;&gt;""),Trigo!$E48:INDEX(Trigo!$E48:$Z48,MIN(AH$6-$G$3,22))),0)))))</f>
        <v>0</v>
      </c>
      <c r="AI50" s="27" t="n">
        <f aca="false">IF(COUNT(Trigo!$E48:$Z48)=0,0,MAX(0,IF((AI$6-$E$3)&lt;1,0,IFERROR(LOOKUP(2,1/(Trigo!$E48:INDEX(Trigo!$E48:$Z48,MIN(AI$6-$E$3,22))&lt;&gt;""),Trigo!$E48:INDEX(Trigo!$E48:$Z48,MIN(AI$6-$E$3,22))),0))-IF($G$2,0,IF((AI$6-$G$3)&lt;1,0,IFERROR(LOOKUP(2,1/(Trigo!$E48:INDEX(Trigo!$E48:$Z48,MIN(AI$6-$G$3,22))&lt;&gt;""),Trigo!$E48:INDEX(Trigo!$E48:$Z48,MIN(AI$6-$G$3,22))),0)))))</f>
        <v>0</v>
      </c>
      <c r="AJ50" s="27" t="n">
        <f aca="false">IF(COUNT(Trigo!$E48:$Z48)=0,0,MAX(0,IF((AJ$6-$E$3)&lt;1,0,IFERROR(LOOKUP(2,1/(Trigo!$E48:INDEX(Trigo!$E48:$Z48,MIN(AJ$6-$E$3,22))&lt;&gt;""),Trigo!$E48:INDEX(Trigo!$E48:$Z48,MIN(AJ$6-$E$3,22))),0))-IF($G$2,0,IF((AJ$6-$G$3)&lt;1,0,IFERROR(LOOKUP(2,1/(Trigo!$E48:INDEX(Trigo!$E48:$Z48,MIN(AJ$6-$G$3,22))&lt;&gt;""),Trigo!$E48:INDEX(Trigo!$E48:$Z48,MIN(AJ$6-$G$3,22))),0)))))</f>
        <v>0</v>
      </c>
      <c r="AK50" s="27" t="n">
        <f aca="false">IF(COUNT(Trigo!$E48:$Z48)=0,0,MAX(0,IF((AK$6-$E$3)&lt;1,0,IFERROR(LOOKUP(2,1/(Trigo!$E48:INDEX(Trigo!$E48:$Z48,MIN(AK$6-$E$3,22))&lt;&gt;""),Trigo!$E48:INDEX(Trigo!$E48:$Z48,MIN(AK$6-$E$3,22))),0))-IF($G$2,0,IF((AK$6-$G$3)&lt;1,0,IFERROR(LOOKUP(2,1/(Trigo!$E48:INDEX(Trigo!$E48:$Z48,MIN(AK$6-$G$3,22))&lt;&gt;""),Trigo!$E48:INDEX(Trigo!$E48:$Z48,MIN(AK$6-$G$3,22))),0)))))</f>
        <v>0</v>
      </c>
      <c r="AL50" s="27" t="n">
        <f aca="false">IF(COUNT(Trigo!$E48:$Z48)=0,0,MAX(0,IF((AL$6-$E$3)&lt;1,0,IFERROR(LOOKUP(2,1/(Trigo!$E48:INDEX(Trigo!$E48:$Z48,MIN(AL$6-$E$3,22))&lt;&gt;""),Trigo!$E48:INDEX(Trigo!$E48:$Z48,MIN(AL$6-$E$3,22))),0))-IF($G$2,0,IF((AL$6-$G$3)&lt;1,0,IFERROR(LOOKUP(2,1/(Trigo!$E48:INDEX(Trigo!$E48:$Z48,MIN(AL$6-$G$3,22))&lt;&gt;""),Trigo!$E48:INDEX(Trigo!$E48:$Z48,MIN(AL$6-$G$3,22))),0)))))</f>
        <v>0</v>
      </c>
      <c r="AM50" s="27" t="n">
        <f aca="false">IF(COUNT(Trigo!$E48:$Z48)=0,0,MAX(0,IF((AM$6-$E$3)&lt;1,0,IFERROR(LOOKUP(2,1/(Trigo!$E48:INDEX(Trigo!$E48:$Z48,MIN(AM$6-$E$3,22))&lt;&gt;""),Trigo!$E48:INDEX(Trigo!$E48:$Z48,MIN(AM$6-$E$3,22))),0))-IF($G$2,0,IF((AM$6-$G$3)&lt;1,0,IFERROR(LOOKUP(2,1/(Trigo!$E48:INDEX(Trigo!$E48:$Z48,MIN(AM$6-$G$3,22))&lt;&gt;""),Trigo!$E48:INDEX(Trigo!$E48:$Z48,MIN(AM$6-$G$3,22))),0)))))</f>
        <v>0</v>
      </c>
      <c r="AN50" s="27" t="n">
        <f aca="false">IF(COUNT(Trigo!$E48:$Z48)=0,0,MAX(0,IF((AN$6-$E$3)&lt;1,0,IFERROR(LOOKUP(2,1/(Trigo!$E48:INDEX(Trigo!$E48:$Z48,MIN(AN$6-$E$3,22))&lt;&gt;""),Trigo!$E48:INDEX(Trigo!$E48:$Z48,MIN(AN$6-$E$3,22))),0))-IF($G$2,0,IF((AN$6-$G$3)&lt;1,0,IFERROR(LOOKUP(2,1/(Trigo!$E48:INDEX(Trigo!$E48:$Z48,MIN(AN$6-$G$3,22))&lt;&gt;""),Trigo!$E48:INDEX(Trigo!$E48:$Z48,MIN(AN$6-$G$3,22))),0)))))</f>
        <v>0</v>
      </c>
      <c r="AO50" s="27" t="n">
        <f aca="false">IF(COUNT(Trigo!$E48:$Z48)=0,0,MAX(0,IF((AO$6-$E$3)&lt;1,0,IFERROR(LOOKUP(2,1/(Trigo!$E48:INDEX(Trigo!$E48:$Z48,MIN(AO$6-$E$3,22))&lt;&gt;""),Trigo!$E48:INDEX(Trigo!$E48:$Z48,MIN(AO$6-$E$3,22))),0))-IF($G$2,0,IF((AO$6-$G$3)&lt;1,0,IFERROR(LOOKUP(2,1/(Trigo!$E48:INDEX(Trigo!$E48:$Z48,MIN(AO$6-$G$3,22))&lt;&gt;""),Trigo!$E48:INDEX(Trigo!$E48:$Z48,MIN(AO$6-$G$3,22))),0)))))</f>
        <v>0</v>
      </c>
      <c r="AP50" s="27" t="n">
        <f aca="false">IF(COUNT(Trigo!$E48:$Z48)=0,0,MAX(0,IF((AP$6-$E$3)&lt;1,0,IFERROR(LOOKUP(2,1/(Trigo!$E48:INDEX(Trigo!$E48:$Z48,MIN(AP$6-$E$3,22))&lt;&gt;""),Trigo!$E48:INDEX(Trigo!$E48:$Z48,MIN(AP$6-$E$3,22))),0))-IF($G$2,0,IF((AP$6-$G$3)&lt;1,0,IFERROR(LOOKUP(2,1/(Trigo!$E48:INDEX(Trigo!$E48:$Z48,MIN(AP$6-$G$3,22))&lt;&gt;""),Trigo!$E48:INDEX(Trigo!$E48:$Z48,MIN(AP$6-$G$3,22))),0)))))</f>
        <v>0</v>
      </c>
      <c r="AQ50" s="27" t="n">
        <f aca="false">IF(COUNT(Trigo!$E48:$Z48)=0,0,MAX(0,IF((AQ$6-$E$3)&lt;1,0,IFERROR(LOOKUP(2,1/(Trigo!$E48:INDEX(Trigo!$E48:$Z48,MIN(AQ$6-$E$3,22))&lt;&gt;""),Trigo!$E48:INDEX(Trigo!$E48:$Z48,MIN(AQ$6-$E$3,22))),0))-IF($G$2,0,IF((AQ$6-$G$3)&lt;1,0,IFERROR(LOOKUP(2,1/(Trigo!$E48:INDEX(Trigo!$E48:$Z48,MIN(AQ$6-$G$3,22))&lt;&gt;""),Trigo!$E48:INDEX(Trigo!$E48:$Z48,MIN(AQ$6-$G$3,22))),0)))))</f>
        <v>0</v>
      </c>
      <c r="AR50" s="27" t="n">
        <f aca="false">IF(COUNT(Trigo!$E48:$Z48)=0,0,MAX(0,IF((AR$6-$E$3)&lt;1,0,IFERROR(LOOKUP(2,1/(Trigo!$E48:INDEX(Trigo!$E48:$Z48,MIN(AR$6-$E$3,22))&lt;&gt;""),Trigo!$E48:INDEX(Trigo!$E48:$Z48,MIN(AR$6-$E$3,22))),0))-IF($G$2,0,IF((AR$6-$G$3)&lt;1,0,IFERROR(LOOKUP(2,1/(Trigo!$E48:INDEX(Trigo!$E48:$Z48,MIN(AR$6-$G$3,22))&lt;&gt;""),Trigo!$E48:INDEX(Trigo!$E48:$Z48,MIN(AR$6-$G$3,22))),0)))))</f>
        <v>0</v>
      </c>
      <c r="AS50" s="27" t="n">
        <f aca="false">IF(COUNT(Trigo!$E48:$Z48)=0,0,MAX(0,IF((AS$6-$E$3)&lt;1,0,IFERROR(LOOKUP(2,1/(Trigo!$E48:INDEX(Trigo!$E48:$Z48,MIN(AS$6-$E$3,22))&lt;&gt;""),Trigo!$E48:INDEX(Trigo!$E48:$Z48,MIN(AS$6-$E$3,22))),0))-IF($G$2,0,IF((AS$6-$G$3)&lt;1,0,IFERROR(LOOKUP(2,1/(Trigo!$E48:INDEX(Trigo!$E48:$Z48,MIN(AS$6-$G$3,22))&lt;&gt;""),Trigo!$E48:INDEX(Trigo!$E48:$Z48,MIN(AS$6-$G$3,22))),0)))))</f>
        <v>0</v>
      </c>
      <c r="AT50" s="27" t="n">
        <f aca="false">IF(COUNT(Trigo!$E48:$Z48)=0,0,MAX(0,IF((AT$6-$E$3)&lt;1,0,IFERROR(LOOKUP(2,1/(Trigo!$E48:INDEX(Trigo!$E48:$Z48,MIN(AT$6-$E$3,22))&lt;&gt;""),Trigo!$E48:INDEX(Trigo!$E48:$Z48,MIN(AT$6-$E$3,22))),0))-IF($G$2,0,IF((AT$6-$G$3)&lt;1,0,IFERROR(LOOKUP(2,1/(Trigo!$E48:INDEX(Trigo!$E48:$Z48,MIN(AT$6-$G$3,22))&lt;&gt;""),Trigo!$E48:INDEX(Trigo!$E48:$Z48,MIN(AT$6-$G$3,22))),0)))))</f>
        <v>0</v>
      </c>
      <c r="AU50" s="27" t="n">
        <f aca="false">IF(COUNT(Trigo!$E48:$Z48)=0,0,MAX(0,IF((AU$6-$E$3)&lt;1,0,IFERROR(LOOKUP(2,1/(Trigo!$E48:INDEX(Trigo!$E48:$Z48,MIN(AU$6-$E$3,22))&lt;&gt;""),Trigo!$E48:INDEX(Trigo!$E48:$Z48,MIN(AU$6-$E$3,22))),0))-IF($G$2,0,IF((AU$6-$G$3)&lt;1,0,IFERROR(LOOKUP(2,1/(Trigo!$E48:INDEX(Trigo!$E48:$Z48,MIN(AU$6-$G$3,22))&lt;&gt;""),Trigo!$E48:INDEX(Trigo!$E48:$Z48,MIN(AU$6-$G$3,22))),0)))))</f>
        <v>0</v>
      </c>
      <c r="AV50" s="27" t="n">
        <f aca="false">IF(COUNT(Trigo!$E48:$Z48)=0,0,MAX(0,IF((AV$6-$E$3)&lt;1,0,IFERROR(LOOKUP(2,1/(Trigo!$E48:INDEX(Trigo!$E48:$Z48,MIN(AV$6-$E$3,22))&lt;&gt;""),Trigo!$E48:INDEX(Trigo!$E48:$Z48,MIN(AV$6-$E$3,22))),0))-IF($G$2,0,IF((AV$6-$G$3)&lt;1,0,IFERROR(LOOKUP(2,1/(Trigo!$E48:INDEX(Trigo!$E48:$Z48,MIN(AV$6-$G$3,22))&lt;&gt;""),Trigo!$E48:INDEX(Trigo!$E48:$Z48,MIN(AV$6-$G$3,22))),0)))))</f>
        <v>0</v>
      </c>
      <c r="AW50" s="27" t="n">
        <f aca="false">IF(COUNT(Trigo!$E48:$Z48)=0,0,MAX(0,IF((AW$6-$E$3)&lt;1,0,IFERROR(LOOKUP(2,1/(Trigo!$E48:INDEX(Trigo!$E48:$Z48,MIN(AW$6-$E$3,22))&lt;&gt;""),Trigo!$E48:INDEX(Trigo!$E48:$Z48,MIN(AW$6-$E$3,22))),0))-IF($G$2,0,IF((AW$6-$G$3)&lt;1,0,IFERROR(LOOKUP(2,1/(Trigo!$E48:INDEX(Trigo!$E48:$Z48,MIN(AW$6-$G$3,22))&lt;&gt;""),Trigo!$E48:INDEX(Trigo!$E48:$Z48,MIN(AW$6-$G$3,22))),0)))))</f>
        <v>0</v>
      </c>
      <c r="AX50" s="27" t="n">
        <f aca="false">IF(COUNT(Trigo!$E48:$Z48)=0,0,MAX(0,IF((AX$6-$E$3)&lt;1,0,IFERROR(LOOKUP(2,1/(Trigo!$E48:INDEX(Trigo!$E48:$Z48,MIN(AX$6-$E$3,22))&lt;&gt;""),Trigo!$E48:INDEX(Trigo!$E48:$Z48,MIN(AX$6-$E$3,22))),0))-IF($G$2,0,IF((AX$6-$G$3)&lt;1,0,IFERROR(LOOKUP(2,1/(Trigo!$E48:INDEX(Trigo!$E48:$Z48,MIN(AX$6-$G$3,22))&lt;&gt;""),Trigo!$E48:INDEX(Trigo!$E48:$Z48,MIN(AX$6-$G$3,22))),0)))))</f>
        <v>0</v>
      </c>
      <c r="AY50" s="27" t="n">
        <f aca="false">IF(COUNT(Trigo!$E48:$Z48)=0,0,MAX(0,IF((AY$6-$E$3)&lt;1,0,IFERROR(LOOKUP(2,1/(Trigo!$E48:INDEX(Trigo!$E48:$Z48,MIN(AY$6-$E$3,22))&lt;&gt;""),Trigo!$E48:INDEX(Trigo!$E48:$Z48,MIN(AY$6-$E$3,22))),0))-IF($G$2,0,IF((AY$6-$G$3)&lt;1,0,IFERROR(LOOKUP(2,1/(Trigo!$E48:INDEX(Trigo!$E48:$Z48,MIN(AY$6-$G$3,22))&lt;&gt;""),Trigo!$E48:INDEX(Trigo!$E48:$Z48,MIN(AY$6-$G$3,22))),0)))))</f>
        <v>0</v>
      </c>
      <c r="AZ50" s="27" t="n">
        <f aca="false">IF(COUNT(Trigo!$E48:$Z48)=0,0,MAX(0,IF((AZ$6-$E$3)&lt;1,0,IFERROR(LOOKUP(2,1/(Trigo!$E48:INDEX(Trigo!$E48:$Z48,MIN(AZ$6-$E$3,22))&lt;&gt;""),Trigo!$E48:INDEX(Trigo!$E48:$Z48,MIN(AZ$6-$E$3,22))),0))-IF($G$2,0,IF((AZ$6-$G$3)&lt;1,0,IFERROR(LOOKUP(2,1/(Trigo!$E48:INDEX(Trigo!$E48:$Z48,MIN(AZ$6-$G$3,22))&lt;&gt;""),Trigo!$E48:INDEX(Trigo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IF(COUNT(Trigo!$E49:$Z49)&gt;0,N(Trigo!$D49),0)</f>
        <v>0</v>
      </c>
      <c r="E51" s="27" t="n">
        <f aca="false">IF(COUNT(Trigo!$E49:$Z49)=0,0,MAX(0,IF((E$6-$E$3)&lt;1,0,IFERROR(LOOKUP(2,1/(Trigo!$E49:INDEX(Trigo!$E49:$Z49,MIN(E$6-$E$3,22))&lt;&gt;""),Trigo!$E49:INDEX(Trigo!$E49:$Z49,MIN(E$6-$E$3,22))),0))-IF($G$2,0,IF((E$6-$G$3)&lt;1,0,IFERROR(LOOKUP(2,1/(Trigo!$E49:INDEX(Trigo!$E49:$Z49,MIN(E$6-$G$3,22))&lt;&gt;""),Trigo!$E49:INDEX(Trigo!$E49:$Z49,MIN(E$6-$G$3,22))),0)))))</f>
        <v>0</v>
      </c>
      <c r="F51" s="27" t="n">
        <f aca="false">IF(COUNT(Trigo!$E49:$Z49)=0,0,MAX(0,IF((F$6-$E$3)&lt;1,0,IFERROR(LOOKUP(2,1/(Trigo!$E49:INDEX(Trigo!$E49:$Z49,MIN(F$6-$E$3,22))&lt;&gt;""),Trigo!$E49:INDEX(Trigo!$E49:$Z49,MIN(F$6-$E$3,22))),0))-IF($G$2,0,IF((F$6-$G$3)&lt;1,0,IFERROR(LOOKUP(2,1/(Trigo!$E49:INDEX(Trigo!$E49:$Z49,MIN(F$6-$G$3,22))&lt;&gt;""),Trigo!$E49:INDEX(Trigo!$E49:$Z49,MIN(F$6-$G$3,22))),0)))))</f>
        <v>0</v>
      </c>
      <c r="G51" s="27" t="n">
        <f aca="false">IF(COUNT(Trigo!$E49:$Z49)=0,0,MAX(0,IF((G$6-$E$3)&lt;1,0,IFERROR(LOOKUP(2,1/(Trigo!$E49:INDEX(Trigo!$E49:$Z49,MIN(G$6-$E$3,22))&lt;&gt;""),Trigo!$E49:INDEX(Trigo!$E49:$Z49,MIN(G$6-$E$3,22))),0))-IF($G$2,0,IF((G$6-$G$3)&lt;1,0,IFERROR(LOOKUP(2,1/(Trigo!$E49:INDEX(Trigo!$E49:$Z49,MIN(G$6-$G$3,22))&lt;&gt;""),Trigo!$E49:INDEX(Trigo!$E49:$Z49,MIN(G$6-$G$3,22))),0)))))</f>
        <v>0</v>
      </c>
      <c r="H51" s="27" t="n">
        <f aca="false">IF(COUNT(Trigo!$E49:$Z49)=0,0,MAX(0,IF((H$6-$E$3)&lt;1,0,IFERROR(LOOKUP(2,1/(Trigo!$E49:INDEX(Trigo!$E49:$Z49,MIN(H$6-$E$3,22))&lt;&gt;""),Trigo!$E49:INDEX(Trigo!$E49:$Z49,MIN(H$6-$E$3,22))),0))-IF($G$2,0,IF((H$6-$G$3)&lt;1,0,IFERROR(LOOKUP(2,1/(Trigo!$E49:INDEX(Trigo!$E49:$Z49,MIN(H$6-$G$3,22))&lt;&gt;""),Trigo!$E49:INDEX(Trigo!$E49:$Z49,MIN(H$6-$G$3,22))),0)))))</f>
        <v>0</v>
      </c>
      <c r="I51" s="27" t="n">
        <f aca="false">IF(COUNT(Trigo!$E49:$Z49)=0,0,MAX(0,IF((I$6-$E$3)&lt;1,0,IFERROR(LOOKUP(2,1/(Trigo!$E49:INDEX(Trigo!$E49:$Z49,MIN(I$6-$E$3,22))&lt;&gt;""),Trigo!$E49:INDEX(Trigo!$E49:$Z49,MIN(I$6-$E$3,22))),0))-IF($G$2,0,IF((I$6-$G$3)&lt;1,0,IFERROR(LOOKUP(2,1/(Trigo!$E49:INDEX(Trigo!$E49:$Z49,MIN(I$6-$G$3,22))&lt;&gt;""),Trigo!$E49:INDEX(Trigo!$E49:$Z49,MIN(I$6-$G$3,22))),0)))))</f>
        <v>0</v>
      </c>
      <c r="J51" s="27" t="n">
        <f aca="false">IF(COUNT(Trigo!$E49:$Z49)=0,0,MAX(0,IF((J$6-$E$3)&lt;1,0,IFERROR(LOOKUP(2,1/(Trigo!$E49:INDEX(Trigo!$E49:$Z49,MIN(J$6-$E$3,22))&lt;&gt;""),Trigo!$E49:INDEX(Trigo!$E49:$Z49,MIN(J$6-$E$3,22))),0))-IF($G$2,0,IF((J$6-$G$3)&lt;1,0,IFERROR(LOOKUP(2,1/(Trigo!$E49:INDEX(Trigo!$E49:$Z49,MIN(J$6-$G$3,22))&lt;&gt;""),Trigo!$E49:INDEX(Trigo!$E49:$Z49,MIN(J$6-$G$3,22))),0)))))</f>
        <v>0</v>
      </c>
      <c r="K51" s="27" t="n">
        <f aca="false">IF(COUNT(Trigo!$E49:$Z49)=0,0,MAX(0,IF((K$6-$E$3)&lt;1,0,IFERROR(LOOKUP(2,1/(Trigo!$E49:INDEX(Trigo!$E49:$Z49,MIN(K$6-$E$3,22))&lt;&gt;""),Trigo!$E49:INDEX(Trigo!$E49:$Z49,MIN(K$6-$E$3,22))),0))-IF($G$2,0,IF((K$6-$G$3)&lt;1,0,IFERROR(LOOKUP(2,1/(Trigo!$E49:INDEX(Trigo!$E49:$Z49,MIN(K$6-$G$3,22))&lt;&gt;""),Trigo!$E49:INDEX(Trigo!$E49:$Z49,MIN(K$6-$G$3,22))),0)))))</f>
        <v>0</v>
      </c>
      <c r="L51" s="27" t="n">
        <f aca="false">IF(COUNT(Trigo!$E49:$Z49)=0,0,MAX(0,IF((L$6-$E$3)&lt;1,0,IFERROR(LOOKUP(2,1/(Trigo!$E49:INDEX(Trigo!$E49:$Z49,MIN(L$6-$E$3,22))&lt;&gt;""),Trigo!$E49:INDEX(Trigo!$E49:$Z49,MIN(L$6-$E$3,22))),0))-IF($G$2,0,IF((L$6-$G$3)&lt;1,0,IFERROR(LOOKUP(2,1/(Trigo!$E49:INDEX(Trigo!$E49:$Z49,MIN(L$6-$G$3,22))&lt;&gt;""),Trigo!$E49:INDEX(Trigo!$E49:$Z49,MIN(L$6-$G$3,22))),0)))))</f>
        <v>0</v>
      </c>
      <c r="M51" s="27" t="n">
        <f aca="false">IF(COUNT(Trigo!$E49:$Z49)=0,0,MAX(0,IF((M$6-$E$3)&lt;1,0,IFERROR(LOOKUP(2,1/(Trigo!$E49:INDEX(Trigo!$E49:$Z49,MIN(M$6-$E$3,22))&lt;&gt;""),Trigo!$E49:INDEX(Trigo!$E49:$Z49,MIN(M$6-$E$3,22))),0))-IF($G$2,0,IF((M$6-$G$3)&lt;1,0,IFERROR(LOOKUP(2,1/(Trigo!$E49:INDEX(Trigo!$E49:$Z49,MIN(M$6-$G$3,22))&lt;&gt;""),Trigo!$E49:INDEX(Trigo!$E49:$Z49,MIN(M$6-$G$3,22))),0)))))</f>
        <v>0</v>
      </c>
      <c r="N51" s="27" t="n">
        <f aca="false">IF(COUNT(Trigo!$E49:$Z49)=0,0,MAX(0,IF((N$6-$E$3)&lt;1,0,IFERROR(LOOKUP(2,1/(Trigo!$E49:INDEX(Trigo!$E49:$Z49,MIN(N$6-$E$3,22))&lt;&gt;""),Trigo!$E49:INDEX(Trigo!$E49:$Z49,MIN(N$6-$E$3,22))),0))-IF($G$2,0,IF((N$6-$G$3)&lt;1,0,IFERROR(LOOKUP(2,1/(Trigo!$E49:INDEX(Trigo!$E49:$Z49,MIN(N$6-$G$3,22))&lt;&gt;""),Trigo!$E49:INDEX(Trigo!$E49:$Z49,MIN(N$6-$G$3,22))),0)))))</f>
        <v>0</v>
      </c>
      <c r="O51" s="27" t="n">
        <f aca="false">IF(COUNT(Trigo!$E49:$Z49)=0,0,MAX(0,IF((O$6-$E$3)&lt;1,0,IFERROR(LOOKUP(2,1/(Trigo!$E49:INDEX(Trigo!$E49:$Z49,MIN(O$6-$E$3,22))&lt;&gt;""),Trigo!$E49:INDEX(Trigo!$E49:$Z49,MIN(O$6-$E$3,22))),0))-IF($G$2,0,IF((O$6-$G$3)&lt;1,0,IFERROR(LOOKUP(2,1/(Trigo!$E49:INDEX(Trigo!$E49:$Z49,MIN(O$6-$G$3,22))&lt;&gt;""),Trigo!$E49:INDEX(Trigo!$E49:$Z49,MIN(O$6-$G$3,22))),0)))))</f>
        <v>0</v>
      </c>
      <c r="P51" s="27" t="n">
        <f aca="false">IF(COUNT(Trigo!$E49:$Z49)=0,0,MAX(0,IF((P$6-$E$3)&lt;1,0,IFERROR(LOOKUP(2,1/(Trigo!$E49:INDEX(Trigo!$E49:$Z49,MIN(P$6-$E$3,22))&lt;&gt;""),Trigo!$E49:INDEX(Trigo!$E49:$Z49,MIN(P$6-$E$3,22))),0))-IF($G$2,0,IF((P$6-$G$3)&lt;1,0,IFERROR(LOOKUP(2,1/(Trigo!$E49:INDEX(Trigo!$E49:$Z49,MIN(P$6-$G$3,22))&lt;&gt;""),Trigo!$E49:INDEX(Trigo!$E49:$Z49,MIN(P$6-$G$3,22))),0)))))</f>
        <v>0</v>
      </c>
      <c r="Q51" s="27" t="n">
        <f aca="false">IF(COUNT(Trigo!$E49:$Z49)=0,0,MAX(0,IF((Q$6-$E$3)&lt;1,0,IFERROR(LOOKUP(2,1/(Trigo!$E49:INDEX(Trigo!$E49:$Z49,MIN(Q$6-$E$3,22))&lt;&gt;""),Trigo!$E49:INDEX(Trigo!$E49:$Z49,MIN(Q$6-$E$3,22))),0))-IF($G$2,0,IF((Q$6-$G$3)&lt;1,0,IFERROR(LOOKUP(2,1/(Trigo!$E49:INDEX(Trigo!$E49:$Z49,MIN(Q$6-$G$3,22))&lt;&gt;""),Trigo!$E49:INDEX(Trigo!$E49:$Z49,MIN(Q$6-$G$3,22))),0)))))</f>
        <v>0</v>
      </c>
      <c r="R51" s="27" t="n">
        <f aca="false">IF(COUNT(Trigo!$E49:$Z49)=0,0,MAX(0,IF((R$6-$E$3)&lt;1,0,IFERROR(LOOKUP(2,1/(Trigo!$E49:INDEX(Trigo!$E49:$Z49,MIN(R$6-$E$3,22))&lt;&gt;""),Trigo!$E49:INDEX(Trigo!$E49:$Z49,MIN(R$6-$E$3,22))),0))-IF($G$2,0,IF((R$6-$G$3)&lt;1,0,IFERROR(LOOKUP(2,1/(Trigo!$E49:INDEX(Trigo!$E49:$Z49,MIN(R$6-$G$3,22))&lt;&gt;""),Trigo!$E49:INDEX(Trigo!$E49:$Z49,MIN(R$6-$G$3,22))),0)))))</f>
        <v>0</v>
      </c>
      <c r="S51" s="27" t="n">
        <f aca="false">IF(COUNT(Trigo!$E49:$Z49)=0,0,MAX(0,IF((S$6-$E$3)&lt;1,0,IFERROR(LOOKUP(2,1/(Trigo!$E49:INDEX(Trigo!$E49:$Z49,MIN(S$6-$E$3,22))&lt;&gt;""),Trigo!$E49:INDEX(Trigo!$E49:$Z49,MIN(S$6-$E$3,22))),0))-IF($G$2,0,IF((S$6-$G$3)&lt;1,0,IFERROR(LOOKUP(2,1/(Trigo!$E49:INDEX(Trigo!$E49:$Z49,MIN(S$6-$G$3,22))&lt;&gt;""),Trigo!$E49:INDEX(Trigo!$E49:$Z49,MIN(S$6-$G$3,22))),0)))))</f>
        <v>0</v>
      </c>
      <c r="T51" s="27" t="n">
        <f aca="false">IF(COUNT(Trigo!$E49:$Z49)=0,0,MAX(0,IF((T$6-$E$3)&lt;1,0,IFERROR(LOOKUP(2,1/(Trigo!$E49:INDEX(Trigo!$E49:$Z49,MIN(T$6-$E$3,22))&lt;&gt;""),Trigo!$E49:INDEX(Trigo!$E49:$Z49,MIN(T$6-$E$3,22))),0))-IF($G$2,0,IF((T$6-$G$3)&lt;1,0,IFERROR(LOOKUP(2,1/(Trigo!$E49:INDEX(Trigo!$E49:$Z49,MIN(T$6-$G$3,22))&lt;&gt;""),Trigo!$E49:INDEX(Trigo!$E49:$Z49,MIN(T$6-$G$3,22))),0)))))</f>
        <v>0</v>
      </c>
      <c r="U51" s="27" t="n">
        <f aca="false">IF(COUNT(Trigo!$E49:$Z49)=0,0,MAX(0,IF((U$6-$E$3)&lt;1,0,IFERROR(LOOKUP(2,1/(Trigo!$E49:INDEX(Trigo!$E49:$Z49,MIN(U$6-$E$3,22))&lt;&gt;""),Trigo!$E49:INDEX(Trigo!$E49:$Z49,MIN(U$6-$E$3,22))),0))-IF($G$2,0,IF((U$6-$G$3)&lt;1,0,IFERROR(LOOKUP(2,1/(Trigo!$E49:INDEX(Trigo!$E49:$Z49,MIN(U$6-$G$3,22))&lt;&gt;""),Trigo!$E49:INDEX(Trigo!$E49:$Z49,MIN(U$6-$G$3,22))),0)))))</f>
        <v>0</v>
      </c>
      <c r="V51" s="27" t="n">
        <f aca="false">IF(COUNT(Trigo!$E49:$Z49)=0,0,MAX(0,IF((V$6-$E$3)&lt;1,0,IFERROR(LOOKUP(2,1/(Trigo!$E49:INDEX(Trigo!$E49:$Z49,MIN(V$6-$E$3,22))&lt;&gt;""),Trigo!$E49:INDEX(Trigo!$E49:$Z49,MIN(V$6-$E$3,22))),0))-IF($G$2,0,IF((V$6-$G$3)&lt;1,0,IFERROR(LOOKUP(2,1/(Trigo!$E49:INDEX(Trigo!$E49:$Z49,MIN(V$6-$G$3,22))&lt;&gt;""),Trigo!$E49:INDEX(Trigo!$E49:$Z49,MIN(V$6-$G$3,22))),0)))))</f>
        <v>0</v>
      </c>
      <c r="W51" s="27" t="n">
        <f aca="false">IF(COUNT(Trigo!$E49:$Z49)=0,0,MAX(0,IF((W$6-$E$3)&lt;1,0,IFERROR(LOOKUP(2,1/(Trigo!$E49:INDEX(Trigo!$E49:$Z49,MIN(W$6-$E$3,22))&lt;&gt;""),Trigo!$E49:INDEX(Trigo!$E49:$Z49,MIN(W$6-$E$3,22))),0))-IF($G$2,0,IF((W$6-$G$3)&lt;1,0,IFERROR(LOOKUP(2,1/(Trigo!$E49:INDEX(Trigo!$E49:$Z49,MIN(W$6-$G$3,22))&lt;&gt;""),Trigo!$E49:INDEX(Trigo!$E49:$Z49,MIN(W$6-$G$3,22))),0)))))</f>
        <v>0</v>
      </c>
      <c r="X51" s="27" t="n">
        <f aca="false">IF(COUNT(Trigo!$E49:$Z49)=0,0,MAX(0,IF((X$6-$E$3)&lt;1,0,IFERROR(LOOKUP(2,1/(Trigo!$E49:INDEX(Trigo!$E49:$Z49,MIN(X$6-$E$3,22))&lt;&gt;""),Trigo!$E49:INDEX(Trigo!$E49:$Z49,MIN(X$6-$E$3,22))),0))-IF($G$2,0,IF((X$6-$G$3)&lt;1,0,IFERROR(LOOKUP(2,1/(Trigo!$E49:INDEX(Trigo!$E49:$Z49,MIN(X$6-$G$3,22))&lt;&gt;""),Trigo!$E49:INDEX(Trigo!$E49:$Z49,MIN(X$6-$G$3,22))),0)))))</f>
        <v>0</v>
      </c>
      <c r="Y51" s="27" t="n">
        <f aca="false">IF(COUNT(Trigo!$E49:$Z49)=0,0,MAX(0,IF((Y$6-$E$3)&lt;1,0,IFERROR(LOOKUP(2,1/(Trigo!$E49:INDEX(Trigo!$E49:$Z49,MIN(Y$6-$E$3,22))&lt;&gt;""),Trigo!$E49:INDEX(Trigo!$E49:$Z49,MIN(Y$6-$E$3,22))),0))-IF($G$2,0,IF((Y$6-$G$3)&lt;1,0,IFERROR(LOOKUP(2,1/(Trigo!$E49:INDEX(Trigo!$E49:$Z49,MIN(Y$6-$G$3,22))&lt;&gt;""),Trigo!$E49:INDEX(Trigo!$E49:$Z49,MIN(Y$6-$G$3,22))),0)))))</f>
        <v>0</v>
      </c>
      <c r="Z51" s="27" t="n">
        <f aca="false">IF(COUNT(Trigo!$E49:$Z49)=0,0,MAX(0,IF((Z$6-$E$3)&lt;1,0,IFERROR(LOOKUP(2,1/(Trigo!$E49:INDEX(Trigo!$E49:$Z49,MIN(Z$6-$E$3,22))&lt;&gt;""),Trigo!$E49:INDEX(Trigo!$E49:$Z49,MIN(Z$6-$E$3,22))),0))-IF($G$2,0,IF((Z$6-$G$3)&lt;1,0,IFERROR(LOOKUP(2,1/(Trigo!$E49:INDEX(Trigo!$E49:$Z49,MIN(Z$6-$G$3,22))&lt;&gt;""),Trigo!$E49:INDEX(Trigo!$E49:$Z49,MIN(Z$6-$G$3,22))),0)))))</f>
        <v>0</v>
      </c>
      <c r="AA51" s="27" t="n">
        <f aca="false">IF(COUNT(Trigo!$E49:$Z49)=0,0,MAX(0,IF((AA$6-$E$3)&lt;1,0,IFERROR(LOOKUP(2,1/(Trigo!$E49:INDEX(Trigo!$E49:$Z49,MIN(AA$6-$E$3,22))&lt;&gt;""),Trigo!$E49:INDEX(Trigo!$E49:$Z49,MIN(AA$6-$E$3,22))),0))-IF($G$2,0,IF((AA$6-$G$3)&lt;1,0,IFERROR(LOOKUP(2,1/(Trigo!$E49:INDEX(Trigo!$E49:$Z49,MIN(AA$6-$G$3,22))&lt;&gt;""),Trigo!$E49:INDEX(Trigo!$E49:$Z49,MIN(AA$6-$G$3,22))),0)))))</f>
        <v>0</v>
      </c>
      <c r="AB51" s="27" t="n">
        <f aca="false">IF(COUNT(Trigo!$E49:$Z49)=0,0,MAX(0,IF((AB$6-$E$3)&lt;1,0,IFERROR(LOOKUP(2,1/(Trigo!$E49:INDEX(Trigo!$E49:$Z49,MIN(AB$6-$E$3,22))&lt;&gt;""),Trigo!$E49:INDEX(Trigo!$E49:$Z49,MIN(AB$6-$E$3,22))),0))-IF($G$2,0,IF((AB$6-$G$3)&lt;1,0,IFERROR(LOOKUP(2,1/(Trigo!$E49:INDEX(Trigo!$E49:$Z49,MIN(AB$6-$G$3,22))&lt;&gt;""),Trigo!$E49:INDEX(Trigo!$E49:$Z49,MIN(AB$6-$G$3,22))),0)))))</f>
        <v>0</v>
      </c>
      <c r="AC51" s="27" t="n">
        <f aca="false">IF(COUNT(Trigo!$E49:$Z49)=0,0,MAX(0,IF((AC$6-$E$3)&lt;1,0,IFERROR(LOOKUP(2,1/(Trigo!$E49:INDEX(Trigo!$E49:$Z49,MIN(AC$6-$E$3,22))&lt;&gt;""),Trigo!$E49:INDEX(Trigo!$E49:$Z49,MIN(AC$6-$E$3,22))),0))-IF($G$2,0,IF((AC$6-$G$3)&lt;1,0,IFERROR(LOOKUP(2,1/(Trigo!$E49:INDEX(Trigo!$E49:$Z49,MIN(AC$6-$G$3,22))&lt;&gt;""),Trigo!$E49:INDEX(Trigo!$E49:$Z49,MIN(AC$6-$G$3,22))),0)))))</f>
        <v>0</v>
      </c>
      <c r="AD51" s="27" t="n">
        <f aca="false">IF(COUNT(Trigo!$E49:$Z49)=0,0,MAX(0,IF((AD$6-$E$3)&lt;1,0,IFERROR(LOOKUP(2,1/(Trigo!$E49:INDEX(Trigo!$E49:$Z49,MIN(AD$6-$E$3,22))&lt;&gt;""),Trigo!$E49:INDEX(Trigo!$E49:$Z49,MIN(AD$6-$E$3,22))),0))-IF($G$2,0,IF((AD$6-$G$3)&lt;1,0,IFERROR(LOOKUP(2,1/(Trigo!$E49:INDEX(Trigo!$E49:$Z49,MIN(AD$6-$G$3,22))&lt;&gt;""),Trigo!$E49:INDEX(Trigo!$E49:$Z49,MIN(AD$6-$G$3,22))),0)))))</f>
        <v>0</v>
      </c>
      <c r="AE51" s="27" t="n">
        <f aca="false">IF(COUNT(Trigo!$E49:$Z49)=0,0,MAX(0,IF((AE$6-$E$3)&lt;1,0,IFERROR(LOOKUP(2,1/(Trigo!$E49:INDEX(Trigo!$E49:$Z49,MIN(AE$6-$E$3,22))&lt;&gt;""),Trigo!$E49:INDEX(Trigo!$E49:$Z49,MIN(AE$6-$E$3,22))),0))-IF($G$2,0,IF((AE$6-$G$3)&lt;1,0,IFERROR(LOOKUP(2,1/(Trigo!$E49:INDEX(Trigo!$E49:$Z49,MIN(AE$6-$G$3,22))&lt;&gt;""),Trigo!$E49:INDEX(Trigo!$E49:$Z49,MIN(AE$6-$G$3,22))),0)))))</f>
        <v>0</v>
      </c>
      <c r="AF51" s="27" t="n">
        <f aca="false">IF(COUNT(Trigo!$E49:$Z49)=0,0,MAX(0,IF((AF$6-$E$3)&lt;1,0,IFERROR(LOOKUP(2,1/(Trigo!$E49:INDEX(Trigo!$E49:$Z49,MIN(AF$6-$E$3,22))&lt;&gt;""),Trigo!$E49:INDEX(Trigo!$E49:$Z49,MIN(AF$6-$E$3,22))),0))-IF($G$2,0,IF((AF$6-$G$3)&lt;1,0,IFERROR(LOOKUP(2,1/(Trigo!$E49:INDEX(Trigo!$E49:$Z49,MIN(AF$6-$G$3,22))&lt;&gt;""),Trigo!$E49:INDEX(Trigo!$E49:$Z49,MIN(AF$6-$G$3,22))),0)))))</f>
        <v>0</v>
      </c>
      <c r="AG51" s="27" t="n">
        <f aca="false">IF(COUNT(Trigo!$E49:$Z49)=0,0,MAX(0,IF((AG$6-$E$3)&lt;1,0,IFERROR(LOOKUP(2,1/(Trigo!$E49:INDEX(Trigo!$E49:$Z49,MIN(AG$6-$E$3,22))&lt;&gt;""),Trigo!$E49:INDEX(Trigo!$E49:$Z49,MIN(AG$6-$E$3,22))),0))-IF($G$2,0,IF((AG$6-$G$3)&lt;1,0,IFERROR(LOOKUP(2,1/(Trigo!$E49:INDEX(Trigo!$E49:$Z49,MIN(AG$6-$G$3,22))&lt;&gt;""),Trigo!$E49:INDEX(Trigo!$E49:$Z49,MIN(AG$6-$G$3,22))),0)))))</f>
        <v>0</v>
      </c>
      <c r="AH51" s="27" t="n">
        <f aca="false">IF(COUNT(Trigo!$E49:$Z49)=0,0,MAX(0,IF((AH$6-$E$3)&lt;1,0,IFERROR(LOOKUP(2,1/(Trigo!$E49:INDEX(Trigo!$E49:$Z49,MIN(AH$6-$E$3,22))&lt;&gt;""),Trigo!$E49:INDEX(Trigo!$E49:$Z49,MIN(AH$6-$E$3,22))),0))-IF($G$2,0,IF((AH$6-$G$3)&lt;1,0,IFERROR(LOOKUP(2,1/(Trigo!$E49:INDEX(Trigo!$E49:$Z49,MIN(AH$6-$G$3,22))&lt;&gt;""),Trigo!$E49:INDEX(Trigo!$E49:$Z49,MIN(AH$6-$G$3,22))),0)))))</f>
        <v>0</v>
      </c>
      <c r="AI51" s="27" t="n">
        <f aca="false">IF(COUNT(Trigo!$E49:$Z49)=0,0,MAX(0,IF((AI$6-$E$3)&lt;1,0,IFERROR(LOOKUP(2,1/(Trigo!$E49:INDEX(Trigo!$E49:$Z49,MIN(AI$6-$E$3,22))&lt;&gt;""),Trigo!$E49:INDEX(Trigo!$E49:$Z49,MIN(AI$6-$E$3,22))),0))-IF($G$2,0,IF((AI$6-$G$3)&lt;1,0,IFERROR(LOOKUP(2,1/(Trigo!$E49:INDEX(Trigo!$E49:$Z49,MIN(AI$6-$G$3,22))&lt;&gt;""),Trigo!$E49:INDEX(Trigo!$E49:$Z49,MIN(AI$6-$G$3,22))),0)))))</f>
        <v>0</v>
      </c>
      <c r="AJ51" s="27" t="n">
        <f aca="false">IF(COUNT(Trigo!$E49:$Z49)=0,0,MAX(0,IF((AJ$6-$E$3)&lt;1,0,IFERROR(LOOKUP(2,1/(Trigo!$E49:INDEX(Trigo!$E49:$Z49,MIN(AJ$6-$E$3,22))&lt;&gt;""),Trigo!$E49:INDEX(Trigo!$E49:$Z49,MIN(AJ$6-$E$3,22))),0))-IF($G$2,0,IF((AJ$6-$G$3)&lt;1,0,IFERROR(LOOKUP(2,1/(Trigo!$E49:INDEX(Trigo!$E49:$Z49,MIN(AJ$6-$G$3,22))&lt;&gt;""),Trigo!$E49:INDEX(Trigo!$E49:$Z49,MIN(AJ$6-$G$3,22))),0)))))</f>
        <v>0</v>
      </c>
      <c r="AK51" s="27" t="n">
        <f aca="false">IF(COUNT(Trigo!$E49:$Z49)=0,0,MAX(0,IF((AK$6-$E$3)&lt;1,0,IFERROR(LOOKUP(2,1/(Trigo!$E49:INDEX(Trigo!$E49:$Z49,MIN(AK$6-$E$3,22))&lt;&gt;""),Trigo!$E49:INDEX(Trigo!$E49:$Z49,MIN(AK$6-$E$3,22))),0))-IF($G$2,0,IF((AK$6-$G$3)&lt;1,0,IFERROR(LOOKUP(2,1/(Trigo!$E49:INDEX(Trigo!$E49:$Z49,MIN(AK$6-$G$3,22))&lt;&gt;""),Trigo!$E49:INDEX(Trigo!$E49:$Z49,MIN(AK$6-$G$3,22))),0)))))</f>
        <v>0</v>
      </c>
      <c r="AL51" s="27" t="n">
        <f aca="false">IF(COUNT(Trigo!$E49:$Z49)=0,0,MAX(0,IF((AL$6-$E$3)&lt;1,0,IFERROR(LOOKUP(2,1/(Trigo!$E49:INDEX(Trigo!$E49:$Z49,MIN(AL$6-$E$3,22))&lt;&gt;""),Trigo!$E49:INDEX(Trigo!$E49:$Z49,MIN(AL$6-$E$3,22))),0))-IF($G$2,0,IF((AL$6-$G$3)&lt;1,0,IFERROR(LOOKUP(2,1/(Trigo!$E49:INDEX(Trigo!$E49:$Z49,MIN(AL$6-$G$3,22))&lt;&gt;""),Trigo!$E49:INDEX(Trigo!$E49:$Z49,MIN(AL$6-$G$3,22))),0)))))</f>
        <v>0</v>
      </c>
      <c r="AM51" s="27" t="n">
        <f aca="false">IF(COUNT(Trigo!$E49:$Z49)=0,0,MAX(0,IF((AM$6-$E$3)&lt;1,0,IFERROR(LOOKUP(2,1/(Trigo!$E49:INDEX(Trigo!$E49:$Z49,MIN(AM$6-$E$3,22))&lt;&gt;""),Trigo!$E49:INDEX(Trigo!$E49:$Z49,MIN(AM$6-$E$3,22))),0))-IF($G$2,0,IF((AM$6-$G$3)&lt;1,0,IFERROR(LOOKUP(2,1/(Trigo!$E49:INDEX(Trigo!$E49:$Z49,MIN(AM$6-$G$3,22))&lt;&gt;""),Trigo!$E49:INDEX(Trigo!$E49:$Z49,MIN(AM$6-$G$3,22))),0)))))</f>
        <v>0</v>
      </c>
      <c r="AN51" s="27" t="n">
        <f aca="false">IF(COUNT(Trigo!$E49:$Z49)=0,0,MAX(0,IF((AN$6-$E$3)&lt;1,0,IFERROR(LOOKUP(2,1/(Trigo!$E49:INDEX(Trigo!$E49:$Z49,MIN(AN$6-$E$3,22))&lt;&gt;""),Trigo!$E49:INDEX(Trigo!$E49:$Z49,MIN(AN$6-$E$3,22))),0))-IF($G$2,0,IF((AN$6-$G$3)&lt;1,0,IFERROR(LOOKUP(2,1/(Trigo!$E49:INDEX(Trigo!$E49:$Z49,MIN(AN$6-$G$3,22))&lt;&gt;""),Trigo!$E49:INDEX(Trigo!$E49:$Z49,MIN(AN$6-$G$3,22))),0)))))</f>
        <v>0</v>
      </c>
      <c r="AO51" s="27" t="n">
        <f aca="false">IF(COUNT(Trigo!$E49:$Z49)=0,0,MAX(0,IF((AO$6-$E$3)&lt;1,0,IFERROR(LOOKUP(2,1/(Trigo!$E49:INDEX(Trigo!$E49:$Z49,MIN(AO$6-$E$3,22))&lt;&gt;""),Trigo!$E49:INDEX(Trigo!$E49:$Z49,MIN(AO$6-$E$3,22))),0))-IF($G$2,0,IF((AO$6-$G$3)&lt;1,0,IFERROR(LOOKUP(2,1/(Trigo!$E49:INDEX(Trigo!$E49:$Z49,MIN(AO$6-$G$3,22))&lt;&gt;""),Trigo!$E49:INDEX(Trigo!$E49:$Z49,MIN(AO$6-$G$3,22))),0)))))</f>
        <v>0</v>
      </c>
      <c r="AP51" s="27" t="n">
        <f aca="false">IF(COUNT(Trigo!$E49:$Z49)=0,0,MAX(0,IF((AP$6-$E$3)&lt;1,0,IFERROR(LOOKUP(2,1/(Trigo!$E49:INDEX(Trigo!$E49:$Z49,MIN(AP$6-$E$3,22))&lt;&gt;""),Trigo!$E49:INDEX(Trigo!$E49:$Z49,MIN(AP$6-$E$3,22))),0))-IF($G$2,0,IF((AP$6-$G$3)&lt;1,0,IFERROR(LOOKUP(2,1/(Trigo!$E49:INDEX(Trigo!$E49:$Z49,MIN(AP$6-$G$3,22))&lt;&gt;""),Trigo!$E49:INDEX(Trigo!$E49:$Z49,MIN(AP$6-$G$3,22))),0)))))</f>
        <v>0</v>
      </c>
      <c r="AQ51" s="27" t="n">
        <f aca="false">IF(COUNT(Trigo!$E49:$Z49)=0,0,MAX(0,IF((AQ$6-$E$3)&lt;1,0,IFERROR(LOOKUP(2,1/(Trigo!$E49:INDEX(Trigo!$E49:$Z49,MIN(AQ$6-$E$3,22))&lt;&gt;""),Trigo!$E49:INDEX(Trigo!$E49:$Z49,MIN(AQ$6-$E$3,22))),0))-IF($G$2,0,IF((AQ$6-$G$3)&lt;1,0,IFERROR(LOOKUP(2,1/(Trigo!$E49:INDEX(Trigo!$E49:$Z49,MIN(AQ$6-$G$3,22))&lt;&gt;""),Trigo!$E49:INDEX(Trigo!$E49:$Z49,MIN(AQ$6-$G$3,22))),0)))))</f>
        <v>0</v>
      </c>
      <c r="AR51" s="27" t="n">
        <f aca="false">IF(COUNT(Trigo!$E49:$Z49)=0,0,MAX(0,IF((AR$6-$E$3)&lt;1,0,IFERROR(LOOKUP(2,1/(Trigo!$E49:INDEX(Trigo!$E49:$Z49,MIN(AR$6-$E$3,22))&lt;&gt;""),Trigo!$E49:INDEX(Trigo!$E49:$Z49,MIN(AR$6-$E$3,22))),0))-IF($G$2,0,IF((AR$6-$G$3)&lt;1,0,IFERROR(LOOKUP(2,1/(Trigo!$E49:INDEX(Trigo!$E49:$Z49,MIN(AR$6-$G$3,22))&lt;&gt;""),Trigo!$E49:INDEX(Trigo!$E49:$Z49,MIN(AR$6-$G$3,22))),0)))))</f>
        <v>0</v>
      </c>
      <c r="AS51" s="27" t="n">
        <f aca="false">IF(COUNT(Trigo!$E49:$Z49)=0,0,MAX(0,IF((AS$6-$E$3)&lt;1,0,IFERROR(LOOKUP(2,1/(Trigo!$E49:INDEX(Trigo!$E49:$Z49,MIN(AS$6-$E$3,22))&lt;&gt;""),Trigo!$E49:INDEX(Trigo!$E49:$Z49,MIN(AS$6-$E$3,22))),0))-IF($G$2,0,IF((AS$6-$G$3)&lt;1,0,IFERROR(LOOKUP(2,1/(Trigo!$E49:INDEX(Trigo!$E49:$Z49,MIN(AS$6-$G$3,22))&lt;&gt;""),Trigo!$E49:INDEX(Trigo!$E49:$Z49,MIN(AS$6-$G$3,22))),0)))))</f>
        <v>0</v>
      </c>
      <c r="AT51" s="27" t="n">
        <f aca="false">IF(COUNT(Trigo!$E49:$Z49)=0,0,MAX(0,IF((AT$6-$E$3)&lt;1,0,IFERROR(LOOKUP(2,1/(Trigo!$E49:INDEX(Trigo!$E49:$Z49,MIN(AT$6-$E$3,22))&lt;&gt;""),Trigo!$E49:INDEX(Trigo!$E49:$Z49,MIN(AT$6-$E$3,22))),0))-IF($G$2,0,IF((AT$6-$G$3)&lt;1,0,IFERROR(LOOKUP(2,1/(Trigo!$E49:INDEX(Trigo!$E49:$Z49,MIN(AT$6-$G$3,22))&lt;&gt;""),Trigo!$E49:INDEX(Trigo!$E49:$Z49,MIN(AT$6-$G$3,22))),0)))))</f>
        <v>0</v>
      </c>
      <c r="AU51" s="27" t="n">
        <f aca="false">IF(COUNT(Trigo!$E49:$Z49)=0,0,MAX(0,IF((AU$6-$E$3)&lt;1,0,IFERROR(LOOKUP(2,1/(Trigo!$E49:INDEX(Trigo!$E49:$Z49,MIN(AU$6-$E$3,22))&lt;&gt;""),Trigo!$E49:INDEX(Trigo!$E49:$Z49,MIN(AU$6-$E$3,22))),0))-IF($G$2,0,IF((AU$6-$G$3)&lt;1,0,IFERROR(LOOKUP(2,1/(Trigo!$E49:INDEX(Trigo!$E49:$Z49,MIN(AU$6-$G$3,22))&lt;&gt;""),Trigo!$E49:INDEX(Trigo!$E49:$Z49,MIN(AU$6-$G$3,22))),0)))))</f>
        <v>0</v>
      </c>
      <c r="AV51" s="27" t="n">
        <f aca="false">IF(COUNT(Trigo!$E49:$Z49)=0,0,MAX(0,IF((AV$6-$E$3)&lt;1,0,IFERROR(LOOKUP(2,1/(Trigo!$E49:INDEX(Trigo!$E49:$Z49,MIN(AV$6-$E$3,22))&lt;&gt;""),Trigo!$E49:INDEX(Trigo!$E49:$Z49,MIN(AV$6-$E$3,22))),0))-IF($G$2,0,IF((AV$6-$G$3)&lt;1,0,IFERROR(LOOKUP(2,1/(Trigo!$E49:INDEX(Trigo!$E49:$Z49,MIN(AV$6-$G$3,22))&lt;&gt;""),Trigo!$E49:INDEX(Trigo!$E49:$Z49,MIN(AV$6-$G$3,22))),0)))))</f>
        <v>0</v>
      </c>
      <c r="AW51" s="27" t="n">
        <f aca="false">IF(COUNT(Trigo!$E49:$Z49)=0,0,MAX(0,IF((AW$6-$E$3)&lt;1,0,IFERROR(LOOKUP(2,1/(Trigo!$E49:INDEX(Trigo!$E49:$Z49,MIN(AW$6-$E$3,22))&lt;&gt;""),Trigo!$E49:INDEX(Trigo!$E49:$Z49,MIN(AW$6-$E$3,22))),0))-IF($G$2,0,IF((AW$6-$G$3)&lt;1,0,IFERROR(LOOKUP(2,1/(Trigo!$E49:INDEX(Trigo!$E49:$Z49,MIN(AW$6-$G$3,22))&lt;&gt;""),Trigo!$E49:INDEX(Trigo!$E49:$Z49,MIN(AW$6-$G$3,22))),0)))))</f>
        <v>0</v>
      </c>
      <c r="AX51" s="27" t="n">
        <f aca="false">IF(COUNT(Trigo!$E49:$Z49)=0,0,MAX(0,IF((AX$6-$E$3)&lt;1,0,IFERROR(LOOKUP(2,1/(Trigo!$E49:INDEX(Trigo!$E49:$Z49,MIN(AX$6-$E$3,22))&lt;&gt;""),Trigo!$E49:INDEX(Trigo!$E49:$Z49,MIN(AX$6-$E$3,22))),0))-IF($G$2,0,IF((AX$6-$G$3)&lt;1,0,IFERROR(LOOKUP(2,1/(Trigo!$E49:INDEX(Trigo!$E49:$Z49,MIN(AX$6-$G$3,22))&lt;&gt;""),Trigo!$E49:INDEX(Trigo!$E49:$Z49,MIN(AX$6-$G$3,22))),0)))))</f>
        <v>0</v>
      </c>
      <c r="AY51" s="27" t="n">
        <f aca="false">IF(COUNT(Trigo!$E49:$Z49)=0,0,MAX(0,IF((AY$6-$E$3)&lt;1,0,IFERROR(LOOKUP(2,1/(Trigo!$E49:INDEX(Trigo!$E49:$Z49,MIN(AY$6-$E$3,22))&lt;&gt;""),Trigo!$E49:INDEX(Trigo!$E49:$Z49,MIN(AY$6-$E$3,22))),0))-IF($G$2,0,IF((AY$6-$G$3)&lt;1,0,IFERROR(LOOKUP(2,1/(Trigo!$E49:INDEX(Trigo!$E49:$Z49,MIN(AY$6-$G$3,22))&lt;&gt;""),Trigo!$E49:INDEX(Trigo!$E49:$Z49,MIN(AY$6-$G$3,22))),0)))))</f>
        <v>0</v>
      </c>
      <c r="AZ51" s="27" t="n">
        <f aca="false">IF(COUNT(Trigo!$E49:$Z49)=0,0,MAX(0,IF((AZ$6-$E$3)&lt;1,0,IFERROR(LOOKUP(2,1/(Trigo!$E49:INDEX(Trigo!$E49:$Z49,MIN(AZ$6-$E$3,22))&lt;&gt;""),Trigo!$E49:INDEX(Trigo!$E49:$Z49,MIN(AZ$6-$E$3,22))),0))-IF($G$2,0,IF((AZ$6-$G$3)&lt;1,0,IFERROR(LOOKUP(2,1/(Trigo!$E49:INDEX(Trigo!$E49:$Z49,MIN(AZ$6-$G$3,22))&lt;&gt;""),Trigo!$E49:INDEX(Trigo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IF(COUNT(Trigo!$E50:$Z50)&gt;0,N(Trigo!$D50),0)</f>
        <v>0</v>
      </c>
      <c r="E52" s="27" t="n">
        <f aca="false">IF(COUNT(Trigo!$E50:$Z50)=0,0,MAX(0,IF((E$6-$E$3)&lt;1,0,IFERROR(LOOKUP(2,1/(Trigo!$E50:INDEX(Trigo!$E50:$Z50,MIN(E$6-$E$3,22))&lt;&gt;""),Trigo!$E50:INDEX(Trigo!$E50:$Z50,MIN(E$6-$E$3,22))),0))-IF($G$2,0,IF((E$6-$G$3)&lt;1,0,IFERROR(LOOKUP(2,1/(Trigo!$E50:INDEX(Trigo!$E50:$Z50,MIN(E$6-$G$3,22))&lt;&gt;""),Trigo!$E50:INDEX(Trigo!$E50:$Z50,MIN(E$6-$G$3,22))),0)))))</f>
        <v>0</v>
      </c>
      <c r="F52" s="27" t="n">
        <f aca="false">IF(COUNT(Trigo!$E50:$Z50)=0,0,MAX(0,IF((F$6-$E$3)&lt;1,0,IFERROR(LOOKUP(2,1/(Trigo!$E50:INDEX(Trigo!$E50:$Z50,MIN(F$6-$E$3,22))&lt;&gt;""),Trigo!$E50:INDEX(Trigo!$E50:$Z50,MIN(F$6-$E$3,22))),0))-IF($G$2,0,IF((F$6-$G$3)&lt;1,0,IFERROR(LOOKUP(2,1/(Trigo!$E50:INDEX(Trigo!$E50:$Z50,MIN(F$6-$G$3,22))&lt;&gt;""),Trigo!$E50:INDEX(Trigo!$E50:$Z50,MIN(F$6-$G$3,22))),0)))))</f>
        <v>0</v>
      </c>
      <c r="G52" s="27" t="n">
        <f aca="false">IF(COUNT(Trigo!$E50:$Z50)=0,0,MAX(0,IF((G$6-$E$3)&lt;1,0,IFERROR(LOOKUP(2,1/(Trigo!$E50:INDEX(Trigo!$E50:$Z50,MIN(G$6-$E$3,22))&lt;&gt;""),Trigo!$E50:INDEX(Trigo!$E50:$Z50,MIN(G$6-$E$3,22))),0))-IF($G$2,0,IF((G$6-$G$3)&lt;1,0,IFERROR(LOOKUP(2,1/(Trigo!$E50:INDEX(Trigo!$E50:$Z50,MIN(G$6-$G$3,22))&lt;&gt;""),Trigo!$E50:INDEX(Trigo!$E50:$Z50,MIN(G$6-$G$3,22))),0)))))</f>
        <v>0</v>
      </c>
      <c r="H52" s="27" t="n">
        <f aca="false">IF(COUNT(Trigo!$E50:$Z50)=0,0,MAX(0,IF((H$6-$E$3)&lt;1,0,IFERROR(LOOKUP(2,1/(Trigo!$E50:INDEX(Trigo!$E50:$Z50,MIN(H$6-$E$3,22))&lt;&gt;""),Trigo!$E50:INDEX(Trigo!$E50:$Z50,MIN(H$6-$E$3,22))),0))-IF($G$2,0,IF((H$6-$G$3)&lt;1,0,IFERROR(LOOKUP(2,1/(Trigo!$E50:INDEX(Trigo!$E50:$Z50,MIN(H$6-$G$3,22))&lt;&gt;""),Trigo!$E50:INDEX(Trigo!$E50:$Z50,MIN(H$6-$G$3,22))),0)))))</f>
        <v>0</v>
      </c>
      <c r="I52" s="27" t="n">
        <f aca="false">IF(COUNT(Trigo!$E50:$Z50)=0,0,MAX(0,IF((I$6-$E$3)&lt;1,0,IFERROR(LOOKUP(2,1/(Trigo!$E50:INDEX(Trigo!$E50:$Z50,MIN(I$6-$E$3,22))&lt;&gt;""),Trigo!$E50:INDEX(Trigo!$E50:$Z50,MIN(I$6-$E$3,22))),0))-IF($G$2,0,IF((I$6-$G$3)&lt;1,0,IFERROR(LOOKUP(2,1/(Trigo!$E50:INDEX(Trigo!$E50:$Z50,MIN(I$6-$G$3,22))&lt;&gt;""),Trigo!$E50:INDEX(Trigo!$E50:$Z50,MIN(I$6-$G$3,22))),0)))))</f>
        <v>0</v>
      </c>
      <c r="J52" s="27" t="n">
        <f aca="false">IF(COUNT(Trigo!$E50:$Z50)=0,0,MAX(0,IF((J$6-$E$3)&lt;1,0,IFERROR(LOOKUP(2,1/(Trigo!$E50:INDEX(Trigo!$E50:$Z50,MIN(J$6-$E$3,22))&lt;&gt;""),Trigo!$E50:INDEX(Trigo!$E50:$Z50,MIN(J$6-$E$3,22))),0))-IF($G$2,0,IF((J$6-$G$3)&lt;1,0,IFERROR(LOOKUP(2,1/(Trigo!$E50:INDEX(Trigo!$E50:$Z50,MIN(J$6-$G$3,22))&lt;&gt;""),Trigo!$E50:INDEX(Trigo!$E50:$Z50,MIN(J$6-$G$3,22))),0)))))</f>
        <v>0</v>
      </c>
      <c r="K52" s="27" t="n">
        <f aca="false">IF(COUNT(Trigo!$E50:$Z50)=0,0,MAX(0,IF((K$6-$E$3)&lt;1,0,IFERROR(LOOKUP(2,1/(Trigo!$E50:INDEX(Trigo!$E50:$Z50,MIN(K$6-$E$3,22))&lt;&gt;""),Trigo!$E50:INDEX(Trigo!$E50:$Z50,MIN(K$6-$E$3,22))),0))-IF($G$2,0,IF((K$6-$G$3)&lt;1,0,IFERROR(LOOKUP(2,1/(Trigo!$E50:INDEX(Trigo!$E50:$Z50,MIN(K$6-$G$3,22))&lt;&gt;""),Trigo!$E50:INDEX(Trigo!$E50:$Z50,MIN(K$6-$G$3,22))),0)))))</f>
        <v>0</v>
      </c>
      <c r="L52" s="27" t="n">
        <f aca="false">IF(COUNT(Trigo!$E50:$Z50)=0,0,MAX(0,IF((L$6-$E$3)&lt;1,0,IFERROR(LOOKUP(2,1/(Trigo!$E50:INDEX(Trigo!$E50:$Z50,MIN(L$6-$E$3,22))&lt;&gt;""),Trigo!$E50:INDEX(Trigo!$E50:$Z50,MIN(L$6-$E$3,22))),0))-IF($G$2,0,IF((L$6-$G$3)&lt;1,0,IFERROR(LOOKUP(2,1/(Trigo!$E50:INDEX(Trigo!$E50:$Z50,MIN(L$6-$G$3,22))&lt;&gt;""),Trigo!$E50:INDEX(Trigo!$E50:$Z50,MIN(L$6-$G$3,22))),0)))))</f>
        <v>0</v>
      </c>
      <c r="M52" s="27" t="n">
        <f aca="false">IF(COUNT(Trigo!$E50:$Z50)=0,0,MAX(0,IF((M$6-$E$3)&lt;1,0,IFERROR(LOOKUP(2,1/(Trigo!$E50:INDEX(Trigo!$E50:$Z50,MIN(M$6-$E$3,22))&lt;&gt;""),Trigo!$E50:INDEX(Trigo!$E50:$Z50,MIN(M$6-$E$3,22))),0))-IF($G$2,0,IF((M$6-$G$3)&lt;1,0,IFERROR(LOOKUP(2,1/(Trigo!$E50:INDEX(Trigo!$E50:$Z50,MIN(M$6-$G$3,22))&lt;&gt;""),Trigo!$E50:INDEX(Trigo!$E50:$Z50,MIN(M$6-$G$3,22))),0)))))</f>
        <v>0</v>
      </c>
      <c r="N52" s="27" t="n">
        <f aca="false">IF(COUNT(Trigo!$E50:$Z50)=0,0,MAX(0,IF((N$6-$E$3)&lt;1,0,IFERROR(LOOKUP(2,1/(Trigo!$E50:INDEX(Trigo!$E50:$Z50,MIN(N$6-$E$3,22))&lt;&gt;""),Trigo!$E50:INDEX(Trigo!$E50:$Z50,MIN(N$6-$E$3,22))),0))-IF($G$2,0,IF((N$6-$G$3)&lt;1,0,IFERROR(LOOKUP(2,1/(Trigo!$E50:INDEX(Trigo!$E50:$Z50,MIN(N$6-$G$3,22))&lt;&gt;""),Trigo!$E50:INDEX(Trigo!$E50:$Z50,MIN(N$6-$G$3,22))),0)))))</f>
        <v>0</v>
      </c>
      <c r="O52" s="27" t="n">
        <f aca="false">IF(COUNT(Trigo!$E50:$Z50)=0,0,MAX(0,IF((O$6-$E$3)&lt;1,0,IFERROR(LOOKUP(2,1/(Trigo!$E50:INDEX(Trigo!$E50:$Z50,MIN(O$6-$E$3,22))&lt;&gt;""),Trigo!$E50:INDEX(Trigo!$E50:$Z50,MIN(O$6-$E$3,22))),0))-IF($G$2,0,IF((O$6-$G$3)&lt;1,0,IFERROR(LOOKUP(2,1/(Trigo!$E50:INDEX(Trigo!$E50:$Z50,MIN(O$6-$G$3,22))&lt;&gt;""),Trigo!$E50:INDEX(Trigo!$E50:$Z50,MIN(O$6-$G$3,22))),0)))))</f>
        <v>0</v>
      </c>
      <c r="P52" s="27" t="n">
        <f aca="false">IF(COUNT(Trigo!$E50:$Z50)=0,0,MAX(0,IF((P$6-$E$3)&lt;1,0,IFERROR(LOOKUP(2,1/(Trigo!$E50:INDEX(Trigo!$E50:$Z50,MIN(P$6-$E$3,22))&lt;&gt;""),Trigo!$E50:INDEX(Trigo!$E50:$Z50,MIN(P$6-$E$3,22))),0))-IF($G$2,0,IF((P$6-$G$3)&lt;1,0,IFERROR(LOOKUP(2,1/(Trigo!$E50:INDEX(Trigo!$E50:$Z50,MIN(P$6-$G$3,22))&lt;&gt;""),Trigo!$E50:INDEX(Trigo!$E50:$Z50,MIN(P$6-$G$3,22))),0)))))</f>
        <v>0</v>
      </c>
      <c r="Q52" s="27" t="n">
        <f aca="false">IF(COUNT(Trigo!$E50:$Z50)=0,0,MAX(0,IF((Q$6-$E$3)&lt;1,0,IFERROR(LOOKUP(2,1/(Trigo!$E50:INDEX(Trigo!$E50:$Z50,MIN(Q$6-$E$3,22))&lt;&gt;""),Trigo!$E50:INDEX(Trigo!$E50:$Z50,MIN(Q$6-$E$3,22))),0))-IF($G$2,0,IF((Q$6-$G$3)&lt;1,0,IFERROR(LOOKUP(2,1/(Trigo!$E50:INDEX(Trigo!$E50:$Z50,MIN(Q$6-$G$3,22))&lt;&gt;""),Trigo!$E50:INDEX(Trigo!$E50:$Z50,MIN(Q$6-$G$3,22))),0)))))</f>
        <v>0</v>
      </c>
      <c r="R52" s="27" t="n">
        <f aca="false">IF(COUNT(Trigo!$E50:$Z50)=0,0,MAX(0,IF((R$6-$E$3)&lt;1,0,IFERROR(LOOKUP(2,1/(Trigo!$E50:INDEX(Trigo!$E50:$Z50,MIN(R$6-$E$3,22))&lt;&gt;""),Trigo!$E50:INDEX(Trigo!$E50:$Z50,MIN(R$6-$E$3,22))),0))-IF($G$2,0,IF((R$6-$G$3)&lt;1,0,IFERROR(LOOKUP(2,1/(Trigo!$E50:INDEX(Trigo!$E50:$Z50,MIN(R$6-$G$3,22))&lt;&gt;""),Trigo!$E50:INDEX(Trigo!$E50:$Z50,MIN(R$6-$G$3,22))),0)))))</f>
        <v>0</v>
      </c>
      <c r="S52" s="27" t="n">
        <f aca="false">IF(COUNT(Trigo!$E50:$Z50)=0,0,MAX(0,IF((S$6-$E$3)&lt;1,0,IFERROR(LOOKUP(2,1/(Trigo!$E50:INDEX(Trigo!$E50:$Z50,MIN(S$6-$E$3,22))&lt;&gt;""),Trigo!$E50:INDEX(Trigo!$E50:$Z50,MIN(S$6-$E$3,22))),0))-IF($G$2,0,IF((S$6-$G$3)&lt;1,0,IFERROR(LOOKUP(2,1/(Trigo!$E50:INDEX(Trigo!$E50:$Z50,MIN(S$6-$G$3,22))&lt;&gt;""),Trigo!$E50:INDEX(Trigo!$E50:$Z50,MIN(S$6-$G$3,22))),0)))))</f>
        <v>0</v>
      </c>
      <c r="T52" s="27" t="n">
        <f aca="false">IF(COUNT(Trigo!$E50:$Z50)=0,0,MAX(0,IF((T$6-$E$3)&lt;1,0,IFERROR(LOOKUP(2,1/(Trigo!$E50:INDEX(Trigo!$E50:$Z50,MIN(T$6-$E$3,22))&lt;&gt;""),Trigo!$E50:INDEX(Trigo!$E50:$Z50,MIN(T$6-$E$3,22))),0))-IF($G$2,0,IF((T$6-$G$3)&lt;1,0,IFERROR(LOOKUP(2,1/(Trigo!$E50:INDEX(Trigo!$E50:$Z50,MIN(T$6-$G$3,22))&lt;&gt;""),Trigo!$E50:INDEX(Trigo!$E50:$Z50,MIN(T$6-$G$3,22))),0)))))</f>
        <v>0</v>
      </c>
      <c r="U52" s="27" t="n">
        <f aca="false">IF(COUNT(Trigo!$E50:$Z50)=0,0,MAX(0,IF((U$6-$E$3)&lt;1,0,IFERROR(LOOKUP(2,1/(Trigo!$E50:INDEX(Trigo!$E50:$Z50,MIN(U$6-$E$3,22))&lt;&gt;""),Trigo!$E50:INDEX(Trigo!$E50:$Z50,MIN(U$6-$E$3,22))),0))-IF($G$2,0,IF((U$6-$G$3)&lt;1,0,IFERROR(LOOKUP(2,1/(Trigo!$E50:INDEX(Trigo!$E50:$Z50,MIN(U$6-$G$3,22))&lt;&gt;""),Trigo!$E50:INDEX(Trigo!$E50:$Z50,MIN(U$6-$G$3,22))),0)))))</f>
        <v>0</v>
      </c>
      <c r="V52" s="27" t="n">
        <f aca="false">IF(COUNT(Trigo!$E50:$Z50)=0,0,MAX(0,IF((V$6-$E$3)&lt;1,0,IFERROR(LOOKUP(2,1/(Trigo!$E50:INDEX(Trigo!$E50:$Z50,MIN(V$6-$E$3,22))&lt;&gt;""),Trigo!$E50:INDEX(Trigo!$E50:$Z50,MIN(V$6-$E$3,22))),0))-IF($G$2,0,IF((V$6-$G$3)&lt;1,0,IFERROR(LOOKUP(2,1/(Trigo!$E50:INDEX(Trigo!$E50:$Z50,MIN(V$6-$G$3,22))&lt;&gt;""),Trigo!$E50:INDEX(Trigo!$E50:$Z50,MIN(V$6-$G$3,22))),0)))))</f>
        <v>0</v>
      </c>
      <c r="W52" s="27" t="n">
        <f aca="false">IF(COUNT(Trigo!$E50:$Z50)=0,0,MAX(0,IF((W$6-$E$3)&lt;1,0,IFERROR(LOOKUP(2,1/(Trigo!$E50:INDEX(Trigo!$E50:$Z50,MIN(W$6-$E$3,22))&lt;&gt;""),Trigo!$E50:INDEX(Trigo!$E50:$Z50,MIN(W$6-$E$3,22))),0))-IF($G$2,0,IF((W$6-$G$3)&lt;1,0,IFERROR(LOOKUP(2,1/(Trigo!$E50:INDEX(Trigo!$E50:$Z50,MIN(W$6-$G$3,22))&lt;&gt;""),Trigo!$E50:INDEX(Trigo!$E50:$Z50,MIN(W$6-$G$3,22))),0)))))</f>
        <v>0</v>
      </c>
      <c r="X52" s="27" t="n">
        <f aca="false">IF(COUNT(Trigo!$E50:$Z50)=0,0,MAX(0,IF((X$6-$E$3)&lt;1,0,IFERROR(LOOKUP(2,1/(Trigo!$E50:INDEX(Trigo!$E50:$Z50,MIN(X$6-$E$3,22))&lt;&gt;""),Trigo!$E50:INDEX(Trigo!$E50:$Z50,MIN(X$6-$E$3,22))),0))-IF($G$2,0,IF((X$6-$G$3)&lt;1,0,IFERROR(LOOKUP(2,1/(Trigo!$E50:INDEX(Trigo!$E50:$Z50,MIN(X$6-$G$3,22))&lt;&gt;""),Trigo!$E50:INDEX(Trigo!$E50:$Z50,MIN(X$6-$G$3,22))),0)))))</f>
        <v>0</v>
      </c>
      <c r="Y52" s="27" t="n">
        <f aca="false">IF(COUNT(Trigo!$E50:$Z50)=0,0,MAX(0,IF((Y$6-$E$3)&lt;1,0,IFERROR(LOOKUP(2,1/(Trigo!$E50:INDEX(Trigo!$E50:$Z50,MIN(Y$6-$E$3,22))&lt;&gt;""),Trigo!$E50:INDEX(Trigo!$E50:$Z50,MIN(Y$6-$E$3,22))),0))-IF($G$2,0,IF((Y$6-$G$3)&lt;1,0,IFERROR(LOOKUP(2,1/(Trigo!$E50:INDEX(Trigo!$E50:$Z50,MIN(Y$6-$G$3,22))&lt;&gt;""),Trigo!$E50:INDEX(Trigo!$E50:$Z50,MIN(Y$6-$G$3,22))),0)))))</f>
        <v>0</v>
      </c>
      <c r="Z52" s="27" t="n">
        <f aca="false">IF(COUNT(Trigo!$E50:$Z50)=0,0,MAX(0,IF((Z$6-$E$3)&lt;1,0,IFERROR(LOOKUP(2,1/(Trigo!$E50:INDEX(Trigo!$E50:$Z50,MIN(Z$6-$E$3,22))&lt;&gt;""),Trigo!$E50:INDEX(Trigo!$E50:$Z50,MIN(Z$6-$E$3,22))),0))-IF($G$2,0,IF((Z$6-$G$3)&lt;1,0,IFERROR(LOOKUP(2,1/(Trigo!$E50:INDEX(Trigo!$E50:$Z50,MIN(Z$6-$G$3,22))&lt;&gt;""),Trigo!$E50:INDEX(Trigo!$E50:$Z50,MIN(Z$6-$G$3,22))),0)))))</f>
        <v>0</v>
      </c>
      <c r="AA52" s="27" t="n">
        <f aca="false">IF(COUNT(Trigo!$E50:$Z50)=0,0,MAX(0,IF((AA$6-$E$3)&lt;1,0,IFERROR(LOOKUP(2,1/(Trigo!$E50:INDEX(Trigo!$E50:$Z50,MIN(AA$6-$E$3,22))&lt;&gt;""),Trigo!$E50:INDEX(Trigo!$E50:$Z50,MIN(AA$6-$E$3,22))),0))-IF($G$2,0,IF((AA$6-$G$3)&lt;1,0,IFERROR(LOOKUP(2,1/(Trigo!$E50:INDEX(Trigo!$E50:$Z50,MIN(AA$6-$G$3,22))&lt;&gt;""),Trigo!$E50:INDEX(Trigo!$E50:$Z50,MIN(AA$6-$G$3,22))),0)))))</f>
        <v>0</v>
      </c>
      <c r="AB52" s="27" t="n">
        <f aca="false">IF(COUNT(Trigo!$E50:$Z50)=0,0,MAX(0,IF((AB$6-$E$3)&lt;1,0,IFERROR(LOOKUP(2,1/(Trigo!$E50:INDEX(Trigo!$E50:$Z50,MIN(AB$6-$E$3,22))&lt;&gt;""),Trigo!$E50:INDEX(Trigo!$E50:$Z50,MIN(AB$6-$E$3,22))),0))-IF($G$2,0,IF((AB$6-$G$3)&lt;1,0,IFERROR(LOOKUP(2,1/(Trigo!$E50:INDEX(Trigo!$E50:$Z50,MIN(AB$6-$G$3,22))&lt;&gt;""),Trigo!$E50:INDEX(Trigo!$E50:$Z50,MIN(AB$6-$G$3,22))),0)))))</f>
        <v>0</v>
      </c>
      <c r="AC52" s="27" t="n">
        <f aca="false">IF(COUNT(Trigo!$E50:$Z50)=0,0,MAX(0,IF((AC$6-$E$3)&lt;1,0,IFERROR(LOOKUP(2,1/(Trigo!$E50:INDEX(Trigo!$E50:$Z50,MIN(AC$6-$E$3,22))&lt;&gt;""),Trigo!$E50:INDEX(Trigo!$E50:$Z50,MIN(AC$6-$E$3,22))),0))-IF($G$2,0,IF((AC$6-$G$3)&lt;1,0,IFERROR(LOOKUP(2,1/(Trigo!$E50:INDEX(Trigo!$E50:$Z50,MIN(AC$6-$G$3,22))&lt;&gt;""),Trigo!$E50:INDEX(Trigo!$E50:$Z50,MIN(AC$6-$G$3,22))),0)))))</f>
        <v>0</v>
      </c>
      <c r="AD52" s="27" t="n">
        <f aca="false">IF(COUNT(Trigo!$E50:$Z50)=0,0,MAX(0,IF((AD$6-$E$3)&lt;1,0,IFERROR(LOOKUP(2,1/(Trigo!$E50:INDEX(Trigo!$E50:$Z50,MIN(AD$6-$E$3,22))&lt;&gt;""),Trigo!$E50:INDEX(Trigo!$E50:$Z50,MIN(AD$6-$E$3,22))),0))-IF($G$2,0,IF((AD$6-$G$3)&lt;1,0,IFERROR(LOOKUP(2,1/(Trigo!$E50:INDEX(Trigo!$E50:$Z50,MIN(AD$6-$G$3,22))&lt;&gt;""),Trigo!$E50:INDEX(Trigo!$E50:$Z50,MIN(AD$6-$G$3,22))),0)))))</f>
        <v>0</v>
      </c>
      <c r="AE52" s="27" t="n">
        <f aca="false">IF(COUNT(Trigo!$E50:$Z50)=0,0,MAX(0,IF((AE$6-$E$3)&lt;1,0,IFERROR(LOOKUP(2,1/(Trigo!$E50:INDEX(Trigo!$E50:$Z50,MIN(AE$6-$E$3,22))&lt;&gt;""),Trigo!$E50:INDEX(Trigo!$E50:$Z50,MIN(AE$6-$E$3,22))),0))-IF($G$2,0,IF((AE$6-$G$3)&lt;1,0,IFERROR(LOOKUP(2,1/(Trigo!$E50:INDEX(Trigo!$E50:$Z50,MIN(AE$6-$G$3,22))&lt;&gt;""),Trigo!$E50:INDEX(Trigo!$E50:$Z50,MIN(AE$6-$G$3,22))),0)))))</f>
        <v>0</v>
      </c>
      <c r="AF52" s="27" t="n">
        <f aca="false">IF(COUNT(Trigo!$E50:$Z50)=0,0,MAX(0,IF((AF$6-$E$3)&lt;1,0,IFERROR(LOOKUP(2,1/(Trigo!$E50:INDEX(Trigo!$E50:$Z50,MIN(AF$6-$E$3,22))&lt;&gt;""),Trigo!$E50:INDEX(Trigo!$E50:$Z50,MIN(AF$6-$E$3,22))),0))-IF($G$2,0,IF((AF$6-$G$3)&lt;1,0,IFERROR(LOOKUP(2,1/(Trigo!$E50:INDEX(Trigo!$E50:$Z50,MIN(AF$6-$G$3,22))&lt;&gt;""),Trigo!$E50:INDEX(Trigo!$E50:$Z50,MIN(AF$6-$G$3,22))),0)))))</f>
        <v>0</v>
      </c>
      <c r="AG52" s="27" t="n">
        <f aca="false">IF(COUNT(Trigo!$E50:$Z50)=0,0,MAX(0,IF((AG$6-$E$3)&lt;1,0,IFERROR(LOOKUP(2,1/(Trigo!$E50:INDEX(Trigo!$E50:$Z50,MIN(AG$6-$E$3,22))&lt;&gt;""),Trigo!$E50:INDEX(Trigo!$E50:$Z50,MIN(AG$6-$E$3,22))),0))-IF($G$2,0,IF((AG$6-$G$3)&lt;1,0,IFERROR(LOOKUP(2,1/(Trigo!$E50:INDEX(Trigo!$E50:$Z50,MIN(AG$6-$G$3,22))&lt;&gt;""),Trigo!$E50:INDEX(Trigo!$E50:$Z50,MIN(AG$6-$G$3,22))),0)))))</f>
        <v>0</v>
      </c>
      <c r="AH52" s="27" t="n">
        <f aca="false">IF(COUNT(Trigo!$E50:$Z50)=0,0,MAX(0,IF((AH$6-$E$3)&lt;1,0,IFERROR(LOOKUP(2,1/(Trigo!$E50:INDEX(Trigo!$E50:$Z50,MIN(AH$6-$E$3,22))&lt;&gt;""),Trigo!$E50:INDEX(Trigo!$E50:$Z50,MIN(AH$6-$E$3,22))),0))-IF($G$2,0,IF((AH$6-$G$3)&lt;1,0,IFERROR(LOOKUP(2,1/(Trigo!$E50:INDEX(Trigo!$E50:$Z50,MIN(AH$6-$G$3,22))&lt;&gt;""),Trigo!$E50:INDEX(Trigo!$E50:$Z50,MIN(AH$6-$G$3,22))),0)))))</f>
        <v>0</v>
      </c>
      <c r="AI52" s="27" t="n">
        <f aca="false">IF(COUNT(Trigo!$E50:$Z50)=0,0,MAX(0,IF((AI$6-$E$3)&lt;1,0,IFERROR(LOOKUP(2,1/(Trigo!$E50:INDEX(Trigo!$E50:$Z50,MIN(AI$6-$E$3,22))&lt;&gt;""),Trigo!$E50:INDEX(Trigo!$E50:$Z50,MIN(AI$6-$E$3,22))),0))-IF($G$2,0,IF((AI$6-$G$3)&lt;1,0,IFERROR(LOOKUP(2,1/(Trigo!$E50:INDEX(Trigo!$E50:$Z50,MIN(AI$6-$G$3,22))&lt;&gt;""),Trigo!$E50:INDEX(Trigo!$E50:$Z50,MIN(AI$6-$G$3,22))),0)))))</f>
        <v>0</v>
      </c>
      <c r="AJ52" s="27" t="n">
        <f aca="false">IF(COUNT(Trigo!$E50:$Z50)=0,0,MAX(0,IF((AJ$6-$E$3)&lt;1,0,IFERROR(LOOKUP(2,1/(Trigo!$E50:INDEX(Trigo!$E50:$Z50,MIN(AJ$6-$E$3,22))&lt;&gt;""),Trigo!$E50:INDEX(Trigo!$E50:$Z50,MIN(AJ$6-$E$3,22))),0))-IF($G$2,0,IF((AJ$6-$G$3)&lt;1,0,IFERROR(LOOKUP(2,1/(Trigo!$E50:INDEX(Trigo!$E50:$Z50,MIN(AJ$6-$G$3,22))&lt;&gt;""),Trigo!$E50:INDEX(Trigo!$E50:$Z50,MIN(AJ$6-$G$3,22))),0)))))</f>
        <v>0</v>
      </c>
      <c r="AK52" s="27" t="n">
        <f aca="false">IF(COUNT(Trigo!$E50:$Z50)=0,0,MAX(0,IF((AK$6-$E$3)&lt;1,0,IFERROR(LOOKUP(2,1/(Trigo!$E50:INDEX(Trigo!$E50:$Z50,MIN(AK$6-$E$3,22))&lt;&gt;""),Trigo!$E50:INDEX(Trigo!$E50:$Z50,MIN(AK$6-$E$3,22))),0))-IF($G$2,0,IF((AK$6-$G$3)&lt;1,0,IFERROR(LOOKUP(2,1/(Trigo!$E50:INDEX(Trigo!$E50:$Z50,MIN(AK$6-$G$3,22))&lt;&gt;""),Trigo!$E50:INDEX(Trigo!$E50:$Z50,MIN(AK$6-$G$3,22))),0)))))</f>
        <v>0</v>
      </c>
      <c r="AL52" s="27" t="n">
        <f aca="false">IF(COUNT(Trigo!$E50:$Z50)=0,0,MAX(0,IF((AL$6-$E$3)&lt;1,0,IFERROR(LOOKUP(2,1/(Trigo!$E50:INDEX(Trigo!$E50:$Z50,MIN(AL$6-$E$3,22))&lt;&gt;""),Trigo!$E50:INDEX(Trigo!$E50:$Z50,MIN(AL$6-$E$3,22))),0))-IF($G$2,0,IF((AL$6-$G$3)&lt;1,0,IFERROR(LOOKUP(2,1/(Trigo!$E50:INDEX(Trigo!$E50:$Z50,MIN(AL$6-$G$3,22))&lt;&gt;""),Trigo!$E50:INDEX(Trigo!$E50:$Z50,MIN(AL$6-$G$3,22))),0)))))</f>
        <v>0</v>
      </c>
      <c r="AM52" s="27" t="n">
        <f aca="false">IF(COUNT(Trigo!$E50:$Z50)=0,0,MAX(0,IF((AM$6-$E$3)&lt;1,0,IFERROR(LOOKUP(2,1/(Trigo!$E50:INDEX(Trigo!$E50:$Z50,MIN(AM$6-$E$3,22))&lt;&gt;""),Trigo!$E50:INDEX(Trigo!$E50:$Z50,MIN(AM$6-$E$3,22))),0))-IF($G$2,0,IF((AM$6-$G$3)&lt;1,0,IFERROR(LOOKUP(2,1/(Trigo!$E50:INDEX(Trigo!$E50:$Z50,MIN(AM$6-$G$3,22))&lt;&gt;""),Trigo!$E50:INDEX(Trigo!$E50:$Z50,MIN(AM$6-$G$3,22))),0)))))</f>
        <v>0</v>
      </c>
      <c r="AN52" s="27" t="n">
        <f aca="false">IF(COUNT(Trigo!$E50:$Z50)=0,0,MAX(0,IF((AN$6-$E$3)&lt;1,0,IFERROR(LOOKUP(2,1/(Trigo!$E50:INDEX(Trigo!$E50:$Z50,MIN(AN$6-$E$3,22))&lt;&gt;""),Trigo!$E50:INDEX(Trigo!$E50:$Z50,MIN(AN$6-$E$3,22))),0))-IF($G$2,0,IF((AN$6-$G$3)&lt;1,0,IFERROR(LOOKUP(2,1/(Trigo!$E50:INDEX(Trigo!$E50:$Z50,MIN(AN$6-$G$3,22))&lt;&gt;""),Trigo!$E50:INDEX(Trigo!$E50:$Z50,MIN(AN$6-$G$3,22))),0)))))</f>
        <v>0</v>
      </c>
      <c r="AO52" s="27" t="n">
        <f aca="false">IF(COUNT(Trigo!$E50:$Z50)=0,0,MAX(0,IF((AO$6-$E$3)&lt;1,0,IFERROR(LOOKUP(2,1/(Trigo!$E50:INDEX(Trigo!$E50:$Z50,MIN(AO$6-$E$3,22))&lt;&gt;""),Trigo!$E50:INDEX(Trigo!$E50:$Z50,MIN(AO$6-$E$3,22))),0))-IF($G$2,0,IF((AO$6-$G$3)&lt;1,0,IFERROR(LOOKUP(2,1/(Trigo!$E50:INDEX(Trigo!$E50:$Z50,MIN(AO$6-$G$3,22))&lt;&gt;""),Trigo!$E50:INDEX(Trigo!$E50:$Z50,MIN(AO$6-$G$3,22))),0)))))</f>
        <v>0</v>
      </c>
      <c r="AP52" s="27" t="n">
        <f aca="false">IF(COUNT(Trigo!$E50:$Z50)=0,0,MAX(0,IF((AP$6-$E$3)&lt;1,0,IFERROR(LOOKUP(2,1/(Trigo!$E50:INDEX(Trigo!$E50:$Z50,MIN(AP$6-$E$3,22))&lt;&gt;""),Trigo!$E50:INDEX(Trigo!$E50:$Z50,MIN(AP$6-$E$3,22))),0))-IF($G$2,0,IF((AP$6-$G$3)&lt;1,0,IFERROR(LOOKUP(2,1/(Trigo!$E50:INDEX(Trigo!$E50:$Z50,MIN(AP$6-$G$3,22))&lt;&gt;""),Trigo!$E50:INDEX(Trigo!$E50:$Z50,MIN(AP$6-$G$3,22))),0)))))</f>
        <v>0</v>
      </c>
      <c r="AQ52" s="27" t="n">
        <f aca="false">IF(COUNT(Trigo!$E50:$Z50)=0,0,MAX(0,IF((AQ$6-$E$3)&lt;1,0,IFERROR(LOOKUP(2,1/(Trigo!$E50:INDEX(Trigo!$E50:$Z50,MIN(AQ$6-$E$3,22))&lt;&gt;""),Trigo!$E50:INDEX(Trigo!$E50:$Z50,MIN(AQ$6-$E$3,22))),0))-IF($G$2,0,IF((AQ$6-$G$3)&lt;1,0,IFERROR(LOOKUP(2,1/(Trigo!$E50:INDEX(Trigo!$E50:$Z50,MIN(AQ$6-$G$3,22))&lt;&gt;""),Trigo!$E50:INDEX(Trigo!$E50:$Z50,MIN(AQ$6-$G$3,22))),0)))))</f>
        <v>0</v>
      </c>
      <c r="AR52" s="27" t="n">
        <f aca="false">IF(COUNT(Trigo!$E50:$Z50)=0,0,MAX(0,IF((AR$6-$E$3)&lt;1,0,IFERROR(LOOKUP(2,1/(Trigo!$E50:INDEX(Trigo!$E50:$Z50,MIN(AR$6-$E$3,22))&lt;&gt;""),Trigo!$E50:INDEX(Trigo!$E50:$Z50,MIN(AR$6-$E$3,22))),0))-IF($G$2,0,IF((AR$6-$G$3)&lt;1,0,IFERROR(LOOKUP(2,1/(Trigo!$E50:INDEX(Trigo!$E50:$Z50,MIN(AR$6-$G$3,22))&lt;&gt;""),Trigo!$E50:INDEX(Trigo!$E50:$Z50,MIN(AR$6-$G$3,22))),0)))))</f>
        <v>0</v>
      </c>
      <c r="AS52" s="27" t="n">
        <f aca="false">IF(COUNT(Trigo!$E50:$Z50)=0,0,MAX(0,IF((AS$6-$E$3)&lt;1,0,IFERROR(LOOKUP(2,1/(Trigo!$E50:INDEX(Trigo!$E50:$Z50,MIN(AS$6-$E$3,22))&lt;&gt;""),Trigo!$E50:INDEX(Trigo!$E50:$Z50,MIN(AS$6-$E$3,22))),0))-IF($G$2,0,IF((AS$6-$G$3)&lt;1,0,IFERROR(LOOKUP(2,1/(Trigo!$E50:INDEX(Trigo!$E50:$Z50,MIN(AS$6-$G$3,22))&lt;&gt;""),Trigo!$E50:INDEX(Trigo!$E50:$Z50,MIN(AS$6-$G$3,22))),0)))))</f>
        <v>0</v>
      </c>
      <c r="AT52" s="27" t="n">
        <f aca="false">IF(COUNT(Trigo!$E50:$Z50)=0,0,MAX(0,IF((AT$6-$E$3)&lt;1,0,IFERROR(LOOKUP(2,1/(Trigo!$E50:INDEX(Trigo!$E50:$Z50,MIN(AT$6-$E$3,22))&lt;&gt;""),Trigo!$E50:INDEX(Trigo!$E50:$Z50,MIN(AT$6-$E$3,22))),0))-IF($G$2,0,IF((AT$6-$G$3)&lt;1,0,IFERROR(LOOKUP(2,1/(Trigo!$E50:INDEX(Trigo!$E50:$Z50,MIN(AT$6-$G$3,22))&lt;&gt;""),Trigo!$E50:INDEX(Trigo!$E50:$Z50,MIN(AT$6-$G$3,22))),0)))))</f>
        <v>0</v>
      </c>
      <c r="AU52" s="27" t="n">
        <f aca="false">IF(COUNT(Trigo!$E50:$Z50)=0,0,MAX(0,IF((AU$6-$E$3)&lt;1,0,IFERROR(LOOKUP(2,1/(Trigo!$E50:INDEX(Trigo!$E50:$Z50,MIN(AU$6-$E$3,22))&lt;&gt;""),Trigo!$E50:INDEX(Trigo!$E50:$Z50,MIN(AU$6-$E$3,22))),0))-IF($G$2,0,IF((AU$6-$G$3)&lt;1,0,IFERROR(LOOKUP(2,1/(Trigo!$E50:INDEX(Trigo!$E50:$Z50,MIN(AU$6-$G$3,22))&lt;&gt;""),Trigo!$E50:INDEX(Trigo!$E50:$Z50,MIN(AU$6-$G$3,22))),0)))))</f>
        <v>0</v>
      </c>
      <c r="AV52" s="27" t="n">
        <f aca="false">IF(COUNT(Trigo!$E50:$Z50)=0,0,MAX(0,IF((AV$6-$E$3)&lt;1,0,IFERROR(LOOKUP(2,1/(Trigo!$E50:INDEX(Trigo!$E50:$Z50,MIN(AV$6-$E$3,22))&lt;&gt;""),Trigo!$E50:INDEX(Trigo!$E50:$Z50,MIN(AV$6-$E$3,22))),0))-IF($G$2,0,IF((AV$6-$G$3)&lt;1,0,IFERROR(LOOKUP(2,1/(Trigo!$E50:INDEX(Trigo!$E50:$Z50,MIN(AV$6-$G$3,22))&lt;&gt;""),Trigo!$E50:INDEX(Trigo!$E50:$Z50,MIN(AV$6-$G$3,22))),0)))))</f>
        <v>0</v>
      </c>
      <c r="AW52" s="27" t="n">
        <f aca="false">IF(COUNT(Trigo!$E50:$Z50)=0,0,MAX(0,IF((AW$6-$E$3)&lt;1,0,IFERROR(LOOKUP(2,1/(Trigo!$E50:INDEX(Trigo!$E50:$Z50,MIN(AW$6-$E$3,22))&lt;&gt;""),Trigo!$E50:INDEX(Trigo!$E50:$Z50,MIN(AW$6-$E$3,22))),0))-IF($G$2,0,IF((AW$6-$G$3)&lt;1,0,IFERROR(LOOKUP(2,1/(Trigo!$E50:INDEX(Trigo!$E50:$Z50,MIN(AW$6-$G$3,22))&lt;&gt;""),Trigo!$E50:INDEX(Trigo!$E50:$Z50,MIN(AW$6-$G$3,22))),0)))))</f>
        <v>0</v>
      </c>
      <c r="AX52" s="27" t="n">
        <f aca="false">IF(COUNT(Trigo!$E50:$Z50)=0,0,MAX(0,IF((AX$6-$E$3)&lt;1,0,IFERROR(LOOKUP(2,1/(Trigo!$E50:INDEX(Trigo!$E50:$Z50,MIN(AX$6-$E$3,22))&lt;&gt;""),Trigo!$E50:INDEX(Trigo!$E50:$Z50,MIN(AX$6-$E$3,22))),0))-IF($G$2,0,IF((AX$6-$G$3)&lt;1,0,IFERROR(LOOKUP(2,1/(Trigo!$E50:INDEX(Trigo!$E50:$Z50,MIN(AX$6-$G$3,22))&lt;&gt;""),Trigo!$E50:INDEX(Trigo!$E50:$Z50,MIN(AX$6-$G$3,22))),0)))))</f>
        <v>0</v>
      </c>
      <c r="AY52" s="27" t="n">
        <f aca="false">IF(COUNT(Trigo!$E50:$Z50)=0,0,MAX(0,IF((AY$6-$E$3)&lt;1,0,IFERROR(LOOKUP(2,1/(Trigo!$E50:INDEX(Trigo!$E50:$Z50,MIN(AY$6-$E$3,22))&lt;&gt;""),Trigo!$E50:INDEX(Trigo!$E50:$Z50,MIN(AY$6-$E$3,22))),0))-IF($G$2,0,IF((AY$6-$G$3)&lt;1,0,IFERROR(LOOKUP(2,1/(Trigo!$E50:INDEX(Trigo!$E50:$Z50,MIN(AY$6-$G$3,22))&lt;&gt;""),Trigo!$E50:INDEX(Trigo!$E50:$Z50,MIN(AY$6-$G$3,22))),0)))))</f>
        <v>0</v>
      </c>
      <c r="AZ52" s="27" t="n">
        <f aca="false">IF(COUNT(Trigo!$E50:$Z50)=0,0,MAX(0,IF((AZ$6-$E$3)&lt;1,0,IFERROR(LOOKUP(2,1/(Trigo!$E50:INDEX(Trigo!$E50:$Z50,MIN(AZ$6-$E$3,22))&lt;&gt;""),Trigo!$E50:INDEX(Trigo!$E50:$Z50,MIN(AZ$6-$E$3,22))),0))-IF($G$2,0,IF((AZ$6-$G$3)&lt;1,0,IFERROR(LOOKUP(2,1/(Trigo!$E50:INDEX(Trigo!$E50:$Z50,MIN(AZ$6-$G$3,22))&lt;&gt;""),Trigo!$E50:INDEX(Trigo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IF(COUNT(Trigo!$E51:$Z51)&gt;0,N(Trigo!$D51),0)</f>
        <v>0</v>
      </c>
      <c r="E53" s="27" t="n">
        <f aca="false">IF(COUNT(Trigo!$E51:$Z51)=0,0,MAX(0,IF((E$6-$E$3)&lt;1,0,IFERROR(LOOKUP(2,1/(Trigo!$E51:INDEX(Trigo!$E51:$Z51,MIN(E$6-$E$3,22))&lt;&gt;""),Trigo!$E51:INDEX(Trigo!$E51:$Z51,MIN(E$6-$E$3,22))),0))-IF($G$2,0,IF((E$6-$G$3)&lt;1,0,IFERROR(LOOKUP(2,1/(Trigo!$E51:INDEX(Trigo!$E51:$Z51,MIN(E$6-$G$3,22))&lt;&gt;""),Trigo!$E51:INDEX(Trigo!$E51:$Z51,MIN(E$6-$G$3,22))),0)))))</f>
        <v>0</v>
      </c>
      <c r="F53" s="27" t="n">
        <f aca="false">IF(COUNT(Trigo!$E51:$Z51)=0,0,MAX(0,IF((F$6-$E$3)&lt;1,0,IFERROR(LOOKUP(2,1/(Trigo!$E51:INDEX(Trigo!$E51:$Z51,MIN(F$6-$E$3,22))&lt;&gt;""),Trigo!$E51:INDEX(Trigo!$E51:$Z51,MIN(F$6-$E$3,22))),0))-IF($G$2,0,IF((F$6-$G$3)&lt;1,0,IFERROR(LOOKUP(2,1/(Trigo!$E51:INDEX(Trigo!$E51:$Z51,MIN(F$6-$G$3,22))&lt;&gt;""),Trigo!$E51:INDEX(Trigo!$E51:$Z51,MIN(F$6-$G$3,22))),0)))))</f>
        <v>0</v>
      </c>
      <c r="G53" s="27" t="n">
        <f aca="false">IF(COUNT(Trigo!$E51:$Z51)=0,0,MAX(0,IF((G$6-$E$3)&lt;1,0,IFERROR(LOOKUP(2,1/(Trigo!$E51:INDEX(Trigo!$E51:$Z51,MIN(G$6-$E$3,22))&lt;&gt;""),Trigo!$E51:INDEX(Trigo!$E51:$Z51,MIN(G$6-$E$3,22))),0))-IF($G$2,0,IF((G$6-$G$3)&lt;1,0,IFERROR(LOOKUP(2,1/(Trigo!$E51:INDEX(Trigo!$E51:$Z51,MIN(G$6-$G$3,22))&lt;&gt;""),Trigo!$E51:INDEX(Trigo!$E51:$Z51,MIN(G$6-$G$3,22))),0)))))</f>
        <v>0</v>
      </c>
      <c r="H53" s="27" t="n">
        <f aca="false">IF(COUNT(Trigo!$E51:$Z51)=0,0,MAX(0,IF((H$6-$E$3)&lt;1,0,IFERROR(LOOKUP(2,1/(Trigo!$E51:INDEX(Trigo!$E51:$Z51,MIN(H$6-$E$3,22))&lt;&gt;""),Trigo!$E51:INDEX(Trigo!$E51:$Z51,MIN(H$6-$E$3,22))),0))-IF($G$2,0,IF((H$6-$G$3)&lt;1,0,IFERROR(LOOKUP(2,1/(Trigo!$E51:INDEX(Trigo!$E51:$Z51,MIN(H$6-$G$3,22))&lt;&gt;""),Trigo!$E51:INDEX(Trigo!$E51:$Z51,MIN(H$6-$G$3,22))),0)))))</f>
        <v>0</v>
      </c>
      <c r="I53" s="27" t="n">
        <f aca="false">IF(COUNT(Trigo!$E51:$Z51)=0,0,MAX(0,IF((I$6-$E$3)&lt;1,0,IFERROR(LOOKUP(2,1/(Trigo!$E51:INDEX(Trigo!$E51:$Z51,MIN(I$6-$E$3,22))&lt;&gt;""),Trigo!$E51:INDEX(Trigo!$E51:$Z51,MIN(I$6-$E$3,22))),0))-IF($G$2,0,IF((I$6-$G$3)&lt;1,0,IFERROR(LOOKUP(2,1/(Trigo!$E51:INDEX(Trigo!$E51:$Z51,MIN(I$6-$G$3,22))&lt;&gt;""),Trigo!$E51:INDEX(Trigo!$E51:$Z51,MIN(I$6-$G$3,22))),0)))))</f>
        <v>0</v>
      </c>
      <c r="J53" s="27" t="n">
        <f aca="false">IF(COUNT(Trigo!$E51:$Z51)=0,0,MAX(0,IF((J$6-$E$3)&lt;1,0,IFERROR(LOOKUP(2,1/(Trigo!$E51:INDEX(Trigo!$E51:$Z51,MIN(J$6-$E$3,22))&lt;&gt;""),Trigo!$E51:INDEX(Trigo!$E51:$Z51,MIN(J$6-$E$3,22))),0))-IF($G$2,0,IF((J$6-$G$3)&lt;1,0,IFERROR(LOOKUP(2,1/(Trigo!$E51:INDEX(Trigo!$E51:$Z51,MIN(J$6-$G$3,22))&lt;&gt;""),Trigo!$E51:INDEX(Trigo!$E51:$Z51,MIN(J$6-$G$3,22))),0)))))</f>
        <v>0</v>
      </c>
      <c r="K53" s="27" t="n">
        <f aca="false">IF(COUNT(Trigo!$E51:$Z51)=0,0,MAX(0,IF((K$6-$E$3)&lt;1,0,IFERROR(LOOKUP(2,1/(Trigo!$E51:INDEX(Trigo!$E51:$Z51,MIN(K$6-$E$3,22))&lt;&gt;""),Trigo!$E51:INDEX(Trigo!$E51:$Z51,MIN(K$6-$E$3,22))),0))-IF($G$2,0,IF((K$6-$G$3)&lt;1,0,IFERROR(LOOKUP(2,1/(Trigo!$E51:INDEX(Trigo!$E51:$Z51,MIN(K$6-$G$3,22))&lt;&gt;""),Trigo!$E51:INDEX(Trigo!$E51:$Z51,MIN(K$6-$G$3,22))),0)))))</f>
        <v>0</v>
      </c>
      <c r="L53" s="27" t="n">
        <f aca="false">IF(COUNT(Trigo!$E51:$Z51)=0,0,MAX(0,IF((L$6-$E$3)&lt;1,0,IFERROR(LOOKUP(2,1/(Trigo!$E51:INDEX(Trigo!$E51:$Z51,MIN(L$6-$E$3,22))&lt;&gt;""),Trigo!$E51:INDEX(Trigo!$E51:$Z51,MIN(L$6-$E$3,22))),0))-IF($G$2,0,IF((L$6-$G$3)&lt;1,0,IFERROR(LOOKUP(2,1/(Trigo!$E51:INDEX(Trigo!$E51:$Z51,MIN(L$6-$G$3,22))&lt;&gt;""),Trigo!$E51:INDEX(Trigo!$E51:$Z51,MIN(L$6-$G$3,22))),0)))))</f>
        <v>0</v>
      </c>
      <c r="M53" s="27" t="n">
        <f aca="false">IF(COUNT(Trigo!$E51:$Z51)=0,0,MAX(0,IF((M$6-$E$3)&lt;1,0,IFERROR(LOOKUP(2,1/(Trigo!$E51:INDEX(Trigo!$E51:$Z51,MIN(M$6-$E$3,22))&lt;&gt;""),Trigo!$E51:INDEX(Trigo!$E51:$Z51,MIN(M$6-$E$3,22))),0))-IF($G$2,0,IF((M$6-$G$3)&lt;1,0,IFERROR(LOOKUP(2,1/(Trigo!$E51:INDEX(Trigo!$E51:$Z51,MIN(M$6-$G$3,22))&lt;&gt;""),Trigo!$E51:INDEX(Trigo!$E51:$Z51,MIN(M$6-$G$3,22))),0)))))</f>
        <v>0</v>
      </c>
      <c r="N53" s="27" t="n">
        <f aca="false">IF(COUNT(Trigo!$E51:$Z51)=0,0,MAX(0,IF((N$6-$E$3)&lt;1,0,IFERROR(LOOKUP(2,1/(Trigo!$E51:INDEX(Trigo!$E51:$Z51,MIN(N$6-$E$3,22))&lt;&gt;""),Trigo!$E51:INDEX(Trigo!$E51:$Z51,MIN(N$6-$E$3,22))),0))-IF($G$2,0,IF((N$6-$G$3)&lt;1,0,IFERROR(LOOKUP(2,1/(Trigo!$E51:INDEX(Trigo!$E51:$Z51,MIN(N$6-$G$3,22))&lt;&gt;""),Trigo!$E51:INDEX(Trigo!$E51:$Z51,MIN(N$6-$G$3,22))),0)))))</f>
        <v>0</v>
      </c>
      <c r="O53" s="27" t="n">
        <f aca="false">IF(COUNT(Trigo!$E51:$Z51)=0,0,MAX(0,IF((O$6-$E$3)&lt;1,0,IFERROR(LOOKUP(2,1/(Trigo!$E51:INDEX(Trigo!$E51:$Z51,MIN(O$6-$E$3,22))&lt;&gt;""),Trigo!$E51:INDEX(Trigo!$E51:$Z51,MIN(O$6-$E$3,22))),0))-IF($G$2,0,IF((O$6-$G$3)&lt;1,0,IFERROR(LOOKUP(2,1/(Trigo!$E51:INDEX(Trigo!$E51:$Z51,MIN(O$6-$G$3,22))&lt;&gt;""),Trigo!$E51:INDEX(Trigo!$E51:$Z51,MIN(O$6-$G$3,22))),0)))))</f>
        <v>0</v>
      </c>
      <c r="P53" s="27" t="n">
        <f aca="false">IF(COUNT(Trigo!$E51:$Z51)=0,0,MAX(0,IF((P$6-$E$3)&lt;1,0,IFERROR(LOOKUP(2,1/(Trigo!$E51:INDEX(Trigo!$E51:$Z51,MIN(P$6-$E$3,22))&lt;&gt;""),Trigo!$E51:INDEX(Trigo!$E51:$Z51,MIN(P$6-$E$3,22))),0))-IF($G$2,0,IF((P$6-$G$3)&lt;1,0,IFERROR(LOOKUP(2,1/(Trigo!$E51:INDEX(Trigo!$E51:$Z51,MIN(P$6-$G$3,22))&lt;&gt;""),Trigo!$E51:INDEX(Trigo!$E51:$Z51,MIN(P$6-$G$3,22))),0)))))</f>
        <v>0</v>
      </c>
      <c r="Q53" s="27" t="n">
        <f aca="false">IF(COUNT(Trigo!$E51:$Z51)=0,0,MAX(0,IF((Q$6-$E$3)&lt;1,0,IFERROR(LOOKUP(2,1/(Trigo!$E51:INDEX(Trigo!$E51:$Z51,MIN(Q$6-$E$3,22))&lt;&gt;""),Trigo!$E51:INDEX(Trigo!$E51:$Z51,MIN(Q$6-$E$3,22))),0))-IF($G$2,0,IF((Q$6-$G$3)&lt;1,0,IFERROR(LOOKUP(2,1/(Trigo!$E51:INDEX(Trigo!$E51:$Z51,MIN(Q$6-$G$3,22))&lt;&gt;""),Trigo!$E51:INDEX(Trigo!$E51:$Z51,MIN(Q$6-$G$3,22))),0)))))</f>
        <v>0</v>
      </c>
      <c r="R53" s="27" t="n">
        <f aca="false">IF(COUNT(Trigo!$E51:$Z51)=0,0,MAX(0,IF((R$6-$E$3)&lt;1,0,IFERROR(LOOKUP(2,1/(Trigo!$E51:INDEX(Trigo!$E51:$Z51,MIN(R$6-$E$3,22))&lt;&gt;""),Trigo!$E51:INDEX(Trigo!$E51:$Z51,MIN(R$6-$E$3,22))),0))-IF($G$2,0,IF((R$6-$G$3)&lt;1,0,IFERROR(LOOKUP(2,1/(Trigo!$E51:INDEX(Trigo!$E51:$Z51,MIN(R$6-$G$3,22))&lt;&gt;""),Trigo!$E51:INDEX(Trigo!$E51:$Z51,MIN(R$6-$G$3,22))),0)))))</f>
        <v>0</v>
      </c>
      <c r="S53" s="27" t="n">
        <f aca="false">IF(COUNT(Trigo!$E51:$Z51)=0,0,MAX(0,IF((S$6-$E$3)&lt;1,0,IFERROR(LOOKUP(2,1/(Trigo!$E51:INDEX(Trigo!$E51:$Z51,MIN(S$6-$E$3,22))&lt;&gt;""),Trigo!$E51:INDEX(Trigo!$E51:$Z51,MIN(S$6-$E$3,22))),0))-IF($G$2,0,IF((S$6-$G$3)&lt;1,0,IFERROR(LOOKUP(2,1/(Trigo!$E51:INDEX(Trigo!$E51:$Z51,MIN(S$6-$G$3,22))&lt;&gt;""),Trigo!$E51:INDEX(Trigo!$E51:$Z51,MIN(S$6-$G$3,22))),0)))))</f>
        <v>0</v>
      </c>
      <c r="T53" s="27" t="n">
        <f aca="false">IF(COUNT(Trigo!$E51:$Z51)=0,0,MAX(0,IF((T$6-$E$3)&lt;1,0,IFERROR(LOOKUP(2,1/(Trigo!$E51:INDEX(Trigo!$E51:$Z51,MIN(T$6-$E$3,22))&lt;&gt;""),Trigo!$E51:INDEX(Trigo!$E51:$Z51,MIN(T$6-$E$3,22))),0))-IF($G$2,0,IF((T$6-$G$3)&lt;1,0,IFERROR(LOOKUP(2,1/(Trigo!$E51:INDEX(Trigo!$E51:$Z51,MIN(T$6-$G$3,22))&lt;&gt;""),Trigo!$E51:INDEX(Trigo!$E51:$Z51,MIN(T$6-$G$3,22))),0)))))</f>
        <v>0</v>
      </c>
      <c r="U53" s="27" t="n">
        <f aca="false">IF(COUNT(Trigo!$E51:$Z51)=0,0,MAX(0,IF((U$6-$E$3)&lt;1,0,IFERROR(LOOKUP(2,1/(Trigo!$E51:INDEX(Trigo!$E51:$Z51,MIN(U$6-$E$3,22))&lt;&gt;""),Trigo!$E51:INDEX(Trigo!$E51:$Z51,MIN(U$6-$E$3,22))),0))-IF($G$2,0,IF((U$6-$G$3)&lt;1,0,IFERROR(LOOKUP(2,1/(Trigo!$E51:INDEX(Trigo!$E51:$Z51,MIN(U$6-$G$3,22))&lt;&gt;""),Trigo!$E51:INDEX(Trigo!$E51:$Z51,MIN(U$6-$G$3,22))),0)))))</f>
        <v>0</v>
      </c>
      <c r="V53" s="27" t="n">
        <f aca="false">IF(COUNT(Trigo!$E51:$Z51)=0,0,MAX(0,IF((V$6-$E$3)&lt;1,0,IFERROR(LOOKUP(2,1/(Trigo!$E51:INDEX(Trigo!$E51:$Z51,MIN(V$6-$E$3,22))&lt;&gt;""),Trigo!$E51:INDEX(Trigo!$E51:$Z51,MIN(V$6-$E$3,22))),0))-IF($G$2,0,IF((V$6-$G$3)&lt;1,0,IFERROR(LOOKUP(2,1/(Trigo!$E51:INDEX(Trigo!$E51:$Z51,MIN(V$6-$G$3,22))&lt;&gt;""),Trigo!$E51:INDEX(Trigo!$E51:$Z51,MIN(V$6-$G$3,22))),0)))))</f>
        <v>0</v>
      </c>
      <c r="W53" s="27" t="n">
        <f aca="false">IF(COUNT(Trigo!$E51:$Z51)=0,0,MAX(0,IF((W$6-$E$3)&lt;1,0,IFERROR(LOOKUP(2,1/(Trigo!$E51:INDEX(Trigo!$E51:$Z51,MIN(W$6-$E$3,22))&lt;&gt;""),Trigo!$E51:INDEX(Trigo!$E51:$Z51,MIN(W$6-$E$3,22))),0))-IF($G$2,0,IF((W$6-$G$3)&lt;1,0,IFERROR(LOOKUP(2,1/(Trigo!$E51:INDEX(Trigo!$E51:$Z51,MIN(W$6-$G$3,22))&lt;&gt;""),Trigo!$E51:INDEX(Trigo!$E51:$Z51,MIN(W$6-$G$3,22))),0)))))</f>
        <v>0</v>
      </c>
      <c r="X53" s="27" t="n">
        <f aca="false">IF(COUNT(Trigo!$E51:$Z51)=0,0,MAX(0,IF((X$6-$E$3)&lt;1,0,IFERROR(LOOKUP(2,1/(Trigo!$E51:INDEX(Trigo!$E51:$Z51,MIN(X$6-$E$3,22))&lt;&gt;""),Trigo!$E51:INDEX(Trigo!$E51:$Z51,MIN(X$6-$E$3,22))),0))-IF($G$2,0,IF((X$6-$G$3)&lt;1,0,IFERROR(LOOKUP(2,1/(Trigo!$E51:INDEX(Trigo!$E51:$Z51,MIN(X$6-$G$3,22))&lt;&gt;""),Trigo!$E51:INDEX(Trigo!$E51:$Z51,MIN(X$6-$G$3,22))),0)))))</f>
        <v>0</v>
      </c>
      <c r="Y53" s="27" t="n">
        <f aca="false">IF(COUNT(Trigo!$E51:$Z51)=0,0,MAX(0,IF((Y$6-$E$3)&lt;1,0,IFERROR(LOOKUP(2,1/(Trigo!$E51:INDEX(Trigo!$E51:$Z51,MIN(Y$6-$E$3,22))&lt;&gt;""),Trigo!$E51:INDEX(Trigo!$E51:$Z51,MIN(Y$6-$E$3,22))),0))-IF($G$2,0,IF((Y$6-$G$3)&lt;1,0,IFERROR(LOOKUP(2,1/(Trigo!$E51:INDEX(Trigo!$E51:$Z51,MIN(Y$6-$G$3,22))&lt;&gt;""),Trigo!$E51:INDEX(Trigo!$E51:$Z51,MIN(Y$6-$G$3,22))),0)))))</f>
        <v>0</v>
      </c>
      <c r="Z53" s="27" t="n">
        <f aca="false">IF(COUNT(Trigo!$E51:$Z51)=0,0,MAX(0,IF((Z$6-$E$3)&lt;1,0,IFERROR(LOOKUP(2,1/(Trigo!$E51:INDEX(Trigo!$E51:$Z51,MIN(Z$6-$E$3,22))&lt;&gt;""),Trigo!$E51:INDEX(Trigo!$E51:$Z51,MIN(Z$6-$E$3,22))),0))-IF($G$2,0,IF((Z$6-$G$3)&lt;1,0,IFERROR(LOOKUP(2,1/(Trigo!$E51:INDEX(Trigo!$E51:$Z51,MIN(Z$6-$G$3,22))&lt;&gt;""),Trigo!$E51:INDEX(Trigo!$E51:$Z51,MIN(Z$6-$G$3,22))),0)))))</f>
        <v>0</v>
      </c>
      <c r="AA53" s="27" t="n">
        <f aca="false">IF(COUNT(Trigo!$E51:$Z51)=0,0,MAX(0,IF((AA$6-$E$3)&lt;1,0,IFERROR(LOOKUP(2,1/(Trigo!$E51:INDEX(Trigo!$E51:$Z51,MIN(AA$6-$E$3,22))&lt;&gt;""),Trigo!$E51:INDEX(Trigo!$E51:$Z51,MIN(AA$6-$E$3,22))),0))-IF($G$2,0,IF((AA$6-$G$3)&lt;1,0,IFERROR(LOOKUP(2,1/(Trigo!$E51:INDEX(Trigo!$E51:$Z51,MIN(AA$6-$G$3,22))&lt;&gt;""),Trigo!$E51:INDEX(Trigo!$E51:$Z51,MIN(AA$6-$G$3,22))),0)))))</f>
        <v>0</v>
      </c>
      <c r="AB53" s="27" t="n">
        <f aca="false">IF(COUNT(Trigo!$E51:$Z51)=0,0,MAX(0,IF((AB$6-$E$3)&lt;1,0,IFERROR(LOOKUP(2,1/(Trigo!$E51:INDEX(Trigo!$E51:$Z51,MIN(AB$6-$E$3,22))&lt;&gt;""),Trigo!$E51:INDEX(Trigo!$E51:$Z51,MIN(AB$6-$E$3,22))),0))-IF($G$2,0,IF((AB$6-$G$3)&lt;1,0,IFERROR(LOOKUP(2,1/(Trigo!$E51:INDEX(Trigo!$E51:$Z51,MIN(AB$6-$G$3,22))&lt;&gt;""),Trigo!$E51:INDEX(Trigo!$E51:$Z51,MIN(AB$6-$G$3,22))),0)))))</f>
        <v>0</v>
      </c>
      <c r="AC53" s="27" t="n">
        <f aca="false">IF(COUNT(Trigo!$E51:$Z51)=0,0,MAX(0,IF((AC$6-$E$3)&lt;1,0,IFERROR(LOOKUP(2,1/(Trigo!$E51:INDEX(Trigo!$E51:$Z51,MIN(AC$6-$E$3,22))&lt;&gt;""),Trigo!$E51:INDEX(Trigo!$E51:$Z51,MIN(AC$6-$E$3,22))),0))-IF($G$2,0,IF((AC$6-$G$3)&lt;1,0,IFERROR(LOOKUP(2,1/(Trigo!$E51:INDEX(Trigo!$E51:$Z51,MIN(AC$6-$G$3,22))&lt;&gt;""),Trigo!$E51:INDEX(Trigo!$E51:$Z51,MIN(AC$6-$G$3,22))),0)))))</f>
        <v>0</v>
      </c>
      <c r="AD53" s="27" t="n">
        <f aca="false">IF(COUNT(Trigo!$E51:$Z51)=0,0,MAX(0,IF((AD$6-$E$3)&lt;1,0,IFERROR(LOOKUP(2,1/(Trigo!$E51:INDEX(Trigo!$E51:$Z51,MIN(AD$6-$E$3,22))&lt;&gt;""),Trigo!$E51:INDEX(Trigo!$E51:$Z51,MIN(AD$6-$E$3,22))),0))-IF($G$2,0,IF((AD$6-$G$3)&lt;1,0,IFERROR(LOOKUP(2,1/(Trigo!$E51:INDEX(Trigo!$E51:$Z51,MIN(AD$6-$G$3,22))&lt;&gt;""),Trigo!$E51:INDEX(Trigo!$E51:$Z51,MIN(AD$6-$G$3,22))),0)))))</f>
        <v>0</v>
      </c>
      <c r="AE53" s="27" t="n">
        <f aca="false">IF(COUNT(Trigo!$E51:$Z51)=0,0,MAX(0,IF((AE$6-$E$3)&lt;1,0,IFERROR(LOOKUP(2,1/(Trigo!$E51:INDEX(Trigo!$E51:$Z51,MIN(AE$6-$E$3,22))&lt;&gt;""),Trigo!$E51:INDEX(Trigo!$E51:$Z51,MIN(AE$6-$E$3,22))),0))-IF($G$2,0,IF((AE$6-$G$3)&lt;1,0,IFERROR(LOOKUP(2,1/(Trigo!$E51:INDEX(Trigo!$E51:$Z51,MIN(AE$6-$G$3,22))&lt;&gt;""),Trigo!$E51:INDEX(Trigo!$E51:$Z51,MIN(AE$6-$G$3,22))),0)))))</f>
        <v>0</v>
      </c>
      <c r="AF53" s="27" t="n">
        <f aca="false">IF(COUNT(Trigo!$E51:$Z51)=0,0,MAX(0,IF((AF$6-$E$3)&lt;1,0,IFERROR(LOOKUP(2,1/(Trigo!$E51:INDEX(Trigo!$E51:$Z51,MIN(AF$6-$E$3,22))&lt;&gt;""),Trigo!$E51:INDEX(Trigo!$E51:$Z51,MIN(AF$6-$E$3,22))),0))-IF($G$2,0,IF((AF$6-$G$3)&lt;1,0,IFERROR(LOOKUP(2,1/(Trigo!$E51:INDEX(Trigo!$E51:$Z51,MIN(AF$6-$G$3,22))&lt;&gt;""),Trigo!$E51:INDEX(Trigo!$E51:$Z51,MIN(AF$6-$G$3,22))),0)))))</f>
        <v>0</v>
      </c>
      <c r="AG53" s="27" t="n">
        <f aca="false">IF(COUNT(Trigo!$E51:$Z51)=0,0,MAX(0,IF((AG$6-$E$3)&lt;1,0,IFERROR(LOOKUP(2,1/(Trigo!$E51:INDEX(Trigo!$E51:$Z51,MIN(AG$6-$E$3,22))&lt;&gt;""),Trigo!$E51:INDEX(Trigo!$E51:$Z51,MIN(AG$6-$E$3,22))),0))-IF($G$2,0,IF((AG$6-$G$3)&lt;1,0,IFERROR(LOOKUP(2,1/(Trigo!$E51:INDEX(Trigo!$E51:$Z51,MIN(AG$6-$G$3,22))&lt;&gt;""),Trigo!$E51:INDEX(Trigo!$E51:$Z51,MIN(AG$6-$G$3,22))),0)))))</f>
        <v>0</v>
      </c>
      <c r="AH53" s="27" t="n">
        <f aca="false">IF(COUNT(Trigo!$E51:$Z51)=0,0,MAX(0,IF((AH$6-$E$3)&lt;1,0,IFERROR(LOOKUP(2,1/(Trigo!$E51:INDEX(Trigo!$E51:$Z51,MIN(AH$6-$E$3,22))&lt;&gt;""),Trigo!$E51:INDEX(Trigo!$E51:$Z51,MIN(AH$6-$E$3,22))),0))-IF($G$2,0,IF((AH$6-$G$3)&lt;1,0,IFERROR(LOOKUP(2,1/(Trigo!$E51:INDEX(Trigo!$E51:$Z51,MIN(AH$6-$G$3,22))&lt;&gt;""),Trigo!$E51:INDEX(Trigo!$E51:$Z51,MIN(AH$6-$G$3,22))),0)))))</f>
        <v>0</v>
      </c>
      <c r="AI53" s="27" t="n">
        <f aca="false">IF(COUNT(Trigo!$E51:$Z51)=0,0,MAX(0,IF((AI$6-$E$3)&lt;1,0,IFERROR(LOOKUP(2,1/(Trigo!$E51:INDEX(Trigo!$E51:$Z51,MIN(AI$6-$E$3,22))&lt;&gt;""),Trigo!$E51:INDEX(Trigo!$E51:$Z51,MIN(AI$6-$E$3,22))),0))-IF($G$2,0,IF((AI$6-$G$3)&lt;1,0,IFERROR(LOOKUP(2,1/(Trigo!$E51:INDEX(Trigo!$E51:$Z51,MIN(AI$6-$G$3,22))&lt;&gt;""),Trigo!$E51:INDEX(Trigo!$E51:$Z51,MIN(AI$6-$G$3,22))),0)))))</f>
        <v>0</v>
      </c>
      <c r="AJ53" s="27" t="n">
        <f aca="false">IF(COUNT(Trigo!$E51:$Z51)=0,0,MAX(0,IF((AJ$6-$E$3)&lt;1,0,IFERROR(LOOKUP(2,1/(Trigo!$E51:INDEX(Trigo!$E51:$Z51,MIN(AJ$6-$E$3,22))&lt;&gt;""),Trigo!$E51:INDEX(Trigo!$E51:$Z51,MIN(AJ$6-$E$3,22))),0))-IF($G$2,0,IF((AJ$6-$G$3)&lt;1,0,IFERROR(LOOKUP(2,1/(Trigo!$E51:INDEX(Trigo!$E51:$Z51,MIN(AJ$6-$G$3,22))&lt;&gt;""),Trigo!$E51:INDEX(Trigo!$E51:$Z51,MIN(AJ$6-$G$3,22))),0)))))</f>
        <v>0</v>
      </c>
      <c r="AK53" s="27" t="n">
        <f aca="false">IF(COUNT(Trigo!$E51:$Z51)=0,0,MAX(0,IF((AK$6-$E$3)&lt;1,0,IFERROR(LOOKUP(2,1/(Trigo!$E51:INDEX(Trigo!$E51:$Z51,MIN(AK$6-$E$3,22))&lt;&gt;""),Trigo!$E51:INDEX(Trigo!$E51:$Z51,MIN(AK$6-$E$3,22))),0))-IF($G$2,0,IF((AK$6-$G$3)&lt;1,0,IFERROR(LOOKUP(2,1/(Trigo!$E51:INDEX(Trigo!$E51:$Z51,MIN(AK$6-$G$3,22))&lt;&gt;""),Trigo!$E51:INDEX(Trigo!$E51:$Z51,MIN(AK$6-$G$3,22))),0)))))</f>
        <v>0</v>
      </c>
      <c r="AL53" s="27" t="n">
        <f aca="false">IF(COUNT(Trigo!$E51:$Z51)=0,0,MAX(0,IF((AL$6-$E$3)&lt;1,0,IFERROR(LOOKUP(2,1/(Trigo!$E51:INDEX(Trigo!$E51:$Z51,MIN(AL$6-$E$3,22))&lt;&gt;""),Trigo!$E51:INDEX(Trigo!$E51:$Z51,MIN(AL$6-$E$3,22))),0))-IF($G$2,0,IF((AL$6-$G$3)&lt;1,0,IFERROR(LOOKUP(2,1/(Trigo!$E51:INDEX(Trigo!$E51:$Z51,MIN(AL$6-$G$3,22))&lt;&gt;""),Trigo!$E51:INDEX(Trigo!$E51:$Z51,MIN(AL$6-$G$3,22))),0)))))</f>
        <v>0</v>
      </c>
      <c r="AM53" s="27" t="n">
        <f aca="false">IF(COUNT(Trigo!$E51:$Z51)=0,0,MAX(0,IF((AM$6-$E$3)&lt;1,0,IFERROR(LOOKUP(2,1/(Trigo!$E51:INDEX(Trigo!$E51:$Z51,MIN(AM$6-$E$3,22))&lt;&gt;""),Trigo!$E51:INDEX(Trigo!$E51:$Z51,MIN(AM$6-$E$3,22))),0))-IF($G$2,0,IF((AM$6-$G$3)&lt;1,0,IFERROR(LOOKUP(2,1/(Trigo!$E51:INDEX(Trigo!$E51:$Z51,MIN(AM$6-$G$3,22))&lt;&gt;""),Trigo!$E51:INDEX(Trigo!$E51:$Z51,MIN(AM$6-$G$3,22))),0)))))</f>
        <v>0</v>
      </c>
      <c r="AN53" s="27" t="n">
        <f aca="false">IF(COUNT(Trigo!$E51:$Z51)=0,0,MAX(0,IF((AN$6-$E$3)&lt;1,0,IFERROR(LOOKUP(2,1/(Trigo!$E51:INDEX(Trigo!$E51:$Z51,MIN(AN$6-$E$3,22))&lt;&gt;""),Trigo!$E51:INDEX(Trigo!$E51:$Z51,MIN(AN$6-$E$3,22))),0))-IF($G$2,0,IF((AN$6-$G$3)&lt;1,0,IFERROR(LOOKUP(2,1/(Trigo!$E51:INDEX(Trigo!$E51:$Z51,MIN(AN$6-$G$3,22))&lt;&gt;""),Trigo!$E51:INDEX(Trigo!$E51:$Z51,MIN(AN$6-$G$3,22))),0)))))</f>
        <v>0</v>
      </c>
      <c r="AO53" s="27" t="n">
        <f aca="false">IF(COUNT(Trigo!$E51:$Z51)=0,0,MAX(0,IF((AO$6-$E$3)&lt;1,0,IFERROR(LOOKUP(2,1/(Trigo!$E51:INDEX(Trigo!$E51:$Z51,MIN(AO$6-$E$3,22))&lt;&gt;""),Trigo!$E51:INDEX(Trigo!$E51:$Z51,MIN(AO$6-$E$3,22))),0))-IF($G$2,0,IF((AO$6-$G$3)&lt;1,0,IFERROR(LOOKUP(2,1/(Trigo!$E51:INDEX(Trigo!$E51:$Z51,MIN(AO$6-$G$3,22))&lt;&gt;""),Trigo!$E51:INDEX(Trigo!$E51:$Z51,MIN(AO$6-$G$3,22))),0)))))</f>
        <v>0</v>
      </c>
      <c r="AP53" s="27" t="n">
        <f aca="false">IF(COUNT(Trigo!$E51:$Z51)=0,0,MAX(0,IF((AP$6-$E$3)&lt;1,0,IFERROR(LOOKUP(2,1/(Trigo!$E51:INDEX(Trigo!$E51:$Z51,MIN(AP$6-$E$3,22))&lt;&gt;""),Trigo!$E51:INDEX(Trigo!$E51:$Z51,MIN(AP$6-$E$3,22))),0))-IF($G$2,0,IF((AP$6-$G$3)&lt;1,0,IFERROR(LOOKUP(2,1/(Trigo!$E51:INDEX(Trigo!$E51:$Z51,MIN(AP$6-$G$3,22))&lt;&gt;""),Trigo!$E51:INDEX(Trigo!$E51:$Z51,MIN(AP$6-$G$3,22))),0)))))</f>
        <v>0</v>
      </c>
      <c r="AQ53" s="27" t="n">
        <f aca="false">IF(COUNT(Trigo!$E51:$Z51)=0,0,MAX(0,IF((AQ$6-$E$3)&lt;1,0,IFERROR(LOOKUP(2,1/(Trigo!$E51:INDEX(Trigo!$E51:$Z51,MIN(AQ$6-$E$3,22))&lt;&gt;""),Trigo!$E51:INDEX(Trigo!$E51:$Z51,MIN(AQ$6-$E$3,22))),0))-IF($G$2,0,IF((AQ$6-$G$3)&lt;1,0,IFERROR(LOOKUP(2,1/(Trigo!$E51:INDEX(Trigo!$E51:$Z51,MIN(AQ$6-$G$3,22))&lt;&gt;""),Trigo!$E51:INDEX(Trigo!$E51:$Z51,MIN(AQ$6-$G$3,22))),0)))))</f>
        <v>0</v>
      </c>
      <c r="AR53" s="27" t="n">
        <f aca="false">IF(COUNT(Trigo!$E51:$Z51)=0,0,MAX(0,IF((AR$6-$E$3)&lt;1,0,IFERROR(LOOKUP(2,1/(Trigo!$E51:INDEX(Trigo!$E51:$Z51,MIN(AR$6-$E$3,22))&lt;&gt;""),Trigo!$E51:INDEX(Trigo!$E51:$Z51,MIN(AR$6-$E$3,22))),0))-IF($G$2,0,IF((AR$6-$G$3)&lt;1,0,IFERROR(LOOKUP(2,1/(Trigo!$E51:INDEX(Trigo!$E51:$Z51,MIN(AR$6-$G$3,22))&lt;&gt;""),Trigo!$E51:INDEX(Trigo!$E51:$Z51,MIN(AR$6-$G$3,22))),0)))))</f>
        <v>0</v>
      </c>
      <c r="AS53" s="27" t="n">
        <f aca="false">IF(COUNT(Trigo!$E51:$Z51)=0,0,MAX(0,IF((AS$6-$E$3)&lt;1,0,IFERROR(LOOKUP(2,1/(Trigo!$E51:INDEX(Trigo!$E51:$Z51,MIN(AS$6-$E$3,22))&lt;&gt;""),Trigo!$E51:INDEX(Trigo!$E51:$Z51,MIN(AS$6-$E$3,22))),0))-IF($G$2,0,IF((AS$6-$G$3)&lt;1,0,IFERROR(LOOKUP(2,1/(Trigo!$E51:INDEX(Trigo!$E51:$Z51,MIN(AS$6-$G$3,22))&lt;&gt;""),Trigo!$E51:INDEX(Trigo!$E51:$Z51,MIN(AS$6-$G$3,22))),0)))))</f>
        <v>0</v>
      </c>
      <c r="AT53" s="27" t="n">
        <f aca="false">IF(COUNT(Trigo!$E51:$Z51)=0,0,MAX(0,IF((AT$6-$E$3)&lt;1,0,IFERROR(LOOKUP(2,1/(Trigo!$E51:INDEX(Trigo!$E51:$Z51,MIN(AT$6-$E$3,22))&lt;&gt;""),Trigo!$E51:INDEX(Trigo!$E51:$Z51,MIN(AT$6-$E$3,22))),0))-IF($G$2,0,IF((AT$6-$G$3)&lt;1,0,IFERROR(LOOKUP(2,1/(Trigo!$E51:INDEX(Trigo!$E51:$Z51,MIN(AT$6-$G$3,22))&lt;&gt;""),Trigo!$E51:INDEX(Trigo!$E51:$Z51,MIN(AT$6-$G$3,22))),0)))))</f>
        <v>0</v>
      </c>
      <c r="AU53" s="27" t="n">
        <f aca="false">IF(COUNT(Trigo!$E51:$Z51)=0,0,MAX(0,IF((AU$6-$E$3)&lt;1,0,IFERROR(LOOKUP(2,1/(Trigo!$E51:INDEX(Trigo!$E51:$Z51,MIN(AU$6-$E$3,22))&lt;&gt;""),Trigo!$E51:INDEX(Trigo!$E51:$Z51,MIN(AU$6-$E$3,22))),0))-IF($G$2,0,IF((AU$6-$G$3)&lt;1,0,IFERROR(LOOKUP(2,1/(Trigo!$E51:INDEX(Trigo!$E51:$Z51,MIN(AU$6-$G$3,22))&lt;&gt;""),Trigo!$E51:INDEX(Trigo!$E51:$Z51,MIN(AU$6-$G$3,22))),0)))))</f>
        <v>0</v>
      </c>
      <c r="AV53" s="27" t="n">
        <f aca="false">IF(COUNT(Trigo!$E51:$Z51)=0,0,MAX(0,IF((AV$6-$E$3)&lt;1,0,IFERROR(LOOKUP(2,1/(Trigo!$E51:INDEX(Trigo!$E51:$Z51,MIN(AV$6-$E$3,22))&lt;&gt;""),Trigo!$E51:INDEX(Trigo!$E51:$Z51,MIN(AV$6-$E$3,22))),0))-IF($G$2,0,IF((AV$6-$G$3)&lt;1,0,IFERROR(LOOKUP(2,1/(Trigo!$E51:INDEX(Trigo!$E51:$Z51,MIN(AV$6-$G$3,22))&lt;&gt;""),Trigo!$E51:INDEX(Trigo!$E51:$Z51,MIN(AV$6-$G$3,22))),0)))))</f>
        <v>0</v>
      </c>
      <c r="AW53" s="27" t="n">
        <f aca="false">IF(COUNT(Trigo!$E51:$Z51)=0,0,MAX(0,IF((AW$6-$E$3)&lt;1,0,IFERROR(LOOKUP(2,1/(Trigo!$E51:INDEX(Trigo!$E51:$Z51,MIN(AW$6-$E$3,22))&lt;&gt;""),Trigo!$E51:INDEX(Trigo!$E51:$Z51,MIN(AW$6-$E$3,22))),0))-IF($G$2,0,IF((AW$6-$G$3)&lt;1,0,IFERROR(LOOKUP(2,1/(Trigo!$E51:INDEX(Trigo!$E51:$Z51,MIN(AW$6-$G$3,22))&lt;&gt;""),Trigo!$E51:INDEX(Trigo!$E51:$Z51,MIN(AW$6-$G$3,22))),0)))))</f>
        <v>0</v>
      </c>
      <c r="AX53" s="27" t="n">
        <f aca="false">IF(COUNT(Trigo!$E51:$Z51)=0,0,MAX(0,IF((AX$6-$E$3)&lt;1,0,IFERROR(LOOKUP(2,1/(Trigo!$E51:INDEX(Trigo!$E51:$Z51,MIN(AX$6-$E$3,22))&lt;&gt;""),Trigo!$E51:INDEX(Trigo!$E51:$Z51,MIN(AX$6-$E$3,22))),0))-IF($G$2,0,IF((AX$6-$G$3)&lt;1,0,IFERROR(LOOKUP(2,1/(Trigo!$E51:INDEX(Trigo!$E51:$Z51,MIN(AX$6-$G$3,22))&lt;&gt;""),Trigo!$E51:INDEX(Trigo!$E51:$Z51,MIN(AX$6-$G$3,22))),0)))))</f>
        <v>0</v>
      </c>
      <c r="AY53" s="27" t="n">
        <f aca="false">IF(COUNT(Trigo!$E51:$Z51)=0,0,MAX(0,IF((AY$6-$E$3)&lt;1,0,IFERROR(LOOKUP(2,1/(Trigo!$E51:INDEX(Trigo!$E51:$Z51,MIN(AY$6-$E$3,22))&lt;&gt;""),Trigo!$E51:INDEX(Trigo!$E51:$Z51,MIN(AY$6-$E$3,22))),0))-IF($G$2,0,IF((AY$6-$G$3)&lt;1,0,IFERROR(LOOKUP(2,1/(Trigo!$E51:INDEX(Trigo!$E51:$Z51,MIN(AY$6-$G$3,22))&lt;&gt;""),Trigo!$E51:INDEX(Trigo!$E51:$Z51,MIN(AY$6-$G$3,22))),0)))))</f>
        <v>0</v>
      </c>
      <c r="AZ53" s="27" t="n">
        <f aca="false">IF(COUNT(Trigo!$E51:$Z51)=0,0,MAX(0,IF((AZ$6-$E$3)&lt;1,0,IFERROR(LOOKUP(2,1/(Trigo!$E51:INDEX(Trigo!$E51:$Z51,MIN(AZ$6-$E$3,22))&lt;&gt;""),Trigo!$E51:INDEX(Trigo!$E51:$Z51,MIN(AZ$6-$E$3,22))),0))-IF($G$2,0,IF((AZ$6-$G$3)&lt;1,0,IFERROR(LOOKUP(2,1/(Trigo!$E51:INDEX(Trigo!$E51:$Z51,MIN(AZ$6-$G$3,22))&lt;&gt;""),Trigo!$E51:INDEX(Trigo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IF(COUNT(Trigo!$E52:$Z52)&gt;0,N(Trigo!$D52),0)</f>
        <v>0</v>
      </c>
      <c r="E54" s="27" t="n">
        <f aca="false">IF(COUNT(Trigo!$E52:$Z52)=0,0,MAX(0,IF((E$6-$E$3)&lt;1,0,IFERROR(LOOKUP(2,1/(Trigo!$E52:INDEX(Trigo!$E52:$Z52,MIN(E$6-$E$3,22))&lt;&gt;""),Trigo!$E52:INDEX(Trigo!$E52:$Z52,MIN(E$6-$E$3,22))),0))-IF($G$2,0,IF((E$6-$G$3)&lt;1,0,IFERROR(LOOKUP(2,1/(Trigo!$E52:INDEX(Trigo!$E52:$Z52,MIN(E$6-$G$3,22))&lt;&gt;""),Trigo!$E52:INDEX(Trigo!$E52:$Z52,MIN(E$6-$G$3,22))),0)))))</f>
        <v>0</v>
      </c>
      <c r="F54" s="27" t="n">
        <f aca="false">IF(COUNT(Trigo!$E52:$Z52)=0,0,MAX(0,IF((F$6-$E$3)&lt;1,0,IFERROR(LOOKUP(2,1/(Trigo!$E52:INDEX(Trigo!$E52:$Z52,MIN(F$6-$E$3,22))&lt;&gt;""),Trigo!$E52:INDEX(Trigo!$E52:$Z52,MIN(F$6-$E$3,22))),0))-IF($G$2,0,IF((F$6-$G$3)&lt;1,0,IFERROR(LOOKUP(2,1/(Trigo!$E52:INDEX(Trigo!$E52:$Z52,MIN(F$6-$G$3,22))&lt;&gt;""),Trigo!$E52:INDEX(Trigo!$E52:$Z52,MIN(F$6-$G$3,22))),0)))))</f>
        <v>0</v>
      </c>
      <c r="G54" s="27" t="n">
        <f aca="false">IF(COUNT(Trigo!$E52:$Z52)=0,0,MAX(0,IF((G$6-$E$3)&lt;1,0,IFERROR(LOOKUP(2,1/(Trigo!$E52:INDEX(Trigo!$E52:$Z52,MIN(G$6-$E$3,22))&lt;&gt;""),Trigo!$E52:INDEX(Trigo!$E52:$Z52,MIN(G$6-$E$3,22))),0))-IF($G$2,0,IF((G$6-$G$3)&lt;1,0,IFERROR(LOOKUP(2,1/(Trigo!$E52:INDEX(Trigo!$E52:$Z52,MIN(G$6-$G$3,22))&lt;&gt;""),Trigo!$E52:INDEX(Trigo!$E52:$Z52,MIN(G$6-$G$3,22))),0)))))</f>
        <v>0</v>
      </c>
      <c r="H54" s="27" t="n">
        <f aca="false">IF(COUNT(Trigo!$E52:$Z52)=0,0,MAX(0,IF((H$6-$E$3)&lt;1,0,IFERROR(LOOKUP(2,1/(Trigo!$E52:INDEX(Trigo!$E52:$Z52,MIN(H$6-$E$3,22))&lt;&gt;""),Trigo!$E52:INDEX(Trigo!$E52:$Z52,MIN(H$6-$E$3,22))),0))-IF($G$2,0,IF((H$6-$G$3)&lt;1,0,IFERROR(LOOKUP(2,1/(Trigo!$E52:INDEX(Trigo!$E52:$Z52,MIN(H$6-$G$3,22))&lt;&gt;""),Trigo!$E52:INDEX(Trigo!$E52:$Z52,MIN(H$6-$G$3,22))),0)))))</f>
        <v>0</v>
      </c>
      <c r="I54" s="27" t="n">
        <f aca="false">IF(COUNT(Trigo!$E52:$Z52)=0,0,MAX(0,IF((I$6-$E$3)&lt;1,0,IFERROR(LOOKUP(2,1/(Trigo!$E52:INDEX(Trigo!$E52:$Z52,MIN(I$6-$E$3,22))&lt;&gt;""),Trigo!$E52:INDEX(Trigo!$E52:$Z52,MIN(I$6-$E$3,22))),0))-IF($G$2,0,IF((I$6-$G$3)&lt;1,0,IFERROR(LOOKUP(2,1/(Trigo!$E52:INDEX(Trigo!$E52:$Z52,MIN(I$6-$G$3,22))&lt;&gt;""),Trigo!$E52:INDEX(Trigo!$E52:$Z52,MIN(I$6-$G$3,22))),0)))))</f>
        <v>0</v>
      </c>
      <c r="J54" s="27" t="n">
        <f aca="false">IF(COUNT(Trigo!$E52:$Z52)=0,0,MAX(0,IF((J$6-$E$3)&lt;1,0,IFERROR(LOOKUP(2,1/(Trigo!$E52:INDEX(Trigo!$E52:$Z52,MIN(J$6-$E$3,22))&lt;&gt;""),Trigo!$E52:INDEX(Trigo!$E52:$Z52,MIN(J$6-$E$3,22))),0))-IF($G$2,0,IF((J$6-$G$3)&lt;1,0,IFERROR(LOOKUP(2,1/(Trigo!$E52:INDEX(Trigo!$E52:$Z52,MIN(J$6-$G$3,22))&lt;&gt;""),Trigo!$E52:INDEX(Trigo!$E52:$Z52,MIN(J$6-$G$3,22))),0)))))</f>
        <v>0</v>
      </c>
      <c r="K54" s="27" t="n">
        <f aca="false">IF(COUNT(Trigo!$E52:$Z52)=0,0,MAX(0,IF((K$6-$E$3)&lt;1,0,IFERROR(LOOKUP(2,1/(Trigo!$E52:INDEX(Trigo!$E52:$Z52,MIN(K$6-$E$3,22))&lt;&gt;""),Trigo!$E52:INDEX(Trigo!$E52:$Z52,MIN(K$6-$E$3,22))),0))-IF($G$2,0,IF((K$6-$G$3)&lt;1,0,IFERROR(LOOKUP(2,1/(Trigo!$E52:INDEX(Trigo!$E52:$Z52,MIN(K$6-$G$3,22))&lt;&gt;""),Trigo!$E52:INDEX(Trigo!$E52:$Z52,MIN(K$6-$G$3,22))),0)))))</f>
        <v>0</v>
      </c>
      <c r="L54" s="27" t="n">
        <f aca="false">IF(COUNT(Trigo!$E52:$Z52)=0,0,MAX(0,IF((L$6-$E$3)&lt;1,0,IFERROR(LOOKUP(2,1/(Trigo!$E52:INDEX(Trigo!$E52:$Z52,MIN(L$6-$E$3,22))&lt;&gt;""),Trigo!$E52:INDEX(Trigo!$E52:$Z52,MIN(L$6-$E$3,22))),0))-IF($G$2,0,IF((L$6-$G$3)&lt;1,0,IFERROR(LOOKUP(2,1/(Trigo!$E52:INDEX(Trigo!$E52:$Z52,MIN(L$6-$G$3,22))&lt;&gt;""),Trigo!$E52:INDEX(Trigo!$E52:$Z52,MIN(L$6-$G$3,22))),0)))))</f>
        <v>0</v>
      </c>
      <c r="M54" s="27" t="n">
        <f aca="false">IF(COUNT(Trigo!$E52:$Z52)=0,0,MAX(0,IF((M$6-$E$3)&lt;1,0,IFERROR(LOOKUP(2,1/(Trigo!$E52:INDEX(Trigo!$E52:$Z52,MIN(M$6-$E$3,22))&lt;&gt;""),Trigo!$E52:INDEX(Trigo!$E52:$Z52,MIN(M$6-$E$3,22))),0))-IF($G$2,0,IF((M$6-$G$3)&lt;1,0,IFERROR(LOOKUP(2,1/(Trigo!$E52:INDEX(Trigo!$E52:$Z52,MIN(M$6-$G$3,22))&lt;&gt;""),Trigo!$E52:INDEX(Trigo!$E52:$Z52,MIN(M$6-$G$3,22))),0)))))</f>
        <v>0</v>
      </c>
      <c r="N54" s="27" t="n">
        <f aca="false">IF(COUNT(Trigo!$E52:$Z52)=0,0,MAX(0,IF((N$6-$E$3)&lt;1,0,IFERROR(LOOKUP(2,1/(Trigo!$E52:INDEX(Trigo!$E52:$Z52,MIN(N$6-$E$3,22))&lt;&gt;""),Trigo!$E52:INDEX(Trigo!$E52:$Z52,MIN(N$6-$E$3,22))),0))-IF($G$2,0,IF((N$6-$G$3)&lt;1,0,IFERROR(LOOKUP(2,1/(Trigo!$E52:INDEX(Trigo!$E52:$Z52,MIN(N$6-$G$3,22))&lt;&gt;""),Trigo!$E52:INDEX(Trigo!$E52:$Z52,MIN(N$6-$G$3,22))),0)))))</f>
        <v>0</v>
      </c>
      <c r="O54" s="27" t="n">
        <f aca="false">IF(COUNT(Trigo!$E52:$Z52)=0,0,MAX(0,IF((O$6-$E$3)&lt;1,0,IFERROR(LOOKUP(2,1/(Trigo!$E52:INDEX(Trigo!$E52:$Z52,MIN(O$6-$E$3,22))&lt;&gt;""),Trigo!$E52:INDEX(Trigo!$E52:$Z52,MIN(O$6-$E$3,22))),0))-IF($G$2,0,IF((O$6-$G$3)&lt;1,0,IFERROR(LOOKUP(2,1/(Trigo!$E52:INDEX(Trigo!$E52:$Z52,MIN(O$6-$G$3,22))&lt;&gt;""),Trigo!$E52:INDEX(Trigo!$E52:$Z52,MIN(O$6-$G$3,22))),0)))))</f>
        <v>0</v>
      </c>
      <c r="P54" s="27" t="n">
        <f aca="false">IF(COUNT(Trigo!$E52:$Z52)=0,0,MAX(0,IF((P$6-$E$3)&lt;1,0,IFERROR(LOOKUP(2,1/(Trigo!$E52:INDEX(Trigo!$E52:$Z52,MIN(P$6-$E$3,22))&lt;&gt;""),Trigo!$E52:INDEX(Trigo!$E52:$Z52,MIN(P$6-$E$3,22))),0))-IF($G$2,0,IF((P$6-$G$3)&lt;1,0,IFERROR(LOOKUP(2,1/(Trigo!$E52:INDEX(Trigo!$E52:$Z52,MIN(P$6-$G$3,22))&lt;&gt;""),Trigo!$E52:INDEX(Trigo!$E52:$Z52,MIN(P$6-$G$3,22))),0)))))</f>
        <v>0</v>
      </c>
      <c r="Q54" s="27" t="n">
        <f aca="false">IF(COUNT(Trigo!$E52:$Z52)=0,0,MAX(0,IF((Q$6-$E$3)&lt;1,0,IFERROR(LOOKUP(2,1/(Trigo!$E52:INDEX(Trigo!$E52:$Z52,MIN(Q$6-$E$3,22))&lt;&gt;""),Trigo!$E52:INDEX(Trigo!$E52:$Z52,MIN(Q$6-$E$3,22))),0))-IF($G$2,0,IF((Q$6-$G$3)&lt;1,0,IFERROR(LOOKUP(2,1/(Trigo!$E52:INDEX(Trigo!$E52:$Z52,MIN(Q$6-$G$3,22))&lt;&gt;""),Trigo!$E52:INDEX(Trigo!$E52:$Z52,MIN(Q$6-$G$3,22))),0)))))</f>
        <v>0</v>
      </c>
      <c r="R54" s="27" t="n">
        <f aca="false">IF(COUNT(Trigo!$E52:$Z52)=0,0,MAX(0,IF((R$6-$E$3)&lt;1,0,IFERROR(LOOKUP(2,1/(Trigo!$E52:INDEX(Trigo!$E52:$Z52,MIN(R$6-$E$3,22))&lt;&gt;""),Trigo!$E52:INDEX(Trigo!$E52:$Z52,MIN(R$6-$E$3,22))),0))-IF($G$2,0,IF((R$6-$G$3)&lt;1,0,IFERROR(LOOKUP(2,1/(Trigo!$E52:INDEX(Trigo!$E52:$Z52,MIN(R$6-$G$3,22))&lt;&gt;""),Trigo!$E52:INDEX(Trigo!$E52:$Z52,MIN(R$6-$G$3,22))),0)))))</f>
        <v>0</v>
      </c>
      <c r="S54" s="27" t="n">
        <f aca="false">IF(COUNT(Trigo!$E52:$Z52)=0,0,MAX(0,IF((S$6-$E$3)&lt;1,0,IFERROR(LOOKUP(2,1/(Trigo!$E52:INDEX(Trigo!$E52:$Z52,MIN(S$6-$E$3,22))&lt;&gt;""),Trigo!$E52:INDEX(Trigo!$E52:$Z52,MIN(S$6-$E$3,22))),0))-IF($G$2,0,IF((S$6-$G$3)&lt;1,0,IFERROR(LOOKUP(2,1/(Trigo!$E52:INDEX(Trigo!$E52:$Z52,MIN(S$6-$G$3,22))&lt;&gt;""),Trigo!$E52:INDEX(Trigo!$E52:$Z52,MIN(S$6-$G$3,22))),0)))))</f>
        <v>0</v>
      </c>
      <c r="T54" s="27" t="n">
        <f aca="false">IF(COUNT(Trigo!$E52:$Z52)=0,0,MAX(0,IF((T$6-$E$3)&lt;1,0,IFERROR(LOOKUP(2,1/(Trigo!$E52:INDEX(Trigo!$E52:$Z52,MIN(T$6-$E$3,22))&lt;&gt;""),Trigo!$E52:INDEX(Trigo!$E52:$Z52,MIN(T$6-$E$3,22))),0))-IF($G$2,0,IF((T$6-$G$3)&lt;1,0,IFERROR(LOOKUP(2,1/(Trigo!$E52:INDEX(Trigo!$E52:$Z52,MIN(T$6-$G$3,22))&lt;&gt;""),Trigo!$E52:INDEX(Trigo!$E52:$Z52,MIN(T$6-$G$3,22))),0)))))</f>
        <v>0</v>
      </c>
      <c r="U54" s="27" t="n">
        <f aca="false">IF(COUNT(Trigo!$E52:$Z52)=0,0,MAX(0,IF((U$6-$E$3)&lt;1,0,IFERROR(LOOKUP(2,1/(Trigo!$E52:INDEX(Trigo!$E52:$Z52,MIN(U$6-$E$3,22))&lt;&gt;""),Trigo!$E52:INDEX(Trigo!$E52:$Z52,MIN(U$6-$E$3,22))),0))-IF($G$2,0,IF((U$6-$G$3)&lt;1,0,IFERROR(LOOKUP(2,1/(Trigo!$E52:INDEX(Trigo!$E52:$Z52,MIN(U$6-$G$3,22))&lt;&gt;""),Trigo!$E52:INDEX(Trigo!$E52:$Z52,MIN(U$6-$G$3,22))),0)))))</f>
        <v>0</v>
      </c>
      <c r="V54" s="27" t="n">
        <f aca="false">IF(COUNT(Trigo!$E52:$Z52)=0,0,MAX(0,IF((V$6-$E$3)&lt;1,0,IFERROR(LOOKUP(2,1/(Trigo!$E52:INDEX(Trigo!$E52:$Z52,MIN(V$6-$E$3,22))&lt;&gt;""),Trigo!$E52:INDEX(Trigo!$E52:$Z52,MIN(V$6-$E$3,22))),0))-IF($G$2,0,IF((V$6-$G$3)&lt;1,0,IFERROR(LOOKUP(2,1/(Trigo!$E52:INDEX(Trigo!$E52:$Z52,MIN(V$6-$G$3,22))&lt;&gt;""),Trigo!$E52:INDEX(Trigo!$E52:$Z52,MIN(V$6-$G$3,22))),0)))))</f>
        <v>0</v>
      </c>
      <c r="W54" s="27" t="n">
        <f aca="false">IF(COUNT(Trigo!$E52:$Z52)=0,0,MAX(0,IF((W$6-$E$3)&lt;1,0,IFERROR(LOOKUP(2,1/(Trigo!$E52:INDEX(Trigo!$E52:$Z52,MIN(W$6-$E$3,22))&lt;&gt;""),Trigo!$E52:INDEX(Trigo!$E52:$Z52,MIN(W$6-$E$3,22))),0))-IF($G$2,0,IF((W$6-$G$3)&lt;1,0,IFERROR(LOOKUP(2,1/(Trigo!$E52:INDEX(Trigo!$E52:$Z52,MIN(W$6-$G$3,22))&lt;&gt;""),Trigo!$E52:INDEX(Trigo!$E52:$Z52,MIN(W$6-$G$3,22))),0)))))</f>
        <v>0</v>
      </c>
      <c r="X54" s="27" t="n">
        <f aca="false">IF(COUNT(Trigo!$E52:$Z52)=0,0,MAX(0,IF((X$6-$E$3)&lt;1,0,IFERROR(LOOKUP(2,1/(Trigo!$E52:INDEX(Trigo!$E52:$Z52,MIN(X$6-$E$3,22))&lt;&gt;""),Trigo!$E52:INDEX(Trigo!$E52:$Z52,MIN(X$6-$E$3,22))),0))-IF($G$2,0,IF((X$6-$G$3)&lt;1,0,IFERROR(LOOKUP(2,1/(Trigo!$E52:INDEX(Trigo!$E52:$Z52,MIN(X$6-$G$3,22))&lt;&gt;""),Trigo!$E52:INDEX(Trigo!$E52:$Z52,MIN(X$6-$G$3,22))),0)))))</f>
        <v>0</v>
      </c>
      <c r="Y54" s="27" t="n">
        <f aca="false">IF(COUNT(Trigo!$E52:$Z52)=0,0,MAX(0,IF((Y$6-$E$3)&lt;1,0,IFERROR(LOOKUP(2,1/(Trigo!$E52:INDEX(Trigo!$E52:$Z52,MIN(Y$6-$E$3,22))&lt;&gt;""),Trigo!$E52:INDEX(Trigo!$E52:$Z52,MIN(Y$6-$E$3,22))),0))-IF($G$2,0,IF((Y$6-$G$3)&lt;1,0,IFERROR(LOOKUP(2,1/(Trigo!$E52:INDEX(Trigo!$E52:$Z52,MIN(Y$6-$G$3,22))&lt;&gt;""),Trigo!$E52:INDEX(Trigo!$E52:$Z52,MIN(Y$6-$G$3,22))),0)))))</f>
        <v>0</v>
      </c>
      <c r="Z54" s="27" t="n">
        <f aca="false">IF(COUNT(Trigo!$E52:$Z52)=0,0,MAX(0,IF((Z$6-$E$3)&lt;1,0,IFERROR(LOOKUP(2,1/(Trigo!$E52:INDEX(Trigo!$E52:$Z52,MIN(Z$6-$E$3,22))&lt;&gt;""),Trigo!$E52:INDEX(Trigo!$E52:$Z52,MIN(Z$6-$E$3,22))),0))-IF($G$2,0,IF((Z$6-$G$3)&lt;1,0,IFERROR(LOOKUP(2,1/(Trigo!$E52:INDEX(Trigo!$E52:$Z52,MIN(Z$6-$G$3,22))&lt;&gt;""),Trigo!$E52:INDEX(Trigo!$E52:$Z52,MIN(Z$6-$G$3,22))),0)))))</f>
        <v>0</v>
      </c>
      <c r="AA54" s="27" t="n">
        <f aca="false">IF(COUNT(Trigo!$E52:$Z52)=0,0,MAX(0,IF((AA$6-$E$3)&lt;1,0,IFERROR(LOOKUP(2,1/(Trigo!$E52:INDEX(Trigo!$E52:$Z52,MIN(AA$6-$E$3,22))&lt;&gt;""),Trigo!$E52:INDEX(Trigo!$E52:$Z52,MIN(AA$6-$E$3,22))),0))-IF($G$2,0,IF((AA$6-$G$3)&lt;1,0,IFERROR(LOOKUP(2,1/(Trigo!$E52:INDEX(Trigo!$E52:$Z52,MIN(AA$6-$G$3,22))&lt;&gt;""),Trigo!$E52:INDEX(Trigo!$E52:$Z52,MIN(AA$6-$G$3,22))),0)))))</f>
        <v>0</v>
      </c>
      <c r="AB54" s="27" t="n">
        <f aca="false">IF(COUNT(Trigo!$E52:$Z52)=0,0,MAX(0,IF((AB$6-$E$3)&lt;1,0,IFERROR(LOOKUP(2,1/(Trigo!$E52:INDEX(Trigo!$E52:$Z52,MIN(AB$6-$E$3,22))&lt;&gt;""),Trigo!$E52:INDEX(Trigo!$E52:$Z52,MIN(AB$6-$E$3,22))),0))-IF($G$2,0,IF((AB$6-$G$3)&lt;1,0,IFERROR(LOOKUP(2,1/(Trigo!$E52:INDEX(Trigo!$E52:$Z52,MIN(AB$6-$G$3,22))&lt;&gt;""),Trigo!$E52:INDEX(Trigo!$E52:$Z52,MIN(AB$6-$G$3,22))),0)))))</f>
        <v>0</v>
      </c>
      <c r="AC54" s="27" t="n">
        <f aca="false">IF(COUNT(Trigo!$E52:$Z52)=0,0,MAX(0,IF((AC$6-$E$3)&lt;1,0,IFERROR(LOOKUP(2,1/(Trigo!$E52:INDEX(Trigo!$E52:$Z52,MIN(AC$6-$E$3,22))&lt;&gt;""),Trigo!$E52:INDEX(Trigo!$E52:$Z52,MIN(AC$6-$E$3,22))),0))-IF($G$2,0,IF((AC$6-$G$3)&lt;1,0,IFERROR(LOOKUP(2,1/(Trigo!$E52:INDEX(Trigo!$E52:$Z52,MIN(AC$6-$G$3,22))&lt;&gt;""),Trigo!$E52:INDEX(Trigo!$E52:$Z52,MIN(AC$6-$G$3,22))),0)))))</f>
        <v>0</v>
      </c>
      <c r="AD54" s="27" t="n">
        <f aca="false">IF(COUNT(Trigo!$E52:$Z52)=0,0,MAX(0,IF((AD$6-$E$3)&lt;1,0,IFERROR(LOOKUP(2,1/(Trigo!$E52:INDEX(Trigo!$E52:$Z52,MIN(AD$6-$E$3,22))&lt;&gt;""),Trigo!$E52:INDEX(Trigo!$E52:$Z52,MIN(AD$6-$E$3,22))),0))-IF($G$2,0,IF((AD$6-$G$3)&lt;1,0,IFERROR(LOOKUP(2,1/(Trigo!$E52:INDEX(Trigo!$E52:$Z52,MIN(AD$6-$G$3,22))&lt;&gt;""),Trigo!$E52:INDEX(Trigo!$E52:$Z52,MIN(AD$6-$G$3,22))),0)))))</f>
        <v>0</v>
      </c>
      <c r="AE54" s="27" t="n">
        <f aca="false">IF(COUNT(Trigo!$E52:$Z52)=0,0,MAX(0,IF((AE$6-$E$3)&lt;1,0,IFERROR(LOOKUP(2,1/(Trigo!$E52:INDEX(Trigo!$E52:$Z52,MIN(AE$6-$E$3,22))&lt;&gt;""),Trigo!$E52:INDEX(Trigo!$E52:$Z52,MIN(AE$6-$E$3,22))),0))-IF($G$2,0,IF((AE$6-$G$3)&lt;1,0,IFERROR(LOOKUP(2,1/(Trigo!$E52:INDEX(Trigo!$E52:$Z52,MIN(AE$6-$G$3,22))&lt;&gt;""),Trigo!$E52:INDEX(Trigo!$E52:$Z52,MIN(AE$6-$G$3,22))),0)))))</f>
        <v>0</v>
      </c>
      <c r="AF54" s="27" t="n">
        <f aca="false">IF(COUNT(Trigo!$E52:$Z52)=0,0,MAX(0,IF((AF$6-$E$3)&lt;1,0,IFERROR(LOOKUP(2,1/(Trigo!$E52:INDEX(Trigo!$E52:$Z52,MIN(AF$6-$E$3,22))&lt;&gt;""),Trigo!$E52:INDEX(Trigo!$E52:$Z52,MIN(AF$6-$E$3,22))),0))-IF($G$2,0,IF((AF$6-$G$3)&lt;1,0,IFERROR(LOOKUP(2,1/(Trigo!$E52:INDEX(Trigo!$E52:$Z52,MIN(AF$6-$G$3,22))&lt;&gt;""),Trigo!$E52:INDEX(Trigo!$E52:$Z52,MIN(AF$6-$G$3,22))),0)))))</f>
        <v>0</v>
      </c>
      <c r="AG54" s="27" t="n">
        <f aca="false">IF(COUNT(Trigo!$E52:$Z52)=0,0,MAX(0,IF((AG$6-$E$3)&lt;1,0,IFERROR(LOOKUP(2,1/(Trigo!$E52:INDEX(Trigo!$E52:$Z52,MIN(AG$6-$E$3,22))&lt;&gt;""),Trigo!$E52:INDEX(Trigo!$E52:$Z52,MIN(AG$6-$E$3,22))),0))-IF($G$2,0,IF((AG$6-$G$3)&lt;1,0,IFERROR(LOOKUP(2,1/(Trigo!$E52:INDEX(Trigo!$E52:$Z52,MIN(AG$6-$G$3,22))&lt;&gt;""),Trigo!$E52:INDEX(Trigo!$E52:$Z52,MIN(AG$6-$G$3,22))),0)))))</f>
        <v>0</v>
      </c>
      <c r="AH54" s="27" t="n">
        <f aca="false">IF(COUNT(Trigo!$E52:$Z52)=0,0,MAX(0,IF((AH$6-$E$3)&lt;1,0,IFERROR(LOOKUP(2,1/(Trigo!$E52:INDEX(Trigo!$E52:$Z52,MIN(AH$6-$E$3,22))&lt;&gt;""),Trigo!$E52:INDEX(Trigo!$E52:$Z52,MIN(AH$6-$E$3,22))),0))-IF($G$2,0,IF((AH$6-$G$3)&lt;1,0,IFERROR(LOOKUP(2,1/(Trigo!$E52:INDEX(Trigo!$E52:$Z52,MIN(AH$6-$G$3,22))&lt;&gt;""),Trigo!$E52:INDEX(Trigo!$E52:$Z52,MIN(AH$6-$G$3,22))),0)))))</f>
        <v>0</v>
      </c>
      <c r="AI54" s="27" t="n">
        <f aca="false">IF(COUNT(Trigo!$E52:$Z52)=0,0,MAX(0,IF((AI$6-$E$3)&lt;1,0,IFERROR(LOOKUP(2,1/(Trigo!$E52:INDEX(Trigo!$E52:$Z52,MIN(AI$6-$E$3,22))&lt;&gt;""),Trigo!$E52:INDEX(Trigo!$E52:$Z52,MIN(AI$6-$E$3,22))),0))-IF($G$2,0,IF((AI$6-$G$3)&lt;1,0,IFERROR(LOOKUP(2,1/(Trigo!$E52:INDEX(Trigo!$E52:$Z52,MIN(AI$6-$G$3,22))&lt;&gt;""),Trigo!$E52:INDEX(Trigo!$E52:$Z52,MIN(AI$6-$G$3,22))),0)))))</f>
        <v>0</v>
      </c>
      <c r="AJ54" s="27" t="n">
        <f aca="false">IF(COUNT(Trigo!$E52:$Z52)=0,0,MAX(0,IF((AJ$6-$E$3)&lt;1,0,IFERROR(LOOKUP(2,1/(Trigo!$E52:INDEX(Trigo!$E52:$Z52,MIN(AJ$6-$E$3,22))&lt;&gt;""),Trigo!$E52:INDEX(Trigo!$E52:$Z52,MIN(AJ$6-$E$3,22))),0))-IF($G$2,0,IF((AJ$6-$G$3)&lt;1,0,IFERROR(LOOKUP(2,1/(Trigo!$E52:INDEX(Trigo!$E52:$Z52,MIN(AJ$6-$G$3,22))&lt;&gt;""),Trigo!$E52:INDEX(Trigo!$E52:$Z52,MIN(AJ$6-$G$3,22))),0)))))</f>
        <v>0</v>
      </c>
      <c r="AK54" s="27" t="n">
        <f aca="false">IF(COUNT(Trigo!$E52:$Z52)=0,0,MAX(0,IF((AK$6-$E$3)&lt;1,0,IFERROR(LOOKUP(2,1/(Trigo!$E52:INDEX(Trigo!$E52:$Z52,MIN(AK$6-$E$3,22))&lt;&gt;""),Trigo!$E52:INDEX(Trigo!$E52:$Z52,MIN(AK$6-$E$3,22))),0))-IF($G$2,0,IF((AK$6-$G$3)&lt;1,0,IFERROR(LOOKUP(2,1/(Trigo!$E52:INDEX(Trigo!$E52:$Z52,MIN(AK$6-$G$3,22))&lt;&gt;""),Trigo!$E52:INDEX(Trigo!$E52:$Z52,MIN(AK$6-$G$3,22))),0)))))</f>
        <v>0</v>
      </c>
      <c r="AL54" s="27" t="n">
        <f aca="false">IF(COUNT(Trigo!$E52:$Z52)=0,0,MAX(0,IF((AL$6-$E$3)&lt;1,0,IFERROR(LOOKUP(2,1/(Trigo!$E52:INDEX(Trigo!$E52:$Z52,MIN(AL$6-$E$3,22))&lt;&gt;""),Trigo!$E52:INDEX(Trigo!$E52:$Z52,MIN(AL$6-$E$3,22))),0))-IF($G$2,0,IF((AL$6-$G$3)&lt;1,0,IFERROR(LOOKUP(2,1/(Trigo!$E52:INDEX(Trigo!$E52:$Z52,MIN(AL$6-$G$3,22))&lt;&gt;""),Trigo!$E52:INDEX(Trigo!$E52:$Z52,MIN(AL$6-$G$3,22))),0)))))</f>
        <v>0</v>
      </c>
      <c r="AM54" s="27" t="n">
        <f aca="false">IF(COUNT(Trigo!$E52:$Z52)=0,0,MAX(0,IF((AM$6-$E$3)&lt;1,0,IFERROR(LOOKUP(2,1/(Trigo!$E52:INDEX(Trigo!$E52:$Z52,MIN(AM$6-$E$3,22))&lt;&gt;""),Trigo!$E52:INDEX(Trigo!$E52:$Z52,MIN(AM$6-$E$3,22))),0))-IF($G$2,0,IF((AM$6-$G$3)&lt;1,0,IFERROR(LOOKUP(2,1/(Trigo!$E52:INDEX(Trigo!$E52:$Z52,MIN(AM$6-$G$3,22))&lt;&gt;""),Trigo!$E52:INDEX(Trigo!$E52:$Z52,MIN(AM$6-$G$3,22))),0)))))</f>
        <v>0</v>
      </c>
      <c r="AN54" s="27" t="n">
        <f aca="false">IF(COUNT(Trigo!$E52:$Z52)=0,0,MAX(0,IF((AN$6-$E$3)&lt;1,0,IFERROR(LOOKUP(2,1/(Trigo!$E52:INDEX(Trigo!$E52:$Z52,MIN(AN$6-$E$3,22))&lt;&gt;""),Trigo!$E52:INDEX(Trigo!$E52:$Z52,MIN(AN$6-$E$3,22))),0))-IF($G$2,0,IF((AN$6-$G$3)&lt;1,0,IFERROR(LOOKUP(2,1/(Trigo!$E52:INDEX(Trigo!$E52:$Z52,MIN(AN$6-$G$3,22))&lt;&gt;""),Trigo!$E52:INDEX(Trigo!$E52:$Z52,MIN(AN$6-$G$3,22))),0)))))</f>
        <v>0</v>
      </c>
      <c r="AO54" s="27" t="n">
        <f aca="false">IF(COUNT(Trigo!$E52:$Z52)=0,0,MAX(0,IF((AO$6-$E$3)&lt;1,0,IFERROR(LOOKUP(2,1/(Trigo!$E52:INDEX(Trigo!$E52:$Z52,MIN(AO$6-$E$3,22))&lt;&gt;""),Trigo!$E52:INDEX(Trigo!$E52:$Z52,MIN(AO$6-$E$3,22))),0))-IF($G$2,0,IF((AO$6-$G$3)&lt;1,0,IFERROR(LOOKUP(2,1/(Trigo!$E52:INDEX(Trigo!$E52:$Z52,MIN(AO$6-$G$3,22))&lt;&gt;""),Trigo!$E52:INDEX(Trigo!$E52:$Z52,MIN(AO$6-$G$3,22))),0)))))</f>
        <v>0</v>
      </c>
      <c r="AP54" s="27" t="n">
        <f aca="false">IF(COUNT(Trigo!$E52:$Z52)=0,0,MAX(0,IF((AP$6-$E$3)&lt;1,0,IFERROR(LOOKUP(2,1/(Trigo!$E52:INDEX(Trigo!$E52:$Z52,MIN(AP$6-$E$3,22))&lt;&gt;""),Trigo!$E52:INDEX(Trigo!$E52:$Z52,MIN(AP$6-$E$3,22))),0))-IF($G$2,0,IF((AP$6-$G$3)&lt;1,0,IFERROR(LOOKUP(2,1/(Trigo!$E52:INDEX(Trigo!$E52:$Z52,MIN(AP$6-$G$3,22))&lt;&gt;""),Trigo!$E52:INDEX(Trigo!$E52:$Z52,MIN(AP$6-$G$3,22))),0)))))</f>
        <v>0</v>
      </c>
      <c r="AQ54" s="27" t="n">
        <f aca="false">IF(COUNT(Trigo!$E52:$Z52)=0,0,MAX(0,IF((AQ$6-$E$3)&lt;1,0,IFERROR(LOOKUP(2,1/(Trigo!$E52:INDEX(Trigo!$E52:$Z52,MIN(AQ$6-$E$3,22))&lt;&gt;""),Trigo!$E52:INDEX(Trigo!$E52:$Z52,MIN(AQ$6-$E$3,22))),0))-IF($G$2,0,IF((AQ$6-$G$3)&lt;1,0,IFERROR(LOOKUP(2,1/(Trigo!$E52:INDEX(Trigo!$E52:$Z52,MIN(AQ$6-$G$3,22))&lt;&gt;""),Trigo!$E52:INDEX(Trigo!$E52:$Z52,MIN(AQ$6-$G$3,22))),0)))))</f>
        <v>0</v>
      </c>
      <c r="AR54" s="27" t="n">
        <f aca="false">IF(COUNT(Trigo!$E52:$Z52)=0,0,MAX(0,IF((AR$6-$E$3)&lt;1,0,IFERROR(LOOKUP(2,1/(Trigo!$E52:INDEX(Trigo!$E52:$Z52,MIN(AR$6-$E$3,22))&lt;&gt;""),Trigo!$E52:INDEX(Trigo!$E52:$Z52,MIN(AR$6-$E$3,22))),0))-IF($G$2,0,IF((AR$6-$G$3)&lt;1,0,IFERROR(LOOKUP(2,1/(Trigo!$E52:INDEX(Trigo!$E52:$Z52,MIN(AR$6-$G$3,22))&lt;&gt;""),Trigo!$E52:INDEX(Trigo!$E52:$Z52,MIN(AR$6-$G$3,22))),0)))))</f>
        <v>0</v>
      </c>
      <c r="AS54" s="27" t="n">
        <f aca="false">IF(COUNT(Trigo!$E52:$Z52)=0,0,MAX(0,IF((AS$6-$E$3)&lt;1,0,IFERROR(LOOKUP(2,1/(Trigo!$E52:INDEX(Trigo!$E52:$Z52,MIN(AS$6-$E$3,22))&lt;&gt;""),Trigo!$E52:INDEX(Trigo!$E52:$Z52,MIN(AS$6-$E$3,22))),0))-IF($G$2,0,IF((AS$6-$G$3)&lt;1,0,IFERROR(LOOKUP(2,1/(Trigo!$E52:INDEX(Trigo!$E52:$Z52,MIN(AS$6-$G$3,22))&lt;&gt;""),Trigo!$E52:INDEX(Trigo!$E52:$Z52,MIN(AS$6-$G$3,22))),0)))))</f>
        <v>0</v>
      </c>
      <c r="AT54" s="27" t="n">
        <f aca="false">IF(COUNT(Trigo!$E52:$Z52)=0,0,MAX(0,IF((AT$6-$E$3)&lt;1,0,IFERROR(LOOKUP(2,1/(Trigo!$E52:INDEX(Trigo!$E52:$Z52,MIN(AT$6-$E$3,22))&lt;&gt;""),Trigo!$E52:INDEX(Trigo!$E52:$Z52,MIN(AT$6-$E$3,22))),0))-IF($G$2,0,IF((AT$6-$G$3)&lt;1,0,IFERROR(LOOKUP(2,1/(Trigo!$E52:INDEX(Trigo!$E52:$Z52,MIN(AT$6-$G$3,22))&lt;&gt;""),Trigo!$E52:INDEX(Trigo!$E52:$Z52,MIN(AT$6-$G$3,22))),0)))))</f>
        <v>0</v>
      </c>
      <c r="AU54" s="27" t="n">
        <f aca="false">IF(COUNT(Trigo!$E52:$Z52)=0,0,MAX(0,IF((AU$6-$E$3)&lt;1,0,IFERROR(LOOKUP(2,1/(Trigo!$E52:INDEX(Trigo!$E52:$Z52,MIN(AU$6-$E$3,22))&lt;&gt;""),Trigo!$E52:INDEX(Trigo!$E52:$Z52,MIN(AU$6-$E$3,22))),0))-IF($G$2,0,IF((AU$6-$G$3)&lt;1,0,IFERROR(LOOKUP(2,1/(Trigo!$E52:INDEX(Trigo!$E52:$Z52,MIN(AU$6-$G$3,22))&lt;&gt;""),Trigo!$E52:INDEX(Trigo!$E52:$Z52,MIN(AU$6-$G$3,22))),0)))))</f>
        <v>0</v>
      </c>
      <c r="AV54" s="27" t="n">
        <f aca="false">IF(COUNT(Trigo!$E52:$Z52)=0,0,MAX(0,IF((AV$6-$E$3)&lt;1,0,IFERROR(LOOKUP(2,1/(Trigo!$E52:INDEX(Trigo!$E52:$Z52,MIN(AV$6-$E$3,22))&lt;&gt;""),Trigo!$E52:INDEX(Trigo!$E52:$Z52,MIN(AV$6-$E$3,22))),0))-IF($G$2,0,IF((AV$6-$G$3)&lt;1,0,IFERROR(LOOKUP(2,1/(Trigo!$E52:INDEX(Trigo!$E52:$Z52,MIN(AV$6-$G$3,22))&lt;&gt;""),Trigo!$E52:INDEX(Trigo!$E52:$Z52,MIN(AV$6-$G$3,22))),0)))))</f>
        <v>0</v>
      </c>
      <c r="AW54" s="27" t="n">
        <f aca="false">IF(COUNT(Trigo!$E52:$Z52)=0,0,MAX(0,IF((AW$6-$E$3)&lt;1,0,IFERROR(LOOKUP(2,1/(Trigo!$E52:INDEX(Trigo!$E52:$Z52,MIN(AW$6-$E$3,22))&lt;&gt;""),Trigo!$E52:INDEX(Trigo!$E52:$Z52,MIN(AW$6-$E$3,22))),0))-IF($G$2,0,IF((AW$6-$G$3)&lt;1,0,IFERROR(LOOKUP(2,1/(Trigo!$E52:INDEX(Trigo!$E52:$Z52,MIN(AW$6-$G$3,22))&lt;&gt;""),Trigo!$E52:INDEX(Trigo!$E52:$Z52,MIN(AW$6-$G$3,22))),0)))))</f>
        <v>0</v>
      </c>
      <c r="AX54" s="27" t="n">
        <f aca="false">IF(COUNT(Trigo!$E52:$Z52)=0,0,MAX(0,IF((AX$6-$E$3)&lt;1,0,IFERROR(LOOKUP(2,1/(Trigo!$E52:INDEX(Trigo!$E52:$Z52,MIN(AX$6-$E$3,22))&lt;&gt;""),Trigo!$E52:INDEX(Trigo!$E52:$Z52,MIN(AX$6-$E$3,22))),0))-IF($G$2,0,IF((AX$6-$G$3)&lt;1,0,IFERROR(LOOKUP(2,1/(Trigo!$E52:INDEX(Trigo!$E52:$Z52,MIN(AX$6-$G$3,22))&lt;&gt;""),Trigo!$E52:INDEX(Trigo!$E52:$Z52,MIN(AX$6-$G$3,22))),0)))))</f>
        <v>0</v>
      </c>
      <c r="AY54" s="27" t="n">
        <f aca="false">IF(COUNT(Trigo!$E52:$Z52)=0,0,MAX(0,IF((AY$6-$E$3)&lt;1,0,IFERROR(LOOKUP(2,1/(Trigo!$E52:INDEX(Trigo!$E52:$Z52,MIN(AY$6-$E$3,22))&lt;&gt;""),Trigo!$E52:INDEX(Trigo!$E52:$Z52,MIN(AY$6-$E$3,22))),0))-IF($G$2,0,IF((AY$6-$G$3)&lt;1,0,IFERROR(LOOKUP(2,1/(Trigo!$E52:INDEX(Trigo!$E52:$Z52,MIN(AY$6-$G$3,22))&lt;&gt;""),Trigo!$E52:INDEX(Trigo!$E52:$Z52,MIN(AY$6-$G$3,22))),0)))))</f>
        <v>0</v>
      </c>
      <c r="AZ54" s="27" t="n">
        <f aca="false">IF(COUNT(Trigo!$E52:$Z52)=0,0,MAX(0,IF((AZ$6-$E$3)&lt;1,0,IFERROR(LOOKUP(2,1/(Trigo!$E52:INDEX(Trigo!$E52:$Z52,MIN(AZ$6-$E$3,22))&lt;&gt;""),Trigo!$E52:INDEX(Trigo!$E52:$Z52,MIN(AZ$6-$E$3,22))),0))-IF($G$2,0,IF((AZ$6-$G$3)&lt;1,0,IFERROR(LOOKUP(2,1/(Trigo!$E52:INDEX(Trigo!$E52:$Z52,MIN(AZ$6-$G$3,22))&lt;&gt;""),Trigo!$E52:INDEX(Trigo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IF(COUNT(Trigo!$E53:$Z53)&gt;0,N(Trigo!$D53),0)</f>
        <v>0</v>
      </c>
      <c r="E55" s="27" t="n">
        <f aca="false">IF(COUNT(Trigo!$E53:$Z53)=0,0,MAX(0,IF((E$6-$E$3)&lt;1,0,IFERROR(LOOKUP(2,1/(Trigo!$E53:INDEX(Trigo!$E53:$Z53,MIN(E$6-$E$3,22))&lt;&gt;""),Trigo!$E53:INDEX(Trigo!$E53:$Z53,MIN(E$6-$E$3,22))),0))-IF($G$2,0,IF((E$6-$G$3)&lt;1,0,IFERROR(LOOKUP(2,1/(Trigo!$E53:INDEX(Trigo!$E53:$Z53,MIN(E$6-$G$3,22))&lt;&gt;""),Trigo!$E53:INDEX(Trigo!$E53:$Z53,MIN(E$6-$G$3,22))),0)))))</f>
        <v>0</v>
      </c>
      <c r="F55" s="27" t="n">
        <f aca="false">IF(COUNT(Trigo!$E53:$Z53)=0,0,MAX(0,IF((F$6-$E$3)&lt;1,0,IFERROR(LOOKUP(2,1/(Trigo!$E53:INDEX(Trigo!$E53:$Z53,MIN(F$6-$E$3,22))&lt;&gt;""),Trigo!$E53:INDEX(Trigo!$E53:$Z53,MIN(F$6-$E$3,22))),0))-IF($G$2,0,IF((F$6-$G$3)&lt;1,0,IFERROR(LOOKUP(2,1/(Trigo!$E53:INDEX(Trigo!$E53:$Z53,MIN(F$6-$G$3,22))&lt;&gt;""),Trigo!$E53:INDEX(Trigo!$E53:$Z53,MIN(F$6-$G$3,22))),0)))))</f>
        <v>0</v>
      </c>
      <c r="G55" s="27" t="n">
        <f aca="false">IF(COUNT(Trigo!$E53:$Z53)=0,0,MAX(0,IF((G$6-$E$3)&lt;1,0,IFERROR(LOOKUP(2,1/(Trigo!$E53:INDEX(Trigo!$E53:$Z53,MIN(G$6-$E$3,22))&lt;&gt;""),Trigo!$E53:INDEX(Trigo!$E53:$Z53,MIN(G$6-$E$3,22))),0))-IF($G$2,0,IF((G$6-$G$3)&lt;1,0,IFERROR(LOOKUP(2,1/(Trigo!$E53:INDEX(Trigo!$E53:$Z53,MIN(G$6-$G$3,22))&lt;&gt;""),Trigo!$E53:INDEX(Trigo!$E53:$Z53,MIN(G$6-$G$3,22))),0)))))</f>
        <v>0</v>
      </c>
      <c r="H55" s="27" t="n">
        <f aca="false">IF(COUNT(Trigo!$E53:$Z53)=0,0,MAX(0,IF((H$6-$E$3)&lt;1,0,IFERROR(LOOKUP(2,1/(Trigo!$E53:INDEX(Trigo!$E53:$Z53,MIN(H$6-$E$3,22))&lt;&gt;""),Trigo!$E53:INDEX(Trigo!$E53:$Z53,MIN(H$6-$E$3,22))),0))-IF($G$2,0,IF((H$6-$G$3)&lt;1,0,IFERROR(LOOKUP(2,1/(Trigo!$E53:INDEX(Trigo!$E53:$Z53,MIN(H$6-$G$3,22))&lt;&gt;""),Trigo!$E53:INDEX(Trigo!$E53:$Z53,MIN(H$6-$G$3,22))),0)))))</f>
        <v>0</v>
      </c>
      <c r="I55" s="27" t="n">
        <f aca="false">IF(COUNT(Trigo!$E53:$Z53)=0,0,MAX(0,IF((I$6-$E$3)&lt;1,0,IFERROR(LOOKUP(2,1/(Trigo!$E53:INDEX(Trigo!$E53:$Z53,MIN(I$6-$E$3,22))&lt;&gt;""),Trigo!$E53:INDEX(Trigo!$E53:$Z53,MIN(I$6-$E$3,22))),0))-IF($G$2,0,IF((I$6-$G$3)&lt;1,0,IFERROR(LOOKUP(2,1/(Trigo!$E53:INDEX(Trigo!$E53:$Z53,MIN(I$6-$G$3,22))&lt;&gt;""),Trigo!$E53:INDEX(Trigo!$E53:$Z53,MIN(I$6-$G$3,22))),0)))))</f>
        <v>0</v>
      </c>
      <c r="J55" s="27" t="n">
        <f aca="false">IF(COUNT(Trigo!$E53:$Z53)=0,0,MAX(0,IF((J$6-$E$3)&lt;1,0,IFERROR(LOOKUP(2,1/(Trigo!$E53:INDEX(Trigo!$E53:$Z53,MIN(J$6-$E$3,22))&lt;&gt;""),Trigo!$E53:INDEX(Trigo!$E53:$Z53,MIN(J$6-$E$3,22))),0))-IF($G$2,0,IF((J$6-$G$3)&lt;1,0,IFERROR(LOOKUP(2,1/(Trigo!$E53:INDEX(Trigo!$E53:$Z53,MIN(J$6-$G$3,22))&lt;&gt;""),Trigo!$E53:INDEX(Trigo!$E53:$Z53,MIN(J$6-$G$3,22))),0)))))</f>
        <v>0</v>
      </c>
      <c r="K55" s="27" t="n">
        <f aca="false">IF(COUNT(Trigo!$E53:$Z53)=0,0,MAX(0,IF((K$6-$E$3)&lt;1,0,IFERROR(LOOKUP(2,1/(Trigo!$E53:INDEX(Trigo!$E53:$Z53,MIN(K$6-$E$3,22))&lt;&gt;""),Trigo!$E53:INDEX(Trigo!$E53:$Z53,MIN(K$6-$E$3,22))),0))-IF($G$2,0,IF((K$6-$G$3)&lt;1,0,IFERROR(LOOKUP(2,1/(Trigo!$E53:INDEX(Trigo!$E53:$Z53,MIN(K$6-$G$3,22))&lt;&gt;""),Trigo!$E53:INDEX(Trigo!$E53:$Z53,MIN(K$6-$G$3,22))),0)))))</f>
        <v>0</v>
      </c>
      <c r="L55" s="27" t="n">
        <f aca="false">IF(COUNT(Trigo!$E53:$Z53)=0,0,MAX(0,IF((L$6-$E$3)&lt;1,0,IFERROR(LOOKUP(2,1/(Trigo!$E53:INDEX(Trigo!$E53:$Z53,MIN(L$6-$E$3,22))&lt;&gt;""),Trigo!$E53:INDEX(Trigo!$E53:$Z53,MIN(L$6-$E$3,22))),0))-IF($G$2,0,IF((L$6-$G$3)&lt;1,0,IFERROR(LOOKUP(2,1/(Trigo!$E53:INDEX(Trigo!$E53:$Z53,MIN(L$6-$G$3,22))&lt;&gt;""),Trigo!$E53:INDEX(Trigo!$E53:$Z53,MIN(L$6-$G$3,22))),0)))))</f>
        <v>0</v>
      </c>
      <c r="M55" s="27" t="n">
        <f aca="false">IF(COUNT(Trigo!$E53:$Z53)=0,0,MAX(0,IF((M$6-$E$3)&lt;1,0,IFERROR(LOOKUP(2,1/(Trigo!$E53:INDEX(Trigo!$E53:$Z53,MIN(M$6-$E$3,22))&lt;&gt;""),Trigo!$E53:INDEX(Trigo!$E53:$Z53,MIN(M$6-$E$3,22))),0))-IF($G$2,0,IF((M$6-$G$3)&lt;1,0,IFERROR(LOOKUP(2,1/(Trigo!$E53:INDEX(Trigo!$E53:$Z53,MIN(M$6-$G$3,22))&lt;&gt;""),Trigo!$E53:INDEX(Trigo!$E53:$Z53,MIN(M$6-$G$3,22))),0)))))</f>
        <v>0</v>
      </c>
      <c r="N55" s="27" t="n">
        <f aca="false">IF(COUNT(Trigo!$E53:$Z53)=0,0,MAX(0,IF((N$6-$E$3)&lt;1,0,IFERROR(LOOKUP(2,1/(Trigo!$E53:INDEX(Trigo!$E53:$Z53,MIN(N$6-$E$3,22))&lt;&gt;""),Trigo!$E53:INDEX(Trigo!$E53:$Z53,MIN(N$6-$E$3,22))),0))-IF($G$2,0,IF((N$6-$G$3)&lt;1,0,IFERROR(LOOKUP(2,1/(Trigo!$E53:INDEX(Trigo!$E53:$Z53,MIN(N$6-$G$3,22))&lt;&gt;""),Trigo!$E53:INDEX(Trigo!$E53:$Z53,MIN(N$6-$G$3,22))),0)))))</f>
        <v>0</v>
      </c>
      <c r="O55" s="27" t="n">
        <f aca="false">IF(COUNT(Trigo!$E53:$Z53)=0,0,MAX(0,IF((O$6-$E$3)&lt;1,0,IFERROR(LOOKUP(2,1/(Trigo!$E53:INDEX(Trigo!$E53:$Z53,MIN(O$6-$E$3,22))&lt;&gt;""),Trigo!$E53:INDEX(Trigo!$E53:$Z53,MIN(O$6-$E$3,22))),0))-IF($G$2,0,IF((O$6-$G$3)&lt;1,0,IFERROR(LOOKUP(2,1/(Trigo!$E53:INDEX(Trigo!$E53:$Z53,MIN(O$6-$G$3,22))&lt;&gt;""),Trigo!$E53:INDEX(Trigo!$E53:$Z53,MIN(O$6-$G$3,22))),0)))))</f>
        <v>0</v>
      </c>
      <c r="P55" s="27" t="n">
        <f aca="false">IF(COUNT(Trigo!$E53:$Z53)=0,0,MAX(0,IF((P$6-$E$3)&lt;1,0,IFERROR(LOOKUP(2,1/(Trigo!$E53:INDEX(Trigo!$E53:$Z53,MIN(P$6-$E$3,22))&lt;&gt;""),Trigo!$E53:INDEX(Trigo!$E53:$Z53,MIN(P$6-$E$3,22))),0))-IF($G$2,0,IF((P$6-$G$3)&lt;1,0,IFERROR(LOOKUP(2,1/(Trigo!$E53:INDEX(Trigo!$E53:$Z53,MIN(P$6-$G$3,22))&lt;&gt;""),Trigo!$E53:INDEX(Trigo!$E53:$Z53,MIN(P$6-$G$3,22))),0)))))</f>
        <v>0</v>
      </c>
      <c r="Q55" s="27" t="n">
        <f aca="false">IF(COUNT(Trigo!$E53:$Z53)=0,0,MAX(0,IF((Q$6-$E$3)&lt;1,0,IFERROR(LOOKUP(2,1/(Trigo!$E53:INDEX(Trigo!$E53:$Z53,MIN(Q$6-$E$3,22))&lt;&gt;""),Trigo!$E53:INDEX(Trigo!$E53:$Z53,MIN(Q$6-$E$3,22))),0))-IF($G$2,0,IF((Q$6-$G$3)&lt;1,0,IFERROR(LOOKUP(2,1/(Trigo!$E53:INDEX(Trigo!$E53:$Z53,MIN(Q$6-$G$3,22))&lt;&gt;""),Trigo!$E53:INDEX(Trigo!$E53:$Z53,MIN(Q$6-$G$3,22))),0)))))</f>
        <v>0</v>
      </c>
      <c r="R55" s="27" t="n">
        <f aca="false">IF(COUNT(Trigo!$E53:$Z53)=0,0,MAX(0,IF((R$6-$E$3)&lt;1,0,IFERROR(LOOKUP(2,1/(Trigo!$E53:INDEX(Trigo!$E53:$Z53,MIN(R$6-$E$3,22))&lt;&gt;""),Trigo!$E53:INDEX(Trigo!$E53:$Z53,MIN(R$6-$E$3,22))),0))-IF($G$2,0,IF((R$6-$G$3)&lt;1,0,IFERROR(LOOKUP(2,1/(Trigo!$E53:INDEX(Trigo!$E53:$Z53,MIN(R$6-$G$3,22))&lt;&gt;""),Trigo!$E53:INDEX(Trigo!$E53:$Z53,MIN(R$6-$G$3,22))),0)))))</f>
        <v>0</v>
      </c>
      <c r="S55" s="27" t="n">
        <f aca="false">IF(COUNT(Trigo!$E53:$Z53)=0,0,MAX(0,IF((S$6-$E$3)&lt;1,0,IFERROR(LOOKUP(2,1/(Trigo!$E53:INDEX(Trigo!$E53:$Z53,MIN(S$6-$E$3,22))&lt;&gt;""),Trigo!$E53:INDEX(Trigo!$E53:$Z53,MIN(S$6-$E$3,22))),0))-IF($G$2,0,IF((S$6-$G$3)&lt;1,0,IFERROR(LOOKUP(2,1/(Trigo!$E53:INDEX(Trigo!$E53:$Z53,MIN(S$6-$G$3,22))&lt;&gt;""),Trigo!$E53:INDEX(Trigo!$E53:$Z53,MIN(S$6-$G$3,22))),0)))))</f>
        <v>0</v>
      </c>
      <c r="T55" s="27" t="n">
        <f aca="false">IF(COUNT(Trigo!$E53:$Z53)=0,0,MAX(0,IF((T$6-$E$3)&lt;1,0,IFERROR(LOOKUP(2,1/(Trigo!$E53:INDEX(Trigo!$E53:$Z53,MIN(T$6-$E$3,22))&lt;&gt;""),Trigo!$E53:INDEX(Trigo!$E53:$Z53,MIN(T$6-$E$3,22))),0))-IF($G$2,0,IF((T$6-$G$3)&lt;1,0,IFERROR(LOOKUP(2,1/(Trigo!$E53:INDEX(Trigo!$E53:$Z53,MIN(T$6-$G$3,22))&lt;&gt;""),Trigo!$E53:INDEX(Trigo!$E53:$Z53,MIN(T$6-$G$3,22))),0)))))</f>
        <v>0</v>
      </c>
      <c r="U55" s="27" t="n">
        <f aca="false">IF(COUNT(Trigo!$E53:$Z53)=0,0,MAX(0,IF((U$6-$E$3)&lt;1,0,IFERROR(LOOKUP(2,1/(Trigo!$E53:INDEX(Trigo!$E53:$Z53,MIN(U$6-$E$3,22))&lt;&gt;""),Trigo!$E53:INDEX(Trigo!$E53:$Z53,MIN(U$6-$E$3,22))),0))-IF($G$2,0,IF((U$6-$G$3)&lt;1,0,IFERROR(LOOKUP(2,1/(Trigo!$E53:INDEX(Trigo!$E53:$Z53,MIN(U$6-$G$3,22))&lt;&gt;""),Trigo!$E53:INDEX(Trigo!$E53:$Z53,MIN(U$6-$G$3,22))),0)))))</f>
        <v>0</v>
      </c>
      <c r="V55" s="27" t="n">
        <f aca="false">IF(COUNT(Trigo!$E53:$Z53)=0,0,MAX(0,IF((V$6-$E$3)&lt;1,0,IFERROR(LOOKUP(2,1/(Trigo!$E53:INDEX(Trigo!$E53:$Z53,MIN(V$6-$E$3,22))&lt;&gt;""),Trigo!$E53:INDEX(Trigo!$E53:$Z53,MIN(V$6-$E$3,22))),0))-IF($G$2,0,IF((V$6-$G$3)&lt;1,0,IFERROR(LOOKUP(2,1/(Trigo!$E53:INDEX(Trigo!$E53:$Z53,MIN(V$6-$G$3,22))&lt;&gt;""),Trigo!$E53:INDEX(Trigo!$E53:$Z53,MIN(V$6-$G$3,22))),0)))))</f>
        <v>0</v>
      </c>
      <c r="W55" s="27" t="n">
        <f aca="false">IF(COUNT(Trigo!$E53:$Z53)=0,0,MAX(0,IF((W$6-$E$3)&lt;1,0,IFERROR(LOOKUP(2,1/(Trigo!$E53:INDEX(Trigo!$E53:$Z53,MIN(W$6-$E$3,22))&lt;&gt;""),Trigo!$E53:INDEX(Trigo!$E53:$Z53,MIN(W$6-$E$3,22))),0))-IF($G$2,0,IF((W$6-$G$3)&lt;1,0,IFERROR(LOOKUP(2,1/(Trigo!$E53:INDEX(Trigo!$E53:$Z53,MIN(W$6-$G$3,22))&lt;&gt;""),Trigo!$E53:INDEX(Trigo!$E53:$Z53,MIN(W$6-$G$3,22))),0)))))</f>
        <v>0</v>
      </c>
      <c r="X55" s="27" t="n">
        <f aca="false">IF(COUNT(Trigo!$E53:$Z53)=0,0,MAX(0,IF((X$6-$E$3)&lt;1,0,IFERROR(LOOKUP(2,1/(Trigo!$E53:INDEX(Trigo!$E53:$Z53,MIN(X$6-$E$3,22))&lt;&gt;""),Trigo!$E53:INDEX(Trigo!$E53:$Z53,MIN(X$6-$E$3,22))),0))-IF($G$2,0,IF((X$6-$G$3)&lt;1,0,IFERROR(LOOKUP(2,1/(Trigo!$E53:INDEX(Trigo!$E53:$Z53,MIN(X$6-$G$3,22))&lt;&gt;""),Trigo!$E53:INDEX(Trigo!$E53:$Z53,MIN(X$6-$G$3,22))),0)))))</f>
        <v>0</v>
      </c>
      <c r="Y55" s="27" t="n">
        <f aca="false">IF(COUNT(Trigo!$E53:$Z53)=0,0,MAX(0,IF((Y$6-$E$3)&lt;1,0,IFERROR(LOOKUP(2,1/(Trigo!$E53:INDEX(Trigo!$E53:$Z53,MIN(Y$6-$E$3,22))&lt;&gt;""),Trigo!$E53:INDEX(Trigo!$E53:$Z53,MIN(Y$6-$E$3,22))),0))-IF($G$2,0,IF((Y$6-$G$3)&lt;1,0,IFERROR(LOOKUP(2,1/(Trigo!$E53:INDEX(Trigo!$E53:$Z53,MIN(Y$6-$G$3,22))&lt;&gt;""),Trigo!$E53:INDEX(Trigo!$E53:$Z53,MIN(Y$6-$G$3,22))),0)))))</f>
        <v>0</v>
      </c>
      <c r="Z55" s="27" t="n">
        <f aca="false">IF(COUNT(Trigo!$E53:$Z53)=0,0,MAX(0,IF((Z$6-$E$3)&lt;1,0,IFERROR(LOOKUP(2,1/(Trigo!$E53:INDEX(Trigo!$E53:$Z53,MIN(Z$6-$E$3,22))&lt;&gt;""),Trigo!$E53:INDEX(Trigo!$E53:$Z53,MIN(Z$6-$E$3,22))),0))-IF($G$2,0,IF((Z$6-$G$3)&lt;1,0,IFERROR(LOOKUP(2,1/(Trigo!$E53:INDEX(Trigo!$E53:$Z53,MIN(Z$6-$G$3,22))&lt;&gt;""),Trigo!$E53:INDEX(Trigo!$E53:$Z53,MIN(Z$6-$G$3,22))),0)))))</f>
        <v>0</v>
      </c>
      <c r="AA55" s="27" t="n">
        <f aca="false">IF(COUNT(Trigo!$E53:$Z53)=0,0,MAX(0,IF((AA$6-$E$3)&lt;1,0,IFERROR(LOOKUP(2,1/(Trigo!$E53:INDEX(Trigo!$E53:$Z53,MIN(AA$6-$E$3,22))&lt;&gt;""),Trigo!$E53:INDEX(Trigo!$E53:$Z53,MIN(AA$6-$E$3,22))),0))-IF($G$2,0,IF((AA$6-$G$3)&lt;1,0,IFERROR(LOOKUP(2,1/(Trigo!$E53:INDEX(Trigo!$E53:$Z53,MIN(AA$6-$G$3,22))&lt;&gt;""),Trigo!$E53:INDEX(Trigo!$E53:$Z53,MIN(AA$6-$G$3,22))),0)))))</f>
        <v>0</v>
      </c>
      <c r="AB55" s="27" t="n">
        <f aca="false">IF(COUNT(Trigo!$E53:$Z53)=0,0,MAX(0,IF((AB$6-$E$3)&lt;1,0,IFERROR(LOOKUP(2,1/(Trigo!$E53:INDEX(Trigo!$E53:$Z53,MIN(AB$6-$E$3,22))&lt;&gt;""),Trigo!$E53:INDEX(Trigo!$E53:$Z53,MIN(AB$6-$E$3,22))),0))-IF($G$2,0,IF((AB$6-$G$3)&lt;1,0,IFERROR(LOOKUP(2,1/(Trigo!$E53:INDEX(Trigo!$E53:$Z53,MIN(AB$6-$G$3,22))&lt;&gt;""),Trigo!$E53:INDEX(Trigo!$E53:$Z53,MIN(AB$6-$G$3,22))),0)))))</f>
        <v>0</v>
      </c>
      <c r="AC55" s="27" t="n">
        <f aca="false">IF(COUNT(Trigo!$E53:$Z53)=0,0,MAX(0,IF((AC$6-$E$3)&lt;1,0,IFERROR(LOOKUP(2,1/(Trigo!$E53:INDEX(Trigo!$E53:$Z53,MIN(AC$6-$E$3,22))&lt;&gt;""),Trigo!$E53:INDEX(Trigo!$E53:$Z53,MIN(AC$6-$E$3,22))),0))-IF($G$2,0,IF((AC$6-$G$3)&lt;1,0,IFERROR(LOOKUP(2,1/(Trigo!$E53:INDEX(Trigo!$E53:$Z53,MIN(AC$6-$G$3,22))&lt;&gt;""),Trigo!$E53:INDEX(Trigo!$E53:$Z53,MIN(AC$6-$G$3,22))),0)))))</f>
        <v>0</v>
      </c>
      <c r="AD55" s="27" t="n">
        <f aca="false">IF(COUNT(Trigo!$E53:$Z53)=0,0,MAX(0,IF((AD$6-$E$3)&lt;1,0,IFERROR(LOOKUP(2,1/(Trigo!$E53:INDEX(Trigo!$E53:$Z53,MIN(AD$6-$E$3,22))&lt;&gt;""),Trigo!$E53:INDEX(Trigo!$E53:$Z53,MIN(AD$6-$E$3,22))),0))-IF($G$2,0,IF((AD$6-$G$3)&lt;1,0,IFERROR(LOOKUP(2,1/(Trigo!$E53:INDEX(Trigo!$E53:$Z53,MIN(AD$6-$G$3,22))&lt;&gt;""),Trigo!$E53:INDEX(Trigo!$E53:$Z53,MIN(AD$6-$G$3,22))),0)))))</f>
        <v>0</v>
      </c>
      <c r="AE55" s="27" t="n">
        <f aca="false">IF(COUNT(Trigo!$E53:$Z53)=0,0,MAX(0,IF((AE$6-$E$3)&lt;1,0,IFERROR(LOOKUP(2,1/(Trigo!$E53:INDEX(Trigo!$E53:$Z53,MIN(AE$6-$E$3,22))&lt;&gt;""),Trigo!$E53:INDEX(Trigo!$E53:$Z53,MIN(AE$6-$E$3,22))),0))-IF($G$2,0,IF((AE$6-$G$3)&lt;1,0,IFERROR(LOOKUP(2,1/(Trigo!$E53:INDEX(Trigo!$E53:$Z53,MIN(AE$6-$G$3,22))&lt;&gt;""),Trigo!$E53:INDEX(Trigo!$E53:$Z53,MIN(AE$6-$G$3,22))),0)))))</f>
        <v>0</v>
      </c>
      <c r="AF55" s="27" t="n">
        <f aca="false">IF(COUNT(Trigo!$E53:$Z53)=0,0,MAX(0,IF((AF$6-$E$3)&lt;1,0,IFERROR(LOOKUP(2,1/(Trigo!$E53:INDEX(Trigo!$E53:$Z53,MIN(AF$6-$E$3,22))&lt;&gt;""),Trigo!$E53:INDEX(Trigo!$E53:$Z53,MIN(AF$6-$E$3,22))),0))-IF($G$2,0,IF((AF$6-$G$3)&lt;1,0,IFERROR(LOOKUP(2,1/(Trigo!$E53:INDEX(Trigo!$E53:$Z53,MIN(AF$6-$G$3,22))&lt;&gt;""),Trigo!$E53:INDEX(Trigo!$E53:$Z53,MIN(AF$6-$G$3,22))),0)))))</f>
        <v>0</v>
      </c>
      <c r="AG55" s="27" t="n">
        <f aca="false">IF(COUNT(Trigo!$E53:$Z53)=0,0,MAX(0,IF((AG$6-$E$3)&lt;1,0,IFERROR(LOOKUP(2,1/(Trigo!$E53:INDEX(Trigo!$E53:$Z53,MIN(AG$6-$E$3,22))&lt;&gt;""),Trigo!$E53:INDEX(Trigo!$E53:$Z53,MIN(AG$6-$E$3,22))),0))-IF($G$2,0,IF((AG$6-$G$3)&lt;1,0,IFERROR(LOOKUP(2,1/(Trigo!$E53:INDEX(Trigo!$E53:$Z53,MIN(AG$6-$G$3,22))&lt;&gt;""),Trigo!$E53:INDEX(Trigo!$E53:$Z53,MIN(AG$6-$G$3,22))),0)))))</f>
        <v>0</v>
      </c>
      <c r="AH55" s="27" t="n">
        <f aca="false">IF(COUNT(Trigo!$E53:$Z53)=0,0,MAX(0,IF((AH$6-$E$3)&lt;1,0,IFERROR(LOOKUP(2,1/(Trigo!$E53:INDEX(Trigo!$E53:$Z53,MIN(AH$6-$E$3,22))&lt;&gt;""),Trigo!$E53:INDEX(Trigo!$E53:$Z53,MIN(AH$6-$E$3,22))),0))-IF($G$2,0,IF((AH$6-$G$3)&lt;1,0,IFERROR(LOOKUP(2,1/(Trigo!$E53:INDEX(Trigo!$E53:$Z53,MIN(AH$6-$G$3,22))&lt;&gt;""),Trigo!$E53:INDEX(Trigo!$E53:$Z53,MIN(AH$6-$G$3,22))),0)))))</f>
        <v>0</v>
      </c>
      <c r="AI55" s="27" t="n">
        <f aca="false">IF(COUNT(Trigo!$E53:$Z53)=0,0,MAX(0,IF((AI$6-$E$3)&lt;1,0,IFERROR(LOOKUP(2,1/(Trigo!$E53:INDEX(Trigo!$E53:$Z53,MIN(AI$6-$E$3,22))&lt;&gt;""),Trigo!$E53:INDEX(Trigo!$E53:$Z53,MIN(AI$6-$E$3,22))),0))-IF($G$2,0,IF((AI$6-$G$3)&lt;1,0,IFERROR(LOOKUP(2,1/(Trigo!$E53:INDEX(Trigo!$E53:$Z53,MIN(AI$6-$G$3,22))&lt;&gt;""),Trigo!$E53:INDEX(Trigo!$E53:$Z53,MIN(AI$6-$G$3,22))),0)))))</f>
        <v>0</v>
      </c>
      <c r="AJ55" s="27" t="n">
        <f aca="false">IF(COUNT(Trigo!$E53:$Z53)=0,0,MAX(0,IF((AJ$6-$E$3)&lt;1,0,IFERROR(LOOKUP(2,1/(Trigo!$E53:INDEX(Trigo!$E53:$Z53,MIN(AJ$6-$E$3,22))&lt;&gt;""),Trigo!$E53:INDEX(Trigo!$E53:$Z53,MIN(AJ$6-$E$3,22))),0))-IF($G$2,0,IF((AJ$6-$G$3)&lt;1,0,IFERROR(LOOKUP(2,1/(Trigo!$E53:INDEX(Trigo!$E53:$Z53,MIN(AJ$6-$G$3,22))&lt;&gt;""),Trigo!$E53:INDEX(Trigo!$E53:$Z53,MIN(AJ$6-$G$3,22))),0)))))</f>
        <v>0</v>
      </c>
      <c r="AK55" s="27" t="n">
        <f aca="false">IF(COUNT(Trigo!$E53:$Z53)=0,0,MAX(0,IF((AK$6-$E$3)&lt;1,0,IFERROR(LOOKUP(2,1/(Trigo!$E53:INDEX(Trigo!$E53:$Z53,MIN(AK$6-$E$3,22))&lt;&gt;""),Trigo!$E53:INDEX(Trigo!$E53:$Z53,MIN(AK$6-$E$3,22))),0))-IF($G$2,0,IF((AK$6-$G$3)&lt;1,0,IFERROR(LOOKUP(2,1/(Trigo!$E53:INDEX(Trigo!$E53:$Z53,MIN(AK$6-$G$3,22))&lt;&gt;""),Trigo!$E53:INDEX(Trigo!$E53:$Z53,MIN(AK$6-$G$3,22))),0)))))</f>
        <v>0</v>
      </c>
      <c r="AL55" s="27" t="n">
        <f aca="false">IF(COUNT(Trigo!$E53:$Z53)=0,0,MAX(0,IF((AL$6-$E$3)&lt;1,0,IFERROR(LOOKUP(2,1/(Trigo!$E53:INDEX(Trigo!$E53:$Z53,MIN(AL$6-$E$3,22))&lt;&gt;""),Trigo!$E53:INDEX(Trigo!$E53:$Z53,MIN(AL$6-$E$3,22))),0))-IF($G$2,0,IF((AL$6-$G$3)&lt;1,0,IFERROR(LOOKUP(2,1/(Trigo!$E53:INDEX(Trigo!$E53:$Z53,MIN(AL$6-$G$3,22))&lt;&gt;""),Trigo!$E53:INDEX(Trigo!$E53:$Z53,MIN(AL$6-$G$3,22))),0)))))</f>
        <v>0</v>
      </c>
      <c r="AM55" s="27" t="n">
        <f aca="false">IF(COUNT(Trigo!$E53:$Z53)=0,0,MAX(0,IF((AM$6-$E$3)&lt;1,0,IFERROR(LOOKUP(2,1/(Trigo!$E53:INDEX(Trigo!$E53:$Z53,MIN(AM$6-$E$3,22))&lt;&gt;""),Trigo!$E53:INDEX(Trigo!$E53:$Z53,MIN(AM$6-$E$3,22))),0))-IF($G$2,0,IF((AM$6-$G$3)&lt;1,0,IFERROR(LOOKUP(2,1/(Trigo!$E53:INDEX(Trigo!$E53:$Z53,MIN(AM$6-$G$3,22))&lt;&gt;""),Trigo!$E53:INDEX(Trigo!$E53:$Z53,MIN(AM$6-$G$3,22))),0)))))</f>
        <v>0</v>
      </c>
      <c r="AN55" s="27" t="n">
        <f aca="false">IF(COUNT(Trigo!$E53:$Z53)=0,0,MAX(0,IF((AN$6-$E$3)&lt;1,0,IFERROR(LOOKUP(2,1/(Trigo!$E53:INDEX(Trigo!$E53:$Z53,MIN(AN$6-$E$3,22))&lt;&gt;""),Trigo!$E53:INDEX(Trigo!$E53:$Z53,MIN(AN$6-$E$3,22))),0))-IF($G$2,0,IF((AN$6-$G$3)&lt;1,0,IFERROR(LOOKUP(2,1/(Trigo!$E53:INDEX(Trigo!$E53:$Z53,MIN(AN$6-$G$3,22))&lt;&gt;""),Trigo!$E53:INDEX(Trigo!$E53:$Z53,MIN(AN$6-$G$3,22))),0)))))</f>
        <v>0</v>
      </c>
      <c r="AO55" s="27" t="n">
        <f aca="false">IF(COUNT(Trigo!$E53:$Z53)=0,0,MAX(0,IF((AO$6-$E$3)&lt;1,0,IFERROR(LOOKUP(2,1/(Trigo!$E53:INDEX(Trigo!$E53:$Z53,MIN(AO$6-$E$3,22))&lt;&gt;""),Trigo!$E53:INDEX(Trigo!$E53:$Z53,MIN(AO$6-$E$3,22))),0))-IF($G$2,0,IF((AO$6-$G$3)&lt;1,0,IFERROR(LOOKUP(2,1/(Trigo!$E53:INDEX(Trigo!$E53:$Z53,MIN(AO$6-$G$3,22))&lt;&gt;""),Trigo!$E53:INDEX(Trigo!$E53:$Z53,MIN(AO$6-$G$3,22))),0)))))</f>
        <v>0</v>
      </c>
      <c r="AP55" s="27" t="n">
        <f aca="false">IF(COUNT(Trigo!$E53:$Z53)=0,0,MAX(0,IF((AP$6-$E$3)&lt;1,0,IFERROR(LOOKUP(2,1/(Trigo!$E53:INDEX(Trigo!$E53:$Z53,MIN(AP$6-$E$3,22))&lt;&gt;""),Trigo!$E53:INDEX(Trigo!$E53:$Z53,MIN(AP$6-$E$3,22))),0))-IF($G$2,0,IF((AP$6-$G$3)&lt;1,0,IFERROR(LOOKUP(2,1/(Trigo!$E53:INDEX(Trigo!$E53:$Z53,MIN(AP$6-$G$3,22))&lt;&gt;""),Trigo!$E53:INDEX(Trigo!$E53:$Z53,MIN(AP$6-$G$3,22))),0)))))</f>
        <v>0</v>
      </c>
      <c r="AQ55" s="27" t="n">
        <f aca="false">IF(COUNT(Trigo!$E53:$Z53)=0,0,MAX(0,IF((AQ$6-$E$3)&lt;1,0,IFERROR(LOOKUP(2,1/(Trigo!$E53:INDEX(Trigo!$E53:$Z53,MIN(AQ$6-$E$3,22))&lt;&gt;""),Trigo!$E53:INDEX(Trigo!$E53:$Z53,MIN(AQ$6-$E$3,22))),0))-IF($G$2,0,IF((AQ$6-$G$3)&lt;1,0,IFERROR(LOOKUP(2,1/(Trigo!$E53:INDEX(Trigo!$E53:$Z53,MIN(AQ$6-$G$3,22))&lt;&gt;""),Trigo!$E53:INDEX(Trigo!$E53:$Z53,MIN(AQ$6-$G$3,22))),0)))))</f>
        <v>0</v>
      </c>
      <c r="AR55" s="27" t="n">
        <f aca="false">IF(COUNT(Trigo!$E53:$Z53)=0,0,MAX(0,IF((AR$6-$E$3)&lt;1,0,IFERROR(LOOKUP(2,1/(Trigo!$E53:INDEX(Trigo!$E53:$Z53,MIN(AR$6-$E$3,22))&lt;&gt;""),Trigo!$E53:INDEX(Trigo!$E53:$Z53,MIN(AR$6-$E$3,22))),0))-IF($G$2,0,IF((AR$6-$G$3)&lt;1,0,IFERROR(LOOKUP(2,1/(Trigo!$E53:INDEX(Trigo!$E53:$Z53,MIN(AR$6-$G$3,22))&lt;&gt;""),Trigo!$E53:INDEX(Trigo!$E53:$Z53,MIN(AR$6-$G$3,22))),0)))))</f>
        <v>0</v>
      </c>
      <c r="AS55" s="27" t="n">
        <f aca="false">IF(COUNT(Trigo!$E53:$Z53)=0,0,MAX(0,IF((AS$6-$E$3)&lt;1,0,IFERROR(LOOKUP(2,1/(Trigo!$E53:INDEX(Trigo!$E53:$Z53,MIN(AS$6-$E$3,22))&lt;&gt;""),Trigo!$E53:INDEX(Trigo!$E53:$Z53,MIN(AS$6-$E$3,22))),0))-IF($G$2,0,IF((AS$6-$G$3)&lt;1,0,IFERROR(LOOKUP(2,1/(Trigo!$E53:INDEX(Trigo!$E53:$Z53,MIN(AS$6-$G$3,22))&lt;&gt;""),Trigo!$E53:INDEX(Trigo!$E53:$Z53,MIN(AS$6-$G$3,22))),0)))))</f>
        <v>0</v>
      </c>
      <c r="AT55" s="27" t="n">
        <f aca="false">IF(COUNT(Trigo!$E53:$Z53)=0,0,MAX(0,IF((AT$6-$E$3)&lt;1,0,IFERROR(LOOKUP(2,1/(Trigo!$E53:INDEX(Trigo!$E53:$Z53,MIN(AT$6-$E$3,22))&lt;&gt;""),Trigo!$E53:INDEX(Trigo!$E53:$Z53,MIN(AT$6-$E$3,22))),0))-IF($G$2,0,IF((AT$6-$G$3)&lt;1,0,IFERROR(LOOKUP(2,1/(Trigo!$E53:INDEX(Trigo!$E53:$Z53,MIN(AT$6-$G$3,22))&lt;&gt;""),Trigo!$E53:INDEX(Trigo!$E53:$Z53,MIN(AT$6-$G$3,22))),0)))))</f>
        <v>0</v>
      </c>
      <c r="AU55" s="27" t="n">
        <f aca="false">IF(COUNT(Trigo!$E53:$Z53)=0,0,MAX(0,IF((AU$6-$E$3)&lt;1,0,IFERROR(LOOKUP(2,1/(Trigo!$E53:INDEX(Trigo!$E53:$Z53,MIN(AU$6-$E$3,22))&lt;&gt;""),Trigo!$E53:INDEX(Trigo!$E53:$Z53,MIN(AU$6-$E$3,22))),0))-IF($G$2,0,IF((AU$6-$G$3)&lt;1,0,IFERROR(LOOKUP(2,1/(Trigo!$E53:INDEX(Trigo!$E53:$Z53,MIN(AU$6-$G$3,22))&lt;&gt;""),Trigo!$E53:INDEX(Trigo!$E53:$Z53,MIN(AU$6-$G$3,22))),0)))))</f>
        <v>0</v>
      </c>
      <c r="AV55" s="27" t="n">
        <f aca="false">IF(COUNT(Trigo!$E53:$Z53)=0,0,MAX(0,IF((AV$6-$E$3)&lt;1,0,IFERROR(LOOKUP(2,1/(Trigo!$E53:INDEX(Trigo!$E53:$Z53,MIN(AV$6-$E$3,22))&lt;&gt;""),Trigo!$E53:INDEX(Trigo!$E53:$Z53,MIN(AV$6-$E$3,22))),0))-IF($G$2,0,IF((AV$6-$G$3)&lt;1,0,IFERROR(LOOKUP(2,1/(Trigo!$E53:INDEX(Trigo!$E53:$Z53,MIN(AV$6-$G$3,22))&lt;&gt;""),Trigo!$E53:INDEX(Trigo!$E53:$Z53,MIN(AV$6-$G$3,22))),0)))))</f>
        <v>0</v>
      </c>
      <c r="AW55" s="27" t="n">
        <f aca="false">IF(COUNT(Trigo!$E53:$Z53)=0,0,MAX(0,IF((AW$6-$E$3)&lt;1,0,IFERROR(LOOKUP(2,1/(Trigo!$E53:INDEX(Trigo!$E53:$Z53,MIN(AW$6-$E$3,22))&lt;&gt;""),Trigo!$E53:INDEX(Trigo!$E53:$Z53,MIN(AW$6-$E$3,22))),0))-IF($G$2,0,IF((AW$6-$G$3)&lt;1,0,IFERROR(LOOKUP(2,1/(Trigo!$E53:INDEX(Trigo!$E53:$Z53,MIN(AW$6-$G$3,22))&lt;&gt;""),Trigo!$E53:INDEX(Trigo!$E53:$Z53,MIN(AW$6-$G$3,22))),0)))))</f>
        <v>0</v>
      </c>
      <c r="AX55" s="27" t="n">
        <f aca="false">IF(COUNT(Trigo!$E53:$Z53)=0,0,MAX(0,IF((AX$6-$E$3)&lt;1,0,IFERROR(LOOKUP(2,1/(Trigo!$E53:INDEX(Trigo!$E53:$Z53,MIN(AX$6-$E$3,22))&lt;&gt;""),Trigo!$E53:INDEX(Trigo!$E53:$Z53,MIN(AX$6-$E$3,22))),0))-IF($G$2,0,IF((AX$6-$G$3)&lt;1,0,IFERROR(LOOKUP(2,1/(Trigo!$E53:INDEX(Trigo!$E53:$Z53,MIN(AX$6-$G$3,22))&lt;&gt;""),Trigo!$E53:INDEX(Trigo!$E53:$Z53,MIN(AX$6-$G$3,22))),0)))))</f>
        <v>0</v>
      </c>
      <c r="AY55" s="27" t="n">
        <f aca="false">IF(COUNT(Trigo!$E53:$Z53)=0,0,MAX(0,IF((AY$6-$E$3)&lt;1,0,IFERROR(LOOKUP(2,1/(Trigo!$E53:INDEX(Trigo!$E53:$Z53,MIN(AY$6-$E$3,22))&lt;&gt;""),Trigo!$E53:INDEX(Trigo!$E53:$Z53,MIN(AY$6-$E$3,22))),0))-IF($G$2,0,IF((AY$6-$G$3)&lt;1,0,IFERROR(LOOKUP(2,1/(Trigo!$E53:INDEX(Trigo!$E53:$Z53,MIN(AY$6-$G$3,22))&lt;&gt;""),Trigo!$E53:INDEX(Trigo!$E53:$Z53,MIN(AY$6-$G$3,22))),0)))))</f>
        <v>0</v>
      </c>
      <c r="AZ55" s="27" t="n">
        <f aca="false">IF(COUNT(Trigo!$E53:$Z53)=0,0,MAX(0,IF((AZ$6-$E$3)&lt;1,0,IFERROR(LOOKUP(2,1/(Trigo!$E53:INDEX(Trigo!$E53:$Z53,MIN(AZ$6-$E$3,22))&lt;&gt;""),Trigo!$E53:INDEX(Trigo!$E53:$Z53,MIN(AZ$6-$E$3,22))),0))-IF($G$2,0,IF((AZ$6-$G$3)&lt;1,0,IFERROR(LOOKUP(2,1/(Trigo!$E53:INDEX(Trigo!$E53:$Z53,MIN(AZ$6-$G$3,22))&lt;&gt;""),Trigo!$E53:INDEX(Trigo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IF(COUNT(Trigo!$E54:$Z54)&gt;0,N(Trigo!$D54),0)</f>
        <v>0</v>
      </c>
      <c r="E56" s="27" t="n">
        <f aca="false">IF(COUNT(Trigo!$E54:$Z54)=0,0,MAX(0,IF((E$6-$E$3)&lt;1,0,IFERROR(LOOKUP(2,1/(Trigo!$E54:INDEX(Trigo!$E54:$Z54,MIN(E$6-$E$3,22))&lt;&gt;""),Trigo!$E54:INDEX(Trigo!$E54:$Z54,MIN(E$6-$E$3,22))),0))-IF($G$2,0,IF((E$6-$G$3)&lt;1,0,IFERROR(LOOKUP(2,1/(Trigo!$E54:INDEX(Trigo!$E54:$Z54,MIN(E$6-$G$3,22))&lt;&gt;""),Trigo!$E54:INDEX(Trigo!$E54:$Z54,MIN(E$6-$G$3,22))),0)))))</f>
        <v>0</v>
      </c>
      <c r="F56" s="27" t="n">
        <f aca="false">IF(COUNT(Trigo!$E54:$Z54)=0,0,MAX(0,IF((F$6-$E$3)&lt;1,0,IFERROR(LOOKUP(2,1/(Trigo!$E54:INDEX(Trigo!$E54:$Z54,MIN(F$6-$E$3,22))&lt;&gt;""),Trigo!$E54:INDEX(Trigo!$E54:$Z54,MIN(F$6-$E$3,22))),0))-IF($G$2,0,IF((F$6-$G$3)&lt;1,0,IFERROR(LOOKUP(2,1/(Trigo!$E54:INDEX(Trigo!$E54:$Z54,MIN(F$6-$G$3,22))&lt;&gt;""),Trigo!$E54:INDEX(Trigo!$E54:$Z54,MIN(F$6-$G$3,22))),0)))))</f>
        <v>0</v>
      </c>
      <c r="G56" s="27" t="n">
        <f aca="false">IF(COUNT(Trigo!$E54:$Z54)=0,0,MAX(0,IF((G$6-$E$3)&lt;1,0,IFERROR(LOOKUP(2,1/(Trigo!$E54:INDEX(Trigo!$E54:$Z54,MIN(G$6-$E$3,22))&lt;&gt;""),Trigo!$E54:INDEX(Trigo!$E54:$Z54,MIN(G$6-$E$3,22))),0))-IF($G$2,0,IF((G$6-$G$3)&lt;1,0,IFERROR(LOOKUP(2,1/(Trigo!$E54:INDEX(Trigo!$E54:$Z54,MIN(G$6-$G$3,22))&lt;&gt;""),Trigo!$E54:INDEX(Trigo!$E54:$Z54,MIN(G$6-$G$3,22))),0)))))</f>
        <v>0</v>
      </c>
      <c r="H56" s="27" t="n">
        <f aca="false">IF(COUNT(Trigo!$E54:$Z54)=0,0,MAX(0,IF((H$6-$E$3)&lt;1,0,IFERROR(LOOKUP(2,1/(Trigo!$E54:INDEX(Trigo!$E54:$Z54,MIN(H$6-$E$3,22))&lt;&gt;""),Trigo!$E54:INDEX(Trigo!$E54:$Z54,MIN(H$6-$E$3,22))),0))-IF($G$2,0,IF((H$6-$G$3)&lt;1,0,IFERROR(LOOKUP(2,1/(Trigo!$E54:INDEX(Trigo!$E54:$Z54,MIN(H$6-$G$3,22))&lt;&gt;""),Trigo!$E54:INDEX(Trigo!$E54:$Z54,MIN(H$6-$G$3,22))),0)))))</f>
        <v>0</v>
      </c>
      <c r="I56" s="27" t="n">
        <f aca="false">IF(COUNT(Trigo!$E54:$Z54)=0,0,MAX(0,IF((I$6-$E$3)&lt;1,0,IFERROR(LOOKUP(2,1/(Trigo!$E54:INDEX(Trigo!$E54:$Z54,MIN(I$6-$E$3,22))&lt;&gt;""),Trigo!$E54:INDEX(Trigo!$E54:$Z54,MIN(I$6-$E$3,22))),0))-IF($G$2,0,IF((I$6-$G$3)&lt;1,0,IFERROR(LOOKUP(2,1/(Trigo!$E54:INDEX(Trigo!$E54:$Z54,MIN(I$6-$G$3,22))&lt;&gt;""),Trigo!$E54:INDEX(Trigo!$E54:$Z54,MIN(I$6-$G$3,22))),0)))))</f>
        <v>0</v>
      </c>
      <c r="J56" s="27" t="n">
        <f aca="false">IF(COUNT(Trigo!$E54:$Z54)=0,0,MAX(0,IF((J$6-$E$3)&lt;1,0,IFERROR(LOOKUP(2,1/(Trigo!$E54:INDEX(Trigo!$E54:$Z54,MIN(J$6-$E$3,22))&lt;&gt;""),Trigo!$E54:INDEX(Trigo!$E54:$Z54,MIN(J$6-$E$3,22))),0))-IF($G$2,0,IF((J$6-$G$3)&lt;1,0,IFERROR(LOOKUP(2,1/(Trigo!$E54:INDEX(Trigo!$E54:$Z54,MIN(J$6-$G$3,22))&lt;&gt;""),Trigo!$E54:INDEX(Trigo!$E54:$Z54,MIN(J$6-$G$3,22))),0)))))</f>
        <v>0</v>
      </c>
      <c r="K56" s="27" t="n">
        <f aca="false">IF(COUNT(Trigo!$E54:$Z54)=0,0,MAX(0,IF((K$6-$E$3)&lt;1,0,IFERROR(LOOKUP(2,1/(Trigo!$E54:INDEX(Trigo!$E54:$Z54,MIN(K$6-$E$3,22))&lt;&gt;""),Trigo!$E54:INDEX(Trigo!$E54:$Z54,MIN(K$6-$E$3,22))),0))-IF($G$2,0,IF((K$6-$G$3)&lt;1,0,IFERROR(LOOKUP(2,1/(Trigo!$E54:INDEX(Trigo!$E54:$Z54,MIN(K$6-$G$3,22))&lt;&gt;""),Trigo!$E54:INDEX(Trigo!$E54:$Z54,MIN(K$6-$G$3,22))),0)))))</f>
        <v>0</v>
      </c>
      <c r="L56" s="27" t="n">
        <f aca="false">IF(COUNT(Trigo!$E54:$Z54)=0,0,MAX(0,IF((L$6-$E$3)&lt;1,0,IFERROR(LOOKUP(2,1/(Trigo!$E54:INDEX(Trigo!$E54:$Z54,MIN(L$6-$E$3,22))&lt;&gt;""),Trigo!$E54:INDEX(Trigo!$E54:$Z54,MIN(L$6-$E$3,22))),0))-IF($G$2,0,IF((L$6-$G$3)&lt;1,0,IFERROR(LOOKUP(2,1/(Trigo!$E54:INDEX(Trigo!$E54:$Z54,MIN(L$6-$G$3,22))&lt;&gt;""),Trigo!$E54:INDEX(Trigo!$E54:$Z54,MIN(L$6-$G$3,22))),0)))))</f>
        <v>0</v>
      </c>
      <c r="M56" s="27" t="n">
        <f aca="false">IF(COUNT(Trigo!$E54:$Z54)=0,0,MAX(0,IF((M$6-$E$3)&lt;1,0,IFERROR(LOOKUP(2,1/(Trigo!$E54:INDEX(Trigo!$E54:$Z54,MIN(M$6-$E$3,22))&lt;&gt;""),Trigo!$E54:INDEX(Trigo!$E54:$Z54,MIN(M$6-$E$3,22))),0))-IF($G$2,0,IF((M$6-$G$3)&lt;1,0,IFERROR(LOOKUP(2,1/(Trigo!$E54:INDEX(Trigo!$E54:$Z54,MIN(M$6-$G$3,22))&lt;&gt;""),Trigo!$E54:INDEX(Trigo!$E54:$Z54,MIN(M$6-$G$3,22))),0)))))</f>
        <v>0</v>
      </c>
      <c r="N56" s="27" t="n">
        <f aca="false">IF(COUNT(Trigo!$E54:$Z54)=0,0,MAX(0,IF((N$6-$E$3)&lt;1,0,IFERROR(LOOKUP(2,1/(Trigo!$E54:INDEX(Trigo!$E54:$Z54,MIN(N$6-$E$3,22))&lt;&gt;""),Trigo!$E54:INDEX(Trigo!$E54:$Z54,MIN(N$6-$E$3,22))),0))-IF($G$2,0,IF((N$6-$G$3)&lt;1,0,IFERROR(LOOKUP(2,1/(Trigo!$E54:INDEX(Trigo!$E54:$Z54,MIN(N$6-$G$3,22))&lt;&gt;""),Trigo!$E54:INDEX(Trigo!$E54:$Z54,MIN(N$6-$G$3,22))),0)))))</f>
        <v>0</v>
      </c>
      <c r="O56" s="27" t="n">
        <f aca="false">IF(COUNT(Trigo!$E54:$Z54)=0,0,MAX(0,IF((O$6-$E$3)&lt;1,0,IFERROR(LOOKUP(2,1/(Trigo!$E54:INDEX(Trigo!$E54:$Z54,MIN(O$6-$E$3,22))&lt;&gt;""),Trigo!$E54:INDEX(Trigo!$E54:$Z54,MIN(O$6-$E$3,22))),0))-IF($G$2,0,IF((O$6-$G$3)&lt;1,0,IFERROR(LOOKUP(2,1/(Trigo!$E54:INDEX(Trigo!$E54:$Z54,MIN(O$6-$G$3,22))&lt;&gt;""),Trigo!$E54:INDEX(Trigo!$E54:$Z54,MIN(O$6-$G$3,22))),0)))))</f>
        <v>0</v>
      </c>
      <c r="P56" s="27" t="n">
        <f aca="false">IF(COUNT(Trigo!$E54:$Z54)=0,0,MAX(0,IF((P$6-$E$3)&lt;1,0,IFERROR(LOOKUP(2,1/(Trigo!$E54:INDEX(Trigo!$E54:$Z54,MIN(P$6-$E$3,22))&lt;&gt;""),Trigo!$E54:INDEX(Trigo!$E54:$Z54,MIN(P$6-$E$3,22))),0))-IF($G$2,0,IF((P$6-$G$3)&lt;1,0,IFERROR(LOOKUP(2,1/(Trigo!$E54:INDEX(Trigo!$E54:$Z54,MIN(P$6-$G$3,22))&lt;&gt;""),Trigo!$E54:INDEX(Trigo!$E54:$Z54,MIN(P$6-$G$3,22))),0)))))</f>
        <v>0</v>
      </c>
      <c r="Q56" s="27" t="n">
        <f aca="false">IF(COUNT(Trigo!$E54:$Z54)=0,0,MAX(0,IF((Q$6-$E$3)&lt;1,0,IFERROR(LOOKUP(2,1/(Trigo!$E54:INDEX(Trigo!$E54:$Z54,MIN(Q$6-$E$3,22))&lt;&gt;""),Trigo!$E54:INDEX(Trigo!$E54:$Z54,MIN(Q$6-$E$3,22))),0))-IF($G$2,0,IF((Q$6-$G$3)&lt;1,0,IFERROR(LOOKUP(2,1/(Trigo!$E54:INDEX(Trigo!$E54:$Z54,MIN(Q$6-$G$3,22))&lt;&gt;""),Trigo!$E54:INDEX(Trigo!$E54:$Z54,MIN(Q$6-$G$3,22))),0)))))</f>
        <v>0</v>
      </c>
      <c r="R56" s="27" t="n">
        <f aca="false">IF(COUNT(Trigo!$E54:$Z54)=0,0,MAX(0,IF((R$6-$E$3)&lt;1,0,IFERROR(LOOKUP(2,1/(Trigo!$E54:INDEX(Trigo!$E54:$Z54,MIN(R$6-$E$3,22))&lt;&gt;""),Trigo!$E54:INDEX(Trigo!$E54:$Z54,MIN(R$6-$E$3,22))),0))-IF($G$2,0,IF((R$6-$G$3)&lt;1,0,IFERROR(LOOKUP(2,1/(Trigo!$E54:INDEX(Trigo!$E54:$Z54,MIN(R$6-$G$3,22))&lt;&gt;""),Trigo!$E54:INDEX(Trigo!$E54:$Z54,MIN(R$6-$G$3,22))),0)))))</f>
        <v>0</v>
      </c>
      <c r="S56" s="27" t="n">
        <f aca="false">IF(COUNT(Trigo!$E54:$Z54)=0,0,MAX(0,IF((S$6-$E$3)&lt;1,0,IFERROR(LOOKUP(2,1/(Trigo!$E54:INDEX(Trigo!$E54:$Z54,MIN(S$6-$E$3,22))&lt;&gt;""),Trigo!$E54:INDEX(Trigo!$E54:$Z54,MIN(S$6-$E$3,22))),0))-IF($G$2,0,IF((S$6-$G$3)&lt;1,0,IFERROR(LOOKUP(2,1/(Trigo!$E54:INDEX(Trigo!$E54:$Z54,MIN(S$6-$G$3,22))&lt;&gt;""),Trigo!$E54:INDEX(Trigo!$E54:$Z54,MIN(S$6-$G$3,22))),0)))))</f>
        <v>0</v>
      </c>
      <c r="T56" s="27" t="n">
        <f aca="false">IF(COUNT(Trigo!$E54:$Z54)=0,0,MAX(0,IF((T$6-$E$3)&lt;1,0,IFERROR(LOOKUP(2,1/(Trigo!$E54:INDEX(Trigo!$E54:$Z54,MIN(T$6-$E$3,22))&lt;&gt;""),Trigo!$E54:INDEX(Trigo!$E54:$Z54,MIN(T$6-$E$3,22))),0))-IF($G$2,0,IF((T$6-$G$3)&lt;1,0,IFERROR(LOOKUP(2,1/(Trigo!$E54:INDEX(Trigo!$E54:$Z54,MIN(T$6-$G$3,22))&lt;&gt;""),Trigo!$E54:INDEX(Trigo!$E54:$Z54,MIN(T$6-$G$3,22))),0)))))</f>
        <v>0</v>
      </c>
      <c r="U56" s="27" t="n">
        <f aca="false">IF(COUNT(Trigo!$E54:$Z54)=0,0,MAX(0,IF((U$6-$E$3)&lt;1,0,IFERROR(LOOKUP(2,1/(Trigo!$E54:INDEX(Trigo!$E54:$Z54,MIN(U$6-$E$3,22))&lt;&gt;""),Trigo!$E54:INDEX(Trigo!$E54:$Z54,MIN(U$6-$E$3,22))),0))-IF($G$2,0,IF((U$6-$G$3)&lt;1,0,IFERROR(LOOKUP(2,1/(Trigo!$E54:INDEX(Trigo!$E54:$Z54,MIN(U$6-$G$3,22))&lt;&gt;""),Trigo!$E54:INDEX(Trigo!$E54:$Z54,MIN(U$6-$G$3,22))),0)))))</f>
        <v>0</v>
      </c>
      <c r="V56" s="27" t="n">
        <f aca="false">IF(COUNT(Trigo!$E54:$Z54)=0,0,MAX(0,IF((V$6-$E$3)&lt;1,0,IFERROR(LOOKUP(2,1/(Trigo!$E54:INDEX(Trigo!$E54:$Z54,MIN(V$6-$E$3,22))&lt;&gt;""),Trigo!$E54:INDEX(Trigo!$E54:$Z54,MIN(V$6-$E$3,22))),0))-IF($G$2,0,IF((V$6-$G$3)&lt;1,0,IFERROR(LOOKUP(2,1/(Trigo!$E54:INDEX(Trigo!$E54:$Z54,MIN(V$6-$G$3,22))&lt;&gt;""),Trigo!$E54:INDEX(Trigo!$E54:$Z54,MIN(V$6-$G$3,22))),0)))))</f>
        <v>0</v>
      </c>
      <c r="W56" s="27" t="n">
        <f aca="false">IF(COUNT(Trigo!$E54:$Z54)=0,0,MAX(0,IF((W$6-$E$3)&lt;1,0,IFERROR(LOOKUP(2,1/(Trigo!$E54:INDEX(Trigo!$E54:$Z54,MIN(W$6-$E$3,22))&lt;&gt;""),Trigo!$E54:INDEX(Trigo!$E54:$Z54,MIN(W$6-$E$3,22))),0))-IF($G$2,0,IF((W$6-$G$3)&lt;1,0,IFERROR(LOOKUP(2,1/(Trigo!$E54:INDEX(Trigo!$E54:$Z54,MIN(W$6-$G$3,22))&lt;&gt;""),Trigo!$E54:INDEX(Trigo!$E54:$Z54,MIN(W$6-$G$3,22))),0)))))</f>
        <v>0</v>
      </c>
      <c r="X56" s="27" t="n">
        <f aca="false">IF(COUNT(Trigo!$E54:$Z54)=0,0,MAX(0,IF((X$6-$E$3)&lt;1,0,IFERROR(LOOKUP(2,1/(Trigo!$E54:INDEX(Trigo!$E54:$Z54,MIN(X$6-$E$3,22))&lt;&gt;""),Trigo!$E54:INDEX(Trigo!$E54:$Z54,MIN(X$6-$E$3,22))),0))-IF($G$2,0,IF((X$6-$G$3)&lt;1,0,IFERROR(LOOKUP(2,1/(Trigo!$E54:INDEX(Trigo!$E54:$Z54,MIN(X$6-$G$3,22))&lt;&gt;""),Trigo!$E54:INDEX(Trigo!$E54:$Z54,MIN(X$6-$G$3,22))),0)))))</f>
        <v>0</v>
      </c>
      <c r="Y56" s="27" t="n">
        <f aca="false">IF(COUNT(Trigo!$E54:$Z54)=0,0,MAX(0,IF((Y$6-$E$3)&lt;1,0,IFERROR(LOOKUP(2,1/(Trigo!$E54:INDEX(Trigo!$E54:$Z54,MIN(Y$6-$E$3,22))&lt;&gt;""),Trigo!$E54:INDEX(Trigo!$E54:$Z54,MIN(Y$6-$E$3,22))),0))-IF($G$2,0,IF((Y$6-$G$3)&lt;1,0,IFERROR(LOOKUP(2,1/(Trigo!$E54:INDEX(Trigo!$E54:$Z54,MIN(Y$6-$G$3,22))&lt;&gt;""),Trigo!$E54:INDEX(Trigo!$E54:$Z54,MIN(Y$6-$G$3,22))),0)))))</f>
        <v>0</v>
      </c>
      <c r="Z56" s="27" t="n">
        <f aca="false">IF(COUNT(Trigo!$E54:$Z54)=0,0,MAX(0,IF((Z$6-$E$3)&lt;1,0,IFERROR(LOOKUP(2,1/(Trigo!$E54:INDEX(Trigo!$E54:$Z54,MIN(Z$6-$E$3,22))&lt;&gt;""),Trigo!$E54:INDEX(Trigo!$E54:$Z54,MIN(Z$6-$E$3,22))),0))-IF($G$2,0,IF((Z$6-$G$3)&lt;1,0,IFERROR(LOOKUP(2,1/(Trigo!$E54:INDEX(Trigo!$E54:$Z54,MIN(Z$6-$G$3,22))&lt;&gt;""),Trigo!$E54:INDEX(Trigo!$E54:$Z54,MIN(Z$6-$G$3,22))),0)))))</f>
        <v>0</v>
      </c>
      <c r="AA56" s="27" t="n">
        <f aca="false">IF(COUNT(Trigo!$E54:$Z54)=0,0,MAX(0,IF((AA$6-$E$3)&lt;1,0,IFERROR(LOOKUP(2,1/(Trigo!$E54:INDEX(Trigo!$E54:$Z54,MIN(AA$6-$E$3,22))&lt;&gt;""),Trigo!$E54:INDEX(Trigo!$E54:$Z54,MIN(AA$6-$E$3,22))),0))-IF($G$2,0,IF((AA$6-$G$3)&lt;1,0,IFERROR(LOOKUP(2,1/(Trigo!$E54:INDEX(Trigo!$E54:$Z54,MIN(AA$6-$G$3,22))&lt;&gt;""),Trigo!$E54:INDEX(Trigo!$E54:$Z54,MIN(AA$6-$G$3,22))),0)))))</f>
        <v>0</v>
      </c>
      <c r="AB56" s="27" t="n">
        <f aca="false">IF(COUNT(Trigo!$E54:$Z54)=0,0,MAX(0,IF((AB$6-$E$3)&lt;1,0,IFERROR(LOOKUP(2,1/(Trigo!$E54:INDEX(Trigo!$E54:$Z54,MIN(AB$6-$E$3,22))&lt;&gt;""),Trigo!$E54:INDEX(Trigo!$E54:$Z54,MIN(AB$6-$E$3,22))),0))-IF($G$2,0,IF((AB$6-$G$3)&lt;1,0,IFERROR(LOOKUP(2,1/(Trigo!$E54:INDEX(Trigo!$E54:$Z54,MIN(AB$6-$G$3,22))&lt;&gt;""),Trigo!$E54:INDEX(Trigo!$E54:$Z54,MIN(AB$6-$G$3,22))),0)))))</f>
        <v>0</v>
      </c>
      <c r="AC56" s="27" t="n">
        <f aca="false">IF(COUNT(Trigo!$E54:$Z54)=0,0,MAX(0,IF((AC$6-$E$3)&lt;1,0,IFERROR(LOOKUP(2,1/(Trigo!$E54:INDEX(Trigo!$E54:$Z54,MIN(AC$6-$E$3,22))&lt;&gt;""),Trigo!$E54:INDEX(Trigo!$E54:$Z54,MIN(AC$6-$E$3,22))),0))-IF($G$2,0,IF((AC$6-$G$3)&lt;1,0,IFERROR(LOOKUP(2,1/(Trigo!$E54:INDEX(Trigo!$E54:$Z54,MIN(AC$6-$G$3,22))&lt;&gt;""),Trigo!$E54:INDEX(Trigo!$E54:$Z54,MIN(AC$6-$G$3,22))),0)))))</f>
        <v>0</v>
      </c>
      <c r="AD56" s="27" t="n">
        <f aca="false">IF(COUNT(Trigo!$E54:$Z54)=0,0,MAX(0,IF((AD$6-$E$3)&lt;1,0,IFERROR(LOOKUP(2,1/(Trigo!$E54:INDEX(Trigo!$E54:$Z54,MIN(AD$6-$E$3,22))&lt;&gt;""),Trigo!$E54:INDEX(Trigo!$E54:$Z54,MIN(AD$6-$E$3,22))),0))-IF($G$2,0,IF((AD$6-$G$3)&lt;1,0,IFERROR(LOOKUP(2,1/(Trigo!$E54:INDEX(Trigo!$E54:$Z54,MIN(AD$6-$G$3,22))&lt;&gt;""),Trigo!$E54:INDEX(Trigo!$E54:$Z54,MIN(AD$6-$G$3,22))),0)))))</f>
        <v>0</v>
      </c>
      <c r="AE56" s="27" t="n">
        <f aca="false">IF(COUNT(Trigo!$E54:$Z54)=0,0,MAX(0,IF((AE$6-$E$3)&lt;1,0,IFERROR(LOOKUP(2,1/(Trigo!$E54:INDEX(Trigo!$E54:$Z54,MIN(AE$6-$E$3,22))&lt;&gt;""),Trigo!$E54:INDEX(Trigo!$E54:$Z54,MIN(AE$6-$E$3,22))),0))-IF($G$2,0,IF((AE$6-$G$3)&lt;1,0,IFERROR(LOOKUP(2,1/(Trigo!$E54:INDEX(Trigo!$E54:$Z54,MIN(AE$6-$G$3,22))&lt;&gt;""),Trigo!$E54:INDEX(Trigo!$E54:$Z54,MIN(AE$6-$G$3,22))),0)))))</f>
        <v>0</v>
      </c>
      <c r="AF56" s="27" t="n">
        <f aca="false">IF(COUNT(Trigo!$E54:$Z54)=0,0,MAX(0,IF((AF$6-$E$3)&lt;1,0,IFERROR(LOOKUP(2,1/(Trigo!$E54:INDEX(Trigo!$E54:$Z54,MIN(AF$6-$E$3,22))&lt;&gt;""),Trigo!$E54:INDEX(Trigo!$E54:$Z54,MIN(AF$6-$E$3,22))),0))-IF($G$2,0,IF((AF$6-$G$3)&lt;1,0,IFERROR(LOOKUP(2,1/(Trigo!$E54:INDEX(Trigo!$E54:$Z54,MIN(AF$6-$G$3,22))&lt;&gt;""),Trigo!$E54:INDEX(Trigo!$E54:$Z54,MIN(AF$6-$G$3,22))),0)))))</f>
        <v>0</v>
      </c>
      <c r="AG56" s="27" t="n">
        <f aca="false">IF(COUNT(Trigo!$E54:$Z54)=0,0,MAX(0,IF((AG$6-$E$3)&lt;1,0,IFERROR(LOOKUP(2,1/(Trigo!$E54:INDEX(Trigo!$E54:$Z54,MIN(AG$6-$E$3,22))&lt;&gt;""),Trigo!$E54:INDEX(Trigo!$E54:$Z54,MIN(AG$6-$E$3,22))),0))-IF($G$2,0,IF((AG$6-$G$3)&lt;1,0,IFERROR(LOOKUP(2,1/(Trigo!$E54:INDEX(Trigo!$E54:$Z54,MIN(AG$6-$G$3,22))&lt;&gt;""),Trigo!$E54:INDEX(Trigo!$E54:$Z54,MIN(AG$6-$G$3,22))),0)))))</f>
        <v>0</v>
      </c>
      <c r="AH56" s="27" t="n">
        <f aca="false">IF(COUNT(Trigo!$E54:$Z54)=0,0,MAX(0,IF((AH$6-$E$3)&lt;1,0,IFERROR(LOOKUP(2,1/(Trigo!$E54:INDEX(Trigo!$E54:$Z54,MIN(AH$6-$E$3,22))&lt;&gt;""),Trigo!$E54:INDEX(Trigo!$E54:$Z54,MIN(AH$6-$E$3,22))),0))-IF($G$2,0,IF((AH$6-$G$3)&lt;1,0,IFERROR(LOOKUP(2,1/(Trigo!$E54:INDEX(Trigo!$E54:$Z54,MIN(AH$6-$G$3,22))&lt;&gt;""),Trigo!$E54:INDEX(Trigo!$E54:$Z54,MIN(AH$6-$G$3,22))),0)))))</f>
        <v>0</v>
      </c>
      <c r="AI56" s="27" t="n">
        <f aca="false">IF(COUNT(Trigo!$E54:$Z54)=0,0,MAX(0,IF((AI$6-$E$3)&lt;1,0,IFERROR(LOOKUP(2,1/(Trigo!$E54:INDEX(Trigo!$E54:$Z54,MIN(AI$6-$E$3,22))&lt;&gt;""),Trigo!$E54:INDEX(Trigo!$E54:$Z54,MIN(AI$6-$E$3,22))),0))-IF($G$2,0,IF((AI$6-$G$3)&lt;1,0,IFERROR(LOOKUP(2,1/(Trigo!$E54:INDEX(Trigo!$E54:$Z54,MIN(AI$6-$G$3,22))&lt;&gt;""),Trigo!$E54:INDEX(Trigo!$E54:$Z54,MIN(AI$6-$G$3,22))),0)))))</f>
        <v>0</v>
      </c>
      <c r="AJ56" s="27" t="n">
        <f aca="false">IF(COUNT(Trigo!$E54:$Z54)=0,0,MAX(0,IF((AJ$6-$E$3)&lt;1,0,IFERROR(LOOKUP(2,1/(Trigo!$E54:INDEX(Trigo!$E54:$Z54,MIN(AJ$6-$E$3,22))&lt;&gt;""),Trigo!$E54:INDEX(Trigo!$E54:$Z54,MIN(AJ$6-$E$3,22))),0))-IF($G$2,0,IF((AJ$6-$G$3)&lt;1,0,IFERROR(LOOKUP(2,1/(Trigo!$E54:INDEX(Trigo!$E54:$Z54,MIN(AJ$6-$G$3,22))&lt;&gt;""),Trigo!$E54:INDEX(Trigo!$E54:$Z54,MIN(AJ$6-$G$3,22))),0)))))</f>
        <v>0</v>
      </c>
      <c r="AK56" s="27" t="n">
        <f aca="false">IF(COUNT(Trigo!$E54:$Z54)=0,0,MAX(0,IF((AK$6-$E$3)&lt;1,0,IFERROR(LOOKUP(2,1/(Trigo!$E54:INDEX(Trigo!$E54:$Z54,MIN(AK$6-$E$3,22))&lt;&gt;""),Trigo!$E54:INDEX(Trigo!$E54:$Z54,MIN(AK$6-$E$3,22))),0))-IF($G$2,0,IF((AK$6-$G$3)&lt;1,0,IFERROR(LOOKUP(2,1/(Trigo!$E54:INDEX(Trigo!$E54:$Z54,MIN(AK$6-$G$3,22))&lt;&gt;""),Trigo!$E54:INDEX(Trigo!$E54:$Z54,MIN(AK$6-$G$3,22))),0)))))</f>
        <v>0</v>
      </c>
      <c r="AL56" s="27" t="n">
        <f aca="false">IF(COUNT(Trigo!$E54:$Z54)=0,0,MAX(0,IF((AL$6-$E$3)&lt;1,0,IFERROR(LOOKUP(2,1/(Trigo!$E54:INDEX(Trigo!$E54:$Z54,MIN(AL$6-$E$3,22))&lt;&gt;""),Trigo!$E54:INDEX(Trigo!$E54:$Z54,MIN(AL$6-$E$3,22))),0))-IF($G$2,0,IF((AL$6-$G$3)&lt;1,0,IFERROR(LOOKUP(2,1/(Trigo!$E54:INDEX(Trigo!$E54:$Z54,MIN(AL$6-$G$3,22))&lt;&gt;""),Trigo!$E54:INDEX(Trigo!$E54:$Z54,MIN(AL$6-$G$3,22))),0)))))</f>
        <v>0</v>
      </c>
      <c r="AM56" s="27" t="n">
        <f aca="false">IF(COUNT(Trigo!$E54:$Z54)=0,0,MAX(0,IF((AM$6-$E$3)&lt;1,0,IFERROR(LOOKUP(2,1/(Trigo!$E54:INDEX(Trigo!$E54:$Z54,MIN(AM$6-$E$3,22))&lt;&gt;""),Trigo!$E54:INDEX(Trigo!$E54:$Z54,MIN(AM$6-$E$3,22))),0))-IF($G$2,0,IF((AM$6-$G$3)&lt;1,0,IFERROR(LOOKUP(2,1/(Trigo!$E54:INDEX(Trigo!$E54:$Z54,MIN(AM$6-$G$3,22))&lt;&gt;""),Trigo!$E54:INDEX(Trigo!$E54:$Z54,MIN(AM$6-$G$3,22))),0)))))</f>
        <v>0</v>
      </c>
      <c r="AN56" s="27" t="n">
        <f aca="false">IF(COUNT(Trigo!$E54:$Z54)=0,0,MAX(0,IF((AN$6-$E$3)&lt;1,0,IFERROR(LOOKUP(2,1/(Trigo!$E54:INDEX(Trigo!$E54:$Z54,MIN(AN$6-$E$3,22))&lt;&gt;""),Trigo!$E54:INDEX(Trigo!$E54:$Z54,MIN(AN$6-$E$3,22))),0))-IF($G$2,0,IF((AN$6-$G$3)&lt;1,0,IFERROR(LOOKUP(2,1/(Trigo!$E54:INDEX(Trigo!$E54:$Z54,MIN(AN$6-$G$3,22))&lt;&gt;""),Trigo!$E54:INDEX(Trigo!$E54:$Z54,MIN(AN$6-$G$3,22))),0)))))</f>
        <v>0</v>
      </c>
      <c r="AO56" s="27" t="n">
        <f aca="false">IF(COUNT(Trigo!$E54:$Z54)=0,0,MAX(0,IF((AO$6-$E$3)&lt;1,0,IFERROR(LOOKUP(2,1/(Trigo!$E54:INDEX(Trigo!$E54:$Z54,MIN(AO$6-$E$3,22))&lt;&gt;""),Trigo!$E54:INDEX(Trigo!$E54:$Z54,MIN(AO$6-$E$3,22))),0))-IF($G$2,0,IF((AO$6-$G$3)&lt;1,0,IFERROR(LOOKUP(2,1/(Trigo!$E54:INDEX(Trigo!$E54:$Z54,MIN(AO$6-$G$3,22))&lt;&gt;""),Trigo!$E54:INDEX(Trigo!$E54:$Z54,MIN(AO$6-$G$3,22))),0)))))</f>
        <v>0</v>
      </c>
      <c r="AP56" s="27" t="n">
        <f aca="false">IF(COUNT(Trigo!$E54:$Z54)=0,0,MAX(0,IF((AP$6-$E$3)&lt;1,0,IFERROR(LOOKUP(2,1/(Trigo!$E54:INDEX(Trigo!$E54:$Z54,MIN(AP$6-$E$3,22))&lt;&gt;""),Trigo!$E54:INDEX(Trigo!$E54:$Z54,MIN(AP$6-$E$3,22))),0))-IF($G$2,0,IF((AP$6-$G$3)&lt;1,0,IFERROR(LOOKUP(2,1/(Trigo!$E54:INDEX(Trigo!$E54:$Z54,MIN(AP$6-$G$3,22))&lt;&gt;""),Trigo!$E54:INDEX(Trigo!$E54:$Z54,MIN(AP$6-$G$3,22))),0)))))</f>
        <v>0</v>
      </c>
      <c r="AQ56" s="27" t="n">
        <f aca="false">IF(COUNT(Trigo!$E54:$Z54)=0,0,MAX(0,IF((AQ$6-$E$3)&lt;1,0,IFERROR(LOOKUP(2,1/(Trigo!$E54:INDEX(Trigo!$E54:$Z54,MIN(AQ$6-$E$3,22))&lt;&gt;""),Trigo!$E54:INDEX(Trigo!$E54:$Z54,MIN(AQ$6-$E$3,22))),0))-IF($G$2,0,IF((AQ$6-$G$3)&lt;1,0,IFERROR(LOOKUP(2,1/(Trigo!$E54:INDEX(Trigo!$E54:$Z54,MIN(AQ$6-$G$3,22))&lt;&gt;""),Trigo!$E54:INDEX(Trigo!$E54:$Z54,MIN(AQ$6-$G$3,22))),0)))))</f>
        <v>0</v>
      </c>
      <c r="AR56" s="27" t="n">
        <f aca="false">IF(COUNT(Trigo!$E54:$Z54)=0,0,MAX(0,IF((AR$6-$E$3)&lt;1,0,IFERROR(LOOKUP(2,1/(Trigo!$E54:INDEX(Trigo!$E54:$Z54,MIN(AR$6-$E$3,22))&lt;&gt;""),Trigo!$E54:INDEX(Trigo!$E54:$Z54,MIN(AR$6-$E$3,22))),0))-IF($G$2,0,IF((AR$6-$G$3)&lt;1,0,IFERROR(LOOKUP(2,1/(Trigo!$E54:INDEX(Trigo!$E54:$Z54,MIN(AR$6-$G$3,22))&lt;&gt;""),Trigo!$E54:INDEX(Trigo!$E54:$Z54,MIN(AR$6-$G$3,22))),0)))))</f>
        <v>0</v>
      </c>
      <c r="AS56" s="27" t="n">
        <f aca="false">IF(COUNT(Trigo!$E54:$Z54)=0,0,MAX(0,IF((AS$6-$E$3)&lt;1,0,IFERROR(LOOKUP(2,1/(Trigo!$E54:INDEX(Trigo!$E54:$Z54,MIN(AS$6-$E$3,22))&lt;&gt;""),Trigo!$E54:INDEX(Trigo!$E54:$Z54,MIN(AS$6-$E$3,22))),0))-IF($G$2,0,IF((AS$6-$G$3)&lt;1,0,IFERROR(LOOKUP(2,1/(Trigo!$E54:INDEX(Trigo!$E54:$Z54,MIN(AS$6-$G$3,22))&lt;&gt;""),Trigo!$E54:INDEX(Trigo!$E54:$Z54,MIN(AS$6-$G$3,22))),0)))))</f>
        <v>0</v>
      </c>
      <c r="AT56" s="27" t="n">
        <f aca="false">IF(COUNT(Trigo!$E54:$Z54)=0,0,MAX(0,IF((AT$6-$E$3)&lt;1,0,IFERROR(LOOKUP(2,1/(Trigo!$E54:INDEX(Trigo!$E54:$Z54,MIN(AT$6-$E$3,22))&lt;&gt;""),Trigo!$E54:INDEX(Trigo!$E54:$Z54,MIN(AT$6-$E$3,22))),0))-IF($G$2,0,IF((AT$6-$G$3)&lt;1,0,IFERROR(LOOKUP(2,1/(Trigo!$E54:INDEX(Trigo!$E54:$Z54,MIN(AT$6-$G$3,22))&lt;&gt;""),Trigo!$E54:INDEX(Trigo!$E54:$Z54,MIN(AT$6-$G$3,22))),0)))))</f>
        <v>0</v>
      </c>
      <c r="AU56" s="27" t="n">
        <f aca="false">IF(COUNT(Trigo!$E54:$Z54)=0,0,MAX(0,IF((AU$6-$E$3)&lt;1,0,IFERROR(LOOKUP(2,1/(Trigo!$E54:INDEX(Trigo!$E54:$Z54,MIN(AU$6-$E$3,22))&lt;&gt;""),Trigo!$E54:INDEX(Trigo!$E54:$Z54,MIN(AU$6-$E$3,22))),0))-IF($G$2,0,IF((AU$6-$G$3)&lt;1,0,IFERROR(LOOKUP(2,1/(Trigo!$E54:INDEX(Trigo!$E54:$Z54,MIN(AU$6-$G$3,22))&lt;&gt;""),Trigo!$E54:INDEX(Trigo!$E54:$Z54,MIN(AU$6-$G$3,22))),0)))))</f>
        <v>0</v>
      </c>
      <c r="AV56" s="27" t="n">
        <f aca="false">IF(COUNT(Trigo!$E54:$Z54)=0,0,MAX(0,IF((AV$6-$E$3)&lt;1,0,IFERROR(LOOKUP(2,1/(Trigo!$E54:INDEX(Trigo!$E54:$Z54,MIN(AV$6-$E$3,22))&lt;&gt;""),Trigo!$E54:INDEX(Trigo!$E54:$Z54,MIN(AV$6-$E$3,22))),0))-IF($G$2,0,IF((AV$6-$G$3)&lt;1,0,IFERROR(LOOKUP(2,1/(Trigo!$E54:INDEX(Trigo!$E54:$Z54,MIN(AV$6-$G$3,22))&lt;&gt;""),Trigo!$E54:INDEX(Trigo!$E54:$Z54,MIN(AV$6-$G$3,22))),0)))))</f>
        <v>0</v>
      </c>
      <c r="AW56" s="27" t="n">
        <f aca="false">IF(COUNT(Trigo!$E54:$Z54)=0,0,MAX(0,IF((AW$6-$E$3)&lt;1,0,IFERROR(LOOKUP(2,1/(Trigo!$E54:INDEX(Trigo!$E54:$Z54,MIN(AW$6-$E$3,22))&lt;&gt;""),Trigo!$E54:INDEX(Trigo!$E54:$Z54,MIN(AW$6-$E$3,22))),0))-IF($G$2,0,IF((AW$6-$G$3)&lt;1,0,IFERROR(LOOKUP(2,1/(Trigo!$E54:INDEX(Trigo!$E54:$Z54,MIN(AW$6-$G$3,22))&lt;&gt;""),Trigo!$E54:INDEX(Trigo!$E54:$Z54,MIN(AW$6-$G$3,22))),0)))))</f>
        <v>0</v>
      </c>
      <c r="AX56" s="27" t="n">
        <f aca="false">IF(COUNT(Trigo!$E54:$Z54)=0,0,MAX(0,IF((AX$6-$E$3)&lt;1,0,IFERROR(LOOKUP(2,1/(Trigo!$E54:INDEX(Trigo!$E54:$Z54,MIN(AX$6-$E$3,22))&lt;&gt;""),Trigo!$E54:INDEX(Trigo!$E54:$Z54,MIN(AX$6-$E$3,22))),0))-IF($G$2,0,IF((AX$6-$G$3)&lt;1,0,IFERROR(LOOKUP(2,1/(Trigo!$E54:INDEX(Trigo!$E54:$Z54,MIN(AX$6-$G$3,22))&lt;&gt;""),Trigo!$E54:INDEX(Trigo!$E54:$Z54,MIN(AX$6-$G$3,22))),0)))))</f>
        <v>0</v>
      </c>
      <c r="AY56" s="27" t="n">
        <f aca="false">IF(COUNT(Trigo!$E54:$Z54)=0,0,MAX(0,IF((AY$6-$E$3)&lt;1,0,IFERROR(LOOKUP(2,1/(Trigo!$E54:INDEX(Trigo!$E54:$Z54,MIN(AY$6-$E$3,22))&lt;&gt;""),Trigo!$E54:INDEX(Trigo!$E54:$Z54,MIN(AY$6-$E$3,22))),0))-IF($G$2,0,IF((AY$6-$G$3)&lt;1,0,IFERROR(LOOKUP(2,1/(Trigo!$E54:INDEX(Trigo!$E54:$Z54,MIN(AY$6-$G$3,22))&lt;&gt;""),Trigo!$E54:INDEX(Trigo!$E54:$Z54,MIN(AY$6-$G$3,22))),0)))))</f>
        <v>0</v>
      </c>
      <c r="AZ56" s="27" t="n">
        <f aca="false">IF(COUNT(Trigo!$E54:$Z54)=0,0,MAX(0,IF((AZ$6-$E$3)&lt;1,0,IFERROR(LOOKUP(2,1/(Trigo!$E54:INDEX(Trigo!$E54:$Z54,MIN(AZ$6-$E$3,22))&lt;&gt;""),Trigo!$E54:INDEX(Trigo!$E54:$Z54,MIN(AZ$6-$E$3,22))),0))-IF($G$2,0,IF((AZ$6-$G$3)&lt;1,0,IFERROR(LOOKUP(2,1/(Trigo!$E54:INDEX(Trigo!$E54:$Z54,MIN(AZ$6-$G$3,22))&lt;&gt;""),Trigo!$E54:INDEX(Trigo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IF(COUNT(Trigo!$E55:$Z55)&gt;0,N(Trigo!$D55),0)</f>
        <v>0</v>
      </c>
      <c r="E57" s="27" t="n">
        <f aca="false">IF(COUNT(Trigo!$E55:$Z55)=0,0,MAX(0,IF((E$6-$E$3)&lt;1,0,IFERROR(LOOKUP(2,1/(Trigo!$E55:INDEX(Trigo!$E55:$Z55,MIN(E$6-$E$3,22))&lt;&gt;""),Trigo!$E55:INDEX(Trigo!$E55:$Z55,MIN(E$6-$E$3,22))),0))-IF($G$2,0,IF((E$6-$G$3)&lt;1,0,IFERROR(LOOKUP(2,1/(Trigo!$E55:INDEX(Trigo!$E55:$Z55,MIN(E$6-$G$3,22))&lt;&gt;""),Trigo!$E55:INDEX(Trigo!$E55:$Z55,MIN(E$6-$G$3,22))),0)))))</f>
        <v>0</v>
      </c>
      <c r="F57" s="27" t="n">
        <f aca="false">IF(COUNT(Trigo!$E55:$Z55)=0,0,MAX(0,IF((F$6-$E$3)&lt;1,0,IFERROR(LOOKUP(2,1/(Trigo!$E55:INDEX(Trigo!$E55:$Z55,MIN(F$6-$E$3,22))&lt;&gt;""),Trigo!$E55:INDEX(Trigo!$E55:$Z55,MIN(F$6-$E$3,22))),0))-IF($G$2,0,IF((F$6-$G$3)&lt;1,0,IFERROR(LOOKUP(2,1/(Trigo!$E55:INDEX(Trigo!$E55:$Z55,MIN(F$6-$G$3,22))&lt;&gt;""),Trigo!$E55:INDEX(Trigo!$E55:$Z55,MIN(F$6-$G$3,22))),0)))))</f>
        <v>0</v>
      </c>
      <c r="G57" s="27" t="n">
        <f aca="false">IF(COUNT(Trigo!$E55:$Z55)=0,0,MAX(0,IF((G$6-$E$3)&lt;1,0,IFERROR(LOOKUP(2,1/(Trigo!$E55:INDEX(Trigo!$E55:$Z55,MIN(G$6-$E$3,22))&lt;&gt;""),Trigo!$E55:INDEX(Trigo!$E55:$Z55,MIN(G$6-$E$3,22))),0))-IF($G$2,0,IF((G$6-$G$3)&lt;1,0,IFERROR(LOOKUP(2,1/(Trigo!$E55:INDEX(Trigo!$E55:$Z55,MIN(G$6-$G$3,22))&lt;&gt;""),Trigo!$E55:INDEX(Trigo!$E55:$Z55,MIN(G$6-$G$3,22))),0)))))</f>
        <v>0</v>
      </c>
      <c r="H57" s="27" t="n">
        <f aca="false">IF(COUNT(Trigo!$E55:$Z55)=0,0,MAX(0,IF((H$6-$E$3)&lt;1,0,IFERROR(LOOKUP(2,1/(Trigo!$E55:INDEX(Trigo!$E55:$Z55,MIN(H$6-$E$3,22))&lt;&gt;""),Trigo!$E55:INDEX(Trigo!$E55:$Z55,MIN(H$6-$E$3,22))),0))-IF($G$2,0,IF((H$6-$G$3)&lt;1,0,IFERROR(LOOKUP(2,1/(Trigo!$E55:INDEX(Trigo!$E55:$Z55,MIN(H$6-$G$3,22))&lt;&gt;""),Trigo!$E55:INDEX(Trigo!$E55:$Z55,MIN(H$6-$G$3,22))),0)))))</f>
        <v>0</v>
      </c>
      <c r="I57" s="27" t="n">
        <f aca="false">IF(COUNT(Trigo!$E55:$Z55)=0,0,MAX(0,IF((I$6-$E$3)&lt;1,0,IFERROR(LOOKUP(2,1/(Trigo!$E55:INDEX(Trigo!$E55:$Z55,MIN(I$6-$E$3,22))&lt;&gt;""),Trigo!$E55:INDEX(Trigo!$E55:$Z55,MIN(I$6-$E$3,22))),0))-IF($G$2,0,IF((I$6-$G$3)&lt;1,0,IFERROR(LOOKUP(2,1/(Trigo!$E55:INDEX(Trigo!$E55:$Z55,MIN(I$6-$G$3,22))&lt;&gt;""),Trigo!$E55:INDEX(Trigo!$E55:$Z55,MIN(I$6-$G$3,22))),0)))))</f>
        <v>0</v>
      </c>
      <c r="J57" s="27" t="n">
        <f aca="false">IF(COUNT(Trigo!$E55:$Z55)=0,0,MAX(0,IF((J$6-$E$3)&lt;1,0,IFERROR(LOOKUP(2,1/(Trigo!$E55:INDEX(Trigo!$E55:$Z55,MIN(J$6-$E$3,22))&lt;&gt;""),Trigo!$E55:INDEX(Trigo!$E55:$Z55,MIN(J$6-$E$3,22))),0))-IF($G$2,0,IF((J$6-$G$3)&lt;1,0,IFERROR(LOOKUP(2,1/(Trigo!$E55:INDEX(Trigo!$E55:$Z55,MIN(J$6-$G$3,22))&lt;&gt;""),Trigo!$E55:INDEX(Trigo!$E55:$Z55,MIN(J$6-$G$3,22))),0)))))</f>
        <v>0</v>
      </c>
      <c r="K57" s="27" t="n">
        <f aca="false">IF(COUNT(Trigo!$E55:$Z55)=0,0,MAX(0,IF((K$6-$E$3)&lt;1,0,IFERROR(LOOKUP(2,1/(Trigo!$E55:INDEX(Trigo!$E55:$Z55,MIN(K$6-$E$3,22))&lt;&gt;""),Trigo!$E55:INDEX(Trigo!$E55:$Z55,MIN(K$6-$E$3,22))),0))-IF($G$2,0,IF((K$6-$G$3)&lt;1,0,IFERROR(LOOKUP(2,1/(Trigo!$E55:INDEX(Trigo!$E55:$Z55,MIN(K$6-$G$3,22))&lt;&gt;""),Trigo!$E55:INDEX(Trigo!$E55:$Z55,MIN(K$6-$G$3,22))),0)))))</f>
        <v>0</v>
      </c>
      <c r="L57" s="27" t="n">
        <f aca="false">IF(COUNT(Trigo!$E55:$Z55)=0,0,MAX(0,IF((L$6-$E$3)&lt;1,0,IFERROR(LOOKUP(2,1/(Trigo!$E55:INDEX(Trigo!$E55:$Z55,MIN(L$6-$E$3,22))&lt;&gt;""),Trigo!$E55:INDEX(Trigo!$E55:$Z55,MIN(L$6-$E$3,22))),0))-IF($G$2,0,IF((L$6-$G$3)&lt;1,0,IFERROR(LOOKUP(2,1/(Trigo!$E55:INDEX(Trigo!$E55:$Z55,MIN(L$6-$G$3,22))&lt;&gt;""),Trigo!$E55:INDEX(Trigo!$E55:$Z55,MIN(L$6-$G$3,22))),0)))))</f>
        <v>0</v>
      </c>
      <c r="M57" s="27" t="n">
        <f aca="false">IF(COUNT(Trigo!$E55:$Z55)=0,0,MAX(0,IF((M$6-$E$3)&lt;1,0,IFERROR(LOOKUP(2,1/(Trigo!$E55:INDEX(Trigo!$E55:$Z55,MIN(M$6-$E$3,22))&lt;&gt;""),Trigo!$E55:INDEX(Trigo!$E55:$Z55,MIN(M$6-$E$3,22))),0))-IF($G$2,0,IF((M$6-$G$3)&lt;1,0,IFERROR(LOOKUP(2,1/(Trigo!$E55:INDEX(Trigo!$E55:$Z55,MIN(M$6-$G$3,22))&lt;&gt;""),Trigo!$E55:INDEX(Trigo!$E55:$Z55,MIN(M$6-$G$3,22))),0)))))</f>
        <v>0</v>
      </c>
      <c r="N57" s="27" t="n">
        <f aca="false">IF(COUNT(Trigo!$E55:$Z55)=0,0,MAX(0,IF((N$6-$E$3)&lt;1,0,IFERROR(LOOKUP(2,1/(Trigo!$E55:INDEX(Trigo!$E55:$Z55,MIN(N$6-$E$3,22))&lt;&gt;""),Trigo!$E55:INDEX(Trigo!$E55:$Z55,MIN(N$6-$E$3,22))),0))-IF($G$2,0,IF((N$6-$G$3)&lt;1,0,IFERROR(LOOKUP(2,1/(Trigo!$E55:INDEX(Trigo!$E55:$Z55,MIN(N$6-$G$3,22))&lt;&gt;""),Trigo!$E55:INDEX(Trigo!$E55:$Z55,MIN(N$6-$G$3,22))),0)))))</f>
        <v>0</v>
      </c>
      <c r="O57" s="27" t="n">
        <f aca="false">IF(COUNT(Trigo!$E55:$Z55)=0,0,MAX(0,IF((O$6-$E$3)&lt;1,0,IFERROR(LOOKUP(2,1/(Trigo!$E55:INDEX(Trigo!$E55:$Z55,MIN(O$6-$E$3,22))&lt;&gt;""),Trigo!$E55:INDEX(Trigo!$E55:$Z55,MIN(O$6-$E$3,22))),0))-IF($G$2,0,IF((O$6-$G$3)&lt;1,0,IFERROR(LOOKUP(2,1/(Trigo!$E55:INDEX(Trigo!$E55:$Z55,MIN(O$6-$G$3,22))&lt;&gt;""),Trigo!$E55:INDEX(Trigo!$E55:$Z55,MIN(O$6-$G$3,22))),0)))))</f>
        <v>0</v>
      </c>
      <c r="P57" s="27" t="n">
        <f aca="false">IF(COUNT(Trigo!$E55:$Z55)=0,0,MAX(0,IF((P$6-$E$3)&lt;1,0,IFERROR(LOOKUP(2,1/(Trigo!$E55:INDEX(Trigo!$E55:$Z55,MIN(P$6-$E$3,22))&lt;&gt;""),Trigo!$E55:INDEX(Trigo!$E55:$Z55,MIN(P$6-$E$3,22))),0))-IF($G$2,0,IF((P$6-$G$3)&lt;1,0,IFERROR(LOOKUP(2,1/(Trigo!$E55:INDEX(Trigo!$E55:$Z55,MIN(P$6-$G$3,22))&lt;&gt;""),Trigo!$E55:INDEX(Trigo!$E55:$Z55,MIN(P$6-$G$3,22))),0)))))</f>
        <v>0</v>
      </c>
      <c r="Q57" s="27" t="n">
        <f aca="false">IF(COUNT(Trigo!$E55:$Z55)=0,0,MAX(0,IF((Q$6-$E$3)&lt;1,0,IFERROR(LOOKUP(2,1/(Trigo!$E55:INDEX(Trigo!$E55:$Z55,MIN(Q$6-$E$3,22))&lt;&gt;""),Trigo!$E55:INDEX(Trigo!$E55:$Z55,MIN(Q$6-$E$3,22))),0))-IF($G$2,0,IF((Q$6-$G$3)&lt;1,0,IFERROR(LOOKUP(2,1/(Trigo!$E55:INDEX(Trigo!$E55:$Z55,MIN(Q$6-$G$3,22))&lt;&gt;""),Trigo!$E55:INDEX(Trigo!$E55:$Z55,MIN(Q$6-$G$3,22))),0)))))</f>
        <v>0</v>
      </c>
      <c r="R57" s="27" t="n">
        <f aca="false">IF(COUNT(Trigo!$E55:$Z55)=0,0,MAX(0,IF((R$6-$E$3)&lt;1,0,IFERROR(LOOKUP(2,1/(Trigo!$E55:INDEX(Trigo!$E55:$Z55,MIN(R$6-$E$3,22))&lt;&gt;""),Trigo!$E55:INDEX(Trigo!$E55:$Z55,MIN(R$6-$E$3,22))),0))-IF($G$2,0,IF((R$6-$G$3)&lt;1,0,IFERROR(LOOKUP(2,1/(Trigo!$E55:INDEX(Trigo!$E55:$Z55,MIN(R$6-$G$3,22))&lt;&gt;""),Trigo!$E55:INDEX(Trigo!$E55:$Z55,MIN(R$6-$G$3,22))),0)))))</f>
        <v>0</v>
      </c>
      <c r="S57" s="27" t="n">
        <f aca="false">IF(COUNT(Trigo!$E55:$Z55)=0,0,MAX(0,IF((S$6-$E$3)&lt;1,0,IFERROR(LOOKUP(2,1/(Trigo!$E55:INDEX(Trigo!$E55:$Z55,MIN(S$6-$E$3,22))&lt;&gt;""),Trigo!$E55:INDEX(Trigo!$E55:$Z55,MIN(S$6-$E$3,22))),0))-IF($G$2,0,IF((S$6-$G$3)&lt;1,0,IFERROR(LOOKUP(2,1/(Trigo!$E55:INDEX(Trigo!$E55:$Z55,MIN(S$6-$G$3,22))&lt;&gt;""),Trigo!$E55:INDEX(Trigo!$E55:$Z55,MIN(S$6-$G$3,22))),0)))))</f>
        <v>0</v>
      </c>
      <c r="T57" s="27" t="n">
        <f aca="false">IF(COUNT(Trigo!$E55:$Z55)=0,0,MAX(0,IF((T$6-$E$3)&lt;1,0,IFERROR(LOOKUP(2,1/(Trigo!$E55:INDEX(Trigo!$E55:$Z55,MIN(T$6-$E$3,22))&lt;&gt;""),Trigo!$E55:INDEX(Trigo!$E55:$Z55,MIN(T$6-$E$3,22))),0))-IF($G$2,0,IF((T$6-$G$3)&lt;1,0,IFERROR(LOOKUP(2,1/(Trigo!$E55:INDEX(Trigo!$E55:$Z55,MIN(T$6-$G$3,22))&lt;&gt;""),Trigo!$E55:INDEX(Trigo!$E55:$Z55,MIN(T$6-$G$3,22))),0)))))</f>
        <v>0</v>
      </c>
      <c r="U57" s="27" t="n">
        <f aca="false">IF(COUNT(Trigo!$E55:$Z55)=0,0,MAX(0,IF((U$6-$E$3)&lt;1,0,IFERROR(LOOKUP(2,1/(Trigo!$E55:INDEX(Trigo!$E55:$Z55,MIN(U$6-$E$3,22))&lt;&gt;""),Trigo!$E55:INDEX(Trigo!$E55:$Z55,MIN(U$6-$E$3,22))),0))-IF($G$2,0,IF((U$6-$G$3)&lt;1,0,IFERROR(LOOKUP(2,1/(Trigo!$E55:INDEX(Trigo!$E55:$Z55,MIN(U$6-$G$3,22))&lt;&gt;""),Trigo!$E55:INDEX(Trigo!$E55:$Z55,MIN(U$6-$G$3,22))),0)))))</f>
        <v>0</v>
      </c>
      <c r="V57" s="27" t="n">
        <f aca="false">IF(COUNT(Trigo!$E55:$Z55)=0,0,MAX(0,IF((V$6-$E$3)&lt;1,0,IFERROR(LOOKUP(2,1/(Trigo!$E55:INDEX(Trigo!$E55:$Z55,MIN(V$6-$E$3,22))&lt;&gt;""),Trigo!$E55:INDEX(Trigo!$E55:$Z55,MIN(V$6-$E$3,22))),0))-IF($G$2,0,IF((V$6-$G$3)&lt;1,0,IFERROR(LOOKUP(2,1/(Trigo!$E55:INDEX(Trigo!$E55:$Z55,MIN(V$6-$G$3,22))&lt;&gt;""),Trigo!$E55:INDEX(Trigo!$E55:$Z55,MIN(V$6-$G$3,22))),0)))))</f>
        <v>0</v>
      </c>
      <c r="W57" s="27" t="n">
        <f aca="false">IF(COUNT(Trigo!$E55:$Z55)=0,0,MAX(0,IF((W$6-$E$3)&lt;1,0,IFERROR(LOOKUP(2,1/(Trigo!$E55:INDEX(Trigo!$E55:$Z55,MIN(W$6-$E$3,22))&lt;&gt;""),Trigo!$E55:INDEX(Trigo!$E55:$Z55,MIN(W$6-$E$3,22))),0))-IF($G$2,0,IF((W$6-$G$3)&lt;1,0,IFERROR(LOOKUP(2,1/(Trigo!$E55:INDEX(Trigo!$E55:$Z55,MIN(W$6-$G$3,22))&lt;&gt;""),Trigo!$E55:INDEX(Trigo!$E55:$Z55,MIN(W$6-$G$3,22))),0)))))</f>
        <v>0</v>
      </c>
      <c r="X57" s="27" t="n">
        <f aca="false">IF(COUNT(Trigo!$E55:$Z55)=0,0,MAX(0,IF((X$6-$E$3)&lt;1,0,IFERROR(LOOKUP(2,1/(Trigo!$E55:INDEX(Trigo!$E55:$Z55,MIN(X$6-$E$3,22))&lt;&gt;""),Trigo!$E55:INDEX(Trigo!$E55:$Z55,MIN(X$6-$E$3,22))),0))-IF($G$2,0,IF((X$6-$G$3)&lt;1,0,IFERROR(LOOKUP(2,1/(Trigo!$E55:INDEX(Trigo!$E55:$Z55,MIN(X$6-$G$3,22))&lt;&gt;""),Trigo!$E55:INDEX(Trigo!$E55:$Z55,MIN(X$6-$G$3,22))),0)))))</f>
        <v>0</v>
      </c>
      <c r="Y57" s="27" t="n">
        <f aca="false">IF(COUNT(Trigo!$E55:$Z55)=0,0,MAX(0,IF((Y$6-$E$3)&lt;1,0,IFERROR(LOOKUP(2,1/(Trigo!$E55:INDEX(Trigo!$E55:$Z55,MIN(Y$6-$E$3,22))&lt;&gt;""),Trigo!$E55:INDEX(Trigo!$E55:$Z55,MIN(Y$6-$E$3,22))),0))-IF($G$2,0,IF((Y$6-$G$3)&lt;1,0,IFERROR(LOOKUP(2,1/(Trigo!$E55:INDEX(Trigo!$E55:$Z55,MIN(Y$6-$G$3,22))&lt;&gt;""),Trigo!$E55:INDEX(Trigo!$E55:$Z55,MIN(Y$6-$G$3,22))),0)))))</f>
        <v>0</v>
      </c>
      <c r="Z57" s="27" t="n">
        <f aca="false">IF(COUNT(Trigo!$E55:$Z55)=0,0,MAX(0,IF((Z$6-$E$3)&lt;1,0,IFERROR(LOOKUP(2,1/(Trigo!$E55:INDEX(Trigo!$E55:$Z55,MIN(Z$6-$E$3,22))&lt;&gt;""),Trigo!$E55:INDEX(Trigo!$E55:$Z55,MIN(Z$6-$E$3,22))),0))-IF($G$2,0,IF((Z$6-$G$3)&lt;1,0,IFERROR(LOOKUP(2,1/(Trigo!$E55:INDEX(Trigo!$E55:$Z55,MIN(Z$6-$G$3,22))&lt;&gt;""),Trigo!$E55:INDEX(Trigo!$E55:$Z55,MIN(Z$6-$G$3,22))),0)))))</f>
        <v>0</v>
      </c>
      <c r="AA57" s="27" t="n">
        <f aca="false">IF(COUNT(Trigo!$E55:$Z55)=0,0,MAX(0,IF((AA$6-$E$3)&lt;1,0,IFERROR(LOOKUP(2,1/(Trigo!$E55:INDEX(Trigo!$E55:$Z55,MIN(AA$6-$E$3,22))&lt;&gt;""),Trigo!$E55:INDEX(Trigo!$E55:$Z55,MIN(AA$6-$E$3,22))),0))-IF($G$2,0,IF((AA$6-$G$3)&lt;1,0,IFERROR(LOOKUP(2,1/(Trigo!$E55:INDEX(Trigo!$E55:$Z55,MIN(AA$6-$G$3,22))&lt;&gt;""),Trigo!$E55:INDEX(Trigo!$E55:$Z55,MIN(AA$6-$G$3,22))),0)))))</f>
        <v>0</v>
      </c>
      <c r="AB57" s="27" t="n">
        <f aca="false">IF(COUNT(Trigo!$E55:$Z55)=0,0,MAX(0,IF((AB$6-$E$3)&lt;1,0,IFERROR(LOOKUP(2,1/(Trigo!$E55:INDEX(Trigo!$E55:$Z55,MIN(AB$6-$E$3,22))&lt;&gt;""),Trigo!$E55:INDEX(Trigo!$E55:$Z55,MIN(AB$6-$E$3,22))),0))-IF($G$2,0,IF((AB$6-$G$3)&lt;1,0,IFERROR(LOOKUP(2,1/(Trigo!$E55:INDEX(Trigo!$E55:$Z55,MIN(AB$6-$G$3,22))&lt;&gt;""),Trigo!$E55:INDEX(Trigo!$E55:$Z55,MIN(AB$6-$G$3,22))),0)))))</f>
        <v>0</v>
      </c>
      <c r="AC57" s="27" t="n">
        <f aca="false">IF(COUNT(Trigo!$E55:$Z55)=0,0,MAX(0,IF((AC$6-$E$3)&lt;1,0,IFERROR(LOOKUP(2,1/(Trigo!$E55:INDEX(Trigo!$E55:$Z55,MIN(AC$6-$E$3,22))&lt;&gt;""),Trigo!$E55:INDEX(Trigo!$E55:$Z55,MIN(AC$6-$E$3,22))),0))-IF($G$2,0,IF((AC$6-$G$3)&lt;1,0,IFERROR(LOOKUP(2,1/(Trigo!$E55:INDEX(Trigo!$E55:$Z55,MIN(AC$6-$G$3,22))&lt;&gt;""),Trigo!$E55:INDEX(Trigo!$E55:$Z55,MIN(AC$6-$G$3,22))),0)))))</f>
        <v>0</v>
      </c>
      <c r="AD57" s="27" t="n">
        <f aca="false">IF(COUNT(Trigo!$E55:$Z55)=0,0,MAX(0,IF((AD$6-$E$3)&lt;1,0,IFERROR(LOOKUP(2,1/(Trigo!$E55:INDEX(Trigo!$E55:$Z55,MIN(AD$6-$E$3,22))&lt;&gt;""),Trigo!$E55:INDEX(Trigo!$E55:$Z55,MIN(AD$6-$E$3,22))),0))-IF($G$2,0,IF((AD$6-$G$3)&lt;1,0,IFERROR(LOOKUP(2,1/(Trigo!$E55:INDEX(Trigo!$E55:$Z55,MIN(AD$6-$G$3,22))&lt;&gt;""),Trigo!$E55:INDEX(Trigo!$E55:$Z55,MIN(AD$6-$G$3,22))),0)))))</f>
        <v>0</v>
      </c>
      <c r="AE57" s="27" t="n">
        <f aca="false">IF(COUNT(Trigo!$E55:$Z55)=0,0,MAX(0,IF((AE$6-$E$3)&lt;1,0,IFERROR(LOOKUP(2,1/(Trigo!$E55:INDEX(Trigo!$E55:$Z55,MIN(AE$6-$E$3,22))&lt;&gt;""),Trigo!$E55:INDEX(Trigo!$E55:$Z55,MIN(AE$6-$E$3,22))),0))-IF($G$2,0,IF((AE$6-$G$3)&lt;1,0,IFERROR(LOOKUP(2,1/(Trigo!$E55:INDEX(Trigo!$E55:$Z55,MIN(AE$6-$G$3,22))&lt;&gt;""),Trigo!$E55:INDEX(Trigo!$E55:$Z55,MIN(AE$6-$G$3,22))),0)))))</f>
        <v>0</v>
      </c>
      <c r="AF57" s="27" t="n">
        <f aca="false">IF(COUNT(Trigo!$E55:$Z55)=0,0,MAX(0,IF((AF$6-$E$3)&lt;1,0,IFERROR(LOOKUP(2,1/(Trigo!$E55:INDEX(Trigo!$E55:$Z55,MIN(AF$6-$E$3,22))&lt;&gt;""),Trigo!$E55:INDEX(Trigo!$E55:$Z55,MIN(AF$6-$E$3,22))),0))-IF($G$2,0,IF((AF$6-$G$3)&lt;1,0,IFERROR(LOOKUP(2,1/(Trigo!$E55:INDEX(Trigo!$E55:$Z55,MIN(AF$6-$G$3,22))&lt;&gt;""),Trigo!$E55:INDEX(Trigo!$E55:$Z55,MIN(AF$6-$G$3,22))),0)))))</f>
        <v>0</v>
      </c>
      <c r="AG57" s="27" t="n">
        <f aca="false">IF(COUNT(Trigo!$E55:$Z55)=0,0,MAX(0,IF((AG$6-$E$3)&lt;1,0,IFERROR(LOOKUP(2,1/(Trigo!$E55:INDEX(Trigo!$E55:$Z55,MIN(AG$6-$E$3,22))&lt;&gt;""),Trigo!$E55:INDEX(Trigo!$E55:$Z55,MIN(AG$6-$E$3,22))),0))-IF($G$2,0,IF((AG$6-$G$3)&lt;1,0,IFERROR(LOOKUP(2,1/(Trigo!$E55:INDEX(Trigo!$E55:$Z55,MIN(AG$6-$G$3,22))&lt;&gt;""),Trigo!$E55:INDEX(Trigo!$E55:$Z55,MIN(AG$6-$G$3,22))),0)))))</f>
        <v>0</v>
      </c>
      <c r="AH57" s="27" t="n">
        <f aca="false">IF(COUNT(Trigo!$E55:$Z55)=0,0,MAX(0,IF((AH$6-$E$3)&lt;1,0,IFERROR(LOOKUP(2,1/(Trigo!$E55:INDEX(Trigo!$E55:$Z55,MIN(AH$6-$E$3,22))&lt;&gt;""),Trigo!$E55:INDEX(Trigo!$E55:$Z55,MIN(AH$6-$E$3,22))),0))-IF($G$2,0,IF((AH$6-$G$3)&lt;1,0,IFERROR(LOOKUP(2,1/(Trigo!$E55:INDEX(Trigo!$E55:$Z55,MIN(AH$6-$G$3,22))&lt;&gt;""),Trigo!$E55:INDEX(Trigo!$E55:$Z55,MIN(AH$6-$G$3,22))),0)))))</f>
        <v>0</v>
      </c>
      <c r="AI57" s="27" t="n">
        <f aca="false">IF(COUNT(Trigo!$E55:$Z55)=0,0,MAX(0,IF((AI$6-$E$3)&lt;1,0,IFERROR(LOOKUP(2,1/(Trigo!$E55:INDEX(Trigo!$E55:$Z55,MIN(AI$6-$E$3,22))&lt;&gt;""),Trigo!$E55:INDEX(Trigo!$E55:$Z55,MIN(AI$6-$E$3,22))),0))-IF($G$2,0,IF((AI$6-$G$3)&lt;1,0,IFERROR(LOOKUP(2,1/(Trigo!$E55:INDEX(Trigo!$E55:$Z55,MIN(AI$6-$G$3,22))&lt;&gt;""),Trigo!$E55:INDEX(Trigo!$E55:$Z55,MIN(AI$6-$G$3,22))),0)))))</f>
        <v>0</v>
      </c>
      <c r="AJ57" s="27" t="n">
        <f aca="false">IF(COUNT(Trigo!$E55:$Z55)=0,0,MAX(0,IF((AJ$6-$E$3)&lt;1,0,IFERROR(LOOKUP(2,1/(Trigo!$E55:INDEX(Trigo!$E55:$Z55,MIN(AJ$6-$E$3,22))&lt;&gt;""),Trigo!$E55:INDEX(Trigo!$E55:$Z55,MIN(AJ$6-$E$3,22))),0))-IF($G$2,0,IF((AJ$6-$G$3)&lt;1,0,IFERROR(LOOKUP(2,1/(Trigo!$E55:INDEX(Trigo!$E55:$Z55,MIN(AJ$6-$G$3,22))&lt;&gt;""),Trigo!$E55:INDEX(Trigo!$E55:$Z55,MIN(AJ$6-$G$3,22))),0)))))</f>
        <v>0</v>
      </c>
      <c r="AK57" s="27" t="n">
        <f aca="false">IF(COUNT(Trigo!$E55:$Z55)=0,0,MAX(0,IF((AK$6-$E$3)&lt;1,0,IFERROR(LOOKUP(2,1/(Trigo!$E55:INDEX(Trigo!$E55:$Z55,MIN(AK$6-$E$3,22))&lt;&gt;""),Trigo!$E55:INDEX(Trigo!$E55:$Z55,MIN(AK$6-$E$3,22))),0))-IF($G$2,0,IF((AK$6-$G$3)&lt;1,0,IFERROR(LOOKUP(2,1/(Trigo!$E55:INDEX(Trigo!$E55:$Z55,MIN(AK$6-$G$3,22))&lt;&gt;""),Trigo!$E55:INDEX(Trigo!$E55:$Z55,MIN(AK$6-$G$3,22))),0)))))</f>
        <v>0</v>
      </c>
      <c r="AL57" s="27" t="n">
        <f aca="false">IF(COUNT(Trigo!$E55:$Z55)=0,0,MAX(0,IF((AL$6-$E$3)&lt;1,0,IFERROR(LOOKUP(2,1/(Trigo!$E55:INDEX(Trigo!$E55:$Z55,MIN(AL$6-$E$3,22))&lt;&gt;""),Trigo!$E55:INDEX(Trigo!$E55:$Z55,MIN(AL$6-$E$3,22))),0))-IF($G$2,0,IF((AL$6-$G$3)&lt;1,0,IFERROR(LOOKUP(2,1/(Trigo!$E55:INDEX(Trigo!$E55:$Z55,MIN(AL$6-$G$3,22))&lt;&gt;""),Trigo!$E55:INDEX(Trigo!$E55:$Z55,MIN(AL$6-$G$3,22))),0)))))</f>
        <v>0</v>
      </c>
      <c r="AM57" s="27" t="n">
        <f aca="false">IF(COUNT(Trigo!$E55:$Z55)=0,0,MAX(0,IF((AM$6-$E$3)&lt;1,0,IFERROR(LOOKUP(2,1/(Trigo!$E55:INDEX(Trigo!$E55:$Z55,MIN(AM$6-$E$3,22))&lt;&gt;""),Trigo!$E55:INDEX(Trigo!$E55:$Z55,MIN(AM$6-$E$3,22))),0))-IF($G$2,0,IF((AM$6-$G$3)&lt;1,0,IFERROR(LOOKUP(2,1/(Trigo!$E55:INDEX(Trigo!$E55:$Z55,MIN(AM$6-$G$3,22))&lt;&gt;""),Trigo!$E55:INDEX(Trigo!$E55:$Z55,MIN(AM$6-$G$3,22))),0)))))</f>
        <v>0</v>
      </c>
      <c r="AN57" s="27" t="n">
        <f aca="false">IF(COUNT(Trigo!$E55:$Z55)=0,0,MAX(0,IF((AN$6-$E$3)&lt;1,0,IFERROR(LOOKUP(2,1/(Trigo!$E55:INDEX(Trigo!$E55:$Z55,MIN(AN$6-$E$3,22))&lt;&gt;""),Trigo!$E55:INDEX(Trigo!$E55:$Z55,MIN(AN$6-$E$3,22))),0))-IF($G$2,0,IF((AN$6-$G$3)&lt;1,0,IFERROR(LOOKUP(2,1/(Trigo!$E55:INDEX(Trigo!$E55:$Z55,MIN(AN$6-$G$3,22))&lt;&gt;""),Trigo!$E55:INDEX(Trigo!$E55:$Z55,MIN(AN$6-$G$3,22))),0)))))</f>
        <v>0</v>
      </c>
      <c r="AO57" s="27" t="n">
        <f aca="false">IF(COUNT(Trigo!$E55:$Z55)=0,0,MAX(0,IF((AO$6-$E$3)&lt;1,0,IFERROR(LOOKUP(2,1/(Trigo!$E55:INDEX(Trigo!$E55:$Z55,MIN(AO$6-$E$3,22))&lt;&gt;""),Trigo!$E55:INDEX(Trigo!$E55:$Z55,MIN(AO$6-$E$3,22))),0))-IF($G$2,0,IF((AO$6-$G$3)&lt;1,0,IFERROR(LOOKUP(2,1/(Trigo!$E55:INDEX(Trigo!$E55:$Z55,MIN(AO$6-$G$3,22))&lt;&gt;""),Trigo!$E55:INDEX(Trigo!$E55:$Z55,MIN(AO$6-$G$3,22))),0)))))</f>
        <v>0</v>
      </c>
      <c r="AP57" s="27" t="n">
        <f aca="false">IF(COUNT(Trigo!$E55:$Z55)=0,0,MAX(0,IF((AP$6-$E$3)&lt;1,0,IFERROR(LOOKUP(2,1/(Trigo!$E55:INDEX(Trigo!$E55:$Z55,MIN(AP$6-$E$3,22))&lt;&gt;""),Trigo!$E55:INDEX(Trigo!$E55:$Z55,MIN(AP$6-$E$3,22))),0))-IF($G$2,0,IF((AP$6-$G$3)&lt;1,0,IFERROR(LOOKUP(2,1/(Trigo!$E55:INDEX(Trigo!$E55:$Z55,MIN(AP$6-$G$3,22))&lt;&gt;""),Trigo!$E55:INDEX(Trigo!$E55:$Z55,MIN(AP$6-$G$3,22))),0)))))</f>
        <v>0</v>
      </c>
      <c r="AQ57" s="27" t="n">
        <f aca="false">IF(COUNT(Trigo!$E55:$Z55)=0,0,MAX(0,IF((AQ$6-$E$3)&lt;1,0,IFERROR(LOOKUP(2,1/(Trigo!$E55:INDEX(Trigo!$E55:$Z55,MIN(AQ$6-$E$3,22))&lt;&gt;""),Trigo!$E55:INDEX(Trigo!$E55:$Z55,MIN(AQ$6-$E$3,22))),0))-IF($G$2,0,IF((AQ$6-$G$3)&lt;1,0,IFERROR(LOOKUP(2,1/(Trigo!$E55:INDEX(Trigo!$E55:$Z55,MIN(AQ$6-$G$3,22))&lt;&gt;""),Trigo!$E55:INDEX(Trigo!$E55:$Z55,MIN(AQ$6-$G$3,22))),0)))))</f>
        <v>0</v>
      </c>
      <c r="AR57" s="27" t="n">
        <f aca="false">IF(COUNT(Trigo!$E55:$Z55)=0,0,MAX(0,IF((AR$6-$E$3)&lt;1,0,IFERROR(LOOKUP(2,1/(Trigo!$E55:INDEX(Trigo!$E55:$Z55,MIN(AR$6-$E$3,22))&lt;&gt;""),Trigo!$E55:INDEX(Trigo!$E55:$Z55,MIN(AR$6-$E$3,22))),0))-IF($G$2,0,IF((AR$6-$G$3)&lt;1,0,IFERROR(LOOKUP(2,1/(Trigo!$E55:INDEX(Trigo!$E55:$Z55,MIN(AR$6-$G$3,22))&lt;&gt;""),Trigo!$E55:INDEX(Trigo!$E55:$Z55,MIN(AR$6-$G$3,22))),0)))))</f>
        <v>0</v>
      </c>
      <c r="AS57" s="27" t="n">
        <f aca="false">IF(COUNT(Trigo!$E55:$Z55)=0,0,MAX(0,IF((AS$6-$E$3)&lt;1,0,IFERROR(LOOKUP(2,1/(Trigo!$E55:INDEX(Trigo!$E55:$Z55,MIN(AS$6-$E$3,22))&lt;&gt;""),Trigo!$E55:INDEX(Trigo!$E55:$Z55,MIN(AS$6-$E$3,22))),0))-IF($G$2,0,IF((AS$6-$G$3)&lt;1,0,IFERROR(LOOKUP(2,1/(Trigo!$E55:INDEX(Trigo!$E55:$Z55,MIN(AS$6-$G$3,22))&lt;&gt;""),Trigo!$E55:INDEX(Trigo!$E55:$Z55,MIN(AS$6-$G$3,22))),0)))))</f>
        <v>0</v>
      </c>
      <c r="AT57" s="27" t="n">
        <f aca="false">IF(COUNT(Trigo!$E55:$Z55)=0,0,MAX(0,IF((AT$6-$E$3)&lt;1,0,IFERROR(LOOKUP(2,1/(Trigo!$E55:INDEX(Trigo!$E55:$Z55,MIN(AT$6-$E$3,22))&lt;&gt;""),Trigo!$E55:INDEX(Trigo!$E55:$Z55,MIN(AT$6-$E$3,22))),0))-IF($G$2,0,IF((AT$6-$G$3)&lt;1,0,IFERROR(LOOKUP(2,1/(Trigo!$E55:INDEX(Trigo!$E55:$Z55,MIN(AT$6-$G$3,22))&lt;&gt;""),Trigo!$E55:INDEX(Trigo!$E55:$Z55,MIN(AT$6-$G$3,22))),0)))))</f>
        <v>0</v>
      </c>
      <c r="AU57" s="27" t="n">
        <f aca="false">IF(COUNT(Trigo!$E55:$Z55)=0,0,MAX(0,IF((AU$6-$E$3)&lt;1,0,IFERROR(LOOKUP(2,1/(Trigo!$E55:INDEX(Trigo!$E55:$Z55,MIN(AU$6-$E$3,22))&lt;&gt;""),Trigo!$E55:INDEX(Trigo!$E55:$Z55,MIN(AU$6-$E$3,22))),0))-IF($G$2,0,IF((AU$6-$G$3)&lt;1,0,IFERROR(LOOKUP(2,1/(Trigo!$E55:INDEX(Trigo!$E55:$Z55,MIN(AU$6-$G$3,22))&lt;&gt;""),Trigo!$E55:INDEX(Trigo!$E55:$Z55,MIN(AU$6-$G$3,22))),0)))))</f>
        <v>0</v>
      </c>
      <c r="AV57" s="27" t="n">
        <f aca="false">IF(COUNT(Trigo!$E55:$Z55)=0,0,MAX(0,IF((AV$6-$E$3)&lt;1,0,IFERROR(LOOKUP(2,1/(Trigo!$E55:INDEX(Trigo!$E55:$Z55,MIN(AV$6-$E$3,22))&lt;&gt;""),Trigo!$E55:INDEX(Trigo!$E55:$Z55,MIN(AV$6-$E$3,22))),0))-IF($G$2,0,IF((AV$6-$G$3)&lt;1,0,IFERROR(LOOKUP(2,1/(Trigo!$E55:INDEX(Trigo!$E55:$Z55,MIN(AV$6-$G$3,22))&lt;&gt;""),Trigo!$E55:INDEX(Trigo!$E55:$Z55,MIN(AV$6-$G$3,22))),0)))))</f>
        <v>0</v>
      </c>
      <c r="AW57" s="27" t="n">
        <f aca="false">IF(COUNT(Trigo!$E55:$Z55)=0,0,MAX(0,IF((AW$6-$E$3)&lt;1,0,IFERROR(LOOKUP(2,1/(Trigo!$E55:INDEX(Trigo!$E55:$Z55,MIN(AW$6-$E$3,22))&lt;&gt;""),Trigo!$E55:INDEX(Trigo!$E55:$Z55,MIN(AW$6-$E$3,22))),0))-IF($G$2,0,IF((AW$6-$G$3)&lt;1,0,IFERROR(LOOKUP(2,1/(Trigo!$E55:INDEX(Trigo!$E55:$Z55,MIN(AW$6-$G$3,22))&lt;&gt;""),Trigo!$E55:INDEX(Trigo!$E55:$Z55,MIN(AW$6-$G$3,22))),0)))))</f>
        <v>0</v>
      </c>
      <c r="AX57" s="27" t="n">
        <f aca="false">IF(COUNT(Trigo!$E55:$Z55)=0,0,MAX(0,IF((AX$6-$E$3)&lt;1,0,IFERROR(LOOKUP(2,1/(Trigo!$E55:INDEX(Trigo!$E55:$Z55,MIN(AX$6-$E$3,22))&lt;&gt;""),Trigo!$E55:INDEX(Trigo!$E55:$Z55,MIN(AX$6-$E$3,22))),0))-IF($G$2,0,IF((AX$6-$G$3)&lt;1,0,IFERROR(LOOKUP(2,1/(Trigo!$E55:INDEX(Trigo!$E55:$Z55,MIN(AX$6-$G$3,22))&lt;&gt;""),Trigo!$E55:INDEX(Trigo!$E55:$Z55,MIN(AX$6-$G$3,22))),0)))))</f>
        <v>0</v>
      </c>
      <c r="AY57" s="27" t="n">
        <f aca="false">IF(COUNT(Trigo!$E55:$Z55)=0,0,MAX(0,IF((AY$6-$E$3)&lt;1,0,IFERROR(LOOKUP(2,1/(Trigo!$E55:INDEX(Trigo!$E55:$Z55,MIN(AY$6-$E$3,22))&lt;&gt;""),Trigo!$E55:INDEX(Trigo!$E55:$Z55,MIN(AY$6-$E$3,22))),0))-IF($G$2,0,IF((AY$6-$G$3)&lt;1,0,IFERROR(LOOKUP(2,1/(Trigo!$E55:INDEX(Trigo!$E55:$Z55,MIN(AY$6-$G$3,22))&lt;&gt;""),Trigo!$E55:INDEX(Trigo!$E55:$Z55,MIN(AY$6-$G$3,22))),0)))))</f>
        <v>0</v>
      </c>
      <c r="AZ57" s="27" t="n">
        <f aca="false">IF(COUNT(Trigo!$E55:$Z55)=0,0,MAX(0,IF((AZ$6-$E$3)&lt;1,0,IFERROR(LOOKUP(2,1/(Trigo!$E55:INDEX(Trigo!$E55:$Z55,MIN(AZ$6-$E$3,22))&lt;&gt;""),Trigo!$E55:INDEX(Trigo!$E55:$Z55,MIN(AZ$6-$E$3,22))),0))-IF($G$2,0,IF((AZ$6-$G$3)&lt;1,0,IFERROR(LOOKUP(2,1/(Trigo!$E55:INDEX(Trigo!$E55:$Z55,MIN(AZ$6-$G$3,22))&lt;&gt;""),Trigo!$E55:INDEX(Trigo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IF(COUNT(Trigo!$E56:$Z56)&gt;0,N(Trigo!$D56),0)</f>
        <v>0</v>
      </c>
      <c r="E58" s="27" t="n">
        <f aca="false">IF(COUNT(Trigo!$E56:$Z56)=0,0,MAX(0,IF((E$6-$E$3)&lt;1,0,IFERROR(LOOKUP(2,1/(Trigo!$E56:INDEX(Trigo!$E56:$Z56,MIN(E$6-$E$3,22))&lt;&gt;""),Trigo!$E56:INDEX(Trigo!$E56:$Z56,MIN(E$6-$E$3,22))),0))-IF($G$2,0,IF((E$6-$G$3)&lt;1,0,IFERROR(LOOKUP(2,1/(Trigo!$E56:INDEX(Trigo!$E56:$Z56,MIN(E$6-$G$3,22))&lt;&gt;""),Trigo!$E56:INDEX(Trigo!$E56:$Z56,MIN(E$6-$G$3,22))),0)))))</f>
        <v>0</v>
      </c>
      <c r="F58" s="27" t="n">
        <f aca="false">IF(COUNT(Trigo!$E56:$Z56)=0,0,MAX(0,IF((F$6-$E$3)&lt;1,0,IFERROR(LOOKUP(2,1/(Trigo!$E56:INDEX(Trigo!$E56:$Z56,MIN(F$6-$E$3,22))&lt;&gt;""),Trigo!$E56:INDEX(Trigo!$E56:$Z56,MIN(F$6-$E$3,22))),0))-IF($G$2,0,IF((F$6-$G$3)&lt;1,0,IFERROR(LOOKUP(2,1/(Trigo!$E56:INDEX(Trigo!$E56:$Z56,MIN(F$6-$G$3,22))&lt;&gt;""),Trigo!$E56:INDEX(Trigo!$E56:$Z56,MIN(F$6-$G$3,22))),0)))))</f>
        <v>0</v>
      </c>
      <c r="G58" s="27" t="n">
        <f aca="false">IF(COUNT(Trigo!$E56:$Z56)=0,0,MAX(0,IF((G$6-$E$3)&lt;1,0,IFERROR(LOOKUP(2,1/(Trigo!$E56:INDEX(Trigo!$E56:$Z56,MIN(G$6-$E$3,22))&lt;&gt;""),Trigo!$E56:INDEX(Trigo!$E56:$Z56,MIN(G$6-$E$3,22))),0))-IF($G$2,0,IF((G$6-$G$3)&lt;1,0,IFERROR(LOOKUP(2,1/(Trigo!$E56:INDEX(Trigo!$E56:$Z56,MIN(G$6-$G$3,22))&lt;&gt;""),Trigo!$E56:INDEX(Trigo!$E56:$Z56,MIN(G$6-$G$3,22))),0)))))</f>
        <v>0</v>
      </c>
      <c r="H58" s="27" t="n">
        <f aca="false">IF(COUNT(Trigo!$E56:$Z56)=0,0,MAX(0,IF((H$6-$E$3)&lt;1,0,IFERROR(LOOKUP(2,1/(Trigo!$E56:INDEX(Trigo!$E56:$Z56,MIN(H$6-$E$3,22))&lt;&gt;""),Trigo!$E56:INDEX(Trigo!$E56:$Z56,MIN(H$6-$E$3,22))),0))-IF($G$2,0,IF((H$6-$G$3)&lt;1,0,IFERROR(LOOKUP(2,1/(Trigo!$E56:INDEX(Trigo!$E56:$Z56,MIN(H$6-$G$3,22))&lt;&gt;""),Trigo!$E56:INDEX(Trigo!$E56:$Z56,MIN(H$6-$G$3,22))),0)))))</f>
        <v>0</v>
      </c>
      <c r="I58" s="27" t="n">
        <f aca="false">IF(COUNT(Trigo!$E56:$Z56)=0,0,MAX(0,IF((I$6-$E$3)&lt;1,0,IFERROR(LOOKUP(2,1/(Trigo!$E56:INDEX(Trigo!$E56:$Z56,MIN(I$6-$E$3,22))&lt;&gt;""),Trigo!$E56:INDEX(Trigo!$E56:$Z56,MIN(I$6-$E$3,22))),0))-IF($G$2,0,IF((I$6-$G$3)&lt;1,0,IFERROR(LOOKUP(2,1/(Trigo!$E56:INDEX(Trigo!$E56:$Z56,MIN(I$6-$G$3,22))&lt;&gt;""),Trigo!$E56:INDEX(Trigo!$E56:$Z56,MIN(I$6-$G$3,22))),0)))))</f>
        <v>0</v>
      </c>
      <c r="J58" s="27" t="n">
        <f aca="false">IF(COUNT(Trigo!$E56:$Z56)=0,0,MAX(0,IF((J$6-$E$3)&lt;1,0,IFERROR(LOOKUP(2,1/(Trigo!$E56:INDEX(Trigo!$E56:$Z56,MIN(J$6-$E$3,22))&lt;&gt;""),Trigo!$E56:INDEX(Trigo!$E56:$Z56,MIN(J$6-$E$3,22))),0))-IF($G$2,0,IF((J$6-$G$3)&lt;1,0,IFERROR(LOOKUP(2,1/(Trigo!$E56:INDEX(Trigo!$E56:$Z56,MIN(J$6-$G$3,22))&lt;&gt;""),Trigo!$E56:INDEX(Trigo!$E56:$Z56,MIN(J$6-$G$3,22))),0)))))</f>
        <v>0</v>
      </c>
      <c r="K58" s="27" t="n">
        <f aca="false">IF(COUNT(Trigo!$E56:$Z56)=0,0,MAX(0,IF((K$6-$E$3)&lt;1,0,IFERROR(LOOKUP(2,1/(Trigo!$E56:INDEX(Trigo!$E56:$Z56,MIN(K$6-$E$3,22))&lt;&gt;""),Trigo!$E56:INDEX(Trigo!$E56:$Z56,MIN(K$6-$E$3,22))),0))-IF($G$2,0,IF((K$6-$G$3)&lt;1,0,IFERROR(LOOKUP(2,1/(Trigo!$E56:INDEX(Trigo!$E56:$Z56,MIN(K$6-$G$3,22))&lt;&gt;""),Trigo!$E56:INDEX(Trigo!$E56:$Z56,MIN(K$6-$G$3,22))),0)))))</f>
        <v>0</v>
      </c>
      <c r="L58" s="27" t="n">
        <f aca="false">IF(COUNT(Trigo!$E56:$Z56)=0,0,MAX(0,IF((L$6-$E$3)&lt;1,0,IFERROR(LOOKUP(2,1/(Trigo!$E56:INDEX(Trigo!$E56:$Z56,MIN(L$6-$E$3,22))&lt;&gt;""),Trigo!$E56:INDEX(Trigo!$E56:$Z56,MIN(L$6-$E$3,22))),0))-IF($G$2,0,IF((L$6-$G$3)&lt;1,0,IFERROR(LOOKUP(2,1/(Trigo!$E56:INDEX(Trigo!$E56:$Z56,MIN(L$6-$G$3,22))&lt;&gt;""),Trigo!$E56:INDEX(Trigo!$E56:$Z56,MIN(L$6-$G$3,22))),0)))))</f>
        <v>0</v>
      </c>
      <c r="M58" s="27" t="n">
        <f aca="false">IF(COUNT(Trigo!$E56:$Z56)=0,0,MAX(0,IF((M$6-$E$3)&lt;1,0,IFERROR(LOOKUP(2,1/(Trigo!$E56:INDEX(Trigo!$E56:$Z56,MIN(M$6-$E$3,22))&lt;&gt;""),Trigo!$E56:INDEX(Trigo!$E56:$Z56,MIN(M$6-$E$3,22))),0))-IF($G$2,0,IF((M$6-$G$3)&lt;1,0,IFERROR(LOOKUP(2,1/(Trigo!$E56:INDEX(Trigo!$E56:$Z56,MIN(M$6-$G$3,22))&lt;&gt;""),Trigo!$E56:INDEX(Trigo!$E56:$Z56,MIN(M$6-$G$3,22))),0)))))</f>
        <v>0</v>
      </c>
      <c r="N58" s="27" t="n">
        <f aca="false">IF(COUNT(Trigo!$E56:$Z56)=0,0,MAX(0,IF((N$6-$E$3)&lt;1,0,IFERROR(LOOKUP(2,1/(Trigo!$E56:INDEX(Trigo!$E56:$Z56,MIN(N$6-$E$3,22))&lt;&gt;""),Trigo!$E56:INDEX(Trigo!$E56:$Z56,MIN(N$6-$E$3,22))),0))-IF($G$2,0,IF((N$6-$G$3)&lt;1,0,IFERROR(LOOKUP(2,1/(Trigo!$E56:INDEX(Trigo!$E56:$Z56,MIN(N$6-$G$3,22))&lt;&gt;""),Trigo!$E56:INDEX(Trigo!$E56:$Z56,MIN(N$6-$G$3,22))),0)))))</f>
        <v>0</v>
      </c>
      <c r="O58" s="27" t="n">
        <f aca="false">IF(COUNT(Trigo!$E56:$Z56)=0,0,MAX(0,IF((O$6-$E$3)&lt;1,0,IFERROR(LOOKUP(2,1/(Trigo!$E56:INDEX(Trigo!$E56:$Z56,MIN(O$6-$E$3,22))&lt;&gt;""),Trigo!$E56:INDEX(Trigo!$E56:$Z56,MIN(O$6-$E$3,22))),0))-IF($G$2,0,IF((O$6-$G$3)&lt;1,0,IFERROR(LOOKUP(2,1/(Trigo!$E56:INDEX(Trigo!$E56:$Z56,MIN(O$6-$G$3,22))&lt;&gt;""),Trigo!$E56:INDEX(Trigo!$E56:$Z56,MIN(O$6-$G$3,22))),0)))))</f>
        <v>0</v>
      </c>
      <c r="P58" s="27" t="n">
        <f aca="false">IF(COUNT(Trigo!$E56:$Z56)=0,0,MAX(0,IF((P$6-$E$3)&lt;1,0,IFERROR(LOOKUP(2,1/(Trigo!$E56:INDEX(Trigo!$E56:$Z56,MIN(P$6-$E$3,22))&lt;&gt;""),Trigo!$E56:INDEX(Trigo!$E56:$Z56,MIN(P$6-$E$3,22))),0))-IF($G$2,0,IF((P$6-$G$3)&lt;1,0,IFERROR(LOOKUP(2,1/(Trigo!$E56:INDEX(Trigo!$E56:$Z56,MIN(P$6-$G$3,22))&lt;&gt;""),Trigo!$E56:INDEX(Trigo!$E56:$Z56,MIN(P$6-$G$3,22))),0)))))</f>
        <v>0</v>
      </c>
      <c r="Q58" s="27" t="n">
        <f aca="false">IF(COUNT(Trigo!$E56:$Z56)=0,0,MAX(0,IF((Q$6-$E$3)&lt;1,0,IFERROR(LOOKUP(2,1/(Trigo!$E56:INDEX(Trigo!$E56:$Z56,MIN(Q$6-$E$3,22))&lt;&gt;""),Trigo!$E56:INDEX(Trigo!$E56:$Z56,MIN(Q$6-$E$3,22))),0))-IF($G$2,0,IF((Q$6-$G$3)&lt;1,0,IFERROR(LOOKUP(2,1/(Trigo!$E56:INDEX(Trigo!$E56:$Z56,MIN(Q$6-$G$3,22))&lt;&gt;""),Trigo!$E56:INDEX(Trigo!$E56:$Z56,MIN(Q$6-$G$3,22))),0)))))</f>
        <v>0</v>
      </c>
      <c r="R58" s="27" t="n">
        <f aca="false">IF(COUNT(Trigo!$E56:$Z56)=0,0,MAX(0,IF((R$6-$E$3)&lt;1,0,IFERROR(LOOKUP(2,1/(Trigo!$E56:INDEX(Trigo!$E56:$Z56,MIN(R$6-$E$3,22))&lt;&gt;""),Trigo!$E56:INDEX(Trigo!$E56:$Z56,MIN(R$6-$E$3,22))),0))-IF($G$2,0,IF((R$6-$G$3)&lt;1,0,IFERROR(LOOKUP(2,1/(Trigo!$E56:INDEX(Trigo!$E56:$Z56,MIN(R$6-$G$3,22))&lt;&gt;""),Trigo!$E56:INDEX(Trigo!$E56:$Z56,MIN(R$6-$G$3,22))),0)))))</f>
        <v>0</v>
      </c>
      <c r="S58" s="27" t="n">
        <f aca="false">IF(COUNT(Trigo!$E56:$Z56)=0,0,MAX(0,IF((S$6-$E$3)&lt;1,0,IFERROR(LOOKUP(2,1/(Trigo!$E56:INDEX(Trigo!$E56:$Z56,MIN(S$6-$E$3,22))&lt;&gt;""),Trigo!$E56:INDEX(Trigo!$E56:$Z56,MIN(S$6-$E$3,22))),0))-IF($G$2,0,IF((S$6-$G$3)&lt;1,0,IFERROR(LOOKUP(2,1/(Trigo!$E56:INDEX(Trigo!$E56:$Z56,MIN(S$6-$G$3,22))&lt;&gt;""),Trigo!$E56:INDEX(Trigo!$E56:$Z56,MIN(S$6-$G$3,22))),0)))))</f>
        <v>0</v>
      </c>
      <c r="T58" s="27" t="n">
        <f aca="false">IF(COUNT(Trigo!$E56:$Z56)=0,0,MAX(0,IF((T$6-$E$3)&lt;1,0,IFERROR(LOOKUP(2,1/(Trigo!$E56:INDEX(Trigo!$E56:$Z56,MIN(T$6-$E$3,22))&lt;&gt;""),Trigo!$E56:INDEX(Trigo!$E56:$Z56,MIN(T$6-$E$3,22))),0))-IF($G$2,0,IF((T$6-$G$3)&lt;1,0,IFERROR(LOOKUP(2,1/(Trigo!$E56:INDEX(Trigo!$E56:$Z56,MIN(T$6-$G$3,22))&lt;&gt;""),Trigo!$E56:INDEX(Trigo!$E56:$Z56,MIN(T$6-$G$3,22))),0)))))</f>
        <v>0</v>
      </c>
      <c r="U58" s="27" t="n">
        <f aca="false">IF(COUNT(Trigo!$E56:$Z56)=0,0,MAX(0,IF((U$6-$E$3)&lt;1,0,IFERROR(LOOKUP(2,1/(Trigo!$E56:INDEX(Trigo!$E56:$Z56,MIN(U$6-$E$3,22))&lt;&gt;""),Trigo!$E56:INDEX(Trigo!$E56:$Z56,MIN(U$6-$E$3,22))),0))-IF($G$2,0,IF((U$6-$G$3)&lt;1,0,IFERROR(LOOKUP(2,1/(Trigo!$E56:INDEX(Trigo!$E56:$Z56,MIN(U$6-$G$3,22))&lt;&gt;""),Trigo!$E56:INDEX(Trigo!$E56:$Z56,MIN(U$6-$G$3,22))),0)))))</f>
        <v>0</v>
      </c>
      <c r="V58" s="27" t="n">
        <f aca="false">IF(COUNT(Trigo!$E56:$Z56)=0,0,MAX(0,IF((V$6-$E$3)&lt;1,0,IFERROR(LOOKUP(2,1/(Trigo!$E56:INDEX(Trigo!$E56:$Z56,MIN(V$6-$E$3,22))&lt;&gt;""),Trigo!$E56:INDEX(Trigo!$E56:$Z56,MIN(V$6-$E$3,22))),0))-IF($G$2,0,IF((V$6-$G$3)&lt;1,0,IFERROR(LOOKUP(2,1/(Trigo!$E56:INDEX(Trigo!$E56:$Z56,MIN(V$6-$G$3,22))&lt;&gt;""),Trigo!$E56:INDEX(Trigo!$E56:$Z56,MIN(V$6-$G$3,22))),0)))))</f>
        <v>0</v>
      </c>
      <c r="W58" s="27" t="n">
        <f aca="false">IF(COUNT(Trigo!$E56:$Z56)=0,0,MAX(0,IF((W$6-$E$3)&lt;1,0,IFERROR(LOOKUP(2,1/(Trigo!$E56:INDEX(Trigo!$E56:$Z56,MIN(W$6-$E$3,22))&lt;&gt;""),Trigo!$E56:INDEX(Trigo!$E56:$Z56,MIN(W$6-$E$3,22))),0))-IF($G$2,0,IF((W$6-$G$3)&lt;1,0,IFERROR(LOOKUP(2,1/(Trigo!$E56:INDEX(Trigo!$E56:$Z56,MIN(W$6-$G$3,22))&lt;&gt;""),Trigo!$E56:INDEX(Trigo!$E56:$Z56,MIN(W$6-$G$3,22))),0)))))</f>
        <v>0</v>
      </c>
      <c r="X58" s="27" t="n">
        <f aca="false">IF(COUNT(Trigo!$E56:$Z56)=0,0,MAX(0,IF((X$6-$E$3)&lt;1,0,IFERROR(LOOKUP(2,1/(Trigo!$E56:INDEX(Trigo!$E56:$Z56,MIN(X$6-$E$3,22))&lt;&gt;""),Trigo!$E56:INDEX(Trigo!$E56:$Z56,MIN(X$6-$E$3,22))),0))-IF($G$2,0,IF((X$6-$G$3)&lt;1,0,IFERROR(LOOKUP(2,1/(Trigo!$E56:INDEX(Trigo!$E56:$Z56,MIN(X$6-$G$3,22))&lt;&gt;""),Trigo!$E56:INDEX(Trigo!$E56:$Z56,MIN(X$6-$G$3,22))),0)))))</f>
        <v>0</v>
      </c>
      <c r="Y58" s="27" t="n">
        <f aca="false">IF(COUNT(Trigo!$E56:$Z56)=0,0,MAX(0,IF((Y$6-$E$3)&lt;1,0,IFERROR(LOOKUP(2,1/(Trigo!$E56:INDEX(Trigo!$E56:$Z56,MIN(Y$6-$E$3,22))&lt;&gt;""),Trigo!$E56:INDEX(Trigo!$E56:$Z56,MIN(Y$6-$E$3,22))),0))-IF($G$2,0,IF((Y$6-$G$3)&lt;1,0,IFERROR(LOOKUP(2,1/(Trigo!$E56:INDEX(Trigo!$E56:$Z56,MIN(Y$6-$G$3,22))&lt;&gt;""),Trigo!$E56:INDEX(Trigo!$E56:$Z56,MIN(Y$6-$G$3,22))),0)))))</f>
        <v>0</v>
      </c>
      <c r="Z58" s="27" t="n">
        <f aca="false">IF(COUNT(Trigo!$E56:$Z56)=0,0,MAX(0,IF((Z$6-$E$3)&lt;1,0,IFERROR(LOOKUP(2,1/(Trigo!$E56:INDEX(Trigo!$E56:$Z56,MIN(Z$6-$E$3,22))&lt;&gt;""),Trigo!$E56:INDEX(Trigo!$E56:$Z56,MIN(Z$6-$E$3,22))),0))-IF($G$2,0,IF((Z$6-$G$3)&lt;1,0,IFERROR(LOOKUP(2,1/(Trigo!$E56:INDEX(Trigo!$E56:$Z56,MIN(Z$6-$G$3,22))&lt;&gt;""),Trigo!$E56:INDEX(Trigo!$E56:$Z56,MIN(Z$6-$G$3,22))),0)))))</f>
        <v>0</v>
      </c>
      <c r="AA58" s="27" t="n">
        <f aca="false">IF(COUNT(Trigo!$E56:$Z56)=0,0,MAX(0,IF((AA$6-$E$3)&lt;1,0,IFERROR(LOOKUP(2,1/(Trigo!$E56:INDEX(Trigo!$E56:$Z56,MIN(AA$6-$E$3,22))&lt;&gt;""),Trigo!$E56:INDEX(Trigo!$E56:$Z56,MIN(AA$6-$E$3,22))),0))-IF($G$2,0,IF((AA$6-$G$3)&lt;1,0,IFERROR(LOOKUP(2,1/(Trigo!$E56:INDEX(Trigo!$E56:$Z56,MIN(AA$6-$G$3,22))&lt;&gt;""),Trigo!$E56:INDEX(Trigo!$E56:$Z56,MIN(AA$6-$G$3,22))),0)))))</f>
        <v>0</v>
      </c>
      <c r="AB58" s="27" t="n">
        <f aca="false">IF(COUNT(Trigo!$E56:$Z56)=0,0,MAX(0,IF((AB$6-$E$3)&lt;1,0,IFERROR(LOOKUP(2,1/(Trigo!$E56:INDEX(Trigo!$E56:$Z56,MIN(AB$6-$E$3,22))&lt;&gt;""),Trigo!$E56:INDEX(Trigo!$E56:$Z56,MIN(AB$6-$E$3,22))),0))-IF($G$2,0,IF((AB$6-$G$3)&lt;1,0,IFERROR(LOOKUP(2,1/(Trigo!$E56:INDEX(Trigo!$E56:$Z56,MIN(AB$6-$G$3,22))&lt;&gt;""),Trigo!$E56:INDEX(Trigo!$E56:$Z56,MIN(AB$6-$G$3,22))),0)))))</f>
        <v>0</v>
      </c>
      <c r="AC58" s="27" t="n">
        <f aca="false">IF(COUNT(Trigo!$E56:$Z56)=0,0,MAX(0,IF((AC$6-$E$3)&lt;1,0,IFERROR(LOOKUP(2,1/(Trigo!$E56:INDEX(Trigo!$E56:$Z56,MIN(AC$6-$E$3,22))&lt;&gt;""),Trigo!$E56:INDEX(Trigo!$E56:$Z56,MIN(AC$6-$E$3,22))),0))-IF($G$2,0,IF((AC$6-$G$3)&lt;1,0,IFERROR(LOOKUP(2,1/(Trigo!$E56:INDEX(Trigo!$E56:$Z56,MIN(AC$6-$G$3,22))&lt;&gt;""),Trigo!$E56:INDEX(Trigo!$E56:$Z56,MIN(AC$6-$G$3,22))),0)))))</f>
        <v>0</v>
      </c>
      <c r="AD58" s="27" t="n">
        <f aca="false">IF(COUNT(Trigo!$E56:$Z56)=0,0,MAX(0,IF((AD$6-$E$3)&lt;1,0,IFERROR(LOOKUP(2,1/(Trigo!$E56:INDEX(Trigo!$E56:$Z56,MIN(AD$6-$E$3,22))&lt;&gt;""),Trigo!$E56:INDEX(Trigo!$E56:$Z56,MIN(AD$6-$E$3,22))),0))-IF($G$2,0,IF((AD$6-$G$3)&lt;1,0,IFERROR(LOOKUP(2,1/(Trigo!$E56:INDEX(Trigo!$E56:$Z56,MIN(AD$6-$G$3,22))&lt;&gt;""),Trigo!$E56:INDEX(Trigo!$E56:$Z56,MIN(AD$6-$G$3,22))),0)))))</f>
        <v>0</v>
      </c>
      <c r="AE58" s="27" t="n">
        <f aca="false">IF(COUNT(Trigo!$E56:$Z56)=0,0,MAX(0,IF((AE$6-$E$3)&lt;1,0,IFERROR(LOOKUP(2,1/(Trigo!$E56:INDEX(Trigo!$E56:$Z56,MIN(AE$6-$E$3,22))&lt;&gt;""),Trigo!$E56:INDEX(Trigo!$E56:$Z56,MIN(AE$6-$E$3,22))),0))-IF($G$2,0,IF((AE$6-$G$3)&lt;1,0,IFERROR(LOOKUP(2,1/(Trigo!$E56:INDEX(Trigo!$E56:$Z56,MIN(AE$6-$G$3,22))&lt;&gt;""),Trigo!$E56:INDEX(Trigo!$E56:$Z56,MIN(AE$6-$G$3,22))),0)))))</f>
        <v>0</v>
      </c>
      <c r="AF58" s="27" t="n">
        <f aca="false">IF(COUNT(Trigo!$E56:$Z56)=0,0,MAX(0,IF((AF$6-$E$3)&lt;1,0,IFERROR(LOOKUP(2,1/(Trigo!$E56:INDEX(Trigo!$E56:$Z56,MIN(AF$6-$E$3,22))&lt;&gt;""),Trigo!$E56:INDEX(Trigo!$E56:$Z56,MIN(AF$6-$E$3,22))),0))-IF($G$2,0,IF((AF$6-$G$3)&lt;1,0,IFERROR(LOOKUP(2,1/(Trigo!$E56:INDEX(Trigo!$E56:$Z56,MIN(AF$6-$G$3,22))&lt;&gt;""),Trigo!$E56:INDEX(Trigo!$E56:$Z56,MIN(AF$6-$G$3,22))),0)))))</f>
        <v>0</v>
      </c>
      <c r="AG58" s="27" t="n">
        <f aca="false">IF(COUNT(Trigo!$E56:$Z56)=0,0,MAX(0,IF((AG$6-$E$3)&lt;1,0,IFERROR(LOOKUP(2,1/(Trigo!$E56:INDEX(Trigo!$E56:$Z56,MIN(AG$6-$E$3,22))&lt;&gt;""),Trigo!$E56:INDEX(Trigo!$E56:$Z56,MIN(AG$6-$E$3,22))),0))-IF($G$2,0,IF((AG$6-$G$3)&lt;1,0,IFERROR(LOOKUP(2,1/(Trigo!$E56:INDEX(Trigo!$E56:$Z56,MIN(AG$6-$G$3,22))&lt;&gt;""),Trigo!$E56:INDEX(Trigo!$E56:$Z56,MIN(AG$6-$G$3,22))),0)))))</f>
        <v>0</v>
      </c>
      <c r="AH58" s="27" t="n">
        <f aca="false">IF(COUNT(Trigo!$E56:$Z56)=0,0,MAX(0,IF((AH$6-$E$3)&lt;1,0,IFERROR(LOOKUP(2,1/(Trigo!$E56:INDEX(Trigo!$E56:$Z56,MIN(AH$6-$E$3,22))&lt;&gt;""),Trigo!$E56:INDEX(Trigo!$E56:$Z56,MIN(AH$6-$E$3,22))),0))-IF($G$2,0,IF((AH$6-$G$3)&lt;1,0,IFERROR(LOOKUP(2,1/(Trigo!$E56:INDEX(Trigo!$E56:$Z56,MIN(AH$6-$G$3,22))&lt;&gt;""),Trigo!$E56:INDEX(Trigo!$E56:$Z56,MIN(AH$6-$G$3,22))),0)))))</f>
        <v>0</v>
      </c>
      <c r="AI58" s="27" t="n">
        <f aca="false">IF(COUNT(Trigo!$E56:$Z56)=0,0,MAX(0,IF((AI$6-$E$3)&lt;1,0,IFERROR(LOOKUP(2,1/(Trigo!$E56:INDEX(Trigo!$E56:$Z56,MIN(AI$6-$E$3,22))&lt;&gt;""),Trigo!$E56:INDEX(Trigo!$E56:$Z56,MIN(AI$6-$E$3,22))),0))-IF($G$2,0,IF((AI$6-$G$3)&lt;1,0,IFERROR(LOOKUP(2,1/(Trigo!$E56:INDEX(Trigo!$E56:$Z56,MIN(AI$6-$G$3,22))&lt;&gt;""),Trigo!$E56:INDEX(Trigo!$E56:$Z56,MIN(AI$6-$G$3,22))),0)))))</f>
        <v>0</v>
      </c>
      <c r="AJ58" s="27" t="n">
        <f aca="false">IF(COUNT(Trigo!$E56:$Z56)=0,0,MAX(0,IF((AJ$6-$E$3)&lt;1,0,IFERROR(LOOKUP(2,1/(Trigo!$E56:INDEX(Trigo!$E56:$Z56,MIN(AJ$6-$E$3,22))&lt;&gt;""),Trigo!$E56:INDEX(Trigo!$E56:$Z56,MIN(AJ$6-$E$3,22))),0))-IF($G$2,0,IF((AJ$6-$G$3)&lt;1,0,IFERROR(LOOKUP(2,1/(Trigo!$E56:INDEX(Trigo!$E56:$Z56,MIN(AJ$6-$G$3,22))&lt;&gt;""),Trigo!$E56:INDEX(Trigo!$E56:$Z56,MIN(AJ$6-$G$3,22))),0)))))</f>
        <v>0</v>
      </c>
      <c r="AK58" s="27" t="n">
        <f aca="false">IF(COUNT(Trigo!$E56:$Z56)=0,0,MAX(0,IF((AK$6-$E$3)&lt;1,0,IFERROR(LOOKUP(2,1/(Trigo!$E56:INDEX(Trigo!$E56:$Z56,MIN(AK$6-$E$3,22))&lt;&gt;""),Trigo!$E56:INDEX(Trigo!$E56:$Z56,MIN(AK$6-$E$3,22))),0))-IF($G$2,0,IF((AK$6-$G$3)&lt;1,0,IFERROR(LOOKUP(2,1/(Trigo!$E56:INDEX(Trigo!$E56:$Z56,MIN(AK$6-$G$3,22))&lt;&gt;""),Trigo!$E56:INDEX(Trigo!$E56:$Z56,MIN(AK$6-$G$3,22))),0)))))</f>
        <v>0</v>
      </c>
      <c r="AL58" s="27" t="n">
        <f aca="false">IF(COUNT(Trigo!$E56:$Z56)=0,0,MAX(0,IF((AL$6-$E$3)&lt;1,0,IFERROR(LOOKUP(2,1/(Trigo!$E56:INDEX(Trigo!$E56:$Z56,MIN(AL$6-$E$3,22))&lt;&gt;""),Trigo!$E56:INDEX(Trigo!$E56:$Z56,MIN(AL$6-$E$3,22))),0))-IF($G$2,0,IF((AL$6-$G$3)&lt;1,0,IFERROR(LOOKUP(2,1/(Trigo!$E56:INDEX(Trigo!$E56:$Z56,MIN(AL$6-$G$3,22))&lt;&gt;""),Trigo!$E56:INDEX(Trigo!$E56:$Z56,MIN(AL$6-$G$3,22))),0)))))</f>
        <v>0</v>
      </c>
      <c r="AM58" s="27" t="n">
        <f aca="false">IF(COUNT(Trigo!$E56:$Z56)=0,0,MAX(0,IF((AM$6-$E$3)&lt;1,0,IFERROR(LOOKUP(2,1/(Trigo!$E56:INDEX(Trigo!$E56:$Z56,MIN(AM$6-$E$3,22))&lt;&gt;""),Trigo!$E56:INDEX(Trigo!$E56:$Z56,MIN(AM$6-$E$3,22))),0))-IF($G$2,0,IF((AM$6-$G$3)&lt;1,0,IFERROR(LOOKUP(2,1/(Trigo!$E56:INDEX(Trigo!$E56:$Z56,MIN(AM$6-$G$3,22))&lt;&gt;""),Trigo!$E56:INDEX(Trigo!$E56:$Z56,MIN(AM$6-$G$3,22))),0)))))</f>
        <v>0</v>
      </c>
      <c r="AN58" s="27" t="n">
        <f aca="false">IF(COUNT(Trigo!$E56:$Z56)=0,0,MAX(0,IF((AN$6-$E$3)&lt;1,0,IFERROR(LOOKUP(2,1/(Trigo!$E56:INDEX(Trigo!$E56:$Z56,MIN(AN$6-$E$3,22))&lt;&gt;""),Trigo!$E56:INDEX(Trigo!$E56:$Z56,MIN(AN$6-$E$3,22))),0))-IF($G$2,0,IF((AN$6-$G$3)&lt;1,0,IFERROR(LOOKUP(2,1/(Trigo!$E56:INDEX(Trigo!$E56:$Z56,MIN(AN$6-$G$3,22))&lt;&gt;""),Trigo!$E56:INDEX(Trigo!$E56:$Z56,MIN(AN$6-$G$3,22))),0)))))</f>
        <v>0</v>
      </c>
      <c r="AO58" s="27" t="n">
        <f aca="false">IF(COUNT(Trigo!$E56:$Z56)=0,0,MAX(0,IF((AO$6-$E$3)&lt;1,0,IFERROR(LOOKUP(2,1/(Trigo!$E56:INDEX(Trigo!$E56:$Z56,MIN(AO$6-$E$3,22))&lt;&gt;""),Trigo!$E56:INDEX(Trigo!$E56:$Z56,MIN(AO$6-$E$3,22))),0))-IF($G$2,0,IF((AO$6-$G$3)&lt;1,0,IFERROR(LOOKUP(2,1/(Trigo!$E56:INDEX(Trigo!$E56:$Z56,MIN(AO$6-$G$3,22))&lt;&gt;""),Trigo!$E56:INDEX(Trigo!$E56:$Z56,MIN(AO$6-$G$3,22))),0)))))</f>
        <v>0</v>
      </c>
      <c r="AP58" s="27" t="n">
        <f aca="false">IF(COUNT(Trigo!$E56:$Z56)=0,0,MAX(0,IF((AP$6-$E$3)&lt;1,0,IFERROR(LOOKUP(2,1/(Trigo!$E56:INDEX(Trigo!$E56:$Z56,MIN(AP$6-$E$3,22))&lt;&gt;""),Trigo!$E56:INDEX(Trigo!$E56:$Z56,MIN(AP$6-$E$3,22))),0))-IF($G$2,0,IF((AP$6-$G$3)&lt;1,0,IFERROR(LOOKUP(2,1/(Trigo!$E56:INDEX(Trigo!$E56:$Z56,MIN(AP$6-$G$3,22))&lt;&gt;""),Trigo!$E56:INDEX(Trigo!$E56:$Z56,MIN(AP$6-$G$3,22))),0)))))</f>
        <v>0</v>
      </c>
      <c r="AQ58" s="27" t="n">
        <f aca="false">IF(COUNT(Trigo!$E56:$Z56)=0,0,MAX(0,IF((AQ$6-$E$3)&lt;1,0,IFERROR(LOOKUP(2,1/(Trigo!$E56:INDEX(Trigo!$E56:$Z56,MIN(AQ$6-$E$3,22))&lt;&gt;""),Trigo!$E56:INDEX(Trigo!$E56:$Z56,MIN(AQ$6-$E$3,22))),0))-IF($G$2,0,IF((AQ$6-$G$3)&lt;1,0,IFERROR(LOOKUP(2,1/(Trigo!$E56:INDEX(Trigo!$E56:$Z56,MIN(AQ$6-$G$3,22))&lt;&gt;""),Trigo!$E56:INDEX(Trigo!$E56:$Z56,MIN(AQ$6-$G$3,22))),0)))))</f>
        <v>0</v>
      </c>
      <c r="AR58" s="27" t="n">
        <f aca="false">IF(COUNT(Trigo!$E56:$Z56)=0,0,MAX(0,IF((AR$6-$E$3)&lt;1,0,IFERROR(LOOKUP(2,1/(Trigo!$E56:INDEX(Trigo!$E56:$Z56,MIN(AR$6-$E$3,22))&lt;&gt;""),Trigo!$E56:INDEX(Trigo!$E56:$Z56,MIN(AR$6-$E$3,22))),0))-IF($G$2,0,IF((AR$6-$G$3)&lt;1,0,IFERROR(LOOKUP(2,1/(Trigo!$E56:INDEX(Trigo!$E56:$Z56,MIN(AR$6-$G$3,22))&lt;&gt;""),Trigo!$E56:INDEX(Trigo!$E56:$Z56,MIN(AR$6-$G$3,22))),0)))))</f>
        <v>0</v>
      </c>
      <c r="AS58" s="27" t="n">
        <f aca="false">IF(COUNT(Trigo!$E56:$Z56)=0,0,MAX(0,IF((AS$6-$E$3)&lt;1,0,IFERROR(LOOKUP(2,1/(Trigo!$E56:INDEX(Trigo!$E56:$Z56,MIN(AS$6-$E$3,22))&lt;&gt;""),Trigo!$E56:INDEX(Trigo!$E56:$Z56,MIN(AS$6-$E$3,22))),0))-IF($G$2,0,IF((AS$6-$G$3)&lt;1,0,IFERROR(LOOKUP(2,1/(Trigo!$E56:INDEX(Trigo!$E56:$Z56,MIN(AS$6-$G$3,22))&lt;&gt;""),Trigo!$E56:INDEX(Trigo!$E56:$Z56,MIN(AS$6-$G$3,22))),0)))))</f>
        <v>0</v>
      </c>
      <c r="AT58" s="27" t="n">
        <f aca="false">IF(COUNT(Trigo!$E56:$Z56)=0,0,MAX(0,IF((AT$6-$E$3)&lt;1,0,IFERROR(LOOKUP(2,1/(Trigo!$E56:INDEX(Trigo!$E56:$Z56,MIN(AT$6-$E$3,22))&lt;&gt;""),Trigo!$E56:INDEX(Trigo!$E56:$Z56,MIN(AT$6-$E$3,22))),0))-IF($G$2,0,IF((AT$6-$G$3)&lt;1,0,IFERROR(LOOKUP(2,1/(Trigo!$E56:INDEX(Trigo!$E56:$Z56,MIN(AT$6-$G$3,22))&lt;&gt;""),Trigo!$E56:INDEX(Trigo!$E56:$Z56,MIN(AT$6-$G$3,22))),0)))))</f>
        <v>0</v>
      </c>
      <c r="AU58" s="27" t="n">
        <f aca="false">IF(COUNT(Trigo!$E56:$Z56)=0,0,MAX(0,IF((AU$6-$E$3)&lt;1,0,IFERROR(LOOKUP(2,1/(Trigo!$E56:INDEX(Trigo!$E56:$Z56,MIN(AU$6-$E$3,22))&lt;&gt;""),Trigo!$E56:INDEX(Trigo!$E56:$Z56,MIN(AU$6-$E$3,22))),0))-IF($G$2,0,IF((AU$6-$G$3)&lt;1,0,IFERROR(LOOKUP(2,1/(Trigo!$E56:INDEX(Trigo!$E56:$Z56,MIN(AU$6-$G$3,22))&lt;&gt;""),Trigo!$E56:INDEX(Trigo!$E56:$Z56,MIN(AU$6-$G$3,22))),0)))))</f>
        <v>0</v>
      </c>
      <c r="AV58" s="27" t="n">
        <f aca="false">IF(COUNT(Trigo!$E56:$Z56)=0,0,MAX(0,IF((AV$6-$E$3)&lt;1,0,IFERROR(LOOKUP(2,1/(Trigo!$E56:INDEX(Trigo!$E56:$Z56,MIN(AV$6-$E$3,22))&lt;&gt;""),Trigo!$E56:INDEX(Trigo!$E56:$Z56,MIN(AV$6-$E$3,22))),0))-IF($G$2,0,IF((AV$6-$G$3)&lt;1,0,IFERROR(LOOKUP(2,1/(Trigo!$E56:INDEX(Trigo!$E56:$Z56,MIN(AV$6-$G$3,22))&lt;&gt;""),Trigo!$E56:INDEX(Trigo!$E56:$Z56,MIN(AV$6-$G$3,22))),0)))))</f>
        <v>0</v>
      </c>
      <c r="AW58" s="27" t="n">
        <f aca="false">IF(COUNT(Trigo!$E56:$Z56)=0,0,MAX(0,IF((AW$6-$E$3)&lt;1,0,IFERROR(LOOKUP(2,1/(Trigo!$E56:INDEX(Trigo!$E56:$Z56,MIN(AW$6-$E$3,22))&lt;&gt;""),Trigo!$E56:INDEX(Trigo!$E56:$Z56,MIN(AW$6-$E$3,22))),0))-IF($G$2,0,IF((AW$6-$G$3)&lt;1,0,IFERROR(LOOKUP(2,1/(Trigo!$E56:INDEX(Trigo!$E56:$Z56,MIN(AW$6-$G$3,22))&lt;&gt;""),Trigo!$E56:INDEX(Trigo!$E56:$Z56,MIN(AW$6-$G$3,22))),0)))))</f>
        <v>0</v>
      </c>
      <c r="AX58" s="27" t="n">
        <f aca="false">IF(COUNT(Trigo!$E56:$Z56)=0,0,MAX(0,IF((AX$6-$E$3)&lt;1,0,IFERROR(LOOKUP(2,1/(Trigo!$E56:INDEX(Trigo!$E56:$Z56,MIN(AX$6-$E$3,22))&lt;&gt;""),Trigo!$E56:INDEX(Trigo!$E56:$Z56,MIN(AX$6-$E$3,22))),0))-IF($G$2,0,IF((AX$6-$G$3)&lt;1,0,IFERROR(LOOKUP(2,1/(Trigo!$E56:INDEX(Trigo!$E56:$Z56,MIN(AX$6-$G$3,22))&lt;&gt;""),Trigo!$E56:INDEX(Trigo!$E56:$Z56,MIN(AX$6-$G$3,22))),0)))))</f>
        <v>0</v>
      </c>
      <c r="AY58" s="27" t="n">
        <f aca="false">IF(COUNT(Trigo!$E56:$Z56)=0,0,MAX(0,IF((AY$6-$E$3)&lt;1,0,IFERROR(LOOKUP(2,1/(Trigo!$E56:INDEX(Trigo!$E56:$Z56,MIN(AY$6-$E$3,22))&lt;&gt;""),Trigo!$E56:INDEX(Trigo!$E56:$Z56,MIN(AY$6-$E$3,22))),0))-IF($G$2,0,IF((AY$6-$G$3)&lt;1,0,IFERROR(LOOKUP(2,1/(Trigo!$E56:INDEX(Trigo!$E56:$Z56,MIN(AY$6-$G$3,22))&lt;&gt;""),Trigo!$E56:INDEX(Trigo!$E56:$Z56,MIN(AY$6-$G$3,22))),0)))))</f>
        <v>0</v>
      </c>
      <c r="AZ58" s="27" t="n">
        <f aca="false">IF(COUNT(Trigo!$E56:$Z56)=0,0,MAX(0,IF((AZ$6-$E$3)&lt;1,0,IFERROR(LOOKUP(2,1/(Trigo!$E56:INDEX(Trigo!$E56:$Z56,MIN(AZ$6-$E$3,22))&lt;&gt;""),Trigo!$E56:INDEX(Trigo!$E56:$Z56,MIN(AZ$6-$E$3,22))),0))-IF($G$2,0,IF((AZ$6-$G$3)&lt;1,0,IFERROR(LOOKUP(2,1/(Trigo!$E56:INDEX(Trigo!$E56:$Z56,MIN(AZ$6-$G$3,22))&lt;&gt;""),Trigo!$E56:INDEX(Trigo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IF(COUNT(Trigo!$E57:$Z57)&gt;0,N(Trigo!$D57),0)</f>
        <v>0</v>
      </c>
      <c r="E59" s="27" t="n">
        <f aca="false">IF(COUNT(Trigo!$E57:$Z57)=0,0,MAX(0,IF((E$6-$E$3)&lt;1,0,IFERROR(LOOKUP(2,1/(Trigo!$E57:INDEX(Trigo!$E57:$Z57,MIN(E$6-$E$3,22))&lt;&gt;""),Trigo!$E57:INDEX(Trigo!$E57:$Z57,MIN(E$6-$E$3,22))),0))-IF($G$2,0,IF((E$6-$G$3)&lt;1,0,IFERROR(LOOKUP(2,1/(Trigo!$E57:INDEX(Trigo!$E57:$Z57,MIN(E$6-$G$3,22))&lt;&gt;""),Trigo!$E57:INDEX(Trigo!$E57:$Z57,MIN(E$6-$G$3,22))),0)))))</f>
        <v>0</v>
      </c>
      <c r="F59" s="27" t="n">
        <f aca="false">IF(COUNT(Trigo!$E57:$Z57)=0,0,MAX(0,IF((F$6-$E$3)&lt;1,0,IFERROR(LOOKUP(2,1/(Trigo!$E57:INDEX(Trigo!$E57:$Z57,MIN(F$6-$E$3,22))&lt;&gt;""),Trigo!$E57:INDEX(Trigo!$E57:$Z57,MIN(F$6-$E$3,22))),0))-IF($G$2,0,IF((F$6-$G$3)&lt;1,0,IFERROR(LOOKUP(2,1/(Trigo!$E57:INDEX(Trigo!$E57:$Z57,MIN(F$6-$G$3,22))&lt;&gt;""),Trigo!$E57:INDEX(Trigo!$E57:$Z57,MIN(F$6-$G$3,22))),0)))))</f>
        <v>0</v>
      </c>
      <c r="G59" s="27" t="n">
        <f aca="false">IF(COUNT(Trigo!$E57:$Z57)=0,0,MAX(0,IF((G$6-$E$3)&lt;1,0,IFERROR(LOOKUP(2,1/(Trigo!$E57:INDEX(Trigo!$E57:$Z57,MIN(G$6-$E$3,22))&lt;&gt;""),Trigo!$E57:INDEX(Trigo!$E57:$Z57,MIN(G$6-$E$3,22))),0))-IF($G$2,0,IF((G$6-$G$3)&lt;1,0,IFERROR(LOOKUP(2,1/(Trigo!$E57:INDEX(Trigo!$E57:$Z57,MIN(G$6-$G$3,22))&lt;&gt;""),Trigo!$E57:INDEX(Trigo!$E57:$Z57,MIN(G$6-$G$3,22))),0)))))</f>
        <v>0</v>
      </c>
      <c r="H59" s="27" t="n">
        <f aca="false">IF(COUNT(Trigo!$E57:$Z57)=0,0,MAX(0,IF((H$6-$E$3)&lt;1,0,IFERROR(LOOKUP(2,1/(Trigo!$E57:INDEX(Trigo!$E57:$Z57,MIN(H$6-$E$3,22))&lt;&gt;""),Trigo!$E57:INDEX(Trigo!$E57:$Z57,MIN(H$6-$E$3,22))),0))-IF($G$2,0,IF((H$6-$G$3)&lt;1,0,IFERROR(LOOKUP(2,1/(Trigo!$E57:INDEX(Trigo!$E57:$Z57,MIN(H$6-$G$3,22))&lt;&gt;""),Trigo!$E57:INDEX(Trigo!$E57:$Z57,MIN(H$6-$G$3,22))),0)))))</f>
        <v>0</v>
      </c>
      <c r="I59" s="27" t="n">
        <f aca="false">IF(COUNT(Trigo!$E57:$Z57)=0,0,MAX(0,IF((I$6-$E$3)&lt;1,0,IFERROR(LOOKUP(2,1/(Trigo!$E57:INDEX(Trigo!$E57:$Z57,MIN(I$6-$E$3,22))&lt;&gt;""),Trigo!$E57:INDEX(Trigo!$E57:$Z57,MIN(I$6-$E$3,22))),0))-IF($G$2,0,IF((I$6-$G$3)&lt;1,0,IFERROR(LOOKUP(2,1/(Trigo!$E57:INDEX(Trigo!$E57:$Z57,MIN(I$6-$G$3,22))&lt;&gt;""),Trigo!$E57:INDEX(Trigo!$E57:$Z57,MIN(I$6-$G$3,22))),0)))))</f>
        <v>0</v>
      </c>
      <c r="J59" s="27" t="n">
        <f aca="false">IF(COUNT(Trigo!$E57:$Z57)=0,0,MAX(0,IF((J$6-$E$3)&lt;1,0,IFERROR(LOOKUP(2,1/(Trigo!$E57:INDEX(Trigo!$E57:$Z57,MIN(J$6-$E$3,22))&lt;&gt;""),Trigo!$E57:INDEX(Trigo!$E57:$Z57,MIN(J$6-$E$3,22))),0))-IF($G$2,0,IF((J$6-$G$3)&lt;1,0,IFERROR(LOOKUP(2,1/(Trigo!$E57:INDEX(Trigo!$E57:$Z57,MIN(J$6-$G$3,22))&lt;&gt;""),Trigo!$E57:INDEX(Trigo!$E57:$Z57,MIN(J$6-$G$3,22))),0)))))</f>
        <v>0</v>
      </c>
      <c r="K59" s="27" t="n">
        <f aca="false">IF(COUNT(Trigo!$E57:$Z57)=0,0,MAX(0,IF((K$6-$E$3)&lt;1,0,IFERROR(LOOKUP(2,1/(Trigo!$E57:INDEX(Trigo!$E57:$Z57,MIN(K$6-$E$3,22))&lt;&gt;""),Trigo!$E57:INDEX(Trigo!$E57:$Z57,MIN(K$6-$E$3,22))),0))-IF($G$2,0,IF((K$6-$G$3)&lt;1,0,IFERROR(LOOKUP(2,1/(Trigo!$E57:INDEX(Trigo!$E57:$Z57,MIN(K$6-$G$3,22))&lt;&gt;""),Trigo!$E57:INDEX(Trigo!$E57:$Z57,MIN(K$6-$G$3,22))),0)))))</f>
        <v>0</v>
      </c>
      <c r="L59" s="27" t="n">
        <f aca="false">IF(COUNT(Trigo!$E57:$Z57)=0,0,MAX(0,IF((L$6-$E$3)&lt;1,0,IFERROR(LOOKUP(2,1/(Trigo!$E57:INDEX(Trigo!$E57:$Z57,MIN(L$6-$E$3,22))&lt;&gt;""),Trigo!$E57:INDEX(Trigo!$E57:$Z57,MIN(L$6-$E$3,22))),0))-IF($G$2,0,IF((L$6-$G$3)&lt;1,0,IFERROR(LOOKUP(2,1/(Trigo!$E57:INDEX(Trigo!$E57:$Z57,MIN(L$6-$G$3,22))&lt;&gt;""),Trigo!$E57:INDEX(Trigo!$E57:$Z57,MIN(L$6-$G$3,22))),0)))))</f>
        <v>0</v>
      </c>
      <c r="M59" s="27" t="n">
        <f aca="false">IF(COUNT(Trigo!$E57:$Z57)=0,0,MAX(0,IF((M$6-$E$3)&lt;1,0,IFERROR(LOOKUP(2,1/(Trigo!$E57:INDEX(Trigo!$E57:$Z57,MIN(M$6-$E$3,22))&lt;&gt;""),Trigo!$E57:INDEX(Trigo!$E57:$Z57,MIN(M$6-$E$3,22))),0))-IF($G$2,0,IF((M$6-$G$3)&lt;1,0,IFERROR(LOOKUP(2,1/(Trigo!$E57:INDEX(Trigo!$E57:$Z57,MIN(M$6-$G$3,22))&lt;&gt;""),Trigo!$E57:INDEX(Trigo!$E57:$Z57,MIN(M$6-$G$3,22))),0)))))</f>
        <v>0</v>
      </c>
      <c r="N59" s="27" t="n">
        <f aca="false">IF(COUNT(Trigo!$E57:$Z57)=0,0,MAX(0,IF((N$6-$E$3)&lt;1,0,IFERROR(LOOKUP(2,1/(Trigo!$E57:INDEX(Trigo!$E57:$Z57,MIN(N$6-$E$3,22))&lt;&gt;""),Trigo!$E57:INDEX(Trigo!$E57:$Z57,MIN(N$6-$E$3,22))),0))-IF($G$2,0,IF((N$6-$G$3)&lt;1,0,IFERROR(LOOKUP(2,1/(Trigo!$E57:INDEX(Trigo!$E57:$Z57,MIN(N$6-$G$3,22))&lt;&gt;""),Trigo!$E57:INDEX(Trigo!$E57:$Z57,MIN(N$6-$G$3,22))),0)))))</f>
        <v>0</v>
      </c>
      <c r="O59" s="27" t="n">
        <f aca="false">IF(COUNT(Trigo!$E57:$Z57)=0,0,MAX(0,IF((O$6-$E$3)&lt;1,0,IFERROR(LOOKUP(2,1/(Trigo!$E57:INDEX(Trigo!$E57:$Z57,MIN(O$6-$E$3,22))&lt;&gt;""),Trigo!$E57:INDEX(Trigo!$E57:$Z57,MIN(O$6-$E$3,22))),0))-IF($G$2,0,IF((O$6-$G$3)&lt;1,0,IFERROR(LOOKUP(2,1/(Trigo!$E57:INDEX(Trigo!$E57:$Z57,MIN(O$6-$G$3,22))&lt;&gt;""),Trigo!$E57:INDEX(Trigo!$E57:$Z57,MIN(O$6-$G$3,22))),0)))))</f>
        <v>0</v>
      </c>
      <c r="P59" s="27" t="n">
        <f aca="false">IF(COUNT(Trigo!$E57:$Z57)=0,0,MAX(0,IF((P$6-$E$3)&lt;1,0,IFERROR(LOOKUP(2,1/(Trigo!$E57:INDEX(Trigo!$E57:$Z57,MIN(P$6-$E$3,22))&lt;&gt;""),Trigo!$E57:INDEX(Trigo!$E57:$Z57,MIN(P$6-$E$3,22))),0))-IF($G$2,0,IF((P$6-$G$3)&lt;1,0,IFERROR(LOOKUP(2,1/(Trigo!$E57:INDEX(Trigo!$E57:$Z57,MIN(P$6-$G$3,22))&lt;&gt;""),Trigo!$E57:INDEX(Trigo!$E57:$Z57,MIN(P$6-$G$3,22))),0)))))</f>
        <v>0</v>
      </c>
      <c r="Q59" s="27" t="n">
        <f aca="false">IF(COUNT(Trigo!$E57:$Z57)=0,0,MAX(0,IF((Q$6-$E$3)&lt;1,0,IFERROR(LOOKUP(2,1/(Trigo!$E57:INDEX(Trigo!$E57:$Z57,MIN(Q$6-$E$3,22))&lt;&gt;""),Trigo!$E57:INDEX(Trigo!$E57:$Z57,MIN(Q$6-$E$3,22))),0))-IF($G$2,0,IF((Q$6-$G$3)&lt;1,0,IFERROR(LOOKUP(2,1/(Trigo!$E57:INDEX(Trigo!$E57:$Z57,MIN(Q$6-$G$3,22))&lt;&gt;""),Trigo!$E57:INDEX(Trigo!$E57:$Z57,MIN(Q$6-$G$3,22))),0)))))</f>
        <v>0</v>
      </c>
      <c r="R59" s="27" t="n">
        <f aca="false">IF(COUNT(Trigo!$E57:$Z57)=0,0,MAX(0,IF((R$6-$E$3)&lt;1,0,IFERROR(LOOKUP(2,1/(Trigo!$E57:INDEX(Trigo!$E57:$Z57,MIN(R$6-$E$3,22))&lt;&gt;""),Trigo!$E57:INDEX(Trigo!$E57:$Z57,MIN(R$6-$E$3,22))),0))-IF($G$2,0,IF((R$6-$G$3)&lt;1,0,IFERROR(LOOKUP(2,1/(Trigo!$E57:INDEX(Trigo!$E57:$Z57,MIN(R$6-$G$3,22))&lt;&gt;""),Trigo!$E57:INDEX(Trigo!$E57:$Z57,MIN(R$6-$G$3,22))),0)))))</f>
        <v>0</v>
      </c>
      <c r="S59" s="27" t="n">
        <f aca="false">IF(COUNT(Trigo!$E57:$Z57)=0,0,MAX(0,IF((S$6-$E$3)&lt;1,0,IFERROR(LOOKUP(2,1/(Trigo!$E57:INDEX(Trigo!$E57:$Z57,MIN(S$6-$E$3,22))&lt;&gt;""),Trigo!$E57:INDEX(Trigo!$E57:$Z57,MIN(S$6-$E$3,22))),0))-IF($G$2,0,IF((S$6-$G$3)&lt;1,0,IFERROR(LOOKUP(2,1/(Trigo!$E57:INDEX(Trigo!$E57:$Z57,MIN(S$6-$G$3,22))&lt;&gt;""),Trigo!$E57:INDEX(Trigo!$E57:$Z57,MIN(S$6-$G$3,22))),0)))))</f>
        <v>0</v>
      </c>
      <c r="T59" s="27" t="n">
        <f aca="false">IF(COUNT(Trigo!$E57:$Z57)=0,0,MAX(0,IF((T$6-$E$3)&lt;1,0,IFERROR(LOOKUP(2,1/(Trigo!$E57:INDEX(Trigo!$E57:$Z57,MIN(T$6-$E$3,22))&lt;&gt;""),Trigo!$E57:INDEX(Trigo!$E57:$Z57,MIN(T$6-$E$3,22))),0))-IF($G$2,0,IF((T$6-$G$3)&lt;1,0,IFERROR(LOOKUP(2,1/(Trigo!$E57:INDEX(Trigo!$E57:$Z57,MIN(T$6-$G$3,22))&lt;&gt;""),Trigo!$E57:INDEX(Trigo!$E57:$Z57,MIN(T$6-$G$3,22))),0)))))</f>
        <v>0</v>
      </c>
      <c r="U59" s="27" t="n">
        <f aca="false">IF(COUNT(Trigo!$E57:$Z57)=0,0,MAX(0,IF((U$6-$E$3)&lt;1,0,IFERROR(LOOKUP(2,1/(Trigo!$E57:INDEX(Trigo!$E57:$Z57,MIN(U$6-$E$3,22))&lt;&gt;""),Trigo!$E57:INDEX(Trigo!$E57:$Z57,MIN(U$6-$E$3,22))),0))-IF($G$2,0,IF((U$6-$G$3)&lt;1,0,IFERROR(LOOKUP(2,1/(Trigo!$E57:INDEX(Trigo!$E57:$Z57,MIN(U$6-$G$3,22))&lt;&gt;""),Trigo!$E57:INDEX(Trigo!$E57:$Z57,MIN(U$6-$G$3,22))),0)))))</f>
        <v>0</v>
      </c>
      <c r="V59" s="27" t="n">
        <f aca="false">IF(COUNT(Trigo!$E57:$Z57)=0,0,MAX(0,IF((V$6-$E$3)&lt;1,0,IFERROR(LOOKUP(2,1/(Trigo!$E57:INDEX(Trigo!$E57:$Z57,MIN(V$6-$E$3,22))&lt;&gt;""),Trigo!$E57:INDEX(Trigo!$E57:$Z57,MIN(V$6-$E$3,22))),0))-IF($G$2,0,IF((V$6-$G$3)&lt;1,0,IFERROR(LOOKUP(2,1/(Trigo!$E57:INDEX(Trigo!$E57:$Z57,MIN(V$6-$G$3,22))&lt;&gt;""),Trigo!$E57:INDEX(Trigo!$E57:$Z57,MIN(V$6-$G$3,22))),0)))))</f>
        <v>0</v>
      </c>
      <c r="W59" s="27" t="n">
        <f aca="false">IF(COUNT(Trigo!$E57:$Z57)=0,0,MAX(0,IF((W$6-$E$3)&lt;1,0,IFERROR(LOOKUP(2,1/(Trigo!$E57:INDEX(Trigo!$E57:$Z57,MIN(W$6-$E$3,22))&lt;&gt;""),Trigo!$E57:INDEX(Trigo!$E57:$Z57,MIN(W$6-$E$3,22))),0))-IF($G$2,0,IF((W$6-$G$3)&lt;1,0,IFERROR(LOOKUP(2,1/(Trigo!$E57:INDEX(Trigo!$E57:$Z57,MIN(W$6-$G$3,22))&lt;&gt;""),Trigo!$E57:INDEX(Trigo!$E57:$Z57,MIN(W$6-$G$3,22))),0)))))</f>
        <v>0</v>
      </c>
      <c r="X59" s="27" t="n">
        <f aca="false">IF(COUNT(Trigo!$E57:$Z57)=0,0,MAX(0,IF((X$6-$E$3)&lt;1,0,IFERROR(LOOKUP(2,1/(Trigo!$E57:INDEX(Trigo!$E57:$Z57,MIN(X$6-$E$3,22))&lt;&gt;""),Trigo!$E57:INDEX(Trigo!$E57:$Z57,MIN(X$6-$E$3,22))),0))-IF($G$2,0,IF((X$6-$G$3)&lt;1,0,IFERROR(LOOKUP(2,1/(Trigo!$E57:INDEX(Trigo!$E57:$Z57,MIN(X$6-$G$3,22))&lt;&gt;""),Trigo!$E57:INDEX(Trigo!$E57:$Z57,MIN(X$6-$G$3,22))),0)))))</f>
        <v>0</v>
      </c>
      <c r="Y59" s="27" t="n">
        <f aca="false">IF(COUNT(Trigo!$E57:$Z57)=0,0,MAX(0,IF((Y$6-$E$3)&lt;1,0,IFERROR(LOOKUP(2,1/(Trigo!$E57:INDEX(Trigo!$E57:$Z57,MIN(Y$6-$E$3,22))&lt;&gt;""),Trigo!$E57:INDEX(Trigo!$E57:$Z57,MIN(Y$6-$E$3,22))),0))-IF($G$2,0,IF((Y$6-$G$3)&lt;1,0,IFERROR(LOOKUP(2,1/(Trigo!$E57:INDEX(Trigo!$E57:$Z57,MIN(Y$6-$G$3,22))&lt;&gt;""),Trigo!$E57:INDEX(Trigo!$E57:$Z57,MIN(Y$6-$G$3,22))),0)))))</f>
        <v>0</v>
      </c>
      <c r="Z59" s="27" t="n">
        <f aca="false">IF(COUNT(Trigo!$E57:$Z57)=0,0,MAX(0,IF((Z$6-$E$3)&lt;1,0,IFERROR(LOOKUP(2,1/(Trigo!$E57:INDEX(Trigo!$E57:$Z57,MIN(Z$6-$E$3,22))&lt;&gt;""),Trigo!$E57:INDEX(Trigo!$E57:$Z57,MIN(Z$6-$E$3,22))),0))-IF($G$2,0,IF((Z$6-$G$3)&lt;1,0,IFERROR(LOOKUP(2,1/(Trigo!$E57:INDEX(Trigo!$E57:$Z57,MIN(Z$6-$G$3,22))&lt;&gt;""),Trigo!$E57:INDEX(Trigo!$E57:$Z57,MIN(Z$6-$G$3,22))),0)))))</f>
        <v>0</v>
      </c>
      <c r="AA59" s="27" t="n">
        <f aca="false">IF(COUNT(Trigo!$E57:$Z57)=0,0,MAX(0,IF((AA$6-$E$3)&lt;1,0,IFERROR(LOOKUP(2,1/(Trigo!$E57:INDEX(Trigo!$E57:$Z57,MIN(AA$6-$E$3,22))&lt;&gt;""),Trigo!$E57:INDEX(Trigo!$E57:$Z57,MIN(AA$6-$E$3,22))),0))-IF($G$2,0,IF((AA$6-$G$3)&lt;1,0,IFERROR(LOOKUP(2,1/(Trigo!$E57:INDEX(Trigo!$E57:$Z57,MIN(AA$6-$G$3,22))&lt;&gt;""),Trigo!$E57:INDEX(Trigo!$E57:$Z57,MIN(AA$6-$G$3,22))),0)))))</f>
        <v>0</v>
      </c>
      <c r="AB59" s="27" t="n">
        <f aca="false">IF(COUNT(Trigo!$E57:$Z57)=0,0,MAX(0,IF((AB$6-$E$3)&lt;1,0,IFERROR(LOOKUP(2,1/(Trigo!$E57:INDEX(Trigo!$E57:$Z57,MIN(AB$6-$E$3,22))&lt;&gt;""),Trigo!$E57:INDEX(Trigo!$E57:$Z57,MIN(AB$6-$E$3,22))),0))-IF($G$2,0,IF((AB$6-$G$3)&lt;1,0,IFERROR(LOOKUP(2,1/(Trigo!$E57:INDEX(Trigo!$E57:$Z57,MIN(AB$6-$G$3,22))&lt;&gt;""),Trigo!$E57:INDEX(Trigo!$E57:$Z57,MIN(AB$6-$G$3,22))),0)))))</f>
        <v>0</v>
      </c>
      <c r="AC59" s="27" t="n">
        <f aca="false">IF(COUNT(Trigo!$E57:$Z57)=0,0,MAX(0,IF((AC$6-$E$3)&lt;1,0,IFERROR(LOOKUP(2,1/(Trigo!$E57:INDEX(Trigo!$E57:$Z57,MIN(AC$6-$E$3,22))&lt;&gt;""),Trigo!$E57:INDEX(Trigo!$E57:$Z57,MIN(AC$6-$E$3,22))),0))-IF($G$2,0,IF((AC$6-$G$3)&lt;1,0,IFERROR(LOOKUP(2,1/(Trigo!$E57:INDEX(Trigo!$E57:$Z57,MIN(AC$6-$G$3,22))&lt;&gt;""),Trigo!$E57:INDEX(Trigo!$E57:$Z57,MIN(AC$6-$G$3,22))),0)))))</f>
        <v>0</v>
      </c>
      <c r="AD59" s="27" t="n">
        <f aca="false">IF(COUNT(Trigo!$E57:$Z57)=0,0,MAX(0,IF((AD$6-$E$3)&lt;1,0,IFERROR(LOOKUP(2,1/(Trigo!$E57:INDEX(Trigo!$E57:$Z57,MIN(AD$6-$E$3,22))&lt;&gt;""),Trigo!$E57:INDEX(Trigo!$E57:$Z57,MIN(AD$6-$E$3,22))),0))-IF($G$2,0,IF((AD$6-$G$3)&lt;1,0,IFERROR(LOOKUP(2,1/(Trigo!$E57:INDEX(Trigo!$E57:$Z57,MIN(AD$6-$G$3,22))&lt;&gt;""),Trigo!$E57:INDEX(Trigo!$E57:$Z57,MIN(AD$6-$G$3,22))),0)))))</f>
        <v>0</v>
      </c>
      <c r="AE59" s="27" t="n">
        <f aca="false">IF(COUNT(Trigo!$E57:$Z57)=0,0,MAX(0,IF((AE$6-$E$3)&lt;1,0,IFERROR(LOOKUP(2,1/(Trigo!$E57:INDEX(Trigo!$E57:$Z57,MIN(AE$6-$E$3,22))&lt;&gt;""),Trigo!$E57:INDEX(Trigo!$E57:$Z57,MIN(AE$6-$E$3,22))),0))-IF($G$2,0,IF((AE$6-$G$3)&lt;1,0,IFERROR(LOOKUP(2,1/(Trigo!$E57:INDEX(Trigo!$E57:$Z57,MIN(AE$6-$G$3,22))&lt;&gt;""),Trigo!$E57:INDEX(Trigo!$E57:$Z57,MIN(AE$6-$G$3,22))),0)))))</f>
        <v>0</v>
      </c>
      <c r="AF59" s="27" t="n">
        <f aca="false">IF(COUNT(Trigo!$E57:$Z57)=0,0,MAX(0,IF((AF$6-$E$3)&lt;1,0,IFERROR(LOOKUP(2,1/(Trigo!$E57:INDEX(Trigo!$E57:$Z57,MIN(AF$6-$E$3,22))&lt;&gt;""),Trigo!$E57:INDEX(Trigo!$E57:$Z57,MIN(AF$6-$E$3,22))),0))-IF($G$2,0,IF((AF$6-$G$3)&lt;1,0,IFERROR(LOOKUP(2,1/(Trigo!$E57:INDEX(Trigo!$E57:$Z57,MIN(AF$6-$G$3,22))&lt;&gt;""),Trigo!$E57:INDEX(Trigo!$E57:$Z57,MIN(AF$6-$G$3,22))),0)))))</f>
        <v>0</v>
      </c>
      <c r="AG59" s="27" t="n">
        <f aca="false">IF(COUNT(Trigo!$E57:$Z57)=0,0,MAX(0,IF((AG$6-$E$3)&lt;1,0,IFERROR(LOOKUP(2,1/(Trigo!$E57:INDEX(Trigo!$E57:$Z57,MIN(AG$6-$E$3,22))&lt;&gt;""),Trigo!$E57:INDEX(Trigo!$E57:$Z57,MIN(AG$6-$E$3,22))),0))-IF($G$2,0,IF((AG$6-$G$3)&lt;1,0,IFERROR(LOOKUP(2,1/(Trigo!$E57:INDEX(Trigo!$E57:$Z57,MIN(AG$6-$G$3,22))&lt;&gt;""),Trigo!$E57:INDEX(Trigo!$E57:$Z57,MIN(AG$6-$G$3,22))),0)))))</f>
        <v>0</v>
      </c>
      <c r="AH59" s="27" t="n">
        <f aca="false">IF(COUNT(Trigo!$E57:$Z57)=0,0,MAX(0,IF((AH$6-$E$3)&lt;1,0,IFERROR(LOOKUP(2,1/(Trigo!$E57:INDEX(Trigo!$E57:$Z57,MIN(AH$6-$E$3,22))&lt;&gt;""),Trigo!$E57:INDEX(Trigo!$E57:$Z57,MIN(AH$6-$E$3,22))),0))-IF($G$2,0,IF((AH$6-$G$3)&lt;1,0,IFERROR(LOOKUP(2,1/(Trigo!$E57:INDEX(Trigo!$E57:$Z57,MIN(AH$6-$G$3,22))&lt;&gt;""),Trigo!$E57:INDEX(Trigo!$E57:$Z57,MIN(AH$6-$G$3,22))),0)))))</f>
        <v>0</v>
      </c>
      <c r="AI59" s="27" t="n">
        <f aca="false">IF(COUNT(Trigo!$E57:$Z57)=0,0,MAX(0,IF((AI$6-$E$3)&lt;1,0,IFERROR(LOOKUP(2,1/(Trigo!$E57:INDEX(Trigo!$E57:$Z57,MIN(AI$6-$E$3,22))&lt;&gt;""),Trigo!$E57:INDEX(Trigo!$E57:$Z57,MIN(AI$6-$E$3,22))),0))-IF($G$2,0,IF((AI$6-$G$3)&lt;1,0,IFERROR(LOOKUP(2,1/(Trigo!$E57:INDEX(Trigo!$E57:$Z57,MIN(AI$6-$G$3,22))&lt;&gt;""),Trigo!$E57:INDEX(Trigo!$E57:$Z57,MIN(AI$6-$G$3,22))),0)))))</f>
        <v>0</v>
      </c>
      <c r="AJ59" s="27" t="n">
        <f aca="false">IF(COUNT(Trigo!$E57:$Z57)=0,0,MAX(0,IF((AJ$6-$E$3)&lt;1,0,IFERROR(LOOKUP(2,1/(Trigo!$E57:INDEX(Trigo!$E57:$Z57,MIN(AJ$6-$E$3,22))&lt;&gt;""),Trigo!$E57:INDEX(Trigo!$E57:$Z57,MIN(AJ$6-$E$3,22))),0))-IF($G$2,0,IF((AJ$6-$G$3)&lt;1,0,IFERROR(LOOKUP(2,1/(Trigo!$E57:INDEX(Trigo!$E57:$Z57,MIN(AJ$6-$G$3,22))&lt;&gt;""),Trigo!$E57:INDEX(Trigo!$E57:$Z57,MIN(AJ$6-$G$3,22))),0)))))</f>
        <v>0</v>
      </c>
      <c r="AK59" s="27" t="n">
        <f aca="false">IF(COUNT(Trigo!$E57:$Z57)=0,0,MAX(0,IF((AK$6-$E$3)&lt;1,0,IFERROR(LOOKUP(2,1/(Trigo!$E57:INDEX(Trigo!$E57:$Z57,MIN(AK$6-$E$3,22))&lt;&gt;""),Trigo!$E57:INDEX(Trigo!$E57:$Z57,MIN(AK$6-$E$3,22))),0))-IF($G$2,0,IF((AK$6-$G$3)&lt;1,0,IFERROR(LOOKUP(2,1/(Trigo!$E57:INDEX(Trigo!$E57:$Z57,MIN(AK$6-$G$3,22))&lt;&gt;""),Trigo!$E57:INDEX(Trigo!$E57:$Z57,MIN(AK$6-$G$3,22))),0)))))</f>
        <v>0</v>
      </c>
      <c r="AL59" s="27" t="n">
        <f aca="false">IF(COUNT(Trigo!$E57:$Z57)=0,0,MAX(0,IF((AL$6-$E$3)&lt;1,0,IFERROR(LOOKUP(2,1/(Trigo!$E57:INDEX(Trigo!$E57:$Z57,MIN(AL$6-$E$3,22))&lt;&gt;""),Trigo!$E57:INDEX(Trigo!$E57:$Z57,MIN(AL$6-$E$3,22))),0))-IF($G$2,0,IF((AL$6-$G$3)&lt;1,0,IFERROR(LOOKUP(2,1/(Trigo!$E57:INDEX(Trigo!$E57:$Z57,MIN(AL$6-$G$3,22))&lt;&gt;""),Trigo!$E57:INDEX(Trigo!$E57:$Z57,MIN(AL$6-$G$3,22))),0)))))</f>
        <v>0</v>
      </c>
      <c r="AM59" s="27" t="n">
        <f aca="false">IF(COUNT(Trigo!$E57:$Z57)=0,0,MAX(0,IF((AM$6-$E$3)&lt;1,0,IFERROR(LOOKUP(2,1/(Trigo!$E57:INDEX(Trigo!$E57:$Z57,MIN(AM$6-$E$3,22))&lt;&gt;""),Trigo!$E57:INDEX(Trigo!$E57:$Z57,MIN(AM$6-$E$3,22))),0))-IF($G$2,0,IF((AM$6-$G$3)&lt;1,0,IFERROR(LOOKUP(2,1/(Trigo!$E57:INDEX(Trigo!$E57:$Z57,MIN(AM$6-$G$3,22))&lt;&gt;""),Trigo!$E57:INDEX(Trigo!$E57:$Z57,MIN(AM$6-$G$3,22))),0)))))</f>
        <v>0</v>
      </c>
      <c r="AN59" s="27" t="n">
        <f aca="false">IF(COUNT(Trigo!$E57:$Z57)=0,0,MAX(0,IF((AN$6-$E$3)&lt;1,0,IFERROR(LOOKUP(2,1/(Trigo!$E57:INDEX(Trigo!$E57:$Z57,MIN(AN$6-$E$3,22))&lt;&gt;""),Trigo!$E57:INDEX(Trigo!$E57:$Z57,MIN(AN$6-$E$3,22))),0))-IF($G$2,0,IF((AN$6-$G$3)&lt;1,0,IFERROR(LOOKUP(2,1/(Trigo!$E57:INDEX(Trigo!$E57:$Z57,MIN(AN$6-$G$3,22))&lt;&gt;""),Trigo!$E57:INDEX(Trigo!$E57:$Z57,MIN(AN$6-$G$3,22))),0)))))</f>
        <v>0</v>
      </c>
      <c r="AO59" s="27" t="n">
        <f aca="false">IF(COUNT(Trigo!$E57:$Z57)=0,0,MAX(0,IF((AO$6-$E$3)&lt;1,0,IFERROR(LOOKUP(2,1/(Trigo!$E57:INDEX(Trigo!$E57:$Z57,MIN(AO$6-$E$3,22))&lt;&gt;""),Trigo!$E57:INDEX(Trigo!$E57:$Z57,MIN(AO$6-$E$3,22))),0))-IF($G$2,0,IF((AO$6-$G$3)&lt;1,0,IFERROR(LOOKUP(2,1/(Trigo!$E57:INDEX(Trigo!$E57:$Z57,MIN(AO$6-$G$3,22))&lt;&gt;""),Trigo!$E57:INDEX(Trigo!$E57:$Z57,MIN(AO$6-$G$3,22))),0)))))</f>
        <v>0</v>
      </c>
      <c r="AP59" s="27" t="n">
        <f aca="false">IF(COUNT(Trigo!$E57:$Z57)=0,0,MAX(0,IF((AP$6-$E$3)&lt;1,0,IFERROR(LOOKUP(2,1/(Trigo!$E57:INDEX(Trigo!$E57:$Z57,MIN(AP$6-$E$3,22))&lt;&gt;""),Trigo!$E57:INDEX(Trigo!$E57:$Z57,MIN(AP$6-$E$3,22))),0))-IF($G$2,0,IF((AP$6-$G$3)&lt;1,0,IFERROR(LOOKUP(2,1/(Trigo!$E57:INDEX(Trigo!$E57:$Z57,MIN(AP$6-$G$3,22))&lt;&gt;""),Trigo!$E57:INDEX(Trigo!$E57:$Z57,MIN(AP$6-$G$3,22))),0)))))</f>
        <v>0</v>
      </c>
      <c r="AQ59" s="27" t="n">
        <f aca="false">IF(COUNT(Trigo!$E57:$Z57)=0,0,MAX(0,IF((AQ$6-$E$3)&lt;1,0,IFERROR(LOOKUP(2,1/(Trigo!$E57:INDEX(Trigo!$E57:$Z57,MIN(AQ$6-$E$3,22))&lt;&gt;""),Trigo!$E57:INDEX(Trigo!$E57:$Z57,MIN(AQ$6-$E$3,22))),0))-IF($G$2,0,IF((AQ$6-$G$3)&lt;1,0,IFERROR(LOOKUP(2,1/(Trigo!$E57:INDEX(Trigo!$E57:$Z57,MIN(AQ$6-$G$3,22))&lt;&gt;""),Trigo!$E57:INDEX(Trigo!$E57:$Z57,MIN(AQ$6-$G$3,22))),0)))))</f>
        <v>0</v>
      </c>
      <c r="AR59" s="27" t="n">
        <f aca="false">IF(COUNT(Trigo!$E57:$Z57)=0,0,MAX(0,IF((AR$6-$E$3)&lt;1,0,IFERROR(LOOKUP(2,1/(Trigo!$E57:INDEX(Trigo!$E57:$Z57,MIN(AR$6-$E$3,22))&lt;&gt;""),Trigo!$E57:INDEX(Trigo!$E57:$Z57,MIN(AR$6-$E$3,22))),0))-IF($G$2,0,IF((AR$6-$G$3)&lt;1,0,IFERROR(LOOKUP(2,1/(Trigo!$E57:INDEX(Trigo!$E57:$Z57,MIN(AR$6-$G$3,22))&lt;&gt;""),Trigo!$E57:INDEX(Trigo!$E57:$Z57,MIN(AR$6-$G$3,22))),0)))))</f>
        <v>0</v>
      </c>
      <c r="AS59" s="27" t="n">
        <f aca="false">IF(COUNT(Trigo!$E57:$Z57)=0,0,MAX(0,IF((AS$6-$E$3)&lt;1,0,IFERROR(LOOKUP(2,1/(Trigo!$E57:INDEX(Trigo!$E57:$Z57,MIN(AS$6-$E$3,22))&lt;&gt;""),Trigo!$E57:INDEX(Trigo!$E57:$Z57,MIN(AS$6-$E$3,22))),0))-IF($G$2,0,IF((AS$6-$G$3)&lt;1,0,IFERROR(LOOKUP(2,1/(Trigo!$E57:INDEX(Trigo!$E57:$Z57,MIN(AS$6-$G$3,22))&lt;&gt;""),Trigo!$E57:INDEX(Trigo!$E57:$Z57,MIN(AS$6-$G$3,22))),0)))))</f>
        <v>0</v>
      </c>
      <c r="AT59" s="27" t="n">
        <f aca="false">IF(COUNT(Trigo!$E57:$Z57)=0,0,MAX(0,IF((AT$6-$E$3)&lt;1,0,IFERROR(LOOKUP(2,1/(Trigo!$E57:INDEX(Trigo!$E57:$Z57,MIN(AT$6-$E$3,22))&lt;&gt;""),Trigo!$E57:INDEX(Trigo!$E57:$Z57,MIN(AT$6-$E$3,22))),0))-IF($G$2,0,IF((AT$6-$G$3)&lt;1,0,IFERROR(LOOKUP(2,1/(Trigo!$E57:INDEX(Trigo!$E57:$Z57,MIN(AT$6-$G$3,22))&lt;&gt;""),Trigo!$E57:INDEX(Trigo!$E57:$Z57,MIN(AT$6-$G$3,22))),0)))))</f>
        <v>0</v>
      </c>
      <c r="AU59" s="27" t="n">
        <f aca="false">IF(COUNT(Trigo!$E57:$Z57)=0,0,MAX(0,IF((AU$6-$E$3)&lt;1,0,IFERROR(LOOKUP(2,1/(Trigo!$E57:INDEX(Trigo!$E57:$Z57,MIN(AU$6-$E$3,22))&lt;&gt;""),Trigo!$E57:INDEX(Trigo!$E57:$Z57,MIN(AU$6-$E$3,22))),0))-IF($G$2,0,IF((AU$6-$G$3)&lt;1,0,IFERROR(LOOKUP(2,1/(Trigo!$E57:INDEX(Trigo!$E57:$Z57,MIN(AU$6-$G$3,22))&lt;&gt;""),Trigo!$E57:INDEX(Trigo!$E57:$Z57,MIN(AU$6-$G$3,22))),0)))))</f>
        <v>0</v>
      </c>
      <c r="AV59" s="27" t="n">
        <f aca="false">IF(COUNT(Trigo!$E57:$Z57)=0,0,MAX(0,IF((AV$6-$E$3)&lt;1,0,IFERROR(LOOKUP(2,1/(Trigo!$E57:INDEX(Trigo!$E57:$Z57,MIN(AV$6-$E$3,22))&lt;&gt;""),Trigo!$E57:INDEX(Trigo!$E57:$Z57,MIN(AV$6-$E$3,22))),0))-IF($G$2,0,IF((AV$6-$G$3)&lt;1,0,IFERROR(LOOKUP(2,1/(Trigo!$E57:INDEX(Trigo!$E57:$Z57,MIN(AV$6-$G$3,22))&lt;&gt;""),Trigo!$E57:INDEX(Trigo!$E57:$Z57,MIN(AV$6-$G$3,22))),0)))))</f>
        <v>0</v>
      </c>
      <c r="AW59" s="27" t="n">
        <f aca="false">IF(COUNT(Trigo!$E57:$Z57)=0,0,MAX(0,IF((AW$6-$E$3)&lt;1,0,IFERROR(LOOKUP(2,1/(Trigo!$E57:INDEX(Trigo!$E57:$Z57,MIN(AW$6-$E$3,22))&lt;&gt;""),Trigo!$E57:INDEX(Trigo!$E57:$Z57,MIN(AW$6-$E$3,22))),0))-IF($G$2,0,IF((AW$6-$G$3)&lt;1,0,IFERROR(LOOKUP(2,1/(Trigo!$E57:INDEX(Trigo!$E57:$Z57,MIN(AW$6-$G$3,22))&lt;&gt;""),Trigo!$E57:INDEX(Trigo!$E57:$Z57,MIN(AW$6-$G$3,22))),0)))))</f>
        <v>0</v>
      </c>
      <c r="AX59" s="27" t="n">
        <f aca="false">IF(COUNT(Trigo!$E57:$Z57)=0,0,MAX(0,IF((AX$6-$E$3)&lt;1,0,IFERROR(LOOKUP(2,1/(Trigo!$E57:INDEX(Trigo!$E57:$Z57,MIN(AX$6-$E$3,22))&lt;&gt;""),Trigo!$E57:INDEX(Trigo!$E57:$Z57,MIN(AX$6-$E$3,22))),0))-IF($G$2,0,IF((AX$6-$G$3)&lt;1,0,IFERROR(LOOKUP(2,1/(Trigo!$E57:INDEX(Trigo!$E57:$Z57,MIN(AX$6-$G$3,22))&lt;&gt;""),Trigo!$E57:INDEX(Trigo!$E57:$Z57,MIN(AX$6-$G$3,22))),0)))))</f>
        <v>0</v>
      </c>
      <c r="AY59" s="27" t="n">
        <f aca="false">IF(COUNT(Trigo!$E57:$Z57)=0,0,MAX(0,IF((AY$6-$E$3)&lt;1,0,IFERROR(LOOKUP(2,1/(Trigo!$E57:INDEX(Trigo!$E57:$Z57,MIN(AY$6-$E$3,22))&lt;&gt;""),Trigo!$E57:INDEX(Trigo!$E57:$Z57,MIN(AY$6-$E$3,22))),0))-IF($G$2,0,IF((AY$6-$G$3)&lt;1,0,IFERROR(LOOKUP(2,1/(Trigo!$E57:INDEX(Trigo!$E57:$Z57,MIN(AY$6-$G$3,22))&lt;&gt;""),Trigo!$E57:INDEX(Trigo!$E57:$Z57,MIN(AY$6-$G$3,22))),0)))))</f>
        <v>0</v>
      </c>
      <c r="AZ59" s="27" t="n">
        <f aca="false">IF(COUNT(Trigo!$E57:$Z57)=0,0,MAX(0,IF((AZ$6-$E$3)&lt;1,0,IFERROR(LOOKUP(2,1/(Trigo!$E57:INDEX(Trigo!$E57:$Z57,MIN(AZ$6-$E$3,22))&lt;&gt;""),Trigo!$E57:INDEX(Trigo!$E57:$Z57,MIN(AZ$6-$E$3,22))),0))-IF($G$2,0,IF((AZ$6-$G$3)&lt;1,0,IFERROR(LOOKUP(2,1/(Trigo!$E57:INDEX(Trigo!$E57:$Z57,MIN(AZ$6-$G$3,22))&lt;&gt;""),Trigo!$E57:INDEX(Trigo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IF(COUNT(Trigo!$E58:$Z58)&gt;0,N(Trigo!$D58),0)</f>
        <v>0</v>
      </c>
      <c r="E60" s="27" t="n">
        <f aca="false">IF(COUNT(Trigo!$E58:$Z58)=0,0,MAX(0,IF((E$6-$E$3)&lt;1,0,IFERROR(LOOKUP(2,1/(Trigo!$E58:INDEX(Trigo!$E58:$Z58,MIN(E$6-$E$3,22))&lt;&gt;""),Trigo!$E58:INDEX(Trigo!$E58:$Z58,MIN(E$6-$E$3,22))),0))-IF($G$2,0,IF((E$6-$G$3)&lt;1,0,IFERROR(LOOKUP(2,1/(Trigo!$E58:INDEX(Trigo!$E58:$Z58,MIN(E$6-$G$3,22))&lt;&gt;""),Trigo!$E58:INDEX(Trigo!$E58:$Z58,MIN(E$6-$G$3,22))),0)))))</f>
        <v>0</v>
      </c>
      <c r="F60" s="27" t="n">
        <f aca="false">IF(COUNT(Trigo!$E58:$Z58)=0,0,MAX(0,IF((F$6-$E$3)&lt;1,0,IFERROR(LOOKUP(2,1/(Trigo!$E58:INDEX(Trigo!$E58:$Z58,MIN(F$6-$E$3,22))&lt;&gt;""),Trigo!$E58:INDEX(Trigo!$E58:$Z58,MIN(F$6-$E$3,22))),0))-IF($G$2,0,IF((F$6-$G$3)&lt;1,0,IFERROR(LOOKUP(2,1/(Trigo!$E58:INDEX(Trigo!$E58:$Z58,MIN(F$6-$G$3,22))&lt;&gt;""),Trigo!$E58:INDEX(Trigo!$E58:$Z58,MIN(F$6-$G$3,22))),0)))))</f>
        <v>0</v>
      </c>
      <c r="G60" s="27" t="n">
        <f aca="false">IF(COUNT(Trigo!$E58:$Z58)=0,0,MAX(0,IF((G$6-$E$3)&lt;1,0,IFERROR(LOOKUP(2,1/(Trigo!$E58:INDEX(Trigo!$E58:$Z58,MIN(G$6-$E$3,22))&lt;&gt;""),Trigo!$E58:INDEX(Trigo!$E58:$Z58,MIN(G$6-$E$3,22))),0))-IF($G$2,0,IF((G$6-$G$3)&lt;1,0,IFERROR(LOOKUP(2,1/(Trigo!$E58:INDEX(Trigo!$E58:$Z58,MIN(G$6-$G$3,22))&lt;&gt;""),Trigo!$E58:INDEX(Trigo!$E58:$Z58,MIN(G$6-$G$3,22))),0)))))</f>
        <v>0</v>
      </c>
      <c r="H60" s="27" t="n">
        <f aca="false">IF(COUNT(Trigo!$E58:$Z58)=0,0,MAX(0,IF((H$6-$E$3)&lt;1,0,IFERROR(LOOKUP(2,1/(Trigo!$E58:INDEX(Trigo!$E58:$Z58,MIN(H$6-$E$3,22))&lt;&gt;""),Trigo!$E58:INDEX(Trigo!$E58:$Z58,MIN(H$6-$E$3,22))),0))-IF($G$2,0,IF((H$6-$G$3)&lt;1,0,IFERROR(LOOKUP(2,1/(Trigo!$E58:INDEX(Trigo!$E58:$Z58,MIN(H$6-$G$3,22))&lt;&gt;""),Trigo!$E58:INDEX(Trigo!$E58:$Z58,MIN(H$6-$G$3,22))),0)))))</f>
        <v>0</v>
      </c>
      <c r="I60" s="27" t="n">
        <f aca="false">IF(COUNT(Trigo!$E58:$Z58)=0,0,MAX(0,IF((I$6-$E$3)&lt;1,0,IFERROR(LOOKUP(2,1/(Trigo!$E58:INDEX(Trigo!$E58:$Z58,MIN(I$6-$E$3,22))&lt;&gt;""),Trigo!$E58:INDEX(Trigo!$E58:$Z58,MIN(I$6-$E$3,22))),0))-IF($G$2,0,IF((I$6-$G$3)&lt;1,0,IFERROR(LOOKUP(2,1/(Trigo!$E58:INDEX(Trigo!$E58:$Z58,MIN(I$6-$G$3,22))&lt;&gt;""),Trigo!$E58:INDEX(Trigo!$E58:$Z58,MIN(I$6-$G$3,22))),0)))))</f>
        <v>0</v>
      </c>
      <c r="J60" s="27" t="n">
        <f aca="false">IF(COUNT(Trigo!$E58:$Z58)=0,0,MAX(0,IF((J$6-$E$3)&lt;1,0,IFERROR(LOOKUP(2,1/(Trigo!$E58:INDEX(Trigo!$E58:$Z58,MIN(J$6-$E$3,22))&lt;&gt;""),Trigo!$E58:INDEX(Trigo!$E58:$Z58,MIN(J$6-$E$3,22))),0))-IF($G$2,0,IF((J$6-$G$3)&lt;1,0,IFERROR(LOOKUP(2,1/(Trigo!$E58:INDEX(Trigo!$E58:$Z58,MIN(J$6-$G$3,22))&lt;&gt;""),Trigo!$E58:INDEX(Trigo!$E58:$Z58,MIN(J$6-$G$3,22))),0)))))</f>
        <v>0</v>
      </c>
      <c r="K60" s="27" t="n">
        <f aca="false">IF(COUNT(Trigo!$E58:$Z58)=0,0,MAX(0,IF((K$6-$E$3)&lt;1,0,IFERROR(LOOKUP(2,1/(Trigo!$E58:INDEX(Trigo!$E58:$Z58,MIN(K$6-$E$3,22))&lt;&gt;""),Trigo!$E58:INDEX(Trigo!$E58:$Z58,MIN(K$6-$E$3,22))),0))-IF($G$2,0,IF((K$6-$G$3)&lt;1,0,IFERROR(LOOKUP(2,1/(Trigo!$E58:INDEX(Trigo!$E58:$Z58,MIN(K$6-$G$3,22))&lt;&gt;""),Trigo!$E58:INDEX(Trigo!$E58:$Z58,MIN(K$6-$G$3,22))),0)))))</f>
        <v>0</v>
      </c>
      <c r="L60" s="27" t="n">
        <f aca="false">IF(COUNT(Trigo!$E58:$Z58)=0,0,MAX(0,IF((L$6-$E$3)&lt;1,0,IFERROR(LOOKUP(2,1/(Trigo!$E58:INDEX(Trigo!$E58:$Z58,MIN(L$6-$E$3,22))&lt;&gt;""),Trigo!$E58:INDEX(Trigo!$E58:$Z58,MIN(L$6-$E$3,22))),0))-IF($G$2,0,IF((L$6-$G$3)&lt;1,0,IFERROR(LOOKUP(2,1/(Trigo!$E58:INDEX(Trigo!$E58:$Z58,MIN(L$6-$G$3,22))&lt;&gt;""),Trigo!$E58:INDEX(Trigo!$E58:$Z58,MIN(L$6-$G$3,22))),0)))))</f>
        <v>0</v>
      </c>
      <c r="M60" s="27" t="n">
        <f aca="false">IF(COUNT(Trigo!$E58:$Z58)=0,0,MAX(0,IF((M$6-$E$3)&lt;1,0,IFERROR(LOOKUP(2,1/(Trigo!$E58:INDEX(Trigo!$E58:$Z58,MIN(M$6-$E$3,22))&lt;&gt;""),Trigo!$E58:INDEX(Trigo!$E58:$Z58,MIN(M$6-$E$3,22))),0))-IF($G$2,0,IF((M$6-$G$3)&lt;1,0,IFERROR(LOOKUP(2,1/(Trigo!$E58:INDEX(Trigo!$E58:$Z58,MIN(M$6-$G$3,22))&lt;&gt;""),Trigo!$E58:INDEX(Trigo!$E58:$Z58,MIN(M$6-$G$3,22))),0)))))</f>
        <v>0</v>
      </c>
      <c r="N60" s="27" t="n">
        <f aca="false">IF(COUNT(Trigo!$E58:$Z58)=0,0,MAX(0,IF((N$6-$E$3)&lt;1,0,IFERROR(LOOKUP(2,1/(Trigo!$E58:INDEX(Trigo!$E58:$Z58,MIN(N$6-$E$3,22))&lt;&gt;""),Trigo!$E58:INDEX(Trigo!$E58:$Z58,MIN(N$6-$E$3,22))),0))-IF($G$2,0,IF((N$6-$G$3)&lt;1,0,IFERROR(LOOKUP(2,1/(Trigo!$E58:INDEX(Trigo!$E58:$Z58,MIN(N$6-$G$3,22))&lt;&gt;""),Trigo!$E58:INDEX(Trigo!$E58:$Z58,MIN(N$6-$G$3,22))),0)))))</f>
        <v>0</v>
      </c>
      <c r="O60" s="27" t="n">
        <f aca="false">IF(COUNT(Trigo!$E58:$Z58)=0,0,MAX(0,IF((O$6-$E$3)&lt;1,0,IFERROR(LOOKUP(2,1/(Trigo!$E58:INDEX(Trigo!$E58:$Z58,MIN(O$6-$E$3,22))&lt;&gt;""),Trigo!$E58:INDEX(Trigo!$E58:$Z58,MIN(O$6-$E$3,22))),0))-IF($G$2,0,IF((O$6-$G$3)&lt;1,0,IFERROR(LOOKUP(2,1/(Trigo!$E58:INDEX(Trigo!$E58:$Z58,MIN(O$6-$G$3,22))&lt;&gt;""),Trigo!$E58:INDEX(Trigo!$E58:$Z58,MIN(O$6-$G$3,22))),0)))))</f>
        <v>0</v>
      </c>
      <c r="P60" s="27" t="n">
        <f aca="false">IF(COUNT(Trigo!$E58:$Z58)=0,0,MAX(0,IF((P$6-$E$3)&lt;1,0,IFERROR(LOOKUP(2,1/(Trigo!$E58:INDEX(Trigo!$E58:$Z58,MIN(P$6-$E$3,22))&lt;&gt;""),Trigo!$E58:INDEX(Trigo!$E58:$Z58,MIN(P$6-$E$3,22))),0))-IF($G$2,0,IF((P$6-$G$3)&lt;1,0,IFERROR(LOOKUP(2,1/(Trigo!$E58:INDEX(Trigo!$E58:$Z58,MIN(P$6-$G$3,22))&lt;&gt;""),Trigo!$E58:INDEX(Trigo!$E58:$Z58,MIN(P$6-$G$3,22))),0)))))</f>
        <v>0</v>
      </c>
      <c r="Q60" s="27" t="n">
        <f aca="false">IF(COUNT(Trigo!$E58:$Z58)=0,0,MAX(0,IF((Q$6-$E$3)&lt;1,0,IFERROR(LOOKUP(2,1/(Trigo!$E58:INDEX(Trigo!$E58:$Z58,MIN(Q$6-$E$3,22))&lt;&gt;""),Trigo!$E58:INDEX(Trigo!$E58:$Z58,MIN(Q$6-$E$3,22))),0))-IF($G$2,0,IF((Q$6-$G$3)&lt;1,0,IFERROR(LOOKUP(2,1/(Trigo!$E58:INDEX(Trigo!$E58:$Z58,MIN(Q$6-$G$3,22))&lt;&gt;""),Trigo!$E58:INDEX(Trigo!$E58:$Z58,MIN(Q$6-$G$3,22))),0)))))</f>
        <v>0</v>
      </c>
      <c r="R60" s="27" t="n">
        <f aca="false">IF(COUNT(Trigo!$E58:$Z58)=0,0,MAX(0,IF((R$6-$E$3)&lt;1,0,IFERROR(LOOKUP(2,1/(Trigo!$E58:INDEX(Trigo!$E58:$Z58,MIN(R$6-$E$3,22))&lt;&gt;""),Trigo!$E58:INDEX(Trigo!$E58:$Z58,MIN(R$6-$E$3,22))),0))-IF($G$2,0,IF((R$6-$G$3)&lt;1,0,IFERROR(LOOKUP(2,1/(Trigo!$E58:INDEX(Trigo!$E58:$Z58,MIN(R$6-$G$3,22))&lt;&gt;""),Trigo!$E58:INDEX(Trigo!$E58:$Z58,MIN(R$6-$G$3,22))),0)))))</f>
        <v>0</v>
      </c>
      <c r="S60" s="27" t="n">
        <f aca="false">IF(COUNT(Trigo!$E58:$Z58)=0,0,MAX(0,IF((S$6-$E$3)&lt;1,0,IFERROR(LOOKUP(2,1/(Trigo!$E58:INDEX(Trigo!$E58:$Z58,MIN(S$6-$E$3,22))&lt;&gt;""),Trigo!$E58:INDEX(Trigo!$E58:$Z58,MIN(S$6-$E$3,22))),0))-IF($G$2,0,IF((S$6-$G$3)&lt;1,0,IFERROR(LOOKUP(2,1/(Trigo!$E58:INDEX(Trigo!$E58:$Z58,MIN(S$6-$G$3,22))&lt;&gt;""),Trigo!$E58:INDEX(Trigo!$E58:$Z58,MIN(S$6-$G$3,22))),0)))))</f>
        <v>0</v>
      </c>
      <c r="T60" s="27" t="n">
        <f aca="false">IF(COUNT(Trigo!$E58:$Z58)=0,0,MAX(0,IF((T$6-$E$3)&lt;1,0,IFERROR(LOOKUP(2,1/(Trigo!$E58:INDEX(Trigo!$E58:$Z58,MIN(T$6-$E$3,22))&lt;&gt;""),Trigo!$E58:INDEX(Trigo!$E58:$Z58,MIN(T$6-$E$3,22))),0))-IF($G$2,0,IF((T$6-$G$3)&lt;1,0,IFERROR(LOOKUP(2,1/(Trigo!$E58:INDEX(Trigo!$E58:$Z58,MIN(T$6-$G$3,22))&lt;&gt;""),Trigo!$E58:INDEX(Trigo!$E58:$Z58,MIN(T$6-$G$3,22))),0)))))</f>
        <v>0</v>
      </c>
      <c r="U60" s="27" t="n">
        <f aca="false">IF(COUNT(Trigo!$E58:$Z58)=0,0,MAX(0,IF((U$6-$E$3)&lt;1,0,IFERROR(LOOKUP(2,1/(Trigo!$E58:INDEX(Trigo!$E58:$Z58,MIN(U$6-$E$3,22))&lt;&gt;""),Trigo!$E58:INDEX(Trigo!$E58:$Z58,MIN(U$6-$E$3,22))),0))-IF($G$2,0,IF((U$6-$G$3)&lt;1,0,IFERROR(LOOKUP(2,1/(Trigo!$E58:INDEX(Trigo!$E58:$Z58,MIN(U$6-$G$3,22))&lt;&gt;""),Trigo!$E58:INDEX(Trigo!$E58:$Z58,MIN(U$6-$G$3,22))),0)))))</f>
        <v>0</v>
      </c>
      <c r="V60" s="27" t="n">
        <f aca="false">IF(COUNT(Trigo!$E58:$Z58)=0,0,MAX(0,IF((V$6-$E$3)&lt;1,0,IFERROR(LOOKUP(2,1/(Trigo!$E58:INDEX(Trigo!$E58:$Z58,MIN(V$6-$E$3,22))&lt;&gt;""),Trigo!$E58:INDEX(Trigo!$E58:$Z58,MIN(V$6-$E$3,22))),0))-IF($G$2,0,IF((V$6-$G$3)&lt;1,0,IFERROR(LOOKUP(2,1/(Trigo!$E58:INDEX(Trigo!$E58:$Z58,MIN(V$6-$G$3,22))&lt;&gt;""),Trigo!$E58:INDEX(Trigo!$E58:$Z58,MIN(V$6-$G$3,22))),0)))))</f>
        <v>0</v>
      </c>
      <c r="W60" s="27" t="n">
        <f aca="false">IF(COUNT(Trigo!$E58:$Z58)=0,0,MAX(0,IF((W$6-$E$3)&lt;1,0,IFERROR(LOOKUP(2,1/(Trigo!$E58:INDEX(Trigo!$E58:$Z58,MIN(W$6-$E$3,22))&lt;&gt;""),Trigo!$E58:INDEX(Trigo!$E58:$Z58,MIN(W$6-$E$3,22))),0))-IF($G$2,0,IF((W$6-$G$3)&lt;1,0,IFERROR(LOOKUP(2,1/(Trigo!$E58:INDEX(Trigo!$E58:$Z58,MIN(W$6-$G$3,22))&lt;&gt;""),Trigo!$E58:INDEX(Trigo!$E58:$Z58,MIN(W$6-$G$3,22))),0)))))</f>
        <v>0</v>
      </c>
      <c r="X60" s="27" t="n">
        <f aca="false">IF(COUNT(Trigo!$E58:$Z58)=0,0,MAX(0,IF((X$6-$E$3)&lt;1,0,IFERROR(LOOKUP(2,1/(Trigo!$E58:INDEX(Trigo!$E58:$Z58,MIN(X$6-$E$3,22))&lt;&gt;""),Trigo!$E58:INDEX(Trigo!$E58:$Z58,MIN(X$6-$E$3,22))),0))-IF($G$2,0,IF((X$6-$G$3)&lt;1,0,IFERROR(LOOKUP(2,1/(Trigo!$E58:INDEX(Trigo!$E58:$Z58,MIN(X$6-$G$3,22))&lt;&gt;""),Trigo!$E58:INDEX(Trigo!$E58:$Z58,MIN(X$6-$G$3,22))),0)))))</f>
        <v>0</v>
      </c>
      <c r="Y60" s="27" t="n">
        <f aca="false">IF(COUNT(Trigo!$E58:$Z58)=0,0,MAX(0,IF((Y$6-$E$3)&lt;1,0,IFERROR(LOOKUP(2,1/(Trigo!$E58:INDEX(Trigo!$E58:$Z58,MIN(Y$6-$E$3,22))&lt;&gt;""),Trigo!$E58:INDEX(Trigo!$E58:$Z58,MIN(Y$6-$E$3,22))),0))-IF($G$2,0,IF((Y$6-$G$3)&lt;1,0,IFERROR(LOOKUP(2,1/(Trigo!$E58:INDEX(Trigo!$E58:$Z58,MIN(Y$6-$G$3,22))&lt;&gt;""),Trigo!$E58:INDEX(Trigo!$E58:$Z58,MIN(Y$6-$G$3,22))),0)))))</f>
        <v>0</v>
      </c>
      <c r="Z60" s="27" t="n">
        <f aca="false">IF(COUNT(Trigo!$E58:$Z58)=0,0,MAX(0,IF((Z$6-$E$3)&lt;1,0,IFERROR(LOOKUP(2,1/(Trigo!$E58:INDEX(Trigo!$E58:$Z58,MIN(Z$6-$E$3,22))&lt;&gt;""),Trigo!$E58:INDEX(Trigo!$E58:$Z58,MIN(Z$6-$E$3,22))),0))-IF($G$2,0,IF((Z$6-$G$3)&lt;1,0,IFERROR(LOOKUP(2,1/(Trigo!$E58:INDEX(Trigo!$E58:$Z58,MIN(Z$6-$G$3,22))&lt;&gt;""),Trigo!$E58:INDEX(Trigo!$E58:$Z58,MIN(Z$6-$G$3,22))),0)))))</f>
        <v>0</v>
      </c>
      <c r="AA60" s="27" t="n">
        <f aca="false">IF(COUNT(Trigo!$E58:$Z58)=0,0,MAX(0,IF((AA$6-$E$3)&lt;1,0,IFERROR(LOOKUP(2,1/(Trigo!$E58:INDEX(Trigo!$E58:$Z58,MIN(AA$6-$E$3,22))&lt;&gt;""),Trigo!$E58:INDEX(Trigo!$E58:$Z58,MIN(AA$6-$E$3,22))),0))-IF($G$2,0,IF((AA$6-$G$3)&lt;1,0,IFERROR(LOOKUP(2,1/(Trigo!$E58:INDEX(Trigo!$E58:$Z58,MIN(AA$6-$G$3,22))&lt;&gt;""),Trigo!$E58:INDEX(Trigo!$E58:$Z58,MIN(AA$6-$G$3,22))),0)))))</f>
        <v>0</v>
      </c>
      <c r="AB60" s="27" t="n">
        <f aca="false">IF(COUNT(Trigo!$E58:$Z58)=0,0,MAX(0,IF((AB$6-$E$3)&lt;1,0,IFERROR(LOOKUP(2,1/(Trigo!$E58:INDEX(Trigo!$E58:$Z58,MIN(AB$6-$E$3,22))&lt;&gt;""),Trigo!$E58:INDEX(Trigo!$E58:$Z58,MIN(AB$6-$E$3,22))),0))-IF($G$2,0,IF((AB$6-$G$3)&lt;1,0,IFERROR(LOOKUP(2,1/(Trigo!$E58:INDEX(Trigo!$E58:$Z58,MIN(AB$6-$G$3,22))&lt;&gt;""),Trigo!$E58:INDEX(Trigo!$E58:$Z58,MIN(AB$6-$G$3,22))),0)))))</f>
        <v>0</v>
      </c>
      <c r="AC60" s="27" t="n">
        <f aca="false">IF(COUNT(Trigo!$E58:$Z58)=0,0,MAX(0,IF((AC$6-$E$3)&lt;1,0,IFERROR(LOOKUP(2,1/(Trigo!$E58:INDEX(Trigo!$E58:$Z58,MIN(AC$6-$E$3,22))&lt;&gt;""),Trigo!$E58:INDEX(Trigo!$E58:$Z58,MIN(AC$6-$E$3,22))),0))-IF($G$2,0,IF((AC$6-$G$3)&lt;1,0,IFERROR(LOOKUP(2,1/(Trigo!$E58:INDEX(Trigo!$E58:$Z58,MIN(AC$6-$G$3,22))&lt;&gt;""),Trigo!$E58:INDEX(Trigo!$E58:$Z58,MIN(AC$6-$G$3,22))),0)))))</f>
        <v>0</v>
      </c>
      <c r="AD60" s="27" t="n">
        <f aca="false">IF(COUNT(Trigo!$E58:$Z58)=0,0,MAX(0,IF((AD$6-$E$3)&lt;1,0,IFERROR(LOOKUP(2,1/(Trigo!$E58:INDEX(Trigo!$E58:$Z58,MIN(AD$6-$E$3,22))&lt;&gt;""),Trigo!$E58:INDEX(Trigo!$E58:$Z58,MIN(AD$6-$E$3,22))),0))-IF($G$2,0,IF((AD$6-$G$3)&lt;1,0,IFERROR(LOOKUP(2,1/(Trigo!$E58:INDEX(Trigo!$E58:$Z58,MIN(AD$6-$G$3,22))&lt;&gt;""),Trigo!$E58:INDEX(Trigo!$E58:$Z58,MIN(AD$6-$G$3,22))),0)))))</f>
        <v>0</v>
      </c>
      <c r="AE60" s="27" t="n">
        <f aca="false">IF(COUNT(Trigo!$E58:$Z58)=0,0,MAX(0,IF((AE$6-$E$3)&lt;1,0,IFERROR(LOOKUP(2,1/(Trigo!$E58:INDEX(Trigo!$E58:$Z58,MIN(AE$6-$E$3,22))&lt;&gt;""),Trigo!$E58:INDEX(Trigo!$E58:$Z58,MIN(AE$6-$E$3,22))),0))-IF($G$2,0,IF((AE$6-$G$3)&lt;1,0,IFERROR(LOOKUP(2,1/(Trigo!$E58:INDEX(Trigo!$E58:$Z58,MIN(AE$6-$G$3,22))&lt;&gt;""),Trigo!$E58:INDEX(Trigo!$E58:$Z58,MIN(AE$6-$G$3,22))),0)))))</f>
        <v>0</v>
      </c>
      <c r="AF60" s="27" t="n">
        <f aca="false">IF(COUNT(Trigo!$E58:$Z58)=0,0,MAX(0,IF((AF$6-$E$3)&lt;1,0,IFERROR(LOOKUP(2,1/(Trigo!$E58:INDEX(Trigo!$E58:$Z58,MIN(AF$6-$E$3,22))&lt;&gt;""),Trigo!$E58:INDEX(Trigo!$E58:$Z58,MIN(AF$6-$E$3,22))),0))-IF($G$2,0,IF((AF$6-$G$3)&lt;1,0,IFERROR(LOOKUP(2,1/(Trigo!$E58:INDEX(Trigo!$E58:$Z58,MIN(AF$6-$G$3,22))&lt;&gt;""),Trigo!$E58:INDEX(Trigo!$E58:$Z58,MIN(AF$6-$G$3,22))),0)))))</f>
        <v>0</v>
      </c>
      <c r="AG60" s="27" t="n">
        <f aca="false">IF(COUNT(Trigo!$E58:$Z58)=0,0,MAX(0,IF((AG$6-$E$3)&lt;1,0,IFERROR(LOOKUP(2,1/(Trigo!$E58:INDEX(Trigo!$E58:$Z58,MIN(AG$6-$E$3,22))&lt;&gt;""),Trigo!$E58:INDEX(Trigo!$E58:$Z58,MIN(AG$6-$E$3,22))),0))-IF($G$2,0,IF((AG$6-$G$3)&lt;1,0,IFERROR(LOOKUP(2,1/(Trigo!$E58:INDEX(Trigo!$E58:$Z58,MIN(AG$6-$G$3,22))&lt;&gt;""),Trigo!$E58:INDEX(Trigo!$E58:$Z58,MIN(AG$6-$G$3,22))),0)))))</f>
        <v>0</v>
      </c>
      <c r="AH60" s="27" t="n">
        <f aca="false">IF(COUNT(Trigo!$E58:$Z58)=0,0,MAX(0,IF((AH$6-$E$3)&lt;1,0,IFERROR(LOOKUP(2,1/(Trigo!$E58:INDEX(Trigo!$E58:$Z58,MIN(AH$6-$E$3,22))&lt;&gt;""),Trigo!$E58:INDEX(Trigo!$E58:$Z58,MIN(AH$6-$E$3,22))),0))-IF($G$2,0,IF((AH$6-$G$3)&lt;1,0,IFERROR(LOOKUP(2,1/(Trigo!$E58:INDEX(Trigo!$E58:$Z58,MIN(AH$6-$G$3,22))&lt;&gt;""),Trigo!$E58:INDEX(Trigo!$E58:$Z58,MIN(AH$6-$G$3,22))),0)))))</f>
        <v>0</v>
      </c>
      <c r="AI60" s="27" t="n">
        <f aca="false">IF(COUNT(Trigo!$E58:$Z58)=0,0,MAX(0,IF((AI$6-$E$3)&lt;1,0,IFERROR(LOOKUP(2,1/(Trigo!$E58:INDEX(Trigo!$E58:$Z58,MIN(AI$6-$E$3,22))&lt;&gt;""),Trigo!$E58:INDEX(Trigo!$E58:$Z58,MIN(AI$6-$E$3,22))),0))-IF($G$2,0,IF((AI$6-$G$3)&lt;1,0,IFERROR(LOOKUP(2,1/(Trigo!$E58:INDEX(Trigo!$E58:$Z58,MIN(AI$6-$G$3,22))&lt;&gt;""),Trigo!$E58:INDEX(Trigo!$E58:$Z58,MIN(AI$6-$G$3,22))),0)))))</f>
        <v>0</v>
      </c>
      <c r="AJ60" s="27" t="n">
        <f aca="false">IF(COUNT(Trigo!$E58:$Z58)=0,0,MAX(0,IF((AJ$6-$E$3)&lt;1,0,IFERROR(LOOKUP(2,1/(Trigo!$E58:INDEX(Trigo!$E58:$Z58,MIN(AJ$6-$E$3,22))&lt;&gt;""),Trigo!$E58:INDEX(Trigo!$E58:$Z58,MIN(AJ$6-$E$3,22))),0))-IF($G$2,0,IF((AJ$6-$G$3)&lt;1,0,IFERROR(LOOKUP(2,1/(Trigo!$E58:INDEX(Trigo!$E58:$Z58,MIN(AJ$6-$G$3,22))&lt;&gt;""),Trigo!$E58:INDEX(Trigo!$E58:$Z58,MIN(AJ$6-$G$3,22))),0)))))</f>
        <v>0</v>
      </c>
      <c r="AK60" s="27" t="n">
        <f aca="false">IF(COUNT(Trigo!$E58:$Z58)=0,0,MAX(0,IF((AK$6-$E$3)&lt;1,0,IFERROR(LOOKUP(2,1/(Trigo!$E58:INDEX(Trigo!$E58:$Z58,MIN(AK$6-$E$3,22))&lt;&gt;""),Trigo!$E58:INDEX(Trigo!$E58:$Z58,MIN(AK$6-$E$3,22))),0))-IF($G$2,0,IF((AK$6-$G$3)&lt;1,0,IFERROR(LOOKUP(2,1/(Trigo!$E58:INDEX(Trigo!$E58:$Z58,MIN(AK$6-$G$3,22))&lt;&gt;""),Trigo!$E58:INDEX(Trigo!$E58:$Z58,MIN(AK$6-$G$3,22))),0)))))</f>
        <v>0</v>
      </c>
      <c r="AL60" s="27" t="n">
        <f aca="false">IF(COUNT(Trigo!$E58:$Z58)=0,0,MAX(0,IF((AL$6-$E$3)&lt;1,0,IFERROR(LOOKUP(2,1/(Trigo!$E58:INDEX(Trigo!$E58:$Z58,MIN(AL$6-$E$3,22))&lt;&gt;""),Trigo!$E58:INDEX(Trigo!$E58:$Z58,MIN(AL$6-$E$3,22))),0))-IF($G$2,0,IF((AL$6-$G$3)&lt;1,0,IFERROR(LOOKUP(2,1/(Trigo!$E58:INDEX(Trigo!$E58:$Z58,MIN(AL$6-$G$3,22))&lt;&gt;""),Trigo!$E58:INDEX(Trigo!$E58:$Z58,MIN(AL$6-$G$3,22))),0)))))</f>
        <v>0</v>
      </c>
      <c r="AM60" s="27" t="n">
        <f aca="false">IF(COUNT(Trigo!$E58:$Z58)=0,0,MAX(0,IF((AM$6-$E$3)&lt;1,0,IFERROR(LOOKUP(2,1/(Trigo!$E58:INDEX(Trigo!$E58:$Z58,MIN(AM$6-$E$3,22))&lt;&gt;""),Trigo!$E58:INDEX(Trigo!$E58:$Z58,MIN(AM$6-$E$3,22))),0))-IF($G$2,0,IF((AM$6-$G$3)&lt;1,0,IFERROR(LOOKUP(2,1/(Trigo!$E58:INDEX(Trigo!$E58:$Z58,MIN(AM$6-$G$3,22))&lt;&gt;""),Trigo!$E58:INDEX(Trigo!$E58:$Z58,MIN(AM$6-$G$3,22))),0)))))</f>
        <v>0</v>
      </c>
      <c r="AN60" s="27" t="n">
        <f aca="false">IF(COUNT(Trigo!$E58:$Z58)=0,0,MAX(0,IF((AN$6-$E$3)&lt;1,0,IFERROR(LOOKUP(2,1/(Trigo!$E58:INDEX(Trigo!$E58:$Z58,MIN(AN$6-$E$3,22))&lt;&gt;""),Trigo!$E58:INDEX(Trigo!$E58:$Z58,MIN(AN$6-$E$3,22))),0))-IF($G$2,0,IF((AN$6-$G$3)&lt;1,0,IFERROR(LOOKUP(2,1/(Trigo!$E58:INDEX(Trigo!$E58:$Z58,MIN(AN$6-$G$3,22))&lt;&gt;""),Trigo!$E58:INDEX(Trigo!$E58:$Z58,MIN(AN$6-$G$3,22))),0)))))</f>
        <v>0</v>
      </c>
      <c r="AO60" s="27" t="n">
        <f aca="false">IF(COUNT(Trigo!$E58:$Z58)=0,0,MAX(0,IF((AO$6-$E$3)&lt;1,0,IFERROR(LOOKUP(2,1/(Trigo!$E58:INDEX(Trigo!$E58:$Z58,MIN(AO$6-$E$3,22))&lt;&gt;""),Trigo!$E58:INDEX(Trigo!$E58:$Z58,MIN(AO$6-$E$3,22))),0))-IF($G$2,0,IF((AO$6-$G$3)&lt;1,0,IFERROR(LOOKUP(2,1/(Trigo!$E58:INDEX(Trigo!$E58:$Z58,MIN(AO$6-$G$3,22))&lt;&gt;""),Trigo!$E58:INDEX(Trigo!$E58:$Z58,MIN(AO$6-$G$3,22))),0)))))</f>
        <v>0</v>
      </c>
      <c r="AP60" s="27" t="n">
        <f aca="false">IF(COUNT(Trigo!$E58:$Z58)=0,0,MAX(0,IF((AP$6-$E$3)&lt;1,0,IFERROR(LOOKUP(2,1/(Trigo!$E58:INDEX(Trigo!$E58:$Z58,MIN(AP$6-$E$3,22))&lt;&gt;""),Trigo!$E58:INDEX(Trigo!$E58:$Z58,MIN(AP$6-$E$3,22))),0))-IF($G$2,0,IF((AP$6-$G$3)&lt;1,0,IFERROR(LOOKUP(2,1/(Trigo!$E58:INDEX(Trigo!$E58:$Z58,MIN(AP$6-$G$3,22))&lt;&gt;""),Trigo!$E58:INDEX(Trigo!$E58:$Z58,MIN(AP$6-$G$3,22))),0)))))</f>
        <v>0</v>
      </c>
      <c r="AQ60" s="27" t="n">
        <f aca="false">IF(COUNT(Trigo!$E58:$Z58)=0,0,MAX(0,IF((AQ$6-$E$3)&lt;1,0,IFERROR(LOOKUP(2,1/(Trigo!$E58:INDEX(Trigo!$E58:$Z58,MIN(AQ$6-$E$3,22))&lt;&gt;""),Trigo!$E58:INDEX(Trigo!$E58:$Z58,MIN(AQ$6-$E$3,22))),0))-IF($G$2,0,IF((AQ$6-$G$3)&lt;1,0,IFERROR(LOOKUP(2,1/(Trigo!$E58:INDEX(Trigo!$E58:$Z58,MIN(AQ$6-$G$3,22))&lt;&gt;""),Trigo!$E58:INDEX(Trigo!$E58:$Z58,MIN(AQ$6-$G$3,22))),0)))))</f>
        <v>0</v>
      </c>
      <c r="AR60" s="27" t="n">
        <f aca="false">IF(COUNT(Trigo!$E58:$Z58)=0,0,MAX(0,IF((AR$6-$E$3)&lt;1,0,IFERROR(LOOKUP(2,1/(Trigo!$E58:INDEX(Trigo!$E58:$Z58,MIN(AR$6-$E$3,22))&lt;&gt;""),Trigo!$E58:INDEX(Trigo!$E58:$Z58,MIN(AR$6-$E$3,22))),0))-IF($G$2,0,IF((AR$6-$G$3)&lt;1,0,IFERROR(LOOKUP(2,1/(Trigo!$E58:INDEX(Trigo!$E58:$Z58,MIN(AR$6-$G$3,22))&lt;&gt;""),Trigo!$E58:INDEX(Trigo!$E58:$Z58,MIN(AR$6-$G$3,22))),0)))))</f>
        <v>0</v>
      </c>
      <c r="AS60" s="27" t="n">
        <f aca="false">IF(COUNT(Trigo!$E58:$Z58)=0,0,MAX(0,IF((AS$6-$E$3)&lt;1,0,IFERROR(LOOKUP(2,1/(Trigo!$E58:INDEX(Trigo!$E58:$Z58,MIN(AS$6-$E$3,22))&lt;&gt;""),Trigo!$E58:INDEX(Trigo!$E58:$Z58,MIN(AS$6-$E$3,22))),0))-IF($G$2,0,IF((AS$6-$G$3)&lt;1,0,IFERROR(LOOKUP(2,1/(Trigo!$E58:INDEX(Trigo!$E58:$Z58,MIN(AS$6-$G$3,22))&lt;&gt;""),Trigo!$E58:INDEX(Trigo!$E58:$Z58,MIN(AS$6-$G$3,22))),0)))))</f>
        <v>0</v>
      </c>
      <c r="AT60" s="27" t="n">
        <f aca="false">IF(COUNT(Trigo!$E58:$Z58)=0,0,MAX(0,IF((AT$6-$E$3)&lt;1,0,IFERROR(LOOKUP(2,1/(Trigo!$E58:INDEX(Trigo!$E58:$Z58,MIN(AT$6-$E$3,22))&lt;&gt;""),Trigo!$E58:INDEX(Trigo!$E58:$Z58,MIN(AT$6-$E$3,22))),0))-IF($G$2,0,IF((AT$6-$G$3)&lt;1,0,IFERROR(LOOKUP(2,1/(Trigo!$E58:INDEX(Trigo!$E58:$Z58,MIN(AT$6-$G$3,22))&lt;&gt;""),Trigo!$E58:INDEX(Trigo!$E58:$Z58,MIN(AT$6-$G$3,22))),0)))))</f>
        <v>0</v>
      </c>
      <c r="AU60" s="27" t="n">
        <f aca="false">IF(COUNT(Trigo!$E58:$Z58)=0,0,MAX(0,IF((AU$6-$E$3)&lt;1,0,IFERROR(LOOKUP(2,1/(Trigo!$E58:INDEX(Trigo!$E58:$Z58,MIN(AU$6-$E$3,22))&lt;&gt;""),Trigo!$E58:INDEX(Trigo!$E58:$Z58,MIN(AU$6-$E$3,22))),0))-IF($G$2,0,IF((AU$6-$G$3)&lt;1,0,IFERROR(LOOKUP(2,1/(Trigo!$E58:INDEX(Trigo!$E58:$Z58,MIN(AU$6-$G$3,22))&lt;&gt;""),Trigo!$E58:INDEX(Trigo!$E58:$Z58,MIN(AU$6-$G$3,22))),0)))))</f>
        <v>0</v>
      </c>
      <c r="AV60" s="27" t="n">
        <f aca="false">IF(COUNT(Trigo!$E58:$Z58)=0,0,MAX(0,IF((AV$6-$E$3)&lt;1,0,IFERROR(LOOKUP(2,1/(Trigo!$E58:INDEX(Trigo!$E58:$Z58,MIN(AV$6-$E$3,22))&lt;&gt;""),Trigo!$E58:INDEX(Trigo!$E58:$Z58,MIN(AV$6-$E$3,22))),0))-IF($G$2,0,IF((AV$6-$G$3)&lt;1,0,IFERROR(LOOKUP(2,1/(Trigo!$E58:INDEX(Trigo!$E58:$Z58,MIN(AV$6-$G$3,22))&lt;&gt;""),Trigo!$E58:INDEX(Trigo!$E58:$Z58,MIN(AV$6-$G$3,22))),0)))))</f>
        <v>0</v>
      </c>
      <c r="AW60" s="27" t="n">
        <f aca="false">IF(COUNT(Trigo!$E58:$Z58)=0,0,MAX(0,IF((AW$6-$E$3)&lt;1,0,IFERROR(LOOKUP(2,1/(Trigo!$E58:INDEX(Trigo!$E58:$Z58,MIN(AW$6-$E$3,22))&lt;&gt;""),Trigo!$E58:INDEX(Trigo!$E58:$Z58,MIN(AW$6-$E$3,22))),0))-IF($G$2,0,IF((AW$6-$G$3)&lt;1,0,IFERROR(LOOKUP(2,1/(Trigo!$E58:INDEX(Trigo!$E58:$Z58,MIN(AW$6-$G$3,22))&lt;&gt;""),Trigo!$E58:INDEX(Trigo!$E58:$Z58,MIN(AW$6-$G$3,22))),0)))))</f>
        <v>0</v>
      </c>
      <c r="AX60" s="27" t="n">
        <f aca="false">IF(COUNT(Trigo!$E58:$Z58)=0,0,MAX(0,IF((AX$6-$E$3)&lt;1,0,IFERROR(LOOKUP(2,1/(Trigo!$E58:INDEX(Trigo!$E58:$Z58,MIN(AX$6-$E$3,22))&lt;&gt;""),Trigo!$E58:INDEX(Trigo!$E58:$Z58,MIN(AX$6-$E$3,22))),0))-IF($G$2,0,IF((AX$6-$G$3)&lt;1,0,IFERROR(LOOKUP(2,1/(Trigo!$E58:INDEX(Trigo!$E58:$Z58,MIN(AX$6-$G$3,22))&lt;&gt;""),Trigo!$E58:INDEX(Trigo!$E58:$Z58,MIN(AX$6-$G$3,22))),0)))))</f>
        <v>0</v>
      </c>
      <c r="AY60" s="27" t="n">
        <f aca="false">IF(COUNT(Trigo!$E58:$Z58)=0,0,MAX(0,IF((AY$6-$E$3)&lt;1,0,IFERROR(LOOKUP(2,1/(Trigo!$E58:INDEX(Trigo!$E58:$Z58,MIN(AY$6-$E$3,22))&lt;&gt;""),Trigo!$E58:INDEX(Trigo!$E58:$Z58,MIN(AY$6-$E$3,22))),0))-IF($G$2,0,IF((AY$6-$G$3)&lt;1,0,IFERROR(LOOKUP(2,1/(Trigo!$E58:INDEX(Trigo!$E58:$Z58,MIN(AY$6-$G$3,22))&lt;&gt;""),Trigo!$E58:INDEX(Trigo!$E58:$Z58,MIN(AY$6-$G$3,22))),0)))))</f>
        <v>0</v>
      </c>
      <c r="AZ60" s="27" t="n">
        <f aca="false">IF(COUNT(Trigo!$E58:$Z58)=0,0,MAX(0,IF((AZ$6-$E$3)&lt;1,0,IFERROR(LOOKUP(2,1/(Trigo!$E58:INDEX(Trigo!$E58:$Z58,MIN(AZ$6-$E$3,22))&lt;&gt;""),Trigo!$E58:INDEX(Trigo!$E58:$Z58,MIN(AZ$6-$E$3,22))),0))-IF($G$2,0,IF((AZ$6-$G$3)&lt;1,0,IFERROR(LOOKUP(2,1/(Trigo!$E58:INDEX(Trigo!$E58:$Z58,MIN(AZ$6-$G$3,22))&lt;&gt;""),Trigo!$E58:INDEX(Trigo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IF(COUNT(Trigo!$E59:$Z59)&gt;0,N(Trigo!$D59),0)</f>
        <v>0</v>
      </c>
      <c r="E61" s="27" t="n">
        <f aca="false">IF(COUNT(Trigo!$E59:$Z59)=0,0,MAX(0,IF((E$6-$E$3)&lt;1,0,IFERROR(LOOKUP(2,1/(Trigo!$E59:INDEX(Trigo!$E59:$Z59,MIN(E$6-$E$3,22))&lt;&gt;""),Trigo!$E59:INDEX(Trigo!$E59:$Z59,MIN(E$6-$E$3,22))),0))-IF($G$2,0,IF((E$6-$G$3)&lt;1,0,IFERROR(LOOKUP(2,1/(Trigo!$E59:INDEX(Trigo!$E59:$Z59,MIN(E$6-$G$3,22))&lt;&gt;""),Trigo!$E59:INDEX(Trigo!$E59:$Z59,MIN(E$6-$G$3,22))),0)))))</f>
        <v>0</v>
      </c>
      <c r="F61" s="27" t="n">
        <f aca="false">IF(COUNT(Trigo!$E59:$Z59)=0,0,MAX(0,IF((F$6-$E$3)&lt;1,0,IFERROR(LOOKUP(2,1/(Trigo!$E59:INDEX(Trigo!$E59:$Z59,MIN(F$6-$E$3,22))&lt;&gt;""),Trigo!$E59:INDEX(Trigo!$E59:$Z59,MIN(F$6-$E$3,22))),0))-IF($G$2,0,IF((F$6-$G$3)&lt;1,0,IFERROR(LOOKUP(2,1/(Trigo!$E59:INDEX(Trigo!$E59:$Z59,MIN(F$6-$G$3,22))&lt;&gt;""),Trigo!$E59:INDEX(Trigo!$E59:$Z59,MIN(F$6-$G$3,22))),0)))))</f>
        <v>0</v>
      </c>
      <c r="G61" s="27" t="n">
        <f aca="false">IF(COUNT(Trigo!$E59:$Z59)=0,0,MAX(0,IF((G$6-$E$3)&lt;1,0,IFERROR(LOOKUP(2,1/(Trigo!$E59:INDEX(Trigo!$E59:$Z59,MIN(G$6-$E$3,22))&lt;&gt;""),Trigo!$E59:INDEX(Trigo!$E59:$Z59,MIN(G$6-$E$3,22))),0))-IF($G$2,0,IF((G$6-$G$3)&lt;1,0,IFERROR(LOOKUP(2,1/(Trigo!$E59:INDEX(Trigo!$E59:$Z59,MIN(G$6-$G$3,22))&lt;&gt;""),Trigo!$E59:INDEX(Trigo!$E59:$Z59,MIN(G$6-$G$3,22))),0)))))</f>
        <v>0</v>
      </c>
      <c r="H61" s="27" t="n">
        <f aca="false">IF(COUNT(Trigo!$E59:$Z59)=0,0,MAX(0,IF((H$6-$E$3)&lt;1,0,IFERROR(LOOKUP(2,1/(Trigo!$E59:INDEX(Trigo!$E59:$Z59,MIN(H$6-$E$3,22))&lt;&gt;""),Trigo!$E59:INDEX(Trigo!$E59:$Z59,MIN(H$6-$E$3,22))),0))-IF($G$2,0,IF((H$6-$G$3)&lt;1,0,IFERROR(LOOKUP(2,1/(Trigo!$E59:INDEX(Trigo!$E59:$Z59,MIN(H$6-$G$3,22))&lt;&gt;""),Trigo!$E59:INDEX(Trigo!$E59:$Z59,MIN(H$6-$G$3,22))),0)))))</f>
        <v>0</v>
      </c>
      <c r="I61" s="27" t="n">
        <f aca="false">IF(COUNT(Trigo!$E59:$Z59)=0,0,MAX(0,IF((I$6-$E$3)&lt;1,0,IFERROR(LOOKUP(2,1/(Trigo!$E59:INDEX(Trigo!$E59:$Z59,MIN(I$6-$E$3,22))&lt;&gt;""),Trigo!$E59:INDEX(Trigo!$E59:$Z59,MIN(I$6-$E$3,22))),0))-IF($G$2,0,IF((I$6-$G$3)&lt;1,0,IFERROR(LOOKUP(2,1/(Trigo!$E59:INDEX(Trigo!$E59:$Z59,MIN(I$6-$G$3,22))&lt;&gt;""),Trigo!$E59:INDEX(Trigo!$E59:$Z59,MIN(I$6-$G$3,22))),0)))))</f>
        <v>0</v>
      </c>
      <c r="J61" s="27" t="n">
        <f aca="false">IF(COUNT(Trigo!$E59:$Z59)=0,0,MAX(0,IF((J$6-$E$3)&lt;1,0,IFERROR(LOOKUP(2,1/(Trigo!$E59:INDEX(Trigo!$E59:$Z59,MIN(J$6-$E$3,22))&lt;&gt;""),Trigo!$E59:INDEX(Trigo!$E59:$Z59,MIN(J$6-$E$3,22))),0))-IF($G$2,0,IF((J$6-$G$3)&lt;1,0,IFERROR(LOOKUP(2,1/(Trigo!$E59:INDEX(Trigo!$E59:$Z59,MIN(J$6-$G$3,22))&lt;&gt;""),Trigo!$E59:INDEX(Trigo!$E59:$Z59,MIN(J$6-$G$3,22))),0)))))</f>
        <v>0</v>
      </c>
      <c r="K61" s="27" t="n">
        <f aca="false">IF(COUNT(Trigo!$E59:$Z59)=0,0,MAX(0,IF((K$6-$E$3)&lt;1,0,IFERROR(LOOKUP(2,1/(Trigo!$E59:INDEX(Trigo!$E59:$Z59,MIN(K$6-$E$3,22))&lt;&gt;""),Trigo!$E59:INDEX(Trigo!$E59:$Z59,MIN(K$6-$E$3,22))),0))-IF($G$2,0,IF((K$6-$G$3)&lt;1,0,IFERROR(LOOKUP(2,1/(Trigo!$E59:INDEX(Trigo!$E59:$Z59,MIN(K$6-$G$3,22))&lt;&gt;""),Trigo!$E59:INDEX(Trigo!$E59:$Z59,MIN(K$6-$G$3,22))),0)))))</f>
        <v>0</v>
      </c>
      <c r="L61" s="27" t="n">
        <f aca="false">IF(COUNT(Trigo!$E59:$Z59)=0,0,MAX(0,IF((L$6-$E$3)&lt;1,0,IFERROR(LOOKUP(2,1/(Trigo!$E59:INDEX(Trigo!$E59:$Z59,MIN(L$6-$E$3,22))&lt;&gt;""),Trigo!$E59:INDEX(Trigo!$E59:$Z59,MIN(L$6-$E$3,22))),0))-IF($G$2,0,IF((L$6-$G$3)&lt;1,0,IFERROR(LOOKUP(2,1/(Trigo!$E59:INDEX(Trigo!$E59:$Z59,MIN(L$6-$G$3,22))&lt;&gt;""),Trigo!$E59:INDEX(Trigo!$E59:$Z59,MIN(L$6-$G$3,22))),0)))))</f>
        <v>0</v>
      </c>
      <c r="M61" s="27" t="n">
        <f aca="false">IF(COUNT(Trigo!$E59:$Z59)=0,0,MAX(0,IF((M$6-$E$3)&lt;1,0,IFERROR(LOOKUP(2,1/(Trigo!$E59:INDEX(Trigo!$E59:$Z59,MIN(M$6-$E$3,22))&lt;&gt;""),Trigo!$E59:INDEX(Trigo!$E59:$Z59,MIN(M$6-$E$3,22))),0))-IF($G$2,0,IF((M$6-$G$3)&lt;1,0,IFERROR(LOOKUP(2,1/(Trigo!$E59:INDEX(Trigo!$E59:$Z59,MIN(M$6-$G$3,22))&lt;&gt;""),Trigo!$E59:INDEX(Trigo!$E59:$Z59,MIN(M$6-$G$3,22))),0)))))</f>
        <v>0</v>
      </c>
      <c r="N61" s="27" t="n">
        <f aca="false">IF(COUNT(Trigo!$E59:$Z59)=0,0,MAX(0,IF((N$6-$E$3)&lt;1,0,IFERROR(LOOKUP(2,1/(Trigo!$E59:INDEX(Trigo!$E59:$Z59,MIN(N$6-$E$3,22))&lt;&gt;""),Trigo!$E59:INDEX(Trigo!$E59:$Z59,MIN(N$6-$E$3,22))),0))-IF($G$2,0,IF((N$6-$G$3)&lt;1,0,IFERROR(LOOKUP(2,1/(Trigo!$E59:INDEX(Trigo!$E59:$Z59,MIN(N$6-$G$3,22))&lt;&gt;""),Trigo!$E59:INDEX(Trigo!$E59:$Z59,MIN(N$6-$G$3,22))),0)))))</f>
        <v>0</v>
      </c>
      <c r="O61" s="27" t="n">
        <f aca="false">IF(COUNT(Trigo!$E59:$Z59)=0,0,MAX(0,IF((O$6-$E$3)&lt;1,0,IFERROR(LOOKUP(2,1/(Trigo!$E59:INDEX(Trigo!$E59:$Z59,MIN(O$6-$E$3,22))&lt;&gt;""),Trigo!$E59:INDEX(Trigo!$E59:$Z59,MIN(O$6-$E$3,22))),0))-IF($G$2,0,IF((O$6-$G$3)&lt;1,0,IFERROR(LOOKUP(2,1/(Trigo!$E59:INDEX(Trigo!$E59:$Z59,MIN(O$6-$G$3,22))&lt;&gt;""),Trigo!$E59:INDEX(Trigo!$E59:$Z59,MIN(O$6-$G$3,22))),0)))))</f>
        <v>0</v>
      </c>
      <c r="P61" s="27" t="n">
        <f aca="false">IF(COUNT(Trigo!$E59:$Z59)=0,0,MAX(0,IF((P$6-$E$3)&lt;1,0,IFERROR(LOOKUP(2,1/(Trigo!$E59:INDEX(Trigo!$E59:$Z59,MIN(P$6-$E$3,22))&lt;&gt;""),Trigo!$E59:INDEX(Trigo!$E59:$Z59,MIN(P$6-$E$3,22))),0))-IF($G$2,0,IF((P$6-$G$3)&lt;1,0,IFERROR(LOOKUP(2,1/(Trigo!$E59:INDEX(Trigo!$E59:$Z59,MIN(P$6-$G$3,22))&lt;&gt;""),Trigo!$E59:INDEX(Trigo!$E59:$Z59,MIN(P$6-$G$3,22))),0)))))</f>
        <v>0</v>
      </c>
      <c r="Q61" s="27" t="n">
        <f aca="false">IF(COUNT(Trigo!$E59:$Z59)=0,0,MAX(0,IF((Q$6-$E$3)&lt;1,0,IFERROR(LOOKUP(2,1/(Trigo!$E59:INDEX(Trigo!$E59:$Z59,MIN(Q$6-$E$3,22))&lt;&gt;""),Trigo!$E59:INDEX(Trigo!$E59:$Z59,MIN(Q$6-$E$3,22))),0))-IF($G$2,0,IF((Q$6-$G$3)&lt;1,0,IFERROR(LOOKUP(2,1/(Trigo!$E59:INDEX(Trigo!$E59:$Z59,MIN(Q$6-$G$3,22))&lt;&gt;""),Trigo!$E59:INDEX(Trigo!$E59:$Z59,MIN(Q$6-$G$3,22))),0)))))</f>
        <v>0</v>
      </c>
      <c r="R61" s="27" t="n">
        <f aca="false">IF(COUNT(Trigo!$E59:$Z59)=0,0,MAX(0,IF((R$6-$E$3)&lt;1,0,IFERROR(LOOKUP(2,1/(Trigo!$E59:INDEX(Trigo!$E59:$Z59,MIN(R$6-$E$3,22))&lt;&gt;""),Trigo!$E59:INDEX(Trigo!$E59:$Z59,MIN(R$6-$E$3,22))),0))-IF($G$2,0,IF((R$6-$G$3)&lt;1,0,IFERROR(LOOKUP(2,1/(Trigo!$E59:INDEX(Trigo!$E59:$Z59,MIN(R$6-$G$3,22))&lt;&gt;""),Trigo!$E59:INDEX(Trigo!$E59:$Z59,MIN(R$6-$G$3,22))),0)))))</f>
        <v>0</v>
      </c>
      <c r="S61" s="27" t="n">
        <f aca="false">IF(COUNT(Trigo!$E59:$Z59)=0,0,MAX(0,IF((S$6-$E$3)&lt;1,0,IFERROR(LOOKUP(2,1/(Trigo!$E59:INDEX(Trigo!$E59:$Z59,MIN(S$6-$E$3,22))&lt;&gt;""),Trigo!$E59:INDEX(Trigo!$E59:$Z59,MIN(S$6-$E$3,22))),0))-IF($G$2,0,IF((S$6-$G$3)&lt;1,0,IFERROR(LOOKUP(2,1/(Trigo!$E59:INDEX(Trigo!$E59:$Z59,MIN(S$6-$G$3,22))&lt;&gt;""),Trigo!$E59:INDEX(Trigo!$E59:$Z59,MIN(S$6-$G$3,22))),0)))))</f>
        <v>0</v>
      </c>
      <c r="T61" s="27" t="n">
        <f aca="false">IF(COUNT(Trigo!$E59:$Z59)=0,0,MAX(0,IF((T$6-$E$3)&lt;1,0,IFERROR(LOOKUP(2,1/(Trigo!$E59:INDEX(Trigo!$E59:$Z59,MIN(T$6-$E$3,22))&lt;&gt;""),Trigo!$E59:INDEX(Trigo!$E59:$Z59,MIN(T$6-$E$3,22))),0))-IF($G$2,0,IF((T$6-$G$3)&lt;1,0,IFERROR(LOOKUP(2,1/(Trigo!$E59:INDEX(Trigo!$E59:$Z59,MIN(T$6-$G$3,22))&lt;&gt;""),Trigo!$E59:INDEX(Trigo!$E59:$Z59,MIN(T$6-$G$3,22))),0)))))</f>
        <v>0</v>
      </c>
      <c r="U61" s="27" t="n">
        <f aca="false">IF(COUNT(Trigo!$E59:$Z59)=0,0,MAX(0,IF((U$6-$E$3)&lt;1,0,IFERROR(LOOKUP(2,1/(Trigo!$E59:INDEX(Trigo!$E59:$Z59,MIN(U$6-$E$3,22))&lt;&gt;""),Trigo!$E59:INDEX(Trigo!$E59:$Z59,MIN(U$6-$E$3,22))),0))-IF($G$2,0,IF((U$6-$G$3)&lt;1,0,IFERROR(LOOKUP(2,1/(Trigo!$E59:INDEX(Trigo!$E59:$Z59,MIN(U$6-$G$3,22))&lt;&gt;""),Trigo!$E59:INDEX(Trigo!$E59:$Z59,MIN(U$6-$G$3,22))),0)))))</f>
        <v>0</v>
      </c>
      <c r="V61" s="27" t="n">
        <f aca="false">IF(COUNT(Trigo!$E59:$Z59)=0,0,MAX(0,IF((V$6-$E$3)&lt;1,0,IFERROR(LOOKUP(2,1/(Trigo!$E59:INDEX(Trigo!$E59:$Z59,MIN(V$6-$E$3,22))&lt;&gt;""),Trigo!$E59:INDEX(Trigo!$E59:$Z59,MIN(V$6-$E$3,22))),0))-IF($G$2,0,IF((V$6-$G$3)&lt;1,0,IFERROR(LOOKUP(2,1/(Trigo!$E59:INDEX(Trigo!$E59:$Z59,MIN(V$6-$G$3,22))&lt;&gt;""),Trigo!$E59:INDEX(Trigo!$E59:$Z59,MIN(V$6-$G$3,22))),0)))))</f>
        <v>0</v>
      </c>
      <c r="W61" s="27" t="n">
        <f aca="false">IF(COUNT(Trigo!$E59:$Z59)=0,0,MAX(0,IF((W$6-$E$3)&lt;1,0,IFERROR(LOOKUP(2,1/(Trigo!$E59:INDEX(Trigo!$E59:$Z59,MIN(W$6-$E$3,22))&lt;&gt;""),Trigo!$E59:INDEX(Trigo!$E59:$Z59,MIN(W$6-$E$3,22))),0))-IF($G$2,0,IF((W$6-$G$3)&lt;1,0,IFERROR(LOOKUP(2,1/(Trigo!$E59:INDEX(Trigo!$E59:$Z59,MIN(W$6-$G$3,22))&lt;&gt;""),Trigo!$E59:INDEX(Trigo!$E59:$Z59,MIN(W$6-$G$3,22))),0)))))</f>
        <v>0</v>
      </c>
      <c r="X61" s="27" t="n">
        <f aca="false">IF(COUNT(Trigo!$E59:$Z59)=0,0,MAX(0,IF((X$6-$E$3)&lt;1,0,IFERROR(LOOKUP(2,1/(Trigo!$E59:INDEX(Trigo!$E59:$Z59,MIN(X$6-$E$3,22))&lt;&gt;""),Trigo!$E59:INDEX(Trigo!$E59:$Z59,MIN(X$6-$E$3,22))),0))-IF($G$2,0,IF((X$6-$G$3)&lt;1,0,IFERROR(LOOKUP(2,1/(Trigo!$E59:INDEX(Trigo!$E59:$Z59,MIN(X$6-$G$3,22))&lt;&gt;""),Trigo!$E59:INDEX(Trigo!$E59:$Z59,MIN(X$6-$G$3,22))),0)))))</f>
        <v>0</v>
      </c>
      <c r="Y61" s="27" t="n">
        <f aca="false">IF(COUNT(Trigo!$E59:$Z59)=0,0,MAX(0,IF((Y$6-$E$3)&lt;1,0,IFERROR(LOOKUP(2,1/(Trigo!$E59:INDEX(Trigo!$E59:$Z59,MIN(Y$6-$E$3,22))&lt;&gt;""),Trigo!$E59:INDEX(Trigo!$E59:$Z59,MIN(Y$6-$E$3,22))),0))-IF($G$2,0,IF((Y$6-$G$3)&lt;1,0,IFERROR(LOOKUP(2,1/(Trigo!$E59:INDEX(Trigo!$E59:$Z59,MIN(Y$6-$G$3,22))&lt;&gt;""),Trigo!$E59:INDEX(Trigo!$E59:$Z59,MIN(Y$6-$G$3,22))),0)))))</f>
        <v>0</v>
      </c>
      <c r="Z61" s="27" t="n">
        <f aca="false">IF(COUNT(Trigo!$E59:$Z59)=0,0,MAX(0,IF((Z$6-$E$3)&lt;1,0,IFERROR(LOOKUP(2,1/(Trigo!$E59:INDEX(Trigo!$E59:$Z59,MIN(Z$6-$E$3,22))&lt;&gt;""),Trigo!$E59:INDEX(Trigo!$E59:$Z59,MIN(Z$6-$E$3,22))),0))-IF($G$2,0,IF((Z$6-$G$3)&lt;1,0,IFERROR(LOOKUP(2,1/(Trigo!$E59:INDEX(Trigo!$E59:$Z59,MIN(Z$6-$G$3,22))&lt;&gt;""),Trigo!$E59:INDEX(Trigo!$E59:$Z59,MIN(Z$6-$G$3,22))),0)))))</f>
        <v>0</v>
      </c>
      <c r="AA61" s="27" t="n">
        <f aca="false">IF(COUNT(Trigo!$E59:$Z59)=0,0,MAX(0,IF((AA$6-$E$3)&lt;1,0,IFERROR(LOOKUP(2,1/(Trigo!$E59:INDEX(Trigo!$E59:$Z59,MIN(AA$6-$E$3,22))&lt;&gt;""),Trigo!$E59:INDEX(Trigo!$E59:$Z59,MIN(AA$6-$E$3,22))),0))-IF($G$2,0,IF((AA$6-$G$3)&lt;1,0,IFERROR(LOOKUP(2,1/(Trigo!$E59:INDEX(Trigo!$E59:$Z59,MIN(AA$6-$G$3,22))&lt;&gt;""),Trigo!$E59:INDEX(Trigo!$E59:$Z59,MIN(AA$6-$G$3,22))),0)))))</f>
        <v>0</v>
      </c>
      <c r="AB61" s="27" t="n">
        <f aca="false">IF(COUNT(Trigo!$E59:$Z59)=0,0,MAX(0,IF((AB$6-$E$3)&lt;1,0,IFERROR(LOOKUP(2,1/(Trigo!$E59:INDEX(Trigo!$E59:$Z59,MIN(AB$6-$E$3,22))&lt;&gt;""),Trigo!$E59:INDEX(Trigo!$E59:$Z59,MIN(AB$6-$E$3,22))),0))-IF($G$2,0,IF((AB$6-$G$3)&lt;1,0,IFERROR(LOOKUP(2,1/(Trigo!$E59:INDEX(Trigo!$E59:$Z59,MIN(AB$6-$G$3,22))&lt;&gt;""),Trigo!$E59:INDEX(Trigo!$E59:$Z59,MIN(AB$6-$G$3,22))),0)))))</f>
        <v>0</v>
      </c>
      <c r="AC61" s="27" t="n">
        <f aca="false">IF(COUNT(Trigo!$E59:$Z59)=0,0,MAX(0,IF((AC$6-$E$3)&lt;1,0,IFERROR(LOOKUP(2,1/(Trigo!$E59:INDEX(Trigo!$E59:$Z59,MIN(AC$6-$E$3,22))&lt;&gt;""),Trigo!$E59:INDEX(Trigo!$E59:$Z59,MIN(AC$6-$E$3,22))),0))-IF($G$2,0,IF((AC$6-$G$3)&lt;1,0,IFERROR(LOOKUP(2,1/(Trigo!$E59:INDEX(Trigo!$E59:$Z59,MIN(AC$6-$G$3,22))&lt;&gt;""),Trigo!$E59:INDEX(Trigo!$E59:$Z59,MIN(AC$6-$G$3,22))),0)))))</f>
        <v>0</v>
      </c>
      <c r="AD61" s="27" t="n">
        <f aca="false">IF(COUNT(Trigo!$E59:$Z59)=0,0,MAX(0,IF((AD$6-$E$3)&lt;1,0,IFERROR(LOOKUP(2,1/(Trigo!$E59:INDEX(Trigo!$E59:$Z59,MIN(AD$6-$E$3,22))&lt;&gt;""),Trigo!$E59:INDEX(Trigo!$E59:$Z59,MIN(AD$6-$E$3,22))),0))-IF($G$2,0,IF((AD$6-$G$3)&lt;1,0,IFERROR(LOOKUP(2,1/(Trigo!$E59:INDEX(Trigo!$E59:$Z59,MIN(AD$6-$G$3,22))&lt;&gt;""),Trigo!$E59:INDEX(Trigo!$E59:$Z59,MIN(AD$6-$G$3,22))),0)))))</f>
        <v>0</v>
      </c>
      <c r="AE61" s="27" t="n">
        <f aca="false">IF(COUNT(Trigo!$E59:$Z59)=0,0,MAX(0,IF((AE$6-$E$3)&lt;1,0,IFERROR(LOOKUP(2,1/(Trigo!$E59:INDEX(Trigo!$E59:$Z59,MIN(AE$6-$E$3,22))&lt;&gt;""),Trigo!$E59:INDEX(Trigo!$E59:$Z59,MIN(AE$6-$E$3,22))),0))-IF($G$2,0,IF((AE$6-$G$3)&lt;1,0,IFERROR(LOOKUP(2,1/(Trigo!$E59:INDEX(Trigo!$E59:$Z59,MIN(AE$6-$G$3,22))&lt;&gt;""),Trigo!$E59:INDEX(Trigo!$E59:$Z59,MIN(AE$6-$G$3,22))),0)))))</f>
        <v>0</v>
      </c>
      <c r="AF61" s="27" t="n">
        <f aca="false">IF(COUNT(Trigo!$E59:$Z59)=0,0,MAX(0,IF((AF$6-$E$3)&lt;1,0,IFERROR(LOOKUP(2,1/(Trigo!$E59:INDEX(Trigo!$E59:$Z59,MIN(AF$6-$E$3,22))&lt;&gt;""),Trigo!$E59:INDEX(Trigo!$E59:$Z59,MIN(AF$6-$E$3,22))),0))-IF($G$2,0,IF((AF$6-$G$3)&lt;1,0,IFERROR(LOOKUP(2,1/(Trigo!$E59:INDEX(Trigo!$E59:$Z59,MIN(AF$6-$G$3,22))&lt;&gt;""),Trigo!$E59:INDEX(Trigo!$E59:$Z59,MIN(AF$6-$G$3,22))),0)))))</f>
        <v>0</v>
      </c>
      <c r="AG61" s="27" t="n">
        <f aca="false">IF(COUNT(Trigo!$E59:$Z59)=0,0,MAX(0,IF((AG$6-$E$3)&lt;1,0,IFERROR(LOOKUP(2,1/(Trigo!$E59:INDEX(Trigo!$E59:$Z59,MIN(AG$6-$E$3,22))&lt;&gt;""),Trigo!$E59:INDEX(Trigo!$E59:$Z59,MIN(AG$6-$E$3,22))),0))-IF($G$2,0,IF((AG$6-$G$3)&lt;1,0,IFERROR(LOOKUP(2,1/(Trigo!$E59:INDEX(Trigo!$E59:$Z59,MIN(AG$6-$G$3,22))&lt;&gt;""),Trigo!$E59:INDEX(Trigo!$E59:$Z59,MIN(AG$6-$G$3,22))),0)))))</f>
        <v>0</v>
      </c>
      <c r="AH61" s="27" t="n">
        <f aca="false">IF(COUNT(Trigo!$E59:$Z59)=0,0,MAX(0,IF((AH$6-$E$3)&lt;1,0,IFERROR(LOOKUP(2,1/(Trigo!$E59:INDEX(Trigo!$E59:$Z59,MIN(AH$6-$E$3,22))&lt;&gt;""),Trigo!$E59:INDEX(Trigo!$E59:$Z59,MIN(AH$6-$E$3,22))),0))-IF($G$2,0,IF((AH$6-$G$3)&lt;1,0,IFERROR(LOOKUP(2,1/(Trigo!$E59:INDEX(Trigo!$E59:$Z59,MIN(AH$6-$G$3,22))&lt;&gt;""),Trigo!$E59:INDEX(Trigo!$E59:$Z59,MIN(AH$6-$G$3,22))),0)))))</f>
        <v>0</v>
      </c>
      <c r="AI61" s="27" t="n">
        <f aca="false">IF(COUNT(Trigo!$E59:$Z59)=0,0,MAX(0,IF((AI$6-$E$3)&lt;1,0,IFERROR(LOOKUP(2,1/(Trigo!$E59:INDEX(Trigo!$E59:$Z59,MIN(AI$6-$E$3,22))&lt;&gt;""),Trigo!$E59:INDEX(Trigo!$E59:$Z59,MIN(AI$6-$E$3,22))),0))-IF($G$2,0,IF((AI$6-$G$3)&lt;1,0,IFERROR(LOOKUP(2,1/(Trigo!$E59:INDEX(Trigo!$E59:$Z59,MIN(AI$6-$G$3,22))&lt;&gt;""),Trigo!$E59:INDEX(Trigo!$E59:$Z59,MIN(AI$6-$G$3,22))),0)))))</f>
        <v>0</v>
      </c>
      <c r="AJ61" s="27" t="n">
        <f aca="false">IF(COUNT(Trigo!$E59:$Z59)=0,0,MAX(0,IF((AJ$6-$E$3)&lt;1,0,IFERROR(LOOKUP(2,1/(Trigo!$E59:INDEX(Trigo!$E59:$Z59,MIN(AJ$6-$E$3,22))&lt;&gt;""),Trigo!$E59:INDEX(Trigo!$E59:$Z59,MIN(AJ$6-$E$3,22))),0))-IF($G$2,0,IF((AJ$6-$G$3)&lt;1,0,IFERROR(LOOKUP(2,1/(Trigo!$E59:INDEX(Trigo!$E59:$Z59,MIN(AJ$6-$G$3,22))&lt;&gt;""),Trigo!$E59:INDEX(Trigo!$E59:$Z59,MIN(AJ$6-$G$3,22))),0)))))</f>
        <v>0</v>
      </c>
      <c r="AK61" s="27" t="n">
        <f aca="false">IF(COUNT(Trigo!$E59:$Z59)=0,0,MAX(0,IF((AK$6-$E$3)&lt;1,0,IFERROR(LOOKUP(2,1/(Trigo!$E59:INDEX(Trigo!$E59:$Z59,MIN(AK$6-$E$3,22))&lt;&gt;""),Trigo!$E59:INDEX(Trigo!$E59:$Z59,MIN(AK$6-$E$3,22))),0))-IF($G$2,0,IF((AK$6-$G$3)&lt;1,0,IFERROR(LOOKUP(2,1/(Trigo!$E59:INDEX(Trigo!$E59:$Z59,MIN(AK$6-$G$3,22))&lt;&gt;""),Trigo!$E59:INDEX(Trigo!$E59:$Z59,MIN(AK$6-$G$3,22))),0)))))</f>
        <v>0</v>
      </c>
      <c r="AL61" s="27" t="n">
        <f aca="false">IF(COUNT(Trigo!$E59:$Z59)=0,0,MAX(0,IF((AL$6-$E$3)&lt;1,0,IFERROR(LOOKUP(2,1/(Trigo!$E59:INDEX(Trigo!$E59:$Z59,MIN(AL$6-$E$3,22))&lt;&gt;""),Trigo!$E59:INDEX(Trigo!$E59:$Z59,MIN(AL$6-$E$3,22))),0))-IF($G$2,0,IF((AL$6-$G$3)&lt;1,0,IFERROR(LOOKUP(2,1/(Trigo!$E59:INDEX(Trigo!$E59:$Z59,MIN(AL$6-$G$3,22))&lt;&gt;""),Trigo!$E59:INDEX(Trigo!$E59:$Z59,MIN(AL$6-$G$3,22))),0)))))</f>
        <v>0</v>
      </c>
      <c r="AM61" s="27" t="n">
        <f aca="false">IF(COUNT(Trigo!$E59:$Z59)=0,0,MAX(0,IF((AM$6-$E$3)&lt;1,0,IFERROR(LOOKUP(2,1/(Trigo!$E59:INDEX(Trigo!$E59:$Z59,MIN(AM$6-$E$3,22))&lt;&gt;""),Trigo!$E59:INDEX(Trigo!$E59:$Z59,MIN(AM$6-$E$3,22))),0))-IF($G$2,0,IF((AM$6-$G$3)&lt;1,0,IFERROR(LOOKUP(2,1/(Trigo!$E59:INDEX(Trigo!$E59:$Z59,MIN(AM$6-$G$3,22))&lt;&gt;""),Trigo!$E59:INDEX(Trigo!$E59:$Z59,MIN(AM$6-$G$3,22))),0)))))</f>
        <v>0</v>
      </c>
      <c r="AN61" s="27" t="n">
        <f aca="false">IF(COUNT(Trigo!$E59:$Z59)=0,0,MAX(0,IF((AN$6-$E$3)&lt;1,0,IFERROR(LOOKUP(2,1/(Trigo!$E59:INDEX(Trigo!$E59:$Z59,MIN(AN$6-$E$3,22))&lt;&gt;""),Trigo!$E59:INDEX(Trigo!$E59:$Z59,MIN(AN$6-$E$3,22))),0))-IF($G$2,0,IF((AN$6-$G$3)&lt;1,0,IFERROR(LOOKUP(2,1/(Trigo!$E59:INDEX(Trigo!$E59:$Z59,MIN(AN$6-$G$3,22))&lt;&gt;""),Trigo!$E59:INDEX(Trigo!$E59:$Z59,MIN(AN$6-$G$3,22))),0)))))</f>
        <v>0</v>
      </c>
      <c r="AO61" s="27" t="n">
        <f aca="false">IF(COUNT(Trigo!$E59:$Z59)=0,0,MAX(0,IF((AO$6-$E$3)&lt;1,0,IFERROR(LOOKUP(2,1/(Trigo!$E59:INDEX(Trigo!$E59:$Z59,MIN(AO$6-$E$3,22))&lt;&gt;""),Trigo!$E59:INDEX(Trigo!$E59:$Z59,MIN(AO$6-$E$3,22))),0))-IF($G$2,0,IF((AO$6-$G$3)&lt;1,0,IFERROR(LOOKUP(2,1/(Trigo!$E59:INDEX(Trigo!$E59:$Z59,MIN(AO$6-$G$3,22))&lt;&gt;""),Trigo!$E59:INDEX(Trigo!$E59:$Z59,MIN(AO$6-$G$3,22))),0)))))</f>
        <v>0</v>
      </c>
      <c r="AP61" s="27" t="n">
        <f aca="false">IF(COUNT(Trigo!$E59:$Z59)=0,0,MAX(0,IF((AP$6-$E$3)&lt;1,0,IFERROR(LOOKUP(2,1/(Trigo!$E59:INDEX(Trigo!$E59:$Z59,MIN(AP$6-$E$3,22))&lt;&gt;""),Trigo!$E59:INDEX(Trigo!$E59:$Z59,MIN(AP$6-$E$3,22))),0))-IF($G$2,0,IF((AP$6-$G$3)&lt;1,0,IFERROR(LOOKUP(2,1/(Trigo!$E59:INDEX(Trigo!$E59:$Z59,MIN(AP$6-$G$3,22))&lt;&gt;""),Trigo!$E59:INDEX(Trigo!$E59:$Z59,MIN(AP$6-$G$3,22))),0)))))</f>
        <v>0</v>
      </c>
      <c r="AQ61" s="27" t="n">
        <f aca="false">IF(COUNT(Trigo!$E59:$Z59)=0,0,MAX(0,IF((AQ$6-$E$3)&lt;1,0,IFERROR(LOOKUP(2,1/(Trigo!$E59:INDEX(Trigo!$E59:$Z59,MIN(AQ$6-$E$3,22))&lt;&gt;""),Trigo!$E59:INDEX(Trigo!$E59:$Z59,MIN(AQ$6-$E$3,22))),0))-IF($G$2,0,IF((AQ$6-$G$3)&lt;1,0,IFERROR(LOOKUP(2,1/(Trigo!$E59:INDEX(Trigo!$E59:$Z59,MIN(AQ$6-$G$3,22))&lt;&gt;""),Trigo!$E59:INDEX(Trigo!$E59:$Z59,MIN(AQ$6-$G$3,22))),0)))))</f>
        <v>0</v>
      </c>
      <c r="AR61" s="27" t="n">
        <f aca="false">IF(COUNT(Trigo!$E59:$Z59)=0,0,MAX(0,IF((AR$6-$E$3)&lt;1,0,IFERROR(LOOKUP(2,1/(Trigo!$E59:INDEX(Trigo!$E59:$Z59,MIN(AR$6-$E$3,22))&lt;&gt;""),Trigo!$E59:INDEX(Trigo!$E59:$Z59,MIN(AR$6-$E$3,22))),0))-IF($G$2,0,IF((AR$6-$G$3)&lt;1,0,IFERROR(LOOKUP(2,1/(Trigo!$E59:INDEX(Trigo!$E59:$Z59,MIN(AR$6-$G$3,22))&lt;&gt;""),Trigo!$E59:INDEX(Trigo!$E59:$Z59,MIN(AR$6-$G$3,22))),0)))))</f>
        <v>0</v>
      </c>
      <c r="AS61" s="27" t="n">
        <f aca="false">IF(COUNT(Trigo!$E59:$Z59)=0,0,MAX(0,IF((AS$6-$E$3)&lt;1,0,IFERROR(LOOKUP(2,1/(Trigo!$E59:INDEX(Trigo!$E59:$Z59,MIN(AS$6-$E$3,22))&lt;&gt;""),Trigo!$E59:INDEX(Trigo!$E59:$Z59,MIN(AS$6-$E$3,22))),0))-IF($G$2,0,IF((AS$6-$G$3)&lt;1,0,IFERROR(LOOKUP(2,1/(Trigo!$E59:INDEX(Trigo!$E59:$Z59,MIN(AS$6-$G$3,22))&lt;&gt;""),Trigo!$E59:INDEX(Trigo!$E59:$Z59,MIN(AS$6-$G$3,22))),0)))))</f>
        <v>0</v>
      </c>
      <c r="AT61" s="27" t="n">
        <f aca="false">IF(COUNT(Trigo!$E59:$Z59)=0,0,MAX(0,IF((AT$6-$E$3)&lt;1,0,IFERROR(LOOKUP(2,1/(Trigo!$E59:INDEX(Trigo!$E59:$Z59,MIN(AT$6-$E$3,22))&lt;&gt;""),Trigo!$E59:INDEX(Trigo!$E59:$Z59,MIN(AT$6-$E$3,22))),0))-IF($G$2,0,IF((AT$6-$G$3)&lt;1,0,IFERROR(LOOKUP(2,1/(Trigo!$E59:INDEX(Trigo!$E59:$Z59,MIN(AT$6-$G$3,22))&lt;&gt;""),Trigo!$E59:INDEX(Trigo!$E59:$Z59,MIN(AT$6-$G$3,22))),0)))))</f>
        <v>0</v>
      </c>
      <c r="AU61" s="27" t="n">
        <f aca="false">IF(COUNT(Trigo!$E59:$Z59)=0,0,MAX(0,IF((AU$6-$E$3)&lt;1,0,IFERROR(LOOKUP(2,1/(Trigo!$E59:INDEX(Trigo!$E59:$Z59,MIN(AU$6-$E$3,22))&lt;&gt;""),Trigo!$E59:INDEX(Trigo!$E59:$Z59,MIN(AU$6-$E$3,22))),0))-IF($G$2,0,IF((AU$6-$G$3)&lt;1,0,IFERROR(LOOKUP(2,1/(Trigo!$E59:INDEX(Trigo!$E59:$Z59,MIN(AU$6-$G$3,22))&lt;&gt;""),Trigo!$E59:INDEX(Trigo!$E59:$Z59,MIN(AU$6-$G$3,22))),0)))))</f>
        <v>0</v>
      </c>
      <c r="AV61" s="27" t="n">
        <f aca="false">IF(COUNT(Trigo!$E59:$Z59)=0,0,MAX(0,IF((AV$6-$E$3)&lt;1,0,IFERROR(LOOKUP(2,1/(Trigo!$E59:INDEX(Trigo!$E59:$Z59,MIN(AV$6-$E$3,22))&lt;&gt;""),Trigo!$E59:INDEX(Trigo!$E59:$Z59,MIN(AV$6-$E$3,22))),0))-IF($G$2,0,IF((AV$6-$G$3)&lt;1,0,IFERROR(LOOKUP(2,1/(Trigo!$E59:INDEX(Trigo!$E59:$Z59,MIN(AV$6-$G$3,22))&lt;&gt;""),Trigo!$E59:INDEX(Trigo!$E59:$Z59,MIN(AV$6-$G$3,22))),0)))))</f>
        <v>0</v>
      </c>
      <c r="AW61" s="27" t="n">
        <f aca="false">IF(COUNT(Trigo!$E59:$Z59)=0,0,MAX(0,IF((AW$6-$E$3)&lt;1,0,IFERROR(LOOKUP(2,1/(Trigo!$E59:INDEX(Trigo!$E59:$Z59,MIN(AW$6-$E$3,22))&lt;&gt;""),Trigo!$E59:INDEX(Trigo!$E59:$Z59,MIN(AW$6-$E$3,22))),0))-IF($G$2,0,IF((AW$6-$G$3)&lt;1,0,IFERROR(LOOKUP(2,1/(Trigo!$E59:INDEX(Trigo!$E59:$Z59,MIN(AW$6-$G$3,22))&lt;&gt;""),Trigo!$E59:INDEX(Trigo!$E59:$Z59,MIN(AW$6-$G$3,22))),0)))))</f>
        <v>0</v>
      </c>
      <c r="AX61" s="27" t="n">
        <f aca="false">IF(COUNT(Trigo!$E59:$Z59)=0,0,MAX(0,IF((AX$6-$E$3)&lt;1,0,IFERROR(LOOKUP(2,1/(Trigo!$E59:INDEX(Trigo!$E59:$Z59,MIN(AX$6-$E$3,22))&lt;&gt;""),Trigo!$E59:INDEX(Trigo!$E59:$Z59,MIN(AX$6-$E$3,22))),0))-IF($G$2,0,IF((AX$6-$G$3)&lt;1,0,IFERROR(LOOKUP(2,1/(Trigo!$E59:INDEX(Trigo!$E59:$Z59,MIN(AX$6-$G$3,22))&lt;&gt;""),Trigo!$E59:INDEX(Trigo!$E59:$Z59,MIN(AX$6-$G$3,22))),0)))))</f>
        <v>0</v>
      </c>
      <c r="AY61" s="27" t="n">
        <f aca="false">IF(COUNT(Trigo!$E59:$Z59)=0,0,MAX(0,IF((AY$6-$E$3)&lt;1,0,IFERROR(LOOKUP(2,1/(Trigo!$E59:INDEX(Trigo!$E59:$Z59,MIN(AY$6-$E$3,22))&lt;&gt;""),Trigo!$E59:INDEX(Trigo!$E59:$Z59,MIN(AY$6-$E$3,22))),0))-IF($G$2,0,IF((AY$6-$G$3)&lt;1,0,IFERROR(LOOKUP(2,1/(Trigo!$E59:INDEX(Trigo!$E59:$Z59,MIN(AY$6-$G$3,22))&lt;&gt;""),Trigo!$E59:INDEX(Trigo!$E59:$Z59,MIN(AY$6-$G$3,22))),0)))))</f>
        <v>0</v>
      </c>
      <c r="AZ61" s="27" t="n">
        <f aca="false">IF(COUNT(Trigo!$E59:$Z59)=0,0,MAX(0,IF((AZ$6-$E$3)&lt;1,0,IFERROR(LOOKUP(2,1/(Trigo!$E59:INDEX(Trigo!$E59:$Z59,MIN(AZ$6-$E$3,22))&lt;&gt;""),Trigo!$E59:INDEX(Trigo!$E59:$Z59,MIN(AZ$6-$E$3,22))),0))-IF($G$2,0,IF((AZ$6-$G$3)&lt;1,0,IFERROR(LOOKUP(2,1/(Trigo!$E59:INDEX(Trigo!$E59:$Z59,MIN(AZ$6-$G$3,22))&lt;&gt;""),Trigo!$E59:INDEX(Trigo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IF(COUNT(Trigo!$E60:$Z60)&gt;0,N(Trigo!$D60),0)</f>
        <v>0</v>
      </c>
      <c r="E62" s="27" t="n">
        <f aca="false">IF(COUNT(Trigo!$E60:$Z60)=0,0,MAX(0,IF((E$6-$E$3)&lt;1,0,IFERROR(LOOKUP(2,1/(Trigo!$E60:INDEX(Trigo!$E60:$Z60,MIN(E$6-$E$3,22))&lt;&gt;""),Trigo!$E60:INDEX(Trigo!$E60:$Z60,MIN(E$6-$E$3,22))),0))-IF($G$2,0,IF((E$6-$G$3)&lt;1,0,IFERROR(LOOKUP(2,1/(Trigo!$E60:INDEX(Trigo!$E60:$Z60,MIN(E$6-$G$3,22))&lt;&gt;""),Trigo!$E60:INDEX(Trigo!$E60:$Z60,MIN(E$6-$G$3,22))),0)))))</f>
        <v>0</v>
      </c>
      <c r="F62" s="27" t="n">
        <f aca="false">IF(COUNT(Trigo!$E60:$Z60)=0,0,MAX(0,IF((F$6-$E$3)&lt;1,0,IFERROR(LOOKUP(2,1/(Trigo!$E60:INDEX(Trigo!$E60:$Z60,MIN(F$6-$E$3,22))&lt;&gt;""),Trigo!$E60:INDEX(Trigo!$E60:$Z60,MIN(F$6-$E$3,22))),0))-IF($G$2,0,IF((F$6-$G$3)&lt;1,0,IFERROR(LOOKUP(2,1/(Trigo!$E60:INDEX(Trigo!$E60:$Z60,MIN(F$6-$G$3,22))&lt;&gt;""),Trigo!$E60:INDEX(Trigo!$E60:$Z60,MIN(F$6-$G$3,22))),0)))))</f>
        <v>0</v>
      </c>
      <c r="G62" s="27" t="n">
        <f aca="false">IF(COUNT(Trigo!$E60:$Z60)=0,0,MAX(0,IF((G$6-$E$3)&lt;1,0,IFERROR(LOOKUP(2,1/(Trigo!$E60:INDEX(Trigo!$E60:$Z60,MIN(G$6-$E$3,22))&lt;&gt;""),Trigo!$E60:INDEX(Trigo!$E60:$Z60,MIN(G$6-$E$3,22))),0))-IF($G$2,0,IF((G$6-$G$3)&lt;1,0,IFERROR(LOOKUP(2,1/(Trigo!$E60:INDEX(Trigo!$E60:$Z60,MIN(G$6-$G$3,22))&lt;&gt;""),Trigo!$E60:INDEX(Trigo!$E60:$Z60,MIN(G$6-$G$3,22))),0)))))</f>
        <v>0</v>
      </c>
      <c r="H62" s="27" t="n">
        <f aca="false">IF(COUNT(Trigo!$E60:$Z60)=0,0,MAX(0,IF((H$6-$E$3)&lt;1,0,IFERROR(LOOKUP(2,1/(Trigo!$E60:INDEX(Trigo!$E60:$Z60,MIN(H$6-$E$3,22))&lt;&gt;""),Trigo!$E60:INDEX(Trigo!$E60:$Z60,MIN(H$6-$E$3,22))),0))-IF($G$2,0,IF((H$6-$G$3)&lt;1,0,IFERROR(LOOKUP(2,1/(Trigo!$E60:INDEX(Trigo!$E60:$Z60,MIN(H$6-$G$3,22))&lt;&gt;""),Trigo!$E60:INDEX(Trigo!$E60:$Z60,MIN(H$6-$G$3,22))),0)))))</f>
        <v>0</v>
      </c>
      <c r="I62" s="27" t="n">
        <f aca="false">IF(COUNT(Trigo!$E60:$Z60)=0,0,MAX(0,IF((I$6-$E$3)&lt;1,0,IFERROR(LOOKUP(2,1/(Trigo!$E60:INDEX(Trigo!$E60:$Z60,MIN(I$6-$E$3,22))&lt;&gt;""),Trigo!$E60:INDEX(Trigo!$E60:$Z60,MIN(I$6-$E$3,22))),0))-IF($G$2,0,IF((I$6-$G$3)&lt;1,0,IFERROR(LOOKUP(2,1/(Trigo!$E60:INDEX(Trigo!$E60:$Z60,MIN(I$6-$G$3,22))&lt;&gt;""),Trigo!$E60:INDEX(Trigo!$E60:$Z60,MIN(I$6-$G$3,22))),0)))))</f>
        <v>0</v>
      </c>
      <c r="J62" s="27" t="n">
        <f aca="false">IF(COUNT(Trigo!$E60:$Z60)=0,0,MAX(0,IF((J$6-$E$3)&lt;1,0,IFERROR(LOOKUP(2,1/(Trigo!$E60:INDEX(Trigo!$E60:$Z60,MIN(J$6-$E$3,22))&lt;&gt;""),Trigo!$E60:INDEX(Trigo!$E60:$Z60,MIN(J$6-$E$3,22))),0))-IF($G$2,0,IF((J$6-$G$3)&lt;1,0,IFERROR(LOOKUP(2,1/(Trigo!$E60:INDEX(Trigo!$E60:$Z60,MIN(J$6-$G$3,22))&lt;&gt;""),Trigo!$E60:INDEX(Trigo!$E60:$Z60,MIN(J$6-$G$3,22))),0)))))</f>
        <v>0</v>
      </c>
      <c r="K62" s="27" t="n">
        <f aca="false">IF(COUNT(Trigo!$E60:$Z60)=0,0,MAX(0,IF((K$6-$E$3)&lt;1,0,IFERROR(LOOKUP(2,1/(Trigo!$E60:INDEX(Trigo!$E60:$Z60,MIN(K$6-$E$3,22))&lt;&gt;""),Trigo!$E60:INDEX(Trigo!$E60:$Z60,MIN(K$6-$E$3,22))),0))-IF($G$2,0,IF((K$6-$G$3)&lt;1,0,IFERROR(LOOKUP(2,1/(Trigo!$E60:INDEX(Trigo!$E60:$Z60,MIN(K$6-$G$3,22))&lt;&gt;""),Trigo!$E60:INDEX(Trigo!$E60:$Z60,MIN(K$6-$G$3,22))),0)))))</f>
        <v>0</v>
      </c>
      <c r="L62" s="27" t="n">
        <f aca="false">IF(COUNT(Trigo!$E60:$Z60)=0,0,MAX(0,IF((L$6-$E$3)&lt;1,0,IFERROR(LOOKUP(2,1/(Trigo!$E60:INDEX(Trigo!$E60:$Z60,MIN(L$6-$E$3,22))&lt;&gt;""),Trigo!$E60:INDEX(Trigo!$E60:$Z60,MIN(L$6-$E$3,22))),0))-IF($G$2,0,IF((L$6-$G$3)&lt;1,0,IFERROR(LOOKUP(2,1/(Trigo!$E60:INDEX(Trigo!$E60:$Z60,MIN(L$6-$G$3,22))&lt;&gt;""),Trigo!$E60:INDEX(Trigo!$E60:$Z60,MIN(L$6-$G$3,22))),0)))))</f>
        <v>0</v>
      </c>
      <c r="M62" s="27" t="n">
        <f aca="false">IF(COUNT(Trigo!$E60:$Z60)=0,0,MAX(0,IF((M$6-$E$3)&lt;1,0,IFERROR(LOOKUP(2,1/(Trigo!$E60:INDEX(Trigo!$E60:$Z60,MIN(M$6-$E$3,22))&lt;&gt;""),Trigo!$E60:INDEX(Trigo!$E60:$Z60,MIN(M$6-$E$3,22))),0))-IF($G$2,0,IF((M$6-$G$3)&lt;1,0,IFERROR(LOOKUP(2,1/(Trigo!$E60:INDEX(Trigo!$E60:$Z60,MIN(M$6-$G$3,22))&lt;&gt;""),Trigo!$E60:INDEX(Trigo!$E60:$Z60,MIN(M$6-$G$3,22))),0)))))</f>
        <v>0</v>
      </c>
      <c r="N62" s="27" t="n">
        <f aca="false">IF(COUNT(Trigo!$E60:$Z60)=0,0,MAX(0,IF((N$6-$E$3)&lt;1,0,IFERROR(LOOKUP(2,1/(Trigo!$E60:INDEX(Trigo!$E60:$Z60,MIN(N$6-$E$3,22))&lt;&gt;""),Trigo!$E60:INDEX(Trigo!$E60:$Z60,MIN(N$6-$E$3,22))),0))-IF($G$2,0,IF((N$6-$G$3)&lt;1,0,IFERROR(LOOKUP(2,1/(Trigo!$E60:INDEX(Trigo!$E60:$Z60,MIN(N$6-$G$3,22))&lt;&gt;""),Trigo!$E60:INDEX(Trigo!$E60:$Z60,MIN(N$6-$G$3,22))),0)))))</f>
        <v>0</v>
      </c>
      <c r="O62" s="27" t="n">
        <f aca="false">IF(COUNT(Trigo!$E60:$Z60)=0,0,MAX(0,IF((O$6-$E$3)&lt;1,0,IFERROR(LOOKUP(2,1/(Trigo!$E60:INDEX(Trigo!$E60:$Z60,MIN(O$6-$E$3,22))&lt;&gt;""),Trigo!$E60:INDEX(Trigo!$E60:$Z60,MIN(O$6-$E$3,22))),0))-IF($G$2,0,IF((O$6-$G$3)&lt;1,0,IFERROR(LOOKUP(2,1/(Trigo!$E60:INDEX(Trigo!$E60:$Z60,MIN(O$6-$G$3,22))&lt;&gt;""),Trigo!$E60:INDEX(Trigo!$E60:$Z60,MIN(O$6-$G$3,22))),0)))))</f>
        <v>0</v>
      </c>
      <c r="P62" s="27" t="n">
        <f aca="false">IF(COUNT(Trigo!$E60:$Z60)=0,0,MAX(0,IF((P$6-$E$3)&lt;1,0,IFERROR(LOOKUP(2,1/(Trigo!$E60:INDEX(Trigo!$E60:$Z60,MIN(P$6-$E$3,22))&lt;&gt;""),Trigo!$E60:INDEX(Trigo!$E60:$Z60,MIN(P$6-$E$3,22))),0))-IF($G$2,0,IF((P$6-$G$3)&lt;1,0,IFERROR(LOOKUP(2,1/(Trigo!$E60:INDEX(Trigo!$E60:$Z60,MIN(P$6-$G$3,22))&lt;&gt;""),Trigo!$E60:INDEX(Trigo!$E60:$Z60,MIN(P$6-$G$3,22))),0)))))</f>
        <v>0</v>
      </c>
      <c r="Q62" s="27" t="n">
        <f aca="false">IF(COUNT(Trigo!$E60:$Z60)=0,0,MAX(0,IF((Q$6-$E$3)&lt;1,0,IFERROR(LOOKUP(2,1/(Trigo!$E60:INDEX(Trigo!$E60:$Z60,MIN(Q$6-$E$3,22))&lt;&gt;""),Trigo!$E60:INDEX(Trigo!$E60:$Z60,MIN(Q$6-$E$3,22))),0))-IF($G$2,0,IF((Q$6-$G$3)&lt;1,0,IFERROR(LOOKUP(2,1/(Trigo!$E60:INDEX(Trigo!$E60:$Z60,MIN(Q$6-$G$3,22))&lt;&gt;""),Trigo!$E60:INDEX(Trigo!$E60:$Z60,MIN(Q$6-$G$3,22))),0)))))</f>
        <v>0</v>
      </c>
      <c r="R62" s="27" t="n">
        <f aca="false">IF(COUNT(Trigo!$E60:$Z60)=0,0,MAX(0,IF((R$6-$E$3)&lt;1,0,IFERROR(LOOKUP(2,1/(Trigo!$E60:INDEX(Trigo!$E60:$Z60,MIN(R$6-$E$3,22))&lt;&gt;""),Trigo!$E60:INDEX(Trigo!$E60:$Z60,MIN(R$6-$E$3,22))),0))-IF($G$2,0,IF((R$6-$G$3)&lt;1,0,IFERROR(LOOKUP(2,1/(Trigo!$E60:INDEX(Trigo!$E60:$Z60,MIN(R$6-$G$3,22))&lt;&gt;""),Trigo!$E60:INDEX(Trigo!$E60:$Z60,MIN(R$6-$G$3,22))),0)))))</f>
        <v>0</v>
      </c>
      <c r="S62" s="27" t="n">
        <f aca="false">IF(COUNT(Trigo!$E60:$Z60)=0,0,MAX(0,IF((S$6-$E$3)&lt;1,0,IFERROR(LOOKUP(2,1/(Trigo!$E60:INDEX(Trigo!$E60:$Z60,MIN(S$6-$E$3,22))&lt;&gt;""),Trigo!$E60:INDEX(Trigo!$E60:$Z60,MIN(S$6-$E$3,22))),0))-IF($G$2,0,IF((S$6-$G$3)&lt;1,0,IFERROR(LOOKUP(2,1/(Trigo!$E60:INDEX(Trigo!$E60:$Z60,MIN(S$6-$G$3,22))&lt;&gt;""),Trigo!$E60:INDEX(Trigo!$E60:$Z60,MIN(S$6-$G$3,22))),0)))))</f>
        <v>0</v>
      </c>
      <c r="T62" s="27" t="n">
        <f aca="false">IF(COUNT(Trigo!$E60:$Z60)=0,0,MAX(0,IF((T$6-$E$3)&lt;1,0,IFERROR(LOOKUP(2,1/(Trigo!$E60:INDEX(Trigo!$E60:$Z60,MIN(T$6-$E$3,22))&lt;&gt;""),Trigo!$E60:INDEX(Trigo!$E60:$Z60,MIN(T$6-$E$3,22))),0))-IF($G$2,0,IF((T$6-$G$3)&lt;1,0,IFERROR(LOOKUP(2,1/(Trigo!$E60:INDEX(Trigo!$E60:$Z60,MIN(T$6-$G$3,22))&lt;&gt;""),Trigo!$E60:INDEX(Trigo!$E60:$Z60,MIN(T$6-$G$3,22))),0)))))</f>
        <v>0</v>
      </c>
      <c r="U62" s="27" t="n">
        <f aca="false">IF(COUNT(Trigo!$E60:$Z60)=0,0,MAX(0,IF((U$6-$E$3)&lt;1,0,IFERROR(LOOKUP(2,1/(Trigo!$E60:INDEX(Trigo!$E60:$Z60,MIN(U$6-$E$3,22))&lt;&gt;""),Trigo!$E60:INDEX(Trigo!$E60:$Z60,MIN(U$6-$E$3,22))),0))-IF($G$2,0,IF((U$6-$G$3)&lt;1,0,IFERROR(LOOKUP(2,1/(Trigo!$E60:INDEX(Trigo!$E60:$Z60,MIN(U$6-$G$3,22))&lt;&gt;""),Trigo!$E60:INDEX(Trigo!$E60:$Z60,MIN(U$6-$G$3,22))),0)))))</f>
        <v>0</v>
      </c>
      <c r="V62" s="27" t="n">
        <f aca="false">IF(COUNT(Trigo!$E60:$Z60)=0,0,MAX(0,IF((V$6-$E$3)&lt;1,0,IFERROR(LOOKUP(2,1/(Trigo!$E60:INDEX(Trigo!$E60:$Z60,MIN(V$6-$E$3,22))&lt;&gt;""),Trigo!$E60:INDEX(Trigo!$E60:$Z60,MIN(V$6-$E$3,22))),0))-IF($G$2,0,IF((V$6-$G$3)&lt;1,0,IFERROR(LOOKUP(2,1/(Trigo!$E60:INDEX(Trigo!$E60:$Z60,MIN(V$6-$G$3,22))&lt;&gt;""),Trigo!$E60:INDEX(Trigo!$E60:$Z60,MIN(V$6-$G$3,22))),0)))))</f>
        <v>0</v>
      </c>
      <c r="W62" s="27" t="n">
        <f aca="false">IF(COUNT(Trigo!$E60:$Z60)=0,0,MAX(0,IF((W$6-$E$3)&lt;1,0,IFERROR(LOOKUP(2,1/(Trigo!$E60:INDEX(Trigo!$E60:$Z60,MIN(W$6-$E$3,22))&lt;&gt;""),Trigo!$E60:INDEX(Trigo!$E60:$Z60,MIN(W$6-$E$3,22))),0))-IF($G$2,0,IF((W$6-$G$3)&lt;1,0,IFERROR(LOOKUP(2,1/(Trigo!$E60:INDEX(Trigo!$E60:$Z60,MIN(W$6-$G$3,22))&lt;&gt;""),Trigo!$E60:INDEX(Trigo!$E60:$Z60,MIN(W$6-$G$3,22))),0)))))</f>
        <v>0</v>
      </c>
      <c r="X62" s="27" t="n">
        <f aca="false">IF(COUNT(Trigo!$E60:$Z60)=0,0,MAX(0,IF((X$6-$E$3)&lt;1,0,IFERROR(LOOKUP(2,1/(Trigo!$E60:INDEX(Trigo!$E60:$Z60,MIN(X$6-$E$3,22))&lt;&gt;""),Trigo!$E60:INDEX(Trigo!$E60:$Z60,MIN(X$6-$E$3,22))),0))-IF($G$2,0,IF((X$6-$G$3)&lt;1,0,IFERROR(LOOKUP(2,1/(Trigo!$E60:INDEX(Trigo!$E60:$Z60,MIN(X$6-$G$3,22))&lt;&gt;""),Trigo!$E60:INDEX(Trigo!$E60:$Z60,MIN(X$6-$G$3,22))),0)))))</f>
        <v>0</v>
      </c>
      <c r="Y62" s="27" t="n">
        <f aca="false">IF(COUNT(Trigo!$E60:$Z60)=0,0,MAX(0,IF((Y$6-$E$3)&lt;1,0,IFERROR(LOOKUP(2,1/(Trigo!$E60:INDEX(Trigo!$E60:$Z60,MIN(Y$6-$E$3,22))&lt;&gt;""),Trigo!$E60:INDEX(Trigo!$E60:$Z60,MIN(Y$6-$E$3,22))),0))-IF($G$2,0,IF((Y$6-$G$3)&lt;1,0,IFERROR(LOOKUP(2,1/(Trigo!$E60:INDEX(Trigo!$E60:$Z60,MIN(Y$6-$G$3,22))&lt;&gt;""),Trigo!$E60:INDEX(Trigo!$E60:$Z60,MIN(Y$6-$G$3,22))),0)))))</f>
        <v>0</v>
      </c>
      <c r="Z62" s="27" t="n">
        <f aca="false">IF(COUNT(Trigo!$E60:$Z60)=0,0,MAX(0,IF((Z$6-$E$3)&lt;1,0,IFERROR(LOOKUP(2,1/(Trigo!$E60:INDEX(Trigo!$E60:$Z60,MIN(Z$6-$E$3,22))&lt;&gt;""),Trigo!$E60:INDEX(Trigo!$E60:$Z60,MIN(Z$6-$E$3,22))),0))-IF($G$2,0,IF((Z$6-$G$3)&lt;1,0,IFERROR(LOOKUP(2,1/(Trigo!$E60:INDEX(Trigo!$E60:$Z60,MIN(Z$6-$G$3,22))&lt;&gt;""),Trigo!$E60:INDEX(Trigo!$E60:$Z60,MIN(Z$6-$G$3,22))),0)))))</f>
        <v>0</v>
      </c>
      <c r="AA62" s="27" t="n">
        <f aca="false">IF(COUNT(Trigo!$E60:$Z60)=0,0,MAX(0,IF((AA$6-$E$3)&lt;1,0,IFERROR(LOOKUP(2,1/(Trigo!$E60:INDEX(Trigo!$E60:$Z60,MIN(AA$6-$E$3,22))&lt;&gt;""),Trigo!$E60:INDEX(Trigo!$E60:$Z60,MIN(AA$6-$E$3,22))),0))-IF($G$2,0,IF((AA$6-$G$3)&lt;1,0,IFERROR(LOOKUP(2,1/(Trigo!$E60:INDEX(Trigo!$E60:$Z60,MIN(AA$6-$G$3,22))&lt;&gt;""),Trigo!$E60:INDEX(Trigo!$E60:$Z60,MIN(AA$6-$G$3,22))),0)))))</f>
        <v>0</v>
      </c>
      <c r="AB62" s="27" t="n">
        <f aca="false">IF(COUNT(Trigo!$E60:$Z60)=0,0,MAX(0,IF((AB$6-$E$3)&lt;1,0,IFERROR(LOOKUP(2,1/(Trigo!$E60:INDEX(Trigo!$E60:$Z60,MIN(AB$6-$E$3,22))&lt;&gt;""),Trigo!$E60:INDEX(Trigo!$E60:$Z60,MIN(AB$6-$E$3,22))),0))-IF($G$2,0,IF((AB$6-$G$3)&lt;1,0,IFERROR(LOOKUP(2,1/(Trigo!$E60:INDEX(Trigo!$E60:$Z60,MIN(AB$6-$G$3,22))&lt;&gt;""),Trigo!$E60:INDEX(Trigo!$E60:$Z60,MIN(AB$6-$G$3,22))),0)))))</f>
        <v>0</v>
      </c>
      <c r="AC62" s="27" t="n">
        <f aca="false">IF(COUNT(Trigo!$E60:$Z60)=0,0,MAX(0,IF((AC$6-$E$3)&lt;1,0,IFERROR(LOOKUP(2,1/(Trigo!$E60:INDEX(Trigo!$E60:$Z60,MIN(AC$6-$E$3,22))&lt;&gt;""),Trigo!$E60:INDEX(Trigo!$E60:$Z60,MIN(AC$6-$E$3,22))),0))-IF($G$2,0,IF((AC$6-$G$3)&lt;1,0,IFERROR(LOOKUP(2,1/(Trigo!$E60:INDEX(Trigo!$E60:$Z60,MIN(AC$6-$G$3,22))&lt;&gt;""),Trigo!$E60:INDEX(Trigo!$E60:$Z60,MIN(AC$6-$G$3,22))),0)))))</f>
        <v>0</v>
      </c>
      <c r="AD62" s="27" t="n">
        <f aca="false">IF(COUNT(Trigo!$E60:$Z60)=0,0,MAX(0,IF((AD$6-$E$3)&lt;1,0,IFERROR(LOOKUP(2,1/(Trigo!$E60:INDEX(Trigo!$E60:$Z60,MIN(AD$6-$E$3,22))&lt;&gt;""),Trigo!$E60:INDEX(Trigo!$E60:$Z60,MIN(AD$6-$E$3,22))),0))-IF($G$2,0,IF((AD$6-$G$3)&lt;1,0,IFERROR(LOOKUP(2,1/(Trigo!$E60:INDEX(Trigo!$E60:$Z60,MIN(AD$6-$G$3,22))&lt;&gt;""),Trigo!$E60:INDEX(Trigo!$E60:$Z60,MIN(AD$6-$G$3,22))),0)))))</f>
        <v>0</v>
      </c>
      <c r="AE62" s="27" t="n">
        <f aca="false">IF(COUNT(Trigo!$E60:$Z60)=0,0,MAX(0,IF((AE$6-$E$3)&lt;1,0,IFERROR(LOOKUP(2,1/(Trigo!$E60:INDEX(Trigo!$E60:$Z60,MIN(AE$6-$E$3,22))&lt;&gt;""),Trigo!$E60:INDEX(Trigo!$E60:$Z60,MIN(AE$6-$E$3,22))),0))-IF($G$2,0,IF((AE$6-$G$3)&lt;1,0,IFERROR(LOOKUP(2,1/(Trigo!$E60:INDEX(Trigo!$E60:$Z60,MIN(AE$6-$G$3,22))&lt;&gt;""),Trigo!$E60:INDEX(Trigo!$E60:$Z60,MIN(AE$6-$G$3,22))),0)))))</f>
        <v>0</v>
      </c>
      <c r="AF62" s="27" t="n">
        <f aca="false">IF(COUNT(Trigo!$E60:$Z60)=0,0,MAX(0,IF((AF$6-$E$3)&lt;1,0,IFERROR(LOOKUP(2,1/(Trigo!$E60:INDEX(Trigo!$E60:$Z60,MIN(AF$6-$E$3,22))&lt;&gt;""),Trigo!$E60:INDEX(Trigo!$E60:$Z60,MIN(AF$6-$E$3,22))),0))-IF($G$2,0,IF((AF$6-$G$3)&lt;1,0,IFERROR(LOOKUP(2,1/(Trigo!$E60:INDEX(Trigo!$E60:$Z60,MIN(AF$6-$G$3,22))&lt;&gt;""),Trigo!$E60:INDEX(Trigo!$E60:$Z60,MIN(AF$6-$G$3,22))),0)))))</f>
        <v>0</v>
      </c>
      <c r="AG62" s="27" t="n">
        <f aca="false">IF(COUNT(Trigo!$E60:$Z60)=0,0,MAX(0,IF((AG$6-$E$3)&lt;1,0,IFERROR(LOOKUP(2,1/(Trigo!$E60:INDEX(Trigo!$E60:$Z60,MIN(AG$6-$E$3,22))&lt;&gt;""),Trigo!$E60:INDEX(Trigo!$E60:$Z60,MIN(AG$6-$E$3,22))),0))-IF($G$2,0,IF((AG$6-$G$3)&lt;1,0,IFERROR(LOOKUP(2,1/(Trigo!$E60:INDEX(Trigo!$E60:$Z60,MIN(AG$6-$G$3,22))&lt;&gt;""),Trigo!$E60:INDEX(Trigo!$E60:$Z60,MIN(AG$6-$G$3,22))),0)))))</f>
        <v>0</v>
      </c>
      <c r="AH62" s="27" t="n">
        <f aca="false">IF(COUNT(Trigo!$E60:$Z60)=0,0,MAX(0,IF((AH$6-$E$3)&lt;1,0,IFERROR(LOOKUP(2,1/(Trigo!$E60:INDEX(Trigo!$E60:$Z60,MIN(AH$6-$E$3,22))&lt;&gt;""),Trigo!$E60:INDEX(Trigo!$E60:$Z60,MIN(AH$6-$E$3,22))),0))-IF($G$2,0,IF((AH$6-$G$3)&lt;1,0,IFERROR(LOOKUP(2,1/(Trigo!$E60:INDEX(Trigo!$E60:$Z60,MIN(AH$6-$G$3,22))&lt;&gt;""),Trigo!$E60:INDEX(Trigo!$E60:$Z60,MIN(AH$6-$G$3,22))),0)))))</f>
        <v>0</v>
      </c>
      <c r="AI62" s="27" t="n">
        <f aca="false">IF(COUNT(Trigo!$E60:$Z60)=0,0,MAX(0,IF((AI$6-$E$3)&lt;1,0,IFERROR(LOOKUP(2,1/(Trigo!$E60:INDEX(Trigo!$E60:$Z60,MIN(AI$6-$E$3,22))&lt;&gt;""),Trigo!$E60:INDEX(Trigo!$E60:$Z60,MIN(AI$6-$E$3,22))),0))-IF($G$2,0,IF((AI$6-$G$3)&lt;1,0,IFERROR(LOOKUP(2,1/(Trigo!$E60:INDEX(Trigo!$E60:$Z60,MIN(AI$6-$G$3,22))&lt;&gt;""),Trigo!$E60:INDEX(Trigo!$E60:$Z60,MIN(AI$6-$G$3,22))),0)))))</f>
        <v>0</v>
      </c>
      <c r="AJ62" s="27" t="n">
        <f aca="false">IF(COUNT(Trigo!$E60:$Z60)=0,0,MAX(0,IF((AJ$6-$E$3)&lt;1,0,IFERROR(LOOKUP(2,1/(Trigo!$E60:INDEX(Trigo!$E60:$Z60,MIN(AJ$6-$E$3,22))&lt;&gt;""),Trigo!$E60:INDEX(Trigo!$E60:$Z60,MIN(AJ$6-$E$3,22))),0))-IF($G$2,0,IF((AJ$6-$G$3)&lt;1,0,IFERROR(LOOKUP(2,1/(Trigo!$E60:INDEX(Trigo!$E60:$Z60,MIN(AJ$6-$G$3,22))&lt;&gt;""),Trigo!$E60:INDEX(Trigo!$E60:$Z60,MIN(AJ$6-$G$3,22))),0)))))</f>
        <v>0</v>
      </c>
      <c r="AK62" s="27" t="n">
        <f aca="false">IF(COUNT(Trigo!$E60:$Z60)=0,0,MAX(0,IF((AK$6-$E$3)&lt;1,0,IFERROR(LOOKUP(2,1/(Trigo!$E60:INDEX(Trigo!$E60:$Z60,MIN(AK$6-$E$3,22))&lt;&gt;""),Trigo!$E60:INDEX(Trigo!$E60:$Z60,MIN(AK$6-$E$3,22))),0))-IF($G$2,0,IF((AK$6-$G$3)&lt;1,0,IFERROR(LOOKUP(2,1/(Trigo!$E60:INDEX(Trigo!$E60:$Z60,MIN(AK$6-$G$3,22))&lt;&gt;""),Trigo!$E60:INDEX(Trigo!$E60:$Z60,MIN(AK$6-$G$3,22))),0)))))</f>
        <v>0</v>
      </c>
      <c r="AL62" s="27" t="n">
        <f aca="false">IF(COUNT(Trigo!$E60:$Z60)=0,0,MAX(0,IF((AL$6-$E$3)&lt;1,0,IFERROR(LOOKUP(2,1/(Trigo!$E60:INDEX(Trigo!$E60:$Z60,MIN(AL$6-$E$3,22))&lt;&gt;""),Trigo!$E60:INDEX(Trigo!$E60:$Z60,MIN(AL$6-$E$3,22))),0))-IF($G$2,0,IF((AL$6-$G$3)&lt;1,0,IFERROR(LOOKUP(2,1/(Trigo!$E60:INDEX(Trigo!$E60:$Z60,MIN(AL$6-$G$3,22))&lt;&gt;""),Trigo!$E60:INDEX(Trigo!$E60:$Z60,MIN(AL$6-$G$3,22))),0)))))</f>
        <v>0</v>
      </c>
      <c r="AM62" s="27" t="n">
        <f aca="false">IF(COUNT(Trigo!$E60:$Z60)=0,0,MAX(0,IF((AM$6-$E$3)&lt;1,0,IFERROR(LOOKUP(2,1/(Trigo!$E60:INDEX(Trigo!$E60:$Z60,MIN(AM$6-$E$3,22))&lt;&gt;""),Trigo!$E60:INDEX(Trigo!$E60:$Z60,MIN(AM$6-$E$3,22))),0))-IF($G$2,0,IF((AM$6-$G$3)&lt;1,0,IFERROR(LOOKUP(2,1/(Trigo!$E60:INDEX(Trigo!$E60:$Z60,MIN(AM$6-$G$3,22))&lt;&gt;""),Trigo!$E60:INDEX(Trigo!$E60:$Z60,MIN(AM$6-$G$3,22))),0)))))</f>
        <v>0</v>
      </c>
      <c r="AN62" s="27" t="n">
        <f aca="false">IF(COUNT(Trigo!$E60:$Z60)=0,0,MAX(0,IF((AN$6-$E$3)&lt;1,0,IFERROR(LOOKUP(2,1/(Trigo!$E60:INDEX(Trigo!$E60:$Z60,MIN(AN$6-$E$3,22))&lt;&gt;""),Trigo!$E60:INDEX(Trigo!$E60:$Z60,MIN(AN$6-$E$3,22))),0))-IF($G$2,0,IF((AN$6-$G$3)&lt;1,0,IFERROR(LOOKUP(2,1/(Trigo!$E60:INDEX(Trigo!$E60:$Z60,MIN(AN$6-$G$3,22))&lt;&gt;""),Trigo!$E60:INDEX(Trigo!$E60:$Z60,MIN(AN$6-$G$3,22))),0)))))</f>
        <v>0</v>
      </c>
      <c r="AO62" s="27" t="n">
        <f aca="false">IF(COUNT(Trigo!$E60:$Z60)=0,0,MAX(0,IF((AO$6-$E$3)&lt;1,0,IFERROR(LOOKUP(2,1/(Trigo!$E60:INDEX(Trigo!$E60:$Z60,MIN(AO$6-$E$3,22))&lt;&gt;""),Trigo!$E60:INDEX(Trigo!$E60:$Z60,MIN(AO$6-$E$3,22))),0))-IF($G$2,0,IF((AO$6-$G$3)&lt;1,0,IFERROR(LOOKUP(2,1/(Trigo!$E60:INDEX(Trigo!$E60:$Z60,MIN(AO$6-$G$3,22))&lt;&gt;""),Trigo!$E60:INDEX(Trigo!$E60:$Z60,MIN(AO$6-$G$3,22))),0)))))</f>
        <v>0</v>
      </c>
      <c r="AP62" s="27" t="n">
        <f aca="false">IF(COUNT(Trigo!$E60:$Z60)=0,0,MAX(0,IF((AP$6-$E$3)&lt;1,0,IFERROR(LOOKUP(2,1/(Trigo!$E60:INDEX(Trigo!$E60:$Z60,MIN(AP$6-$E$3,22))&lt;&gt;""),Trigo!$E60:INDEX(Trigo!$E60:$Z60,MIN(AP$6-$E$3,22))),0))-IF($G$2,0,IF((AP$6-$G$3)&lt;1,0,IFERROR(LOOKUP(2,1/(Trigo!$E60:INDEX(Trigo!$E60:$Z60,MIN(AP$6-$G$3,22))&lt;&gt;""),Trigo!$E60:INDEX(Trigo!$E60:$Z60,MIN(AP$6-$G$3,22))),0)))))</f>
        <v>0</v>
      </c>
      <c r="AQ62" s="27" t="n">
        <f aca="false">IF(COUNT(Trigo!$E60:$Z60)=0,0,MAX(0,IF((AQ$6-$E$3)&lt;1,0,IFERROR(LOOKUP(2,1/(Trigo!$E60:INDEX(Trigo!$E60:$Z60,MIN(AQ$6-$E$3,22))&lt;&gt;""),Trigo!$E60:INDEX(Trigo!$E60:$Z60,MIN(AQ$6-$E$3,22))),0))-IF($G$2,0,IF((AQ$6-$G$3)&lt;1,0,IFERROR(LOOKUP(2,1/(Trigo!$E60:INDEX(Trigo!$E60:$Z60,MIN(AQ$6-$G$3,22))&lt;&gt;""),Trigo!$E60:INDEX(Trigo!$E60:$Z60,MIN(AQ$6-$G$3,22))),0)))))</f>
        <v>0</v>
      </c>
      <c r="AR62" s="27" t="n">
        <f aca="false">IF(COUNT(Trigo!$E60:$Z60)=0,0,MAX(0,IF((AR$6-$E$3)&lt;1,0,IFERROR(LOOKUP(2,1/(Trigo!$E60:INDEX(Trigo!$E60:$Z60,MIN(AR$6-$E$3,22))&lt;&gt;""),Trigo!$E60:INDEX(Trigo!$E60:$Z60,MIN(AR$6-$E$3,22))),0))-IF($G$2,0,IF((AR$6-$G$3)&lt;1,0,IFERROR(LOOKUP(2,1/(Trigo!$E60:INDEX(Trigo!$E60:$Z60,MIN(AR$6-$G$3,22))&lt;&gt;""),Trigo!$E60:INDEX(Trigo!$E60:$Z60,MIN(AR$6-$G$3,22))),0)))))</f>
        <v>0</v>
      </c>
      <c r="AS62" s="27" t="n">
        <f aca="false">IF(COUNT(Trigo!$E60:$Z60)=0,0,MAX(0,IF((AS$6-$E$3)&lt;1,0,IFERROR(LOOKUP(2,1/(Trigo!$E60:INDEX(Trigo!$E60:$Z60,MIN(AS$6-$E$3,22))&lt;&gt;""),Trigo!$E60:INDEX(Trigo!$E60:$Z60,MIN(AS$6-$E$3,22))),0))-IF($G$2,0,IF((AS$6-$G$3)&lt;1,0,IFERROR(LOOKUP(2,1/(Trigo!$E60:INDEX(Trigo!$E60:$Z60,MIN(AS$6-$G$3,22))&lt;&gt;""),Trigo!$E60:INDEX(Trigo!$E60:$Z60,MIN(AS$6-$G$3,22))),0)))))</f>
        <v>0</v>
      </c>
      <c r="AT62" s="27" t="n">
        <f aca="false">IF(COUNT(Trigo!$E60:$Z60)=0,0,MAX(0,IF((AT$6-$E$3)&lt;1,0,IFERROR(LOOKUP(2,1/(Trigo!$E60:INDEX(Trigo!$E60:$Z60,MIN(AT$6-$E$3,22))&lt;&gt;""),Trigo!$E60:INDEX(Trigo!$E60:$Z60,MIN(AT$6-$E$3,22))),0))-IF($G$2,0,IF((AT$6-$G$3)&lt;1,0,IFERROR(LOOKUP(2,1/(Trigo!$E60:INDEX(Trigo!$E60:$Z60,MIN(AT$6-$G$3,22))&lt;&gt;""),Trigo!$E60:INDEX(Trigo!$E60:$Z60,MIN(AT$6-$G$3,22))),0)))))</f>
        <v>0</v>
      </c>
      <c r="AU62" s="27" t="n">
        <f aca="false">IF(COUNT(Trigo!$E60:$Z60)=0,0,MAX(0,IF((AU$6-$E$3)&lt;1,0,IFERROR(LOOKUP(2,1/(Trigo!$E60:INDEX(Trigo!$E60:$Z60,MIN(AU$6-$E$3,22))&lt;&gt;""),Trigo!$E60:INDEX(Trigo!$E60:$Z60,MIN(AU$6-$E$3,22))),0))-IF($G$2,0,IF((AU$6-$G$3)&lt;1,0,IFERROR(LOOKUP(2,1/(Trigo!$E60:INDEX(Trigo!$E60:$Z60,MIN(AU$6-$G$3,22))&lt;&gt;""),Trigo!$E60:INDEX(Trigo!$E60:$Z60,MIN(AU$6-$G$3,22))),0)))))</f>
        <v>0</v>
      </c>
      <c r="AV62" s="27" t="n">
        <f aca="false">IF(COUNT(Trigo!$E60:$Z60)=0,0,MAX(0,IF((AV$6-$E$3)&lt;1,0,IFERROR(LOOKUP(2,1/(Trigo!$E60:INDEX(Trigo!$E60:$Z60,MIN(AV$6-$E$3,22))&lt;&gt;""),Trigo!$E60:INDEX(Trigo!$E60:$Z60,MIN(AV$6-$E$3,22))),0))-IF($G$2,0,IF((AV$6-$G$3)&lt;1,0,IFERROR(LOOKUP(2,1/(Trigo!$E60:INDEX(Trigo!$E60:$Z60,MIN(AV$6-$G$3,22))&lt;&gt;""),Trigo!$E60:INDEX(Trigo!$E60:$Z60,MIN(AV$6-$G$3,22))),0)))))</f>
        <v>0</v>
      </c>
      <c r="AW62" s="27" t="n">
        <f aca="false">IF(COUNT(Trigo!$E60:$Z60)=0,0,MAX(0,IF((AW$6-$E$3)&lt;1,0,IFERROR(LOOKUP(2,1/(Trigo!$E60:INDEX(Trigo!$E60:$Z60,MIN(AW$6-$E$3,22))&lt;&gt;""),Trigo!$E60:INDEX(Trigo!$E60:$Z60,MIN(AW$6-$E$3,22))),0))-IF($G$2,0,IF((AW$6-$G$3)&lt;1,0,IFERROR(LOOKUP(2,1/(Trigo!$E60:INDEX(Trigo!$E60:$Z60,MIN(AW$6-$G$3,22))&lt;&gt;""),Trigo!$E60:INDEX(Trigo!$E60:$Z60,MIN(AW$6-$G$3,22))),0)))))</f>
        <v>0</v>
      </c>
      <c r="AX62" s="27" t="n">
        <f aca="false">IF(COUNT(Trigo!$E60:$Z60)=0,0,MAX(0,IF((AX$6-$E$3)&lt;1,0,IFERROR(LOOKUP(2,1/(Trigo!$E60:INDEX(Trigo!$E60:$Z60,MIN(AX$6-$E$3,22))&lt;&gt;""),Trigo!$E60:INDEX(Trigo!$E60:$Z60,MIN(AX$6-$E$3,22))),0))-IF($G$2,0,IF((AX$6-$G$3)&lt;1,0,IFERROR(LOOKUP(2,1/(Trigo!$E60:INDEX(Trigo!$E60:$Z60,MIN(AX$6-$G$3,22))&lt;&gt;""),Trigo!$E60:INDEX(Trigo!$E60:$Z60,MIN(AX$6-$G$3,22))),0)))))</f>
        <v>0</v>
      </c>
      <c r="AY62" s="27" t="n">
        <f aca="false">IF(COUNT(Trigo!$E60:$Z60)=0,0,MAX(0,IF((AY$6-$E$3)&lt;1,0,IFERROR(LOOKUP(2,1/(Trigo!$E60:INDEX(Trigo!$E60:$Z60,MIN(AY$6-$E$3,22))&lt;&gt;""),Trigo!$E60:INDEX(Trigo!$E60:$Z60,MIN(AY$6-$E$3,22))),0))-IF($G$2,0,IF((AY$6-$G$3)&lt;1,0,IFERROR(LOOKUP(2,1/(Trigo!$E60:INDEX(Trigo!$E60:$Z60,MIN(AY$6-$G$3,22))&lt;&gt;""),Trigo!$E60:INDEX(Trigo!$E60:$Z60,MIN(AY$6-$G$3,22))),0)))))</f>
        <v>0</v>
      </c>
      <c r="AZ62" s="27" t="n">
        <f aca="false">IF(COUNT(Trigo!$E60:$Z60)=0,0,MAX(0,IF((AZ$6-$E$3)&lt;1,0,IFERROR(LOOKUP(2,1/(Trigo!$E60:INDEX(Trigo!$E60:$Z60,MIN(AZ$6-$E$3,22))&lt;&gt;""),Trigo!$E60:INDEX(Trigo!$E60:$Z60,MIN(AZ$6-$E$3,22))),0))-IF($G$2,0,IF((AZ$6-$G$3)&lt;1,0,IFERROR(LOOKUP(2,1/(Trigo!$E60:INDEX(Trigo!$E60:$Z60,MIN(AZ$6-$G$3,22))&lt;&gt;""),Trigo!$E60:INDEX(Trigo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IF(COUNT(Trigo!$E61:$Z61)&gt;0,N(Trigo!$D61),0)</f>
        <v>0</v>
      </c>
      <c r="E63" s="27" t="n">
        <f aca="false">IF(COUNT(Trigo!$E61:$Z61)=0,0,MAX(0,IF((E$6-$E$3)&lt;1,0,IFERROR(LOOKUP(2,1/(Trigo!$E61:INDEX(Trigo!$E61:$Z61,MIN(E$6-$E$3,22))&lt;&gt;""),Trigo!$E61:INDEX(Trigo!$E61:$Z61,MIN(E$6-$E$3,22))),0))-IF($G$2,0,IF((E$6-$G$3)&lt;1,0,IFERROR(LOOKUP(2,1/(Trigo!$E61:INDEX(Trigo!$E61:$Z61,MIN(E$6-$G$3,22))&lt;&gt;""),Trigo!$E61:INDEX(Trigo!$E61:$Z61,MIN(E$6-$G$3,22))),0)))))</f>
        <v>0</v>
      </c>
      <c r="F63" s="27" t="n">
        <f aca="false">IF(COUNT(Trigo!$E61:$Z61)=0,0,MAX(0,IF((F$6-$E$3)&lt;1,0,IFERROR(LOOKUP(2,1/(Trigo!$E61:INDEX(Trigo!$E61:$Z61,MIN(F$6-$E$3,22))&lt;&gt;""),Trigo!$E61:INDEX(Trigo!$E61:$Z61,MIN(F$6-$E$3,22))),0))-IF($G$2,0,IF((F$6-$G$3)&lt;1,0,IFERROR(LOOKUP(2,1/(Trigo!$E61:INDEX(Trigo!$E61:$Z61,MIN(F$6-$G$3,22))&lt;&gt;""),Trigo!$E61:INDEX(Trigo!$E61:$Z61,MIN(F$6-$G$3,22))),0)))))</f>
        <v>0</v>
      </c>
      <c r="G63" s="27" t="n">
        <f aca="false">IF(COUNT(Trigo!$E61:$Z61)=0,0,MAX(0,IF((G$6-$E$3)&lt;1,0,IFERROR(LOOKUP(2,1/(Trigo!$E61:INDEX(Trigo!$E61:$Z61,MIN(G$6-$E$3,22))&lt;&gt;""),Trigo!$E61:INDEX(Trigo!$E61:$Z61,MIN(G$6-$E$3,22))),0))-IF($G$2,0,IF((G$6-$G$3)&lt;1,0,IFERROR(LOOKUP(2,1/(Trigo!$E61:INDEX(Trigo!$E61:$Z61,MIN(G$6-$G$3,22))&lt;&gt;""),Trigo!$E61:INDEX(Trigo!$E61:$Z61,MIN(G$6-$G$3,22))),0)))))</f>
        <v>0</v>
      </c>
      <c r="H63" s="27" t="n">
        <f aca="false">IF(COUNT(Trigo!$E61:$Z61)=0,0,MAX(0,IF((H$6-$E$3)&lt;1,0,IFERROR(LOOKUP(2,1/(Trigo!$E61:INDEX(Trigo!$E61:$Z61,MIN(H$6-$E$3,22))&lt;&gt;""),Trigo!$E61:INDEX(Trigo!$E61:$Z61,MIN(H$6-$E$3,22))),0))-IF($G$2,0,IF((H$6-$G$3)&lt;1,0,IFERROR(LOOKUP(2,1/(Trigo!$E61:INDEX(Trigo!$E61:$Z61,MIN(H$6-$G$3,22))&lt;&gt;""),Trigo!$E61:INDEX(Trigo!$E61:$Z61,MIN(H$6-$G$3,22))),0)))))</f>
        <v>0</v>
      </c>
      <c r="I63" s="27" t="n">
        <f aca="false">IF(COUNT(Trigo!$E61:$Z61)=0,0,MAX(0,IF((I$6-$E$3)&lt;1,0,IFERROR(LOOKUP(2,1/(Trigo!$E61:INDEX(Trigo!$E61:$Z61,MIN(I$6-$E$3,22))&lt;&gt;""),Trigo!$E61:INDEX(Trigo!$E61:$Z61,MIN(I$6-$E$3,22))),0))-IF($G$2,0,IF((I$6-$G$3)&lt;1,0,IFERROR(LOOKUP(2,1/(Trigo!$E61:INDEX(Trigo!$E61:$Z61,MIN(I$6-$G$3,22))&lt;&gt;""),Trigo!$E61:INDEX(Trigo!$E61:$Z61,MIN(I$6-$G$3,22))),0)))))</f>
        <v>0</v>
      </c>
      <c r="J63" s="27" t="n">
        <f aca="false">IF(COUNT(Trigo!$E61:$Z61)=0,0,MAX(0,IF((J$6-$E$3)&lt;1,0,IFERROR(LOOKUP(2,1/(Trigo!$E61:INDEX(Trigo!$E61:$Z61,MIN(J$6-$E$3,22))&lt;&gt;""),Trigo!$E61:INDEX(Trigo!$E61:$Z61,MIN(J$6-$E$3,22))),0))-IF($G$2,0,IF((J$6-$G$3)&lt;1,0,IFERROR(LOOKUP(2,1/(Trigo!$E61:INDEX(Trigo!$E61:$Z61,MIN(J$6-$G$3,22))&lt;&gt;""),Trigo!$E61:INDEX(Trigo!$E61:$Z61,MIN(J$6-$G$3,22))),0)))))</f>
        <v>0</v>
      </c>
      <c r="K63" s="27" t="n">
        <f aca="false">IF(COUNT(Trigo!$E61:$Z61)=0,0,MAX(0,IF((K$6-$E$3)&lt;1,0,IFERROR(LOOKUP(2,1/(Trigo!$E61:INDEX(Trigo!$E61:$Z61,MIN(K$6-$E$3,22))&lt;&gt;""),Trigo!$E61:INDEX(Trigo!$E61:$Z61,MIN(K$6-$E$3,22))),0))-IF($G$2,0,IF((K$6-$G$3)&lt;1,0,IFERROR(LOOKUP(2,1/(Trigo!$E61:INDEX(Trigo!$E61:$Z61,MIN(K$6-$G$3,22))&lt;&gt;""),Trigo!$E61:INDEX(Trigo!$E61:$Z61,MIN(K$6-$G$3,22))),0)))))</f>
        <v>0</v>
      </c>
      <c r="L63" s="27" t="n">
        <f aca="false">IF(COUNT(Trigo!$E61:$Z61)=0,0,MAX(0,IF((L$6-$E$3)&lt;1,0,IFERROR(LOOKUP(2,1/(Trigo!$E61:INDEX(Trigo!$E61:$Z61,MIN(L$6-$E$3,22))&lt;&gt;""),Trigo!$E61:INDEX(Trigo!$E61:$Z61,MIN(L$6-$E$3,22))),0))-IF($G$2,0,IF((L$6-$G$3)&lt;1,0,IFERROR(LOOKUP(2,1/(Trigo!$E61:INDEX(Trigo!$E61:$Z61,MIN(L$6-$G$3,22))&lt;&gt;""),Trigo!$E61:INDEX(Trigo!$E61:$Z61,MIN(L$6-$G$3,22))),0)))))</f>
        <v>0</v>
      </c>
      <c r="M63" s="27" t="n">
        <f aca="false">IF(COUNT(Trigo!$E61:$Z61)=0,0,MAX(0,IF((M$6-$E$3)&lt;1,0,IFERROR(LOOKUP(2,1/(Trigo!$E61:INDEX(Trigo!$E61:$Z61,MIN(M$6-$E$3,22))&lt;&gt;""),Trigo!$E61:INDEX(Trigo!$E61:$Z61,MIN(M$6-$E$3,22))),0))-IF($G$2,0,IF((M$6-$G$3)&lt;1,0,IFERROR(LOOKUP(2,1/(Trigo!$E61:INDEX(Trigo!$E61:$Z61,MIN(M$6-$G$3,22))&lt;&gt;""),Trigo!$E61:INDEX(Trigo!$E61:$Z61,MIN(M$6-$G$3,22))),0)))))</f>
        <v>0</v>
      </c>
      <c r="N63" s="27" t="n">
        <f aca="false">IF(COUNT(Trigo!$E61:$Z61)=0,0,MAX(0,IF((N$6-$E$3)&lt;1,0,IFERROR(LOOKUP(2,1/(Trigo!$E61:INDEX(Trigo!$E61:$Z61,MIN(N$6-$E$3,22))&lt;&gt;""),Trigo!$E61:INDEX(Trigo!$E61:$Z61,MIN(N$6-$E$3,22))),0))-IF($G$2,0,IF((N$6-$G$3)&lt;1,0,IFERROR(LOOKUP(2,1/(Trigo!$E61:INDEX(Trigo!$E61:$Z61,MIN(N$6-$G$3,22))&lt;&gt;""),Trigo!$E61:INDEX(Trigo!$E61:$Z61,MIN(N$6-$G$3,22))),0)))))</f>
        <v>0</v>
      </c>
      <c r="O63" s="27" t="n">
        <f aca="false">IF(COUNT(Trigo!$E61:$Z61)=0,0,MAX(0,IF((O$6-$E$3)&lt;1,0,IFERROR(LOOKUP(2,1/(Trigo!$E61:INDEX(Trigo!$E61:$Z61,MIN(O$6-$E$3,22))&lt;&gt;""),Trigo!$E61:INDEX(Trigo!$E61:$Z61,MIN(O$6-$E$3,22))),0))-IF($G$2,0,IF((O$6-$G$3)&lt;1,0,IFERROR(LOOKUP(2,1/(Trigo!$E61:INDEX(Trigo!$E61:$Z61,MIN(O$6-$G$3,22))&lt;&gt;""),Trigo!$E61:INDEX(Trigo!$E61:$Z61,MIN(O$6-$G$3,22))),0)))))</f>
        <v>0</v>
      </c>
      <c r="P63" s="27" t="n">
        <f aca="false">IF(COUNT(Trigo!$E61:$Z61)=0,0,MAX(0,IF((P$6-$E$3)&lt;1,0,IFERROR(LOOKUP(2,1/(Trigo!$E61:INDEX(Trigo!$E61:$Z61,MIN(P$6-$E$3,22))&lt;&gt;""),Trigo!$E61:INDEX(Trigo!$E61:$Z61,MIN(P$6-$E$3,22))),0))-IF($G$2,0,IF((P$6-$G$3)&lt;1,0,IFERROR(LOOKUP(2,1/(Trigo!$E61:INDEX(Trigo!$E61:$Z61,MIN(P$6-$G$3,22))&lt;&gt;""),Trigo!$E61:INDEX(Trigo!$E61:$Z61,MIN(P$6-$G$3,22))),0)))))</f>
        <v>0</v>
      </c>
      <c r="Q63" s="27" t="n">
        <f aca="false">IF(COUNT(Trigo!$E61:$Z61)=0,0,MAX(0,IF((Q$6-$E$3)&lt;1,0,IFERROR(LOOKUP(2,1/(Trigo!$E61:INDEX(Trigo!$E61:$Z61,MIN(Q$6-$E$3,22))&lt;&gt;""),Trigo!$E61:INDEX(Trigo!$E61:$Z61,MIN(Q$6-$E$3,22))),0))-IF($G$2,0,IF((Q$6-$G$3)&lt;1,0,IFERROR(LOOKUP(2,1/(Trigo!$E61:INDEX(Trigo!$E61:$Z61,MIN(Q$6-$G$3,22))&lt;&gt;""),Trigo!$E61:INDEX(Trigo!$E61:$Z61,MIN(Q$6-$G$3,22))),0)))))</f>
        <v>0</v>
      </c>
      <c r="R63" s="27" t="n">
        <f aca="false">IF(COUNT(Trigo!$E61:$Z61)=0,0,MAX(0,IF((R$6-$E$3)&lt;1,0,IFERROR(LOOKUP(2,1/(Trigo!$E61:INDEX(Trigo!$E61:$Z61,MIN(R$6-$E$3,22))&lt;&gt;""),Trigo!$E61:INDEX(Trigo!$E61:$Z61,MIN(R$6-$E$3,22))),0))-IF($G$2,0,IF((R$6-$G$3)&lt;1,0,IFERROR(LOOKUP(2,1/(Trigo!$E61:INDEX(Trigo!$E61:$Z61,MIN(R$6-$G$3,22))&lt;&gt;""),Trigo!$E61:INDEX(Trigo!$E61:$Z61,MIN(R$6-$G$3,22))),0)))))</f>
        <v>0</v>
      </c>
      <c r="S63" s="27" t="n">
        <f aca="false">IF(COUNT(Trigo!$E61:$Z61)=0,0,MAX(0,IF((S$6-$E$3)&lt;1,0,IFERROR(LOOKUP(2,1/(Trigo!$E61:INDEX(Trigo!$E61:$Z61,MIN(S$6-$E$3,22))&lt;&gt;""),Trigo!$E61:INDEX(Trigo!$E61:$Z61,MIN(S$6-$E$3,22))),0))-IF($G$2,0,IF((S$6-$G$3)&lt;1,0,IFERROR(LOOKUP(2,1/(Trigo!$E61:INDEX(Trigo!$E61:$Z61,MIN(S$6-$G$3,22))&lt;&gt;""),Trigo!$E61:INDEX(Trigo!$E61:$Z61,MIN(S$6-$G$3,22))),0)))))</f>
        <v>0</v>
      </c>
      <c r="T63" s="27" t="n">
        <f aca="false">IF(COUNT(Trigo!$E61:$Z61)=0,0,MAX(0,IF((T$6-$E$3)&lt;1,0,IFERROR(LOOKUP(2,1/(Trigo!$E61:INDEX(Trigo!$E61:$Z61,MIN(T$6-$E$3,22))&lt;&gt;""),Trigo!$E61:INDEX(Trigo!$E61:$Z61,MIN(T$6-$E$3,22))),0))-IF($G$2,0,IF((T$6-$G$3)&lt;1,0,IFERROR(LOOKUP(2,1/(Trigo!$E61:INDEX(Trigo!$E61:$Z61,MIN(T$6-$G$3,22))&lt;&gt;""),Trigo!$E61:INDEX(Trigo!$E61:$Z61,MIN(T$6-$G$3,22))),0)))))</f>
        <v>0</v>
      </c>
      <c r="U63" s="27" t="n">
        <f aca="false">IF(COUNT(Trigo!$E61:$Z61)=0,0,MAX(0,IF((U$6-$E$3)&lt;1,0,IFERROR(LOOKUP(2,1/(Trigo!$E61:INDEX(Trigo!$E61:$Z61,MIN(U$6-$E$3,22))&lt;&gt;""),Trigo!$E61:INDEX(Trigo!$E61:$Z61,MIN(U$6-$E$3,22))),0))-IF($G$2,0,IF((U$6-$G$3)&lt;1,0,IFERROR(LOOKUP(2,1/(Trigo!$E61:INDEX(Trigo!$E61:$Z61,MIN(U$6-$G$3,22))&lt;&gt;""),Trigo!$E61:INDEX(Trigo!$E61:$Z61,MIN(U$6-$G$3,22))),0)))))</f>
        <v>0</v>
      </c>
      <c r="V63" s="27" t="n">
        <f aca="false">IF(COUNT(Trigo!$E61:$Z61)=0,0,MAX(0,IF((V$6-$E$3)&lt;1,0,IFERROR(LOOKUP(2,1/(Trigo!$E61:INDEX(Trigo!$E61:$Z61,MIN(V$6-$E$3,22))&lt;&gt;""),Trigo!$E61:INDEX(Trigo!$E61:$Z61,MIN(V$6-$E$3,22))),0))-IF($G$2,0,IF((V$6-$G$3)&lt;1,0,IFERROR(LOOKUP(2,1/(Trigo!$E61:INDEX(Trigo!$E61:$Z61,MIN(V$6-$G$3,22))&lt;&gt;""),Trigo!$E61:INDEX(Trigo!$E61:$Z61,MIN(V$6-$G$3,22))),0)))))</f>
        <v>0</v>
      </c>
      <c r="W63" s="27" t="n">
        <f aca="false">IF(COUNT(Trigo!$E61:$Z61)=0,0,MAX(0,IF((W$6-$E$3)&lt;1,0,IFERROR(LOOKUP(2,1/(Trigo!$E61:INDEX(Trigo!$E61:$Z61,MIN(W$6-$E$3,22))&lt;&gt;""),Trigo!$E61:INDEX(Trigo!$E61:$Z61,MIN(W$6-$E$3,22))),0))-IF($G$2,0,IF((W$6-$G$3)&lt;1,0,IFERROR(LOOKUP(2,1/(Trigo!$E61:INDEX(Trigo!$E61:$Z61,MIN(W$6-$G$3,22))&lt;&gt;""),Trigo!$E61:INDEX(Trigo!$E61:$Z61,MIN(W$6-$G$3,22))),0)))))</f>
        <v>0</v>
      </c>
      <c r="X63" s="27" t="n">
        <f aca="false">IF(COUNT(Trigo!$E61:$Z61)=0,0,MAX(0,IF((X$6-$E$3)&lt;1,0,IFERROR(LOOKUP(2,1/(Trigo!$E61:INDEX(Trigo!$E61:$Z61,MIN(X$6-$E$3,22))&lt;&gt;""),Trigo!$E61:INDEX(Trigo!$E61:$Z61,MIN(X$6-$E$3,22))),0))-IF($G$2,0,IF((X$6-$G$3)&lt;1,0,IFERROR(LOOKUP(2,1/(Trigo!$E61:INDEX(Trigo!$E61:$Z61,MIN(X$6-$G$3,22))&lt;&gt;""),Trigo!$E61:INDEX(Trigo!$E61:$Z61,MIN(X$6-$G$3,22))),0)))))</f>
        <v>0</v>
      </c>
      <c r="Y63" s="27" t="n">
        <f aca="false">IF(COUNT(Trigo!$E61:$Z61)=0,0,MAX(0,IF((Y$6-$E$3)&lt;1,0,IFERROR(LOOKUP(2,1/(Trigo!$E61:INDEX(Trigo!$E61:$Z61,MIN(Y$6-$E$3,22))&lt;&gt;""),Trigo!$E61:INDEX(Trigo!$E61:$Z61,MIN(Y$6-$E$3,22))),0))-IF($G$2,0,IF((Y$6-$G$3)&lt;1,0,IFERROR(LOOKUP(2,1/(Trigo!$E61:INDEX(Trigo!$E61:$Z61,MIN(Y$6-$G$3,22))&lt;&gt;""),Trigo!$E61:INDEX(Trigo!$E61:$Z61,MIN(Y$6-$G$3,22))),0)))))</f>
        <v>0</v>
      </c>
      <c r="Z63" s="27" t="n">
        <f aca="false">IF(COUNT(Trigo!$E61:$Z61)=0,0,MAX(0,IF((Z$6-$E$3)&lt;1,0,IFERROR(LOOKUP(2,1/(Trigo!$E61:INDEX(Trigo!$E61:$Z61,MIN(Z$6-$E$3,22))&lt;&gt;""),Trigo!$E61:INDEX(Trigo!$E61:$Z61,MIN(Z$6-$E$3,22))),0))-IF($G$2,0,IF((Z$6-$G$3)&lt;1,0,IFERROR(LOOKUP(2,1/(Trigo!$E61:INDEX(Trigo!$E61:$Z61,MIN(Z$6-$G$3,22))&lt;&gt;""),Trigo!$E61:INDEX(Trigo!$E61:$Z61,MIN(Z$6-$G$3,22))),0)))))</f>
        <v>0</v>
      </c>
      <c r="AA63" s="27" t="n">
        <f aca="false">IF(COUNT(Trigo!$E61:$Z61)=0,0,MAX(0,IF((AA$6-$E$3)&lt;1,0,IFERROR(LOOKUP(2,1/(Trigo!$E61:INDEX(Trigo!$E61:$Z61,MIN(AA$6-$E$3,22))&lt;&gt;""),Trigo!$E61:INDEX(Trigo!$E61:$Z61,MIN(AA$6-$E$3,22))),0))-IF($G$2,0,IF((AA$6-$G$3)&lt;1,0,IFERROR(LOOKUP(2,1/(Trigo!$E61:INDEX(Trigo!$E61:$Z61,MIN(AA$6-$G$3,22))&lt;&gt;""),Trigo!$E61:INDEX(Trigo!$E61:$Z61,MIN(AA$6-$G$3,22))),0)))))</f>
        <v>0</v>
      </c>
      <c r="AB63" s="27" t="n">
        <f aca="false">IF(COUNT(Trigo!$E61:$Z61)=0,0,MAX(0,IF((AB$6-$E$3)&lt;1,0,IFERROR(LOOKUP(2,1/(Trigo!$E61:INDEX(Trigo!$E61:$Z61,MIN(AB$6-$E$3,22))&lt;&gt;""),Trigo!$E61:INDEX(Trigo!$E61:$Z61,MIN(AB$6-$E$3,22))),0))-IF($G$2,0,IF((AB$6-$G$3)&lt;1,0,IFERROR(LOOKUP(2,1/(Trigo!$E61:INDEX(Trigo!$E61:$Z61,MIN(AB$6-$G$3,22))&lt;&gt;""),Trigo!$E61:INDEX(Trigo!$E61:$Z61,MIN(AB$6-$G$3,22))),0)))))</f>
        <v>0</v>
      </c>
      <c r="AC63" s="27" t="n">
        <f aca="false">IF(COUNT(Trigo!$E61:$Z61)=0,0,MAX(0,IF((AC$6-$E$3)&lt;1,0,IFERROR(LOOKUP(2,1/(Trigo!$E61:INDEX(Trigo!$E61:$Z61,MIN(AC$6-$E$3,22))&lt;&gt;""),Trigo!$E61:INDEX(Trigo!$E61:$Z61,MIN(AC$6-$E$3,22))),0))-IF($G$2,0,IF((AC$6-$G$3)&lt;1,0,IFERROR(LOOKUP(2,1/(Trigo!$E61:INDEX(Trigo!$E61:$Z61,MIN(AC$6-$G$3,22))&lt;&gt;""),Trigo!$E61:INDEX(Trigo!$E61:$Z61,MIN(AC$6-$G$3,22))),0)))))</f>
        <v>0</v>
      </c>
      <c r="AD63" s="27" t="n">
        <f aca="false">IF(COUNT(Trigo!$E61:$Z61)=0,0,MAX(0,IF((AD$6-$E$3)&lt;1,0,IFERROR(LOOKUP(2,1/(Trigo!$E61:INDEX(Trigo!$E61:$Z61,MIN(AD$6-$E$3,22))&lt;&gt;""),Trigo!$E61:INDEX(Trigo!$E61:$Z61,MIN(AD$6-$E$3,22))),0))-IF($G$2,0,IF((AD$6-$G$3)&lt;1,0,IFERROR(LOOKUP(2,1/(Trigo!$E61:INDEX(Trigo!$E61:$Z61,MIN(AD$6-$G$3,22))&lt;&gt;""),Trigo!$E61:INDEX(Trigo!$E61:$Z61,MIN(AD$6-$G$3,22))),0)))))</f>
        <v>0</v>
      </c>
      <c r="AE63" s="27" t="n">
        <f aca="false">IF(COUNT(Trigo!$E61:$Z61)=0,0,MAX(0,IF((AE$6-$E$3)&lt;1,0,IFERROR(LOOKUP(2,1/(Trigo!$E61:INDEX(Trigo!$E61:$Z61,MIN(AE$6-$E$3,22))&lt;&gt;""),Trigo!$E61:INDEX(Trigo!$E61:$Z61,MIN(AE$6-$E$3,22))),0))-IF($G$2,0,IF((AE$6-$G$3)&lt;1,0,IFERROR(LOOKUP(2,1/(Trigo!$E61:INDEX(Trigo!$E61:$Z61,MIN(AE$6-$G$3,22))&lt;&gt;""),Trigo!$E61:INDEX(Trigo!$E61:$Z61,MIN(AE$6-$G$3,22))),0)))))</f>
        <v>0</v>
      </c>
      <c r="AF63" s="27" t="n">
        <f aca="false">IF(COUNT(Trigo!$E61:$Z61)=0,0,MAX(0,IF((AF$6-$E$3)&lt;1,0,IFERROR(LOOKUP(2,1/(Trigo!$E61:INDEX(Trigo!$E61:$Z61,MIN(AF$6-$E$3,22))&lt;&gt;""),Trigo!$E61:INDEX(Trigo!$E61:$Z61,MIN(AF$6-$E$3,22))),0))-IF($G$2,0,IF((AF$6-$G$3)&lt;1,0,IFERROR(LOOKUP(2,1/(Trigo!$E61:INDEX(Trigo!$E61:$Z61,MIN(AF$6-$G$3,22))&lt;&gt;""),Trigo!$E61:INDEX(Trigo!$E61:$Z61,MIN(AF$6-$G$3,22))),0)))))</f>
        <v>0</v>
      </c>
      <c r="AG63" s="27" t="n">
        <f aca="false">IF(COUNT(Trigo!$E61:$Z61)=0,0,MAX(0,IF((AG$6-$E$3)&lt;1,0,IFERROR(LOOKUP(2,1/(Trigo!$E61:INDEX(Trigo!$E61:$Z61,MIN(AG$6-$E$3,22))&lt;&gt;""),Trigo!$E61:INDEX(Trigo!$E61:$Z61,MIN(AG$6-$E$3,22))),0))-IF($G$2,0,IF((AG$6-$G$3)&lt;1,0,IFERROR(LOOKUP(2,1/(Trigo!$E61:INDEX(Trigo!$E61:$Z61,MIN(AG$6-$G$3,22))&lt;&gt;""),Trigo!$E61:INDEX(Trigo!$E61:$Z61,MIN(AG$6-$G$3,22))),0)))))</f>
        <v>0</v>
      </c>
      <c r="AH63" s="27" t="n">
        <f aca="false">IF(COUNT(Trigo!$E61:$Z61)=0,0,MAX(0,IF((AH$6-$E$3)&lt;1,0,IFERROR(LOOKUP(2,1/(Trigo!$E61:INDEX(Trigo!$E61:$Z61,MIN(AH$6-$E$3,22))&lt;&gt;""),Trigo!$E61:INDEX(Trigo!$E61:$Z61,MIN(AH$6-$E$3,22))),0))-IF($G$2,0,IF((AH$6-$G$3)&lt;1,0,IFERROR(LOOKUP(2,1/(Trigo!$E61:INDEX(Trigo!$E61:$Z61,MIN(AH$6-$G$3,22))&lt;&gt;""),Trigo!$E61:INDEX(Trigo!$E61:$Z61,MIN(AH$6-$G$3,22))),0)))))</f>
        <v>0</v>
      </c>
      <c r="AI63" s="27" t="n">
        <f aca="false">IF(COUNT(Trigo!$E61:$Z61)=0,0,MAX(0,IF((AI$6-$E$3)&lt;1,0,IFERROR(LOOKUP(2,1/(Trigo!$E61:INDEX(Trigo!$E61:$Z61,MIN(AI$6-$E$3,22))&lt;&gt;""),Trigo!$E61:INDEX(Trigo!$E61:$Z61,MIN(AI$6-$E$3,22))),0))-IF($G$2,0,IF((AI$6-$G$3)&lt;1,0,IFERROR(LOOKUP(2,1/(Trigo!$E61:INDEX(Trigo!$E61:$Z61,MIN(AI$6-$G$3,22))&lt;&gt;""),Trigo!$E61:INDEX(Trigo!$E61:$Z61,MIN(AI$6-$G$3,22))),0)))))</f>
        <v>0</v>
      </c>
      <c r="AJ63" s="27" t="n">
        <f aca="false">IF(COUNT(Trigo!$E61:$Z61)=0,0,MAX(0,IF((AJ$6-$E$3)&lt;1,0,IFERROR(LOOKUP(2,1/(Trigo!$E61:INDEX(Trigo!$E61:$Z61,MIN(AJ$6-$E$3,22))&lt;&gt;""),Trigo!$E61:INDEX(Trigo!$E61:$Z61,MIN(AJ$6-$E$3,22))),0))-IF($G$2,0,IF((AJ$6-$G$3)&lt;1,0,IFERROR(LOOKUP(2,1/(Trigo!$E61:INDEX(Trigo!$E61:$Z61,MIN(AJ$6-$G$3,22))&lt;&gt;""),Trigo!$E61:INDEX(Trigo!$E61:$Z61,MIN(AJ$6-$G$3,22))),0)))))</f>
        <v>0</v>
      </c>
      <c r="AK63" s="27" t="n">
        <f aca="false">IF(COUNT(Trigo!$E61:$Z61)=0,0,MAX(0,IF((AK$6-$E$3)&lt;1,0,IFERROR(LOOKUP(2,1/(Trigo!$E61:INDEX(Trigo!$E61:$Z61,MIN(AK$6-$E$3,22))&lt;&gt;""),Trigo!$E61:INDEX(Trigo!$E61:$Z61,MIN(AK$6-$E$3,22))),0))-IF($G$2,0,IF((AK$6-$G$3)&lt;1,0,IFERROR(LOOKUP(2,1/(Trigo!$E61:INDEX(Trigo!$E61:$Z61,MIN(AK$6-$G$3,22))&lt;&gt;""),Trigo!$E61:INDEX(Trigo!$E61:$Z61,MIN(AK$6-$G$3,22))),0)))))</f>
        <v>0</v>
      </c>
      <c r="AL63" s="27" t="n">
        <f aca="false">IF(COUNT(Trigo!$E61:$Z61)=0,0,MAX(0,IF((AL$6-$E$3)&lt;1,0,IFERROR(LOOKUP(2,1/(Trigo!$E61:INDEX(Trigo!$E61:$Z61,MIN(AL$6-$E$3,22))&lt;&gt;""),Trigo!$E61:INDEX(Trigo!$E61:$Z61,MIN(AL$6-$E$3,22))),0))-IF($G$2,0,IF((AL$6-$G$3)&lt;1,0,IFERROR(LOOKUP(2,1/(Trigo!$E61:INDEX(Trigo!$E61:$Z61,MIN(AL$6-$G$3,22))&lt;&gt;""),Trigo!$E61:INDEX(Trigo!$E61:$Z61,MIN(AL$6-$G$3,22))),0)))))</f>
        <v>0</v>
      </c>
      <c r="AM63" s="27" t="n">
        <f aca="false">IF(COUNT(Trigo!$E61:$Z61)=0,0,MAX(0,IF((AM$6-$E$3)&lt;1,0,IFERROR(LOOKUP(2,1/(Trigo!$E61:INDEX(Trigo!$E61:$Z61,MIN(AM$6-$E$3,22))&lt;&gt;""),Trigo!$E61:INDEX(Trigo!$E61:$Z61,MIN(AM$6-$E$3,22))),0))-IF($G$2,0,IF((AM$6-$G$3)&lt;1,0,IFERROR(LOOKUP(2,1/(Trigo!$E61:INDEX(Trigo!$E61:$Z61,MIN(AM$6-$G$3,22))&lt;&gt;""),Trigo!$E61:INDEX(Trigo!$E61:$Z61,MIN(AM$6-$G$3,22))),0)))))</f>
        <v>0</v>
      </c>
      <c r="AN63" s="27" t="n">
        <f aca="false">IF(COUNT(Trigo!$E61:$Z61)=0,0,MAX(0,IF((AN$6-$E$3)&lt;1,0,IFERROR(LOOKUP(2,1/(Trigo!$E61:INDEX(Trigo!$E61:$Z61,MIN(AN$6-$E$3,22))&lt;&gt;""),Trigo!$E61:INDEX(Trigo!$E61:$Z61,MIN(AN$6-$E$3,22))),0))-IF($G$2,0,IF((AN$6-$G$3)&lt;1,0,IFERROR(LOOKUP(2,1/(Trigo!$E61:INDEX(Trigo!$E61:$Z61,MIN(AN$6-$G$3,22))&lt;&gt;""),Trigo!$E61:INDEX(Trigo!$E61:$Z61,MIN(AN$6-$G$3,22))),0)))))</f>
        <v>0</v>
      </c>
      <c r="AO63" s="27" t="n">
        <f aca="false">IF(COUNT(Trigo!$E61:$Z61)=0,0,MAX(0,IF((AO$6-$E$3)&lt;1,0,IFERROR(LOOKUP(2,1/(Trigo!$E61:INDEX(Trigo!$E61:$Z61,MIN(AO$6-$E$3,22))&lt;&gt;""),Trigo!$E61:INDEX(Trigo!$E61:$Z61,MIN(AO$6-$E$3,22))),0))-IF($G$2,0,IF((AO$6-$G$3)&lt;1,0,IFERROR(LOOKUP(2,1/(Trigo!$E61:INDEX(Trigo!$E61:$Z61,MIN(AO$6-$G$3,22))&lt;&gt;""),Trigo!$E61:INDEX(Trigo!$E61:$Z61,MIN(AO$6-$G$3,22))),0)))))</f>
        <v>0</v>
      </c>
      <c r="AP63" s="27" t="n">
        <f aca="false">IF(COUNT(Trigo!$E61:$Z61)=0,0,MAX(0,IF((AP$6-$E$3)&lt;1,0,IFERROR(LOOKUP(2,1/(Trigo!$E61:INDEX(Trigo!$E61:$Z61,MIN(AP$6-$E$3,22))&lt;&gt;""),Trigo!$E61:INDEX(Trigo!$E61:$Z61,MIN(AP$6-$E$3,22))),0))-IF($G$2,0,IF((AP$6-$G$3)&lt;1,0,IFERROR(LOOKUP(2,1/(Trigo!$E61:INDEX(Trigo!$E61:$Z61,MIN(AP$6-$G$3,22))&lt;&gt;""),Trigo!$E61:INDEX(Trigo!$E61:$Z61,MIN(AP$6-$G$3,22))),0)))))</f>
        <v>0</v>
      </c>
      <c r="AQ63" s="27" t="n">
        <f aca="false">IF(COUNT(Trigo!$E61:$Z61)=0,0,MAX(0,IF((AQ$6-$E$3)&lt;1,0,IFERROR(LOOKUP(2,1/(Trigo!$E61:INDEX(Trigo!$E61:$Z61,MIN(AQ$6-$E$3,22))&lt;&gt;""),Trigo!$E61:INDEX(Trigo!$E61:$Z61,MIN(AQ$6-$E$3,22))),0))-IF($G$2,0,IF((AQ$6-$G$3)&lt;1,0,IFERROR(LOOKUP(2,1/(Trigo!$E61:INDEX(Trigo!$E61:$Z61,MIN(AQ$6-$G$3,22))&lt;&gt;""),Trigo!$E61:INDEX(Trigo!$E61:$Z61,MIN(AQ$6-$G$3,22))),0)))))</f>
        <v>0</v>
      </c>
      <c r="AR63" s="27" t="n">
        <f aca="false">IF(COUNT(Trigo!$E61:$Z61)=0,0,MAX(0,IF((AR$6-$E$3)&lt;1,0,IFERROR(LOOKUP(2,1/(Trigo!$E61:INDEX(Trigo!$E61:$Z61,MIN(AR$6-$E$3,22))&lt;&gt;""),Trigo!$E61:INDEX(Trigo!$E61:$Z61,MIN(AR$6-$E$3,22))),0))-IF($G$2,0,IF((AR$6-$G$3)&lt;1,0,IFERROR(LOOKUP(2,1/(Trigo!$E61:INDEX(Trigo!$E61:$Z61,MIN(AR$6-$G$3,22))&lt;&gt;""),Trigo!$E61:INDEX(Trigo!$E61:$Z61,MIN(AR$6-$G$3,22))),0)))))</f>
        <v>0</v>
      </c>
      <c r="AS63" s="27" t="n">
        <f aca="false">IF(COUNT(Trigo!$E61:$Z61)=0,0,MAX(0,IF((AS$6-$E$3)&lt;1,0,IFERROR(LOOKUP(2,1/(Trigo!$E61:INDEX(Trigo!$E61:$Z61,MIN(AS$6-$E$3,22))&lt;&gt;""),Trigo!$E61:INDEX(Trigo!$E61:$Z61,MIN(AS$6-$E$3,22))),0))-IF($G$2,0,IF((AS$6-$G$3)&lt;1,0,IFERROR(LOOKUP(2,1/(Trigo!$E61:INDEX(Trigo!$E61:$Z61,MIN(AS$6-$G$3,22))&lt;&gt;""),Trigo!$E61:INDEX(Trigo!$E61:$Z61,MIN(AS$6-$G$3,22))),0)))))</f>
        <v>0</v>
      </c>
      <c r="AT63" s="27" t="n">
        <f aca="false">IF(COUNT(Trigo!$E61:$Z61)=0,0,MAX(0,IF((AT$6-$E$3)&lt;1,0,IFERROR(LOOKUP(2,1/(Trigo!$E61:INDEX(Trigo!$E61:$Z61,MIN(AT$6-$E$3,22))&lt;&gt;""),Trigo!$E61:INDEX(Trigo!$E61:$Z61,MIN(AT$6-$E$3,22))),0))-IF($G$2,0,IF((AT$6-$G$3)&lt;1,0,IFERROR(LOOKUP(2,1/(Trigo!$E61:INDEX(Trigo!$E61:$Z61,MIN(AT$6-$G$3,22))&lt;&gt;""),Trigo!$E61:INDEX(Trigo!$E61:$Z61,MIN(AT$6-$G$3,22))),0)))))</f>
        <v>0</v>
      </c>
      <c r="AU63" s="27" t="n">
        <f aca="false">IF(COUNT(Trigo!$E61:$Z61)=0,0,MAX(0,IF((AU$6-$E$3)&lt;1,0,IFERROR(LOOKUP(2,1/(Trigo!$E61:INDEX(Trigo!$E61:$Z61,MIN(AU$6-$E$3,22))&lt;&gt;""),Trigo!$E61:INDEX(Trigo!$E61:$Z61,MIN(AU$6-$E$3,22))),0))-IF($G$2,0,IF((AU$6-$G$3)&lt;1,0,IFERROR(LOOKUP(2,1/(Trigo!$E61:INDEX(Trigo!$E61:$Z61,MIN(AU$6-$G$3,22))&lt;&gt;""),Trigo!$E61:INDEX(Trigo!$E61:$Z61,MIN(AU$6-$G$3,22))),0)))))</f>
        <v>0</v>
      </c>
      <c r="AV63" s="27" t="n">
        <f aca="false">IF(COUNT(Trigo!$E61:$Z61)=0,0,MAX(0,IF((AV$6-$E$3)&lt;1,0,IFERROR(LOOKUP(2,1/(Trigo!$E61:INDEX(Trigo!$E61:$Z61,MIN(AV$6-$E$3,22))&lt;&gt;""),Trigo!$E61:INDEX(Trigo!$E61:$Z61,MIN(AV$6-$E$3,22))),0))-IF($G$2,0,IF((AV$6-$G$3)&lt;1,0,IFERROR(LOOKUP(2,1/(Trigo!$E61:INDEX(Trigo!$E61:$Z61,MIN(AV$6-$G$3,22))&lt;&gt;""),Trigo!$E61:INDEX(Trigo!$E61:$Z61,MIN(AV$6-$G$3,22))),0)))))</f>
        <v>0</v>
      </c>
      <c r="AW63" s="27" t="n">
        <f aca="false">IF(COUNT(Trigo!$E61:$Z61)=0,0,MAX(0,IF((AW$6-$E$3)&lt;1,0,IFERROR(LOOKUP(2,1/(Trigo!$E61:INDEX(Trigo!$E61:$Z61,MIN(AW$6-$E$3,22))&lt;&gt;""),Trigo!$E61:INDEX(Trigo!$E61:$Z61,MIN(AW$6-$E$3,22))),0))-IF($G$2,0,IF((AW$6-$G$3)&lt;1,0,IFERROR(LOOKUP(2,1/(Trigo!$E61:INDEX(Trigo!$E61:$Z61,MIN(AW$6-$G$3,22))&lt;&gt;""),Trigo!$E61:INDEX(Trigo!$E61:$Z61,MIN(AW$6-$G$3,22))),0)))))</f>
        <v>0</v>
      </c>
      <c r="AX63" s="27" t="n">
        <f aca="false">IF(COUNT(Trigo!$E61:$Z61)=0,0,MAX(0,IF((AX$6-$E$3)&lt;1,0,IFERROR(LOOKUP(2,1/(Trigo!$E61:INDEX(Trigo!$E61:$Z61,MIN(AX$6-$E$3,22))&lt;&gt;""),Trigo!$E61:INDEX(Trigo!$E61:$Z61,MIN(AX$6-$E$3,22))),0))-IF($G$2,0,IF((AX$6-$G$3)&lt;1,0,IFERROR(LOOKUP(2,1/(Trigo!$E61:INDEX(Trigo!$E61:$Z61,MIN(AX$6-$G$3,22))&lt;&gt;""),Trigo!$E61:INDEX(Trigo!$E61:$Z61,MIN(AX$6-$G$3,22))),0)))))</f>
        <v>0</v>
      </c>
      <c r="AY63" s="27" t="n">
        <f aca="false">IF(COUNT(Trigo!$E61:$Z61)=0,0,MAX(0,IF((AY$6-$E$3)&lt;1,0,IFERROR(LOOKUP(2,1/(Trigo!$E61:INDEX(Trigo!$E61:$Z61,MIN(AY$6-$E$3,22))&lt;&gt;""),Trigo!$E61:INDEX(Trigo!$E61:$Z61,MIN(AY$6-$E$3,22))),0))-IF($G$2,0,IF((AY$6-$G$3)&lt;1,0,IFERROR(LOOKUP(2,1/(Trigo!$E61:INDEX(Trigo!$E61:$Z61,MIN(AY$6-$G$3,22))&lt;&gt;""),Trigo!$E61:INDEX(Trigo!$E61:$Z61,MIN(AY$6-$G$3,22))),0)))))</f>
        <v>0</v>
      </c>
      <c r="AZ63" s="27" t="n">
        <f aca="false">IF(COUNT(Trigo!$E61:$Z61)=0,0,MAX(0,IF((AZ$6-$E$3)&lt;1,0,IFERROR(LOOKUP(2,1/(Trigo!$E61:INDEX(Trigo!$E61:$Z61,MIN(AZ$6-$E$3,22))&lt;&gt;""),Trigo!$E61:INDEX(Trigo!$E61:$Z61,MIN(AZ$6-$E$3,22))),0))-IF($G$2,0,IF((AZ$6-$G$3)&lt;1,0,IFERROR(LOOKUP(2,1/(Trigo!$E61:INDEX(Trigo!$E61:$Z61,MIN(AZ$6-$G$3,22))&lt;&gt;""),Trigo!$E61:INDEX(Trigo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IF(COUNT(Trigo!$E62:$Z62)&gt;0,N(Trigo!$D62),0)</f>
        <v>0</v>
      </c>
      <c r="E64" s="27" t="n">
        <f aca="false">IF(COUNT(Trigo!$E62:$Z62)=0,0,MAX(0,IF((E$6-$E$3)&lt;1,0,IFERROR(LOOKUP(2,1/(Trigo!$E62:INDEX(Trigo!$E62:$Z62,MIN(E$6-$E$3,22))&lt;&gt;""),Trigo!$E62:INDEX(Trigo!$E62:$Z62,MIN(E$6-$E$3,22))),0))-IF($G$2,0,IF((E$6-$G$3)&lt;1,0,IFERROR(LOOKUP(2,1/(Trigo!$E62:INDEX(Trigo!$E62:$Z62,MIN(E$6-$G$3,22))&lt;&gt;""),Trigo!$E62:INDEX(Trigo!$E62:$Z62,MIN(E$6-$G$3,22))),0)))))</f>
        <v>0</v>
      </c>
      <c r="F64" s="27" t="n">
        <f aca="false">IF(COUNT(Trigo!$E62:$Z62)=0,0,MAX(0,IF((F$6-$E$3)&lt;1,0,IFERROR(LOOKUP(2,1/(Trigo!$E62:INDEX(Trigo!$E62:$Z62,MIN(F$6-$E$3,22))&lt;&gt;""),Trigo!$E62:INDEX(Trigo!$E62:$Z62,MIN(F$6-$E$3,22))),0))-IF($G$2,0,IF((F$6-$G$3)&lt;1,0,IFERROR(LOOKUP(2,1/(Trigo!$E62:INDEX(Trigo!$E62:$Z62,MIN(F$6-$G$3,22))&lt;&gt;""),Trigo!$E62:INDEX(Trigo!$E62:$Z62,MIN(F$6-$G$3,22))),0)))))</f>
        <v>0</v>
      </c>
      <c r="G64" s="27" t="n">
        <f aca="false">IF(COUNT(Trigo!$E62:$Z62)=0,0,MAX(0,IF((G$6-$E$3)&lt;1,0,IFERROR(LOOKUP(2,1/(Trigo!$E62:INDEX(Trigo!$E62:$Z62,MIN(G$6-$E$3,22))&lt;&gt;""),Trigo!$E62:INDEX(Trigo!$E62:$Z62,MIN(G$6-$E$3,22))),0))-IF($G$2,0,IF((G$6-$G$3)&lt;1,0,IFERROR(LOOKUP(2,1/(Trigo!$E62:INDEX(Trigo!$E62:$Z62,MIN(G$6-$G$3,22))&lt;&gt;""),Trigo!$E62:INDEX(Trigo!$E62:$Z62,MIN(G$6-$G$3,22))),0)))))</f>
        <v>0</v>
      </c>
      <c r="H64" s="27" t="n">
        <f aca="false">IF(COUNT(Trigo!$E62:$Z62)=0,0,MAX(0,IF((H$6-$E$3)&lt;1,0,IFERROR(LOOKUP(2,1/(Trigo!$E62:INDEX(Trigo!$E62:$Z62,MIN(H$6-$E$3,22))&lt;&gt;""),Trigo!$E62:INDEX(Trigo!$E62:$Z62,MIN(H$6-$E$3,22))),0))-IF($G$2,0,IF((H$6-$G$3)&lt;1,0,IFERROR(LOOKUP(2,1/(Trigo!$E62:INDEX(Trigo!$E62:$Z62,MIN(H$6-$G$3,22))&lt;&gt;""),Trigo!$E62:INDEX(Trigo!$E62:$Z62,MIN(H$6-$G$3,22))),0)))))</f>
        <v>0</v>
      </c>
      <c r="I64" s="27" t="n">
        <f aca="false">IF(COUNT(Trigo!$E62:$Z62)=0,0,MAX(0,IF((I$6-$E$3)&lt;1,0,IFERROR(LOOKUP(2,1/(Trigo!$E62:INDEX(Trigo!$E62:$Z62,MIN(I$6-$E$3,22))&lt;&gt;""),Trigo!$E62:INDEX(Trigo!$E62:$Z62,MIN(I$6-$E$3,22))),0))-IF($G$2,0,IF((I$6-$G$3)&lt;1,0,IFERROR(LOOKUP(2,1/(Trigo!$E62:INDEX(Trigo!$E62:$Z62,MIN(I$6-$G$3,22))&lt;&gt;""),Trigo!$E62:INDEX(Trigo!$E62:$Z62,MIN(I$6-$G$3,22))),0)))))</f>
        <v>0</v>
      </c>
      <c r="J64" s="27" t="n">
        <f aca="false">IF(COUNT(Trigo!$E62:$Z62)=0,0,MAX(0,IF((J$6-$E$3)&lt;1,0,IFERROR(LOOKUP(2,1/(Trigo!$E62:INDEX(Trigo!$E62:$Z62,MIN(J$6-$E$3,22))&lt;&gt;""),Trigo!$E62:INDEX(Trigo!$E62:$Z62,MIN(J$6-$E$3,22))),0))-IF($G$2,0,IF((J$6-$G$3)&lt;1,0,IFERROR(LOOKUP(2,1/(Trigo!$E62:INDEX(Trigo!$E62:$Z62,MIN(J$6-$G$3,22))&lt;&gt;""),Trigo!$E62:INDEX(Trigo!$E62:$Z62,MIN(J$6-$G$3,22))),0)))))</f>
        <v>0</v>
      </c>
      <c r="K64" s="27" t="n">
        <f aca="false">IF(COUNT(Trigo!$E62:$Z62)=0,0,MAX(0,IF((K$6-$E$3)&lt;1,0,IFERROR(LOOKUP(2,1/(Trigo!$E62:INDEX(Trigo!$E62:$Z62,MIN(K$6-$E$3,22))&lt;&gt;""),Trigo!$E62:INDEX(Trigo!$E62:$Z62,MIN(K$6-$E$3,22))),0))-IF($G$2,0,IF((K$6-$G$3)&lt;1,0,IFERROR(LOOKUP(2,1/(Trigo!$E62:INDEX(Trigo!$E62:$Z62,MIN(K$6-$G$3,22))&lt;&gt;""),Trigo!$E62:INDEX(Trigo!$E62:$Z62,MIN(K$6-$G$3,22))),0)))))</f>
        <v>0</v>
      </c>
      <c r="L64" s="27" t="n">
        <f aca="false">IF(COUNT(Trigo!$E62:$Z62)=0,0,MAX(0,IF((L$6-$E$3)&lt;1,0,IFERROR(LOOKUP(2,1/(Trigo!$E62:INDEX(Trigo!$E62:$Z62,MIN(L$6-$E$3,22))&lt;&gt;""),Trigo!$E62:INDEX(Trigo!$E62:$Z62,MIN(L$6-$E$3,22))),0))-IF($G$2,0,IF((L$6-$G$3)&lt;1,0,IFERROR(LOOKUP(2,1/(Trigo!$E62:INDEX(Trigo!$E62:$Z62,MIN(L$6-$G$3,22))&lt;&gt;""),Trigo!$E62:INDEX(Trigo!$E62:$Z62,MIN(L$6-$G$3,22))),0)))))</f>
        <v>0</v>
      </c>
      <c r="M64" s="27" t="n">
        <f aca="false">IF(COUNT(Trigo!$E62:$Z62)=0,0,MAX(0,IF((M$6-$E$3)&lt;1,0,IFERROR(LOOKUP(2,1/(Trigo!$E62:INDEX(Trigo!$E62:$Z62,MIN(M$6-$E$3,22))&lt;&gt;""),Trigo!$E62:INDEX(Trigo!$E62:$Z62,MIN(M$6-$E$3,22))),0))-IF($G$2,0,IF((M$6-$G$3)&lt;1,0,IFERROR(LOOKUP(2,1/(Trigo!$E62:INDEX(Trigo!$E62:$Z62,MIN(M$6-$G$3,22))&lt;&gt;""),Trigo!$E62:INDEX(Trigo!$E62:$Z62,MIN(M$6-$G$3,22))),0)))))</f>
        <v>0</v>
      </c>
      <c r="N64" s="27" t="n">
        <f aca="false">IF(COUNT(Trigo!$E62:$Z62)=0,0,MAX(0,IF((N$6-$E$3)&lt;1,0,IFERROR(LOOKUP(2,1/(Trigo!$E62:INDEX(Trigo!$E62:$Z62,MIN(N$6-$E$3,22))&lt;&gt;""),Trigo!$E62:INDEX(Trigo!$E62:$Z62,MIN(N$6-$E$3,22))),0))-IF($G$2,0,IF((N$6-$G$3)&lt;1,0,IFERROR(LOOKUP(2,1/(Trigo!$E62:INDEX(Trigo!$E62:$Z62,MIN(N$6-$G$3,22))&lt;&gt;""),Trigo!$E62:INDEX(Trigo!$E62:$Z62,MIN(N$6-$G$3,22))),0)))))</f>
        <v>0</v>
      </c>
      <c r="O64" s="27" t="n">
        <f aca="false">IF(COUNT(Trigo!$E62:$Z62)=0,0,MAX(0,IF((O$6-$E$3)&lt;1,0,IFERROR(LOOKUP(2,1/(Trigo!$E62:INDEX(Trigo!$E62:$Z62,MIN(O$6-$E$3,22))&lt;&gt;""),Trigo!$E62:INDEX(Trigo!$E62:$Z62,MIN(O$6-$E$3,22))),0))-IF($G$2,0,IF((O$6-$G$3)&lt;1,0,IFERROR(LOOKUP(2,1/(Trigo!$E62:INDEX(Trigo!$E62:$Z62,MIN(O$6-$G$3,22))&lt;&gt;""),Trigo!$E62:INDEX(Trigo!$E62:$Z62,MIN(O$6-$G$3,22))),0)))))</f>
        <v>0</v>
      </c>
      <c r="P64" s="27" t="n">
        <f aca="false">IF(COUNT(Trigo!$E62:$Z62)=0,0,MAX(0,IF((P$6-$E$3)&lt;1,0,IFERROR(LOOKUP(2,1/(Trigo!$E62:INDEX(Trigo!$E62:$Z62,MIN(P$6-$E$3,22))&lt;&gt;""),Trigo!$E62:INDEX(Trigo!$E62:$Z62,MIN(P$6-$E$3,22))),0))-IF($G$2,0,IF((P$6-$G$3)&lt;1,0,IFERROR(LOOKUP(2,1/(Trigo!$E62:INDEX(Trigo!$E62:$Z62,MIN(P$6-$G$3,22))&lt;&gt;""),Trigo!$E62:INDEX(Trigo!$E62:$Z62,MIN(P$6-$G$3,22))),0)))))</f>
        <v>0</v>
      </c>
      <c r="Q64" s="27" t="n">
        <f aca="false">IF(COUNT(Trigo!$E62:$Z62)=0,0,MAX(0,IF((Q$6-$E$3)&lt;1,0,IFERROR(LOOKUP(2,1/(Trigo!$E62:INDEX(Trigo!$E62:$Z62,MIN(Q$6-$E$3,22))&lt;&gt;""),Trigo!$E62:INDEX(Trigo!$E62:$Z62,MIN(Q$6-$E$3,22))),0))-IF($G$2,0,IF((Q$6-$G$3)&lt;1,0,IFERROR(LOOKUP(2,1/(Trigo!$E62:INDEX(Trigo!$E62:$Z62,MIN(Q$6-$G$3,22))&lt;&gt;""),Trigo!$E62:INDEX(Trigo!$E62:$Z62,MIN(Q$6-$G$3,22))),0)))))</f>
        <v>0</v>
      </c>
      <c r="R64" s="27" t="n">
        <f aca="false">IF(COUNT(Trigo!$E62:$Z62)=0,0,MAX(0,IF((R$6-$E$3)&lt;1,0,IFERROR(LOOKUP(2,1/(Trigo!$E62:INDEX(Trigo!$E62:$Z62,MIN(R$6-$E$3,22))&lt;&gt;""),Trigo!$E62:INDEX(Trigo!$E62:$Z62,MIN(R$6-$E$3,22))),0))-IF($G$2,0,IF((R$6-$G$3)&lt;1,0,IFERROR(LOOKUP(2,1/(Trigo!$E62:INDEX(Trigo!$E62:$Z62,MIN(R$6-$G$3,22))&lt;&gt;""),Trigo!$E62:INDEX(Trigo!$E62:$Z62,MIN(R$6-$G$3,22))),0)))))</f>
        <v>0</v>
      </c>
      <c r="S64" s="27" t="n">
        <f aca="false">IF(COUNT(Trigo!$E62:$Z62)=0,0,MAX(0,IF((S$6-$E$3)&lt;1,0,IFERROR(LOOKUP(2,1/(Trigo!$E62:INDEX(Trigo!$E62:$Z62,MIN(S$6-$E$3,22))&lt;&gt;""),Trigo!$E62:INDEX(Trigo!$E62:$Z62,MIN(S$6-$E$3,22))),0))-IF($G$2,0,IF((S$6-$G$3)&lt;1,0,IFERROR(LOOKUP(2,1/(Trigo!$E62:INDEX(Trigo!$E62:$Z62,MIN(S$6-$G$3,22))&lt;&gt;""),Trigo!$E62:INDEX(Trigo!$E62:$Z62,MIN(S$6-$G$3,22))),0)))))</f>
        <v>0</v>
      </c>
      <c r="T64" s="27" t="n">
        <f aca="false">IF(COUNT(Trigo!$E62:$Z62)=0,0,MAX(0,IF((T$6-$E$3)&lt;1,0,IFERROR(LOOKUP(2,1/(Trigo!$E62:INDEX(Trigo!$E62:$Z62,MIN(T$6-$E$3,22))&lt;&gt;""),Trigo!$E62:INDEX(Trigo!$E62:$Z62,MIN(T$6-$E$3,22))),0))-IF($G$2,0,IF((T$6-$G$3)&lt;1,0,IFERROR(LOOKUP(2,1/(Trigo!$E62:INDEX(Trigo!$E62:$Z62,MIN(T$6-$G$3,22))&lt;&gt;""),Trigo!$E62:INDEX(Trigo!$E62:$Z62,MIN(T$6-$G$3,22))),0)))))</f>
        <v>0</v>
      </c>
      <c r="U64" s="27" t="n">
        <f aca="false">IF(COUNT(Trigo!$E62:$Z62)=0,0,MAX(0,IF((U$6-$E$3)&lt;1,0,IFERROR(LOOKUP(2,1/(Trigo!$E62:INDEX(Trigo!$E62:$Z62,MIN(U$6-$E$3,22))&lt;&gt;""),Trigo!$E62:INDEX(Trigo!$E62:$Z62,MIN(U$6-$E$3,22))),0))-IF($G$2,0,IF((U$6-$G$3)&lt;1,0,IFERROR(LOOKUP(2,1/(Trigo!$E62:INDEX(Trigo!$E62:$Z62,MIN(U$6-$G$3,22))&lt;&gt;""),Trigo!$E62:INDEX(Trigo!$E62:$Z62,MIN(U$6-$G$3,22))),0)))))</f>
        <v>0</v>
      </c>
      <c r="V64" s="27" t="n">
        <f aca="false">IF(COUNT(Trigo!$E62:$Z62)=0,0,MAX(0,IF((V$6-$E$3)&lt;1,0,IFERROR(LOOKUP(2,1/(Trigo!$E62:INDEX(Trigo!$E62:$Z62,MIN(V$6-$E$3,22))&lt;&gt;""),Trigo!$E62:INDEX(Trigo!$E62:$Z62,MIN(V$6-$E$3,22))),0))-IF($G$2,0,IF((V$6-$G$3)&lt;1,0,IFERROR(LOOKUP(2,1/(Trigo!$E62:INDEX(Trigo!$E62:$Z62,MIN(V$6-$G$3,22))&lt;&gt;""),Trigo!$E62:INDEX(Trigo!$E62:$Z62,MIN(V$6-$G$3,22))),0)))))</f>
        <v>0</v>
      </c>
      <c r="W64" s="27" t="n">
        <f aca="false">IF(COUNT(Trigo!$E62:$Z62)=0,0,MAX(0,IF((W$6-$E$3)&lt;1,0,IFERROR(LOOKUP(2,1/(Trigo!$E62:INDEX(Trigo!$E62:$Z62,MIN(W$6-$E$3,22))&lt;&gt;""),Trigo!$E62:INDEX(Trigo!$E62:$Z62,MIN(W$6-$E$3,22))),0))-IF($G$2,0,IF((W$6-$G$3)&lt;1,0,IFERROR(LOOKUP(2,1/(Trigo!$E62:INDEX(Trigo!$E62:$Z62,MIN(W$6-$G$3,22))&lt;&gt;""),Trigo!$E62:INDEX(Trigo!$E62:$Z62,MIN(W$6-$G$3,22))),0)))))</f>
        <v>0</v>
      </c>
      <c r="X64" s="27" t="n">
        <f aca="false">IF(COUNT(Trigo!$E62:$Z62)=0,0,MAX(0,IF((X$6-$E$3)&lt;1,0,IFERROR(LOOKUP(2,1/(Trigo!$E62:INDEX(Trigo!$E62:$Z62,MIN(X$6-$E$3,22))&lt;&gt;""),Trigo!$E62:INDEX(Trigo!$E62:$Z62,MIN(X$6-$E$3,22))),0))-IF($G$2,0,IF((X$6-$G$3)&lt;1,0,IFERROR(LOOKUP(2,1/(Trigo!$E62:INDEX(Trigo!$E62:$Z62,MIN(X$6-$G$3,22))&lt;&gt;""),Trigo!$E62:INDEX(Trigo!$E62:$Z62,MIN(X$6-$G$3,22))),0)))))</f>
        <v>0</v>
      </c>
      <c r="Y64" s="27" t="n">
        <f aca="false">IF(COUNT(Trigo!$E62:$Z62)=0,0,MAX(0,IF((Y$6-$E$3)&lt;1,0,IFERROR(LOOKUP(2,1/(Trigo!$E62:INDEX(Trigo!$E62:$Z62,MIN(Y$6-$E$3,22))&lt;&gt;""),Trigo!$E62:INDEX(Trigo!$E62:$Z62,MIN(Y$6-$E$3,22))),0))-IF($G$2,0,IF((Y$6-$G$3)&lt;1,0,IFERROR(LOOKUP(2,1/(Trigo!$E62:INDEX(Trigo!$E62:$Z62,MIN(Y$6-$G$3,22))&lt;&gt;""),Trigo!$E62:INDEX(Trigo!$E62:$Z62,MIN(Y$6-$G$3,22))),0)))))</f>
        <v>0</v>
      </c>
      <c r="Z64" s="27" t="n">
        <f aca="false">IF(COUNT(Trigo!$E62:$Z62)=0,0,MAX(0,IF((Z$6-$E$3)&lt;1,0,IFERROR(LOOKUP(2,1/(Trigo!$E62:INDEX(Trigo!$E62:$Z62,MIN(Z$6-$E$3,22))&lt;&gt;""),Trigo!$E62:INDEX(Trigo!$E62:$Z62,MIN(Z$6-$E$3,22))),0))-IF($G$2,0,IF((Z$6-$G$3)&lt;1,0,IFERROR(LOOKUP(2,1/(Trigo!$E62:INDEX(Trigo!$E62:$Z62,MIN(Z$6-$G$3,22))&lt;&gt;""),Trigo!$E62:INDEX(Trigo!$E62:$Z62,MIN(Z$6-$G$3,22))),0)))))</f>
        <v>0</v>
      </c>
      <c r="AA64" s="27" t="n">
        <f aca="false">IF(COUNT(Trigo!$E62:$Z62)=0,0,MAX(0,IF((AA$6-$E$3)&lt;1,0,IFERROR(LOOKUP(2,1/(Trigo!$E62:INDEX(Trigo!$E62:$Z62,MIN(AA$6-$E$3,22))&lt;&gt;""),Trigo!$E62:INDEX(Trigo!$E62:$Z62,MIN(AA$6-$E$3,22))),0))-IF($G$2,0,IF((AA$6-$G$3)&lt;1,0,IFERROR(LOOKUP(2,1/(Trigo!$E62:INDEX(Trigo!$E62:$Z62,MIN(AA$6-$G$3,22))&lt;&gt;""),Trigo!$E62:INDEX(Trigo!$E62:$Z62,MIN(AA$6-$G$3,22))),0)))))</f>
        <v>0</v>
      </c>
      <c r="AB64" s="27" t="n">
        <f aca="false">IF(COUNT(Trigo!$E62:$Z62)=0,0,MAX(0,IF((AB$6-$E$3)&lt;1,0,IFERROR(LOOKUP(2,1/(Trigo!$E62:INDEX(Trigo!$E62:$Z62,MIN(AB$6-$E$3,22))&lt;&gt;""),Trigo!$E62:INDEX(Trigo!$E62:$Z62,MIN(AB$6-$E$3,22))),0))-IF($G$2,0,IF((AB$6-$G$3)&lt;1,0,IFERROR(LOOKUP(2,1/(Trigo!$E62:INDEX(Trigo!$E62:$Z62,MIN(AB$6-$G$3,22))&lt;&gt;""),Trigo!$E62:INDEX(Trigo!$E62:$Z62,MIN(AB$6-$G$3,22))),0)))))</f>
        <v>0</v>
      </c>
      <c r="AC64" s="27" t="n">
        <f aca="false">IF(COUNT(Trigo!$E62:$Z62)=0,0,MAX(0,IF((AC$6-$E$3)&lt;1,0,IFERROR(LOOKUP(2,1/(Trigo!$E62:INDEX(Trigo!$E62:$Z62,MIN(AC$6-$E$3,22))&lt;&gt;""),Trigo!$E62:INDEX(Trigo!$E62:$Z62,MIN(AC$6-$E$3,22))),0))-IF($G$2,0,IF((AC$6-$G$3)&lt;1,0,IFERROR(LOOKUP(2,1/(Trigo!$E62:INDEX(Trigo!$E62:$Z62,MIN(AC$6-$G$3,22))&lt;&gt;""),Trigo!$E62:INDEX(Trigo!$E62:$Z62,MIN(AC$6-$G$3,22))),0)))))</f>
        <v>0</v>
      </c>
      <c r="AD64" s="27" t="n">
        <f aca="false">IF(COUNT(Trigo!$E62:$Z62)=0,0,MAX(0,IF((AD$6-$E$3)&lt;1,0,IFERROR(LOOKUP(2,1/(Trigo!$E62:INDEX(Trigo!$E62:$Z62,MIN(AD$6-$E$3,22))&lt;&gt;""),Trigo!$E62:INDEX(Trigo!$E62:$Z62,MIN(AD$6-$E$3,22))),0))-IF($G$2,0,IF((AD$6-$G$3)&lt;1,0,IFERROR(LOOKUP(2,1/(Trigo!$E62:INDEX(Trigo!$E62:$Z62,MIN(AD$6-$G$3,22))&lt;&gt;""),Trigo!$E62:INDEX(Trigo!$E62:$Z62,MIN(AD$6-$G$3,22))),0)))))</f>
        <v>0</v>
      </c>
      <c r="AE64" s="27" t="n">
        <f aca="false">IF(COUNT(Trigo!$E62:$Z62)=0,0,MAX(0,IF((AE$6-$E$3)&lt;1,0,IFERROR(LOOKUP(2,1/(Trigo!$E62:INDEX(Trigo!$E62:$Z62,MIN(AE$6-$E$3,22))&lt;&gt;""),Trigo!$E62:INDEX(Trigo!$E62:$Z62,MIN(AE$6-$E$3,22))),0))-IF($G$2,0,IF((AE$6-$G$3)&lt;1,0,IFERROR(LOOKUP(2,1/(Trigo!$E62:INDEX(Trigo!$E62:$Z62,MIN(AE$6-$G$3,22))&lt;&gt;""),Trigo!$E62:INDEX(Trigo!$E62:$Z62,MIN(AE$6-$G$3,22))),0)))))</f>
        <v>0</v>
      </c>
      <c r="AF64" s="27" t="n">
        <f aca="false">IF(COUNT(Trigo!$E62:$Z62)=0,0,MAX(0,IF((AF$6-$E$3)&lt;1,0,IFERROR(LOOKUP(2,1/(Trigo!$E62:INDEX(Trigo!$E62:$Z62,MIN(AF$6-$E$3,22))&lt;&gt;""),Trigo!$E62:INDEX(Trigo!$E62:$Z62,MIN(AF$6-$E$3,22))),0))-IF($G$2,0,IF((AF$6-$G$3)&lt;1,0,IFERROR(LOOKUP(2,1/(Trigo!$E62:INDEX(Trigo!$E62:$Z62,MIN(AF$6-$G$3,22))&lt;&gt;""),Trigo!$E62:INDEX(Trigo!$E62:$Z62,MIN(AF$6-$G$3,22))),0)))))</f>
        <v>0</v>
      </c>
      <c r="AG64" s="27" t="n">
        <f aca="false">IF(COUNT(Trigo!$E62:$Z62)=0,0,MAX(0,IF((AG$6-$E$3)&lt;1,0,IFERROR(LOOKUP(2,1/(Trigo!$E62:INDEX(Trigo!$E62:$Z62,MIN(AG$6-$E$3,22))&lt;&gt;""),Trigo!$E62:INDEX(Trigo!$E62:$Z62,MIN(AG$6-$E$3,22))),0))-IF($G$2,0,IF((AG$6-$G$3)&lt;1,0,IFERROR(LOOKUP(2,1/(Trigo!$E62:INDEX(Trigo!$E62:$Z62,MIN(AG$6-$G$3,22))&lt;&gt;""),Trigo!$E62:INDEX(Trigo!$E62:$Z62,MIN(AG$6-$G$3,22))),0)))))</f>
        <v>0</v>
      </c>
      <c r="AH64" s="27" t="n">
        <f aca="false">IF(COUNT(Trigo!$E62:$Z62)=0,0,MAX(0,IF((AH$6-$E$3)&lt;1,0,IFERROR(LOOKUP(2,1/(Trigo!$E62:INDEX(Trigo!$E62:$Z62,MIN(AH$6-$E$3,22))&lt;&gt;""),Trigo!$E62:INDEX(Trigo!$E62:$Z62,MIN(AH$6-$E$3,22))),0))-IF($G$2,0,IF((AH$6-$G$3)&lt;1,0,IFERROR(LOOKUP(2,1/(Trigo!$E62:INDEX(Trigo!$E62:$Z62,MIN(AH$6-$G$3,22))&lt;&gt;""),Trigo!$E62:INDEX(Trigo!$E62:$Z62,MIN(AH$6-$G$3,22))),0)))))</f>
        <v>0</v>
      </c>
      <c r="AI64" s="27" t="n">
        <f aca="false">IF(COUNT(Trigo!$E62:$Z62)=0,0,MAX(0,IF((AI$6-$E$3)&lt;1,0,IFERROR(LOOKUP(2,1/(Trigo!$E62:INDEX(Trigo!$E62:$Z62,MIN(AI$6-$E$3,22))&lt;&gt;""),Trigo!$E62:INDEX(Trigo!$E62:$Z62,MIN(AI$6-$E$3,22))),0))-IF($G$2,0,IF((AI$6-$G$3)&lt;1,0,IFERROR(LOOKUP(2,1/(Trigo!$E62:INDEX(Trigo!$E62:$Z62,MIN(AI$6-$G$3,22))&lt;&gt;""),Trigo!$E62:INDEX(Trigo!$E62:$Z62,MIN(AI$6-$G$3,22))),0)))))</f>
        <v>0</v>
      </c>
      <c r="AJ64" s="27" t="n">
        <f aca="false">IF(COUNT(Trigo!$E62:$Z62)=0,0,MAX(0,IF((AJ$6-$E$3)&lt;1,0,IFERROR(LOOKUP(2,1/(Trigo!$E62:INDEX(Trigo!$E62:$Z62,MIN(AJ$6-$E$3,22))&lt;&gt;""),Trigo!$E62:INDEX(Trigo!$E62:$Z62,MIN(AJ$6-$E$3,22))),0))-IF($G$2,0,IF((AJ$6-$G$3)&lt;1,0,IFERROR(LOOKUP(2,1/(Trigo!$E62:INDEX(Trigo!$E62:$Z62,MIN(AJ$6-$G$3,22))&lt;&gt;""),Trigo!$E62:INDEX(Trigo!$E62:$Z62,MIN(AJ$6-$G$3,22))),0)))))</f>
        <v>0</v>
      </c>
      <c r="AK64" s="27" t="n">
        <f aca="false">IF(COUNT(Trigo!$E62:$Z62)=0,0,MAX(0,IF((AK$6-$E$3)&lt;1,0,IFERROR(LOOKUP(2,1/(Trigo!$E62:INDEX(Trigo!$E62:$Z62,MIN(AK$6-$E$3,22))&lt;&gt;""),Trigo!$E62:INDEX(Trigo!$E62:$Z62,MIN(AK$6-$E$3,22))),0))-IF($G$2,0,IF((AK$6-$G$3)&lt;1,0,IFERROR(LOOKUP(2,1/(Trigo!$E62:INDEX(Trigo!$E62:$Z62,MIN(AK$6-$G$3,22))&lt;&gt;""),Trigo!$E62:INDEX(Trigo!$E62:$Z62,MIN(AK$6-$G$3,22))),0)))))</f>
        <v>0</v>
      </c>
      <c r="AL64" s="27" t="n">
        <f aca="false">IF(COUNT(Trigo!$E62:$Z62)=0,0,MAX(0,IF((AL$6-$E$3)&lt;1,0,IFERROR(LOOKUP(2,1/(Trigo!$E62:INDEX(Trigo!$E62:$Z62,MIN(AL$6-$E$3,22))&lt;&gt;""),Trigo!$E62:INDEX(Trigo!$E62:$Z62,MIN(AL$6-$E$3,22))),0))-IF($G$2,0,IF((AL$6-$G$3)&lt;1,0,IFERROR(LOOKUP(2,1/(Trigo!$E62:INDEX(Trigo!$E62:$Z62,MIN(AL$6-$G$3,22))&lt;&gt;""),Trigo!$E62:INDEX(Trigo!$E62:$Z62,MIN(AL$6-$G$3,22))),0)))))</f>
        <v>0</v>
      </c>
      <c r="AM64" s="27" t="n">
        <f aca="false">IF(COUNT(Trigo!$E62:$Z62)=0,0,MAX(0,IF((AM$6-$E$3)&lt;1,0,IFERROR(LOOKUP(2,1/(Trigo!$E62:INDEX(Trigo!$E62:$Z62,MIN(AM$6-$E$3,22))&lt;&gt;""),Trigo!$E62:INDEX(Trigo!$E62:$Z62,MIN(AM$6-$E$3,22))),0))-IF($G$2,0,IF((AM$6-$G$3)&lt;1,0,IFERROR(LOOKUP(2,1/(Trigo!$E62:INDEX(Trigo!$E62:$Z62,MIN(AM$6-$G$3,22))&lt;&gt;""),Trigo!$E62:INDEX(Trigo!$E62:$Z62,MIN(AM$6-$G$3,22))),0)))))</f>
        <v>0</v>
      </c>
      <c r="AN64" s="27" t="n">
        <f aca="false">IF(COUNT(Trigo!$E62:$Z62)=0,0,MAX(0,IF((AN$6-$E$3)&lt;1,0,IFERROR(LOOKUP(2,1/(Trigo!$E62:INDEX(Trigo!$E62:$Z62,MIN(AN$6-$E$3,22))&lt;&gt;""),Trigo!$E62:INDEX(Trigo!$E62:$Z62,MIN(AN$6-$E$3,22))),0))-IF($G$2,0,IF((AN$6-$G$3)&lt;1,0,IFERROR(LOOKUP(2,1/(Trigo!$E62:INDEX(Trigo!$E62:$Z62,MIN(AN$6-$G$3,22))&lt;&gt;""),Trigo!$E62:INDEX(Trigo!$E62:$Z62,MIN(AN$6-$G$3,22))),0)))))</f>
        <v>0</v>
      </c>
      <c r="AO64" s="27" t="n">
        <f aca="false">IF(COUNT(Trigo!$E62:$Z62)=0,0,MAX(0,IF((AO$6-$E$3)&lt;1,0,IFERROR(LOOKUP(2,1/(Trigo!$E62:INDEX(Trigo!$E62:$Z62,MIN(AO$6-$E$3,22))&lt;&gt;""),Trigo!$E62:INDEX(Trigo!$E62:$Z62,MIN(AO$6-$E$3,22))),0))-IF($G$2,0,IF((AO$6-$G$3)&lt;1,0,IFERROR(LOOKUP(2,1/(Trigo!$E62:INDEX(Trigo!$E62:$Z62,MIN(AO$6-$G$3,22))&lt;&gt;""),Trigo!$E62:INDEX(Trigo!$E62:$Z62,MIN(AO$6-$G$3,22))),0)))))</f>
        <v>0</v>
      </c>
      <c r="AP64" s="27" t="n">
        <f aca="false">IF(COUNT(Trigo!$E62:$Z62)=0,0,MAX(0,IF((AP$6-$E$3)&lt;1,0,IFERROR(LOOKUP(2,1/(Trigo!$E62:INDEX(Trigo!$E62:$Z62,MIN(AP$6-$E$3,22))&lt;&gt;""),Trigo!$E62:INDEX(Trigo!$E62:$Z62,MIN(AP$6-$E$3,22))),0))-IF($G$2,0,IF((AP$6-$G$3)&lt;1,0,IFERROR(LOOKUP(2,1/(Trigo!$E62:INDEX(Trigo!$E62:$Z62,MIN(AP$6-$G$3,22))&lt;&gt;""),Trigo!$E62:INDEX(Trigo!$E62:$Z62,MIN(AP$6-$G$3,22))),0)))))</f>
        <v>0</v>
      </c>
      <c r="AQ64" s="27" t="n">
        <f aca="false">IF(COUNT(Trigo!$E62:$Z62)=0,0,MAX(0,IF((AQ$6-$E$3)&lt;1,0,IFERROR(LOOKUP(2,1/(Trigo!$E62:INDEX(Trigo!$E62:$Z62,MIN(AQ$6-$E$3,22))&lt;&gt;""),Trigo!$E62:INDEX(Trigo!$E62:$Z62,MIN(AQ$6-$E$3,22))),0))-IF($G$2,0,IF((AQ$6-$G$3)&lt;1,0,IFERROR(LOOKUP(2,1/(Trigo!$E62:INDEX(Trigo!$E62:$Z62,MIN(AQ$6-$G$3,22))&lt;&gt;""),Trigo!$E62:INDEX(Trigo!$E62:$Z62,MIN(AQ$6-$G$3,22))),0)))))</f>
        <v>0</v>
      </c>
      <c r="AR64" s="27" t="n">
        <f aca="false">IF(COUNT(Trigo!$E62:$Z62)=0,0,MAX(0,IF((AR$6-$E$3)&lt;1,0,IFERROR(LOOKUP(2,1/(Trigo!$E62:INDEX(Trigo!$E62:$Z62,MIN(AR$6-$E$3,22))&lt;&gt;""),Trigo!$E62:INDEX(Trigo!$E62:$Z62,MIN(AR$6-$E$3,22))),0))-IF($G$2,0,IF((AR$6-$G$3)&lt;1,0,IFERROR(LOOKUP(2,1/(Trigo!$E62:INDEX(Trigo!$E62:$Z62,MIN(AR$6-$G$3,22))&lt;&gt;""),Trigo!$E62:INDEX(Trigo!$E62:$Z62,MIN(AR$6-$G$3,22))),0)))))</f>
        <v>0</v>
      </c>
      <c r="AS64" s="27" t="n">
        <f aca="false">IF(COUNT(Trigo!$E62:$Z62)=0,0,MAX(0,IF((AS$6-$E$3)&lt;1,0,IFERROR(LOOKUP(2,1/(Trigo!$E62:INDEX(Trigo!$E62:$Z62,MIN(AS$6-$E$3,22))&lt;&gt;""),Trigo!$E62:INDEX(Trigo!$E62:$Z62,MIN(AS$6-$E$3,22))),0))-IF($G$2,0,IF((AS$6-$G$3)&lt;1,0,IFERROR(LOOKUP(2,1/(Trigo!$E62:INDEX(Trigo!$E62:$Z62,MIN(AS$6-$G$3,22))&lt;&gt;""),Trigo!$E62:INDEX(Trigo!$E62:$Z62,MIN(AS$6-$G$3,22))),0)))))</f>
        <v>0</v>
      </c>
      <c r="AT64" s="27" t="n">
        <f aca="false">IF(COUNT(Trigo!$E62:$Z62)=0,0,MAX(0,IF((AT$6-$E$3)&lt;1,0,IFERROR(LOOKUP(2,1/(Trigo!$E62:INDEX(Trigo!$E62:$Z62,MIN(AT$6-$E$3,22))&lt;&gt;""),Trigo!$E62:INDEX(Trigo!$E62:$Z62,MIN(AT$6-$E$3,22))),0))-IF($G$2,0,IF((AT$6-$G$3)&lt;1,0,IFERROR(LOOKUP(2,1/(Trigo!$E62:INDEX(Trigo!$E62:$Z62,MIN(AT$6-$G$3,22))&lt;&gt;""),Trigo!$E62:INDEX(Trigo!$E62:$Z62,MIN(AT$6-$G$3,22))),0)))))</f>
        <v>0</v>
      </c>
      <c r="AU64" s="27" t="n">
        <f aca="false">IF(COUNT(Trigo!$E62:$Z62)=0,0,MAX(0,IF((AU$6-$E$3)&lt;1,0,IFERROR(LOOKUP(2,1/(Trigo!$E62:INDEX(Trigo!$E62:$Z62,MIN(AU$6-$E$3,22))&lt;&gt;""),Trigo!$E62:INDEX(Trigo!$E62:$Z62,MIN(AU$6-$E$3,22))),0))-IF($G$2,0,IF((AU$6-$G$3)&lt;1,0,IFERROR(LOOKUP(2,1/(Trigo!$E62:INDEX(Trigo!$E62:$Z62,MIN(AU$6-$G$3,22))&lt;&gt;""),Trigo!$E62:INDEX(Trigo!$E62:$Z62,MIN(AU$6-$G$3,22))),0)))))</f>
        <v>0</v>
      </c>
      <c r="AV64" s="27" t="n">
        <f aca="false">IF(COUNT(Trigo!$E62:$Z62)=0,0,MAX(0,IF((AV$6-$E$3)&lt;1,0,IFERROR(LOOKUP(2,1/(Trigo!$E62:INDEX(Trigo!$E62:$Z62,MIN(AV$6-$E$3,22))&lt;&gt;""),Trigo!$E62:INDEX(Trigo!$E62:$Z62,MIN(AV$6-$E$3,22))),0))-IF($G$2,0,IF((AV$6-$G$3)&lt;1,0,IFERROR(LOOKUP(2,1/(Trigo!$E62:INDEX(Trigo!$E62:$Z62,MIN(AV$6-$G$3,22))&lt;&gt;""),Trigo!$E62:INDEX(Trigo!$E62:$Z62,MIN(AV$6-$G$3,22))),0)))))</f>
        <v>0</v>
      </c>
      <c r="AW64" s="27" t="n">
        <f aca="false">IF(COUNT(Trigo!$E62:$Z62)=0,0,MAX(0,IF((AW$6-$E$3)&lt;1,0,IFERROR(LOOKUP(2,1/(Trigo!$E62:INDEX(Trigo!$E62:$Z62,MIN(AW$6-$E$3,22))&lt;&gt;""),Trigo!$E62:INDEX(Trigo!$E62:$Z62,MIN(AW$6-$E$3,22))),0))-IF($G$2,0,IF((AW$6-$G$3)&lt;1,0,IFERROR(LOOKUP(2,1/(Trigo!$E62:INDEX(Trigo!$E62:$Z62,MIN(AW$6-$G$3,22))&lt;&gt;""),Trigo!$E62:INDEX(Trigo!$E62:$Z62,MIN(AW$6-$G$3,22))),0)))))</f>
        <v>0</v>
      </c>
      <c r="AX64" s="27" t="n">
        <f aca="false">IF(COUNT(Trigo!$E62:$Z62)=0,0,MAX(0,IF((AX$6-$E$3)&lt;1,0,IFERROR(LOOKUP(2,1/(Trigo!$E62:INDEX(Trigo!$E62:$Z62,MIN(AX$6-$E$3,22))&lt;&gt;""),Trigo!$E62:INDEX(Trigo!$E62:$Z62,MIN(AX$6-$E$3,22))),0))-IF($G$2,0,IF((AX$6-$G$3)&lt;1,0,IFERROR(LOOKUP(2,1/(Trigo!$E62:INDEX(Trigo!$E62:$Z62,MIN(AX$6-$G$3,22))&lt;&gt;""),Trigo!$E62:INDEX(Trigo!$E62:$Z62,MIN(AX$6-$G$3,22))),0)))))</f>
        <v>0</v>
      </c>
      <c r="AY64" s="27" t="n">
        <f aca="false">IF(COUNT(Trigo!$E62:$Z62)=0,0,MAX(0,IF((AY$6-$E$3)&lt;1,0,IFERROR(LOOKUP(2,1/(Trigo!$E62:INDEX(Trigo!$E62:$Z62,MIN(AY$6-$E$3,22))&lt;&gt;""),Trigo!$E62:INDEX(Trigo!$E62:$Z62,MIN(AY$6-$E$3,22))),0))-IF($G$2,0,IF((AY$6-$G$3)&lt;1,0,IFERROR(LOOKUP(2,1/(Trigo!$E62:INDEX(Trigo!$E62:$Z62,MIN(AY$6-$G$3,22))&lt;&gt;""),Trigo!$E62:INDEX(Trigo!$E62:$Z62,MIN(AY$6-$G$3,22))),0)))))</f>
        <v>0</v>
      </c>
      <c r="AZ64" s="27" t="n">
        <f aca="false">IF(COUNT(Trigo!$E62:$Z62)=0,0,MAX(0,IF((AZ$6-$E$3)&lt;1,0,IFERROR(LOOKUP(2,1/(Trigo!$E62:INDEX(Trigo!$E62:$Z62,MIN(AZ$6-$E$3,22))&lt;&gt;""),Trigo!$E62:INDEX(Trigo!$E62:$Z62,MIN(AZ$6-$E$3,22))),0))-IF($G$2,0,IF((AZ$6-$G$3)&lt;1,0,IFERROR(LOOKUP(2,1/(Trigo!$E62:INDEX(Trigo!$E62:$Z62,MIN(AZ$6-$G$3,22))&lt;&gt;""),Trigo!$E62:INDEX(Trigo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IF(COUNT(Trigo!$E63:$Z63)&gt;0,N(Trigo!$D63),0)</f>
        <v>0</v>
      </c>
      <c r="E65" s="27" t="n">
        <f aca="false">IF(COUNT(Trigo!$E63:$Z63)=0,0,MAX(0,IF((E$6-$E$3)&lt;1,0,IFERROR(LOOKUP(2,1/(Trigo!$E63:INDEX(Trigo!$E63:$Z63,MIN(E$6-$E$3,22))&lt;&gt;""),Trigo!$E63:INDEX(Trigo!$E63:$Z63,MIN(E$6-$E$3,22))),0))-IF($G$2,0,IF((E$6-$G$3)&lt;1,0,IFERROR(LOOKUP(2,1/(Trigo!$E63:INDEX(Trigo!$E63:$Z63,MIN(E$6-$G$3,22))&lt;&gt;""),Trigo!$E63:INDEX(Trigo!$E63:$Z63,MIN(E$6-$G$3,22))),0)))))</f>
        <v>0</v>
      </c>
      <c r="F65" s="27" t="n">
        <f aca="false">IF(COUNT(Trigo!$E63:$Z63)=0,0,MAX(0,IF((F$6-$E$3)&lt;1,0,IFERROR(LOOKUP(2,1/(Trigo!$E63:INDEX(Trigo!$E63:$Z63,MIN(F$6-$E$3,22))&lt;&gt;""),Trigo!$E63:INDEX(Trigo!$E63:$Z63,MIN(F$6-$E$3,22))),0))-IF($G$2,0,IF((F$6-$G$3)&lt;1,0,IFERROR(LOOKUP(2,1/(Trigo!$E63:INDEX(Trigo!$E63:$Z63,MIN(F$6-$G$3,22))&lt;&gt;""),Trigo!$E63:INDEX(Trigo!$E63:$Z63,MIN(F$6-$G$3,22))),0)))))</f>
        <v>0</v>
      </c>
      <c r="G65" s="27" t="n">
        <f aca="false">IF(COUNT(Trigo!$E63:$Z63)=0,0,MAX(0,IF((G$6-$E$3)&lt;1,0,IFERROR(LOOKUP(2,1/(Trigo!$E63:INDEX(Trigo!$E63:$Z63,MIN(G$6-$E$3,22))&lt;&gt;""),Trigo!$E63:INDEX(Trigo!$E63:$Z63,MIN(G$6-$E$3,22))),0))-IF($G$2,0,IF((G$6-$G$3)&lt;1,0,IFERROR(LOOKUP(2,1/(Trigo!$E63:INDEX(Trigo!$E63:$Z63,MIN(G$6-$G$3,22))&lt;&gt;""),Trigo!$E63:INDEX(Trigo!$E63:$Z63,MIN(G$6-$G$3,22))),0)))))</f>
        <v>0</v>
      </c>
      <c r="H65" s="27" t="n">
        <f aca="false">IF(COUNT(Trigo!$E63:$Z63)=0,0,MAX(0,IF((H$6-$E$3)&lt;1,0,IFERROR(LOOKUP(2,1/(Trigo!$E63:INDEX(Trigo!$E63:$Z63,MIN(H$6-$E$3,22))&lt;&gt;""),Trigo!$E63:INDEX(Trigo!$E63:$Z63,MIN(H$6-$E$3,22))),0))-IF($G$2,0,IF((H$6-$G$3)&lt;1,0,IFERROR(LOOKUP(2,1/(Trigo!$E63:INDEX(Trigo!$E63:$Z63,MIN(H$6-$G$3,22))&lt;&gt;""),Trigo!$E63:INDEX(Trigo!$E63:$Z63,MIN(H$6-$G$3,22))),0)))))</f>
        <v>0</v>
      </c>
      <c r="I65" s="27" t="n">
        <f aca="false">IF(COUNT(Trigo!$E63:$Z63)=0,0,MAX(0,IF((I$6-$E$3)&lt;1,0,IFERROR(LOOKUP(2,1/(Trigo!$E63:INDEX(Trigo!$E63:$Z63,MIN(I$6-$E$3,22))&lt;&gt;""),Trigo!$E63:INDEX(Trigo!$E63:$Z63,MIN(I$6-$E$3,22))),0))-IF($G$2,0,IF((I$6-$G$3)&lt;1,0,IFERROR(LOOKUP(2,1/(Trigo!$E63:INDEX(Trigo!$E63:$Z63,MIN(I$6-$G$3,22))&lt;&gt;""),Trigo!$E63:INDEX(Trigo!$E63:$Z63,MIN(I$6-$G$3,22))),0)))))</f>
        <v>0</v>
      </c>
      <c r="J65" s="27" t="n">
        <f aca="false">IF(COUNT(Trigo!$E63:$Z63)=0,0,MAX(0,IF((J$6-$E$3)&lt;1,0,IFERROR(LOOKUP(2,1/(Trigo!$E63:INDEX(Trigo!$E63:$Z63,MIN(J$6-$E$3,22))&lt;&gt;""),Trigo!$E63:INDEX(Trigo!$E63:$Z63,MIN(J$6-$E$3,22))),0))-IF($G$2,0,IF((J$6-$G$3)&lt;1,0,IFERROR(LOOKUP(2,1/(Trigo!$E63:INDEX(Trigo!$E63:$Z63,MIN(J$6-$G$3,22))&lt;&gt;""),Trigo!$E63:INDEX(Trigo!$E63:$Z63,MIN(J$6-$G$3,22))),0)))))</f>
        <v>0</v>
      </c>
      <c r="K65" s="27" t="n">
        <f aca="false">IF(COUNT(Trigo!$E63:$Z63)=0,0,MAX(0,IF((K$6-$E$3)&lt;1,0,IFERROR(LOOKUP(2,1/(Trigo!$E63:INDEX(Trigo!$E63:$Z63,MIN(K$6-$E$3,22))&lt;&gt;""),Trigo!$E63:INDEX(Trigo!$E63:$Z63,MIN(K$6-$E$3,22))),0))-IF($G$2,0,IF((K$6-$G$3)&lt;1,0,IFERROR(LOOKUP(2,1/(Trigo!$E63:INDEX(Trigo!$E63:$Z63,MIN(K$6-$G$3,22))&lt;&gt;""),Trigo!$E63:INDEX(Trigo!$E63:$Z63,MIN(K$6-$G$3,22))),0)))))</f>
        <v>0</v>
      </c>
      <c r="L65" s="27" t="n">
        <f aca="false">IF(COUNT(Trigo!$E63:$Z63)=0,0,MAX(0,IF((L$6-$E$3)&lt;1,0,IFERROR(LOOKUP(2,1/(Trigo!$E63:INDEX(Trigo!$E63:$Z63,MIN(L$6-$E$3,22))&lt;&gt;""),Trigo!$E63:INDEX(Trigo!$E63:$Z63,MIN(L$6-$E$3,22))),0))-IF($G$2,0,IF((L$6-$G$3)&lt;1,0,IFERROR(LOOKUP(2,1/(Trigo!$E63:INDEX(Trigo!$E63:$Z63,MIN(L$6-$G$3,22))&lt;&gt;""),Trigo!$E63:INDEX(Trigo!$E63:$Z63,MIN(L$6-$G$3,22))),0)))))</f>
        <v>0</v>
      </c>
      <c r="M65" s="27" t="n">
        <f aca="false">IF(COUNT(Trigo!$E63:$Z63)=0,0,MAX(0,IF((M$6-$E$3)&lt;1,0,IFERROR(LOOKUP(2,1/(Trigo!$E63:INDEX(Trigo!$E63:$Z63,MIN(M$6-$E$3,22))&lt;&gt;""),Trigo!$E63:INDEX(Trigo!$E63:$Z63,MIN(M$6-$E$3,22))),0))-IF($G$2,0,IF((M$6-$G$3)&lt;1,0,IFERROR(LOOKUP(2,1/(Trigo!$E63:INDEX(Trigo!$E63:$Z63,MIN(M$6-$G$3,22))&lt;&gt;""),Trigo!$E63:INDEX(Trigo!$E63:$Z63,MIN(M$6-$G$3,22))),0)))))</f>
        <v>0</v>
      </c>
      <c r="N65" s="27" t="n">
        <f aca="false">IF(COUNT(Trigo!$E63:$Z63)=0,0,MAX(0,IF((N$6-$E$3)&lt;1,0,IFERROR(LOOKUP(2,1/(Trigo!$E63:INDEX(Trigo!$E63:$Z63,MIN(N$6-$E$3,22))&lt;&gt;""),Trigo!$E63:INDEX(Trigo!$E63:$Z63,MIN(N$6-$E$3,22))),0))-IF($G$2,0,IF((N$6-$G$3)&lt;1,0,IFERROR(LOOKUP(2,1/(Trigo!$E63:INDEX(Trigo!$E63:$Z63,MIN(N$6-$G$3,22))&lt;&gt;""),Trigo!$E63:INDEX(Trigo!$E63:$Z63,MIN(N$6-$G$3,22))),0)))))</f>
        <v>0</v>
      </c>
      <c r="O65" s="27" t="n">
        <f aca="false">IF(COUNT(Trigo!$E63:$Z63)=0,0,MAX(0,IF((O$6-$E$3)&lt;1,0,IFERROR(LOOKUP(2,1/(Trigo!$E63:INDEX(Trigo!$E63:$Z63,MIN(O$6-$E$3,22))&lt;&gt;""),Trigo!$E63:INDEX(Trigo!$E63:$Z63,MIN(O$6-$E$3,22))),0))-IF($G$2,0,IF((O$6-$G$3)&lt;1,0,IFERROR(LOOKUP(2,1/(Trigo!$E63:INDEX(Trigo!$E63:$Z63,MIN(O$6-$G$3,22))&lt;&gt;""),Trigo!$E63:INDEX(Trigo!$E63:$Z63,MIN(O$6-$G$3,22))),0)))))</f>
        <v>0</v>
      </c>
      <c r="P65" s="27" t="n">
        <f aca="false">IF(COUNT(Trigo!$E63:$Z63)=0,0,MAX(0,IF((P$6-$E$3)&lt;1,0,IFERROR(LOOKUP(2,1/(Trigo!$E63:INDEX(Trigo!$E63:$Z63,MIN(P$6-$E$3,22))&lt;&gt;""),Trigo!$E63:INDEX(Trigo!$E63:$Z63,MIN(P$6-$E$3,22))),0))-IF($G$2,0,IF((P$6-$G$3)&lt;1,0,IFERROR(LOOKUP(2,1/(Trigo!$E63:INDEX(Trigo!$E63:$Z63,MIN(P$6-$G$3,22))&lt;&gt;""),Trigo!$E63:INDEX(Trigo!$E63:$Z63,MIN(P$6-$G$3,22))),0)))))</f>
        <v>0</v>
      </c>
      <c r="Q65" s="27" t="n">
        <f aca="false">IF(COUNT(Trigo!$E63:$Z63)=0,0,MAX(0,IF((Q$6-$E$3)&lt;1,0,IFERROR(LOOKUP(2,1/(Trigo!$E63:INDEX(Trigo!$E63:$Z63,MIN(Q$6-$E$3,22))&lt;&gt;""),Trigo!$E63:INDEX(Trigo!$E63:$Z63,MIN(Q$6-$E$3,22))),0))-IF($G$2,0,IF((Q$6-$G$3)&lt;1,0,IFERROR(LOOKUP(2,1/(Trigo!$E63:INDEX(Trigo!$E63:$Z63,MIN(Q$6-$G$3,22))&lt;&gt;""),Trigo!$E63:INDEX(Trigo!$E63:$Z63,MIN(Q$6-$G$3,22))),0)))))</f>
        <v>0</v>
      </c>
      <c r="R65" s="27" t="n">
        <f aca="false">IF(COUNT(Trigo!$E63:$Z63)=0,0,MAX(0,IF((R$6-$E$3)&lt;1,0,IFERROR(LOOKUP(2,1/(Trigo!$E63:INDEX(Trigo!$E63:$Z63,MIN(R$6-$E$3,22))&lt;&gt;""),Trigo!$E63:INDEX(Trigo!$E63:$Z63,MIN(R$6-$E$3,22))),0))-IF($G$2,0,IF((R$6-$G$3)&lt;1,0,IFERROR(LOOKUP(2,1/(Trigo!$E63:INDEX(Trigo!$E63:$Z63,MIN(R$6-$G$3,22))&lt;&gt;""),Trigo!$E63:INDEX(Trigo!$E63:$Z63,MIN(R$6-$G$3,22))),0)))))</f>
        <v>0</v>
      </c>
      <c r="S65" s="27" t="n">
        <f aca="false">IF(COUNT(Trigo!$E63:$Z63)=0,0,MAX(0,IF((S$6-$E$3)&lt;1,0,IFERROR(LOOKUP(2,1/(Trigo!$E63:INDEX(Trigo!$E63:$Z63,MIN(S$6-$E$3,22))&lt;&gt;""),Trigo!$E63:INDEX(Trigo!$E63:$Z63,MIN(S$6-$E$3,22))),0))-IF($G$2,0,IF((S$6-$G$3)&lt;1,0,IFERROR(LOOKUP(2,1/(Trigo!$E63:INDEX(Trigo!$E63:$Z63,MIN(S$6-$G$3,22))&lt;&gt;""),Trigo!$E63:INDEX(Trigo!$E63:$Z63,MIN(S$6-$G$3,22))),0)))))</f>
        <v>0</v>
      </c>
      <c r="T65" s="27" t="n">
        <f aca="false">IF(COUNT(Trigo!$E63:$Z63)=0,0,MAX(0,IF((T$6-$E$3)&lt;1,0,IFERROR(LOOKUP(2,1/(Trigo!$E63:INDEX(Trigo!$E63:$Z63,MIN(T$6-$E$3,22))&lt;&gt;""),Trigo!$E63:INDEX(Trigo!$E63:$Z63,MIN(T$6-$E$3,22))),0))-IF($G$2,0,IF((T$6-$G$3)&lt;1,0,IFERROR(LOOKUP(2,1/(Trigo!$E63:INDEX(Trigo!$E63:$Z63,MIN(T$6-$G$3,22))&lt;&gt;""),Trigo!$E63:INDEX(Trigo!$E63:$Z63,MIN(T$6-$G$3,22))),0)))))</f>
        <v>0</v>
      </c>
      <c r="U65" s="27" t="n">
        <f aca="false">IF(COUNT(Trigo!$E63:$Z63)=0,0,MAX(0,IF((U$6-$E$3)&lt;1,0,IFERROR(LOOKUP(2,1/(Trigo!$E63:INDEX(Trigo!$E63:$Z63,MIN(U$6-$E$3,22))&lt;&gt;""),Trigo!$E63:INDEX(Trigo!$E63:$Z63,MIN(U$6-$E$3,22))),0))-IF($G$2,0,IF((U$6-$G$3)&lt;1,0,IFERROR(LOOKUP(2,1/(Trigo!$E63:INDEX(Trigo!$E63:$Z63,MIN(U$6-$G$3,22))&lt;&gt;""),Trigo!$E63:INDEX(Trigo!$E63:$Z63,MIN(U$6-$G$3,22))),0)))))</f>
        <v>0</v>
      </c>
      <c r="V65" s="27" t="n">
        <f aca="false">IF(COUNT(Trigo!$E63:$Z63)=0,0,MAX(0,IF((V$6-$E$3)&lt;1,0,IFERROR(LOOKUP(2,1/(Trigo!$E63:INDEX(Trigo!$E63:$Z63,MIN(V$6-$E$3,22))&lt;&gt;""),Trigo!$E63:INDEX(Trigo!$E63:$Z63,MIN(V$6-$E$3,22))),0))-IF($G$2,0,IF((V$6-$G$3)&lt;1,0,IFERROR(LOOKUP(2,1/(Trigo!$E63:INDEX(Trigo!$E63:$Z63,MIN(V$6-$G$3,22))&lt;&gt;""),Trigo!$E63:INDEX(Trigo!$E63:$Z63,MIN(V$6-$G$3,22))),0)))))</f>
        <v>0</v>
      </c>
      <c r="W65" s="27" t="n">
        <f aca="false">IF(COUNT(Trigo!$E63:$Z63)=0,0,MAX(0,IF((W$6-$E$3)&lt;1,0,IFERROR(LOOKUP(2,1/(Trigo!$E63:INDEX(Trigo!$E63:$Z63,MIN(W$6-$E$3,22))&lt;&gt;""),Trigo!$E63:INDEX(Trigo!$E63:$Z63,MIN(W$6-$E$3,22))),0))-IF($G$2,0,IF((W$6-$G$3)&lt;1,0,IFERROR(LOOKUP(2,1/(Trigo!$E63:INDEX(Trigo!$E63:$Z63,MIN(W$6-$G$3,22))&lt;&gt;""),Trigo!$E63:INDEX(Trigo!$E63:$Z63,MIN(W$6-$G$3,22))),0)))))</f>
        <v>0</v>
      </c>
      <c r="X65" s="27" t="n">
        <f aca="false">IF(COUNT(Trigo!$E63:$Z63)=0,0,MAX(0,IF((X$6-$E$3)&lt;1,0,IFERROR(LOOKUP(2,1/(Trigo!$E63:INDEX(Trigo!$E63:$Z63,MIN(X$6-$E$3,22))&lt;&gt;""),Trigo!$E63:INDEX(Trigo!$E63:$Z63,MIN(X$6-$E$3,22))),0))-IF($G$2,0,IF((X$6-$G$3)&lt;1,0,IFERROR(LOOKUP(2,1/(Trigo!$E63:INDEX(Trigo!$E63:$Z63,MIN(X$6-$G$3,22))&lt;&gt;""),Trigo!$E63:INDEX(Trigo!$E63:$Z63,MIN(X$6-$G$3,22))),0)))))</f>
        <v>0</v>
      </c>
      <c r="Y65" s="27" t="n">
        <f aca="false">IF(COUNT(Trigo!$E63:$Z63)=0,0,MAX(0,IF((Y$6-$E$3)&lt;1,0,IFERROR(LOOKUP(2,1/(Trigo!$E63:INDEX(Trigo!$E63:$Z63,MIN(Y$6-$E$3,22))&lt;&gt;""),Trigo!$E63:INDEX(Trigo!$E63:$Z63,MIN(Y$6-$E$3,22))),0))-IF($G$2,0,IF((Y$6-$G$3)&lt;1,0,IFERROR(LOOKUP(2,1/(Trigo!$E63:INDEX(Trigo!$E63:$Z63,MIN(Y$6-$G$3,22))&lt;&gt;""),Trigo!$E63:INDEX(Trigo!$E63:$Z63,MIN(Y$6-$G$3,22))),0)))))</f>
        <v>0</v>
      </c>
      <c r="Z65" s="27" t="n">
        <f aca="false">IF(COUNT(Trigo!$E63:$Z63)=0,0,MAX(0,IF((Z$6-$E$3)&lt;1,0,IFERROR(LOOKUP(2,1/(Trigo!$E63:INDEX(Trigo!$E63:$Z63,MIN(Z$6-$E$3,22))&lt;&gt;""),Trigo!$E63:INDEX(Trigo!$E63:$Z63,MIN(Z$6-$E$3,22))),0))-IF($G$2,0,IF((Z$6-$G$3)&lt;1,0,IFERROR(LOOKUP(2,1/(Trigo!$E63:INDEX(Trigo!$E63:$Z63,MIN(Z$6-$G$3,22))&lt;&gt;""),Trigo!$E63:INDEX(Trigo!$E63:$Z63,MIN(Z$6-$G$3,22))),0)))))</f>
        <v>0</v>
      </c>
      <c r="AA65" s="27" t="n">
        <f aca="false">IF(COUNT(Trigo!$E63:$Z63)=0,0,MAX(0,IF((AA$6-$E$3)&lt;1,0,IFERROR(LOOKUP(2,1/(Trigo!$E63:INDEX(Trigo!$E63:$Z63,MIN(AA$6-$E$3,22))&lt;&gt;""),Trigo!$E63:INDEX(Trigo!$E63:$Z63,MIN(AA$6-$E$3,22))),0))-IF($G$2,0,IF((AA$6-$G$3)&lt;1,0,IFERROR(LOOKUP(2,1/(Trigo!$E63:INDEX(Trigo!$E63:$Z63,MIN(AA$6-$G$3,22))&lt;&gt;""),Trigo!$E63:INDEX(Trigo!$E63:$Z63,MIN(AA$6-$G$3,22))),0)))))</f>
        <v>0</v>
      </c>
      <c r="AB65" s="27" t="n">
        <f aca="false">IF(COUNT(Trigo!$E63:$Z63)=0,0,MAX(0,IF((AB$6-$E$3)&lt;1,0,IFERROR(LOOKUP(2,1/(Trigo!$E63:INDEX(Trigo!$E63:$Z63,MIN(AB$6-$E$3,22))&lt;&gt;""),Trigo!$E63:INDEX(Trigo!$E63:$Z63,MIN(AB$6-$E$3,22))),0))-IF($G$2,0,IF((AB$6-$G$3)&lt;1,0,IFERROR(LOOKUP(2,1/(Trigo!$E63:INDEX(Trigo!$E63:$Z63,MIN(AB$6-$G$3,22))&lt;&gt;""),Trigo!$E63:INDEX(Trigo!$E63:$Z63,MIN(AB$6-$G$3,22))),0)))))</f>
        <v>0</v>
      </c>
      <c r="AC65" s="27" t="n">
        <f aca="false">IF(COUNT(Trigo!$E63:$Z63)=0,0,MAX(0,IF((AC$6-$E$3)&lt;1,0,IFERROR(LOOKUP(2,1/(Trigo!$E63:INDEX(Trigo!$E63:$Z63,MIN(AC$6-$E$3,22))&lt;&gt;""),Trigo!$E63:INDEX(Trigo!$E63:$Z63,MIN(AC$6-$E$3,22))),0))-IF($G$2,0,IF((AC$6-$G$3)&lt;1,0,IFERROR(LOOKUP(2,1/(Trigo!$E63:INDEX(Trigo!$E63:$Z63,MIN(AC$6-$G$3,22))&lt;&gt;""),Trigo!$E63:INDEX(Trigo!$E63:$Z63,MIN(AC$6-$G$3,22))),0)))))</f>
        <v>0</v>
      </c>
      <c r="AD65" s="27" t="n">
        <f aca="false">IF(COUNT(Trigo!$E63:$Z63)=0,0,MAX(0,IF((AD$6-$E$3)&lt;1,0,IFERROR(LOOKUP(2,1/(Trigo!$E63:INDEX(Trigo!$E63:$Z63,MIN(AD$6-$E$3,22))&lt;&gt;""),Trigo!$E63:INDEX(Trigo!$E63:$Z63,MIN(AD$6-$E$3,22))),0))-IF($G$2,0,IF((AD$6-$G$3)&lt;1,0,IFERROR(LOOKUP(2,1/(Trigo!$E63:INDEX(Trigo!$E63:$Z63,MIN(AD$6-$G$3,22))&lt;&gt;""),Trigo!$E63:INDEX(Trigo!$E63:$Z63,MIN(AD$6-$G$3,22))),0)))))</f>
        <v>0</v>
      </c>
      <c r="AE65" s="27" t="n">
        <f aca="false">IF(COUNT(Trigo!$E63:$Z63)=0,0,MAX(0,IF((AE$6-$E$3)&lt;1,0,IFERROR(LOOKUP(2,1/(Trigo!$E63:INDEX(Trigo!$E63:$Z63,MIN(AE$6-$E$3,22))&lt;&gt;""),Trigo!$E63:INDEX(Trigo!$E63:$Z63,MIN(AE$6-$E$3,22))),0))-IF($G$2,0,IF((AE$6-$G$3)&lt;1,0,IFERROR(LOOKUP(2,1/(Trigo!$E63:INDEX(Trigo!$E63:$Z63,MIN(AE$6-$G$3,22))&lt;&gt;""),Trigo!$E63:INDEX(Trigo!$E63:$Z63,MIN(AE$6-$G$3,22))),0)))))</f>
        <v>0</v>
      </c>
      <c r="AF65" s="27" t="n">
        <f aca="false">IF(COUNT(Trigo!$E63:$Z63)=0,0,MAX(0,IF((AF$6-$E$3)&lt;1,0,IFERROR(LOOKUP(2,1/(Trigo!$E63:INDEX(Trigo!$E63:$Z63,MIN(AF$6-$E$3,22))&lt;&gt;""),Trigo!$E63:INDEX(Trigo!$E63:$Z63,MIN(AF$6-$E$3,22))),0))-IF($G$2,0,IF((AF$6-$G$3)&lt;1,0,IFERROR(LOOKUP(2,1/(Trigo!$E63:INDEX(Trigo!$E63:$Z63,MIN(AF$6-$G$3,22))&lt;&gt;""),Trigo!$E63:INDEX(Trigo!$E63:$Z63,MIN(AF$6-$G$3,22))),0)))))</f>
        <v>0</v>
      </c>
      <c r="AG65" s="27" t="n">
        <f aca="false">IF(COUNT(Trigo!$E63:$Z63)=0,0,MAX(0,IF((AG$6-$E$3)&lt;1,0,IFERROR(LOOKUP(2,1/(Trigo!$E63:INDEX(Trigo!$E63:$Z63,MIN(AG$6-$E$3,22))&lt;&gt;""),Trigo!$E63:INDEX(Trigo!$E63:$Z63,MIN(AG$6-$E$3,22))),0))-IF($G$2,0,IF((AG$6-$G$3)&lt;1,0,IFERROR(LOOKUP(2,1/(Trigo!$E63:INDEX(Trigo!$E63:$Z63,MIN(AG$6-$G$3,22))&lt;&gt;""),Trigo!$E63:INDEX(Trigo!$E63:$Z63,MIN(AG$6-$G$3,22))),0)))))</f>
        <v>0</v>
      </c>
      <c r="AH65" s="27" t="n">
        <f aca="false">IF(COUNT(Trigo!$E63:$Z63)=0,0,MAX(0,IF((AH$6-$E$3)&lt;1,0,IFERROR(LOOKUP(2,1/(Trigo!$E63:INDEX(Trigo!$E63:$Z63,MIN(AH$6-$E$3,22))&lt;&gt;""),Trigo!$E63:INDEX(Trigo!$E63:$Z63,MIN(AH$6-$E$3,22))),0))-IF($G$2,0,IF((AH$6-$G$3)&lt;1,0,IFERROR(LOOKUP(2,1/(Trigo!$E63:INDEX(Trigo!$E63:$Z63,MIN(AH$6-$G$3,22))&lt;&gt;""),Trigo!$E63:INDEX(Trigo!$E63:$Z63,MIN(AH$6-$G$3,22))),0)))))</f>
        <v>0</v>
      </c>
      <c r="AI65" s="27" t="n">
        <f aca="false">IF(COUNT(Trigo!$E63:$Z63)=0,0,MAX(0,IF((AI$6-$E$3)&lt;1,0,IFERROR(LOOKUP(2,1/(Trigo!$E63:INDEX(Trigo!$E63:$Z63,MIN(AI$6-$E$3,22))&lt;&gt;""),Trigo!$E63:INDEX(Trigo!$E63:$Z63,MIN(AI$6-$E$3,22))),0))-IF($G$2,0,IF((AI$6-$G$3)&lt;1,0,IFERROR(LOOKUP(2,1/(Trigo!$E63:INDEX(Trigo!$E63:$Z63,MIN(AI$6-$G$3,22))&lt;&gt;""),Trigo!$E63:INDEX(Trigo!$E63:$Z63,MIN(AI$6-$G$3,22))),0)))))</f>
        <v>0</v>
      </c>
      <c r="AJ65" s="27" t="n">
        <f aca="false">IF(COUNT(Trigo!$E63:$Z63)=0,0,MAX(0,IF((AJ$6-$E$3)&lt;1,0,IFERROR(LOOKUP(2,1/(Trigo!$E63:INDEX(Trigo!$E63:$Z63,MIN(AJ$6-$E$3,22))&lt;&gt;""),Trigo!$E63:INDEX(Trigo!$E63:$Z63,MIN(AJ$6-$E$3,22))),0))-IF($G$2,0,IF((AJ$6-$G$3)&lt;1,0,IFERROR(LOOKUP(2,1/(Trigo!$E63:INDEX(Trigo!$E63:$Z63,MIN(AJ$6-$G$3,22))&lt;&gt;""),Trigo!$E63:INDEX(Trigo!$E63:$Z63,MIN(AJ$6-$G$3,22))),0)))))</f>
        <v>0</v>
      </c>
      <c r="AK65" s="27" t="n">
        <f aca="false">IF(COUNT(Trigo!$E63:$Z63)=0,0,MAX(0,IF((AK$6-$E$3)&lt;1,0,IFERROR(LOOKUP(2,1/(Trigo!$E63:INDEX(Trigo!$E63:$Z63,MIN(AK$6-$E$3,22))&lt;&gt;""),Trigo!$E63:INDEX(Trigo!$E63:$Z63,MIN(AK$6-$E$3,22))),0))-IF($G$2,0,IF((AK$6-$G$3)&lt;1,0,IFERROR(LOOKUP(2,1/(Trigo!$E63:INDEX(Trigo!$E63:$Z63,MIN(AK$6-$G$3,22))&lt;&gt;""),Trigo!$E63:INDEX(Trigo!$E63:$Z63,MIN(AK$6-$G$3,22))),0)))))</f>
        <v>0</v>
      </c>
      <c r="AL65" s="27" t="n">
        <f aca="false">IF(COUNT(Trigo!$E63:$Z63)=0,0,MAX(0,IF((AL$6-$E$3)&lt;1,0,IFERROR(LOOKUP(2,1/(Trigo!$E63:INDEX(Trigo!$E63:$Z63,MIN(AL$6-$E$3,22))&lt;&gt;""),Trigo!$E63:INDEX(Trigo!$E63:$Z63,MIN(AL$6-$E$3,22))),0))-IF($G$2,0,IF((AL$6-$G$3)&lt;1,0,IFERROR(LOOKUP(2,1/(Trigo!$E63:INDEX(Trigo!$E63:$Z63,MIN(AL$6-$G$3,22))&lt;&gt;""),Trigo!$E63:INDEX(Trigo!$E63:$Z63,MIN(AL$6-$G$3,22))),0)))))</f>
        <v>0</v>
      </c>
      <c r="AM65" s="27" t="n">
        <f aca="false">IF(COUNT(Trigo!$E63:$Z63)=0,0,MAX(0,IF((AM$6-$E$3)&lt;1,0,IFERROR(LOOKUP(2,1/(Trigo!$E63:INDEX(Trigo!$E63:$Z63,MIN(AM$6-$E$3,22))&lt;&gt;""),Trigo!$E63:INDEX(Trigo!$E63:$Z63,MIN(AM$6-$E$3,22))),0))-IF($G$2,0,IF((AM$6-$G$3)&lt;1,0,IFERROR(LOOKUP(2,1/(Trigo!$E63:INDEX(Trigo!$E63:$Z63,MIN(AM$6-$G$3,22))&lt;&gt;""),Trigo!$E63:INDEX(Trigo!$E63:$Z63,MIN(AM$6-$G$3,22))),0)))))</f>
        <v>0</v>
      </c>
      <c r="AN65" s="27" t="n">
        <f aca="false">IF(COUNT(Trigo!$E63:$Z63)=0,0,MAX(0,IF((AN$6-$E$3)&lt;1,0,IFERROR(LOOKUP(2,1/(Trigo!$E63:INDEX(Trigo!$E63:$Z63,MIN(AN$6-$E$3,22))&lt;&gt;""),Trigo!$E63:INDEX(Trigo!$E63:$Z63,MIN(AN$6-$E$3,22))),0))-IF($G$2,0,IF((AN$6-$G$3)&lt;1,0,IFERROR(LOOKUP(2,1/(Trigo!$E63:INDEX(Trigo!$E63:$Z63,MIN(AN$6-$G$3,22))&lt;&gt;""),Trigo!$E63:INDEX(Trigo!$E63:$Z63,MIN(AN$6-$G$3,22))),0)))))</f>
        <v>0</v>
      </c>
      <c r="AO65" s="27" t="n">
        <f aca="false">IF(COUNT(Trigo!$E63:$Z63)=0,0,MAX(0,IF((AO$6-$E$3)&lt;1,0,IFERROR(LOOKUP(2,1/(Trigo!$E63:INDEX(Trigo!$E63:$Z63,MIN(AO$6-$E$3,22))&lt;&gt;""),Trigo!$E63:INDEX(Trigo!$E63:$Z63,MIN(AO$6-$E$3,22))),0))-IF($G$2,0,IF((AO$6-$G$3)&lt;1,0,IFERROR(LOOKUP(2,1/(Trigo!$E63:INDEX(Trigo!$E63:$Z63,MIN(AO$6-$G$3,22))&lt;&gt;""),Trigo!$E63:INDEX(Trigo!$E63:$Z63,MIN(AO$6-$G$3,22))),0)))))</f>
        <v>0</v>
      </c>
      <c r="AP65" s="27" t="n">
        <f aca="false">IF(COUNT(Trigo!$E63:$Z63)=0,0,MAX(0,IF((AP$6-$E$3)&lt;1,0,IFERROR(LOOKUP(2,1/(Trigo!$E63:INDEX(Trigo!$E63:$Z63,MIN(AP$6-$E$3,22))&lt;&gt;""),Trigo!$E63:INDEX(Trigo!$E63:$Z63,MIN(AP$6-$E$3,22))),0))-IF($G$2,0,IF((AP$6-$G$3)&lt;1,0,IFERROR(LOOKUP(2,1/(Trigo!$E63:INDEX(Trigo!$E63:$Z63,MIN(AP$6-$G$3,22))&lt;&gt;""),Trigo!$E63:INDEX(Trigo!$E63:$Z63,MIN(AP$6-$G$3,22))),0)))))</f>
        <v>0</v>
      </c>
      <c r="AQ65" s="27" t="n">
        <f aca="false">IF(COUNT(Trigo!$E63:$Z63)=0,0,MAX(0,IF((AQ$6-$E$3)&lt;1,0,IFERROR(LOOKUP(2,1/(Trigo!$E63:INDEX(Trigo!$E63:$Z63,MIN(AQ$6-$E$3,22))&lt;&gt;""),Trigo!$E63:INDEX(Trigo!$E63:$Z63,MIN(AQ$6-$E$3,22))),0))-IF($G$2,0,IF((AQ$6-$G$3)&lt;1,0,IFERROR(LOOKUP(2,1/(Trigo!$E63:INDEX(Trigo!$E63:$Z63,MIN(AQ$6-$G$3,22))&lt;&gt;""),Trigo!$E63:INDEX(Trigo!$E63:$Z63,MIN(AQ$6-$G$3,22))),0)))))</f>
        <v>0</v>
      </c>
      <c r="AR65" s="27" t="n">
        <f aca="false">IF(COUNT(Trigo!$E63:$Z63)=0,0,MAX(0,IF((AR$6-$E$3)&lt;1,0,IFERROR(LOOKUP(2,1/(Trigo!$E63:INDEX(Trigo!$E63:$Z63,MIN(AR$6-$E$3,22))&lt;&gt;""),Trigo!$E63:INDEX(Trigo!$E63:$Z63,MIN(AR$6-$E$3,22))),0))-IF($G$2,0,IF((AR$6-$G$3)&lt;1,0,IFERROR(LOOKUP(2,1/(Trigo!$E63:INDEX(Trigo!$E63:$Z63,MIN(AR$6-$G$3,22))&lt;&gt;""),Trigo!$E63:INDEX(Trigo!$E63:$Z63,MIN(AR$6-$G$3,22))),0)))))</f>
        <v>0</v>
      </c>
      <c r="AS65" s="27" t="n">
        <f aca="false">IF(COUNT(Trigo!$E63:$Z63)=0,0,MAX(0,IF((AS$6-$E$3)&lt;1,0,IFERROR(LOOKUP(2,1/(Trigo!$E63:INDEX(Trigo!$E63:$Z63,MIN(AS$6-$E$3,22))&lt;&gt;""),Trigo!$E63:INDEX(Trigo!$E63:$Z63,MIN(AS$6-$E$3,22))),0))-IF($G$2,0,IF((AS$6-$G$3)&lt;1,0,IFERROR(LOOKUP(2,1/(Trigo!$E63:INDEX(Trigo!$E63:$Z63,MIN(AS$6-$G$3,22))&lt;&gt;""),Trigo!$E63:INDEX(Trigo!$E63:$Z63,MIN(AS$6-$G$3,22))),0)))))</f>
        <v>0</v>
      </c>
      <c r="AT65" s="27" t="n">
        <f aca="false">IF(COUNT(Trigo!$E63:$Z63)=0,0,MAX(0,IF((AT$6-$E$3)&lt;1,0,IFERROR(LOOKUP(2,1/(Trigo!$E63:INDEX(Trigo!$E63:$Z63,MIN(AT$6-$E$3,22))&lt;&gt;""),Trigo!$E63:INDEX(Trigo!$E63:$Z63,MIN(AT$6-$E$3,22))),0))-IF($G$2,0,IF((AT$6-$G$3)&lt;1,0,IFERROR(LOOKUP(2,1/(Trigo!$E63:INDEX(Trigo!$E63:$Z63,MIN(AT$6-$G$3,22))&lt;&gt;""),Trigo!$E63:INDEX(Trigo!$E63:$Z63,MIN(AT$6-$G$3,22))),0)))))</f>
        <v>0</v>
      </c>
      <c r="AU65" s="27" t="n">
        <f aca="false">IF(COUNT(Trigo!$E63:$Z63)=0,0,MAX(0,IF((AU$6-$E$3)&lt;1,0,IFERROR(LOOKUP(2,1/(Trigo!$E63:INDEX(Trigo!$E63:$Z63,MIN(AU$6-$E$3,22))&lt;&gt;""),Trigo!$E63:INDEX(Trigo!$E63:$Z63,MIN(AU$6-$E$3,22))),0))-IF($G$2,0,IF((AU$6-$G$3)&lt;1,0,IFERROR(LOOKUP(2,1/(Trigo!$E63:INDEX(Trigo!$E63:$Z63,MIN(AU$6-$G$3,22))&lt;&gt;""),Trigo!$E63:INDEX(Trigo!$E63:$Z63,MIN(AU$6-$G$3,22))),0)))))</f>
        <v>0</v>
      </c>
      <c r="AV65" s="27" t="n">
        <f aca="false">IF(COUNT(Trigo!$E63:$Z63)=0,0,MAX(0,IF((AV$6-$E$3)&lt;1,0,IFERROR(LOOKUP(2,1/(Trigo!$E63:INDEX(Trigo!$E63:$Z63,MIN(AV$6-$E$3,22))&lt;&gt;""),Trigo!$E63:INDEX(Trigo!$E63:$Z63,MIN(AV$6-$E$3,22))),0))-IF($G$2,0,IF((AV$6-$G$3)&lt;1,0,IFERROR(LOOKUP(2,1/(Trigo!$E63:INDEX(Trigo!$E63:$Z63,MIN(AV$6-$G$3,22))&lt;&gt;""),Trigo!$E63:INDEX(Trigo!$E63:$Z63,MIN(AV$6-$G$3,22))),0)))))</f>
        <v>0</v>
      </c>
      <c r="AW65" s="27" t="n">
        <f aca="false">IF(COUNT(Trigo!$E63:$Z63)=0,0,MAX(0,IF((AW$6-$E$3)&lt;1,0,IFERROR(LOOKUP(2,1/(Trigo!$E63:INDEX(Trigo!$E63:$Z63,MIN(AW$6-$E$3,22))&lt;&gt;""),Trigo!$E63:INDEX(Trigo!$E63:$Z63,MIN(AW$6-$E$3,22))),0))-IF($G$2,0,IF((AW$6-$G$3)&lt;1,0,IFERROR(LOOKUP(2,1/(Trigo!$E63:INDEX(Trigo!$E63:$Z63,MIN(AW$6-$G$3,22))&lt;&gt;""),Trigo!$E63:INDEX(Trigo!$E63:$Z63,MIN(AW$6-$G$3,22))),0)))))</f>
        <v>0</v>
      </c>
      <c r="AX65" s="27" t="n">
        <f aca="false">IF(COUNT(Trigo!$E63:$Z63)=0,0,MAX(0,IF((AX$6-$E$3)&lt;1,0,IFERROR(LOOKUP(2,1/(Trigo!$E63:INDEX(Trigo!$E63:$Z63,MIN(AX$6-$E$3,22))&lt;&gt;""),Trigo!$E63:INDEX(Trigo!$E63:$Z63,MIN(AX$6-$E$3,22))),0))-IF($G$2,0,IF((AX$6-$G$3)&lt;1,0,IFERROR(LOOKUP(2,1/(Trigo!$E63:INDEX(Trigo!$E63:$Z63,MIN(AX$6-$G$3,22))&lt;&gt;""),Trigo!$E63:INDEX(Trigo!$E63:$Z63,MIN(AX$6-$G$3,22))),0)))))</f>
        <v>0</v>
      </c>
      <c r="AY65" s="27" t="n">
        <f aca="false">IF(COUNT(Trigo!$E63:$Z63)=0,0,MAX(0,IF((AY$6-$E$3)&lt;1,0,IFERROR(LOOKUP(2,1/(Trigo!$E63:INDEX(Trigo!$E63:$Z63,MIN(AY$6-$E$3,22))&lt;&gt;""),Trigo!$E63:INDEX(Trigo!$E63:$Z63,MIN(AY$6-$E$3,22))),0))-IF($G$2,0,IF((AY$6-$G$3)&lt;1,0,IFERROR(LOOKUP(2,1/(Trigo!$E63:INDEX(Trigo!$E63:$Z63,MIN(AY$6-$G$3,22))&lt;&gt;""),Trigo!$E63:INDEX(Trigo!$E63:$Z63,MIN(AY$6-$G$3,22))),0)))))</f>
        <v>0</v>
      </c>
      <c r="AZ65" s="27" t="n">
        <f aca="false">IF(COUNT(Trigo!$E63:$Z63)=0,0,MAX(0,IF((AZ$6-$E$3)&lt;1,0,IFERROR(LOOKUP(2,1/(Trigo!$E63:INDEX(Trigo!$E63:$Z63,MIN(AZ$6-$E$3,22))&lt;&gt;""),Trigo!$E63:INDEX(Trigo!$E63:$Z63,MIN(AZ$6-$E$3,22))),0))-IF($G$2,0,IF((AZ$6-$G$3)&lt;1,0,IFERROR(LOOKUP(2,1/(Trigo!$E63:INDEX(Trigo!$E63:$Z63,MIN(AZ$6-$G$3,22))&lt;&gt;""),Trigo!$E63:INDEX(Trigo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IF(COUNT(Trigo!$E64:$Z64)&gt;0,N(Trigo!$D64),0)</f>
        <v>0</v>
      </c>
      <c r="E66" s="27" t="n">
        <f aca="false">IF(COUNT(Trigo!$E64:$Z64)=0,0,MAX(0,IF((E$6-$E$3)&lt;1,0,IFERROR(LOOKUP(2,1/(Trigo!$E64:INDEX(Trigo!$E64:$Z64,MIN(E$6-$E$3,22))&lt;&gt;""),Trigo!$E64:INDEX(Trigo!$E64:$Z64,MIN(E$6-$E$3,22))),0))-IF($G$2,0,IF((E$6-$G$3)&lt;1,0,IFERROR(LOOKUP(2,1/(Trigo!$E64:INDEX(Trigo!$E64:$Z64,MIN(E$6-$G$3,22))&lt;&gt;""),Trigo!$E64:INDEX(Trigo!$E64:$Z64,MIN(E$6-$G$3,22))),0)))))</f>
        <v>0</v>
      </c>
      <c r="F66" s="27" t="n">
        <f aca="false">IF(COUNT(Trigo!$E64:$Z64)=0,0,MAX(0,IF((F$6-$E$3)&lt;1,0,IFERROR(LOOKUP(2,1/(Trigo!$E64:INDEX(Trigo!$E64:$Z64,MIN(F$6-$E$3,22))&lt;&gt;""),Trigo!$E64:INDEX(Trigo!$E64:$Z64,MIN(F$6-$E$3,22))),0))-IF($G$2,0,IF((F$6-$G$3)&lt;1,0,IFERROR(LOOKUP(2,1/(Trigo!$E64:INDEX(Trigo!$E64:$Z64,MIN(F$6-$G$3,22))&lt;&gt;""),Trigo!$E64:INDEX(Trigo!$E64:$Z64,MIN(F$6-$G$3,22))),0)))))</f>
        <v>0</v>
      </c>
      <c r="G66" s="27" t="n">
        <f aca="false">IF(COUNT(Trigo!$E64:$Z64)=0,0,MAX(0,IF((G$6-$E$3)&lt;1,0,IFERROR(LOOKUP(2,1/(Trigo!$E64:INDEX(Trigo!$E64:$Z64,MIN(G$6-$E$3,22))&lt;&gt;""),Trigo!$E64:INDEX(Trigo!$E64:$Z64,MIN(G$6-$E$3,22))),0))-IF($G$2,0,IF((G$6-$G$3)&lt;1,0,IFERROR(LOOKUP(2,1/(Trigo!$E64:INDEX(Trigo!$E64:$Z64,MIN(G$6-$G$3,22))&lt;&gt;""),Trigo!$E64:INDEX(Trigo!$E64:$Z64,MIN(G$6-$G$3,22))),0)))))</f>
        <v>0</v>
      </c>
      <c r="H66" s="27" t="n">
        <f aca="false">IF(COUNT(Trigo!$E64:$Z64)=0,0,MAX(0,IF((H$6-$E$3)&lt;1,0,IFERROR(LOOKUP(2,1/(Trigo!$E64:INDEX(Trigo!$E64:$Z64,MIN(H$6-$E$3,22))&lt;&gt;""),Trigo!$E64:INDEX(Trigo!$E64:$Z64,MIN(H$6-$E$3,22))),0))-IF($G$2,0,IF((H$6-$G$3)&lt;1,0,IFERROR(LOOKUP(2,1/(Trigo!$E64:INDEX(Trigo!$E64:$Z64,MIN(H$6-$G$3,22))&lt;&gt;""),Trigo!$E64:INDEX(Trigo!$E64:$Z64,MIN(H$6-$G$3,22))),0)))))</f>
        <v>0</v>
      </c>
      <c r="I66" s="27" t="n">
        <f aca="false">IF(COUNT(Trigo!$E64:$Z64)=0,0,MAX(0,IF((I$6-$E$3)&lt;1,0,IFERROR(LOOKUP(2,1/(Trigo!$E64:INDEX(Trigo!$E64:$Z64,MIN(I$6-$E$3,22))&lt;&gt;""),Trigo!$E64:INDEX(Trigo!$E64:$Z64,MIN(I$6-$E$3,22))),0))-IF($G$2,0,IF((I$6-$G$3)&lt;1,0,IFERROR(LOOKUP(2,1/(Trigo!$E64:INDEX(Trigo!$E64:$Z64,MIN(I$6-$G$3,22))&lt;&gt;""),Trigo!$E64:INDEX(Trigo!$E64:$Z64,MIN(I$6-$G$3,22))),0)))))</f>
        <v>0</v>
      </c>
      <c r="J66" s="27" t="n">
        <f aca="false">IF(COUNT(Trigo!$E64:$Z64)=0,0,MAX(0,IF((J$6-$E$3)&lt;1,0,IFERROR(LOOKUP(2,1/(Trigo!$E64:INDEX(Trigo!$E64:$Z64,MIN(J$6-$E$3,22))&lt;&gt;""),Trigo!$E64:INDEX(Trigo!$E64:$Z64,MIN(J$6-$E$3,22))),0))-IF($G$2,0,IF((J$6-$G$3)&lt;1,0,IFERROR(LOOKUP(2,1/(Trigo!$E64:INDEX(Trigo!$E64:$Z64,MIN(J$6-$G$3,22))&lt;&gt;""),Trigo!$E64:INDEX(Trigo!$E64:$Z64,MIN(J$6-$G$3,22))),0)))))</f>
        <v>0</v>
      </c>
      <c r="K66" s="27" t="n">
        <f aca="false">IF(COUNT(Trigo!$E64:$Z64)=0,0,MAX(0,IF((K$6-$E$3)&lt;1,0,IFERROR(LOOKUP(2,1/(Trigo!$E64:INDEX(Trigo!$E64:$Z64,MIN(K$6-$E$3,22))&lt;&gt;""),Trigo!$E64:INDEX(Trigo!$E64:$Z64,MIN(K$6-$E$3,22))),0))-IF($G$2,0,IF((K$6-$G$3)&lt;1,0,IFERROR(LOOKUP(2,1/(Trigo!$E64:INDEX(Trigo!$E64:$Z64,MIN(K$6-$G$3,22))&lt;&gt;""),Trigo!$E64:INDEX(Trigo!$E64:$Z64,MIN(K$6-$G$3,22))),0)))))</f>
        <v>0</v>
      </c>
      <c r="L66" s="27" t="n">
        <f aca="false">IF(COUNT(Trigo!$E64:$Z64)=0,0,MAX(0,IF((L$6-$E$3)&lt;1,0,IFERROR(LOOKUP(2,1/(Trigo!$E64:INDEX(Trigo!$E64:$Z64,MIN(L$6-$E$3,22))&lt;&gt;""),Trigo!$E64:INDEX(Trigo!$E64:$Z64,MIN(L$6-$E$3,22))),0))-IF($G$2,0,IF((L$6-$G$3)&lt;1,0,IFERROR(LOOKUP(2,1/(Trigo!$E64:INDEX(Trigo!$E64:$Z64,MIN(L$6-$G$3,22))&lt;&gt;""),Trigo!$E64:INDEX(Trigo!$E64:$Z64,MIN(L$6-$G$3,22))),0)))))</f>
        <v>0</v>
      </c>
      <c r="M66" s="27" t="n">
        <f aca="false">IF(COUNT(Trigo!$E64:$Z64)=0,0,MAX(0,IF((M$6-$E$3)&lt;1,0,IFERROR(LOOKUP(2,1/(Trigo!$E64:INDEX(Trigo!$E64:$Z64,MIN(M$6-$E$3,22))&lt;&gt;""),Trigo!$E64:INDEX(Trigo!$E64:$Z64,MIN(M$6-$E$3,22))),0))-IF($G$2,0,IF((M$6-$G$3)&lt;1,0,IFERROR(LOOKUP(2,1/(Trigo!$E64:INDEX(Trigo!$E64:$Z64,MIN(M$6-$G$3,22))&lt;&gt;""),Trigo!$E64:INDEX(Trigo!$E64:$Z64,MIN(M$6-$G$3,22))),0)))))</f>
        <v>0</v>
      </c>
      <c r="N66" s="27" t="n">
        <f aca="false">IF(COUNT(Trigo!$E64:$Z64)=0,0,MAX(0,IF((N$6-$E$3)&lt;1,0,IFERROR(LOOKUP(2,1/(Trigo!$E64:INDEX(Trigo!$E64:$Z64,MIN(N$6-$E$3,22))&lt;&gt;""),Trigo!$E64:INDEX(Trigo!$E64:$Z64,MIN(N$6-$E$3,22))),0))-IF($G$2,0,IF((N$6-$G$3)&lt;1,0,IFERROR(LOOKUP(2,1/(Trigo!$E64:INDEX(Trigo!$E64:$Z64,MIN(N$6-$G$3,22))&lt;&gt;""),Trigo!$E64:INDEX(Trigo!$E64:$Z64,MIN(N$6-$G$3,22))),0)))))</f>
        <v>0</v>
      </c>
      <c r="O66" s="27" t="n">
        <f aca="false">IF(COUNT(Trigo!$E64:$Z64)=0,0,MAX(0,IF((O$6-$E$3)&lt;1,0,IFERROR(LOOKUP(2,1/(Trigo!$E64:INDEX(Trigo!$E64:$Z64,MIN(O$6-$E$3,22))&lt;&gt;""),Trigo!$E64:INDEX(Trigo!$E64:$Z64,MIN(O$6-$E$3,22))),0))-IF($G$2,0,IF((O$6-$G$3)&lt;1,0,IFERROR(LOOKUP(2,1/(Trigo!$E64:INDEX(Trigo!$E64:$Z64,MIN(O$6-$G$3,22))&lt;&gt;""),Trigo!$E64:INDEX(Trigo!$E64:$Z64,MIN(O$6-$G$3,22))),0)))))</f>
        <v>0</v>
      </c>
      <c r="P66" s="27" t="n">
        <f aca="false">IF(COUNT(Trigo!$E64:$Z64)=0,0,MAX(0,IF((P$6-$E$3)&lt;1,0,IFERROR(LOOKUP(2,1/(Trigo!$E64:INDEX(Trigo!$E64:$Z64,MIN(P$6-$E$3,22))&lt;&gt;""),Trigo!$E64:INDEX(Trigo!$E64:$Z64,MIN(P$6-$E$3,22))),0))-IF($G$2,0,IF((P$6-$G$3)&lt;1,0,IFERROR(LOOKUP(2,1/(Trigo!$E64:INDEX(Trigo!$E64:$Z64,MIN(P$6-$G$3,22))&lt;&gt;""),Trigo!$E64:INDEX(Trigo!$E64:$Z64,MIN(P$6-$G$3,22))),0)))))</f>
        <v>0</v>
      </c>
      <c r="Q66" s="27" t="n">
        <f aca="false">IF(COUNT(Trigo!$E64:$Z64)=0,0,MAX(0,IF((Q$6-$E$3)&lt;1,0,IFERROR(LOOKUP(2,1/(Trigo!$E64:INDEX(Trigo!$E64:$Z64,MIN(Q$6-$E$3,22))&lt;&gt;""),Trigo!$E64:INDEX(Trigo!$E64:$Z64,MIN(Q$6-$E$3,22))),0))-IF($G$2,0,IF((Q$6-$G$3)&lt;1,0,IFERROR(LOOKUP(2,1/(Trigo!$E64:INDEX(Trigo!$E64:$Z64,MIN(Q$6-$G$3,22))&lt;&gt;""),Trigo!$E64:INDEX(Trigo!$E64:$Z64,MIN(Q$6-$G$3,22))),0)))))</f>
        <v>0</v>
      </c>
      <c r="R66" s="27" t="n">
        <f aca="false">IF(COUNT(Trigo!$E64:$Z64)=0,0,MAX(0,IF((R$6-$E$3)&lt;1,0,IFERROR(LOOKUP(2,1/(Trigo!$E64:INDEX(Trigo!$E64:$Z64,MIN(R$6-$E$3,22))&lt;&gt;""),Trigo!$E64:INDEX(Trigo!$E64:$Z64,MIN(R$6-$E$3,22))),0))-IF($G$2,0,IF((R$6-$G$3)&lt;1,0,IFERROR(LOOKUP(2,1/(Trigo!$E64:INDEX(Trigo!$E64:$Z64,MIN(R$6-$G$3,22))&lt;&gt;""),Trigo!$E64:INDEX(Trigo!$E64:$Z64,MIN(R$6-$G$3,22))),0)))))</f>
        <v>0</v>
      </c>
      <c r="S66" s="27" t="n">
        <f aca="false">IF(COUNT(Trigo!$E64:$Z64)=0,0,MAX(0,IF((S$6-$E$3)&lt;1,0,IFERROR(LOOKUP(2,1/(Trigo!$E64:INDEX(Trigo!$E64:$Z64,MIN(S$6-$E$3,22))&lt;&gt;""),Trigo!$E64:INDEX(Trigo!$E64:$Z64,MIN(S$6-$E$3,22))),0))-IF($G$2,0,IF((S$6-$G$3)&lt;1,0,IFERROR(LOOKUP(2,1/(Trigo!$E64:INDEX(Trigo!$E64:$Z64,MIN(S$6-$G$3,22))&lt;&gt;""),Trigo!$E64:INDEX(Trigo!$E64:$Z64,MIN(S$6-$G$3,22))),0)))))</f>
        <v>0</v>
      </c>
      <c r="T66" s="27" t="n">
        <f aca="false">IF(COUNT(Trigo!$E64:$Z64)=0,0,MAX(0,IF((T$6-$E$3)&lt;1,0,IFERROR(LOOKUP(2,1/(Trigo!$E64:INDEX(Trigo!$E64:$Z64,MIN(T$6-$E$3,22))&lt;&gt;""),Trigo!$E64:INDEX(Trigo!$E64:$Z64,MIN(T$6-$E$3,22))),0))-IF($G$2,0,IF((T$6-$G$3)&lt;1,0,IFERROR(LOOKUP(2,1/(Trigo!$E64:INDEX(Trigo!$E64:$Z64,MIN(T$6-$G$3,22))&lt;&gt;""),Trigo!$E64:INDEX(Trigo!$E64:$Z64,MIN(T$6-$G$3,22))),0)))))</f>
        <v>0</v>
      </c>
      <c r="U66" s="27" t="n">
        <f aca="false">IF(COUNT(Trigo!$E64:$Z64)=0,0,MAX(0,IF((U$6-$E$3)&lt;1,0,IFERROR(LOOKUP(2,1/(Trigo!$E64:INDEX(Trigo!$E64:$Z64,MIN(U$6-$E$3,22))&lt;&gt;""),Trigo!$E64:INDEX(Trigo!$E64:$Z64,MIN(U$6-$E$3,22))),0))-IF($G$2,0,IF((U$6-$G$3)&lt;1,0,IFERROR(LOOKUP(2,1/(Trigo!$E64:INDEX(Trigo!$E64:$Z64,MIN(U$6-$G$3,22))&lt;&gt;""),Trigo!$E64:INDEX(Trigo!$E64:$Z64,MIN(U$6-$G$3,22))),0)))))</f>
        <v>0</v>
      </c>
      <c r="V66" s="27" t="n">
        <f aca="false">IF(COUNT(Trigo!$E64:$Z64)=0,0,MAX(0,IF((V$6-$E$3)&lt;1,0,IFERROR(LOOKUP(2,1/(Trigo!$E64:INDEX(Trigo!$E64:$Z64,MIN(V$6-$E$3,22))&lt;&gt;""),Trigo!$E64:INDEX(Trigo!$E64:$Z64,MIN(V$6-$E$3,22))),0))-IF($G$2,0,IF((V$6-$G$3)&lt;1,0,IFERROR(LOOKUP(2,1/(Trigo!$E64:INDEX(Trigo!$E64:$Z64,MIN(V$6-$G$3,22))&lt;&gt;""),Trigo!$E64:INDEX(Trigo!$E64:$Z64,MIN(V$6-$G$3,22))),0)))))</f>
        <v>0</v>
      </c>
      <c r="W66" s="27" t="n">
        <f aca="false">IF(COUNT(Trigo!$E64:$Z64)=0,0,MAX(0,IF((W$6-$E$3)&lt;1,0,IFERROR(LOOKUP(2,1/(Trigo!$E64:INDEX(Trigo!$E64:$Z64,MIN(W$6-$E$3,22))&lt;&gt;""),Trigo!$E64:INDEX(Trigo!$E64:$Z64,MIN(W$6-$E$3,22))),0))-IF($G$2,0,IF((W$6-$G$3)&lt;1,0,IFERROR(LOOKUP(2,1/(Trigo!$E64:INDEX(Trigo!$E64:$Z64,MIN(W$6-$G$3,22))&lt;&gt;""),Trigo!$E64:INDEX(Trigo!$E64:$Z64,MIN(W$6-$G$3,22))),0)))))</f>
        <v>0</v>
      </c>
      <c r="X66" s="27" t="n">
        <f aca="false">IF(COUNT(Trigo!$E64:$Z64)=0,0,MAX(0,IF((X$6-$E$3)&lt;1,0,IFERROR(LOOKUP(2,1/(Trigo!$E64:INDEX(Trigo!$E64:$Z64,MIN(X$6-$E$3,22))&lt;&gt;""),Trigo!$E64:INDEX(Trigo!$E64:$Z64,MIN(X$6-$E$3,22))),0))-IF($G$2,0,IF((X$6-$G$3)&lt;1,0,IFERROR(LOOKUP(2,1/(Trigo!$E64:INDEX(Trigo!$E64:$Z64,MIN(X$6-$G$3,22))&lt;&gt;""),Trigo!$E64:INDEX(Trigo!$E64:$Z64,MIN(X$6-$G$3,22))),0)))))</f>
        <v>0</v>
      </c>
      <c r="Y66" s="27" t="n">
        <f aca="false">IF(COUNT(Trigo!$E64:$Z64)=0,0,MAX(0,IF((Y$6-$E$3)&lt;1,0,IFERROR(LOOKUP(2,1/(Trigo!$E64:INDEX(Trigo!$E64:$Z64,MIN(Y$6-$E$3,22))&lt;&gt;""),Trigo!$E64:INDEX(Trigo!$E64:$Z64,MIN(Y$6-$E$3,22))),0))-IF($G$2,0,IF((Y$6-$G$3)&lt;1,0,IFERROR(LOOKUP(2,1/(Trigo!$E64:INDEX(Trigo!$E64:$Z64,MIN(Y$6-$G$3,22))&lt;&gt;""),Trigo!$E64:INDEX(Trigo!$E64:$Z64,MIN(Y$6-$G$3,22))),0)))))</f>
        <v>0</v>
      </c>
      <c r="Z66" s="27" t="n">
        <f aca="false">IF(COUNT(Trigo!$E64:$Z64)=0,0,MAX(0,IF((Z$6-$E$3)&lt;1,0,IFERROR(LOOKUP(2,1/(Trigo!$E64:INDEX(Trigo!$E64:$Z64,MIN(Z$6-$E$3,22))&lt;&gt;""),Trigo!$E64:INDEX(Trigo!$E64:$Z64,MIN(Z$6-$E$3,22))),0))-IF($G$2,0,IF((Z$6-$G$3)&lt;1,0,IFERROR(LOOKUP(2,1/(Trigo!$E64:INDEX(Trigo!$E64:$Z64,MIN(Z$6-$G$3,22))&lt;&gt;""),Trigo!$E64:INDEX(Trigo!$E64:$Z64,MIN(Z$6-$G$3,22))),0)))))</f>
        <v>0</v>
      </c>
      <c r="AA66" s="27" t="n">
        <f aca="false">IF(COUNT(Trigo!$E64:$Z64)=0,0,MAX(0,IF((AA$6-$E$3)&lt;1,0,IFERROR(LOOKUP(2,1/(Trigo!$E64:INDEX(Trigo!$E64:$Z64,MIN(AA$6-$E$3,22))&lt;&gt;""),Trigo!$E64:INDEX(Trigo!$E64:$Z64,MIN(AA$6-$E$3,22))),0))-IF($G$2,0,IF((AA$6-$G$3)&lt;1,0,IFERROR(LOOKUP(2,1/(Trigo!$E64:INDEX(Trigo!$E64:$Z64,MIN(AA$6-$G$3,22))&lt;&gt;""),Trigo!$E64:INDEX(Trigo!$E64:$Z64,MIN(AA$6-$G$3,22))),0)))))</f>
        <v>0</v>
      </c>
      <c r="AB66" s="27" t="n">
        <f aca="false">IF(COUNT(Trigo!$E64:$Z64)=0,0,MAX(0,IF((AB$6-$E$3)&lt;1,0,IFERROR(LOOKUP(2,1/(Trigo!$E64:INDEX(Trigo!$E64:$Z64,MIN(AB$6-$E$3,22))&lt;&gt;""),Trigo!$E64:INDEX(Trigo!$E64:$Z64,MIN(AB$6-$E$3,22))),0))-IF($G$2,0,IF((AB$6-$G$3)&lt;1,0,IFERROR(LOOKUP(2,1/(Trigo!$E64:INDEX(Trigo!$E64:$Z64,MIN(AB$6-$G$3,22))&lt;&gt;""),Trigo!$E64:INDEX(Trigo!$E64:$Z64,MIN(AB$6-$G$3,22))),0)))))</f>
        <v>0</v>
      </c>
      <c r="AC66" s="27" t="n">
        <f aca="false">IF(COUNT(Trigo!$E64:$Z64)=0,0,MAX(0,IF((AC$6-$E$3)&lt;1,0,IFERROR(LOOKUP(2,1/(Trigo!$E64:INDEX(Trigo!$E64:$Z64,MIN(AC$6-$E$3,22))&lt;&gt;""),Trigo!$E64:INDEX(Trigo!$E64:$Z64,MIN(AC$6-$E$3,22))),0))-IF($G$2,0,IF((AC$6-$G$3)&lt;1,0,IFERROR(LOOKUP(2,1/(Trigo!$E64:INDEX(Trigo!$E64:$Z64,MIN(AC$6-$G$3,22))&lt;&gt;""),Trigo!$E64:INDEX(Trigo!$E64:$Z64,MIN(AC$6-$G$3,22))),0)))))</f>
        <v>0</v>
      </c>
      <c r="AD66" s="27" t="n">
        <f aca="false">IF(COUNT(Trigo!$E64:$Z64)=0,0,MAX(0,IF((AD$6-$E$3)&lt;1,0,IFERROR(LOOKUP(2,1/(Trigo!$E64:INDEX(Trigo!$E64:$Z64,MIN(AD$6-$E$3,22))&lt;&gt;""),Trigo!$E64:INDEX(Trigo!$E64:$Z64,MIN(AD$6-$E$3,22))),0))-IF($G$2,0,IF((AD$6-$G$3)&lt;1,0,IFERROR(LOOKUP(2,1/(Trigo!$E64:INDEX(Trigo!$E64:$Z64,MIN(AD$6-$G$3,22))&lt;&gt;""),Trigo!$E64:INDEX(Trigo!$E64:$Z64,MIN(AD$6-$G$3,22))),0)))))</f>
        <v>0</v>
      </c>
      <c r="AE66" s="27" t="n">
        <f aca="false">IF(COUNT(Trigo!$E64:$Z64)=0,0,MAX(0,IF((AE$6-$E$3)&lt;1,0,IFERROR(LOOKUP(2,1/(Trigo!$E64:INDEX(Trigo!$E64:$Z64,MIN(AE$6-$E$3,22))&lt;&gt;""),Trigo!$E64:INDEX(Trigo!$E64:$Z64,MIN(AE$6-$E$3,22))),0))-IF($G$2,0,IF((AE$6-$G$3)&lt;1,0,IFERROR(LOOKUP(2,1/(Trigo!$E64:INDEX(Trigo!$E64:$Z64,MIN(AE$6-$G$3,22))&lt;&gt;""),Trigo!$E64:INDEX(Trigo!$E64:$Z64,MIN(AE$6-$G$3,22))),0)))))</f>
        <v>0</v>
      </c>
      <c r="AF66" s="27" t="n">
        <f aca="false">IF(COUNT(Trigo!$E64:$Z64)=0,0,MAX(0,IF((AF$6-$E$3)&lt;1,0,IFERROR(LOOKUP(2,1/(Trigo!$E64:INDEX(Trigo!$E64:$Z64,MIN(AF$6-$E$3,22))&lt;&gt;""),Trigo!$E64:INDEX(Trigo!$E64:$Z64,MIN(AF$6-$E$3,22))),0))-IF($G$2,0,IF((AF$6-$G$3)&lt;1,0,IFERROR(LOOKUP(2,1/(Trigo!$E64:INDEX(Trigo!$E64:$Z64,MIN(AF$6-$G$3,22))&lt;&gt;""),Trigo!$E64:INDEX(Trigo!$E64:$Z64,MIN(AF$6-$G$3,22))),0)))))</f>
        <v>0</v>
      </c>
      <c r="AG66" s="27" t="n">
        <f aca="false">IF(COUNT(Trigo!$E64:$Z64)=0,0,MAX(0,IF((AG$6-$E$3)&lt;1,0,IFERROR(LOOKUP(2,1/(Trigo!$E64:INDEX(Trigo!$E64:$Z64,MIN(AG$6-$E$3,22))&lt;&gt;""),Trigo!$E64:INDEX(Trigo!$E64:$Z64,MIN(AG$6-$E$3,22))),0))-IF($G$2,0,IF((AG$6-$G$3)&lt;1,0,IFERROR(LOOKUP(2,1/(Trigo!$E64:INDEX(Trigo!$E64:$Z64,MIN(AG$6-$G$3,22))&lt;&gt;""),Trigo!$E64:INDEX(Trigo!$E64:$Z64,MIN(AG$6-$G$3,22))),0)))))</f>
        <v>0</v>
      </c>
      <c r="AH66" s="27" t="n">
        <f aca="false">IF(COUNT(Trigo!$E64:$Z64)=0,0,MAX(0,IF((AH$6-$E$3)&lt;1,0,IFERROR(LOOKUP(2,1/(Trigo!$E64:INDEX(Trigo!$E64:$Z64,MIN(AH$6-$E$3,22))&lt;&gt;""),Trigo!$E64:INDEX(Trigo!$E64:$Z64,MIN(AH$6-$E$3,22))),0))-IF($G$2,0,IF((AH$6-$G$3)&lt;1,0,IFERROR(LOOKUP(2,1/(Trigo!$E64:INDEX(Trigo!$E64:$Z64,MIN(AH$6-$G$3,22))&lt;&gt;""),Trigo!$E64:INDEX(Trigo!$E64:$Z64,MIN(AH$6-$G$3,22))),0)))))</f>
        <v>0</v>
      </c>
      <c r="AI66" s="27" t="n">
        <f aca="false">IF(COUNT(Trigo!$E64:$Z64)=0,0,MAX(0,IF((AI$6-$E$3)&lt;1,0,IFERROR(LOOKUP(2,1/(Trigo!$E64:INDEX(Trigo!$E64:$Z64,MIN(AI$6-$E$3,22))&lt;&gt;""),Trigo!$E64:INDEX(Trigo!$E64:$Z64,MIN(AI$6-$E$3,22))),0))-IF($G$2,0,IF((AI$6-$G$3)&lt;1,0,IFERROR(LOOKUP(2,1/(Trigo!$E64:INDEX(Trigo!$E64:$Z64,MIN(AI$6-$G$3,22))&lt;&gt;""),Trigo!$E64:INDEX(Trigo!$E64:$Z64,MIN(AI$6-$G$3,22))),0)))))</f>
        <v>0</v>
      </c>
      <c r="AJ66" s="27" t="n">
        <f aca="false">IF(COUNT(Trigo!$E64:$Z64)=0,0,MAX(0,IF((AJ$6-$E$3)&lt;1,0,IFERROR(LOOKUP(2,1/(Trigo!$E64:INDEX(Trigo!$E64:$Z64,MIN(AJ$6-$E$3,22))&lt;&gt;""),Trigo!$E64:INDEX(Trigo!$E64:$Z64,MIN(AJ$6-$E$3,22))),0))-IF($G$2,0,IF((AJ$6-$G$3)&lt;1,0,IFERROR(LOOKUP(2,1/(Trigo!$E64:INDEX(Trigo!$E64:$Z64,MIN(AJ$6-$G$3,22))&lt;&gt;""),Trigo!$E64:INDEX(Trigo!$E64:$Z64,MIN(AJ$6-$G$3,22))),0)))))</f>
        <v>0</v>
      </c>
      <c r="AK66" s="27" t="n">
        <f aca="false">IF(COUNT(Trigo!$E64:$Z64)=0,0,MAX(0,IF((AK$6-$E$3)&lt;1,0,IFERROR(LOOKUP(2,1/(Trigo!$E64:INDEX(Trigo!$E64:$Z64,MIN(AK$6-$E$3,22))&lt;&gt;""),Trigo!$E64:INDEX(Trigo!$E64:$Z64,MIN(AK$6-$E$3,22))),0))-IF($G$2,0,IF((AK$6-$G$3)&lt;1,0,IFERROR(LOOKUP(2,1/(Trigo!$E64:INDEX(Trigo!$E64:$Z64,MIN(AK$6-$G$3,22))&lt;&gt;""),Trigo!$E64:INDEX(Trigo!$E64:$Z64,MIN(AK$6-$G$3,22))),0)))))</f>
        <v>0</v>
      </c>
      <c r="AL66" s="27" t="n">
        <f aca="false">IF(COUNT(Trigo!$E64:$Z64)=0,0,MAX(0,IF((AL$6-$E$3)&lt;1,0,IFERROR(LOOKUP(2,1/(Trigo!$E64:INDEX(Trigo!$E64:$Z64,MIN(AL$6-$E$3,22))&lt;&gt;""),Trigo!$E64:INDEX(Trigo!$E64:$Z64,MIN(AL$6-$E$3,22))),0))-IF($G$2,0,IF((AL$6-$G$3)&lt;1,0,IFERROR(LOOKUP(2,1/(Trigo!$E64:INDEX(Trigo!$E64:$Z64,MIN(AL$6-$G$3,22))&lt;&gt;""),Trigo!$E64:INDEX(Trigo!$E64:$Z64,MIN(AL$6-$G$3,22))),0)))))</f>
        <v>0</v>
      </c>
      <c r="AM66" s="27" t="n">
        <f aca="false">IF(COUNT(Trigo!$E64:$Z64)=0,0,MAX(0,IF((AM$6-$E$3)&lt;1,0,IFERROR(LOOKUP(2,1/(Trigo!$E64:INDEX(Trigo!$E64:$Z64,MIN(AM$6-$E$3,22))&lt;&gt;""),Trigo!$E64:INDEX(Trigo!$E64:$Z64,MIN(AM$6-$E$3,22))),0))-IF($G$2,0,IF((AM$6-$G$3)&lt;1,0,IFERROR(LOOKUP(2,1/(Trigo!$E64:INDEX(Trigo!$E64:$Z64,MIN(AM$6-$G$3,22))&lt;&gt;""),Trigo!$E64:INDEX(Trigo!$E64:$Z64,MIN(AM$6-$G$3,22))),0)))))</f>
        <v>0</v>
      </c>
      <c r="AN66" s="27" t="n">
        <f aca="false">IF(COUNT(Trigo!$E64:$Z64)=0,0,MAX(0,IF((AN$6-$E$3)&lt;1,0,IFERROR(LOOKUP(2,1/(Trigo!$E64:INDEX(Trigo!$E64:$Z64,MIN(AN$6-$E$3,22))&lt;&gt;""),Trigo!$E64:INDEX(Trigo!$E64:$Z64,MIN(AN$6-$E$3,22))),0))-IF($G$2,0,IF((AN$6-$G$3)&lt;1,0,IFERROR(LOOKUP(2,1/(Trigo!$E64:INDEX(Trigo!$E64:$Z64,MIN(AN$6-$G$3,22))&lt;&gt;""),Trigo!$E64:INDEX(Trigo!$E64:$Z64,MIN(AN$6-$G$3,22))),0)))))</f>
        <v>0</v>
      </c>
      <c r="AO66" s="27" t="n">
        <f aca="false">IF(COUNT(Trigo!$E64:$Z64)=0,0,MAX(0,IF((AO$6-$E$3)&lt;1,0,IFERROR(LOOKUP(2,1/(Trigo!$E64:INDEX(Trigo!$E64:$Z64,MIN(AO$6-$E$3,22))&lt;&gt;""),Trigo!$E64:INDEX(Trigo!$E64:$Z64,MIN(AO$6-$E$3,22))),0))-IF($G$2,0,IF((AO$6-$G$3)&lt;1,0,IFERROR(LOOKUP(2,1/(Trigo!$E64:INDEX(Trigo!$E64:$Z64,MIN(AO$6-$G$3,22))&lt;&gt;""),Trigo!$E64:INDEX(Trigo!$E64:$Z64,MIN(AO$6-$G$3,22))),0)))))</f>
        <v>0</v>
      </c>
      <c r="AP66" s="27" t="n">
        <f aca="false">IF(COUNT(Trigo!$E64:$Z64)=0,0,MAX(0,IF((AP$6-$E$3)&lt;1,0,IFERROR(LOOKUP(2,1/(Trigo!$E64:INDEX(Trigo!$E64:$Z64,MIN(AP$6-$E$3,22))&lt;&gt;""),Trigo!$E64:INDEX(Trigo!$E64:$Z64,MIN(AP$6-$E$3,22))),0))-IF($G$2,0,IF((AP$6-$G$3)&lt;1,0,IFERROR(LOOKUP(2,1/(Trigo!$E64:INDEX(Trigo!$E64:$Z64,MIN(AP$6-$G$3,22))&lt;&gt;""),Trigo!$E64:INDEX(Trigo!$E64:$Z64,MIN(AP$6-$G$3,22))),0)))))</f>
        <v>0</v>
      </c>
      <c r="AQ66" s="27" t="n">
        <f aca="false">IF(COUNT(Trigo!$E64:$Z64)=0,0,MAX(0,IF((AQ$6-$E$3)&lt;1,0,IFERROR(LOOKUP(2,1/(Trigo!$E64:INDEX(Trigo!$E64:$Z64,MIN(AQ$6-$E$3,22))&lt;&gt;""),Trigo!$E64:INDEX(Trigo!$E64:$Z64,MIN(AQ$6-$E$3,22))),0))-IF($G$2,0,IF((AQ$6-$G$3)&lt;1,0,IFERROR(LOOKUP(2,1/(Trigo!$E64:INDEX(Trigo!$E64:$Z64,MIN(AQ$6-$G$3,22))&lt;&gt;""),Trigo!$E64:INDEX(Trigo!$E64:$Z64,MIN(AQ$6-$G$3,22))),0)))))</f>
        <v>0</v>
      </c>
      <c r="AR66" s="27" t="n">
        <f aca="false">IF(COUNT(Trigo!$E64:$Z64)=0,0,MAX(0,IF((AR$6-$E$3)&lt;1,0,IFERROR(LOOKUP(2,1/(Trigo!$E64:INDEX(Trigo!$E64:$Z64,MIN(AR$6-$E$3,22))&lt;&gt;""),Trigo!$E64:INDEX(Trigo!$E64:$Z64,MIN(AR$6-$E$3,22))),0))-IF($G$2,0,IF((AR$6-$G$3)&lt;1,0,IFERROR(LOOKUP(2,1/(Trigo!$E64:INDEX(Trigo!$E64:$Z64,MIN(AR$6-$G$3,22))&lt;&gt;""),Trigo!$E64:INDEX(Trigo!$E64:$Z64,MIN(AR$6-$G$3,22))),0)))))</f>
        <v>0</v>
      </c>
      <c r="AS66" s="27" t="n">
        <f aca="false">IF(COUNT(Trigo!$E64:$Z64)=0,0,MAX(0,IF((AS$6-$E$3)&lt;1,0,IFERROR(LOOKUP(2,1/(Trigo!$E64:INDEX(Trigo!$E64:$Z64,MIN(AS$6-$E$3,22))&lt;&gt;""),Trigo!$E64:INDEX(Trigo!$E64:$Z64,MIN(AS$6-$E$3,22))),0))-IF($G$2,0,IF((AS$6-$G$3)&lt;1,0,IFERROR(LOOKUP(2,1/(Trigo!$E64:INDEX(Trigo!$E64:$Z64,MIN(AS$6-$G$3,22))&lt;&gt;""),Trigo!$E64:INDEX(Trigo!$E64:$Z64,MIN(AS$6-$G$3,22))),0)))))</f>
        <v>0</v>
      </c>
      <c r="AT66" s="27" t="n">
        <f aca="false">IF(COUNT(Trigo!$E64:$Z64)=0,0,MAX(0,IF((AT$6-$E$3)&lt;1,0,IFERROR(LOOKUP(2,1/(Trigo!$E64:INDEX(Trigo!$E64:$Z64,MIN(AT$6-$E$3,22))&lt;&gt;""),Trigo!$E64:INDEX(Trigo!$E64:$Z64,MIN(AT$6-$E$3,22))),0))-IF($G$2,0,IF((AT$6-$G$3)&lt;1,0,IFERROR(LOOKUP(2,1/(Trigo!$E64:INDEX(Trigo!$E64:$Z64,MIN(AT$6-$G$3,22))&lt;&gt;""),Trigo!$E64:INDEX(Trigo!$E64:$Z64,MIN(AT$6-$G$3,22))),0)))))</f>
        <v>0</v>
      </c>
      <c r="AU66" s="27" t="n">
        <f aca="false">IF(COUNT(Trigo!$E64:$Z64)=0,0,MAX(0,IF((AU$6-$E$3)&lt;1,0,IFERROR(LOOKUP(2,1/(Trigo!$E64:INDEX(Trigo!$E64:$Z64,MIN(AU$6-$E$3,22))&lt;&gt;""),Trigo!$E64:INDEX(Trigo!$E64:$Z64,MIN(AU$6-$E$3,22))),0))-IF($G$2,0,IF((AU$6-$G$3)&lt;1,0,IFERROR(LOOKUP(2,1/(Trigo!$E64:INDEX(Trigo!$E64:$Z64,MIN(AU$6-$G$3,22))&lt;&gt;""),Trigo!$E64:INDEX(Trigo!$E64:$Z64,MIN(AU$6-$G$3,22))),0)))))</f>
        <v>0</v>
      </c>
      <c r="AV66" s="27" t="n">
        <f aca="false">IF(COUNT(Trigo!$E64:$Z64)=0,0,MAX(0,IF((AV$6-$E$3)&lt;1,0,IFERROR(LOOKUP(2,1/(Trigo!$E64:INDEX(Trigo!$E64:$Z64,MIN(AV$6-$E$3,22))&lt;&gt;""),Trigo!$E64:INDEX(Trigo!$E64:$Z64,MIN(AV$6-$E$3,22))),0))-IF($G$2,0,IF((AV$6-$G$3)&lt;1,0,IFERROR(LOOKUP(2,1/(Trigo!$E64:INDEX(Trigo!$E64:$Z64,MIN(AV$6-$G$3,22))&lt;&gt;""),Trigo!$E64:INDEX(Trigo!$E64:$Z64,MIN(AV$6-$G$3,22))),0)))))</f>
        <v>0</v>
      </c>
      <c r="AW66" s="27" t="n">
        <f aca="false">IF(COUNT(Trigo!$E64:$Z64)=0,0,MAX(0,IF((AW$6-$E$3)&lt;1,0,IFERROR(LOOKUP(2,1/(Trigo!$E64:INDEX(Trigo!$E64:$Z64,MIN(AW$6-$E$3,22))&lt;&gt;""),Trigo!$E64:INDEX(Trigo!$E64:$Z64,MIN(AW$6-$E$3,22))),0))-IF($G$2,0,IF((AW$6-$G$3)&lt;1,0,IFERROR(LOOKUP(2,1/(Trigo!$E64:INDEX(Trigo!$E64:$Z64,MIN(AW$6-$G$3,22))&lt;&gt;""),Trigo!$E64:INDEX(Trigo!$E64:$Z64,MIN(AW$6-$G$3,22))),0)))))</f>
        <v>0</v>
      </c>
      <c r="AX66" s="27" t="n">
        <f aca="false">IF(COUNT(Trigo!$E64:$Z64)=0,0,MAX(0,IF((AX$6-$E$3)&lt;1,0,IFERROR(LOOKUP(2,1/(Trigo!$E64:INDEX(Trigo!$E64:$Z64,MIN(AX$6-$E$3,22))&lt;&gt;""),Trigo!$E64:INDEX(Trigo!$E64:$Z64,MIN(AX$6-$E$3,22))),0))-IF($G$2,0,IF((AX$6-$G$3)&lt;1,0,IFERROR(LOOKUP(2,1/(Trigo!$E64:INDEX(Trigo!$E64:$Z64,MIN(AX$6-$G$3,22))&lt;&gt;""),Trigo!$E64:INDEX(Trigo!$E64:$Z64,MIN(AX$6-$G$3,22))),0)))))</f>
        <v>0</v>
      </c>
      <c r="AY66" s="27" t="n">
        <f aca="false">IF(COUNT(Trigo!$E64:$Z64)=0,0,MAX(0,IF((AY$6-$E$3)&lt;1,0,IFERROR(LOOKUP(2,1/(Trigo!$E64:INDEX(Trigo!$E64:$Z64,MIN(AY$6-$E$3,22))&lt;&gt;""),Trigo!$E64:INDEX(Trigo!$E64:$Z64,MIN(AY$6-$E$3,22))),0))-IF($G$2,0,IF((AY$6-$G$3)&lt;1,0,IFERROR(LOOKUP(2,1/(Trigo!$E64:INDEX(Trigo!$E64:$Z64,MIN(AY$6-$G$3,22))&lt;&gt;""),Trigo!$E64:INDEX(Trigo!$E64:$Z64,MIN(AY$6-$G$3,22))),0)))))</f>
        <v>0</v>
      </c>
      <c r="AZ66" s="27" t="n">
        <f aca="false">IF(COUNT(Trigo!$E64:$Z64)=0,0,MAX(0,IF((AZ$6-$E$3)&lt;1,0,IFERROR(LOOKUP(2,1/(Trigo!$E64:INDEX(Trigo!$E64:$Z64,MIN(AZ$6-$E$3,22))&lt;&gt;""),Trigo!$E64:INDEX(Trigo!$E64:$Z64,MIN(AZ$6-$E$3,22))),0))-IF($G$2,0,IF((AZ$6-$G$3)&lt;1,0,IFERROR(LOOKUP(2,1/(Trigo!$E64:INDEX(Trigo!$E64:$Z64,MIN(AZ$6-$G$3,22))&lt;&gt;""),Trigo!$E64:INDEX(Trigo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IF(COUNT(Trigo!$E65:$Z65)&gt;0,N(Trigo!$D65),0)</f>
        <v>0</v>
      </c>
      <c r="E67" s="27" t="n">
        <f aca="false">IF(COUNT(Trigo!$E65:$Z65)=0,0,MAX(0,IF((E$6-$E$3)&lt;1,0,IFERROR(LOOKUP(2,1/(Trigo!$E65:INDEX(Trigo!$E65:$Z65,MIN(E$6-$E$3,22))&lt;&gt;""),Trigo!$E65:INDEX(Trigo!$E65:$Z65,MIN(E$6-$E$3,22))),0))-IF($G$2,0,IF((E$6-$G$3)&lt;1,0,IFERROR(LOOKUP(2,1/(Trigo!$E65:INDEX(Trigo!$E65:$Z65,MIN(E$6-$G$3,22))&lt;&gt;""),Trigo!$E65:INDEX(Trigo!$E65:$Z65,MIN(E$6-$G$3,22))),0)))))</f>
        <v>0</v>
      </c>
      <c r="F67" s="27" t="n">
        <f aca="false">IF(COUNT(Trigo!$E65:$Z65)=0,0,MAX(0,IF((F$6-$E$3)&lt;1,0,IFERROR(LOOKUP(2,1/(Trigo!$E65:INDEX(Trigo!$E65:$Z65,MIN(F$6-$E$3,22))&lt;&gt;""),Trigo!$E65:INDEX(Trigo!$E65:$Z65,MIN(F$6-$E$3,22))),0))-IF($G$2,0,IF((F$6-$G$3)&lt;1,0,IFERROR(LOOKUP(2,1/(Trigo!$E65:INDEX(Trigo!$E65:$Z65,MIN(F$6-$G$3,22))&lt;&gt;""),Trigo!$E65:INDEX(Trigo!$E65:$Z65,MIN(F$6-$G$3,22))),0)))))</f>
        <v>0</v>
      </c>
      <c r="G67" s="27" t="n">
        <f aca="false">IF(COUNT(Trigo!$E65:$Z65)=0,0,MAX(0,IF((G$6-$E$3)&lt;1,0,IFERROR(LOOKUP(2,1/(Trigo!$E65:INDEX(Trigo!$E65:$Z65,MIN(G$6-$E$3,22))&lt;&gt;""),Trigo!$E65:INDEX(Trigo!$E65:$Z65,MIN(G$6-$E$3,22))),0))-IF($G$2,0,IF((G$6-$G$3)&lt;1,0,IFERROR(LOOKUP(2,1/(Trigo!$E65:INDEX(Trigo!$E65:$Z65,MIN(G$6-$G$3,22))&lt;&gt;""),Trigo!$E65:INDEX(Trigo!$E65:$Z65,MIN(G$6-$G$3,22))),0)))))</f>
        <v>0</v>
      </c>
      <c r="H67" s="27" t="n">
        <f aca="false">IF(COUNT(Trigo!$E65:$Z65)=0,0,MAX(0,IF((H$6-$E$3)&lt;1,0,IFERROR(LOOKUP(2,1/(Trigo!$E65:INDEX(Trigo!$E65:$Z65,MIN(H$6-$E$3,22))&lt;&gt;""),Trigo!$E65:INDEX(Trigo!$E65:$Z65,MIN(H$6-$E$3,22))),0))-IF($G$2,0,IF((H$6-$G$3)&lt;1,0,IFERROR(LOOKUP(2,1/(Trigo!$E65:INDEX(Trigo!$E65:$Z65,MIN(H$6-$G$3,22))&lt;&gt;""),Trigo!$E65:INDEX(Trigo!$E65:$Z65,MIN(H$6-$G$3,22))),0)))))</f>
        <v>0</v>
      </c>
      <c r="I67" s="27" t="n">
        <f aca="false">IF(COUNT(Trigo!$E65:$Z65)=0,0,MAX(0,IF((I$6-$E$3)&lt;1,0,IFERROR(LOOKUP(2,1/(Trigo!$E65:INDEX(Trigo!$E65:$Z65,MIN(I$6-$E$3,22))&lt;&gt;""),Trigo!$E65:INDEX(Trigo!$E65:$Z65,MIN(I$6-$E$3,22))),0))-IF($G$2,0,IF((I$6-$G$3)&lt;1,0,IFERROR(LOOKUP(2,1/(Trigo!$E65:INDEX(Trigo!$E65:$Z65,MIN(I$6-$G$3,22))&lt;&gt;""),Trigo!$E65:INDEX(Trigo!$E65:$Z65,MIN(I$6-$G$3,22))),0)))))</f>
        <v>0</v>
      </c>
      <c r="J67" s="27" t="n">
        <f aca="false">IF(COUNT(Trigo!$E65:$Z65)=0,0,MAX(0,IF((J$6-$E$3)&lt;1,0,IFERROR(LOOKUP(2,1/(Trigo!$E65:INDEX(Trigo!$E65:$Z65,MIN(J$6-$E$3,22))&lt;&gt;""),Trigo!$E65:INDEX(Trigo!$E65:$Z65,MIN(J$6-$E$3,22))),0))-IF($G$2,0,IF((J$6-$G$3)&lt;1,0,IFERROR(LOOKUP(2,1/(Trigo!$E65:INDEX(Trigo!$E65:$Z65,MIN(J$6-$G$3,22))&lt;&gt;""),Trigo!$E65:INDEX(Trigo!$E65:$Z65,MIN(J$6-$G$3,22))),0)))))</f>
        <v>0</v>
      </c>
      <c r="K67" s="27" t="n">
        <f aca="false">IF(COUNT(Trigo!$E65:$Z65)=0,0,MAX(0,IF((K$6-$E$3)&lt;1,0,IFERROR(LOOKUP(2,1/(Trigo!$E65:INDEX(Trigo!$E65:$Z65,MIN(K$6-$E$3,22))&lt;&gt;""),Trigo!$E65:INDEX(Trigo!$E65:$Z65,MIN(K$6-$E$3,22))),0))-IF($G$2,0,IF((K$6-$G$3)&lt;1,0,IFERROR(LOOKUP(2,1/(Trigo!$E65:INDEX(Trigo!$E65:$Z65,MIN(K$6-$G$3,22))&lt;&gt;""),Trigo!$E65:INDEX(Trigo!$E65:$Z65,MIN(K$6-$G$3,22))),0)))))</f>
        <v>0</v>
      </c>
      <c r="L67" s="27" t="n">
        <f aca="false">IF(COUNT(Trigo!$E65:$Z65)=0,0,MAX(0,IF((L$6-$E$3)&lt;1,0,IFERROR(LOOKUP(2,1/(Trigo!$E65:INDEX(Trigo!$E65:$Z65,MIN(L$6-$E$3,22))&lt;&gt;""),Trigo!$E65:INDEX(Trigo!$E65:$Z65,MIN(L$6-$E$3,22))),0))-IF($G$2,0,IF((L$6-$G$3)&lt;1,0,IFERROR(LOOKUP(2,1/(Trigo!$E65:INDEX(Trigo!$E65:$Z65,MIN(L$6-$G$3,22))&lt;&gt;""),Trigo!$E65:INDEX(Trigo!$E65:$Z65,MIN(L$6-$G$3,22))),0)))))</f>
        <v>0</v>
      </c>
      <c r="M67" s="27" t="n">
        <f aca="false">IF(COUNT(Trigo!$E65:$Z65)=0,0,MAX(0,IF((M$6-$E$3)&lt;1,0,IFERROR(LOOKUP(2,1/(Trigo!$E65:INDEX(Trigo!$E65:$Z65,MIN(M$6-$E$3,22))&lt;&gt;""),Trigo!$E65:INDEX(Trigo!$E65:$Z65,MIN(M$6-$E$3,22))),0))-IF($G$2,0,IF((M$6-$G$3)&lt;1,0,IFERROR(LOOKUP(2,1/(Trigo!$E65:INDEX(Trigo!$E65:$Z65,MIN(M$6-$G$3,22))&lt;&gt;""),Trigo!$E65:INDEX(Trigo!$E65:$Z65,MIN(M$6-$G$3,22))),0)))))</f>
        <v>0</v>
      </c>
      <c r="N67" s="27" t="n">
        <f aca="false">IF(COUNT(Trigo!$E65:$Z65)=0,0,MAX(0,IF((N$6-$E$3)&lt;1,0,IFERROR(LOOKUP(2,1/(Trigo!$E65:INDEX(Trigo!$E65:$Z65,MIN(N$6-$E$3,22))&lt;&gt;""),Trigo!$E65:INDEX(Trigo!$E65:$Z65,MIN(N$6-$E$3,22))),0))-IF($G$2,0,IF((N$6-$G$3)&lt;1,0,IFERROR(LOOKUP(2,1/(Trigo!$E65:INDEX(Trigo!$E65:$Z65,MIN(N$6-$G$3,22))&lt;&gt;""),Trigo!$E65:INDEX(Trigo!$E65:$Z65,MIN(N$6-$G$3,22))),0)))))</f>
        <v>0</v>
      </c>
      <c r="O67" s="27" t="n">
        <f aca="false">IF(COUNT(Trigo!$E65:$Z65)=0,0,MAX(0,IF((O$6-$E$3)&lt;1,0,IFERROR(LOOKUP(2,1/(Trigo!$E65:INDEX(Trigo!$E65:$Z65,MIN(O$6-$E$3,22))&lt;&gt;""),Trigo!$E65:INDEX(Trigo!$E65:$Z65,MIN(O$6-$E$3,22))),0))-IF($G$2,0,IF((O$6-$G$3)&lt;1,0,IFERROR(LOOKUP(2,1/(Trigo!$E65:INDEX(Trigo!$E65:$Z65,MIN(O$6-$G$3,22))&lt;&gt;""),Trigo!$E65:INDEX(Trigo!$E65:$Z65,MIN(O$6-$G$3,22))),0)))))</f>
        <v>0</v>
      </c>
      <c r="P67" s="27" t="n">
        <f aca="false">IF(COUNT(Trigo!$E65:$Z65)=0,0,MAX(0,IF((P$6-$E$3)&lt;1,0,IFERROR(LOOKUP(2,1/(Trigo!$E65:INDEX(Trigo!$E65:$Z65,MIN(P$6-$E$3,22))&lt;&gt;""),Trigo!$E65:INDEX(Trigo!$E65:$Z65,MIN(P$6-$E$3,22))),0))-IF($G$2,0,IF((P$6-$G$3)&lt;1,0,IFERROR(LOOKUP(2,1/(Trigo!$E65:INDEX(Trigo!$E65:$Z65,MIN(P$6-$G$3,22))&lt;&gt;""),Trigo!$E65:INDEX(Trigo!$E65:$Z65,MIN(P$6-$G$3,22))),0)))))</f>
        <v>0</v>
      </c>
      <c r="Q67" s="27" t="n">
        <f aca="false">IF(COUNT(Trigo!$E65:$Z65)=0,0,MAX(0,IF((Q$6-$E$3)&lt;1,0,IFERROR(LOOKUP(2,1/(Trigo!$E65:INDEX(Trigo!$E65:$Z65,MIN(Q$6-$E$3,22))&lt;&gt;""),Trigo!$E65:INDEX(Trigo!$E65:$Z65,MIN(Q$6-$E$3,22))),0))-IF($G$2,0,IF((Q$6-$G$3)&lt;1,0,IFERROR(LOOKUP(2,1/(Trigo!$E65:INDEX(Trigo!$E65:$Z65,MIN(Q$6-$G$3,22))&lt;&gt;""),Trigo!$E65:INDEX(Trigo!$E65:$Z65,MIN(Q$6-$G$3,22))),0)))))</f>
        <v>0</v>
      </c>
      <c r="R67" s="27" t="n">
        <f aca="false">IF(COUNT(Trigo!$E65:$Z65)=0,0,MAX(0,IF((R$6-$E$3)&lt;1,0,IFERROR(LOOKUP(2,1/(Trigo!$E65:INDEX(Trigo!$E65:$Z65,MIN(R$6-$E$3,22))&lt;&gt;""),Trigo!$E65:INDEX(Trigo!$E65:$Z65,MIN(R$6-$E$3,22))),0))-IF($G$2,0,IF((R$6-$G$3)&lt;1,0,IFERROR(LOOKUP(2,1/(Trigo!$E65:INDEX(Trigo!$E65:$Z65,MIN(R$6-$G$3,22))&lt;&gt;""),Trigo!$E65:INDEX(Trigo!$E65:$Z65,MIN(R$6-$G$3,22))),0)))))</f>
        <v>0</v>
      </c>
      <c r="S67" s="27" t="n">
        <f aca="false">IF(COUNT(Trigo!$E65:$Z65)=0,0,MAX(0,IF((S$6-$E$3)&lt;1,0,IFERROR(LOOKUP(2,1/(Trigo!$E65:INDEX(Trigo!$E65:$Z65,MIN(S$6-$E$3,22))&lt;&gt;""),Trigo!$E65:INDEX(Trigo!$E65:$Z65,MIN(S$6-$E$3,22))),0))-IF($G$2,0,IF((S$6-$G$3)&lt;1,0,IFERROR(LOOKUP(2,1/(Trigo!$E65:INDEX(Trigo!$E65:$Z65,MIN(S$6-$G$3,22))&lt;&gt;""),Trigo!$E65:INDEX(Trigo!$E65:$Z65,MIN(S$6-$G$3,22))),0)))))</f>
        <v>0</v>
      </c>
      <c r="T67" s="27" t="n">
        <f aca="false">IF(COUNT(Trigo!$E65:$Z65)=0,0,MAX(0,IF((T$6-$E$3)&lt;1,0,IFERROR(LOOKUP(2,1/(Trigo!$E65:INDEX(Trigo!$E65:$Z65,MIN(T$6-$E$3,22))&lt;&gt;""),Trigo!$E65:INDEX(Trigo!$E65:$Z65,MIN(T$6-$E$3,22))),0))-IF($G$2,0,IF((T$6-$G$3)&lt;1,0,IFERROR(LOOKUP(2,1/(Trigo!$E65:INDEX(Trigo!$E65:$Z65,MIN(T$6-$G$3,22))&lt;&gt;""),Trigo!$E65:INDEX(Trigo!$E65:$Z65,MIN(T$6-$G$3,22))),0)))))</f>
        <v>0</v>
      </c>
      <c r="U67" s="27" t="n">
        <f aca="false">IF(COUNT(Trigo!$E65:$Z65)=0,0,MAX(0,IF((U$6-$E$3)&lt;1,0,IFERROR(LOOKUP(2,1/(Trigo!$E65:INDEX(Trigo!$E65:$Z65,MIN(U$6-$E$3,22))&lt;&gt;""),Trigo!$E65:INDEX(Trigo!$E65:$Z65,MIN(U$6-$E$3,22))),0))-IF($G$2,0,IF((U$6-$G$3)&lt;1,0,IFERROR(LOOKUP(2,1/(Trigo!$E65:INDEX(Trigo!$E65:$Z65,MIN(U$6-$G$3,22))&lt;&gt;""),Trigo!$E65:INDEX(Trigo!$E65:$Z65,MIN(U$6-$G$3,22))),0)))))</f>
        <v>0</v>
      </c>
      <c r="V67" s="27" t="n">
        <f aca="false">IF(COUNT(Trigo!$E65:$Z65)=0,0,MAX(0,IF((V$6-$E$3)&lt;1,0,IFERROR(LOOKUP(2,1/(Trigo!$E65:INDEX(Trigo!$E65:$Z65,MIN(V$6-$E$3,22))&lt;&gt;""),Trigo!$E65:INDEX(Trigo!$E65:$Z65,MIN(V$6-$E$3,22))),0))-IF($G$2,0,IF((V$6-$G$3)&lt;1,0,IFERROR(LOOKUP(2,1/(Trigo!$E65:INDEX(Trigo!$E65:$Z65,MIN(V$6-$G$3,22))&lt;&gt;""),Trigo!$E65:INDEX(Trigo!$E65:$Z65,MIN(V$6-$G$3,22))),0)))))</f>
        <v>0</v>
      </c>
      <c r="W67" s="27" t="n">
        <f aca="false">IF(COUNT(Trigo!$E65:$Z65)=0,0,MAX(0,IF((W$6-$E$3)&lt;1,0,IFERROR(LOOKUP(2,1/(Trigo!$E65:INDEX(Trigo!$E65:$Z65,MIN(W$6-$E$3,22))&lt;&gt;""),Trigo!$E65:INDEX(Trigo!$E65:$Z65,MIN(W$6-$E$3,22))),0))-IF($G$2,0,IF((W$6-$G$3)&lt;1,0,IFERROR(LOOKUP(2,1/(Trigo!$E65:INDEX(Trigo!$E65:$Z65,MIN(W$6-$G$3,22))&lt;&gt;""),Trigo!$E65:INDEX(Trigo!$E65:$Z65,MIN(W$6-$G$3,22))),0)))))</f>
        <v>0</v>
      </c>
      <c r="X67" s="27" t="n">
        <f aca="false">IF(COUNT(Trigo!$E65:$Z65)=0,0,MAX(0,IF((X$6-$E$3)&lt;1,0,IFERROR(LOOKUP(2,1/(Trigo!$E65:INDEX(Trigo!$E65:$Z65,MIN(X$6-$E$3,22))&lt;&gt;""),Trigo!$E65:INDEX(Trigo!$E65:$Z65,MIN(X$6-$E$3,22))),0))-IF($G$2,0,IF((X$6-$G$3)&lt;1,0,IFERROR(LOOKUP(2,1/(Trigo!$E65:INDEX(Trigo!$E65:$Z65,MIN(X$6-$G$3,22))&lt;&gt;""),Trigo!$E65:INDEX(Trigo!$E65:$Z65,MIN(X$6-$G$3,22))),0)))))</f>
        <v>0</v>
      </c>
      <c r="Y67" s="27" t="n">
        <f aca="false">IF(COUNT(Trigo!$E65:$Z65)=0,0,MAX(0,IF((Y$6-$E$3)&lt;1,0,IFERROR(LOOKUP(2,1/(Trigo!$E65:INDEX(Trigo!$E65:$Z65,MIN(Y$6-$E$3,22))&lt;&gt;""),Trigo!$E65:INDEX(Trigo!$E65:$Z65,MIN(Y$6-$E$3,22))),0))-IF($G$2,0,IF((Y$6-$G$3)&lt;1,0,IFERROR(LOOKUP(2,1/(Trigo!$E65:INDEX(Trigo!$E65:$Z65,MIN(Y$6-$G$3,22))&lt;&gt;""),Trigo!$E65:INDEX(Trigo!$E65:$Z65,MIN(Y$6-$G$3,22))),0)))))</f>
        <v>0</v>
      </c>
      <c r="Z67" s="27" t="n">
        <f aca="false">IF(COUNT(Trigo!$E65:$Z65)=0,0,MAX(0,IF((Z$6-$E$3)&lt;1,0,IFERROR(LOOKUP(2,1/(Trigo!$E65:INDEX(Trigo!$E65:$Z65,MIN(Z$6-$E$3,22))&lt;&gt;""),Trigo!$E65:INDEX(Trigo!$E65:$Z65,MIN(Z$6-$E$3,22))),0))-IF($G$2,0,IF((Z$6-$G$3)&lt;1,0,IFERROR(LOOKUP(2,1/(Trigo!$E65:INDEX(Trigo!$E65:$Z65,MIN(Z$6-$G$3,22))&lt;&gt;""),Trigo!$E65:INDEX(Trigo!$E65:$Z65,MIN(Z$6-$G$3,22))),0)))))</f>
        <v>0</v>
      </c>
      <c r="AA67" s="27" t="n">
        <f aca="false">IF(COUNT(Trigo!$E65:$Z65)=0,0,MAX(0,IF((AA$6-$E$3)&lt;1,0,IFERROR(LOOKUP(2,1/(Trigo!$E65:INDEX(Trigo!$E65:$Z65,MIN(AA$6-$E$3,22))&lt;&gt;""),Trigo!$E65:INDEX(Trigo!$E65:$Z65,MIN(AA$6-$E$3,22))),0))-IF($G$2,0,IF((AA$6-$G$3)&lt;1,0,IFERROR(LOOKUP(2,1/(Trigo!$E65:INDEX(Trigo!$E65:$Z65,MIN(AA$6-$G$3,22))&lt;&gt;""),Trigo!$E65:INDEX(Trigo!$E65:$Z65,MIN(AA$6-$G$3,22))),0)))))</f>
        <v>0</v>
      </c>
      <c r="AB67" s="27" t="n">
        <f aca="false">IF(COUNT(Trigo!$E65:$Z65)=0,0,MAX(0,IF((AB$6-$E$3)&lt;1,0,IFERROR(LOOKUP(2,1/(Trigo!$E65:INDEX(Trigo!$E65:$Z65,MIN(AB$6-$E$3,22))&lt;&gt;""),Trigo!$E65:INDEX(Trigo!$E65:$Z65,MIN(AB$6-$E$3,22))),0))-IF($G$2,0,IF((AB$6-$G$3)&lt;1,0,IFERROR(LOOKUP(2,1/(Trigo!$E65:INDEX(Trigo!$E65:$Z65,MIN(AB$6-$G$3,22))&lt;&gt;""),Trigo!$E65:INDEX(Trigo!$E65:$Z65,MIN(AB$6-$G$3,22))),0)))))</f>
        <v>0</v>
      </c>
      <c r="AC67" s="27" t="n">
        <f aca="false">IF(COUNT(Trigo!$E65:$Z65)=0,0,MAX(0,IF((AC$6-$E$3)&lt;1,0,IFERROR(LOOKUP(2,1/(Trigo!$E65:INDEX(Trigo!$E65:$Z65,MIN(AC$6-$E$3,22))&lt;&gt;""),Trigo!$E65:INDEX(Trigo!$E65:$Z65,MIN(AC$6-$E$3,22))),0))-IF($G$2,0,IF((AC$6-$G$3)&lt;1,0,IFERROR(LOOKUP(2,1/(Trigo!$E65:INDEX(Trigo!$E65:$Z65,MIN(AC$6-$G$3,22))&lt;&gt;""),Trigo!$E65:INDEX(Trigo!$E65:$Z65,MIN(AC$6-$G$3,22))),0)))))</f>
        <v>0</v>
      </c>
      <c r="AD67" s="27" t="n">
        <f aca="false">IF(COUNT(Trigo!$E65:$Z65)=0,0,MAX(0,IF((AD$6-$E$3)&lt;1,0,IFERROR(LOOKUP(2,1/(Trigo!$E65:INDEX(Trigo!$E65:$Z65,MIN(AD$6-$E$3,22))&lt;&gt;""),Trigo!$E65:INDEX(Trigo!$E65:$Z65,MIN(AD$6-$E$3,22))),0))-IF($G$2,0,IF((AD$6-$G$3)&lt;1,0,IFERROR(LOOKUP(2,1/(Trigo!$E65:INDEX(Trigo!$E65:$Z65,MIN(AD$6-$G$3,22))&lt;&gt;""),Trigo!$E65:INDEX(Trigo!$E65:$Z65,MIN(AD$6-$G$3,22))),0)))))</f>
        <v>0</v>
      </c>
      <c r="AE67" s="27" t="n">
        <f aca="false">IF(COUNT(Trigo!$E65:$Z65)=0,0,MAX(0,IF((AE$6-$E$3)&lt;1,0,IFERROR(LOOKUP(2,1/(Trigo!$E65:INDEX(Trigo!$E65:$Z65,MIN(AE$6-$E$3,22))&lt;&gt;""),Trigo!$E65:INDEX(Trigo!$E65:$Z65,MIN(AE$6-$E$3,22))),0))-IF($G$2,0,IF((AE$6-$G$3)&lt;1,0,IFERROR(LOOKUP(2,1/(Trigo!$E65:INDEX(Trigo!$E65:$Z65,MIN(AE$6-$G$3,22))&lt;&gt;""),Trigo!$E65:INDEX(Trigo!$E65:$Z65,MIN(AE$6-$G$3,22))),0)))))</f>
        <v>0</v>
      </c>
      <c r="AF67" s="27" t="n">
        <f aca="false">IF(COUNT(Trigo!$E65:$Z65)=0,0,MAX(0,IF((AF$6-$E$3)&lt;1,0,IFERROR(LOOKUP(2,1/(Trigo!$E65:INDEX(Trigo!$E65:$Z65,MIN(AF$6-$E$3,22))&lt;&gt;""),Trigo!$E65:INDEX(Trigo!$E65:$Z65,MIN(AF$6-$E$3,22))),0))-IF($G$2,0,IF((AF$6-$G$3)&lt;1,0,IFERROR(LOOKUP(2,1/(Trigo!$E65:INDEX(Trigo!$E65:$Z65,MIN(AF$6-$G$3,22))&lt;&gt;""),Trigo!$E65:INDEX(Trigo!$E65:$Z65,MIN(AF$6-$G$3,22))),0)))))</f>
        <v>0</v>
      </c>
      <c r="AG67" s="27" t="n">
        <f aca="false">IF(COUNT(Trigo!$E65:$Z65)=0,0,MAX(0,IF((AG$6-$E$3)&lt;1,0,IFERROR(LOOKUP(2,1/(Trigo!$E65:INDEX(Trigo!$E65:$Z65,MIN(AG$6-$E$3,22))&lt;&gt;""),Trigo!$E65:INDEX(Trigo!$E65:$Z65,MIN(AG$6-$E$3,22))),0))-IF($G$2,0,IF((AG$6-$G$3)&lt;1,0,IFERROR(LOOKUP(2,1/(Trigo!$E65:INDEX(Trigo!$E65:$Z65,MIN(AG$6-$G$3,22))&lt;&gt;""),Trigo!$E65:INDEX(Trigo!$E65:$Z65,MIN(AG$6-$G$3,22))),0)))))</f>
        <v>0</v>
      </c>
      <c r="AH67" s="27" t="n">
        <f aca="false">IF(COUNT(Trigo!$E65:$Z65)=0,0,MAX(0,IF((AH$6-$E$3)&lt;1,0,IFERROR(LOOKUP(2,1/(Trigo!$E65:INDEX(Trigo!$E65:$Z65,MIN(AH$6-$E$3,22))&lt;&gt;""),Trigo!$E65:INDEX(Trigo!$E65:$Z65,MIN(AH$6-$E$3,22))),0))-IF($G$2,0,IF((AH$6-$G$3)&lt;1,0,IFERROR(LOOKUP(2,1/(Trigo!$E65:INDEX(Trigo!$E65:$Z65,MIN(AH$6-$G$3,22))&lt;&gt;""),Trigo!$E65:INDEX(Trigo!$E65:$Z65,MIN(AH$6-$G$3,22))),0)))))</f>
        <v>0</v>
      </c>
      <c r="AI67" s="27" t="n">
        <f aca="false">IF(COUNT(Trigo!$E65:$Z65)=0,0,MAX(0,IF((AI$6-$E$3)&lt;1,0,IFERROR(LOOKUP(2,1/(Trigo!$E65:INDEX(Trigo!$E65:$Z65,MIN(AI$6-$E$3,22))&lt;&gt;""),Trigo!$E65:INDEX(Trigo!$E65:$Z65,MIN(AI$6-$E$3,22))),0))-IF($G$2,0,IF((AI$6-$G$3)&lt;1,0,IFERROR(LOOKUP(2,1/(Trigo!$E65:INDEX(Trigo!$E65:$Z65,MIN(AI$6-$G$3,22))&lt;&gt;""),Trigo!$E65:INDEX(Trigo!$E65:$Z65,MIN(AI$6-$G$3,22))),0)))))</f>
        <v>0</v>
      </c>
      <c r="AJ67" s="27" t="n">
        <f aca="false">IF(COUNT(Trigo!$E65:$Z65)=0,0,MAX(0,IF((AJ$6-$E$3)&lt;1,0,IFERROR(LOOKUP(2,1/(Trigo!$E65:INDEX(Trigo!$E65:$Z65,MIN(AJ$6-$E$3,22))&lt;&gt;""),Trigo!$E65:INDEX(Trigo!$E65:$Z65,MIN(AJ$6-$E$3,22))),0))-IF($G$2,0,IF((AJ$6-$G$3)&lt;1,0,IFERROR(LOOKUP(2,1/(Trigo!$E65:INDEX(Trigo!$E65:$Z65,MIN(AJ$6-$G$3,22))&lt;&gt;""),Trigo!$E65:INDEX(Trigo!$E65:$Z65,MIN(AJ$6-$G$3,22))),0)))))</f>
        <v>0</v>
      </c>
      <c r="AK67" s="27" t="n">
        <f aca="false">IF(COUNT(Trigo!$E65:$Z65)=0,0,MAX(0,IF((AK$6-$E$3)&lt;1,0,IFERROR(LOOKUP(2,1/(Trigo!$E65:INDEX(Trigo!$E65:$Z65,MIN(AK$6-$E$3,22))&lt;&gt;""),Trigo!$E65:INDEX(Trigo!$E65:$Z65,MIN(AK$6-$E$3,22))),0))-IF($G$2,0,IF((AK$6-$G$3)&lt;1,0,IFERROR(LOOKUP(2,1/(Trigo!$E65:INDEX(Trigo!$E65:$Z65,MIN(AK$6-$G$3,22))&lt;&gt;""),Trigo!$E65:INDEX(Trigo!$E65:$Z65,MIN(AK$6-$G$3,22))),0)))))</f>
        <v>0</v>
      </c>
      <c r="AL67" s="27" t="n">
        <f aca="false">IF(COUNT(Trigo!$E65:$Z65)=0,0,MAX(0,IF((AL$6-$E$3)&lt;1,0,IFERROR(LOOKUP(2,1/(Trigo!$E65:INDEX(Trigo!$E65:$Z65,MIN(AL$6-$E$3,22))&lt;&gt;""),Trigo!$E65:INDEX(Trigo!$E65:$Z65,MIN(AL$6-$E$3,22))),0))-IF($G$2,0,IF((AL$6-$G$3)&lt;1,0,IFERROR(LOOKUP(2,1/(Trigo!$E65:INDEX(Trigo!$E65:$Z65,MIN(AL$6-$G$3,22))&lt;&gt;""),Trigo!$E65:INDEX(Trigo!$E65:$Z65,MIN(AL$6-$G$3,22))),0)))))</f>
        <v>0</v>
      </c>
      <c r="AM67" s="27" t="n">
        <f aca="false">IF(COUNT(Trigo!$E65:$Z65)=0,0,MAX(0,IF((AM$6-$E$3)&lt;1,0,IFERROR(LOOKUP(2,1/(Trigo!$E65:INDEX(Trigo!$E65:$Z65,MIN(AM$6-$E$3,22))&lt;&gt;""),Trigo!$E65:INDEX(Trigo!$E65:$Z65,MIN(AM$6-$E$3,22))),0))-IF($G$2,0,IF((AM$6-$G$3)&lt;1,0,IFERROR(LOOKUP(2,1/(Trigo!$E65:INDEX(Trigo!$E65:$Z65,MIN(AM$6-$G$3,22))&lt;&gt;""),Trigo!$E65:INDEX(Trigo!$E65:$Z65,MIN(AM$6-$G$3,22))),0)))))</f>
        <v>0</v>
      </c>
      <c r="AN67" s="27" t="n">
        <f aca="false">IF(COUNT(Trigo!$E65:$Z65)=0,0,MAX(0,IF((AN$6-$E$3)&lt;1,0,IFERROR(LOOKUP(2,1/(Trigo!$E65:INDEX(Trigo!$E65:$Z65,MIN(AN$6-$E$3,22))&lt;&gt;""),Trigo!$E65:INDEX(Trigo!$E65:$Z65,MIN(AN$6-$E$3,22))),0))-IF($G$2,0,IF((AN$6-$G$3)&lt;1,0,IFERROR(LOOKUP(2,1/(Trigo!$E65:INDEX(Trigo!$E65:$Z65,MIN(AN$6-$G$3,22))&lt;&gt;""),Trigo!$E65:INDEX(Trigo!$E65:$Z65,MIN(AN$6-$G$3,22))),0)))))</f>
        <v>0</v>
      </c>
      <c r="AO67" s="27" t="n">
        <f aca="false">IF(COUNT(Trigo!$E65:$Z65)=0,0,MAX(0,IF((AO$6-$E$3)&lt;1,0,IFERROR(LOOKUP(2,1/(Trigo!$E65:INDEX(Trigo!$E65:$Z65,MIN(AO$6-$E$3,22))&lt;&gt;""),Trigo!$E65:INDEX(Trigo!$E65:$Z65,MIN(AO$6-$E$3,22))),0))-IF($G$2,0,IF((AO$6-$G$3)&lt;1,0,IFERROR(LOOKUP(2,1/(Trigo!$E65:INDEX(Trigo!$E65:$Z65,MIN(AO$6-$G$3,22))&lt;&gt;""),Trigo!$E65:INDEX(Trigo!$E65:$Z65,MIN(AO$6-$G$3,22))),0)))))</f>
        <v>0</v>
      </c>
      <c r="AP67" s="27" t="n">
        <f aca="false">IF(COUNT(Trigo!$E65:$Z65)=0,0,MAX(0,IF((AP$6-$E$3)&lt;1,0,IFERROR(LOOKUP(2,1/(Trigo!$E65:INDEX(Trigo!$E65:$Z65,MIN(AP$6-$E$3,22))&lt;&gt;""),Trigo!$E65:INDEX(Trigo!$E65:$Z65,MIN(AP$6-$E$3,22))),0))-IF($G$2,0,IF((AP$6-$G$3)&lt;1,0,IFERROR(LOOKUP(2,1/(Trigo!$E65:INDEX(Trigo!$E65:$Z65,MIN(AP$6-$G$3,22))&lt;&gt;""),Trigo!$E65:INDEX(Trigo!$E65:$Z65,MIN(AP$6-$G$3,22))),0)))))</f>
        <v>0</v>
      </c>
      <c r="AQ67" s="27" t="n">
        <f aca="false">IF(COUNT(Trigo!$E65:$Z65)=0,0,MAX(0,IF((AQ$6-$E$3)&lt;1,0,IFERROR(LOOKUP(2,1/(Trigo!$E65:INDEX(Trigo!$E65:$Z65,MIN(AQ$6-$E$3,22))&lt;&gt;""),Trigo!$E65:INDEX(Trigo!$E65:$Z65,MIN(AQ$6-$E$3,22))),0))-IF($G$2,0,IF((AQ$6-$G$3)&lt;1,0,IFERROR(LOOKUP(2,1/(Trigo!$E65:INDEX(Trigo!$E65:$Z65,MIN(AQ$6-$G$3,22))&lt;&gt;""),Trigo!$E65:INDEX(Trigo!$E65:$Z65,MIN(AQ$6-$G$3,22))),0)))))</f>
        <v>0</v>
      </c>
      <c r="AR67" s="27" t="n">
        <f aca="false">IF(COUNT(Trigo!$E65:$Z65)=0,0,MAX(0,IF((AR$6-$E$3)&lt;1,0,IFERROR(LOOKUP(2,1/(Trigo!$E65:INDEX(Trigo!$E65:$Z65,MIN(AR$6-$E$3,22))&lt;&gt;""),Trigo!$E65:INDEX(Trigo!$E65:$Z65,MIN(AR$6-$E$3,22))),0))-IF($G$2,0,IF((AR$6-$G$3)&lt;1,0,IFERROR(LOOKUP(2,1/(Trigo!$E65:INDEX(Trigo!$E65:$Z65,MIN(AR$6-$G$3,22))&lt;&gt;""),Trigo!$E65:INDEX(Trigo!$E65:$Z65,MIN(AR$6-$G$3,22))),0)))))</f>
        <v>0</v>
      </c>
      <c r="AS67" s="27" t="n">
        <f aca="false">IF(COUNT(Trigo!$E65:$Z65)=0,0,MAX(0,IF((AS$6-$E$3)&lt;1,0,IFERROR(LOOKUP(2,1/(Trigo!$E65:INDEX(Trigo!$E65:$Z65,MIN(AS$6-$E$3,22))&lt;&gt;""),Trigo!$E65:INDEX(Trigo!$E65:$Z65,MIN(AS$6-$E$3,22))),0))-IF($G$2,0,IF((AS$6-$G$3)&lt;1,0,IFERROR(LOOKUP(2,1/(Trigo!$E65:INDEX(Trigo!$E65:$Z65,MIN(AS$6-$G$3,22))&lt;&gt;""),Trigo!$E65:INDEX(Trigo!$E65:$Z65,MIN(AS$6-$G$3,22))),0)))))</f>
        <v>0</v>
      </c>
      <c r="AT67" s="27" t="n">
        <f aca="false">IF(COUNT(Trigo!$E65:$Z65)=0,0,MAX(0,IF((AT$6-$E$3)&lt;1,0,IFERROR(LOOKUP(2,1/(Trigo!$E65:INDEX(Trigo!$E65:$Z65,MIN(AT$6-$E$3,22))&lt;&gt;""),Trigo!$E65:INDEX(Trigo!$E65:$Z65,MIN(AT$6-$E$3,22))),0))-IF($G$2,0,IF((AT$6-$G$3)&lt;1,0,IFERROR(LOOKUP(2,1/(Trigo!$E65:INDEX(Trigo!$E65:$Z65,MIN(AT$6-$G$3,22))&lt;&gt;""),Trigo!$E65:INDEX(Trigo!$E65:$Z65,MIN(AT$6-$G$3,22))),0)))))</f>
        <v>0</v>
      </c>
      <c r="AU67" s="27" t="n">
        <f aca="false">IF(COUNT(Trigo!$E65:$Z65)=0,0,MAX(0,IF((AU$6-$E$3)&lt;1,0,IFERROR(LOOKUP(2,1/(Trigo!$E65:INDEX(Trigo!$E65:$Z65,MIN(AU$6-$E$3,22))&lt;&gt;""),Trigo!$E65:INDEX(Trigo!$E65:$Z65,MIN(AU$6-$E$3,22))),0))-IF($G$2,0,IF((AU$6-$G$3)&lt;1,0,IFERROR(LOOKUP(2,1/(Trigo!$E65:INDEX(Trigo!$E65:$Z65,MIN(AU$6-$G$3,22))&lt;&gt;""),Trigo!$E65:INDEX(Trigo!$E65:$Z65,MIN(AU$6-$G$3,22))),0)))))</f>
        <v>0</v>
      </c>
      <c r="AV67" s="27" t="n">
        <f aca="false">IF(COUNT(Trigo!$E65:$Z65)=0,0,MAX(0,IF((AV$6-$E$3)&lt;1,0,IFERROR(LOOKUP(2,1/(Trigo!$E65:INDEX(Trigo!$E65:$Z65,MIN(AV$6-$E$3,22))&lt;&gt;""),Trigo!$E65:INDEX(Trigo!$E65:$Z65,MIN(AV$6-$E$3,22))),0))-IF($G$2,0,IF((AV$6-$G$3)&lt;1,0,IFERROR(LOOKUP(2,1/(Trigo!$E65:INDEX(Trigo!$E65:$Z65,MIN(AV$6-$G$3,22))&lt;&gt;""),Trigo!$E65:INDEX(Trigo!$E65:$Z65,MIN(AV$6-$G$3,22))),0)))))</f>
        <v>0</v>
      </c>
      <c r="AW67" s="27" t="n">
        <f aca="false">IF(COUNT(Trigo!$E65:$Z65)=0,0,MAX(0,IF((AW$6-$E$3)&lt;1,0,IFERROR(LOOKUP(2,1/(Trigo!$E65:INDEX(Trigo!$E65:$Z65,MIN(AW$6-$E$3,22))&lt;&gt;""),Trigo!$E65:INDEX(Trigo!$E65:$Z65,MIN(AW$6-$E$3,22))),0))-IF($G$2,0,IF((AW$6-$G$3)&lt;1,0,IFERROR(LOOKUP(2,1/(Trigo!$E65:INDEX(Trigo!$E65:$Z65,MIN(AW$6-$G$3,22))&lt;&gt;""),Trigo!$E65:INDEX(Trigo!$E65:$Z65,MIN(AW$6-$G$3,22))),0)))))</f>
        <v>0</v>
      </c>
      <c r="AX67" s="27" t="n">
        <f aca="false">IF(COUNT(Trigo!$E65:$Z65)=0,0,MAX(0,IF((AX$6-$E$3)&lt;1,0,IFERROR(LOOKUP(2,1/(Trigo!$E65:INDEX(Trigo!$E65:$Z65,MIN(AX$6-$E$3,22))&lt;&gt;""),Trigo!$E65:INDEX(Trigo!$E65:$Z65,MIN(AX$6-$E$3,22))),0))-IF($G$2,0,IF((AX$6-$G$3)&lt;1,0,IFERROR(LOOKUP(2,1/(Trigo!$E65:INDEX(Trigo!$E65:$Z65,MIN(AX$6-$G$3,22))&lt;&gt;""),Trigo!$E65:INDEX(Trigo!$E65:$Z65,MIN(AX$6-$G$3,22))),0)))))</f>
        <v>0</v>
      </c>
      <c r="AY67" s="27" t="n">
        <f aca="false">IF(COUNT(Trigo!$E65:$Z65)=0,0,MAX(0,IF((AY$6-$E$3)&lt;1,0,IFERROR(LOOKUP(2,1/(Trigo!$E65:INDEX(Trigo!$E65:$Z65,MIN(AY$6-$E$3,22))&lt;&gt;""),Trigo!$E65:INDEX(Trigo!$E65:$Z65,MIN(AY$6-$E$3,22))),0))-IF($G$2,0,IF((AY$6-$G$3)&lt;1,0,IFERROR(LOOKUP(2,1/(Trigo!$E65:INDEX(Trigo!$E65:$Z65,MIN(AY$6-$G$3,22))&lt;&gt;""),Trigo!$E65:INDEX(Trigo!$E65:$Z65,MIN(AY$6-$G$3,22))),0)))))</f>
        <v>0</v>
      </c>
      <c r="AZ67" s="27" t="n">
        <f aca="false">IF(COUNT(Trigo!$E65:$Z65)=0,0,MAX(0,IF((AZ$6-$E$3)&lt;1,0,IFERROR(LOOKUP(2,1/(Trigo!$E65:INDEX(Trigo!$E65:$Z65,MIN(AZ$6-$E$3,22))&lt;&gt;""),Trigo!$E65:INDEX(Trigo!$E65:$Z65,MIN(AZ$6-$E$3,22))),0))-IF($G$2,0,IF((AZ$6-$G$3)&lt;1,0,IFERROR(LOOKUP(2,1/(Trigo!$E65:INDEX(Trigo!$E65:$Z65,MIN(AZ$6-$G$3,22))&lt;&gt;""),Trigo!$E65:INDEX(Trigo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IF(COUNT(Trigo!$E66:$Z66)&gt;0,N(Trigo!$D66),0)</f>
        <v>0</v>
      </c>
      <c r="E68" s="27" t="n">
        <f aca="false">IF(COUNT(Trigo!$E66:$Z66)=0,0,MAX(0,IF((E$6-$E$3)&lt;1,0,IFERROR(LOOKUP(2,1/(Trigo!$E66:INDEX(Trigo!$E66:$Z66,MIN(E$6-$E$3,22))&lt;&gt;""),Trigo!$E66:INDEX(Trigo!$E66:$Z66,MIN(E$6-$E$3,22))),0))-IF($G$2,0,IF((E$6-$G$3)&lt;1,0,IFERROR(LOOKUP(2,1/(Trigo!$E66:INDEX(Trigo!$E66:$Z66,MIN(E$6-$G$3,22))&lt;&gt;""),Trigo!$E66:INDEX(Trigo!$E66:$Z66,MIN(E$6-$G$3,22))),0)))))</f>
        <v>0</v>
      </c>
      <c r="F68" s="27" t="n">
        <f aca="false">IF(COUNT(Trigo!$E66:$Z66)=0,0,MAX(0,IF((F$6-$E$3)&lt;1,0,IFERROR(LOOKUP(2,1/(Trigo!$E66:INDEX(Trigo!$E66:$Z66,MIN(F$6-$E$3,22))&lt;&gt;""),Trigo!$E66:INDEX(Trigo!$E66:$Z66,MIN(F$6-$E$3,22))),0))-IF($G$2,0,IF((F$6-$G$3)&lt;1,0,IFERROR(LOOKUP(2,1/(Trigo!$E66:INDEX(Trigo!$E66:$Z66,MIN(F$6-$G$3,22))&lt;&gt;""),Trigo!$E66:INDEX(Trigo!$E66:$Z66,MIN(F$6-$G$3,22))),0)))))</f>
        <v>0</v>
      </c>
      <c r="G68" s="27" t="n">
        <f aca="false">IF(COUNT(Trigo!$E66:$Z66)=0,0,MAX(0,IF((G$6-$E$3)&lt;1,0,IFERROR(LOOKUP(2,1/(Trigo!$E66:INDEX(Trigo!$E66:$Z66,MIN(G$6-$E$3,22))&lt;&gt;""),Trigo!$E66:INDEX(Trigo!$E66:$Z66,MIN(G$6-$E$3,22))),0))-IF($G$2,0,IF((G$6-$G$3)&lt;1,0,IFERROR(LOOKUP(2,1/(Trigo!$E66:INDEX(Trigo!$E66:$Z66,MIN(G$6-$G$3,22))&lt;&gt;""),Trigo!$E66:INDEX(Trigo!$E66:$Z66,MIN(G$6-$G$3,22))),0)))))</f>
        <v>0</v>
      </c>
      <c r="H68" s="27" t="n">
        <f aca="false">IF(COUNT(Trigo!$E66:$Z66)=0,0,MAX(0,IF((H$6-$E$3)&lt;1,0,IFERROR(LOOKUP(2,1/(Trigo!$E66:INDEX(Trigo!$E66:$Z66,MIN(H$6-$E$3,22))&lt;&gt;""),Trigo!$E66:INDEX(Trigo!$E66:$Z66,MIN(H$6-$E$3,22))),0))-IF($G$2,0,IF((H$6-$G$3)&lt;1,0,IFERROR(LOOKUP(2,1/(Trigo!$E66:INDEX(Trigo!$E66:$Z66,MIN(H$6-$G$3,22))&lt;&gt;""),Trigo!$E66:INDEX(Trigo!$E66:$Z66,MIN(H$6-$G$3,22))),0)))))</f>
        <v>0</v>
      </c>
      <c r="I68" s="27" t="n">
        <f aca="false">IF(COUNT(Trigo!$E66:$Z66)=0,0,MAX(0,IF((I$6-$E$3)&lt;1,0,IFERROR(LOOKUP(2,1/(Trigo!$E66:INDEX(Trigo!$E66:$Z66,MIN(I$6-$E$3,22))&lt;&gt;""),Trigo!$E66:INDEX(Trigo!$E66:$Z66,MIN(I$6-$E$3,22))),0))-IF($G$2,0,IF((I$6-$G$3)&lt;1,0,IFERROR(LOOKUP(2,1/(Trigo!$E66:INDEX(Trigo!$E66:$Z66,MIN(I$6-$G$3,22))&lt;&gt;""),Trigo!$E66:INDEX(Trigo!$E66:$Z66,MIN(I$6-$G$3,22))),0)))))</f>
        <v>0</v>
      </c>
      <c r="J68" s="27" t="n">
        <f aca="false">IF(COUNT(Trigo!$E66:$Z66)=0,0,MAX(0,IF((J$6-$E$3)&lt;1,0,IFERROR(LOOKUP(2,1/(Trigo!$E66:INDEX(Trigo!$E66:$Z66,MIN(J$6-$E$3,22))&lt;&gt;""),Trigo!$E66:INDEX(Trigo!$E66:$Z66,MIN(J$6-$E$3,22))),0))-IF($G$2,0,IF((J$6-$G$3)&lt;1,0,IFERROR(LOOKUP(2,1/(Trigo!$E66:INDEX(Trigo!$E66:$Z66,MIN(J$6-$G$3,22))&lt;&gt;""),Trigo!$E66:INDEX(Trigo!$E66:$Z66,MIN(J$6-$G$3,22))),0)))))</f>
        <v>0</v>
      </c>
      <c r="K68" s="27" t="n">
        <f aca="false">IF(COUNT(Trigo!$E66:$Z66)=0,0,MAX(0,IF((K$6-$E$3)&lt;1,0,IFERROR(LOOKUP(2,1/(Trigo!$E66:INDEX(Trigo!$E66:$Z66,MIN(K$6-$E$3,22))&lt;&gt;""),Trigo!$E66:INDEX(Trigo!$E66:$Z66,MIN(K$6-$E$3,22))),0))-IF($G$2,0,IF((K$6-$G$3)&lt;1,0,IFERROR(LOOKUP(2,1/(Trigo!$E66:INDEX(Trigo!$E66:$Z66,MIN(K$6-$G$3,22))&lt;&gt;""),Trigo!$E66:INDEX(Trigo!$E66:$Z66,MIN(K$6-$G$3,22))),0)))))</f>
        <v>0</v>
      </c>
      <c r="L68" s="27" t="n">
        <f aca="false">IF(COUNT(Trigo!$E66:$Z66)=0,0,MAX(0,IF((L$6-$E$3)&lt;1,0,IFERROR(LOOKUP(2,1/(Trigo!$E66:INDEX(Trigo!$E66:$Z66,MIN(L$6-$E$3,22))&lt;&gt;""),Trigo!$E66:INDEX(Trigo!$E66:$Z66,MIN(L$6-$E$3,22))),0))-IF($G$2,0,IF((L$6-$G$3)&lt;1,0,IFERROR(LOOKUP(2,1/(Trigo!$E66:INDEX(Trigo!$E66:$Z66,MIN(L$6-$G$3,22))&lt;&gt;""),Trigo!$E66:INDEX(Trigo!$E66:$Z66,MIN(L$6-$G$3,22))),0)))))</f>
        <v>0</v>
      </c>
      <c r="M68" s="27" t="n">
        <f aca="false">IF(COUNT(Trigo!$E66:$Z66)=0,0,MAX(0,IF((M$6-$E$3)&lt;1,0,IFERROR(LOOKUP(2,1/(Trigo!$E66:INDEX(Trigo!$E66:$Z66,MIN(M$6-$E$3,22))&lt;&gt;""),Trigo!$E66:INDEX(Trigo!$E66:$Z66,MIN(M$6-$E$3,22))),0))-IF($G$2,0,IF((M$6-$G$3)&lt;1,0,IFERROR(LOOKUP(2,1/(Trigo!$E66:INDEX(Trigo!$E66:$Z66,MIN(M$6-$G$3,22))&lt;&gt;""),Trigo!$E66:INDEX(Trigo!$E66:$Z66,MIN(M$6-$G$3,22))),0)))))</f>
        <v>0</v>
      </c>
      <c r="N68" s="27" t="n">
        <f aca="false">IF(COUNT(Trigo!$E66:$Z66)=0,0,MAX(0,IF((N$6-$E$3)&lt;1,0,IFERROR(LOOKUP(2,1/(Trigo!$E66:INDEX(Trigo!$E66:$Z66,MIN(N$6-$E$3,22))&lt;&gt;""),Trigo!$E66:INDEX(Trigo!$E66:$Z66,MIN(N$6-$E$3,22))),0))-IF($G$2,0,IF((N$6-$G$3)&lt;1,0,IFERROR(LOOKUP(2,1/(Trigo!$E66:INDEX(Trigo!$E66:$Z66,MIN(N$6-$G$3,22))&lt;&gt;""),Trigo!$E66:INDEX(Trigo!$E66:$Z66,MIN(N$6-$G$3,22))),0)))))</f>
        <v>0</v>
      </c>
      <c r="O68" s="27" t="n">
        <f aca="false">IF(COUNT(Trigo!$E66:$Z66)=0,0,MAX(0,IF((O$6-$E$3)&lt;1,0,IFERROR(LOOKUP(2,1/(Trigo!$E66:INDEX(Trigo!$E66:$Z66,MIN(O$6-$E$3,22))&lt;&gt;""),Trigo!$E66:INDEX(Trigo!$E66:$Z66,MIN(O$6-$E$3,22))),0))-IF($G$2,0,IF((O$6-$G$3)&lt;1,0,IFERROR(LOOKUP(2,1/(Trigo!$E66:INDEX(Trigo!$E66:$Z66,MIN(O$6-$G$3,22))&lt;&gt;""),Trigo!$E66:INDEX(Trigo!$E66:$Z66,MIN(O$6-$G$3,22))),0)))))</f>
        <v>0</v>
      </c>
      <c r="P68" s="27" t="n">
        <f aca="false">IF(COUNT(Trigo!$E66:$Z66)=0,0,MAX(0,IF((P$6-$E$3)&lt;1,0,IFERROR(LOOKUP(2,1/(Trigo!$E66:INDEX(Trigo!$E66:$Z66,MIN(P$6-$E$3,22))&lt;&gt;""),Trigo!$E66:INDEX(Trigo!$E66:$Z66,MIN(P$6-$E$3,22))),0))-IF($G$2,0,IF((P$6-$G$3)&lt;1,0,IFERROR(LOOKUP(2,1/(Trigo!$E66:INDEX(Trigo!$E66:$Z66,MIN(P$6-$G$3,22))&lt;&gt;""),Trigo!$E66:INDEX(Trigo!$E66:$Z66,MIN(P$6-$G$3,22))),0)))))</f>
        <v>0</v>
      </c>
      <c r="Q68" s="27" t="n">
        <f aca="false">IF(COUNT(Trigo!$E66:$Z66)=0,0,MAX(0,IF((Q$6-$E$3)&lt;1,0,IFERROR(LOOKUP(2,1/(Trigo!$E66:INDEX(Trigo!$E66:$Z66,MIN(Q$6-$E$3,22))&lt;&gt;""),Trigo!$E66:INDEX(Trigo!$E66:$Z66,MIN(Q$6-$E$3,22))),0))-IF($G$2,0,IF((Q$6-$G$3)&lt;1,0,IFERROR(LOOKUP(2,1/(Trigo!$E66:INDEX(Trigo!$E66:$Z66,MIN(Q$6-$G$3,22))&lt;&gt;""),Trigo!$E66:INDEX(Trigo!$E66:$Z66,MIN(Q$6-$G$3,22))),0)))))</f>
        <v>0</v>
      </c>
      <c r="R68" s="27" t="n">
        <f aca="false">IF(COUNT(Trigo!$E66:$Z66)=0,0,MAX(0,IF((R$6-$E$3)&lt;1,0,IFERROR(LOOKUP(2,1/(Trigo!$E66:INDEX(Trigo!$E66:$Z66,MIN(R$6-$E$3,22))&lt;&gt;""),Trigo!$E66:INDEX(Trigo!$E66:$Z66,MIN(R$6-$E$3,22))),0))-IF($G$2,0,IF((R$6-$G$3)&lt;1,0,IFERROR(LOOKUP(2,1/(Trigo!$E66:INDEX(Trigo!$E66:$Z66,MIN(R$6-$G$3,22))&lt;&gt;""),Trigo!$E66:INDEX(Trigo!$E66:$Z66,MIN(R$6-$G$3,22))),0)))))</f>
        <v>0</v>
      </c>
      <c r="S68" s="27" t="n">
        <f aca="false">IF(COUNT(Trigo!$E66:$Z66)=0,0,MAX(0,IF((S$6-$E$3)&lt;1,0,IFERROR(LOOKUP(2,1/(Trigo!$E66:INDEX(Trigo!$E66:$Z66,MIN(S$6-$E$3,22))&lt;&gt;""),Trigo!$E66:INDEX(Trigo!$E66:$Z66,MIN(S$6-$E$3,22))),0))-IF($G$2,0,IF((S$6-$G$3)&lt;1,0,IFERROR(LOOKUP(2,1/(Trigo!$E66:INDEX(Trigo!$E66:$Z66,MIN(S$6-$G$3,22))&lt;&gt;""),Trigo!$E66:INDEX(Trigo!$E66:$Z66,MIN(S$6-$G$3,22))),0)))))</f>
        <v>0</v>
      </c>
      <c r="T68" s="27" t="n">
        <f aca="false">IF(COUNT(Trigo!$E66:$Z66)=0,0,MAX(0,IF((T$6-$E$3)&lt;1,0,IFERROR(LOOKUP(2,1/(Trigo!$E66:INDEX(Trigo!$E66:$Z66,MIN(T$6-$E$3,22))&lt;&gt;""),Trigo!$E66:INDEX(Trigo!$E66:$Z66,MIN(T$6-$E$3,22))),0))-IF($G$2,0,IF((T$6-$G$3)&lt;1,0,IFERROR(LOOKUP(2,1/(Trigo!$E66:INDEX(Trigo!$E66:$Z66,MIN(T$6-$G$3,22))&lt;&gt;""),Trigo!$E66:INDEX(Trigo!$E66:$Z66,MIN(T$6-$G$3,22))),0)))))</f>
        <v>0</v>
      </c>
      <c r="U68" s="27" t="n">
        <f aca="false">IF(COUNT(Trigo!$E66:$Z66)=0,0,MAX(0,IF((U$6-$E$3)&lt;1,0,IFERROR(LOOKUP(2,1/(Trigo!$E66:INDEX(Trigo!$E66:$Z66,MIN(U$6-$E$3,22))&lt;&gt;""),Trigo!$E66:INDEX(Trigo!$E66:$Z66,MIN(U$6-$E$3,22))),0))-IF($G$2,0,IF((U$6-$G$3)&lt;1,0,IFERROR(LOOKUP(2,1/(Trigo!$E66:INDEX(Trigo!$E66:$Z66,MIN(U$6-$G$3,22))&lt;&gt;""),Trigo!$E66:INDEX(Trigo!$E66:$Z66,MIN(U$6-$G$3,22))),0)))))</f>
        <v>0</v>
      </c>
      <c r="V68" s="27" t="n">
        <f aca="false">IF(COUNT(Trigo!$E66:$Z66)=0,0,MAX(0,IF((V$6-$E$3)&lt;1,0,IFERROR(LOOKUP(2,1/(Trigo!$E66:INDEX(Trigo!$E66:$Z66,MIN(V$6-$E$3,22))&lt;&gt;""),Trigo!$E66:INDEX(Trigo!$E66:$Z66,MIN(V$6-$E$3,22))),0))-IF($G$2,0,IF((V$6-$G$3)&lt;1,0,IFERROR(LOOKUP(2,1/(Trigo!$E66:INDEX(Trigo!$E66:$Z66,MIN(V$6-$G$3,22))&lt;&gt;""),Trigo!$E66:INDEX(Trigo!$E66:$Z66,MIN(V$6-$G$3,22))),0)))))</f>
        <v>0</v>
      </c>
      <c r="W68" s="27" t="n">
        <f aca="false">IF(COUNT(Trigo!$E66:$Z66)=0,0,MAX(0,IF((W$6-$E$3)&lt;1,0,IFERROR(LOOKUP(2,1/(Trigo!$E66:INDEX(Trigo!$E66:$Z66,MIN(W$6-$E$3,22))&lt;&gt;""),Trigo!$E66:INDEX(Trigo!$E66:$Z66,MIN(W$6-$E$3,22))),0))-IF($G$2,0,IF((W$6-$G$3)&lt;1,0,IFERROR(LOOKUP(2,1/(Trigo!$E66:INDEX(Trigo!$E66:$Z66,MIN(W$6-$G$3,22))&lt;&gt;""),Trigo!$E66:INDEX(Trigo!$E66:$Z66,MIN(W$6-$G$3,22))),0)))))</f>
        <v>0</v>
      </c>
      <c r="X68" s="27" t="n">
        <f aca="false">IF(COUNT(Trigo!$E66:$Z66)=0,0,MAX(0,IF((X$6-$E$3)&lt;1,0,IFERROR(LOOKUP(2,1/(Trigo!$E66:INDEX(Trigo!$E66:$Z66,MIN(X$6-$E$3,22))&lt;&gt;""),Trigo!$E66:INDEX(Trigo!$E66:$Z66,MIN(X$6-$E$3,22))),0))-IF($G$2,0,IF((X$6-$G$3)&lt;1,0,IFERROR(LOOKUP(2,1/(Trigo!$E66:INDEX(Trigo!$E66:$Z66,MIN(X$6-$G$3,22))&lt;&gt;""),Trigo!$E66:INDEX(Trigo!$E66:$Z66,MIN(X$6-$G$3,22))),0)))))</f>
        <v>0</v>
      </c>
      <c r="Y68" s="27" t="n">
        <f aca="false">IF(COUNT(Trigo!$E66:$Z66)=0,0,MAX(0,IF((Y$6-$E$3)&lt;1,0,IFERROR(LOOKUP(2,1/(Trigo!$E66:INDEX(Trigo!$E66:$Z66,MIN(Y$6-$E$3,22))&lt;&gt;""),Trigo!$E66:INDEX(Trigo!$E66:$Z66,MIN(Y$6-$E$3,22))),0))-IF($G$2,0,IF((Y$6-$G$3)&lt;1,0,IFERROR(LOOKUP(2,1/(Trigo!$E66:INDEX(Trigo!$E66:$Z66,MIN(Y$6-$G$3,22))&lt;&gt;""),Trigo!$E66:INDEX(Trigo!$E66:$Z66,MIN(Y$6-$G$3,22))),0)))))</f>
        <v>0</v>
      </c>
      <c r="Z68" s="27" t="n">
        <f aca="false">IF(COUNT(Trigo!$E66:$Z66)=0,0,MAX(0,IF((Z$6-$E$3)&lt;1,0,IFERROR(LOOKUP(2,1/(Trigo!$E66:INDEX(Trigo!$E66:$Z66,MIN(Z$6-$E$3,22))&lt;&gt;""),Trigo!$E66:INDEX(Trigo!$E66:$Z66,MIN(Z$6-$E$3,22))),0))-IF($G$2,0,IF((Z$6-$G$3)&lt;1,0,IFERROR(LOOKUP(2,1/(Trigo!$E66:INDEX(Trigo!$E66:$Z66,MIN(Z$6-$G$3,22))&lt;&gt;""),Trigo!$E66:INDEX(Trigo!$E66:$Z66,MIN(Z$6-$G$3,22))),0)))))</f>
        <v>0</v>
      </c>
      <c r="AA68" s="27" t="n">
        <f aca="false">IF(COUNT(Trigo!$E66:$Z66)=0,0,MAX(0,IF((AA$6-$E$3)&lt;1,0,IFERROR(LOOKUP(2,1/(Trigo!$E66:INDEX(Trigo!$E66:$Z66,MIN(AA$6-$E$3,22))&lt;&gt;""),Trigo!$E66:INDEX(Trigo!$E66:$Z66,MIN(AA$6-$E$3,22))),0))-IF($G$2,0,IF((AA$6-$G$3)&lt;1,0,IFERROR(LOOKUP(2,1/(Trigo!$E66:INDEX(Trigo!$E66:$Z66,MIN(AA$6-$G$3,22))&lt;&gt;""),Trigo!$E66:INDEX(Trigo!$E66:$Z66,MIN(AA$6-$G$3,22))),0)))))</f>
        <v>0</v>
      </c>
      <c r="AB68" s="27" t="n">
        <f aca="false">IF(COUNT(Trigo!$E66:$Z66)=0,0,MAX(0,IF((AB$6-$E$3)&lt;1,0,IFERROR(LOOKUP(2,1/(Trigo!$E66:INDEX(Trigo!$E66:$Z66,MIN(AB$6-$E$3,22))&lt;&gt;""),Trigo!$E66:INDEX(Trigo!$E66:$Z66,MIN(AB$6-$E$3,22))),0))-IF($G$2,0,IF((AB$6-$G$3)&lt;1,0,IFERROR(LOOKUP(2,1/(Trigo!$E66:INDEX(Trigo!$E66:$Z66,MIN(AB$6-$G$3,22))&lt;&gt;""),Trigo!$E66:INDEX(Trigo!$E66:$Z66,MIN(AB$6-$G$3,22))),0)))))</f>
        <v>0</v>
      </c>
      <c r="AC68" s="27" t="n">
        <f aca="false">IF(COUNT(Trigo!$E66:$Z66)=0,0,MAX(0,IF((AC$6-$E$3)&lt;1,0,IFERROR(LOOKUP(2,1/(Trigo!$E66:INDEX(Trigo!$E66:$Z66,MIN(AC$6-$E$3,22))&lt;&gt;""),Trigo!$E66:INDEX(Trigo!$E66:$Z66,MIN(AC$6-$E$3,22))),0))-IF($G$2,0,IF((AC$6-$G$3)&lt;1,0,IFERROR(LOOKUP(2,1/(Trigo!$E66:INDEX(Trigo!$E66:$Z66,MIN(AC$6-$G$3,22))&lt;&gt;""),Trigo!$E66:INDEX(Trigo!$E66:$Z66,MIN(AC$6-$G$3,22))),0)))))</f>
        <v>0</v>
      </c>
      <c r="AD68" s="27" t="n">
        <f aca="false">IF(COUNT(Trigo!$E66:$Z66)=0,0,MAX(0,IF((AD$6-$E$3)&lt;1,0,IFERROR(LOOKUP(2,1/(Trigo!$E66:INDEX(Trigo!$E66:$Z66,MIN(AD$6-$E$3,22))&lt;&gt;""),Trigo!$E66:INDEX(Trigo!$E66:$Z66,MIN(AD$6-$E$3,22))),0))-IF($G$2,0,IF((AD$6-$G$3)&lt;1,0,IFERROR(LOOKUP(2,1/(Trigo!$E66:INDEX(Trigo!$E66:$Z66,MIN(AD$6-$G$3,22))&lt;&gt;""),Trigo!$E66:INDEX(Trigo!$E66:$Z66,MIN(AD$6-$G$3,22))),0)))))</f>
        <v>0</v>
      </c>
      <c r="AE68" s="27" t="n">
        <f aca="false">IF(COUNT(Trigo!$E66:$Z66)=0,0,MAX(0,IF((AE$6-$E$3)&lt;1,0,IFERROR(LOOKUP(2,1/(Trigo!$E66:INDEX(Trigo!$E66:$Z66,MIN(AE$6-$E$3,22))&lt;&gt;""),Trigo!$E66:INDEX(Trigo!$E66:$Z66,MIN(AE$6-$E$3,22))),0))-IF($G$2,0,IF((AE$6-$G$3)&lt;1,0,IFERROR(LOOKUP(2,1/(Trigo!$E66:INDEX(Trigo!$E66:$Z66,MIN(AE$6-$G$3,22))&lt;&gt;""),Trigo!$E66:INDEX(Trigo!$E66:$Z66,MIN(AE$6-$G$3,22))),0)))))</f>
        <v>0</v>
      </c>
      <c r="AF68" s="27" t="n">
        <f aca="false">IF(COUNT(Trigo!$E66:$Z66)=0,0,MAX(0,IF((AF$6-$E$3)&lt;1,0,IFERROR(LOOKUP(2,1/(Trigo!$E66:INDEX(Trigo!$E66:$Z66,MIN(AF$6-$E$3,22))&lt;&gt;""),Trigo!$E66:INDEX(Trigo!$E66:$Z66,MIN(AF$6-$E$3,22))),0))-IF($G$2,0,IF((AF$6-$G$3)&lt;1,0,IFERROR(LOOKUP(2,1/(Trigo!$E66:INDEX(Trigo!$E66:$Z66,MIN(AF$6-$G$3,22))&lt;&gt;""),Trigo!$E66:INDEX(Trigo!$E66:$Z66,MIN(AF$6-$G$3,22))),0)))))</f>
        <v>0</v>
      </c>
      <c r="AG68" s="27" t="n">
        <f aca="false">IF(COUNT(Trigo!$E66:$Z66)=0,0,MAX(0,IF((AG$6-$E$3)&lt;1,0,IFERROR(LOOKUP(2,1/(Trigo!$E66:INDEX(Trigo!$E66:$Z66,MIN(AG$6-$E$3,22))&lt;&gt;""),Trigo!$E66:INDEX(Trigo!$E66:$Z66,MIN(AG$6-$E$3,22))),0))-IF($G$2,0,IF((AG$6-$G$3)&lt;1,0,IFERROR(LOOKUP(2,1/(Trigo!$E66:INDEX(Trigo!$E66:$Z66,MIN(AG$6-$G$3,22))&lt;&gt;""),Trigo!$E66:INDEX(Trigo!$E66:$Z66,MIN(AG$6-$G$3,22))),0)))))</f>
        <v>0</v>
      </c>
      <c r="AH68" s="27" t="n">
        <f aca="false">IF(COUNT(Trigo!$E66:$Z66)=0,0,MAX(0,IF((AH$6-$E$3)&lt;1,0,IFERROR(LOOKUP(2,1/(Trigo!$E66:INDEX(Trigo!$E66:$Z66,MIN(AH$6-$E$3,22))&lt;&gt;""),Trigo!$E66:INDEX(Trigo!$E66:$Z66,MIN(AH$6-$E$3,22))),0))-IF($G$2,0,IF((AH$6-$G$3)&lt;1,0,IFERROR(LOOKUP(2,1/(Trigo!$E66:INDEX(Trigo!$E66:$Z66,MIN(AH$6-$G$3,22))&lt;&gt;""),Trigo!$E66:INDEX(Trigo!$E66:$Z66,MIN(AH$6-$G$3,22))),0)))))</f>
        <v>0</v>
      </c>
      <c r="AI68" s="27" t="n">
        <f aca="false">IF(COUNT(Trigo!$E66:$Z66)=0,0,MAX(0,IF((AI$6-$E$3)&lt;1,0,IFERROR(LOOKUP(2,1/(Trigo!$E66:INDEX(Trigo!$E66:$Z66,MIN(AI$6-$E$3,22))&lt;&gt;""),Trigo!$E66:INDEX(Trigo!$E66:$Z66,MIN(AI$6-$E$3,22))),0))-IF($G$2,0,IF((AI$6-$G$3)&lt;1,0,IFERROR(LOOKUP(2,1/(Trigo!$E66:INDEX(Trigo!$E66:$Z66,MIN(AI$6-$G$3,22))&lt;&gt;""),Trigo!$E66:INDEX(Trigo!$E66:$Z66,MIN(AI$6-$G$3,22))),0)))))</f>
        <v>0</v>
      </c>
      <c r="AJ68" s="27" t="n">
        <f aca="false">IF(COUNT(Trigo!$E66:$Z66)=0,0,MAX(0,IF((AJ$6-$E$3)&lt;1,0,IFERROR(LOOKUP(2,1/(Trigo!$E66:INDEX(Trigo!$E66:$Z66,MIN(AJ$6-$E$3,22))&lt;&gt;""),Trigo!$E66:INDEX(Trigo!$E66:$Z66,MIN(AJ$6-$E$3,22))),0))-IF($G$2,0,IF((AJ$6-$G$3)&lt;1,0,IFERROR(LOOKUP(2,1/(Trigo!$E66:INDEX(Trigo!$E66:$Z66,MIN(AJ$6-$G$3,22))&lt;&gt;""),Trigo!$E66:INDEX(Trigo!$E66:$Z66,MIN(AJ$6-$G$3,22))),0)))))</f>
        <v>0</v>
      </c>
      <c r="AK68" s="27" t="n">
        <f aca="false">IF(COUNT(Trigo!$E66:$Z66)=0,0,MAX(0,IF((AK$6-$E$3)&lt;1,0,IFERROR(LOOKUP(2,1/(Trigo!$E66:INDEX(Trigo!$E66:$Z66,MIN(AK$6-$E$3,22))&lt;&gt;""),Trigo!$E66:INDEX(Trigo!$E66:$Z66,MIN(AK$6-$E$3,22))),0))-IF($G$2,0,IF((AK$6-$G$3)&lt;1,0,IFERROR(LOOKUP(2,1/(Trigo!$E66:INDEX(Trigo!$E66:$Z66,MIN(AK$6-$G$3,22))&lt;&gt;""),Trigo!$E66:INDEX(Trigo!$E66:$Z66,MIN(AK$6-$G$3,22))),0)))))</f>
        <v>0</v>
      </c>
      <c r="AL68" s="27" t="n">
        <f aca="false">IF(COUNT(Trigo!$E66:$Z66)=0,0,MAX(0,IF((AL$6-$E$3)&lt;1,0,IFERROR(LOOKUP(2,1/(Trigo!$E66:INDEX(Trigo!$E66:$Z66,MIN(AL$6-$E$3,22))&lt;&gt;""),Trigo!$E66:INDEX(Trigo!$E66:$Z66,MIN(AL$6-$E$3,22))),0))-IF($G$2,0,IF((AL$6-$G$3)&lt;1,0,IFERROR(LOOKUP(2,1/(Trigo!$E66:INDEX(Trigo!$E66:$Z66,MIN(AL$6-$G$3,22))&lt;&gt;""),Trigo!$E66:INDEX(Trigo!$E66:$Z66,MIN(AL$6-$G$3,22))),0)))))</f>
        <v>0</v>
      </c>
      <c r="AM68" s="27" t="n">
        <f aca="false">IF(COUNT(Trigo!$E66:$Z66)=0,0,MAX(0,IF((AM$6-$E$3)&lt;1,0,IFERROR(LOOKUP(2,1/(Trigo!$E66:INDEX(Trigo!$E66:$Z66,MIN(AM$6-$E$3,22))&lt;&gt;""),Trigo!$E66:INDEX(Trigo!$E66:$Z66,MIN(AM$6-$E$3,22))),0))-IF($G$2,0,IF((AM$6-$G$3)&lt;1,0,IFERROR(LOOKUP(2,1/(Trigo!$E66:INDEX(Trigo!$E66:$Z66,MIN(AM$6-$G$3,22))&lt;&gt;""),Trigo!$E66:INDEX(Trigo!$E66:$Z66,MIN(AM$6-$G$3,22))),0)))))</f>
        <v>0</v>
      </c>
      <c r="AN68" s="27" t="n">
        <f aca="false">IF(COUNT(Trigo!$E66:$Z66)=0,0,MAX(0,IF((AN$6-$E$3)&lt;1,0,IFERROR(LOOKUP(2,1/(Trigo!$E66:INDEX(Trigo!$E66:$Z66,MIN(AN$6-$E$3,22))&lt;&gt;""),Trigo!$E66:INDEX(Trigo!$E66:$Z66,MIN(AN$6-$E$3,22))),0))-IF($G$2,0,IF((AN$6-$G$3)&lt;1,0,IFERROR(LOOKUP(2,1/(Trigo!$E66:INDEX(Trigo!$E66:$Z66,MIN(AN$6-$G$3,22))&lt;&gt;""),Trigo!$E66:INDEX(Trigo!$E66:$Z66,MIN(AN$6-$G$3,22))),0)))))</f>
        <v>0</v>
      </c>
      <c r="AO68" s="27" t="n">
        <f aca="false">IF(COUNT(Trigo!$E66:$Z66)=0,0,MAX(0,IF((AO$6-$E$3)&lt;1,0,IFERROR(LOOKUP(2,1/(Trigo!$E66:INDEX(Trigo!$E66:$Z66,MIN(AO$6-$E$3,22))&lt;&gt;""),Trigo!$E66:INDEX(Trigo!$E66:$Z66,MIN(AO$6-$E$3,22))),0))-IF($G$2,0,IF((AO$6-$G$3)&lt;1,0,IFERROR(LOOKUP(2,1/(Trigo!$E66:INDEX(Trigo!$E66:$Z66,MIN(AO$6-$G$3,22))&lt;&gt;""),Trigo!$E66:INDEX(Trigo!$E66:$Z66,MIN(AO$6-$G$3,22))),0)))))</f>
        <v>0</v>
      </c>
      <c r="AP68" s="27" t="n">
        <f aca="false">IF(COUNT(Trigo!$E66:$Z66)=0,0,MAX(0,IF((AP$6-$E$3)&lt;1,0,IFERROR(LOOKUP(2,1/(Trigo!$E66:INDEX(Trigo!$E66:$Z66,MIN(AP$6-$E$3,22))&lt;&gt;""),Trigo!$E66:INDEX(Trigo!$E66:$Z66,MIN(AP$6-$E$3,22))),0))-IF($G$2,0,IF((AP$6-$G$3)&lt;1,0,IFERROR(LOOKUP(2,1/(Trigo!$E66:INDEX(Trigo!$E66:$Z66,MIN(AP$6-$G$3,22))&lt;&gt;""),Trigo!$E66:INDEX(Trigo!$E66:$Z66,MIN(AP$6-$G$3,22))),0)))))</f>
        <v>0</v>
      </c>
      <c r="AQ68" s="27" t="n">
        <f aca="false">IF(COUNT(Trigo!$E66:$Z66)=0,0,MAX(0,IF((AQ$6-$E$3)&lt;1,0,IFERROR(LOOKUP(2,1/(Trigo!$E66:INDEX(Trigo!$E66:$Z66,MIN(AQ$6-$E$3,22))&lt;&gt;""),Trigo!$E66:INDEX(Trigo!$E66:$Z66,MIN(AQ$6-$E$3,22))),0))-IF($G$2,0,IF((AQ$6-$G$3)&lt;1,0,IFERROR(LOOKUP(2,1/(Trigo!$E66:INDEX(Trigo!$E66:$Z66,MIN(AQ$6-$G$3,22))&lt;&gt;""),Trigo!$E66:INDEX(Trigo!$E66:$Z66,MIN(AQ$6-$G$3,22))),0)))))</f>
        <v>0</v>
      </c>
      <c r="AR68" s="27" t="n">
        <f aca="false">IF(COUNT(Trigo!$E66:$Z66)=0,0,MAX(0,IF((AR$6-$E$3)&lt;1,0,IFERROR(LOOKUP(2,1/(Trigo!$E66:INDEX(Trigo!$E66:$Z66,MIN(AR$6-$E$3,22))&lt;&gt;""),Trigo!$E66:INDEX(Trigo!$E66:$Z66,MIN(AR$6-$E$3,22))),0))-IF($G$2,0,IF((AR$6-$G$3)&lt;1,0,IFERROR(LOOKUP(2,1/(Trigo!$E66:INDEX(Trigo!$E66:$Z66,MIN(AR$6-$G$3,22))&lt;&gt;""),Trigo!$E66:INDEX(Trigo!$E66:$Z66,MIN(AR$6-$G$3,22))),0)))))</f>
        <v>0</v>
      </c>
      <c r="AS68" s="27" t="n">
        <f aca="false">IF(COUNT(Trigo!$E66:$Z66)=0,0,MAX(0,IF((AS$6-$E$3)&lt;1,0,IFERROR(LOOKUP(2,1/(Trigo!$E66:INDEX(Trigo!$E66:$Z66,MIN(AS$6-$E$3,22))&lt;&gt;""),Trigo!$E66:INDEX(Trigo!$E66:$Z66,MIN(AS$6-$E$3,22))),0))-IF($G$2,0,IF((AS$6-$G$3)&lt;1,0,IFERROR(LOOKUP(2,1/(Trigo!$E66:INDEX(Trigo!$E66:$Z66,MIN(AS$6-$G$3,22))&lt;&gt;""),Trigo!$E66:INDEX(Trigo!$E66:$Z66,MIN(AS$6-$G$3,22))),0)))))</f>
        <v>0</v>
      </c>
      <c r="AT68" s="27" t="n">
        <f aca="false">IF(COUNT(Trigo!$E66:$Z66)=0,0,MAX(0,IF((AT$6-$E$3)&lt;1,0,IFERROR(LOOKUP(2,1/(Trigo!$E66:INDEX(Trigo!$E66:$Z66,MIN(AT$6-$E$3,22))&lt;&gt;""),Trigo!$E66:INDEX(Trigo!$E66:$Z66,MIN(AT$6-$E$3,22))),0))-IF($G$2,0,IF((AT$6-$G$3)&lt;1,0,IFERROR(LOOKUP(2,1/(Trigo!$E66:INDEX(Trigo!$E66:$Z66,MIN(AT$6-$G$3,22))&lt;&gt;""),Trigo!$E66:INDEX(Trigo!$E66:$Z66,MIN(AT$6-$G$3,22))),0)))))</f>
        <v>0</v>
      </c>
      <c r="AU68" s="27" t="n">
        <f aca="false">IF(COUNT(Trigo!$E66:$Z66)=0,0,MAX(0,IF((AU$6-$E$3)&lt;1,0,IFERROR(LOOKUP(2,1/(Trigo!$E66:INDEX(Trigo!$E66:$Z66,MIN(AU$6-$E$3,22))&lt;&gt;""),Trigo!$E66:INDEX(Trigo!$E66:$Z66,MIN(AU$6-$E$3,22))),0))-IF($G$2,0,IF((AU$6-$G$3)&lt;1,0,IFERROR(LOOKUP(2,1/(Trigo!$E66:INDEX(Trigo!$E66:$Z66,MIN(AU$6-$G$3,22))&lt;&gt;""),Trigo!$E66:INDEX(Trigo!$E66:$Z66,MIN(AU$6-$G$3,22))),0)))))</f>
        <v>0</v>
      </c>
      <c r="AV68" s="27" t="n">
        <f aca="false">IF(COUNT(Trigo!$E66:$Z66)=0,0,MAX(0,IF((AV$6-$E$3)&lt;1,0,IFERROR(LOOKUP(2,1/(Trigo!$E66:INDEX(Trigo!$E66:$Z66,MIN(AV$6-$E$3,22))&lt;&gt;""),Trigo!$E66:INDEX(Trigo!$E66:$Z66,MIN(AV$6-$E$3,22))),0))-IF($G$2,0,IF((AV$6-$G$3)&lt;1,0,IFERROR(LOOKUP(2,1/(Trigo!$E66:INDEX(Trigo!$E66:$Z66,MIN(AV$6-$G$3,22))&lt;&gt;""),Trigo!$E66:INDEX(Trigo!$E66:$Z66,MIN(AV$6-$G$3,22))),0)))))</f>
        <v>0</v>
      </c>
      <c r="AW68" s="27" t="n">
        <f aca="false">IF(COUNT(Trigo!$E66:$Z66)=0,0,MAX(0,IF((AW$6-$E$3)&lt;1,0,IFERROR(LOOKUP(2,1/(Trigo!$E66:INDEX(Trigo!$E66:$Z66,MIN(AW$6-$E$3,22))&lt;&gt;""),Trigo!$E66:INDEX(Trigo!$E66:$Z66,MIN(AW$6-$E$3,22))),0))-IF($G$2,0,IF((AW$6-$G$3)&lt;1,0,IFERROR(LOOKUP(2,1/(Trigo!$E66:INDEX(Trigo!$E66:$Z66,MIN(AW$6-$G$3,22))&lt;&gt;""),Trigo!$E66:INDEX(Trigo!$E66:$Z66,MIN(AW$6-$G$3,22))),0)))))</f>
        <v>0</v>
      </c>
      <c r="AX68" s="27" t="n">
        <f aca="false">IF(COUNT(Trigo!$E66:$Z66)=0,0,MAX(0,IF((AX$6-$E$3)&lt;1,0,IFERROR(LOOKUP(2,1/(Trigo!$E66:INDEX(Trigo!$E66:$Z66,MIN(AX$6-$E$3,22))&lt;&gt;""),Trigo!$E66:INDEX(Trigo!$E66:$Z66,MIN(AX$6-$E$3,22))),0))-IF($G$2,0,IF((AX$6-$G$3)&lt;1,0,IFERROR(LOOKUP(2,1/(Trigo!$E66:INDEX(Trigo!$E66:$Z66,MIN(AX$6-$G$3,22))&lt;&gt;""),Trigo!$E66:INDEX(Trigo!$E66:$Z66,MIN(AX$6-$G$3,22))),0)))))</f>
        <v>0</v>
      </c>
      <c r="AY68" s="27" t="n">
        <f aca="false">IF(COUNT(Trigo!$E66:$Z66)=0,0,MAX(0,IF((AY$6-$E$3)&lt;1,0,IFERROR(LOOKUP(2,1/(Trigo!$E66:INDEX(Trigo!$E66:$Z66,MIN(AY$6-$E$3,22))&lt;&gt;""),Trigo!$E66:INDEX(Trigo!$E66:$Z66,MIN(AY$6-$E$3,22))),0))-IF($G$2,0,IF((AY$6-$G$3)&lt;1,0,IFERROR(LOOKUP(2,1/(Trigo!$E66:INDEX(Trigo!$E66:$Z66,MIN(AY$6-$G$3,22))&lt;&gt;""),Trigo!$E66:INDEX(Trigo!$E66:$Z66,MIN(AY$6-$G$3,22))),0)))))</f>
        <v>0</v>
      </c>
      <c r="AZ68" s="27" t="n">
        <f aca="false">IF(COUNT(Trigo!$E66:$Z66)=0,0,MAX(0,IF((AZ$6-$E$3)&lt;1,0,IFERROR(LOOKUP(2,1/(Trigo!$E66:INDEX(Trigo!$E66:$Z66,MIN(AZ$6-$E$3,22))&lt;&gt;""),Trigo!$E66:INDEX(Trigo!$E66:$Z66,MIN(AZ$6-$E$3,22))),0))-IF($G$2,0,IF((AZ$6-$G$3)&lt;1,0,IFERROR(LOOKUP(2,1/(Trigo!$E66:INDEX(Trigo!$E66:$Z66,MIN(AZ$6-$G$3,22))&lt;&gt;""),Trigo!$E66:INDEX(Trigo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IF(COUNT(Trigo!$E67:$Z67)&gt;0,N(Trigo!$D67),0)</f>
        <v>0</v>
      </c>
      <c r="E69" s="27" t="n">
        <f aca="false">IF(COUNT(Trigo!$E67:$Z67)=0,0,MAX(0,IF((E$6-$E$3)&lt;1,0,IFERROR(LOOKUP(2,1/(Trigo!$E67:INDEX(Trigo!$E67:$Z67,MIN(E$6-$E$3,22))&lt;&gt;""),Trigo!$E67:INDEX(Trigo!$E67:$Z67,MIN(E$6-$E$3,22))),0))-IF($G$2,0,IF((E$6-$G$3)&lt;1,0,IFERROR(LOOKUP(2,1/(Trigo!$E67:INDEX(Trigo!$E67:$Z67,MIN(E$6-$G$3,22))&lt;&gt;""),Trigo!$E67:INDEX(Trigo!$E67:$Z67,MIN(E$6-$G$3,22))),0)))))</f>
        <v>0</v>
      </c>
      <c r="F69" s="27" t="n">
        <f aca="false">IF(COUNT(Trigo!$E67:$Z67)=0,0,MAX(0,IF((F$6-$E$3)&lt;1,0,IFERROR(LOOKUP(2,1/(Trigo!$E67:INDEX(Trigo!$E67:$Z67,MIN(F$6-$E$3,22))&lt;&gt;""),Trigo!$E67:INDEX(Trigo!$E67:$Z67,MIN(F$6-$E$3,22))),0))-IF($G$2,0,IF((F$6-$G$3)&lt;1,0,IFERROR(LOOKUP(2,1/(Trigo!$E67:INDEX(Trigo!$E67:$Z67,MIN(F$6-$G$3,22))&lt;&gt;""),Trigo!$E67:INDEX(Trigo!$E67:$Z67,MIN(F$6-$G$3,22))),0)))))</f>
        <v>0</v>
      </c>
      <c r="G69" s="27" t="n">
        <f aca="false">IF(COUNT(Trigo!$E67:$Z67)=0,0,MAX(0,IF((G$6-$E$3)&lt;1,0,IFERROR(LOOKUP(2,1/(Trigo!$E67:INDEX(Trigo!$E67:$Z67,MIN(G$6-$E$3,22))&lt;&gt;""),Trigo!$E67:INDEX(Trigo!$E67:$Z67,MIN(G$6-$E$3,22))),0))-IF($G$2,0,IF((G$6-$G$3)&lt;1,0,IFERROR(LOOKUP(2,1/(Trigo!$E67:INDEX(Trigo!$E67:$Z67,MIN(G$6-$G$3,22))&lt;&gt;""),Trigo!$E67:INDEX(Trigo!$E67:$Z67,MIN(G$6-$G$3,22))),0)))))</f>
        <v>0</v>
      </c>
      <c r="H69" s="27" t="n">
        <f aca="false">IF(COUNT(Trigo!$E67:$Z67)=0,0,MAX(0,IF((H$6-$E$3)&lt;1,0,IFERROR(LOOKUP(2,1/(Trigo!$E67:INDEX(Trigo!$E67:$Z67,MIN(H$6-$E$3,22))&lt;&gt;""),Trigo!$E67:INDEX(Trigo!$E67:$Z67,MIN(H$6-$E$3,22))),0))-IF($G$2,0,IF((H$6-$G$3)&lt;1,0,IFERROR(LOOKUP(2,1/(Trigo!$E67:INDEX(Trigo!$E67:$Z67,MIN(H$6-$G$3,22))&lt;&gt;""),Trigo!$E67:INDEX(Trigo!$E67:$Z67,MIN(H$6-$G$3,22))),0)))))</f>
        <v>0</v>
      </c>
      <c r="I69" s="27" t="n">
        <f aca="false">IF(COUNT(Trigo!$E67:$Z67)=0,0,MAX(0,IF((I$6-$E$3)&lt;1,0,IFERROR(LOOKUP(2,1/(Trigo!$E67:INDEX(Trigo!$E67:$Z67,MIN(I$6-$E$3,22))&lt;&gt;""),Trigo!$E67:INDEX(Trigo!$E67:$Z67,MIN(I$6-$E$3,22))),0))-IF($G$2,0,IF((I$6-$G$3)&lt;1,0,IFERROR(LOOKUP(2,1/(Trigo!$E67:INDEX(Trigo!$E67:$Z67,MIN(I$6-$G$3,22))&lt;&gt;""),Trigo!$E67:INDEX(Trigo!$E67:$Z67,MIN(I$6-$G$3,22))),0)))))</f>
        <v>0</v>
      </c>
      <c r="J69" s="27" t="n">
        <f aca="false">IF(COUNT(Trigo!$E67:$Z67)=0,0,MAX(0,IF((J$6-$E$3)&lt;1,0,IFERROR(LOOKUP(2,1/(Trigo!$E67:INDEX(Trigo!$E67:$Z67,MIN(J$6-$E$3,22))&lt;&gt;""),Trigo!$E67:INDEX(Trigo!$E67:$Z67,MIN(J$6-$E$3,22))),0))-IF($G$2,0,IF((J$6-$G$3)&lt;1,0,IFERROR(LOOKUP(2,1/(Trigo!$E67:INDEX(Trigo!$E67:$Z67,MIN(J$6-$G$3,22))&lt;&gt;""),Trigo!$E67:INDEX(Trigo!$E67:$Z67,MIN(J$6-$G$3,22))),0)))))</f>
        <v>0</v>
      </c>
      <c r="K69" s="27" t="n">
        <f aca="false">IF(COUNT(Trigo!$E67:$Z67)=0,0,MAX(0,IF((K$6-$E$3)&lt;1,0,IFERROR(LOOKUP(2,1/(Trigo!$E67:INDEX(Trigo!$E67:$Z67,MIN(K$6-$E$3,22))&lt;&gt;""),Trigo!$E67:INDEX(Trigo!$E67:$Z67,MIN(K$6-$E$3,22))),0))-IF($G$2,0,IF((K$6-$G$3)&lt;1,0,IFERROR(LOOKUP(2,1/(Trigo!$E67:INDEX(Trigo!$E67:$Z67,MIN(K$6-$G$3,22))&lt;&gt;""),Trigo!$E67:INDEX(Trigo!$E67:$Z67,MIN(K$6-$G$3,22))),0)))))</f>
        <v>0</v>
      </c>
      <c r="L69" s="27" t="n">
        <f aca="false">IF(COUNT(Trigo!$E67:$Z67)=0,0,MAX(0,IF((L$6-$E$3)&lt;1,0,IFERROR(LOOKUP(2,1/(Trigo!$E67:INDEX(Trigo!$E67:$Z67,MIN(L$6-$E$3,22))&lt;&gt;""),Trigo!$E67:INDEX(Trigo!$E67:$Z67,MIN(L$6-$E$3,22))),0))-IF($G$2,0,IF((L$6-$G$3)&lt;1,0,IFERROR(LOOKUP(2,1/(Trigo!$E67:INDEX(Trigo!$E67:$Z67,MIN(L$6-$G$3,22))&lt;&gt;""),Trigo!$E67:INDEX(Trigo!$E67:$Z67,MIN(L$6-$G$3,22))),0)))))</f>
        <v>0</v>
      </c>
      <c r="M69" s="27" t="n">
        <f aca="false">IF(COUNT(Trigo!$E67:$Z67)=0,0,MAX(0,IF((M$6-$E$3)&lt;1,0,IFERROR(LOOKUP(2,1/(Trigo!$E67:INDEX(Trigo!$E67:$Z67,MIN(M$6-$E$3,22))&lt;&gt;""),Trigo!$E67:INDEX(Trigo!$E67:$Z67,MIN(M$6-$E$3,22))),0))-IF($G$2,0,IF((M$6-$G$3)&lt;1,0,IFERROR(LOOKUP(2,1/(Trigo!$E67:INDEX(Trigo!$E67:$Z67,MIN(M$6-$G$3,22))&lt;&gt;""),Trigo!$E67:INDEX(Trigo!$E67:$Z67,MIN(M$6-$G$3,22))),0)))))</f>
        <v>0</v>
      </c>
      <c r="N69" s="27" t="n">
        <f aca="false">IF(COUNT(Trigo!$E67:$Z67)=0,0,MAX(0,IF((N$6-$E$3)&lt;1,0,IFERROR(LOOKUP(2,1/(Trigo!$E67:INDEX(Trigo!$E67:$Z67,MIN(N$6-$E$3,22))&lt;&gt;""),Trigo!$E67:INDEX(Trigo!$E67:$Z67,MIN(N$6-$E$3,22))),0))-IF($G$2,0,IF((N$6-$G$3)&lt;1,0,IFERROR(LOOKUP(2,1/(Trigo!$E67:INDEX(Trigo!$E67:$Z67,MIN(N$6-$G$3,22))&lt;&gt;""),Trigo!$E67:INDEX(Trigo!$E67:$Z67,MIN(N$6-$G$3,22))),0)))))</f>
        <v>0</v>
      </c>
      <c r="O69" s="27" t="n">
        <f aca="false">IF(COUNT(Trigo!$E67:$Z67)=0,0,MAX(0,IF((O$6-$E$3)&lt;1,0,IFERROR(LOOKUP(2,1/(Trigo!$E67:INDEX(Trigo!$E67:$Z67,MIN(O$6-$E$3,22))&lt;&gt;""),Trigo!$E67:INDEX(Trigo!$E67:$Z67,MIN(O$6-$E$3,22))),0))-IF($G$2,0,IF((O$6-$G$3)&lt;1,0,IFERROR(LOOKUP(2,1/(Trigo!$E67:INDEX(Trigo!$E67:$Z67,MIN(O$6-$G$3,22))&lt;&gt;""),Trigo!$E67:INDEX(Trigo!$E67:$Z67,MIN(O$6-$G$3,22))),0)))))</f>
        <v>0</v>
      </c>
      <c r="P69" s="27" t="n">
        <f aca="false">IF(COUNT(Trigo!$E67:$Z67)=0,0,MAX(0,IF((P$6-$E$3)&lt;1,0,IFERROR(LOOKUP(2,1/(Trigo!$E67:INDEX(Trigo!$E67:$Z67,MIN(P$6-$E$3,22))&lt;&gt;""),Trigo!$E67:INDEX(Trigo!$E67:$Z67,MIN(P$6-$E$3,22))),0))-IF($G$2,0,IF((P$6-$G$3)&lt;1,0,IFERROR(LOOKUP(2,1/(Trigo!$E67:INDEX(Trigo!$E67:$Z67,MIN(P$6-$G$3,22))&lt;&gt;""),Trigo!$E67:INDEX(Trigo!$E67:$Z67,MIN(P$6-$G$3,22))),0)))))</f>
        <v>0</v>
      </c>
      <c r="Q69" s="27" t="n">
        <f aca="false">IF(COUNT(Trigo!$E67:$Z67)=0,0,MAX(0,IF((Q$6-$E$3)&lt;1,0,IFERROR(LOOKUP(2,1/(Trigo!$E67:INDEX(Trigo!$E67:$Z67,MIN(Q$6-$E$3,22))&lt;&gt;""),Trigo!$E67:INDEX(Trigo!$E67:$Z67,MIN(Q$6-$E$3,22))),0))-IF($G$2,0,IF((Q$6-$G$3)&lt;1,0,IFERROR(LOOKUP(2,1/(Trigo!$E67:INDEX(Trigo!$E67:$Z67,MIN(Q$6-$G$3,22))&lt;&gt;""),Trigo!$E67:INDEX(Trigo!$E67:$Z67,MIN(Q$6-$G$3,22))),0)))))</f>
        <v>0</v>
      </c>
      <c r="R69" s="27" t="n">
        <f aca="false">IF(COUNT(Trigo!$E67:$Z67)=0,0,MAX(0,IF((R$6-$E$3)&lt;1,0,IFERROR(LOOKUP(2,1/(Trigo!$E67:INDEX(Trigo!$E67:$Z67,MIN(R$6-$E$3,22))&lt;&gt;""),Trigo!$E67:INDEX(Trigo!$E67:$Z67,MIN(R$6-$E$3,22))),0))-IF($G$2,0,IF((R$6-$G$3)&lt;1,0,IFERROR(LOOKUP(2,1/(Trigo!$E67:INDEX(Trigo!$E67:$Z67,MIN(R$6-$G$3,22))&lt;&gt;""),Trigo!$E67:INDEX(Trigo!$E67:$Z67,MIN(R$6-$G$3,22))),0)))))</f>
        <v>0</v>
      </c>
      <c r="S69" s="27" t="n">
        <f aca="false">IF(COUNT(Trigo!$E67:$Z67)=0,0,MAX(0,IF((S$6-$E$3)&lt;1,0,IFERROR(LOOKUP(2,1/(Trigo!$E67:INDEX(Trigo!$E67:$Z67,MIN(S$6-$E$3,22))&lt;&gt;""),Trigo!$E67:INDEX(Trigo!$E67:$Z67,MIN(S$6-$E$3,22))),0))-IF($G$2,0,IF((S$6-$G$3)&lt;1,0,IFERROR(LOOKUP(2,1/(Trigo!$E67:INDEX(Trigo!$E67:$Z67,MIN(S$6-$G$3,22))&lt;&gt;""),Trigo!$E67:INDEX(Trigo!$E67:$Z67,MIN(S$6-$G$3,22))),0)))))</f>
        <v>0</v>
      </c>
      <c r="T69" s="27" t="n">
        <f aca="false">IF(COUNT(Trigo!$E67:$Z67)=0,0,MAX(0,IF((T$6-$E$3)&lt;1,0,IFERROR(LOOKUP(2,1/(Trigo!$E67:INDEX(Trigo!$E67:$Z67,MIN(T$6-$E$3,22))&lt;&gt;""),Trigo!$E67:INDEX(Trigo!$E67:$Z67,MIN(T$6-$E$3,22))),0))-IF($G$2,0,IF((T$6-$G$3)&lt;1,0,IFERROR(LOOKUP(2,1/(Trigo!$E67:INDEX(Trigo!$E67:$Z67,MIN(T$6-$G$3,22))&lt;&gt;""),Trigo!$E67:INDEX(Trigo!$E67:$Z67,MIN(T$6-$G$3,22))),0)))))</f>
        <v>0</v>
      </c>
      <c r="U69" s="27" t="n">
        <f aca="false">IF(COUNT(Trigo!$E67:$Z67)=0,0,MAX(0,IF((U$6-$E$3)&lt;1,0,IFERROR(LOOKUP(2,1/(Trigo!$E67:INDEX(Trigo!$E67:$Z67,MIN(U$6-$E$3,22))&lt;&gt;""),Trigo!$E67:INDEX(Trigo!$E67:$Z67,MIN(U$6-$E$3,22))),0))-IF($G$2,0,IF((U$6-$G$3)&lt;1,0,IFERROR(LOOKUP(2,1/(Trigo!$E67:INDEX(Trigo!$E67:$Z67,MIN(U$6-$G$3,22))&lt;&gt;""),Trigo!$E67:INDEX(Trigo!$E67:$Z67,MIN(U$6-$G$3,22))),0)))))</f>
        <v>0</v>
      </c>
      <c r="V69" s="27" t="n">
        <f aca="false">IF(COUNT(Trigo!$E67:$Z67)=0,0,MAX(0,IF((V$6-$E$3)&lt;1,0,IFERROR(LOOKUP(2,1/(Trigo!$E67:INDEX(Trigo!$E67:$Z67,MIN(V$6-$E$3,22))&lt;&gt;""),Trigo!$E67:INDEX(Trigo!$E67:$Z67,MIN(V$6-$E$3,22))),0))-IF($G$2,0,IF((V$6-$G$3)&lt;1,0,IFERROR(LOOKUP(2,1/(Trigo!$E67:INDEX(Trigo!$E67:$Z67,MIN(V$6-$G$3,22))&lt;&gt;""),Trigo!$E67:INDEX(Trigo!$E67:$Z67,MIN(V$6-$G$3,22))),0)))))</f>
        <v>0</v>
      </c>
      <c r="W69" s="27" t="n">
        <f aca="false">IF(COUNT(Trigo!$E67:$Z67)=0,0,MAX(0,IF((W$6-$E$3)&lt;1,0,IFERROR(LOOKUP(2,1/(Trigo!$E67:INDEX(Trigo!$E67:$Z67,MIN(W$6-$E$3,22))&lt;&gt;""),Trigo!$E67:INDEX(Trigo!$E67:$Z67,MIN(W$6-$E$3,22))),0))-IF($G$2,0,IF((W$6-$G$3)&lt;1,0,IFERROR(LOOKUP(2,1/(Trigo!$E67:INDEX(Trigo!$E67:$Z67,MIN(W$6-$G$3,22))&lt;&gt;""),Trigo!$E67:INDEX(Trigo!$E67:$Z67,MIN(W$6-$G$3,22))),0)))))</f>
        <v>0</v>
      </c>
      <c r="X69" s="27" t="n">
        <f aca="false">IF(COUNT(Trigo!$E67:$Z67)=0,0,MAX(0,IF((X$6-$E$3)&lt;1,0,IFERROR(LOOKUP(2,1/(Trigo!$E67:INDEX(Trigo!$E67:$Z67,MIN(X$6-$E$3,22))&lt;&gt;""),Trigo!$E67:INDEX(Trigo!$E67:$Z67,MIN(X$6-$E$3,22))),0))-IF($G$2,0,IF((X$6-$G$3)&lt;1,0,IFERROR(LOOKUP(2,1/(Trigo!$E67:INDEX(Trigo!$E67:$Z67,MIN(X$6-$G$3,22))&lt;&gt;""),Trigo!$E67:INDEX(Trigo!$E67:$Z67,MIN(X$6-$G$3,22))),0)))))</f>
        <v>0</v>
      </c>
      <c r="Y69" s="27" t="n">
        <f aca="false">IF(COUNT(Trigo!$E67:$Z67)=0,0,MAX(0,IF((Y$6-$E$3)&lt;1,0,IFERROR(LOOKUP(2,1/(Trigo!$E67:INDEX(Trigo!$E67:$Z67,MIN(Y$6-$E$3,22))&lt;&gt;""),Trigo!$E67:INDEX(Trigo!$E67:$Z67,MIN(Y$6-$E$3,22))),0))-IF($G$2,0,IF((Y$6-$G$3)&lt;1,0,IFERROR(LOOKUP(2,1/(Trigo!$E67:INDEX(Trigo!$E67:$Z67,MIN(Y$6-$G$3,22))&lt;&gt;""),Trigo!$E67:INDEX(Trigo!$E67:$Z67,MIN(Y$6-$G$3,22))),0)))))</f>
        <v>0</v>
      </c>
      <c r="Z69" s="27" t="n">
        <f aca="false">IF(COUNT(Trigo!$E67:$Z67)=0,0,MAX(0,IF((Z$6-$E$3)&lt;1,0,IFERROR(LOOKUP(2,1/(Trigo!$E67:INDEX(Trigo!$E67:$Z67,MIN(Z$6-$E$3,22))&lt;&gt;""),Trigo!$E67:INDEX(Trigo!$E67:$Z67,MIN(Z$6-$E$3,22))),0))-IF($G$2,0,IF((Z$6-$G$3)&lt;1,0,IFERROR(LOOKUP(2,1/(Trigo!$E67:INDEX(Trigo!$E67:$Z67,MIN(Z$6-$G$3,22))&lt;&gt;""),Trigo!$E67:INDEX(Trigo!$E67:$Z67,MIN(Z$6-$G$3,22))),0)))))</f>
        <v>0</v>
      </c>
      <c r="AA69" s="27" t="n">
        <f aca="false">IF(COUNT(Trigo!$E67:$Z67)=0,0,MAX(0,IF((AA$6-$E$3)&lt;1,0,IFERROR(LOOKUP(2,1/(Trigo!$E67:INDEX(Trigo!$E67:$Z67,MIN(AA$6-$E$3,22))&lt;&gt;""),Trigo!$E67:INDEX(Trigo!$E67:$Z67,MIN(AA$6-$E$3,22))),0))-IF($G$2,0,IF((AA$6-$G$3)&lt;1,0,IFERROR(LOOKUP(2,1/(Trigo!$E67:INDEX(Trigo!$E67:$Z67,MIN(AA$6-$G$3,22))&lt;&gt;""),Trigo!$E67:INDEX(Trigo!$E67:$Z67,MIN(AA$6-$G$3,22))),0)))))</f>
        <v>0</v>
      </c>
      <c r="AB69" s="27" t="n">
        <f aca="false">IF(COUNT(Trigo!$E67:$Z67)=0,0,MAX(0,IF((AB$6-$E$3)&lt;1,0,IFERROR(LOOKUP(2,1/(Trigo!$E67:INDEX(Trigo!$E67:$Z67,MIN(AB$6-$E$3,22))&lt;&gt;""),Trigo!$E67:INDEX(Trigo!$E67:$Z67,MIN(AB$6-$E$3,22))),0))-IF($G$2,0,IF((AB$6-$G$3)&lt;1,0,IFERROR(LOOKUP(2,1/(Trigo!$E67:INDEX(Trigo!$E67:$Z67,MIN(AB$6-$G$3,22))&lt;&gt;""),Trigo!$E67:INDEX(Trigo!$E67:$Z67,MIN(AB$6-$G$3,22))),0)))))</f>
        <v>0</v>
      </c>
      <c r="AC69" s="27" t="n">
        <f aca="false">IF(COUNT(Trigo!$E67:$Z67)=0,0,MAX(0,IF((AC$6-$E$3)&lt;1,0,IFERROR(LOOKUP(2,1/(Trigo!$E67:INDEX(Trigo!$E67:$Z67,MIN(AC$6-$E$3,22))&lt;&gt;""),Trigo!$E67:INDEX(Trigo!$E67:$Z67,MIN(AC$6-$E$3,22))),0))-IF($G$2,0,IF((AC$6-$G$3)&lt;1,0,IFERROR(LOOKUP(2,1/(Trigo!$E67:INDEX(Trigo!$E67:$Z67,MIN(AC$6-$G$3,22))&lt;&gt;""),Trigo!$E67:INDEX(Trigo!$E67:$Z67,MIN(AC$6-$G$3,22))),0)))))</f>
        <v>0</v>
      </c>
      <c r="AD69" s="27" t="n">
        <f aca="false">IF(COUNT(Trigo!$E67:$Z67)=0,0,MAX(0,IF((AD$6-$E$3)&lt;1,0,IFERROR(LOOKUP(2,1/(Trigo!$E67:INDEX(Trigo!$E67:$Z67,MIN(AD$6-$E$3,22))&lt;&gt;""),Trigo!$E67:INDEX(Trigo!$E67:$Z67,MIN(AD$6-$E$3,22))),0))-IF($G$2,0,IF((AD$6-$G$3)&lt;1,0,IFERROR(LOOKUP(2,1/(Trigo!$E67:INDEX(Trigo!$E67:$Z67,MIN(AD$6-$G$3,22))&lt;&gt;""),Trigo!$E67:INDEX(Trigo!$E67:$Z67,MIN(AD$6-$G$3,22))),0)))))</f>
        <v>0</v>
      </c>
      <c r="AE69" s="27" t="n">
        <f aca="false">IF(COUNT(Trigo!$E67:$Z67)=0,0,MAX(0,IF((AE$6-$E$3)&lt;1,0,IFERROR(LOOKUP(2,1/(Trigo!$E67:INDEX(Trigo!$E67:$Z67,MIN(AE$6-$E$3,22))&lt;&gt;""),Trigo!$E67:INDEX(Trigo!$E67:$Z67,MIN(AE$6-$E$3,22))),0))-IF($G$2,0,IF((AE$6-$G$3)&lt;1,0,IFERROR(LOOKUP(2,1/(Trigo!$E67:INDEX(Trigo!$E67:$Z67,MIN(AE$6-$G$3,22))&lt;&gt;""),Trigo!$E67:INDEX(Trigo!$E67:$Z67,MIN(AE$6-$G$3,22))),0)))))</f>
        <v>0</v>
      </c>
      <c r="AF69" s="27" t="n">
        <f aca="false">IF(COUNT(Trigo!$E67:$Z67)=0,0,MAX(0,IF((AF$6-$E$3)&lt;1,0,IFERROR(LOOKUP(2,1/(Trigo!$E67:INDEX(Trigo!$E67:$Z67,MIN(AF$6-$E$3,22))&lt;&gt;""),Trigo!$E67:INDEX(Trigo!$E67:$Z67,MIN(AF$6-$E$3,22))),0))-IF($G$2,0,IF((AF$6-$G$3)&lt;1,0,IFERROR(LOOKUP(2,1/(Trigo!$E67:INDEX(Trigo!$E67:$Z67,MIN(AF$6-$G$3,22))&lt;&gt;""),Trigo!$E67:INDEX(Trigo!$E67:$Z67,MIN(AF$6-$G$3,22))),0)))))</f>
        <v>0</v>
      </c>
      <c r="AG69" s="27" t="n">
        <f aca="false">IF(COUNT(Trigo!$E67:$Z67)=0,0,MAX(0,IF((AG$6-$E$3)&lt;1,0,IFERROR(LOOKUP(2,1/(Trigo!$E67:INDEX(Trigo!$E67:$Z67,MIN(AG$6-$E$3,22))&lt;&gt;""),Trigo!$E67:INDEX(Trigo!$E67:$Z67,MIN(AG$6-$E$3,22))),0))-IF($G$2,0,IF((AG$6-$G$3)&lt;1,0,IFERROR(LOOKUP(2,1/(Trigo!$E67:INDEX(Trigo!$E67:$Z67,MIN(AG$6-$G$3,22))&lt;&gt;""),Trigo!$E67:INDEX(Trigo!$E67:$Z67,MIN(AG$6-$G$3,22))),0)))))</f>
        <v>0</v>
      </c>
      <c r="AH69" s="27" t="n">
        <f aca="false">IF(COUNT(Trigo!$E67:$Z67)=0,0,MAX(0,IF((AH$6-$E$3)&lt;1,0,IFERROR(LOOKUP(2,1/(Trigo!$E67:INDEX(Trigo!$E67:$Z67,MIN(AH$6-$E$3,22))&lt;&gt;""),Trigo!$E67:INDEX(Trigo!$E67:$Z67,MIN(AH$6-$E$3,22))),0))-IF($G$2,0,IF((AH$6-$G$3)&lt;1,0,IFERROR(LOOKUP(2,1/(Trigo!$E67:INDEX(Trigo!$E67:$Z67,MIN(AH$6-$G$3,22))&lt;&gt;""),Trigo!$E67:INDEX(Trigo!$E67:$Z67,MIN(AH$6-$G$3,22))),0)))))</f>
        <v>0</v>
      </c>
      <c r="AI69" s="27" t="n">
        <f aca="false">IF(COUNT(Trigo!$E67:$Z67)=0,0,MAX(0,IF((AI$6-$E$3)&lt;1,0,IFERROR(LOOKUP(2,1/(Trigo!$E67:INDEX(Trigo!$E67:$Z67,MIN(AI$6-$E$3,22))&lt;&gt;""),Trigo!$E67:INDEX(Trigo!$E67:$Z67,MIN(AI$6-$E$3,22))),0))-IF($G$2,0,IF((AI$6-$G$3)&lt;1,0,IFERROR(LOOKUP(2,1/(Trigo!$E67:INDEX(Trigo!$E67:$Z67,MIN(AI$6-$G$3,22))&lt;&gt;""),Trigo!$E67:INDEX(Trigo!$E67:$Z67,MIN(AI$6-$G$3,22))),0)))))</f>
        <v>0</v>
      </c>
      <c r="AJ69" s="27" t="n">
        <f aca="false">IF(COUNT(Trigo!$E67:$Z67)=0,0,MAX(0,IF((AJ$6-$E$3)&lt;1,0,IFERROR(LOOKUP(2,1/(Trigo!$E67:INDEX(Trigo!$E67:$Z67,MIN(AJ$6-$E$3,22))&lt;&gt;""),Trigo!$E67:INDEX(Trigo!$E67:$Z67,MIN(AJ$6-$E$3,22))),0))-IF($G$2,0,IF((AJ$6-$G$3)&lt;1,0,IFERROR(LOOKUP(2,1/(Trigo!$E67:INDEX(Trigo!$E67:$Z67,MIN(AJ$6-$G$3,22))&lt;&gt;""),Trigo!$E67:INDEX(Trigo!$E67:$Z67,MIN(AJ$6-$G$3,22))),0)))))</f>
        <v>0</v>
      </c>
      <c r="AK69" s="27" t="n">
        <f aca="false">IF(COUNT(Trigo!$E67:$Z67)=0,0,MAX(0,IF((AK$6-$E$3)&lt;1,0,IFERROR(LOOKUP(2,1/(Trigo!$E67:INDEX(Trigo!$E67:$Z67,MIN(AK$6-$E$3,22))&lt;&gt;""),Trigo!$E67:INDEX(Trigo!$E67:$Z67,MIN(AK$6-$E$3,22))),0))-IF($G$2,0,IF((AK$6-$G$3)&lt;1,0,IFERROR(LOOKUP(2,1/(Trigo!$E67:INDEX(Trigo!$E67:$Z67,MIN(AK$6-$G$3,22))&lt;&gt;""),Trigo!$E67:INDEX(Trigo!$E67:$Z67,MIN(AK$6-$G$3,22))),0)))))</f>
        <v>0</v>
      </c>
      <c r="AL69" s="27" t="n">
        <f aca="false">IF(COUNT(Trigo!$E67:$Z67)=0,0,MAX(0,IF((AL$6-$E$3)&lt;1,0,IFERROR(LOOKUP(2,1/(Trigo!$E67:INDEX(Trigo!$E67:$Z67,MIN(AL$6-$E$3,22))&lt;&gt;""),Trigo!$E67:INDEX(Trigo!$E67:$Z67,MIN(AL$6-$E$3,22))),0))-IF($G$2,0,IF((AL$6-$G$3)&lt;1,0,IFERROR(LOOKUP(2,1/(Trigo!$E67:INDEX(Trigo!$E67:$Z67,MIN(AL$6-$G$3,22))&lt;&gt;""),Trigo!$E67:INDEX(Trigo!$E67:$Z67,MIN(AL$6-$G$3,22))),0)))))</f>
        <v>0</v>
      </c>
      <c r="AM69" s="27" t="n">
        <f aca="false">IF(COUNT(Trigo!$E67:$Z67)=0,0,MAX(0,IF((AM$6-$E$3)&lt;1,0,IFERROR(LOOKUP(2,1/(Trigo!$E67:INDEX(Trigo!$E67:$Z67,MIN(AM$6-$E$3,22))&lt;&gt;""),Trigo!$E67:INDEX(Trigo!$E67:$Z67,MIN(AM$6-$E$3,22))),0))-IF($G$2,0,IF((AM$6-$G$3)&lt;1,0,IFERROR(LOOKUP(2,1/(Trigo!$E67:INDEX(Trigo!$E67:$Z67,MIN(AM$6-$G$3,22))&lt;&gt;""),Trigo!$E67:INDEX(Trigo!$E67:$Z67,MIN(AM$6-$G$3,22))),0)))))</f>
        <v>0</v>
      </c>
      <c r="AN69" s="27" t="n">
        <f aca="false">IF(COUNT(Trigo!$E67:$Z67)=0,0,MAX(0,IF((AN$6-$E$3)&lt;1,0,IFERROR(LOOKUP(2,1/(Trigo!$E67:INDEX(Trigo!$E67:$Z67,MIN(AN$6-$E$3,22))&lt;&gt;""),Trigo!$E67:INDEX(Trigo!$E67:$Z67,MIN(AN$6-$E$3,22))),0))-IF($G$2,0,IF((AN$6-$G$3)&lt;1,0,IFERROR(LOOKUP(2,1/(Trigo!$E67:INDEX(Trigo!$E67:$Z67,MIN(AN$6-$G$3,22))&lt;&gt;""),Trigo!$E67:INDEX(Trigo!$E67:$Z67,MIN(AN$6-$G$3,22))),0)))))</f>
        <v>0</v>
      </c>
      <c r="AO69" s="27" t="n">
        <f aca="false">IF(COUNT(Trigo!$E67:$Z67)=0,0,MAX(0,IF((AO$6-$E$3)&lt;1,0,IFERROR(LOOKUP(2,1/(Trigo!$E67:INDEX(Trigo!$E67:$Z67,MIN(AO$6-$E$3,22))&lt;&gt;""),Trigo!$E67:INDEX(Trigo!$E67:$Z67,MIN(AO$6-$E$3,22))),0))-IF($G$2,0,IF((AO$6-$G$3)&lt;1,0,IFERROR(LOOKUP(2,1/(Trigo!$E67:INDEX(Trigo!$E67:$Z67,MIN(AO$6-$G$3,22))&lt;&gt;""),Trigo!$E67:INDEX(Trigo!$E67:$Z67,MIN(AO$6-$G$3,22))),0)))))</f>
        <v>0</v>
      </c>
      <c r="AP69" s="27" t="n">
        <f aca="false">IF(COUNT(Trigo!$E67:$Z67)=0,0,MAX(0,IF((AP$6-$E$3)&lt;1,0,IFERROR(LOOKUP(2,1/(Trigo!$E67:INDEX(Trigo!$E67:$Z67,MIN(AP$6-$E$3,22))&lt;&gt;""),Trigo!$E67:INDEX(Trigo!$E67:$Z67,MIN(AP$6-$E$3,22))),0))-IF($G$2,0,IF((AP$6-$G$3)&lt;1,0,IFERROR(LOOKUP(2,1/(Trigo!$E67:INDEX(Trigo!$E67:$Z67,MIN(AP$6-$G$3,22))&lt;&gt;""),Trigo!$E67:INDEX(Trigo!$E67:$Z67,MIN(AP$6-$G$3,22))),0)))))</f>
        <v>0</v>
      </c>
      <c r="AQ69" s="27" t="n">
        <f aca="false">IF(COUNT(Trigo!$E67:$Z67)=0,0,MAX(0,IF((AQ$6-$E$3)&lt;1,0,IFERROR(LOOKUP(2,1/(Trigo!$E67:INDEX(Trigo!$E67:$Z67,MIN(AQ$6-$E$3,22))&lt;&gt;""),Trigo!$E67:INDEX(Trigo!$E67:$Z67,MIN(AQ$6-$E$3,22))),0))-IF($G$2,0,IF((AQ$6-$G$3)&lt;1,0,IFERROR(LOOKUP(2,1/(Trigo!$E67:INDEX(Trigo!$E67:$Z67,MIN(AQ$6-$G$3,22))&lt;&gt;""),Trigo!$E67:INDEX(Trigo!$E67:$Z67,MIN(AQ$6-$G$3,22))),0)))))</f>
        <v>0</v>
      </c>
      <c r="AR69" s="27" t="n">
        <f aca="false">IF(COUNT(Trigo!$E67:$Z67)=0,0,MAX(0,IF((AR$6-$E$3)&lt;1,0,IFERROR(LOOKUP(2,1/(Trigo!$E67:INDEX(Trigo!$E67:$Z67,MIN(AR$6-$E$3,22))&lt;&gt;""),Trigo!$E67:INDEX(Trigo!$E67:$Z67,MIN(AR$6-$E$3,22))),0))-IF($G$2,0,IF((AR$6-$G$3)&lt;1,0,IFERROR(LOOKUP(2,1/(Trigo!$E67:INDEX(Trigo!$E67:$Z67,MIN(AR$6-$G$3,22))&lt;&gt;""),Trigo!$E67:INDEX(Trigo!$E67:$Z67,MIN(AR$6-$G$3,22))),0)))))</f>
        <v>0</v>
      </c>
      <c r="AS69" s="27" t="n">
        <f aca="false">IF(COUNT(Trigo!$E67:$Z67)=0,0,MAX(0,IF((AS$6-$E$3)&lt;1,0,IFERROR(LOOKUP(2,1/(Trigo!$E67:INDEX(Trigo!$E67:$Z67,MIN(AS$6-$E$3,22))&lt;&gt;""),Trigo!$E67:INDEX(Trigo!$E67:$Z67,MIN(AS$6-$E$3,22))),0))-IF($G$2,0,IF((AS$6-$G$3)&lt;1,0,IFERROR(LOOKUP(2,1/(Trigo!$E67:INDEX(Trigo!$E67:$Z67,MIN(AS$6-$G$3,22))&lt;&gt;""),Trigo!$E67:INDEX(Trigo!$E67:$Z67,MIN(AS$6-$G$3,22))),0)))))</f>
        <v>0</v>
      </c>
      <c r="AT69" s="27" t="n">
        <f aca="false">IF(COUNT(Trigo!$E67:$Z67)=0,0,MAX(0,IF((AT$6-$E$3)&lt;1,0,IFERROR(LOOKUP(2,1/(Trigo!$E67:INDEX(Trigo!$E67:$Z67,MIN(AT$6-$E$3,22))&lt;&gt;""),Trigo!$E67:INDEX(Trigo!$E67:$Z67,MIN(AT$6-$E$3,22))),0))-IF($G$2,0,IF((AT$6-$G$3)&lt;1,0,IFERROR(LOOKUP(2,1/(Trigo!$E67:INDEX(Trigo!$E67:$Z67,MIN(AT$6-$G$3,22))&lt;&gt;""),Trigo!$E67:INDEX(Trigo!$E67:$Z67,MIN(AT$6-$G$3,22))),0)))))</f>
        <v>0</v>
      </c>
      <c r="AU69" s="27" t="n">
        <f aca="false">IF(COUNT(Trigo!$E67:$Z67)=0,0,MAX(0,IF((AU$6-$E$3)&lt;1,0,IFERROR(LOOKUP(2,1/(Trigo!$E67:INDEX(Trigo!$E67:$Z67,MIN(AU$6-$E$3,22))&lt;&gt;""),Trigo!$E67:INDEX(Trigo!$E67:$Z67,MIN(AU$6-$E$3,22))),0))-IF($G$2,0,IF((AU$6-$G$3)&lt;1,0,IFERROR(LOOKUP(2,1/(Trigo!$E67:INDEX(Trigo!$E67:$Z67,MIN(AU$6-$G$3,22))&lt;&gt;""),Trigo!$E67:INDEX(Trigo!$E67:$Z67,MIN(AU$6-$G$3,22))),0)))))</f>
        <v>0</v>
      </c>
      <c r="AV69" s="27" t="n">
        <f aca="false">IF(COUNT(Trigo!$E67:$Z67)=0,0,MAX(0,IF((AV$6-$E$3)&lt;1,0,IFERROR(LOOKUP(2,1/(Trigo!$E67:INDEX(Trigo!$E67:$Z67,MIN(AV$6-$E$3,22))&lt;&gt;""),Trigo!$E67:INDEX(Trigo!$E67:$Z67,MIN(AV$6-$E$3,22))),0))-IF($G$2,0,IF((AV$6-$G$3)&lt;1,0,IFERROR(LOOKUP(2,1/(Trigo!$E67:INDEX(Trigo!$E67:$Z67,MIN(AV$6-$G$3,22))&lt;&gt;""),Trigo!$E67:INDEX(Trigo!$E67:$Z67,MIN(AV$6-$G$3,22))),0)))))</f>
        <v>0</v>
      </c>
      <c r="AW69" s="27" t="n">
        <f aca="false">IF(COUNT(Trigo!$E67:$Z67)=0,0,MAX(0,IF((AW$6-$E$3)&lt;1,0,IFERROR(LOOKUP(2,1/(Trigo!$E67:INDEX(Trigo!$E67:$Z67,MIN(AW$6-$E$3,22))&lt;&gt;""),Trigo!$E67:INDEX(Trigo!$E67:$Z67,MIN(AW$6-$E$3,22))),0))-IF($G$2,0,IF((AW$6-$G$3)&lt;1,0,IFERROR(LOOKUP(2,1/(Trigo!$E67:INDEX(Trigo!$E67:$Z67,MIN(AW$6-$G$3,22))&lt;&gt;""),Trigo!$E67:INDEX(Trigo!$E67:$Z67,MIN(AW$6-$G$3,22))),0)))))</f>
        <v>0</v>
      </c>
      <c r="AX69" s="27" t="n">
        <f aca="false">IF(COUNT(Trigo!$E67:$Z67)=0,0,MAX(0,IF((AX$6-$E$3)&lt;1,0,IFERROR(LOOKUP(2,1/(Trigo!$E67:INDEX(Trigo!$E67:$Z67,MIN(AX$6-$E$3,22))&lt;&gt;""),Trigo!$E67:INDEX(Trigo!$E67:$Z67,MIN(AX$6-$E$3,22))),0))-IF($G$2,0,IF((AX$6-$G$3)&lt;1,0,IFERROR(LOOKUP(2,1/(Trigo!$E67:INDEX(Trigo!$E67:$Z67,MIN(AX$6-$G$3,22))&lt;&gt;""),Trigo!$E67:INDEX(Trigo!$E67:$Z67,MIN(AX$6-$G$3,22))),0)))))</f>
        <v>0</v>
      </c>
      <c r="AY69" s="27" t="n">
        <f aca="false">IF(COUNT(Trigo!$E67:$Z67)=0,0,MAX(0,IF((AY$6-$E$3)&lt;1,0,IFERROR(LOOKUP(2,1/(Trigo!$E67:INDEX(Trigo!$E67:$Z67,MIN(AY$6-$E$3,22))&lt;&gt;""),Trigo!$E67:INDEX(Trigo!$E67:$Z67,MIN(AY$6-$E$3,22))),0))-IF($G$2,0,IF((AY$6-$G$3)&lt;1,0,IFERROR(LOOKUP(2,1/(Trigo!$E67:INDEX(Trigo!$E67:$Z67,MIN(AY$6-$G$3,22))&lt;&gt;""),Trigo!$E67:INDEX(Trigo!$E67:$Z67,MIN(AY$6-$G$3,22))),0)))))</f>
        <v>0</v>
      </c>
      <c r="AZ69" s="27" t="n">
        <f aca="false">IF(COUNT(Trigo!$E67:$Z67)=0,0,MAX(0,IF((AZ$6-$E$3)&lt;1,0,IFERROR(LOOKUP(2,1/(Trigo!$E67:INDEX(Trigo!$E67:$Z67,MIN(AZ$6-$E$3,22))&lt;&gt;""),Trigo!$E67:INDEX(Trigo!$E67:$Z67,MIN(AZ$6-$E$3,22))),0))-IF($G$2,0,IF((AZ$6-$G$3)&lt;1,0,IFERROR(LOOKUP(2,1/(Trigo!$E67:INDEX(Trigo!$E67:$Z67,MIN(AZ$6-$G$3,22))&lt;&gt;""),Trigo!$E67:INDEX(Trigo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IF(COUNT(Trigo!$E68:$Z68)&gt;0,N(Trigo!$D68),0)</f>
        <v>0</v>
      </c>
      <c r="E70" s="27" t="n">
        <f aca="false">IF(COUNT(Trigo!$E68:$Z68)=0,0,MAX(0,IF((E$6-$E$3)&lt;1,0,IFERROR(LOOKUP(2,1/(Trigo!$E68:INDEX(Trigo!$E68:$Z68,MIN(E$6-$E$3,22))&lt;&gt;""),Trigo!$E68:INDEX(Trigo!$E68:$Z68,MIN(E$6-$E$3,22))),0))-IF($G$2,0,IF((E$6-$G$3)&lt;1,0,IFERROR(LOOKUP(2,1/(Trigo!$E68:INDEX(Trigo!$E68:$Z68,MIN(E$6-$G$3,22))&lt;&gt;""),Trigo!$E68:INDEX(Trigo!$E68:$Z68,MIN(E$6-$G$3,22))),0)))))</f>
        <v>0</v>
      </c>
      <c r="F70" s="27" t="n">
        <f aca="false">IF(COUNT(Trigo!$E68:$Z68)=0,0,MAX(0,IF((F$6-$E$3)&lt;1,0,IFERROR(LOOKUP(2,1/(Trigo!$E68:INDEX(Trigo!$E68:$Z68,MIN(F$6-$E$3,22))&lt;&gt;""),Trigo!$E68:INDEX(Trigo!$E68:$Z68,MIN(F$6-$E$3,22))),0))-IF($G$2,0,IF((F$6-$G$3)&lt;1,0,IFERROR(LOOKUP(2,1/(Trigo!$E68:INDEX(Trigo!$E68:$Z68,MIN(F$6-$G$3,22))&lt;&gt;""),Trigo!$E68:INDEX(Trigo!$E68:$Z68,MIN(F$6-$G$3,22))),0)))))</f>
        <v>0</v>
      </c>
      <c r="G70" s="27" t="n">
        <f aca="false">IF(COUNT(Trigo!$E68:$Z68)=0,0,MAX(0,IF((G$6-$E$3)&lt;1,0,IFERROR(LOOKUP(2,1/(Trigo!$E68:INDEX(Trigo!$E68:$Z68,MIN(G$6-$E$3,22))&lt;&gt;""),Trigo!$E68:INDEX(Trigo!$E68:$Z68,MIN(G$6-$E$3,22))),0))-IF($G$2,0,IF((G$6-$G$3)&lt;1,0,IFERROR(LOOKUP(2,1/(Trigo!$E68:INDEX(Trigo!$E68:$Z68,MIN(G$6-$G$3,22))&lt;&gt;""),Trigo!$E68:INDEX(Trigo!$E68:$Z68,MIN(G$6-$G$3,22))),0)))))</f>
        <v>0</v>
      </c>
      <c r="H70" s="27" t="n">
        <f aca="false">IF(COUNT(Trigo!$E68:$Z68)=0,0,MAX(0,IF((H$6-$E$3)&lt;1,0,IFERROR(LOOKUP(2,1/(Trigo!$E68:INDEX(Trigo!$E68:$Z68,MIN(H$6-$E$3,22))&lt;&gt;""),Trigo!$E68:INDEX(Trigo!$E68:$Z68,MIN(H$6-$E$3,22))),0))-IF($G$2,0,IF((H$6-$G$3)&lt;1,0,IFERROR(LOOKUP(2,1/(Trigo!$E68:INDEX(Trigo!$E68:$Z68,MIN(H$6-$G$3,22))&lt;&gt;""),Trigo!$E68:INDEX(Trigo!$E68:$Z68,MIN(H$6-$G$3,22))),0)))))</f>
        <v>0</v>
      </c>
      <c r="I70" s="27" t="n">
        <f aca="false">IF(COUNT(Trigo!$E68:$Z68)=0,0,MAX(0,IF((I$6-$E$3)&lt;1,0,IFERROR(LOOKUP(2,1/(Trigo!$E68:INDEX(Trigo!$E68:$Z68,MIN(I$6-$E$3,22))&lt;&gt;""),Trigo!$E68:INDEX(Trigo!$E68:$Z68,MIN(I$6-$E$3,22))),0))-IF($G$2,0,IF((I$6-$G$3)&lt;1,0,IFERROR(LOOKUP(2,1/(Trigo!$E68:INDEX(Trigo!$E68:$Z68,MIN(I$6-$G$3,22))&lt;&gt;""),Trigo!$E68:INDEX(Trigo!$E68:$Z68,MIN(I$6-$G$3,22))),0)))))</f>
        <v>0</v>
      </c>
      <c r="J70" s="27" t="n">
        <f aca="false">IF(COUNT(Trigo!$E68:$Z68)=0,0,MAX(0,IF((J$6-$E$3)&lt;1,0,IFERROR(LOOKUP(2,1/(Trigo!$E68:INDEX(Trigo!$E68:$Z68,MIN(J$6-$E$3,22))&lt;&gt;""),Trigo!$E68:INDEX(Trigo!$E68:$Z68,MIN(J$6-$E$3,22))),0))-IF($G$2,0,IF((J$6-$G$3)&lt;1,0,IFERROR(LOOKUP(2,1/(Trigo!$E68:INDEX(Trigo!$E68:$Z68,MIN(J$6-$G$3,22))&lt;&gt;""),Trigo!$E68:INDEX(Trigo!$E68:$Z68,MIN(J$6-$G$3,22))),0)))))</f>
        <v>0</v>
      </c>
      <c r="K70" s="27" t="n">
        <f aca="false">IF(COUNT(Trigo!$E68:$Z68)=0,0,MAX(0,IF((K$6-$E$3)&lt;1,0,IFERROR(LOOKUP(2,1/(Trigo!$E68:INDEX(Trigo!$E68:$Z68,MIN(K$6-$E$3,22))&lt;&gt;""),Trigo!$E68:INDEX(Trigo!$E68:$Z68,MIN(K$6-$E$3,22))),0))-IF($G$2,0,IF((K$6-$G$3)&lt;1,0,IFERROR(LOOKUP(2,1/(Trigo!$E68:INDEX(Trigo!$E68:$Z68,MIN(K$6-$G$3,22))&lt;&gt;""),Trigo!$E68:INDEX(Trigo!$E68:$Z68,MIN(K$6-$G$3,22))),0)))))</f>
        <v>0</v>
      </c>
      <c r="L70" s="27" t="n">
        <f aca="false">IF(COUNT(Trigo!$E68:$Z68)=0,0,MAX(0,IF((L$6-$E$3)&lt;1,0,IFERROR(LOOKUP(2,1/(Trigo!$E68:INDEX(Trigo!$E68:$Z68,MIN(L$6-$E$3,22))&lt;&gt;""),Trigo!$E68:INDEX(Trigo!$E68:$Z68,MIN(L$6-$E$3,22))),0))-IF($G$2,0,IF((L$6-$G$3)&lt;1,0,IFERROR(LOOKUP(2,1/(Trigo!$E68:INDEX(Trigo!$E68:$Z68,MIN(L$6-$G$3,22))&lt;&gt;""),Trigo!$E68:INDEX(Trigo!$E68:$Z68,MIN(L$6-$G$3,22))),0)))))</f>
        <v>0</v>
      </c>
      <c r="M70" s="27" t="n">
        <f aca="false">IF(COUNT(Trigo!$E68:$Z68)=0,0,MAX(0,IF((M$6-$E$3)&lt;1,0,IFERROR(LOOKUP(2,1/(Trigo!$E68:INDEX(Trigo!$E68:$Z68,MIN(M$6-$E$3,22))&lt;&gt;""),Trigo!$E68:INDEX(Trigo!$E68:$Z68,MIN(M$6-$E$3,22))),0))-IF($G$2,0,IF((M$6-$G$3)&lt;1,0,IFERROR(LOOKUP(2,1/(Trigo!$E68:INDEX(Trigo!$E68:$Z68,MIN(M$6-$G$3,22))&lt;&gt;""),Trigo!$E68:INDEX(Trigo!$E68:$Z68,MIN(M$6-$G$3,22))),0)))))</f>
        <v>0</v>
      </c>
      <c r="N70" s="27" t="n">
        <f aca="false">IF(COUNT(Trigo!$E68:$Z68)=0,0,MAX(0,IF((N$6-$E$3)&lt;1,0,IFERROR(LOOKUP(2,1/(Trigo!$E68:INDEX(Trigo!$E68:$Z68,MIN(N$6-$E$3,22))&lt;&gt;""),Trigo!$E68:INDEX(Trigo!$E68:$Z68,MIN(N$6-$E$3,22))),0))-IF($G$2,0,IF((N$6-$G$3)&lt;1,0,IFERROR(LOOKUP(2,1/(Trigo!$E68:INDEX(Trigo!$E68:$Z68,MIN(N$6-$G$3,22))&lt;&gt;""),Trigo!$E68:INDEX(Trigo!$E68:$Z68,MIN(N$6-$G$3,22))),0)))))</f>
        <v>0</v>
      </c>
      <c r="O70" s="27" t="n">
        <f aca="false">IF(COUNT(Trigo!$E68:$Z68)=0,0,MAX(0,IF((O$6-$E$3)&lt;1,0,IFERROR(LOOKUP(2,1/(Trigo!$E68:INDEX(Trigo!$E68:$Z68,MIN(O$6-$E$3,22))&lt;&gt;""),Trigo!$E68:INDEX(Trigo!$E68:$Z68,MIN(O$6-$E$3,22))),0))-IF($G$2,0,IF((O$6-$G$3)&lt;1,0,IFERROR(LOOKUP(2,1/(Trigo!$E68:INDEX(Trigo!$E68:$Z68,MIN(O$6-$G$3,22))&lt;&gt;""),Trigo!$E68:INDEX(Trigo!$E68:$Z68,MIN(O$6-$G$3,22))),0)))))</f>
        <v>0</v>
      </c>
      <c r="P70" s="27" t="n">
        <f aca="false">IF(COUNT(Trigo!$E68:$Z68)=0,0,MAX(0,IF((P$6-$E$3)&lt;1,0,IFERROR(LOOKUP(2,1/(Trigo!$E68:INDEX(Trigo!$E68:$Z68,MIN(P$6-$E$3,22))&lt;&gt;""),Trigo!$E68:INDEX(Trigo!$E68:$Z68,MIN(P$6-$E$3,22))),0))-IF($G$2,0,IF((P$6-$G$3)&lt;1,0,IFERROR(LOOKUP(2,1/(Trigo!$E68:INDEX(Trigo!$E68:$Z68,MIN(P$6-$G$3,22))&lt;&gt;""),Trigo!$E68:INDEX(Trigo!$E68:$Z68,MIN(P$6-$G$3,22))),0)))))</f>
        <v>0</v>
      </c>
      <c r="Q70" s="27" t="n">
        <f aca="false">IF(COUNT(Trigo!$E68:$Z68)=0,0,MAX(0,IF((Q$6-$E$3)&lt;1,0,IFERROR(LOOKUP(2,1/(Trigo!$E68:INDEX(Trigo!$E68:$Z68,MIN(Q$6-$E$3,22))&lt;&gt;""),Trigo!$E68:INDEX(Trigo!$E68:$Z68,MIN(Q$6-$E$3,22))),0))-IF($G$2,0,IF((Q$6-$G$3)&lt;1,0,IFERROR(LOOKUP(2,1/(Trigo!$E68:INDEX(Trigo!$E68:$Z68,MIN(Q$6-$G$3,22))&lt;&gt;""),Trigo!$E68:INDEX(Trigo!$E68:$Z68,MIN(Q$6-$G$3,22))),0)))))</f>
        <v>0</v>
      </c>
      <c r="R70" s="27" t="n">
        <f aca="false">IF(COUNT(Trigo!$E68:$Z68)=0,0,MAX(0,IF((R$6-$E$3)&lt;1,0,IFERROR(LOOKUP(2,1/(Trigo!$E68:INDEX(Trigo!$E68:$Z68,MIN(R$6-$E$3,22))&lt;&gt;""),Trigo!$E68:INDEX(Trigo!$E68:$Z68,MIN(R$6-$E$3,22))),0))-IF($G$2,0,IF((R$6-$G$3)&lt;1,0,IFERROR(LOOKUP(2,1/(Trigo!$E68:INDEX(Trigo!$E68:$Z68,MIN(R$6-$G$3,22))&lt;&gt;""),Trigo!$E68:INDEX(Trigo!$E68:$Z68,MIN(R$6-$G$3,22))),0)))))</f>
        <v>0</v>
      </c>
      <c r="S70" s="27" t="n">
        <f aca="false">IF(COUNT(Trigo!$E68:$Z68)=0,0,MAX(0,IF((S$6-$E$3)&lt;1,0,IFERROR(LOOKUP(2,1/(Trigo!$E68:INDEX(Trigo!$E68:$Z68,MIN(S$6-$E$3,22))&lt;&gt;""),Trigo!$E68:INDEX(Trigo!$E68:$Z68,MIN(S$6-$E$3,22))),0))-IF($G$2,0,IF((S$6-$G$3)&lt;1,0,IFERROR(LOOKUP(2,1/(Trigo!$E68:INDEX(Trigo!$E68:$Z68,MIN(S$6-$G$3,22))&lt;&gt;""),Trigo!$E68:INDEX(Trigo!$E68:$Z68,MIN(S$6-$G$3,22))),0)))))</f>
        <v>0</v>
      </c>
      <c r="T70" s="27" t="n">
        <f aca="false">IF(COUNT(Trigo!$E68:$Z68)=0,0,MAX(0,IF((T$6-$E$3)&lt;1,0,IFERROR(LOOKUP(2,1/(Trigo!$E68:INDEX(Trigo!$E68:$Z68,MIN(T$6-$E$3,22))&lt;&gt;""),Trigo!$E68:INDEX(Trigo!$E68:$Z68,MIN(T$6-$E$3,22))),0))-IF($G$2,0,IF((T$6-$G$3)&lt;1,0,IFERROR(LOOKUP(2,1/(Trigo!$E68:INDEX(Trigo!$E68:$Z68,MIN(T$6-$G$3,22))&lt;&gt;""),Trigo!$E68:INDEX(Trigo!$E68:$Z68,MIN(T$6-$G$3,22))),0)))))</f>
        <v>0</v>
      </c>
      <c r="U70" s="27" t="n">
        <f aca="false">IF(COUNT(Trigo!$E68:$Z68)=0,0,MAX(0,IF((U$6-$E$3)&lt;1,0,IFERROR(LOOKUP(2,1/(Trigo!$E68:INDEX(Trigo!$E68:$Z68,MIN(U$6-$E$3,22))&lt;&gt;""),Trigo!$E68:INDEX(Trigo!$E68:$Z68,MIN(U$6-$E$3,22))),0))-IF($G$2,0,IF((U$6-$G$3)&lt;1,0,IFERROR(LOOKUP(2,1/(Trigo!$E68:INDEX(Trigo!$E68:$Z68,MIN(U$6-$G$3,22))&lt;&gt;""),Trigo!$E68:INDEX(Trigo!$E68:$Z68,MIN(U$6-$G$3,22))),0)))))</f>
        <v>0</v>
      </c>
      <c r="V70" s="27" t="n">
        <f aca="false">IF(COUNT(Trigo!$E68:$Z68)=0,0,MAX(0,IF((V$6-$E$3)&lt;1,0,IFERROR(LOOKUP(2,1/(Trigo!$E68:INDEX(Trigo!$E68:$Z68,MIN(V$6-$E$3,22))&lt;&gt;""),Trigo!$E68:INDEX(Trigo!$E68:$Z68,MIN(V$6-$E$3,22))),0))-IF($G$2,0,IF((V$6-$G$3)&lt;1,0,IFERROR(LOOKUP(2,1/(Trigo!$E68:INDEX(Trigo!$E68:$Z68,MIN(V$6-$G$3,22))&lt;&gt;""),Trigo!$E68:INDEX(Trigo!$E68:$Z68,MIN(V$6-$G$3,22))),0)))))</f>
        <v>0</v>
      </c>
      <c r="W70" s="27" t="n">
        <f aca="false">IF(COUNT(Trigo!$E68:$Z68)=0,0,MAX(0,IF((W$6-$E$3)&lt;1,0,IFERROR(LOOKUP(2,1/(Trigo!$E68:INDEX(Trigo!$E68:$Z68,MIN(W$6-$E$3,22))&lt;&gt;""),Trigo!$E68:INDEX(Trigo!$E68:$Z68,MIN(W$6-$E$3,22))),0))-IF($G$2,0,IF((W$6-$G$3)&lt;1,0,IFERROR(LOOKUP(2,1/(Trigo!$E68:INDEX(Trigo!$E68:$Z68,MIN(W$6-$G$3,22))&lt;&gt;""),Trigo!$E68:INDEX(Trigo!$E68:$Z68,MIN(W$6-$G$3,22))),0)))))</f>
        <v>0</v>
      </c>
      <c r="X70" s="27" t="n">
        <f aca="false">IF(COUNT(Trigo!$E68:$Z68)=0,0,MAX(0,IF((X$6-$E$3)&lt;1,0,IFERROR(LOOKUP(2,1/(Trigo!$E68:INDEX(Trigo!$E68:$Z68,MIN(X$6-$E$3,22))&lt;&gt;""),Trigo!$E68:INDEX(Trigo!$E68:$Z68,MIN(X$6-$E$3,22))),0))-IF($G$2,0,IF((X$6-$G$3)&lt;1,0,IFERROR(LOOKUP(2,1/(Trigo!$E68:INDEX(Trigo!$E68:$Z68,MIN(X$6-$G$3,22))&lt;&gt;""),Trigo!$E68:INDEX(Trigo!$E68:$Z68,MIN(X$6-$G$3,22))),0)))))</f>
        <v>0</v>
      </c>
      <c r="Y70" s="27" t="n">
        <f aca="false">IF(COUNT(Trigo!$E68:$Z68)=0,0,MAX(0,IF((Y$6-$E$3)&lt;1,0,IFERROR(LOOKUP(2,1/(Trigo!$E68:INDEX(Trigo!$E68:$Z68,MIN(Y$6-$E$3,22))&lt;&gt;""),Trigo!$E68:INDEX(Trigo!$E68:$Z68,MIN(Y$6-$E$3,22))),0))-IF($G$2,0,IF((Y$6-$G$3)&lt;1,0,IFERROR(LOOKUP(2,1/(Trigo!$E68:INDEX(Trigo!$E68:$Z68,MIN(Y$6-$G$3,22))&lt;&gt;""),Trigo!$E68:INDEX(Trigo!$E68:$Z68,MIN(Y$6-$G$3,22))),0)))))</f>
        <v>0</v>
      </c>
      <c r="Z70" s="27" t="n">
        <f aca="false">IF(COUNT(Trigo!$E68:$Z68)=0,0,MAX(0,IF((Z$6-$E$3)&lt;1,0,IFERROR(LOOKUP(2,1/(Trigo!$E68:INDEX(Trigo!$E68:$Z68,MIN(Z$6-$E$3,22))&lt;&gt;""),Trigo!$E68:INDEX(Trigo!$E68:$Z68,MIN(Z$6-$E$3,22))),0))-IF($G$2,0,IF((Z$6-$G$3)&lt;1,0,IFERROR(LOOKUP(2,1/(Trigo!$E68:INDEX(Trigo!$E68:$Z68,MIN(Z$6-$G$3,22))&lt;&gt;""),Trigo!$E68:INDEX(Trigo!$E68:$Z68,MIN(Z$6-$G$3,22))),0)))))</f>
        <v>0</v>
      </c>
      <c r="AA70" s="27" t="n">
        <f aca="false">IF(COUNT(Trigo!$E68:$Z68)=0,0,MAX(0,IF((AA$6-$E$3)&lt;1,0,IFERROR(LOOKUP(2,1/(Trigo!$E68:INDEX(Trigo!$E68:$Z68,MIN(AA$6-$E$3,22))&lt;&gt;""),Trigo!$E68:INDEX(Trigo!$E68:$Z68,MIN(AA$6-$E$3,22))),0))-IF($G$2,0,IF((AA$6-$G$3)&lt;1,0,IFERROR(LOOKUP(2,1/(Trigo!$E68:INDEX(Trigo!$E68:$Z68,MIN(AA$6-$G$3,22))&lt;&gt;""),Trigo!$E68:INDEX(Trigo!$E68:$Z68,MIN(AA$6-$G$3,22))),0)))))</f>
        <v>0</v>
      </c>
      <c r="AB70" s="27" t="n">
        <f aca="false">IF(COUNT(Trigo!$E68:$Z68)=0,0,MAX(0,IF((AB$6-$E$3)&lt;1,0,IFERROR(LOOKUP(2,1/(Trigo!$E68:INDEX(Trigo!$E68:$Z68,MIN(AB$6-$E$3,22))&lt;&gt;""),Trigo!$E68:INDEX(Trigo!$E68:$Z68,MIN(AB$6-$E$3,22))),0))-IF($G$2,0,IF((AB$6-$G$3)&lt;1,0,IFERROR(LOOKUP(2,1/(Trigo!$E68:INDEX(Trigo!$E68:$Z68,MIN(AB$6-$G$3,22))&lt;&gt;""),Trigo!$E68:INDEX(Trigo!$E68:$Z68,MIN(AB$6-$G$3,22))),0)))))</f>
        <v>0</v>
      </c>
      <c r="AC70" s="27" t="n">
        <f aca="false">IF(COUNT(Trigo!$E68:$Z68)=0,0,MAX(0,IF((AC$6-$E$3)&lt;1,0,IFERROR(LOOKUP(2,1/(Trigo!$E68:INDEX(Trigo!$E68:$Z68,MIN(AC$6-$E$3,22))&lt;&gt;""),Trigo!$E68:INDEX(Trigo!$E68:$Z68,MIN(AC$6-$E$3,22))),0))-IF($G$2,0,IF((AC$6-$G$3)&lt;1,0,IFERROR(LOOKUP(2,1/(Trigo!$E68:INDEX(Trigo!$E68:$Z68,MIN(AC$6-$G$3,22))&lt;&gt;""),Trigo!$E68:INDEX(Trigo!$E68:$Z68,MIN(AC$6-$G$3,22))),0)))))</f>
        <v>0</v>
      </c>
      <c r="AD70" s="27" t="n">
        <f aca="false">IF(COUNT(Trigo!$E68:$Z68)=0,0,MAX(0,IF((AD$6-$E$3)&lt;1,0,IFERROR(LOOKUP(2,1/(Trigo!$E68:INDEX(Trigo!$E68:$Z68,MIN(AD$6-$E$3,22))&lt;&gt;""),Trigo!$E68:INDEX(Trigo!$E68:$Z68,MIN(AD$6-$E$3,22))),0))-IF($G$2,0,IF((AD$6-$G$3)&lt;1,0,IFERROR(LOOKUP(2,1/(Trigo!$E68:INDEX(Trigo!$E68:$Z68,MIN(AD$6-$G$3,22))&lt;&gt;""),Trigo!$E68:INDEX(Trigo!$E68:$Z68,MIN(AD$6-$G$3,22))),0)))))</f>
        <v>0</v>
      </c>
      <c r="AE70" s="27" t="n">
        <f aca="false">IF(COUNT(Trigo!$E68:$Z68)=0,0,MAX(0,IF((AE$6-$E$3)&lt;1,0,IFERROR(LOOKUP(2,1/(Trigo!$E68:INDEX(Trigo!$E68:$Z68,MIN(AE$6-$E$3,22))&lt;&gt;""),Trigo!$E68:INDEX(Trigo!$E68:$Z68,MIN(AE$6-$E$3,22))),0))-IF($G$2,0,IF((AE$6-$G$3)&lt;1,0,IFERROR(LOOKUP(2,1/(Trigo!$E68:INDEX(Trigo!$E68:$Z68,MIN(AE$6-$G$3,22))&lt;&gt;""),Trigo!$E68:INDEX(Trigo!$E68:$Z68,MIN(AE$6-$G$3,22))),0)))))</f>
        <v>0</v>
      </c>
      <c r="AF70" s="27" t="n">
        <f aca="false">IF(COUNT(Trigo!$E68:$Z68)=0,0,MAX(0,IF((AF$6-$E$3)&lt;1,0,IFERROR(LOOKUP(2,1/(Trigo!$E68:INDEX(Trigo!$E68:$Z68,MIN(AF$6-$E$3,22))&lt;&gt;""),Trigo!$E68:INDEX(Trigo!$E68:$Z68,MIN(AF$6-$E$3,22))),0))-IF($G$2,0,IF((AF$6-$G$3)&lt;1,0,IFERROR(LOOKUP(2,1/(Trigo!$E68:INDEX(Trigo!$E68:$Z68,MIN(AF$6-$G$3,22))&lt;&gt;""),Trigo!$E68:INDEX(Trigo!$E68:$Z68,MIN(AF$6-$G$3,22))),0)))))</f>
        <v>0</v>
      </c>
      <c r="AG70" s="27" t="n">
        <f aca="false">IF(COUNT(Trigo!$E68:$Z68)=0,0,MAX(0,IF((AG$6-$E$3)&lt;1,0,IFERROR(LOOKUP(2,1/(Trigo!$E68:INDEX(Trigo!$E68:$Z68,MIN(AG$6-$E$3,22))&lt;&gt;""),Trigo!$E68:INDEX(Trigo!$E68:$Z68,MIN(AG$6-$E$3,22))),0))-IF($G$2,0,IF((AG$6-$G$3)&lt;1,0,IFERROR(LOOKUP(2,1/(Trigo!$E68:INDEX(Trigo!$E68:$Z68,MIN(AG$6-$G$3,22))&lt;&gt;""),Trigo!$E68:INDEX(Trigo!$E68:$Z68,MIN(AG$6-$G$3,22))),0)))))</f>
        <v>0</v>
      </c>
      <c r="AH70" s="27" t="n">
        <f aca="false">IF(COUNT(Trigo!$E68:$Z68)=0,0,MAX(0,IF((AH$6-$E$3)&lt;1,0,IFERROR(LOOKUP(2,1/(Trigo!$E68:INDEX(Trigo!$E68:$Z68,MIN(AH$6-$E$3,22))&lt;&gt;""),Trigo!$E68:INDEX(Trigo!$E68:$Z68,MIN(AH$6-$E$3,22))),0))-IF($G$2,0,IF((AH$6-$G$3)&lt;1,0,IFERROR(LOOKUP(2,1/(Trigo!$E68:INDEX(Trigo!$E68:$Z68,MIN(AH$6-$G$3,22))&lt;&gt;""),Trigo!$E68:INDEX(Trigo!$E68:$Z68,MIN(AH$6-$G$3,22))),0)))))</f>
        <v>0</v>
      </c>
      <c r="AI70" s="27" t="n">
        <f aca="false">IF(COUNT(Trigo!$E68:$Z68)=0,0,MAX(0,IF((AI$6-$E$3)&lt;1,0,IFERROR(LOOKUP(2,1/(Trigo!$E68:INDEX(Trigo!$E68:$Z68,MIN(AI$6-$E$3,22))&lt;&gt;""),Trigo!$E68:INDEX(Trigo!$E68:$Z68,MIN(AI$6-$E$3,22))),0))-IF($G$2,0,IF((AI$6-$G$3)&lt;1,0,IFERROR(LOOKUP(2,1/(Trigo!$E68:INDEX(Trigo!$E68:$Z68,MIN(AI$6-$G$3,22))&lt;&gt;""),Trigo!$E68:INDEX(Trigo!$E68:$Z68,MIN(AI$6-$G$3,22))),0)))))</f>
        <v>0</v>
      </c>
      <c r="AJ70" s="27" t="n">
        <f aca="false">IF(COUNT(Trigo!$E68:$Z68)=0,0,MAX(0,IF((AJ$6-$E$3)&lt;1,0,IFERROR(LOOKUP(2,1/(Trigo!$E68:INDEX(Trigo!$E68:$Z68,MIN(AJ$6-$E$3,22))&lt;&gt;""),Trigo!$E68:INDEX(Trigo!$E68:$Z68,MIN(AJ$6-$E$3,22))),0))-IF($G$2,0,IF((AJ$6-$G$3)&lt;1,0,IFERROR(LOOKUP(2,1/(Trigo!$E68:INDEX(Trigo!$E68:$Z68,MIN(AJ$6-$G$3,22))&lt;&gt;""),Trigo!$E68:INDEX(Trigo!$E68:$Z68,MIN(AJ$6-$G$3,22))),0)))))</f>
        <v>0</v>
      </c>
      <c r="AK70" s="27" t="n">
        <f aca="false">IF(COUNT(Trigo!$E68:$Z68)=0,0,MAX(0,IF((AK$6-$E$3)&lt;1,0,IFERROR(LOOKUP(2,1/(Trigo!$E68:INDEX(Trigo!$E68:$Z68,MIN(AK$6-$E$3,22))&lt;&gt;""),Trigo!$E68:INDEX(Trigo!$E68:$Z68,MIN(AK$6-$E$3,22))),0))-IF($G$2,0,IF((AK$6-$G$3)&lt;1,0,IFERROR(LOOKUP(2,1/(Trigo!$E68:INDEX(Trigo!$E68:$Z68,MIN(AK$6-$G$3,22))&lt;&gt;""),Trigo!$E68:INDEX(Trigo!$E68:$Z68,MIN(AK$6-$G$3,22))),0)))))</f>
        <v>0</v>
      </c>
      <c r="AL70" s="27" t="n">
        <f aca="false">IF(COUNT(Trigo!$E68:$Z68)=0,0,MAX(0,IF((AL$6-$E$3)&lt;1,0,IFERROR(LOOKUP(2,1/(Trigo!$E68:INDEX(Trigo!$E68:$Z68,MIN(AL$6-$E$3,22))&lt;&gt;""),Trigo!$E68:INDEX(Trigo!$E68:$Z68,MIN(AL$6-$E$3,22))),0))-IF($G$2,0,IF((AL$6-$G$3)&lt;1,0,IFERROR(LOOKUP(2,1/(Trigo!$E68:INDEX(Trigo!$E68:$Z68,MIN(AL$6-$G$3,22))&lt;&gt;""),Trigo!$E68:INDEX(Trigo!$E68:$Z68,MIN(AL$6-$G$3,22))),0)))))</f>
        <v>0</v>
      </c>
      <c r="AM70" s="27" t="n">
        <f aca="false">IF(COUNT(Trigo!$E68:$Z68)=0,0,MAX(0,IF((AM$6-$E$3)&lt;1,0,IFERROR(LOOKUP(2,1/(Trigo!$E68:INDEX(Trigo!$E68:$Z68,MIN(AM$6-$E$3,22))&lt;&gt;""),Trigo!$E68:INDEX(Trigo!$E68:$Z68,MIN(AM$6-$E$3,22))),0))-IF($G$2,0,IF((AM$6-$G$3)&lt;1,0,IFERROR(LOOKUP(2,1/(Trigo!$E68:INDEX(Trigo!$E68:$Z68,MIN(AM$6-$G$3,22))&lt;&gt;""),Trigo!$E68:INDEX(Trigo!$E68:$Z68,MIN(AM$6-$G$3,22))),0)))))</f>
        <v>0</v>
      </c>
      <c r="AN70" s="27" t="n">
        <f aca="false">IF(COUNT(Trigo!$E68:$Z68)=0,0,MAX(0,IF((AN$6-$E$3)&lt;1,0,IFERROR(LOOKUP(2,1/(Trigo!$E68:INDEX(Trigo!$E68:$Z68,MIN(AN$6-$E$3,22))&lt;&gt;""),Trigo!$E68:INDEX(Trigo!$E68:$Z68,MIN(AN$6-$E$3,22))),0))-IF($G$2,0,IF((AN$6-$G$3)&lt;1,0,IFERROR(LOOKUP(2,1/(Trigo!$E68:INDEX(Trigo!$E68:$Z68,MIN(AN$6-$G$3,22))&lt;&gt;""),Trigo!$E68:INDEX(Trigo!$E68:$Z68,MIN(AN$6-$G$3,22))),0)))))</f>
        <v>0</v>
      </c>
      <c r="AO70" s="27" t="n">
        <f aca="false">IF(COUNT(Trigo!$E68:$Z68)=0,0,MAX(0,IF((AO$6-$E$3)&lt;1,0,IFERROR(LOOKUP(2,1/(Trigo!$E68:INDEX(Trigo!$E68:$Z68,MIN(AO$6-$E$3,22))&lt;&gt;""),Trigo!$E68:INDEX(Trigo!$E68:$Z68,MIN(AO$6-$E$3,22))),0))-IF($G$2,0,IF((AO$6-$G$3)&lt;1,0,IFERROR(LOOKUP(2,1/(Trigo!$E68:INDEX(Trigo!$E68:$Z68,MIN(AO$6-$G$3,22))&lt;&gt;""),Trigo!$E68:INDEX(Trigo!$E68:$Z68,MIN(AO$6-$G$3,22))),0)))))</f>
        <v>0</v>
      </c>
      <c r="AP70" s="27" t="n">
        <f aca="false">IF(COUNT(Trigo!$E68:$Z68)=0,0,MAX(0,IF((AP$6-$E$3)&lt;1,0,IFERROR(LOOKUP(2,1/(Trigo!$E68:INDEX(Trigo!$E68:$Z68,MIN(AP$6-$E$3,22))&lt;&gt;""),Trigo!$E68:INDEX(Trigo!$E68:$Z68,MIN(AP$6-$E$3,22))),0))-IF($G$2,0,IF((AP$6-$G$3)&lt;1,0,IFERROR(LOOKUP(2,1/(Trigo!$E68:INDEX(Trigo!$E68:$Z68,MIN(AP$6-$G$3,22))&lt;&gt;""),Trigo!$E68:INDEX(Trigo!$E68:$Z68,MIN(AP$6-$G$3,22))),0)))))</f>
        <v>0</v>
      </c>
      <c r="AQ70" s="27" t="n">
        <f aca="false">IF(COUNT(Trigo!$E68:$Z68)=0,0,MAX(0,IF((AQ$6-$E$3)&lt;1,0,IFERROR(LOOKUP(2,1/(Trigo!$E68:INDEX(Trigo!$E68:$Z68,MIN(AQ$6-$E$3,22))&lt;&gt;""),Trigo!$E68:INDEX(Trigo!$E68:$Z68,MIN(AQ$6-$E$3,22))),0))-IF($G$2,0,IF((AQ$6-$G$3)&lt;1,0,IFERROR(LOOKUP(2,1/(Trigo!$E68:INDEX(Trigo!$E68:$Z68,MIN(AQ$6-$G$3,22))&lt;&gt;""),Trigo!$E68:INDEX(Trigo!$E68:$Z68,MIN(AQ$6-$G$3,22))),0)))))</f>
        <v>0</v>
      </c>
      <c r="AR70" s="27" t="n">
        <f aca="false">IF(COUNT(Trigo!$E68:$Z68)=0,0,MAX(0,IF((AR$6-$E$3)&lt;1,0,IFERROR(LOOKUP(2,1/(Trigo!$E68:INDEX(Trigo!$E68:$Z68,MIN(AR$6-$E$3,22))&lt;&gt;""),Trigo!$E68:INDEX(Trigo!$E68:$Z68,MIN(AR$6-$E$3,22))),0))-IF($G$2,0,IF((AR$6-$G$3)&lt;1,0,IFERROR(LOOKUP(2,1/(Trigo!$E68:INDEX(Trigo!$E68:$Z68,MIN(AR$6-$G$3,22))&lt;&gt;""),Trigo!$E68:INDEX(Trigo!$E68:$Z68,MIN(AR$6-$G$3,22))),0)))))</f>
        <v>0</v>
      </c>
      <c r="AS70" s="27" t="n">
        <f aca="false">IF(COUNT(Trigo!$E68:$Z68)=0,0,MAX(0,IF((AS$6-$E$3)&lt;1,0,IFERROR(LOOKUP(2,1/(Trigo!$E68:INDEX(Trigo!$E68:$Z68,MIN(AS$6-$E$3,22))&lt;&gt;""),Trigo!$E68:INDEX(Trigo!$E68:$Z68,MIN(AS$6-$E$3,22))),0))-IF($G$2,0,IF((AS$6-$G$3)&lt;1,0,IFERROR(LOOKUP(2,1/(Trigo!$E68:INDEX(Trigo!$E68:$Z68,MIN(AS$6-$G$3,22))&lt;&gt;""),Trigo!$E68:INDEX(Trigo!$E68:$Z68,MIN(AS$6-$G$3,22))),0)))))</f>
        <v>0</v>
      </c>
      <c r="AT70" s="27" t="n">
        <f aca="false">IF(COUNT(Trigo!$E68:$Z68)=0,0,MAX(0,IF((AT$6-$E$3)&lt;1,0,IFERROR(LOOKUP(2,1/(Trigo!$E68:INDEX(Trigo!$E68:$Z68,MIN(AT$6-$E$3,22))&lt;&gt;""),Trigo!$E68:INDEX(Trigo!$E68:$Z68,MIN(AT$6-$E$3,22))),0))-IF($G$2,0,IF((AT$6-$G$3)&lt;1,0,IFERROR(LOOKUP(2,1/(Trigo!$E68:INDEX(Trigo!$E68:$Z68,MIN(AT$6-$G$3,22))&lt;&gt;""),Trigo!$E68:INDEX(Trigo!$E68:$Z68,MIN(AT$6-$G$3,22))),0)))))</f>
        <v>0</v>
      </c>
      <c r="AU70" s="27" t="n">
        <f aca="false">IF(COUNT(Trigo!$E68:$Z68)=0,0,MAX(0,IF((AU$6-$E$3)&lt;1,0,IFERROR(LOOKUP(2,1/(Trigo!$E68:INDEX(Trigo!$E68:$Z68,MIN(AU$6-$E$3,22))&lt;&gt;""),Trigo!$E68:INDEX(Trigo!$E68:$Z68,MIN(AU$6-$E$3,22))),0))-IF($G$2,0,IF((AU$6-$G$3)&lt;1,0,IFERROR(LOOKUP(2,1/(Trigo!$E68:INDEX(Trigo!$E68:$Z68,MIN(AU$6-$G$3,22))&lt;&gt;""),Trigo!$E68:INDEX(Trigo!$E68:$Z68,MIN(AU$6-$G$3,22))),0)))))</f>
        <v>0</v>
      </c>
      <c r="AV70" s="27" t="n">
        <f aca="false">IF(COUNT(Trigo!$E68:$Z68)=0,0,MAX(0,IF((AV$6-$E$3)&lt;1,0,IFERROR(LOOKUP(2,1/(Trigo!$E68:INDEX(Trigo!$E68:$Z68,MIN(AV$6-$E$3,22))&lt;&gt;""),Trigo!$E68:INDEX(Trigo!$E68:$Z68,MIN(AV$6-$E$3,22))),0))-IF($G$2,0,IF((AV$6-$G$3)&lt;1,0,IFERROR(LOOKUP(2,1/(Trigo!$E68:INDEX(Trigo!$E68:$Z68,MIN(AV$6-$G$3,22))&lt;&gt;""),Trigo!$E68:INDEX(Trigo!$E68:$Z68,MIN(AV$6-$G$3,22))),0)))))</f>
        <v>0</v>
      </c>
      <c r="AW70" s="27" t="n">
        <f aca="false">IF(COUNT(Trigo!$E68:$Z68)=0,0,MAX(0,IF((AW$6-$E$3)&lt;1,0,IFERROR(LOOKUP(2,1/(Trigo!$E68:INDEX(Trigo!$E68:$Z68,MIN(AW$6-$E$3,22))&lt;&gt;""),Trigo!$E68:INDEX(Trigo!$E68:$Z68,MIN(AW$6-$E$3,22))),0))-IF($G$2,0,IF((AW$6-$G$3)&lt;1,0,IFERROR(LOOKUP(2,1/(Trigo!$E68:INDEX(Trigo!$E68:$Z68,MIN(AW$6-$G$3,22))&lt;&gt;""),Trigo!$E68:INDEX(Trigo!$E68:$Z68,MIN(AW$6-$G$3,22))),0)))))</f>
        <v>0</v>
      </c>
      <c r="AX70" s="27" t="n">
        <f aca="false">IF(COUNT(Trigo!$E68:$Z68)=0,0,MAX(0,IF((AX$6-$E$3)&lt;1,0,IFERROR(LOOKUP(2,1/(Trigo!$E68:INDEX(Trigo!$E68:$Z68,MIN(AX$6-$E$3,22))&lt;&gt;""),Trigo!$E68:INDEX(Trigo!$E68:$Z68,MIN(AX$6-$E$3,22))),0))-IF($G$2,0,IF((AX$6-$G$3)&lt;1,0,IFERROR(LOOKUP(2,1/(Trigo!$E68:INDEX(Trigo!$E68:$Z68,MIN(AX$6-$G$3,22))&lt;&gt;""),Trigo!$E68:INDEX(Trigo!$E68:$Z68,MIN(AX$6-$G$3,22))),0)))))</f>
        <v>0</v>
      </c>
      <c r="AY70" s="27" t="n">
        <f aca="false">IF(COUNT(Trigo!$E68:$Z68)=0,0,MAX(0,IF((AY$6-$E$3)&lt;1,0,IFERROR(LOOKUP(2,1/(Trigo!$E68:INDEX(Trigo!$E68:$Z68,MIN(AY$6-$E$3,22))&lt;&gt;""),Trigo!$E68:INDEX(Trigo!$E68:$Z68,MIN(AY$6-$E$3,22))),0))-IF($G$2,0,IF((AY$6-$G$3)&lt;1,0,IFERROR(LOOKUP(2,1/(Trigo!$E68:INDEX(Trigo!$E68:$Z68,MIN(AY$6-$G$3,22))&lt;&gt;""),Trigo!$E68:INDEX(Trigo!$E68:$Z68,MIN(AY$6-$G$3,22))),0)))))</f>
        <v>0</v>
      </c>
      <c r="AZ70" s="27" t="n">
        <f aca="false">IF(COUNT(Trigo!$E68:$Z68)=0,0,MAX(0,IF((AZ$6-$E$3)&lt;1,0,IFERROR(LOOKUP(2,1/(Trigo!$E68:INDEX(Trigo!$E68:$Z68,MIN(AZ$6-$E$3,22))&lt;&gt;""),Trigo!$E68:INDEX(Trigo!$E68:$Z68,MIN(AZ$6-$E$3,22))),0))-IF($G$2,0,IF((AZ$6-$G$3)&lt;1,0,IFERROR(LOOKUP(2,1/(Trigo!$E68:INDEX(Trigo!$E68:$Z68,MIN(AZ$6-$G$3,22))&lt;&gt;""),Trigo!$E68:INDEX(Trigo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IF(COUNT(Trigo!$E69:$Z69)&gt;0,N(Trigo!$D69),0)</f>
        <v>0</v>
      </c>
      <c r="E71" s="27" t="n">
        <f aca="false">IF(COUNT(Trigo!$E69:$Z69)=0,0,MAX(0,IF((E$6-$E$3)&lt;1,0,IFERROR(LOOKUP(2,1/(Trigo!$E69:INDEX(Trigo!$E69:$Z69,MIN(E$6-$E$3,22))&lt;&gt;""),Trigo!$E69:INDEX(Trigo!$E69:$Z69,MIN(E$6-$E$3,22))),0))-IF($G$2,0,IF((E$6-$G$3)&lt;1,0,IFERROR(LOOKUP(2,1/(Trigo!$E69:INDEX(Trigo!$E69:$Z69,MIN(E$6-$G$3,22))&lt;&gt;""),Trigo!$E69:INDEX(Trigo!$E69:$Z69,MIN(E$6-$G$3,22))),0)))))</f>
        <v>0</v>
      </c>
      <c r="F71" s="27" t="n">
        <f aca="false">IF(COUNT(Trigo!$E69:$Z69)=0,0,MAX(0,IF((F$6-$E$3)&lt;1,0,IFERROR(LOOKUP(2,1/(Trigo!$E69:INDEX(Trigo!$E69:$Z69,MIN(F$6-$E$3,22))&lt;&gt;""),Trigo!$E69:INDEX(Trigo!$E69:$Z69,MIN(F$6-$E$3,22))),0))-IF($G$2,0,IF((F$6-$G$3)&lt;1,0,IFERROR(LOOKUP(2,1/(Trigo!$E69:INDEX(Trigo!$E69:$Z69,MIN(F$6-$G$3,22))&lt;&gt;""),Trigo!$E69:INDEX(Trigo!$E69:$Z69,MIN(F$6-$G$3,22))),0)))))</f>
        <v>0</v>
      </c>
      <c r="G71" s="27" t="n">
        <f aca="false">IF(COUNT(Trigo!$E69:$Z69)=0,0,MAX(0,IF((G$6-$E$3)&lt;1,0,IFERROR(LOOKUP(2,1/(Trigo!$E69:INDEX(Trigo!$E69:$Z69,MIN(G$6-$E$3,22))&lt;&gt;""),Trigo!$E69:INDEX(Trigo!$E69:$Z69,MIN(G$6-$E$3,22))),0))-IF($G$2,0,IF((G$6-$G$3)&lt;1,0,IFERROR(LOOKUP(2,1/(Trigo!$E69:INDEX(Trigo!$E69:$Z69,MIN(G$6-$G$3,22))&lt;&gt;""),Trigo!$E69:INDEX(Trigo!$E69:$Z69,MIN(G$6-$G$3,22))),0)))))</f>
        <v>0</v>
      </c>
      <c r="H71" s="27" t="n">
        <f aca="false">IF(COUNT(Trigo!$E69:$Z69)=0,0,MAX(0,IF((H$6-$E$3)&lt;1,0,IFERROR(LOOKUP(2,1/(Trigo!$E69:INDEX(Trigo!$E69:$Z69,MIN(H$6-$E$3,22))&lt;&gt;""),Trigo!$E69:INDEX(Trigo!$E69:$Z69,MIN(H$6-$E$3,22))),0))-IF($G$2,0,IF((H$6-$G$3)&lt;1,0,IFERROR(LOOKUP(2,1/(Trigo!$E69:INDEX(Trigo!$E69:$Z69,MIN(H$6-$G$3,22))&lt;&gt;""),Trigo!$E69:INDEX(Trigo!$E69:$Z69,MIN(H$6-$G$3,22))),0)))))</f>
        <v>0</v>
      </c>
      <c r="I71" s="27" t="n">
        <f aca="false">IF(COUNT(Trigo!$E69:$Z69)=0,0,MAX(0,IF((I$6-$E$3)&lt;1,0,IFERROR(LOOKUP(2,1/(Trigo!$E69:INDEX(Trigo!$E69:$Z69,MIN(I$6-$E$3,22))&lt;&gt;""),Trigo!$E69:INDEX(Trigo!$E69:$Z69,MIN(I$6-$E$3,22))),0))-IF($G$2,0,IF((I$6-$G$3)&lt;1,0,IFERROR(LOOKUP(2,1/(Trigo!$E69:INDEX(Trigo!$E69:$Z69,MIN(I$6-$G$3,22))&lt;&gt;""),Trigo!$E69:INDEX(Trigo!$E69:$Z69,MIN(I$6-$G$3,22))),0)))))</f>
        <v>0</v>
      </c>
      <c r="J71" s="27" t="n">
        <f aca="false">IF(COUNT(Trigo!$E69:$Z69)=0,0,MAX(0,IF((J$6-$E$3)&lt;1,0,IFERROR(LOOKUP(2,1/(Trigo!$E69:INDEX(Trigo!$E69:$Z69,MIN(J$6-$E$3,22))&lt;&gt;""),Trigo!$E69:INDEX(Trigo!$E69:$Z69,MIN(J$6-$E$3,22))),0))-IF($G$2,0,IF((J$6-$G$3)&lt;1,0,IFERROR(LOOKUP(2,1/(Trigo!$E69:INDEX(Trigo!$E69:$Z69,MIN(J$6-$G$3,22))&lt;&gt;""),Trigo!$E69:INDEX(Trigo!$E69:$Z69,MIN(J$6-$G$3,22))),0)))))</f>
        <v>0</v>
      </c>
      <c r="K71" s="27" t="n">
        <f aca="false">IF(COUNT(Trigo!$E69:$Z69)=0,0,MAX(0,IF((K$6-$E$3)&lt;1,0,IFERROR(LOOKUP(2,1/(Trigo!$E69:INDEX(Trigo!$E69:$Z69,MIN(K$6-$E$3,22))&lt;&gt;""),Trigo!$E69:INDEX(Trigo!$E69:$Z69,MIN(K$6-$E$3,22))),0))-IF($G$2,0,IF((K$6-$G$3)&lt;1,0,IFERROR(LOOKUP(2,1/(Trigo!$E69:INDEX(Trigo!$E69:$Z69,MIN(K$6-$G$3,22))&lt;&gt;""),Trigo!$E69:INDEX(Trigo!$E69:$Z69,MIN(K$6-$G$3,22))),0)))))</f>
        <v>0</v>
      </c>
      <c r="L71" s="27" t="n">
        <f aca="false">IF(COUNT(Trigo!$E69:$Z69)=0,0,MAX(0,IF((L$6-$E$3)&lt;1,0,IFERROR(LOOKUP(2,1/(Trigo!$E69:INDEX(Trigo!$E69:$Z69,MIN(L$6-$E$3,22))&lt;&gt;""),Trigo!$E69:INDEX(Trigo!$E69:$Z69,MIN(L$6-$E$3,22))),0))-IF($G$2,0,IF((L$6-$G$3)&lt;1,0,IFERROR(LOOKUP(2,1/(Trigo!$E69:INDEX(Trigo!$E69:$Z69,MIN(L$6-$G$3,22))&lt;&gt;""),Trigo!$E69:INDEX(Trigo!$E69:$Z69,MIN(L$6-$G$3,22))),0)))))</f>
        <v>0</v>
      </c>
      <c r="M71" s="27" t="n">
        <f aca="false">IF(COUNT(Trigo!$E69:$Z69)=0,0,MAX(0,IF((M$6-$E$3)&lt;1,0,IFERROR(LOOKUP(2,1/(Trigo!$E69:INDEX(Trigo!$E69:$Z69,MIN(M$6-$E$3,22))&lt;&gt;""),Trigo!$E69:INDEX(Trigo!$E69:$Z69,MIN(M$6-$E$3,22))),0))-IF($G$2,0,IF((M$6-$G$3)&lt;1,0,IFERROR(LOOKUP(2,1/(Trigo!$E69:INDEX(Trigo!$E69:$Z69,MIN(M$6-$G$3,22))&lt;&gt;""),Trigo!$E69:INDEX(Trigo!$E69:$Z69,MIN(M$6-$G$3,22))),0)))))</f>
        <v>0</v>
      </c>
      <c r="N71" s="27" t="n">
        <f aca="false">IF(COUNT(Trigo!$E69:$Z69)=0,0,MAX(0,IF((N$6-$E$3)&lt;1,0,IFERROR(LOOKUP(2,1/(Trigo!$E69:INDEX(Trigo!$E69:$Z69,MIN(N$6-$E$3,22))&lt;&gt;""),Trigo!$E69:INDEX(Trigo!$E69:$Z69,MIN(N$6-$E$3,22))),0))-IF($G$2,0,IF((N$6-$G$3)&lt;1,0,IFERROR(LOOKUP(2,1/(Trigo!$E69:INDEX(Trigo!$E69:$Z69,MIN(N$6-$G$3,22))&lt;&gt;""),Trigo!$E69:INDEX(Trigo!$E69:$Z69,MIN(N$6-$G$3,22))),0)))))</f>
        <v>0</v>
      </c>
      <c r="O71" s="27" t="n">
        <f aca="false">IF(COUNT(Trigo!$E69:$Z69)=0,0,MAX(0,IF((O$6-$E$3)&lt;1,0,IFERROR(LOOKUP(2,1/(Trigo!$E69:INDEX(Trigo!$E69:$Z69,MIN(O$6-$E$3,22))&lt;&gt;""),Trigo!$E69:INDEX(Trigo!$E69:$Z69,MIN(O$6-$E$3,22))),0))-IF($G$2,0,IF((O$6-$G$3)&lt;1,0,IFERROR(LOOKUP(2,1/(Trigo!$E69:INDEX(Trigo!$E69:$Z69,MIN(O$6-$G$3,22))&lt;&gt;""),Trigo!$E69:INDEX(Trigo!$E69:$Z69,MIN(O$6-$G$3,22))),0)))))</f>
        <v>0</v>
      </c>
      <c r="P71" s="27" t="n">
        <f aca="false">IF(COUNT(Trigo!$E69:$Z69)=0,0,MAX(0,IF((P$6-$E$3)&lt;1,0,IFERROR(LOOKUP(2,1/(Trigo!$E69:INDEX(Trigo!$E69:$Z69,MIN(P$6-$E$3,22))&lt;&gt;""),Trigo!$E69:INDEX(Trigo!$E69:$Z69,MIN(P$6-$E$3,22))),0))-IF($G$2,0,IF((P$6-$G$3)&lt;1,0,IFERROR(LOOKUP(2,1/(Trigo!$E69:INDEX(Trigo!$E69:$Z69,MIN(P$6-$G$3,22))&lt;&gt;""),Trigo!$E69:INDEX(Trigo!$E69:$Z69,MIN(P$6-$G$3,22))),0)))))</f>
        <v>0</v>
      </c>
      <c r="Q71" s="27" t="n">
        <f aca="false">IF(COUNT(Trigo!$E69:$Z69)=0,0,MAX(0,IF((Q$6-$E$3)&lt;1,0,IFERROR(LOOKUP(2,1/(Trigo!$E69:INDEX(Trigo!$E69:$Z69,MIN(Q$6-$E$3,22))&lt;&gt;""),Trigo!$E69:INDEX(Trigo!$E69:$Z69,MIN(Q$6-$E$3,22))),0))-IF($G$2,0,IF((Q$6-$G$3)&lt;1,0,IFERROR(LOOKUP(2,1/(Trigo!$E69:INDEX(Trigo!$E69:$Z69,MIN(Q$6-$G$3,22))&lt;&gt;""),Trigo!$E69:INDEX(Trigo!$E69:$Z69,MIN(Q$6-$G$3,22))),0)))))</f>
        <v>0</v>
      </c>
      <c r="R71" s="27" t="n">
        <f aca="false">IF(COUNT(Trigo!$E69:$Z69)=0,0,MAX(0,IF((R$6-$E$3)&lt;1,0,IFERROR(LOOKUP(2,1/(Trigo!$E69:INDEX(Trigo!$E69:$Z69,MIN(R$6-$E$3,22))&lt;&gt;""),Trigo!$E69:INDEX(Trigo!$E69:$Z69,MIN(R$6-$E$3,22))),0))-IF($G$2,0,IF((R$6-$G$3)&lt;1,0,IFERROR(LOOKUP(2,1/(Trigo!$E69:INDEX(Trigo!$E69:$Z69,MIN(R$6-$G$3,22))&lt;&gt;""),Trigo!$E69:INDEX(Trigo!$E69:$Z69,MIN(R$6-$G$3,22))),0)))))</f>
        <v>0</v>
      </c>
      <c r="S71" s="27" t="n">
        <f aca="false">IF(COUNT(Trigo!$E69:$Z69)=0,0,MAX(0,IF((S$6-$E$3)&lt;1,0,IFERROR(LOOKUP(2,1/(Trigo!$E69:INDEX(Trigo!$E69:$Z69,MIN(S$6-$E$3,22))&lt;&gt;""),Trigo!$E69:INDEX(Trigo!$E69:$Z69,MIN(S$6-$E$3,22))),0))-IF($G$2,0,IF((S$6-$G$3)&lt;1,0,IFERROR(LOOKUP(2,1/(Trigo!$E69:INDEX(Trigo!$E69:$Z69,MIN(S$6-$G$3,22))&lt;&gt;""),Trigo!$E69:INDEX(Trigo!$E69:$Z69,MIN(S$6-$G$3,22))),0)))))</f>
        <v>0</v>
      </c>
      <c r="T71" s="27" t="n">
        <f aca="false">IF(COUNT(Trigo!$E69:$Z69)=0,0,MAX(0,IF((T$6-$E$3)&lt;1,0,IFERROR(LOOKUP(2,1/(Trigo!$E69:INDEX(Trigo!$E69:$Z69,MIN(T$6-$E$3,22))&lt;&gt;""),Trigo!$E69:INDEX(Trigo!$E69:$Z69,MIN(T$6-$E$3,22))),0))-IF($G$2,0,IF((T$6-$G$3)&lt;1,0,IFERROR(LOOKUP(2,1/(Trigo!$E69:INDEX(Trigo!$E69:$Z69,MIN(T$6-$G$3,22))&lt;&gt;""),Trigo!$E69:INDEX(Trigo!$E69:$Z69,MIN(T$6-$G$3,22))),0)))))</f>
        <v>0</v>
      </c>
      <c r="U71" s="27" t="n">
        <f aca="false">IF(COUNT(Trigo!$E69:$Z69)=0,0,MAX(0,IF((U$6-$E$3)&lt;1,0,IFERROR(LOOKUP(2,1/(Trigo!$E69:INDEX(Trigo!$E69:$Z69,MIN(U$6-$E$3,22))&lt;&gt;""),Trigo!$E69:INDEX(Trigo!$E69:$Z69,MIN(U$6-$E$3,22))),0))-IF($G$2,0,IF((U$6-$G$3)&lt;1,0,IFERROR(LOOKUP(2,1/(Trigo!$E69:INDEX(Trigo!$E69:$Z69,MIN(U$6-$G$3,22))&lt;&gt;""),Trigo!$E69:INDEX(Trigo!$E69:$Z69,MIN(U$6-$G$3,22))),0)))))</f>
        <v>0</v>
      </c>
      <c r="V71" s="27" t="n">
        <f aca="false">IF(COUNT(Trigo!$E69:$Z69)=0,0,MAX(0,IF((V$6-$E$3)&lt;1,0,IFERROR(LOOKUP(2,1/(Trigo!$E69:INDEX(Trigo!$E69:$Z69,MIN(V$6-$E$3,22))&lt;&gt;""),Trigo!$E69:INDEX(Trigo!$E69:$Z69,MIN(V$6-$E$3,22))),0))-IF($G$2,0,IF((V$6-$G$3)&lt;1,0,IFERROR(LOOKUP(2,1/(Trigo!$E69:INDEX(Trigo!$E69:$Z69,MIN(V$6-$G$3,22))&lt;&gt;""),Trigo!$E69:INDEX(Trigo!$E69:$Z69,MIN(V$6-$G$3,22))),0)))))</f>
        <v>0</v>
      </c>
      <c r="W71" s="27" t="n">
        <f aca="false">IF(COUNT(Trigo!$E69:$Z69)=0,0,MAX(0,IF((W$6-$E$3)&lt;1,0,IFERROR(LOOKUP(2,1/(Trigo!$E69:INDEX(Trigo!$E69:$Z69,MIN(W$6-$E$3,22))&lt;&gt;""),Trigo!$E69:INDEX(Trigo!$E69:$Z69,MIN(W$6-$E$3,22))),0))-IF($G$2,0,IF((W$6-$G$3)&lt;1,0,IFERROR(LOOKUP(2,1/(Trigo!$E69:INDEX(Trigo!$E69:$Z69,MIN(W$6-$G$3,22))&lt;&gt;""),Trigo!$E69:INDEX(Trigo!$E69:$Z69,MIN(W$6-$G$3,22))),0)))))</f>
        <v>0</v>
      </c>
      <c r="X71" s="27" t="n">
        <f aca="false">IF(COUNT(Trigo!$E69:$Z69)=0,0,MAX(0,IF((X$6-$E$3)&lt;1,0,IFERROR(LOOKUP(2,1/(Trigo!$E69:INDEX(Trigo!$E69:$Z69,MIN(X$6-$E$3,22))&lt;&gt;""),Trigo!$E69:INDEX(Trigo!$E69:$Z69,MIN(X$6-$E$3,22))),0))-IF($G$2,0,IF((X$6-$G$3)&lt;1,0,IFERROR(LOOKUP(2,1/(Trigo!$E69:INDEX(Trigo!$E69:$Z69,MIN(X$6-$G$3,22))&lt;&gt;""),Trigo!$E69:INDEX(Trigo!$E69:$Z69,MIN(X$6-$G$3,22))),0)))))</f>
        <v>0</v>
      </c>
      <c r="Y71" s="27" t="n">
        <f aca="false">IF(COUNT(Trigo!$E69:$Z69)=0,0,MAX(0,IF((Y$6-$E$3)&lt;1,0,IFERROR(LOOKUP(2,1/(Trigo!$E69:INDEX(Trigo!$E69:$Z69,MIN(Y$6-$E$3,22))&lt;&gt;""),Trigo!$E69:INDEX(Trigo!$E69:$Z69,MIN(Y$6-$E$3,22))),0))-IF($G$2,0,IF((Y$6-$G$3)&lt;1,0,IFERROR(LOOKUP(2,1/(Trigo!$E69:INDEX(Trigo!$E69:$Z69,MIN(Y$6-$G$3,22))&lt;&gt;""),Trigo!$E69:INDEX(Trigo!$E69:$Z69,MIN(Y$6-$G$3,22))),0)))))</f>
        <v>0</v>
      </c>
      <c r="Z71" s="27" t="n">
        <f aca="false">IF(COUNT(Trigo!$E69:$Z69)=0,0,MAX(0,IF((Z$6-$E$3)&lt;1,0,IFERROR(LOOKUP(2,1/(Trigo!$E69:INDEX(Trigo!$E69:$Z69,MIN(Z$6-$E$3,22))&lt;&gt;""),Trigo!$E69:INDEX(Trigo!$E69:$Z69,MIN(Z$6-$E$3,22))),0))-IF($G$2,0,IF((Z$6-$G$3)&lt;1,0,IFERROR(LOOKUP(2,1/(Trigo!$E69:INDEX(Trigo!$E69:$Z69,MIN(Z$6-$G$3,22))&lt;&gt;""),Trigo!$E69:INDEX(Trigo!$E69:$Z69,MIN(Z$6-$G$3,22))),0)))))</f>
        <v>0</v>
      </c>
      <c r="AA71" s="27" t="n">
        <f aca="false">IF(COUNT(Trigo!$E69:$Z69)=0,0,MAX(0,IF((AA$6-$E$3)&lt;1,0,IFERROR(LOOKUP(2,1/(Trigo!$E69:INDEX(Trigo!$E69:$Z69,MIN(AA$6-$E$3,22))&lt;&gt;""),Trigo!$E69:INDEX(Trigo!$E69:$Z69,MIN(AA$6-$E$3,22))),0))-IF($G$2,0,IF((AA$6-$G$3)&lt;1,0,IFERROR(LOOKUP(2,1/(Trigo!$E69:INDEX(Trigo!$E69:$Z69,MIN(AA$6-$G$3,22))&lt;&gt;""),Trigo!$E69:INDEX(Trigo!$E69:$Z69,MIN(AA$6-$G$3,22))),0)))))</f>
        <v>0</v>
      </c>
      <c r="AB71" s="27" t="n">
        <f aca="false">IF(COUNT(Trigo!$E69:$Z69)=0,0,MAX(0,IF((AB$6-$E$3)&lt;1,0,IFERROR(LOOKUP(2,1/(Trigo!$E69:INDEX(Trigo!$E69:$Z69,MIN(AB$6-$E$3,22))&lt;&gt;""),Trigo!$E69:INDEX(Trigo!$E69:$Z69,MIN(AB$6-$E$3,22))),0))-IF($G$2,0,IF((AB$6-$G$3)&lt;1,0,IFERROR(LOOKUP(2,1/(Trigo!$E69:INDEX(Trigo!$E69:$Z69,MIN(AB$6-$G$3,22))&lt;&gt;""),Trigo!$E69:INDEX(Trigo!$E69:$Z69,MIN(AB$6-$G$3,22))),0)))))</f>
        <v>0</v>
      </c>
      <c r="AC71" s="27" t="n">
        <f aca="false">IF(COUNT(Trigo!$E69:$Z69)=0,0,MAX(0,IF((AC$6-$E$3)&lt;1,0,IFERROR(LOOKUP(2,1/(Trigo!$E69:INDEX(Trigo!$E69:$Z69,MIN(AC$6-$E$3,22))&lt;&gt;""),Trigo!$E69:INDEX(Trigo!$E69:$Z69,MIN(AC$6-$E$3,22))),0))-IF($G$2,0,IF((AC$6-$G$3)&lt;1,0,IFERROR(LOOKUP(2,1/(Trigo!$E69:INDEX(Trigo!$E69:$Z69,MIN(AC$6-$G$3,22))&lt;&gt;""),Trigo!$E69:INDEX(Trigo!$E69:$Z69,MIN(AC$6-$G$3,22))),0)))))</f>
        <v>0</v>
      </c>
      <c r="AD71" s="27" t="n">
        <f aca="false">IF(COUNT(Trigo!$E69:$Z69)=0,0,MAX(0,IF((AD$6-$E$3)&lt;1,0,IFERROR(LOOKUP(2,1/(Trigo!$E69:INDEX(Trigo!$E69:$Z69,MIN(AD$6-$E$3,22))&lt;&gt;""),Trigo!$E69:INDEX(Trigo!$E69:$Z69,MIN(AD$6-$E$3,22))),0))-IF($G$2,0,IF((AD$6-$G$3)&lt;1,0,IFERROR(LOOKUP(2,1/(Trigo!$E69:INDEX(Trigo!$E69:$Z69,MIN(AD$6-$G$3,22))&lt;&gt;""),Trigo!$E69:INDEX(Trigo!$E69:$Z69,MIN(AD$6-$G$3,22))),0)))))</f>
        <v>0</v>
      </c>
      <c r="AE71" s="27" t="n">
        <f aca="false">IF(COUNT(Trigo!$E69:$Z69)=0,0,MAX(0,IF((AE$6-$E$3)&lt;1,0,IFERROR(LOOKUP(2,1/(Trigo!$E69:INDEX(Trigo!$E69:$Z69,MIN(AE$6-$E$3,22))&lt;&gt;""),Trigo!$E69:INDEX(Trigo!$E69:$Z69,MIN(AE$6-$E$3,22))),0))-IF($G$2,0,IF((AE$6-$G$3)&lt;1,0,IFERROR(LOOKUP(2,1/(Trigo!$E69:INDEX(Trigo!$E69:$Z69,MIN(AE$6-$G$3,22))&lt;&gt;""),Trigo!$E69:INDEX(Trigo!$E69:$Z69,MIN(AE$6-$G$3,22))),0)))))</f>
        <v>0</v>
      </c>
      <c r="AF71" s="27" t="n">
        <f aca="false">IF(COUNT(Trigo!$E69:$Z69)=0,0,MAX(0,IF((AF$6-$E$3)&lt;1,0,IFERROR(LOOKUP(2,1/(Trigo!$E69:INDEX(Trigo!$E69:$Z69,MIN(AF$6-$E$3,22))&lt;&gt;""),Trigo!$E69:INDEX(Trigo!$E69:$Z69,MIN(AF$6-$E$3,22))),0))-IF($G$2,0,IF((AF$6-$G$3)&lt;1,0,IFERROR(LOOKUP(2,1/(Trigo!$E69:INDEX(Trigo!$E69:$Z69,MIN(AF$6-$G$3,22))&lt;&gt;""),Trigo!$E69:INDEX(Trigo!$E69:$Z69,MIN(AF$6-$G$3,22))),0)))))</f>
        <v>0</v>
      </c>
      <c r="AG71" s="27" t="n">
        <f aca="false">IF(COUNT(Trigo!$E69:$Z69)=0,0,MAX(0,IF((AG$6-$E$3)&lt;1,0,IFERROR(LOOKUP(2,1/(Trigo!$E69:INDEX(Trigo!$E69:$Z69,MIN(AG$6-$E$3,22))&lt;&gt;""),Trigo!$E69:INDEX(Trigo!$E69:$Z69,MIN(AG$6-$E$3,22))),0))-IF($G$2,0,IF((AG$6-$G$3)&lt;1,0,IFERROR(LOOKUP(2,1/(Trigo!$E69:INDEX(Trigo!$E69:$Z69,MIN(AG$6-$G$3,22))&lt;&gt;""),Trigo!$E69:INDEX(Trigo!$E69:$Z69,MIN(AG$6-$G$3,22))),0)))))</f>
        <v>0</v>
      </c>
      <c r="AH71" s="27" t="n">
        <f aca="false">IF(COUNT(Trigo!$E69:$Z69)=0,0,MAX(0,IF((AH$6-$E$3)&lt;1,0,IFERROR(LOOKUP(2,1/(Trigo!$E69:INDEX(Trigo!$E69:$Z69,MIN(AH$6-$E$3,22))&lt;&gt;""),Trigo!$E69:INDEX(Trigo!$E69:$Z69,MIN(AH$6-$E$3,22))),0))-IF($G$2,0,IF((AH$6-$G$3)&lt;1,0,IFERROR(LOOKUP(2,1/(Trigo!$E69:INDEX(Trigo!$E69:$Z69,MIN(AH$6-$G$3,22))&lt;&gt;""),Trigo!$E69:INDEX(Trigo!$E69:$Z69,MIN(AH$6-$G$3,22))),0)))))</f>
        <v>0</v>
      </c>
      <c r="AI71" s="27" t="n">
        <f aca="false">IF(COUNT(Trigo!$E69:$Z69)=0,0,MAX(0,IF((AI$6-$E$3)&lt;1,0,IFERROR(LOOKUP(2,1/(Trigo!$E69:INDEX(Trigo!$E69:$Z69,MIN(AI$6-$E$3,22))&lt;&gt;""),Trigo!$E69:INDEX(Trigo!$E69:$Z69,MIN(AI$6-$E$3,22))),0))-IF($G$2,0,IF((AI$6-$G$3)&lt;1,0,IFERROR(LOOKUP(2,1/(Trigo!$E69:INDEX(Trigo!$E69:$Z69,MIN(AI$6-$G$3,22))&lt;&gt;""),Trigo!$E69:INDEX(Trigo!$E69:$Z69,MIN(AI$6-$G$3,22))),0)))))</f>
        <v>0</v>
      </c>
      <c r="AJ71" s="27" t="n">
        <f aca="false">IF(COUNT(Trigo!$E69:$Z69)=0,0,MAX(0,IF((AJ$6-$E$3)&lt;1,0,IFERROR(LOOKUP(2,1/(Trigo!$E69:INDEX(Trigo!$E69:$Z69,MIN(AJ$6-$E$3,22))&lt;&gt;""),Trigo!$E69:INDEX(Trigo!$E69:$Z69,MIN(AJ$6-$E$3,22))),0))-IF($G$2,0,IF((AJ$6-$G$3)&lt;1,0,IFERROR(LOOKUP(2,1/(Trigo!$E69:INDEX(Trigo!$E69:$Z69,MIN(AJ$6-$G$3,22))&lt;&gt;""),Trigo!$E69:INDEX(Trigo!$E69:$Z69,MIN(AJ$6-$G$3,22))),0)))))</f>
        <v>0</v>
      </c>
      <c r="AK71" s="27" t="n">
        <f aca="false">IF(COUNT(Trigo!$E69:$Z69)=0,0,MAX(0,IF((AK$6-$E$3)&lt;1,0,IFERROR(LOOKUP(2,1/(Trigo!$E69:INDEX(Trigo!$E69:$Z69,MIN(AK$6-$E$3,22))&lt;&gt;""),Trigo!$E69:INDEX(Trigo!$E69:$Z69,MIN(AK$6-$E$3,22))),0))-IF($G$2,0,IF((AK$6-$G$3)&lt;1,0,IFERROR(LOOKUP(2,1/(Trigo!$E69:INDEX(Trigo!$E69:$Z69,MIN(AK$6-$G$3,22))&lt;&gt;""),Trigo!$E69:INDEX(Trigo!$E69:$Z69,MIN(AK$6-$G$3,22))),0)))))</f>
        <v>0</v>
      </c>
      <c r="AL71" s="27" t="n">
        <f aca="false">IF(COUNT(Trigo!$E69:$Z69)=0,0,MAX(0,IF((AL$6-$E$3)&lt;1,0,IFERROR(LOOKUP(2,1/(Trigo!$E69:INDEX(Trigo!$E69:$Z69,MIN(AL$6-$E$3,22))&lt;&gt;""),Trigo!$E69:INDEX(Trigo!$E69:$Z69,MIN(AL$6-$E$3,22))),0))-IF($G$2,0,IF((AL$6-$G$3)&lt;1,0,IFERROR(LOOKUP(2,1/(Trigo!$E69:INDEX(Trigo!$E69:$Z69,MIN(AL$6-$G$3,22))&lt;&gt;""),Trigo!$E69:INDEX(Trigo!$E69:$Z69,MIN(AL$6-$G$3,22))),0)))))</f>
        <v>0</v>
      </c>
      <c r="AM71" s="27" t="n">
        <f aca="false">IF(COUNT(Trigo!$E69:$Z69)=0,0,MAX(0,IF((AM$6-$E$3)&lt;1,0,IFERROR(LOOKUP(2,1/(Trigo!$E69:INDEX(Trigo!$E69:$Z69,MIN(AM$6-$E$3,22))&lt;&gt;""),Trigo!$E69:INDEX(Trigo!$E69:$Z69,MIN(AM$6-$E$3,22))),0))-IF($G$2,0,IF((AM$6-$G$3)&lt;1,0,IFERROR(LOOKUP(2,1/(Trigo!$E69:INDEX(Trigo!$E69:$Z69,MIN(AM$6-$G$3,22))&lt;&gt;""),Trigo!$E69:INDEX(Trigo!$E69:$Z69,MIN(AM$6-$G$3,22))),0)))))</f>
        <v>0</v>
      </c>
      <c r="AN71" s="27" t="n">
        <f aca="false">IF(COUNT(Trigo!$E69:$Z69)=0,0,MAX(0,IF((AN$6-$E$3)&lt;1,0,IFERROR(LOOKUP(2,1/(Trigo!$E69:INDEX(Trigo!$E69:$Z69,MIN(AN$6-$E$3,22))&lt;&gt;""),Trigo!$E69:INDEX(Trigo!$E69:$Z69,MIN(AN$6-$E$3,22))),0))-IF($G$2,0,IF((AN$6-$G$3)&lt;1,0,IFERROR(LOOKUP(2,1/(Trigo!$E69:INDEX(Trigo!$E69:$Z69,MIN(AN$6-$G$3,22))&lt;&gt;""),Trigo!$E69:INDEX(Trigo!$E69:$Z69,MIN(AN$6-$G$3,22))),0)))))</f>
        <v>0</v>
      </c>
      <c r="AO71" s="27" t="n">
        <f aca="false">IF(COUNT(Trigo!$E69:$Z69)=0,0,MAX(0,IF((AO$6-$E$3)&lt;1,0,IFERROR(LOOKUP(2,1/(Trigo!$E69:INDEX(Trigo!$E69:$Z69,MIN(AO$6-$E$3,22))&lt;&gt;""),Trigo!$E69:INDEX(Trigo!$E69:$Z69,MIN(AO$6-$E$3,22))),0))-IF($G$2,0,IF((AO$6-$G$3)&lt;1,0,IFERROR(LOOKUP(2,1/(Trigo!$E69:INDEX(Trigo!$E69:$Z69,MIN(AO$6-$G$3,22))&lt;&gt;""),Trigo!$E69:INDEX(Trigo!$E69:$Z69,MIN(AO$6-$G$3,22))),0)))))</f>
        <v>0</v>
      </c>
      <c r="AP71" s="27" t="n">
        <f aca="false">IF(COUNT(Trigo!$E69:$Z69)=0,0,MAX(0,IF((AP$6-$E$3)&lt;1,0,IFERROR(LOOKUP(2,1/(Trigo!$E69:INDEX(Trigo!$E69:$Z69,MIN(AP$6-$E$3,22))&lt;&gt;""),Trigo!$E69:INDEX(Trigo!$E69:$Z69,MIN(AP$6-$E$3,22))),0))-IF($G$2,0,IF((AP$6-$G$3)&lt;1,0,IFERROR(LOOKUP(2,1/(Trigo!$E69:INDEX(Trigo!$E69:$Z69,MIN(AP$6-$G$3,22))&lt;&gt;""),Trigo!$E69:INDEX(Trigo!$E69:$Z69,MIN(AP$6-$G$3,22))),0)))))</f>
        <v>0</v>
      </c>
      <c r="AQ71" s="27" t="n">
        <f aca="false">IF(COUNT(Trigo!$E69:$Z69)=0,0,MAX(0,IF((AQ$6-$E$3)&lt;1,0,IFERROR(LOOKUP(2,1/(Trigo!$E69:INDEX(Trigo!$E69:$Z69,MIN(AQ$6-$E$3,22))&lt;&gt;""),Trigo!$E69:INDEX(Trigo!$E69:$Z69,MIN(AQ$6-$E$3,22))),0))-IF($G$2,0,IF((AQ$6-$G$3)&lt;1,0,IFERROR(LOOKUP(2,1/(Trigo!$E69:INDEX(Trigo!$E69:$Z69,MIN(AQ$6-$G$3,22))&lt;&gt;""),Trigo!$E69:INDEX(Trigo!$E69:$Z69,MIN(AQ$6-$G$3,22))),0)))))</f>
        <v>0</v>
      </c>
      <c r="AR71" s="27" t="n">
        <f aca="false">IF(COUNT(Trigo!$E69:$Z69)=0,0,MAX(0,IF((AR$6-$E$3)&lt;1,0,IFERROR(LOOKUP(2,1/(Trigo!$E69:INDEX(Trigo!$E69:$Z69,MIN(AR$6-$E$3,22))&lt;&gt;""),Trigo!$E69:INDEX(Trigo!$E69:$Z69,MIN(AR$6-$E$3,22))),0))-IF($G$2,0,IF((AR$6-$G$3)&lt;1,0,IFERROR(LOOKUP(2,1/(Trigo!$E69:INDEX(Trigo!$E69:$Z69,MIN(AR$6-$G$3,22))&lt;&gt;""),Trigo!$E69:INDEX(Trigo!$E69:$Z69,MIN(AR$6-$G$3,22))),0)))))</f>
        <v>0</v>
      </c>
      <c r="AS71" s="27" t="n">
        <f aca="false">IF(COUNT(Trigo!$E69:$Z69)=0,0,MAX(0,IF((AS$6-$E$3)&lt;1,0,IFERROR(LOOKUP(2,1/(Trigo!$E69:INDEX(Trigo!$E69:$Z69,MIN(AS$6-$E$3,22))&lt;&gt;""),Trigo!$E69:INDEX(Trigo!$E69:$Z69,MIN(AS$6-$E$3,22))),0))-IF($G$2,0,IF((AS$6-$G$3)&lt;1,0,IFERROR(LOOKUP(2,1/(Trigo!$E69:INDEX(Trigo!$E69:$Z69,MIN(AS$6-$G$3,22))&lt;&gt;""),Trigo!$E69:INDEX(Trigo!$E69:$Z69,MIN(AS$6-$G$3,22))),0)))))</f>
        <v>0</v>
      </c>
      <c r="AT71" s="27" t="n">
        <f aca="false">IF(COUNT(Trigo!$E69:$Z69)=0,0,MAX(0,IF((AT$6-$E$3)&lt;1,0,IFERROR(LOOKUP(2,1/(Trigo!$E69:INDEX(Trigo!$E69:$Z69,MIN(AT$6-$E$3,22))&lt;&gt;""),Trigo!$E69:INDEX(Trigo!$E69:$Z69,MIN(AT$6-$E$3,22))),0))-IF($G$2,0,IF((AT$6-$G$3)&lt;1,0,IFERROR(LOOKUP(2,1/(Trigo!$E69:INDEX(Trigo!$E69:$Z69,MIN(AT$6-$G$3,22))&lt;&gt;""),Trigo!$E69:INDEX(Trigo!$E69:$Z69,MIN(AT$6-$G$3,22))),0)))))</f>
        <v>0</v>
      </c>
      <c r="AU71" s="27" t="n">
        <f aca="false">IF(COUNT(Trigo!$E69:$Z69)=0,0,MAX(0,IF((AU$6-$E$3)&lt;1,0,IFERROR(LOOKUP(2,1/(Trigo!$E69:INDEX(Trigo!$E69:$Z69,MIN(AU$6-$E$3,22))&lt;&gt;""),Trigo!$E69:INDEX(Trigo!$E69:$Z69,MIN(AU$6-$E$3,22))),0))-IF($G$2,0,IF((AU$6-$G$3)&lt;1,0,IFERROR(LOOKUP(2,1/(Trigo!$E69:INDEX(Trigo!$E69:$Z69,MIN(AU$6-$G$3,22))&lt;&gt;""),Trigo!$E69:INDEX(Trigo!$E69:$Z69,MIN(AU$6-$G$3,22))),0)))))</f>
        <v>0</v>
      </c>
      <c r="AV71" s="27" t="n">
        <f aca="false">IF(COUNT(Trigo!$E69:$Z69)=0,0,MAX(0,IF((AV$6-$E$3)&lt;1,0,IFERROR(LOOKUP(2,1/(Trigo!$E69:INDEX(Trigo!$E69:$Z69,MIN(AV$6-$E$3,22))&lt;&gt;""),Trigo!$E69:INDEX(Trigo!$E69:$Z69,MIN(AV$6-$E$3,22))),0))-IF($G$2,0,IF((AV$6-$G$3)&lt;1,0,IFERROR(LOOKUP(2,1/(Trigo!$E69:INDEX(Trigo!$E69:$Z69,MIN(AV$6-$G$3,22))&lt;&gt;""),Trigo!$E69:INDEX(Trigo!$E69:$Z69,MIN(AV$6-$G$3,22))),0)))))</f>
        <v>0</v>
      </c>
      <c r="AW71" s="27" t="n">
        <f aca="false">IF(COUNT(Trigo!$E69:$Z69)=0,0,MAX(0,IF((AW$6-$E$3)&lt;1,0,IFERROR(LOOKUP(2,1/(Trigo!$E69:INDEX(Trigo!$E69:$Z69,MIN(AW$6-$E$3,22))&lt;&gt;""),Trigo!$E69:INDEX(Trigo!$E69:$Z69,MIN(AW$6-$E$3,22))),0))-IF($G$2,0,IF((AW$6-$G$3)&lt;1,0,IFERROR(LOOKUP(2,1/(Trigo!$E69:INDEX(Trigo!$E69:$Z69,MIN(AW$6-$G$3,22))&lt;&gt;""),Trigo!$E69:INDEX(Trigo!$E69:$Z69,MIN(AW$6-$G$3,22))),0)))))</f>
        <v>0</v>
      </c>
      <c r="AX71" s="27" t="n">
        <f aca="false">IF(COUNT(Trigo!$E69:$Z69)=0,0,MAX(0,IF((AX$6-$E$3)&lt;1,0,IFERROR(LOOKUP(2,1/(Trigo!$E69:INDEX(Trigo!$E69:$Z69,MIN(AX$6-$E$3,22))&lt;&gt;""),Trigo!$E69:INDEX(Trigo!$E69:$Z69,MIN(AX$6-$E$3,22))),0))-IF($G$2,0,IF((AX$6-$G$3)&lt;1,0,IFERROR(LOOKUP(2,1/(Trigo!$E69:INDEX(Trigo!$E69:$Z69,MIN(AX$6-$G$3,22))&lt;&gt;""),Trigo!$E69:INDEX(Trigo!$E69:$Z69,MIN(AX$6-$G$3,22))),0)))))</f>
        <v>0</v>
      </c>
      <c r="AY71" s="27" t="n">
        <f aca="false">IF(COUNT(Trigo!$E69:$Z69)=0,0,MAX(0,IF((AY$6-$E$3)&lt;1,0,IFERROR(LOOKUP(2,1/(Trigo!$E69:INDEX(Trigo!$E69:$Z69,MIN(AY$6-$E$3,22))&lt;&gt;""),Trigo!$E69:INDEX(Trigo!$E69:$Z69,MIN(AY$6-$E$3,22))),0))-IF($G$2,0,IF((AY$6-$G$3)&lt;1,0,IFERROR(LOOKUP(2,1/(Trigo!$E69:INDEX(Trigo!$E69:$Z69,MIN(AY$6-$G$3,22))&lt;&gt;""),Trigo!$E69:INDEX(Trigo!$E69:$Z69,MIN(AY$6-$G$3,22))),0)))))</f>
        <v>0</v>
      </c>
      <c r="AZ71" s="27" t="n">
        <f aca="false">IF(COUNT(Trigo!$E69:$Z69)=0,0,MAX(0,IF((AZ$6-$E$3)&lt;1,0,IFERROR(LOOKUP(2,1/(Trigo!$E69:INDEX(Trigo!$E69:$Z69,MIN(AZ$6-$E$3,22))&lt;&gt;""),Trigo!$E69:INDEX(Trigo!$E69:$Z69,MIN(AZ$6-$E$3,22))),0))-IF($G$2,0,IF((AZ$6-$G$3)&lt;1,0,IFERROR(LOOKUP(2,1/(Trigo!$E69:INDEX(Trigo!$E69:$Z69,MIN(AZ$6-$G$3,22))&lt;&gt;""),Trigo!$E69:INDEX(Trigo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IF(COUNT(Trigo!$E70:$Z70)&gt;0,N(Trigo!$D70),0)</f>
        <v>0</v>
      </c>
      <c r="E72" s="27" t="n">
        <f aca="false">IF(COUNT(Trigo!$E70:$Z70)=0,0,MAX(0,IF((E$6-$E$3)&lt;1,0,IFERROR(LOOKUP(2,1/(Trigo!$E70:INDEX(Trigo!$E70:$Z70,MIN(E$6-$E$3,22))&lt;&gt;""),Trigo!$E70:INDEX(Trigo!$E70:$Z70,MIN(E$6-$E$3,22))),0))-IF($G$2,0,IF((E$6-$G$3)&lt;1,0,IFERROR(LOOKUP(2,1/(Trigo!$E70:INDEX(Trigo!$E70:$Z70,MIN(E$6-$G$3,22))&lt;&gt;""),Trigo!$E70:INDEX(Trigo!$E70:$Z70,MIN(E$6-$G$3,22))),0)))))</f>
        <v>0</v>
      </c>
      <c r="F72" s="27" t="n">
        <f aca="false">IF(COUNT(Trigo!$E70:$Z70)=0,0,MAX(0,IF((F$6-$E$3)&lt;1,0,IFERROR(LOOKUP(2,1/(Trigo!$E70:INDEX(Trigo!$E70:$Z70,MIN(F$6-$E$3,22))&lt;&gt;""),Trigo!$E70:INDEX(Trigo!$E70:$Z70,MIN(F$6-$E$3,22))),0))-IF($G$2,0,IF((F$6-$G$3)&lt;1,0,IFERROR(LOOKUP(2,1/(Trigo!$E70:INDEX(Trigo!$E70:$Z70,MIN(F$6-$G$3,22))&lt;&gt;""),Trigo!$E70:INDEX(Trigo!$E70:$Z70,MIN(F$6-$G$3,22))),0)))))</f>
        <v>0</v>
      </c>
      <c r="G72" s="27" t="n">
        <f aca="false">IF(COUNT(Trigo!$E70:$Z70)=0,0,MAX(0,IF((G$6-$E$3)&lt;1,0,IFERROR(LOOKUP(2,1/(Trigo!$E70:INDEX(Trigo!$E70:$Z70,MIN(G$6-$E$3,22))&lt;&gt;""),Trigo!$E70:INDEX(Trigo!$E70:$Z70,MIN(G$6-$E$3,22))),0))-IF($G$2,0,IF((G$6-$G$3)&lt;1,0,IFERROR(LOOKUP(2,1/(Trigo!$E70:INDEX(Trigo!$E70:$Z70,MIN(G$6-$G$3,22))&lt;&gt;""),Trigo!$E70:INDEX(Trigo!$E70:$Z70,MIN(G$6-$G$3,22))),0)))))</f>
        <v>0</v>
      </c>
      <c r="H72" s="27" t="n">
        <f aca="false">IF(COUNT(Trigo!$E70:$Z70)=0,0,MAX(0,IF((H$6-$E$3)&lt;1,0,IFERROR(LOOKUP(2,1/(Trigo!$E70:INDEX(Trigo!$E70:$Z70,MIN(H$6-$E$3,22))&lt;&gt;""),Trigo!$E70:INDEX(Trigo!$E70:$Z70,MIN(H$6-$E$3,22))),0))-IF($G$2,0,IF((H$6-$G$3)&lt;1,0,IFERROR(LOOKUP(2,1/(Trigo!$E70:INDEX(Trigo!$E70:$Z70,MIN(H$6-$G$3,22))&lt;&gt;""),Trigo!$E70:INDEX(Trigo!$E70:$Z70,MIN(H$6-$G$3,22))),0)))))</f>
        <v>0</v>
      </c>
      <c r="I72" s="27" t="n">
        <f aca="false">IF(COUNT(Trigo!$E70:$Z70)=0,0,MAX(0,IF((I$6-$E$3)&lt;1,0,IFERROR(LOOKUP(2,1/(Trigo!$E70:INDEX(Trigo!$E70:$Z70,MIN(I$6-$E$3,22))&lt;&gt;""),Trigo!$E70:INDEX(Trigo!$E70:$Z70,MIN(I$6-$E$3,22))),0))-IF($G$2,0,IF((I$6-$G$3)&lt;1,0,IFERROR(LOOKUP(2,1/(Trigo!$E70:INDEX(Trigo!$E70:$Z70,MIN(I$6-$G$3,22))&lt;&gt;""),Trigo!$E70:INDEX(Trigo!$E70:$Z70,MIN(I$6-$G$3,22))),0)))))</f>
        <v>0</v>
      </c>
      <c r="J72" s="27" t="n">
        <f aca="false">IF(COUNT(Trigo!$E70:$Z70)=0,0,MAX(0,IF((J$6-$E$3)&lt;1,0,IFERROR(LOOKUP(2,1/(Trigo!$E70:INDEX(Trigo!$E70:$Z70,MIN(J$6-$E$3,22))&lt;&gt;""),Trigo!$E70:INDEX(Trigo!$E70:$Z70,MIN(J$6-$E$3,22))),0))-IF($G$2,0,IF((J$6-$G$3)&lt;1,0,IFERROR(LOOKUP(2,1/(Trigo!$E70:INDEX(Trigo!$E70:$Z70,MIN(J$6-$G$3,22))&lt;&gt;""),Trigo!$E70:INDEX(Trigo!$E70:$Z70,MIN(J$6-$G$3,22))),0)))))</f>
        <v>0</v>
      </c>
      <c r="K72" s="27" t="n">
        <f aca="false">IF(COUNT(Trigo!$E70:$Z70)=0,0,MAX(0,IF((K$6-$E$3)&lt;1,0,IFERROR(LOOKUP(2,1/(Trigo!$E70:INDEX(Trigo!$E70:$Z70,MIN(K$6-$E$3,22))&lt;&gt;""),Trigo!$E70:INDEX(Trigo!$E70:$Z70,MIN(K$6-$E$3,22))),0))-IF($G$2,0,IF((K$6-$G$3)&lt;1,0,IFERROR(LOOKUP(2,1/(Trigo!$E70:INDEX(Trigo!$E70:$Z70,MIN(K$6-$G$3,22))&lt;&gt;""),Trigo!$E70:INDEX(Trigo!$E70:$Z70,MIN(K$6-$G$3,22))),0)))))</f>
        <v>0</v>
      </c>
      <c r="L72" s="27" t="n">
        <f aca="false">IF(COUNT(Trigo!$E70:$Z70)=0,0,MAX(0,IF((L$6-$E$3)&lt;1,0,IFERROR(LOOKUP(2,1/(Trigo!$E70:INDEX(Trigo!$E70:$Z70,MIN(L$6-$E$3,22))&lt;&gt;""),Trigo!$E70:INDEX(Trigo!$E70:$Z70,MIN(L$6-$E$3,22))),0))-IF($G$2,0,IF((L$6-$G$3)&lt;1,0,IFERROR(LOOKUP(2,1/(Trigo!$E70:INDEX(Trigo!$E70:$Z70,MIN(L$6-$G$3,22))&lt;&gt;""),Trigo!$E70:INDEX(Trigo!$E70:$Z70,MIN(L$6-$G$3,22))),0)))))</f>
        <v>0</v>
      </c>
      <c r="M72" s="27" t="n">
        <f aca="false">IF(COUNT(Trigo!$E70:$Z70)=0,0,MAX(0,IF((M$6-$E$3)&lt;1,0,IFERROR(LOOKUP(2,1/(Trigo!$E70:INDEX(Trigo!$E70:$Z70,MIN(M$6-$E$3,22))&lt;&gt;""),Trigo!$E70:INDEX(Trigo!$E70:$Z70,MIN(M$6-$E$3,22))),0))-IF($G$2,0,IF((M$6-$G$3)&lt;1,0,IFERROR(LOOKUP(2,1/(Trigo!$E70:INDEX(Trigo!$E70:$Z70,MIN(M$6-$G$3,22))&lt;&gt;""),Trigo!$E70:INDEX(Trigo!$E70:$Z70,MIN(M$6-$G$3,22))),0)))))</f>
        <v>0</v>
      </c>
      <c r="N72" s="27" t="n">
        <f aca="false">IF(COUNT(Trigo!$E70:$Z70)=0,0,MAX(0,IF((N$6-$E$3)&lt;1,0,IFERROR(LOOKUP(2,1/(Trigo!$E70:INDEX(Trigo!$E70:$Z70,MIN(N$6-$E$3,22))&lt;&gt;""),Trigo!$E70:INDEX(Trigo!$E70:$Z70,MIN(N$6-$E$3,22))),0))-IF($G$2,0,IF((N$6-$G$3)&lt;1,0,IFERROR(LOOKUP(2,1/(Trigo!$E70:INDEX(Trigo!$E70:$Z70,MIN(N$6-$G$3,22))&lt;&gt;""),Trigo!$E70:INDEX(Trigo!$E70:$Z70,MIN(N$6-$G$3,22))),0)))))</f>
        <v>0</v>
      </c>
      <c r="O72" s="27" t="n">
        <f aca="false">IF(COUNT(Trigo!$E70:$Z70)=0,0,MAX(0,IF((O$6-$E$3)&lt;1,0,IFERROR(LOOKUP(2,1/(Trigo!$E70:INDEX(Trigo!$E70:$Z70,MIN(O$6-$E$3,22))&lt;&gt;""),Trigo!$E70:INDEX(Trigo!$E70:$Z70,MIN(O$6-$E$3,22))),0))-IF($G$2,0,IF((O$6-$G$3)&lt;1,0,IFERROR(LOOKUP(2,1/(Trigo!$E70:INDEX(Trigo!$E70:$Z70,MIN(O$6-$G$3,22))&lt;&gt;""),Trigo!$E70:INDEX(Trigo!$E70:$Z70,MIN(O$6-$G$3,22))),0)))))</f>
        <v>0</v>
      </c>
      <c r="P72" s="27" t="n">
        <f aca="false">IF(COUNT(Trigo!$E70:$Z70)=0,0,MAX(0,IF((P$6-$E$3)&lt;1,0,IFERROR(LOOKUP(2,1/(Trigo!$E70:INDEX(Trigo!$E70:$Z70,MIN(P$6-$E$3,22))&lt;&gt;""),Trigo!$E70:INDEX(Trigo!$E70:$Z70,MIN(P$6-$E$3,22))),0))-IF($G$2,0,IF((P$6-$G$3)&lt;1,0,IFERROR(LOOKUP(2,1/(Trigo!$E70:INDEX(Trigo!$E70:$Z70,MIN(P$6-$G$3,22))&lt;&gt;""),Trigo!$E70:INDEX(Trigo!$E70:$Z70,MIN(P$6-$G$3,22))),0)))))</f>
        <v>0</v>
      </c>
      <c r="Q72" s="27" t="n">
        <f aca="false">IF(COUNT(Trigo!$E70:$Z70)=0,0,MAX(0,IF((Q$6-$E$3)&lt;1,0,IFERROR(LOOKUP(2,1/(Trigo!$E70:INDEX(Trigo!$E70:$Z70,MIN(Q$6-$E$3,22))&lt;&gt;""),Trigo!$E70:INDEX(Trigo!$E70:$Z70,MIN(Q$6-$E$3,22))),0))-IF($G$2,0,IF((Q$6-$G$3)&lt;1,0,IFERROR(LOOKUP(2,1/(Trigo!$E70:INDEX(Trigo!$E70:$Z70,MIN(Q$6-$G$3,22))&lt;&gt;""),Trigo!$E70:INDEX(Trigo!$E70:$Z70,MIN(Q$6-$G$3,22))),0)))))</f>
        <v>0</v>
      </c>
      <c r="R72" s="27" t="n">
        <f aca="false">IF(COUNT(Trigo!$E70:$Z70)=0,0,MAX(0,IF((R$6-$E$3)&lt;1,0,IFERROR(LOOKUP(2,1/(Trigo!$E70:INDEX(Trigo!$E70:$Z70,MIN(R$6-$E$3,22))&lt;&gt;""),Trigo!$E70:INDEX(Trigo!$E70:$Z70,MIN(R$6-$E$3,22))),0))-IF($G$2,0,IF((R$6-$G$3)&lt;1,0,IFERROR(LOOKUP(2,1/(Trigo!$E70:INDEX(Trigo!$E70:$Z70,MIN(R$6-$G$3,22))&lt;&gt;""),Trigo!$E70:INDEX(Trigo!$E70:$Z70,MIN(R$6-$G$3,22))),0)))))</f>
        <v>0</v>
      </c>
      <c r="S72" s="27" t="n">
        <f aca="false">IF(COUNT(Trigo!$E70:$Z70)=0,0,MAX(0,IF((S$6-$E$3)&lt;1,0,IFERROR(LOOKUP(2,1/(Trigo!$E70:INDEX(Trigo!$E70:$Z70,MIN(S$6-$E$3,22))&lt;&gt;""),Trigo!$E70:INDEX(Trigo!$E70:$Z70,MIN(S$6-$E$3,22))),0))-IF($G$2,0,IF((S$6-$G$3)&lt;1,0,IFERROR(LOOKUP(2,1/(Trigo!$E70:INDEX(Trigo!$E70:$Z70,MIN(S$6-$G$3,22))&lt;&gt;""),Trigo!$E70:INDEX(Trigo!$E70:$Z70,MIN(S$6-$G$3,22))),0)))))</f>
        <v>0</v>
      </c>
      <c r="T72" s="27" t="n">
        <f aca="false">IF(COUNT(Trigo!$E70:$Z70)=0,0,MAX(0,IF((T$6-$E$3)&lt;1,0,IFERROR(LOOKUP(2,1/(Trigo!$E70:INDEX(Trigo!$E70:$Z70,MIN(T$6-$E$3,22))&lt;&gt;""),Trigo!$E70:INDEX(Trigo!$E70:$Z70,MIN(T$6-$E$3,22))),0))-IF($G$2,0,IF((T$6-$G$3)&lt;1,0,IFERROR(LOOKUP(2,1/(Trigo!$E70:INDEX(Trigo!$E70:$Z70,MIN(T$6-$G$3,22))&lt;&gt;""),Trigo!$E70:INDEX(Trigo!$E70:$Z70,MIN(T$6-$G$3,22))),0)))))</f>
        <v>0</v>
      </c>
      <c r="U72" s="27" t="n">
        <f aca="false">IF(COUNT(Trigo!$E70:$Z70)=0,0,MAX(0,IF((U$6-$E$3)&lt;1,0,IFERROR(LOOKUP(2,1/(Trigo!$E70:INDEX(Trigo!$E70:$Z70,MIN(U$6-$E$3,22))&lt;&gt;""),Trigo!$E70:INDEX(Trigo!$E70:$Z70,MIN(U$6-$E$3,22))),0))-IF($G$2,0,IF((U$6-$G$3)&lt;1,0,IFERROR(LOOKUP(2,1/(Trigo!$E70:INDEX(Trigo!$E70:$Z70,MIN(U$6-$G$3,22))&lt;&gt;""),Trigo!$E70:INDEX(Trigo!$E70:$Z70,MIN(U$6-$G$3,22))),0)))))</f>
        <v>0</v>
      </c>
      <c r="V72" s="27" t="n">
        <f aca="false">IF(COUNT(Trigo!$E70:$Z70)=0,0,MAX(0,IF((V$6-$E$3)&lt;1,0,IFERROR(LOOKUP(2,1/(Trigo!$E70:INDEX(Trigo!$E70:$Z70,MIN(V$6-$E$3,22))&lt;&gt;""),Trigo!$E70:INDEX(Trigo!$E70:$Z70,MIN(V$6-$E$3,22))),0))-IF($G$2,0,IF((V$6-$G$3)&lt;1,0,IFERROR(LOOKUP(2,1/(Trigo!$E70:INDEX(Trigo!$E70:$Z70,MIN(V$6-$G$3,22))&lt;&gt;""),Trigo!$E70:INDEX(Trigo!$E70:$Z70,MIN(V$6-$G$3,22))),0)))))</f>
        <v>0</v>
      </c>
      <c r="W72" s="27" t="n">
        <f aca="false">IF(COUNT(Trigo!$E70:$Z70)=0,0,MAX(0,IF((W$6-$E$3)&lt;1,0,IFERROR(LOOKUP(2,1/(Trigo!$E70:INDEX(Trigo!$E70:$Z70,MIN(W$6-$E$3,22))&lt;&gt;""),Trigo!$E70:INDEX(Trigo!$E70:$Z70,MIN(W$6-$E$3,22))),0))-IF($G$2,0,IF((W$6-$G$3)&lt;1,0,IFERROR(LOOKUP(2,1/(Trigo!$E70:INDEX(Trigo!$E70:$Z70,MIN(W$6-$G$3,22))&lt;&gt;""),Trigo!$E70:INDEX(Trigo!$E70:$Z70,MIN(W$6-$G$3,22))),0)))))</f>
        <v>0</v>
      </c>
      <c r="X72" s="27" t="n">
        <f aca="false">IF(COUNT(Trigo!$E70:$Z70)=0,0,MAX(0,IF((X$6-$E$3)&lt;1,0,IFERROR(LOOKUP(2,1/(Trigo!$E70:INDEX(Trigo!$E70:$Z70,MIN(X$6-$E$3,22))&lt;&gt;""),Trigo!$E70:INDEX(Trigo!$E70:$Z70,MIN(X$6-$E$3,22))),0))-IF($G$2,0,IF((X$6-$G$3)&lt;1,0,IFERROR(LOOKUP(2,1/(Trigo!$E70:INDEX(Trigo!$E70:$Z70,MIN(X$6-$G$3,22))&lt;&gt;""),Trigo!$E70:INDEX(Trigo!$E70:$Z70,MIN(X$6-$G$3,22))),0)))))</f>
        <v>0</v>
      </c>
      <c r="Y72" s="27" t="n">
        <f aca="false">IF(COUNT(Trigo!$E70:$Z70)=0,0,MAX(0,IF((Y$6-$E$3)&lt;1,0,IFERROR(LOOKUP(2,1/(Trigo!$E70:INDEX(Trigo!$E70:$Z70,MIN(Y$6-$E$3,22))&lt;&gt;""),Trigo!$E70:INDEX(Trigo!$E70:$Z70,MIN(Y$6-$E$3,22))),0))-IF($G$2,0,IF((Y$6-$G$3)&lt;1,0,IFERROR(LOOKUP(2,1/(Trigo!$E70:INDEX(Trigo!$E70:$Z70,MIN(Y$6-$G$3,22))&lt;&gt;""),Trigo!$E70:INDEX(Trigo!$E70:$Z70,MIN(Y$6-$G$3,22))),0)))))</f>
        <v>0</v>
      </c>
      <c r="Z72" s="27" t="n">
        <f aca="false">IF(COUNT(Trigo!$E70:$Z70)=0,0,MAX(0,IF((Z$6-$E$3)&lt;1,0,IFERROR(LOOKUP(2,1/(Trigo!$E70:INDEX(Trigo!$E70:$Z70,MIN(Z$6-$E$3,22))&lt;&gt;""),Trigo!$E70:INDEX(Trigo!$E70:$Z70,MIN(Z$6-$E$3,22))),0))-IF($G$2,0,IF((Z$6-$G$3)&lt;1,0,IFERROR(LOOKUP(2,1/(Trigo!$E70:INDEX(Trigo!$E70:$Z70,MIN(Z$6-$G$3,22))&lt;&gt;""),Trigo!$E70:INDEX(Trigo!$E70:$Z70,MIN(Z$6-$G$3,22))),0)))))</f>
        <v>0</v>
      </c>
      <c r="AA72" s="27" t="n">
        <f aca="false">IF(COUNT(Trigo!$E70:$Z70)=0,0,MAX(0,IF((AA$6-$E$3)&lt;1,0,IFERROR(LOOKUP(2,1/(Trigo!$E70:INDEX(Trigo!$E70:$Z70,MIN(AA$6-$E$3,22))&lt;&gt;""),Trigo!$E70:INDEX(Trigo!$E70:$Z70,MIN(AA$6-$E$3,22))),0))-IF($G$2,0,IF((AA$6-$G$3)&lt;1,0,IFERROR(LOOKUP(2,1/(Trigo!$E70:INDEX(Trigo!$E70:$Z70,MIN(AA$6-$G$3,22))&lt;&gt;""),Trigo!$E70:INDEX(Trigo!$E70:$Z70,MIN(AA$6-$G$3,22))),0)))))</f>
        <v>0</v>
      </c>
      <c r="AB72" s="27" t="n">
        <f aca="false">IF(COUNT(Trigo!$E70:$Z70)=0,0,MAX(0,IF((AB$6-$E$3)&lt;1,0,IFERROR(LOOKUP(2,1/(Trigo!$E70:INDEX(Trigo!$E70:$Z70,MIN(AB$6-$E$3,22))&lt;&gt;""),Trigo!$E70:INDEX(Trigo!$E70:$Z70,MIN(AB$6-$E$3,22))),0))-IF($G$2,0,IF((AB$6-$G$3)&lt;1,0,IFERROR(LOOKUP(2,1/(Trigo!$E70:INDEX(Trigo!$E70:$Z70,MIN(AB$6-$G$3,22))&lt;&gt;""),Trigo!$E70:INDEX(Trigo!$E70:$Z70,MIN(AB$6-$G$3,22))),0)))))</f>
        <v>0</v>
      </c>
      <c r="AC72" s="27" t="n">
        <f aca="false">IF(COUNT(Trigo!$E70:$Z70)=0,0,MAX(0,IF((AC$6-$E$3)&lt;1,0,IFERROR(LOOKUP(2,1/(Trigo!$E70:INDEX(Trigo!$E70:$Z70,MIN(AC$6-$E$3,22))&lt;&gt;""),Trigo!$E70:INDEX(Trigo!$E70:$Z70,MIN(AC$6-$E$3,22))),0))-IF($G$2,0,IF((AC$6-$G$3)&lt;1,0,IFERROR(LOOKUP(2,1/(Trigo!$E70:INDEX(Trigo!$E70:$Z70,MIN(AC$6-$G$3,22))&lt;&gt;""),Trigo!$E70:INDEX(Trigo!$E70:$Z70,MIN(AC$6-$G$3,22))),0)))))</f>
        <v>0</v>
      </c>
      <c r="AD72" s="27" t="n">
        <f aca="false">IF(COUNT(Trigo!$E70:$Z70)=0,0,MAX(0,IF((AD$6-$E$3)&lt;1,0,IFERROR(LOOKUP(2,1/(Trigo!$E70:INDEX(Trigo!$E70:$Z70,MIN(AD$6-$E$3,22))&lt;&gt;""),Trigo!$E70:INDEX(Trigo!$E70:$Z70,MIN(AD$6-$E$3,22))),0))-IF($G$2,0,IF((AD$6-$G$3)&lt;1,0,IFERROR(LOOKUP(2,1/(Trigo!$E70:INDEX(Trigo!$E70:$Z70,MIN(AD$6-$G$3,22))&lt;&gt;""),Trigo!$E70:INDEX(Trigo!$E70:$Z70,MIN(AD$6-$G$3,22))),0)))))</f>
        <v>0</v>
      </c>
      <c r="AE72" s="27" t="n">
        <f aca="false">IF(COUNT(Trigo!$E70:$Z70)=0,0,MAX(0,IF((AE$6-$E$3)&lt;1,0,IFERROR(LOOKUP(2,1/(Trigo!$E70:INDEX(Trigo!$E70:$Z70,MIN(AE$6-$E$3,22))&lt;&gt;""),Trigo!$E70:INDEX(Trigo!$E70:$Z70,MIN(AE$6-$E$3,22))),0))-IF($G$2,0,IF((AE$6-$G$3)&lt;1,0,IFERROR(LOOKUP(2,1/(Trigo!$E70:INDEX(Trigo!$E70:$Z70,MIN(AE$6-$G$3,22))&lt;&gt;""),Trigo!$E70:INDEX(Trigo!$E70:$Z70,MIN(AE$6-$G$3,22))),0)))))</f>
        <v>0</v>
      </c>
      <c r="AF72" s="27" t="n">
        <f aca="false">IF(COUNT(Trigo!$E70:$Z70)=0,0,MAX(0,IF((AF$6-$E$3)&lt;1,0,IFERROR(LOOKUP(2,1/(Trigo!$E70:INDEX(Trigo!$E70:$Z70,MIN(AF$6-$E$3,22))&lt;&gt;""),Trigo!$E70:INDEX(Trigo!$E70:$Z70,MIN(AF$6-$E$3,22))),0))-IF($G$2,0,IF((AF$6-$G$3)&lt;1,0,IFERROR(LOOKUP(2,1/(Trigo!$E70:INDEX(Trigo!$E70:$Z70,MIN(AF$6-$G$3,22))&lt;&gt;""),Trigo!$E70:INDEX(Trigo!$E70:$Z70,MIN(AF$6-$G$3,22))),0)))))</f>
        <v>0</v>
      </c>
      <c r="AG72" s="27" t="n">
        <f aca="false">IF(COUNT(Trigo!$E70:$Z70)=0,0,MAX(0,IF((AG$6-$E$3)&lt;1,0,IFERROR(LOOKUP(2,1/(Trigo!$E70:INDEX(Trigo!$E70:$Z70,MIN(AG$6-$E$3,22))&lt;&gt;""),Trigo!$E70:INDEX(Trigo!$E70:$Z70,MIN(AG$6-$E$3,22))),0))-IF($G$2,0,IF((AG$6-$G$3)&lt;1,0,IFERROR(LOOKUP(2,1/(Trigo!$E70:INDEX(Trigo!$E70:$Z70,MIN(AG$6-$G$3,22))&lt;&gt;""),Trigo!$E70:INDEX(Trigo!$E70:$Z70,MIN(AG$6-$G$3,22))),0)))))</f>
        <v>0</v>
      </c>
      <c r="AH72" s="27" t="n">
        <f aca="false">IF(COUNT(Trigo!$E70:$Z70)=0,0,MAX(0,IF((AH$6-$E$3)&lt;1,0,IFERROR(LOOKUP(2,1/(Trigo!$E70:INDEX(Trigo!$E70:$Z70,MIN(AH$6-$E$3,22))&lt;&gt;""),Trigo!$E70:INDEX(Trigo!$E70:$Z70,MIN(AH$6-$E$3,22))),0))-IF($G$2,0,IF((AH$6-$G$3)&lt;1,0,IFERROR(LOOKUP(2,1/(Trigo!$E70:INDEX(Trigo!$E70:$Z70,MIN(AH$6-$G$3,22))&lt;&gt;""),Trigo!$E70:INDEX(Trigo!$E70:$Z70,MIN(AH$6-$G$3,22))),0)))))</f>
        <v>0</v>
      </c>
      <c r="AI72" s="27" t="n">
        <f aca="false">IF(COUNT(Trigo!$E70:$Z70)=0,0,MAX(0,IF((AI$6-$E$3)&lt;1,0,IFERROR(LOOKUP(2,1/(Trigo!$E70:INDEX(Trigo!$E70:$Z70,MIN(AI$6-$E$3,22))&lt;&gt;""),Trigo!$E70:INDEX(Trigo!$E70:$Z70,MIN(AI$6-$E$3,22))),0))-IF($G$2,0,IF((AI$6-$G$3)&lt;1,0,IFERROR(LOOKUP(2,1/(Trigo!$E70:INDEX(Trigo!$E70:$Z70,MIN(AI$6-$G$3,22))&lt;&gt;""),Trigo!$E70:INDEX(Trigo!$E70:$Z70,MIN(AI$6-$G$3,22))),0)))))</f>
        <v>0</v>
      </c>
      <c r="AJ72" s="27" t="n">
        <f aca="false">IF(COUNT(Trigo!$E70:$Z70)=0,0,MAX(0,IF((AJ$6-$E$3)&lt;1,0,IFERROR(LOOKUP(2,1/(Trigo!$E70:INDEX(Trigo!$E70:$Z70,MIN(AJ$6-$E$3,22))&lt;&gt;""),Trigo!$E70:INDEX(Trigo!$E70:$Z70,MIN(AJ$6-$E$3,22))),0))-IF($G$2,0,IF((AJ$6-$G$3)&lt;1,0,IFERROR(LOOKUP(2,1/(Trigo!$E70:INDEX(Trigo!$E70:$Z70,MIN(AJ$6-$G$3,22))&lt;&gt;""),Trigo!$E70:INDEX(Trigo!$E70:$Z70,MIN(AJ$6-$G$3,22))),0)))))</f>
        <v>0</v>
      </c>
      <c r="AK72" s="27" t="n">
        <f aca="false">IF(COUNT(Trigo!$E70:$Z70)=0,0,MAX(0,IF((AK$6-$E$3)&lt;1,0,IFERROR(LOOKUP(2,1/(Trigo!$E70:INDEX(Trigo!$E70:$Z70,MIN(AK$6-$E$3,22))&lt;&gt;""),Trigo!$E70:INDEX(Trigo!$E70:$Z70,MIN(AK$6-$E$3,22))),0))-IF($G$2,0,IF((AK$6-$G$3)&lt;1,0,IFERROR(LOOKUP(2,1/(Trigo!$E70:INDEX(Trigo!$E70:$Z70,MIN(AK$6-$G$3,22))&lt;&gt;""),Trigo!$E70:INDEX(Trigo!$E70:$Z70,MIN(AK$6-$G$3,22))),0)))))</f>
        <v>0</v>
      </c>
      <c r="AL72" s="27" t="n">
        <f aca="false">IF(COUNT(Trigo!$E70:$Z70)=0,0,MAX(0,IF((AL$6-$E$3)&lt;1,0,IFERROR(LOOKUP(2,1/(Trigo!$E70:INDEX(Trigo!$E70:$Z70,MIN(AL$6-$E$3,22))&lt;&gt;""),Trigo!$E70:INDEX(Trigo!$E70:$Z70,MIN(AL$6-$E$3,22))),0))-IF($G$2,0,IF((AL$6-$G$3)&lt;1,0,IFERROR(LOOKUP(2,1/(Trigo!$E70:INDEX(Trigo!$E70:$Z70,MIN(AL$6-$G$3,22))&lt;&gt;""),Trigo!$E70:INDEX(Trigo!$E70:$Z70,MIN(AL$6-$G$3,22))),0)))))</f>
        <v>0</v>
      </c>
      <c r="AM72" s="27" t="n">
        <f aca="false">IF(COUNT(Trigo!$E70:$Z70)=0,0,MAX(0,IF((AM$6-$E$3)&lt;1,0,IFERROR(LOOKUP(2,1/(Trigo!$E70:INDEX(Trigo!$E70:$Z70,MIN(AM$6-$E$3,22))&lt;&gt;""),Trigo!$E70:INDEX(Trigo!$E70:$Z70,MIN(AM$6-$E$3,22))),0))-IF($G$2,0,IF((AM$6-$G$3)&lt;1,0,IFERROR(LOOKUP(2,1/(Trigo!$E70:INDEX(Trigo!$E70:$Z70,MIN(AM$6-$G$3,22))&lt;&gt;""),Trigo!$E70:INDEX(Trigo!$E70:$Z70,MIN(AM$6-$G$3,22))),0)))))</f>
        <v>0</v>
      </c>
      <c r="AN72" s="27" t="n">
        <f aca="false">IF(COUNT(Trigo!$E70:$Z70)=0,0,MAX(0,IF((AN$6-$E$3)&lt;1,0,IFERROR(LOOKUP(2,1/(Trigo!$E70:INDEX(Trigo!$E70:$Z70,MIN(AN$6-$E$3,22))&lt;&gt;""),Trigo!$E70:INDEX(Trigo!$E70:$Z70,MIN(AN$6-$E$3,22))),0))-IF($G$2,0,IF((AN$6-$G$3)&lt;1,0,IFERROR(LOOKUP(2,1/(Trigo!$E70:INDEX(Trigo!$E70:$Z70,MIN(AN$6-$G$3,22))&lt;&gt;""),Trigo!$E70:INDEX(Trigo!$E70:$Z70,MIN(AN$6-$G$3,22))),0)))))</f>
        <v>0</v>
      </c>
      <c r="AO72" s="27" t="n">
        <f aca="false">IF(COUNT(Trigo!$E70:$Z70)=0,0,MAX(0,IF((AO$6-$E$3)&lt;1,0,IFERROR(LOOKUP(2,1/(Trigo!$E70:INDEX(Trigo!$E70:$Z70,MIN(AO$6-$E$3,22))&lt;&gt;""),Trigo!$E70:INDEX(Trigo!$E70:$Z70,MIN(AO$6-$E$3,22))),0))-IF($G$2,0,IF((AO$6-$G$3)&lt;1,0,IFERROR(LOOKUP(2,1/(Trigo!$E70:INDEX(Trigo!$E70:$Z70,MIN(AO$6-$G$3,22))&lt;&gt;""),Trigo!$E70:INDEX(Trigo!$E70:$Z70,MIN(AO$6-$G$3,22))),0)))))</f>
        <v>0</v>
      </c>
      <c r="AP72" s="27" t="n">
        <f aca="false">IF(COUNT(Trigo!$E70:$Z70)=0,0,MAX(0,IF((AP$6-$E$3)&lt;1,0,IFERROR(LOOKUP(2,1/(Trigo!$E70:INDEX(Trigo!$E70:$Z70,MIN(AP$6-$E$3,22))&lt;&gt;""),Trigo!$E70:INDEX(Trigo!$E70:$Z70,MIN(AP$6-$E$3,22))),0))-IF($G$2,0,IF((AP$6-$G$3)&lt;1,0,IFERROR(LOOKUP(2,1/(Trigo!$E70:INDEX(Trigo!$E70:$Z70,MIN(AP$6-$G$3,22))&lt;&gt;""),Trigo!$E70:INDEX(Trigo!$E70:$Z70,MIN(AP$6-$G$3,22))),0)))))</f>
        <v>0</v>
      </c>
      <c r="AQ72" s="27" t="n">
        <f aca="false">IF(COUNT(Trigo!$E70:$Z70)=0,0,MAX(0,IF((AQ$6-$E$3)&lt;1,0,IFERROR(LOOKUP(2,1/(Trigo!$E70:INDEX(Trigo!$E70:$Z70,MIN(AQ$6-$E$3,22))&lt;&gt;""),Trigo!$E70:INDEX(Trigo!$E70:$Z70,MIN(AQ$6-$E$3,22))),0))-IF($G$2,0,IF((AQ$6-$G$3)&lt;1,0,IFERROR(LOOKUP(2,1/(Trigo!$E70:INDEX(Trigo!$E70:$Z70,MIN(AQ$6-$G$3,22))&lt;&gt;""),Trigo!$E70:INDEX(Trigo!$E70:$Z70,MIN(AQ$6-$G$3,22))),0)))))</f>
        <v>0</v>
      </c>
      <c r="AR72" s="27" t="n">
        <f aca="false">IF(COUNT(Trigo!$E70:$Z70)=0,0,MAX(0,IF((AR$6-$E$3)&lt;1,0,IFERROR(LOOKUP(2,1/(Trigo!$E70:INDEX(Trigo!$E70:$Z70,MIN(AR$6-$E$3,22))&lt;&gt;""),Trigo!$E70:INDEX(Trigo!$E70:$Z70,MIN(AR$6-$E$3,22))),0))-IF($G$2,0,IF((AR$6-$G$3)&lt;1,0,IFERROR(LOOKUP(2,1/(Trigo!$E70:INDEX(Trigo!$E70:$Z70,MIN(AR$6-$G$3,22))&lt;&gt;""),Trigo!$E70:INDEX(Trigo!$E70:$Z70,MIN(AR$6-$G$3,22))),0)))))</f>
        <v>0</v>
      </c>
      <c r="AS72" s="27" t="n">
        <f aca="false">IF(COUNT(Trigo!$E70:$Z70)=0,0,MAX(0,IF((AS$6-$E$3)&lt;1,0,IFERROR(LOOKUP(2,1/(Trigo!$E70:INDEX(Trigo!$E70:$Z70,MIN(AS$6-$E$3,22))&lt;&gt;""),Trigo!$E70:INDEX(Trigo!$E70:$Z70,MIN(AS$6-$E$3,22))),0))-IF($G$2,0,IF((AS$6-$G$3)&lt;1,0,IFERROR(LOOKUP(2,1/(Trigo!$E70:INDEX(Trigo!$E70:$Z70,MIN(AS$6-$G$3,22))&lt;&gt;""),Trigo!$E70:INDEX(Trigo!$E70:$Z70,MIN(AS$6-$G$3,22))),0)))))</f>
        <v>0</v>
      </c>
      <c r="AT72" s="27" t="n">
        <f aca="false">IF(COUNT(Trigo!$E70:$Z70)=0,0,MAX(0,IF((AT$6-$E$3)&lt;1,0,IFERROR(LOOKUP(2,1/(Trigo!$E70:INDEX(Trigo!$E70:$Z70,MIN(AT$6-$E$3,22))&lt;&gt;""),Trigo!$E70:INDEX(Trigo!$E70:$Z70,MIN(AT$6-$E$3,22))),0))-IF($G$2,0,IF((AT$6-$G$3)&lt;1,0,IFERROR(LOOKUP(2,1/(Trigo!$E70:INDEX(Trigo!$E70:$Z70,MIN(AT$6-$G$3,22))&lt;&gt;""),Trigo!$E70:INDEX(Trigo!$E70:$Z70,MIN(AT$6-$G$3,22))),0)))))</f>
        <v>0</v>
      </c>
      <c r="AU72" s="27" t="n">
        <f aca="false">IF(COUNT(Trigo!$E70:$Z70)=0,0,MAX(0,IF((AU$6-$E$3)&lt;1,0,IFERROR(LOOKUP(2,1/(Trigo!$E70:INDEX(Trigo!$E70:$Z70,MIN(AU$6-$E$3,22))&lt;&gt;""),Trigo!$E70:INDEX(Trigo!$E70:$Z70,MIN(AU$6-$E$3,22))),0))-IF($G$2,0,IF((AU$6-$G$3)&lt;1,0,IFERROR(LOOKUP(2,1/(Trigo!$E70:INDEX(Trigo!$E70:$Z70,MIN(AU$6-$G$3,22))&lt;&gt;""),Trigo!$E70:INDEX(Trigo!$E70:$Z70,MIN(AU$6-$G$3,22))),0)))))</f>
        <v>0</v>
      </c>
      <c r="AV72" s="27" t="n">
        <f aca="false">IF(COUNT(Trigo!$E70:$Z70)=0,0,MAX(0,IF((AV$6-$E$3)&lt;1,0,IFERROR(LOOKUP(2,1/(Trigo!$E70:INDEX(Trigo!$E70:$Z70,MIN(AV$6-$E$3,22))&lt;&gt;""),Trigo!$E70:INDEX(Trigo!$E70:$Z70,MIN(AV$6-$E$3,22))),0))-IF($G$2,0,IF((AV$6-$G$3)&lt;1,0,IFERROR(LOOKUP(2,1/(Trigo!$E70:INDEX(Trigo!$E70:$Z70,MIN(AV$6-$G$3,22))&lt;&gt;""),Trigo!$E70:INDEX(Trigo!$E70:$Z70,MIN(AV$6-$G$3,22))),0)))))</f>
        <v>0</v>
      </c>
      <c r="AW72" s="27" t="n">
        <f aca="false">IF(COUNT(Trigo!$E70:$Z70)=0,0,MAX(0,IF((AW$6-$E$3)&lt;1,0,IFERROR(LOOKUP(2,1/(Trigo!$E70:INDEX(Trigo!$E70:$Z70,MIN(AW$6-$E$3,22))&lt;&gt;""),Trigo!$E70:INDEX(Trigo!$E70:$Z70,MIN(AW$6-$E$3,22))),0))-IF($G$2,0,IF((AW$6-$G$3)&lt;1,0,IFERROR(LOOKUP(2,1/(Trigo!$E70:INDEX(Trigo!$E70:$Z70,MIN(AW$6-$G$3,22))&lt;&gt;""),Trigo!$E70:INDEX(Trigo!$E70:$Z70,MIN(AW$6-$G$3,22))),0)))))</f>
        <v>0</v>
      </c>
      <c r="AX72" s="27" t="n">
        <f aca="false">IF(COUNT(Trigo!$E70:$Z70)=0,0,MAX(0,IF((AX$6-$E$3)&lt;1,0,IFERROR(LOOKUP(2,1/(Trigo!$E70:INDEX(Trigo!$E70:$Z70,MIN(AX$6-$E$3,22))&lt;&gt;""),Trigo!$E70:INDEX(Trigo!$E70:$Z70,MIN(AX$6-$E$3,22))),0))-IF($G$2,0,IF((AX$6-$G$3)&lt;1,0,IFERROR(LOOKUP(2,1/(Trigo!$E70:INDEX(Trigo!$E70:$Z70,MIN(AX$6-$G$3,22))&lt;&gt;""),Trigo!$E70:INDEX(Trigo!$E70:$Z70,MIN(AX$6-$G$3,22))),0)))))</f>
        <v>0</v>
      </c>
      <c r="AY72" s="27" t="n">
        <f aca="false">IF(COUNT(Trigo!$E70:$Z70)=0,0,MAX(0,IF((AY$6-$E$3)&lt;1,0,IFERROR(LOOKUP(2,1/(Trigo!$E70:INDEX(Trigo!$E70:$Z70,MIN(AY$6-$E$3,22))&lt;&gt;""),Trigo!$E70:INDEX(Trigo!$E70:$Z70,MIN(AY$6-$E$3,22))),0))-IF($G$2,0,IF((AY$6-$G$3)&lt;1,0,IFERROR(LOOKUP(2,1/(Trigo!$E70:INDEX(Trigo!$E70:$Z70,MIN(AY$6-$G$3,22))&lt;&gt;""),Trigo!$E70:INDEX(Trigo!$E70:$Z70,MIN(AY$6-$G$3,22))),0)))))</f>
        <v>0</v>
      </c>
      <c r="AZ72" s="27" t="n">
        <f aca="false">IF(COUNT(Trigo!$E70:$Z70)=0,0,MAX(0,IF((AZ$6-$E$3)&lt;1,0,IFERROR(LOOKUP(2,1/(Trigo!$E70:INDEX(Trigo!$E70:$Z70,MIN(AZ$6-$E$3,22))&lt;&gt;""),Trigo!$E70:INDEX(Trigo!$E70:$Z70,MIN(AZ$6-$E$3,22))),0))-IF($G$2,0,IF((AZ$6-$G$3)&lt;1,0,IFERROR(LOOKUP(2,1/(Trigo!$E70:INDEX(Trigo!$E70:$Z70,MIN(AZ$6-$G$3,22))&lt;&gt;""),Trigo!$E70:INDEX(Trigo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IF(COUNT(Trigo!$E71:$Z71)&gt;0,N(Trigo!$D71),0)</f>
        <v>0</v>
      </c>
      <c r="E73" s="27" t="n">
        <f aca="false">IF(COUNT(Trigo!$E71:$Z71)=0,0,MAX(0,IF((E$6-$E$3)&lt;1,0,IFERROR(LOOKUP(2,1/(Trigo!$E71:INDEX(Trigo!$E71:$Z71,MIN(E$6-$E$3,22))&lt;&gt;""),Trigo!$E71:INDEX(Trigo!$E71:$Z71,MIN(E$6-$E$3,22))),0))-IF($G$2,0,IF((E$6-$G$3)&lt;1,0,IFERROR(LOOKUP(2,1/(Trigo!$E71:INDEX(Trigo!$E71:$Z71,MIN(E$6-$G$3,22))&lt;&gt;""),Trigo!$E71:INDEX(Trigo!$E71:$Z71,MIN(E$6-$G$3,22))),0)))))</f>
        <v>0</v>
      </c>
      <c r="F73" s="27" t="n">
        <f aca="false">IF(COUNT(Trigo!$E71:$Z71)=0,0,MAX(0,IF((F$6-$E$3)&lt;1,0,IFERROR(LOOKUP(2,1/(Trigo!$E71:INDEX(Trigo!$E71:$Z71,MIN(F$6-$E$3,22))&lt;&gt;""),Trigo!$E71:INDEX(Trigo!$E71:$Z71,MIN(F$6-$E$3,22))),0))-IF($G$2,0,IF((F$6-$G$3)&lt;1,0,IFERROR(LOOKUP(2,1/(Trigo!$E71:INDEX(Trigo!$E71:$Z71,MIN(F$6-$G$3,22))&lt;&gt;""),Trigo!$E71:INDEX(Trigo!$E71:$Z71,MIN(F$6-$G$3,22))),0)))))</f>
        <v>0</v>
      </c>
      <c r="G73" s="27" t="n">
        <f aca="false">IF(COUNT(Trigo!$E71:$Z71)=0,0,MAX(0,IF((G$6-$E$3)&lt;1,0,IFERROR(LOOKUP(2,1/(Trigo!$E71:INDEX(Trigo!$E71:$Z71,MIN(G$6-$E$3,22))&lt;&gt;""),Trigo!$E71:INDEX(Trigo!$E71:$Z71,MIN(G$6-$E$3,22))),0))-IF($G$2,0,IF((G$6-$G$3)&lt;1,0,IFERROR(LOOKUP(2,1/(Trigo!$E71:INDEX(Trigo!$E71:$Z71,MIN(G$6-$G$3,22))&lt;&gt;""),Trigo!$E71:INDEX(Trigo!$E71:$Z71,MIN(G$6-$G$3,22))),0)))))</f>
        <v>0</v>
      </c>
      <c r="H73" s="27" t="n">
        <f aca="false">IF(COUNT(Trigo!$E71:$Z71)=0,0,MAX(0,IF((H$6-$E$3)&lt;1,0,IFERROR(LOOKUP(2,1/(Trigo!$E71:INDEX(Trigo!$E71:$Z71,MIN(H$6-$E$3,22))&lt;&gt;""),Trigo!$E71:INDEX(Trigo!$E71:$Z71,MIN(H$6-$E$3,22))),0))-IF($G$2,0,IF((H$6-$G$3)&lt;1,0,IFERROR(LOOKUP(2,1/(Trigo!$E71:INDEX(Trigo!$E71:$Z71,MIN(H$6-$G$3,22))&lt;&gt;""),Trigo!$E71:INDEX(Trigo!$E71:$Z71,MIN(H$6-$G$3,22))),0)))))</f>
        <v>0</v>
      </c>
      <c r="I73" s="27" t="n">
        <f aca="false">IF(COUNT(Trigo!$E71:$Z71)=0,0,MAX(0,IF((I$6-$E$3)&lt;1,0,IFERROR(LOOKUP(2,1/(Trigo!$E71:INDEX(Trigo!$E71:$Z71,MIN(I$6-$E$3,22))&lt;&gt;""),Trigo!$E71:INDEX(Trigo!$E71:$Z71,MIN(I$6-$E$3,22))),0))-IF($G$2,0,IF((I$6-$G$3)&lt;1,0,IFERROR(LOOKUP(2,1/(Trigo!$E71:INDEX(Trigo!$E71:$Z71,MIN(I$6-$G$3,22))&lt;&gt;""),Trigo!$E71:INDEX(Trigo!$E71:$Z71,MIN(I$6-$G$3,22))),0)))))</f>
        <v>0</v>
      </c>
      <c r="J73" s="27" t="n">
        <f aca="false">IF(COUNT(Trigo!$E71:$Z71)=0,0,MAX(0,IF((J$6-$E$3)&lt;1,0,IFERROR(LOOKUP(2,1/(Trigo!$E71:INDEX(Trigo!$E71:$Z71,MIN(J$6-$E$3,22))&lt;&gt;""),Trigo!$E71:INDEX(Trigo!$E71:$Z71,MIN(J$6-$E$3,22))),0))-IF($G$2,0,IF((J$6-$G$3)&lt;1,0,IFERROR(LOOKUP(2,1/(Trigo!$E71:INDEX(Trigo!$E71:$Z71,MIN(J$6-$G$3,22))&lt;&gt;""),Trigo!$E71:INDEX(Trigo!$E71:$Z71,MIN(J$6-$G$3,22))),0)))))</f>
        <v>0</v>
      </c>
      <c r="K73" s="27" t="n">
        <f aca="false">IF(COUNT(Trigo!$E71:$Z71)=0,0,MAX(0,IF((K$6-$E$3)&lt;1,0,IFERROR(LOOKUP(2,1/(Trigo!$E71:INDEX(Trigo!$E71:$Z71,MIN(K$6-$E$3,22))&lt;&gt;""),Trigo!$E71:INDEX(Trigo!$E71:$Z71,MIN(K$6-$E$3,22))),0))-IF($G$2,0,IF((K$6-$G$3)&lt;1,0,IFERROR(LOOKUP(2,1/(Trigo!$E71:INDEX(Trigo!$E71:$Z71,MIN(K$6-$G$3,22))&lt;&gt;""),Trigo!$E71:INDEX(Trigo!$E71:$Z71,MIN(K$6-$G$3,22))),0)))))</f>
        <v>0</v>
      </c>
      <c r="L73" s="27" t="n">
        <f aca="false">IF(COUNT(Trigo!$E71:$Z71)=0,0,MAX(0,IF((L$6-$E$3)&lt;1,0,IFERROR(LOOKUP(2,1/(Trigo!$E71:INDEX(Trigo!$E71:$Z71,MIN(L$6-$E$3,22))&lt;&gt;""),Trigo!$E71:INDEX(Trigo!$E71:$Z71,MIN(L$6-$E$3,22))),0))-IF($G$2,0,IF((L$6-$G$3)&lt;1,0,IFERROR(LOOKUP(2,1/(Trigo!$E71:INDEX(Trigo!$E71:$Z71,MIN(L$6-$G$3,22))&lt;&gt;""),Trigo!$E71:INDEX(Trigo!$E71:$Z71,MIN(L$6-$G$3,22))),0)))))</f>
        <v>0</v>
      </c>
      <c r="M73" s="27" t="n">
        <f aca="false">IF(COUNT(Trigo!$E71:$Z71)=0,0,MAX(0,IF((M$6-$E$3)&lt;1,0,IFERROR(LOOKUP(2,1/(Trigo!$E71:INDEX(Trigo!$E71:$Z71,MIN(M$6-$E$3,22))&lt;&gt;""),Trigo!$E71:INDEX(Trigo!$E71:$Z71,MIN(M$6-$E$3,22))),0))-IF($G$2,0,IF((M$6-$G$3)&lt;1,0,IFERROR(LOOKUP(2,1/(Trigo!$E71:INDEX(Trigo!$E71:$Z71,MIN(M$6-$G$3,22))&lt;&gt;""),Trigo!$E71:INDEX(Trigo!$E71:$Z71,MIN(M$6-$G$3,22))),0)))))</f>
        <v>0</v>
      </c>
      <c r="N73" s="27" t="n">
        <f aca="false">IF(COUNT(Trigo!$E71:$Z71)=0,0,MAX(0,IF((N$6-$E$3)&lt;1,0,IFERROR(LOOKUP(2,1/(Trigo!$E71:INDEX(Trigo!$E71:$Z71,MIN(N$6-$E$3,22))&lt;&gt;""),Trigo!$E71:INDEX(Trigo!$E71:$Z71,MIN(N$6-$E$3,22))),0))-IF($G$2,0,IF((N$6-$G$3)&lt;1,0,IFERROR(LOOKUP(2,1/(Trigo!$E71:INDEX(Trigo!$E71:$Z71,MIN(N$6-$G$3,22))&lt;&gt;""),Trigo!$E71:INDEX(Trigo!$E71:$Z71,MIN(N$6-$G$3,22))),0)))))</f>
        <v>0</v>
      </c>
      <c r="O73" s="27" t="n">
        <f aca="false">IF(COUNT(Trigo!$E71:$Z71)=0,0,MAX(0,IF((O$6-$E$3)&lt;1,0,IFERROR(LOOKUP(2,1/(Trigo!$E71:INDEX(Trigo!$E71:$Z71,MIN(O$6-$E$3,22))&lt;&gt;""),Trigo!$E71:INDEX(Trigo!$E71:$Z71,MIN(O$6-$E$3,22))),0))-IF($G$2,0,IF((O$6-$G$3)&lt;1,0,IFERROR(LOOKUP(2,1/(Trigo!$E71:INDEX(Trigo!$E71:$Z71,MIN(O$6-$G$3,22))&lt;&gt;""),Trigo!$E71:INDEX(Trigo!$E71:$Z71,MIN(O$6-$G$3,22))),0)))))</f>
        <v>0</v>
      </c>
      <c r="P73" s="27" t="n">
        <f aca="false">IF(COUNT(Trigo!$E71:$Z71)=0,0,MAX(0,IF((P$6-$E$3)&lt;1,0,IFERROR(LOOKUP(2,1/(Trigo!$E71:INDEX(Trigo!$E71:$Z71,MIN(P$6-$E$3,22))&lt;&gt;""),Trigo!$E71:INDEX(Trigo!$E71:$Z71,MIN(P$6-$E$3,22))),0))-IF($G$2,0,IF((P$6-$G$3)&lt;1,0,IFERROR(LOOKUP(2,1/(Trigo!$E71:INDEX(Trigo!$E71:$Z71,MIN(P$6-$G$3,22))&lt;&gt;""),Trigo!$E71:INDEX(Trigo!$E71:$Z71,MIN(P$6-$G$3,22))),0)))))</f>
        <v>0</v>
      </c>
      <c r="Q73" s="27" t="n">
        <f aca="false">IF(COUNT(Trigo!$E71:$Z71)=0,0,MAX(0,IF((Q$6-$E$3)&lt;1,0,IFERROR(LOOKUP(2,1/(Trigo!$E71:INDEX(Trigo!$E71:$Z71,MIN(Q$6-$E$3,22))&lt;&gt;""),Trigo!$E71:INDEX(Trigo!$E71:$Z71,MIN(Q$6-$E$3,22))),0))-IF($G$2,0,IF((Q$6-$G$3)&lt;1,0,IFERROR(LOOKUP(2,1/(Trigo!$E71:INDEX(Trigo!$E71:$Z71,MIN(Q$6-$G$3,22))&lt;&gt;""),Trigo!$E71:INDEX(Trigo!$E71:$Z71,MIN(Q$6-$G$3,22))),0)))))</f>
        <v>0</v>
      </c>
      <c r="R73" s="27" t="n">
        <f aca="false">IF(COUNT(Trigo!$E71:$Z71)=0,0,MAX(0,IF((R$6-$E$3)&lt;1,0,IFERROR(LOOKUP(2,1/(Trigo!$E71:INDEX(Trigo!$E71:$Z71,MIN(R$6-$E$3,22))&lt;&gt;""),Trigo!$E71:INDEX(Trigo!$E71:$Z71,MIN(R$6-$E$3,22))),0))-IF($G$2,0,IF((R$6-$G$3)&lt;1,0,IFERROR(LOOKUP(2,1/(Trigo!$E71:INDEX(Trigo!$E71:$Z71,MIN(R$6-$G$3,22))&lt;&gt;""),Trigo!$E71:INDEX(Trigo!$E71:$Z71,MIN(R$6-$G$3,22))),0)))))</f>
        <v>0</v>
      </c>
      <c r="S73" s="27" t="n">
        <f aca="false">IF(COUNT(Trigo!$E71:$Z71)=0,0,MAX(0,IF((S$6-$E$3)&lt;1,0,IFERROR(LOOKUP(2,1/(Trigo!$E71:INDEX(Trigo!$E71:$Z71,MIN(S$6-$E$3,22))&lt;&gt;""),Trigo!$E71:INDEX(Trigo!$E71:$Z71,MIN(S$6-$E$3,22))),0))-IF($G$2,0,IF((S$6-$G$3)&lt;1,0,IFERROR(LOOKUP(2,1/(Trigo!$E71:INDEX(Trigo!$E71:$Z71,MIN(S$6-$G$3,22))&lt;&gt;""),Trigo!$E71:INDEX(Trigo!$E71:$Z71,MIN(S$6-$G$3,22))),0)))))</f>
        <v>0</v>
      </c>
      <c r="T73" s="27" t="n">
        <f aca="false">IF(COUNT(Trigo!$E71:$Z71)=0,0,MAX(0,IF((T$6-$E$3)&lt;1,0,IFERROR(LOOKUP(2,1/(Trigo!$E71:INDEX(Trigo!$E71:$Z71,MIN(T$6-$E$3,22))&lt;&gt;""),Trigo!$E71:INDEX(Trigo!$E71:$Z71,MIN(T$6-$E$3,22))),0))-IF($G$2,0,IF((T$6-$G$3)&lt;1,0,IFERROR(LOOKUP(2,1/(Trigo!$E71:INDEX(Trigo!$E71:$Z71,MIN(T$6-$G$3,22))&lt;&gt;""),Trigo!$E71:INDEX(Trigo!$E71:$Z71,MIN(T$6-$G$3,22))),0)))))</f>
        <v>0</v>
      </c>
      <c r="U73" s="27" t="n">
        <f aca="false">IF(COUNT(Trigo!$E71:$Z71)=0,0,MAX(0,IF((U$6-$E$3)&lt;1,0,IFERROR(LOOKUP(2,1/(Trigo!$E71:INDEX(Trigo!$E71:$Z71,MIN(U$6-$E$3,22))&lt;&gt;""),Trigo!$E71:INDEX(Trigo!$E71:$Z71,MIN(U$6-$E$3,22))),0))-IF($G$2,0,IF((U$6-$G$3)&lt;1,0,IFERROR(LOOKUP(2,1/(Trigo!$E71:INDEX(Trigo!$E71:$Z71,MIN(U$6-$G$3,22))&lt;&gt;""),Trigo!$E71:INDEX(Trigo!$E71:$Z71,MIN(U$6-$G$3,22))),0)))))</f>
        <v>0</v>
      </c>
      <c r="V73" s="27" t="n">
        <f aca="false">IF(COUNT(Trigo!$E71:$Z71)=0,0,MAX(0,IF((V$6-$E$3)&lt;1,0,IFERROR(LOOKUP(2,1/(Trigo!$E71:INDEX(Trigo!$E71:$Z71,MIN(V$6-$E$3,22))&lt;&gt;""),Trigo!$E71:INDEX(Trigo!$E71:$Z71,MIN(V$6-$E$3,22))),0))-IF($G$2,0,IF((V$6-$G$3)&lt;1,0,IFERROR(LOOKUP(2,1/(Trigo!$E71:INDEX(Trigo!$E71:$Z71,MIN(V$6-$G$3,22))&lt;&gt;""),Trigo!$E71:INDEX(Trigo!$E71:$Z71,MIN(V$6-$G$3,22))),0)))))</f>
        <v>0</v>
      </c>
      <c r="W73" s="27" t="n">
        <f aca="false">IF(COUNT(Trigo!$E71:$Z71)=0,0,MAX(0,IF((W$6-$E$3)&lt;1,0,IFERROR(LOOKUP(2,1/(Trigo!$E71:INDEX(Trigo!$E71:$Z71,MIN(W$6-$E$3,22))&lt;&gt;""),Trigo!$E71:INDEX(Trigo!$E71:$Z71,MIN(W$6-$E$3,22))),0))-IF($G$2,0,IF((W$6-$G$3)&lt;1,0,IFERROR(LOOKUP(2,1/(Trigo!$E71:INDEX(Trigo!$E71:$Z71,MIN(W$6-$G$3,22))&lt;&gt;""),Trigo!$E71:INDEX(Trigo!$E71:$Z71,MIN(W$6-$G$3,22))),0)))))</f>
        <v>0</v>
      </c>
      <c r="X73" s="27" t="n">
        <f aca="false">IF(COUNT(Trigo!$E71:$Z71)=0,0,MAX(0,IF((X$6-$E$3)&lt;1,0,IFERROR(LOOKUP(2,1/(Trigo!$E71:INDEX(Trigo!$E71:$Z71,MIN(X$6-$E$3,22))&lt;&gt;""),Trigo!$E71:INDEX(Trigo!$E71:$Z71,MIN(X$6-$E$3,22))),0))-IF($G$2,0,IF((X$6-$G$3)&lt;1,0,IFERROR(LOOKUP(2,1/(Trigo!$E71:INDEX(Trigo!$E71:$Z71,MIN(X$6-$G$3,22))&lt;&gt;""),Trigo!$E71:INDEX(Trigo!$E71:$Z71,MIN(X$6-$G$3,22))),0)))))</f>
        <v>0</v>
      </c>
      <c r="Y73" s="27" t="n">
        <f aca="false">IF(COUNT(Trigo!$E71:$Z71)=0,0,MAX(0,IF((Y$6-$E$3)&lt;1,0,IFERROR(LOOKUP(2,1/(Trigo!$E71:INDEX(Trigo!$E71:$Z71,MIN(Y$6-$E$3,22))&lt;&gt;""),Trigo!$E71:INDEX(Trigo!$E71:$Z71,MIN(Y$6-$E$3,22))),0))-IF($G$2,0,IF((Y$6-$G$3)&lt;1,0,IFERROR(LOOKUP(2,1/(Trigo!$E71:INDEX(Trigo!$E71:$Z71,MIN(Y$6-$G$3,22))&lt;&gt;""),Trigo!$E71:INDEX(Trigo!$E71:$Z71,MIN(Y$6-$G$3,22))),0)))))</f>
        <v>0</v>
      </c>
      <c r="Z73" s="27" t="n">
        <f aca="false">IF(COUNT(Trigo!$E71:$Z71)=0,0,MAX(0,IF((Z$6-$E$3)&lt;1,0,IFERROR(LOOKUP(2,1/(Trigo!$E71:INDEX(Trigo!$E71:$Z71,MIN(Z$6-$E$3,22))&lt;&gt;""),Trigo!$E71:INDEX(Trigo!$E71:$Z71,MIN(Z$6-$E$3,22))),0))-IF($G$2,0,IF((Z$6-$G$3)&lt;1,0,IFERROR(LOOKUP(2,1/(Trigo!$E71:INDEX(Trigo!$E71:$Z71,MIN(Z$6-$G$3,22))&lt;&gt;""),Trigo!$E71:INDEX(Trigo!$E71:$Z71,MIN(Z$6-$G$3,22))),0)))))</f>
        <v>0</v>
      </c>
      <c r="AA73" s="27" t="n">
        <f aca="false">IF(COUNT(Trigo!$E71:$Z71)=0,0,MAX(0,IF((AA$6-$E$3)&lt;1,0,IFERROR(LOOKUP(2,1/(Trigo!$E71:INDEX(Trigo!$E71:$Z71,MIN(AA$6-$E$3,22))&lt;&gt;""),Trigo!$E71:INDEX(Trigo!$E71:$Z71,MIN(AA$6-$E$3,22))),0))-IF($G$2,0,IF((AA$6-$G$3)&lt;1,0,IFERROR(LOOKUP(2,1/(Trigo!$E71:INDEX(Trigo!$E71:$Z71,MIN(AA$6-$G$3,22))&lt;&gt;""),Trigo!$E71:INDEX(Trigo!$E71:$Z71,MIN(AA$6-$G$3,22))),0)))))</f>
        <v>0</v>
      </c>
      <c r="AB73" s="27" t="n">
        <f aca="false">IF(COUNT(Trigo!$E71:$Z71)=0,0,MAX(0,IF((AB$6-$E$3)&lt;1,0,IFERROR(LOOKUP(2,1/(Trigo!$E71:INDEX(Trigo!$E71:$Z71,MIN(AB$6-$E$3,22))&lt;&gt;""),Trigo!$E71:INDEX(Trigo!$E71:$Z71,MIN(AB$6-$E$3,22))),0))-IF($G$2,0,IF((AB$6-$G$3)&lt;1,0,IFERROR(LOOKUP(2,1/(Trigo!$E71:INDEX(Trigo!$E71:$Z71,MIN(AB$6-$G$3,22))&lt;&gt;""),Trigo!$E71:INDEX(Trigo!$E71:$Z71,MIN(AB$6-$G$3,22))),0)))))</f>
        <v>0</v>
      </c>
      <c r="AC73" s="27" t="n">
        <f aca="false">IF(COUNT(Trigo!$E71:$Z71)=0,0,MAX(0,IF((AC$6-$E$3)&lt;1,0,IFERROR(LOOKUP(2,1/(Trigo!$E71:INDEX(Trigo!$E71:$Z71,MIN(AC$6-$E$3,22))&lt;&gt;""),Trigo!$E71:INDEX(Trigo!$E71:$Z71,MIN(AC$6-$E$3,22))),0))-IF($G$2,0,IF((AC$6-$G$3)&lt;1,0,IFERROR(LOOKUP(2,1/(Trigo!$E71:INDEX(Trigo!$E71:$Z71,MIN(AC$6-$G$3,22))&lt;&gt;""),Trigo!$E71:INDEX(Trigo!$E71:$Z71,MIN(AC$6-$G$3,22))),0)))))</f>
        <v>0</v>
      </c>
      <c r="AD73" s="27" t="n">
        <f aca="false">IF(COUNT(Trigo!$E71:$Z71)=0,0,MAX(0,IF((AD$6-$E$3)&lt;1,0,IFERROR(LOOKUP(2,1/(Trigo!$E71:INDEX(Trigo!$E71:$Z71,MIN(AD$6-$E$3,22))&lt;&gt;""),Trigo!$E71:INDEX(Trigo!$E71:$Z71,MIN(AD$6-$E$3,22))),0))-IF($G$2,0,IF((AD$6-$G$3)&lt;1,0,IFERROR(LOOKUP(2,1/(Trigo!$E71:INDEX(Trigo!$E71:$Z71,MIN(AD$6-$G$3,22))&lt;&gt;""),Trigo!$E71:INDEX(Trigo!$E71:$Z71,MIN(AD$6-$G$3,22))),0)))))</f>
        <v>0</v>
      </c>
      <c r="AE73" s="27" t="n">
        <f aca="false">IF(COUNT(Trigo!$E71:$Z71)=0,0,MAX(0,IF((AE$6-$E$3)&lt;1,0,IFERROR(LOOKUP(2,1/(Trigo!$E71:INDEX(Trigo!$E71:$Z71,MIN(AE$6-$E$3,22))&lt;&gt;""),Trigo!$E71:INDEX(Trigo!$E71:$Z71,MIN(AE$6-$E$3,22))),0))-IF($G$2,0,IF((AE$6-$G$3)&lt;1,0,IFERROR(LOOKUP(2,1/(Trigo!$E71:INDEX(Trigo!$E71:$Z71,MIN(AE$6-$G$3,22))&lt;&gt;""),Trigo!$E71:INDEX(Trigo!$E71:$Z71,MIN(AE$6-$G$3,22))),0)))))</f>
        <v>0</v>
      </c>
      <c r="AF73" s="27" t="n">
        <f aca="false">IF(COUNT(Trigo!$E71:$Z71)=0,0,MAX(0,IF((AF$6-$E$3)&lt;1,0,IFERROR(LOOKUP(2,1/(Trigo!$E71:INDEX(Trigo!$E71:$Z71,MIN(AF$6-$E$3,22))&lt;&gt;""),Trigo!$E71:INDEX(Trigo!$E71:$Z71,MIN(AF$6-$E$3,22))),0))-IF($G$2,0,IF((AF$6-$G$3)&lt;1,0,IFERROR(LOOKUP(2,1/(Trigo!$E71:INDEX(Trigo!$E71:$Z71,MIN(AF$6-$G$3,22))&lt;&gt;""),Trigo!$E71:INDEX(Trigo!$E71:$Z71,MIN(AF$6-$G$3,22))),0)))))</f>
        <v>0</v>
      </c>
      <c r="AG73" s="27" t="n">
        <f aca="false">IF(COUNT(Trigo!$E71:$Z71)=0,0,MAX(0,IF((AG$6-$E$3)&lt;1,0,IFERROR(LOOKUP(2,1/(Trigo!$E71:INDEX(Trigo!$E71:$Z71,MIN(AG$6-$E$3,22))&lt;&gt;""),Trigo!$E71:INDEX(Trigo!$E71:$Z71,MIN(AG$6-$E$3,22))),0))-IF($G$2,0,IF((AG$6-$G$3)&lt;1,0,IFERROR(LOOKUP(2,1/(Trigo!$E71:INDEX(Trigo!$E71:$Z71,MIN(AG$6-$G$3,22))&lt;&gt;""),Trigo!$E71:INDEX(Trigo!$E71:$Z71,MIN(AG$6-$G$3,22))),0)))))</f>
        <v>0</v>
      </c>
      <c r="AH73" s="27" t="n">
        <f aca="false">IF(COUNT(Trigo!$E71:$Z71)=0,0,MAX(0,IF((AH$6-$E$3)&lt;1,0,IFERROR(LOOKUP(2,1/(Trigo!$E71:INDEX(Trigo!$E71:$Z71,MIN(AH$6-$E$3,22))&lt;&gt;""),Trigo!$E71:INDEX(Trigo!$E71:$Z71,MIN(AH$6-$E$3,22))),0))-IF($G$2,0,IF((AH$6-$G$3)&lt;1,0,IFERROR(LOOKUP(2,1/(Trigo!$E71:INDEX(Trigo!$E71:$Z71,MIN(AH$6-$G$3,22))&lt;&gt;""),Trigo!$E71:INDEX(Trigo!$E71:$Z71,MIN(AH$6-$G$3,22))),0)))))</f>
        <v>0</v>
      </c>
      <c r="AI73" s="27" t="n">
        <f aca="false">IF(COUNT(Trigo!$E71:$Z71)=0,0,MAX(0,IF((AI$6-$E$3)&lt;1,0,IFERROR(LOOKUP(2,1/(Trigo!$E71:INDEX(Trigo!$E71:$Z71,MIN(AI$6-$E$3,22))&lt;&gt;""),Trigo!$E71:INDEX(Trigo!$E71:$Z71,MIN(AI$6-$E$3,22))),0))-IF($G$2,0,IF((AI$6-$G$3)&lt;1,0,IFERROR(LOOKUP(2,1/(Trigo!$E71:INDEX(Trigo!$E71:$Z71,MIN(AI$6-$G$3,22))&lt;&gt;""),Trigo!$E71:INDEX(Trigo!$E71:$Z71,MIN(AI$6-$G$3,22))),0)))))</f>
        <v>0</v>
      </c>
      <c r="AJ73" s="27" t="n">
        <f aca="false">IF(COUNT(Trigo!$E71:$Z71)=0,0,MAX(0,IF((AJ$6-$E$3)&lt;1,0,IFERROR(LOOKUP(2,1/(Trigo!$E71:INDEX(Trigo!$E71:$Z71,MIN(AJ$6-$E$3,22))&lt;&gt;""),Trigo!$E71:INDEX(Trigo!$E71:$Z71,MIN(AJ$6-$E$3,22))),0))-IF($G$2,0,IF((AJ$6-$G$3)&lt;1,0,IFERROR(LOOKUP(2,1/(Trigo!$E71:INDEX(Trigo!$E71:$Z71,MIN(AJ$6-$G$3,22))&lt;&gt;""),Trigo!$E71:INDEX(Trigo!$E71:$Z71,MIN(AJ$6-$G$3,22))),0)))))</f>
        <v>0</v>
      </c>
      <c r="AK73" s="27" t="n">
        <f aca="false">IF(COUNT(Trigo!$E71:$Z71)=0,0,MAX(0,IF((AK$6-$E$3)&lt;1,0,IFERROR(LOOKUP(2,1/(Trigo!$E71:INDEX(Trigo!$E71:$Z71,MIN(AK$6-$E$3,22))&lt;&gt;""),Trigo!$E71:INDEX(Trigo!$E71:$Z71,MIN(AK$6-$E$3,22))),0))-IF($G$2,0,IF((AK$6-$G$3)&lt;1,0,IFERROR(LOOKUP(2,1/(Trigo!$E71:INDEX(Trigo!$E71:$Z71,MIN(AK$6-$G$3,22))&lt;&gt;""),Trigo!$E71:INDEX(Trigo!$E71:$Z71,MIN(AK$6-$G$3,22))),0)))))</f>
        <v>0</v>
      </c>
      <c r="AL73" s="27" t="n">
        <f aca="false">IF(COUNT(Trigo!$E71:$Z71)=0,0,MAX(0,IF((AL$6-$E$3)&lt;1,0,IFERROR(LOOKUP(2,1/(Trigo!$E71:INDEX(Trigo!$E71:$Z71,MIN(AL$6-$E$3,22))&lt;&gt;""),Trigo!$E71:INDEX(Trigo!$E71:$Z71,MIN(AL$6-$E$3,22))),0))-IF($G$2,0,IF((AL$6-$G$3)&lt;1,0,IFERROR(LOOKUP(2,1/(Trigo!$E71:INDEX(Trigo!$E71:$Z71,MIN(AL$6-$G$3,22))&lt;&gt;""),Trigo!$E71:INDEX(Trigo!$E71:$Z71,MIN(AL$6-$G$3,22))),0)))))</f>
        <v>0</v>
      </c>
      <c r="AM73" s="27" t="n">
        <f aca="false">IF(COUNT(Trigo!$E71:$Z71)=0,0,MAX(0,IF((AM$6-$E$3)&lt;1,0,IFERROR(LOOKUP(2,1/(Trigo!$E71:INDEX(Trigo!$E71:$Z71,MIN(AM$6-$E$3,22))&lt;&gt;""),Trigo!$E71:INDEX(Trigo!$E71:$Z71,MIN(AM$6-$E$3,22))),0))-IF($G$2,0,IF((AM$6-$G$3)&lt;1,0,IFERROR(LOOKUP(2,1/(Trigo!$E71:INDEX(Trigo!$E71:$Z71,MIN(AM$6-$G$3,22))&lt;&gt;""),Trigo!$E71:INDEX(Trigo!$E71:$Z71,MIN(AM$6-$G$3,22))),0)))))</f>
        <v>0</v>
      </c>
      <c r="AN73" s="27" t="n">
        <f aca="false">IF(COUNT(Trigo!$E71:$Z71)=0,0,MAX(0,IF((AN$6-$E$3)&lt;1,0,IFERROR(LOOKUP(2,1/(Trigo!$E71:INDEX(Trigo!$E71:$Z71,MIN(AN$6-$E$3,22))&lt;&gt;""),Trigo!$E71:INDEX(Trigo!$E71:$Z71,MIN(AN$6-$E$3,22))),0))-IF($G$2,0,IF((AN$6-$G$3)&lt;1,0,IFERROR(LOOKUP(2,1/(Trigo!$E71:INDEX(Trigo!$E71:$Z71,MIN(AN$6-$G$3,22))&lt;&gt;""),Trigo!$E71:INDEX(Trigo!$E71:$Z71,MIN(AN$6-$G$3,22))),0)))))</f>
        <v>0</v>
      </c>
      <c r="AO73" s="27" t="n">
        <f aca="false">IF(COUNT(Trigo!$E71:$Z71)=0,0,MAX(0,IF((AO$6-$E$3)&lt;1,0,IFERROR(LOOKUP(2,1/(Trigo!$E71:INDEX(Trigo!$E71:$Z71,MIN(AO$6-$E$3,22))&lt;&gt;""),Trigo!$E71:INDEX(Trigo!$E71:$Z71,MIN(AO$6-$E$3,22))),0))-IF($G$2,0,IF((AO$6-$G$3)&lt;1,0,IFERROR(LOOKUP(2,1/(Trigo!$E71:INDEX(Trigo!$E71:$Z71,MIN(AO$6-$G$3,22))&lt;&gt;""),Trigo!$E71:INDEX(Trigo!$E71:$Z71,MIN(AO$6-$G$3,22))),0)))))</f>
        <v>0</v>
      </c>
      <c r="AP73" s="27" t="n">
        <f aca="false">IF(COUNT(Trigo!$E71:$Z71)=0,0,MAX(0,IF((AP$6-$E$3)&lt;1,0,IFERROR(LOOKUP(2,1/(Trigo!$E71:INDEX(Trigo!$E71:$Z71,MIN(AP$6-$E$3,22))&lt;&gt;""),Trigo!$E71:INDEX(Trigo!$E71:$Z71,MIN(AP$6-$E$3,22))),0))-IF($G$2,0,IF((AP$6-$G$3)&lt;1,0,IFERROR(LOOKUP(2,1/(Trigo!$E71:INDEX(Trigo!$E71:$Z71,MIN(AP$6-$G$3,22))&lt;&gt;""),Trigo!$E71:INDEX(Trigo!$E71:$Z71,MIN(AP$6-$G$3,22))),0)))))</f>
        <v>0</v>
      </c>
      <c r="AQ73" s="27" t="n">
        <f aca="false">IF(COUNT(Trigo!$E71:$Z71)=0,0,MAX(0,IF((AQ$6-$E$3)&lt;1,0,IFERROR(LOOKUP(2,1/(Trigo!$E71:INDEX(Trigo!$E71:$Z71,MIN(AQ$6-$E$3,22))&lt;&gt;""),Trigo!$E71:INDEX(Trigo!$E71:$Z71,MIN(AQ$6-$E$3,22))),0))-IF($G$2,0,IF((AQ$6-$G$3)&lt;1,0,IFERROR(LOOKUP(2,1/(Trigo!$E71:INDEX(Trigo!$E71:$Z71,MIN(AQ$6-$G$3,22))&lt;&gt;""),Trigo!$E71:INDEX(Trigo!$E71:$Z71,MIN(AQ$6-$G$3,22))),0)))))</f>
        <v>0</v>
      </c>
      <c r="AR73" s="27" t="n">
        <f aca="false">IF(COUNT(Trigo!$E71:$Z71)=0,0,MAX(0,IF((AR$6-$E$3)&lt;1,0,IFERROR(LOOKUP(2,1/(Trigo!$E71:INDEX(Trigo!$E71:$Z71,MIN(AR$6-$E$3,22))&lt;&gt;""),Trigo!$E71:INDEX(Trigo!$E71:$Z71,MIN(AR$6-$E$3,22))),0))-IF($G$2,0,IF((AR$6-$G$3)&lt;1,0,IFERROR(LOOKUP(2,1/(Trigo!$E71:INDEX(Trigo!$E71:$Z71,MIN(AR$6-$G$3,22))&lt;&gt;""),Trigo!$E71:INDEX(Trigo!$E71:$Z71,MIN(AR$6-$G$3,22))),0)))))</f>
        <v>0</v>
      </c>
      <c r="AS73" s="27" t="n">
        <f aca="false">IF(COUNT(Trigo!$E71:$Z71)=0,0,MAX(0,IF((AS$6-$E$3)&lt;1,0,IFERROR(LOOKUP(2,1/(Trigo!$E71:INDEX(Trigo!$E71:$Z71,MIN(AS$6-$E$3,22))&lt;&gt;""),Trigo!$E71:INDEX(Trigo!$E71:$Z71,MIN(AS$6-$E$3,22))),0))-IF($G$2,0,IF((AS$6-$G$3)&lt;1,0,IFERROR(LOOKUP(2,1/(Trigo!$E71:INDEX(Trigo!$E71:$Z71,MIN(AS$6-$G$3,22))&lt;&gt;""),Trigo!$E71:INDEX(Trigo!$E71:$Z71,MIN(AS$6-$G$3,22))),0)))))</f>
        <v>0</v>
      </c>
      <c r="AT73" s="27" t="n">
        <f aca="false">IF(COUNT(Trigo!$E71:$Z71)=0,0,MAX(0,IF((AT$6-$E$3)&lt;1,0,IFERROR(LOOKUP(2,1/(Trigo!$E71:INDEX(Trigo!$E71:$Z71,MIN(AT$6-$E$3,22))&lt;&gt;""),Trigo!$E71:INDEX(Trigo!$E71:$Z71,MIN(AT$6-$E$3,22))),0))-IF($G$2,0,IF((AT$6-$G$3)&lt;1,0,IFERROR(LOOKUP(2,1/(Trigo!$E71:INDEX(Trigo!$E71:$Z71,MIN(AT$6-$G$3,22))&lt;&gt;""),Trigo!$E71:INDEX(Trigo!$E71:$Z71,MIN(AT$6-$G$3,22))),0)))))</f>
        <v>0</v>
      </c>
      <c r="AU73" s="27" t="n">
        <f aca="false">IF(COUNT(Trigo!$E71:$Z71)=0,0,MAX(0,IF((AU$6-$E$3)&lt;1,0,IFERROR(LOOKUP(2,1/(Trigo!$E71:INDEX(Trigo!$E71:$Z71,MIN(AU$6-$E$3,22))&lt;&gt;""),Trigo!$E71:INDEX(Trigo!$E71:$Z71,MIN(AU$6-$E$3,22))),0))-IF($G$2,0,IF((AU$6-$G$3)&lt;1,0,IFERROR(LOOKUP(2,1/(Trigo!$E71:INDEX(Trigo!$E71:$Z71,MIN(AU$6-$G$3,22))&lt;&gt;""),Trigo!$E71:INDEX(Trigo!$E71:$Z71,MIN(AU$6-$G$3,22))),0)))))</f>
        <v>0</v>
      </c>
      <c r="AV73" s="27" t="n">
        <f aca="false">IF(COUNT(Trigo!$E71:$Z71)=0,0,MAX(0,IF((AV$6-$E$3)&lt;1,0,IFERROR(LOOKUP(2,1/(Trigo!$E71:INDEX(Trigo!$E71:$Z71,MIN(AV$6-$E$3,22))&lt;&gt;""),Trigo!$E71:INDEX(Trigo!$E71:$Z71,MIN(AV$6-$E$3,22))),0))-IF($G$2,0,IF((AV$6-$G$3)&lt;1,0,IFERROR(LOOKUP(2,1/(Trigo!$E71:INDEX(Trigo!$E71:$Z71,MIN(AV$6-$G$3,22))&lt;&gt;""),Trigo!$E71:INDEX(Trigo!$E71:$Z71,MIN(AV$6-$G$3,22))),0)))))</f>
        <v>0</v>
      </c>
      <c r="AW73" s="27" t="n">
        <f aca="false">IF(COUNT(Trigo!$E71:$Z71)=0,0,MAX(0,IF((AW$6-$E$3)&lt;1,0,IFERROR(LOOKUP(2,1/(Trigo!$E71:INDEX(Trigo!$E71:$Z71,MIN(AW$6-$E$3,22))&lt;&gt;""),Trigo!$E71:INDEX(Trigo!$E71:$Z71,MIN(AW$6-$E$3,22))),0))-IF($G$2,0,IF((AW$6-$G$3)&lt;1,0,IFERROR(LOOKUP(2,1/(Trigo!$E71:INDEX(Trigo!$E71:$Z71,MIN(AW$6-$G$3,22))&lt;&gt;""),Trigo!$E71:INDEX(Trigo!$E71:$Z71,MIN(AW$6-$G$3,22))),0)))))</f>
        <v>0</v>
      </c>
      <c r="AX73" s="27" t="n">
        <f aca="false">IF(COUNT(Trigo!$E71:$Z71)=0,0,MAX(0,IF((AX$6-$E$3)&lt;1,0,IFERROR(LOOKUP(2,1/(Trigo!$E71:INDEX(Trigo!$E71:$Z71,MIN(AX$6-$E$3,22))&lt;&gt;""),Trigo!$E71:INDEX(Trigo!$E71:$Z71,MIN(AX$6-$E$3,22))),0))-IF($G$2,0,IF((AX$6-$G$3)&lt;1,0,IFERROR(LOOKUP(2,1/(Trigo!$E71:INDEX(Trigo!$E71:$Z71,MIN(AX$6-$G$3,22))&lt;&gt;""),Trigo!$E71:INDEX(Trigo!$E71:$Z71,MIN(AX$6-$G$3,22))),0)))))</f>
        <v>0</v>
      </c>
      <c r="AY73" s="27" t="n">
        <f aca="false">IF(COUNT(Trigo!$E71:$Z71)=0,0,MAX(0,IF((AY$6-$E$3)&lt;1,0,IFERROR(LOOKUP(2,1/(Trigo!$E71:INDEX(Trigo!$E71:$Z71,MIN(AY$6-$E$3,22))&lt;&gt;""),Trigo!$E71:INDEX(Trigo!$E71:$Z71,MIN(AY$6-$E$3,22))),0))-IF($G$2,0,IF((AY$6-$G$3)&lt;1,0,IFERROR(LOOKUP(2,1/(Trigo!$E71:INDEX(Trigo!$E71:$Z71,MIN(AY$6-$G$3,22))&lt;&gt;""),Trigo!$E71:INDEX(Trigo!$E71:$Z71,MIN(AY$6-$G$3,22))),0)))))</f>
        <v>0</v>
      </c>
      <c r="AZ73" s="27" t="n">
        <f aca="false">IF(COUNT(Trigo!$E71:$Z71)=0,0,MAX(0,IF((AZ$6-$E$3)&lt;1,0,IFERROR(LOOKUP(2,1/(Trigo!$E71:INDEX(Trigo!$E71:$Z71,MIN(AZ$6-$E$3,22))&lt;&gt;""),Trigo!$E71:INDEX(Trigo!$E71:$Z71,MIN(AZ$6-$E$3,22))),0))-IF($G$2,0,IF((AZ$6-$G$3)&lt;1,0,IFERROR(LOOKUP(2,1/(Trigo!$E71:INDEX(Trigo!$E71:$Z71,MIN(AZ$6-$G$3,22))&lt;&gt;""),Trigo!$E71:INDEX(Trigo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IF(COUNT(Trigo!$E72:$Z72)&gt;0,N(Trigo!$D72),0)</f>
        <v>0</v>
      </c>
      <c r="E74" s="27" t="n">
        <f aca="false">IF(COUNT(Trigo!$E72:$Z72)=0,0,MAX(0,IF((E$6-$E$3)&lt;1,0,IFERROR(LOOKUP(2,1/(Trigo!$E72:INDEX(Trigo!$E72:$Z72,MIN(E$6-$E$3,22))&lt;&gt;""),Trigo!$E72:INDEX(Trigo!$E72:$Z72,MIN(E$6-$E$3,22))),0))-IF($G$2,0,IF((E$6-$G$3)&lt;1,0,IFERROR(LOOKUP(2,1/(Trigo!$E72:INDEX(Trigo!$E72:$Z72,MIN(E$6-$G$3,22))&lt;&gt;""),Trigo!$E72:INDEX(Trigo!$E72:$Z72,MIN(E$6-$G$3,22))),0)))))</f>
        <v>0</v>
      </c>
      <c r="F74" s="27" t="n">
        <f aca="false">IF(COUNT(Trigo!$E72:$Z72)=0,0,MAX(0,IF((F$6-$E$3)&lt;1,0,IFERROR(LOOKUP(2,1/(Trigo!$E72:INDEX(Trigo!$E72:$Z72,MIN(F$6-$E$3,22))&lt;&gt;""),Trigo!$E72:INDEX(Trigo!$E72:$Z72,MIN(F$6-$E$3,22))),0))-IF($G$2,0,IF((F$6-$G$3)&lt;1,0,IFERROR(LOOKUP(2,1/(Trigo!$E72:INDEX(Trigo!$E72:$Z72,MIN(F$6-$G$3,22))&lt;&gt;""),Trigo!$E72:INDEX(Trigo!$E72:$Z72,MIN(F$6-$G$3,22))),0)))))</f>
        <v>0</v>
      </c>
      <c r="G74" s="27" t="n">
        <f aca="false">IF(COUNT(Trigo!$E72:$Z72)=0,0,MAX(0,IF((G$6-$E$3)&lt;1,0,IFERROR(LOOKUP(2,1/(Trigo!$E72:INDEX(Trigo!$E72:$Z72,MIN(G$6-$E$3,22))&lt;&gt;""),Trigo!$E72:INDEX(Trigo!$E72:$Z72,MIN(G$6-$E$3,22))),0))-IF($G$2,0,IF((G$6-$G$3)&lt;1,0,IFERROR(LOOKUP(2,1/(Trigo!$E72:INDEX(Trigo!$E72:$Z72,MIN(G$6-$G$3,22))&lt;&gt;""),Trigo!$E72:INDEX(Trigo!$E72:$Z72,MIN(G$6-$G$3,22))),0)))))</f>
        <v>0</v>
      </c>
      <c r="H74" s="27" t="n">
        <f aca="false">IF(COUNT(Trigo!$E72:$Z72)=0,0,MAX(0,IF((H$6-$E$3)&lt;1,0,IFERROR(LOOKUP(2,1/(Trigo!$E72:INDEX(Trigo!$E72:$Z72,MIN(H$6-$E$3,22))&lt;&gt;""),Trigo!$E72:INDEX(Trigo!$E72:$Z72,MIN(H$6-$E$3,22))),0))-IF($G$2,0,IF((H$6-$G$3)&lt;1,0,IFERROR(LOOKUP(2,1/(Trigo!$E72:INDEX(Trigo!$E72:$Z72,MIN(H$6-$G$3,22))&lt;&gt;""),Trigo!$E72:INDEX(Trigo!$E72:$Z72,MIN(H$6-$G$3,22))),0)))))</f>
        <v>0</v>
      </c>
      <c r="I74" s="27" t="n">
        <f aca="false">IF(COUNT(Trigo!$E72:$Z72)=0,0,MAX(0,IF((I$6-$E$3)&lt;1,0,IFERROR(LOOKUP(2,1/(Trigo!$E72:INDEX(Trigo!$E72:$Z72,MIN(I$6-$E$3,22))&lt;&gt;""),Trigo!$E72:INDEX(Trigo!$E72:$Z72,MIN(I$6-$E$3,22))),0))-IF($G$2,0,IF((I$6-$G$3)&lt;1,0,IFERROR(LOOKUP(2,1/(Trigo!$E72:INDEX(Trigo!$E72:$Z72,MIN(I$6-$G$3,22))&lt;&gt;""),Trigo!$E72:INDEX(Trigo!$E72:$Z72,MIN(I$6-$G$3,22))),0)))))</f>
        <v>0</v>
      </c>
      <c r="J74" s="27" t="n">
        <f aca="false">IF(COUNT(Trigo!$E72:$Z72)=0,0,MAX(0,IF((J$6-$E$3)&lt;1,0,IFERROR(LOOKUP(2,1/(Trigo!$E72:INDEX(Trigo!$E72:$Z72,MIN(J$6-$E$3,22))&lt;&gt;""),Trigo!$E72:INDEX(Trigo!$E72:$Z72,MIN(J$6-$E$3,22))),0))-IF($G$2,0,IF((J$6-$G$3)&lt;1,0,IFERROR(LOOKUP(2,1/(Trigo!$E72:INDEX(Trigo!$E72:$Z72,MIN(J$6-$G$3,22))&lt;&gt;""),Trigo!$E72:INDEX(Trigo!$E72:$Z72,MIN(J$6-$G$3,22))),0)))))</f>
        <v>0</v>
      </c>
      <c r="K74" s="27" t="n">
        <f aca="false">IF(COUNT(Trigo!$E72:$Z72)=0,0,MAX(0,IF((K$6-$E$3)&lt;1,0,IFERROR(LOOKUP(2,1/(Trigo!$E72:INDEX(Trigo!$E72:$Z72,MIN(K$6-$E$3,22))&lt;&gt;""),Trigo!$E72:INDEX(Trigo!$E72:$Z72,MIN(K$6-$E$3,22))),0))-IF($G$2,0,IF((K$6-$G$3)&lt;1,0,IFERROR(LOOKUP(2,1/(Trigo!$E72:INDEX(Trigo!$E72:$Z72,MIN(K$6-$G$3,22))&lt;&gt;""),Trigo!$E72:INDEX(Trigo!$E72:$Z72,MIN(K$6-$G$3,22))),0)))))</f>
        <v>0</v>
      </c>
      <c r="L74" s="27" t="n">
        <f aca="false">IF(COUNT(Trigo!$E72:$Z72)=0,0,MAX(0,IF((L$6-$E$3)&lt;1,0,IFERROR(LOOKUP(2,1/(Trigo!$E72:INDEX(Trigo!$E72:$Z72,MIN(L$6-$E$3,22))&lt;&gt;""),Trigo!$E72:INDEX(Trigo!$E72:$Z72,MIN(L$6-$E$3,22))),0))-IF($G$2,0,IF((L$6-$G$3)&lt;1,0,IFERROR(LOOKUP(2,1/(Trigo!$E72:INDEX(Trigo!$E72:$Z72,MIN(L$6-$G$3,22))&lt;&gt;""),Trigo!$E72:INDEX(Trigo!$E72:$Z72,MIN(L$6-$G$3,22))),0)))))</f>
        <v>0</v>
      </c>
      <c r="M74" s="27" t="n">
        <f aca="false">IF(COUNT(Trigo!$E72:$Z72)=0,0,MAX(0,IF((M$6-$E$3)&lt;1,0,IFERROR(LOOKUP(2,1/(Trigo!$E72:INDEX(Trigo!$E72:$Z72,MIN(M$6-$E$3,22))&lt;&gt;""),Trigo!$E72:INDEX(Trigo!$E72:$Z72,MIN(M$6-$E$3,22))),0))-IF($G$2,0,IF((M$6-$G$3)&lt;1,0,IFERROR(LOOKUP(2,1/(Trigo!$E72:INDEX(Trigo!$E72:$Z72,MIN(M$6-$G$3,22))&lt;&gt;""),Trigo!$E72:INDEX(Trigo!$E72:$Z72,MIN(M$6-$G$3,22))),0)))))</f>
        <v>0</v>
      </c>
      <c r="N74" s="27" t="n">
        <f aca="false">IF(COUNT(Trigo!$E72:$Z72)=0,0,MAX(0,IF((N$6-$E$3)&lt;1,0,IFERROR(LOOKUP(2,1/(Trigo!$E72:INDEX(Trigo!$E72:$Z72,MIN(N$6-$E$3,22))&lt;&gt;""),Trigo!$E72:INDEX(Trigo!$E72:$Z72,MIN(N$6-$E$3,22))),0))-IF($G$2,0,IF((N$6-$G$3)&lt;1,0,IFERROR(LOOKUP(2,1/(Trigo!$E72:INDEX(Trigo!$E72:$Z72,MIN(N$6-$G$3,22))&lt;&gt;""),Trigo!$E72:INDEX(Trigo!$E72:$Z72,MIN(N$6-$G$3,22))),0)))))</f>
        <v>0</v>
      </c>
      <c r="O74" s="27" t="n">
        <f aca="false">IF(COUNT(Trigo!$E72:$Z72)=0,0,MAX(0,IF((O$6-$E$3)&lt;1,0,IFERROR(LOOKUP(2,1/(Trigo!$E72:INDEX(Trigo!$E72:$Z72,MIN(O$6-$E$3,22))&lt;&gt;""),Trigo!$E72:INDEX(Trigo!$E72:$Z72,MIN(O$6-$E$3,22))),0))-IF($G$2,0,IF((O$6-$G$3)&lt;1,0,IFERROR(LOOKUP(2,1/(Trigo!$E72:INDEX(Trigo!$E72:$Z72,MIN(O$6-$G$3,22))&lt;&gt;""),Trigo!$E72:INDEX(Trigo!$E72:$Z72,MIN(O$6-$G$3,22))),0)))))</f>
        <v>0</v>
      </c>
      <c r="P74" s="27" t="n">
        <f aca="false">IF(COUNT(Trigo!$E72:$Z72)=0,0,MAX(0,IF((P$6-$E$3)&lt;1,0,IFERROR(LOOKUP(2,1/(Trigo!$E72:INDEX(Trigo!$E72:$Z72,MIN(P$6-$E$3,22))&lt;&gt;""),Trigo!$E72:INDEX(Trigo!$E72:$Z72,MIN(P$6-$E$3,22))),0))-IF($G$2,0,IF((P$6-$G$3)&lt;1,0,IFERROR(LOOKUP(2,1/(Trigo!$E72:INDEX(Trigo!$E72:$Z72,MIN(P$6-$G$3,22))&lt;&gt;""),Trigo!$E72:INDEX(Trigo!$E72:$Z72,MIN(P$6-$G$3,22))),0)))))</f>
        <v>0</v>
      </c>
      <c r="Q74" s="27" t="n">
        <f aca="false">IF(COUNT(Trigo!$E72:$Z72)=0,0,MAX(0,IF((Q$6-$E$3)&lt;1,0,IFERROR(LOOKUP(2,1/(Trigo!$E72:INDEX(Trigo!$E72:$Z72,MIN(Q$6-$E$3,22))&lt;&gt;""),Trigo!$E72:INDEX(Trigo!$E72:$Z72,MIN(Q$6-$E$3,22))),0))-IF($G$2,0,IF((Q$6-$G$3)&lt;1,0,IFERROR(LOOKUP(2,1/(Trigo!$E72:INDEX(Trigo!$E72:$Z72,MIN(Q$6-$G$3,22))&lt;&gt;""),Trigo!$E72:INDEX(Trigo!$E72:$Z72,MIN(Q$6-$G$3,22))),0)))))</f>
        <v>0</v>
      </c>
      <c r="R74" s="27" t="n">
        <f aca="false">IF(COUNT(Trigo!$E72:$Z72)=0,0,MAX(0,IF((R$6-$E$3)&lt;1,0,IFERROR(LOOKUP(2,1/(Trigo!$E72:INDEX(Trigo!$E72:$Z72,MIN(R$6-$E$3,22))&lt;&gt;""),Trigo!$E72:INDEX(Trigo!$E72:$Z72,MIN(R$6-$E$3,22))),0))-IF($G$2,0,IF((R$6-$G$3)&lt;1,0,IFERROR(LOOKUP(2,1/(Trigo!$E72:INDEX(Trigo!$E72:$Z72,MIN(R$6-$G$3,22))&lt;&gt;""),Trigo!$E72:INDEX(Trigo!$E72:$Z72,MIN(R$6-$G$3,22))),0)))))</f>
        <v>0</v>
      </c>
      <c r="S74" s="27" t="n">
        <f aca="false">IF(COUNT(Trigo!$E72:$Z72)=0,0,MAX(0,IF((S$6-$E$3)&lt;1,0,IFERROR(LOOKUP(2,1/(Trigo!$E72:INDEX(Trigo!$E72:$Z72,MIN(S$6-$E$3,22))&lt;&gt;""),Trigo!$E72:INDEX(Trigo!$E72:$Z72,MIN(S$6-$E$3,22))),0))-IF($G$2,0,IF((S$6-$G$3)&lt;1,0,IFERROR(LOOKUP(2,1/(Trigo!$E72:INDEX(Trigo!$E72:$Z72,MIN(S$6-$G$3,22))&lt;&gt;""),Trigo!$E72:INDEX(Trigo!$E72:$Z72,MIN(S$6-$G$3,22))),0)))))</f>
        <v>0</v>
      </c>
      <c r="T74" s="27" t="n">
        <f aca="false">IF(COUNT(Trigo!$E72:$Z72)=0,0,MAX(0,IF((T$6-$E$3)&lt;1,0,IFERROR(LOOKUP(2,1/(Trigo!$E72:INDEX(Trigo!$E72:$Z72,MIN(T$6-$E$3,22))&lt;&gt;""),Trigo!$E72:INDEX(Trigo!$E72:$Z72,MIN(T$6-$E$3,22))),0))-IF($G$2,0,IF((T$6-$G$3)&lt;1,0,IFERROR(LOOKUP(2,1/(Trigo!$E72:INDEX(Trigo!$E72:$Z72,MIN(T$6-$G$3,22))&lt;&gt;""),Trigo!$E72:INDEX(Trigo!$E72:$Z72,MIN(T$6-$G$3,22))),0)))))</f>
        <v>0</v>
      </c>
      <c r="U74" s="27" t="n">
        <f aca="false">IF(COUNT(Trigo!$E72:$Z72)=0,0,MAX(0,IF((U$6-$E$3)&lt;1,0,IFERROR(LOOKUP(2,1/(Trigo!$E72:INDEX(Trigo!$E72:$Z72,MIN(U$6-$E$3,22))&lt;&gt;""),Trigo!$E72:INDEX(Trigo!$E72:$Z72,MIN(U$6-$E$3,22))),0))-IF($G$2,0,IF((U$6-$G$3)&lt;1,0,IFERROR(LOOKUP(2,1/(Trigo!$E72:INDEX(Trigo!$E72:$Z72,MIN(U$6-$G$3,22))&lt;&gt;""),Trigo!$E72:INDEX(Trigo!$E72:$Z72,MIN(U$6-$G$3,22))),0)))))</f>
        <v>0</v>
      </c>
      <c r="V74" s="27" t="n">
        <f aca="false">IF(COUNT(Trigo!$E72:$Z72)=0,0,MAX(0,IF((V$6-$E$3)&lt;1,0,IFERROR(LOOKUP(2,1/(Trigo!$E72:INDEX(Trigo!$E72:$Z72,MIN(V$6-$E$3,22))&lt;&gt;""),Trigo!$E72:INDEX(Trigo!$E72:$Z72,MIN(V$6-$E$3,22))),0))-IF($G$2,0,IF((V$6-$G$3)&lt;1,0,IFERROR(LOOKUP(2,1/(Trigo!$E72:INDEX(Trigo!$E72:$Z72,MIN(V$6-$G$3,22))&lt;&gt;""),Trigo!$E72:INDEX(Trigo!$E72:$Z72,MIN(V$6-$G$3,22))),0)))))</f>
        <v>0</v>
      </c>
      <c r="W74" s="27" t="n">
        <f aca="false">IF(COUNT(Trigo!$E72:$Z72)=0,0,MAX(0,IF((W$6-$E$3)&lt;1,0,IFERROR(LOOKUP(2,1/(Trigo!$E72:INDEX(Trigo!$E72:$Z72,MIN(W$6-$E$3,22))&lt;&gt;""),Trigo!$E72:INDEX(Trigo!$E72:$Z72,MIN(W$6-$E$3,22))),0))-IF($G$2,0,IF((W$6-$G$3)&lt;1,0,IFERROR(LOOKUP(2,1/(Trigo!$E72:INDEX(Trigo!$E72:$Z72,MIN(W$6-$G$3,22))&lt;&gt;""),Trigo!$E72:INDEX(Trigo!$E72:$Z72,MIN(W$6-$G$3,22))),0)))))</f>
        <v>0</v>
      </c>
      <c r="X74" s="27" t="n">
        <f aca="false">IF(COUNT(Trigo!$E72:$Z72)=0,0,MAX(0,IF((X$6-$E$3)&lt;1,0,IFERROR(LOOKUP(2,1/(Trigo!$E72:INDEX(Trigo!$E72:$Z72,MIN(X$6-$E$3,22))&lt;&gt;""),Trigo!$E72:INDEX(Trigo!$E72:$Z72,MIN(X$6-$E$3,22))),0))-IF($G$2,0,IF((X$6-$G$3)&lt;1,0,IFERROR(LOOKUP(2,1/(Trigo!$E72:INDEX(Trigo!$E72:$Z72,MIN(X$6-$G$3,22))&lt;&gt;""),Trigo!$E72:INDEX(Trigo!$E72:$Z72,MIN(X$6-$G$3,22))),0)))))</f>
        <v>0</v>
      </c>
      <c r="Y74" s="27" t="n">
        <f aca="false">IF(COUNT(Trigo!$E72:$Z72)=0,0,MAX(0,IF((Y$6-$E$3)&lt;1,0,IFERROR(LOOKUP(2,1/(Trigo!$E72:INDEX(Trigo!$E72:$Z72,MIN(Y$6-$E$3,22))&lt;&gt;""),Trigo!$E72:INDEX(Trigo!$E72:$Z72,MIN(Y$6-$E$3,22))),0))-IF($G$2,0,IF((Y$6-$G$3)&lt;1,0,IFERROR(LOOKUP(2,1/(Trigo!$E72:INDEX(Trigo!$E72:$Z72,MIN(Y$6-$G$3,22))&lt;&gt;""),Trigo!$E72:INDEX(Trigo!$E72:$Z72,MIN(Y$6-$G$3,22))),0)))))</f>
        <v>0</v>
      </c>
      <c r="Z74" s="27" t="n">
        <f aca="false">IF(COUNT(Trigo!$E72:$Z72)=0,0,MAX(0,IF((Z$6-$E$3)&lt;1,0,IFERROR(LOOKUP(2,1/(Trigo!$E72:INDEX(Trigo!$E72:$Z72,MIN(Z$6-$E$3,22))&lt;&gt;""),Trigo!$E72:INDEX(Trigo!$E72:$Z72,MIN(Z$6-$E$3,22))),0))-IF($G$2,0,IF((Z$6-$G$3)&lt;1,0,IFERROR(LOOKUP(2,1/(Trigo!$E72:INDEX(Trigo!$E72:$Z72,MIN(Z$6-$G$3,22))&lt;&gt;""),Trigo!$E72:INDEX(Trigo!$E72:$Z72,MIN(Z$6-$G$3,22))),0)))))</f>
        <v>0</v>
      </c>
      <c r="AA74" s="27" t="n">
        <f aca="false">IF(COUNT(Trigo!$E72:$Z72)=0,0,MAX(0,IF((AA$6-$E$3)&lt;1,0,IFERROR(LOOKUP(2,1/(Trigo!$E72:INDEX(Trigo!$E72:$Z72,MIN(AA$6-$E$3,22))&lt;&gt;""),Trigo!$E72:INDEX(Trigo!$E72:$Z72,MIN(AA$6-$E$3,22))),0))-IF($G$2,0,IF((AA$6-$G$3)&lt;1,0,IFERROR(LOOKUP(2,1/(Trigo!$E72:INDEX(Trigo!$E72:$Z72,MIN(AA$6-$G$3,22))&lt;&gt;""),Trigo!$E72:INDEX(Trigo!$E72:$Z72,MIN(AA$6-$G$3,22))),0)))))</f>
        <v>0</v>
      </c>
      <c r="AB74" s="27" t="n">
        <f aca="false">IF(COUNT(Trigo!$E72:$Z72)=0,0,MAX(0,IF((AB$6-$E$3)&lt;1,0,IFERROR(LOOKUP(2,1/(Trigo!$E72:INDEX(Trigo!$E72:$Z72,MIN(AB$6-$E$3,22))&lt;&gt;""),Trigo!$E72:INDEX(Trigo!$E72:$Z72,MIN(AB$6-$E$3,22))),0))-IF($G$2,0,IF((AB$6-$G$3)&lt;1,0,IFERROR(LOOKUP(2,1/(Trigo!$E72:INDEX(Trigo!$E72:$Z72,MIN(AB$6-$G$3,22))&lt;&gt;""),Trigo!$E72:INDEX(Trigo!$E72:$Z72,MIN(AB$6-$G$3,22))),0)))))</f>
        <v>0</v>
      </c>
      <c r="AC74" s="27" t="n">
        <f aca="false">IF(COUNT(Trigo!$E72:$Z72)=0,0,MAX(0,IF((AC$6-$E$3)&lt;1,0,IFERROR(LOOKUP(2,1/(Trigo!$E72:INDEX(Trigo!$E72:$Z72,MIN(AC$6-$E$3,22))&lt;&gt;""),Trigo!$E72:INDEX(Trigo!$E72:$Z72,MIN(AC$6-$E$3,22))),0))-IF($G$2,0,IF((AC$6-$G$3)&lt;1,0,IFERROR(LOOKUP(2,1/(Trigo!$E72:INDEX(Trigo!$E72:$Z72,MIN(AC$6-$G$3,22))&lt;&gt;""),Trigo!$E72:INDEX(Trigo!$E72:$Z72,MIN(AC$6-$G$3,22))),0)))))</f>
        <v>0</v>
      </c>
      <c r="AD74" s="27" t="n">
        <f aca="false">IF(COUNT(Trigo!$E72:$Z72)=0,0,MAX(0,IF((AD$6-$E$3)&lt;1,0,IFERROR(LOOKUP(2,1/(Trigo!$E72:INDEX(Trigo!$E72:$Z72,MIN(AD$6-$E$3,22))&lt;&gt;""),Trigo!$E72:INDEX(Trigo!$E72:$Z72,MIN(AD$6-$E$3,22))),0))-IF($G$2,0,IF((AD$6-$G$3)&lt;1,0,IFERROR(LOOKUP(2,1/(Trigo!$E72:INDEX(Trigo!$E72:$Z72,MIN(AD$6-$G$3,22))&lt;&gt;""),Trigo!$E72:INDEX(Trigo!$E72:$Z72,MIN(AD$6-$G$3,22))),0)))))</f>
        <v>0</v>
      </c>
      <c r="AE74" s="27" t="n">
        <f aca="false">IF(COUNT(Trigo!$E72:$Z72)=0,0,MAX(0,IF((AE$6-$E$3)&lt;1,0,IFERROR(LOOKUP(2,1/(Trigo!$E72:INDEX(Trigo!$E72:$Z72,MIN(AE$6-$E$3,22))&lt;&gt;""),Trigo!$E72:INDEX(Trigo!$E72:$Z72,MIN(AE$6-$E$3,22))),0))-IF($G$2,0,IF((AE$6-$G$3)&lt;1,0,IFERROR(LOOKUP(2,1/(Trigo!$E72:INDEX(Trigo!$E72:$Z72,MIN(AE$6-$G$3,22))&lt;&gt;""),Trigo!$E72:INDEX(Trigo!$E72:$Z72,MIN(AE$6-$G$3,22))),0)))))</f>
        <v>0</v>
      </c>
      <c r="AF74" s="27" t="n">
        <f aca="false">IF(COUNT(Trigo!$E72:$Z72)=0,0,MAX(0,IF((AF$6-$E$3)&lt;1,0,IFERROR(LOOKUP(2,1/(Trigo!$E72:INDEX(Trigo!$E72:$Z72,MIN(AF$6-$E$3,22))&lt;&gt;""),Trigo!$E72:INDEX(Trigo!$E72:$Z72,MIN(AF$6-$E$3,22))),0))-IF($G$2,0,IF((AF$6-$G$3)&lt;1,0,IFERROR(LOOKUP(2,1/(Trigo!$E72:INDEX(Trigo!$E72:$Z72,MIN(AF$6-$G$3,22))&lt;&gt;""),Trigo!$E72:INDEX(Trigo!$E72:$Z72,MIN(AF$6-$G$3,22))),0)))))</f>
        <v>0</v>
      </c>
      <c r="AG74" s="27" t="n">
        <f aca="false">IF(COUNT(Trigo!$E72:$Z72)=0,0,MAX(0,IF((AG$6-$E$3)&lt;1,0,IFERROR(LOOKUP(2,1/(Trigo!$E72:INDEX(Trigo!$E72:$Z72,MIN(AG$6-$E$3,22))&lt;&gt;""),Trigo!$E72:INDEX(Trigo!$E72:$Z72,MIN(AG$6-$E$3,22))),0))-IF($G$2,0,IF((AG$6-$G$3)&lt;1,0,IFERROR(LOOKUP(2,1/(Trigo!$E72:INDEX(Trigo!$E72:$Z72,MIN(AG$6-$G$3,22))&lt;&gt;""),Trigo!$E72:INDEX(Trigo!$E72:$Z72,MIN(AG$6-$G$3,22))),0)))))</f>
        <v>0</v>
      </c>
      <c r="AH74" s="27" t="n">
        <f aca="false">IF(COUNT(Trigo!$E72:$Z72)=0,0,MAX(0,IF((AH$6-$E$3)&lt;1,0,IFERROR(LOOKUP(2,1/(Trigo!$E72:INDEX(Trigo!$E72:$Z72,MIN(AH$6-$E$3,22))&lt;&gt;""),Trigo!$E72:INDEX(Trigo!$E72:$Z72,MIN(AH$6-$E$3,22))),0))-IF($G$2,0,IF((AH$6-$G$3)&lt;1,0,IFERROR(LOOKUP(2,1/(Trigo!$E72:INDEX(Trigo!$E72:$Z72,MIN(AH$6-$G$3,22))&lt;&gt;""),Trigo!$E72:INDEX(Trigo!$E72:$Z72,MIN(AH$6-$G$3,22))),0)))))</f>
        <v>0</v>
      </c>
      <c r="AI74" s="27" t="n">
        <f aca="false">IF(COUNT(Trigo!$E72:$Z72)=0,0,MAX(0,IF((AI$6-$E$3)&lt;1,0,IFERROR(LOOKUP(2,1/(Trigo!$E72:INDEX(Trigo!$E72:$Z72,MIN(AI$6-$E$3,22))&lt;&gt;""),Trigo!$E72:INDEX(Trigo!$E72:$Z72,MIN(AI$6-$E$3,22))),0))-IF($G$2,0,IF((AI$6-$G$3)&lt;1,0,IFERROR(LOOKUP(2,1/(Trigo!$E72:INDEX(Trigo!$E72:$Z72,MIN(AI$6-$G$3,22))&lt;&gt;""),Trigo!$E72:INDEX(Trigo!$E72:$Z72,MIN(AI$6-$G$3,22))),0)))))</f>
        <v>0</v>
      </c>
      <c r="AJ74" s="27" t="n">
        <f aca="false">IF(COUNT(Trigo!$E72:$Z72)=0,0,MAX(0,IF((AJ$6-$E$3)&lt;1,0,IFERROR(LOOKUP(2,1/(Trigo!$E72:INDEX(Trigo!$E72:$Z72,MIN(AJ$6-$E$3,22))&lt;&gt;""),Trigo!$E72:INDEX(Trigo!$E72:$Z72,MIN(AJ$6-$E$3,22))),0))-IF($G$2,0,IF((AJ$6-$G$3)&lt;1,0,IFERROR(LOOKUP(2,1/(Trigo!$E72:INDEX(Trigo!$E72:$Z72,MIN(AJ$6-$G$3,22))&lt;&gt;""),Trigo!$E72:INDEX(Trigo!$E72:$Z72,MIN(AJ$6-$G$3,22))),0)))))</f>
        <v>0</v>
      </c>
      <c r="AK74" s="27" t="n">
        <f aca="false">IF(COUNT(Trigo!$E72:$Z72)=0,0,MAX(0,IF((AK$6-$E$3)&lt;1,0,IFERROR(LOOKUP(2,1/(Trigo!$E72:INDEX(Trigo!$E72:$Z72,MIN(AK$6-$E$3,22))&lt;&gt;""),Trigo!$E72:INDEX(Trigo!$E72:$Z72,MIN(AK$6-$E$3,22))),0))-IF($G$2,0,IF((AK$6-$G$3)&lt;1,0,IFERROR(LOOKUP(2,1/(Trigo!$E72:INDEX(Trigo!$E72:$Z72,MIN(AK$6-$G$3,22))&lt;&gt;""),Trigo!$E72:INDEX(Trigo!$E72:$Z72,MIN(AK$6-$G$3,22))),0)))))</f>
        <v>0</v>
      </c>
      <c r="AL74" s="27" t="n">
        <f aca="false">IF(COUNT(Trigo!$E72:$Z72)=0,0,MAX(0,IF((AL$6-$E$3)&lt;1,0,IFERROR(LOOKUP(2,1/(Trigo!$E72:INDEX(Trigo!$E72:$Z72,MIN(AL$6-$E$3,22))&lt;&gt;""),Trigo!$E72:INDEX(Trigo!$E72:$Z72,MIN(AL$6-$E$3,22))),0))-IF($G$2,0,IF((AL$6-$G$3)&lt;1,0,IFERROR(LOOKUP(2,1/(Trigo!$E72:INDEX(Trigo!$E72:$Z72,MIN(AL$6-$G$3,22))&lt;&gt;""),Trigo!$E72:INDEX(Trigo!$E72:$Z72,MIN(AL$6-$G$3,22))),0)))))</f>
        <v>0</v>
      </c>
      <c r="AM74" s="27" t="n">
        <f aca="false">IF(COUNT(Trigo!$E72:$Z72)=0,0,MAX(0,IF((AM$6-$E$3)&lt;1,0,IFERROR(LOOKUP(2,1/(Trigo!$E72:INDEX(Trigo!$E72:$Z72,MIN(AM$6-$E$3,22))&lt;&gt;""),Trigo!$E72:INDEX(Trigo!$E72:$Z72,MIN(AM$6-$E$3,22))),0))-IF($G$2,0,IF((AM$6-$G$3)&lt;1,0,IFERROR(LOOKUP(2,1/(Trigo!$E72:INDEX(Trigo!$E72:$Z72,MIN(AM$6-$G$3,22))&lt;&gt;""),Trigo!$E72:INDEX(Trigo!$E72:$Z72,MIN(AM$6-$G$3,22))),0)))))</f>
        <v>0</v>
      </c>
      <c r="AN74" s="27" t="n">
        <f aca="false">IF(COUNT(Trigo!$E72:$Z72)=0,0,MAX(0,IF((AN$6-$E$3)&lt;1,0,IFERROR(LOOKUP(2,1/(Trigo!$E72:INDEX(Trigo!$E72:$Z72,MIN(AN$6-$E$3,22))&lt;&gt;""),Trigo!$E72:INDEX(Trigo!$E72:$Z72,MIN(AN$6-$E$3,22))),0))-IF($G$2,0,IF((AN$6-$G$3)&lt;1,0,IFERROR(LOOKUP(2,1/(Trigo!$E72:INDEX(Trigo!$E72:$Z72,MIN(AN$6-$G$3,22))&lt;&gt;""),Trigo!$E72:INDEX(Trigo!$E72:$Z72,MIN(AN$6-$G$3,22))),0)))))</f>
        <v>0</v>
      </c>
      <c r="AO74" s="27" t="n">
        <f aca="false">IF(COUNT(Trigo!$E72:$Z72)=0,0,MAX(0,IF((AO$6-$E$3)&lt;1,0,IFERROR(LOOKUP(2,1/(Trigo!$E72:INDEX(Trigo!$E72:$Z72,MIN(AO$6-$E$3,22))&lt;&gt;""),Trigo!$E72:INDEX(Trigo!$E72:$Z72,MIN(AO$6-$E$3,22))),0))-IF($G$2,0,IF((AO$6-$G$3)&lt;1,0,IFERROR(LOOKUP(2,1/(Trigo!$E72:INDEX(Trigo!$E72:$Z72,MIN(AO$6-$G$3,22))&lt;&gt;""),Trigo!$E72:INDEX(Trigo!$E72:$Z72,MIN(AO$6-$G$3,22))),0)))))</f>
        <v>0</v>
      </c>
      <c r="AP74" s="27" t="n">
        <f aca="false">IF(COUNT(Trigo!$E72:$Z72)=0,0,MAX(0,IF((AP$6-$E$3)&lt;1,0,IFERROR(LOOKUP(2,1/(Trigo!$E72:INDEX(Trigo!$E72:$Z72,MIN(AP$6-$E$3,22))&lt;&gt;""),Trigo!$E72:INDEX(Trigo!$E72:$Z72,MIN(AP$6-$E$3,22))),0))-IF($G$2,0,IF((AP$6-$G$3)&lt;1,0,IFERROR(LOOKUP(2,1/(Trigo!$E72:INDEX(Trigo!$E72:$Z72,MIN(AP$6-$G$3,22))&lt;&gt;""),Trigo!$E72:INDEX(Trigo!$E72:$Z72,MIN(AP$6-$G$3,22))),0)))))</f>
        <v>0</v>
      </c>
      <c r="AQ74" s="27" t="n">
        <f aca="false">IF(COUNT(Trigo!$E72:$Z72)=0,0,MAX(0,IF((AQ$6-$E$3)&lt;1,0,IFERROR(LOOKUP(2,1/(Trigo!$E72:INDEX(Trigo!$E72:$Z72,MIN(AQ$6-$E$3,22))&lt;&gt;""),Trigo!$E72:INDEX(Trigo!$E72:$Z72,MIN(AQ$6-$E$3,22))),0))-IF($G$2,0,IF((AQ$6-$G$3)&lt;1,0,IFERROR(LOOKUP(2,1/(Trigo!$E72:INDEX(Trigo!$E72:$Z72,MIN(AQ$6-$G$3,22))&lt;&gt;""),Trigo!$E72:INDEX(Trigo!$E72:$Z72,MIN(AQ$6-$G$3,22))),0)))))</f>
        <v>0</v>
      </c>
      <c r="AR74" s="27" t="n">
        <f aca="false">IF(COUNT(Trigo!$E72:$Z72)=0,0,MAX(0,IF((AR$6-$E$3)&lt;1,0,IFERROR(LOOKUP(2,1/(Trigo!$E72:INDEX(Trigo!$E72:$Z72,MIN(AR$6-$E$3,22))&lt;&gt;""),Trigo!$E72:INDEX(Trigo!$E72:$Z72,MIN(AR$6-$E$3,22))),0))-IF($G$2,0,IF((AR$6-$G$3)&lt;1,0,IFERROR(LOOKUP(2,1/(Trigo!$E72:INDEX(Trigo!$E72:$Z72,MIN(AR$6-$G$3,22))&lt;&gt;""),Trigo!$E72:INDEX(Trigo!$E72:$Z72,MIN(AR$6-$G$3,22))),0)))))</f>
        <v>0</v>
      </c>
      <c r="AS74" s="27" t="n">
        <f aca="false">IF(COUNT(Trigo!$E72:$Z72)=0,0,MAX(0,IF((AS$6-$E$3)&lt;1,0,IFERROR(LOOKUP(2,1/(Trigo!$E72:INDEX(Trigo!$E72:$Z72,MIN(AS$6-$E$3,22))&lt;&gt;""),Trigo!$E72:INDEX(Trigo!$E72:$Z72,MIN(AS$6-$E$3,22))),0))-IF($G$2,0,IF((AS$6-$G$3)&lt;1,0,IFERROR(LOOKUP(2,1/(Trigo!$E72:INDEX(Trigo!$E72:$Z72,MIN(AS$6-$G$3,22))&lt;&gt;""),Trigo!$E72:INDEX(Trigo!$E72:$Z72,MIN(AS$6-$G$3,22))),0)))))</f>
        <v>0</v>
      </c>
      <c r="AT74" s="27" t="n">
        <f aca="false">IF(COUNT(Trigo!$E72:$Z72)=0,0,MAX(0,IF((AT$6-$E$3)&lt;1,0,IFERROR(LOOKUP(2,1/(Trigo!$E72:INDEX(Trigo!$E72:$Z72,MIN(AT$6-$E$3,22))&lt;&gt;""),Trigo!$E72:INDEX(Trigo!$E72:$Z72,MIN(AT$6-$E$3,22))),0))-IF($G$2,0,IF((AT$6-$G$3)&lt;1,0,IFERROR(LOOKUP(2,1/(Trigo!$E72:INDEX(Trigo!$E72:$Z72,MIN(AT$6-$G$3,22))&lt;&gt;""),Trigo!$E72:INDEX(Trigo!$E72:$Z72,MIN(AT$6-$G$3,22))),0)))))</f>
        <v>0</v>
      </c>
      <c r="AU74" s="27" t="n">
        <f aca="false">IF(COUNT(Trigo!$E72:$Z72)=0,0,MAX(0,IF((AU$6-$E$3)&lt;1,0,IFERROR(LOOKUP(2,1/(Trigo!$E72:INDEX(Trigo!$E72:$Z72,MIN(AU$6-$E$3,22))&lt;&gt;""),Trigo!$E72:INDEX(Trigo!$E72:$Z72,MIN(AU$6-$E$3,22))),0))-IF($G$2,0,IF((AU$6-$G$3)&lt;1,0,IFERROR(LOOKUP(2,1/(Trigo!$E72:INDEX(Trigo!$E72:$Z72,MIN(AU$6-$G$3,22))&lt;&gt;""),Trigo!$E72:INDEX(Trigo!$E72:$Z72,MIN(AU$6-$G$3,22))),0)))))</f>
        <v>0</v>
      </c>
      <c r="AV74" s="27" t="n">
        <f aca="false">IF(COUNT(Trigo!$E72:$Z72)=0,0,MAX(0,IF((AV$6-$E$3)&lt;1,0,IFERROR(LOOKUP(2,1/(Trigo!$E72:INDEX(Trigo!$E72:$Z72,MIN(AV$6-$E$3,22))&lt;&gt;""),Trigo!$E72:INDEX(Trigo!$E72:$Z72,MIN(AV$6-$E$3,22))),0))-IF($G$2,0,IF((AV$6-$G$3)&lt;1,0,IFERROR(LOOKUP(2,1/(Trigo!$E72:INDEX(Trigo!$E72:$Z72,MIN(AV$6-$G$3,22))&lt;&gt;""),Trigo!$E72:INDEX(Trigo!$E72:$Z72,MIN(AV$6-$G$3,22))),0)))))</f>
        <v>0</v>
      </c>
      <c r="AW74" s="27" t="n">
        <f aca="false">IF(COUNT(Trigo!$E72:$Z72)=0,0,MAX(0,IF((AW$6-$E$3)&lt;1,0,IFERROR(LOOKUP(2,1/(Trigo!$E72:INDEX(Trigo!$E72:$Z72,MIN(AW$6-$E$3,22))&lt;&gt;""),Trigo!$E72:INDEX(Trigo!$E72:$Z72,MIN(AW$6-$E$3,22))),0))-IF($G$2,0,IF((AW$6-$G$3)&lt;1,0,IFERROR(LOOKUP(2,1/(Trigo!$E72:INDEX(Trigo!$E72:$Z72,MIN(AW$6-$G$3,22))&lt;&gt;""),Trigo!$E72:INDEX(Trigo!$E72:$Z72,MIN(AW$6-$G$3,22))),0)))))</f>
        <v>0</v>
      </c>
      <c r="AX74" s="27" t="n">
        <f aca="false">IF(COUNT(Trigo!$E72:$Z72)=0,0,MAX(0,IF((AX$6-$E$3)&lt;1,0,IFERROR(LOOKUP(2,1/(Trigo!$E72:INDEX(Trigo!$E72:$Z72,MIN(AX$6-$E$3,22))&lt;&gt;""),Trigo!$E72:INDEX(Trigo!$E72:$Z72,MIN(AX$6-$E$3,22))),0))-IF($G$2,0,IF((AX$6-$G$3)&lt;1,0,IFERROR(LOOKUP(2,1/(Trigo!$E72:INDEX(Trigo!$E72:$Z72,MIN(AX$6-$G$3,22))&lt;&gt;""),Trigo!$E72:INDEX(Trigo!$E72:$Z72,MIN(AX$6-$G$3,22))),0)))))</f>
        <v>0</v>
      </c>
      <c r="AY74" s="27" t="n">
        <f aca="false">IF(COUNT(Trigo!$E72:$Z72)=0,0,MAX(0,IF((AY$6-$E$3)&lt;1,0,IFERROR(LOOKUP(2,1/(Trigo!$E72:INDEX(Trigo!$E72:$Z72,MIN(AY$6-$E$3,22))&lt;&gt;""),Trigo!$E72:INDEX(Trigo!$E72:$Z72,MIN(AY$6-$E$3,22))),0))-IF($G$2,0,IF((AY$6-$G$3)&lt;1,0,IFERROR(LOOKUP(2,1/(Trigo!$E72:INDEX(Trigo!$E72:$Z72,MIN(AY$6-$G$3,22))&lt;&gt;""),Trigo!$E72:INDEX(Trigo!$E72:$Z72,MIN(AY$6-$G$3,22))),0)))))</f>
        <v>0</v>
      </c>
      <c r="AZ74" s="27" t="n">
        <f aca="false">IF(COUNT(Trigo!$E72:$Z72)=0,0,MAX(0,IF((AZ$6-$E$3)&lt;1,0,IFERROR(LOOKUP(2,1/(Trigo!$E72:INDEX(Trigo!$E72:$Z72,MIN(AZ$6-$E$3,22))&lt;&gt;""),Trigo!$E72:INDEX(Trigo!$E72:$Z72,MIN(AZ$6-$E$3,22))),0))-IF($G$2,0,IF((AZ$6-$G$3)&lt;1,0,IFERROR(LOOKUP(2,1/(Trigo!$E72:INDEX(Trigo!$E72:$Z72,MIN(AZ$6-$G$3,22))&lt;&gt;""),Trigo!$E72:INDEX(Trigo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IF(COUNT(Trigo!$E73:$Z73)&gt;0,N(Trigo!$D73),0)</f>
        <v>0</v>
      </c>
      <c r="E75" s="27" t="n">
        <f aca="false">IF(COUNT(Trigo!$E73:$Z73)=0,0,MAX(0,IF((E$6-$E$3)&lt;1,0,IFERROR(LOOKUP(2,1/(Trigo!$E73:INDEX(Trigo!$E73:$Z73,MIN(E$6-$E$3,22))&lt;&gt;""),Trigo!$E73:INDEX(Trigo!$E73:$Z73,MIN(E$6-$E$3,22))),0))-IF($G$2,0,IF((E$6-$G$3)&lt;1,0,IFERROR(LOOKUP(2,1/(Trigo!$E73:INDEX(Trigo!$E73:$Z73,MIN(E$6-$G$3,22))&lt;&gt;""),Trigo!$E73:INDEX(Trigo!$E73:$Z73,MIN(E$6-$G$3,22))),0)))))</f>
        <v>0</v>
      </c>
      <c r="F75" s="27" t="n">
        <f aca="false">IF(COUNT(Trigo!$E73:$Z73)=0,0,MAX(0,IF((F$6-$E$3)&lt;1,0,IFERROR(LOOKUP(2,1/(Trigo!$E73:INDEX(Trigo!$E73:$Z73,MIN(F$6-$E$3,22))&lt;&gt;""),Trigo!$E73:INDEX(Trigo!$E73:$Z73,MIN(F$6-$E$3,22))),0))-IF($G$2,0,IF((F$6-$G$3)&lt;1,0,IFERROR(LOOKUP(2,1/(Trigo!$E73:INDEX(Trigo!$E73:$Z73,MIN(F$6-$G$3,22))&lt;&gt;""),Trigo!$E73:INDEX(Trigo!$E73:$Z73,MIN(F$6-$G$3,22))),0)))))</f>
        <v>0</v>
      </c>
      <c r="G75" s="27" t="n">
        <f aca="false">IF(COUNT(Trigo!$E73:$Z73)=0,0,MAX(0,IF((G$6-$E$3)&lt;1,0,IFERROR(LOOKUP(2,1/(Trigo!$E73:INDEX(Trigo!$E73:$Z73,MIN(G$6-$E$3,22))&lt;&gt;""),Trigo!$E73:INDEX(Trigo!$E73:$Z73,MIN(G$6-$E$3,22))),0))-IF($G$2,0,IF((G$6-$G$3)&lt;1,0,IFERROR(LOOKUP(2,1/(Trigo!$E73:INDEX(Trigo!$E73:$Z73,MIN(G$6-$G$3,22))&lt;&gt;""),Trigo!$E73:INDEX(Trigo!$E73:$Z73,MIN(G$6-$G$3,22))),0)))))</f>
        <v>0</v>
      </c>
      <c r="H75" s="27" t="n">
        <f aca="false">IF(COUNT(Trigo!$E73:$Z73)=0,0,MAX(0,IF((H$6-$E$3)&lt;1,0,IFERROR(LOOKUP(2,1/(Trigo!$E73:INDEX(Trigo!$E73:$Z73,MIN(H$6-$E$3,22))&lt;&gt;""),Trigo!$E73:INDEX(Trigo!$E73:$Z73,MIN(H$6-$E$3,22))),0))-IF($G$2,0,IF((H$6-$G$3)&lt;1,0,IFERROR(LOOKUP(2,1/(Trigo!$E73:INDEX(Trigo!$E73:$Z73,MIN(H$6-$G$3,22))&lt;&gt;""),Trigo!$E73:INDEX(Trigo!$E73:$Z73,MIN(H$6-$G$3,22))),0)))))</f>
        <v>0</v>
      </c>
      <c r="I75" s="27" t="n">
        <f aca="false">IF(COUNT(Trigo!$E73:$Z73)=0,0,MAX(0,IF((I$6-$E$3)&lt;1,0,IFERROR(LOOKUP(2,1/(Trigo!$E73:INDEX(Trigo!$E73:$Z73,MIN(I$6-$E$3,22))&lt;&gt;""),Trigo!$E73:INDEX(Trigo!$E73:$Z73,MIN(I$6-$E$3,22))),0))-IF($G$2,0,IF((I$6-$G$3)&lt;1,0,IFERROR(LOOKUP(2,1/(Trigo!$E73:INDEX(Trigo!$E73:$Z73,MIN(I$6-$G$3,22))&lt;&gt;""),Trigo!$E73:INDEX(Trigo!$E73:$Z73,MIN(I$6-$G$3,22))),0)))))</f>
        <v>0</v>
      </c>
      <c r="J75" s="27" t="n">
        <f aca="false">IF(COUNT(Trigo!$E73:$Z73)=0,0,MAX(0,IF((J$6-$E$3)&lt;1,0,IFERROR(LOOKUP(2,1/(Trigo!$E73:INDEX(Trigo!$E73:$Z73,MIN(J$6-$E$3,22))&lt;&gt;""),Trigo!$E73:INDEX(Trigo!$E73:$Z73,MIN(J$6-$E$3,22))),0))-IF($G$2,0,IF((J$6-$G$3)&lt;1,0,IFERROR(LOOKUP(2,1/(Trigo!$E73:INDEX(Trigo!$E73:$Z73,MIN(J$6-$G$3,22))&lt;&gt;""),Trigo!$E73:INDEX(Trigo!$E73:$Z73,MIN(J$6-$G$3,22))),0)))))</f>
        <v>0</v>
      </c>
      <c r="K75" s="27" t="n">
        <f aca="false">IF(COUNT(Trigo!$E73:$Z73)=0,0,MAX(0,IF((K$6-$E$3)&lt;1,0,IFERROR(LOOKUP(2,1/(Trigo!$E73:INDEX(Trigo!$E73:$Z73,MIN(K$6-$E$3,22))&lt;&gt;""),Trigo!$E73:INDEX(Trigo!$E73:$Z73,MIN(K$6-$E$3,22))),0))-IF($G$2,0,IF((K$6-$G$3)&lt;1,0,IFERROR(LOOKUP(2,1/(Trigo!$E73:INDEX(Trigo!$E73:$Z73,MIN(K$6-$G$3,22))&lt;&gt;""),Trigo!$E73:INDEX(Trigo!$E73:$Z73,MIN(K$6-$G$3,22))),0)))))</f>
        <v>0</v>
      </c>
      <c r="L75" s="27" t="n">
        <f aca="false">IF(COUNT(Trigo!$E73:$Z73)=0,0,MAX(0,IF((L$6-$E$3)&lt;1,0,IFERROR(LOOKUP(2,1/(Trigo!$E73:INDEX(Trigo!$E73:$Z73,MIN(L$6-$E$3,22))&lt;&gt;""),Trigo!$E73:INDEX(Trigo!$E73:$Z73,MIN(L$6-$E$3,22))),0))-IF($G$2,0,IF((L$6-$G$3)&lt;1,0,IFERROR(LOOKUP(2,1/(Trigo!$E73:INDEX(Trigo!$E73:$Z73,MIN(L$6-$G$3,22))&lt;&gt;""),Trigo!$E73:INDEX(Trigo!$E73:$Z73,MIN(L$6-$G$3,22))),0)))))</f>
        <v>0</v>
      </c>
      <c r="M75" s="27" t="n">
        <f aca="false">IF(COUNT(Trigo!$E73:$Z73)=0,0,MAX(0,IF((M$6-$E$3)&lt;1,0,IFERROR(LOOKUP(2,1/(Trigo!$E73:INDEX(Trigo!$E73:$Z73,MIN(M$6-$E$3,22))&lt;&gt;""),Trigo!$E73:INDEX(Trigo!$E73:$Z73,MIN(M$6-$E$3,22))),0))-IF($G$2,0,IF((M$6-$G$3)&lt;1,0,IFERROR(LOOKUP(2,1/(Trigo!$E73:INDEX(Trigo!$E73:$Z73,MIN(M$6-$G$3,22))&lt;&gt;""),Trigo!$E73:INDEX(Trigo!$E73:$Z73,MIN(M$6-$G$3,22))),0)))))</f>
        <v>0</v>
      </c>
      <c r="N75" s="27" t="n">
        <f aca="false">IF(COUNT(Trigo!$E73:$Z73)=0,0,MAX(0,IF((N$6-$E$3)&lt;1,0,IFERROR(LOOKUP(2,1/(Trigo!$E73:INDEX(Trigo!$E73:$Z73,MIN(N$6-$E$3,22))&lt;&gt;""),Trigo!$E73:INDEX(Trigo!$E73:$Z73,MIN(N$6-$E$3,22))),0))-IF($G$2,0,IF((N$6-$G$3)&lt;1,0,IFERROR(LOOKUP(2,1/(Trigo!$E73:INDEX(Trigo!$E73:$Z73,MIN(N$6-$G$3,22))&lt;&gt;""),Trigo!$E73:INDEX(Trigo!$E73:$Z73,MIN(N$6-$G$3,22))),0)))))</f>
        <v>0</v>
      </c>
      <c r="O75" s="27" t="n">
        <f aca="false">IF(COUNT(Trigo!$E73:$Z73)=0,0,MAX(0,IF((O$6-$E$3)&lt;1,0,IFERROR(LOOKUP(2,1/(Trigo!$E73:INDEX(Trigo!$E73:$Z73,MIN(O$6-$E$3,22))&lt;&gt;""),Trigo!$E73:INDEX(Trigo!$E73:$Z73,MIN(O$6-$E$3,22))),0))-IF($G$2,0,IF((O$6-$G$3)&lt;1,0,IFERROR(LOOKUP(2,1/(Trigo!$E73:INDEX(Trigo!$E73:$Z73,MIN(O$6-$G$3,22))&lt;&gt;""),Trigo!$E73:INDEX(Trigo!$E73:$Z73,MIN(O$6-$G$3,22))),0)))))</f>
        <v>0</v>
      </c>
      <c r="P75" s="27" t="n">
        <f aca="false">IF(COUNT(Trigo!$E73:$Z73)=0,0,MAX(0,IF((P$6-$E$3)&lt;1,0,IFERROR(LOOKUP(2,1/(Trigo!$E73:INDEX(Trigo!$E73:$Z73,MIN(P$6-$E$3,22))&lt;&gt;""),Trigo!$E73:INDEX(Trigo!$E73:$Z73,MIN(P$6-$E$3,22))),0))-IF($G$2,0,IF((P$6-$G$3)&lt;1,0,IFERROR(LOOKUP(2,1/(Trigo!$E73:INDEX(Trigo!$E73:$Z73,MIN(P$6-$G$3,22))&lt;&gt;""),Trigo!$E73:INDEX(Trigo!$E73:$Z73,MIN(P$6-$G$3,22))),0)))))</f>
        <v>0</v>
      </c>
      <c r="Q75" s="27" t="n">
        <f aca="false">IF(COUNT(Trigo!$E73:$Z73)=0,0,MAX(0,IF((Q$6-$E$3)&lt;1,0,IFERROR(LOOKUP(2,1/(Trigo!$E73:INDEX(Trigo!$E73:$Z73,MIN(Q$6-$E$3,22))&lt;&gt;""),Trigo!$E73:INDEX(Trigo!$E73:$Z73,MIN(Q$6-$E$3,22))),0))-IF($G$2,0,IF((Q$6-$G$3)&lt;1,0,IFERROR(LOOKUP(2,1/(Trigo!$E73:INDEX(Trigo!$E73:$Z73,MIN(Q$6-$G$3,22))&lt;&gt;""),Trigo!$E73:INDEX(Trigo!$E73:$Z73,MIN(Q$6-$G$3,22))),0)))))</f>
        <v>0</v>
      </c>
      <c r="R75" s="27" t="n">
        <f aca="false">IF(COUNT(Trigo!$E73:$Z73)=0,0,MAX(0,IF((R$6-$E$3)&lt;1,0,IFERROR(LOOKUP(2,1/(Trigo!$E73:INDEX(Trigo!$E73:$Z73,MIN(R$6-$E$3,22))&lt;&gt;""),Trigo!$E73:INDEX(Trigo!$E73:$Z73,MIN(R$6-$E$3,22))),0))-IF($G$2,0,IF((R$6-$G$3)&lt;1,0,IFERROR(LOOKUP(2,1/(Trigo!$E73:INDEX(Trigo!$E73:$Z73,MIN(R$6-$G$3,22))&lt;&gt;""),Trigo!$E73:INDEX(Trigo!$E73:$Z73,MIN(R$6-$G$3,22))),0)))))</f>
        <v>0</v>
      </c>
      <c r="S75" s="27" t="n">
        <f aca="false">IF(COUNT(Trigo!$E73:$Z73)=0,0,MAX(0,IF((S$6-$E$3)&lt;1,0,IFERROR(LOOKUP(2,1/(Trigo!$E73:INDEX(Trigo!$E73:$Z73,MIN(S$6-$E$3,22))&lt;&gt;""),Trigo!$E73:INDEX(Trigo!$E73:$Z73,MIN(S$6-$E$3,22))),0))-IF($G$2,0,IF((S$6-$G$3)&lt;1,0,IFERROR(LOOKUP(2,1/(Trigo!$E73:INDEX(Trigo!$E73:$Z73,MIN(S$6-$G$3,22))&lt;&gt;""),Trigo!$E73:INDEX(Trigo!$E73:$Z73,MIN(S$6-$G$3,22))),0)))))</f>
        <v>0</v>
      </c>
      <c r="T75" s="27" t="n">
        <f aca="false">IF(COUNT(Trigo!$E73:$Z73)=0,0,MAX(0,IF((T$6-$E$3)&lt;1,0,IFERROR(LOOKUP(2,1/(Trigo!$E73:INDEX(Trigo!$E73:$Z73,MIN(T$6-$E$3,22))&lt;&gt;""),Trigo!$E73:INDEX(Trigo!$E73:$Z73,MIN(T$6-$E$3,22))),0))-IF($G$2,0,IF((T$6-$G$3)&lt;1,0,IFERROR(LOOKUP(2,1/(Trigo!$E73:INDEX(Trigo!$E73:$Z73,MIN(T$6-$G$3,22))&lt;&gt;""),Trigo!$E73:INDEX(Trigo!$E73:$Z73,MIN(T$6-$G$3,22))),0)))))</f>
        <v>0</v>
      </c>
      <c r="U75" s="27" t="n">
        <f aca="false">IF(COUNT(Trigo!$E73:$Z73)=0,0,MAX(0,IF((U$6-$E$3)&lt;1,0,IFERROR(LOOKUP(2,1/(Trigo!$E73:INDEX(Trigo!$E73:$Z73,MIN(U$6-$E$3,22))&lt;&gt;""),Trigo!$E73:INDEX(Trigo!$E73:$Z73,MIN(U$6-$E$3,22))),0))-IF($G$2,0,IF((U$6-$G$3)&lt;1,0,IFERROR(LOOKUP(2,1/(Trigo!$E73:INDEX(Trigo!$E73:$Z73,MIN(U$6-$G$3,22))&lt;&gt;""),Trigo!$E73:INDEX(Trigo!$E73:$Z73,MIN(U$6-$G$3,22))),0)))))</f>
        <v>0</v>
      </c>
      <c r="V75" s="27" t="n">
        <f aca="false">IF(COUNT(Trigo!$E73:$Z73)=0,0,MAX(0,IF((V$6-$E$3)&lt;1,0,IFERROR(LOOKUP(2,1/(Trigo!$E73:INDEX(Trigo!$E73:$Z73,MIN(V$6-$E$3,22))&lt;&gt;""),Trigo!$E73:INDEX(Trigo!$E73:$Z73,MIN(V$6-$E$3,22))),0))-IF($G$2,0,IF((V$6-$G$3)&lt;1,0,IFERROR(LOOKUP(2,1/(Trigo!$E73:INDEX(Trigo!$E73:$Z73,MIN(V$6-$G$3,22))&lt;&gt;""),Trigo!$E73:INDEX(Trigo!$E73:$Z73,MIN(V$6-$G$3,22))),0)))))</f>
        <v>0</v>
      </c>
      <c r="W75" s="27" t="n">
        <f aca="false">IF(COUNT(Trigo!$E73:$Z73)=0,0,MAX(0,IF((W$6-$E$3)&lt;1,0,IFERROR(LOOKUP(2,1/(Trigo!$E73:INDEX(Trigo!$E73:$Z73,MIN(W$6-$E$3,22))&lt;&gt;""),Trigo!$E73:INDEX(Trigo!$E73:$Z73,MIN(W$6-$E$3,22))),0))-IF($G$2,0,IF((W$6-$G$3)&lt;1,0,IFERROR(LOOKUP(2,1/(Trigo!$E73:INDEX(Trigo!$E73:$Z73,MIN(W$6-$G$3,22))&lt;&gt;""),Trigo!$E73:INDEX(Trigo!$E73:$Z73,MIN(W$6-$G$3,22))),0)))))</f>
        <v>0</v>
      </c>
      <c r="X75" s="27" t="n">
        <f aca="false">IF(COUNT(Trigo!$E73:$Z73)=0,0,MAX(0,IF((X$6-$E$3)&lt;1,0,IFERROR(LOOKUP(2,1/(Trigo!$E73:INDEX(Trigo!$E73:$Z73,MIN(X$6-$E$3,22))&lt;&gt;""),Trigo!$E73:INDEX(Trigo!$E73:$Z73,MIN(X$6-$E$3,22))),0))-IF($G$2,0,IF((X$6-$G$3)&lt;1,0,IFERROR(LOOKUP(2,1/(Trigo!$E73:INDEX(Trigo!$E73:$Z73,MIN(X$6-$G$3,22))&lt;&gt;""),Trigo!$E73:INDEX(Trigo!$E73:$Z73,MIN(X$6-$G$3,22))),0)))))</f>
        <v>0</v>
      </c>
      <c r="Y75" s="27" t="n">
        <f aca="false">IF(COUNT(Trigo!$E73:$Z73)=0,0,MAX(0,IF((Y$6-$E$3)&lt;1,0,IFERROR(LOOKUP(2,1/(Trigo!$E73:INDEX(Trigo!$E73:$Z73,MIN(Y$6-$E$3,22))&lt;&gt;""),Trigo!$E73:INDEX(Trigo!$E73:$Z73,MIN(Y$6-$E$3,22))),0))-IF($G$2,0,IF((Y$6-$G$3)&lt;1,0,IFERROR(LOOKUP(2,1/(Trigo!$E73:INDEX(Trigo!$E73:$Z73,MIN(Y$6-$G$3,22))&lt;&gt;""),Trigo!$E73:INDEX(Trigo!$E73:$Z73,MIN(Y$6-$G$3,22))),0)))))</f>
        <v>0</v>
      </c>
      <c r="Z75" s="27" t="n">
        <f aca="false">IF(COUNT(Trigo!$E73:$Z73)=0,0,MAX(0,IF((Z$6-$E$3)&lt;1,0,IFERROR(LOOKUP(2,1/(Trigo!$E73:INDEX(Trigo!$E73:$Z73,MIN(Z$6-$E$3,22))&lt;&gt;""),Trigo!$E73:INDEX(Trigo!$E73:$Z73,MIN(Z$6-$E$3,22))),0))-IF($G$2,0,IF((Z$6-$G$3)&lt;1,0,IFERROR(LOOKUP(2,1/(Trigo!$E73:INDEX(Trigo!$E73:$Z73,MIN(Z$6-$G$3,22))&lt;&gt;""),Trigo!$E73:INDEX(Trigo!$E73:$Z73,MIN(Z$6-$G$3,22))),0)))))</f>
        <v>0</v>
      </c>
      <c r="AA75" s="27" t="n">
        <f aca="false">IF(COUNT(Trigo!$E73:$Z73)=0,0,MAX(0,IF((AA$6-$E$3)&lt;1,0,IFERROR(LOOKUP(2,1/(Trigo!$E73:INDEX(Trigo!$E73:$Z73,MIN(AA$6-$E$3,22))&lt;&gt;""),Trigo!$E73:INDEX(Trigo!$E73:$Z73,MIN(AA$6-$E$3,22))),0))-IF($G$2,0,IF((AA$6-$G$3)&lt;1,0,IFERROR(LOOKUP(2,1/(Trigo!$E73:INDEX(Trigo!$E73:$Z73,MIN(AA$6-$G$3,22))&lt;&gt;""),Trigo!$E73:INDEX(Trigo!$E73:$Z73,MIN(AA$6-$G$3,22))),0)))))</f>
        <v>0</v>
      </c>
      <c r="AB75" s="27" t="n">
        <f aca="false">IF(COUNT(Trigo!$E73:$Z73)=0,0,MAX(0,IF((AB$6-$E$3)&lt;1,0,IFERROR(LOOKUP(2,1/(Trigo!$E73:INDEX(Trigo!$E73:$Z73,MIN(AB$6-$E$3,22))&lt;&gt;""),Trigo!$E73:INDEX(Trigo!$E73:$Z73,MIN(AB$6-$E$3,22))),0))-IF($G$2,0,IF((AB$6-$G$3)&lt;1,0,IFERROR(LOOKUP(2,1/(Trigo!$E73:INDEX(Trigo!$E73:$Z73,MIN(AB$6-$G$3,22))&lt;&gt;""),Trigo!$E73:INDEX(Trigo!$E73:$Z73,MIN(AB$6-$G$3,22))),0)))))</f>
        <v>0</v>
      </c>
      <c r="AC75" s="27" t="n">
        <f aca="false">IF(COUNT(Trigo!$E73:$Z73)=0,0,MAX(0,IF((AC$6-$E$3)&lt;1,0,IFERROR(LOOKUP(2,1/(Trigo!$E73:INDEX(Trigo!$E73:$Z73,MIN(AC$6-$E$3,22))&lt;&gt;""),Trigo!$E73:INDEX(Trigo!$E73:$Z73,MIN(AC$6-$E$3,22))),0))-IF($G$2,0,IF((AC$6-$G$3)&lt;1,0,IFERROR(LOOKUP(2,1/(Trigo!$E73:INDEX(Trigo!$E73:$Z73,MIN(AC$6-$G$3,22))&lt;&gt;""),Trigo!$E73:INDEX(Trigo!$E73:$Z73,MIN(AC$6-$G$3,22))),0)))))</f>
        <v>0</v>
      </c>
      <c r="AD75" s="27" t="n">
        <f aca="false">IF(COUNT(Trigo!$E73:$Z73)=0,0,MAX(0,IF((AD$6-$E$3)&lt;1,0,IFERROR(LOOKUP(2,1/(Trigo!$E73:INDEX(Trigo!$E73:$Z73,MIN(AD$6-$E$3,22))&lt;&gt;""),Trigo!$E73:INDEX(Trigo!$E73:$Z73,MIN(AD$6-$E$3,22))),0))-IF($G$2,0,IF((AD$6-$G$3)&lt;1,0,IFERROR(LOOKUP(2,1/(Trigo!$E73:INDEX(Trigo!$E73:$Z73,MIN(AD$6-$G$3,22))&lt;&gt;""),Trigo!$E73:INDEX(Trigo!$E73:$Z73,MIN(AD$6-$G$3,22))),0)))))</f>
        <v>0</v>
      </c>
      <c r="AE75" s="27" t="n">
        <f aca="false">IF(COUNT(Trigo!$E73:$Z73)=0,0,MAX(0,IF((AE$6-$E$3)&lt;1,0,IFERROR(LOOKUP(2,1/(Trigo!$E73:INDEX(Trigo!$E73:$Z73,MIN(AE$6-$E$3,22))&lt;&gt;""),Trigo!$E73:INDEX(Trigo!$E73:$Z73,MIN(AE$6-$E$3,22))),0))-IF($G$2,0,IF((AE$6-$G$3)&lt;1,0,IFERROR(LOOKUP(2,1/(Trigo!$E73:INDEX(Trigo!$E73:$Z73,MIN(AE$6-$G$3,22))&lt;&gt;""),Trigo!$E73:INDEX(Trigo!$E73:$Z73,MIN(AE$6-$G$3,22))),0)))))</f>
        <v>0</v>
      </c>
      <c r="AF75" s="27" t="n">
        <f aca="false">IF(COUNT(Trigo!$E73:$Z73)=0,0,MAX(0,IF((AF$6-$E$3)&lt;1,0,IFERROR(LOOKUP(2,1/(Trigo!$E73:INDEX(Trigo!$E73:$Z73,MIN(AF$6-$E$3,22))&lt;&gt;""),Trigo!$E73:INDEX(Trigo!$E73:$Z73,MIN(AF$6-$E$3,22))),0))-IF($G$2,0,IF((AF$6-$G$3)&lt;1,0,IFERROR(LOOKUP(2,1/(Trigo!$E73:INDEX(Trigo!$E73:$Z73,MIN(AF$6-$G$3,22))&lt;&gt;""),Trigo!$E73:INDEX(Trigo!$E73:$Z73,MIN(AF$6-$G$3,22))),0)))))</f>
        <v>0</v>
      </c>
      <c r="AG75" s="27" t="n">
        <f aca="false">IF(COUNT(Trigo!$E73:$Z73)=0,0,MAX(0,IF((AG$6-$E$3)&lt;1,0,IFERROR(LOOKUP(2,1/(Trigo!$E73:INDEX(Trigo!$E73:$Z73,MIN(AG$6-$E$3,22))&lt;&gt;""),Trigo!$E73:INDEX(Trigo!$E73:$Z73,MIN(AG$6-$E$3,22))),0))-IF($G$2,0,IF((AG$6-$G$3)&lt;1,0,IFERROR(LOOKUP(2,1/(Trigo!$E73:INDEX(Trigo!$E73:$Z73,MIN(AG$6-$G$3,22))&lt;&gt;""),Trigo!$E73:INDEX(Trigo!$E73:$Z73,MIN(AG$6-$G$3,22))),0)))))</f>
        <v>0</v>
      </c>
      <c r="AH75" s="27" t="n">
        <f aca="false">IF(COUNT(Trigo!$E73:$Z73)=0,0,MAX(0,IF((AH$6-$E$3)&lt;1,0,IFERROR(LOOKUP(2,1/(Trigo!$E73:INDEX(Trigo!$E73:$Z73,MIN(AH$6-$E$3,22))&lt;&gt;""),Trigo!$E73:INDEX(Trigo!$E73:$Z73,MIN(AH$6-$E$3,22))),0))-IF($G$2,0,IF((AH$6-$G$3)&lt;1,0,IFERROR(LOOKUP(2,1/(Trigo!$E73:INDEX(Trigo!$E73:$Z73,MIN(AH$6-$G$3,22))&lt;&gt;""),Trigo!$E73:INDEX(Trigo!$E73:$Z73,MIN(AH$6-$G$3,22))),0)))))</f>
        <v>0</v>
      </c>
      <c r="AI75" s="27" t="n">
        <f aca="false">IF(COUNT(Trigo!$E73:$Z73)=0,0,MAX(0,IF((AI$6-$E$3)&lt;1,0,IFERROR(LOOKUP(2,1/(Trigo!$E73:INDEX(Trigo!$E73:$Z73,MIN(AI$6-$E$3,22))&lt;&gt;""),Trigo!$E73:INDEX(Trigo!$E73:$Z73,MIN(AI$6-$E$3,22))),0))-IF($G$2,0,IF((AI$6-$G$3)&lt;1,0,IFERROR(LOOKUP(2,1/(Trigo!$E73:INDEX(Trigo!$E73:$Z73,MIN(AI$6-$G$3,22))&lt;&gt;""),Trigo!$E73:INDEX(Trigo!$E73:$Z73,MIN(AI$6-$G$3,22))),0)))))</f>
        <v>0</v>
      </c>
      <c r="AJ75" s="27" t="n">
        <f aca="false">IF(COUNT(Trigo!$E73:$Z73)=0,0,MAX(0,IF((AJ$6-$E$3)&lt;1,0,IFERROR(LOOKUP(2,1/(Trigo!$E73:INDEX(Trigo!$E73:$Z73,MIN(AJ$6-$E$3,22))&lt;&gt;""),Trigo!$E73:INDEX(Trigo!$E73:$Z73,MIN(AJ$6-$E$3,22))),0))-IF($G$2,0,IF((AJ$6-$G$3)&lt;1,0,IFERROR(LOOKUP(2,1/(Trigo!$E73:INDEX(Trigo!$E73:$Z73,MIN(AJ$6-$G$3,22))&lt;&gt;""),Trigo!$E73:INDEX(Trigo!$E73:$Z73,MIN(AJ$6-$G$3,22))),0)))))</f>
        <v>0</v>
      </c>
      <c r="AK75" s="27" t="n">
        <f aca="false">IF(COUNT(Trigo!$E73:$Z73)=0,0,MAX(0,IF((AK$6-$E$3)&lt;1,0,IFERROR(LOOKUP(2,1/(Trigo!$E73:INDEX(Trigo!$E73:$Z73,MIN(AK$6-$E$3,22))&lt;&gt;""),Trigo!$E73:INDEX(Trigo!$E73:$Z73,MIN(AK$6-$E$3,22))),0))-IF($G$2,0,IF((AK$6-$G$3)&lt;1,0,IFERROR(LOOKUP(2,1/(Trigo!$E73:INDEX(Trigo!$E73:$Z73,MIN(AK$6-$G$3,22))&lt;&gt;""),Trigo!$E73:INDEX(Trigo!$E73:$Z73,MIN(AK$6-$G$3,22))),0)))))</f>
        <v>0</v>
      </c>
      <c r="AL75" s="27" t="n">
        <f aca="false">IF(COUNT(Trigo!$E73:$Z73)=0,0,MAX(0,IF((AL$6-$E$3)&lt;1,0,IFERROR(LOOKUP(2,1/(Trigo!$E73:INDEX(Trigo!$E73:$Z73,MIN(AL$6-$E$3,22))&lt;&gt;""),Trigo!$E73:INDEX(Trigo!$E73:$Z73,MIN(AL$6-$E$3,22))),0))-IF($G$2,0,IF((AL$6-$G$3)&lt;1,0,IFERROR(LOOKUP(2,1/(Trigo!$E73:INDEX(Trigo!$E73:$Z73,MIN(AL$6-$G$3,22))&lt;&gt;""),Trigo!$E73:INDEX(Trigo!$E73:$Z73,MIN(AL$6-$G$3,22))),0)))))</f>
        <v>0</v>
      </c>
      <c r="AM75" s="27" t="n">
        <f aca="false">IF(COUNT(Trigo!$E73:$Z73)=0,0,MAX(0,IF((AM$6-$E$3)&lt;1,0,IFERROR(LOOKUP(2,1/(Trigo!$E73:INDEX(Trigo!$E73:$Z73,MIN(AM$6-$E$3,22))&lt;&gt;""),Trigo!$E73:INDEX(Trigo!$E73:$Z73,MIN(AM$6-$E$3,22))),0))-IF($G$2,0,IF((AM$6-$G$3)&lt;1,0,IFERROR(LOOKUP(2,1/(Trigo!$E73:INDEX(Trigo!$E73:$Z73,MIN(AM$6-$G$3,22))&lt;&gt;""),Trigo!$E73:INDEX(Trigo!$E73:$Z73,MIN(AM$6-$G$3,22))),0)))))</f>
        <v>0</v>
      </c>
      <c r="AN75" s="27" t="n">
        <f aca="false">IF(COUNT(Trigo!$E73:$Z73)=0,0,MAX(0,IF((AN$6-$E$3)&lt;1,0,IFERROR(LOOKUP(2,1/(Trigo!$E73:INDEX(Trigo!$E73:$Z73,MIN(AN$6-$E$3,22))&lt;&gt;""),Trigo!$E73:INDEX(Trigo!$E73:$Z73,MIN(AN$6-$E$3,22))),0))-IF($G$2,0,IF((AN$6-$G$3)&lt;1,0,IFERROR(LOOKUP(2,1/(Trigo!$E73:INDEX(Trigo!$E73:$Z73,MIN(AN$6-$G$3,22))&lt;&gt;""),Trigo!$E73:INDEX(Trigo!$E73:$Z73,MIN(AN$6-$G$3,22))),0)))))</f>
        <v>0</v>
      </c>
      <c r="AO75" s="27" t="n">
        <f aca="false">IF(COUNT(Trigo!$E73:$Z73)=0,0,MAX(0,IF((AO$6-$E$3)&lt;1,0,IFERROR(LOOKUP(2,1/(Trigo!$E73:INDEX(Trigo!$E73:$Z73,MIN(AO$6-$E$3,22))&lt;&gt;""),Trigo!$E73:INDEX(Trigo!$E73:$Z73,MIN(AO$6-$E$3,22))),0))-IF($G$2,0,IF((AO$6-$G$3)&lt;1,0,IFERROR(LOOKUP(2,1/(Trigo!$E73:INDEX(Trigo!$E73:$Z73,MIN(AO$6-$G$3,22))&lt;&gt;""),Trigo!$E73:INDEX(Trigo!$E73:$Z73,MIN(AO$6-$G$3,22))),0)))))</f>
        <v>0</v>
      </c>
      <c r="AP75" s="27" t="n">
        <f aca="false">IF(COUNT(Trigo!$E73:$Z73)=0,0,MAX(0,IF((AP$6-$E$3)&lt;1,0,IFERROR(LOOKUP(2,1/(Trigo!$E73:INDEX(Trigo!$E73:$Z73,MIN(AP$6-$E$3,22))&lt;&gt;""),Trigo!$E73:INDEX(Trigo!$E73:$Z73,MIN(AP$6-$E$3,22))),0))-IF($G$2,0,IF((AP$6-$G$3)&lt;1,0,IFERROR(LOOKUP(2,1/(Trigo!$E73:INDEX(Trigo!$E73:$Z73,MIN(AP$6-$G$3,22))&lt;&gt;""),Trigo!$E73:INDEX(Trigo!$E73:$Z73,MIN(AP$6-$G$3,22))),0)))))</f>
        <v>0</v>
      </c>
      <c r="AQ75" s="27" t="n">
        <f aca="false">IF(COUNT(Trigo!$E73:$Z73)=0,0,MAX(0,IF((AQ$6-$E$3)&lt;1,0,IFERROR(LOOKUP(2,1/(Trigo!$E73:INDEX(Trigo!$E73:$Z73,MIN(AQ$6-$E$3,22))&lt;&gt;""),Trigo!$E73:INDEX(Trigo!$E73:$Z73,MIN(AQ$6-$E$3,22))),0))-IF($G$2,0,IF((AQ$6-$G$3)&lt;1,0,IFERROR(LOOKUP(2,1/(Trigo!$E73:INDEX(Trigo!$E73:$Z73,MIN(AQ$6-$G$3,22))&lt;&gt;""),Trigo!$E73:INDEX(Trigo!$E73:$Z73,MIN(AQ$6-$G$3,22))),0)))))</f>
        <v>0</v>
      </c>
      <c r="AR75" s="27" t="n">
        <f aca="false">IF(COUNT(Trigo!$E73:$Z73)=0,0,MAX(0,IF((AR$6-$E$3)&lt;1,0,IFERROR(LOOKUP(2,1/(Trigo!$E73:INDEX(Trigo!$E73:$Z73,MIN(AR$6-$E$3,22))&lt;&gt;""),Trigo!$E73:INDEX(Trigo!$E73:$Z73,MIN(AR$6-$E$3,22))),0))-IF($G$2,0,IF((AR$6-$G$3)&lt;1,0,IFERROR(LOOKUP(2,1/(Trigo!$E73:INDEX(Trigo!$E73:$Z73,MIN(AR$6-$G$3,22))&lt;&gt;""),Trigo!$E73:INDEX(Trigo!$E73:$Z73,MIN(AR$6-$G$3,22))),0)))))</f>
        <v>0</v>
      </c>
      <c r="AS75" s="27" t="n">
        <f aca="false">IF(COUNT(Trigo!$E73:$Z73)=0,0,MAX(0,IF((AS$6-$E$3)&lt;1,0,IFERROR(LOOKUP(2,1/(Trigo!$E73:INDEX(Trigo!$E73:$Z73,MIN(AS$6-$E$3,22))&lt;&gt;""),Trigo!$E73:INDEX(Trigo!$E73:$Z73,MIN(AS$6-$E$3,22))),0))-IF($G$2,0,IF((AS$6-$G$3)&lt;1,0,IFERROR(LOOKUP(2,1/(Trigo!$E73:INDEX(Trigo!$E73:$Z73,MIN(AS$6-$G$3,22))&lt;&gt;""),Trigo!$E73:INDEX(Trigo!$E73:$Z73,MIN(AS$6-$G$3,22))),0)))))</f>
        <v>0</v>
      </c>
      <c r="AT75" s="27" t="n">
        <f aca="false">IF(COUNT(Trigo!$E73:$Z73)=0,0,MAX(0,IF((AT$6-$E$3)&lt;1,0,IFERROR(LOOKUP(2,1/(Trigo!$E73:INDEX(Trigo!$E73:$Z73,MIN(AT$6-$E$3,22))&lt;&gt;""),Trigo!$E73:INDEX(Trigo!$E73:$Z73,MIN(AT$6-$E$3,22))),0))-IF($G$2,0,IF((AT$6-$G$3)&lt;1,0,IFERROR(LOOKUP(2,1/(Trigo!$E73:INDEX(Trigo!$E73:$Z73,MIN(AT$6-$G$3,22))&lt;&gt;""),Trigo!$E73:INDEX(Trigo!$E73:$Z73,MIN(AT$6-$G$3,22))),0)))))</f>
        <v>0</v>
      </c>
      <c r="AU75" s="27" t="n">
        <f aca="false">IF(COUNT(Trigo!$E73:$Z73)=0,0,MAX(0,IF((AU$6-$E$3)&lt;1,0,IFERROR(LOOKUP(2,1/(Trigo!$E73:INDEX(Trigo!$E73:$Z73,MIN(AU$6-$E$3,22))&lt;&gt;""),Trigo!$E73:INDEX(Trigo!$E73:$Z73,MIN(AU$6-$E$3,22))),0))-IF($G$2,0,IF((AU$6-$G$3)&lt;1,0,IFERROR(LOOKUP(2,1/(Trigo!$E73:INDEX(Trigo!$E73:$Z73,MIN(AU$6-$G$3,22))&lt;&gt;""),Trigo!$E73:INDEX(Trigo!$E73:$Z73,MIN(AU$6-$G$3,22))),0)))))</f>
        <v>0</v>
      </c>
      <c r="AV75" s="27" t="n">
        <f aca="false">IF(COUNT(Trigo!$E73:$Z73)=0,0,MAX(0,IF((AV$6-$E$3)&lt;1,0,IFERROR(LOOKUP(2,1/(Trigo!$E73:INDEX(Trigo!$E73:$Z73,MIN(AV$6-$E$3,22))&lt;&gt;""),Trigo!$E73:INDEX(Trigo!$E73:$Z73,MIN(AV$6-$E$3,22))),0))-IF($G$2,0,IF((AV$6-$G$3)&lt;1,0,IFERROR(LOOKUP(2,1/(Trigo!$E73:INDEX(Trigo!$E73:$Z73,MIN(AV$6-$G$3,22))&lt;&gt;""),Trigo!$E73:INDEX(Trigo!$E73:$Z73,MIN(AV$6-$G$3,22))),0)))))</f>
        <v>0</v>
      </c>
      <c r="AW75" s="27" t="n">
        <f aca="false">IF(COUNT(Trigo!$E73:$Z73)=0,0,MAX(0,IF((AW$6-$E$3)&lt;1,0,IFERROR(LOOKUP(2,1/(Trigo!$E73:INDEX(Trigo!$E73:$Z73,MIN(AW$6-$E$3,22))&lt;&gt;""),Trigo!$E73:INDEX(Trigo!$E73:$Z73,MIN(AW$6-$E$3,22))),0))-IF($G$2,0,IF((AW$6-$G$3)&lt;1,0,IFERROR(LOOKUP(2,1/(Trigo!$E73:INDEX(Trigo!$E73:$Z73,MIN(AW$6-$G$3,22))&lt;&gt;""),Trigo!$E73:INDEX(Trigo!$E73:$Z73,MIN(AW$6-$G$3,22))),0)))))</f>
        <v>0</v>
      </c>
      <c r="AX75" s="27" t="n">
        <f aca="false">IF(COUNT(Trigo!$E73:$Z73)=0,0,MAX(0,IF((AX$6-$E$3)&lt;1,0,IFERROR(LOOKUP(2,1/(Trigo!$E73:INDEX(Trigo!$E73:$Z73,MIN(AX$6-$E$3,22))&lt;&gt;""),Trigo!$E73:INDEX(Trigo!$E73:$Z73,MIN(AX$6-$E$3,22))),0))-IF($G$2,0,IF((AX$6-$G$3)&lt;1,0,IFERROR(LOOKUP(2,1/(Trigo!$E73:INDEX(Trigo!$E73:$Z73,MIN(AX$6-$G$3,22))&lt;&gt;""),Trigo!$E73:INDEX(Trigo!$E73:$Z73,MIN(AX$6-$G$3,22))),0)))))</f>
        <v>0</v>
      </c>
      <c r="AY75" s="27" t="n">
        <f aca="false">IF(COUNT(Trigo!$E73:$Z73)=0,0,MAX(0,IF((AY$6-$E$3)&lt;1,0,IFERROR(LOOKUP(2,1/(Trigo!$E73:INDEX(Trigo!$E73:$Z73,MIN(AY$6-$E$3,22))&lt;&gt;""),Trigo!$E73:INDEX(Trigo!$E73:$Z73,MIN(AY$6-$E$3,22))),0))-IF($G$2,0,IF((AY$6-$G$3)&lt;1,0,IFERROR(LOOKUP(2,1/(Trigo!$E73:INDEX(Trigo!$E73:$Z73,MIN(AY$6-$G$3,22))&lt;&gt;""),Trigo!$E73:INDEX(Trigo!$E73:$Z73,MIN(AY$6-$G$3,22))),0)))))</f>
        <v>0</v>
      </c>
      <c r="AZ75" s="27" t="n">
        <f aca="false">IF(COUNT(Trigo!$E73:$Z73)=0,0,MAX(0,IF((AZ$6-$E$3)&lt;1,0,IFERROR(LOOKUP(2,1/(Trigo!$E73:INDEX(Trigo!$E73:$Z73,MIN(AZ$6-$E$3,22))&lt;&gt;""),Trigo!$E73:INDEX(Trigo!$E73:$Z73,MIN(AZ$6-$E$3,22))),0))-IF($G$2,0,IF((AZ$6-$G$3)&lt;1,0,IFERROR(LOOKUP(2,1/(Trigo!$E73:INDEX(Trigo!$E73:$Z73,MIN(AZ$6-$G$3,22))&lt;&gt;""),Trigo!$E73:INDEX(Trigo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IF(COUNT(Trigo!$E74:$Z74)&gt;0,N(Trigo!$D74),0)</f>
        <v>0</v>
      </c>
      <c r="E76" s="27" t="n">
        <f aca="false">IF(COUNT(Trigo!$E74:$Z74)=0,0,MAX(0,IF((E$6-$E$3)&lt;1,0,IFERROR(LOOKUP(2,1/(Trigo!$E74:INDEX(Trigo!$E74:$Z74,MIN(E$6-$E$3,22))&lt;&gt;""),Trigo!$E74:INDEX(Trigo!$E74:$Z74,MIN(E$6-$E$3,22))),0))-IF($G$2,0,IF((E$6-$G$3)&lt;1,0,IFERROR(LOOKUP(2,1/(Trigo!$E74:INDEX(Trigo!$E74:$Z74,MIN(E$6-$G$3,22))&lt;&gt;""),Trigo!$E74:INDEX(Trigo!$E74:$Z74,MIN(E$6-$G$3,22))),0)))))</f>
        <v>0</v>
      </c>
      <c r="F76" s="27" t="n">
        <f aca="false">IF(COUNT(Trigo!$E74:$Z74)=0,0,MAX(0,IF((F$6-$E$3)&lt;1,0,IFERROR(LOOKUP(2,1/(Trigo!$E74:INDEX(Trigo!$E74:$Z74,MIN(F$6-$E$3,22))&lt;&gt;""),Trigo!$E74:INDEX(Trigo!$E74:$Z74,MIN(F$6-$E$3,22))),0))-IF($G$2,0,IF((F$6-$G$3)&lt;1,0,IFERROR(LOOKUP(2,1/(Trigo!$E74:INDEX(Trigo!$E74:$Z74,MIN(F$6-$G$3,22))&lt;&gt;""),Trigo!$E74:INDEX(Trigo!$E74:$Z74,MIN(F$6-$G$3,22))),0)))))</f>
        <v>0</v>
      </c>
      <c r="G76" s="27" t="n">
        <f aca="false">IF(COUNT(Trigo!$E74:$Z74)=0,0,MAX(0,IF((G$6-$E$3)&lt;1,0,IFERROR(LOOKUP(2,1/(Trigo!$E74:INDEX(Trigo!$E74:$Z74,MIN(G$6-$E$3,22))&lt;&gt;""),Trigo!$E74:INDEX(Trigo!$E74:$Z74,MIN(G$6-$E$3,22))),0))-IF($G$2,0,IF((G$6-$G$3)&lt;1,0,IFERROR(LOOKUP(2,1/(Trigo!$E74:INDEX(Trigo!$E74:$Z74,MIN(G$6-$G$3,22))&lt;&gt;""),Trigo!$E74:INDEX(Trigo!$E74:$Z74,MIN(G$6-$G$3,22))),0)))))</f>
        <v>0</v>
      </c>
      <c r="H76" s="27" t="n">
        <f aca="false">IF(COUNT(Trigo!$E74:$Z74)=0,0,MAX(0,IF((H$6-$E$3)&lt;1,0,IFERROR(LOOKUP(2,1/(Trigo!$E74:INDEX(Trigo!$E74:$Z74,MIN(H$6-$E$3,22))&lt;&gt;""),Trigo!$E74:INDEX(Trigo!$E74:$Z74,MIN(H$6-$E$3,22))),0))-IF($G$2,0,IF((H$6-$G$3)&lt;1,0,IFERROR(LOOKUP(2,1/(Trigo!$E74:INDEX(Trigo!$E74:$Z74,MIN(H$6-$G$3,22))&lt;&gt;""),Trigo!$E74:INDEX(Trigo!$E74:$Z74,MIN(H$6-$G$3,22))),0)))))</f>
        <v>0</v>
      </c>
      <c r="I76" s="27" t="n">
        <f aca="false">IF(COUNT(Trigo!$E74:$Z74)=0,0,MAX(0,IF((I$6-$E$3)&lt;1,0,IFERROR(LOOKUP(2,1/(Trigo!$E74:INDEX(Trigo!$E74:$Z74,MIN(I$6-$E$3,22))&lt;&gt;""),Trigo!$E74:INDEX(Trigo!$E74:$Z74,MIN(I$6-$E$3,22))),0))-IF($G$2,0,IF((I$6-$G$3)&lt;1,0,IFERROR(LOOKUP(2,1/(Trigo!$E74:INDEX(Trigo!$E74:$Z74,MIN(I$6-$G$3,22))&lt;&gt;""),Trigo!$E74:INDEX(Trigo!$E74:$Z74,MIN(I$6-$G$3,22))),0)))))</f>
        <v>0</v>
      </c>
      <c r="J76" s="27" t="n">
        <f aca="false">IF(COUNT(Trigo!$E74:$Z74)=0,0,MAX(0,IF((J$6-$E$3)&lt;1,0,IFERROR(LOOKUP(2,1/(Trigo!$E74:INDEX(Trigo!$E74:$Z74,MIN(J$6-$E$3,22))&lt;&gt;""),Trigo!$E74:INDEX(Trigo!$E74:$Z74,MIN(J$6-$E$3,22))),0))-IF($G$2,0,IF((J$6-$G$3)&lt;1,0,IFERROR(LOOKUP(2,1/(Trigo!$E74:INDEX(Trigo!$E74:$Z74,MIN(J$6-$G$3,22))&lt;&gt;""),Trigo!$E74:INDEX(Trigo!$E74:$Z74,MIN(J$6-$G$3,22))),0)))))</f>
        <v>0</v>
      </c>
      <c r="K76" s="27" t="n">
        <f aca="false">IF(COUNT(Trigo!$E74:$Z74)=0,0,MAX(0,IF((K$6-$E$3)&lt;1,0,IFERROR(LOOKUP(2,1/(Trigo!$E74:INDEX(Trigo!$E74:$Z74,MIN(K$6-$E$3,22))&lt;&gt;""),Trigo!$E74:INDEX(Trigo!$E74:$Z74,MIN(K$6-$E$3,22))),0))-IF($G$2,0,IF((K$6-$G$3)&lt;1,0,IFERROR(LOOKUP(2,1/(Trigo!$E74:INDEX(Trigo!$E74:$Z74,MIN(K$6-$G$3,22))&lt;&gt;""),Trigo!$E74:INDEX(Trigo!$E74:$Z74,MIN(K$6-$G$3,22))),0)))))</f>
        <v>0</v>
      </c>
      <c r="L76" s="27" t="n">
        <f aca="false">IF(COUNT(Trigo!$E74:$Z74)=0,0,MAX(0,IF((L$6-$E$3)&lt;1,0,IFERROR(LOOKUP(2,1/(Trigo!$E74:INDEX(Trigo!$E74:$Z74,MIN(L$6-$E$3,22))&lt;&gt;""),Trigo!$E74:INDEX(Trigo!$E74:$Z74,MIN(L$6-$E$3,22))),0))-IF($G$2,0,IF((L$6-$G$3)&lt;1,0,IFERROR(LOOKUP(2,1/(Trigo!$E74:INDEX(Trigo!$E74:$Z74,MIN(L$6-$G$3,22))&lt;&gt;""),Trigo!$E74:INDEX(Trigo!$E74:$Z74,MIN(L$6-$G$3,22))),0)))))</f>
        <v>0</v>
      </c>
      <c r="M76" s="27" t="n">
        <f aca="false">IF(COUNT(Trigo!$E74:$Z74)=0,0,MAX(0,IF((M$6-$E$3)&lt;1,0,IFERROR(LOOKUP(2,1/(Trigo!$E74:INDEX(Trigo!$E74:$Z74,MIN(M$6-$E$3,22))&lt;&gt;""),Trigo!$E74:INDEX(Trigo!$E74:$Z74,MIN(M$6-$E$3,22))),0))-IF($G$2,0,IF((M$6-$G$3)&lt;1,0,IFERROR(LOOKUP(2,1/(Trigo!$E74:INDEX(Trigo!$E74:$Z74,MIN(M$6-$G$3,22))&lt;&gt;""),Trigo!$E74:INDEX(Trigo!$E74:$Z74,MIN(M$6-$G$3,22))),0)))))</f>
        <v>0</v>
      </c>
      <c r="N76" s="27" t="n">
        <f aca="false">IF(COUNT(Trigo!$E74:$Z74)=0,0,MAX(0,IF((N$6-$E$3)&lt;1,0,IFERROR(LOOKUP(2,1/(Trigo!$E74:INDEX(Trigo!$E74:$Z74,MIN(N$6-$E$3,22))&lt;&gt;""),Trigo!$E74:INDEX(Trigo!$E74:$Z74,MIN(N$6-$E$3,22))),0))-IF($G$2,0,IF((N$6-$G$3)&lt;1,0,IFERROR(LOOKUP(2,1/(Trigo!$E74:INDEX(Trigo!$E74:$Z74,MIN(N$6-$G$3,22))&lt;&gt;""),Trigo!$E74:INDEX(Trigo!$E74:$Z74,MIN(N$6-$G$3,22))),0)))))</f>
        <v>0</v>
      </c>
      <c r="O76" s="27" t="n">
        <f aca="false">IF(COUNT(Trigo!$E74:$Z74)=0,0,MAX(0,IF((O$6-$E$3)&lt;1,0,IFERROR(LOOKUP(2,1/(Trigo!$E74:INDEX(Trigo!$E74:$Z74,MIN(O$6-$E$3,22))&lt;&gt;""),Trigo!$E74:INDEX(Trigo!$E74:$Z74,MIN(O$6-$E$3,22))),0))-IF($G$2,0,IF((O$6-$G$3)&lt;1,0,IFERROR(LOOKUP(2,1/(Trigo!$E74:INDEX(Trigo!$E74:$Z74,MIN(O$6-$G$3,22))&lt;&gt;""),Trigo!$E74:INDEX(Trigo!$E74:$Z74,MIN(O$6-$G$3,22))),0)))))</f>
        <v>0</v>
      </c>
      <c r="P76" s="27" t="n">
        <f aca="false">IF(COUNT(Trigo!$E74:$Z74)=0,0,MAX(0,IF((P$6-$E$3)&lt;1,0,IFERROR(LOOKUP(2,1/(Trigo!$E74:INDEX(Trigo!$E74:$Z74,MIN(P$6-$E$3,22))&lt;&gt;""),Trigo!$E74:INDEX(Trigo!$E74:$Z74,MIN(P$6-$E$3,22))),0))-IF($G$2,0,IF((P$6-$G$3)&lt;1,0,IFERROR(LOOKUP(2,1/(Trigo!$E74:INDEX(Trigo!$E74:$Z74,MIN(P$6-$G$3,22))&lt;&gt;""),Trigo!$E74:INDEX(Trigo!$E74:$Z74,MIN(P$6-$G$3,22))),0)))))</f>
        <v>0</v>
      </c>
      <c r="Q76" s="27" t="n">
        <f aca="false">IF(COUNT(Trigo!$E74:$Z74)=0,0,MAX(0,IF((Q$6-$E$3)&lt;1,0,IFERROR(LOOKUP(2,1/(Trigo!$E74:INDEX(Trigo!$E74:$Z74,MIN(Q$6-$E$3,22))&lt;&gt;""),Trigo!$E74:INDEX(Trigo!$E74:$Z74,MIN(Q$6-$E$3,22))),0))-IF($G$2,0,IF((Q$6-$G$3)&lt;1,0,IFERROR(LOOKUP(2,1/(Trigo!$E74:INDEX(Trigo!$E74:$Z74,MIN(Q$6-$G$3,22))&lt;&gt;""),Trigo!$E74:INDEX(Trigo!$E74:$Z74,MIN(Q$6-$G$3,22))),0)))))</f>
        <v>0</v>
      </c>
      <c r="R76" s="27" t="n">
        <f aca="false">IF(COUNT(Trigo!$E74:$Z74)=0,0,MAX(0,IF((R$6-$E$3)&lt;1,0,IFERROR(LOOKUP(2,1/(Trigo!$E74:INDEX(Trigo!$E74:$Z74,MIN(R$6-$E$3,22))&lt;&gt;""),Trigo!$E74:INDEX(Trigo!$E74:$Z74,MIN(R$6-$E$3,22))),0))-IF($G$2,0,IF((R$6-$G$3)&lt;1,0,IFERROR(LOOKUP(2,1/(Trigo!$E74:INDEX(Trigo!$E74:$Z74,MIN(R$6-$G$3,22))&lt;&gt;""),Trigo!$E74:INDEX(Trigo!$E74:$Z74,MIN(R$6-$G$3,22))),0)))))</f>
        <v>0</v>
      </c>
      <c r="S76" s="27" t="n">
        <f aca="false">IF(COUNT(Trigo!$E74:$Z74)=0,0,MAX(0,IF((S$6-$E$3)&lt;1,0,IFERROR(LOOKUP(2,1/(Trigo!$E74:INDEX(Trigo!$E74:$Z74,MIN(S$6-$E$3,22))&lt;&gt;""),Trigo!$E74:INDEX(Trigo!$E74:$Z74,MIN(S$6-$E$3,22))),0))-IF($G$2,0,IF((S$6-$G$3)&lt;1,0,IFERROR(LOOKUP(2,1/(Trigo!$E74:INDEX(Trigo!$E74:$Z74,MIN(S$6-$G$3,22))&lt;&gt;""),Trigo!$E74:INDEX(Trigo!$E74:$Z74,MIN(S$6-$G$3,22))),0)))))</f>
        <v>0</v>
      </c>
      <c r="T76" s="27" t="n">
        <f aca="false">IF(COUNT(Trigo!$E74:$Z74)=0,0,MAX(0,IF((T$6-$E$3)&lt;1,0,IFERROR(LOOKUP(2,1/(Trigo!$E74:INDEX(Trigo!$E74:$Z74,MIN(T$6-$E$3,22))&lt;&gt;""),Trigo!$E74:INDEX(Trigo!$E74:$Z74,MIN(T$6-$E$3,22))),0))-IF($G$2,0,IF((T$6-$G$3)&lt;1,0,IFERROR(LOOKUP(2,1/(Trigo!$E74:INDEX(Trigo!$E74:$Z74,MIN(T$6-$G$3,22))&lt;&gt;""),Trigo!$E74:INDEX(Trigo!$E74:$Z74,MIN(T$6-$G$3,22))),0)))))</f>
        <v>0</v>
      </c>
      <c r="U76" s="27" t="n">
        <f aca="false">IF(COUNT(Trigo!$E74:$Z74)=0,0,MAX(0,IF((U$6-$E$3)&lt;1,0,IFERROR(LOOKUP(2,1/(Trigo!$E74:INDEX(Trigo!$E74:$Z74,MIN(U$6-$E$3,22))&lt;&gt;""),Trigo!$E74:INDEX(Trigo!$E74:$Z74,MIN(U$6-$E$3,22))),0))-IF($G$2,0,IF((U$6-$G$3)&lt;1,0,IFERROR(LOOKUP(2,1/(Trigo!$E74:INDEX(Trigo!$E74:$Z74,MIN(U$6-$G$3,22))&lt;&gt;""),Trigo!$E74:INDEX(Trigo!$E74:$Z74,MIN(U$6-$G$3,22))),0)))))</f>
        <v>0</v>
      </c>
      <c r="V76" s="27" t="n">
        <f aca="false">IF(COUNT(Trigo!$E74:$Z74)=0,0,MAX(0,IF((V$6-$E$3)&lt;1,0,IFERROR(LOOKUP(2,1/(Trigo!$E74:INDEX(Trigo!$E74:$Z74,MIN(V$6-$E$3,22))&lt;&gt;""),Trigo!$E74:INDEX(Trigo!$E74:$Z74,MIN(V$6-$E$3,22))),0))-IF($G$2,0,IF((V$6-$G$3)&lt;1,0,IFERROR(LOOKUP(2,1/(Trigo!$E74:INDEX(Trigo!$E74:$Z74,MIN(V$6-$G$3,22))&lt;&gt;""),Trigo!$E74:INDEX(Trigo!$E74:$Z74,MIN(V$6-$G$3,22))),0)))))</f>
        <v>0</v>
      </c>
      <c r="W76" s="27" t="n">
        <f aca="false">IF(COUNT(Trigo!$E74:$Z74)=0,0,MAX(0,IF((W$6-$E$3)&lt;1,0,IFERROR(LOOKUP(2,1/(Trigo!$E74:INDEX(Trigo!$E74:$Z74,MIN(W$6-$E$3,22))&lt;&gt;""),Trigo!$E74:INDEX(Trigo!$E74:$Z74,MIN(W$6-$E$3,22))),0))-IF($G$2,0,IF((W$6-$G$3)&lt;1,0,IFERROR(LOOKUP(2,1/(Trigo!$E74:INDEX(Trigo!$E74:$Z74,MIN(W$6-$G$3,22))&lt;&gt;""),Trigo!$E74:INDEX(Trigo!$E74:$Z74,MIN(W$6-$G$3,22))),0)))))</f>
        <v>0</v>
      </c>
      <c r="X76" s="27" t="n">
        <f aca="false">IF(COUNT(Trigo!$E74:$Z74)=0,0,MAX(0,IF((X$6-$E$3)&lt;1,0,IFERROR(LOOKUP(2,1/(Trigo!$E74:INDEX(Trigo!$E74:$Z74,MIN(X$6-$E$3,22))&lt;&gt;""),Trigo!$E74:INDEX(Trigo!$E74:$Z74,MIN(X$6-$E$3,22))),0))-IF($G$2,0,IF((X$6-$G$3)&lt;1,0,IFERROR(LOOKUP(2,1/(Trigo!$E74:INDEX(Trigo!$E74:$Z74,MIN(X$6-$G$3,22))&lt;&gt;""),Trigo!$E74:INDEX(Trigo!$E74:$Z74,MIN(X$6-$G$3,22))),0)))))</f>
        <v>0</v>
      </c>
      <c r="Y76" s="27" t="n">
        <f aca="false">IF(COUNT(Trigo!$E74:$Z74)=0,0,MAX(0,IF((Y$6-$E$3)&lt;1,0,IFERROR(LOOKUP(2,1/(Trigo!$E74:INDEX(Trigo!$E74:$Z74,MIN(Y$6-$E$3,22))&lt;&gt;""),Trigo!$E74:INDEX(Trigo!$E74:$Z74,MIN(Y$6-$E$3,22))),0))-IF($G$2,0,IF((Y$6-$G$3)&lt;1,0,IFERROR(LOOKUP(2,1/(Trigo!$E74:INDEX(Trigo!$E74:$Z74,MIN(Y$6-$G$3,22))&lt;&gt;""),Trigo!$E74:INDEX(Trigo!$E74:$Z74,MIN(Y$6-$G$3,22))),0)))))</f>
        <v>0</v>
      </c>
      <c r="Z76" s="27" t="n">
        <f aca="false">IF(COUNT(Trigo!$E74:$Z74)=0,0,MAX(0,IF((Z$6-$E$3)&lt;1,0,IFERROR(LOOKUP(2,1/(Trigo!$E74:INDEX(Trigo!$E74:$Z74,MIN(Z$6-$E$3,22))&lt;&gt;""),Trigo!$E74:INDEX(Trigo!$E74:$Z74,MIN(Z$6-$E$3,22))),0))-IF($G$2,0,IF((Z$6-$G$3)&lt;1,0,IFERROR(LOOKUP(2,1/(Trigo!$E74:INDEX(Trigo!$E74:$Z74,MIN(Z$6-$G$3,22))&lt;&gt;""),Trigo!$E74:INDEX(Trigo!$E74:$Z74,MIN(Z$6-$G$3,22))),0)))))</f>
        <v>0</v>
      </c>
      <c r="AA76" s="27" t="n">
        <f aca="false">IF(COUNT(Trigo!$E74:$Z74)=0,0,MAX(0,IF((AA$6-$E$3)&lt;1,0,IFERROR(LOOKUP(2,1/(Trigo!$E74:INDEX(Trigo!$E74:$Z74,MIN(AA$6-$E$3,22))&lt;&gt;""),Trigo!$E74:INDEX(Trigo!$E74:$Z74,MIN(AA$6-$E$3,22))),0))-IF($G$2,0,IF((AA$6-$G$3)&lt;1,0,IFERROR(LOOKUP(2,1/(Trigo!$E74:INDEX(Trigo!$E74:$Z74,MIN(AA$6-$G$3,22))&lt;&gt;""),Trigo!$E74:INDEX(Trigo!$E74:$Z74,MIN(AA$6-$G$3,22))),0)))))</f>
        <v>0</v>
      </c>
      <c r="AB76" s="27" t="n">
        <f aca="false">IF(COUNT(Trigo!$E74:$Z74)=0,0,MAX(0,IF((AB$6-$E$3)&lt;1,0,IFERROR(LOOKUP(2,1/(Trigo!$E74:INDEX(Trigo!$E74:$Z74,MIN(AB$6-$E$3,22))&lt;&gt;""),Trigo!$E74:INDEX(Trigo!$E74:$Z74,MIN(AB$6-$E$3,22))),0))-IF($G$2,0,IF((AB$6-$G$3)&lt;1,0,IFERROR(LOOKUP(2,1/(Trigo!$E74:INDEX(Trigo!$E74:$Z74,MIN(AB$6-$G$3,22))&lt;&gt;""),Trigo!$E74:INDEX(Trigo!$E74:$Z74,MIN(AB$6-$G$3,22))),0)))))</f>
        <v>0</v>
      </c>
      <c r="AC76" s="27" t="n">
        <f aca="false">IF(COUNT(Trigo!$E74:$Z74)=0,0,MAX(0,IF((AC$6-$E$3)&lt;1,0,IFERROR(LOOKUP(2,1/(Trigo!$E74:INDEX(Trigo!$E74:$Z74,MIN(AC$6-$E$3,22))&lt;&gt;""),Trigo!$E74:INDEX(Trigo!$E74:$Z74,MIN(AC$6-$E$3,22))),0))-IF($G$2,0,IF((AC$6-$G$3)&lt;1,0,IFERROR(LOOKUP(2,1/(Trigo!$E74:INDEX(Trigo!$E74:$Z74,MIN(AC$6-$G$3,22))&lt;&gt;""),Trigo!$E74:INDEX(Trigo!$E74:$Z74,MIN(AC$6-$G$3,22))),0)))))</f>
        <v>0</v>
      </c>
      <c r="AD76" s="27" t="n">
        <f aca="false">IF(COUNT(Trigo!$E74:$Z74)=0,0,MAX(0,IF((AD$6-$E$3)&lt;1,0,IFERROR(LOOKUP(2,1/(Trigo!$E74:INDEX(Trigo!$E74:$Z74,MIN(AD$6-$E$3,22))&lt;&gt;""),Trigo!$E74:INDEX(Trigo!$E74:$Z74,MIN(AD$6-$E$3,22))),0))-IF($G$2,0,IF((AD$6-$G$3)&lt;1,0,IFERROR(LOOKUP(2,1/(Trigo!$E74:INDEX(Trigo!$E74:$Z74,MIN(AD$6-$G$3,22))&lt;&gt;""),Trigo!$E74:INDEX(Trigo!$E74:$Z74,MIN(AD$6-$G$3,22))),0)))))</f>
        <v>0</v>
      </c>
      <c r="AE76" s="27" t="n">
        <f aca="false">IF(COUNT(Trigo!$E74:$Z74)=0,0,MAX(0,IF((AE$6-$E$3)&lt;1,0,IFERROR(LOOKUP(2,1/(Trigo!$E74:INDEX(Trigo!$E74:$Z74,MIN(AE$6-$E$3,22))&lt;&gt;""),Trigo!$E74:INDEX(Trigo!$E74:$Z74,MIN(AE$6-$E$3,22))),0))-IF($G$2,0,IF((AE$6-$G$3)&lt;1,0,IFERROR(LOOKUP(2,1/(Trigo!$E74:INDEX(Trigo!$E74:$Z74,MIN(AE$6-$G$3,22))&lt;&gt;""),Trigo!$E74:INDEX(Trigo!$E74:$Z74,MIN(AE$6-$G$3,22))),0)))))</f>
        <v>0</v>
      </c>
      <c r="AF76" s="27" t="n">
        <f aca="false">IF(COUNT(Trigo!$E74:$Z74)=0,0,MAX(0,IF((AF$6-$E$3)&lt;1,0,IFERROR(LOOKUP(2,1/(Trigo!$E74:INDEX(Trigo!$E74:$Z74,MIN(AF$6-$E$3,22))&lt;&gt;""),Trigo!$E74:INDEX(Trigo!$E74:$Z74,MIN(AF$6-$E$3,22))),0))-IF($G$2,0,IF((AF$6-$G$3)&lt;1,0,IFERROR(LOOKUP(2,1/(Trigo!$E74:INDEX(Trigo!$E74:$Z74,MIN(AF$6-$G$3,22))&lt;&gt;""),Trigo!$E74:INDEX(Trigo!$E74:$Z74,MIN(AF$6-$G$3,22))),0)))))</f>
        <v>0</v>
      </c>
      <c r="AG76" s="27" t="n">
        <f aca="false">IF(COUNT(Trigo!$E74:$Z74)=0,0,MAX(0,IF((AG$6-$E$3)&lt;1,0,IFERROR(LOOKUP(2,1/(Trigo!$E74:INDEX(Trigo!$E74:$Z74,MIN(AG$6-$E$3,22))&lt;&gt;""),Trigo!$E74:INDEX(Trigo!$E74:$Z74,MIN(AG$6-$E$3,22))),0))-IF($G$2,0,IF((AG$6-$G$3)&lt;1,0,IFERROR(LOOKUP(2,1/(Trigo!$E74:INDEX(Trigo!$E74:$Z74,MIN(AG$6-$G$3,22))&lt;&gt;""),Trigo!$E74:INDEX(Trigo!$E74:$Z74,MIN(AG$6-$G$3,22))),0)))))</f>
        <v>0</v>
      </c>
      <c r="AH76" s="27" t="n">
        <f aca="false">IF(COUNT(Trigo!$E74:$Z74)=0,0,MAX(0,IF((AH$6-$E$3)&lt;1,0,IFERROR(LOOKUP(2,1/(Trigo!$E74:INDEX(Trigo!$E74:$Z74,MIN(AH$6-$E$3,22))&lt;&gt;""),Trigo!$E74:INDEX(Trigo!$E74:$Z74,MIN(AH$6-$E$3,22))),0))-IF($G$2,0,IF((AH$6-$G$3)&lt;1,0,IFERROR(LOOKUP(2,1/(Trigo!$E74:INDEX(Trigo!$E74:$Z74,MIN(AH$6-$G$3,22))&lt;&gt;""),Trigo!$E74:INDEX(Trigo!$E74:$Z74,MIN(AH$6-$G$3,22))),0)))))</f>
        <v>0</v>
      </c>
      <c r="AI76" s="27" t="n">
        <f aca="false">IF(COUNT(Trigo!$E74:$Z74)=0,0,MAX(0,IF((AI$6-$E$3)&lt;1,0,IFERROR(LOOKUP(2,1/(Trigo!$E74:INDEX(Trigo!$E74:$Z74,MIN(AI$6-$E$3,22))&lt;&gt;""),Trigo!$E74:INDEX(Trigo!$E74:$Z74,MIN(AI$6-$E$3,22))),0))-IF($G$2,0,IF((AI$6-$G$3)&lt;1,0,IFERROR(LOOKUP(2,1/(Trigo!$E74:INDEX(Trigo!$E74:$Z74,MIN(AI$6-$G$3,22))&lt;&gt;""),Trigo!$E74:INDEX(Trigo!$E74:$Z74,MIN(AI$6-$G$3,22))),0)))))</f>
        <v>0</v>
      </c>
      <c r="AJ76" s="27" t="n">
        <f aca="false">IF(COUNT(Trigo!$E74:$Z74)=0,0,MAX(0,IF((AJ$6-$E$3)&lt;1,0,IFERROR(LOOKUP(2,1/(Trigo!$E74:INDEX(Trigo!$E74:$Z74,MIN(AJ$6-$E$3,22))&lt;&gt;""),Trigo!$E74:INDEX(Trigo!$E74:$Z74,MIN(AJ$6-$E$3,22))),0))-IF($G$2,0,IF((AJ$6-$G$3)&lt;1,0,IFERROR(LOOKUP(2,1/(Trigo!$E74:INDEX(Trigo!$E74:$Z74,MIN(AJ$6-$G$3,22))&lt;&gt;""),Trigo!$E74:INDEX(Trigo!$E74:$Z74,MIN(AJ$6-$G$3,22))),0)))))</f>
        <v>0</v>
      </c>
      <c r="AK76" s="27" t="n">
        <f aca="false">IF(COUNT(Trigo!$E74:$Z74)=0,0,MAX(0,IF((AK$6-$E$3)&lt;1,0,IFERROR(LOOKUP(2,1/(Trigo!$E74:INDEX(Trigo!$E74:$Z74,MIN(AK$6-$E$3,22))&lt;&gt;""),Trigo!$E74:INDEX(Trigo!$E74:$Z74,MIN(AK$6-$E$3,22))),0))-IF($G$2,0,IF((AK$6-$G$3)&lt;1,0,IFERROR(LOOKUP(2,1/(Trigo!$E74:INDEX(Trigo!$E74:$Z74,MIN(AK$6-$G$3,22))&lt;&gt;""),Trigo!$E74:INDEX(Trigo!$E74:$Z74,MIN(AK$6-$G$3,22))),0)))))</f>
        <v>0</v>
      </c>
      <c r="AL76" s="27" t="n">
        <f aca="false">IF(COUNT(Trigo!$E74:$Z74)=0,0,MAX(0,IF((AL$6-$E$3)&lt;1,0,IFERROR(LOOKUP(2,1/(Trigo!$E74:INDEX(Trigo!$E74:$Z74,MIN(AL$6-$E$3,22))&lt;&gt;""),Trigo!$E74:INDEX(Trigo!$E74:$Z74,MIN(AL$6-$E$3,22))),0))-IF($G$2,0,IF((AL$6-$G$3)&lt;1,0,IFERROR(LOOKUP(2,1/(Trigo!$E74:INDEX(Trigo!$E74:$Z74,MIN(AL$6-$G$3,22))&lt;&gt;""),Trigo!$E74:INDEX(Trigo!$E74:$Z74,MIN(AL$6-$G$3,22))),0)))))</f>
        <v>0</v>
      </c>
      <c r="AM76" s="27" t="n">
        <f aca="false">IF(COUNT(Trigo!$E74:$Z74)=0,0,MAX(0,IF((AM$6-$E$3)&lt;1,0,IFERROR(LOOKUP(2,1/(Trigo!$E74:INDEX(Trigo!$E74:$Z74,MIN(AM$6-$E$3,22))&lt;&gt;""),Trigo!$E74:INDEX(Trigo!$E74:$Z74,MIN(AM$6-$E$3,22))),0))-IF($G$2,0,IF((AM$6-$G$3)&lt;1,0,IFERROR(LOOKUP(2,1/(Trigo!$E74:INDEX(Trigo!$E74:$Z74,MIN(AM$6-$G$3,22))&lt;&gt;""),Trigo!$E74:INDEX(Trigo!$E74:$Z74,MIN(AM$6-$G$3,22))),0)))))</f>
        <v>0</v>
      </c>
      <c r="AN76" s="27" t="n">
        <f aca="false">IF(COUNT(Trigo!$E74:$Z74)=0,0,MAX(0,IF((AN$6-$E$3)&lt;1,0,IFERROR(LOOKUP(2,1/(Trigo!$E74:INDEX(Trigo!$E74:$Z74,MIN(AN$6-$E$3,22))&lt;&gt;""),Trigo!$E74:INDEX(Trigo!$E74:$Z74,MIN(AN$6-$E$3,22))),0))-IF($G$2,0,IF((AN$6-$G$3)&lt;1,0,IFERROR(LOOKUP(2,1/(Trigo!$E74:INDEX(Trigo!$E74:$Z74,MIN(AN$6-$G$3,22))&lt;&gt;""),Trigo!$E74:INDEX(Trigo!$E74:$Z74,MIN(AN$6-$G$3,22))),0)))))</f>
        <v>0</v>
      </c>
      <c r="AO76" s="27" t="n">
        <f aca="false">IF(COUNT(Trigo!$E74:$Z74)=0,0,MAX(0,IF((AO$6-$E$3)&lt;1,0,IFERROR(LOOKUP(2,1/(Trigo!$E74:INDEX(Trigo!$E74:$Z74,MIN(AO$6-$E$3,22))&lt;&gt;""),Trigo!$E74:INDEX(Trigo!$E74:$Z74,MIN(AO$6-$E$3,22))),0))-IF($G$2,0,IF((AO$6-$G$3)&lt;1,0,IFERROR(LOOKUP(2,1/(Trigo!$E74:INDEX(Trigo!$E74:$Z74,MIN(AO$6-$G$3,22))&lt;&gt;""),Trigo!$E74:INDEX(Trigo!$E74:$Z74,MIN(AO$6-$G$3,22))),0)))))</f>
        <v>0</v>
      </c>
      <c r="AP76" s="27" t="n">
        <f aca="false">IF(COUNT(Trigo!$E74:$Z74)=0,0,MAX(0,IF((AP$6-$E$3)&lt;1,0,IFERROR(LOOKUP(2,1/(Trigo!$E74:INDEX(Trigo!$E74:$Z74,MIN(AP$6-$E$3,22))&lt;&gt;""),Trigo!$E74:INDEX(Trigo!$E74:$Z74,MIN(AP$6-$E$3,22))),0))-IF($G$2,0,IF((AP$6-$G$3)&lt;1,0,IFERROR(LOOKUP(2,1/(Trigo!$E74:INDEX(Trigo!$E74:$Z74,MIN(AP$6-$G$3,22))&lt;&gt;""),Trigo!$E74:INDEX(Trigo!$E74:$Z74,MIN(AP$6-$G$3,22))),0)))))</f>
        <v>0</v>
      </c>
      <c r="AQ76" s="27" t="n">
        <f aca="false">IF(COUNT(Trigo!$E74:$Z74)=0,0,MAX(0,IF((AQ$6-$E$3)&lt;1,0,IFERROR(LOOKUP(2,1/(Trigo!$E74:INDEX(Trigo!$E74:$Z74,MIN(AQ$6-$E$3,22))&lt;&gt;""),Trigo!$E74:INDEX(Trigo!$E74:$Z74,MIN(AQ$6-$E$3,22))),0))-IF($G$2,0,IF((AQ$6-$G$3)&lt;1,0,IFERROR(LOOKUP(2,1/(Trigo!$E74:INDEX(Trigo!$E74:$Z74,MIN(AQ$6-$G$3,22))&lt;&gt;""),Trigo!$E74:INDEX(Trigo!$E74:$Z74,MIN(AQ$6-$G$3,22))),0)))))</f>
        <v>0</v>
      </c>
      <c r="AR76" s="27" t="n">
        <f aca="false">IF(COUNT(Trigo!$E74:$Z74)=0,0,MAX(0,IF((AR$6-$E$3)&lt;1,0,IFERROR(LOOKUP(2,1/(Trigo!$E74:INDEX(Trigo!$E74:$Z74,MIN(AR$6-$E$3,22))&lt;&gt;""),Trigo!$E74:INDEX(Trigo!$E74:$Z74,MIN(AR$6-$E$3,22))),0))-IF($G$2,0,IF((AR$6-$G$3)&lt;1,0,IFERROR(LOOKUP(2,1/(Trigo!$E74:INDEX(Trigo!$E74:$Z74,MIN(AR$6-$G$3,22))&lt;&gt;""),Trigo!$E74:INDEX(Trigo!$E74:$Z74,MIN(AR$6-$G$3,22))),0)))))</f>
        <v>0</v>
      </c>
      <c r="AS76" s="27" t="n">
        <f aca="false">IF(COUNT(Trigo!$E74:$Z74)=0,0,MAX(0,IF((AS$6-$E$3)&lt;1,0,IFERROR(LOOKUP(2,1/(Trigo!$E74:INDEX(Trigo!$E74:$Z74,MIN(AS$6-$E$3,22))&lt;&gt;""),Trigo!$E74:INDEX(Trigo!$E74:$Z74,MIN(AS$6-$E$3,22))),0))-IF($G$2,0,IF((AS$6-$G$3)&lt;1,0,IFERROR(LOOKUP(2,1/(Trigo!$E74:INDEX(Trigo!$E74:$Z74,MIN(AS$6-$G$3,22))&lt;&gt;""),Trigo!$E74:INDEX(Trigo!$E74:$Z74,MIN(AS$6-$G$3,22))),0)))))</f>
        <v>0</v>
      </c>
      <c r="AT76" s="27" t="n">
        <f aca="false">IF(COUNT(Trigo!$E74:$Z74)=0,0,MAX(0,IF((AT$6-$E$3)&lt;1,0,IFERROR(LOOKUP(2,1/(Trigo!$E74:INDEX(Trigo!$E74:$Z74,MIN(AT$6-$E$3,22))&lt;&gt;""),Trigo!$E74:INDEX(Trigo!$E74:$Z74,MIN(AT$6-$E$3,22))),0))-IF($G$2,0,IF((AT$6-$G$3)&lt;1,0,IFERROR(LOOKUP(2,1/(Trigo!$E74:INDEX(Trigo!$E74:$Z74,MIN(AT$6-$G$3,22))&lt;&gt;""),Trigo!$E74:INDEX(Trigo!$E74:$Z74,MIN(AT$6-$G$3,22))),0)))))</f>
        <v>0</v>
      </c>
      <c r="AU76" s="27" t="n">
        <f aca="false">IF(COUNT(Trigo!$E74:$Z74)=0,0,MAX(0,IF((AU$6-$E$3)&lt;1,0,IFERROR(LOOKUP(2,1/(Trigo!$E74:INDEX(Trigo!$E74:$Z74,MIN(AU$6-$E$3,22))&lt;&gt;""),Trigo!$E74:INDEX(Trigo!$E74:$Z74,MIN(AU$6-$E$3,22))),0))-IF($G$2,0,IF((AU$6-$G$3)&lt;1,0,IFERROR(LOOKUP(2,1/(Trigo!$E74:INDEX(Trigo!$E74:$Z74,MIN(AU$6-$G$3,22))&lt;&gt;""),Trigo!$E74:INDEX(Trigo!$E74:$Z74,MIN(AU$6-$G$3,22))),0)))))</f>
        <v>0</v>
      </c>
      <c r="AV76" s="27" t="n">
        <f aca="false">IF(COUNT(Trigo!$E74:$Z74)=0,0,MAX(0,IF((AV$6-$E$3)&lt;1,0,IFERROR(LOOKUP(2,1/(Trigo!$E74:INDEX(Trigo!$E74:$Z74,MIN(AV$6-$E$3,22))&lt;&gt;""),Trigo!$E74:INDEX(Trigo!$E74:$Z74,MIN(AV$6-$E$3,22))),0))-IF($G$2,0,IF((AV$6-$G$3)&lt;1,0,IFERROR(LOOKUP(2,1/(Trigo!$E74:INDEX(Trigo!$E74:$Z74,MIN(AV$6-$G$3,22))&lt;&gt;""),Trigo!$E74:INDEX(Trigo!$E74:$Z74,MIN(AV$6-$G$3,22))),0)))))</f>
        <v>0</v>
      </c>
      <c r="AW76" s="27" t="n">
        <f aca="false">IF(COUNT(Trigo!$E74:$Z74)=0,0,MAX(0,IF((AW$6-$E$3)&lt;1,0,IFERROR(LOOKUP(2,1/(Trigo!$E74:INDEX(Trigo!$E74:$Z74,MIN(AW$6-$E$3,22))&lt;&gt;""),Trigo!$E74:INDEX(Trigo!$E74:$Z74,MIN(AW$6-$E$3,22))),0))-IF($G$2,0,IF((AW$6-$G$3)&lt;1,0,IFERROR(LOOKUP(2,1/(Trigo!$E74:INDEX(Trigo!$E74:$Z74,MIN(AW$6-$G$3,22))&lt;&gt;""),Trigo!$E74:INDEX(Trigo!$E74:$Z74,MIN(AW$6-$G$3,22))),0)))))</f>
        <v>0</v>
      </c>
      <c r="AX76" s="27" t="n">
        <f aca="false">IF(COUNT(Trigo!$E74:$Z74)=0,0,MAX(0,IF((AX$6-$E$3)&lt;1,0,IFERROR(LOOKUP(2,1/(Trigo!$E74:INDEX(Trigo!$E74:$Z74,MIN(AX$6-$E$3,22))&lt;&gt;""),Trigo!$E74:INDEX(Trigo!$E74:$Z74,MIN(AX$6-$E$3,22))),0))-IF($G$2,0,IF((AX$6-$G$3)&lt;1,0,IFERROR(LOOKUP(2,1/(Trigo!$E74:INDEX(Trigo!$E74:$Z74,MIN(AX$6-$G$3,22))&lt;&gt;""),Trigo!$E74:INDEX(Trigo!$E74:$Z74,MIN(AX$6-$G$3,22))),0)))))</f>
        <v>0</v>
      </c>
      <c r="AY76" s="27" t="n">
        <f aca="false">IF(COUNT(Trigo!$E74:$Z74)=0,0,MAX(0,IF((AY$6-$E$3)&lt;1,0,IFERROR(LOOKUP(2,1/(Trigo!$E74:INDEX(Trigo!$E74:$Z74,MIN(AY$6-$E$3,22))&lt;&gt;""),Trigo!$E74:INDEX(Trigo!$E74:$Z74,MIN(AY$6-$E$3,22))),0))-IF($G$2,0,IF((AY$6-$G$3)&lt;1,0,IFERROR(LOOKUP(2,1/(Trigo!$E74:INDEX(Trigo!$E74:$Z74,MIN(AY$6-$G$3,22))&lt;&gt;""),Trigo!$E74:INDEX(Trigo!$E74:$Z74,MIN(AY$6-$G$3,22))),0)))))</f>
        <v>0</v>
      </c>
      <c r="AZ76" s="27" t="n">
        <f aca="false">IF(COUNT(Trigo!$E74:$Z74)=0,0,MAX(0,IF((AZ$6-$E$3)&lt;1,0,IFERROR(LOOKUP(2,1/(Trigo!$E74:INDEX(Trigo!$E74:$Z74,MIN(AZ$6-$E$3,22))&lt;&gt;""),Trigo!$E74:INDEX(Trigo!$E74:$Z74,MIN(AZ$6-$E$3,22))),0))-IF($G$2,0,IF((AZ$6-$G$3)&lt;1,0,IFERROR(LOOKUP(2,1/(Trigo!$E74:INDEX(Trigo!$E74:$Z74,MIN(AZ$6-$G$3,22))&lt;&gt;""),Trigo!$E74:INDEX(Trigo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IF(COUNT(Trigo!$E75:$Z75)&gt;0,N(Trigo!$D75),0)</f>
        <v>0</v>
      </c>
      <c r="E77" s="27" t="n">
        <f aca="false">IF(COUNT(Trigo!$E75:$Z75)=0,0,MAX(0,IF((E$6-$E$3)&lt;1,0,IFERROR(LOOKUP(2,1/(Trigo!$E75:INDEX(Trigo!$E75:$Z75,MIN(E$6-$E$3,22))&lt;&gt;""),Trigo!$E75:INDEX(Trigo!$E75:$Z75,MIN(E$6-$E$3,22))),0))-IF($G$2,0,IF((E$6-$G$3)&lt;1,0,IFERROR(LOOKUP(2,1/(Trigo!$E75:INDEX(Trigo!$E75:$Z75,MIN(E$6-$G$3,22))&lt;&gt;""),Trigo!$E75:INDEX(Trigo!$E75:$Z75,MIN(E$6-$G$3,22))),0)))))</f>
        <v>0</v>
      </c>
      <c r="F77" s="27" t="n">
        <f aca="false">IF(COUNT(Trigo!$E75:$Z75)=0,0,MAX(0,IF((F$6-$E$3)&lt;1,0,IFERROR(LOOKUP(2,1/(Trigo!$E75:INDEX(Trigo!$E75:$Z75,MIN(F$6-$E$3,22))&lt;&gt;""),Trigo!$E75:INDEX(Trigo!$E75:$Z75,MIN(F$6-$E$3,22))),0))-IF($G$2,0,IF((F$6-$G$3)&lt;1,0,IFERROR(LOOKUP(2,1/(Trigo!$E75:INDEX(Trigo!$E75:$Z75,MIN(F$6-$G$3,22))&lt;&gt;""),Trigo!$E75:INDEX(Trigo!$E75:$Z75,MIN(F$6-$G$3,22))),0)))))</f>
        <v>0</v>
      </c>
      <c r="G77" s="27" t="n">
        <f aca="false">IF(COUNT(Trigo!$E75:$Z75)=0,0,MAX(0,IF((G$6-$E$3)&lt;1,0,IFERROR(LOOKUP(2,1/(Trigo!$E75:INDEX(Trigo!$E75:$Z75,MIN(G$6-$E$3,22))&lt;&gt;""),Trigo!$E75:INDEX(Trigo!$E75:$Z75,MIN(G$6-$E$3,22))),0))-IF($G$2,0,IF((G$6-$G$3)&lt;1,0,IFERROR(LOOKUP(2,1/(Trigo!$E75:INDEX(Trigo!$E75:$Z75,MIN(G$6-$G$3,22))&lt;&gt;""),Trigo!$E75:INDEX(Trigo!$E75:$Z75,MIN(G$6-$G$3,22))),0)))))</f>
        <v>0</v>
      </c>
      <c r="H77" s="27" t="n">
        <f aca="false">IF(COUNT(Trigo!$E75:$Z75)=0,0,MAX(0,IF((H$6-$E$3)&lt;1,0,IFERROR(LOOKUP(2,1/(Trigo!$E75:INDEX(Trigo!$E75:$Z75,MIN(H$6-$E$3,22))&lt;&gt;""),Trigo!$E75:INDEX(Trigo!$E75:$Z75,MIN(H$6-$E$3,22))),0))-IF($G$2,0,IF((H$6-$G$3)&lt;1,0,IFERROR(LOOKUP(2,1/(Trigo!$E75:INDEX(Trigo!$E75:$Z75,MIN(H$6-$G$3,22))&lt;&gt;""),Trigo!$E75:INDEX(Trigo!$E75:$Z75,MIN(H$6-$G$3,22))),0)))))</f>
        <v>0</v>
      </c>
      <c r="I77" s="27" t="n">
        <f aca="false">IF(COUNT(Trigo!$E75:$Z75)=0,0,MAX(0,IF((I$6-$E$3)&lt;1,0,IFERROR(LOOKUP(2,1/(Trigo!$E75:INDEX(Trigo!$E75:$Z75,MIN(I$6-$E$3,22))&lt;&gt;""),Trigo!$E75:INDEX(Trigo!$E75:$Z75,MIN(I$6-$E$3,22))),0))-IF($G$2,0,IF((I$6-$G$3)&lt;1,0,IFERROR(LOOKUP(2,1/(Trigo!$E75:INDEX(Trigo!$E75:$Z75,MIN(I$6-$G$3,22))&lt;&gt;""),Trigo!$E75:INDEX(Trigo!$E75:$Z75,MIN(I$6-$G$3,22))),0)))))</f>
        <v>0</v>
      </c>
      <c r="J77" s="27" t="n">
        <f aca="false">IF(COUNT(Trigo!$E75:$Z75)=0,0,MAX(0,IF((J$6-$E$3)&lt;1,0,IFERROR(LOOKUP(2,1/(Trigo!$E75:INDEX(Trigo!$E75:$Z75,MIN(J$6-$E$3,22))&lt;&gt;""),Trigo!$E75:INDEX(Trigo!$E75:$Z75,MIN(J$6-$E$3,22))),0))-IF($G$2,0,IF((J$6-$G$3)&lt;1,0,IFERROR(LOOKUP(2,1/(Trigo!$E75:INDEX(Trigo!$E75:$Z75,MIN(J$6-$G$3,22))&lt;&gt;""),Trigo!$E75:INDEX(Trigo!$E75:$Z75,MIN(J$6-$G$3,22))),0)))))</f>
        <v>0</v>
      </c>
      <c r="K77" s="27" t="n">
        <f aca="false">IF(COUNT(Trigo!$E75:$Z75)=0,0,MAX(0,IF((K$6-$E$3)&lt;1,0,IFERROR(LOOKUP(2,1/(Trigo!$E75:INDEX(Trigo!$E75:$Z75,MIN(K$6-$E$3,22))&lt;&gt;""),Trigo!$E75:INDEX(Trigo!$E75:$Z75,MIN(K$6-$E$3,22))),0))-IF($G$2,0,IF((K$6-$G$3)&lt;1,0,IFERROR(LOOKUP(2,1/(Trigo!$E75:INDEX(Trigo!$E75:$Z75,MIN(K$6-$G$3,22))&lt;&gt;""),Trigo!$E75:INDEX(Trigo!$E75:$Z75,MIN(K$6-$G$3,22))),0)))))</f>
        <v>0</v>
      </c>
      <c r="L77" s="27" t="n">
        <f aca="false">IF(COUNT(Trigo!$E75:$Z75)=0,0,MAX(0,IF((L$6-$E$3)&lt;1,0,IFERROR(LOOKUP(2,1/(Trigo!$E75:INDEX(Trigo!$E75:$Z75,MIN(L$6-$E$3,22))&lt;&gt;""),Trigo!$E75:INDEX(Trigo!$E75:$Z75,MIN(L$6-$E$3,22))),0))-IF($G$2,0,IF((L$6-$G$3)&lt;1,0,IFERROR(LOOKUP(2,1/(Trigo!$E75:INDEX(Trigo!$E75:$Z75,MIN(L$6-$G$3,22))&lt;&gt;""),Trigo!$E75:INDEX(Trigo!$E75:$Z75,MIN(L$6-$G$3,22))),0)))))</f>
        <v>0</v>
      </c>
      <c r="M77" s="27" t="n">
        <f aca="false">IF(COUNT(Trigo!$E75:$Z75)=0,0,MAX(0,IF((M$6-$E$3)&lt;1,0,IFERROR(LOOKUP(2,1/(Trigo!$E75:INDEX(Trigo!$E75:$Z75,MIN(M$6-$E$3,22))&lt;&gt;""),Trigo!$E75:INDEX(Trigo!$E75:$Z75,MIN(M$6-$E$3,22))),0))-IF($G$2,0,IF((M$6-$G$3)&lt;1,0,IFERROR(LOOKUP(2,1/(Trigo!$E75:INDEX(Trigo!$E75:$Z75,MIN(M$6-$G$3,22))&lt;&gt;""),Trigo!$E75:INDEX(Trigo!$E75:$Z75,MIN(M$6-$G$3,22))),0)))))</f>
        <v>0</v>
      </c>
      <c r="N77" s="27" t="n">
        <f aca="false">IF(COUNT(Trigo!$E75:$Z75)=0,0,MAX(0,IF((N$6-$E$3)&lt;1,0,IFERROR(LOOKUP(2,1/(Trigo!$E75:INDEX(Trigo!$E75:$Z75,MIN(N$6-$E$3,22))&lt;&gt;""),Trigo!$E75:INDEX(Trigo!$E75:$Z75,MIN(N$6-$E$3,22))),0))-IF($G$2,0,IF((N$6-$G$3)&lt;1,0,IFERROR(LOOKUP(2,1/(Trigo!$E75:INDEX(Trigo!$E75:$Z75,MIN(N$6-$G$3,22))&lt;&gt;""),Trigo!$E75:INDEX(Trigo!$E75:$Z75,MIN(N$6-$G$3,22))),0)))))</f>
        <v>0</v>
      </c>
      <c r="O77" s="27" t="n">
        <f aca="false">IF(COUNT(Trigo!$E75:$Z75)=0,0,MAX(0,IF((O$6-$E$3)&lt;1,0,IFERROR(LOOKUP(2,1/(Trigo!$E75:INDEX(Trigo!$E75:$Z75,MIN(O$6-$E$3,22))&lt;&gt;""),Trigo!$E75:INDEX(Trigo!$E75:$Z75,MIN(O$6-$E$3,22))),0))-IF($G$2,0,IF((O$6-$G$3)&lt;1,0,IFERROR(LOOKUP(2,1/(Trigo!$E75:INDEX(Trigo!$E75:$Z75,MIN(O$6-$G$3,22))&lt;&gt;""),Trigo!$E75:INDEX(Trigo!$E75:$Z75,MIN(O$6-$G$3,22))),0)))))</f>
        <v>0</v>
      </c>
      <c r="P77" s="27" t="n">
        <f aca="false">IF(COUNT(Trigo!$E75:$Z75)=0,0,MAX(0,IF((P$6-$E$3)&lt;1,0,IFERROR(LOOKUP(2,1/(Trigo!$E75:INDEX(Trigo!$E75:$Z75,MIN(P$6-$E$3,22))&lt;&gt;""),Trigo!$E75:INDEX(Trigo!$E75:$Z75,MIN(P$6-$E$3,22))),0))-IF($G$2,0,IF((P$6-$G$3)&lt;1,0,IFERROR(LOOKUP(2,1/(Trigo!$E75:INDEX(Trigo!$E75:$Z75,MIN(P$6-$G$3,22))&lt;&gt;""),Trigo!$E75:INDEX(Trigo!$E75:$Z75,MIN(P$6-$G$3,22))),0)))))</f>
        <v>0</v>
      </c>
      <c r="Q77" s="27" t="n">
        <f aca="false">IF(COUNT(Trigo!$E75:$Z75)=0,0,MAX(0,IF((Q$6-$E$3)&lt;1,0,IFERROR(LOOKUP(2,1/(Trigo!$E75:INDEX(Trigo!$E75:$Z75,MIN(Q$6-$E$3,22))&lt;&gt;""),Trigo!$E75:INDEX(Trigo!$E75:$Z75,MIN(Q$6-$E$3,22))),0))-IF($G$2,0,IF((Q$6-$G$3)&lt;1,0,IFERROR(LOOKUP(2,1/(Trigo!$E75:INDEX(Trigo!$E75:$Z75,MIN(Q$6-$G$3,22))&lt;&gt;""),Trigo!$E75:INDEX(Trigo!$E75:$Z75,MIN(Q$6-$G$3,22))),0)))))</f>
        <v>0</v>
      </c>
      <c r="R77" s="27" t="n">
        <f aca="false">IF(COUNT(Trigo!$E75:$Z75)=0,0,MAX(0,IF((R$6-$E$3)&lt;1,0,IFERROR(LOOKUP(2,1/(Trigo!$E75:INDEX(Trigo!$E75:$Z75,MIN(R$6-$E$3,22))&lt;&gt;""),Trigo!$E75:INDEX(Trigo!$E75:$Z75,MIN(R$6-$E$3,22))),0))-IF($G$2,0,IF((R$6-$G$3)&lt;1,0,IFERROR(LOOKUP(2,1/(Trigo!$E75:INDEX(Trigo!$E75:$Z75,MIN(R$6-$G$3,22))&lt;&gt;""),Trigo!$E75:INDEX(Trigo!$E75:$Z75,MIN(R$6-$G$3,22))),0)))))</f>
        <v>0</v>
      </c>
      <c r="S77" s="27" t="n">
        <f aca="false">IF(COUNT(Trigo!$E75:$Z75)=0,0,MAX(0,IF((S$6-$E$3)&lt;1,0,IFERROR(LOOKUP(2,1/(Trigo!$E75:INDEX(Trigo!$E75:$Z75,MIN(S$6-$E$3,22))&lt;&gt;""),Trigo!$E75:INDEX(Trigo!$E75:$Z75,MIN(S$6-$E$3,22))),0))-IF($G$2,0,IF((S$6-$G$3)&lt;1,0,IFERROR(LOOKUP(2,1/(Trigo!$E75:INDEX(Trigo!$E75:$Z75,MIN(S$6-$G$3,22))&lt;&gt;""),Trigo!$E75:INDEX(Trigo!$E75:$Z75,MIN(S$6-$G$3,22))),0)))))</f>
        <v>0</v>
      </c>
      <c r="T77" s="27" t="n">
        <f aca="false">IF(COUNT(Trigo!$E75:$Z75)=0,0,MAX(0,IF((T$6-$E$3)&lt;1,0,IFERROR(LOOKUP(2,1/(Trigo!$E75:INDEX(Trigo!$E75:$Z75,MIN(T$6-$E$3,22))&lt;&gt;""),Trigo!$E75:INDEX(Trigo!$E75:$Z75,MIN(T$6-$E$3,22))),0))-IF($G$2,0,IF((T$6-$G$3)&lt;1,0,IFERROR(LOOKUP(2,1/(Trigo!$E75:INDEX(Trigo!$E75:$Z75,MIN(T$6-$G$3,22))&lt;&gt;""),Trigo!$E75:INDEX(Trigo!$E75:$Z75,MIN(T$6-$G$3,22))),0)))))</f>
        <v>0</v>
      </c>
      <c r="U77" s="27" t="n">
        <f aca="false">IF(COUNT(Trigo!$E75:$Z75)=0,0,MAX(0,IF((U$6-$E$3)&lt;1,0,IFERROR(LOOKUP(2,1/(Trigo!$E75:INDEX(Trigo!$E75:$Z75,MIN(U$6-$E$3,22))&lt;&gt;""),Trigo!$E75:INDEX(Trigo!$E75:$Z75,MIN(U$6-$E$3,22))),0))-IF($G$2,0,IF((U$6-$G$3)&lt;1,0,IFERROR(LOOKUP(2,1/(Trigo!$E75:INDEX(Trigo!$E75:$Z75,MIN(U$6-$G$3,22))&lt;&gt;""),Trigo!$E75:INDEX(Trigo!$E75:$Z75,MIN(U$6-$G$3,22))),0)))))</f>
        <v>0</v>
      </c>
      <c r="V77" s="27" t="n">
        <f aca="false">IF(COUNT(Trigo!$E75:$Z75)=0,0,MAX(0,IF((V$6-$E$3)&lt;1,0,IFERROR(LOOKUP(2,1/(Trigo!$E75:INDEX(Trigo!$E75:$Z75,MIN(V$6-$E$3,22))&lt;&gt;""),Trigo!$E75:INDEX(Trigo!$E75:$Z75,MIN(V$6-$E$3,22))),0))-IF($G$2,0,IF((V$6-$G$3)&lt;1,0,IFERROR(LOOKUP(2,1/(Trigo!$E75:INDEX(Trigo!$E75:$Z75,MIN(V$6-$G$3,22))&lt;&gt;""),Trigo!$E75:INDEX(Trigo!$E75:$Z75,MIN(V$6-$G$3,22))),0)))))</f>
        <v>0</v>
      </c>
      <c r="W77" s="27" t="n">
        <f aca="false">IF(COUNT(Trigo!$E75:$Z75)=0,0,MAX(0,IF((W$6-$E$3)&lt;1,0,IFERROR(LOOKUP(2,1/(Trigo!$E75:INDEX(Trigo!$E75:$Z75,MIN(W$6-$E$3,22))&lt;&gt;""),Trigo!$E75:INDEX(Trigo!$E75:$Z75,MIN(W$6-$E$3,22))),0))-IF($G$2,0,IF((W$6-$G$3)&lt;1,0,IFERROR(LOOKUP(2,1/(Trigo!$E75:INDEX(Trigo!$E75:$Z75,MIN(W$6-$G$3,22))&lt;&gt;""),Trigo!$E75:INDEX(Trigo!$E75:$Z75,MIN(W$6-$G$3,22))),0)))))</f>
        <v>0</v>
      </c>
      <c r="X77" s="27" t="n">
        <f aca="false">IF(COUNT(Trigo!$E75:$Z75)=0,0,MAX(0,IF((X$6-$E$3)&lt;1,0,IFERROR(LOOKUP(2,1/(Trigo!$E75:INDEX(Trigo!$E75:$Z75,MIN(X$6-$E$3,22))&lt;&gt;""),Trigo!$E75:INDEX(Trigo!$E75:$Z75,MIN(X$6-$E$3,22))),0))-IF($G$2,0,IF((X$6-$G$3)&lt;1,0,IFERROR(LOOKUP(2,1/(Trigo!$E75:INDEX(Trigo!$E75:$Z75,MIN(X$6-$G$3,22))&lt;&gt;""),Trigo!$E75:INDEX(Trigo!$E75:$Z75,MIN(X$6-$G$3,22))),0)))))</f>
        <v>0</v>
      </c>
      <c r="Y77" s="27" t="n">
        <f aca="false">IF(COUNT(Trigo!$E75:$Z75)=0,0,MAX(0,IF((Y$6-$E$3)&lt;1,0,IFERROR(LOOKUP(2,1/(Trigo!$E75:INDEX(Trigo!$E75:$Z75,MIN(Y$6-$E$3,22))&lt;&gt;""),Trigo!$E75:INDEX(Trigo!$E75:$Z75,MIN(Y$6-$E$3,22))),0))-IF($G$2,0,IF((Y$6-$G$3)&lt;1,0,IFERROR(LOOKUP(2,1/(Trigo!$E75:INDEX(Trigo!$E75:$Z75,MIN(Y$6-$G$3,22))&lt;&gt;""),Trigo!$E75:INDEX(Trigo!$E75:$Z75,MIN(Y$6-$G$3,22))),0)))))</f>
        <v>0</v>
      </c>
      <c r="Z77" s="27" t="n">
        <f aca="false">IF(COUNT(Trigo!$E75:$Z75)=0,0,MAX(0,IF((Z$6-$E$3)&lt;1,0,IFERROR(LOOKUP(2,1/(Trigo!$E75:INDEX(Trigo!$E75:$Z75,MIN(Z$6-$E$3,22))&lt;&gt;""),Trigo!$E75:INDEX(Trigo!$E75:$Z75,MIN(Z$6-$E$3,22))),0))-IF($G$2,0,IF((Z$6-$G$3)&lt;1,0,IFERROR(LOOKUP(2,1/(Trigo!$E75:INDEX(Trigo!$E75:$Z75,MIN(Z$6-$G$3,22))&lt;&gt;""),Trigo!$E75:INDEX(Trigo!$E75:$Z75,MIN(Z$6-$G$3,22))),0)))))</f>
        <v>0</v>
      </c>
      <c r="AA77" s="27" t="n">
        <f aca="false">IF(COUNT(Trigo!$E75:$Z75)=0,0,MAX(0,IF((AA$6-$E$3)&lt;1,0,IFERROR(LOOKUP(2,1/(Trigo!$E75:INDEX(Trigo!$E75:$Z75,MIN(AA$6-$E$3,22))&lt;&gt;""),Trigo!$E75:INDEX(Trigo!$E75:$Z75,MIN(AA$6-$E$3,22))),0))-IF($G$2,0,IF((AA$6-$G$3)&lt;1,0,IFERROR(LOOKUP(2,1/(Trigo!$E75:INDEX(Trigo!$E75:$Z75,MIN(AA$6-$G$3,22))&lt;&gt;""),Trigo!$E75:INDEX(Trigo!$E75:$Z75,MIN(AA$6-$G$3,22))),0)))))</f>
        <v>0</v>
      </c>
      <c r="AB77" s="27" t="n">
        <f aca="false">IF(COUNT(Trigo!$E75:$Z75)=0,0,MAX(0,IF((AB$6-$E$3)&lt;1,0,IFERROR(LOOKUP(2,1/(Trigo!$E75:INDEX(Trigo!$E75:$Z75,MIN(AB$6-$E$3,22))&lt;&gt;""),Trigo!$E75:INDEX(Trigo!$E75:$Z75,MIN(AB$6-$E$3,22))),0))-IF($G$2,0,IF((AB$6-$G$3)&lt;1,0,IFERROR(LOOKUP(2,1/(Trigo!$E75:INDEX(Trigo!$E75:$Z75,MIN(AB$6-$G$3,22))&lt;&gt;""),Trigo!$E75:INDEX(Trigo!$E75:$Z75,MIN(AB$6-$G$3,22))),0)))))</f>
        <v>0</v>
      </c>
      <c r="AC77" s="27" t="n">
        <f aca="false">IF(COUNT(Trigo!$E75:$Z75)=0,0,MAX(0,IF((AC$6-$E$3)&lt;1,0,IFERROR(LOOKUP(2,1/(Trigo!$E75:INDEX(Trigo!$E75:$Z75,MIN(AC$6-$E$3,22))&lt;&gt;""),Trigo!$E75:INDEX(Trigo!$E75:$Z75,MIN(AC$6-$E$3,22))),0))-IF($G$2,0,IF((AC$6-$G$3)&lt;1,0,IFERROR(LOOKUP(2,1/(Trigo!$E75:INDEX(Trigo!$E75:$Z75,MIN(AC$6-$G$3,22))&lt;&gt;""),Trigo!$E75:INDEX(Trigo!$E75:$Z75,MIN(AC$6-$G$3,22))),0)))))</f>
        <v>0</v>
      </c>
      <c r="AD77" s="27" t="n">
        <f aca="false">IF(COUNT(Trigo!$E75:$Z75)=0,0,MAX(0,IF((AD$6-$E$3)&lt;1,0,IFERROR(LOOKUP(2,1/(Trigo!$E75:INDEX(Trigo!$E75:$Z75,MIN(AD$6-$E$3,22))&lt;&gt;""),Trigo!$E75:INDEX(Trigo!$E75:$Z75,MIN(AD$6-$E$3,22))),0))-IF($G$2,0,IF((AD$6-$G$3)&lt;1,0,IFERROR(LOOKUP(2,1/(Trigo!$E75:INDEX(Trigo!$E75:$Z75,MIN(AD$6-$G$3,22))&lt;&gt;""),Trigo!$E75:INDEX(Trigo!$E75:$Z75,MIN(AD$6-$G$3,22))),0)))))</f>
        <v>0</v>
      </c>
      <c r="AE77" s="27" t="n">
        <f aca="false">IF(COUNT(Trigo!$E75:$Z75)=0,0,MAX(0,IF((AE$6-$E$3)&lt;1,0,IFERROR(LOOKUP(2,1/(Trigo!$E75:INDEX(Trigo!$E75:$Z75,MIN(AE$6-$E$3,22))&lt;&gt;""),Trigo!$E75:INDEX(Trigo!$E75:$Z75,MIN(AE$6-$E$3,22))),0))-IF($G$2,0,IF((AE$6-$G$3)&lt;1,0,IFERROR(LOOKUP(2,1/(Trigo!$E75:INDEX(Trigo!$E75:$Z75,MIN(AE$6-$G$3,22))&lt;&gt;""),Trigo!$E75:INDEX(Trigo!$E75:$Z75,MIN(AE$6-$G$3,22))),0)))))</f>
        <v>0</v>
      </c>
      <c r="AF77" s="27" t="n">
        <f aca="false">IF(COUNT(Trigo!$E75:$Z75)=0,0,MAX(0,IF((AF$6-$E$3)&lt;1,0,IFERROR(LOOKUP(2,1/(Trigo!$E75:INDEX(Trigo!$E75:$Z75,MIN(AF$6-$E$3,22))&lt;&gt;""),Trigo!$E75:INDEX(Trigo!$E75:$Z75,MIN(AF$6-$E$3,22))),0))-IF($G$2,0,IF((AF$6-$G$3)&lt;1,0,IFERROR(LOOKUP(2,1/(Trigo!$E75:INDEX(Trigo!$E75:$Z75,MIN(AF$6-$G$3,22))&lt;&gt;""),Trigo!$E75:INDEX(Trigo!$E75:$Z75,MIN(AF$6-$G$3,22))),0)))))</f>
        <v>0</v>
      </c>
      <c r="AG77" s="27" t="n">
        <f aca="false">IF(COUNT(Trigo!$E75:$Z75)=0,0,MAX(0,IF((AG$6-$E$3)&lt;1,0,IFERROR(LOOKUP(2,1/(Trigo!$E75:INDEX(Trigo!$E75:$Z75,MIN(AG$6-$E$3,22))&lt;&gt;""),Trigo!$E75:INDEX(Trigo!$E75:$Z75,MIN(AG$6-$E$3,22))),0))-IF($G$2,0,IF((AG$6-$G$3)&lt;1,0,IFERROR(LOOKUP(2,1/(Trigo!$E75:INDEX(Trigo!$E75:$Z75,MIN(AG$6-$G$3,22))&lt;&gt;""),Trigo!$E75:INDEX(Trigo!$E75:$Z75,MIN(AG$6-$G$3,22))),0)))))</f>
        <v>0</v>
      </c>
      <c r="AH77" s="27" t="n">
        <f aca="false">IF(COUNT(Trigo!$E75:$Z75)=0,0,MAX(0,IF((AH$6-$E$3)&lt;1,0,IFERROR(LOOKUP(2,1/(Trigo!$E75:INDEX(Trigo!$E75:$Z75,MIN(AH$6-$E$3,22))&lt;&gt;""),Trigo!$E75:INDEX(Trigo!$E75:$Z75,MIN(AH$6-$E$3,22))),0))-IF($G$2,0,IF((AH$6-$G$3)&lt;1,0,IFERROR(LOOKUP(2,1/(Trigo!$E75:INDEX(Trigo!$E75:$Z75,MIN(AH$6-$G$3,22))&lt;&gt;""),Trigo!$E75:INDEX(Trigo!$E75:$Z75,MIN(AH$6-$G$3,22))),0)))))</f>
        <v>0</v>
      </c>
      <c r="AI77" s="27" t="n">
        <f aca="false">IF(COUNT(Trigo!$E75:$Z75)=0,0,MAX(0,IF((AI$6-$E$3)&lt;1,0,IFERROR(LOOKUP(2,1/(Trigo!$E75:INDEX(Trigo!$E75:$Z75,MIN(AI$6-$E$3,22))&lt;&gt;""),Trigo!$E75:INDEX(Trigo!$E75:$Z75,MIN(AI$6-$E$3,22))),0))-IF($G$2,0,IF((AI$6-$G$3)&lt;1,0,IFERROR(LOOKUP(2,1/(Trigo!$E75:INDEX(Trigo!$E75:$Z75,MIN(AI$6-$G$3,22))&lt;&gt;""),Trigo!$E75:INDEX(Trigo!$E75:$Z75,MIN(AI$6-$G$3,22))),0)))))</f>
        <v>0</v>
      </c>
      <c r="AJ77" s="27" t="n">
        <f aca="false">IF(COUNT(Trigo!$E75:$Z75)=0,0,MAX(0,IF((AJ$6-$E$3)&lt;1,0,IFERROR(LOOKUP(2,1/(Trigo!$E75:INDEX(Trigo!$E75:$Z75,MIN(AJ$6-$E$3,22))&lt;&gt;""),Trigo!$E75:INDEX(Trigo!$E75:$Z75,MIN(AJ$6-$E$3,22))),0))-IF($G$2,0,IF((AJ$6-$G$3)&lt;1,0,IFERROR(LOOKUP(2,1/(Trigo!$E75:INDEX(Trigo!$E75:$Z75,MIN(AJ$6-$G$3,22))&lt;&gt;""),Trigo!$E75:INDEX(Trigo!$E75:$Z75,MIN(AJ$6-$G$3,22))),0)))))</f>
        <v>0</v>
      </c>
      <c r="AK77" s="27" t="n">
        <f aca="false">IF(COUNT(Trigo!$E75:$Z75)=0,0,MAX(0,IF((AK$6-$E$3)&lt;1,0,IFERROR(LOOKUP(2,1/(Trigo!$E75:INDEX(Trigo!$E75:$Z75,MIN(AK$6-$E$3,22))&lt;&gt;""),Trigo!$E75:INDEX(Trigo!$E75:$Z75,MIN(AK$6-$E$3,22))),0))-IF($G$2,0,IF((AK$6-$G$3)&lt;1,0,IFERROR(LOOKUP(2,1/(Trigo!$E75:INDEX(Trigo!$E75:$Z75,MIN(AK$6-$G$3,22))&lt;&gt;""),Trigo!$E75:INDEX(Trigo!$E75:$Z75,MIN(AK$6-$G$3,22))),0)))))</f>
        <v>0</v>
      </c>
      <c r="AL77" s="27" t="n">
        <f aca="false">IF(COUNT(Trigo!$E75:$Z75)=0,0,MAX(0,IF((AL$6-$E$3)&lt;1,0,IFERROR(LOOKUP(2,1/(Trigo!$E75:INDEX(Trigo!$E75:$Z75,MIN(AL$6-$E$3,22))&lt;&gt;""),Trigo!$E75:INDEX(Trigo!$E75:$Z75,MIN(AL$6-$E$3,22))),0))-IF($G$2,0,IF((AL$6-$G$3)&lt;1,0,IFERROR(LOOKUP(2,1/(Trigo!$E75:INDEX(Trigo!$E75:$Z75,MIN(AL$6-$G$3,22))&lt;&gt;""),Trigo!$E75:INDEX(Trigo!$E75:$Z75,MIN(AL$6-$G$3,22))),0)))))</f>
        <v>0</v>
      </c>
      <c r="AM77" s="27" t="n">
        <f aca="false">IF(COUNT(Trigo!$E75:$Z75)=0,0,MAX(0,IF((AM$6-$E$3)&lt;1,0,IFERROR(LOOKUP(2,1/(Trigo!$E75:INDEX(Trigo!$E75:$Z75,MIN(AM$6-$E$3,22))&lt;&gt;""),Trigo!$E75:INDEX(Trigo!$E75:$Z75,MIN(AM$6-$E$3,22))),0))-IF($G$2,0,IF((AM$6-$G$3)&lt;1,0,IFERROR(LOOKUP(2,1/(Trigo!$E75:INDEX(Trigo!$E75:$Z75,MIN(AM$6-$G$3,22))&lt;&gt;""),Trigo!$E75:INDEX(Trigo!$E75:$Z75,MIN(AM$6-$G$3,22))),0)))))</f>
        <v>0</v>
      </c>
      <c r="AN77" s="27" t="n">
        <f aca="false">IF(COUNT(Trigo!$E75:$Z75)=0,0,MAX(0,IF((AN$6-$E$3)&lt;1,0,IFERROR(LOOKUP(2,1/(Trigo!$E75:INDEX(Trigo!$E75:$Z75,MIN(AN$6-$E$3,22))&lt;&gt;""),Trigo!$E75:INDEX(Trigo!$E75:$Z75,MIN(AN$6-$E$3,22))),0))-IF($G$2,0,IF((AN$6-$G$3)&lt;1,0,IFERROR(LOOKUP(2,1/(Trigo!$E75:INDEX(Trigo!$E75:$Z75,MIN(AN$6-$G$3,22))&lt;&gt;""),Trigo!$E75:INDEX(Trigo!$E75:$Z75,MIN(AN$6-$G$3,22))),0)))))</f>
        <v>0</v>
      </c>
      <c r="AO77" s="27" t="n">
        <f aca="false">IF(COUNT(Trigo!$E75:$Z75)=0,0,MAX(0,IF((AO$6-$E$3)&lt;1,0,IFERROR(LOOKUP(2,1/(Trigo!$E75:INDEX(Trigo!$E75:$Z75,MIN(AO$6-$E$3,22))&lt;&gt;""),Trigo!$E75:INDEX(Trigo!$E75:$Z75,MIN(AO$6-$E$3,22))),0))-IF($G$2,0,IF((AO$6-$G$3)&lt;1,0,IFERROR(LOOKUP(2,1/(Trigo!$E75:INDEX(Trigo!$E75:$Z75,MIN(AO$6-$G$3,22))&lt;&gt;""),Trigo!$E75:INDEX(Trigo!$E75:$Z75,MIN(AO$6-$G$3,22))),0)))))</f>
        <v>0</v>
      </c>
      <c r="AP77" s="27" t="n">
        <f aca="false">IF(COUNT(Trigo!$E75:$Z75)=0,0,MAX(0,IF((AP$6-$E$3)&lt;1,0,IFERROR(LOOKUP(2,1/(Trigo!$E75:INDEX(Trigo!$E75:$Z75,MIN(AP$6-$E$3,22))&lt;&gt;""),Trigo!$E75:INDEX(Trigo!$E75:$Z75,MIN(AP$6-$E$3,22))),0))-IF($G$2,0,IF((AP$6-$G$3)&lt;1,0,IFERROR(LOOKUP(2,1/(Trigo!$E75:INDEX(Trigo!$E75:$Z75,MIN(AP$6-$G$3,22))&lt;&gt;""),Trigo!$E75:INDEX(Trigo!$E75:$Z75,MIN(AP$6-$G$3,22))),0)))))</f>
        <v>0</v>
      </c>
      <c r="AQ77" s="27" t="n">
        <f aca="false">IF(COUNT(Trigo!$E75:$Z75)=0,0,MAX(0,IF((AQ$6-$E$3)&lt;1,0,IFERROR(LOOKUP(2,1/(Trigo!$E75:INDEX(Trigo!$E75:$Z75,MIN(AQ$6-$E$3,22))&lt;&gt;""),Trigo!$E75:INDEX(Trigo!$E75:$Z75,MIN(AQ$6-$E$3,22))),0))-IF($G$2,0,IF((AQ$6-$G$3)&lt;1,0,IFERROR(LOOKUP(2,1/(Trigo!$E75:INDEX(Trigo!$E75:$Z75,MIN(AQ$6-$G$3,22))&lt;&gt;""),Trigo!$E75:INDEX(Trigo!$E75:$Z75,MIN(AQ$6-$G$3,22))),0)))))</f>
        <v>0</v>
      </c>
      <c r="AR77" s="27" t="n">
        <f aca="false">IF(COUNT(Trigo!$E75:$Z75)=0,0,MAX(0,IF((AR$6-$E$3)&lt;1,0,IFERROR(LOOKUP(2,1/(Trigo!$E75:INDEX(Trigo!$E75:$Z75,MIN(AR$6-$E$3,22))&lt;&gt;""),Trigo!$E75:INDEX(Trigo!$E75:$Z75,MIN(AR$6-$E$3,22))),0))-IF($G$2,0,IF((AR$6-$G$3)&lt;1,0,IFERROR(LOOKUP(2,1/(Trigo!$E75:INDEX(Trigo!$E75:$Z75,MIN(AR$6-$G$3,22))&lt;&gt;""),Trigo!$E75:INDEX(Trigo!$E75:$Z75,MIN(AR$6-$G$3,22))),0)))))</f>
        <v>0</v>
      </c>
      <c r="AS77" s="27" t="n">
        <f aca="false">IF(COUNT(Trigo!$E75:$Z75)=0,0,MAX(0,IF((AS$6-$E$3)&lt;1,0,IFERROR(LOOKUP(2,1/(Trigo!$E75:INDEX(Trigo!$E75:$Z75,MIN(AS$6-$E$3,22))&lt;&gt;""),Trigo!$E75:INDEX(Trigo!$E75:$Z75,MIN(AS$6-$E$3,22))),0))-IF($G$2,0,IF((AS$6-$G$3)&lt;1,0,IFERROR(LOOKUP(2,1/(Trigo!$E75:INDEX(Trigo!$E75:$Z75,MIN(AS$6-$G$3,22))&lt;&gt;""),Trigo!$E75:INDEX(Trigo!$E75:$Z75,MIN(AS$6-$G$3,22))),0)))))</f>
        <v>0</v>
      </c>
      <c r="AT77" s="27" t="n">
        <f aca="false">IF(COUNT(Trigo!$E75:$Z75)=0,0,MAX(0,IF((AT$6-$E$3)&lt;1,0,IFERROR(LOOKUP(2,1/(Trigo!$E75:INDEX(Trigo!$E75:$Z75,MIN(AT$6-$E$3,22))&lt;&gt;""),Trigo!$E75:INDEX(Trigo!$E75:$Z75,MIN(AT$6-$E$3,22))),0))-IF($G$2,0,IF((AT$6-$G$3)&lt;1,0,IFERROR(LOOKUP(2,1/(Trigo!$E75:INDEX(Trigo!$E75:$Z75,MIN(AT$6-$G$3,22))&lt;&gt;""),Trigo!$E75:INDEX(Trigo!$E75:$Z75,MIN(AT$6-$G$3,22))),0)))))</f>
        <v>0</v>
      </c>
      <c r="AU77" s="27" t="n">
        <f aca="false">IF(COUNT(Trigo!$E75:$Z75)=0,0,MAX(0,IF((AU$6-$E$3)&lt;1,0,IFERROR(LOOKUP(2,1/(Trigo!$E75:INDEX(Trigo!$E75:$Z75,MIN(AU$6-$E$3,22))&lt;&gt;""),Trigo!$E75:INDEX(Trigo!$E75:$Z75,MIN(AU$6-$E$3,22))),0))-IF($G$2,0,IF((AU$6-$G$3)&lt;1,0,IFERROR(LOOKUP(2,1/(Trigo!$E75:INDEX(Trigo!$E75:$Z75,MIN(AU$6-$G$3,22))&lt;&gt;""),Trigo!$E75:INDEX(Trigo!$E75:$Z75,MIN(AU$6-$G$3,22))),0)))))</f>
        <v>0</v>
      </c>
      <c r="AV77" s="27" t="n">
        <f aca="false">IF(COUNT(Trigo!$E75:$Z75)=0,0,MAX(0,IF((AV$6-$E$3)&lt;1,0,IFERROR(LOOKUP(2,1/(Trigo!$E75:INDEX(Trigo!$E75:$Z75,MIN(AV$6-$E$3,22))&lt;&gt;""),Trigo!$E75:INDEX(Trigo!$E75:$Z75,MIN(AV$6-$E$3,22))),0))-IF($G$2,0,IF((AV$6-$G$3)&lt;1,0,IFERROR(LOOKUP(2,1/(Trigo!$E75:INDEX(Trigo!$E75:$Z75,MIN(AV$6-$G$3,22))&lt;&gt;""),Trigo!$E75:INDEX(Trigo!$E75:$Z75,MIN(AV$6-$G$3,22))),0)))))</f>
        <v>0</v>
      </c>
      <c r="AW77" s="27" t="n">
        <f aca="false">IF(COUNT(Trigo!$E75:$Z75)=0,0,MAX(0,IF((AW$6-$E$3)&lt;1,0,IFERROR(LOOKUP(2,1/(Trigo!$E75:INDEX(Trigo!$E75:$Z75,MIN(AW$6-$E$3,22))&lt;&gt;""),Trigo!$E75:INDEX(Trigo!$E75:$Z75,MIN(AW$6-$E$3,22))),0))-IF($G$2,0,IF((AW$6-$G$3)&lt;1,0,IFERROR(LOOKUP(2,1/(Trigo!$E75:INDEX(Trigo!$E75:$Z75,MIN(AW$6-$G$3,22))&lt;&gt;""),Trigo!$E75:INDEX(Trigo!$E75:$Z75,MIN(AW$6-$G$3,22))),0)))))</f>
        <v>0</v>
      </c>
      <c r="AX77" s="27" t="n">
        <f aca="false">IF(COUNT(Trigo!$E75:$Z75)=0,0,MAX(0,IF((AX$6-$E$3)&lt;1,0,IFERROR(LOOKUP(2,1/(Trigo!$E75:INDEX(Trigo!$E75:$Z75,MIN(AX$6-$E$3,22))&lt;&gt;""),Trigo!$E75:INDEX(Trigo!$E75:$Z75,MIN(AX$6-$E$3,22))),0))-IF($G$2,0,IF((AX$6-$G$3)&lt;1,0,IFERROR(LOOKUP(2,1/(Trigo!$E75:INDEX(Trigo!$E75:$Z75,MIN(AX$6-$G$3,22))&lt;&gt;""),Trigo!$E75:INDEX(Trigo!$E75:$Z75,MIN(AX$6-$G$3,22))),0)))))</f>
        <v>0</v>
      </c>
      <c r="AY77" s="27" t="n">
        <f aca="false">IF(COUNT(Trigo!$E75:$Z75)=0,0,MAX(0,IF((AY$6-$E$3)&lt;1,0,IFERROR(LOOKUP(2,1/(Trigo!$E75:INDEX(Trigo!$E75:$Z75,MIN(AY$6-$E$3,22))&lt;&gt;""),Trigo!$E75:INDEX(Trigo!$E75:$Z75,MIN(AY$6-$E$3,22))),0))-IF($G$2,0,IF((AY$6-$G$3)&lt;1,0,IFERROR(LOOKUP(2,1/(Trigo!$E75:INDEX(Trigo!$E75:$Z75,MIN(AY$6-$G$3,22))&lt;&gt;""),Trigo!$E75:INDEX(Trigo!$E75:$Z75,MIN(AY$6-$G$3,22))),0)))))</f>
        <v>0</v>
      </c>
      <c r="AZ77" s="27" t="n">
        <f aca="false">IF(COUNT(Trigo!$E75:$Z75)=0,0,MAX(0,IF((AZ$6-$E$3)&lt;1,0,IFERROR(LOOKUP(2,1/(Trigo!$E75:INDEX(Trigo!$E75:$Z75,MIN(AZ$6-$E$3,22))&lt;&gt;""),Trigo!$E75:INDEX(Trigo!$E75:$Z75,MIN(AZ$6-$E$3,22))),0))-IF($G$2,0,IF((AZ$6-$G$3)&lt;1,0,IFERROR(LOOKUP(2,1/(Trigo!$E75:INDEX(Trigo!$E75:$Z75,MIN(AZ$6-$G$3,22))&lt;&gt;""),Trigo!$E75:INDEX(Trigo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IF(COUNT(Trigo!$E76:$Z76)&gt;0,N(Trigo!$D76),0)</f>
        <v>0</v>
      </c>
      <c r="E78" s="27" t="n">
        <f aca="false">IF(COUNT(Trigo!$E76:$Z76)=0,0,MAX(0,IF((E$6-$E$3)&lt;1,0,IFERROR(LOOKUP(2,1/(Trigo!$E76:INDEX(Trigo!$E76:$Z76,MIN(E$6-$E$3,22))&lt;&gt;""),Trigo!$E76:INDEX(Trigo!$E76:$Z76,MIN(E$6-$E$3,22))),0))-IF($G$2,0,IF((E$6-$G$3)&lt;1,0,IFERROR(LOOKUP(2,1/(Trigo!$E76:INDEX(Trigo!$E76:$Z76,MIN(E$6-$G$3,22))&lt;&gt;""),Trigo!$E76:INDEX(Trigo!$E76:$Z76,MIN(E$6-$G$3,22))),0)))))</f>
        <v>0</v>
      </c>
      <c r="F78" s="27" t="n">
        <f aca="false">IF(COUNT(Trigo!$E76:$Z76)=0,0,MAX(0,IF((F$6-$E$3)&lt;1,0,IFERROR(LOOKUP(2,1/(Trigo!$E76:INDEX(Trigo!$E76:$Z76,MIN(F$6-$E$3,22))&lt;&gt;""),Trigo!$E76:INDEX(Trigo!$E76:$Z76,MIN(F$6-$E$3,22))),0))-IF($G$2,0,IF((F$6-$G$3)&lt;1,0,IFERROR(LOOKUP(2,1/(Trigo!$E76:INDEX(Trigo!$E76:$Z76,MIN(F$6-$G$3,22))&lt;&gt;""),Trigo!$E76:INDEX(Trigo!$E76:$Z76,MIN(F$6-$G$3,22))),0)))))</f>
        <v>0</v>
      </c>
      <c r="G78" s="27" t="n">
        <f aca="false">IF(COUNT(Trigo!$E76:$Z76)=0,0,MAX(0,IF((G$6-$E$3)&lt;1,0,IFERROR(LOOKUP(2,1/(Trigo!$E76:INDEX(Trigo!$E76:$Z76,MIN(G$6-$E$3,22))&lt;&gt;""),Trigo!$E76:INDEX(Trigo!$E76:$Z76,MIN(G$6-$E$3,22))),0))-IF($G$2,0,IF((G$6-$G$3)&lt;1,0,IFERROR(LOOKUP(2,1/(Trigo!$E76:INDEX(Trigo!$E76:$Z76,MIN(G$6-$G$3,22))&lt;&gt;""),Trigo!$E76:INDEX(Trigo!$E76:$Z76,MIN(G$6-$G$3,22))),0)))))</f>
        <v>0</v>
      </c>
      <c r="H78" s="27" t="n">
        <f aca="false">IF(COUNT(Trigo!$E76:$Z76)=0,0,MAX(0,IF((H$6-$E$3)&lt;1,0,IFERROR(LOOKUP(2,1/(Trigo!$E76:INDEX(Trigo!$E76:$Z76,MIN(H$6-$E$3,22))&lt;&gt;""),Trigo!$E76:INDEX(Trigo!$E76:$Z76,MIN(H$6-$E$3,22))),0))-IF($G$2,0,IF((H$6-$G$3)&lt;1,0,IFERROR(LOOKUP(2,1/(Trigo!$E76:INDEX(Trigo!$E76:$Z76,MIN(H$6-$G$3,22))&lt;&gt;""),Trigo!$E76:INDEX(Trigo!$E76:$Z76,MIN(H$6-$G$3,22))),0)))))</f>
        <v>0</v>
      </c>
      <c r="I78" s="27" t="n">
        <f aca="false">IF(COUNT(Trigo!$E76:$Z76)=0,0,MAX(0,IF((I$6-$E$3)&lt;1,0,IFERROR(LOOKUP(2,1/(Trigo!$E76:INDEX(Trigo!$E76:$Z76,MIN(I$6-$E$3,22))&lt;&gt;""),Trigo!$E76:INDEX(Trigo!$E76:$Z76,MIN(I$6-$E$3,22))),0))-IF($G$2,0,IF((I$6-$G$3)&lt;1,0,IFERROR(LOOKUP(2,1/(Trigo!$E76:INDEX(Trigo!$E76:$Z76,MIN(I$6-$G$3,22))&lt;&gt;""),Trigo!$E76:INDEX(Trigo!$E76:$Z76,MIN(I$6-$G$3,22))),0)))))</f>
        <v>0</v>
      </c>
      <c r="J78" s="27" t="n">
        <f aca="false">IF(COUNT(Trigo!$E76:$Z76)=0,0,MAX(0,IF((J$6-$E$3)&lt;1,0,IFERROR(LOOKUP(2,1/(Trigo!$E76:INDEX(Trigo!$E76:$Z76,MIN(J$6-$E$3,22))&lt;&gt;""),Trigo!$E76:INDEX(Trigo!$E76:$Z76,MIN(J$6-$E$3,22))),0))-IF($G$2,0,IF((J$6-$G$3)&lt;1,0,IFERROR(LOOKUP(2,1/(Trigo!$E76:INDEX(Trigo!$E76:$Z76,MIN(J$6-$G$3,22))&lt;&gt;""),Trigo!$E76:INDEX(Trigo!$E76:$Z76,MIN(J$6-$G$3,22))),0)))))</f>
        <v>0</v>
      </c>
      <c r="K78" s="27" t="n">
        <f aca="false">IF(COUNT(Trigo!$E76:$Z76)=0,0,MAX(0,IF((K$6-$E$3)&lt;1,0,IFERROR(LOOKUP(2,1/(Trigo!$E76:INDEX(Trigo!$E76:$Z76,MIN(K$6-$E$3,22))&lt;&gt;""),Trigo!$E76:INDEX(Trigo!$E76:$Z76,MIN(K$6-$E$3,22))),0))-IF($G$2,0,IF((K$6-$G$3)&lt;1,0,IFERROR(LOOKUP(2,1/(Trigo!$E76:INDEX(Trigo!$E76:$Z76,MIN(K$6-$G$3,22))&lt;&gt;""),Trigo!$E76:INDEX(Trigo!$E76:$Z76,MIN(K$6-$G$3,22))),0)))))</f>
        <v>0</v>
      </c>
      <c r="L78" s="27" t="n">
        <f aca="false">IF(COUNT(Trigo!$E76:$Z76)=0,0,MAX(0,IF((L$6-$E$3)&lt;1,0,IFERROR(LOOKUP(2,1/(Trigo!$E76:INDEX(Trigo!$E76:$Z76,MIN(L$6-$E$3,22))&lt;&gt;""),Trigo!$E76:INDEX(Trigo!$E76:$Z76,MIN(L$6-$E$3,22))),0))-IF($G$2,0,IF((L$6-$G$3)&lt;1,0,IFERROR(LOOKUP(2,1/(Trigo!$E76:INDEX(Trigo!$E76:$Z76,MIN(L$6-$G$3,22))&lt;&gt;""),Trigo!$E76:INDEX(Trigo!$E76:$Z76,MIN(L$6-$G$3,22))),0)))))</f>
        <v>0</v>
      </c>
      <c r="M78" s="27" t="n">
        <f aca="false">IF(COUNT(Trigo!$E76:$Z76)=0,0,MAX(0,IF((M$6-$E$3)&lt;1,0,IFERROR(LOOKUP(2,1/(Trigo!$E76:INDEX(Trigo!$E76:$Z76,MIN(M$6-$E$3,22))&lt;&gt;""),Trigo!$E76:INDEX(Trigo!$E76:$Z76,MIN(M$6-$E$3,22))),0))-IF($G$2,0,IF((M$6-$G$3)&lt;1,0,IFERROR(LOOKUP(2,1/(Trigo!$E76:INDEX(Trigo!$E76:$Z76,MIN(M$6-$G$3,22))&lt;&gt;""),Trigo!$E76:INDEX(Trigo!$E76:$Z76,MIN(M$6-$G$3,22))),0)))))</f>
        <v>0</v>
      </c>
      <c r="N78" s="27" t="n">
        <f aca="false">IF(COUNT(Trigo!$E76:$Z76)=0,0,MAX(0,IF((N$6-$E$3)&lt;1,0,IFERROR(LOOKUP(2,1/(Trigo!$E76:INDEX(Trigo!$E76:$Z76,MIN(N$6-$E$3,22))&lt;&gt;""),Trigo!$E76:INDEX(Trigo!$E76:$Z76,MIN(N$6-$E$3,22))),0))-IF($G$2,0,IF((N$6-$G$3)&lt;1,0,IFERROR(LOOKUP(2,1/(Trigo!$E76:INDEX(Trigo!$E76:$Z76,MIN(N$6-$G$3,22))&lt;&gt;""),Trigo!$E76:INDEX(Trigo!$E76:$Z76,MIN(N$6-$G$3,22))),0)))))</f>
        <v>0</v>
      </c>
      <c r="O78" s="27" t="n">
        <f aca="false">IF(COUNT(Trigo!$E76:$Z76)=0,0,MAX(0,IF((O$6-$E$3)&lt;1,0,IFERROR(LOOKUP(2,1/(Trigo!$E76:INDEX(Trigo!$E76:$Z76,MIN(O$6-$E$3,22))&lt;&gt;""),Trigo!$E76:INDEX(Trigo!$E76:$Z76,MIN(O$6-$E$3,22))),0))-IF($G$2,0,IF((O$6-$G$3)&lt;1,0,IFERROR(LOOKUP(2,1/(Trigo!$E76:INDEX(Trigo!$E76:$Z76,MIN(O$6-$G$3,22))&lt;&gt;""),Trigo!$E76:INDEX(Trigo!$E76:$Z76,MIN(O$6-$G$3,22))),0)))))</f>
        <v>0</v>
      </c>
      <c r="P78" s="27" t="n">
        <f aca="false">IF(COUNT(Trigo!$E76:$Z76)=0,0,MAX(0,IF((P$6-$E$3)&lt;1,0,IFERROR(LOOKUP(2,1/(Trigo!$E76:INDEX(Trigo!$E76:$Z76,MIN(P$6-$E$3,22))&lt;&gt;""),Trigo!$E76:INDEX(Trigo!$E76:$Z76,MIN(P$6-$E$3,22))),0))-IF($G$2,0,IF((P$6-$G$3)&lt;1,0,IFERROR(LOOKUP(2,1/(Trigo!$E76:INDEX(Trigo!$E76:$Z76,MIN(P$6-$G$3,22))&lt;&gt;""),Trigo!$E76:INDEX(Trigo!$E76:$Z76,MIN(P$6-$G$3,22))),0)))))</f>
        <v>0</v>
      </c>
      <c r="Q78" s="27" t="n">
        <f aca="false">IF(COUNT(Trigo!$E76:$Z76)=0,0,MAX(0,IF((Q$6-$E$3)&lt;1,0,IFERROR(LOOKUP(2,1/(Trigo!$E76:INDEX(Trigo!$E76:$Z76,MIN(Q$6-$E$3,22))&lt;&gt;""),Trigo!$E76:INDEX(Trigo!$E76:$Z76,MIN(Q$6-$E$3,22))),0))-IF($G$2,0,IF((Q$6-$G$3)&lt;1,0,IFERROR(LOOKUP(2,1/(Trigo!$E76:INDEX(Trigo!$E76:$Z76,MIN(Q$6-$G$3,22))&lt;&gt;""),Trigo!$E76:INDEX(Trigo!$E76:$Z76,MIN(Q$6-$G$3,22))),0)))))</f>
        <v>0</v>
      </c>
      <c r="R78" s="27" t="n">
        <f aca="false">IF(COUNT(Trigo!$E76:$Z76)=0,0,MAX(0,IF((R$6-$E$3)&lt;1,0,IFERROR(LOOKUP(2,1/(Trigo!$E76:INDEX(Trigo!$E76:$Z76,MIN(R$6-$E$3,22))&lt;&gt;""),Trigo!$E76:INDEX(Trigo!$E76:$Z76,MIN(R$6-$E$3,22))),0))-IF($G$2,0,IF((R$6-$G$3)&lt;1,0,IFERROR(LOOKUP(2,1/(Trigo!$E76:INDEX(Trigo!$E76:$Z76,MIN(R$6-$G$3,22))&lt;&gt;""),Trigo!$E76:INDEX(Trigo!$E76:$Z76,MIN(R$6-$G$3,22))),0)))))</f>
        <v>0</v>
      </c>
      <c r="S78" s="27" t="n">
        <f aca="false">IF(COUNT(Trigo!$E76:$Z76)=0,0,MAX(0,IF((S$6-$E$3)&lt;1,0,IFERROR(LOOKUP(2,1/(Trigo!$E76:INDEX(Trigo!$E76:$Z76,MIN(S$6-$E$3,22))&lt;&gt;""),Trigo!$E76:INDEX(Trigo!$E76:$Z76,MIN(S$6-$E$3,22))),0))-IF($G$2,0,IF((S$6-$G$3)&lt;1,0,IFERROR(LOOKUP(2,1/(Trigo!$E76:INDEX(Trigo!$E76:$Z76,MIN(S$6-$G$3,22))&lt;&gt;""),Trigo!$E76:INDEX(Trigo!$E76:$Z76,MIN(S$6-$G$3,22))),0)))))</f>
        <v>0</v>
      </c>
      <c r="T78" s="27" t="n">
        <f aca="false">IF(COUNT(Trigo!$E76:$Z76)=0,0,MAX(0,IF((T$6-$E$3)&lt;1,0,IFERROR(LOOKUP(2,1/(Trigo!$E76:INDEX(Trigo!$E76:$Z76,MIN(T$6-$E$3,22))&lt;&gt;""),Trigo!$E76:INDEX(Trigo!$E76:$Z76,MIN(T$6-$E$3,22))),0))-IF($G$2,0,IF((T$6-$G$3)&lt;1,0,IFERROR(LOOKUP(2,1/(Trigo!$E76:INDEX(Trigo!$E76:$Z76,MIN(T$6-$G$3,22))&lt;&gt;""),Trigo!$E76:INDEX(Trigo!$E76:$Z76,MIN(T$6-$G$3,22))),0)))))</f>
        <v>0</v>
      </c>
      <c r="U78" s="27" t="n">
        <f aca="false">IF(COUNT(Trigo!$E76:$Z76)=0,0,MAX(0,IF((U$6-$E$3)&lt;1,0,IFERROR(LOOKUP(2,1/(Trigo!$E76:INDEX(Trigo!$E76:$Z76,MIN(U$6-$E$3,22))&lt;&gt;""),Trigo!$E76:INDEX(Trigo!$E76:$Z76,MIN(U$6-$E$3,22))),0))-IF($G$2,0,IF((U$6-$G$3)&lt;1,0,IFERROR(LOOKUP(2,1/(Trigo!$E76:INDEX(Trigo!$E76:$Z76,MIN(U$6-$G$3,22))&lt;&gt;""),Trigo!$E76:INDEX(Trigo!$E76:$Z76,MIN(U$6-$G$3,22))),0)))))</f>
        <v>0</v>
      </c>
      <c r="V78" s="27" t="n">
        <f aca="false">IF(COUNT(Trigo!$E76:$Z76)=0,0,MAX(0,IF((V$6-$E$3)&lt;1,0,IFERROR(LOOKUP(2,1/(Trigo!$E76:INDEX(Trigo!$E76:$Z76,MIN(V$6-$E$3,22))&lt;&gt;""),Trigo!$E76:INDEX(Trigo!$E76:$Z76,MIN(V$6-$E$3,22))),0))-IF($G$2,0,IF((V$6-$G$3)&lt;1,0,IFERROR(LOOKUP(2,1/(Trigo!$E76:INDEX(Trigo!$E76:$Z76,MIN(V$6-$G$3,22))&lt;&gt;""),Trigo!$E76:INDEX(Trigo!$E76:$Z76,MIN(V$6-$G$3,22))),0)))))</f>
        <v>0</v>
      </c>
      <c r="W78" s="27" t="n">
        <f aca="false">IF(COUNT(Trigo!$E76:$Z76)=0,0,MAX(0,IF((W$6-$E$3)&lt;1,0,IFERROR(LOOKUP(2,1/(Trigo!$E76:INDEX(Trigo!$E76:$Z76,MIN(W$6-$E$3,22))&lt;&gt;""),Trigo!$E76:INDEX(Trigo!$E76:$Z76,MIN(W$6-$E$3,22))),0))-IF($G$2,0,IF((W$6-$G$3)&lt;1,0,IFERROR(LOOKUP(2,1/(Trigo!$E76:INDEX(Trigo!$E76:$Z76,MIN(W$6-$G$3,22))&lt;&gt;""),Trigo!$E76:INDEX(Trigo!$E76:$Z76,MIN(W$6-$G$3,22))),0)))))</f>
        <v>0</v>
      </c>
      <c r="X78" s="27" t="n">
        <f aca="false">IF(COUNT(Trigo!$E76:$Z76)=0,0,MAX(0,IF((X$6-$E$3)&lt;1,0,IFERROR(LOOKUP(2,1/(Trigo!$E76:INDEX(Trigo!$E76:$Z76,MIN(X$6-$E$3,22))&lt;&gt;""),Trigo!$E76:INDEX(Trigo!$E76:$Z76,MIN(X$6-$E$3,22))),0))-IF($G$2,0,IF((X$6-$G$3)&lt;1,0,IFERROR(LOOKUP(2,1/(Trigo!$E76:INDEX(Trigo!$E76:$Z76,MIN(X$6-$G$3,22))&lt;&gt;""),Trigo!$E76:INDEX(Trigo!$E76:$Z76,MIN(X$6-$G$3,22))),0)))))</f>
        <v>0</v>
      </c>
      <c r="Y78" s="27" t="n">
        <f aca="false">IF(COUNT(Trigo!$E76:$Z76)=0,0,MAX(0,IF((Y$6-$E$3)&lt;1,0,IFERROR(LOOKUP(2,1/(Trigo!$E76:INDEX(Trigo!$E76:$Z76,MIN(Y$6-$E$3,22))&lt;&gt;""),Trigo!$E76:INDEX(Trigo!$E76:$Z76,MIN(Y$6-$E$3,22))),0))-IF($G$2,0,IF((Y$6-$G$3)&lt;1,0,IFERROR(LOOKUP(2,1/(Trigo!$E76:INDEX(Trigo!$E76:$Z76,MIN(Y$6-$G$3,22))&lt;&gt;""),Trigo!$E76:INDEX(Trigo!$E76:$Z76,MIN(Y$6-$G$3,22))),0)))))</f>
        <v>0</v>
      </c>
      <c r="Z78" s="27" t="n">
        <f aca="false">IF(COUNT(Trigo!$E76:$Z76)=0,0,MAX(0,IF((Z$6-$E$3)&lt;1,0,IFERROR(LOOKUP(2,1/(Trigo!$E76:INDEX(Trigo!$E76:$Z76,MIN(Z$6-$E$3,22))&lt;&gt;""),Trigo!$E76:INDEX(Trigo!$E76:$Z76,MIN(Z$6-$E$3,22))),0))-IF($G$2,0,IF((Z$6-$G$3)&lt;1,0,IFERROR(LOOKUP(2,1/(Trigo!$E76:INDEX(Trigo!$E76:$Z76,MIN(Z$6-$G$3,22))&lt;&gt;""),Trigo!$E76:INDEX(Trigo!$E76:$Z76,MIN(Z$6-$G$3,22))),0)))))</f>
        <v>0</v>
      </c>
      <c r="AA78" s="27" t="n">
        <f aca="false">IF(COUNT(Trigo!$E76:$Z76)=0,0,MAX(0,IF((AA$6-$E$3)&lt;1,0,IFERROR(LOOKUP(2,1/(Trigo!$E76:INDEX(Trigo!$E76:$Z76,MIN(AA$6-$E$3,22))&lt;&gt;""),Trigo!$E76:INDEX(Trigo!$E76:$Z76,MIN(AA$6-$E$3,22))),0))-IF($G$2,0,IF((AA$6-$G$3)&lt;1,0,IFERROR(LOOKUP(2,1/(Trigo!$E76:INDEX(Trigo!$E76:$Z76,MIN(AA$6-$G$3,22))&lt;&gt;""),Trigo!$E76:INDEX(Trigo!$E76:$Z76,MIN(AA$6-$G$3,22))),0)))))</f>
        <v>0</v>
      </c>
      <c r="AB78" s="27" t="n">
        <f aca="false">IF(COUNT(Trigo!$E76:$Z76)=0,0,MAX(0,IF((AB$6-$E$3)&lt;1,0,IFERROR(LOOKUP(2,1/(Trigo!$E76:INDEX(Trigo!$E76:$Z76,MIN(AB$6-$E$3,22))&lt;&gt;""),Trigo!$E76:INDEX(Trigo!$E76:$Z76,MIN(AB$6-$E$3,22))),0))-IF($G$2,0,IF((AB$6-$G$3)&lt;1,0,IFERROR(LOOKUP(2,1/(Trigo!$E76:INDEX(Trigo!$E76:$Z76,MIN(AB$6-$G$3,22))&lt;&gt;""),Trigo!$E76:INDEX(Trigo!$E76:$Z76,MIN(AB$6-$G$3,22))),0)))))</f>
        <v>0</v>
      </c>
      <c r="AC78" s="27" t="n">
        <f aca="false">IF(COUNT(Trigo!$E76:$Z76)=0,0,MAX(0,IF((AC$6-$E$3)&lt;1,0,IFERROR(LOOKUP(2,1/(Trigo!$E76:INDEX(Trigo!$E76:$Z76,MIN(AC$6-$E$3,22))&lt;&gt;""),Trigo!$E76:INDEX(Trigo!$E76:$Z76,MIN(AC$6-$E$3,22))),0))-IF($G$2,0,IF((AC$6-$G$3)&lt;1,0,IFERROR(LOOKUP(2,1/(Trigo!$E76:INDEX(Trigo!$E76:$Z76,MIN(AC$6-$G$3,22))&lt;&gt;""),Trigo!$E76:INDEX(Trigo!$E76:$Z76,MIN(AC$6-$G$3,22))),0)))))</f>
        <v>0</v>
      </c>
      <c r="AD78" s="27" t="n">
        <f aca="false">IF(COUNT(Trigo!$E76:$Z76)=0,0,MAX(0,IF((AD$6-$E$3)&lt;1,0,IFERROR(LOOKUP(2,1/(Trigo!$E76:INDEX(Trigo!$E76:$Z76,MIN(AD$6-$E$3,22))&lt;&gt;""),Trigo!$E76:INDEX(Trigo!$E76:$Z76,MIN(AD$6-$E$3,22))),0))-IF($G$2,0,IF((AD$6-$G$3)&lt;1,0,IFERROR(LOOKUP(2,1/(Trigo!$E76:INDEX(Trigo!$E76:$Z76,MIN(AD$6-$G$3,22))&lt;&gt;""),Trigo!$E76:INDEX(Trigo!$E76:$Z76,MIN(AD$6-$G$3,22))),0)))))</f>
        <v>0</v>
      </c>
      <c r="AE78" s="27" t="n">
        <f aca="false">IF(COUNT(Trigo!$E76:$Z76)=0,0,MAX(0,IF((AE$6-$E$3)&lt;1,0,IFERROR(LOOKUP(2,1/(Trigo!$E76:INDEX(Trigo!$E76:$Z76,MIN(AE$6-$E$3,22))&lt;&gt;""),Trigo!$E76:INDEX(Trigo!$E76:$Z76,MIN(AE$6-$E$3,22))),0))-IF($G$2,0,IF((AE$6-$G$3)&lt;1,0,IFERROR(LOOKUP(2,1/(Trigo!$E76:INDEX(Trigo!$E76:$Z76,MIN(AE$6-$G$3,22))&lt;&gt;""),Trigo!$E76:INDEX(Trigo!$E76:$Z76,MIN(AE$6-$G$3,22))),0)))))</f>
        <v>0</v>
      </c>
      <c r="AF78" s="27" t="n">
        <f aca="false">IF(COUNT(Trigo!$E76:$Z76)=0,0,MAX(0,IF((AF$6-$E$3)&lt;1,0,IFERROR(LOOKUP(2,1/(Trigo!$E76:INDEX(Trigo!$E76:$Z76,MIN(AF$6-$E$3,22))&lt;&gt;""),Trigo!$E76:INDEX(Trigo!$E76:$Z76,MIN(AF$6-$E$3,22))),0))-IF($G$2,0,IF((AF$6-$G$3)&lt;1,0,IFERROR(LOOKUP(2,1/(Trigo!$E76:INDEX(Trigo!$E76:$Z76,MIN(AF$6-$G$3,22))&lt;&gt;""),Trigo!$E76:INDEX(Trigo!$E76:$Z76,MIN(AF$6-$G$3,22))),0)))))</f>
        <v>0</v>
      </c>
      <c r="AG78" s="27" t="n">
        <f aca="false">IF(COUNT(Trigo!$E76:$Z76)=0,0,MAX(0,IF((AG$6-$E$3)&lt;1,0,IFERROR(LOOKUP(2,1/(Trigo!$E76:INDEX(Trigo!$E76:$Z76,MIN(AG$6-$E$3,22))&lt;&gt;""),Trigo!$E76:INDEX(Trigo!$E76:$Z76,MIN(AG$6-$E$3,22))),0))-IF($G$2,0,IF((AG$6-$G$3)&lt;1,0,IFERROR(LOOKUP(2,1/(Trigo!$E76:INDEX(Trigo!$E76:$Z76,MIN(AG$6-$G$3,22))&lt;&gt;""),Trigo!$E76:INDEX(Trigo!$E76:$Z76,MIN(AG$6-$G$3,22))),0)))))</f>
        <v>0</v>
      </c>
      <c r="AH78" s="27" t="n">
        <f aca="false">IF(COUNT(Trigo!$E76:$Z76)=0,0,MAX(0,IF((AH$6-$E$3)&lt;1,0,IFERROR(LOOKUP(2,1/(Trigo!$E76:INDEX(Trigo!$E76:$Z76,MIN(AH$6-$E$3,22))&lt;&gt;""),Trigo!$E76:INDEX(Trigo!$E76:$Z76,MIN(AH$6-$E$3,22))),0))-IF($G$2,0,IF((AH$6-$G$3)&lt;1,0,IFERROR(LOOKUP(2,1/(Trigo!$E76:INDEX(Trigo!$E76:$Z76,MIN(AH$6-$G$3,22))&lt;&gt;""),Trigo!$E76:INDEX(Trigo!$E76:$Z76,MIN(AH$6-$G$3,22))),0)))))</f>
        <v>0</v>
      </c>
      <c r="AI78" s="27" t="n">
        <f aca="false">IF(COUNT(Trigo!$E76:$Z76)=0,0,MAX(0,IF((AI$6-$E$3)&lt;1,0,IFERROR(LOOKUP(2,1/(Trigo!$E76:INDEX(Trigo!$E76:$Z76,MIN(AI$6-$E$3,22))&lt;&gt;""),Trigo!$E76:INDEX(Trigo!$E76:$Z76,MIN(AI$6-$E$3,22))),0))-IF($G$2,0,IF((AI$6-$G$3)&lt;1,0,IFERROR(LOOKUP(2,1/(Trigo!$E76:INDEX(Trigo!$E76:$Z76,MIN(AI$6-$G$3,22))&lt;&gt;""),Trigo!$E76:INDEX(Trigo!$E76:$Z76,MIN(AI$6-$G$3,22))),0)))))</f>
        <v>0</v>
      </c>
      <c r="AJ78" s="27" t="n">
        <f aca="false">IF(COUNT(Trigo!$E76:$Z76)=0,0,MAX(0,IF((AJ$6-$E$3)&lt;1,0,IFERROR(LOOKUP(2,1/(Trigo!$E76:INDEX(Trigo!$E76:$Z76,MIN(AJ$6-$E$3,22))&lt;&gt;""),Trigo!$E76:INDEX(Trigo!$E76:$Z76,MIN(AJ$6-$E$3,22))),0))-IF($G$2,0,IF((AJ$6-$G$3)&lt;1,0,IFERROR(LOOKUP(2,1/(Trigo!$E76:INDEX(Trigo!$E76:$Z76,MIN(AJ$6-$G$3,22))&lt;&gt;""),Trigo!$E76:INDEX(Trigo!$E76:$Z76,MIN(AJ$6-$G$3,22))),0)))))</f>
        <v>0</v>
      </c>
      <c r="AK78" s="27" t="n">
        <f aca="false">IF(COUNT(Trigo!$E76:$Z76)=0,0,MAX(0,IF((AK$6-$E$3)&lt;1,0,IFERROR(LOOKUP(2,1/(Trigo!$E76:INDEX(Trigo!$E76:$Z76,MIN(AK$6-$E$3,22))&lt;&gt;""),Trigo!$E76:INDEX(Trigo!$E76:$Z76,MIN(AK$6-$E$3,22))),0))-IF($G$2,0,IF((AK$6-$G$3)&lt;1,0,IFERROR(LOOKUP(2,1/(Trigo!$E76:INDEX(Trigo!$E76:$Z76,MIN(AK$6-$G$3,22))&lt;&gt;""),Trigo!$E76:INDEX(Trigo!$E76:$Z76,MIN(AK$6-$G$3,22))),0)))))</f>
        <v>0</v>
      </c>
      <c r="AL78" s="27" t="n">
        <f aca="false">IF(COUNT(Trigo!$E76:$Z76)=0,0,MAX(0,IF((AL$6-$E$3)&lt;1,0,IFERROR(LOOKUP(2,1/(Trigo!$E76:INDEX(Trigo!$E76:$Z76,MIN(AL$6-$E$3,22))&lt;&gt;""),Trigo!$E76:INDEX(Trigo!$E76:$Z76,MIN(AL$6-$E$3,22))),0))-IF($G$2,0,IF((AL$6-$G$3)&lt;1,0,IFERROR(LOOKUP(2,1/(Trigo!$E76:INDEX(Trigo!$E76:$Z76,MIN(AL$6-$G$3,22))&lt;&gt;""),Trigo!$E76:INDEX(Trigo!$E76:$Z76,MIN(AL$6-$G$3,22))),0)))))</f>
        <v>0</v>
      </c>
      <c r="AM78" s="27" t="n">
        <f aca="false">IF(COUNT(Trigo!$E76:$Z76)=0,0,MAX(0,IF((AM$6-$E$3)&lt;1,0,IFERROR(LOOKUP(2,1/(Trigo!$E76:INDEX(Trigo!$E76:$Z76,MIN(AM$6-$E$3,22))&lt;&gt;""),Trigo!$E76:INDEX(Trigo!$E76:$Z76,MIN(AM$6-$E$3,22))),0))-IF($G$2,0,IF((AM$6-$G$3)&lt;1,0,IFERROR(LOOKUP(2,1/(Trigo!$E76:INDEX(Trigo!$E76:$Z76,MIN(AM$6-$G$3,22))&lt;&gt;""),Trigo!$E76:INDEX(Trigo!$E76:$Z76,MIN(AM$6-$G$3,22))),0)))))</f>
        <v>0</v>
      </c>
      <c r="AN78" s="27" t="n">
        <f aca="false">IF(COUNT(Trigo!$E76:$Z76)=0,0,MAX(0,IF((AN$6-$E$3)&lt;1,0,IFERROR(LOOKUP(2,1/(Trigo!$E76:INDEX(Trigo!$E76:$Z76,MIN(AN$6-$E$3,22))&lt;&gt;""),Trigo!$E76:INDEX(Trigo!$E76:$Z76,MIN(AN$6-$E$3,22))),0))-IF($G$2,0,IF((AN$6-$G$3)&lt;1,0,IFERROR(LOOKUP(2,1/(Trigo!$E76:INDEX(Trigo!$E76:$Z76,MIN(AN$6-$G$3,22))&lt;&gt;""),Trigo!$E76:INDEX(Trigo!$E76:$Z76,MIN(AN$6-$G$3,22))),0)))))</f>
        <v>0</v>
      </c>
      <c r="AO78" s="27" t="n">
        <f aca="false">IF(COUNT(Trigo!$E76:$Z76)=0,0,MAX(0,IF((AO$6-$E$3)&lt;1,0,IFERROR(LOOKUP(2,1/(Trigo!$E76:INDEX(Trigo!$E76:$Z76,MIN(AO$6-$E$3,22))&lt;&gt;""),Trigo!$E76:INDEX(Trigo!$E76:$Z76,MIN(AO$6-$E$3,22))),0))-IF($G$2,0,IF((AO$6-$G$3)&lt;1,0,IFERROR(LOOKUP(2,1/(Trigo!$E76:INDEX(Trigo!$E76:$Z76,MIN(AO$6-$G$3,22))&lt;&gt;""),Trigo!$E76:INDEX(Trigo!$E76:$Z76,MIN(AO$6-$G$3,22))),0)))))</f>
        <v>0</v>
      </c>
      <c r="AP78" s="27" t="n">
        <f aca="false">IF(COUNT(Trigo!$E76:$Z76)=0,0,MAX(0,IF((AP$6-$E$3)&lt;1,0,IFERROR(LOOKUP(2,1/(Trigo!$E76:INDEX(Trigo!$E76:$Z76,MIN(AP$6-$E$3,22))&lt;&gt;""),Trigo!$E76:INDEX(Trigo!$E76:$Z76,MIN(AP$6-$E$3,22))),0))-IF($G$2,0,IF((AP$6-$G$3)&lt;1,0,IFERROR(LOOKUP(2,1/(Trigo!$E76:INDEX(Trigo!$E76:$Z76,MIN(AP$6-$G$3,22))&lt;&gt;""),Trigo!$E76:INDEX(Trigo!$E76:$Z76,MIN(AP$6-$G$3,22))),0)))))</f>
        <v>0</v>
      </c>
      <c r="AQ78" s="27" t="n">
        <f aca="false">IF(COUNT(Trigo!$E76:$Z76)=0,0,MAX(0,IF((AQ$6-$E$3)&lt;1,0,IFERROR(LOOKUP(2,1/(Trigo!$E76:INDEX(Trigo!$E76:$Z76,MIN(AQ$6-$E$3,22))&lt;&gt;""),Trigo!$E76:INDEX(Trigo!$E76:$Z76,MIN(AQ$6-$E$3,22))),0))-IF($G$2,0,IF((AQ$6-$G$3)&lt;1,0,IFERROR(LOOKUP(2,1/(Trigo!$E76:INDEX(Trigo!$E76:$Z76,MIN(AQ$6-$G$3,22))&lt;&gt;""),Trigo!$E76:INDEX(Trigo!$E76:$Z76,MIN(AQ$6-$G$3,22))),0)))))</f>
        <v>0</v>
      </c>
      <c r="AR78" s="27" t="n">
        <f aca="false">IF(COUNT(Trigo!$E76:$Z76)=0,0,MAX(0,IF((AR$6-$E$3)&lt;1,0,IFERROR(LOOKUP(2,1/(Trigo!$E76:INDEX(Trigo!$E76:$Z76,MIN(AR$6-$E$3,22))&lt;&gt;""),Trigo!$E76:INDEX(Trigo!$E76:$Z76,MIN(AR$6-$E$3,22))),0))-IF($G$2,0,IF((AR$6-$G$3)&lt;1,0,IFERROR(LOOKUP(2,1/(Trigo!$E76:INDEX(Trigo!$E76:$Z76,MIN(AR$6-$G$3,22))&lt;&gt;""),Trigo!$E76:INDEX(Trigo!$E76:$Z76,MIN(AR$6-$G$3,22))),0)))))</f>
        <v>0</v>
      </c>
      <c r="AS78" s="27" t="n">
        <f aca="false">IF(COUNT(Trigo!$E76:$Z76)=0,0,MAX(0,IF((AS$6-$E$3)&lt;1,0,IFERROR(LOOKUP(2,1/(Trigo!$E76:INDEX(Trigo!$E76:$Z76,MIN(AS$6-$E$3,22))&lt;&gt;""),Trigo!$E76:INDEX(Trigo!$E76:$Z76,MIN(AS$6-$E$3,22))),0))-IF($G$2,0,IF((AS$6-$G$3)&lt;1,0,IFERROR(LOOKUP(2,1/(Trigo!$E76:INDEX(Trigo!$E76:$Z76,MIN(AS$6-$G$3,22))&lt;&gt;""),Trigo!$E76:INDEX(Trigo!$E76:$Z76,MIN(AS$6-$G$3,22))),0)))))</f>
        <v>0</v>
      </c>
      <c r="AT78" s="27" t="n">
        <f aca="false">IF(COUNT(Trigo!$E76:$Z76)=0,0,MAX(0,IF((AT$6-$E$3)&lt;1,0,IFERROR(LOOKUP(2,1/(Trigo!$E76:INDEX(Trigo!$E76:$Z76,MIN(AT$6-$E$3,22))&lt;&gt;""),Trigo!$E76:INDEX(Trigo!$E76:$Z76,MIN(AT$6-$E$3,22))),0))-IF($G$2,0,IF((AT$6-$G$3)&lt;1,0,IFERROR(LOOKUP(2,1/(Trigo!$E76:INDEX(Trigo!$E76:$Z76,MIN(AT$6-$G$3,22))&lt;&gt;""),Trigo!$E76:INDEX(Trigo!$E76:$Z76,MIN(AT$6-$G$3,22))),0)))))</f>
        <v>0</v>
      </c>
      <c r="AU78" s="27" t="n">
        <f aca="false">IF(COUNT(Trigo!$E76:$Z76)=0,0,MAX(0,IF((AU$6-$E$3)&lt;1,0,IFERROR(LOOKUP(2,1/(Trigo!$E76:INDEX(Trigo!$E76:$Z76,MIN(AU$6-$E$3,22))&lt;&gt;""),Trigo!$E76:INDEX(Trigo!$E76:$Z76,MIN(AU$6-$E$3,22))),0))-IF($G$2,0,IF((AU$6-$G$3)&lt;1,0,IFERROR(LOOKUP(2,1/(Trigo!$E76:INDEX(Trigo!$E76:$Z76,MIN(AU$6-$G$3,22))&lt;&gt;""),Trigo!$E76:INDEX(Trigo!$E76:$Z76,MIN(AU$6-$G$3,22))),0)))))</f>
        <v>0</v>
      </c>
      <c r="AV78" s="27" t="n">
        <f aca="false">IF(COUNT(Trigo!$E76:$Z76)=0,0,MAX(0,IF((AV$6-$E$3)&lt;1,0,IFERROR(LOOKUP(2,1/(Trigo!$E76:INDEX(Trigo!$E76:$Z76,MIN(AV$6-$E$3,22))&lt;&gt;""),Trigo!$E76:INDEX(Trigo!$E76:$Z76,MIN(AV$6-$E$3,22))),0))-IF($G$2,0,IF((AV$6-$G$3)&lt;1,0,IFERROR(LOOKUP(2,1/(Trigo!$E76:INDEX(Trigo!$E76:$Z76,MIN(AV$6-$G$3,22))&lt;&gt;""),Trigo!$E76:INDEX(Trigo!$E76:$Z76,MIN(AV$6-$G$3,22))),0)))))</f>
        <v>0</v>
      </c>
      <c r="AW78" s="27" t="n">
        <f aca="false">IF(COUNT(Trigo!$E76:$Z76)=0,0,MAX(0,IF((AW$6-$E$3)&lt;1,0,IFERROR(LOOKUP(2,1/(Trigo!$E76:INDEX(Trigo!$E76:$Z76,MIN(AW$6-$E$3,22))&lt;&gt;""),Trigo!$E76:INDEX(Trigo!$E76:$Z76,MIN(AW$6-$E$3,22))),0))-IF($G$2,0,IF((AW$6-$G$3)&lt;1,0,IFERROR(LOOKUP(2,1/(Trigo!$E76:INDEX(Trigo!$E76:$Z76,MIN(AW$6-$G$3,22))&lt;&gt;""),Trigo!$E76:INDEX(Trigo!$E76:$Z76,MIN(AW$6-$G$3,22))),0)))))</f>
        <v>0</v>
      </c>
      <c r="AX78" s="27" t="n">
        <f aca="false">IF(COUNT(Trigo!$E76:$Z76)=0,0,MAX(0,IF((AX$6-$E$3)&lt;1,0,IFERROR(LOOKUP(2,1/(Trigo!$E76:INDEX(Trigo!$E76:$Z76,MIN(AX$6-$E$3,22))&lt;&gt;""),Trigo!$E76:INDEX(Trigo!$E76:$Z76,MIN(AX$6-$E$3,22))),0))-IF($G$2,0,IF((AX$6-$G$3)&lt;1,0,IFERROR(LOOKUP(2,1/(Trigo!$E76:INDEX(Trigo!$E76:$Z76,MIN(AX$6-$G$3,22))&lt;&gt;""),Trigo!$E76:INDEX(Trigo!$E76:$Z76,MIN(AX$6-$G$3,22))),0)))))</f>
        <v>0</v>
      </c>
      <c r="AY78" s="27" t="n">
        <f aca="false">IF(COUNT(Trigo!$E76:$Z76)=0,0,MAX(0,IF((AY$6-$E$3)&lt;1,0,IFERROR(LOOKUP(2,1/(Trigo!$E76:INDEX(Trigo!$E76:$Z76,MIN(AY$6-$E$3,22))&lt;&gt;""),Trigo!$E76:INDEX(Trigo!$E76:$Z76,MIN(AY$6-$E$3,22))),0))-IF($G$2,0,IF((AY$6-$G$3)&lt;1,0,IFERROR(LOOKUP(2,1/(Trigo!$E76:INDEX(Trigo!$E76:$Z76,MIN(AY$6-$G$3,22))&lt;&gt;""),Trigo!$E76:INDEX(Trigo!$E76:$Z76,MIN(AY$6-$G$3,22))),0)))))</f>
        <v>0</v>
      </c>
      <c r="AZ78" s="27" t="n">
        <f aca="false">IF(COUNT(Trigo!$E76:$Z76)=0,0,MAX(0,IF((AZ$6-$E$3)&lt;1,0,IFERROR(LOOKUP(2,1/(Trigo!$E76:INDEX(Trigo!$E76:$Z76,MIN(AZ$6-$E$3,22))&lt;&gt;""),Trigo!$E76:INDEX(Trigo!$E76:$Z76,MIN(AZ$6-$E$3,22))),0))-IF($G$2,0,IF((AZ$6-$G$3)&lt;1,0,IFERROR(LOOKUP(2,1/(Trigo!$E76:INDEX(Trigo!$E76:$Z76,MIN(AZ$6-$G$3,22))&lt;&gt;""),Trigo!$E76:INDEX(Trigo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IF(COUNT(Trigo!$E77:$Z77)&gt;0,N(Trigo!$D77),0)</f>
        <v>0</v>
      </c>
      <c r="E79" s="27" t="n">
        <f aca="false">IF(COUNT(Trigo!$E77:$Z77)=0,0,MAX(0,IF((E$6-$E$3)&lt;1,0,IFERROR(LOOKUP(2,1/(Trigo!$E77:INDEX(Trigo!$E77:$Z77,MIN(E$6-$E$3,22))&lt;&gt;""),Trigo!$E77:INDEX(Trigo!$E77:$Z77,MIN(E$6-$E$3,22))),0))-IF($G$2,0,IF((E$6-$G$3)&lt;1,0,IFERROR(LOOKUP(2,1/(Trigo!$E77:INDEX(Trigo!$E77:$Z77,MIN(E$6-$G$3,22))&lt;&gt;""),Trigo!$E77:INDEX(Trigo!$E77:$Z77,MIN(E$6-$G$3,22))),0)))))</f>
        <v>0</v>
      </c>
      <c r="F79" s="27" t="n">
        <f aca="false">IF(COUNT(Trigo!$E77:$Z77)=0,0,MAX(0,IF((F$6-$E$3)&lt;1,0,IFERROR(LOOKUP(2,1/(Trigo!$E77:INDEX(Trigo!$E77:$Z77,MIN(F$6-$E$3,22))&lt;&gt;""),Trigo!$E77:INDEX(Trigo!$E77:$Z77,MIN(F$6-$E$3,22))),0))-IF($G$2,0,IF((F$6-$G$3)&lt;1,0,IFERROR(LOOKUP(2,1/(Trigo!$E77:INDEX(Trigo!$E77:$Z77,MIN(F$6-$G$3,22))&lt;&gt;""),Trigo!$E77:INDEX(Trigo!$E77:$Z77,MIN(F$6-$G$3,22))),0)))))</f>
        <v>0</v>
      </c>
      <c r="G79" s="27" t="n">
        <f aca="false">IF(COUNT(Trigo!$E77:$Z77)=0,0,MAX(0,IF((G$6-$E$3)&lt;1,0,IFERROR(LOOKUP(2,1/(Trigo!$E77:INDEX(Trigo!$E77:$Z77,MIN(G$6-$E$3,22))&lt;&gt;""),Trigo!$E77:INDEX(Trigo!$E77:$Z77,MIN(G$6-$E$3,22))),0))-IF($G$2,0,IF((G$6-$G$3)&lt;1,0,IFERROR(LOOKUP(2,1/(Trigo!$E77:INDEX(Trigo!$E77:$Z77,MIN(G$6-$G$3,22))&lt;&gt;""),Trigo!$E77:INDEX(Trigo!$E77:$Z77,MIN(G$6-$G$3,22))),0)))))</f>
        <v>0</v>
      </c>
      <c r="H79" s="27" t="n">
        <f aca="false">IF(COUNT(Trigo!$E77:$Z77)=0,0,MAX(0,IF((H$6-$E$3)&lt;1,0,IFERROR(LOOKUP(2,1/(Trigo!$E77:INDEX(Trigo!$E77:$Z77,MIN(H$6-$E$3,22))&lt;&gt;""),Trigo!$E77:INDEX(Trigo!$E77:$Z77,MIN(H$6-$E$3,22))),0))-IF($G$2,0,IF((H$6-$G$3)&lt;1,0,IFERROR(LOOKUP(2,1/(Trigo!$E77:INDEX(Trigo!$E77:$Z77,MIN(H$6-$G$3,22))&lt;&gt;""),Trigo!$E77:INDEX(Trigo!$E77:$Z77,MIN(H$6-$G$3,22))),0)))))</f>
        <v>0</v>
      </c>
      <c r="I79" s="27" t="n">
        <f aca="false">IF(COUNT(Trigo!$E77:$Z77)=0,0,MAX(0,IF((I$6-$E$3)&lt;1,0,IFERROR(LOOKUP(2,1/(Trigo!$E77:INDEX(Trigo!$E77:$Z77,MIN(I$6-$E$3,22))&lt;&gt;""),Trigo!$E77:INDEX(Trigo!$E77:$Z77,MIN(I$6-$E$3,22))),0))-IF($G$2,0,IF((I$6-$G$3)&lt;1,0,IFERROR(LOOKUP(2,1/(Trigo!$E77:INDEX(Trigo!$E77:$Z77,MIN(I$6-$G$3,22))&lt;&gt;""),Trigo!$E77:INDEX(Trigo!$E77:$Z77,MIN(I$6-$G$3,22))),0)))))</f>
        <v>0</v>
      </c>
      <c r="J79" s="27" t="n">
        <f aca="false">IF(COUNT(Trigo!$E77:$Z77)=0,0,MAX(0,IF((J$6-$E$3)&lt;1,0,IFERROR(LOOKUP(2,1/(Trigo!$E77:INDEX(Trigo!$E77:$Z77,MIN(J$6-$E$3,22))&lt;&gt;""),Trigo!$E77:INDEX(Trigo!$E77:$Z77,MIN(J$6-$E$3,22))),0))-IF($G$2,0,IF((J$6-$G$3)&lt;1,0,IFERROR(LOOKUP(2,1/(Trigo!$E77:INDEX(Trigo!$E77:$Z77,MIN(J$6-$G$3,22))&lt;&gt;""),Trigo!$E77:INDEX(Trigo!$E77:$Z77,MIN(J$6-$G$3,22))),0)))))</f>
        <v>0</v>
      </c>
      <c r="K79" s="27" t="n">
        <f aca="false">IF(COUNT(Trigo!$E77:$Z77)=0,0,MAX(0,IF((K$6-$E$3)&lt;1,0,IFERROR(LOOKUP(2,1/(Trigo!$E77:INDEX(Trigo!$E77:$Z77,MIN(K$6-$E$3,22))&lt;&gt;""),Trigo!$E77:INDEX(Trigo!$E77:$Z77,MIN(K$6-$E$3,22))),0))-IF($G$2,0,IF((K$6-$G$3)&lt;1,0,IFERROR(LOOKUP(2,1/(Trigo!$E77:INDEX(Trigo!$E77:$Z77,MIN(K$6-$G$3,22))&lt;&gt;""),Trigo!$E77:INDEX(Trigo!$E77:$Z77,MIN(K$6-$G$3,22))),0)))))</f>
        <v>0</v>
      </c>
      <c r="L79" s="27" t="n">
        <f aca="false">IF(COUNT(Trigo!$E77:$Z77)=0,0,MAX(0,IF((L$6-$E$3)&lt;1,0,IFERROR(LOOKUP(2,1/(Trigo!$E77:INDEX(Trigo!$E77:$Z77,MIN(L$6-$E$3,22))&lt;&gt;""),Trigo!$E77:INDEX(Trigo!$E77:$Z77,MIN(L$6-$E$3,22))),0))-IF($G$2,0,IF((L$6-$G$3)&lt;1,0,IFERROR(LOOKUP(2,1/(Trigo!$E77:INDEX(Trigo!$E77:$Z77,MIN(L$6-$G$3,22))&lt;&gt;""),Trigo!$E77:INDEX(Trigo!$E77:$Z77,MIN(L$6-$G$3,22))),0)))))</f>
        <v>0</v>
      </c>
      <c r="M79" s="27" t="n">
        <f aca="false">IF(COUNT(Trigo!$E77:$Z77)=0,0,MAX(0,IF((M$6-$E$3)&lt;1,0,IFERROR(LOOKUP(2,1/(Trigo!$E77:INDEX(Trigo!$E77:$Z77,MIN(M$6-$E$3,22))&lt;&gt;""),Trigo!$E77:INDEX(Trigo!$E77:$Z77,MIN(M$6-$E$3,22))),0))-IF($G$2,0,IF((M$6-$G$3)&lt;1,0,IFERROR(LOOKUP(2,1/(Trigo!$E77:INDEX(Trigo!$E77:$Z77,MIN(M$6-$G$3,22))&lt;&gt;""),Trigo!$E77:INDEX(Trigo!$E77:$Z77,MIN(M$6-$G$3,22))),0)))))</f>
        <v>0</v>
      </c>
      <c r="N79" s="27" t="n">
        <f aca="false">IF(COUNT(Trigo!$E77:$Z77)=0,0,MAX(0,IF((N$6-$E$3)&lt;1,0,IFERROR(LOOKUP(2,1/(Trigo!$E77:INDEX(Trigo!$E77:$Z77,MIN(N$6-$E$3,22))&lt;&gt;""),Trigo!$E77:INDEX(Trigo!$E77:$Z77,MIN(N$6-$E$3,22))),0))-IF($G$2,0,IF((N$6-$G$3)&lt;1,0,IFERROR(LOOKUP(2,1/(Trigo!$E77:INDEX(Trigo!$E77:$Z77,MIN(N$6-$G$3,22))&lt;&gt;""),Trigo!$E77:INDEX(Trigo!$E77:$Z77,MIN(N$6-$G$3,22))),0)))))</f>
        <v>0</v>
      </c>
      <c r="O79" s="27" t="n">
        <f aca="false">IF(COUNT(Trigo!$E77:$Z77)=0,0,MAX(0,IF((O$6-$E$3)&lt;1,0,IFERROR(LOOKUP(2,1/(Trigo!$E77:INDEX(Trigo!$E77:$Z77,MIN(O$6-$E$3,22))&lt;&gt;""),Trigo!$E77:INDEX(Trigo!$E77:$Z77,MIN(O$6-$E$3,22))),0))-IF($G$2,0,IF((O$6-$G$3)&lt;1,0,IFERROR(LOOKUP(2,1/(Trigo!$E77:INDEX(Trigo!$E77:$Z77,MIN(O$6-$G$3,22))&lt;&gt;""),Trigo!$E77:INDEX(Trigo!$E77:$Z77,MIN(O$6-$G$3,22))),0)))))</f>
        <v>0</v>
      </c>
      <c r="P79" s="27" t="n">
        <f aca="false">IF(COUNT(Trigo!$E77:$Z77)=0,0,MAX(0,IF((P$6-$E$3)&lt;1,0,IFERROR(LOOKUP(2,1/(Trigo!$E77:INDEX(Trigo!$E77:$Z77,MIN(P$6-$E$3,22))&lt;&gt;""),Trigo!$E77:INDEX(Trigo!$E77:$Z77,MIN(P$6-$E$3,22))),0))-IF($G$2,0,IF((P$6-$G$3)&lt;1,0,IFERROR(LOOKUP(2,1/(Trigo!$E77:INDEX(Trigo!$E77:$Z77,MIN(P$6-$G$3,22))&lt;&gt;""),Trigo!$E77:INDEX(Trigo!$E77:$Z77,MIN(P$6-$G$3,22))),0)))))</f>
        <v>0</v>
      </c>
      <c r="Q79" s="27" t="n">
        <f aca="false">IF(COUNT(Trigo!$E77:$Z77)=0,0,MAX(0,IF((Q$6-$E$3)&lt;1,0,IFERROR(LOOKUP(2,1/(Trigo!$E77:INDEX(Trigo!$E77:$Z77,MIN(Q$6-$E$3,22))&lt;&gt;""),Trigo!$E77:INDEX(Trigo!$E77:$Z77,MIN(Q$6-$E$3,22))),0))-IF($G$2,0,IF((Q$6-$G$3)&lt;1,0,IFERROR(LOOKUP(2,1/(Trigo!$E77:INDEX(Trigo!$E77:$Z77,MIN(Q$6-$G$3,22))&lt;&gt;""),Trigo!$E77:INDEX(Trigo!$E77:$Z77,MIN(Q$6-$G$3,22))),0)))))</f>
        <v>0</v>
      </c>
      <c r="R79" s="27" t="n">
        <f aca="false">IF(COUNT(Trigo!$E77:$Z77)=0,0,MAX(0,IF((R$6-$E$3)&lt;1,0,IFERROR(LOOKUP(2,1/(Trigo!$E77:INDEX(Trigo!$E77:$Z77,MIN(R$6-$E$3,22))&lt;&gt;""),Trigo!$E77:INDEX(Trigo!$E77:$Z77,MIN(R$6-$E$3,22))),0))-IF($G$2,0,IF((R$6-$G$3)&lt;1,0,IFERROR(LOOKUP(2,1/(Trigo!$E77:INDEX(Trigo!$E77:$Z77,MIN(R$6-$G$3,22))&lt;&gt;""),Trigo!$E77:INDEX(Trigo!$E77:$Z77,MIN(R$6-$G$3,22))),0)))))</f>
        <v>0</v>
      </c>
      <c r="S79" s="27" t="n">
        <f aca="false">IF(COUNT(Trigo!$E77:$Z77)=0,0,MAX(0,IF((S$6-$E$3)&lt;1,0,IFERROR(LOOKUP(2,1/(Trigo!$E77:INDEX(Trigo!$E77:$Z77,MIN(S$6-$E$3,22))&lt;&gt;""),Trigo!$E77:INDEX(Trigo!$E77:$Z77,MIN(S$6-$E$3,22))),0))-IF($G$2,0,IF((S$6-$G$3)&lt;1,0,IFERROR(LOOKUP(2,1/(Trigo!$E77:INDEX(Trigo!$E77:$Z77,MIN(S$6-$G$3,22))&lt;&gt;""),Trigo!$E77:INDEX(Trigo!$E77:$Z77,MIN(S$6-$G$3,22))),0)))))</f>
        <v>0</v>
      </c>
      <c r="T79" s="27" t="n">
        <f aca="false">IF(COUNT(Trigo!$E77:$Z77)=0,0,MAX(0,IF((T$6-$E$3)&lt;1,0,IFERROR(LOOKUP(2,1/(Trigo!$E77:INDEX(Trigo!$E77:$Z77,MIN(T$6-$E$3,22))&lt;&gt;""),Trigo!$E77:INDEX(Trigo!$E77:$Z77,MIN(T$6-$E$3,22))),0))-IF($G$2,0,IF((T$6-$G$3)&lt;1,0,IFERROR(LOOKUP(2,1/(Trigo!$E77:INDEX(Trigo!$E77:$Z77,MIN(T$6-$G$3,22))&lt;&gt;""),Trigo!$E77:INDEX(Trigo!$E77:$Z77,MIN(T$6-$G$3,22))),0)))))</f>
        <v>0</v>
      </c>
      <c r="U79" s="27" t="n">
        <f aca="false">IF(COUNT(Trigo!$E77:$Z77)=0,0,MAX(0,IF((U$6-$E$3)&lt;1,0,IFERROR(LOOKUP(2,1/(Trigo!$E77:INDEX(Trigo!$E77:$Z77,MIN(U$6-$E$3,22))&lt;&gt;""),Trigo!$E77:INDEX(Trigo!$E77:$Z77,MIN(U$6-$E$3,22))),0))-IF($G$2,0,IF((U$6-$G$3)&lt;1,0,IFERROR(LOOKUP(2,1/(Trigo!$E77:INDEX(Trigo!$E77:$Z77,MIN(U$6-$G$3,22))&lt;&gt;""),Trigo!$E77:INDEX(Trigo!$E77:$Z77,MIN(U$6-$G$3,22))),0)))))</f>
        <v>0</v>
      </c>
      <c r="V79" s="27" t="n">
        <f aca="false">IF(COUNT(Trigo!$E77:$Z77)=0,0,MAX(0,IF((V$6-$E$3)&lt;1,0,IFERROR(LOOKUP(2,1/(Trigo!$E77:INDEX(Trigo!$E77:$Z77,MIN(V$6-$E$3,22))&lt;&gt;""),Trigo!$E77:INDEX(Trigo!$E77:$Z77,MIN(V$6-$E$3,22))),0))-IF($G$2,0,IF((V$6-$G$3)&lt;1,0,IFERROR(LOOKUP(2,1/(Trigo!$E77:INDEX(Trigo!$E77:$Z77,MIN(V$6-$G$3,22))&lt;&gt;""),Trigo!$E77:INDEX(Trigo!$E77:$Z77,MIN(V$6-$G$3,22))),0)))))</f>
        <v>0</v>
      </c>
      <c r="W79" s="27" t="n">
        <f aca="false">IF(COUNT(Trigo!$E77:$Z77)=0,0,MAX(0,IF((W$6-$E$3)&lt;1,0,IFERROR(LOOKUP(2,1/(Trigo!$E77:INDEX(Trigo!$E77:$Z77,MIN(W$6-$E$3,22))&lt;&gt;""),Trigo!$E77:INDEX(Trigo!$E77:$Z77,MIN(W$6-$E$3,22))),0))-IF($G$2,0,IF((W$6-$G$3)&lt;1,0,IFERROR(LOOKUP(2,1/(Trigo!$E77:INDEX(Trigo!$E77:$Z77,MIN(W$6-$G$3,22))&lt;&gt;""),Trigo!$E77:INDEX(Trigo!$E77:$Z77,MIN(W$6-$G$3,22))),0)))))</f>
        <v>0</v>
      </c>
      <c r="X79" s="27" t="n">
        <f aca="false">IF(COUNT(Trigo!$E77:$Z77)=0,0,MAX(0,IF((X$6-$E$3)&lt;1,0,IFERROR(LOOKUP(2,1/(Trigo!$E77:INDEX(Trigo!$E77:$Z77,MIN(X$6-$E$3,22))&lt;&gt;""),Trigo!$E77:INDEX(Trigo!$E77:$Z77,MIN(X$6-$E$3,22))),0))-IF($G$2,0,IF((X$6-$G$3)&lt;1,0,IFERROR(LOOKUP(2,1/(Trigo!$E77:INDEX(Trigo!$E77:$Z77,MIN(X$6-$G$3,22))&lt;&gt;""),Trigo!$E77:INDEX(Trigo!$E77:$Z77,MIN(X$6-$G$3,22))),0)))))</f>
        <v>0</v>
      </c>
      <c r="Y79" s="27" t="n">
        <f aca="false">IF(COUNT(Trigo!$E77:$Z77)=0,0,MAX(0,IF((Y$6-$E$3)&lt;1,0,IFERROR(LOOKUP(2,1/(Trigo!$E77:INDEX(Trigo!$E77:$Z77,MIN(Y$6-$E$3,22))&lt;&gt;""),Trigo!$E77:INDEX(Trigo!$E77:$Z77,MIN(Y$6-$E$3,22))),0))-IF($G$2,0,IF((Y$6-$G$3)&lt;1,0,IFERROR(LOOKUP(2,1/(Trigo!$E77:INDEX(Trigo!$E77:$Z77,MIN(Y$6-$G$3,22))&lt;&gt;""),Trigo!$E77:INDEX(Trigo!$E77:$Z77,MIN(Y$6-$G$3,22))),0)))))</f>
        <v>0</v>
      </c>
      <c r="Z79" s="27" t="n">
        <f aca="false">IF(COUNT(Trigo!$E77:$Z77)=0,0,MAX(0,IF((Z$6-$E$3)&lt;1,0,IFERROR(LOOKUP(2,1/(Trigo!$E77:INDEX(Trigo!$E77:$Z77,MIN(Z$6-$E$3,22))&lt;&gt;""),Trigo!$E77:INDEX(Trigo!$E77:$Z77,MIN(Z$6-$E$3,22))),0))-IF($G$2,0,IF((Z$6-$G$3)&lt;1,0,IFERROR(LOOKUP(2,1/(Trigo!$E77:INDEX(Trigo!$E77:$Z77,MIN(Z$6-$G$3,22))&lt;&gt;""),Trigo!$E77:INDEX(Trigo!$E77:$Z77,MIN(Z$6-$G$3,22))),0)))))</f>
        <v>0</v>
      </c>
      <c r="AA79" s="27" t="n">
        <f aca="false">IF(COUNT(Trigo!$E77:$Z77)=0,0,MAX(0,IF((AA$6-$E$3)&lt;1,0,IFERROR(LOOKUP(2,1/(Trigo!$E77:INDEX(Trigo!$E77:$Z77,MIN(AA$6-$E$3,22))&lt;&gt;""),Trigo!$E77:INDEX(Trigo!$E77:$Z77,MIN(AA$6-$E$3,22))),0))-IF($G$2,0,IF((AA$6-$G$3)&lt;1,0,IFERROR(LOOKUP(2,1/(Trigo!$E77:INDEX(Trigo!$E77:$Z77,MIN(AA$6-$G$3,22))&lt;&gt;""),Trigo!$E77:INDEX(Trigo!$E77:$Z77,MIN(AA$6-$G$3,22))),0)))))</f>
        <v>0</v>
      </c>
      <c r="AB79" s="27" t="n">
        <f aca="false">IF(COUNT(Trigo!$E77:$Z77)=0,0,MAX(0,IF((AB$6-$E$3)&lt;1,0,IFERROR(LOOKUP(2,1/(Trigo!$E77:INDEX(Trigo!$E77:$Z77,MIN(AB$6-$E$3,22))&lt;&gt;""),Trigo!$E77:INDEX(Trigo!$E77:$Z77,MIN(AB$6-$E$3,22))),0))-IF($G$2,0,IF((AB$6-$G$3)&lt;1,0,IFERROR(LOOKUP(2,1/(Trigo!$E77:INDEX(Trigo!$E77:$Z77,MIN(AB$6-$G$3,22))&lt;&gt;""),Trigo!$E77:INDEX(Trigo!$E77:$Z77,MIN(AB$6-$G$3,22))),0)))))</f>
        <v>0</v>
      </c>
      <c r="AC79" s="27" t="n">
        <f aca="false">IF(COUNT(Trigo!$E77:$Z77)=0,0,MAX(0,IF((AC$6-$E$3)&lt;1,0,IFERROR(LOOKUP(2,1/(Trigo!$E77:INDEX(Trigo!$E77:$Z77,MIN(AC$6-$E$3,22))&lt;&gt;""),Trigo!$E77:INDEX(Trigo!$E77:$Z77,MIN(AC$6-$E$3,22))),0))-IF($G$2,0,IF((AC$6-$G$3)&lt;1,0,IFERROR(LOOKUP(2,1/(Trigo!$E77:INDEX(Trigo!$E77:$Z77,MIN(AC$6-$G$3,22))&lt;&gt;""),Trigo!$E77:INDEX(Trigo!$E77:$Z77,MIN(AC$6-$G$3,22))),0)))))</f>
        <v>0</v>
      </c>
      <c r="AD79" s="27" t="n">
        <f aca="false">IF(COUNT(Trigo!$E77:$Z77)=0,0,MAX(0,IF((AD$6-$E$3)&lt;1,0,IFERROR(LOOKUP(2,1/(Trigo!$E77:INDEX(Trigo!$E77:$Z77,MIN(AD$6-$E$3,22))&lt;&gt;""),Trigo!$E77:INDEX(Trigo!$E77:$Z77,MIN(AD$6-$E$3,22))),0))-IF($G$2,0,IF((AD$6-$G$3)&lt;1,0,IFERROR(LOOKUP(2,1/(Trigo!$E77:INDEX(Trigo!$E77:$Z77,MIN(AD$6-$G$3,22))&lt;&gt;""),Trigo!$E77:INDEX(Trigo!$E77:$Z77,MIN(AD$6-$G$3,22))),0)))))</f>
        <v>0</v>
      </c>
      <c r="AE79" s="27" t="n">
        <f aca="false">IF(COUNT(Trigo!$E77:$Z77)=0,0,MAX(0,IF((AE$6-$E$3)&lt;1,0,IFERROR(LOOKUP(2,1/(Trigo!$E77:INDEX(Trigo!$E77:$Z77,MIN(AE$6-$E$3,22))&lt;&gt;""),Trigo!$E77:INDEX(Trigo!$E77:$Z77,MIN(AE$6-$E$3,22))),0))-IF($G$2,0,IF((AE$6-$G$3)&lt;1,0,IFERROR(LOOKUP(2,1/(Trigo!$E77:INDEX(Trigo!$E77:$Z77,MIN(AE$6-$G$3,22))&lt;&gt;""),Trigo!$E77:INDEX(Trigo!$E77:$Z77,MIN(AE$6-$G$3,22))),0)))))</f>
        <v>0</v>
      </c>
      <c r="AF79" s="27" t="n">
        <f aca="false">IF(COUNT(Trigo!$E77:$Z77)=0,0,MAX(0,IF((AF$6-$E$3)&lt;1,0,IFERROR(LOOKUP(2,1/(Trigo!$E77:INDEX(Trigo!$E77:$Z77,MIN(AF$6-$E$3,22))&lt;&gt;""),Trigo!$E77:INDEX(Trigo!$E77:$Z77,MIN(AF$6-$E$3,22))),0))-IF($G$2,0,IF((AF$6-$G$3)&lt;1,0,IFERROR(LOOKUP(2,1/(Trigo!$E77:INDEX(Trigo!$E77:$Z77,MIN(AF$6-$G$3,22))&lt;&gt;""),Trigo!$E77:INDEX(Trigo!$E77:$Z77,MIN(AF$6-$G$3,22))),0)))))</f>
        <v>0</v>
      </c>
      <c r="AG79" s="27" t="n">
        <f aca="false">IF(COUNT(Trigo!$E77:$Z77)=0,0,MAX(0,IF((AG$6-$E$3)&lt;1,0,IFERROR(LOOKUP(2,1/(Trigo!$E77:INDEX(Trigo!$E77:$Z77,MIN(AG$6-$E$3,22))&lt;&gt;""),Trigo!$E77:INDEX(Trigo!$E77:$Z77,MIN(AG$6-$E$3,22))),0))-IF($G$2,0,IF((AG$6-$G$3)&lt;1,0,IFERROR(LOOKUP(2,1/(Trigo!$E77:INDEX(Trigo!$E77:$Z77,MIN(AG$6-$G$3,22))&lt;&gt;""),Trigo!$E77:INDEX(Trigo!$E77:$Z77,MIN(AG$6-$G$3,22))),0)))))</f>
        <v>0</v>
      </c>
      <c r="AH79" s="27" t="n">
        <f aca="false">IF(COUNT(Trigo!$E77:$Z77)=0,0,MAX(0,IF((AH$6-$E$3)&lt;1,0,IFERROR(LOOKUP(2,1/(Trigo!$E77:INDEX(Trigo!$E77:$Z77,MIN(AH$6-$E$3,22))&lt;&gt;""),Trigo!$E77:INDEX(Trigo!$E77:$Z77,MIN(AH$6-$E$3,22))),0))-IF($G$2,0,IF((AH$6-$G$3)&lt;1,0,IFERROR(LOOKUP(2,1/(Trigo!$E77:INDEX(Trigo!$E77:$Z77,MIN(AH$6-$G$3,22))&lt;&gt;""),Trigo!$E77:INDEX(Trigo!$E77:$Z77,MIN(AH$6-$G$3,22))),0)))))</f>
        <v>0</v>
      </c>
      <c r="AI79" s="27" t="n">
        <f aca="false">IF(COUNT(Trigo!$E77:$Z77)=0,0,MAX(0,IF((AI$6-$E$3)&lt;1,0,IFERROR(LOOKUP(2,1/(Trigo!$E77:INDEX(Trigo!$E77:$Z77,MIN(AI$6-$E$3,22))&lt;&gt;""),Trigo!$E77:INDEX(Trigo!$E77:$Z77,MIN(AI$6-$E$3,22))),0))-IF($G$2,0,IF((AI$6-$G$3)&lt;1,0,IFERROR(LOOKUP(2,1/(Trigo!$E77:INDEX(Trigo!$E77:$Z77,MIN(AI$6-$G$3,22))&lt;&gt;""),Trigo!$E77:INDEX(Trigo!$E77:$Z77,MIN(AI$6-$G$3,22))),0)))))</f>
        <v>0</v>
      </c>
      <c r="AJ79" s="27" t="n">
        <f aca="false">IF(COUNT(Trigo!$E77:$Z77)=0,0,MAX(0,IF((AJ$6-$E$3)&lt;1,0,IFERROR(LOOKUP(2,1/(Trigo!$E77:INDEX(Trigo!$E77:$Z77,MIN(AJ$6-$E$3,22))&lt;&gt;""),Trigo!$E77:INDEX(Trigo!$E77:$Z77,MIN(AJ$6-$E$3,22))),0))-IF($G$2,0,IF((AJ$6-$G$3)&lt;1,0,IFERROR(LOOKUP(2,1/(Trigo!$E77:INDEX(Trigo!$E77:$Z77,MIN(AJ$6-$G$3,22))&lt;&gt;""),Trigo!$E77:INDEX(Trigo!$E77:$Z77,MIN(AJ$6-$G$3,22))),0)))))</f>
        <v>0</v>
      </c>
      <c r="AK79" s="27" t="n">
        <f aca="false">IF(COUNT(Trigo!$E77:$Z77)=0,0,MAX(0,IF((AK$6-$E$3)&lt;1,0,IFERROR(LOOKUP(2,1/(Trigo!$E77:INDEX(Trigo!$E77:$Z77,MIN(AK$6-$E$3,22))&lt;&gt;""),Trigo!$E77:INDEX(Trigo!$E77:$Z77,MIN(AK$6-$E$3,22))),0))-IF($G$2,0,IF((AK$6-$G$3)&lt;1,0,IFERROR(LOOKUP(2,1/(Trigo!$E77:INDEX(Trigo!$E77:$Z77,MIN(AK$6-$G$3,22))&lt;&gt;""),Trigo!$E77:INDEX(Trigo!$E77:$Z77,MIN(AK$6-$G$3,22))),0)))))</f>
        <v>0</v>
      </c>
      <c r="AL79" s="27" t="n">
        <f aca="false">IF(COUNT(Trigo!$E77:$Z77)=0,0,MAX(0,IF((AL$6-$E$3)&lt;1,0,IFERROR(LOOKUP(2,1/(Trigo!$E77:INDEX(Trigo!$E77:$Z77,MIN(AL$6-$E$3,22))&lt;&gt;""),Trigo!$E77:INDEX(Trigo!$E77:$Z77,MIN(AL$6-$E$3,22))),0))-IF($G$2,0,IF((AL$6-$G$3)&lt;1,0,IFERROR(LOOKUP(2,1/(Trigo!$E77:INDEX(Trigo!$E77:$Z77,MIN(AL$6-$G$3,22))&lt;&gt;""),Trigo!$E77:INDEX(Trigo!$E77:$Z77,MIN(AL$6-$G$3,22))),0)))))</f>
        <v>0</v>
      </c>
      <c r="AM79" s="27" t="n">
        <f aca="false">IF(COUNT(Trigo!$E77:$Z77)=0,0,MAX(0,IF((AM$6-$E$3)&lt;1,0,IFERROR(LOOKUP(2,1/(Trigo!$E77:INDEX(Trigo!$E77:$Z77,MIN(AM$6-$E$3,22))&lt;&gt;""),Trigo!$E77:INDEX(Trigo!$E77:$Z77,MIN(AM$6-$E$3,22))),0))-IF($G$2,0,IF((AM$6-$G$3)&lt;1,0,IFERROR(LOOKUP(2,1/(Trigo!$E77:INDEX(Trigo!$E77:$Z77,MIN(AM$6-$G$3,22))&lt;&gt;""),Trigo!$E77:INDEX(Trigo!$E77:$Z77,MIN(AM$6-$G$3,22))),0)))))</f>
        <v>0</v>
      </c>
      <c r="AN79" s="27" t="n">
        <f aca="false">IF(COUNT(Trigo!$E77:$Z77)=0,0,MAX(0,IF((AN$6-$E$3)&lt;1,0,IFERROR(LOOKUP(2,1/(Trigo!$E77:INDEX(Trigo!$E77:$Z77,MIN(AN$6-$E$3,22))&lt;&gt;""),Trigo!$E77:INDEX(Trigo!$E77:$Z77,MIN(AN$6-$E$3,22))),0))-IF($G$2,0,IF((AN$6-$G$3)&lt;1,0,IFERROR(LOOKUP(2,1/(Trigo!$E77:INDEX(Trigo!$E77:$Z77,MIN(AN$6-$G$3,22))&lt;&gt;""),Trigo!$E77:INDEX(Trigo!$E77:$Z77,MIN(AN$6-$G$3,22))),0)))))</f>
        <v>0</v>
      </c>
      <c r="AO79" s="27" t="n">
        <f aca="false">IF(COUNT(Trigo!$E77:$Z77)=0,0,MAX(0,IF((AO$6-$E$3)&lt;1,0,IFERROR(LOOKUP(2,1/(Trigo!$E77:INDEX(Trigo!$E77:$Z77,MIN(AO$6-$E$3,22))&lt;&gt;""),Trigo!$E77:INDEX(Trigo!$E77:$Z77,MIN(AO$6-$E$3,22))),0))-IF($G$2,0,IF((AO$6-$G$3)&lt;1,0,IFERROR(LOOKUP(2,1/(Trigo!$E77:INDEX(Trigo!$E77:$Z77,MIN(AO$6-$G$3,22))&lt;&gt;""),Trigo!$E77:INDEX(Trigo!$E77:$Z77,MIN(AO$6-$G$3,22))),0)))))</f>
        <v>0</v>
      </c>
      <c r="AP79" s="27" t="n">
        <f aca="false">IF(COUNT(Trigo!$E77:$Z77)=0,0,MAX(0,IF((AP$6-$E$3)&lt;1,0,IFERROR(LOOKUP(2,1/(Trigo!$E77:INDEX(Trigo!$E77:$Z77,MIN(AP$6-$E$3,22))&lt;&gt;""),Trigo!$E77:INDEX(Trigo!$E77:$Z77,MIN(AP$6-$E$3,22))),0))-IF($G$2,0,IF((AP$6-$G$3)&lt;1,0,IFERROR(LOOKUP(2,1/(Trigo!$E77:INDEX(Trigo!$E77:$Z77,MIN(AP$6-$G$3,22))&lt;&gt;""),Trigo!$E77:INDEX(Trigo!$E77:$Z77,MIN(AP$6-$G$3,22))),0)))))</f>
        <v>0</v>
      </c>
      <c r="AQ79" s="27" t="n">
        <f aca="false">IF(COUNT(Trigo!$E77:$Z77)=0,0,MAX(0,IF((AQ$6-$E$3)&lt;1,0,IFERROR(LOOKUP(2,1/(Trigo!$E77:INDEX(Trigo!$E77:$Z77,MIN(AQ$6-$E$3,22))&lt;&gt;""),Trigo!$E77:INDEX(Trigo!$E77:$Z77,MIN(AQ$6-$E$3,22))),0))-IF($G$2,0,IF((AQ$6-$G$3)&lt;1,0,IFERROR(LOOKUP(2,1/(Trigo!$E77:INDEX(Trigo!$E77:$Z77,MIN(AQ$6-$G$3,22))&lt;&gt;""),Trigo!$E77:INDEX(Trigo!$E77:$Z77,MIN(AQ$6-$G$3,22))),0)))))</f>
        <v>0</v>
      </c>
      <c r="AR79" s="27" t="n">
        <f aca="false">IF(COUNT(Trigo!$E77:$Z77)=0,0,MAX(0,IF((AR$6-$E$3)&lt;1,0,IFERROR(LOOKUP(2,1/(Trigo!$E77:INDEX(Trigo!$E77:$Z77,MIN(AR$6-$E$3,22))&lt;&gt;""),Trigo!$E77:INDEX(Trigo!$E77:$Z77,MIN(AR$6-$E$3,22))),0))-IF($G$2,0,IF((AR$6-$G$3)&lt;1,0,IFERROR(LOOKUP(2,1/(Trigo!$E77:INDEX(Trigo!$E77:$Z77,MIN(AR$6-$G$3,22))&lt;&gt;""),Trigo!$E77:INDEX(Trigo!$E77:$Z77,MIN(AR$6-$G$3,22))),0)))))</f>
        <v>0</v>
      </c>
      <c r="AS79" s="27" t="n">
        <f aca="false">IF(COUNT(Trigo!$E77:$Z77)=0,0,MAX(0,IF((AS$6-$E$3)&lt;1,0,IFERROR(LOOKUP(2,1/(Trigo!$E77:INDEX(Trigo!$E77:$Z77,MIN(AS$6-$E$3,22))&lt;&gt;""),Trigo!$E77:INDEX(Trigo!$E77:$Z77,MIN(AS$6-$E$3,22))),0))-IF($G$2,0,IF((AS$6-$G$3)&lt;1,0,IFERROR(LOOKUP(2,1/(Trigo!$E77:INDEX(Trigo!$E77:$Z77,MIN(AS$6-$G$3,22))&lt;&gt;""),Trigo!$E77:INDEX(Trigo!$E77:$Z77,MIN(AS$6-$G$3,22))),0)))))</f>
        <v>0</v>
      </c>
      <c r="AT79" s="27" t="n">
        <f aca="false">IF(COUNT(Trigo!$E77:$Z77)=0,0,MAX(0,IF((AT$6-$E$3)&lt;1,0,IFERROR(LOOKUP(2,1/(Trigo!$E77:INDEX(Trigo!$E77:$Z77,MIN(AT$6-$E$3,22))&lt;&gt;""),Trigo!$E77:INDEX(Trigo!$E77:$Z77,MIN(AT$6-$E$3,22))),0))-IF($G$2,0,IF((AT$6-$G$3)&lt;1,0,IFERROR(LOOKUP(2,1/(Trigo!$E77:INDEX(Trigo!$E77:$Z77,MIN(AT$6-$G$3,22))&lt;&gt;""),Trigo!$E77:INDEX(Trigo!$E77:$Z77,MIN(AT$6-$G$3,22))),0)))))</f>
        <v>0</v>
      </c>
      <c r="AU79" s="27" t="n">
        <f aca="false">IF(COUNT(Trigo!$E77:$Z77)=0,0,MAX(0,IF((AU$6-$E$3)&lt;1,0,IFERROR(LOOKUP(2,1/(Trigo!$E77:INDEX(Trigo!$E77:$Z77,MIN(AU$6-$E$3,22))&lt;&gt;""),Trigo!$E77:INDEX(Trigo!$E77:$Z77,MIN(AU$6-$E$3,22))),0))-IF($G$2,0,IF((AU$6-$G$3)&lt;1,0,IFERROR(LOOKUP(2,1/(Trigo!$E77:INDEX(Trigo!$E77:$Z77,MIN(AU$6-$G$3,22))&lt;&gt;""),Trigo!$E77:INDEX(Trigo!$E77:$Z77,MIN(AU$6-$G$3,22))),0)))))</f>
        <v>0</v>
      </c>
      <c r="AV79" s="27" t="n">
        <f aca="false">IF(COUNT(Trigo!$E77:$Z77)=0,0,MAX(0,IF((AV$6-$E$3)&lt;1,0,IFERROR(LOOKUP(2,1/(Trigo!$E77:INDEX(Trigo!$E77:$Z77,MIN(AV$6-$E$3,22))&lt;&gt;""),Trigo!$E77:INDEX(Trigo!$E77:$Z77,MIN(AV$6-$E$3,22))),0))-IF($G$2,0,IF((AV$6-$G$3)&lt;1,0,IFERROR(LOOKUP(2,1/(Trigo!$E77:INDEX(Trigo!$E77:$Z77,MIN(AV$6-$G$3,22))&lt;&gt;""),Trigo!$E77:INDEX(Trigo!$E77:$Z77,MIN(AV$6-$G$3,22))),0)))))</f>
        <v>0</v>
      </c>
      <c r="AW79" s="27" t="n">
        <f aca="false">IF(COUNT(Trigo!$E77:$Z77)=0,0,MAX(0,IF((AW$6-$E$3)&lt;1,0,IFERROR(LOOKUP(2,1/(Trigo!$E77:INDEX(Trigo!$E77:$Z77,MIN(AW$6-$E$3,22))&lt;&gt;""),Trigo!$E77:INDEX(Trigo!$E77:$Z77,MIN(AW$6-$E$3,22))),0))-IF($G$2,0,IF((AW$6-$G$3)&lt;1,0,IFERROR(LOOKUP(2,1/(Trigo!$E77:INDEX(Trigo!$E77:$Z77,MIN(AW$6-$G$3,22))&lt;&gt;""),Trigo!$E77:INDEX(Trigo!$E77:$Z77,MIN(AW$6-$G$3,22))),0)))))</f>
        <v>0</v>
      </c>
      <c r="AX79" s="27" t="n">
        <f aca="false">IF(COUNT(Trigo!$E77:$Z77)=0,0,MAX(0,IF((AX$6-$E$3)&lt;1,0,IFERROR(LOOKUP(2,1/(Trigo!$E77:INDEX(Trigo!$E77:$Z77,MIN(AX$6-$E$3,22))&lt;&gt;""),Trigo!$E77:INDEX(Trigo!$E77:$Z77,MIN(AX$6-$E$3,22))),0))-IF($G$2,0,IF((AX$6-$G$3)&lt;1,0,IFERROR(LOOKUP(2,1/(Trigo!$E77:INDEX(Trigo!$E77:$Z77,MIN(AX$6-$G$3,22))&lt;&gt;""),Trigo!$E77:INDEX(Trigo!$E77:$Z77,MIN(AX$6-$G$3,22))),0)))))</f>
        <v>0</v>
      </c>
      <c r="AY79" s="27" t="n">
        <f aca="false">IF(COUNT(Trigo!$E77:$Z77)=0,0,MAX(0,IF((AY$6-$E$3)&lt;1,0,IFERROR(LOOKUP(2,1/(Trigo!$E77:INDEX(Trigo!$E77:$Z77,MIN(AY$6-$E$3,22))&lt;&gt;""),Trigo!$E77:INDEX(Trigo!$E77:$Z77,MIN(AY$6-$E$3,22))),0))-IF($G$2,0,IF((AY$6-$G$3)&lt;1,0,IFERROR(LOOKUP(2,1/(Trigo!$E77:INDEX(Trigo!$E77:$Z77,MIN(AY$6-$G$3,22))&lt;&gt;""),Trigo!$E77:INDEX(Trigo!$E77:$Z77,MIN(AY$6-$G$3,22))),0)))))</f>
        <v>0</v>
      </c>
      <c r="AZ79" s="27" t="n">
        <f aca="false">IF(COUNT(Trigo!$E77:$Z77)=0,0,MAX(0,IF((AZ$6-$E$3)&lt;1,0,IFERROR(LOOKUP(2,1/(Trigo!$E77:INDEX(Trigo!$E77:$Z77,MIN(AZ$6-$E$3,22))&lt;&gt;""),Trigo!$E77:INDEX(Trigo!$E77:$Z77,MIN(AZ$6-$E$3,22))),0))-IF($G$2,0,IF((AZ$6-$G$3)&lt;1,0,IFERROR(LOOKUP(2,1/(Trigo!$E77:INDEX(Trigo!$E77:$Z77,MIN(AZ$6-$G$3,22))&lt;&gt;""),Trigo!$E77:INDEX(Trigo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IF(COUNT(Trigo!$E78:$Z78)&gt;0,N(Trigo!$D78),0)</f>
        <v>0</v>
      </c>
      <c r="E80" s="27" t="n">
        <f aca="false">IF(COUNT(Trigo!$E78:$Z78)=0,0,MAX(0,IF((E$6-$E$3)&lt;1,0,IFERROR(LOOKUP(2,1/(Trigo!$E78:INDEX(Trigo!$E78:$Z78,MIN(E$6-$E$3,22))&lt;&gt;""),Trigo!$E78:INDEX(Trigo!$E78:$Z78,MIN(E$6-$E$3,22))),0))-IF($G$2,0,IF((E$6-$G$3)&lt;1,0,IFERROR(LOOKUP(2,1/(Trigo!$E78:INDEX(Trigo!$E78:$Z78,MIN(E$6-$G$3,22))&lt;&gt;""),Trigo!$E78:INDEX(Trigo!$E78:$Z78,MIN(E$6-$G$3,22))),0)))))</f>
        <v>0</v>
      </c>
      <c r="F80" s="27" t="n">
        <f aca="false">IF(COUNT(Trigo!$E78:$Z78)=0,0,MAX(0,IF((F$6-$E$3)&lt;1,0,IFERROR(LOOKUP(2,1/(Trigo!$E78:INDEX(Trigo!$E78:$Z78,MIN(F$6-$E$3,22))&lt;&gt;""),Trigo!$E78:INDEX(Trigo!$E78:$Z78,MIN(F$6-$E$3,22))),0))-IF($G$2,0,IF((F$6-$G$3)&lt;1,0,IFERROR(LOOKUP(2,1/(Trigo!$E78:INDEX(Trigo!$E78:$Z78,MIN(F$6-$G$3,22))&lt;&gt;""),Trigo!$E78:INDEX(Trigo!$E78:$Z78,MIN(F$6-$G$3,22))),0)))))</f>
        <v>0</v>
      </c>
      <c r="G80" s="27" t="n">
        <f aca="false">IF(COUNT(Trigo!$E78:$Z78)=0,0,MAX(0,IF((G$6-$E$3)&lt;1,0,IFERROR(LOOKUP(2,1/(Trigo!$E78:INDEX(Trigo!$E78:$Z78,MIN(G$6-$E$3,22))&lt;&gt;""),Trigo!$E78:INDEX(Trigo!$E78:$Z78,MIN(G$6-$E$3,22))),0))-IF($G$2,0,IF((G$6-$G$3)&lt;1,0,IFERROR(LOOKUP(2,1/(Trigo!$E78:INDEX(Trigo!$E78:$Z78,MIN(G$6-$G$3,22))&lt;&gt;""),Trigo!$E78:INDEX(Trigo!$E78:$Z78,MIN(G$6-$G$3,22))),0)))))</f>
        <v>0</v>
      </c>
      <c r="H80" s="27" t="n">
        <f aca="false">IF(COUNT(Trigo!$E78:$Z78)=0,0,MAX(0,IF((H$6-$E$3)&lt;1,0,IFERROR(LOOKUP(2,1/(Trigo!$E78:INDEX(Trigo!$E78:$Z78,MIN(H$6-$E$3,22))&lt;&gt;""),Trigo!$E78:INDEX(Trigo!$E78:$Z78,MIN(H$6-$E$3,22))),0))-IF($G$2,0,IF((H$6-$G$3)&lt;1,0,IFERROR(LOOKUP(2,1/(Trigo!$E78:INDEX(Trigo!$E78:$Z78,MIN(H$6-$G$3,22))&lt;&gt;""),Trigo!$E78:INDEX(Trigo!$E78:$Z78,MIN(H$6-$G$3,22))),0)))))</f>
        <v>0</v>
      </c>
      <c r="I80" s="27" t="n">
        <f aca="false">IF(COUNT(Trigo!$E78:$Z78)=0,0,MAX(0,IF((I$6-$E$3)&lt;1,0,IFERROR(LOOKUP(2,1/(Trigo!$E78:INDEX(Trigo!$E78:$Z78,MIN(I$6-$E$3,22))&lt;&gt;""),Trigo!$E78:INDEX(Trigo!$E78:$Z78,MIN(I$6-$E$3,22))),0))-IF($G$2,0,IF((I$6-$G$3)&lt;1,0,IFERROR(LOOKUP(2,1/(Trigo!$E78:INDEX(Trigo!$E78:$Z78,MIN(I$6-$G$3,22))&lt;&gt;""),Trigo!$E78:INDEX(Trigo!$E78:$Z78,MIN(I$6-$G$3,22))),0)))))</f>
        <v>0</v>
      </c>
      <c r="J80" s="27" t="n">
        <f aca="false">IF(COUNT(Trigo!$E78:$Z78)=0,0,MAX(0,IF((J$6-$E$3)&lt;1,0,IFERROR(LOOKUP(2,1/(Trigo!$E78:INDEX(Trigo!$E78:$Z78,MIN(J$6-$E$3,22))&lt;&gt;""),Trigo!$E78:INDEX(Trigo!$E78:$Z78,MIN(J$6-$E$3,22))),0))-IF($G$2,0,IF((J$6-$G$3)&lt;1,0,IFERROR(LOOKUP(2,1/(Trigo!$E78:INDEX(Trigo!$E78:$Z78,MIN(J$6-$G$3,22))&lt;&gt;""),Trigo!$E78:INDEX(Trigo!$E78:$Z78,MIN(J$6-$G$3,22))),0)))))</f>
        <v>0</v>
      </c>
      <c r="K80" s="27" t="n">
        <f aca="false">IF(COUNT(Trigo!$E78:$Z78)=0,0,MAX(0,IF((K$6-$E$3)&lt;1,0,IFERROR(LOOKUP(2,1/(Trigo!$E78:INDEX(Trigo!$E78:$Z78,MIN(K$6-$E$3,22))&lt;&gt;""),Trigo!$E78:INDEX(Trigo!$E78:$Z78,MIN(K$6-$E$3,22))),0))-IF($G$2,0,IF((K$6-$G$3)&lt;1,0,IFERROR(LOOKUP(2,1/(Trigo!$E78:INDEX(Trigo!$E78:$Z78,MIN(K$6-$G$3,22))&lt;&gt;""),Trigo!$E78:INDEX(Trigo!$E78:$Z78,MIN(K$6-$G$3,22))),0)))))</f>
        <v>0</v>
      </c>
      <c r="L80" s="27" t="n">
        <f aca="false">IF(COUNT(Trigo!$E78:$Z78)=0,0,MAX(0,IF((L$6-$E$3)&lt;1,0,IFERROR(LOOKUP(2,1/(Trigo!$E78:INDEX(Trigo!$E78:$Z78,MIN(L$6-$E$3,22))&lt;&gt;""),Trigo!$E78:INDEX(Trigo!$E78:$Z78,MIN(L$6-$E$3,22))),0))-IF($G$2,0,IF((L$6-$G$3)&lt;1,0,IFERROR(LOOKUP(2,1/(Trigo!$E78:INDEX(Trigo!$E78:$Z78,MIN(L$6-$G$3,22))&lt;&gt;""),Trigo!$E78:INDEX(Trigo!$E78:$Z78,MIN(L$6-$G$3,22))),0)))))</f>
        <v>0</v>
      </c>
      <c r="M80" s="27" t="n">
        <f aca="false">IF(COUNT(Trigo!$E78:$Z78)=0,0,MAX(0,IF((M$6-$E$3)&lt;1,0,IFERROR(LOOKUP(2,1/(Trigo!$E78:INDEX(Trigo!$E78:$Z78,MIN(M$6-$E$3,22))&lt;&gt;""),Trigo!$E78:INDEX(Trigo!$E78:$Z78,MIN(M$6-$E$3,22))),0))-IF($G$2,0,IF((M$6-$G$3)&lt;1,0,IFERROR(LOOKUP(2,1/(Trigo!$E78:INDEX(Trigo!$E78:$Z78,MIN(M$6-$G$3,22))&lt;&gt;""),Trigo!$E78:INDEX(Trigo!$E78:$Z78,MIN(M$6-$G$3,22))),0)))))</f>
        <v>0</v>
      </c>
      <c r="N80" s="27" t="n">
        <f aca="false">IF(COUNT(Trigo!$E78:$Z78)=0,0,MAX(0,IF((N$6-$E$3)&lt;1,0,IFERROR(LOOKUP(2,1/(Trigo!$E78:INDEX(Trigo!$E78:$Z78,MIN(N$6-$E$3,22))&lt;&gt;""),Trigo!$E78:INDEX(Trigo!$E78:$Z78,MIN(N$6-$E$3,22))),0))-IF($G$2,0,IF((N$6-$G$3)&lt;1,0,IFERROR(LOOKUP(2,1/(Trigo!$E78:INDEX(Trigo!$E78:$Z78,MIN(N$6-$G$3,22))&lt;&gt;""),Trigo!$E78:INDEX(Trigo!$E78:$Z78,MIN(N$6-$G$3,22))),0)))))</f>
        <v>0</v>
      </c>
      <c r="O80" s="27" t="n">
        <f aca="false">IF(COUNT(Trigo!$E78:$Z78)=0,0,MAX(0,IF((O$6-$E$3)&lt;1,0,IFERROR(LOOKUP(2,1/(Trigo!$E78:INDEX(Trigo!$E78:$Z78,MIN(O$6-$E$3,22))&lt;&gt;""),Trigo!$E78:INDEX(Trigo!$E78:$Z78,MIN(O$6-$E$3,22))),0))-IF($G$2,0,IF((O$6-$G$3)&lt;1,0,IFERROR(LOOKUP(2,1/(Trigo!$E78:INDEX(Trigo!$E78:$Z78,MIN(O$6-$G$3,22))&lt;&gt;""),Trigo!$E78:INDEX(Trigo!$E78:$Z78,MIN(O$6-$G$3,22))),0)))))</f>
        <v>0</v>
      </c>
      <c r="P80" s="27" t="n">
        <f aca="false">IF(COUNT(Trigo!$E78:$Z78)=0,0,MAX(0,IF((P$6-$E$3)&lt;1,0,IFERROR(LOOKUP(2,1/(Trigo!$E78:INDEX(Trigo!$E78:$Z78,MIN(P$6-$E$3,22))&lt;&gt;""),Trigo!$E78:INDEX(Trigo!$E78:$Z78,MIN(P$6-$E$3,22))),0))-IF($G$2,0,IF((P$6-$G$3)&lt;1,0,IFERROR(LOOKUP(2,1/(Trigo!$E78:INDEX(Trigo!$E78:$Z78,MIN(P$6-$G$3,22))&lt;&gt;""),Trigo!$E78:INDEX(Trigo!$E78:$Z78,MIN(P$6-$G$3,22))),0)))))</f>
        <v>0</v>
      </c>
      <c r="Q80" s="27" t="n">
        <f aca="false">IF(COUNT(Trigo!$E78:$Z78)=0,0,MAX(0,IF((Q$6-$E$3)&lt;1,0,IFERROR(LOOKUP(2,1/(Trigo!$E78:INDEX(Trigo!$E78:$Z78,MIN(Q$6-$E$3,22))&lt;&gt;""),Trigo!$E78:INDEX(Trigo!$E78:$Z78,MIN(Q$6-$E$3,22))),0))-IF($G$2,0,IF((Q$6-$G$3)&lt;1,0,IFERROR(LOOKUP(2,1/(Trigo!$E78:INDEX(Trigo!$E78:$Z78,MIN(Q$6-$G$3,22))&lt;&gt;""),Trigo!$E78:INDEX(Trigo!$E78:$Z78,MIN(Q$6-$G$3,22))),0)))))</f>
        <v>0</v>
      </c>
      <c r="R80" s="27" t="n">
        <f aca="false">IF(COUNT(Trigo!$E78:$Z78)=0,0,MAX(0,IF((R$6-$E$3)&lt;1,0,IFERROR(LOOKUP(2,1/(Trigo!$E78:INDEX(Trigo!$E78:$Z78,MIN(R$6-$E$3,22))&lt;&gt;""),Trigo!$E78:INDEX(Trigo!$E78:$Z78,MIN(R$6-$E$3,22))),0))-IF($G$2,0,IF((R$6-$G$3)&lt;1,0,IFERROR(LOOKUP(2,1/(Trigo!$E78:INDEX(Trigo!$E78:$Z78,MIN(R$6-$G$3,22))&lt;&gt;""),Trigo!$E78:INDEX(Trigo!$E78:$Z78,MIN(R$6-$G$3,22))),0)))))</f>
        <v>0</v>
      </c>
      <c r="S80" s="27" t="n">
        <f aca="false">IF(COUNT(Trigo!$E78:$Z78)=0,0,MAX(0,IF((S$6-$E$3)&lt;1,0,IFERROR(LOOKUP(2,1/(Trigo!$E78:INDEX(Trigo!$E78:$Z78,MIN(S$6-$E$3,22))&lt;&gt;""),Trigo!$E78:INDEX(Trigo!$E78:$Z78,MIN(S$6-$E$3,22))),0))-IF($G$2,0,IF((S$6-$G$3)&lt;1,0,IFERROR(LOOKUP(2,1/(Trigo!$E78:INDEX(Trigo!$E78:$Z78,MIN(S$6-$G$3,22))&lt;&gt;""),Trigo!$E78:INDEX(Trigo!$E78:$Z78,MIN(S$6-$G$3,22))),0)))))</f>
        <v>0</v>
      </c>
      <c r="T80" s="27" t="n">
        <f aca="false">IF(COUNT(Trigo!$E78:$Z78)=0,0,MAX(0,IF((T$6-$E$3)&lt;1,0,IFERROR(LOOKUP(2,1/(Trigo!$E78:INDEX(Trigo!$E78:$Z78,MIN(T$6-$E$3,22))&lt;&gt;""),Trigo!$E78:INDEX(Trigo!$E78:$Z78,MIN(T$6-$E$3,22))),0))-IF($G$2,0,IF((T$6-$G$3)&lt;1,0,IFERROR(LOOKUP(2,1/(Trigo!$E78:INDEX(Trigo!$E78:$Z78,MIN(T$6-$G$3,22))&lt;&gt;""),Trigo!$E78:INDEX(Trigo!$E78:$Z78,MIN(T$6-$G$3,22))),0)))))</f>
        <v>0</v>
      </c>
      <c r="U80" s="27" t="n">
        <f aca="false">IF(COUNT(Trigo!$E78:$Z78)=0,0,MAX(0,IF((U$6-$E$3)&lt;1,0,IFERROR(LOOKUP(2,1/(Trigo!$E78:INDEX(Trigo!$E78:$Z78,MIN(U$6-$E$3,22))&lt;&gt;""),Trigo!$E78:INDEX(Trigo!$E78:$Z78,MIN(U$6-$E$3,22))),0))-IF($G$2,0,IF((U$6-$G$3)&lt;1,0,IFERROR(LOOKUP(2,1/(Trigo!$E78:INDEX(Trigo!$E78:$Z78,MIN(U$6-$G$3,22))&lt;&gt;""),Trigo!$E78:INDEX(Trigo!$E78:$Z78,MIN(U$6-$G$3,22))),0)))))</f>
        <v>0</v>
      </c>
      <c r="V80" s="27" t="n">
        <f aca="false">IF(COUNT(Trigo!$E78:$Z78)=0,0,MAX(0,IF((V$6-$E$3)&lt;1,0,IFERROR(LOOKUP(2,1/(Trigo!$E78:INDEX(Trigo!$E78:$Z78,MIN(V$6-$E$3,22))&lt;&gt;""),Trigo!$E78:INDEX(Trigo!$E78:$Z78,MIN(V$6-$E$3,22))),0))-IF($G$2,0,IF((V$6-$G$3)&lt;1,0,IFERROR(LOOKUP(2,1/(Trigo!$E78:INDEX(Trigo!$E78:$Z78,MIN(V$6-$G$3,22))&lt;&gt;""),Trigo!$E78:INDEX(Trigo!$E78:$Z78,MIN(V$6-$G$3,22))),0)))))</f>
        <v>0</v>
      </c>
      <c r="W80" s="27" t="n">
        <f aca="false">IF(COUNT(Trigo!$E78:$Z78)=0,0,MAX(0,IF((W$6-$E$3)&lt;1,0,IFERROR(LOOKUP(2,1/(Trigo!$E78:INDEX(Trigo!$E78:$Z78,MIN(W$6-$E$3,22))&lt;&gt;""),Trigo!$E78:INDEX(Trigo!$E78:$Z78,MIN(W$6-$E$3,22))),0))-IF($G$2,0,IF((W$6-$G$3)&lt;1,0,IFERROR(LOOKUP(2,1/(Trigo!$E78:INDEX(Trigo!$E78:$Z78,MIN(W$6-$G$3,22))&lt;&gt;""),Trigo!$E78:INDEX(Trigo!$E78:$Z78,MIN(W$6-$G$3,22))),0)))))</f>
        <v>0</v>
      </c>
      <c r="X80" s="27" t="n">
        <f aca="false">IF(COUNT(Trigo!$E78:$Z78)=0,0,MAX(0,IF((X$6-$E$3)&lt;1,0,IFERROR(LOOKUP(2,1/(Trigo!$E78:INDEX(Trigo!$E78:$Z78,MIN(X$6-$E$3,22))&lt;&gt;""),Trigo!$E78:INDEX(Trigo!$E78:$Z78,MIN(X$6-$E$3,22))),0))-IF($G$2,0,IF((X$6-$G$3)&lt;1,0,IFERROR(LOOKUP(2,1/(Trigo!$E78:INDEX(Trigo!$E78:$Z78,MIN(X$6-$G$3,22))&lt;&gt;""),Trigo!$E78:INDEX(Trigo!$E78:$Z78,MIN(X$6-$G$3,22))),0)))))</f>
        <v>0</v>
      </c>
      <c r="Y80" s="27" t="n">
        <f aca="false">IF(COUNT(Trigo!$E78:$Z78)=0,0,MAX(0,IF((Y$6-$E$3)&lt;1,0,IFERROR(LOOKUP(2,1/(Trigo!$E78:INDEX(Trigo!$E78:$Z78,MIN(Y$6-$E$3,22))&lt;&gt;""),Trigo!$E78:INDEX(Trigo!$E78:$Z78,MIN(Y$6-$E$3,22))),0))-IF($G$2,0,IF((Y$6-$G$3)&lt;1,0,IFERROR(LOOKUP(2,1/(Trigo!$E78:INDEX(Trigo!$E78:$Z78,MIN(Y$6-$G$3,22))&lt;&gt;""),Trigo!$E78:INDEX(Trigo!$E78:$Z78,MIN(Y$6-$G$3,22))),0)))))</f>
        <v>0</v>
      </c>
      <c r="Z80" s="27" t="n">
        <f aca="false">IF(COUNT(Trigo!$E78:$Z78)=0,0,MAX(0,IF((Z$6-$E$3)&lt;1,0,IFERROR(LOOKUP(2,1/(Trigo!$E78:INDEX(Trigo!$E78:$Z78,MIN(Z$6-$E$3,22))&lt;&gt;""),Trigo!$E78:INDEX(Trigo!$E78:$Z78,MIN(Z$6-$E$3,22))),0))-IF($G$2,0,IF((Z$6-$G$3)&lt;1,0,IFERROR(LOOKUP(2,1/(Trigo!$E78:INDEX(Trigo!$E78:$Z78,MIN(Z$6-$G$3,22))&lt;&gt;""),Trigo!$E78:INDEX(Trigo!$E78:$Z78,MIN(Z$6-$G$3,22))),0)))))</f>
        <v>0</v>
      </c>
      <c r="AA80" s="27" t="n">
        <f aca="false">IF(COUNT(Trigo!$E78:$Z78)=0,0,MAX(0,IF((AA$6-$E$3)&lt;1,0,IFERROR(LOOKUP(2,1/(Trigo!$E78:INDEX(Trigo!$E78:$Z78,MIN(AA$6-$E$3,22))&lt;&gt;""),Trigo!$E78:INDEX(Trigo!$E78:$Z78,MIN(AA$6-$E$3,22))),0))-IF($G$2,0,IF((AA$6-$G$3)&lt;1,0,IFERROR(LOOKUP(2,1/(Trigo!$E78:INDEX(Trigo!$E78:$Z78,MIN(AA$6-$G$3,22))&lt;&gt;""),Trigo!$E78:INDEX(Trigo!$E78:$Z78,MIN(AA$6-$G$3,22))),0)))))</f>
        <v>0</v>
      </c>
      <c r="AB80" s="27" t="n">
        <f aca="false">IF(COUNT(Trigo!$E78:$Z78)=0,0,MAX(0,IF((AB$6-$E$3)&lt;1,0,IFERROR(LOOKUP(2,1/(Trigo!$E78:INDEX(Trigo!$E78:$Z78,MIN(AB$6-$E$3,22))&lt;&gt;""),Trigo!$E78:INDEX(Trigo!$E78:$Z78,MIN(AB$6-$E$3,22))),0))-IF($G$2,0,IF((AB$6-$G$3)&lt;1,0,IFERROR(LOOKUP(2,1/(Trigo!$E78:INDEX(Trigo!$E78:$Z78,MIN(AB$6-$G$3,22))&lt;&gt;""),Trigo!$E78:INDEX(Trigo!$E78:$Z78,MIN(AB$6-$G$3,22))),0)))))</f>
        <v>0</v>
      </c>
      <c r="AC80" s="27" t="n">
        <f aca="false">IF(COUNT(Trigo!$E78:$Z78)=0,0,MAX(0,IF((AC$6-$E$3)&lt;1,0,IFERROR(LOOKUP(2,1/(Trigo!$E78:INDEX(Trigo!$E78:$Z78,MIN(AC$6-$E$3,22))&lt;&gt;""),Trigo!$E78:INDEX(Trigo!$E78:$Z78,MIN(AC$6-$E$3,22))),0))-IF($G$2,0,IF((AC$6-$G$3)&lt;1,0,IFERROR(LOOKUP(2,1/(Trigo!$E78:INDEX(Trigo!$E78:$Z78,MIN(AC$6-$G$3,22))&lt;&gt;""),Trigo!$E78:INDEX(Trigo!$E78:$Z78,MIN(AC$6-$G$3,22))),0)))))</f>
        <v>0</v>
      </c>
      <c r="AD80" s="27" t="n">
        <f aca="false">IF(COUNT(Trigo!$E78:$Z78)=0,0,MAX(0,IF((AD$6-$E$3)&lt;1,0,IFERROR(LOOKUP(2,1/(Trigo!$E78:INDEX(Trigo!$E78:$Z78,MIN(AD$6-$E$3,22))&lt;&gt;""),Trigo!$E78:INDEX(Trigo!$E78:$Z78,MIN(AD$6-$E$3,22))),0))-IF($G$2,0,IF((AD$6-$G$3)&lt;1,0,IFERROR(LOOKUP(2,1/(Trigo!$E78:INDEX(Trigo!$E78:$Z78,MIN(AD$6-$G$3,22))&lt;&gt;""),Trigo!$E78:INDEX(Trigo!$E78:$Z78,MIN(AD$6-$G$3,22))),0)))))</f>
        <v>0</v>
      </c>
      <c r="AE80" s="27" t="n">
        <f aca="false">IF(COUNT(Trigo!$E78:$Z78)=0,0,MAX(0,IF((AE$6-$E$3)&lt;1,0,IFERROR(LOOKUP(2,1/(Trigo!$E78:INDEX(Trigo!$E78:$Z78,MIN(AE$6-$E$3,22))&lt;&gt;""),Trigo!$E78:INDEX(Trigo!$E78:$Z78,MIN(AE$6-$E$3,22))),0))-IF($G$2,0,IF((AE$6-$G$3)&lt;1,0,IFERROR(LOOKUP(2,1/(Trigo!$E78:INDEX(Trigo!$E78:$Z78,MIN(AE$6-$G$3,22))&lt;&gt;""),Trigo!$E78:INDEX(Trigo!$E78:$Z78,MIN(AE$6-$G$3,22))),0)))))</f>
        <v>0</v>
      </c>
      <c r="AF80" s="27" t="n">
        <f aca="false">IF(COUNT(Trigo!$E78:$Z78)=0,0,MAX(0,IF((AF$6-$E$3)&lt;1,0,IFERROR(LOOKUP(2,1/(Trigo!$E78:INDEX(Trigo!$E78:$Z78,MIN(AF$6-$E$3,22))&lt;&gt;""),Trigo!$E78:INDEX(Trigo!$E78:$Z78,MIN(AF$6-$E$3,22))),0))-IF($G$2,0,IF((AF$6-$G$3)&lt;1,0,IFERROR(LOOKUP(2,1/(Trigo!$E78:INDEX(Trigo!$E78:$Z78,MIN(AF$6-$G$3,22))&lt;&gt;""),Trigo!$E78:INDEX(Trigo!$E78:$Z78,MIN(AF$6-$G$3,22))),0)))))</f>
        <v>0</v>
      </c>
      <c r="AG80" s="27" t="n">
        <f aca="false">IF(COUNT(Trigo!$E78:$Z78)=0,0,MAX(0,IF((AG$6-$E$3)&lt;1,0,IFERROR(LOOKUP(2,1/(Trigo!$E78:INDEX(Trigo!$E78:$Z78,MIN(AG$6-$E$3,22))&lt;&gt;""),Trigo!$E78:INDEX(Trigo!$E78:$Z78,MIN(AG$6-$E$3,22))),0))-IF($G$2,0,IF((AG$6-$G$3)&lt;1,0,IFERROR(LOOKUP(2,1/(Trigo!$E78:INDEX(Trigo!$E78:$Z78,MIN(AG$6-$G$3,22))&lt;&gt;""),Trigo!$E78:INDEX(Trigo!$E78:$Z78,MIN(AG$6-$G$3,22))),0)))))</f>
        <v>0</v>
      </c>
      <c r="AH80" s="27" t="n">
        <f aca="false">IF(COUNT(Trigo!$E78:$Z78)=0,0,MAX(0,IF((AH$6-$E$3)&lt;1,0,IFERROR(LOOKUP(2,1/(Trigo!$E78:INDEX(Trigo!$E78:$Z78,MIN(AH$6-$E$3,22))&lt;&gt;""),Trigo!$E78:INDEX(Trigo!$E78:$Z78,MIN(AH$6-$E$3,22))),0))-IF($G$2,0,IF((AH$6-$G$3)&lt;1,0,IFERROR(LOOKUP(2,1/(Trigo!$E78:INDEX(Trigo!$E78:$Z78,MIN(AH$6-$G$3,22))&lt;&gt;""),Trigo!$E78:INDEX(Trigo!$E78:$Z78,MIN(AH$6-$G$3,22))),0)))))</f>
        <v>0</v>
      </c>
      <c r="AI80" s="27" t="n">
        <f aca="false">IF(COUNT(Trigo!$E78:$Z78)=0,0,MAX(0,IF((AI$6-$E$3)&lt;1,0,IFERROR(LOOKUP(2,1/(Trigo!$E78:INDEX(Trigo!$E78:$Z78,MIN(AI$6-$E$3,22))&lt;&gt;""),Trigo!$E78:INDEX(Trigo!$E78:$Z78,MIN(AI$6-$E$3,22))),0))-IF($G$2,0,IF((AI$6-$G$3)&lt;1,0,IFERROR(LOOKUP(2,1/(Trigo!$E78:INDEX(Trigo!$E78:$Z78,MIN(AI$6-$G$3,22))&lt;&gt;""),Trigo!$E78:INDEX(Trigo!$E78:$Z78,MIN(AI$6-$G$3,22))),0)))))</f>
        <v>0</v>
      </c>
      <c r="AJ80" s="27" t="n">
        <f aca="false">IF(COUNT(Trigo!$E78:$Z78)=0,0,MAX(0,IF((AJ$6-$E$3)&lt;1,0,IFERROR(LOOKUP(2,1/(Trigo!$E78:INDEX(Trigo!$E78:$Z78,MIN(AJ$6-$E$3,22))&lt;&gt;""),Trigo!$E78:INDEX(Trigo!$E78:$Z78,MIN(AJ$6-$E$3,22))),0))-IF($G$2,0,IF((AJ$6-$G$3)&lt;1,0,IFERROR(LOOKUP(2,1/(Trigo!$E78:INDEX(Trigo!$E78:$Z78,MIN(AJ$6-$G$3,22))&lt;&gt;""),Trigo!$E78:INDEX(Trigo!$E78:$Z78,MIN(AJ$6-$G$3,22))),0)))))</f>
        <v>0</v>
      </c>
      <c r="AK80" s="27" t="n">
        <f aca="false">IF(COUNT(Trigo!$E78:$Z78)=0,0,MAX(0,IF((AK$6-$E$3)&lt;1,0,IFERROR(LOOKUP(2,1/(Trigo!$E78:INDEX(Trigo!$E78:$Z78,MIN(AK$6-$E$3,22))&lt;&gt;""),Trigo!$E78:INDEX(Trigo!$E78:$Z78,MIN(AK$6-$E$3,22))),0))-IF($G$2,0,IF((AK$6-$G$3)&lt;1,0,IFERROR(LOOKUP(2,1/(Trigo!$E78:INDEX(Trigo!$E78:$Z78,MIN(AK$6-$G$3,22))&lt;&gt;""),Trigo!$E78:INDEX(Trigo!$E78:$Z78,MIN(AK$6-$G$3,22))),0)))))</f>
        <v>0</v>
      </c>
      <c r="AL80" s="27" t="n">
        <f aca="false">IF(COUNT(Trigo!$E78:$Z78)=0,0,MAX(0,IF((AL$6-$E$3)&lt;1,0,IFERROR(LOOKUP(2,1/(Trigo!$E78:INDEX(Trigo!$E78:$Z78,MIN(AL$6-$E$3,22))&lt;&gt;""),Trigo!$E78:INDEX(Trigo!$E78:$Z78,MIN(AL$6-$E$3,22))),0))-IF($G$2,0,IF((AL$6-$G$3)&lt;1,0,IFERROR(LOOKUP(2,1/(Trigo!$E78:INDEX(Trigo!$E78:$Z78,MIN(AL$6-$G$3,22))&lt;&gt;""),Trigo!$E78:INDEX(Trigo!$E78:$Z78,MIN(AL$6-$G$3,22))),0)))))</f>
        <v>0</v>
      </c>
      <c r="AM80" s="27" t="n">
        <f aca="false">IF(COUNT(Trigo!$E78:$Z78)=0,0,MAX(0,IF((AM$6-$E$3)&lt;1,0,IFERROR(LOOKUP(2,1/(Trigo!$E78:INDEX(Trigo!$E78:$Z78,MIN(AM$6-$E$3,22))&lt;&gt;""),Trigo!$E78:INDEX(Trigo!$E78:$Z78,MIN(AM$6-$E$3,22))),0))-IF($G$2,0,IF((AM$6-$G$3)&lt;1,0,IFERROR(LOOKUP(2,1/(Trigo!$E78:INDEX(Trigo!$E78:$Z78,MIN(AM$6-$G$3,22))&lt;&gt;""),Trigo!$E78:INDEX(Trigo!$E78:$Z78,MIN(AM$6-$G$3,22))),0)))))</f>
        <v>0</v>
      </c>
      <c r="AN80" s="27" t="n">
        <f aca="false">IF(COUNT(Trigo!$E78:$Z78)=0,0,MAX(0,IF((AN$6-$E$3)&lt;1,0,IFERROR(LOOKUP(2,1/(Trigo!$E78:INDEX(Trigo!$E78:$Z78,MIN(AN$6-$E$3,22))&lt;&gt;""),Trigo!$E78:INDEX(Trigo!$E78:$Z78,MIN(AN$6-$E$3,22))),0))-IF($G$2,0,IF((AN$6-$G$3)&lt;1,0,IFERROR(LOOKUP(2,1/(Trigo!$E78:INDEX(Trigo!$E78:$Z78,MIN(AN$6-$G$3,22))&lt;&gt;""),Trigo!$E78:INDEX(Trigo!$E78:$Z78,MIN(AN$6-$G$3,22))),0)))))</f>
        <v>0</v>
      </c>
      <c r="AO80" s="27" t="n">
        <f aca="false">IF(COUNT(Trigo!$E78:$Z78)=0,0,MAX(0,IF((AO$6-$E$3)&lt;1,0,IFERROR(LOOKUP(2,1/(Trigo!$E78:INDEX(Trigo!$E78:$Z78,MIN(AO$6-$E$3,22))&lt;&gt;""),Trigo!$E78:INDEX(Trigo!$E78:$Z78,MIN(AO$6-$E$3,22))),0))-IF($G$2,0,IF((AO$6-$G$3)&lt;1,0,IFERROR(LOOKUP(2,1/(Trigo!$E78:INDEX(Trigo!$E78:$Z78,MIN(AO$6-$G$3,22))&lt;&gt;""),Trigo!$E78:INDEX(Trigo!$E78:$Z78,MIN(AO$6-$G$3,22))),0)))))</f>
        <v>0</v>
      </c>
      <c r="AP80" s="27" t="n">
        <f aca="false">IF(COUNT(Trigo!$E78:$Z78)=0,0,MAX(0,IF((AP$6-$E$3)&lt;1,0,IFERROR(LOOKUP(2,1/(Trigo!$E78:INDEX(Trigo!$E78:$Z78,MIN(AP$6-$E$3,22))&lt;&gt;""),Trigo!$E78:INDEX(Trigo!$E78:$Z78,MIN(AP$6-$E$3,22))),0))-IF($G$2,0,IF((AP$6-$G$3)&lt;1,0,IFERROR(LOOKUP(2,1/(Trigo!$E78:INDEX(Trigo!$E78:$Z78,MIN(AP$6-$G$3,22))&lt;&gt;""),Trigo!$E78:INDEX(Trigo!$E78:$Z78,MIN(AP$6-$G$3,22))),0)))))</f>
        <v>0</v>
      </c>
      <c r="AQ80" s="27" t="n">
        <f aca="false">IF(COUNT(Trigo!$E78:$Z78)=0,0,MAX(0,IF((AQ$6-$E$3)&lt;1,0,IFERROR(LOOKUP(2,1/(Trigo!$E78:INDEX(Trigo!$E78:$Z78,MIN(AQ$6-$E$3,22))&lt;&gt;""),Trigo!$E78:INDEX(Trigo!$E78:$Z78,MIN(AQ$6-$E$3,22))),0))-IF($G$2,0,IF((AQ$6-$G$3)&lt;1,0,IFERROR(LOOKUP(2,1/(Trigo!$E78:INDEX(Trigo!$E78:$Z78,MIN(AQ$6-$G$3,22))&lt;&gt;""),Trigo!$E78:INDEX(Trigo!$E78:$Z78,MIN(AQ$6-$G$3,22))),0)))))</f>
        <v>0</v>
      </c>
      <c r="AR80" s="27" t="n">
        <f aca="false">IF(COUNT(Trigo!$E78:$Z78)=0,0,MAX(0,IF((AR$6-$E$3)&lt;1,0,IFERROR(LOOKUP(2,1/(Trigo!$E78:INDEX(Trigo!$E78:$Z78,MIN(AR$6-$E$3,22))&lt;&gt;""),Trigo!$E78:INDEX(Trigo!$E78:$Z78,MIN(AR$6-$E$3,22))),0))-IF($G$2,0,IF((AR$6-$G$3)&lt;1,0,IFERROR(LOOKUP(2,1/(Trigo!$E78:INDEX(Trigo!$E78:$Z78,MIN(AR$6-$G$3,22))&lt;&gt;""),Trigo!$E78:INDEX(Trigo!$E78:$Z78,MIN(AR$6-$G$3,22))),0)))))</f>
        <v>0</v>
      </c>
      <c r="AS80" s="27" t="n">
        <f aca="false">IF(COUNT(Trigo!$E78:$Z78)=0,0,MAX(0,IF((AS$6-$E$3)&lt;1,0,IFERROR(LOOKUP(2,1/(Trigo!$E78:INDEX(Trigo!$E78:$Z78,MIN(AS$6-$E$3,22))&lt;&gt;""),Trigo!$E78:INDEX(Trigo!$E78:$Z78,MIN(AS$6-$E$3,22))),0))-IF($G$2,0,IF((AS$6-$G$3)&lt;1,0,IFERROR(LOOKUP(2,1/(Trigo!$E78:INDEX(Trigo!$E78:$Z78,MIN(AS$6-$G$3,22))&lt;&gt;""),Trigo!$E78:INDEX(Trigo!$E78:$Z78,MIN(AS$6-$G$3,22))),0)))))</f>
        <v>0</v>
      </c>
      <c r="AT80" s="27" t="n">
        <f aca="false">IF(COUNT(Trigo!$E78:$Z78)=0,0,MAX(0,IF((AT$6-$E$3)&lt;1,0,IFERROR(LOOKUP(2,1/(Trigo!$E78:INDEX(Trigo!$E78:$Z78,MIN(AT$6-$E$3,22))&lt;&gt;""),Trigo!$E78:INDEX(Trigo!$E78:$Z78,MIN(AT$6-$E$3,22))),0))-IF($G$2,0,IF((AT$6-$G$3)&lt;1,0,IFERROR(LOOKUP(2,1/(Trigo!$E78:INDEX(Trigo!$E78:$Z78,MIN(AT$6-$G$3,22))&lt;&gt;""),Trigo!$E78:INDEX(Trigo!$E78:$Z78,MIN(AT$6-$G$3,22))),0)))))</f>
        <v>0</v>
      </c>
      <c r="AU80" s="27" t="n">
        <f aca="false">IF(COUNT(Trigo!$E78:$Z78)=0,0,MAX(0,IF((AU$6-$E$3)&lt;1,0,IFERROR(LOOKUP(2,1/(Trigo!$E78:INDEX(Trigo!$E78:$Z78,MIN(AU$6-$E$3,22))&lt;&gt;""),Trigo!$E78:INDEX(Trigo!$E78:$Z78,MIN(AU$6-$E$3,22))),0))-IF($G$2,0,IF((AU$6-$G$3)&lt;1,0,IFERROR(LOOKUP(2,1/(Trigo!$E78:INDEX(Trigo!$E78:$Z78,MIN(AU$6-$G$3,22))&lt;&gt;""),Trigo!$E78:INDEX(Trigo!$E78:$Z78,MIN(AU$6-$G$3,22))),0)))))</f>
        <v>0</v>
      </c>
      <c r="AV80" s="27" t="n">
        <f aca="false">IF(COUNT(Trigo!$E78:$Z78)=0,0,MAX(0,IF((AV$6-$E$3)&lt;1,0,IFERROR(LOOKUP(2,1/(Trigo!$E78:INDEX(Trigo!$E78:$Z78,MIN(AV$6-$E$3,22))&lt;&gt;""),Trigo!$E78:INDEX(Trigo!$E78:$Z78,MIN(AV$6-$E$3,22))),0))-IF($G$2,0,IF((AV$6-$G$3)&lt;1,0,IFERROR(LOOKUP(2,1/(Trigo!$E78:INDEX(Trigo!$E78:$Z78,MIN(AV$6-$G$3,22))&lt;&gt;""),Trigo!$E78:INDEX(Trigo!$E78:$Z78,MIN(AV$6-$G$3,22))),0)))))</f>
        <v>0</v>
      </c>
      <c r="AW80" s="27" t="n">
        <f aca="false">IF(COUNT(Trigo!$E78:$Z78)=0,0,MAX(0,IF((AW$6-$E$3)&lt;1,0,IFERROR(LOOKUP(2,1/(Trigo!$E78:INDEX(Trigo!$E78:$Z78,MIN(AW$6-$E$3,22))&lt;&gt;""),Trigo!$E78:INDEX(Trigo!$E78:$Z78,MIN(AW$6-$E$3,22))),0))-IF($G$2,0,IF((AW$6-$G$3)&lt;1,0,IFERROR(LOOKUP(2,1/(Trigo!$E78:INDEX(Trigo!$E78:$Z78,MIN(AW$6-$G$3,22))&lt;&gt;""),Trigo!$E78:INDEX(Trigo!$E78:$Z78,MIN(AW$6-$G$3,22))),0)))))</f>
        <v>0</v>
      </c>
      <c r="AX80" s="27" t="n">
        <f aca="false">IF(COUNT(Trigo!$E78:$Z78)=0,0,MAX(0,IF((AX$6-$E$3)&lt;1,0,IFERROR(LOOKUP(2,1/(Trigo!$E78:INDEX(Trigo!$E78:$Z78,MIN(AX$6-$E$3,22))&lt;&gt;""),Trigo!$E78:INDEX(Trigo!$E78:$Z78,MIN(AX$6-$E$3,22))),0))-IF($G$2,0,IF((AX$6-$G$3)&lt;1,0,IFERROR(LOOKUP(2,1/(Trigo!$E78:INDEX(Trigo!$E78:$Z78,MIN(AX$6-$G$3,22))&lt;&gt;""),Trigo!$E78:INDEX(Trigo!$E78:$Z78,MIN(AX$6-$G$3,22))),0)))))</f>
        <v>0</v>
      </c>
      <c r="AY80" s="27" t="n">
        <f aca="false">IF(COUNT(Trigo!$E78:$Z78)=0,0,MAX(0,IF((AY$6-$E$3)&lt;1,0,IFERROR(LOOKUP(2,1/(Trigo!$E78:INDEX(Trigo!$E78:$Z78,MIN(AY$6-$E$3,22))&lt;&gt;""),Trigo!$E78:INDEX(Trigo!$E78:$Z78,MIN(AY$6-$E$3,22))),0))-IF($G$2,0,IF((AY$6-$G$3)&lt;1,0,IFERROR(LOOKUP(2,1/(Trigo!$E78:INDEX(Trigo!$E78:$Z78,MIN(AY$6-$G$3,22))&lt;&gt;""),Trigo!$E78:INDEX(Trigo!$E78:$Z78,MIN(AY$6-$G$3,22))),0)))))</f>
        <v>0</v>
      </c>
      <c r="AZ80" s="27" t="n">
        <f aca="false">IF(COUNT(Trigo!$E78:$Z78)=0,0,MAX(0,IF((AZ$6-$E$3)&lt;1,0,IFERROR(LOOKUP(2,1/(Trigo!$E78:INDEX(Trigo!$E78:$Z78,MIN(AZ$6-$E$3,22))&lt;&gt;""),Trigo!$E78:INDEX(Trigo!$E78:$Z78,MIN(AZ$6-$E$3,22))),0))-IF($G$2,0,IF((AZ$6-$G$3)&lt;1,0,IFERROR(LOOKUP(2,1/(Trigo!$E78:INDEX(Trigo!$E78:$Z78,MIN(AZ$6-$G$3,22))&lt;&gt;""),Trigo!$E78:INDEX(Trigo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IF(COUNT(Trigo!$E79:$Z79)&gt;0,N(Trigo!$D79),0)</f>
        <v>0</v>
      </c>
      <c r="E81" s="27" t="n">
        <f aca="false">IF(COUNT(Trigo!$E79:$Z79)=0,0,MAX(0,IF((E$6-$E$3)&lt;1,0,IFERROR(LOOKUP(2,1/(Trigo!$E79:INDEX(Trigo!$E79:$Z79,MIN(E$6-$E$3,22))&lt;&gt;""),Trigo!$E79:INDEX(Trigo!$E79:$Z79,MIN(E$6-$E$3,22))),0))-IF($G$2,0,IF((E$6-$G$3)&lt;1,0,IFERROR(LOOKUP(2,1/(Trigo!$E79:INDEX(Trigo!$E79:$Z79,MIN(E$6-$G$3,22))&lt;&gt;""),Trigo!$E79:INDEX(Trigo!$E79:$Z79,MIN(E$6-$G$3,22))),0)))))</f>
        <v>0</v>
      </c>
      <c r="F81" s="27" t="n">
        <f aca="false">IF(COUNT(Trigo!$E79:$Z79)=0,0,MAX(0,IF((F$6-$E$3)&lt;1,0,IFERROR(LOOKUP(2,1/(Trigo!$E79:INDEX(Trigo!$E79:$Z79,MIN(F$6-$E$3,22))&lt;&gt;""),Trigo!$E79:INDEX(Trigo!$E79:$Z79,MIN(F$6-$E$3,22))),0))-IF($G$2,0,IF((F$6-$G$3)&lt;1,0,IFERROR(LOOKUP(2,1/(Trigo!$E79:INDEX(Trigo!$E79:$Z79,MIN(F$6-$G$3,22))&lt;&gt;""),Trigo!$E79:INDEX(Trigo!$E79:$Z79,MIN(F$6-$G$3,22))),0)))))</f>
        <v>0</v>
      </c>
      <c r="G81" s="27" t="n">
        <f aca="false">IF(COUNT(Trigo!$E79:$Z79)=0,0,MAX(0,IF((G$6-$E$3)&lt;1,0,IFERROR(LOOKUP(2,1/(Trigo!$E79:INDEX(Trigo!$E79:$Z79,MIN(G$6-$E$3,22))&lt;&gt;""),Trigo!$E79:INDEX(Trigo!$E79:$Z79,MIN(G$6-$E$3,22))),0))-IF($G$2,0,IF((G$6-$G$3)&lt;1,0,IFERROR(LOOKUP(2,1/(Trigo!$E79:INDEX(Trigo!$E79:$Z79,MIN(G$6-$G$3,22))&lt;&gt;""),Trigo!$E79:INDEX(Trigo!$E79:$Z79,MIN(G$6-$G$3,22))),0)))))</f>
        <v>0</v>
      </c>
      <c r="H81" s="27" t="n">
        <f aca="false">IF(COUNT(Trigo!$E79:$Z79)=0,0,MAX(0,IF((H$6-$E$3)&lt;1,0,IFERROR(LOOKUP(2,1/(Trigo!$E79:INDEX(Trigo!$E79:$Z79,MIN(H$6-$E$3,22))&lt;&gt;""),Trigo!$E79:INDEX(Trigo!$E79:$Z79,MIN(H$6-$E$3,22))),0))-IF($G$2,0,IF((H$6-$G$3)&lt;1,0,IFERROR(LOOKUP(2,1/(Trigo!$E79:INDEX(Trigo!$E79:$Z79,MIN(H$6-$G$3,22))&lt;&gt;""),Trigo!$E79:INDEX(Trigo!$E79:$Z79,MIN(H$6-$G$3,22))),0)))))</f>
        <v>0</v>
      </c>
      <c r="I81" s="27" t="n">
        <f aca="false">IF(COUNT(Trigo!$E79:$Z79)=0,0,MAX(0,IF((I$6-$E$3)&lt;1,0,IFERROR(LOOKUP(2,1/(Trigo!$E79:INDEX(Trigo!$E79:$Z79,MIN(I$6-$E$3,22))&lt;&gt;""),Trigo!$E79:INDEX(Trigo!$E79:$Z79,MIN(I$6-$E$3,22))),0))-IF($G$2,0,IF((I$6-$G$3)&lt;1,0,IFERROR(LOOKUP(2,1/(Trigo!$E79:INDEX(Trigo!$E79:$Z79,MIN(I$6-$G$3,22))&lt;&gt;""),Trigo!$E79:INDEX(Trigo!$E79:$Z79,MIN(I$6-$G$3,22))),0)))))</f>
        <v>0</v>
      </c>
      <c r="J81" s="27" t="n">
        <f aca="false">IF(COUNT(Trigo!$E79:$Z79)=0,0,MAX(0,IF((J$6-$E$3)&lt;1,0,IFERROR(LOOKUP(2,1/(Trigo!$E79:INDEX(Trigo!$E79:$Z79,MIN(J$6-$E$3,22))&lt;&gt;""),Trigo!$E79:INDEX(Trigo!$E79:$Z79,MIN(J$6-$E$3,22))),0))-IF($G$2,0,IF((J$6-$G$3)&lt;1,0,IFERROR(LOOKUP(2,1/(Trigo!$E79:INDEX(Trigo!$E79:$Z79,MIN(J$6-$G$3,22))&lt;&gt;""),Trigo!$E79:INDEX(Trigo!$E79:$Z79,MIN(J$6-$G$3,22))),0)))))</f>
        <v>0</v>
      </c>
      <c r="K81" s="27" t="n">
        <f aca="false">IF(COUNT(Trigo!$E79:$Z79)=0,0,MAX(0,IF((K$6-$E$3)&lt;1,0,IFERROR(LOOKUP(2,1/(Trigo!$E79:INDEX(Trigo!$E79:$Z79,MIN(K$6-$E$3,22))&lt;&gt;""),Trigo!$E79:INDEX(Trigo!$E79:$Z79,MIN(K$6-$E$3,22))),0))-IF($G$2,0,IF((K$6-$G$3)&lt;1,0,IFERROR(LOOKUP(2,1/(Trigo!$E79:INDEX(Trigo!$E79:$Z79,MIN(K$6-$G$3,22))&lt;&gt;""),Trigo!$E79:INDEX(Trigo!$E79:$Z79,MIN(K$6-$G$3,22))),0)))))</f>
        <v>0</v>
      </c>
      <c r="L81" s="27" t="n">
        <f aca="false">IF(COUNT(Trigo!$E79:$Z79)=0,0,MAX(0,IF((L$6-$E$3)&lt;1,0,IFERROR(LOOKUP(2,1/(Trigo!$E79:INDEX(Trigo!$E79:$Z79,MIN(L$6-$E$3,22))&lt;&gt;""),Trigo!$E79:INDEX(Trigo!$E79:$Z79,MIN(L$6-$E$3,22))),0))-IF($G$2,0,IF((L$6-$G$3)&lt;1,0,IFERROR(LOOKUP(2,1/(Trigo!$E79:INDEX(Trigo!$E79:$Z79,MIN(L$6-$G$3,22))&lt;&gt;""),Trigo!$E79:INDEX(Trigo!$E79:$Z79,MIN(L$6-$G$3,22))),0)))))</f>
        <v>0</v>
      </c>
      <c r="M81" s="27" t="n">
        <f aca="false">IF(COUNT(Trigo!$E79:$Z79)=0,0,MAX(0,IF((M$6-$E$3)&lt;1,0,IFERROR(LOOKUP(2,1/(Trigo!$E79:INDEX(Trigo!$E79:$Z79,MIN(M$6-$E$3,22))&lt;&gt;""),Trigo!$E79:INDEX(Trigo!$E79:$Z79,MIN(M$6-$E$3,22))),0))-IF($G$2,0,IF((M$6-$G$3)&lt;1,0,IFERROR(LOOKUP(2,1/(Trigo!$E79:INDEX(Trigo!$E79:$Z79,MIN(M$6-$G$3,22))&lt;&gt;""),Trigo!$E79:INDEX(Trigo!$E79:$Z79,MIN(M$6-$G$3,22))),0)))))</f>
        <v>0</v>
      </c>
      <c r="N81" s="27" t="n">
        <f aca="false">IF(COUNT(Trigo!$E79:$Z79)=0,0,MAX(0,IF((N$6-$E$3)&lt;1,0,IFERROR(LOOKUP(2,1/(Trigo!$E79:INDEX(Trigo!$E79:$Z79,MIN(N$6-$E$3,22))&lt;&gt;""),Trigo!$E79:INDEX(Trigo!$E79:$Z79,MIN(N$6-$E$3,22))),0))-IF($G$2,0,IF((N$6-$G$3)&lt;1,0,IFERROR(LOOKUP(2,1/(Trigo!$E79:INDEX(Trigo!$E79:$Z79,MIN(N$6-$G$3,22))&lt;&gt;""),Trigo!$E79:INDEX(Trigo!$E79:$Z79,MIN(N$6-$G$3,22))),0)))))</f>
        <v>0</v>
      </c>
      <c r="O81" s="27" t="n">
        <f aca="false">IF(COUNT(Trigo!$E79:$Z79)=0,0,MAX(0,IF((O$6-$E$3)&lt;1,0,IFERROR(LOOKUP(2,1/(Trigo!$E79:INDEX(Trigo!$E79:$Z79,MIN(O$6-$E$3,22))&lt;&gt;""),Trigo!$E79:INDEX(Trigo!$E79:$Z79,MIN(O$6-$E$3,22))),0))-IF($G$2,0,IF((O$6-$G$3)&lt;1,0,IFERROR(LOOKUP(2,1/(Trigo!$E79:INDEX(Trigo!$E79:$Z79,MIN(O$6-$G$3,22))&lt;&gt;""),Trigo!$E79:INDEX(Trigo!$E79:$Z79,MIN(O$6-$G$3,22))),0)))))</f>
        <v>0</v>
      </c>
      <c r="P81" s="27" t="n">
        <f aca="false">IF(COUNT(Trigo!$E79:$Z79)=0,0,MAX(0,IF((P$6-$E$3)&lt;1,0,IFERROR(LOOKUP(2,1/(Trigo!$E79:INDEX(Trigo!$E79:$Z79,MIN(P$6-$E$3,22))&lt;&gt;""),Trigo!$E79:INDEX(Trigo!$E79:$Z79,MIN(P$6-$E$3,22))),0))-IF($G$2,0,IF((P$6-$G$3)&lt;1,0,IFERROR(LOOKUP(2,1/(Trigo!$E79:INDEX(Trigo!$E79:$Z79,MIN(P$6-$G$3,22))&lt;&gt;""),Trigo!$E79:INDEX(Trigo!$E79:$Z79,MIN(P$6-$G$3,22))),0)))))</f>
        <v>0</v>
      </c>
      <c r="Q81" s="27" t="n">
        <f aca="false">IF(COUNT(Trigo!$E79:$Z79)=0,0,MAX(0,IF((Q$6-$E$3)&lt;1,0,IFERROR(LOOKUP(2,1/(Trigo!$E79:INDEX(Trigo!$E79:$Z79,MIN(Q$6-$E$3,22))&lt;&gt;""),Trigo!$E79:INDEX(Trigo!$E79:$Z79,MIN(Q$6-$E$3,22))),0))-IF($G$2,0,IF((Q$6-$G$3)&lt;1,0,IFERROR(LOOKUP(2,1/(Trigo!$E79:INDEX(Trigo!$E79:$Z79,MIN(Q$6-$G$3,22))&lt;&gt;""),Trigo!$E79:INDEX(Trigo!$E79:$Z79,MIN(Q$6-$G$3,22))),0)))))</f>
        <v>0</v>
      </c>
      <c r="R81" s="27" t="n">
        <f aca="false">IF(COUNT(Trigo!$E79:$Z79)=0,0,MAX(0,IF((R$6-$E$3)&lt;1,0,IFERROR(LOOKUP(2,1/(Trigo!$E79:INDEX(Trigo!$E79:$Z79,MIN(R$6-$E$3,22))&lt;&gt;""),Trigo!$E79:INDEX(Trigo!$E79:$Z79,MIN(R$6-$E$3,22))),0))-IF($G$2,0,IF((R$6-$G$3)&lt;1,0,IFERROR(LOOKUP(2,1/(Trigo!$E79:INDEX(Trigo!$E79:$Z79,MIN(R$6-$G$3,22))&lt;&gt;""),Trigo!$E79:INDEX(Trigo!$E79:$Z79,MIN(R$6-$G$3,22))),0)))))</f>
        <v>0</v>
      </c>
      <c r="S81" s="27" t="n">
        <f aca="false">IF(COUNT(Trigo!$E79:$Z79)=0,0,MAX(0,IF((S$6-$E$3)&lt;1,0,IFERROR(LOOKUP(2,1/(Trigo!$E79:INDEX(Trigo!$E79:$Z79,MIN(S$6-$E$3,22))&lt;&gt;""),Trigo!$E79:INDEX(Trigo!$E79:$Z79,MIN(S$6-$E$3,22))),0))-IF($G$2,0,IF((S$6-$G$3)&lt;1,0,IFERROR(LOOKUP(2,1/(Trigo!$E79:INDEX(Trigo!$E79:$Z79,MIN(S$6-$G$3,22))&lt;&gt;""),Trigo!$E79:INDEX(Trigo!$E79:$Z79,MIN(S$6-$G$3,22))),0)))))</f>
        <v>0</v>
      </c>
      <c r="T81" s="27" t="n">
        <f aca="false">IF(COUNT(Trigo!$E79:$Z79)=0,0,MAX(0,IF((T$6-$E$3)&lt;1,0,IFERROR(LOOKUP(2,1/(Trigo!$E79:INDEX(Trigo!$E79:$Z79,MIN(T$6-$E$3,22))&lt;&gt;""),Trigo!$E79:INDEX(Trigo!$E79:$Z79,MIN(T$6-$E$3,22))),0))-IF($G$2,0,IF((T$6-$G$3)&lt;1,0,IFERROR(LOOKUP(2,1/(Trigo!$E79:INDEX(Trigo!$E79:$Z79,MIN(T$6-$G$3,22))&lt;&gt;""),Trigo!$E79:INDEX(Trigo!$E79:$Z79,MIN(T$6-$G$3,22))),0)))))</f>
        <v>0</v>
      </c>
      <c r="U81" s="27" t="n">
        <f aca="false">IF(COUNT(Trigo!$E79:$Z79)=0,0,MAX(0,IF((U$6-$E$3)&lt;1,0,IFERROR(LOOKUP(2,1/(Trigo!$E79:INDEX(Trigo!$E79:$Z79,MIN(U$6-$E$3,22))&lt;&gt;""),Trigo!$E79:INDEX(Trigo!$E79:$Z79,MIN(U$6-$E$3,22))),0))-IF($G$2,0,IF((U$6-$G$3)&lt;1,0,IFERROR(LOOKUP(2,1/(Trigo!$E79:INDEX(Trigo!$E79:$Z79,MIN(U$6-$G$3,22))&lt;&gt;""),Trigo!$E79:INDEX(Trigo!$E79:$Z79,MIN(U$6-$G$3,22))),0)))))</f>
        <v>0</v>
      </c>
      <c r="V81" s="27" t="n">
        <f aca="false">IF(COUNT(Trigo!$E79:$Z79)=0,0,MAX(0,IF((V$6-$E$3)&lt;1,0,IFERROR(LOOKUP(2,1/(Trigo!$E79:INDEX(Trigo!$E79:$Z79,MIN(V$6-$E$3,22))&lt;&gt;""),Trigo!$E79:INDEX(Trigo!$E79:$Z79,MIN(V$6-$E$3,22))),0))-IF($G$2,0,IF((V$6-$G$3)&lt;1,0,IFERROR(LOOKUP(2,1/(Trigo!$E79:INDEX(Trigo!$E79:$Z79,MIN(V$6-$G$3,22))&lt;&gt;""),Trigo!$E79:INDEX(Trigo!$E79:$Z79,MIN(V$6-$G$3,22))),0)))))</f>
        <v>0</v>
      </c>
      <c r="W81" s="27" t="n">
        <f aca="false">IF(COUNT(Trigo!$E79:$Z79)=0,0,MAX(0,IF((W$6-$E$3)&lt;1,0,IFERROR(LOOKUP(2,1/(Trigo!$E79:INDEX(Trigo!$E79:$Z79,MIN(W$6-$E$3,22))&lt;&gt;""),Trigo!$E79:INDEX(Trigo!$E79:$Z79,MIN(W$6-$E$3,22))),0))-IF($G$2,0,IF((W$6-$G$3)&lt;1,0,IFERROR(LOOKUP(2,1/(Trigo!$E79:INDEX(Trigo!$E79:$Z79,MIN(W$6-$G$3,22))&lt;&gt;""),Trigo!$E79:INDEX(Trigo!$E79:$Z79,MIN(W$6-$G$3,22))),0)))))</f>
        <v>0</v>
      </c>
      <c r="X81" s="27" t="n">
        <f aca="false">IF(COUNT(Trigo!$E79:$Z79)=0,0,MAX(0,IF((X$6-$E$3)&lt;1,0,IFERROR(LOOKUP(2,1/(Trigo!$E79:INDEX(Trigo!$E79:$Z79,MIN(X$6-$E$3,22))&lt;&gt;""),Trigo!$E79:INDEX(Trigo!$E79:$Z79,MIN(X$6-$E$3,22))),0))-IF($G$2,0,IF((X$6-$G$3)&lt;1,0,IFERROR(LOOKUP(2,1/(Trigo!$E79:INDEX(Trigo!$E79:$Z79,MIN(X$6-$G$3,22))&lt;&gt;""),Trigo!$E79:INDEX(Trigo!$E79:$Z79,MIN(X$6-$G$3,22))),0)))))</f>
        <v>0</v>
      </c>
      <c r="Y81" s="27" t="n">
        <f aca="false">IF(COUNT(Trigo!$E79:$Z79)=0,0,MAX(0,IF((Y$6-$E$3)&lt;1,0,IFERROR(LOOKUP(2,1/(Trigo!$E79:INDEX(Trigo!$E79:$Z79,MIN(Y$6-$E$3,22))&lt;&gt;""),Trigo!$E79:INDEX(Trigo!$E79:$Z79,MIN(Y$6-$E$3,22))),0))-IF($G$2,0,IF((Y$6-$G$3)&lt;1,0,IFERROR(LOOKUP(2,1/(Trigo!$E79:INDEX(Trigo!$E79:$Z79,MIN(Y$6-$G$3,22))&lt;&gt;""),Trigo!$E79:INDEX(Trigo!$E79:$Z79,MIN(Y$6-$G$3,22))),0)))))</f>
        <v>0</v>
      </c>
      <c r="Z81" s="27" t="n">
        <f aca="false">IF(COUNT(Trigo!$E79:$Z79)=0,0,MAX(0,IF((Z$6-$E$3)&lt;1,0,IFERROR(LOOKUP(2,1/(Trigo!$E79:INDEX(Trigo!$E79:$Z79,MIN(Z$6-$E$3,22))&lt;&gt;""),Trigo!$E79:INDEX(Trigo!$E79:$Z79,MIN(Z$6-$E$3,22))),0))-IF($G$2,0,IF((Z$6-$G$3)&lt;1,0,IFERROR(LOOKUP(2,1/(Trigo!$E79:INDEX(Trigo!$E79:$Z79,MIN(Z$6-$G$3,22))&lt;&gt;""),Trigo!$E79:INDEX(Trigo!$E79:$Z79,MIN(Z$6-$G$3,22))),0)))))</f>
        <v>0</v>
      </c>
      <c r="AA81" s="27" t="n">
        <f aca="false">IF(COUNT(Trigo!$E79:$Z79)=0,0,MAX(0,IF((AA$6-$E$3)&lt;1,0,IFERROR(LOOKUP(2,1/(Trigo!$E79:INDEX(Trigo!$E79:$Z79,MIN(AA$6-$E$3,22))&lt;&gt;""),Trigo!$E79:INDEX(Trigo!$E79:$Z79,MIN(AA$6-$E$3,22))),0))-IF($G$2,0,IF((AA$6-$G$3)&lt;1,0,IFERROR(LOOKUP(2,1/(Trigo!$E79:INDEX(Trigo!$E79:$Z79,MIN(AA$6-$G$3,22))&lt;&gt;""),Trigo!$E79:INDEX(Trigo!$E79:$Z79,MIN(AA$6-$G$3,22))),0)))))</f>
        <v>0</v>
      </c>
      <c r="AB81" s="27" t="n">
        <f aca="false">IF(COUNT(Trigo!$E79:$Z79)=0,0,MAX(0,IF((AB$6-$E$3)&lt;1,0,IFERROR(LOOKUP(2,1/(Trigo!$E79:INDEX(Trigo!$E79:$Z79,MIN(AB$6-$E$3,22))&lt;&gt;""),Trigo!$E79:INDEX(Trigo!$E79:$Z79,MIN(AB$6-$E$3,22))),0))-IF($G$2,0,IF((AB$6-$G$3)&lt;1,0,IFERROR(LOOKUP(2,1/(Trigo!$E79:INDEX(Trigo!$E79:$Z79,MIN(AB$6-$G$3,22))&lt;&gt;""),Trigo!$E79:INDEX(Trigo!$E79:$Z79,MIN(AB$6-$G$3,22))),0)))))</f>
        <v>0</v>
      </c>
      <c r="AC81" s="27" t="n">
        <f aca="false">IF(COUNT(Trigo!$E79:$Z79)=0,0,MAX(0,IF((AC$6-$E$3)&lt;1,0,IFERROR(LOOKUP(2,1/(Trigo!$E79:INDEX(Trigo!$E79:$Z79,MIN(AC$6-$E$3,22))&lt;&gt;""),Trigo!$E79:INDEX(Trigo!$E79:$Z79,MIN(AC$6-$E$3,22))),0))-IF($G$2,0,IF((AC$6-$G$3)&lt;1,0,IFERROR(LOOKUP(2,1/(Trigo!$E79:INDEX(Trigo!$E79:$Z79,MIN(AC$6-$G$3,22))&lt;&gt;""),Trigo!$E79:INDEX(Trigo!$E79:$Z79,MIN(AC$6-$G$3,22))),0)))))</f>
        <v>0</v>
      </c>
      <c r="AD81" s="27" t="n">
        <f aca="false">IF(COUNT(Trigo!$E79:$Z79)=0,0,MAX(0,IF((AD$6-$E$3)&lt;1,0,IFERROR(LOOKUP(2,1/(Trigo!$E79:INDEX(Trigo!$E79:$Z79,MIN(AD$6-$E$3,22))&lt;&gt;""),Trigo!$E79:INDEX(Trigo!$E79:$Z79,MIN(AD$6-$E$3,22))),0))-IF($G$2,0,IF((AD$6-$G$3)&lt;1,0,IFERROR(LOOKUP(2,1/(Trigo!$E79:INDEX(Trigo!$E79:$Z79,MIN(AD$6-$G$3,22))&lt;&gt;""),Trigo!$E79:INDEX(Trigo!$E79:$Z79,MIN(AD$6-$G$3,22))),0)))))</f>
        <v>0</v>
      </c>
      <c r="AE81" s="27" t="n">
        <f aca="false">IF(COUNT(Trigo!$E79:$Z79)=0,0,MAX(0,IF((AE$6-$E$3)&lt;1,0,IFERROR(LOOKUP(2,1/(Trigo!$E79:INDEX(Trigo!$E79:$Z79,MIN(AE$6-$E$3,22))&lt;&gt;""),Trigo!$E79:INDEX(Trigo!$E79:$Z79,MIN(AE$6-$E$3,22))),0))-IF($G$2,0,IF((AE$6-$G$3)&lt;1,0,IFERROR(LOOKUP(2,1/(Trigo!$E79:INDEX(Trigo!$E79:$Z79,MIN(AE$6-$G$3,22))&lt;&gt;""),Trigo!$E79:INDEX(Trigo!$E79:$Z79,MIN(AE$6-$G$3,22))),0)))))</f>
        <v>0</v>
      </c>
      <c r="AF81" s="27" t="n">
        <f aca="false">IF(COUNT(Trigo!$E79:$Z79)=0,0,MAX(0,IF((AF$6-$E$3)&lt;1,0,IFERROR(LOOKUP(2,1/(Trigo!$E79:INDEX(Trigo!$E79:$Z79,MIN(AF$6-$E$3,22))&lt;&gt;""),Trigo!$E79:INDEX(Trigo!$E79:$Z79,MIN(AF$6-$E$3,22))),0))-IF($G$2,0,IF((AF$6-$G$3)&lt;1,0,IFERROR(LOOKUP(2,1/(Trigo!$E79:INDEX(Trigo!$E79:$Z79,MIN(AF$6-$G$3,22))&lt;&gt;""),Trigo!$E79:INDEX(Trigo!$E79:$Z79,MIN(AF$6-$G$3,22))),0)))))</f>
        <v>0</v>
      </c>
      <c r="AG81" s="27" t="n">
        <f aca="false">IF(COUNT(Trigo!$E79:$Z79)=0,0,MAX(0,IF((AG$6-$E$3)&lt;1,0,IFERROR(LOOKUP(2,1/(Trigo!$E79:INDEX(Trigo!$E79:$Z79,MIN(AG$6-$E$3,22))&lt;&gt;""),Trigo!$E79:INDEX(Trigo!$E79:$Z79,MIN(AG$6-$E$3,22))),0))-IF($G$2,0,IF((AG$6-$G$3)&lt;1,0,IFERROR(LOOKUP(2,1/(Trigo!$E79:INDEX(Trigo!$E79:$Z79,MIN(AG$6-$G$3,22))&lt;&gt;""),Trigo!$E79:INDEX(Trigo!$E79:$Z79,MIN(AG$6-$G$3,22))),0)))))</f>
        <v>0</v>
      </c>
      <c r="AH81" s="27" t="n">
        <f aca="false">IF(COUNT(Trigo!$E79:$Z79)=0,0,MAX(0,IF((AH$6-$E$3)&lt;1,0,IFERROR(LOOKUP(2,1/(Trigo!$E79:INDEX(Trigo!$E79:$Z79,MIN(AH$6-$E$3,22))&lt;&gt;""),Trigo!$E79:INDEX(Trigo!$E79:$Z79,MIN(AH$6-$E$3,22))),0))-IF($G$2,0,IF((AH$6-$G$3)&lt;1,0,IFERROR(LOOKUP(2,1/(Trigo!$E79:INDEX(Trigo!$E79:$Z79,MIN(AH$6-$G$3,22))&lt;&gt;""),Trigo!$E79:INDEX(Trigo!$E79:$Z79,MIN(AH$6-$G$3,22))),0)))))</f>
        <v>0</v>
      </c>
      <c r="AI81" s="27" t="n">
        <f aca="false">IF(COUNT(Trigo!$E79:$Z79)=0,0,MAX(0,IF((AI$6-$E$3)&lt;1,0,IFERROR(LOOKUP(2,1/(Trigo!$E79:INDEX(Trigo!$E79:$Z79,MIN(AI$6-$E$3,22))&lt;&gt;""),Trigo!$E79:INDEX(Trigo!$E79:$Z79,MIN(AI$6-$E$3,22))),0))-IF($G$2,0,IF((AI$6-$G$3)&lt;1,0,IFERROR(LOOKUP(2,1/(Trigo!$E79:INDEX(Trigo!$E79:$Z79,MIN(AI$6-$G$3,22))&lt;&gt;""),Trigo!$E79:INDEX(Trigo!$E79:$Z79,MIN(AI$6-$G$3,22))),0)))))</f>
        <v>0</v>
      </c>
      <c r="AJ81" s="27" t="n">
        <f aca="false">IF(COUNT(Trigo!$E79:$Z79)=0,0,MAX(0,IF((AJ$6-$E$3)&lt;1,0,IFERROR(LOOKUP(2,1/(Trigo!$E79:INDEX(Trigo!$E79:$Z79,MIN(AJ$6-$E$3,22))&lt;&gt;""),Trigo!$E79:INDEX(Trigo!$E79:$Z79,MIN(AJ$6-$E$3,22))),0))-IF($G$2,0,IF((AJ$6-$G$3)&lt;1,0,IFERROR(LOOKUP(2,1/(Trigo!$E79:INDEX(Trigo!$E79:$Z79,MIN(AJ$6-$G$3,22))&lt;&gt;""),Trigo!$E79:INDEX(Trigo!$E79:$Z79,MIN(AJ$6-$G$3,22))),0)))))</f>
        <v>0</v>
      </c>
      <c r="AK81" s="27" t="n">
        <f aca="false">IF(COUNT(Trigo!$E79:$Z79)=0,0,MAX(0,IF((AK$6-$E$3)&lt;1,0,IFERROR(LOOKUP(2,1/(Trigo!$E79:INDEX(Trigo!$E79:$Z79,MIN(AK$6-$E$3,22))&lt;&gt;""),Trigo!$E79:INDEX(Trigo!$E79:$Z79,MIN(AK$6-$E$3,22))),0))-IF($G$2,0,IF((AK$6-$G$3)&lt;1,0,IFERROR(LOOKUP(2,1/(Trigo!$E79:INDEX(Trigo!$E79:$Z79,MIN(AK$6-$G$3,22))&lt;&gt;""),Trigo!$E79:INDEX(Trigo!$E79:$Z79,MIN(AK$6-$G$3,22))),0)))))</f>
        <v>0</v>
      </c>
      <c r="AL81" s="27" t="n">
        <f aca="false">IF(COUNT(Trigo!$E79:$Z79)=0,0,MAX(0,IF((AL$6-$E$3)&lt;1,0,IFERROR(LOOKUP(2,1/(Trigo!$E79:INDEX(Trigo!$E79:$Z79,MIN(AL$6-$E$3,22))&lt;&gt;""),Trigo!$E79:INDEX(Trigo!$E79:$Z79,MIN(AL$6-$E$3,22))),0))-IF($G$2,0,IF((AL$6-$G$3)&lt;1,0,IFERROR(LOOKUP(2,1/(Trigo!$E79:INDEX(Trigo!$E79:$Z79,MIN(AL$6-$G$3,22))&lt;&gt;""),Trigo!$E79:INDEX(Trigo!$E79:$Z79,MIN(AL$6-$G$3,22))),0)))))</f>
        <v>0</v>
      </c>
      <c r="AM81" s="27" t="n">
        <f aca="false">IF(COUNT(Trigo!$E79:$Z79)=0,0,MAX(0,IF((AM$6-$E$3)&lt;1,0,IFERROR(LOOKUP(2,1/(Trigo!$E79:INDEX(Trigo!$E79:$Z79,MIN(AM$6-$E$3,22))&lt;&gt;""),Trigo!$E79:INDEX(Trigo!$E79:$Z79,MIN(AM$6-$E$3,22))),0))-IF($G$2,0,IF((AM$6-$G$3)&lt;1,0,IFERROR(LOOKUP(2,1/(Trigo!$E79:INDEX(Trigo!$E79:$Z79,MIN(AM$6-$G$3,22))&lt;&gt;""),Trigo!$E79:INDEX(Trigo!$E79:$Z79,MIN(AM$6-$G$3,22))),0)))))</f>
        <v>0</v>
      </c>
      <c r="AN81" s="27" t="n">
        <f aca="false">IF(COUNT(Trigo!$E79:$Z79)=0,0,MAX(0,IF((AN$6-$E$3)&lt;1,0,IFERROR(LOOKUP(2,1/(Trigo!$E79:INDEX(Trigo!$E79:$Z79,MIN(AN$6-$E$3,22))&lt;&gt;""),Trigo!$E79:INDEX(Trigo!$E79:$Z79,MIN(AN$6-$E$3,22))),0))-IF($G$2,0,IF((AN$6-$G$3)&lt;1,0,IFERROR(LOOKUP(2,1/(Trigo!$E79:INDEX(Trigo!$E79:$Z79,MIN(AN$6-$G$3,22))&lt;&gt;""),Trigo!$E79:INDEX(Trigo!$E79:$Z79,MIN(AN$6-$G$3,22))),0)))))</f>
        <v>0</v>
      </c>
      <c r="AO81" s="27" t="n">
        <f aca="false">IF(COUNT(Trigo!$E79:$Z79)=0,0,MAX(0,IF((AO$6-$E$3)&lt;1,0,IFERROR(LOOKUP(2,1/(Trigo!$E79:INDEX(Trigo!$E79:$Z79,MIN(AO$6-$E$3,22))&lt;&gt;""),Trigo!$E79:INDEX(Trigo!$E79:$Z79,MIN(AO$6-$E$3,22))),0))-IF($G$2,0,IF((AO$6-$G$3)&lt;1,0,IFERROR(LOOKUP(2,1/(Trigo!$E79:INDEX(Trigo!$E79:$Z79,MIN(AO$6-$G$3,22))&lt;&gt;""),Trigo!$E79:INDEX(Trigo!$E79:$Z79,MIN(AO$6-$G$3,22))),0)))))</f>
        <v>0</v>
      </c>
      <c r="AP81" s="27" t="n">
        <f aca="false">IF(COUNT(Trigo!$E79:$Z79)=0,0,MAX(0,IF((AP$6-$E$3)&lt;1,0,IFERROR(LOOKUP(2,1/(Trigo!$E79:INDEX(Trigo!$E79:$Z79,MIN(AP$6-$E$3,22))&lt;&gt;""),Trigo!$E79:INDEX(Trigo!$E79:$Z79,MIN(AP$6-$E$3,22))),0))-IF($G$2,0,IF((AP$6-$G$3)&lt;1,0,IFERROR(LOOKUP(2,1/(Trigo!$E79:INDEX(Trigo!$E79:$Z79,MIN(AP$6-$G$3,22))&lt;&gt;""),Trigo!$E79:INDEX(Trigo!$E79:$Z79,MIN(AP$6-$G$3,22))),0)))))</f>
        <v>0</v>
      </c>
      <c r="AQ81" s="27" t="n">
        <f aca="false">IF(COUNT(Trigo!$E79:$Z79)=0,0,MAX(0,IF((AQ$6-$E$3)&lt;1,0,IFERROR(LOOKUP(2,1/(Trigo!$E79:INDEX(Trigo!$E79:$Z79,MIN(AQ$6-$E$3,22))&lt;&gt;""),Trigo!$E79:INDEX(Trigo!$E79:$Z79,MIN(AQ$6-$E$3,22))),0))-IF($G$2,0,IF((AQ$6-$G$3)&lt;1,0,IFERROR(LOOKUP(2,1/(Trigo!$E79:INDEX(Trigo!$E79:$Z79,MIN(AQ$6-$G$3,22))&lt;&gt;""),Trigo!$E79:INDEX(Trigo!$E79:$Z79,MIN(AQ$6-$G$3,22))),0)))))</f>
        <v>0</v>
      </c>
      <c r="AR81" s="27" t="n">
        <f aca="false">IF(COUNT(Trigo!$E79:$Z79)=0,0,MAX(0,IF((AR$6-$E$3)&lt;1,0,IFERROR(LOOKUP(2,1/(Trigo!$E79:INDEX(Trigo!$E79:$Z79,MIN(AR$6-$E$3,22))&lt;&gt;""),Trigo!$E79:INDEX(Trigo!$E79:$Z79,MIN(AR$6-$E$3,22))),0))-IF($G$2,0,IF((AR$6-$G$3)&lt;1,0,IFERROR(LOOKUP(2,1/(Trigo!$E79:INDEX(Trigo!$E79:$Z79,MIN(AR$6-$G$3,22))&lt;&gt;""),Trigo!$E79:INDEX(Trigo!$E79:$Z79,MIN(AR$6-$G$3,22))),0)))))</f>
        <v>0</v>
      </c>
      <c r="AS81" s="27" t="n">
        <f aca="false">IF(COUNT(Trigo!$E79:$Z79)=0,0,MAX(0,IF((AS$6-$E$3)&lt;1,0,IFERROR(LOOKUP(2,1/(Trigo!$E79:INDEX(Trigo!$E79:$Z79,MIN(AS$6-$E$3,22))&lt;&gt;""),Trigo!$E79:INDEX(Trigo!$E79:$Z79,MIN(AS$6-$E$3,22))),0))-IF($G$2,0,IF((AS$6-$G$3)&lt;1,0,IFERROR(LOOKUP(2,1/(Trigo!$E79:INDEX(Trigo!$E79:$Z79,MIN(AS$6-$G$3,22))&lt;&gt;""),Trigo!$E79:INDEX(Trigo!$E79:$Z79,MIN(AS$6-$G$3,22))),0)))))</f>
        <v>0</v>
      </c>
      <c r="AT81" s="27" t="n">
        <f aca="false">IF(COUNT(Trigo!$E79:$Z79)=0,0,MAX(0,IF((AT$6-$E$3)&lt;1,0,IFERROR(LOOKUP(2,1/(Trigo!$E79:INDEX(Trigo!$E79:$Z79,MIN(AT$6-$E$3,22))&lt;&gt;""),Trigo!$E79:INDEX(Trigo!$E79:$Z79,MIN(AT$6-$E$3,22))),0))-IF($G$2,0,IF((AT$6-$G$3)&lt;1,0,IFERROR(LOOKUP(2,1/(Trigo!$E79:INDEX(Trigo!$E79:$Z79,MIN(AT$6-$G$3,22))&lt;&gt;""),Trigo!$E79:INDEX(Trigo!$E79:$Z79,MIN(AT$6-$G$3,22))),0)))))</f>
        <v>0</v>
      </c>
      <c r="AU81" s="27" t="n">
        <f aca="false">IF(COUNT(Trigo!$E79:$Z79)=0,0,MAX(0,IF((AU$6-$E$3)&lt;1,0,IFERROR(LOOKUP(2,1/(Trigo!$E79:INDEX(Trigo!$E79:$Z79,MIN(AU$6-$E$3,22))&lt;&gt;""),Trigo!$E79:INDEX(Trigo!$E79:$Z79,MIN(AU$6-$E$3,22))),0))-IF($G$2,0,IF((AU$6-$G$3)&lt;1,0,IFERROR(LOOKUP(2,1/(Trigo!$E79:INDEX(Trigo!$E79:$Z79,MIN(AU$6-$G$3,22))&lt;&gt;""),Trigo!$E79:INDEX(Trigo!$E79:$Z79,MIN(AU$6-$G$3,22))),0)))))</f>
        <v>0</v>
      </c>
      <c r="AV81" s="27" t="n">
        <f aca="false">IF(COUNT(Trigo!$E79:$Z79)=0,0,MAX(0,IF((AV$6-$E$3)&lt;1,0,IFERROR(LOOKUP(2,1/(Trigo!$E79:INDEX(Trigo!$E79:$Z79,MIN(AV$6-$E$3,22))&lt;&gt;""),Trigo!$E79:INDEX(Trigo!$E79:$Z79,MIN(AV$6-$E$3,22))),0))-IF($G$2,0,IF((AV$6-$G$3)&lt;1,0,IFERROR(LOOKUP(2,1/(Trigo!$E79:INDEX(Trigo!$E79:$Z79,MIN(AV$6-$G$3,22))&lt;&gt;""),Trigo!$E79:INDEX(Trigo!$E79:$Z79,MIN(AV$6-$G$3,22))),0)))))</f>
        <v>0</v>
      </c>
      <c r="AW81" s="27" t="n">
        <f aca="false">IF(COUNT(Trigo!$E79:$Z79)=0,0,MAX(0,IF((AW$6-$E$3)&lt;1,0,IFERROR(LOOKUP(2,1/(Trigo!$E79:INDEX(Trigo!$E79:$Z79,MIN(AW$6-$E$3,22))&lt;&gt;""),Trigo!$E79:INDEX(Trigo!$E79:$Z79,MIN(AW$6-$E$3,22))),0))-IF($G$2,0,IF((AW$6-$G$3)&lt;1,0,IFERROR(LOOKUP(2,1/(Trigo!$E79:INDEX(Trigo!$E79:$Z79,MIN(AW$6-$G$3,22))&lt;&gt;""),Trigo!$E79:INDEX(Trigo!$E79:$Z79,MIN(AW$6-$G$3,22))),0)))))</f>
        <v>0</v>
      </c>
      <c r="AX81" s="27" t="n">
        <f aca="false">IF(COUNT(Trigo!$E79:$Z79)=0,0,MAX(0,IF((AX$6-$E$3)&lt;1,0,IFERROR(LOOKUP(2,1/(Trigo!$E79:INDEX(Trigo!$E79:$Z79,MIN(AX$6-$E$3,22))&lt;&gt;""),Trigo!$E79:INDEX(Trigo!$E79:$Z79,MIN(AX$6-$E$3,22))),0))-IF($G$2,0,IF((AX$6-$G$3)&lt;1,0,IFERROR(LOOKUP(2,1/(Trigo!$E79:INDEX(Trigo!$E79:$Z79,MIN(AX$6-$G$3,22))&lt;&gt;""),Trigo!$E79:INDEX(Trigo!$E79:$Z79,MIN(AX$6-$G$3,22))),0)))))</f>
        <v>0</v>
      </c>
      <c r="AY81" s="27" t="n">
        <f aca="false">IF(COUNT(Trigo!$E79:$Z79)=0,0,MAX(0,IF((AY$6-$E$3)&lt;1,0,IFERROR(LOOKUP(2,1/(Trigo!$E79:INDEX(Trigo!$E79:$Z79,MIN(AY$6-$E$3,22))&lt;&gt;""),Trigo!$E79:INDEX(Trigo!$E79:$Z79,MIN(AY$6-$E$3,22))),0))-IF($G$2,0,IF((AY$6-$G$3)&lt;1,0,IFERROR(LOOKUP(2,1/(Trigo!$E79:INDEX(Trigo!$E79:$Z79,MIN(AY$6-$G$3,22))&lt;&gt;""),Trigo!$E79:INDEX(Trigo!$E79:$Z79,MIN(AY$6-$G$3,22))),0)))))</f>
        <v>0</v>
      </c>
      <c r="AZ81" s="27" t="n">
        <f aca="false">IF(COUNT(Trigo!$E79:$Z79)=0,0,MAX(0,IF((AZ$6-$E$3)&lt;1,0,IFERROR(LOOKUP(2,1/(Trigo!$E79:INDEX(Trigo!$E79:$Z79,MIN(AZ$6-$E$3,22))&lt;&gt;""),Trigo!$E79:INDEX(Trigo!$E79:$Z79,MIN(AZ$6-$E$3,22))),0))-IF($G$2,0,IF((AZ$6-$G$3)&lt;1,0,IFERROR(LOOKUP(2,1/(Trigo!$E79:INDEX(Trigo!$E79:$Z79,MIN(AZ$6-$G$3,22))&lt;&gt;""),Trigo!$E79:INDEX(Trigo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IF(COUNT(Trigo!$E80:$Z80)&gt;0,N(Trigo!$D80),0)</f>
        <v>0</v>
      </c>
      <c r="E82" s="27" t="n">
        <f aca="false">IF(COUNT(Trigo!$E80:$Z80)=0,0,MAX(0,IF((E$6-$E$3)&lt;1,0,IFERROR(LOOKUP(2,1/(Trigo!$E80:INDEX(Trigo!$E80:$Z80,MIN(E$6-$E$3,22))&lt;&gt;""),Trigo!$E80:INDEX(Trigo!$E80:$Z80,MIN(E$6-$E$3,22))),0))-IF($G$2,0,IF((E$6-$G$3)&lt;1,0,IFERROR(LOOKUP(2,1/(Trigo!$E80:INDEX(Trigo!$E80:$Z80,MIN(E$6-$G$3,22))&lt;&gt;""),Trigo!$E80:INDEX(Trigo!$E80:$Z80,MIN(E$6-$G$3,22))),0)))))</f>
        <v>0</v>
      </c>
      <c r="F82" s="27" t="n">
        <f aca="false">IF(COUNT(Trigo!$E80:$Z80)=0,0,MAX(0,IF((F$6-$E$3)&lt;1,0,IFERROR(LOOKUP(2,1/(Trigo!$E80:INDEX(Trigo!$E80:$Z80,MIN(F$6-$E$3,22))&lt;&gt;""),Trigo!$E80:INDEX(Trigo!$E80:$Z80,MIN(F$6-$E$3,22))),0))-IF($G$2,0,IF((F$6-$G$3)&lt;1,0,IFERROR(LOOKUP(2,1/(Trigo!$E80:INDEX(Trigo!$E80:$Z80,MIN(F$6-$G$3,22))&lt;&gt;""),Trigo!$E80:INDEX(Trigo!$E80:$Z80,MIN(F$6-$G$3,22))),0)))))</f>
        <v>0</v>
      </c>
      <c r="G82" s="27" t="n">
        <f aca="false">IF(COUNT(Trigo!$E80:$Z80)=0,0,MAX(0,IF((G$6-$E$3)&lt;1,0,IFERROR(LOOKUP(2,1/(Trigo!$E80:INDEX(Trigo!$E80:$Z80,MIN(G$6-$E$3,22))&lt;&gt;""),Trigo!$E80:INDEX(Trigo!$E80:$Z80,MIN(G$6-$E$3,22))),0))-IF($G$2,0,IF((G$6-$G$3)&lt;1,0,IFERROR(LOOKUP(2,1/(Trigo!$E80:INDEX(Trigo!$E80:$Z80,MIN(G$6-$G$3,22))&lt;&gt;""),Trigo!$E80:INDEX(Trigo!$E80:$Z80,MIN(G$6-$G$3,22))),0)))))</f>
        <v>0</v>
      </c>
      <c r="H82" s="27" t="n">
        <f aca="false">IF(COUNT(Trigo!$E80:$Z80)=0,0,MAX(0,IF((H$6-$E$3)&lt;1,0,IFERROR(LOOKUP(2,1/(Trigo!$E80:INDEX(Trigo!$E80:$Z80,MIN(H$6-$E$3,22))&lt;&gt;""),Trigo!$E80:INDEX(Trigo!$E80:$Z80,MIN(H$6-$E$3,22))),0))-IF($G$2,0,IF((H$6-$G$3)&lt;1,0,IFERROR(LOOKUP(2,1/(Trigo!$E80:INDEX(Trigo!$E80:$Z80,MIN(H$6-$G$3,22))&lt;&gt;""),Trigo!$E80:INDEX(Trigo!$E80:$Z80,MIN(H$6-$G$3,22))),0)))))</f>
        <v>0</v>
      </c>
      <c r="I82" s="27" t="n">
        <f aca="false">IF(COUNT(Trigo!$E80:$Z80)=0,0,MAX(0,IF((I$6-$E$3)&lt;1,0,IFERROR(LOOKUP(2,1/(Trigo!$E80:INDEX(Trigo!$E80:$Z80,MIN(I$6-$E$3,22))&lt;&gt;""),Trigo!$E80:INDEX(Trigo!$E80:$Z80,MIN(I$6-$E$3,22))),0))-IF($G$2,0,IF((I$6-$G$3)&lt;1,0,IFERROR(LOOKUP(2,1/(Trigo!$E80:INDEX(Trigo!$E80:$Z80,MIN(I$6-$G$3,22))&lt;&gt;""),Trigo!$E80:INDEX(Trigo!$E80:$Z80,MIN(I$6-$G$3,22))),0)))))</f>
        <v>0</v>
      </c>
      <c r="J82" s="27" t="n">
        <f aca="false">IF(COUNT(Trigo!$E80:$Z80)=0,0,MAX(0,IF((J$6-$E$3)&lt;1,0,IFERROR(LOOKUP(2,1/(Trigo!$E80:INDEX(Trigo!$E80:$Z80,MIN(J$6-$E$3,22))&lt;&gt;""),Trigo!$E80:INDEX(Trigo!$E80:$Z80,MIN(J$6-$E$3,22))),0))-IF($G$2,0,IF((J$6-$G$3)&lt;1,0,IFERROR(LOOKUP(2,1/(Trigo!$E80:INDEX(Trigo!$E80:$Z80,MIN(J$6-$G$3,22))&lt;&gt;""),Trigo!$E80:INDEX(Trigo!$E80:$Z80,MIN(J$6-$G$3,22))),0)))))</f>
        <v>0</v>
      </c>
      <c r="K82" s="27" t="n">
        <f aca="false">IF(COUNT(Trigo!$E80:$Z80)=0,0,MAX(0,IF((K$6-$E$3)&lt;1,0,IFERROR(LOOKUP(2,1/(Trigo!$E80:INDEX(Trigo!$E80:$Z80,MIN(K$6-$E$3,22))&lt;&gt;""),Trigo!$E80:INDEX(Trigo!$E80:$Z80,MIN(K$6-$E$3,22))),0))-IF($G$2,0,IF((K$6-$G$3)&lt;1,0,IFERROR(LOOKUP(2,1/(Trigo!$E80:INDEX(Trigo!$E80:$Z80,MIN(K$6-$G$3,22))&lt;&gt;""),Trigo!$E80:INDEX(Trigo!$E80:$Z80,MIN(K$6-$G$3,22))),0)))))</f>
        <v>0</v>
      </c>
      <c r="L82" s="27" t="n">
        <f aca="false">IF(COUNT(Trigo!$E80:$Z80)=0,0,MAX(0,IF((L$6-$E$3)&lt;1,0,IFERROR(LOOKUP(2,1/(Trigo!$E80:INDEX(Trigo!$E80:$Z80,MIN(L$6-$E$3,22))&lt;&gt;""),Trigo!$E80:INDEX(Trigo!$E80:$Z80,MIN(L$6-$E$3,22))),0))-IF($G$2,0,IF((L$6-$G$3)&lt;1,0,IFERROR(LOOKUP(2,1/(Trigo!$E80:INDEX(Trigo!$E80:$Z80,MIN(L$6-$G$3,22))&lt;&gt;""),Trigo!$E80:INDEX(Trigo!$E80:$Z80,MIN(L$6-$G$3,22))),0)))))</f>
        <v>0</v>
      </c>
      <c r="M82" s="27" t="n">
        <f aca="false">IF(COUNT(Trigo!$E80:$Z80)=0,0,MAX(0,IF((M$6-$E$3)&lt;1,0,IFERROR(LOOKUP(2,1/(Trigo!$E80:INDEX(Trigo!$E80:$Z80,MIN(M$6-$E$3,22))&lt;&gt;""),Trigo!$E80:INDEX(Trigo!$E80:$Z80,MIN(M$6-$E$3,22))),0))-IF($G$2,0,IF((M$6-$G$3)&lt;1,0,IFERROR(LOOKUP(2,1/(Trigo!$E80:INDEX(Trigo!$E80:$Z80,MIN(M$6-$G$3,22))&lt;&gt;""),Trigo!$E80:INDEX(Trigo!$E80:$Z80,MIN(M$6-$G$3,22))),0)))))</f>
        <v>0</v>
      </c>
      <c r="N82" s="27" t="n">
        <f aca="false">IF(COUNT(Trigo!$E80:$Z80)=0,0,MAX(0,IF((N$6-$E$3)&lt;1,0,IFERROR(LOOKUP(2,1/(Trigo!$E80:INDEX(Trigo!$E80:$Z80,MIN(N$6-$E$3,22))&lt;&gt;""),Trigo!$E80:INDEX(Trigo!$E80:$Z80,MIN(N$6-$E$3,22))),0))-IF($G$2,0,IF((N$6-$G$3)&lt;1,0,IFERROR(LOOKUP(2,1/(Trigo!$E80:INDEX(Trigo!$E80:$Z80,MIN(N$6-$G$3,22))&lt;&gt;""),Trigo!$E80:INDEX(Trigo!$E80:$Z80,MIN(N$6-$G$3,22))),0)))))</f>
        <v>0</v>
      </c>
      <c r="O82" s="27" t="n">
        <f aca="false">IF(COUNT(Trigo!$E80:$Z80)=0,0,MAX(0,IF((O$6-$E$3)&lt;1,0,IFERROR(LOOKUP(2,1/(Trigo!$E80:INDEX(Trigo!$E80:$Z80,MIN(O$6-$E$3,22))&lt;&gt;""),Trigo!$E80:INDEX(Trigo!$E80:$Z80,MIN(O$6-$E$3,22))),0))-IF($G$2,0,IF((O$6-$G$3)&lt;1,0,IFERROR(LOOKUP(2,1/(Trigo!$E80:INDEX(Trigo!$E80:$Z80,MIN(O$6-$G$3,22))&lt;&gt;""),Trigo!$E80:INDEX(Trigo!$E80:$Z80,MIN(O$6-$G$3,22))),0)))))</f>
        <v>0</v>
      </c>
      <c r="P82" s="27" t="n">
        <f aca="false">IF(COUNT(Trigo!$E80:$Z80)=0,0,MAX(0,IF((P$6-$E$3)&lt;1,0,IFERROR(LOOKUP(2,1/(Trigo!$E80:INDEX(Trigo!$E80:$Z80,MIN(P$6-$E$3,22))&lt;&gt;""),Trigo!$E80:INDEX(Trigo!$E80:$Z80,MIN(P$6-$E$3,22))),0))-IF($G$2,0,IF((P$6-$G$3)&lt;1,0,IFERROR(LOOKUP(2,1/(Trigo!$E80:INDEX(Trigo!$E80:$Z80,MIN(P$6-$G$3,22))&lt;&gt;""),Trigo!$E80:INDEX(Trigo!$E80:$Z80,MIN(P$6-$G$3,22))),0)))))</f>
        <v>0</v>
      </c>
      <c r="Q82" s="27" t="n">
        <f aca="false">IF(COUNT(Trigo!$E80:$Z80)=0,0,MAX(0,IF((Q$6-$E$3)&lt;1,0,IFERROR(LOOKUP(2,1/(Trigo!$E80:INDEX(Trigo!$E80:$Z80,MIN(Q$6-$E$3,22))&lt;&gt;""),Trigo!$E80:INDEX(Trigo!$E80:$Z80,MIN(Q$6-$E$3,22))),0))-IF($G$2,0,IF((Q$6-$G$3)&lt;1,0,IFERROR(LOOKUP(2,1/(Trigo!$E80:INDEX(Trigo!$E80:$Z80,MIN(Q$6-$G$3,22))&lt;&gt;""),Trigo!$E80:INDEX(Trigo!$E80:$Z80,MIN(Q$6-$G$3,22))),0)))))</f>
        <v>0</v>
      </c>
      <c r="R82" s="27" t="n">
        <f aca="false">IF(COUNT(Trigo!$E80:$Z80)=0,0,MAX(0,IF((R$6-$E$3)&lt;1,0,IFERROR(LOOKUP(2,1/(Trigo!$E80:INDEX(Trigo!$E80:$Z80,MIN(R$6-$E$3,22))&lt;&gt;""),Trigo!$E80:INDEX(Trigo!$E80:$Z80,MIN(R$6-$E$3,22))),0))-IF($G$2,0,IF((R$6-$G$3)&lt;1,0,IFERROR(LOOKUP(2,1/(Trigo!$E80:INDEX(Trigo!$E80:$Z80,MIN(R$6-$G$3,22))&lt;&gt;""),Trigo!$E80:INDEX(Trigo!$E80:$Z80,MIN(R$6-$G$3,22))),0)))))</f>
        <v>0</v>
      </c>
      <c r="S82" s="27" t="n">
        <f aca="false">IF(COUNT(Trigo!$E80:$Z80)=0,0,MAX(0,IF((S$6-$E$3)&lt;1,0,IFERROR(LOOKUP(2,1/(Trigo!$E80:INDEX(Trigo!$E80:$Z80,MIN(S$6-$E$3,22))&lt;&gt;""),Trigo!$E80:INDEX(Trigo!$E80:$Z80,MIN(S$6-$E$3,22))),0))-IF($G$2,0,IF((S$6-$G$3)&lt;1,0,IFERROR(LOOKUP(2,1/(Trigo!$E80:INDEX(Trigo!$E80:$Z80,MIN(S$6-$G$3,22))&lt;&gt;""),Trigo!$E80:INDEX(Trigo!$E80:$Z80,MIN(S$6-$G$3,22))),0)))))</f>
        <v>0</v>
      </c>
      <c r="T82" s="27" t="n">
        <f aca="false">IF(COUNT(Trigo!$E80:$Z80)=0,0,MAX(0,IF((T$6-$E$3)&lt;1,0,IFERROR(LOOKUP(2,1/(Trigo!$E80:INDEX(Trigo!$E80:$Z80,MIN(T$6-$E$3,22))&lt;&gt;""),Trigo!$E80:INDEX(Trigo!$E80:$Z80,MIN(T$6-$E$3,22))),0))-IF($G$2,0,IF((T$6-$G$3)&lt;1,0,IFERROR(LOOKUP(2,1/(Trigo!$E80:INDEX(Trigo!$E80:$Z80,MIN(T$6-$G$3,22))&lt;&gt;""),Trigo!$E80:INDEX(Trigo!$E80:$Z80,MIN(T$6-$G$3,22))),0)))))</f>
        <v>0</v>
      </c>
      <c r="U82" s="27" t="n">
        <f aca="false">IF(COUNT(Trigo!$E80:$Z80)=0,0,MAX(0,IF((U$6-$E$3)&lt;1,0,IFERROR(LOOKUP(2,1/(Trigo!$E80:INDEX(Trigo!$E80:$Z80,MIN(U$6-$E$3,22))&lt;&gt;""),Trigo!$E80:INDEX(Trigo!$E80:$Z80,MIN(U$6-$E$3,22))),0))-IF($G$2,0,IF((U$6-$G$3)&lt;1,0,IFERROR(LOOKUP(2,1/(Trigo!$E80:INDEX(Trigo!$E80:$Z80,MIN(U$6-$G$3,22))&lt;&gt;""),Trigo!$E80:INDEX(Trigo!$E80:$Z80,MIN(U$6-$G$3,22))),0)))))</f>
        <v>0</v>
      </c>
      <c r="V82" s="27" t="n">
        <f aca="false">IF(COUNT(Trigo!$E80:$Z80)=0,0,MAX(0,IF((V$6-$E$3)&lt;1,0,IFERROR(LOOKUP(2,1/(Trigo!$E80:INDEX(Trigo!$E80:$Z80,MIN(V$6-$E$3,22))&lt;&gt;""),Trigo!$E80:INDEX(Trigo!$E80:$Z80,MIN(V$6-$E$3,22))),0))-IF($G$2,0,IF((V$6-$G$3)&lt;1,0,IFERROR(LOOKUP(2,1/(Trigo!$E80:INDEX(Trigo!$E80:$Z80,MIN(V$6-$G$3,22))&lt;&gt;""),Trigo!$E80:INDEX(Trigo!$E80:$Z80,MIN(V$6-$G$3,22))),0)))))</f>
        <v>0</v>
      </c>
      <c r="W82" s="27" t="n">
        <f aca="false">IF(COUNT(Trigo!$E80:$Z80)=0,0,MAX(0,IF((W$6-$E$3)&lt;1,0,IFERROR(LOOKUP(2,1/(Trigo!$E80:INDEX(Trigo!$E80:$Z80,MIN(W$6-$E$3,22))&lt;&gt;""),Trigo!$E80:INDEX(Trigo!$E80:$Z80,MIN(W$6-$E$3,22))),0))-IF($G$2,0,IF((W$6-$G$3)&lt;1,0,IFERROR(LOOKUP(2,1/(Trigo!$E80:INDEX(Trigo!$E80:$Z80,MIN(W$6-$G$3,22))&lt;&gt;""),Trigo!$E80:INDEX(Trigo!$E80:$Z80,MIN(W$6-$G$3,22))),0)))))</f>
        <v>0</v>
      </c>
      <c r="X82" s="27" t="n">
        <f aca="false">IF(COUNT(Trigo!$E80:$Z80)=0,0,MAX(0,IF((X$6-$E$3)&lt;1,0,IFERROR(LOOKUP(2,1/(Trigo!$E80:INDEX(Trigo!$E80:$Z80,MIN(X$6-$E$3,22))&lt;&gt;""),Trigo!$E80:INDEX(Trigo!$E80:$Z80,MIN(X$6-$E$3,22))),0))-IF($G$2,0,IF((X$6-$G$3)&lt;1,0,IFERROR(LOOKUP(2,1/(Trigo!$E80:INDEX(Trigo!$E80:$Z80,MIN(X$6-$G$3,22))&lt;&gt;""),Trigo!$E80:INDEX(Trigo!$E80:$Z80,MIN(X$6-$G$3,22))),0)))))</f>
        <v>0</v>
      </c>
      <c r="Y82" s="27" t="n">
        <f aca="false">IF(COUNT(Trigo!$E80:$Z80)=0,0,MAX(0,IF((Y$6-$E$3)&lt;1,0,IFERROR(LOOKUP(2,1/(Trigo!$E80:INDEX(Trigo!$E80:$Z80,MIN(Y$6-$E$3,22))&lt;&gt;""),Trigo!$E80:INDEX(Trigo!$E80:$Z80,MIN(Y$6-$E$3,22))),0))-IF($G$2,0,IF((Y$6-$G$3)&lt;1,0,IFERROR(LOOKUP(2,1/(Trigo!$E80:INDEX(Trigo!$E80:$Z80,MIN(Y$6-$G$3,22))&lt;&gt;""),Trigo!$E80:INDEX(Trigo!$E80:$Z80,MIN(Y$6-$G$3,22))),0)))))</f>
        <v>0</v>
      </c>
      <c r="Z82" s="27" t="n">
        <f aca="false">IF(COUNT(Trigo!$E80:$Z80)=0,0,MAX(0,IF((Z$6-$E$3)&lt;1,0,IFERROR(LOOKUP(2,1/(Trigo!$E80:INDEX(Trigo!$E80:$Z80,MIN(Z$6-$E$3,22))&lt;&gt;""),Trigo!$E80:INDEX(Trigo!$E80:$Z80,MIN(Z$6-$E$3,22))),0))-IF($G$2,0,IF((Z$6-$G$3)&lt;1,0,IFERROR(LOOKUP(2,1/(Trigo!$E80:INDEX(Trigo!$E80:$Z80,MIN(Z$6-$G$3,22))&lt;&gt;""),Trigo!$E80:INDEX(Trigo!$E80:$Z80,MIN(Z$6-$G$3,22))),0)))))</f>
        <v>0</v>
      </c>
      <c r="AA82" s="27" t="n">
        <f aca="false">IF(COUNT(Trigo!$E80:$Z80)=0,0,MAX(0,IF((AA$6-$E$3)&lt;1,0,IFERROR(LOOKUP(2,1/(Trigo!$E80:INDEX(Trigo!$E80:$Z80,MIN(AA$6-$E$3,22))&lt;&gt;""),Trigo!$E80:INDEX(Trigo!$E80:$Z80,MIN(AA$6-$E$3,22))),0))-IF($G$2,0,IF((AA$6-$G$3)&lt;1,0,IFERROR(LOOKUP(2,1/(Trigo!$E80:INDEX(Trigo!$E80:$Z80,MIN(AA$6-$G$3,22))&lt;&gt;""),Trigo!$E80:INDEX(Trigo!$E80:$Z80,MIN(AA$6-$G$3,22))),0)))))</f>
        <v>0</v>
      </c>
      <c r="AB82" s="27" t="n">
        <f aca="false">IF(COUNT(Trigo!$E80:$Z80)=0,0,MAX(0,IF((AB$6-$E$3)&lt;1,0,IFERROR(LOOKUP(2,1/(Trigo!$E80:INDEX(Trigo!$E80:$Z80,MIN(AB$6-$E$3,22))&lt;&gt;""),Trigo!$E80:INDEX(Trigo!$E80:$Z80,MIN(AB$6-$E$3,22))),0))-IF($G$2,0,IF((AB$6-$G$3)&lt;1,0,IFERROR(LOOKUP(2,1/(Trigo!$E80:INDEX(Trigo!$E80:$Z80,MIN(AB$6-$G$3,22))&lt;&gt;""),Trigo!$E80:INDEX(Trigo!$E80:$Z80,MIN(AB$6-$G$3,22))),0)))))</f>
        <v>0</v>
      </c>
      <c r="AC82" s="27" t="n">
        <f aca="false">IF(COUNT(Trigo!$E80:$Z80)=0,0,MAX(0,IF((AC$6-$E$3)&lt;1,0,IFERROR(LOOKUP(2,1/(Trigo!$E80:INDEX(Trigo!$E80:$Z80,MIN(AC$6-$E$3,22))&lt;&gt;""),Trigo!$E80:INDEX(Trigo!$E80:$Z80,MIN(AC$6-$E$3,22))),0))-IF($G$2,0,IF((AC$6-$G$3)&lt;1,0,IFERROR(LOOKUP(2,1/(Trigo!$E80:INDEX(Trigo!$E80:$Z80,MIN(AC$6-$G$3,22))&lt;&gt;""),Trigo!$E80:INDEX(Trigo!$E80:$Z80,MIN(AC$6-$G$3,22))),0)))))</f>
        <v>0</v>
      </c>
      <c r="AD82" s="27" t="n">
        <f aca="false">IF(COUNT(Trigo!$E80:$Z80)=0,0,MAX(0,IF((AD$6-$E$3)&lt;1,0,IFERROR(LOOKUP(2,1/(Trigo!$E80:INDEX(Trigo!$E80:$Z80,MIN(AD$6-$E$3,22))&lt;&gt;""),Trigo!$E80:INDEX(Trigo!$E80:$Z80,MIN(AD$6-$E$3,22))),0))-IF($G$2,0,IF((AD$6-$G$3)&lt;1,0,IFERROR(LOOKUP(2,1/(Trigo!$E80:INDEX(Trigo!$E80:$Z80,MIN(AD$6-$G$3,22))&lt;&gt;""),Trigo!$E80:INDEX(Trigo!$E80:$Z80,MIN(AD$6-$G$3,22))),0)))))</f>
        <v>0</v>
      </c>
      <c r="AE82" s="27" t="n">
        <f aca="false">IF(COUNT(Trigo!$E80:$Z80)=0,0,MAX(0,IF((AE$6-$E$3)&lt;1,0,IFERROR(LOOKUP(2,1/(Trigo!$E80:INDEX(Trigo!$E80:$Z80,MIN(AE$6-$E$3,22))&lt;&gt;""),Trigo!$E80:INDEX(Trigo!$E80:$Z80,MIN(AE$6-$E$3,22))),0))-IF($G$2,0,IF((AE$6-$G$3)&lt;1,0,IFERROR(LOOKUP(2,1/(Trigo!$E80:INDEX(Trigo!$E80:$Z80,MIN(AE$6-$G$3,22))&lt;&gt;""),Trigo!$E80:INDEX(Trigo!$E80:$Z80,MIN(AE$6-$G$3,22))),0)))))</f>
        <v>0</v>
      </c>
      <c r="AF82" s="27" t="n">
        <f aca="false">IF(COUNT(Trigo!$E80:$Z80)=0,0,MAX(0,IF((AF$6-$E$3)&lt;1,0,IFERROR(LOOKUP(2,1/(Trigo!$E80:INDEX(Trigo!$E80:$Z80,MIN(AF$6-$E$3,22))&lt;&gt;""),Trigo!$E80:INDEX(Trigo!$E80:$Z80,MIN(AF$6-$E$3,22))),0))-IF($G$2,0,IF((AF$6-$G$3)&lt;1,0,IFERROR(LOOKUP(2,1/(Trigo!$E80:INDEX(Trigo!$E80:$Z80,MIN(AF$6-$G$3,22))&lt;&gt;""),Trigo!$E80:INDEX(Trigo!$E80:$Z80,MIN(AF$6-$G$3,22))),0)))))</f>
        <v>0</v>
      </c>
      <c r="AG82" s="27" t="n">
        <f aca="false">IF(COUNT(Trigo!$E80:$Z80)=0,0,MAX(0,IF((AG$6-$E$3)&lt;1,0,IFERROR(LOOKUP(2,1/(Trigo!$E80:INDEX(Trigo!$E80:$Z80,MIN(AG$6-$E$3,22))&lt;&gt;""),Trigo!$E80:INDEX(Trigo!$E80:$Z80,MIN(AG$6-$E$3,22))),0))-IF($G$2,0,IF((AG$6-$G$3)&lt;1,0,IFERROR(LOOKUP(2,1/(Trigo!$E80:INDEX(Trigo!$E80:$Z80,MIN(AG$6-$G$3,22))&lt;&gt;""),Trigo!$E80:INDEX(Trigo!$E80:$Z80,MIN(AG$6-$G$3,22))),0)))))</f>
        <v>0</v>
      </c>
      <c r="AH82" s="27" t="n">
        <f aca="false">IF(COUNT(Trigo!$E80:$Z80)=0,0,MAX(0,IF((AH$6-$E$3)&lt;1,0,IFERROR(LOOKUP(2,1/(Trigo!$E80:INDEX(Trigo!$E80:$Z80,MIN(AH$6-$E$3,22))&lt;&gt;""),Trigo!$E80:INDEX(Trigo!$E80:$Z80,MIN(AH$6-$E$3,22))),0))-IF($G$2,0,IF((AH$6-$G$3)&lt;1,0,IFERROR(LOOKUP(2,1/(Trigo!$E80:INDEX(Trigo!$E80:$Z80,MIN(AH$6-$G$3,22))&lt;&gt;""),Trigo!$E80:INDEX(Trigo!$E80:$Z80,MIN(AH$6-$G$3,22))),0)))))</f>
        <v>0</v>
      </c>
      <c r="AI82" s="27" t="n">
        <f aca="false">IF(COUNT(Trigo!$E80:$Z80)=0,0,MAX(0,IF((AI$6-$E$3)&lt;1,0,IFERROR(LOOKUP(2,1/(Trigo!$E80:INDEX(Trigo!$E80:$Z80,MIN(AI$6-$E$3,22))&lt;&gt;""),Trigo!$E80:INDEX(Trigo!$E80:$Z80,MIN(AI$6-$E$3,22))),0))-IF($G$2,0,IF((AI$6-$G$3)&lt;1,0,IFERROR(LOOKUP(2,1/(Trigo!$E80:INDEX(Trigo!$E80:$Z80,MIN(AI$6-$G$3,22))&lt;&gt;""),Trigo!$E80:INDEX(Trigo!$E80:$Z80,MIN(AI$6-$G$3,22))),0)))))</f>
        <v>0</v>
      </c>
      <c r="AJ82" s="27" t="n">
        <f aca="false">IF(COUNT(Trigo!$E80:$Z80)=0,0,MAX(0,IF((AJ$6-$E$3)&lt;1,0,IFERROR(LOOKUP(2,1/(Trigo!$E80:INDEX(Trigo!$E80:$Z80,MIN(AJ$6-$E$3,22))&lt;&gt;""),Trigo!$E80:INDEX(Trigo!$E80:$Z80,MIN(AJ$6-$E$3,22))),0))-IF($G$2,0,IF((AJ$6-$G$3)&lt;1,0,IFERROR(LOOKUP(2,1/(Trigo!$E80:INDEX(Trigo!$E80:$Z80,MIN(AJ$6-$G$3,22))&lt;&gt;""),Trigo!$E80:INDEX(Trigo!$E80:$Z80,MIN(AJ$6-$G$3,22))),0)))))</f>
        <v>0</v>
      </c>
      <c r="AK82" s="27" t="n">
        <f aca="false">IF(COUNT(Trigo!$E80:$Z80)=0,0,MAX(0,IF((AK$6-$E$3)&lt;1,0,IFERROR(LOOKUP(2,1/(Trigo!$E80:INDEX(Trigo!$E80:$Z80,MIN(AK$6-$E$3,22))&lt;&gt;""),Trigo!$E80:INDEX(Trigo!$E80:$Z80,MIN(AK$6-$E$3,22))),0))-IF($G$2,0,IF((AK$6-$G$3)&lt;1,0,IFERROR(LOOKUP(2,1/(Trigo!$E80:INDEX(Trigo!$E80:$Z80,MIN(AK$6-$G$3,22))&lt;&gt;""),Trigo!$E80:INDEX(Trigo!$E80:$Z80,MIN(AK$6-$G$3,22))),0)))))</f>
        <v>0</v>
      </c>
      <c r="AL82" s="27" t="n">
        <f aca="false">IF(COUNT(Trigo!$E80:$Z80)=0,0,MAX(0,IF((AL$6-$E$3)&lt;1,0,IFERROR(LOOKUP(2,1/(Trigo!$E80:INDEX(Trigo!$E80:$Z80,MIN(AL$6-$E$3,22))&lt;&gt;""),Trigo!$E80:INDEX(Trigo!$E80:$Z80,MIN(AL$6-$E$3,22))),0))-IF($G$2,0,IF((AL$6-$G$3)&lt;1,0,IFERROR(LOOKUP(2,1/(Trigo!$E80:INDEX(Trigo!$E80:$Z80,MIN(AL$6-$G$3,22))&lt;&gt;""),Trigo!$E80:INDEX(Trigo!$E80:$Z80,MIN(AL$6-$G$3,22))),0)))))</f>
        <v>0</v>
      </c>
      <c r="AM82" s="27" t="n">
        <f aca="false">IF(COUNT(Trigo!$E80:$Z80)=0,0,MAX(0,IF((AM$6-$E$3)&lt;1,0,IFERROR(LOOKUP(2,1/(Trigo!$E80:INDEX(Trigo!$E80:$Z80,MIN(AM$6-$E$3,22))&lt;&gt;""),Trigo!$E80:INDEX(Trigo!$E80:$Z80,MIN(AM$6-$E$3,22))),0))-IF($G$2,0,IF((AM$6-$G$3)&lt;1,0,IFERROR(LOOKUP(2,1/(Trigo!$E80:INDEX(Trigo!$E80:$Z80,MIN(AM$6-$G$3,22))&lt;&gt;""),Trigo!$E80:INDEX(Trigo!$E80:$Z80,MIN(AM$6-$G$3,22))),0)))))</f>
        <v>0</v>
      </c>
      <c r="AN82" s="27" t="n">
        <f aca="false">IF(COUNT(Trigo!$E80:$Z80)=0,0,MAX(0,IF((AN$6-$E$3)&lt;1,0,IFERROR(LOOKUP(2,1/(Trigo!$E80:INDEX(Trigo!$E80:$Z80,MIN(AN$6-$E$3,22))&lt;&gt;""),Trigo!$E80:INDEX(Trigo!$E80:$Z80,MIN(AN$6-$E$3,22))),0))-IF($G$2,0,IF((AN$6-$G$3)&lt;1,0,IFERROR(LOOKUP(2,1/(Trigo!$E80:INDEX(Trigo!$E80:$Z80,MIN(AN$6-$G$3,22))&lt;&gt;""),Trigo!$E80:INDEX(Trigo!$E80:$Z80,MIN(AN$6-$G$3,22))),0)))))</f>
        <v>0</v>
      </c>
      <c r="AO82" s="27" t="n">
        <f aca="false">IF(COUNT(Trigo!$E80:$Z80)=0,0,MAX(0,IF((AO$6-$E$3)&lt;1,0,IFERROR(LOOKUP(2,1/(Trigo!$E80:INDEX(Trigo!$E80:$Z80,MIN(AO$6-$E$3,22))&lt;&gt;""),Trigo!$E80:INDEX(Trigo!$E80:$Z80,MIN(AO$6-$E$3,22))),0))-IF($G$2,0,IF((AO$6-$G$3)&lt;1,0,IFERROR(LOOKUP(2,1/(Trigo!$E80:INDEX(Trigo!$E80:$Z80,MIN(AO$6-$G$3,22))&lt;&gt;""),Trigo!$E80:INDEX(Trigo!$E80:$Z80,MIN(AO$6-$G$3,22))),0)))))</f>
        <v>0</v>
      </c>
      <c r="AP82" s="27" t="n">
        <f aca="false">IF(COUNT(Trigo!$E80:$Z80)=0,0,MAX(0,IF((AP$6-$E$3)&lt;1,0,IFERROR(LOOKUP(2,1/(Trigo!$E80:INDEX(Trigo!$E80:$Z80,MIN(AP$6-$E$3,22))&lt;&gt;""),Trigo!$E80:INDEX(Trigo!$E80:$Z80,MIN(AP$6-$E$3,22))),0))-IF($G$2,0,IF((AP$6-$G$3)&lt;1,0,IFERROR(LOOKUP(2,1/(Trigo!$E80:INDEX(Trigo!$E80:$Z80,MIN(AP$6-$G$3,22))&lt;&gt;""),Trigo!$E80:INDEX(Trigo!$E80:$Z80,MIN(AP$6-$G$3,22))),0)))))</f>
        <v>0</v>
      </c>
      <c r="AQ82" s="27" t="n">
        <f aca="false">IF(COUNT(Trigo!$E80:$Z80)=0,0,MAX(0,IF((AQ$6-$E$3)&lt;1,0,IFERROR(LOOKUP(2,1/(Trigo!$E80:INDEX(Trigo!$E80:$Z80,MIN(AQ$6-$E$3,22))&lt;&gt;""),Trigo!$E80:INDEX(Trigo!$E80:$Z80,MIN(AQ$6-$E$3,22))),0))-IF($G$2,0,IF((AQ$6-$G$3)&lt;1,0,IFERROR(LOOKUP(2,1/(Trigo!$E80:INDEX(Trigo!$E80:$Z80,MIN(AQ$6-$G$3,22))&lt;&gt;""),Trigo!$E80:INDEX(Trigo!$E80:$Z80,MIN(AQ$6-$G$3,22))),0)))))</f>
        <v>0</v>
      </c>
      <c r="AR82" s="27" t="n">
        <f aca="false">IF(COUNT(Trigo!$E80:$Z80)=0,0,MAX(0,IF((AR$6-$E$3)&lt;1,0,IFERROR(LOOKUP(2,1/(Trigo!$E80:INDEX(Trigo!$E80:$Z80,MIN(AR$6-$E$3,22))&lt;&gt;""),Trigo!$E80:INDEX(Trigo!$E80:$Z80,MIN(AR$6-$E$3,22))),0))-IF($G$2,0,IF((AR$6-$G$3)&lt;1,0,IFERROR(LOOKUP(2,1/(Trigo!$E80:INDEX(Trigo!$E80:$Z80,MIN(AR$6-$G$3,22))&lt;&gt;""),Trigo!$E80:INDEX(Trigo!$E80:$Z80,MIN(AR$6-$G$3,22))),0)))))</f>
        <v>0</v>
      </c>
      <c r="AS82" s="27" t="n">
        <f aca="false">IF(COUNT(Trigo!$E80:$Z80)=0,0,MAX(0,IF((AS$6-$E$3)&lt;1,0,IFERROR(LOOKUP(2,1/(Trigo!$E80:INDEX(Trigo!$E80:$Z80,MIN(AS$6-$E$3,22))&lt;&gt;""),Trigo!$E80:INDEX(Trigo!$E80:$Z80,MIN(AS$6-$E$3,22))),0))-IF($G$2,0,IF((AS$6-$G$3)&lt;1,0,IFERROR(LOOKUP(2,1/(Trigo!$E80:INDEX(Trigo!$E80:$Z80,MIN(AS$6-$G$3,22))&lt;&gt;""),Trigo!$E80:INDEX(Trigo!$E80:$Z80,MIN(AS$6-$G$3,22))),0)))))</f>
        <v>0</v>
      </c>
      <c r="AT82" s="27" t="n">
        <f aca="false">IF(COUNT(Trigo!$E80:$Z80)=0,0,MAX(0,IF((AT$6-$E$3)&lt;1,0,IFERROR(LOOKUP(2,1/(Trigo!$E80:INDEX(Trigo!$E80:$Z80,MIN(AT$6-$E$3,22))&lt;&gt;""),Trigo!$E80:INDEX(Trigo!$E80:$Z80,MIN(AT$6-$E$3,22))),0))-IF($G$2,0,IF((AT$6-$G$3)&lt;1,0,IFERROR(LOOKUP(2,1/(Trigo!$E80:INDEX(Trigo!$E80:$Z80,MIN(AT$6-$G$3,22))&lt;&gt;""),Trigo!$E80:INDEX(Trigo!$E80:$Z80,MIN(AT$6-$G$3,22))),0)))))</f>
        <v>0</v>
      </c>
      <c r="AU82" s="27" t="n">
        <f aca="false">IF(COUNT(Trigo!$E80:$Z80)=0,0,MAX(0,IF((AU$6-$E$3)&lt;1,0,IFERROR(LOOKUP(2,1/(Trigo!$E80:INDEX(Trigo!$E80:$Z80,MIN(AU$6-$E$3,22))&lt;&gt;""),Trigo!$E80:INDEX(Trigo!$E80:$Z80,MIN(AU$6-$E$3,22))),0))-IF($G$2,0,IF((AU$6-$G$3)&lt;1,0,IFERROR(LOOKUP(2,1/(Trigo!$E80:INDEX(Trigo!$E80:$Z80,MIN(AU$6-$G$3,22))&lt;&gt;""),Trigo!$E80:INDEX(Trigo!$E80:$Z80,MIN(AU$6-$G$3,22))),0)))))</f>
        <v>0</v>
      </c>
      <c r="AV82" s="27" t="n">
        <f aca="false">IF(COUNT(Trigo!$E80:$Z80)=0,0,MAX(0,IF((AV$6-$E$3)&lt;1,0,IFERROR(LOOKUP(2,1/(Trigo!$E80:INDEX(Trigo!$E80:$Z80,MIN(AV$6-$E$3,22))&lt;&gt;""),Trigo!$E80:INDEX(Trigo!$E80:$Z80,MIN(AV$6-$E$3,22))),0))-IF($G$2,0,IF((AV$6-$G$3)&lt;1,0,IFERROR(LOOKUP(2,1/(Trigo!$E80:INDEX(Trigo!$E80:$Z80,MIN(AV$6-$G$3,22))&lt;&gt;""),Trigo!$E80:INDEX(Trigo!$E80:$Z80,MIN(AV$6-$G$3,22))),0)))))</f>
        <v>0</v>
      </c>
      <c r="AW82" s="27" t="n">
        <f aca="false">IF(COUNT(Trigo!$E80:$Z80)=0,0,MAX(0,IF((AW$6-$E$3)&lt;1,0,IFERROR(LOOKUP(2,1/(Trigo!$E80:INDEX(Trigo!$E80:$Z80,MIN(AW$6-$E$3,22))&lt;&gt;""),Trigo!$E80:INDEX(Trigo!$E80:$Z80,MIN(AW$6-$E$3,22))),0))-IF($G$2,0,IF((AW$6-$G$3)&lt;1,0,IFERROR(LOOKUP(2,1/(Trigo!$E80:INDEX(Trigo!$E80:$Z80,MIN(AW$6-$G$3,22))&lt;&gt;""),Trigo!$E80:INDEX(Trigo!$E80:$Z80,MIN(AW$6-$G$3,22))),0)))))</f>
        <v>0</v>
      </c>
      <c r="AX82" s="27" t="n">
        <f aca="false">IF(COUNT(Trigo!$E80:$Z80)=0,0,MAX(0,IF((AX$6-$E$3)&lt;1,0,IFERROR(LOOKUP(2,1/(Trigo!$E80:INDEX(Trigo!$E80:$Z80,MIN(AX$6-$E$3,22))&lt;&gt;""),Trigo!$E80:INDEX(Trigo!$E80:$Z80,MIN(AX$6-$E$3,22))),0))-IF($G$2,0,IF((AX$6-$G$3)&lt;1,0,IFERROR(LOOKUP(2,1/(Trigo!$E80:INDEX(Trigo!$E80:$Z80,MIN(AX$6-$G$3,22))&lt;&gt;""),Trigo!$E80:INDEX(Trigo!$E80:$Z80,MIN(AX$6-$G$3,22))),0)))))</f>
        <v>0</v>
      </c>
      <c r="AY82" s="27" t="n">
        <f aca="false">IF(COUNT(Trigo!$E80:$Z80)=0,0,MAX(0,IF((AY$6-$E$3)&lt;1,0,IFERROR(LOOKUP(2,1/(Trigo!$E80:INDEX(Trigo!$E80:$Z80,MIN(AY$6-$E$3,22))&lt;&gt;""),Trigo!$E80:INDEX(Trigo!$E80:$Z80,MIN(AY$6-$E$3,22))),0))-IF($G$2,0,IF((AY$6-$G$3)&lt;1,0,IFERROR(LOOKUP(2,1/(Trigo!$E80:INDEX(Trigo!$E80:$Z80,MIN(AY$6-$G$3,22))&lt;&gt;""),Trigo!$E80:INDEX(Trigo!$E80:$Z80,MIN(AY$6-$G$3,22))),0)))))</f>
        <v>0</v>
      </c>
      <c r="AZ82" s="27" t="n">
        <f aca="false">IF(COUNT(Trigo!$E80:$Z80)=0,0,MAX(0,IF((AZ$6-$E$3)&lt;1,0,IFERROR(LOOKUP(2,1/(Trigo!$E80:INDEX(Trigo!$E80:$Z80,MIN(AZ$6-$E$3,22))&lt;&gt;""),Trigo!$E80:INDEX(Trigo!$E80:$Z80,MIN(AZ$6-$E$3,22))),0))-IF($G$2,0,IF((AZ$6-$G$3)&lt;1,0,IFERROR(LOOKUP(2,1/(Trigo!$E80:INDEX(Trigo!$E80:$Z80,MIN(AZ$6-$G$3,22))&lt;&gt;""),Trigo!$E80:INDEX(Trigo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IF(COUNT(Trigo!$E81:$Z81)&gt;0,N(Trigo!$D81),0)</f>
        <v>0</v>
      </c>
      <c r="E83" s="27" t="n">
        <f aca="false">IF(COUNT(Trigo!$E81:$Z81)=0,0,MAX(0,IF((E$6-$E$3)&lt;1,0,IFERROR(LOOKUP(2,1/(Trigo!$E81:INDEX(Trigo!$E81:$Z81,MIN(E$6-$E$3,22))&lt;&gt;""),Trigo!$E81:INDEX(Trigo!$E81:$Z81,MIN(E$6-$E$3,22))),0))-IF($G$2,0,IF((E$6-$G$3)&lt;1,0,IFERROR(LOOKUP(2,1/(Trigo!$E81:INDEX(Trigo!$E81:$Z81,MIN(E$6-$G$3,22))&lt;&gt;""),Trigo!$E81:INDEX(Trigo!$E81:$Z81,MIN(E$6-$G$3,22))),0)))))</f>
        <v>0</v>
      </c>
      <c r="F83" s="27" t="n">
        <f aca="false">IF(COUNT(Trigo!$E81:$Z81)=0,0,MAX(0,IF((F$6-$E$3)&lt;1,0,IFERROR(LOOKUP(2,1/(Trigo!$E81:INDEX(Trigo!$E81:$Z81,MIN(F$6-$E$3,22))&lt;&gt;""),Trigo!$E81:INDEX(Trigo!$E81:$Z81,MIN(F$6-$E$3,22))),0))-IF($G$2,0,IF((F$6-$G$3)&lt;1,0,IFERROR(LOOKUP(2,1/(Trigo!$E81:INDEX(Trigo!$E81:$Z81,MIN(F$6-$G$3,22))&lt;&gt;""),Trigo!$E81:INDEX(Trigo!$E81:$Z81,MIN(F$6-$G$3,22))),0)))))</f>
        <v>0</v>
      </c>
      <c r="G83" s="27" t="n">
        <f aca="false">IF(COUNT(Trigo!$E81:$Z81)=0,0,MAX(0,IF((G$6-$E$3)&lt;1,0,IFERROR(LOOKUP(2,1/(Trigo!$E81:INDEX(Trigo!$E81:$Z81,MIN(G$6-$E$3,22))&lt;&gt;""),Trigo!$E81:INDEX(Trigo!$E81:$Z81,MIN(G$6-$E$3,22))),0))-IF($G$2,0,IF((G$6-$G$3)&lt;1,0,IFERROR(LOOKUP(2,1/(Trigo!$E81:INDEX(Trigo!$E81:$Z81,MIN(G$6-$G$3,22))&lt;&gt;""),Trigo!$E81:INDEX(Trigo!$E81:$Z81,MIN(G$6-$G$3,22))),0)))))</f>
        <v>0</v>
      </c>
      <c r="H83" s="27" t="n">
        <f aca="false">IF(COUNT(Trigo!$E81:$Z81)=0,0,MAX(0,IF((H$6-$E$3)&lt;1,0,IFERROR(LOOKUP(2,1/(Trigo!$E81:INDEX(Trigo!$E81:$Z81,MIN(H$6-$E$3,22))&lt;&gt;""),Trigo!$E81:INDEX(Trigo!$E81:$Z81,MIN(H$6-$E$3,22))),0))-IF($G$2,0,IF((H$6-$G$3)&lt;1,0,IFERROR(LOOKUP(2,1/(Trigo!$E81:INDEX(Trigo!$E81:$Z81,MIN(H$6-$G$3,22))&lt;&gt;""),Trigo!$E81:INDEX(Trigo!$E81:$Z81,MIN(H$6-$G$3,22))),0)))))</f>
        <v>0</v>
      </c>
      <c r="I83" s="27" t="n">
        <f aca="false">IF(COUNT(Trigo!$E81:$Z81)=0,0,MAX(0,IF((I$6-$E$3)&lt;1,0,IFERROR(LOOKUP(2,1/(Trigo!$E81:INDEX(Trigo!$E81:$Z81,MIN(I$6-$E$3,22))&lt;&gt;""),Trigo!$E81:INDEX(Trigo!$E81:$Z81,MIN(I$6-$E$3,22))),0))-IF($G$2,0,IF((I$6-$G$3)&lt;1,0,IFERROR(LOOKUP(2,1/(Trigo!$E81:INDEX(Trigo!$E81:$Z81,MIN(I$6-$G$3,22))&lt;&gt;""),Trigo!$E81:INDEX(Trigo!$E81:$Z81,MIN(I$6-$G$3,22))),0)))))</f>
        <v>0</v>
      </c>
      <c r="J83" s="27" t="n">
        <f aca="false">IF(COUNT(Trigo!$E81:$Z81)=0,0,MAX(0,IF((J$6-$E$3)&lt;1,0,IFERROR(LOOKUP(2,1/(Trigo!$E81:INDEX(Trigo!$E81:$Z81,MIN(J$6-$E$3,22))&lt;&gt;""),Trigo!$E81:INDEX(Trigo!$E81:$Z81,MIN(J$6-$E$3,22))),0))-IF($G$2,0,IF((J$6-$G$3)&lt;1,0,IFERROR(LOOKUP(2,1/(Trigo!$E81:INDEX(Trigo!$E81:$Z81,MIN(J$6-$G$3,22))&lt;&gt;""),Trigo!$E81:INDEX(Trigo!$E81:$Z81,MIN(J$6-$G$3,22))),0)))))</f>
        <v>0</v>
      </c>
      <c r="K83" s="27" t="n">
        <f aca="false">IF(COUNT(Trigo!$E81:$Z81)=0,0,MAX(0,IF((K$6-$E$3)&lt;1,0,IFERROR(LOOKUP(2,1/(Trigo!$E81:INDEX(Trigo!$E81:$Z81,MIN(K$6-$E$3,22))&lt;&gt;""),Trigo!$E81:INDEX(Trigo!$E81:$Z81,MIN(K$6-$E$3,22))),0))-IF($G$2,0,IF((K$6-$G$3)&lt;1,0,IFERROR(LOOKUP(2,1/(Trigo!$E81:INDEX(Trigo!$E81:$Z81,MIN(K$6-$G$3,22))&lt;&gt;""),Trigo!$E81:INDEX(Trigo!$E81:$Z81,MIN(K$6-$G$3,22))),0)))))</f>
        <v>0</v>
      </c>
      <c r="L83" s="27" t="n">
        <f aca="false">IF(COUNT(Trigo!$E81:$Z81)=0,0,MAX(0,IF((L$6-$E$3)&lt;1,0,IFERROR(LOOKUP(2,1/(Trigo!$E81:INDEX(Trigo!$E81:$Z81,MIN(L$6-$E$3,22))&lt;&gt;""),Trigo!$E81:INDEX(Trigo!$E81:$Z81,MIN(L$6-$E$3,22))),0))-IF($G$2,0,IF((L$6-$G$3)&lt;1,0,IFERROR(LOOKUP(2,1/(Trigo!$E81:INDEX(Trigo!$E81:$Z81,MIN(L$6-$G$3,22))&lt;&gt;""),Trigo!$E81:INDEX(Trigo!$E81:$Z81,MIN(L$6-$G$3,22))),0)))))</f>
        <v>0</v>
      </c>
      <c r="M83" s="27" t="n">
        <f aca="false">IF(COUNT(Trigo!$E81:$Z81)=0,0,MAX(0,IF((M$6-$E$3)&lt;1,0,IFERROR(LOOKUP(2,1/(Trigo!$E81:INDEX(Trigo!$E81:$Z81,MIN(M$6-$E$3,22))&lt;&gt;""),Trigo!$E81:INDEX(Trigo!$E81:$Z81,MIN(M$6-$E$3,22))),0))-IF($G$2,0,IF((M$6-$G$3)&lt;1,0,IFERROR(LOOKUP(2,1/(Trigo!$E81:INDEX(Trigo!$E81:$Z81,MIN(M$6-$G$3,22))&lt;&gt;""),Trigo!$E81:INDEX(Trigo!$E81:$Z81,MIN(M$6-$G$3,22))),0)))))</f>
        <v>0</v>
      </c>
      <c r="N83" s="27" t="n">
        <f aca="false">IF(COUNT(Trigo!$E81:$Z81)=0,0,MAX(0,IF((N$6-$E$3)&lt;1,0,IFERROR(LOOKUP(2,1/(Trigo!$E81:INDEX(Trigo!$E81:$Z81,MIN(N$6-$E$3,22))&lt;&gt;""),Trigo!$E81:INDEX(Trigo!$E81:$Z81,MIN(N$6-$E$3,22))),0))-IF($G$2,0,IF((N$6-$G$3)&lt;1,0,IFERROR(LOOKUP(2,1/(Trigo!$E81:INDEX(Trigo!$E81:$Z81,MIN(N$6-$G$3,22))&lt;&gt;""),Trigo!$E81:INDEX(Trigo!$E81:$Z81,MIN(N$6-$G$3,22))),0)))))</f>
        <v>0</v>
      </c>
      <c r="O83" s="27" t="n">
        <f aca="false">IF(COUNT(Trigo!$E81:$Z81)=0,0,MAX(0,IF((O$6-$E$3)&lt;1,0,IFERROR(LOOKUP(2,1/(Trigo!$E81:INDEX(Trigo!$E81:$Z81,MIN(O$6-$E$3,22))&lt;&gt;""),Trigo!$E81:INDEX(Trigo!$E81:$Z81,MIN(O$6-$E$3,22))),0))-IF($G$2,0,IF((O$6-$G$3)&lt;1,0,IFERROR(LOOKUP(2,1/(Trigo!$E81:INDEX(Trigo!$E81:$Z81,MIN(O$6-$G$3,22))&lt;&gt;""),Trigo!$E81:INDEX(Trigo!$E81:$Z81,MIN(O$6-$G$3,22))),0)))))</f>
        <v>0</v>
      </c>
      <c r="P83" s="27" t="n">
        <f aca="false">IF(COUNT(Trigo!$E81:$Z81)=0,0,MAX(0,IF((P$6-$E$3)&lt;1,0,IFERROR(LOOKUP(2,1/(Trigo!$E81:INDEX(Trigo!$E81:$Z81,MIN(P$6-$E$3,22))&lt;&gt;""),Trigo!$E81:INDEX(Trigo!$E81:$Z81,MIN(P$6-$E$3,22))),0))-IF($G$2,0,IF((P$6-$G$3)&lt;1,0,IFERROR(LOOKUP(2,1/(Trigo!$E81:INDEX(Trigo!$E81:$Z81,MIN(P$6-$G$3,22))&lt;&gt;""),Trigo!$E81:INDEX(Trigo!$E81:$Z81,MIN(P$6-$G$3,22))),0)))))</f>
        <v>0</v>
      </c>
      <c r="Q83" s="27" t="n">
        <f aca="false">IF(COUNT(Trigo!$E81:$Z81)=0,0,MAX(0,IF((Q$6-$E$3)&lt;1,0,IFERROR(LOOKUP(2,1/(Trigo!$E81:INDEX(Trigo!$E81:$Z81,MIN(Q$6-$E$3,22))&lt;&gt;""),Trigo!$E81:INDEX(Trigo!$E81:$Z81,MIN(Q$6-$E$3,22))),0))-IF($G$2,0,IF((Q$6-$G$3)&lt;1,0,IFERROR(LOOKUP(2,1/(Trigo!$E81:INDEX(Trigo!$E81:$Z81,MIN(Q$6-$G$3,22))&lt;&gt;""),Trigo!$E81:INDEX(Trigo!$E81:$Z81,MIN(Q$6-$G$3,22))),0)))))</f>
        <v>0</v>
      </c>
      <c r="R83" s="27" t="n">
        <f aca="false">IF(COUNT(Trigo!$E81:$Z81)=0,0,MAX(0,IF((R$6-$E$3)&lt;1,0,IFERROR(LOOKUP(2,1/(Trigo!$E81:INDEX(Trigo!$E81:$Z81,MIN(R$6-$E$3,22))&lt;&gt;""),Trigo!$E81:INDEX(Trigo!$E81:$Z81,MIN(R$6-$E$3,22))),0))-IF($G$2,0,IF((R$6-$G$3)&lt;1,0,IFERROR(LOOKUP(2,1/(Trigo!$E81:INDEX(Trigo!$E81:$Z81,MIN(R$6-$G$3,22))&lt;&gt;""),Trigo!$E81:INDEX(Trigo!$E81:$Z81,MIN(R$6-$G$3,22))),0)))))</f>
        <v>0</v>
      </c>
      <c r="S83" s="27" t="n">
        <f aca="false">IF(COUNT(Trigo!$E81:$Z81)=0,0,MAX(0,IF((S$6-$E$3)&lt;1,0,IFERROR(LOOKUP(2,1/(Trigo!$E81:INDEX(Trigo!$E81:$Z81,MIN(S$6-$E$3,22))&lt;&gt;""),Trigo!$E81:INDEX(Trigo!$E81:$Z81,MIN(S$6-$E$3,22))),0))-IF($G$2,0,IF((S$6-$G$3)&lt;1,0,IFERROR(LOOKUP(2,1/(Trigo!$E81:INDEX(Trigo!$E81:$Z81,MIN(S$6-$G$3,22))&lt;&gt;""),Trigo!$E81:INDEX(Trigo!$E81:$Z81,MIN(S$6-$G$3,22))),0)))))</f>
        <v>0</v>
      </c>
      <c r="T83" s="27" t="n">
        <f aca="false">IF(COUNT(Trigo!$E81:$Z81)=0,0,MAX(0,IF((T$6-$E$3)&lt;1,0,IFERROR(LOOKUP(2,1/(Trigo!$E81:INDEX(Trigo!$E81:$Z81,MIN(T$6-$E$3,22))&lt;&gt;""),Trigo!$E81:INDEX(Trigo!$E81:$Z81,MIN(T$6-$E$3,22))),0))-IF($G$2,0,IF((T$6-$G$3)&lt;1,0,IFERROR(LOOKUP(2,1/(Trigo!$E81:INDEX(Trigo!$E81:$Z81,MIN(T$6-$G$3,22))&lt;&gt;""),Trigo!$E81:INDEX(Trigo!$E81:$Z81,MIN(T$6-$G$3,22))),0)))))</f>
        <v>0</v>
      </c>
      <c r="U83" s="27" t="n">
        <f aca="false">IF(COUNT(Trigo!$E81:$Z81)=0,0,MAX(0,IF((U$6-$E$3)&lt;1,0,IFERROR(LOOKUP(2,1/(Trigo!$E81:INDEX(Trigo!$E81:$Z81,MIN(U$6-$E$3,22))&lt;&gt;""),Trigo!$E81:INDEX(Trigo!$E81:$Z81,MIN(U$6-$E$3,22))),0))-IF($G$2,0,IF((U$6-$G$3)&lt;1,0,IFERROR(LOOKUP(2,1/(Trigo!$E81:INDEX(Trigo!$E81:$Z81,MIN(U$6-$G$3,22))&lt;&gt;""),Trigo!$E81:INDEX(Trigo!$E81:$Z81,MIN(U$6-$G$3,22))),0)))))</f>
        <v>0</v>
      </c>
      <c r="V83" s="27" t="n">
        <f aca="false">IF(COUNT(Trigo!$E81:$Z81)=0,0,MAX(0,IF((V$6-$E$3)&lt;1,0,IFERROR(LOOKUP(2,1/(Trigo!$E81:INDEX(Trigo!$E81:$Z81,MIN(V$6-$E$3,22))&lt;&gt;""),Trigo!$E81:INDEX(Trigo!$E81:$Z81,MIN(V$6-$E$3,22))),0))-IF($G$2,0,IF((V$6-$G$3)&lt;1,0,IFERROR(LOOKUP(2,1/(Trigo!$E81:INDEX(Trigo!$E81:$Z81,MIN(V$6-$G$3,22))&lt;&gt;""),Trigo!$E81:INDEX(Trigo!$E81:$Z81,MIN(V$6-$G$3,22))),0)))))</f>
        <v>0</v>
      </c>
      <c r="W83" s="27" t="n">
        <f aca="false">IF(COUNT(Trigo!$E81:$Z81)=0,0,MAX(0,IF((W$6-$E$3)&lt;1,0,IFERROR(LOOKUP(2,1/(Trigo!$E81:INDEX(Trigo!$E81:$Z81,MIN(W$6-$E$3,22))&lt;&gt;""),Trigo!$E81:INDEX(Trigo!$E81:$Z81,MIN(W$6-$E$3,22))),0))-IF($G$2,0,IF((W$6-$G$3)&lt;1,0,IFERROR(LOOKUP(2,1/(Trigo!$E81:INDEX(Trigo!$E81:$Z81,MIN(W$6-$G$3,22))&lt;&gt;""),Trigo!$E81:INDEX(Trigo!$E81:$Z81,MIN(W$6-$G$3,22))),0)))))</f>
        <v>0</v>
      </c>
      <c r="X83" s="27" t="n">
        <f aca="false">IF(COUNT(Trigo!$E81:$Z81)=0,0,MAX(0,IF((X$6-$E$3)&lt;1,0,IFERROR(LOOKUP(2,1/(Trigo!$E81:INDEX(Trigo!$E81:$Z81,MIN(X$6-$E$3,22))&lt;&gt;""),Trigo!$E81:INDEX(Trigo!$E81:$Z81,MIN(X$6-$E$3,22))),0))-IF($G$2,0,IF((X$6-$G$3)&lt;1,0,IFERROR(LOOKUP(2,1/(Trigo!$E81:INDEX(Trigo!$E81:$Z81,MIN(X$6-$G$3,22))&lt;&gt;""),Trigo!$E81:INDEX(Trigo!$E81:$Z81,MIN(X$6-$G$3,22))),0)))))</f>
        <v>0</v>
      </c>
      <c r="Y83" s="27" t="n">
        <f aca="false">IF(COUNT(Trigo!$E81:$Z81)=0,0,MAX(0,IF((Y$6-$E$3)&lt;1,0,IFERROR(LOOKUP(2,1/(Trigo!$E81:INDEX(Trigo!$E81:$Z81,MIN(Y$6-$E$3,22))&lt;&gt;""),Trigo!$E81:INDEX(Trigo!$E81:$Z81,MIN(Y$6-$E$3,22))),0))-IF($G$2,0,IF((Y$6-$G$3)&lt;1,0,IFERROR(LOOKUP(2,1/(Trigo!$E81:INDEX(Trigo!$E81:$Z81,MIN(Y$6-$G$3,22))&lt;&gt;""),Trigo!$E81:INDEX(Trigo!$E81:$Z81,MIN(Y$6-$G$3,22))),0)))))</f>
        <v>0</v>
      </c>
      <c r="Z83" s="27" t="n">
        <f aca="false">IF(COUNT(Trigo!$E81:$Z81)=0,0,MAX(0,IF((Z$6-$E$3)&lt;1,0,IFERROR(LOOKUP(2,1/(Trigo!$E81:INDEX(Trigo!$E81:$Z81,MIN(Z$6-$E$3,22))&lt;&gt;""),Trigo!$E81:INDEX(Trigo!$E81:$Z81,MIN(Z$6-$E$3,22))),0))-IF($G$2,0,IF((Z$6-$G$3)&lt;1,0,IFERROR(LOOKUP(2,1/(Trigo!$E81:INDEX(Trigo!$E81:$Z81,MIN(Z$6-$G$3,22))&lt;&gt;""),Trigo!$E81:INDEX(Trigo!$E81:$Z81,MIN(Z$6-$G$3,22))),0)))))</f>
        <v>0</v>
      </c>
      <c r="AA83" s="27" t="n">
        <f aca="false">IF(COUNT(Trigo!$E81:$Z81)=0,0,MAX(0,IF((AA$6-$E$3)&lt;1,0,IFERROR(LOOKUP(2,1/(Trigo!$E81:INDEX(Trigo!$E81:$Z81,MIN(AA$6-$E$3,22))&lt;&gt;""),Trigo!$E81:INDEX(Trigo!$E81:$Z81,MIN(AA$6-$E$3,22))),0))-IF($G$2,0,IF((AA$6-$G$3)&lt;1,0,IFERROR(LOOKUP(2,1/(Trigo!$E81:INDEX(Trigo!$E81:$Z81,MIN(AA$6-$G$3,22))&lt;&gt;""),Trigo!$E81:INDEX(Trigo!$E81:$Z81,MIN(AA$6-$G$3,22))),0)))))</f>
        <v>0</v>
      </c>
      <c r="AB83" s="27" t="n">
        <f aca="false">IF(COUNT(Trigo!$E81:$Z81)=0,0,MAX(0,IF((AB$6-$E$3)&lt;1,0,IFERROR(LOOKUP(2,1/(Trigo!$E81:INDEX(Trigo!$E81:$Z81,MIN(AB$6-$E$3,22))&lt;&gt;""),Trigo!$E81:INDEX(Trigo!$E81:$Z81,MIN(AB$6-$E$3,22))),0))-IF($G$2,0,IF((AB$6-$G$3)&lt;1,0,IFERROR(LOOKUP(2,1/(Trigo!$E81:INDEX(Trigo!$E81:$Z81,MIN(AB$6-$G$3,22))&lt;&gt;""),Trigo!$E81:INDEX(Trigo!$E81:$Z81,MIN(AB$6-$G$3,22))),0)))))</f>
        <v>0</v>
      </c>
      <c r="AC83" s="27" t="n">
        <f aca="false">IF(COUNT(Trigo!$E81:$Z81)=0,0,MAX(0,IF((AC$6-$E$3)&lt;1,0,IFERROR(LOOKUP(2,1/(Trigo!$E81:INDEX(Trigo!$E81:$Z81,MIN(AC$6-$E$3,22))&lt;&gt;""),Trigo!$E81:INDEX(Trigo!$E81:$Z81,MIN(AC$6-$E$3,22))),0))-IF($G$2,0,IF((AC$6-$G$3)&lt;1,0,IFERROR(LOOKUP(2,1/(Trigo!$E81:INDEX(Trigo!$E81:$Z81,MIN(AC$6-$G$3,22))&lt;&gt;""),Trigo!$E81:INDEX(Trigo!$E81:$Z81,MIN(AC$6-$G$3,22))),0)))))</f>
        <v>0</v>
      </c>
      <c r="AD83" s="27" t="n">
        <f aca="false">IF(COUNT(Trigo!$E81:$Z81)=0,0,MAX(0,IF((AD$6-$E$3)&lt;1,0,IFERROR(LOOKUP(2,1/(Trigo!$E81:INDEX(Trigo!$E81:$Z81,MIN(AD$6-$E$3,22))&lt;&gt;""),Trigo!$E81:INDEX(Trigo!$E81:$Z81,MIN(AD$6-$E$3,22))),0))-IF($G$2,0,IF((AD$6-$G$3)&lt;1,0,IFERROR(LOOKUP(2,1/(Trigo!$E81:INDEX(Trigo!$E81:$Z81,MIN(AD$6-$G$3,22))&lt;&gt;""),Trigo!$E81:INDEX(Trigo!$E81:$Z81,MIN(AD$6-$G$3,22))),0)))))</f>
        <v>0</v>
      </c>
      <c r="AE83" s="27" t="n">
        <f aca="false">IF(COUNT(Trigo!$E81:$Z81)=0,0,MAX(0,IF((AE$6-$E$3)&lt;1,0,IFERROR(LOOKUP(2,1/(Trigo!$E81:INDEX(Trigo!$E81:$Z81,MIN(AE$6-$E$3,22))&lt;&gt;""),Trigo!$E81:INDEX(Trigo!$E81:$Z81,MIN(AE$6-$E$3,22))),0))-IF($G$2,0,IF((AE$6-$G$3)&lt;1,0,IFERROR(LOOKUP(2,1/(Trigo!$E81:INDEX(Trigo!$E81:$Z81,MIN(AE$6-$G$3,22))&lt;&gt;""),Trigo!$E81:INDEX(Trigo!$E81:$Z81,MIN(AE$6-$G$3,22))),0)))))</f>
        <v>0</v>
      </c>
      <c r="AF83" s="27" t="n">
        <f aca="false">IF(COUNT(Trigo!$E81:$Z81)=0,0,MAX(0,IF((AF$6-$E$3)&lt;1,0,IFERROR(LOOKUP(2,1/(Trigo!$E81:INDEX(Trigo!$E81:$Z81,MIN(AF$6-$E$3,22))&lt;&gt;""),Trigo!$E81:INDEX(Trigo!$E81:$Z81,MIN(AF$6-$E$3,22))),0))-IF($G$2,0,IF((AF$6-$G$3)&lt;1,0,IFERROR(LOOKUP(2,1/(Trigo!$E81:INDEX(Trigo!$E81:$Z81,MIN(AF$6-$G$3,22))&lt;&gt;""),Trigo!$E81:INDEX(Trigo!$E81:$Z81,MIN(AF$6-$G$3,22))),0)))))</f>
        <v>0</v>
      </c>
      <c r="AG83" s="27" t="n">
        <f aca="false">IF(COUNT(Trigo!$E81:$Z81)=0,0,MAX(0,IF((AG$6-$E$3)&lt;1,0,IFERROR(LOOKUP(2,1/(Trigo!$E81:INDEX(Trigo!$E81:$Z81,MIN(AG$6-$E$3,22))&lt;&gt;""),Trigo!$E81:INDEX(Trigo!$E81:$Z81,MIN(AG$6-$E$3,22))),0))-IF($G$2,0,IF((AG$6-$G$3)&lt;1,0,IFERROR(LOOKUP(2,1/(Trigo!$E81:INDEX(Trigo!$E81:$Z81,MIN(AG$6-$G$3,22))&lt;&gt;""),Trigo!$E81:INDEX(Trigo!$E81:$Z81,MIN(AG$6-$G$3,22))),0)))))</f>
        <v>0</v>
      </c>
      <c r="AH83" s="27" t="n">
        <f aca="false">IF(COUNT(Trigo!$E81:$Z81)=0,0,MAX(0,IF((AH$6-$E$3)&lt;1,0,IFERROR(LOOKUP(2,1/(Trigo!$E81:INDEX(Trigo!$E81:$Z81,MIN(AH$6-$E$3,22))&lt;&gt;""),Trigo!$E81:INDEX(Trigo!$E81:$Z81,MIN(AH$6-$E$3,22))),0))-IF($G$2,0,IF((AH$6-$G$3)&lt;1,0,IFERROR(LOOKUP(2,1/(Trigo!$E81:INDEX(Trigo!$E81:$Z81,MIN(AH$6-$G$3,22))&lt;&gt;""),Trigo!$E81:INDEX(Trigo!$E81:$Z81,MIN(AH$6-$G$3,22))),0)))))</f>
        <v>0</v>
      </c>
      <c r="AI83" s="27" t="n">
        <f aca="false">IF(COUNT(Trigo!$E81:$Z81)=0,0,MAX(0,IF((AI$6-$E$3)&lt;1,0,IFERROR(LOOKUP(2,1/(Trigo!$E81:INDEX(Trigo!$E81:$Z81,MIN(AI$6-$E$3,22))&lt;&gt;""),Trigo!$E81:INDEX(Trigo!$E81:$Z81,MIN(AI$6-$E$3,22))),0))-IF($G$2,0,IF((AI$6-$G$3)&lt;1,0,IFERROR(LOOKUP(2,1/(Trigo!$E81:INDEX(Trigo!$E81:$Z81,MIN(AI$6-$G$3,22))&lt;&gt;""),Trigo!$E81:INDEX(Trigo!$E81:$Z81,MIN(AI$6-$G$3,22))),0)))))</f>
        <v>0</v>
      </c>
      <c r="AJ83" s="27" t="n">
        <f aca="false">IF(COUNT(Trigo!$E81:$Z81)=0,0,MAX(0,IF((AJ$6-$E$3)&lt;1,0,IFERROR(LOOKUP(2,1/(Trigo!$E81:INDEX(Trigo!$E81:$Z81,MIN(AJ$6-$E$3,22))&lt;&gt;""),Trigo!$E81:INDEX(Trigo!$E81:$Z81,MIN(AJ$6-$E$3,22))),0))-IF($G$2,0,IF((AJ$6-$G$3)&lt;1,0,IFERROR(LOOKUP(2,1/(Trigo!$E81:INDEX(Trigo!$E81:$Z81,MIN(AJ$6-$G$3,22))&lt;&gt;""),Trigo!$E81:INDEX(Trigo!$E81:$Z81,MIN(AJ$6-$G$3,22))),0)))))</f>
        <v>0</v>
      </c>
      <c r="AK83" s="27" t="n">
        <f aca="false">IF(COUNT(Trigo!$E81:$Z81)=0,0,MAX(0,IF((AK$6-$E$3)&lt;1,0,IFERROR(LOOKUP(2,1/(Trigo!$E81:INDEX(Trigo!$E81:$Z81,MIN(AK$6-$E$3,22))&lt;&gt;""),Trigo!$E81:INDEX(Trigo!$E81:$Z81,MIN(AK$6-$E$3,22))),0))-IF($G$2,0,IF((AK$6-$G$3)&lt;1,0,IFERROR(LOOKUP(2,1/(Trigo!$E81:INDEX(Trigo!$E81:$Z81,MIN(AK$6-$G$3,22))&lt;&gt;""),Trigo!$E81:INDEX(Trigo!$E81:$Z81,MIN(AK$6-$G$3,22))),0)))))</f>
        <v>0</v>
      </c>
      <c r="AL83" s="27" t="n">
        <f aca="false">IF(COUNT(Trigo!$E81:$Z81)=0,0,MAX(0,IF((AL$6-$E$3)&lt;1,0,IFERROR(LOOKUP(2,1/(Trigo!$E81:INDEX(Trigo!$E81:$Z81,MIN(AL$6-$E$3,22))&lt;&gt;""),Trigo!$E81:INDEX(Trigo!$E81:$Z81,MIN(AL$6-$E$3,22))),0))-IF($G$2,0,IF((AL$6-$G$3)&lt;1,0,IFERROR(LOOKUP(2,1/(Trigo!$E81:INDEX(Trigo!$E81:$Z81,MIN(AL$6-$G$3,22))&lt;&gt;""),Trigo!$E81:INDEX(Trigo!$E81:$Z81,MIN(AL$6-$G$3,22))),0)))))</f>
        <v>0</v>
      </c>
      <c r="AM83" s="27" t="n">
        <f aca="false">IF(COUNT(Trigo!$E81:$Z81)=0,0,MAX(0,IF((AM$6-$E$3)&lt;1,0,IFERROR(LOOKUP(2,1/(Trigo!$E81:INDEX(Trigo!$E81:$Z81,MIN(AM$6-$E$3,22))&lt;&gt;""),Trigo!$E81:INDEX(Trigo!$E81:$Z81,MIN(AM$6-$E$3,22))),0))-IF($G$2,0,IF((AM$6-$G$3)&lt;1,0,IFERROR(LOOKUP(2,1/(Trigo!$E81:INDEX(Trigo!$E81:$Z81,MIN(AM$6-$G$3,22))&lt;&gt;""),Trigo!$E81:INDEX(Trigo!$E81:$Z81,MIN(AM$6-$G$3,22))),0)))))</f>
        <v>0</v>
      </c>
      <c r="AN83" s="27" t="n">
        <f aca="false">IF(COUNT(Trigo!$E81:$Z81)=0,0,MAX(0,IF((AN$6-$E$3)&lt;1,0,IFERROR(LOOKUP(2,1/(Trigo!$E81:INDEX(Trigo!$E81:$Z81,MIN(AN$6-$E$3,22))&lt;&gt;""),Trigo!$E81:INDEX(Trigo!$E81:$Z81,MIN(AN$6-$E$3,22))),0))-IF($G$2,0,IF((AN$6-$G$3)&lt;1,0,IFERROR(LOOKUP(2,1/(Trigo!$E81:INDEX(Trigo!$E81:$Z81,MIN(AN$6-$G$3,22))&lt;&gt;""),Trigo!$E81:INDEX(Trigo!$E81:$Z81,MIN(AN$6-$G$3,22))),0)))))</f>
        <v>0</v>
      </c>
      <c r="AO83" s="27" t="n">
        <f aca="false">IF(COUNT(Trigo!$E81:$Z81)=0,0,MAX(0,IF((AO$6-$E$3)&lt;1,0,IFERROR(LOOKUP(2,1/(Trigo!$E81:INDEX(Trigo!$E81:$Z81,MIN(AO$6-$E$3,22))&lt;&gt;""),Trigo!$E81:INDEX(Trigo!$E81:$Z81,MIN(AO$6-$E$3,22))),0))-IF($G$2,0,IF((AO$6-$G$3)&lt;1,0,IFERROR(LOOKUP(2,1/(Trigo!$E81:INDEX(Trigo!$E81:$Z81,MIN(AO$6-$G$3,22))&lt;&gt;""),Trigo!$E81:INDEX(Trigo!$E81:$Z81,MIN(AO$6-$G$3,22))),0)))))</f>
        <v>0</v>
      </c>
      <c r="AP83" s="27" t="n">
        <f aca="false">IF(COUNT(Trigo!$E81:$Z81)=0,0,MAX(0,IF((AP$6-$E$3)&lt;1,0,IFERROR(LOOKUP(2,1/(Trigo!$E81:INDEX(Trigo!$E81:$Z81,MIN(AP$6-$E$3,22))&lt;&gt;""),Trigo!$E81:INDEX(Trigo!$E81:$Z81,MIN(AP$6-$E$3,22))),0))-IF($G$2,0,IF((AP$6-$G$3)&lt;1,0,IFERROR(LOOKUP(2,1/(Trigo!$E81:INDEX(Trigo!$E81:$Z81,MIN(AP$6-$G$3,22))&lt;&gt;""),Trigo!$E81:INDEX(Trigo!$E81:$Z81,MIN(AP$6-$G$3,22))),0)))))</f>
        <v>0</v>
      </c>
      <c r="AQ83" s="27" t="n">
        <f aca="false">IF(COUNT(Trigo!$E81:$Z81)=0,0,MAX(0,IF((AQ$6-$E$3)&lt;1,0,IFERROR(LOOKUP(2,1/(Trigo!$E81:INDEX(Trigo!$E81:$Z81,MIN(AQ$6-$E$3,22))&lt;&gt;""),Trigo!$E81:INDEX(Trigo!$E81:$Z81,MIN(AQ$6-$E$3,22))),0))-IF($G$2,0,IF((AQ$6-$G$3)&lt;1,0,IFERROR(LOOKUP(2,1/(Trigo!$E81:INDEX(Trigo!$E81:$Z81,MIN(AQ$6-$G$3,22))&lt;&gt;""),Trigo!$E81:INDEX(Trigo!$E81:$Z81,MIN(AQ$6-$G$3,22))),0)))))</f>
        <v>0</v>
      </c>
      <c r="AR83" s="27" t="n">
        <f aca="false">IF(COUNT(Trigo!$E81:$Z81)=0,0,MAX(0,IF((AR$6-$E$3)&lt;1,0,IFERROR(LOOKUP(2,1/(Trigo!$E81:INDEX(Trigo!$E81:$Z81,MIN(AR$6-$E$3,22))&lt;&gt;""),Trigo!$E81:INDEX(Trigo!$E81:$Z81,MIN(AR$6-$E$3,22))),0))-IF($G$2,0,IF((AR$6-$G$3)&lt;1,0,IFERROR(LOOKUP(2,1/(Trigo!$E81:INDEX(Trigo!$E81:$Z81,MIN(AR$6-$G$3,22))&lt;&gt;""),Trigo!$E81:INDEX(Trigo!$E81:$Z81,MIN(AR$6-$G$3,22))),0)))))</f>
        <v>0</v>
      </c>
      <c r="AS83" s="27" t="n">
        <f aca="false">IF(COUNT(Trigo!$E81:$Z81)=0,0,MAX(0,IF((AS$6-$E$3)&lt;1,0,IFERROR(LOOKUP(2,1/(Trigo!$E81:INDEX(Trigo!$E81:$Z81,MIN(AS$6-$E$3,22))&lt;&gt;""),Trigo!$E81:INDEX(Trigo!$E81:$Z81,MIN(AS$6-$E$3,22))),0))-IF($G$2,0,IF((AS$6-$G$3)&lt;1,0,IFERROR(LOOKUP(2,1/(Trigo!$E81:INDEX(Trigo!$E81:$Z81,MIN(AS$6-$G$3,22))&lt;&gt;""),Trigo!$E81:INDEX(Trigo!$E81:$Z81,MIN(AS$6-$G$3,22))),0)))))</f>
        <v>0</v>
      </c>
      <c r="AT83" s="27" t="n">
        <f aca="false">IF(COUNT(Trigo!$E81:$Z81)=0,0,MAX(0,IF((AT$6-$E$3)&lt;1,0,IFERROR(LOOKUP(2,1/(Trigo!$E81:INDEX(Trigo!$E81:$Z81,MIN(AT$6-$E$3,22))&lt;&gt;""),Trigo!$E81:INDEX(Trigo!$E81:$Z81,MIN(AT$6-$E$3,22))),0))-IF($G$2,0,IF((AT$6-$G$3)&lt;1,0,IFERROR(LOOKUP(2,1/(Trigo!$E81:INDEX(Trigo!$E81:$Z81,MIN(AT$6-$G$3,22))&lt;&gt;""),Trigo!$E81:INDEX(Trigo!$E81:$Z81,MIN(AT$6-$G$3,22))),0)))))</f>
        <v>0</v>
      </c>
      <c r="AU83" s="27" t="n">
        <f aca="false">IF(COUNT(Trigo!$E81:$Z81)=0,0,MAX(0,IF((AU$6-$E$3)&lt;1,0,IFERROR(LOOKUP(2,1/(Trigo!$E81:INDEX(Trigo!$E81:$Z81,MIN(AU$6-$E$3,22))&lt;&gt;""),Trigo!$E81:INDEX(Trigo!$E81:$Z81,MIN(AU$6-$E$3,22))),0))-IF($G$2,0,IF((AU$6-$G$3)&lt;1,0,IFERROR(LOOKUP(2,1/(Trigo!$E81:INDEX(Trigo!$E81:$Z81,MIN(AU$6-$G$3,22))&lt;&gt;""),Trigo!$E81:INDEX(Trigo!$E81:$Z81,MIN(AU$6-$G$3,22))),0)))))</f>
        <v>0</v>
      </c>
      <c r="AV83" s="27" t="n">
        <f aca="false">IF(COUNT(Trigo!$E81:$Z81)=0,0,MAX(0,IF((AV$6-$E$3)&lt;1,0,IFERROR(LOOKUP(2,1/(Trigo!$E81:INDEX(Trigo!$E81:$Z81,MIN(AV$6-$E$3,22))&lt;&gt;""),Trigo!$E81:INDEX(Trigo!$E81:$Z81,MIN(AV$6-$E$3,22))),0))-IF($G$2,0,IF((AV$6-$G$3)&lt;1,0,IFERROR(LOOKUP(2,1/(Trigo!$E81:INDEX(Trigo!$E81:$Z81,MIN(AV$6-$G$3,22))&lt;&gt;""),Trigo!$E81:INDEX(Trigo!$E81:$Z81,MIN(AV$6-$G$3,22))),0)))))</f>
        <v>0</v>
      </c>
      <c r="AW83" s="27" t="n">
        <f aca="false">IF(COUNT(Trigo!$E81:$Z81)=0,0,MAX(0,IF((AW$6-$E$3)&lt;1,0,IFERROR(LOOKUP(2,1/(Trigo!$E81:INDEX(Trigo!$E81:$Z81,MIN(AW$6-$E$3,22))&lt;&gt;""),Trigo!$E81:INDEX(Trigo!$E81:$Z81,MIN(AW$6-$E$3,22))),0))-IF($G$2,0,IF((AW$6-$G$3)&lt;1,0,IFERROR(LOOKUP(2,1/(Trigo!$E81:INDEX(Trigo!$E81:$Z81,MIN(AW$6-$G$3,22))&lt;&gt;""),Trigo!$E81:INDEX(Trigo!$E81:$Z81,MIN(AW$6-$G$3,22))),0)))))</f>
        <v>0</v>
      </c>
      <c r="AX83" s="27" t="n">
        <f aca="false">IF(COUNT(Trigo!$E81:$Z81)=0,0,MAX(0,IF((AX$6-$E$3)&lt;1,0,IFERROR(LOOKUP(2,1/(Trigo!$E81:INDEX(Trigo!$E81:$Z81,MIN(AX$6-$E$3,22))&lt;&gt;""),Trigo!$E81:INDEX(Trigo!$E81:$Z81,MIN(AX$6-$E$3,22))),0))-IF($G$2,0,IF((AX$6-$G$3)&lt;1,0,IFERROR(LOOKUP(2,1/(Trigo!$E81:INDEX(Trigo!$E81:$Z81,MIN(AX$6-$G$3,22))&lt;&gt;""),Trigo!$E81:INDEX(Trigo!$E81:$Z81,MIN(AX$6-$G$3,22))),0)))))</f>
        <v>0</v>
      </c>
      <c r="AY83" s="27" t="n">
        <f aca="false">IF(COUNT(Trigo!$E81:$Z81)=0,0,MAX(0,IF((AY$6-$E$3)&lt;1,0,IFERROR(LOOKUP(2,1/(Trigo!$E81:INDEX(Trigo!$E81:$Z81,MIN(AY$6-$E$3,22))&lt;&gt;""),Trigo!$E81:INDEX(Trigo!$E81:$Z81,MIN(AY$6-$E$3,22))),0))-IF($G$2,0,IF((AY$6-$G$3)&lt;1,0,IFERROR(LOOKUP(2,1/(Trigo!$E81:INDEX(Trigo!$E81:$Z81,MIN(AY$6-$G$3,22))&lt;&gt;""),Trigo!$E81:INDEX(Trigo!$E81:$Z81,MIN(AY$6-$G$3,22))),0)))))</f>
        <v>0</v>
      </c>
      <c r="AZ83" s="27" t="n">
        <f aca="false">IF(COUNT(Trigo!$E81:$Z81)=0,0,MAX(0,IF((AZ$6-$E$3)&lt;1,0,IFERROR(LOOKUP(2,1/(Trigo!$E81:INDEX(Trigo!$E81:$Z81,MIN(AZ$6-$E$3,22))&lt;&gt;""),Trigo!$E81:INDEX(Trigo!$E81:$Z81,MIN(AZ$6-$E$3,22))),0))-IF($G$2,0,IF((AZ$6-$G$3)&lt;1,0,IFERROR(LOOKUP(2,1/(Trigo!$E81:INDEX(Trigo!$E81:$Z81,MIN(AZ$6-$G$3,22))&lt;&gt;""),Trigo!$E81:INDEX(Trigo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IF(COUNT(Trigo!$E82:$Z82)&gt;0,N(Trigo!$D82),0)</f>
        <v>0</v>
      </c>
      <c r="E84" s="27" t="n">
        <f aca="false">IF(COUNT(Trigo!$E82:$Z82)=0,0,MAX(0,IF((E$6-$E$3)&lt;1,0,IFERROR(LOOKUP(2,1/(Trigo!$E82:INDEX(Trigo!$E82:$Z82,MIN(E$6-$E$3,22))&lt;&gt;""),Trigo!$E82:INDEX(Trigo!$E82:$Z82,MIN(E$6-$E$3,22))),0))-IF($G$2,0,IF((E$6-$G$3)&lt;1,0,IFERROR(LOOKUP(2,1/(Trigo!$E82:INDEX(Trigo!$E82:$Z82,MIN(E$6-$G$3,22))&lt;&gt;""),Trigo!$E82:INDEX(Trigo!$E82:$Z82,MIN(E$6-$G$3,22))),0)))))</f>
        <v>0</v>
      </c>
      <c r="F84" s="27" t="n">
        <f aca="false">IF(COUNT(Trigo!$E82:$Z82)=0,0,MAX(0,IF((F$6-$E$3)&lt;1,0,IFERROR(LOOKUP(2,1/(Trigo!$E82:INDEX(Trigo!$E82:$Z82,MIN(F$6-$E$3,22))&lt;&gt;""),Trigo!$E82:INDEX(Trigo!$E82:$Z82,MIN(F$6-$E$3,22))),0))-IF($G$2,0,IF((F$6-$G$3)&lt;1,0,IFERROR(LOOKUP(2,1/(Trigo!$E82:INDEX(Trigo!$E82:$Z82,MIN(F$6-$G$3,22))&lt;&gt;""),Trigo!$E82:INDEX(Trigo!$E82:$Z82,MIN(F$6-$G$3,22))),0)))))</f>
        <v>0</v>
      </c>
      <c r="G84" s="27" t="n">
        <f aca="false">IF(COUNT(Trigo!$E82:$Z82)=0,0,MAX(0,IF((G$6-$E$3)&lt;1,0,IFERROR(LOOKUP(2,1/(Trigo!$E82:INDEX(Trigo!$E82:$Z82,MIN(G$6-$E$3,22))&lt;&gt;""),Trigo!$E82:INDEX(Trigo!$E82:$Z82,MIN(G$6-$E$3,22))),0))-IF($G$2,0,IF((G$6-$G$3)&lt;1,0,IFERROR(LOOKUP(2,1/(Trigo!$E82:INDEX(Trigo!$E82:$Z82,MIN(G$6-$G$3,22))&lt;&gt;""),Trigo!$E82:INDEX(Trigo!$E82:$Z82,MIN(G$6-$G$3,22))),0)))))</f>
        <v>0</v>
      </c>
      <c r="H84" s="27" t="n">
        <f aca="false">IF(COUNT(Trigo!$E82:$Z82)=0,0,MAX(0,IF((H$6-$E$3)&lt;1,0,IFERROR(LOOKUP(2,1/(Trigo!$E82:INDEX(Trigo!$E82:$Z82,MIN(H$6-$E$3,22))&lt;&gt;""),Trigo!$E82:INDEX(Trigo!$E82:$Z82,MIN(H$6-$E$3,22))),0))-IF($G$2,0,IF((H$6-$G$3)&lt;1,0,IFERROR(LOOKUP(2,1/(Trigo!$E82:INDEX(Trigo!$E82:$Z82,MIN(H$6-$G$3,22))&lt;&gt;""),Trigo!$E82:INDEX(Trigo!$E82:$Z82,MIN(H$6-$G$3,22))),0)))))</f>
        <v>0</v>
      </c>
      <c r="I84" s="27" t="n">
        <f aca="false">IF(COUNT(Trigo!$E82:$Z82)=0,0,MAX(0,IF((I$6-$E$3)&lt;1,0,IFERROR(LOOKUP(2,1/(Trigo!$E82:INDEX(Trigo!$E82:$Z82,MIN(I$6-$E$3,22))&lt;&gt;""),Trigo!$E82:INDEX(Trigo!$E82:$Z82,MIN(I$6-$E$3,22))),0))-IF($G$2,0,IF((I$6-$G$3)&lt;1,0,IFERROR(LOOKUP(2,1/(Trigo!$E82:INDEX(Trigo!$E82:$Z82,MIN(I$6-$G$3,22))&lt;&gt;""),Trigo!$E82:INDEX(Trigo!$E82:$Z82,MIN(I$6-$G$3,22))),0)))))</f>
        <v>0</v>
      </c>
      <c r="J84" s="27" t="n">
        <f aca="false">IF(COUNT(Trigo!$E82:$Z82)=0,0,MAX(0,IF((J$6-$E$3)&lt;1,0,IFERROR(LOOKUP(2,1/(Trigo!$E82:INDEX(Trigo!$E82:$Z82,MIN(J$6-$E$3,22))&lt;&gt;""),Trigo!$E82:INDEX(Trigo!$E82:$Z82,MIN(J$6-$E$3,22))),0))-IF($G$2,0,IF((J$6-$G$3)&lt;1,0,IFERROR(LOOKUP(2,1/(Trigo!$E82:INDEX(Trigo!$E82:$Z82,MIN(J$6-$G$3,22))&lt;&gt;""),Trigo!$E82:INDEX(Trigo!$E82:$Z82,MIN(J$6-$G$3,22))),0)))))</f>
        <v>0</v>
      </c>
      <c r="K84" s="27" t="n">
        <f aca="false">IF(COUNT(Trigo!$E82:$Z82)=0,0,MAX(0,IF((K$6-$E$3)&lt;1,0,IFERROR(LOOKUP(2,1/(Trigo!$E82:INDEX(Trigo!$E82:$Z82,MIN(K$6-$E$3,22))&lt;&gt;""),Trigo!$E82:INDEX(Trigo!$E82:$Z82,MIN(K$6-$E$3,22))),0))-IF($G$2,0,IF((K$6-$G$3)&lt;1,0,IFERROR(LOOKUP(2,1/(Trigo!$E82:INDEX(Trigo!$E82:$Z82,MIN(K$6-$G$3,22))&lt;&gt;""),Trigo!$E82:INDEX(Trigo!$E82:$Z82,MIN(K$6-$G$3,22))),0)))))</f>
        <v>0</v>
      </c>
      <c r="L84" s="27" t="n">
        <f aca="false">IF(COUNT(Trigo!$E82:$Z82)=0,0,MAX(0,IF((L$6-$E$3)&lt;1,0,IFERROR(LOOKUP(2,1/(Trigo!$E82:INDEX(Trigo!$E82:$Z82,MIN(L$6-$E$3,22))&lt;&gt;""),Trigo!$E82:INDEX(Trigo!$E82:$Z82,MIN(L$6-$E$3,22))),0))-IF($G$2,0,IF((L$6-$G$3)&lt;1,0,IFERROR(LOOKUP(2,1/(Trigo!$E82:INDEX(Trigo!$E82:$Z82,MIN(L$6-$G$3,22))&lt;&gt;""),Trigo!$E82:INDEX(Trigo!$E82:$Z82,MIN(L$6-$G$3,22))),0)))))</f>
        <v>0</v>
      </c>
      <c r="M84" s="27" t="n">
        <f aca="false">IF(COUNT(Trigo!$E82:$Z82)=0,0,MAX(0,IF((M$6-$E$3)&lt;1,0,IFERROR(LOOKUP(2,1/(Trigo!$E82:INDEX(Trigo!$E82:$Z82,MIN(M$6-$E$3,22))&lt;&gt;""),Trigo!$E82:INDEX(Trigo!$E82:$Z82,MIN(M$6-$E$3,22))),0))-IF($G$2,0,IF((M$6-$G$3)&lt;1,0,IFERROR(LOOKUP(2,1/(Trigo!$E82:INDEX(Trigo!$E82:$Z82,MIN(M$6-$G$3,22))&lt;&gt;""),Trigo!$E82:INDEX(Trigo!$E82:$Z82,MIN(M$6-$G$3,22))),0)))))</f>
        <v>0</v>
      </c>
      <c r="N84" s="27" t="n">
        <f aca="false">IF(COUNT(Trigo!$E82:$Z82)=0,0,MAX(0,IF((N$6-$E$3)&lt;1,0,IFERROR(LOOKUP(2,1/(Trigo!$E82:INDEX(Trigo!$E82:$Z82,MIN(N$6-$E$3,22))&lt;&gt;""),Trigo!$E82:INDEX(Trigo!$E82:$Z82,MIN(N$6-$E$3,22))),0))-IF($G$2,0,IF((N$6-$G$3)&lt;1,0,IFERROR(LOOKUP(2,1/(Trigo!$E82:INDEX(Trigo!$E82:$Z82,MIN(N$6-$G$3,22))&lt;&gt;""),Trigo!$E82:INDEX(Trigo!$E82:$Z82,MIN(N$6-$G$3,22))),0)))))</f>
        <v>0</v>
      </c>
      <c r="O84" s="27" t="n">
        <f aca="false">IF(COUNT(Trigo!$E82:$Z82)=0,0,MAX(0,IF((O$6-$E$3)&lt;1,0,IFERROR(LOOKUP(2,1/(Trigo!$E82:INDEX(Trigo!$E82:$Z82,MIN(O$6-$E$3,22))&lt;&gt;""),Trigo!$E82:INDEX(Trigo!$E82:$Z82,MIN(O$6-$E$3,22))),0))-IF($G$2,0,IF((O$6-$G$3)&lt;1,0,IFERROR(LOOKUP(2,1/(Trigo!$E82:INDEX(Trigo!$E82:$Z82,MIN(O$6-$G$3,22))&lt;&gt;""),Trigo!$E82:INDEX(Trigo!$E82:$Z82,MIN(O$6-$G$3,22))),0)))))</f>
        <v>0</v>
      </c>
      <c r="P84" s="27" t="n">
        <f aca="false">IF(COUNT(Trigo!$E82:$Z82)=0,0,MAX(0,IF((P$6-$E$3)&lt;1,0,IFERROR(LOOKUP(2,1/(Trigo!$E82:INDEX(Trigo!$E82:$Z82,MIN(P$6-$E$3,22))&lt;&gt;""),Trigo!$E82:INDEX(Trigo!$E82:$Z82,MIN(P$6-$E$3,22))),0))-IF($G$2,0,IF((P$6-$G$3)&lt;1,0,IFERROR(LOOKUP(2,1/(Trigo!$E82:INDEX(Trigo!$E82:$Z82,MIN(P$6-$G$3,22))&lt;&gt;""),Trigo!$E82:INDEX(Trigo!$E82:$Z82,MIN(P$6-$G$3,22))),0)))))</f>
        <v>0</v>
      </c>
      <c r="Q84" s="27" t="n">
        <f aca="false">IF(COUNT(Trigo!$E82:$Z82)=0,0,MAX(0,IF((Q$6-$E$3)&lt;1,0,IFERROR(LOOKUP(2,1/(Trigo!$E82:INDEX(Trigo!$E82:$Z82,MIN(Q$6-$E$3,22))&lt;&gt;""),Trigo!$E82:INDEX(Trigo!$E82:$Z82,MIN(Q$6-$E$3,22))),0))-IF($G$2,0,IF((Q$6-$G$3)&lt;1,0,IFERROR(LOOKUP(2,1/(Trigo!$E82:INDEX(Trigo!$E82:$Z82,MIN(Q$6-$G$3,22))&lt;&gt;""),Trigo!$E82:INDEX(Trigo!$E82:$Z82,MIN(Q$6-$G$3,22))),0)))))</f>
        <v>0</v>
      </c>
      <c r="R84" s="27" t="n">
        <f aca="false">IF(COUNT(Trigo!$E82:$Z82)=0,0,MAX(0,IF((R$6-$E$3)&lt;1,0,IFERROR(LOOKUP(2,1/(Trigo!$E82:INDEX(Trigo!$E82:$Z82,MIN(R$6-$E$3,22))&lt;&gt;""),Trigo!$E82:INDEX(Trigo!$E82:$Z82,MIN(R$6-$E$3,22))),0))-IF($G$2,0,IF((R$6-$G$3)&lt;1,0,IFERROR(LOOKUP(2,1/(Trigo!$E82:INDEX(Trigo!$E82:$Z82,MIN(R$6-$G$3,22))&lt;&gt;""),Trigo!$E82:INDEX(Trigo!$E82:$Z82,MIN(R$6-$G$3,22))),0)))))</f>
        <v>0</v>
      </c>
      <c r="S84" s="27" t="n">
        <f aca="false">IF(COUNT(Trigo!$E82:$Z82)=0,0,MAX(0,IF((S$6-$E$3)&lt;1,0,IFERROR(LOOKUP(2,1/(Trigo!$E82:INDEX(Trigo!$E82:$Z82,MIN(S$6-$E$3,22))&lt;&gt;""),Trigo!$E82:INDEX(Trigo!$E82:$Z82,MIN(S$6-$E$3,22))),0))-IF($G$2,0,IF((S$6-$G$3)&lt;1,0,IFERROR(LOOKUP(2,1/(Trigo!$E82:INDEX(Trigo!$E82:$Z82,MIN(S$6-$G$3,22))&lt;&gt;""),Trigo!$E82:INDEX(Trigo!$E82:$Z82,MIN(S$6-$G$3,22))),0)))))</f>
        <v>0</v>
      </c>
      <c r="T84" s="27" t="n">
        <f aca="false">IF(COUNT(Trigo!$E82:$Z82)=0,0,MAX(0,IF((T$6-$E$3)&lt;1,0,IFERROR(LOOKUP(2,1/(Trigo!$E82:INDEX(Trigo!$E82:$Z82,MIN(T$6-$E$3,22))&lt;&gt;""),Trigo!$E82:INDEX(Trigo!$E82:$Z82,MIN(T$6-$E$3,22))),0))-IF($G$2,0,IF((T$6-$G$3)&lt;1,0,IFERROR(LOOKUP(2,1/(Trigo!$E82:INDEX(Trigo!$E82:$Z82,MIN(T$6-$G$3,22))&lt;&gt;""),Trigo!$E82:INDEX(Trigo!$E82:$Z82,MIN(T$6-$G$3,22))),0)))))</f>
        <v>0</v>
      </c>
      <c r="U84" s="27" t="n">
        <f aca="false">IF(COUNT(Trigo!$E82:$Z82)=0,0,MAX(0,IF((U$6-$E$3)&lt;1,0,IFERROR(LOOKUP(2,1/(Trigo!$E82:INDEX(Trigo!$E82:$Z82,MIN(U$6-$E$3,22))&lt;&gt;""),Trigo!$E82:INDEX(Trigo!$E82:$Z82,MIN(U$6-$E$3,22))),0))-IF($G$2,0,IF((U$6-$G$3)&lt;1,0,IFERROR(LOOKUP(2,1/(Trigo!$E82:INDEX(Trigo!$E82:$Z82,MIN(U$6-$G$3,22))&lt;&gt;""),Trigo!$E82:INDEX(Trigo!$E82:$Z82,MIN(U$6-$G$3,22))),0)))))</f>
        <v>0</v>
      </c>
      <c r="V84" s="27" t="n">
        <f aca="false">IF(COUNT(Trigo!$E82:$Z82)=0,0,MAX(0,IF((V$6-$E$3)&lt;1,0,IFERROR(LOOKUP(2,1/(Trigo!$E82:INDEX(Trigo!$E82:$Z82,MIN(V$6-$E$3,22))&lt;&gt;""),Trigo!$E82:INDEX(Trigo!$E82:$Z82,MIN(V$6-$E$3,22))),0))-IF($G$2,0,IF((V$6-$G$3)&lt;1,0,IFERROR(LOOKUP(2,1/(Trigo!$E82:INDEX(Trigo!$E82:$Z82,MIN(V$6-$G$3,22))&lt;&gt;""),Trigo!$E82:INDEX(Trigo!$E82:$Z82,MIN(V$6-$G$3,22))),0)))))</f>
        <v>0</v>
      </c>
      <c r="W84" s="27" t="n">
        <f aca="false">IF(COUNT(Trigo!$E82:$Z82)=0,0,MAX(0,IF((W$6-$E$3)&lt;1,0,IFERROR(LOOKUP(2,1/(Trigo!$E82:INDEX(Trigo!$E82:$Z82,MIN(W$6-$E$3,22))&lt;&gt;""),Trigo!$E82:INDEX(Trigo!$E82:$Z82,MIN(W$6-$E$3,22))),0))-IF($G$2,0,IF((W$6-$G$3)&lt;1,0,IFERROR(LOOKUP(2,1/(Trigo!$E82:INDEX(Trigo!$E82:$Z82,MIN(W$6-$G$3,22))&lt;&gt;""),Trigo!$E82:INDEX(Trigo!$E82:$Z82,MIN(W$6-$G$3,22))),0)))))</f>
        <v>0</v>
      </c>
      <c r="X84" s="27" t="n">
        <f aca="false">IF(COUNT(Trigo!$E82:$Z82)=0,0,MAX(0,IF((X$6-$E$3)&lt;1,0,IFERROR(LOOKUP(2,1/(Trigo!$E82:INDEX(Trigo!$E82:$Z82,MIN(X$6-$E$3,22))&lt;&gt;""),Trigo!$E82:INDEX(Trigo!$E82:$Z82,MIN(X$6-$E$3,22))),0))-IF($G$2,0,IF((X$6-$G$3)&lt;1,0,IFERROR(LOOKUP(2,1/(Trigo!$E82:INDEX(Trigo!$E82:$Z82,MIN(X$6-$G$3,22))&lt;&gt;""),Trigo!$E82:INDEX(Trigo!$E82:$Z82,MIN(X$6-$G$3,22))),0)))))</f>
        <v>0</v>
      </c>
      <c r="Y84" s="27" t="n">
        <f aca="false">IF(COUNT(Trigo!$E82:$Z82)=0,0,MAX(0,IF((Y$6-$E$3)&lt;1,0,IFERROR(LOOKUP(2,1/(Trigo!$E82:INDEX(Trigo!$E82:$Z82,MIN(Y$6-$E$3,22))&lt;&gt;""),Trigo!$E82:INDEX(Trigo!$E82:$Z82,MIN(Y$6-$E$3,22))),0))-IF($G$2,0,IF((Y$6-$G$3)&lt;1,0,IFERROR(LOOKUP(2,1/(Trigo!$E82:INDEX(Trigo!$E82:$Z82,MIN(Y$6-$G$3,22))&lt;&gt;""),Trigo!$E82:INDEX(Trigo!$E82:$Z82,MIN(Y$6-$G$3,22))),0)))))</f>
        <v>0</v>
      </c>
      <c r="Z84" s="27" t="n">
        <f aca="false">IF(COUNT(Trigo!$E82:$Z82)=0,0,MAX(0,IF((Z$6-$E$3)&lt;1,0,IFERROR(LOOKUP(2,1/(Trigo!$E82:INDEX(Trigo!$E82:$Z82,MIN(Z$6-$E$3,22))&lt;&gt;""),Trigo!$E82:INDEX(Trigo!$E82:$Z82,MIN(Z$6-$E$3,22))),0))-IF($G$2,0,IF((Z$6-$G$3)&lt;1,0,IFERROR(LOOKUP(2,1/(Trigo!$E82:INDEX(Trigo!$E82:$Z82,MIN(Z$6-$G$3,22))&lt;&gt;""),Trigo!$E82:INDEX(Trigo!$E82:$Z82,MIN(Z$6-$G$3,22))),0)))))</f>
        <v>0</v>
      </c>
      <c r="AA84" s="27" t="n">
        <f aca="false">IF(COUNT(Trigo!$E82:$Z82)=0,0,MAX(0,IF((AA$6-$E$3)&lt;1,0,IFERROR(LOOKUP(2,1/(Trigo!$E82:INDEX(Trigo!$E82:$Z82,MIN(AA$6-$E$3,22))&lt;&gt;""),Trigo!$E82:INDEX(Trigo!$E82:$Z82,MIN(AA$6-$E$3,22))),0))-IF($G$2,0,IF((AA$6-$G$3)&lt;1,0,IFERROR(LOOKUP(2,1/(Trigo!$E82:INDEX(Trigo!$E82:$Z82,MIN(AA$6-$G$3,22))&lt;&gt;""),Trigo!$E82:INDEX(Trigo!$E82:$Z82,MIN(AA$6-$G$3,22))),0)))))</f>
        <v>0</v>
      </c>
      <c r="AB84" s="27" t="n">
        <f aca="false">IF(COUNT(Trigo!$E82:$Z82)=0,0,MAX(0,IF((AB$6-$E$3)&lt;1,0,IFERROR(LOOKUP(2,1/(Trigo!$E82:INDEX(Trigo!$E82:$Z82,MIN(AB$6-$E$3,22))&lt;&gt;""),Trigo!$E82:INDEX(Trigo!$E82:$Z82,MIN(AB$6-$E$3,22))),0))-IF($G$2,0,IF((AB$6-$G$3)&lt;1,0,IFERROR(LOOKUP(2,1/(Trigo!$E82:INDEX(Trigo!$E82:$Z82,MIN(AB$6-$G$3,22))&lt;&gt;""),Trigo!$E82:INDEX(Trigo!$E82:$Z82,MIN(AB$6-$G$3,22))),0)))))</f>
        <v>0</v>
      </c>
      <c r="AC84" s="27" t="n">
        <f aca="false">IF(COUNT(Trigo!$E82:$Z82)=0,0,MAX(0,IF((AC$6-$E$3)&lt;1,0,IFERROR(LOOKUP(2,1/(Trigo!$E82:INDEX(Trigo!$E82:$Z82,MIN(AC$6-$E$3,22))&lt;&gt;""),Trigo!$E82:INDEX(Trigo!$E82:$Z82,MIN(AC$6-$E$3,22))),0))-IF($G$2,0,IF((AC$6-$G$3)&lt;1,0,IFERROR(LOOKUP(2,1/(Trigo!$E82:INDEX(Trigo!$E82:$Z82,MIN(AC$6-$G$3,22))&lt;&gt;""),Trigo!$E82:INDEX(Trigo!$E82:$Z82,MIN(AC$6-$G$3,22))),0)))))</f>
        <v>0</v>
      </c>
      <c r="AD84" s="27" t="n">
        <f aca="false">IF(COUNT(Trigo!$E82:$Z82)=0,0,MAX(0,IF((AD$6-$E$3)&lt;1,0,IFERROR(LOOKUP(2,1/(Trigo!$E82:INDEX(Trigo!$E82:$Z82,MIN(AD$6-$E$3,22))&lt;&gt;""),Trigo!$E82:INDEX(Trigo!$E82:$Z82,MIN(AD$6-$E$3,22))),0))-IF($G$2,0,IF((AD$6-$G$3)&lt;1,0,IFERROR(LOOKUP(2,1/(Trigo!$E82:INDEX(Trigo!$E82:$Z82,MIN(AD$6-$G$3,22))&lt;&gt;""),Trigo!$E82:INDEX(Trigo!$E82:$Z82,MIN(AD$6-$G$3,22))),0)))))</f>
        <v>0</v>
      </c>
      <c r="AE84" s="27" t="n">
        <f aca="false">IF(COUNT(Trigo!$E82:$Z82)=0,0,MAX(0,IF((AE$6-$E$3)&lt;1,0,IFERROR(LOOKUP(2,1/(Trigo!$E82:INDEX(Trigo!$E82:$Z82,MIN(AE$6-$E$3,22))&lt;&gt;""),Trigo!$E82:INDEX(Trigo!$E82:$Z82,MIN(AE$6-$E$3,22))),0))-IF($G$2,0,IF((AE$6-$G$3)&lt;1,0,IFERROR(LOOKUP(2,1/(Trigo!$E82:INDEX(Trigo!$E82:$Z82,MIN(AE$6-$G$3,22))&lt;&gt;""),Trigo!$E82:INDEX(Trigo!$E82:$Z82,MIN(AE$6-$G$3,22))),0)))))</f>
        <v>0</v>
      </c>
      <c r="AF84" s="27" t="n">
        <f aca="false">IF(COUNT(Trigo!$E82:$Z82)=0,0,MAX(0,IF((AF$6-$E$3)&lt;1,0,IFERROR(LOOKUP(2,1/(Trigo!$E82:INDEX(Trigo!$E82:$Z82,MIN(AF$6-$E$3,22))&lt;&gt;""),Trigo!$E82:INDEX(Trigo!$E82:$Z82,MIN(AF$6-$E$3,22))),0))-IF($G$2,0,IF((AF$6-$G$3)&lt;1,0,IFERROR(LOOKUP(2,1/(Trigo!$E82:INDEX(Trigo!$E82:$Z82,MIN(AF$6-$G$3,22))&lt;&gt;""),Trigo!$E82:INDEX(Trigo!$E82:$Z82,MIN(AF$6-$G$3,22))),0)))))</f>
        <v>0</v>
      </c>
      <c r="AG84" s="27" t="n">
        <f aca="false">IF(COUNT(Trigo!$E82:$Z82)=0,0,MAX(0,IF((AG$6-$E$3)&lt;1,0,IFERROR(LOOKUP(2,1/(Trigo!$E82:INDEX(Trigo!$E82:$Z82,MIN(AG$6-$E$3,22))&lt;&gt;""),Trigo!$E82:INDEX(Trigo!$E82:$Z82,MIN(AG$6-$E$3,22))),0))-IF($G$2,0,IF((AG$6-$G$3)&lt;1,0,IFERROR(LOOKUP(2,1/(Trigo!$E82:INDEX(Trigo!$E82:$Z82,MIN(AG$6-$G$3,22))&lt;&gt;""),Trigo!$E82:INDEX(Trigo!$E82:$Z82,MIN(AG$6-$G$3,22))),0)))))</f>
        <v>0</v>
      </c>
      <c r="AH84" s="27" t="n">
        <f aca="false">IF(COUNT(Trigo!$E82:$Z82)=0,0,MAX(0,IF((AH$6-$E$3)&lt;1,0,IFERROR(LOOKUP(2,1/(Trigo!$E82:INDEX(Trigo!$E82:$Z82,MIN(AH$6-$E$3,22))&lt;&gt;""),Trigo!$E82:INDEX(Trigo!$E82:$Z82,MIN(AH$6-$E$3,22))),0))-IF($G$2,0,IF((AH$6-$G$3)&lt;1,0,IFERROR(LOOKUP(2,1/(Trigo!$E82:INDEX(Trigo!$E82:$Z82,MIN(AH$6-$G$3,22))&lt;&gt;""),Trigo!$E82:INDEX(Trigo!$E82:$Z82,MIN(AH$6-$G$3,22))),0)))))</f>
        <v>0</v>
      </c>
      <c r="AI84" s="27" t="n">
        <f aca="false">IF(COUNT(Trigo!$E82:$Z82)=0,0,MAX(0,IF((AI$6-$E$3)&lt;1,0,IFERROR(LOOKUP(2,1/(Trigo!$E82:INDEX(Trigo!$E82:$Z82,MIN(AI$6-$E$3,22))&lt;&gt;""),Trigo!$E82:INDEX(Trigo!$E82:$Z82,MIN(AI$6-$E$3,22))),0))-IF($G$2,0,IF((AI$6-$G$3)&lt;1,0,IFERROR(LOOKUP(2,1/(Trigo!$E82:INDEX(Trigo!$E82:$Z82,MIN(AI$6-$G$3,22))&lt;&gt;""),Trigo!$E82:INDEX(Trigo!$E82:$Z82,MIN(AI$6-$G$3,22))),0)))))</f>
        <v>0</v>
      </c>
      <c r="AJ84" s="27" t="n">
        <f aca="false">IF(COUNT(Trigo!$E82:$Z82)=0,0,MAX(0,IF((AJ$6-$E$3)&lt;1,0,IFERROR(LOOKUP(2,1/(Trigo!$E82:INDEX(Trigo!$E82:$Z82,MIN(AJ$6-$E$3,22))&lt;&gt;""),Trigo!$E82:INDEX(Trigo!$E82:$Z82,MIN(AJ$6-$E$3,22))),0))-IF($G$2,0,IF((AJ$6-$G$3)&lt;1,0,IFERROR(LOOKUP(2,1/(Trigo!$E82:INDEX(Trigo!$E82:$Z82,MIN(AJ$6-$G$3,22))&lt;&gt;""),Trigo!$E82:INDEX(Trigo!$E82:$Z82,MIN(AJ$6-$G$3,22))),0)))))</f>
        <v>0</v>
      </c>
      <c r="AK84" s="27" t="n">
        <f aca="false">IF(COUNT(Trigo!$E82:$Z82)=0,0,MAX(0,IF((AK$6-$E$3)&lt;1,0,IFERROR(LOOKUP(2,1/(Trigo!$E82:INDEX(Trigo!$E82:$Z82,MIN(AK$6-$E$3,22))&lt;&gt;""),Trigo!$E82:INDEX(Trigo!$E82:$Z82,MIN(AK$6-$E$3,22))),0))-IF($G$2,0,IF((AK$6-$G$3)&lt;1,0,IFERROR(LOOKUP(2,1/(Trigo!$E82:INDEX(Trigo!$E82:$Z82,MIN(AK$6-$G$3,22))&lt;&gt;""),Trigo!$E82:INDEX(Trigo!$E82:$Z82,MIN(AK$6-$G$3,22))),0)))))</f>
        <v>0</v>
      </c>
      <c r="AL84" s="27" t="n">
        <f aca="false">IF(COUNT(Trigo!$E82:$Z82)=0,0,MAX(0,IF((AL$6-$E$3)&lt;1,0,IFERROR(LOOKUP(2,1/(Trigo!$E82:INDEX(Trigo!$E82:$Z82,MIN(AL$6-$E$3,22))&lt;&gt;""),Trigo!$E82:INDEX(Trigo!$E82:$Z82,MIN(AL$6-$E$3,22))),0))-IF($G$2,0,IF((AL$6-$G$3)&lt;1,0,IFERROR(LOOKUP(2,1/(Trigo!$E82:INDEX(Trigo!$E82:$Z82,MIN(AL$6-$G$3,22))&lt;&gt;""),Trigo!$E82:INDEX(Trigo!$E82:$Z82,MIN(AL$6-$G$3,22))),0)))))</f>
        <v>0</v>
      </c>
      <c r="AM84" s="27" t="n">
        <f aca="false">IF(COUNT(Trigo!$E82:$Z82)=0,0,MAX(0,IF((AM$6-$E$3)&lt;1,0,IFERROR(LOOKUP(2,1/(Trigo!$E82:INDEX(Trigo!$E82:$Z82,MIN(AM$6-$E$3,22))&lt;&gt;""),Trigo!$E82:INDEX(Trigo!$E82:$Z82,MIN(AM$6-$E$3,22))),0))-IF($G$2,0,IF((AM$6-$G$3)&lt;1,0,IFERROR(LOOKUP(2,1/(Trigo!$E82:INDEX(Trigo!$E82:$Z82,MIN(AM$6-$G$3,22))&lt;&gt;""),Trigo!$E82:INDEX(Trigo!$E82:$Z82,MIN(AM$6-$G$3,22))),0)))))</f>
        <v>0</v>
      </c>
      <c r="AN84" s="27" t="n">
        <f aca="false">IF(COUNT(Trigo!$E82:$Z82)=0,0,MAX(0,IF((AN$6-$E$3)&lt;1,0,IFERROR(LOOKUP(2,1/(Trigo!$E82:INDEX(Trigo!$E82:$Z82,MIN(AN$6-$E$3,22))&lt;&gt;""),Trigo!$E82:INDEX(Trigo!$E82:$Z82,MIN(AN$6-$E$3,22))),0))-IF($G$2,0,IF((AN$6-$G$3)&lt;1,0,IFERROR(LOOKUP(2,1/(Trigo!$E82:INDEX(Trigo!$E82:$Z82,MIN(AN$6-$G$3,22))&lt;&gt;""),Trigo!$E82:INDEX(Trigo!$E82:$Z82,MIN(AN$6-$G$3,22))),0)))))</f>
        <v>0</v>
      </c>
      <c r="AO84" s="27" t="n">
        <f aca="false">IF(COUNT(Trigo!$E82:$Z82)=0,0,MAX(0,IF((AO$6-$E$3)&lt;1,0,IFERROR(LOOKUP(2,1/(Trigo!$E82:INDEX(Trigo!$E82:$Z82,MIN(AO$6-$E$3,22))&lt;&gt;""),Trigo!$E82:INDEX(Trigo!$E82:$Z82,MIN(AO$6-$E$3,22))),0))-IF($G$2,0,IF((AO$6-$G$3)&lt;1,0,IFERROR(LOOKUP(2,1/(Trigo!$E82:INDEX(Trigo!$E82:$Z82,MIN(AO$6-$G$3,22))&lt;&gt;""),Trigo!$E82:INDEX(Trigo!$E82:$Z82,MIN(AO$6-$G$3,22))),0)))))</f>
        <v>0</v>
      </c>
      <c r="AP84" s="27" t="n">
        <f aca="false">IF(COUNT(Trigo!$E82:$Z82)=0,0,MAX(0,IF((AP$6-$E$3)&lt;1,0,IFERROR(LOOKUP(2,1/(Trigo!$E82:INDEX(Trigo!$E82:$Z82,MIN(AP$6-$E$3,22))&lt;&gt;""),Trigo!$E82:INDEX(Trigo!$E82:$Z82,MIN(AP$6-$E$3,22))),0))-IF($G$2,0,IF((AP$6-$G$3)&lt;1,0,IFERROR(LOOKUP(2,1/(Trigo!$E82:INDEX(Trigo!$E82:$Z82,MIN(AP$6-$G$3,22))&lt;&gt;""),Trigo!$E82:INDEX(Trigo!$E82:$Z82,MIN(AP$6-$G$3,22))),0)))))</f>
        <v>0</v>
      </c>
      <c r="AQ84" s="27" t="n">
        <f aca="false">IF(COUNT(Trigo!$E82:$Z82)=0,0,MAX(0,IF((AQ$6-$E$3)&lt;1,0,IFERROR(LOOKUP(2,1/(Trigo!$E82:INDEX(Trigo!$E82:$Z82,MIN(AQ$6-$E$3,22))&lt;&gt;""),Trigo!$E82:INDEX(Trigo!$E82:$Z82,MIN(AQ$6-$E$3,22))),0))-IF($G$2,0,IF((AQ$6-$G$3)&lt;1,0,IFERROR(LOOKUP(2,1/(Trigo!$E82:INDEX(Trigo!$E82:$Z82,MIN(AQ$6-$G$3,22))&lt;&gt;""),Trigo!$E82:INDEX(Trigo!$E82:$Z82,MIN(AQ$6-$G$3,22))),0)))))</f>
        <v>0</v>
      </c>
      <c r="AR84" s="27" t="n">
        <f aca="false">IF(COUNT(Trigo!$E82:$Z82)=0,0,MAX(0,IF((AR$6-$E$3)&lt;1,0,IFERROR(LOOKUP(2,1/(Trigo!$E82:INDEX(Trigo!$E82:$Z82,MIN(AR$6-$E$3,22))&lt;&gt;""),Trigo!$E82:INDEX(Trigo!$E82:$Z82,MIN(AR$6-$E$3,22))),0))-IF($G$2,0,IF((AR$6-$G$3)&lt;1,0,IFERROR(LOOKUP(2,1/(Trigo!$E82:INDEX(Trigo!$E82:$Z82,MIN(AR$6-$G$3,22))&lt;&gt;""),Trigo!$E82:INDEX(Trigo!$E82:$Z82,MIN(AR$6-$G$3,22))),0)))))</f>
        <v>0</v>
      </c>
      <c r="AS84" s="27" t="n">
        <f aca="false">IF(COUNT(Trigo!$E82:$Z82)=0,0,MAX(0,IF((AS$6-$E$3)&lt;1,0,IFERROR(LOOKUP(2,1/(Trigo!$E82:INDEX(Trigo!$E82:$Z82,MIN(AS$6-$E$3,22))&lt;&gt;""),Trigo!$E82:INDEX(Trigo!$E82:$Z82,MIN(AS$6-$E$3,22))),0))-IF($G$2,0,IF((AS$6-$G$3)&lt;1,0,IFERROR(LOOKUP(2,1/(Trigo!$E82:INDEX(Trigo!$E82:$Z82,MIN(AS$6-$G$3,22))&lt;&gt;""),Trigo!$E82:INDEX(Trigo!$E82:$Z82,MIN(AS$6-$G$3,22))),0)))))</f>
        <v>0</v>
      </c>
      <c r="AT84" s="27" t="n">
        <f aca="false">IF(COUNT(Trigo!$E82:$Z82)=0,0,MAX(0,IF((AT$6-$E$3)&lt;1,0,IFERROR(LOOKUP(2,1/(Trigo!$E82:INDEX(Trigo!$E82:$Z82,MIN(AT$6-$E$3,22))&lt;&gt;""),Trigo!$E82:INDEX(Trigo!$E82:$Z82,MIN(AT$6-$E$3,22))),0))-IF($G$2,0,IF((AT$6-$G$3)&lt;1,0,IFERROR(LOOKUP(2,1/(Trigo!$E82:INDEX(Trigo!$E82:$Z82,MIN(AT$6-$G$3,22))&lt;&gt;""),Trigo!$E82:INDEX(Trigo!$E82:$Z82,MIN(AT$6-$G$3,22))),0)))))</f>
        <v>0</v>
      </c>
      <c r="AU84" s="27" t="n">
        <f aca="false">IF(COUNT(Trigo!$E82:$Z82)=0,0,MAX(0,IF((AU$6-$E$3)&lt;1,0,IFERROR(LOOKUP(2,1/(Trigo!$E82:INDEX(Trigo!$E82:$Z82,MIN(AU$6-$E$3,22))&lt;&gt;""),Trigo!$E82:INDEX(Trigo!$E82:$Z82,MIN(AU$6-$E$3,22))),0))-IF($G$2,0,IF((AU$6-$G$3)&lt;1,0,IFERROR(LOOKUP(2,1/(Trigo!$E82:INDEX(Trigo!$E82:$Z82,MIN(AU$6-$G$3,22))&lt;&gt;""),Trigo!$E82:INDEX(Trigo!$E82:$Z82,MIN(AU$6-$G$3,22))),0)))))</f>
        <v>0</v>
      </c>
      <c r="AV84" s="27" t="n">
        <f aca="false">IF(COUNT(Trigo!$E82:$Z82)=0,0,MAX(0,IF((AV$6-$E$3)&lt;1,0,IFERROR(LOOKUP(2,1/(Trigo!$E82:INDEX(Trigo!$E82:$Z82,MIN(AV$6-$E$3,22))&lt;&gt;""),Trigo!$E82:INDEX(Trigo!$E82:$Z82,MIN(AV$6-$E$3,22))),0))-IF($G$2,0,IF((AV$6-$G$3)&lt;1,0,IFERROR(LOOKUP(2,1/(Trigo!$E82:INDEX(Trigo!$E82:$Z82,MIN(AV$6-$G$3,22))&lt;&gt;""),Trigo!$E82:INDEX(Trigo!$E82:$Z82,MIN(AV$6-$G$3,22))),0)))))</f>
        <v>0</v>
      </c>
      <c r="AW84" s="27" t="n">
        <f aca="false">IF(COUNT(Trigo!$E82:$Z82)=0,0,MAX(0,IF((AW$6-$E$3)&lt;1,0,IFERROR(LOOKUP(2,1/(Trigo!$E82:INDEX(Trigo!$E82:$Z82,MIN(AW$6-$E$3,22))&lt;&gt;""),Trigo!$E82:INDEX(Trigo!$E82:$Z82,MIN(AW$6-$E$3,22))),0))-IF($G$2,0,IF((AW$6-$G$3)&lt;1,0,IFERROR(LOOKUP(2,1/(Trigo!$E82:INDEX(Trigo!$E82:$Z82,MIN(AW$6-$G$3,22))&lt;&gt;""),Trigo!$E82:INDEX(Trigo!$E82:$Z82,MIN(AW$6-$G$3,22))),0)))))</f>
        <v>0</v>
      </c>
      <c r="AX84" s="27" t="n">
        <f aca="false">IF(COUNT(Trigo!$E82:$Z82)=0,0,MAX(0,IF((AX$6-$E$3)&lt;1,0,IFERROR(LOOKUP(2,1/(Trigo!$E82:INDEX(Trigo!$E82:$Z82,MIN(AX$6-$E$3,22))&lt;&gt;""),Trigo!$E82:INDEX(Trigo!$E82:$Z82,MIN(AX$6-$E$3,22))),0))-IF($G$2,0,IF((AX$6-$G$3)&lt;1,0,IFERROR(LOOKUP(2,1/(Trigo!$E82:INDEX(Trigo!$E82:$Z82,MIN(AX$6-$G$3,22))&lt;&gt;""),Trigo!$E82:INDEX(Trigo!$E82:$Z82,MIN(AX$6-$G$3,22))),0)))))</f>
        <v>0</v>
      </c>
      <c r="AY84" s="27" t="n">
        <f aca="false">IF(COUNT(Trigo!$E82:$Z82)=0,0,MAX(0,IF((AY$6-$E$3)&lt;1,0,IFERROR(LOOKUP(2,1/(Trigo!$E82:INDEX(Trigo!$E82:$Z82,MIN(AY$6-$E$3,22))&lt;&gt;""),Trigo!$E82:INDEX(Trigo!$E82:$Z82,MIN(AY$6-$E$3,22))),0))-IF($G$2,0,IF((AY$6-$G$3)&lt;1,0,IFERROR(LOOKUP(2,1/(Trigo!$E82:INDEX(Trigo!$E82:$Z82,MIN(AY$6-$G$3,22))&lt;&gt;""),Trigo!$E82:INDEX(Trigo!$E82:$Z82,MIN(AY$6-$G$3,22))),0)))))</f>
        <v>0</v>
      </c>
      <c r="AZ84" s="27" t="n">
        <f aca="false">IF(COUNT(Trigo!$E82:$Z82)=0,0,MAX(0,IF((AZ$6-$E$3)&lt;1,0,IFERROR(LOOKUP(2,1/(Trigo!$E82:INDEX(Trigo!$E82:$Z82,MIN(AZ$6-$E$3,22))&lt;&gt;""),Trigo!$E82:INDEX(Trigo!$E82:$Z82,MIN(AZ$6-$E$3,22))),0))-IF($G$2,0,IF((AZ$6-$G$3)&lt;1,0,IFERROR(LOOKUP(2,1/(Trigo!$E82:INDEX(Trigo!$E82:$Z82,MIN(AZ$6-$G$3,22))&lt;&gt;""),Trigo!$E82:INDEX(Trigo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IF(COUNT(Trigo!$E83:$Z83)&gt;0,N(Trigo!$D83),0)</f>
        <v>0</v>
      </c>
      <c r="E85" s="27" t="n">
        <f aca="false">IF(COUNT(Trigo!$E83:$Z83)=0,0,MAX(0,IF((E$6-$E$3)&lt;1,0,IFERROR(LOOKUP(2,1/(Trigo!$E83:INDEX(Trigo!$E83:$Z83,MIN(E$6-$E$3,22))&lt;&gt;""),Trigo!$E83:INDEX(Trigo!$E83:$Z83,MIN(E$6-$E$3,22))),0))-IF($G$2,0,IF((E$6-$G$3)&lt;1,0,IFERROR(LOOKUP(2,1/(Trigo!$E83:INDEX(Trigo!$E83:$Z83,MIN(E$6-$G$3,22))&lt;&gt;""),Trigo!$E83:INDEX(Trigo!$E83:$Z83,MIN(E$6-$G$3,22))),0)))))</f>
        <v>0</v>
      </c>
      <c r="F85" s="27" t="n">
        <f aca="false">IF(COUNT(Trigo!$E83:$Z83)=0,0,MAX(0,IF((F$6-$E$3)&lt;1,0,IFERROR(LOOKUP(2,1/(Trigo!$E83:INDEX(Trigo!$E83:$Z83,MIN(F$6-$E$3,22))&lt;&gt;""),Trigo!$E83:INDEX(Trigo!$E83:$Z83,MIN(F$6-$E$3,22))),0))-IF($G$2,0,IF((F$6-$G$3)&lt;1,0,IFERROR(LOOKUP(2,1/(Trigo!$E83:INDEX(Trigo!$E83:$Z83,MIN(F$6-$G$3,22))&lt;&gt;""),Trigo!$E83:INDEX(Trigo!$E83:$Z83,MIN(F$6-$G$3,22))),0)))))</f>
        <v>0</v>
      </c>
      <c r="G85" s="27" t="n">
        <f aca="false">IF(COUNT(Trigo!$E83:$Z83)=0,0,MAX(0,IF((G$6-$E$3)&lt;1,0,IFERROR(LOOKUP(2,1/(Trigo!$E83:INDEX(Trigo!$E83:$Z83,MIN(G$6-$E$3,22))&lt;&gt;""),Trigo!$E83:INDEX(Trigo!$E83:$Z83,MIN(G$6-$E$3,22))),0))-IF($G$2,0,IF((G$6-$G$3)&lt;1,0,IFERROR(LOOKUP(2,1/(Trigo!$E83:INDEX(Trigo!$E83:$Z83,MIN(G$6-$G$3,22))&lt;&gt;""),Trigo!$E83:INDEX(Trigo!$E83:$Z83,MIN(G$6-$G$3,22))),0)))))</f>
        <v>0</v>
      </c>
      <c r="H85" s="27" t="n">
        <f aca="false">IF(COUNT(Trigo!$E83:$Z83)=0,0,MAX(0,IF((H$6-$E$3)&lt;1,0,IFERROR(LOOKUP(2,1/(Trigo!$E83:INDEX(Trigo!$E83:$Z83,MIN(H$6-$E$3,22))&lt;&gt;""),Trigo!$E83:INDEX(Trigo!$E83:$Z83,MIN(H$6-$E$3,22))),0))-IF($G$2,0,IF((H$6-$G$3)&lt;1,0,IFERROR(LOOKUP(2,1/(Trigo!$E83:INDEX(Trigo!$E83:$Z83,MIN(H$6-$G$3,22))&lt;&gt;""),Trigo!$E83:INDEX(Trigo!$E83:$Z83,MIN(H$6-$G$3,22))),0)))))</f>
        <v>0</v>
      </c>
      <c r="I85" s="27" t="n">
        <f aca="false">IF(COUNT(Trigo!$E83:$Z83)=0,0,MAX(0,IF((I$6-$E$3)&lt;1,0,IFERROR(LOOKUP(2,1/(Trigo!$E83:INDEX(Trigo!$E83:$Z83,MIN(I$6-$E$3,22))&lt;&gt;""),Trigo!$E83:INDEX(Trigo!$E83:$Z83,MIN(I$6-$E$3,22))),0))-IF($G$2,0,IF((I$6-$G$3)&lt;1,0,IFERROR(LOOKUP(2,1/(Trigo!$E83:INDEX(Trigo!$E83:$Z83,MIN(I$6-$G$3,22))&lt;&gt;""),Trigo!$E83:INDEX(Trigo!$E83:$Z83,MIN(I$6-$G$3,22))),0)))))</f>
        <v>0</v>
      </c>
      <c r="J85" s="27" t="n">
        <f aca="false">IF(COUNT(Trigo!$E83:$Z83)=0,0,MAX(0,IF((J$6-$E$3)&lt;1,0,IFERROR(LOOKUP(2,1/(Trigo!$E83:INDEX(Trigo!$E83:$Z83,MIN(J$6-$E$3,22))&lt;&gt;""),Trigo!$E83:INDEX(Trigo!$E83:$Z83,MIN(J$6-$E$3,22))),0))-IF($G$2,0,IF((J$6-$G$3)&lt;1,0,IFERROR(LOOKUP(2,1/(Trigo!$E83:INDEX(Trigo!$E83:$Z83,MIN(J$6-$G$3,22))&lt;&gt;""),Trigo!$E83:INDEX(Trigo!$E83:$Z83,MIN(J$6-$G$3,22))),0)))))</f>
        <v>0</v>
      </c>
      <c r="K85" s="27" t="n">
        <f aca="false">IF(COUNT(Trigo!$E83:$Z83)=0,0,MAX(0,IF((K$6-$E$3)&lt;1,0,IFERROR(LOOKUP(2,1/(Trigo!$E83:INDEX(Trigo!$E83:$Z83,MIN(K$6-$E$3,22))&lt;&gt;""),Trigo!$E83:INDEX(Trigo!$E83:$Z83,MIN(K$6-$E$3,22))),0))-IF($G$2,0,IF((K$6-$G$3)&lt;1,0,IFERROR(LOOKUP(2,1/(Trigo!$E83:INDEX(Trigo!$E83:$Z83,MIN(K$6-$G$3,22))&lt;&gt;""),Trigo!$E83:INDEX(Trigo!$E83:$Z83,MIN(K$6-$G$3,22))),0)))))</f>
        <v>0</v>
      </c>
      <c r="L85" s="27" t="n">
        <f aca="false">IF(COUNT(Trigo!$E83:$Z83)=0,0,MAX(0,IF((L$6-$E$3)&lt;1,0,IFERROR(LOOKUP(2,1/(Trigo!$E83:INDEX(Trigo!$E83:$Z83,MIN(L$6-$E$3,22))&lt;&gt;""),Trigo!$E83:INDEX(Trigo!$E83:$Z83,MIN(L$6-$E$3,22))),0))-IF($G$2,0,IF((L$6-$G$3)&lt;1,0,IFERROR(LOOKUP(2,1/(Trigo!$E83:INDEX(Trigo!$E83:$Z83,MIN(L$6-$G$3,22))&lt;&gt;""),Trigo!$E83:INDEX(Trigo!$E83:$Z83,MIN(L$6-$G$3,22))),0)))))</f>
        <v>0</v>
      </c>
      <c r="M85" s="27" t="n">
        <f aca="false">IF(COUNT(Trigo!$E83:$Z83)=0,0,MAX(0,IF((M$6-$E$3)&lt;1,0,IFERROR(LOOKUP(2,1/(Trigo!$E83:INDEX(Trigo!$E83:$Z83,MIN(M$6-$E$3,22))&lt;&gt;""),Trigo!$E83:INDEX(Trigo!$E83:$Z83,MIN(M$6-$E$3,22))),0))-IF($G$2,0,IF((M$6-$G$3)&lt;1,0,IFERROR(LOOKUP(2,1/(Trigo!$E83:INDEX(Trigo!$E83:$Z83,MIN(M$6-$G$3,22))&lt;&gt;""),Trigo!$E83:INDEX(Trigo!$E83:$Z83,MIN(M$6-$G$3,22))),0)))))</f>
        <v>0</v>
      </c>
      <c r="N85" s="27" t="n">
        <f aca="false">IF(COUNT(Trigo!$E83:$Z83)=0,0,MAX(0,IF((N$6-$E$3)&lt;1,0,IFERROR(LOOKUP(2,1/(Trigo!$E83:INDEX(Trigo!$E83:$Z83,MIN(N$6-$E$3,22))&lt;&gt;""),Trigo!$E83:INDEX(Trigo!$E83:$Z83,MIN(N$6-$E$3,22))),0))-IF($G$2,0,IF((N$6-$G$3)&lt;1,0,IFERROR(LOOKUP(2,1/(Trigo!$E83:INDEX(Trigo!$E83:$Z83,MIN(N$6-$G$3,22))&lt;&gt;""),Trigo!$E83:INDEX(Trigo!$E83:$Z83,MIN(N$6-$G$3,22))),0)))))</f>
        <v>0</v>
      </c>
      <c r="O85" s="27" t="n">
        <f aca="false">IF(COUNT(Trigo!$E83:$Z83)=0,0,MAX(0,IF((O$6-$E$3)&lt;1,0,IFERROR(LOOKUP(2,1/(Trigo!$E83:INDEX(Trigo!$E83:$Z83,MIN(O$6-$E$3,22))&lt;&gt;""),Trigo!$E83:INDEX(Trigo!$E83:$Z83,MIN(O$6-$E$3,22))),0))-IF($G$2,0,IF((O$6-$G$3)&lt;1,0,IFERROR(LOOKUP(2,1/(Trigo!$E83:INDEX(Trigo!$E83:$Z83,MIN(O$6-$G$3,22))&lt;&gt;""),Trigo!$E83:INDEX(Trigo!$E83:$Z83,MIN(O$6-$G$3,22))),0)))))</f>
        <v>0</v>
      </c>
      <c r="P85" s="27" t="n">
        <f aca="false">IF(COUNT(Trigo!$E83:$Z83)=0,0,MAX(0,IF((P$6-$E$3)&lt;1,0,IFERROR(LOOKUP(2,1/(Trigo!$E83:INDEX(Trigo!$E83:$Z83,MIN(P$6-$E$3,22))&lt;&gt;""),Trigo!$E83:INDEX(Trigo!$E83:$Z83,MIN(P$6-$E$3,22))),0))-IF($G$2,0,IF((P$6-$G$3)&lt;1,0,IFERROR(LOOKUP(2,1/(Trigo!$E83:INDEX(Trigo!$E83:$Z83,MIN(P$6-$G$3,22))&lt;&gt;""),Trigo!$E83:INDEX(Trigo!$E83:$Z83,MIN(P$6-$G$3,22))),0)))))</f>
        <v>0</v>
      </c>
      <c r="Q85" s="27" t="n">
        <f aca="false">IF(COUNT(Trigo!$E83:$Z83)=0,0,MAX(0,IF((Q$6-$E$3)&lt;1,0,IFERROR(LOOKUP(2,1/(Trigo!$E83:INDEX(Trigo!$E83:$Z83,MIN(Q$6-$E$3,22))&lt;&gt;""),Trigo!$E83:INDEX(Trigo!$E83:$Z83,MIN(Q$6-$E$3,22))),0))-IF($G$2,0,IF((Q$6-$G$3)&lt;1,0,IFERROR(LOOKUP(2,1/(Trigo!$E83:INDEX(Trigo!$E83:$Z83,MIN(Q$6-$G$3,22))&lt;&gt;""),Trigo!$E83:INDEX(Trigo!$E83:$Z83,MIN(Q$6-$G$3,22))),0)))))</f>
        <v>0</v>
      </c>
      <c r="R85" s="27" t="n">
        <f aca="false">IF(COUNT(Trigo!$E83:$Z83)=0,0,MAX(0,IF((R$6-$E$3)&lt;1,0,IFERROR(LOOKUP(2,1/(Trigo!$E83:INDEX(Trigo!$E83:$Z83,MIN(R$6-$E$3,22))&lt;&gt;""),Trigo!$E83:INDEX(Trigo!$E83:$Z83,MIN(R$6-$E$3,22))),0))-IF($G$2,0,IF((R$6-$G$3)&lt;1,0,IFERROR(LOOKUP(2,1/(Trigo!$E83:INDEX(Trigo!$E83:$Z83,MIN(R$6-$G$3,22))&lt;&gt;""),Trigo!$E83:INDEX(Trigo!$E83:$Z83,MIN(R$6-$G$3,22))),0)))))</f>
        <v>0</v>
      </c>
      <c r="S85" s="27" t="n">
        <f aca="false">IF(COUNT(Trigo!$E83:$Z83)=0,0,MAX(0,IF((S$6-$E$3)&lt;1,0,IFERROR(LOOKUP(2,1/(Trigo!$E83:INDEX(Trigo!$E83:$Z83,MIN(S$6-$E$3,22))&lt;&gt;""),Trigo!$E83:INDEX(Trigo!$E83:$Z83,MIN(S$6-$E$3,22))),0))-IF($G$2,0,IF((S$6-$G$3)&lt;1,0,IFERROR(LOOKUP(2,1/(Trigo!$E83:INDEX(Trigo!$E83:$Z83,MIN(S$6-$G$3,22))&lt;&gt;""),Trigo!$E83:INDEX(Trigo!$E83:$Z83,MIN(S$6-$G$3,22))),0)))))</f>
        <v>0</v>
      </c>
      <c r="T85" s="27" t="n">
        <f aca="false">IF(COUNT(Trigo!$E83:$Z83)=0,0,MAX(0,IF((T$6-$E$3)&lt;1,0,IFERROR(LOOKUP(2,1/(Trigo!$E83:INDEX(Trigo!$E83:$Z83,MIN(T$6-$E$3,22))&lt;&gt;""),Trigo!$E83:INDEX(Trigo!$E83:$Z83,MIN(T$6-$E$3,22))),0))-IF($G$2,0,IF((T$6-$G$3)&lt;1,0,IFERROR(LOOKUP(2,1/(Trigo!$E83:INDEX(Trigo!$E83:$Z83,MIN(T$6-$G$3,22))&lt;&gt;""),Trigo!$E83:INDEX(Trigo!$E83:$Z83,MIN(T$6-$G$3,22))),0)))))</f>
        <v>0</v>
      </c>
      <c r="U85" s="27" t="n">
        <f aca="false">IF(COUNT(Trigo!$E83:$Z83)=0,0,MAX(0,IF((U$6-$E$3)&lt;1,0,IFERROR(LOOKUP(2,1/(Trigo!$E83:INDEX(Trigo!$E83:$Z83,MIN(U$6-$E$3,22))&lt;&gt;""),Trigo!$E83:INDEX(Trigo!$E83:$Z83,MIN(U$6-$E$3,22))),0))-IF($G$2,0,IF((U$6-$G$3)&lt;1,0,IFERROR(LOOKUP(2,1/(Trigo!$E83:INDEX(Trigo!$E83:$Z83,MIN(U$6-$G$3,22))&lt;&gt;""),Trigo!$E83:INDEX(Trigo!$E83:$Z83,MIN(U$6-$G$3,22))),0)))))</f>
        <v>0</v>
      </c>
      <c r="V85" s="27" t="n">
        <f aca="false">IF(COUNT(Trigo!$E83:$Z83)=0,0,MAX(0,IF((V$6-$E$3)&lt;1,0,IFERROR(LOOKUP(2,1/(Trigo!$E83:INDEX(Trigo!$E83:$Z83,MIN(V$6-$E$3,22))&lt;&gt;""),Trigo!$E83:INDEX(Trigo!$E83:$Z83,MIN(V$6-$E$3,22))),0))-IF($G$2,0,IF((V$6-$G$3)&lt;1,0,IFERROR(LOOKUP(2,1/(Trigo!$E83:INDEX(Trigo!$E83:$Z83,MIN(V$6-$G$3,22))&lt;&gt;""),Trigo!$E83:INDEX(Trigo!$E83:$Z83,MIN(V$6-$G$3,22))),0)))))</f>
        <v>0</v>
      </c>
      <c r="W85" s="27" t="n">
        <f aca="false">IF(COUNT(Trigo!$E83:$Z83)=0,0,MAX(0,IF((W$6-$E$3)&lt;1,0,IFERROR(LOOKUP(2,1/(Trigo!$E83:INDEX(Trigo!$E83:$Z83,MIN(W$6-$E$3,22))&lt;&gt;""),Trigo!$E83:INDEX(Trigo!$E83:$Z83,MIN(W$6-$E$3,22))),0))-IF($G$2,0,IF((W$6-$G$3)&lt;1,0,IFERROR(LOOKUP(2,1/(Trigo!$E83:INDEX(Trigo!$E83:$Z83,MIN(W$6-$G$3,22))&lt;&gt;""),Trigo!$E83:INDEX(Trigo!$E83:$Z83,MIN(W$6-$G$3,22))),0)))))</f>
        <v>0</v>
      </c>
      <c r="X85" s="27" t="n">
        <f aca="false">IF(COUNT(Trigo!$E83:$Z83)=0,0,MAX(0,IF((X$6-$E$3)&lt;1,0,IFERROR(LOOKUP(2,1/(Trigo!$E83:INDEX(Trigo!$E83:$Z83,MIN(X$6-$E$3,22))&lt;&gt;""),Trigo!$E83:INDEX(Trigo!$E83:$Z83,MIN(X$6-$E$3,22))),0))-IF($G$2,0,IF((X$6-$G$3)&lt;1,0,IFERROR(LOOKUP(2,1/(Trigo!$E83:INDEX(Trigo!$E83:$Z83,MIN(X$6-$G$3,22))&lt;&gt;""),Trigo!$E83:INDEX(Trigo!$E83:$Z83,MIN(X$6-$G$3,22))),0)))))</f>
        <v>0</v>
      </c>
      <c r="Y85" s="27" t="n">
        <f aca="false">IF(COUNT(Trigo!$E83:$Z83)=0,0,MAX(0,IF((Y$6-$E$3)&lt;1,0,IFERROR(LOOKUP(2,1/(Trigo!$E83:INDEX(Trigo!$E83:$Z83,MIN(Y$6-$E$3,22))&lt;&gt;""),Trigo!$E83:INDEX(Trigo!$E83:$Z83,MIN(Y$6-$E$3,22))),0))-IF($G$2,0,IF((Y$6-$G$3)&lt;1,0,IFERROR(LOOKUP(2,1/(Trigo!$E83:INDEX(Trigo!$E83:$Z83,MIN(Y$6-$G$3,22))&lt;&gt;""),Trigo!$E83:INDEX(Trigo!$E83:$Z83,MIN(Y$6-$G$3,22))),0)))))</f>
        <v>0</v>
      </c>
      <c r="Z85" s="27" t="n">
        <f aca="false">IF(COUNT(Trigo!$E83:$Z83)=0,0,MAX(0,IF((Z$6-$E$3)&lt;1,0,IFERROR(LOOKUP(2,1/(Trigo!$E83:INDEX(Trigo!$E83:$Z83,MIN(Z$6-$E$3,22))&lt;&gt;""),Trigo!$E83:INDEX(Trigo!$E83:$Z83,MIN(Z$6-$E$3,22))),0))-IF($G$2,0,IF((Z$6-$G$3)&lt;1,0,IFERROR(LOOKUP(2,1/(Trigo!$E83:INDEX(Trigo!$E83:$Z83,MIN(Z$6-$G$3,22))&lt;&gt;""),Trigo!$E83:INDEX(Trigo!$E83:$Z83,MIN(Z$6-$G$3,22))),0)))))</f>
        <v>0</v>
      </c>
      <c r="AA85" s="27" t="n">
        <f aca="false">IF(COUNT(Trigo!$E83:$Z83)=0,0,MAX(0,IF((AA$6-$E$3)&lt;1,0,IFERROR(LOOKUP(2,1/(Trigo!$E83:INDEX(Trigo!$E83:$Z83,MIN(AA$6-$E$3,22))&lt;&gt;""),Trigo!$E83:INDEX(Trigo!$E83:$Z83,MIN(AA$6-$E$3,22))),0))-IF($G$2,0,IF((AA$6-$G$3)&lt;1,0,IFERROR(LOOKUP(2,1/(Trigo!$E83:INDEX(Trigo!$E83:$Z83,MIN(AA$6-$G$3,22))&lt;&gt;""),Trigo!$E83:INDEX(Trigo!$E83:$Z83,MIN(AA$6-$G$3,22))),0)))))</f>
        <v>0</v>
      </c>
      <c r="AB85" s="27" t="n">
        <f aca="false">IF(COUNT(Trigo!$E83:$Z83)=0,0,MAX(0,IF((AB$6-$E$3)&lt;1,0,IFERROR(LOOKUP(2,1/(Trigo!$E83:INDEX(Trigo!$E83:$Z83,MIN(AB$6-$E$3,22))&lt;&gt;""),Trigo!$E83:INDEX(Trigo!$E83:$Z83,MIN(AB$6-$E$3,22))),0))-IF($G$2,0,IF((AB$6-$G$3)&lt;1,0,IFERROR(LOOKUP(2,1/(Trigo!$E83:INDEX(Trigo!$E83:$Z83,MIN(AB$6-$G$3,22))&lt;&gt;""),Trigo!$E83:INDEX(Trigo!$E83:$Z83,MIN(AB$6-$G$3,22))),0)))))</f>
        <v>0</v>
      </c>
      <c r="AC85" s="27" t="n">
        <f aca="false">IF(COUNT(Trigo!$E83:$Z83)=0,0,MAX(0,IF((AC$6-$E$3)&lt;1,0,IFERROR(LOOKUP(2,1/(Trigo!$E83:INDEX(Trigo!$E83:$Z83,MIN(AC$6-$E$3,22))&lt;&gt;""),Trigo!$E83:INDEX(Trigo!$E83:$Z83,MIN(AC$6-$E$3,22))),0))-IF($G$2,0,IF((AC$6-$G$3)&lt;1,0,IFERROR(LOOKUP(2,1/(Trigo!$E83:INDEX(Trigo!$E83:$Z83,MIN(AC$6-$G$3,22))&lt;&gt;""),Trigo!$E83:INDEX(Trigo!$E83:$Z83,MIN(AC$6-$G$3,22))),0)))))</f>
        <v>0</v>
      </c>
      <c r="AD85" s="27" t="n">
        <f aca="false">IF(COUNT(Trigo!$E83:$Z83)=0,0,MAX(0,IF((AD$6-$E$3)&lt;1,0,IFERROR(LOOKUP(2,1/(Trigo!$E83:INDEX(Trigo!$E83:$Z83,MIN(AD$6-$E$3,22))&lt;&gt;""),Trigo!$E83:INDEX(Trigo!$E83:$Z83,MIN(AD$6-$E$3,22))),0))-IF($G$2,0,IF((AD$6-$G$3)&lt;1,0,IFERROR(LOOKUP(2,1/(Trigo!$E83:INDEX(Trigo!$E83:$Z83,MIN(AD$6-$G$3,22))&lt;&gt;""),Trigo!$E83:INDEX(Trigo!$E83:$Z83,MIN(AD$6-$G$3,22))),0)))))</f>
        <v>0</v>
      </c>
      <c r="AE85" s="27" t="n">
        <f aca="false">IF(COUNT(Trigo!$E83:$Z83)=0,0,MAX(0,IF((AE$6-$E$3)&lt;1,0,IFERROR(LOOKUP(2,1/(Trigo!$E83:INDEX(Trigo!$E83:$Z83,MIN(AE$6-$E$3,22))&lt;&gt;""),Trigo!$E83:INDEX(Trigo!$E83:$Z83,MIN(AE$6-$E$3,22))),0))-IF($G$2,0,IF((AE$6-$G$3)&lt;1,0,IFERROR(LOOKUP(2,1/(Trigo!$E83:INDEX(Trigo!$E83:$Z83,MIN(AE$6-$G$3,22))&lt;&gt;""),Trigo!$E83:INDEX(Trigo!$E83:$Z83,MIN(AE$6-$G$3,22))),0)))))</f>
        <v>0</v>
      </c>
      <c r="AF85" s="27" t="n">
        <f aca="false">IF(COUNT(Trigo!$E83:$Z83)=0,0,MAX(0,IF((AF$6-$E$3)&lt;1,0,IFERROR(LOOKUP(2,1/(Trigo!$E83:INDEX(Trigo!$E83:$Z83,MIN(AF$6-$E$3,22))&lt;&gt;""),Trigo!$E83:INDEX(Trigo!$E83:$Z83,MIN(AF$6-$E$3,22))),0))-IF($G$2,0,IF((AF$6-$G$3)&lt;1,0,IFERROR(LOOKUP(2,1/(Trigo!$E83:INDEX(Trigo!$E83:$Z83,MIN(AF$6-$G$3,22))&lt;&gt;""),Trigo!$E83:INDEX(Trigo!$E83:$Z83,MIN(AF$6-$G$3,22))),0)))))</f>
        <v>0</v>
      </c>
      <c r="AG85" s="27" t="n">
        <f aca="false">IF(COUNT(Trigo!$E83:$Z83)=0,0,MAX(0,IF((AG$6-$E$3)&lt;1,0,IFERROR(LOOKUP(2,1/(Trigo!$E83:INDEX(Trigo!$E83:$Z83,MIN(AG$6-$E$3,22))&lt;&gt;""),Trigo!$E83:INDEX(Trigo!$E83:$Z83,MIN(AG$6-$E$3,22))),0))-IF($G$2,0,IF((AG$6-$G$3)&lt;1,0,IFERROR(LOOKUP(2,1/(Trigo!$E83:INDEX(Trigo!$E83:$Z83,MIN(AG$6-$G$3,22))&lt;&gt;""),Trigo!$E83:INDEX(Trigo!$E83:$Z83,MIN(AG$6-$G$3,22))),0)))))</f>
        <v>0</v>
      </c>
      <c r="AH85" s="27" t="n">
        <f aca="false">IF(COUNT(Trigo!$E83:$Z83)=0,0,MAX(0,IF((AH$6-$E$3)&lt;1,0,IFERROR(LOOKUP(2,1/(Trigo!$E83:INDEX(Trigo!$E83:$Z83,MIN(AH$6-$E$3,22))&lt;&gt;""),Trigo!$E83:INDEX(Trigo!$E83:$Z83,MIN(AH$6-$E$3,22))),0))-IF($G$2,0,IF((AH$6-$G$3)&lt;1,0,IFERROR(LOOKUP(2,1/(Trigo!$E83:INDEX(Trigo!$E83:$Z83,MIN(AH$6-$G$3,22))&lt;&gt;""),Trigo!$E83:INDEX(Trigo!$E83:$Z83,MIN(AH$6-$G$3,22))),0)))))</f>
        <v>0</v>
      </c>
      <c r="AI85" s="27" t="n">
        <f aca="false">IF(COUNT(Trigo!$E83:$Z83)=0,0,MAX(0,IF((AI$6-$E$3)&lt;1,0,IFERROR(LOOKUP(2,1/(Trigo!$E83:INDEX(Trigo!$E83:$Z83,MIN(AI$6-$E$3,22))&lt;&gt;""),Trigo!$E83:INDEX(Trigo!$E83:$Z83,MIN(AI$6-$E$3,22))),0))-IF($G$2,0,IF((AI$6-$G$3)&lt;1,0,IFERROR(LOOKUP(2,1/(Trigo!$E83:INDEX(Trigo!$E83:$Z83,MIN(AI$6-$G$3,22))&lt;&gt;""),Trigo!$E83:INDEX(Trigo!$E83:$Z83,MIN(AI$6-$G$3,22))),0)))))</f>
        <v>0</v>
      </c>
      <c r="AJ85" s="27" t="n">
        <f aca="false">IF(COUNT(Trigo!$E83:$Z83)=0,0,MAX(0,IF((AJ$6-$E$3)&lt;1,0,IFERROR(LOOKUP(2,1/(Trigo!$E83:INDEX(Trigo!$E83:$Z83,MIN(AJ$6-$E$3,22))&lt;&gt;""),Trigo!$E83:INDEX(Trigo!$E83:$Z83,MIN(AJ$6-$E$3,22))),0))-IF($G$2,0,IF((AJ$6-$G$3)&lt;1,0,IFERROR(LOOKUP(2,1/(Trigo!$E83:INDEX(Trigo!$E83:$Z83,MIN(AJ$6-$G$3,22))&lt;&gt;""),Trigo!$E83:INDEX(Trigo!$E83:$Z83,MIN(AJ$6-$G$3,22))),0)))))</f>
        <v>0</v>
      </c>
      <c r="AK85" s="27" t="n">
        <f aca="false">IF(COUNT(Trigo!$E83:$Z83)=0,0,MAX(0,IF((AK$6-$E$3)&lt;1,0,IFERROR(LOOKUP(2,1/(Trigo!$E83:INDEX(Trigo!$E83:$Z83,MIN(AK$6-$E$3,22))&lt;&gt;""),Trigo!$E83:INDEX(Trigo!$E83:$Z83,MIN(AK$6-$E$3,22))),0))-IF($G$2,0,IF((AK$6-$G$3)&lt;1,0,IFERROR(LOOKUP(2,1/(Trigo!$E83:INDEX(Trigo!$E83:$Z83,MIN(AK$6-$G$3,22))&lt;&gt;""),Trigo!$E83:INDEX(Trigo!$E83:$Z83,MIN(AK$6-$G$3,22))),0)))))</f>
        <v>0</v>
      </c>
      <c r="AL85" s="27" t="n">
        <f aca="false">IF(COUNT(Trigo!$E83:$Z83)=0,0,MAX(0,IF((AL$6-$E$3)&lt;1,0,IFERROR(LOOKUP(2,1/(Trigo!$E83:INDEX(Trigo!$E83:$Z83,MIN(AL$6-$E$3,22))&lt;&gt;""),Trigo!$E83:INDEX(Trigo!$E83:$Z83,MIN(AL$6-$E$3,22))),0))-IF($G$2,0,IF((AL$6-$G$3)&lt;1,0,IFERROR(LOOKUP(2,1/(Trigo!$E83:INDEX(Trigo!$E83:$Z83,MIN(AL$6-$G$3,22))&lt;&gt;""),Trigo!$E83:INDEX(Trigo!$E83:$Z83,MIN(AL$6-$G$3,22))),0)))))</f>
        <v>0</v>
      </c>
      <c r="AM85" s="27" t="n">
        <f aca="false">IF(COUNT(Trigo!$E83:$Z83)=0,0,MAX(0,IF((AM$6-$E$3)&lt;1,0,IFERROR(LOOKUP(2,1/(Trigo!$E83:INDEX(Trigo!$E83:$Z83,MIN(AM$6-$E$3,22))&lt;&gt;""),Trigo!$E83:INDEX(Trigo!$E83:$Z83,MIN(AM$6-$E$3,22))),0))-IF($G$2,0,IF((AM$6-$G$3)&lt;1,0,IFERROR(LOOKUP(2,1/(Trigo!$E83:INDEX(Trigo!$E83:$Z83,MIN(AM$6-$G$3,22))&lt;&gt;""),Trigo!$E83:INDEX(Trigo!$E83:$Z83,MIN(AM$6-$G$3,22))),0)))))</f>
        <v>0</v>
      </c>
      <c r="AN85" s="27" t="n">
        <f aca="false">IF(COUNT(Trigo!$E83:$Z83)=0,0,MAX(0,IF((AN$6-$E$3)&lt;1,0,IFERROR(LOOKUP(2,1/(Trigo!$E83:INDEX(Trigo!$E83:$Z83,MIN(AN$6-$E$3,22))&lt;&gt;""),Trigo!$E83:INDEX(Trigo!$E83:$Z83,MIN(AN$6-$E$3,22))),0))-IF($G$2,0,IF((AN$6-$G$3)&lt;1,0,IFERROR(LOOKUP(2,1/(Trigo!$E83:INDEX(Trigo!$E83:$Z83,MIN(AN$6-$G$3,22))&lt;&gt;""),Trigo!$E83:INDEX(Trigo!$E83:$Z83,MIN(AN$6-$G$3,22))),0)))))</f>
        <v>0</v>
      </c>
      <c r="AO85" s="27" t="n">
        <f aca="false">IF(COUNT(Trigo!$E83:$Z83)=0,0,MAX(0,IF((AO$6-$E$3)&lt;1,0,IFERROR(LOOKUP(2,1/(Trigo!$E83:INDEX(Trigo!$E83:$Z83,MIN(AO$6-$E$3,22))&lt;&gt;""),Trigo!$E83:INDEX(Trigo!$E83:$Z83,MIN(AO$6-$E$3,22))),0))-IF($G$2,0,IF((AO$6-$G$3)&lt;1,0,IFERROR(LOOKUP(2,1/(Trigo!$E83:INDEX(Trigo!$E83:$Z83,MIN(AO$6-$G$3,22))&lt;&gt;""),Trigo!$E83:INDEX(Trigo!$E83:$Z83,MIN(AO$6-$G$3,22))),0)))))</f>
        <v>0</v>
      </c>
      <c r="AP85" s="27" t="n">
        <f aca="false">IF(COUNT(Trigo!$E83:$Z83)=0,0,MAX(0,IF((AP$6-$E$3)&lt;1,0,IFERROR(LOOKUP(2,1/(Trigo!$E83:INDEX(Trigo!$E83:$Z83,MIN(AP$6-$E$3,22))&lt;&gt;""),Trigo!$E83:INDEX(Trigo!$E83:$Z83,MIN(AP$6-$E$3,22))),0))-IF($G$2,0,IF((AP$6-$G$3)&lt;1,0,IFERROR(LOOKUP(2,1/(Trigo!$E83:INDEX(Trigo!$E83:$Z83,MIN(AP$6-$G$3,22))&lt;&gt;""),Trigo!$E83:INDEX(Trigo!$E83:$Z83,MIN(AP$6-$G$3,22))),0)))))</f>
        <v>0</v>
      </c>
      <c r="AQ85" s="27" t="n">
        <f aca="false">IF(COUNT(Trigo!$E83:$Z83)=0,0,MAX(0,IF((AQ$6-$E$3)&lt;1,0,IFERROR(LOOKUP(2,1/(Trigo!$E83:INDEX(Trigo!$E83:$Z83,MIN(AQ$6-$E$3,22))&lt;&gt;""),Trigo!$E83:INDEX(Trigo!$E83:$Z83,MIN(AQ$6-$E$3,22))),0))-IF($G$2,0,IF((AQ$6-$G$3)&lt;1,0,IFERROR(LOOKUP(2,1/(Trigo!$E83:INDEX(Trigo!$E83:$Z83,MIN(AQ$6-$G$3,22))&lt;&gt;""),Trigo!$E83:INDEX(Trigo!$E83:$Z83,MIN(AQ$6-$G$3,22))),0)))))</f>
        <v>0</v>
      </c>
      <c r="AR85" s="27" t="n">
        <f aca="false">IF(COUNT(Trigo!$E83:$Z83)=0,0,MAX(0,IF((AR$6-$E$3)&lt;1,0,IFERROR(LOOKUP(2,1/(Trigo!$E83:INDEX(Trigo!$E83:$Z83,MIN(AR$6-$E$3,22))&lt;&gt;""),Trigo!$E83:INDEX(Trigo!$E83:$Z83,MIN(AR$6-$E$3,22))),0))-IF($G$2,0,IF((AR$6-$G$3)&lt;1,0,IFERROR(LOOKUP(2,1/(Trigo!$E83:INDEX(Trigo!$E83:$Z83,MIN(AR$6-$G$3,22))&lt;&gt;""),Trigo!$E83:INDEX(Trigo!$E83:$Z83,MIN(AR$6-$G$3,22))),0)))))</f>
        <v>0</v>
      </c>
      <c r="AS85" s="27" t="n">
        <f aca="false">IF(COUNT(Trigo!$E83:$Z83)=0,0,MAX(0,IF((AS$6-$E$3)&lt;1,0,IFERROR(LOOKUP(2,1/(Trigo!$E83:INDEX(Trigo!$E83:$Z83,MIN(AS$6-$E$3,22))&lt;&gt;""),Trigo!$E83:INDEX(Trigo!$E83:$Z83,MIN(AS$6-$E$3,22))),0))-IF($G$2,0,IF((AS$6-$G$3)&lt;1,0,IFERROR(LOOKUP(2,1/(Trigo!$E83:INDEX(Trigo!$E83:$Z83,MIN(AS$6-$G$3,22))&lt;&gt;""),Trigo!$E83:INDEX(Trigo!$E83:$Z83,MIN(AS$6-$G$3,22))),0)))))</f>
        <v>0</v>
      </c>
      <c r="AT85" s="27" t="n">
        <f aca="false">IF(COUNT(Trigo!$E83:$Z83)=0,0,MAX(0,IF((AT$6-$E$3)&lt;1,0,IFERROR(LOOKUP(2,1/(Trigo!$E83:INDEX(Trigo!$E83:$Z83,MIN(AT$6-$E$3,22))&lt;&gt;""),Trigo!$E83:INDEX(Trigo!$E83:$Z83,MIN(AT$6-$E$3,22))),0))-IF($G$2,0,IF((AT$6-$G$3)&lt;1,0,IFERROR(LOOKUP(2,1/(Trigo!$E83:INDEX(Trigo!$E83:$Z83,MIN(AT$6-$G$3,22))&lt;&gt;""),Trigo!$E83:INDEX(Trigo!$E83:$Z83,MIN(AT$6-$G$3,22))),0)))))</f>
        <v>0</v>
      </c>
      <c r="AU85" s="27" t="n">
        <f aca="false">IF(COUNT(Trigo!$E83:$Z83)=0,0,MAX(0,IF((AU$6-$E$3)&lt;1,0,IFERROR(LOOKUP(2,1/(Trigo!$E83:INDEX(Trigo!$E83:$Z83,MIN(AU$6-$E$3,22))&lt;&gt;""),Trigo!$E83:INDEX(Trigo!$E83:$Z83,MIN(AU$6-$E$3,22))),0))-IF($G$2,0,IF((AU$6-$G$3)&lt;1,0,IFERROR(LOOKUP(2,1/(Trigo!$E83:INDEX(Trigo!$E83:$Z83,MIN(AU$6-$G$3,22))&lt;&gt;""),Trigo!$E83:INDEX(Trigo!$E83:$Z83,MIN(AU$6-$G$3,22))),0)))))</f>
        <v>0</v>
      </c>
      <c r="AV85" s="27" t="n">
        <f aca="false">IF(COUNT(Trigo!$E83:$Z83)=0,0,MAX(0,IF((AV$6-$E$3)&lt;1,0,IFERROR(LOOKUP(2,1/(Trigo!$E83:INDEX(Trigo!$E83:$Z83,MIN(AV$6-$E$3,22))&lt;&gt;""),Trigo!$E83:INDEX(Trigo!$E83:$Z83,MIN(AV$6-$E$3,22))),0))-IF($G$2,0,IF((AV$6-$G$3)&lt;1,0,IFERROR(LOOKUP(2,1/(Trigo!$E83:INDEX(Trigo!$E83:$Z83,MIN(AV$6-$G$3,22))&lt;&gt;""),Trigo!$E83:INDEX(Trigo!$E83:$Z83,MIN(AV$6-$G$3,22))),0)))))</f>
        <v>0</v>
      </c>
      <c r="AW85" s="27" t="n">
        <f aca="false">IF(COUNT(Trigo!$E83:$Z83)=0,0,MAX(0,IF((AW$6-$E$3)&lt;1,0,IFERROR(LOOKUP(2,1/(Trigo!$E83:INDEX(Trigo!$E83:$Z83,MIN(AW$6-$E$3,22))&lt;&gt;""),Trigo!$E83:INDEX(Trigo!$E83:$Z83,MIN(AW$6-$E$3,22))),0))-IF($G$2,0,IF((AW$6-$G$3)&lt;1,0,IFERROR(LOOKUP(2,1/(Trigo!$E83:INDEX(Trigo!$E83:$Z83,MIN(AW$6-$G$3,22))&lt;&gt;""),Trigo!$E83:INDEX(Trigo!$E83:$Z83,MIN(AW$6-$G$3,22))),0)))))</f>
        <v>0</v>
      </c>
      <c r="AX85" s="27" t="n">
        <f aca="false">IF(COUNT(Trigo!$E83:$Z83)=0,0,MAX(0,IF((AX$6-$E$3)&lt;1,0,IFERROR(LOOKUP(2,1/(Trigo!$E83:INDEX(Trigo!$E83:$Z83,MIN(AX$6-$E$3,22))&lt;&gt;""),Trigo!$E83:INDEX(Trigo!$E83:$Z83,MIN(AX$6-$E$3,22))),0))-IF($G$2,0,IF((AX$6-$G$3)&lt;1,0,IFERROR(LOOKUP(2,1/(Trigo!$E83:INDEX(Trigo!$E83:$Z83,MIN(AX$6-$G$3,22))&lt;&gt;""),Trigo!$E83:INDEX(Trigo!$E83:$Z83,MIN(AX$6-$G$3,22))),0)))))</f>
        <v>0</v>
      </c>
      <c r="AY85" s="27" t="n">
        <f aca="false">IF(COUNT(Trigo!$E83:$Z83)=0,0,MAX(0,IF((AY$6-$E$3)&lt;1,0,IFERROR(LOOKUP(2,1/(Trigo!$E83:INDEX(Trigo!$E83:$Z83,MIN(AY$6-$E$3,22))&lt;&gt;""),Trigo!$E83:INDEX(Trigo!$E83:$Z83,MIN(AY$6-$E$3,22))),0))-IF($G$2,0,IF((AY$6-$G$3)&lt;1,0,IFERROR(LOOKUP(2,1/(Trigo!$E83:INDEX(Trigo!$E83:$Z83,MIN(AY$6-$G$3,22))&lt;&gt;""),Trigo!$E83:INDEX(Trigo!$E83:$Z83,MIN(AY$6-$G$3,22))),0)))))</f>
        <v>0</v>
      </c>
      <c r="AZ85" s="27" t="n">
        <f aca="false">IF(COUNT(Trigo!$E83:$Z83)=0,0,MAX(0,IF((AZ$6-$E$3)&lt;1,0,IFERROR(LOOKUP(2,1/(Trigo!$E83:INDEX(Trigo!$E83:$Z83,MIN(AZ$6-$E$3,22))&lt;&gt;""),Trigo!$E83:INDEX(Trigo!$E83:$Z83,MIN(AZ$6-$E$3,22))),0))-IF($G$2,0,IF((AZ$6-$G$3)&lt;1,0,IFERROR(LOOKUP(2,1/(Trigo!$E83:INDEX(Trigo!$E83:$Z83,MIN(AZ$6-$G$3,22))&lt;&gt;""),Trigo!$E83:INDEX(Trigo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IF(COUNT(Trigo!$E84:$Z84)&gt;0,N(Trigo!$D84),0)</f>
        <v>0</v>
      </c>
      <c r="E86" s="27" t="n">
        <f aca="false">IF(COUNT(Trigo!$E84:$Z84)=0,0,MAX(0,IF((E$6-$E$3)&lt;1,0,IFERROR(LOOKUP(2,1/(Trigo!$E84:INDEX(Trigo!$E84:$Z84,MIN(E$6-$E$3,22))&lt;&gt;""),Trigo!$E84:INDEX(Trigo!$E84:$Z84,MIN(E$6-$E$3,22))),0))-IF($G$2,0,IF((E$6-$G$3)&lt;1,0,IFERROR(LOOKUP(2,1/(Trigo!$E84:INDEX(Trigo!$E84:$Z84,MIN(E$6-$G$3,22))&lt;&gt;""),Trigo!$E84:INDEX(Trigo!$E84:$Z84,MIN(E$6-$G$3,22))),0)))))</f>
        <v>0</v>
      </c>
      <c r="F86" s="27" t="n">
        <f aca="false">IF(COUNT(Trigo!$E84:$Z84)=0,0,MAX(0,IF((F$6-$E$3)&lt;1,0,IFERROR(LOOKUP(2,1/(Trigo!$E84:INDEX(Trigo!$E84:$Z84,MIN(F$6-$E$3,22))&lt;&gt;""),Trigo!$E84:INDEX(Trigo!$E84:$Z84,MIN(F$6-$E$3,22))),0))-IF($G$2,0,IF((F$6-$G$3)&lt;1,0,IFERROR(LOOKUP(2,1/(Trigo!$E84:INDEX(Trigo!$E84:$Z84,MIN(F$6-$G$3,22))&lt;&gt;""),Trigo!$E84:INDEX(Trigo!$E84:$Z84,MIN(F$6-$G$3,22))),0)))))</f>
        <v>0</v>
      </c>
      <c r="G86" s="27" t="n">
        <f aca="false">IF(COUNT(Trigo!$E84:$Z84)=0,0,MAX(0,IF((G$6-$E$3)&lt;1,0,IFERROR(LOOKUP(2,1/(Trigo!$E84:INDEX(Trigo!$E84:$Z84,MIN(G$6-$E$3,22))&lt;&gt;""),Trigo!$E84:INDEX(Trigo!$E84:$Z84,MIN(G$6-$E$3,22))),0))-IF($G$2,0,IF((G$6-$G$3)&lt;1,0,IFERROR(LOOKUP(2,1/(Trigo!$E84:INDEX(Trigo!$E84:$Z84,MIN(G$6-$G$3,22))&lt;&gt;""),Trigo!$E84:INDEX(Trigo!$E84:$Z84,MIN(G$6-$G$3,22))),0)))))</f>
        <v>0</v>
      </c>
      <c r="H86" s="27" t="n">
        <f aca="false">IF(COUNT(Trigo!$E84:$Z84)=0,0,MAX(0,IF((H$6-$E$3)&lt;1,0,IFERROR(LOOKUP(2,1/(Trigo!$E84:INDEX(Trigo!$E84:$Z84,MIN(H$6-$E$3,22))&lt;&gt;""),Trigo!$E84:INDEX(Trigo!$E84:$Z84,MIN(H$6-$E$3,22))),0))-IF($G$2,0,IF((H$6-$G$3)&lt;1,0,IFERROR(LOOKUP(2,1/(Trigo!$E84:INDEX(Trigo!$E84:$Z84,MIN(H$6-$G$3,22))&lt;&gt;""),Trigo!$E84:INDEX(Trigo!$E84:$Z84,MIN(H$6-$G$3,22))),0)))))</f>
        <v>0</v>
      </c>
      <c r="I86" s="27" t="n">
        <f aca="false">IF(COUNT(Trigo!$E84:$Z84)=0,0,MAX(0,IF((I$6-$E$3)&lt;1,0,IFERROR(LOOKUP(2,1/(Trigo!$E84:INDEX(Trigo!$E84:$Z84,MIN(I$6-$E$3,22))&lt;&gt;""),Trigo!$E84:INDEX(Trigo!$E84:$Z84,MIN(I$6-$E$3,22))),0))-IF($G$2,0,IF((I$6-$G$3)&lt;1,0,IFERROR(LOOKUP(2,1/(Trigo!$E84:INDEX(Trigo!$E84:$Z84,MIN(I$6-$G$3,22))&lt;&gt;""),Trigo!$E84:INDEX(Trigo!$E84:$Z84,MIN(I$6-$G$3,22))),0)))))</f>
        <v>0</v>
      </c>
      <c r="J86" s="27" t="n">
        <f aca="false">IF(COUNT(Trigo!$E84:$Z84)=0,0,MAX(0,IF((J$6-$E$3)&lt;1,0,IFERROR(LOOKUP(2,1/(Trigo!$E84:INDEX(Trigo!$E84:$Z84,MIN(J$6-$E$3,22))&lt;&gt;""),Trigo!$E84:INDEX(Trigo!$E84:$Z84,MIN(J$6-$E$3,22))),0))-IF($G$2,0,IF((J$6-$G$3)&lt;1,0,IFERROR(LOOKUP(2,1/(Trigo!$E84:INDEX(Trigo!$E84:$Z84,MIN(J$6-$G$3,22))&lt;&gt;""),Trigo!$E84:INDEX(Trigo!$E84:$Z84,MIN(J$6-$G$3,22))),0)))))</f>
        <v>0</v>
      </c>
      <c r="K86" s="27" t="n">
        <f aca="false">IF(COUNT(Trigo!$E84:$Z84)=0,0,MAX(0,IF((K$6-$E$3)&lt;1,0,IFERROR(LOOKUP(2,1/(Trigo!$E84:INDEX(Trigo!$E84:$Z84,MIN(K$6-$E$3,22))&lt;&gt;""),Trigo!$E84:INDEX(Trigo!$E84:$Z84,MIN(K$6-$E$3,22))),0))-IF($G$2,0,IF((K$6-$G$3)&lt;1,0,IFERROR(LOOKUP(2,1/(Trigo!$E84:INDEX(Trigo!$E84:$Z84,MIN(K$6-$G$3,22))&lt;&gt;""),Trigo!$E84:INDEX(Trigo!$E84:$Z84,MIN(K$6-$G$3,22))),0)))))</f>
        <v>0</v>
      </c>
      <c r="L86" s="27" t="n">
        <f aca="false">IF(COUNT(Trigo!$E84:$Z84)=0,0,MAX(0,IF((L$6-$E$3)&lt;1,0,IFERROR(LOOKUP(2,1/(Trigo!$E84:INDEX(Trigo!$E84:$Z84,MIN(L$6-$E$3,22))&lt;&gt;""),Trigo!$E84:INDEX(Trigo!$E84:$Z84,MIN(L$6-$E$3,22))),0))-IF($G$2,0,IF((L$6-$G$3)&lt;1,0,IFERROR(LOOKUP(2,1/(Trigo!$E84:INDEX(Trigo!$E84:$Z84,MIN(L$6-$G$3,22))&lt;&gt;""),Trigo!$E84:INDEX(Trigo!$E84:$Z84,MIN(L$6-$G$3,22))),0)))))</f>
        <v>0</v>
      </c>
      <c r="M86" s="27" t="n">
        <f aca="false">IF(COUNT(Trigo!$E84:$Z84)=0,0,MAX(0,IF((M$6-$E$3)&lt;1,0,IFERROR(LOOKUP(2,1/(Trigo!$E84:INDEX(Trigo!$E84:$Z84,MIN(M$6-$E$3,22))&lt;&gt;""),Trigo!$E84:INDEX(Trigo!$E84:$Z84,MIN(M$6-$E$3,22))),0))-IF($G$2,0,IF((M$6-$G$3)&lt;1,0,IFERROR(LOOKUP(2,1/(Trigo!$E84:INDEX(Trigo!$E84:$Z84,MIN(M$6-$G$3,22))&lt;&gt;""),Trigo!$E84:INDEX(Trigo!$E84:$Z84,MIN(M$6-$G$3,22))),0)))))</f>
        <v>0</v>
      </c>
      <c r="N86" s="27" t="n">
        <f aca="false">IF(COUNT(Trigo!$E84:$Z84)=0,0,MAX(0,IF((N$6-$E$3)&lt;1,0,IFERROR(LOOKUP(2,1/(Trigo!$E84:INDEX(Trigo!$E84:$Z84,MIN(N$6-$E$3,22))&lt;&gt;""),Trigo!$E84:INDEX(Trigo!$E84:$Z84,MIN(N$6-$E$3,22))),0))-IF($G$2,0,IF((N$6-$G$3)&lt;1,0,IFERROR(LOOKUP(2,1/(Trigo!$E84:INDEX(Trigo!$E84:$Z84,MIN(N$6-$G$3,22))&lt;&gt;""),Trigo!$E84:INDEX(Trigo!$E84:$Z84,MIN(N$6-$G$3,22))),0)))))</f>
        <v>0</v>
      </c>
      <c r="O86" s="27" t="n">
        <f aca="false">IF(COUNT(Trigo!$E84:$Z84)=0,0,MAX(0,IF((O$6-$E$3)&lt;1,0,IFERROR(LOOKUP(2,1/(Trigo!$E84:INDEX(Trigo!$E84:$Z84,MIN(O$6-$E$3,22))&lt;&gt;""),Trigo!$E84:INDEX(Trigo!$E84:$Z84,MIN(O$6-$E$3,22))),0))-IF($G$2,0,IF((O$6-$G$3)&lt;1,0,IFERROR(LOOKUP(2,1/(Trigo!$E84:INDEX(Trigo!$E84:$Z84,MIN(O$6-$G$3,22))&lt;&gt;""),Trigo!$E84:INDEX(Trigo!$E84:$Z84,MIN(O$6-$G$3,22))),0)))))</f>
        <v>0</v>
      </c>
      <c r="P86" s="27" t="n">
        <f aca="false">IF(COUNT(Trigo!$E84:$Z84)=0,0,MAX(0,IF((P$6-$E$3)&lt;1,0,IFERROR(LOOKUP(2,1/(Trigo!$E84:INDEX(Trigo!$E84:$Z84,MIN(P$6-$E$3,22))&lt;&gt;""),Trigo!$E84:INDEX(Trigo!$E84:$Z84,MIN(P$6-$E$3,22))),0))-IF($G$2,0,IF((P$6-$G$3)&lt;1,0,IFERROR(LOOKUP(2,1/(Trigo!$E84:INDEX(Trigo!$E84:$Z84,MIN(P$6-$G$3,22))&lt;&gt;""),Trigo!$E84:INDEX(Trigo!$E84:$Z84,MIN(P$6-$G$3,22))),0)))))</f>
        <v>0</v>
      </c>
      <c r="Q86" s="27" t="n">
        <f aca="false">IF(COUNT(Trigo!$E84:$Z84)=0,0,MAX(0,IF((Q$6-$E$3)&lt;1,0,IFERROR(LOOKUP(2,1/(Trigo!$E84:INDEX(Trigo!$E84:$Z84,MIN(Q$6-$E$3,22))&lt;&gt;""),Trigo!$E84:INDEX(Trigo!$E84:$Z84,MIN(Q$6-$E$3,22))),0))-IF($G$2,0,IF((Q$6-$G$3)&lt;1,0,IFERROR(LOOKUP(2,1/(Trigo!$E84:INDEX(Trigo!$E84:$Z84,MIN(Q$6-$G$3,22))&lt;&gt;""),Trigo!$E84:INDEX(Trigo!$E84:$Z84,MIN(Q$6-$G$3,22))),0)))))</f>
        <v>0</v>
      </c>
      <c r="R86" s="27" t="n">
        <f aca="false">IF(COUNT(Trigo!$E84:$Z84)=0,0,MAX(0,IF((R$6-$E$3)&lt;1,0,IFERROR(LOOKUP(2,1/(Trigo!$E84:INDEX(Trigo!$E84:$Z84,MIN(R$6-$E$3,22))&lt;&gt;""),Trigo!$E84:INDEX(Trigo!$E84:$Z84,MIN(R$6-$E$3,22))),0))-IF($G$2,0,IF((R$6-$G$3)&lt;1,0,IFERROR(LOOKUP(2,1/(Trigo!$E84:INDEX(Trigo!$E84:$Z84,MIN(R$6-$G$3,22))&lt;&gt;""),Trigo!$E84:INDEX(Trigo!$E84:$Z84,MIN(R$6-$G$3,22))),0)))))</f>
        <v>0</v>
      </c>
      <c r="S86" s="27" t="n">
        <f aca="false">IF(COUNT(Trigo!$E84:$Z84)=0,0,MAX(0,IF((S$6-$E$3)&lt;1,0,IFERROR(LOOKUP(2,1/(Trigo!$E84:INDEX(Trigo!$E84:$Z84,MIN(S$6-$E$3,22))&lt;&gt;""),Trigo!$E84:INDEX(Trigo!$E84:$Z84,MIN(S$6-$E$3,22))),0))-IF($G$2,0,IF((S$6-$G$3)&lt;1,0,IFERROR(LOOKUP(2,1/(Trigo!$E84:INDEX(Trigo!$E84:$Z84,MIN(S$6-$G$3,22))&lt;&gt;""),Trigo!$E84:INDEX(Trigo!$E84:$Z84,MIN(S$6-$G$3,22))),0)))))</f>
        <v>0</v>
      </c>
      <c r="T86" s="27" t="n">
        <f aca="false">IF(COUNT(Trigo!$E84:$Z84)=0,0,MAX(0,IF((T$6-$E$3)&lt;1,0,IFERROR(LOOKUP(2,1/(Trigo!$E84:INDEX(Trigo!$E84:$Z84,MIN(T$6-$E$3,22))&lt;&gt;""),Trigo!$E84:INDEX(Trigo!$E84:$Z84,MIN(T$6-$E$3,22))),0))-IF($G$2,0,IF((T$6-$G$3)&lt;1,0,IFERROR(LOOKUP(2,1/(Trigo!$E84:INDEX(Trigo!$E84:$Z84,MIN(T$6-$G$3,22))&lt;&gt;""),Trigo!$E84:INDEX(Trigo!$E84:$Z84,MIN(T$6-$G$3,22))),0)))))</f>
        <v>0</v>
      </c>
      <c r="U86" s="27" t="n">
        <f aca="false">IF(COUNT(Trigo!$E84:$Z84)=0,0,MAX(0,IF((U$6-$E$3)&lt;1,0,IFERROR(LOOKUP(2,1/(Trigo!$E84:INDEX(Trigo!$E84:$Z84,MIN(U$6-$E$3,22))&lt;&gt;""),Trigo!$E84:INDEX(Trigo!$E84:$Z84,MIN(U$6-$E$3,22))),0))-IF($G$2,0,IF((U$6-$G$3)&lt;1,0,IFERROR(LOOKUP(2,1/(Trigo!$E84:INDEX(Trigo!$E84:$Z84,MIN(U$6-$G$3,22))&lt;&gt;""),Trigo!$E84:INDEX(Trigo!$E84:$Z84,MIN(U$6-$G$3,22))),0)))))</f>
        <v>0</v>
      </c>
      <c r="V86" s="27" t="n">
        <f aca="false">IF(COUNT(Trigo!$E84:$Z84)=0,0,MAX(0,IF((V$6-$E$3)&lt;1,0,IFERROR(LOOKUP(2,1/(Trigo!$E84:INDEX(Trigo!$E84:$Z84,MIN(V$6-$E$3,22))&lt;&gt;""),Trigo!$E84:INDEX(Trigo!$E84:$Z84,MIN(V$6-$E$3,22))),0))-IF($G$2,0,IF((V$6-$G$3)&lt;1,0,IFERROR(LOOKUP(2,1/(Trigo!$E84:INDEX(Trigo!$E84:$Z84,MIN(V$6-$G$3,22))&lt;&gt;""),Trigo!$E84:INDEX(Trigo!$E84:$Z84,MIN(V$6-$G$3,22))),0)))))</f>
        <v>0</v>
      </c>
      <c r="W86" s="27" t="n">
        <f aca="false">IF(COUNT(Trigo!$E84:$Z84)=0,0,MAX(0,IF((W$6-$E$3)&lt;1,0,IFERROR(LOOKUP(2,1/(Trigo!$E84:INDEX(Trigo!$E84:$Z84,MIN(W$6-$E$3,22))&lt;&gt;""),Trigo!$E84:INDEX(Trigo!$E84:$Z84,MIN(W$6-$E$3,22))),0))-IF($G$2,0,IF((W$6-$G$3)&lt;1,0,IFERROR(LOOKUP(2,1/(Trigo!$E84:INDEX(Trigo!$E84:$Z84,MIN(W$6-$G$3,22))&lt;&gt;""),Trigo!$E84:INDEX(Trigo!$E84:$Z84,MIN(W$6-$G$3,22))),0)))))</f>
        <v>0</v>
      </c>
      <c r="X86" s="27" t="n">
        <f aca="false">IF(COUNT(Trigo!$E84:$Z84)=0,0,MAX(0,IF((X$6-$E$3)&lt;1,0,IFERROR(LOOKUP(2,1/(Trigo!$E84:INDEX(Trigo!$E84:$Z84,MIN(X$6-$E$3,22))&lt;&gt;""),Trigo!$E84:INDEX(Trigo!$E84:$Z84,MIN(X$6-$E$3,22))),0))-IF($G$2,0,IF((X$6-$G$3)&lt;1,0,IFERROR(LOOKUP(2,1/(Trigo!$E84:INDEX(Trigo!$E84:$Z84,MIN(X$6-$G$3,22))&lt;&gt;""),Trigo!$E84:INDEX(Trigo!$E84:$Z84,MIN(X$6-$G$3,22))),0)))))</f>
        <v>0</v>
      </c>
      <c r="Y86" s="27" t="n">
        <f aca="false">IF(COUNT(Trigo!$E84:$Z84)=0,0,MAX(0,IF((Y$6-$E$3)&lt;1,0,IFERROR(LOOKUP(2,1/(Trigo!$E84:INDEX(Trigo!$E84:$Z84,MIN(Y$6-$E$3,22))&lt;&gt;""),Trigo!$E84:INDEX(Trigo!$E84:$Z84,MIN(Y$6-$E$3,22))),0))-IF($G$2,0,IF((Y$6-$G$3)&lt;1,0,IFERROR(LOOKUP(2,1/(Trigo!$E84:INDEX(Trigo!$E84:$Z84,MIN(Y$6-$G$3,22))&lt;&gt;""),Trigo!$E84:INDEX(Trigo!$E84:$Z84,MIN(Y$6-$G$3,22))),0)))))</f>
        <v>0</v>
      </c>
      <c r="Z86" s="27" t="n">
        <f aca="false">IF(COUNT(Trigo!$E84:$Z84)=0,0,MAX(0,IF((Z$6-$E$3)&lt;1,0,IFERROR(LOOKUP(2,1/(Trigo!$E84:INDEX(Trigo!$E84:$Z84,MIN(Z$6-$E$3,22))&lt;&gt;""),Trigo!$E84:INDEX(Trigo!$E84:$Z84,MIN(Z$6-$E$3,22))),0))-IF($G$2,0,IF((Z$6-$G$3)&lt;1,0,IFERROR(LOOKUP(2,1/(Trigo!$E84:INDEX(Trigo!$E84:$Z84,MIN(Z$6-$G$3,22))&lt;&gt;""),Trigo!$E84:INDEX(Trigo!$E84:$Z84,MIN(Z$6-$G$3,22))),0)))))</f>
        <v>0</v>
      </c>
      <c r="AA86" s="27" t="n">
        <f aca="false">IF(COUNT(Trigo!$E84:$Z84)=0,0,MAX(0,IF((AA$6-$E$3)&lt;1,0,IFERROR(LOOKUP(2,1/(Trigo!$E84:INDEX(Trigo!$E84:$Z84,MIN(AA$6-$E$3,22))&lt;&gt;""),Trigo!$E84:INDEX(Trigo!$E84:$Z84,MIN(AA$6-$E$3,22))),0))-IF($G$2,0,IF((AA$6-$G$3)&lt;1,0,IFERROR(LOOKUP(2,1/(Trigo!$E84:INDEX(Trigo!$E84:$Z84,MIN(AA$6-$G$3,22))&lt;&gt;""),Trigo!$E84:INDEX(Trigo!$E84:$Z84,MIN(AA$6-$G$3,22))),0)))))</f>
        <v>0</v>
      </c>
      <c r="AB86" s="27" t="n">
        <f aca="false">IF(COUNT(Trigo!$E84:$Z84)=0,0,MAX(0,IF((AB$6-$E$3)&lt;1,0,IFERROR(LOOKUP(2,1/(Trigo!$E84:INDEX(Trigo!$E84:$Z84,MIN(AB$6-$E$3,22))&lt;&gt;""),Trigo!$E84:INDEX(Trigo!$E84:$Z84,MIN(AB$6-$E$3,22))),0))-IF($G$2,0,IF((AB$6-$G$3)&lt;1,0,IFERROR(LOOKUP(2,1/(Trigo!$E84:INDEX(Trigo!$E84:$Z84,MIN(AB$6-$G$3,22))&lt;&gt;""),Trigo!$E84:INDEX(Trigo!$E84:$Z84,MIN(AB$6-$G$3,22))),0)))))</f>
        <v>0</v>
      </c>
      <c r="AC86" s="27" t="n">
        <f aca="false">IF(COUNT(Trigo!$E84:$Z84)=0,0,MAX(0,IF((AC$6-$E$3)&lt;1,0,IFERROR(LOOKUP(2,1/(Trigo!$E84:INDEX(Trigo!$E84:$Z84,MIN(AC$6-$E$3,22))&lt;&gt;""),Trigo!$E84:INDEX(Trigo!$E84:$Z84,MIN(AC$6-$E$3,22))),0))-IF($G$2,0,IF((AC$6-$G$3)&lt;1,0,IFERROR(LOOKUP(2,1/(Trigo!$E84:INDEX(Trigo!$E84:$Z84,MIN(AC$6-$G$3,22))&lt;&gt;""),Trigo!$E84:INDEX(Trigo!$E84:$Z84,MIN(AC$6-$G$3,22))),0)))))</f>
        <v>0</v>
      </c>
      <c r="AD86" s="27" t="n">
        <f aca="false">IF(COUNT(Trigo!$E84:$Z84)=0,0,MAX(0,IF((AD$6-$E$3)&lt;1,0,IFERROR(LOOKUP(2,1/(Trigo!$E84:INDEX(Trigo!$E84:$Z84,MIN(AD$6-$E$3,22))&lt;&gt;""),Trigo!$E84:INDEX(Trigo!$E84:$Z84,MIN(AD$6-$E$3,22))),0))-IF($G$2,0,IF((AD$6-$G$3)&lt;1,0,IFERROR(LOOKUP(2,1/(Trigo!$E84:INDEX(Trigo!$E84:$Z84,MIN(AD$6-$G$3,22))&lt;&gt;""),Trigo!$E84:INDEX(Trigo!$E84:$Z84,MIN(AD$6-$G$3,22))),0)))))</f>
        <v>0</v>
      </c>
      <c r="AE86" s="27" t="n">
        <f aca="false">IF(COUNT(Trigo!$E84:$Z84)=0,0,MAX(0,IF((AE$6-$E$3)&lt;1,0,IFERROR(LOOKUP(2,1/(Trigo!$E84:INDEX(Trigo!$E84:$Z84,MIN(AE$6-$E$3,22))&lt;&gt;""),Trigo!$E84:INDEX(Trigo!$E84:$Z84,MIN(AE$6-$E$3,22))),0))-IF($G$2,0,IF((AE$6-$G$3)&lt;1,0,IFERROR(LOOKUP(2,1/(Trigo!$E84:INDEX(Trigo!$E84:$Z84,MIN(AE$6-$G$3,22))&lt;&gt;""),Trigo!$E84:INDEX(Trigo!$E84:$Z84,MIN(AE$6-$G$3,22))),0)))))</f>
        <v>0</v>
      </c>
      <c r="AF86" s="27" t="n">
        <f aca="false">IF(COUNT(Trigo!$E84:$Z84)=0,0,MAX(0,IF((AF$6-$E$3)&lt;1,0,IFERROR(LOOKUP(2,1/(Trigo!$E84:INDEX(Trigo!$E84:$Z84,MIN(AF$6-$E$3,22))&lt;&gt;""),Trigo!$E84:INDEX(Trigo!$E84:$Z84,MIN(AF$6-$E$3,22))),0))-IF($G$2,0,IF((AF$6-$G$3)&lt;1,0,IFERROR(LOOKUP(2,1/(Trigo!$E84:INDEX(Trigo!$E84:$Z84,MIN(AF$6-$G$3,22))&lt;&gt;""),Trigo!$E84:INDEX(Trigo!$E84:$Z84,MIN(AF$6-$G$3,22))),0)))))</f>
        <v>0</v>
      </c>
      <c r="AG86" s="27" t="n">
        <f aca="false">IF(COUNT(Trigo!$E84:$Z84)=0,0,MAX(0,IF((AG$6-$E$3)&lt;1,0,IFERROR(LOOKUP(2,1/(Trigo!$E84:INDEX(Trigo!$E84:$Z84,MIN(AG$6-$E$3,22))&lt;&gt;""),Trigo!$E84:INDEX(Trigo!$E84:$Z84,MIN(AG$6-$E$3,22))),0))-IF($G$2,0,IF((AG$6-$G$3)&lt;1,0,IFERROR(LOOKUP(2,1/(Trigo!$E84:INDEX(Trigo!$E84:$Z84,MIN(AG$6-$G$3,22))&lt;&gt;""),Trigo!$E84:INDEX(Trigo!$E84:$Z84,MIN(AG$6-$G$3,22))),0)))))</f>
        <v>0</v>
      </c>
      <c r="AH86" s="27" t="n">
        <f aca="false">IF(COUNT(Trigo!$E84:$Z84)=0,0,MAX(0,IF((AH$6-$E$3)&lt;1,0,IFERROR(LOOKUP(2,1/(Trigo!$E84:INDEX(Trigo!$E84:$Z84,MIN(AH$6-$E$3,22))&lt;&gt;""),Trigo!$E84:INDEX(Trigo!$E84:$Z84,MIN(AH$6-$E$3,22))),0))-IF($G$2,0,IF((AH$6-$G$3)&lt;1,0,IFERROR(LOOKUP(2,1/(Trigo!$E84:INDEX(Trigo!$E84:$Z84,MIN(AH$6-$G$3,22))&lt;&gt;""),Trigo!$E84:INDEX(Trigo!$E84:$Z84,MIN(AH$6-$G$3,22))),0)))))</f>
        <v>0</v>
      </c>
      <c r="AI86" s="27" t="n">
        <f aca="false">IF(COUNT(Trigo!$E84:$Z84)=0,0,MAX(0,IF((AI$6-$E$3)&lt;1,0,IFERROR(LOOKUP(2,1/(Trigo!$E84:INDEX(Trigo!$E84:$Z84,MIN(AI$6-$E$3,22))&lt;&gt;""),Trigo!$E84:INDEX(Trigo!$E84:$Z84,MIN(AI$6-$E$3,22))),0))-IF($G$2,0,IF((AI$6-$G$3)&lt;1,0,IFERROR(LOOKUP(2,1/(Trigo!$E84:INDEX(Trigo!$E84:$Z84,MIN(AI$6-$G$3,22))&lt;&gt;""),Trigo!$E84:INDEX(Trigo!$E84:$Z84,MIN(AI$6-$G$3,22))),0)))))</f>
        <v>0</v>
      </c>
      <c r="AJ86" s="27" t="n">
        <f aca="false">IF(COUNT(Trigo!$E84:$Z84)=0,0,MAX(0,IF((AJ$6-$E$3)&lt;1,0,IFERROR(LOOKUP(2,1/(Trigo!$E84:INDEX(Trigo!$E84:$Z84,MIN(AJ$6-$E$3,22))&lt;&gt;""),Trigo!$E84:INDEX(Trigo!$E84:$Z84,MIN(AJ$6-$E$3,22))),0))-IF($G$2,0,IF((AJ$6-$G$3)&lt;1,0,IFERROR(LOOKUP(2,1/(Trigo!$E84:INDEX(Trigo!$E84:$Z84,MIN(AJ$6-$G$3,22))&lt;&gt;""),Trigo!$E84:INDEX(Trigo!$E84:$Z84,MIN(AJ$6-$G$3,22))),0)))))</f>
        <v>0</v>
      </c>
      <c r="AK86" s="27" t="n">
        <f aca="false">IF(COUNT(Trigo!$E84:$Z84)=0,0,MAX(0,IF((AK$6-$E$3)&lt;1,0,IFERROR(LOOKUP(2,1/(Trigo!$E84:INDEX(Trigo!$E84:$Z84,MIN(AK$6-$E$3,22))&lt;&gt;""),Trigo!$E84:INDEX(Trigo!$E84:$Z84,MIN(AK$6-$E$3,22))),0))-IF($G$2,0,IF((AK$6-$G$3)&lt;1,0,IFERROR(LOOKUP(2,1/(Trigo!$E84:INDEX(Trigo!$E84:$Z84,MIN(AK$6-$G$3,22))&lt;&gt;""),Trigo!$E84:INDEX(Trigo!$E84:$Z84,MIN(AK$6-$G$3,22))),0)))))</f>
        <v>0</v>
      </c>
      <c r="AL86" s="27" t="n">
        <f aca="false">IF(COUNT(Trigo!$E84:$Z84)=0,0,MAX(0,IF((AL$6-$E$3)&lt;1,0,IFERROR(LOOKUP(2,1/(Trigo!$E84:INDEX(Trigo!$E84:$Z84,MIN(AL$6-$E$3,22))&lt;&gt;""),Trigo!$E84:INDEX(Trigo!$E84:$Z84,MIN(AL$6-$E$3,22))),0))-IF($G$2,0,IF((AL$6-$G$3)&lt;1,0,IFERROR(LOOKUP(2,1/(Trigo!$E84:INDEX(Trigo!$E84:$Z84,MIN(AL$6-$G$3,22))&lt;&gt;""),Trigo!$E84:INDEX(Trigo!$E84:$Z84,MIN(AL$6-$G$3,22))),0)))))</f>
        <v>0</v>
      </c>
      <c r="AM86" s="27" t="n">
        <f aca="false">IF(COUNT(Trigo!$E84:$Z84)=0,0,MAX(0,IF((AM$6-$E$3)&lt;1,0,IFERROR(LOOKUP(2,1/(Trigo!$E84:INDEX(Trigo!$E84:$Z84,MIN(AM$6-$E$3,22))&lt;&gt;""),Trigo!$E84:INDEX(Trigo!$E84:$Z84,MIN(AM$6-$E$3,22))),0))-IF($G$2,0,IF((AM$6-$G$3)&lt;1,0,IFERROR(LOOKUP(2,1/(Trigo!$E84:INDEX(Trigo!$E84:$Z84,MIN(AM$6-$G$3,22))&lt;&gt;""),Trigo!$E84:INDEX(Trigo!$E84:$Z84,MIN(AM$6-$G$3,22))),0)))))</f>
        <v>0</v>
      </c>
      <c r="AN86" s="27" t="n">
        <f aca="false">IF(COUNT(Trigo!$E84:$Z84)=0,0,MAX(0,IF((AN$6-$E$3)&lt;1,0,IFERROR(LOOKUP(2,1/(Trigo!$E84:INDEX(Trigo!$E84:$Z84,MIN(AN$6-$E$3,22))&lt;&gt;""),Trigo!$E84:INDEX(Trigo!$E84:$Z84,MIN(AN$6-$E$3,22))),0))-IF($G$2,0,IF((AN$6-$G$3)&lt;1,0,IFERROR(LOOKUP(2,1/(Trigo!$E84:INDEX(Trigo!$E84:$Z84,MIN(AN$6-$G$3,22))&lt;&gt;""),Trigo!$E84:INDEX(Trigo!$E84:$Z84,MIN(AN$6-$G$3,22))),0)))))</f>
        <v>0</v>
      </c>
      <c r="AO86" s="27" t="n">
        <f aca="false">IF(COUNT(Trigo!$E84:$Z84)=0,0,MAX(0,IF((AO$6-$E$3)&lt;1,0,IFERROR(LOOKUP(2,1/(Trigo!$E84:INDEX(Trigo!$E84:$Z84,MIN(AO$6-$E$3,22))&lt;&gt;""),Trigo!$E84:INDEX(Trigo!$E84:$Z84,MIN(AO$6-$E$3,22))),0))-IF($G$2,0,IF((AO$6-$G$3)&lt;1,0,IFERROR(LOOKUP(2,1/(Trigo!$E84:INDEX(Trigo!$E84:$Z84,MIN(AO$6-$G$3,22))&lt;&gt;""),Trigo!$E84:INDEX(Trigo!$E84:$Z84,MIN(AO$6-$G$3,22))),0)))))</f>
        <v>0</v>
      </c>
      <c r="AP86" s="27" t="n">
        <f aca="false">IF(COUNT(Trigo!$E84:$Z84)=0,0,MAX(0,IF((AP$6-$E$3)&lt;1,0,IFERROR(LOOKUP(2,1/(Trigo!$E84:INDEX(Trigo!$E84:$Z84,MIN(AP$6-$E$3,22))&lt;&gt;""),Trigo!$E84:INDEX(Trigo!$E84:$Z84,MIN(AP$6-$E$3,22))),0))-IF($G$2,0,IF((AP$6-$G$3)&lt;1,0,IFERROR(LOOKUP(2,1/(Trigo!$E84:INDEX(Trigo!$E84:$Z84,MIN(AP$6-$G$3,22))&lt;&gt;""),Trigo!$E84:INDEX(Trigo!$E84:$Z84,MIN(AP$6-$G$3,22))),0)))))</f>
        <v>0</v>
      </c>
      <c r="AQ86" s="27" t="n">
        <f aca="false">IF(COUNT(Trigo!$E84:$Z84)=0,0,MAX(0,IF((AQ$6-$E$3)&lt;1,0,IFERROR(LOOKUP(2,1/(Trigo!$E84:INDEX(Trigo!$E84:$Z84,MIN(AQ$6-$E$3,22))&lt;&gt;""),Trigo!$E84:INDEX(Trigo!$E84:$Z84,MIN(AQ$6-$E$3,22))),0))-IF($G$2,0,IF((AQ$6-$G$3)&lt;1,0,IFERROR(LOOKUP(2,1/(Trigo!$E84:INDEX(Trigo!$E84:$Z84,MIN(AQ$6-$G$3,22))&lt;&gt;""),Trigo!$E84:INDEX(Trigo!$E84:$Z84,MIN(AQ$6-$G$3,22))),0)))))</f>
        <v>0</v>
      </c>
      <c r="AR86" s="27" t="n">
        <f aca="false">IF(COUNT(Trigo!$E84:$Z84)=0,0,MAX(0,IF((AR$6-$E$3)&lt;1,0,IFERROR(LOOKUP(2,1/(Trigo!$E84:INDEX(Trigo!$E84:$Z84,MIN(AR$6-$E$3,22))&lt;&gt;""),Trigo!$E84:INDEX(Trigo!$E84:$Z84,MIN(AR$6-$E$3,22))),0))-IF($G$2,0,IF((AR$6-$G$3)&lt;1,0,IFERROR(LOOKUP(2,1/(Trigo!$E84:INDEX(Trigo!$E84:$Z84,MIN(AR$6-$G$3,22))&lt;&gt;""),Trigo!$E84:INDEX(Trigo!$E84:$Z84,MIN(AR$6-$G$3,22))),0)))))</f>
        <v>0</v>
      </c>
      <c r="AS86" s="27" t="n">
        <f aca="false">IF(COUNT(Trigo!$E84:$Z84)=0,0,MAX(0,IF((AS$6-$E$3)&lt;1,0,IFERROR(LOOKUP(2,1/(Trigo!$E84:INDEX(Trigo!$E84:$Z84,MIN(AS$6-$E$3,22))&lt;&gt;""),Trigo!$E84:INDEX(Trigo!$E84:$Z84,MIN(AS$6-$E$3,22))),0))-IF($G$2,0,IF((AS$6-$G$3)&lt;1,0,IFERROR(LOOKUP(2,1/(Trigo!$E84:INDEX(Trigo!$E84:$Z84,MIN(AS$6-$G$3,22))&lt;&gt;""),Trigo!$E84:INDEX(Trigo!$E84:$Z84,MIN(AS$6-$G$3,22))),0)))))</f>
        <v>0</v>
      </c>
      <c r="AT86" s="27" t="n">
        <f aca="false">IF(COUNT(Trigo!$E84:$Z84)=0,0,MAX(0,IF((AT$6-$E$3)&lt;1,0,IFERROR(LOOKUP(2,1/(Trigo!$E84:INDEX(Trigo!$E84:$Z84,MIN(AT$6-$E$3,22))&lt;&gt;""),Trigo!$E84:INDEX(Trigo!$E84:$Z84,MIN(AT$6-$E$3,22))),0))-IF($G$2,0,IF((AT$6-$G$3)&lt;1,0,IFERROR(LOOKUP(2,1/(Trigo!$E84:INDEX(Trigo!$E84:$Z84,MIN(AT$6-$G$3,22))&lt;&gt;""),Trigo!$E84:INDEX(Trigo!$E84:$Z84,MIN(AT$6-$G$3,22))),0)))))</f>
        <v>0</v>
      </c>
      <c r="AU86" s="27" t="n">
        <f aca="false">IF(COUNT(Trigo!$E84:$Z84)=0,0,MAX(0,IF((AU$6-$E$3)&lt;1,0,IFERROR(LOOKUP(2,1/(Trigo!$E84:INDEX(Trigo!$E84:$Z84,MIN(AU$6-$E$3,22))&lt;&gt;""),Trigo!$E84:INDEX(Trigo!$E84:$Z84,MIN(AU$6-$E$3,22))),0))-IF($G$2,0,IF((AU$6-$G$3)&lt;1,0,IFERROR(LOOKUP(2,1/(Trigo!$E84:INDEX(Trigo!$E84:$Z84,MIN(AU$6-$G$3,22))&lt;&gt;""),Trigo!$E84:INDEX(Trigo!$E84:$Z84,MIN(AU$6-$G$3,22))),0)))))</f>
        <v>0</v>
      </c>
      <c r="AV86" s="27" t="n">
        <f aca="false">IF(COUNT(Trigo!$E84:$Z84)=0,0,MAX(0,IF((AV$6-$E$3)&lt;1,0,IFERROR(LOOKUP(2,1/(Trigo!$E84:INDEX(Trigo!$E84:$Z84,MIN(AV$6-$E$3,22))&lt;&gt;""),Trigo!$E84:INDEX(Trigo!$E84:$Z84,MIN(AV$6-$E$3,22))),0))-IF($G$2,0,IF((AV$6-$G$3)&lt;1,0,IFERROR(LOOKUP(2,1/(Trigo!$E84:INDEX(Trigo!$E84:$Z84,MIN(AV$6-$G$3,22))&lt;&gt;""),Trigo!$E84:INDEX(Trigo!$E84:$Z84,MIN(AV$6-$G$3,22))),0)))))</f>
        <v>0</v>
      </c>
      <c r="AW86" s="27" t="n">
        <f aca="false">IF(COUNT(Trigo!$E84:$Z84)=0,0,MAX(0,IF((AW$6-$E$3)&lt;1,0,IFERROR(LOOKUP(2,1/(Trigo!$E84:INDEX(Trigo!$E84:$Z84,MIN(AW$6-$E$3,22))&lt;&gt;""),Trigo!$E84:INDEX(Trigo!$E84:$Z84,MIN(AW$6-$E$3,22))),0))-IF($G$2,0,IF((AW$6-$G$3)&lt;1,0,IFERROR(LOOKUP(2,1/(Trigo!$E84:INDEX(Trigo!$E84:$Z84,MIN(AW$6-$G$3,22))&lt;&gt;""),Trigo!$E84:INDEX(Trigo!$E84:$Z84,MIN(AW$6-$G$3,22))),0)))))</f>
        <v>0</v>
      </c>
      <c r="AX86" s="27" t="n">
        <f aca="false">IF(COUNT(Trigo!$E84:$Z84)=0,0,MAX(0,IF((AX$6-$E$3)&lt;1,0,IFERROR(LOOKUP(2,1/(Trigo!$E84:INDEX(Trigo!$E84:$Z84,MIN(AX$6-$E$3,22))&lt;&gt;""),Trigo!$E84:INDEX(Trigo!$E84:$Z84,MIN(AX$6-$E$3,22))),0))-IF($G$2,0,IF((AX$6-$G$3)&lt;1,0,IFERROR(LOOKUP(2,1/(Trigo!$E84:INDEX(Trigo!$E84:$Z84,MIN(AX$6-$G$3,22))&lt;&gt;""),Trigo!$E84:INDEX(Trigo!$E84:$Z84,MIN(AX$6-$G$3,22))),0)))))</f>
        <v>0</v>
      </c>
      <c r="AY86" s="27" t="n">
        <f aca="false">IF(COUNT(Trigo!$E84:$Z84)=0,0,MAX(0,IF((AY$6-$E$3)&lt;1,0,IFERROR(LOOKUP(2,1/(Trigo!$E84:INDEX(Trigo!$E84:$Z84,MIN(AY$6-$E$3,22))&lt;&gt;""),Trigo!$E84:INDEX(Trigo!$E84:$Z84,MIN(AY$6-$E$3,22))),0))-IF($G$2,0,IF((AY$6-$G$3)&lt;1,0,IFERROR(LOOKUP(2,1/(Trigo!$E84:INDEX(Trigo!$E84:$Z84,MIN(AY$6-$G$3,22))&lt;&gt;""),Trigo!$E84:INDEX(Trigo!$E84:$Z84,MIN(AY$6-$G$3,22))),0)))))</f>
        <v>0</v>
      </c>
      <c r="AZ86" s="27" t="n">
        <f aca="false">IF(COUNT(Trigo!$E84:$Z84)=0,0,MAX(0,IF((AZ$6-$E$3)&lt;1,0,IFERROR(LOOKUP(2,1/(Trigo!$E84:INDEX(Trigo!$E84:$Z84,MIN(AZ$6-$E$3,22))&lt;&gt;""),Trigo!$E84:INDEX(Trigo!$E84:$Z84,MIN(AZ$6-$E$3,22))),0))-IF($G$2,0,IF((AZ$6-$G$3)&lt;1,0,IFERROR(LOOKUP(2,1/(Trigo!$E84:INDEX(Trigo!$E84:$Z84,MIN(AZ$6-$G$3,22))&lt;&gt;""),Trigo!$E84:INDEX(Trigo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Parâmetros!$C$68:$C$75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26" min="5" style="0" width="7"/>
  </cols>
  <sheetData>
    <row r="1" customFormat="false" ht="16.15" hidden="false" customHeight="false" outlineLevel="0" collapsed="false">
      <c r="A1" s="7" t="s">
        <v>318</v>
      </c>
    </row>
    <row r="2" customFormat="false" ht="15" hidden="false" customHeight="false" outlineLevel="0" collapsed="false">
      <c r="A2" s="10" t="s">
        <v>102</v>
      </c>
    </row>
    <row r="3" customFormat="false" ht="15" hidden="false" customHeight="false" outlineLevel="0" collapsed="false">
      <c r="A3" s="13" t="s">
        <v>103</v>
      </c>
      <c r="B3" s="14" t="n">
        <f aca="false">Parâmetros!$J$14</f>
        <v>46473</v>
      </c>
    </row>
    <row r="4" customFormat="false" ht="15" hidden="false" customHeight="false" outlineLevel="0" collapsed="false"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</row>
    <row r="5" customFormat="false" ht="30" hidden="false" customHeight="true" outlineLevel="0" collapsed="false">
      <c r="A5" s="16" t="s">
        <v>126</v>
      </c>
      <c r="B5" s="16" t="s">
        <v>127</v>
      </c>
      <c r="C5" s="16" t="s">
        <v>128</v>
      </c>
      <c r="D5" s="16" t="s">
        <v>129</v>
      </c>
      <c r="E5" s="17" t="n">
        <f aca="false">$B$3+0</f>
        <v>46473</v>
      </c>
      <c r="F5" s="17" t="n">
        <f aca="false">$B$3+7</f>
        <v>46480</v>
      </c>
      <c r="G5" s="17" t="n">
        <f aca="false">$B$3+14</f>
        <v>46487</v>
      </c>
      <c r="H5" s="17" t="n">
        <f aca="false">$B$3+21</f>
        <v>46494</v>
      </c>
      <c r="I5" s="17" t="n">
        <f aca="false">$B$3+28</f>
        <v>46501</v>
      </c>
      <c r="J5" s="17" t="n">
        <f aca="false">$B$3+35</f>
        <v>46508</v>
      </c>
      <c r="K5" s="17" t="n">
        <f aca="false">$B$3+42</f>
        <v>46515</v>
      </c>
      <c r="L5" s="17" t="n">
        <f aca="false">$B$3+49</f>
        <v>46522</v>
      </c>
      <c r="M5" s="17" t="n">
        <f aca="false">$B$3+56</f>
        <v>46529</v>
      </c>
      <c r="N5" s="17" t="n">
        <f aca="false">$B$3+63</f>
        <v>46536</v>
      </c>
      <c r="O5" s="17" t="n">
        <f aca="false">$B$3+70</f>
        <v>46543</v>
      </c>
      <c r="P5" s="17" t="n">
        <f aca="false">$B$3+77</f>
        <v>46550</v>
      </c>
      <c r="Q5" s="17" t="n">
        <f aca="false">$B$3+84</f>
        <v>46557</v>
      </c>
      <c r="R5" s="17" t="n">
        <f aca="false">$B$3+91</f>
        <v>46564</v>
      </c>
      <c r="S5" s="17" t="n">
        <f aca="false">$B$3+98</f>
        <v>46571</v>
      </c>
      <c r="T5" s="17" t="n">
        <f aca="false">$B$3+105</f>
        <v>46578</v>
      </c>
      <c r="U5" s="17" t="n">
        <f aca="false">$B$3+112</f>
        <v>46585</v>
      </c>
      <c r="V5" s="17" t="n">
        <f aca="false">$B$3+119</f>
        <v>46592</v>
      </c>
      <c r="W5" s="17" t="n">
        <f aca="false">$B$3+126</f>
        <v>46599</v>
      </c>
      <c r="X5" s="17" t="n">
        <f aca="false">$B$3+133</f>
        <v>46606</v>
      </c>
      <c r="Y5" s="17" t="n">
        <f aca="false">$B$3+140</f>
        <v>46613</v>
      </c>
      <c r="Z5" s="17" t="n">
        <f aca="false">$B$3+147</f>
        <v>46620</v>
      </c>
    </row>
    <row r="6" customFormat="false" ht="15" hidden="false" customHeight="false" outlineLevel="0" collapsed="false">
      <c r="A6" s="3" t="s">
        <v>130</v>
      </c>
      <c r="B6" s="3" t="s">
        <v>131</v>
      </c>
      <c r="C6" s="10" t="s">
        <v>132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" hidden="false" customHeight="false" outlineLevel="0" collapsed="false">
      <c r="A7" s="3" t="s">
        <v>133</v>
      </c>
      <c r="B7" s="3" t="s">
        <v>134</v>
      </c>
      <c r="C7" s="10" t="s">
        <v>134</v>
      </c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5" hidden="false" customHeight="false" outlineLevel="0" collapsed="false">
      <c r="A8" s="3" t="s">
        <v>135</v>
      </c>
      <c r="B8" s="3" t="s">
        <v>136</v>
      </c>
      <c r="C8" s="10" t="s">
        <v>137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5" hidden="false" customHeight="false" outlineLevel="0" collapsed="false">
      <c r="A9" s="3" t="s">
        <v>138</v>
      </c>
      <c r="B9" s="3" t="s">
        <v>139</v>
      </c>
      <c r="C9" s="10" t="s">
        <v>140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5" hidden="false" customHeight="false" outlineLevel="0" collapsed="false">
      <c r="A10" s="3" t="s">
        <v>141</v>
      </c>
      <c r="B10" s="3" t="s">
        <v>142</v>
      </c>
      <c r="C10" s="10" t="s">
        <v>140</v>
      </c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5" hidden="false" customHeight="false" outlineLevel="0" collapsed="false">
      <c r="A11" s="3" t="s">
        <v>143</v>
      </c>
      <c r="B11" s="3" t="s">
        <v>144</v>
      </c>
      <c r="C11" s="10" t="s">
        <v>145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5" hidden="false" customHeight="false" outlineLevel="0" collapsed="false">
      <c r="A12" s="3" t="s">
        <v>146</v>
      </c>
      <c r="B12" s="3" t="s">
        <v>147</v>
      </c>
      <c r="C12" s="10" t="s">
        <v>148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5" hidden="false" customHeight="false" outlineLevel="0" collapsed="false">
      <c r="A13" s="3" t="s">
        <v>149</v>
      </c>
      <c r="B13" s="3" t="s">
        <v>150</v>
      </c>
      <c r="C13" s="10" t="s">
        <v>137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5" hidden="false" customHeight="false" outlineLevel="0" collapsed="false">
      <c r="A14" s="3" t="s">
        <v>151</v>
      </c>
      <c r="B14" s="3" t="s">
        <v>152</v>
      </c>
      <c r="C14" s="10" t="s">
        <v>145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5" hidden="false" customHeight="false" outlineLevel="0" collapsed="false">
      <c r="A15" s="3" t="s">
        <v>153</v>
      </c>
      <c r="B15" s="3" t="s">
        <v>154</v>
      </c>
      <c r="C15" s="10" t="s">
        <v>155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5" hidden="false" customHeight="false" outlineLevel="0" collapsed="false">
      <c r="A16" s="3" t="s">
        <v>156</v>
      </c>
      <c r="B16" s="3" t="s">
        <v>157</v>
      </c>
      <c r="C16" s="10" t="s">
        <v>158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5" hidden="false" customHeight="false" outlineLevel="0" collapsed="false">
      <c r="A17" s="3" t="s">
        <v>159</v>
      </c>
      <c r="B17" s="3" t="s">
        <v>160</v>
      </c>
      <c r="C17" s="10" t="s">
        <v>140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5" hidden="false" customHeight="false" outlineLevel="0" collapsed="false">
      <c r="A18" s="3" t="s">
        <v>161</v>
      </c>
      <c r="B18" s="3" t="s">
        <v>162</v>
      </c>
      <c r="C18" s="10" t="s">
        <v>163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5" hidden="false" customHeight="false" outlineLevel="0" collapsed="false">
      <c r="A19" s="3" t="s">
        <v>164</v>
      </c>
      <c r="B19" s="3" t="s">
        <v>165</v>
      </c>
      <c r="C19" s="10" t="s">
        <v>137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5" hidden="false" customHeight="false" outlineLevel="0" collapsed="false">
      <c r="A20" s="3" t="s">
        <v>166</v>
      </c>
      <c r="B20" s="3" t="s">
        <v>167</v>
      </c>
      <c r="C20" s="10" t="s">
        <v>163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5" hidden="false" customHeight="false" outlineLevel="0" collapsed="false">
      <c r="A21" s="3" t="s">
        <v>168</v>
      </c>
      <c r="B21" s="3" t="s">
        <v>169</v>
      </c>
      <c r="C21" s="10" t="s">
        <v>158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5" hidden="false" customHeight="false" outlineLevel="0" collapsed="false">
      <c r="A22" s="3" t="s">
        <v>170</v>
      </c>
      <c r="B22" s="3" t="s">
        <v>171</v>
      </c>
      <c r="C22" s="10" t="s">
        <v>172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5" hidden="false" customHeight="false" outlineLevel="0" collapsed="false">
      <c r="A23" s="3" t="s">
        <v>173</v>
      </c>
      <c r="B23" s="3" t="s">
        <v>174</v>
      </c>
      <c r="C23" s="10" t="s">
        <v>155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5" hidden="false" customHeight="false" outlineLevel="0" collapsed="false">
      <c r="A24" s="3" t="s">
        <v>175</v>
      </c>
      <c r="B24" s="3" t="s">
        <v>155</v>
      </c>
      <c r="C24" s="10" t="s">
        <v>155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5" hidden="false" customHeight="false" outlineLevel="0" collapsed="false">
      <c r="A25" s="3" t="s">
        <v>176</v>
      </c>
      <c r="B25" s="3" t="s">
        <v>177</v>
      </c>
      <c r="C25" s="10" t="s">
        <v>163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5" hidden="false" customHeight="false" outlineLevel="0" collapsed="false">
      <c r="A26" s="3" t="s">
        <v>178</v>
      </c>
      <c r="B26" s="3" t="s">
        <v>179</v>
      </c>
      <c r="C26" s="10" t="s">
        <v>148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5" hidden="false" customHeight="false" outlineLevel="0" collapsed="false">
      <c r="A27" s="3" t="s">
        <v>180</v>
      </c>
      <c r="B27" s="3" t="s">
        <v>181</v>
      </c>
      <c r="C27" s="10" t="s">
        <v>148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5" hidden="false" customHeight="false" outlineLevel="0" collapsed="false">
      <c r="A28" s="3" t="s">
        <v>182</v>
      </c>
      <c r="B28" s="3" t="s">
        <v>183</v>
      </c>
      <c r="C28" s="10" t="s">
        <v>155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5" hidden="false" customHeight="false" outlineLevel="0" collapsed="false">
      <c r="A29" s="3" t="s">
        <v>184</v>
      </c>
      <c r="B29" s="3" t="s">
        <v>185</v>
      </c>
      <c r="C29" s="10" t="s">
        <v>134</v>
      </c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5" hidden="false" customHeight="false" outlineLevel="0" collapsed="false">
      <c r="A30" s="3" t="s">
        <v>186</v>
      </c>
      <c r="B30" s="3" t="s">
        <v>187</v>
      </c>
      <c r="C30" s="10" t="s">
        <v>187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5" hidden="false" customHeight="false" outlineLevel="0" collapsed="false">
      <c r="A31" s="3" t="s">
        <v>188</v>
      </c>
      <c r="B31" s="3" t="s">
        <v>189</v>
      </c>
      <c r="C31" s="10" t="s">
        <v>132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5" hidden="false" customHeight="false" outlineLevel="0" collapsed="false">
      <c r="A32" s="3" t="s">
        <v>190</v>
      </c>
      <c r="B32" s="3" t="s">
        <v>132</v>
      </c>
      <c r="C32" s="10" t="s">
        <v>132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5" hidden="false" customHeight="false" outlineLevel="0" collapsed="false">
      <c r="A33" s="3" t="s">
        <v>191</v>
      </c>
      <c r="B33" s="3" t="s">
        <v>192</v>
      </c>
      <c r="C33" s="10" t="s">
        <v>172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5" hidden="false" customHeight="false" outlineLevel="0" collapsed="false">
      <c r="A34" s="3" t="s">
        <v>193</v>
      </c>
      <c r="B34" s="3" t="s">
        <v>194</v>
      </c>
      <c r="C34" s="10" t="s">
        <v>155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5" hidden="false" customHeight="false" outlineLevel="0" collapsed="false">
      <c r="A35" s="3" t="s">
        <v>195</v>
      </c>
      <c r="B35" s="3" t="s">
        <v>196</v>
      </c>
      <c r="C35" s="10" t="s">
        <v>172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5" hidden="false" customHeight="false" outlineLevel="0" collapsed="false">
      <c r="A36" s="3" t="s">
        <v>197</v>
      </c>
      <c r="B36" s="3" t="s">
        <v>172</v>
      </c>
      <c r="C36" s="10" t="s">
        <v>172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5" hidden="false" customHeight="false" outlineLevel="0" collapsed="false">
      <c r="A37" s="3" t="s">
        <v>198</v>
      </c>
      <c r="B37" s="3" t="s">
        <v>199</v>
      </c>
      <c r="C37" s="10" t="s">
        <v>200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5" hidden="false" customHeight="false" outlineLevel="0" collapsed="false">
      <c r="A38" s="3" t="s">
        <v>201</v>
      </c>
      <c r="B38" s="3" t="s">
        <v>202</v>
      </c>
      <c r="C38" s="10" t="s">
        <v>132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5" hidden="false" customHeight="false" outlineLevel="0" collapsed="false">
      <c r="A39" s="3" t="s">
        <v>203</v>
      </c>
      <c r="B39" s="3" t="s">
        <v>204</v>
      </c>
      <c r="C39" s="10" t="s">
        <v>172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5" hidden="false" customHeight="false" outlineLevel="0" collapsed="false">
      <c r="A40" s="3" t="s">
        <v>205</v>
      </c>
      <c r="B40" s="3" t="s">
        <v>206</v>
      </c>
      <c r="C40" s="10" t="s">
        <v>172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5" hidden="false" customHeight="false" outlineLevel="0" collapsed="false">
      <c r="A41" s="3" t="s">
        <v>207</v>
      </c>
      <c r="B41" s="3" t="s">
        <v>208</v>
      </c>
      <c r="C41" s="10" t="s">
        <v>163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5" hidden="false" customHeight="false" outlineLevel="0" collapsed="false">
      <c r="A42" s="3" t="s">
        <v>209</v>
      </c>
      <c r="B42" s="3" t="s">
        <v>210</v>
      </c>
      <c r="C42" s="10" t="s">
        <v>200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5" hidden="false" customHeight="false" outlineLevel="0" collapsed="false">
      <c r="A43" s="3" t="s">
        <v>211</v>
      </c>
      <c r="B43" s="3" t="s">
        <v>212</v>
      </c>
      <c r="C43" s="10" t="s">
        <v>148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5" hidden="false" customHeight="false" outlineLevel="0" collapsed="false">
      <c r="A44" s="3" t="s">
        <v>213</v>
      </c>
      <c r="B44" s="3" t="s">
        <v>214</v>
      </c>
      <c r="C44" s="10" t="s">
        <v>172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5" hidden="false" customHeight="false" outlineLevel="0" collapsed="false">
      <c r="A45" s="3" t="s">
        <v>215</v>
      </c>
      <c r="B45" s="3" t="s">
        <v>216</v>
      </c>
      <c r="C45" s="10" t="s">
        <v>200</v>
      </c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5" hidden="false" customHeight="false" outlineLevel="0" collapsed="false">
      <c r="A46" s="3" t="s">
        <v>217</v>
      </c>
      <c r="B46" s="3" t="s">
        <v>218</v>
      </c>
      <c r="C46" s="10" t="s">
        <v>140</v>
      </c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5" hidden="false" customHeight="false" outlineLevel="0" collapsed="false">
      <c r="A47" s="3" t="s">
        <v>219</v>
      </c>
      <c r="B47" s="3" t="s">
        <v>220</v>
      </c>
      <c r="C47" s="10" t="s">
        <v>200</v>
      </c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5" hidden="false" customHeight="false" outlineLevel="0" collapsed="false">
      <c r="A48" s="3" t="s">
        <v>221</v>
      </c>
      <c r="B48" s="3" t="s">
        <v>222</v>
      </c>
      <c r="C48" s="10" t="s">
        <v>155</v>
      </c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5" hidden="false" customHeight="false" outlineLevel="0" collapsed="false">
      <c r="A49" s="3" t="s">
        <v>223</v>
      </c>
      <c r="B49" s="3" t="s">
        <v>163</v>
      </c>
      <c r="C49" s="10" t="s">
        <v>163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5" hidden="false" customHeight="false" outlineLevel="0" collapsed="false">
      <c r="A50" s="3" t="s">
        <v>224</v>
      </c>
      <c r="B50" s="3" t="s">
        <v>225</v>
      </c>
      <c r="C50" s="10" t="s">
        <v>172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5" hidden="false" customHeight="false" outlineLevel="0" collapsed="false">
      <c r="A51" s="3" t="s">
        <v>226</v>
      </c>
      <c r="B51" s="3" t="s">
        <v>227</v>
      </c>
      <c r="C51" s="10" t="s">
        <v>172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5" hidden="false" customHeight="false" outlineLevel="0" collapsed="false">
      <c r="A52" s="3" t="s">
        <v>228</v>
      </c>
      <c r="B52" s="3" t="s">
        <v>229</v>
      </c>
      <c r="C52" s="10" t="s">
        <v>187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5" hidden="false" customHeight="false" outlineLevel="0" collapsed="false">
      <c r="A53" s="3" t="s">
        <v>230</v>
      </c>
      <c r="B53" s="3" t="s">
        <v>231</v>
      </c>
      <c r="C53" s="10" t="s">
        <v>172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5" hidden="false" customHeight="false" outlineLevel="0" collapsed="false">
      <c r="A54" s="3" t="s">
        <v>232</v>
      </c>
      <c r="B54" s="3" t="s">
        <v>233</v>
      </c>
      <c r="C54" s="10" t="s">
        <v>172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5" hidden="false" customHeight="false" outlineLevel="0" collapsed="false">
      <c r="A55" s="3" t="s">
        <v>234</v>
      </c>
      <c r="B55" s="3" t="s">
        <v>235</v>
      </c>
      <c r="C55" s="10" t="s">
        <v>137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5" hidden="false" customHeight="false" outlineLevel="0" collapsed="false">
      <c r="A56" s="3" t="s">
        <v>236</v>
      </c>
      <c r="B56" s="3" t="s">
        <v>237</v>
      </c>
      <c r="C56" s="10" t="s">
        <v>200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5" hidden="false" customHeight="false" outlineLevel="0" collapsed="false">
      <c r="A57" s="3" t="s">
        <v>238</v>
      </c>
      <c r="B57" s="3" t="s">
        <v>239</v>
      </c>
      <c r="C57" s="10" t="s">
        <v>200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5" hidden="false" customHeight="false" outlineLevel="0" collapsed="false">
      <c r="A58" s="3" t="s">
        <v>240</v>
      </c>
      <c r="B58" s="3" t="s">
        <v>241</v>
      </c>
      <c r="C58" s="10" t="s">
        <v>163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5" hidden="false" customHeight="false" outlineLevel="0" collapsed="false">
      <c r="A59" s="3" t="s">
        <v>242</v>
      </c>
      <c r="B59" s="3" t="s">
        <v>243</v>
      </c>
      <c r="C59" s="10" t="s">
        <v>155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5" hidden="false" customHeight="false" outlineLevel="0" collapsed="false">
      <c r="A60" s="3" t="s">
        <v>244</v>
      </c>
      <c r="B60" s="3" t="s">
        <v>140</v>
      </c>
      <c r="C60" s="10" t="s">
        <v>140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5" hidden="false" customHeight="false" outlineLevel="0" collapsed="false">
      <c r="A61" s="3" t="s">
        <v>245</v>
      </c>
      <c r="B61" s="3" t="s">
        <v>246</v>
      </c>
      <c r="C61" s="10" t="s">
        <v>140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5" hidden="false" customHeight="false" outlineLevel="0" collapsed="false">
      <c r="A62" s="3" t="s">
        <v>247</v>
      </c>
      <c r="B62" s="3" t="s">
        <v>248</v>
      </c>
      <c r="C62" s="10" t="s">
        <v>148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5" hidden="false" customHeight="false" outlineLevel="0" collapsed="false">
      <c r="A63" s="3" t="s">
        <v>249</v>
      </c>
      <c r="B63" s="3" t="s">
        <v>250</v>
      </c>
      <c r="C63" s="10" t="s">
        <v>134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5" hidden="false" customHeight="false" outlineLevel="0" collapsed="false">
      <c r="A64" s="3" t="s">
        <v>251</v>
      </c>
      <c r="B64" s="3" t="s">
        <v>252</v>
      </c>
      <c r="C64" s="10" t="s">
        <v>148</v>
      </c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5" hidden="false" customHeight="false" outlineLevel="0" collapsed="false">
      <c r="A65" s="3" t="s">
        <v>253</v>
      </c>
      <c r="B65" s="3" t="s">
        <v>254</v>
      </c>
      <c r="C65" s="10" t="s">
        <v>132</v>
      </c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5" hidden="false" customHeight="false" outlineLevel="0" collapsed="false">
      <c r="A66" s="3" t="s">
        <v>255</v>
      </c>
      <c r="B66" s="3" t="s">
        <v>145</v>
      </c>
      <c r="C66" s="10" t="s">
        <v>145</v>
      </c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5" hidden="false" customHeight="false" outlineLevel="0" collapsed="false">
      <c r="A67" s="3" t="s">
        <v>256</v>
      </c>
      <c r="B67" s="3" t="s">
        <v>257</v>
      </c>
      <c r="C67" s="10" t="s">
        <v>163</v>
      </c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5" hidden="false" customHeight="false" outlineLevel="0" collapsed="false">
      <c r="A68" s="3" t="s">
        <v>258</v>
      </c>
      <c r="B68" s="3" t="s">
        <v>259</v>
      </c>
      <c r="C68" s="10" t="s">
        <v>155</v>
      </c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5" hidden="false" customHeight="false" outlineLevel="0" collapsed="false">
      <c r="A69" s="3" t="s">
        <v>260</v>
      </c>
      <c r="B69" s="3" t="s">
        <v>261</v>
      </c>
      <c r="C69" s="10" t="s">
        <v>172</v>
      </c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5" hidden="false" customHeight="false" outlineLevel="0" collapsed="false">
      <c r="A70" s="3" t="s">
        <v>262</v>
      </c>
      <c r="B70" s="3" t="s">
        <v>263</v>
      </c>
      <c r="C70" s="10" t="s">
        <v>155</v>
      </c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5" hidden="false" customHeight="false" outlineLevel="0" collapsed="false">
      <c r="A71" s="3" t="s">
        <v>264</v>
      </c>
      <c r="B71" s="3" t="s">
        <v>265</v>
      </c>
      <c r="C71" s="10" t="s">
        <v>132</v>
      </c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5" hidden="false" customHeight="false" outlineLevel="0" collapsed="false">
      <c r="A72" s="3" t="s">
        <v>266</v>
      </c>
      <c r="B72" s="3" t="s">
        <v>267</v>
      </c>
      <c r="C72" s="10" t="s">
        <v>155</v>
      </c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5" hidden="false" customHeight="false" outlineLevel="0" collapsed="false">
      <c r="A73" s="3" t="s">
        <v>268</v>
      </c>
      <c r="B73" s="3" t="s">
        <v>269</v>
      </c>
      <c r="C73" s="10" t="s">
        <v>158</v>
      </c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5" hidden="false" customHeight="false" outlineLevel="0" collapsed="false">
      <c r="A74" s="3" t="s">
        <v>270</v>
      </c>
      <c r="B74" s="3" t="s">
        <v>271</v>
      </c>
      <c r="C74" s="10" t="s">
        <v>158</v>
      </c>
      <c r="D74" s="1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5" hidden="false" customHeight="false" outlineLevel="0" collapsed="false">
      <c r="A75" s="3" t="s">
        <v>272</v>
      </c>
      <c r="B75" s="3" t="s">
        <v>273</v>
      </c>
      <c r="C75" s="10" t="s">
        <v>134</v>
      </c>
      <c r="D75" s="1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5" hidden="false" customHeight="false" outlineLevel="0" collapsed="false">
      <c r="A76" s="3" t="s">
        <v>274</v>
      </c>
      <c r="B76" s="3" t="s">
        <v>275</v>
      </c>
      <c r="C76" s="10" t="s">
        <v>155</v>
      </c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5" hidden="false" customHeight="false" outlineLevel="0" collapsed="false">
      <c r="A77" s="3" t="s">
        <v>276</v>
      </c>
      <c r="B77" s="3" t="s">
        <v>277</v>
      </c>
      <c r="C77" s="10" t="s">
        <v>132</v>
      </c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5" hidden="false" customHeight="false" outlineLevel="0" collapsed="false">
      <c r="A78" s="3" t="s">
        <v>278</v>
      </c>
      <c r="B78" s="3" t="s">
        <v>279</v>
      </c>
      <c r="C78" s="10" t="s">
        <v>155</v>
      </c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5" hidden="false" customHeight="false" outlineLevel="0" collapsed="false">
      <c r="A79" s="3" t="s">
        <v>280</v>
      </c>
      <c r="B79" s="3" t="s">
        <v>281</v>
      </c>
      <c r="C79" s="10" t="s">
        <v>134</v>
      </c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5" hidden="false" customHeight="false" outlineLevel="0" collapsed="false">
      <c r="A80" s="3" t="s">
        <v>282</v>
      </c>
      <c r="B80" s="3" t="s">
        <v>283</v>
      </c>
      <c r="C80" s="10" t="s">
        <v>140</v>
      </c>
      <c r="D80" s="1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5" hidden="false" customHeight="false" outlineLevel="0" collapsed="false">
      <c r="A81" s="3" t="s">
        <v>284</v>
      </c>
      <c r="B81" s="3" t="s">
        <v>285</v>
      </c>
      <c r="C81" s="10" t="s">
        <v>155</v>
      </c>
      <c r="D81" s="1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5" hidden="false" customHeight="false" outlineLevel="0" collapsed="false">
      <c r="A82" s="3" t="s">
        <v>286</v>
      </c>
      <c r="B82" s="3" t="s">
        <v>158</v>
      </c>
      <c r="C82" s="10" t="s">
        <v>158</v>
      </c>
      <c r="D82" s="1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5" hidden="false" customHeight="false" outlineLevel="0" collapsed="false">
      <c r="A83" s="3" t="s">
        <v>287</v>
      </c>
      <c r="B83" s="3" t="s">
        <v>288</v>
      </c>
      <c r="C83" s="10" t="s">
        <v>172</v>
      </c>
      <c r="D83" s="1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5" hidden="false" customHeight="false" outlineLevel="0" collapsed="false">
      <c r="A84" s="3" t="s">
        <v>289</v>
      </c>
      <c r="B84" s="3" t="s">
        <v>290</v>
      </c>
      <c r="C84" s="10" t="s">
        <v>158</v>
      </c>
      <c r="D84" s="1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5" hidden="false" customHeight="false" outlineLevel="0" collapsed="false">
      <c r="B85" s="13" t="s">
        <v>291</v>
      </c>
      <c r="E85" s="20" t="str">
        <f aca="false">IFERROR(SUMPRODUCT($D$6:$D$84,E6:E84)/SUMIFS($D$6:$D$84,E6:E84,"&lt;&gt;"),"")</f>
        <v/>
      </c>
      <c r="F85" s="20" t="str">
        <f aca="false">IFERROR(SUMPRODUCT($D$6:$D$84,F6:F84)/SUMIFS($D$6:$D$84,F6:F84,"&lt;&gt;"),"")</f>
        <v/>
      </c>
      <c r="G85" s="20" t="str">
        <f aca="false">IFERROR(SUMPRODUCT($D$6:$D$84,G6:G84)/SUMIFS($D$6:$D$84,G6:G84,"&lt;&gt;"),"")</f>
        <v/>
      </c>
      <c r="H85" s="20" t="str">
        <f aca="false">IFERROR(SUMPRODUCT($D$6:$D$84,H6:H84)/SUMIFS($D$6:$D$84,H6:H84,"&lt;&gt;"),"")</f>
        <v/>
      </c>
      <c r="I85" s="20" t="str">
        <f aca="false">IFERROR(SUMPRODUCT($D$6:$D$84,I6:I84)/SUMIFS($D$6:$D$84,I6:I84,"&lt;&gt;"),"")</f>
        <v/>
      </c>
      <c r="J85" s="20" t="str">
        <f aca="false">IFERROR(SUMPRODUCT($D$6:$D$84,J6:J84)/SUMIFS($D$6:$D$84,J6:J84,"&lt;&gt;"),"")</f>
        <v/>
      </c>
      <c r="K85" s="20" t="str">
        <f aca="false">IFERROR(SUMPRODUCT($D$6:$D$84,K6:K84)/SUMIFS($D$6:$D$84,K6:K84,"&lt;&gt;"),"")</f>
        <v/>
      </c>
      <c r="L85" s="20" t="str">
        <f aca="false">IFERROR(SUMPRODUCT($D$6:$D$84,L6:L84)/SUMIFS($D$6:$D$84,L6:L84,"&lt;&gt;"),"")</f>
        <v/>
      </c>
      <c r="M85" s="20" t="str">
        <f aca="false">IFERROR(SUMPRODUCT($D$6:$D$84,M6:M84)/SUMIFS($D$6:$D$84,M6:M84,"&lt;&gt;"),"")</f>
        <v/>
      </c>
      <c r="N85" s="20" t="str">
        <f aca="false">IFERROR(SUMPRODUCT($D$6:$D$84,N6:N84)/SUMIFS($D$6:$D$84,N6:N84,"&lt;&gt;"),"")</f>
        <v/>
      </c>
      <c r="O85" s="20" t="str">
        <f aca="false">IFERROR(SUMPRODUCT($D$6:$D$84,O6:O84)/SUMIFS($D$6:$D$84,O6:O84,"&lt;&gt;"),"")</f>
        <v/>
      </c>
      <c r="P85" s="20" t="str">
        <f aca="false">IFERROR(SUMPRODUCT($D$6:$D$84,P6:P84)/SUMIFS($D$6:$D$84,P6:P84,"&lt;&gt;"),"")</f>
        <v/>
      </c>
      <c r="Q85" s="20" t="str">
        <f aca="false">IFERROR(SUMPRODUCT($D$6:$D$84,Q6:Q84)/SUMIFS($D$6:$D$84,Q6:Q84,"&lt;&gt;"),"")</f>
        <v/>
      </c>
      <c r="R85" s="20" t="str">
        <f aca="false">IFERROR(SUMPRODUCT($D$6:$D$84,R6:R84)/SUMIFS($D$6:$D$84,R6:R84,"&lt;&gt;"),"")</f>
        <v/>
      </c>
      <c r="S85" s="20" t="str">
        <f aca="false">IFERROR(SUMPRODUCT($D$6:$D$84,S6:S84)/SUMIFS($D$6:$D$84,S6:S84,"&lt;&gt;"),"")</f>
        <v/>
      </c>
      <c r="T85" s="20" t="str">
        <f aca="false">IFERROR(SUMPRODUCT($D$6:$D$84,T6:T84)/SUMIFS($D$6:$D$84,T6:T84,"&lt;&gt;"),"")</f>
        <v/>
      </c>
      <c r="U85" s="20" t="str">
        <f aca="false">IFERROR(SUMPRODUCT($D$6:$D$84,U6:U84)/SUMIFS($D$6:$D$84,U6:U84,"&lt;&gt;"),"")</f>
        <v/>
      </c>
      <c r="V85" s="20" t="str">
        <f aca="false">IFERROR(SUMPRODUCT($D$6:$D$84,V6:V84)/SUMIFS($D$6:$D$84,V6:V84,"&lt;&gt;"),"")</f>
        <v/>
      </c>
      <c r="W85" s="20" t="str">
        <f aca="false">IFERROR(SUMPRODUCT($D$6:$D$84,W6:W84)/SUMIFS($D$6:$D$84,W6:W84,"&lt;&gt;"),"")</f>
        <v/>
      </c>
      <c r="X85" s="20" t="str">
        <f aca="false">IFERROR(SUMPRODUCT($D$6:$D$84,X6:X84)/SUMIFS($D$6:$D$84,X6:X84,"&lt;&gt;"),"")</f>
        <v/>
      </c>
      <c r="Y85" s="20" t="str">
        <f aca="false">IFERROR(SUMPRODUCT($D$6:$D$84,Y6:Y84)/SUMIFS($D$6:$D$84,Y6:Y84,"&lt;&gt;"),"")</f>
        <v/>
      </c>
      <c r="Z85" s="20" t="str">
        <f aca="false">IFERROR(SUMPRODUCT($D$6:$D$84,Z6:Z84)/SUMIFS($D$6:$D$84,Z6:Z84,"&lt;&gt;"),"")</f>
        <v/>
      </c>
    </row>
  </sheetData>
  <conditionalFormatting sqref="F6:Z84">
    <cfRule type="expression" priority="2" aboveAverage="0" equalAverage="0" bottom="0" percent="0" rank="0" text="" dxfId="0">
      <formula>AND(F6&lt;&gt;"",E6&lt;&gt;"",F6&lt;E6)</formula>
    </cfRule>
  </conditionalFormatting>
  <dataValidations count="1">
    <dataValidation allowBlank="true" error="Digite o % acumulado entre 0 e 100." errorStyle="stop" errorTitle="Valor inválido" operator="between" showDropDown="false" showErrorMessage="false" showInputMessage="false" sqref="E6:Z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2" min="5" style="0" width="6.51"/>
  </cols>
  <sheetData>
    <row r="1" customFormat="false" ht="16.15" hidden="false" customHeight="false" outlineLevel="0" collapsed="false">
      <c r="A1" s="7" t="s">
        <v>319</v>
      </c>
    </row>
    <row r="2" customFormat="false" ht="15" hidden="false" customHeight="false" outlineLevel="0" collapsed="false">
      <c r="D2" s="21" t="s">
        <v>293</v>
      </c>
      <c r="E2" s="21" t="n">
        <f aca="false">MATCH("Aveia|"&amp;$B$3,Parâmetros!$G$4:$G$83,0)+3</f>
        <v>79</v>
      </c>
      <c r="F2" s="21" t="s">
        <v>294</v>
      </c>
      <c r="G2" s="22" t="b">
        <f aca="false">INDEX(Parâmetros!$A$1:$A$84,$E$2+1)&lt;&gt;"Aveia"</f>
        <v>0</v>
      </c>
    </row>
    <row r="3" customFormat="false" ht="15" hidden="false" customHeight="false" outlineLevel="0" collapsed="false">
      <c r="A3" s="13" t="s">
        <v>295</v>
      </c>
      <c r="B3" s="9" t="s">
        <v>99</v>
      </c>
      <c r="D3" s="21" t="s">
        <v>296</v>
      </c>
      <c r="E3" s="21" t="n">
        <f aca="false">ROUND(INDEX(Parâmetros!$D$1:$D$83,$E$2)/7,0)</f>
        <v>9</v>
      </c>
      <c r="F3" s="21" t="s">
        <v>297</v>
      </c>
      <c r="G3" s="21" t="n">
        <f aca="false">IF($G$2,999,ROUND(INDEX(Parâmetros!$D$1:$D$84,$E$2+1)/7,0))</f>
        <v>10</v>
      </c>
    </row>
    <row r="4" customFormat="false" ht="15" hidden="false" customHeight="false" outlineLevel="0" collapsed="false">
      <c r="B4" s="23" t="str">
        <f aca="false">IF(INDEX(Parâmetros!$E$1:$E$83,$E$2)="Sim","⚠ Estádio crítico: "&amp;INDEX(Parâmetros!$F$1:$F$83,$E$2),"")</f>
        <v>⚠ Estádio crítico: Geada</v>
      </c>
    </row>
    <row r="5" customFormat="false" ht="15" hidden="false" customHeight="false" outlineLevel="0" collapsed="false">
      <c r="A5" s="24" t="s">
        <v>298</v>
      </c>
    </row>
    <row r="6" customFormat="false" ht="15" hidden="false" customHeight="false" outlineLevel="0" collapsed="false">
      <c r="E6" s="25" t="n">
        <v>1</v>
      </c>
      <c r="F6" s="25" t="n">
        <v>2</v>
      </c>
      <c r="G6" s="25" t="n">
        <v>3</v>
      </c>
      <c r="H6" s="25" t="n">
        <v>4</v>
      </c>
      <c r="I6" s="25" t="n">
        <v>5</v>
      </c>
      <c r="J6" s="25" t="n">
        <v>6</v>
      </c>
      <c r="K6" s="25" t="n">
        <v>7</v>
      </c>
      <c r="L6" s="25" t="n">
        <v>8</v>
      </c>
      <c r="M6" s="25" t="n">
        <v>9</v>
      </c>
      <c r="N6" s="25" t="n">
        <v>10</v>
      </c>
      <c r="O6" s="25" t="n">
        <v>11</v>
      </c>
      <c r="P6" s="25" t="n">
        <v>12</v>
      </c>
      <c r="Q6" s="25" t="n">
        <v>13</v>
      </c>
      <c r="R6" s="25" t="n">
        <v>14</v>
      </c>
      <c r="S6" s="25" t="n">
        <v>15</v>
      </c>
      <c r="T6" s="25" t="n">
        <v>16</v>
      </c>
      <c r="U6" s="25" t="n">
        <v>17</v>
      </c>
      <c r="V6" s="25" t="n">
        <v>18</v>
      </c>
      <c r="W6" s="25" t="n">
        <v>19</v>
      </c>
      <c r="X6" s="25" t="n">
        <v>20</v>
      </c>
      <c r="Y6" s="25" t="n">
        <v>21</v>
      </c>
      <c r="Z6" s="25" t="n">
        <v>22</v>
      </c>
      <c r="AA6" s="25" t="n">
        <v>23</v>
      </c>
      <c r="AB6" s="25" t="n">
        <v>24</v>
      </c>
      <c r="AC6" s="25" t="n">
        <v>25</v>
      </c>
      <c r="AD6" s="25" t="n">
        <v>26</v>
      </c>
      <c r="AE6" s="25" t="n">
        <v>27</v>
      </c>
      <c r="AF6" s="25" t="n">
        <v>28</v>
      </c>
      <c r="AG6" s="25" t="n">
        <v>29</v>
      </c>
      <c r="AH6" s="25" t="n">
        <v>30</v>
      </c>
      <c r="AI6" s="25" t="n">
        <v>31</v>
      </c>
      <c r="AJ6" s="25" t="n">
        <v>32</v>
      </c>
      <c r="AK6" s="25" t="n">
        <v>33</v>
      </c>
      <c r="AL6" s="25" t="n">
        <v>34</v>
      </c>
      <c r="AM6" s="25" t="n">
        <v>35</v>
      </c>
      <c r="AN6" s="25" t="n">
        <v>36</v>
      </c>
      <c r="AO6" s="25" t="n">
        <v>37</v>
      </c>
      <c r="AP6" s="25" t="n">
        <v>38</v>
      </c>
      <c r="AQ6" s="25" t="n">
        <v>39</v>
      </c>
      <c r="AR6" s="25" t="n">
        <v>40</v>
      </c>
      <c r="AS6" s="25" t="n">
        <v>41</v>
      </c>
      <c r="AT6" s="25" t="n">
        <v>42</v>
      </c>
      <c r="AU6" s="25" t="n">
        <v>43</v>
      </c>
      <c r="AV6" s="25" t="n">
        <v>44</v>
      </c>
      <c r="AW6" s="25" t="n">
        <v>45</v>
      </c>
      <c r="AX6" s="25" t="n">
        <v>46</v>
      </c>
      <c r="AY6" s="25" t="n">
        <v>47</v>
      </c>
      <c r="AZ6" s="25" t="n">
        <v>48</v>
      </c>
    </row>
    <row r="7" customFormat="false" ht="15" hidden="false" customHeight="false" outlineLevel="0" collapsed="false">
      <c r="A7" s="8" t="s">
        <v>126</v>
      </c>
      <c r="B7" s="8" t="s">
        <v>127</v>
      </c>
      <c r="C7" s="8" t="s">
        <v>128</v>
      </c>
      <c r="D7" s="8" t="s">
        <v>299</v>
      </c>
      <c r="E7" s="17" t="n">
        <f aca="false">Aveia!$B$3+0</f>
        <v>46473</v>
      </c>
      <c r="F7" s="17" t="n">
        <f aca="false">Aveia!$B$3+7</f>
        <v>46480</v>
      </c>
      <c r="G7" s="17" t="n">
        <f aca="false">Aveia!$B$3+14</f>
        <v>46487</v>
      </c>
      <c r="H7" s="17" t="n">
        <f aca="false">Aveia!$B$3+21</f>
        <v>46494</v>
      </c>
      <c r="I7" s="17" t="n">
        <f aca="false">Aveia!$B$3+28</f>
        <v>46501</v>
      </c>
      <c r="J7" s="17" t="n">
        <f aca="false">Aveia!$B$3+35</f>
        <v>46508</v>
      </c>
      <c r="K7" s="17" t="n">
        <f aca="false">Aveia!$B$3+42</f>
        <v>46515</v>
      </c>
      <c r="L7" s="17" t="n">
        <f aca="false">Aveia!$B$3+49</f>
        <v>46522</v>
      </c>
      <c r="M7" s="17" t="n">
        <f aca="false">Aveia!$B$3+56</f>
        <v>46529</v>
      </c>
      <c r="N7" s="17" t="n">
        <f aca="false">Aveia!$B$3+63</f>
        <v>46536</v>
      </c>
      <c r="O7" s="17" t="n">
        <f aca="false">Aveia!$B$3+70</f>
        <v>46543</v>
      </c>
      <c r="P7" s="17" t="n">
        <f aca="false">Aveia!$B$3+77</f>
        <v>46550</v>
      </c>
      <c r="Q7" s="17" t="n">
        <f aca="false">Aveia!$B$3+84</f>
        <v>46557</v>
      </c>
      <c r="R7" s="17" t="n">
        <f aca="false">Aveia!$B$3+91</f>
        <v>46564</v>
      </c>
      <c r="S7" s="17" t="n">
        <f aca="false">Aveia!$B$3+98</f>
        <v>46571</v>
      </c>
      <c r="T7" s="17" t="n">
        <f aca="false">Aveia!$B$3+105</f>
        <v>46578</v>
      </c>
      <c r="U7" s="17" t="n">
        <f aca="false">Aveia!$B$3+112</f>
        <v>46585</v>
      </c>
      <c r="V7" s="17" t="n">
        <f aca="false">Aveia!$B$3+119</f>
        <v>46592</v>
      </c>
      <c r="W7" s="17" t="n">
        <f aca="false">Aveia!$B$3+126</f>
        <v>46599</v>
      </c>
      <c r="X7" s="17" t="n">
        <f aca="false">Aveia!$B$3+133</f>
        <v>46606</v>
      </c>
      <c r="Y7" s="17" t="n">
        <f aca="false">Aveia!$B$3+140</f>
        <v>46613</v>
      </c>
      <c r="Z7" s="17" t="n">
        <f aca="false">Aveia!$B$3+147</f>
        <v>46620</v>
      </c>
      <c r="AA7" s="17" t="n">
        <f aca="false">Aveia!$B$3+154</f>
        <v>46627</v>
      </c>
      <c r="AB7" s="17" t="n">
        <f aca="false">Aveia!$B$3+161</f>
        <v>46634</v>
      </c>
      <c r="AC7" s="17" t="n">
        <f aca="false">Aveia!$B$3+168</f>
        <v>46641</v>
      </c>
      <c r="AD7" s="17" t="n">
        <f aca="false">Aveia!$B$3+175</f>
        <v>46648</v>
      </c>
      <c r="AE7" s="17" t="n">
        <f aca="false">Aveia!$B$3+182</f>
        <v>46655</v>
      </c>
      <c r="AF7" s="17" t="n">
        <f aca="false">Aveia!$B$3+189</f>
        <v>46662</v>
      </c>
      <c r="AG7" s="17" t="n">
        <f aca="false">Aveia!$B$3+196</f>
        <v>46669</v>
      </c>
      <c r="AH7" s="17" t="n">
        <f aca="false">Aveia!$B$3+203</f>
        <v>46676</v>
      </c>
      <c r="AI7" s="17" t="n">
        <f aca="false">Aveia!$B$3+210</f>
        <v>46683</v>
      </c>
      <c r="AJ7" s="17" t="n">
        <f aca="false">Aveia!$B$3+217</f>
        <v>46690</v>
      </c>
      <c r="AK7" s="17" t="n">
        <f aca="false">Aveia!$B$3+224</f>
        <v>46697</v>
      </c>
      <c r="AL7" s="17" t="n">
        <f aca="false">Aveia!$B$3+231</f>
        <v>46704</v>
      </c>
      <c r="AM7" s="17" t="n">
        <f aca="false">Aveia!$B$3+238</f>
        <v>46711</v>
      </c>
      <c r="AN7" s="17" t="n">
        <f aca="false">Aveia!$B$3+245</f>
        <v>46718</v>
      </c>
      <c r="AO7" s="17" t="n">
        <f aca="false">Aveia!$B$3+252</f>
        <v>46725</v>
      </c>
      <c r="AP7" s="17" t="n">
        <f aca="false">Aveia!$B$3+259</f>
        <v>46732</v>
      </c>
      <c r="AQ7" s="17" t="n">
        <f aca="false">Aveia!$B$3+266</f>
        <v>46739</v>
      </c>
      <c r="AR7" s="17" t="n">
        <f aca="false">Aveia!$B$3+273</f>
        <v>46746</v>
      </c>
      <c r="AS7" s="17" t="n">
        <f aca="false">Aveia!$B$3+280</f>
        <v>46753</v>
      </c>
      <c r="AT7" s="17" t="n">
        <f aca="false">Aveia!$B$3+287</f>
        <v>46760</v>
      </c>
      <c r="AU7" s="17" t="n">
        <f aca="false">Aveia!$B$3+294</f>
        <v>46767</v>
      </c>
      <c r="AV7" s="17" t="n">
        <f aca="false">Aveia!$B$3+301</f>
        <v>46774</v>
      </c>
      <c r="AW7" s="17" t="n">
        <f aca="false">Aveia!$B$3+308</f>
        <v>46781</v>
      </c>
      <c r="AX7" s="17" t="n">
        <f aca="false">Aveia!$B$3+315</f>
        <v>46788</v>
      </c>
      <c r="AY7" s="17" t="n">
        <f aca="false">Aveia!$B$3+322</f>
        <v>46795</v>
      </c>
      <c r="AZ7" s="17" t="n">
        <f aca="false">Aveia!$B$3+329</f>
        <v>46802</v>
      </c>
    </row>
    <row r="8" customFormat="false" ht="15" hidden="false" customHeight="false" outlineLevel="0" collapsed="false">
      <c r="A8" s="3" t="s">
        <v>130</v>
      </c>
      <c r="B8" s="3" t="s">
        <v>131</v>
      </c>
      <c r="C8" s="10" t="s">
        <v>132</v>
      </c>
      <c r="D8" s="26" t="n">
        <f aca="false">IF(COUNT(Aveia!$E6:$Z6)&gt;0,N(Aveia!$D6),0)</f>
        <v>0</v>
      </c>
      <c r="E8" s="27" t="n">
        <f aca="false">IF(COUNT(Aveia!$E6:$Z6)=0,0,MAX(0,IF((E$6-$E$3)&lt;1,0,IFERROR(LOOKUP(2,1/(Aveia!$E6:INDEX(Aveia!$E6:$Z6,MIN(E$6-$E$3,22))&lt;&gt;""),Aveia!$E6:INDEX(Aveia!$E6:$Z6,MIN(E$6-$E$3,22))),0))-IF($G$2,0,IF((E$6-$G$3)&lt;1,0,IFERROR(LOOKUP(2,1/(Aveia!$E6:INDEX(Aveia!$E6:$Z6,MIN(E$6-$G$3,22))&lt;&gt;""),Aveia!$E6:INDEX(Aveia!$E6:$Z6,MIN(E$6-$G$3,22))),0)))))</f>
        <v>0</v>
      </c>
      <c r="F8" s="27" t="n">
        <f aca="false">IF(COUNT(Aveia!$E6:$Z6)=0,0,MAX(0,IF((F$6-$E$3)&lt;1,0,IFERROR(LOOKUP(2,1/(Aveia!$E6:INDEX(Aveia!$E6:$Z6,MIN(F$6-$E$3,22))&lt;&gt;""),Aveia!$E6:INDEX(Aveia!$E6:$Z6,MIN(F$6-$E$3,22))),0))-IF($G$2,0,IF((F$6-$G$3)&lt;1,0,IFERROR(LOOKUP(2,1/(Aveia!$E6:INDEX(Aveia!$E6:$Z6,MIN(F$6-$G$3,22))&lt;&gt;""),Aveia!$E6:INDEX(Aveia!$E6:$Z6,MIN(F$6-$G$3,22))),0)))))</f>
        <v>0</v>
      </c>
      <c r="G8" s="27" t="n">
        <f aca="false">IF(COUNT(Aveia!$E6:$Z6)=0,0,MAX(0,IF((G$6-$E$3)&lt;1,0,IFERROR(LOOKUP(2,1/(Aveia!$E6:INDEX(Aveia!$E6:$Z6,MIN(G$6-$E$3,22))&lt;&gt;""),Aveia!$E6:INDEX(Aveia!$E6:$Z6,MIN(G$6-$E$3,22))),0))-IF($G$2,0,IF((G$6-$G$3)&lt;1,0,IFERROR(LOOKUP(2,1/(Aveia!$E6:INDEX(Aveia!$E6:$Z6,MIN(G$6-$G$3,22))&lt;&gt;""),Aveia!$E6:INDEX(Aveia!$E6:$Z6,MIN(G$6-$G$3,22))),0)))))</f>
        <v>0</v>
      </c>
      <c r="H8" s="27" t="n">
        <f aca="false">IF(COUNT(Aveia!$E6:$Z6)=0,0,MAX(0,IF((H$6-$E$3)&lt;1,0,IFERROR(LOOKUP(2,1/(Aveia!$E6:INDEX(Aveia!$E6:$Z6,MIN(H$6-$E$3,22))&lt;&gt;""),Aveia!$E6:INDEX(Aveia!$E6:$Z6,MIN(H$6-$E$3,22))),0))-IF($G$2,0,IF((H$6-$G$3)&lt;1,0,IFERROR(LOOKUP(2,1/(Aveia!$E6:INDEX(Aveia!$E6:$Z6,MIN(H$6-$G$3,22))&lt;&gt;""),Aveia!$E6:INDEX(Aveia!$E6:$Z6,MIN(H$6-$G$3,22))),0)))))</f>
        <v>0</v>
      </c>
      <c r="I8" s="27" t="n">
        <f aca="false">IF(COUNT(Aveia!$E6:$Z6)=0,0,MAX(0,IF((I$6-$E$3)&lt;1,0,IFERROR(LOOKUP(2,1/(Aveia!$E6:INDEX(Aveia!$E6:$Z6,MIN(I$6-$E$3,22))&lt;&gt;""),Aveia!$E6:INDEX(Aveia!$E6:$Z6,MIN(I$6-$E$3,22))),0))-IF($G$2,0,IF((I$6-$G$3)&lt;1,0,IFERROR(LOOKUP(2,1/(Aveia!$E6:INDEX(Aveia!$E6:$Z6,MIN(I$6-$G$3,22))&lt;&gt;""),Aveia!$E6:INDEX(Aveia!$E6:$Z6,MIN(I$6-$G$3,22))),0)))))</f>
        <v>0</v>
      </c>
      <c r="J8" s="27" t="n">
        <f aca="false">IF(COUNT(Aveia!$E6:$Z6)=0,0,MAX(0,IF((J$6-$E$3)&lt;1,0,IFERROR(LOOKUP(2,1/(Aveia!$E6:INDEX(Aveia!$E6:$Z6,MIN(J$6-$E$3,22))&lt;&gt;""),Aveia!$E6:INDEX(Aveia!$E6:$Z6,MIN(J$6-$E$3,22))),0))-IF($G$2,0,IF((J$6-$G$3)&lt;1,0,IFERROR(LOOKUP(2,1/(Aveia!$E6:INDEX(Aveia!$E6:$Z6,MIN(J$6-$G$3,22))&lt;&gt;""),Aveia!$E6:INDEX(Aveia!$E6:$Z6,MIN(J$6-$G$3,22))),0)))))</f>
        <v>0</v>
      </c>
      <c r="K8" s="27" t="n">
        <f aca="false">IF(COUNT(Aveia!$E6:$Z6)=0,0,MAX(0,IF((K$6-$E$3)&lt;1,0,IFERROR(LOOKUP(2,1/(Aveia!$E6:INDEX(Aveia!$E6:$Z6,MIN(K$6-$E$3,22))&lt;&gt;""),Aveia!$E6:INDEX(Aveia!$E6:$Z6,MIN(K$6-$E$3,22))),0))-IF($G$2,0,IF((K$6-$G$3)&lt;1,0,IFERROR(LOOKUP(2,1/(Aveia!$E6:INDEX(Aveia!$E6:$Z6,MIN(K$6-$G$3,22))&lt;&gt;""),Aveia!$E6:INDEX(Aveia!$E6:$Z6,MIN(K$6-$G$3,22))),0)))))</f>
        <v>0</v>
      </c>
      <c r="L8" s="27" t="n">
        <f aca="false">IF(COUNT(Aveia!$E6:$Z6)=0,0,MAX(0,IF((L$6-$E$3)&lt;1,0,IFERROR(LOOKUP(2,1/(Aveia!$E6:INDEX(Aveia!$E6:$Z6,MIN(L$6-$E$3,22))&lt;&gt;""),Aveia!$E6:INDEX(Aveia!$E6:$Z6,MIN(L$6-$E$3,22))),0))-IF($G$2,0,IF((L$6-$G$3)&lt;1,0,IFERROR(LOOKUP(2,1/(Aveia!$E6:INDEX(Aveia!$E6:$Z6,MIN(L$6-$G$3,22))&lt;&gt;""),Aveia!$E6:INDEX(Aveia!$E6:$Z6,MIN(L$6-$G$3,22))),0)))))</f>
        <v>0</v>
      </c>
      <c r="M8" s="27" t="n">
        <f aca="false">IF(COUNT(Aveia!$E6:$Z6)=0,0,MAX(0,IF((M$6-$E$3)&lt;1,0,IFERROR(LOOKUP(2,1/(Aveia!$E6:INDEX(Aveia!$E6:$Z6,MIN(M$6-$E$3,22))&lt;&gt;""),Aveia!$E6:INDEX(Aveia!$E6:$Z6,MIN(M$6-$E$3,22))),0))-IF($G$2,0,IF((M$6-$G$3)&lt;1,0,IFERROR(LOOKUP(2,1/(Aveia!$E6:INDEX(Aveia!$E6:$Z6,MIN(M$6-$G$3,22))&lt;&gt;""),Aveia!$E6:INDEX(Aveia!$E6:$Z6,MIN(M$6-$G$3,22))),0)))))</f>
        <v>0</v>
      </c>
      <c r="N8" s="27" t="n">
        <f aca="false">IF(COUNT(Aveia!$E6:$Z6)=0,0,MAX(0,IF((N$6-$E$3)&lt;1,0,IFERROR(LOOKUP(2,1/(Aveia!$E6:INDEX(Aveia!$E6:$Z6,MIN(N$6-$E$3,22))&lt;&gt;""),Aveia!$E6:INDEX(Aveia!$E6:$Z6,MIN(N$6-$E$3,22))),0))-IF($G$2,0,IF((N$6-$G$3)&lt;1,0,IFERROR(LOOKUP(2,1/(Aveia!$E6:INDEX(Aveia!$E6:$Z6,MIN(N$6-$G$3,22))&lt;&gt;""),Aveia!$E6:INDEX(Aveia!$E6:$Z6,MIN(N$6-$G$3,22))),0)))))</f>
        <v>0</v>
      </c>
      <c r="O8" s="27" t="n">
        <f aca="false">IF(COUNT(Aveia!$E6:$Z6)=0,0,MAX(0,IF((O$6-$E$3)&lt;1,0,IFERROR(LOOKUP(2,1/(Aveia!$E6:INDEX(Aveia!$E6:$Z6,MIN(O$6-$E$3,22))&lt;&gt;""),Aveia!$E6:INDEX(Aveia!$E6:$Z6,MIN(O$6-$E$3,22))),0))-IF($G$2,0,IF((O$6-$G$3)&lt;1,0,IFERROR(LOOKUP(2,1/(Aveia!$E6:INDEX(Aveia!$E6:$Z6,MIN(O$6-$G$3,22))&lt;&gt;""),Aveia!$E6:INDEX(Aveia!$E6:$Z6,MIN(O$6-$G$3,22))),0)))))</f>
        <v>0</v>
      </c>
      <c r="P8" s="27" t="n">
        <f aca="false">IF(COUNT(Aveia!$E6:$Z6)=0,0,MAX(0,IF((P$6-$E$3)&lt;1,0,IFERROR(LOOKUP(2,1/(Aveia!$E6:INDEX(Aveia!$E6:$Z6,MIN(P$6-$E$3,22))&lt;&gt;""),Aveia!$E6:INDEX(Aveia!$E6:$Z6,MIN(P$6-$E$3,22))),0))-IF($G$2,0,IF((P$6-$G$3)&lt;1,0,IFERROR(LOOKUP(2,1/(Aveia!$E6:INDEX(Aveia!$E6:$Z6,MIN(P$6-$G$3,22))&lt;&gt;""),Aveia!$E6:INDEX(Aveia!$E6:$Z6,MIN(P$6-$G$3,22))),0)))))</f>
        <v>0</v>
      </c>
      <c r="Q8" s="27" t="n">
        <f aca="false">IF(COUNT(Aveia!$E6:$Z6)=0,0,MAX(0,IF((Q$6-$E$3)&lt;1,0,IFERROR(LOOKUP(2,1/(Aveia!$E6:INDEX(Aveia!$E6:$Z6,MIN(Q$6-$E$3,22))&lt;&gt;""),Aveia!$E6:INDEX(Aveia!$E6:$Z6,MIN(Q$6-$E$3,22))),0))-IF($G$2,0,IF((Q$6-$G$3)&lt;1,0,IFERROR(LOOKUP(2,1/(Aveia!$E6:INDEX(Aveia!$E6:$Z6,MIN(Q$6-$G$3,22))&lt;&gt;""),Aveia!$E6:INDEX(Aveia!$E6:$Z6,MIN(Q$6-$G$3,22))),0)))))</f>
        <v>0</v>
      </c>
      <c r="R8" s="27" t="n">
        <f aca="false">IF(COUNT(Aveia!$E6:$Z6)=0,0,MAX(0,IF((R$6-$E$3)&lt;1,0,IFERROR(LOOKUP(2,1/(Aveia!$E6:INDEX(Aveia!$E6:$Z6,MIN(R$6-$E$3,22))&lt;&gt;""),Aveia!$E6:INDEX(Aveia!$E6:$Z6,MIN(R$6-$E$3,22))),0))-IF($G$2,0,IF((R$6-$G$3)&lt;1,0,IFERROR(LOOKUP(2,1/(Aveia!$E6:INDEX(Aveia!$E6:$Z6,MIN(R$6-$G$3,22))&lt;&gt;""),Aveia!$E6:INDEX(Aveia!$E6:$Z6,MIN(R$6-$G$3,22))),0)))))</f>
        <v>0</v>
      </c>
      <c r="S8" s="27" t="n">
        <f aca="false">IF(COUNT(Aveia!$E6:$Z6)=0,0,MAX(0,IF((S$6-$E$3)&lt;1,0,IFERROR(LOOKUP(2,1/(Aveia!$E6:INDEX(Aveia!$E6:$Z6,MIN(S$6-$E$3,22))&lt;&gt;""),Aveia!$E6:INDEX(Aveia!$E6:$Z6,MIN(S$6-$E$3,22))),0))-IF($G$2,0,IF((S$6-$G$3)&lt;1,0,IFERROR(LOOKUP(2,1/(Aveia!$E6:INDEX(Aveia!$E6:$Z6,MIN(S$6-$G$3,22))&lt;&gt;""),Aveia!$E6:INDEX(Aveia!$E6:$Z6,MIN(S$6-$G$3,22))),0)))))</f>
        <v>0</v>
      </c>
      <c r="T8" s="27" t="n">
        <f aca="false">IF(COUNT(Aveia!$E6:$Z6)=0,0,MAX(0,IF((T$6-$E$3)&lt;1,0,IFERROR(LOOKUP(2,1/(Aveia!$E6:INDEX(Aveia!$E6:$Z6,MIN(T$6-$E$3,22))&lt;&gt;""),Aveia!$E6:INDEX(Aveia!$E6:$Z6,MIN(T$6-$E$3,22))),0))-IF($G$2,0,IF((T$6-$G$3)&lt;1,0,IFERROR(LOOKUP(2,1/(Aveia!$E6:INDEX(Aveia!$E6:$Z6,MIN(T$6-$G$3,22))&lt;&gt;""),Aveia!$E6:INDEX(Aveia!$E6:$Z6,MIN(T$6-$G$3,22))),0)))))</f>
        <v>0</v>
      </c>
      <c r="U8" s="27" t="n">
        <f aca="false">IF(COUNT(Aveia!$E6:$Z6)=0,0,MAX(0,IF((U$6-$E$3)&lt;1,0,IFERROR(LOOKUP(2,1/(Aveia!$E6:INDEX(Aveia!$E6:$Z6,MIN(U$6-$E$3,22))&lt;&gt;""),Aveia!$E6:INDEX(Aveia!$E6:$Z6,MIN(U$6-$E$3,22))),0))-IF($G$2,0,IF((U$6-$G$3)&lt;1,0,IFERROR(LOOKUP(2,1/(Aveia!$E6:INDEX(Aveia!$E6:$Z6,MIN(U$6-$G$3,22))&lt;&gt;""),Aveia!$E6:INDEX(Aveia!$E6:$Z6,MIN(U$6-$G$3,22))),0)))))</f>
        <v>0</v>
      </c>
      <c r="V8" s="27" t="n">
        <f aca="false">IF(COUNT(Aveia!$E6:$Z6)=0,0,MAX(0,IF((V$6-$E$3)&lt;1,0,IFERROR(LOOKUP(2,1/(Aveia!$E6:INDEX(Aveia!$E6:$Z6,MIN(V$6-$E$3,22))&lt;&gt;""),Aveia!$E6:INDEX(Aveia!$E6:$Z6,MIN(V$6-$E$3,22))),0))-IF($G$2,0,IF((V$6-$G$3)&lt;1,0,IFERROR(LOOKUP(2,1/(Aveia!$E6:INDEX(Aveia!$E6:$Z6,MIN(V$6-$G$3,22))&lt;&gt;""),Aveia!$E6:INDEX(Aveia!$E6:$Z6,MIN(V$6-$G$3,22))),0)))))</f>
        <v>0</v>
      </c>
      <c r="W8" s="27" t="n">
        <f aca="false">IF(COUNT(Aveia!$E6:$Z6)=0,0,MAX(0,IF((W$6-$E$3)&lt;1,0,IFERROR(LOOKUP(2,1/(Aveia!$E6:INDEX(Aveia!$E6:$Z6,MIN(W$6-$E$3,22))&lt;&gt;""),Aveia!$E6:INDEX(Aveia!$E6:$Z6,MIN(W$6-$E$3,22))),0))-IF($G$2,0,IF((W$6-$G$3)&lt;1,0,IFERROR(LOOKUP(2,1/(Aveia!$E6:INDEX(Aveia!$E6:$Z6,MIN(W$6-$G$3,22))&lt;&gt;""),Aveia!$E6:INDEX(Aveia!$E6:$Z6,MIN(W$6-$G$3,22))),0)))))</f>
        <v>0</v>
      </c>
      <c r="X8" s="27" t="n">
        <f aca="false">IF(COUNT(Aveia!$E6:$Z6)=0,0,MAX(0,IF((X$6-$E$3)&lt;1,0,IFERROR(LOOKUP(2,1/(Aveia!$E6:INDEX(Aveia!$E6:$Z6,MIN(X$6-$E$3,22))&lt;&gt;""),Aveia!$E6:INDEX(Aveia!$E6:$Z6,MIN(X$6-$E$3,22))),0))-IF($G$2,0,IF((X$6-$G$3)&lt;1,0,IFERROR(LOOKUP(2,1/(Aveia!$E6:INDEX(Aveia!$E6:$Z6,MIN(X$6-$G$3,22))&lt;&gt;""),Aveia!$E6:INDEX(Aveia!$E6:$Z6,MIN(X$6-$G$3,22))),0)))))</f>
        <v>0</v>
      </c>
      <c r="Y8" s="27" t="n">
        <f aca="false">IF(COUNT(Aveia!$E6:$Z6)=0,0,MAX(0,IF((Y$6-$E$3)&lt;1,0,IFERROR(LOOKUP(2,1/(Aveia!$E6:INDEX(Aveia!$E6:$Z6,MIN(Y$6-$E$3,22))&lt;&gt;""),Aveia!$E6:INDEX(Aveia!$E6:$Z6,MIN(Y$6-$E$3,22))),0))-IF($G$2,0,IF((Y$6-$G$3)&lt;1,0,IFERROR(LOOKUP(2,1/(Aveia!$E6:INDEX(Aveia!$E6:$Z6,MIN(Y$6-$G$3,22))&lt;&gt;""),Aveia!$E6:INDEX(Aveia!$E6:$Z6,MIN(Y$6-$G$3,22))),0)))))</f>
        <v>0</v>
      </c>
      <c r="Z8" s="27" t="n">
        <f aca="false">IF(COUNT(Aveia!$E6:$Z6)=0,0,MAX(0,IF((Z$6-$E$3)&lt;1,0,IFERROR(LOOKUP(2,1/(Aveia!$E6:INDEX(Aveia!$E6:$Z6,MIN(Z$6-$E$3,22))&lt;&gt;""),Aveia!$E6:INDEX(Aveia!$E6:$Z6,MIN(Z$6-$E$3,22))),0))-IF($G$2,0,IF((Z$6-$G$3)&lt;1,0,IFERROR(LOOKUP(2,1/(Aveia!$E6:INDEX(Aveia!$E6:$Z6,MIN(Z$6-$G$3,22))&lt;&gt;""),Aveia!$E6:INDEX(Aveia!$E6:$Z6,MIN(Z$6-$G$3,22))),0)))))</f>
        <v>0</v>
      </c>
      <c r="AA8" s="27" t="n">
        <f aca="false">IF(COUNT(Aveia!$E6:$Z6)=0,0,MAX(0,IF((AA$6-$E$3)&lt;1,0,IFERROR(LOOKUP(2,1/(Aveia!$E6:INDEX(Aveia!$E6:$Z6,MIN(AA$6-$E$3,22))&lt;&gt;""),Aveia!$E6:INDEX(Aveia!$E6:$Z6,MIN(AA$6-$E$3,22))),0))-IF($G$2,0,IF((AA$6-$G$3)&lt;1,0,IFERROR(LOOKUP(2,1/(Aveia!$E6:INDEX(Aveia!$E6:$Z6,MIN(AA$6-$G$3,22))&lt;&gt;""),Aveia!$E6:INDEX(Aveia!$E6:$Z6,MIN(AA$6-$G$3,22))),0)))))</f>
        <v>0</v>
      </c>
      <c r="AB8" s="27" t="n">
        <f aca="false">IF(COUNT(Aveia!$E6:$Z6)=0,0,MAX(0,IF((AB$6-$E$3)&lt;1,0,IFERROR(LOOKUP(2,1/(Aveia!$E6:INDEX(Aveia!$E6:$Z6,MIN(AB$6-$E$3,22))&lt;&gt;""),Aveia!$E6:INDEX(Aveia!$E6:$Z6,MIN(AB$6-$E$3,22))),0))-IF($G$2,0,IF((AB$6-$G$3)&lt;1,0,IFERROR(LOOKUP(2,1/(Aveia!$E6:INDEX(Aveia!$E6:$Z6,MIN(AB$6-$G$3,22))&lt;&gt;""),Aveia!$E6:INDEX(Aveia!$E6:$Z6,MIN(AB$6-$G$3,22))),0)))))</f>
        <v>0</v>
      </c>
      <c r="AC8" s="27" t="n">
        <f aca="false">IF(COUNT(Aveia!$E6:$Z6)=0,0,MAX(0,IF((AC$6-$E$3)&lt;1,0,IFERROR(LOOKUP(2,1/(Aveia!$E6:INDEX(Aveia!$E6:$Z6,MIN(AC$6-$E$3,22))&lt;&gt;""),Aveia!$E6:INDEX(Aveia!$E6:$Z6,MIN(AC$6-$E$3,22))),0))-IF($G$2,0,IF((AC$6-$G$3)&lt;1,0,IFERROR(LOOKUP(2,1/(Aveia!$E6:INDEX(Aveia!$E6:$Z6,MIN(AC$6-$G$3,22))&lt;&gt;""),Aveia!$E6:INDEX(Aveia!$E6:$Z6,MIN(AC$6-$G$3,22))),0)))))</f>
        <v>0</v>
      </c>
      <c r="AD8" s="27" t="n">
        <f aca="false">IF(COUNT(Aveia!$E6:$Z6)=0,0,MAX(0,IF((AD$6-$E$3)&lt;1,0,IFERROR(LOOKUP(2,1/(Aveia!$E6:INDEX(Aveia!$E6:$Z6,MIN(AD$6-$E$3,22))&lt;&gt;""),Aveia!$E6:INDEX(Aveia!$E6:$Z6,MIN(AD$6-$E$3,22))),0))-IF($G$2,0,IF((AD$6-$G$3)&lt;1,0,IFERROR(LOOKUP(2,1/(Aveia!$E6:INDEX(Aveia!$E6:$Z6,MIN(AD$6-$G$3,22))&lt;&gt;""),Aveia!$E6:INDEX(Aveia!$E6:$Z6,MIN(AD$6-$G$3,22))),0)))))</f>
        <v>0</v>
      </c>
      <c r="AE8" s="27" t="n">
        <f aca="false">IF(COUNT(Aveia!$E6:$Z6)=0,0,MAX(0,IF((AE$6-$E$3)&lt;1,0,IFERROR(LOOKUP(2,1/(Aveia!$E6:INDEX(Aveia!$E6:$Z6,MIN(AE$6-$E$3,22))&lt;&gt;""),Aveia!$E6:INDEX(Aveia!$E6:$Z6,MIN(AE$6-$E$3,22))),0))-IF($G$2,0,IF((AE$6-$G$3)&lt;1,0,IFERROR(LOOKUP(2,1/(Aveia!$E6:INDEX(Aveia!$E6:$Z6,MIN(AE$6-$G$3,22))&lt;&gt;""),Aveia!$E6:INDEX(Aveia!$E6:$Z6,MIN(AE$6-$G$3,22))),0)))))</f>
        <v>0</v>
      </c>
      <c r="AF8" s="27" t="n">
        <f aca="false">IF(COUNT(Aveia!$E6:$Z6)=0,0,MAX(0,IF((AF$6-$E$3)&lt;1,0,IFERROR(LOOKUP(2,1/(Aveia!$E6:INDEX(Aveia!$E6:$Z6,MIN(AF$6-$E$3,22))&lt;&gt;""),Aveia!$E6:INDEX(Aveia!$E6:$Z6,MIN(AF$6-$E$3,22))),0))-IF($G$2,0,IF((AF$6-$G$3)&lt;1,0,IFERROR(LOOKUP(2,1/(Aveia!$E6:INDEX(Aveia!$E6:$Z6,MIN(AF$6-$G$3,22))&lt;&gt;""),Aveia!$E6:INDEX(Aveia!$E6:$Z6,MIN(AF$6-$G$3,22))),0)))))</f>
        <v>0</v>
      </c>
      <c r="AG8" s="27" t="n">
        <f aca="false">IF(COUNT(Aveia!$E6:$Z6)=0,0,MAX(0,IF((AG$6-$E$3)&lt;1,0,IFERROR(LOOKUP(2,1/(Aveia!$E6:INDEX(Aveia!$E6:$Z6,MIN(AG$6-$E$3,22))&lt;&gt;""),Aveia!$E6:INDEX(Aveia!$E6:$Z6,MIN(AG$6-$E$3,22))),0))-IF($G$2,0,IF((AG$6-$G$3)&lt;1,0,IFERROR(LOOKUP(2,1/(Aveia!$E6:INDEX(Aveia!$E6:$Z6,MIN(AG$6-$G$3,22))&lt;&gt;""),Aveia!$E6:INDEX(Aveia!$E6:$Z6,MIN(AG$6-$G$3,22))),0)))))</f>
        <v>0</v>
      </c>
      <c r="AH8" s="27" t="n">
        <f aca="false">IF(COUNT(Aveia!$E6:$Z6)=0,0,MAX(0,IF((AH$6-$E$3)&lt;1,0,IFERROR(LOOKUP(2,1/(Aveia!$E6:INDEX(Aveia!$E6:$Z6,MIN(AH$6-$E$3,22))&lt;&gt;""),Aveia!$E6:INDEX(Aveia!$E6:$Z6,MIN(AH$6-$E$3,22))),0))-IF($G$2,0,IF((AH$6-$G$3)&lt;1,0,IFERROR(LOOKUP(2,1/(Aveia!$E6:INDEX(Aveia!$E6:$Z6,MIN(AH$6-$G$3,22))&lt;&gt;""),Aveia!$E6:INDEX(Aveia!$E6:$Z6,MIN(AH$6-$G$3,22))),0)))))</f>
        <v>0</v>
      </c>
      <c r="AI8" s="27" t="n">
        <f aca="false">IF(COUNT(Aveia!$E6:$Z6)=0,0,MAX(0,IF((AI$6-$E$3)&lt;1,0,IFERROR(LOOKUP(2,1/(Aveia!$E6:INDEX(Aveia!$E6:$Z6,MIN(AI$6-$E$3,22))&lt;&gt;""),Aveia!$E6:INDEX(Aveia!$E6:$Z6,MIN(AI$6-$E$3,22))),0))-IF($G$2,0,IF((AI$6-$G$3)&lt;1,0,IFERROR(LOOKUP(2,1/(Aveia!$E6:INDEX(Aveia!$E6:$Z6,MIN(AI$6-$G$3,22))&lt;&gt;""),Aveia!$E6:INDEX(Aveia!$E6:$Z6,MIN(AI$6-$G$3,22))),0)))))</f>
        <v>0</v>
      </c>
      <c r="AJ8" s="27" t="n">
        <f aca="false">IF(COUNT(Aveia!$E6:$Z6)=0,0,MAX(0,IF((AJ$6-$E$3)&lt;1,0,IFERROR(LOOKUP(2,1/(Aveia!$E6:INDEX(Aveia!$E6:$Z6,MIN(AJ$6-$E$3,22))&lt;&gt;""),Aveia!$E6:INDEX(Aveia!$E6:$Z6,MIN(AJ$6-$E$3,22))),0))-IF($G$2,0,IF((AJ$6-$G$3)&lt;1,0,IFERROR(LOOKUP(2,1/(Aveia!$E6:INDEX(Aveia!$E6:$Z6,MIN(AJ$6-$G$3,22))&lt;&gt;""),Aveia!$E6:INDEX(Aveia!$E6:$Z6,MIN(AJ$6-$G$3,22))),0)))))</f>
        <v>0</v>
      </c>
      <c r="AK8" s="27" t="n">
        <f aca="false">IF(COUNT(Aveia!$E6:$Z6)=0,0,MAX(0,IF((AK$6-$E$3)&lt;1,0,IFERROR(LOOKUP(2,1/(Aveia!$E6:INDEX(Aveia!$E6:$Z6,MIN(AK$6-$E$3,22))&lt;&gt;""),Aveia!$E6:INDEX(Aveia!$E6:$Z6,MIN(AK$6-$E$3,22))),0))-IF($G$2,0,IF((AK$6-$G$3)&lt;1,0,IFERROR(LOOKUP(2,1/(Aveia!$E6:INDEX(Aveia!$E6:$Z6,MIN(AK$6-$G$3,22))&lt;&gt;""),Aveia!$E6:INDEX(Aveia!$E6:$Z6,MIN(AK$6-$G$3,22))),0)))))</f>
        <v>0</v>
      </c>
      <c r="AL8" s="27" t="n">
        <f aca="false">IF(COUNT(Aveia!$E6:$Z6)=0,0,MAX(0,IF((AL$6-$E$3)&lt;1,0,IFERROR(LOOKUP(2,1/(Aveia!$E6:INDEX(Aveia!$E6:$Z6,MIN(AL$6-$E$3,22))&lt;&gt;""),Aveia!$E6:INDEX(Aveia!$E6:$Z6,MIN(AL$6-$E$3,22))),0))-IF($G$2,0,IF((AL$6-$G$3)&lt;1,0,IFERROR(LOOKUP(2,1/(Aveia!$E6:INDEX(Aveia!$E6:$Z6,MIN(AL$6-$G$3,22))&lt;&gt;""),Aveia!$E6:INDEX(Aveia!$E6:$Z6,MIN(AL$6-$G$3,22))),0)))))</f>
        <v>0</v>
      </c>
      <c r="AM8" s="27" t="n">
        <f aca="false">IF(COUNT(Aveia!$E6:$Z6)=0,0,MAX(0,IF((AM$6-$E$3)&lt;1,0,IFERROR(LOOKUP(2,1/(Aveia!$E6:INDEX(Aveia!$E6:$Z6,MIN(AM$6-$E$3,22))&lt;&gt;""),Aveia!$E6:INDEX(Aveia!$E6:$Z6,MIN(AM$6-$E$3,22))),0))-IF($G$2,0,IF((AM$6-$G$3)&lt;1,0,IFERROR(LOOKUP(2,1/(Aveia!$E6:INDEX(Aveia!$E6:$Z6,MIN(AM$6-$G$3,22))&lt;&gt;""),Aveia!$E6:INDEX(Aveia!$E6:$Z6,MIN(AM$6-$G$3,22))),0)))))</f>
        <v>0</v>
      </c>
      <c r="AN8" s="27" t="n">
        <f aca="false">IF(COUNT(Aveia!$E6:$Z6)=0,0,MAX(0,IF((AN$6-$E$3)&lt;1,0,IFERROR(LOOKUP(2,1/(Aveia!$E6:INDEX(Aveia!$E6:$Z6,MIN(AN$6-$E$3,22))&lt;&gt;""),Aveia!$E6:INDEX(Aveia!$E6:$Z6,MIN(AN$6-$E$3,22))),0))-IF($G$2,0,IF((AN$6-$G$3)&lt;1,0,IFERROR(LOOKUP(2,1/(Aveia!$E6:INDEX(Aveia!$E6:$Z6,MIN(AN$6-$G$3,22))&lt;&gt;""),Aveia!$E6:INDEX(Aveia!$E6:$Z6,MIN(AN$6-$G$3,22))),0)))))</f>
        <v>0</v>
      </c>
      <c r="AO8" s="27" t="n">
        <f aca="false">IF(COUNT(Aveia!$E6:$Z6)=0,0,MAX(0,IF((AO$6-$E$3)&lt;1,0,IFERROR(LOOKUP(2,1/(Aveia!$E6:INDEX(Aveia!$E6:$Z6,MIN(AO$6-$E$3,22))&lt;&gt;""),Aveia!$E6:INDEX(Aveia!$E6:$Z6,MIN(AO$6-$E$3,22))),0))-IF($G$2,0,IF((AO$6-$G$3)&lt;1,0,IFERROR(LOOKUP(2,1/(Aveia!$E6:INDEX(Aveia!$E6:$Z6,MIN(AO$6-$G$3,22))&lt;&gt;""),Aveia!$E6:INDEX(Aveia!$E6:$Z6,MIN(AO$6-$G$3,22))),0)))))</f>
        <v>0</v>
      </c>
      <c r="AP8" s="27" t="n">
        <f aca="false">IF(COUNT(Aveia!$E6:$Z6)=0,0,MAX(0,IF((AP$6-$E$3)&lt;1,0,IFERROR(LOOKUP(2,1/(Aveia!$E6:INDEX(Aveia!$E6:$Z6,MIN(AP$6-$E$3,22))&lt;&gt;""),Aveia!$E6:INDEX(Aveia!$E6:$Z6,MIN(AP$6-$E$3,22))),0))-IF($G$2,0,IF((AP$6-$G$3)&lt;1,0,IFERROR(LOOKUP(2,1/(Aveia!$E6:INDEX(Aveia!$E6:$Z6,MIN(AP$6-$G$3,22))&lt;&gt;""),Aveia!$E6:INDEX(Aveia!$E6:$Z6,MIN(AP$6-$G$3,22))),0)))))</f>
        <v>0</v>
      </c>
      <c r="AQ8" s="27" t="n">
        <f aca="false">IF(COUNT(Aveia!$E6:$Z6)=0,0,MAX(0,IF((AQ$6-$E$3)&lt;1,0,IFERROR(LOOKUP(2,1/(Aveia!$E6:INDEX(Aveia!$E6:$Z6,MIN(AQ$6-$E$3,22))&lt;&gt;""),Aveia!$E6:INDEX(Aveia!$E6:$Z6,MIN(AQ$6-$E$3,22))),0))-IF($G$2,0,IF((AQ$6-$G$3)&lt;1,0,IFERROR(LOOKUP(2,1/(Aveia!$E6:INDEX(Aveia!$E6:$Z6,MIN(AQ$6-$G$3,22))&lt;&gt;""),Aveia!$E6:INDEX(Aveia!$E6:$Z6,MIN(AQ$6-$G$3,22))),0)))))</f>
        <v>0</v>
      </c>
      <c r="AR8" s="27" t="n">
        <f aca="false">IF(COUNT(Aveia!$E6:$Z6)=0,0,MAX(0,IF((AR$6-$E$3)&lt;1,0,IFERROR(LOOKUP(2,1/(Aveia!$E6:INDEX(Aveia!$E6:$Z6,MIN(AR$6-$E$3,22))&lt;&gt;""),Aveia!$E6:INDEX(Aveia!$E6:$Z6,MIN(AR$6-$E$3,22))),0))-IF($G$2,0,IF((AR$6-$G$3)&lt;1,0,IFERROR(LOOKUP(2,1/(Aveia!$E6:INDEX(Aveia!$E6:$Z6,MIN(AR$6-$G$3,22))&lt;&gt;""),Aveia!$E6:INDEX(Aveia!$E6:$Z6,MIN(AR$6-$G$3,22))),0)))))</f>
        <v>0</v>
      </c>
      <c r="AS8" s="27" t="n">
        <f aca="false">IF(COUNT(Aveia!$E6:$Z6)=0,0,MAX(0,IF((AS$6-$E$3)&lt;1,0,IFERROR(LOOKUP(2,1/(Aveia!$E6:INDEX(Aveia!$E6:$Z6,MIN(AS$6-$E$3,22))&lt;&gt;""),Aveia!$E6:INDEX(Aveia!$E6:$Z6,MIN(AS$6-$E$3,22))),0))-IF($G$2,0,IF((AS$6-$G$3)&lt;1,0,IFERROR(LOOKUP(2,1/(Aveia!$E6:INDEX(Aveia!$E6:$Z6,MIN(AS$6-$G$3,22))&lt;&gt;""),Aveia!$E6:INDEX(Aveia!$E6:$Z6,MIN(AS$6-$G$3,22))),0)))))</f>
        <v>0</v>
      </c>
      <c r="AT8" s="27" t="n">
        <f aca="false">IF(COUNT(Aveia!$E6:$Z6)=0,0,MAX(0,IF((AT$6-$E$3)&lt;1,0,IFERROR(LOOKUP(2,1/(Aveia!$E6:INDEX(Aveia!$E6:$Z6,MIN(AT$6-$E$3,22))&lt;&gt;""),Aveia!$E6:INDEX(Aveia!$E6:$Z6,MIN(AT$6-$E$3,22))),0))-IF($G$2,0,IF((AT$6-$G$3)&lt;1,0,IFERROR(LOOKUP(2,1/(Aveia!$E6:INDEX(Aveia!$E6:$Z6,MIN(AT$6-$G$3,22))&lt;&gt;""),Aveia!$E6:INDEX(Aveia!$E6:$Z6,MIN(AT$6-$G$3,22))),0)))))</f>
        <v>0</v>
      </c>
      <c r="AU8" s="27" t="n">
        <f aca="false">IF(COUNT(Aveia!$E6:$Z6)=0,0,MAX(0,IF((AU$6-$E$3)&lt;1,0,IFERROR(LOOKUP(2,1/(Aveia!$E6:INDEX(Aveia!$E6:$Z6,MIN(AU$6-$E$3,22))&lt;&gt;""),Aveia!$E6:INDEX(Aveia!$E6:$Z6,MIN(AU$6-$E$3,22))),0))-IF($G$2,0,IF((AU$6-$G$3)&lt;1,0,IFERROR(LOOKUP(2,1/(Aveia!$E6:INDEX(Aveia!$E6:$Z6,MIN(AU$6-$G$3,22))&lt;&gt;""),Aveia!$E6:INDEX(Aveia!$E6:$Z6,MIN(AU$6-$G$3,22))),0)))))</f>
        <v>0</v>
      </c>
      <c r="AV8" s="27" t="n">
        <f aca="false">IF(COUNT(Aveia!$E6:$Z6)=0,0,MAX(0,IF((AV$6-$E$3)&lt;1,0,IFERROR(LOOKUP(2,1/(Aveia!$E6:INDEX(Aveia!$E6:$Z6,MIN(AV$6-$E$3,22))&lt;&gt;""),Aveia!$E6:INDEX(Aveia!$E6:$Z6,MIN(AV$6-$E$3,22))),0))-IF($G$2,0,IF((AV$6-$G$3)&lt;1,0,IFERROR(LOOKUP(2,1/(Aveia!$E6:INDEX(Aveia!$E6:$Z6,MIN(AV$6-$G$3,22))&lt;&gt;""),Aveia!$E6:INDEX(Aveia!$E6:$Z6,MIN(AV$6-$G$3,22))),0)))))</f>
        <v>0</v>
      </c>
      <c r="AW8" s="27" t="n">
        <f aca="false">IF(COUNT(Aveia!$E6:$Z6)=0,0,MAX(0,IF((AW$6-$E$3)&lt;1,0,IFERROR(LOOKUP(2,1/(Aveia!$E6:INDEX(Aveia!$E6:$Z6,MIN(AW$6-$E$3,22))&lt;&gt;""),Aveia!$E6:INDEX(Aveia!$E6:$Z6,MIN(AW$6-$E$3,22))),0))-IF($G$2,0,IF((AW$6-$G$3)&lt;1,0,IFERROR(LOOKUP(2,1/(Aveia!$E6:INDEX(Aveia!$E6:$Z6,MIN(AW$6-$G$3,22))&lt;&gt;""),Aveia!$E6:INDEX(Aveia!$E6:$Z6,MIN(AW$6-$G$3,22))),0)))))</f>
        <v>0</v>
      </c>
      <c r="AX8" s="27" t="n">
        <f aca="false">IF(COUNT(Aveia!$E6:$Z6)=0,0,MAX(0,IF((AX$6-$E$3)&lt;1,0,IFERROR(LOOKUP(2,1/(Aveia!$E6:INDEX(Aveia!$E6:$Z6,MIN(AX$6-$E$3,22))&lt;&gt;""),Aveia!$E6:INDEX(Aveia!$E6:$Z6,MIN(AX$6-$E$3,22))),0))-IF($G$2,0,IF((AX$6-$G$3)&lt;1,0,IFERROR(LOOKUP(2,1/(Aveia!$E6:INDEX(Aveia!$E6:$Z6,MIN(AX$6-$G$3,22))&lt;&gt;""),Aveia!$E6:INDEX(Aveia!$E6:$Z6,MIN(AX$6-$G$3,22))),0)))))</f>
        <v>0</v>
      </c>
      <c r="AY8" s="27" t="n">
        <f aca="false">IF(COUNT(Aveia!$E6:$Z6)=0,0,MAX(0,IF((AY$6-$E$3)&lt;1,0,IFERROR(LOOKUP(2,1/(Aveia!$E6:INDEX(Aveia!$E6:$Z6,MIN(AY$6-$E$3,22))&lt;&gt;""),Aveia!$E6:INDEX(Aveia!$E6:$Z6,MIN(AY$6-$E$3,22))),0))-IF($G$2,0,IF((AY$6-$G$3)&lt;1,0,IFERROR(LOOKUP(2,1/(Aveia!$E6:INDEX(Aveia!$E6:$Z6,MIN(AY$6-$G$3,22))&lt;&gt;""),Aveia!$E6:INDEX(Aveia!$E6:$Z6,MIN(AY$6-$G$3,22))),0)))))</f>
        <v>0</v>
      </c>
      <c r="AZ8" s="27" t="n">
        <f aca="false">IF(COUNT(Aveia!$E6:$Z6)=0,0,MAX(0,IF((AZ$6-$E$3)&lt;1,0,IFERROR(LOOKUP(2,1/(Aveia!$E6:INDEX(Aveia!$E6:$Z6,MIN(AZ$6-$E$3,22))&lt;&gt;""),Aveia!$E6:INDEX(Aveia!$E6:$Z6,MIN(AZ$6-$E$3,22))),0))-IF($G$2,0,IF((AZ$6-$G$3)&lt;1,0,IFERROR(LOOKUP(2,1/(Aveia!$E6:INDEX(Aveia!$E6:$Z6,MIN(AZ$6-$G$3,22))&lt;&gt;""),Aveia!$E6:INDEX(Aveia!$E6:$Z6,MIN(AZ$6-$G$3,22))),0)))))</f>
        <v>0</v>
      </c>
    </row>
    <row r="9" customFormat="false" ht="15" hidden="false" customHeight="false" outlineLevel="0" collapsed="false">
      <c r="A9" s="3" t="s">
        <v>133</v>
      </c>
      <c r="B9" s="3" t="s">
        <v>134</v>
      </c>
      <c r="C9" s="10" t="s">
        <v>134</v>
      </c>
      <c r="D9" s="26" t="n">
        <f aca="false">IF(COUNT(Aveia!$E7:$Z7)&gt;0,N(Aveia!$D7),0)</f>
        <v>0</v>
      </c>
      <c r="E9" s="27" t="n">
        <f aca="false">IF(COUNT(Aveia!$E7:$Z7)=0,0,MAX(0,IF((E$6-$E$3)&lt;1,0,IFERROR(LOOKUP(2,1/(Aveia!$E7:INDEX(Aveia!$E7:$Z7,MIN(E$6-$E$3,22))&lt;&gt;""),Aveia!$E7:INDEX(Aveia!$E7:$Z7,MIN(E$6-$E$3,22))),0))-IF($G$2,0,IF((E$6-$G$3)&lt;1,0,IFERROR(LOOKUP(2,1/(Aveia!$E7:INDEX(Aveia!$E7:$Z7,MIN(E$6-$G$3,22))&lt;&gt;""),Aveia!$E7:INDEX(Aveia!$E7:$Z7,MIN(E$6-$G$3,22))),0)))))</f>
        <v>0</v>
      </c>
      <c r="F9" s="27" t="n">
        <f aca="false">IF(COUNT(Aveia!$E7:$Z7)=0,0,MAX(0,IF((F$6-$E$3)&lt;1,0,IFERROR(LOOKUP(2,1/(Aveia!$E7:INDEX(Aveia!$E7:$Z7,MIN(F$6-$E$3,22))&lt;&gt;""),Aveia!$E7:INDEX(Aveia!$E7:$Z7,MIN(F$6-$E$3,22))),0))-IF($G$2,0,IF((F$6-$G$3)&lt;1,0,IFERROR(LOOKUP(2,1/(Aveia!$E7:INDEX(Aveia!$E7:$Z7,MIN(F$6-$G$3,22))&lt;&gt;""),Aveia!$E7:INDEX(Aveia!$E7:$Z7,MIN(F$6-$G$3,22))),0)))))</f>
        <v>0</v>
      </c>
      <c r="G9" s="27" t="n">
        <f aca="false">IF(COUNT(Aveia!$E7:$Z7)=0,0,MAX(0,IF((G$6-$E$3)&lt;1,0,IFERROR(LOOKUP(2,1/(Aveia!$E7:INDEX(Aveia!$E7:$Z7,MIN(G$6-$E$3,22))&lt;&gt;""),Aveia!$E7:INDEX(Aveia!$E7:$Z7,MIN(G$6-$E$3,22))),0))-IF($G$2,0,IF((G$6-$G$3)&lt;1,0,IFERROR(LOOKUP(2,1/(Aveia!$E7:INDEX(Aveia!$E7:$Z7,MIN(G$6-$G$3,22))&lt;&gt;""),Aveia!$E7:INDEX(Aveia!$E7:$Z7,MIN(G$6-$G$3,22))),0)))))</f>
        <v>0</v>
      </c>
      <c r="H9" s="27" t="n">
        <f aca="false">IF(COUNT(Aveia!$E7:$Z7)=0,0,MAX(0,IF((H$6-$E$3)&lt;1,0,IFERROR(LOOKUP(2,1/(Aveia!$E7:INDEX(Aveia!$E7:$Z7,MIN(H$6-$E$3,22))&lt;&gt;""),Aveia!$E7:INDEX(Aveia!$E7:$Z7,MIN(H$6-$E$3,22))),0))-IF($G$2,0,IF((H$6-$G$3)&lt;1,0,IFERROR(LOOKUP(2,1/(Aveia!$E7:INDEX(Aveia!$E7:$Z7,MIN(H$6-$G$3,22))&lt;&gt;""),Aveia!$E7:INDEX(Aveia!$E7:$Z7,MIN(H$6-$G$3,22))),0)))))</f>
        <v>0</v>
      </c>
      <c r="I9" s="27" t="n">
        <f aca="false">IF(COUNT(Aveia!$E7:$Z7)=0,0,MAX(0,IF((I$6-$E$3)&lt;1,0,IFERROR(LOOKUP(2,1/(Aveia!$E7:INDEX(Aveia!$E7:$Z7,MIN(I$6-$E$3,22))&lt;&gt;""),Aveia!$E7:INDEX(Aveia!$E7:$Z7,MIN(I$6-$E$3,22))),0))-IF($G$2,0,IF((I$6-$G$3)&lt;1,0,IFERROR(LOOKUP(2,1/(Aveia!$E7:INDEX(Aveia!$E7:$Z7,MIN(I$6-$G$3,22))&lt;&gt;""),Aveia!$E7:INDEX(Aveia!$E7:$Z7,MIN(I$6-$G$3,22))),0)))))</f>
        <v>0</v>
      </c>
      <c r="J9" s="27" t="n">
        <f aca="false">IF(COUNT(Aveia!$E7:$Z7)=0,0,MAX(0,IF((J$6-$E$3)&lt;1,0,IFERROR(LOOKUP(2,1/(Aveia!$E7:INDEX(Aveia!$E7:$Z7,MIN(J$6-$E$3,22))&lt;&gt;""),Aveia!$E7:INDEX(Aveia!$E7:$Z7,MIN(J$6-$E$3,22))),0))-IF($G$2,0,IF((J$6-$G$3)&lt;1,0,IFERROR(LOOKUP(2,1/(Aveia!$E7:INDEX(Aveia!$E7:$Z7,MIN(J$6-$G$3,22))&lt;&gt;""),Aveia!$E7:INDEX(Aveia!$E7:$Z7,MIN(J$6-$G$3,22))),0)))))</f>
        <v>0</v>
      </c>
      <c r="K9" s="27" t="n">
        <f aca="false">IF(COUNT(Aveia!$E7:$Z7)=0,0,MAX(0,IF((K$6-$E$3)&lt;1,0,IFERROR(LOOKUP(2,1/(Aveia!$E7:INDEX(Aveia!$E7:$Z7,MIN(K$6-$E$3,22))&lt;&gt;""),Aveia!$E7:INDEX(Aveia!$E7:$Z7,MIN(K$6-$E$3,22))),0))-IF($G$2,0,IF((K$6-$G$3)&lt;1,0,IFERROR(LOOKUP(2,1/(Aveia!$E7:INDEX(Aveia!$E7:$Z7,MIN(K$6-$G$3,22))&lt;&gt;""),Aveia!$E7:INDEX(Aveia!$E7:$Z7,MIN(K$6-$G$3,22))),0)))))</f>
        <v>0</v>
      </c>
      <c r="L9" s="27" t="n">
        <f aca="false">IF(COUNT(Aveia!$E7:$Z7)=0,0,MAX(0,IF((L$6-$E$3)&lt;1,0,IFERROR(LOOKUP(2,1/(Aveia!$E7:INDEX(Aveia!$E7:$Z7,MIN(L$6-$E$3,22))&lt;&gt;""),Aveia!$E7:INDEX(Aveia!$E7:$Z7,MIN(L$6-$E$3,22))),0))-IF($G$2,0,IF((L$6-$G$3)&lt;1,0,IFERROR(LOOKUP(2,1/(Aveia!$E7:INDEX(Aveia!$E7:$Z7,MIN(L$6-$G$3,22))&lt;&gt;""),Aveia!$E7:INDEX(Aveia!$E7:$Z7,MIN(L$6-$G$3,22))),0)))))</f>
        <v>0</v>
      </c>
      <c r="M9" s="27" t="n">
        <f aca="false">IF(COUNT(Aveia!$E7:$Z7)=0,0,MAX(0,IF((M$6-$E$3)&lt;1,0,IFERROR(LOOKUP(2,1/(Aveia!$E7:INDEX(Aveia!$E7:$Z7,MIN(M$6-$E$3,22))&lt;&gt;""),Aveia!$E7:INDEX(Aveia!$E7:$Z7,MIN(M$6-$E$3,22))),0))-IF($G$2,0,IF((M$6-$G$3)&lt;1,0,IFERROR(LOOKUP(2,1/(Aveia!$E7:INDEX(Aveia!$E7:$Z7,MIN(M$6-$G$3,22))&lt;&gt;""),Aveia!$E7:INDEX(Aveia!$E7:$Z7,MIN(M$6-$G$3,22))),0)))))</f>
        <v>0</v>
      </c>
      <c r="N9" s="27" t="n">
        <f aca="false">IF(COUNT(Aveia!$E7:$Z7)=0,0,MAX(0,IF((N$6-$E$3)&lt;1,0,IFERROR(LOOKUP(2,1/(Aveia!$E7:INDEX(Aveia!$E7:$Z7,MIN(N$6-$E$3,22))&lt;&gt;""),Aveia!$E7:INDEX(Aveia!$E7:$Z7,MIN(N$6-$E$3,22))),0))-IF($G$2,0,IF((N$6-$G$3)&lt;1,0,IFERROR(LOOKUP(2,1/(Aveia!$E7:INDEX(Aveia!$E7:$Z7,MIN(N$6-$G$3,22))&lt;&gt;""),Aveia!$E7:INDEX(Aveia!$E7:$Z7,MIN(N$6-$G$3,22))),0)))))</f>
        <v>0</v>
      </c>
      <c r="O9" s="27" t="n">
        <f aca="false">IF(COUNT(Aveia!$E7:$Z7)=0,0,MAX(0,IF((O$6-$E$3)&lt;1,0,IFERROR(LOOKUP(2,1/(Aveia!$E7:INDEX(Aveia!$E7:$Z7,MIN(O$6-$E$3,22))&lt;&gt;""),Aveia!$E7:INDEX(Aveia!$E7:$Z7,MIN(O$6-$E$3,22))),0))-IF($G$2,0,IF((O$6-$G$3)&lt;1,0,IFERROR(LOOKUP(2,1/(Aveia!$E7:INDEX(Aveia!$E7:$Z7,MIN(O$6-$G$3,22))&lt;&gt;""),Aveia!$E7:INDEX(Aveia!$E7:$Z7,MIN(O$6-$G$3,22))),0)))))</f>
        <v>0</v>
      </c>
      <c r="P9" s="27" t="n">
        <f aca="false">IF(COUNT(Aveia!$E7:$Z7)=0,0,MAX(0,IF((P$6-$E$3)&lt;1,0,IFERROR(LOOKUP(2,1/(Aveia!$E7:INDEX(Aveia!$E7:$Z7,MIN(P$6-$E$3,22))&lt;&gt;""),Aveia!$E7:INDEX(Aveia!$E7:$Z7,MIN(P$6-$E$3,22))),0))-IF($G$2,0,IF((P$6-$G$3)&lt;1,0,IFERROR(LOOKUP(2,1/(Aveia!$E7:INDEX(Aveia!$E7:$Z7,MIN(P$6-$G$3,22))&lt;&gt;""),Aveia!$E7:INDEX(Aveia!$E7:$Z7,MIN(P$6-$G$3,22))),0)))))</f>
        <v>0</v>
      </c>
      <c r="Q9" s="27" t="n">
        <f aca="false">IF(COUNT(Aveia!$E7:$Z7)=0,0,MAX(0,IF((Q$6-$E$3)&lt;1,0,IFERROR(LOOKUP(2,1/(Aveia!$E7:INDEX(Aveia!$E7:$Z7,MIN(Q$6-$E$3,22))&lt;&gt;""),Aveia!$E7:INDEX(Aveia!$E7:$Z7,MIN(Q$6-$E$3,22))),0))-IF($G$2,0,IF((Q$6-$G$3)&lt;1,0,IFERROR(LOOKUP(2,1/(Aveia!$E7:INDEX(Aveia!$E7:$Z7,MIN(Q$6-$G$3,22))&lt;&gt;""),Aveia!$E7:INDEX(Aveia!$E7:$Z7,MIN(Q$6-$G$3,22))),0)))))</f>
        <v>0</v>
      </c>
      <c r="R9" s="27" t="n">
        <f aca="false">IF(COUNT(Aveia!$E7:$Z7)=0,0,MAX(0,IF((R$6-$E$3)&lt;1,0,IFERROR(LOOKUP(2,1/(Aveia!$E7:INDEX(Aveia!$E7:$Z7,MIN(R$6-$E$3,22))&lt;&gt;""),Aveia!$E7:INDEX(Aveia!$E7:$Z7,MIN(R$6-$E$3,22))),0))-IF($G$2,0,IF((R$6-$G$3)&lt;1,0,IFERROR(LOOKUP(2,1/(Aveia!$E7:INDEX(Aveia!$E7:$Z7,MIN(R$6-$G$3,22))&lt;&gt;""),Aveia!$E7:INDEX(Aveia!$E7:$Z7,MIN(R$6-$G$3,22))),0)))))</f>
        <v>0</v>
      </c>
      <c r="S9" s="27" t="n">
        <f aca="false">IF(COUNT(Aveia!$E7:$Z7)=0,0,MAX(0,IF((S$6-$E$3)&lt;1,0,IFERROR(LOOKUP(2,1/(Aveia!$E7:INDEX(Aveia!$E7:$Z7,MIN(S$6-$E$3,22))&lt;&gt;""),Aveia!$E7:INDEX(Aveia!$E7:$Z7,MIN(S$6-$E$3,22))),0))-IF($G$2,0,IF((S$6-$G$3)&lt;1,0,IFERROR(LOOKUP(2,1/(Aveia!$E7:INDEX(Aveia!$E7:$Z7,MIN(S$6-$G$3,22))&lt;&gt;""),Aveia!$E7:INDEX(Aveia!$E7:$Z7,MIN(S$6-$G$3,22))),0)))))</f>
        <v>0</v>
      </c>
      <c r="T9" s="27" t="n">
        <f aca="false">IF(COUNT(Aveia!$E7:$Z7)=0,0,MAX(0,IF((T$6-$E$3)&lt;1,0,IFERROR(LOOKUP(2,1/(Aveia!$E7:INDEX(Aveia!$E7:$Z7,MIN(T$6-$E$3,22))&lt;&gt;""),Aveia!$E7:INDEX(Aveia!$E7:$Z7,MIN(T$6-$E$3,22))),0))-IF($G$2,0,IF((T$6-$G$3)&lt;1,0,IFERROR(LOOKUP(2,1/(Aveia!$E7:INDEX(Aveia!$E7:$Z7,MIN(T$6-$G$3,22))&lt;&gt;""),Aveia!$E7:INDEX(Aveia!$E7:$Z7,MIN(T$6-$G$3,22))),0)))))</f>
        <v>0</v>
      </c>
      <c r="U9" s="27" t="n">
        <f aca="false">IF(COUNT(Aveia!$E7:$Z7)=0,0,MAX(0,IF((U$6-$E$3)&lt;1,0,IFERROR(LOOKUP(2,1/(Aveia!$E7:INDEX(Aveia!$E7:$Z7,MIN(U$6-$E$3,22))&lt;&gt;""),Aveia!$E7:INDEX(Aveia!$E7:$Z7,MIN(U$6-$E$3,22))),0))-IF($G$2,0,IF((U$6-$G$3)&lt;1,0,IFERROR(LOOKUP(2,1/(Aveia!$E7:INDEX(Aveia!$E7:$Z7,MIN(U$6-$G$3,22))&lt;&gt;""),Aveia!$E7:INDEX(Aveia!$E7:$Z7,MIN(U$6-$G$3,22))),0)))))</f>
        <v>0</v>
      </c>
      <c r="V9" s="27" t="n">
        <f aca="false">IF(COUNT(Aveia!$E7:$Z7)=0,0,MAX(0,IF((V$6-$E$3)&lt;1,0,IFERROR(LOOKUP(2,1/(Aveia!$E7:INDEX(Aveia!$E7:$Z7,MIN(V$6-$E$3,22))&lt;&gt;""),Aveia!$E7:INDEX(Aveia!$E7:$Z7,MIN(V$6-$E$3,22))),0))-IF($G$2,0,IF((V$6-$G$3)&lt;1,0,IFERROR(LOOKUP(2,1/(Aveia!$E7:INDEX(Aveia!$E7:$Z7,MIN(V$6-$G$3,22))&lt;&gt;""),Aveia!$E7:INDEX(Aveia!$E7:$Z7,MIN(V$6-$G$3,22))),0)))))</f>
        <v>0</v>
      </c>
      <c r="W9" s="27" t="n">
        <f aca="false">IF(COUNT(Aveia!$E7:$Z7)=0,0,MAX(0,IF((W$6-$E$3)&lt;1,0,IFERROR(LOOKUP(2,1/(Aveia!$E7:INDEX(Aveia!$E7:$Z7,MIN(W$6-$E$3,22))&lt;&gt;""),Aveia!$E7:INDEX(Aveia!$E7:$Z7,MIN(W$6-$E$3,22))),0))-IF($G$2,0,IF((W$6-$G$3)&lt;1,0,IFERROR(LOOKUP(2,1/(Aveia!$E7:INDEX(Aveia!$E7:$Z7,MIN(W$6-$G$3,22))&lt;&gt;""),Aveia!$E7:INDEX(Aveia!$E7:$Z7,MIN(W$6-$G$3,22))),0)))))</f>
        <v>0</v>
      </c>
      <c r="X9" s="27" t="n">
        <f aca="false">IF(COUNT(Aveia!$E7:$Z7)=0,0,MAX(0,IF((X$6-$E$3)&lt;1,0,IFERROR(LOOKUP(2,1/(Aveia!$E7:INDEX(Aveia!$E7:$Z7,MIN(X$6-$E$3,22))&lt;&gt;""),Aveia!$E7:INDEX(Aveia!$E7:$Z7,MIN(X$6-$E$3,22))),0))-IF($G$2,0,IF((X$6-$G$3)&lt;1,0,IFERROR(LOOKUP(2,1/(Aveia!$E7:INDEX(Aveia!$E7:$Z7,MIN(X$6-$G$3,22))&lt;&gt;""),Aveia!$E7:INDEX(Aveia!$E7:$Z7,MIN(X$6-$G$3,22))),0)))))</f>
        <v>0</v>
      </c>
      <c r="Y9" s="27" t="n">
        <f aca="false">IF(COUNT(Aveia!$E7:$Z7)=0,0,MAX(0,IF((Y$6-$E$3)&lt;1,0,IFERROR(LOOKUP(2,1/(Aveia!$E7:INDEX(Aveia!$E7:$Z7,MIN(Y$6-$E$3,22))&lt;&gt;""),Aveia!$E7:INDEX(Aveia!$E7:$Z7,MIN(Y$6-$E$3,22))),0))-IF($G$2,0,IF((Y$6-$G$3)&lt;1,0,IFERROR(LOOKUP(2,1/(Aveia!$E7:INDEX(Aveia!$E7:$Z7,MIN(Y$6-$G$3,22))&lt;&gt;""),Aveia!$E7:INDEX(Aveia!$E7:$Z7,MIN(Y$6-$G$3,22))),0)))))</f>
        <v>0</v>
      </c>
      <c r="Z9" s="27" t="n">
        <f aca="false">IF(COUNT(Aveia!$E7:$Z7)=0,0,MAX(0,IF((Z$6-$E$3)&lt;1,0,IFERROR(LOOKUP(2,1/(Aveia!$E7:INDEX(Aveia!$E7:$Z7,MIN(Z$6-$E$3,22))&lt;&gt;""),Aveia!$E7:INDEX(Aveia!$E7:$Z7,MIN(Z$6-$E$3,22))),0))-IF($G$2,0,IF((Z$6-$G$3)&lt;1,0,IFERROR(LOOKUP(2,1/(Aveia!$E7:INDEX(Aveia!$E7:$Z7,MIN(Z$6-$G$3,22))&lt;&gt;""),Aveia!$E7:INDEX(Aveia!$E7:$Z7,MIN(Z$6-$G$3,22))),0)))))</f>
        <v>0</v>
      </c>
      <c r="AA9" s="27" t="n">
        <f aca="false">IF(COUNT(Aveia!$E7:$Z7)=0,0,MAX(0,IF((AA$6-$E$3)&lt;1,0,IFERROR(LOOKUP(2,1/(Aveia!$E7:INDEX(Aveia!$E7:$Z7,MIN(AA$6-$E$3,22))&lt;&gt;""),Aveia!$E7:INDEX(Aveia!$E7:$Z7,MIN(AA$6-$E$3,22))),0))-IF($G$2,0,IF((AA$6-$G$3)&lt;1,0,IFERROR(LOOKUP(2,1/(Aveia!$E7:INDEX(Aveia!$E7:$Z7,MIN(AA$6-$G$3,22))&lt;&gt;""),Aveia!$E7:INDEX(Aveia!$E7:$Z7,MIN(AA$6-$G$3,22))),0)))))</f>
        <v>0</v>
      </c>
      <c r="AB9" s="27" t="n">
        <f aca="false">IF(COUNT(Aveia!$E7:$Z7)=0,0,MAX(0,IF((AB$6-$E$3)&lt;1,0,IFERROR(LOOKUP(2,1/(Aveia!$E7:INDEX(Aveia!$E7:$Z7,MIN(AB$6-$E$3,22))&lt;&gt;""),Aveia!$E7:INDEX(Aveia!$E7:$Z7,MIN(AB$6-$E$3,22))),0))-IF($G$2,0,IF((AB$6-$G$3)&lt;1,0,IFERROR(LOOKUP(2,1/(Aveia!$E7:INDEX(Aveia!$E7:$Z7,MIN(AB$6-$G$3,22))&lt;&gt;""),Aveia!$E7:INDEX(Aveia!$E7:$Z7,MIN(AB$6-$G$3,22))),0)))))</f>
        <v>0</v>
      </c>
      <c r="AC9" s="27" t="n">
        <f aca="false">IF(COUNT(Aveia!$E7:$Z7)=0,0,MAX(0,IF((AC$6-$E$3)&lt;1,0,IFERROR(LOOKUP(2,1/(Aveia!$E7:INDEX(Aveia!$E7:$Z7,MIN(AC$6-$E$3,22))&lt;&gt;""),Aveia!$E7:INDEX(Aveia!$E7:$Z7,MIN(AC$6-$E$3,22))),0))-IF($G$2,0,IF((AC$6-$G$3)&lt;1,0,IFERROR(LOOKUP(2,1/(Aveia!$E7:INDEX(Aveia!$E7:$Z7,MIN(AC$6-$G$3,22))&lt;&gt;""),Aveia!$E7:INDEX(Aveia!$E7:$Z7,MIN(AC$6-$G$3,22))),0)))))</f>
        <v>0</v>
      </c>
      <c r="AD9" s="27" t="n">
        <f aca="false">IF(COUNT(Aveia!$E7:$Z7)=0,0,MAX(0,IF((AD$6-$E$3)&lt;1,0,IFERROR(LOOKUP(2,1/(Aveia!$E7:INDEX(Aveia!$E7:$Z7,MIN(AD$6-$E$3,22))&lt;&gt;""),Aveia!$E7:INDEX(Aveia!$E7:$Z7,MIN(AD$6-$E$3,22))),0))-IF($G$2,0,IF((AD$6-$G$3)&lt;1,0,IFERROR(LOOKUP(2,1/(Aveia!$E7:INDEX(Aveia!$E7:$Z7,MIN(AD$6-$G$3,22))&lt;&gt;""),Aveia!$E7:INDEX(Aveia!$E7:$Z7,MIN(AD$6-$G$3,22))),0)))))</f>
        <v>0</v>
      </c>
      <c r="AE9" s="27" t="n">
        <f aca="false">IF(COUNT(Aveia!$E7:$Z7)=0,0,MAX(0,IF((AE$6-$E$3)&lt;1,0,IFERROR(LOOKUP(2,1/(Aveia!$E7:INDEX(Aveia!$E7:$Z7,MIN(AE$6-$E$3,22))&lt;&gt;""),Aveia!$E7:INDEX(Aveia!$E7:$Z7,MIN(AE$6-$E$3,22))),0))-IF($G$2,0,IF((AE$6-$G$3)&lt;1,0,IFERROR(LOOKUP(2,1/(Aveia!$E7:INDEX(Aveia!$E7:$Z7,MIN(AE$6-$G$3,22))&lt;&gt;""),Aveia!$E7:INDEX(Aveia!$E7:$Z7,MIN(AE$6-$G$3,22))),0)))))</f>
        <v>0</v>
      </c>
      <c r="AF9" s="27" t="n">
        <f aca="false">IF(COUNT(Aveia!$E7:$Z7)=0,0,MAX(0,IF((AF$6-$E$3)&lt;1,0,IFERROR(LOOKUP(2,1/(Aveia!$E7:INDEX(Aveia!$E7:$Z7,MIN(AF$6-$E$3,22))&lt;&gt;""),Aveia!$E7:INDEX(Aveia!$E7:$Z7,MIN(AF$6-$E$3,22))),0))-IF($G$2,0,IF((AF$6-$G$3)&lt;1,0,IFERROR(LOOKUP(2,1/(Aveia!$E7:INDEX(Aveia!$E7:$Z7,MIN(AF$6-$G$3,22))&lt;&gt;""),Aveia!$E7:INDEX(Aveia!$E7:$Z7,MIN(AF$6-$G$3,22))),0)))))</f>
        <v>0</v>
      </c>
      <c r="AG9" s="27" t="n">
        <f aca="false">IF(COUNT(Aveia!$E7:$Z7)=0,0,MAX(0,IF((AG$6-$E$3)&lt;1,0,IFERROR(LOOKUP(2,1/(Aveia!$E7:INDEX(Aveia!$E7:$Z7,MIN(AG$6-$E$3,22))&lt;&gt;""),Aveia!$E7:INDEX(Aveia!$E7:$Z7,MIN(AG$6-$E$3,22))),0))-IF($G$2,0,IF((AG$6-$G$3)&lt;1,0,IFERROR(LOOKUP(2,1/(Aveia!$E7:INDEX(Aveia!$E7:$Z7,MIN(AG$6-$G$3,22))&lt;&gt;""),Aveia!$E7:INDEX(Aveia!$E7:$Z7,MIN(AG$6-$G$3,22))),0)))))</f>
        <v>0</v>
      </c>
      <c r="AH9" s="27" t="n">
        <f aca="false">IF(COUNT(Aveia!$E7:$Z7)=0,0,MAX(0,IF((AH$6-$E$3)&lt;1,0,IFERROR(LOOKUP(2,1/(Aveia!$E7:INDEX(Aveia!$E7:$Z7,MIN(AH$6-$E$3,22))&lt;&gt;""),Aveia!$E7:INDEX(Aveia!$E7:$Z7,MIN(AH$6-$E$3,22))),0))-IF($G$2,0,IF((AH$6-$G$3)&lt;1,0,IFERROR(LOOKUP(2,1/(Aveia!$E7:INDEX(Aveia!$E7:$Z7,MIN(AH$6-$G$3,22))&lt;&gt;""),Aveia!$E7:INDEX(Aveia!$E7:$Z7,MIN(AH$6-$G$3,22))),0)))))</f>
        <v>0</v>
      </c>
      <c r="AI9" s="27" t="n">
        <f aca="false">IF(COUNT(Aveia!$E7:$Z7)=0,0,MAX(0,IF((AI$6-$E$3)&lt;1,0,IFERROR(LOOKUP(2,1/(Aveia!$E7:INDEX(Aveia!$E7:$Z7,MIN(AI$6-$E$3,22))&lt;&gt;""),Aveia!$E7:INDEX(Aveia!$E7:$Z7,MIN(AI$6-$E$3,22))),0))-IF($G$2,0,IF((AI$6-$G$3)&lt;1,0,IFERROR(LOOKUP(2,1/(Aveia!$E7:INDEX(Aveia!$E7:$Z7,MIN(AI$6-$G$3,22))&lt;&gt;""),Aveia!$E7:INDEX(Aveia!$E7:$Z7,MIN(AI$6-$G$3,22))),0)))))</f>
        <v>0</v>
      </c>
      <c r="AJ9" s="27" t="n">
        <f aca="false">IF(COUNT(Aveia!$E7:$Z7)=0,0,MAX(0,IF((AJ$6-$E$3)&lt;1,0,IFERROR(LOOKUP(2,1/(Aveia!$E7:INDEX(Aveia!$E7:$Z7,MIN(AJ$6-$E$3,22))&lt;&gt;""),Aveia!$E7:INDEX(Aveia!$E7:$Z7,MIN(AJ$6-$E$3,22))),0))-IF($G$2,0,IF((AJ$6-$G$3)&lt;1,0,IFERROR(LOOKUP(2,1/(Aveia!$E7:INDEX(Aveia!$E7:$Z7,MIN(AJ$6-$G$3,22))&lt;&gt;""),Aveia!$E7:INDEX(Aveia!$E7:$Z7,MIN(AJ$6-$G$3,22))),0)))))</f>
        <v>0</v>
      </c>
      <c r="AK9" s="27" t="n">
        <f aca="false">IF(COUNT(Aveia!$E7:$Z7)=0,0,MAX(0,IF((AK$6-$E$3)&lt;1,0,IFERROR(LOOKUP(2,1/(Aveia!$E7:INDEX(Aveia!$E7:$Z7,MIN(AK$6-$E$3,22))&lt;&gt;""),Aveia!$E7:INDEX(Aveia!$E7:$Z7,MIN(AK$6-$E$3,22))),0))-IF($G$2,0,IF((AK$6-$G$3)&lt;1,0,IFERROR(LOOKUP(2,1/(Aveia!$E7:INDEX(Aveia!$E7:$Z7,MIN(AK$6-$G$3,22))&lt;&gt;""),Aveia!$E7:INDEX(Aveia!$E7:$Z7,MIN(AK$6-$G$3,22))),0)))))</f>
        <v>0</v>
      </c>
      <c r="AL9" s="27" t="n">
        <f aca="false">IF(COUNT(Aveia!$E7:$Z7)=0,0,MAX(0,IF((AL$6-$E$3)&lt;1,0,IFERROR(LOOKUP(2,1/(Aveia!$E7:INDEX(Aveia!$E7:$Z7,MIN(AL$6-$E$3,22))&lt;&gt;""),Aveia!$E7:INDEX(Aveia!$E7:$Z7,MIN(AL$6-$E$3,22))),0))-IF($G$2,0,IF((AL$6-$G$3)&lt;1,0,IFERROR(LOOKUP(2,1/(Aveia!$E7:INDEX(Aveia!$E7:$Z7,MIN(AL$6-$G$3,22))&lt;&gt;""),Aveia!$E7:INDEX(Aveia!$E7:$Z7,MIN(AL$6-$G$3,22))),0)))))</f>
        <v>0</v>
      </c>
      <c r="AM9" s="27" t="n">
        <f aca="false">IF(COUNT(Aveia!$E7:$Z7)=0,0,MAX(0,IF((AM$6-$E$3)&lt;1,0,IFERROR(LOOKUP(2,1/(Aveia!$E7:INDEX(Aveia!$E7:$Z7,MIN(AM$6-$E$3,22))&lt;&gt;""),Aveia!$E7:INDEX(Aveia!$E7:$Z7,MIN(AM$6-$E$3,22))),0))-IF($G$2,0,IF((AM$6-$G$3)&lt;1,0,IFERROR(LOOKUP(2,1/(Aveia!$E7:INDEX(Aveia!$E7:$Z7,MIN(AM$6-$G$3,22))&lt;&gt;""),Aveia!$E7:INDEX(Aveia!$E7:$Z7,MIN(AM$6-$G$3,22))),0)))))</f>
        <v>0</v>
      </c>
      <c r="AN9" s="27" t="n">
        <f aca="false">IF(COUNT(Aveia!$E7:$Z7)=0,0,MAX(0,IF((AN$6-$E$3)&lt;1,0,IFERROR(LOOKUP(2,1/(Aveia!$E7:INDEX(Aveia!$E7:$Z7,MIN(AN$6-$E$3,22))&lt;&gt;""),Aveia!$E7:INDEX(Aveia!$E7:$Z7,MIN(AN$6-$E$3,22))),0))-IF($G$2,0,IF((AN$6-$G$3)&lt;1,0,IFERROR(LOOKUP(2,1/(Aveia!$E7:INDEX(Aveia!$E7:$Z7,MIN(AN$6-$G$3,22))&lt;&gt;""),Aveia!$E7:INDEX(Aveia!$E7:$Z7,MIN(AN$6-$G$3,22))),0)))))</f>
        <v>0</v>
      </c>
      <c r="AO9" s="27" t="n">
        <f aca="false">IF(COUNT(Aveia!$E7:$Z7)=0,0,MAX(0,IF((AO$6-$E$3)&lt;1,0,IFERROR(LOOKUP(2,1/(Aveia!$E7:INDEX(Aveia!$E7:$Z7,MIN(AO$6-$E$3,22))&lt;&gt;""),Aveia!$E7:INDEX(Aveia!$E7:$Z7,MIN(AO$6-$E$3,22))),0))-IF($G$2,0,IF((AO$6-$G$3)&lt;1,0,IFERROR(LOOKUP(2,1/(Aveia!$E7:INDEX(Aveia!$E7:$Z7,MIN(AO$6-$G$3,22))&lt;&gt;""),Aveia!$E7:INDEX(Aveia!$E7:$Z7,MIN(AO$6-$G$3,22))),0)))))</f>
        <v>0</v>
      </c>
      <c r="AP9" s="27" t="n">
        <f aca="false">IF(COUNT(Aveia!$E7:$Z7)=0,0,MAX(0,IF((AP$6-$E$3)&lt;1,0,IFERROR(LOOKUP(2,1/(Aveia!$E7:INDEX(Aveia!$E7:$Z7,MIN(AP$6-$E$3,22))&lt;&gt;""),Aveia!$E7:INDEX(Aveia!$E7:$Z7,MIN(AP$6-$E$3,22))),0))-IF($G$2,0,IF((AP$6-$G$3)&lt;1,0,IFERROR(LOOKUP(2,1/(Aveia!$E7:INDEX(Aveia!$E7:$Z7,MIN(AP$6-$G$3,22))&lt;&gt;""),Aveia!$E7:INDEX(Aveia!$E7:$Z7,MIN(AP$6-$G$3,22))),0)))))</f>
        <v>0</v>
      </c>
      <c r="AQ9" s="27" t="n">
        <f aca="false">IF(COUNT(Aveia!$E7:$Z7)=0,0,MAX(0,IF((AQ$6-$E$3)&lt;1,0,IFERROR(LOOKUP(2,1/(Aveia!$E7:INDEX(Aveia!$E7:$Z7,MIN(AQ$6-$E$3,22))&lt;&gt;""),Aveia!$E7:INDEX(Aveia!$E7:$Z7,MIN(AQ$6-$E$3,22))),0))-IF($G$2,0,IF((AQ$6-$G$3)&lt;1,0,IFERROR(LOOKUP(2,1/(Aveia!$E7:INDEX(Aveia!$E7:$Z7,MIN(AQ$6-$G$3,22))&lt;&gt;""),Aveia!$E7:INDEX(Aveia!$E7:$Z7,MIN(AQ$6-$G$3,22))),0)))))</f>
        <v>0</v>
      </c>
      <c r="AR9" s="27" t="n">
        <f aca="false">IF(COUNT(Aveia!$E7:$Z7)=0,0,MAX(0,IF((AR$6-$E$3)&lt;1,0,IFERROR(LOOKUP(2,1/(Aveia!$E7:INDEX(Aveia!$E7:$Z7,MIN(AR$6-$E$3,22))&lt;&gt;""),Aveia!$E7:INDEX(Aveia!$E7:$Z7,MIN(AR$6-$E$3,22))),0))-IF($G$2,0,IF((AR$6-$G$3)&lt;1,0,IFERROR(LOOKUP(2,1/(Aveia!$E7:INDEX(Aveia!$E7:$Z7,MIN(AR$6-$G$3,22))&lt;&gt;""),Aveia!$E7:INDEX(Aveia!$E7:$Z7,MIN(AR$6-$G$3,22))),0)))))</f>
        <v>0</v>
      </c>
      <c r="AS9" s="27" t="n">
        <f aca="false">IF(COUNT(Aveia!$E7:$Z7)=0,0,MAX(0,IF((AS$6-$E$3)&lt;1,0,IFERROR(LOOKUP(2,1/(Aveia!$E7:INDEX(Aveia!$E7:$Z7,MIN(AS$6-$E$3,22))&lt;&gt;""),Aveia!$E7:INDEX(Aveia!$E7:$Z7,MIN(AS$6-$E$3,22))),0))-IF($G$2,0,IF((AS$6-$G$3)&lt;1,0,IFERROR(LOOKUP(2,1/(Aveia!$E7:INDEX(Aveia!$E7:$Z7,MIN(AS$6-$G$3,22))&lt;&gt;""),Aveia!$E7:INDEX(Aveia!$E7:$Z7,MIN(AS$6-$G$3,22))),0)))))</f>
        <v>0</v>
      </c>
      <c r="AT9" s="27" t="n">
        <f aca="false">IF(COUNT(Aveia!$E7:$Z7)=0,0,MAX(0,IF((AT$6-$E$3)&lt;1,0,IFERROR(LOOKUP(2,1/(Aveia!$E7:INDEX(Aveia!$E7:$Z7,MIN(AT$6-$E$3,22))&lt;&gt;""),Aveia!$E7:INDEX(Aveia!$E7:$Z7,MIN(AT$6-$E$3,22))),0))-IF($G$2,0,IF((AT$6-$G$3)&lt;1,0,IFERROR(LOOKUP(2,1/(Aveia!$E7:INDEX(Aveia!$E7:$Z7,MIN(AT$6-$G$3,22))&lt;&gt;""),Aveia!$E7:INDEX(Aveia!$E7:$Z7,MIN(AT$6-$G$3,22))),0)))))</f>
        <v>0</v>
      </c>
      <c r="AU9" s="27" t="n">
        <f aca="false">IF(COUNT(Aveia!$E7:$Z7)=0,0,MAX(0,IF((AU$6-$E$3)&lt;1,0,IFERROR(LOOKUP(2,1/(Aveia!$E7:INDEX(Aveia!$E7:$Z7,MIN(AU$6-$E$3,22))&lt;&gt;""),Aveia!$E7:INDEX(Aveia!$E7:$Z7,MIN(AU$6-$E$3,22))),0))-IF($G$2,0,IF((AU$6-$G$3)&lt;1,0,IFERROR(LOOKUP(2,1/(Aveia!$E7:INDEX(Aveia!$E7:$Z7,MIN(AU$6-$G$3,22))&lt;&gt;""),Aveia!$E7:INDEX(Aveia!$E7:$Z7,MIN(AU$6-$G$3,22))),0)))))</f>
        <v>0</v>
      </c>
      <c r="AV9" s="27" t="n">
        <f aca="false">IF(COUNT(Aveia!$E7:$Z7)=0,0,MAX(0,IF((AV$6-$E$3)&lt;1,0,IFERROR(LOOKUP(2,1/(Aveia!$E7:INDEX(Aveia!$E7:$Z7,MIN(AV$6-$E$3,22))&lt;&gt;""),Aveia!$E7:INDEX(Aveia!$E7:$Z7,MIN(AV$6-$E$3,22))),0))-IF($G$2,0,IF((AV$6-$G$3)&lt;1,0,IFERROR(LOOKUP(2,1/(Aveia!$E7:INDEX(Aveia!$E7:$Z7,MIN(AV$6-$G$3,22))&lt;&gt;""),Aveia!$E7:INDEX(Aveia!$E7:$Z7,MIN(AV$6-$G$3,22))),0)))))</f>
        <v>0</v>
      </c>
      <c r="AW9" s="27" t="n">
        <f aca="false">IF(COUNT(Aveia!$E7:$Z7)=0,0,MAX(0,IF((AW$6-$E$3)&lt;1,0,IFERROR(LOOKUP(2,1/(Aveia!$E7:INDEX(Aveia!$E7:$Z7,MIN(AW$6-$E$3,22))&lt;&gt;""),Aveia!$E7:INDEX(Aveia!$E7:$Z7,MIN(AW$6-$E$3,22))),0))-IF($G$2,0,IF((AW$6-$G$3)&lt;1,0,IFERROR(LOOKUP(2,1/(Aveia!$E7:INDEX(Aveia!$E7:$Z7,MIN(AW$6-$G$3,22))&lt;&gt;""),Aveia!$E7:INDEX(Aveia!$E7:$Z7,MIN(AW$6-$G$3,22))),0)))))</f>
        <v>0</v>
      </c>
      <c r="AX9" s="27" t="n">
        <f aca="false">IF(COUNT(Aveia!$E7:$Z7)=0,0,MAX(0,IF((AX$6-$E$3)&lt;1,0,IFERROR(LOOKUP(2,1/(Aveia!$E7:INDEX(Aveia!$E7:$Z7,MIN(AX$6-$E$3,22))&lt;&gt;""),Aveia!$E7:INDEX(Aveia!$E7:$Z7,MIN(AX$6-$E$3,22))),0))-IF($G$2,0,IF((AX$6-$G$3)&lt;1,0,IFERROR(LOOKUP(2,1/(Aveia!$E7:INDEX(Aveia!$E7:$Z7,MIN(AX$6-$G$3,22))&lt;&gt;""),Aveia!$E7:INDEX(Aveia!$E7:$Z7,MIN(AX$6-$G$3,22))),0)))))</f>
        <v>0</v>
      </c>
      <c r="AY9" s="27" t="n">
        <f aca="false">IF(COUNT(Aveia!$E7:$Z7)=0,0,MAX(0,IF((AY$6-$E$3)&lt;1,0,IFERROR(LOOKUP(2,1/(Aveia!$E7:INDEX(Aveia!$E7:$Z7,MIN(AY$6-$E$3,22))&lt;&gt;""),Aveia!$E7:INDEX(Aveia!$E7:$Z7,MIN(AY$6-$E$3,22))),0))-IF($G$2,0,IF((AY$6-$G$3)&lt;1,0,IFERROR(LOOKUP(2,1/(Aveia!$E7:INDEX(Aveia!$E7:$Z7,MIN(AY$6-$G$3,22))&lt;&gt;""),Aveia!$E7:INDEX(Aveia!$E7:$Z7,MIN(AY$6-$G$3,22))),0)))))</f>
        <v>0</v>
      </c>
      <c r="AZ9" s="27" t="n">
        <f aca="false">IF(COUNT(Aveia!$E7:$Z7)=0,0,MAX(0,IF((AZ$6-$E$3)&lt;1,0,IFERROR(LOOKUP(2,1/(Aveia!$E7:INDEX(Aveia!$E7:$Z7,MIN(AZ$6-$E$3,22))&lt;&gt;""),Aveia!$E7:INDEX(Aveia!$E7:$Z7,MIN(AZ$6-$E$3,22))),0))-IF($G$2,0,IF((AZ$6-$G$3)&lt;1,0,IFERROR(LOOKUP(2,1/(Aveia!$E7:INDEX(Aveia!$E7:$Z7,MIN(AZ$6-$G$3,22))&lt;&gt;""),Aveia!$E7:INDEX(Aveia!$E7:$Z7,MIN(AZ$6-$G$3,22))),0)))))</f>
        <v>0</v>
      </c>
    </row>
    <row r="10" customFormat="false" ht="15" hidden="false" customHeight="false" outlineLevel="0" collapsed="false">
      <c r="A10" s="3" t="s">
        <v>135</v>
      </c>
      <c r="B10" s="3" t="s">
        <v>136</v>
      </c>
      <c r="C10" s="10" t="s">
        <v>137</v>
      </c>
      <c r="D10" s="26" t="n">
        <f aca="false">IF(COUNT(Aveia!$E8:$Z8)&gt;0,N(Aveia!$D8),0)</f>
        <v>0</v>
      </c>
      <c r="E10" s="27" t="n">
        <f aca="false">IF(COUNT(Aveia!$E8:$Z8)=0,0,MAX(0,IF((E$6-$E$3)&lt;1,0,IFERROR(LOOKUP(2,1/(Aveia!$E8:INDEX(Aveia!$E8:$Z8,MIN(E$6-$E$3,22))&lt;&gt;""),Aveia!$E8:INDEX(Aveia!$E8:$Z8,MIN(E$6-$E$3,22))),0))-IF($G$2,0,IF((E$6-$G$3)&lt;1,0,IFERROR(LOOKUP(2,1/(Aveia!$E8:INDEX(Aveia!$E8:$Z8,MIN(E$6-$G$3,22))&lt;&gt;""),Aveia!$E8:INDEX(Aveia!$E8:$Z8,MIN(E$6-$G$3,22))),0)))))</f>
        <v>0</v>
      </c>
      <c r="F10" s="27" t="n">
        <f aca="false">IF(COUNT(Aveia!$E8:$Z8)=0,0,MAX(0,IF((F$6-$E$3)&lt;1,0,IFERROR(LOOKUP(2,1/(Aveia!$E8:INDEX(Aveia!$E8:$Z8,MIN(F$6-$E$3,22))&lt;&gt;""),Aveia!$E8:INDEX(Aveia!$E8:$Z8,MIN(F$6-$E$3,22))),0))-IF($G$2,0,IF((F$6-$G$3)&lt;1,0,IFERROR(LOOKUP(2,1/(Aveia!$E8:INDEX(Aveia!$E8:$Z8,MIN(F$6-$G$3,22))&lt;&gt;""),Aveia!$E8:INDEX(Aveia!$E8:$Z8,MIN(F$6-$G$3,22))),0)))))</f>
        <v>0</v>
      </c>
      <c r="G10" s="27" t="n">
        <f aca="false">IF(COUNT(Aveia!$E8:$Z8)=0,0,MAX(0,IF((G$6-$E$3)&lt;1,0,IFERROR(LOOKUP(2,1/(Aveia!$E8:INDEX(Aveia!$E8:$Z8,MIN(G$6-$E$3,22))&lt;&gt;""),Aveia!$E8:INDEX(Aveia!$E8:$Z8,MIN(G$6-$E$3,22))),0))-IF($G$2,0,IF((G$6-$G$3)&lt;1,0,IFERROR(LOOKUP(2,1/(Aveia!$E8:INDEX(Aveia!$E8:$Z8,MIN(G$6-$G$3,22))&lt;&gt;""),Aveia!$E8:INDEX(Aveia!$E8:$Z8,MIN(G$6-$G$3,22))),0)))))</f>
        <v>0</v>
      </c>
      <c r="H10" s="27" t="n">
        <f aca="false">IF(COUNT(Aveia!$E8:$Z8)=0,0,MAX(0,IF((H$6-$E$3)&lt;1,0,IFERROR(LOOKUP(2,1/(Aveia!$E8:INDEX(Aveia!$E8:$Z8,MIN(H$6-$E$3,22))&lt;&gt;""),Aveia!$E8:INDEX(Aveia!$E8:$Z8,MIN(H$6-$E$3,22))),0))-IF($G$2,0,IF((H$6-$G$3)&lt;1,0,IFERROR(LOOKUP(2,1/(Aveia!$E8:INDEX(Aveia!$E8:$Z8,MIN(H$6-$G$3,22))&lt;&gt;""),Aveia!$E8:INDEX(Aveia!$E8:$Z8,MIN(H$6-$G$3,22))),0)))))</f>
        <v>0</v>
      </c>
      <c r="I10" s="27" t="n">
        <f aca="false">IF(COUNT(Aveia!$E8:$Z8)=0,0,MAX(0,IF((I$6-$E$3)&lt;1,0,IFERROR(LOOKUP(2,1/(Aveia!$E8:INDEX(Aveia!$E8:$Z8,MIN(I$6-$E$3,22))&lt;&gt;""),Aveia!$E8:INDEX(Aveia!$E8:$Z8,MIN(I$6-$E$3,22))),0))-IF($G$2,0,IF((I$6-$G$3)&lt;1,0,IFERROR(LOOKUP(2,1/(Aveia!$E8:INDEX(Aveia!$E8:$Z8,MIN(I$6-$G$3,22))&lt;&gt;""),Aveia!$E8:INDEX(Aveia!$E8:$Z8,MIN(I$6-$G$3,22))),0)))))</f>
        <v>0</v>
      </c>
      <c r="J10" s="27" t="n">
        <f aca="false">IF(COUNT(Aveia!$E8:$Z8)=0,0,MAX(0,IF((J$6-$E$3)&lt;1,0,IFERROR(LOOKUP(2,1/(Aveia!$E8:INDEX(Aveia!$E8:$Z8,MIN(J$6-$E$3,22))&lt;&gt;""),Aveia!$E8:INDEX(Aveia!$E8:$Z8,MIN(J$6-$E$3,22))),0))-IF($G$2,0,IF((J$6-$G$3)&lt;1,0,IFERROR(LOOKUP(2,1/(Aveia!$E8:INDEX(Aveia!$E8:$Z8,MIN(J$6-$G$3,22))&lt;&gt;""),Aveia!$E8:INDEX(Aveia!$E8:$Z8,MIN(J$6-$G$3,22))),0)))))</f>
        <v>0</v>
      </c>
      <c r="K10" s="27" t="n">
        <f aca="false">IF(COUNT(Aveia!$E8:$Z8)=0,0,MAX(0,IF((K$6-$E$3)&lt;1,0,IFERROR(LOOKUP(2,1/(Aveia!$E8:INDEX(Aveia!$E8:$Z8,MIN(K$6-$E$3,22))&lt;&gt;""),Aveia!$E8:INDEX(Aveia!$E8:$Z8,MIN(K$6-$E$3,22))),0))-IF($G$2,0,IF((K$6-$G$3)&lt;1,0,IFERROR(LOOKUP(2,1/(Aveia!$E8:INDEX(Aveia!$E8:$Z8,MIN(K$6-$G$3,22))&lt;&gt;""),Aveia!$E8:INDEX(Aveia!$E8:$Z8,MIN(K$6-$G$3,22))),0)))))</f>
        <v>0</v>
      </c>
      <c r="L10" s="27" t="n">
        <f aca="false">IF(COUNT(Aveia!$E8:$Z8)=0,0,MAX(0,IF((L$6-$E$3)&lt;1,0,IFERROR(LOOKUP(2,1/(Aveia!$E8:INDEX(Aveia!$E8:$Z8,MIN(L$6-$E$3,22))&lt;&gt;""),Aveia!$E8:INDEX(Aveia!$E8:$Z8,MIN(L$6-$E$3,22))),0))-IF($G$2,0,IF((L$6-$G$3)&lt;1,0,IFERROR(LOOKUP(2,1/(Aveia!$E8:INDEX(Aveia!$E8:$Z8,MIN(L$6-$G$3,22))&lt;&gt;""),Aveia!$E8:INDEX(Aveia!$E8:$Z8,MIN(L$6-$G$3,22))),0)))))</f>
        <v>0</v>
      </c>
      <c r="M10" s="27" t="n">
        <f aca="false">IF(COUNT(Aveia!$E8:$Z8)=0,0,MAX(0,IF((M$6-$E$3)&lt;1,0,IFERROR(LOOKUP(2,1/(Aveia!$E8:INDEX(Aveia!$E8:$Z8,MIN(M$6-$E$3,22))&lt;&gt;""),Aveia!$E8:INDEX(Aveia!$E8:$Z8,MIN(M$6-$E$3,22))),0))-IF($G$2,0,IF((M$6-$G$3)&lt;1,0,IFERROR(LOOKUP(2,1/(Aveia!$E8:INDEX(Aveia!$E8:$Z8,MIN(M$6-$G$3,22))&lt;&gt;""),Aveia!$E8:INDEX(Aveia!$E8:$Z8,MIN(M$6-$G$3,22))),0)))))</f>
        <v>0</v>
      </c>
      <c r="N10" s="27" t="n">
        <f aca="false">IF(COUNT(Aveia!$E8:$Z8)=0,0,MAX(0,IF((N$6-$E$3)&lt;1,0,IFERROR(LOOKUP(2,1/(Aveia!$E8:INDEX(Aveia!$E8:$Z8,MIN(N$6-$E$3,22))&lt;&gt;""),Aveia!$E8:INDEX(Aveia!$E8:$Z8,MIN(N$6-$E$3,22))),0))-IF($G$2,0,IF((N$6-$G$3)&lt;1,0,IFERROR(LOOKUP(2,1/(Aveia!$E8:INDEX(Aveia!$E8:$Z8,MIN(N$6-$G$3,22))&lt;&gt;""),Aveia!$E8:INDEX(Aveia!$E8:$Z8,MIN(N$6-$G$3,22))),0)))))</f>
        <v>0</v>
      </c>
      <c r="O10" s="27" t="n">
        <f aca="false">IF(COUNT(Aveia!$E8:$Z8)=0,0,MAX(0,IF((O$6-$E$3)&lt;1,0,IFERROR(LOOKUP(2,1/(Aveia!$E8:INDEX(Aveia!$E8:$Z8,MIN(O$6-$E$3,22))&lt;&gt;""),Aveia!$E8:INDEX(Aveia!$E8:$Z8,MIN(O$6-$E$3,22))),0))-IF($G$2,0,IF((O$6-$G$3)&lt;1,0,IFERROR(LOOKUP(2,1/(Aveia!$E8:INDEX(Aveia!$E8:$Z8,MIN(O$6-$G$3,22))&lt;&gt;""),Aveia!$E8:INDEX(Aveia!$E8:$Z8,MIN(O$6-$G$3,22))),0)))))</f>
        <v>0</v>
      </c>
      <c r="P10" s="27" t="n">
        <f aca="false">IF(COUNT(Aveia!$E8:$Z8)=0,0,MAX(0,IF((P$6-$E$3)&lt;1,0,IFERROR(LOOKUP(2,1/(Aveia!$E8:INDEX(Aveia!$E8:$Z8,MIN(P$6-$E$3,22))&lt;&gt;""),Aveia!$E8:INDEX(Aveia!$E8:$Z8,MIN(P$6-$E$3,22))),0))-IF($G$2,0,IF((P$6-$G$3)&lt;1,0,IFERROR(LOOKUP(2,1/(Aveia!$E8:INDEX(Aveia!$E8:$Z8,MIN(P$6-$G$3,22))&lt;&gt;""),Aveia!$E8:INDEX(Aveia!$E8:$Z8,MIN(P$6-$G$3,22))),0)))))</f>
        <v>0</v>
      </c>
      <c r="Q10" s="27" t="n">
        <f aca="false">IF(COUNT(Aveia!$E8:$Z8)=0,0,MAX(0,IF((Q$6-$E$3)&lt;1,0,IFERROR(LOOKUP(2,1/(Aveia!$E8:INDEX(Aveia!$E8:$Z8,MIN(Q$6-$E$3,22))&lt;&gt;""),Aveia!$E8:INDEX(Aveia!$E8:$Z8,MIN(Q$6-$E$3,22))),0))-IF($G$2,0,IF((Q$6-$G$3)&lt;1,0,IFERROR(LOOKUP(2,1/(Aveia!$E8:INDEX(Aveia!$E8:$Z8,MIN(Q$6-$G$3,22))&lt;&gt;""),Aveia!$E8:INDEX(Aveia!$E8:$Z8,MIN(Q$6-$G$3,22))),0)))))</f>
        <v>0</v>
      </c>
      <c r="R10" s="27" t="n">
        <f aca="false">IF(COUNT(Aveia!$E8:$Z8)=0,0,MAX(0,IF((R$6-$E$3)&lt;1,0,IFERROR(LOOKUP(2,1/(Aveia!$E8:INDEX(Aveia!$E8:$Z8,MIN(R$6-$E$3,22))&lt;&gt;""),Aveia!$E8:INDEX(Aveia!$E8:$Z8,MIN(R$6-$E$3,22))),0))-IF($G$2,0,IF((R$6-$G$3)&lt;1,0,IFERROR(LOOKUP(2,1/(Aveia!$E8:INDEX(Aveia!$E8:$Z8,MIN(R$6-$G$3,22))&lt;&gt;""),Aveia!$E8:INDEX(Aveia!$E8:$Z8,MIN(R$6-$G$3,22))),0)))))</f>
        <v>0</v>
      </c>
      <c r="S10" s="27" t="n">
        <f aca="false">IF(COUNT(Aveia!$E8:$Z8)=0,0,MAX(0,IF((S$6-$E$3)&lt;1,0,IFERROR(LOOKUP(2,1/(Aveia!$E8:INDEX(Aveia!$E8:$Z8,MIN(S$6-$E$3,22))&lt;&gt;""),Aveia!$E8:INDEX(Aveia!$E8:$Z8,MIN(S$6-$E$3,22))),0))-IF($G$2,0,IF((S$6-$G$3)&lt;1,0,IFERROR(LOOKUP(2,1/(Aveia!$E8:INDEX(Aveia!$E8:$Z8,MIN(S$6-$G$3,22))&lt;&gt;""),Aveia!$E8:INDEX(Aveia!$E8:$Z8,MIN(S$6-$G$3,22))),0)))))</f>
        <v>0</v>
      </c>
      <c r="T10" s="27" t="n">
        <f aca="false">IF(COUNT(Aveia!$E8:$Z8)=0,0,MAX(0,IF((T$6-$E$3)&lt;1,0,IFERROR(LOOKUP(2,1/(Aveia!$E8:INDEX(Aveia!$E8:$Z8,MIN(T$6-$E$3,22))&lt;&gt;""),Aveia!$E8:INDEX(Aveia!$E8:$Z8,MIN(T$6-$E$3,22))),0))-IF($G$2,0,IF((T$6-$G$3)&lt;1,0,IFERROR(LOOKUP(2,1/(Aveia!$E8:INDEX(Aveia!$E8:$Z8,MIN(T$6-$G$3,22))&lt;&gt;""),Aveia!$E8:INDEX(Aveia!$E8:$Z8,MIN(T$6-$G$3,22))),0)))))</f>
        <v>0</v>
      </c>
      <c r="U10" s="27" t="n">
        <f aca="false">IF(COUNT(Aveia!$E8:$Z8)=0,0,MAX(0,IF((U$6-$E$3)&lt;1,0,IFERROR(LOOKUP(2,1/(Aveia!$E8:INDEX(Aveia!$E8:$Z8,MIN(U$6-$E$3,22))&lt;&gt;""),Aveia!$E8:INDEX(Aveia!$E8:$Z8,MIN(U$6-$E$3,22))),0))-IF($G$2,0,IF((U$6-$G$3)&lt;1,0,IFERROR(LOOKUP(2,1/(Aveia!$E8:INDEX(Aveia!$E8:$Z8,MIN(U$6-$G$3,22))&lt;&gt;""),Aveia!$E8:INDEX(Aveia!$E8:$Z8,MIN(U$6-$G$3,22))),0)))))</f>
        <v>0</v>
      </c>
      <c r="V10" s="27" t="n">
        <f aca="false">IF(COUNT(Aveia!$E8:$Z8)=0,0,MAX(0,IF((V$6-$E$3)&lt;1,0,IFERROR(LOOKUP(2,1/(Aveia!$E8:INDEX(Aveia!$E8:$Z8,MIN(V$6-$E$3,22))&lt;&gt;""),Aveia!$E8:INDEX(Aveia!$E8:$Z8,MIN(V$6-$E$3,22))),0))-IF($G$2,0,IF((V$6-$G$3)&lt;1,0,IFERROR(LOOKUP(2,1/(Aveia!$E8:INDEX(Aveia!$E8:$Z8,MIN(V$6-$G$3,22))&lt;&gt;""),Aveia!$E8:INDEX(Aveia!$E8:$Z8,MIN(V$6-$G$3,22))),0)))))</f>
        <v>0</v>
      </c>
      <c r="W10" s="27" t="n">
        <f aca="false">IF(COUNT(Aveia!$E8:$Z8)=0,0,MAX(0,IF((W$6-$E$3)&lt;1,0,IFERROR(LOOKUP(2,1/(Aveia!$E8:INDEX(Aveia!$E8:$Z8,MIN(W$6-$E$3,22))&lt;&gt;""),Aveia!$E8:INDEX(Aveia!$E8:$Z8,MIN(W$6-$E$3,22))),0))-IF($G$2,0,IF((W$6-$G$3)&lt;1,0,IFERROR(LOOKUP(2,1/(Aveia!$E8:INDEX(Aveia!$E8:$Z8,MIN(W$6-$G$3,22))&lt;&gt;""),Aveia!$E8:INDEX(Aveia!$E8:$Z8,MIN(W$6-$G$3,22))),0)))))</f>
        <v>0</v>
      </c>
      <c r="X10" s="27" t="n">
        <f aca="false">IF(COUNT(Aveia!$E8:$Z8)=0,0,MAX(0,IF((X$6-$E$3)&lt;1,0,IFERROR(LOOKUP(2,1/(Aveia!$E8:INDEX(Aveia!$E8:$Z8,MIN(X$6-$E$3,22))&lt;&gt;""),Aveia!$E8:INDEX(Aveia!$E8:$Z8,MIN(X$6-$E$3,22))),0))-IF($G$2,0,IF((X$6-$G$3)&lt;1,0,IFERROR(LOOKUP(2,1/(Aveia!$E8:INDEX(Aveia!$E8:$Z8,MIN(X$6-$G$3,22))&lt;&gt;""),Aveia!$E8:INDEX(Aveia!$E8:$Z8,MIN(X$6-$G$3,22))),0)))))</f>
        <v>0</v>
      </c>
      <c r="Y10" s="27" t="n">
        <f aca="false">IF(COUNT(Aveia!$E8:$Z8)=0,0,MAX(0,IF((Y$6-$E$3)&lt;1,0,IFERROR(LOOKUP(2,1/(Aveia!$E8:INDEX(Aveia!$E8:$Z8,MIN(Y$6-$E$3,22))&lt;&gt;""),Aveia!$E8:INDEX(Aveia!$E8:$Z8,MIN(Y$6-$E$3,22))),0))-IF($G$2,0,IF((Y$6-$G$3)&lt;1,0,IFERROR(LOOKUP(2,1/(Aveia!$E8:INDEX(Aveia!$E8:$Z8,MIN(Y$6-$G$3,22))&lt;&gt;""),Aveia!$E8:INDEX(Aveia!$E8:$Z8,MIN(Y$6-$G$3,22))),0)))))</f>
        <v>0</v>
      </c>
      <c r="Z10" s="27" t="n">
        <f aca="false">IF(COUNT(Aveia!$E8:$Z8)=0,0,MAX(0,IF((Z$6-$E$3)&lt;1,0,IFERROR(LOOKUP(2,1/(Aveia!$E8:INDEX(Aveia!$E8:$Z8,MIN(Z$6-$E$3,22))&lt;&gt;""),Aveia!$E8:INDEX(Aveia!$E8:$Z8,MIN(Z$6-$E$3,22))),0))-IF($G$2,0,IF((Z$6-$G$3)&lt;1,0,IFERROR(LOOKUP(2,1/(Aveia!$E8:INDEX(Aveia!$E8:$Z8,MIN(Z$6-$G$3,22))&lt;&gt;""),Aveia!$E8:INDEX(Aveia!$E8:$Z8,MIN(Z$6-$G$3,22))),0)))))</f>
        <v>0</v>
      </c>
      <c r="AA10" s="27" t="n">
        <f aca="false">IF(COUNT(Aveia!$E8:$Z8)=0,0,MAX(0,IF((AA$6-$E$3)&lt;1,0,IFERROR(LOOKUP(2,1/(Aveia!$E8:INDEX(Aveia!$E8:$Z8,MIN(AA$6-$E$3,22))&lt;&gt;""),Aveia!$E8:INDEX(Aveia!$E8:$Z8,MIN(AA$6-$E$3,22))),0))-IF($G$2,0,IF((AA$6-$G$3)&lt;1,0,IFERROR(LOOKUP(2,1/(Aveia!$E8:INDEX(Aveia!$E8:$Z8,MIN(AA$6-$G$3,22))&lt;&gt;""),Aveia!$E8:INDEX(Aveia!$E8:$Z8,MIN(AA$6-$G$3,22))),0)))))</f>
        <v>0</v>
      </c>
      <c r="AB10" s="27" t="n">
        <f aca="false">IF(COUNT(Aveia!$E8:$Z8)=0,0,MAX(0,IF((AB$6-$E$3)&lt;1,0,IFERROR(LOOKUP(2,1/(Aveia!$E8:INDEX(Aveia!$E8:$Z8,MIN(AB$6-$E$3,22))&lt;&gt;""),Aveia!$E8:INDEX(Aveia!$E8:$Z8,MIN(AB$6-$E$3,22))),0))-IF($G$2,0,IF((AB$6-$G$3)&lt;1,0,IFERROR(LOOKUP(2,1/(Aveia!$E8:INDEX(Aveia!$E8:$Z8,MIN(AB$6-$G$3,22))&lt;&gt;""),Aveia!$E8:INDEX(Aveia!$E8:$Z8,MIN(AB$6-$G$3,22))),0)))))</f>
        <v>0</v>
      </c>
      <c r="AC10" s="27" t="n">
        <f aca="false">IF(COUNT(Aveia!$E8:$Z8)=0,0,MAX(0,IF((AC$6-$E$3)&lt;1,0,IFERROR(LOOKUP(2,1/(Aveia!$E8:INDEX(Aveia!$E8:$Z8,MIN(AC$6-$E$3,22))&lt;&gt;""),Aveia!$E8:INDEX(Aveia!$E8:$Z8,MIN(AC$6-$E$3,22))),0))-IF($G$2,0,IF((AC$6-$G$3)&lt;1,0,IFERROR(LOOKUP(2,1/(Aveia!$E8:INDEX(Aveia!$E8:$Z8,MIN(AC$6-$G$3,22))&lt;&gt;""),Aveia!$E8:INDEX(Aveia!$E8:$Z8,MIN(AC$6-$G$3,22))),0)))))</f>
        <v>0</v>
      </c>
      <c r="AD10" s="27" t="n">
        <f aca="false">IF(COUNT(Aveia!$E8:$Z8)=0,0,MAX(0,IF((AD$6-$E$3)&lt;1,0,IFERROR(LOOKUP(2,1/(Aveia!$E8:INDEX(Aveia!$E8:$Z8,MIN(AD$6-$E$3,22))&lt;&gt;""),Aveia!$E8:INDEX(Aveia!$E8:$Z8,MIN(AD$6-$E$3,22))),0))-IF($G$2,0,IF((AD$6-$G$3)&lt;1,0,IFERROR(LOOKUP(2,1/(Aveia!$E8:INDEX(Aveia!$E8:$Z8,MIN(AD$6-$G$3,22))&lt;&gt;""),Aveia!$E8:INDEX(Aveia!$E8:$Z8,MIN(AD$6-$G$3,22))),0)))))</f>
        <v>0</v>
      </c>
      <c r="AE10" s="27" t="n">
        <f aca="false">IF(COUNT(Aveia!$E8:$Z8)=0,0,MAX(0,IF((AE$6-$E$3)&lt;1,0,IFERROR(LOOKUP(2,1/(Aveia!$E8:INDEX(Aveia!$E8:$Z8,MIN(AE$6-$E$3,22))&lt;&gt;""),Aveia!$E8:INDEX(Aveia!$E8:$Z8,MIN(AE$6-$E$3,22))),0))-IF($G$2,0,IF((AE$6-$G$3)&lt;1,0,IFERROR(LOOKUP(2,1/(Aveia!$E8:INDEX(Aveia!$E8:$Z8,MIN(AE$6-$G$3,22))&lt;&gt;""),Aveia!$E8:INDEX(Aveia!$E8:$Z8,MIN(AE$6-$G$3,22))),0)))))</f>
        <v>0</v>
      </c>
      <c r="AF10" s="27" t="n">
        <f aca="false">IF(COUNT(Aveia!$E8:$Z8)=0,0,MAX(0,IF((AF$6-$E$3)&lt;1,0,IFERROR(LOOKUP(2,1/(Aveia!$E8:INDEX(Aveia!$E8:$Z8,MIN(AF$6-$E$3,22))&lt;&gt;""),Aveia!$E8:INDEX(Aveia!$E8:$Z8,MIN(AF$6-$E$3,22))),0))-IF($G$2,0,IF((AF$6-$G$3)&lt;1,0,IFERROR(LOOKUP(2,1/(Aveia!$E8:INDEX(Aveia!$E8:$Z8,MIN(AF$6-$G$3,22))&lt;&gt;""),Aveia!$E8:INDEX(Aveia!$E8:$Z8,MIN(AF$6-$G$3,22))),0)))))</f>
        <v>0</v>
      </c>
      <c r="AG10" s="27" t="n">
        <f aca="false">IF(COUNT(Aveia!$E8:$Z8)=0,0,MAX(0,IF((AG$6-$E$3)&lt;1,0,IFERROR(LOOKUP(2,1/(Aveia!$E8:INDEX(Aveia!$E8:$Z8,MIN(AG$6-$E$3,22))&lt;&gt;""),Aveia!$E8:INDEX(Aveia!$E8:$Z8,MIN(AG$6-$E$3,22))),0))-IF($G$2,0,IF((AG$6-$G$3)&lt;1,0,IFERROR(LOOKUP(2,1/(Aveia!$E8:INDEX(Aveia!$E8:$Z8,MIN(AG$6-$G$3,22))&lt;&gt;""),Aveia!$E8:INDEX(Aveia!$E8:$Z8,MIN(AG$6-$G$3,22))),0)))))</f>
        <v>0</v>
      </c>
      <c r="AH10" s="27" t="n">
        <f aca="false">IF(COUNT(Aveia!$E8:$Z8)=0,0,MAX(0,IF((AH$6-$E$3)&lt;1,0,IFERROR(LOOKUP(2,1/(Aveia!$E8:INDEX(Aveia!$E8:$Z8,MIN(AH$6-$E$3,22))&lt;&gt;""),Aveia!$E8:INDEX(Aveia!$E8:$Z8,MIN(AH$6-$E$3,22))),0))-IF($G$2,0,IF((AH$6-$G$3)&lt;1,0,IFERROR(LOOKUP(2,1/(Aveia!$E8:INDEX(Aveia!$E8:$Z8,MIN(AH$6-$G$3,22))&lt;&gt;""),Aveia!$E8:INDEX(Aveia!$E8:$Z8,MIN(AH$6-$G$3,22))),0)))))</f>
        <v>0</v>
      </c>
      <c r="AI10" s="27" t="n">
        <f aca="false">IF(COUNT(Aveia!$E8:$Z8)=0,0,MAX(0,IF((AI$6-$E$3)&lt;1,0,IFERROR(LOOKUP(2,1/(Aveia!$E8:INDEX(Aveia!$E8:$Z8,MIN(AI$6-$E$3,22))&lt;&gt;""),Aveia!$E8:INDEX(Aveia!$E8:$Z8,MIN(AI$6-$E$3,22))),0))-IF($G$2,0,IF((AI$6-$G$3)&lt;1,0,IFERROR(LOOKUP(2,1/(Aveia!$E8:INDEX(Aveia!$E8:$Z8,MIN(AI$6-$G$3,22))&lt;&gt;""),Aveia!$E8:INDEX(Aveia!$E8:$Z8,MIN(AI$6-$G$3,22))),0)))))</f>
        <v>0</v>
      </c>
      <c r="AJ10" s="27" t="n">
        <f aca="false">IF(COUNT(Aveia!$E8:$Z8)=0,0,MAX(0,IF((AJ$6-$E$3)&lt;1,0,IFERROR(LOOKUP(2,1/(Aveia!$E8:INDEX(Aveia!$E8:$Z8,MIN(AJ$6-$E$3,22))&lt;&gt;""),Aveia!$E8:INDEX(Aveia!$E8:$Z8,MIN(AJ$6-$E$3,22))),0))-IF($G$2,0,IF((AJ$6-$G$3)&lt;1,0,IFERROR(LOOKUP(2,1/(Aveia!$E8:INDEX(Aveia!$E8:$Z8,MIN(AJ$6-$G$3,22))&lt;&gt;""),Aveia!$E8:INDEX(Aveia!$E8:$Z8,MIN(AJ$6-$G$3,22))),0)))))</f>
        <v>0</v>
      </c>
      <c r="AK10" s="27" t="n">
        <f aca="false">IF(COUNT(Aveia!$E8:$Z8)=0,0,MAX(0,IF((AK$6-$E$3)&lt;1,0,IFERROR(LOOKUP(2,1/(Aveia!$E8:INDEX(Aveia!$E8:$Z8,MIN(AK$6-$E$3,22))&lt;&gt;""),Aveia!$E8:INDEX(Aveia!$E8:$Z8,MIN(AK$6-$E$3,22))),0))-IF($G$2,0,IF((AK$6-$G$3)&lt;1,0,IFERROR(LOOKUP(2,1/(Aveia!$E8:INDEX(Aveia!$E8:$Z8,MIN(AK$6-$G$3,22))&lt;&gt;""),Aveia!$E8:INDEX(Aveia!$E8:$Z8,MIN(AK$6-$G$3,22))),0)))))</f>
        <v>0</v>
      </c>
      <c r="AL10" s="27" t="n">
        <f aca="false">IF(COUNT(Aveia!$E8:$Z8)=0,0,MAX(0,IF((AL$6-$E$3)&lt;1,0,IFERROR(LOOKUP(2,1/(Aveia!$E8:INDEX(Aveia!$E8:$Z8,MIN(AL$6-$E$3,22))&lt;&gt;""),Aveia!$E8:INDEX(Aveia!$E8:$Z8,MIN(AL$6-$E$3,22))),0))-IF($G$2,0,IF((AL$6-$G$3)&lt;1,0,IFERROR(LOOKUP(2,1/(Aveia!$E8:INDEX(Aveia!$E8:$Z8,MIN(AL$6-$G$3,22))&lt;&gt;""),Aveia!$E8:INDEX(Aveia!$E8:$Z8,MIN(AL$6-$G$3,22))),0)))))</f>
        <v>0</v>
      </c>
      <c r="AM10" s="27" t="n">
        <f aca="false">IF(COUNT(Aveia!$E8:$Z8)=0,0,MAX(0,IF((AM$6-$E$3)&lt;1,0,IFERROR(LOOKUP(2,1/(Aveia!$E8:INDEX(Aveia!$E8:$Z8,MIN(AM$6-$E$3,22))&lt;&gt;""),Aveia!$E8:INDEX(Aveia!$E8:$Z8,MIN(AM$6-$E$3,22))),0))-IF($G$2,0,IF((AM$6-$G$3)&lt;1,0,IFERROR(LOOKUP(2,1/(Aveia!$E8:INDEX(Aveia!$E8:$Z8,MIN(AM$6-$G$3,22))&lt;&gt;""),Aveia!$E8:INDEX(Aveia!$E8:$Z8,MIN(AM$6-$G$3,22))),0)))))</f>
        <v>0</v>
      </c>
      <c r="AN10" s="27" t="n">
        <f aca="false">IF(COUNT(Aveia!$E8:$Z8)=0,0,MAX(0,IF((AN$6-$E$3)&lt;1,0,IFERROR(LOOKUP(2,1/(Aveia!$E8:INDEX(Aveia!$E8:$Z8,MIN(AN$6-$E$3,22))&lt;&gt;""),Aveia!$E8:INDEX(Aveia!$E8:$Z8,MIN(AN$6-$E$3,22))),0))-IF($G$2,0,IF((AN$6-$G$3)&lt;1,0,IFERROR(LOOKUP(2,1/(Aveia!$E8:INDEX(Aveia!$E8:$Z8,MIN(AN$6-$G$3,22))&lt;&gt;""),Aveia!$E8:INDEX(Aveia!$E8:$Z8,MIN(AN$6-$G$3,22))),0)))))</f>
        <v>0</v>
      </c>
      <c r="AO10" s="27" t="n">
        <f aca="false">IF(COUNT(Aveia!$E8:$Z8)=0,0,MAX(0,IF((AO$6-$E$3)&lt;1,0,IFERROR(LOOKUP(2,1/(Aveia!$E8:INDEX(Aveia!$E8:$Z8,MIN(AO$6-$E$3,22))&lt;&gt;""),Aveia!$E8:INDEX(Aveia!$E8:$Z8,MIN(AO$6-$E$3,22))),0))-IF($G$2,0,IF((AO$6-$G$3)&lt;1,0,IFERROR(LOOKUP(2,1/(Aveia!$E8:INDEX(Aveia!$E8:$Z8,MIN(AO$6-$G$3,22))&lt;&gt;""),Aveia!$E8:INDEX(Aveia!$E8:$Z8,MIN(AO$6-$G$3,22))),0)))))</f>
        <v>0</v>
      </c>
      <c r="AP10" s="27" t="n">
        <f aca="false">IF(COUNT(Aveia!$E8:$Z8)=0,0,MAX(0,IF((AP$6-$E$3)&lt;1,0,IFERROR(LOOKUP(2,1/(Aveia!$E8:INDEX(Aveia!$E8:$Z8,MIN(AP$6-$E$3,22))&lt;&gt;""),Aveia!$E8:INDEX(Aveia!$E8:$Z8,MIN(AP$6-$E$3,22))),0))-IF($G$2,0,IF((AP$6-$G$3)&lt;1,0,IFERROR(LOOKUP(2,1/(Aveia!$E8:INDEX(Aveia!$E8:$Z8,MIN(AP$6-$G$3,22))&lt;&gt;""),Aveia!$E8:INDEX(Aveia!$E8:$Z8,MIN(AP$6-$G$3,22))),0)))))</f>
        <v>0</v>
      </c>
      <c r="AQ10" s="27" t="n">
        <f aca="false">IF(COUNT(Aveia!$E8:$Z8)=0,0,MAX(0,IF((AQ$6-$E$3)&lt;1,0,IFERROR(LOOKUP(2,1/(Aveia!$E8:INDEX(Aveia!$E8:$Z8,MIN(AQ$6-$E$3,22))&lt;&gt;""),Aveia!$E8:INDEX(Aveia!$E8:$Z8,MIN(AQ$6-$E$3,22))),0))-IF($G$2,0,IF((AQ$6-$G$3)&lt;1,0,IFERROR(LOOKUP(2,1/(Aveia!$E8:INDEX(Aveia!$E8:$Z8,MIN(AQ$6-$G$3,22))&lt;&gt;""),Aveia!$E8:INDEX(Aveia!$E8:$Z8,MIN(AQ$6-$G$3,22))),0)))))</f>
        <v>0</v>
      </c>
      <c r="AR10" s="27" t="n">
        <f aca="false">IF(COUNT(Aveia!$E8:$Z8)=0,0,MAX(0,IF((AR$6-$E$3)&lt;1,0,IFERROR(LOOKUP(2,1/(Aveia!$E8:INDEX(Aveia!$E8:$Z8,MIN(AR$6-$E$3,22))&lt;&gt;""),Aveia!$E8:INDEX(Aveia!$E8:$Z8,MIN(AR$6-$E$3,22))),0))-IF($G$2,0,IF((AR$6-$G$3)&lt;1,0,IFERROR(LOOKUP(2,1/(Aveia!$E8:INDEX(Aveia!$E8:$Z8,MIN(AR$6-$G$3,22))&lt;&gt;""),Aveia!$E8:INDEX(Aveia!$E8:$Z8,MIN(AR$6-$G$3,22))),0)))))</f>
        <v>0</v>
      </c>
      <c r="AS10" s="27" t="n">
        <f aca="false">IF(COUNT(Aveia!$E8:$Z8)=0,0,MAX(0,IF((AS$6-$E$3)&lt;1,0,IFERROR(LOOKUP(2,1/(Aveia!$E8:INDEX(Aveia!$E8:$Z8,MIN(AS$6-$E$3,22))&lt;&gt;""),Aveia!$E8:INDEX(Aveia!$E8:$Z8,MIN(AS$6-$E$3,22))),0))-IF($G$2,0,IF((AS$6-$G$3)&lt;1,0,IFERROR(LOOKUP(2,1/(Aveia!$E8:INDEX(Aveia!$E8:$Z8,MIN(AS$6-$G$3,22))&lt;&gt;""),Aveia!$E8:INDEX(Aveia!$E8:$Z8,MIN(AS$6-$G$3,22))),0)))))</f>
        <v>0</v>
      </c>
      <c r="AT10" s="27" t="n">
        <f aca="false">IF(COUNT(Aveia!$E8:$Z8)=0,0,MAX(0,IF((AT$6-$E$3)&lt;1,0,IFERROR(LOOKUP(2,1/(Aveia!$E8:INDEX(Aveia!$E8:$Z8,MIN(AT$6-$E$3,22))&lt;&gt;""),Aveia!$E8:INDEX(Aveia!$E8:$Z8,MIN(AT$6-$E$3,22))),0))-IF($G$2,0,IF((AT$6-$G$3)&lt;1,0,IFERROR(LOOKUP(2,1/(Aveia!$E8:INDEX(Aveia!$E8:$Z8,MIN(AT$6-$G$3,22))&lt;&gt;""),Aveia!$E8:INDEX(Aveia!$E8:$Z8,MIN(AT$6-$G$3,22))),0)))))</f>
        <v>0</v>
      </c>
      <c r="AU10" s="27" t="n">
        <f aca="false">IF(COUNT(Aveia!$E8:$Z8)=0,0,MAX(0,IF((AU$6-$E$3)&lt;1,0,IFERROR(LOOKUP(2,1/(Aveia!$E8:INDEX(Aveia!$E8:$Z8,MIN(AU$6-$E$3,22))&lt;&gt;""),Aveia!$E8:INDEX(Aveia!$E8:$Z8,MIN(AU$6-$E$3,22))),0))-IF($G$2,0,IF((AU$6-$G$3)&lt;1,0,IFERROR(LOOKUP(2,1/(Aveia!$E8:INDEX(Aveia!$E8:$Z8,MIN(AU$6-$G$3,22))&lt;&gt;""),Aveia!$E8:INDEX(Aveia!$E8:$Z8,MIN(AU$6-$G$3,22))),0)))))</f>
        <v>0</v>
      </c>
      <c r="AV10" s="27" t="n">
        <f aca="false">IF(COUNT(Aveia!$E8:$Z8)=0,0,MAX(0,IF((AV$6-$E$3)&lt;1,0,IFERROR(LOOKUP(2,1/(Aveia!$E8:INDEX(Aveia!$E8:$Z8,MIN(AV$6-$E$3,22))&lt;&gt;""),Aveia!$E8:INDEX(Aveia!$E8:$Z8,MIN(AV$6-$E$3,22))),0))-IF($G$2,0,IF((AV$6-$G$3)&lt;1,0,IFERROR(LOOKUP(2,1/(Aveia!$E8:INDEX(Aveia!$E8:$Z8,MIN(AV$6-$G$3,22))&lt;&gt;""),Aveia!$E8:INDEX(Aveia!$E8:$Z8,MIN(AV$6-$G$3,22))),0)))))</f>
        <v>0</v>
      </c>
      <c r="AW10" s="27" t="n">
        <f aca="false">IF(COUNT(Aveia!$E8:$Z8)=0,0,MAX(0,IF((AW$6-$E$3)&lt;1,0,IFERROR(LOOKUP(2,1/(Aveia!$E8:INDEX(Aveia!$E8:$Z8,MIN(AW$6-$E$3,22))&lt;&gt;""),Aveia!$E8:INDEX(Aveia!$E8:$Z8,MIN(AW$6-$E$3,22))),0))-IF($G$2,0,IF((AW$6-$G$3)&lt;1,0,IFERROR(LOOKUP(2,1/(Aveia!$E8:INDEX(Aveia!$E8:$Z8,MIN(AW$6-$G$3,22))&lt;&gt;""),Aveia!$E8:INDEX(Aveia!$E8:$Z8,MIN(AW$6-$G$3,22))),0)))))</f>
        <v>0</v>
      </c>
      <c r="AX10" s="27" t="n">
        <f aca="false">IF(COUNT(Aveia!$E8:$Z8)=0,0,MAX(0,IF((AX$6-$E$3)&lt;1,0,IFERROR(LOOKUP(2,1/(Aveia!$E8:INDEX(Aveia!$E8:$Z8,MIN(AX$6-$E$3,22))&lt;&gt;""),Aveia!$E8:INDEX(Aveia!$E8:$Z8,MIN(AX$6-$E$3,22))),0))-IF($G$2,0,IF((AX$6-$G$3)&lt;1,0,IFERROR(LOOKUP(2,1/(Aveia!$E8:INDEX(Aveia!$E8:$Z8,MIN(AX$6-$G$3,22))&lt;&gt;""),Aveia!$E8:INDEX(Aveia!$E8:$Z8,MIN(AX$6-$G$3,22))),0)))))</f>
        <v>0</v>
      </c>
      <c r="AY10" s="27" t="n">
        <f aca="false">IF(COUNT(Aveia!$E8:$Z8)=0,0,MAX(0,IF((AY$6-$E$3)&lt;1,0,IFERROR(LOOKUP(2,1/(Aveia!$E8:INDEX(Aveia!$E8:$Z8,MIN(AY$6-$E$3,22))&lt;&gt;""),Aveia!$E8:INDEX(Aveia!$E8:$Z8,MIN(AY$6-$E$3,22))),0))-IF($G$2,0,IF((AY$6-$G$3)&lt;1,0,IFERROR(LOOKUP(2,1/(Aveia!$E8:INDEX(Aveia!$E8:$Z8,MIN(AY$6-$G$3,22))&lt;&gt;""),Aveia!$E8:INDEX(Aveia!$E8:$Z8,MIN(AY$6-$G$3,22))),0)))))</f>
        <v>0</v>
      </c>
      <c r="AZ10" s="27" t="n">
        <f aca="false">IF(COUNT(Aveia!$E8:$Z8)=0,0,MAX(0,IF((AZ$6-$E$3)&lt;1,0,IFERROR(LOOKUP(2,1/(Aveia!$E8:INDEX(Aveia!$E8:$Z8,MIN(AZ$6-$E$3,22))&lt;&gt;""),Aveia!$E8:INDEX(Aveia!$E8:$Z8,MIN(AZ$6-$E$3,22))),0))-IF($G$2,0,IF((AZ$6-$G$3)&lt;1,0,IFERROR(LOOKUP(2,1/(Aveia!$E8:INDEX(Aveia!$E8:$Z8,MIN(AZ$6-$G$3,22))&lt;&gt;""),Aveia!$E8:INDEX(Aveia!$E8:$Z8,MIN(AZ$6-$G$3,22))),0)))))</f>
        <v>0</v>
      </c>
    </row>
    <row r="11" customFormat="false" ht="15" hidden="false" customHeight="false" outlineLevel="0" collapsed="false">
      <c r="A11" s="3" t="s">
        <v>138</v>
      </c>
      <c r="B11" s="3" t="s">
        <v>139</v>
      </c>
      <c r="C11" s="10" t="s">
        <v>140</v>
      </c>
      <c r="D11" s="26" t="n">
        <f aca="false">IF(COUNT(Aveia!$E9:$Z9)&gt;0,N(Aveia!$D9),0)</f>
        <v>0</v>
      </c>
      <c r="E11" s="27" t="n">
        <f aca="false">IF(COUNT(Aveia!$E9:$Z9)=0,0,MAX(0,IF((E$6-$E$3)&lt;1,0,IFERROR(LOOKUP(2,1/(Aveia!$E9:INDEX(Aveia!$E9:$Z9,MIN(E$6-$E$3,22))&lt;&gt;""),Aveia!$E9:INDEX(Aveia!$E9:$Z9,MIN(E$6-$E$3,22))),0))-IF($G$2,0,IF((E$6-$G$3)&lt;1,0,IFERROR(LOOKUP(2,1/(Aveia!$E9:INDEX(Aveia!$E9:$Z9,MIN(E$6-$G$3,22))&lt;&gt;""),Aveia!$E9:INDEX(Aveia!$E9:$Z9,MIN(E$6-$G$3,22))),0)))))</f>
        <v>0</v>
      </c>
      <c r="F11" s="27" t="n">
        <f aca="false">IF(COUNT(Aveia!$E9:$Z9)=0,0,MAX(0,IF((F$6-$E$3)&lt;1,0,IFERROR(LOOKUP(2,1/(Aveia!$E9:INDEX(Aveia!$E9:$Z9,MIN(F$6-$E$3,22))&lt;&gt;""),Aveia!$E9:INDEX(Aveia!$E9:$Z9,MIN(F$6-$E$3,22))),0))-IF($G$2,0,IF((F$6-$G$3)&lt;1,0,IFERROR(LOOKUP(2,1/(Aveia!$E9:INDEX(Aveia!$E9:$Z9,MIN(F$6-$G$3,22))&lt;&gt;""),Aveia!$E9:INDEX(Aveia!$E9:$Z9,MIN(F$6-$G$3,22))),0)))))</f>
        <v>0</v>
      </c>
      <c r="G11" s="27" t="n">
        <f aca="false">IF(COUNT(Aveia!$E9:$Z9)=0,0,MAX(0,IF((G$6-$E$3)&lt;1,0,IFERROR(LOOKUP(2,1/(Aveia!$E9:INDEX(Aveia!$E9:$Z9,MIN(G$6-$E$3,22))&lt;&gt;""),Aveia!$E9:INDEX(Aveia!$E9:$Z9,MIN(G$6-$E$3,22))),0))-IF($G$2,0,IF((G$6-$G$3)&lt;1,0,IFERROR(LOOKUP(2,1/(Aveia!$E9:INDEX(Aveia!$E9:$Z9,MIN(G$6-$G$3,22))&lt;&gt;""),Aveia!$E9:INDEX(Aveia!$E9:$Z9,MIN(G$6-$G$3,22))),0)))))</f>
        <v>0</v>
      </c>
      <c r="H11" s="27" t="n">
        <f aca="false">IF(COUNT(Aveia!$E9:$Z9)=0,0,MAX(0,IF((H$6-$E$3)&lt;1,0,IFERROR(LOOKUP(2,1/(Aveia!$E9:INDEX(Aveia!$E9:$Z9,MIN(H$6-$E$3,22))&lt;&gt;""),Aveia!$E9:INDEX(Aveia!$E9:$Z9,MIN(H$6-$E$3,22))),0))-IF($G$2,0,IF((H$6-$G$3)&lt;1,0,IFERROR(LOOKUP(2,1/(Aveia!$E9:INDEX(Aveia!$E9:$Z9,MIN(H$6-$G$3,22))&lt;&gt;""),Aveia!$E9:INDEX(Aveia!$E9:$Z9,MIN(H$6-$G$3,22))),0)))))</f>
        <v>0</v>
      </c>
      <c r="I11" s="27" t="n">
        <f aca="false">IF(COUNT(Aveia!$E9:$Z9)=0,0,MAX(0,IF((I$6-$E$3)&lt;1,0,IFERROR(LOOKUP(2,1/(Aveia!$E9:INDEX(Aveia!$E9:$Z9,MIN(I$6-$E$3,22))&lt;&gt;""),Aveia!$E9:INDEX(Aveia!$E9:$Z9,MIN(I$6-$E$3,22))),0))-IF($G$2,0,IF((I$6-$G$3)&lt;1,0,IFERROR(LOOKUP(2,1/(Aveia!$E9:INDEX(Aveia!$E9:$Z9,MIN(I$6-$G$3,22))&lt;&gt;""),Aveia!$E9:INDEX(Aveia!$E9:$Z9,MIN(I$6-$G$3,22))),0)))))</f>
        <v>0</v>
      </c>
      <c r="J11" s="27" t="n">
        <f aca="false">IF(COUNT(Aveia!$E9:$Z9)=0,0,MAX(0,IF((J$6-$E$3)&lt;1,0,IFERROR(LOOKUP(2,1/(Aveia!$E9:INDEX(Aveia!$E9:$Z9,MIN(J$6-$E$3,22))&lt;&gt;""),Aveia!$E9:INDEX(Aveia!$E9:$Z9,MIN(J$6-$E$3,22))),0))-IF($G$2,0,IF((J$6-$G$3)&lt;1,0,IFERROR(LOOKUP(2,1/(Aveia!$E9:INDEX(Aveia!$E9:$Z9,MIN(J$6-$G$3,22))&lt;&gt;""),Aveia!$E9:INDEX(Aveia!$E9:$Z9,MIN(J$6-$G$3,22))),0)))))</f>
        <v>0</v>
      </c>
      <c r="K11" s="27" t="n">
        <f aca="false">IF(COUNT(Aveia!$E9:$Z9)=0,0,MAX(0,IF((K$6-$E$3)&lt;1,0,IFERROR(LOOKUP(2,1/(Aveia!$E9:INDEX(Aveia!$E9:$Z9,MIN(K$6-$E$3,22))&lt;&gt;""),Aveia!$E9:INDEX(Aveia!$E9:$Z9,MIN(K$6-$E$3,22))),0))-IF($G$2,0,IF((K$6-$G$3)&lt;1,0,IFERROR(LOOKUP(2,1/(Aveia!$E9:INDEX(Aveia!$E9:$Z9,MIN(K$6-$G$3,22))&lt;&gt;""),Aveia!$E9:INDEX(Aveia!$E9:$Z9,MIN(K$6-$G$3,22))),0)))))</f>
        <v>0</v>
      </c>
      <c r="L11" s="27" t="n">
        <f aca="false">IF(COUNT(Aveia!$E9:$Z9)=0,0,MAX(0,IF((L$6-$E$3)&lt;1,0,IFERROR(LOOKUP(2,1/(Aveia!$E9:INDEX(Aveia!$E9:$Z9,MIN(L$6-$E$3,22))&lt;&gt;""),Aveia!$E9:INDEX(Aveia!$E9:$Z9,MIN(L$6-$E$3,22))),0))-IF($G$2,0,IF((L$6-$G$3)&lt;1,0,IFERROR(LOOKUP(2,1/(Aveia!$E9:INDEX(Aveia!$E9:$Z9,MIN(L$6-$G$3,22))&lt;&gt;""),Aveia!$E9:INDEX(Aveia!$E9:$Z9,MIN(L$6-$G$3,22))),0)))))</f>
        <v>0</v>
      </c>
      <c r="M11" s="27" t="n">
        <f aca="false">IF(COUNT(Aveia!$E9:$Z9)=0,0,MAX(0,IF((M$6-$E$3)&lt;1,0,IFERROR(LOOKUP(2,1/(Aveia!$E9:INDEX(Aveia!$E9:$Z9,MIN(M$6-$E$3,22))&lt;&gt;""),Aveia!$E9:INDEX(Aveia!$E9:$Z9,MIN(M$6-$E$3,22))),0))-IF($G$2,0,IF((M$6-$G$3)&lt;1,0,IFERROR(LOOKUP(2,1/(Aveia!$E9:INDEX(Aveia!$E9:$Z9,MIN(M$6-$G$3,22))&lt;&gt;""),Aveia!$E9:INDEX(Aveia!$E9:$Z9,MIN(M$6-$G$3,22))),0)))))</f>
        <v>0</v>
      </c>
      <c r="N11" s="27" t="n">
        <f aca="false">IF(COUNT(Aveia!$E9:$Z9)=0,0,MAX(0,IF((N$6-$E$3)&lt;1,0,IFERROR(LOOKUP(2,1/(Aveia!$E9:INDEX(Aveia!$E9:$Z9,MIN(N$6-$E$3,22))&lt;&gt;""),Aveia!$E9:INDEX(Aveia!$E9:$Z9,MIN(N$6-$E$3,22))),0))-IF($G$2,0,IF((N$6-$G$3)&lt;1,0,IFERROR(LOOKUP(2,1/(Aveia!$E9:INDEX(Aveia!$E9:$Z9,MIN(N$6-$G$3,22))&lt;&gt;""),Aveia!$E9:INDEX(Aveia!$E9:$Z9,MIN(N$6-$G$3,22))),0)))))</f>
        <v>0</v>
      </c>
      <c r="O11" s="27" t="n">
        <f aca="false">IF(COUNT(Aveia!$E9:$Z9)=0,0,MAX(0,IF((O$6-$E$3)&lt;1,0,IFERROR(LOOKUP(2,1/(Aveia!$E9:INDEX(Aveia!$E9:$Z9,MIN(O$6-$E$3,22))&lt;&gt;""),Aveia!$E9:INDEX(Aveia!$E9:$Z9,MIN(O$6-$E$3,22))),0))-IF($G$2,0,IF((O$6-$G$3)&lt;1,0,IFERROR(LOOKUP(2,1/(Aveia!$E9:INDEX(Aveia!$E9:$Z9,MIN(O$6-$G$3,22))&lt;&gt;""),Aveia!$E9:INDEX(Aveia!$E9:$Z9,MIN(O$6-$G$3,22))),0)))))</f>
        <v>0</v>
      </c>
      <c r="P11" s="27" t="n">
        <f aca="false">IF(COUNT(Aveia!$E9:$Z9)=0,0,MAX(0,IF((P$6-$E$3)&lt;1,0,IFERROR(LOOKUP(2,1/(Aveia!$E9:INDEX(Aveia!$E9:$Z9,MIN(P$6-$E$3,22))&lt;&gt;""),Aveia!$E9:INDEX(Aveia!$E9:$Z9,MIN(P$6-$E$3,22))),0))-IF($G$2,0,IF((P$6-$G$3)&lt;1,0,IFERROR(LOOKUP(2,1/(Aveia!$E9:INDEX(Aveia!$E9:$Z9,MIN(P$6-$G$3,22))&lt;&gt;""),Aveia!$E9:INDEX(Aveia!$E9:$Z9,MIN(P$6-$G$3,22))),0)))))</f>
        <v>0</v>
      </c>
      <c r="Q11" s="27" t="n">
        <f aca="false">IF(COUNT(Aveia!$E9:$Z9)=0,0,MAX(0,IF((Q$6-$E$3)&lt;1,0,IFERROR(LOOKUP(2,1/(Aveia!$E9:INDEX(Aveia!$E9:$Z9,MIN(Q$6-$E$3,22))&lt;&gt;""),Aveia!$E9:INDEX(Aveia!$E9:$Z9,MIN(Q$6-$E$3,22))),0))-IF($G$2,0,IF((Q$6-$G$3)&lt;1,0,IFERROR(LOOKUP(2,1/(Aveia!$E9:INDEX(Aveia!$E9:$Z9,MIN(Q$6-$G$3,22))&lt;&gt;""),Aveia!$E9:INDEX(Aveia!$E9:$Z9,MIN(Q$6-$G$3,22))),0)))))</f>
        <v>0</v>
      </c>
      <c r="R11" s="27" t="n">
        <f aca="false">IF(COUNT(Aveia!$E9:$Z9)=0,0,MAX(0,IF((R$6-$E$3)&lt;1,0,IFERROR(LOOKUP(2,1/(Aveia!$E9:INDEX(Aveia!$E9:$Z9,MIN(R$6-$E$3,22))&lt;&gt;""),Aveia!$E9:INDEX(Aveia!$E9:$Z9,MIN(R$6-$E$3,22))),0))-IF($G$2,0,IF((R$6-$G$3)&lt;1,0,IFERROR(LOOKUP(2,1/(Aveia!$E9:INDEX(Aveia!$E9:$Z9,MIN(R$6-$G$3,22))&lt;&gt;""),Aveia!$E9:INDEX(Aveia!$E9:$Z9,MIN(R$6-$G$3,22))),0)))))</f>
        <v>0</v>
      </c>
      <c r="S11" s="27" t="n">
        <f aca="false">IF(COUNT(Aveia!$E9:$Z9)=0,0,MAX(0,IF((S$6-$E$3)&lt;1,0,IFERROR(LOOKUP(2,1/(Aveia!$E9:INDEX(Aveia!$E9:$Z9,MIN(S$6-$E$3,22))&lt;&gt;""),Aveia!$E9:INDEX(Aveia!$E9:$Z9,MIN(S$6-$E$3,22))),0))-IF($G$2,0,IF((S$6-$G$3)&lt;1,0,IFERROR(LOOKUP(2,1/(Aveia!$E9:INDEX(Aveia!$E9:$Z9,MIN(S$6-$G$3,22))&lt;&gt;""),Aveia!$E9:INDEX(Aveia!$E9:$Z9,MIN(S$6-$G$3,22))),0)))))</f>
        <v>0</v>
      </c>
      <c r="T11" s="27" t="n">
        <f aca="false">IF(COUNT(Aveia!$E9:$Z9)=0,0,MAX(0,IF((T$6-$E$3)&lt;1,0,IFERROR(LOOKUP(2,1/(Aveia!$E9:INDEX(Aveia!$E9:$Z9,MIN(T$6-$E$3,22))&lt;&gt;""),Aveia!$E9:INDEX(Aveia!$E9:$Z9,MIN(T$6-$E$3,22))),0))-IF($G$2,0,IF((T$6-$G$3)&lt;1,0,IFERROR(LOOKUP(2,1/(Aveia!$E9:INDEX(Aveia!$E9:$Z9,MIN(T$6-$G$3,22))&lt;&gt;""),Aveia!$E9:INDEX(Aveia!$E9:$Z9,MIN(T$6-$G$3,22))),0)))))</f>
        <v>0</v>
      </c>
      <c r="U11" s="27" t="n">
        <f aca="false">IF(COUNT(Aveia!$E9:$Z9)=0,0,MAX(0,IF((U$6-$E$3)&lt;1,0,IFERROR(LOOKUP(2,1/(Aveia!$E9:INDEX(Aveia!$E9:$Z9,MIN(U$6-$E$3,22))&lt;&gt;""),Aveia!$E9:INDEX(Aveia!$E9:$Z9,MIN(U$6-$E$3,22))),0))-IF($G$2,0,IF((U$6-$G$3)&lt;1,0,IFERROR(LOOKUP(2,1/(Aveia!$E9:INDEX(Aveia!$E9:$Z9,MIN(U$6-$G$3,22))&lt;&gt;""),Aveia!$E9:INDEX(Aveia!$E9:$Z9,MIN(U$6-$G$3,22))),0)))))</f>
        <v>0</v>
      </c>
      <c r="V11" s="27" t="n">
        <f aca="false">IF(COUNT(Aveia!$E9:$Z9)=0,0,MAX(0,IF((V$6-$E$3)&lt;1,0,IFERROR(LOOKUP(2,1/(Aveia!$E9:INDEX(Aveia!$E9:$Z9,MIN(V$6-$E$3,22))&lt;&gt;""),Aveia!$E9:INDEX(Aveia!$E9:$Z9,MIN(V$6-$E$3,22))),0))-IF($G$2,0,IF((V$6-$G$3)&lt;1,0,IFERROR(LOOKUP(2,1/(Aveia!$E9:INDEX(Aveia!$E9:$Z9,MIN(V$6-$G$3,22))&lt;&gt;""),Aveia!$E9:INDEX(Aveia!$E9:$Z9,MIN(V$6-$G$3,22))),0)))))</f>
        <v>0</v>
      </c>
      <c r="W11" s="27" t="n">
        <f aca="false">IF(COUNT(Aveia!$E9:$Z9)=0,0,MAX(0,IF((W$6-$E$3)&lt;1,0,IFERROR(LOOKUP(2,1/(Aveia!$E9:INDEX(Aveia!$E9:$Z9,MIN(W$6-$E$3,22))&lt;&gt;""),Aveia!$E9:INDEX(Aveia!$E9:$Z9,MIN(W$6-$E$3,22))),0))-IF($G$2,0,IF((W$6-$G$3)&lt;1,0,IFERROR(LOOKUP(2,1/(Aveia!$E9:INDEX(Aveia!$E9:$Z9,MIN(W$6-$G$3,22))&lt;&gt;""),Aveia!$E9:INDEX(Aveia!$E9:$Z9,MIN(W$6-$G$3,22))),0)))))</f>
        <v>0</v>
      </c>
      <c r="X11" s="27" t="n">
        <f aca="false">IF(COUNT(Aveia!$E9:$Z9)=0,0,MAX(0,IF((X$6-$E$3)&lt;1,0,IFERROR(LOOKUP(2,1/(Aveia!$E9:INDEX(Aveia!$E9:$Z9,MIN(X$6-$E$3,22))&lt;&gt;""),Aveia!$E9:INDEX(Aveia!$E9:$Z9,MIN(X$6-$E$3,22))),0))-IF($G$2,0,IF((X$6-$G$3)&lt;1,0,IFERROR(LOOKUP(2,1/(Aveia!$E9:INDEX(Aveia!$E9:$Z9,MIN(X$6-$G$3,22))&lt;&gt;""),Aveia!$E9:INDEX(Aveia!$E9:$Z9,MIN(X$6-$G$3,22))),0)))))</f>
        <v>0</v>
      </c>
      <c r="Y11" s="27" t="n">
        <f aca="false">IF(COUNT(Aveia!$E9:$Z9)=0,0,MAX(0,IF((Y$6-$E$3)&lt;1,0,IFERROR(LOOKUP(2,1/(Aveia!$E9:INDEX(Aveia!$E9:$Z9,MIN(Y$6-$E$3,22))&lt;&gt;""),Aveia!$E9:INDEX(Aveia!$E9:$Z9,MIN(Y$6-$E$3,22))),0))-IF($G$2,0,IF((Y$6-$G$3)&lt;1,0,IFERROR(LOOKUP(2,1/(Aveia!$E9:INDEX(Aveia!$E9:$Z9,MIN(Y$6-$G$3,22))&lt;&gt;""),Aveia!$E9:INDEX(Aveia!$E9:$Z9,MIN(Y$6-$G$3,22))),0)))))</f>
        <v>0</v>
      </c>
      <c r="Z11" s="27" t="n">
        <f aca="false">IF(COUNT(Aveia!$E9:$Z9)=0,0,MAX(0,IF((Z$6-$E$3)&lt;1,0,IFERROR(LOOKUP(2,1/(Aveia!$E9:INDEX(Aveia!$E9:$Z9,MIN(Z$6-$E$3,22))&lt;&gt;""),Aveia!$E9:INDEX(Aveia!$E9:$Z9,MIN(Z$6-$E$3,22))),0))-IF($G$2,0,IF((Z$6-$G$3)&lt;1,0,IFERROR(LOOKUP(2,1/(Aveia!$E9:INDEX(Aveia!$E9:$Z9,MIN(Z$6-$G$3,22))&lt;&gt;""),Aveia!$E9:INDEX(Aveia!$E9:$Z9,MIN(Z$6-$G$3,22))),0)))))</f>
        <v>0</v>
      </c>
      <c r="AA11" s="27" t="n">
        <f aca="false">IF(COUNT(Aveia!$E9:$Z9)=0,0,MAX(0,IF((AA$6-$E$3)&lt;1,0,IFERROR(LOOKUP(2,1/(Aveia!$E9:INDEX(Aveia!$E9:$Z9,MIN(AA$6-$E$3,22))&lt;&gt;""),Aveia!$E9:INDEX(Aveia!$E9:$Z9,MIN(AA$6-$E$3,22))),0))-IF($G$2,0,IF((AA$6-$G$3)&lt;1,0,IFERROR(LOOKUP(2,1/(Aveia!$E9:INDEX(Aveia!$E9:$Z9,MIN(AA$6-$G$3,22))&lt;&gt;""),Aveia!$E9:INDEX(Aveia!$E9:$Z9,MIN(AA$6-$G$3,22))),0)))))</f>
        <v>0</v>
      </c>
      <c r="AB11" s="27" t="n">
        <f aca="false">IF(COUNT(Aveia!$E9:$Z9)=0,0,MAX(0,IF((AB$6-$E$3)&lt;1,0,IFERROR(LOOKUP(2,1/(Aveia!$E9:INDEX(Aveia!$E9:$Z9,MIN(AB$6-$E$3,22))&lt;&gt;""),Aveia!$E9:INDEX(Aveia!$E9:$Z9,MIN(AB$6-$E$3,22))),0))-IF($G$2,0,IF((AB$6-$G$3)&lt;1,0,IFERROR(LOOKUP(2,1/(Aveia!$E9:INDEX(Aveia!$E9:$Z9,MIN(AB$6-$G$3,22))&lt;&gt;""),Aveia!$E9:INDEX(Aveia!$E9:$Z9,MIN(AB$6-$G$3,22))),0)))))</f>
        <v>0</v>
      </c>
      <c r="AC11" s="27" t="n">
        <f aca="false">IF(COUNT(Aveia!$E9:$Z9)=0,0,MAX(0,IF((AC$6-$E$3)&lt;1,0,IFERROR(LOOKUP(2,1/(Aveia!$E9:INDEX(Aveia!$E9:$Z9,MIN(AC$6-$E$3,22))&lt;&gt;""),Aveia!$E9:INDEX(Aveia!$E9:$Z9,MIN(AC$6-$E$3,22))),0))-IF($G$2,0,IF((AC$6-$G$3)&lt;1,0,IFERROR(LOOKUP(2,1/(Aveia!$E9:INDEX(Aveia!$E9:$Z9,MIN(AC$6-$G$3,22))&lt;&gt;""),Aveia!$E9:INDEX(Aveia!$E9:$Z9,MIN(AC$6-$G$3,22))),0)))))</f>
        <v>0</v>
      </c>
      <c r="AD11" s="27" t="n">
        <f aca="false">IF(COUNT(Aveia!$E9:$Z9)=0,0,MAX(0,IF((AD$6-$E$3)&lt;1,0,IFERROR(LOOKUP(2,1/(Aveia!$E9:INDEX(Aveia!$E9:$Z9,MIN(AD$6-$E$3,22))&lt;&gt;""),Aveia!$E9:INDEX(Aveia!$E9:$Z9,MIN(AD$6-$E$3,22))),0))-IF($G$2,0,IF((AD$6-$G$3)&lt;1,0,IFERROR(LOOKUP(2,1/(Aveia!$E9:INDEX(Aveia!$E9:$Z9,MIN(AD$6-$G$3,22))&lt;&gt;""),Aveia!$E9:INDEX(Aveia!$E9:$Z9,MIN(AD$6-$G$3,22))),0)))))</f>
        <v>0</v>
      </c>
      <c r="AE11" s="27" t="n">
        <f aca="false">IF(COUNT(Aveia!$E9:$Z9)=0,0,MAX(0,IF((AE$6-$E$3)&lt;1,0,IFERROR(LOOKUP(2,1/(Aveia!$E9:INDEX(Aveia!$E9:$Z9,MIN(AE$6-$E$3,22))&lt;&gt;""),Aveia!$E9:INDEX(Aveia!$E9:$Z9,MIN(AE$6-$E$3,22))),0))-IF($G$2,0,IF((AE$6-$G$3)&lt;1,0,IFERROR(LOOKUP(2,1/(Aveia!$E9:INDEX(Aveia!$E9:$Z9,MIN(AE$6-$G$3,22))&lt;&gt;""),Aveia!$E9:INDEX(Aveia!$E9:$Z9,MIN(AE$6-$G$3,22))),0)))))</f>
        <v>0</v>
      </c>
      <c r="AF11" s="27" t="n">
        <f aca="false">IF(COUNT(Aveia!$E9:$Z9)=0,0,MAX(0,IF((AF$6-$E$3)&lt;1,0,IFERROR(LOOKUP(2,1/(Aveia!$E9:INDEX(Aveia!$E9:$Z9,MIN(AF$6-$E$3,22))&lt;&gt;""),Aveia!$E9:INDEX(Aveia!$E9:$Z9,MIN(AF$6-$E$3,22))),0))-IF($G$2,0,IF((AF$6-$G$3)&lt;1,0,IFERROR(LOOKUP(2,1/(Aveia!$E9:INDEX(Aveia!$E9:$Z9,MIN(AF$6-$G$3,22))&lt;&gt;""),Aveia!$E9:INDEX(Aveia!$E9:$Z9,MIN(AF$6-$G$3,22))),0)))))</f>
        <v>0</v>
      </c>
      <c r="AG11" s="27" t="n">
        <f aca="false">IF(COUNT(Aveia!$E9:$Z9)=0,0,MAX(0,IF((AG$6-$E$3)&lt;1,0,IFERROR(LOOKUP(2,1/(Aveia!$E9:INDEX(Aveia!$E9:$Z9,MIN(AG$6-$E$3,22))&lt;&gt;""),Aveia!$E9:INDEX(Aveia!$E9:$Z9,MIN(AG$6-$E$3,22))),0))-IF($G$2,0,IF((AG$6-$G$3)&lt;1,0,IFERROR(LOOKUP(2,1/(Aveia!$E9:INDEX(Aveia!$E9:$Z9,MIN(AG$6-$G$3,22))&lt;&gt;""),Aveia!$E9:INDEX(Aveia!$E9:$Z9,MIN(AG$6-$G$3,22))),0)))))</f>
        <v>0</v>
      </c>
      <c r="AH11" s="27" t="n">
        <f aca="false">IF(COUNT(Aveia!$E9:$Z9)=0,0,MAX(0,IF((AH$6-$E$3)&lt;1,0,IFERROR(LOOKUP(2,1/(Aveia!$E9:INDEX(Aveia!$E9:$Z9,MIN(AH$6-$E$3,22))&lt;&gt;""),Aveia!$E9:INDEX(Aveia!$E9:$Z9,MIN(AH$6-$E$3,22))),0))-IF($G$2,0,IF((AH$6-$G$3)&lt;1,0,IFERROR(LOOKUP(2,1/(Aveia!$E9:INDEX(Aveia!$E9:$Z9,MIN(AH$6-$G$3,22))&lt;&gt;""),Aveia!$E9:INDEX(Aveia!$E9:$Z9,MIN(AH$6-$G$3,22))),0)))))</f>
        <v>0</v>
      </c>
      <c r="AI11" s="27" t="n">
        <f aca="false">IF(COUNT(Aveia!$E9:$Z9)=0,0,MAX(0,IF((AI$6-$E$3)&lt;1,0,IFERROR(LOOKUP(2,1/(Aveia!$E9:INDEX(Aveia!$E9:$Z9,MIN(AI$6-$E$3,22))&lt;&gt;""),Aveia!$E9:INDEX(Aveia!$E9:$Z9,MIN(AI$6-$E$3,22))),0))-IF($G$2,0,IF((AI$6-$G$3)&lt;1,0,IFERROR(LOOKUP(2,1/(Aveia!$E9:INDEX(Aveia!$E9:$Z9,MIN(AI$6-$G$3,22))&lt;&gt;""),Aveia!$E9:INDEX(Aveia!$E9:$Z9,MIN(AI$6-$G$3,22))),0)))))</f>
        <v>0</v>
      </c>
      <c r="AJ11" s="27" t="n">
        <f aca="false">IF(COUNT(Aveia!$E9:$Z9)=0,0,MAX(0,IF((AJ$6-$E$3)&lt;1,0,IFERROR(LOOKUP(2,1/(Aveia!$E9:INDEX(Aveia!$E9:$Z9,MIN(AJ$6-$E$3,22))&lt;&gt;""),Aveia!$E9:INDEX(Aveia!$E9:$Z9,MIN(AJ$6-$E$3,22))),0))-IF($G$2,0,IF((AJ$6-$G$3)&lt;1,0,IFERROR(LOOKUP(2,1/(Aveia!$E9:INDEX(Aveia!$E9:$Z9,MIN(AJ$6-$G$3,22))&lt;&gt;""),Aveia!$E9:INDEX(Aveia!$E9:$Z9,MIN(AJ$6-$G$3,22))),0)))))</f>
        <v>0</v>
      </c>
      <c r="AK11" s="27" t="n">
        <f aca="false">IF(COUNT(Aveia!$E9:$Z9)=0,0,MAX(0,IF((AK$6-$E$3)&lt;1,0,IFERROR(LOOKUP(2,1/(Aveia!$E9:INDEX(Aveia!$E9:$Z9,MIN(AK$6-$E$3,22))&lt;&gt;""),Aveia!$E9:INDEX(Aveia!$E9:$Z9,MIN(AK$6-$E$3,22))),0))-IF($G$2,0,IF((AK$6-$G$3)&lt;1,0,IFERROR(LOOKUP(2,1/(Aveia!$E9:INDEX(Aveia!$E9:$Z9,MIN(AK$6-$G$3,22))&lt;&gt;""),Aveia!$E9:INDEX(Aveia!$E9:$Z9,MIN(AK$6-$G$3,22))),0)))))</f>
        <v>0</v>
      </c>
      <c r="AL11" s="27" t="n">
        <f aca="false">IF(COUNT(Aveia!$E9:$Z9)=0,0,MAX(0,IF((AL$6-$E$3)&lt;1,0,IFERROR(LOOKUP(2,1/(Aveia!$E9:INDEX(Aveia!$E9:$Z9,MIN(AL$6-$E$3,22))&lt;&gt;""),Aveia!$E9:INDEX(Aveia!$E9:$Z9,MIN(AL$6-$E$3,22))),0))-IF($G$2,0,IF((AL$6-$G$3)&lt;1,0,IFERROR(LOOKUP(2,1/(Aveia!$E9:INDEX(Aveia!$E9:$Z9,MIN(AL$6-$G$3,22))&lt;&gt;""),Aveia!$E9:INDEX(Aveia!$E9:$Z9,MIN(AL$6-$G$3,22))),0)))))</f>
        <v>0</v>
      </c>
      <c r="AM11" s="27" t="n">
        <f aca="false">IF(COUNT(Aveia!$E9:$Z9)=0,0,MAX(0,IF((AM$6-$E$3)&lt;1,0,IFERROR(LOOKUP(2,1/(Aveia!$E9:INDEX(Aveia!$E9:$Z9,MIN(AM$6-$E$3,22))&lt;&gt;""),Aveia!$E9:INDEX(Aveia!$E9:$Z9,MIN(AM$6-$E$3,22))),0))-IF($G$2,0,IF((AM$6-$G$3)&lt;1,0,IFERROR(LOOKUP(2,1/(Aveia!$E9:INDEX(Aveia!$E9:$Z9,MIN(AM$6-$G$3,22))&lt;&gt;""),Aveia!$E9:INDEX(Aveia!$E9:$Z9,MIN(AM$6-$G$3,22))),0)))))</f>
        <v>0</v>
      </c>
      <c r="AN11" s="27" t="n">
        <f aca="false">IF(COUNT(Aveia!$E9:$Z9)=0,0,MAX(0,IF((AN$6-$E$3)&lt;1,0,IFERROR(LOOKUP(2,1/(Aveia!$E9:INDEX(Aveia!$E9:$Z9,MIN(AN$6-$E$3,22))&lt;&gt;""),Aveia!$E9:INDEX(Aveia!$E9:$Z9,MIN(AN$6-$E$3,22))),0))-IF($G$2,0,IF((AN$6-$G$3)&lt;1,0,IFERROR(LOOKUP(2,1/(Aveia!$E9:INDEX(Aveia!$E9:$Z9,MIN(AN$6-$G$3,22))&lt;&gt;""),Aveia!$E9:INDEX(Aveia!$E9:$Z9,MIN(AN$6-$G$3,22))),0)))))</f>
        <v>0</v>
      </c>
      <c r="AO11" s="27" t="n">
        <f aca="false">IF(COUNT(Aveia!$E9:$Z9)=0,0,MAX(0,IF((AO$6-$E$3)&lt;1,0,IFERROR(LOOKUP(2,1/(Aveia!$E9:INDEX(Aveia!$E9:$Z9,MIN(AO$6-$E$3,22))&lt;&gt;""),Aveia!$E9:INDEX(Aveia!$E9:$Z9,MIN(AO$6-$E$3,22))),0))-IF($G$2,0,IF((AO$6-$G$3)&lt;1,0,IFERROR(LOOKUP(2,1/(Aveia!$E9:INDEX(Aveia!$E9:$Z9,MIN(AO$6-$G$3,22))&lt;&gt;""),Aveia!$E9:INDEX(Aveia!$E9:$Z9,MIN(AO$6-$G$3,22))),0)))))</f>
        <v>0</v>
      </c>
      <c r="AP11" s="27" t="n">
        <f aca="false">IF(COUNT(Aveia!$E9:$Z9)=0,0,MAX(0,IF((AP$6-$E$3)&lt;1,0,IFERROR(LOOKUP(2,1/(Aveia!$E9:INDEX(Aveia!$E9:$Z9,MIN(AP$6-$E$3,22))&lt;&gt;""),Aveia!$E9:INDEX(Aveia!$E9:$Z9,MIN(AP$6-$E$3,22))),0))-IF($G$2,0,IF((AP$6-$G$3)&lt;1,0,IFERROR(LOOKUP(2,1/(Aveia!$E9:INDEX(Aveia!$E9:$Z9,MIN(AP$6-$G$3,22))&lt;&gt;""),Aveia!$E9:INDEX(Aveia!$E9:$Z9,MIN(AP$6-$G$3,22))),0)))))</f>
        <v>0</v>
      </c>
      <c r="AQ11" s="27" t="n">
        <f aca="false">IF(COUNT(Aveia!$E9:$Z9)=0,0,MAX(0,IF((AQ$6-$E$3)&lt;1,0,IFERROR(LOOKUP(2,1/(Aveia!$E9:INDEX(Aveia!$E9:$Z9,MIN(AQ$6-$E$3,22))&lt;&gt;""),Aveia!$E9:INDEX(Aveia!$E9:$Z9,MIN(AQ$6-$E$3,22))),0))-IF($G$2,0,IF((AQ$6-$G$3)&lt;1,0,IFERROR(LOOKUP(2,1/(Aveia!$E9:INDEX(Aveia!$E9:$Z9,MIN(AQ$6-$G$3,22))&lt;&gt;""),Aveia!$E9:INDEX(Aveia!$E9:$Z9,MIN(AQ$6-$G$3,22))),0)))))</f>
        <v>0</v>
      </c>
      <c r="AR11" s="27" t="n">
        <f aca="false">IF(COUNT(Aveia!$E9:$Z9)=0,0,MAX(0,IF((AR$6-$E$3)&lt;1,0,IFERROR(LOOKUP(2,1/(Aveia!$E9:INDEX(Aveia!$E9:$Z9,MIN(AR$6-$E$3,22))&lt;&gt;""),Aveia!$E9:INDEX(Aveia!$E9:$Z9,MIN(AR$6-$E$3,22))),0))-IF($G$2,0,IF((AR$6-$G$3)&lt;1,0,IFERROR(LOOKUP(2,1/(Aveia!$E9:INDEX(Aveia!$E9:$Z9,MIN(AR$6-$G$3,22))&lt;&gt;""),Aveia!$E9:INDEX(Aveia!$E9:$Z9,MIN(AR$6-$G$3,22))),0)))))</f>
        <v>0</v>
      </c>
      <c r="AS11" s="27" t="n">
        <f aca="false">IF(COUNT(Aveia!$E9:$Z9)=0,0,MAX(0,IF((AS$6-$E$3)&lt;1,0,IFERROR(LOOKUP(2,1/(Aveia!$E9:INDEX(Aveia!$E9:$Z9,MIN(AS$6-$E$3,22))&lt;&gt;""),Aveia!$E9:INDEX(Aveia!$E9:$Z9,MIN(AS$6-$E$3,22))),0))-IF($G$2,0,IF((AS$6-$G$3)&lt;1,0,IFERROR(LOOKUP(2,1/(Aveia!$E9:INDEX(Aveia!$E9:$Z9,MIN(AS$6-$G$3,22))&lt;&gt;""),Aveia!$E9:INDEX(Aveia!$E9:$Z9,MIN(AS$6-$G$3,22))),0)))))</f>
        <v>0</v>
      </c>
      <c r="AT11" s="27" t="n">
        <f aca="false">IF(COUNT(Aveia!$E9:$Z9)=0,0,MAX(0,IF((AT$6-$E$3)&lt;1,0,IFERROR(LOOKUP(2,1/(Aveia!$E9:INDEX(Aveia!$E9:$Z9,MIN(AT$6-$E$3,22))&lt;&gt;""),Aveia!$E9:INDEX(Aveia!$E9:$Z9,MIN(AT$6-$E$3,22))),0))-IF($G$2,0,IF((AT$6-$G$3)&lt;1,0,IFERROR(LOOKUP(2,1/(Aveia!$E9:INDEX(Aveia!$E9:$Z9,MIN(AT$6-$G$3,22))&lt;&gt;""),Aveia!$E9:INDEX(Aveia!$E9:$Z9,MIN(AT$6-$G$3,22))),0)))))</f>
        <v>0</v>
      </c>
      <c r="AU11" s="27" t="n">
        <f aca="false">IF(COUNT(Aveia!$E9:$Z9)=0,0,MAX(0,IF((AU$6-$E$3)&lt;1,0,IFERROR(LOOKUP(2,1/(Aveia!$E9:INDEX(Aveia!$E9:$Z9,MIN(AU$6-$E$3,22))&lt;&gt;""),Aveia!$E9:INDEX(Aveia!$E9:$Z9,MIN(AU$6-$E$3,22))),0))-IF($G$2,0,IF((AU$6-$G$3)&lt;1,0,IFERROR(LOOKUP(2,1/(Aveia!$E9:INDEX(Aveia!$E9:$Z9,MIN(AU$6-$G$3,22))&lt;&gt;""),Aveia!$E9:INDEX(Aveia!$E9:$Z9,MIN(AU$6-$G$3,22))),0)))))</f>
        <v>0</v>
      </c>
      <c r="AV11" s="27" t="n">
        <f aca="false">IF(COUNT(Aveia!$E9:$Z9)=0,0,MAX(0,IF((AV$6-$E$3)&lt;1,0,IFERROR(LOOKUP(2,1/(Aveia!$E9:INDEX(Aveia!$E9:$Z9,MIN(AV$6-$E$3,22))&lt;&gt;""),Aveia!$E9:INDEX(Aveia!$E9:$Z9,MIN(AV$6-$E$3,22))),0))-IF($G$2,0,IF((AV$6-$G$3)&lt;1,0,IFERROR(LOOKUP(2,1/(Aveia!$E9:INDEX(Aveia!$E9:$Z9,MIN(AV$6-$G$3,22))&lt;&gt;""),Aveia!$E9:INDEX(Aveia!$E9:$Z9,MIN(AV$6-$G$3,22))),0)))))</f>
        <v>0</v>
      </c>
      <c r="AW11" s="27" t="n">
        <f aca="false">IF(COUNT(Aveia!$E9:$Z9)=0,0,MAX(0,IF((AW$6-$E$3)&lt;1,0,IFERROR(LOOKUP(2,1/(Aveia!$E9:INDEX(Aveia!$E9:$Z9,MIN(AW$6-$E$3,22))&lt;&gt;""),Aveia!$E9:INDEX(Aveia!$E9:$Z9,MIN(AW$6-$E$3,22))),0))-IF($G$2,0,IF((AW$6-$G$3)&lt;1,0,IFERROR(LOOKUP(2,1/(Aveia!$E9:INDEX(Aveia!$E9:$Z9,MIN(AW$6-$G$3,22))&lt;&gt;""),Aveia!$E9:INDEX(Aveia!$E9:$Z9,MIN(AW$6-$G$3,22))),0)))))</f>
        <v>0</v>
      </c>
      <c r="AX11" s="27" t="n">
        <f aca="false">IF(COUNT(Aveia!$E9:$Z9)=0,0,MAX(0,IF((AX$6-$E$3)&lt;1,0,IFERROR(LOOKUP(2,1/(Aveia!$E9:INDEX(Aveia!$E9:$Z9,MIN(AX$6-$E$3,22))&lt;&gt;""),Aveia!$E9:INDEX(Aveia!$E9:$Z9,MIN(AX$6-$E$3,22))),0))-IF($G$2,0,IF((AX$6-$G$3)&lt;1,0,IFERROR(LOOKUP(2,1/(Aveia!$E9:INDEX(Aveia!$E9:$Z9,MIN(AX$6-$G$3,22))&lt;&gt;""),Aveia!$E9:INDEX(Aveia!$E9:$Z9,MIN(AX$6-$G$3,22))),0)))))</f>
        <v>0</v>
      </c>
      <c r="AY11" s="27" t="n">
        <f aca="false">IF(COUNT(Aveia!$E9:$Z9)=0,0,MAX(0,IF((AY$6-$E$3)&lt;1,0,IFERROR(LOOKUP(2,1/(Aveia!$E9:INDEX(Aveia!$E9:$Z9,MIN(AY$6-$E$3,22))&lt;&gt;""),Aveia!$E9:INDEX(Aveia!$E9:$Z9,MIN(AY$6-$E$3,22))),0))-IF($G$2,0,IF((AY$6-$G$3)&lt;1,0,IFERROR(LOOKUP(2,1/(Aveia!$E9:INDEX(Aveia!$E9:$Z9,MIN(AY$6-$G$3,22))&lt;&gt;""),Aveia!$E9:INDEX(Aveia!$E9:$Z9,MIN(AY$6-$G$3,22))),0)))))</f>
        <v>0</v>
      </c>
      <c r="AZ11" s="27" t="n">
        <f aca="false">IF(COUNT(Aveia!$E9:$Z9)=0,0,MAX(0,IF((AZ$6-$E$3)&lt;1,0,IFERROR(LOOKUP(2,1/(Aveia!$E9:INDEX(Aveia!$E9:$Z9,MIN(AZ$6-$E$3,22))&lt;&gt;""),Aveia!$E9:INDEX(Aveia!$E9:$Z9,MIN(AZ$6-$E$3,22))),0))-IF($G$2,0,IF((AZ$6-$G$3)&lt;1,0,IFERROR(LOOKUP(2,1/(Aveia!$E9:INDEX(Aveia!$E9:$Z9,MIN(AZ$6-$G$3,22))&lt;&gt;""),Aveia!$E9:INDEX(Aveia!$E9:$Z9,MIN(AZ$6-$G$3,22))),0)))))</f>
        <v>0</v>
      </c>
    </row>
    <row r="12" customFormat="false" ht="15" hidden="false" customHeight="false" outlineLevel="0" collapsed="false">
      <c r="A12" s="3" t="s">
        <v>141</v>
      </c>
      <c r="B12" s="3" t="s">
        <v>142</v>
      </c>
      <c r="C12" s="10" t="s">
        <v>140</v>
      </c>
      <c r="D12" s="26" t="n">
        <f aca="false">IF(COUNT(Aveia!$E10:$Z10)&gt;0,N(Aveia!$D10),0)</f>
        <v>0</v>
      </c>
      <c r="E12" s="27" t="n">
        <f aca="false">IF(COUNT(Aveia!$E10:$Z10)=0,0,MAX(0,IF((E$6-$E$3)&lt;1,0,IFERROR(LOOKUP(2,1/(Aveia!$E10:INDEX(Aveia!$E10:$Z10,MIN(E$6-$E$3,22))&lt;&gt;""),Aveia!$E10:INDEX(Aveia!$E10:$Z10,MIN(E$6-$E$3,22))),0))-IF($G$2,0,IF((E$6-$G$3)&lt;1,0,IFERROR(LOOKUP(2,1/(Aveia!$E10:INDEX(Aveia!$E10:$Z10,MIN(E$6-$G$3,22))&lt;&gt;""),Aveia!$E10:INDEX(Aveia!$E10:$Z10,MIN(E$6-$G$3,22))),0)))))</f>
        <v>0</v>
      </c>
      <c r="F12" s="27" t="n">
        <f aca="false">IF(COUNT(Aveia!$E10:$Z10)=0,0,MAX(0,IF((F$6-$E$3)&lt;1,0,IFERROR(LOOKUP(2,1/(Aveia!$E10:INDEX(Aveia!$E10:$Z10,MIN(F$6-$E$3,22))&lt;&gt;""),Aveia!$E10:INDEX(Aveia!$E10:$Z10,MIN(F$6-$E$3,22))),0))-IF($G$2,0,IF((F$6-$G$3)&lt;1,0,IFERROR(LOOKUP(2,1/(Aveia!$E10:INDEX(Aveia!$E10:$Z10,MIN(F$6-$G$3,22))&lt;&gt;""),Aveia!$E10:INDEX(Aveia!$E10:$Z10,MIN(F$6-$G$3,22))),0)))))</f>
        <v>0</v>
      </c>
      <c r="G12" s="27" t="n">
        <f aca="false">IF(COUNT(Aveia!$E10:$Z10)=0,0,MAX(0,IF((G$6-$E$3)&lt;1,0,IFERROR(LOOKUP(2,1/(Aveia!$E10:INDEX(Aveia!$E10:$Z10,MIN(G$6-$E$3,22))&lt;&gt;""),Aveia!$E10:INDEX(Aveia!$E10:$Z10,MIN(G$6-$E$3,22))),0))-IF($G$2,0,IF((G$6-$G$3)&lt;1,0,IFERROR(LOOKUP(2,1/(Aveia!$E10:INDEX(Aveia!$E10:$Z10,MIN(G$6-$G$3,22))&lt;&gt;""),Aveia!$E10:INDEX(Aveia!$E10:$Z10,MIN(G$6-$G$3,22))),0)))))</f>
        <v>0</v>
      </c>
      <c r="H12" s="27" t="n">
        <f aca="false">IF(COUNT(Aveia!$E10:$Z10)=0,0,MAX(0,IF((H$6-$E$3)&lt;1,0,IFERROR(LOOKUP(2,1/(Aveia!$E10:INDEX(Aveia!$E10:$Z10,MIN(H$6-$E$3,22))&lt;&gt;""),Aveia!$E10:INDEX(Aveia!$E10:$Z10,MIN(H$6-$E$3,22))),0))-IF($G$2,0,IF((H$6-$G$3)&lt;1,0,IFERROR(LOOKUP(2,1/(Aveia!$E10:INDEX(Aveia!$E10:$Z10,MIN(H$6-$G$3,22))&lt;&gt;""),Aveia!$E10:INDEX(Aveia!$E10:$Z10,MIN(H$6-$G$3,22))),0)))))</f>
        <v>0</v>
      </c>
      <c r="I12" s="27" t="n">
        <f aca="false">IF(COUNT(Aveia!$E10:$Z10)=0,0,MAX(0,IF((I$6-$E$3)&lt;1,0,IFERROR(LOOKUP(2,1/(Aveia!$E10:INDEX(Aveia!$E10:$Z10,MIN(I$6-$E$3,22))&lt;&gt;""),Aveia!$E10:INDEX(Aveia!$E10:$Z10,MIN(I$6-$E$3,22))),0))-IF($G$2,0,IF((I$6-$G$3)&lt;1,0,IFERROR(LOOKUP(2,1/(Aveia!$E10:INDEX(Aveia!$E10:$Z10,MIN(I$6-$G$3,22))&lt;&gt;""),Aveia!$E10:INDEX(Aveia!$E10:$Z10,MIN(I$6-$G$3,22))),0)))))</f>
        <v>0</v>
      </c>
      <c r="J12" s="27" t="n">
        <f aca="false">IF(COUNT(Aveia!$E10:$Z10)=0,0,MAX(0,IF((J$6-$E$3)&lt;1,0,IFERROR(LOOKUP(2,1/(Aveia!$E10:INDEX(Aveia!$E10:$Z10,MIN(J$6-$E$3,22))&lt;&gt;""),Aveia!$E10:INDEX(Aveia!$E10:$Z10,MIN(J$6-$E$3,22))),0))-IF($G$2,0,IF((J$6-$G$3)&lt;1,0,IFERROR(LOOKUP(2,1/(Aveia!$E10:INDEX(Aveia!$E10:$Z10,MIN(J$6-$G$3,22))&lt;&gt;""),Aveia!$E10:INDEX(Aveia!$E10:$Z10,MIN(J$6-$G$3,22))),0)))))</f>
        <v>0</v>
      </c>
      <c r="K12" s="27" t="n">
        <f aca="false">IF(COUNT(Aveia!$E10:$Z10)=0,0,MAX(0,IF((K$6-$E$3)&lt;1,0,IFERROR(LOOKUP(2,1/(Aveia!$E10:INDEX(Aveia!$E10:$Z10,MIN(K$6-$E$3,22))&lt;&gt;""),Aveia!$E10:INDEX(Aveia!$E10:$Z10,MIN(K$6-$E$3,22))),0))-IF($G$2,0,IF((K$6-$G$3)&lt;1,0,IFERROR(LOOKUP(2,1/(Aveia!$E10:INDEX(Aveia!$E10:$Z10,MIN(K$6-$G$3,22))&lt;&gt;""),Aveia!$E10:INDEX(Aveia!$E10:$Z10,MIN(K$6-$G$3,22))),0)))))</f>
        <v>0</v>
      </c>
      <c r="L12" s="27" t="n">
        <f aca="false">IF(COUNT(Aveia!$E10:$Z10)=0,0,MAX(0,IF((L$6-$E$3)&lt;1,0,IFERROR(LOOKUP(2,1/(Aveia!$E10:INDEX(Aveia!$E10:$Z10,MIN(L$6-$E$3,22))&lt;&gt;""),Aveia!$E10:INDEX(Aveia!$E10:$Z10,MIN(L$6-$E$3,22))),0))-IF($G$2,0,IF((L$6-$G$3)&lt;1,0,IFERROR(LOOKUP(2,1/(Aveia!$E10:INDEX(Aveia!$E10:$Z10,MIN(L$6-$G$3,22))&lt;&gt;""),Aveia!$E10:INDEX(Aveia!$E10:$Z10,MIN(L$6-$G$3,22))),0)))))</f>
        <v>0</v>
      </c>
      <c r="M12" s="27" t="n">
        <f aca="false">IF(COUNT(Aveia!$E10:$Z10)=0,0,MAX(0,IF((M$6-$E$3)&lt;1,0,IFERROR(LOOKUP(2,1/(Aveia!$E10:INDEX(Aveia!$E10:$Z10,MIN(M$6-$E$3,22))&lt;&gt;""),Aveia!$E10:INDEX(Aveia!$E10:$Z10,MIN(M$6-$E$3,22))),0))-IF($G$2,0,IF((M$6-$G$3)&lt;1,0,IFERROR(LOOKUP(2,1/(Aveia!$E10:INDEX(Aveia!$E10:$Z10,MIN(M$6-$G$3,22))&lt;&gt;""),Aveia!$E10:INDEX(Aveia!$E10:$Z10,MIN(M$6-$G$3,22))),0)))))</f>
        <v>0</v>
      </c>
      <c r="N12" s="27" t="n">
        <f aca="false">IF(COUNT(Aveia!$E10:$Z10)=0,0,MAX(0,IF((N$6-$E$3)&lt;1,0,IFERROR(LOOKUP(2,1/(Aveia!$E10:INDEX(Aveia!$E10:$Z10,MIN(N$6-$E$3,22))&lt;&gt;""),Aveia!$E10:INDEX(Aveia!$E10:$Z10,MIN(N$6-$E$3,22))),0))-IF($G$2,0,IF((N$6-$G$3)&lt;1,0,IFERROR(LOOKUP(2,1/(Aveia!$E10:INDEX(Aveia!$E10:$Z10,MIN(N$6-$G$3,22))&lt;&gt;""),Aveia!$E10:INDEX(Aveia!$E10:$Z10,MIN(N$6-$G$3,22))),0)))))</f>
        <v>0</v>
      </c>
      <c r="O12" s="27" t="n">
        <f aca="false">IF(COUNT(Aveia!$E10:$Z10)=0,0,MAX(0,IF((O$6-$E$3)&lt;1,0,IFERROR(LOOKUP(2,1/(Aveia!$E10:INDEX(Aveia!$E10:$Z10,MIN(O$6-$E$3,22))&lt;&gt;""),Aveia!$E10:INDEX(Aveia!$E10:$Z10,MIN(O$6-$E$3,22))),0))-IF($G$2,0,IF((O$6-$G$3)&lt;1,0,IFERROR(LOOKUP(2,1/(Aveia!$E10:INDEX(Aveia!$E10:$Z10,MIN(O$6-$G$3,22))&lt;&gt;""),Aveia!$E10:INDEX(Aveia!$E10:$Z10,MIN(O$6-$G$3,22))),0)))))</f>
        <v>0</v>
      </c>
      <c r="P12" s="27" t="n">
        <f aca="false">IF(COUNT(Aveia!$E10:$Z10)=0,0,MAX(0,IF((P$6-$E$3)&lt;1,0,IFERROR(LOOKUP(2,1/(Aveia!$E10:INDEX(Aveia!$E10:$Z10,MIN(P$6-$E$3,22))&lt;&gt;""),Aveia!$E10:INDEX(Aveia!$E10:$Z10,MIN(P$6-$E$3,22))),0))-IF($G$2,0,IF((P$6-$G$3)&lt;1,0,IFERROR(LOOKUP(2,1/(Aveia!$E10:INDEX(Aveia!$E10:$Z10,MIN(P$6-$G$3,22))&lt;&gt;""),Aveia!$E10:INDEX(Aveia!$E10:$Z10,MIN(P$6-$G$3,22))),0)))))</f>
        <v>0</v>
      </c>
      <c r="Q12" s="27" t="n">
        <f aca="false">IF(COUNT(Aveia!$E10:$Z10)=0,0,MAX(0,IF((Q$6-$E$3)&lt;1,0,IFERROR(LOOKUP(2,1/(Aveia!$E10:INDEX(Aveia!$E10:$Z10,MIN(Q$6-$E$3,22))&lt;&gt;""),Aveia!$E10:INDEX(Aveia!$E10:$Z10,MIN(Q$6-$E$3,22))),0))-IF($G$2,0,IF((Q$6-$G$3)&lt;1,0,IFERROR(LOOKUP(2,1/(Aveia!$E10:INDEX(Aveia!$E10:$Z10,MIN(Q$6-$G$3,22))&lt;&gt;""),Aveia!$E10:INDEX(Aveia!$E10:$Z10,MIN(Q$6-$G$3,22))),0)))))</f>
        <v>0</v>
      </c>
      <c r="R12" s="27" t="n">
        <f aca="false">IF(COUNT(Aveia!$E10:$Z10)=0,0,MAX(0,IF((R$6-$E$3)&lt;1,0,IFERROR(LOOKUP(2,1/(Aveia!$E10:INDEX(Aveia!$E10:$Z10,MIN(R$6-$E$3,22))&lt;&gt;""),Aveia!$E10:INDEX(Aveia!$E10:$Z10,MIN(R$6-$E$3,22))),0))-IF($G$2,0,IF((R$6-$G$3)&lt;1,0,IFERROR(LOOKUP(2,1/(Aveia!$E10:INDEX(Aveia!$E10:$Z10,MIN(R$6-$G$3,22))&lt;&gt;""),Aveia!$E10:INDEX(Aveia!$E10:$Z10,MIN(R$6-$G$3,22))),0)))))</f>
        <v>0</v>
      </c>
      <c r="S12" s="27" t="n">
        <f aca="false">IF(COUNT(Aveia!$E10:$Z10)=0,0,MAX(0,IF((S$6-$E$3)&lt;1,0,IFERROR(LOOKUP(2,1/(Aveia!$E10:INDEX(Aveia!$E10:$Z10,MIN(S$6-$E$3,22))&lt;&gt;""),Aveia!$E10:INDEX(Aveia!$E10:$Z10,MIN(S$6-$E$3,22))),0))-IF($G$2,0,IF((S$6-$G$3)&lt;1,0,IFERROR(LOOKUP(2,1/(Aveia!$E10:INDEX(Aveia!$E10:$Z10,MIN(S$6-$G$3,22))&lt;&gt;""),Aveia!$E10:INDEX(Aveia!$E10:$Z10,MIN(S$6-$G$3,22))),0)))))</f>
        <v>0</v>
      </c>
      <c r="T12" s="27" t="n">
        <f aca="false">IF(COUNT(Aveia!$E10:$Z10)=0,0,MAX(0,IF((T$6-$E$3)&lt;1,0,IFERROR(LOOKUP(2,1/(Aveia!$E10:INDEX(Aveia!$E10:$Z10,MIN(T$6-$E$3,22))&lt;&gt;""),Aveia!$E10:INDEX(Aveia!$E10:$Z10,MIN(T$6-$E$3,22))),0))-IF($G$2,0,IF((T$6-$G$3)&lt;1,0,IFERROR(LOOKUP(2,1/(Aveia!$E10:INDEX(Aveia!$E10:$Z10,MIN(T$6-$G$3,22))&lt;&gt;""),Aveia!$E10:INDEX(Aveia!$E10:$Z10,MIN(T$6-$G$3,22))),0)))))</f>
        <v>0</v>
      </c>
      <c r="U12" s="27" t="n">
        <f aca="false">IF(COUNT(Aveia!$E10:$Z10)=0,0,MAX(0,IF((U$6-$E$3)&lt;1,0,IFERROR(LOOKUP(2,1/(Aveia!$E10:INDEX(Aveia!$E10:$Z10,MIN(U$6-$E$3,22))&lt;&gt;""),Aveia!$E10:INDEX(Aveia!$E10:$Z10,MIN(U$6-$E$3,22))),0))-IF($G$2,0,IF((U$6-$G$3)&lt;1,0,IFERROR(LOOKUP(2,1/(Aveia!$E10:INDEX(Aveia!$E10:$Z10,MIN(U$6-$G$3,22))&lt;&gt;""),Aveia!$E10:INDEX(Aveia!$E10:$Z10,MIN(U$6-$G$3,22))),0)))))</f>
        <v>0</v>
      </c>
      <c r="V12" s="27" t="n">
        <f aca="false">IF(COUNT(Aveia!$E10:$Z10)=0,0,MAX(0,IF((V$6-$E$3)&lt;1,0,IFERROR(LOOKUP(2,1/(Aveia!$E10:INDEX(Aveia!$E10:$Z10,MIN(V$6-$E$3,22))&lt;&gt;""),Aveia!$E10:INDEX(Aveia!$E10:$Z10,MIN(V$6-$E$3,22))),0))-IF($G$2,0,IF((V$6-$G$3)&lt;1,0,IFERROR(LOOKUP(2,1/(Aveia!$E10:INDEX(Aveia!$E10:$Z10,MIN(V$6-$G$3,22))&lt;&gt;""),Aveia!$E10:INDEX(Aveia!$E10:$Z10,MIN(V$6-$G$3,22))),0)))))</f>
        <v>0</v>
      </c>
      <c r="W12" s="27" t="n">
        <f aca="false">IF(COUNT(Aveia!$E10:$Z10)=0,0,MAX(0,IF((W$6-$E$3)&lt;1,0,IFERROR(LOOKUP(2,1/(Aveia!$E10:INDEX(Aveia!$E10:$Z10,MIN(W$6-$E$3,22))&lt;&gt;""),Aveia!$E10:INDEX(Aveia!$E10:$Z10,MIN(W$6-$E$3,22))),0))-IF($G$2,0,IF((W$6-$G$3)&lt;1,0,IFERROR(LOOKUP(2,1/(Aveia!$E10:INDEX(Aveia!$E10:$Z10,MIN(W$6-$G$3,22))&lt;&gt;""),Aveia!$E10:INDEX(Aveia!$E10:$Z10,MIN(W$6-$G$3,22))),0)))))</f>
        <v>0</v>
      </c>
      <c r="X12" s="27" t="n">
        <f aca="false">IF(COUNT(Aveia!$E10:$Z10)=0,0,MAX(0,IF((X$6-$E$3)&lt;1,0,IFERROR(LOOKUP(2,1/(Aveia!$E10:INDEX(Aveia!$E10:$Z10,MIN(X$6-$E$3,22))&lt;&gt;""),Aveia!$E10:INDEX(Aveia!$E10:$Z10,MIN(X$6-$E$3,22))),0))-IF($G$2,0,IF((X$6-$G$3)&lt;1,0,IFERROR(LOOKUP(2,1/(Aveia!$E10:INDEX(Aveia!$E10:$Z10,MIN(X$6-$G$3,22))&lt;&gt;""),Aveia!$E10:INDEX(Aveia!$E10:$Z10,MIN(X$6-$G$3,22))),0)))))</f>
        <v>0</v>
      </c>
      <c r="Y12" s="27" t="n">
        <f aca="false">IF(COUNT(Aveia!$E10:$Z10)=0,0,MAX(0,IF((Y$6-$E$3)&lt;1,0,IFERROR(LOOKUP(2,1/(Aveia!$E10:INDEX(Aveia!$E10:$Z10,MIN(Y$6-$E$3,22))&lt;&gt;""),Aveia!$E10:INDEX(Aveia!$E10:$Z10,MIN(Y$6-$E$3,22))),0))-IF($G$2,0,IF((Y$6-$G$3)&lt;1,0,IFERROR(LOOKUP(2,1/(Aveia!$E10:INDEX(Aveia!$E10:$Z10,MIN(Y$6-$G$3,22))&lt;&gt;""),Aveia!$E10:INDEX(Aveia!$E10:$Z10,MIN(Y$6-$G$3,22))),0)))))</f>
        <v>0</v>
      </c>
      <c r="Z12" s="27" t="n">
        <f aca="false">IF(COUNT(Aveia!$E10:$Z10)=0,0,MAX(0,IF((Z$6-$E$3)&lt;1,0,IFERROR(LOOKUP(2,1/(Aveia!$E10:INDEX(Aveia!$E10:$Z10,MIN(Z$6-$E$3,22))&lt;&gt;""),Aveia!$E10:INDEX(Aveia!$E10:$Z10,MIN(Z$6-$E$3,22))),0))-IF($G$2,0,IF((Z$6-$G$3)&lt;1,0,IFERROR(LOOKUP(2,1/(Aveia!$E10:INDEX(Aveia!$E10:$Z10,MIN(Z$6-$G$3,22))&lt;&gt;""),Aveia!$E10:INDEX(Aveia!$E10:$Z10,MIN(Z$6-$G$3,22))),0)))))</f>
        <v>0</v>
      </c>
      <c r="AA12" s="27" t="n">
        <f aca="false">IF(COUNT(Aveia!$E10:$Z10)=0,0,MAX(0,IF((AA$6-$E$3)&lt;1,0,IFERROR(LOOKUP(2,1/(Aveia!$E10:INDEX(Aveia!$E10:$Z10,MIN(AA$6-$E$3,22))&lt;&gt;""),Aveia!$E10:INDEX(Aveia!$E10:$Z10,MIN(AA$6-$E$3,22))),0))-IF($G$2,0,IF((AA$6-$G$3)&lt;1,0,IFERROR(LOOKUP(2,1/(Aveia!$E10:INDEX(Aveia!$E10:$Z10,MIN(AA$6-$G$3,22))&lt;&gt;""),Aveia!$E10:INDEX(Aveia!$E10:$Z10,MIN(AA$6-$G$3,22))),0)))))</f>
        <v>0</v>
      </c>
      <c r="AB12" s="27" t="n">
        <f aca="false">IF(COUNT(Aveia!$E10:$Z10)=0,0,MAX(0,IF((AB$6-$E$3)&lt;1,0,IFERROR(LOOKUP(2,1/(Aveia!$E10:INDEX(Aveia!$E10:$Z10,MIN(AB$6-$E$3,22))&lt;&gt;""),Aveia!$E10:INDEX(Aveia!$E10:$Z10,MIN(AB$6-$E$3,22))),0))-IF($G$2,0,IF((AB$6-$G$3)&lt;1,0,IFERROR(LOOKUP(2,1/(Aveia!$E10:INDEX(Aveia!$E10:$Z10,MIN(AB$6-$G$3,22))&lt;&gt;""),Aveia!$E10:INDEX(Aveia!$E10:$Z10,MIN(AB$6-$G$3,22))),0)))))</f>
        <v>0</v>
      </c>
      <c r="AC12" s="27" t="n">
        <f aca="false">IF(COUNT(Aveia!$E10:$Z10)=0,0,MAX(0,IF((AC$6-$E$3)&lt;1,0,IFERROR(LOOKUP(2,1/(Aveia!$E10:INDEX(Aveia!$E10:$Z10,MIN(AC$6-$E$3,22))&lt;&gt;""),Aveia!$E10:INDEX(Aveia!$E10:$Z10,MIN(AC$6-$E$3,22))),0))-IF($G$2,0,IF((AC$6-$G$3)&lt;1,0,IFERROR(LOOKUP(2,1/(Aveia!$E10:INDEX(Aveia!$E10:$Z10,MIN(AC$6-$G$3,22))&lt;&gt;""),Aveia!$E10:INDEX(Aveia!$E10:$Z10,MIN(AC$6-$G$3,22))),0)))))</f>
        <v>0</v>
      </c>
      <c r="AD12" s="27" t="n">
        <f aca="false">IF(COUNT(Aveia!$E10:$Z10)=0,0,MAX(0,IF((AD$6-$E$3)&lt;1,0,IFERROR(LOOKUP(2,1/(Aveia!$E10:INDEX(Aveia!$E10:$Z10,MIN(AD$6-$E$3,22))&lt;&gt;""),Aveia!$E10:INDEX(Aveia!$E10:$Z10,MIN(AD$6-$E$3,22))),0))-IF($G$2,0,IF((AD$6-$G$3)&lt;1,0,IFERROR(LOOKUP(2,1/(Aveia!$E10:INDEX(Aveia!$E10:$Z10,MIN(AD$6-$G$3,22))&lt;&gt;""),Aveia!$E10:INDEX(Aveia!$E10:$Z10,MIN(AD$6-$G$3,22))),0)))))</f>
        <v>0</v>
      </c>
      <c r="AE12" s="27" t="n">
        <f aca="false">IF(COUNT(Aveia!$E10:$Z10)=0,0,MAX(0,IF((AE$6-$E$3)&lt;1,0,IFERROR(LOOKUP(2,1/(Aveia!$E10:INDEX(Aveia!$E10:$Z10,MIN(AE$6-$E$3,22))&lt;&gt;""),Aveia!$E10:INDEX(Aveia!$E10:$Z10,MIN(AE$6-$E$3,22))),0))-IF($G$2,0,IF((AE$6-$G$3)&lt;1,0,IFERROR(LOOKUP(2,1/(Aveia!$E10:INDEX(Aveia!$E10:$Z10,MIN(AE$6-$G$3,22))&lt;&gt;""),Aveia!$E10:INDEX(Aveia!$E10:$Z10,MIN(AE$6-$G$3,22))),0)))))</f>
        <v>0</v>
      </c>
      <c r="AF12" s="27" t="n">
        <f aca="false">IF(COUNT(Aveia!$E10:$Z10)=0,0,MAX(0,IF((AF$6-$E$3)&lt;1,0,IFERROR(LOOKUP(2,1/(Aveia!$E10:INDEX(Aveia!$E10:$Z10,MIN(AF$6-$E$3,22))&lt;&gt;""),Aveia!$E10:INDEX(Aveia!$E10:$Z10,MIN(AF$6-$E$3,22))),0))-IF($G$2,0,IF((AF$6-$G$3)&lt;1,0,IFERROR(LOOKUP(2,1/(Aveia!$E10:INDEX(Aveia!$E10:$Z10,MIN(AF$6-$G$3,22))&lt;&gt;""),Aveia!$E10:INDEX(Aveia!$E10:$Z10,MIN(AF$6-$G$3,22))),0)))))</f>
        <v>0</v>
      </c>
      <c r="AG12" s="27" t="n">
        <f aca="false">IF(COUNT(Aveia!$E10:$Z10)=0,0,MAX(0,IF((AG$6-$E$3)&lt;1,0,IFERROR(LOOKUP(2,1/(Aveia!$E10:INDEX(Aveia!$E10:$Z10,MIN(AG$6-$E$3,22))&lt;&gt;""),Aveia!$E10:INDEX(Aveia!$E10:$Z10,MIN(AG$6-$E$3,22))),0))-IF($G$2,0,IF((AG$6-$G$3)&lt;1,0,IFERROR(LOOKUP(2,1/(Aveia!$E10:INDEX(Aveia!$E10:$Z10,MIN(AG$6-$G$3,22))&lt;&gt;""),Aveia!$E10:INDEX(Aveia!$E10:$Z10,MIN(AG$6-$G$3,22))),0)))))</f>
        <v>0</v>
      </c>
      <c r="AH12" s="27" t="n">
        <f aca="false">IF(COUNT(Aveia!$E10:$Z10)=0,0,MAX(0,IF((AH$6-$E$3)&lt;1,0,IFERROR(LOOKUP(2,1/(Aveia!$E10:INDEX(Aveia!$E10:$Z10,MIN(AH$6-$E$3,22))&lt;&gt;""),Aveia!$E10:INDEX(Aveia!$E10:$Z10,MIN(AH$6-$E$3,22))),0))-IF($G$2,0,IF((AH$6-$G$3)&lt;1,0,IFERROR(LOOKUP(2,1/(Aveia!$E10:INDEX(Aveia!$E10:$Z10,MIN(AH$6-$G$3,22))&lt;&gt;""),Aveia!$E10:INDEX(Aveia!$E10:$Z10,MIN(AH$6-$G$3,22))),0)))))</f>
        <v>0</v>
      </c>
      <c r="AI12" s="27" t="n">
        <f aca="false">IF(COUNT(Aveia!$E10:$Z10)=0,0,MAX(0,IF((AI$6-$E$3)&lt;1,0,IFERROR(LOOKUP(2,1/(Aveia!$E10:INDEX(Aveia!$E10:$Z10,MIN(AI$6-$E$3,22))&lt;&gt;""),Aveia!$E10:INDEX(Aveia!$E10:$Z10,MIN(AI$6-$E$3,22))),0))-IF($G$2,0,IF((AI$6-$G$3)&lt;1,0,IFERROR(LOOKUP(2,1/(Aveia!$E10:INDEX(Aveia!$E10:$Z10,MIN(AI$6-$G$3,22))&lt;&gt;""),Aveia!$E10:INDEX(Aveia!$E10:$Z10,MIN(AI$6-$G$3,22))),0)))))</f>
        <v>0</v>
      </c>
      <c r="AJ12" s="27" t="n">
        <f aca="false">IF(COUNT(Aveia!$E10:$Z10)=0,0,MAX(0,IF((AJ$6-$E$3)&lt;1,0,IFERROR(LOOKUP(2,1/(Aveia!$E10:INDEX(Aveia!$E10:$Z10,MIN(AJ$6-$E$3,22))&lt;&gt;""),Aveia!$E10:INDEX(Aveia!$E10:$Z10,MIN(AJ$6-$E$3,22))),0))-IF($G$2,0,IF((AJ$6-$G$3)&lt;1,0,IFERROR(LOOKUP(2,1/(Aveia!$E10:INDEX(Aveia!$E10:$Z10,MIN(AJ$6-$G$3,22))&lt;&gt;""),Aveia!$E10:INDEX(Aveia!$E10:$Z10,MIN(AJ$6-$G$3,22))),0)))))</f>
        <v>0</v>
      </c>
      <c r="AK12" s="27" t="n">
        <f aca="false">IF(COUNT(Aveia!$E10:$Z10)=0,0,MAX(0,IF((AK$6-$E$3)&lt;1,0,IFERROR(LOOKUP(2,1/(Aveia!$E10:INDEX(Aveia!$E10:$Z10,MIN(AK$6-$E$3,22))&lt;&gt;""),Aveia!$E10:INDEX(Aveia!$E10:$Z10,MIN(AK$6-$E$3,22))),0))-IF($G$2,0,IF((AK$6-$G$3)&lt;1,0,IFERROR(LOOKUP(2,1/(Aveia!$E10:INDEX(Aveia!$E10:$Z10,MIN(AK$6-$G$3,22))&lt;&gt;""),Aveia!$E10:INDEX(Aveia!$E10:$Z10,MIN(AK$6-$G$3,22))),0)))))</f>
        <v>0</v>
      </c>
      <c r="AL12" s="27" t="n">
        <f aca="false">IF(COUNT(Aveia!$E10:$Z10)=0,0,MAX(0,IF((AL$6-$E$3)&lt;1,0,IFERROR(LOOKUP(2,1/(Aveia!$E10:INDEX(Aveia!$E10:$Z10,MIN(AL$6-$E$3,22))&lt;&gt;""),Aveia!$E10:INDEX(Aveia!$E10:$Z10,MIN(AL$6-$E$3,22))),0))-IF($G$2,0,IF((AL$6-$G$3)&lt;1,0,IFERROR(LOOKUP(2,1/(Aveia!$E10:INDEX(Aveia!$E10:$Z10,MIN(AL$6-$G$3,22))&lt;&gt;""),Aveia!$E10:INDEX(Aveia!$E10:$Z10,MIN(AL$6-$G$3,22))),0)))))</f>
        <v>0</v>
      </c>
      <c r="AM12" s="27" t="n">
        <f aca="false">IF(COUNT(Aveia!$E10:$Z10)=0,0,MAX(0,IF((AM$6-$E$3)&lt;1,0,IFERROR(LOOKUP(2,1/(Aveia!$E10:INDEX(Aveia!$E10:$Z10,MIN(AM$6-$E$3,22))&lt;&gt;""),Aveia!$E10:INDEX(Aveia!$E10:$Z10,MIN(AM$6-$E$3,22))),0))-IF($G$2,0,IF((AM$6-$G$3)&lt;1,0,IFERROR(LOOKUP(2,1/(Aveia!$E10:INDEX(Aveia!$E10:$Z10,MIN(AM$6-$G$3,22))&lt;&gt;""),Aveia!$E10:INDEX(Aveia!$E10:$Z10,MIN(AM$6-$G$3,22))),0)))))</f>
        <v>0</v>
      </c>
      <c r="AN12" s="27" t="n">
        <f aca="false">IF(COUNT(Aveia!$E10:$Z10)=0,0,MAX(0,IF((AN$6-$E$3)&lt;1,0,IFERROR(LOOKUP(2,1/(Aveia!$E10:INDEX(Aveia!$E10:$Z10,MIN(AN$6-$E$3,22))&lt;&gt;""),Aveia!$E10:INDEX(Aveia!$E10:$Z10,MIN(AN$6-$E$3,22))),0))-IF($G$2,0,IF((AN$6-$G$3)&lt;1,0,IFERROR(LOOKUP(2,1/(Aveia!$E10:INDEX(Aveia!$E10:$Z10,MIN(AN$6-$G$3,22))&lt;&gt;""),Aveia!$E10:INDEX(Aveia!$E10:$Z10,MIN(AN$6-$G$3,22))),0)))))</f>
        <v>0</v>
      </c>
      <c r="AO12" s="27" t="n">
        <f aca="false">IF(COUNT(Aveia!$E10:$Z10)=0,0,MAX(0,IF((AO$6-$E$3)&lt;1,0,IFERROR(LOOKUP(2,1/(Aveia!$E10:INDEX(Aveia!$E10:$Z10,MIN(AO$6-$E$3,22))&lt;&gt;""),Aveia!$E10:INDEX(Aveia!$E10:$Z10,MIN(AO$6-$E$3,22))),0))-IF($G$2,0,IF((AO$6-$G$3)&lt;1,0,IFERROR(LOOKUP(2,1/(Aveia!$E10:INDEX(Aveia!$E10:$Z10,MIN(AO$6-$G$3,22))&lt;&gt;""),Aveia!$E10:INDEX(Aveia!$E10:$Z10,MIN(AO$6-$G$3,22))),0)))))</f>
        <v>0</v>
      </c>
      <c r="AP12" s="27" t="n">
        <f aca="false">IF(COUNT(Aveia!$E10:$Z10)=0,0,MAX(0,IF((AP$6-$E$3)&lt;1,0,IFERROR(LOOKUP(2,1/(Aveia!$E10:INDEX(Aveia!$E10:$Z10,MIN(AP$6-$E$3,22))&lt;&gt;""),Aveia!$E10:INDEX(Aveia!$E10:$Z10,MIN(AP$6-$E$3,22))),0))-IF($G$2,0,IF((AP$6-$G$3)&lt;1,0,IFERROR(LOOKUP(2,1/(Aveia!$E10:INDEX(Aveia!$E10:$Z10,MIN(AP$6-$G$3,22))&lt;&gt;""),Aveia!$E10:INDEX(Aveia!$E10:$Z10,MIN(AP$6-$G$3,22))),0)))))</f>
        <v>0</v>
      </c>
      <c r="AQ12" s="27" t="n">
        <f aca="false">IF(COUNT(Aveia!$E10:$Z10)=0,0,MAX(0,IF((AQ$6-$E$3)&lt;1,0,IFERROR(LOOKUP(2,1/(Aveia!$E10:INDEX(Aveia!$E10:$Z10,MIN(AQ$6-$E$3,22))&lt;&gt;""),Aveia!$E10:INDEX(Aveia!$E10:$Z10,MIN(AQ$6-$E$3,22))),0))-IF($G$2,0,IF((AQ$6-$G$3)&lt;1,0,IFERROR(LOOKUP(2,1/(Aveia!$E10:INDEX(Aveia!$E10:$Z10,MIN(AQ$6-$G$3,22))&lt;&gt;""),Aveia!$E10:INDEX(Aveia!$E10:$Z10,MIN(AQ$6-$G$3,22))),0)))))</f>
        <v>0</v>
      </c>
      <c r="AR12" s="27" t="n">
        <f aca="false">IF(COUNT(Aveia!$E10:$Z10)=0,0,MAX(0,IF((AR$6-$E$3)&lt;1,0,IFERROR(LOOKUP(2,1/(Aveia!$E10:INDEX(Aveia!$E10:$Z10,MIN(AR$6-$E$3,22))&lt;&gt;""),Aveia!$E10:INDEX(Aveia!$E10:$Z10,MIN(AR$6-$E$3,22))),0))-IF($G$2,0,IF((AR$6-$G$3)&lt;1,0,IFERROR(LOOKUP(2,1/(Aveia!$E10:INDEX(Aveia!$E10:$Z10,MIN(AR$6-$G$3,22))&lt;&gt;""),Aveia!$E10:INDEX(Aveia!$E10:$Z10,MIN(AR$6-$G$3,22))),0)))))</f>
        <v>0</v>
      </c>
      <c r="AS12" s="27" t="n">
        <f aca="false">IF(COUNT(Aveia!$E10:$Z10)=0,0,MAX(0,IF((AS$6-$E$3)&lt;1,0,IFERROR(LOOKUP(2,1/(Aveia!$E10:INDEX(Aveia!$E10:$Z10,MIN(AS$6-$E$3,22))&lt;&gt;""),Aveia!$E10:INDEX(Aveia!$E10:$Z10,MIN(AS$6-$E$3,22))),0))-IF($G$2,0,IF((AS$6-$G$3)&lt;1,0,IFERROR(LOOKUP(2,1/(Aveia!$E10:INDEX(Aveia!$E10:$Z10,MIN(AS$6-$G$3,22))&lt;&gt;""),Aveia!$E10:INDEX(Aveia!$E10:$Z10,MIN(AS$6-$G$3,22))),0)))))</f>
        <v>0</v>
      </c>
      <c r="AT12" s="27" t="n">
        <f aca="false">IF(COUNT(Aveia!$E10:$Z10)=0,0,MAX(0,IF((AT$6-$E$3)&lt;1,0,IFERROR(LOOKUP(2,1/(Aveia!$E10:INDEX(Aveia!$E10:$Z10,MIN(AT$6-$E$3,22))&lt;&gt;""),Aveia!$E10:INDEX(Aveia!$E10:$Z10,MIN(AT$6-$E$3,22))),0))-IF($G$2,0,IF((AT$6-$G$3)&lt;1,0,IFERROR(LOOKUP(2,1/(Aveia!$E10:INDEX(Aveia!$E10:$Z10,MIN(AT$6-$G$3,22))&lt;&gt;""),Aveia!$E10:INDEX(Aveia!$E10:$Z10,MIN(AT$6-$G$3,22))),0)))))</f>
        <v>0</v>
      </c>
      <c r="AU12" s="27" t="n">
        <f aca="false">IF(COUNT(Aveia!$E10:$Z10)=0,0,MAX(0,IF((AU$6-$E$3)&lt;1,0,IFERROR(LOOKUP(2,1/(Aveia!$E10:INDEX(Aveia!$E10:$Z10,MIN(AU$6-$E$3,22))&lt;&gt;""),Aveia!$E10:INDEX(Aveia!$E10:$Z10,MIN(AU$6-$E$3,22))),0))-IF($G$2,0,IF((AU$6-$G$3)&lt;1,0,IFERROR(LOOKUP(2,1/(Aveia!$E10:INDEX(Aveia!$E10:$Z10,MIN(AU$6-$G$3,22))&lt;&gt;""),Aveia!$E10:INDEX(Aveia!$E10:$Z10,MIN(AU$6-$G$3,22))),0)))))</f>
        <v>0</v>
      </c>
      <c r="AV12" s="27" t="n">
        <f aca="false">IF(COUNT(Aveia!$E10:$Z10)=0,0,MAX(0,IF((AV$6-$E$3)&lt;1,0,IFERROR(LOOKUP(2,1/(Aveia!$E10:INDEX(Aveia!$E10:$Z10,MIN(AV$6-$E$3,22))&lt;&gt;""),Aveia!$E10:INDEX(Aveia!$E10:$Z10,MIN(AV$6-$E$3,22))),0))-IF($G$2,0,IF((AV$6-$G$3)&lt;1,0,IFERROR(LOOKUP(2,1/(Aveia!$E10:INDEX(Aveia!$E10:$Z10,MIN(AV$6-$G$3,22))&lt;&gt;""),Aveia!$E10:INDEX(Aveia!$E10:$Z10,MIN(AV$6-$G$3,22))),0)))))</f>
        <v>0</v>
      </c>
      <c r="AW12" s="27" t="n">
        <f aca="false">IF(COUNT(Aveia!$E10:$Z10)=0,0,MAX(0,IF((AW$6-$E$3)&lt;1,0,IFERROR(LOOKUP(2,1/(Aveia!$E10:INDEX(Aveia!$E10:$Z10,MIN(AW$6-$E$3,22))&lt;&gt;""),Aveia!$E10:INDEX(Aveia!$E10:$Z10,MIN(AW$6-$E$3,22))),0))-IF($G$2,0,IF((AW$6-$G$3)&lt;1,0,IFERROR(LOOKUP(2,1/(Aveia!$E10:INDEX(Aveia!$E10:$Z10,MIN(AW$6-$G$3,22))&lt;&gt;""),Aveia!$E10:INDEX(Aveia!$E10:$Z10,MIN(AW$6-$G$3,22))),0)))))</f>
        <v>0</v>
      </c>
      <c r="AX12" s="27" t="n">
        <f aca="false">IF(COUNT(Aveia!$E10:$Z10)=0,0,MAX(0,IF((AX$6-$E$3)&lt;1,0,IFERROR(LOOKUP(2,1/(Aveia!$E10:INDEX(Aveia!$E10:$Z10,MIN(AX$6-$E$3,22))&lt;&gt;""),Aveia!$E10:INDEX(Aveia!$E10:$Z10,MIN(AX$6-$E$3,22))),0))-IF($G$2,0,IF((AX$6-$G$3)&lt;1,0,IFERROR(LOOKUP(2,1/(Aveia!$E10:INDEX(Aveia!$E10:$Z10,MIN(AX$6-$G$3,22))&lt;&gt;""),Aveia!$E10:INDEX(Aveia!$E10:$Z10,MIN(AX$6-$G$3,22))),0)))))</f>
        <v>0</v>
      </c>
      <c r="AY12" s="27" t="n">
        <f aca="false">IF(COUNT(Aveia!$E10:$Z10)=0,0,MAX(0,IF((AY$6-$E$3)&lt;1,0,IFERROR(LOOKUP(2,1/(Aveia!$E10:INDEX(Aveia!$E10:$Z10,MIN(AY$6-$E$3,22))&lt;&gt;""),Aveia!$E10:INDEX(Aveia!$E10:$Z10,MIN(AY$6-$E$3,22))),0))-IF($G$2,0,IF((AY$6-$G$3)&lt;1,0,IFERROR(LOOKUP(2,1/(Aveia!$E10:INDEX(Aveia!$E10:$Z10,MIN(AY$6-$G$3,22))&lt;&gt;""),Aveia!$E10:INDEX(Aveia!$E10:$Z10,MIN(AY$6-$G$3,22))),0)))))</f>
        <v>0</v>
      </c>
      <c r="AZ12" s="27" t="n">
        <f aca="false">IF(COUNT(Aveia!$E10:$Z10)=0,0,MAX(0,IF((AZ$6-$E$3)&lt;1,0,IFERROR(LOOKUP(2,1/(Aveia!$E10:INDEX(Aveia!$E10:$Z10,MIN(AZ$6-$E$3,22))&lt;&gt;""),Aveia!$E10:INDEX(Aveia!$E10:$Z10,MIN(AZ$6-$E$3,22))),0))-IF($G$2,0,IF((AZ$6-$G$3)&lt;1,0,IFERROR(LOOKUP(2,1/(Aveia!$E10:INDEX(Aveia!$E10:$Z10,MIN(AZ$6-$G$3,22))&lt;&gt;""),Aveia!$E10:INDEX(Aveia!$E10:$Z10,MIN(AZ$6-$G$3,22))),0)))))</f>
        <v>0</v>
      </c>
    </row>
    <row r="13" customFormat="false" ht="15" hidden="false" customHeight="false" outlineLevel="0" collapsed="false">
      <c r="A13" s="3" t="s">
        <v>143</v>
      </c>
      <c r="B13" s="3" t="s">
        <v>144</v>
      </c>
      <c r="C13" s="10" t="s">
        <v>145</v>
      </c>
      <c r="D13" s="26" t="n">
        <f aca="false">IF(COUNT(Aveia!$E11:$Z11)&gt;0,N(Aveia!$D11),0)</f>
        <v>0</v>
      </c>
      <c r="E13" s="27" t="n">
        <f aca="false">IF(COUNT(Aveia!$E11:$Z11)=0,0,MAX(0,IF((E$6-$E$3)&lt;1,0,IFERROR(LOOKUP(2,1/(Aveia!$E11:INDEX(Aveia!$E11:$Z11,MIN(E$6-$E$3,22))&lt;&gt;""),Aveia!$E11:INDEX(Aveia!$E11:$Z11,MIN(E$6-$E$3,22))),0))-IF($G$2,0,IF((E$6-$G$3)&lt;1,0,IFERROR(LOOKUP(2,1/(Aveia!$E11:INDEX(Aveia!$E11:$Z11,MIN(E$6-$G$3,22))&lt;&gt;""),Aveia!$E11:INDEX(Aveia!$E11:$Z11,MIN(E$6-$G$3,22))),0)))))</f>
        <v>0</v>
      </c>
      <c r="F13" s="27" t="n">
        <f aca="false">IF(COUNT(Aveia!$E11:$Z11)=0,0,MAX(0,IF((F$6-$E$3)&lt;1,0,IFERROR(LOOKUP(2,1/(Aveia!$E11:INDEX(Aveia!$E11:$Z11,MIN(F$6-$E$3,22))&lt;&gt;""),Aveia!$E11:INDEX(Aveia!$E11:$Z11,MIN(F$6-$E$3,22))),0))-IF($G$2,0,IF((F$6-$G$3)&lt;1,0,IFERROR(LOOKUP(2,1/(Aveia!$E11:INDEX(Aveia!$E11:$Z11,MIN(F$6-$G$3,22))&lt;&gt;""),Aveia!$E11:INDEX(Aveia!$E11:$Z11,MIN(F$6-$G$3,22))),0)))))</f>
        <v>0</v>
      </c>
      <c r="G13" s="27" t="n">
        <f aca="false">IF(COUNT(Aveia!$E11:$Z11)=0,0,MAX(0,IF((G$6-$E$3)&lt;1,0,IFERROR(LOOKUP(2,1/(Aveia!$E11:INDEX(Aveia!$E11:$Z11,MIN(G$6-$E$3,22))&lt;&gt;""),Aveia!$E11:INDEX(Aveia!$E11:$Z11,MIN(G$6-$E$3,22))),0))-IF($G$2,0,IF((G$6-$G$3)&lt;1,0,IFERROR(LOOKUP(2,1/(Aveia!$E11:INDEX(Aveia!$E11:$Z11,MIN(G$6-$G$3,22))&lt;&gt;""),Aveia!$E11:INDEX(Aveia!$E11:$Z11,MIN(G$6-$G$3,22))),0)))))</f>
        <v>0</v>
      </c>
      <c r="H13" s="27" t="n">
        <f aca="false">IF(COUNT(Aveia!$E11:$Z11)=0,0,MAX(0,IF((H$6-$E$3)&lt;1,0,IFERROR(LOOKUP(2,1/(Aveia!$E11:INDEX(Aveia!$E11:$Z11,MIN(H$6-$E$3,22))&lt;&gt;""),Aveia!$E11:INDEX(Aveia!$E11:$Z11,MIN(H$6-$E$3,22))),0))-IF($G$2,0,IF((H$6-$G$3)&lt;1,0,IFERROR(LOOKUP(2,1/(Aveia!$E11:INDEX(Aveia!$E11:$Z11,MIN(H$6-$G$3,22))&lt;&gt;""),Aveia!$E11:INDEX(Aveia!$E11:$Z11,MIN(H$6-$G$3,22))),0)))))</f>
        <v>0</v>
      </c>
      <c r="I13" s="27" t="n">
        <f aca="false">IF(COUNT(Aveia!$E11:$Z11)=0,0,MAX(0,IF((I$6-$E$3)&lt;1,0,IFERROR(LOOKUP(2,1/(Aveia!$E11:INDEX(Aveia!$E11:$Z11,MIN(I$6-$E$3,22))&lt;&gt;""),Aveia!$E11:INDEX(Aveia!$E11:$Z11,MIN(I$6-$E$3,22))),0))-IF($G$2,0,IF((I$6-$G$3)&lt;1,0,IFERROR(LOOKUP(2,1/(Aveia!$E11:INDEX(Aveia!$E11:$Z11,MIN(I$6-$G$3,22))&lt;&gt;""),Aveia!$E11:INDEX(Aveia!$E11:$Z11,MIN(I$6-$G$3,22))),0)))))</f>
        <v>0</v>
      </c>
      <c r="J13" s="27" t="n">
        <f aca="false">IF(COUNT(Aveia!$E11:$Z11)=0,0,MAX(0,IF((J$6-$E$3)&lt;1,0,IFERROR(LOOKUP(2,1/(Aveia!$E11:INDEX(Aveia!$E11:$Z11,MIN(J$6-$E$3,22))&lt;&gt;""),Aveia!$E11:INDEX(Aveia!$E11:$Z11,MIN(J$6-$E$3,22))),0))-IF($G$2,0,IF((J$6-$G$3)&lt;1,0,IFERROR(LOOKUP(2,1/(Aveia!$E11:INDEX(Aveia!$E11:$Z11,MIN(J$6-$G$3,22))&lt;&gt;""),Aveia!$E11:INDEX(Aveia!$E11:$Z11,MIN(J$6-$G$3,22))),0)))))</f>
        <v>0</v>
      </c>
      <c r="K13" s="27" t="n">
        <f aca="false">IF(COUNT(Aveia!$E11:$Z11)=0,0,MAX(0,IF((K$6-$E$3)&lt;1,0,IFERROR(LOOKUP(2,1/(Aveia!$E11:INDEX(Aveia!$E11:$Z11,MIN(K$6-$E$3,22))&lt;&gt;""),Aveia!$E11:INDEX(Aveia!$E11:$Z11,MIN(K$6-$E$3,22))),0))-IF($G$2,0,IF((K$6-$G$3)&lt;1,0,IFERROR(LOOKUP(2,1/(Aveia!$E11:INDEX(Aveia!$E11:$Z11,MIN(K$6-$G$3,22))&lt;&gt;""),Aveia!$E11:INDEX(Aveia!$E11:$Z11,MIN(K$6-$G$3,22))),0)))))</f>
        <v>0</v>
      </c>
      <c r="L13" s="27" t="n">
        <f aca="false">IF(COUNT(Aveia!$E11:$Z11)=0,0,MAX(0,IF((L$6-$E$3)&lt;1,0,IFERROR(LOOKUP(2,1/(Aveia!$E11:INDEX(Aveia!$E11:$Z11,MIN(L$6-$E$3,22))&lt;&gt;""),Aveia!$E11:INDEX(Aveia!$E11:$Z11,MIN(L$6-$E$3,22))),0))-IF($G$2,0,IF((L$6-$G$3)&lt;1,0,IFERROR(LOOKUP(2,1/(Aveia!$E11:INDEX(Aveia!$E11:$Z11,MIN(L$6-$G$3,22))&lt;&gt;""),Aveia!$E11:INDEX(Aveia!$E11:$Z11,MIN(L$6-$G$3,22))),0)))))</f>
        <v>0</v>
      </c>
      <c r="M13" s="27" t="n">
        <f aca="false">IF(COUNT(Aveia!$E11:$Z11)=0,0,MAX(0,IF((M$6-$E$3)&lt;1,0,IFERROR(LOOKUP(2,1/(Aveia!$E11:INDEX(Aveia!$E11:$Z11,MIN(M$6-$E$3,22))&lt;&gt;""),Aveia!$E11:INDEX(Aveia!$E11:$Z11,MIN(M$6-$E$3,22))),0))-IF($G$2,0,IF((M$6-$G$3)&lt;1,0,IFERROR(LOOKUP(2,1/(Aveia!$E11:INDEX(Aveia!$E11:$Z11,MIN(M$6-$G$3,22))&lt;&gt;""),Aveia!$E11:INDEX(Aveia!$E11:$Z11,MIN(M$6-$G$3,22))),0)))))</f>
        <v>0</v>
      </c>
      <c r="N13" s="27" t="n">
        <f aca="false">IF(COUNT(Aveia!$E11:$Z11)=0,0,MAX(0,IF((N$6-$E$3)&lt;1,0,IFERROR(LOOKUP(2,1/(Aveia!$E11:INDEX(Aveia!$E11:$Z11,MIN(N$6-$E$3,22))&lt;&gt;""),Aveia!$E11:INDEX(Aveia!$E11:$Z11,MIN(N$6-$E$3,22))),0))-IF($G$2,0,IF((N$6-$G$3)&lt;1,0,IFERROR(LOOKUP(2,1/(Aveia!$E11:INDEX(Aveia!$E11:$Z11,MIN(N$6-$G$3,22))&lt;&gt;""),Aveia!$E11:INDEX(Aveia!$E11:$Z11,MIN(N$6-$G$3,22))),0)))))</f>
        <v>0</v>
      </c>
      <c r="O13" s="27" t="n">
        <f aca="false">IF(COUNT(Aveia!$E11:$Z11)=0,0,MAX(0,IF((O$6-$E$3)&lt;1,0,IFERROR(LOOKUP(2,1/(Aveia!$E11:INDEX(Aveia!$E11:$Z11,MIN(O$6-$E$3,22))&lt;&gt;""),Aveia!$E11:INDEX(Aveia!$E11:$Z11,MIN(O$6-$E$3,22))),0))-IF($G$2,0,IF((O$6-$G$3)&lt;1,0,IFERROR(LOOKUP(2,1/(Aveia!$E11:INDEX(Aveia!$E11:$Z11,MIN(O$6-$G$3,22))&lt;&gt;""),Aveia!$E11:INDEX(Aveia!$E11:$Z11,MIN(O$6-$G$3,22))),0)))))</f>
        <v>0</v>
      </c>
      <c r="P13" s="27" t="n">
        <f aca="false">IF(COUNT(Aveia!$E11:$Z11)=0,0,MAX(0,IF((P$6-$E$3)&lt;1,0,IFERROR(LOOKUP(2,1/(Aveia!$E11:INDEX(Aveia!$E11:$Z11,MIN(P$6-$E$3,22))&lt;&gt;""),Aveia!$E11:INDEX(Aveia!$E11:$Z11,MIN(P$6-$E$3,22))),0))-IF($G$2,0,IF((P$6-$G$3)&lt;1,0,IFERROR(LOOKUP(2,1/(Aveia!$E11:INDEX(Aveia!$E11:$Z11,MIN(P$6-$G$3,22))&lt;&gt;""),Aveia!$E11:INDEX(Aveia!$E11:$Z11,MIN(P$6-$G$3,22))),0)))))</f>
        <v>0</v>
      </c>
      <c r="Q13" s="27" t="n">
        <f aca="false">IF(COUNT(Aveia!$E11:$Z11)=0,0,MAX(0,IF((Q$6-$E$3)&lt;1,0,IFERROR(LOOKUP(2,1/(Aveia!$E11:INDEX(Aveia!$E11:$Z11,MIN(Q$6-$E$3,22))&lt;&gt;""),Aveia!$E11:INDEX(Aveia!$E11:$Z11,MIN(Q$6-$E$3,22))),0))-IF($G$2,0,IF((Q$6-$G$3)&lt;1,0,IFERROR(LOOKUP(2,1/(Aveia!$E11:INDEX(Aveia!$E11:$Z11,MIN(Q$6-$G$3,22))&lt;&gt;""),Aveia!$E11:INDEX(Aveia!$E11:$Z11,MIN(Q$6-$G$3,22))),0)))))</f>
        <v>0</v>
      </c>
      <c r="R13" s="27" t="n">
        <f aca="false">IF(COUNT(Aveia!$E11:$Z11)=0,0,MAX(0,IF((R$6-$E$3)&lt;1,0,IFERROR(LOOKUP(2,1/(Aveia!$E11:INDEX(Aveia!$E11:$Z11,MIN(R$6-$E$3,22))&lt;&gt;""),Aveia!$E11:INDEX(Aveia!$E11:$Z11,MIN(R$6-$E$3,22))),0))-IF($G$2,0,IF((R$6-$G$3)&lt;1,0,IFERROR(LOOKUP(2,1/(Aveia!$E11:INDEX(Aveia!$E11:$Z11,MIN(R$6-$G$3,22))&lt;&gt;""),Aveia!$E11:INDEX(Aveia!$E11:$Z11,MIN(R$6-$G$3,22))),0)))))</f>
        <v>0</v>
      </c>
      <c r="S13" s="27" t="n">
        <f aca="false">IF(COUNT(Aveia!$E11:$Z11)=0,0,MAX(0,IF((S$6-$E$3)&lt;1,0,IFERROR(LOOKUP(2,1/(Aveia!$E11:INDEX(Aveia!$E11:$Z11,MIN(S$6-$E$3,22))&lt;&gt;""),Aveia!$E11:INDEX(Aveia!$E11:$Z11,MIN(S$6-$E$3,22))),0))-IF($G$2,0,IF((S$6-$G$3)&lt;1,0,IFERROR(LOOKUP(2,1/(Aveia!$E11:INDEX(Aveia!$E11:$Z11,MIN(S$6-$G$3,22))&lt;&gt;""),Aveia!$E11:INDEX(Aveia!$E11:$Z11,MIN(S$6-$G$3,22))),0)))))</f>
        <v>0</v>
      </c>
      <c r="T13" s="27" t="n">
        <f aca="false">IF(COUNT(Aveia!$E11:$Z11)=0,0,MAX(0,IF((T$6-$E$3)&lt;1,0,IFERROR(LOOKUP(2,1/(Aveia!$E11:INDEX(Aveia!$E11:$Z11,MIN(T$6-$E$3,22))&lt;&gt;""),Aveia!$E11:INDEX(Aveia!$E11:$Z11,MIN(T$6-$E$3,22))),0))-IF($G$2,0,IF((T$6-$G$3)&lt;1,0,IFERROR(LOOKUP(2,1/(Aveia!$E11:INDEX(Aveia!$E11:$Z11,MIN(T$6-$G$3,22))&lt;&gt;""),Aveia!$E11:INDEX(Aveia!$E11:$Z11,MIN(T$6-$G$3,22))),0)))))</f>
        <v>0</v>
      </c>
      <c r="U13" s="27" t="n">
        <f aca="false">IF(COUNT(Aveia!$E11:$Z11)=0,0,MAX(0,IF((U$6-$E$3)&lt;1,0,IFERROR(LOOKUP(2,1/(Aveia!$E11:INDEX(Aveia!$E11:$Z11,MIN(U$6-$E$3,22))&lt;&gt;""),Aveia!$E11:INDEX(Aveia!$E11:$Z11,MIN(U$6-$E$3,22))),0))-IF($G$2,0,IF((U$6-$G$3)&lt;1,0,IFERROR(LOOKUP(2,1/(Aveia!$E11:INDEX(Aveia!$E11:$Z11,MIN(U$6-$G$3,22))&lt;&gt;""),Aveia!$E11:INDEX(Aveia!$E11:$Z11,MIN(U$6-$G$3,22))),0)))))</f>
        <v>0</v>
      </c>
      <c r="V13" s="27" t="n">
        <f aca="false">IF(COUNT(Aveia!$E11:$Z11)=0,0,MAX(0,IF((V$6-$E$3)&lt;1,0,IFERROR(LOOKUP(2,1/(Aveia!$E11:INDEX(Aveia!$E11:$Z11,MIN(V$6-$E$3,22))&lt;&gt;""),Aveia!$E11:INDEX(Aveia!$E11:$Z11,MIN(V$6-$E$3,22))),0))-IF($G$2,0,IF((V$6-$G$3)&lt;1,0,IFERROR(LOOKUP(2,1/(Aveia!$E11:INDEX(Aveia!$E11:$Z11,MIN(V$6-$G$3,22))&lt;&gt;""),Aveia!$E11:INDEX(Aveia!$E11:$Z11,MIN(V$6-$G$3,22))),0)))))</f>
        <v>0</v>
      </c>
      <c r="W13" s="27" t="n">
        <f aca="false">IF(COUNT(Aveia!$E11:$Z11)=0,0,MAX(0,IF((W$6-$E$3)&lt;1,0,IFERROR(LOOKUP(2,1/(Aveia!$E11:INDEX(Aveia!$E11:$Z11,MIN(W$6-$E$3,22))&lt;&gt;""),Aveia!$E11:INDEX(Aveia!$E11:$Z11,MIN(W$6-$E$3,22))),0))-IF($G$2,0,IF((W$6-$G$3)&lt;1,0,IFERROR(LOOKUP(2,1/(Aveia!$E11:INDEX(Aveia!$E11:$Z11,MIN(W$6-$G$3,22))&lt;&gt;""),Aveia!$E11:INDEX(Aveia!$E11:$Z11,MIN(W$6-$G$3,22))),0)))))</f>
        <v>0</v>
      </c>
      <c r="X13" s="27" t="n">
        <f aca="false">IF(COUNT(Aveia!$E11:$Z11)=0,0,MAX(0,IF((X$6-$E$3)&lt;1,0,IFERROR(LOOKUP(2,1/(Aveia!$E11:INDEX(Aveia!$E11:$Z11,MIN(X$6-$E$3,22))&lt;&gt;""),Aveia!$E11:INDEX(Aveia!$E11:$Z11,MIN(X$6-$E$3,22))),0))-IF($G$2,0,IF((X$6-$G$3)&lt;1,0,IFERROR(LOOKUP(2,1/(Aveia!$E11:INDEX(Aveia!$E11:$Z11,MIN(X$6-$G$3,22))&lt;&gt;""),Aveia!$E11:INDEX(Aveia!$E11:$Z11,MIN(X$6-$G$3,22))),0)))))</f>
        <v>0</v>
      </c>
      <c r="Y13" s="27" t="n">
        <f aca="false">IF(COUNT(Aveia!$E11:$Z11)=0,0,MAX(0,IF((Y$6-$E$3)&lt;1,0,IFERROR(LOOKUP(2,1/(Aveia!$E11:INDEX(Aveia!$E11:$Z11,MIN(Y$6-$E$3,22))&lt;&gt;""),Aveia!$E11:INDEX(Aveia!$E11:$Z11,MIN(Y$6-$E$3,22))),0))-IF($G$2,0,IF((Y$6-$G$3)&lt;1,0,IFERROR(LOOKUP(2,1/(Aveia!$E11:INDEX(Aveia!$E11:$Z11,MIN(Y$6-$G$3,22))&lt;&gt;""),Aveia!$E11:INDEX(Aveia!$E11:$Z11,MIN(Y$6-$G$3,22))),0)))))</f>
        <v>0</v>
      </c>
      <c r="Z13" s="27" t="n">
        <f aca="false">IF(COUNT(Aveia!$E11:$Z11)=0,0,MAX(0,IF((Z$6-$E$3)&lt;1,0,IFERROR(LOOKUP(2,1/(Aveia!$E11:INDEX(Aveia!$E11:$Z11,MIN(Z$6-$E$3,22))&lt;&gt;""),Aveia!$E11:INDEX(Aveia!$E11:$Z11,MIN(Z$6-$E$3,22))),0))-IF($G$2,0,IF((Z$6-$G$3)&lt;1,0,IFERROR(LOOKUP(2,1/(Aveia!$E11:INDEX(Aveia!$E11:$Z11,MIN(Z$6-$G$3,22))&lt;&gt;""),Aveia!$E11:INDEX(Aveia!$E11:$Z11,MIN(Z$6-$G$3,22))),0)))))</f>
        <v>0</v>
      </c>
      <c r="AA13" s="27" t="n">
        <f aca="false">IF(COUNT(Aveia!$E11:$Z11)=0,0,MAX(0,IF((AA$6-$E$3)&lt;1,0,IFERROR(LOOKUP(2,1/(Aveia!$E11:INDEX(Aveia!$E11:$Z11,MIN(AA$6-$E$3,22))&lt;&gt;""),Aveia!$E11:INDEX(Aveia!$E11:$Z11,MIN(AA$6-$E$3,22))),0))-IF($G$2,0,IF((AA$6-$G$3)&lt;1,0,IFERROR(LOOKUP(2,1/(Aveia!$E11:INDEX(Aveia!$E11:$Z11,MIN(AA$6-$G$3,22))&lt;&gt;""),Aveia!$E11:INDEX(Aveia!$E11:$Z11,MIN(AA$6-$G$3,22))),0)))))</f>
        <v>0</v>
      </c>
      <c r="AB13" s="27" t="n">
        <f aca="false">IF(COUNT(Aveia!$E11:$Z11)=0,0,MAX(0,IF((AB$6-$E$3)&lt;1,0,IFERROR(LOOKUP(2,1/(Aveia!$E11:INDEX(Aveia!$E11:$Z11,MIN(AB$6-$E$3,22))&lt;&gt;""),Aveia!$E11:INDEX(Aveia!$E11:$Z11,MIN(AB$6-$E$3,22))),0))-IF($G$2,0,IF((AB$6-$G$3)&lt;1,0,IFERROR(LOOKUP(2,1/(Aveia!$E11:INDEX(Aveia!$E11:$Z11,MIN(AB$6-$G$3,22))&lt;&gt;""),Aveia!$E11:INDEX(Aveia!$E11:$Z11,MIN(AB$6-$G$3,22))),0)))))</f>
        <v>0</v>
      </c>
      <c r="AC13" s="27" t="n">
        <f aca="false">IF(COUNT(Aveia!$E11:$Z11)=0,0,MAX(0,IF((AC$6-$E$3)&lt;1,0,IFERROR(LOOKUP(2,1/(Aveia!$E11:INDEX(Aveia!$E11:$Z11,MIN(AC$6-$E$3,22))&lt;&gt;""),Aveia!$E11:INDEX(Aveia!$E11:$Z11,MIN(AC$6-$E$3,22))),0))-IF($G$2,0,IF((AC$6-$G$3)&lt;1,0,IFERROR(LOOKUP(2,1/(Aveia!$E11:INDEX(Aveia!$E11:$Z11,MIN(AC$6-$G$3,22))&lt;&gt;""),Aveia!$E11:INDEX(Aveia!$E11:$Z11,MIN(AC$6-$G$3,22))),0)))))</f>
        <v>0</v>
      </c>
      <c r="AD13" s="27" t="n">
        <f aca="false">IF(COUNT(Aveia!$E11:$Z11)=0,0,MAX(0,IF((AD$6-$E$3)&lt;1,0,IFERROR(LOOKUP(2,1/(Aveia!$E11:INDEX(Aveia!$E11:$Z11,MIN(AD$6-$E$3,22))&lt;&gt;""),Aveia!$E11:INDEX(Aveia!$E11:$Z11,MIN(AD$6-$E$3,22))),0))-IF($G$2,0,IF((AD$6-$G$3)&lt;1,0,IFERROR(LOOKUP(2,1/(Aveia!$E11:INDEX(Aveia!$E11:$Z11,MIN(AD$6-$G$3,22))&lt;&gt;""),Aveia!$E11:INDEX(Aveia!$E11:$Z11,MIN(AD$6-$G$3,22))),0)))))</f>
        <v>0</v>
      </c>
      <c r="AE13" s="27" t="n">
        <f aca="false">IF(COUNT(Aveia!$E11:$Z11)=0,0,MAX(0,IF((AE$6-$E$3)&lt;1,0,IFERROR(LOOKUP(2,1/(Aveia!$E11:INDEX(Aveia!$E11:$Z11,MIN(AE$6-$E$3,22))&lt;&gt;""),Aveia!$E11:INDEX(Aveia!$E11:$Z11,MIN(AE$6-$E$3,22))),0))-IF($G$2,0,IF((AE$6-$G$3)&lt;1,0,IFERROR(LOOKUP(2,1/(Aveia!$E11:INDEX(Aveia!$E11:$Z11,MIN(AE$6-$G$3,22))&lt;&gt;""),Aveia!$E11:INDEX(Aveia!$E11:$Z11,MIN(AE$6-$G$3,22))),0)))))</f>
        <v>0</v>
      </c>
      <c r="AF13" s="27" t="n">
        <f aca="false">IF(COUNT(Aveia!$E11:$Z11)=0,0,MAX(0,IF((AF$6-$E$3)&lt;1,0,IFERROR(LOOKUP(2,1/(Aveia!$E11:INDEX(Aveia!$E11:$Z11,MIN(AF$6-$E$3,22))&lt;&gt;""),Aveia!$E11:INDEX(Aveia!$E11:$Z11,MIN(AF$6-$E$3,22))),0))-IF($G$2,0,IF((AF$6-$G$3)&lt;1,0,IFERROR(LOOKUP(2,1/(Aveia!$E11:INDEX(Aveia!$E11:$Z11,MIN(AF$6-$G$3,22))&lt;&gt;""),Aveia!$E11:INDEX(Aveia!$E11:$Z11,MIN(AF$6-$G$3,22))),0)))))</f>
        <v>0</v>
      </c>
      <c r="AG13" s="27" t="n">
        <f aca="false">IF(COUNT(Aveia!$E11:$Z11)=0,0,MAX(0,IF((AG$6-$E$3)&lt;1,0,IFERROR(LOOKUP(2,1/(Aveia!$E11:INDEX(Aveia!$E11:$Z11,MIN(AG$6-$E$3,22))&lt;&gt;""),Aveia!$E11:INDEX(Aveia!$E11:$Z11,MIN(AG$6-$E$3,22))),0))-IF($G$2,0,IF((AG$6-$G$3)&lt;1,0,IFERROR(LOOKUP(2,1/(Aveia!$E11:INDEX(Aveia!$E11:$Z11,MIN(AG$6-$G$3,22))&lt;&gt;""),Aveia!$E11:INDEX(Aveia!$E11:$Z11,MIN(AG$6-$G$3,22))),0)))))</f>
        <v>0</v>
      </c>
      <c r="AH13" s="27" t="n">
        <f aca="false">IF(COUNT(Aveia!$E11:$Z11)=0,0,MAX(0,IF((AH$6-$E$3)&lt;1,0,IFERROR(LOOKUP(2,1/(Aveia!$E11:INDEX(Aveia!$E11:$Z11,MIN(AH$6-$E$3,22))&lt;&gt;""),Aveia!$E11:INDEX(Aveia!$E11:$Z11,MIN(AH$6-$E$3,22))),0))-IF($G$2,0,IF((AH$6-$G$3)&lt;1,0,IFERROR(LOOKUP(2,1/(Aveia!$E11:INDEX(Aveia!$E11:$Z11,MIN(AH$6-$G$3,22))&lt;&gt;""),Aveia!$E11:INDEX(Aveia!$E11:$Z11,MIN(AH$6-$G$3,22))),0)))))</f>
        <v>0</v>
      </c>
      <c r="AI13" s="27" t="n">
        <f aca="false">IF(COUNT(Aveia!$E11:$Z11)=0,0,MAX(0,IF((AI$6-$E$3)&lt;1,0,IFERROR(LOOKUP(2,1/(Aveia!$E11:INDEX(Aveia!$E11:$Z11,MIN(AI$6-$E$3,22))&lt;&gt;""),Aveia!$E11:INDEX(Aveia!$E11:$Z11,MIN(AI$6-$E$3,22))),0))-IF($G$2,0,IF((AI$6-$G$3)&lt;1,0,IFERROR(LOOKUP(2,1/(Aveia!$E11:INDEX(Aveia!$E11:$Z11,MIN(AI$6-$G$3,22))&lt;&gt;""),Aveia!$E11:INDEX(Aveia!$E11:$Z11,MIN(AI$6-$G$3,22))),0)))))</f>
        <v>0</v>
      </c>
      <c r="AJ13" s="27" t="n">
        <f aca="false">IF(COUNT(Aveia!$E11:$Z11)=0,0,MAX(0,IF((AJ$6-$E$3)&lt;1,0,IFERROR(LOOKUP(2,1/(Aveia!$E11:INDEX(Aveia!$E11:$Z11,MIN(AJ$6-$E$3,22))&lt;&gt;""),Aveia!$E11:INDEX(Aveia!$E11:$Z11,MIN(AJ$6-$E$3,22))),0))-IF($G$2,0,IF((AJ$6-$G$3)&lt;1,0,IFERROR(LOOKUP(2,1/(Aveia!$E11:INDEX(Aveia!$E11:$Z11,MIN(AJ$6-$G$3,22))&lt;&gt;""),Aveia!$E11:INDEX(Aveia!$E11:$Z11,MIN(AJ$6-$G$3,22))),0)))))</f>
        <v>0</v>
      </c>
      <c r="AK13" s="27" t="n">
        <f aca="false">IF(COUNT(Aveia!$E11:$Z11)=0,0,MAX(0,IF((AK$6-$E$3)&lt;1,0,IFERROR(LOOKUP(2,1/(Aveia!$E11:INDEX(Aveia!$E11:$Z11,MIN(AK$6-$E$3,22))&lt;&gt;""),Aveia!$E11:INDEX(Aveia!$E11:$Z11,MIN(AK$6-$E$3,22))),0))-IF($G$2,0,IF((AK$6-$G$3)&lt;1,0,IFERROR(LOOKUP(2,1/(Aveia!$E11:INDEX(Aveia!$E11:$Z11,MIN(AK$6-$G$3,22))&lt;&gt;""),Aveia!$E11:INDEX(Aveia!$E11:$Z11,MIN(AK$6-$G$3,22))),0)))))</f>
        <v>0</v>
      </c>
      <c r="AL13" s="27" t="n">
        <f aca="false">IF(COUNT(Aveia!$E11:$Z11)=0,0,MAX(0,IF((AL$6-$E$3)&lt;1,0,IFERROR(LOOKUP(2,1/(Aveia!$E11:INDEX(Aveia!$E11:$Z11,MIN(AL$6-$E$3,22))&lt;&gt;""),Aveia!$E11:INDEX(Aveia!$E11:$Z11,MIN(AL$6-$E$3,22))),0))-IF($G$2,0,IF((AL$6-$G$3)&lt;1,0,IFERROR(LOOKUP(2,1/(Aveia!$E11:INDEX(Aveia!$E11:$Z11,MIN(AL$6-$G$3,22))&lt;&gt;""),Aveia!$E11:INDEX(Aveia!$E11:$Z11,MIN(AL$6-$G$3,22))),0)))))</f>
        <v>0</v>
      </c>
      <c r="AM13" s="27" t="n">
        <f aca="false">IF(COUNT(Aveia!$E11:$Z11)=0,0,MAX(0,IF((AM$6-$E$3)&lt;1,0,IFERROR(LOOKUP(2,1/(Aveia!$E11:INDEX(Aveia!$E11:$Z11,MIN(AM$6-$E$3,22))&lt;&gt;""),Aveia!$E11:INDEX(Aveia!$E11:$Z11,MIN(AM$6-$E$3,22))),0))-IF($G$2,0,IF((AM$6-$G$3)&lt;1,0,IFERROR(LOOKUP(2,1/(Aveia!$E11:INDEX(Aveia!$E11:$Z11,MIN(AM$6-$G$3,22))&lt;&gt;""),Aveia!$E11:INDEX(Aveia!$E11:$Z11,MIN(AM$6-$G$3,22))),0)))))</f>
        <v>0</v>
      </c>
      <c r="AN13" s="27" t="n">
        <f aca="false">IF(COUNT(Aveia!$E11:$Z11)=0,0,MAX(0,IF((AN$6-$E$3)&lt;1,0,IFERROR(LOOKUP(2,1/(Aveia!$E11:INDEX(Aveia!$E11:$Z11,MIN(AN$6-$E$3,22))&lt;&gt;""),Aveia!$E11:INDEX(Aveia!$E11:$Z11,MIN(AN$6-$E$3,22))),0))-IF($G$2,0,IF((AN$6-$G$3)&lt;1,0,IFERROR(LOOKUP(2,1/(Aveia!$E11:INDEX(Aveia!$E11:$Z11,MIN(AN$6-$G$3,22))&lt;&gt;""),Aveia!$E11:INDEX(Aveia!$E11:$Z11,MIN(AN$6-$G$3,22))),0)))))</f>
        <v>0</v>
      </c>
      <c r="AO13" s="27" t="n">
        <f aca="false">IF(COUNT(Aveia!$E11:$Z11)=0,0,MAX(0,IF((AO$6-$E$3)&lt;1,0,IFERROR(LOOKUP(2,1/(Aveia!$E11:INDEX(Aveia!$E11:$Z11,MIN(AO$6-$E$3,22))&lt;&gt;""),Aveia!$E11:INDEX(Aveia!$E11:$Z11,MIN(AO$6-$E$3,22))),0))-IF($G$2,0,IF((AO$6-$G$3)&lt;1,0,IFERROR(LOOKUP(2,1/(Aveia!$E11:INDEX(Aveia!$E11:$Z11,MIN(AO$6-$G$3,22))&lt;&gt;""),Aveia!$E11:INDEX(Aveia!$E11:$Z11,MIN(AO$6-$G$3,22))),0)))))</f>
        <v>0</v>
      </c>
      <c r="AP13" s="27" t="n">
        <f aca="false">IF(COUNT(Aveia!$E11:$Z11)=0,0,MAX(0,IF((AP$6-$E$3)&lt;1,0,IFERROR(LOOKUP(2,1/(Aveia!$E11:INDEX(Aveia!$E11:$Z11,MIN(AP$6-$E$3,22))&lt;&gt;""),Aveia!$E11:INDEX(Aveia!$E11:$Z11,MIN(AP$6-$E$3,22))),0))-IF($G$2,0,IF((AP$6-$G$3)&lt;1,0,IFERROR(LOOKUP(2,1/(Aveia!$E11:INDEX(Aveia!$E11:$Z11,MIN(AP$6-$G$3,22))&lt;&gt;""),Aveia!$E11:INDEX(Aveia!$E11:$Z11,MIN(AP$6-$G$3,22))),0)))))</f>
        <v>0</v>
      </c>
      <c r="AQ13" s="27" t="n">
        <f aca="false">IF(COUNT(Aveia!$E11:$Z11)=0,0,MAX(0,IF((AQ$6-$E$3)&lt;1,0,IFERROR(LOOKUP(2,1/(Aveia!$E11:INDEX(Aveia!$E11:$Z11,MIN(AQ$6-$E$3,22))&lt;&gt;""),Aveia!$E11:INDEX(Aveia!$E11:$Z11,MIN(AQ$6-$E$3,22))),0))-IF($G$2,0,IF((AQ$6-$G$3)&lt;1,0,IFERROR(LOOKUP(2,1/(Aveia!$E11:INDEX(Aveia!$E11:$Z11,MIN(AQ$6-$G$3,22))&lt;&gt;""),Aveia!$E11:INDEX(Aveia!$E11:$Z11,MIN(AQ$6-$G$3,22))),0)))))</f>
        <v>0</v>
      </c>
      <c r="AR13" s="27" t="n">
        <f aca="false">IF(COUNT(Aveia!$E11:$Z11)=0,0,MAX(0,IF((AR$6-$E$3)&lt;1,0,IFERROR(LOOKUP(2,1/(Aveia!$E11:INDEX(Aveia!$E11:$Z11,MIN(AR$6-$E$3,22))&lt;&gt;""),Aveia!$E11:INDEX(Aveia!$E11:$Z11,MIN(AR$6-$E$3,22))),0))-IF($G$2,0,IF((AR$6-$G$3)&lt;1,0,IFERROR(LOOKUP(2,1/(Aveia!$E11:INDEX(Aveia!$E11:$Z11,MIN(AR$6-$G$3,22))&lt;&gt;""),Aveia!$E11:INDEX(Aveia!$E11:$Z11,MIN(AR$6-$G$3,22))),0)))))</f>
        <v>0</v>
      </c>
      <c r="AS13" s="27" t="n">
        <f aca="false">IF(COUNT(Aveia!$E11:$Z11)=0,0,MAX(0,IF((AS$6-$E$3)&lt;1,0,IFERROR(LOOKUP(2,1/(Aveia!$E11:INDEX(Aveia!$E11:$Z11,MIN(AS$6-$E$3,22))&lt;&gt;""),Aveia!$E11:INDEX(Aveia!$E11:$Z11,MIN(AS$6-$E$3,22))),0))-IF($G$2,0,IF((AS$6-$G$3)&lt;1,0,IFERROR(LOOKUP(2,1/(Aveia!$E11:INDEX(Aveia!$E11:$Z11,MIN(AS$6-$G$3,22))&lt;&gt;""),Aveia!$E11:INDEX(Aveia!$E11:$Z11,MIN(AS$6-$G$3,22))),0)))))</f>
        <v>0</v>
      </c>
      <c r="AT13" s="27" t="n">
        <f aca="false">IF(COUNT(Aveia!$E11:$Z11)=0,0,MAX(0,IF((AT$6-$E$3)&lt;1,0,IFERROR(LOOKUP(2,1/(Aveia!$E11:INDEX(Aveia!$E11:$Z11,MIN(AT$6-$E$3,22))&lt;&gt;""),Aveia!$E11:INDEX(Aveia!$E11:$Z11,MIN(AT$6-$E$3,22))),0))-IF($G$2,0,IF((AT$6-$G$3)&lt;1,0,IFERROR(LOOKUP(2,1/(Aveia!$E11:INDEX(Aveia!$E11:$Z11,MIN(AT$6-$G$3,22))&lt;&gt;""),Aveia!$E11:INDEX(Aveia!$E11:$Z11,MIN(AT$6-$G$3,22))),0)))))</f>
        <v>0</v>
      </c>
      <c r="AU13" s="27" t="n">
        <f aca="false">IF(COUNT(Aveia!$E11:$Z11)=0,0,MAX(0,IF((AU$6-$E$3)&lt;1,0,IFERROR(LOOKUP(2,1/(Aveia!$E11:INDEX(Aveia!$E11:$Z11,MIN(AU$6-$E$3,22))&lt;&gt;""),Aveia!$E11:INDEX(Aveia!$E11:$Z11,MIN(AU$6-$E$3,22))),0))-IF($G$2,0,IF((AU$6-$G$3)&lt;1,0,IFERROR(LOOKUP(2,1/(Aveia!$E11:INDEX(Aveia!$E11:$Z11,MIN(AU$6-$G$3,22))&lt;&gt;""),Aveia!$E11:INDEX(Aveia!$E11:$Z11,MIN(AU$6-$G$3,22))),0)))))</f>
        <v>0</v>
      </c>
      <c r="AV13" s="27" t="n">
        <f aca="false">IF(COUNT(Aveia!$E11:$Z11)=0,0,MAX(0,IF((AV$6-$E$3)&lt;1,0,IFERROR(LOOKUP(2,1/(Aveia!$E11:INDEX(Aveia!$E11:$Z11,MIN(AV$6-$E$3,22))&lt;&gt;""),Aveia!$E11:INDEX(Aveia!$E11:$Z11,MIN(AV$6-$E$3,22))),0))-IF($G$2,0,IF((AV$6-$G$3)&lt;1,0,IFERROR(LOOKUP(2,1/(Aveia!$E11:INDEX(Aveia!$E11:$Z11,MIN(AV$6-$G$3,22))&lt;&gt;""),Aveia!$E11:INDEX(Aveia!$E11:$Z11,MIN(AV$6-$G$3,22))),0)))))</f>
        <v>0</v>
      </c>
      <c r="AW13" s="27" t="n">
        <f aca="false">IF(COUNT(Aveia!$E11:$Z11)=0,0,MAX(0,IF((AW$6-$E$3)&lt;1,0,IFERROR(LOOKUP(2,1/(Aveia!$E11:INDEX(Aveia!$E11:$Z11,MIN(AW$6-$E$3,22))&lt;&gt;""),Aveia!$E11:INDEX(Aveia!$E11:$Z11,MIN(AW$6-$E$3,22))),0))-IF($G$2,0,IF((AW$6-$G$3)&lt;1,0,IFERROR(LOOKUP(2,1/(Aveia!$E11:INDEX(Aveia!$E11:$Z11,MIN(AW$6-$G$3,22))&lt;&gt;""),Aveia!$E11:INDEX(Aveia!$E11:$Z11,MIN(AW$6-$G$3,22))),0)))))</f>
        <v>0</v>
      </c>
      <c r="AX13" s="27" t="n">
        <f aca="false">IF(COUNT(Aveia!$E11:$Z11)=0,0,MAX(0,IF((AX$6-$E$3)&lt;1,0,IFERROR(LOOKUP(2,1/(Aveia!$E11:INDEX(Aveia!$E11:$Z11,MIN(AX$6-$E$3,22))&lt;&gt;""),Aveia!$E11:INDEX(Aveia!$E11:$Z11,MIN(AX$6-$E$3,22))),0))-IF($G$2,0,IF((AX$6-$G$3)&lt;1,0,IFERROR(LOOKUP(2,1/(Aveia!$E11:INDEX(Aveia!$E11:$Z11,MIN(AX$6-$G$3,22))&lt;&gt;""),Aveia!$E11:INDEX(Aveia!$E11:$Z11,MIN(AX$6-$G$3,22))),0)))))</f>
        <v>0</v>
      </c>
      <c r="AY13" s="27" t="n">
        <f aca="false">IF(COUNT(Aveia!$E11:$Z11)=0,0,MAX(0,IF((AY$6-$E$3)&lt;1,0,IFERROR(LOOKUP(2,1/(Aveia!$E11:INDEX(Aveia!$E11:$Z11,MIN(AY$6-$E$3,22))&lt;&gt;""),Aveia!$E11:INDEX(Aveia!$E11:$Z11,MIN(AY$6-$E$3,22))),0))-IF($G$2,0,IF((AY$6-$G$3)&lt;1,0,IFERROR(LOOKUP(2,1/(Aveia!$E11:INDEX(Aveia!$E11:$Z11,MIN(AY$6-$G$3,22))&lt;&gt;""),Aveia!$E11:INDEX(Aveia!$E11:$Z11,MIN(AY$6-$G$3,22))),0)))))</f>
        <v>0</v>
      </c>
      <c r="AZ13" s="27" t="n">
        <f aca="false">IF(COUNT(Aveia!$E11:$Z11)=0,0,MAX(0,IF((AZ$6-$E$3)&lt;1,0,IFERROR(LOOKUP(2,1/(Aveia!$E11:INDEX(Aveia!$E11:$Z11,MIN(AZ$6-$E$3,22))&lt;&gt;""),Aveia!$E11:INDEX(Aveia!$E11:$Z11,MIN(AZ$6-$E$3,22))),0))-IF($G$2,0,IF((AZ$6-$G$3)&lt;1,0,IFERROR(LOOKUP(2,1/(Aveia!$E11:INDEX(Aveia!$E11:$Z11,MIN(AZ$6-$G$3,22))&lt;&gt;""),Aveia!$E11:INDEX(Aveia!$E11:$Z11,MIN(AZ$6-$G$3,22))),0)))))</f>
        <v>0</v>
      </c>
    </row>
    <row r="14" customFormat="false" ht="15" hidden="false" customHeight="false" outlineLevel="0" collapsed="false">
      <c r="A14" s="3" t="s">
        <v>146</v>
      </c>
      <c r="B14" s="3" t="s">
        <v>147</v>
      </c>
      <c r="C14" s="10" t="s">
        <v>148</v>
      </c>
      <c r="D14" s="26" t="n">
        <f aca="false">IF(COUNT(Aveia!$E12:$Z12)&gt;0,N(Aveia!$D12),0)</f>
        <v>0</v>
      </c>
      <c r="E14" s="27" t="n">
        <f aca="false">IF(COUNT(Aveia!$E12:$Z12)=0,0,MAX(0,IF((E$6-$E$3)&lt;1,0,IFERROR(LOOKUP(2,1/(Aveia!$E12:INDEX(Aveia!$E12:$Z12,MIN(E$6-$E$3,22))&lt;&gt;""),Aveia!$E12:INDEX(Aveia!$E12:$Z12,MIN(E$6-$E$3,22))),0))-IF($G$2,0,IF((E$6-$G$3)&lt;1,0,IFERROR(LOOKUP(2,1/(Aveia!$E12:INDEX(Aveia!$E12:$Z12,MIN(E$6-$G$3,22))&lt;&gt;""),Aveia!$E12:INDEX(Aveia!$E12:$Z12,MIN(E$6-$G$3,22))),0)))))</f>
        <v>0</v>
      </c>
      <c r="F14" s="27" t="n">
        <f aca="false">IF(COUNT(Aveia!$E12:$Z12)=0,0,MAX(0,IF((F$6-$E$3)&lt;1,0,IFERROR(LOOKUP(2,1/(Aveia!$E12:INDEX(Aveia!$E12:$Z12,MIN(F$6-$E$3,22))&lt;&gt;""),Aveia!$E12:INDEX(Aveia!$E12:$Z12,MIN(F$6-$E$3,22))),0))-IF($G$2,0,IF((F$6-$G$3)&lt;1,0,IFERROR(LOOKUP(2,1/(Aveia!$E12:INDEX(Aveia!$E12:$Z12,MIN(F$6-$G$3,22))&lt;&gt;""),Aveia!$E12:INDEX(Aveia!$E12:$Z12,MIN(F$6-$G$3,22))),0)))))</f>
        <v>0</v>
      </c>
      <c r="G14" s="27" t="n">
        <f aca="false">IF(COUNT(Aveia!$E12:$Z12)=0,0,MAX(0,IF((G$6-$E$3)&lt;1,0,IFERROR(LOOKUP(2,1/(Aveia!$E12:INDEX(Aveia!$E12:$Z12,MIN(G$6-$E$3,22))&lt;&gt;""),Aveia!$E12:INDEX(Aveia!$E12:$Z12,MIN(G$6-$E$3,22))),0))-IF($G$2,0,IF((G$6-$G$3)&lt;1,0,IFERROR(LOOKUP(2,1/(Aveia!$E12:INDEX(Aveia!$E12:$Z12,MIN(G$6-$G$3,22))&lt;&gt;""),Aveia!$E12:INDEX(Aveia!$E12:$Z12,MIN(G$6-$G$3,22))),0)))))</f>
        <v>0</v>
      </c>
      <c r="H14" s="27" t="n">
        <f aca="false">IF(COUNT(Aveia!$E12:$Z12)=0,0,MAX(0,IF((H$6-$E$3)&lt;1,0,IFERROR(LOOKUP(2,1/(Aveia!$E12:INDEX(Aveia!$E12:$Z12,MIN(H$6-$E$3,22))&lt;&gt;""),Aveia!$E12:INDEX(Aveia!$E12:$Z12,MIN(H$6-$E$3,22))),0))-IF($G$2,0,IF((H$6-$G$3)&lt;1,0,IFERROR(LOOKUP(2,1/(Aveia!$E12:INDEX(Aveia!$E12:$Z12,MIN(H$6-$G$3,22))&lt;&gt;""),Aveia!$E12:INDEX(Aveia!$E12:$Z12,MIN(H$6-$G$3,22))),0)))))</f>
        <v>0</v>
      </c>
      <c r="I14" s="27" t="n">
        <f aca="false">IF(COUNT(Aveia!$E12:$Z12)=0,0,MAX(0,IF((I$6-$E$3)&lt;1,0,IFERROR(LOOKUP(2,1/(Aveia!$E12:INDEX(Aveia!$E12:$Z12,MIN(I$6-$E$3,22))&lt;&gt;""),Aveia!$E12:INDEX(Aveia!$E12:$Z12,MIN(I$6-$E$3,22))),0))-IF($G$2,0,IF((I$6-$G$3)&lt;1,0,IFERROR(LOOKUP(2,1/(Aveia!$E12:INDEX(Aveia!$E12:$Z12,MIN(I$6-$G$3,22))&lt;&gt;""),Aveia!$E12:INDEX(Aveia!$E12:$Z12,MIN(I$6-$G$3,22))),0)))))</f>
        <v>0</v>
      </c>
      <c r="J14" s="27" t="n">
        <f aca="false">IF(COUNT(Aveia!$E12:$Z12)=0,0,MAX(0,IF((J$6-$E$3)&lt;1,0,IFERROR(LOOKUP(2,1/(Aveia!$E12:INDEX(Aveia!$E12:$Z12,MIN(J$6-$E$3,22))&lt;&gt;""),Aveia!$E12:INDEX(Aveia!$E12:$Z12,MIN(J$6-$E$3,22))),0))-IF($G$2,0,IF((J$6-$G$3)&lt;1,0,IFERROR(LOOKUP(2,1/(Aveia!$E12:INDEX(Aveia!$E12:$Z12,MIN(J$6-$G$3,22))&lt;&gt;""),Aveia!$E12:INDEX(Aveia!$E12:$Z12,MIN(J$6-$G$3,22))),0)))))</f>
        <v>0</v>
      </c>
      <c r="K14" s="27" t="n">
        <f aca="false">IF(COUNT(Aveia!$E12:$Z12)=0,0,MAX(0,IF((K$6-$E$3)&lt;1,0,IFERROR(LOOKUP(2,1/(Aveia!$E12:INDEX(Aveia!$E12:$Z12,MIN(K$6-$E$3,22))&lt;&gt;""),Aveia!$E12:INDEX(Aveia!$E12:$Z12,MIN(K$6-$E$3,22))),0))-IF($G$2,0,IF((K$6-$G$3)&lt;1,0,IFERROR(LOOKUP(2,1/(Aveia!$E12:INDEX(Aveia!$E12:$Z12,MIN(K$6-$G$3,22))&lt;&gt;""),Aveia!$E12:INDEX(Aveia!$E12:$Z12,MIN(K$6-$G$3,22))),0)))))</f>
        <v>0</v>
      </c>
      <c r="L14" s="27" t="n">
        <f aca="false">IF(COUNT(Aveia!$E12:$Z12)=0,0,MAX(0,IF((L$6-$E$3)&lt;1,0,IFERROR(LOOKUP(2,1/(Aveia!$E12:INDEX(Aveia!$E12:$Z12,MIN(L$6-$E$3,22))&lt;&gt;""),Aveia!$E12:INDEX(Aveia!$E12:$Z12,MIN(L$6-$E$3,22))),0))-IF($G$2,0,IF((L$6-$G$3)&lt;1,0,IFERROR(LOOKUP(2,1/(Aveia!$E12:INDEX(Aveia!$E12:$Z12,MIN(L$6-$G$3,22))&lt;&gt;""),Aveia!$E12:INDEX(Aveia!$E12:$Z12,MIN(L$6-$G$3,22))),0)))))</f>
        <v>0</v>
      </c>
      <c r="M14" s="27" t="n">
        <f aca="false">IF(COUNT(Aveia!$E12:$Z12)=0,0,MAX(0,IF((M$6-$E$3)&lt;1,0,IFERROR(LOOKUP(2,1/(Aveia!$E12:INDEX(Aveia!$E12:$Z12,MIN(M$6-$E$3,22))&lt;&gt;""),Aveia!$E12:INDEX(Aveia!$E12:$Z12,MIN(M$6-$E$3,22))),0))-IF($G$2,0,IF((M$6-$G$3)&lt;1,0,IFERROR(LOOKUP(2,1/(Aveia!$E12:INDEX(Aveia!$E12:$Z12,MIN(M$6-$G$3,22))&lt;&gt;""),Aveia!$E12:INDEX(Aveia!$E12:$Z12,MIN(M$6-$G$3,22))),0)))))</f>
        <v>0</v>
      </c>
      <c r="N14" s="27" t="n">
        <f aca="false">IF(COUNT(Aveia!$E12:$Z12)=0,0,MAX(0,IF((N$6-$E$3)&lt;1,0,IFERROR(LOOKUP(2,1/(Aveia!$E12:INDEX(Aveia!$E12:$Z12,MIN(N$6-$E$3,22))&lt;&gt;""),Aveia!$E12:INDEX(Aveia!$E12:$Z12,MIN(N$6-$E$3,22))),0))-IF($G$2,0,IF((N$6-$G$3)&lt;1,0,IFERROR(LOOKUP(2,1/(Aveia!$E12:INDEX(Aveia!$E12:$Z12,MIN(N$6-$G$3,22))&lt;&gt;""),Aveia!$E12:INDEX(Aveia!$E12:$Z12,MIN(N$6-$G$3,22))),0)))))</f>
        <v>0</v>
      </c>
      <c r="O14" s="27" t="n">
        <f aca="false">IF(COUNT(Aveia!$E12:$Z12)=0,0,MAX(0,IF((O$6-$E$3)&lt;1,0,IFERROR(LOOKUP(2,1/(Aveia!$E12:INDEX(Aveia!$E12:$Z12,MIN(O$6-$E$3,22))&lt;&gt;""),Aveia!$E12:INDEX(Aveia!$E12:$Z12,MIN(O$6-$E$3,22))),0))-IF($G$2,0,IF((O$6-$G$3)&lt;1,0,IFERROR(LOOKUP(2,1/(Aveia!$E12:INDEX(Aveia!$E12:$Z12,MIN(O$6-$G$3,22))&lt;&gt;""),Aveia!$E12:INDEX(Aveia!$E12:$Z12,MIN(O$6-$G$3,22))),0)))))</f>
        <v>0</v>
      </c>
      <c r="P14" s="27" t="n">
        <f aca="false">IF(COUNT(Aveia!$E12:$Z12)=0,0,MAX(0,IF((P$6-$E$3)&lt;1,0,IFERROR(LOOKUP(2,1/(Aveia!$E12:INDEX(Aveia!$E12:$Z12,MIN(P$6-$E$3,22))&lt;&gt;""),Aveia!$E12:INDEX(Aveia!$E12:$Z12,MIN(P$6-$E$3,22))),0))-IF($G$2,0,IF((P$6-$G$3)&lt;1,0,IFERROR(LOOKUP(2,1/(Aveia!$E12:INDEX(Aveia!$E12:$Z12,MIN(P$6-$G$3,22))&lt;&gt;""),Aveia!$E12:INDEX(Aveia!$E12:$Z12,MIN(P$6-$G$3,22))),0)))))</f>
        <v>0</v>
      </c>
      <c r="Q14" s="27" t="n">
        <f aca="false">IF(COUNT(Aveia!$E12:$Z12)=0,0,MAX(0,IF((Q$6-$E$3)&lt;1,0,IFERROR(LOOKUP(2,1/(Aveia!$E12:INDEX(Aveia!$E12:$Z12,MIN(Q$6-$E$3,22))&lt;&gt;""),Aveia!$E12:INDEX(Aveia!$E12:$Z12,MIN(Q$6-$E$3,22))),0))-IF($G$2,0,IF((Q$6-$G$3)&lt;1,0,IFERROR(LOOKUP(2,1/(Aveia!$E12:INDEX(Aveia!$E12:$Z12,MIN(Q$6-$G$3,22))&lt;&gt;""),Aveia!$E12:INDEX(Aveia!$E12:$Z12,MIN(Q$6-$G$3,22))),0)))))</f>
        <v>0</v>
      </c>
      <c r="R14" s="27" t="n">
        <f aca="false">IF(COUNT(Aveia!$E12:$Z12)=0,0,MAX(0,IF((R$6-$E$3)&lt;1,0,IFERROR(LOOKUP(2,1/(Aveia!$E12:INDEX(Aveia!$E12:$Z12,MIN(R$6-$E$3,22))&lt;&gt;""),Aveia!$E12:INDEX(Aveia!$E12:$Z12,MIN(R$6-$E$3,22))),0))-IF($G$2,0,IF((R$6-$G$3)&lt;1,0,IFERROR(LOOKUP(2,1/(Aveia!$E12:INDEX(Aveia!$E12:$Z12,MIN(R$6-$G$3,22))&lt;&gt;""),Aveia!$E12:INDEX(Aveia!$E12:$Z12,MIN(R$6-$G$3,22))),0)))))</f>
        <v>0</v>
      </c>
      <c r="S14" s="27" t="n">
        <f aca="false">IF(COUNT(Aveia!$E12:$Z12)=0,0,MAX(0,IF((S$6-$E$3)&lt;1,0,IFERROR(LOOKUP(2,1/(Aveia!$E12:INDEX(Aveia!$E12:$Z12,MIN(S$6-$E$3,22))&lt;&gt;""),Aveia!$E12:INDEX(Aveia!$E12:$Z12,MIN(S$6-$E$3,22))),0))-IF($G$2,0,IF((S$6-$G$3)&lt;1,0,IFERROR(LOOKUP(2,1/(Aveia!$E12:INDEX(Aveia!$E12:$Z12,MIN(S$6-$G$3,22))&lt;&gt;""),Aveia!$E12:INDEX(Aveia!$E12:$Z12,MIN(S$6-$G$3,22))),0)))))</f>
        <v>0</v>
      </c>
      <c r="T14" s="27" t="n">
        <f aca="false">IF(COUNT(Aveia!$E12:$Z12)=0,0,MAX(0,IF((T$6-$E$3)&lt;1,0,IFERROR(LOOKUP(2,1/(Aveia!$E12:INDEX(Aveia!$E12:$Z12,MIN(T$6-$E$3,22))&lt;&gt;""),Aveia!$E12:INDEX(Aveia!$E12:$Z12,MIN(T$6-$E$3,22))),0))-IF($G$2,0,IF((T$6-$G$3)&lt;1,0,IFERROR(LOOKUP(2,1/(Aveia!$E12:INDEX(Aveia!$E12:$Z12,MIN(T$6-$G$3,22))&lt;&gt;""),Aveia!$E12:INDEX(Aveia!$E12:$Z12,MIN(T$6-$G$3,22))),0)))))</f>
        <v>0</v>
      </c>
      <c r="U14" s="27" t="n">
        <f aca="false">IF(COUNT(Aveia!$E12:$Z12)=0,0,MAX(0,IF((U$6-$E$3)&lt;1,0,IFERROR(LOOKUP(2,1/(Aveia!$E12:INDEX(Aveia!$E12:$Z12,MIN(U$6-$E$3,22))&lt;&gt;""),Aveia!$E12:INDEX(Aveia!$E12:$Z12,MIN(U$6-$E$3,22))),0))-IF($G$2,0,IF((U$6-$G$3)&lt;1,0,IFERROR(LOOKUP(2,1/(Aveia!$E12:INDEX(Aveia!$E12:$Z12,MIN(U$6-$G$3,22))&lt;&gt;""),Aveia!$E12:INDEX(Aveia!$E12:$Z12,MIN(U$6-$G$3,22))),0)))))</f>
        <v>0</v>
      </c>
      <c r="V14" s="27" t="n">
        <f aca="false">IF(COUNT(Aveia!$E12:$Z12)=0,0,MAX(0,IF((V$6-$E$3)&lt;1,0,IFERROR(LOOKUP(2,1/(Aveia!$E12:INDEX(Aveia!$E12:$Z12,MIN(V$6-$E$3,22))&lt;&gt;""),Aveia!$E12:INDEX(Aveia!$E12:$Z12,MIN(V$6-$E$3,22))),0))-IF($G$2,0,IF((V$6-$G$3)&lt;1,0,IFERROR(LOOKUP(2,1/(Aveia!$E12:INDEX(Aveia!$E12:$Z12,MIN(V$6-$G$3,22))&lt;&gt;""),Aveia!$E12:INDEX(Aveia!$E12:$Z12,MIN(V$6-$G$3,22))),0)))))</f>
        <v>0</v>
      </c>
      <c r="W14" s="27" t="n">
        <f aca="false">IF(COUNT(Aveia!$E12:$Z12)=0,0,MAX(0,IF((W$6-$E$3)&lt;1,0,IFERROR(LOOKUP(2,1/(Aveia!$E12:INDEX(Aveia!$E12:$Z12,MIN(W$6-$E$3,22))&lt;&gt;""),Aveia!$E12:INDEX(Aveia!$E12:$Z12,MIN(W$6-$E$3,22))),0))-IF($G$2,0,IF((W$6-$G$3)&lt;1,0,IFERROR(LOOKUP(2,1/(Aveia!$E12:INDEX(Aveia!$E12:$Z12,MIN(W$6-$G$3,22))&lt;&gt;""),Aveia!$E12:INDEX(Aveia!$E12:$Z12,MIN(W$6-$G$3,22))),0)))))</f>
        <v>0</v>
      </c>
      <c r="X14" s="27" t="n">
        <f aca="false">IF(COUNT(Aveia!$E12:$Z12)=0,0,MAX(0,IF((X$6-$E$3)&lt;1,0,IFERROR(LOOKUP(2,1/(Aveia!$E12:INDEX(Aveia!$E12:$Z12,MIN(X$6-$E$3,22))&lt;&gt;""),Aveia!$E12:INDEX(Aveia!$E12:$Z12,MIN(X$6-$E$3,22))),0))-IF($G$2,0,IF((X$6-$G$3)&lt;1,0,IFERROR(LOOKUP(2,1/(Aveia!$E12:INDEX(Aveia!$E12:$Z12,MIN(X$6-$G$3,22))&lt;&gt;""),Aveia!$E12:INDEX(Aveia!$E12:$Z12,MIN(X$6-$G$3,22))),0)))))</f>
        <v>0</v>
      </c>
      <c r="Y14" s="27" t="n">
        <f aca="false">IF(COUNT(Aveia!$E12:$Z12)=0,0,MAX(0,IF((Y$6-$E$3)&lt;1,0,IFERROR(LOOKUP(2,1/(Aveia!$E12:INDEX(Aveia!$E12:$Z12,MIN(Y$6-$E$3,22))&lt;&gt;""),Aveia!$E12:INDEX(Aveia!$E12:$Z12,MIN(Y$6-$E$3,22))),0))-IF($G$2,0,IF((Y$6-$G$3)&lt;1,0,IFERROR(LOOKUP(2,1/(Aveia!$E12:INDEX(Aveia!$E12:$Z12,MIN(Y$6-$G$3,22))&lt;&gt;""),Aveia!$E12:INDEX(Aveia!$E12:$Z12,MIN(Y$6-$G$3,22))),0)))))</f>
        <v>0</v>
      </c>
      <c r="Z14" s="27" t="n">
        <f aca="false">IF(COUNT(Aveia!$E12:$Z12)=0,0,MAX(0,IF((Z$6-$E$3)&lt;1,0,IFERROR(LOOKUP(2,1/(Aveia!$E12:INDEX(Aveia!$E12:$Z12,MIN(Z$6-$E$3,22))&lt;&gt;""),Aveia!$E12:INDEX(Aveia!$E12:$Z12,MIN(Z$6-$E$3,22))),0))-IF($G$2,0,IF((Z$6-$G$3)&lt;1,0,IFERROR(LOOKUP(2,1/(Aveia!$E12:INDEX(Aveia!$E12:$Z12,MIN(Z$6-$G$3,22))&lt;&gt;""),Aveia!$E12:INDEX(Aveia!$E12:$Z12,MIN(Z$6-$G$3,22))),0)))))</f>
        <v>0</v>
      </c>
      <c r="AA14" s="27" t="n">
        <f aca="false">IF(COUNT(Aveia!$E12:$Z12)=0,0,MAX(0,IF((AA$6-$E$3)&lt;1,0,IFERROR(LOOKUP(2,1/(Aveia!$E12:INDEX(Aveia!$E12:$Z12,MIN(AA$6-$E$3,22))&lt;&gt;""),Aveia!$E12:INDEX(Aveia!$E12:$Z12,MIN(AA$6-$E$3,22))),0))-IF($G$2,0,IF((AA$6-$G$3)&lt;1,0,IFERROR(LOOKUP(2,1/(Aveia!$E12:INDEX(Aveia!$E12:$Z12,MIN(AA$6-$G$3,22))&lt;&gt;""),Aveia!$E12:INDEX(Aveia!$E12:$Z12,MIN(AA$6-$G$3,22))),0)))))</f>
        <v>0</v>
      </c>
      <c r="AB14" s="27" t="n">
        <f aca="false">IF(COUNT(Aveia!$E12:$Z12)=0,0,MAX(0,IF((AB$6-$E$3)&lt;1,0,IFERROR(LOOKUP(2,1/(Aveia!$E12:INDEX(Aveia!$E12:$Z12,MIN(AB$6-$E$3,22))&lt;&gt;""),Aveia!$E12:INDEX(Aveia!$E12:$Z12,MIN(AB$6-$E$3,22))),0))-IF($G$2,0,IF((AB$6-$G$3)&lt;1,0,IFERROR(LOOKUP(2,1/(Aveia!$E12:INDEX(Aveia!$E12:$Z12,MIN(AB$6-$G$3,22))&lt;&gt;""),Aveia!$E12:INDEX(Aveia!$E12:$Z12,MIN(AB$6-$G$3,22))),0)))))</f>
        <v>0</v>
      </c>
      <c r="AC14" s="27" t="n">
        <f aca="false">IF(COUNT(Aveia!$E12:$Z12)=0,0,MAX(0,IF((AC$6-$E$3)&lt;1,0,IFERROR(LOOKUP(2,1/(Aveia!$E12:INDEX(Aveia!$E12:$Z12,MIN(AC$6-$E$3,22))&lt;&gt;""),Aveia!$E12:INDEX(Aveia!$E12:$Z12,MIN(AC$6-$E$3,22))),0))-IF($G$2,0,IF((AC$6-$G$3)&lt;1,0,IFERROR(LOOKUP(2,1/(Aveia!$E12:INDEX(Aveia!$E12:$Z12,MIN(AC$6-$G$3,22))&lt;&gt;""),Aveia!$E12:INDEX(Aveia!$E12:$Z12,MIN(AC$6-$G$3,22))),0)))))</f>
        <v>0</v>
      </c>
      <c r="AD14" s="27" t="n">
        <f aca="false">IF(COUNT(Aveia!$E12:$Z12)=0,0,MAX(0,IF((AD$6-$E$3)&lt;1,0,IFERROR(LOOKUP(2,1/(Aveia!$E12:INDEX(Aveia!$E12:$Z12,MIN(AD$6-$E$3,22))&lt;&gt;""),Aveia!$E12:INDEX(Aveia!$E12:$Z12,MIN(AD$6-$E$3,22))),0))-IF($G$2,0,IF((AD$6-$G$3)&lt;1,0,IFERROR(LOOKUP(2,1/(Aveia!$E12:INDEX(Aveia!$E12:$Z12,MIN(AD$6-$G$3,22))&lt;&gt;""),Aveia!$E12:INDEX(Aveia!$E12:$Z12,MIN(AD$6-$G$3,22))),0)))))</f>
        <v>0</v>
      </c>
      <c r="AE14" s="27" t="n">
        <f aca="false">IF(COUNT(Aveia!$E12:$Z12)=0,0,MAX(0,IF((AE$6-$E$3)&lt;1,0,IFERROR(LOOKUP(2,1/(Aveia!$E12:INDEX(Aveia!$E12:$Z12,MIN(AE$6-$E$3,22))&lt;&gt;""),Aveia!$E12:INDEX(Aveia!$E12:$Z12,MIN(AE$6-$E$3,22))),0))-IF($G$2,0,IF((AE$6-$G$3)&lt;1,0,IFERROR(LOOKUP(2,1/(Aveia!$E12:INDEX(Aveia!$E12:$Z12,MIN(AE$6-$G$3,22))&lt;&gt;""),Aveia!$E12:INDEX(Aveia!$E12:$Z12,MIN(AE$6-$G$3,22))),0)))))</f>
        <v>0</v>
      </c>
      <c r="AF14" s="27" t="n">
        <f aca="false">IF(COUNT(Aveia!$E12:$Z12)=0,0,MAX(0,IF((AF$6-$E$3)&lt;1,0,IFERROR(LOOKUP(2,1/(Aveia!$E12:INDEX(Aveia!$E12:$Z12,MIN(AF$6-$E$3,22))&lt;&gt;""),Aveia!$E12:INDEX(Aveia!$E12:$Z12,MIN(AF$6-$E$3,22))),0))-IF($G$2,0,IF((AF$6-$G$3)&lt;1,0,IFERROR(LOOKUP(2,1/(Aveia!$E12:INDEX(Aveia!$E12:$Z12,MIN(AF$6-$G$3,22))&lt;&gt;""),Aveia!$E12:INDEX(Aveia!$E12:$Z12,MIN(AF$6-$G$3,22))),0)))))</f>
        <v>0</v>
      </c>
      <c r="AG14" s="27" t="n">
        <f aca="false">IF(COUNT(Aveia!$E12:$Z12)=0,0,MAX(0,IF((AG$6-$E$3)&lt;1,0,IFERROR(LOOKUP(2,1/(Aveia!$E12:INDEX(Aveia!$E12:$Z12,MIN(AG$6-$E$3,22))&lt;&gt;""),Aveia!$E12:INDEX(Aveia!$E12:$Z12,MIN(AG$6-$E$3,22))),0))-IF($G$2,0,IF((AG$6-$G$3)&lt;1,0,IFERROR(LOOKUP(2,1/(Aveia!$E12:INDEX(Aveia!$E12:$Z12,MIN(AG$6-$G$3,22))&lt;&gt;""),Aveia!$E12:INDEX(Aveia!$E12:$Z12,MIN(AG$6-$G$3,22))),0)))))</f>
        <v>0</v>
      </c>
      <c r="AH14" s="27" t="n">
        <f aca="false">IF(COUNT(Aveia!$E12:$Z12)=0,0,MAX(0,IF((AH$6-$E$3)&lt;1,0,IFERROR(LOOKUP(2,1/(Aveia!$E12:INDEX(Aveia!$E12:$Z12,MIN(AH$6-$E$3,22))&lt;&gt;""),Aveia!$E12:INDEX(Aveia!$E12:$Z12,MIN(AH$6-$E$3,22))),0))-IF($G$2,0,IF((AH$6-$G$3)&lt;1,0,IFERROR(LOOKUP(2,1/(Aveia!$E12:INDEX(Aveia!$E12:$Z12,MIN(AH$6-$G$3,22))&lt;&gt;""),Aveia!$E12:INDEX(Aveia!$E12:$Z12,MIN(AH$6-$G$3,22))),0)))))</f>
        <v>0</v>
      </c>
      <c r="AI14" s="27" t="n">
        <f aca="false">IF(COUNT(Aveia!$E12:$Z12)=0,0,MAX(0,IF((AI$6-$E$3)&lt;1,0,IFERROR(LOOKUP(2,1/(Aveia!$E12:INDEX(Aveia!$E12:$Z12,MIN(AI$6-$E$3,22))&lt;&gt;""),Aveia!$E12:INDEX(Aveia!$E12:$Z12,MIN(AI$6-$E$3,22))),0))-IF($G$2,0,IF((AI$6-$G$3)&lt;1,0,IFERROR(LOOKUP(2,1/(Aveia!$E12:INDEX(Aveia!$E12:$Z12,MIN(AI$6-$G$3,22))&lt;&gt;""),Aveia!$E12:INDEX(Aveia!$E12:$Z12,MIN(AI$6-$G$3,22))),0)))))</f>
        <v>0</v>
      </c>
      <c r="AJ14" s="27" t="n">
        <f aca="false">IF(COUNT(Aveia!$E12:$Z12)=0,0,MAX(0,IF((AJ$6-$E$3)&lt;1,0,IFERROR(LOOKUP(2,1/(Aveia!$E12:INDEX(Aveia!$E12:$Z12,MIN(AJ$6-$E$3,22))&lt;&gt;""),Aveia!$E12:INDEX(Aveia!$E12:$Z12,MIN(AJ$6-$E$3,22))),0))-IF($G$2,0,IF((AJ$6-$G$3)&lt;1,0,IFERROR(LOOKUP(2,1/(Aveia!$E12:INDEX(Aveia!$E12:$Z12,MIN(AJ$6-$G$3,22))&lt;&gt;""),Aveia!$E12:INDEX(Aveia!$E12:$Z12,MIN(AJ$6-$G$3,22))),0)))))</f>
        <v>0</v>
      </c>
      <c r="AK14" s="27" t="n">
        <f aca="false">IF(COUNT(Aveia!$E12:$Z12)=0,0,MAX(0,IF((AK$6-$E$3)&lt;1,0,IFERROR(LOOKUP(2,1/(Aveia!$E12:INDEX(Aveia!$E12:$Z12,MIN(AK$6-$E$3,22))&lt;&gt;""),Aveia!$E12:INDEX(Aveia!$E12:$Z12,MIN(AK$6-$E$3,22))),0))-IF($G$2,0,IF((AK$6-$G$3)&lt;1,0,IFERROR(LOOKUP(2,1/(Aveia!$E12:INDEX(Aveia!$E12:$Z12,MIN(AK$6-$G$3,22))&lt;&gt;""),Aveia!$E12:INDEX(Aveia!$E12:$Z12,MIN(AK$6-$G$3,22))),0)))))</f>
        <v>0</v>
      </c>
      <c r="AL14" s="27" t="n">
        <f aca="false">IF(COUNT(Aveia!$E12:$Z12)=0,0,MAX(0,IF((AL$6-$E$3)&lt;1,0,IFERROR(LOOKUP(2,1/(Aveia!$E12:INDEX(Aveia!$E12:$Z12,MIN(AL$6-$E$3,22))&lt;&gt;""),Aveia!$E12:INDEX(Aveia!$E12:$Z12,MIN(AL$6-$E$3,22))),0))-IF($G$2,0,IF((AL$6-$G$3)&lt;1,0,IFERROR(LOOKUP(2,1/(Aveia!$E12:INDEX(Aveia!$E12:$Z12,MIN(AL$6-$G$3,22))&lt;&gt;""),Aveia!$E12:INDEX(Aveia!$E12:$Z12,MIN(AL$6-$G$3,22))),0)))))</f>
        <v>0</v>
      </c>
      <c r="AM14" s="27" t="n">
        <f aca="false">IF(COUNT(Aveia!$E12:$Z12)=0,0,MAX(0,IF((AM$6-$E$3)&lt;1,0,IFERROR(LOOKUP(2,1/(Aveia!$E12:INDEX(Aveia!$E12:$Z12,MIN(AM$6-$E$3,22))&lt;&gt;""),Aveia!$E12:INDEX(Aveia!$E12:$Z12,MIN(AM$6-$E$3,22))),0))-IF($G$2,0,IF((AM$6-$G$3)&lt;1,0,IFERROR(LOOKUP(2,1/(Aveia!$E12:INDEX(Aveia!$E12:$Z12,MIN(AM$6-$G$3,22))&lt;&gt;""),Aveia!$E12:INDEX(Aveia!$E12:$Z12,MIN(AM$6-$G$3,22))),0)))))</f>
        <v>0</v>
      </c>
      <c r="AN14" s="27" t="n">
        <f aca="false">IF(COUNT(Aveia!$E12:$Z12)=0,0,MAX(0,IF((AN$6-$E$3)&lt;1,0,IFERROR(LOOKUP(2,1/(Aveia!$E12:INDEX(Aveia!$E12:$Z12,MIN(AN$6-$E$3,22))&lt;&gt;""),Aveia!$E12:INDEX(Aveia!$E12:$Z12,MIN(AN$6-$E$3,22))),0))-IF($G$2,0,IF((AN$6-$G$3)&lt;1,0,IFERROR(LOOKUP(2,1/(Aveia!$E12:INDEX(Aveia!$E12:$Z12,MIN(AN$6-$G$3,22))&lt;&gt;""),Aveia!$E12:INDEX(Aveia!$E12:$Z12,MIN(AN$6-$G$3,22))),0)))))</f>
        <v>0</v>
      </c>
      <c r="AO14" s="27" t="n">
        <f aca="false">IF(COUNT(Aveia!$E12:$Z12)=0,0,MAX(0,IF((AO$6-$E$3)&lt;1,0,IFERROR(LOOKUP(2,1/(Aveia!$E12:INDEX(Aveia!$E12:$Z12,MIN(AO$6-$E$3,22))&lt;&gt;""),Aveia!$E12:INDEX(Aveia!$E12:$Z12,MIN(AO$6-$E$3,22))),0))-IF($G$2,0,IF((AO$6-$G$3)&lt;1,0,IFERROR(LOOKUP(2,1/(Aveia!$E12:INDEX(Aveia!$E12:$Z12,MIN(AO$6-$G$3,22))&lt;&gt;""),Aveia!$E12:INDEX(Aveia!$E12:$Z12,MIN(AO$6-$G$3,22))),0)))))</f>
        <v>0</v>
      </c>
      <c r="AP14" s="27" t="n">
        <f aca="false">IF(COUNT(Aveia!$E12:$Z12)=0,0,MAX(0,IF((AP$6-$E$3)&lt;1,0,IFERROR(LOOKUP(2,1/(Aveia!$E12:INDEX(Aveia!$E12:$Z12,MIN(AP$6-$E$3,22))&lt;&gt;""),Aveia!$E12:INDEX(Aveia!$E12:$Z12,MIN(AP$6-$E$3,22))),0))-IF($G$2,0,IF((AP$6-$G$3)&lt;1,0,IFERROR(LOOKUP(2,1/(Aveia!$E12:INDEX(Aveia!$E12:$Z12,MIN(AP$6-$G$3,22))&lt;&gt;""),Aveia!$E12:INDEX(Aveia!$E12:$Z12,MIN(AP$6-$G$3,22))),0)))))</f>
        <v>0</v>
      </c>
      <c r="AQ14" s="27" t="n">
        <f aca="false">IF(COUNT(Aveia!$E12:$Z12)=0,0,MAX(0,IF((AQ$6-$E$3)&lt;1,0,IFERROR(LOOKUP(2,1/(Aveia!$E12:INDEX(Aveia!$E12:$Z12,MIN(AQ$6-$E$3,22))&lt;&gt;""),Aveia!$E12:INDEX(Aveia!$E12:$Z12,MIN(AQ$6-$E$3,22))),0))-IF($G$2,0,IF((AQ$6-$G$3)&lt;1,0,IFERROR(LOOKUP(2,1/(Aveia!$E12:INDEX(Aveia!$E12:$Z12,MIN(AQ$6-$G$3,22))&lt;&gt;""),Aveia!$E12:INDEX(Aveia!$E12:$Z12,MIN(AQ$6-$G$3,22))),0)))))</f>
        <v>0</v>
      </c>
      <c r="AR14" s="27" t="n">
        <f aca="false">IF(COUNT(Aveia!$E12:$Z12)=0,0,MAX(0,IF((AR$6-$E$3)&lt;1,0,IFERROR(LOOKUP(2,1/(Aveia!$E12:INDEX(Aveia!$E12:$Z12,MIN(AR$6-$E$3,22))&lt;&gt;""),Aveia!$E12:INDEX(Aveia!$E12:$Z12,MIN(AR$6-$E$3,22))),0))-IF($G$2,0,IF((AR$6-$G$3)&lt;1,0,IFERROR(LOOKUP(2,1/(Aveia!$E12:INDEX(Aveia!$E12:$Z12,MIN(AR$6-$G$3,22))&lt;&gt;""),Aveia!$E12:INDEX(Aveia!$E12:$Z12,MIN(AR$6-$G$3,22))),0)))))</f>
        <v>0</v>
      </c>
      <c r="AS14" s="27" t="n">
        <f aca="false">IF(COUNT(Aveia!$E12:$Z12)=0,0,MAX(0,IF((AS$6-$E$3)&lt;1,0,IFERROR(LOOKUP(2,1/(Aveia!$E12:INDEX(Aveia!$E12:$Z12,MIN(AS$6-$E$3,22))&lt;&gt;""),Aveia!$E12:INDEX(Aveia!$E12:$Z12,MIN(AS$6-$E$3,22))),0))-IF($G$2,0,IF((AS$6-$G$3)&lt;1,0,IFERROR(LOOKUP(2,1/(Aveia!$E12:INDEX(Aveia!$E12:$Z12,MIN(AS$6-$G$3,22))&lt;&gt;""),Aveia!$E12:INDEX(Aveia!$E12:$Z12,MIN(AS$6-$G$3,22))),0)))))</f>
        <v>0</v>
      </c>
      <c r="AT14" s="27" t="n">
        <f aca="false">IF(COUNT(Aveia!$E12:$Z12)=0,0,MAX(0,IF((AT$6-$E$3)&lt;1,0,IFERROR(LOOKUP(2,1/(Aveia!$E12:INDEX(Aveia!$E12:$Z12,MIN(AT$6-$E$3,22))&lt;&gt;""),Aveia!$E12:INDEX(Aveia!$E12:$Z12,MIN(AT$6-$E$3,22))),0))-IF($G$2,0,IF((AT$6-$G$3)&lt;1,0,IFERROR(LOOKUP(2,1/(Aveia!$E12:INDEX(Aveia!$E12:$Z12,MIN(AT$6-$G$3,22))&lt;&gt;""),Aveia!$E12:INDEX(Aveia!$E12:$Z12,MIN(AT$6-$G$3,22))),0)))))</f>
        <v>0</v>
      </c>
      <c r="AU14" s="27" t="n">
        <f aca="false">IF(COUNT(Aveia!$E12:$Z12)=0,0,MAX(0,IF((AU$6-$E$3)&lt;1,0,IFERROR(LOOKUP(2,1/(Aveia!$E12:INDEX(Aveia!$E12:$Z12,MIN(AU$6-$E$3,22))&lt;&gt;""),Aveia!$E12:INDEX(Aveia!$E12:$Z12,MIN(AU$6-$E$3,22))),0))-IF($G$2,0,IF((AU$6-$G$3)&lt;1,0,IFERROR(LOOKUP(2,1/(Aveia!$E12:INDEX(Aveia!$E12:$Z12,MIN(AU$6-$G$3,22))&lt;&gt;""),Aveia!$E12:INDEX(Aveia!$E12:$Z12,MIN(AU$6-$G$3,22))),0)))))</f>
        <v>0</v>
      </c>
      <c r="AV14" s="27" t="n">
        <f aca="false">IF(COUNT(Aveia!$E12:$Z12)=0,0,MAX(0,IF((AV$6-$E$3)&lt;1,0,IFERROR(LOOKUP(2,1/(Aveia!$E12:INDEX(Aveia!$E12:$Z12,MIN(AV$6-$E$3,22))&lt;&gt;""),Aveia!$E12:INDEX(Aveia!$E12:$Z12,MIN(AV$6-$E$3,22))),0))-IF($G$2,0,IF((AV$6-$G$3)&lt;1,0,IFERROR(LOOKUP(2,1/(Aveia!$E12:INDEX(Aveia!$E12:$Z12,MIN(AV$6-$G$3,22))&lt;&gt;""),Aveia!$E12:INDEX(Aveia!$E12:$Z12,MIN(AV$6-$G$3,22))),0)))))</f>
        <v>0</v>
      </c>
      <c r="AW14" s="27" t="n">
        <f aca="false">IF(COUNT(Aveia!$E12:$Z12)=0,0,MAX(0,IF((AW$6-$E$3)&lt;1,0,IFERROR(LOOKUP(2,1/(Aveia!$E12:INDEX(Aveia!$E12:$Z12,MIN(AW$6-$E$3,22))&lt;&gt;""),Aveia!$E12:INDEX(Aveia!$E12:$Z12,MIN(AW$6-$E$3,22))),0))-IF($G$2,0,IF((AW$6-$G$3)&lt;1,0,IFERROR(LOOKUP(2,1/(Aveia!$E12:INDEX(Aveia!$E12:$Z12,MIN(AW$6-$G$3,22))&lt;&gt;""),Aveia!$E12:INDEX(Aveia!$E12:$Z12,MIN(AW$6-$G$3,22))),0)))))</f>
        <v>0</v>
      </c>
      <c r="AX14" s="27" t="n">
        <f aca="false">IF(COUNT(Aveia!$E12:$Z12)=0,0,MAX(0,IF((AX$6-$E$3)&lt;1,0,IFERROR(LOOKUP(2,1/(Aveia!$E12:INDEX(Aveia!$E12:$Z12,MIN(AX$6-$E$3,22))&lt;&gt;""),Aveia!$E12:INDEX(Aveia!$E12:$Z12,MIN(AX$6-$E$3,22))),0))-IF($G$2,0,IF((AX$6-$G$3)&lt;1,0,IFERROR(LOOKUP(2,1/(Aveia!$E12:INDEX(Aveia!$E12:$Z12,MIN(AX$6-$G$3,22))&lt;&gt;""),Aveia!$E12:INDEX(Aveia!$E12:$Z12,MIN(AX$6-$G$3,22))),0)))))</f>
        <v>0</v>
      </c>
      <c r="AY14" s="27" t="n">
        <f aca="false">IF(COUNT(Aveia!$E12:$Z12)=0,0,MAX(0,IF((AY$6-$E$3)&lt;1,0,IFERROR(LOOKUP(2,1/(Aveia!$E12:INDEX(Aveia!$E12:$Z12,MIN(AY$6-$E$3,22))&lt;&gt;""),Aveia!$E12:INDEX(Aveia!$E12:$Z12,MIN(AY$6-$E$3,22))),0))-IF($G$2,0,IF((AY$6-$G$3)&lt;1,0,IFERROR(LOOKUP(2,1/(Aveia!$E12:INDEX(Aveia!$E12:$Z12,MIN(AY$6-$G$3,22))&lt;&gt;""),Aveia!$E12:INDEX(Aveia!$E12:$Z12,MIN(AY$6-$G$3,22))),0)))))</f>
        <v>0</v>
      </c>
      <c r="AZ14" s="27" t="n">
        <f aca="false">IF(COUNT(Aveia!$E12:$Z12)=0,0,MAX(0,IF((AZ$6-$E$3)&lt;1,0,IFERROR(LOOKUP(2,1/(Aveia!$E12:INDEX(Aveia!$E12:$Z12,MIN(AZ$6-$E$3,22))&lt;&gt;""),Aveia!$E12:INDEX(Aveia!$E12:$Z12,MIN(AZ$6-$E$3,22))),0))-IF($G$2,0,IF((AZ$6-$G$3)&lt;1,0,IFERROR(LOOKUP(2,1/(Aveia!$E12:INDEX(Aveia!$E12:$Z12,MIN(AZ$6-$G$3,22))&lt;&gt;""),Aveia!$E12:INDEX(Aveia!$E12:$Z12,MIN(AZ$6-$G$3,22))),0)))))</f>
        <v>0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10" t="s">
        <v>137</v>
      </c>
      <c r="D15" s="26" t="n">
        <f aca="false">IF(COUNT(Aveia!$E13:$Z13)&gt;0,N(Aveia!$D13),0)</f>
        <v>0</v>
      </c>
      <c r="E15" s="27" t="n">
        <f aca="false">IF(COUNT(Aveia!$E13:$Z13)=0,0,MAX(0,IF((E$6-$E$3)&lt;1,0,IFERROR(LOOKUP(2,1/(Aveia!$E13:INDEX(Aveia!$E13:$Z13,MIN(E$6-$E$3,22))&lt;&gt;""),Aveia!$E13:INDEX(Aveia!$E13:$Z13,MIN(E$6-$E$3,22))),0))-IF($G$2,0,IF((E$6-$G$3)&lt;1,0,IFERROR(LOOKUP(2,1/(Aveia!$E13:INDEX(Aveia!$E13:$Z13,MIN(E$6-$G$3,22))&lt;&gt;""),Aveia!$E13:INDEX(Aveia!$E13:$Z13,MIN(E$6-$G$3,22))),0)))))</f>
        <v>0</v>
      </c>
      <c r="F15" s="27" t="n">
        <f aca="false">IF(COUNT(Aveia!$E13:$Z13)=0,0,MAX(0,IF((F$6-$E$3)&lt;1,0,IFERROR(LOOKUP(2,1/(Aveia!$E13:INDEX(Aveia!$E13:$Z13,MIN(F$6-$E$3,22))&lt;&gt;""),Aveia!$E13:INDEX(Aveia!$E13:$Z13,MIN(F$6-$E$3,22))),0))-IF($G$2,0,IF((F$6-$G$3)&lt;1,0,IFERROR(LOOKUP(2,1/(Aveia!$E13:INDEX(Aveia!$E13:$Z13,MIN(F$6-$G$3,22))&lt;&gt;""),Aveia!$E13:INDEX(Aveia!$E13:$Z13,MIN(F$6-$G$3,22))),0)))))</f>
        <v>0</v>
      </c>
      <c r="G15" s="27" t="n">
        <f aca="false">IF(COUNT(Aveia!$E13:$Z13)=0,0,MAX(0,IF((G$6-$E$3)&lt;1,0,IFERROR(LOOKUP(2,1/(Aveia!$E13:INDEX(Aveia!$E13:$Z13,MIN(G$6-$E$3,22))&lt;&gt;""),Aveia!$E13:INDEX(Aveia!$E13:$Z13,MIN(G$6-$E$3,22))),0))-IF($G$2,0,IF((G$6-$G$3)&lt;1,0,IFERROR(LOOKUP(2,1/(Aveia!$E13:INDEX(Aveia!$E13:$Z13,MIN(G$6-$G$3,22))&lt;&gt;""),Aveia!$E13:INDEX(Aveia!$E13:$Z13,MIN(G$6-$G$3,22))),0)))))</f>
        <v>0</v>
      </c>
      <c r="H15" s="27" t="n">
        <f aca="false">IF(COUNT(Aveia!$E13:$Z13)=0,0,MAX(0,IF((H$6-$E$3)&lt;1,0,IFERROR(LOOKUP(2,1/(Aveia!$E13:INDEX(Aveia!$E13:$Z13,MIN(H$6-$E$3,22))&lt;&gt;""),Aveia!$E13:INDEX(Aveia!$E13:$Z13,MIN(H$6-$E$3,22))),0))-IF($G$2,0,IF((H$6-$G$3)&lt;1,0,IFERROR(LOOKUP(2,1/(Aveia!$E13:INDEX(Aveia!$E13:$Z13,MIN(H$6-$G$3,22))&lt;&gt;""),Aveia!$E13:INDEX(Aveia!$E13:$Z13,MIN(H$6-$G$3,22))),0)))))</f>
        <v>0</v>
      </c>
      <c r="I15" s="27" t="n">
        <f aca="false">IF(COUNT(Aveia!$E13:$Z13)=0,0,MAX(0,IF((I$6-$E$3)&lt;1,0,IFERROR(LOOKUP(2,1/(Aveia!$E13:INDEX(Aveia!$E13:$Z13,MIN(I$6-$E$3,22))&lt;&gt;""),Aveia!$E13:INDEX(Aveia!$E13:$Z13,MIN(I$6-$E$3,22))),0))-IF($G$2,0,IF((I$6-$G$3)&lt;1,0,IFERROR(LOOKUP(2,1/(Aveia!$E13:INDEX(Aveia!$E13:$Z13,MIN(I$6-$G$3,22))&lt;&gt;""),Aveia!$E13:INDEX(Aveia!$E13:$Z13,MIN(I$6-$G$3,22))),0)))))</f>
        <v>0</v>
      </c>
      <c r="J15" s="27" t="n">
        <f aca="false">IF(COUNT(Aveia!$E13:$Z13)=0,0,MAX(0,IF((J$6-$E$3)&lt;1,0,IFERROR(LOOKUP(2,1/(Aveia!$E13:INDEX(Aveia!$E13:$Z13,MIN(J$6-$E$3,22))&lt;&gt;""),Aveia!$E13:INDEX(Aveia!$E13:$Z13,MIN(J$6-$E$3,22))),0))-IF($G$2,0,IF((J$6-$G$3)&lt;1,0,IFERROR(LOOKUP(2,1/(Aveia!$E13:INDEX(Aveia!$E13:$Z13,MIN(J$6-$G$3,22))&lt;&gt;""),Aveia!$E13:INDEX(Aveia!$E13:$Z13,MIN(J$6-$G$3,22))),0)))))</f>
        <v>0</v>
      </c>
      <c r="K15" s="27" t="n">
        <f aca="false">IF(COUNT(Aveia!$E13:$Z13)=0,0,MAX(0,IF((K$6-$E$3)&lt;1,0,IFERROR(LOOKUP(2,1/(Aveia!$E13:INDEX(Aveia!$E13:$Z13,MIN(K$6-$E$3,22))&lt;&gt;""),Aveia!$E13:INDEX(Aveia!$E13:$Z13,MIN(K$6-$E$3,22))),0))-IF($G$2,0,IF((K$6-$G$3)&lt;1,0,IFERROR(LOOKUP(2,1/(Aveia!$E13:INDEX(Aveia!$E13:$Z13,MIN(K$6-$G$3,22))&lt;&gt;""),Aveia!$E13:INDEX(Aveia!$E13:$Z13,MIN(K$6-$G$3,22))),0)))))</f>
        <v>0</v>
      </c>
      <c r="L15" s="27" t="n">
        <f aca="false">IF(COUNT(Aveia!$E13:$Z13)=0,0,MAX(0,IF((L$6-$E$3)&lt;1,0,IFERROR(LOOKUP(2,1/(Aveia!$E13:INDEX(Aveia!$E13:$Z13,MIN(L$6-$E$3,22))&lt;&gt;""),Aveia!$E13:INDEX(Aveia!$E13:$Z13,MIN(L$6-$E$3,22))),0))-IF($G$2,0,IF((L$6-$G$3)&lt;1,0,IFERROR(LOOKUP(2,1/(Aveia!$E13:INDEX(Aveia!$E13:$Z13,MIN(L$6-$G$3,22))&lt;&gt;""),Aveia!$E13:INDEX(Aveia!$E13:$Z13,MIN(L$6-$G$3,22))),0)))))</f>
        <v>0</v>
      </c>
      <c r="M15" s="27" t="n">
        <f aca="false">IF(COUNT(Aveia!$E13:$Z13)=0,0,MAX(0,IF((M$6-$E$3)&lt;1,0,IFERROR(LOOKUP(2,1/(Aveia!$E13:INDEX(Aveia!$E13:$Z13,MIN(M$6-$E$3,22))&lt;&gt;""),Aveia!$E13:INDEX(Aveia!$E13:$Z13,MIN(M$6-$E$3,22))),0))-IF($G$2,0,IF((M$6-$G$3)&lt;1,0,IFERROR(LOOKUP(2,1/(Aveia!$E13:INDEX(Aveia!$E13:$Z13,MIN(M$6-$G$3,22))&lt;&gt;""),Aveia!$E13:INDEX(Aveia!$E13:$Z13,MIN(M$6-$G$3,22))),0)))))</f>
        <v>0</v>
      </c>
      <c r="N15" s="27" t="n">
        <f aca="false">IF(COUNT(Aveia!$E13:$Z13)=0,0,MAX(0,IF((N$6-$E$3)&lt;1,0,IFERROR(LOOKUP(2,1/(Aveia!$E13:INDEX(Aveia!$E13:$Z13,MIN(N$6-$E$3,22))&lt;&gt;""),Aveia!$E13:INDEX(Aveia!$E13:$Z13,MIN(N$6-$E$3,22))),0))-IF($G$2,0,IF((N$6-$G$3)&lt;1,0,IFERROR(LOOKUP(2,1/(Aveia!$E13:INDEX(Aveia!$E13:$Z13,MIN(N$6-$G$3,22))&lt;&gt;""),Aveia!$E13:INDEX(Aveia!$E13:$Z13,MIN(N$6-$G$3,22))),0)))))</f>
        <v>0</v>
      </c>
      <c r="O15" s="27" t="n">
        <f aca="false">IF(COUNT(Aveia!$E13:$Z13)=0,0,MAX(0,IF((O$6-$E$3)&lt;1,0,IFERROR(LOOKUP(2,1/(Aveia!$E13:INDEX(Aveia!$E13:$Z13,MIN(O$6-$E$3,22))&lt;&gt;""),Aveia!$E13:INDEX(Aveia!$E13:$Z13,MIN(O$6-$E$3,22))),0))-IF($G$2,0,IF((O$6-$G$3)&lt;1,0,IFERROR(LOOKUP(2,1/(Aveia!$E13:INDEX(Aveia!$E13:$Z13,MIN(O$6-$G$3,22))&lt;&gt;""),Aveia!$E13:INDEX(Aveia!$E13:$Z13,MIN(O$6-$G$3,22))),0)))))</f>
        <v>0</v>
      </c>
      <c r="P15" s="27" t="n">
        <f aca="false">IF(COUNT(Aveia!$E13:$Z13)=0,0,MAX(0,IF((P$6-$E$3)&lt;1,0,IFERROR(LOOKUP(2,1/(Aveia!$E13:INDEX(Aveia!$E13:$Z13,MIN(P$6-$E$3,22))&lt;&gt;""),Aveia!$E13:INDEX(Aveia!$E13:$Z13,MIN(P$6-$E$3,22))),0))-IF($G$2,0,IF((P$6-$G$3)&lt;1,0,IFERROR(LOOKUP(2,1/(Aveia!$E13:INDEX(Aveia!$E13:$Z13,MIN(P$6-$G$3,22))&lt;&gt;""),Aveia!$E13:INDEX(Aveia!$E13:$Z13,MIN(P$6-$G$3,22))),0)))))</f>
        <v>0</v>
      </c>
      <c r="Q15" s="27" t="n">
        <f aca="false">IF(COUNT(Aveia!$E13:$Z13)=0,0,MAX(0,IF((Q$6-$E$3)&lt;1,0,IFERROR(LOOKUP(2,1/(Aveia!$E13:INDEX(Aveia!$E13:$Z13,MIN(Q$6-$E$3,22))&lt;&gt;""),Aveia!$E13:INDEX(Aveia!$E13:$Z13,MIN(Q$6-$E$3,22))),0))-IF($G$2,0,IF((Q$6-$G$3)&lt;1,0,IFERROR(LOOKUP(2,1/(Aveia!$E13:INDEX(Aveia!$E13:$Z13,MIN(Q$6-$G$3,22))&lt;&gt;""),Aveia!$E13:INDEX(Aveia!$E13:$Z13,MIN(Q$6-$G$3,22))),0)))))</f>
        <v>0</v>
      </c>
      <c r="R15" s="27" t="n">
        <f aca="false">IF(COUNT(Aveia!$E13:$Z13)=0,0,MAX(0,IF((R$6-$E$3)&lt;1,0,IFERROR(LOOKUP(2,1/(Aveia!$E13:INDEX(Aveia!$E13:$Z13,MIN(R$6-$E$3,22))&lt;&gt;""),Aveia!$E13:INDEX(Aveia!$E13:$Z13,MIN(R$6-$E$3,22))),0))-IF($G$2,0,IF((R$6-$G$3)&lt;1,0,IFERROR(LOOKUP(2,1/(Aveia!$E13:INDEX(Aveia!$E13:$Z13,MIN(R$6-$G$3,22))&lt;&gt;""),Aveia!$E13:INDEX(Aveia!$E13:$Z13,MIN(R$6-$G$3,22))),0)))))</f>
        <v>0</v>
      </c>
      <c r="S15" s="27" t="n">
        <f aca="false">IF(COUNT(Aveia!$E13:$Z13)=0,0,MAX(0,IF((S$6-$E$3)&lt;1,0,IFERROR(LOOKUP(2,1/(Aveia!$E13:INDEX(Aveia!$E13:$Z13,MIN(S$6-$E$3,22))&lt;&gt;""),Aveia!$E13:INDEX(Aveia!$E13:$Z13,MIN(S$6-$E$3,22))),0))-IF($G$2,0,IF((S$6-$G$3)&lt;1,0,IFERROR(LOOKUP(2,1/(Aveia!$E13:INDEX(Aveia!$E13:$Z13,MIN(S$6-$G$3,22))&lt;&gt;""),Aveia!$E13:INDEX(Aveia!$E13:$Z13,MIN(S$6-$G$3,22))),0)))))</f>
        <v>0</v>
      </c>
      <c r="T15" s="27" t="n">
        <f aca="false">IF(COUNT(Aveia!$E13:$Z13)=0,0,MAX(0,IF((T$6-$E$3)&lt;1,0,IFERROR(LOOKUP(2,1/(Aveia!$E13:INDEX(Aveia!$E13:$Z13,MIN(T$6-$E$3,22))&lt;&gt;""),Aveia!$E13:INDEX(Aveia!$E13:$Z13,MIN(T$6-$E$3,22))),0))-IF($G$2,0,IF((T$6-$G$3)&lt;1,0,IFERROR(LOOKUP(2,1/(Aveia!$E13:INDEX(Aveia!$E13:$Z13,MIN(T$6-$G$3,22))&lt;&gt;""),Aveia!$E13:INDEX(Aveia!$E13:$Z13,MIN(T$6-$G$3,22))),0)))))</f>
        <v>0</v>
      </c>
      <c r="U15" s="27" t="n">
        <f aca="false">IF(COUNT(Aveia!$E13:$Z13)=0,0,MAX(0,IF((U$6-$E$3)&lt;1,0,IFERROR(LOOKUP(2,1/(Aveia!$E13:INDEX(Aveia!$E13:$Z13,MIN(U$6-$E$3,22))&lt;&gt;""),Aveia!$E13:INDEX(Aveia!$E13:$Z13,MIN(U$6-$E$3,22))),0))-IF($G$2,0,IF((U$6-$G$3)&lt;1,0,IFERROR(LOOKUP(2,1/(Aveia!$E13:INDEX(Aveia!$E13:$Z13,MIN(U$6-$G$3,22))&lt;&gt;""),Aveia!$E13:INDEX(Aveia!$E13:$Z13,MIN(U$6-$G$3,22))),0)))))</f>
        <v>0</v>
      </c>
      <c r="V15" s="27" t="n">
        <f aca="false">IF(COUNT(Aveia!$E13:$Z13)=0,0,MAX(0,IF((V$6-$E$3)&lt;1,0,IFERROR(LOOKUP(2,1/(Aveia!$E13:INDEX(Aveia!$E13:$Z13,MIN(V$6-$E$3,22))&lt;&gt;""),Aveia!$E13:INDEX(Aveia!$E13:$Z13,MIN(V$6-$E$3,22))),0))-IF($G$2,0,IF((V$6-$G$3)&lt;1,0,IFERROR(LOOKUP(2,1/(Aveia!$E13:INDEX(Aveia!$E13:$Z13,MIN(V$6-$G$3,22))&lt;&gt;""),Aveia!$E13:INDEX(Aveia!$E13:$Z13,MIN(V$6-$G$3,22))),0)))))</f>
        <v>0</v>
      </c>
      <c r="W15" s="27" t="n">
        <f aca="false">IF(COUNT(Aveia!$E13:$Z13)=0,0,MAX(0,IF((W$6-$E$3)&lt;1,0,IFERROR(LOOKUP(2,1/(Aveia!$E13:INDEX(Aveia!$E13:$Z13,MIN(W$6-$E$3,22))&lt;&gt;""),Aveia!$E13:INDEX(Aveia!$E13:$Z13,MIN(W$6-$E$3,22))),0))-IF($G$2,0,IF((W$6-$G$3)&lt;1,0,IFERROR(LOOKUP(2,1/(Aveia!$E13:INDEX(Aveia!$E13:$Z13,MIN(W$6-$G$3,22))&lt;&gt;""),Aveia!$E13:INDEX(Aveia!$E13:$Z13,MIN(W$6-$G$3,22))),0)))))</f>
        <v>0</v>
      </c>
      <c r="X15" s="27" t="n">
        <f aca="false">IF(COUNT(Aveia!$E13:$Z13)=0,0,MAX(0,IF((X$6-$E$3)&lt;1,0,IFERROR(LOOKUP(2,1/(Aveia!$E13:INDEX(Aveia!$E13:$Z13,MIN(X$6-$E$3,22))&lt;&gt;""),Aveia!$E13:INDEX(Aveia!$E13:$Z13,MIN(X$6-$E$3,22))),0))-IF($G$2,0,IF((X$6-$G$3)&lt;1,0,IFERROR(LOOKUP(2,1/(Aveia!$E13:INDEX(Aveia!$E13:$Z13,MIN(X$6-$G$3,22))&lt;&gt;""),Aveia!$E13:INDEX(Aveia!$E13:$Z13,MIN(X$6-$G$3,22))),0)))))</f>
        <v>0</v>
      </c>
      <c r="Y15" s="27" t="n">
        <f aca="false">IF(COUNT(Aveia!$E13:$Z13)=0,0,MAX(0,IF((Y$6-$E$3)&lt;1,0,IFERROR(LOOKUP(2,1/(Aveia!$E13:INDEX(Aveia!$E13:$Z13,MIN(Y$6-$E$3,22))&lt;&gt;""),Aveia!$E13:INDEX(Aveia!$E13:$Z13,MIN(Y$6-$E$3,22))),0))-IF($G$2,0,IF((Y$6-$G$3)&lt;1,0,IFERROR(LOOKUP(2,1/(Aveia!$E13:INDEX(Aveia!$E13:$Z13,MIN(Y$6-$G$3,22))&lt;&gt;""),Aveia!$E13:INDEX(Aveia!$E13:$Z13,MIN(Y$6-$G$3,22))),0)))))</f>
        <v>0</v>
      </c>
      <c r="Z15" s="27" t="n">
        <f aca="false">IF(COUNT(Aveia!$E13:$Z13)=0,0,MAX(0,IF((Z$6-$E$3)&lt;1,0,IFERROR(LOOKUP(2,1/(Aveia!$E13:INDEX(Aveia!$E13:$Z13,MIN(Z$6-$E$3,22))&lt;&gt;""),Aveia!$E13:INDEX(Aveia!$E13:$Z13,MIN(Z$6-$E$3,22))),0))-IF($G$2,0,IF((Z$6-$G$3)&lt;1,0,IFERROR(LOOKUP(2,1/(Aveia!$E13:INDEX(Aveia!$E13:$Z13,MIN(Z$6-$G$3,22))&lt;&gt;""),Aveia!$E13:INDEX(Aveia!$E13:$Z13,MIN(Z$6-$G$3,22))),0)))))</f>
        <v>0</v>
      </c>
      <c r="AA15" s="27" t="n">
        <f aca="false">IF(COUNT(Aveia!$E13:$Z13)=0,0,MAX(0,IF((AA$6-$E$3)&lt;1,0,IFERROR(LOOKUP(2,1/(Aveia!$E13:INDEX(Aveia!$E13:$Z13,MIN(AA$6-$E$3,22))&lt;&gt;""),Aveia!$E13:INDEX(Aveia!$E13:$Z13,MIN(AA$6-$E$3,22))),0))-IF($G$2,0,IF((AA$6-$G$3)&lt;1,0,IFERROR(LOOKUP(2,1/(Aveia!$E13:INDEX(Aveia!$E13:$Z13,MIN(AA$6-$G$3,22))&lt;&gt;""),Aveia!$E13:INDEX(Aveia!$E13:$Z13,MIN(AA$6-$G$3,22))),0)))))</f>
        <v>0</v>
      </c>
      <c r="AB15" s="27" t="n">
        <f aca="false">IF(COUNT(Aveia!$E13:$Z13)=0,0,MAX(0,IF((AB$6-$E$3)&lt;1,0,IFERROR(LOOKUP(2,1/(Aveia!$E13:INDEX(Aveia!$E13:$Z13,MIN(AB$6-$E$3,22))&lt;&gt;""),Aveia!$E13:INDEX(Aveia!$E13:$Z13,MIN(AB$6-$E$3,22))),0))-IF($G$2,0,IF((AB$6-$G$3)&lt;1,0,IFERROR(LOOKUP(2,1/(Aveia!$E13:INDEX(Aveia!$E13:$Z13,MIN(AB$6-$G$3,22))&lt;&gt;""),Aveia!$E13:INDEX(Aveia!$E13:$Z13,MIN(AB$6-$G$3,22))),0)))))</f>
        <v>0</v>
      </c>
      <c r="AC15" s="27" t="n">
        <f aca="false">IF(COUNT(Aveia!$E13:$Z13)=0,0,MAX(0,IF((AC$6-$E$3)&lt;1,0,IFERROR(LOOKUP(2,1/(Aveia!$E13:INDEX(Aveia!$E13:$Z13,MIN(AC$6-$E$3,22))&lt;&gt;""),Aveia!$E13:INDEX(Aveia!$E13:$Z13,MIN(AC$6-$E$3,22))),0))-IF($G$2,0,IF((AC$6-$G$3)&lt;1,0,IFERROR(LOOKUP(2,1/(Aveia!$E13:INDEX(Aveia!$E13:$Z13,MIN(AC$6-$G$3,22))&lt;&gt;""),Aveia!$E13:INDEX(Aveia!$E13:$Z13,MIN(AC$6-$G$3,22))),0)))))</f>
        <v>0</v>
      </c>
      <c r="AD15" s="27" t="n">
        <f aca="false">IF(COUNT(Aveia!$E13:$Z13)=0,0,MAX(0,IF((AD$6-$E$3)&lt;1,0,IFERROR(LOOKUP(2,1/(Aveia!$E13:INDEX(Aveia!$E13:$Z13,MIN(AD$6-$E$3,22))&lt;&gt;""),Aveia!$E13:INDEX(Aveia!$E13:$Z13,MIN(AD$6-$E$3,22))),0))-IF($G$2,0,IF((AD$6-$G$3)&lt;1,0,IFERROR(LOOKUP(2,1/(Aveia!$E13:INDEX(Aveia!$E13:$Z13,MIN(AD$6-$G$3,22))&lt;&gt;""),Aveia!$E13:INDEX(Aveia!$E13:$Z13,MIN(AD$6-$G$3,22))),0)))))</f>
        <v>0</v>
      </c>
      <c r="AE15" s="27" t="n">
        <f aca="false">IF(COUNT(Aveia!$E13:$Z13)=0,0,MAX(0,IF((AE$6-$E$3)&lt;1,0,IFERROR(LOOKUP(2,1/(Aveia!$E13:INDEX(Aveia!$E13:$Z13,MIN(AE$6-$E$3,22))&lt;&gt;""),Aveia!$E13:INDEX(Aveia!$E13:$Z13,MIN(AE$6-$E$3,22))),0))-IF($G$2,0,IF((AE$6-$G$3)&lt;1,0,IFERROR(LOOKUP(2,1/(Aveia!$E13:INDEX(Aveia!$E13:$Z13,MIN(AE$6-$G$3,22))&lt;&gt;""),Aveia!$E13:INDEX(Aveia!$E13:$Z13,MIN(AE$6-$G$3,22))),0)))))</f>
        <v>0</v>
      </c>
      <c r="AF15" s="27" t="n">
        <f aca="false">IF(COUNT(Aveia!$E13:$Z13)=0,0,MAX(0,IF((AF$6-$E$3)&lt;1,0,IFERROR(LOOKUP(2,1/(Aveia!$E13:INDEX(Aveia!$E13:$Z13,MIN(AF$6-$E$3,22))&lt;&gt;""),Aveia!$E13:INDEX(Aveia!$E13:$Z13,MIN(AF$6-$E$3,22))),0))-IF($G$2,0,IF((AF$6-$G$3)&lt;1,0,IFERROR(LOOKUP(2,1/(Aveia!$E13:INDEX(Aveia!$E13:$Z13,MIN(AF$6-$G$3,22))&lt;&gt;""),Aveia!$E13:INDEX(Aveia!$E13:$Z13,MIN(AF$6-$G$3,22))),0)))))</f>
        <v>0</v>
      </c>
      <c r="AG15" s="27" t="n">
        <f aca="false">IF(COUNT(Aveia!$E13:$Z13)=0,0,MAX(0,IF((AG$6-$E$3)&lt;1,0,IFERROR(LOOKUP(2,1/(Aveia!$E13:INDEX(Aveia!$E13:$Z13,MIN(AG$6-$E$3,22))&lt;&gt;""),Aveia!$E13:INDEX(Aveia!$E13:$Z13,MIN(AG$6-$E$3,22))),0))-IF($G$2,0,IF((AG$6-$G$3)&lt;1,0,IFERROR(LOOKUP(2,1/(Aveia!$E13:INDEX(Aveia!$E13:$Z13,MIN(AG$6-$G$3,22))&lt;&gt;""),Aveia!$E13:INDEX(Aveia!$E13:$Z13,MIN(AG$6-$G$3,22))),0)))))</f>
        <v>0</v>
      </c>
      <c r="AH15" s="27" t="n">
        <f aca="false">IF(COUNT(Aveia!$E13:$Z13)=0,0,MAX(0,IF((AH$6-$E$3)&lt;1,0,IFERROR(LOOKUP(2,1/(Aveia!$E13:INDEX(Aveia!$E13:$Z13,MIN(AH$6-$E$3,22))&lt;&gt;""),Aveia!$E13:INDEX(Aveia!$E13:$Z13,MIN(AH$6-$E$3,22))),0))-IF($G$2,0,IF((AH$6-$G$3)&lt;1,0,IFERROR(LOOKUP(2,1/(Aveia!$E13:INDEX(Aveia!$E13:$Z13,MIN(AH$6-$G$3,22))&lt;&gt;""),Aveia!$E13:INDEX(Aveia!$E13:$Z13,MIN(AH$6-$G$3,22))),0)))))</f>
        <v>0</v>
      </c>
      <c r="AI15" s="27" t="n">
        <f aca="false">IF(COUNT(Aveia!$E13:$Z13)=0,0,MAX(0,IF((AI$6-$E$3)&lt;1,0,IFERROR(LOOKUP(2,1/(Aveia!$E13:INDEX(Aveia!$E13:$Z13,MIN(AI$6-$E$3,22))&lt;&gt;""),Aveia!$E13:INDEX(Aveia!$E13:$Z13,MIN(AI$6-$E$3,22))),0))-IF($G$2,0,IF((AI$6-$G$3)&lt;1,0,IFERROR(LOOKUP(2,1/(Aveia!$E13:INDEX(Aveia!$E13:$Z13,MIN(AI$6-$G$3,22))&lt;&gt;""),Aveia!$E13:INDEX(Aveia!$E13:$Z13,MIN(AI$6-$G$3,22))),0)))))</f>
        <v>0</v>
      </c>
      <c r="AJ15" s="27" t="n">
        <f aca="false">IF(COUNT(Aveia!$E13:$Z13)=0,0,MAX(0,IF((AJ$6-$E$3)&lt;1,0,IFERROR(LOOKUP(2,1/(Aveia!$E13:INDEX(Aveia!$E13:$Z13,MIN(AJ$6-$E$3,22))&lt;&gt;""),Aveia!$E13:INDEX(Aveia!$E13:$Z13,MIN(AJ$6-$E$3,22))),0))-IF($G$2,0,IF((AJ$6-$G$3)&lt;1,0,IFERROR(LOOKUP(2,1/(Aveia!$E13:INDEX(Aveia!$E13:$Z13,MIN(AJ$6-$G$3,22))&lt;&gt;""),Aveia!$E13:INDEX(Aveia!$E13:$Z13,MIN(AJ$6-$G$3,22))),0)))))</f>
        <v>0</v>
      </c>
      <c r="AK15" s="27" t="n">
        <f aca="false">IF(COUNT(Aveia!$E13:$Z13)=0,0,MAX(0,IF((AK$6-$E$3)&lt;1,0,IFERROR(LOOKUP(2,1/(Aveia!$E13:INDEX(Aveia!$E13:$Z13,MIN(AK$6-$E$3,22))&lt;&gt;""),Aveia!$E13:INDEX(Aveia!$E13:$Z13,MIN(AK$6-$E$3,22))),0))-IF($G$2,0,IF((AK$6-$G$3)&lt;1,0,IFERROR(LOOKUP(2,1/(Aveia!$E13:INDEX(Aveia!$E13:$Z13,MIN(AK$6-$G$3,22))&lt;&gt;""),Aveia!$E13:INDEX(Aveia!$E13:$Z13,MIN(AK$6-$G$3,22))),0)))))</f>
        <v>0</v>
      </c>
      <c r="AL15" s="27" t="n">
        <f aca="false">IF(COUNT(Aveia!$E13:$Z13)=0,0,MAX(0,IF((AL$6-$E$3)&lt;1,0,IFERROR(LOOKUP(2,1/(Aveia!$E13:INDEX(Aveia!$E13:$Z13,MIN(AL$6-$E$3,22))&lt;&gt;""),Aveia!$E13:INDEX(Aveia!$E13:$Z13,MIN(AL$6-$E$3,22))),0))-IF($G$2,0,IF((AL$6-$G$3)&lt;1,0,IFERROR(LOOKUP(2,1/(Aveia!$E13:INDEX(Aveia!$E13:$Z13,MIN(AL$6-$G$3,22))&lt;&gt;""),Aveia!$E13:INDEX(Aveia!$E13:$Z13,MIN(AL$6-$G$3,22))),0)))))</f>
        <v>0</v>
      </c>
      <c r="AM15" s="27" t="n">
        <f aca="false">IF(COUNT(Aveia!$E13:$Z13)=0,0,MAX(0,IF((AM$6-$E$3)&lt;1,0,IFERROR(LOOKUP(2,1/(Aveia!$E13:INDEX(Aveia!$E13:$Z13,MIN(AM$6-$E$3,22))&lt;&gt;""),Aveia!$E13:INDEX(Aveia!$E13:$Z13,MIN(AM$6-$E$3,22))),0))-IF($G$2,0,IF((AM$6-$G$3)&lt;1,0,IFERROR(LOOKUP(2,1/(Aveia!$E13:INDEX(Aveia!$E13:$Z13,MIN(AM$6-$G$3,22))&lt;&gt;""),Aveia!$E13:INDEX(Aveia!$E13:$Z13,MIN(AM$6-$G$3,22))),0)))))</f>
        <v>0</v>
      </c>
      <c r="AN15" s="27" t="n">
        <f aca="false">IF(COUNT(Aveia!$E13:$Z13)=0,0,MAX(0,IF((AN$6-$E$3)&lt;1,0,IFERROR(LOOKUP(2,1/(Aveia!$E13:INDEX(Aveia!$E13:$Z13,MIN(AN$6-$E$3,22))&lt;&gt;""),Aveia!$E13:INDEX(Aveia!$E13:$Z13,MIN(AN$6-$E$3,22))),0))-IF($G$2,0,IF((AN$6-$G$3)&lt;1,0,IFERROR(LOOKUP(2,1/(Aveia!$E13:INDEX(Aveia!$E13:$Z13,MIN(AN$6-$G$3,22))&lt;&gt;""),Aveia!$E13:INDEX(Aveia!$E13:$Z13,MIN(AN$6-$G$3,22))),0)))))</f>
        <v>0</v>
      </c>
      <c r="AO15" s="27" t="n">
        <f aca="false">IF(COUNT(Aveia!$E13:$Z13)=0,0,MAX(0,IF((AO$6-$E$3)&lt;1,0,IFERROR(LOOKUP(2,1/(Aveia!$E13:INDEX(Aveia!$E13:$Z13,MIN(AO$6-$E$3,22))&lt;&gt;""),Aveia!$E13:INDEX(Aveia!$E13:$Z13,MIN(AO$6-$E$3,22))),0))-IF($G$2,0,IF((AO$6-$G$3)&lt;1,0,IFERROR(LOOKUP(2,1/(Aveia!$E13:INDEX(Aveia!$E13:$Z13,MIN(AO$6-$G$3,22))&lt;&gt;""),Aveia!$E13:INDEX(Aveia!$E13:$Z13,MIN(AO$6-$G$3,22))),0)))))</f>
        <v>0</v>
      </c>
      <c r="AP15" s="27" t="n">
        <f aca="false">IF(COUNT(Aveia!$E13:$Z13)=0,0,MAX(0,IF((AP$6-$E$3)&lt;1,0,IFERROR(LOOKUP(2,1/(Aveia!$E13:INDEX(Aveia!$E13:$Z13,MIN(AP$6-$E$3,22))&lt;&gt;""),Aveia!$E13:INDEX(Aveia!$E13:$Z13,MIN(AP$6-$E$3,22))),0))-IF($G$2,0,IF((AP$6-$G$3)&lt;1,0,IFERROR(LOOKUP(2,1/(Aveia!$E13:INDEX(Aveia!$E13:$Z13,MIN(AP$6-$G$3,22))&lt;&gt;""),Aveia!$E13:INDEX(Aveia!$E13:$Z13,MIN(AP$6-$G$3,22))),0)))))</f>
        <v>0</v>
      </c>
      <c r="AQ15" s="27" t="n">
        <f aca="false">IF(COUNT(Aveia!$E13:$Z13)=0,0,MAX(0,IF((AQ$6-$E$3)&lt;1,0,IFERROR(LOOKUP(2,1/(Aveia!$E13:INDEX(Aveia!$E13:$Z13,MIN(AQ$6-$E$3,22))&lt;&gt;""),Aveia!$E13:INDEX(Aveia!$E13:$Z13,MIN(AQ$6-$E$3,22))),0))-IF($G$2,0,IF((AQ$6-$G$3)&lt;1,0,IFERROR(LOOKUP(2,1/(Aveia!$E13:INDEX(Aveia!$E13:$Z13,MIN(AQ$6-$G$3,22))&lt;&gt;""),Aveia!$E13:INDEX(Aveia!$E13:$Z13,MIN(AQ$6-$G$3,22))),0)))))</f>
        <v>0</v>
      </c>
      <c r="AR15" s="27" t="n">
        <f aca="false">IF(COUNT(Aveia!$E13:$Z13)=0,0,MAX(0,IF((AR$6-$E$3)&lt;1,0,IFERROR(LOOKUP(2,1/(Aveia!$E13:INDEX(Aveia!$E13:$Z13,MIN(AR$6-$E$3,22))&lt;&gt;""),Aveia!$E13:INDEX(Aveia!$E13:$Z13,MIN(AR$6-$E$3,22))),0))-IF($G$2,0,IF((AR$6-$G$3)&lt;1,0,IFERROR(LOOKUP(2,1/(Aveia!$E13:INDEX(Aveia!$E13:$Z13,MIN(AR$6-$G$3,22))&lt;&gt;""),Aveia!$E13:INDEX(Aveia!$E13:$Z13,MIN(AR$6-$G$3,22))),0)))))</f>
        <v>0</v>
      </c>
      <c r="AS15" s="27" t="n">
        <f aca="false">IF(COUNT(Aveia!$E13:$Z13)=0,0,MAX(0,IF((AS$6-$E$3)&lt;1,0,IFERROR(LOOKUP(2,1/(Aveia!$E13:INDEX(Aveia!$E13:$Z13,MIN(AS$6-$E$3,22))&lt;&gt;""),Aveia!$E13:INDEX(Aveia!$E13:$Z13,MIN(AS$6-$E$3,22))),0))-IF($G$2,0,IF((AS$6-$G$3)&lt;1,0,IFERROR(LOOKUP(2,1/(Aveia!$E13:INDEX(Aveia!$E13:$Z13,MIN(AS$6-$G$3,22))&lt;&gt;""),Aveia!$E13:INDEX(Aveia!$E13:$Z13,MIN(AS$6-$G$3,22))),0)))))</f>
        <v>0</v>
      </c>
      <c r="AT15" s="27" t="n">
        <f aca="false">IF(COUNT(Aveia!$E13:$Z13)=0,0,MAX(0,IF((AT$6-$E$3)&lt;1,0,IFERROR(LOOKUP(2,1/(Aveia!$E13:INDEX(Aveia!$E13:$Z13,MIN(AT$6-$E$3,22))&lt;&gt;""),Aveia!$E13:INDEX(Aveia!$E13:$Z13,MIN(AT$6-$E$3,22))),0))-IF($G$2,0,IF((AT$6-$G$3)&lt;1,0,IFERROR(LOOKUP(2,1/(Aveia!$E13:INDEX(Aveia!$E13:$Z13,MIN(AT$6-$G$3,22))&lt;&gt;""),Aveia!$E13:INDEX(Aveia!$E13:$Z13,MIN(AT$6-$G$3,22))),0)))))</f>
        <v>0</v>
      </c>
      <c r="AU15" s="27" t="n">
        <f aca="false">IF(COUNT(Aveia!$E13:$Z13)=0,0,MAX(0,IF((AU$6-$E$3)&lt;1,0,IFERROR(LOOKUP(2,1/(Aveia!$E13:INDEX(Aveia!$E13:$Z13,MIN(AU$6-$E$3,22))&lt;&gt;""),Aveia!$E13:INDEX(Aveia!$E13:$Z13,MIN(AU$6-$E$3,22))),0))-IF($G$2,0,IF((AU$6-$G$3)&lt;1,0,IFERROR(LOOKUP(2,1/(Aveia!$E13:INDEX(Aveia!$E13:$Z13,MIN(AU$6-$G$3,22))&lt;&gt;""),Aveia!$E13:INDEX(Aveia!$E13:$Z13,MIN(AU$6-$G$3,22))),0)))))</f>
        <v>0</v>
      </c>
      <c r="AV15" s="27" t="n">
        <f aca="false">IF(COUNT(Aveia!$E13:$Z13)=0,0,MAX(0,IF((AV$6-$E$3)&lt;1,0,IFERROR(LOOKUP(2,1/(Aveia!$E13:INDEX(Aveia!$E13:$Z13,MIN(AV$6-$E$3,22))&lt;&gt;""),Aveia!$E13:INDEX(Aveia!$E13:$Z13,MIN(AV$6-$E$3,22))),0))-IF($G$2,0,IF((AV$6-$G$3)&lt;1,0,IFERROR(LOOKUP(2,1/(Aveia!$E13:INDEX(Aveia!$E13:$Z13,MIN(AV$6-$G$3,22))&lt;&gt;""),Aveia!$E13:INDEX(Aveia!$E13:$Z13,MIN(AV$6-$G$3,22))),0)))))</f>
        <v>0</v>
      </c>
      <c r="AW15" s="27" t="n">
        <f aca="false">IF(COUNT(Aveia!$E13:$Z13)=0,0,MAX(0,IF((AW$6-$E$3)&lt;1,0,IFERROR(LOOKUP(2,1/(Aveia!$E13:INDEX(Aveia!$E13:$Z13,MIN(AW$6-$E$3,22))&lt;&gt;""),Aveia!$E13:INDEX(Aveia!$E13:$Z13,MIN(AW$6-$E$3,22))),0))-IF($G$2,0,IF((AW$6-$G$3)&lt;1,0,IFERROR(LOOKUP(2,1/(Aveia!$E13:INDEX(Aveia!$E13:$Z13,MIN(AW$6-$G$3,22))&lt;&gt;""),Aveia!$E13:INDEX(Aveia!$E13:$Z13,MIN(AW$6-$G$3,22))),0)))))</f>
        <v>0</v>
      </c>
      <c r="AX15" s="27" t="n">
        <f aca="false">IF(COUNT(Aveia!$E13:$Z13)=0,0,MAX(0,IF((AX$6-$E$3)&lt;1,0,IFERROR(LOOKUP(2,1/(Aveia!$E13:INDEX(Aveia!$E13:$Z13,MIN(AX$6-$E$3,22))&lt;&gt;""),Aveia!$E13:INDEX(Aveia!$E13:$Z13,MIN(AX$6-$E$3,22))),0))-IF($G$2,0,IF((AX$6-$G$3)&lt;1,0,IFERROR(LOOKUP(2,1/(Aveia!$E13:INDEX(Aveia!$E13:$Z13,MIN(AX$6-$G$3,22))&lt;&gt;""),Aveia!$E13:INDEX(Aveia!$E13:$Z13,MIN(AX$6-$G$3,22))),0)))))</f>
        <v>0</v>
      </c>
      <c r="AY15" s="27" t="n">
        <f aca="false">IF(COUNT(Aveia!$E13:$Z13)=0,0,MAX(0,IF((AY$6-$E$3)&lt;1,0,IFERROR(LOOKUP(2,1/(Aveia!$E13:INDEX(Aveia!$E13:$Z13,MIN(AY$6-$E$3,22))&lt;&gt;""),Aveia!$E13:INDEX(Aveia!$E13:$Z13,MIN(AY$6-$E$3,22))),0))-IF($G$2,0,IF((AY$6-$G$3)&lt;1,0,IFERROR(LOOKUP(2,1/(Aveia!$E13:INDEX(Aveia!$E13:$Z13,MIN(AY$6-$G$3,22))&lt;&gt;""),Aveia!$E13:INDEX(Aveia!$E13:$Z13,MIN(AY$6-$G$3,22))),0)))))</f>
        <v>0</v>
      </c>
      <c r="AZ15" s="27" t="n">
        <f aca="false">IF(COUNT(Aveia!$E13:$Z13)=0,0,MAX(0,IF((AZ$6-$E$3)&lt;1,0,IFERROR(LOOKUP(2,1/(Aveia!$E13:INDEX(Aveia!$E13:$Z13,MIN(AZ$6-$E$3,22))&lt;&gt;""),Aveia!$E13:INDEX(Aveia!$E13:$Z13,MIN(AZ$6-$E$3,22))),0))-IF($G$2,0,IF((AZ$6-$G$3)&lt;1,0,IFERROR(LOOKUP(2,1/(Aveia!$E13:INDEX(Aveia!$E13:$Z13,MIN(AZ$6-$G$3,22))&lt;&gt;""),Aveia!$E13:INDEX(Aveia!$E13:$Z13,MIN(AZ$6-$G$3,22))),0)))))</f>
        <v>0</v>
      </c>
    </row>
    <row r="16" customFormat="false" ht="15" hidden="false" customHeight="false" outlineLevel="0" collapsed="false">
      <c r="A16" s="3" t="s">
        <v>151</v>
      </c>
      <c r="B16" s="3" t="s">
        <v>152</v>
      </c>
      <c r="C16" s="10" t="s">
        <v>145</v>
      </c>
      <c r="D16" s="26" t="n">
        <f aca="false">IF(COUNT(Aveia!$E14:$Z14)&gt;0,N(Aveia!$D14),0)</f>
        <v>0</v>
      </c>
      <c r="E16" s="27" t="n">
        <f aca="false">IF(COUNT(Aveia!$E14:$Z14)=0,0,MAX(0,IF((E$6-$E$3)&lt;1,0,IFERROR(LOOKUP(2,1/(Aveia!$E14:INDEX(Aveia!$E14:$Z14,MIN(E$6-$E$3,22))&lt;&gt;""),Aveia!$E14:INDEX(Aveia!$E14:$Z14,MIN(E$6-$E$3,22))),0))-IF($G$2,0,IF((E$6-$G$3)&lt;1,0,IFERROR(LOOKUP(2,1/(Aveia!$E14:INDEX(Aveia!$E14:$Z14,MIN(E$6-$G$3,22))&lt;&gt;""),Aveia!$E14:INDEX(Aveia!$E14:$Z14,MIN(E$6-$G$3,22))),0)))))</f>
        <v>0</v>
      </c>
      <c r="F16" s="27" t="n">
        <f aca="false">IF(COUNT(Aveia!$E14:$Z14)=0,0,MAX(0,IF((F$6-$E$3)&lt;1,0,IFERROR(LOOKUP(2,1/(Aveia!$E14:INDEX(Aveia!$E14:$Z14,MIN(F$6-$E$3,22))&lt;&gt;""),Aveia!$E14:INDEX(Aveia!$E14:$Z14,MIN(F$6-$E$3,22))),0))-IF($G$2,0,IF((F$6-$G$3)&lt;1,0,IFERROR(LOOKUP(2,1/(Aveia!$E14:INDEX(Aveia!$E14:$Z14,MIN(F$6-$G$3,22))&lt;&gt;""),Aveia!$E14:INDEX(Aveia!$E14:$Z14,MIN(F$6-$G$3,22))),0)))))</f>
        <v>0</v>
      </c>
      <c r="G16" s="27" t="n">
        <f aca="false">IF(COUNT(Aveia!$E14:$Z14)=0,0,MAX(0,IF((G$6-$E$3)&lt;1,0,IFERROR(LOOKUP(2,1/(Aveia!$E14:INDEX(Aveia!$E14:$Z14,MIN(G$6-$E$3,22))&lt;&gt;""),Aveia!$E14:INDEX(Aveia!$E14:$Z14,MIN(G$6-$E$3,22))),0))-IF($G$2,0,IF((G$6-$G$3)&lt;1,0,IFERROR(LOOKUP(2,1/(Aveia!$E14:INDEX(Aveia!$E14:$Z14,MIN(G$6-$G$3,22))&lt;&gt;""),Aveia!$E14:INDEX(Aveia!$E14:$Z14,MIN(G$6-$G$3,22))),0)))))</f>
        <v>0</v>
      </c>
      <c r="H16" s="27" t="n">
        <f aca="false">IF(COUNT(Aveia!$E14:$Z14)=0,0,MAX(0,IF((H$6-$E$3)&lt;1,0,IFERROR(LOOKUP(2,1/(Aveia!$E14:INDEX(Aveia!$E14:$Z14,MIN(H$6-$E$3,22))&lt;&gt;""),Aveia!$E14:INDEX(Aveia!$E14:$Z14,MIN(H$6-$E$3,22))),0))-IF($G$2,0,IF((H$6-$G$3)&lt;1,0,IFERROR(LOOKUP(2,1/(Aveia!$E14:INDEX(Aveia!$E14:$Z14,MIN(H$6-$G$3,22))&lt;&gt;""),Aveia!$E14:INDEX(Aveia!$E14:$Z14,MIN(H$6-$G$3,22))),0)))))</f>
        <v>0</v>
      </c>
      <c r="I16" s="27" t="n">
        <f aca="false">IF(COUNT(Aveia!$E14:$Z14)=0,0,MAX(0,IF((I$6-$E$3)&lt;1,0,IFERROR(LOOKUP(2,1/(Aveia!$E14:INDEX(Aveia!$E14:$Z14,MIN(I$6-$E$3,22))&lt;&gt;""),Aveia!$E14:INDEX(Aveia!$E14:$Z14,MIN(I$6-$E$3,22))),0))-IF($G$2,0,IF((I$6-$G$3)&lt;1,0,IFERROR(LOOKUP(2,1/(Aveia!$E14:INDEX(Aveia!$E14:$Z14,MIN(I$6-$G$3,22))&lt;&gt;""),Aveia!$E14:INDEX(Aveia!$E14:$Z14,MIN(I$6-$G$3,22))),0)))))</f>
        <v>0</v>
      </c>
      <c r="J16" s="27" t="n">
        <f aca="false">IF(COUNT(Aveia!$E14:$Z14)=0,0,MAX(0,IF((J$6-$E$3)&lt;1,0,IFERROR(LOOKUP(2,1/(Aveia!$E14:INDEX(Aveia!$E14:$Z14,MIN(J$6-$E$3,22))&lt;&gt;""),Aveia!$E14:INDEX(Aveia!$E14:$Z14,MIN(J$6-$E$3,22))),0))-IF($G$2,0,IF((J$6-$G$3)&lt;1,0,IFERROR(LOOKUP(2,1/(Aveia!$E14:INDEX(Aveia!$E14:$Z14,MIN(J$6-$G$3,22))&lt;&gt;""),Aveia!$E14:INDEX(Aveia!$E14:$Z14,MIN(J$6-$G$3,22))),0)))))</f>
        <v>0</v>
      </c>
      <c r="K16" s="27" t="n">
        <f aca="false">IF(COUNT(Aveia!$E14:$Z14)=0,0,MAX(0,IF((K$6-$E$3)&lt;1,0,IFERROR(LOOKUP(2,1/(Aveia!$E14:INDEX(Aveia!$E14:$Z14,MIN(K$6-$E$3,22))&lt;&gt;""),Aveia!$E14:INDEX(Aveia!$E14:$Z14,MIN(K$6-$E$3,22))),0))-IF($G$2,0,IF((K$6-$G$3)&lt;1,0,IFERROR(LOOKUP(2,1/(Aveia!$E14:INDEX(Aveia!$E14:$Z14,MIN(K$6-$G$3,22))&lt;&gt;""),Aveia!$E14:INDEX(Aveia!$E14:$Z14,MIN(K$6-$G$3,22))),0)))))</f>
        <v>0</v>
      </c>
      <c r="L16" s="27" t="n">
        <f aca="false">IF(COUNT(Aveia!$E14:$Z14)=0,0,MAX(0,IF((L$6-$E$3)&lt;1,0,IFERROR(LOOKUP(2,1/(Aveia!$E14:INDEX(Aveia!$E14:$Z14,MIN(L$6-$E$3,22))&lt;&gt;""),Aveia!$E14:INDEX(Aveia!$E14:$Z14,MIN(L$6-$E$3,22))),0))-IF($G$2,0,IF((L$6-$G$3)&lt;1,0,IFERROR(LOOKUP(2,1/(Aveia!$E14:INDEX(Aveia!$E14:$Z14,MIN(L$6-$G$3,22))&lt;&gt;""),Aveia!$E14:INDEX(Aveia!$E14:$Z14,MIN(L$6-$G$3,22))),0)))))</f>
        <v>0</v>
      </c>
      <c r="M16" s="27" t="n">
        <f aca="false">IF(COUNT(Aveia!$E14:$Z14)=0,0,MAX(0,IF((M$6-$E$3)&lt;1,0,IFERROR(LOOKUP(2,1/(Aveia!$E14:INDEX(Aveia!$E14:$Z14,MIN(M$6-$E$3,22))&lt;&gt;""),Aveia!$E14:INDEX(Aveia!$E14:$Z14,MIN(M$6-$E$3,22))),0))-IF($G$2,0,IF((M$6-$G$3)&lt;1,0,IFERROR(LOOKUP(2,1/(Aveia!$E14:INDEX(Aveia!$E14:$Z14,MIN(M$6-$G$3,22))&lt;&gt;""),Aveia!$E14:INDEX(Aveia!$E14:$Z14,MIN(M$6-$G$3,22))),0)))))</f>
        <v>0</v>
      </c>
      <c r="N16" s="27" t="n">
        <f aca="false">IF(COUNT(Aveia!$E14:$Z14)=0,0,MAX(0,IF((N$6-$E$3)&lt;1,0,IFERROR(LOOKUP(2,1/(Aveia!$E14:INDEX(Aveia!$E14:$Z14,MIN(N$6-$E$3,22))&lt;&gt;""),Aveia!$E14:INDEX(Aveia!$E14:$Z14,MIN(N$6-$E$3,22))),0))-IF($G$2,0,IF((N$6-$G$3)&lt;1,0,IFERROR(LOOKUP(2,1/(Aveia!$E14:INDEX(Aveia!$E14:$Z14,MIN(N$6-$G$3,22))&lt;&gt;""),Aveia!$E14:INDEX(Aveia!$E14:$Z14,MIN(N$6-$G$3,22))),0)))))</f>
        <v>0</v>
      </c>
      <c r="O16" s="27" t="n">
        <f aca="false">IF(COUNT(Aveia!$E14:$Z14)=0,0,MAX(0,IF((O$6-$E$3)&lt;1,0,IFERROR(LOOKUP(2,1/(Aveia!$E14:INDEX(Aveia!$E14:$Z14,MIN(O$6-$E$3,22))&lt;&gt;""),Aveia!$E14:INDEX(Aveia!$E14:$Z14,MIN(O$6-$E$3,22))),0))-IF($G$2,0,IF((O$6-$G$3)&lt;1,0,IFERROR(LOOKUP(2,1/(Aveia!$E14:INDEX(Aveia!$E14:$Z14,MIN(O$6-$G$3,22))&lt;&gt;""),Aveia!$E14:INDEX(Aveia!$E14:$Z14,MIN(O$6-$G$3,22))),0)))))</f>
        <v>0</v>
      </c>
      <c r="P16" s="27" t="n">
        <f aca="false">IF(COUNT(Aveia!$E14:$Z14)=0,0,MAX(0,IF((P$6-$E$3)&lt;1,0,IFERROR(LOOKUP(2,1/(Aveia!$E14:INDEX(Aveia!$E14:$Z14,MIN(P$6-$E$3,22))&lt;&gt;""),Aveia!$E14:INDEX(Aveia!$E14:$Z14,MIN(P$6-$E$3,22))),0))-IF($G$2,0,IF((P$6-$G$3)&lt;1,0,IFERROR(LOOKUP(2,1/(Aveia!$E14:INDEX(Aveia!$E14:$Z14,MIN(P$6-$G$3,22))&lt;&gt;""),Aveia!$E14:INDEX(Aveia!$E14:$Z14,MIN(P$6-$G$3,22))),0)))))</f>
        <v>0</v>
      </c>
      <c r="Q16" s="27" t="n">
        <f aca="false">IF(COUNT(Aveia!$E14:$Z14)=0,0,MAX(0,IF((Q$6-$E$3)&lt;1,0,IFERROR(LOOKUP(2,1/(Aveia!$E14:INDEX(Aveia!$E14:$Z14,MIN(Q$6-$E$3,22))&lt;&gt;""),Aveia!$E14:INDEX(Aveia!$E14:$Z14,MIN(Q$6-$E$3,22))),0))-IF($G$2,0,IF((Q$6-$G$3)&lt;1,0,IFERROR(LOOKUP(2,1/(Aveia!$E14:INDEX(Aveia!$E14:$Z14,MIN(Q$6-$G$3,22))&lt;&gt;""),Aveia!$E14:INDEX(Aveia!$E14:$Z14,MIN(Q$6-$G$3,22))),0)))))</f>
        <v>0</v>
      </c>
      <c r="R16" s="27" t="n">
        <f aca="false">IF(COUNT(Aveia!$E14:$Z14)=0,0,MAX(0,IF((R$6-$E$3)&lt;1,0,IFERROR(LOOKUP(2,1/(Aveia!$E14:INDEX(Aveia!$E14:$Z14,MIN(R$6-$E$3,22))&lt;&gt;""),Aveia!$E14:INDEX(Aveia!$E14:$Z14,MIN(R$6-$E$3,22))),0))-IF($G$2,0,IF((R$6-$G$3)&lt;1,0,IFERROR(LOOKUP(2,1/(Aveia!$E14:INDEX(Aveia!$E14:$Z14,MIN(R$6-$G$3,22))&lt;&gt;""),Aveia!$E14:INDEX(Aveia!$E14:$Z14,MIN(R$6-$G$3,22))),0)))))</f>
        <v>0</v>
      </c>
      <c r="S16" s="27" t="n">
        <f aca="false">IF(COUNT(Aveia!$E14:$Z14)=0,0,MAX(0,IF((S$6-$E$3)&lt;1,0,IFERROR(LOOKUP(2,1/(Aveia!$E14:INDEX(Aveia!$E14:$Z14,MIN(S$6-$E$3,22))&lt;&gt;""),Aveia!$E14:INDEX(Aveia!$E14:$Z14,MIN(S$6-$E$3,22))),0))-IF($G$2,0,IF((S$6-$G$3)&lt;1,0,IFERROR(LOOKUP(2,1/(Aveia!$E14:INDEX(Aveia!$E14:$Z14,MIN(S$6-$G$3,22))&lt;&gt;""),Aveia!$E14:INDEX(Aveia!$E14:$Z14,MIN(S$6-$G$3,22))),0)))))</f>
        <v>0</v>
      </c>
      <c r="T16" s="27" t="n">
        <f aca="false">IF(COUNT(Aveia!$E14:$Z14)=0,0,MAX(0,IF((T$6-$E$3)&lt;1,0,IFERROR(LOOKUP(2,1/(Aveia!$E14:INDEX(Aveia!$E14:$Z14,MIN(T$6-$E$3,22))&lt;&gt;""),Aveia!$E14:INDEX(Aveia!$E14:$Z14,MIN(T$6-$E$3,22))),0))-IF($G$2,0,IF((T$6-$G$3)&lt;1,0,IFERROR(LOOKUP(2,1/(Aveia!$E14:INDEX(Aveia!$E14:$Z14,MIN(T$6-$G$3,22))&lt;&gt;""),Aveia!$E14:INDEX(Aveia!$E14:$Z14,MIN(T$6-$G$3,22))),0)))))</f>
        <v>0</v>
      </c>
      <c r="U16" s="27" t="n">
        <f aca="false">IF(COUNT(Aveia!$E14:$Z14)=0,0,MAX(0,IF((U$6-$E$3)&lt;1,0,IFERROR(LOOKUP(2,1/(Aveia!$E14:INDEX(Aveia!$E14:$Z14,MIN(U$6-$E$3,22))&lt;&gt;""),Aveia!$E14:INDEX(Aveia!$E14:$Z14,MIN(U$6-$E$3,22))),0))-IF($G$2,0,IF((U$6-$G$3)&lt;1,0,IFERROR(LOOKUP(2,1/(Aveia!$E14:INDEX(Aveia!$E14:$Z14,MIN(U$6-$G$3,22))&lt;&gt;""),Aveia!$E14:INDEX(Aveia!$E14:$Z14,MIN(U$6-$G$3,22))),0)))))</f>
        <v>0</v>
      </c>
      <c r="V16" s="27" t="n">
        <f aca="false">IF(COUNT(Aveia!$E14:$Z14)=0,0,MAX(0,IF((V$6-$E$3)&lt;1,0,IFERROR(LOOKUP(2,1/(Aveia!$E14:INDEX(Aveia!$E14:$Z14,MIN(V$6-$E$3,22))&lt;&gt;""),Aveia!$E14:INDEX(Aveia!$E14:$Z14,MIN(V$6-$E$3,22))),0))-IF($G$2,0,IF((V$6-$G$3)&lt;1,0,IFERROR(LOOKUP(2,1/(Aveia!$E14:INDEX(Aveia!$E14:$Z14,MIN(V$6-$G$3,22))&lt;&gt;""),Aveia!$E14:INDEX(Aveia!$E14:$Z14,MIN(V$6-$G$3,22))),0)))))</f>
        <v>0</v>
      </c>
      <c r="W16" s="27" t="n">
        <f aca="false">IF(COUNT(Aveia!$E14:$Z14)=0,0,MAX(0,IF((W$6-$E$3)&lt;1,0,IFERROR(LOOKUP(2,1/(Aveia!$E14:INDEX(Aveia!$E14:$Z14,MIN(W$6-$E$3,22))&lt;&gt;""),Aveia!$E14:INDEX(Aveia!$E14:$Z14,MIN(W$6-$E$3,22))),0))-IF($G$2,0,IF((W$6-$G$3)&lt;1,0,IFERROR(LOOKUP(2,1/(Aveia!$E14:INDEX(Aveia!$E14:$Z14,MIN(W$6-$G$3,22))&lt;&gt;""),Aveia!$E14:INDEX(Aveia!$E14:$Z14,MIN(W$6-$G$3,22))),0)))))</f>
        <v>0</v>
      </c>
      <c r="X16" s="27" t="n">
        <f aca="false">IF(COUNT(Aveia!$E14:$Z14)=0,0,MAX(0,IF((X$6-$E$3)&lt;1,0,IFERROR(LOOKUP(2,1/(Aveia!$E14:INDEX(Aveia!$E14:$Z14,MIN(X$6-$E$3,22))&lt;&gt;""),Aveia!$E14:INDEX(Aveia!$E14:$Z14,MIN(X$6-$E$3,22))),0))-IF($G$2,0,IF((X$6-$G$3)&lt;1,0,IFERROR(LOOKUP(2,1/(Aveia!$E14:INDEX(Aveia!$E14:$Z14,MIN(X$6-$G$3,22))&lt;&gt;""),Aveia!$E14:INDEX(Aveia!$E14:$Z14,MIN(X$6-$G$3,22))),0)))))</f>
        <v>0</v>
      </c>
      <c r="Y16" s="27" t="n">
        <f aca="false">IF(COUNT(Aveia!$E14:$Z14)=0,0,MAX(0,IF((Y$6-$E$3)&lt;1,0,IFERROR(LOOKUP(2,1/(Aveia!$E14:INDEX(Aveia!$E14:$Z14,MIN(Y$6-$E$3,22))&lt;&gt;""),Aveia!$E14:INDEX(Aveia!$E14:$Z14,MIN(Y$6-$E$3,22))),0))-IF($G$2,0,IF((Y$6-$G$3)&lt;1,0,IFERROR(LOOKUP(2,1/(Aveia!$E14:INDEX(Aveia!$E14:$Z14,MIN(Y$6-$G$3,22))&lt;&gt;""),Aveia!$E14:INDEX(Aveia!$E14:$Z14,MIN(Y$6-$G$3,22))),0)))))</f>
        <v>0</v>
      </c>
      <c r="Z16" s="27" t="n">
        <f aca="false">IF(COUNT(Aveia!$E14:$Z14)=0,0,MAX(0,IF((Z$6-$E$3)&lt;1,0,IFERROR(LOOKUP(2,1/(Aveia!$E14:INDEX(Aveia!$E14:$Z14,MIN(Z$6-$E$3,22))&lt;&gt;""),Aveia!$E14:INDEX(Aveia!$E14:$Z14,MIN(Z$6-$E$3,22))),0))-IF($G$2,0,IF((Z$6-$G$3)&lt;1,0,IFERROR(LOOKUP(2,1/(Aveia!$E14:INDEX(Aveia!$E14:$Z14,MIN(Z$6-$G$3,22))&lt;&gt;""),Aveia!$E14:INDEX(Aveia!$E14:$Z14,MIN(Z$6-$G$3,22))),0)))))</f>
        <v>0</v>
      </c>
      <c r="AA16" s="27" t="n">
        <f aca="false">IF(COUNT(Aveia!$E14:$Z14)=0,0,MAX(0,IF((AA$6-$E$3)&lt;1,0,IFERROR(LOOKUP(2,1/(Aveia!$E14:INDEX(Aveia!$E14:$Z14,MIN(AA$6-$E$3,22))&lt;&gt;""),Aveia!$E14:INDEX(Aveia!$E14:$Z14,MIN(AA$6-$E$3,22))),0))-IF($G$2,0,IF((AA$6-$G$3)&lt;1,0,IFERROR(LOOKUP(2,1/(Aveia!$E14:INDEX(Aveia!$E14:$Z14,MIN(AA$6-$G$3,22))&lt;&gt;""),Aveia!$E14:INDEX(Aveia!$E14:$Z14,MIN(AA$6-$G$3,22))),0)))))</f>
        <v>0</v>
      </c>
      <c r="AB16" s="27" t="n">
        <f aca="false">IF(COUNT(Aveia!$E14:$Z14)=0,0,MAX(0,IF((AB$6-$E$3)&lt;1,0,IFERROR(LOOKUP(2,1/(Aveia!$E14:INDEX(Aveia!$E14:$Z14,MIN(AB$6-$E$3,22))&lt;&gt;""),Aveia!$E14:INDEX(Aveia!$E14:$Z14,MIN(AB$6-$E$3,22))),0))-IF($G$2,0,IF((AB$6-$G$3)&lt;1,0,IFERROR(LOOKUP(2,1/(Aveia!$E14:INDEX(Aveia!$E14:$Z14,MIN(AB$6-$G$3,22))&lt;&gt;""),Aveia!$E14:INDEX(Aveia!$E14:$Z14,MIN(AB$6-$G$3,22))),0)))))</f>
        <v>0</v>
      </c>
      <c r="AC16" s="27" t="n">
        <f aca="false">IF(COUNT(Aveia!$E14:$Z14)=0,0,MAX(0,IF((AC$6-$E$3)&lt;1,0,IFERROR(LOOKUP(2,1/(Aveia!$E14:INDEX(Aveia!$E14:$Z14,MIN(AC$6-$E$3,22))&lt;&gt;""),Aveia!$E14:INDEX(Aveia!$E14:$Z14,MIN(AC$6-$E$3,22))),0))-IF($G$2,0,IF((AC$6-$G$3)&lt;1,0,IFERROR(LOOKUP(2,1/(Aveia!$E14:INDEX(Aveia!$E14:$Z14,MIN(AC$6-$G$3,22))&lt;&gt;""),Aveia!$E14:INDEX(Aveia!$E14:$Z14,MIN(AC$6-$G$3,22))),0)))))</f>
        <v>0</v>
      </c>
      <c r="AD16" s="27" t="n">
        <f aca="false">IF(COUNT(Aveia!$E14:$Z14)=0,0,MAX(0,IF((AD$6-$E$3)&lt;1,0,IFERROR(LOOKUP(2,1/(Aveia!$E14:INDEX(Aveia!$E14:$Z14,MIN(AD$6-$E$3,22))&lt;&gt;""),Aveia!$E14:INDEX(Aveia!$E14:$Z14,MIN(AD$6-$E$3,22))),0))-IF($G$2,0,IF((AD$6-$G$3)&lt;1,0,IFERROR(LOOKUP(2,1/(Aveia!$E14:INDEX(Aveia!$E14:$Z14,MIN(AD$6-$G$3,22))&lt;&gt;""),Aveia!$E14:INDEX(Aveia!$E14:$Z14,MIN(AD$6-$G$3,22))),0)))))</f>
        <v>0</v>
      </c>
      <c r="AE16" s="27" t="n">
        <f aca="false">IF(COUNT(Aveia!$E14:$Z14)=0,0,MAX(0,IF((AE$6-$E$3)&lt;1,0,IFERROR(LOOKUP(2,1/(Aveia!$E14:INDEX(Aveia!$E14:$Z14,MIN(AE$6-$E$3,22))&lt;&gt;""),Aveia!$E14:INDEX(Aveia!$E14:$Z14,MIN(AE$6-$E$3,22))),0))-IF($G$2,0,IF((AE$6-$G$3)&lt;1,0,IFERROR(LOOKUP(2,1/(Aveia!$E14:INDEX(Aveia!$E14:$Z14,MIN(AE$6-$G$3,22))&lt;&gt;""),Aveia!$E14:INDEX(Aveia!$E14:$Z14,MIN(AE$6-$G$3,22))),0)))))</f>
        <v>0</v>
      </c>
      <c r="AF16" s="27" t="n">
        <f aca="false">IF(COUNT(Aveia!$E14:$Z14)=0,0,MAX(0,IF((AF$6-$E$3)&lt;1,0,IFERROR(LOOKUP(2,1/(Aveia!$E14:INDEX(Aveia!$E14:$Z14,MIN(AF$6-$E$3,22))&lt;&gt;""),Aveia!$E14:INDEX(Aveia!$E14:$Z14,MIN(AF$6-$E$3,22))),0))-IF($G$2,0,IF((AF$6-$G$3)&lt;1,0,IFERROR(LOOKUP(2,1/(Aveia!$E14:INDEX(Aveia!$E14:$Z14,MIN(AF$6-$G$3,22))&lt;&gt;""),Aveia!$E14:INDEX(Aveia!$E14:$Z14,MIN(AF$6-$G$3,22))),0)))))</f>
        <v>0</v>
      </c>
      <c r="AG16" s="27" t="n">
        <f aca="false">IF(COUNT(Aveia!$E14:$Z14)=0,0,MAX(0,IF((AG$6-$E$3)&lt;1,0,IFERROR(LOOKUP(2,1/(Aveia!$E14:INDEX(Aveia!$E14:$Z14,MIN(AG$6-$E$3,22))&lt;&gt;""),Aveia!$E14:INDEX(Aveia!$E14:$Z14,MIN(AG$6-$E$3,22))),0))-IF($G$2,0,IF((AG$6-$G$3)&lt;1,0,IFERROR(LOOKUP(2,1/(Aveia!$E14:INDEX(Aveia!$E14:$Z14,MIN(AG$6-$G$3,22))&lt;&gt;""),Aveia!$E14:INDEX(Aveia!$E14:$Z14,MIN(AG$6-$G$3,22))),0)))))</f>
        <v>0</v>
      </c>
      <c r="AH16" s="27" t="n">
        <f aca="false">IF(COUNT(Aveia!$E14:$Z14)=0,0,MAX(0,IF((AH$6-$E$3)&lt;1,0,IFERROR(LOOKUP(2,1/(Aveia!$E14:INDEX(Aveia!$E14:$Z14,MIN(AH$6-$E$3,22))&lt;&gt;""),Aveia!$E14:INDEX(Aveia!$E14:$Z14,MIN(AH$6-$E$3,22))),0))-IF($G$2,0,IF((AH$6-$G$3)&lt;1,0,IFERROR(LOOKUP(2,1/(Aveia!$E14:INDEX(Aveia!$E14:$Z14,MIN(AH$6-$G$3,22))&lt;&gt;""),Aveia!$E14:INDEX(Aveia!$E14:$Z14,MIN(AH$6-$G$3,22))),0)))))</f>
        <v>0</v>
      </c>
      <c r="AI16" s="27" t="n">
        <f aca="false">IF(COUNT(Aveia!$E14:$Z14)=0,0,MAX(0,IF((AI$6-$E$3)&lt;1,0,IFERROR(LOOKUP(2,1/(Aveia!$E14:INDEX(Aveia!$E14:$Z14,MIN(AI$6-$E$3,22))&lt;&gt;""),Aveia!$E14:INDEX(Aveia!$E14:$Z14,MIN(AI$6-$E$3,22))),0))-IF($G$2,0,IF((AI$6-$G$3)&lt;1,0,IFERROR(LOOKUP(2,1/(Aveia!$E14:INDEX(Aveia!$E14:$Z14,MIN(AI$6-$G$3,22))&lt;&gt;""),Aveia!$E14:INDEX(Aveia!$E14:$Z14,MIN(AI$6-$G$3,22))),0)))))</f>
        <v>0</v>
      </c>
      <c r="AJ16" s="27" t="n">
        <f aca="false">IF(COUNT(Aveia!$E14:$Z14)=0,0,MAX(0,IF((AJ$6-$E$3)&lt;1,0,IFERROR(LOOKUP(2,1/(Aveia!$E14:INDEX(Aveia!$E14:$Z14,MIN(AJ$6-$E$3,22))&lt;&gt;""),Aveia!$E14:INDEX(Aveia!$E14:$Z14,MIN(AJ$6-$E$3,22))),0))-IF($G$2,0,IF((AJ$6-$G$3)&lt;1,0,IFERROR(LOOKUP(2,1/(Aveia!$E14:INDEX(Aveia!$E14:$Z14,MIN(AJ$6-$G$3,22))&lt;&gt;""),Aveia!$E14:INDEX(Aveia!$E14:$Z14,MIN(AJ$6-$G$3,22))),0)))))</f>
        <v>0</v>
      </c>
      <c r="AK16" s="27" t="n">
        <f aca="false">IF(COUNT(Aveia!$E14:$Z14)=0,0,MAX(0,IF((AK$6-$E$3)&lt;1,0,IFERROR(LOOKUP(2,1/(Aveia!$E14:INDEX(Aveia!$E14:$Z14,MIN(AK$6-$E$3,22))&lt;&gt;""),Aveia!$E14:INDEX(Aveia!$E14:$Z14,MIN(AK$6-$E$3,22))),0))-IF($G$2,0,IF((AK$6-$G$3)&lt;1,0,IFERROR(LOOKUP(2,1/(Aveia!$E14:INDEX(Aveia!$E14:$Z14,MIN(AK$6-$G$3,22))&lt;&gt;""),Aveia!$E14:INDEX(Aveia!$E14:$Z14,MIN(AK$6-$G$3,22))),0)))))</f>
        <v>0</v>
      </c>
      <c r="AL16" s="27" t="n">
        <f aca="false">IF(COUNT(Aveia!$E14:$Z14)=0,0,MAX(0,IF((AL$6-$E$3)&lt;1,0,IFERROR(LOOKUP(2,1/(Aveia!$E14:INDEX(Aveia!$E14:$Z14,MIN(AL$6-$E$3,22))&lt;&gt;""),Aveia!$E14:INDEX(Aveia!$E14:$Z14,MIN(AL$6-$E$3,22))),0))-IF($G$2,0,IF((AL$6-$G$3)&lt;1,0,IFERROR(LOOKUP(2,1/(Aveia!$E14:INDEX(Aveia!$E14:$Z14,MIN(AL$6-$G$3,22))&lt;&gt;""),Aveia!$E14:INDEX(Aveia!$E14:$Z14,MIN(AL$6-$G$3,22))),0)))))</f>
        <v>0</v>
      </c>
      <c r="AM16" s="27" t="n">
        <f aca="false">IF(COUNT(Aveia!$E14:$Z14)=0,0,MAX(0,IF((AM$6-$E$3)&lt;1,0,IFERROR(LOOKUP(2,1/(Aveia!$E14:INDEX(Aveia!$E14:$Z14,MIN(AM$6-$E$3,22))&lt;&gt;""),Aveia!$E14:INDEX(Aveia!$E14:$Z14,MIN(AM$6-$E$3,22))),0))-IF($G$2,0,IF((AM$6-$G$3)&lt;1,0,IFERROR(LOOKUP(2,1/(Aveia!$E14:INDEX(Aveia!$E14:$Z14,MIN(AM$6-$G$3,22))&lt;&gt;""),Aveia!$E14:INDEX(Aveia!$E14:$Z14,MIN(AM$6-$G$3,22))),0)))))</f>
        <v>0</v>
      </c>
      <c r="AN16" s="27" t="n">
        <f aca="false">IF(COUNT(Aveia!$E14:$Z14)=0,0,MAX(0,IF((AN$6-$E$3)&lt;1,0,IFERROR(LOOKUP(2,1/(Aveia!$E14:INDEX(Aveia!$E14:$Z14,MIN(AN$6-$E$3,22))&lt;&gt;""),Aveia!$E14:INDEX(Aveia!$E14:$Z14,MIN(AN$6-$E$3,22))),0))-IF($G$2,0,IF((AN$6-$G$3)&lt;1,0,IFERROR(LOOKUP(2,1/(Aveia!$E14:INDEX(Aveia!$E14:$Z14,MIN(AN$6-$G$3,22))&lt;&gt;""),Aveia!$E14:INDEX(Aveia!$E14:$Z14,MIN(AN$6-$G$3,22))),0)))))</f>
        <v>0</v>
      </c>
      <c r="AO16" s="27" t="n">
        <f aca="false">IF(COUNT(Aveia!$E14:$Z14)=0,0,MAX(0,IF((AO$6-$E$3)&lt;1,0,IFERROR(LOOKUP(2,1/(Aveia!$E14:INDEX(Aveia!$E14:$Z14,MIN(AO$6-$E$3,22))&lt;&gt;""),Aveia!$E14:INDEX(Aveia!$E14:$Z14,MIN(AO$6-$E$3,22))),0))-IF($G$2,0,IF((AO$6-$G$3)&lt;1,0,IFERROR(LOOKUP(2,1/(Aveia!$E14:INDEX(Aveia!$E14:$Z14,MIN(AO$6-$G$3,22))&lt;&gt;""),Aveia!$E14:INDEX(Aveia!$E14:$Z14,MIN(AO$6-$G$3,22))),0)))))</f>
        <v>0</v>
      </c>
      <c r="AP16" s="27" t="n">
        <f aca="false">IF(COUNT(Aveia!$E14:$Z14)=0,0,MAX(0,IF((AP$6-$E$3)&lt;1,0,IFERROR(LOOKUP(2,1/(Aveia!$E14:INDEX(Aveia!$E14:$Z14,MIN(AP$6-$E$3,22))&lt;&gt;""),Aveia!$E14:INDEX(Aveia!$E14:$Z14,MIN(AP$6-$E$3,22))),0))-IF($G$2,0,IF((AP$6-$G$3)&lt;1,0,IFERROR(LOOKUP(2,1/(Aveia!$E14:INDEX(Aveia!$E14:$Z14,MIN(AP$6-$G$3,22))&lt;&gt;""),Aveia!$E14:INDEX(Aveia!$E14:$Z14,MIN(AP$6-$G$3,22))),0)))))</f>
        <v>0</v>
      </c>
      <c r="AQ16" s="27" t="n">
        <f aca="false">IF(COUNT(Aveia!$E14:$Z14)=0,0,MAX(0,IF((AQ$6-$E$3)&lt;1,0,IFERROR(LOOKUP(2,1/(Aveia!$E14:INDEX(Aveia!$E14:$Z14,MIN(AQ$6-$E$3,22))&lt;&gt;""),Aveia!$E14:INDEX(Aveia!$E14:$Z14,MIN(AQ$6-$E$3,22))),0))-IF($G$2,0,IF((AQ$6-$G$3)&lt;1,0,IFERROR(LOOKUP(2,1/(Aveia!$E14:INDEX(Aveia!$E14:$Z14,MIN(AQ$6-$G$3,22))&lt;&gt;""),Aveia!$E14:INDEX(Aveia!$E14:$Z14,MIN(AQ$6-$G$3,22))),0)))))</f>
        <v>0</v>
      </c>
      <c r="AR16" s="27" t="n">
        <f aca="false">IF(COUNT(Aveia!$E14:$Z14)=0,0,MAX(0,IF((AR$6-$E$3)&lt;1,0,IFERROR(LOOKUP(2,1/(Aveia!$E14:INDEX(Aveia!$E14:$Z14,MIN(AR$6-$E$3,22))&lt;&gt;""),Aveia!$E14:INDEX(Aveia!$E14:$Z14,MIN(AR$6-$E$3,22))),0))-IF($G$2,0,IF((AR$6-$G$3)&lt;1,0,IFERROR(LOOKUP(2,1/(Aveia!$E14:INDEX(Aveia!$E14:$Z14,MIN(AR$6-$G$3,22))&lt;&gt;""),Aveia!$E14:INDEX(Aveia!$E14:$Z14,MIN(AR$6-$G$3,22))),0)))))</f>
        <v>0</v>
      </c>
      <c r="AS16" s="27" t="n">
        <f aca="false">IF(COUNT(Aveia!$E14:$Z14)=0,0,MAX(0,IF((AS$6-$E$3)&lt;1,0,IFERROR(LOOKUP(2,1/(Aveia!$E14:INDEX(Aveia!$E14:$Z14,MIN(AS$6-$E$3,22))&lt;&gt;""),Aveia!$E14:INDEX(Aveia!$E14:$Z14,MIN(AS$6-$E$3,22))),0))-IF($G$2,0,IF((AS$6-$G$3)&lt;1,0,IFERROR(LOOKUP(2,1/(Aveia!$E14:INDEX(Aveia!$E14:$Z14,MIN(AS$6-$G$3,22))&lt;&gt;""),Aveia!$E14:INDEX(Aveia!$E14:$Z14,MIN(AS$6-$G$3,22))),0)))))</f>
        <v>0</v>
      </c>
      <c r="AT16" s="27" t="n">
        <f aca="false">IF(COUNT(Aveia!$E14:$Z14)=0,0,MAX(0,IF((AT$6-$E$3)&lt;1,0,IFERROR(LOOKUP(2,1/(Aveia!$E14:INDEX(Aveia!$E14:$Z14,MIN(AT$6-$E$3,22))&lt;&gt;""),Aveia!$E14:INDEX(Aveia!$E14:$Z14,MIN(AT$6-$E$3,22))),0))-IF($G$2,0,IF((AT$6-$G$3)&lt;1,0,IFERROR(LOOKUP(2,1/(Aveia!$E14:INDEX(Aveia!$E14:$Z14,MIN(AT$6-$G$3,22))&lt;&gt;""),Aveia!$E14:INDEX(Aveia!$E14:$Z14,MIN(AT$6-$G$3,22))),0)))))</f>
        <v>0</v>
      </c>
      <c r="AU16" s="27" t="n">
        <f aca="false">IF(COUNT(Aveia!$E14:$Z14)=0,0,MAX(0,IF((AU$6-$E$3)&lt;1,0,IFERROR(LOOKUP(2,1/(Aveia!$E14:INDEX(Aveia!$E14:$Z14,MIN(AU$6-$E$3,22))&lt;&gt;""),Aveia!$E14:INDEX(Aveia!$E14:$Z14,MIN(AU$6-$E$3,22))),0))-IF($G$2,0,IF((AU$6-$G$3)&lt;1,0,IFERROR(LOOKUP(2,1/(Aveia!$E14:INDEX(Aveia!$E14:$Z14,MIN(AU$6-$G$3,22))&lt;&gt;""),Aveia!$E14:INDEX(Aveia!$E14:$Z14,MIN(AU$6-$G$3,22))),0)))))</f>
        <v>0</v>
      </c>
      <c r="AV16" s="27" t="n">
        <f aca="false">IF(COUNT(Aveia!$E14:$Z14)=0,0,MAX(0,IF((AV$6-$E$3)&lt;1,0,IFERROR(LOOKUP(2,1/(Aveia!$E14:INDEX(Aveia!$E14:$Z14,MIN(AV$6-$E$3,22))&lt;&gt;""),Aveia!$E14:INDEX(Aveia!$E14:$Z14,MIN(AV$6-$E$3,22))),0))-IF($G$2,0,IF((AV$6-$G$3)&lt;1,0,IFERROR(LOOKUP(2,1/(Aveia!$E14:INDEX(Aveia!$E14:$Z14,MIN(AV$6-$G$3,22))&lt;&gt;""),Aveia!$E14:INDEX(Aveia!$E14:$Z14,MIN(AV$6-$G$3,22))),0)))))</f>
        <v>0</v>
      </c>
      <c r="AW16" s="27" t="n">
        <f aca="false">IF(COUNT(Aveia!$E14:$Z14)=0,0,MAX(0,IF((AW$6-$E$3)&lt;1,0,IFERROR(LOOKUP(2,1/(Aveia!$E14:INDEX(Aveia!$E14:$Z14,MIN(AW$6-$E$3,22))&lt;&gt;""),Aveia!$E14:INDEX(Aveia!$E14:$Z14,MIN(AW$6-$E$3,22))),0))-IF($G$2,0,IF((AW$6-$G$3)&lt;1,0,IFERROR(LOOKUP(2,1/(Aveia!$E14:INDEX(Aveia!$E14:$Z14,MIN(AW$6-$G$3,22))&lt;&gt;""),Aveia!$E14:INDEX(Aveia!$E14:$Z14,MIN(AW$6-$G$3,22))),0)))))</f>
        <v>0</v>
      </c>
      <c r="AX16" s="27" t="n">
        <f aca="false">IF(COUNT(Aveia!$E14:$Z14)=0,0,MAX(0,IF((AX$6-$E$3)&lt;1,0,IFERROR(LOOKUP(2,1/(Aveia!$E14:INDEX(Aveia!$E14:$Z14,MIN(AX$6-$E$3,22))&lt;&gt;""),Aveia!$E14:INDEX(Aveia!$E14:$Z14,MIN(AX$6-$E$3,22))),0))-IF($G$2,0,IF((AX$6-$G$3)&lt;1,0,IFERROR(LOOKUP(2,1/(Aveia!$E14:INDEX(Aveia!$E14:$Z14,MIN(AX$6-$G$3,22))&lt;&gt;""),Aveia!$E14:INDEX(Aveia!$E14:$Z14,MIN(AX$6-$G$3,22))),0)))))</f>
        <v>0</v>
      </c>
      <c r="AY16" s="27" t="n">
        <f aca="false">IF(COUNT(Aveia!$E14:$Z14)=0,0,MAX(0,IF((AY$6-$E$3)&lt;1,0,IFERROR(LOOKUP(2,1/(Aveia!$E14:INDEX(Aveia!$E14:$Z14,MIN(AY$6-$E$3,22))&lt;&gt;""),Aveia!$E14:INDEX(Aveia!$E14:$Z14,MIN(AY$6-$E$3,22))),0))-IF($G$2,0,IF((AY$6-$G$3)&lt;1,0,IFERROR(LOOKUP(2,1/(Aveia!$E14:INDEX(Aveia!$E14:$Z14,MIN(AY$6-$G$3,22))&lt;&gt;""),Aveia!$E14:INDEX(Aveia!$E14:$Z14,MIN(AY$6-$G$3,22))),0)))))</f>
        <v>0</v>
      </c>
      <c r="AZ16" s="27" t="n">
        <f aca="false">IF(COUNT(Aveia!$E14:$Z14)=0,0,MAX(0,IF((AZ$6-$E$3)&lt;1,0,IFERROR(LOOKUP(2,1/(Aveia!$E14:INDEX(Aveia!$E14:$Z14,MIN(AZ$6-$E$3,22))&lt;&gt;""),Aveia!$E14:INDEX(Aveia!$E14:$Z14,MIN(AZ$6-$E$3,22))),0))-IF($G$2,0,IF((AZ$6-$G$3)&lt;1,0,IFERROR(LOOKUP(2,1/(Aveia!$E14:INDEX(Aveia!$E14:$Z14,MIN(AZ$6-$G$3,22))&lt;&gt;""),Aveia!$E14:INDEX(Aveia!$E14:$Z14,MIN(AZ$6-$G$3,22))),0)))))</f>
        <v>0</v>
      </c>
    </row>
    <row r="17" customFormat="false" ht="15" hidden="false" customHeight="false" outlineLevel="0" collapsed="false">
      <c r="A17" s="3" t="s">
        <v>153</v>
      </c>
      <c r="B17" s="3" t="s">
        <v>154</v>
      </c>
      <c r="C17" s="10" t="s">
        <v>155</v>
      </c>
      <c r="D17" s="26" t="n">
        <f aca="false">IF(COUNT(Aveia!$E15:$Z15)&gt;0,N(Aveia!$D15),0)</f>
        <v>0</v>
      </c>
      <c r="E17" s="27" t="n">
        <f aca="false">IF(COUNT(Aveia!$E15:$Z15)=0,0,MAX(0,IF((E$6-$E$3)&lt;1,0,IFERROR(LOOKUP(2,1/(Aveia!$E15:INDEX(Aveia!$E15:$Z15,MIN(E$6-$E$3,22))&lt;&gt;""),Aveia!$E15:INDEX(Aveia!$E15:$Z15,MIN(E$6-$E$3,22))),0))-IF($G$2,0,IF((E$6-$G$3)&lt;1,0,IFERROR(LOOKUP(2,1/(Aveia!$E15:INDEX(Aveia!$E15:$Z15,MIN(E$6-$G$3,22))&lt;&gt;""),Aveia!$E15:INDEX(Aveia!$E15:$Z15,MIN(E$6-$G$3,22))),0)))))</f>
        <v>0</v>
      </c>
      <c r="F17" s="27" t="n">
        <f aca="false">IF(COUNT(Aveia!$E15:$Z15)=0,0,MAX(0,IF((F$6-$E$3)&lt;1,0,IFERROR(LOOKUP(2,1/(Aveia!$E15:INDEX(Aveia!$E15:$Z15,MIN(F$6-$E$3,22))&lt;&gt;""),Aveia!$E15:INDEX(Aveia!$E15:$Z15,MIN(F$6-$E$3,22))),0))-IF($G$2,0,IF((F$6-$G$3)&lt;1,0,IFERROR(LOOKUP(2,1/(Aveia!$E15:INDEX(Aveia!$E15:$Z15,MIN(F$6-$G$3,22))&lt;&gt;""),Aveia!$E15:INDEX(Aveia!$E15:$Z15,MIN(F$6-$G$3,22))),0)))))</f>
        <v>0</v>
      </c>
      <c r="G17" s="27" t="n">
        <f aca="false">IF(COUNT(Aveia!$E15:$Z15)=0,0,MAX(0,IF((G$6-$E$3)&lt;1,0,IFERROR(LOOKUP(2,1/(Aveia!$E15:INDEX(Aveia!$E15:$Z15,MIN(G$6-$E$3,22))&lt;&gt;""),Aveia!$E15:INDEX(Aveia!$E15:$Z15,MIN(G$6-$E$3,22))),0))-IF($G$2,0,IF((G$6-$G$3)&lt;1,0,IFERROR(LOOKUP(2,1/(Aveia!$E15:INDEX(Aveia!$E15:$Z15,MIN(G$6-$G$3,22))&lt;&gt;""),Aveia!$E15:INDEX(Aveia!$E15:$Z15,MIN(G$6-$G$3,22))),0)))))</f>
        <v>0</v>
      </c>
      <c r="H17" s="27" t="n">
        <f aca="false">IF(COUNT(Aveia!$E15:$Z15)=0,0,MAX(0,IF((H$6-$E$3)&lt;1,0,IFERROR(LOOKUP(2,1/(Aveia!$E15:INDEX(Aveia!$E15:$Z15,MIN(H$6-$E$3,22))&lt;&gt;""),Aveia!$E15:INDEX(Aveia!$E15:$Z15,MIN(H$6-$E$3,22))),0))-IF($G$2,0,IF((H$6-$G$3)&lt;1,0,IFERROR(LOOKUP(2,1/(Aveia!$E15:INDEX(Aveia!$E15:$Z15,MIN(H$6-$G$3,22))&lt;&gt;""),Aveia!$E15:INDEX(Aveia!$E15:$Z15,MIN(H$6-$G$3,22))),0)))))</f>
        <v>0</v>
      </c>
      <c r="I17" s="27" t="n">
        <f aca="false">IF(COUNT(Aveia!$E15:$Z15)=0,0,MAX(0,IF((I$6-$E$3)&lt;1,0,IFERROR(LOOKUP(2,1/(Aveia!$E15:INDEX(Aveia!$E15:$Z15,MIN(I$6-$E$3,22))&lt;&gt;""),Aveia!$E15:INDEX(Aveia!$E15:$Z15,MIN(I$6-$E$3,22))),0))-IF($G$2,0,IF((I$6-$G$3)&lt;1,0,IFERROR(LOOKUP(2,1/(Aveia!$E15:INDEX(Aveia!$E15:$Z15,MIN(I$6-$G$3,22))&lt;&gt;""),Aveia!$E15:INDEX(Aveia!$E15:$Z15,MIN(I$6-$G$3,22))),0)))))</f>
        <v>0</v>
      </c>
      <c r="J17" s="27" t="n">
        <f aca="false">IF(COUNT(Aveia!$E15:$Z15)=0,0,MAX(0,IF((J$6-$E$3)&lt;1,0,IFERROR(LOOKUP(2,1/(Aveia!$E15:INDEX(Aveia!$E15:$Z15,MIN(J$6-$E$3,22))&lt;&gt;""),Aveia!$E15:INDEX(Aveia!$E15:$Z15,MIN(J$6-$E$3,22))),0))-IF($G$2,0,IF((J$6-$G$3)&lt;1,0,IFERROR(LOOKUP(2,1/(Aveia!$E15:INDEX(Aveia!$E15:$Z15,MIN(J$6-$G$3,22))&lt;&gt;""),Aveia!$E15:INDEX(Aveia!$E15:$Z15,MIN(J$6-$G$3,22))),0)))))</f>
        <v>0</v>
      </c>
      <c r="K17" s="27" t="n">
        <f aca="false">IF(COUNT(Aveia!$E15:$Z15)=0,0,MAX(0,IF((K$6-$E$3)&lt;1,0,IFERROR(LOOKUP(2,1/(Aveia!$E15:INDEX(Aveia!$E15:$Z15,MIN(K$6-$E$3,22))&lt;&gt;""),Aveia!$E15:INDEX(Aveia!$E15:$Z15,MIN(K$6-$E$3,22))),0))-IF($G$2,0,IF((K$6-$G$3)&lt;1,0,IFERROR(LOOKUP(2,1/(Aveia!$E15:INDEX(Aveia!$E15:$Z15,MIN(K$6-$G$3,22))&lt;&gt;""),Aveia!$E15:INDEX(Aveia!$E15:$Z15,MIN(K$6-$G$3,22))),0)))))</f>
        <v>0</v>
      </c>
      <c r="L17" s="27" t="n">
        <f aca="false">IF(COUNT(Aveia!$E15:$Z15)=0,0,MAX(0,IF((L$6-$E$3)&lt;1,0,IFERROR(LOOKUP(2,1/(Aveia!$E15:INDEX(Aveia!$E15:$Z15,MIN(L$6-$E$3,22))&lt;&gt;""),Aveia!$E15:INDEX(Aveia!$E15:$Z15,MIN(L$6-$E$3,22))),0))-IF($G$2,0,IF((L$6-$G$3)&lt;1,0,IFERROR(LOOKUP(2,1/(Aveia!$E15:INDEX(Aveia!$E15:$Z15,MIN(L$6-$G$3,22))&lt;&gt;""),Aveia!$E15:INDEX(Aveia!$E15:$Z15,MIN(L$6-$G$3,22))),0)))))</f>
        <v>0</v>
      </c>
      <c r="M17" s="27" t="n">
        <f aca="false">IF(COUNT(Aveia!$E15:$Z15)=0,0,MAX(0,IF((M$6-$E$3)&lt;1,0,IFERROR(LOOKUP(2,1/(Aveia!$E15:INDEX(Aveia!$E15:$Z15,MIN(M$6-$E$3,22))&lt;&gt;""),Aveia!$E15:INDEX(Aveia!$E15:$Z15,MIN(M$6-$E$3,22))),0))-IF($G$2,0,IF((M$6-$G$3)&lt;1,0,IFERROR(LOOKUP(2,1/(Aveia!$E15:INDEX(Aveia!$E15:$Z15,MIN(M$6-$G$3,22))&lt;&gt;""),Aveia!$E15:INDEX(Aveia!$E15:$Z15,MIN(M$6-$G$3,22))),0)))))</f>
        <v>0</v>
      </c>
      <c r="N17" s="27" t="n">
        <f aca="false">IF(COUNT(Aveia!$E15:$Z15)=0,0,MAX(0,IF((N$6-$E$3)&lt;1,0,IFERROR(LOOKUP(2,1/(Aveia!$E15:INDEX(Aveia!$E15:$Z15,MIN(N$6-$E$3,22))&lt;&gt;""),Aveia!$E15:INDEX(Aveia!$E15:$Z15,MIN(N$6-$E$3,22))),0))-IF($G$2,0,IF((N$6-$G$3)&lt;1,0,IFERROR(LOOKUP(2,1/(Aveia!$E15:INDEX(Aveia!$E15:$Z15,MIN(N$6-$G$3,22))&lt;&gt;""),Aveia!$E15:INDEX(Aveia!$E15:$Z15,MIN(N$6-$G$3,22))),0)))))</f>
        <v>0</v>
      </c>
      <c r="O17" s="27" t="n">
        <f aca="false">IF(COUNT(Aveia!$E15:$Z15)=0,0,MAX(0,IF((O$6-$E$3)&lt;1,0,IFERROR(LOOKUP(2,1/(Aveia!$E15:INDEX(Aveia!$E15:$Z15,MIN(O$6-$E$3,22))&lt;&gt;""),Aveia!$E15:INDEX(Aveia!$E15:$Z15,MIN(O$6-$E$3,22))),0))-IF($G$2,0,IF((O$6-$G$3)&lt;1,0,IFERROR(LOOKUP(2,1/(Aveia!$E15:INDEX(Aveia!$E15:$Z15,MIN(O$6-$G$3,22))&lt;&gt;""),Aveia!$E15:INDEX(Aveia!$E15:$Z15,MIN(O$6-$G$3,22))),0)))))</f>
        <v>0</v>
      </c>
      <c r="P17" s="27" t="n">
        <f aca="false">IF(COUNT(Aveia!$E15:$Z15)=0,0,MAX(0,IF((P$6-$E$3)&lt;1,0,IFERROR(LOOKUP(2,1/(Aveia!$E15:INDEX(Aveia!$E15:$Z15,MIN(P$6-$E$3,22))&lt;&gt;""),Aveia!$E15:INDEX(Aveia!$E15:$Z15,MIN(P$6-$E$3,22))),0))-IF($G$2,0,IF((P$6-$G$3)&lt;1,0,IFERROR(LOOKUP(2,1/(Aveia!$E15:INDEX(Aveia!$E15:$Z15,MIN(P$6-$G$3,22))&lt;&gt;""),Aveia!$E15:INDEX(Aveia!$E15:$Z15,MIN(P$6-$G$3,22))),0)))))</f>
        <v>0</v>
      </c>
      <c r="Q17" s="27" t="n">
        <f aca="false">IF(COUNT(Aveia!$E15:$Z15)=0,0,MAX(0,IF((Q$6-$E$3)&lt;1,0,IFERROR(LOOKUP(2,1/(Aveia!$E15:INDEX(Aveia!$E15:$Z15,MIN(Q$6-$E$3,22))&lt;&gt;""),Aveia!$E15:INDEX(Aveia!$E15:$Z15,MIN(Q$6-$E$3,22))),0))-IF($G$2,0,IF((Q$6-$G$3)&lt;1,0,IFERROR(LOOKUP(2,1/(Aveia!$E15:INDEX(Aveia!$E15:$Z15,MIN(Q$6-$G$3,22))&lt;&gt;""),Aveia!$E15:INDEX(Aveia!$E15:$Z15,MIN(Q$6-$G$3,22))),0)))))</f>
        <v>0</v>
      </c>
      <c r="R17" s="27" t="n">
        <f aca="false">IF(COUNT(Aveia!$E15:$Z15)=0,0,MAX(0,IF((R$6-$E$3)&lt;1,0,IFERROR(LOOKUP(2,1/(Aveia!$E15:INDEX(Aveia!$E15:$Z15,MIN(R$6-$E$3,22))&lt;&gt;""),Aveia!$E15:INDEX(Aveia!$E15:$Z15,MIN(R$6-$E$3,22))),0))-IF($G$2,0,IF((R$6-$G$3)&lt;1,0,IFERROR(LOOKUP(2,1/(Aveia!$E15:INDEX(Aveia!$E15:$Z15,MIN(R$6-$G$3,22))&lt;&gt;""),Aveia!$E15:INDEX(Aveia!$E15:$Z15,MIN(R$6-$G$3,22))),0)))))</f>
        <v>0</v>
      </c>
      <c r="S17" s="27" t="n">
        <f aca="false">IF(COUNT(Aveia!$E15:$Z15)=0,0,MAX(0,IF((S$6-$E$3)&lt;1,0,IFERROR(LOOKUP(2,1/(Aveia!$E15:INDEX(Aveia!$E15:$Z15,MIN(S$6-$E$3,22))&lt;&gt;""),Aveia!$E15:INDEX(Aveia!$E15:$Z15,MIN(S$6-$E$3,22))),0))-IF($G$2,0,IF((S$6-$G$3)&lt;1,0,IFERROR(LOOKUP(2,1/(Aveia!$E15:INDEX(Aveia!$E15:$Z15,MIN(S$6-$G$3,22))&lt;&gt;""),Aveia!$E15:INDEX(Aveia!$E15:$Z15,MIN(S$6-$G$3,22))),0)))))</f>
        <v>0</v>
      </c>
      <c r="T17" s="27" t="n">
        <f aca="false">IF(COUNT(Aveia!$E15:$Z15)=0,0,MAX(0,IF((T$6-$E$3)&lt;1,0,IFERROR(LOOKUP(2,1/(Aveia!$E15:INDEX(Aveia!$E15:$Z15,MIN(T$6-$E$3,22))&lt;&gt;""),Aveia!$E15:INDEX(Aveia!$E15:$Z15,MIN(T$6-$E$3,22))),0))-IF($G$2,0,IF((T$6-$G$3)&lt;1,0,IFERROR(LOOKUP(2,1/(Aveia!$E15:INDEX(Aveia!$E15:$Z15,MIN(T$6-$G$3,22))&lt;&gt;""),Aveia!$E15:INDEX(Aveia!$E15:$Z15,MIN(T$6-$G$3,22))),0)))))</f>
        <v>0</v>
      </c>
      <c r="U17" s="27" t="n">
        <f aca="false">IF(COUNT(Aveia!$E15:$Z15)=0,0,MAX(0,IF((U$6-$E$3)&lt;1,0,IFERROR(LOOKUP(2,1/(Aveia!$E15:INDEX(Aveia!$E15:$Z15,MIN(U$6-$E$3,22))&lt;&gt;""),Aveia!$E15:INDEX(Aveia!$E15:$Z15,MIN(U$6-$E$3,22))),0))-IF($G$2,0,IF((U$6-$G$3)&lt;1,0,IFERROR(LOOKUP(2,1/(Aveia!$E15:INDEX(Aveia!$E15:$Z15,MIN(U$6-$G$3,22))&lt;&gt;""),Aveia!$E15:INDEX(Aveia!$E15:$Z15,MIN(U$6-$G$3,22))),0)))))</f>
        <v>0</v>
      </c>
      <c r="V17" s="27" t="n">
        <f aca="false">IF(COUNT(Aveia!$E15:$Z15)=0,0,MAX(0,IF((V$6-$E$3)&lt;1,0,IFERROR(LOOKUP(2,1/(Aveia!$E15:INDEX(Aveia!$E15:$Z15,MIN(V$6-$E$3,22))&lt;&gt;""),Aveia!$E15:INDEX(Aveia!$E15:$Z15,MIN(V$6-$E$3,22))),0))-IF($G$2,0,IF((V$6-$G$3)&lt;1,0,IFERROR(LOOKUP(2,1/(Aveia!$E15:INDEX(Aveia!$E15:$Z15,MIN(V$6-$G$3,22))&lt;&gt;""),Aveia!$E15:INDEX(Aveia!$E15:$Z15,MIN(V$6-$G$3,22))),0)))))</f>
        <v>0</v>
      </c>
      <c r="W17" s="27" t="n">
        <f aca="false">IF(COUNT(Aveia!$E15:$Z15)=0,0,MAX(0,IF((W$6-$E$3)&lt;1,0,IFERROR(LOOKUP(2,1/(Aveia!$E15:INDEX(Aveia!$E15:$Z15,MIN(W$6-$E$3,22))&lt;&gt;""),Aveia!$E15:INDEX(Aveia!$E15:$Z15,MIN(W$6-$E$3,22))),0))-IF($G$2,0,IF((W$6-$G$3)&lt;1,0,IFERROR(LOOKUP(2,1/(Aveia!$E15:INDEX(Aveia!$E15:$Z15,MIN(W$6-$G$3,22))&lt;&gt;""),Aveia!$E15:INDEX(Aveia!$E15:$Z15,MIN(W$6-$G$3,22))),0)))))</f>
        <v>0</v>
      </c>
      <c r="X17" s="27" t="n">
        <f aca="false">IF(COUNT(Aveia!$E15:$Z15)=0,0,MAX(0,IF((X$6-$E$3)&lt;1,0,IFERROR(LOOKUP(2,1/(Aveia!$E15:INDEX(Aveia!$E15:$Z15,MIN(X$6-$E$3,22))&lt;&gt;""),Aveia!$E15:INDEX(Aveia!$E15:$Z15,MIN(X$6-$E$3,22))),0))-IF($G$2,0,IF((X$6-$G$3)&lt;1,0,IFERROR(LOOKUP(2,1/(Aveia!$E15:INDEX(Aveia!$E15:$Z15,MIN(X$6-$G$3,22))&lt;&gt;""),Aveia!$E15:INDEX(Aveia!$E15:$Z15,MIN(X$6-$G$3,22))),0)))))</f>
        <v>0</v>
      </c>
      <c r="Y17" s="27" t="n">
        <f aca="false">IF(COUNT(Aveia!$E15:$Z15)=0,0,MAX(0,IF((Y$6-$E$3)&lt;1,0,IFERROR(LOOKUP(2,1/(Aveia!$E15:INDEX(Aveia!$E15:$Z15,MIN(Y$6-$E$3,22))&lt;&gt;""),Aveia!$E15:INDEX(Aveia!$E15:$Z15,MIN(Y$6-$E$3,22))),0))-IF($G$2,0,IF((Y$6-$G$3)&lt;1,0,IFERROR(LOOKUP(2,1/(Aveia!$E15:INDEX(Aveia!$E15:$Z15,MIN(Y$6-$G$3,22))&lt;&gt;""),Aveia!$E15:INDEX(Aveia!$E15:$Z15,MIN(Y$6-$G$3,22))),0)))))</f>
        <v>0</v>
      </c>
      <c r="Z17" s="27" t="n">
        <f aca="false">IF(COUNT(Aveia!$E15:$Z15)=0,0,MAX(0,IF((Z$6-$E$3)&lt;1,0,IFERROR(LOOKUP(2,1/(Aveia!$E15:INDEX(Aveia!$E15:$Z15,MIN(Z$6-$E$3,22))&lt;&gt;""),Aveia!$E15:INDEX(Aveia!$E15:$Z15,MIN(Z$6-$E$3,22))),0))-IF($G$2,0,IF((Z$6-$G$3)&lt;1,0,IFERROR(LOOKUP(2,1/(Aveia!$E15:INDEX(Aveia!$E15:$Z15,MIN(Z$6-$G$3,22))&lt;&gt;""),Aveia!$E15:INDEX(Aveia!$E15:$Z15,MIN(Z$6-$G$3,22))),0)))))</f>
        <v>0</v>
      </c>
      <c r="AA17" s="27" t="n">
        <f aca="false">IF(COUNT(Aveia!$E15:$Z15)=0,0,MAX(0,IF((AA$6-$E$3)&lt;1,0,IFERROR(LOOKUP(2,1/(Aveia!$E15:INDEX(Aveia!$E15:$Z15,MIN(AA$6-$E$3,22))&lt;&gt;""),Aveia!$E15:INDEX(Aveia!$E15:$Z15,MIN(AA$6-$E$3,22))),0))-IF($G$2,0,IF((AA$6-$G$3)&lt;1,0,IFERROR(LOOKUP(2,1/(Aveia!$E15:INDEX(Aveia!$E15:$Z15,MIN(AA$6-$G$3,22))&lt;&gt;""),Aveia!$E15:INDEX(Aveia!$E15:$Z15,MIN(AA$6-$G$3,22))),0)))))</f>
        <v>0</v>
      </c>
      <c r="AB17" s="27" t="n">
        <f aca="false">IF(COUNT(Aveia!$E15:$Z15)=0,0,MAX(0,IF((AB$6-$E$3)&lt;1,0,IFERROR(LOOKUP(2,1/(Aveia!$E15:INDEX(Aveia!$E15:$Z15,MIN(AB$6-$E$3,22))&lt;&gt;""),Aveia!$E15:INDEX(Aveia!$E15:$Z15,MIN(AB$6-$E$3,22))),0))-IF($G$2,0,IF((AB$6-$G$3)&lt;1,0,IFERROR(LOOKUP(2,1/(Aveia!$E15:INDEX(Aveia!$E15:$Z15,MIN(AB$6-$G$3,22))&lt;&gt;""),Aveia!$E15:INDEX(Aveia!$E15:$Z15,MIN(AB$6-$G$3,22))),0)))))</f>
        <v>0</v>
      </c>
      <c r="AC17" s="27" t="n">
        <f aca="false">IF(COUNT(Aveia!$E15:$Z15)=0,0,MAX(0,IF((AC$6-$E$3)&lt;1,0,IFERROR(LOOKUP(2,1/(Aveia!$E15:INDEX(Aveia!$E15:$Z15,MIN(AC$6-$E$3,22))&lt;&gt;""),Aveia!$E15:INDEX(Aveia!$E15:$Z15,MIN(AC$6-$E$3,22))),0))-IF($G$2,0,IF((AC$6-$G$3)&lt;1,0,IFERROR(LOOKUP(2,1/(Aveia!$E15:INDEX(Aveia!$E15:$Z15,MIN(AC$6-$G$3,22))&lt;&gt;""),Aveia!$E15:INDEX(Aveia!$E15:$Z15,MIN(AC$6-$G$3,22))),0)))))</f>
        <v>0</v>
      </c>
      <c r="AD17" s="27" t="n">
        <f aca="false">IF(COUNT(Aveia!$E15:$Z15)=0,0,MAX(0,IF((AD$6-$E$3)&lt;1,0,IFERROR(LOOKUP(2,1/(Aveia!$E15:INDEX(Aveia!$E15:$Z15,MIN(AD$6-$E$3,22))&lt;&gt;""),Aveia!$E15:INDEX(Aveia!$E15:$Z15,MIN(AD$6-$E$3,22))),0))-IF($G$2,0,IF((AD$6-$G$3)&lt;1,0,IFERROR(LOOKUP(2,1/(Aveia!$E15:INDEX(Aveia!$E15:$Z15,MIN(AD$6-$G$3,22))&lt;&gt;""),Aveia!$E15:INDEX(Aveia!$E15:$Z15,MIN(AD$6-$G$3,22))),0)))))</f>
        <v>0</v>
      </c>
      <c r="AE17" s="27" t="n">
        <f aca="false">IF(COUNT(Aveia!$E15:$Z15)=0,0,MAX(0,IF((AE$6-$E$3)&lt;1,0,IFERROR(LOOKUP(2,1/(Aveia!$E15:INDEX(Aveia!$E15:$Z15,MIN(AE$6-$E$3,22))&lt;&gt;""),Aveia!$E15:INDEX(Aveia!$E15:$Z15,MIN(AE$6-$E$3,22))),0))-IF($G$2,0,IF((AE$6-$G$3)&lt;1,0,IFERROR(LOOKUP(2,1/(Aveia!$E15:INDEX(Aveia!$E15:$Z15,MIN(AE$6-$G$3,22))&lt;&gt;""),Aveia!$E15:INDEX(Aveia!$E15:$Z15,MIN(AE$6-$G$3,22))),0)))))</f>
        <v>0</v>
      </c>
      <c r="AF17" s="27" t="n">
        <f aca="false">IF(COUNT(Aveia!$E15:$Z15)=0,0,MAX(0,IF((AF$6-$E$3)&lt;1,0,IFERROR(LOOKUP(2,1/(Aveia!$E15:INDEX(Aveia!$E15:$Z15,MIN(AF$6-$E$3,22))&lt;&gt;""),Aveia!$E15:INDEX(Aveia!$E15:$Z15,MIN(AF$6-$E$3,22))),0))-IF($G$2,0,IF((AF$6-$G$3)&lt;1,0,IFERROR(LOOKUP(2,1/(Aveia!$E15:INDEX(Aveia!$E15:$Z15,MIN(AF$6-$G$3,22))&lt;&gt;""),Aveia!$E15:INDEX(Aveia!$E15:$Z15,MIN(AF$6-$G$3,22))),0)))))</f>
        <v>0</v>
      </c>
      <c r="AG17" s="27" t="n">
        <f aca="false">IF(COUNT(Aveia!$E15:$Z15)=0,0,MAX(0,IF((AG$6-$E$3)&lt;1,0,IFERROR(LOOKUP(2,1/(Aveia!$E15:INDEX(Aveia!$E15:$Z15,MIN(AG$6-$E$3,22))&lt;&gt;""),Aveia!$E15:INDEX(Aveia!$E15:$Z15,MIN(AG$6-$E$3,22))),0))-IF($G$2,0,IF((AG$6-$G$3)&lt;1,0,IFERROR(LOOKUP(2,1/(Aveia!$E15:INDEX(Aveia!$E15:$Z15,MIN(AG$6-$G$3,22))&lt;&gt;""),Aveia!$E15:INDEX(Aveia!$E15:$Z15,MIN(AG$6-$G$3,22))),0)))))</f>
        <v>0</v>
      </c>
      <c r="AH17" s="27" t="n">
        <f aca="false">IF(COUNT(Aveia!$E15:$Z15)=0,0,MAX(0,IF((AH$6-$E$3)&lt;1,0,IFERROR(LOOKUP(2,1/(Aveia!$E15:INDEX(Aveia!$E15:$Z15,MIN(AH$6-$E$3,22))&lt;&gt;""),Aveia!$E15:INDEX(Aveia!$E15:$Z15,MIN(AH$6-$E$3,22))),0))-IF($G$2,0,IF((AH$6-$G$3)&lt;1,0,IFERROR(LOOKUP(2,1/(Aveia!$E15:INDEX(Aveia!$E15:$Z15,MIN(AH$6-$G$3,22))&lt;&gt;""),Aveia!$E15:INDEX(Aveia!$E15:$Z15,MIN(AH$6-$G$3,22))),0)))))</f>
        <v>0</v>
      </c>
      <c r="AI17" s="27" t="n">
        <f aca="false">IF(COUNT(Aveia!$E15:$Z15)=0,0,MAX(0,IF((AI$6-$E$3)&lt;1,0,IFERROR(LOOKUP(2,1/(Aveia!$E15:INDEX(Aveia!$E15:$Z15,MIN(AI$6-$E$3,22))&lt;&gt;""),Aveia!$E15:INDEX(Aveia!$E15:$Z15,MIN(AI$6-$E$3,22))),0))-IF($G$2,0,IF((AI$6-$G$3)&lt;1,0,IFERROR(LOOKUP(2,1/(Aveia!$E15:INDEX(Aveia!$E15:$Z15,MIN(AI$6-$G$3,22))&lt;&gt;""),Aveia!$E15:INDEX(Aveia!$E15:$Z15,MIN(AI$6-$G$3,22))),0)))))</f>
        <v>0</v>
      </c>
      <c r="AJ17" s="27" t="n">
        <f aca="false">IF(COUNT(Aveia!$E15:$Z15)=0,0,MAX(0,IF((AJ$6-$E$3)&lt;1,0,IFERROR(LOOKUP(2,1/(Aveia!$E15:INDEX(Aveia!$E15:$Z15,MIN(AJ$6-$E$3,22))&lt;&gt;""),Aveia!$E15:INDEX(Aveia!$E15:$Z15,MIN(AJ$6-$E$3,22))),0))-IF($G$2,0,IF((AJ$6-$G$3)&lt;1,0,IFERROR(LOOKUP(2,1/(Aveia!$E15:INDEX(Aveia!$E15:$Z15,MIN(AJ$6-$G$3,22))&lt;&gt;""),Aveia!$E15:INDEX(Aveia!$E15:$Z15,MIN(AJ$6-$G$3,22))),0)))))</f>
        <v>0</v>
      </c>
      <c r="AK17" s="27" t="n">
        <f aca="false">IF(COUNT(Aveia!$E15:$Z15)=0,0,MAX(0,IF((AK$6-$E$3)&lt;1,0,IFERROR(LOOKUP(2,1/(Aveia!$E15:INDEX(Aveia!$E15:$Z15,MIN(AK$6-$E$3,22))&lt;&gt;""),Aveia!$E15:INDEX(Aveia!$E15:$Z15,MIN(AK$6-$E$3,22))),0))-IF($G$2,0,IF((AK$6-$G$3)&lt;1,0,IFERROR(LOOKUP(2,1/(Aveia!$E15:INDEX(Aveia!$E15:$Z15,MIN(AK$6-$G$3,22))&lt;&gt;""),Aveia!$E15:INDEX(Aveia!$E15:$Z15,MIN(AK$6-$G$3,22))),0)))))</f>
        <v>0</v>
      </c>
      <c r="AL17" s="27" t="n">
        <f aca="false">IF(COUNT(Aveia!$E15:$Z15)=0,0,MAX(0,IF((AL$6-$E$3)&lt;1,0,IFERROR(LOOKUP(2,1/(Aveia!$E15:INDEX(Aveia!$E15:$Z15,MIN(AL$6-$E$3,22))&lt;&gt;""),Aveia!$E15:INDEX(Aveia!$E15:$Z15,MIN(AL$6-$E$3,22))),0))-IF($G$2,0,IF((AL$6-$G$3)&lt;1,0,IFERROR(LOOKUP(2,1/(Aveia!$E15:INDEX(Aveia!$E15:$Z15,MIN(AL$6-$G$3,22))&lt;&gt;""),Aveia!$E15:INDEX(Aveia!$E15:$Z15,MIN(AL$6-$G$3,22))),0)))))</f>
        <v>0</v>
      </c>
      <c r="AM17" s="27" t="n">
        <f aca="false">IF(COUNT(Aveia!$E15:$Z15)=0,0,MAX(0,IF((AM$6-$E$3)&lt;1,0,IFERROR(LOOKUP(2,1/(Aveia!$E15:INDEX(Aveia!$E15:$Z15,MIN(AM$6-$E$3,22))&lt;&gt;""),Aveia!$E15:INDEX(Aveia!$E15:$Z15,MIN(AM$6-$E$3,22))),0))-IF($G$2,0,IF((AM$6-$G$3)&lt;1,0,IFERROR(LOOKUP(2,1/(Aveia!$E15:INDEX(Aveia!$E15:$Z15,MIN(AM$6-$G$3,22))&lt;&gt;""),Aveia!$E15:INDEX(Aveia!$E15:$Z15,MIN(AM$6-$G$3,22))),0)))))</f>
        <v>0</v>
      </c>
      <c r="AN17" s="27" t="n">
        <f aca="false">IF(COUNT(Aveia!$E15:$Z15)=0,0,MAX(0,IF((AN$6-$E$3)&lt;1,0,IFERROR(LOOKUP(2,1/(Aveia!$E15:INDEX(Aveia!$E15:$Z15,MIN(AN$6-$E$3,22))&lt;&gt;""),Aveia!$E15:INDEX(Aveia!$E15:$Z15,MIN(AN$6-$E$3,22))),0))-IF($G$2,0,IF((AN$6-$G$3)&lt;1,0,IFERROR(LOOKUP(2,1/(Aveia!$E15:INDEX(Aveia!$E15:$Z15,MIN(AN$6-$G$3,22))&lt;&gt;""),Aveia!$E15:INDEX(Aveia!$E15:$Z15,MIN(AN$6-$G$3,22))),0)))))</f>
        <v>0</v>
      </c>
      <c r="AO17" s="27" t="n">
        <f aca="false">IF(COUNT(Aveia!$E15:$Z15)=0,0,MAX(0,IF((AO$6-$E$3)&lt;1,0,IFERROR(LOOKUP(2,1/(Aveia!$E15:INDEX(Aveia!$E15:$Z15,MIN(AO$6-$E$3,22))&lt;&gt;""),Aveia!$E15:INDEX(Aveia!$E15:$Z15,MIN(AO$6-$E$3,22))),0))-IF($G$2,0,IF((AO$6-$G$3)&lt;1,0,IFERROR(LOOKUP(2,1/(Aveia!$E15:INDEX(Aveia!$E15:$Z15,MIN(AO$6-$G$3,22))&lt;&gt;""),Aveia!$E15:INDEX(Aveia!$E15:$Z15,MIN(AO$6-$G$3,22))),0)))))</f>
        <v>0</v>
      </c>
      <c r="AP17" s="27" t="n">
        <f aca="false">IF(COUNT(Aveia!$E15:$Z15)=0,0,MAX(0,IF((AP$6-$E$3)&lt;1,0,IFERROR(LOOKUP(2,1/(Aveia!$E15:INDEX(Aveia!$E15:$Z15,MIN(AP$6-$E$3,22))&lt;&gt;""),Aveia!$E15:INDEX(Aveia!$E15:$Z15,MIN(AP$6-$E$3,22))),0))-IF($G$2,0,IF((AP$6-$G$3)&lt;1,0,IFERROR(LOOKUP(2,1/(Aveia!$E15:INDEX(Aveia!$E15:$Z15,MIN(AP$6-$G$3,22))&lt;&gt;""),Aveia!$E15:INDEX(Aveia!$E15:$Z15,MIN(AP$6-$G$3,22))),0)))))</f>
        <v>0</v>
      </c>
      <c r="AQ17" s="27" t="n">
        <f aca="false">IF(COUNT(Aveia!$E15:$Z15)=0,0,MAX(0,IF((AQ$6-$E$3)&lt;1,0,IFERROR(LOOKUP(2,1/(Aveia!$E15:INDEX(Aveia!$E15:$Z15,MIN(AQ$6-$E$3,22))&lt;&gt;""),Aveia!$E15:INDEX(Aveia!$E15:$Z15,MIN(AQ$6-$E$3,22))),0))-IF($G$2,0,IF((AQ$6-$G$3)&lt;1,0,IFERROR(LOOKUP(2,1/(Aveia!$E15:INDEX(Aveia!$E15:$Z15,MIN(AQ$6-$G$3,22))&lt;&gt;""),Aveia!$E15:INDEX(Aveia!$E15:$Z15,MIN(AQ$6-$G$3,22))),0)))))</f>
        <v>0</v>
      </c>
      <c r="AR17" s="27" t="n">
        <f aca="false">IF(COUNT(Aveia!$E15:$Z15)=0,0,MAX(0,IF((AR$6-$E$3)&lt;1,0,IFERROR(LOOKUP(2,1/(Aveia!$E15:INDEX(Aveia!$E15:$Z15,MIN(AR$6-$E$3,22))&lt;&gt;""),Aveia!$E15:INDEX(Aveia!$E15:$Z15,MIN(AR$6-$E$3,22))),0))-IF($G$2,0,IF((AR$6-$G$3)&lt;1,0,IFERROR(LOOKUP(2,1/(Aveia!$E15:INDEX(Aveia!$E15:$Z15,MIN(AR$6-$G$3,22))&lt;&gt;""),Aveia!$E15:INDEX(Aveia!$E15:$Z15,MIN(AR$6-$G$3,22))),0)))))</f>
        <v>0</v>
      </c>
      <c r="AS17" s="27" t="n">
        <f aca="false">IF(COUNT(Aveia!$E15:$Z15)=0,0,MAX(0,IF((AS$6-$E$3)&lt;1,0,IFERROR(LOOKUP(2,1/(Aveia!$E15:INDEX(Aveia!$E15:$Z15,MIN(AS$6-$E$3,22))&lt;&gt;""),Aveia!$E15:INDEX(Aveia!$E15:$Z15,MIN(AS$6-$E$3,22))),0))-IF($G$2,0,IF((AS$6-$G$3)&lt;1,0,IFERROR(LOOKUP(2,1/(Aveia!$E15:INDEX(Aveia!$E15:$Z15,MIN(AS$6-$G$3,22))&lt;&gt;""),Aveia!$E15:INDEX(Aveia!$E15:$Z15,MIN(AS$6-$G$3,22))),0)))))</f>
        <v>0</v>
      </c>
      <c r="AT17" s="27" t="n">
        <f aca="false">IF(COUNT(Aveia!$E15:$Z15)=0,0,MAX(0,IF((AT$6-$E$3)&lt;1,0,IFERROR(LOOKUP(2,1/(Aveia!$E15:INDEX(Aveia!$E15:$Z15,MIN(AT$6-$E$3,22))&lt;&gt;""),Aveia!$E15:INDEX(Aveia!$E15:$Z15,MIN(AT$6-$E$3,22))),0))-IF($G$2,0,IF((AT$6-$G$3)&lt;1,0,IFERROR(LOOKUP(2,1/(Aveia!$E15:INDEX(Aveia!$E15:$Z15,MIN(AT$6-$G$3,22))&lt;&gt;""),Aveia!$E15:INDEX(Aveia!$E15:$Z15,MIN(AT$6-$G$3,22))),0)))))</f>
        <v>0</v>
      </c>
      <c r="AU17" s="27" t="n">
        <f aca="false">IF(COUNT(Aveia!$E15:$Z15)=0,0,MAX(0,IF((AU$6-$E$3)&lt;1,0,IFERROR(LOOKUP(2,1/(Aveia!$E15:INDEX(Aveia!$E15:$Z15,MIN(AU$6-$E$3,22))&lt;&gt;""),Aveia!$E15:INDEX(Aveia!$E15:$Z15,MIN(AU$6-$E$3,22))),0))-IF($G$2,0,IF((AU$6-$G$3)&lt;1,0,IFERROR(LOOKUP(2,1/(Aveia!$E15:INDEX(Aveia!$E15:$Z15,MIN(AU$6-$G$3,22))&lt;&gt;""),Aveia!$E15:INDEX(Aveia!$E15:$Z15,MIN(AU$6-$G$3,22))),0)))))</f>
        <v>0</v>
      </c>
      <c r="AV17" s="27" t="n">
        <f aca="false">IF(COUNT(Aveia!$E15:$Z15)=0,0,MAX(0,IF((AV$6-$E$3)&lt;1,0,IFERROR(LOOKUP(2,1/(Aveia!$E15:INDEX(Aveia!$E15:$Z15,MIN(AV$6-$E$3,22))&lt;&gt;""),Aveia!$E15:INDEX(Aveia!$E15:$Z15,MIN(AV$6-$E$3,22))),0))-IF($G$2,0,IF((AV$6-$G$3)&lt;1,0,IFERROR(LOOKUP(2,1/(Aveia!$E15:INDEX(Aveia!$E15:$Z15,MIN(AV$6-$G$3,22))&lt;&gt;""),Aveia!$E15:INDEX(Aveia!$E15:$Z15,MIN(AV$6-$G$3,22))),0)))))</f>
        <v>0</v>
      </c>
      <c r="AW17" s="27" t="n">
        <f aca="false">IF(COUNT(Aveia!$E15:$Z15)=0,0,MAX(0,IF((AW$6-$E$3)&lt;1,0,IFERROR(LOOKUP(2,1/(Aveia!$E15:INDEX(Aveia!$E15:$Z15,MIN(AW$6-$E$3,22))&lt;&gt;""),Aveia!$E15:INDEX(Aveia!$E15:$Z15,MIN(AW$6-$E$3,22))),0))-IF($G$2,0,IF((AW$6-$G$3)&lt;1,0,IFERROR(LOOKUP(2,1/(Aveia!$E15:INDEX(Aveia!$E15:$Z15,MIN(AW$6-$G$3,22))&lt;&gt;""),Aveia!$E15:INDEX(Aveia!$E15:$Z15,MIN(AW$6-$G$3,22))),0)))))</f>
        <v>0</v>
      </c>
      <c r="AX17" s="27" t="n">
        <f aca="false">IF(COUNT(Aveia!$E15:$Z15)=0,0,MAX(0,IF((AX$6-$E$3)&lt;1,0,IFERROR(LOOKUP(2,1/(Aveia!$E15:INDEX(Aveia!$E15:$Z15,MIN(AX$6-$E$3,22))&lt;&gt;""),Aveia!$E15:INDEX(Aveia!$E15:$Z15,MIN(AX$6-$E$3,22))),0))-IF($G$2,0,IF((AX$6-$G$3)&lt;1,0,IFERROR(LOOKUP(2,1/(Aveia!$E15:INDEX(Aveia!$E15:$Z15,MIN(AX$6-$G$3,22))&lt;&gt;""),Aveia!$E15:INDEX(Aveia!$E15:$Z15,MIN(AX$6-$G$3,22))),0)))))</f>
        <v>0</v>
      </c>
      <c r="AY17" s="27" t="n">
        <f aca="false">IF(COUNT(Aveia!$E15:$Z15)=0,0,MAX(0,IF((AY$6-$E$3)&lt;1,0,IFERROR(LOOKUP(2,1/(Aveia!$E15:INDEX(Aveia!$E15:$Z15,MIN(AY$6-$E$3,22))&lt;&gt;""),Aveia!$E15:INDEX(Aveia!$E15:$Z15,MIN(AY$6-$E$3,22))),0))-IF($G$2,0,IF((AY$6-$G$3)&lt;1,0,IFERROR(LOOKUP(2,1/(Aveia!$E15:INDEX(Aveia!$E15:$Z15,MIN(AY$6-$G$3,22))&lt;&gt;""),Aveia!$E15:INDEX(Aveia!$E15:$Z15,MIN(AY$6-$G$3,22))),0)))))</f>
        <v>0</v>
      </c>
      <c r="AZ17" s="27" t="n">
        <f aca="false">IF(COUNT(Aveia!$E15:$Z15)=0,0,MAX(0,IF((AZ$6-$E$3)&lt;1,0,IFERROR(LOOKUP(2,1/(Aveia!$E15:INDEX(Aveia!$E15:$Z15,MIN(AZ$6-$E$3,22))&lt;&gt;""),Aveia!$E15:INDEX(Aveia!$E15:$Z15,MIN(AZ$6-$E$3,22))),0))-IF($G$2,0,IF((AZ$6-$G$3)&lt;1,0,IFERROR(LOOKUP(2,1/(Aveia!$E15:INDEX(Aveia!$E15:$Z15,MIN(AZ$6-$G$3,22))&lt;&gt;""),Aveia!$E15:INDEX(Aveia!$E15:$Z15,MIN(AZ$6-$G$3,22))),0)))))</f>
        <v>0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10" t="s">
        <v>158</v>
      </c>
      <c r="D18" s="26" t="n">
        <f aca="false">IF(COUNT(Aveia!$E16:$Z16)&gt;0,N(Aveia!$D16),0)</f>
        <v>0</v>
      </c>
      <c r="E18" s="27" t="n">
        <f aca="false">IF(COUNT(Aveia!$E16:$Z16)=0,0,MAX(0,IF((E$6-$E$3)&lt;1,0,IFERROR(LOOKUP(2,1/(Aveia!$E16:INDEX(Aveia!$E16:$Z16,MIN(E$6-$E$3,22))&lt;&gt;""),Aveia!$E16:INDEX(Aveia!$E16:$Z16,MIN(E$6-$E$3,22))),0))-IF($G$2,0,IF((E$6-$G$3)&lt;1,0,IFERROR(LOOKUP(2,1/(Aveia!$E16:INDEX(Aveia!$E16:$Z16,MIN(E$6-$G$3,22))&lt;&gt;""),Aveia!$E16:INDEX(Aveia!$E16:$Z16,MIN(E$6-$G$3,22))),0)))))</f>
        <v>0</v>
      </c>
      <c r="F18" s="27" t="n">
        <f aca="false">IF(COUNT(Aveia!$E16:$Z16)=0,0,MAX(0,IF((F$6-$E$3)&lt;1,0,IFERROR(LOOKUP(2,1/(Aveia!$E16:INDEX(Aveia!$E16:$Z16,MIN(F$6-$E$3,22))&lt;&gt;""),Aveia!$E16:INDEX(Aveia!$E16:$Z16,MIN(F$6-$E$3,22))),0))-IF($G$2,0,IF((F$6-$G$3)&lt;1,0,IFERROR(LOOKUP(2,1/(Aveia!$E16:INDEX(Aveia!$E16:$Z16,MIN(F$6-$G$3,22))&lt;&gt;""),Aveia!$E16:INDEX(Aveia!$E16:$Z16,MIN(F$6-$G$3,22))),0)))))</f>
        <v>0</v>
      </c>
      <c r="G18" s="27" t="n">
        <f aca="false">IF(COUNT(Aveia!$E16:$Z16)=0,0,MAX(0,IF((G$6-$E$3)&lt;1,0,IFERROR(LOOKUP(2,1/(Aveia!$E16:INDEX(Aveia!$E16:$Z16,MIN(G$6-$E$3,22))&lt;&gt;""),Aveia!$E16:INDEX(Aveia!$E16:$Z16,MIN(G$6-$E$3,22))),0))-IF($G$2,0,IF((G$6-$G$3)&lt;1,0,IFERROR(LOOKUP(2,1/(Aveia!$E16:INDEX(Aveia!$E16:$Z16,MIN(G$6-$G$3,22))&lt;&gt;""),Aveia!$E16:INDEX(Aveia!$E16:$Z16,MIN(G$6-$G$3,22))),0)))))</f>
        <v>0</v>
      </c>
      <c r="H18" s="27" t="n">
        <f aca="false">IF(COUNT(Aveia!$E16:$Z16)=0,0,MAX(0,IF((H$6-$E$3)&lt;1,0,IFERROR(LOOKUP(2,1/(Aveia!$E16:INDEX(Aveia!$E16:$Z16,MIN(H$6-$E$3,22))&lt;&gt;""),Aveia!$E16:INDEX(Aveia!$E16:$Z16,MIN(H$6-$E$3,22))),0))-IF($G$2,0,IF((H$6-$G$3)&lt;1,0,IFERROR(LOOKUP(2,1/(Aveia!$E16:INDEX(Aveia!$E16:$Z16,MIN(H$6-$G$3,22))&lt;&gt;""),Aveia!$E16:INDEX(Aveia!$E16:$Z16,MIN(H$6-$G$3,22))),0)))))</f>
        <v>0</v>
      </c>
      <c r="I18" s="27" t="n">
        <f aca="false">IF(COUNT(Aveia!$E16:$Z16)=0,0,MAX(0,IF((I$6-$E$3)&lt;1,0,IFERROR(LOOKUP(2,1/(Aveia!$E16:INDEX(Aveia!$E16:$Z16,MIN(I$6-$E$3,22))&lt;&gt;""),Aveia!$E16:INDEX(Aveia!$E16:$Z16,MIN(I$6-$E$3,22))),0))-IF($G$2,0,IF((I$6-$G$3)&lt;1,0,IFERROR(LOOKUP(2,1/(Aveia!$E16:INDEX(Aveia!$E16:$Z16,MIN(I$6-$G$3,22))&lt;&gt;""),Aveia!$E16:INDEX(Aveia!$E16:$Z16,MIN(I$6-$G$3,22))),0)))))</f>
        <v>0</v>
      </c>
      <c r="J18" s="27" t="n">
        <f aca="false">IF(COUNT(Aveia!$E16:$Z16)=0,0,MAX(0,IF((J$6-$E$3)&lt;1,0,IFERROR(LOOKUP(2,1/(Aveia!$E16:INDEX(Aveia!$E16:$Z16,MIN(J$6-$E$3,22))&lt;&gt;""),Aveia!$E16:INDEX(Aveia!$E16:$Z16,MIN(J$6-$E$3,22))),0))-IF($G$2,0,IF((J$6-$G$3)&lt;1,0,IFERROR(LOOKUP(2,1/(Aveia!$E16:INDEX(Aveia!$E16:$Z16,MIN(J$6-$G$3,22))&lt;&gt;""),Aveia!$E16:INDEX(Aveia!$E16:$Z16,MIN(J$6-$G$3,22))),0)))))</f>
        <v>0</v>
      </c>
      <c r="K18" s="27" t="n">
        <f aca="false">IF(COUNT(Aveia!$E16:$Z16)=0,0,MAX(0,IF((K$6-$E$3)&lt;1,0,IFERROR(LOOKUP(2,1/(Aveia!$E16:INDEX(Aveia!$E16:$Z16,MIN(K$6-$E$3,22))&lt;&gt;""),Aveia!$E16:INDEX(Aveia!$E16:$Z16,MIN(K$6-$E$3,22))),0))-IF($G$2,0,IF((K$6-$G$3)&lt;1,0,IFERROR(LOOKUP(2,1/(Aveia!$E16:INDEX(Aveia!$E16:$Z16,MIN(K$6-$G$3,22))&lt;&gt;""),Aveia!$E16:INDEX(Aveia!$E16:$Z16,MIN(K$6-$G$3,22))),0)))))</f>
        <v>0</v>
      </c>
      <c r="L18" s="27" t="n">
        <f aca="false">IF(COUNT(Aveia!$E16:$Z16)=0,0,MAX(0,IF((L$6-$E$3)&lt;1,0,IFERROR(LOOKUP(2,1/(Aveia!$E16:INDEX(Aveia!$E16:$Z16,MIN(L$6-$E$3,22))&lt;&gt;""),Aveia!$E16:INDEX(Aveia!$E16:$Z16,MIN(L$6-$E$3,22))),0))-IF($G$2,0,IF((L$6-$G$3)&lt;1,0,IFERROR(LOOKUP(2,1/(Aveia!$E16:INDEX(Aveia!$E16:$Z16,MIN(L$6-$G$3,22))&lt;&gt;""),Aveia!$E16:INDEX(Aveia!$E16:$Z16,MIN(L$6-$G$3,22))),0)))))</f>
        <v>0</v>
      </c>
      <c r="M18" s="27" t="n">
        <f aca="false">IF(COUNT(Aveia!$E16:$Z16)=0,0,MAX(0,IF((M$6-$E$3)&lt;1,0,IFERROR(LOOKUP(2,1/(Aveia!$E16:INDEX(Aveia!$E16:$Z16,MIN(M$6-$E$3,22))&lt;&gt;""),Aveia!$E16:INDEX(Aveia!$E16:$Z16,MIN(M$6-$E$3,22))),0))-IF($G$2,0,IF((M$6-$G$3)&lt;1,0,IFERROR(LOOKUP(2,1/(Aveia!$E16:INDEX(Aveia!$E16:$Z16,MIN(M$6-$G$3,22))&lt;&gt;""),Aveia!$E16:INDEX(Aveia!$E16:$Z16,MIN(M$6-$G$3,22))),0)))))</f>
        <v>0</v>
      </c>
      <c r="N18" s="27" t="n">
        <f aca="false">IF(COUNT(Aveia!$E16:$Z16)=0,0,MAX(0,IF((N$6-$E$3)&lt;1,0,IFERROR(LOOKUP(2,1/(Aveia!$E16:INDEX(Aveia!$E16:$Z16,MIN(N$6-$E$3,22))&lt;&gt;""),Aveia!$E16:INDEX(Aveia!$E16:$Z16,MIN(N$6-$E$3,22))),0))-IF($G$2,0,IF((N$6-$G$3)&lt;1,0,IFERROR(LOOKUP(2,1/(Aveia!$E16:INDEX(Aveia!$E16:$Z16,MIN(N$6-$G$3,22))&lt;&gt;""),Aveia!$E16:INDEX(Aveia!$E16:$Z16,MIN(N$6-$G$3,22))),0)))))</f>
        <v>0</v>
      </c>
      <c r="O18" s="27" t="n">
        <f aca="false">IF(COUNT(Aveia!$E16:$Z16)=0,0,MAX(0,IF((O$6-$E$3)&lt;1,0,IFERROR(LOOKUP(2,1/(Aveia!$E16:INDEX(Aveia!$E16:$Z16,MIN(O$6-$E$3,22))&lt;&gt;""),Aveia!$E16:INDEX(Aveia!$E16:$Z16,MIN(O$6-$E$3,22))),0))-IF($G$2,0,IF((O$6-$G$3)&lt;1,0,IFERROR(LOOKUP(2,1/(Aveia!$E16:INDEX(Aveia!$E16:$Z16,MIN(O$6-$G$3,22))&lt;&gt;""),Aveia!$E16:INDEX(Aveia!$E16:$Z16,MIN(O$6-$G$3,22))),0)))))</f>
        <v>0</v>
      </c>
      <c r="P18" s="27" t="n">
        <f aca="false">IF(COUNT(Aveia!$E16:$Z16)=0,0,MAX(0,IF((P$6-$E$3)&lt;1,0,IFERROR(LOOKUP(2,1/(Aveia!$E16:INDEX(Aveia!$E16:$Z16,MIN(P$6-$E$3,22))&lt;&gt;""),Aveia!$E16:INDEX(Aveia!$E16:$Z16,MIN(P$6-$E$3,22))),0))-IF($G$2,0,IF((P$6-$G$3)&lt;1,0,IFERROR(LOOKUP(2,1/(Aveia!$E16:INDEX(Aveia!$E16:$Z16,MIN(P$6-$G$3,22))&lt;&gt;""),Aveia!$E16:INDEX(Aveia!$E16:$Z16,MIN(P$6-$G$3,22))),0)))))</f>
        <v>0</v>
      </c>
      <c r="Q18" s="27" t="n">
        <f aca="false">IF(COUNT(Aveia!$E16:$Z16)=0,0,MAX(0,IF((Q$6-$E$3)&lt;1,0,IFERROR(LOOKUP(2,1/(Aveia!$E16:INDEX(Aveia!$E16:$Z16,MIN(Q$6-$E$3,22))&lt;&gt;""),Aveia!$E16:INDEX(Aveia!$E16:$Z16,MIN(Q$6-$E$3,22))),0))-IF($G$2,0,IF((Q$6-$G$3)&lt;1,0,IFERROR(LOOKUP(2,1/(Aveia!$E16:INDEX(Aveia!$E16:$Z16,MIN(Q$6-$G$3,22))&lt;&gt;""),Aveia!$E16:INDEX(Aveia!$E16:$Z16,MIN(Q$6-$G$3,22))),0)))))</f>
        <v>0</v>
      </c>
      <c r="R18" s="27" t="n">
        <f aca="false">IF(COUNT(Aveia!$E16:$Z16)=0,0,MAX(0,IF((R$6-$E$3)&lt;1,0,IFERROR(LOOKUP(2,1/(Aveia!$E16:INDEX(Aveia!$E16:$Z16,MIN(R$6-$E$3,22))&lt;&gt;""),Aveia!$E16:INDEX(Aveia!$E16:$Z16,MIN(R$6-$E$3,22))),0))-IF($G$2,0,IF((R$6-$G$3)&lt;1,0,IFERROR(LOOKUP(2,1/(Aveia!$E16:INDEX(Aveia!$E16:$Z16,MIN(R$6-$G$3,22))&lt;&gt;""),Aveia!$E16:INDEX(Aveia!$E16:$Z16,MIN(R$6-$G$3,22))),0)))))</f>
        <v>0</v>
      </c>
      <c r="S18" s="27" t="n">
        <f aca="false">IF(COUNT(Aveia!$E16:$Z16)=0,0,MAX(0,IF((S$6-$E$3)&lt;1,0,IFERROR(LOOKUP(2,1/(Aveia!$E16:INDEX(Aveia!$E16:$Z16,MIN(S$6-$E$3,22))&lt;&gt;""),Aveia!$E16:INDEX(Aveia!$E16:$Z16,MIN(S$6-$E$3,22))),0))-IF($G$2,0,IF((S$6-$G$3)&lt;1,0,IFERROR(LOOKUP(2,1/(Aveia!$E16:INDEX(Aveia!$E16:$Z16,MIN(S$6-$G$3,22))&lt;&gt;""),Aveia!$E16:INDEX(Aveia!$E16:$Z16,MIN(S$6-$G$3,22))),0)))))</f>
        <v>0</v>
      </c>
      <c r="T18" s="27" t="n">
        <f aca="false">IF(COUNT(Aveia!$E16:$Z16)=0,0,MAX(0,IF((T$6-$E$3)&lt;1,0,IFERROR(LOOKUP(2,1/(Aveia!$E16:INDEX(Aveia!$E16:$Z16,MIN(T$6-$E$3,22))&lt;&gt;""),Aveia!$E16:INDEX(Aveia!$E16:$Z16,MIN(T$6-$E$3,22))),0))-IF($G$2,0,IF((T$6-$G$3)&lt;1,0,IFERROR(LOOKUP(2,1/(Aveia!$E16:INDEX(Aveia!$E16:$Z16,MIN(T$6-$G$3,22))&lt;&gt;""),Aveia!$E16:INDEX(Aveia!$E16:$Z16,MIN(T$6-$G$3,22))),0)))))</f>
        <v>0</v>
      </c>
      <c r="U18" s="27" t="n">
        <f aca="false">IF(COUNT(Aveia!$E16:$Z16)=0,0,MAX(0,IF((U$6-$E$3)&lt;1,0,IFERROR(LOOKUP(2,1/(Aveia!$E16:INDEX(Aveia!$E16:$Z16,MIN(U$6-$E$3,22))&lt;&gt;""),Aveia!$E16:INDEX(Aveia!$E16:$Z16,MIN(U$6-$E$3,22))),0))-IF($G$2,0,IF((U$6-$G$3)&lt;1,0,IFERROR(LOOKUP(2,1/(Aveia!$E16:INDEX(Aveia!$E16:$Z16,MIN(U$6-$G$3,22))&lt;&gt;""),Aveia!$E16:INDEX(Aveia!$E16:$Z16,MIN(U$6-$G$3,22))),0)))))</f>
        <v>0</v>
      </c>
      <c r="V18" s="27" t="n">
        <f aca="false">IF(COUNT(Aveia!$E16:$Z16)=0,0,MAX(0,IF((V$6-$E$3)&lt;1,0,IFERROR(LOOKUP(2,1/(Aveia!$E16:INDEX(Aveia!$E16:$Z16,MIN(V$6-$E$3,22))&lt;&gt;""),Aveia!$E16:INDEX(Aveia!$E16:$Z16,MIN(V$6-$E$3,22))),0))-IF($G$2,0,IF((V$6-$G$3)&lt;1,0,IFERROR(LOOKUP(2,1/(Aveia!$E16:INDEX(Aveia!$E16:$Z16,MIN(V$6-$G$3,22))&lt;&gt;""),Aveia!$E16:INDEX(Aveia!$E16:$Z16,MIN(V$6-$G$3,22))),0)))))</f>
        <v>0</v>
      </c>
      <c r="W18" s="27" t="n">
        <f aca="false">IF(COUNT(Aveia!$E16:$Z16)=0,0,MAX(0,IF((W$6-$E$3)&lt;1,0,IFERROR(LOOKUP(2,1/(Aveia!$E16:INDEX(Aveia!$E16:$Z16,MIN(W$6-$E$3,22))&lt;&gt;""),Aveia!$E16:INDEX(Aveia!$E16:$Z16,MIN(W$6-$E$3,22))),0))-IF($G$2,0,IF((W$6-$G$3)&lt;1,0,IFERROR(LOOKUP(2,1/(Aveia!$E16:INDEX(Aveia!$E16:$Z16,MIN(W$6-$G$3,22))&lt;&gt;""),Aveia!$E16:INDEX(Aveia!$E16:$Z16,MIN(W$6-$G$3,22))),0)))))</f>
        <v>0</v>
      </c>
      <c r="X18" s="27" t="n">
        <f aca="false">IF(COUNT(Aveia!$E16:$Z16)=0,0,MAX(0,IF((X$6-$E$3)&lt;1,0,IFERROR(LOOKUP(2,1/(Aveia!$E16:INDEX(Aveia!$E16:$Z16,MIN(X$6-$E$3,22))&lt;&gt;""),Aveia!$E16:INDEX(Aveia!$E16:$Z16,MIN(X$6-$E$3,22))),0))-IF($G$2,0,IF((X$6-$G$3)&lt;1,0,IFERROR(LOOKUP(2,1/(Aveia!$E16:INDEX(Aveia!$E16:$Z16,MIN(X$6-$G$3,22))&lt;&gt;""),Aveia!$E16:INDEX(Aveia!$E16:$Z16,MIN(X$6-$G$3,22))),0)))))</f>
        <v>0</v>
      </c>
      <c r="Y18" s="27" t="n">
        <f aca="false">IF(COUNT(Aveia!$E16:$Z16)=0,0,MAX(0,IF((Y$6-$E$3)&lt;1,0,IFERROR(LOOKUP(2,1/(Aveia!$E16:INDEX(Aveia!$E16:$Z16,MIN(Y$6-$E$3,22))&lt;&gt;""),Aveia!$E16:INDEX(Aveia!$E16:$Z16,MIN(Y$6-$E$3,22))),0))-IF($G$2,0,IF((Y$6-$G$3)&lt;1,0,IFERROR(LOOKUP(2,1/(Aveia!$E16:INDEX(Aveia!$E16:$Z16,MIN(Y$6-$G$3,22))&lt;&gt;""),Aveia!$E16:INDEX(Aveia!$E16:$Z16,MIN(Y$6-$G$3,22))),0)))))</f>
        <v>0</v>
      </c>
      <c r="Z18" s="27" t="n">
        <f aca="false">IF(COUNT(Aveia!$E16:$Z16)=0,0,MAX(0,IF((Z$6-$E$3)&lt;1,0,IFERROR(LOOKUP(2,1/(Aveia!$E16:INDEX(Aveia!$E16:$Z16,MIN(Z$6-$E$3,22))&lt;&gt;""),Aveia!$E16:INDEX(Aveia!$E16:$Z16,MIN(Z$6-$E$3,22))),0))-IF($G$2,0,IF((Z$6-$G$3)&lt;1,0,IFERROR(LOOKUP(2,1/(Aveia!$E16:INDEX(Aveia!$E16:$Z16,MIN(Z$6-$G$3,22))&lt;&gt;""),Aveia!$E16:INDEX(Aveia!$E16:$Z16,MIN(Z$6-$G$3,22))),0)))))</f>
        <v>0</v>
      </c>
      <c r="AA18" s="27" t="n">
        <f aca="false">IF(COUNT(Aveia!$E16:$Z16)=0,0,MAX(0,IF((AA$6-$E$3)&lt;1,0,IFERROR(LOOKUP(2,1/(Aveia!$E16:INDEX(Aveia!$E16:$Z16,MIN(AA$6-$E$3,22))&lt;&gt;""),Aveia!$E16:INDEX(Aveia!$E16:$Z16,MIN(AA$6-$E$3,22))),0))-IF($G$2,0,IF((AA$6-$G$3)&lt;1,0,IFERROR(LOOKUP(2,1/(Aveia!$E16:INDEX(Aveia!$E16:$Z16,MIN(AA$6-$G$3,22))&lt;&gt;""),Aveia!$E16:INDEX(Aveia!$E16:$Z16,MIN(AA$6-$G$3,22))),0)))))</f>
        <v>0</v>
      </c>
      <c r="AB18" s="27" t="n">
        <f aca="false">IF(COUNT(Aveia!$E16:$Z16)=0,0,MAX(0,IF((AB$6-$E$3)&lt;1,0,IFERROR(LOOKUP(2,1/(Aveia!$E16:INDEX(Aveia!$E16:$Z16,MIN(AB$6-$E$3,22))&lt;&gt;""),Aveia!$E16:INDEX(Aveia!$E16:$Z16,MIN(AB$6-$E$3,22))),0))-IF($G$2,0,IF((AB$6-$G$3)&lt;1,0,IFERROR(LOOKUP(2,1/(Aveia!$E16:INDEX(Aveia!$E16:$Z16,MIN(AB$6-$G$3,22))&lt;&gt;""),Aveia!$E16:INDEX(Aveia!$E16:$Z16,MIN(AB$6-$G$3,22))),0)))))</f>
        <v>0</v>
      </c>
      <c r="AC18" s="27" t="n">
        <f aca="false">IF(COUNT(Aveia!$E16:$Z16)=0,0,MAX(0,IF((AC$6-$E$3)&lt;1,0,IFERROR(LOOKUP(2,1/(Aveia!$E16:INDEX(Aveia!$E16:$Z16,MIN(AC$6-$E$3,22))&lt;&gt;""),Aveia!$E16:INDEX(Aveia!$E16:$Z16,MIN(AC$6-$E$3,22))),0))-IF($G$2,0,IF((AC$6-$G$3)&lt;1,0,IFERROR(LOOKUP(2,1/(Aveia!$E16:INDEX(Aveia!$E16:$Z16,MIN(AC$6-$G$3,22))&lt;&gt;""),Aveia!$E16:INDEX(Aveia!$E16:$Z16,MIN(AC$6-$G$3,22))),0)))))</f>
        <v>0</v>
      </c>
      <c r="AD18" s="27" t="n">
        <f aca="false">IF(COUNT(Aveia!$E16:$Z16)=0,0,MAX(0,IF((AD$6-$E$3)&lt;1,0,IFERROR(LOOKUP(2,1/(Aveia!$E16:INDEX(Aveia!$E16:$Z16,MIN(AD$6-$E$3,22))&lt;&gt;""),Aveia!$E16:INDEX(Aveia!$E16:$Z16,MIN(AD$6-$E$3,22))),0))-IF($G$2,0,IF((AD$6-$G$3)&lt;1,0,IFERROR(LOOKUP(2,1/(Aveia!$E16:INDEX(Aveia!$E16:$Z16,MIN(AD$6-$G$3,22))&lt;&gt;""),Aveia!$E16:INDEX(Aveia!$E16:$Z16,MIN(AD$6-$G$3,22))),0)))))</f>
        <v>0</v>
      </c>
      <c r="AE18" s="27" t="n">
        <f aca="false">IF(COUNT(Aveia!$E16:$Z16)=0,0,MAX(0,IF((AE$6-$E$3)&lt;1,0,IFERROR(LOOKUP(2,1/(Aveia!$E16:INDEX(Aveia!$E16:$Z16,MIN(AE$6-$E$3,22))&lt;&gt;""),Aveia!$E16:INDEX(Aveia!$E16:$Z16,MIN(AE$6-$E$3,22))),0))-IF($G$2,0,IF((AE$6-$G$3)&lt;1,0,IFERROR(LOOKUP(2,1/(Aveia!$E16:INDEX(Aveia!$E16:$Z16,MIN(AE$6-$G$3,22))&lt;&gt;""),Aveia!$E16:INDEX(Aveia!$E16:$Z16,MIN(AE$6-$G$3,22))),0)))))</f>
        <v>0</v>
      </c>
      <c r="AF18" s="27" t="n">
        <f aca="false">IF(COUNT(Aveia!$E16:$Z16)=0,0,MAX(0,IF((AF$6-$E$3)&lt;1,0,IFERROR(LOOKUP(2,1/(Aveia!$E16:INDEX(Aveia!$E16:$Z16,MIN(AF$6-$E$3,22))&lt;&gt;""),Aveia!$E16:INDEX(Aveia!$E16:$Z16,MIN(AF$6-$E$3,22))),0))-IF($G$2,0,IF((AF$6-$G$3)&lt;1,0,IFERROR(LOOKUP(2,1/(Aveia!$E16:INDEX(Aveia!$E16:$Z16,MIN(AF$6-$G$3,22))&lt;&gt;""),Aveia!$E16:INDEX(Aveia!$E16:$Z16,MIN(AF$6-$G$3,22))),0)))))</f>
        <v>0</v>
      </c>
      <c r="AG18" s="27" t="n">
        <f aca="false">IF(COUNT(Aveia!$E16:$Z16)=0,0,MAX(0,IF((AG$6-$E$3)&lt;1,0,IFERROR(LOOKUP(2,1/(Aveia!$E16:INDEX(Aveia!$E16:$Z16,MIN(AG$6-$E$3,22))&lt;&gt;""),Aveia!$E16:INDEX(Aveia!$E16:$Z16,MIN(AG$6-$E$3,22))),0))-IF($G$2,0,IF((AG$6-$G$3)&lt;1,0,IFERROR(LOOKUP(2,1/(Aveia!$E16:INDEX(Aveia!$E16:$Z16,MIN(AG$6-$G$3,22))&lt;&gt;""),Aveia!$E16:INDEX(Aveia!$E16:$Z16,MIN(AG$6-$G$3,22))),0)))))</f>
        <v>0</v>
      </c>
      <c r="AH18" s="27" t="n">
        <f aca="false">IF(COUNT(Aveia!$E16:$Z16)=0,0,MAX(0,IF((AH$6-$E$3)&lt;1,0,IFERROR(LOOKUP(2,1/(Aveia!$E16:INDEX(Aveia!$E16:$Z16,MIN(AH$6-$E$3,22))&lt;&gt;""),Aveia!$E16:INDEX(Aveia!$E16:$Z16,MIN(AH$6-$E$3,22))),0))-IF($G$2,0,IF((AH$6-$G$3)&lt;1,0,IFERROR(LOOKUP(2,1/(Aveia!$E16:INDEX(Aveia!$E16:$Z16,MIN(AH$6-$G$3,22))&lt;&gt;""),Aveia!$E16:INDEX(Aveia!$E16:$Z16,MIN(AH$6-$G$3,22))),0)))))</f>
        <v>0</v>
      </c>
      <c r="AI18" s="27" t="n">
        <f aca="false">IF(COUNT(Aveia!$E16:$Z16)=0,0,MAX(0,IF((AI$6-$E$3)&lt;1,0,IFERROR(LOOKUP(2,1/(Aveia!$E16:INDEX(Aveia!$E16:$Z16,MIN(AI$6-$E$3,22))&lt;&gt;""),Aveia!$E16:INDEX(Aveia!$E16:$Z16,MIN(AI$6-$E$3,22))),0))-IF($G$2,0,IF((AI$6-$G$3)&lt;1,0,IFERROR(LOOKUP(2,1/(Aveia!$E16:INDEX(Aveia!$E16:$Z16,MIN(AI$6-$G$3,22))&lt;&gt;""),Aveia!$E16:INDEX(Aveia!$E16:$Z16,MIN(AI$6-$G$3,22))),0)))))</f>
        <v>0</v>
      </c>
      <c r="AJ18" s="27" t="n">
        <f aca="false">IF(COUNT(Aveia!$E16:$Z16)=0,0,MAX(0,IF((AJ$6-$E$3)&lt;1,0,IFERROR(LOOKUP(2,1/(Aveia!$E16:INDEX(Aveia!$E16:$Z16,MIN(AJ$6-$E$3,22))&lt;&gt;""),Aveia!$E16:INDEX(Aveia!$E16:$Z16,MIN(AJ$6-$E$3,22))),0))-IF($G$2,0,IF((AJ$6-$G$3)&lt;1,0,IFERROR(LOOKUP(2,1/(Aveia!$E16:INDEX(Aveia!$E16:$Z16,MIN(AJ$6-$G$3,22))&lt;&gt;""),Aveia!$E16:INDEX(Aveia!$E16:$Z16,MIN(AJ$6-$G$3,22))),0)))))</f>
        <v>0</v>
      </c>
      <c r="AK18" s="27" t="n">
        <f aca="false">IF(COUNT(Aveia!$E16:$Z16)=0,0,MAX(0,IF((AK$6-$E$3)&lt;1,0,IFERROR(LOOKUP(2,1/(Aveia!$E16:INDEX(Aveia!$E16:$Z16,MIN(AK$6-$E$3,22))&lt;&gt;""),Aveia!$E16:INDEX(Aveia!$E16:$Z16,MIN(AK$6-$E$3,22))),0))-IF($G$2,0,IF((AK$6-$G$3)&lt;1,0,IFERROR(LOOKUP(2,1/(Aveia!$E16:INDEX(Aveia!$E16:$Z16,MIN(AK$6-$G$3,22))&lt;&gt;""),Aveia!$E16:INDEX(Aveia!$E16:$Z16,MIN(AK$6-$G$3,22))),0)))))</f>
        <v>0</v>
      </c>
      <c r="AL18" s="27" t="n">
        <f aca="false">IF(COUNT(Aveia!$E16:$Z16)=0,0,MAX(0,IF((AL$6-$E$3)&lt;1,0,IFERROR(LOOKUP(2,1/(Aveia!$E16:INDEX(Aveia!$E16:$Z16,MIN(AL$6-$E$3,22))&lt;&gt;""),Aveia!$E16:INDEX(Aveia!$E16:$Z16,MIN(AL$6-$E$3,22))),0))-IF($G$2,0,IF((AL$6-$G$3)&lt;1,0,IFERROR(LOOKUP(2,1/(Aveia!$E16:INDEX(Aveia!$E16:$Z16,MIN(AL$6-$G$3,22))&lt;&gt;""),Aveia!$E16:INDEX(Aveia!$E16:$Z16,MIN(AL$6-$G$3,22))),0)))))</f>
        <v>0</v>
      </c>
      <c r="AM18" s="27" t="n">
        <f aca="false">IF(COUNT(Aveia!$E16:$Z16)=0,0,MAX(0,IF((AM$6-$E$3)&lt;1,0,IFERROR(LOOKUP(2,1/(Aveia!$E16:INDEX(Aveia!$E16:$Z16,MIN(AM$6-$E$3,22))&lt;&gt;""),Aveia!$E16:INDEX(Aveia!$E16:$Z16,MIN(AM$6-$E$3,22))),0))-IF($G$2,0,IF((AM$6-$G$3)&lt;1,0,IFERROR(LOOKUP(2,1/(Aveia!$E16:INDEX(Aveia!$E16:$Z16,MIN(AM$6-$G$3,22))&lt;&gt;""),Aveia!$E16:INDEX(Aveia!$E16:$Z16,MIN(AM$6-$G$3,22))),0)))))</f>
        <v>0</v>
      </c>
      <c r="AN18" s="27" t="n">
        <f aca="false">IF(COUNT(Aveia!$E16:$Z16)=0,0,MAX(0,IF((AN$6-$E$3)&lt;1,0,IFERROR(LOOKUP(2,1/(Aveia!$E16:INDEX(Aveia!$E16:$Z16,MIN(AN$6-$E$3,22))&lt;&gt;""),Aveia!$E16:INDEX(Aveia!$E16:$Z16,MIN(AN$6-$E$3,22))),0))-IF($G$2,0,IF((AN$6-$G$3)&lt;1,0,IFERROR(LOOKUP(2,1/(Aveia!$E16:INDEX(Aveia!$E16:$Z16,MIN(AN$6-$G$3,22))&lt;&gt;""),Aveia!$E16:INDEX(Aveia!$E16:$Z16,MIN(AN$6-$G$3,22))),0)))))</f>
        <v>0</v>
      </c>
      <c r="AO18" s="27" t="n">
        <f aca="false">IF(COUNT(Aveia!$E16:$Z16)=0,0,MAX(0,IF((AO$6-$E$3)&lt;1,0,IFERROR(LOOKUP(2,1/(Aveia!$E16:INDEX(Aveia!$E16:$Z16,MIN(AO$6-$E$3,22))&lt;&gt;""),Aveia!$E16:INDEX(Aveia!$E16:$Z16,MIN(AO$6-$E$3,22))),0))-IF($G$2,0,IF((AO$6-$G$3)&lt;1,0,IFERROR(LOOKUP(2,1/(Aveia!$E16:INDEX(Aveia!$E16:$Z16,MIN(AO$6-$G$3,22))&lt;&gt;""),Aveia!$E16:INDEX(Aveia!$E16:$Z16,MIN(AO$6-$G$3,22))),0)))))</f>
        <v>0</v>
      </c>
      <c r="AP18" s="27" t="n">
        <f aca="false">IF(COUNT(Aveia!$E16:$Z16)=0,0,MAX(0,IF((AP$6-$E$3)&lt;1,0,IFERROR(LOOKUP(2,1/(Aveia!$E16:INDEX(Aveia!$E16:$Z16,MIN(AP$6-$E$3,22))&lt;&gt;""),Aveia!$E16:INDEX(Aveia!$E16:$Z16,MIN(AP$6-$E$3,22))),0))-IF($G$2,0,IF((AP$6-$G$3)&lt;1,0,IFERROR(LOOKUP(2,1/(Aveia!$E16:INDEX(Aveia!$E16:$Z16,MIN(AP$6-$G$3,22))&lt;&gt;""),Aveia!$E16:INDEX(Aveia!$E16:$Z16,MIN(AP$6-$G$3,22))),0)))))</f>
        <v>0</v>
      </c>
      <c r="AQ18" s="27" t="n">
        <f aca="false">IF(COUNT(Aveia!$E16:$Z16)=0,0,MAX(0,IF((AQ$6-$E$3)&lt;1,0,IFERROR(LOOKUP(2,1/(Aveia!$E16:INDEX(Aveia!$E16:$Z16,MIN(AQ$6-$E$3,22))&lt;&gt;""),Aveia!$E16:INDEX(Aveia!$E16:$Z16,MIN(AQ$6-$E$3,22))),0))-IF($G$2,0,IF((AQ$6-$G$3)&lt;1,0,IFERROR(LOOKUP(2,1/(Aveia!$E16:INDEX(Aveia!$E16:$Z16,MIN(AQ$6-$G$3,22))&lt;&gt;""),Aveia!$E16:INDEX(Aveia!$E16:$Z16,MIN(AQ$6-$G$3,22))),0)))))</f>
        <v>0</v>
      </c>
      <c r="AR18" s="27" t="n">
        <f aca="false">IF(COUNT(Aveia!$E16:$Z16)=0,0,MAX(0,IF((AR$6-$E$3)&lt;1,0,IFERROR(LOOKUP(2,1/(Aveia!$E16:INDEX(Aveia!$E16:$Z16,MIN(AR$6-$E$3,22))&lt;&gt;""),Aveia!$E16:INDEX(Aveia!$E16:$Z16,MIN(AR$6-$E$3,22))),0))-IF($G$2,0,IF((AR$6-$G$3)&lt;1,0,IFERROR(LOOKUP(2,1/(Aveia!$E16:INDEX(Aveia!$E16:$Z16,MIN(AR$6-$G$3,22))&lt;&gt;""),Aveia!$E16:INDEX(Aveia!$E16:$Z16,MIN(AR$6-$G$3,22))),0)))))</f>
        <v>0</v>
      </c>
      <c r="AS18" s="27" t="n">
        <f aca="false">IF(COUNT(Aveia!$E16:$Z16)=0,0,MAX(0,IF((AS$6-$E$3)&lt;1,0,IFERROR(LOOKUP(2,1/(Aveia!$E16:INDEX(Aveia!$E16:$Z16,MIN(AS$6-$E$3,22))&lt;&gt;""),Aveia!$E16:INDEX(Aveia!$E16:$Z16,MIN(AS$6-$E$3,22))),0))-IF($G$2,0,IF((AS$6-$G$3)&lt;1,0,IFERROR(LOOKUP(2,1/(Aveia!$E16:INDEX(Aveia!$E16:$Z16,MIN(AS$6-$G$3,22))&lt;&gt;""),Aveia!$E16:INDEX(Aveia!$E16:$Z16,MIN(AS$6-$G$3,22))),0)))))</f>
        <v>0</v>
      </c>
      <c r="AT18" s="27" t="n">
        <f aca="false">IF(COUNT(Aveia!$E16:$Z16)=0,0,MAX(0,IF((AT$6-$E$3)&lt;1,0,IFERROR(LOOKUP(2,1/(Aveia!$E16:INDEX(Aveia!$E16:$Z16,MIN(AT$6-$E$3,22))&lt;&gt;""),Aveia!$E16:INDEX(Aveia!$E16:$Z16,MIN(AT$6-$E$3,22))),0))-IF($G$2,0,IF((AT$6-$G$3)&lt;1,0,IFERROR(LOOKUP(2,1/(Aveia!$E16:INDEX(Aveia!$E16:$Z16,MIN(AT$6-$G$3,22))&lt;&gt;""),Aveia!$E16:INDEX(Aveia!$E16:$Z16,MIN(AT$6-$G$3,22))),0)))))</f>
        <v>0</v>
      </c>
      <c r="AU18" s="27" t="n">
        <f aca="false">IF(COUNT(Aveia!$E16:$Z16)=0,0,MAX(0,IF((AU$6-$E$3)&lt;1,0,IFERROR(LOOKUP(2,1/(Aveia!$E16:INDEX(Aveia!$E16:$Z16,MIN(AU$6-$E$3,22))&lt;&gt;""),Aveia!$E16:INDEX(Aveia!$E16:$Z16,MIN(AU$6-$E$3,22))),0))-IF($G$2,0,IF((AU$6-$G$3)&lt;1,0,IFERROR(LOOKUP(2,1/(Aveia!$E16:INDEX(Aveia!$E16:$Z16,MIN(AU$6-$G$3,22))&lt;&gt;""),Aveia!$E16:INDEX(Aveia!$E16:$Z16,MIN(AU$6-$G$3,22))),0)))))</f>
        <v>0</v>
      </c>
      <c r="AV18" s="27" t="n">
        <f aca="false">IF(COUNT(Aveia!$E16:$Z16)=0,0,MAX(0,IF((AV$6-$E$3)&lt;1,0,IFERROR(LOOKUP(2,1/(Aveia!$E16:INDEX(Aveia!$E16:$Z16,MIN(AV$6-$E$3,22))&lt;&gt;""),Aveia!$E16:INDEX(Aveia!$E16:$Z16,MIN(AV$6-$E$3,22))),0))-IF($G$2,0,IF((AV$6-$G$3)&lt;1,0,IFERROR(LOOKUP(2,1/(Aveia!$E16:INDEX(Aveia!$E16:$Z16,MIN(AV$6-$G$3,22))&lt;&gt;""),Aveia!$E16:INDEX(Aveia!$E16:$Z16,MIN(AV$6-$G$3,22))),0)))))</f>
        <v>0</v>
      </c>
      <c r="AW18" s="27" t="n">
        <f aca="false">IF(COUNT(Aveia!$E16:$Z16)=0,0,MAX(0,IF((AW$6-$E$3)&lt;1,0,IFERROR(LOOKUP(2,1/(Aveia!$E16:INDEX(Aveia!$E16:$Z16,MIN(AW$6-$E$3,22))&lt;&gt;""),Aveia!$E16:INDEX(Aveia!$E16:$Z16,MIN(AW$6-$E$3,22))),0))-IF($G$2,0,IF((AW$6-$G$3)&lt;1,0,IFERROR(LOOKUP(2,1/(Aveia!$E16:INDEX(Aveia!$E16:$Z16,MIN(AW$6-$G$3,22))&lt;&gt;""),Aveia!$E16:INDEX(Aveia!$E16:$Z16,MIN(AW$6-$G$3,22))),0)))))</f>
        <v>0</v>
      </c>
      <c r="AX18" s="27" t="n">
        <f aca="false">IF(COUNT(Aveia!$E16:$Z16)=0,0,MAX(0,IF((AX$6-$E$3)&lt;1,0,IFERROR(LOOKUP(2,1/(Aveia!$E16:INDEX(Aveia!$E16:$Z16,MIN(AX$6-$E$3,22))&lt;&gt;""),Aveia!$E16:INDEX(Aveia!$E16:$Z16,MIN(AX$6-$E$3,22))),0))-IF($G$2,0,IF((AX$6-$G$3)&lt;1,0,IFERROR(LOOKUP(2,1/(Aveia!$E16:INDEX(Aveia!$E16:$Z16,MIN(AX$6-$G$3,22))&lt;&gt;""),Aveia!$E16:INDEX(Aveia!$E16:$Z16,MIN(AX$6-$G$3,22))),0)))))</f>
        <v>0</v>
      </c>
      <c r="AY18" s="27" t="n">
        <f aca="false">IF(COUNT(Aveia!$E16:$Z16)=0,0,MAX(0,IF((AY$6-$E$3)&lt;1,0,IFERROR(LOOKUP(2,1/(Aveia!$E16:INDEX(Aveia!$E16:$Z16,MIN(AY$6-$E$3,22))&lt;&gt;""),Aveia!$E16:INDEX(Aveia!$E16:$Z16,MIN(AY$6-$E$3,22))),0))-IF($G$2,0,IF((AY$6-$G$3)&lt;1,0,IFERROR(LOOKUP(2,1/(Aveia!$E16:INDEX(Aveia!$E16:$Z16,MIN(AY$6-$G$3,22))&lt;&gt;""),Aveia!$E16:INDEX(Aveia!$E16:$Z16,MIN(AY$6-$G$3,22))),0)))))</f>
        <v>0</v>
      </c>
      <c r="AZ18" s="27" t="n">
        <f aca="false">IF(COUNT(Aveia!$E16:$Z16)=0,0,MAX(0,IF((AZ$6-$E$3)&lt;1,0,IFERROR(LOOKUP(2,1/(Aveia!$E16:INDEX(Aveia!$E16:$Z16,MIN(AZ$6-$E$3,22))&lt;&gt;""),Aveia!$E16:INDEX(Aveia!$E16:$Z16,MIN(AZ$6-$E$3,22))),0))-IF($G$2,0,IF((AZ$6-$G$3)&lt;1,0,IFERROR(LOOKUP(2,1/(Aveia!$E16:INDEX(Aveia!$E16:$Z16,MIN(AZ$6-$G$3,22))&lt;&gt;""),Aveia!$E16:INDEX(Aveia!$E16:$Z16,MIN(AZ$6-$G$3,22))),0)))))</f>
        <v>0</v>
      </c>
    </row>
    <row r="19" customFormat="false" ht="15" hidden="false" customHeight="false" outlineLevel="0" collapsed="false">
      <c r="A19" s="3" t="s">
        <v>159</v>
      </c>
      <c r="B19" s="3" t="s">
        <v>160</v>
      </c>
      <c r="C19" s="10" t="s">
        <v>140</v>
      </c>
      <c r="D19" s="26" t="n">
        <f aca="false">IF(COUNT(Aveia!$E17:$Z17)&gt;0,N(Aveia!$D17),0)</f>
        <v>0</v>
      </c>
      <c r="E19" s="27" t="n">
        <f aca="false">IF(COUNT(Aveia!$E17:$Z17)=0,0,MAX(0,IF((E$6-$E$3)&lt;1,0,IFERROR(LOOKUP(2,1/(Aveia!$E17:INDEX(Aveia!$E17:$Z17,MIN(E$6-$E$3,22))&lt;&gt;""),Aveia!$E17:INDEX(Aveia!$E17:$Z17,MIN(E$6-$E$3,22))),0))-IF($G$2,0,IF((E$6-$G$3)&lt;1,0,IFERROR(LOOKUP(2,1/(Aveia!$E17:INDEX(Aveia!$E17:$Z17,MIN(E$6-$G$3,22))&lt;&gt;""),Aveia!$E17:INDEX(Aveia!$E17:$Z17,MIN(E$6-$G$3,22))),0)))))</f>
        <v>0</v>
      </c>
      <c r="F19" s="27" t="n">
        <f aca="false">IF(COUNT(Aveia!$E17:$Z17)=0,0,MAX(0,IF((F$6-$E$3)&lt;1,0,IFERROR(LOOKUP(2,1/(Aveia!$E17:INDEX(Aveia!$E17:$Z17,MIN(F$6-$E$3,22))&lt;&gt;""),Aveia!$E17:INDEX(Aveia!$E17:$Z17,MIN(F$6-$E$3,22))),0))-IF($G$2,0,IF((F$6-$G$3)&lt;1,0,IFERROR(LOOKUP(2,1/(Aveia!$E17:INDEX(Aveia!$E17:$Z17,MIN(F$6-$G$3,22))&lt;&gt;""),Aveia!$E17:INDEX(Aveia!$E17:$Z17,MIN(F$6-$G$3,22))),0)))))</f>
        <v>0</v>
      </c>
      <c r="G19" s="27" t="n">
        <f aca="false">IF(COUNT(Aveia!$E17:$Z17)=0,0,MAX(0,IF((G$6-$E$3)&lt;1,0,IFERROR(LOOKUP(2,1/(Aveia!$E17:INDEX(Aveia!$E17:$Z17,MIN(G$6-$E$3,22))&lt;&gt;""),Aveia!$E17:INDEX(Aveia!$E17:$Z17,MIN(G$6-$E$3,22))),0))-IF($G$2,0,IF((G$6-$G$3)&lt;1,0,IFERROR(LOOKUP(2,1/(Aveia!$E17:INDEX(Aveia!$E17:$Z17,MIN(G$6-$G$3,22))&lt;&gt;""),Aveia!$E17:INDEX(Aveia!$E17:$Z17,MIN(G$6-$G$3,22))),0)))))</f>
        <v>0</v>
      </c>
      <c r="H19" s="27" t="n">
        <f aca="false">IF(COUNT(Aveia!$E17:$Z17)=0,0,MAX(0,IF((H$6-$E$3)&lt;1,0,IFERROR(LOOKUP(2,1/(Aveia!$E17:INDEX(Aveia!$E17:$Z17,MIN(H$6-$E$3,22))&lt;&gt;""),Aveia!$E17:INDEX(Aveia!$E17:$Z17,MIN(H$6-$E$3,22))),0))-IF($G$2,0,IF((H$6-$G$3)&lt;1,0,IFERROR(LOOKUP(2,1/(Aveia!$E17:INDEX(Aveia!$E17:$Z17,MIN(H$6-$G$3,22))&lt;&gt;""),Aveia!$E17:INDEX(Aveia!$E17:$Z17,MIN(H$6-$G$3,22))),0)))))</f>
        <v>0</v>
      </c>
      <c r="I19" s="27" t="n">
        <f aca="false">IF(COUNT(Aveia!$E17:$Z17)=0,0,MAX(0,IF((I$6-$E$3)&lt;1,0,IFERROR(LOOKUP(2,1/(Aveia!$E17:INDEX(Aveia!$E17:$Z17,MIN(I$6-$E$3,22))&lt;&gt;""),Aveia!$E17:INDEX(Aveia!$E17:$Z17,MIN(I$6-$E$3,22))),0))-IF($G$2,0,IF((I$6-$G$3)&lt;1,0,IFERROR(LOOKUP(2,1/(Aveia!$E17:INDEX(Aveia!$E17:$Z17,MIN(I$6-$G$3,22))&lt;&gt;""),Aveia!$E17:INDEX(Aveia!$E17:$Z17,MIN(I$6-$G$3,22))),0)))))</f>
        <v>0</v>
      </c>
      <c r="J19" s="27" t="n">
        <f aca="false">IF(COUNT(Aveia!$E17:$Z17)=0,0,MAX(0,IF((J$6-$E$3)&lt;1,0,IFERROR(LOOKUP(2,1/(Aveia!$E17:INDEX(Aveia!$E17:$Z17,MIN(J$6-$E$3,22))&lt;&gt;""),Aveia!$E17:INDEX(Aveia!$E17:$Z17,MIN(J$6-$E$3,22))),0))-IF($G$2,0,IF((J$6-$G$3)&lt;1,0,IFERROR(LOOKUP(2,1/(Aveia!$E17:INDEX(Aveia!$E17:$Z17,MIN(J$6-$G$3,22))&lt;&gt;""),Aveia!$E17:INDEX(Aveia!$E17:$Z17,MIN(J$6-$G$3,22))),0)))))</f>
        <v>0</v>
      </c>
      <c r="K19" s="27" t="n">
        <f aca="false">IF(COUNT(Aveia!$E17:$Z17)=0,0,MAX(0,IF((K$6-$E$3)&lt;1,0,IFERROR(LOOKUP(2,1/(Aveia!$E17:INDEX(Aveia!$E17:$Z17,MIN(K$6-$E$3,22))&lt;&gt;""),Aveia!$E17:INDEX(Aveia!$E17:$Z17,MIN(K$6-$E$3,22))),0))-IF($G$2,0,IF((K$6-$G$3)&lt;1,0,IFERROR(LOOKUP(2,1/(Aveia!$E17:INDEX(Aveia!$E17:$Z17,MIN(K$6-$G$3,22))&lt;&gt;""),Aveia!$E17:INDEX(Aveia!$E17:$Z17,MIN(K$6-$G$3,22))),0)))))</f>
        <v>0</v>
      </c>
      <c r="L19" s="27" t="n">
        <f aca="false">IF(COUNT(Aveia!$E17:$Z17)=0,0,MAX(0,IF((L$6-$E$3)&lt;1,0,IFERROR(LOOKUP(2,1/(Aveia!$E17:INDEX(Aveia!$E17:$Z17,MIN(L$6-$E$3,22))&lt;&gt;""),Aveia!$E17:INDEX(Aveia!$E17:$Z17,MIN(L$6-$E$3,22))),0))-IF($G$2,0,IF((L$6-$G$3)&lt;1,0,IFERROR(LOOKUP(2,1/(Aveia!$E17:INDEX(Aveia!$E17:$Z17,MIN(L$6-$G$3,22))&lt;&gt;""),Aveia!$E17:INDEX(Aveia!$E17:$Z17,MIN(L$6-$G$3,22))),0)))))</f>
        <v>0</v>
      </c>
      <c r="M19" s="27" t="n">
        <f aca="false">IF(COUNT(Aveia!$E17:$Z17)=0,0,MAX(0,IF((M$6-$E$3)&lt;1,0,IFERROR(LOOKUP(2,1/(Aveia!$E17:INDEX(Aveia!$E17:$Z17,MIN(M$6-$E$3,22))&lt;&gt;""),Aveia!$E17:INDEX(Aveia!$E17:$Z17,MIN(M$6-$E$3,22))),0))-IF($G$2,0,IF((M$6-$G$3)&lt;1,0,IFERROR(LOOKUP(2,1/(Aveia!$E17:INDEX(Aveia!$E17:$Z17,MIN(M$6-$G$3,22))&lt;&gt;""),Aveia!$E17:INDEX(Aveia!$E17:$Z17,MIN(M$6-$G$3,22))),0)))))</f>
        <v>0</v>
      </c>
      <c r="N19" s="27" t="n">
        <f aca="false">IF(COUNT(Aveia!$E17:$Z17)=0,0,MAX(0,IF((N$6-$E$3)&lt;1,0,IFERROR(LOOKUP(2,1/(Aveia!$E17:INDEX(Aveia!$E17:$Z17,MIN(N$6-$E$3,22))&lt;&gt;""),Aveia!$E17:INDEX(Aveia!$E17:$Z17,MIN(N$6-$E$3,22))),0))-IF($G$2,0,IF((N$6-$G$3)&lt;1,0,IFERROR(LOOKUP(2,1/(Aveia!$E17:INDEX(Aveia!$E17:$Z17,MIN(N$6-$G$3,22))&lt;&gt;""),Aveia!$E17:INDEX(Aveia!$E17:$Z17,MIN(N$6-$G$3,22))),0)))))</f>
        <v>0</v>
      </c>
      <c r="O19" s="27" t="n">
        <f aca="false">IF(COUNT(Aveia!$E17:$Z17)=0,0,MAX(0,IF((O$6-$E$3)&lt;1,0,IFERROR(LOOKUP(2,1/(Aveia!$E17:INDEX(Aveia!$E17:$Z17,MIN(O$6-$E$3,22))&lt;&gt;""),Aveia!$E17:INDEX(Aveia!$E17:$Z17,MIN(O$6-$E$3,22))),0))-IF($G$2,0,IF((O$6-$G$3)&lt;1,0,IFERROR(LOOKUP(2,1/(Aveia!$E17:INDEX(Aveia!$E17:$Z17,MIN(O$6-$G$3,22))&lt;&gt;""),Aveia!$E17:INDEX(Aveia!$E17:$Z17,MIN(O$6-$G$3,22))),0)))))</f>
        <v>0</v>
      </c>
      <c r="P19" s="27" t="n">
        <f aca="false">IF(COUNT(Aveia!$E17:$Z17)=0,0,MAX(0,IF((P$6-$E$3)&lt;1,0,IFERROR(LOOKUP(2,1/(Aveia!$E17:INDEX(Aveia!$E17:$Z17,MIN(P$6-$E$3,22))&lt;&gt;""),Aveia!$E17:INDEX(Aveia!$E17:$Z17,MIN(P$6-$E$3,22))),0))-IF($G$2,0,IF((P$6-$G$3)&lt;1,0,IFERROR(LOOKUP(2,1/(Aveia!$E17:INDEX(Aveia!$E17:$Z17,MIN(P$6-$G$3,22))&lt;&gt;""),Aveia!$E17:INDEX(Aveia!$E17:$Z17,MIN(P$6-$G$3,22))),0)))))</f>
        <v>0</v>
      </c>
      <c r="Q19" s="27" t="n">
        <f aca="false">IF(COUNT(Aveia!$E17:$Z17)=0,0,MAX(0,IF((Q$6-$E$3)&lt;1,0,IFERROR(LOOKUP(2,1/(Aveia!$E17:INDEX(Aveia!$E17:$Z17,MIN(Q$6-$E$3,22))&lt;&gt;""),Aveia!$E17:INDEX(Aveia!$E17:$Z17,MIN(Q$6-$E$3,22))),0))-IF($G$2,0,IF((Q$6-$G$3)&lt;1,0,IFERROR(LOOKUP(2,1/(Aveia!$E17:INDEX(Aveia!$E17:$Z17,MIN(Q$6-$G$3,22))&lt;&gt;""),Aveia!$E17:INDEX(Aveia!$E17:$Z17,MIN(Q$6-$G$3,22))),0)))))</f>
        <v>0</v>
      </c>
      <c r="R19" s="27" t="n">
        <f aca="false">IF(COUNT(Aveia!$E17:$Z17)=0,0,MAX(0,IF((R$6-$E$3)&lt;1,0,IFERROR(LOOKUP(2,1/(Aveia!$E17:INDEX(Aveia!$E17:$Z17,MIN(R$6-$E$3,22))&lt;&gt;""),Aveia!$E17:INDEX(Aveia!$E17:$Z17,MIN(R$6-$E$3,22))),0))-IF($G$2,0,IF((R$6-$G$3)&lt;1,0,IFERROR(LOOKUP(2,1/(Aveia!$E17:INDEX(Aveia!$E17:$Z17,MIN(R$6-$G$3,22))&lt;&gt;""),Aveia!$E17:INDEX(Aveia!$E17:$Z17,MIN(R$6-$G$3,22))),0)))))</f>
        <v>0</v>
      </c>
      <c r="S19" s="27" t="n">
        <f aca="false">IF(COUNT(Aveia!$E17:$Z17)=0,0,MAX(0,IF((S$6-$E$3)&lt;1,0,IFERROR(LOOKUP(2,1/(Aveia!$E17:INDEX(Aveia!$E17:$Z17,MIN(S$6-$E$3,22))&lt;&gt;""),Aveia!$E17:INDEX(Aveia!$E17:$Z17,MIN(S$6-$E$3,22))),0))-IF($G$2,0,IF((S$6-$G$3)&lt;1,0,IFERROR(LOOKUP(2,1/(Aveia!$E17:INDEX(Aveia!$E17:$Z17,MIN(S$6-$G$3,22))&lt;&gt;""),Aveia!$E17:INDEX(Aveia!$E17:$Z17,MIN(S$6-$G$3,22))),0)))))</f>
        <v>0</v>
      </c>
      <c r="T19" s="27" t="n">
        <f aca="false">IF(COUNT(Aveia!$E17:$Z17)=0,0,MAX(0,IF((T$6-$E$3)&lt;1,0,IFERROR(LOOKUP(2,1/(Aveia!$E17:INDEX(Aveia!$E17:$Z17,MIN(T$6-$E$3,22))&lt;&gt;""),Aveia!$E17:INDEX(Aveia!$E17:$Z17,MIN(T$6-$E$3,22))),0))-IF($G$2,0,IF((T$6-$G$3)&lt;1,0,IFERROR(LOOKUP(2,1/(Aveia!$E17:INDEX(Aveia!$E17:$Z17,MIN(T$6-$G$3,22))&lt;&gt;""),Aveia!$E17:INDEX(Aveia!$E17:$Z17,MIN(T$6-$G$3,22))),0)))))</f>
        <v>0</v>
      </c>
      <c r="U19" s="27" t="n">
        <f aca="false">IF(COUNT(Aveia!$E17:$Z17)=0,0,MAX(0,IF((U$6-$E$3)&lt;1,0,IFERROR(LOOKUP(2,1/(Aveia!$E17:INDEX(Aveia!$E17:$Z17,MIN(U$6-$E$3,22))&lt;&gt;""),Aveia!$E17:INDEX(Aveia!$E17:$Z17,MIN(U$6-$E$3,22))),0))-IF($G$2,0,IF((U$6-$G$3)&lt;1,0,IFERROR(LOOKUP(2,1/(Aveia!$E17:INDEX(Aveia!$E17:$Z17,MIN(U$6-$G$3,22))&lt;&gt;""),Aveia!$E17:INDEX(Aveia!$E17:$Z17,MIN(U$6-$G$3,22))),0)))))</f>
        <v>0</v>
      </c>
      <c r="V19" s="27" t="n">
        <f aca="false">IF(COUNT(Aveia!$E17:$Z17)=0,0,MAX(0,IF((V$6-$E$3)&lt;1,0,IFERROR(LOOKUP(2,1/(Aveia!$E17:INDEX(Aveia!$E17:$Z17,MIN(V$6-$E$3,22))&lt;&gt;""),Aveia!$E17:INDEX(Aveia!$E17:$Z17,MIN(V$6-$E$3,22))),0))-IF($G$2,0,IF((V$6-$G$3)&lt;1,0,IFERROR(LOOKUP(2,1/(Aveia!$E17:INDEX(Aveia!$E17:$Z17,MIN(V$6-$G$3,22))&lt;&gt;""),Aveia!$E17:INDEX(Aveia!$E17:$Z17,MIN(V$6-$G$3,22))),0)))))</f>
        <v>0</v>
      </c>
      <c r="W19" s="27" t="n">
        <f aca="false">IF(COUNT(Aveia!$E17:$Z17)=0,0,MAX(0,IF((W$6-$E$3)&lt;1,0,IFERROR(LOOKUP(2,1/(Aveia!$E17:INDEX(Aveia!$E17:$Z17,MIN(W$6-$E$3,22))&lt;&gt;""),Aveia!$E17:INDEX(Aveia!$E17:$Z17,MIN(W$6-$E$3,22))),0))-IF($G$2,0,IF((W$6-$G$3)&lt;1,0,IFERROR(LOOKUP(2,1/(Aveia!$E17:INDEX(Aveia!$E17:$Z17,MIN(W$6-$G$3,22))&lt;&gt;""),Aveia!$E17:INDEX(Aveia!$E17:$Z17,MIN(W$6-$G$3,22))),0)))))</f>
        <v>0</v>
      </c>
      <c r="X19" s="27" t="n">
        <f aca="false">IF(COUNT(Aveia!$E17:$Z17)=0,0,MAX(0,IF((X$6-$E$3)&lt;1,0,IFERROR(LOOKUP(2,1/(Aveia!$E17:INDEX(Aveia!$E17:$Z17,MIN(X$6-$E$3,22))&lt;&gt;""),Aveia!$E17:INDEX(Aveia!$E17:$Z17,MIN(X$6-$E$3,22))),0))-IF($G$2,0,IF((X$6-$G$3)&lt;1,0,IFERROR(LOOKUP(2,1/(Aveia!$E17:INDEX(Aveia!$E17:$Z17,MIN(X$6-$G$3,22))&lt;&gt;""),Aveia!$E17:INDEX(Aveia!$E17:$Z17,MIN(X$6-$G$3,22))),0)))))</f>
        <v>0</v>
      </c>
      <c r="Y19" s="27" t="n">
        <f aca="false">IF(COUNT(Aveia!$E17:$Z17)=0,0,MAX(0,IF((Y$6-$E$3)&lt;1,0,IFERROR(LOOKUP(2,1/(Aveia!$E17:INDEX(Aveia!$E17:$Z17,MIN(Y$6-$E$3,22))&lt;&gt;""),Aveia!$E17:INDEX(Aveia!$E17:$Z17,MIN(Y$6-$E$3,22))),0))-IF($G$2,0,IF((Y$6-$G$3)&lt;1,0,IFERROR(LOOKUP(2,1/(Aveia!$E17:INDEX(Aveia!$E17:$Z17,MIN(Y$6-$G$3,22))&lt;&gt;""),Aveia!$E17:INDEX(Aveia!$E17:$Z17,MIN(Y$6-$G$3,22))),0)))))</f>
        <v>0</v>
      </c>
      <c r="Z19" s="27" t="n">
        <f aca="false">IF(COUNT(Aveia!$E17:$Z17)=0,0,MAX(0,IF((Z$6-$E$3)&lt;1,0,IFERROR(LOOKUP(2,1/(Aveia!$E17:INDEX(Aveia!$E17:$Z17,MIN(Z$6-$E$3,22))&lt;&gt;""),Aveia!$E17:INDEX(Aveia!$E17:$Z17,MIN(Z$6-$E$3,22))),0))-IF($G$2,0,IF((Z$6-$G$3)&lt;1,0,IFERROR(LOOKUP(2,1/(Aveia!$E17:INDEX(Aveia!$E17:$Z17,MIN(Z$6-$G$3,22))&lt;&gt;""),Aveia!$E17:INDEX(Aveia!$E17:$Z17,MIN(Z$6-$G$3,22))),0)))))</f>
        <v>0</v>
      </c>
      <c r="AA19" s="27" t="n">
        <f aca="false">IF(COUNT(Aveia!$E17:$Z17)=0,0,MAX(0,IF((AA$6-$E$3)&lt;1,0,IFERROR(LOOKUP(2,1/(Aveia!$E17:INDEX(Aveia!$E17:$Z17,MIN(AA$6-$E$3,22))&lt;&gt;""),Aveia!$E17:INDEX(Aveia!$E17:$Z17,MIN(AA$6-$E$3,22))),0))-IF($G$2,0,IF((AA$6-$G$3)&lt;1,0,IFERROR(LOOKUP(2,1/(Aveia!$E17:INDEX(Aveia!$E17:$Z17,MIN(AA$6-$G$3,22))&lt;&gt;""),Aveia!$E17:INDEX(Aveia!$E17:$Z17,MIN(AA$6-$G$3,22))),0)))))</f>
        <v>0</v>
      </c>
      <c r="AB19" s="27" t="n">
        <f aca="false">IF(COUNT(Aveia!$E17:$Z17)=0,0,MAX(0,IF((AB$6-$E$3)&lt;1,0,IFERROR(LOOKUP(2,1/(Aveia!$E17:INDEX(Aveia!$E17:$Z17,MIN(AB$6-$E$3,22))&lt;&gt;""),Aveia!$E17:INDEX(Aveia!$E17:$Z17,MIN(AB$6-$E$3,22))),0))-IF($G$2,0,IF((AB$6-$G$3)&lt;1,0,IFERROR(LOOKUP(2,1/(Aveia!$E17:INDEX(Aveia!$E17:$Z17,MIN(AB$6-$G$3,22))&lt;&gt;""),Aveia!$E17:INDEX(Aveia!$E17:$Z17,MIN(AB$6-$G$3,22))),0)))))</f>
        <v>0</v>
      </c>
      <c r="AC19" s="27" t="n">
        <f aca="false">IF(COUNT(Aveia!$E17:$Z17)=0,0,MAX(0,IF((AC$6-$E$3)&lt;1,0,IFERROR(LOOKUP(2,1/(Aveia!$E17:INDEX(Aveia!$E17:$Z17,MIN(AC$6-$E$3,22))&lt;&gt;""),Aveia!$E17:INDEX(Aveia!$E17:$Z17,MIN(AC$6-$E$3,22))),0))-IF($G$2,0,IF((AC$6-$G$3)&lt;1,0,IFERROR(LOOKUP(2,1/(Aveia!$E17:INDEX(Aveia!$E17:$Z17,MIN(AC$6-$G$3,22))&lt;&gt;""),Aveia!$E17:INDEX(Aveia!$E17:$Z17,MIN(AC$6-$G$3,22))),0)))))</f>
        <v>0</v>
      </c>
      <c r="AD19" s="27" t="n">
        <f aca="false">IF(COUNT(Aveia!$E17:$Z17)=0,0,MAX(0,IF((AD$6-$E$3)&lt;1,0,IFERROR(LOOKUP(2,1/(Aveia!$E17:INDEX(Aveia!$E17:$Z17,MIN(AD$6-$E$3,22))&lt;&gt;""),Aveia!$E17:INDEX(Aveia!$E17:$Z17,MIN(AD$6-$E$3,22))),0))-IF($G$2,0,IF((AD$6-$G$3)&lt;1,0,IFERROR(LOOKUP(2,1/(Aveia!$E17:INDEX(Aveia!$E17:$Z17,MIN(AD$6-$G$3,22))&lt;&gt;""),Aveia!$E17:INDEX(Aveia!$E17:$Z17,MIN(AD$6-$G$3,22))),0)))))</f>
        <v>0</v>
      </c>
      <c r="AE19" s="27" t="n">
        <f aca="false">IF(COUNT(Aveia!$E17:$Z17)=0,0,MAX(0,IF((AE$6-$E$3)&lt;1,0,IFERROR(LOOKUP(2,1/(Aveia!$E17:INDEX(Aveia!$E17:$Z17,MIN(AE$6-$E$3,22))&lt;&gt;""),Aveia!$E17:INDEX(Aveia!$E17:$Z17,MIN(AE$6-$E$3,22))),0))-IF($G$2,0,IF((AE$6-$G$3)&lt;1,0,IFERROR(LOOKUP(2,1/(Aveia!$E17:INDEX(Aveia!$E17:$Z17,MIN(AE$6-$G$3,22))&lt;&gt;""),Aveia!$E17:INDEX(Aveia!$E17:$Z17,MIN(AE$6-$G$3,22))),0)))))</f>
        <v>0</v>
      </c>
      <c r="AF19" s="27" t="n">
        <f aca="false">IF(COUNT(Aveia!$E17:$Z17)=0,0,MAX(0,IF((AF$6-$E$3)&lt;1,0,IFERROR(LOOKUP(2,1/(Aveia!$E17:INDEX(Aveia!$E17:$Z17,MIN(AF$6-$E$3,22))&lt;&gt;""),Aveia!$E17:INDEX(Aveia!$E17:$Z17,MIN(AF$6-$E$3,22))),0))-IF($G$2,0,IF((AF$6-$G$3)&lt;1,0,IFERROR(LOOKUP(2,1/(Aveia!$E17:INDEX(Aveia!$E17:$Z17,MIN(AF$6-$G$3,22))&lt;&gt;""),Aveia!$E17:INDEX(Aveia!$E17:$Z17,MIN(AF$6-$G$3,22))),0)))))</f>
        <v>0</v>
      </c>
      <c r="AG19" s="27" t="n">
        <f aca="false">IF(COUNT(Aveia!$E17:$Z17)=0,0,MAX(0,IF((AG$6-$E$3)&lt;1,0,IFERROR(LOOKUP(2,1/(Aveia!$E17:INDEX(Aveia!$E17:$Z17,MIN(AG$6-$E$3,22))&lt;&gt;""),Aveia!$E17:INDEX(Aveia!$E17:$Z17,MIN(AG$6-$E$3,22))),0))-IF($G$2,0,IF((AG$6-$G$3)&lt;1,0,IFERROR(LOOKUP(2,1/(Aveia!$E17:INDEX(Aveia!$E17:$Z17,MIN(AG$6-$G$3,22))&lt;&gt;""),Aveia!$E17:INDEX(Aveia!$E17:$Z17,MIN(AG$6-$G$3,22))),0)))))</f>
        <v>0</v>
      </c>
      <c r="AH19" s="27" t="n">
        <f aca="false">IF(COUNT(Aveia!$E17:$Z17)=0,0,MAX(0,IF((AH$6-$E$3)&lt;1,0,IFERROR(LOOKUP(2,1/(Aveia!$E17:INDEX(Aveia!$E17:$Z17,MIN(AH$6-$E$3,22))&lt;&gt;""),Aveia!$E17:INDEX(Aveia!$E17:$Z17,MIN(AH$6-$E$3,22))),0))-IF($G$2,0,IF((AH$6-$G$3)&lt;1,0,IFERROR(LOOKUP(2,1/(Aveia!$E17:INDEX(Aveia!$E17:$Z17,MIN(AH$6-$G$3,22))&lt;&gt;""),Aveia!$E17:INDEX(Aveia!$E17:$Z17,MIN(AH$6-$G$3,22))),0)))))</f>
        <v>0</v>
      </c>
      <c r="AI19" s="27" t="n">
        <f aca="false">IF(COUNT(Aveia!$E17:$Z17)=0,0,MAX(0,IF((AI$6-$E$3)&lt;1,0,IFERROR(LOOKUP(2,1/(Aveia!$E17:INDEX(Aveia!$E17:$Z17,MIN(AI$6-$E$3,22))&lt;&gt;""),Aveia!$E17:INDEX(Aveia!$E17:$Z17,MIN(AI$6-$E$3,22))),0))-IF($G$2,0,IF((AI$6-$G$3)&lt;1,0,IFERROR(LOOKUP(2,1/(Aveia!$E17:INDEX(Aveia!$E17:$Z17,MIN(AI$6-$G$3,22))&lt;&gt;""),Aveia!$E17:INDEX(Aveia!$E17:$Z17,MIN(AI$6-$G$3,22))),0)))))</f>
        <v>0</v>
      </c>
      <c r="AJ19" s="27" t="n">
        <f aca="false">IF(COUNT(Aveia!$E17:$Z17)=0,0,MAX(0,IF((AJ$6-$E$3)&lt;1,0,IFERROR(LOOKUP(2,1/(Aveia!$E17:INDEX(Aveia!$E17:$Z17,MIN(AJ$6-$E$3,22))&lt;&gt;""),Aveia!$E17:INDEX(Aveia!$E17:$Z17,MIN(AJ$6-$E$3,22))),0))-IF($G$2,0,IF((AJ$6-$G$3)&lt;1,0,IFERROR(LOOKUP(2,1/(Aveia!$E17:INDEX(Aveia!$E17:$Z17,MIN(AJ$6-$G$3,22))&lt;&gt;""),Aveia!$E17:INDEX(Aveia!$E17:$Z17,MIN(AJ$6-$G$3,22))),0)))))</f>
        <v>0</v>
      </c>
      <c r="AK19" s="27" t="n">
        <f aca="false">IF(COUNT(Aveia!$E17:$Z17)=0,0,MAX(0,IF((AK$6-$E$3)&lt;1,0,IFERROR(LOOKUP(2,1/(Aveia!$E17:INDEX(Aveia!$E17:$Z17,MIN(AK$6-$E$3,22))&lt;&gt;""),Aveia!$E17:INDEX(Aveia!$E17:$Z17,MIN(AK$6-$E$3,22))),0))-IF($G$2,0,IF((AK$6-$G$3)&lt;1,0,IFERROR(LOOKUP(2,1/(Aveia!$E17:INDEX(Aveia!$E17:$Z17,MIN(AK$6-$G$3,22))&lt;&gt;""),Aveia!$E17:INDEX(Aveia!$E17:$Z17,MIN(AK$6-$G$3,22))),0)))))</f>
        <v>0</v>
      </c>
      <c r="AL19" s="27" t="n">
        <f aca="false">IF(COUNT(Aveia!$E17:$Z17)=0,0,MAX(0,IF((AL$6-$E$3)&lt;1,0,IFERROR(LOOKUP(2,1/(Aveia!$E17:INDEX(Aveia!$E17:$Z17,MIN(AL$6-$E$3,22))&lt;&gt;""),Aveia!$E17:INDEX(Aveia!$E17:$Z17,MIN(AL$6-$E$3,22))),0))-IF($G$2,0,IF((AL$6-$G$3)&lt;1,0,IFERROR(LOOKUP(2,1/(Aveia!$E17:INDEX(Aveia!$E17:$Z17,MIN(AL$6-$G$3,22))&lt;&gt;""),Aveia!$E17:INDEX(Aveia!$E17:$Z17,MIN(AL$6-$G$3,22))),0)))))</f>
        <v>0</v>
      </c>
      <c r="AM19" s="27" t="n">
        <f aca="false">IF(COUNT(Aveia!$E17:$Z17)=0,0,MAX(0,IF((AM$6-$E$3)&lt;1,0,IFERROR(LOOKUP(2,1/(Aveia!$E17:INDEX(Aveia!$E17:$Z17,MIN(AM$6-$E$3,22))&lt;&gt;""),Aveia!$E17:INDEX(Aveia!$E17:$Z17,MIN(AM$6-$E$3,22))),0))-IF($G$2,0,IF((AM$6-$G$3)&lt;1,0,IFERROR(LOOKUP(2,1/(Aveia!$E17:INDEX(Aveia!$E17:$Z17,MIN(AM$6-$G$3,22))&lt;&gt;""),Aveia!$E17:INDEX(Aveia!$E17:$Z17,MIN(AM$6-$G$3,22))),0)))))</f>
        <v>0</v>
      </c>
      <c r="AN19" s="27" t="n">
        <f aca="false">IF(COUNT(Aveia!$E17:$Z17)=0,0,MAX(0,IF((AN$6-$E$3)&lt;1,0,IFERROR(LOOKUP(2,1/(Aveia!$E17:INDEX(Aveia!$E17:$Z17,MIN(AN$6-$E$3,22))&lt;&gt;""),Aveia!$E17:INDEX(Aveia!$E17:$Z17,MIN(AN$6-$E$3,22))),0))-IF($G$2,0,IF((AN$6-$G$3)&lt;1,0,IFERROR(LOOKUP(2,1/(Aveia!$E17:INDEX(Aveia!$E17:$Z17,MIN(AN$6-$G$3,22))&lt;&gt;""),Aveia!$E17:INDEX(Aveia!$E17:$Z17,MIN(AN$6-$G$3,22))),0)))))</f>
        <v>0</v>
      </c>
      <c r="AO19" s="27" t="n">
        <f aca="false">IF(COUNT(Aveia!$E17:$Z17)=0,0,MAX(0,IF((AO$6-$E$3)&lt;1,0,IFERROR(LOOKUP(2,1/(Aveia!$E17:INDEX(Aveia!$E17:$Z17,MIN(AO$6-$E$3,22))&lt;&gt;""),Aveia!$E17:INDEX(Aveia!$E17:$Z17,MIN(AO$6-$E$3,22))),0))-IF($G$2,0,IF((AO$6-$G$3)&lt;1,0,IFERROR(LOOKUP(2,1/(Aveia!$E17:INDEX(Aveia!$E17:$Z17,MIN(AO$6-$G$3,22))&lt;&gt;""),Aveia!$E17:INDEX(Aveia!$E17:$Z17,MIN(AO$6-$G$3,22))),0)))))</f>
        <v>0</v>
      </c>
      <c r="AP19" s="27" t="n">
        <f aca="false">IF(COUNT(Aveia!$E17:$Z17)=0,0,MAX(0,IF((AP$6-$E$3)&lt;1,0,IFERROR(LOOKUP(2,1/(Aveia!$E17:INDEX(Aveia!$E17:$Z17,MIN(AP$6-$E$3,22))&lt;&gt;""),Aveia!$E17:INDEX(Aveia!$E17:$Z17,MIN(AP$6-$E$3,22))),0))-IF($G$2,0,IF((AP$6-$G$3)&lt;1,0,IFERROR(LOOKUP(2,1/(Aveia!$E17:INDEX(Aveia!$E17:$Z17,MIN(AP$6-$G$3,22))&lt;&gt;""),Aveia!$E17:INDEX(Aveia!$E17:$Z17,MIN(AP$6-$G$3,22))),0)))))</f>
        <v>0</v>
      </c>
      <c r="AQ19" s="27" t="n">
        <f aca="false">IF(COUNT(Aveia!$E17:$Z17)=0,0,MAX(0,IF((AQ$6-$E$3)&lt;1,0,IFERROR(LOOKUP(2,1/(Aveia!$E17:INDEX(Aveia!$E17:$Z17,MIN(AQ$6-$E$3,22))&lt;&gt;""),Aveia!$E17:INDEX(Aveia!$E17:$Z17,MIN(AQ$6-$E$3,22))),0))-IF($G$2,0,IF((AQ$6-$G$3)&lt;1,0,IFERROR(LOOKUP(2,1/(Aveia!$E17:INDEX(Aveia!$E17:$Z17,MIN(AQ$6-$G$3,22))&lt;&gt;""),Aveia!$E17:INDEX(Aveia!$E17:$Z17,MIN(AQ$6-$G$3,22))),0)))))</f>
        <v>0</v>
      </c>
      <c r="AR19" s="27" t="n">
        <f aca="false">IF(COUNT(Aveia!$E17:$Z17)=0,0,MAX(0,IF((AR$6-$E$3)&lt;1,0,IFERROR(LOOKUP(2,1/(Aveia!$E17:INDEX(Aveia!$E17:$Z17,MIN(AR$6-$E$3,22))&lt;&gt;""),Aveia!$E17:INDEX(Aveia!$E17:$Z17,MIN(AR$6-$E$3,22))),0))-IF($G$2,0,IF((AR$6-$G$3)&lt;1,0,IFERROR(LOOKUP(2,1/(Aveia!$E17:INDEX(Aveia!$E17:$Z17,MIN(AR$6-$G$3,22))&lt;&gt;""),Aveia!$E17:INDEX(Aveia!$E17:$Z17,MIN(AR$6-$G$3,22))),0)))))</f>
        <v>0</v>
      </c>
      <c r="AS19" s="27" t="n">
        <f aca="false">IF(COUNT(Aveia!$E17:$Z17)=0,0,MAX(0,IF((AS$6-$E$3)&lt;1,0,IFERROR(LOOKUP(2,1/(Aveia!$E17:INDEX(Aveia!$E17:$Z17,MIN(AS$6-$E$3,22))&lt;&gt;""),Aveia!$E17:INDEX(Aveia!$E17:$Z17,MIN(AS$6-$E$3,22))),0))-IF($G$2,0,IF((AS$6-$G$3)&lt;1,0,IFERROR(LOOKUP(2,1/(Aveia!$E17:INDEX(Aveia!$E17:$Z17,MIN(AS$6-$G$3,22))&lt;&gt;""),Aveia!$E17:INDEX(Aveia!$E17:$Z17,MIN(AS$6-$G$3,22))),0)))))</f>
        <v>0</v>
      </c>
      <c r="AT19" s="27" t="n">
        <f aca="false">IF(COUNT(Aveia!$E17:$Z17)=0,0,MAX(0,IF((AT$6-$E$3)&lt;1,0,IFERROR(LOOKUP(2,1/(Aveia!$E17:INDEX(Aveia!$E17:$Z17,MIN(AT$6-$E$3,22))&lt;&gt;""),Aveia!$E17:INDEX(Aveia!$E17:$Z17,MIN(AT$6-$E$3,22))),0))-IF($G$2,0,IF((AT$6-$G$3)&lt;1,0,IFERROR(LOOKUP(2,1/(Aveia!$E17:INDEX(Aveia!$E17:$Z17,MIN(AT$6-$G$3,22))&lt;&gt;""),Aveia!$E17:INDEX(Aveia!$E17:$Z17,MIN(AT$6-$G$3,22))),0)))))</f>
        <v>0</v>
      </c>
      <c r="AU19" s="27" t="n">
        <f aca="false">IF(COUNT(Aveia!$E17:$Z17)=0,0,MAX(0,IF((AU$6-$E$3)&lt;1,0,IFERROR(LOOKUP(2,1/(Aveia!$E17:INDEX(Aveia!$E17:$Z17,MIN(AU$6-$E$3,22))&lt;&gt;""),Aveia!$E17:INDEX(Aveia!$E17:$Z17,MIN(AU$6-$E$3,22))),0))-IF($G$2,0,IF((AU$6-$G$3)&lt;1,0,IFERROR(LOOKUP(2,1/(Aveia!$E17:INDEX(Aveia!$E17:$Z17,MIN(AU$6-$G$3,22))&lt;&gt;""),Aveia!$E17:INDEX(Aveia!$E17:$Z17,MIN(AU$6-$G$3,22))),0)))))</f>
        <v>0</v>
      </c>
      <c r="AV19" s="27" t="n">
        <f aca="false">IF(COUNT(Aveia!$E17:$Z17)=0,0,MAX(0,IF((AV$6-$E$3)&lt;1,0,IFERROR(LOOKUP(2,1/(Aveia!$E17:INDEX(Aveia!$E17:$Z17,MIN(AV$6-$E$3,22))&lt;&gt;""),Aveia!$E17:INDEX(Aveia!$E17:$Z17,MIN(AV$6-$E$3,22))),0))-IF($G$2,0,IF((AV$6-$G$3)&lt;1,0,IFERROR(LOOKUP(2,1/(Aveia!$E17:INDEX(Aveia!$E17:$Z17,MIN(AV$6-$G$3,22))&lt;&gt;""),Aveia!$E17:INDEX(Aveia!$E17:$Z17,MIN(AV$6-$G$3,22))),0)))))</f>
        <v>0</v>
      </c>
      <c r="AW19" s="27" t="n">
        <f aca="false">IF(COUNT(Aveia!$E17:$Z17)=0,0,MAX(0,IF((AW$6-$E$3)&lt;1,0,IFERROR(LOOKUP(2,1/(Aveia!$E17:INDEX(Aveia!$E17:$Z17,MIN(AW$6-$E$3,22))&lt;&gt;""),Aveia!$E17:INDEX(Aveia!$E17:$Z17,MIN(AW$6-$E$3,22))),0))-IF($G$2,0,IF((AW$6-$G$3)&lt;1,0,IFERROR(LOOKUP(2,1/(Aveia!$E17:INDEX(Aveia!$E17:$Z17,MIN(AW$6-$G$3,22))&lt;&gt;""),Aveia!$E17:INDEX(Aveia!$E17:$Z17,MIN(AW$6-$G$3,22))),0)))))</f>
        <v>0</v>
      </c>
      <c r="AX19" s="27" t="n">
        <f aca="false">IF(COUNT(Aveia!$E17:$Z17)=0,0,MAX(0,IF((AX$6-$E$3)&lt;1,0,IFERROR(LOOKUP(2,1/(Aveia!$E17:INDEX(Aveia!$E17:$Z17,MIN(AX$6-$E$3,22))&lt;&gt;""),Aveia!$E17:INDEX(Aveia!$E17:$Z17,MIN(AX$6-$E$3,22))),0))-IF($G$2,0,IF((AX$6-$G$3)&lt;1,0,IFERROR(LOOKUP(2,1/(Aveia!$E17:INDEX(Aveia!$E17:$Z17,MIN(AX$6-$G$3,22))&lt;&gt;""),Aveia!$E17:INDEX(Aveia!$E17:$Z17,MIN(AX$6-$G$3,22))),0)))))</f>
        <v>0</v>
      </c>
      <c r="AY19" s="27" t="n">
        <f aca="false">IF(COUNT(Aveia!$E17:$Z17)=0,0,MAX(0,IF((AY$6-$E$3)&lt;1,0,IFERROR(LOOKUP(2,1/(Aveia!$E17:INDEX(Aveia!$E17:$Z17,MIN(AY$6-$E$3,22))&lt;&gt;""),Aveia!$E17:INDEX(Aveia!$E17:$Z17,MIN(AY$6-$E$3,22))),0))-IF($G$2,0,IF((AY$6-$G$3)&lt;1,0,IFERROR(LOOKUP(2,1/(Aveia!$E17:INDEX(Aveia!$E17:$Z17,MIN(AY$6-$G$3,22))&lt;&gt;""),Aveia!$E17:INDEX(Aveia!$E17:$Z17,MIN(AY$6-$G$3,22))),0)))))</f>
        <v>0</v>
      </c>
      <c r="AZ19" s="27" t="n">
        <f aca="false">IF(COUNT(Aveia!$E17:$Z17)=0,0,MAX(0,IF((AZ$6-$E$3)&lt;1,0,IFERROR(LOOKUP(2,1/(Aveia!$E17:INDEX(Aveia!$E17:$Z17,MIN(AZ$6-$E$3,22))&lt;&gt;""),Aveia!$E17:INDEX(Aveia!$E17:$Z17,MIN(AZ$6-$E$3,22))),0))-IF($G$2,0,IF((AZ$6-$G$3)&lt;1,0,IFERROR(LOOKUP(2,1/(Aveia!$E17:INDEX(Aveia!$E17:$Z17,MIN(AZ$6-$G$3,22))&lt;&gt;""),Aveia!$E17:INDEX(Aveia!$E17:$Z17,MIN(AZ$6-$G$3,22))),0)))))</f>
        <v>0</v>
      </c>
    </row>
    <row r="20" customFormat="false" ht="15" hidden="false" customHeight="false" outlineLevel="0" collapsed="false">
      <c r="A20" s="3" t="s">
        <v>161</v>
      </c>
      <c r="B20" s="3" t="s">
        <v>162</v>
      </c>
      <c r="C20" s="10" t="s">
        <v>163</v>
      </c>
      <c r="D20" s="26" t="n">
        <f aca="false">IF(COUNT(Aveia!$E18:$Z18)&gt;0,N(Aveia!$D18),0)</f>
        <v>0</v>
      </c>
      <c r="E20" s="27" t="n">
        <f aca="false">IF(COUNT(Aveia!$E18:$Z18)=0,0,MAX(0,IF((E$6-$E$3)&lt;1,0,IFERROR(LOOKUP(2,1/(Aveia!$E18:INDEX(Aveia!$E18:$Z18,MIN(E$6-$E$3,22))&lt;&gt;""),Aveia!$E18:INDEX(Aveia!$E18:$Z18,MIN(E$6-$E$3,22))),0))-IF($G$2,0,IF((E$6-$G$3)&lt;1,0,IFERROR(LOOKUP(2,1/(Aveia!$E18:INDEX(Aveia!$E18:$Z18,MIN(E$6-$G$3,22))&lt;&gt;""),Aveia!$E18:INDEX(Aveia!$E18:$Z18,MIN(E$6-$G$3,22))),0)))))</f>
        <v>0</v>
      </c>
      <c r="F20" s="27" t="n">
        <f aca="false">IF(COUNT(Aveia!$E18:$Z18)=0,0,MAX(0,IF((F$6-$E$3)&lt;1,0,IFERROR(LOOKUP(2,1/(Aveia!$E18:INDEX(Aveia!$E18:$Z18,MIN(F$6-$E$3,22))&lt;&gt;""),Aveia!$E18:INDEX(Aveia!$E18:$Z18,MIN(F$6-$E$3,22))),0))-IF($G$2,0,IF((F$6-$G$3)&lt;1,0,IFERROR(LOOKUP(2,1/(Aveia!$E18:INDEX(Aveia!$E18:$Z18,MIN(F$6-$G$3,22))&lt;&gt;""),Aveia!$E18:INDEX(Aveia!$E18:$Z18,MIN(F$6-$G$3,22))),0)))))</f>
        <v>0</v>
      </c>
      <c r="G20" s="27" t="n">
        <f aca="false">IF(COUNT(Aveia!$E18:$Z18)=0,0,MAX(0,IF((G$6-$E$3)&lt;1,0,IFERROR(LOOKUP(2,1/(Aveia!$E18:INDEX(Aveia!$E18:$Z18,MIN(G$6-$E$3,22))&lt;&gt;""),Aveia!$E18:INDEX(Aveia!$E18:$Z18,MIN(G$6-$E$3,22))),0))-IF($G$2,0,IF((G$6-$G$3)&lt;1,0,IFERROR(LOOKUP(2,1/(Aveia!$E18:INDEX(Aveia!$E18:$Z18,MIN(G$6-$G$3,22))&lt;&gt;""),Aveia!$E18:INDEX(Aveia!$E18:$Z18,MIN(G$6-$G$3,22))),0)))))</f>
        <v>0</v>
      </c>
      <c r="H20" s="27" t="n">
        <f aca="false">IF(COUNT(Aveia!$E18:$Z18)=0,0,MAX(0,IF((H$6-$E$3)&lt;1,0,IFERROR(LOOKUP(2,1/(Aveia!$E18:INDEX(Aveia!$E18:$Z18,MIN(H$6-$E$3,22))&lt;&gt;""),Aveia!$E18:INDEX(Aveia!$E18:$Z18,MIN(H$6-$E$3,22))),0))-IF($G$2,0,IF((H$6-$G$3)&lt;1,0,IFERROR(LOOKUP(2,1/(Aveia!$E18:INDEX(Aveia!$E18:$Z18,MIN(H$6-$G$3,22))&lt;&gt;""),Aveia!$E18:INDEX(Aveia!$E18:$Z18,MIN(H$6-$G$3,22))),0)))))</f>
        <v>0</v>
      </c>
      <c r="I20" s="27" t="n">
        <f aca="false">IF(COUNT(Aveia!$E18:$Z18)=0,0,MAX(0,IF((I$6-$E$3)&lt;1,0,IFERROR(LOOKUP(2,1/(Aveia!$E18:INDEX(Aveia!$E18:$Z18,MIN(I$6-$E$3,22))&lt;&gt;""),Aveia!$E18:INDEX(Aveia!$E18:$Z18,MIN(I$6-$E$3,22))),0))-IF($G$2,0,IF((I$6-$G$3)&lt;1,0,IFERROR(LOOKUP(2,1/(Aveia!$E18:INDEX(Aveia!$E18:$Z18,MIN(I$6-$G$3,22))&lt;&gt;""),Aveia!$E18:INDEX(Aveia!$E18:$Z18,MIN(I$6-$G$3,22))),0)))))</f>
        <v>0</v>
      </c>
      <c r="J20" s="27" t="n">
        <f aca="false">IF(COUNT(Aveia!$E18:$Z18)=0,0,MAX(0,IF((J$6-$E$3)&lt;1,0,IFERROR(LOOKUP(2,1/(Aveia!$E18:INDEX(Aveia!$E18:$Z18,MIN(J$6-$E$3,22))&lt;&gt;""),Aveia!$E18:INDEX(Aveia!$E18:$Z18,MIN(J$6-$E$3,22))),0))-IF($G$2,0,IF((J$6-$G$3)&lt;1,0,IFERROR(LOOKUP(2,1/(Aveia!$E18:INDEX(Aveia!$E18:$Z18,MIN(J$6-$G$3,22))&lt;&gt;""),Aveia!$E18:INDEX(Aveia!$E18:$Z18,MIN(J$6-$G$3,22))),0)))))</f>
        <v>0</v>
      </c>
      <c r="K20" s="27" t="n">
        <f aca="false">IF(COUNT(Aveia!$E18:$Z18)=0,0,MAX(0,IF((K$6-$E$3)&lt;1,0,IFERROR(LOOKUP(2,1/(Aveia!$E18:INDEX(Aveia!$E18:$Z18,MIN(K$6-$E$3,22))&lt;&gt;""),Aveia!$E18:INDEX(Aveia!$E18:$Z18,MIN(K$6-$E$3,22))),0))-IF($G$2,0,IF((K$6-$G$3)&lt;1,0,IFERROR(LOOKUP(2,1/(Aveia!$E18:INDEX(Aveia!$E18:$Z18,MIN(K$6-$G$3,22))&lt;&gt;""),Aveia!$E18:INDEX(Aveia!$E18:$Z18,MIN(K$6-$G$3,22))),0)))))</f>
        <v>0</v>
      </c>
      <c r="L20" s="27" t="n">
        <f aca="false">IF(COUNT(Aveia!$E18:$Z18)=0,0,MAX(0,IF((L$6-$E$3)&lt;1,0,IFERROR(LOOKUP(2,1/(Aveia!$E18:INDEX(Aveia!$E18:$Z18,MIN(L$6-$E$3,22))&lt;&gt;""),Aveia!$E18:INDEX(Aveia!$E18:$Z18,MIN(L$6-$E$3,22))),0))-IF($G$2,0,IF((L$6-$G$3)&lt;1,0,IFERROR(LOOKUP(2,1/(Aveia!$E18:INDEX(Aveia!$E18:$Z18,MIN(L$6-$G$3,22))&lt;&gt;""),Aveia!$E18:INDEX(Aveia!$E18:$Z18,MIN(L$6-$G$3,22))),0)))))</f>
        <v>0</v>
      </c>
      <c r="M20" s="27" t="n">
        <f aca="false">IF(COUNT(Aveia!$E18:$Z18)=0,0,MAX(0,IF((M$6-$E$3)&lt;1,0,IFERROR(LOOKUP(2,1/(Aveia!$E18:INDEX(Aveia!$E18:$Z18,MIN(M$6-$E$3,22))&lt;&gt;""),Aveia!$E18:INDEX(Aveia!$E18:$Z18,MIN(M$6-$E$3,22))),0))-IF($G$2,0,IF((M$6-$G$3)&lt;1,0,IFERROR(LOOKUP(2,1/(Aveia!$E18:INDEX(Aveia!$E18:$Z18,MIN(M$6-$G$3,22))&lt;&gt;""),Aveia!$E18:INDEX(Aveia!$E18:$Z18,MIN(M$6-$G$3,22))),0)))))</f>
        <v>0</v>
      </c>
      <c r="N20" s="27" t="n">
        <f aca="false">IF(COUNT(Aveia!$E18:$Z18)=0,0,MAX(0,IF((N$6-$E$3)&lt;1,0,IFERROR(LOOKUP(2,1/(Aveia!$E18:INDEX(Aveia!$E18:$Z18,MIN(N$6-$E$3,22))&lt;&gt;""),Aveia!$E18:INDEX(Aveia!$E18:$Z18,MIN(N$6-$E$3,22))),0))-IF($G$2,0,IF((N$6-$G$3)&lt;1,0,IFERROR(LOOKUP(2,1/(Aveia!$E18:INDEX(Aveia!$E18:$Z18,MIN(N$6-$G$3,22))&lt;&gt;""),Aveia!$E18:INDEX(Aveia!$E18:$Z18,MIN(N$6-$G$3,22))),0)))))</f>
        <v>0</v>
      </c>
      <c r="O20" s="27" t="n">
        <f aca="false">IF(COUNT(Aveia!$E18:$Z18)=0,0,MAX(0,IF((O$6-$E$3)&lt;1,0,IFERROR(LOOKUP(2,1/(Aveia!$E18:INDEX(Aveia!$E18:$Z18,MIN(O$6-$E$3,22))&lt;&gt;""),Aveia!$E18:INDEX(Aveia!$E18:$Z18,MIN(O$6-$E$3,22))),0))-IF($G$2,0,IF((O$6-$G$3)&lt;1,0,IFERROR(LOOKUP(2,1/(Aveia!$E18:INDEX(Aveia!$E18:$Z18,MIN(O$6-$G$3,22))&lt;&gt;""),Aveia!$E18:INDEX(Aveia!$E18:$Z18,MIN(O$6-$G$3,22))),0)))))</f>
        <v>0</v>
      </c>
      <c r="P20" s="27" t="n">
        <f aca="false">IF(COUNT(Aveia!$E18:$Z18)=0,0,MAX(0,IF((P$6-$E$3)&lt;1,0,IFERROR(LOOKUP(2,1/(Aveia!$E18:INDEX(Aveia!$E18:$Z18,MIN(P$6-$E$3,22))&lt;&gt;""),Aveia!$E18:INDEX(Aveia!$E18:$Z18,MIN(P$6-$E$3,22))),0))-IF($G$2,0,IF((P$6-$G$3)&lt;1,0,IFERROR(LOOKUP(2,1/(Aveia!$E18:INDEX(Aveia!$E18:$Z18,MIN(P$6-$G$3,22))&lt;&gt;""),Aveia!$E18:INDEX(Aveia!$E18:$Z18,MIN(P$6-$G$3,22))),0)))))</f>
        <v>0</v>
      </c>
      <c r="Q20" s="27" t="n">
        <f aca="false">IF(COUNT(Aveia!$E18:$Z18)=0,0,MAX(0,IF((Q$6-$E$3)&lt;1,0,IFERROR(LOOKUP(2,1/(Aveia!$E18:INDEX(Aveia!$E18:$Z18,MIN(Q$6-$E$3,22))&lt;&gt;""),Aveia!$E18:INDEX(Aveia!$E18:$Z18,MIN(Q$6-$E$3,22))),0))-IF($G$2,0,IF((Q$6-$G$3)&lt;1,0,IFERROR(LOOKUP(2,1/(Aveia!$E18:INDEX(Aveia!$E18:$Z18,MIN(Q$6-$G$3,22))&lt;&gt;""),Aveia!$E18:INDEX(Aveia!$E18:$Z18,MIN(Q$6-$G$3,22))),0)))))</f>
        <v>0</v>
      </c>
      <c r="R20" s="27" t="n">
        <f aca="false">IF(COUNT(Aveia!$E18:$Z18)=0,0,MAX(0,IF((R$6-$E$3)&lt;1,0,IFERROR(LOOKUP(2,1/(Aveia!$E18:INDEX(Aveia!$E18:$Z18,MIN(R$6-$E$3,22))&lt;&gt;""),Aveia!$E18:INDEX(Aveia!$E18:$Z18,MIN(R$6-$E$3,22))),0))-IF($G$2,0,IF((R$6-$G$3)&lt;1,0,IFERROR(LOOKUP(2,1/(Aveia!$E18:INDEX(Aveia!$E18:$Z18,MIN(R$6-$G$3,22))&lt;&gt;""),Aveia!$E18:INDEX(Aveia!$E18:$Z18,MIN(R$6-$G$3,22))),0)))))</f>
        <v>0</v>
      </c>
      <c r="S20" s="27" t="n">
        <f aca="false">IF(COUNT(Aveia!$E18:$Z18)=0,0,MAX(0,IF((S$6-$E$3)&lt;1,0,IFERROR(LOOKUP(2,1/(Aveia!$E18:INDEX(Aveia!$E18:$Z18,MIN(S$6-$E$3,22))&lt;&gt;""),Aveia!$E18:INDEX(Aveia!$E18:$Z18,MIN(S$6-$E$3,22))),0))-IF($G$2,0,IF((S$6-$G$3)&lt;1,0,IFERROR(LOOKUP(2,1/(Aveia!$E18:INDEX(Aveia!$E18:$Z18,MIN(S$6-$G$3,22))&lt;&gt;""),Aveia!$E18:INDEX(Aveia!$E18:$Z18,MIN(S$6-$G$3,22))),0)))))</f>
        <v>0</v>
      </c>
      <c r="T20" s="27" t="n">
        <f aca="false">IF(COUNT(Aveia!$E18:$Z18)=0,0,MAX(0,IF((T$6-$E$3)&lt;1,0,IFERROR(LOOKUP(2,1/(Aveia!$E18:INDEX(Aveia!$E18:$Z18,MIN(T$6-$E$3,22))&lt;&gt;""),Aveia!$E18:INDEX(Aveia!$E18:$Z18,MIN(T$6-$E$3,22))),0))-IF($G$2,0,IF((T$6-$G$3)&lt;1,0,IFERROR(LOOKUP(2,1/(Aveia!$E18:INDEX(Aveia!$E18:$Z18,MIN(T$6-$G$3,22))&lt;&gt;""),Aveia!$E18:INDEX(Aveia!$E18:$Z18,MIN(T$6-$G$3,22))),0)))))</f>
        <v>0</v>
      </c>
      <c r="U20" s="27" t="n">
        <f aca="false">IF(COUNT(Aveia!$E18:$Z18)=0,0,MAX(0,IF((U$6-$E$3)&lt;1,0,IFERROR(LOOKUP(2,1/(Aveia!$E18:INDEX(Aveia!$E18:$Z18,MIN(U$6-$E$3,22))&lt;&gt;""),Aveia!$E18:INDEX(Aveia!$E18:$Z18,MIN(U$6-$E$3,22))),0))-IF($G$2,0,IF((U$6-$G$3)&lt;1,0,IFERROR(LOOKUP(2,1/(Aveia!$E18:INDEX(Aveia!$E18:$Z18,MIN(U$6-$G$3,22))&lt;&gt;""),Aveia!$E18:INDEX(Aveia!$E18:$Z18,MIN(U$6-$G$3,22))),0)))))</f>
        <v>0</v>
      </c>
      <c r="V20" s="27" t="n">
        <f aca="false">IF(COUNT(Aveia!$E18:$Z18)=0,0,MAX(0,IF((V$6-$E$3)&lt;1,0,IFERROR(LOOKUP(2,1/(Aveia!$E18:INDEX(Aveia!$E18:$Z18,MIN(V$6-$E$3,22))&lt;&gt;""),Aveia!$E18:INDEX(Aveia!$E18:$Z18,MIN(V$6-$E$3,22))),0))-IF($G$2,0,IF((V$6-$G$3)&lt;1,0,IFERROR(LOOKUP(2,1/(Aveia!$E18:INDEX(Aveia!$E18:$Z18,MIN(V$6-$G$3,22))&lt;&gt;""),Aveia!$E18:INDEX(Aveia!$E18:$Z18,MIN(V$6-$G$3,22))),0)))))</f>
        <v>0</v>
      </c>
      <c r="W20" s="27" t="n">
        <f aca="false">IF(COUNT(Aveia!$E18:$Z18)=0,0,MAX(0,IF((W$6-$E$3)&lt;1,0,IFERROR(LOOKUP(2,1/(Aveia!$E18:INDEX(Aveia!$E18:$Z18,MIN(W$6-$E$3,22))&lt;&gt;""),Aveia!$E18:INDEX(Aveia!$E18:$Z18,MIN(W$6-$E$3,22))),0))-IF($G$2,0,IF((W$6-$G$3)&lt;1,0,IFERROR(LOOKUP(2,1/(Aveia!$E18:INDEX(Aveia!$E18:$Z18,MIN(W$6-$G$3,22))&lt;&gt;""),Aveia!$E18:INDEX(Aveia!$E18:$Z18,MIN(W$6-$G$3,22))),0)))))</f>
        <v>0</v>
      </c>
      <c r="X20" s="27" t="n">
        <f aca="false">IF(COUNT(Aveia!$E18:$Z18)=0,0,MAX(0,IF((X$6-$E$3)&lt;1,0,IFERROR(LOOKUP(2,1/(Aveia!$E18:INDEX(Aveia!$E18:$Z18,MIN(X$6-$E$3,22))&lt;&gt;""),Aveia!$E18:INDEX(Aveia!$E18:$Z18,MIN(X$6-$E$3,22))),0))-IF($G$2,0,IF((X$6-$G$3)&lt;1,0,IFERROR(LOOKUP(2,1/(Aveia!$E18:INDEX(Aveia!$E18:$Z18,MIN(X$6-$G$3,22))&lt;&gt;""),Aveia!$E18:INDEX(Aveia!$E18:$Z18,MIN(X$6-$G$3,22))),0)))))</f>
        <v>0</v>
      </c>
      <c r="Y20" s="27" t="n">
        <f aca="false">IF(COUNT(Aveia!$E18:$Z18)=0,0,MAX(0,IF((Y$6-$E$3)&lt;1,0,IFERROR(LOOKUP(2,1/(Aveia!$E18:INDEX(Aveia!$E18:$Z18,MIN(Y$6-$E$3,22))&lt;&gt;""),Aveia!$E18:INDEX(Aveia!$E18:$Z18,MIN(Y$6-$E$3,22))),0))-IF($G$2,0,IF((Y$6-$G$3)&lt;1,0,IFERROR(LOOKUP(2,1/(Aveia!$E18:INDEX(Aveia!$E18:$Z18,MIN(Y$6-$G$3,22))&lt;&gt;""),Aveia!$E18:INDEX(Aveia!$E18:$Z18,MIN(Y$6-$G$3,22))),0)))))</f>
        <v>0</v>
      </c>
      <c r="Z20" s="27" t="n">
        <f aca="false">IF(COUNT(Aveia!$E18:$Z18)=0,0,MAX(0,IF((Z$6-$E$3)&lt;1,0,IFERROR(LOOKUP(2,1/(Aveia!$E18:INDEX(Aveia!$E18:$Z18,MIN(Z$6-$E$3,22))&lt;&gt;""),Aveia!$E18:INDEX(Aveia!$E18:$Z18,MIN(Z$6-$E$3,22))),0))-IF($G$2,0,IF((Z$6-$G$3)&lt;1,0,IFERROR(LOOKUP(2,1/(Aveia!$E18:INDEX(Aveia!$E18:$Z18,MIN(Z$6-$G$3,22))&lt;&gt;""),Aveia!$E18:INDEX(Aveia!$E18:$Z18,MIN(Z$6-$G$3,22))),0)))))</f>
        <v>0</v>
      </c>
      <c r="AA20" s="27" t="n">
        <f aca="false">IF(COUNT(Aveia!$E18:$Z18)=0,0,MAX(0,IF((AA$6-$E$3)&lt;1,0,IFERROR(LOOKUP(2,1/(Aveia!$E18:INDEX(Aveia!$E18:$Z18,MIN(AA$6-$E$3,22))&lt;&gt;""),Aveia!$E18:INDEX(Aveia!$E18:$Z18,MIN(AA$6-$E$3,22))),0))-IF($G$2,0,IF((AA$6-$G$3)&lt;1,0,IFERROR(LOOKUP(2,1/(Aveia!$E18:INDEX(Aveia!$E18:$Z18,MIN(AA$6-$G$3,22))&lt;&gt;""),Aveia!$E18:INDEX(Aveia!$E18:$Z18,MIN(AA$6-$G$3,22))),0)))))</f>
        <v>0</v>
      </c>
      <c r="AB20" s="27" t="n">
        <f aca="false">IF(COUNT(Aveia!$E18:$Z18)=0,0,MAX(0,IF((AB$6-$E$3)&lt;1,0,IFERROR(LOOKUP(2,1/(Aveia!$E18:INDEX(Aveia!$E18:$Z18,MIN(AB$6-$E$3,22))&lt;&gt;""),Aveia!$E18:INDEX(Aveia!$E18:$Z18,MIN(AB$6-$E$3,22))),0))-IF($G$2,0,IF((AB$6-$G$3)&lt;1,0,IFERROR(LOOKUP(2,1/(Aveia!$E18:INDEX(Aveia!$E18:$Z18,MIN(AB$6-$G$3,22))&lt;&gt;""),Aveia!$E18:INDEX(Aveia!$E18:$Z18,MIN(AB$6-$G$3,22))),0)))))</f>
        <v>0</v>
      </c>
      <c r="AC20" s="27" t="n">
        <f aca="false">IF(COUNT(Aveia!$E18:$Z18)=0,0,MAX(0,IF((AC$6-$E$3)&lt;1,0,IFERROR(LOOKUP(2,1/(Aveia!$E18:INDEX(Aveia!$E18:$Z18,MIN(AC$6-$E$3,22))&lt;&gt;""),Aveia!$E18:INDEX(Aveia!$E18:$Z18,MIN(AC$6-$E$3,22))),0))-IF($G$2,0,IF((AC$6-$G$3)&lt;1,0,IFERROR(LOOKUP(2,1/(Aveia!$E18:INDEX(Aveia!$E18:$Z18,MIN(AC$6-$G$3,22))&lt;&gt;""),Aveia!$E18:INDEX(Aveia!$E18:$Z18,MIN(AC$6-$G$3,22))),0)))))</f>
        <v>0</v>
      </c>
      <c r="AD20" s="27" t="n">
        <f aca="false">IF(COUNT(Aveia!$E18:$Z18)=0,0,MAX(0,IF((AD$6-$E$3)&lt;1,0,IFERROR(LOOKUP(2,1/(Aveia!$E18:INDEX(Aveia!$E18:$Z18,MIN(AD$6-$E$3,22))&lt;&gt;""),Aveia!$E18:INDEX(Aveia!$E18:$Z18,MIN(AD$6-$E$3,22))),0))-IF($G$2,0,IF((AD$6-$G$3)&lt;1,0,IFERROR(LOOKUP(2,1/(Aveia!$E18:INDEX(Aveia!$E18:$Z18,MIN(AD$6-$G$3,22))&lt;&gt;""),Aveia!$E18:INDEX(Aveia!$E18:$Z18,MIN(AD$6-$G$3,22))),0)))))</f>
        <v>0</v>
      </c>
      <c r="AE20" s="27" t="n">
        <f aca="false">IF(COUNT(Aveia!$E18:$Z18)=0,0,MAX(0,IF((AE$6-$E$3)&lt;1,0,IFERROR(LOOKUP(2,1/(Aveia!$E18:INDEX(Aveia!$E18:$Z18,MIN(AE$6-$E$3,22))&lt;&gt;""),Aveia!$E18:INDEX(Aveia!$E18:$Z18,MIN(AE$6-$E$3,22))),0))-IF($G$2,0,IF((AE$6-$G$3)&lt;1,0,IFERROR(LOOKUP(2,1/(Aveia!$E18:INDEX(Aveia!$E18:$Z18,MIN(AE$6-$G$3,22))&lt;&gt;""),Aveia!$E18:INDEX(Aveia!$E18:$Z18,MIN(AE$6-$G$3,22))),0)))))</f>
        <v>0</v>
      </c>
      <c r="AF20" s="27" t="n">
        <f aca="false">IF(COUNT(Aveia!$E18:$Z18)=0,0,MAX(0,IF((AF$6-$E$3)&lt;1,0,IFERROR(LOOKUP(2,1/(Aveia!$E18:INDEX(Aveia!$E18:$Z18,MIN(AF$6-$E$3,22))&lt;&gt;""),Aveia!$E18:INDEX(Aveia!$E18:$Z18,MIN(AF$6-$E$3,22))),0))-IF($G$2,0,IF((AF$6-$G$3)&lt;1,0,IFERROR(LOOKUP(2,1/(Aveia!$E18:INDEX(Aveia!$E18:$Z18,MIN(AF$6-$G$3,22))&lt;&gt;""),Aveia!$E18:INDEX(Aveia!$E18:$Z18,MIN(AF$6-$G$3,22))),0)))))</f>
        <v>0</v>
      </c>
      <c r="AG20" s="27" t="n">
        <f aca="false">IF(COUNT(Aveia!$E18:$Z18)=0,0,MAX(0,IF((AG$6-$E$3)&lt;1,0,IFERROR(LOOKUP(2,1/(Aveia!$E18:INDEX(Aveia!$E18:$Z18,MIN(AG$6-$E$3,22))&lt;&gt;""),Aveia!$E18:INDEX(Aveia!$E18:$Z18,MIN(AG$6-$E$3,22))),0))-IF($G$2,0,IF((AG$6-$G$3)&lt;1,0,IFERROR(LOOKUP(2,1/(Aveia!$E18:INDEX(Aveia!$E18:$Z18,MIN(AG$6-$G$3,22))&lt;&gt;""),Aveia!$E18:INDEX(Aveia!$E18:$Z18,MIN(AG$6-$G$3,22))),0)))))</f>
        <v>0</v>
      </c>
      <c r="AH20" s="27" t="n">
        <f aca="false">IF(COUNT(Aveia!$E18:$Z18)=0,0,MAX(0,IF((AH$6-$E$3)&lt;1,0,IFERROR(LOOKUP(2,1/(Aveia!$E18:INDEX(Aveia!$E18:$Z18,MIN(AH$6-$E$3,22))&lt;&gt;""),Aveia!$E18:INDEX(Aveia!$E18:$Z18,MIN(AH$6-$E$3,22))),0))-IF($G$2,0,IF((AH$6-$G$3)&lt;1,0,IFERROR(LOOKUP(2,1/(Aveia!$E18:INDEX(Aveia!$E18:$Z18,MIN(AH$6-$G$3,22))&lt;&gt;""),Aveia!$E18:INDEX(Aveia!$E18:$Z18,MIN(AH$6-$G$3,22))),0)))))</f>
        <v>0</v>
      </c>
      <c r="AI20" s="27" t="n">
        <f aca="false">IF(COUNT(Aveia!$E18:$Z18)=0,0,MAX(0,IF((AI$6-$E$3)&lt;1,0,IFERROR(LOOKUP(2,1/(Aveia!$E18:INDEX(Aveia!$E18:$Z18,MIN(AI$6-$E$3,22))&lt;&gt;""),Aveia!$E18:INDEX(Aveia!$E18:$Z18,MIN(AI$6-$E$3,22))),0))-IF($G$2,0,IF((AI$6-$G$3)&lt;1,0,IFERROR(LOOKUP(2,1/(Aveia!$E18:INDEX(Aveia!$E18:$Z18,MIN(AI$6-$G$3,22))&lt;&gt;""),Aveia!$E18:INDEX(Aveia!$E18:$Z18,MIN(AI$6-$G$3,22))),0)))))</f>
        <v>0</v>
      </c>
      <c r="AJ20" s="27" t="n">
        <f aca="false">IF(COUNT(Aveia!$E18:$Z18)=0,0,MAX(0,IF((AJ$6-$E$3)&lt;1,0,IFERROR(LOOKUP(2,1/(Aveia!$E18:INDEX(Aveia!$E18:$Z18,MIN(AJ$6-$E$3,22))&lt;&gt;""),Aveia!$E18:INDEX(Aveia!$E18:$Z18,MIN(AJ$6-$E$3,22))),0))-IF($G$2,0,IF((AJ$6-$G$3)&lt;1,0,IFERROR(LOOKUP(2,1/(Aveia!$E18:INDEX(Aveia!$E18:$Z18,MIN(AJ$6-$G$3,22))&lt;&gt;""),Aveia!$E18:INDEX(Aveia!$E18:$Z18,MIN(AJ$6-$G$3,22))),0)))))</f>
        <v>0</v>
      </c>
      <c r="AK20" s="27" t="n">
        <f aca="false">IF(COUNT(Aveia!$E18:$Z18)=0,0,MAX(0,IF((AK$6-$E$3)&lt;1,0,IFERROR(LOOKUP(2,1/(Aveia!$E18:INDEX(Aveia!$E18:$Z18,MIN(AK$6-$E$3,22))&lt;&gt;""),Aveia!$E18:INDEX(Aveia!$E18:$Z18,MIN(AK$6-$E$3,22))),0))-IF($G$2,0,IF((AK$6-$G$3)&lt;1,0,IFERROR(LOOKUP(2,1/(Aveia!$E18:INDEX(Aveia!$E18:$Z18,MIN(AK$6-$G$3,22))&lt;&gt;""),Aveia!$E18:INDEX(Aveia!$E18:$Z18,MIN(AK$6-$G$3,22))),0)))))</f>
        <v>0</v>
      </c>
      <c r="AL20" s="27" t="n">
        <f aca="false">IF(COUNT(Aveia!$E18:$Z18)=0,0,MAX(0,IF((AL$6-$E$3)&lt;1,0,IFERROR(LOOKUP(2,1/(Aveia!$E18:INDEX(Aveia!$E18:$Z18,MIN(AL$6-$E$3,22))&lt;&gt;""),Aveia!$E18:INDEX(Aveia!$E18:$Z18,MIN(AL$6-$E$3,22))),0))-IF($G$2,0,IF((AL$6-$G$3)&lt;1,0,IFERROR(LOOKUP(2,1/(Aveia!$E18:INDEX(Aveia!$E18:$Z18,MIN(AL$6-$G$3,22))&lt;&gt;""),Aveia!$E18:INDEX(Aveia!$E18:$Z18,MIN(AL$6-$G$3,22))),0)))))</f>
        <v>0</v>
      </c>
      <c r="AM20" s="27" t="n">
        <f aca="false">IF(COUNT(Aveia!$E18:$Z18)=0,0,MAX(0,IF((AM$6-$E$3)&lt;1,0,IFERROR(LOOKUP(2,1/(Aveia!$E18:INDEX(Aveia!$E18:$Z18,MIN(AM$6-$E$3,22))&lt;&gt;""),Aveia!$E18:INDEX(Aveia!$E18:$Z18,MIN(AM$6-$E$3,22))),0))-IF($G$2,0,IF((AM$6-$G$3)&lt;1,0,IFERROR(LOOKUP(2,1/(Aveia!$E18:INDEX(Aveia!$E18:$Z18,MIN(AM$6-$G$3,22))&lt;&gt;""),Aveia!$E18:INDEX(Aveia!$E18:$Z18,MIN(AM$6-$G$3,22))),0)))))</f>
        <v>0</v>
      </c>
      <c r="AN20" s="27" t="n">
        <f aca="false">IF(COUNT(Aveia!$E18:$Z18)=0,0,MAX(0,IF((AN$6-$E$3)&lt;1,0,IFERROR(LOOKUP(2,1/(Aveia!$E18:INDEX(Aveia!$E18:$Z18,MIN(AN$6-$E$3,22))&lt;&gt;""),Aveia!$E18:INDEX(Aveia!$E18:$Z18,MIN(AN$6-$E$3,22))),0))-IF($G$2,0,IF((AN$6-$G$3)&lt;1,0,IFERROR(LOOKUP(2,1/(Aveia!$E18:INDEX(Aveia!$E18:$Z18,MIN(AN$6-$G$3,22))&lt;&gt;""),Aveia!$E18:INDEX(Aveia!$E18:$Z18,MIN(AN$6-$G$3,22))),0)))))</f>
        <v>0</v>
      </c>
      <c r="AO20" s="27" t="n">
        <f aca="false">IF(COUNT(Aveia!$E18:$Z18)=0,0,MAX(0,IF((AO$6-$E$3)&lt;1,0,IFERROR(LOOKUP(2,1/(Aveia!$E18:INDEX(Aveia!$E18:$Z18,MIN(AO$6-$E$3,22))&lt;&gt;""),Aveia!$E18:INDEX(Aveia!$E18:$Z18,MIN(AO$6-$E$3,22))),0))-IF($G$2,0,IF((AO$6-$G$3)&lt;1,0,IFERROR(LOOKUP(2,1/(Aveia!$E18:INDEX(Aveia!$E18:$Z18,MIN(AO$6-$G$3,22))&lt;&gt;""),Aveia!$E18:INDEX(Aveia!$E18:$Z18,MIN(AO$6-$G$3,22))),0)))))</f>
        <v>0</v>
      </c>
      <c r="AP20" s="27" t="n">
        <f aca="false">IF(COUNT(Aveia!$E18:$Z18)=0,0,MAX(0,IF((AP$6-$E$3)&lt;1,0,IFERROR(LOOKUP(2,1/(Aveia!$E18:INDEX(Aveia!$E18:$Z18,MIN(AP$6-$E$3,22))&lt;&gt;""),Aveia!$E18:INDEX(Aveia!$E18:$Z18,MIN(AP$6-$E$3,22))),0))-IF($G$2,0,IF((AP$6-$G$3)&lt;1,0,IFERROR(LOOKUP(2,1/(Aveia!$E18:INDEX(Aveia!$E18:$Z18,MIN(AP$6-$G$3,22))&lt;&gt;""),Aveia!$E18:INDEX(Aveia!$E18:$Z18,MIN(AP$6-$G$3,22))),0)))))</f>
        <v>0</v>
      </c>
      <c r="AQ20" s="27" t="n">
        <f aca="false">IF(COUNT(Aveia!$E18:$Z18)=0,0,MAX(0,IF((AQ$6-$E$3)&lt;1,0,IFERROR(LOOKUP(2,1/(Aveia!$E18:INDEX(Aveia!$E18:$Z18,MIN(AQ$6-$E$3,22))&lt;&gt;""),Aveia!$E18:INDEX(Aveia!$E18:$Z18,MIN(AQ$6-$E$3,22))),0))-IF($G$2,0,IF((AQ$6-$G$3)&lt;1,0,IFERROR(LOOKUP(2,1/(Aveia!$E18:INDEX(Aveia!$E18:$Z18,MIN(AQ$6-$G$3,22))&lt;&gt;""),Aveia!$E18:INDEX(Aveia!$E18:$Z18,MIN(AQ$6-$G$3,22))),0)))))</f>
        <v>0</v>
      </c>
      <c r="AR20" s="27" t="n">
        <f aca="false">IF(COUNT(Aveia!$E18:$Z18)=0,0,MAX(0,IF((AR$6-$E$3)&lt;1,0,IFERROR(LOOKUP(2,1/(Aveia!$E18:INDEX(Aveia!$E18:$Z18,MIN(AR$6-$E$3,22))&lt;&gt;""),Aveia!$E18:INDEX(Aveia!$E18:$Z18,MIN(AR$6-$E$3,22))),0))-IF($G$2,0,IF((AR$6-$G$3)&lt;1,0,IFERROR(LOOKUP(2,1/(Aveia!$E18:INDEX(Aveia!$E18:$Z18,MIN(AR$6-$G$3,22))&lt;&gt;""),Aveia!$E18:INDEX(Aveia!$E18:$Z18,MIN(AR$6-$G$3,22))),0)))))</f>
        <v>0</v>
      </c>
      <c r="AS20" s="27" t="n">
        <f aca="false">IF(COUNT(Aveia!$E18:$Z18)=0,0,MAX(0,IF((AS$6-$E$3)&lt;1,0,IFERROR(LOOKUP(2,1/(Aveia!$E18:INDEX(Aveia!$E18:$Z18,MIN(AS$6-$E$3,22))&lt;&gt;""),Aveia!$E18:INDEX(Aveia!$E18:$Z18,MIN(AS$6-$E$3,22))),0))-IF($G$2,0,IF((AS$6-$G$3)&lt;1,0,IFERROR(LOOKUP(2,1/(Aveia!$E18:INDEX(Aveia!$E18:$Z18,MIN(AS$6-$G$3,22))&lt;&gt;""),Aveia!$E18:INDEX(Aveia!$E18:$Z18,MIN(AS$6-$G$3,22))),0)))))</f>
        <v>0</v>
      </c>
      <c r="AT20" s="27" t="n">
        <f aca="false">IF(COUNT(Aveia!$E18:$Z18)=0,0,MAX(0,IF((AT$6-$E$3)&lt;1,0,IFERROR(LOOKUP(2,1/(Aveia!$E18:INDEX(Aveia!$E18:$Z18,MIN(AT$6-$E$3,22))&lt;&gt;""),Aveia!$E18:INDEX(Aveia!$E18:$Z18,MIN(AT$6-$E$3,22))),0))-IF($G$2,0,IF((AT$6-$G$3)&lt;1,0,IFERROR(LOOKUP(2,1/(Aveia!$E18:INDEX(Aveia!$E18:$Z18,MIN(AT$6-$G$3,22))&lt;&gt;""),Aveia!$E18:INDEX(Aveia!$E18:$Z18,MIN(AT$6-$G$3,22))),0)))))</f>
        <v>0</v>
      </c>
      <c r="AU20" s="27" t="n">
        <f aca="false">IF(COUNT(Aveia!$E18:$Z18)=0,0,MAX(0,IF((AU$6-$E$3)&lt;1,0,IFERROR(LOOKUP(2,1/(Aveia!$E18:INDEX(Aveia!$E18:$Z18,MIN(AU$6-$E$3,22))&lt;&gt;""),Aveia!$E18:INDEX(Aveia!$E18:$Z18,MIN(AU$6-$E$3,22))),0))-IF($G$2,0,IF((AU$6-$G$3)&lt;1,0,IFERROR(LOOKUP(2,1/(Aveia!$E18:INDEX(Aveia!$E18:$Z18,MIN(AU$6-$G$3,22))&lt;&gt;""),Aveia!$E18:INDEX(Aveia!$E18:$Z18,MIN(AU$6-$G$3,22))),0)))))</f>
        <v>0</v>
      </c>
      <c r="AV20" s="27" t="n">
        <f aca="false">IF(COUNT(Aveia!$E18:$Z18)=0,0,MAX(0,IF((AV$6-$E$3)&lt;1,0,IFERROR(LOOKUP(2,1/(Aveia!$E18:INDEX(Aveia!$E18:$Z18,MIN(AV$6-$E$3,22))&lt;&gt;""),Aveia!$E18:INDEX(Aveia!$E18:$Z18,MIN(AV$6-$E$3,22))),0))-IF($G$2,0,IF((AV$6-$G$3)&lt;1,0,IFERROR(LOOKUP(2,1/(Aveia!$E18:INDEX(Aveia!$E18:$Z18,MIN(AV$6-$G$3,22))&lt;&gt;""),Aveia!$E18:INDEX(Aveia!$E18:$Z18,MIN(AV$6-$G$3,22))),0)))))</f>
        <v>0</v>
      </c>
      <c r="AW20" s="27" t="n">
        <f aca="false">IF(COUNT(Aveia!$E18:$Z18)=0,0,MAX(0,IF((AW$6-$E$3)&lt;1,0,IFERROR(LOOKUP(2,1/(Aveia!$E18:INDEX(Aveia!$E18:$Z18,MIN(AW$6-$E$3,22))&lt;&gt;""),Aveia!$E18:INDEX(Aveia!$E18:$Z18,MIN(AW$6-$E$3,22))),0))-IF($G$2,0,IF((AW$6-$G$3)&lt;1,0,IFERROR(LOOKUP(2,1/(Aveia!$E18:INDEX(Aveia!$E18:$Z18,MIN(AW$6-$G$3,22))&lt;&gt;""),Aveia!$E18:INDEX(Aveia!$E18:$Z18,MIN(AW$6-$G$3,22))),0)))))</f>
        <v>0</v>
      </c>
      <c r="AX20" s="27" t="n">
        <f aca="false">IF(COUNT(Aveia!$E18:$Z18)=0,0,MAX(0,IF((AX$6-$E$3)&lt;1,0,IFERROR(LOOKUP(2,1/(Aveia!$E18:INDEX(Aveia!$E18:$Z18,MIN(AX$6-$E$3,22))&lt;&gt;""),Aveia!$E18:INDEX(Aveia!$E18:$Z18,MIN(AX$6-$E$3,22))),0))-IF($G$2,0,IF((AX$6-$G$3)&lt;1,0,IFERROR(LOOKUP(2,1/(Aveia!$E18:INDEX(Aveia!$E18:$Z18,MIN(AX$6-$G$3,22))&lt;&gt;""),Aveia!$E18:INDEX(Aveia!$E18:$Z18,MIN(AX$6-$G$3,22))),0)))))</f>
        <v>0</v>
      </c>
      <c r="AY20" s="27" t="n">
        <f aca="false">IF(COUNT(Aveia!$E18:$Z18)=0,0,MAX(0,IF((AY$6-$E$3)&lt;1,0,IFERROR(LOOKUP(2,1/(Aveia!$E18:INDEX(Aveia!$E18:$Z18,MIN(AY$6-$E$3,22))&lt;&gt;""),Aveia!$E18:INDEX(Aveia!$E18:$Z18,MIN(AY$6-$E$3,22))),0))-IF($G$2,0,IF((AY$6-$G$3)&lt;1,0,IFERROR(LOOKUP(2,1/(Aveia!$E18:INDEX(Aveia!$E18:$Z18,MIN(AY$6-$G$3,22))&lt;&gt;""),Aveia!$E18:INDEX(Aveia!$E18:$Z18,MIN(AY$6-$G$3,22))),0)))))</f>
        <v>0</v>
      </c>
      <c r="AZ20" s="27" t="n">
        <f aca="false">IF(COUNT(Aveia!$E18:$Z18)=0,0,MAX(0,IF((AZ$6-$E$3)&lt;1,0,IFERROR(LOOKUP(2,1/(Aveia!$E18:INDEX(Aveia!$E18:$Z18,MIN(AZ$6-$E$3,22))&lt;&gt;""),Aveia!$E18:INDEX(Aveia!$E18:$Z18,MIN(AZ$6-$E$3,22))),0))-IF($G$2,0,IF((AZ$6-$G$3)&lt;1,0,IFERROR(LOOKUP(2,1/(Aveia!$E18:INDEX(Aveia!$E18:$Z18,MIN(AZ$6-$G$3,22))&lt;&gt;""),Aveia!$E18:INDEX(Aveia!$E18:$Z18,MIN(AZ$6-$G$3,22))),0)))))</f>
        <v>0</v>
      </c>
    </row>
    <row r="21" customFormat="false" ht="15" hidden="false" customHeight="false" outlineLevel="0" collapsed="false">
      <c r="A21" s="3" t="s">
        <v>164</v>
      </c>
      <c r="B21" s="3" t="s">
        <v>165</v>
      </c>
      <c r="C21" s="10" t="s">
        <v>137</v>
      </c>
      <c r="D21" s="26" t="n">
        <f aca="false">IF(COUNT(Aveia!$E19:$Z19)&gt;0,N(Aveia!$D19),0)</f>
        <v>0</v>
      </c>
      <c r="E21" s="27" t="n">
        <f aca="false">IF(COUNT(Aveia!$E19:$Z19)=0,0,MAX(0,IF((E$6-$E$3)&lt;1,0,IFERROR(LOOKUP(2,1/(Aveia!$E19:INDEX(Aveia!$E19:$Z19,MIN(E$6-$E$3,22))&lt;&gt;""),Aveia!$E19:INDEX(Aveia!$E19:$Z19,MIN(E$6-$E$3,22))),0))-IF($G$2,0,IF((E$6-$G$3)&lt;1,0,IFERROR(LOOKUP(2,1/(Aveia!$E19:INDEX(Aveia!$E19:$Z19,MIN(E$6-$G$3,22))&lt;&gt;""),Aveia!$E19:INDEX(Aveia!$E19:$Z19,MIN(E$6-$G$3,22))),0)))))</f>
        <v>0</v>
      </c>
      <c r="F21" s="27" t="n">
        <f aca="false">IF(COUNT(Aveia!$E19:$Z19)=0,0,MAX(0,IF((F$6-$E$3)&lt;1,0,IFERROR(LOOKUP(2,1/(Aveia!$E19:INDEX(Aveia!$E19:$Z19,MIN(F$6-$E$3,22))&lt;&gt;""),Aveia!$E19:INDEX(Aveia!$E19:$Z19,MIN(F$6-$E$3,22))),0))-IF($G$2,0,IF((F$6-$G$3)&lt;1,0,IFERROR(LOOKUP(2,1/(Aveia!$E19:INDEX(Aveia!$E19:$Z19,MIN(F$6-$G$3,22))&lt;&gt;""),Aveia!$E19:INDEX(Aveia!$E19:$Z19,MIN(F$6-$G$3,22))),0)))))</f>
        <v>0</v>
      </c>
      <c r="G21" s="27" t="n">
        <f aca="false">IF(COUNT(Aveia!$E19:$Z19)=0,0,MAX(0,IF((G$6-$E$3)&lt;1,0,IFERROR(LOOKUP(2,1/(Aveia!$E19:INDEX(Aveia!$E19:$Z19,MIN(G$6-$E$3,22))&lt;&gt;""),Aveia!$E19:INDEX(Aveia!$E19:$Z19,MIN(G$6-$E$3,22))),0))-IF($G$2,0,IF((G$6-$G$3)&lt;1,0,IFERROR(LOOKUP(2,1/(Aveia!$E19:INDEX(Aveia!$E19:$Z19,MIN(G$6-$G$3,22))&lt;&gt;""),Aveia!$E19:INDEX(Aveia!$E19:$Z19,MIN(G$6-$G$3,22))),0)))))</f>
        <v>0</v>
      </c>
      <c r="H21" s="27" t="n">
        <f aca="false">IF(COUNT(Aveia!$E19:$Z19)=0,0,MAX(0,IF((H$6-$E$3)&lt;1,0,IFERROR(LOOKUP(2,1/(Aveia!$E19:INDEX(Aveia!$E19:$Z19,MIN(H$6-$E$3,22))&lt;&gt;""),Aveia!$E19:INDEX(Aveia!$E19:$Z19,MIN(H$6-$E$3,22))),0))-IF($G$2,0,IF((H$6-$G$3)&lt;1,0,IFERROR(LOOKUP(2,1/(Aveia!$E19:INDEX(Aveia!$E19:$Z19,MIN(H$6-$G$3,22))&lt;&gt;""),Aveia!$E19:INDEX(Aveia!$E19:$Z19,MIN(H$6-$G$3,22))),0)))))</f>
        <v>0</v>
      </c>
      <c r="I21" s="27" t="n">
        <f aca="false">IF(COUNT(Aveia!$E19:$Z19)=0,0,MAX(0,IF((I$6-$E$3)&lt;1,0,IFERROR(LOOKUP(2,1/(Aveia!$E19:INDEX(Aveia!$E19:$Z19,MIN(I$6-$E$3,22))&lt;&gt;""),Aveia!$E19:INDEX(Aveia!$E19:$Z19,MIN(I$6-$E$3,22))),0))-IF($G$2,0,IF((I$6-$G$3)&lt;1,0,IFERROR(LOOKUP(2,1/(Aveia!$E19:INDEX(Aveia!$E19:$Z19,MIN(I$6-$G$3,22))&lt;&gt;""),Aveia!$E19:INDEX(Aveia!$E19:$Z19,MIN(I$6-$G$3,22))),0)))))</f>
        <v>0</v>
      </c>
      <c r="J21" s="27" t="n">
        <f aca="false">IF(COUNT(Aveia!$E19:$Z19)=0,0,MAX(0,IF((J$6-$E$3)&lt;1,0,IFERROR(LOOKUP(2,1/(Aveia!$E19:INDEX(Aveia!$E19:$Z19,MIN(J$6-$E$3,22))&lt;&gt;""),Aveia!$E19:INDEX(Aveia!$E19:$Z19,MIN(J$6-$E$3,22))),0))-IF($G$2,0,IF((J$6-$G$3)&lt;1,0,IFERROR(LOOKUP(2,1/(Aveia!$E19:INDEX(Aveia!$E19:$Z19,MIN(J$6-$G$3,22))&lt;&gt;""),Aveia!$E19:INDEX(Aveia!$E19:$Z19,MIN(J$6-$G$3,22))),0)))))</f>
        <v>0</v>
      </c>
      <c r="K21" s="27" t="n">
        <f aca="false">IF(COUNT(Aveia!$E19:$Z19)=0,0,MAX(0,IF((K$6-$E$3)&lt;1,0,IFERROR(LOOKUP(2,1/(Aveia!$E19:INDEX(Aveia!$E19:$Z19,MIN(K$6-$E$3,22))&lt;&gt;""),Aveia!$E19:INDEX(Aveia!$E19:$Z19,MIN(K$6-$E$3,22))),0))-IF($G$2,0,IF((K$6-$G$3)&lt;1,0,IFERROR(LOOKUP(2,1/(Aveia!$E19:INDEX(Aveia!$E19:$Z19,MIN(K$6-$G$3,22))&lt;&gt;""),Aveia!$E19:INDEX(Aveia!$E19:$Z19,MIN(K$6-$G$3,22))),0)))))</f>
        <v>0</v>
      </c>
      <c r="L21" s="27" t="n">
        <f aca="false">IF(COUNT(Aveia!$E19:$Z19)=0,0,MAX(0,IF((L$6-$E$3)&lt;1,0,IFERROR(LOOKUP(2,1/(Aveia!$E19:INDEX(Aveia!$E19:$Z19,MIN(L$6-$E$3,22))&lt;&gt;""),Aveia!$E19:INDEX(Aveia!$E19:$Z19,MIN(L$6-$E$3,22))),0))-IF($G$2,0,IF((L$6-$G$3)&lt;1,0,IFERROR(LOOKUP(2,1/(Aveia!$E19:INDEX(Aveia!$E19:$Z19,MIN(L$6-$G$3,22))&lt;&gt;""),Aveia!$E19:INDEX(Aveia!$E19:$Z19,MIN(L$6-$G$3,22))),0)))))</f>
        <v>0</v>
      </c>
      <c r="M21" s="27" t="n">
        <f aca="false">IF(COUNT(Aveia!$E19:$Z19)=0,0,MAX(0,IF((M$6-$E$3)&lt;1,0,IFERROR(LOOKUP(2,1/(Aveia!$E19:INDEX(Aveia!$E19:$Z19,MIN(M$6-$E$3,22))&lt;&gt;""),Aveia!$E19:INDEX(Aveia!$E19:$Z19,MIN(M$6-$E$3,22))),0))-IF($G$2,0,IF((M$6-$G$3)&lt;1,0,IFERROR(LOOKUP(2,1/(Aveia!$E19:INDEX(Aveia!$E19:$Z19,MIN(M$6-$G$3,22))&lt;&gt;""),Aveia!$E19:INDEX(Aveia!$E19:$Z19,MIN(M$6-$G$3,22))),0)))))</f>
        <v>0</v>
      </c>
      <c r="N21" s="27" t="n">
        <f aca="false">IF(COUNT(Aveia!$E19:$Z19)=0,0,MAX(0,IF((N$6-$E$3)&lt;1,0,IFERROR(LOOKUP(2,1/(Aveia!$E19:INDEX(Aveia!$E19:$Z19,MIN(N$6-$E$3,22))&lt;&gt;""),Aveia!$E19:INDEX(Aveia!$E19:$Z19,MIN(N$6-$E$3,22))),0))-IF($G$2,0,IF((N$6-$G$3)&lt;1,0,IFERROR(LOOKUP(2,1/(Aveia!$E19:INDEX(Aveia!$E19:$Z19,MIN(N$6-$G$3,22))&lt;&gt;""),Aveia!$E19:INDEX(Aveia!$E19:$Z19,MIN(N$6-$G$3,22))),0)))))</f>
        <v>0</v>
      </c>
      <c r="O21" s="27" t="n">
        <f aca="false">IF(COUNT(Aveia!$E19:$Z19)=0,0,MAX(0,IF((O$6-$E$3)&lt;1,0,IFERROR(LOOKUP(2,1/(Aveia!$E19:INDEX(Aveia!$E19:$Z19,MIN(O$6-$E$3,22))&lt;&gt;""),Aveia!$E19:INDEX(Aveia!$E19:$Z19,MIN(O$6-$E$3,22))),0))-IF($G$2,0,IF((O$6-$G$3)&lt;1,0,IFERROR(LOOKUP(2,1/(Aveia!$E19:INDEX(Aveia!$E19:$Z19,MIN(O$6-$G$3,22))&lt;&gt;""),Aveia!$E19:INDEX(Aveia!$E19:$Z19,MIN(O$6-$G$3,22))),0)))))</f>
        <v>0</v>
      </c>
      <c r="P21" s="27" t="n">
        <f aca="false">IF(COUNT(Aveia!$E19:$Z19)=0,0,MAX(0,IF((P$6-$E$3)&lt;1,0,IFERROR(LOOKUP(2,1/(Aveia!$E19:INDEX(Aveia!$E19:$Z19,MIN(P$6-$E$3,22))&lt;&gt;""),Aveia!$E19:INDEX(Aveia!$E19:$Z19,MIN(P$6-$E$3,22))),0))-IF($G$2,0,IF((P$6-$G$3)&lt;1,0,IFERROR(LOOKUP(2,1/(Aveia!$E19:INDEX(Aveia!$E19:$Z19,MIN(P$6-$G$3,22))&lt;&gt;""),Aveia!$E19:INDEX(Aveia!$E19:$Z19,MIN(P$6-$G$3,22))),0)))))</f>
        <v>0</v>
      </c>
      <c r="Q21" s="27" t="n">
        <f aca="false">IF(COUNT(Aveia!$E19:$Z19)=0,0,MAX(0,IF((Q$6-$E$3)&lt;1,0,IFERROR(LOOKUP(2,1/(Aveia!$E19:INDEX(Aveia!$E19:$Z19,MIN(Q$6-$E$3,22))&lt;&gt;""),Aveia!$E19:INDEX(Aveia!$E19:$Z19,MIN(Q$6-$E$3,22))),0))-IF($G$2,0,IF((Q$6-$G$3)&lt;1,0,IFERROR(LOOKUP(2,1/(Aveia!$E19:INDEX(Aveia!$E19:$Z19,MIN(Q$6-$G$3,22))&lt;&gt;""),Aveia!$E19:INDEX(Aveia!$E19:$Z19,MIN(Q$6-$G$3,22))),0)))))</f>
        <v>0</v>
      </c>
      <c r="R21" s="27" t="n">
        <f aca="false">IF(COUNT(Aveia!$E19:$Z19)=0,0,MAX(0,IF((R$6-$E$3)&lt;1,0,IFERROR(LOOKUP(2,1/(Aveia!$E19:INDEX(Aveia!$E19:$Z19,MIN(R$6-$E$3,22))&lt;&gt;""),Aveia!$E19:INDEX(Aveia!$E19:$Z19,MIN(R$6-$E$3,22))),0))-IF($G$2,0,IF((R$6-$G$3)&lt;1,0,IFERROR(LOOKUP(2,1/(Aveia!$E19:INDEX(Aveia!$E19:$Z19,MIN(R$6-$G$3,22))&lt;&gt;""),Aveia!$E19:INDEX(Aveia!$E19:$Z19,MIN(R$6-$G$3,22))),0)))))</f>
        <v>0</v>
      </c>
      <c r="S21" s="27" t="n">
        <f aca="false">IF(COUNT(Aveia!$E19:$Z19)=0,0,MAX(0,IF((S$6-$E$3)&lt;1,0,IFERROR(LOOKUP(2,1/(Aveia!$E19:INDEX(Aveia!$E19:$Z19,MIN(S$6-$E$3,22))&lt;&gt;""),Aveia!$E19:INDEX(Aveia!$E19:$Z19,MIN(S$6-$E$3,22))),0))-IF($G$2,0,IF((S$6-$G$3)&lt;1,0,IFERROR(LOOKUP(2,1/(Aveia!$E19:INDEX(Aveia!$E19:$Z19,MIN(S$6-$G$3,22))&lt;&gt;""),Aveia!$E19:INDEX(Aveia!$E19:$Z19,MIN(S$6-$G$3,22))),0)))))</f>
        <v>0</v>
      </c>
      <c r="T21" s="27" t="n">
        <f aca="false">IF(COUNT(Aveia!$E19:$Z19)=0,0,MAX(0,IF((T$6-$E$3)&lt;1,0,IFERROR(LOOKUP(2,1/(Aveia!$E19:INDEX(Aveia!$E19:$Z19,MIN(T$6-$E$3,22))&lt;&gt;""),Aveia!$E19:INDEX(Aveia!$E19:$Z19,MIN(T$6-$E$3,22))),0))-IF($G$2,0,IF((T$6-$G$3)&lt;1,0,IFERROR(LOOKUP(2,1/(Aveia!$E19:INDEX(Aveia!$E19:$Z19,MIN(T$6-$G$3,22))&lt;&gt;""),Aveia!$E19:INDEX(Aveia!$E19:$Z19,MIN(T$6-$G$3,22))),0)))))</f>
        <v>0</v>
      </c>
      <c r="U21" s="27" t="n">
        <f aca="false">IF(COUNT(Aveia!$E19:$Z19)=0,0,MAX(0,IF((U$6-$E$3)&lt;1,0,IFERROR(LOOKUP(2,1/(Aveia!$E19:INDEX(Aveia!$E19:$Z19,MIN(U$6-$E$3,22))&lt;&gt;""),Aveia!$E19:INDEX(Aveia!$E19:$Z19,MIN(U$6-$E$3,22))),0))-IF($G$2,0,IF((U$6-$G$3)&lt;1,0,IFERROR(LOOKUP(2,1/(Aveia!$E19:INDEX(Aveia!$E19:$Z19,MIN(U$6-$G$3,22))&lt;&gt;""),Aveia!$E19:INDEX(Aveia!$E19:$Z19,MIN(U$6-$G$3,22))),0)))))</f>
        <v>0</v>
      </c>
      <c r="V21" s="27" t="n">
        <f aca="false">IF(COUNT(Aveia!$E19:$Z19)=0,0,MAX(0,IF((V$6-$E$3)&lt;1,0,IFERROR(LOOKUP(2,1/(Aveia!$E19:INDEX(Aveia!$E19:$Z19,MIN(V$6-$E$3,22))&lt;&gt;""),Aveia!$E19:INDEX(Aveia!$E19:$Z19,MIN(V$6-$E$3,22))),0))-IF($G$2,0,IF((V$6-$G$3)&lt;1,0,IFERROR(LOOKUP(2,1/(Aveia!$E19:INDEX(Aveia!$E19:$Z19,MIN(V$6-$G$3,22))&lt;&gt;""),Aveia!$E19:INDEX(Aveia!$E19:$Z19,MIN(V$6-$G$3,22))),0)))))</f>
        <v>0</v>
      </c>
      <c r="W21" s="27" t="n">
        <f aca="false">IF(COUNT(Aveia!$E19:$Z19)=0,0,MAX(0,IF((W$6-$E$3)&lt;1,0,IFERROR(LOOKUP(2,1/(Aveia!$E19:INDEX(Aveia!$E19:$Z19,MIN(W$6-$E$3,22))&lt;&gt;""),Aveia!$E19:INDEX(Aveia!$E19:$Z19,MIN(W$6-$E$3,22))),0))-IF($G$2,0,IF((W$6-$G$3)&lt;1,0,IFERROR(LOOKUP(2,1/(Aveia!$E19:INDEX(Aveia!$E19:$Z19,MIN(W$6-$G$3,22))&lt;&gt;""),Aveia!$E19:INDEX(Aveia!$E19:$Z19,MIN(W$6-$G$3,22))),0)))))</f>
        <v>0</v>
      </c>
      <c r="X21" s="27" t="n">
        <f aca="false">IF(COUNT(Aveia!$E19:$Z19)=0,0,MAX(0,IF((X$6-$E$3)&lt;1,0,IFERROR(LOOKUP(2,1/(Aveia!$E19:INDEX(Aveia!$E19:$Z19,MIN(X$6-$E$3,22))&lt;&gt;""),Aveia!$E19:INDEX(Aveia!$E19:$Z19,MIN(X$6-$E$3,22))),0))-IF($G$2,0,IF((X$6-$G$3)&lt;1,0,IFERROR(LOOKUP(2,1/(Aveia!$E19:INDEX(Aveia!$E19:$Z19,MIN(X$6-$G$3,22))&lt;&gt;""),Aveia!$E19:INDEX(Aveia!$E19:$Z19,MIN(X$6-$G$3,22))),0)))))</f>
        <v>0</v>
      </c>
      <c r="Y21" s="27" t="n">
        <f aca="false">IF(COUNT(Aveia!$E19:$Z19)=0,0,MAX(0,IF((Y$6-$E$3)&lt;1,0,IFERROR(LOOKUP(2,1/(Aveia!$E19:INDEX(Aveia!$E19:$Z19,MIN(Y$6-$E$3,22))&lt;&gt;""),Aveia!$E19:INDEX(Aveia!$E19:$Z19,MIN(Y$6-$E$3,22))),0))-IF($G$2,0,IF((Y$6-$G$3)&lt;1,0,IFERROR(LOOKUP(2,1/(Aveia!$E19:INDEX(Aveia!$E19:$Z19,MIN(Y$6-$G$3,22))&lt;&gt;""),Aveia!$E19:INDEX(Aveia!$E19:$Z19,MIN(Y$6-$G$3,22))),0)))))</f>
        <v>0</v>
      </c>
      <c r="Z21" s="27" t="n">
        <f aca="false">IF(COUNT(Aveia!$E19:$Z19)=0,0,MAX(0,IF((Z$6-$E$3)&lt;1,0,IFERROR(LOOKUP(2,1/(Aveia!$E19:INDEX(Aveia!$E19:$Z19,MIN(Z$6-$E$3,22))&lt;&gt;""),Aveia!$E19:INDEX(Aveia!$E19:$Z19,MIN(Z$6-$E$3,22))),0))-IF($G$2,0,IF((Z$6-$G$3)&lt;1,0,IFERROR(LOOKUP(2,1/(Aveia!$E19:INDEX(Aveia!$E19:$Z19,MIN(Z$6-$G$3,22))&lt;&gt;""),Aveia!$E19:INDEX(Aveia!$E19:$Z19,MIN(Z$6-$G$3,22))),0)))))</f>
        <v>0</v>
      </c>
      <c r="AA21" s="27" t="n">
        <f aca="false">IF(COUNT(Aveia!$E19:$Z19)=0,0,MAX(0,IF((AA$6-$E$3)&lt;1,0,IFERROR(LOOKUP(2,1/(Aveia!$E19:INDEX(Aveia!$E19:$Z19,MIN(AA$6-$E$3,22))&lt;&gt;""),Aveia!$E19:INDEX(Aveia!$E19:$Z19,MIN(AA$6-$E$3,22))),0))-IF($G$2,0,IF((AA$6-$G$3)&lt;1,0,IFERROR(LOOKUP(2,1/(Aveia!$E19:INDEX(Aveia!$E19:$Z19,MIN(AA$6-$G$3,22))&lt;&gt;""),Aveia!$E19:INDEX(Aveia!$E19:$Z19,MIN(AA$6-$G$3,22))),0)))))</f>
        <v>0</v>
      </c>
      <c r="AB21" s="27" t="n">
        <f aca="false">IF(COUNT(Aveia!$E19:$Z19)=0,0,MAX(0,IF((AB$6-$E$3)&lt;1,0,IFERROR(LOOKUP(2,1/(Aveia!$E19:INDEX(Aveia!$E19:$Z19,MIN(AB$6-$E$3,22))&lt;&gt;""),Aveia!$E19:INDEX(Aveia!$E19:$Z19,MIN(AB$6-$E$3,22))),0))-IF($G$2,0,IF((AB$6-$G$3)&lt;1,0,IFERROR(LOOKUP(2,1/(Aveia!$E19:INDEX(Aveia!$E19:$Z19,MIN(AB$6-$G$3,22))&lt;&gt;""),Aveia!$E19:INDEX(Aveia!$E19:$Z19,MIN(AB$6-$G$3,22))),0)))))</f>
        <v>0</v>
      </c>
      <c r="AC21" s="27" t="n">
        <f aca="false">IF(COUNT(Aveia!$E19:$Z19)=0,0,MAX(0,IF((AC$6-$E$3)&lt;1,0,IFERROR(LOOKUP(2,1/(Aveia!$E19:INDEX(Aveia!$E19:$Z19,MIN(AC$6-$E$3,22))&lt;&gt;""),Aveia!$E19:INDEX(Aveia!$E19:$Z19,MIN(AC$6-$E$3,22))),0))-IF($G$2,0,IF((AC$6-$G$3)&lt;1,0,IFERROR(LOOKUP(2,1/(Aveia!$E19:INDEX(Aveia!$E19:$Z19,MIN(AC$6-$G$3,22))&lt;&gt;""),Aveia!$E19:INDEX(Aveia!$E19:$Z19,MIN(AC$6-$G$3,22))),0)))))</f>
        <v>0</v>
      </c>
      <c r="AD21" s="27" t="n">
        <f aca="false">IF(COUNT(Aveia!$E19:$Z19)=0,0,MAX(0,IF((AD$6-$E$3)&lt;1,0,IFERROR(LOOKUP(2,1/(Aveia!$E19:INDEX(Aveia!$E19:$Z19,MIN(AD$6-$E$3,22))&lt;&gt;""),Aveia!$E19:INDEX(Aveia!$E19:$Z19,MIN(AD$6-$E$3,22))),0))-IF($G$2,0,IF((AD$6-$G$3)&lt;1,0,IFERROR(LOOKUP(2,1/(Aveia!$E19:INDEX(Aveia!$E19:$Z19,MIN(AD$6-$G$3,22))&lt;&gt;""),Aveia!$E19:INDEX(Aveia!$E19:$Z19,MIN(AD$6-$G$3,22))),0)))))</f>
        <v>0</v>
      </c>
      <c r="AE21" s="27" t="n">
        <f aca="false">IF(COUNT(Aveia!$E19:$Z19)=0,0,MAX(0,IF((AE$6-$E$3)&lt;1,0,IFERROR(LOOKUP(2,1/(Aveia!$E19:INDEX(Aveia!$E19:$Z19,MIN(AE$6-$E$3,22))&lt;&gt;""),Aveia!$E19:INDEX(Aveia!$E19:$Z19,MIN(AE$6-$E$3,22))),0))-IF($G$2,0,IF((AE$6-$G$3)&lt;1,0,IFERROR(LOOKUP(2,1/(Aveia!$E19:INDEX(Aveia!$E19:$Z19,MIN(AE$6-$G$3,22))&lt;&gt;""),Aveia!$E19:INDEX(Aveia!$E19:$Z19,MIN(AE$6-$G$3,22))),0)))))</f>
        <v>0</v>
      </c>
      <c r="AF21" s="27" t="n">
        <f aca="false">IF(COUNT(Aveia!$E19:$Z19)=0,0,MAX(0,IF((AF$6-$E$3)&lt;1,0,IFERROR(LOOKUP(2,1/(Aveia!$E19:INDEX(Aveia!$E19:$Z19,MIN(AF$6-$E$3,22))&lt;&gt;""),Aveia!$E19:INDEX(Aveia!$E19:$Z19,MIN(AF$6-$E$3,22))),0))-IF($G$2,0,IF((AF$6-$G$3)&lt;1,0,IFERROR(LOOKUP(2,1/(Aveia!$E19:INDEX(Aveia!$E19:$Z19,MIN(AF$6-$G$3,22))&lt;&gt;""),Aveia!$E19:INDEX(Aveia!$E19:$Z19,MIN(AF$6-$G$3,22))),0)))))</f>
        <v>0</v>
      </c>
      <c r="AG21" s="27" t="n">
        <f aca="false">IF(COUNT(Aveia!$E19:$Z19)=0,0,MAX(0,IF((AG$6-$E$3)&lt;1,0,IFERROR(LOOKUP(2,1/(Aveia!$E19:INDEX(Aveia!$E19:$Z19,MIN(AG$6-$E$3,22))&lt;&gt;""),Aveia!$E19:INDEX(Aveia!$E19:$Z19,MIN(AG$6-$E$3,22))),0))-IF($G$2,0,IF((AG$6-$G$3)&lt;1,0,IFERROR(LOOKUP(2,1/(Aveia!$E19:INDEX(Aveia!$E19:$Z19,MIN(AG$6-$G$3,22))&lt;&gt;""),Aveia!$E19:INDEX(Aveia!$E19:$Z19,MIN(AG$6-$G$3,22))),0)))))</f>
        <v>0</v>
      </c>
      <c r="AH21" s="27" t="n">
        <f aca="false">IF(COUNT(Aveia!$E19:$Z19)=0,0,MAX(0,IF((AH$6-$E$3)&lt;1,0,IFERROR(LOOKUP(2,1/(Aveia!$E19:INDEX(Aveia!$E19:$Z19,MIN(AH$6-$E$3,22))&lt;&gt;""),Aveia!$E19:INDEX(Aveia!$E19:$Z19,MIN(AH$6-$E$3,22))),0))-IF($G$2,0,IF((AH$6-$G$3)&lt;1,0,IFERROR(LOOKUP(2,1/(Aveia!$E19:INDEX(Aveia!$E19:$Z19,MIN(AH$6-$G$3,22))&lt;&gt;""),Aveia!$E19:INDEX(Aveia!$E19:$Z19,MIN(AH$6-$G$3,22))),0)))))</f>
        <v>0</v>
      </c>
      <c r="AI21" s="27" t="n">
        <f aca="false">IF(COUNT(Aveia!$E19:$Z19)=0,0,MAX(0,IF((AI$6-$E$3)&lt;1,0,IFERROR(LOOKUP(2,1/(Aveia!$E19:INDEX(Aveia!$E19:$Z19,MIN(AI$6-$E$3,22))&lt;&gt;""),Aveia!$E19:INDEX(Aveia!$E19:$Z19,MIN(AI$6-$E$3,22))),0))-IF($G$2,0,IF((AI$6-$G$3)&lt;1,0,IFERROR(LOOKUP(2,1/(Aveia!$E19:INDEX(Aveia!$E19:$Z19,MIN(AI$6-$G$3,22))&lt;&gt;""),Aveia!$E19:INDEX(Aveia!$E19:$Z19,MIN(AI$6-$G$3,22))),0)))))</f>
        <v>0</v>
      </c>
      <c r="AJ21" s="27" t="n">
        <f aca="false">IF(COUNT(Aveia!$E19:$Z19)=0,0,MAX(0,IF((AJ$6-$E$3)&lt;1,0,IFERROR(LOOKUP(2,1/(Aveia!$E19:INDEX(Aveia!$E19:$Z19,MIN(AJ$6-$E$3,22))&lt;&gt;""),Aveia!$E19:INDEX(Aveia!$E19:$Z19,MIN(AJ$6-$E$3,22))),0))-IF($G$2,0,IF((AJ$6-$G$3)&lt;1,0,IFERROR(LOOKUP(2,1/(Aveia!$E19:INDEX(Aveia!$E19:$Z19,MIN(AJ$6-$G$3,22))&lt;&gt;""),Aveia!$E19:INDEX(Aveia!$E19:$Z19,MIN(AJ$6-$G$3,22))),0)))))</f>
        <v>0</v>
      </c>
      <c r="AK21" s="27" t="n">
        <f aca="false">IF(COUNT(Aveia!$E19:$Z19)=0,0,MAX(0,IF((AK$6-$E$3)&lt;1,0,IFERROR(LOOKUP(2,1/(Aveia!$E19:INDEX(Aveia!$E19:$Z19,MIN(AK$6-$E$3,22))&lt;&gt;""),Aveia!$E19:INDEX(Aveia!$E19:$Z19,MIN(AK$6-$E$3,22))),0))-IF($G$2,0,IF((AK$6-$G$3)&lt;1,0,IFERROR(LOOKUP(2,1/(Aveia!$E19:INDEX(Aveia!$E19:$Z19,MIN(AK$6-$G$3,22))&lt;&gt;""),Aveia!$E19:INDEX(Aveia!$E19:$Z19,MIN(AK$6-$G$3,22))),0)))))</f>
        <v>0</v>
      </c>
      <c r="AL21" s="27" t="n">
        <f aca="false">IF(COUNT(Aveia!$E19:$Z19)=0,0,MAX(0,IF((AL$6-$E$3)&lt;1,0,IFERROR(LOOKUP(2,1/(Aveia!$E19:INDEX(Aveia!$E19:$Z19,MIN(AL$6-$E$3,22))&lt;&gt;""),Aveia!$E19:INDEX(Aveia!$E19:$Z19,MIN(AL$6-$E$3,22))),0))-IF($G$2,0,IF((AL$6-$G$3)&lt;1,0,IFERROR(LOOKUP(2,1/(Aveia!$E19:INDEX(Aveia!$E19:$Z19,MIN(AL$6-$G$3,22))&lt;&gt;""),Aveia!$E19:INDEX(Aveia!$E19:$Z19,MIN(AL$6-$G$3,22))),0)))))</f>
        <v>0</v>
      </c>
      <c r="AM21" s="27" t="n">
        <f aca="false">IF(COUNT(Aveia!$E19:$Z19)=0,0,MAX(0,IF((AM$6-$E$3)&lt;1,0,IFERROR(LOOKUP(2,1/(Aveia!$E19:INDEX(Aveia!$E19:$Z19,MIN(AM$6-$E$3,22))&lt;&gt;""),Aveia!$E19:INDEX(Aveia!$E19:$Z19,MIN(AM$6-$E$3,22))),0))-IF($G$2,0,IF((AM$6-$G$3)&lt;1,0,IFERROR(LOOKUP(2,1/(Aveia!$E19:INDEX(Aveia!$E19:$Z19,MIN(AM$6-$G$3,22))&lt;&gt;""),Aveia!$E19:INDEX(Aveia!$E19:$Z19,MIN(AM$6-$G$3,22))),0)))))</f>
        <v>0</v>
      </c>
      <c r="AN21" s="27" t="n">
        <f aca="false">IF(COUNT(Aveia!$E19:$Z19)=0,0,MAX(0,IF((AN$6-$E$3)&lt;1,0,IFERROR(LOOKUP(2,1/(Aveia!$E19:INDEX(Aveia!$E19:$Z19,MIN(AN$6-$E$3,22))&lt;&gt;""),Aveia!$E19:INDEX(Aveia!$E19:$Z19,MIN(AN$6-$E$3,22))),0))-IF($G$2,0,IF((AN$6-$G$3)&lt;1,0,IFERROR(LOOKUP(2,1/(Aveia!$E19:INDEX(Aveia!$E19:$Z19,MIN(AN$6-$G$3,22))&lt;&gt;""),Aveia!$E19:INDEX(Aveia!$E19:$Z19,MIN(AN$6-$G$3,22))),0)))))</f>
        <v>0</v>
      </c>
      <c r="AO21" s="27" t="n">
        <f aca="false">IF(COUNT(Aveia!$E19:$Z19)=0,0,MAX(0,IF((AO$6-$E$3)&lt;1,0,IFERROR(LOOKUP(2,1/(Aveia!$E19:INDEX(Aveia!$E19:$Z19,MIN(AO$6-$E$3,22))&lt;&gt;""),Aveia!$E19:INDEX(Aveia!$E19:$Z19,MIN(AO$6-$E$3,22))),0))-IF($G$2,0,IF((AO$6-$G$3)&lt;1,0,IFERROR(LOOKUP(2,1/(Aveia!$E19:INDEX(Aveia!$E19:$Z19,MIN(AO$6-$G$3,22))&lt;&gt;""),Aveia!$E19:INDEX(Aveia!$E19:$Z19,MIN(AO$6-$G$3,22))),0)))))</f>
        <v>0</v>
      </c>
      <c r="AP21" s="27" t="n">
        <f aca="false">IF(COUNT(Aveia!$E19:$Z19)=0,0,MAX(0,IF((AP$6-$E$3)&lt;1,0,IFERROR(LOOKUP(2,1/(Aveia!$E19:INDEX(Aveia!$E19:$Z19,MIN(AP$6-$E$3,22))&lt;&gt;""),Aveia!$E19:INDEX(Aveia!$E19:$Z19,MIN(AP$6-$E$3,22))),0))-IF($G$2,0,IF((AP$6-$G$3)&lt;1,0,IFERROR(LOOKUP(2,1/(Aveia!$E19:INDEX(Aveia!$E19:$Z19,MIN(AP$6-$G$3,22))&lt;&gt;""),Aveia!$E19:INDEX(Aveia!$E19:$Z19,MIN(AP$6-$G$3,22))),0)))))</f>
        <v>0</v>
      </c>
      <c r="AQ21" s="27" t="n">
        <f aca="false">IF(COUNT(Aveia!$E19:$Z19)=0,0,MAX(0,IF((AQ$6-$E$3)&lt;1,0,IFERROR(LOOKUP(2,1/(Aveia!$E19:INDEX(Aveia!$E19:$Z19,MIN(AQ$6-$E$3,22))&lt;&gt;""),Aveia!$E19:INDEX(Aveia!$E19:$Z19,MIN(AQ$6-$E$3,22))),0))-IF($G$2,0,IF((AQ$6-$G$3)&lt;1,0,IFERROR(LOOKUP(2,1/(Aveia!$E19:INDEX(Aveia!$E19:$Z19,MIN(AQ$6-$G$3,22))&lt;&gt;""),Aveia!$E19:INDEX(Aveia!$E19:$Z19,MIN(AQ$6-$G$3,22))),0)))))</f>
        <v>0</v>
      </c>
      <c r="AR21" s="27" t="n">
        <f aca="false">IF(COUNT(Aveia!$E19:$Z19)=0,0,MAX(0,IF((AR$6-$E$3)&lt;1,0,IFERROR(LOOKUP(2,1/(Aveia!$E19:INDEX(Aveia!$E19:$Z19,MIN(AR$6-$E$3,22))&lt;&gt;""),Aveia!$E19:INDEX(Aveia!$E19:$Z19,MIN(AR$6-$E$3,22))),0))-IF($G$2,0,IF((AR$6-$G$3)&lt;1,0,IFERROR(LOOKUP(2,1/(Aveia!$E19:INDEX(Aveia!$E19:$Z19,MIN(AR$6-$G$3,22))&lt;&gt;""),Aveia!$E19:INDEX(Aveia!$E19:$Z19,MIN(AR$6-$G$3,22))),0)))))</f>
        <v>0</v>
      </c>
      <c r="AS21" s="27" t="n">
        <f aca="false">IF(COUNT(Aveia!$E19:$Z19)=0,0,MAX(0,IF((AS$6-$E$3)&lt;1,0,IFERROR(LOOKUP(2,1/(Aveia!$E19:INDEX(Aveia!$E19:$Z19,MIN(AS$6-$E$3,22))&lt;&gt;""),Aveia!$E19:INDEX(Aveia!$E19:$Z19,MIN(AS$6-$E$3,22))),0))-IF($G$2,0,IF((AS$6-$G$3)&lt;1,0,IFERROR(LOOKUP(2,1/(Aveia!$E19:INDEX(Aveia!$E19:$Z19,MIN(AS$6-$G$3,22))&lt;&gt;""),Aveia!$E19:INDEX(Aveia!$E19:$Z19,MIN(AS$6-$G$3,22))),0)))))</f>
        <v>0</v>
      </c>
      <c r="AT21" s="27" t="n">
        <f aca="false">IF(COUNT(Aveia!$E19:$Z19)=0,0,MAX(0,IF((AT$6-$E$3)&lt;1,0,IFERROR(LOOKUP(2,1/(Aveia!$E19:INDEX(Aveia!$E19:$Z19,MIN(AT$6-$E$3,22))&lt;&gt;""),Aveia!$E19:INDEX(Aveia!$E19:$Z19,MIN(AT$6-$E$3,22))),0))-IF($G$2,0,IF((AT$6-$G$3)&lt;1,0,IFERROR(LOOKUP(2,1/(Aveia!$E19:INDEX(Aveia!$E19:$Z19,MIN(AT$6-$G$3,22))&lt;&gt;""),Aveia!$E19:INDEX(Aveia!$E19:$Z19,MIN(AT$6-$G$3,22))),0)))))</f>
        <v>0</v>
      </c>
      <c r="AU21" s="27" t="n">
        <f aca="false">IF(COUNT(Aveia!$E19:$Z19)=0,0,MAX(0,IF((AU$6-$E$3)&lt;1,0,IFERROR(LOOKUP(2,1/(Aveia!$E19:INDEX(Aveia!$E19:$Z19,MIN(AU$6-$E$3,22))&lt;&gt;""),Aveia!$E19:INDEX(Aveia!$E19:$Z19,MIN(AU$6-$E$3,22))),0))-IF($G$2,0,IF((AU$6-$G$3)&lt;1,0,IFERROR(LOOKUP(2,1/(Aveia!$E19:INDEX(Aveia!$E19:$Z19,MIN(AU$6-$G$3,22))&lt;&gt;""),Aveia!$E19:INDEX(Aveia!$E19:$Z19,MIN(AU$6-$G$3,22))),0)))))</f>
        <v>0</v>
      </c>
      <c r="AV21" s="27" t="n">
        <f aca="false">IF(COUNT(Aveia!$E19:$Z19)=0,0,MAX(0,IF((AV$6-$E$3)&lt;1,0,IFERROR(LOOKUP(2,1/(Aveia!$E19:INDEX(Aveia!$E19:$Z19,MIN(AV$6-$E$3,22))&lt;&gt;""),Aveia!$E19:INDEX(Aveia!$E19:$Z19,MIN(AV$6-$E$3,22))),0))-IF($G$2,0,IF((AV$6-$G$3)&lt;1,0,IFERROR(LOOKUP(2,1/(Aveia!$E19:INDEX(Aveia!$E19:$Z19,MIN(AV$6-$G$3,22))&lt;&gt;""),Aveia!$E19:INDEX(Aveia!$E19:$Z19,MIN(AV$6-$G$3,22))),0)))))</f>
        <v>0</v>
      </c>
      <c r="AW21" s="27" t="n">
        <f aca="false">IF(COUNT(Aveia!$E19:$Z19)=0,0,MAX(0,IF((AW$6-$E$3)&lt;1,0,IFERROR(LOOKUP(2,1/(Aveia!$E19:INDEX(Aveia!$E19:$Z19,MIN(AW$6-$E$3,22))&lt;&gt;""),Aveia!$E19:INDEX(Aveia!$E19:$Z19,MIN(AW$6-$E$3,22))),0))-IF($G$2,0,IF((AW$6-$G$3)&lt;1,0,IFERROR(LOOKUP(2,1/(Aveia!$E19:INDEX(Aveia!$E19:$Z19,MIN(AW$6-$G$3,22))&lt;&gt;""),Aveia!$E19:INDEX(Aveia!$E19:$Z19,MIN(AW$6-$G$3,22))),0)))))</f>
        <v>0</v>
      </c>
      <c r="AX21" s="27" t="n">
        <f aca="false">IF(COUNT(Aveia!$E19:$Z19)=0,0,MAX(0,IF((AX$6-$E$3)&lt;1,0,IFERROR(LOOKUP(2,1/(Aveia!$E19:INDEX(Aveia!$E19:$Z19,MIN(AX$6-$E$3,22))&lt;&gt;""),Aveia!$E19:INDEX(Aveia!$E19:$Z19,MIN(AX$6-$E$3,22))),0))-IF($G$2,0,IF((AX$6-$G$3)&lt;1,0,IFERROR(LOOKUP(2,1/(Aveia!$E19:INDEX(Aveia!$E19:$Z19,MIN(AX$6-$G$3,22))&lt;&gt;""),Aveia!$E19:INDEX(Aveia!$E19:$Z19,MIN(AX$6-$G$3,22))),0)))))</f>
        <v>0</v>
      </c>
      <c r="AY21" s="27" t="n">
        <f aca="false">IF(COUNT(Aveia!$E19:$Z19)=0,0,MAX(0,IF((AY$6-$E$3)&lt;1,0,IFERROR(LOOKUP(2,1/(Aveia!$E19:INDEX(Aveia!$E19:$Z19,MIN(AY$6-$E$3,22))&lt;&gt;""),Aveia!$E19:INDEX(Aveia!$E19:$Z19,MIN(AY$6-$E$3,22))),0))-IF($G$2,0,IF((AY$6-$G$3)&lt;1,0,IFERROR(LOOKUP(2,1/(Aveia!$E19:INDEX(Aveia!$E19:$Z19,MIN(AY$6-$G$3,22))&lt;&gt;""),Aveia!$E19:INDEX(Aveia!$E19:$Z19,MIN(AY$6-$G$3,22))),0)))))</f>
        <v>0</v>
      </c>
      <c r="AZ21" s="27" t="n">
        <f aca="false">IF(COUNT(Aveia!$E19:$Z19)=0,0,MAX(0,IF((AZ$6-$E$3)&lt;1,0,IFERROR(LOOKUP(2,1/(Aveia!$E19:INDEX(Aveia!$E19:$Z19,MIN(AZ$6-$E$3,22))&lt;&gt;""),Aveia!$E19:INDEX(Aveia!$E19:$Z19,MIN(AZ$6-$E$3,22))),0))-IF($G$2,0,IF((AZ$6-$G$3)&lt;1,0,IFERROR(LOOKUP(2,1/(Aveia!$E19:INDEX(Aveia!$E19:$Z19,MIN(AZ$6-$G$3,22))&lt;&gt;""),Aveia!$E19:INDEX(Aveia!$E19:$Z19,MIN(AZ$6-$G$3,22))),0)))))</f>
        <v>0</v>
      </c>
    </row>
    <row r="22" customFormat="false" ht="15" hidden="false" customHeight="false" outlineLevel="0" collapsed="false">
      <c r="A22" s="3" t="s">
        <v>166</v>
      </c>
      <c r="B22" s="3" t="s">
        <v>167</v>
      </c>
      <c r="C22" s="10" t="s">
        <v>163</v>
      </c>
      <c r="D22" s="26" t="n">
        <f aca="false">IF(COUNT(Aveia!$E20:$Z20)&gt;0,N(Aveia!$D20),0)</f>
        <v>0</v>
      </c>
      <c r="E22" s="27" t="n">
        <f aca="false">IF(COUNT(Aveia!$E20:$Z20)=0,0,MAX(0,IF((E$6-$E$3)&lt;1,0,IFERROR(LOOKUP(2,1/(Aveia!$E20:INDEX(Aveia!$E20:$Z20,MIN(E$6-$E$3,22))&lt;&gt;""),Aveia!$E20:INDEX(Aveia!$E20:$Z20,MIN(E$6-$E$3,22))),0))-IF($G$2,0,IF((E$6-$G$3)&lt;1,0,IFERROR(LOOKUP(2,1/(Aveia!$E20:INDEX(Aveia!$E20:$Z20,MIN(E$6-$G$3,22))&lt;&gt;""),Aveia!$E20:INDEX(Aveia!$E20:$Z20,MIN(E$6-$G$3,22))),0)))))</f>
        <v>0</v>
      </c>
      <c r="F22" s="27" t="n">
        <f aca="false">IF(COUNT(Aveia!$E20:$Z20)=0,0,MAX(0,IF((F$6-$E$3)&lt;1,0,IFERROR(LOOKUP(2,1/(Aveia!$E20:INDEX(Aveia!$E20:$Z20,MIN(F$6-$E$3,22))&lt;&gt;""),Aveia!$E20:INDEX(Aveia!$E20:$Z20,MIN(F$6-$E$3,22))),0))-IF($G$2,0,IF((F$6-$G$3)&lt;1,0,IFERROR(LOOKUP(2,1/(Aveia!$E20:INDEX(Aveia!$E20:$Z20,MIN(F$6-$G$3,22))&lt;&gt;""),Aveia!$E20:INDEX(Aveia!$E20:$Z20,MIN(F$6-$G$3,22))),0)))))</f>
        <v>0</v>
      </c>
      <c r="G22" s="27" t="n">
        <f aca="false">IF(COUNT(Aveia!$E20:$Z20)=0,0,MAX(0,IF((G$6-$E$3)&lt;1,0,IFERROR(LOOKUP(2,1/(Aveia!$E20:INDEX(Aveia!$E20:$Z20,MIN(G$6-$E$3,22))&lt;&gt;""),Aveia!$E20:INDEX(Aveia!$E20:$Z20,MIN(G$6-$E$3,22))),0))-IF($G$2,0,IF((G$6-$G$3)&lt;1,0,IFERROR(LOOKUP(2,1/(Aveia!$E20:INDEX(Aveia!$E20:$Z20,MIN(G$6-$G$3,22))&lt;&gt;""),Aveia!$E20:INDEX(Aveia!$E20:$Z20,MIN(G$6-$G$3,22))),0)))))</f>
        <v>0</v>
      </c>
      <c r="H22" s="27" t="n">
        <f aca="false">IF(COUNT(Aveia!$E20:$Z20)=0,0,MAX(0,IF((H$6-$E$3)&lt;1,0,IFERROR(LOOKUP(2,1/(Aveia!$E20:INDEX(Aveia!$E20:$Z20,MIN(H$6-$E$3,22))&lt;&gt;""),Aveia!$E20:INDEX(Aveia!$E20:$Z20,MIN(H$6-$E$3,22))),0))-IF($G$2,0,IF((H$6-$G$3)&lt;1,0,IFERROR(LOOKUP(2,1/(Aveia!$E20:INDEX(Aveia!$E20:$Z20,MIN(H$6-$G$3,22))&lt;&gt;""),Aveia!$E20:INDEX(Aveia!$E20:$Z20,MIN(H$6-$G$3,22))),0)))))</f>
        <v>0</v>
      </c>
      <c r="I22" s="27" t="n">
        <f aca="false">IF(COUNT(Aveia!$E20:$Z20)=0,0,MAX(0,IF((I$6-$E$3)&lt;1,0,IFERROR(LOOKUP(2,1/(Aveia!$E20:INDEX(Aveia!$E20:$Z20,MIN(I$6-$E$3,22))&lt;&gt;""),Aveia!$E20:INDEX(Aveia!$E20:$Z20,MIN(I$6-$E$3,22))),0))-IF($G$2,0,IF((I$6-$G$3)&lt;1,0,IFERROR(LOOKUP(2,1/(Aveia!$E20:INDEX(Aveia!$E20:$Z20,MIN(I$6-$G$3,22))&lt;&gt;""),Aveia!$E20:INDEX(Aveia!$E20:$Z20,MIN(I$6-$G$3,22))),0)))))</f>
        <v>0</v>
      </c>
      <c r="J22" s="27" t="n">
        <f aca="false">IF(COUNT(Aveia!$E20:$Z20)=0,0,MAX(0,IF((J$6-$E$3)&lt;1,0,IFERROR(LOOKUP(2,1/(Aveia!$E20:INDEX(Aveia!$E20:$Z20,MIN(J$6-$E$3,22))&lt;&gt;""),Aveia!$E20:INDEX(Aveia!$E20:$Z20,MIN(J$6-$E$3,22))),0))-IF($G$2,0,IF((J$6-$G$3)&lt;1,0,IFERROR(LOOKUP(2,1/(Aveia!$E20:INDEX(Aveia!$E20:$Z20,MIN(J$6-$G$3,22))&lt;&gt;""),Aveia!$E20:INDEX(Aveia!$E20:$Z20,MIN(J$6-$G$3,22))),0)))))</f>
        <v>0</v>
      </c>
      <c r="K22" s="27" t="n">
        <f aca="false">IF(COUNT(Aveia!$E20:$Z20)=0,0,MAX(0,IF((K$6-$E$3)&lt;1,0,IFERROR(LOOKUP(2,1/(Aveia!$E20:INDEX(Aveia!$E20:$Z20,MIN(K$6-$E$3,22))&lt;&gt;""),Aveia!$E20:INDEX(Aveia!$E20:$Z20,MIN(K$6-$E$3,22))),0))-IF($G$2,0,IF((K$6-$G$3)&lt;1,0,IFERROR(LOOKUP(2,1/(Aveia!$E20:INDEX(Aveia!$E20:$Z20,MIN(K$6-$G$3,22))&lt;&gt;""),Aveia!$E20:INDEX(Aveia!$E20:$Z20,MIN(K$6-$G$3,22))),0)))))</f>
        <v>0</v>
      </c>
      <c r="L22" s="27" t="n">
        <f aca="false">IF(COUNT(Aveia!$E20:$Z20)=0,0,MAX(0,IF((L$6-$E$3)&lt;1,0,IFERROR(LOOKUP(2,1/(Aveia!$E20:INDEX(Aveia!$E20:$Z20,MIN(L$6-$E$3,22))&lt;&gt;""),Aveia!$E20:INDEX(Aveia!$E20:$Z20,MIN(L$6-$E$3,22))),0))-IF($G$2,0,IF((L$6-$G$3)&lt;1,0,IFERROR(LOOKUP(2,1/(Aveia!$E20:INDEX(Aveia!$E20:$Z20,MIN(L$6-$G$3,22))&lt;&gt;""),Aveia!$E20:INDEX(Aveia!$E20:$Z20,MIN(L$6-$G$3,22))),0)))))</f>
        <v>0</v>
      </c>
      <c r="M22" s="27" t="n">
        <f aca="false">IF(COUNT(Aveia!$E20:$Z20)=0,0,MAX(0,IF((M$6-$E$3)&lt;1,0,IFERROR(LOOKUP(2,1/(Aveia!$E20:INDEX(Aveia!$E20:$Z20,MIN(M$6-$E$3,22))&lt;&gt;""),Aveia!$E20:INDEX(Aveia!$E20:$Z20,MIN(M$6-$E$3,22))),0))-IF($G$2,0,IF((M$6-$G$3)&lt;1,0,IFERROR(LOOKUP(2,1/(Aveia!$E20:INDEX(Aveia!$E20:$Z20,MIN(M$6-$G$3,22))&lt;&gt;""),Aveia!$E20:INDEX(Aveia!$E20:$Z20,MIN(M$6-$G$3,22))),0)))))</f>
        <v>0</v>
      </c>
      <c r="N22" s="27" t="n">
        <f aca="false">IF(COUNT(Aveia!$E20:$Z20)=0,0,MAX(0,IF((N$6-$E$3)&lt;1,0,IFERROR(LOOKUP(2,1/(Aveia!$E20:INDEX(Aveia!$E20:$Z20,MIN(N$6-$E$3,22))&lt;&gt;""),Aveia!$E20:INDEX(Aveia!$E20:$Z20,MIN(N$6-$E$3,22))),0))-IF($G$2,0,IF((N$6-$G$3)&lt;1,0,IFERROR(LOOKUP(2,1/(Aveia!$E20:INDEX(Aveia!$E20:$Z20,MIN(N$6-$G$3,22))&lt;&gt;""),Aveia!$E20:INDEX(Aveia!$E20:$Z20,MIN(N$6-$G$3,22))),0)))))</f>
        <v>0</v>
      </c>
      <c r="O22" s="27" t="n">
        <f aca="false">IF(COUNT(Aveia!$E20:$Z20)=0,0,MAX(0,IF((O$6-$E$3)&lt;1,0,IFERROR(LOOKUP(2,1/(Aveia!$E20:INDEX(Aveia!$E20:$Z20,MIN(O$6-$E$3,22))&lt;&gt;""),Aveia!$E20:INDEX(Aveia!$E20:$Z20,MIN(O$6-$E$3,22))),0))-IF($G$2,0,IF((O$6-$G$3)&lt;1,0,IFERROR(LOOKUP(2,1/(Aveia!$E20:INDEX(Aveia!$E20:$Z20,MIN(O$6-$G$3,22))&lt;&gt;""),Aveia!$E20:INDEX(Aveia!$E20:$Z20,MIN(O$6-$G$3,22))),0)))))</f>
        <v>0</v>
      </c>
      <c r="P22" s="27" t="n">
        <f aca="false">IF(COUNT(Aveia!$E20:$Z20)=0,0,MAX(0,IF((P$6-$E$3)&lt;1,0,IFERROR(LOOKUP(2,1/(Aveia!$E20:INDEX(Aveia!$E20:$Z20,MIN(P$6-$E$3,22))&lt;&gt;""),Aveia!$E20:INDEX(Aveia!$E20:$Z20,MIN(P$6-$E$3,22))),0))-IF($G$2,0,IF((P$6-$G$3)&lt;1,0,IFERROR(LOOKUP(2,1/(Aveia!$E20:INDEX(Aveia!$E20:$Z20,MIN(P$6-$G$3,22))&lt;&gt;""),Aveia!$E20:INDEX(Aveia!$E20:$Z20,MIN(P$6-$G$3,22))),0)))))</f>
        <v>0</v>
      </c>
      <c r="Q22" s="27" t="n">
        <f aca="false">IF(COUNT(Aveia!$E20:$Z20)=0,0,MAX(0,IF((Q$6-$E$3)&lt;1,0,IFERROR(LOOKUP(2,1/(Aveia!$E20:INDEX(Aveia!$E20:$Z20,MIN(Q$6-$E$3,22))&lt;&gt;""),Aveia!$E20:INDEX(Aveia!$E20:$Z20,MIN(Q$6-$E$3,22))),0))-IF($G$2,0,IF((Q$6-$G$3)&lt;1,0,IFERROR(LOOKUP(2,1/(Aveia!$E20:INDEX(Aveia!$E20:$Z20,MIN(Q$6-$G$3,22))&lt;&gt;""),Aveia!$E20:INDEX(Aveia!$E20:$Z20,MIN(Q$6-$G$3,22))),0)))))</f>
        <v>0</v>
      </c>
      <c r="R22" s="27" t="n">
        <f aca="false">IF(COUNT(Aveia!$E20:$Z20)=0,0,MAX(0,IF((R$6-$E$3)&lt;1,0,IFERROR(LOOKUP(2,1/(Aveia!$E20:INDEX(Aveia!$E20:$Z20,MIN(R$6-$E$3,22))&lt;&gt;""),Aveia!$E20:INDEX(Aveia!$E20:$Z20,MIN(R$6-$E$3,22))),0))-IF($G$2,0,IF((R$6-$G$3)&lt;1,0,IFERROR(LOOKUP(2,1/(Aveia!$E20:INDEX(Aveia!$E20:$Z20,MIN(R$6-$G$3,22))&lt;&gt;""),Aveia!$E20:INDEX(Aveia!$E20:$Z20,MIN(R$6-$G$3,22))),0)))))</f>
        <v>0</v>
      </c>
      <c r="S22" s="27" t="n">
        <f aca="false">IF(COUNT(Aveia!$E20:$Z20)=0,0,MAX(0,IF((S$6-$E$3)&lt;1,0,IFERROR(LOOKUP(2,1/(Aveia!$E20:INDEX(Aveia!$E20:$Z20,MIN(S$6-$E$3,22))&lt;&gt;""),Aveia!$E20:INDEX(Aveia!$E20:$Z20,MIN(S$6-$E$3,22))),0))-IF($G$2,0,IF((S$6-$G$3)&lt;1,0,IFERROR(LOOKUP(2,1/(Aveia!$E20:INDEX(Aveia!$E20:$Z20,MIN(S$6-$G$3,22))&lt;&gt;""),Aveia!$E20:INDEX(Aveia!$E20:$Z20,MIN(S$6-$G$3,22))),0)))))</f>
        <v>0</v>
      </c>
      <c r="T22" s="27" t="n">
        <f aca="false">IF(COUNT(Aveia!$E20:$Z20)=0,0,MAX(0,IF((T$6-$E$3)&lt;1,0,IFERROR(LOOKUP(2,1/(Aveia!$E20:INDEX(Aveia!$E20:$Z20,MIN(T$6-$E$3,22))&lt;&gt;""),Aveia!$E20:INDEX(Aveia!$E20:$Z20,MIN(T$6-$E$3,22))),0))-IF($G$2,0,IF((T$6-$G$3)&lt;1,0,IFERROR(LOOKUP(2,1/(Aveia!$E20:INDEX(Aveia!$E20:$Z20,MIN(T$6-$G$3,22))&lt;&gt;""),Aveia!$E20:INDEX(Aveia!$E20:$Z20,MIN(T$6-$G$3,22))),0)))))</f>
        <v>0</v>
      </c>
      <c r="U22" s="27" t="n">
        <f aca="false">IF(COUNT(Aveia!$E20:$Z20)=0,0,MAX(0,IF((U$6-$E$3)&lt;1,0,IFERROR(LOOKUP(2,1/(Aveia!$E20:INDEX(Aveia!$E20:$Z20,MIN(U$6-$E$3,22))&lt;&gt;""),Aveia!$E20:INDEX(Aveia!$E20:$Z20,MIN(U$6-$E$3,22))),0))-IF($G$2,0,IF((U$6-$G$3)&lt;1,0,IFERROR(LOOKUP(2,1/(Aveia!$E20:INDEX(Aveia!$E20:$Z20,MIN(U$6-$G$3,22))&lt;&gt;""),Aveia!$E20:INDEX(Aveia!$E20:$Z20,MIN(U$6-$G$3,22))),0)))))</f>
        <v>0</v>
      </c>
      <c r="V22" s="27" t="n">
        <f aca="false">IF(COUNT(Aveia!$E20:$Z20)=0,0,MAX(0,IF((V$6-$E$3)&lt;1,0,IFERROR(LOOKUP(2,1/(Aveia!$E20:INDEX(Aveia!$E20:$Z20,MIN(V$6-$E$3,22))&lt;&gt;""),Aveia!$E20:INDEX(Aveia!$E20:$Z20,MIN(V$6-$E$3,22))),0))-IF($G$2,0,IF((V$6-$G$3)&lt;1,0,IFERROR(LOOKUP(2,1/(Aveia!$E20:INDEX(Aveia!$E20:$Z20,MIN(V$6-$G$3,22))&lt;&gt;""),Aveia!$E20:INDEX(Aveia!$E20:$Z20,MIN(V$6-$G$3,22))),0)))))</f>
        <v>0</v>
      </c>
      <c r="W22" s="27" t="n">
        <f aca="false">IF(COUNT(Aveia!$E20:$Z20)=0,0,MAX(0,IF((W$6-$E$3)&lt;1,0,IFERROR(LOOKUP(2,1/(Aveia!$E20:INDEX(Aveia!$E20:$Z20,MIN(W$6-$E$3,22))&lt;&gt;""),Aveia!$E20:INDEX(Aveia!$E20:$Z20,MIN(W$6-$E$3,22))),0))-IF($G$2,0,IF((W$6-$G$3)&lt;1,0,IFERROR(LOOKUP(2,1/(Aveia!$E20:INDEX(Aveia!$E20:$Z20,MIN(W$6-$G$3,22))&lt;&gt;""),Aveia!$E20:INDEX(Aveia!$E20:$Z20,MIN(W$6-$G$3,22))),0)))))</f>
        <v>0</v>
      </c>
      <c r="X22" s="27" t="n">
        <f aca="false">IF(COUNT(Aveia!$E20:$Z20)=0,0,MAX(0,IF((X$6-$E$3)&lt;1,0,IFERROR(LOOKUP(2,1/(Aveia!$E20:INDEX(Aveia!$E20:$Z20,MIN(X$6-$E$3,22))&lt;&gt;""),Aveia!$E20:INDEX(Aveia!$E20:$Z20,MIN(X$6-$E$3,22))),0))-IF($G$2,0,IF((X$6-$G$3)&lt;1,0,IFERROR(LOOKUP(2,1/(Aveia!$E20:INDEX(Aveia!$E20:$Z20,MIN(X$6-$G$3,22))&lt;&gt;""),Aveia!$E20:INDEX(Aveia!$E20:$Z20,MIN(X$6-$G$3,22))),0)))))</f>
        <v>0</v>
      </c>
      <c r="Y22" s="27" t="n">
        <f aca="false">IF(COUNT(Aveia!$E20:$Z20)=0,0,MAX(0,IF((Y$6-$E$3)&lt;1,0,IFERROR(LOOKUP(2,1/(Aveia!$E20:INDEX(Aveia!$E20:$Z20,MIN(Y$6-$E$3,22))&lt;&gt;""),Aveia!$E20:INDEX(Aveia!$E20:$Z20,MIN(Y$6-$E$3,22))),0))-IF($G$2,0,IF((Y$6-$G$3)&lt;1,0,IFERROR(LOOKUP(2,1/(Aveia!$E20:INDEX(Aveia!$E20:$Z20,MIN(Y$6-$G$3,22))&lt;&gt;""),Aveia!$E20:INDEX(Aveia!$E20:$Z20,MIN(Y$6-$G$3,22))),0)))))</f>
        <v>0</v>
      </c>
      <c r="Z22" s="27" t="n">
        <f aca="false">IF(COUNT(Aveia!$E20:$Z20)=0,0,MAX(0,IF((Z$6-$E$3)&lt;1,0,IFERROR(LOOKUP(2,1/(Aveia!$E20:INDEX(Aveia!$E20:$Z20,MIN(Z$6-$E$3,22))&lt;&gt;""),Aveia!$E20:INDEX(Aveia!$E20:$Z20,MIN(Z$6-$E$3,22))),0))-IF($G$2,0,IF((Z$6-$G$3)&lt;1,0,IFERROR(LOOKUP(2,1/(Aveia!$E20:INDEX(Aveia!$E20:$Z20,MIN(Z$6-$G$3,22))&lt;&gt;""),Aveia!$E20:INDEX(Aveia!$E20:$Z20,MIN(Z$6-$G$3,22))),0)))))</f>
        <v>0</v>
      </c>
      <c r="AA22" s="27" t="n">
        <f aca="false">IF(COUNT(Aveia!$E20:$Z20)=0,0,MAX(0,IF((AA$6-$E$3)&lt;1,0,IFERROR(LOOKUP(2,1/(Aveia!$E20:INDEX(Aveia!$E20:$Z20,MIN(AA$6-$E$3,22))&lt;&gt;""),Aveia!$E20:INDEX(Aveia!$E20:$Z20,MIN(AA$6-$E$3,22))),0))-IF($G$2,0,IF((AA$6-$G$3)&lt;1,0,IFERROR(LOOKUP(2,1/(Aveia!$E20:INDEX(Aveia!$E20:$Z20,MIN(AA$6-$G$3,22))&lt;&gt;""),Aveia!$E20:INDEX(Aveia!$E20:$Z20,MIN(AA$6-$G$3,22))),0)))))</f>
        <v>0</v>
      </c>
      <c r="AB22" s="27" t="n">
        <f aca="false">IF(COUNT(Aveia!$E20:$Z20)=0,0,MAX(0,IF((AB$6-$E$3)&lt;1,0,IFERROR(LOOKUP(2,1/(Aveia!$E20:INDEX(Aveia!$E20:$Z20,MIN(AB$6-$E$3,22))&lt;&gt;""),Aveia!$E20:INDEX(Aveia!$E20:$Z20,MIN(AB$6-$E$3,22))),0))-IF($G$2,0,IF((AB$6-$G$3)&lt;1,0,IFERROR(LOOKUP(2,1/(Aveia!$E20:INDEX(Aveia!$E20:$Z20,MIN(AB$6-$G$3,22))&lt;&gt;""),Aveia!$E20:INDEX(Aveia!$E20:$Z20,MIN(AB$6-$G$3,22))),0)))))</f>
        <v>0</v>
      </c>
      <c r="AC22" s="27" t="n">
        <f aca="false">IF(COUNT(Aveia!$E20:$Z20)=0,0,MAX(0,IF((AC$6-$E$3)&lt;1,0,IFERROR(LOOKUP(2,1/(Aveia!$E20:INDEX(Aveia!$E20:$Z20,MIN(AC$6-$E$3,22))&lt;&gt;""),Aveia!$E20:INDEX(Aveia!$E20:$Z20,MIN(AC$6-$E$3,22))),0))-IF($G$2,0,IF((AC$6-$G$3)&lt;1,0,IFERROR(LOOKUP(2,1/(Aveia!$E20:INDEX(Aveia!$E20:$Z20,MIN(AC$6-$G$3,22))&lt;&gt;""),Aveia!$E20:INDEX(Aveia!$E20:$Z20,MIN(AC$6-$G$3,22))),0)))))</f>
        <v>0</v>
      </c>
      <c r="AD22" s="27" t="n">
        <f aca="false">IF(COUNT(Aveia!$E20:$Z20)=0,0,MAX(0,IF((AD$6-$E$3)&lt;1,0,IFERROR(LOOKUP(2,1/(Aveia!$E20:INDEX(Aveia!$E20:$Z20,MIN(AD$6-$E$3,22))&lt;&gt;""),Aveia!$E20:INDEX(Aveia!$E20:$Z20,MIN(AD$6-$E$3,22))),0))-IF($G$2,0,IF((AD$6-$G$3)&lt;1,0,IFERROR(LOOKUP(2,1/(Aveia!$E20:INDEX(Aveia!$E20:$Z20,MIN(AD$6-$G$3,22))&lt;&gt;""),Aveia!$E20:INDEX(Aveia!$E20:$Z20,MIN(AD$6-$G$3,22))),0)))))</f>
        <v>0</v>
      </c>
      <c r="AE22" s="27" t="n">
        <f aca="false">IF(COUNT(Aveia!$E20:$Z20)=0,0,MAX(0,IF((AE$6-$E$3)&lt;1,0,IFERROR(LOOKUP(2,1/(Aveia!$E20:INDEX(Aveia!$E20:$Z20,MIN(AE$6-$E$3,22))&lt;&gt;""),Aveia!$E20:INDEX(Aveia!$E20:$Z20,MIN(AE$6-$E$3,22))),0))-IF($G$2,0,IF((AE$6-$G$3)&lt;1,0,IFERROR(LOOKUP(2,1/(Aveia!$E20:INDEX(Aveia!$E20:$Z20,MIN(AE$6-$G$3,22))&lt;&gt;""),Aveia!$E20:INDEX(Aveia!$E20:$Z20,MIN(AE$6-$G$3,22))),0)))))</f>
        <v>0</v>
      </c>
      <c r="AF22" s="27" t="n">
        <f aca="false">IF(COUNT(Aveia!$E20:$Z20)=0,0,MAX(0,IF((AF$6-$E$3)&lt;1,0,IFERROR(LOOKUP(2,1/(Aveia!$E20:INDEX(Aveia!$E20:$Z20,MIN(AF$6-$E$3,22))&lt;&gt;""),Aveia!$E20:INDEX(Aveia!$E20:$Z20,MIN(AF$6-$E$3,22))),0))-IF($G$2,0,IF((AF$6-$G$3)&lt;1,0,IFERROR(LOOKUP(2,1/(Aveia!$E20:INDEX(Aveia!$E20:$Z20,MIN(AF$6-$G$3,22))&lt;&gt;""),Aveia!$E20:INDEX(Aveia!$E20:$Z20,MIN(AF$6-$G$3,22))),0)))))</f>
        <v>0</v>
      </c>
      <c r="AG22" s="27" t="n">
        <f aca="false">IF(COUNT(Aveia!$E20:$Z20)=0,0,MAX(0,IF((AG$6-$E$3)&lt;1,0,IFERROR(LOOKUP(2,1/(Aveia!$E20:INDEX(Aveia!$E20:$Z20,MIN(AG$6-$E$3,22))&lt;&gt;""),Aveia!$E20:INDEX(Aveia!$E20:$Z20,MIN(AG$6-$E$3,22))),0))-IF($G$2,0,IF((AG$6-$G$3)&lt;1,0,IFERROR(LOOKUP(2,1/(Aveia!$E20:INDEX(Aveia!$E20:$Z20,MIN(AG$6-$G$3,22))&lt;&gt;""),Aveia!$E20:INDEX(Aveia!$E20:$Z20,MIN(AG$6-$G$3,22))),0)))))</f>
        <v>0</v>
      </c>
      <c r="AH22" s="27" t="n">
        <f aca="false">IF(COUNT(Aveia!$E20:$Z20)=0,0,MAX(0,IF((AH$6-$E$3)&lt;1,0,IFERROR(LOOKUP(2,1/(Aveia!$E20:INDEX(Aveia!$E20:$Z20,MIN(AH$6-$E$3,22))&lt;&gt;""),Aveia!$E20:INDEX(Aveia!$E20:$Z20,MIN(AH$6-$E$3,22))),0))-IF($G$2,0,IF((AH$6-$G$3)&lt;1,0,IFERROR(LOOKUP(2,1/(Aveia!$E20:INDEX(Aveia!$E20:$Z20,MIN(AH$6-$G$3,22))&lt;&gt;""),Aveia!$E20:INDEX(Aveia!$E20:$Z20,MIN(AH$6-$G$3,22))),0)))))</f>
        <v>0</v>
      </c>
      <c r="AI22" s="27" t="n">
        <f aca="false">IF(COUNT(Aveia!$E20:$Z20)=0,0,MAX(0,IF((AI$6-$E$3)&lt;1,0,IFERROR(LOOKUP(2,1/(Aveia!$E20:INDEX(Aveia!$E20:$Z20,MIN(AI$6-$E$3,22))&lt;&gt;""),Aveia!$E20:INDEX(Aveia!$E20:$Z20,MIN(AI$6-$E$3,22))),0))-IF($G$2,0,IF((AI$6-$G$3)&lt;1,0,IFERROR(LOOKUP(2,1/(Aveia!$E20:INDEX(Aveia!$E20:$Z20,MIN(AI$6-$G$3,22))&lt;&gt;""),Aveia!$E20:INDEX(Aveia!$E20:$Z20,MIN(AI$6-$G$3,22))),0)))))</f>
        <v>0</v>
      </c>
      <c r="AJ22" s="27" t="n">
        <f aca="false">IF(COUNT(Aveia!$E20:$Z20)=0,0,MAX(0,IF((AJ$6-$E$3)&lt;1,0,IFERROR(LOOKUP(2,1/(Aveia!$E20:INDEX(Aveia!$E20:$Z20,MIN(AJ$6-$E$3,22))&lt;&gt;""),Aveia!$E20:INDEX(Aveia!$E20:$Z20,MIN(AJ$6-$E$3,22))),0))-IF($G$2,0,IF((AJ$6-$G$3)&lt;1,0,IFERROR(LOOKUP(2,1/(Aveia!$E20:INDEX(Aveia!$E20:$Z20,MIN(AJ$6-$G$3,22))&lt;&gt;""),Aveia!$E20:INDEX(Aveia!$E20:$Z20,MIN(AJ$6-$G$3,22))),0)))))</f>
        <v>0</v>
      </c>
      <c r="AK22" s="27" t="n">
        <f aca="false">IF(COUNT(Aveia!$E20:$Z20)=0,0,MAX(0,IF((AK$6-$E$3)&lt;1,0,IFERROR(LOOKUP(2,1/(Aveia!$E20:INDEX(Aveia!$E20:$Z20,MIN(AK$6-$E$3,22))&lt;&gt;""),Aveia!$E20:INDEX(Aveia!$E20:$Z20,MIN(AK$6-$E$3,22))),0))-IF($G$2,0,IF((AK$6-$G$3)&lt;1,0,IFERROR(LOOKUP(2,1/(Aveia!$E20:INDEX(Aveia!$E20:$Z20,MIN(AK$6-$G$3,22))&lt;&gt;""),Aveia!$E20:INDEX(Aveia!$E20:$Z20,MIN(AK$6-$G$3,22))),0)))))</f>
        <v>0</v>
      </c>
      <c r="AL22" s="27" t="n">
        <f aca="false">IF(COUNT(Aveia!$E20:$Z20)=0,0,MAX(0,IF((AL$6-$E$3)&lt;1,0,IFERROR(LOOKUP(2,1/(Aveia!$E20:INDEX(Aveia!$E20:$Z20,MIN(AL$6-$E$3,22))&lt;&gt;""),Aveia!$E20:INDEX(Aveia!$E20:$Z20,MIN(AL$6-$E$3,22))),0))-IF($G$2,0,IF((AL$6-$G$3)&lt;1,0,IFERROR(LOOKUP(2,1/(Aveia!$E20:INDEX(Aveia!$E20:$Z20,MIN(AL$6-$G$3,22))&lt;&gt;""),Aveia!$E20:INDEX(Aveia!$E20:$Z20,MIN(AL$6-$G$3,22))),0)))))</f>
        <v>0</v>
      </c>
      <c r="AM22" s="27" t="n">
        <f aca="false">IF(COUNT(Aveia!$E20:$Z20)=0,0,MAX(0,IF((AM$6-$E$3)&lt;1,0,IFERROR(LOOKUP(2,1/(Aveia!$E20:INDEX(Aveia!$E20:$Z20,MIN(AM$6-$E$3,22))&lt;&gt;""),Aveia!$E20:INDEX(Aveia!$E20:$Z20,MIN(AM$6-$E$3,22))),0))-IF($G$2,0,IF((AM$6-$G$3)&lt;1,0,IFERROR(LOOKUP(2,1/(Aveia!$E20:INDEX(Aveia!$E20:$Z20,MIN(AM$6-$G$3,22))&lt;&gt;""),Aveia!$E20:INDEX(Aveia!$E20:$Z20,MIN(AM$6-$G$3,22))),0)))))</f>
        <v>0</v>
      </c>
      <c r="AN22" s="27" t="n">
        <f aca="false">IF(COUNT(Aveia!$E20:$Z20)=0,0,MAX(0,IF((AN$6-$E$3)&lt;1,0,IFERROR(LOOKUP(2,1/(Aveia!$E20:INDEX(Aveia!$E20:$Z20,MIN(AN$6-$E$3,22))&lt;&gt;""),Aveia!$E20:INDEX(Aveia!$E20:$Z20,MIN(AN$6-$E$3,22))),0))-IF($G$2,0,IF((AN$6-$G$3)&lt;1,0,IFERROR(LOOKUP(2,1/(Aveia!$E20:INDEX(Aveia!$E20:$Z20,MIN(AN$6-$G$3,22))&lt;&gt;""),Aveia!$E20:INDEX(Aveia!$E20:$Z20,MIN(AN$6-$G$3,22))),0)))))</f>
        <v>0</v>
      </c>
      <c r="AO22" s="27" t="n">
        <f aca="false">IF(COUNT(Aveia!$E20:$Z20)=0,0,MAX(0,IF((AO$6-$E$3)&lt;1,0,IFERROR(LOOKUP(2,1/(Aveia!$E20:INDEX(Aveia!$E20:$Z20,MIN(AO$6-$E$3,22))&lt;&gt;""),Aveia!$E20:INDEX(Aveia!$E20:$Z20,MIN(AO$6-$E$3,22))),0))-IF($G$2,0,IF((AO$6-$G$3)&lt;1,0,IFERROR(LOOKUP(2,1/(Aveia!$E20:INDEX(Aveia!$E20:$Z20,MIN(AO$6-$G$3,22))&lt;&gt;""),Aveia!$E20:INDEX(Aveia!$E20:$Z20,MIN(AO$6-$G$3,22))),0)))))</f>
        <v>0</v>
      </c>
      <c r="AP22" s="27" t="n">
        <f aca="false">IF(COUNT(Aveia!$E20:$Z20)=0,0,MAX(0,IF((AP$6-$E$3)&lt;1,0,IFERROR(LOOKUP(2,1/(Aveia!$E20:INDEX(Aveia!$E20:$Z20,MIN(AP$6-$E$3,22))&lt;&gt;""),Aveia!$E20:INDEX(Aveia!$E20:$Z20,MIN(AP$6-$E$3,22))),0))-IF($G$2,0,IF((AP$6-$G$3)&lt;1,0,IFERROR(LOOKUP(2,1/(Aveia!$E20:INDEX(Aveia!$E20:$Z20,MIN(AP$6-$G$3,22))&lt;&gt;""),Aveia!$E20:INDEX(Aveia!$E20:$Z20,MIN(AP$6-$G$3,22))),0)))))</f>
        <v>0</v>
      </c>
      <c r="AQ22" s="27" t="n">
        <f aca="false">IF(COUNT(Aveia!$E20:$Z20)=0,0,MAX(0,IF((AQ$6-$E$3)&lt;1,0,IFERROR(LOOKUP(2,1/(Aveia!$E20:INDEX(Aveia!$E20:$Z20,MIN(AQ$6-$E$3,22))&lt;&gt;""),Aveia!$E20:INDEX(Aveia!$E20:$Z20,MIN(AQ$6-$E$3,22))),0))-IF($G$2,0,IF((AQ$6-$G$3)&lt;1,0,IFERROR(LOOKUP(2,1/(Aveia!$E20:INDEX(Aveia!$E20:$Z20,MIN(AQ$6-$G$3,22))&lt;&gt;""),Aveia!$E20:INDEX(Aveia!$E20:$Z20,MIN(AQ$6-$G$3,22))),0)))))</f>
        <v>0</v>
      </c>
      <c r="AR22" s="27" t="n">
        <f aca="false">IF(COUNT(Aveia!$E20:$Z20)=0,0,MAX(0,IF((AR$6-$E$3)&lt;1,0,IFERROR(LOOKUP(2,1/(Aveia!$E20:INDEX(Aveia!$E20:$Z20,MIN(AR$6-$E$3,22))&lt;&gt;""),Aveia!$E20:INDEX(Aveia!$E20:$Z20,MIN(AR$6-$E$3,22))),0))-IF($G$2,0,IF((AR$6-$G$3)&lt;1,0,IFERROR(LOOKUP(2,1/(Aveia!$E20:INDEX(Aveia!$E20:$Z20,MIN(AR$6-$G$3,22))&lt;&gt;""),Aveia!$E20:INDEX(Aveia!$E20:$Z20,MIN(AR$6-$G$3,22))),0)))))</f>
        <v>0</v>
      </c>
      <c r="AS22" s="27" t="n">
        <f aca="false">IF(COUNT(Aveia!$E20:$Z20)=0,0,MAX(0,IF((AS$6-$E$3)&lt;1,0,IFERROR(LOOKUP(2,1/(Aveia!$E20:INDEX(Aveia!$E20:$Z20,MIN(AS$6-$E$3,22))&lt;&gt;""),Aveia!$E20:INDEX(Aveia!$E20:$Z20,MIN(AS$6-$E$3,22))),0))-IF($G$2,0,IF((AS$6-$G$3)&lt;1,0,IFERROR(LOOKUP(2,1/(Aveia!$E20:INDEX(Aveia!$E20:$Z20,MIN(AS$6-$G$3,22))&lt;&gt;""),Aveia!$E20:INDEX(Aveia!$E20:$Z20,MIN(AS$6-$G$3,22))),0)))))</f>
        <v>0</v>
      </c>
      <c r="AT22" s="27" t="n">
        <f aca="false">IF(COUNT(Aveia!$E20:$Z20)=0,0,MAX(0,IF((AT$6-$E$3)&lt;1,0,IFERROR(LOOKUP(2,1/(Aveia!$E20:INDEX(Aveia!$E20:$Z20,MIN(AT$6-$E$3,22))&lt;&gt;""),Aveia!$E20:INDEX(Aveia!$E20:$Z20,MIN(AT$6-$E$3,22))),0))-IF($G$2,0,IF((AT$6-$G$3)&lt;1,0,IFERROR(LOOKUP(2,1/(Aveia!$E20:INDEX(Aveia!$E20:$Z20,MIN(AT$6-$G$3,22))&lt;&gt;""),Aveia!$E20:INDEX(Aveia!$E20:$Z20,MIN(AT$6-$G$3,22))),0)))))</f>
        <v>0</v>
      </c>
      <c r="AU22" s="27" t="n">
        <f aca="false">IF(COUNT(Aveia!$E20:$Z20)=0,0,MAX(0,IF((AU$6-$E$3)&lt;1,0,IFERROR(LOOKUP(2,1/(Aveia!$E20:INDEX(Aveia!$E20:$Z20,MIN(AU$6-$E$3,22))&lt;&gt;""),Aveia!$E20:INDEX(Aveia!$E20:$Z20,MIN(AU$6-$E$3,22))),0))-IF($G$2,0,IF((AU$6-$G$3)&lt;1,0,IFERROR(LOOKUP(2,1/(Aveia!$E20:INDEX(Aveia!$E20:$Z20,MIN(AU$6-$G$3,22))&lt;&gt;""),Aveia!$E20:INDEX(Aveia!$E20:$Z20,MIN(AU$6-$G$3,22))),0)))))</f>
        <v>0</v>
      </c>
      <c r="AV22" s="27" t="n">
        <f aca="false">IF(COUNT(Aveia!$E20:$Z20)=0,0,MAX(0,IF((AV$6-$E$3)&lt;1,0,IFERROR(LOOKUP(2,1/(Aveia!$E20:INDEX(Aveia!$E20:$Z20,MIN(AV$6-$E$3,22))&lt;&gt;""),Aveia!$E20:INDEX(Aveia!$E20:$Z20,MIN(AV$6-$E$3,22))),0))-IF($G$2,0,IF((AV$6-$G$3)&lt;1,0,IFERROR(LOOKUP(2,1/(Aveia!$E20:INDEX(Aveia!$E20:$Z20,MIN(AV$6-$G$3,22))&lt;&gt;""),Aveia!$E20:INDEX(Aveia!$E20:$Z20,MIN(AV$6-$G$3,22))),0)))))</f>
        <v>0</v>
      </c>
      <c r="AW22" s="27" t="n">
        <f aca="false">IF(COUNT(Aveia!$E20:$Z20)=0,0,MAX(0,IF((AW$6-$E$3)&lt;1,0,IFERROR(LOOKUP(2,1/(Aveia!$E20:INDEX(Aveia!$E20:$Z20,MIN(AW$6-$E$3,22))&lt;&gt;""),Aveia!$E20:INDEX(Aveia!$E20:$Z20,MIN(AW$6-$E$3,22))),0))-IF($G$2,0,IF((AW$6-$G$3)&lt;1,0,IFERROR(LOOKUP(2,1/(Aveia!$E20:INDEX(Aveia!$E20:$Z20,MIN(AW$6-$G$3,22))&lt;&gt;""),Aveia!$E20:INDEX(Aveia!$E20:$Z20,MIN(AW$6-$G$3,22))),0)))))</f>
        <v>0</v>
      </c>
      <c r="AX22" s="27" t="n">
        <f aca="false">IF(COUNT(Aveia!$E20:$Z20)=0,0,MAX(0,IF((AX$6-$E$3)&lt;1,0,IFERROR(LOOKUP(2,1/(Aveia!$E20:INDEX(Aveia!$E20:$Z20,MIN(AX$6-$E$3,22))&lt;&gt;""),Aveia!$E20:INDEX(Aveia!$E20:$Z20,MIN(AX$6-$E$3,22))),0))-IF($G$2,0,IF((AX$6-$G$3)&lt;1,0,IFERROR(LOOKUP(2,1/(Aveia!$E20:INDEX(Aveia!$E20:$Z20,MIN(AX$6-$G$3,22))&lt;&gt;""),Aveia!$E20:INDEX(Aveia!$E20:$Z20,MIN(AX$6-$G$3,22))),0)))))</f>
        <v>0</v>
      </c>
      <c r="AY22" s="27" t="n">
        <f aca="false">IF(COUNT(Aveia!$E20:$Z20)=0,0,MAX(0,IF((AY$6-$E$3)&lt;1,0,IFERROR(LOOKUP(2,1/(Aveia!$E20:INDEX(Aveia!$E20:$Z20,MIN(AY$6-$E$3,22))&lt;&gt;""),Aveia!$E20:INDEX(Aveia!$E20:$Z20,MIN(AY$6-$E$3,22))),0))-IF($G$2,0,IF((AY$6-$G$3)&lt;1,0,IFERROR(LOOKUP(2,1/(Aveia!$E20:INDEX(Aveia!$E20:$Z20,MIN(AY$6-$G$3,22))&lt;&gt;""),Aveia!$E20:INDEX(Aveia!$E20:$Z20,MIN(AY$6-$G$3,22))),0)))))</f>
        <v>0</v>
      </c>
      <c r="AZ22" s="27" t="n">
        <f aca="false">IF(COUNT(Aveia!$E20:$Z20)=0,0,MAX(0,IF((AZ$6-$E$3)&lt;1,0,IFERROR(LOOKUP(2,1/(Aveia!$E20:INDEX(Aveia!$E20:$Z20,MIN(AZ$6-$E$3,22))&lt;&gt;""),Aveia!$E20:INDEX(Aveia!$E20:$Z20,MIN(AZ$6-$E$3,22))),0))-IF($G$2,0,IF((AZ$6-$G$3)&lt;1,0,IFERROR(LOOKUP(2,1/(Aveia!$E20:INDEX(Aveia!$E20:$Z20,MIN(AZ$6-$G$3,22))&lt;&gt;""),Aveia!$E20:INDEX(Aveia!$E20:$Z20,MIN(AZ$6-$G$3,22))),0)))))</f>
        <v>0</v>
      </c>
    </row>
    <row r="23" customFormat="false" ht="15" hidden="false" customHeight="false" outlineLevel="0" collapsed="false">
      <c r="A23" s="3" t="s">
        <v>168</v>
      </c>
      <c r="B23" s="3" t="s">
        <v>169</v>
      </c>
      <c r="C23" s="10" t="s">
        <v>158</v>
      </c>
      <c r="D23" s="26" t="n">
        <f aca="false">IF(COUNT(Aveia!$E21:$Z21)&gt;0,N(Aveia!$D21),0)</f>
        <v>0</v>
      </c>
      <c r="E23" s="27" t="n">
        <f aca="false">IF(COUNT(Aveia!$E21:$Z21)=0,0,MAX(0,IF((E$6-$E$3)&lt;1,0,IFERROR(LOOKUP(2,1/(Aveia!$E21:INDEX(Aveia!$E21:$Z21,MIN(E$6-$E$3,22))&lt;&gt;""),Aveia!$E21:INDEX(Aveia!$E21:$Z21,MIN(E$6-$E$3,22))),0))-IF($G$2,0,IF((E$6-$G$3)&lt;1,0,IFERROR(LOOKUP(2,1/(Aveia!$E21:INDEX(Aveia!$E21:$Z21,MIN(E$6-$G$3,22))&lt;&gt;""),Aveia!$E21:INDEX(Aveia!$E21:$Z21,MIN(E$6-$G$3,22))),0)))))</f>
        <v>0</v>
      </c>
      <c r="F23" s="27" t="n">
        <f aca="false">IF(COUNT(Aveia!$E21:$Z21)=0,0,MAX(0,IF((F$6-$E$3)&lt;1,0,IFERROR(LOOKUP(2,1/(Aveia!$E21:INDEX(Aveia!$E21:$Z21,MIN(F$6-$E$3,22))&lt;&gt;""),Aveia!$E21:INDEX(Aveia!$E21:$Z21,MIN(F$6-$E$3,22))),0))-IF($G$2,0,IF((F$6-$G$3)&lt;1,0,IFERROR(LOOKUP(2,1/(Aveia!$E21:INDEX(Aveia!$E21:$Z21,MIN(F$6-$G$3,22))&lt;&gt;""),Aveia!$E21:INDEX(Aveia!$E21:$Z21,MIN(F$6-$G$3,22))),0)))))</f>
        <v>0</v>
      </c>
      <c r="G23" s="27" t="n">
        <f aca="false">IF(COUNT(Aveia!$E21:$Z21)=0,0,MAX(0,IF((G$6-$E$3)&lt;1,0,IFERROR(LOOKUP(2,1/(Aveia!$E21:INDEX(Aveia!$E21:$Z21,MIN(G$6-$E$3,22))&lt;&gt;""),Aveia!$E21:INDEX(Aveia!$E21:$Z21,MIN(G$6-$E$3,22))),0))-IF($G$2,0,IF((G$6-$G$3)&lt;1,0,IFERROR(LOOKUP(2,1/(Aveia!$E21:INDEX(Aveia!$E21:$Z21,MIN(G$6-$G$3,22))&lt;&gt;""),Aveia!$E21:INDEX(Aveia!$E21:$Z21,MIN(G$6-$G$3,22))),0)))))</f>
        <v>0</v>
      </c>
      <c r="H23" s="27" t="n">
        <f aca="false">IF(COUNT(Aveia!$E21:$Z21)=0,0,MAX(0,IF((H$6-$E$3)&lt;1,0,IFERROR(LOOKUP(2,1/(Aveia!$E21:INDEX(Aveia!$E21:$Z21,MIN(H$6-$E$3,22))&lt;&gt;""),Aveia!$E21:INDEX(Aveia!$E21:$Z21,MIN(H$6-$E$3,22))),0))-IF($G$2,0,IF((H$6-$G$3)&lt;1,0,IFERROR(LOOKUP(2,1/(Aveia!$E21:INDEX(Aveia!$E21:$Z21,MIN(H$6-$G$3,22))&lt;&gt;""),Aveia!$E21:INDEX(Aveia!$E21:$Z21,MIN(H$6-$G$3,22))),0)))))</f>
        <v>0</v>
      </c>
      <c r="I23" s="27" t="n">
        <f aca="false">IF(COUNT(Aveia!$E21:$Z21)=0,0,MAX(0,IF((I$6-$E$3)&lt;1,0,IFERROR(LOOKUP(2,1/(Aveia!$E21:INDEX(Aveia!$E21:$Z21,MIN(I$6-$E$3,22))&lt;&gt;""),Aveia!$E21:INDEX(Aveia!$E21:$Z21,MIN(I$6-$E$3,22))),0))-IF($G$2,0,IF((I$6-$G$3)&lt;1,0,IFERROR(LOOKUP(2,1/(Aveia!$E21:INDEX(Aveia!$E21:$Z21,MIN(I$6-$G$3,22))&lt;&gt;""),Aveia!$E21:INDEX(Aveia!$E21:$Z21,MIN(I$6-$G$3,22))),0)))))</f>
        <v>0</v>
      </c>
      <c r="J23" s="27" t="n">
        <f aca="false">IF(COUNT(Aveia!$E21:$Z21)=0,0,MAX(0,IF((J$6-$E$3)&lt;1,0,IFERROR(LOOKUP(2,1/(Aveia!$E21:INDEX(Aveia!$E21:$Z21,MIN(J$6-$E$3,22))&lt;&gt;""),Aveia!$E21:INDEX(Aveia!$E21:$Z21,MIN(J$6-$E$3,22))),0))-IF($G$2,0,IF((J$6-$G$3)&lt;1,0,IFERROR(LOOKUP(2,1/(Aveia!$E21:INDEX(Aveia!$E21:$Z21,MIN(J$6-$G$3,22))&lt;&gt;""),Aveia!$E21:INDEX(Aveia!$E21:$Z21,MIN(J$6-$G$3,22))),0)))))</f>
        <v>0</v>
      </c>
      <c r="K23" s="27" t="n">
        <f aca="false">IF(COUNT(Aveia!$E21:$Z21)=0,0,MAX(0,IF((K$6-$E$3)&lt;1,0,IFERROR(LOOKUP(2,1/(Aveia!$E21:INDEX(Aveia!$E21:$Z21,MIN(K$6-$E$3,22))&lt;&gt;""),Aveia!$E21:INDEX(Aveia!$E21:$Z21,MIN(K$6-$E$3,22))),0))-IF($G$2,0,IF((K$6-$G$3)&lt;1,0,IFERROR(LOOKUP(2,1/(Aveia!$E21:INDEX(Aveia!$E21:$Z21,MIN(K$6-$G$3,22))&lt;&gt;""),Aveia!$E21:INDEX(Aveia!$E21:$Z21,MIN(K$6-$G$3,22))),0)))))</f>
        <v>0</v>
      </c>
      <c r="L23" s="27" t="n">
        <f aca="false">IF(COUNT(Aveia!$E21:$Z21)=0,0,MAX(0,IF((L$6-$E$3)&lt;1,0,IFERROR(LOOKUP(2,1/(Aveia!$E21:INDEX(Aveia!$E21:$Z21,MIN(L$6-$E$3,22))&lt;&gt;""),Aveia!$E21:INDEX(Aveia!$E21:$Z21,MIN(L$6-$E$3,22))),0))-IF($G$2,0,IF((L$6-$G$3)&lt;1,0,IFERROR(LOOKUP(2,1/(Aveia!$E21:INDEX(Aveia!$E21:$Z21,MIN(L$6-$G$3,22))&lt;&gt;""),Aveia!$E21:INDEX(Aveia!$E21:$Z21,MIN(L$6-$G$3,22))),0)))))</f>
        <v>0</v>
      </c>
      <c r="M23" s="27" t="n">
        <f aca="false">IF(COUNT(Aveia!$E21:$Z21)=0,0,MAX(0,IF((M$6-$E$3)&lt;1,0,IFERROR(LOOKUP(2,1/(Aveia!$E21:INDEX(Aveia!$E21:$Z21,MIN(M$6-$E$3,22))&lt;&gt;""),Aveia!$E21:INDEX(Aveia!$E21:$Z21,MIN(M$6-$E$3,22))),0))-IF($G$2,0,IF((M$6-$G$3)&lt;1,0,IFERROR(LOOKUP(2,1/(Aveia!$E21:INDEX(Aveia!$E21:$Z21,MIN(M$6-$G$3,22))&lt;&gt;""),Aveia!$E21:INDEX(Aveia!$E21:$Z21,MIN(M$6-$G$3,22))),0)))))</f>
        <v>0</v>
      </c>
      <c r="N23" s="27" t="n">
        <f aca="false">IF(COUNT(Aveia!$E21:$Z21)=0,0,MAX(0,IF((N$6-$E$3)&lt;1,0,IFERROR(LOOKUP(2,1/(Aveia!$E21:INDEX(Aveia!$E21:$Z21,MIN(N$6-$E$3,22))&lt;&gt;""),Aveia!$E21:INDEX(Aveia!$E21:$Z21,MIN(N$6-$E$3,22))),0))-IF($G$2,0,IF((N$6-$G$3)&lt;1,0,IFERROR(LOOKUP(2,1/(Aveia!$E21:INDEX(Aveia!$E21:$Z21,MIN(N$6-$G$3,22))&lt;&gt;""),Aveia!$E21:INDEX(Aveia!$E21:$Z21,MIN(N$6-$G$3,22))),0)))))</f>
        <v>0</v>
      </c>
      <c r="O23" s="27" t="n">
        <f aca="false">IF(COUNT(Aveia!$E21:$Z21)=0,0,MAX(0,IF((O$6-$E$3)&lt;1,0,IFERROR(LOOKUP(2,1/(Aveia!$E21:INDEX(Aveia!$E21:$Z21,MIN(O$6-$E$3,22))&lt;&gt;""),Aveia!$E21:INDEX(Aveia!$E21:$Z21,MIN(O$6-$E$3,22))),0))-IF($G$2,0,IF((O$6-$G$3)&lt;1,0,IFERROR(LOOKUP(2,1/(Aveia!$E21:INDEX(Aveia!$E21:$Z21,MIN(O$6-$G$3,22))&lt;&gt;""),Aveia!$E21:INDEX(Aveia!$E21:$Z21,MIN(O$6-$G$3,22))),0)))))</f>
        <v>0</v>
      </c>
      <c r="P23" s="27" t="n">
        <f aca="false">IF(COUNT(Aveia!$E21:$Z21)=0,0,MAX(0,IF((P$6-$E$3)&lt;1,0,IFERROR(LOOKUP(2,1/(Aveia!$E21:INDEX(Aveia!$E21:$Z21,MIN(P$6-$E$3,22))&lt;&gt;""),Aveia!$E21:INDEX(Aveia!$E21:$Z21,MIN(P$6-$E$3,22))),0))-IF($G$2,0,IF((P$6-$G$3)&lt;1,0,IFERROR(LOOKUP(2,1/(Aveia!$E21:INDEX(Aveia!$E21:$Z21,MIN(P$6-$G$3,22))&lt;&gt;""),Aveia!$E21:INDEX(Aveia!$E21:$Z21,MIN(P$6-$G$3,22))),0)))))</f>
        <v>0</v>
      </c>
      <c r="Q23" s="27" t="n">
        <f aca="false">IF(COUNT(Aveia!$E21:$Z21)=0,0,MAX(0,IF((Q$6-$E$3)&lt;1,0,IFERROR(LOOKUP(2,1/(Aveia!$E21:INDEX(Aveia!$E21:$Z21,MIN(Q$6-$E$3,22))&lt;&gt;""),Aveia!$E21:INDEX(Aveia!$E21:$Z21,MIN(Q$6-$E$3,22))),0))-IF($G$2,0,IF((Q$6-$G$3)&lt;1,0,IFERROR(LOOKUP(2,1/(Aveia!$E21:INDEX(Aveia!$E21:$Z21,MIN(Q$6-$G$3,22))&lt;&gt;""),Aveia!$E21:INDEX(Aveia!$E21:$Z21,MIN(Q$6-$G$3,22))),0)))))</f>
        <v>0</v>
      </c>
      <c r="R23" s="27" t="n">
        <f aca="false">IF(COUNT(Aveia!$E21:$Z21)=0,0,MAX(0,IF((R$6-$E$3)&lt;1,0,IFERROR(LOOKUP(2,1/(Aveia!$E21:INDEX(Aveia!$E21:$Z21,MIN(R$6-$E$3,22))&lt;&gt;""),Aveia!$E21:INDEX(Aveia!$E21:$Z21,MIN(R$6-$E$3,22))),0))-IF($G$2,0,IF((R$6-$G$3)&lt;1,0,IFERROR(LOOKUP(2,1/(Aveia!$E21:INDEX(Aveia!$E21:$Z21,MIN(R$6-$G$3,22))&lt;&gt;""),Aveia!$E21:INDEX(Aveia!$E21:$Z21,MIN(R$6-$G$3,22))),0)))))</f>
        <v>0</v>
      </c>
      <c r="S23" s="27" t="n">
        <f aca="false">IF(COUNT(Aveia!$E21:$Z21)=0,0,MAX(0,IF((S$6-$E$3)&lt;1,0,IFERROR(LOOKUP(2,1/(Aveia!$E21:INDEX(Aveia!$E21:$Z21,MIN(S$6-$E$3,22))&lt;&gt;""),Aveia!$E21:INDEX(Aveia!$E21:$Z21,MIN(S$6-$E$3,22))),0))-IF($G$2,0,IF((S$6-$G$3)&lt;1,0,IFERROR(LOOKUP(2,1/(Aveia!$E21:INDEX(Aveia!$E21:$Z21,MIN(S$6-$G$3,22))&lt;&gt;""),Aveia!$E21:INDEX(Aveia!$E21:$Z21,MIN(S$6-$G$3,22))),0)))))</f>
        <v>0</v>
      </c>
      <c r="T23" s="27" t="n">
        <f aca="false">IF(COUNT(Aveia!$E21:$Z21)=0,0,MAX(0,IF((T$6-$E$3)&lt;1,0,IFERROR(LOOKUP(2,1/(Aveia!$E21:INDEX(Aveia!$E21:$Z21,MIN(T$6-$E$3,22))&lt;&gt;""),Aveia!$E21:INDEX(Aveia!$E21:$Z21,MIN(T$6-$E$3,22))),0))-IF($G$2,0,IF((T$6-$G$3)&lt;1,0,IFERROR(LOOKUP(2,1/(Aveia!$E21:INDEX(Aveia!$E21:$Z21,MIN(T$6-$G$3,22))&lt;&gt;""),Aveia!$E21:INDEX(Aveia!$E21:$Z21,MIN(T$6-$G$3,22))),0)))))</f>
        <v>0</v>
      </c>
      <c r="U23" s="27" t="n">
        <f aca="false">IF(COUNT(Aveia!$E21:$Z21)=0,0,MAX(0,IF((U$6-$E$3)&lt;1,0,IFERROR(LOOKUP(2,1/(Aveia!$E21:INDEX(Aveia!$E21:$Z21,MIN(U$6-$E$3,22))&lt;&gt;""),Aveia!$E21:INDEX(Aveia!$E21:$Z21,MIN(U$6-$E$3,22))),0))-IF($G$2,0,IF((U$6-$G$3)&lt;1,0,IFERROR(LOOKUP(2,1/(Aveia!$E21:INDEX(Aveia!$E21:$Z21,MIN(U$6-$G$3,22))&lt;&gt;""),Aveia!$E21:INDEX(Aveia!$E21:$Z21,MIN(U$6-$G$3,22))),0)))))</f>
        <v>0</v>
      </c>
      <c r="V23" s="27" t="n">
        <f aca="false">IF(COUNT(Aveia!$E21:$Z21)=0,0,MAX(0,IF((V$6-$E$3)&lt;1,0,IFERROR(LOOKUP(2,1/(Aveia!$E21:INDEX(Aveia!$E21:$Z21,MIN(V$6-$E$3,22))&lt;&gt;""),Aveia!$E21:INDEX(Aveia!$E21:$Z21,MIN(V$6-$E$3,22))),0))-IF($G$2,0,IF((V$6-$G$3)&lt;1,0,IFERROR(LOOKUP(2,1/(Aveia!$E21:INDEX(Aveia!$E21:$Z21,MIN(V$6-$G$3,22))&lt;&gt;""),Aveia!$E21:INDEX(Aveia!$E21:$Z21,MIN(V$6-$G$3,22))),0)))))</f>
        <v>0</v>
      </c>
      <c r="W23" s="27" t="n">
        <f aca="false">IF(COUNT(Aveia!$E21:$Z21)=0,0,MAX(0,IF((W$6-$E$3)&lt;1,0,IFERROR(LOOKUP(2,1/(Aveia!$E21:INDEX(Aveia!$E21:$Z21,MIN(W$6-$E$3,22))&lt;&gt;""),Aveia!$E21:INDEX(Aveia!$E21:$Z21,MIN(W$6-$E$3,22))),0))-IF($G$2,0,IF((W$6-$G$3)&lt;1,0,IFERROR(LOOKUP(2,1/(Aveia!$E21:INDEX(Aveia!$E21:$Z21,MIN(W$6-$G$3,22))&lt;&gt;""),Aveia!$E21:INDEX(Aveia!$E21:$Z21,MIN(W$6-$G$3,22))),0)))))</f>
        <v>0</v>
      </c>
      <c r="X23" s="27" t="n">
        <f aca="false">IF(COUNT(Aveia!$E21:$Z21)=0,0,MAX(0,IF((X$6-$E$3)&lt;1,0,IFERROR(LOOKUP(2,1/(Aveia!$E21:INDEX(Aveia!$E21:$Z21,MIN(X$6-$E$3,22))&lt;&gt;""),Aveia!$E21:INDEX(Aveia!$E21:$Z21,MIN(X$6-$E$3,22))),0))-IF($G$2,0,IF((X$6-$G$3)&lt;1,0,IFERROR(LOOKUP(2,1/(Aveia!$E21:INDEX(Aveia!$E21:$Z21,MIN(X$6-$G$3,22))&lt;&gt;""),Aveia!$E21:INDEX(Aveia!$E21:$Z21,MIN(X$6-$G$3,22))),0)))))</f>
        <v>0</v>
      </c>
      <c r="Y23" s="27" t="n">
        <f aca="false">IF(COUNT(Aveia!$E21:$Z21)=0,0,MAX(0,IF((Y$6-$E$3)&lt;1,0,IFERROR(LOOKUP(2,1/(Aveia!$E21:INDEX(Aveia!$E21:$Z21,MIN(Y$6-$E$3,22))&lt;&gt;""),Aveia!$E21:INDEX(Aveia!$E21:$Z21,MIN(Y$6-$E$3,22))),0))-IF($G$2,0,IF((Y$6-$G$3)&lt;1,0,IFERROR(LOOKUP(2,1/(Aveia!$E21:INDEX(Aveia!$E21:$Z21,MIN(Y$6-$G$3,22))&lt;&gt;""),Aveia!$E21:INDEX(Aveia!$E21:$Z21,MIN(Y$6-$G$3,22))),0)))))</f>
        <v>0</v>
      </c>
      <c r="Z23" s="27" t="n">
        <f aca="false">IF(COUNT(Aveia!$E21:$Z21)=0,0,MAX(0,IF((Z$6-$E$3)&lt;1,0,IFERROR(LOOKUP(2,1/(Aveia!$E21:INDEX(Aveia!$E21:$Z21,MIN(Z$6-$E$3,22))&lt;&gt;""),Aveia!$E21:INDEX(Aveia!$E21:$Z21,MIN(Z$6-$E$3,22))),0))-IF($G$2,0,IF((Z$6-$G$3)&lt;1,0,IFERROR(LOOKUP(2,1/(Aveia!$E21:INDEX(Aveia!$E21:$Z21,MIN(Z$6-$G$3,22))&lt;&gt;""),Aveia!$E21:INDEX(Aveia!$E21:$Z21,MIN(Z$6-$G$3,22))),0)))))</f>
        <v>0</v>
      </c>
      <c r="AA23" s="27" t="n">
        <f aca="false">IF(COUNT(Aveia!$E21:$Z21)=0,0,MAX(0,IF((AA$6-$E$3)&lt;1,0,IFERROR(LOOKUP(2,1/(Aveia!$E21:INDEX(Aveia!$E21:$Z21,MIN(AA$6-$E$3,22))&lt;&gt;""),Aveia!$E21:INDEX(Aveia!$E21:$Z21,MIN(AA$6-$E$3,22))),0))-IF($G$2,0,IF((AA$6-$G$3)&lt;1,0,IFERROR(LOOKUP(2,1/(Aveia!$E21:INDEX(Aveia!$E21:$Z21,MIN(AA$6-$G$3,22))&lt;&gt;""),Aveia!$E21:INDEX(Aveia!$E21:$Z21,MIN(AA$6-$G$3,22))),0)))))</f>
        <v>0</v>
      </c>
      <c r="AB23" s="27" t="n">
        <f aca="false">IF(COUNT(Aveia!$E21:$Z21)=0,0,MAX(0,IF((AB$6-$E$3)&lt;1,0,IFERROR(LOOKUP(2,1/(Aveia!$E21:INDEX(Aveia!$E21:$Z21,MIN(AB$6-$E$3,22))&lt;&gt;""),Aveia!$E21:INDEX(Aveia!$E21:$Z21,MIN(AB$6-$E$3,22))),0))-IF($G$2,0,IF((AB$6-$G$3)&lt;1,0,IFERROR(LOOKUP(2,1/(Aveia!$E21:INDEX(Aveia!$E21:$Z21,MIN(AB$6-$G$3,22))&lt;&gt;""),Aveia!$E21:INDEX(Aveia!$E21:$Z21,MIN(AB$6-$G$3,22))),0)))))</f>
        <v>0</v>
      </c>
      <c r="AC23" s="27" t="n">
        <f aca="false">IF(COUNT(Aveia!$E21:$Z21)=0,0,MAX(0,IF((AC$6-$E$3)&lt;1,0,IFERROR(LOOKUP(2,1/(Aveia!$E21:INDEX(Aveia!$E21:$Z21,MIN(AC$6-$E$3,22))&lt;&gt;""),Aveia!$E21:INDEX(Aveia!$E21:$Z21,MIN(AC$6-$E$3,22))),0))-IF($G$2,0,IF((AC$6-$G$3)&lt;1,0,IFERROR(LOOKUP(2,1/(Aveia!$E21:INDEX(Aveia!$E21:$Z21,MIN(AC$6-$G$3,22))&lt;&gt;""),Aveia!$E21:INDEX(Aveia!$E21:$Z21,MIN(AC$6-$G$3,22))),0)))))</f>
        <v>0</v>
      </c>
      <c r="AD23" s="27" t="n">
        <f aca="false">IF(COUNT(Aveia!$E21:$Z21)=0,0,MAX(0,IF((AD$6-$E$3)&lt;1,0,IFERROR(LOOKUP(2,1/(Aveia!$E21:INDEX(Aveia!$E21:$Z21,MIN(AD$6-$E$3,22))&lt;&gt;""),Aveia!$E21:INDEX(Aveia!$E21:$Z21,MIN(AD$6-$E$3,22))),0))-IF($G$2,0,IF((AD$6-$G$3)&lt;1,0,IFERROR(LOOKUP(2,1/(Aveia!$E21:INDEX(Aveia!$E21:$Z21,MIN(AD$6-$G$3,22))&lt;&gt;""),Aveia!$E21:INDEX(Aveia!$E21:$Z21,MIN(AD$6-$G$3,22))),0)))))</f>
        <v>0</v>
      </c>
      <c r="AE23" s="27" t="n">
        <f aca="false">IF(COUNT(Aveia!$E21:$Z21)=0,0,MAX(0,IF((AE$6-$E$3)&lt;1,0,IFERROR(LOOKUP(2,1/(Aveia!$E21:INDEX(Aveia!$E21:$Z21,MIN(AE$6-$E$3,22))&lt;&gt;""),Aveia!$E21:INDEX(Aveia!$E21:$Z21,MIN(AE$6-$E$3,22))),0))-IF($G$2,0,IF((AE$6-$G$3)&lt;1,0,IFERROR(LOOKUP(2,1/(Aveia!$E21:INDEX(Aveia!$E21:$Z21,MIN(AE$6-$G$3,22))&lt;&gt;""),Aveia!$E21:INDEX(Aveia!$E21:$Z21,MIN(AE$6-$G$3,22))),0)))))</f>
        <v>0</v>
      </c>
      <c r="AF23" s="27" t="n">
        <f aca="false">IF(COUNT(Aveia!$E21:$Z21)=0,0,MAX(0,IF((AF$6-$E$3)&lt;1,0,IFERROR(LOOKUP(2,1/(Aveia!$E21:INDEX(Aveia!$E21:$Z21,MIN(AF$6-$E$3,22))&lt;&gt;""),Aveia!$E21:INDEX(Aveia!$E21:$Z21,MIN(AF$6-$E$3,22))),0))-IF($G$2,0,IF((AF$6-$G$3)&lt;1,0,IFERROR(LOOKUP(2,1/(Aveia!$E21:INDEX(Aveia!$E21:$Z21,MIN(AF$6-$G$3,22))&lt;&gt;""),Aveia!$E21:INDEX(Aveia!$E21:$Z21,MIN(AF$6-$G$3,22))),0)))))</f>
        <v>0</v>
      </c>
      <c r="AG23" s="27" t="n">
        <f aca="false">IF(COUNT(Aveia!$E21:$Z21)=0,0,MAX(0,IF((AG$6-$E$3)&lt;1,0,IFERROR(LOOKUP(2,1/(Aveia!$E21:INDEX(Aveia!$E21:$Z21,MIN(AG$6-$E$3,22))&lt;&gt;""),Aveia!$E21:INDEX(Aveia!$E21:$Z21,MIN(AG$6-$E$3,22))),0))-IF($G$2,0,IF((AG$6-$G$3)&lt;1,0,IFERROR(LOOKUP(2,1/(Aveia!$E21:INDEX(Aveia!$E21:$Z21,MIN(AG$6-$G$3,22))&lt;&gt;""),Aveia!$E21:INDEX(Aveia!$E21:$Z21,MIN(AG$6-$G$3,22))),0)))))</f>
        <v>0</v>
      </c>
      <c r="AH23" s="27" t="n">
        <f aca="false">IF(COUNT(Aveia!$E21:$Z21)=0,0,MAX(0,IF((AH$6-$E$3)&lt;1,0,IFERROR(LOOKUP(2,1/(Aveia!$E21:INDEX(Aveia!$E21:$Z21,MIN(AH$6-$E$3,22))&lt;&gt;""),Aveia!$E21:INDEX(Aveia!$E21:$Z21,MIN(AH$6-$E$3,22))),0))-IF($G$2,0,IF((AH$6-$G$3)&lt;1,0,IFERROR(LOOKUP(2,1/(Aveia!$E21:INDEX(Aveia!$E21:$Z21,MIN(AH$6-$G$3,22))&lt;&gt;""),Aveia!$E21:INDEX(Aveia!$E21:$Z21,MIN(AH$6-$G$3,22))),0)))))</f>
        <v>0</v>
      </c>
      <c r="AI23" s="27" t="n">
        <f aca="false">IF(COUNT(Aveia!$E21:$Z21)=0,0,MAX(0,IF((AI$6-$E$3)&lt;1,0,IFERROR(LOOKUP(2,1/(Aveia!$E21:INDEX(Aveia!$E21:$Z21,MIN(AI$6-$E$3,22))&lt;&gt;""),Aveia!$E21:INDEX(Aveia!$E21:$Z21,MIN(AI$6-$E$3,22))),0))-IF($G$2,0,IF((AI$6-$G$3)&lt;1,0,IFERROR(LOOKUP(2,1/(Aveia!$E21:INDEX(Aveia!$E21:$Z21,MIN(AI$6-$G$3,22))&lt;&gt;""),Aveia!$E21:INDEX(Aveia!$E21:$Z21,MIN(AI$6-$G$3,22))),0)))))</f>
        <v>0</v>
      </c>
      <c r="AJ23" s="27" t="n">
        <f aca="false">IF(COUNT(Aveia!$E21:$Z21)=0,0,MAX(0,IF((AJ$6-$E$3)&lt;1,0,IFERROR(LOOKUP(2,1/(Aveia!$E21:INDEX(Aveia!$E21:$Z21,MIN(AJ$6-$E$3,22))&lt;&gt;""),Aveia!$E21:INDEX(Aveia!$E21:$Z21,MIN(AJ$6-$E$3,22))),0))-IF($G$2,0,IF((AJ$6-$G$3)&lt;1,0,IFERROR(LOOKUP(2,1/(Aveia!$E21:INDEX(Aveia!$E21:$Z21,MIN(AJ$6-$G$3,22))&lt;&gt;""),Aveia!$E21:INDEX(Aveia!$E21:$Z21,MIN(AJ$6-$G$3,22))),0)))))</f>
        <v>0</v>
      </c>
      <c r="AK23" s="27" t="n">
        <f aca="false">IF(COUNT(Aveia!$E21:$Z21)=0,0,MAX(0,IF((AK$6-$E$3)&lt;1,0,IFERROR(LOOKUP(2,1/(Aveia!$E21:INDEX(Aveia!$E21:$Z21,MIN(AK$6-$E$3,22))&lt;&gt;""),Aveia!$E21:INDEX(Aveia!$E21:$Z21,MIN(AK$6-$E$3,22))),0))-IF($G$2,0,IF((AK$6-$G$3)&lt;1,0,IFERROR(LOOKUP(2,1/(Aveia!$E21:INDEX(Aveia!$E21:$Z21,MIN(AK$6-$G$3,22))&lt;&gt;""),Aveia!$E21:INDEX(Aveia!$E21:$Z21,MIN(AK$6-$G$3,22))),0)))))</f>
        <v>0</v>
      </c>
      <c r="AL23" s="27" t="n">
        <f aca="false">IF(COUNT(Aveia!$E21:$Z21)=0,0,MAX(0,IF((AL$6-$E$3)&lt;1,0,IFERROR(LOOKUP(2,1/(Aveia!$E21:INDEX(Aveia!$E21:$Z21,MIN(AL$6-$E$3,22))&lt;&gt;""),Aveia!$E21:INDEX(Aveia!$E21:$Z21,MIN(AL$6-$E$3,22))),0))-IF($G$2,0,IF((AL$6-$G$3)&lt;1,0,IFERROR(LOOKUP(2,1/(Aveia!$E21:INDEX(Aveia!$E21:$Z21,MIN(AL$6-$G$3,22))&lt;&gt;""),Aveia!$E21:INDEX(Aveia!$E21:$Z21,MIN(AL$6-$G$3,22))),0)))))</f>
        <v>0</v>
      </c>
      <c r="AM23" s="27" t="n">
        <f aca="false">IF(COUNT(Aveia!$E21:$Z21)=0,0,MAX(0,IF((AM$6-$E$3)&lt;1,0,IFERROR(LOOKUP(2,1/(Aveia!$E21:INDEX(Aveia!$E21:$Z21,MIN(AM$6-$E$3,22))&lt;&gt;""),Aveia!$E21:INDEX(Aveia!$E21:$Z21,MIN(AM$6-$E$3,22))),0))-IF($G$2,0,IF((AM$6-$G$3)&lt;1,0,IFERROR(LOOKUP(2,1/(Aveia!$E21:INDEX(Aveia!$E21:$Z21,MIN(AM$6-$G$3,22))&lt;&gt;""),Aveia!$E21:INDEX(Aveia!$E21:$Z21,MIN(AM$6-$G$3,22))),0)))))</f>
        <v>0</v>
      </c>
      <c r="AN23" s="27" t="n">
        <f aca="false">IF(COUNT(Aveia!$E21:$Z21)=0,0,MAX(0,IF((AN$6-$E$3)&lt;1,0,IFERROR(LOOKUP(2,1/(Aveia!$E21:INDEX(Aveia!$E21:$Z21,MIN(AN$6-$E$3,22))&lt;&gt;""),Aveia!$E21:INDEX(Aveia!$E21:$Z21,MIN(AN$6-$E$3,22))),0))-IF($G$2,0,IF((AN$6-$G$3)&lt;1,0,IFERROR(LOOKUP(2,1/(Aveia!$E21:INDEX(Aveia!$E21:$Z21,MIN(AN$6-$G$3,22))&lt;&gt;""),Aveia!$E21:INDEX(Aveia!$E21:$Z21,MIN(AN$6-$G$3,22))),0)))))</f>
        <v>0</v>
      </c>
      <c r="AO23" s="27" t="n">
        <f aca="false">IF(COUNT(Aveia!$E21:$Z21)=0,0,MAX(0,IF((AO$6-$E$3)&lt;1,0,IFERROR(LOOKUP(2,1/(Aveia!$E21:INDEX(Aveia!$E21:$Z21,MIN(AO$6-$E$3,22))&lt;&gt;""),Aveia!$E21:INDEX(Aveia!$E21:$Z21,MIN(AO$6-$E$3,22))),0))-IF($G$2,0,IF((AO$6-$G$3)&lt;1,0,IFERROR(LOOKUP(2,1/(Aveia!$E21:INDEX(Aveia!$E21:$Z21,MIN(AO$6-$G$3,22))&lt;&gt;""),Aveia!$E21:INDEX(Aveia!$E21:$Z21,MIN(AO$6-$G$3,22))),0)))))</f>
        <v>0</v>
      </c>
      <c r="AP23" s="27" t="n">
        <f aca="false">IF(COUNT(Aveia!$E21:$Z21)=0,0,MAX(0,IF((AP$6-$E$3)&lt;1,0,IFERROR(LOOKUP(2,1/(Aveia!$E21:INDEX(Aveia!$E21:$Z21,MIN(AP$6-$E$3,22))&lt;&gt;""),Aveia!$E21:INDEX(Aveia!$E21:$Z21,MIN(AP$6-$E$3,22))),0))-IF($G$2,0,IF((AP$6-$G$3)&lt;1,0,IFERROR(LOOKUP(2,1/(Aveia!$E21:INDEX(Aveia!$E21:$Z21,MIN(AP$6-$G$3,22))&lt;&gt;""),Aveia!$E21:INDEX(Aveia!$E21:$Z21,MIN(AP$6-$G$3,22))),0)))))</f>
        <v>0</v>
      </c>
      <c r="AQ23" s="27" t="n">
        <f aca="false">IF(COUNT(Aveia!$E21:$Z21)=0,0,MAX(0,IF((AQ$6-$E$3)&lt;1,0,IFERROR(LOOKUP(2,1/(Aveia!$E21:INDEX(Aveia!$E21:$Z21,MIN(AQ$6-$E$3,22))&lt;&gt;""),Aveia!$E21:INDEX(Aveia!$E21:$Z21,MIN(AQ$6-$E$3,22))),0))-IF($G$2,0,IF((AQ$6-$G$3)&lt;1,0,IFERROR(LOOKUP(2,1/(Aveia!$E21:INDEX(Aveia!$E21:$Z21,MIN(AQ$6-$G$3,22))&lt;&gt;""),Aveia!$E21:INDEX(Aveia!$E21:$Z21,MIN(AQ$6-$G$3,22))),0)))))</f>
        <v>0</v>
      </c>
      <c r="AR23" s="27" t="n">
        <f aca="false">IF(COUNT(Aveia!$E21:$Z21)=0,0,MAX(0,IF((AR$6-$E$3)&lt;1,0,IFERROR(LOOKUP(2,1/(Aveia!$E21:INDEX(Aveia!$E21:$Z21,MIN(AR$6-$E$3,22))&lt;&gt;""),Aveia!$E21:INDEX(Aveia!$E21:$Z21,MIN(AR$6-$E$3,22))),0))-IF($G$2,0,IF((AR$6-$G$3)&lt;1,0,IFERROR(LOOKUP(2,1/(Aveia!$E21:INDEX(Aveia!$E21:$Z21,MIN(AR$6-$G$3,22))&lt;&gt;""),Aveia!$E21:INDEX(Aveia!$E21:$Z21,MIN(AR$6-$G$3,22))),0)))))</f>
        <v>0</v>
      </c>
      <c r="AS23" s="27" t="n">
        <f aca="false">IF(COUNT(Aveia!$E21:$Z21)=0,0,MAX(0,IF((AS$6-$E$3)&lt;1,0,IFERROR(LOOKUP(2,1/(Aveia!$E21:INDEX(Aveia!$E21:$Z21,MIN(AS$6-$E$3,22))&lt;&gt;""),Aveia!$E21:INDEX(Aveia!$E21:$Z21,MIN(AS$6-$E$3,22))),0))-IF($G$2,0,IF((AS$6-$G$3)&lt;1,0,IFERROR(LOOKUP(2,1/(Aveia!$E21:INDEX(Aveia!$E21:$Z21,MIN(AS$6-$G$3,22))&lt;&gt;""),Aveia!$E21:INDEX(Aveia!$E21:$Z21,MIN(AS$6-$G$3,22))),0)))))</f>
        <v>0</v>
      </c>
      <c r="AT23" s="27" t="n">
        <f aca="false">IF(COUNT(Aveia!$E21:$Z21)=0,0,MAX(0,IF((AT$6-$E$3)&lt;1,0,IFERROR(LOOKUP(2,1/(Aveia!$E21:INDEX(Aveia!$E21:$Z21,MIN(AT$6-$E$3,22))&lt;&gt;""),Aveia!$E21:INDEX(Aveia!$E21:$Z21,MIN(AT$6-$E$3,22))),0))-IF($G$2,0,IF((AT$6-$G$3)&lt;1,0,IFERROR(LOOKUP(2,1/(Aveia!$E21:INDEX(Aveia!$E21:$Z21,MIN(AT$6-$G$3,22))&lt;&gt;""),Aveia!$E21:INDEX(Aveia!$E21:$Z21,MIN(AT$6-$G$3,22))),0)))))</f>
        <v>0</v>
      </c>
      <c r="AU23" s="27" t="n">
        <f aca="false">IF(COUNT(Aveia!$E21:$Z21)=0,0,MAX(0,IF((AU$6-$E$3)&lt;1,0,IFERROR(LOOKUP(2,1/(Aveia!$E21:INDEX(Aveia!$E21:$Z21,MIN(AU$6-$E$3,22))&lt;&gt;""),Aveia!$E21:INDEX(Aveia!$E21:$Z21,MIN(AU$6-$E$3,22))),0))-IF($G$2,0,IF((AU$6-$G$3)&lt;1,0,IFERROR(LOOKUP(2,1/(Aveia!$E21:INDEX(Aveia!$E21:$Z21,MIN(AU$6-$G$3,22))&lt;&gt;""),Aveia!$E21:INDEX(Aveia!$E21:$Z21,MIN(AU$6-$G$3,22))),0)))))</f>
        <v>0</v>
      </c>
      <c r="AV23" s="27" t="n">
        <f aca="false">IF(COUNT(Aveia!$E21:$Z21)=0,0,MAX(0,IF((AV$6-$E$3)&lt;1,0,IFERROR(LOOKUP(2,1/(Aveia!$E21:INDEX(Aveia!$E21:$Z21,MIN(AV$6-$E$3,22))&lt;&gt;""),Aveia!$E21:INDEX(Aveia!$E21:$Z21,MIN(AV$6-$E$3,22))),0))-IF($G$2,0,IF((AV$6-$G$3)&lt;1,0,IFERROR(LOOKUP(2,1/(Aveia!$E21:INDEX(Aveia!$E21:$Z21,MIN(AV$6-$G$3,22))&lt;&gt;""),Aveia!$E21:INDEX(Aveia!$E21:$Z21,MIN(AV$6-$G$3,22))),0)))))</f>
        <v>0</v>
      </c>
      <c r="AW23" s="27" t="n">
        <f aca="false">IF(COUNT(Aveia!$E21:$Z21)=0,0,MAX(0,IF((AW$6-$E$3)&lt;1,0,IFERROR(LOOKUP(2,1/(Aveia!$E21:INDEX(Aveia!$E21:$Z21,MIN(AW$6-$E$3,22))&lt;&gt;""),Aveia!$E21:INDEX(Aveia!$E21:$Z21,MIN(AW$6-$E$3,22))),0))-IF($G$2,0,IF((AW$6-$G$3)&lt;1,0,IFERROR(LOOKUP(2,1/(Aveia!$E21:INDEX(Aveia!$E21:$Z21,MIN(AW$6-$G$3,22))&lt;&gt;""),Aveia!$E21:INDEX(Aveia!$E21:$Z21,MIN(AW$6-$G$3,22))),0)))))</f>
        <v>0</v>
      </c>
      <c r="AX23" s="27" t="n">
        <f aca="false">IF(COUNT(Aveia!$E21:$Z21)=0,0,MAX(0,IF((AX$6-$E$3)&lt;1,0,IFERROR(LOOKUP(2,1/(Aveia!$E21:INDEX(Aveia!$E21:$Z21,MIN(AX$6-$E$3,22))&lt;&gt;""),Aveia!$E21:INDEX(Aveia!$E21:$Z21,MIN(AX$6-$E$3,22))),0))-IF($G$2,0,IF((AX$6-$G$3)&lt;1,0,IFERROR(LOOKUP(2,1/(Aveia!$E21:INDEX(Aveia!$E21:$Z21,MIN(AX$6-$G$3,22))&lt;&gt;""),Aveia!$E21:INDEX(Aveia!$E21:$Z21,MIN(AX$6-$G$3,22))),0)))))</f>
        <v>0</v>
      </c>
      <c r="AY23" s="27" t="n">
        <f aca="false">IF(COUNT(Aveia!$E21:$Z21)=0,0,MAX(0,IF((AY$6-$E$3)&lt;1,0,IFERROR(LOOKUP(2,1/(Aveia!$E21:INDEX(Aveia!$E21:$Z21,MIN(AY$6-$E$3,22))&lt;&gt;""),Aveia!$E21:INDEX(Aveia!$E21:$Z21,MIN(AY$6-$E$3,22))),0))-IF($G$2,0,IF((AY$6-$G$3)&lt;1,0,IFERROR(LOOKUP(2,1/(Aveia!$E21:INDEX(Aveia!$E21:$Z21,MIN(AY$6-$G$3,22))&lt;&gt;""),Aveia!$E21:INDEX(Aveia!$E21:$Z21,MIN(AY$6-$G$3,22))),0)))))</f>
        <v>0</v>
      </c>
      <c r="AZ23" s="27" t="n">
        <f aca="false">IF(COUNT(Aveia!$E21:$Z21)=0,0,MAX(0,IF((AZ$6-$E$3)&lt;1,0,IFERROR(LOOKUP(2,1/(Aveia!$E21:INDEX(Aveia!$E21:$Z21,MIN(AZ$6-$E$3,22))&lt;&gt;""),Aveia!$E21:INDEX(Aveia!$E21:$Z21,MIN(AZ$6-$E$3,22))),0))-IF($G$2,0,IF((AZ$6-$G$3)&lt;1,0,IFERROR(LOOKUP(2,1/(Aveia!$E21:INDEX(Aveia!$E21:$Z21,MIN(AZ$6-$G$3,22))&lt;&gt;""),Aveia!$E21:INDEX(Aveia!$E21:$Z21,MIN(AZ$6-$G$3,22))),0)))))</f>
        <v>0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10" t="s">
        <v>172</v>
      </c>
      <c r="D24" s="26" t="n">
        <f aca="false">IF(COUNT(Aveia!$E22:$Z22)&gt;0,N(Aveia!$D22),0)</f>
        <v>0</v>
      </c>
      <c r="E24" s="27" t="n">
        <f aca="false">IF(COUNT(Aveia!$E22:$Z22)=0,0,MAX(0,IF((E$6-$E$3)&lt;1,0,IFERROR(LOOKUP(2,1/(Aveia!$E22:INDEX(Aveia!$E22:$Z22,MIN(E$6-$E$3,22))&lt;&gt;""),Aveia!$E22:INDEX(Aveia!$E22:$Z22,MIN(E$6-$E$3,22))),0))-IF($G$2,0,IF((E$6-$G$3)&lt;1,0,IFERROR(LOOKUP(2,1/(Aveia!$E22:INDEX(Aveia!$E22:$Z22,MIN(E$6-$G$3,22))&lt;&gt;""),Aveia!$E22:INDEX(Aveia!$E22:$Z22,MIN(E$6-$G$3,22))),0)))))</f>
        <v>0</v>
      </c>
      <c r="F24" s="27" t="n">
        <f aca="false">IF(COUNT(Aveia!$E22:$Z22)=0,0,MAX(0,IF((F$6-$E$3)&lt;1,0,IFERROR(LOOKUP(2,1/(Aveia!$E22:INDEX(Aveia!$E22:$Z22,MIN(F$6-$E$3,22))&lt;&gt;""),Aveia!$E22:INDEX(Aveia!$E22:$Z22,MIN(F$6-$E$3,22))),0))-IF($G$2,0,IF((F$6-$G$3)&lt;1,0,IFERROR(LOOKUP(2,1/(Aveia!$E22:INDEX(Aveia!$E22:$Z22,MIN(F$6-$G$3,22))&lt;&gt;""),Aveia!$E22:INDEX(Aveia!$E22:$Z22,MIN(F$6-$G$3,22))),0)))))</f>
        <v>0</v>
      </c>
      <c r="G24" s="27" t="n">
        <f aca="false">IF(COUNT(Aveia!$E22:$Z22)=0,0,MAX(0,IF((G$6-$E$3)&lt;1,0,IFERROR(LOOKUP(2,1/(Aveia!$E22:INDEX(Aveia!$E22:$Z22,MIN(G$6-$E$3,22))&lt;&gt;""),Aveia!$E22:INDEX(Aveia!$E22:$Z22,MIN(G$6-$E$3,22))),0))-IF($G$2,0,IF((G$6-$G$3)&lt;1,0,IFERROR(LOOKUP(2,1/(Aveia!$E22:INDEX(Aveia!$E22:$Z22,MIN(G$6-$G$3,22))&lt;&gt;""),Aveia!$E22:INDEX(Aveia!$E22:$Z22,MIN(G$6-$G$3,22))),0)))))</f>
        <v>0</v>
      </c>
      <c r="H24" s="27" t="n">
        <f aca="false">IF(COUNT(Aveia!$E22:$Z22)=0,0,MAX(0,IF((H$6-$E$3)&lt;1,0,IFERROR(LOOKUP(2,1/(Aveia!$E22:INDEX(Aveia!$E22:$Z22,MIN(H$6-$E$3,22))&lt;&gt;""),Aveia!$E22:INDEX(Aveia!$E22:$Z22,MIN(H$6-$E$3,22))),0))-IF($G$2,0,IF((H$6-$G$3)&lt;1,0,IFERROR(LOOKUP(2,1/(Aveia!$E22:INDEX(Aveia!$E22:$Z22,MIN(H$6-$G$3,22))&lt;&gt;""),Aveia!$E22:INDEX(Aveia!$E22:$Z22,MIN(H$6-$G$3,22))),0)))))</f>
        <v>0</v>
      </c>
      <c r="I24" s="27" t="n">
        <f aca="false">IF(COUNT(Aveia!$E22:$Z22)=0,0,MAX(0,IF((I$6-$E$3)&lt;1,0,IFERROR(LOOKUP(2,1/(Aveia!$E22:INDEX(Aveia!$E22:$Z22,MIN(I$6-$E$3,22))&lt;&gt;""),Aveia!$E22:INDEX(Aveia!$E22:$Z22,MIN(I$6-$E$3,22))),0))-IF($G$2,0,IF((I$6-$G$3)&lt;1,0,IFERROR(LOOKUP(2,1/(Aveia!$E22:INDEX(Aveia!$E22:$Z22,MIN(I$6-$G$3,22))&lt;&gt;""),Aveia!$E22:INDEX(Aveia!$E22:$Z22,MIN(I$6-$G$3,22))),0)))))</f>
        <v>0</v>
      </c>
      <c r="J24" s="27" t="n">
        <f aca="false">IF(COUNT(Aveia!$E22:$Z22)=0,0,MAX(0,IF((J$6-$E$3)&lt;1,0,IFERROR(LOOKUP(2,1/(Aveia!$E22:INDEX(Aveia!$E22:$Z22,MIN(J$6-$E$3,22))&lt;&gt;""),Aveia!$E22:INDEX(Aveia!$E22:$Z22,MIN(J$6-$E$3,22))),0))-IF($G$2,0,IF((J$6-$G$3)&lt;1,0,IFERROR(LOOKUP(2,1/(Aveia!$E22:INDEX(Aveia!$E22:$Z22,MIN(J$6-$G$3,22))&lt;&gt;""),Aveia!$E22:INDEX(Aveia!$E22:$Z22,MIN(J$6-$G$3,22))),0)))))</f>
        <v>0</v>
      </c>
      <c r="K24" s="27" t="n">
        <f aca="false">IF(COUNT(Aveia!$E22:$Z22)=0,0,MAX(0,IF((K$6-$E$3)&lt;1,0,IFERROR(LOOKUP(2,1/(Aveia!$E22:INDEX(Aveia!$E22:$Z22,MIN(K$6-$E$3,22))&lt;&gt;""),Aveia!$E22:INDEX(Aveia!$E22:$Z22,MIN(K$6-$E$3,22))),0))-IF($G$2,0,IF((K$6-$G$3)&lt;1,0,IFERROR(LOOKUP(2,1/(Aveia!$E22:INDEX(Aveia!$E22:$Z22,MIN(K$6-$G$3,22))&lt;&gt;""),Aveia!$E22:INDEX(Aveia!$E22:$Z22,MIN(K$6-$G$3,22))),0)))))</f>
        <v>0</v>
      </c>
      <c r="L24" s="27" t="n">
        <f aca="false">IF(COUNT(Aveia!$E22:$Z22)=0,0,MAX(0,IF((L$6-$E$3)&lt;1,0,IFERROR(LOOKUP(2,1/(Aveia!$E22:INDEX(Aveia!$E22:$Z22,MIN(L$6-$E$3,22))&lt;&gt;""),Aveia!$E22:INDEX(Aveia!$E22:$Z22,MIN(L$6-$E$3,22))),0))-IF($G$2,0,IF((L$6-$G$3)&lt;1,0,IFERROR(LOOKUP(2,1/(Aveia!$E22:INDEX(Aveia!$E22:$Z22,MIN(L$6-$G$3,22))&lt;&gt;""),Aveia!$E22:INDEX(Aveia!$E22:$Z22,MIN(L$6-$G$3,22))),0)))))</f>
        <v>0</v>
      </c>
      <c r="M24" s="27" t="n">
        <f aca="false">IF(COUNT(Aveia!$E22:$Z22)=0,0,MAX(0,IF((M$6-$E$3)&lt;1,0,IFERROR(LOOKUP(2,1/(Aveia!$E22:INDEX(Aveia!$E22:$Z22,MIN(M$6-$E$3,22))&lt;&gt;""),Aveia!$E22:INDEX(Aveia!$E22:$Z22,MIN(M$6-$E$3,22))),0))-IF($G$2,0,IF((M$6-$G$3)&lt;1,0,IFERROR(LOOKUP(2,1/(Aveia!$E22:INDEX(Aveia!$E22:$Z22,MIN(M$6-$G$3,22))&lt;&gt;""),Aveia!$E22:INDEX(Aveia!$E22:$Z22,MIN(M$6-$G$3,22))),0)))))</f>
        <v>0</v>
      </c>
      <c r="N24" s="27" t="n">
        <f aca="false">IF(COUNT(Aveia!$E22:$Z22)=0,0,MAX(0,IF((N$6-$E$3)&lt;1,0,IFERROR(LOOKUP(2,1/(Aveia!$E22:INDEX(Aveia!$E22:$Z22,MIN(N$6-$E$3,22))&lt;&gt;""),Aveia!$E22:INDEX(Aveia!$E22:$Z22,MIN(N$6-$E$3,22))),0))-IF($G$2,0,IF((N$6-$G$3)&lt;1,0,IFERROR(LOOKUP(2,1/(Aveia!$E22:INDEX(Aveia!$E22:$Z22,MIN(N$6-$G$3,22))&lt;&gt;""),Aveia!$E22:INDEX(Aveia!$E22:$Z22,MIN(N$6-$G$3,22))),0)))))</f>
        <v>0</v>
      </c>
      <c r="O24" s="27" t="n">
        <f aca="false">IF(COUNT(Aveia!$E22:$Z22)=0,0,MAX(0,IF((O$6-$E$3)&lt;1,0,IFERROR(LOOKUP(2,1/(Aveia!$E22:INDEX(Aveia!$E22:$Z22,MIN(O$6-$E$3,22))&lt;&gt;""),Aveia!$E22:INDEX(Aveia!$E22:$Z22,MIN(O$6-$E$3,22))),0))-IF($G$2,0,IF((O$6-$G$3)&lt;1,0,IFERROR(LOOKUP(2,1/(Aveia!$E22:INDEX(Aveia!$E22:$Z22,MIN(O$6-$G$3,22))&lt;&gt;""),Aveia!$E22:INDEX(Aveia!$E22:$Z22,MIN(O$6-$G$3,22))),0)))))</f>
        <v>0</v>
      </c>
      <c r="P24" s="27" t="n">
        <f aca="false">IF(COUNT(Aveia!$E22:$Z22)=0,0,MAX(0,IF((P$6-$E$3)&lt;1,0,IFERROR(LOOKUP(2,1/(Aveia!$E22:INDEX(Aveia!$E22:$Z22,MIN(P$6-$E$3,22))&lt;&gt;""),Aveia!$E22:INDEX(Aveia!$E22:$Z22,MIN(P$6-$E$3,22))),0))-IF($G$2,0,IF((P$6-$G$3)&lt;1,0,IFERROR(LOOKUP(2,1/(Aveia!$E22:INDEX(Aveia!$E22:$Z22,MIN(P$6-$G$3,22))&lt;&gt;""),Aveia!$E22:INDEX(Aveia!$E22:$Z22,MIN(P$6-$G$3,22))),0)))))</f>
        <v>0</v>
      </c>
      <c r="Q24" s="27" t="n">
        <f aca="false">IF(COUNT(Aveia!$E22:$Z22)=0,0,MAX(0,IF((Q$6-$E$3)&lt;1,0,IFERROR(LOOKUP(2,1/(Aveia!$E22:INDEX(Aveia!$E22:$Z22,MIN(Q$6-$E$3,22))&lt;&gt;""),Aveia!$E22:INDEX(Aveia!$E22:$Z22,MIN(Q$6-$E$3,22))),0))-IF($G$2,0,IF((Q$6-$G$3)&lt;1,0,IFERROR(LOOKUP(2,1/(Aveia!$E22:INDEX(Aveia!$E22:$Z22,MIN(Q$6-$G$3,22))&lt;&gt;""),Aveia!$E22:INDEX(Aveia!$E22:$Z22,MIN(Q$6-$G$3,22))),0)))))</f>
        <v>0</v>
      </c>
      <c r="R24" s="27" t="n">
        <f aca="false">IF(COUNT(Aveia!$E22:$Z22)=0,0,MAX(0,IF((R$6-$E$3)&lt;1,0,IFERROR(LOOKUP(2,1/(Aveia!$E22:INDEX(Aveia!$E22:$Z22,MIN(R$6-$E$3,22))&lt;&gt;""),Aveia!$E22:INDEX(Aveia!$E22:$Z22,MIN(R$6-$E$3,22))),0))-IF($G$2,0,IF((R$6-$G$3)&lt;1,0,IFERROR(LOOKUP(2,1/(Aveia!$E22:INDEX(Aveia!$E22:$Z22,MIN(R$6-$G$3,22))&lt;&gt;""),Aveia!$E22:INDEX(Aveia!$E22:$Z22,MIN(R$6-$G$3,22))),0)))))</f>
        <v>0</v>
      </c>
      <c r="S24" s="27" t="n">
        <f aca="false">IF(COUNT(Aveia!$E22:$Z22)=0,0,MAX(0,IF((S$6-$E$3)&lt;1,0,IFERROR(LOOKUP(2,1/(Aveia!$E22:INDEX(Aveia!$E22:$Z22,MIN(S$6-$E$3,22))&lt;&gt;""),Aveia!$E22:INDEX(Aveia!$E22:$Z22,MIN(S$6-$E$3,22))),0))-IF($G$2,0,IF((S$6-$G$3)&lt;1,0,IFERROR(LOOKUP(2,1/(Aveia!$E22:INDEX(Aveia!$E22:$Z22,MIN(S$6-$G$3,22))&lt;&gt;""),Aveia!$E22:INDEX(Aveia!$E22:$Z22,MIN(S$6-$G$3,22))),0)))))</f>
        <v>0</v>
      </c>
      <c r="T24" s="27" t="n">
        <f aca="false">IF(COUNT(Aveia!$E22:$Z22)=0,0,MAX(0,IF((T$6-$E$3)&lt;1,0,IFERROR(LOOKUP(2,1/(Aveia!$E22:INDEX(Aveia!$E22:$Z22,MIN(T$6-$E$3,22))&lt;&gt;""),Aveia!$E22:INDEX(Aveia!$E22:$Z22,MIN(T$6-$E$3,22))),0))-IF($G$2,0,IF((T$6-$G$3)&lt;1,0,IFERROR(LOOKUP(2,1/(Aveia!$E22:INDEX(Aveia!$E22:$Z22,MIN(T$6-$G$3,22))&lt;&gt;""),Aveia!$E22:INDEX(Aveia!$E22:$Z22,MIN(T$6-$G$3,22))),0)))))</f>
        <v>0</v>
      </c>
      <c r="U24" s="27" t="n">
        <f aca="false">IF(COUNT(Aveia!$E22:$Z22)=0,0,MAX(0,IF((U$6-$E$3)&lt;1,0,IFERROR(LOOKUP(2,1/(Aveia!$E22:INDEX(Aveia!$E22:$Z22,MIN(U$6-$E$3,22))&lt;&gt;""),Aveia!$E22:INDEX(Aveia!$E22:$Z22,MIN(U$6-$E$3,22))),0))-IF($G$2,0,IF((U$6-$G$3)&lt;1,0,IFERROR(LOOKUP(2,1/(Aveia!$E22:INDEX(Aveia!$E22:$Z22,MIN(U$6-$G$3,22))&lt;&gt;""),Aveia!$E22:INDEX(Aveia!$E22:$Z22,MIN(U$6-$G$3,22))),0)))))</f>
        <v>0</v>
      </c>
      <c r="V24" s="27" t="n">
        <f aca="false">IF(COUNT(Aveia!$E22:$Z22)=0,0,MAX(0,IF((V$6-$E$3)&lt;1,0,IFERROR(LOOKUP(2,1/(Aveia!$E22:INDEX(Aveia!$E22:$Z22,MIN(V$6-$E$3,22))&lt;&gt;""),Aveia!$E22:INDEX(Aveia!$E22:$Z22,MIN(V$6-$E$3,22))),0))-IF($G$2,0,IF((V$6-$G$3)&lt;1,0,IFERROR(LOOKUP(2,1/(Aveia!$E22:INDEX(Aveia!$E22:$Z22,MIN(V$6-$G$3,22))&lt;&gt;""),Aveia!$E22:INDEX(Aveia!$E22:$Z22,MIN(V$6-$G$3,22))),0)))))</f>
        <v>0</v>
      </c>
      <c r="W24" s="27" t="n">
        <f aca="false">IF(COUNT(Aveia!$E22:$Z22)=0,0,MAX(0,IF((W$6-$E$3)&lt;1,0,IFERROR(LOOKUP(2,1/(Aveia!$E22:INDEX(Aveia!$E22:$Z22,MIN(W$6-$E$3,22))&lt;&gt;""),Aveia!$E22:INDEX(Aveia!$E22:$Z22,MIN(W$6-$E$3,22))),0))-IF($G$2,0,IF((W$6-$G$3)&lt;1,0,IFERROR(LOOKUP(2,1/(Aveia!$E22:INDEX(Aveia!$E22:$Z22,MIN(W$6-$G$3,22))&lt;&gt;""),Aveia!$E22:INDEX(Aveia!$E22:$Z22,MIN(W$6-$G$3,22))),0)))))</f>
        <v>0</v>
      </c>
      <c r="X24" s="27" t="n">
        <f aca="false">IF(COUNT(Aveia!$E22:$Z22)=0,0,MAX(0,IF((X$6-$E$3)&lt;1,0,IFERROR(LOOKUP(2,1/(Aveia!$E22:INDEX(Aveia!$E22:$Z22,MIN(X$6-$E$3,22))&lt;&gt;""),Aveia!$E22:INDEX(Aveia!$E22:$Z22,MIN(X$6-$E$3,22))),0))-IF($G$2,0,IF((X$6-$G$3)&lt;1,0,IFERROR(LOOKUP(2,1/(Aveia!$E22:INDEX(Aveia!$E22:$Z22,MIN(X$6-$G$3,22))&lt;&gt;""),Aveia!$E22:INDEX(Aveia!$E22:$Z22,MIN(X$6-$G$3,22))),0)))))</f>
        <v>0</v>
      </c>
      <c r="Y24" s="27" t="n">
        <f aca="false">IF(COUNT(Aveia!$E22:$Z22)=0,0,MAX(0,IF((Y$6-$E$3)&lt;1,0,IFERROR(LOOKUP(2,1/(Aveia!$E22:INDEX(Aveia!$E22:$Z22,MIN(Y$6-$E$3,22))&lt;&gt;""),Aveia!$E22:INDEX(Aveia!$E22:$Z22,MIN(Y$6-$E$3,22))),0))-IF($G$2,0,IF((Y$6-$G$3)&lt;1,0,IFERROR(LOOKUP(2,1/(Aveia!$E22:INDEX(Aveia!$E22:$Z22,MIN(Y$6-$G$3,22))&lt;&gt;""),Aveia!$E22:INDEX(Aveia!$E22:$Z22,MIN(Y$6-$G$3,22))),0)))))</f>
        <v>0</v>
      </c>
      <c r="Z24" s="27" t="n">
        <f aca="false">IF(COUNT(Aveia!$E22:$Z22)=0,0,MAX(0,IF((Z$6-$E$3)&lt;1,0,IFERROR(LOOKUP(2,1/(Aveia!$E22:INDEX(Aveia!$E22:$Z22,MIN(Z$6-$E$3,22))&lt;&gt;""),Aveia!$E22:INDEX(Aveia!$E22:$Z22,MIN(Z$6-$E$3,22))),0))-IF($G$2,0,IF((Z$6-$G$3)&lt;1,0,IFERROR(LOOKUP(2,1/(Aveia!$E22:INDEX(Aveia!$E22:$Z22,MIN(Z$6-$G$3,22))&lt;&gt;""),Aveia!$E22:INDEX(Aveia!$E22:$Z22,MIN(Z$6-$G$3,22))),0)))))</f>
        <v>0</v>
      </c>
      <c r="AA24" s="27" t="n">
        <f aca="false">IF(COUNT(Aveia!$E22:$Z22)=0,0,MAX(0,IF((AA$6-$E$3)&lt;1,0,IFERROR(LOOKUP(2,1/(Aveia!$E22:INDEX(Aveia!$E22:$Z22,MIN(AA$6-$E$3,22))&lt;&gt;""),Aveia!$E22:INDEX(Aveia!$E22:$Z22,MIN(AA$6-$E$3,22))),0))-IF($G$2,0,IF((AA$6-$G$3)&lt;1,0,IFERROR(LOOKUP(2,1/(Aveia!$E22:INDEX(Aveia!$E22:$Z22,MIN(AA$6-$G$3,22))&lt;&gt;""),Aveia!$E22:INDEX(Aveia!$E22:$Z22,MIN(AA$6-$G$3,22))),0)))))</f>
        <v>0</v>
      </c>
      <c r="AB24" s="27" t="n">
        <f aca="false">IF(COUNT(Aveia!$E22:$Z22)=0,0,MAX(0,IF((AB$6-$E$3)&lt;1,0,IFERROR(LOOKUP(2,1/(Aveia!$E22:INDEX(Aveia!$E22:$Z22,MIN(AB$6-$E$3,22))&lt;&gt;""),Aveia!$E22:INDEX(Aveia!$E22:$Z22,MIN(AB$6-$E$3,22))),0))-IF($G$2,0,IF((AB$6-$G$3)&lt;1,0,IFERROR(LOOKUP(2,1/(Aveia!$E22:INDEX(Aveia!$E22:$Z22,MIN(AB$6-$G$3,22))&lt;&gt;""),Aveia!$E22:INDEX(Aveia!$E22:$Z22,MIN(AB$6-$G$3,22))),0)))))</f>
        <v>0</v>
      </c>
      <c r="AC24" s="27" t="n">
        <f aca="false">IF(COUNT(Aveia!$E22:$Z22)=0,0,MAX(0,IF((AC$6-$E$3)&lt;1,0,IFERROR(LOOKUP(2,1/(Aveia!$E22:INDEX(Aveia!$E22:$Z22,MIN(AC$6-$E$3,22))&lt;&gt;""),Aveia!$E22:INDEX(Aveia!$E22:$Z22,MIN(AC$6-$E$3,22))),0))-IF($G$2,0,IF((AC$6-$G$3)&lt;1,0,IFERROR(LOOKUP(2,1/(Aveia!$E22:INDEX(Aveia!$E22:$Z22,MIN(AC$6-$G$3,22))&lt;&gt;""),Aveia!$E22:INDEX(Aveia!$E22:$Z22,MIN(AC$6-$G$3,22))),0)))))</f>
        <v>0</v>
      </c>
      <c r="AD24" s="27" t="n">
        <f aca="false">IF(COUNT(Aveia!$E22:$Z22)=0,0,MAX(0,IF((AD$6-$E$3)&lt;1,0,IFERROR(LOOKUP(2,1/(Aveia!$E22:INDEX(Aveia!$E22:$Z22,MIN(AD$6-$E$3,22))&lt;&gt;""),Aveia!$E22:INDEX(Aveia!$E22:$Z22,MIN(AD$6-$E$3,22))),0))-IF($G$2,0,IF((AD$6-$G$3)&lt;1,0,IFERROR(LOOKUP(2,1/(Aveia!$E22:INDEX(Aveia!$E22:$Z22,MIN(AD$6-$G$3,22))&lt;&gt;""),Aveia!$E22:INDEX(Aveia!$E22:$Z22,MIN(AD$6-$G$3,22))),0)))))</f>
        <v>0</v>
      </c>
      <c r="AE24" s="27" t="n">
        <f aca="false">IF(COUNT(Aveia!$E22:$Z22)=0,0,MAX(0,IF((AE$6-$E$3)&lt;1,0,IFERROR(LOOKUP(2,1/(Aveia!$E22:INDEX(Aveia!$E22:$Z22,MIN(AE$6-$E$3,22))&lt;&gt;""),Aveia!$E22:INDEX(Aveia!$E22:$Z22,MIN(AE$6-$E$3,22))),0))-IF($G$2,0,IF((AE$6-$G$3)&lt;1,0,IFERROR(LOOKUP(2,1/(Aveia!$E22:INDEX(Aveia!$E22:$Z22,MIN(AE$6-$G$3,22))&lt;&gt;""),Aveia!$E22:INDEX(Aveia!$E22:$Z22,MIN(AE$6-$G$3,22))),0)))))</f>
        <v>0</v>
      </c>
      <c r="AF24" s="27" t="n">
        <f aca="false">IF(COUNT(Aveia!$E22:$Z22)=0,0,MAX(0,IF((AF$6-$E$3)&lt;1,0,IFERROR(LOOKUP(2,1/(Aveia!$E22:INDEX(Aveia!$E22:$Z22,MIN(AF$6-$E$3,22))&lt;&gt;""),Aveia!$E22:INDEX(Aveia!$E22:$Z22,MIN(AF$6-$E$3,22))),0))-IF($G$2,0,IF((AF$6-$G$3)&lt;1,0,IFERROR(LOOKUP(2,1/(Aveia!$E22:INDEX(Aveia!$E22:$Z22,MIN(AF$6-$G$3,22))&lt;&gt;""),Aveia!$E22:INDEX(Aveia!$E22:$Z22,MIN(AF$6-$G$3,22))),0)))))</f>
        <v>0</v>
      </c>
      <c r="AG24" s="27" t="n">
        <f aca="false">IF(COUNT(Aveia!$E22:$Z22)=0,0,MAX(0,IF((AG$6-$E$3)&lt;1,0,IFERROR(LOOKUP(2,1/(Aveia!$E22:INDEX(Aveia!$E22:$Z22,MIN(AG$6-$E$3,22))&lt;&gt;""),Aveia!$E22:INDEX(Aveia!$E22:$Z22,MIN(AG$6-$E$3,22))),0))-IF($G$2,0,IF((AG$6-$G$3)&lt;1,0,IFERROR(LOOKUP(2,1/(Aveia!$E22:INDEX(Aveia!$E22:$Z22,MIN(AG$6-$G$3,22))&lt;&gt;""),Aveia!$E22:INDEX(Aveia!$E22:$Z22,MIN(AG$6-$G$3,22))),0)))))</f>
        <v>0</v>
      </c>
      <c r="AH24" s="27" t="n">
        <f aca="false">IF(COUNT(Aveia!$E22:$Z22)=0,0,MAX(0,IF((AH$6-$E$3)&lt;1,0,IFERROR(LOOKUP(2,1/(Aveia!$E22:INDEX(Aveia!$E22:$Z22,MIN(AH$6-$E$3,22))&lt;&gt;""),Aveia!$E22:INDEX(Aveia!$E22:$Z22,MIN(AH$6-$E$3,22))),0))-IF($G$2,0,IF((AH$6-$G$3)&lt;1,0,IFERROR(LOOKUP(2,1/(Aveia!$E22:INDEX(Aveia!$E22:$Z22,MIN(AH$6-$G$3,22))&lt;&gt;""),Aveia!$E22:INDEX(Aveia!$E22:$Z22,MIN(AH$6-$G$3,22))),0)))))</f>
        <v>0</v>
      </c>
      <c r="AI24" s="27" t="n">
        <f aca="false">IF(COUNT(Aveia!$E22:$Z22)=0,0,MAX(0,IF((AI$6-$E$3)&lt;1,0,IFERROR(LOOKUP(2,1/(Aveia!$E22:INDEX(Aveia!$E22:$Z22,MIN(AI$6-$E$3,22))&lt;&gt;""),Aveia!$E22:INDEX(Aveia!$E22:$Z22,MIN(AI$6-$E$3,22))),0))-IF($G$2,0,IF((AI$6-$G$3)&lt;1,0,IFERROR(LOOKUP(2,1/(Aveia!$E22:INDEX(Aveia!$E22:$Z22,MIN(AI$6-$G$3,22))&lt;&gt;""),Aveia!$E22:INDEX(Aveia!$E22:$Z22,MIN(AI$6-$G$3,22))),0)))))</f>
        <v>0</v>
      </c>
      <c r="AJ24" s="27" t="n">
        <f aca="false">IF(COUNT(Aveia!$E22:$Z22)=0,0,MAX(0,IF((AJ$6-$E$3)&lt;1,0,IFERROR(LOOKUP(2,1/(Aveia!$E22:INDEX(Aveia!$E22:$Z22,MIN(AJ$6-$E$3,22))&lt;&gt;""),Aveia!$E22:INDEX(Aveia!$E22:$Z22,MIN(AJ$6-$E$3,22))),0))-IF($G$2,0,IF((AJ$6-$G$3)&lt;1,0,IFERROR(LOOKUP(2,1/(Aveia!$E22:INDEX(Aveia!$E22:$Z22,MIN(AJ$6-$G$3,22))&lt;&gt;""),Aveia!$E22:INDEX(Aveia!$E22:$Z22,MIN(AJ$6-$G$3,22))),0)))))</f>
        <v>0</v>
      </c>
      <c r="AK24" s="27" t="n">
        <f aca="false">IF(COUNT(Aveia!$E22:$Z22)=0,0,MAX(0,IF((AK$6-$E$3)&lt;1,0,IFERROR(LOOKUP(2,1/(Aveia!$E22:INDEX(Aveia!$E22:$Z22,MIN(AK$6-$E$3,22))&lt;&gt;""),Aveia!$E22:INDEX(Aveia!$E22:$Z22,MIN(AK$6-$E$3,22))),0))-IF($G$2,0,IF((AK$6-$G$3)&lt;1,0,IFERROR(LOOKUP(2,1/(Aveia!$E22:INDEX(Aveia!$E22:$Z22,MIN(AK$6-$G$3,22))&lt;&gt;""),Aveia!$E22:INDEX(Aveia!$E22:$Z22,MIN(AK$6-$G$3,22))),0)))))</f>
        <v>0</v>
      </c>
      <c r="AL24" s="27" t="n">
        <f aca="false">IF(COUNT(Aveia!$E22:$Z22)=0,0,MAX(0,IF((AL$6-$E$3)&lt;1,0,IFERROR(LOOKUP(2,1/(Aveia!$E22:INDEX(Aveia!$E22:$Z22,MIN(AL$6-$E$3,22))&lt;&gt;""),Aveia!$E22:INDEX(Aveia!$E22:$Z22,MIN(AL$6-$E$3,22))),0))-IF($G$2,0,IF((AL$6-$G$3)&lt;1,0,IFERROR(LOOKUP(2,1/(Aveia!$E22:INDEX(Aveia!$E22:$Z22,MIN(AL$6-$G$3,22))&lt;&gt;""),Aveia!$E22:INDEX(Aveia!$E22:$Z22,MIN(AL$6-$G$3,22))),0)))))</f>
        <v>0</v>
      </c>
      <c r="AM24" s="27" t="n">
        <f aca="false">IF(COUNT(Aveia!$E22:$Z22)=0,0,MAX(0,IF((AM$6-$E$3)&lt;1,0,IFERROR(LOOKUP(2,1/(Aveia!$E22:INDEX(Aveia!$E22:$Z22,MIN(AM$6-$E$3,22))&lt;&gt;""),Aveia!$E22:INDEX(Aveia!$E22:$Z22,MIN(AM$6-$E$3,22))),0))-IF($G$2,0,IF((AM$6-$G$3)&lt;1,0,IFERROR(LOOKUP(2,1/(Aveia!$E22:INDEX(Aveia!$E22:$Z22,MIN(AM$6-$G$3,22))&lt;&gt;""),Aveia!$E22:INDEX(Aveia!$E22:$Z22,MIN(AM$6-$G$3,22))),0)))))</f>
        <v>0</v>
      </c>
      <c r="AN24" s="27" t="n">
        <f aca="false">IF(COUNT(Aveia!$E22:$Z22)=0,0,MAX(0,IF((AN$6-$E$3)&lt;1,0,IFERROR(LOOKUP(2,1/(Aveia!$E22:INDEX(Aveia!$E22:$Z22,MIN(AN$6-$E$3,22))&lt;&gt;""),Aveia!$E22:INDEX(Aveia!$E22:$Z22,MIN(AN$6-$E$3,22))),0))-IF($G$2,0,IF((AN$6-$G$3)&lt;1,0,IFERROR(LOOKUP(2,1/(Aveia!$E22:INDEX(Aveia!$E22:$Z22,MIN(AN$6-$G$3,22))&lt;&gt;""),Aveia!$E22:INDEX(Aveia!$E22:$Z22,MIN(AN$6-$G$3,22))),0)))))</f>
        <v>0</v>
      </c>
      <c r="AO24" s="27" t="n">
        <f aca="false">IF(COUNT(Aveia!$E22:$Z22)=0,0,MAX(0,IF((AO$6-$E$3)&lt;1,0,IFERROR(LOOKUP(2,1/(Aveia!$E22:INDEX(Aveia!$E22:$Z22,MIN(AO$6-$E$3,22))&lt;&gt;""),Aveia!$E22:INDEX(Aveia!$E22:$Z22,MIN(AO$6-$E$3,22))),0))-IF($G$2,0,IF((AO$6-$G$3)&lt;1,0,IFERROR(LOOKUP(2,1/(Aveia!$E22:INDEX(Aveia!$E22:$Z22,MIN(AO$6-$G$3,22))&lt;&gt;""),Aveia!$E22:INDEX(Aveia!$E22:$Z22,MIN(AO$6-$G$3,22))),0)))))</f>
        <v>0</v>
      </c>
      <c r="AP24" s="27" t="n">
        <f aca="false">IF(COUNT(Aveia!$E22:$Z22)=0,0,MAX(0,IF((AP$6-$E$3)&lt;1,0,IFERROR(LOOKUP(2,1/(Aveia!$E22:INDEX(Aveia!$E22:$Z22,MIN(AP$6-$E$3,22))&lt;&gt;""),Aveia!$E22:INDEX(Aveia!$E22:$Z22,MIN(AP$6-$E$3,22))),0))-IF($G$2,0,IF((AP$6-$G$3)&lt;1,0,IFERROR(LOOKUP(2,1/(Aveia!$E22:INDEX(Aveia!$E22:$Z22,MIN(AP$6-$G$3,22))&lt;&gt;""),Aveia!$E22:INDEX(Aveia!$E22:$Z22,MIN(AP$6-$G$3,22))),0)))))</f>
        <v>0</v>
      </c>
      <c r="AQ24" s="27" t="n">
        <f aca="false">IF(COUNT(Aveia!$E22:$Z22)=0,0,MAX(0,IF((AQ$6-$E$3)&lt;1,0,IFERROR(LOOKUP(2,1/(Aveia!$E22:INDEX(Aveia!$E22:$Z22,MIN(AQ$6-$E$3,22))&lt;&gt;""),Aveia!$E22:INDEX(Aveia!$E22:$Z22,MIN(AQ$6-$E$3,22))),0))-IF($G$2,0,IF((AQ$6-$G$3)&lt;1,0,IFERROR(LOOKUP(2,1/(Aveia!$E22:INDEX(Aveia!$E22:$Z22,MIN(AQ$6-$G$3,22))&lt;&gt;""),Aveia!$E22:INDEX(Aveia!$E22:$Z22,MIN(AQ$6-$G$3,22))),0)))))</f>
        <v>0</v>
      </c>
      <c r="AR24" s="27" t="n">
        <f aca="false">IF(COUNT(Aveia!$E22:$Z22)=0,0,MAX(0,IF((AR$6-$E$3)&lt;1,0,IFERROR(LOOKUP(2,1/(Aveia!$E22:INDEX(Aveia!$E22:$Z22,MIN(AR$6-$E$3,22))&lt;&gt;""),Aveia!$E22:INDEX(Aveia!$E22:$Z22,MIN(AR$6-$E$3,22))),0))-IF($G$2,0,IF((AR$6-$G$3)&lt;1,0,IFERROR(LOOKUP(2,1/(Aveia!$E22:INDEX(Aveia!$E22:$Z22,MIN(AR$6-$G$3,22))&lt;&gt;""),Aveia!$E22:INDEX(Aveia!$E22:$Z22,MIN(AR$6-$G$3,22))),0)))))</f>
        <v>0</v>
      </c>
      <c r="AS24" s="27" t="n">
        <f aca="false">IF(COUNT(Aveia!$E22:$Z22)=0,0,MAX(0,IF((AS$6-$E$3)&lt;1,0,IFERROR(LOOKUP(2,1/(Aveia!$E22:INDEX(Aveia!$E22:$Z22,MIN(AS$6-$E$3,22))&lt;&gt;""),Aveia!$E22:INDEX(Aveia!$E22:$Z22,MIN(AS$6-$E$3,22))),0))-IF($G$2,0,IF((AS$6-$G$3)&lt;1,0,IFERROR(LOOKUP(2,1/(Aveia!$E22:INDEX(Aveia!$E22:$Z22,MIN(AS$6-$G$3,22))&lt;&gt;""),Aveia!$E22:INDEX(Aveia!$E22:$Z22,MIN(AS$6-$G$3,22))),0)))))</f>
        <v>0</v>
      </c>
      <c r="AT24" s="27" t="n">
        <f aca="false">IF(COUNT(Aveia!$E22:$Z22)=0,0,MAX(0,IF((AT$6-$E$3)&lt;1,0,IFERROR(LOOKUP(2,1/(Aveia!$E22:INDEX(Aveia!$E22:$Z22,MIN(AT$6-$E$3,22))&lt;&gt;""),Aveia!$E22:INDEX(Aveia!$E22:$Z22,MIN(AT$6-$E$3,22))),0))-IF($G$2,0,IF((AT$6-$G$3)&lt;1,0,IFERROR(LOOKUP(2,1/(Aveia!$E22:INDEX(Aveia!$E22:$Z22,MIN(AT$6-$G$3,22))&lt;&gt;""),Aveia!$E22:INDEX(Aveia!$E22:$Z22,MIN(AT$6-$G$3,22))),0)))))</f>
        <v>0</v>
      </c>
      <c r="AU24" s="27" t="n">
        <f aca="false">IF(COUNT(Aveia!$E22:$Z22)=0,0,MAX(0,IF((AU$6-$E$3)&lt;1,0,IFERROR(LOOKUP(2,1/(Aveia!$E22:INDEX(Aveia!$E22:$Z22,MIN(AU$6-$E$3,22))&lt;&gt;""),Aveia!$E22:INDEX(Aveia!$E22:$Z22,MIN(AU$6-$E$3,22))),0))-IF($G$2,0,IF((AU$6-$G$3)&lt;1,0,IFERROR(LOOKUP(2,1/(Aveia!$E22:INDEX(Aveia!$E22:$Z22,MIN(AU$6-$G$3,22))&lt;&gt;""),Aveia!$E22:INDEX(Aveia!$E22:$Z22,MIN(AU$6-$G$3,22))),0)))))</f>
        <v>0</v>
      </c>
      <c r="AV24" s="27" t="n">
        <f aca="false">IF(COUNT(Aveia!$E22:$Z22)=0,0,MAX(0,IF((AV$6-$E$3)&lt;1,0,IFERROR(LOOKUP(2,1/(Aveia!$E22:INDEX(Aveia!$E22:$Z22,MIN(AV$6-$E$3,22))&lt;&gt;""),Aveia!$E22:INDEX(Aveia!$E22:$Z22,MIN(AV$6-$E$3,22))),0))-IF($G$2,0,IF((AV$6-$G$3)&lt;1,0,IFERROR(LOOKUP(2,1/(Aveia!$E22:INDEX(Aveia!$E22:$Z22,MIN(AV$6-$G$3,22))&lt;&gt;""),Aveia!$E22:INDEX(Aveia!$E22:$Z22,MIN(AV$6-$G$3,22))),0)))))</f>
        <v>0</v>
      </c>
      <c r="AW24" s="27" t="n">
        <f aca="false">IF(COUNT(Aveia!$E22:$Z22)=0,0,MAX(0,IF((AW$6-$E$3)&lt;1,0,IFERROR(LOOKUP(2,1/(Aveia!$E22:INDEX(Aveia!$E22:$Z22,MIN(AW$6-$E$3,22))&lt;&gt;""),Aveia!$E22:INDEX(Aveia!$E22:$Z22,MIN(AW$6-$E$3,22))),0))-IF($G$2,0,IF((AW$6-$G$3)&lt;1,0,IFERROR(LOOKUP(2,1/(Aveia!$E22:INDEX(Aveia!$E22:$Z22,MIN(AW$6-$G$3,22))&lt;&gt;""),Aveia!$E22:INDEX(Aveia!$E22:$Z22,MIN(AW$6-$G$3,22))),0)))))</f>
        <v>0</v>
      </c>
      <c r="AX24" s="27" t="n">
        <f aca="false">IF(COUNT(Aveia!$E22:$Z22)=0,0,MAX(0,IF((AX$6-$E$3)&lt;1,0,IFERROR(LOOKUP(2,1/(Aveia!$E22:INDEX(Aveia!$E22:$Z22,MIN(AX$6-$E$3,22))&lt;&gt;""),Aveia!$E22:INDEX(Aveia!$E22:$Z22,MIN(AX$6-$E$3,22))),0))-IF($G$2,0,IF((AX$6-$G$3)&lt;1,0,IFERROR(LOOKUP(2,1/(Aveia!$E22:INDEX(Aveia!$E22:$Z22,MIN(AX$6-$G$3,22))&lt;&gt;""),Aveia!$E22:INDEX(Aveia!$E22:$Z22,MIN(AX$6-$G$3,22))),0)))))</f>
        <v>0</v>
      </c>
      <c r="AY24" s="27" t="n">
        <f aca="false">IF(COUNT(Aveia!$E22:$Z22)=0,0,MAX(0,IF((AY$6-$E$3)&lt;1,0,IFERROR(LOOKUP(2,1/(Aveia!$E22:INDEX(Aveia!$E22:$Z22,MIN(AY$6-$E$3,22))&lt;&gt;""),Aveia!$E22:INDEX(Aveia!$E22:$Z22,MIN(AY$6-$E$3,22))),0))-IF($G$2,0,IF((AY$6-$G$3)&lt;1,0,IFERROR(LOOKUP(2,1/(Aveia!$E22:INDEX(Aveia!$E22:$Z22,MIN(AY$6-$G$3,22))&lt;&gt;""),Aveia!$E22:INDEX(Aveia!$E22:$Z22,MIN(AY$6-$G$3,22))),0)))))</f>
        <v>0</v>
      </c>
      <c r="AZ24" s="27" t="n">
        <f aca="false">IF(COUNT(Aveia!$E22:$Z22)=0,0,MAX(0,IF((AZ$6-$E$3)&lt;1,0,IFERROR(LOOKUP(2,1/(Aveia!$E22:INDEX(Aveia!$E22:$Z22,MIN(AZ$6-$E$3,22))&lt;&gt;""),Aveia!$E22:INDEX(Aveia!$E22:$Z22,MIN(AZ$6-$E$3,22))),0))-IF($G$2,0,IF((AZ$6-$G$3)&lt;1,0,IFERROR(LOOKUP(2,1/(Aveia!$E22:INDEX(Aveia!$E22:$Z22,MIN(AZ$6-$G$3,22))&lt;&gt;""),Aveia!$E22:INDEX(Aveia!$E22:$Z22,MIN(AZ$6-$G$3,22))),0)))))</f>
        <v>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10" t="s">
        <v>155</v>
      </c>
      <c r="D25" s="26" t="n">
        <f aca="false">IF(COUNT(Aveia!$E23:$Z23)&gt;0,N(Aveia!$D23),0)</f>
        <v>0</v>
      </c>
      <c r="E25" s="27" t="n">
        <f aca="false">IF(COUNT(Aveia!$E23:$Z23)=0,0,MAX(0,IF((E$6-$E$3)&lt;1,0,IFERROR(LOOKUP(2,1/(Aveia!$E23:INDEX(Aveia!$E23:$Z23,MIN(E$6-$E$3,22))&lt;&gt;""),Aveia!$E23:INDEX(Aveia!$E23:$Z23,MIN(E$6-$E$3,22))),0))-IF($G$2,0,IF((E$6-$G$3)&lt;1,0,IFERROR(LOOKUP(2,1/(Aveia!$E23:INDEX(Aveia!$E23:$Z23,MIN(E$6-$G$3,22))&lt;&gt;""),Aveia!$E23:INDEX(Aveia!$E23:$Z23,MIN(E$6-$G$3,22))),0)))))</f>
        <v>0</v>
      </c>
      <c r="F25" s="27" t="n">
        <f aca="false">IF(COUNT(Aveia!$E23:$Z23)=0,0,MAX(0,IF((F$6-$E$3)&lt;1,0,IFERROR(LOOKUP(2,1/(Aveia!$E23:INDEX(Aveia!$E23:$Z23,MIN(F$6-$E$3,22))&lt;&gt;""),Aveia!$E23:INDEX(Aveia!$E23:$Z23,MIN(F$6-$E$3,22))),0))-IF($G$2,0,IF((F$6-$G$3)&lt;1,0,IFERROR(LOOKUP(2,1/(Aveia!$E23:INDEX(Aveia!$E23:$Z23,MIN(F$6-$G$3,22))&lt;&gt;""),Aveia!$E23:INDEX(Aveia!$E23:$Z23,MIN(F$6-$G$3,22))),0)))))</f>
        <v>0</v>
      </c>
      <c r="G25" s="27" t="n">
        <f aca="false">IF(COUNT(Aveia!$E23:$Z23)=0,0,MAX(0,IF((G$6-$E$3)&lt;1,0,IFERROR(LOOKUP(2,1/(Aveia!$E23:INDEX(Aveia!$E23:$Z23,MIN(G$6-$E$3,22))&lt;&gt;""),Aveia!$E23:INDEX(Aveia!$E23:$Z23,MIN(G$6-$E$3,22))),0))-IF($G$2,0,IF((G$6-$G$3)&lt;1,0,IFERROR(LOOKUP(2,1/(Aveia!$E23:INDEX(Aveia!$E23:$Z23,MIN(G$6-$G$3,22))&lt;&gt;""),Aveia!$E23:INDEX(Aveia!$E23:$Z23,MIN(G$6-$G$3,22))),0)))))</f>
        <v>0</v>
      </c>
      <c r="H25" s="27" t="n">
        <f aca="false">IF(COUNT(Aveia!$E23:$Z23)=0,0,MAX(0,IF((H$6-$E$3)&lt;1,0,IFERROR(LOOKUP(2,1/(Aveia!$E23:INDEX(Aveia!$E23:$Z23,MIN(H$6-$E$3,22))&lt;&gt;""),Aveia!$E23:INDEX(Aveia!$E23:$Z23,MIN(H$6-$E$3,22))),0))-IF($G$2,0,IF((H$6-$G$3)&lt;1,0,IFERROR(LOOKUP(2,1/(Aveia!$E23:INDEX(Aveia!$E23:$Z23,MIN(H$6-$G$3,22))&lt;&gt;""),Aveia!$E23:INDEX(Aveia!$E23:$Z23,MIN(H$6-$G$3,22))),0)))))</f>
        <v>0</v>
      </c>
      <c r="I25" s="27" t="n">
        <f aca="false">IF(COUNT(Aveia!$E23:$Z23)=0,0,MAX(0,IF((I$6-$E$3)&lt;1,0,IFERROR(LOOKUP(2,1/(Aveia!$E23:INDEX(Aveia!$E23:$Z23,MIN(I$6-$E$3,22))&lt;&gt;""),Aveia!$E23:INDEX(Aveia!$E23:$Z23,MIN(I$6-$E$3,22))),0))-IF($G$2,0,IF((I$6-$G$3)&lt;1,0,IFERROR(LOOKUP(2,1/(Aveia!$E23:INDEX(Aveia!$E23:$Z23,MIN(I$6-$G$3,22))&lt;&gt;""),Aveia!$E23:INDEX(Aveia!$E23:$Z23,MIN(I$6-$G$3,22))),0)))))</f>
        <v>0</v>
      </c>
      <c r="J25" s="27" t="n">
        <f aca="false">IF(COUNT(Aveia!$E23:$Z23)=0,0,MAX(0,IF((J$6-$E$3)&lt;1,0,IFERROR(LOOKUP(2,1/(Aveia!$E23:INDEX(Aveia!$E23:$Z23,MIN(J$6-$E$3,22))&lt;&gt;""),Aveia!$E23:INDEX(Aveia!$E23:$Z23,MIN(J$6-$E$3,22))),0))-IF($G$2,0,IF((J$6-$G$3)&lt;1,0,IFERROR(LOOKUP(2,1/(Aveia!$E23:INDEX(Aveia!$E23:$Z23,MIN(J$6-$G$3,22))&lt;&gt;""),Aveia!$E23:INDEX(Aveia!$E23:$Z23,MIN(J$6-$G$3,22))),0)))))</f>
        <v>0</v>
      </c>
      <c r="K25" s="27" t="n">
        <f aca="false">IF(COUNT(Aveia!$E23:$Z23)=0,0,MAX(0,IF((K$6-$E$3)&lt;1,0,IFERROR(LOOKUP(2,1/(Aveia!$E23:INDEX(Aveia!$E23:$Z23,MIN(K$6-$E$3,22))&lt;&gt;""),Aveia!$E23:INDEX(Aveia!$E23:$Z23,MIN(K$6-$E$3,22))),0))-IF($G$2,0,IF((K$6-$G$3)&lt;1,0,IFERROR(LOOKUP(2,1/(Aveia!$E23:INDEX(Aveia!$E23:$Z23,MIN(K$6-$G$3,22))&lt;&gt;""),Aveia!$E23:INDEX(Aveia!$E23:$Z23,MIN(K$6-$G$3,22))),0)))))</f>
        <v>0</v>
      </c>
      <c r="L25" s="27" t="n">
        <f aca="false">IF(COUNT(Aveia!$E23:$Z23)=0,0,MAX(0,IF((L$6-$E$3)&lt;1,0,IFERROR(LOOKUP(2,1/(Aveia!$E23:INDEX(Aveia!$E23:$Z23,MIN(L$6-$E$3,22))&lt;&gt;""),Aveia!$E23:INDEX(Aveia!$E23:$Z23,MIN(L$6-$E$3,22))),0))-IF($G$2,0,IF((L$6-$G$3)&lt;1,0,IFERROR(LOOKUP(2,1/(Aveia!$E23:INDEX(Aveia!$E23:$Z23,MIN(L$6-$G$3,22))&lt;&gt;""),Aveia!$E23:INDEX(Aveia!$E23:$Z23,MIN(L$6-$G$3,22))),0)))))</f>
        <v>0</v>
      </c>
      <c r="M25" s="27" t="n">
        <f aca="false">IF(COUNT(Aveia!$E23:$Z23)=0,0,MAX(0,IF((M$6-$E$3)&lt;1,0,IFERROR(LOOKUP(2,1/(Aveia!$E23:INDEX(Aveia!$E23:$Z23,MIN(M$6-$E$3,22))&lt;&gt;""),Aveia!$E23:INDEX(Aveia!$E23:$Z23,MIN(M$6-$E$3,22))),0))-IF($G$2,0,IF((M$6-$G$3)&lt;1,0,IFERROR(LOOKUP(2,1/(Aveia!$E23:INDEX(Aveia!$E23:$Z23,MIN(M$6-$G$3,22))&lt;&gt;""),Aveia!$E23:INDEX(Aveia!$E23:$Z23,MIN(M$6-$G$3,22))),0)))))</f>
        <v>0</v>
      </c>
      <c r="N25" s="27" t="n">
        <f aca="false">IF(COUNT(Aveia!$E23:$Z23)=0,0,MAX(0,IF((N$6-$E$3)&lt;1,0,IFERROR(LOOKUP(2,1/(Aveia!$E23:INDEX(Aveia!$E23:$Z23,MIN(N$6-$E$3,22))&lt;&gt;""),Aveia!$E23:INDEX(Aveia!$E23:$Z23,MIN(N$6-$E$3,22))),0))-IF($G$2,0,IF((N$6-$G$3)&lt;1,0,IFERROR(LOOKUP(2,1/(Aveia!$E23:INDEX(Aveia!$E23:$Z23,MIN(N$6-$G$3,22))&lt;&gt;""),Aveia!$E23:INDEX(Aveia!$E23:$Z23,MIN(N$6-$G$3,22))),0)))))</f>
        <v>0</v>
      </c>
      <c r="O25" s="27" t="n">
        <f aca="false">IF(COUNT(Aveia!$E23:$Z23)=0,0,MAX(0,IF((O$6-$E$3)&lt;1,0,IFERROR(LOOKUP(2,1/(Aveia!$E23:INDEX(Aveia!$E23:$Z23,MIN(O$6-$E$3,22))&lt;&gt;""),Aveia!$E23:INDEX(Aveia!$E23:$Z23,MIN(O$6-$E$3,22))),0))-IF($G$2,0,IF((O$6-$G$3)&lt;1,0,IFERROR(LOOKUP(2,1/(Aveia!$E23:INDEX(Aveia!$E23:$Z23,MIN(O$6-$G$3,22))&lt;&gt;""),Aveia!$E23:INDEX(Aveia!$E23:$Z23,MIN(O$6-$G$3,22))),0)))))</f>
        <v>0</v>
      </c>
      <c r="P25" s="27" t="n">
        <f aca="false">IF(COUNT(Aveia!$E23:$Z23)=0,0,MAX(0,IF((P$6-$E$3)&lt;1,0,IFERROR(LOOKUP(2,1/(Aveia!$E23:INDEX(Aveia!$E23:$Z23,MIN(P$6-$E$3,22))&lt;&gt;""),Aveia!$E23:INDEX(Aveia!$E23:$Z23,MIN(P$6-$E$3,22))),0))-IF($G$2,0,IF((P$6-$G$3)&lt;1,0,IFERROR(LOOKUP(2,1/(Aveia!$E23:INDEX(Aveia!$E23:$Z23,MIN(P$6-$G$3,22))&lt;&gt;""),Aveia!$E23:INDEX(Aveia!$E23:$Z23,MIN(P$6-$G$3,22))),0)))))</f>
        <v>0</v>
      </c>
      <c r="Q25" s="27" t="n">
        <f aca="false">IF(COUNT(Aveia!$E23:$Z23)=0,0,MAX(0,IF((Q$6-$E$3)&lt;1,0,IFERROR(LOOKUP(2,1/(Aveia!$E23:INDEX(Aveia!$E23:$Z23,MIN(Q$6-$E$3,22))&lt;&gt;""),Aveia!$E23:INDEX(Aveia!$E23:$Z23,MIN(Q$6-$E$3,22))),0))-IF($G$2,0,IF((Q$6-$G$3)&lt;1,0,IFERROR(LOOKUP(2,1/(Aveia!$E23:INDEX(Aveia!$E23:$Z23,MIN(Q$6-$G$3,22))&lt;&gt;""),Aveia!$E23:INDEX(Aveia!$E23:$Z23,MIN(Q$6-$G$3,22))),0)))))</f>
        <v>0</v>
      </c>
      <c r="R25" s="27" t="n">
        <f aca="false">IF(COUNT(Aveia!$E23:$Z23)=0,0,MAX(0,IF((R$6-$E$3)&lt;1,0,IFERROR(LOOKUP(2,1/(Aveia!$E23:INDEX(Aveia!$E23:$Z23,MIN(R$6-$E$3,22))&lt;&gt;""),Aveia!$E23:INDEX(Aveia!$E23:$Z23,MIN(R$6-$E$3,22))),0))-IF($G$2,0,IF((R$6-$G$3)&lt;1,0,IFERROR(LOOKUP(2,1/(Aveia!$E23:INDEX(Aveia!$E23:$Z23,MIN(R$6-$G$3,22))&lt;&gt;""),Aveia!$E23:INDEX(Aveia!$E23:$Z23,MIN(R$6-$G$3,22))),0)))))</f>
        <v>0</v>
      </c>
      <c r="S25" s="27" t="n">
        <f aca="false">IF(COUNT(Aveia!$E23:$Z23)=0,0,MAX(0,IF((S$6-$E$3)&lt;1,0,IFERROR(LOOKUP(2,1/(Aveia!$E23:INDEX(Aveia!$E23:$Z23,MIN(S$6-$E$3,22))&lt;&gt;""),Aveia!$E23:INDEX(Aveia!$E23:$Z23,MIN(S$6-$E$3,22))),0))-IF($G$2,0,IF((S$6-$G$3)&lt;1,0,IFERROR(LOOKUP(2,1/(Aveia!$E23:INDEX(Aveia!$E23:$Z23,MIN(S$6-$G$3,22))&lt;&gt;""),Aveia!$E23:INDEX(Aveia!$E23:$Z23,MIN(S$6-$G$3,22))),0)))))</f>
        <v>0</v>
      </c>
      <c r="T25" s="27" t="n">
        <f aca="false">IF(COUNT(Aveia!$E23:$Z23)=0,0,MAX(0,IF((T$6-$E$3)&lt;1,0,IFERROR(LOOKUP(2,1/(Aveia!$E23:INDEX(Aveia!$E23:$Z23,MIN(T$6-$E$3,22))&lt;&gt;""),Aveia!$E23:INDEX(Aveia!$E23:$Z23,MIN(T$6-$E$3,22))),0))-IF($G$2,0,IF((T$6-$G$3)&lt;1,0,IFERROR(LOOKUP(2,1/(Aveia!$E23:INDEX(Aveia!$E23:$Z23,MIN(T$6-$G$3,22))&lt;&gt;""),Aveia!$E23:INDEX(Aveia!$E23:$Z23,MIN(T$6-$G$3,22))),0)))))</f>
        <v>0</v>
      </c>
      <c r="U25" s="27" t="n">
        <f aca="false">IF(COUNT(Aveia!$E23:$Z23)=0,0,MAX(0,IF((U$6-$E$3)&lt;1,0,IFERROR(LOOKUP(2,1/(Aveia!$E23:INDEX(Aveia!$E23:$Z23,MIN(U$6-$E$3,22))&lt;&gt;""),Aveia!$E23:INDEX(Aveia!$E23:$Z23,MIN(U$6-$E$3,22))),0))-IF($G$2,0,IF((U$6-$G$3)&lt;1,0,IFERROR(LOOKUP(2,1/(Aveia!$E23:INDEX(Aveia!$E23:$Z23,MIN(U$6-$G$3,22))&lt;&gt;""),Aveia!$E23:INDEX(Aveia!$E23:$Z23,MIN(U$6-$G$3,22))),0)))))</f>
        <v>0</v>
      </c>
      <c r="V25" s="27" t="n">
        <f aca="false">IF(COUNT(Aveia!$E23:$Z23)=0,0,MAX(0,IF((V$6-$E$3)&lt;1,0,IFERROR(LOOKUP(2,1/(Aveia!$E23:INDEX(Aveia!$E23:$Z23,MIN(V$6-$E$3,22))&lt;&gt;""),Aveia!$E23:INDEX(Aveia!$E23:$Z23,MIN(V$6-$E$3,22))),0))-IF($G$2,0,IF((V$6-$G$3)&lt;1,0,IFERROR(LOOKUP(2,1/(Aveia!$E23:INDEX(Aveia!$E23:$Z23,MIN(V$6-$G$3,22))&lt;&gt;""),Aveia!$E23:INDEX(Aveia!$E23:$Z23,MIN(V$6-$G$3,22))),0)))))</f>
        <v>0</v>
      </c>
      <c r="W25" s="27" t="n">
        <f aca="false">IF(COUNT(Aveia!$E23:$Z23)=0,0,MAX(0,IF((W$6-$E$3)&lt;1,0,IFERROR(LOOKUP(2,1/(Aveia!$E23:INDEX(Aveia!$E23:$Z23,MIN(W$6-$E$3,22))&lt;&gt;""),Aveia!$E23:INDEX(Aveia!$E23:$Z23,MIN(W$6-$E$3,22))),0))-IF($G$2,0,IF((W$6-$G$3)&lt;1,0,IFERROR(LOOKUP(2,1/(Aveia!$E23:INDEX(Aveia!$E23:$Z23,MIN(W$6-$G$3,22))&lt;&gt;""),Aveia!$E23:INDEX(Aveia!$E23:$Z23,MIN(W$6-$G$3,22))),0)))))</f>
        <v>0</v>
      </c>
      <c r="X25" s="27" t="n">
        <f aca="false">IF(COUNT(Aveia!$E23:$Z23)=0,0,MAX(0,IF((X$6-$E$3)&lt;1,0,IFERROR(LOOKUP(2,1/(Aveia!$E23:INDEX(Aveia!$E23:$Z23,MIN(X$6-$E$3,22))&lt;&gt;""),Aveia!$E23:INDEX(Aveia!$E23:$Z23,MIN(X$6-$E$3,22))),0))-IF($G$2,0,IF((X$6-$G$3)&lt;1,0,IFERROR(LOOKUP(2,1/(Aveia!$E23:INDEX(Aveia!$E23:$Z23,MIN(X$6-$G$3,22))&lt;&gt;""),Aveia!$E23:INDEX(Aveia!$E23:$Z23,MIN(X$6-$G$3,22))),0)))))</f>
        <v>0</v>
      </c>
      <c r="Y25" s="27" t="n">
        <f aca="false">IF(COUNT(Aveia!$E23:$Z23)=0,0,MAX(0,IF((Y$6-$E$3)&lt;1,0,IFERROR(LOOKUP(2,1/(Aveia!$E23:INDEX(Aveia!$E23:$Z23,MIN(Y$6-$E$3,22))&lt;&gt;""),Aveia!$E23:INDEX(Aveia!$E23:$Z23,MIN(Y$6-$E$3,22))),0))-IF($G$2,0,IF((Y$6-$G$3)&lt;1,0,IFERROR(LOOKUP(2,1/(Aveia!$E23:INDEX(Aveia!$E23:$Z23,MIN(Y$6-$G$3,22))&lt;&gt;""),Aveia!$E23:INDEX(Aveia!$E23:$Z23,MIN(Y$6-$G$3,22))),0)))))</f>
        <v>0</v>
      </c>
      <c r="Z25" s="27" t="n">
        <f aca="false">IF(COUNT(Aveia!$E23:$Z23)=0,0,MAX(0,IF((Z$6-$E$3)&lt;1,0,IFERROR(LOOKUP(2,1/(Aveia!$E23:INDEX(Aveia!$E23:$Z23,MIN(Z$6-$E$3,22))&lt;&gt;""),Aveia!$E23:INDEX(Aveia!$E23:$Z23,MIN(Z$6-$E$3,22))),0))-IF($G$2,0,IF((Z$6-$G$3)&lt;1,0,IFERROR(LOOKUP(2,1/(Aveia!$E23:INDEX(Aveia!$E23:$Z23,MIN(Z$6-$G$3,22))&lt;&gt;""),Aveia!$E23:INDEX(Aveia!$E23:$Z23,MIN(Z$6-$G$3,22))),0)))))</f>
        <v>0</v>
      </c>
      <c r="AA25" s="27" t="n">
        <f aca="false">IF(COUNT(Aveia!$E23:$Z23)=0,0,MAX(0,IF((AA$6-$E$3)&lt;1,0,IFERROR(LOOKUP(2,1/(Aveia!$E23:INDEX(Aveia!$E23:$Z23,MIN(AA$6-$E$3,22))&lt;&gt;""),Aveia!$E23:INDEX(Aveia!$E23:$Z23,MIN(AA$6-$E$3,22))),0))-IF($G$2,0,IF((AA$6-$G$3)&lt;1,0,IFERROR(LOOKUP(2,1/(Aveia!$E23:INDEX(Aveia!$E23:$Z23,MIN(AA$6-$G$3,22))&lt;&gt;""),Aveia!$E23:INDEX(Aveia!$E23:$Z23,MIN(AA$6-$G$3,22))),0)))))</f>
        <v>0</v>
      </c>
      <c r="AB25" s="27" t="n">
        <f aca="false">IF(COUNT(Aveia!$E23:$Z23)=0,0,MAX(0,IF((AB$6-$E$3)&lt;1,0,IFERROR(LOOKUP(2,1/(Aveia!$E23:INDEX(Aveia!$E23:$Z23,MIN(AB$6-$E$3,22))&lt;&gt;""),Aveia!$E23:INDEX(Aveia!$E23:$Z23,MIN(AB$6-$E$3,22))),0))-IF($G$2,0,IF((AB$6-$G$3)&lt;1,0,IFERROR(LOOKUP(2,1/(Aveia!$E23:INDEX(Aveia!$E23:$Z23,MIN(AB$6-$G$3,22))&lt;&gt;""),Aveia!$E23:INDEX(Aveia!$E23:$Z23,MIN(AB$6-$G$3,22))),0)))))</f>
        <v>0</v>
      </c>
      <c r="AC25" s="27" t="n">
        <f aca="false">IF(COUNT(Aveia!$E23:$Z23)=0,0,MAX(0,IF((AC$6-$E$3)&lt;1,0,IFERROR(LOOKUP(2,1/(Aveia!$E23:INDEX(Aveia!$E23:$Z23,MIN(AC$6-$E$3,22))&lt;&gt;""),Aveia!$E23:INDEX(Aveia!$E23:$Z23,MIN(AC$6-$E$3,22))),0))-IF($G$2,0,IF((AC$6-$G$3)&lt;1,0,IFERROR(LOOKUP(2,1/(Aveia!$E23:INDEX(Aveia!$E23:$Z23,MIN(AC$6-$G$3,22))&lt;&gt;""),Aveia!$E23:INDEX(Aveia!$E23:$Z23,MIN(AC$6-$G$3,22))),0)))))</f>
        <v>0</v>
      </c>
      <c r="AD25" s="27" t="n">
        <f aca="false">IF(COUNT(Aveia!$E23:$Z23)=0,0,MAX(0,IF((AD$6-$E$3)&lt;1,0,IFERROR(LOOKUP(2,1/(Aveia!$E23:INDEX(Aveia!$E23:$Z23,MIN(AD$6-$E$3,22))&lt;&gt;""),Aveia!$E23:INDEX(Aveia!$E23:$Z23,MIN(AD$6-$E$3,22))),0))-IF($G$2,0,IF((AD$6-$G$3)&lt;1,0,IFERROR(LOOKUP(2,1/(Aveia!$E23:INDEX(Aveia!$E23:$Z23,MIN(AD$6-$G$3,22))&lt;&gt;""),Aveia!$E23:INDEX(Aveia!$E23:$Z23,MIN(AD$6-$G$3,22))),0)))))</f>
        <v>0</v>
      </c>
      <c r="AE25" s="27" t="n">
        <f aca="false">IF(COUNT(Aveia!$E23:$Z23)=0,0,MAX(0,IF((AE$6-$E$3)&lt;1,0,IFERROR(LOOKUP(2,1/(Aveia!$E23:INDEX(Aveia!$E23:$Z23,MIN(AE$6-$E$3,22))&lt;&gt;""),Aveia!$E23:INDEX(Aveia!$E23:$Z23,MIN(AE$6-$E$3,22))),0))-IF($G$2,0,IF((AE$6-$G$3)&lt;1,0,IFERROR(LOOKUP(2,1/(Aveia!$E23:INDEX(Aveia!$E23:$Z23,MIN(AE$6-$G$3,22))&lt;&gt;""),Aveia!$E23:INDEX(Aveia!$E23:$Z23,MIN(AE$6-$G$3,22))),0)))))</f>
        <v>0</v>
      </c>
      <c r="AF25" s="27" t="n">
        <f aca="false">IF(COUNT(Aveia!$E23:$Z23)=0,0,MAX(0,IF((AF$6-$E$3)&lt;1,0,IFERROR(LOOKUP(2,1/(Aveia!$E23:INDEX(Aveia!$E23:$Z23,MIN(AF$6-$E$3,22))&lt;&gt;""),Aveia!$E23:INDEX(Aveia!$E23:$Z23,MIN(AF$6-$E$3,22))),0))-IF($G$2,0,IF((AF$6-$G$3)&lt;1,0,IFERROR(LOOKUP(2,1/(Aveia!$E23:INDEX(Aveia!$E23:$Z23,MIN(AF$6-$G$3,22))&lt;&gt;""),Aveia!$E23:INDEX(Aveia!$E23:$Z23,MIN(AF$6-$G$3,22))),0)))))</f>
        <v>0</v>
      </c>
      <c r="AG25" s="27" t="n">
        <f aca="false">IF(COUNT(Aveia!$E23:$Z23)=0,0,MAX(0,IF((AG$6-$E$3)&lt;1,0,IFERROR(LOOKUP(2,1/(Aveia!$E23:INDEX(Aveia!$E23:$Z23,MIN(AG$6-$E$3,22))&lt;&gt;""),Aveia!$E23:INDEX(Aveia!$E23:$Z23,MIN(AG$6-$E$3,22))),0))-IF($G$2,0,IF((AG$6-$G$3)&lt;1,0,IFERROR(LOOKUP(2,1/(Aveia!$E23:INDEX(Aveia!$E23:$Z23,MIN(AG$6-$G$3,22))&lt;&gt;""),Aveia!$E23:INDEX(Aveia!$E23:$Z23,MIN(AG$6-$G$3,22))),0)))))</f>
        <v>0</v>
      </c>
      <c r="AH25" s="27" t="n">
        <f aca="false">IF(COUNT(Aveia!$E23:$Z23)=0,0,MAX(0,IF((AH$6-$E$3)&lt;1,0,IFERROR(LOOKUP(2,1/(Aveia!$E23:INDEX(Aveia!$E23:$Z23,MIN(AH$6-$E$3,22))&lt;&gt;""),Aveia!$E23:INDEX(Aveia!$E23:$Z23,MIN(AH$6-$E$3,22))),0))-IF($G$2,0,IF((AH$6-$G$3)&lt;1,0,IFERROR(LOOKUP(2,1/(Aveia!$E23:INDEX(Aveia!$E23:$Z23,MIN(AH$6-$G$3,22))&lt;&gt;""),Aveia!$E23:INDEX(Aveia!$E23:$Z23,MIN(AH$6-$G$3,22))),0)))))</f>
        <v>0</v>
      </c>
      <c r="AI25" s="27" t="n">
        <f aca="false">IF(COUNT(Aveia!$E23:$Z23)=0,0,MAX(0,IF((AI$6-$E$3)&lt;1,0,IFERROR(LOOKUP(2,1/(Aveia!$E23:INDEX(Aveia!$E23:$Z23,MIN(AI$6-$E$3,22))&lt;&gt;""),Aveia!$E23:INDEX(Aveia!$E23:$Z23,MIN(AI$6-$E$3,22))),0))-IF($G$2,0,IF((AI$6-$G$3)&lt;1,0,IFERROR(LOOKUP(2,1/(Aveia!$E23:INDEX(Aveia!$E23:$Z23,MIN(AI$6-$G$3,22))&lt;&gt;""),Aveia!$E23:INDEX(Aveia!$E23:$Z23,MIN(AI$6-$G$3,22))),0)))))</f>
        <v>0</v>
      </c>
      <c r="AJ25" s="27" t="n">
        <f aca="false">IF(COUNT(Aveia!$E23:$Z23)=0,0,MAX(0,IF((AJ$6-$E$3)&lt;1,0,IFERROR(LOOKUP(2,1/(Aveia!$E23:INDEX(Aveia!$E23:$Z23,MIN(AJ$6-$E$3,22))&lt;&gt;""),Aveia!$E23:INDEX(Aveia!$E23:$Z23,MIN(AJ$6-$E$3,22))),0))-IF($G$2,0,IF((AJ$6-$G$3)&lt;1,0,IFERROR(LOOKUP(2,1/(Aveia!$E23:INDEX(Aveia!$E23:$Z23,MIN(AJ$6-$G$3,22))&lt;&gt;""),Aveia!$E23:INDEX(Aveia!$E23:$Z23,MIN(AJ$6-$G$3,22))),0)))))</f>
        <v>0</v>
      </c>
      <c r="AK25" s="27" t="n">
        <f aca="false">IF(COUNT(Aveia!$E23:$Z23)=0,0,MAX(0,IF((AK$6-$E$3)&lt;1,0,IFERROR(LOOKUP(2,1/(Aveia!$E23:INDEX(Aveia!$E23:$Z23,MIN(AK$6-$E$3,22))&lt;&gt;""),Aveia!$E23:INDEX(Aveia!$E23:$Z23,MIN(AK$6-$E$3,22))),0))-IF($G$2,0,IF((AK$6-$G$3)&lt;1,0,IFERROR(LOOKUP(2,1/(Aveia!$E23:INDEX(Aveia!$E23:$Z23,MIN(AK$6-$G$3,22))&lt;&gt;""),Aveia!$E23:INDEX(Aveia!$E23:$Z23,MIN(AK$6-$G$3,22))),0)))))</f>
        <v>0</v>
      </c>
      <c r="AL25" s="27" t="n">
        <f aca="false">IF(COUNT(Aveia!$E23:$Z23)=0,0,MAX(0,IF((AL$6-$E$3)&lt;1,0,IFERROR(LOOKUP(2,1/(Aveia!$E23:INDEX(Aveia!$E23:$Z23,MIN(AL$6-$E$3,22))&lt;&gt;""),Aveia!$E23:INDEX(Aveia!$E23:$Z23,MIN(AL$6-$E$3,22))),0))-IF($G$2,0,IF((AL$6-$G$3)&lt;1,0,IFERROR(LOOKUP(2,1/(Aveia!$E23:INDEX(Aveia!$E23:$Z23,MIN(AL$6-$G$3,22))&lt;&gt;""),Aveia!$E23:INDEX(Aveia!$E23:$Z23,MIN(AL$6-$G$3,22))),0)))))</f>
        <v>0</v>
      </c>
      <c r="AM25" s="27" t="n">
        <f aca="false">IF(COUNT(Aveia!$E23:$Z23)=0,0,MAX(0,IF((AM$6-$E$3)&lt;1,0,IFERROR(LOOKUP(2,1/(Aveia!$E23:INDEX(Aveia!$E23:$Z23,MIN(AM$6-$E$3,22))&lt;&gt;""),Aveia!$E23:INDEX(Aveia!$E23:$Z23,MIN(AM$6-$E$3,22))),0))-IF($G$2,0,IF((AM$6-$G$3)&lt;1,0,IFERROR(LOOKUP(2,1/(Aveia!$E23:INDEX(Aveia!$E23:$Z23,MIN(AM$6-$G$3,22))&lt;&gt;""),Aveia!$E23:INDEX(Aveia!$E23:$Z23,MIN(AM$6-$G$3,22))),0)))))</f>
        <v>0</v>
      </c>
      <c r="AN25" s="27" t="n">
        <f aca="false">IF(COUNT(Aveia!$E23:$Z23)=0,0,MAX(0,IF((AN$6-$E$3)&lt;1,0,IFERROR(LOOKUP(2,1/(Aveia!$E23:INDEX(Aveia!$E23:$Z23,MIN(AN$6-$E$3,22))&lt;&gt;""),Aveia!$E23:INDEX(Aveia!$E23:$Z23,MIN(AN$6-$E$3,22))),0))-IF($G$2,0,IF((AN$6-$G$3)&lt;1,0,IFERROR(LOOKUP(2,1/(Aveia!$E23:INDEX(Aveia!$E23:$Z23,MIN(AN$6-$G$3,22))&lt;&gt;""),Aveia!$E23:INDEX(Aveia!$E23:$Z23,MIN(AN$6-$G$3,22))),0)))))</f>
        <v>0</v>
      </c>
      <c r="AO25" s="27" t="n">
        <f aca="false">IF(COUNT(Aveia!$E23:$Z23)=0,0,MAX(0,IF((AO$6-$E$3)&lt;1,0,IFERROR(LOOKUP(2,1/(Aveia!$E23:INDEX(Aveia!$E23:$Z23,MIN(AO$6-$E$3,22))&lt;&gt;""),Aveia!$E23:INDEX(Aveia!$E23:$Z23,MIN(AO$6-$E$3,22))),0))-IF($G$2,0,IF((AO$6-$G$3)&lt;1,0,IFERROR(LOOKUP(2,1/(Aveia!$E23:INDEX(Aveia!$E23:$Z23,MIN(AO$6-$G$3,22))&lt;&gt;""),Aveia!$E23:INDEX(Aveia!$E23:$Z23,MIN(AO$6-$G$3,22))),0)))))</f>
        <v>0</v>
      </c>
      <c r="AP25" s="27" t="n">
        <f aca="false">IF(COUNT(Aveia!$E23:$Z23)=0,0,MAX(0,IF((AP$6-$E$3)&lt;1,0,IFERROR(LOOKUP(2,1/(Aveia!$E23:INDEX(Aveia!$E23:$Z23,MIN(AP$6-$E$3,22))&lt;&gt;""),Aveia!$E23:INDEX(Aveia!$E23:$Z23,MIN(AP$6-$E$3,22))),0))-IF($G$2,0,IF((AP$6-$G$3)&lt;1,0,IFERROR(LOOKUP(2,1/(Aveia!$E23:INDEX(Aveia!$E23:$Z23,MIN(AP$6-$G$3,22))&lt;&gt;""),Aveia!$E23:INDEX(Aveia!$E23:$Z23,MIN(AP$6-$G$3,22))),0)))))</f>
        <v>0</v>
      </c>
      <c r="AQ25" s="27" t="n">
        <f aca="false">IF(COUNT(Aveia!$E23:$Z23)=0,0,MAX(0,IF((AQ$6-$E$3)&lt;1,0,IFERROR(LOOKUP(2,1/(Aveia!$E23:INDEX(Aveia!$E23:$Z23,MIN(AQ$6-$E$3,22))&lt;&gt;""),Aveia!$E23:INDEX(Aveia!$E23:$Z23,MIN(AQ$6-$E$3,22))),0))-IF($G$2,0,IF((AQ$6-$G$3)&lt;1,0,IFERROR(LOOKUP(2,1/(Aveia!$E23:INDEX(Aveia!$E23:$Z23,MIN(AQ$6-$G$3,22))&lt;&gt;""),Aveia!$E23:INDEX(Aveia!$E23:$Z23,MIN(AQ$6-$G$3,22))),0)))))</f>
        <v>0</v>
      </c>
      <c r="AR25" s="27" t="n">
        <f aca="false">IF(COUNT(Aveia!$E23:$Z23)=0,0,MAX(0,IF((AR$6-$E$3)&lt;1,0,IFERROR(LOOKUP(2,1/(Aveia!$E23:INDEX(Aveia!$E23:$Z23,MIN(AR$6-$E$3,22))&lt;&gt;""),Aveia!$E23:INDEX(Aveia!$E23:$Z23,MIN(AR$6-$E$3,22))),0))-IF($G$2,0,IF((AR$6-$G$3)&lt;1,0,IFERROR(LOOKUP(2,1/(Aveia!$E23:INDEX(Aveia!$E23:$Z23,MIN(AR$6-$G$3,22))&lt;&gt;""),Aveia!$E23:INDEX(Aveia!$E23:$Z23,MIN(AR$6-$G$3,22))),0)))))</f>
        <v>0</v>
      </c>
      <c r="AS25" s="27" t="n">
        <f aca="false">IF(COUNT(Aveia!$E23:$Z23)=0,0,MAX(0,IF((AS$6-$E$3)&lt;1,0,IFERROR(LOOKUP(2,1/(Aveia!$E23:INDEX(Aveia!$E23:$Z23,MIN(AS$6-$E$3,22))&lt;&gt;""),Aveia!$E23:INDEX(Aveia!$E23:$Z23,MIN(AS$6-$E$3,22))),0))-IF($G$2,0,IF((AS$6-$G$3)&lt;1,0,IFERROR(LOOKUP(2,1/(Aveia!$E23:INDEX(Aveia!$E23:$Z23,MIN(AS$6-$G$3,22))&lt;&gt;""),Aveia!$E23:INDEX(Aveia!$E23:$Z23,MIN(AS$6-$G$3,22))),0)))))</f>
        <v>0</v>
      </c>
      <c r="AT25" s="27" t="n">
        <f aca="false">IF(COUNT(Aveia!$E23:$Z23)=0,0,MAX(0,IF((AT$6-$E$3)&lt;1,0,IFERROR(LOOKUP(2,1/(Aveia!$E23:INDEX(Aveia!$E23:$Z23,MIN(AT$6-$E$3,22))&lt;&gt;""),Aveia!$E23:INDEX(Aveia!$E23:$Z23,MIN(AT$6-$E$3,22))),0))-IF($G$2,0,IF((AT$6-$G$3)&lt;1,0,IFERROR(LOOKUP(2,1/(Aveia!$E23:INDEX(Aveia!$E23:$Z23,MIN(AT$6-$G$3,22))&lt;&gt;""),Aveia!$E23:INDEX(Aveia!$E23:$Z23,MIN(AT$6-$G$3,22))),0)))))</f>
        <v>0</v>
      </c>
      <c r="AU25" s="27" t="n">
        <f aca="false">IF(COUNT(Aveia!$E23:$Z23)=0,0,MAX(0,IF((AU$6-$E$3)&lt;1,0,IFERROR(LOOKUP(2,1/(Aveia!$E23:INDEX(Aveia!$E23:$Z23,MIN(AU$6-$E$3,22))&lt;&gt;""),Aveia!$E23:INDEX(Aveia!$E23:$Z23,MIN(AU$6-$E$3,22))),0))-IF($G$2,0,IF((AU$6-$G$3)&lt;1,0,IFERROR(LOOKUP(2,1/(Aveia!$E23:INDEX(Aveia!$E23:$Z23,MIN(AU$6-$G$3,22))&lt;&gt;""),Aveia!$E23:INDEX(Aveia!$E23:$Z23,MIN(AU$6-$G$3,22))),0)))))</f>
        <v>0</v>
      </c>
      <c r="AV25" s="27" t="n">
        <f aca="false">IF(COUNT(Aveia!$E23:$Z23)=0,0,MAX(0,IF((AV$6-$E$3)&lt;1,0,IFERROR(LOOKUP(2,1/(Aveia!$E23:INDEX(Aveia!$E23:$Z23,MIN(AV$6-$E$3,22))&lt;&gt;""),Aveia!$E23:INDEX(Aveia!$E23:$Z23,MIN(AV$6-$E$3,22))),0))-IF($G$2,0,IF((AV$6-$G$3)&lt;1,0,IFERROR(LOOKUP(2,1/(Aveia!$E23:INDEX(Aveia!$E23:$Z23,MIN(AV$6-$G$3,22))&lt;&gt;""),Aveia!$E23:INDEX(Aveia!$E23:$Z23,MIN(AV$6-$G$3,22))),0)))))</f>
        <v>0</v>
      </c>
      <c r="AW25" s="27" t="n">
        <f aca="false">IF(COUNT(Aveia!$E23:$Z23)=0,0,MAX(0,IF((AW$6-$E$3)&lt;1,0,IFERROR(LOOKUP(2,1/(Aveia!$E23:INDEX(Aveia!$E23:$Z23,MIN(AW$6-$E$3,22))&lt;&gt;""),Aveia!$E23:INDEX(Aveia!$E23:$Z23,MIN(AW$6-$E$3,22))),0))-IF($G$2,0,IF((AW$6-$G$3)&lt;1,0,IFERROR(LOOKUP(2,1/(Aveia!$E23:INDEX(Aveia!$E23:$Z23,MIN(AW$6-$G$3,22))&lt;&gt;""),Aveia!$E23:INDEX(Aveia!$E23:$Z23,MIN(AW$6-$G$3,22))),0)))))</f>
        <v>0</v>
      </c>
      <c r="AX25" s="27" t="n">
        <f aca="false">IF(COUNT(Aveia!$E23:$Z23)=0,0,MAX(0,IF((AX$6-$E$3)&lt;1,0,IFERROR(LOOKUP(2,1/(Aveia!$E23:INDEX(Aveia!$E23:$Z23,MIN(AX$6-$E$3,22))&lt;&gt;""),Aveia!$E23:INDEX(Aveia!$E23:$Z23,MIN(AX$6-$E$3,22))),0))-IF($G$2,0,IF((AX$6-$G$3)&lt;1,0,IFERROR(LOOKUP(2,1/(Aveia!$E23:INDEX(Aveia!$E23:$Z23,MIN(AX$6-$G$3,22))&lt;&gt;""),Aveia!$E23:INDEX(Aveia!$E23:$Z23,MIN(AX$6-$G$3,22))),0)))))</f>
        <v>0</v>
      </c>
      <c r="AY25" s="27" t="n">
        <f aca="false">IF(COUNT(Aveia!$E23:$Z23)=0,0,MAX(0,IF((AY$6-$E$3)&lt;1,0,IFERROR(LOOKUP(2,1/(Aveia!$E23:INDEX(Aveia!$E23:$Z23,MIN(AY$6-$E$3,22))&lt;&gt;""),Aveia!$E23:INDEX(Aveia!$E23:$Z23,MIN(AY$6-$E$3,22))),0))-IF($G$2,0,IF((AY$6-$G$3)&lt;1,0,IFERROR(LOOKUP(2,1/(Aveia!$E23:INDEX(Aveia!$E23:$Z23,MIN(AY$6-$G$3,22))&lt;&gt;""),Aveia!$E23:INDEX(Aveia!$E23:$Z23,MIN(AY$6-$G$3,22))),0)))))</f>
        <v>0</v>
      </c>
      <c r="AZ25" s="27" t="n">
        <f aca="false">IF(COUNT(Aveia!$E23:$Z23)=0,0,MAX(0,IF((AZ$6-$E$3)&lt;1,0,IFERROR(LOOKUP(2,1/(Aveia!$E23:INDEX(Aveia!$E23:$Z23,MIN(AZ$6-$E$3,22))&lt;&gt;""),Aveia!$E23:INDEX(Aveia!$E23:$Z23,MIN(AZ$6-$E$3,22))),0))-IF($G$2,0,IF((AZ$6-$G$3)&lt;1,0,IFERROR(LOOKUP(2,1/(Aveia!$E23:INDEX(Aveia!$E23:$Z23,MIN(AZ$6-$G$3,22))&lt;&gt;""),Aveia!$E23:INDEX(Aveia!$E23:$Z23,MIN(AZ$6-$G$3,22))),0)))))</f>
        <v>0</v>
      </c>
    </row>
    <row r="26" customFormat="false" ht="15" hidden="false" customHeight="false" outlineLevel="0" collapsed="false">
      <c r="A26" s="3" t="s">
        <v>175</v>
      </c>
      <c r="B26" s="3" t="s">
        <v>155</v>
      </c>
      <c r="C26" s="10" t="s">
        <v>155</v>
      </c>
      <c r="D26" s="26" t="n">
        <f aca="false">IF(COUNT(Aveia!$E24:$Z24)&gt;0,N(Aveia!$D24),0)</f>
        <v>0</v>
      </c>
      <c r="E26" s="27" t="n">
        <f aca="false">IF(COUNT(Aveia!$E24:$Z24)=0,0,MAX(0,IF((E$6-$E$3)&lt;1,0,IFERROR(LOOKUP(2,1/(Aveia!$E24:INDEX(Aveia!$E24:$Z24,MIN(E$6-$E$3,22))&lt;&gt;""),Aveia!$E24:INDEX(Aveia!$E24:$Z24,MIN(E$6-$E$3,22))),0))-IF($G$2,0,IF((E$6-$G$3)&lt;1,0,IFERROR(LOOKUP(2,1/(Aveia!$E24:INDEX(Aveia!$E24:$Z24,MIN(E$6-$G$3,22))&lt;&gt;""),Aveia!$E24:INDEX(Aveia!$E24:$Z24,MIN(E$6-$G$3,22))),0)))))</f>
        <v>0</v>
      </c>
      <c r="F26" s="27" t="n">
        <f aca="false">IF(COUNT(Aveia!$E24:$Z24)=0,0,MAX(0,IF((F$6-$E$3)&lt;1,0,IFERROR(LOOKUP(2,1/(Aveia!$E24:INDEX(Aveia!$E24:$Z24,MIN(F$6-$E$3,22))&lt;&gt;""),Aveia!$E24:INDEX(Aveia!$E24:$Z24,MIN(F$6-$E$3,22))),0))-IF($G$2,0,IF((F$6-$G$3)&lt;1,0,IFERROR(LOOKUP(2,1/(Aveia!$E24:INDEX(Aveia!$E24:$Z24,MIN(F$6-$G$3,22))&lt;&gt;""),Aveia!$E24:INDEX(Aveia!$E24:$Z24,MIN(F$6-$G$3,22))),0)))))</f>
        <v>0</v>
      </c>
      <c r="G26" s="27" t="n">
        <f aca="false">IF(COUNT(Aveia!$E24:$Z24)=0,0,MAX(0,IF((G$6-$E$3)&lt;1,0,IFERROR(LOOKUP(2,1/(Aveia!$E24:INDEX(Aveia!$E24:$Z24,MIN(G$6-$E$3,22))&lt;&gt;""),Aveia!$E24:INDEX(Aveia!$E24:$Z24,MIN(G$6-$E$3,22))),0))-IF($G$2,0,IF((G$6-$G$3)&lt;1,0,IFERROR(LOOKUP(2,1/(Aveia!$E24:INDEX(Aveia!$E24:$Z24,MIN(G$6-$G$3,22))&lt;&gt;""),Aveia!$E24:INDEX(Aveia!$E24:$Z24,MIN(G$6-$G$3,22))),0)))))</f>
        <v>0</v>
      </c>
      <c r="H26" s="27" t="n">
        <f aca="false">IF(COUNT(Aveia!$E24:$Z24)=0,0,MAX(0,IF((H$6-$E$3)&lt;1,0,IFERROR(LOOKUP(2,1/(Aveia!$E24:INDEX(Aveia!$E24:$Z24,MIN(H$6-$E$3,22))&lt;&gt;""),Aveia!$E24:INDEX(Aveia!$E24:$Z24,MIN(H$6-$E$3,22))),0))-IF($G$2,0,IF((H$6-$G$3)&lt;1,0,IFERROR(LOOKUP(2,1/(Aveia!$E24:INDEX(Aveia!$E24:$Z24,MIN(H$6-$G$3,22))&lt;&gt;""),Aveia!$E24:INDEX(Aveia!$E24:$Z24,MIN(H$6-$G$3,22))),0)))))</f>
        <v>0</v>
      </c>
      <c r="I26" s="27" t="n">
        <f aca="false">IF(COUNT(Aveia!$E24:$Z24)=0,0,MAX(0,IF((I$6-$E$3)&lt;1,0,IFERROR(LOOKUP(2,1/(Aveia!$E24:INDEX(Aveia!$E24:$Z24,MIN(I$6-$E$3,22))&lt;&gt;""),Aveia!$E24:INDEX(Aveia!$E24:$Z24,MIN(I$6-$E$3,22))),0))-IF($G$2,0,IF((I$6-$G$3)&lt;1,0,IFERROR(LOOKUP(2,1/(Aveia!$E24:INDEX(Aveia!$E24:$Z24,MIN(I$6-$G$3,22))&lt;&gt;""),Aveia!$E24:INDEX(Aveia!$E24:$Z24,MIN(I$6-$G$3,22))),0)))))</f>
        <v>0</v>
      </c>
      <c r="J26" s="27" t="n">
        <f aca="false">IF(COUNT(Aveia!$E24:$Z24)=0,0,MAX(0,IF((J$6-$E$3)&lt;1,0,IFERROR(LOOKUP(2,1/(Aveia!$E24:INDEX(Aveia!$E24:$Z24,MIN(J$6-$E$3,22))&lt;&gt;""),Aveia!$E24:INDEX(Aveia!$E24:$Z24,MIN(J$6-$E$3,22))),0))-IF($G$2,0,IF((J$6-$G$3)&lt;1,0,IFERROR(LOOKUP(2,1/(Aveia!$E24:INDEX(Aveia!$E24:$Z24,MIN(J$6-$G$3,22))&lt;&gt;""),Aveia!$E24:INDEX(Aveia!$E24:$Z24,MIN(J$6-$G$3,22))),0)))))</f>
        <v>0</v>
      </c>
      <c r="K26" s="27" t="n">
        <f aca="false">IF(COUNT(Aveia!$E24:$Z24)=0,0,MAX(0,IF((K$6-$E$3)&lt;1,0,IFERROR(LOOKUP(2,1/(Aveia!$E24:INDEX(Aveia!$E24:$Z24,MIN(K$6-$E$3,22))&lt;&gt;""),Aveia!$E24:INDEX(Aveia!$E24:$Z24,MIN(K$6-$E$3,22))),0))-IF($G$2,0,IF((K$6-$G$3)&lt;1,0,IFERROR(LOOKUP(2,1/(Aveia!$E24:INDEX(Aveia!$E24:$Z24,MIN(K$6-$G$3,22))&lt;&gt;""),Aveia!$E24:INDEX(Aveia!$E24:$Z24,MIN(K$6-$G$3,22))),0)))))</f>
        <v>0</v>
      </c>
      <c r="L26" s="27" t="n">
        <f aca="false">IF(COUNT(Aveia!$E24:$Z24)=0,0,MAX(0,IF((L$6-$E$3)&lt;1,0,IFERROR(LOOKUP(2,1/(Aveia!$E24:INDEX(Aveia!$E24:$Z24,MIN(L$6-$E$3,22))&lt;&gt;""),Aveia!$E24:INDEX(Aveia!$E24:$Z24,MIN(L$6-$E$3,22))),0))-IF($G$2,0,IF((L$6-$G$3)&lt;1,0,IFERROR(LOOKUP(2,1/(Aveia!$E24:INDEX(Aveia!$E24:$Z24,MIN(L$6-$G$3,22))&lt;&gt;""),Aveia!$E24:INDEX(Aveia!$E24:$Z24,MIN(L$6-$G$3,22))),0)))))</f>
        <v>0</v>
      </c>
      <c r="M26" s="27" t="n">
        <f aca="false">IF(COUNT(Aveia!$E24:$Z24)=0,0,MAX(0,IF((M$6-$E$3)&lt;1,0,IFERROR(LOOKUP(2,1/(Aveia!$E24:INDEX(Aveia!$E24:$Z24,MIN(M$6-$E$3,22))&lt;&gt;""),Aveia!$E24:INDEX(Aveia!$E24:$Z24,MIN(M$6-$E$3,22))),0))-IF($G$2,0,IF((M$6-$G$3)&lt;1,0,IFERROR(LOOKUP(2,1/(Aveia!$E24:INDEX(Aveia!$E24:$Z24,MIN(M$6-$G$3,22))&lt;&gt;""),Aveia!$E24:INDEX(Aveia!$E24:$Z24,MIN(M$6-$G$3,22))),0)))))</f>
        <v>0</v>
      </c>
      <c r="N26" s="27" t="n">
        <f aca="false">IF(COUNT(Aveia!$E24:$Z24)=0,0,MAX(0,IF((N$6-$E$3)&lt;1,0,IFERROR(LOOKUP(2,1/(Aveia!$E24:INDEX(Aveia!$E24:$Z24,MIN(N$6-$E$3,22))&lt;&gt;""),Aveia!$E24:INDEX(Aveia!$E24:$Z24,MIN(N$6-$E$3,22))),0))-IF($G$2,0,IF((N$6-$G$3)&lt;1,0,IFERROR(LOOKUP(2,1/(Aveia!$E24:INDEX(Aveia!$E24:$Z24,MIN(N$6-$G$3,22))&lt;&gt;""),Aveia!$E24:INDEX(Aveia!$E24:$Z24,MIN(N$6-$G$3,22))),0)))))</f>
        <v>0</v>
      </c>
      <c r="O26" s="27" t="n">
        <f aca="false">IF(COUNT(Aveia!$E24:$Z24)=0,0,MAX(0,IF((O$6-$E$3)&lt;1,0,IFERROR(LOOKUP(2,1/(Aveia!$E24:INDEX(Aveia!$E24:$Z24,MIN(O$6-$E$3,22))&lt;&gt;""),Aveia!$E24:INDEX(Aveia!$E24:$Z24,MIN(O$6-$E$3,22))),0))-IF($G$2,0,IF((O$6-$G$3)&lt;1,0,IFERROR(LOOKUP(2,1/(Aveia!$E24:INDEX(Aveia!$E24:$Z24,MIN(O$6-$G$3,22))&lt;&gt;""),Aveia!$E24:INDEX(Aveia!$E24:$Z24,MIN(O$6-$G$3,22))),0)))))</f>
        <v>0</v>
      </c>
      <c r="P26" s="27" t="n">
        <f aca="false">IF(COUNT(Aveia!$E24:$Z24)=0,0,MAX(0,IF((P$6-$E$3)&lt;1,0,IFERROR(LOOKUP(2,1/(Aveia!$E24:INDEX(Aveia!$E24:$Z24,MIN(P$6-$E$3,22))&lt;&gt;""),Aveia!$E24:INDEX(Aveia!$E24:$Z24,MIN(P$6-$E$3,22))),0))-IF($G$2,0,IF((P$6-$G$3)&lt;1,0,IFERROR(LOOKUP(2,1/(Aveia!$E24:INDEX(Aveia!$E24:$Z24,MIN(P$6-$G$3,22))&lt;&gt;""),Aveia!$E24:INDEX(Aveia!$E24:$Z24,MIN(P$6-$G$3,22))),0)))))</f>
        <v>0</v>
      </c>
      <c r="Q26" s="27" t="n">
        <f aca="false">IF(COUNT(Aveia!$E24:$Z24)=0,0,MAX(0,IF((Q$6-$E$3)&lt;1,0,IFERROR(LOOKUP(2,1/(Aveia!$E24:INDEX(Aveia!$E24:$Z24,MIN(Q$6-$E$3,22))&lt;&gt;""),Aveia!$E24:INDEX(Aveia!$E24:$Z24,MIN(Q$6-$E$3,22))),0))-IF($G$2,0,IF((Q$6-$G$3)&lt;1,0,IFERROR(LOOKUP(2,1/(Aveia!$E24:INDEX(Aveia!$E24:$Z24,MIN(Q$6-$G$3,22))&lt;&gt;""),Aveia!$E24:INDEX(Aveia!$E24:$Z24,MIN(Q$6-$G$3,22))),0)))))</f>
        <v>0</v>
      </c>
      <c r="R26" s="27" t="n">
        <f aca="false">IF(COUNT(Aveia!$E24:$Z24)=0,0,MAX(0,IF((R$6-$E$3)&lt;1,0,IFERROR(LOOKUP(2,1/(Aveia!$E24:INDEX(Aveia!$E24:$Z24,MIN(R$6-$E$3,22))&lt;&gt;""),Aveia!$E24:INDEX(Aveia!$E24:$Z24,MIN(R$6-$E$3,22))),0))-IF($G$2,0,IF((R$6-$G$3)&lt;1,0,IFERROR(LOOKUP(2,1/(Aveia!$E24:INDEX(Aveia!$E24:$Z24,MIN(R$6-$G$3,22))&lt;&gt;""),Aveia!$E24:INDEX(Aveia!$E24:$Z24,MIN(R$6-$G$3,22))),0)))))</f>
        <v>0</v>
      </c>
      <c r="S26" s="27" t="n">
        <f aca="false">IF(COUNT(Aveia!$E24:$Z24)=0,0,MAX(0,IF((S$6-$E$3)&lt;1,0,IFERROR(LOOKUP(2,1/(Aveia!$E24:INDEX(Aveia!$E24:$Z24,MIN(S$6-$E$3,22))&lt;&gt;""),Aveia!$E24:INDEX(Aveia!$E24:$Z24,MIN(S$6-$E$3,22))),0))-IF($G$2,0,IF((S$6-$G$3)&lt;1,0,IFERROR(LOOKUP(2,1/(Aveia!$E24:INDEX(Aveia!$E24:$Z24,MIN(S$6-$G$3,22))&lt;&gt;""),Aveia!$E24:INDEX(Aveia!$E24:$Z24,MIN(S$6-$G$3,22))),0)))))</f>
        <v>0</v>
      </c>
      <c r="T26" s="27" t="n">
        <f aca="false">IF(COUNT(Aveia!$E24:$Z24)=0,0,MAX(0,IF((T$6-$E$3)&lt;1,0,IFERROR(LOOKUP(2,1/(Aveia!$E24:INDEX(Aveia!$E24:$Z24,MIN(T$6-$E$3,22))&lt;&gt;""),Aveia!$E24:INDEX(Aveia!$E24:$Z24,MIN(T$6-$E$3,22))),0))-IF($G$2,0,IF((T$6-$G$3)&lt;1,0,IFERROR(LOOKUP(2,1/(Aveia!$E24:INDEX(Aveia!$E24:$Z24,MIN(T$6-$G$3,22))&lt;&gt;""),Aveia!$E24:INDEX(Aveia!$E24:$Z24,MIN(T$6-$G$3,22))),0)))))</f>
        <v>0</v>
      </c>
      <c r="U26" s="27" t="n">
        <f aca="false">IF(COUNT(Aveia!$E24:$Z24)=0,0,MAX(0,IF((U$6-$E$3)&lt;1,0,IFERROR(LOOKUP(2,1/(Aveia!$E24:INDEX(Aveia!$E24:$Z24,MIN(U$6-$E$3,22))&lt;&gt;""),Aveia!$E24:INDEX(Aveia!$E24:$Z24,MIN(U$6-$E$3,22))),0))-IF($G$2,0,IF((U$6-$G$3)&lt;1,0,IFERROR(LOOKUP(2,1/(Aveia!$E24:INDEX(Aveia!$E24:$Z24,MIN(U$6-$G$3,22))&lt;&gt;""),Aveia!$E24:INDEX(Aveia!$E24:$Z24,MIN(U$6-$G$3,22))),0)))))</f>
        <v>0</v>
      </c>
      <c r="V26" s="27" t="n">
        <f aca="false">IF(COUNT(Aveia!$E24:$Z24)=0,0,MAX(0,IF((V$6-$E$3)&lt;1,0,IFERROR(LOOKUP(2,1/(Aveia!$E24:INDEX(Aveia!$E24:$Z24,MIN(V$6-$E$3,22))&lt;&gt;""),Aveia!$E24:INDEX(Aveia!$E24:$Z24,MIN(V$6-$E$3,22))),0))-IF($G$2,0,IF((V$6-$G$3)&lt;1,0,IFERROR(LOOKUP(2,1/(Aveia!$E24:INDEX(Aveia!$E24:$Z24,MIN(V$6-$G$3,22))&lt;&gt;""),Aveia!$E24:INDEX(Aveia!$E24:$Z24,MIN(V$6-$G$3,22))),0)))))</f>
        <v>0</v>
      </c>
      <c r="W26" s="27" t="n">
        <f aca="false">IF(COUNT(Aveia!$E24:$Z24)=0,0,MAX(0,IF((W$6-$E$3)&lt;1,0,IFERROR(LOOKUP(2,1/(Aveia!$E24:INDEX(Aveia!$E24:$Z24,MIN(W$6-$E$3,22))&lt;&gt;""),Aveia!$E24:INDEX(Aveia!$E24:$Z24,MIN(W$6-$E$3,22))),0))-IF($G$2,0,IF((W$6-$G$3)&lt;1,0,IFERROR(LOOKUP(2,1/(Aveia!$E24:INDEX(Aveia!$E24:$Z24,MIN(W$6-$G$3,22))&lt;&gt;""),Aveia!$E24:INDEX(Aveia!$E24:$Z24,MIN(W$6-$G$3,22))),0)))))</f>
        <v>0</v>
      </c>
      <c r="X26" s="27" t="n">
        <f aca="false">IF(COUNT(Aveia!$E24:$Z24)=0,0,MAX(0,IF((X$6-$E$3)&lt;1,0,IFERROR(LOOKUP(2,1/(Aveia!$E24:INDEX(Aveia!$E24:$Z24,MIN(X$6-$E$3,22))&lt;&gt;""),Aveia!$E24:INDEX(Aveia!$E24:$Z24,MIN(X$6-$E$3,22))),0))-IF($G$2,0,IF((X$6-$G$3)&lt;1,0,IFERROR(LOOKUP(2,1/(Aveia!$E24:INDEX(Aveia!$E24:$Z24,MIN(X$6-$G$3,22))&lt;&gt;""),Aveia!$E24:INDEX(Aveia!$E24:$Z24,MIN(X$6-$G$3,22))),0)))))</f>
        <v>0</v>
      </c>
      <c r="Y26" s="27" t="n">
        <f aca="false">IF(COUNT(Aveia!$E24:$Z24)=0,0,MAX(0,IF((Y$6-$E$3)&lt;1,0,IFERROR(LOOKUP(2,1/(Aveia!$E24:INDEX(Aveia!$E24:$Z24,MIN(Y$6-$E$3,22))&lt;&gt;""),Aveia!$E24:INDEX(Aveia!$E24:$Z24,MIN(Y$6-$E$3,22))),0))-IF($G$2,0,IF((Y$6-$G$3)&lt;1,0,IFERROR(LOOKUP(2,1/(Aveia!$E24:INDEX(Aveia!$E24:$Z24,MIN(Y$6-$G$3,22))&lt;&gt;""),Aveia!$E24:INDEX(Aveia!$E24:$Z24,MIN(Y$6-$G$3,22))),0)))))</f>
        <v>0</v>
      </c>
      <c r="Z26" s="27" t="n">
        <f aca="false">IF(COUNT(Aveia!$E24:$Z24)=0,0,MAX(0,IF((Z$6-$E$3)&lt;1,0,IFERROR(LOOKUP(2,1/(Aveia!$E24:INDEX(Aveia!$E24:$Z24,MIN(Z$6-$E$3,22))&lt;&gt;""),Aveia!$E24:INDEX(Aveia!$E24:$Z24,MIN(Z$6-$E$3,22))),0))-IF($G$2,0,IF((Z$6-$G$3)&lt;1,0,IFERROR(LOOKUP(2,1/(Aveia!$E24:INDEX(Aveia!$E24:$Z24,MIN(Z$6-$G$3,22))&lt;&gt;""),Aveia!$E24:INDEX(Aveia!$E24:$Z24,MIN(Z$6-$G$3,22))),0)))))</f>
        <v>0</v>
      </c>
      <c r="AA26" s="27" t="n">
        <f aca="false">IF(COUNT(Aveia!$E24:$Z24)=0,0,MAX(0,IF((AA$6-$E$3)&lt;1,0,IFERROR(LOOKUP(2,1/(Aveia!$E24:INDEX(Aveia!$E24:$Z24,MIN(AA$6-$E$3,22))&lt;&gt;""),Aveia!$E24:INDEX(Aveia!$E24:$Z24,MIN(AA$6-$E$3,22))),0))-IF($G$2,0,IF((AA$6-$G$3)&lt;1,0,IFERROR(LOOKUP(2,1/(Aveia!$E24:INDEX(Aveia!$E24:$Z24,MIN(AA$6-$G$3,22))&lt;&gt;""),Aveia!$E24:INDEX(Aveia!$E24:$Z24,MIN(AA$6-$G$3,22))),0)))))</f>
        <v>0</v>
      </c>
      <c r="AB26" s="27" t="n">
        <f aca="false">IF(COUNT(Aveia!$E24:$Z24)=0,0,MAX(0,IF((AB$6-$E$3)&lt;1,0,IFERROR(LOOKUP(2,1/(Aveia!$E24:INDEX(Aveia!$E24:$Z24,MIN(AB$6-$E$3,22))&lt;&gt;""),Aveia!$E24:INDEX(Aveia!$E24:$Z24,MIN(AB$6-$E$3,22))),0))-IF($G$2,0,IF((AB$6-$G$3)&lt;1,0,IFERROR(LOOKUP(2,1/(Aveia!$E24:INDEX(Aveia!$E24:$Z24,MIN(AB$6-$G$3,22))&lt;&gt;""),Aveia!$E24:INDEX(Aveia!$E24:$Z24,MIN(AB$6-$G$3,22))),0)))))</f>
        <v>0</v>
      </c>
      <c r="AC26" s="27" t="n">
        <f aca="false">IF(COUNT(Aveia!$E24:$Z24)=0,0,MAX(0,IF((AC$6-$E$3)&lt;1,0,IFERROR(LOOKUP(2,1/(Aveia!$E24:INDEX(Aveia!$E24:$Z24,MIN(AC$6-$E$3,22))&lt;&gt;""),Aveia!$E24:INDEX(Aveia!$E24:$Z24,MIN(AC$6-$E$3,22))),0))-IF($G$2,0,IF((AC$6-$G$3)&lt;1,0,IFERROR(LOOKUP(2,1/(Aveia!$E24:INDEX(Aveia!$E24:$Z24,MIN(AC$6-$G$3,22))&lt;&gt;""),Aveia!$E24:INDEX(Aveia!$E24:$Z24,MIN(AC$6-$G$3,22))),0)))))</f>
        <v>0</v>
      </c>
      <c r="AD26" s="27" t="n">
        <f aca="false">IF(COUNT(Aveia!$E24:$Z24)=0,0,MAX(0,IF((AD$6-$E$3)&lt;1,0,IFERROR(LOOKUP(2,1/(Aveia!$E24:INDEX(Aveia!$E24:$Z24,MIN(AD$6-$E$3,22))&lt;&gt;""),Aveia!$E24:INDEX(Aveia!$E24:$Z24,MIN(AD$6-$E$3,22))),0))-IF($G$2,0,IF((AD$6-$G$3)&lt;1,0,IFERROR(LOOKUP(2,1/(Aveia!$E24:INDEX(Aveia!$E24:$Z24,MIN(AD$6-$G$3,22))&lt;&gt;""),Aveia!$E24:INDEX(Aveia!$E24:$Z24,MIN(AD$6-$G$3,22))),0)))))</f>
        <v>0</v>
      </c>
      <c r="AE26" s="27" t="n">
        <f aca="false">IF(COUNT(Aveia!$E24:$Z24)=0,0,MAX(0,IF((AE$6-$E$3)&lt;1,0,IFERROR(LOOKUP(2,1/(Aveia!$E24:INDEX(Aveia!$E24:$Z24,MIN(AE$6-$E$3,22))&lt;&gt;""),Aveia!$E24:INDEX(Aveia!$E24:$Z24,MIN(AE$6-$E$3,22))),0))-IF($G$2,0,IF((AE$6-$G$3)&lt;1,0,IFERROR(LOOKUP(2,1/(Aveia!$E24:INDEX(Aveia!$E24:$Z24,MIN(AE$6-$G$3,22))&lt;&gt;""),Aveia!$E24:INDEX(Aveia!$E24:$Z24,MIN(AE$6-$G$3,22))),0)))))</f>
        <v>0</v>
      </c>
      <c r="AF26" s="27" t="n">
        <f aca="false">IF(COUNT(Aveia!$E24:$Z24)=0,0,MAX(0,IF((AF$6-$E$3)&lt;1,0,IFERROR(LOOKUP(2,1/(Aveia!$E24:INDEX(Aveia!$E24:$Z24,MIN(AF$6-$E$3,22))&lt;&gt;""),Aveia!$E24:INDEX(Aveia!$E24:$Z24,MIN(AF$6-$E$3,22))),0))-IF($G$2,0,IF((AF$6-$G$3)&lt;1,0,IFERROR(LOOKUP(2,1/(Aveia!$E24:INDEX(Aveia!$E24:$Z24,MIN(AF$6-$G$3,22))&lt;&gt;""),Aveia!$E24:INDEX(Aveia!$E24:$Z24,MIN(AF$6-$G$3,22))),0)))))</f>
        <v>0</v>
      </c>
      <c r="AG26" s="27" t="n">
        <f aca="false">IF(COUNT(Aveia!$E24:$Z24)=0,0,MAX(0,IF((AG$6-$E$3)&lt;1,0,IFERROR(LOOKUP(2,1/(Aveia!$E24:INDEX(Aveia!$E24:$Z24,MIN(AG$6-$E$3,22))&lt;&gt;""),Aveia!$E24:INDEX(Aveia!$E24:$Z24,MIN(AG$6-$E$3,22))),0))-IF($G$2,0,IF((AG$6-$G$3)&lt;1,0,IFERROR(LOOKUP(2,1/(Aveia!$E24:INDEX(Aveia!$E24:$Z24,MIN(AG$6-$G$3,22))&lt;&gt;""),Aveia!$E24:INDEX(Aveia!$E24:$Z24,MIN(AG$6-$G$3,22))),0)))))</f>
        <v>0</v>
      </c>
      <c r="AH26" s="27" t="n">
        <f aca="false">IF(COUNT(Aveia!$E24:$Z24)=0,0,MAX(0,IF((AH$6-$E$3)&lt;1,0,IFERROR(LOOKUP(2,1/(Aveia!$E24:INDEX(Aveia!$E24:$Z24,MIN(AH$6-$E$3,22))&lt;&gt;""),Aveia!$E24:INDEX(Aveia!$E24:$Z24,MIN(AH$6-$E$3,22))),0))-IF($G$2,0,IF((AH$6-$G$3)&lt;1,0,IFERROR(LOOKUP(2,1/(Aveia!$E24:INDEX(Aveia!$E24:$Z24,MIN(AH$6-$G$3,22))&lt;&gt;""),Aveia!$E24:INDEX(Aveia!$E24:$Z24,MIN(AH$6-$G$3,22))),0)))))</f>
        <v>0</v>
      </c>
      <c r="AI26" s="27" t="n">
        <f aca="false">IF(COUNT(Aveia!$E24:$Z24)=0,0,MAX(0,IF((AI$6-$E$3)&lt;1,0,IFERROR(LOOKUP(2,1/(Aveia!$E24:INDEX(Aveia!$E24:$Z24,MIN(AI$6-$E$3,22))&lt;&gt;""),Aveia!$E24:INDEX(Aveia!$E24:$Z24,MIN(AI$6-$E$3,22))),0))-IF($G$2,0,IF((AI$6-$G$3)&lt;1,0,IFERROR(LOOKUP(2,1/(Aveia!$E24:INDEX(Aveia!$E24:$Z24,MIN(AI$6-$G$3,22))&lt;&gt;""),Aveia!$E24:INDEX(Aveia!$E24:$Z24,MIN(AI$6-$G$3,22))),0)))))</f>
        <v>0</v>
      </c>
      <c r="AJ26" s="27" t="n">
        <f aca="false">IF(COUNT(Aveia!$E24:$Z24)=0,0,MAX(0,IF((AJ$6-$E$3)&lt;1,0,IFERROR(LOOKUP(2,1/(Aveia!$E24:INDEX(Aveia!$E24:$Z24,MIN(AJ$6-$E$3,22))&lt;&gt;""),Aveia!$E24:INDEX(Aveia!$E24:$Z24,MIN(AJ$6-$E$3,22))),0))-IF($G$2,0,IF((AJ$6-$G$3)&lt;1,0,IFERROR(LOOKUP(2,1/(Aveia!$E24:INDEX(Aveia!$E24:$Z24,MIN(AJ$6-$G$3,22))&lt;&gt;""),Aveia!$E24:INDEX(Aveia!$E24:$Z24,MIN(AJ$6-$G$3,22))),0)))))</f>
        <v>0</v>
      </c>
      <c r="AK26" s="27" t="n">
        <f aca="false">IF(COUNT(Aveia!$E24:$Z24)=0,0,MAX(0,IF((AK$6-$E$3)&lt;1,0,IFERROR(LOOKUP(2,1/(Aveia!$E24:INDEX(Aveia!$E24:$Z24,MIN(AK$6-$E$3,22))&lt;&gt;""),Aveia!$E24:INDEX(Aveia!$E24:$Z24,MIN(AK$6-$E$3,22))),0))-IF($G$2,0,IF((AK$6-$G$3)&lt;1,0,IFERROR(LOOKUP(2,1/(Aveia!$E24:INDEX(Aveia!$E24:$Z24,MIN(AK$6-$G$3,22))&lt;&gt;""),Aveia!$E24:INDEX(Aveia!$E24:$Z24,MIN(AK$6-$G$3,22))),0)))))</f>
        <v>0</v>
      </c>
      <c r="AL26" s="27" t="n">
        <f aca="false">IF(COUNT(Aveia!$E24:$Z24)=0,0,MAX(0,IF((AL$6-$E$3)&lt;1,0,IFERROR(LOOKUP(2,1/(Aveia!$E24:INDEX(Aveia!$E24:$Z24,MIN(AL$6-$E$3,22))&lt;&gt;""),Aveia!$E24:INDEX(Aveia!$E24:$Z24,MIN(AL$6-$E$3,22))),0))-IF($G$2,0,IF((AL$6-$G$3)&lt;1,0,IFERROR(LOOKUP(2,1/(Aveia!$E24:INDEX(Aveia!$E24:$Z24,MIN(AL$6-$G$3,22))&lt;&gt;""),Aveia!$E24:INDEX(Aveia!$E24:$Z24,MIN(AL$6-$G$3,22))),0)))))</f>
        <v>0</v>
      </c>
      <c r="AM26" s="27" t="n">
        <f aca="false">IF(COUNT(Aveia!$E24:$Z24)=0,0,MAX(0,IF((AM$6-$E$3)&lt;1,0,IFERROR(LOOKUP(2,1/(Aveia!$E24:INDEX(Aveia!$E24:$Z24,MIN(AM$6-$E$3,22))&lt;&gt;""),Aveia!$E24:INDEX(Aveia!$E24:$Z24,MIN(AM$6-$E$3,22))),0))-IF($G$2,0,IF((AM$6-$G$3)&lt;1,0,IFERROR(LOOKUP(2,1/(Aveia!$E24:INDEX(Aveia!$E24:$Z24,MIN(AM$6-$G$3,22))&lt;&gt;""),Aveia!$E24:INDEX(Aveia!$E24:$Z24,MIN(AM$6-$G$3,22))),0)))))</f>
        <v>0</v>
      </c>
      <c r="AN26" s="27" t="n">
        <f aca="false">IF(COUNT(Aveia!$E24:$Z24)=0,0,MAX(0,IF((AN$6-$E$3)&lt;1,0,IFERROR(LOOKUP(2,1/(Aveia!$E24:INDEX(Aveia!$E24:$Z24,MIN(AN$6-$E$3,22))&lt;&gt;""),Aveia!$E24:INDEX(Aveia!$E24:$Z24,MIN(AN$6-$E$3,22))),0))-IF($G$2,0,IF((AN$6-$G$3)&lt;1,0,IFERROR(LOOKUP(2,1/(Aveia!$E24:INDEX(Aveia!$E24:$Z24,MIN(AN$6-$G$3,22))&lt;&gt;""),Aveia!$E24:INDEX(Aveia!$E24:$Z24,MIN(AN$6-$G$3,22))),0)))))</f>
        <v>0</v>
      </c>
      <c r="AO26" s="27" t="n">
        <f aca="false">IF(COUNT(Aveia!$E24:$Z24)=0,0,MAX(0,IF((AO$6-$E$3)&lt;1,0,IFERROR(LOOKUP(2,1/(Aveia!$E24:INDEX(Aveia!$E24:$Z24,MIN(AO$6-$E$3,22))&lt;&gt;""),Aveia!$E24:INDEX(Aveia!$E24:$Z24,MIN(AO$6-$E$3,22))),0))-IF($G$2,0,IF((AO$6-$G$3)&lt;1,0,IFERROR(LOOKUP(2,1/(Aveia!$E24:INDEX(Aveia!$E24:$Z24,MIN(AO$6-$G$3,22))&lt;&gt;""),Aveia!$E24:INDEX(Aveia!$E24:$Z24,MIN(AO$6-$G$3,22))),0)))))</f>
        <v>0</v>
      </c>
      <c r="AP26" s="27" t="n">
        <f aca="false">IF(COUNT(Aveia!$E24:$Z24)=0,0,MAX(0,IF((AP$6-$E$3)&lt;1,0,IFERROR(LOOKUP(2,1/(Aveia!$E24:INDEX(Aveia!$E24:$Z24,MIN(AP$6-$E$3,22))&lt;&gt;""),Aveia!$E24:INDEX(Aveia!$E24:$Z24,MIN(AP$6-$E$3,22))),0))-IF($G$2,0,IF((AP$6-$G$3)&lt;1,0,IFERROR(LOOKUP(2,1/(Aveia!$E24:INDEX(Aveia!$E24:$Z24,MIN(AP$6-$G$3,22))&lt;&gt;""),Aveia!$E24:INDEX(Aveia!$E24:$Z24,MIN(AP$6-$G$3,22))),0)))))</f>
        <v>0</v>
      </c>
      <c r="AQ26" s="27" t="n">
        <f aca="false">IF(COUNT(Aveia!$E24:$Z24)=0,0,MAX(0,IF((AQ$6-$E$3)&lt;1,0,IFERROR(LOOKUP(2,1/(Aveia!$E24:INDEX(Aveia!$E24:$Z24,MIN(AQ$6-$E$3,22))&lt;&gt;""),Aveia!$E24:INDEX(Aveia!$E24:$Z24,MIN(AQ$6-$E$3,22))),0))-IF($G$2,0,IF((AQ$6-$G$3)&lt;1,0,IFERROR(LOOKUP(2,1/(Aveia!$E24:INDEX(Aveia!$E24:$Z24,MIN(AQ$6-$G$3,22))&lt;&gt;""),Aveia!$E24:INDEX(Aveia!$E24:$Z24,MIN(AQ$6-$G$3,22))),0)))))</f>
        <v>0</v>
      </c>
      <c r="AR26" s="27" t="n">
        <f aca="false">IF(COUNT(Aveia!$E24:$Z24)=0,0,MAX(0,IF((AR$6-$E$3)&lt;1,0,IFERROR(LOOKUP(2,1/(Aveia!$E24:INDEX(Aveia!$E24:$Z24,MIN(AR$6-$E$3,22))&lt;&gt;""),Aveia!$E24:INDEX(Aveia!$E24:$Z24,MIN(AR$6-$E$3,22))),0))-IF($G$2,0,IF((AR$6-$G$3)&lt;1,0,IFERROR(LOOKUP(2,1/(Aveia!$E24:INDEX(Aveia!$E24:$Z24,MIN(AR$6-$G$3,22))&lt;&gt;""),Aveia!$E24:INDEX(Aveia!$E24:$Z24,MIN(AR$6-$G$3,22))),0)))))</f>
        <v>0</v>
      </c>
      <c r="AS26" s="27" t="n">
        <f aca="false">IF(COUNT(Aveia!$E24:$Z24)=0,0,MAX(0,IF((AS$6-$E$3)&lt;1,0,IFERROR(LOOKUP(2,1/(Aveia!$E24:INDEX(Aveia!$E24:$Z24,MIN(AS$6-$E$3,22))&lt;&gt;""),Aveia!$E24:INDEX(Aveia!$E24:$Z24,MIN(AS$6-$E$3,22))),0))-IF($G$2,0,IF((AS$6-$G$3)&lt;1,0,IFERROR(LOOKUP(2,1/(Aveia!$E24:INDEX(Aveia!$E24:$Z24,MIN(AS$6-$G$3,22))&lt;&gt;""),Aveia!$E24:INDEX(Aveia!$E24:$Z24,MIN(AS$6-$G$3,22))),0)))))</f>
        <v>0</v>
      </c>
      <c r="AT26" s="27" t="n">
        <f aca="false">IF(COUNT(Aveia!$E24:$Z24)=0,0,MAX(0,IF((AT$6-$E$3)&lt;1,0,IFERROR(LOOKUP(2,1/(Aveia!$E24:INDEX(Aveia!$E24:$Z24,MIN(AT$6-$E$3,22))&lt;&gt;""),Aveia!$E24:INDEX(Aveia!$E24:$Z24,MIN(AT$6-$E$3,22))),0))-IF($G$2,0,IF((AT$6-$G$3)&lt;1,0,IFERROR(LOOKUP(2,1/(Aveia!$E24:INDEX(Aveia!$E24:$Z24,MIN(AT$6-$G$3,22))&lt;&gt;""),Aveia!$E24:INDEX(Aveia!$E24:$Z24,MIN(AT$6-$G$3,22))),0)))))</f>
        <v>0</v>
      </c>
      <c r="AU26" s="27" t="n">
        <f aca="false">IF(COUNT(Aveia!$E24:$Z24)=0,0,MAX(0,IF((AU$6-$E$3)&lt;1,0,IFERROR(LOOKUP(2,1/(Aveia!$E24:INDEX(Aveia!$E24:$Z24,MIN(AU$6-$E$3,22))&lt;&gt;""),Aveia!$E24:INDEX(Aveia!$E24:$Z24,MIN(AU$6-$E$3,22))),0))-IF($G$2,0,IF((AU$6-$G$3)&lt;1,0,IFERROR(LOOKUP(2,1/(Aveia!$E24:INDEX(Aveia!$E24:$Z24,MIN(AU$6-$G$3,22))&lt;&gt;""),Aveia!$E24:INDEX(Aveia!$E24:$Z24,MIN(AU$6-$G$3,22))),0)))))</f>
        <v>0</v>
      </c>
      <c r="AV26" s="27" t="n">
        <f aca="false">IF(COUNT(Aveia!$E24:$Z24)=0,0,MAX(0,IF((AV$6-$E$3)&lt;1,0,IFERROR(LOOKUP(2,1/(Aveia!$E24:INDEX(Aveia!$E24:$Z24,MIN(AV$6-$E$3,22))&lt;&gt;""),Aveia!$E24:INDEX(Aveia!$E24:$Z24,MIN(AV$6-$E$3,22))),0))-IF($G$2,0,IF((AV$6-$G$3)&lt;1,0,IFERROR(LOOKUP(2,1/(Aveia!$E24:INDEX(Aveia!$E24:$Z24,MIN(AV$6-$G$3,22))&lt;&gt;""),Aveia!$E24:INDEX(Aveia!$E24:$Z24,MIN(AV$6-$G$3,22))),0)))))</f>
        <v>0</v>
      </c>
      <c r="AW26" s="27" t="n">
        <f aca="false">IF(COUNT(Aveia!$E24:$Z24)=0,0,MAX(0,IF((AW$6-$E$3)&lt;1,0,IFERROR(LOOKUP(2,1/(Aveia!$E24:INDEX(Aveia!$E24:$Z24,MIN(AW$6-$E$3,22))&lt;&gt;""),Aveia!$E24:INDEX(Aveia!$E24:$Z24,MIN(AW$6-$E$3,22))),0))-IF($G$2,0,IF((AW$6-$G$3)&lt;1,0,IFERROR(LOOKUP(2,1/(Aveia!$E24:INDEX(Aveia!$E24:$Z24,MIN(AW$6-$G$3,22))&lt;&gt;""),Aveia!$E24:INDEX(Aveia!$E24:$Z24,MIN(AW$6-$G$3,22))),0)))))</f>
        <v>0</v>
      </c>
      <c r="AX26" s="27" t="n">
        <f aca="false">IF(COUNT(Aveia!$E24:$Z24)=0,0,MAX(0,IF((AX$6-$E$3)&lt;1,0,IFERROR(LOOKUP(2,1/(Aveia!$E24:INDEX(Aveia!$E24:$Z24,MIN(AX$6-$E$3,22))&lt;&gt;""),Aveia!$E24:INDEX(Aveia!$E24:$Z24,MIN(AX$6-$E$3,22))),0))-IF($G$2,0,IF((AX$6-$G$3)&lt;1,0,IFERROR(LOOKUP(2,1/(Aveia!$E24:INDEX(Aveia!$E24:$Z24,MIN(AX$6-$G$3,22))&lt;&gt;""),Aveia!$E24:INDEX(Aveia!$E24:$Z24,MIN(AX$6-$G$3,22))),0)))))</f>
        <v>0</v>
      </c>
      <c r="AY26" s="27" t="n">
        <f aca="false">IF(COUNT(Aveia!$E24:$Z24)=0,0,MAX(0,IF((AY$6-$E$3)&lt;1,0,IFERROR(LOOKUP(2,1/(Aveia!$E24:INDEX(Aveia!$E24:$Z24,MIN(AY$6-$E$3,22))&lt;&gt;""),Aveia!$E24:INDEX(Aveia!$E24:$Z24,MIN(AY$6-$E$3,22))),0))-IF($G$2,0,IF((AY$6-$G$3)&lt;1,0,IFERROR(LOOKUP(2,1/(Aveia!$E24:INDEX(Aveia!$E24:$Z24,MIN(AY$6-$G$3,22))&lt;&gt;""),Aveia!$E24:INDEX(Aveia!$E24:$Z24,MIN(AY$6-$G$3,22))),0)))))</f>
        <v>0</v>
      </c>
      <c r="AZ26" s="27" t="n">
        <f aca="false">IF(COUNT(Aveia!$E24:$Z24)=0,0,MAX(0,IF((AZ$6-$E$3)&lt;1,0,IFERROR(LOOKUP(2,1/(Aveia!$E24:INDEX(Aveia!$E24:$Z24,MIN(AZ$6-$E$3,22))&lt;&gt;""),Aveia!$E24:INDEX(Aveia!$E24:$Z24,MIN(AZ$6-$E$3,22))),0))-IF($G$2,0,IF((AZ$6-$G$3)&lt;1,0,IFERROR(LOOKUP(2,1/(Aveia!$E24:INDEX(Aveia!$E24:$Z24,MIN(AZ$6-$G$3,22))&lt;&gt;""),Aveia!$E24:INDEX(Aveia!$E24:$Z24,MIN(AZ$6-$G$3,22))),0)))))</f>
        <v>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10" t="s">
        <v>163</v>
      </c>
      <c r="D27" s="26" t="n">
        <f aca="false">IF(COUNT(Aveia!$E25:$Z25)&gt;0,N(Aveia!$D25),0)</f>
        <v>0</v>
      </c>
      <c r="E27" s="27" t="n">
        <f aca="false">IF(COUNT(Aveia!$E25:$Z25)=0,0,MAX(0,IF((E$6-$E$3)&lt;1,0,IFERROR(LOOKUP(2,1/(Aveia!$E25:INDEX(Aveia!$E25:$Z25,MIN(E$6-$E$3,22))&lt;&gt;""),Aveia!$E25:INDEX(Aveia!$E25:$Z25,MIN(E$6-$E$3,22))),0))-IF($G$2,0,IF((E$6-$G$3)&lt;1,0,IFERROR(LOOKUP(2,1/(Aveia!$E25:INDEX(Aveia!$E25:$Z25,MIN(E$6-$G$3,22))&lt;&gt;""),Aveia!$E25:INDEX(Aveia!$E25:$Z25,MIN(E$6-$G$3,22))),0)))))</f>
        <v>0</v>
      </c>
      <c r="F27" s="27" t="n">
        <f aca="false">IF(COUNT(Aveia!$E25:$Z25)=0,0,MAX(0,IF((F$6-$E$3)&lt;1,0,IFERROR(LOOKUP(2,1/(Aveia!$E25:INDEX(Aveia!$E25:$Z25,MIN(F$6-$E$3,22))&lt;&gt;""),Aveia!$E25:INDEX(Aveia!$E25:$Z25,MIN(F$6-$E$3,22))),0))-IF($G$2,0,IF((F$6-$G$3)&lt;1,0,IFERROR(LOOKUP(2,1/(Aveia!$E25:INDEX(Aveia!$E25:$Z25,MIN(F$6-$G$3,22))&lt;&gt;""),Aveia!$E25:INDEX(Aveia!$E25:$Z25,MIN(F$6-$G$3,22))),0)))))</f>
        <v>0</v>
      </c>
      <c r="G27" s="27" t="n">
        <f aca="false">IF(COUNT(Aveia!$E25:$Z25)=0,0,MAX(0,IF((G$6-$E$3)&lt;1,0,IFERROR(LOOKUP(2,1/(Aveia!$E25:INDEX(Aveia!$E25:$Z25,MIN(G$6-$E$3,22))&lt;&gt;""),Aveia!$E25:INDEX(Aveia!$E25:$Z25,MIN(G$6-$E$3,22))),0))-IF($G$2,0,IF((G$6-$G$3)&lt;1,0,IFERROR(LOOKUP(2,1/(Aveia!$E25:INDEX(Aveia!$E25:$Z25,MIN(G$6-$G$3,22))&lt;&gt;""),Aveia!$E25:INDEX(Aveia!$E25:$Z25,MIN(G$6-$G$3,22))),0)))))</f>
        <v>0</v>
      </c>
      <c r="H27" s="27" t="n">
        <f aca="false">IF(COUNT(Aveia!$E25:$Z25)=0,0,MAX(0,IF((H$6-$E$3)&lt;1,0,IFERROR(LOOKUP(2,1/(Aveia!$E25:INDEX(Aveia!$E25:$Z25,MIN(H$6-$E$3,22))&lt;&gt;""),Aveia!$E25:INDEX(Aveia!$E25:$Z25,MIN(H$6-$E$3,22))),0))-IF($G$2,0,IF((H$6-$G$3)&lt;1,0,IFERROR(LOOKUP(2,1/(Aveia!$E25:INDEX(Aveia!$E25:$Z25,MIN(H$6-$G$3,22))&lt;&gt;""),Aveia!$E25:INDEX(Aveia!$E25:$Z25,MIN(H$6-$G$3,22))),0)))))</f>
        <v>0</v>
      </c>
      <c r="I27" s="27" t="n">
        <f aca="false">IF(COUNT(Aveia!$E25:$Z25)=0,0,MAX(0,IF((I$6-$E$3)&lt;1,0,IFERROR(LOOKUP(2,1/(Aveia!$E25:INDEX(Aveia!$E25:$Z25,MIN(I$6-$E$3,22))&lt;&gt;""),Aveia!$E25:INDEX(Aveia!$E25:$Z25,MIN(I$6-$E$3,22))),0))-IF($G$2,0,IF((I$6-$G$3)&lt;1,0,IFERROR(LOOKUP(2,1/(Aveia!$E25:INDEX(Aveia!$E25:$Z25,MIN(I$6-$G$3,22))&lt;&gt;""),Aveia!$E25:INDEX(Aveia!$E25:$Z25,MIN(I$6-$G$3,22))),0)))))</f>
        <v>0</v>
      </c>
      <c r="J27" s="27" t="n">
        <f aca="false">IF(COUNT(Aveia!$E25:$Z25)=0,0,MAX(0,IF((J$6-$E$3)&lt;1,0,IFERROR(LOOKUP(2,1/(Aveia!$E25:INDEX(Aveia!$E25:$Z25,MIN(J$6-$E$3,22))&lt;&gt;""),Aveia!$E25:INDEX(Aveia!$E25:$Z25,MIN(J$6-$E$3,22))),0))-IF($G$2,0,IF((J$6-$G$3)&lt;1,0,IFERROR(LOOKUP(2,1/(Aveia!$E25:INDEX(Aveia!$E25:$Z25,MIN(J$6-$G$3,22))&lt;&gt;""),Aveia!$E25:INDEX(Aveia!$E25:$Z25,MIN(J$6-$G$3,22))),0)))))</f>
        <v>0</v>
      </c>
      <c r="K27" s="27" t="n">
        <f aca="false">IF(COUNT(Aveia!$E25:$Z25)=0,0,MAX(0,IF((K$6-$E$3)&lt;1,0,IFERROR(LOOKUP(2,1/(Aveia!$E25:INDEX(Aveia!$E25:$Z25,MIN(K$6-$E$3,22))&lt;&gt;""),Aveia!$E25:INDEX(Aveia!$E25:$Z25,MIN(K$6-$E$3,22))),0))-IF($G$2,0,IF((K$6-$G$3)&lt;1,0,IFERROR(LOOKUP(2,1/(Aveia!$E25:INDEX(Aveia!$E25:$Z25,MIN(K$6-$G$3,22))&lt;&gt;""),Aveia!$E25:INDEX(Aveia!$E25:$Z25,MIN(K$6-$G$3,22))),0)))))</f>
        <v>0</v>
      </c>
      <c r="L27" s="27" t="n">
        <f aca="false">IF(COUNT(Aveia!$E25:$Z25)=0,0,MAX(0,IF((L$6-$E$3)&lt;1,0,IFERROR(LOOKUP(2,1/(Aveia!$E25:INDEX(Aveia!$E25:$Z25,MIN(L$6-$E$3,22))&lt;&gt;""),Aveia!$E25:INDEX(Aveia!$E25:$Z25,MIN(L$6-$E$3,22))),0))-IF($G$2,0,IF((L$6-$G$3)&lt;1,0,IFERROR(LOOKUP(2,1/(Aveia!$E25:INDEX(Aveia!$E25:$Z25,MIN(L$6-$G$3,22))&lt;&gt;""),Aveia!$E25:INDEX(Aveia!$E25:$Z25,MIN(L$6-$G$3,22))),0)))))</f>
        <v>0</v>
      </c>
      <c r="M27" s="27" t="n">
        <f aca="false">IF(COUNT(Aveia!$E25:$Z25)=0,0,MAX(0,IF((M$6-$E$3)&lt;1,0,IFERROR(LOOKUP(2,1/(Aveia!$E25:INDEX(Aveia!$E25:$Z25,MIN(M$6-$E$3,22))&lt;&gt;""),Aveia!$E25:INDEX(Aveia!$E25:$Z25,MIN(M$6-$E$3,22))),0))-IF($G$2,0,IF((M$6-$G$3)&lt;1,0,IFERROR(LOOKUP(2,1/(Aveia!$E25:INDEX(Aveia!$E25:$Z25,MIN(M$6-$G$3,22))&lt;&gt;""),Aveia!$E25:INDEX(Aveia!$E25:$Z25,MIN(M$6-$G$3,22))),0)))))</f>
        <v>0</v>
      </c>
      <c r="N27" s="27" t="n">
        <f aca="false">IF(COUNT(Aveia!$E25:$Z25)=0,0,MAX(0,IF((N$6-$E$3)&lt;1,0,IFERROR(LOOKUP(2,1/(Aveia!$E25:INDEX(Aveia!$E25:$Z25,MIN(N$6-$E$3,22))&lt;&gt;""),Aveia!$E25:INDEX(Aveia!$E25:$Z25,MIN(N$6-$E$3,22))),0))-IF($G$2,0,IF((N$6-$G$3)&lt;1,0,IFERROR(LOOKUP(2,1/(Aveia!$E25:INDEX(Aveia!$E25:$Z25,MIN(N$6-$G$3,22))&lt;&gt;""),Aveia!$E25:INDEX(Aveia!$E25:$Z25,MIN(N$6-$G$3,22))),0)))))</f>
        <v>0</v>
      </c>
      <c r="O27" s="27" t="n">
        <f aca="false">IF(COUNT(Aveia!$E25:$Z25)=0,0,MAX(0,IF((O$6-$E$3)&lt;1,0,IFERROR(LOOKUP(2,1/(Aveia!$E25:INDEX(Aveia!$E25:$Z25,MIN(O$6-$E$3,22))&lt;&gt;""),Aveia!$E25:INDEX(Aveia!$E25:$Z25,MIN(O$6-$E$3,22))),0))-IF($G$2,0,IF((O$6-$G$3)&lt;1,0,IFERROR(LOOKUP(2,1/(Aveia!$E25:INDEX(Aveia!$E25:$Z25,MIN(O$6-$G$3,22))&lt;&gt;""),Aveia!$E25:INDEX(Aveia!$E25:$Z25,MIN(O$6-$G$3,22))),0)))))</f>
        <v>0</v>
      </c>
      <c r="P27" s="27" t="n">
        <f aca="false">IF(COUNT(Aveia!$E25:$Z25)=0,0,MAX(0,IF((P$6-$E$3)&lt;1,0,IFERROR(LOOKUP(2,1/(Aveia!$E25:INDEX(Aveia!$E25:$Z25,MIN(P$6-$E$3,22))&lt;&gt;""),Aveia!$E25:INDEX(Aveia!$E25:$Z25,MIN(P$6-$E$3,22))),0))-IF($G$2,0,IF((P$6-$G$3)&lt;1,0,IFERROR(LOOKUP(2,1/(Aveia!$E25:INDEX(Aveia!$E25:$Z25,MIN(P$6-$G$3,22))&lt;&gt;""),Aveia!$E25:INDEX(Aveia!$E25:$Z25,MIN(P$6-$G$3,22))),0)))))</f>
        <v>0</v>
      </c>
      <c r="Q27" s="27" t="n">
        <f aca="false">IF(COUNT(Aveia!$E25:$Z25)=0,0,MAX(0,IF((Q$6-$E$3)&lt;1,0,IFERROR(LOOKUP(2,1/(Aveia!$E25:INDEX(Aveia!$E25:$Z25,MIN(Q$6-$E$3,22))&lt;&gt;""),Aveia!$E25:INDEX(Aveia!$E25:$Z25,MIN(Q$6-$E$3,22))),0))-IF($G$2,0,IF((Q$6-$G$3)&lt;1,0,IFERROR(LOOKUP(2,1/(Aveia!$E25:INDEX(Aveia!$E25:$Z25,MIN(Q$6-$G$3,22))&lt;&gt;""),Aveia!$E25:INDEX(Aveia!$E25:$Z25,MIN(Q$6-$G$3,22))),0)))))</f>
        <v>0</v>
      </c>
      <c r="R27" s="27" t="n">
        <f aca="false">IF(COUNT(Aveia!$E25:$Z25)=0,0,MAX(0,IF((R$6-$E$3)&lt;1,0,IFERROR(LOOKUP(2,1/(Aveia!$E25:INDEX(Aveia!$E25:$Z25,MIN(R$6-$E$3,22))&lt;&gt;""),Aveia!$E25:INDEX(Aveia!$E25:$Z25,MIN(R$6-$E$3,22))),0))-IF($G$2,0,IF((R$6-$G$3)&lt;1,0,IFERROR(LOOKUP(2,1/(Aveia!$E25:INDEX(Aveia!$E25:$Z25,MIN(R$6-$G$3,22))&lt;&gt;""),Aveia!$E25:INDEX(Aveia!$E25:$Z25,MIN(R$6-$G$3,22))),0)))))</f>
        <v>0</v>
      </c>
      <c r="S27" s="27" t="n">
        <f aca="false">IF(COUNT(Aveia!$E25:$Z25)=0,0,MAX(0,IF((S$6-$E$3)&lt;1,0,IFERROR(LOOKUP(2,1/(Aveia!$E25:INDEX(Aveia!$E25:$Z25,MIN(S$6-$E$3,22))&lt;&gt;""),Aveia!$E25:INDEX(Aveia!$E25:$Z25,MIN(S$6-$E$3,22))),0))-IF($G$2,0,IF((S$6-$G$3)&lt;1,0,IFERROR(LOOKUP(2,1/(Aveia!$E25:INDEX(Aveia!$E25:$Z25,MIN(S$6-$G$3,22))&lt;&gt;""),Aveia!$E25:INDEX(Aveia!$E25:$Z25,MIN(S$6-$G$3,22))),0)))))</f>
        <v>0</v>
      </c>
      <c r="T27" s="27" t="n">
        <f aca="false">IF(COUNT(Aveia!$E25:$Z25)=0,0,MAX(0,IF((T$6-$E$3)&lt;1,0,IFERROR(LOOKUP(2,1/(Aveia!$E25:INDEX(Aveia!$E25:$Z25,MIN(T$6-$E$3,22))&lt;&gt;""),Aveia!$E25:INDEX(Aveia!$E25:$Z25,MIN(T$6-$E$3,22))),0))-IF($G$2,0,IF((T$6-$G$3)&lt;1,0,IFERROR(LOOKUP(2,1/(Aveia!$E25:INDEX(Aveia!$E25:$Z25,MIN(T$6-$G$3,22))&lt;&gt;""),Aveia!$E25:INDEX(Aveia!$E25:$Z25,MIN(T$6-$G$3,22))),0)))))</f>
        <v>0</v>
      </c>
      <c r="U27" s="27" t="n">
        <f aca="false">IF(COUNT(Aveia!$E25:$Z25)=0,0,MAX(0,IF((U$6-$E$3)&lt;1,0,IFERROR(LOOKUP(2,1/(Aveia!$E25:INDEX(Aveia!$E25:$Z25,MIN(U$6-$E$3,22))&lt;&gt;""),Aveia!$E25:INDEX(Aveia!$E25:$Z25,MIN(U$6-$E$3,22))),0))-IF($G$2,0,IF((U$6-$G$3)&lt;1,0,IFERROR(LOOKUP(2,1/(Aveia!$E25:INDEX(Aveia!$E25:$Z25,MIN(U$6-$G$3,22))&lt;&gt;""),Aveia!$E25:INDEX(Aveia!$E25:$Z25,MIN(U$6-$G$3,22))),0)))))</f>
        <v>0</v>
      </c>
      <c r="V27" s="27" t="n">
        <f aca="false">IF(COUNT(Aveia!$E25:$Z25)=0,0,MAX(0,IF((V$6-$E$3)&lt;1,0,IFERROR(LOOKUP(2,1/(Aveia!$E25:INDEX(Aveia!$E25:$Z25,MIN(V$6-$E$3,22))&lt;&gt;""),Aveia!$E25:INDEX(Aveia!$E25:$Z25,MIN(V$6-$E$3,22))),0))-IF($G$2,0,IF((V$6-$G$3)&lt;1,0,IFERROR(LOOKUP(2,1/(Aveia!$E25:INDEX(Aveia!$E25:$Z25,MIN(V$6-$G$3,22))&lt;&gt;""),Aveia!$E25:INDEX(Aveia!$E25:$Z25,MIN(V$6-$G$3,22))),0)))))</f>
        <v>0</v>
      </c>
      <c r="W27" s="27" t="n">
        <f aca="false">IF(COUNT(Aveia!$E25:$Z25)=0,0,MAX(0,IF((W$6-$E$3)&lt;1,0,IFERROR(LOOKUP(2,1/(Aveia!$E25:INDEX(Aveia!$E25:$Z25,MIN(W$6-$E$3,22))&lt;&gt;""),Aveia!$E25:INDEX(Aveia!$E25:$Z25,MIN(W$6-$E$3,22))),0))-IF($G$2,0,IF((W$6-$G$3)&lt;1,0,IFERROR(LOOKUP(2,1/(Aveia!$E25:INDEX(Aveia!$E25:$Z25,MIN(W$6-$G$3,22))&lt;&gt;""),Aveia!$E25:INDEX(Aveia!$E25:$Z25,MIN(W$6-$G$3,22))),0)))))</f>
        <v>0</v>
      </c>
      <c r="X27" s="27" t="n">
        <f aca="false">IF(COUNT(Aveia!$E25:$Z25)=0,0,MAX(0,IF((X$6-$E$3)&lt;1,0,IFERROR(LOOKUP(2,1/(Aveia!$E25:INDEX(Aveia!$E25:$Z25,MIN(X$6-$E$3,22))&lt;&gt;""),Aveia!$E25:INDEX(Aveia!$E25:$Z25,MIN(X$6-$E$3,22))),0))-IF($G$2,0,IF((X$6-$G$3)&lt;1,0,IFERROR(LOOKUP(2,1/(Aveia!$E25:INDEX(Aveia!$E25:$Z25,MIN(X$6-$G$3,22))&lt;&gt;""),Aveia!$E25:INDEX(Aveia!$E25:$Z25,MIN(X$6-$G$3,22))),0)))))</f>
        <v>0</v>
      </c>
      <c r="Y27" s="27" t="n">
        <f aca="false">IF(COUNT(Aveia!$E25:$Z25)=0,0,MAX(0,IF((Y$6-$E$3)&lt;1,0,IFERROR(LOOKUP(2,1/(Aveia!$E25:INDEX(Aveia!$E25:$Z25,MIN(Y$6-$E$3,22))&lt;&gt;""),Aveia!$E25:INDEX(Aveia!$E25:$Z25,MIN(Y$6-$E$3,22))),0))-IF($G$2,0,IF((Y$6-$G$3)&lt;1,0,IFERROR(LOOKUP(2,1/(Aveia!$E25:INDEX(Aveia!$E25:$Z25,MIN(Y$6-$G$3,22))&lt;&gt;""),Aveia!$E25:INDEX(Aveia!$E25:$Z25,MIN(Y$6-$G$3,22))),0)))))</f>
        <v>0</v>
      </c>
      <c r="Z27" s="27" t="n">
        <f aca="false">IF(COUNT(Aveia!$E25:$Z25)=0,0,MAX(0,IF((Z$6-$E$3)&lt;1,0,IFERROR(LOOKUP(2,1/(Aveia!$E25:INDEX(Aveia!$E25:$Z25,MIN(Z$6-$E$3,22))&lt;&gt;""),Aveia!$E25:INDEX(Aveia!$E25:$Z25,MIN(Z$6-$E$3,22))),0))-IF($G$2,0,IF((Z$6-$G$3)&lt;1,0,IFERROR(LOOKUP(2,1/(Aveia!$E25:INDEX(Aveia!$E25:$Z25,MIN(Z$6-$G$3,22))&lt;&gt;""),Aveia!$E25:INDEX(Aveia!$E25:$Z25,MIN(Z$6-$G$3,22))),0)))))</f>
        <v>0</v>
      </c>
      <c r="AA27" s="27" t="n">
        <f aca="false">IF(COUNT(Aveia!$E25:$Z25)=0,0,MAX(0,IF((AA$6-$E$3)&lt;1,0,IFERROR(LOOKUP(2,1/(Aveia!$E25:INDEX(Aveia!$E25:$Z25,MIN(AA$6-$E$3,22))&lt;&gt;""),Aveia!$E25:INDEX(Aveia!$E25:$Z25,MIN(AA$6-$E$3,22))),0))-IF($G$2,0,IF((AA$6-$G$3)&lt;1,0,IFERROR(LOOKUP(2,1/(Aveia!$E25:INDEX(Aveia!$E25:$Z25,MIN(AA$6-$G$3,22))&lt;&gt;""),Aveia!$E25:INDEX(Aveia!$E25:$Z25,MIN(AA$6-$G$3,22))),0)))))</f>
        <v>0</v>
      </c>
      <c r="AB27" s="27" t="n">
        <f aca="false">IF(COUNT(Aveia!$E25:$Z25)=0,0,MAX(0,IF((AB$6-$E$3)&lt;1,0,IFERROR(LOOKUP(2,1/(Aveia!$E25:INDEX(Aveia!$E25:$Z25,MIN(AB$6-$E$3,22))&lt;&gt;""),Aveia!$E25:INDEX(Aveia!$E25:$Z25,MIN(AB$6-$E$3,22))),0))-IF($G$2,0,IF((AB$6-$G$3)&lt;1,0,IFERROR(LOOKUP(2,1/(Aveia!$E25:INDEX(Aveia!$E25:$Z25,MIN(AB$6-$G$3,22))&lt;&gt;""),Aveia!$E25:INDEX(Aveia!$E25:$Z25,MIN(AB$6-$G$3,22))),0)))))</f>
        <v>0</v>
      </c>
      <c r="AC27" s="27" t="n">
        <f aca="false">IF(COUNT(Aveia!$E25:$Z25)=0,0,MAX(0,IF((AC$6-$E$3)&lt;1,0,IFERROR(LOOKUP(2,1/(Aveia!$E25:INDEX(Aveia!$E25:$Z25,MIN(AC$6-$E$3,22))&lt;&gt;""),Aveia!$E25:INDEX(Aveia!$E25:$Z25,MIN(AC$6-$E$3,22))),0))-IF($G$2,0,IF((AC$6-$G$3)&lt;1,0,IFERROR(LOOKUP(2,1/(Aveia!$E25:INDEX(Aveia!$E25:$Z25,MIN(AC$6-$G$3,22))&lt;&gt;""),Aveia!$E25:INDEX(Aveia!$E25:$Z25,MIN(AC$6-$G$3,22))),0)))))</f>
        <v>0</v>
      </c>
      <c r="AD27" s="27" t="n">
        <f aca="false">IF(COUNT(Aveia!$E25:$Z25)=0,0,MAX(0,IF((AD$6-$E$3)&lt;1,0,IFERROR(LOOKUP(2,1/(Aveia!$E25:INDEX(Aveia!$E25:$Z25,MIN(AD$6-$E$3,22))&lt;&gt;""),Aveia!$E25:INDEX(Aveia!$E25:$Z25,MIN(AD$6-$E$3,22))),0))-IF($G$2,0,IF((AD$6-$G$3)&lt;1,0,IFERROR(LOOKUP(2,1/(Aveia!$E25:INDEX(Aveia!$E25:$Z25,MIN(AD$6-$G$3,22))&lt;&gt;""),Aveia!$E25:INDEX(Aveia!$E25:$Z25,MIN(AD$6-$G$3,22))),0)))))</f>
        <v>0</v>
      </c>
      <c r="AE27" s="27" t="n">
        <f aca="false">IF(COUNT(Aveia!$E25:$Z25)=0,0,MAX(0,IF((AE$6-$E$3)&lt;1,0,IFERROR(LOOKUP(2,1/(Aveia!$E25:INDEX(Aveia!$E25:$Z25,MIN(AE$6-$E$3,22))&lt;&gt;""),Aveia!$E25:INDEX(Aveia!$E25:$Z25,MIN(AE$6-$E$3,22))),0))-IF($G$2,0,IF((AE$6-$G$3)&lt;1,0,IFERROR(LOOKUP(2,1/(Aveia!$E25:INDEX(Aveia!$E25:$Z25,MIN(AE$6-$G$3,22))&lt;&gt;""),Aveia!$E25:INDEX(Aveia!$E25:$Z25,MIN(AE$6-$G$3,22))),0)))))</f>
        <v>0</v>
      </c>
      <c r="AF27" s="27" t="n">
        <f aca="false">IF(COUNT(Aveia!$E25:$Z25)=0,0,MAX(0,IF((AF$6-$E$3)&lt;1,0,IFERROR(LOOKUP(2,1/(Aveia!$E25:INDEX(Aveia!$E25:$Z25,MIN(AF$6-$E$3,22))&lt;&gt;""),Aveia!$E25:INDEX(Aveia!$E25:$Z25,MIN(AF$6-$E$3,22))),0))-IF($G$2,0,IF((AF$6-$G$3)&lt;1,0,IFERROR(LOOKUP(2,1/(Aveia!$E25:INDEX(Aveia!$E25:$Z25,MIN(AF$6-$G$3,22))&lt;&gt;""),Aveia!$E25:INDEX(Aveia!$E25:$Z25,MIN(AF$6-$G$3,22))),0)))))</f>
        <v>0</v>
      </c>
      <c r="AG27" s="27" t="n">
        <f aca="false">IF(COUNT(Aveia!$E25:$Z25)=0,0,MAX(0,IF((AG$6-$E$3)&lt;1,0,IFERROR(LOOKUP(2,1/(Aveia!$E25:INDEX(Aveia!$E25:$Z25,MIN(AG$6-$E$3,22))&lt;&gt;""),Aveia!$E25:INDEX(Aveia!$E25:$Z25,MIN(AG$6-$E$3,22))),0))-IF($G$2,0,IF((AG$6-$G$3)&lt;1,0,IFERROR(LOOKUP(2,1/(Aveia!$E25:INDEX(Aveia!$E25:$Z25,MIN(AG$6-$G$3,22))&lt;&gt;""),Aveia!$E25:INDEX(Aveia!$E25:$Z25,MIN(AG$6-$G$3,22))),0)))))</f>
        <v>0</v>
      </c>
      <c r="AH27" s="27" t="n">
        <f aca="false">IF(COUNT(Aveia!$E25:$Z25)=0,0,MAX(0,IF((AH$6-$E$3)&lt;1,0,IFERROR(LOOKUP(2,1/(Aveia!$E25:INDEX(Aveia!$E25:$Z25,MIN(AH$6-$E$3,22))&lt;&gt;""),Aveia!$E25:INDEX(Aveia!$E25:$Z25,MIN(AH$6-$E$3,22))),0))-IF($G$2,0,IF((AH$6-$G$3)&lt;1,0,IFERROR(LOOKUP(2,1/(Aveia!$E25:INDEX(Aveia!$E25:$Z25,MIN(AH$6-$G$3,22))&lt;&gt;""),Aveia!$E25:INDEX(Aveia!$E25:$Z25,MIN(AH$6-$G$3,22))),0)))))</f>
        <v>0</v>
      </c>
      <c r="AI27" s="27" t="n">
        <f aca="false">IF(COUNT(Aveia!$E25:$Z25)=0,0,MAX(0,IF((AI$6-$E$3)&lt;1,0,IFERROR(LOOKUP(2,1/(Aveia!$E25:INDEX(Aveia!$E25:$Z25,MIN(AI$6-$E$3,22))&lt;&gt;""),Aveia!$E25:INDEX(Aveia!$E25:$Z25,MIN(AI$6-$E$3,22))),0))-IF($G$2,0,IF((AI$6-$G$3)&lt;1,0,IFERROR(LOOKUP(2,1/(Aveia!$E25:INDEX(Aveia!$E25:$Z25,MIN(AI$6-$G$3,22))&lt;&gt;""),Aveia!$E25:INDEX(Aveia!$E25:$Z25,MIN(AI$6-$G$3,22))),0)))))</f>
        <v>0</v>
      </c>
      <c r="AJ27" s="27" t="n">
        <f aca="false">IF(COUNT(Aveia!$E25:$Z25)=0,0,MAX(0,IF((AJ$6-$E$3)&lt;1,0,IFERROR(LOOKUP(2,1/(Aveia!$E25:INDEX(Aveia!$E25:$Z25,MIN(AJ$6-$E$3,22))&lt;&gt;""),Aveia!$E25:INDEX(Aveia!$E25:$Z25,MIN(AJ$6-$E$3,22))),0))-IF($G$2,0,IF((AJ$6-$G$3)&lt;1,0,IFERROR(LOOKUP(2,1/(Aveia!$E25:INDEX(Aveia!$E25:$Z25,MIN(AJ$6-$G$3,22))&lt;&gt;""),Aveia!$E25:INDEX(Aveia!$E25:$Z25,MIN(AJ$6-$G$3,22))),0)))))</f>
        <v>0</v>
      </c>
      <c r="AK27" s="27" t="n">
        <f aca="false">IF(COUNT(Aveia!$E25:$Z25)=0,0,MAX(0,IF((AK$6-$E$3)&lt;1,0,IFERROR(LOOKUP(2,1/(Aveia!$E25:INDEX(Aveia!$E25:$Z25,MIN(AK$6-$E$3,22))&lt;&gt;""),Aveia!$E25:INDEX(Aveia!$E25:$Z25,MIN(AK$6-$E$3,22))),0))-IF($G$2,0,IF((AK$6-$G$3)&lt;1,0,IFERROR(LOOKUP(2,1/(Aveia!$E25:INDEX(Aveia!$E25:$Z25,MIN(AK$6-$G$3,22))&lt;&gt;""),Aveia!$E25:INDEX(Aveia!$E25:$Z25,MIN(AK$6-$G$3,22))),0)))))</f>
        <v>0</v>
      </c>
      <c r="AL27" s="27" t="n">
        <f aca="false">IF(COUNT(Aveia!$E25:$Z25)=0,0,MAX(0,IF((AL$6-$E$3)&lt;1,0,IFERROR(LOOKUP(2,1/(Aveia!$E25:INDEX(Aveia!$E25:$Z25,MIN(AL$6-$E$3,22))&lt;&gt;""),Aveia!$E25:INDEX(Aveia!$E25:$Z25,MIN(AL$6-$E$3,22))),0))-IF($G$2,0,IF((AL$6-$G$3)&lt;1,0,IFERROR(LOOKUP(2,1/(Aveia!$E25:INDEX(Aveia!$E25:$Z25,MIN(AL$6-$G$3,22))&lt;&gt;""),Aveia!$E25:INDEX(Aveia!$E25:$Z25,MIN(AL$6-$G$3,22))),0)))))</f>
        <v>0</v>
      </c>
      <c r="AM27" s="27" t="n">
        <f aca="false">IF(COUNT(Aveia!$E25:$Z25)=0,0,MAX(0,IF((AM$6-$E$3)&lt;1,0,IFERROR(LOOKUP(2,1/(Aveia!$E25:INDEX(Aveia!$E25:$Z25,MIN(AM$6-$E$3,22))&lt;&gt;""),Aveia!$E25:INDEX(Aveia!$E25:$Z25,MIN(AM$6-$E$3,22))),0))-IF($G$2,0,IF((AM$6-$G$3)&lt;1,0,IFERROR(LOOKUP(2,1/(Aveia!$E25:INDEX(Aveia!$E25:$Z25,MIN(AM$6-$G$3,22))&lt;&gt;""),Aveia!$E25:INDEX(Aveia!$E25:$Z25,MIN(AM$6-$G$3,22))),0)))))</f>
        <v>0</v>
      </c>
      <c r="AN27" s="27" t="n">
        <f aca="false">IF(COUNT(Aveia!$E25:$Z25)=0,0,MAX(0,IF((AN$6-$E$3)&lt;1,0,IFERROR(LOOKUP(2,1/(Aveia!$E25:INDEX(Aveia!$E25:$Z25,MIN(AN$6-$E$3,22))&lt;&gt;""),Aveia!$E25:INDEX(Aveia!$E25:$Z25,MIN(AN$6-$E$3,22))),0))-IF($G$2,0,IF((AN$6-$G$3)&lt;1,0,IFERROR(LOOKUP(2,1/(Aveia!$E25:INDEX(Aveia!$E25:$Z25,MIN(AN$6-$G$3,22))&lt;&gt;""),Aveia!$E25:INDEX(Aveia!$E25:$Z25,MIN(AN$6-$G$3,22))),0)))))</f>
        <v>0</v>
      </c>
      <c r="AO27" s="27" t="n">
        <f aca="false">IF(COUNT(Aveia!$E25:$Z25)=0,0,MAX(0,IF((AO$6-$E$3)&lt;1,0,IFERROR(LOOKUP(2,1/(Aveia!$E25:INDEX(Aveia!$E25:$Z25,MIN(AO$6-$E$3,22))&lt;&gt;""),Aveia!$E25:INDEX(Aveia!$E25:$Z25,MIN(AO$6-$E$3,22))),0))-IF($G$2,0,IF((AO$6-$G$3)&lt;1,0,IFERROR(LOOKUP(2,1/(Aveia!$E25:INDEX(Aveia!$E25:$Z25,MIN(AO$6-$G$3,22))&lt;&gt;""),Aveia!$E25:INDEX(Aveia!$E25:$Z25,MIN(AO$6-$G$3,22))),0)))))</f>
        <v>0</v>
      </c>
      <c r="AP27" s="27" t="n">
        <f aca="false">IF(COUNT(Aveia!$E25:$Z25)=0,0,MAX(0,IF((AP$6-$E$3)&lt;1,0,IFERROR(LOOKUP(2,1/(Aveia!$E25:INDEX(Aveia!$E25:$Z25,MIN(AP$6-$E$3,22))&lt;&gt;""),Aveia!$E25:INDEX(Aveia!$E25:$Z25,MIN(AP$6-$E$3,22))),0))-IF($G$2,0,IF((AP$6-$G$3)&lt;1,0,IFERROR(LOOKUP(2,1/(Aveia!$E25:INDEX(Aveia!$E25:$Z25,MIN(AP$6-$G$3,22))&lt;&gt;""),Aveia!$E25:INDEX(Aveia!$E25:$Z25,MIN(AP$6-$G$3,22))),0)))))</f>
        <v>0</v>
      </c>
      <c r="AQ27" s="27" t="n">
        <f aca="false">IF(COUNT(Aveia!$E25:$Z25)=0,0,MAX(0,IF((AQ$6-$E$3)&lt;1,0,IFERROR(LOOKUP(2,1/(Aveia!$E25:INDEX(Aveia!$E25:$Z25,MIN(AQ$6-$E$3,22))&lt;&gt;""),Aveia!$E25:INDEX(Aveia!$E25:$Z25,MIN(AQ$6-$E$3,22))),0))-IF($G$2,0,IF((AQ$6-$G$3)&lt;1,0,IFERROR(LOOKUP(2,1/(Aveia!$E25:INDEX(Aveia!$E25:$Z25,MIN(AQ$6-$G$3,22))&lt;&gt;""),Aveia!$E25:INDEX(Aveia!$E25:$Z25,MIN(AQ$6-$G$3,22))),0)))))</f>
        <v>0</v>
      </c>
      <c r="AR27" s="27" t="n">
        <f aca="false">IF(COUNT(Aveia!$E25:$Z25)=0,0,MAX(0,IF((AR$6-$E$3)&lt;1,0,IFERROR(LOOKUP(2,1/(Aveia!$E25:INDEX(Aveia!$E25:$Z25,MIN(AR$6-$E$3,22))&lt;&gt;""),Aveia!$E25:INDEX(Aveia!$E25:$Z25,MIN(AR$6-$E$3,22))),0))-IF($G$2,0,IF((AR$6-$G$3)&lt;1,0,IFERROR(LOOKUP(2,1/(Aveia!$E25:INDEX(Aveia!$E25:$Z25,MIN(AR$6-$G$3,22))&lt;&gt;""),Aveia!$E25:INDEX(Aveia!$E25:$Z25,MIN(AR$6-$G$3,22))),0)))))</f>
        <v>0</v>
      </c>
      <c r="AS27" s="27" t="n">
        <f aca="false">IF(COUNT(Aveia!$E25:$Z25)=0,0,MAX(0,IF((AS$6-$E$3)&lt;1,0,IFERROR(LOOKUP(2,1/(Aveia!$E25:INDEX(Aveia!$E25:$Z25,MIN(AS$6-$E$3,22))&lt;&gt;""),Aveia!$E25:INDEX(Aveia!$E25:$Z25,MIN(AS$6-$E$3,22))),0))-IF($G$2,0,IF((AS$6-$G$3)&lt;1,0,IFERROR(LOOKUP(2,1/(Aveia!$E25:INDEX(Aveia!$E25:$Z25,MIN(AS$6-$G$3,22))&lt;&gt;""),Aveia!$E25:INDEX(Aveia!$E25:$Z25,MIN(AS$6-$G$3,22))),0)))))</f>
        <v>0</v>
      </c>
      <c r="AT27" s="27" t="n">
        <f aca="false">IF(COUNT(Aveia!$E25:$Z25)=0,0,MAX(0,IF((AT$6-$E$3)&lt;1,0,IFERROR(LOOKUP(2,1/(Aveia!$E25:INDEX(Aveia!$E25:$Z25,MIN(AT$6-$E$3,22))&lt;&gt;""),Aveia!$E25:INDEX(Aveia!$E25:$Z25,MIN(AT$6-$E$3,22))),0))-IF($G$2,0,IF((AT$6-$G$3)&lt;1,0,IFERROR(LOOKUP(2,1/(Aveia!$E25:INDEX(Aveia!$E25:$Z25,MIN(AT$6-$G$3,22))&lt;&gt;""),Aveia!$E25:INDEX(Aveia!$E25:$Z25,MIN(AT$6-$G$3,22))),0)))))</f>
        <v>0</v>
      </c>
      <c r="AU27" s="27" t="n">
        <f aca="false">IF(COUNT(Aveia!$E25:$Z25)=0,0,MAX(0,IF((AU$6-$E$3)&lt;1,0,IFERROR(LOOKUP(2,1/(Aveia!$E25:INDEX(Aveia!$E25:$Z25,MIN(AU$6-$E$3,22))&lt;&gt;""),Aveia!$E25:INDEX(Aveia!$E25:$Z25,MIN(AU$6-$E$3,22))),0))-IF($G$2,0,IF((AU$6-$G$3)&lt;1,0,IFERROR(LOOKUP(2,1/(Aveia!$E25:INDEX(Aveia!$E25:$Z25,MIN(AU$6-$G$3,22))&lt;&gt;""),Aveia!$E25:INDEX(Aveia!$E25:$Z25,MIN(AU$6-$G$3,22))),0)))))</f>
        <v>0</v>
      </c>
      <c r="AV27" s="27" t="n">
        <f aca="false">IF(COUNT(Aveia!$E25:$Z25)=0,0,MAX(0,IF((AV$6-$E$3)&lt;1,0,IFERROR(LOOKUP(2,1/(Aveia!$E25:INDEX(Aveia!$E25:$Z25,MIN(AV$6-$E$3,22))&lt;&gt;""),Aveia!$E25:INDEX(Aveia!$E25:$Z25,MIN(AV$6-$E$3,22))),0))-IF($G$2,0,IF((AV$6-$G$3)&lt;1,0,IFERROR(LOOKUP(2,1/(Aveia!$E25:INDEX(Aveia!$E25:$Z25,MIN(AV$6-$G$3,22))&lt;&gt;""),Aveia!$E25:INDEX(Aveia!$E25:$Z25,MIN(AV$6-$G$3,22))),0)))))</f>
        <v>0</v>
      </c>
      <c r="AW27" s="27" t="n">
        <f aca="false">IF(COUNT(Aveia!$E25:$Z25)=0,0,MAX(0,IF((AW$6-$E$3)&lt;1,0,IFERROR(LOOKUP(2,1/(Aveia!$E25:INDEX(Aveia!$E25:$Z25,MIN(AW$6-$E$3,22))&lt;&gt;""),Aveia!$E25:INDEX(Aveia!$E25:$Z25,MIN(AW$6-$E$3,22))),0))-IF($G$2,0,IF((AW$6-$G$3)&lt;1,0,IFERROR(LOOKUP(2,1/(Aveia!$E25:INDEX(Aveia!$E25:$Z25,MIN(AW$6-$G$3,22))&lt;&gt;""),Aveia!$E25:INDEX(Aveia!$E25:$Z25,MIN(AW$6-$G$3,22))),0)))))</f>
        <v>0</v>
      </c>
      <c r="AX27" s="27" t="n">
        <f aca="false">IF(COUNT(Aveia!$E25:$Z25)=0,0,MAX(0,IF((AX$6-$E$3)&lt;1,0,IFERROR(LOOKUP(2,1/(Aveia!$E25:INDEX(Aveia!$E25:$Z25,MIN(AX$6-$E$3,22))&lt;&gt;""),Aveia!$E25:INDEX(Aveia!$E25:$Z25,MIN(AX$6-$E$3,22))),0))-IF($G$2,0,IF((AX$6-$G$3)&lt;1,0,IFERROR(LOOKUP(2,1/(Aveia!$E25:INDEX(Aveia!$E25:$Z25,MIN(AX$6-$G$3,22))&lt;&gt;""),Aveia!$E25:INDEX(Aveia!$E25:$Z25,MIN(AX$6-$G$3,22))),0)))))</f>
        <v>0</v>
      </c>
      <c r="AY27" s="27" t="n">
        <f aca="false">IF(COUNT(Aveia!$E25:$Z25)=0,0,MAX(0,IF((AY$6-$E$3)&lt;1,0,IFERROR(LOOKUP(2,1/(Aveia!$E25:INDEX(Aveia!$E25:$Z25,MIN(AY$6-$E$3,22))&lt;&gt;""),Aveia!$E25:INDEX(Aveia!$E25:$Z25,MIN(AY$6-$E$3,22))),0))-IF($G$2,0,IF((AY$6-$G$3)&lt;1,0,IFERROR(LOOKUP(2,1/(Aveia!$E25:INDEX(Aveia!$E25:$Z25,MIN(AY$6-$G$3,22))&lt;&gt;""),Aveia!$E25:INDEX(Aveia!$E25:$Z25,MIN(AY$6-$G$3,22))),0)))))</f>
        <v>0</v>
      </c>
      <c r="AZ27" s="27" t="n">
        <f aca="false">IF(COUNT(Aveia!$E25:$Z25)=0,0,MAX(0,IF((AZ$6-$E$3)&lt;1,0,IFERROR(LOOKUP(2,1/(Aveia!$E25:INDEX(Aveia!$E25:$Z25,MIN(AZ$6-$E$3,22))&lt;&gt;""),Aveia!$E25:INDEX(Aveia!$E25:$Z25,MIN(AZ$6-$E$3,22))),0))-IF($G$2,0,IF((AZ$6-$G$3)&lt;1,0,IFERROR(LOOKUP(2,1/(Aveia!$E25:INDEX(Aveia!$E25:$Z25,MIN(AZ$6-$G$3,22))&lt;&gt;""),Aveia!$E25:INDEX(Aveia!$E25:$Z25,MIN(AZ$6-$G$3,22))),0)))))</f>
        <v>0</v>
      </c>
    </row>
    <row r="28" customFormat="false" ht="15" hidden="false" customHeight="false" outlineLevel="0" collapsed="false">
      <c r="A28" s="3" t="s">
        <v>178</v>
      </c>
      <c r="B28" s="3" t="s">
        <v>179</v>
      </c>
      <c r="C28" s="10" t="s">
        <v>148</v>
      </c>
      <c r="D28" s="26" t="n">
        <f aca="false">IF(COUNT(Aveia!$E26:$Z26)&gt;0,N(Aveia!$D26),0)</f>
        <v>0</v>
      </c>
      <c r="E28" s="27" t="n">
        <f aca="false">IF(COUNT(Aveia!$E26:$Z26)=0,0,MAX(0,IF((E$6-$E$3)&lt;1,0,IFERROR(LOOKUP(2,1/(Aveia!$E26:INDEX(Aveia!$E26:$Z26,MIN(E$6-$E$3,22))&lt;&gt;""),Aveia!$E26:INDEX(Aveia!$E26:$Z26,MIN(E$6-$E$3,22))),0))-IF($G$2,0,IF((E$6-$G$3)&lt;1,0,IFERROR(LOOKUP(2,1/(Aveia!$E26:INDEX(Aveia!$E26:$Z26,MIN(E$6-$G$3,22))&lt;&gt;""),Aveia!$E26:INDEX(Aveia!$E26:$Z26,MIN(E$6-$G$3,22))),0)))))</f>
        <v>0</v>
      </c>
      <c r="F28" s="27" t="n">
        <f aca="false">IF(COUNT(Aveia!$E26:$Z26)=0,0,MAX(0,IF((F$6-$E$3)&lt;1,0,IFERROR(LOOKUP(2,1/(Aveia!$E26:INDEX(Aveia!$E26:$Z26,MIN(F$6-$E$3,22))&lt;&gt;""),Aveia!$E26:INDEX(Aveia!$E26:$Z26,MIN(F$6-$E$3,22))),0))-IF($G$2,0,IF((F$6-$G$3)&lt;1,0,IFERROR(LOOKUP(2,1/(Aveia!$E26:INDEX(Aveia!$E26:$Z26,MIN(F$6-$G$3,22))&lt;&gt;""),Aveia!$E26:INDEX(Aveia!$E26:$Z26,MIN(F$6-$G$3,22))),0)))))</f>
        <v>0</v>
      </c>
      <c r="G28" s="27" t="n">
        <f aca="false">IF(COUNT(Aveia!$E26:$Z26)=0,0,MAX(0,IF((G$6-$E$3)&lt;1,0,IFERROR(LOOKUP(2,1/(Aveia!$E26:INDEX(Aveia!$E26:$Z26,MIN(G$6-$E$3,22))&lt;&gt;""),Aveia!$E26:INDEX(Aveia!$E26:$Z26,MIN(G$6-$E$3,22))),0))-IF($G$2,0,IF((G$6-$G$3)&lt;1,0,IFERROR(LOOKUP(2,1/(Aveia!$E26:INDEX(Aveia!$E26:$Z26,MIN(G$6-$G$3,22))&lt;&gt;""),Aveia!$E26:INDEX(Aveia!$E26:$Z26,MIN(G$6-$G$3,22))),0)))))</f>
        <v>0</v>
      </c>
      <c r="H28" s="27" t="n">
        <f aca="false">IF(COUNT(Aveia!$E26:$Z26)=0,0,MAX(0,IF((H$6-$E$3)&lt;1,0,IFERROR(LOOKUP(2,1/(Aveia!$E26:INDEX(Aveia!$E26:$Z26,MIN(H$6-$E$3,22))&lt;&gt;""),Aveia!$E26:INDEX(Aveia!$E26:$Z26,MIN(H$6-$E$3,22))),0))-IF($G$2,0,IF((H$6-$G$3)&lt;1,0,IFERROR(LOOKUP(2,1/(Aveia!$E26:INDEX(Aveia!$E26:$Z26,MIN(H$6-$G$3,22))&lt;&gt;""),Aveia!$E26:INDEX(Aveia!$E26:$Z26,MIN(H$6-$G$3,22))),0)))))</f>
        <v>0</v>
      </c>
      <c r="I28" s="27" t="n">
        <f aca="false">IF(COUNT(Aveia!$E26:$Z26)=0,0,MAX(0,IF((I$6-$E$3)&lt;1,0,IFERROR(LOOKUP(2,1/(Aveia!$E26:INDEX(Aveia!$E26:$Z26,MIN(I$6-$E$3,22))&lt;&gt;""),Aveia!$E26:INDEX(Aveia!$E26:$Z26,MIN(I$6-$E$3,22))),0))-IF($G$2,0,IF((I$6-$G$3)&lt;1,0,IFERROR(LOOKUP(2,1/(Aveia!$E26:INDEX(Aveia!$E26:$Z26,MIN(I$6-$G$3,22))&lt;&gt;""),Aveia!$E26:INDEX(Aveia!$E26:$Z26,MIN(I$6-$G$3,22))),0)))))</f>
        <v>0</v>
      </c>
      <c r="J28" s="27" t="n">
        <f aca="false">IF(COUNT(Aveia!$E26:$Z26)=0,0,MAX(0,IF((J$6-$E$3)&lt;1,0,IFERROR(LOOKUP(2,1/(Aveia!$E26:INDEX(Aveia!$E26:$Z26,MIN(J$6-$E$3,22))&lt;&gt;""),Aveia!$E26:INDEX(Aveia!$E26:$Z26,MIN(J$6-$E$3,22))),0))-IF($G$2,0,IF((J$6-$G$3)&lt;1,0,IFERROR(LOOKUP(2,1/(Aveia!$E26:INDEX(Aveia!$E26:$Z26,MIN(J$6-$G$3,22))&lt;&gt;""),Aveia!$E26:INDEX(Aveia!$E26:$Z26,MIN(J$6-$G$3,22))),0)))))</f>
        <v>0</v>
      </c>
      <c r="K28" s="27" t="n">
        <f aca="false">IF(COUNT(Aveia!$E26:$Z26)=0,0,MAX(0,IF((K$6-$E$3)&lt;1,0,IFERROR(LOOKUP(2,1/(Aveia!$E26:INDEX(Aveia!$E26:$Z26,MIN(K$6-$E$3,22))&lt;&gt;""),Aveia!$E26:INDEX(Aveia!$E26:$Z26,MIN(K$6-$E$3,22))),0))-IF($G$2,0,IF((K$6-$G$3)&lt;1,0,IFERROR(LOOKUP(2,1/(Aveia!$E26:INDEX(Aveia!$E26:$Z26,MIN(K$6-$G$3,22))&lt;&gt;""),Aveia!$E26:INDEX(Aveia!$E26:$Z26,MIN(K$6-$G$3,22))),0)))))</f>
        <v>0</v>
      </c>
      <c r="L28" s="27" t="n">
        <f aca="false">IF(COUNT(Aveia!$E26:$Z26)=0,0,MAX(0,IF((L$6-$E$3)&lt;1,0,IFERROR(LOOKUP(2,1/(Aveia!$E26:INDEX(Aveia!$E26:$Z26,MIN(L$6-$E$3,22))&lt;&gt;""),Aveia!$E26:INDEX(Aveia!$E26:$Z26,MIN(L$6-$E$3,22))),0))-IF($G$2,0,IF((L$6-$G$3)&lt;1,0,IFERROR(LOOKUP(2,1/(Aveia!$E26:INDEX(Aveia!$E26:$Z26,MIN(L$6-$G$3,22))&lt;&gt;""),Aveia!$E26:INDEX(Aveia!$E26:$Z26,MIN(L$6-$G$3,22))),0)))))</f>
        <v>0</v>
      </c>
      <c r="M28" s="27" t="n">
        <f aca="false">IF(COUNT(Aveia!$E26:$Z26)=0,0,MAX(0,IF((M$6-$E$3)&lt;1,0,IFERROR(LOOKUP(2,1/(Aveia!$E26:INDEX(Aveia!$E26:$Z26,MIN(M$6-$E$3,22))&lt;&gt;""),Aveia!$E26:INDEX(Aveia!$E26:$Z26,MIN(M$6-$E$3,22))),0))-IF($G$2,0,IF((M$6-$G$3)&lt;1,0,IFERROR(LOOKUP(2,1/(Aveia!$E26:INDEX(Aveia!$E26:$Z26,MIN(M$6-$G$3,22))&lt;&gt;""),Aveia!$E26:INDEX(Aveia!$E26:$Z26,MIN(M$6-$G$3,22))),0)))))</f>
        <v>0</v>
      </c>
      <c r="N28" s="27" t="n">
        <f aca="false">IF(COUNT(Aveia!$E26:$Z26)=0,0,MAX(0,IF((N$6-$E$3)&lt;1,0,IFERROR(LOOKUP(2,1/(Aveia!$E26:INDEX(Aveia!$E26:$Z26,MIN(N$6-$E$3,22))&lt;&gt;""),Aveia!$E26:INDEX(Aveia!$E26:$Z26,MIN(N$6-$E$3,22))),0))-IF($G$2,0,IF((N$6-$G$3)&lt;1,0,IFERROR(LOOKUP(2,1/(Aveia!$E26:INDEX(Aveia!$E26:$Z26,MIN(N$6-$G$3,22))&lt;&gt;""),Aveia!$E26:INDEX(Aveia!$E26:$Z26,MIN(N$6-$G$3,22))),0)))))</f>
        <v>0</v>
      </c>
      <c r="O28" s="27" t="n">
        <f aca="false">IF(COUNT(Aveia!$E26:$Z26)=0,0,MAX(0,IF((O$6-$E$3)&lt;1,0,IFERROR(LOOKUP(2,1/(Aveia!$E26:INDEX(Aveia!$E26:$Z26,MIN(O$6-$E$3,22))&lt;&gt;""),Aveia!$E26:INDEX(Aveia!$E26:$Z26,MIN(O$6-$E$3,22))),0))-IF($G$2,0,IF((O$6-$G$3)&lt;1,0,IFERROR(LOOKUP(2,1/(Aveia!$E26:INDEX(Aveia!$E26:$Z26,MIN(O$6-$G$3,22))&lt;&gt;""),Aveia!$E26:INDEX(Aveia!$E26:$Z26,MIN(O$6-$G$3,22))),0)))))</f>
        <v>0</v>
      </c>
      <c r="P28" s="27" t="n">
        <f aca="false">IF(COUNT(Aveia!$E26:$Z26)=0,0,MAX(0,IF((P$6-$E$3)&lt;1,0,IFERROR(LOOKUP(2,1/(Aveia!$E26:INDEX(Aveia!$E26:$Z26,MIN(P$6-$E$3,22))&lt;&gt;""),Aveia!$E26:INDEX(Aveia!$E26:$Z26,MIN(P$6-$E$3,22))),0))-IF($G$2,0,IF((P$6-$G$3)&lt;1,0,IFERROR(LOOKUP(2,1/(Aveia!$E26:INDEX(Aveia!$E26:$Z26,MIN(P$6-$G$3,22))&lt;&gt;""),Aveia!$E26:INDEX(Aveia!$E26:$Z26,MIN(P$6-$G$3,22))),0)))))</f>
        <v>0</v>
      </c>
      <c r="Q28" s="27" t="n">
        <f aca="false">IF(COUNT(Aveia!$E26:$Z26)=0,0,MAX(0,IF((Q$6-$E$3)&lt;1,0,IFERROR(LOOKUP(2,1/(Aveia!$E26:INDEX(Aveia!$E26:$Z26,MIN(Q$6-$E$3,22))&lt;&gt;""),Aveia!$E26:INDEX(Aveia!$E26:$Z26,MIN(Q$6-$E$3,22))),0))-IF($G$2,0,IF((Q$6-$G$3)&lt;1,0,IFERROR(LOOKUP(2,1/(Aveia!$E26:INDEX(Aveia!$E26:$Z26,MIN(Q$6-$G$3,22))&lt;&gt;""),Aveia!$E26:INDEX(Aveia!$E26:$Z26,MIN(Q$6-$G$3,22))),0)))))</f>
        <v>0</v>
      </c>
      <c r="R28" s="27" t="n">
        <f aca="false">IF(COUNT(Aveia!$E26:$Z26)=0,0,MAX(0,IF((R$6-$E$3)&lt;1,0,IFERROR(LOOKUP(2,1/(Aveia!$E26:INDEX(Aveia!$E26:$Z26,MIN(R$6-$E$3,22))&lt;&gt;""),Aveia!$E26:INDEX(Aveia!$E26:$Z26,MIN(R$6-$E$3,22))),0))-IF($G$2,0,IF((R$6-$G$3)&lt;1,0,IFERROR(LOOKUP(2,1/(Aveia!$E26:INDEX(Aveia!$E26:$Z26,MIN(R$6-$G$3,22))&lt;&gt;""),Aveia!$E26:INDEX(Aveia!$E26:$Z26,MIN(R$6-$G$3,22))),0)))))</f>
        <v>0</v>
      </c>
      <c r="S28" s="27" t="n">
        <f aca="false">IF(COUNT(Aveia!$E26:$Z26)=0,0,MAX(0,IF((S$6-$E$3)&lt;1,0,IFERROR(LOOKUP(2,1/(Aveia!$E26:INDEX(Aveia!$E26:$Z26,MIN(S$6-$E$3,22))&lt;&gt;""),Aveia!$E26:INDEX(Aveia!$E26:$Z26,MIN(S$6-$E$3,22))),0))-IF($G$2,0,IF((S$6-$G$3)&lt;1,0,IFERROR(LOOKUP(2,1/(Aveia!$E26:INDEX(Aveia!$E26:$Z26,MIN(S$6-$G$3,22))&lt;&gt;""),Aveia!$E26:INDEX(Aveia!$E26:$Z26,MIN(S$6-$G$3,22))),0)))))</f>
        <v>0</v>
      </c>
      <c r="T28" s="27" t="n">
        <f aca="false">IF(COUNT(Aveia!$E26:$Z26)=0,0,MAX(0,IF((T$6-$E$3)&lt;1,0,IFERROR(LOOKUP(2,1/(Aveia!$E26:INDEX(Aveia!$E26:$Z26,MIN(T$6-$E$3,22))&lt;&gt;""),Aveia!$E26:INDEX(Aveia!$E26:$Z26,MIN(T$6-$E$3,22))),0))-IF($G$2,0,IF((T$6-$G$3)&lt;1,0,IFERROR(LOOKUP(2,1/(Aveia!$E26:INDEX(Aveia!$E26:$Z26,MIN(T$6-$G$3,22))&lt;&gt;""),Aveia!$E26:INDEX(Aveia!$E26:$Z26,MIN(T$6-$G$3,22))),0)))))</f>
        <v>0</v>
      </c>
      <c r="U28" s="27" t="n">
        <f aca="false">IF(COUNT(Aveia!$E26:$Z26)=0,0,MAX(0,IF((U$6-$E$3)&lt;1,0,IFERROR(LOOKUP(2,1/(Aveia!$E26:INDEX(Aveia!$E26:$Z26,MIN(U$6-$E$3,22))&lt;&gt;""),Aveia!$E26:INDEX(Aveia!$E26:$Z26,MIN(U$6-$E$3,22))),0))-IF($G$2,0,IF((U$6-$G$3)&lt;1,0,IFERROR(LOOKUP(2,1/(Aveia!$E26:INDEX(Aveia!$E26:$Z26,MIN(U$6-$G$3,22))&lt;&gt;""),Aveia!$E26:INDEX(Aveia!$E26:$Z26,MIN(U$6-$G$3,22))),0)))))</f>
        <v>0</v>
      </c>
      <c r="V28" s="27" t="n">
        <f aca="false">IF(COUNT(Aveia!$E26:$Z26)=0,0,MAX(0,IF((V$6-$E$3)&lt;1,0,IFERROR(LOOKUP(2,1/(Aveia!$E26:INDEX(Aveia!$E26:$Z26,MIN(V$6-$E$3,22))&lt;&gt;""),Aveia!$E26:INDEX(Aveia!$E26:$Z26,MIN(V$6-$E$3,22))),0))-IF($G$2,0,IF((V$6-$G$3)&lt;1,0,IFERROR(LOOKUP(2,1/(Aveia!$E26:INDEX(Aveia!$E26:$Z26,MIN(V$6-$G$3,22))&lt;&gt;""),Aveia!$E26:INDEX(Aveia!$E26:$Z26,MIN(V$6-$G$3,22))),0)))))</f>
        <v>0</v>
      </c>
      <c r="W28" s="27" t="n">
        <f aca="false">IF(COUNT(Aveia!$E26:$Z26)=0,0,MAX(0,IF((W$6-$E$3)&lt;1,0,IFERROR(LOOKUP(2,1/(Aveia!$E26:INDEX(Aveia!$E26:$Z26,MIN(W$6-$E$3,22))&lt;&gt;""),Aveia!$E26:INDEX(Aveia!$E26:$Z26,MIN(W$6-$E$3,22))),0))-IF($G$2,0,IF((W$6-$G$3)&lt;1,0,IFERROR(LOOKUP(2,1/(Aveia!$E26:INDEX(Aveia!$E26:$Z26,MIN(W$6-$G$3,22))&lt;&gt;""),Aveia!$E26:INDEX(Aveia!$E26:$Z26,MIN(W$6-$G$3,22))),0)))))</f>
        <v>0</v>
      </c>
      <c r="X28" s="27" t="n">
        <f aca="false">IF(COUNT(Aveia!$E26:$Z26)=0,0,MAX(0,IF((X$6-$E$3)&lt;1,0,IFERROR(LOOKUP(2,1/(Aveia!$E26:INDEX(Aveia!$E26:$Z26,MIN(X$6-$E$3,22))&lt;&gt;""),Aveia!$E26:INDEX(Aveia!$E26:$Z26,MIN(X$6-$E$3,22))),0))-IF($G$2,0,IF((X$6-$G$3)&lt;1,0,IFERROR(LOOKUP(2,1/(Aveia!$E26:INDEX(Aveia!$E26:$Z26,MIN(X$6-$G$3,22))&lt;&gt;""),Aveia!$E26:INDEX(Aveia!$E26:$Z26,MIN(X$6-$G$3,22))),0)))))</f>
        <v>0</v>
      </c>
      <c r="Y28" s="27" t="n">
        <f aca="false">IF(COUNT(Aveia!$E26:$Z26)=0,0,MAX(0,IF((Y$6-$E$3)&lt;1,0,IFERROR(LOOKUP(2,1/(Aveia!$E26:INDEX(Aveia!$E26:$Z26,MIN(Y$6-$E$3,22))&lt;&gt;""),Aveia!$E26:INDEX(Aveia!$E26:$Z26,MIN(Y$6-$E$3,22))),0))-IF($G$2,0,IF((Y$6-$G$3)&lt;1,0,IFERROR(LOOKUP(2,1/(Aveia!$E26:INDEX(Aveia!$E26:$Z26,MIN(Y$6-$G$3,22))&lt;&gt;""),Aveia!$E26:INDEX(Aveia!$E26:$Z26,MIN(Y$6-$G$3,22))),0)))))</f>
        <v>0</v>
      </c>
      <c r="Z28" s="27" t="n">
        <f aca="false">IF(COUNT(Aveia!$E26:$Z26)=0,0,MAX(0,IF((Z$6-$E$3)&lt;1,0,IFERROR(LOOKUP(2,1/(Aveia!$E26:INDEX(Aveia!$E26:$Z26,MIN(Z$6-$E$3,22))&lt;&gt;""),Aveia!$E26:INDEX(Aveia!$E26:$Z26,MIN(Z$6-$E$3,22))),0))-IF($G$2,0,IF((Z$6-$G$3)&lt;1,0,IFERROR(LOOKUP(2,1/(Aveia!$E26:INDEX(Aveia!$E26:$Z26,MIN(Z$6-$G$3,22))&lt;&gt;""),Aveia!$E26:INDEX(Aveia!$E26:$Z26,MIN(Z$6-$G$3,22))),0)))))</f>
        <v>0</v>
      </c>
      <c r="AA28" s="27" t="n">
        <f aca="false">IF(COUNT(Aveia!$E26:$Z26)=0,0,MAX(0,IF((AA$6-$E$3)&lt;1,0,IFERROR(LOOKUP(2,1/(Aveia!$E26:INDEX(Aveia!$E26:$Z26,MIN(AA$6-$E$3,22))&lt;&gt;""),Aveia!$E26:INDEX(Aveia!$E26:$Z26,MIN(AA$6-$E$3,22))),0))-IF($G$2,0,IF((AA$6-$G$3)&lt;1,0,IFERROR(LOOKUP(2,1/(Aveia!$E26:INDEX(Aveia!$E26:$Z26,MIN(AA$6-$G$3,22))&lt;&gt;""),Aveia!$E26:INDEX(Aveia!$E26:$Z26,MIN(AA$6-$G$3,22))),0)))))</f>
        <v>0</v>
      </c>
      <c r="AB28" s="27" t="n">
        <f aca="false">IF(COUNT(Aveia!$E26:$Z26)=0,0,MAX(0,IF((AB$6-$E$3)&lt;1,0,IFERROR(LOOKUP(2,1/(Aveia!$E26:INDEX(Aveia!$E26:$Z26,MIN(AB$6-$E$3,22))&lt;&gt;""),Aveia!$E26:INDEX(Aveia!$E26:$Z26,MIN(AB$6-$E$3,22))),0))-IF($G$2,0,IF((AB$6-$G$3)&lt;1,0,IFERROR(LOOKUP(2,1/(Aveia!$E26:INDEX(Aveia!$E26:$Z26,MIN(AB$6-$G$3,22))&lt;&gt;""),Aveia!$E26:INDEX(Aveia!$E26:$Z26,MIN(AB$6-$G$3,22))),0)))))</f>
        <v>0</v>
      </c>
      <c r="AC28" s="27" t="n">
        <f aca="false">IF(COUNT(Aveia!$E26:$Z26)=0,0,MAX(0,IF((AC$6-$E$3)&lt;1,0,IFERROR(LOOKUP(2,1/(Aveia!$E26:INDEX(Aveia!$E26:$Z26,MIN(AC$6-$E$3,22))&lt;&gt;""),Aveia!$E26:INDEX(Aveia!$E26:$Z26,MIN(AC$6-$E$3,22))),0))-IF($G$2,0,IF((AC$6-$G$3)&lt;1,0,IFERROR(LOOKUP(2,1/(Aveia!$E26:INDEX(Aveia!$E26:$Z26,MIN(AC$6-$G$3,22))&lt;&gt;""),Aveia!$E26:INDEX(Aveia!$E26:$Z26,MIN(AC$6-$G$3,22))),0)))))</f>
        <v>0</v>
      </c>
      <c r="AD28" s="27" t="n">
        <f aca="false">IF(COUNT(Aveia!$E26:$Z26)=0,0,MAX(0,IF((AD$6-$E$3)&lt;1,0,IFERROR(LOOKUP(2,1/(Aveia!$E26:INDEX(Aveia!$E26:$Z26,MIN(AD$6-$E$3,22))&lt;&gt;""),Aveia!$E26:INDEX(Aveia!$E26:$Z26,MIN(AD$6-$E$3,22))),0))-IF($G$2,0,IF((AD$6-$G$3)&lt;1,0,IFERROR(LOOKUP(2,1/(Aveia!$E26:INDEX(Aveia!$E26:$Z26,MIN(AD$6-$G$3,22))&lt;&gt;""),Aveia!$E26:INDEX(Aveia!$E26:$Z26,MIN(AD$6-$G$3,22))),0)))))</f>
        <v>0</v>
      </c>
      <c r="AE28" s="27" t="n">
        <f aca="false">IF(COUNT(Aveia!$E26:$Z26)=0,0,MAX(0,IF((AE$6-$E$3)&lt;1,0,IFERROR(LOOKUP(2,1/(Aveia!$E26:INDEX(Aveia!$E26:$Z26,MIN(AE$6-$E$3,22))&lt;&gt;""),Aveia!$E26:INDEX(Aveia!$E26:$Z26,MIN(AE$6-$E$3,22))),0))-IF($G$2,0,IF((AE$6-$G$3)&lt;1,0,IFERROR(LOOKUP(2,1/(Aveia!$E26:INDEX(Aveia!$E26:$Z26,MIN(AE$6-$G$3,22))&lt;&gt;""),Aveia!$E26:INDEX(Aveia!$E26:$Z26,MIN(AE$6-$G$3,22))),0)))))</f>
        <v>0</v>
      </c>
      <c r="AF28" s="27" t="n">
        <f aca="false">IF(COUNT(Aveia!$E26:$Z26)=0,0,MAX(0,IF((AF$6-$E$3)&lt;1,0,IFERROR(LOOKUP(2,1/(Aveia!$E26:INDEX(Aveia!$E26:$Z26,MIN(AF$6-$E$3,22))&lt;&gt;""),Aveia!$E26:INDEX(Aveia!$E26:$Z26,MIN(AF$6-$E$3,22))),0))-IF($G$2,0,IF((AF$6-$G$3)&lt;1,0,IFERROR(LOOKUP(2,1/(Aveia!$E26:INDEX(Aveia!$E26:$Z26,MIN(AF$6-$G$3,22))&lt;&gt;""),Aveia!$E26:INDEX(Aveia!$E26:$Z26,MIN(AF$6-$G$3,22))),0)))))</f>
        <v>0</v>
      </c>
      <c r="AG28" s="27" t="n">
        <f aca="false">IF(COUNT(Aveia!$E26:$Z26)=0,0,MAX(0,IF((AG$6-$E$3)&lt;1,0,IFERROR(LOOKUP(2,1/(Aveia!$E26:INDEX(Aveia!$E26:$Z26,MIN(AG$6-$E$3,22))&lt;&gt;""),Aveia!$E26:INDEX(Aveia!$E26:$Z26,MIN(AG$6-$E$3,22))),0))-IF($G$2,0,IF((AG$6-$G$3)&lt;1,0,IFERROR(LOOKUP(2,1/(Aveia!$E26:INDEX(Aveia!$E26:$Z26,MIN(AG$6-$G$3,22))&lt;&gt;""),Aveia!$E26:INDEX(Aveia!$E26:$Z26,MIN(AG$6-$G$3,22))),0)))))</f>
        <v>0</v>
      </c>
      <c r="AH28" s="27" t="n">
        <f aca="false">IF(COUNT(Aveia!$E26:$Z26)=0,0,MAX(0,IF((AH$6-$E$3)&lt;1,0,IFERROR(LOOKUP(2,1/(Aveia!$E26:INDEX(Aveia!$E26:$Z26,MIN(AH$6-$E$3,22))&lt;&gt;""),Aveia!$E26:INDEX(Aveia!$E26:$Z26,MIN(AH$6-$E$3,22))),0))-IF($G$2,0,IF((AH$6-$G$3)&lt;1,0,IFERROR(LOOKUP(2,1/(Aveia!$E26:INDEX(Aveia!$E26:$Z26,MIN(AH$6-$G$3,22))&lt;&gt;""),Aveia!$E26:INDEX(Aveia!$E26:$Z26,MIN(AH$6-$G$3,22))),0)))))</f>
        <v>0</v>
      </c>
      <c r="AI28" s="27" t="n">
        <f aca="false">IF(COUNT(Aveia!$E26:$Z26)=0,0,MAX(0,IF((AI$6-$E$3)&lt;1,0,IFERROR(LOOKUP(2,1/(Aveia!$E26:INDEX(Aveia!$E26:$Z26,MIN(AI$6-$E$3,22))&lt;&gt;""),Aveia!$E26:INDEX(Aveia!$E26:$Z26,MIN(AI$6-$E$3,22))),0))-IF($G$2,0,IF((AI$6-$G$3)&lt;1,0,IFERROR(LOOKUP(2,1/(Aveia!$E26:INDEX(Aveia!$E26:$Z26,MIN(AI$6-$G$3,22))&lt;&gt;""),Aveia!$E26:INDEX(Aveia!$E26:$Z26,MIN(AI$6-$G$3,22))),0)))))</f>
        <v>0</v>
      </c>
      <c r="AJ28" s="27" t="n">
        <f aca="false">IF(COUNT(Aveia!$E26:$Z26)=0,0,MAX(0,IF((AJ$6-$E$3)&lt;1,0,IFERROR(LOOKUP(2,1/(Aveia!$E26:INDEX(Aveia!$E26:$Z26,MIN(AJ$6-$E$3,22))&lt;&gt;""),Aveia!$E26:INDEX(Aveia!$E26:$Z26,MIN(AJ$6-$E$3,22))),0))-IF($G$2,0,IF((AJ$6-$G$3)&lt;1,0,IFERROR(LOOKUP(2,1/(Aveia!$E26:INDEX(Aveia!$E26:$Z26,MIN(AJ$6-$G$3,22))&lt;&gt;""),Aveia!$E26:INDEX(Aveia!$E26:$Z26,MIN(AJ$6-$G$3,22))),0)))))</f>
        <v>0</v>
      </c>
      <c r="AK28" s="27" t="n">
        <f aca="false">IF(COUNT(Aveia!$E26:$Z26)=0,0,MAX(0,IF((AK$6-$E$3)&lt;1,0,IFERROR(LOOKUP(2,1/(Aveia!$E26:INDEX(Aveia!$E26:$Z26,MIN(AK$6-$E$3,22))&lt;&gt;""),Aveia!$E26:INDEX(Aveia!$E26:$Z26,MIN(AK$6-$E$3,22))),0))-IF($G$2,0,IF((AK$6-$G$3)&lt;1,0,IFERROR(LOOKUP(2,1/(Aveia!$E26:INDEX(Aveia!$E26:$Z26,MIN(AK$6-$G$3,22))&lt;&gt;""),Aveia!$E26:INDEX(Aveia!$E26:$Z26,MIN(AK$6-$G$3,22))),0)))))</f>
        <v>0</v>
      </c>
      <c r="AL28" s="27" t="n">
        <f aca="false">IF(COUNT(Aveia!$E26:$Z26)=0,0,MAX(0,IF((AL$6-$E$3)&lt;1,0,IFERROR(LOOKUP(2,1/(Aveia!$E26:INDEX(Aveia!$E26:$Z26,MIN(AL$6-$E$3,22))&lt;&gt;""),Aveia!$E26:INDEX(Aveia!$E26:$Z26,MIN(AL$6-$E$3,22))),0))-IF($G$2,0,IF((AL$6-$G$3)&lt;1,0,IFERROR(LOOKUP(2,1/(Aveia!$E26:INDEX(Aveia!$E26:$Z26,MIN(AL$6-$G$3,22))&lt;&gt;""),Aveia!$E26:INDEX(Aveia!$E26:$Z26,MIN(AL$6-$G$3,22))),0)))))</f>
        <v>0</v>
      </c>
      <c r="AM28" s="27" t="n">
        <f aca="false">IF(COUNT(Aveia!$E26:$Z26)=0,0,MAX(0,IF((AM$6-$E$3)&lt;1,0,IFERROR(LOOKUP(2,1/(Aveia!$E26:INDEX(Aveia!$E26:$Z26,MIN(AM$6-$E$3,22))&lt;&gt;""),Aveia!$E26:INDEX(Aveia!$E26:$Z26,MIN(AM$6-$E$3,22))),0))-IF($G$2,0,IF((AM$6-$G$3)&lt;1,0,IFERROR(LOOKUP(2,1/(Aveia!$E26:INDEX(Aveia!$E26:$Z26,MIN(AM$6-$G$3,22))&lt;&gt;""),Aveia!$E26:INDEX(Aveia!$E26:$Z26,MIN(AM$6-$G$3,22))),0)))))</f>
        <v>0</v>
      </c>
      <c r="AN28" s="27" t="n">
        <f aca="false">IF(COUNT(Aveia!$E26:$Z26)=0,0,MAX(0,IF((AN$6-$E$3)&lt;1,0,IFERROR(LOOKUP(2,1/(Aveia!$E26:INDEX(Aveia!$E26:$Z26,MIN(AN$6-$E$3,22))&lt;&gt;""),Aveia!$E26:INDEX(Aveia!$E26:$Z26,MIN(AN$6-$E$3,22))),0))-IF($G$2,0,IF((AN$6-$G$3)&lt;1,0,IFERROR(LOOKUP(2,1/(Aveia!$E26:INDEX(Aveia!$E26:$Z26,MIN(AN$6-$G$3,22))&lt;&gt;""),Aveia!$E26:INDEX(Aveia!$E26:$Z26,MIN(AN$6-$G$3,22))),0)))))</f>
        <v>0</v>
      </c>
      <c r="AO28" s="27" t="n">
        <f aca="false">IF(COUNT(Aveia!$E26:$Z26)=0,0,MAX(0,IF((AO$6-$E$3)&lt;1,0,IFERROR(LOOKUP(2,1/(Aveia!$E26:INDEX(Aveia!$E26:$Z26,MIN(AO$6-$E$3,22))&lt;&gt;""),Aveia!$E26:INDEX(Aveia!$E26:$Z26,MIN(AO$6-$E$3,22))),0))-IF($G$2,0,IF((AO$6-$G$3)&lt;1,0,IFERROR(LOOKUP(2,1/(Aveia!$E26:INDEX(Aveia!$E26:$Z26,MIN(AO$6-$G$3,22))&lt;&gt;""),Aveia!$E26:INDEX(Aveia!$E26:$Z26,MIN(AO$6-$G$3,22))),0)))))</f>
        <v>0</v>
      </c>
      <c r="AP28" s="27" t="n">
        <f aca="false">IF(COUNT(Aveia!$E26:$Z26)=0,0,MAX(0,IF((AP$6-$E$3)&lt;1,0,IFERROR(LOOKUP(2,1/(Aveia!$E26:INDEX(Aveia!$E26:$Z26,MIN(AP$6-$E$3,22))&lt;&gt;""),Aveia!$E26:INDEX(Aveia!$E26:$Z26,MIN(AP$6-$E$3,22))),0))-IF($G$2,0,IF((AP$6-$G$3)&lt;1,0,IFERROR(LOOKUP(2,1/(Aveia!$E26:INDEX(Aveia!$E26:$Z26,MIN(AP$6-$G$3,22))&lt;&gt;""),Aveia!$E26:INDEX(Aveia!$E26:$Z26,MIN(AP$6-$G$3,22))),0)))))</f>
        <v>0</v>
      </c>
      <c r="AQ28" s="27" t="n">
        <f aca="false">IF(COUNT(Aveia!$E26:$Z26)=0,0,MAX(0,IF((AQ$6-$E$3)&lt;1,0,IFERROR(LOOKUP(2,1/(Aveia!$E26:INDEX(Aveia!$E26:$Z26,MIN(AQ$6-$E$3,22))&lt;&gt;""),Aveia!$E26:INDEX(Aveia!$E26:$Z26,MIN(AQ$6-$E$3,22))),0))-IF($G$2,0,IF((AQ$6-$G$3)&lt;1,0,IFERROR(LOOKUP(2,1/(Aveia!$E26:INDEX(Aveia!$E26:$Z26,MIN(AQ$6-$G$3,22))&lt;&gt;""),Aveia!$E26:INDEX(Aveia!$E26:$Z26,MIN(AQ$6-$G$3,22))),0)))))</f>
        <v>0</v>
      </c>
      <c r="AR28" s="27" t="n">
        <f aca="false">IF(COUNT(Aveia!$E26:$Z26)=0,0,MAX(0,IF((AR$6-$E$3)&lt;1,0,IFERROR(LOOKUP(2,1/(Aveia!$E26:INDEX(Aveia!$E26:$Z26,MIN(AR$6-$E$3,22))&lt;&gt;""),Aveia!$E26:INDEX(Aveia!$E26:$Z26,MIN(AR$6-$E$3,22))),0))-IF($G$2,0,IF((AR$6-$G$3)&lt;1,0,IFERROR(LOOKUP(2,1/(Aveia!$E26:INDEX(Aveia!$E26:$Z26,MIN(AR$6-$G$3,22))&lt;&gt;""),Aveia!$E26:INDEX(Aveia!$E26:$Z26,MIN(AR$6-$G$3,22))),0)))))</f>
        <v>0</v>
      </c>
      <c r="AS28" s="27" t="n">
        <f aca="false">IF(COUNT(Aveia!$E26:$Z26)=0,0,MAX(0,IF((AS$6-$E$3)&lt;1,0,IFERROR(LOOKUP(2,1/(Aveia!$E26:INDEX(Aveia!$E26:$Z26,MIN(AS$6-$E$3,22))&lt;&gt;""),Aveia!$E26:INDEX(Aveia!$E26:$Z26,MIN(AS$6-$E$3,22))),0))-IF($G$2,0,IF((AS$6-$G$3)&lt;1,0,IFERROR(LOOKUP(2,1/(Aveia!$E26:INDEX(Aveia!$E26:$Z26,MIN(AS$6-$G$3,22))&lt;&gt;""),Aveia!$E26:INDEX(Aveia!$E26:$Z26,MIN(AS$6-$G$3,22))),0)))))</f>
        <v>0</v>
      </c>
      <c r="AT28" s="27" t="n">
        <f aca="false">IF(COUNT(Aveia!$E26:$Z26)=0,0,MAX(0,IF((AT$6-$E$3)&lt;1,0,IFERROR(LOOKUP(2,1/(Aveia!$E26:INDEX(Aveia!$E26:$Z26,MIN(AT$6-$E$3,22))&lt;&gt;""),Aveia!$E26:INDEX(Aveia!$E26:$Z26,MIN(AT$6-$E$3,22))),0))-IF($G$2,0,IF((AT$6-$G$3)&lt;1,0,IFERROR(LOOKUP(2,1/(Aveia!$E26:INDEX(Aveia!$E26:$Z26,MIN(AT$6-$G$3,22))&lt;&gt;""),Aveia!$E26:INDEX(Aveia!$E26:$Z26,MIN(AT$6-$G$3,22))),0)))))</f>
        <v>0</v>
      </c>
      <c r="AU28" s="27" t="n">
        <f aca="false">IF(COUNT(Aveia!$E26:$Z26)=0,0,MAX(0,IF((AU$6-$E$3)&lt;1,0,IFERROR(LOOKUP(2,1/(Aveia!$E26:INDEX(Aveia!$E26:$Z26,MIN(AU$6-$E$3,22))&lt;&gt;""),Aveia!$E26:INDEX(Aveia!$E26:$Z26,MIN(AU$6-$E$3,22))),0))-IF($G$2,0,IF((AU$6-$G$3)&lt;1,0,IFERROR(LOOKUP(2,1/(Aveia!$E26:INDEX(Aveia!$E26:$Z26,MIN(AU$6-$G$3,22))&lt;&gt;""),Aveia!$E26:INDEX(Aveia!$E26:$Z26,MIN(AU$6-$G$3,22))),0)))))</f>
        <v>0</v>
      </c>
      <c r="AV28" s="27" t="n">
        <f aca="false">IF(COUNT(Aveia!$E26:$Z26)=0,0,MAX(0,IF((AV$6-$E$3)&lt;1,0,IFERROR(LOOKUP(2,1/(Aveia!$E26:INDEX(Aveia!$E26:$Z26,MIN(AV$6-$E$3,22))&lt;&gt;""),Aveia!$E26:INDEX(Aveia!$E26:$Z26,MIN(AV$6-$E$3,22))),0))-IF($G$2,0,IF((AV$6-$G$3)&lt;1,0,IFERROR(LOOKUP(2,1/(Aveia!$E26:INDEX(Aveia!$E26:$Z26,MIN(AV$6-$G$3,22))&lt;&gt;""),Aveia!$E26:INDEX(Aveia!$E26:$Z26,MIN(AV$6-$G$3,22))),0)))))</f>
        <v>0</v>
      </c>
      <c r="AW28" s="27" t="n">
        <f aca="false">IF(COUNT(Aveia!$E26:$Z26)=0,0,MAX(0,IF((AW$6-$E$3)&lt;1,0,IFERROR(LOOKUP(2,1/(Aveia!$E26:INDEX(Aveia!$E26:$Z26,MIN(AW$6-$E$3,22))&lt;&gt;""),Aveia!$E26:INDEX(Aveia!$E26:$Z26,MIN(AW$6-$E$3,22))),0))-IF($G$2,0,IF((AW$6-$G$3)&lt;1,0,IFERROR(LOOKUP(2,1/(Aveia!$E26:INDEX(Aveia!$E26:$Z26,MIN(AW$6-$G$3,22))&lt;&gt;""),Aveia!$E26:INDEX(Aveia!$E26:$Z26,MIN(AW$6-$G$3,22))),0)))))</f>
        <v>0</v>
      </c>
      <c r="AX28" s="27" t="n">
        <f aca="false">IF(COUNT(Aveia!$E26:$Z26)=0,0,MAX(0,IF((AX$6-$E$3)&lt;1,0,IFERROR(LOOKUP(2,1/(Aveia!$E26:INDEX(Aveia!$E26:$Z26,MIN(AX$6-$E$3,22))&lt;&gt;""),Aveia!$E26:INDEX(Aveia!$E26:$Z26,MIN(AX$6-$E$3,22))),0))-IF($G$2,0,IF((AX$6-$G$3)&lt;1,0,IFERROR(LOOKUP(2,1/(Aveia!$E26:INDEX(Aveia!$E26:$Z26,MIN(AX$6-$G$3,22))&lt;&gt;""),Aveia!$E26:INDEX(Aveia!$E26:$Z26,MIN(AX$6-$G$3,22))),0)))))</f>
        <v>0</v>
      </c>
      <c r="AY28" s="27" t="n">
        <f aca="false">IF(COUNT(Aveia!$E26:$Z26)=0,0,MAX(0,IF((AY$6-$E$3)&lt;1,0,IFERROR(LOOKUP(2,1/(Aveia!$E26:INDEX(Aveia!$E26:$Z26,MIN(AY$6-$E$3,22))&lt;&gt;""),Aveia!$E26:INDEX(Aveia!$E26:$Z26,MIN(AY$6-$E$3,22))),0))-IF($G$2,0,IF((AY$6-$G$3)&lt;1,0,IFERROR(LOOKUP(2,1/(Aveia!$E26:INDEX(Aveia!$E26:$Z26,MIN(AY$6-$G$3,22))&lt;&gt;""),Aveia!$E26:INDEX(Aveia!$E26:$Z26,MIN(AY$6-$G$3,22))),0)))))</f>
        <v>0</v>
      </c>
      <c r="AZ28" s="27" t="n">
        <f aca="false">IF(COUNT(Aveia!$E26:$Z26)=0,0,MAX(0,IF((AZ$6-$E$3)&lt;1,0,IFERROR(LOOKUP(2,1/(Aveia!$E26:INDEX(Aveia!$E26:$Z26,MIN(AZ$6-$E$3,22))&lt;&gt;""),Aveia!$E26:INDEX(Aveia!$E26:$Z26,MIN(AZ$6-$E$3,22))),0))-IF($G$2,0,IF((AZ$6-$G$3)&lt;1,0,IFERROR(LOOKUP(2,1/(Aveia!$E26:INDEX(Aveia!$E26:$Z26,MIN(AZ$6-$G$3,22))&lt;&gt;""),Aveia!$E26:INDEX(Aveia!$E26:$Z26,MIN(AZ$6-$G$3,22))),0)))))</f>
        <v>0</v>
      </c>
    </row>
    <row r="29" customFormat="false" ht="15" hidden="false" customHeight="false" outlineLevel="0" collapsed="false">
      <c r="A29" s="3" t="s">
        <v>180</v>
      </c>
      <c r="B29" s="3" t="s">
        <v>181</v>
      </c>
      <c r="C29" s="10" t="s">
        <v>148</v>
      </c>
      <c r="D29" s="26" t="n">
        <f aca="false">IF(COUNT(Aveia!$E27:$Z27)&gt;0,N(Aveia!$D27),0)</f>
        <v>0</v>
      </c>
      <c r="E29" s="27" t="n">
        <f aca="false">IF(COUNT(Aveia!$E27:$Z27)=0,0,MAX(0,IF((E$6-$E$3)&lt;1,0,IFERROR(LOOKUP(2,1/(Aveia!$E27:INDEX(Aveia!$E27:$Z27,MIN(E$6-$E$3,22))&lt;&gt;""),Aveia!$E27:INDEX(Aveia!$E27:$Z27,MIN(E$6-$E$3,22))),0))-IF($G$2,0,IF((E$6-$G$3)&lt;1,0,IFERROR(LOOKUP(2,1/(Aveia!$E27:INDEX(Aveia!$E27:$Z27,MIN(E$6-$G$3,22))&lt;&gt;""),Aveia!$E27:INDEX(Aveia!$E27:$Z27,MIN(E$6-$G$3,22))),0)))))</f>
        <v>0</v>
      </c>
      <c r="F29" s="27" t="n">
        <f aca="false">IF(COUNT(Aveia!$E27:$Z27)=0,0,MAX(0,IF((F$6-$E$3)&lt;1,0,IFERROR(LOOKUP(2,1/(Aveia!$E27:INDEX(Aveia!$E27:$Z27,MIN(F$6-$E$3,22))&lt;&gt;""),Aveia!$E27:INDEX(Aveia!$E27:$Z27,MIN(F$6-$E$3,22))),0))-IF($G$2,0,IF((F$6-$G$3)&lt;1,0,IFERROR(LOOKUP(2,1/(Aveia!$E27:INDEX(Aveia!$E27:$Z27,MIN(F$6-$G$3,22))&lt;&gt;""),Aveia!$E27:INDEX(Aveia!$E27:$Z27,MIN(F$6-$G$3,22))),0)))))</f>
        <v>0</v>
      </c>
      <c r="G29" s="27" t="n">
        <f aca="false">IF(COUNT(Aveia!$E27:$Z27)=0,0,MAX(0,IF((G$6-$E$3)&lt;1,0,IFERROR(LOOKUP(2,1/(Aveia!$E27:INDEX(Aveia!$E27:$Z27,MIN(G$6-$E$3,22))&lt;&gt;""),Aveia!$E27:INDEX(Aveia!$E27:$Z27,MIN(G$6-$E$3,22))),0))-IF($G$2,0,IF((G$6-$G$3)&lt;1,0,IFERROR(LOOKUP(2,1/(Aveia!$E27:INDEX(Aveia!$E27:$Z27,MIN(G$6-$G$3,22))&lt;&gt;""),Aveia!$E27:INDEX(Aveia!$E27:$Z27,MIN(G$6-$G$3,22))),0)))))</f>
        <v>0</v>
      </c>
      <c r="H29" s="27" t="n">
        <f aca="false">IF(COUNT(Aveia!$E27:$Z27)=0,0,MAX(0,IF((H$6-$E$3)&lt;1,0,IFERROR(LOOKUP(2,1/(Aveia!$E27:INDEX(Aveia!$E27:$Z27,MIN(H$6-$E$3,22))&lt;&gt;""),Aveia!$E27:INDEX(Aveia!$E27:$Z27,MIN(H$6-$E$3,22))),0))-IF($G$2,0,IF((H$6-$G$3)&lt;1,0,IFERROR(LOOKUP(2,1/(Aveia!$E27:INDEX(Aveia!$E27:$Z27,MIN(H$6-$G$3,22))&lt;&gt;""),Aveia!$E27:INDEX(Aveia!$E27:$Z27,MIN(H$6-$G$3,22))),0)))))</f>
        <v>0</v>
      </c>
      <c r="I29" s="27" t="n">
        <f aca="false">IF(COUNT(Aveia!$E27:$Z27)=0,0,MAX(0,IF((I$6-$E$3)&lt;1,0,IFERROR(LOOKUP(2,1/(Aveia!$E27:INDEX(Aveia!$E27:$Z27,MIN(I$6-$E$3,22))&lt;&gt;""),Aveia!$E27:INDEX(Aveia!$E27:$Z27,MIN(I$6-$E$3,22))),0))-IF($G$2,0,IF((I$6-$G$3)&lt;1,0,IFERROR(LOOKUP(2,1/(Aveia!$E27:INDEX(Aveia!$E27:$Z27,MIN(I$6-$G$3,22))&lt;&gt;""),Aveia!$E27:INDEX(Aveia!$E27:$Z27,MIN(I$6-$G$3,22))),0)))))</f>
        <v>0</v>
      </c>
      <c r="J29" s="27" t="n">
        <f aca="false">IF(COUNT(Aveia!$E27:$Z27)=0,0,MAX(0,IF((J$6-$E$3)&lt;1,0,IFERROR(LOOKUP(2,1/(Aveia!$E27:INDEX(Aveia!$E27:$Z27,MIN(J$6-$E$3,22))&lt;&gt;""),Aveia!$E27:INDEX(Aveia!$E27:$Z27,MIN(J$6-$E$3,22))),0))-IF($G$2,0,IF((J$6-$G$3)&lt;1,0,IFERROR(LOOKUP(2,1/(Aveia!$E27:INDEX(Aveia!$E27:$Z27,MIN(J$6-$G$3,22))&lt;&gt;""),Aveia!$E27:INDEX(Aveia!$E27:$Z27,MIN(J$6-$G$3,22))),0)))))</f>
        <v>0</v>
      </c>
      <c r="K29" s="27" t="n">
        <f aca="false">IF(COUNT(Aveia!$E27:$Z27)=0,0,MAX(0,IF((K$6-$E$3)&lt;1,0,IFERROR(LOOKUP(2,1/(Aveia!$E27:INDEX(Aveia!$E27:$Z27,MIN(K$6-$E$3,22))&lt;&gt;""),Aveia!$E27:INDEX(Aveia!$E27:$Z27,MIN(K$6-$E$3,22))),0))-IF($G$2,0,IF((K$6-$G$3)&lt;1,0,IFERROR(LOOKUP(2,1/(Aveia!$E27:INDEX(Aveia!$E27:$Z27,MIN(K$6-$G$3,22))&lt;&gt;""),Aveia!$E27:INDEX(Aveia!$E27:$Z27,MIN(K$6-$G$3,22))),0)))))</f>
        <v>0</v>
      </c>
      <c r="L29" s="27" t="n">
        <f aca="false">IF(COUNT(Aveia!$E27:$Z27)=0,0,MAX(0,IF((L$6-$E$3)&lt;1,0,IFERROR(LOOKUP(2,1/(Aveia!$E27:INDEX(Aveia!$E27:$Z27,MIN(L$6-$E$3,22))&lt;&gt;""),Aveia!$E27:INDEX(Aveia!$E27:$Z27,MIN(L$6-$E$3,22))),0))-IF($G$2,0,IF((L$6-$G$3)&lt;1,0,IFERROR(LOOKUP(2,1/(Aveia!$E27:INDEX(Aveia!$E27:$Z27,MIN(L$6-$G$3,22))&lt;&gt;""),Aveia!$E27:INDEX(Aveia!$E27:$Z27,MIN(L$6-$G$3,22))),0)))))</f>
        <v>0</v>
      </c>
      <c r="M29" s="27" t="n">
        <f aca="false">IF(COUNT(Aveia!$E27:$Z27)=0,0,MAX(0,IF((M$6-$E$3)&lt;1,0,IFERROR(LOOKUP(2,1/(Aveia!$E27:INDEX(Aveia!$E27:$Z27,MIN(M$6-$E$3,22))&lt;&gt;""),Aveia!$E27:INDEX(Aveia!$E27:$Z27,MIN(M$6-$E$3,22))),0))-IF($G$2,0,IF((M$6-$G$3)&lt;1,0,IFERROR(LOOKUP(2,1/(Aveia!$E27:INDEX(Aveia!$E27:$Z27,MIN(M$6-$G$3,22))&lt;&gt;""),Aveia!$E27:INDEX(Aveia!$E27:$Z27,MIN(M$6-$G$3,22))),0)))))</f>
        <v>0</v>
      </c>
      <c r="N29" s="27" t="n">
        <f aca="false">IF(COUNT(Aveia!$E27:$Z27)=0,0,MAX(0,IF((N$6-$E$3)&lt;1,0,IFERROR(LOOKUP(2,1/(Aveia!$E27:INDEX(Aveia!$E27:$Z27,MIN(N$6-$E$3,22))&lt;&gt;""),Aveia!$E27:INDEX(Aveia!$E27:$Z27,MIN(N$6-$E$3,22))),0))-IF($G$2,0,IF((N$6-$G$3)&lt;1,0,IFERROR(LOOKUP(2,1/(Aveia!$E27:INDEX(Aveia!$E27:$Z27,MIN(N$6-$G$3,22))&lt;&gt;""),Aveia!$E27:INDEX(Aveia!$E27:$Z27,MIN(N$6-$G$3,22))),0)))))</f>
        <v>0</v>
      </c>
      <c r="O29" s="27" t="n">
        <f aca="false">IF(COUNT(Aveia!$E27:$Z27)=0,0,MAX(0,IF((O$6-$E$3)&lt;1,0,IFERROR(LOOKUP(2,1/(Aveia!$E27:INDEX(Aveia!$E27:$Z27,MIN(O$6-$E$3,22))&lt;&gt;""),Aveia!$E27:INDEX(Aveia!$E27:$Z27,MIN(O$6-$E$3,22))),0))-IF($G$2,0,IF((O$6-$G$3)&lt;1,0,IFERROR(LOOKUP(2,1/(Aveia!$E27:INDEX(Aveia!$E27:$Z27,MIN(O$6-$G$3,22))&lt;&gt;""),Aveia!$E27:INDEX(Aveia!$E27:$Z27,MIN(O$6-$G$3,22))),0)))))</f>
        <v>0</v>
      </c>
      <c r="P29" s="27" t="n">
        <f aca="false">IF(COUNT(Aveia!$E27:$Z27)=0,0,MAX(0,IF((P$6-$E$3)&lt;1,0,IFERROR(LOOKUP(2,1/(Aveia!$E27:INDEX(Aveia!$E27:$Z27,MIN(P$6-$E$3,22))&lt;&gt;""),Aveia!$E27:INDEX(Aveia!$E27:$Z27,MIN(P$6-$E$3,22))),0))-IF($G$2,0,IF((P$6-$G$3)&lt;1,0,IFERROR(LOOKUP(2,1/(Aveia!$E27:INDEX(Aveia!$E27:$Z27,MIN(P$6-$G$3,22))&lt;&gt;""),Aveia!$E27:INDEX(Aveia!$E27:$Z27,MIN(P$6-$G$3,22))),0)))))</f>
        <v>0</v>
      </c>
      <c r="Q29" s="27" t="n">
        <f aca="false">IF(COUNT(Aveia!$E27:$Z27)=0,0,MAX(0,IF((Q$6-$E$3)&lt;1,0,IFERROR(LOOKUP(2,1/(Aveia!$E27:INDEX(Aveia!$E27:$Z27,MIN(Q$6-$E$3,22))&lt;&gt;""),Aveia!$E27:INDEX(Aveia!$E27:$Z27,MIN(Q$6-$E$3,22))),0))-IF($G$2,0,IF((Q$6-$G$3)&lt;1,0,IFERROR(LOOKUP(2,1/(Aveia!$E27:INDEX(Aveia!$E27:$Z27,MIN(Q$6-$G$3,22))&lt;&gt;""),Aveia!$E27:INDEX(Aveia!$E27:$Z27,MIN(Q$6-$G$3,22))),0)))))</f>
        <v>0</v>
      </c>
      <c r="R29" s="27" t="n">
        <f aca="false">IF(COUNT(Aveia!$E27:$Z27)=0,0,MAX(0,IF((R$6-$E$3)&lt;1,0,IFERROR(LOOKUP(2,1/(Aveia!$E27:INDEX(Aveia!$E27:$Z27,MIN(R$6-$E$3,22))&lt;&gt;""),Aveia!$E27:INDEX(Aveia!$E27:$Z27,MIN(R$6-$E$3,22))),0))-IF($G$2,0,IF((R$6-$G$3)&lt;1,0,IFERROR(LOOKUP(2,1/(Aveia!$E27:INDEX(Aveia!$E27:$Z27,MIN(R$6-$G$3,22))&lt;&gt;""),Aveia!$E27:INDEX(Aveia!$E27:$Z27,MIN(R$6-$G$3,22))),0)))))</f>
        <v>0</v>
      </c>
      <c r="S29" s="27" t="n">
        <f aca="false">IF(COUNT(Aveia!$E27:$Z27)=0,0,MAX(0,IF((S$6-$E$3)&lt;1,0,IFERROR(LOOKUP(2,1/(Aveia!$E27:INDEX(Aveia!$E27:$Z27,MIN(S$6-$E$3,22))&lt;&gt;""),Aveia!$E27:INDEX(Aveia!$E27:$Z27,MIN(S$6-$E$3,22))),0))-IF($G$2,0,IF((S$6-$G$3)&lt;1,0,IFERROR(LOOKUP(2,1/(Aveia!$E27:INDEX(Aveia!$E27:$Z27,MIN(S$6-$G$3,22))&lt;&gt;""),Aveia!$E27:INDEX(Aveia!$E27:$Z27,MIN(S$6-$G$3,22))),0)))))</f>
        <v>0</v>
      </c>
      <c r="T29" s="27" t="n">
        <f aca="false">IF(COUNT(Aveia!$E27:$Z27)=0,0,MAX(0,IF((T$6-$E$3)&lt;1,0,IFERROR(LOOKUP(2,1/(Aveia!$E27:INDEX(Aveia!$E27:$Z27,MIN(T$6-$E$3,22))&lt;&gt;""),Aveia!$E27:INDEX(Aveia!$E27:$Z27,MIN(T$6-$E$3,22))),0))-IF($G$2,0,IF((T$6-$G$3)&lt;1,0,IFERROR(LOOKUP(2,1/(Aveia!$E27:INDEX(Aveia!$E27:$Z27,MIN(T$6-$G$3,22))&lt;&gt;""),Aveia!$E27:INDEX(Aveia!$E27:$Z27,MIN(T$6-$G$3,22))),0)))))</f>
        <v>0</v>
      </c>
      <c r="U29" s="27" t="n">
        <f aca="false">IF(COUNT(Aveia!$E27:$Z27)=0,0,MAX(0,IF((U$6-$E$3)&lt;1,0,IFERROR(LOOKUP(2,1/(Aveia!$E27:INDEX(Aveia!$E27:$Z27,MIN(U$6-$E$3,22))&lt;&gt;""),Aveia!$E27:INDEX(Aveia!$E27:$Z27,MIN(U$6-$E$3,22))),0))-IF($G$2,0,IF((U$6-$G$3)&lt;1,0,IFERROR(LOOKUP(2,1/(Aveia!$E27:INDEX(Aveia!$E27:$Z27,MIN(U$6-$G$3,22))&lt;&gt;""),Aveia!$E27:INDEX(Aveia!$E27:$Z27,MIN(U$6-$G$3,22))),0)))))</f>
        <v>0</v>
      </c>
      <c r="V29" s="27" t="n">
        <f aca="false">IF(COUNT(Aveia!$E27:$Z27)=0,0,MAX(0,IF((V$6-$E$3)&lt;1,0,IFERROR(LOOKUP(2,1/(Aveia!$E27:INDEX(Aveia!$E27:$Z27,MIN(V$6-$E$3,22))&lt;&gt;""),Aveia!$E27:INDEX(Aveia!$E27:$Z27,MIN(V$6-$E$3,22))),0))-IF($G$2,0,IF((V$6-$G$3)&lt;1,0,IFERROR(LOOKUP(2,1/(Aveia!$E27:INDEX(Aveia!$E27:$Z27,MIN(V$6-$G$3,22))&lt;&gt;""),Aveia!$E27:INDEX(Aveia!$E27:$Z27,MIN(V$6-$G$3,22))),0)))))</f>
        <v>0</v>
      </c>
      <c r="W29" s="27" t="n">
        <f aca="false">IF(COUNT(Aveia!$E27:$Z27)=0,0,MAX(0,IF((W$6-$E$3)&lt;1,0,IFERROR(LOOKUP(2,1/(Aveia!$E27:INDEX(Aveia!$E27:$Z27,MIN(W$6-$E$3,22))&lt;&gt;""),Aveia!$E27:INDEX(Aveia!$E27:$Z27,MIN(W$6-$E$3,22))),0))-IF($G$2,0,IF((W$6-$G$3)&lt;1,0,IFERROR(LOOKUP(2,1/(Aveia!$E27:INDEX(Aveia!$E27:$Z27,MIN(W$6-$G$3,22))&lt;&gt;""),Aveia!$E27:INDEX(Aveia!$E27:$Z27,MIN(W$6-$G$3,22))),0)))))</f>
        <v>0</v>
      </c>
      <c r="X29" s="27" t="n">
        <f aca="false">IF(COUNT(Aveia!$E27:$Z27)=0,0,MAX(0,IF((X$6-$E$3)&lt;1,0,IFERROR(LOOKUP(2,1/(Aveia!$E27:INDEX(Aveia!$E27:$Z27,MIN(X$6-$E$3,22))&lt;&gt;""),Aveia!$E27:INDEX(Aveia!$E27:$Z27,MIN(X$6-$E$3,22))),0))-IF($G$2,0,IF((X$6-$G$3)&lt;1,0,IFERROR(LOOKUP(2,1/(Aveia!$E27:INDEX(Aveia!$E27:$Z27,MIN(X$6-$G$3,22))&lt;&gt;""),Aveia!$E27:INDEX(Aveia!$E27:$Z27,MIN(X$6-$G$3,22))),0)))))</f>
        <v>0</v>
      </c>
      <c r="Y29" s="27" t="n">
        <f aca="false">IF(COUNT(Aveia!$E27:$Z27)=0,0,MAX(0,IF((Y$6-$E$3)&lt;1,0,IFERROR(LOOKUP(2,1/(Aveia!$E27:INDEX(Aveia!$E27:$Z27,MIN(Y$6-$E$3,22))&lt;&gt;""),Aveia!$E27:INDEX(Aveia!$E27:$Z27,MIN(Y$6-$E$3,22))),0))-IF($G$2,0,IF((Y$6-$G$3)&lt;1,0,IFERROR(LOOKUP(2,1/(Aveia!$E27:INDEX(Aveia!$E27:$Z27,MIN(Y$6-$G$3,22))&lt;&gt;""),Aveia!$E27:INDEX(Aveia!$E27:$Z27,MIN(Y$6-$G$3,22))),0)))))</f>
        <v>0</v>
      </c>
      <c r="Z29" s="27" t="n">
        <f aca="false">IF(COUNT(Aveia!$E27:$Z27)=0,0,MAX(0,IF((Z$6-$E$3)&lt;1,0,IFERROR(LOOKUP(2,1/(Aveia!$E27:INDEX(Aveia!$E27:$Z27,MIN(Z$6-$E$3,22))&lt;&gt;""),Aveia!$E27:INDEX(Aveia!$E27:$Z27,MIN(Z$6-$E$3,22))),0))-IF($G$2,0,IF((Z$6-$G$3)&lt;1,0,IFERROR(LOOKUP(2,1/(Aveia!$E27:INDEX(Aveia!$E27:$Z27,MIN(Z$6-$G$3,22))&lt;&gt;""),Aveia!$E27:INDEX(Aveia!$E27:$Z27,MIN(Z$6-$G$3,22))),0)))))</f>
        <v>0</v>
      </c>
      <c r="AA29" s="27" t="n">
        <f aca="false">IF(COUNT(Aveia!$E27:$Z27)=0,0,MAX(0,IF((AA$6-$E$3)&lt;1,0,IFERROR(LOOKUP(2,1/(Aveia!$E27:INDEX(Aveia!$E27:$Z27,MIN(AA$6-$E$3,22))&lt;&gt;""),Aveia!$E27:INDEX(Aveia!$E27:$Z27,MIN(AA$6-$E$3,22))),0))-IF($G$2,0,IF((AA$6-$G$3)&lt;1,0,IFERROR(LOOKUP(2,1/(Aveia!$E27:INDEX(Aveia!$E27:$Z27,MIN(AA$6-$G$3,22))&lt;&gt;""),Aveia!$E27:INDEX(Aveia!$E27:$Z27,MIN(AA$6-$G$3,22))),0)))))</f>
        <v>0</v>
      </c>
      <c r="AB29" s="27" t="n">
        <f aca="false">IF(COUNT(Aveia!$E27:$Z27)=0,0,MAX(0,IF((AB$6-$E$3)&lt;1,0,IFERROR(LOOKUP(2,1/(Aveia!$E27:INDEX(Aveia!$E27:$Z27,MIN(AB$6-$E$3,22))&lt;&gt;""),Aveia!$E27:INDEX(Aveia!$E27:$Z27,MIN(AB$6-$E$3,22))),0))-IF($G$2,0,IF((AB$6-$G$3)&lt;1,0,IFERROR(LOOKUP(2,1/(Aveia!$E27:INDEX(Aveia!$E27:$Z27,MIN(AB$6-$G$3,22))&lt;&gt;""),Aveia!$E27:INDEX(Aveia!$E27:$Z27,MIN(AB$6-$G$3,22))),0)))))</f>
        <v>0</v>
      </c>
      <c r="AC29" s="27" t="n">
        <f aca="false">IF(COUNT(Aveia!$E27:$Z27)=0,0,MAX(0,IF((AC$6-$E$3)&lt;1,0,IFERROR(LOOKUP(2,1/(Aveia!$E27:INDEX(Aveia!$E27:$Z27,MIN(AC$6-$E$3,22))&lt;&gt;""),Aveia!$E27:INDEX(Aveia!$E27:$Z27,MIN(AC$6-$E$3,22))),0))-IF($G$2,0,IF((AC$6-$G$3)&lt;1,0,IFERROR(LOOKUP(2,1/(Aveia!$E27:INDEX(Aveia!$E27:$Z27,MIN(AC$6-$G$3,22))&lt;&gt;""),Aveia!$E27:INDEX(Aveia!$E27:$Z27,MIN(AC$6-$G$3,22))),0)))))</f>
        <v>0</v>
      </c>
      <c r="AD29" s="27" t="n">
        <f aca="false">IF(COUNT(Aveia!$E27:$Z27)=0,0,MAX(0,IF((AD$6-$E$3)&lt;1,0,IFERROR(LOOKUP(2,1/(Aveia!$E27:INDEX(Aveia!$E27:$Z27,MIN(AD$6-$E$3,22))&lt;&gt;""),Aveia!$E27:INDEX(Aveia!$E27:$Z27,MIN(AD$6-$E$3,22))),0))-IF($G$2,0,IF((AD$6-$G$3)&lt;1,0,IFERROR(LOOKUP(2,1/(Aveia!$E27:INDEX(Aveia!$E27:$Z27,MIN(AD$6-$G$3,22))&lt;&gt;""),Aveia!$E27:INDEX(Aveia!$E27:$Z27,MIN(AD$6-$G$3,22))),0)))))</f>
        <v>0</v>
      </c>
      <c r="AE29" s="27" t="n">
        <f aca="false">IF(COUNT(Aveia!$E27:$Z27)=0,0,MAX(0,IF((AE$6-$E$3)&lt;1,0,IFERROR(LOOKUP(2,1/(Aveia!$E27:INDEX(Aveia!$E27:$Z27,MIN(AE$6-$E$3,22))&lt;&gt;""),Aveia!$E27:INDEX(Aveia!$E27:$Z27,MIN(AE$6-$E$3,22))),0))-IF($G$2,0,IF((AE$6-$G$3)&lt;1,0,IFERROR(LOOKUP(2,1/(Aveia!$E27:INDEX(Aveia!$E27:$Z27,MIN(AE$6-$G$3,22))&lt;&gt;""),Aveia!$E27:INDEX(Aveia!$E27:$Z27,MIN(AE$6-$G$3,22))),0)))))</f>
        <v>0</v>
      </c>
      <c r="AF29" s="27" t="n">
        <f aca="false">IF(COUNT(Aveia!$E27:$Z27)=0,0,MAX(0,IF((AF$6-$E$3)&lt;1,0,IFERROR(LOOKUP(2,1/(Aveia!$E27:INDEX(Aveia!$E27:$Z27,MIN(AF$6-$E$3,22))&lt;&gt;""),Aveia!$E27:INDEX(Aveia!$E27:$Z27,MIN(AF$6-$E$3,22))),0))-IF($G$2,0,IF((AF$6-$G$3)&lt;1,0,IFERROR(LOOKUP(2,1/(Aveia!$E27:INDEX(Aveia!$E27:$Z27,MIN(AF$6-$G$3,22))&lt;&gt;""),Aveia!$E27:INDEX(Aveia!$E27:$Z27,MIN(AF$6-$G$3,22))),0)))))</f>
        <v>0</v>
      </c>
      <c r="AG29" s="27" t="n">
        <f aca="false">IF(COUNT(Aveia!$E27:$Z27)=0,0,MAX(0,IF((AG$6-$E$3)&lt;1,0,IFERROR(LOOKUP(2,1/(Aveia!$E27:INDEX(Aveia!$E27:$Z27,MIN(AG$6-$E$3,22))&lt;&gt;""),Aveia!$E27:INDEX(Aveia!$E27:$Z27,MIN(AG$6-$E$3,22))),0))-IF($G$2,0,IF((AG$6-$G$3)&lt;1,0,IFERROR(LOOKUP(2,1/(Aveia!$E27:INDEX(Aveia!$E27:$Z27,MIN(AG$6-$G$3,22))&lt;&gt;""),Aveia!$E27:INDEX(Aveia!$E27:$Z27,MIN(AG$6-$G$3,22))),0)))))</f>
        <v>0</v>
      </c>
      <c r="AH29" s="27" t="n">
        <f aca="false">IF(COUNT(Aveia!$E27:$Z27)=0,0,MAX(0,IF((AH$6-$E$3)&lt;1,0,IFERROR(LOOKUP(2,1/(Aveia!$E27:INDEX(Aveia!$E27:$Z27,MIN(AH$6-$E$3,22))&lt;&gt;""),Aveia!$E27:INDEX(Aveia!$E27:$Z27,MIN(AH$6-$E$3,22))),0))-IF($G$2,0,IF((AH$6-$G$3)&lt;1,0,IFERROR(LOOKUP(2,1/(Aveia!$E27:INDEX(Aveia!$E27:$Z27,MIN(AH$6-$G$3,22))&lt;&gt;""),Aveia!$E27:INDEX(Aveia!$E27:$Z27,MIN(AH$6-$G$3,22))),0)))))</f>
        <v>0</v>
      </c>
      <c r="AI29" s="27" t="n">
        <f aca="false">IF(COUNT(Aveia!$E27:$Z27)=0,0,MAX(0,IF((AI$6-$E$3)&lt;1,0,IFERROR(LOOKUP(2,1/(Aveia!$E27:INDEX(Aveia!$E27:$Z27,MIN(AI$6-$E$3,22))&lt;&gt;""),Aveia!$E27:INDEX(Aveia!$E27:$Z27,MIN(AI$6-$E$3,22))),0))-IF($G$2,0,IF((AI$6-$G$3)&lt;1,0,IFERROR(LOOKUP(2,1/(Aveia!$E27:INDEX(Aveia!$E27:$Z27,MIN(AI$6-$G$3,22))&lt;&gt;""),Aveia!$E27:INDEX(Aveia!$E27:$Z27,MIN(AI$6-$G$3,22))),0)))))</f>
        <v>0</v>
      </c>
      <c r="AJ29" s="27" t="n">
        <f aca="false">IF(COUNT(Aveia!$E27:$Z27)=0,0,MAX(0,IF((AJ$6-$E$3)&lt;1,0,IFERROR(LOOKUP(2,1/(Aveia!$E27:INDEX(Aveia!$E27:$Z27,MIN(AJ$6-$E$3,22))&lt;&gt;""),Aveia!$E27:INDEX(Aveia!$E27:$Z27,MIN(AJ$6-$E$3,22))),0))-IF($G$2,0,IF((AJ$6-$G$3)&lt;1,0,IFERROR(LOOKUP(2,1/(Aveia!$E27:INDEX(Aveia!$E27:$Z27,MIN(AJ$6-$G$3,22))&lt;&gt;""),Aveia!$E27:INDEX(Aveia!$E27:$Z27,MIN(AJ$6-$G$3,22))),0)))))</f>
        <v>0</v>
      </c>
      <c r="AK29" s="27" t="n">
        <f aca="false">IF(COUNT(Aveia!$E27:$Z27)=0,0,MAX(0,IF((AK$6-$E$3)&lt;1,0,IFERROR(LOOKUP(2,1/(Aveia!$E27:INDEX(Aveia!$E27:$Z27,MIN(AK$6-$E$3,22))&lt;&gt;""),Aveia!$E27:INDEX(Aveia!$E27:$Z27,MIN(AK$6-$E$3,22))),0))-IF($G$2,0,IF((AK$6-$G$3)&lt;1,0,IFERROR(LOOKUP(2,1/(Aveia!$E27:INDEX(Aveia!$E27:$Z27,MIN(AK$6-$G$3,22))&lt;&gt;""),Aveia!$E27:INDEX(Aveia!$E27:$Z27,MIN(AK$6-$G$3,22))),0)))))</f>
        <v>0</v>
      </c>
      <c r="AL29" s="27" t="n">
        <f aca="false">IF(COUNT(Aveia!$E27:$Z27)=0,0,MAX(0,IF((AL$6-$E$3)&lt;1,0,IFERROR(LOOKUP(2,1/(Aveia!$E27:INDEX(Aveia!$E27:$Z27,MIN(AL$6-$E$3,22))&lt;&gt;""),Aveia!$E27:INDEX(Aveia!$E27:$Z27,MIN(AL$6-$E$3,22))),0))-IF($G$2,0,IF((AL$6-$G$3)&lt;1,0,IFERROR(LOOKUP(2,1/(Aveia!$E27:INDEX(Aveia!$E27:$Z27,MIN(AL$6-$G$3,22))&lt;&gt;""),Aveia!$E27:INDEX(Aveia!$E27:$Z27,MIN(AL$6-$G$3,22))),0)))))</f>
        <v>0</v>
      </c>
      <c r="AM29" s="27" t="n">
        <f aca="false">IF(COUNT(Aveia!$E27:$Z27)=0,0,MAX(0,IF((AM$6-$E$3)&lt;1,0,IFERROR(LOOKUP(2,1/(Aveia!$E27:INDEX(Aveia!$E27:$Z27,MIN(AM$6-$E$3,22))&lt;&gt;""),Aveia!$E27:INDEX(Aveia!$E27:$Z27,MIN(AM$6-$E$3,22))),0))-IF($G$2,0,IF((AM$6-$G$3)&lt;1,0,IFERROR(LOOKUP(2,1/(Aveia!$E27:INDEX(Aveia!$E27:$Z27,MIN(AM$6-$G$3,22))&lt;&gt;""),Aveia!$E27:INDEX(Aveia!$E27:$Z27,MIN(AM$6-$G$3,22))),0)))))</f>
        <v>0</v>
      </c>
      <c r="AN29" s="27" t="n">
        <f aca="false">IF(COUNT(Aveia!$E27:$Z27)=0,0,MAX(0,IF((AN$6-$E$3)&lt;1,0,IFERROR(LOOKUP(2,1/(Aveia!$E27:INDEX(Aveia!$E27:$Z27,MIN(AN$6-$E$3,22))&lt;&gt;""),Aveia!$E27:INDEX(Aveia!$E27:$Z27,MIN(AN$6-$E$3,22))),0))-IF($G$2,0,IF((AN$6-$G$3)&lt;1,0,IFERROR(LOOKUP(2,1/(Aveia!$E27:INDEX(Aveia!$E27:$Z27,MIN(AN$6-$G$3,22))&lt;&gt;""),Aveia!$E27:INDEX(Aveia!$E27:$Z27,MIN(AN$6-$G$3,22))),0)))))</f>
        <v>0</v>
      </c>
      <c r="AO29" s="27" t="n">
        <f aca="false">IF(COUNT(Aveia!$E27:$Z27)=0,0,MAX(0,IF((AO$6-$E$3)&lt;1,0,IFERROR(LOOKUP(2,1/(Aveia!$E27:INDEX(Aveia!$E27:$Z27,MIN(AO$6-$E$3,22))&lt;&gt;""),Aveia!$E27:INDEX(Aveia!$E27:$Z27,MIN(AO$6-$E$3,22))),0))-IF($G$2,0,IF((AO$6-$G$3)&lt;1,0,IFERROR(LOOKUP(2,1/(Aveia!$E27:INDEX(Aveia!$E27:$Z27,MIN(AO$6-$G$3,22))&lt;&gt;""),Aveia!$E27:INDEX(Aveia!$E27:$Z27,MIN(AO$6-$G$3,22))),0)))))</f>
        <v>0</v>
      </c>
      <c r="AP29" s="27" t="n">
        <f aca="false">IF(COUNT(Aveia!$E27:$Z27)=0,0,MAX(0,IF((AP$6-$E$3)&lt;1,0,IFERROR(LOOKUP(2,1/(Aveia!$E27:INDEX(Aveia!$E27:$Z27,MIN(AP$6-$E$3,22))&lt;&gt;""),Aveia!$E27:INDEX(Aveia!$E27:$Z27,MIN(AP$6-$E$3,22))),0))-IF($G$2,0,IF((AP$6-$G$3)&lt;1,0,IFERROR(LOOKUP(2,1/(Aveia!$E27:INDEX(Aveia!$E27:$Z27,MIN(AP$6-$G$3,22))&lt;&gt;""),Aveia!$E27:INDEX(Aveia!$E27:$Z27,MIN(AP$6-$G$3,22))),0)))))</f>
        <v>0</v>
      </c>
      <c r="AQ29" s="27" t="n">
        <f aca="false">IF(COUNT(Aveia!$E27:$Z27)=0,0,MAX(0,IF((AQ$6-$E$3)&lt;1,0,IFERROR(LOOKUP(2,1/(Aveia!$E27:INDEX(Aveia!$E27:$Z27,MIN(AQ$6-$E$3,22))&lt;&gt;""),Aveia!$E27:INDEX(Aveia!$E27:$Z27,MIN(AQ$6-$E$3,22))),0))-IF($G$2,0,IF((AQ$6-$G$3)&lt;1,0,IFERROR(LOOKUP(2,1/(Aveia!$E27:INDEX(Aveia!$E27:$Z27,MIN(AQ$6-$G$3,22))&lt;&gt;""),Aveia!$E27:INDEX(Aveia!$E27:$Z27,MIN(AQ$6-$G$3,22))),0)))))</f>
        <v>0</v>
      </c>
      <c r="AR29" s="27" t="n">
        <f aca="false">IF(COUNT(Aveia!$E27:$Z27)=0,0,MAX(0,IF((AR$6-$E$3)&lt;1,0,IFERROR(LOOKUP(2,1/(Aveia!$E27:INDEX(Aveia!$E27:$Z27,MIN(AR$6-$E$3,22))&lt;&gt;""),Aveia!$E27:INDEX(Aveia!$E27:$Z27,MIN(AR$6-$E$3,22))),0))-IF($G$2,0,IF((AR$6-$G$3)&lt;1,0,IFERROR(LOOKUP(2,1/(Aveia!$E27:INDEX(Aveia!$E27:$Z27,MIN(AR$6-$G$3,22))&lt;&gt;""),Aveia!$E27:INDEX(Aveia!$E27:$Z27,MIN(AR$6-$G$3,22))),0)))))</f>
        <v>0</v>
      </c>
      <c r="AS29" s="27" t="n">
        <f aca="false">IF(COUNT(Aveia!$E27:$Z27)=0,0,MAX(0,IF((AS$6-$E$3)&lt;1,0,IFERROR(LOOKUP(2,1/(Aveia!$E27:INDEX(Aveia!$E27:$Z27,MIN(AS$6-$E$3,22))&lt;&gt;""),Aveia!$E27:INDEX(Aveia!$E27:$Z27,MIN(AS$6-$E$3,22))),0))-IF($G$2,0,IF((AS$6-$G$3)&lt;1,0,IFERROR(LOOKUP(2,1/(Aveia!$E27:INDEX(Aveia!$E27:$Z27,MIN(AS$6-$G$3,22))&lt;&gt;""),Aveia!$E27:INDEX(Aveia!$E27:$Z27,MIN(AS$6-$G$3,22))),0)))))</f>
        <v>0</v>
      </c>
      <c r="AT29" s="27" t="n">
        <f aca="false">IF(COUNT(Aveia!$E27:$Z27)=0,0,MAX(0,IF((AT$6-$E$3)&lt;1,0,IFERROR(LOOKUP(2,1/(Aveia!$E27:INDEX(Aveia!$E27:$Z27,MIN(AT$6-$E$3,22))&lt;&gt;""),Aveia!$E27:INDEX(Aveia!$E27:$Z27,MIN(AT$6-$E$3,22))),0))-IF($G$2,0,IF((AT$6-$G$3)&lt;1,0,IFERROR(LOOKUP(2,1/(Aveia!$E27:INDEX(Aveia!$E27:$Z27,MIN(AT$6-$G$3,22))&lt;&gt;""),Aveia!$E27:INDEX(Aveia!$E27:$Z27,MIN(AT$6-$G$3,22))),0)))))</f>
        <v>0</v>
      </c>
      <c r="AU29" s="27" t="n">
        <f aca="false">IF(COUNT(Aveia!$E27:$Z27)=0,0,MAX(0,IF((AU$6-$E$3)&lt;1,0,IFERROR(LOOKUP(2,1/(Aveia!$E27:INDEX(Aveia!$E27:$Z27,MIN(AU$6-$E$3,22))&lt;&gt;""),Aveia!$E27:INDEX(Aveia!$E27:$Z27,MIN(AU$6-$E$3,22))),0))-IF($G$2,0,IF((AU$6-$G$3)&lt;1,0,IFERROR(LOOKUP(2,1/(Aveia!$E27:INDEX(Aveia!$E27:$Z27,MIN(AU$6-$G$3,22))&lt;&gt;""),Aveia!$E27:INDEX(Aveia!$E27:$Z27,MIN(AU$6-$G$3,22))),0)))))</f>
        <v>0</v>
      </c>
      <c r="AV29" s="27" t="n">
        <f aca="false">IF(COUNT(Aveia!$E27:$Z27)=0,0,MAX(0,IF((AV$6-$E$3)&lt;1,0,IFERROR(LOOKUP(2,1/(Aveia!$E27:INDEX(Aveia!$E27:$Z27,MIN(AV$6-$E$3,22))&lt;&gt;""),Aveia!$E27:INDEX(Aveia!$E27:$Z27,MIN(AV$6-$E$3,22))),0))-IF($G$2,0,IF((AV$6-$G$3)&lt;1,0,IFERROR(LOOKUP(2,1/(Aveia!$E27:INDEX(Aveia!$E27:$Z27,MIN(AV$6-$G$3,22))&lt;&gt;""),Aveia!$E27:INDEX(Aveia!$E27:$Z27,MIN(AV$6-$G$3,22))),0)))))</f>
        <v>0</v>
      </c>
      <c r="AW29" s="27" t="n">
        <f aca="false">IF(COUNT(Aveia!$E27:$Z27)=0,0,MAX(0,IF((AW$6-$E$3)&lt;1,0,IFERROR(LOOKUP(2,1/(Aveia!$E27:INDEX(Aveia!$E27:$Z27,MIN(AW$6-$E$3,22))&lt;&gt;""),Aveia!$E27:INDEX(Aveia!$E27:$Z27,MIN(AW$6-$E$3,22))),0))-IF($G$2,0,IF((AW$6-$G$3)&lt;1,0,IFERROR(LOOKUP(2,1/(Aveia!$E27:INDEX(Aveia!$E27:$Z27,MIN(AW$6-$G$3,22))&lt;&gt;""),Aveia!$E27:INDEX(Aveia!$E27:$Z27,MIN(AW$6-$G$3,22))),0)))))</f>
        <v>0</v>
      </c>
      <c r="AX29" s="27" t="n">
        <f aca="false">IF(COUNT(Aveia!$E27:$Z27)=0,0,MAX(0,IF((AX$6-$E$3)&lt;1,0,IFERROR(LOOKUP(2,1/(Aveia!$E27:INDEX(Aveia!$E27:$Z27,MIN(AX$6-$E$3,22))&lt;&gt;""),Aveia!$E27:INDEX(Aveia!$E27:$Z27,MIN(AX$6-$E$3,22))),0))-IF($G$2,0,IF((AX$6-$G$3)&lt;1,0,IFERROR(LOOKUP(2,1/(Aveia!$E27:INDEX(Aveia!$E27:$Z27,MIN(AX$6-$G$3,22))&lt;&gt;""),Aveia!$E27:INDEX(Aveia!$E27:$Z27,MIN(AX$6-$G$3,22))),0)))))</f>
        <v>0</v>
      </c>
      <c r="AY29" s="27" t="n">
        <f aca="false">IF(COUNT(Aveia!$E27:$Z27)=0,0,MAX(0,IF((AY$6-$E$3)&lt;1,0,IFERROR(LOOKUP(2,1/(Aveia!$E27:INDEX(Aveia!$E27:$Z27,MIN(AY$6-$E$3,22))&lt;&gt;""),Aveia!$E27:INDEX(Aveia!$E27:$Z27,MIN(AY$6-$E$3,22))),0))-IF($G$2,0,IF((AY$6-$G$3)&lt;1,0,IFERROR(LOOKUP(2,1/(Aveia!$E27:INDEX(Aveia!$E27:$Z27,MIN(AY$6-$G$3,22))&lt;&gt;""),Aveia!$E27:INDEX(Aveia!$E27:$Z27,MIN(AY$6-$G$3,22))),0)))))</f>
        <v>0</v>
      </c>
      <c r="AZ29" s="27" t="n">
        <f aca="false">IF(COUNT(Aveia!$E27:$Z27)=0,0,MAX(0,IF((AZ$6-$E$3)&lt;1,0,IFERROR(LOOKUP(2,1/(Aveia!$E27:INDEX(Aveia!$E27:$Z27,MIN(AZ$6-$E$3,22))&lt;&gt;""),Aveia!$E27:INDEX(Aveia!$E27:$Z27,MIN(AZ$6-$E$3,22))),0))-IF($G$2,0,IF((AZ$6-$G$3)&lt;1,0,IFERROR(LOOKUP(2,1/(Aveia!$E27:INDEX(Aveia!$E27:$Z27,MIN(AZ$6-$G$3,22))&lt;&gt;""),Aveia!$E27:INDEX(Aveia!$E27:$Z27,MIN(AZ$6-$G$3,22))),0)))))</f>
        <v>0</v>
      </c>
    </row>
    <row r="30" customFormat="false" ht="15" hidden="false" customHeight="false" outlineLevel="0" collapsed="false">
      <c r="A30" s="3" t="s">
        <v>182</v>
      </c>
      <c r="B30" s="3" t="s">
        <v>183</v>
      </c>
      <c r="C30" s="10" t="s">
        <v>155</v>
      </c>
      <c r="D30" s="26" t="n">
        <f aca="false">IF(COUNT(Aveia!$E28:$Z28)&gt;0,N(Aveia!$D28),0)</f>
        <v>0</v>
      </c>
      <c r="E30" s="27" t="n">
        <f aca="false">IF(COUNT(Aveia!$E28:$Z28)=0,0,MAX(0,IF((E$6-$E$3)&lt;1,0,IFERROR(LOOKUP(2,1/(Aveia!$E28:INDEX(Aveia!$E28:$Z28,MIN(E$6-$E$3,22))&lt;&gt;""),Aveia!$E28:INDEX(Aveia!$E28:$Z28,MIN(E$6-$E$3,22))),0))-IF($G$2,0,IF((E$6-$G$3)&lt;1,0,IFERROR(LOOKUP(2,1/(Aveia!$E28:INDEX(Aveia!$E28:$Z28,MIN(E$6-$G$3,22))&lt;&gt;""),Aveia!$E28:INDEX(Aveia!$E28:$Z28,MIN(E$6-$G$3,22))),0)))))</f>
        <v>0</v>
      </c>
      <c r="F30" s="27" t="n">
        <f aca="false">IF(COUNT(Aveia!$E28:$Z28)=0,0,MAX(0,IF((F$6-$E$3)&lt;1,0,IFERROR(LOOKUP(2,1/(Aveia!$E28:INDEX(Aveia!$E28:$Z28,MIN(F$6-$E$3,22))&lt;&gt;""),Aveia!$E28:INDEX(Aveia!$E28:$Z28,MIN(F$6-$E$3,22))),0))-IF($G$2,0,IF((F$6-$G$3)&lt;1,0,IFERROR(LOOKUP(2,1/(Aveia!$E28:INDEX(Aveia!$E28:$Z28,MIN(F$6-$G$3,22))&lt;&gt;""),Aveia!$E28:INDEX(Aveia!$E28:$Z28,MIN(F$6-$G$3,22))),0)))))</f>
        <v>0</v>
      </c>
      <c r="G30" s="27" t="n">
        <f aca="false">IF(COUNT(Aveia!$E28:$Z28)=0,0,MAX(0,IF((G$6-$E$3)&lt;1,0,IFERROR(LOOKUP(2,1/(Aveia!$E28:INDEX(Aveia!$E28:$Z28,MIN(G$6-$E$3,22))&lt;&gt;""),Aveia!$E28:INDEX(Aveia!$E28:$Z28,MIN(G$6-$E$3,22))),0))-IF($G$2,0,IF((G$6-$G$3)&lt;1,0,IFERROR(LOOKUP(2,1/(Aveia!$E28:INDEX(Aveia!$E28:$Z28,MIN(G$6-$G$3,22))&lt;&gt;""),Aveia!$E28:INDEX(Aveia!$E28:$Z28,MIN(G$6-$G$3,22))),0)))))</f>
        <v>0</v>
      </c>
      <c r="H30" s="27" t="n">
        <f aca="false">IF(COUNT(Aveia!$E28:$Z28)=0,0,MAX(0,IF((H$6-$E$3)&lt;1,0,IFERROR(LOOKUP(2,1/(Aveia!$E28:INDEX(Aveia!$E28:$Z28,MIN(H$6-$E$3,22))&lt;&gt;""),Aveia!$E28:INDEX(Aveia!$E28:$Z28,MIN(H$6-$E$3,22))),0))-IF($G$2,0,IF((H$6-$G$3)&lt;1,0,IFERROR(LOOKUP(2,1/(Aveia!$E28:INDEX(Aveia!$E28:$Z28,MIN(H$6-$G$3,22))&lt;&gt;""),Aveia!$E28:INDEX(Aveia!$E28:$Z28,MIN(H$6-$G$3,22))),0)))))</f>
        <v>0</v>
      </c>
      <c r="I30" s="27" t="n">
        <f aca="false">IF(COUNT(Aveia!$E28:$Z28)=0,0,MAX(0,IF((I$6-$E$3)&lt;1,0,IFERROR(LOOKUP(2,1/(Aveia!$E28:INDEX(Aveia!$E28:$Z28,MIN(I$6-$E$3,22))&lt;&gt;""),Aveia!$E28:INDEX(Aveia!$E28:$Z28,MIN(I$6-$E$3,22))),0))-IF($G$2,0,IF((I$6-$G$3)&lt;1,0,IFERROR(LOOKUP(2,1/(Aveia!$E28:INDEX(Aveia!$E28:$Z28,MIN(I$6-$G$3,22))&lt;&gt;""),Aveia!$E28:INDEX(Aveia!$E28:$Z28,MIN(I$6-$G$3,22))),0)))))</f>
        <v>0</v>
      </c>
      <c r="J30" s="27" t="n">
        <f aca="false">IF(COUNT(Aveia!$E28:$Z28)=0,0,MAX(0,IF((J$6-$E$3)&lt;1,0,IFERROR(LOOKUP(2,1/(Aveia!$E28:INDEX(Aveia!$E28:$Z28,MIN(J$6-$E$3,22))&lt;&gt;""),Aveia!$E28:INDEX(Aveia!$E28:$Z28,MIN(J$6-$E$3,22))),0))-IF($G$2,0,IF((J$6-$G$3)&lt;1,0,IFERROR(LOOKUP(2,1/(Aveia!$E28:INDEX(Aveia!$E28:$Z28,MIN(J$6-$G$3,22))&lt;&gt;""),Aveia!$E28:INDEX(Aveia!$E28:$Z28,MIN(J$6-$G$3,22))),0)))))</f>
        <v>0</v>
      </c>
      <c r="K30" s="27" t="n">
        <f aca="false">IF(COUNT(Aveia!$E28:$Z28)=0,0,MAX(0,IF((K$6-$E$3)&lt;1,0,IFERROR(LOOKUP(2,1/(Aveia!$E28:INDEX(Aveia!$E28:$Z28,MIN(K$6-$E$3,22))&lt;&gt;""),Aveia!$E28:INDEX(Aveia!$E28:$Z28,MIN(K$6-$E$3,22))),0))-IF($G$2,0,IF((K$6-$G$3)&lt;1,0,IFERROR(LOOKUP(2,1/(Aveia!$E28:INDEX(Aveia!$E28:$Z28,MIN(K$6-$G$3,22))&lt;&gt;""),Aveia!$E28:INDEX(Aveia!$E28:$Z28,MIN(K$6-$G$3,22))),0)))))</f>
        <v>0</v>
      </c>
      <c r="L30" s="27" t="n">
        <f aca="false">IF(COUNT(Aveia!$E28:$Z28)=0,0,MAX(0,IF((L$6-$E$3)&lt;1,0,IFERROR(LOOKUP(2,1/(Aveia!$E28:INDEX(Aveia!$E28:$Z28,MIN(L$6-$E$3,22))&lt;&gt;""),Aveia!$E28:INDEX(Aveia!$E28:$Z28,MIN(L$6-$E$3,22))),0))-IF($G$2,0,IF((L$6-$G$3)&lt;1,0,IFERROR(LOOKUP(2,1/(Aveia!$E28:INDEX(Aveia!$E28:$Z28,MIN(L$6-$G$3,22))&lt;&gt;""),Aveia!$E28:INDEX(Aveia!$E28:$Z28,MIN(L$6-$G$3,22))),0)))))</f>
        <v>0</v>
      </c>
      <c r="M30" s="27" t="n">
        <f aca="false">IF(COUNT(Aveia!$E28:$Z28)=0,0,MAX(0,IF((M$6-$E$3)&lt;1,0,IFERROR(LOOKUP(2,1/(Aveia!$E28:INDEX(Aveia!$E28:$Z28,MIN(M$6-$E$3,22))&lt;&gt;""),Aveia!$E28:INDEX(Aveia!$E28:$Z28,MIN(M$6-$E$3,22))),0))-IF($G$2,0,IF((M$6-$G$3)&lt;1,0,IFERROR(LOOKUP(2,1/(Aveia!$E28:INDEX(Aveia!$E28:$Z28,MIN(M$6-$G$3,22))&lt;&gt;""),Aveia!$E28:INDEX(Aveia!$E28:$Z28,MIN(M$6-$G$3,22))),0)))))</f>
        <v>0</v>
      </c>
      <c r="N30" s="27" t="n">
        <f aca="false">IF(COUNT(Aveia!$E28:$Z28)=0,0,MAX(0,IF((N$6-$E$3)&lt;1,0,IFERROR(LOOKUP(2,1/(Aveia!$E28:INDEX(Aveia!$E28:$Z28,MIN(N$6-$E$3,22))&lt;&gt;""),Aveia!$E28:INDEX(Aveia!$E28:$Z28,MIN(N$6-$E$3,22))),0))-IF($G$2,0,IF((N$6-$G$3)&lt;1,0,IFERROR(LOOKUP(2,1/(Aveia!$E28:INDEX(Aveia!$E28:$Z28,MIN(N$6-$G$3,22))&lt;&gt;""),Aveia!$E28:INDEX(Aveia!$E28:$Z28,MIN(N$6-$G$3,22))),0)))))</f>
        <v>0</v>
      </c>
      <c r="O30" s="27" t="n">
        <f aca="false">IF(COUNT(Aveia!$E28:$Z28)=0,0,MAX(0,IF((O$6-$E$3)&lt;1,0,IFERROR(LOOKUP(2,1/(Aveia!$E28:INDEX(Aveia!$E28:$Z28,MIN(O$6-$E$3,22))&lt;&gt;""),Aveia!$E28:INDEX(Aveia!$E28:$Z28,MIN(O$6-$E$3,22))),0))-IF($G$2,0,IF((O$6-$G$3)&lt;1,0,IFERROR(LOOKUP(2,1/(Aveia!$E28:INDEX(Aveia!$E28:$Z28,MIN(O$6-$G$3,22))&lt;&gt;""),Aveia!$E28:INDEX(Aveia!$E28:$Z28,MIN(O$6-$G$3,22))),0)))))</f>
        <v>0</v>
      </c>
      <c r="P30" s="27" t="n">
        <f aca="false">IF(COUNT(Aveia!$E28:$Z28)=0,0,MAX(0,IF((P$6-$E$3)&lt;1,0,IFERROR(LOOKUP(2,1/(Aveia!$E28:INDEX(Aveia!$E28:$Z28,MIN(P$6-$E$3,22))&lt;&gt;""),Aveia!$E28:INDEX(Aveia!$E28:$Z28,MIN(P$6-$E$3,22))),0))-IF($G$2,0,IF((P$6-$G$3)&lt;1,0,IFERROR(LOOKUP(2,1/(Aveia!$E28:INDEX(Aveia!$E28:$Z28,MIN(P$6-$G$3,22))&lt;&gt;""),Aveia!$E28:INDEX(Aveia!$E28:$Z28,MIN(P$6-$G$3,22))),0)))))</f>
        <v>0</v>
      </c>
      <c r="Q30" s="27" t="n">
        <f aca="false">IF(COUNT(Aveia!$E28:$Z28)=0,0,MAX(0,IF((Q$6-$E$3)&lt;1,0,IFERROR(LOOKUP(2,1/(Aveia!$E28:INDEX(Aveia!$E28:$Z28,MIN(Q$6-$E$3,22))&lt;&gt;""),Aveia!$E28:INDEX(Aveia!$E28:$Z28,MIN(Q$6-$E$3,22))),0))-IF($G$2,0,IF((Q$6-$G$3)&lt;1,0,IFERROR(LOOKUP(2,1/(Aveia!$E28:INDEX(Aveia!$E28:$Z28,MIN(Q$6-$G$3,22))&lt;&gt;""),Aveia!$E28:INDEX(Aveia!$E28:$Z28,MIN(Q$6-$G$3,22))),0)))))</f>
        <v>0</v>
      </c>
      <c r="R30" s="27" t="n">
        <f aca="false">IF(COUNT(Aveia!$E28:$Z28)=0,0,MAX(0,IF((R$6-$E$3)&lt;1,0,IFERROR(LOOKUP(2,1/(Aveia!$E28:INDEX(Aveia!$E28:$Z28,MIN(R$6-$E$3,22))&lt;&gt;""),Aveia!$E28:INDEX(Aveia!$E28:$Z28,MIN(R$6-$E$3,22))),0))-IF($G$2,0,IF((R$6-$G$3)&lt;1,0,IFERROR(LOOKUP(2,1/(Aveia!$E28:INDEX(Aveia!$E28:$Z28,MIN(R$6-$G$3,22))&lt;&gt;""),Aveia!$E28:INDEX(Aveia!$E28:$Z28,MIN(R$6-$G$3,22))),0)))))</f>
        <v>0</v>
      </c>
      <c r="S30" s="27" t="n">
        <f aca="false">IF(COUNT(Aveia!$E28:$Z28)=0,0,MAX(0,IF((S$6-$E$3)&lt;1,0,IFERROR(LOOKUP(2,1/(Aveia!$E28:INDEX(Aveia!$E28:$Z28,MIN(S$6-$E$3,22))&lt;&gt;""),Aveia!$E28:INDEX(Aveia!$E28:$Z28,MIN(S$6-$E$3,22))),0))-IF($G$2,0,IF((S$6-$G$3)&lt;1,0,IFERROR(LOOKUP(2,1/(Aveia!$E28:INDEX(Aveia!$E28:$Z28,MIN(S$6-$G$3,22))&lt;&gt;""),Aveia!$E28:INDEX(Aveia!$E28:$Z28,MIN(S$6-$G$3,22))),0)))))</f>
        <v>0</v>
      </c>
      <c r="T30" s="27" t="n">
        <f aca="false">IF(COUNT(Aveia!$E28:$Z28)=0,0,MAX(0,IF((T$6-$E$3)&lt;1,0,IFERROR(LOOKUP(2,1/(Aveia!$E28:INDEX(Aveia!$E28:$Z28,MIN(T$6-$E$3,22))&lt;&gt;""),Aveia!$E28:INDEX(Aveia!$E28:$Z28,MIN(T$6-$E$3,22))),0))-IF($G$2,0,IF((T$6-$G$3)&lt;1,0,IFERROR(LOOKUP(2,1/(Aveia!$E28:INDEX(Aveia!$E28:$Z28,MIN(T$6-$G$3,22))&lt;&gt;""),Aveia!$E28:INDEX(Aveia!$E28:$Z28,MIN(T$6-$G$3,22))),0)))))</f>
        <v>0</v>
      </c>
      <c r="U30" s="27" t="n">
        <f aca="false">IF(COUNT(Aveia!$E28:$Z28)=0,0,MAX(0,IF((U$6-$E$3)&lt;1,0,IFERROR(LOOKUP(2,1/(Aveia!$E28:INDEX(Aveia!$E28:$Z28,MIN(U$6-$E$3,22))&lt;&gt;""),Aveia!$E28:INDEX(Aveia!$E28:$Z28,MIN(U$6-$E$3,22))),0))-IF($G$2,0,IF((U$6-$G$3)&lt;1,0,IFERROR(LOOKUP(2,1/(Aveia!$E28:INDEX(Aveia!$E28:$Z28,MIN(U$6-$G$3,22))&lt;&gt;""),Aveia!$E28:INDEX(Aveia!$E28:$Z28,MIN(U$6-$G$3,22))),0)))))</f>
        <v>0</v>
      </c>
      <c r="V30" s="27" t="n">
        <f aca="false">IF(COUNT(Aveia!$E28:$Z28)=0,0,MAX(0,IF((V$6-$E$3)&lt;1,0,IFERROR(LOOKUP(2,1/(Aveia!$E28:INDEX(Aveia!$E28:$Z28,MIN(V$6-$E$3,22))&lt;&gt;""),Aveia!$E28:INDEX(Aveia!$E28:$Z28,MIN(V$6-$E$3,22))),0))-IF($G$2,0,IF((V$6-$G$3)&lt;1,0,IFERROR(LOOKUP(2,1/(Aveia!$E28:INDEX(Aveia!$E28:$Z28,MIN(V$6-$G$3,22))&lt;&gt;""),Aveia!$E28:INDEX(Aveia!$E28:$Z28,MIN(V$6-$G$3,22))),0)))))</f>
        <v>0</v>
      </c>
      <c r="W30" s="27" t="n">
        <f aca="false">IF(COUNT(Aveia!$E28:$Z28)=0,0,MAX(0,IF((W$6-$E$3)&lt;1,0,IFERROR(LOOKUP(2,1/(Aveia!$E28:INDEX(Aveia!$E28:$Z28,MIN(W$6-$E$3,22))&lt;&gt;""),Aveia!$E28:INDEX(Aveia!$E28:$Z28,MIN(W$6-$E$3,22))),0))-IF($G$2,0,IF((W$6-$G$3)&lt;1,0,IFERROR(LOOKUP(2,1/(Aveia!$E28:INDEX(Aveia!$E28:$Z28,MIN(W$6-$G$3,22))&lt;&gt;""),Aveia!$E28:INDEX(Aveia!$E28:$Z28,MIN(W$6-$G$3,22))),0)))))</f>
        <v>0</v>
      </c>
      <c r="X30" s="27" t="n">
        <f aca="false">IF(COUNT(Aveia!$E28:$Z28)=0,0,MAX(0,IF((X$6-$E$3)&lt;1,0,IFERROR(LOOKUP(2,1/(Aveia!$E28:INDEX(Aveia!$E28:$Z28,MIN(X$6-$E$3,22))&lt;&gt;""),Aveia!$E28:INDEX(Aveia!$E28:$Z28,MIN(X$6-$E$3,22))),0))-IF($G$2,0,IF((X$6-$G$3)&lt;1,0,IFERROR(LOOKUP(2,1/(Aveia!$E28:INDEX(Aveia!$E28:$Z28,MIN(X$6-$G$3,22))&lt;&gt;""),Aveia!$E28:INDEX(Aveia!$E28:$Z28,MIN(X$6-$G$3,22))),0)))))</f>
        <v>0</v>
      </c>
      <c r="Y30" s="27" t="n">
        <f aca="false">IF(COUNT(Aveia!$E28:$Z28)=0,0,MAX(0,IF((Y$6-$E$3)&lt;1,0,IFERROR(LOOKUP(2,1/(Aveia!$E28:INDEX(Aveia!$E28:$Z28,MIN(Y$6-$E$3,22))&lt;&gt;""),Aveia!$E28:INDEX(Aveia!$E28:$Z28,MIN(Y$6-$E$3,22))),0))-IF($G$2,0,IF((Y$6-$G$3)&lt;1,0,IFERROR(LOOKUP(2,1/(Aveia!$E28:INDEX(Aveia!$E28:$Z28,MIN(Y$6-$G$3,22))&lt;&gt;""),Aveia!$E28:INDEX(Aveia!$E28:$Z28,MIN(Y$6-$G$3,22))),0)))))</f>
        <v>0</v>
      </c>
      <c r="Z30" s="27" t="n">
        <f aca="false">IF(COUNT(Aveia!$E28:$Z28)=0,0,MAX(0,IF((Z$6-$E$3)&lt;1,0,IFERROR(LOOKUP(2,1/(Aveia!$E28:INDEX(Aveia!$E28:$Z28,MIN(Z$6-$E$3,22))&lt;&gt;""),Aveia!$E28:INDEX(Aveia!$E28:$Z28,MIN(Z$6-$E$3,22))),0))-IF($G$2,0,IF((Z$6-$G$3)&lt;1,0,IFERROR(LOOKUP(2,1/(Aveia!$E28:INDEX(Aveia!$E28:$Z28,MIN(Z$6-$G$3,22))&lt;&gt;""),Aveia!$E28:INDEX(Aveia!$E28:$Z28,MIN(Z$6-$G$3,22))),0)))))</f>
        <v>0</v>
      </c>
      <c r="AA30" s="27" t="n">
        <f aca="false">IF(COUNT(Aveia!$E28:$Z28)=0,0,MAX(0,IF((AA$6-$E$3)&lt;1,0,IFERROR(LOOKUP(2,1/(Aveia!$E28:INDEX(Aveia!$E28:$Z28,MIN(AA$6-$E$3,22))&lt;&gt;""),Aveia!$E28:INDEX(Aveia!$E28:$Z28,MIN(AA$6-$E$3,22))),0))-IF($G$2,0,IF((AA$6-$G$3)&lt;1,0,IFERROR(LOOKUP(2,1/(Aveia!$E28:INDEX(Aveia!$E28:$Z28,MIN(AA$6-$G$3,22))&lt;&gt;""),Aveia!$E28:INDEX(Aveia!$E28:$Z28,MIN(AA$6-$G$3,22))),0)))))</f>
        <v>0</v>
      </c>
      <c r="AB30" s="27" t="n">
        <f aca="false">IF(COUNT(Aveia!$E28:$Z28)=0,0,MAX(0,IF((AB$6-$E$3)&lt;1,0,IFERROR(LOOKUP(2,1/(Aveia!$E28:INDEX(Aveia!$E28:$Z28,MIN(AB$6-$E$3,22))&lt;&gt;""),Aveia!$E28:INDEX(Aveia!$E28:$Z28,MIN(AB$6-$E$3,22))),0))-IF($G$2,0,IF((AB$6-$G$3)&lt;1,0,IFERROR(LOOKUP(2,1/(Aveia!$E28:INDEX(Aveia!$E28:$Z28,MIN(AB$6-$G$3,22))&lt;&gt;""),Aveia!$E28:INDEX(Aveia!$E28:$Z28,MIN(AB$6-$G$3,22))),0)))))</f>
        <v>0</v>
      </c>
      <c r="AC30" s="27" t="n">
        <f aca="false">IF(COUNT(Aveia!$E28:$Z28)=0,0,MAX(0,IF((AC$6-$E$3)&lt;1,0,IFERROR(LOOKUP(2,1/(Aveia!$E28:INDEX(Aveia!$E28:$Z28,MIN(AC$6-$E$3,22))&lt;&gt;""),Aveia!$E28:INDEX(Aveia!$E28:$Z28,MIN(AC$6-$E$3,22))),0))-IF($G$2,0,IF((AC$6-$G$3)&lt;1,0,IFERROR(LOOKUP(2,1/(Aveia!$E28:INDEX(Aveia!$E28:$Z28,MIN(AC$6-$G$3,22))&lt;&gt;""),Aveia!$E28:INDEX(Aveia!$E28:$Z28,MIN(AC$6-$G$3,22))),0)))))</f>
        <v>0</v>
      </c>
      <c r="AD30" s="27" t="n">
        <f aca="false">IF(COUNT(Aveia!$E28:$Z28)=0,0,MAX(0,IF((AD$6-$E$3)&lt;1,0,IFERROR(LOOKUP(2,1/(Aveia!$E28:INDEX(Aveia!$E28:$Z28,MIN(AD$6-$E$3,22))&lt;&gt;""),Aveia!$E28:INDEX(Aveia!$E28:$Z28,MIN(AD$6-$E$3,22))),0))-IF($G$2,0,IF((AD$6-$G$3)&lt;1,0,IFERROR(LOOKUP(2,1/(Aveia!$E28:INDEX(Aveia!$E28:$Z28,MIN(AD$6-$G$3,22))&lt;&gt;""),Aveia!$E28:INDEX(Aveia!$E28:$Z28,MIN(AD$6-$G$3,22))),0)))))</f>
        <v>0</v>
      </c>
      <c r="AE30" s="27" t="n">
        <f aca="false">IF(COUNT(Aveia!$E28:$Z28)=0,0,MAX(0,IF((AE$6-$E$3)&lt;1,0,IFERROR(LOOKUP(2,1/(Aveia!$E28:INDEX(Aveia!$E28:$Z28,MIN(AE$6-$E$3,22))&lt;&gt;""),Aveia!$E28:INDEX(Aveia!$E28:$Z28,MIN(AE$6-$E$3,22))),0))-IF($G$2,0,IF((AE$6-$G$3)&lt;1,0,IFERROR(LOOKUP(2,1/(Aveia!$E28:INDEX(Aveia!$E28:$Z28,MIN(AE$6-$G$3,22))&lt;&gt;""),Aveia!$E28:INDEX(Aveia!$E28:$Z28,MIN(AE$6-$G$3,22))),0)))))</f>
        <v>0</v>
      </c>
      <c r="AF30" s="27" t="n">
        <f aca="false">IF(COUNT(Aveia!$E28:$Z28)=0,0,MAX(0,IF((AF$6-$E$3)&lt;1,0,IFERROR(LOOKUP(2,1/(Aveia!$E28:INDEX(Aveia!$E28:$Z28,MIN(AF$6-$E$3,22))&lt;&gt;""),Aveia!$E28:INDEX(Aveia!$E28:$Z28,MIN(AF$6-$E$3,22))),0))-IF($G$2,0,IF((AF$6-$G$3)&lt;1,0,IFERROR(LOOKUP(2,1/(Aveia!$E28:INDEX(Aveia!$E28:$Z28,MIN(AF$6-$G$3,22))&lt;&gt;""),Aveia!$E28:INDEX(Aveia!$E28:$Z28,MIN(AF$6-$G$3,22))),0)))))</f>
        <v>0</v>
      </c>
      <c r="AG30" s="27" t="n">
        <f aca="false">IF(COUNT(Aveia!$E28:$Z28)=0,0,MAX(0,IF((AG$6-$E$3)&lt;1,0,IFERROR(LOOKUP(2,1/(Aveia!$E28:INDEX(Aveia!$E28:$Z28,MIN(AG$6-$E$3,22))&lt;&gt;""),Aveia!$E28:INDEX(Aveia!$E28:$Z28,MIN(AG$6-$E$3,22))),0))-IF($G$2,0,IF((AG$6-$G$3)&lt;1,0,IFERROR(LOOKUP(2,1/(Aveia!$E28:INDEX(Aveia!$E28:$Z28,MIN(AG$6-$G$3,22))&lt;&gt;""),Aveia!$E28:INDEX(Aveia!$E28:$Z28,MIN(AG$6-$G$3,22))),0)))))</f>
        <v>0</v>
      </c>
      <c r="AH30" s="27" t="n">
        <f aca="false">IF(COUNT(Aveia!$E28:$Z28)=0,0,MAX(0,IF((AH$6-$E$3)&lt;1,0,IFERROR(LOOKUP(2,1/(Aveia!$E28:INDEX(Aveia!$E28:$Z28,MIN(AH$6-$E$3,22))&lt;&gt;""),Aveia!$E28:INDEX(Aveia!$E28:$Z28,MIN(AH$6-$E$3,22))),0))-IF($G$2,0,IF((AH$6-$G$3)&lt;1,0,IFERROR(LOOKUP(2,1/(Aveia!$E28:INDEX(Aveia!$E28:$Z28,MIN(AH$6-$G$3,22))&lt;&gt;""),Aveia!$E28:INDEX(Aveia!$E28:$Z28,MIN(AH$6-$G$3,22))),0)))))</f>
        <v>0</v>
      </c>
      <c r="AI30" s="27" t="n">
        <f aca="false">IF(COUNT(Aveia!$E28:$Z28)=0,0,MAX(0,IF((AI$6-$E$3)&lt;1,0,IFERROR(LOOKUP(2,1/(Aveia!$E28:INDEX(Aveia!$E28:$Z28,MIN(AI$6-$E$3,22))&lt;&gt;""),Aveia!$E28:INDEX(Aveia!$E28:$Z28,MIN(AI$6-$E$3,22))),0))-IF($G$2,0,IF((AI$6-$G$3)&lt;1,0,IFERROR(LOOKUP(2,1/(Aveia!$E28:INDEX(Aveia!$E28:$Z28,MIN(AI$6-$G$3,22))&lt;&gt;""),Aveia!$E28:INDEX(Aveia!$E28:$Z28,MIN(AI$6-$G$3,22))),0)))))</f>
        <v>0</v>
      </c>
      <c r="AJ30" s="27" t="n">
        <f aca="false">IF(COUNT(Aveia!$E28:$Z28)=0,0,MAX(0,IF((AJ$6-$E$3)&lt;1,0,IFERROR(LOOKUP(2,1/(Aveia!$E28:INDEX(Aveia!$E28:$Z28,MIN(AJ$6-$E$3,22))&lt;&gt;""),Aveia!$E28:INDEX(Aveia!$E28:$Z28,MIN(AJ$6-$E$3,22))),0))-IF($G$2,0,IF((AJ$6-$G$3)&lt;1,0,IFERROR(LOOKUP(2,1/(Aveia!$E28:INDEX(Aveia!$E28:$Z28,MIN(AJ$6-$G$3,22))&lt;&gt;""),Aveia!$E28:INDEX(Aveia!$E28:$Z28,MIN(AJ$6-$G$3,22))),0)))))</f>
        <v>0</v>
      </c>
      <c r="AK30" s="27" t="n">
        <f aca="false">IF(COUNT(Aveia!$E28:$Z28)=0,0,MAX(0,IF((AK$6-$E$3)&lt;1,0,IFERROR(LOOKUP(2,1/(Aveia!$E28:INDEX(Aveia!$E28:$Z28,MIN(AK$6-$E$3,22))&lt;&gt;""),Aveia!$E28:INDEX(Aveia!$E28:$Z28,MIN(AK$6-$E$3,22))),0))-IF($G$2,0,IF((AK$6-$G$3)&lt;1,0,IFERROR(LOOKUP(2,1/(Aveia!$E28:INDEX(Aveia!$E28:$Z28,MIN(AK$6-$G$3,22))&lt;&gt;""),Aveia!$E28:INDEX(Aveia!$E28:$Z28,MIN(AK$6-$G$3,22))),0)))))</f>
        <v>0</v>
      </c>
      <c r="AL30" s="27" t="n">
        <f aca="false">IF(COUNT(Aveia!$E28:$Z28)=0,0,MAX(0,IF((AL$6-$E$3)&lt;1,0,IFERROR(LOOKUP(2,1/(Aveia!$E28:INDEX(Aveia!$E28:$Z28,MIN(AL$6-$E$3,22))&lt;&gt;""),Aveia!$E28:INDEX(Aveia!$E28:$Z28,MIN(AL$6-$E$3,22))),0))-IF($G$2,0,IF((AL$6-$G$3)&lt;1,0,IFERROR(LOOKUP(2,1/(Aveia!$E28:INDEX(Aveia!$E28:$Z28,MIN(AL$6-$G$3,22))&lt;&gt;""),Aveia!$E28:INDEX(Aveia!$E28:$Z28,MIN(AL$6-$G$3,22))),0)))))</f>
        <v>0</v>
      </c>
      <c r="AM30" s="27" t="n">
        <f aca="false">IF(COUNT(Aveia!$E28:$Z28)=0,0,MAX(0,IF((AM$6-$E$3)&lt;1,0,IFERROR(LOOKUP(2,1/(Aveia!$E28:INDEX(Aveia!$E28:$Z28,MIN(AM$6-$E$3,22))&lt;&gt;""),Aveia!$E28:INDEX(Aveia!$E28:$Z28,MIN(AM$6-$E$3,22))),0))-IF($G$2,0,IF((AM$6-$G$3)&lt;1,0,IFERROR(LOOKUP(2,1/(Aveia!$E28:INDEX(Aveia!$E28:$Z28,MIN(AM$6-$G$3,22))&lt;&gt;""),Aveia!$E28:INDEX(Aveia!$E28:$Z28,MIN(AM$6-$G$3,22))),0)))))</f>
        <v>0</v>
      </c>
      <c r="AN30" s="27" t="n">
        <f aca="false">IF(COUNT(Aveia!$E28:$Z28)=0,0,MAX(0,IF((AN$6-$E$3)&lt;1,0,IFERROR(LOOKUP(2,1/(Aveia!$E28:INDEX(Aveia!$E28:$Z28,MIN(AN$6-$E$3,22))&lt;&gt;""),Aveia!$E28:INDEX(Aveia!$E28:$Z28,MIN(AN$6-$E$3,22))),0))-IF($G$2,0,IF((AN$6-$G$3)&lt;1,0,IFERROR(LOOKUP(2,1/(Aveia!$E28:INDEX(Aveia!$E28:$Z28,MIN(AN$6-$G$3,22))&lt;&gt;""),Aveia!$E28:INDEX(Aveia!$E28:$Z28,MIN(AN$6-$G$3,22))),0)))))</f>
        <v>0</v>
      </c>
      <c r="AO30" s="27" t="n">
        <f aca="false">IF(COUNT(Aveia!$E28:$Z28)=0,0,MAX(0,IF((AO$6-$E$3)&lt;1,0,IFERROR(LOOKUP(2,1/(Aveia!$E28:INDEX(Aveia!$E28:$Z28,MIN(AO$6-$E$3,22))&lt;&gt;""),Aveia!$E28:INDEX(Aveia!$E28:$Z28,MIN(AO$6-$E$3,22))),0))-IF($G$2,0,IF((AO$6-$G$3)&lt;1,0,IFERROR(LOOKUP(2,1/(Aveia!$E28:INDEX(Aveia!$E28:$Z28,MIN(AO$6-$G$3,22))&lt;&gt;""),Aveia!$E28:INDEX(Aveia!$E28:$Z28,MIN(AO$6-$G$3,22))),0)))))</f>
        <v>0</v>
      </c>
      <c r="AP30" s="27" t="n">
        <f aca="false">IF(COUNT(Aveia!$E28:$Z28)=0,0,MAX(0,IF((AP$6-$E$3)&lt;1,0,IFERROR(LOOKUP(2,1/(Aveia!$E28:INDEX(Aveia!$E28:$Z28,MIN(AP$6-$E$3,22))&lt;&gt;""),Aveia!$E28:INDEX(Aveia!$E28:$Z28,MIN(AP$6-$E$3,22))),0))-IF($G$2,0,IF((AP$6-$G$3)&lt;1,0,IFERROR(LOOKUP(2,1/(Aveia!$E28:INDEX(Aveia!$E28:$Z28,MIN(AP$6-$G$3,22))&lt;&gt;""),Aveia!$E28:INDEX(Aveia!$E28:$Z28,MIN(AP$6-$G$3,22))),0)))))</f>
        <v>0</v>
      </c>
      <c r="AQ30" s="27" t="n">
        <f aca="false">IF(COUNT(Aveia!$E28:$Z28)=0,0,MAX(0,IF((AQ$6-$E$3)&lt;1,0,IFERROR(LOOKUP(2,1/(Aveia!$E28:INDEX(Aveia!$E28:$Z28,MIN(AQ$6-$E$3,22))&lt;&gt;""),Aveia!$E28:INDEX(Aveia!$E28:$Z28,MIN(AQ$6-$E$3,22))),0))-IF($G$2,0,IF((AQ$6-$G$3)&lt;1,0,IFERROR(LOOKUP(2,1/(Aveia!$E28:INDEX(Aveia!$E28:$Z28,MIN(AQ$6-$G$3,22))&lt;&gt;""),Aveia!$E28:INDEX(Aveia!$E28:$Z28,MIN(AQ$6-$G$3,22))),0)))))</f>
        <v>0</v>
      </c>
      <c r="AR30" s="27" t="n">
        <f aca="false">IF(COUNT(Aveia!$E28:$Z28)=0,0,MAX(0,IF((AR$6-$E$3)&lt;1,0,IFERROR(LOOKUP(2,1/(Aveia!$E28:INDEX(Aveia!$E28:$Z28,MIN(AR$6-$E$3,22))&lt;&gt;""),Aveia!$E28:INDEX(Aveia!$E28:$Z28,MIN(AR$6-$E$3,22))),0))-IF($G$2,0,IF((AR$6-$G$3)&lt;1,0,IFERROR(LOOKUP(2,1/(Aveia!$E28:INDEX(Aveia!$E28:$Z28,MIN(AR$6-$G$3,22))&lt;&gt;""),Aveia!$E28:INDEX(Aveia!$E28:$Z28,MIN(AR$6-$G$3,22))),0)))))</f>
        <v>0</v>
      </c>
      <c r="AS30" s="27" t="n">
        <f aca="false">IF(COUNT(Aveia!$E28:$Z28)=0,0,MAX(0,IF((AS$6-$E$3)&lt;1,0,IFERROR(LOOKUP(2,1/(Aveia!$E28:INDEX(Aveia!$E28:$Z28,MIN(AS$6-$E$3,22))&lt;&gt;""),Aveia!$E28:INDEX(Aveia!$E28:$Z28,MIN(AS$6-$E$3,22))),0))-IF($G$2,0,IF((AS$6-$G$3)&lt;1,0,IFERROR(LOOKUP(2,1/(Aveia!$E28:INDEX(Aveia!$E28:$Z28,MIN(AS$6-$G$3,22))&lt;&gt;""),Aveia!$E28:INDEX(Aveia!$E28:$Z28,MIN(AS$6-$G$3,22))),0)))))</f>
        <v>0</v>
      </c>
      <c r="AT30" s="27" t="n">
        <f aca="false">IF(COUNT(Aveia!$E28:$Z28)=0,0,MAX(0,IF((AT$6-$E$3)&lt;1,0,IFERROR(LOOKUP(2,1/(Aveia!$E28:INDEX(Aveia!$E28:$Z28,MIN(AT$6-$E$3,22))&lt;&gt;""),Aveia!$E28:INDEX(Aveia!$E28:$Z28,MIN(AT$6-$E$3,22))),0))-IF($G$2,0,IF((AT$6-$G$3)&lt;1,0,IFERROR(LOOKUP(2,1/(Aveia!$E28:INDEX(Aveia!$E28:$Z28,MIN(AT$6-$G$3,22))&lt;&gt;""),Aveia!$E28:INDEX(Aveia!$E28:$Z28,MIN(AT$6-$G$3,22))),0)))))</f>
        <v>0</v>
      </c>
      <c r="AU30" s="27" t="n">
        <f aca="false">IF(COUNT(Aveia!$E28:$Z28)=0,0,MAX(0,IF((AU$6-$E$3)&lt;1,0,IFERROR(LOOKUP(2,1/(Aveia!$E28:INDEX(Aveia!$E28:$Z28,MIN(AU$6-$E$3,22))&lt;&gt;""),Aveia!$E28:INDEX(Aveia!$E28:$Z28,MIN(AU$6-$E$3,22))),0))-IF($G$2,0,IF((AU$6-$G$3)&lt;1,0,IFERROR(LOOKUP(2,1/(Aveia!$E28:INDEX(Aveia!$E28:$Z28,MIN(AU$6-$G$3,22))&lt;&gt;""),Aveia!$E28:INDEX(Aveia!$E28:$Z28,MIN(AU$6-$G$3,22))),0)))))</f>
        <v>0</v>
      </c>
      <c r="AV30" s="27" t="n">
        <f aca="false">IF(COUNT(Aveia!$E28:$Z28)=0,0,MAX(0,IF((AV$6-$E$3)&lt;1,0,IFERROR(LOOKUP(2,1/(Aveia!$E28:INDEX(Aveia!$E28:$Z28,MIN(AV$6-$E$3,22))&lt;&gt;""),Aveia!$E28:INDEX(Aveia!$E28:$Z28,MIN(AV$6-$E$3,22))),0))-IF($G$2,0,IF((AV$6-$G$3)&lt;1,0,IFERROR(LOOKUP(2,1/(Aveia!$E28:INDEX(Aveia!$E28:$Z28,MIN(AV$6-$G$3,22))&lt;&gt;""),Aveia!$E28:INDEX(Aveia!$E28:$Z28,MIN(AV$6-$G$3,22))),0)))))</f>
        <v>0</v>
      </c>
      <c r="AW30" s="27" t="n">
        <f aca="false">IF(COUNT(Aveia!$E28:$Z28)=0,0,MAX(0,IF((AW$6-$E$3)&lt;1,0,IFERROR(LOOKUP(2,1/(Aveia!$E28:INDEX(Aveia!$E28:$Z28,MIN(AW$6-$E$3,22))&lt;&gt;""),Aveia!$E28:INDEX(Aveia!$E28:$Z28,MIN(AW$6-$E$3,22))),0))-IF($G$2,0,IF((AW$6-$G$3)&lt;1,0,IFERROR(LOOKUP(2,1/(Aveia!$E28:INDEX(Aveia!$E28:$Z28,MIN(AW$6-$G$3,22))&lt;&gt;""),Aveia!$E28:INDEX(Aveia!$E28:$Z28,MIN(AW$6-$G$3,22))),0)))))</f>
        <v>0</v>
      </c>
      <c r="AX30" s="27" t="n">
        <f aca="false">IF(COUNT(Aveia!$E28:$Z28)=0,0,MAX(0,IF((AX$6-$E$3)&lt;1,0,IFERROR(LOOKUP(2,1/(Aveia!$E28:INDEX(Aveia!$E28:$Z28,MIN(AX$6-$E$3,22))&lt;&gt;""),Aveia!$E28:INDEX(Aveia!$E28:$Z28,MIN(AX$6-$E$3,22))),0))-IF($G$2,0,IF((AX$6-$G$3)&lt;1,0,IFERROR(LOOKUP(2,1/(Aveia!$E28:INDEX(Aveia!$E28:$Z28,MIN(AX$6-$G$3,22))&lt;&gt;""),Aveia!$E28:INDEX(Aveia!$E28:$Z28,MIN(AX$6-$G$3,22))),0)))))</f>
        <v>0</v>
      </c>
      <c r="AY30" s="27" t="n">
        <f aca="false">IF(COUNT(Aveia!$E28:$Z28)=0,0,MAX(0,IF((AY$6-$E$3)&lt;1,0,IFERROR(LOOKUP(2,1/(Aveia!$E28:INDEX(Aveia!$E28:$Z28,MIN(AY$6-$E$3,22))&lt;&gt;""),Aveia!$E28:INDEX(Aveia!$E28:$Z28,MIN(AY$6-$E$3,22))),0))-IF($G$2,0,IF((AY$6-$G$3)&lt;1,0,IFERROR(LOOKUP(2,1/(Aveia!$E28:INDEX(Aveia!$E28:$Z28,MIN(AY$6-$G$3,22))&lt;&gt;""),Aveia!$E28:INDEX(Aveia!$E28:$Z28,MIN(AY$6-$G$3,22))),0)))))</f>
        <v>0</v>
      </c>
      <c r="AZ30" s="27" t="n">
        <f aca="false">IF(COUNT(Aveia!$E28:$Z28)=0,0,MAX(0,IF((AZ$6-$E$3)&lt;1,0,IFERROR(LOOKUP(2,1/(Aveia!$E28:INDEX(Aveia!$E28:$Z28,MIN(AZ$6-$E$3,22))&lt;&gt;""),Aveia!$E28:INDEX(Aveia!$E28:$Z28,MIN(AZ$6-$E$3,22))),0))-IF($G$2,0,IF((AZ$6-$G$3)&lt;1,0,IFERROR(LOOKUP(2,1/(Aveia!$E28:INDEX(Aveia!$E28:$Z28,MIN(AZ$6-$G$3,22))&lt;&gt;""),Aveia!$E28:INDEX(Aveia!$E28:$Z28,MIN(AZ$6-$G$3,22))),0)))))</f>
        <v>0</v>
      </c>
    </row>
    <row r="31" customFormat="false" ht="15" hidden="false" customHeight="false" outlineLevel="0" collapsed="false">
      <c r="A31" s="3" t="s">
        <v>184</v>
      </c>
      <c r="B31" s="3" t="s">
        <v>185</v>
      </c>
      <c r="C31" s="10" t="s">
        <v>134</v>
      </c>
      <c r="D31" s="26" t="n">
        <f aca="false">IF(COUNT(Aveia!$E29:$Z29)&gt;0,N(Aveia!$D29),0)</f>
        <v>0</v>
      </c>
      <c r="E31" s="27" t="n">
        <f aca="false">IF(COUNT(Aveia!$E29:$Z29)=0,0,MAX(0,IF((E$6-$E$3)&lt;1,0,IFERROR(LOOKUP(2,1/(Aveia!$E29:INDEX(Aveia!$E29:$Z29,MIN(E$6-$E$3,22))&lt;&gt;""),Aveia!$E29:INDEX(Aveia!$E29:$Z29,MIN(E$6-$E$3,22))),0))-IF($G$2,0,IF((E$6-$G$3)&lt;1,0,IFERROR(LOOKUP(2,1/(Aveia!$E29:INDEX(Aveia!$E29:$Z29,MIN(E$6-$G$3,22))&lt;&gt;""),Aveia!$E29:INDEX(Aveia!$E29:$Z29,MIN(E$6-$G$3,22))),0)))))</f>
        <v>0</v>
      </c>
      <c r="F31" s="27" t="n">
        <f aca="false">IF(COUNT(Aveia!$E29:$Z29)=0,0,MAX(0,IF((F$6-$E$3)&lt;1,0,IFERROR(LOOKUP(2,1/(Aveia!$E29:INDEX(Aveia!$E29:$Z29,MIN(F$6-$E$3,22))&lt;&gt;""),Aveia!$E29:INDEX(Aveia!$E29:$Z29,MIN(F$6-$E$3,22))),0))-IF($G$2,0,IF((F$6-$G$3)&lt;1,0,IFERROR(LOOKUP(2,1/(Aveia!$E29:INDEX(Aveia!$E29:$Z29,MIN(F$6-$G$3,22))&lt;&gt;""),Aveia!$E29:INDEX(Aveia!$E29:$Z29,MIN(F$6-$G$3,22))),0)))))</f>
        <v>0</v>
      </c>
      <c r="G31" s="27" t="n">
        <f aca="false">IF(COUNT(Aveia!$E29:$Z29)=0,0,MAX(0,IF((G$6-$E$3)&lt;1,0,IFERROR(LOOKUP(2,1/(Aveia!$E29:INDEX(Aveia!$E29:$Z29,MIN(G$6-$E$3,22))&lt;&gt;""),Aveia!$E29:INDEX(Aveia!$E29:$Z29,MIN(G$6-$E$3,22))),0))-IF($G$2,0,IF((G$6-$G$3)&lt;1,0,IFERROR(LOOKUP(2,1/(Aveia!$E29:INDEX(Aveia!$E29:$Z29,MIN(G$6-$G$3,22))&lt;&gt;""),Aveia!$E29:INDEX(Aveia!$E29:$Z29,MIN(G$6-$G$3,22))),0)))))</f>
        <v>0</v>
      </c>
      <c r="H31" s="27" t="n">
        <f aca="false">IF(COUNT(Aveia!$E29:$Z29)=0,0,MAX(0,IF((H$6-$E$3)&lt;1,0,IFERROR(LOOKUP(2,1/(Aveia!$E29:INDEX(Aveia!$E29:$Z29,MIN(H$6-$E$3,22))&lt;&gt;""),Aveia!$E29:INDEX(Aveia!$E29:$Z29,MIN(H$6-$E$3,22))),0))-IF($G$2,0,IF((H$6-$G$3)&lt;1,0,IFERROR(LOOKUP(2,1/(Aveia!$E29:INDEX(Aveia!$E29:$Z29,MIN(H$6-$G$3,22))&lt;&gt;""),Aveia!$E29:INDEX(Aveia!$E29:$Z29,MIN(H$6-$G$3,22))),0)))))</f>
        <v>0</v>
      </c>
      <c r="I31" s="27" t="n">
        <f aca="false">IF(COUNT(Aveia!$E29:$Z29)=0,0,MAX(0,IF((I$6-$E$3)&lt;1,0,IFERROR(LOOKUP(2,1/(Aveia!$E29:INDEX(Aveia!$E29:$Z29,MIN(I$6-$E$3,22))&lt;&gt;""),Aveia!$E29:INDEX(Aveia!$E29:$Z29,MIN(I$6-$E$3,22))),0))-IF($G$2,0,IF((I$6-$G$3)&lt;1,0,IFERROR(LOOKUP(2,1/(Aveia!$E29:INDEX(Aveia!$E29:$Z29,MIN(I$6-$G$3,22))&lt;&gt;""),Aveia!$E29:INDEX(Aveia!$E29:$Z29,MIN(I$6-$G$3,22))),0)))))</f>
        <v>0</v>
      </c>
      <c r="J31" s="27" t="n">
        <f aca="false">IF(COUNT(Aveia!$E29:$Z29)=0,0,MAX(0,IF((J$6-$E$3)&lt;1,0,IFERROR(LOOKUP(2,1/(Aveia!$E29:INDEX(Aveia!$E29:$Z29,MIN(J$6-$E$3,22))&lt;&gt;""),Aveia!$E29:INDEX(Aveia!$E29:$Z29,MIN(J$6-$E$3,22))),0))-IF($G$2,0,IF((J$6-$G$3)&lt;1,0,IFERROR(LOOKUP(2,1/(Aveia!$E29:INDEX(Aveia!$E29:$Z29,MIN(J$6-$G$3,22))&lt;&gt;""),Aveia!$E29:INDEX(Aveia!$E29:$Z29,MIN(J$6-$G$3,22))),0)))))</f>
        <v>0</v>
      </c>
      <c r="K31" s="27" t="n">
        <f aca="false">IF(COUNT(Aveia!$E29:$Z29)=0,0,MAX(0,IF((K$6-$E$3)&lt;1,0,IFERROR(LOOKUP(2,1/(Aveia!$E29:INDEX(Aveia!$E29:$Z29,MIN(K$6-$E$3,22))&lt;&gt;""),Aveia!$E29:INDEX(Aveia!$E29:$Z29,MIN(K$6-$E$3,22))),0))-IF($G$2,0,IF((K$6-$G$3)&lt;1,0,IFERROR(LOOKUP(2,1/(Aveia!$E29:INDEX(Aveia!$E29:$Z29,MIN(K$6-$G$3,22))&lt;&gt;""),Aveia!$E29:INDEX(Aveia!$E29:$Z29,MIN(K$6-$G$3,22))),0)))))</f>
        <v>0</v>
      </c>
      <c r="L31" s="27" t="n">
        <f aca="false">IF(COUNT(Aveia!$E29:$Z29)=0,0,MAX(0,IF((L$6-$E$3)&lt;1,0,IFERROR(LOOKUP(2,1/(Aveia!$E29:INDEX(Aveia!$E29:$Z29,MIN(L$6-$E$3,22))&lt;&gt;""),Aveia!$E29:INDEX(Aveia!$E29:$Z29,MIN(L$6-$E$3,22))),0))-IF($G$2,0,IF((L$6-$G$3)&lt;1,0,IFERROR(LOOKUP(2,1/(Aveia!$E29:INDEX(Aveia!$E29:$Z29,MIN(L$6-$G$3,22))&lt;&gt;""),Aveia!$E29:INDEX(Aveia!$E29:$Z29,MIN(L$6-$G$3,22))),0)))))</f>
        <v>0</v>
      </c>
      <c r="M31" s="27" t="n">
        <f aca="false">IF(COUNT(Aveia!$E29:$Z29)=0,0,MAX(0,IF((M$6-$E$3)&lt;1,0,IFERROR(LOOKUP(2,1/(Aveia!$E29:INDEX(Aveia!$E29:$Z29,MIN(M$6-$E$3,22))&lt;&gt;""),Aveia!$E29:INDEX(Aveia!$E29:$Z29,MIN(M$6-$E$3,22))),0))-IF($G$2,0,IF((M$6-$G$3)&lt;1,0,IFERROR(LOOKUP(2,1/(Aveia!$E29:INDEX(Aveia!$E29:$Z29,MIN(M$6-$G$3,22))&lt;&gt;""),Aveia!$E29:INDEX(Aveia!$E29:$Z29,MIN(M$6-$G$3,22))),0)))))</f>
        <v>0</v>
      </c>
      <c r="N31" s="27" t="n">
        <f aca="false">IF(COUNT(Aveia!$E29:$Z29)=0,0,MAX(0,IF((N$6-$E$3)&lt;1,0,IFERROR(LOOKUP(2,1/(Aveia!$E29:INDEX(Aveia!$E29:$Z29,MIN(N$6-$E$3,22))&lt;&gt;""),Aveia!$E29:INDEX(Aveia!$E29:$Z29,MIN(N$6-$E$3,22))),0))-IF($G$2,0,IF((N$6-$G$3)&lt;1,0,IFERROR(LOOKUP(2,1/(Aveia!$E29:INDEX(Aveia!$E29:$Z29,MIN(N$6-$G$3,22))&lt;&gt;""),Aveia!$E29:INDEX(Aveia!$E29:$Z29,MIN(N$6-$G$3,22))),0)))))</f>
        <v>0</v>
      </c>
      <c r="O31" s="27" t="n">
        <f aca="false">IF(COUNT(Aveia!$E29:$Z29)=0,0,MAX(0,IF((O$6-$E$3)&lt;1,0,IFERROR(LOOKUP(2,1/(Aveia!$E29:INDEX(Aveia!$E29:$Z29,MIN(O$6-$E$3,22))&lt;&gt;""),Aveia!$E29:INDEX(Aveia!$E29:$Z29,MIN(O$6-$E$3,22))),0))-IF($G$2,0,IF((O$6-$G$3)&lt;1,0,IFERROR(LOOKUP(2,1/(Aveia!$E29:INDEX(Aveia!$E29:$Z29,MIN(O$6-$G$3,22))&lt;&gt;""),Aveia!$E29:INDEX(Aveia!$E29:$Z29,MIN(O$6-$G$3,22))),0)))))</f>
        <v>0</v>
      </c>
      <c r="P31" s="27" t="n">
        <f aca="false">IF(COUNT(Aveia!$E29:$Z29)=0,0,MAX(0,IF((P$6-$E$3)&lt;1,0,IFERROR(LOOKUP(2,1/(Aveia!$E29:INDEX(Aveia!$E29:$Z29,MIN(P$6-$E$3,22))&lt;&gt;""),Aveia!$E29:INDEX(Aveia!$E29:$Z29,MIN(P$6-$E$3,22))),0))-IF($G$2,0,IF((P$6-$G$3)&lt;1,0,IFERROR(LOOKUP(2,1/(Aveia!$E29:INDEX(Aveia!$E29:$Z29,MIN(P$6-$G$3,22))&lt;&gt;""),Aveia!$E29:INDEX(Aveia!$E29:$Z29,MIN(P$6-$G$3,22))),0)))))</f>
        <v>0</v>
      </c>
      <c r="Q31" s="27" t="n">
        <f aca="false">IF(COUNT(Aveia!$E29:$Z29)=0,0,MAX(0,IF((Q$6-$E$3)&lt;1,0,IFERROR(LOOKUP(2,1/(Aveia!$E29:INDEX(Aveia!$E29:$Z29,MIN(Q$6-$E$3,22))&lt;&gt;""),Aveia!$E29:INDEX(Aveia!$E29:$Z29,MIN(Q$6-$E$3,22))),0))-IF($G$2,0,IF((Q$6-$G$3)&lt;1,0,IFERROR(LOOKUP(2,1/(Aveia!$E29:INDEX(Aveia!$E29:$Z29,MIN(Q$6-$G$3,22))&lt;&gt;""),Aveia!$E29:INDEX(Aveia!$E29:$Z29,MIN(Q$6-$G$3,22))),0)))))</f>
        <v>0</v>
      </c>
      <c r="R31" s="27" t="n">
        <f aca="false">IF(COUNT(Aveia!$E29:$Z29)=0,0,MAX(0,IF((R$6-$E$3)&lt;1,0,IFERROR(LOOKUP(2,1/(Aveia!$E29:INDEX(Aveia!$E29:$Z29,MIN(R$6-$E$3,22))&lt;&gt;""),Aveia!$E29:INDEX(Aveia!$E29:$Z29,MIN(R$6-$E$3,22))),0))-IF($G$2,0,IF((R$6-$G$3)&lt;1,0,IFERROR(LOOKUP(2,1/(Aveia!$E29:INDEX(Aveia!$E29:$Z29,MIN(R$6-$G$3,22))&lt;&gt;""),Aveia!$E29:INDEX(Aveia!$E29:$Z29,MIN(R$6-$G$3,22))),0)))))</f>
        <v>0</v>
      </c>
      <c r="S31" s="27" t="n">
        <f aca="false">IF(COUNT(Aveia!$E29:$Z29)=0,0,MAX(0,IF((S$6-$E$3)&lt;1,0,IFERROR(LOOKUP(2,1/(Aveia!$E29:INDEX(Aveia!$E29:$Z29,MIN(S$6-$E$3,22))&lt;&gt;""),Aveia!$E29:INDEX(Aveia!$E29:$Z29,MIN(S$6-$E$3,22))),0))-IF($G$2,0,IF((S$6-$G$3)&lt;1,0,IFERROR(LOOKUP(2,1/(Aveia!$E29:INDEX(Aveia!$E29:$Z29,MIN(S$6-$G$3,22))&lt;&gt;""),Aveia!$E29:INDEX(Aveia!$E29:$Z29,MIN(S$6-$G$3,22))),0)))))</f>
        <v>0</v>
      </c>
      <c r="T31" s="27" t="n">
        <f aca="false">IF(COUNT(Aveia!$E29:$Z29)=0,0,MAX(0,IF((T$6-$E$3)&lt;1,0,IFERROR(LOOKUP(2,1/(Aveia!$E29:INDEX(Aveia!$E29:$Z29,MIN(T$6-$E$3,22))&lt;&gt;""),Aveia!$E29:INDEX(Aveia!$E29:$Z29,MIN(T$6-$E$3,22))),0))-IF($G$2,0,IF((T$6-$G$3)&lt;1,0,IFERROR(LOOKUP(2,1/(Aveia!$E29:INDEX(Aveia!$E29:$Z29,MIN(T$6-$G$3,22))&lt;&gt;""),Aveia!$E29:INDEX(Aveia!$E29:$Z29,MIN(T$6-$G$3,22))),0)))))</f>
        <v>0</v>
      </c>
      <c r="U31" s="27" t="n">
        <f aca="false">IF(COUNT(Aveia!$E29:$Z29)=0,0,MAX(0,IF((U$6-$E$3)&lt;1,0,IFERROR(LOOKUP(2,1/(Aveia!$E29:INDEX(Aveia!$E29:$Z29,MIN(U$6-$E$3,22))&lt;&gt;""),Aveia!$E29:INDEX(Aveia!$E29:$Z29,MIN(U$6-$E$3,22))),0))-IF($G$2,0,IF((U$6-$G$3)&lt;1,0,IFERROR(LOOKUP(2,1/(Aveia!$E29:INDEX(Aveia!$E29:$Z29,MIN(U$6-$G$3,22))&lt;&gt;""),Aveia!$E29:INDEX(Aveia!$E29:$Z29,MIN(U$6-$G$3,22))),0)))))</f>
        <v>0</v>
      </c>
      <c r="V31" s="27" t="n">
        <f aca="false">IF(COUNT(Aveia!$E29:$Z29)=0,0,MAX(0,IF((V$6-$E$3)&lt;1,0,IFERROR(LOOKUP(2,1/(Aveia!$E29:INDEX(Aveia!$E29:$Z29,MIN(V$6-$E$3,22))&lt;&gt;""),Aveia!$E29:INDEX(Aveia!$E29:$Z29,MIN(V$6-$E$3,22))),0))-IF($G$2,0,IF((V$6-$G$3)&lt;1,0,IFERROR(LOOKUP(2,1/(Aveia!$E29:INDEX(Aveia!$E29:$Z29,MIN(V$6-$G$3,22))&lt;&gt;""),Aveia!$E29:INDEX(Aveia!$E29:$Z29,MIN(V$6-$G$3,22))),0)))))</f>
        <v>0</v>
      </c>
      <c r="W31" s="27" t="n">
        <f aca="false">IF(COUNT(Aveia!$E29:$Z29)=0,0,MAX(0,IF((W$6-$E$3)&lt;1,0,IFERROR(LOOKUP(2,1/(Aveia!$E29:INDEX(Aveia!$E29:$Z29,MIN(W$6-$E$3,22))&lt;&gt;""),Aveia!$E29:INDEX(Aveia!$E29:$Z29,MIN(W$6-$E$3,22))),0))-IF($G$2,0,IF((W$6-$G$3)&lt;1,0,IFERROR(LOOKUP(2,1/(Aveia!$E29:INDEX(Aveia!$E29:$Z29,MIN(W$6-$G$3,22))&lt;&gt;""),Aveia!$E29:INDEX(Aveia!$E29:$Z29,MIN(W$6-$G$3,22))),0)))))</f>
        <v>0</v>
      </c>
      <c r="X31" s="27" t="n">
        <f aca="false">IF(COUNT(Aveia!$E29:$Z29)=0,0,MAX(0,IF((X$6-$E$3)&lt;1,0,IFERROR(LOOKUP(2,1/(Aveia!$E29:INDEX(Aveia!$E29:$Z29,MIN(X$6-$E$3,22))&lt;&gt;""),Aveia!$E29:INDEX(Aveia!$E29:$Z29,MIN(X$6-$E$3,22))),0))-IF($G$2,0,IF((X$6-$G$3)&lt;1,0,IFERROR(LOOKUP(2,1/(Aveia!$E29:INDEX(Aveia!$E29:$Z29,MIN(X$6-$G$3,22))&lt;&gt;""),Aveia!$E29:INDEX(Aveia!$E29:$Z29,MIN(X$6-$G$3,22))),0)))))</f>
        <v>0</v>
      </c>
      <c r="Y31" s="27" t="n">
        <f aca="false">IF(COUNT(Aveia!$E29:$Z29)=0,0,MAX(0,IF((Y$6-$E$3)&lt;1,0,IFERROR(LOOKUP(2,1/(Aveia!$E29:INDEX(Aveia!$E29:$Z29,MIN(Y$6-$E$3,22))&lt;&gt;""),Aveia!$E29:INDEX(Aveia!$E29:$Z29,MIN(Y$6-$E$3,22))),0))-IF($G$2,0,IF((Y$6-$G$3)&lt;1,0,IFERROR(LOOKUP(2,1/(Aveia!$E29:INDEX(Aveia!$E29:$Z29,MIN(Y$6-$G$3,22))&lt;&gt;""),Aveia!$E29:INDEX(Aveia!$E29:$Z29,MIN(Y$6-$G$3,22))),0)))))</f>
        <v>0</v>
      </c>
      <c r="Z31" s="27" t="n">
        <f aca="false">IF(COUNT(Aveia!$E29:$Z29)=0,0,MAX(0,IF((Z$6-$E$3)&lt;1,0,IFERROR(LOOKUP(2,1/(Aveia!$E29:INDEX(Aveia!$E29:$Z29,MIN(Z$6-$E$3,22))&lt;&gt;""),Aveia!$E29:INDEX(Aveia!$E29:$Z29,MIN(Z$6-$E$3,22))),0))-IF($G$2,0,IF((Z$6-$G$3)&lt;1,0,IFERROR(LOOKUP(2,1/(Aveia!$E29:INDEX(Aveia!$E29:$Z29,MIN(Z$6-$G$3,22))&lt;&gt;""),Aveia!$E29:INDEX(Aveia!$E29:$Z29,MIN(Z$6-$G$3,22))),0)))))</f>
        <v>0</v>
      </c>
      <c r="AA31" s="27" t="n">
        <f aca="false">IF(COUNT(Aveia!$E29:$Z29)=0,0,MAX(0,IF((AA$6-$E$3)&lt;1,0,IFERROR(LOOKUP(2,1/(Aveia!$E29:INDEX(Aveia!$E29:$Z29,MIN(AA$6-$E$3,22))&lt;&gt;""),Aveia!$E29:INDEX(Aveia!$E29:$Z29,MIN(AA$6-$E$3,22))),0))-IF($G$2,0,IF((AA$6-$G$3)&lt;1,0,IFERROR(LOOKUP(2,1/(Aveia!$E29:INDEX(Aveia!$E29:$Z29,MIN(AA$6-$G$3,22))&lt;&gt;""),Aveia!$E29:INDEX(Aveia!$E29:$Z29,MIN(AA$6-$G$3,22))),0)))))</f>
        <v>0</v>
      </c>
      <c r="AB31" s="27" t="n">
        <f aca="false">IF(COUNT(Aveia!$E29:$Z29)=0,0,MAX(0,IF((AB$6-$E$3)&lt;1,0,IFERROR(LOOKUP(2,1/(Aveia!$E29:INDEX(Aveia!$E29:$Z29,MIN(AB$6-$E$3,22))&lt;&gt;""),Aveia!$E29:INDEX(Aveia!$E29:$Z29,MIN(AB$6-$E$3,22))),0))-IF($G$2,0,IF((AB$6-$G$3)&lt;1,0,IFERROR(LOOKUP(2,1/(Aveia!$E29:INDEX(Aveia!$E29:$Z29,MIN(AB$6-$G$3,22))&lt;&gt;""),Aveia!$E29:INDEX(Aveia!$E29:$Z29,MIN(AB$6-$G$3,22))),0)))))</f>
        <v>0</v>
      </c>
      <c r="AC31" s="27" t="n">
        <f aca="false">IF(COUNT(Aveia!$E29:$Z29)=0,0,MAX(0,IF((AC$6-$E$3)&lt;1,0,IFERROR(LOOKUP(2,1/(Aveia!$E29:INDEX(Aveia!$E29:$Z29,MIN(AC$6-$E$3,22))&lt;&gt;""),Aveia!$E29:INDEX(Aveia!$E29:$Z29,MIN(AC$6-$E$3,22))),0))-IF($G$2,0,IF((AC$6-$G$3)&lt;1,0,IFERROR(LOOKUP(2,1/(Aveia!$E29:INDEX(Aveia!$E29:$Z29,MIN(AC$6-$G$3,22))&lt;&gt;""),Aveia!$E29:INDEX(Aveia!$E29:$Z29,MIN(AC$6-$G$3,22))),0)))))</f>
        <v>0</v>
      </c>
      <c r="AD31" s="27" t="n">
        <f aca="false">IF(COUNT(Aveia!$E29:$Z29)=0,0,MAX(0,IF((AD$6-$E$3)&lt;1,0,IFERROR(LOOKUP(2,1/(Aveia!$E29:INDEX(Aveia!$E29:$Z29,MIN(AD$6-$E$3,22))&lt;&gt;""),Aveia!$E29:INDEX(Aveia!$E29:$Z29,MIN(AD$6-$E$3,22))),0))-IF($G$2,0,IF((AD$6-$G$3)&lt;1,0,IFERROR(LOOKUP(2,1/(Aveia!$E29:INDEX(Aveia!$E29:$Z29,MIN(AD$6-$G$3,22))&lt;&gt;""),Aveia!$E29:INDEX(Aveia!$E29:$Z29,MIN(AD$6-$G$3,22))),0)))))</f>
        <v>0</v>
      </c>
      <c r="AE31" s="27" t="n">
        <f aca="false">IF(COUNT(Aveia!$E29:$Z29)=0,0,MAX(0,IF((AE$6-$E$3)&lt;1,0,IFERROR(LOOKUP(2,1/(Aveia!$E29:INDEX(Aveia!$E29:$Z29,MIN(AE$6-$E$3,22))&lt;&gt;""),Aveia!$E29:INDEX(Aveia!$E29:$Z29,MIN(AE$6-$E$3,22))),0))-IF($G$2,0,IF((AE$6-$G$3)&lt;1,0,IFERROR(LOOKUP(2,1/(Aveia!$E29:INDEX(Aveia!$E29:$Z29,MIN(AE$6-$G$3,22))&lt;&gt;""),Aveia!$E29:INDEX(Aveia!$E29:$Z29,MIN(AE$6-$G$3,22))),0)))))</f>
        <v>0</v>
      </c>
      <c r="AF31" s="27" t="n">
        <f aca="false">IF(COUNT(Aveia!$E29:$Z29)=0,0,MAX(0,IF((AF$6-$E$3)&lt;1,0,IFERROR(LOOKUP(2,1/(Aveia!$E29:INDEX(Aveia!$E29:$Z29,MIN(AF$6-$E$3,22))&lt;&gt;""),Aveia!$E29:INDEX(Aveia!$E29:$Z29,MIN(AF$6-$E$3,22))),0))-IF($G$2,0,IF((AF$6-$G$3)&lt;1,0,IFERROR(LOOKUP(2,1/(Aveia!$E29:INDEX(Aveia!$E29:$Z29,MIN(AF$6-$G$3,22))&lt;&gt;""),Aveia!$E29:INDEX(Aveia!$E29:$Z29,MIN(AF$6-$G$3,22))),0)))))</f>
        <v>0</v>
      </c>
      <c r="AG31" s="27" t="n">
        <f aca="false">IF(COUNT(Aveia!$E29:$Z29)=0,0,MAX(0,IF((AG$6-$E$3)&lt;1,0,IFERROR(LOOKUP(2,1/(Aveia!$E29:INDEX(Aveia!$E29:$Z29,MIN(AG$6-$E$3,22))&lt;&gt;""),Aveia!$E29:INDEX(Aveia!$E29:$Z29,MIN(AG$6-$E$3,22))),0))-IF($G$2,0,IF((AG$6-$G$3)&lt;1,0,IFERROR(LOOKUP(2,1/(Aveia!$E29:INDEX(Aveia!$E29:$Z29,MIN(AG$6-$G$3,22))&lt;&gt;""),Aveia!$E29:INDEX(Aveia!$E29:$Z29,MIN(AG$6-$G$3,22))),0)))))</f>
        <v>0</v>
      </c>
      <c r="AH31" s="27" t="n">
        <f aca="false">IF(COUNT(Aveia!$E29:$Z29)=0,0,MAX(0,IF((AH$6-$E$3)&lt;1,0,IFERROR(LOOKUP(2,1/(Aveia!$E29:INDEX(Aveia!$E29:$Z29,MIN(AH$6-$E$3,22))&lt;&gt;""),Aveia!$E29:INDEX(Aveia!$E29:$Z29,MIN(AH$6-$E$3,22))),0))-IF($G$2,0,IF((AH$6-$G$3)&lt;1,0,IFERROR(LOOKUP(2,1/(Aveia!$E29:INDEX(Aveia!$E29:$Z29,MIN(AH$6-$G$3,22))&lt;&gt;""),Aveia!$E29:INDEX(Aveia!$E29:$Z29,MIN(AH$6-$G$3,22))),0)))))</f>
        <v>0</v>
      </c>
      <c r="AI31" s="27" t="n">
        <f aca="false">IF(COUNT(Aveia!$E29:$Z29)=0,0,MAX(0,IF((AI$6-$E$3)&lt;1,0,IFERROR(LOOKUP(2,1/(Aveia!$E29:INDEX(Aveia!$E29:$Z29,MIN(AI$6-$E$3,22))&lt;&gt;""),Aveia!$E29:INDEX(Aveia!$E29:$Z29,MIN(AI$6-$E$3,22))),0))-IF($G$2,0,IF((AI$6-$G$3)&lt;1,0,IFERROR(LOOKUP(2,1/(Aveia!$E29:INDEX(Aveia!$E29:$Z29,MIN(AI$6-$G$3,22))&lt;&gt;""),Aveia!$E29:INDEX(Aveia!$E29:$Z29,MIN(AI$6-$G$3,22))),0)))))</f>
        <v>0</v>
      </c>
      <c r="AJ31" s="27" t="n">
        <f aca="false">IF(COUNT(Aveia!$E29:$Z29)=0,0,MAX(0,IF((AJ$6-$E$3)&lt;1,0,IFERROR(LOOKUP(2,1/(Aveia!$E29:INDEX(Aveia!$E29:$Z29,MIN(AJ$6-$E$3,22))&lt;&gt;""),Aveia!$E29:INDEX(Aveia!$E29:$Z29,MIN(AJ$6-$E$3,22))),0))-IF($G$2,0,IF((AJ$6-$G$3)&lt;1,0,IFERROR(LOOKUP(2,1/(Aveia!$E29:INDEX(Aveia!$E29:$Z29,MIN(AJ$6-$G$3,22))&lt;&gt;""),Aveia!$E29:INDEX(Aveia!$E29:$Z29,MIN(AJ$6-$G$3,22))),0)))))</f>
        <v>0</v>
      </c>
      <c r="AK31" s="27" t="n">
        <f aca="false">IF(COUNT(Aveia!$E29:$Z29)=0,0,MAX(0,IF((AK$6-$E$3)&lt;1,0,IFERROR(LOOKUP(2,1/(Aveia!$E29:INDEX(Aveia!$E29:$Z29,MIN(AK$6-$E$3,22))&lt;&gt;""),Aveia!$E29:INDEX(Aveia!$E29:$Z29,MIN(AK$6-$E$3,22))),0))-IF($G$2,0,IF((AK$6-$G$3)&lt;1,0,IFERROR(LOOKUP(2,1/(Aveia!$E29:INDEX(Aveia!$E29:$Z29,MIN(AK$6-$G$3,22))&lt;&gt;""),Aveia!$E29:INDEX(Aveia!$E29:$Z29,MIN(AK$6-$G$3,22))),0)))))</f>
        <v>0</v>
      </c>
      <c r="AL31" s="27" t="n">
        <f aca="false">IF(COUNT(Aveia!$E29:$Z29)=0,0,MAX(0,IF((AL$6-$E$3)&lt;1,0,IFERROR(LOOKUP(2,1/(Aveia!$E29:INDEX(Aveia!$E29:$Z29,MIN(AL$6-$E$3,22))&lt;&gt;""),Aveia!$E29:INDEX(Aveia!$E29:$Z29,MIN(AL$6-$E$3,22))),0))-IF($G$2,0,IF((AL$6-$G$3)&lt;1,0,IFERROR(LOOKUP(2,1/(Aveia!$E29:INDEX(Aveia!$E29:$Z29,MIN(AL$6-$G$3,22))&lt;&gt;""),Aveia!$E29:INDEX(Aveia!$E29:$Z29,MIN(AL$6-$G$3,22))),0)))))</f>
        <v>0</v>
      </c>
      <c r="AM31" s="27" t="n">
        <f aca="false">IF(COUNT(Aveia!$E29:$Z29)=0,0,MAX(0,IF((AM$6-$E$3)&lt;1,0,IFERROR(LOOKUP(2,1/(Aveia!$E29:INDEX(Aveia!$E29:$Z29,MIN(AM$6-$E$3,22))&lt;&gt;""),Aveia!$E29:INDEX(Aveia!$E29:$Z29,MIN(AM$6-$E$3,22))),0))-IF($G$2,0,IF((AM$6-$G$3)&lt;1,0,IFERROR(LOOKUP(2,1/(Aveia!$E29:INDEX(Aveia!$E29:$Z29,MIN(AM$6-$G$3,22))&lt;&gt;""),Aveia!$E29:INDEX(Aveia!$E29:$Z29,MIN(AM$6-$G$3,22))),0)))))</f>
        <v>0</v>
      </c>
      <c r="AN31" s="27" t="n">
        <f aca="false">IF(COUNT(Aveia!$E29:$Z29)=0,0,MAX(0,IF((AN$6-$E$3)&lt;1,0,IFERROR(LOOKUP(2,1/(Aveia!$E29:INDEX(Aveia!$E29:$Z29,MIN(AN$6-$E$3,22))&lt;&gt;""),Aveia!$E29:INDEX(Aveia!$E29:$Z29,MIN(AN$6-$E$3,22))),0))-IF($G$2,0,IF((AN$6-$G$3)&lt;1,0,IFERROR(LOOKUP(2,1/(Aveia!$E29:INDEX(Aveia!$E29:$Z29,MIN(AN$6-$G$3,22))&lt;&gt;""),Aveia!$E29:INDEX(Aveia!$E29:$Z29,MIN(AN$6-$G$3,22))),0)))))</f>
        <v>0</v>
      </c>
      <c r="AO31" s="27" t="n">
        <f aca="false">IF(COUNT(Aveia!$E29:$Z29)=0,0,MAX(0,IF((AO$6-$E$3)&lt;1,0,IFERROR(LOOKUP(2,1/(Aveia!$E29:INDEX(Aveia!$E29:$Z29,MIN(AO$6-$E$3,22))&lt;&gt;""),Aveia!$E29:INDEX(Aveia!$E29:$Z29,MIN(AO$6-$E$3,22))),0))-IF($G$2,0,IF((AO$6-$G$3)&lt;1,0,IFERROR(LOOKUP(2,1/(Aveia!$E29:INDEX(Aveia!$E29:$Z29,MIN(AO$6-$G$3,22))&lt;&gt;""),Aveia!$E29:INDEX(Aveia!$E29:$Z29,MIN(AO$6-$G$3,22))),0)))))</f>
        <v>0</v>
      </c>
      <c r="AP31" s="27" t="n">
        <f aca="false">IF(COUNT(Aveia!$E29:$Z29)=0,0,MAX(0,IF((AP$6-$E$3)&lt;1,0,IFERROR(LOOKUP(2,1/(Aveia!$E29:INDEX(Aveia!$E29:$Z29,MIN(AP$6-$E$3,22))&lt;&gt;""),Aveia!$E29:INDEX(Aveia!$E29:$Z29,MIN(AP$6-$E$3,22))),0))-IF($G$2,0,IF((AP$6-$G$3)&lt;1,0,IFERROR(LOOKUP(2,1/(Aveia!$E29:INDEX(Aveia!$E29:$Z29,MIN(AP$6-$G$3,22))&lt;&gt;""),Aveia!$E29:INDEX(Aveia!$E29:$Z29,MIN(AP$6-$G$3,22))),0)))))</f>
        <v>0</v>
      </c>
      <c r="AQ31" s="27" t="n">
        <f aca="false">IF(COUNT(Aveia!$E29:$Z29)=0,0,MAX(0,IF((AQ$6-$E$3)&lt;1,0,IFERROR(LOOKUP(2,1/(Aveia!$E29:INDEX(Aveia!$E29:$Z29,MIN(AQ$6-$E$3,22))&lt;&gt;""),Aveia!$E29:INDEX(Aveia!$E29:$Z29,MIN(AQ$6-$E$3,22))),0))-IF($G$2,0,IF((AQ$6-$G$3)&lt;1,0,IFERROR(LOOKUP(2,1/(Aveia!$E29:INDEX(Aveia!$E29:$Z29,MIN(AQ$6-$G$3,22))&lt;&gt;""),Aveia!$E29:INDEX(Aveia!$E29:$Z29,MIN(AQ$6-$G$3,22))),0)))))</f>
        <v>0</v>
      </c>
      <c r="AR31" s="27" t="n">
        <f aca="false">IF(COUNT(Aveia!$E29:$Z29)=0,0,MAX(0,IF((AR$6-$E$3)&lt;1,0,IFERROR(LOOKUP(2,1/(Aveia!$E29:INDEX(Aveia!$E29:$Z29,MIN(AR$6-$E$3,22))&lt;&gt;""),Aveia!$E29:INDEX(Aveia!$E29:$Z29,MIN(AR$6-$E$3,22))),0))-IF($G$2,0,IF((AR$6-$G$3)&lt;1,0,IFERROR(LOOKUP(2,1/(Aveia!$E29:INDEX(Aveia!$E29:$Z29,MIN(AR$6-$G$3,22))&lt;&gt;""),Aveia!$E29:INDEX(Aveia!$E29:$Z29,MIN(AR$6-$G$3,22))),0)))))</f>
        <v>0</v>
      </c>
      <c r="AS31" s="27" t="n">
        <f aca="false">IF(COUNT(Aveia!$E29:$Z29)=0,0,MAX(0,IF((AS$6-$E$3)&lt;1,0,IFERROR(LOOKUP(2,1/(Aveia!$E29:INDEX(Aveia!$E29:$Z29,MIN(AS$6-$E$3,22))&lt;&gt;""),Aveia!$E29:INDEX(Aveia!$E29:$Z29,MIN(AS$6-$E$3,22))),0))-IF($G$2,0,IF((AS$6-$G$3)&lt;1,0,IFERROR(LOOKUP(2,1/(Aveia!$E29:INDEX(Aveia!$E29:$Z29,MIN(AS$6-$G$3,22))&lt;&gt;""),Aveia!$E29:INDEX(Aveia!$E29:$Z29,MIN(AS$6-$G$3,22))),0)))))</f>
        <v>0</v>
      </c>
      <c r="AT31" s="27" t="n">
        <f aca="false">IF(COUNT(Aveia!$E29:$Z29)=0,0,MAX(0,IF((AT$6-$E$3)&lt;1,0,IFERROR(LOOKUP(2,1/(Aveia!$E29:INDEX(Aveia!$E29:$Z29,MIN(AT$6-$E$3,22))&lt;&gt;""),Aveia!$E29:INDEX(Aveia!$E29:$Z29,MIN(AT$6-$E$3,22))),0))-IF($G$2,0,IF((AT$6-$G$3)&lt;1,0,IFERROR(LOOKUP(2,1/(Aveia!$E29:INDEX(Aveia!$E29:$Z29,MIN(AT$6-$G$3,22))&lt;&gt;""),Aveia!$E29:INDEX(Aveia!$E29:$Z29,MIN(AT$6-$G$3,22))),0)))))</f>
        <v>0</v>
      </c>
      <c r="AU31" s="27" t="n">
        <f aca="false">IF(COUNT(Aveia!$E29:$Z29)=0,0,MAX(0,IF((AU$6-$E$3)&lt;1,0,IFERROR(LOOKUP(2,1/(Aveia!$E29:INDEX(Aveia!$E29:$Z29,MIN(AU$6-$E$3,22))&lt;&gt;""),Aveia!$E29:INDEX(Aveia!$E29:$Z29,MIN(AU$6-$E$3,22))),0))-IF($G$2,0,IF((AU$6-$G$3)&lt;1,0,IFERROR(LOOKUP(2,1/(Aveia!$E29:INDEX(Aveia!$E29:$Z29,MIN(AU$6-$G$3,22))&lt;&gt;""),Aveia!$E29:INDEX(Aveia!$E29:$Z29,MIN(AU$6-$G$3,22))),0)))))</f>
        <v>0</v>
      </c>
      <c r="AV31" s="27" t="n">
        <f aca="false">IF(COUNT(Aveia!$E29:$Z29)=0,0,MAX(0,IF((AV$6-$E$3)&lt;1,0,IFERROR(LOOKUP(2,1/(Aveia!$E29:INDEX(Aveia!$E29:$Z29,MIN(AV$6-$E$3,22))&lt;&gt;""),Aveia!$E29:INDEX(Aveia!$E29:$Z29,MIN(AV$6-$E$3,22))),0))-IF($G$2,0,IF((AV$6-$G$3)&lt;1,0,IFERROR(LOOKUP(2,1/(Aveia!$E29:INDEX(Aveia!$E29:$Z29,MIN(AV$6-$G$3,22))&lt;&gt;""),Aveia!$E29:INDEX(Aveia!$E29:$Z29,MIN(AV$6-$G$3,22))),0)))))</f>
        <v>0</v>
      </c>
      <c r="AW31" s="27" t="n">
        <f aca="false">IF(COUNT(Aveia!$E29:$Z29)=0,0,MAX(0,IF((AW$6-$E$3)&lt;1,0,IFERROR(LOOKUP(2,1/(Aveia!$E29:INDEX(Aveia!$E29:$Z29,MIN(AW$6-$E$3,22))&lt;&gt;""),Aveia!$E29:INDEX(Aveia!$E29:$Z29,MIN(AW$6-$E$3,22))),0))-IF($G$2,0,IF((AW$6-$G$3)&lt;1,0,IFERROR(LOOKUP(2,1/(Aveia!$E29:INDEX(Aveia!$E29:$Z29,MIN(AW$6-$G$3,22))&lt;&gt;""),Aveia!$E29:INDEX(Aveia!$E29:$Z29,MIN(AW$6-$G$3,22))),0)))))</f>
        <v>0</v>
      </c>
      <c r="AX31" s="27" t="n">
        <f aca="false">IF(COUNT(Aveia!$E29:$Z29)=0,0,MAX(0,IF((AX$6-$E$3)&lt;1,0,IFERROR(LOOKUP(2,1/(Aveia!$E29:INDEX(Aveia!$E29:$Z29,MIN(AX$6-$E$3,22))&lt;&gt;""),Aveia!$E29:INDEX(Aveia!$E29:$Z29,MIN(AX$6-$E$3,22))),0))-IF($G$2,0,IF((AX$6-$G$3)&lt;1,0,IFERROR(LOOKUP(2,1/(Aveia!$E29:INDEX(Aveia!$E29:$Z29,MIN(AX$6-$G$3,22))&lt;&gt;""),Aveia!$E29:INDEX(Aveia!$E29:$Z29,MIN(AX$6-$G$3,22))),0)))))</f>
        <v>0</v>
      </c>
      <c r="AY31" s="27" t="n">
        <f aca="false">IF(COUNT(Aveia!$E29:$Z29)=0,0,MAX(0,IF((AY$6-$E$3)&lt;1,0,IFERROR(LOOKUP(2,1/(Aveia!$E29:INDEX(Aveia!$E29:$Z29,MIN(AY$6-$E$3,22))&lt;&gt;""),Aveia!$E29:INDEX(Aveia!$E29:$Z29,MIN(AY$6-$E$3,22))),0))-IF($G$2,0,IF((AY$6-$G$3)&lt;1,0,IFERROR(LOOKUP(2,1/(Aveia!$E29:INDEX(Aveia!$E29:$Z29,MIN(AY$6-$G$3,22))&lt;&gt;""),Aveia!$E29:INDEX(Aveia!$E29:$Z29,MIN(AY$6-$G$3,22))),0)))))</f>
        <v>0</v>
      </c>
      <c r="AZ31" s="27" t="n">
        <f aca="false">IF(COUNT(Aveia!$E29:$Z29)=0,0,MAX(0,IF((AZ$6-$E$3)&lt;1,0,IFERROR(LOOKUP(2,1/(Aveia!$E29:INDEX(Aveia!$E29:$Z29,MIN(AZ$6-$E$3,22))&lt;&gt;""),Aveia!$E29:INDEX(Aveia!$E29:$Z29,MIN(AZ$6-$E$3,22))),0))-IF($G$2,0,IF((AZ$6-$G$3)&lt;1,0,IFERROR(LOOKUP(2,1/(Aveia!$E29:INDEX(Aveia!$E29:$Z29,MIN(AZ$6-$G$3,22))&lt;&gt;""),Aveia!$E29:INDEX(Aveia!$E29:$Z29,MIN(AZ$6-$G$3,22))),0)))))</f>
        <v>0</v>
      </c>
    </row>
    <row r="32" customFormat="false" ht="15" hidden="false" customHeight="false" outlineLevel="0" collapsed="false">
      <c r="A32" s="3" t="s">
        <v>186</v>
      </c>
      <c r="B32" s="3" t="s">
        <v>187</v>
      </c>
      <c r="C32" s="10" t="s">
        <v>187</v>
      </c>
      <c r="D32" s="26" t="n">
        <f aca="false">IF(COUNT(Aveia!$E30:$Z30)&gt;0,N(Aveia!$D30),0)</f>
        <v>0</v>
      </c>
      <c r="E32" s="27" t="n">
        <f aca="false">IF(COUNT(Aveia!$E30:$Z30)=0,0,MAX(0,IF((E$6-$E$3)&lt;1,0,IFERROR(LOOKUP(2,1/(Aveia!$E30:INDEX(Aveia!$E30:$Z30,MIN(E$6-$E$3,22))&lt;&gt;""),Aveia!$E30:INDEX(Aveia!$E30:$Z30,MIN(E$6-$E$3,22))),0))-IF($G$2,0,IF((E$6-$G$3)&lt;1,0,IFERROR(LOOKUP(2,1/(Aveia!$E30:INDEX(Aveia!$E30:$Z30,MIN(E$6-$G$3,22))&lt;&gt;""),Aveia!$E30:INDEX(Aveia!$E30:$Z30,MIN(E$6-$G$3,22))),0)))))</f>
        <v>0</v>
      </c>
      <c r="F32" s="27" t="n">
        <f aca="false">IF(COUNT(Aveia!$E30:$Z30)=0,0,MAX(0,IF((F$6-$E$3)&lt;1,0,IFERROR(LOOKUP(2,1/(Aveia!$E30:INDEX(Aveia!$E30:$Z30,MIN(F$6-$E$3,22))&lt;&gt;""),Aveia!$E30:INDEX(Aveia!$E30:$Z30,MIN(F$6-$E$3,22))),0))-IF($G$2,0,IF((F$6-$G$3)&lt;1,0,IFERROR(LOOKUP(2,1/(Aveia!$E30:INDEX(Aveia!$E30:$Z30,MIN(F$6-$G$3,22))&lt;&gt;""),Aveia!$E30:INDEX(Aveia!$E30:$Z30,MIN(F$6-$G$3,22))),0)))))</f>
        <v>0</v>
      </c>
      <c r="G32" s="27" t="n">
        <f aca="false">IF(COUNT(Aveia!$E30:$Z30)=0,0,MAX(0,IF((G$6-$E$3)&lt;1,0,IFERROR(LOOKUP(2,1/(Aveia!$E30:INDEX(Aveia!$E30:$Z30,MIN(G$6-$E$3,22))&lt;&gt;""),Aveia!$E30:INDEX(Aveia!$E30:$Z30,MIN(G$6-$E$3,22))),0))-IF($G$2,0,IF((G$6-$G$3)&lt;1,0,IFERROR(LOOKUP(2,1/(Aveia!$E30:INDEX(Aveia!$E30:$Z30,MIN(G$6-$G$3,22))&lt;&gt;""),Aveia!$E30:INDEX(Aveia!$E30:$Z30,MIN(G$6-$G$3,22))),0)))))</f>
        <v>0</v>
      </c>
      <c r="H32" s="27" t="n">
        <f aca="false">IF(COUNT(Aveia!$E30:$Z30)=0,0,MAX(0,IF((H$6-$E$3)&lt;1,0,IFERROR(LOOKUP(2,1/(Aveia!$E30:INDEX(Aveia!$E30:$Z30,MIN(H$6-$E$3,22))&lt;&gt;""),Aveia!$E30:INDEX(Aveia!$E30:$Z30,MIN(H$6-$E$3,22))),0))-IF($G$2,0,IF((H$6-$G$3)&lt;1,0,IFERROR(LOOKUP(2,1/(Aveia!$E30:INDEX(Aveia!$E30:$Z30,MIN(H$6-$G$3,22))&lt;&gt;""),Aveia!$E30:INDEX(Aveia!$E30:$Z30,MIN(H$6-$G$3,22))),0)))))</f>
        <v>0</v>
      </c>
      <c r="I32" s="27" t="n">
        <f aca="false">IF(COUNT(Aveia!$E30:$Z30)=0,0,MAX(0,IF((I$6-$E$3)&lt;1,0,IFERROR(LOOKUP(2,1/(Aveia!$E30:INDEX(Aveia!$E30:$Z30,MIN(I$6-$E$3,22))&lt;&gt;""),Aveia!$E30:INDEX(Aveia!$E30:$Z30,MIN(I$6-$E$3,22))),0))-IF($G$2,0,IF((I$6-$G$3)&lt;1,0,IFERROR(LOOKUP(2,1/(Aveia!$E30:INDEX(Aveia!$E30:$Z30,MIN(I$6-$G$3,22))&lt;&gt;""),Aveia!$E30:INDEX(Aveia!$E30:$Z30,MIN(I$6-$G$3,22))),0)))))</f>
        <v>0</v>
      </c>
      <c r="J32" s="27" t="n">
        <f aca="false">IF(COUNT(Aveia!$E30:$Z30)=0,0,MAX(0,IF((J$6-$E$3)&lt;1,0,IFERROR(LOOKUP(2,1/(Aveia!$E30:INDEX(Aveia!$E30:$Z30,MIN(J$6-$E$3,22))&lt;&gt;""),Aveia!$E30:INDEX(Aveia!$E30:$Z30,MIN(J$6-$E$3,22))),0))-IF($G$2,0,IF((J$6-$G$3)&lt;1,0,IFERROR(LOOKUP(2,1/(Aveia!$E30:INDEX(Aveia!$E30:$Z30,MIN(J$6-$G$3,22))&lt;&gt;""),Aveia!$E30:INDEX(Aveia!$E30:$Z30,MIN(J$6-$G$3,22))),0)))))</f>
        <v>0</v>
      </c>
      <c r="K32" s="27" t="n">
        <f aca="false">IF(COUNT(Aveia!$E30:$Z30)=0,0,MAX(0,IF((K$6-$E$3)&lt;1,0,IFERROR(LOOKUP(2,1/(Aveia!$E30:INDEX(Aveia!$E30:$Z30,MIN(K$6-$E$3,22))&lt;&gt;""),Aveia!$E30:INDEX(Aveia!$E30:$Z30,MIN(K$6-$E$3,22))),0))-IF($G$2,0,IF((K$6-$G$3)&lt;1,0,IFERROR(LOOKUP(2,1/(Aveia!$E30:INDEX(Aveia!$E30:$Z30,MIN(K$6-$G$3,22))&lt;&gt;""),Aveia!$E30:INDEX(Aveia!$E30:$Z30,MIN(K$6-$G$3,22))),0)))))</f>
        <v>0</v>
      </c>
      <c r="L32" s="27" t="n">
        <f aca="false">IF(COUNT(Aveia!$E30:$Z30)=0,0,MAX(0,IF((L$6-$E$3)&lt;1,0,IFERROR(LOOKUP(2,1/(Aveia!$E30:INDEX(Aveia!$E30:$Z30,MIN(L$6-$E$3,22))&lt;&gt;""),Aveia!$E30:INDEX(Aveia!$E30:$Z30,MIN(L$6-$E$3,22))),0))-IF($G$2,0,IF((L$6-$G$3)&lt;1,0,IFERROR(LOOKUP(2,1/(Aveia!$E30:INDEX(Aveia!$E30:$Z30,MIN(L$6-$G$3,22))&lt;&gt;""),Aveia!$E30:INDEX(Aveia!$E30:$Z30,MIN(L$6-$G$3,22))),0)))))</f>
        <v>0</v>
      </c>
      <c r="M32" s="27" t="n">
        <f aca="false">IF(COUNT(Aveia!$E30:$Z30)=0,0,MAX(0,IF((M$6-$E$3)&lt;1,0,IFERROR(LOOKUP(2,1/(Aveia!$E30:INDEX(Aveia!$E30:$Z30,MIN(M$6-$E$3,22))&lt;&gt;""),Aveia!$E30:INDEX(Aveia!$E30:$Z30,MIN(M$6-$E$3,22))),0))-IF($G$2,0,IF((M$6-$G$3)&lt;1,0,IFERROR(LOOKUP(2,1/(Aveia!$E30:INDEX(Aveia!$E30:$Z30,MIN(M$6-$G$3,22))&lt;&gt;""),Aveia!$E30:INDEX(Aveia!$E30:$Z30,MIN(M$6-$G$3,22))),0)))))</f>
        <v>0</v>
      </c>
      <c r="N32" s="27" t="n">
        <f aca="false">IF(COUNT(Aveia!$E30:$Z30)=0,0,MAX(0,IF((N$6-$E$3)&lt;1,0,IFERROR(LOOKUP(2,1/(Aveia!$E30:INDEX(Aveia!$E30:$Z30,MIN(N$6-$E$3,22))&lt;&gt;""),Aveia!$E30:INDEX(Aveia!$E30:$Z30,MIN(N$6-$E$3,22))),0))-IF($G$2,0,IF((N$6-$G$3)&lt;1,0,IFERROR(LOOKUP(2,1/(Aveia!$E30:INDEX(Aveia!$E30:$Z30,MIN(N$6-$G$3,22))&lt;&gt;""),Aveia!$E30:INDEX(Aveia!$E30:$Z30,MIN(N$6-$G$3,22))),0)))))</f>
        <v>0</v>
      </c>
      <c r="O32" s="27" t="n">
        <f aca="false">IF(COUNT(Aveia!$E30:$Z30)=0,0,MAX(0,IF((O$6-$E$3)&lt;1,0,IFERROR(LOOKUP(2,1/(Aveia!$E30:INDEX(Aveia!$E30:$Z30,MIN(O$6-$E$3,22))&lt;&gt;""),Aveia!$E30:INDEX(Aveia!$E30:$Z30,MIN(O$6-$E$3,22))),0))-IF($G$2,0,IF((O$6-$G$3)&lt;1,0,IFERROR(LOOKUP(2,1/(Aveia!$E30:INDEX(Aveia!$E30:$Z30,MIN(O$6-$G$3,22))&lt;&gt;""),Aveia!$E30:INDEX(Aveia!$E30:$Z30,MIN(O$6-$G$3,22))),0)))))</f>
        <v>0</v>
      </c>
      <c r="P32" s="27" t="n">
        <f aca="false">IF(COUNT(Aveia!$E30:$Z30)=0,0,MAX(0,IF((P$6-$E$3)&lt;1,0,IFERROR(LOOKUP(2,1/(Aveia!$E30:INDEX(Aveia!$E30:$Z30,MIN(P$6-$E$3,22))&lt;&gt;""),Aveia!$E30:INDEX(Aveia!$E30:$Z30,MIN(P$6-$E$3,22))),0))-IF($G$2,0,IF((P$6-$G$3)&lt;1,0,IFERROR(LOOKUP(2,1/(Aveia!$E30:INDEX(Aveia!$E30:$Z30,MIN(P$6-$G$3,22))&lt;&gt;""),Aveia!$E30:INDEX(Aveia!$E30:$Z30,MIN(P$6-$G$3,22))),0)))))</f>
        <v>0</v>
      </c>
      <c r="Q32" s="27" t="n">
        <f aca="false">IF(COUNT(Aveia!$E30:$Z30)=0,0,MAX(0,IF((Q$6-$E$3)&lt;1,0,IFERROR(LOOKUP(2,1/(Aveia!$E30:INDEX(Aveia!$E30:$Z30,MIN(Q$6-$E$3,22))&lt;&gt;""),Aveia!$E30:INDEX(Aveia!$E30:$Z30,MIN(Q$6-$E$3,22))),0))-IF($G$2,0,IF((Q$6-$G$3)&lt;1,0,IFERROR(LOOKUP(2,1/(Aveia!$E30:INDEX(Aveia!$E30:$Z30,MIN(Q$6-$G$3,22))&lt;&gt;""),Aveia!$E30:INDEX(Aveia!$E30:$Z30,MIN(Q$6-$G$3,22))),0)))))</f>
        <v>0</v>
      </c>
      <c r="R32" s="27" t="n">
        <f aca="false">IF(COUNT(Aveia!$E30:$Z30)=0,0,MAX(0,IF((R$6-$E$3)&lt;1,0,IFERROR(LOOKUP(2,1/(Aveia!$E30:INDEX(Aveia!$E30:$Z30,MIN(R$6-$E$3,22))&lt;&gt;""),Aveia!$E30:INDEX(Aveia!$E30:$Z30,MIN(R$6-$E$3,22))),0))-IF($G$2,0,IF((R$6-$G$3)&lt;1,0,IFERROR(LOOKUP(2,1/(Aveia!$E30:INDEX(Aveia!$E30:$Z30,MIN(R$6-$G$3,22))&lt;&gt;""),Aveia!$E30:INDEX(Aveia!$E30:$Z30,MIN(R$6-$G$3,22))),0)))))</f>
        <v>0</v>
      </c>
      <c r="S32" s="27" t="n">
        <f aca="false">IF(COUNT(Aveia!$E30:$Z30)=0,0,MAX(0,IF((S$6-$E$3)&lt;1,0,IFERROR(LOOKUP(2,1/(Aveia!$E30:INDEX(Aveia!$E30:$Z30,MIN(S$6-$E$3,22))&lt;&gt;""),Aveia!$E30:INDEX(Aveia!$E30:$Z30,MIN(S$6-$E$3,22))),0))-IF($G$2,0,IF((S$6-$G$3)&lt;1,0,IFERROR(LOOKUP(2,1/(Aveia!$E30:INDEX(Aveia!$E30:$Z30,MIN(S$6-$G$3,22))&lt;&gt;""),Aveia!$E30:INDEX(Aveia!$E30:$Z30,MIN(S$6-$G$3,22))),0)))))</f>
        <v>0</v>
      </c>
      <c r="T32" s="27" t="n">
        <f aca="false">IF(COUNT(Aveia!$E30:$Z30)=0,0,MAX(0,IF((T$6-$E$3)&lt;1,0,IFERROR(LOOKUP(2,1/(Aveia!$E30:INDEX(Aveia!$E30:$Z30,MIN(T$6-$E$3,22))&lt;&gt;""),Aveia!$E30:INDEX(Aveia!$E30:$Z30,MIN(T$6-$E$3,22))),0))-IF($G$2,0,IF((T$6-$G$3)&lt;1,0,IFERROR(LOOKUP(2,1/(Aveia!$E30:INDEX(Aveia!$E30:$Z30,MIN(T$6-$G$3,22))&lt;&gt;""),Aveia!$E30:INDEX(Aveia!$E30:$Z30,MIN(T$6-$G$3,22))),0)))))</f>
        <v>0</v>
      </c>
      <c r="U32" s="27" t="n">
        <f aca="false">IF(COUNT(Aveia!$E30:$Z30)=0,0,MAX(0,IF((U$6-$E$3)&lt;1,0,IFERROR(LOOKUP(2,1/(Aveia!$E30:INDEX(Aveia!$E30:$Z30,MIN(U$6-$E$3,22))&lt;&gt;""),Aveia!$E30:INDEX(Aveia!$E30:$Z30,MIN(U$6-$E$3,22))),0))-IF($G$2,0,IF((U$6-$G$3)&lt;1,0,IFERROR(LOOKUP(2,1/(Aveia!$E30:INDEX(Aveia!$E30:$Z30,MIN(U$6-$G$3,22))&lt;&gt;""),Aveia!$E30:INDEX(Aveia!$E30:$Z30,MIN(U$6-$G$3,22))),0)))))</f>
        <v>0</v>
      </c>
      <c r="V32" s="27" t="n">
        <f aca="false">IF(COUNT(Aveia!$E30:$Z30)=0,0,MAX(0,IF((V$6-$E$3)&lt;1,0,IFERROR(LOOKUP(2,1/(Aveia!$E30:INDEX(Aveia!$E30:$Z30,MIN(V$6-$E$3,22))&lt;&gt;""),Aveia!$E30:INDEX(Aveia!$E30:$Z30,MIN(V$6-$E$3,22))),0))-IF($G$2,0,IF((V$6-$G$3)&lt;1,0,IFERROR(LOOKUP(2,1/(Aveia!$E30:INDEX(Aveia!$E30:$Z30,MIN(V$6-$G$3,22))&lt;&gt;""),Aveia!$E30:INDEX(Aveia!$E30:$Z30,MIN(V$6-$G$3,22))),0)))))</f>
        <v>0</v>
      </c>
      <c r="W32" s="27" t="n">
        <f aca="false">IF(COUNT(Aveia!$E30:$Z30)=0,0,MAX(0,IF((W$6-$E$3)&lt;1,0,IFERROR(LOOKUP(2,1/(Aveia!$E30:INDEX(Aveia!$E30:$Z30,MIN(W$6-$E$3,22))&lt;&gt;""),Aveia!$E30:INDEX(Aveia!$E30:$Z30,MIN(W$6-$E$3,22))),0))-IF($G$2,0,IF((W$6-$G$3)&lt;1,0,IFERROR(LOOKUP(2,1/(Aveia!$E30:INDEX(Aveia!$E30:$Z30,MIN(W$6-$G$3,22))&lt;&gt;""),Aveia!$E30:INDEX(Aveia!$E30:$Z30,MIN(W$6-$G$3,22))),0)))))</f>
        <v>0</v>
      </c>
      <c r="X32" s="27" t="n">
        <f aca="false">IF(COUNT(Aveia!$E30:$Z30)=0,0,MAX(0,IF((X$6-$E$3)&lt;1,0,IFERROR(LOOKUP(2,1/(Aveia!$E30:INDEX(Aveia!$E30:$Z30,MIN(X$6-$E$3,22))&lt;&gt;""),Aveia!$E30:INDEX(Aveia!$E30:$Z30,MIN(X$6-$E$3,22))),0))-IF($G$2,0,IF((X$6-$G$3)&lt;1,0,IFERROR(LOOKUP(2,1/(Aveia!$E30:INDEX(Aveia!$E30:$Z30,MIN(X$6-$G$3,22))&lt;&gt;""),Aveia!$E30:INDEX(Aveia!$E30:$Z30,MIN(X$6-$G$3,22))),0)))))</f>
        <v>0</v>
      </c>
      <c r="Y32" s="27" t="n">
        <f aca="false">IF(COUNT(Aveia!$E30:$Z30)=0,0,MAX(0,IF((Y$6-$E$3)&lt;1,0,IFERROR(LOOKUP(2,1/(Aveia!$E30:INDEX(Aveia!$E30:$Z30,MIN(Y$6-$E$3,22))&lt;&gt;""),Aveia!$E30:INDEX(Aveia!$E30:$Z30,MIN(Y$6-$E$3,22))),0))-IF($G$2,0,IF((Y$6-$G$3)&lt;1,0,IFERROR(LOOKUP(2,1/(Aveia!$E30:INDEX(Aveia!$E30:$Z30,MIN(Y$6-$G$3,22))&lt;&gt;""),Aveia!$E30:INDEX(Aveia!$E30:$Z30,MIN(Y$6-$G$3,22))),0)))))</f>
        <v>0</v>
      </c>
      <c r="Z32" s="27" t="n">
        <f aca="false">IF(COUNT(Aveia!$E30:$Z30)=0,0,MAX(0,IF((Z$6-$E$3)&lt;1,0,IFERROR(LOOKUP(2,1/(Aveia!$E30:INDEX(Aveia!$E30:$Z30,MIN(Z$6-$E$3,22))&lt;&gt;""),Aveia!$E30:INDEX(Aveia!$E30:$Z30,MIN(Z$6-$E$3,22))),0))-IF($G$2,0,IF((Z$6-$G$3)&lt;1,0,IFERROR(LOOKUP(2,1/(Aveia!$E30:INDEX(Aveia!$E30:$Z30,MIN(Z$6-$G$3,22))&lt;&gt;""),Aveia!$E30:INDEX(Aveia!$E30:$Z30,MIN(Z$6-$G$3,22))),0)))))</f>
        <v>0</v>
      </c>
      <c r="AA32" s="27" t="n">
        <f aca="false">IF(COUNT(Aveia!$E30:$Z30)=0,0,MAX(0,IF((AA$6-$E$3)&lt;1,0,IFERROR(LOOKUP(2,1/(Aveia!$E30:INDEX(Aveia!$E30:$Z30,MIN(AA$6-$E$3,22))&lt;&gt;""),Aveia!$E30:INDEX(Aveia!$E30:$Z30,MIN(AA$6-$E$3,22))),0))-IF($G$2,0,IF((AA$6-$G$3)&lt;1,0,IFERROR(LOOKUP(2,1/(Aveia!$E30:INDEX(Aveia!$E30:$Z30,MIN(AA$6-$G$3,22))&lt;&gt;""),Aveia!$E30:INDEX(Aveia!$E30:$Z30,MIN(AA$6-$G$3,22))),0)))))</f>
        <v>0</v>
      </c>
      <c r="AB32" s="27" t="n">
        <f aca="false">IF(COUNT(Aveia!$E30:$Z30)=0,0,MAX(0,IF((AB$6-$E$3)&lt;1,0,IFERROR(LOOKUP(2,1/(Aveia!$E30:INDEX(Aveia!$E30:$Z30,MIN(AB$6-$E$3,22))&lt;&gt;""),Aveia!$E30:INDEX(Aveia!$E30:$Z30,MIN(AB$6-$E$3,22))),0))-IF($G$2,0,IF((AB$6-$G$3)&lt;1,0,IFERROR(LOOKUP(2,1/(Aveia!$E30:INDEX(Aveia!$E30:$Z30,MIN(AB$6-$G$3,22))&lt;&gt;""),Aveia!$E30:INDEX(Aveia!$E30:$Z30,MIN(AB$6-$G$3,22))),0)))))</f>
        <v>0</v>
      </c>
      <c r="AC32" s="27" t="n">
        <f aca="false">IF(COUNT(Aveia!$E30:$Z30)=0,0,MAX(0,IF((AC$6-$E$3)&lt;1,0,IFERROR(LOOKUP(2,1/(Aveia!$E30:INDEX(Aveia!$E30:$Z30,MIN(AC$6-$E$3,22))&lt;&gt;""),Aveia!$E30:INDEX(Aveia!$E30:$Z30,MIN(AC$6-$E$3,22))),0))-IF($G$2,0,IF((AC$6-$G$3)&lt;1,0,IFERROR(LOOKUP(2,1/(Aveia!$E30:INDEX(Aveia!$E30:$Z30,MIN(AC$6-$G$3,22))&lt;&gt;""),Aveia!$E30:INDEX(Aveia!$E30:$Z30,MIN(AC$6-$G$3,22))),0)))))</f>
        <v>0</v>
      </c>
      <c r="AD32" s="27" t="n">
        <f aca="false">IF(COUNT(Aveia!$E30:$Z30)=0,0,MAX(0,IF((AD$6-$E$3)&lt;1,0,IFERROR(LOOKUP(2,1/(Aveia!$E30:INDEX(Aveia!$E30:$Z30,MIN(AD$6-$E$3,22))&lt;&gt;""),Aveia!$E30:INDEX(Aveia!$E30:$Z30,MIN(AD$6-$E$3,22))),0))-IF($G$2,0,IF((AD$6-$G$3)&lt;1,0,IFERROR(LOOKUP(2,1/(Aveia!$E30:INDEX(Aveia!$E30:$Z30,MIN(AD$6-$G$3,22))&lt;&gt;""),Aveia!$E30:INDEX(Aveia!$E30:$Z30,MIN(AD$6-$G$3,22))),0)))))</f>
        <v>0</v>
      </c>
      <c r="AE32" s="27" t="n">
        <f aca="false">IF(COUNT(Aveia!$E30:$Z30)=0,0,MAX(0,IF((AE$6-$E$3)&lt;1,0,IFERROR(LOOKUP(2,1/(Aveia!$E30:INDEX(Aveia!$E30:$Z30,MIN(AE$6-$E$3,22))&lt;&gt;""),Aveia!$E30:INDEX(Aveia!$E30:$Z30,MIN(AE$6-$E$3,22))),0))-IF($G$2,0,IF((AE$6-$G$3)&lt;1,0,IFERROR(LOOKUP(2,1/(Aveia!$E30:INDEX(Aveia!$E30:$Z30,MIN(AE$6-$G$3,22))&lt;&gt;""),Aveia!$E30:INDEX(Aveia!$E30:$Z30,MIN(AE$6-$G$3,22))),0)))))</f>
        <v>0</v>
      </c>
      <c r="AF32" s="27" t="n">
        <f aca="false">IF(COUNT(Aveia!$E30:$Z30)=0,0,MAX(0,IF((AF$6-$E$3)&lt;1,0,IFERROR(LOOKUP(2,1/(Aveia!$E30:INDEX(Aveia!$E30:$Z30,MIN(AF$6-$E$3,22))&lt;&gt;""),Aveia!$E30:INDEX(Aveia!$E30:$Z30,MIN(AF$6-$E$3,22))),0))-IF($G$2,0,IF((AF$6-$G$3)&lt;1,0,IFERROR(LOOKUP(2,1/(Aveia!$E30:INDEX(Aveia!$E30:$Z30,MIN(AF$6-$G$3,22))&lt;&gt;""),Aveia!$E30:INDEX(Aveia!$E30:$Z30,MIN(AF$6-$G$3,22))),0)))))</f>
        <v>0</v>
      </c>
      <c r="AG32" s="27" t="n">
        <f aca="false">IF(COUNT(Aveia!$E30:$Z30)=0,0,MAX(0,IF((AG$6-$E$3)&lt;1,0,IFERROR(LOOKUP(2,1/(Aveia!$E30:INDEX(Aveia!$E30:$Z30,MIN(AG$6-$E$3,22))&lt;&gt;""),Aveia!$E30:INDEX(Aveia!$E30:$Z30,MIN(AG$6-$E$3,22))),0))-IF($G$2,0,IF((AG$6-$G$3)&lt;1,0,IFERROR(LOOKUP(2,1/(Aveia!$E30:INDEX(Aveia!$E30:$Z30,MIN(AG$6-$G$3,22))&lt;&gt;""),Aveia!$E30:INDEX(Aveia!$E30:$Z30,MIN(AG$6-$G$3,22))),0)))))</f>
        <v>0</v>
      </c>
      <c r="AH32" s="27" t="n">
        <f aca="false">IF(COUNT(Aveia!$E30:$Z30)=0,0,MAX(0,IF((AH$6-$E$3)&lt;1,0,IFERROR(LOOKUP(2,1/(Aveia!$E30:INDEX(Aveia!$E30:$Z30,MIN(AH$6-$E$3,22))&lt;&gt;""),Aveia!$E30:INDEX(Aveia!$E30:$Z30,MIN(AH$6-$E$3,22))),0))-IF($G$2,0,IF((AH$6-$G$3)&lt;1,0,IFERROR(LOOKUP(2,1/(Aveia!$E30:INDEX(Aveia!$E30:$Z30,MIN(AH$6-$G$3,22))&lt;&gt;""),Aveia!$E30:INDEX(Aveia!$E30:$Z30,MIN(AH$6-$G$3,22))),0)))))</f>
        <v>0</v>
      </c>
      <c r="AI32" s="27" t="n">
        <f aca="false">IF(COUNT(Aveia!$E30:$Z30)=0,0,MAX(0,IF((AI$6-$E$3)&lt;1,0,IFERROR(LOOKUP(2,1/(Aveia!$E30:INDEX(Aveia!$E30:$Z30,MIN(AI$6-$E$3,22))&lt;&gt;""),Aveia!$E30:INDEX(Aveia!$E30:$Z30,MIN(AI$6-$E$3,22))),0))-IF($G$2,0,IF((AI$6-$G$3)&lt;1,0,IFERROR(LOOKUP(2,1/(Aveia!$E30:INDEX(Aveia!$E30:$Z30,MIN(AI$6-$G$3,22))&lt;&gt;""),Aveia!$E30:INDEX(Aveia!$E30:$Z30,MIN(AI$6-$G$3,22))),0)))))</f>
        <v>0</v>
      </c>
      <c r="AJ32" s="27" t="n">
        <f aca="false">IF(COUNT(Aveia!$E30:$Z30)=0,0,MAX(0,IF((AJ$6-$E$3)&lt;1,0,IFERROR(LOOKUP(2,1/(Aveia!$E30:INDEX(Aveia!$E30:$Z30,MIN(AJ$6-$E$3,22))&lt;&gt;""),Aveia!$E30:INDEX(Aveia!$E30:$Z30,MIN(AJ$6-$E$3,22))),0))-IF($G$2,0,IF((AJ$6-$G$3)&lt;1,0,IFERROR(LOOKUP(2,1/(Aveia!$E30:INDEX(Aveia!$E30:$Z30,MIN(AJ$6-$G$3,22))&lt;&gt;""),Aveia!$E30:INDEX(Aveia!$E30:$Z30,MIN(AJ$6-$G$3,22))),0)))))</f>
        <v>0</v>
      </c>
      <c r="AK32" s="27" t="n">
        <f aca="false">IF(COUNT(Aveia!$E30:$Z30)=0,0,MAX(0,IF((AK$6-$E$3)&lt;1,0,IFERROR(LOOKUP(2,1/(Aveia!$E30:INDEX(Aveia!$E30:$Z30,MIN(AK$6-$E$3,22))&lt;&gt;""),Aveia!$E30:INDEX(Aveia!$E30:$Z30,MIN(AK$6-$E$3,22))),0))-IF($G$2,0,IF((AK$6-$G$3)&lt;1,0,IFERROR(LOOKUP(2,1/(Aveia!$E30:INDEX(Aveia!$E30:$Z30,MIN(AK$6-$G$3,22))&lt;&gt;""),Aveia!$E30:INDEX(Aveia!$E30:$Z30,MIN(AK$6-$G$3,22))),0)))))</f>
        <v>0</v>
      </c>
      <c r="AL32" s="27" t="n">
        <f aca="false">IF(COUNT(Aveia!$E30:$Z30)=0,0,MAX(0,IF((AL$6-$E$3)&lt;1,0,IFERROR(LOOKUP(2,1/(Aveia!$E30:INDEX(Aveia!$E30:$Z30,MIN(AL$6-$E$3,22))&lt;&gt;""),Aveia!$E30:INDEX(Aveia!$E30:$Z30,MIN(AL$6-$E$3,22))),0))-IF($G$2,0,IF((AL$6-$G$3)&lt;1,0,IFERROR(LOOKUP(2,1/(Aveia!$E30:INDEX(Aveia!$E30:$Z30,MIN(AL$6-$G$3,22))&lt;&gt;""),Aveia!$E30:INDEX(Aveia!$E30:$Z30,MIN(AL$6-$G$3,22))),0)))))</f>
        <v>0</v>
      </c>
      <c r="AM32" s="27" t="n">
        <f aca="false">IF(COUNT(Aveia!$E30:$Z30)=0,0,MAX(0,IF((AM$6-$E$3)&lt;1,0,IFERROR(LOOKUP(2,1/(Aveia!$E30:INDEX(Aveia!$E30:$Z30,MIN(AM$6-$E$3,22))&lt;&gt;""),Aveia!$E30:INDEX(Aveia!$E30:$Z30,MIN(AM$6-$E$3,22))),0))-IF($G$2,0,IF((AM$6-$G$3)&lt;1,0,IFERROR(LOOKUP(2,1/(Aveia!$E30:INDEX(Aveia!$E30:$Z30,MIN(AM$6-$G$3,22))&lt;&gt;""),Aveia!$E30:INDEX(Aveia!$E30:$Z30,MIN(AM$6-$G$3,22))),0)))))</f>
        <v>0</v>
      </c>
      <c r="AN32" s="27" t="n">
        <f aca="false">IF(COUNT(Aveia!$E30:$Z30)=0,0,MAX(0,IF((AN$6-$E$3)&lt;1,0,IFERROR(LOOKUP(2,1/(Aveia!$E30:INDEX(Aveia!$E30:$Z30,MIN(AN$6-$E$3,22))&lt;&gt;""),Aveia!$E30:INDEX(Aveia!$E30:$Z30,MIN(AN$6-$E$3,22))),0))-IF($G$2,0,IF((AN$6-$G$3)&lt;1,0,IFERROR(LOOKUP(2,1/(Aveia!$E30:INDEX(Aveia!$E30:$Z30,MIN(AN$6-$G$3,22))&lt;&gt;""),Aveia!$E30:INDEX(Aveia!$E30:$Z30,MIN(AN$6-$G$3,22))),0)))))</f>
        <v>0</v>
      </c>
      <c r="AO32" s="27" t="n">
        <f aca="false">IF(COUNT(Aveia!$E30:$Z30)=0,0,MAX(0,IF((AO$6-$E$3)&lt;1,0,IFERROR(LOOKUP(2,1/(Aveia!$E30:INDEX(Aveia!$E30:$Z30,MIN(AO$6-$E$3,22))&lt;&gt;""),Aveia!$E30:INDEX(Aveia!$E30:$Z30,MIN(AO$6-$E$3,22))),0))-IF($G$2,0,IF((AO$6-$G$3)&lt;1,0,IFERROR(LOOKUP(2,1/(Aveia!$E30:INDEX(Aveia!$E30:$Z30,MIN(AO$6-$G$3,22))&lt;&gt;""),Aveia!$E30:INDEX(Aveia!$E30:$Z30,MIN(AO$6-$G$3,22))),0)))))</f>
        <v>0</v>
      </c>
      <c r="AP32" s="27" t="n">
        <f aca="false">IF(COUNT(Aveia!$E30:$Z30)=0,0,MAX(0,IF((AP$6-$E$3)&lt;1,0,IFERROR(LOOKUP(2,1/(Aveia!$E30:INDEX(Aveia!$E30:$Z30,MIN(AP$6-$E$3,22))&lt;&gt;""),Aveia!$E30:INDEX(Aveia!$E30:$Z30,MIN(AP$6-$E$3,22))),0))-IF($G$2,0,IF((AP$6-$G$3)&lt;1,0,IFERROR(LOOKUP(2,1/(Aveia!$E30:INDEX(Aveia!$E30:$Z30,MIN(AP$6-$G$3,22))&lt;&gt;""),Aveia!$E30:INDEX(Aveia!$E30:$Z30,MIN(AP$6-$G$3,22))),0)))))</f>
        <v>0</v>
      </c>
      <c r="AQ32" s="27" t="n">
        <f aca="false">IF(COUNT(Aveia!$E30:$Z30)=0,0,MAX(0,IF((AQ$6-$E$3)&lt;1,0,IFERROR(LOOKUP(2,1/(Aveia!$E30:INDEX(Aveia!$E30:$Z30,MIN(AQ$6-$E$3,22))&lt;&gt;""),Aveia!$E30:INDEX(Aveia!$E30:$Z30,MIN(AQ$6-$E$3,22))),0))-IF($G$2,0,IF((AQ$6-$G$3)&lt;1,0,IFERROR(LOOKUP(2,1/(Aveia!$E30:INDEX(Aveia!$E30:$Z30,MIN(AQ$6-$G$3,22))&lt;&gt;""),Aveia!$E30:INDEX(Aveia!$E30:$Z30,MIN(AQ$6-$G$3,22))),0)))))</f>
        <v>0</v>
      </c>
      <c r="AR32" s="27" t="n">
        <f aca="false">IF(COUNT(Aveia!$E30:$Z30)=0,0,MAX(0,IF((AR$6-$E$3)&lt;1,0,IFERROR(LOOKUP(2,1/(Aveia!$E30:INDEX(Aveia!$E30:$Z30,MIN(AR$6-$E$3,22))&lt;&gt;""),Aveia!$E30:INDEX(Aveia!$E30:$Z30,MIN(AR$6-$E$3,22))),0))-IF($G$2,0,IF((AR$6-$G$3)&lt;1,0,IFERROR(LOOKUP(2,1/(Aveia!$E30:INDEX(Aveia!$E30:$Z30,MIN(AR$6-$G$3,22))&lt;&gt;""),Aveia!$E30:INDEX(Aveia!$E30:$Z30,MIN(AR$6-$G$3,22))),0)))))</f>
        <v>0</v>
      </c>
      <c r="AS32" s="27" t="n">
        <f aca="false">IF(COUNT(Aveia!$E30:$Z30)=0,0,MAX(0,IF((AS$6-$E$3)&lt;1,0,IFERROR(LOOKUP(2,1/(Aveia!$E30:INDEX(Aveia!$E30:$Z30,MIN(AS$6-$E$3,22))&lt;&gt;""),Aveia!$E30:INDEX(Aveia!$E30:$Z30,MIN(AS$6-$E$3,22))),0))-IF($G$2,0,IF((AS$6-$G$3)&lt;1,0,IFERROR(LOOKUP(2,1/(Aveia!$E30:INDEX(Aveia!$E30:$Z30,MIN(AS$6-$G$3,22))&lt;&gt;""),Aveia!$E30:INDEX(Aveia!$E30:$Z30,MIN(AS$6-$G$3,22))),0)))))</f>
        <v>0</v>
      </c>
      <c r="AT32" s="27" t="n">
        <f aca="false">IF(COUNT(Aveia!$E30:$Z30)=0,0,MAX(0,IF((AT$6-$E$3)&lt;1,0,IFERROR(LOOKUP(2,1/(Aveia!$E30:INDEX(Aveia!$E30:$Z30,MIN(AT$6-$E$3,22))&lt;&gt;""),Aveia!$E30:INDEX(Aveia!$E30:$Z30,MIN(AT$6-$E$3,22))),0))-IF($G$2,0,IF((AT$6-$G$3)&lt;1,0,IFERROR(LOOKUP(2,1/(Aveia!$E30:INDEX(Aveia!$E30:$Z30,MIN(AT$6-$G$3,22))&lt;&gt;""),Aveia!$E30:INDEX(Aveia!$E30:$Z30,MIN(AT$6-$G$3,22))),0)))))</f>
        <v>0</v>
      </c>
      <c r="AU32" s="27" t="n">
        <f aca="false">IF(COUNT(Aveia!$E30:$Z30)=0,0,MAX(0,IF((AU$6-$E$3)&lt;1,0,IFERROR(LOOKUP(2,1/(Aveia!$E30:INDEX(Aveia!$E30:$Z30,MIN(AU$6-$E$3,22))&lt;&gt;""),Aveia!$E30:INDEX(Aveia!$E30:$Z30,MIN(AU$6-$E$3,22))),0))-IF($G$2,0,IF((AU$6-$G$3)&lt;1,0,IFERROR(LOOKUP(2,1/(Aveia!$E30:INDEX(Aveia!$E30:$Z30,MIN(AU$6-$G$3,22))&lt;&gt;""),Aveia!$E30:INDEX(Aveia!$E30:$Z30,MIN(AU$6-$G$3,22))),0)))))</f>
        <v>0</v>
      </c>
      <c r="AV32" s="27" t="n">
        <f aca="false">IF(COUNT(Aveia!$E30:$Z30)=0,0,MAX(0,IF((AV$6-$E$3)&lt;1,0,IFERROR(LOOKUP(2,1/(Aveia!$E30:INDEX(Aveia!$E30:$Z30,MIN(AV$6-$E$3,22))&lt;&gt;""),Aveia!$E30:INDEX(Aveia!$E30:$Z30,MIN(AV$6-$E$3,22))),0))-IF($G$2,0,IF((AV$6-$G$3)&lt;1,0,IFERROR(LOOKUP(2,1/(Aveia!$E30:INDEX(Aveia!$E30:$Z30,MIN(AV$6-$G$3,22))&lt;&gt;""),Aveia!$E30:INDEX(Aveia!$E30:$Z30,MIN(AV$6-$G$3,22))),0)))))</f>
        <v>0</v>
      </c>
      <c r="AW32" s="27" t="n">
        <f aca="false">IF(COUNT(Aveia!$E30:$Z30)=0,0,MAX(0,IF((AW$6-$E$3)&lt;1,0,IFERROR(LOOKUP(2,1/(Aveia!$E30:INDEX(Aveia!$E30:$Z30,MIN(AW$6-$E$3,22))&lt;&gt;""),Aveia!$E30:INDEX(Aveia!$E30:$Z30,MIN(AW$6-$E$3,22))),0))-IF($G$2,0,IF((AW$6-$G$3)&lt;1,0,IFERROR(LOOKUP(2,1/(Aveia!$E30:INDEX(Aveia!$E30:$Z30,MIN(AW$6-$G$3,22))&lt;&gt;""),Aveia!$E30:INDEX(Aveia!$E30:$Z30,MIN(AW$6-$G$3,22))),0)))))</f>
        <v>0</v>
      </c>
      <c r="AX32" s="27" t="n">
        <f aca="false">IF(COUNT(Aveia!$E30:$Z30)=0,0,MAX(0,IF((AX$6-$E$3)&lt;1,0,IFERROR(LOOKUP(2,1/(Aveia!$E30:INDEX(Aveia!$E30:$Z30,MIN(AX$6-$E$3,22))&lt;&gt;""),Aveia!$E30:INDEX(Aveia!$E30:$Z30,MIN(AX$6-$E$3,22))),0))-IF($G$2,0,IF((AX$6-$G$3)&lt;1,0,IFERROR(LOOKUP(2,1/(Aveia!$E30:INDEX(Aveia!$E30:$Z30,MIN(AX$6-$G$3,22))&lt;&gt;""),Aveia!$E30:INDEX(Aveia!$E30:$Z30,MIN(AX$6-$G$3,22))),0)))))</f>
        <v>0</v>
      </c>
      <c r="AY32" s="27" t="n">
        <f aca="false">IF(COUNT(Aveia!$E30:$Z30)=0,0,MAX(0,IF((AY$6-$E$3)&lt;1,0,IFERROR(LOOKUP(2,1/(Aveia!$E30:INDEX(Aveia!$E30:$Z30,MIN(AY$6-$E$3,22))&lt;&gt;""),Aveia!$E30:INDEX(Aveia!$E30:$Z30,MIN(AY$6-$E$3,22))),0))-IF($G$2,0,IF((AY$6-$G$3)&lt;1,0,IFERROR(LOOKUP(2,1/(Aveia!$E30:INDEX(Aveia!$E30:$Z30,MIN(AY$6-$G$3,22))&lt;&gt;""),Aveia!$E30:INDEX(Aveia!$E30:$Z30,MIN(AY$6-$G$3,22))),0)))))</f>
        <v>0</v>
      </c>
      <c r="AZ32" s="27" t="n">
        <f aca="false">IF(COUNT(Aveia!$E30:$Z30)=0,0,MAX(0,IF((AZ$6-$E$3)&lt;1,0,IFERROR(LOOKUP(2,1/(Aveia!$E30:INDEX(Aveia!$E30:$Z30,MIN(AZ$6-$E$3,22))&lt;&gt;""),Aveia!$E30:INDEX(Aveia!$E30:$Z30,MIN(AZ$6-$E$3,22))),0))-IF($G$2,0,IF((AZ$6-$G$3)&lt;1,0,IFERROR(LOOKUP(2,1/(Aveia!$E30:INDEX(Aveia!$E30:$Z30,MIN(AZ$6-$G$3,22))&lt;&gt;""),Aveia!$E30:INDEX(Aveia!$E30:$Z30,MIN(AZ$6-$G$3,22))),0)))))</f>
        <v>0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10" t="s">
        <v>132</v>
      </c>
      <c r="D33" s="26" t="n">
        <f aca="false">IF(COUNT(Aveia!$E31:$Z31)&gt;0,N(Aveia!$D31),0)</f>
        <v>0</v>
      </c>
      <c r="E33" s="27" t="n">
        <f aca="false">IF(COUNT(Aveia!$E31:$Z31)=0,0,MAX(0,IF((E$6-$E$3)&lt;1,0,IFERROR(LOOKUP(2,1/(Aveia!$E31:INDEX(Aveia!$E31:$Z31,MIN(E$6-$E$3,22))&lt;&gt;""),Aveia!$E31:INDEX(Aveia!$E31:$Z31,MIN(E$6-$E$3,22))),0))-IF($G$2,0,IF((E$6-$G$3)&lt;1,0,IFERROR(LOOKUP(2,1/(Aveia!$E31:INDEX(Aveia!$E31:$Z31,MIN(E$6-$G$3,22))&lt;&gt;""),Aveia!$E31:INDEX(Aveia!$E31:$Z31,MIN(E$6-$G$3,22))),0)))))</f>
        <v>0</v>
      </c>
      <c r="F33" s="27" t="n">
        <f aca="false">IF(COUNT(Aveia!$E31:$Z31)=0,0,MAX(0,IF((F$6-$E$3)&lt;1,0,IFERROR(LOOKUP(2,1/(Aveia!$E31:INDEX(Aveia!$E31:$Z31,MIN(F$6-$E$3,22))&lt;&gt;""),Aveia!$E31:INDEX(Aveia!$E31:$Z31,MIN(F$6-$E$3,22))),0))-IF($G$2,0,IF((F$6-$G$3)&lt;1,0,IFERROR(LOOKUP(2,1/(Aveia!$E31:INDEX(Aveia!$E31:$Z31,MIN(F$6-$G$3,22))&lt;&gt;""),Aveia!$E31:INDEX(Aveia!$E31:$Z31,MIN(F$6-$G$3,22))),0)))))</f>
        <v>0</v>
      </c>
      <c r="G33" s="27" t="n">
        <f aca="false">IF(COUNT(Aveia!$E31:$Z31)=0,0,MAX(0,IF((G$6-$E$3)&lt;1,0,IFERROR(LOOKUP(2,1/(Aveia!$E31:INDEX(Aveia!$E31:$Z31,MIN(G$6-$E$3,22))&lt;&gt;""),Aveia!$E31:INDEX(Aveia!$E31:$Z31,MIN(G$6-$E$3,22))),0))-IF($G$2,0,IF((G$6-$G$3)&lt;1,0,IFERROR(LOOKUP(2,1/(Aveia!$E31:INDEX(Aveia!$E31:$Z31,MIN(G$6-$G$3,22))&lt;&gt;""),Aveia!$E31:INDEX(Aveia!$E31:$Z31,MIN(G$6-$G$3,22))),0)))))</f>
        <v>0</v>
      </c>
      <c r="H33" s="27" t="n">
        <f aca="false">IF(COUNT(Aveia!$E31:$Z31)=0,0,MAX(0,IF((H$6-$E$3)&lt;1,0,IFERROR(LOOKUP(2,1/(Aveia!$E31:INDEX(Aveia!$E31:$Z31,MIN(H$6-$E$3,22))&lt;&gt;""),Aveia!$E31:INDEX(Aveia!$E31:$Z31,MIN(H$6-$E$3,22))),0))-IF($G$2,0,IF((H$6-$G$3)&lt;1,0,IFERROR(LOOKUP(2,1/(Aveia!$E31:INDEX(Aveia!$E31:$Z31,MIN(H$6-$G$3,22))&lt;&gt;""),Aveia!$E31:INDEX(Aveia!$E31:$Z31,MIN(H$6-$G$3,22))),0)))))</f>
        <v>0</v>
      </c>
      <c r="I33" s="27" t="n">
        <f aca="false">IF(COUNT(Aveia!$E31:$Z31)=0,0,MAX(0,IF((I$6-$E$3)&lt;1,0,IFERROR(LOOKUP(2,1/(Aveia!$E31:INDEX(Aveia!$E31:$Z31,MIN(I$6-$E$3,22))&lt;&gt;""),Aveia!$E31:INDEX(Aveia!$E31:$Z31,MIN(I$6-$E$3,22))),0))-IF($G$2,0,IF((I$6-$G$3)&lt;1,0,IFERROR(LOOKUP(2,1/(Aveia!$E31:INDEX(Aveia!$E31:$Z31,MIN(I$6-$G$3,22))&lt;&gt;""),Aveia!$E31:INDEX(Aveia!$E31:$Z31,MIN(I$6-$G$3,22))),0)))))</f>
        <v>0</v>
      </c>
      <c r="J33" s="27" t="n">
        <f aca="false">IF(COUNT(Aveia!$E31:$Z31)=0,0,MAX(0,IF((J$6-$E$3)&lt;1,0,IFERROR(LOOKUP(2,1/(Aveia!$E31:INDEX(Aveia!$E31:$Z31,MIN(J$6-$E$3,22))&lt;&gt;""),Aveia!$E31:INDEX(Aveia!$E31:$Z31,MIN(J$6-$E$3,22))),0))-IF($G$2,0,IF((J$6-$G$3)&lt;1,0,IFERROR(LOOKUP(2,1/(Aveia!$E31:INDEX(Aveia!$E31:$Z31,MIN(J$6-$G$3,22))&lt;&gt;""),Aveia!$E31:INDEX(Aveia!$E31:$Z31,MIN(J$6-$G$3,22))),0)))))</f>
        <v>0</v>
      </c>
      <c r="K33" s="27" t="n">
        <f aca="false">IF(COUNT(Aveia!$E31:$Z31)=0,0,MAX(0,IF((K$6-$E$3)&lt;1,0,IFERROR(LOOKUP(2,1/(Aveia!$E31:INDEX(Aveia!$E31:$Z31,MIN(K$6-$E$3,22))&lt;&gt;""),Aveia!$E31:INDEX(Aveia!$E31:$Z31,MIN(K$6-$E$3,22))),0))-IF($G$2,0,IF((K$6-$G$3)&lt;1,0,IFERROR(LOOKUP(2,1/(Aveia!$E31:INDEX(Aveia!$E31:$Z31,MIN(K$6-$G$3,22))&lt;&gt;""),Aveia!$E31:INDEX(Aveia!$E31:$Z31,MIN(K$6-$G$3,22))),0)))))</f>
        <v>0</v>
      </c>
      <c r="L33" s="27" t="n">
        <f aca="false">IF(COUNT(Aveia!$E31:$Z31)=0,0,MAX(0,IF((L$6-$E$3)&lt;1,0,IFERROR(LOOKUP(2,1/(Aveia!$E31:INDEX(Aveia!$E31:$Z31,MIN(L$6-$E$3,22))&lt;&gt;""),Aveia!$E31:INDEX(Aveia!$E31:$Z31,MIN(L$6-$E$3,22))),0))-IF($G$2,0,IF((L$6-$G$3)&lt;1,0,IFERROR(LOOKUP(2,1/(Aveia!$E31:INDEX(Aveia!$E31:$Z31,MIN(L$6-$G$3,22))&lt;&gt;""),Aveia!$E31:INDEX(Aveia!$E31:$Z31,MIN(L$6-$G$3,22))),0)))))</f>
        <v>0</v>
      </c>
      <c r="M33" s="27" t="n">
        <f aca="false">IF(COUNT(Aveia!$E31:$Z31)=0,0,MAX(0,IF((M$6-$E$3)&lt;1,0,IFERROR(LOOKUP(2,1/(Aveia!$E31:INDEX(Aveia!$E31:$Z31,MIN(M$6-$E$3,22))&lt;&gt;""),Aveia!$E31:INDEX(Aveia!$E31:$Z31,MIN(M$6-$E$3,22))),0))-IF($G$2,0,IF((M$6-$G$3)&lt;1,0,IFERROR(LOOKUP(2,1/(Aveia!$E31:INDEX(Aveia!$E31:$Z31,MIN(M$6-$G$3,22))&lt;&gt;""),Aveia!$E31:INDEX(Aveia!$E31:$Z31,MIN(M$6-$G$3,22))),0)))))</f>
        <v>0</v>
      </c>
      <c r="N33" s="27" t="n">
        <f aca="false">IF(COUNT(Aveia!$E31:$Z31)=0,0,MAX(0,IF((N$6-$E$3)&lt;1,0,IFERROR(LOOKUP(2,1/(Aveia!$E31:INDEX(Aveia!$E31:$Z31,MIN(N$6-$E$3,22))&lt;&gt;""),Aveia!$E31:INDEX(Aveia!$E31:$Z31,MIN(N$6-$E$3,22))),0))-IF($G$2,0,IF((N$6-$G$3)&lt;1,0,IFERROR(LOOKUP(2,1/(Aveia!$E31:INDEX(Aveia!$E31:$Z31,MIN(N$6-$G$3,22))&lt;&gt;""),Aveia!$E31:INDEX(Aveia!$E31:$Z31,MIN(N$6-$G$3,22))),0)))))</f>
        <v>0</v>
      </c>
      <c r="O33" s="27" t="n">
        <f aca="false">IF(COUNT(Aveia!$E31:$Z31)=0,0,MAX(0,IF((O$6-$E$3)&lt;1,0,IFERROR(LOOKUP(2,1/(Aveia!$E31:INDEX(Aveia!$E31:$Z31,MIN(O$6-$E$3,22))&lt;&gt;""),Aveia!$E31:INDEX(Aveia!$E31:$Z31,MIN(O$6-$E$3,22))),0))-IF($G$2,0,IF((O$6-$G$3)&lt;1,0,IFERROR(LOOKUP(2,1/(Aveia!$E31:INDEX(Aveia!$E31:$Z31,MIN(O$6-$G$3,22))&lt;&gt;""),Aveia!$E31:INDEX(Aveia!$E31:$Z31,MIN(O$6-$G$3,22))),0)))))</f>
        <v>0</v>
      </c>
      <c r="P33" s="27" t="n">
        <f aca="false">IF(COUNT(Aveia!$E31:$Z31)=0,0,MAX(0,IF((P$6-$E$3)&lt;1,0,IFERROR(LOOKUP(2,1/(Aveia!$E31:INDEX(Aveia!$E31:$Z31,MIN(P$6-$E$3,22))&lt;&gt;""),Aveia!$E31:INDEX(Aveia!$E31:$Z31,MIN(P$6-$E$3,22))),0))-IF($G$2,0,IF((P$6-$G$3)&lt;1,0,IFERROR(LOOKUP(2,1/(Aveia!$E31:INDEX(Aveia!$E31:$Z31,MIN(P$6-$G$3,22))&lt;&gt;""),Aveia!$E31:INDEX(Aveia!$E31:$Z31,MIN(P$6-$G$3,22))),0)))))</f>
        <v>0</v>
      </c>
      <c r="Q33" s="27" t="n">
        <f aca="false">IF(COUNT(Aveia!$E31:$Z31)=0,0,MAX(0,IF((Q$6-$E$3)&lt;1,0,IFERROR(LOOKUP(2,1/(Aveia!$E31:INDEX(Aveia!$E31:$Z31,MIN(Q$6-$E$3,22))&lt;&gt;""),Aveia!$E31:INDEX(Aveia!$E31:$Z31,MIN(Q$6-$E$3,22))),0))-IF($G$2,0,IF((Q$6-$G$3)&lt;1,0,IFERROR(LOOKUP(2,1/(Aveia!$E31:INDEX(Aveia!$E31:$Z31,MIN(Q$6-$G$3,22))&lt;&gt;""),Aveia!$E31:INDEX(Aveia!$E31:$Z31,MIN(Q$6-$G$3,22))),0)))))</f>
        <v>0</v>
      </c>
      <c r="R33" s="27" t="n">
        <f aca="false">IF(COUNT(Aveia!$E31:$Z31)=0,0,MAX(0,IF((R$6-$E$3)&lt;1,0,IFERROR(LOOKUP(2,1/(Aveia!$E31:INDEX(Aveia!$E31:$Z31,MIN(R$6-$E$3,22))&lt;&gt;""),Aveia!$E31:INDEX(Aveia!$E31:$Z31,MIN(R$6-$E$3,22))),0))-IF($G$2,0,IF((R$6-$G$3)&lt;1,0,IFERROR(LOOKUP(2,1/(Aveia!$E31:INDEX(Aveia!$E31:$Z31,MIN(R$6-$G$3,22))&lt;&gt;""),Aveia!$E31:INDEX(Aveia!$E31:$Z31,MIN(R$6-$G$3,22))),0)))))</f>
        <v>0</v>
      </c>
      <c r="S33" s="27" t="n">
        <f aca="false">IF(COUNT(Aveia!$E31:$Z31)=0,0,MAX(0,IF((S$6-$E$3)&lt;1,0,IFERROR(LOOKUP(2,1/(Aveia!$E31:INDEX(Aveia!$E31:$Z31,MIN(S$6-$E$3,22))&lt;&gt;""),Aveia!$E31:INDEX(Aveia!$E31:$Z31,MIN(S$6-$E$3,22))),0))-IF($G$2,0,IF((S$6-$G$3)&lt;1,0,IFERROR(LOOKUP(2,1/(Aveia!$E31:INDEX(Aveia!$E31:$Z31,MIN(S$6-$G$3,22))&lt;&gt;""),Aveia!$E31:INDEX(Aveia!$E31:$Z31,MIN(S$6-$G$3,22))),0)))))</f>
        <v>0</v>
      </c>
      <c r="T33" s="27" t="n">
        <f aca="false">IF(COUNT(Aveia!$E31:$Z31)=0,0,MAX(0,IF((T$6-$E$3)&lt;1,0,IFERROR(LOOKUP(2,1/(Aveia!$E31:INDEX(Aveia!$E31:$Z31,MIN(T$6-$E$3,22))&lt;&gt;""),Aveia!$E31:INDEX(Aveia!$E31:$Z31,MIN(T$6-$E$3,22))),0))-IF($G$2,0,IF((T$6-$G$3)&lt;1,0,IFERROR(LOOKUP(2,1/(Aveia!$E31:INDEX(Aveia!$E31:$Z31,MIN(T$6-$G$3,22))&lt;&gt;""),Aveia!$E31:INDEX(Aveia!$E31:$Z31,MIN(T$6-$G$3,22))),0)))))</f>
        <v>0</v>
      </c>
      <c r="U33" s="27" t="n">
        <f aca="false">IF(COUNT(Aveia!$E31:$Z31)=0,0,MAX(0,IF((U$6-$E$3)&lt;1,0,IFERROR(LOOKUP(2,1/(Aveia!$E31:INDEX(Aveia!$E31:$Z31,MIN(U$6-$E$3,22))&lt;&gt;""),Aveia!$E31:INDEX(Aveia!$E31:$Z31,MIN(U$6-$E$3,22))),0))-IF($G$2,0,IF((U$6-$G$3)&lt;1,0,IFERROR(LOOKUP(2,1/(Aveia!$E31:INDEX(Aveia!$E31:$Z31,MIN(U$6-$G$3,22))&lt;&gt;""),Aveia!$E31:INDEX(Aveia!$E31:$Z31,MIN(U$6-$G$3,22))),0)))))</f>
        <v>0</v>
      </c>
      <c r="V33" s="27" t="n">
        <f aca="false">IF(COUNT(Aveia!$E31:$Z31)=0,0,MAX(0,IF((V$6-$E$3)&lt;1,0,IFERROR(LOOKUP(2,1/(Aveia!$E31:INDEX(Aveia!$E31:$Z31,MIN(V$6-$E$3,22))&lt;&gt;""),Aveia!$E31:INDEX(Aveia!$E31:$Z31,MIN(V$6-$E$3,22))),0))-IF($G$2,0,IF((V$6-$G$3)&lt;1,0,IFERROR(LOOKUP(2,1/(Aveia!$E31:INDEX(Aveia!$E31:$Z31,MIN(V$6-$G$3,22))&lt;&gt;""),Aveia!$E31:INDEX(Aveia!$E31:$Z31,MIN(V$6-$G$3,22))),0)))))</f>
        <v>0</v>
      </c>
      <c r="W33" s="27" t="n">
        <f aca="false">IF(COUNT(Aveia!$E31:$Z31)=0,0,MAX(0,IF((W$6-$E$3)&lt;1,0,IFERROR(LOOKUP(2,1/(Aveia!$E31:INDEX(Aveia!$E31:$Z31,MIN(W$6-$E$3,22))&lt;&gt;""),Aveia!$E31:INDEX(Aveia!$E31:$Z31,MIN(W$6-$E$3,22))),0))-IF($G$2,0,IF((W$6-$G$3)&lt;1,0,IFERROR(LOOKUP(2,1/(Aveia!$E31:INDEX(Aveia!$E31:$Z31,MIN(W$6-$G$3,22))&lt;&gt;""),Aveia!$E31:INDEX(Aveia!$E31:$Z31,MIN(W$6-$G$3,22))),0)))))</f>
        <v>0</v>
      </c>
      <c r="X33" s="27" t="n">
        <f aca="false">IF(COUNT(Aveia!$E31:$Z31)=0,0,MAX(0,IF((X$6-$E$3)&lt;1,0,IFERROR(LOOKUP(2,1/(Aveia!$E31:INDEX(Aveia!$E31:$Z31,MIN(X$6-$E$3,22))&lt;&gt;""),Aveia!$E31:INDEX(Aveia!$E31:$Z31,MIN(X$6-$E$3,22))),0))-IF($G$2,0,IF((X$6-$G$3)&lt;1,0,IFERROR(LOOKUP(2,1/(Aveia!$E31:INDEX(Aveia!$E31:$Z31,MIN(X$6-$G$3,22))&lt;&gt;""),Aveia!$E31:INDEX(Aveia!$E31:$Z31,MIN(X$6-$G$3,22))),0)))))</f>
        <v>0</v>
      </c>
      <c r="Y33" s="27" t="n">
        <f aca="false">IF(COUNT(Aveia!$E31:$Z31)=0,0,MAX(0,IF((Y$6-$E$3)&lt;1,0,IFERROR(LOOKUP(2,1/(Aveia!$E31:INDEX(Aveia!$E31:$Z31,MIN(Y$6-$E$3,22))&lt;&gt;""),Aveia!$E31:INDEX(Aveia!$E31:$Z31,MIN(Y$6-$E$3,22))),0))-IF($G$2,0,IF((Y$6-$G$3)&lt;1,0,IFERROR(LOOKUP(2,1/(Aveia!$E31:INDEX(Aveia!$E31:$Z31,MIN(Y$6-$G$3,22))&lt;&gt;""),Aveia!$E31:INDEX(Aveia!$E31:$Z31,MIN(Y$6-$G$3,22))),0)))))</f>
        <v>0</v>
      </c>
      <c r="Z33" s="27" t="n">
        <f aca="false">IF(COUNT(Aveia!$E31:$Z31)=0,0,MAX(0,IF((Z$6-$E$3)&lt;1,0,IFERROR(LOOKUP(2,1/(Aveia!$E31:INDEX(Aveia!$E31:$Z31,MIN(Z$6-$E$3,22))&lt;&gt;""),Aveia!$E31:INDEX(Aveia!$E31:$Z31,MIN(Z$6-$E$3,22))),0))-IF($G$2,0,IF((Z$6-$G$3)&lt;1,0,IFERROR(LOOKUP(2,1/(Aveia!$E31:INDEX(Aveia!$E31:$Z31,MIN(Z$6-$G$3,22))&lt;&gt;""),Aveia!$E31:INDEX(Aveia!$E31:$Z31,MIN(Z$6-$G$3,22))),0)))))</f>
        <v>0</v>
      </c>
      <c r="AA33" s="27" t="n">
        <f aca="false">IF(COUNT(Aveia!$E31:$Z31)=0,0,MAX(0,IF((AA$6-$E$3)&lt;1,0,IFERROR(LOOKUP(2,1/(Aveia!$E31:INDEX(Aveia!$E31:$Z31,MIN(AA$6-$E$3,22))&lt;&gt;""),Aveia!$E31:INDEX(Aveia!$E31:$Z31,MIN(AA$6-$E$3,22))),0))-IF($G$2,0,IF((AA$6-$G$3)&lt;1,0,IFERROR(LOOKUP(2,1/(Aveia!$E31:INDEX(Aveia!$E31:$Z31,MIN(AA$6-$G$3,22))&lt;&gt;""),Aveia!$E31:INDEX(Aveia!$E31:$Z31,MIN(AA$6-$G$3,22))),0)))))</f>
        <v>0</v>
      </c>
      <c r="AB33" s="27" t="n">
        <f aca="false">IF(COUNT(Aveia!$E31:$Z31)=0,0,MAX(0,IF((AB$6-$E$3)&lt;1,0,IFERROR(LOOKUP(2,1/(Aveia!$E31:INDEX(Aveia!$E31:$Z31,MIN(AB$6-$E$3,22))&lt;&gt;""),Aveia!$E31:INDEX(Aveia!$E31:$Z31,MIN(AB$6-$E$3,22))),0))-IF($G$2,0,IF((AB$6-$G$3)&lt;1,0,IFERROR(LOOKUP(2,1/(Aveia!$E31:INDEX(Aveia!$E31:$Z31,MIN(AB$6-$G$3,22))&lt;&gt;""),Aveia!$E31:INDEX(Aveia!$E31:$Z31,MIN(AB$6-$G$3,22))),0)))))</f>
        <v>0</v>
      </c>
      <c r="AC33" s="27" t="n">
        <f aca="false">IF(COUNT(Aveia!$E31:$Z31)=0,0,MAX(0,IF((AC$6-$E$3)&lt;1,0,IFERROR(LOOKUP(2,1/(Aveia!$E31:INDEX(Aveia!$E31:$Z31,MIN(AC$6-$E$3,22))&lt;&gt;""),Aveia!$E31:INDEX(Aveia!$E31:$Z31,MIN(AC$6-$E$3,22))),0))-IF($G$2,0,IF((AC$6-$G$3)&lt;1,0,IFERROR(LOOKUP(2,1/(Aveia!$E31:INDEX(Aveia!$E31:$Z31,MIN(AC$6-$G$3,22))&lt;&gt;""),Aveia!$E31:INDEX(Aveia!$E31:$Z31,MIN(AC$6-$G$3,22))),0)))))</f>
        <v>0</v>
      </c>
      <c r="AD33" s="27" t="n">
        <f aca="false">IF(COUNT(Aveia!$E31:$Z31)=0,0,MAX(0,IF((AD$6-$E$3)&lt;1,0,IFERROR(LOOKUP(2,1/(Aveia!$E31:INDEX(Aveia!$E31:$Z31,MIN(AD$6-$E$3,22))&lt;&gt;""),Aveia!$E31:INDEX(Aveia!$E31:$Z31,MIN(AD$6-$E$3,22))),0))-IF($G$2,0,IF((AD$6-$G$3)&lt;1,0,IFERROR(LOOKUP(2,1/(Aveia!$E31:INDEX(Aveia!$E31:$Z31,MIN(AD$6-$G$3,22))&lt;&gt;""),Aveia!$E31:INDEX(Aveia!$E31:$Z31,MIN(AD$6-$G$3,22))),0)))))</f>
        <v>0</v>
      </c>
      <c r="AE33" s="27" t="n">
        <f aca="false">IF(COUNT(Aveia!$E31:$Z31)=0,0,MAX(0,IF((AE$6-$E$3)&lt;1,0,IFERROR(LOOKUP(2,1/(Aveia!$E31:INDEX(Aveia!$E31:$Z31,MIN(AE$6-$E$3,22))&lt;&gt;""),Aveia!$E31:INDEX(Aveia!$E31:$Z31,MIN(AE$6-$E$3,22))),0))-IF($G$2,0,IF((AE$6-$G$3)&lt;1,0,IFERROR(LOOKUP(2,1/(Aveia!$E31:INDEX(Aveia!$E31:$Z31,MIN(AE$6-$G$3,22))&lt;&gt;""),Aveia!$E31:INDEX(Aveia!$E31:$Z31,MIN(AE$6-$G$3,22))),0)))))</f>
        <v>0</v>
      </c>
      <c r="AF33" s="27" t="n">
        <f aca="false">IF(COUNT(Aveia!$E31:$Z31)=0,0,MAX(0,IF((AF$6-$E$3)&lt;1,0,IFERROR(LOOKUP(2,1/(Aveia!$E31:INDEX(Aveia!$E31:$Z31,MIN(AF$6-$E$3,22))&lt;&gt;""),Aveia!$E31:INDEX(Aveia!$E31:$Z31,MIN(AF$6-$E$3,22))),0))-IF($G$2,0,IF((AF$6-$G$3)&lt;1,0,IFERROR(LOOKUP(2,1/(Aveia!$E31:INDEX(Aveia!$E31:$Z31,MIN(AF$6-$G$3,22))&lt;&gt;""),Aveia!$E31:INDEX(Aveia!$E31:$Z31,MIN(AF$6-$G$3,22))),0)))))</f>
        <v>0</v>
      </c>
      <c r="AG33" s="27" t="n">
        <f aca="false">IF(COUNT(Aveia!$E31:$Z31)=0,0,MAX(0,IF((AG$6-$E$3)&lt;1,0,IFERROR(LOOKUP(2,1/(Aveia!$E31:INDEX(Aveia!$E31:$Z31,MIN(AG$6-$E$3,22))&lt;&gt;""),Aveia!$E31:INDEX(Aveia!$E31:$Z31,MIN(AG$6-$E$3,22))),0))-IF($G$2,0,IF((AG$6-$G$3)&lt;1,0,IFERROR(LOOKUP(2,1/(Aveia!$E31:INDEX(Aveia!$E31:$Z31,MIN(AG$6-$G$3,22))&lt;&gt;""),Aveia!$E31:INDEX(Aveia!$E31:$Z31,MIN(AG$6-$G$3,22))),0)))))</f>
        <v>0</v>
      </c>
      <c r="AH33" s="27" t="n">
        <f aca="false">IF(COUNT(Aveia!$E31:$Z31)=0,0,MAX(0,IF((AH$6-$E$3)&lt;1,0,IFERROR(LOOKUP(2,1/(Aveia!$E31:INDEX(Aveia!$E31:$Z31,MIN(AH$6-$E$3,22))&lt;&gt;""),Aveia!$E31:INDEX(Aveia!$E31:$Z31,MIN(AH$6-$E$3,22))),0))-IF($G$2,0,IF((AH$6-$G$3)&lt;1,0,IFERROR(LOOKUP(2,1/(Aveia!$E31:INDEX(Aveia!$E31:$Z31,MIN(AH$6-$G$3,22))&lt;&gt;""),Aveia!$E31:INDEX(Aveia!$E31:$Z31,MIN(AH$6-$G$3,22))),0)))))</f>
        <v>0</v>
      </c>
      <c r="AI33" s="27" t="n">
        <f aca="false">IF(COUNT(Aveia!$E31:$Z31)=0,0,MAX(0,IF((AI$6-$E$3)&lt;1,0,IFERROR(LOOKUP(2,1/(Aveia!$E31:INDEX(Aveia!$E31:$Z31,MIN(AI$6-$E$3,22))&lt;&gt;""),Aveia!$E31:INDEX(Aveia!$E31:$Z31,MIN(AI$6-$E$3,22))),0))-IF($G$2,0,IF((AI$6-$G$3)&lt;1,0,IFERROR(LOOKUP(2,1/(Aveia!$E31:INDEX(Aveia!$E31:$Z31,MIN(AI$6-$G$3,22))&lt;&gt;""),Aveia!$E31:INDEX(Aveia!$E31:$Z31,MIN(AI$6-$G$3,22))),0)))))</f>
        <v>0</v>
      </c>
      <c r="AJ33" s="27" t="n">
        <f aca="false">IF(COUNT(Aveia!$E31:$Z31)=0,0,MAX(0,IF((AJ$6-$E$3)&lt;1,0,IFERROR(LOOKUP(2,1/(Aveia!$E31:INDEX(Aveia!$E31:$Z31,MIN(AJ$6-$E$3,22))&lt;&gt;""),Aveia!$E31:INDEX(Aveia!$E31:$Z31,MIN(AJ$6-$E$3,22))),0))-IF($G$2,0,IF((AJ$6-$G$3)&lt;1,0,IFERROR(LOOKUP(2,1/(Aveia!$E31:INDEX(Aveia!$E31:$Z31,MIN(AJ$6-$G$3,22))&lt;&gt;""),Aveia!$E31:INDEX(Aveia!$E31:$Z31,MIN(AJ$6-$G$3,22))),0)))))</f>
        <v>0</v>
      </c>
      <c r="AK33" s="27" t="n">
        <f aca="false">IF(COUNT(Aveia!$E31:$Z31)=0,0,MAX(0,IF((AK$6-$E$3)&lt;1,0,IFERROR(LOOKUP(2,1/(Aveia!$E31:INDEX(Aveia!$E31:$Z31,MIN(AK$6-$E$3,22))&lt;&gt;""),Aveia!$E31:INDEX(Aveia!$E31:$Z31,MIN(AK$6-$E$3,22))),0))-IF($G$2,0,IF((AK$6-$G$3)&lt;1,0,IFERROR(LOOKUP(2,1/(Aveia!$E31:INDEX(Aveia!$E31:$Z31,MIN(AK$6-$G$3,22))&lt;&gt;""),Aveia!$E31:INDEX(Aveia!$E31:$Z31,MIN(AK$6-$G$3,22))),0)))))</f>
        <v>0</v>
      </c>
      <c r="AL33" s="27" t="n">
        <f aca="false">IF(COUNT(Aveia!$E31:$Z31)=0,0,MAX(0,IF((AL$6-$E$3)&lt;1,0,IFERROR(LOOKUP(2,1/(Aveia!$E31:INDEX(Aveia!$E31:$Z31,MIN(AL$6-$E$3,22))&lt;&gt;""),Aveia!$E31:INDEX(Aveia!$E31:$Z31,MIN(AL$6-$E$3,22))),0))-IF($G$2,0,IF((AL$6-$G$3)&lt;1,0,IFERROR(LOOKUP(2,1/(Aveia!$E31:INDEX(Aveia!$E31:$Z31,MIN(AL$6-$G$3,22))&lt;&gt;""),Aveia!$E31:INDEX(Aveia!$E31:$Z31,MIN(AL$6-$G$3,22))),0)))))</f>
        <v>0</v>
      </c>
      <c r="AM33" s="27" t="n">
        <f aca="false">IF(COUNT(Aveia!$E31:$Z31)=0,0,MAX(0,IF((AM$6-$E$3)&lt;1,0,IFERROR(LOOKUP(2,1/(Aveia!$E31:INDEX(Aveia!$E31:$Z31,MIN(AM$6-$E$3,22))&lt;&gt;""),Aveia!$E31:INDEX(Aveia!$E31:$Z31,MIN(AM$6-$E$3,22))),0))-IF($G$2,0,IF((AM$6-$G$3)&lt;1,0,IFERROR(LOOKUP(2,1/(Aveia!$E31:INDEX(Aveia!$E31:$Z31,MIN(AM$6-$G$3,22))&lt;&gt;""),Aveia!$E31:INDEX(Aveia!$E31:$Z31,MIN(AM$6-$G$3,22))),0)))))</f>
        <v>0</v>
      </c>
      <c r="AN33" s="27" t="n">
        <f aca="false">IF(COUNT(Aveia!$E31:$Z31)=0,0,MAX(0,IF((AN$6-$E$3)&lt;1,0,IFERROR(LOOKUP(2,1/(Aveia!$E31:INDEX(Aveia!$E31:$Z31,MIN(AN$6-$E$3,22))&lt;&gt;""),Aveia!$E31:INDEX(Aveia!$E31:$Z31,MIN(AN$6-$E$3,22))),0))-IF($G$2,0,IF((AN$6-$G$3)&lt;1,0,IFERROR(LOOKUP(2,1/(Aveia!$E31:INDEX(Aveia!$E31:$Z31,MIN(AN$6-$G$3,22))&lt;&gt;""),Aveia!$E31:INDEX(Aveia!$E31:$Z31,MIN(AN$6-$G$3,22))),0)))))</f>
        <v>0</v>
      </c>
      <c r="AO33" s="27" t="n">
        <f aca="false">IF(COUNT(Aveia!$E31:$Z31)=0,0,MAX(0,IF((AO$6-$E$3)&lt;1,0,IFERROR(LOOKUP(2,1/(Aveia!$E31:INDEX(Aveia!$E31:$Z31,MIN(AO$6-$E$3,22))&lt;&gt;""),Aveia!$E31:INDEX(Aveia!$E31:$Z31,MIN(AO$6-$E$3,22))),0))-IF($G$2,0,IF((AO$6-$G$3)&lt;1,0,IFERROR(LOOKUP(2,1/(Aveia!$E31:INDEX(Aveia!$E31:$Z31,MIN(AO$6-$G$3,22))&lt;&gt;""),Aveia!$E31:INDEX(Aveia!$E31:$Z31,MIN(AO$6-$G$3,22))),0)))))</f>
        <v>0</v>
      </c>
      <c r="AP33" s="27" t="n">
        <f aca="false">IF(COUNT(Aveia!$E31:$Z31)=0,0,MAX(0,IF((AP$6-$E$3)&lt;1,0,IFERROR(LOOKUP(2,1/(Aveia!$E31:INDEX(Aveia!$E31:$Z31,MIN(AP$6-$E$3,22))&lt;&gt;""),Aveia!$E31:INDEX(Aveia!$E31:$Z31,MIN(AP$6-$E$3,22))),0))-IF($G$2,0,IF((AP$6-$G$3)&lt;1,0,IFERROR(LOOKUP(2,1/(Aveia!$E31:INDEX(Aveia!$E31:$Z31,MIN(AP$6-$G$3,22))&lt;&gt;""),Aveia!$E31:INDEX(Aveia!$E31:$Z31,MIN(AP$6-$G$3,22))),0)))))</f>
        <v>0</v>
      </c>
      <c r="AQ33" s="27" t="n">
        <f aca="false">IF(COUNT(Aveia!$E31:$Z31)=0,0,MAX(0,IF((AQ$6-$E$3)&lt;1,0,IFERROR(LOOKUP(2,1/(Aveia!$E31:INDEX(Aveia!$E31:$Z31,MIN(AQ$6-$E$3,22))&lt;&gt;""),Aveia!$E31:INDEX(Aveia!$E31:$Z31,MIN(AQ$6-$E$3,22))),0))-IF($G$2,0,IF((AQ$6-$G$3)&lt;1,0,IFERROR(LOOKUP(2,1/(Aveia!$E31:INDEX(Aveia!$E31:$Z31,MIN(AQ$6-$G$3,22))&lt;&gt;""),Aveia!$E31:INDEX(Aveia!$E31:$Z31,MIN(AQ$6-$G$3,22))),0)))))</f>
        <v>0</v>
      </c>
      <c r="AR33" s="27" t="n">
        <f aca="false">IF(COUNT(Aveia!$E31:$Z31)=0,0,MAX(0,IF((AR$6-$E$3)&lt;1,0,IFERROR(LOOKUP(2,1/(Aveia!$E31:INDEX(Aveia!$E31:$Z31,MIN(AR$6-$E$3,22))&lt;&gt;""),Aveia!$E31:INDEX(Aveia!$E31:$Z31,MIN(AR$6-$E$3,22))),0))-IF($G$2,0,IF((AR$6-$G$3)&lt;1,0,IFERROR(LOOKUP(2,1/(Aveia!$E31:INDEX(Aveia!$E31:$Z31,MIN(AR$6-$G$3,22))&lt;&gt;""),Aveia!$E31:INDEX(Aveia!$E31:$Z31,MIN(AR$6-$G$3,22))),0)))))</f>
        <v>0</v>
      </c>
      <c r="AS33" s="27" t="n">
        <f aca="false">IF(COUNT(Aveia!$E31:$Z31)=0,0,MAX(0,IF((AS$6-$E$3)&lt;1,0,IFERROR(LOOKUP(2,1/(Aveia!$E31:INDEX(Aveia!$E31:$Z31,MIN(AS$6-$E$3,22))&lt;&gt;""),Aveia!$E31:INDEX(Aveia!$E31:$Z31,MIN(AS$6-$E$3,22))),0))-IF($G$2,0,IF((AS$6-$G$3)&lt;1,0,IFERROR(LOOKUP(2,1/(Aveia!$E31:INDEX(Aveia!$E31:$Z31,MIN(AS$6-$G$3,22))&lt;&gt;""),Aveia!$E31:INDEX(Aveia!$E31:$Z31,MIN(AS$6-$G$3,22))),0)))))</f>
        <v>0</v>
      </c>
      <c r="AT33" s="27" t="n">
        <f aca="false">IF(COUNT(Aveia!$E31:$Z31)=0,0,MAX(0,IF((AT$6-$E$3)&lt;1,0,IFERROR(LOOKUP(2,1/(Aveia!$E31:INDEX(Aveia!$E31:$Z31,MIN(AT$6-$E$3,22))&lt;&gt;""),Aveia!$E31:INDEX(Aveia!$E31:$Z31,MIN(AT$6-$E$3,22))),0))-IF($G$2,0,IF((AT$6-$G$3)&lt;1,0,IFERROR(LOOKUP(2,1/(Aveia!$E31:INDEX(Aveia!$E31:$Z31,MIN(AT$6-$G$3,22))&lt;&gt;""),Aveia!$E31:INDEX(Aveia!$E31:$Z31,MIN(AT$6-$G$3,22))),0)))))</f>
        <v>0</v>
      </c>
      <c r="AU33" s="27" t="n">
        <f aca="false">IF(COUNT(Aveia!$E31:$Z31)=0,0,MAX(0,IF((AU$6-$E$3)&lt;1,0,IFERROR(LOOKUP(2,1/(Aveia!$E31:INDEX(Aveia!$E31:$Z31,MIN(AU$6-$E$3,22))&lt;&gt;""),Aveia!$E31:INDEX(Aveia!$E31:$Z31,MIN(AU$6-$E$3,22))),0))-IF($G$2,0,IF((AU$6-$G$3)&lt;1,0,IFERROR(LOOKUP(2,1/(Aveia!$E31:INDEX(Aveia!$E31:$Z31,MIN(AU$6-$G$3,22))&lt;&gt;""),Aveia!$E31:INDEX(Aveia!$E31:$Z31,MIN(AU$6-$G$3,22))),0)))))</f>
        <v>0</v>
      </c>
      <c r="AV33" s="27" t="n">
        <f aca="false">IF(COUNT(Aveia!$E31:$Z31)=0,0,MAX(0,IF((AV$6-$E$3)&lt;1,0,IFERROR(LOOKUP(2,1/(Aveia!$E31:INDEX(Aveia!$E31:$Z31,MIN(AV$6-$E$3,22))&lt;&gt;""),Aveia!$E31:INDEX(Aveia!$E31:$Z31,MIN(AV$6-$E$3,22))),0))-IF($G$2,0,IF((AV$6-$G$3)&lt;1,0,IFERROR(LOOKUP(2,1/(Aveia!$E31:INDEX(Aveia!$E31:$Z31,MIN(AV$6-$G$3,22))&lt;&gt;""),Aveia!$E31:INDEX(Aveia!$E31:$Z31,MIN(AV$6-$G$3,22))),0)))))</f>
        <v>0</v>
      </c>
      <c r="AW33" s="27" t="n">
        <f aca="false">IF(COUNT(Aveia!$E31:$Z31)=0,0,MAX(0,IF((AW$6-$E$3)&lt;1,0,IFERROR(LOOKUP(2,1/(Aveia!$E31:INDEX(Aveia!$E31:$Z31,MIN(AW$6-$E$3,22))&lt;&gt;""),Aveia!$E31:INDEX(Aveia!$E31:$Z31,MIN(AW$6-$E$3,22))),0))-IF($G$2,0,IF((AW$6-$G$3)&lt;1,0,IFERROR(LOOKUP(2,1/(Aveia!$E31:INDEX(Aveia!$E31:$Z31,MIN(AW$6-$G$3,22))&lt;&gt;""),Aveia!$E31:INDEX(Aveia!$E31:$Z31,MIN(AW$6-$G$3,22))),0)))))</f>
        <v>0</v>
      </c>
      <c r="AX33" s="27" t="n">
        <f aca="false">IF(COUNT(Aveia!$E31:$Z31)=0,0,MAX(0,IF((AX$6-$E$3)&lt;1,0,IFERROR(LOOKUP(2,1/(Aveia!$E31:INDEX(Aveia!$E31:$Z31,MIN(AX$6-$E$3,22))&lt;&gt;""),Aveia!$E31:INDEX(Aveia!$E31:$Z31,MIN(AX$6-$E$3,22))),0))-IF($G$2,0,IF((AX$6-$G$3)&lt;1,0,IFERROR(LOOKUP(2,1/(Aveia!$E31:INDEX(Aveia!$E31:$Z31,MIN(AX$6-$G$3,22))&lt;&gt;""),Aveia!$E31:INDEX(Aveia!$E31:$Z31,MIN(AX$6-$G$3,22))),0)))))</f>
        <v>0</v>
      </c>
      <c r="AY33" s="27" t="n">
        <f aca="false">IF(COUNT(Aveia!$E31:$Z31)=0,0,MAX(0,IF((AY$6-$E$3)&lt;1,0,IFERROR(LOOKUP(2,1/(Aveia!$E31:INDEX(Aveia!$E31:$Z31,MIN(AY$6-$E$3,22))&lt;&gt;""),Aveia!$E31:INDEX(Aveia!$E31:$Z31,MIN(AY$6-$E$3,22))),0))-IF($G$2,0,IF((AY$6-$G$3)&lt;1,0,IFERROR(LOOKUP(2,1/(Aveia!$E31:INDEX(Aveia!$E31:$Z31,MIN(AY$6-$G$3,22))&lt;&gt;""),Aveia!$E31:INDEX(Aveia!$E31:$Z31,MIN(AY$6-$G$3,22))),0)))))</f>
        <v>0</v>
      </c>
      <c r="AZ33" s="27" t="n">
        <f aca="false">IF(COUNT(Aveia!$E31:$Z31)=0,0,MAX(0,IF((AZ$6-$E$3)&lt;1,0,IFERROR(LOOKUP(2,1/(Aveia!$E31:INDEX(Aveia!$E31:$Z31,MIN(AZ$6-$E$3,22))&lt;&gt;""),Aveia!$E31:INDEX(Aveia!$E31:$Z31,MIN(AZ$6-$E$3,22))),0))-IF($G$2,0,IF((AZ$6-$G$3)&lt;1,0,IFERROR(LOOKUP(2,1/(Aveia!$E31:INDEX(Aveia!$E31:$Z31,MIN(AZ$6-$G$3,22))&lt;&gt;""),Aveia!$E31:INDEX(Aveia!$E31:$Z31,MIN(AZ$6-$G$3,22))),0)))))</f>
        <v>0</v>
      </c>
    </row>
    <row r="34" customFormat="false" ht="15" hidden="false" customHeight="false" outlineLevel="0" collapsed="false">
      <c r="A34" s="3" t="s">
        <v>190</v>
      </c>
      <c r="B34" s="3" t="s">
        <v>132</v>
      </c>
      <c r="C34" s="10" t="s">
        <v>132</v>
      </c>
      <c r="D34" s="26" t="n">
        <f aca="false">IF(COUNT(Aveia!$E32:$Z32)&gt;0,N(Aveia!$D32),0)</f>
        <v>0</v>
      </c>
      <c r="E34" s="27" t="n">
        <f aca="false">IF(COUNT(Aveia!$E32:$Z32)=0,0,MAX(0,IF((E$6-$E$3)&lt;1,0,IFERROR(LOOKUP(2,1/(Aveia!$E32:INDEX(Aveia!$E32:$Z32,MIN(E$6-$E$3,22))&lt;&gt;""),Aveia!$E32:INDEX(Aveia!$E32:$Z32,MIN(E$6-$E$3,22))),0))-IF($G$2,0,IF((E$6-$G$3)&lt;1,0,IFERROR(LOOKUP(2,1/(Aveia!$E32:INDEX(Aveia!$E32:$Z32,MIN(E$6-$G$3,22))&lt;&gt;""),Aveia!$E32:INDEX(Aveia!$E32:$Z32,MIN(E$6-$G$3,22))),0)))))</f>
        <v>0</v>
      </c>
      <c r="F34" s="27" t="n">
        <f aca="false">IF(COUNT(Aveia!$E32:$Z32)=0,0,MAX(0,IF((F$6-$E$3)&lt;1,0,IFERROR(LOOKUP(2,1/(Aveia!$E32:INDEX(Aveia!$E32:$Z32,MIN(F$6-$E$3,22))&lt;&gt;""),Aveia!$E32:INDEX(Aveia!$E32:$Z32,MIN(F$6-$E$3,22))),0))-IF($G$2,0,IF((F$6-$G$3)&lt;1,0,IFERROR(LOOKUP(2,1/(Aveia!$E32:INDEX(Aveia!$E32:$Z32,MIN(F$6-$G$3,22))&lt;&gt;""),Aveia!$E32:INDEX(Aveia!$E32:$Z32,MIN(F$6-$G$3,22))),0)))))</f>
        <v>0</v>
      </c>
      <c r="G34" s="27" t="n">
        <f aca="false">IF(COUNT(Aveia!$E32:$Z32)=0,0,MAX(0,IF((G$6-$E$3)&lt;1,0,IFERROR(LOOKUP(2,1/(Aveia!$E32:INDEX(Aveia!$E32:$Z32,MIN(G$6-$E$3,22))&lt;&gt;""),Aveia!$E32:INDEX(Aveia!$E32:$Z32,MIN(G$6-$E$3,22))),0))-IF($G$2,0,IF((G$6-$G$3)&lt;1,0,IFERROR(LOOKUP(2,1/(Aveia!$E32:INDEX(Aveia!$E32:$Z32,MIN(G$6-$G$3,22))&lt;&gt;""),Aveia!$E32:INDEX(Aveia!$E32:$Z32,MIN(G$6-$G$3,22))),0)))))</f>
        <v>0</v>
      </c>
      <c r="H34" s="27" t="n">
        <f aca="false">IF(COUNT(Aveia!$E32:$Z32)=0,0,MAX(0,IF((H$6-$E$3)&lt;1,0,IFERROR(LOOKUP(2,1/(Aveia!$E32:INDEX(Aveia!$E32:$Z32,MIN(H$6-$E$3,22))&lt;&gt;""),Aveia!$E32:INDEX(Aveia!$E32:$Z32,MIN(H$6-$E$3,22))),0))-IF($G$2,0,IF((H$6-$G$3)&lt;1,0,IFERROR(LOOKUP(2,1/(Aveia!$E32:INDEX(Aveia!$E32:$Z32,MIN(H$6-$G$3,22))&lt;&gt;""),Aveia!$E32:INDEX(Aveia!$E32:$Z32,MIN(H$6-$G$3,22))),0)))))</f>
        <v>0</v>
      </c>
      <c r="I34" s="27" t="n">
        <f aca="false">IF(COUNT(Aveia!$E32:$Z32)=0,0,MAX(0,IF((I$6-$E$3)&lt;1,0,IFERROR(LOOKUP(2,1/(Aveia!$E32:INDEX(Aveia!$E32:$Z32,MIN(I$6-$E$3,22))&lt;&gt;""),Aveia!$E32:INDEX(Aveia!$E32:$Z32,MIN(I$6-$E$3,22))),0))-IF($G$2,0,IF((I$6-$G$3)&lt;1,0,IFERROR(LOOKUP(2,1/(Aveia!$E32:INDEX(Aveia!$E32:$Z32,MIN(I$6-$G$3,22))&lt;&gt;""),Aveia!$E32:INDEX(Aveia!$E32:$Z32,MIN(I$6-$G$3,22))),0)))))</f>
        <v>0</v>
      </c>
      <c r="J34" s="27" t="n">
        <f aca="false">IF(COUNT(Aveia!$E32:$Z32)=0,0,MAX(0,IF((J$6-$E$3)&lt;1,0,IFERROR(LOOKUP(2,1/(Aveia!$E32:INDEX(Aveia!$E32:$Z32,MIN(J$6-$E$3,22))&lt;&gt;""),Aveia!$E32:INDEX(Aveia!$E32:$Z32,MIN(J$6-$E$3,22))),0))-IF($G$2,0,IF((J$6-$G$3)&lt;1,0,IFERROR(LOOKUP(2,1/(Aveia!$E32:INDEX(Aveia!$E32:$Z32,MIN(J$6-$G$3,22))&lt;&gt;""),Aveia!$E32:INDEX(Aveia!$E32:$Z32,MIN(J$6-$G$3,22))),0)))))</f>
        <v>0</v>
      </c>
      <c r="K34" s="27" t="n">
        <f aca="false">IF(COUNT(Aveia!$E32:$Z32)=0,0,MAX(0,IF((K$6-$E$3)&lt;1,0,IFERROR(LOOKUP(2,1/(Aveia!$E32:INDEX(Aveia!$E32:$Z32,MIN(K$6-$E$3,22))&lt;&gt;""),Aveia!$E32:INDEX(Aveia!$E32:$Z32,MIN(K$6-$E$3,22))),0))-IF($G$2,0,IF((K$6-$G$3)&lt;1,0,IFERROR(LOOKUP(2,1/(Aveia!$E32:INDEX(Aveia!$E32:$Z32,MIN(K$6-$G$3,22))&lt;&gt;""),Aveia!$E32:INDEX(Aveia!$E32:$Z32,MIN(K$6-$G$3,22))),0)))))</f>
        <v>0</v>
      </c>
      <c r="L34" s="27" t="n">
        <f aca="false">IF(COUNT(Aveia!$E32:$Z32)=0,0,MAX(0,IF((L$6-$E$3)&lt;1,0,IFERROR(LOOKUP(2,1/(Aveia!$E32:INDEX(Aveia!$E32:$Z32,MIN(L$6-$E$3,22))&lt;&gt;""),Aveia!$E32:INDEX(Aveia!$E32:$Z32,MIN(L$6-$E$3,22))),0))-IF($G$2,0,IF((L$6-$G$3)&lt;1,0,IFERROR(LOOKUP(2,1/(Aveia!$E32:INDEX(Aveia!$E32:$Z32,MIN(L$6-$G$3,22))&lt;&gt;""),Aveia!$E32:INDEX(Aveia!$E32:$Z32,MIN(L$6-$G$3,22))),0)))))</f>
        <v>0</v>
      </c>
      <c r="M34" s="27" t="n">
        <f aca="false">IF(COUNT(Aveia!$E32:$Z32)=0,0,MAX(0,IF((M$6-$E$3)&lt;1,0,IFERROR(LOOKUP(2,1/(Aveia!$E32:INDEX(Aveia!$E32:$Z32,MIN(M$6-$E$3,22))&lt;&gt;""),Aveia!$E32:INDEX(Aveia!$E32:$Z32,MIN(M$6-$E$3,22))),0))-IF($G$2,0,IF((M$6-$G$3)&lt;1,0,IFERROR(LOOKUP(2,1/(Aveia!$E32:INDEX(Aveia!$E32:$Z32,MIN(M$6-$G$3,22))&lt;&gt;""),Aveia!$E32:INDEX(Aveia!$E32:$Z32,MIN(M$6-$G$3,22))),0)))))</f>
        <v>0</v>
      </c>
      <c r="N34" s="27" t="n">
        <f aca="false">IF(COUNT(Aveia!$E32:$Z32)=0,0,MAX(0,IF((N$6-$E$3)&lt;1,0,IFERROR(LOOKUP(2,1/(Aveia!$E32:INDEX(Aveia!$E32:$Z32,MIN(N$6-$E$3,22))&lt;&gt;""),Aveia!$E32:INDEX(Aveia!$E32:$Z32,MIN(N$6-$E$3,22))),0))-IF($G$2,0,IF((N$6-$G$3)&lt;1,0,IFERROR(LOOKUP(2,1/(Aveia!$E32:INDEX(Aveia!$E32:$Z32,MIN(N$6-$G$3,22))&lt;&gt;""),Aveia!$E32:INDEX(Aveia!$E32:$Z32,MIN(N$6-$G$3,22))),0)))))</f>
        <v>0</v>
      </c>
      <c r="O34" s="27" t="n">
        <f aca="false">IF(COUNT(Aveia!$E32:$Z32)=0,0,MAX(0,IF((O$6-$E$3)&lt;1,0,IFERROR(LOOKUP(2,1/(Aveia!$E32:INDEX(Aveia!$E32:$Z32,MIN(O$6-$E$3,22))&lt;&gt;""),Aveia!$E32:INDEX(Aveia!$E32:$Z32,MIN(O$6-$E$3,22))),0))-IF($G$2,0,IF((O$6-$G$3)&lt;1,0,IFERROR(LOOKUP(2,1/(Aveia!$E32:INDEX(Aveia!$E32:$Z32,MIN(O$6-$G$3,22))&lt;&gt;""),Aveia!$E32:INDEX(Aveia!$E32:$Z32,MIN(O$6-$G$3,22))),0)))))</f>
        <v>0</v>
      </c>
      <c r="P34" s="27" t="n">
        <f aca="false">IF(COUNT(Aveia!$E32:$Z32)=0,0,MAX(0,IF((P$6-$E$3)&lt;1,0,IFERROR(LOOKUP(2,1/(Aveia!$E32:INDEX(Aveia!$E32:$Z32,MIN(P$6-$E$3,22))&lt;&gt;""),Aveia!$E32:INDEX(Aveia!$E32:$Z32,MIN(P$6-$E$3,22))),0))-IF($G$2,0,IF((P$6-$G$3)&lt;1,0,IFERROR(LOOKUP(2,1/(Aveia!$E32:INDEX(Aveia!$E32:$Z32,MIN(P$6-$G$3,22))&lt;&gt;""),Aveia!$E32:INDEX(Aveia!$E32:$Z32,MIN(P$6-$G$3,22))),0)))))</f>
        <v>0</v>
      </c>
      <c r="Q34" s="27" t="n">
        <f aca="false">IF(COUNT(Aveia!$E32:$Z32)=0,0,MAX(0,IF((Q$6-$E$3)&lt;1,0,IFERROR(LOOKUP(2,1/(Aveia!$E32:INDEX(Aveia!$E32:$Z32,MIN(Q$6-$E$3,22))&lt;&gt;""),Aveia!$E32:INDEX(Aveia!$E32:$Z32,MIN(Q$6-$E$3,22))),0))-IF($G$2,0,IF((Q$6-$G$3)&lt;1,0,IFERROR(LOOKUP(2,1/(Aveia!$E32:INDEX(Aveia!$E32:$Z32,MIN(Q$6-$G$3,22))&lt;&gt;""),Aveia!$E32:INDEX(Aveia!$E32:$Z32,MIN(Q$6-$G$3,22))),0)))))</f>
        <v>0</v>
      </c>
      <c r="R34" s="27" t="n">
        <f aca="false">IF(COUNT(Aveia!$E32:$Z32)=0,0,MAX(0,IF((R$6-$E$3)&lt;1,0,IFERROR(LOOKUP(2,1/(Aveia!$E32:INDEX(Aveia!$E32:$Z32,MIN(R$6-$E$3,22))&lt;&gt;""),Aveia!$E32:INDEX(Aveia!$E32:$Z32,MIN(R$6-$E$3,22))),0))-IF($G$2,0,IF((R$6-$G$3)&lt;1,0,IFERROR(LOOKUP(2,1/(Aveia!$E32:INDEX(Aveia!$E32:$Z32,MIN(R$6-$G$3,22))&lt;&gt;""),Aveia!$E32:INDEX(Aveia!$E32:$Z32,MIN(R$6-$G$3,22))),0)))))</f>
        <v>0</v>
      </c>
      <c r="S34" s="27" t="n">
        <f aca="false">IF(COUNT(Aveia!$E32:$Z32)=0,0,MAX(0,IF((S$6-$E$3)&lt;1,0,IFERROR(LOOKUP(2,1/(Aveia!$E32:INDEX(Aveia!$E32:$Z32,MIN(S$6-$E$3,22))&lt;&gt;""),Aveia!$E32:INDEX(Aveia!$E32:$Z32,MIN(S$6-$E$3,22))),0))-IF($G$2,0,IF((S$6-$G$3)&lt;1,0,IFERROR(LOOKUP(2,1/(Aveia!$E32:INDEX(Aveia!$E32:$Z32,MIN(S$6-$G$3,22))&lt;&gt;""),Aveia!$E32:INDEX(Aveia!$E32:$Z32,MIN(S$6-$G$3,22))),0)))))</f>
        <v>0</v>
      </c>
      <c r="T34" s="27" t="n">
        <f aca="false">IF(COUNT(Aveia!$E32:$Z32)=0,0,MAX(0,IF((T$6-$E$3)&lt;1,0,IFERROR(LOOKUP(2,1/(Aveia!$E32:INDEX(Aveia!$E32:$Z32,MIN(T$6-$E$3,22))&lt;&gt;""),Aveia!$E32:INDEX(Aveia!$E32:$Z32,MIN(T$6-$E$3,22))),0))-IF($G$2,0,IF((T$6-$G$3)&lt;1,0,IFERROR(LOOKUP(2,1/(Aveia!$E32:INDEX(Aveia!$E32:$Z32,MIN(T$6-$G$3,22))&lt;&gt;""),Aveia!$E32:INDEX(Aveia!$E32:$Z32,MIN(T$6-$G$3,22))),0)))))</f>
        <v>0</v>
      </c>
      <c r="U34" s="27" t="n">
        <f aca="false">IF(COUNT(Aveia!$E32:$Z32)=0,0,MAX(0,IF((U$6-$E$3)&lt;1,0,IFERROR(LOOKUP(2,1/(Aveia!$E32:INDEX(Aveia!$E32:$Z32,MIN(U$6-$E$3,22))&lt;&gt;""),Aveia!$E32:INDEX(Aveia!$E32:$Z32,MIN(U$6-$E$3,22))),0))-IF($G$2,0,IF((U$6-$G$3)&lt;1,0,IFERROR(LOOKUP(2,1/(Aveia!$E32:INDEX(Aveia!$E32:$Z32,MIN(U$6-$G$3,22))&lt;&gt;""),Aveia!$E32:INDEX(Aveia!$E32:$Z32,MIN(U$6-$G$3,22))),0)))))</f>
        <v>0</v>
      </c>
      <c r="V34" s="27" t="n">
        <f aca="false">IF(COUNT(Aveia!$E32:$Z32)=0,0,MAX(0,IF((V$6-$E$3)&lt;1,0,IFERROR(LOOKUP(2,1/(Aveia!$E32:INDEX(Aveia!$E32:$Z32,MIN(V$6-$E$3,22))&lt;&gt;""),Aveia!$E32:INDEX(Aveia!$E32:$Z32,MIN(V$6-$E$3,22))),0))-IF($G$2,0,IF((V$6-$G$3)&lt;1,0,IFERROR(LOOKUP(2,1/(Aveia!$E32:INDEX(Aveia!$E32:$Z32,MIN(V$6-$G$3,22))&lt;&gt;""),Aveia!$E32:INDEX(Aveia!$E32:$Z32,MIN(V$6-$G$3,22))),0)))))</f>
        <v>0</v>
      </c>
      <c r="W34" s="27" t="n">
        <f aca="false">IF(COUNT(Aveia!$E32:$Z32)=0,0,MAX(0,IF((W$6-$E$3)&lt;1,0,IFERROR(LOOKUP(2,1/(Aveia!$E32:INDEX(Aveia!$E32:$Z32,MIN(W$6-$E$3,22))&lt;&gt;""),Aveia!$E32:INDEX(Aveia!$E32:$Z32,MIN(W$6-$E$3,22))),0))-IF($G$2,0,IF((W$6-$G$3)&lt;1,0,IFERROR(LOOKUP(2,1/(Aveia!$E32:INDEX(Aveia!$E32:$Z32,MIN(W$6-$G$3,22))&lt;&gt;""),Aveia!$E32:INDEX(Aveia!$E32:$Z32,MIN(W$6-$G$3,22))),0)))))</f>
        <v>0</v>
      </c>
      <c r="X34" s="27" t="n">
        <f aca="false">IF(COUNT(Aveia!$E32:$Z32)=0,0,MAX(0,IF((X$6-$E$3)&lt;1,0,IFERROR(LOOKUP(2,1/(Aveia!$E32:INDEX(Aveia!$E32:$Z32,MIN(X$6-$E$3,22))&lt;&gt;""),Aveia!$E32:INDEX(Aveia!$E32:$Z32,MIN(X$6-$E$3,22))),0))-IF($G$2,0,IF((X$6-$G$3)&lt;1,0,IFERROR(LOOKUP(2,1/(Aveia!$E32:INDEX(Aveia!$E32:$Z32,MIN(X$6-$G$3,22))&lt;&gt;""),Aveia!$E32:INDEX(Aveia!$E32:$Z32,MIN(X$6-$G$3,22))),0)))))</f>
        <v>0</v>
      </c>
      <c r="Y34" s="27" t="n">
        <f aca="false">IF(COUNT(Aveia!$E32:$Z32)=0,0,MAX(0,IF((Y$6-$E$3)&lt;1,0,IFERROR(LOOKUP(2,1/(Aveia!$E32:INDEX(Aveia!$E32:$Z32,MIN(Y$6-$E$3,22))&lt;&gt;""),Aveia!$E32:INDEX(Aveia!$E32:$Z32,MIN(Y$6-$E$3,22))),0))-IF($G$2,0,IF((Y$6-$G$3)&lt;1,0,IFERROR(LOOKUP(2,1/(Aveia!$E32:INDEX(Aveia!$E32:$Z32,MIN(Y$6-$G$3,22))&lt;&gt;""),Aveia!$E32:INDEX(Aveia!$E32:$Z32,MIN(Y$6-$G$3,22))),0)))))</f>
        <v>0</v>
      </c>
      <c r="Z34" s="27" t="n">
        <f aca="false">IF(COUNT(Aveia!$E32:$Z32)=0,0,MAX(0,IF((Z$6-$E$3)&lt;1,0,IFERROR(LOOKUP(2,1/(Aveia!$E32:INDEX(Aveia!$E32:$Z32,MIN(Z$6-$E$3,22))&lt;&gt;""),Aveia!$E32:INDEX(Aveia!$E32:$Z32,MIN(Z$6-$E$3,22))),0))-IF($G$2,0,IF((Z$6-$G$3)&lt;1,0,IFERROR(LOOKUP(2,1/(Aveia!$E32:INDEX(Aveia!$E32:$Z32,MIN(Z$6-$G$3,22))&lt;&gt;""),Aveia!$E32:INDEX(Aveia!$E32:$Z32,MIN(Z$6-$G$3,22))),0)))))</f>
        <v>0</v>
      </c>
      <c r="AA34" s="27" t="n">
        <f aca="false">IF(COUNT(Aveia!$E32:$Z32)=0,0,MAX(0,IF((AA$6-$E$3)&lt;1,0,IFERROR(LOOKUP(2,1/(Aveia!$E32:INDEX(Aveia!$E32:$Z32,MIN(AA$6-$E$3,22))&lt;&gt;""),Aveia!$E32:INDEX(Aveia!$E32:$Z32,MIN(AA$6-$E$3,22))),0))-IF($G$2,0,IF((AA$6-$G$3)&lt;1,0,IFERROR(LOOKUP(2,1/(Aveia!$E32:INDEX(Aveia!$E32:$Z32,MIN(AA$6-$G$3,22))&lt;&gt;""),Aveia!$E32:INDEX(Aveia!$E32:$Z32,MIN(AA$6-$G$3,22))),0)))))</f>
        <v>0</v>
      </c>
      <c r="AB34" s="27" t="n">
        <f aca="false">IF(COUNT(Aveia!$E32:$Z32)=0,0,MAX(0,IF((AB$6-$E$3)&lt;1,0,IFERROR(LOOKUP(2,1/(Aveia!$E32:INDEX(Aveia!$E32:$Z32,MIN(AB$6-$E$3,22))&lt;&gt;""),Aveia!$E32:INDEX(Aveia!$E32:$Z32,MIN(AB$6-$E$3,22))),0))-IF($G$2,0,IF((AB$6-$G$3)&lt;1,0,IFERROR(LOOKUP(2,1/(Aveia!$E32:INDEX(Aveia!$E32:$Z32,MIN(AB$6-$G$3,22))&lt;&gt;""),Aveia!$E32:INDEX(Aveia!$E32:$Z32,MIN(AB$6-$G$3,22))),0)))))</f>
        <v>0</v>
      </c>
      <c r="AC34" s="27" t="n">
        <f aca="false">IF(COUNT(Aveia!$E32:$Z32)=0,0,MAX(0,IF((AC$6-$E$3)&lt;1,0,IFERROR(LOOKUP(2,1/(Aveia!$E32:INDEX(Aveia!$E32:$Z32,MIN(AC$6-$E$3,22))&lt;&gt;""),Aveia!$E32:INDEX(Aveia!$E32:$Z32,MIN(AC$6-$E$3,22))),0))-IF($G$2,0,IF((AC$6-$G$3)&lt;1,0,IFERROR(LOOKUP(2,1/(Aveia!$E32:INDEX(Aveia!$E32:$Z32,MIN(AC$6-$G$3,22))&lt;&gt;""),Aveia!$E32:INDEX(Aveia!$E32:$Z32,MIN(AC$6-$G$3,22))),0)))))</f>
        <v>0</v>
      </c>
      <c r="AD34" s="27" t="n">
        <f aca="false">IF(COUNT(Aveia!$E32:$Z32)=0,0,MAX(0,IF((AD$6-$E$3)&lt;1,0,IFERROR(LOOKUP(2,1/(Aveia!$E32:INDEX(Aveia!$E32:$Z32,MIN(AD$6-$E$3,22))&lt;&gt;""),Aveia!$E32:INDEX(Aveia!$E32:$Z32,MIN(AD$6-$E$3,22))),0))-IF($G$2,0,IF((AD$6-$G$3)&lt;1,0,IFERROR(LOOKUP(2,1/(Aveia!$E32:INDEX(Aveia!$E32:$Z32,MIN(AD$6-$G$3,22))&lt;&gt;""),Aveia!$E32:INDEX(Aveia!$E32:$Z32,MIN(AD$6-$G$3,22))),0)))))</f>
        <v>0</v>
      </c>
      <c r="AE34" s="27" t="n">
        <f aca="false">IF(COUNT(Aveia!$E32:$Z32)=0,0,MAX(0,IF((AE$6-$E$3)&lt;1,0,IFERROR(LOOKUP(2,1/(Aveia!$E32:INDEX(Aveia!$E32:$Z32,MIN(AE$6-$E$3,22))&lt;&gt;""),Aveia!$E32:INDEX(Aveia!$E32:$Z32,MIN(AE$6-$E$3,22))),0))-IF($G$2,0,IF((AE$6-$G$3)&lt;1,0,IFERROR(LOOKUP(2,1/(Aveia!$E32:INDEX(Aveia!$E32:$Z32,MIN(AE$6-$G$3,22))&lt;&gt;""),Aveia!$E32:INDEX(Aveia!$E32:$Z32,MIN(AE$6-$G$3,22))),0)))))</f>
        <v>0</v>
      </c>
      <c r="AF34" s="27" t="n">
        <f aca="false">IF(COUNT(Aveia!$E32:$Z32)=0,0,MAX(0,IF((AF$6-$E$3)&lt;1,0,IFERROR(LOOKUP(2,1/(Aveia!$E32:INDEX(Aveia!$E32:$Z32,MIN(AF$6-$E$3,22))&lt;&gt;""),Aveia!$E32:INDEX(Aveia!$E32:$Z32,MIN(AF$6-$E$3,22))),0))-IF($G$2,0,IF((AF$6-$G$3)&lt;1,0,IFERROR(LOOKUP(2,1/(Aveia!$E32:INDEX(Aveia!$E32:$Z32,MIN(AF$6-$G$3,22))&lt;&gt;""),Aveia!$E32:INDEX(Aveia!$E32:$Z32,MIN(AF$6-$G$3,22))),0)))))</f>
        <v>0</v>
      </c>
      <c r="AG34" s="27" t="n">
        <f aca="false">IF(COUNT(Aveia!$E32:$Z32)=0,0,MAX(0,IF((AG$6-$E$3)&lt;1,0,IFERROR(LOOKUP(2,1/(Aveia!$E32:INDEX(Aveia!$E32:$Z32,MIN(AG$6-$E$3,22))&lt;&gt;""),Aveia!$E32:INDEX(Aveia!$E32:$Z32,MIN(AG$6-$E$3,22))),0))-IF($G$2,0,IF((AG$6-$G$3)&lt;1,0,IFERROR(LOOKUP(2,1/(Aveia!$E32:INDEX(Aveia!$E32:$Z32,MIN(AG$6-$G$3,22))&lt;&gt;""),Aveia!$E32:INDEX(Aveia!$E32:$Z32,MIN(AG$6-$G$3,22))),0)))))</f>
        <v>0</v>
      </c>
      <c r="AH34" s="27" t="n">
        <f aca="false">IF(COUNT(Aveia!$E32:$Z32)=0,0,MAX(0,IF((AH$6-$E$3)&lt;1,0,IFERROR(LOOKUP(2,1/(Aveia!$E32:INDEX(Aveia!$E32:$Z32,MIN(AH$6-$E$3,22))&lt;&gt;""),Aveia!$E32:INDEX(Aveia!$E32:$Z32,MIN(AH$6-$E$3,22))),0))-IF($G$2,0,IF((AH$6-$G$3)&lt;1,0,IFERROR(LOOKUP(2,1/(Aveia!$E32:INDEX(Aveia!$E32:$Z32,MIN(AH$6-$G$3,22))&lt;&gt;""),Aveia!$E32:INDEX(Aveia!$E32:$Z32,MIN(AH$6-$G$3,22))),0)))))</f>
        <v>0</v>
      </c>
      <c r="AI34" s="27" t="n">
        <f aca="false">IF(COUNT(Aveia!$E32:$Z32)=0,0,MAX(0,IF((AI$6-$E$3)&lt;1,0,IFERROR(LOOKUP(2,1/(Aveia!$E32:INDEX(Aveia!$E32:$Z32,MIN(AI$6-$E$3,22))&lt;&gt;""),Aveia!$E32:INDEX(Aveia!$E32:$Z32,MIN(AI$6-$E$3,22))),0))-IF($G$2,0,IF((AI$6-$G$3)&lt;1,0,IFERROR(LOOKUP(2,1/(Aveia!$E32:INDEX(Aveia!$E32:$Z32,MIN(AI$6-$G$3,22))&lt;&gt;""),Aveia!$E32:INDEX(Aveia!$E32:$Z32,MIN(AI$6-$G$3,22))),0)))))</f>
        <v>0</v>
      </c>
      <c r="AJ34" s="27" t="n">
        <f aca="false">IF(COUNT(Aveia!$E32:$Z32)=0,0,MAX(0,IF((AJ$6-$E$3)&lt;1,0,IFERROR(LOOKUP(2,1/(Aveia!$E32:INDEX(Aveia!$E32:$Z32,MIN(AJ$6-$E$3,22))&lt;&gt;""),Aveia!$E32:INDEX(Aveia!$E32:$Z32,MIN(AJ$6-$E$3,22))),0))-IF($G$2,0,IF((AJ$6-$G$3)&lt;1,0,IFERROR(LOOKUP(2,1/(Aveia!$E32:INDEX(Aveia!$E32:$Z32,MIN(AJ$6-$G$3,22))&lt;&gt;""),Aveia!$E32:INDEX(Aveia!$E32:$Z32,MIN(AJ$6-$G$3,22))),0)))))</f>
        <v>0</v>
      </c>
      <c r="AK34" s="27" t="n">
        <f aca="false">IF(COUNT(Aveia!$E32:$Z32)=0,0,MAX(0,IF((AK$6-$E$3)&lt;1,0,IFERROR(LOOKUP(2,1/(Aveia!$E32:INDEX(Aveia!$E32:$Z32,MIN(AK$6-$E$3,22))&lt;&gt;""),Aveia!$E32:INDEX(Aveia!$E32:$Z32,MIN(AK$6-$E$3,22))),0))-IF($G$2,0,IF((AK$6-$G$3)&lt;1,0,IFERROR(LOOKUP(2,1/(Aveia!$E32:INDEX(Aveia!$E32:$Z32,MIN(AK$6-$G$3,22))&lt;&gt;""),Aveia!$E32:INDEX(Aveia!$E32:$Z32,MIN(AK$6-$G$3,22))),0)))))</f>
        <v>0</v>
      </c>
      <c r="AL34" s="27" t="n">
        <f aca="false">IF(COUNT(Aveia!$E32:$Z32)=0,0,MAX(0,IF((AL$6-$E$3)&lt;1,0,IFERROR(LOOKUP(2,1/(Aveia!$E32:INDEX(Aveia!$E32:$Z32,MIN(AL$6-$E$3,22))&lt;&gt;""),Aveia!$E32:INDEX(Aveia!$E32:$Z32,MIN(AL$6-$E$3,22))),0))-IF($G$2,0,IF((AL$6-$G$3)&lt;1,0,IFERROR(LOOKUP(2,1/(Aveia!$E32:INDEX(Aveia!$E32:$Z32,MIN(AL$6-$G$3,22))&lt;&gt;""),Aveia!$E32:INDEX(Aveia!$E32:$Z32,MIN(AL$6-$G$3,22))),0)))))</f>
        <v>0</v>
      </c>
      <c r="AM34" s="27" t="n">
        <f aca="false">IF(COUNT(Aveia!$E32:$Z32)=0,0,MAX(0,IF((AM$6-$E$3)&lt;1,0,IFERROR(LOOKUP(2,1/(Aveia!$E32:INDEX(Aveia!$E32:$Z32,MIN(AM$6-$E$3,22))&lt;&gt;""),Aveia!$E32:INDEX(Aveia!$E32:$Z32,MIN(AM$6-$E$3,22))),0))-IF($G$2,0,IF((AM$6-$G$3)&lt;1,0,IFERROR(LOOKUP(2,1/(Aveia!$E32:INDEX(Aveia!$E32:$Z32,MIN(AM$6-$G$3,22))&lt;&gt;""),Aveia!$E32:INDEX(Aveia!$E32:$Z32,MIN(AM$6-$G$3,22))),0)))))</f>
        <v>0</v>
      </c>
      <c r="AN34" s="27" t="n">
        <f aca="false">IF(COUNT(Aveia!$E32:$Z32)=0,0,MAX(0,IF((AN$6-$E$3)&lt;1,0,IFERROR(LOOKUP(2,1/(Aveia!$E32:INDEX(Aveia!$E32:$Z32,MIN(AN$6-$E$3,22))&lt;&gt;""),Aveia!$E32:INDEX(Aveia!$E32:$Z32,MIN(AN$6-$E$3,22))),0))-IF($G$2,0,IF((AN$6-$G$3)&lt;1,0,IFERROR(LOOKUP(2,1/(Aveia!$E32:INDEX(Aveia!$E32:$Z32,MIN(AN$6-$G$3,22))&lt;&gt;""),Aveia!$E32:INDEX(Aveia!$E32:$Z32,MIN(AN$6-$G$3,22))),0)))))</f>
        <v>0</v>
      </c>
      <c r="AO34" s="27" t="n">
        <f aca="false">IF(COUNT(Aveia!$E32:$Z32)=0,0,MAX(0,IF((AO$6-$E$3)&lt;1,0,IFERROR(LOOKUP(2,1/(Aveia!$E32:INDEX(Aveia!$E32:$Z32,MIN(AO$6-$E$3,22))&lt;&gt;""),Aveia!$E32:INDEX(Aveia!$E32:$Z32,MIN(AO$6-$E$3,22))),0))-IF($G$2,0,IF((AO$6-$G$3)&lt;1,0,IFERROR(LOOKUP(2,1/(Aveia!$E32:INDEX(Aveia!$E32:$Z32,MIN(AO$6-$G$3,22))&lt;&gt;""),Aveia!$E32:INDEX(Aveia!$E32:$Z32,MIN(AO$6-$G$3,22))),0)))))</f>
        <v>0</v>
      </c>
      <c r="AP34" s="27" t="n">
        <f aca="false">IF(COUNT(Aveia!$E32:$Z32)=0,0,MAX(0,IF((AP$6-$E$3)&lt;1,0,IFERROR(LOOKUP(2,1/(Aveia!$E32:INDEX(Aveia!$E32:$Z32,MIN(AP$6-$E$3,22))&lt;&gt;""),Aveia!$E32:INDEX(Aveia!$E32:$Z32,MIN(AP$6-$E$3,22))),0))-IF($G$2,0,IF((AP$6-$G$3)&lt;1,0,IFERROR(LOOKUP(2,1/(Aveia!$E32:INDEX(Aveia!$E32:$Z32,MIN(AP$6-$G$3,22))&lt;&gt;""),Aveia!$E32:INDEX(Aveia!$E32:$Z32,MIN(AP$6-$G$3,22))),0)))))</f>
        <v>0</v>
      </c>
      <c r="AQ34" s="27" t="n">
        <f aca="false">IF(COUNT(Aveia!$E32:$Z32)=0,0,MAX(0,IF((AQ$6-$E$3)&lt;1,0,IFERROR(LOOKUP(2,1/(Aveia!$E32:INDEX(Aveia!$E32:$Z32,MIN(AQ$6-$E$3,22))&lt;&gt;""),Aveia!$E32:INDEX(Aveia!$E32:$Z32,MIN(AQ$6-$E$3,22))),0))-IF($G$2,0,IF((AQ$6-$G$3)&lt;1,0,IFERROR(LOOKUP(2,1/(Aveia!$E32:INDEX(Aveia!$E32:$Z32,MIN(AQ$6-$G$3,22))&lt;&gt;""),Aveia!$E32:INDEX(Aveia!$E32:$Z32,MIN(AQ$6-$G$3,22))),0)))))</f>
        <v>0</v>
      </c>
      <c r="AR34" s="27" t="n">
        <f aca="false">IF(COUNT(Aveia!$E32:$Z32)=0,0,MAX(0,IF((AR$6-$E$3)&lt;1,0,IFERROR(LOOKUP(2,1/(Aveia!$E32:INDEX(Aveia!$E32:$Z32,MIN(AR$6-$E$3,22))&lt;&gt;""),Aveia!$E32:INDEX(Aveia!$E32:$Z32,MIN(AR$6-$E$3,22))),0))-IF($G$2,0,IF((AR$6-$G$3)&lt;1,0,IFERROR(LOOKUP(2,1/(Aveia!$E32:INDEX(Aveia!$E32:$Z32,MIN(AR$6-$G$3,22))&lt;&gt;""),Aveia!$E32:INDEX(Aveia!$E32:$Z32,MIN(AR$6-$G$3,22))),0)))))</f>
        <v>0</v>
      </c>
      <c r="AS34" s="27" t="n">
        <f aca="false">IF(COUNT(Aveia!$E32:$Z32)=0,0,MAX(0,IF((AS$6-$E$3)&lt;1,0,IFERROR(LOOKUP(2,1/(Aveia!$E32:INDEX(Aveia!$E32:$Z32,MIN(AS$6-$E$3,22))&lt;&gt;""),Aveia!$E32:INDEX(Aveia!$E32:$Z32,MIN(AS$6-$E$3,22))),0))-IF($G$2,0,IF((AS$6-$G$3)&lt;1,0,IFERROR(LOOKUP(2,1/(Aveia!$E32:INDEX(Aveia!$E32:$Z32,MIN(AS$6-$G$3,22))&lt;&gt;""),Aveia!$E32:INDEX(Aveia!$E32:$Z32,MIN(AS$6-$G$3,22))),0)))))</f>
        <v>0</v>
      </c>
      <c r="AT34" s="27" t="n">
        <f aca="false">IF(COUNT(Aveia!$E32:$Z32)=0,0,MAX(0,IF((AT$6-$E$3)&lt;1,0,IFERROR(LOOKUP(2,1/(Aveia!$E32:INDEX(Aveia!$E32:$Z32,MIN(AT$6-$E$3,22))&lt;&gt;""),Aveia!$E32:INDEX(Aveia!$E32:$Z32,MIN(AT$6-$E$3,22))),0))-IF($G$2,0,IF((AT$6-$G$3)&lt;1,0,IFERROR(LOOKUP(2,1/(Aveia!$E32:INDEX(Aveia!$E32:$Z32,MIN(AT$6-$G$3,22))&lt;&gt;""),Aveia!$E32:INDEX(Aveia!$E32:$Z32,MIN(AT$6-$G$3,22))),0)))))</f>
        <v>0</v>
      </c>
      <c r="AU34" s="27" t="n">
        <f aca="false">IF(COUNT(Aveia!$E32:$Z32)=0,0,MAX(0,IF((AU$6-$E$3)&lt;1,0,IFERROR(LOOKUP(2,1/(Aveia!$E32:INDEX(Aveia!$E32:$Z32,MIN(AU$6-$E$3,22))&lt;&gt;""),Aveia!$E32:INDEX(Aveia!$E32:$Z32,MIN(AU$6-$E$3,22))),0))-IF($G$2,0,IF((AU$6-$G$3)&lt;1,0,IFERROR(LOOKUP(2,1/(Aveia!$E32:INDEX(Aveia!$E32:$Z32,MIN(AU$6-$G$3,22))&lt;&gt;""),Aveia!$E32:INDEX(Aveia!$E32:$Z32,MIN(AU$6-$G$3,22))),0)))))</f>
        <v>0</v>
      </c>
      <c r="AV34" s="27" t="n">
        <f aca="false">IF(COUNT(Aveia!$E32:$Z32)=0,0,MAX(0,IF((AV$6-$E$3)&lt;1,0,IFERROR(LOOKUP(2,1/(Aveia!$E32:INDEX(Aveia!$E32:$Z32,MIN(AV$6-$E$3,22))&lt;&gt;""),Aveia!$E32:INDEX(Aveia!$E32:$Z32,MIN(AV$6-$E$3,22))),0))-IF($G$2,0,IF((AV$6-$G$3)&lt;1,0,IFERROR(LOOKUP(2,1/(Aveia!$E32:INDEX(Aveia!$E32:$Z32,MIN(AV$6-$G$3,22))&lt;&gt;""),Aveia!$E32:INDEX(Aveia!$E32:$Z32,MIN(AV$6-$G$3,22))),0)))))</f>
        <v>0</v>
      </c>
      <c r="AW34" s="27" t="n">
        <f aca="false">IF(COUNT(Aveia!$E32:$Z32)=0,0,MAX(0,IF((AW$6-$E$3)&lt;1,0,IFERROR(LOOKUP(2,1/(Aveia!$E32:INDEX(Aveia!$E32:$Z32,MIN(AW$6-$E$3,22))&lt;&gt;""),Aveia!$E32:INDEX(Aveia!$E32:$Z32,MIN(AW$6-$E$3,22))),0))-IF($G$2,0,IF((AW$6-$G$3)&lt;1,0,IFERROR(LOOKUP(2,1/(Aveia!$E32:INDEX(Aveia!$E32:$Z32,MIN(AW$6-$G$3,22))&lt;&gt;""),Aveia!$E32:INDEX(Aveia!$E32:$Z32,MIN(AW$6-$G$3,22))),0)))))</f>
        <v>0</v>
      </c>
      <c r="AX34" s="27" t="n">
        <f aca="false">IF(COUNT(Aveia!$E32:$Z32)=0,0,MAX(0,IF((AX$6-$E$3)&lt;1,0,IFERROR(LOOKUP(2,1/(Aveia!$E32:INDEX(Aveia!$E32:$Z32,MIN(AX$6-$E$3,22))&lt;&gt;""),Aveia!$E32:INDEX(Aveia!$E32:$Z32,MIN(AX$6-$E$3,22))),0))-IF($G$2,0,IF((AX$6-$G$3)&lt;1,0,IFERROR(LOOKUP(2,1/(Aveia!$E32:INDEX(Aveia!$E32:$Z32,MIN(AX$6-$G$3,22))&lt;&gt;""),Aveia!$E32:INDEX(Aveia!$E32:$Z32,MIN(AX$6-$G$3,22))),0)))))</f>
        <v>0</v>
      </c>
      <c r="AY34" s="27" t="n">
        <f aca="false">IF(COUNT(Aveia!$E32:$Z32)=0,0,MAX(0,IF((AY$6-$E$3)&lt;1,0,IFERROR(LOOKUP(2,1/(Aveia!$E32:INDEX(Aveia!$E32:$Z32,MIN(AY$6-$E$3,22))&lt;&gt;""),Aveia!$E32:INDEX(Aveia!$E32:$Z32,MIN(AY$6-$E$3,22))),0))-IF($G$2,0,IF((AY$6-$G$3)&lt;1,0,IFERROR(LOOKUP(2,1/(Aveia!$E32:INDEX(Aveia!$E32:$Z32,MIN(AY$6-$G$3,22))&lt;&gt;""),Aveia!$E32:INDEX(Aveia!$E32:$Z32,MIN(AY$6-$G$3,22))),0)))))</f>
        <v>0</v>
      </c>
      <c r="AZ34" s="27" t="n">
        <f aca="false">IF(COUNT(Aveia!$E32:$Z32)=0,0,MAX(0,IF((AZ$6-$E$3)&lt;1,0,IFERROR(LOOKUP(2,1/(Aveia!$E32:INDEX(Aveia!$E32:$Z32,MIN(AZ$6-$E$3,22))&lt;&gt;""),Aveia!$E32:INDEX(Aveia!$E32:$Z32,MIN(AZ$6-$E$3,22))),0))-IF($G$2,0,IF((AZ$6-$G$3)&lt;1,0,IFERROR(LOOKUP(2,1/(Aveia!$E32:INDEX(Aveia!$E32:$Z32,MIN(AZ$6-$G$3,22))&lt;&gt;""),Aveia!$E32:INDEX(Aveia!$E32:$Z32,MIN(AZ$6-$G$3,22))),0)))))</f>
        <v>0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10" t="s">
        <v>172</v>
      </c>
      <c r="D35" s="26" t="n">
        <f aca="false">IF(COUNT(Aveia!$E33:$Z33)&gt;0,N(Aveia!$D33),0)</f>
        <v>0</v>
      </c>
      <c r="E35" s="27" t="n">
        <f aca="false">IF(COUNT(Aveia!$E33:$Z33)=0,0,MAX(0,IF((E$6-$E$3)&lt;1,0,IFERROR(LOOKUP(2,1/(Aveia!$E33:INDEX(Aveia!$E33:$Z33,MIN(E$6-$E$3,22))&lt;&gt;""),Aveia!$E33:INDEX(Aveia!$E33:$Z33,MIN(E$6-$E$3,22))),0))-IF($G$2,0,IF((E$6-$G$3)&lt;1,0,IFERROR(LOOKUP(2,1/(Aveia!$E33:INDEX(Aveia!$E33:$Z33,MIN(E$6-$G$3,22))&lt;&gt;""),Aveia!$E33:INDEX(Aveia!$E33:$Z33,MIN(E$6-$G$3,22))),0)))))</f>
        <v>0</v>
      </c>
      <c r="F35" s="27" t="n">
        <f aca="false">IF(COUNT(Aveia!$E33:$Z33)=0,0,MAX(0,IF((F$6-$E$3)&lt;1,0,IFERROR(LOOKUP(2,1/(Aveia!$E33:INDEX(Aveia!$E33:$Z33,MIN(F$6-$E$3,22))&lt;&gt;""),Aveia!$E33:INDEX(Aveia!$E33:$Z33,MIN(F$6-$E$3,22))),0))-IF($G$2,0,IF((F$6-$G$3)&lt;1,0,IFERROR(LOOKUP(2,1/(Aveia!$E33:INDEX(Aveia!$E33:$Z33,MIN(F$6-$G$3,22))&lt;&gt;""),Aveia!$E33:INDEX(Aveia!$E33:$Z33,MIN(F$6-$G$3,22))),0)))))</f>
        <v>0</v>
      </c>
      <c r="G35" s="27" t="n">
        <f aca="false">IF(COUNT(Aveia!$E33:$Z33)=0,0,MAX(0,IF((G$6-$E$3)&lt;1,0,IFERROR(LOOKUP(2,1/(Aveia!$E33:INDEX(Aveia!$E33:$Z33,MIN(G$6-$E$3,22))&lt;&gt;""),Aveia!$E33:INDEX(Aveia!$E33:$Z33,MIN(G$6-$E$3,22))),0))-IF($G$2,0,IF((G$6-$G$3)&lt;1,0,IFERROR(LOOKUP(2,1/(Aveia!$E33:INDEX(Aveia!$E33:$Z33,MIN(G$6-$G$3,22))&lt;&gt;""),Aveia!$E33:INDEX(Aveia!$E33:$Z33,MIN(G$6-$G$3,22))),0)))))</f>
        <v>0</v>
      </c>
      <c r="H35" s="27" t="n">
        <f aca="false">IF(COUNT(Aveia!$E33:$Z33)=0,0,MAX(0,IF((H$6-$E$3)&lt;1,0,IFERROR(LOOKUP(2,1/(Aveia!$E33:INDEX(Aveia!$E33:$Z33,MIN(H$6-$E$3,22))&lt;&gt;""),Aveia!$E33:INDEX(Aveia!$E33:$Z33,MIN(H$6-$E$3,22))),0))-IF($G$2,0,IF((H$6-$G$3)&lt;1,0,IFERROR(LOOKUP(2,1/(Aveia!$E33:INDEX(Aveia!$E33:$Z33,MIN(H$6-$G$3,22))&lt;&gt;""),Aveia!$E33:INDEX(Aveia!$E33:$Z33,MIN(H$6-$G$3,22))),0)))))</f>
        <v>0</v>
      </c>
      <c r="I35" s="27" t="n">
        <f aca="false">IF(COUNT(Aveia!$E33:$Z33)=0,0,MAX(0,IF((I$6-$E$3)&lt;1,0,IFERROR(LOOKUP(2,1/(Aveia!$E33:INDEX(Aveia!$E33:$Z33,MIN(I$6-$E$3,22))&lt;&gt;""),Aveia!$E33:INDEX(Aveia!$E33:$Z33,MIN(I$6-$E$3,22))),0))-IF($G$2,0,IF((I$6-$G$3)&lt;1,0,IFERROR(LOOKUP(2,1/(Aveia!$E33:INDEX(Aveia!$E33:$Z33,MIN(I$6-$G$3,22))&lt;&gt;""),Aveia!$E33:INDEX(Aveia!$E33:$Z33,MIN(I$6-$G$3,22))),0)))))</f>
        <v>0</v>
      </c>
      <c r="J35" s="27" t="n">
        <f aca="false">IF(COUNT(Aveia!$E33:$Z33)=0,0,MAX(0,IF((J$6-$E$3)&lt;1,0,IFERROR(LOOKUP(2,1/(Aveia!$E33:INDEX(Aveia!$E33:$Z33,MIN(J$6-$E$3,22))&lt;&gt;""),Aveia!$E33:INDEX(Aveia!$E33:$Z33,MIN(J$6-$E$3,22))),0))-IF($G$2,0,IF((J$6-$G$3)&lt;1,0,IFERROR(LOOKUP(2,1/(Aveia!$E33:INDEX(Aveia!$E33:$Z33,MIN(J$6-$G$3,22))&lt;&gt;""),Aveia!$E33:INDEX(Aveia!$E33:$Z33,MIN(J$6-$G$3,22))),0)))))</f>
        <v>0</v>
      </c>
      <c r="K35" s="27" t="n">
        <f aca="false">IF(COUNT(Aveia!$E33:$Z33)=0,0,MAX(0,IF((K$6-$E$3)&lt;1,0,IFERROR(LOOKUP(2,1/(Aveia!$E33:INDEX(Aveia!$E33:$Z33,MIN(K$6-$E$3,22))&lt;&gt;""),Aveia!$E33:INDEX(Aveia!$E33:$Z33,MIN(K$6-$E$3,22))),0))-IF($G$2,0,IF((K$6-$G$3)&lt;1,0,IFERROR(LOOKUP(2,1/(Aveia!$E33:INDEX(Aveia!$E33:$Z33,MIN(K$6-$G$3,22))&lt;&gt;""),Aveia!$E33:INDEX(Aveia!$E33:$Z33,MIN(K$6-$G$3,22))),0)))))</f>
        <v>0</v>
      </c>
      <c r="L35" s="27" t="n">
        <f aca="false">IF(COUNT(Aveia!$E33:$Z33)=0,0,MAX(0,IF((L$6-$E$3)&lt;1,0,IFERROR(LOOKUP(2,1/(Aveia!$E33:INDEX(Aveia!$E33:$Z33,MIN(L$6-$E$3,22))&lt;&gt;""),Aveia!$E33:INDEX(Aveia!$E33:$Z33,MIN(L$6-$E$3,22))),0))-IF($G$2,0,IF((L$6-$G$3)&lt;1,0,IFERROR(LOOKUP(2,1/(Aveia!$E33:INDEX(Aveia!$E33:$Z33,MIN(L$6-$G$3,22))&lt;&gt;""),Aveia!$E33:INDEX(Aveia!$E33:$Z33,MIN(L$6-$G$3,22))),0)))))</f>
        <v>0</v>
      </c>
      <c r="M35" s="27" t="n">
        <f aca="false">IF(COUNT(Aveia!$E33:$Z33)=0,0,MAX(0,IF((M$6-$E$3)&lt;1,0,IFERROR(LOOKUP(2,1/(Aveia!$E33:INDEX(Aveia!$E33:$Z33,MIN(M$6-$E$3,22))&lt;&gt;""),Aveia!$E33:INDEX(Aveia!$E33:$Z33,MIN(M$6-$E$3,22))),0))-IF($G$2,0,IF((M$6-$G$3)&lt;1,0,IFERROR(LOOKUP(2,1/(Aveia!$E33:INDEX(Aveia!$E33:$Z33,MIN(M$6-$G$3,22))&lt;&gt;""),Aveia!$E33:INDEX(Aveia!$E33:$Z33,MIN(M$6-$G$3,22))),0)))))</f>
        <v>0</v>
      </c>
      <c r="N35" s="27" t="n">
        <f aca="false">IF(COUNT(Aveia!$E33:$Z33)=0,0,MAX(0,IF((N$6-$E$3)&lt;1,0,IFERROR(LOOKUP(2,1/(Aveia!$E33:INDEX(Aveia!$E33:$Z33,MIN(N$6-$E$3,22))&lt;&gt;""),Aveia!$E33:INDEX(Aveia!$E33:$Z33,MIN(N$6-$E$3,22))),0))-IF($G$2,0,IF((N$6-$G$3)&lt;1,0,IFERROR(LOOKUP(2,1/(Aveia!$E33:INDEX(Aveia!$E33:$Z33,MIN(N$6-$G$3,22))&lt;&gt;""),Aveia!$E33:INDEX(Aveia!$E33:$Z33,MIN(N$6-$G$3,22))),0)))))</f>
        <v>0</v>
      </c>
      <c r="O35" s="27" t="n">
        <f aca="false">IF(COUNT(Aveia!$E33:$Z33)=0,0,MAX(0,IF((O$6-$E$3)&lt;1,0,IFERROR(LOOKUP(2,1/(Aveia!$E33:INDEX(Aveia!$E33:$Z33,MIN(O$6-$E$3,22))&lt;&gt;""),Aveia!$E33:INDEX(Aveia!$E33:$Z33,MIN(O$6-$E$3,22))),0))-IF($G$2,0,IF((O$6-$G$3)&lt;1,0,IFERROR(LOOKUP(2,1/(Aveia!$E33:INDEX(Aveia!$E33:$Z33,MIN(O$6-$G$3,22))&lt;&gt;""),Aveia!$E33:INDEX(Aveia!$E33:$Z33,MIN(O$6-$G$3,22))),0)))))</f>
        <v>0</v>
      </c>
      <c r="P35" s="27" t="n">
        <f aca="false">IF(COUNT(Aveia!$E33:$Z33)=0,0,MAX(0,IF((P$6-$E$3)&lt;1,0,IFERROR(LOOKUP(2,1/(Aveia!$E33:INDEX(Aveia!$E33:$Z33,MIN(P$6-$E$3,22))&lt;&gt;""),Aveia!$E33:INDEX(Aveia!$E33:$Z33,MIN(P$6-$E$3,22))),0))-IF($G$2,0,IF((P$6-$G$3)&lt;1,0,IFERROR(LOOKUP(2,1/(Aveia!$E33:INDEX(Aveia!$E33:$Z33,MIN(P$6-$G$3,22))&lt;&gt;""),Aveia!$E33:INDEX(Aveia!$E33:$Z33,MIN(P$6-$G$3,22))),0)))))</f>
        <v>0</v>
      </c>
      <c r="Q35" s="27" t="n">
        <f aca="false">IF(COUNT(Aveia!$E33:$Z33)=0,0,MAX(0,IF((Q$6-$E$3)&lt;1,0,IFERROR(LOOKUP(2,1/(Aveia!$E33:INDEX(Aveia!$E33:$Z33,MIN(Q$6-$E$3,22))&lt;&gt;""),Aveia!$E33:INDEX(Aveia!$E33:$Z33,MIN(Q$6-$E$3,22))),0))-IF($G$2,0,IF((Q$6-$G$3)&lt;1,0,IFERROR(LOOKUP(2,1/(Aveia!$E33:INDEX(Aveia!$E33:$Z33,MIN(Q$6-$G$3,22))&lt;&gt;""),Aveia!$E33:INDEX(Aveia!$E33:$Z33,MIN(Q$6-$G$3,22))),0)))))</f>
        <v>0</v>
      </c>
      <c r="R35" s="27" t="n">
        <f aca="false">IF(COUNT(Aveia!$E33:$Z33)=0,0,MAX(0,IF((R$6-$E$3)&lt;1,0,IFERROR(LOOKUP(2,1/(Aveia!$E33:INDEX(Aveia!$E33:$Z33,MIN(R$6-$E$3,22))&lt;&gt;""),Aveia!$E33:INDEX(Aveia!$E33:$Z33,MIN(R$6-$E$3,22))),0))-IF($G$2,0,IF((R$6-$G$3)&lt;1,0,IFERROR(LOOKUP(2,1/(Aveia!$E33:INDEX(Aveia!$E33:$Z33,MIN(R$6-$G$3,22))&lt;&gt;""),Aveia!$E33:INDEX(Aveia!$E33:$Z33,MIN(R$6-$G$3,22))),0)))))</f>
        <v>0</v>
      </c>
      <c r="S35" s="27" t="n">
        <f aca="false">IF(COUNT(Aveia!$E33:$Z33)=0,0,MAX(0,IF((S$6-$E$3)&lt;1,0,IFERROR(LOOKUP(2,1/(Aveia!$E33:INDEX(Aveia!$E33:$Z33,MIN(S$6-$E$3,22))&lt;&gt;""),Aveia!$E33:INDEX(Aveia!$E33:$Z33,MIN(S$6-$E$3,22))),0))-IF($G$2,0,IF((S$6-$G$3)&lt;1,0,IFERROR(LOOKUP(2,1/(Aveia!$E33:INDEX(Aveia!$E33:$Z33,MIN(S$6-$G$3,22))&lt;&gt;""),Aveia!$E33:INDEX(Aveia!$E33:$Z33,MIN(S$6-$G$3,22))),0)))))</f>
        <v>0</v>
      </c>
      <c r="T35" s="27" t="n">
        <f aca="false">IF(COUNT(Aveia!$E33:$Z33)=0,0,MAX(0,IF((T$6-$E$3)&lt;1,0,IFERROR(LOOKUP(2,1/(Aveia!$E33:INDEX(Aveia!$E33:$Z33,MIN(T$6-$E$3,22))&lt;&gt;""),Aveia!$E33:INDEX(Aveia!$E33:$Z33,MIN(T$6-$E$3,22))),0))-IF($G$2,0,IF((T$6-$G$3)&lt;1,0,IFERROR(LOOKUP(2,1/(Aveia!$E33:INDEX(Aveia!$E33:$Z33,MIN(T$6-$G$3,22))&lt;&gt;""),Aveia!$E33:INDEX(Aveia!$E33:$Z33,MIN(T$6-$G$3,22))),0)))))</f>
        <v>0</v>
      </c>
      <c r="U35" s="27" t="n">
        <f aca="false">IF(COUNT(Aveia!$E33:$Z33)=0,0,MAX(0,IF((U$6-$E$3)&lt;1,0,IFERROR(LOOKUP(2,1/(Aveia!$E33:INDEX(Aveia!$E33:$Z33,MIN(U$6-$E$3,22))&lt;&gt;""),Aveia!$E33:INDEX(Aveia!$E33:$Z33,MIN(U$6-$E$3,22))),0))-IF($G$2,0,IF((U$6-$G$3)&lt;1,0,IFERROR(LOOKUP(2,1/(Aveia!$E33:INDEX(Aveia!$E33:$Z33,MIN(U$6-$G$3,22))&lt;&gt;""),Aveia!$E33:INDEX(Aveia!$E33:$Z33,MIN(U$6-$G$3,22))),0)))))</f>
        <v>0</v>
      </c>
      <c r="V35" s="27" t="n">
        <f aca="false">IF(COUNT(Aveia!$E33:$Z33)=0,0,MAX(0,IF((V$6-$E$3)&lt;1,0,IFERROR(LOOKUP(2,1/(Aveia!$E33:INDEX(Aveia!$E33:$Z33,MIN(V$6-$E$3,22))&lt;&gt;""),Aveia!$E33:INDEX(Aveia!$E33:$Z33,MIN(V$6-$E$3,22))),0))-IF($G$2,0,IF((V$6-$G$3)&lt;1,0,IFERROR(LOOKUP(2,1/(Aveia!$E33:INDEX(Aveia!$E33:$Z33,MIN(V$6-$G$3,22))&lt;&gt;""),Aveia!$E33:INDEX(Aveia!$E33:$Z33,MIN(V$6-$G$3,22))),0)))))</f>
        <v>0</v>
      </c>
      <c r="W35" s="27" t="n">
        <f aca="false">IF(COUNT(Aveia!$E33:$Z33)=0,0,MAX(0,IF((W$6-$E$3)&lt;1,0,IFERROR(LOOKUP(2,1/(Aveia!$E33:INDEX(Aveia!$E33:$Z33,MIN(W$6-$E$3,22))&lt;&gt;""),Aveia!$E33:INDEX(Aveia!$E33:$Z33,MIN(W$6-$E$3,22))),0))-IF($G$2,0,IF((W$6-$G$3)&lt;1,0,IFERROR(LOOKUP(2,1/(Aveia!$E33:INDEX(Aveia!$E33:$Z33,MIN(W$6-$G$3,22))&lt;&gt;""),Aveia!$E33:INDEX(Aveia!$E33:$Z33,MIN(W$6-$G$3,22))),0)))))</f>
        <v>0</v>
      </c>
      <c r="X35" s="27" t="n">
        <f aca="false">IF(COUNT(Aveia!$E33:$Z33)=0,0,MAX(0,IF((X$6-$E$3)&lt;1,0,IFERROR(LOOKUP(2,1/(Aveia!$E33:INDEX(Aveia!$E33:$Z33,MIN(X$6-$E$3,22))&lt;&gt;""),Aveia!$E33:INDEX(Aveia!$E33:$Z33,MIN(X$6-$E$3,22))),0))-IF($G$2,0,IF((X$6-$G$3)&lt;1,0,IFERROR(LOOKUP(2,1/(Aveia!$E33:INDEX(Aveia!$E33:$Z33,MIN(X$6-$G$3,22))&lt;&gt;""),Aveia!$E33:INDEX(Aveia!$E33:$Z33,MIN(X$6-$G$3,22))),0)))))</f>
        <v>0</v>
      </c>
      <c r="Y35" s="27" t="n">
        <f aca="false">IF(COUNT(Aveia!$E33:$Z33)=0,0,MAX(0,IF((Y$6-$E$3)&lt;1,0,IFERROR(LOOKUP(2,1/(Aveia!$E33:INDEX(Aveia!$E33:$Z33,MIN(Y$6-$E$3,22))&lt;&gt;""),Aveia!$E33:INDEX(Aveia!$E33:$Z33,MIN(Y$6-$E$3,22))),0))-IF($G$2,0,IF((Y$6-$G$3)&lt;1,0,IFERROR(LOOKUP(2,1/(Aveia!$E33:INDEX(Aveia!$E33:$Z33,MIN(Y$6-$G$3,22))&lt;&gt;""),Aveia!$E33:INDEX(Aveia!$E33:$Z33,MIN(Y$6-$G$3,22))),0)))))</f>
        <v>0</v>
      </c>
      <c r="Z35" s="27" t="n">
        <f aca="false">IF(COUNT(Aveia!$E33:$Z33)=0,0,MAX(0,IF((Z$6-$E$3)&lt;1,0,IFERROR(LOOKUP(2,1/(Aveia!$E33:INDEX(Aveia!$E33:$Z33,MIN(Z$6-$E$3,22))&lt;&gt;""),Aveia!$E33:INDEX(Aveia!$E33:$Z33,MIN(Z$6-$E$3,22))),0))-IF($G$2,0,IF((Z$6-$G$3)&lt;1,0,IFERROR(LOOKUP(2,1/(Aveia!$E33:INDEX(Aveia!$E33:$Z33,MIN(Z$6-$G$3,22))&lt;&gt;""),Aveia!$E33:INDEX(Aveia!$E33:$Z33,MIN(Z$6-$G$3,22))),0)))))</f>
        <v>0</v>
      </c>
      <c r="AA35" s="27" t="n">
        <f aca="false">IF(COUNT(Aveia!$E33:$Z33)=0,0,MAX(0,IF((AA$6-$E$3)&lt;1,0,IFERROR(LOOKUP(2,1/(Aveia!$E33:INDEX(Aveia!$E33:$Z33,MIN(AA$6-$E$3,22))&lt;&gt;""),Aveia!$E33:INDEX(Aveia!$E33:$Z33,MIN(AA$6-$E$3,22))),0))-IF($G$2,0,IF((AA$6-$G$3)&lt;1,0,IFERROR(LOOKUP(2,1/(Aveia!$E33:INDEX(Aveia!$E33:$Z33,MIN(AA$6-$G$3,22))&lt;&gt;""),Aveia!$E33:INDEX(Aveia!$E33:$Z33,MIN(AA$6-$G$3,22))),0)))))</f>
        <v>0</v>
      </c>
      <c r="AB35" s="27" t="n">
        <f aca="false">IF(COUNT(Aveia!$E33:$Z33)=0,0,MAX(0,IF((AB$6-$E$3)&lt;1,0,IFERROR(LOOKUP(2,1/(Aveia!$E33:INDEX(Aveia!$E33:$Z33,MIN(AB$6-$E$3,22))&lt;&gt;""),Aveia!$E33:INDEX(Aveia!$E33:$Z33,MIN(AB$6-$E$3,22))),0))-IF($G$2,0,IF((AB$6-$G$3)&lt;1,0,IFERROR(LOOKUP(2,1/(Aveia!$E33:INDEX(Aveia!$E33:$Z33,MIN(AB$6-$G$3,22))&lt;&gt;""),Aveia!$E33:INDEX(Aveia!$E33:$Z33,MIN(AB$6-$G$3,22))),0)))))</f>
        <v>0</v>
      </c>
      <c r="AC35" s="27" t="n">
        <f aca="false">IF(COUNT(Aveia!$E33:$Z33)=0,0,MAX(0,IF((AC$6-$E$3)&lt;1,0,IFERROR(LOOKUP(2,1/(Aveia!$E33:INDEX(Aveia!$E33:$Z33,MIN(AC$6-$E$3,22))&lt;&gt;""),Aveia!$E33:INDEX(Aveia!$E33:$Z33,MIN(AC$6-$E$3,22))),0))-IF($G$2,0,IF((AC$6-$G$3)&lt;1,0,IFERROR(LOOKUP(2,1/(Aveia!$E33:INDEX(Aveia!$E33:$Z33,MIN(AC$6-$G$3,22))&lt;&gt;""),Aveia!$E33:INDEX(Aveia!$E33:$Z33,MIN(AC$6-$G$3,22))),0)))))</f>
        <v>0</v>
      </c>
      <c r="AD35" s="27" t="n">
        <f aca="false">IF(COUNT(Aveia!$E33:$Z33)=0,0,MAX(0,IF((AD$6-$E$3)&lt;1,0,IFERROR(LOOKUP(2,1/(Aveia!$E33:INDEX(Aveia!$E33:$Z33,MIN(AD$6-$E$3,22))&lt;&gt;""),Aveia!$E33:INDEX(Aveia!$E33:$Z33,MIN(AD$6-$E$3,22))),0))-IF($G$2,0,IF((AD$6-$G$3)&lt;1,0,IFERROR(LOOKUP(2,1/(Aveia!$E33:INDEX(Aveia!$E33:$Z33,MIN(AD$6-$G$3,22))&lt;&gt;""),Aveia!$E33:INDEX(Aveia!$E33:$Z33,MIN(AD$6-$G$3,22))),0)))))</f>
        <v>0</v>
      </c>
      <c r="AE35" s="27" t="n">
        <f aca="false">IF(COUNT(Aveia!$E33:$Z33)=0,0,MAX(0,IF((AE$6-$E$3)&lt;1,0,IFERROR(LOOKUP(2,1/(Aveia!$E33:INDEX(Aveia!$E33:$Z33,MIN(AE$6-$E$3,22))&lt;&gt;""),Aveia!$E33:INDEX(Aveia!$E33:$Z33,MIN(AE$6-$E$3,22))),0))-IF($G$2,0,IF((AE$6-$G$3)&lt;1,0,IFERROR(LOOKUP(2,1/(Aveia!$E33:INDEX(Aveia!$E33:$Z33,MIN(AE$6-$G$3,22))&lt;&gt;""),Aveia!$E33:INDEX(Aveia!$E33:$Z33,MIN(AE$6-$G$3,22))),0)))))</f>
        <v>0</v>
      </c>
      <c r="AF35" s="27" t="n">
        <f aca="false">IF(COUNT(Aveia!$E33:$Z33)=0,0,MAX(0,IF((AF$6-$E$3)&lt;1,0,IFERROR(LOOKUP(2,1/(Aveia!$E33:INDEX(Aveia!$E33:$Z33,MIN(AF$6-$E$3,22))&lt;&gt;""),Aveia!$E33:INDEX(Aveia!$E33:$Z33,MIN(AF$6-$E$3,22))),0))-IF($G$2,0,IF((AF$6-$G$3)&lt;1,0,IFERROR(LOOKUP(2,1/(Aveia!$E33:INDEX(Aveia!$E33:$Z33,MIN(AF$6-$G$3,22))&lt;&gt;""),Aveia!$E33:INDEX(Aveia!$E33:$Z33,MIN(AF$6-$G$3,22))),0)))))</f>
        <v>0</v>
      </c>
      <c r="AG35" s="27" t="n">
        <f aca="false">IF(COUNT(Aveia!$E33:$Z33)=0,0,MAX(0,IF((AG$6-$E$3)&lt;1,0,IFERROR(LOOKUP(2,1/(Aveia!$E33:INDEX(Aveia!$E33:$Z33,MIN(AG$6-$E$3,22))&lt;&gt;""),Aveia!$E33:INDEX(Aveia!$E33:$Z33,MIN(AG$6-$E$3,22))),0))-IF($G$2,0,IF((AG$6-$G$3)&lt;1,0,IFERROR(LOOKUP(2,1/(Aveia!$E33:INDEX(Aveia!$E33:$Z33,MIN(AG$6-$G$3,22))&lt;&gt;""),Aveia!$E33:INDEX(Aveia!$E33:$Z33,MIN(AG$6-$G$3,22))),0)))))</f>
        <v>0</v>
      </c>
      <c r="AH35" s="27" t="n">
        <f aca="false">IF(COUNT(Aveia!$E33:$Z33)=0,0,MAX(0,IF((AH$6-$E$3)&lt;1,0,IFERROR(LOOKUP(2,1/(Aveia!$E33:INDEX(Aveia!$E33:$Z33,MIN(AH$6-$E$3,22))&lt;&gt;""),Aveia!$E33:INDEX(Aveia!$E33:$Z33,MIN(AH$6-$E$3,22))),0))-IF($G$2,0,IF((AH$6-$G$3)&lt;1,0,IFERROR(LOOKUP(2,1/(Aveia!$E33:INDEX(Aveia!$E33:$Z33,MIN(AH$6-$G$3,22))&lt;&gt;""),Aveia!$E33:INDEX(Aveia!$E33:$Z33,MIN(AH$6-$G$3,22))),0)))))</f>
        <v>0</v>
      </c>
      <c r="AI35" s="27" t="n">
        <f aca="false">IF(COUNT(Aveia!$E33:$Z33)=0,0,MAX(0,IF((AI$6-$E$3)&lt;1,0,IFERROR(LOOKUP(2,1/(Aveia!$E33:INDEX(Aveia!$E33:$Z33,MIN(AI$6-$E$3,22))&lt;&gt;""),Aveia!$E33:INDEX(Aveia!$E33:$Z33,MIN(AI$6-$E$3,22))),0))-IF($G$2,0,IF((AI$6-$G$3)&lt;1,0,IFERROR(LOOKUP(2,1/(Aveia!$E33:INDEX(Aveia!$E33:$Z33,MIN(AI$6-$G$3,22))&lt;&gt;""),Aveia!$E33:INDEX(Aveia!$E33:$Z33,MIN(AI$6-$G$3,22))),0)))))</f>
        <v>0</v>
      </c>
      <c r="AJ35" s="27" t="n">
        <f aca="false">IF(COUNT(Aveia!$E33:$Z33)=0,0,MAX(0,IF((AJ$6-$E$3)&lt;1,0,IFERROR(LOOKUP(2,1/(Aveia!$E33:INDEX(Aveia!$E33:$Z33,MIN(AJ$6-$E$3,22))&lt;&gt;""),Aveia!$E33:INDEX(Aveia!$E33:$Z33,MIN(AJ$6-$E$3,22))),0))-IF($G$2,0,IF((AJ$6-$G$3)&lt;1,0,IFERROR(LOOKUP(2,1/(Aveia!$E33:INDEX(Aveia!$E33:$Z33,MIN(AJ$6-$G$3,22))&lt;&gt;""),Aveia!$E33:INDEX(Aveia!$E33:$Z33,MIN(AJ$6-$G$3,22))),0)))))</f>
        <v>0</v>
      </c>
      <c r="AK35" s="27" t="n">
        <f aca="false">IF(COUNT(Aveia!$E33:$Z33)=0,0,MAX(0,IF((AK$6-$E$3)&lt;1,0,IFERROR(LOOKUP(2,1/(Aveia!$E33:INDEX(Aveia!$E33:$Z33,MIN(AK$6-$E$3,22))&lt;&gt;""),Aveia!$E33:INDEX(Aveia!$E33:$Z33,MIN(AK$6-$E$3,22))),0))-IF($G$2,0,IF((AK$6-$G$3)&lt;1,0,IFERROR(LOOKUP(2,1/(Aveia!$E33:INDEX(Aveia!$E33:$Z33,MIN(AK$6-$G$3,22))&lt;&gt;""),Aveia!$E33:INDEX(Aveia!$E33:$Z33,MIN(AK$6-$G$3,22))),0)))))</f>
        <v>0</v>
      </c>
      <c r="AL35" s="27" t="n">
        <f aca="false">IF(COUNT(Aveia!$E33:$Z33)=0,0,MAX(0,IF((AL$6-$E$3)&lt;1,0,IFERROR(LOOKUP(2,1/(Aveia!$E33:INDEX(Aveia!$E33:$Z33,MIN(AL$6-$E$3,22))&lt;&gt;""),Aveia!$E33:INDEX(Aveia!$E33:$Z33,MIN(AL$6-$E$3,22))),0))-IF($G$2,0,IF((AL$6-$G$3)&lt;1,0,IFERROR(LOOKUP(2,1/(Aveia!$E33:INDEX(Aveia!$E33:$Z33,MIN(AL$6-$G$3,22))&lt;&gt;""),Aveia!$E33:INDEX(Aveia!$E33:$Z33,MIN(AL$6-$G$3,22))),0)))))</f>
        <v>0</v>
      </c>
      <c r="AM35" s="27" t="n">
        <f aca="false">IF(COUNT(Aveia!$E33:$Z33)=0,0,MAX(0,IF((AM$6-$E$3)&lt;1,0,IFERROR(LOOKUP(2,1/(Aveia!$E33:INDEX(Aveia!$E33:$Z33,MIN(AM$6-$E$3,22))&lt;&gt;""),Aveia!$E33:INDEX(Aveia!$E33:$Z33,MIN(AM$6-$E$3,22))),0))-IF($G$2,0,IF((AM$6-$G$3)&lt;1,0,IFERROR(LOOKUP(2,1/(Aveia!$E33:INDEX(Aveia!$E33:$Z33,MIN(AM$6-$G$3,22))&lt;&gt;""),Aveia!$E33:INDEX(Aveia!$E33:$Z33,MIN(AM$6-$G$3,22))),0)))))</f>
        <v>0</v>
      </c>
      <c r="AN35" s="27" t="n">
        <f aca="false">IF(COUNT(Aveia!$E33:$Z33)=0,0,MAX(0,IF((AN$6-$E$3)&lt;1,0,IFERROR(LOOKUP(2,1/(Aveia!$E33:INDEX(Aveia!$E33:$Z33,MIN(AN$6-$E$3,22))&lt;&gt;""),Aveia!$E33:INDEX(Aveia!$E33:$Z33,MIN(AN$6-$E$3,22))),0))-IF($G$2,0,IF((AN$6-$G$3)&lt;1,0,IFERROR(LOOKUP(2,1/(Aveia!$E33:INDEX(Aveia!$E33:$Z33,MIN(AN$6-$G$3,22))&lt;&gt;""),Aveia!$E33:INDEX(Aveia!$E33:$Z33,MIN(AN$6-$G$3,22))),0)))))</f>
        <v>0</v>
      </c>
      <c r="AO35" s="27" t="n">
        <f aca="false">IF(COUNT(Aveia!$E33:$Z33)=0,0,MAX(0,IF((AO$6-$E$3)&lt;1,0,IFERROR(LOOKUP(2,1/(Aveia!$E33:INDEX(Aveia!$E33:$Z33,MIN(AO$6-$E$3,22))&lt;&gt;""),Aveia!$E33:INDEX(Aveia!$E33:$Z33,MIN(AO$6-$E$3,22))),0))-IF($G$2,0,IF((AO$6-$G$3)&lt;1,0,IFERROR(LOOKUP(2,1/(Aveia!$E33:INDEX(Aveia!$E33:$Z33,MIN(AO$6-$G$3,22))&lt;&gt;""),Aveia!$E33:INDEX(Aveia!$E33:$Z33,MIN(AO$6-$G$3,22))),0)))))</f>
        <v>0</v>
      </c>
      <c r="AP35" s="27" t="n">
        <f aca="false">IF(COUNT(Aveia!$E33:$Z33)=0,0,MAX(0,IF((AP$6-$E$3)&lt;1,0,IFERROR(LOOKUP(2,1/(Aveia!$E33:INDEX(Aveia!$E33:$Z33,MIN(AP$6-$E$3,22))&lt;&gt;""),Aveia!$E33:INDEX(Aveia!$E33:$Z33,MIN(AP$6-$E$3,22))),0))-IF($G$2,0,IF((AP$6-$G$3)&lt;1,0,IFERROR(LOOKUP(2,1/(Aveia!$E33:INDEX(Aveia!$E33:$Z33,MIN(AP$6-$G$3,22))&lt;&gt;""),Aveia!$E33:INDEX(Aveia!$E33:$Z33,MIN(AP$6-$G$3,22))),0)))))</f>
        <v>0</v>
      </c>
      <c r="AQ35" s="27" t="n">
        <f aca="false">IF(COUNT(Aveia!$E33:$Z33)=0,0,MAX(0,IF((AQ$6-$E$3)&lt;1,0,IFERROR(LOOKUP(2,1/(Aveia!$E33:INDEX(Aveia!$E33:$Z33,MIN(AQ$6-$E$3,22))&lt;&gt;""),Aveia!$E33:INDEX(Aveia!$E33:$Z33,MIN(AQ$6-$E$3,22))),0))-IF($G$2,0,IF((AQ$6-$G$3)&lt;1,0,IFERROR(LOOKUP(2,1/(Aveia!$E33:INDEX(Aveia!$E33:$Z33,MIN(AQ$6-$G$3,22))&lt;&gt;""),Aveia!$E33:INDEX(Aveia!$E33:$Z33,MIN(AQ$6-$G$3,22))),0)))))</f>
        <v>0</v>
      </c>
      <c r="AR35" s="27" t="n">
        <f aca="false">IF(COUNT(Aveia!$E33:$Z33)=0,0,MAX(0,IF((AR$6-$E$3)&lt;1,0,IFERROR(LOOKUP(2,1/(Aveia!$E33:INDEX(Aveia!$E33:$Z33,MIN(AR$6-$E$3,22))&lt;&gt;""),Aveia!$E33:INDEX(Aveia!$E33:$Z33,MIN(AR$6-$E$3,22))),0))-IF($G$2,0,IF((AR$6-$G$3)&lt;1,0,IFERROR(LOOKUP(2,1/(Aveia!$E33:INDEX(Aveia!$E33:$Z33,MIN(AR$6-$G$3,22))&lt;&gt;""),Aveia!$E33:INDEX(Aveia!$E33:$Z33,MIN(AR$6-$G$3,22))),0)))))</f>
        <v>0</v>
      </c>
      <c r="AS35" s="27" t="n">
        <f aca="false">IF(COUNT(Aveia!$E33:$Z33)=0,0,MAX(0,IF((AS$6-$E$3)&lt;1,0,IFERROR(LOOKUP(2,1/(Aveia!$E33:INDEX(Aveia!$E33:$Z33,MIN(AS$6-$E$3,22))&lt;&gt;""),Aveia!$E33:INDEX(Aveia!$E33:$Z33,MIN(AS$6-$E$3,22))),0))-IF($G$2,0,IF((AS$6-$G$3)&lt;1,0,IFERROR(LOOKUP(2,1/(Aveia!$E33:INDEX(Aveia!$E33:$Z33,MIN(AS$6-$G$3,22))&lt;&gt;""),Aveia!$E33:INDEX(Aveia!$E33:$Z33,MIN(AS$6-$G$3,22))),0)))))</f>
        <v>0</v>
      </c>
      <c r="AT35" s="27" t="n">
        <f aca="false">IF(COUNT(Aveia!$E33:$Z33)=0,0,MAX(0,IF((AT$6-$E$3)&lt;1,0,IFERROR(LOOKUP(2,1/(Aveia!$E33:INDEX(Aveia!$E33:$Z33,MIN(AT$6-$E$3,22))&lt;&gt;""),Aveia!$E33:INDEX(Aveia!$E33:$Z33,MIN(AT$6-$E$3,22))),0))-IF($G$2,0,IF((AT$6-$G$3)&lt;1,0,IFERROR(LOOKUP(2,1/(Aveia!$E33:INDEX(Aveia!$E33:$Z33,MIN(AT$6-$G$3,22))&lt;&gt;""),Aveia!$E33:INDEX(Aveia!$E33:$Z33,MIN(AT$6-$G$3,22))),0)))))</f>
        <v>0</v>
      </c>
      <c r="AU35" s="27" t="n">
        <f aca="false">IF(COUNT(Aveia!$E33:$Z33)=0,0,MAX(0,IF((AU$6-$E$3)&lt;1,0,IFERROR(LOOKUP(2,1/(Aveia!$E33:INDEX(Aveia!$E33:$Z33,MIN(AU$6-$E$3,22))&lt;&gt;""),Aveia!$E33:INDEX(Aveia!$E33:$Z33,MIN(AU$6-$E$3,22))),0))-IF($G$2,0,IF((AU$6-$G$3)&lt;1,0,IFERROR(LOOKUP(2,1/(Aveia!$E33:INDEX(Aveia!$E33:$Z33,MIN(AU$6-$G$3,22))&lt;&gt;""),Aveia!$E33:INDEX(Aveia!$E33:$Z33,MIN(AU$6-$G$3,22))),0)))))</f>
        <v>0</v>
      </c>
      <c r="AV35" s="27" t="n">
        <f aca="false">IF(COUNT(Aveia!$E33:$Z33)=0,0,MAX(0,IF((AV$6-$E$3)&lt;1,0,IFERROR(LOOKUP(2,1/(Aveia!$E33:INDEX(Aveia!$E33:$Z33,MIN(AV$6-$E$3,22))&lt;&gt;""),Aveia!$E33:INDEX(Aveia!$E33:$Z33,MIN(AV$6-$E$3,22))),0))-IF($G$2,0,IF((AV$6-$G$3)&lt;1,0,IFERROR(LOOKUP(2,1/(Aveia!$E33:INDEX(Aveia!$E33:$Z33,MIN(AV$6-$G$3,22))&lt;&gt;""),Aveia!$E33:INDEX(Aveia!$E33:$Z33,MIN(AV$6-$G$3,22))),0)))))</f>
        <v>0</v>
      </c>
      <c r="AW35" s="27" t="n">
        <f aca="false">IF(COUNT(Aveia!$E33:$Z33)=0,0,MAX(0,IF((AW$6-$E$3)&lt;1,0,IFERROR(LOOKUP(2,1/(Aveia!$E33:INDEX(Aveia!$E33:$Z33,MIN(AW$6-$E$3,22))&lt;&gt;""),Aveia!$E33:INDEX(Aveia!$E33:$Z33,MIN(AW$6-$E$3,22))),0))-IF($G$2,0,IF((AW$6-$G$3)&lt;1,0,IFERROR(LOOKUP(2,1/(Aveia!$E33:INDEX(Aveia!$E33:$Z33,MIN(AW$6-$G$3,22))&lt;&gt;""),Aveia!$E33:INDEX(Aveia!$E33:$Z33,MIN(AW$6-$G$3,22))),0)))))</f>
        <v>0</v>
      </c>
      <c r="AX35" s="27" t="n">
        <f aca="false">IF(COUNT(Aveia!$E33:$Z33)=0,0,MAX(0,IF((AX$6-$E$3)&lt;1,0,IFERROR(LOOKUP(2,1/(Aveia!$E33:INDEX(Aveia!$E33:$Z33,MIN(AX$6-$E$3,22))&lt;&gt;""),Aveia!$E33:INDEX(Aveia!$E33:$Z33,MIN(AX$6-$E$3,22))),0))-IF($G$2,0,IF((AX$6-$G$3)&lt;1,0,IFERROR(LOOKUP(2,1/(Aveia!$E33:INDEX(Aveia!$E33:$Z33,MIN(AX$6-$G$3,22))&lt;&gt;""),Aveia!$E33:INDEX(Aveia!$E33:$Z33,MIN(AX$6-$G$3,22))),0)))))</f>
        <v>0</v>
      </c>
      <c r="AY35" s="27" t="n">
        <f aca="false">IF(COUNT(Aveia!$E33:$Z33)=0,0,MAX(0,IF((AY$6-$E$3)&lt;1,0,IFERROR(LOOKUP(2,1/(Aveia!$E33:INDEX(Aveia!$E33:$Z33,MIN(AY$6-$E$3,22))&lt;&gt;""),Aveia!$E33:INDEX(Aveia!$E33:$Z33,MIN(AY$6-$E$3,22))),0))-IF($G$2,0,IF((AY$6-$G$3)&lt;1,0,IFERROR(LOOKUP(2,1/(Aveia!$E33:INDEX(Aveia!$E33:$Z33,MIN(AY$6-$G$3,22))&lt;&gt;""),Aveia!$E33:INDEX(Aveia!$E33:$Z33,MIN(AY$6-$G$3,22))),0)))))</f>
        <v>0</v>
      </c>
      <c r="AZ35" s="27" t="n">
        <f aca="false">IF(COUNT(Aveia!$E33:$Z33)=0,0,MAX(0,IF((AZ$6-$E$3)&lt;1,0,IFERROR(LOOKUP(2,1/(Aveia!$E33:INDEX(Aveia!$E33:$Z33,MIN(AZ$6-$E$3,22))&lt;&gt;""),Aveia!$E33:INDEX(Aveia!$E33:$Z33,MIN(AZ$6-$E$3,22))),0))-IF($G$2,0,IF((AZ$6-$G$3)&lt;1,0,IFERROR(LOOKUP(2,1/(Aveia!$E33:INDEX(Aveia!$E33:$Z33,MIN(AZ$6-$G$3,22))&lt;&gt;""),Aveia!$E33:INDEX(Aveia!$E33:$Z33,MIN(AZ$6-$G$3,22))),0)))))</f>
        <v>0</v>
      </c>
    </row>
    <row r="36" customFormat="false" ht="15" hidden="false" customHeight="false" outlineLevel="0" collapsed="false">
      <c r="A36" s="3" t="s">
        <v>193</v>
      </c>
      <c r="B36" s="3" t="s">
        <v>194</v>
      </c>
      <c r="C36" s="10" t="s">
        <v>155</v>
      </c>
      <c r="D36" s="26" t="n">
        <f aca="false">IF(COUNT(Aveia!$E34:$Z34)&gt;0,N(Aveia!$D34),0)</f>
        <v>0</v>
      </c>
      <c r="E36" s="27" t="n">
        <f aca="false">IF(COUNT(Aveia!$E34:$Z34)=0,0,MAX(0,IF((E$6-$E$3)&lt;1,0,IFERROR(LOOKUP(2,1/(Aveia!$E34:INDEX(Aveia!$E34:$Z34,MIN(E$6-$E$3,22))&lt;&gt;""),Aveia!$E34:INDEX(Aveia!$E34:$Z34,MIN(E$6-$E$3,22))),0))-IF($G$2,0,IF((E$6-$G$3)&lt;1,0,IFERROR(LOOKUP(2,1/(Aveia!$E34:INDEX(Aveia!$E34:$Z34,MIN(E$6-$G$3,22))&lt;&gt;""),Aveia!$E34:INDEX(Aveia!$E34:$Z34,MIN(E$6-$G$3,22))),0)))))</f>
        <v>0</v>
      </c>
      <c r="F36" s="27" t="n">
        <f aca="false">IF(COUNT(Aveia!$E34:$Z34)=0,0,MAX(0,IF((F$6-$E$3)&lt;1,0,IFERROR(LOOKUP(2,1/(Aveia!$E34:INDEX(Aveia!$E34:$Z34,MIN(F$6-$E$3,22))&lt;&gt;""),Aveia!$E34:INDEX(Aveia!$E34:$Z34,MIN(F$6-$E$3,22))),0))-IF($G$2,0,IF((F$6-$G$3)&lt;1,0,IFERROR(LOOKUP(2,1/(Aveia!$E34:INDEX(Aveia!$E34:$Z34,MIN(F$6-$G$3,22))&lt;&gt;""),Aveia!$E34:INDEX(Aveia!$E34:$Z34,MIN(F$6-$G$3,22))),0)))))</f>
        <v>0</v>
      </c>
      <c r="G36" s="27" t="n">
        <f aca="false">IF(COUNT(Aveia!$E34:$Z34)=0,0,MAX(0,IF((G$6-$E$3)&lt;1,0,IFERROR(LOOKUP(2,1/(Aveia!$E34:INDEX(Aveia!$E34:$Z34,MIN(G$6-$E$3,22))&lt;&gt;""),Aveia!$E34:INDEX(Aveia!$E34:$Z34,MIN(G$6-$E$3,22))),0))-IF($G$2,0,IF((G$6-$G$3)&lt;1,0,IFERROR(LOOKUP(2,1/(Aveia!$E34:INDEX(Aveia!$E34:$Z34,MIN(G$6-$G$3,22))&lt;&gt;""),Aveia!$E34:INDEX(Aveia!$E34:$Z34,MIN(G$6-$G$3,22))),0)))))</f>
        <v>0</v>
      </c>
      <c r="H36" s="27" t="n">
        <f aca="false">IF(COUNT(Aveia!$E34:$Z34)=0,0,MAX(0,IF((H$6-$E$3)&lt;1,0,IFERROR(LOOKUP(2,1/(Aveia!$E34:INDEX(Aveia!$E34:$Z34,MIN(H$6-$E$3,22))&lt;&gt;""),Aveia!$E34:INDEX(Aveia!$E34:$Z34,MIN(H$6-$E$3,22))),0))-IF($G$2,0,IF((H$6-$G$3)&lt;1,0,IFERROR(LOOKUP(2,1/(Aveia!$E34:INDEX(Aveia!$E34:$Z34,MIN(H$6-$G$3,22))&lt;&gt;""),Aveia!$E34:INDEX(Aveia!$E34:$Z34,MIN(H$6-$G$3,22))),0)))))</f>
        <v>0</v>
      </c>
      <c r="I36" s="27" t="n">
        <f aca="false">IF(COUNT(Aveia!$E34:$Z34)=0,0,MAX(0,IF((I$6-$E$3)&lt;1,0,IFERROR(LOOKUP(2,1/(Aveia!$E34:INDEX(Aveia!$E34:$Z34,MIN(I$6-$E$3,22))&lt;&gt;""),Aveia!$E34:INDEX(Aveia!$E34:$Z34,MIN(I$6-$E$3,22))),0))-IF($G$2,0,IF((I$6-$G$3)&lt;1,0,IFERROR(LOOKUP(2,1/(Aveia!$E34:INDEX(Aveia!$E34:$Z34,MIN(I$6-$G$3,22))&lt;&gt;""),Aveia!$E34:INDEX(Aveia!$E34:$Z34,MIN(I$6-$G$3,22))),0)))))</f>
        <v>0</v>
      </c>
      <c r="J36" s="27" t="n">
        <f aca="false">IF(COUNT(Aveia!$E34:$Z34)=0,0,MAX(0,IF((J$6-$E$3)&lt;1,0,IFERROR(LOOKUP(2,1/(Aveia!$E34:INDEX(Aveia!$E34:$Z34,MIN(J$6-$E$3,22))&lt;&gt;""),Aveia!$E34:INDEX(Aveia!$E34:$Z34,MIN(J$6-$E$3,22))),0))-IF($G$2,0,IF((J$6-$G$3)&lt;1,0,IFERROR(LOOKUP(2,1/(Aveia!$E34:INDEX(Aveia!$E34:$Z34,MIN(J$6-$G$3,22))&lt;&gt;""),Aveia!$E34:INDEX(Aveia!$E34:$Z34,MIN(J$6-$G$3,22))),0)))))</f>
        <v>0</v>
      </c>
      <c r="K36" s="27" t="n">
        <f aca="false">IF(COUNT(Aveia!$E34:$Z34)=0,0,MAX(0,IF((K$6-$E$3)&lt;1,0,IFERROR(LOOKUP(2,1/(Aveia!$E34:INDEX(Aveia!$E34:$Z34,MIN(K$6-$E$3,22))&lt;&gt;""),Aveia!$E34:INDEX(Aveia!$E34:$Z34,MIN(K$6-$E$3,22))),0))-IF($G$2,0,IF((K$6-$G$3)&lt;1,0,IFERROR(LOOKUP(2,1/(Aveia!$E34:INDEX(Aveia!$E34:$Z34,MIN(K$6-$G$3,22))&lt;&gt;""),Aveia!$E34:INDEX(Aveia!$E34:$Z34,MIN(K$6-$G$3,22))),0)))))</f>
        <v>0</v>
      </c>
      <c r="L36" s="27" t="n">
        <f aca="false">IF(COUNT(Aveia!$E34:$Z34)=0,0,MAX(0,IF((L$6-$E$3)&lt;1,0,IFERROR(LOOKUP(2,1/(Aveia!$E34:INDEX(Aveia!$E34:$Z34,MIN(L$6-$E$3,22))&lt;&gt;""),Aveia!$E34:INDEX(Aveia!$E34:$Z34,MIN(L$6-$E$3,22))),0))-IF($G$2,0,IF((L$6-$G$3)&lt;1,0,IFERROR(LOOKUP(2,1/(Aveia!$E34:INDEX(Aveia!$E34:$Z34,MIN(L$6-$G$3,22))&lt;&gt;""),Aveia!$E34:INDEX(Aveia!$E34:$Z34,MIN(L$6-$G$3,22))),0)))))</f>
        <v>0</v>
      </c>
      <c r="M36" s="27" t="n">
        <f aca="false">IF(COUNT(Aveia!$E34:$Z34)=0,0,MAX(0,IF((M$6-$E$3)&lt;1,0,IFERROR(LOOKUP(2,1/(Aveia!$E34:INDEX(Aveia!$E34:$Z34,MIN(M$6-$E$3,22))&lt;&gt;""),Aveia!$E34:INDEX(Aveia!$E34:$Z34,MIN(M$6-$E$3,22))),0))-IF($G$2,0,IF((M$6-$G$3)&lt;1,0,IFERROR(LOOKUP(2,1/(Aveia!$E34:INDEX(Aveia!$E34:$Z34,MIN(M$6-$G$3,22))&lt;&gt;""),Aveia!$E34:INDEX(Aveia!$E34:$Z34,MIN(M$6-$G$3,22))),0)))))</f>
        <v>0</v>
      </c>
      <c r="N36" s="27" t="n">
        <f aca="false">IF(COUNT(Aveia!$E34:$Z34)=0,0,MAX(0,IF((N$6-$E$3)&lt;1,0,IFERROR(LOOKUP(2,1/(Aveia!$E34:INDEX(Aveia!$E34:$Z34,MIN(N$6-$E$3,22))&lt;&gt;""),Aveia!$E34:INDEX(Aveia!$E34:$Z34,MIN(N$6-$E$3,22))),0))-IF($G$2,0,IF((N$6-$G$3)&lt;1,0,IFERROR(LOOKUP(2,1/(Aveia!$E34:INDEX(Aveia!$E34:$Z34,MIN(N$6-$G$3,22))&lt;&gt;""),Aveia!$E34:INDEX(Aveia!$E34:$Z34,MIN(N$6-$G$3,22))),0)))))</f>
        <v>0</v>
      </c>
      <c r="O36" s="27" t="n">
        <f aca="false">IF(COUNT(Aveia!$E34:$Z34)=0,0,MAX(0,IF((O$6-$E$3)&lt;1,0,IFERROR(LOOKUP(2,1/(Aveia!$E34:INDEX(Aveia!$E34:$Z34,MIN(O$6-$E$3,22))&lt;&gt;""),Aveia!$E34:INDEX(Aveia!$E34:$Z34,MIN(O$6-$E$3,22))),0))-IF($G$2,0,IF((O$6-$G$3)&lt;1,0,IFERROR(LOOKUP(2,1/(Aveia!$E34:INDEX(Aveia!$E34:$Z34,MIN(O$6-$G$3,22))&lt;&gt;""),Aveia!$E34:INDEX(Aveia!$E34:$Z34,MIN(O$6-$G$3,22))),0)))))</f>
        <v>0</v>
      </c>
      <c r="P36" s="27" t="n">
        <f aca="false">IF(COUNT(Aveia!$E34:$Z34)=0,0,MAX(0,IF((P$6-$E$3)&lt;1,0,IFERROR(LOOKUP(2,1/(Aveia!$E34:INDEX(Aveia!$E34:$Z34,MIN(P$6-$E$3,22))&lt;&gt;""),Aveia!$E34:INDEX(Aveia!$E34:$Z34,MIN(P$6-$E$3,22))),0))-IF($G$2,0,IF((P$6-$G$3)&lt;1,0,IFERROR(LOOKUP(2,1/(Aveia!$E34:INDEX(Aveia!$E34:$Z34,MIN(P$6-$G$3,22))&lt;&gt;""),Aveia!$E34:INDEX(Aveia!$E34:$Z34,MIN(P$6-$G$3,22))),0)))))</f>
        <v>0</v>
      </c>
      <c r="Q36" s="27" t="n">
        <f aca="false">IF(COUNT(Aveia!$E34:$Z34)=0,0,MAX(0,IF((Q$6-$E$3)&lt;1,0,IFERROR(LOOKUP(2,1/(Aveia!$E34:INDEX(Aveia!$E34:$Z34,MIN(Q$6-$E$3,22))&lt;&gt;""),Aveia!$E34:INDEX(Aveia!$E34:$Z34,MIN(Q$6-$E$3,22))),0))-IF($G$2,0,IF((Q$6-$G$3)&lt;1,0,IFERROR(LOOKUP(2,1/(Aveia!$E34:INDEX(Aveia!$E34:$Z34,MIN(Q$6-$G$3,22))&lt;&gt;""),Aveia!$E34:INDEX(Aveia!$E34:$Z34,MIN(Q$6-$G$3,22))),0)))))</f>
        <v>0</v>
      </c>
      <c r="R36" s="27" t="n">
        <f aca="false">IF(COUNT(Aveia!$E34:$Z34)=0,0,MAX(0,IF((R$6-$E$3)&lt;1,0,IFERROR(LOOKUP(2,1/(Aveia!$E34:INDEX(Aveia!$E34:$Z34,MIN(R$6-$E$3,22))&lt;&gt;""),Aveia!$E34:INDEX(Aveia!$E34:$Z34,MIN(R$6-$E$3,22))),0))-IF($G$2,0,IF((R$6-$G$3)&lt;1,0,IFERROR(LOOKUP(2,1/(Aveia!$E34:INDEX(Aveia!$E34:$Z34,MIN(R$6-$G$3,22))&lt;&gt;""),Aveia!$E34:INDEX(Aveia!$E34:$Z34,MIN(R$6-$G$3,22))),0)))))</f>
        <v>0</v>
      </c>
      <c r="S36" s="27" t="n">
        <f aca="false">IF(COUNT(Aveia!$E34:$Z34)=0,0,MAX(0,IF((S$6-$E$3)&lt;1,0,IFERROR(LOOKUP(2,1/(Aveia!$E34:INDEX(Aveia!$E34:$Z34,MIN(S$6-$E$3,22))&lt;&gt;""),Aveia!$E34:INDEX(Aveia!$E34:$Z34,MIN(S$6-$E$3,22))),0))-IF($G$2,0,IF((S$6-$G$3)&lt;1,0,IFERROR(LOOKUP(2,1/(Aveia!$E34:INDEX(Aveia!$E34:$Z34,MIN(S$6-$G$3,22))&lt;&gt;""),Aveia!$E34:INDEX(Aveia!$E34:$Z34,MIN(S$6-$G$3,22))),0)))))</f>
        <v>0</v>
      </c>
      <c r="T36" s="27" t="n">
        <f aca="false">IF(COUNT(Aveia!$E34:$Z34)=0,0,MAX(0,IF((T$6-$E$3)&lt;1,0,IFERROR(LOOKUP(2,1/(Aveia!$E34:INDEX(Aveia!$E34:$Z34,MIN(T$6-$E$3,22))&lt;&gt;""),Aveia!$E34:INDEX(Aveia!$E34:$Z34,MIN(T$6-$E$3,22))),0))-IF($G$2,0,IF((T$6-$G$3)&lt;1,0,IFERROR(LOOKUP(2,1/(Aveia!$E34:INDEX(Aveia!$E34:$Z34,MIN(T$6-$G$3,22))&lt;&gt;""),Aveia!$E34:INDEX(Aveia!$E34:$Z34,MIN(T$6-$G$3,22))),0)))))</f>
        <v>0</v>
      </c>
      <c r="U36" s="27" t="n">
        <f aca="false">IF(COUNT(Aveia!$E34:$Z34)=0,0,MAX(0,IF((U$6-$E$3)&lt;1,0,IFERROR(LOOKUP(2,1/(Aveia!$E34:INDEX(Aveia!$E34:$Z34,MIN(U$6-$E$3,22))&lt;&gt;""),Aveia!$E34:INDEX(Aveia!$E34:$Z34,MIN(U$6-$E$3,22))),0))-IF($G$2,0,IF((U$6-$G$3)&lt;1,0,IFERROR(LOOKUP(2,1/(Aveia!$E34:INDEX(Aveia!$E34:$Z34,MIN(U$6-$G$3,22))&lt;&gt;""),Aveia!$E34:INDEX(Aveia!$E34:$Z34,MIN(U$6-$G$3,22))),0)))))</f>
        <v>0</v>
      </c>
      <c r="V36" s="27" t="n">
        <f aca="false">IF(COUNT(Aveia!$E34:$Z34)=0,0,MAX(0,IF((V$6-$E$3)&lt;1,0,IFERROR(LOOKUP(2,1/(Aveia!$E34:INDEX(Aveia!$E34:$Z34,MIN(V$6-$E$3,22))&lt;&gt;""),Aveia!$E34:INDEX(Aveia!$E34:$Z34,MIN(V$6-$E$3,22))),0))-IF($G$2,0,IF((V$6-$G$3)&lt;1,0,IFERROR(LOOKUP(2,1/(Aveia!$E34:INDEX(Aveia!$E34:$Z34,MIN(V$6-$G$3,22))&lt;&gt;""),Aveia!$E34:INDEX(Aveia!$E34:$Z34,MIN(V$6-$G$3,22))),0)))))</f>
        <v>0</v>
      </c>
      <c r="W36" s="27" t="n">
        <f aca="false">IF(COUNT(Aveia!$E34:$Z34)=0,0,MAX(0,IF((W$6-$E$3)&lt;1,0,IFERROR(LOOKUP(2,1/(Aveia!$E34:INDEX(Aveia!$E34:$Z34,MIN(W$6-$E$3,22))&lt;&gt;""),Aveia!$E34:INDEX(Aveia!$E34:$Z34,MIN(W$6-$E$3,22))),0))-IF($G$2,0,IF((W$6-$G$3)&lt;1,0,IFERROR(LOOKUP(2,1/(Aveia!$E34:INDEX(Aveia!$E34:$Z34,MIN(W$6-$G$3,22))&lt;&gt;""),Aveia!$E34:INDEX(Aveia!$E34:$Z34,MIN(W$6-$G$3,22))),0)))))</f>
        <v>0</v>
      </c>
      <c r="X36" s="27" t="n">
        <f aca="false">IF(COUNT(Aveia!$E34:$Z34)=0,0,MAX(0,IF((X$6-$E$3)&lt;1,0,IFERROR(LOOKUP(2,1/(Aveia!$E34:INDEX(Aveia!$E34:$Z34,MIN(X$6-$E$3,22))&lt;&gt;""),Aveia!$E34:INDEX(Aveia!$E34:$Z34,MIN(X$6-$E$3,22))),0))-IF($G$2,0,IF((X$6-$G$3)&lt;1,0,IFERROR(LOOKUP(2,1/(Aveia!$E34:INDEX(Aveia!$E34:$Z34,MIN(X$6-$G$3,22))&lt;&gt;""),Aveia!$E34:INDEX(Aveia!$E34:$Z34,MIN(X$6-$G$3,22))),0)))))</f>
        <v>0</v>
      </c>
      <c r="Y36" s="27" t="n">
        <f aca="false">IF(COUNT(Aveia!$E34:$Z34)=0,0,MAX(0,IF((Y$6-$E$3)&lt;1,0,IFERROR(LOOKUP(2,1/(Aveia!$E34:INDEX(Aveia!$E34:$Z34,MIN(Y$6-$E$3,22))&lt;&gt;""),Aveia!$E34:INDEX(Aveia!$E34:$Z34,MIN(Y$6-$E$3,22))),0))-IF($G$2,0,IF((Y$6-$G$3)&lt;1,0,IFERROR(LOOKUP(2,1/(Aveia!$E34:INDEX(Aveia!$E34:$Z34,MIN(Y$6-$G$3,22))&lt;&gt;""),Aveia!$E34:INDEX(Aveia!$E34:$Z34,MIN(Y$6-$G$3,22))),0)))))</f>
        <v>0</v>
      </c>
      <c r="Z36" s="27" t="n">
        <f aca="false">IF(COUNT(Aveia!$E34:$Z34)=0,0,MAX(0,IF((Z$6-$E$3)&lt;1,0,IFERROR(LOOKUP(2,1/(Aveia!$E34:INDEX(Aveia!$E34:$Z34,MIN(Z$6-$E$3,22))&lt;&gt;""),Aveia!$E34:INDEX(Aveia!$E34:$Z34,MIN(Z$6-$E$3,22))),0))-IF($G$2,0,IF((Z$6-$G$3)&lt;1,0,IFERROR(LOOKUP(2,1/(Aveia!$E34:INDEX(Aveia!$E34:$Z34,MIN(Z$6-$G$3,22))&lt;&gt;""),Aveia!$E34:INDEX(Aveia!$E34:$Z34,MIN(Z$6-$G$3,22))),0)))))</f>
        <v>0</v>
      </c>
      <c r="AA36" s="27" t="n">
        <f aca="false">IF(COUNT(Aveia!$E34:$Z34)=0,0,MAX(0,IF((AA$6-$E$3)&lt;1,0,IFERROR(LOOKUP(2,1/(Aveia!$E34:INDEX(Aveia!$E34:$Z34,MIN(AA$6-$E$3,22))&lt;&gt;""),Aveia!$E34:INDEX(Aveia!$E34:$Z34,MIN(AA$6-$E$3,22))),0))-IF($G$2,0,IF((AA$6-$G$3)&lt;1,0,IFERROR(LOOKUP(2,1/(Aveia!$E34:INDEX(Aveia!$E34:$Z34,MIN(AA$6-$G$3,22))&lt;&gt;""),Aveia!$E34:INDEX(Aveia!$E34:$Z34,MIN(AA$6-$G$3,22))),0)))))</f>
        <v>0</v>
      </c>
      <c r="AB36" s="27" t="n">
        <f aca="false">IF(COUNT(Aveia!$E34:$Z34)=0,0,MAX(0,IF((AB$6-$E$3)&lt;1,0,IFERROR(LOOKUP(2,1/(Aveia!$E34:INDEX(Aveia!$E34:$Z34,MIN(AB$6-$E$3,22))&lt;&gt;""),Aveia!$E34:INDEX(Aveia!$E34:$Z34,MIN(AB$6-$E$3,22))),0))-IF($G$2,0,IF((AB$6-$G$3)&lt;1,0,IFERROR(LOOKUP(2,1/(Aveia!$E34:INDEX(Aveia!$E34:$Z34,MIN(AB$6-$G$3,22))&lt;&gt;""),Aveia!$E34:INDEX(Aveia!$E34:$Z34,MIN(AB$6-$G$3,22))),0)))))</f>
        <v>0</v>
      </c>
      <c r="AC36" s="27" t="n">
        <f aca="false">IF(COUNT(Aveia!$E34:$Z34)=0,0,MAX(0,IF((AC$6-$E$3)&lt;1,0,IFERROR(LOOKUP(2,1/(Aveia!$E34:INDEX(Aveia!$E34:$Z34,MIN(AC$6-$E$3,22))&lt;&gt;""),Aveia!$E34:INDEX(Aveia!$E34:$Z34,MIN(AC$6-$E$3,22))),0))-IF($G$2,0,IF((AC$6-$G$3)&lt;1,0,IFERROR(LOOKUP(2,1/(Aveia!$E34:INDEX(Aveia!$E34:$Z34,MIN(AC$6-$G$3,22))&lt;&gt;""),Aveia!$E34:INDEX(Aveia!$E34:$Z34,MIN(AC$6-$G$3,22))),0)))))</f>
        <v>0</v>
      </c>
      <c r="AD36" s="27" t="n">
        <f aca="false">IF(COUNT(Aveia!$E34:$Z34)=0,0,MAX(0,IF((AD$6-$E$3)&lt;1,0,IFERROR(LOOKUP(2,1/(Aveia!$E34:INDEX(Aveia!$E34:$Z34,MIN(AD$6-$E$3,22))&lt;&gt;""),Aveia!$E34:INDEX(Aveia!$E34:$Z34,MIN(AD$6-$E$3,22))),0))-IF($G$2,0,IF((AD$6-$G$3)&lt;1,0,IFERROR(LOOKUP(2,1/(Aveia!$E34:INDEX(Aveia!$E34:$Z34,MIN(AD$6-$G$3,22))&lt;&gt;""),Aveia!$E34:INDEX(Aveia!$E34:$Z34,MIN(AD$6-$G$3,22))),0)))))</f>
        <v>0</v>
      </c>
      <c r="AE36" s="27" t="n">
        <f aca="false">IF(COUNT(Aveia!$E34:$Z34)=0,0,MAX(0,IF((AE$6-$E$3)&lt;1,0,IFERROR(LOOKUP(2,1/(Aveia!$E34:INDEX(Aveia!$E34:$Z34,MIN(AE$6-$E$3,22))&lt;&gt;""),Aveia!$E34:INDEX(Aveia!$E34:$Z34,MIN(AE$6-$E$3,22))),0))-IF($G$2,0,IF((AE$6-$G$3)&lt;1,0,IFERROR(LOOKUP(2,1/(Aveia!$E34:INDEX(Aveia!$E34:$Z34,MIN(AE$6-$G$3,22))&lt;&gt;""),Aveia!$E34:INDEX(Aveia!$E34:$Z34,MIN(AE$6-$G$3,22))),0)))))</f>
        <v>0</v>
      </c>
      <c r="AF36" s="27" t="n">
        <f aca="false">IF(COUNT(Aveia!$E34:$Z34)=0,0,MAX(0,IF((AF$6-$E$3)&lt;1,0,IFERROR(LOOKUP(2,1/(Aveia!$E34:INDEX(Aveia!$E34:$Z34,MIN(AF$6-$E$3,22))&lt;&gt;""),Aveia!$E34:INDEX(Aveia!$E34:$Z34,MIN(AF$6-$E$3,22))),0))-IF($G$2,0,IF((AF$6-$G$3)&lt;1,0,IFERROR(LOOKUP(2,1/(Aveia!$E34:INDEX(Aveia!$E34:$Z34,MIN(AF$6-$G$3,22))&lt;&gt;""),Aveia!$E34:INDEX(Aveia!$E34:$Z34,MIN(AF$6-$G$3,22))),0)))))</f>
        <v>0</v>
      </c>
      <c r="AG36" s="27" t="n">
        <f aca="false">IF(COUNT(Aveia!$E34:$Z34)=0,0,MAX(0,IF((AG$6-$E$3)&lt;1,0,IFERROR(LOOKUP(2,1/(Aveia!$E34:INDEX(Aveia!$E34:$Z34,MIN(AG$6-$E$3,22))&lt;&gt;""),Aveia!$E34:INDEX(Aveia!$E34:$Z34,MIN(AG$6-$E$3,22))),0))-IF($G$2,0,IF((AG$6-$G$3)&lt;1,0,IFERROR(LOOKUP(2,1/(Aveia!$E34:INDEX(Aveia!$E34:$Z34,MIN(AG$6-$G$3,22))&lt;&gt;""),Aveia!$E34:INDEX(Aveia!$E34:$Z34,MIN(AG$6-$G$3,22))),0)))))</f>
        <v>0</v>
      </c>
      <c r="AH36" s="27" t="n">
        <f aca="false">IF(COUNT(Aveia!$E34:$Z34)=0,0,MAX(0,IF((AH$6-$E$3)&lt;1,0,IFERROR(LOOKUP(2,1/(Aveia!$E34:INDEX(Aveia!$E34:$Z34,MIN(AH$6-$E$3,22))&lt;&gt;""),Aveia!$E34:INDEX(Aveia!$E34:$Z34,MIN(AH$6-$E$3,22))),0))-IF($G$2,0,IF((AH$6-$G$3)&lt;1,0,IFERROR(LOOKUP(2,1/(Aveia!$E34:INDEX(Aveia!$E34:$Z34,MIN(AH$6-$G$3,22))&lt;&gt;""),Aveia!$E34:INDEX(Aveia!$E34:$Z34,MIN(AH$6-$G$3,22))),0)))))</f>
        <v>0</v>
      </c>
      <c r="AI36" s="27" t="n">
        <f aca="false">IF(COUNT(Aveia!$E34:$Z34)=0,0,MAX(0,IF((AI$6-$E$3)&lt;1,0,IFERROR(LOOKUP(2,1/(Aveia!$E34:INDEX(Aveia!$E34:$Z34,MIN(AI$6-$E$3,22))&lt;&gt;""),Aveia!$E34:INDEX(Aveia!$E34:$Z34,MIN(AI$6-$E$3,22))),0))-IF($G$2,0,IF((AI$6-$G$3)&lt;1,0,IFERROR(LOOKUP(2,1/(Aveia!$E34:INDEX(Aveia!$E34:$Z34,MIN(AI$6-$G$3,22))&lt;&gt;""),Aveia!$E34:INDEX(Aveia!$E34:$Z34,MIN(AI$6-$G$3,22))),0)))))</f>
        <v>0</v>
      </c>
      <c r="AJ36" s="27" t="n">
        <f aca="false">IF(COUNT(Aveia!$E34:$Z34)=0,0,MAX(0,IF((AJ$6-$E$3)&lt;1,0,IFERROR(LOOKUP(2,1/(Aveia!$E34:INDEX(Aveia!$E34:$Z34,MIN(AJ$6-$E$3,22))&lt;&gt;""),Aveia!$E34:INDEX(Aveia!$E34:$Z34,MIN(AJ$6-$E$3,22))),0))-IF($G$2,0,IF((AJ$6-$G$3)&lt;1,0,IFERROR(LOOKUP(2,1/(Aveia!$E34:INDEX(Aveia!$E34:$Z34,MIN(AJ$6-$G$3,22))&lt;&gt;""),Aveia!$E34:INDEX(Aveia!$E34:$Z34,MIN(AJ$6-$G$3,22))),0)))))</f>
        <v>0</v>
      </c>
      <c r="AK36" s="27" t="n">
        <f aca="false">IF(COUNT(Aveia!$E34:$Z34)=0,0,MAX(0,IF((AK$6-$E$3)&lt;1,0,IFERROR(LOOKUP(2,1/(Aveia!$E34:INDEX(Aveia!$E34:$Z34,MIN(AK$6-$E$3,22))&lt;&gt;""),Aveia!$E34:INDEX(Aveia!$E34:$Z34,MIN(AK$6-$E$3,22))),0))-IF($G$2,0,IF((AK$6-$G$3)&lt;1,0,IFERROR(LOOKUP(2,1/(Aveia!$E34:INDEX(Aveia!$E34:$Z34,MIN(AK$6-$G$3,22))&lt;&gt;""),Aveia!$E34:INDEX(Aveia!$E34:$Z34,MIN(AK$6-$G$3,22))),0)))))</f>
        <v>0</v>
      </c>
      <c r="AL36" s="27" t="n">
        <f aca="false">IF(COUNT(Aveia!$E34:$Z34)=0,0,MAX(0,IF((AL$6-$E$3)&lt;1,0,IFERROR(LOOKUP(2,1/(Aveia!$E34:INDEX(Aveia!$E34:$Z34,MIN(AL$6-$E$3,22))&lt;&gt;""),Aveia!$E34:INDEX(Aveia!$E34:$Z34,MIN(AL$6-$E$3,22))),0))-IF($G$2,0,IF((AL$6-$G$3)&lt;1,0,IFERROR(LOOKUP(2,1/(Aveia!$E34:INDEX(Aveia!$E34:$Z34,MIN(AL$6-$G$3,22))&lt;&gt;""),Aveia!$E34:INDEX(Aveia!$E34:$Z34,MIN(AL$6-$G$3,22))),0)))))</f>
        <v>0</v>
      </c>
      <c r="AM36" s="27" t="n">
        <f aca="false">IF(COUNT(Aveia!$E34:$Z34)=0,0,MAX(0,IF((AM$6-$E$3)&lt;1,0,IFERROR(LOOKUP(2,1/(Aveia!$E34:INDEX(Aveia!$E34:$Z34,MIN(AM$6-$E$3,22))&lt;&gt;""),Aveia!$E34:INDEX(Aveia!$E34:$Z34,MIN(AM$6-$E$3,22))),0))-IF($G$2,0,IF((AM$6-$G$3)&lt;1,0,IFERROR(LOOKUP(2,1/(Aveia!$E34:INDEX(Aveia!$E34:$Z34,MIN(AM$6-$G$3,22))&lt;&gt;""),Aveia!$E34:INDEX(Aveia!$E34:$Z34,MIN(AM$6-$G$3,22))),0)))))</f>
        <v>0</v>
      </c>
      <c r="AN36" s="27" t="n">
        <f aca="false">IF(COUNT(Aveia!$E34:$Z34)=0,0,MAX(0,IF((AN$6-$E$3)&lt;1,0,IFERROR(LOOKUP(2,1/(Aveia!$E34:INDEX(Aveia!$E34:$Z34,MIN(AN$6-$E$3,22))&lt;&gt;""),Aveia!$E34:INDEX(Aveia!$E34:$Z34,MIN(AN$6-$E$3,22))),0))-IF($G$2,0,IF((AN$6-$G$3)&lt;1,0,IFERROR(LOOKUP(2,1/(Aveia!$E34:INDEX(Aveia!$E34:$Z34,MIN(AN$6-$G$3,22))&lt;&gt;""),Aveia!$E34:INDEX(Aveia!$E34:$Z34,MIN(AN$6-$G$3,22))),0)))))</f>
        <v>0</v>
      </c>
      <c r="AO36" s="27" t="n">
        <f aca="false">IF(COUNT(Aveia!$E34:$Z34)=0,0,MAX(0,IF((AO$6-$E$3)&lt;1,0,IFERROR(LOOKUP(2,1/(Aveia!$E34:INDEX(Aveia!$E34:$Z34,MIN(AO$6-$E$3,22))&lt;&gt;""),Aveia!$E34:INDEX(Aveia!$E34:$Z34,MIN(AO$6-$E$3,22))),0))-IF($G$2,0,IF((AO$6-$G$3)&lt;1,0,IFERROR(LOOKUP(2,1/(Aveia!$E34:INDEX(Aveia!$E34:$Z34,MIN(AO$6-$G$3,22))&lt;&gt;""),Aveia!$E34:INDEX(Aveia!$E34:$Z34,MIN(AO$6-$G$3,22))),0)))))</f>
        <v>0</v>
      </c>
      <c r="AP36" s="27" t="n">
        <f aca="false">IF(COUNT(Aveia!$E34:$Z34)=0,0,MAX(0,IF((AP$6-$E$3)&lt;1,0,IFERROR(LOOKUP(2,1/(Aveia!$E34:INDEX(Aveia!$E34:$Z34,MIN(AP$6-$E$3,22))&lt;&gt;""),Aveia!$E34:INDEX(Aveia!$E34:$Z34,MIN(AP$6-$E$3,22))),0))-IF($G$2,0,IF((AP$6-$G$3)&lt;1,0,IFERROR(LOOKUP(2,1/(Aveia!$E34:INDEX(Aveia!$E34:$Z34,MIN(AP$6-$G$3,22))&lt;&gt;""),Aveia!$E34:INDEX(Aveia!$E34:$Z34,MIN(AP$6-$G$3,22))),0)))))</f>
        <v>0</v>
      </c>
      <c r="AQ36" s="27" t="n">
        <f aca="false">IF(COUNT(Aveia!$E34:$Z34)=0,0,MAX(0,IF((AQ$6-$E$3)&lt;1,0,IFERROR(LOOKUP(2,1/(Aveia!$E34:INDEX(Aveia!$E34:$Z34,MIN(AQ$6-$E$3,22))&lt;&gt;""),Aveia!$E34:INDEX(Aveia!$E34:$Z34,MIN(AQ$6-$E$3,22))),0))-IF($G$2,0,IF((AQ$6-$G$3)&lt;1,0,IFERROR(LOOKUP(2,1/(Aveia!$E34:INDEX(Aveia!$E34:$Z34,MIN(AQ$6-$G$3,22))&lt;&gt;""),Aveia!$E34:INDEX(Aveia!$E34:$Z34,MIN(AQ$6-$G$3,22))),0)))))</f>
        <v>0</v>
      </c>
      <c r="AR36" s="27" t="n">
        <f aca="false">IF(COUNT(Aveia!$E34:$Z34)=0,0,MAX(0,IF((AR$6-$E$3)&lt;1,0,IFERROR(LOOKUP(2,1/(Aveia!$E34:INDEX(Aveia!$E34:$Z34,MIN(AR$6-$E$3,22))&lt;&gt;""),Aveia!$E34:INDEX(Aveia!$E34:$Z34,MIN(AR$6-$E$3,22))),0))-IF($G$2,0,IF((AR$6-$G$3)&lt;1,0,IFERROR(LOOKUP(2,1/(Aveia!$E34:INDEX(Aveia!$E34:$Z34,MIN(AR$6-$G$3,22))&lt;&gt;""),Aveia!$E34:INDEX(Aveia!$E34:$Z34,MIN(AR$6-$G$3,22))),0)))))</f>
        <v>0</v>
      </c>
      <c r="AS36" s="27" t="n">
        <f aca="false">IF(COUNT(Aveia!$E34:$Z34)=0,0,MAX(0,IF((AS$6-$E$3)&lt;1,0,IFERROR(LOOKUP(2,1/(Aveia!$E34:INDEX(Aveia!$E34:$Z34,MIN(AS$6-$E$3,22))&lt;&gt;""),Aveia!$E34:INDEX(Aveia!$E34:$Z34,MIN(AS$6-$E$3,22))),0))-IF($G$2,0,IF((AS$6-$G$3)&lt;1,0,IFERROR(LOOKUP(2,1/(Aveia!$E34:INDEX(Aveia!$E34:$Z34,MIN(AS$6-$G$3,22))&lt;&gt;""),Aveia!$E34:INDEX(Aveia!$E34:$Z34,MIN(AS$6-$G$3,22))),0)))))</f>
        <v>0</v>
      </c>
      <c r="AT36" s="27" t="n">
        <f aca="false">IF(COUNT(Aveia!$E34:$Z34)=0,0,MAX(0,IF((AT$6-$E$3)&lt;1,0,IFERROR(LOOKUP(2,1/(Aveia!$E34:INDEX(Aveia!$E34:$Z34,MIN(AT$6-$E$3,22))&lt;&gt;""),Aveia!$E34:INDEX(Aveia!$E34:$Z34,MIN(AT$6-$E$3,22))),0))-IF($G$2,0,IF((AT$6-$G$3)&lt;1,0,IFERROR(LOOKUP(2,1/(Aveia!$E34:INDEX(Aveia!$E34:$Z34,MIN(AT$6-$G$3,22))&lt;&gt;""),Aveia!$E34:INDEX(Aveia!$E34:$Z34,MIN(AT$6-$G$3,22))),0)))))</f>
        <v>0</v>
      </c>
      <c r="AU36" s="27" t="n">
        <f aca="false">IF(COUNT(Aveia!$E34:$Z34)=0,0,MAX(0,IF((AU$6-$E$3)&lt;1,0,IFERROR(LOOKUP(2,1/(Aveia!$E34:INDEX(Aveia!$E34:$Z34,MIN(AU$6-$E$3,22))&lt;&gt;""),Aveia!$E34:INDEX(Aveia!$E34:$Z34,MIN(AU$6-$E$3,22))),0))-IF($G$2,0,IF((AU$6-$G$3)&lt;1,0,IFERROR(LOOKUP(2,1/(Aveia!$E34:INDEX(Aveia!$E34:$Z34,MIN(AU$6-$G$3,22))&lt;&gt;""),Aveia!$E34:INDEX(Aveia!$E34:$Z34,MIN(AU$6-$G$3,22))),0)))))</f>
        <v>0</v>
      </c>
      <c r="AV36" s="27" t="n">
        <f aca="false">IF(COUNT(Aveia!$E34:$Z34)=0,0,MAX(0,IF((AV$6-$E$3)&lt;1,0,IFERROR(LOOKUP(2,1/(Aveia!$E34:INDEX(Aveia!$E34:$Z34,MIN(AV$6-$E$3,22))&lt;&gt;""),Aveia!$E34:INDEX(Aveia!$E34:$Z34,MIN(AV$6-$E$3,22))),0))-IF($G$2,0,IF((AV$6-$G$3)&lt;1,0,IFERROR(LOOKUP(2,1/(Aveia!$E34:INDEX(Aveia!$E34:$Z34,MIN(AV$6-$G$3,22))&lt;&gt;""),Aveia!$E34:INDEX(Aveia!$E34:$Z34,MIN(AV$6-$G$3,22))),0)))))</f>
        <v>0</v>
      </c>
      <c r="AW36" s="27" t="n">
        <f aca="false">IF(COUNT(Aveia!$E34:$Z34)=0,0,MAX(0,IF((AW$6-$E$3)&lt;1,0,IFERROR(LOOKUP(2,1/(Aveia!$E34:INDEX(Aveia!$E34:$Z34,MIN(AW$6-$E$3,22))&lt;&gt;""),Aveia!$E34:INDEX(Aveia!$E34:$Z34,MIN(AW$6-$E$3,22))),0))-IF($G$2,0,IF((AW$6-$G$3)&lt;1,0,IFERROR(LOOKUP(2,1/(Aveia!$E34:INDEX(Aveia!$E34:$Z34,MIN(AW$6-$G$3,22))&lt;&gt;""),Aveia!$E34:INDEX(Aveia!$E34:$Z34,MIN(AW$6-$G$3,22))),0)))))</f>
        <v>0</v>
      </c>
      <c r="AX36" s="27" t="n">
        <f aca="false">IF(COUNT(Aveia!$E34:$Z34)=0,0,MAX(0,IF((AX$6-$E$3)&lt;1,0,IFERROR(LOOKUP(2,1/(Aveia!$E34:INDEX(Aveia!$E34:$Z34,MIN(AX$6-$E$3,22))&lt;&gt;""),Aveia!$E34:INDEX(Aveia!$E34:$Z34,MIN(AX$6-$E$3,22))),0))-IF($G$2,0,IF((AX$6-$G$3)&lt;1,0,IFERROR(LOOKUP(2,1/(Aveia!$E34:INDEX(Aveia!$E34:$Z34,MIN(AX$6-$G$3,22))&lt;&gt;""),Aveia!$E34:INDEX(Aveia!$E34:$Z34,MIN(AX$6-$G$3,22))),0)))))</f>
        <v>0</v>
      </c>
      <c r="AY36" s="27" t="n">
        <f aca="false">IF(COUNT(Aveia!$E34:$Z34)=0,0,MAX(0,IF((AY$6-$E$3)&lt;1,0,IFERROR(LOOKUP(2,1/(Aveia!$E34:INDEX(Aveia!$E34:$Z34,MIN(AY$6-$E$3,22))&lt;&gt;""),Aveia!$E34:INDEX(Aveia!$E34:$Z34,MIN(AY$6-$E$3,22))),0))-IF($G$2,0,IF((AY$6-$G$3)&lt;1,0,IFERROR(LOOKUP(2,1/(Aveia!$E34:INDEX(Aveia!$E34:$Z34,MIN(AY$6-$G$3,22))&lt;&gt;""),Aveia!$E34:INDEX(Aveia!$E34:$Z34,MIN(AY$6-$G$3,22))),0)))))</f>
        <v>0</v>
      </c>
      <c r="AZ36" s="27" t="n">
        <f aca="false">IF(COUNT(Aveia!$E34:$Z34)=0,0,MAX(0,IF((AZ$6-$E$3)&lt;1,0,IFERROR(LOOKUP(2,1/(Aveia!$E34:INDEX(Aveia!$E34:$Z34,MIN(AZ$6-$E$3,22))&lt;&gt;""),Aveia!$E34:INDEX(Aveia!$E34:$Z34,MIN(AZ$6-$E$3,22))),0))-IF($G$2,0,IF((AZ$6-$G$3)&lt;1,0,IFERROR(LOOKUP(2,1/(Aveia!$E34:INDEX(Aveia!$E34:$Z34,MIN(AZ$6-$G$3,22))&lt;&gt;""),Aveia!$E34:INDEX(Aveia!$E34:$Z34,MIN(AZ$6-$G$3,22))),0)))))</f>
        <v>0</v>
      </c>
    </row>
    <row r="37" customFormat="false" ht="15" hidden="false" customHeight="false" outlineLevel="0" collapsed="false">
      <c r="A37" s="3" t="s">
        <v>195</v>
      </c>
      <c r="B37" s="3" t="s">
        <v>196</v>
      </c>
      <c r="C37" s="10" t="s">
        <v>172</v>
      </c>
      <c r="D37" s="26" t="n">
        <f aca="false">IF(COUNT(Aveia!$E35:$Z35)&gt;0,N(Aveia!$D35),0)</f>
        <v>0</v>
      </c>
      <c r="E37" s="27" t="n">
        <f aca="false">IF(COUNT(Aveia!$E35:$Z35)=0,0,MAX(0,IF((E$6-$E$3)&lt;1,0,IFERROR(LOOKUP(2,1/(Aveia!$E35:INDEX(Aveia!$E35:$Z35,MIN(E$6-$E$3,22))&lt;&gt;""),Aveia!$E35:INDEX(Aveia!$E35:$Z35,MIN(E$6-$E$3,22))),0))-IF($G$2,0,IF((E$6-$G$3)&lt;1,0,IFERROR(LOOKUP(2,1/(Aveia!$E35:INDEX(Aveia!$E35:$Z35,MIN(E$6-$G$3,22))&lt;&gt;""),Aveia!$E35:INDEX(Aveia!$E35:$Z35,MIN(E$6-$G$3,22))),0)))))</f>
        <v>0</v>
      </c>
      <c r="F37" s="27" t="n">
        <f aca="false">IF(COUNT(Aveia!$E35:$Z35)=0,0,MAX(0,IF((F$6-$E$3)&lt;1,0,IFERROR(LOOKUP(2,1/(Aveia!$E35:INDEX(Aveia!$E35:$Z35,MIN(F$6-$E$3,22))&lt;&gt;""),Aveia!$E35:INDEX(Aveia!$E35:$Z35,MIN(F$6-$E$3,22))),0))-IF($G$2,0,IF((F$6-$G$3)&lt;1,0,IFERROR(LOOKUP(2,1/(Aveia!$E35:INDEX(Aveia!$E35:$Z35,MIN(F$6-$G$3,22))&lt;&gt;""),Aveia!$E35:INDEX(Aveia!$E35:$Z35,MIN(F$6-$G$3,22))),0)))))</f>
        <v>0</v>
      </c>
      <c r="G37" s="27" t="n">
        <f aca="false">IF(COUNT(Aveia!$E35:$Z35)=0,0,MAX(0,IF((G$6-$E$3)&lt;1,0,IFERROR(LOOKUP(2,1/(Aveia!$E35:INDEX(Aveia!$E35:$Z35,MIN(G$6-$E$3,22))&lt;&gt;""),Aveia!$E35:INDEX(Aveia!$E35:$Z35,MIN(G$6-$E$3,22))),0))-IF($G$2,0,IF((G$6-$G$3)&lt;1,0,IFERROR(LOOKUP(2,1/(Aveia!$E35:INDEX(Aveia!$E35:$Z35,MIN(G$6-$G$3,22))&lt;&gt;""),Aveia!$E35:INDEX(Aveia!$E35:$Z35,MIN(G$6-$G$3,22))),0)))))</f>
        <v>0</v>
      </c>
      <c r="H37" s="27" t="n">
        <f aca="false">IF(COUNT(Aveia!$E35:$Z35)=0,0,MAX(0,IF((H$6-$E$3)&lt;1,0,IFERROR(LOOKUP(2,1/(Aveia!$E35:INDEX(Aveia!$E35:$Z35,MIN(H$6-$E$3,22))&lt;&gt;""),Aveia!$E35:INDEX(Aveia!$E35:$Z35,MIN(H$6-$E$3,22))),0))-IF($G$2,0,IF((H$6-$G$3)&lt;1,0,IFERROR(LOOKUP(2,1/(Aveia!$E35:INDEX(Aveia!$E35:$Z35,MIN(H$6-$G$3,22))&lt;&gt;""),Aveia!$E35:INDEX(Aveia!$E35:$Z35,MIN(H$6-$G$3,22))),0)))))</f>
        <v>0</v>
      </c>
      <c r="I37" s="27" t="n">
        <f aca="false">IF(COUNT(Aveia!$E35:$Z35)=0,0,MAX(0,IF((I$6-$E$3)&lt;1,0,IFERROR(LOOKUP(2,1/(Aveia!$E35:INDEX(Aveia!$E35:$Z35,MIN(I$6-$E$3,22))&lt;&gt;""),Aveia!$E35:INDEX(Aveia!$E35:$Z35,MIN(I$6-$E$3,22))),0))-IF($G$2,0,IF((I$6-$G$3)&lt;1,0,IFERROR(LOOKUP(2,1/(Aveia!$E35:INDEX(Aveia!$E35:$Z35,MIN(I$6-$G$3,22))&lt;&gt;""),Aveia!$E35:INDEX(Aveia!$E35:$Z35,MIN(I$6-$G$3,22))),0)))))</f>
        <v>0</v>
      </c>
      <c r="J37" s="27" t="n">
        <f aca="false">IF(COUNT(Aveia!$E35:$Z35)=0,0,MAX(0,IF((J$6-$E$3)&lt;1,0,IFERROR(LOOKUP(2,1/(Aveia!$E35:INDEX(Aveia!$E35:$Z35,MIN(J$6-$E$3,22))&lt;&gt;""),Aveia!$E35:INDEX(Aveia!$E35:$Z35,MIN(J$6-$E$3,22))),0))-IF($G$2,0,IF((J$6-$G$3)&lt;1,0,IFERROR(LOOKUP(2,1/(Aveia!$E35:INDEX(Aveia!$E35:$Z35,MIN(J$6-$G$3,22))&lt;&gt;""),Aveia!$E35:INDEX(Aveia!$E35:$Z35,MIN(J$6-$G$3,22))),0)))))</f>
        <v>0</v>
      </c>
      <c r="K37" s="27" t="n">
        <f aca="false">IF(COUNT(Aveia!$E35:$Z35)=0,0,MAX(0,IF((K$6-$E$3)&lt;1,0,IFERROR(LOOKUP(2,1/(Aveia!$E35:INDEX(Aveia!$E35:$Z35,MIN(K$6-$E$3,22))&lt;&gt;""),Aveia!$E35:INDEX(Aveia!$E35:$Z35,MIN(K$6-$E$3,22))),0))-IF($G$2,0,IF((K$6-$G$3)&lt;1,0,IFERROR(LOOKUP(2,1/(Aveia!$E35:INDEX(Aveia!$E35:$Z35,MIN(K$6-$G$3,22))&lt;&gt;""),Aveia!$E35:INDEX(Aveia!$E35:$Z35,MIN(K$6-$G$3,22))),0)))))</f>
        <v>0</v>
      </c>
      <c r="L37" s="27" t="n">
        <f aca="false">IF(COUNT(Aveia!$E35:$Z35)=0,0,MAX(0,IF((L$6-$E$3)&lt;1,0,IFERROR(LOOKUP(2,1/(Aveia!$E35:INDEX(Aveia!$E35:$Z35,MIN(L$6-$E$3,22))&lt;&gt;""),Aveia!$E35:INDEX(Aveia!$E35:$Z35,MIN(L$6-$E$3,22))),0))-IF($G$2,0,IF((L$6-$G$3)&lt;1,0,IFERROR(LOOKUP(2,1/(Aveia!$E35:INDEX(Aveia!$E35:$Z35,MIN(L$6-$G$3,22))&lt;&gt;""),Aveia!$E35:INDEX(Aveia!$E35:$Z35,MIN(L$6-$G$3,22))),0)))))</f>
        <v>0</v>
      </c>
      <c r="M37" s="27" t="n">
        <f aca="false">IF(COUNT(Aveia!$E35:$Z35)=0,0,MAX(0,IF((M$6-$E$3)&lt;1,0,IFERROR(LOOKUP(2,1/(Aveia!$E35:INDEX(Aveia!$E35:$Z35,MIN(M$6-$E$3,22))&lt;&gt;""),Aveia!$E35:INDEX(Aveia!$E35:$Z35,MIN(M$6-$E$3,22))),0))-IF($G$2,0,IF((M$6-$G$3)&lt;1,0,IFERROR(LOOKUP(2,1/(Aveia!$E35:INDEX(Aveia!$E35:$Z35,MIN(M$6-$G$3,22))&lt;&gt;""),Aveia!$E35:INDEX(Aveia!$E35:$Z35,MIN(M$6-$G$3,22))),0)))))</f>
        <v>0</v>
      </c>
      <c r="N37" s="27" t="n">
        <f aca="false">IF(COUNT(Aveia!$E35:$Z35)=0,0,MAX(0,IF((N$6-$E$3)&lt;1,0,IFERROR(LOOKUP(2,1/(Aveia!$E35:INDEX(Aveia!$E35:$Z35,MIN(N$6-$E$3,22))&lt;&gt;""),Aveia!$E35:INDEX(Aveia!$E35:$Z35,MIN(N$6-$E$3,22))),0))-IF($G$2,0,IF((N$6-$G$3)&lt;1,0,IFERROR(LOOKUP(2,1/(Aveia!$E35:INDEX(Aveia!$E35:$Z35,MIN(N$6-$G$3,22))&lt;&gt;""),Aveia!$E35:INDEX(Aveia!$E35:$Z35,MIN(N$6-$G$3,22))),0)))))</f>
        <v>0</v>
      </c>
      <c r="O37" s="27" t="n">
        <f aca="false">IF(COUNT(Aveia!$E35:$Z35)=0,0,MAX(0,IF((O$6-$E$3)&lt;1,0,IFERROR(LOOKUP(2,1/(Aveia!$E35:INDEX(Aveia!$E35:$Z35,MIN(O$6-$E$3,22))&lt;&gt;""),Aveia!$E35:INDEX(Aveia!$E35:$Z35,MIN(O$6-$E$3,22))),0))-IF($G$2,0,IF((O$6-$G$3)&lt;1,0,IFERROR(LOOKUP(2,1/(Aveia!$E35:INDEX(Aveia!$E35:$Z35,MIN(O$6-$G$3,22))&lt;&gt;""),Aveia!$E35:INDEX(Aveia!$E35:$Z35,MIN(O$6-$G$3,22))),0)))))</f>
        <v>0</v>
      </c>
      <c r="P37" s="27" t="n">
        <f aca="false">IF(COUNT(Aveia!$E35:$Z35)=0,0,MAX(0,IF((P$6-$E$3)&lt;1,0,IFERROR(LOOKUP(2,1/(Aveia!$E35:INDEX(Aveia!$E35:$Z35,MIN(P$6-$E$3,22))&lt;&gt;""),Aveia!$E35:INDEX(Aveia!$E35:$Z35,MIN(P$6-$E$3,22))),0))-IF($G$2,0,IF((P$6-$G$3)&lt;1,0,IFERROR(LOOKUP(2,1/(Aveia!$E35:INDEX(Aveia!$E35:$Z35,MIN(P$6-$G$3,22))&lt;&gt;""),Aveia!$E35:INDEX(Aveia!$E35:$Z35,MIN(P$6-$G$3,22))),0)))))</f>
        <v>0</v>
      </c>
      <c r="Q37" s="27" t="n">
        <f aca="false">IF(COUNT(Aveia!$E35:$Z35)=0,0,MAX(0,IF((Q$6-$E$3)&lt;1,0,IFERROR(LOOKUP(2,1/(Aveia!$E35:INDEX(Aveia!$E35:$Z35,MIN(Q$6-$E$3,22))&lt;&gt;""),Aveia!$E35:INDEX(Aveia!$E35:$Z35,MIN(Q$6-$E$3,22))),0))-IF($G$2,0,IF((Q$6-$G$3)&lt;1,0,IFERROR(LOOKUP(2,1/(Aveia!$E35:INDEX(Aveia!$E35:$Z35,MIN(Q$6-$G$3,22))&lt;&gt;""),Aveia!$E35:INDEX(Aveia!$E35:$Z35,MIN(Q$6-$G$3,22))),0)))))</f>
        <v>0</v>
      </c>
      <c r="R37" s="27" t="n">
        <f aca="false">IF(COUNT(Aveia!$E35:$Z35)=0,0,MAX(0,IF((R$6-$E$3)&lt;1,0,IFERROR(LOOKUP(2,1/(Aveia!$E35:INDEX(Aveia!$E35:$Z35,MIN(R$6-$E$3,22))&lt;&gt;""),Aveia!$E35:INDEX(Aveia!$E35:$Z35,MIN(R$6-$E$3,22))),0))-IF($G$2,0,IF((R$6-$G$3)&lt;1,0,IFERROR(LOOKUP(2,1/(Aveia!$E35:INDEX(Aveia!$E35:$Z35,MIN(R$6-$G$3,22))&lt;&gt;""),Aveia!$E35:INDEX(Aveia!$E35:$Z35,MIN(R$6-$G$3,22))),0)))))</f>
        <v>0</v>
      </c>
      <c r="S37" s="27" t="n">
        <f aca="false">IF(COUNT(Aveia!$E35:$Z35)=0,0,MAX(0,IF((S$6-$E$3)&lt;1,0,IFERROR(LOOKUP(2,1/(Aveia!$E35:INDEX(Aveia!$E35:$Z35,MIN(S$6-$E$3,22))&lt;&gt;""),Aveia!$E35:INDEX(Aveia!$E35:$Z35,MIN(S$6-$E$3,22))),0))-IF($G$2,0,IF((S$6-$G$3)&lt;1,0,IFERROR(LOOKUP(2,1/(Aveia!$E35:INDEX(Aveia!$E35:$Z35,MIN(S$6-$G$3,22))&lt;&gt;""),Aveia!$E35:INDEX(Aveia!$E35:$Z35,MIN(S$6-$G$3,22))),0)))))</f>
        <v>0</v>
      </c>
      <c r="T37" s="27" t="n">
        <f aca="false">IF(COUNT(Aveia!$E35:$Z35)=0,0,MAX(0,IF((T$6-$E$3)&lt;1,0,IFERROR(LOOKUP(2,1/(Aveia!$E35:INDEX(Aveia!$E35:$Z35,MIN(T$6-$E$3,22))&lt;&gt;""),Aveia!$E35:INDEX(Aveia!$E35:$Z35,MIN(T$6-$E$3,22))),0))-IF($G$2,0,IF((T$6-$G$3)&lt;1,0,IFERROR(LOOKUP(2,1/(Aveia!$E35:INDEX(Aveia!$E35:$Z35,MIN(T$6-$G$3,22))&lt;&gt;""),Aveia!$E35:INDEX(Aveia!$E35:$Z35,MIN(T$6-$G$3,22))),0)))))</f>
        <v>0</v>
      </c>
      <c r="U37" s="27" t="n">
        <f aca="false">IF(COUNT(Aveia!$E35:$Z35)=0,0,MAX(0,IF((U$6-$E$3)&lt;1,0,IFERROR(LOOKUP(2,1/(Aveia!$E35:INDEX(Aveia!$E35:$Z35,MIN(U$6-$E$3,22))&lt;&gt;""),Aveia!$E35:INDEX(Aveia!$E35:$Z35,MIN(U$6-$E$3,22))),0))-IF($G$2,0,IF((U$6-$G$3)&lt;1,0,IFERROR(LOOKUP(2,1/(Aveia!$E35:INDEX(Aveia!$E35:$Z35,MIN(U$6-$G$3,22))&lt;&gt;""),Aveia!$E35:INDEX(Aveia!$E35:$Z35,MIN(U$6-$G$3,22))),0)))))</f>
        <v>0</v>
      </c>
      <c r="V37" s="27" t="n">
        <f aca="false">IF(COUNT(Aveia!$E35:$Z35)=0,0,MAX(0,IF((V$6-$E$3)&lt;1,0,IFERROR(LOOKUP(2,1/(Aveia!$E35:INDEX(Aveia!$E35:$Z35,MIN(V$6-$E$3,22))&lt;&gt;""),Aveia!$E35:INDEX(Aveia!$E35:$Z35,MIN(V$6-$E$3,22))),0))-IF($G$2,0,IF((V$6-$G$3)&lt;1,0,IFERROR(LOOKUP(2,1/(Aveia!$E35:INDEX(Aveia!$E35:$Z35,MIN(V$6-$G$3,22))&lt;&gt;""),Aveia!$E35:INDEX(Aveia!$E35:$Z35,MIN(V$6-$G$3,22))),0)))))</f>
        <v>0</v>
      </c>
      <c r="W37" s="27" t="n">
        <f aca="false">IF(COUNT(Aveia!$E35:$Z35)=0,0,MAX(0,IF((W$6-$E$3)&lt;1,0,IFERROR(LOOKUP(2,1/(Aveia!$E35:INDEX(Aveia!$E35:$Z35,MIN(W$6-$E$3,22))&lt;&gt;""),Aveia!$E35:INDEX(Aveia!$E35:$Z35,MIN(W$6-$E$3,22))),0))-IF($G$2,0,IF((W$6-$G$3)&lt;1,0,IFERROR(LOOKUP(2,1/(Aveia!$E35:INDEX(Aveia!$E35:$Z35,MIN(W$6-$G$3,22))&lt;&gt;""),Aveia!$E35:INDEX(Aveia!$E35:$Z35,MIN(W$6-$G$3,22))),0)))))</f>
        <v>0</v>
      </c>
      <c r="X37" s="27" t="n">
        <f aca="false">IF(COUNT(Aveia!$E35:$Z35)=0,0,MAX(0,IF((X$6-$E$3)&lt;1,0,IFERROR(LOOKUP(2,1/(Aveia!$E35:INDEX(Aveia!$E35:$Z35,MIN(X$6-$E$3,22))&lt;&gt;""),Aveia!$E35:INDEX(Aveia!$E35:$Z35,MIN(X$6-$E$3,22))),0))-IF($G$2,0,IF((X$6-$G$3)&lt;1,0,IFERROR(LOOKUP(2,1/(Aveia!$E35:INDEX(Aveia!$E35:$Z35,MIN(X$6-$G$3,22))&lt;&gt;""),Aveia!$E35:INDEX(Aveia!$E35:$Z35,MIN(X$6-$G$3,22))),0)))))</f>
        <v>0</v>
      </c>
      <c r="Y37" s="27" t="n">
        <f aca="false">IF(COUNT(Aveia!$E35:$Z35)=0,0,MAX(0,IF((Y$6-$E$3)&lt;1,0,IFERROR(LOOKUP(2,1/(Aveia!$E35:INDEX(Aveia!$E35:$Z35,MIN(Y$6-$E$3,22))&lt;&gt;""),Aveia!$E35:INDEX(Aveia!$E35:$Z35,MIN(Y$6-$E$3,22))),0))-IF($G$2,0,IF((Y$6-$G$3)&lt;1,0,IFERROR(LOOKUP(2,1/(Aveia!$E35:INDEX(Aveia!$E35:$Z35,MIN(Y$6-$G$3,22))&lt;&gt;""),Aveia!$E35:INDEX(Aveia!$E35:$Z35,MIN(Y$6-$G$3,22))),0)))))</f>
        <v>0</v>
      </c>
      <c r="Z37" s="27" t="n">
        <f aca="false">IF(COUNT(Aveia!$E35:$Z35)=0,0,MAX(0,IF((Z$6-$E$3)&lt;1,0,IFERROR(LOOKUP(2,1/(Aveia!$E35:INDEX(Aveia!$E35:$Z35,MIN(Z$6-$E$3,22))&lt;&gt;""),Aveia!$E35:INDEX(Aveia!$E35:$Z35,MIN(Z$6-$E$3,22))),0))-IF($G$2,0,IF((Z$6-$G$3)&lt;1,0,IFERROR(LOOKUP(2,1/(Aveia!$E35:INDEX(Aveia!$E35:$Z35,MIN(Z$6-$G$3,22))&lt;&gt;""),Aveia!$E35:INDEX(Aveia!$E35:$Z35,MIN(Z$6-$G$3,22))),0)))))</f>
        <v>0</v>
      </c>
      <c r="AA37" s="27" t="n">
        <f aca="false">IF(COUNT(Aveia!$E35:$Z35)=0,0,MAX(0,IF((AA$6-$E$3)&lt;1,0,IFERROR(LOOKUP(2,1/(Aveia!$E35:INDEX(Aveia!$E35:$Z35,MIN(AA$6-$E$3,22))&lt;&gt;""),Aveia!$E35:INDEX(Aveia!$E35:$Z35,MIN(AA$6-$E$3,22))),0))-IF($G$2,0,IF((AA$6-$G$3)&lt;1,0,IFERROR(LOOKUP(2,1/(Aveia!$E35:INDEX(Aveia!$E35:$Z35,MIN(AA$6-$G$3,22))&lt;&gt;""),Aveia!$E35:INDEX(Aveia!$E35:$Z35,MIN(AA$6-$G$3,22))),0)))))</f>
        <v>0</v>
      </c>
      <c r="AB37" s="27" t="n">
        <f aca="false">IF(COUNT(Aveia!$E35:$Z35)=0,0,MAX(0,IF((AB$6-$E$3)&lt;1,0,IFERROR(LOOKUP(2,1/(Aveia!$E35:INDEX(Aveia!$E35:$Z35,MIN(AB$6-$E$3,22))&lt;&gt;""),Aveia!$E35:INDEX(Aveia!$E35:$Z35,MIN(AB$6-$E$3,22))),0))-IF($G$2,0,IF((AB$6-$G$3)&lt;1,0,IFERROR(LOOKUP(2,1/(Aveia!$E35:INDEX(Aveia!$E35:$Z35,MIN(AB$6-$G$3,22))&lt;&gt;""),Aveia!$E35:INDEX(Aveia!$E35:$Z35,MIN(AB$6-$G$3,22))),0)))))</f>
        <v>0</v>
      </c>
      <c r="AC37" s="27" t="n">
        <f aca="false">IF(COUNT(Aveia!$E35:$Z35)=0,0,MAX(0,IF((AC$6-$E$3)&lt;1,0,IFERROR(LOOKUP(2,1/(Aveia!$E35:INDEX(Aveia!$E35:$Z35,MIN(AC$6-$E$3,22))&lt;&gt;""),Aveia!$E35:INDEX(Aveia!$E35:$Z35,MIN(AC$6-$E$3,22))),0))-IF($G$2,0,IF((AC$6-$G$3)&lt;1,0,IFERROR(LOOKUP(2,1/(Aveia!$E35:INDEX(Aveia!$E35:$Z35,MIN(AC$6-$G$3,22))&lt;&gt;""),Aveia!$E35:INDEX(Aveia!$E35:$Z35,MIN(AC$6-$G$3,22))),0)))))</f>
        <v>0</v>
      </c>
      <c r="AD37" s="27" t="n">
        <f aca="false">IF(COUNT(Aveia!$E35:$Z35)=0,0,MAX(0,IF((AD$6-$E$3)&lt;1,0,IFERROR(LOOKUP(2,1/(Aveia!$E35:INDEX(Aveia!$E35:$Z35,MIN(AD$6-$E$3,22))&lt;&gt;""),Aveia!$E35:INDEX(Aveia!$E35:$Z35,MIN(AD$6-$E$3,22))),0))-IF($G$2,0,IF((AD$6-$G$3)&lt;1,0,IFERROR(LOOKUP(2,1/(Aveia!$E35:INDEX(Aveia!$E35:$Z35,MIN(AD$6-$G$3,22))&lt;&gt;""),Aveia!$E35:INDEX(Aveia!$E35:$Z35,MIN(AD$6-$G$3,22))),0)))))</f>
        <v>0</v>
      </c>
      <c r="AE37" s="27" t="n">
        <f aca="false">IF(COUNT(Aveia!$E35:$Z35)=0,0,MAX(0,IF((AE$6-$E$3)&lt;1,0,IFERROR(LOOKUP(2,1/(Aveia!$E35:INDEX(Aveia!$E35:$Z35,MIN(AE$6-$E$3,22))&lt;&gt;""),Aveia!$E35:INDEX(Aveia!$E35:$Z35,MIN(AE$6-$E$3,22))),0))-IF($G$2,0,IF((AE$6-$G$3)&lt;1,0,IFERROR(LOOKUP(2,1/(Aveia!$E35:INDEX(Aveia!$E35:$Z35,MIN(AE$6-$G$3,22))&lt;&gt;""),Aveia!$E35:INDEX(Aveia!$E35:$Z35,MIN(AE$6-$G$3,22))),0)))))</f>
        <v>0</v>
      </c>
      <c r="AF37" s="27" t="n">
        <f aca="false">IF(COUNT(Aveia!$E35:$Z35)=0,0,MAX(0,IF((AF$6-$E$3)&lt;1,0,IFERROR(LOOKUP(2,1/(Aveia!$E35:INDEX(Aveia!$E35:$Z35,MIN(AF$6-$E$3,22))&lt;&gt;""),Aveia!$E35:INDEX(Aveia!$E35:$Z35,MIN(AF$6-$E$3,22))),0))-IF($G$2,0,IF((AF$6-$G$3)&lt;1,0,IFERROR(LOOKUP(2,1/(Aveia!$E35:INDEX(Aveia!$E35:$Z35,MIN(AF$6-$G$3,22))&lt;&gt;""),Aveia!$E35:INDEX(Aveia!$E35:$Z35,MIN(AF$6-$G$3,22))),0)))))</f>
        <v>0</v>
      </c>
      <c r="AG37" s="27" t="n">
        <f aca="false">IF(COUNT(Aveia!$E35:$Z35)=0,0,MAX(0,IF((AG$6-$E$3)&lt;1,0,IFERROR(LOOKUP(2,1/(Aveia!$E35:INDEX(Aveia!$E35:$Z35,MIN(AG$6-$E$3,22))&lt;&gt;""),Aveia!$E35:INDEX(Aveia!$E35:$Z35,MIN(AG$6-$E$3,22))),0))-IF($G$2,0,IF((AG$6-$G$3)&lt;1,0,IFERROR(LOOKUP(2,1/(Aveia!$E35:INDEX(Aveia!$E35:$Z35,MIN(AG$6-$G$3,22))&lt;&gt;""),Aveia!$E35:INDEX(Aveia!$E35:$Z35,MIN(AG$6-$G$3,22))),0)))))</f>
        <v>0</v>
      </c>
      <c r="AH37" s="27" t="n">
        <f aca="false">IF(COUNT(Aveia!$E35:$Z35)=0,0,MAX(0,IF((AH$6-$E$3)&lt;1,0,IFERROR(LOOKUP(2,1/(Aveia!$E35:INDEX(Aveia!$E35:$Z35,MIN(AH$6-$E$3,22))&lt;&gt;""),Aveia!$E35:INDEX(Aveia!$E35:$Z35,MIN(AH$6-$E$3,22))),0))-IF($G$2,0,IF((AH$6-$G$3)&lt;1,0,IFERROR(LOOKUP(2,1/(Aveia!$E35:INDEX(Aveia!$E35:$Z35,MIN(AH$6-$G$3,22))&lt;&gt;""),Aveia!$E35:INDEX(Aveia!$E35:$Z35,MIN(AH$6-$G$3,22))),0)))))</f>
        <v>0</v>
      </c>
      <c r="AI37" s="27" t="n">
        <f aca="false">IF(COUNT(Aveia!$E35:$Z35)=0,0,MAX(0,IF((AI$6-$E$3)&lt;1,0,IFERROR(LOOKUP(2,1/(Aveia!$E35:INDEX(Aveia!$E35:$Z35,MIN(AI$6-$E$3,22))&lt;&gt;""),Aveia!$E35:INDEX(Aveia!$E35:$Z35,MIN(AI$6-$E$3,22))),0))-IF($G$2,0,IF((AI$6-$G$3)&lt;1,0,IFERROR(LOOKUP(2,1/(Aveia!$E35:INDEX(Aveia!$E35:$Z35,MIN(AI$6-$G$3,22))&lt;&gt;""),Aveia!$E35:INDEX(Aveia!$E35:$Z35,MIN(AI$6-$G$3,22))),0)))))</f>
        <v>0</v>
      </c>
      <c r="AJ37" s="27" t="n">
        <f aca="false">IF(COUNT(Aveia!$E35:$Z35)=0,0,MAX(0,IF((AJ$6-$E$3)&lt;1,0,IFERROR(LOOKUP(2,1/(Aveia!$E35:INDEX(Aveia!$E35:$Z35,MIN(AJ$6-$E$3,22))&lt;&gt;""),Aveia!$E35:INDEX(Aveia!$E35:$Z35,MIN(AJ$6-$E$3,22))),0))-IF($G$2,0,IF((AJ$6-$G$3)&lt;1,0,IFERROR(LOOKUP(2,1/(Aveia!$E35:INDEX(Aveia!$E35:$Z35,MIN(AJ$6-$G$3,22))&lt;&gt;""),Aveia!$E35:INDEX(Aveia!$E35:$Z35,MIN(AJ$6-$G$3,22))),0)))))</f>
        <v>0</v>
      </c>
      <c r="AK37" s="27" t="n">
        <f aca="false">IF(COUNT(Aveia!$E35:$Z35)=0,0,MAX(0,IF((AK$6-$E$3)&lt;1,0,IFERROR(LOOKUP(2,1/(Aveia!$E35:INDEX(Aveia!$E35:$Z35,MIN(AK$6-$E$3,22))&lt;&gt;""),Aveia!$E35:INDEX(Aveia!$E35:$Z35,MIN(AK$6-$E$3,22))),0))-IF($G$2,0,IF((AK$6-$G$3)&lt;1,0,IFERROR(LOOKUP(2,1/(Aveia!$E35:INDEX(Aveia!$E35:$Z35,MIN(AK$6-$G$3,22))&lt;&gt;""),Aveia!$E35:INDEX(Aveia!$E35:$Z35,MIN(AK$6-$G$3,22))),0)))))</f>
        <v>0</v>
      </c>
      <c r="AL37" s="27" t="n">
        <f aca="false">IF(COUNT(Aveia!$E35:$Z35)=0,0,MAX(0,IF((AL$6-$E$3)&lt;1,0,IFERROR(LOOKUP(2,1/(Aveia!$E35:INDEX(Aveia!$E35:$Z35,MIN(AL$6-$E$3,22))&lt;&gt;""),Aveia!$E35:INDEX(Aveia!$E35:$Z35,MIN(AL$6-$E$3,22))),0))-IF($G$2,0,IF((AL$6-$G$3)&lt;1,0,IFERROR(LOOKUP(2,1/(Aveia!$E35:INDEX(Aveia!$E35:$Z35,MIN(AL$6-$G$3,22))&lt;&gt;""),Aveia!$E35:INDEX(Aveia!$E35:$Z35,MIN(AL$6-$G$3,22))),0)))))</f>
        <v>0</v>
      </c>
      <c r="AM37" s="27" t="n">
        <f aca="false">IF(COUNT(Aveia!$E35:$Z35)=0,0,MAX(0,IF((AM$6-$E$3)&lt;1,0,IFERROR(LOOKUP(2,1/(Aveia!$E35:INDEX(Aveia!$E35:$Z35,MIN(AM$6-$E$3,22))&lt;&gt;""),Aveia!$E35:INDEX(Aveia!$E35:$Z35,MIN(AM$6-$E$3,22))),0))-IF($G$2,0,IF((AM$6-$G$3)&lt;1,0,IFERROR(LOOKUP(2,1/(Aveia!$E35:INDEX(Aveia!$E35:$Z35,MIN(AM$6-$G$3,22))&lt;&gt;""),Aveia!$E35:INDEX(Aveia!$E35:$Z35,MIN(AM$6-$G$3,22))),0)))))</f>
        <v>0</v>
      </c>
      <c r="AN37" s="27" t="n">
        <f aca="false">IF(COUNT(Aveia!$E35:$Z35)=0,0,MAX(0,IF((AN$6-$E$3)&lt;1,0,IFERROR(LOOKUP(2,1/(Aveia!$E35:INDEX(Aveia!$E35:$Z35,MIN(AN$6-$E$3,22))&lt;&gt;""),Aveia!$E35:INDEX(Aveia!$E35:$Z35,MIN(AN$6-$E$3,22))),0))-IF($G$2,0,IF((AN$6-$G$3)&lt;1,0,IFERROR(LOOKUP(2,1/(Aveia!$E35:INDEX(Aveia!$E35:$Z35,MIN(AN$6-$G$3,22))&lt;&gt;""),Aveia!$E35:INDEX(Aveia!$E35:$Z35,MIN(AN$6-$G$3,22))),0)))))</f>
        <v>0</v>
      </c>
      <c r="AO37" s="27" t="n">
        <f aca="false">IF(COUNT(Aveia!$E35:$Z35)=0,0,MAX(0,IF((AO$6-$E$3)&lt;1,0,IFERROR(LOOKUP(2,1/(Aveia!$E35:INDEX(Aveia!$E35:$Z35,MIN(AO$6-$E$3,22))&lt;&gt;""),Aveia!$E35:INDEX(Aveia!$E35:$Z35,MIN(AO$6-$E$3,22))),0))-IF($G$2,0,IF((AO$6-$G$3)&lt;1,0,IFERROR(LOOKUP(2,1/(Aveia!$E35:INDEX(Aveia!$E35:$Z35,MIN(AO$6-$G$3,22))&lt;&gt;""),Aveia!$E35:INDEX(Aveia!$E35:$Z35,MIN(AO$6-$G$3,22))),0)))))</f>
        <v>0</v>
      </c>
      <c r="AP37" s="27" t="n">
        <f aca="false">IF(COUNT(Aveia!$E35:$Z35)=0,0,MAX(0,IF((AP$6-$E$3)&lt;1,0,IFERROR(LOOKUP(2,1/(Aveia!$E35:INDEX(Aveia!$E35:$Z35,MIN(AP$6-$E$3,22))&lt;&gt;""),Aveia!$E35:INDEX(Aveia!$E35:$Z35,MIN(AP$6-$E$3,22))),0))-IF($G$2,0,IF((AP$6-$G$3)&lt;1,0,IFERROR(LOOKUP(2,1/(Aveia!$E35:INDEX(Aveia!$E35:$Z35,MIN(AP$6-$G$3,22))&lt;&gt;""),Aveia!$E35:INDEX(Aveia!$E35:$Z35,MIN(AP$6-$G$3,22))),0)))))</f>
        <v>0</v>
      </c>
      <c r="AQ37" s="27" t="n">
        <f aca="false">IF(COUNT(Aveia!$E35:$Z35)=0,0,MAX(0,IF((AQ$6-$E$3)&lt;1,0,IFERROR(LOOKUP(2,1/(Aveia!$E35:INDEX(Aveia!$E35:$Z35,MIN(AQ$6-$E$3,22))&lt;&gt;""),Aveia!$E35:INDEX(Aveia!$E35:$Z35,MIN(AQ$6-$E$3,22))),0))-IF($G$2,0,IF((AQ$6-$G$3)&lt;1,0,IFERROR(LOOKUP(2,1/(Aveia!$E35:INDEX(Aveia!$E35:$Z35,MIN(AQ$6-$G$3,22))&lt;&gt;""),Aveia!$E35:INDEX(Aveia!$E35:$Z35,MIN(AQ$6-$G$3,22))),0)))))</f>
        <v>0</v>
      </c>
      <c r="AR37" s="27" t="n">
        <f aca="false">IF(COUNT(Aveia!$E35:$Z35)=0,0,MAX(0,IF((AR$6-$E$3)&lt;1,0,IFERROR(LOOKUP(2,1/(Aveia!$E35:INDEX(Aveia!$E35:$Z35,MIN(AR$6-$E$3,22))&lt;&gt;""),Aveia!$E35:INDEX(Aveia!$E35:$Z35,MIN(AR$6-$E$3,22))),0))-IF($G$2,0,IF((AR$6-$G$3)&lt;1,0,IFERROR(LOOKUP(2,1/(Aveia!$E35:INDEX(Aveia!$E35:$Z35,MIN(AR$6-$G$3,22))&lt;&gt;""),Aveia!$E35:INDEX(Aveia!$E35:$Z35,MIN(AR$6-$G$3,22))),0)))))</f>
        <v>0</v>
      </c>
      <c r="AS37" s="27" t="n">
        <f aca="false">IF(COUNT(Aveia!$E35:$Z35)=0,0,MAX(0,IF((AS$6-$E$3)&lt;1,0,IFERROR(LOOKUP(2,1/(Aveia!$E35:INDEX(Aveia!$E35:$Z35,MIN(AS$6-$E$3,22))&lt;&gt;""),Aveia!$E35:INDEX(Aveia!$E35:$Z35,MIN(AS$6-$E$3,22))),0))-IF($G$2,0,IF((AS$6-$G$3)&lt;1,0,IFERROR(LOOKUP(2,1/(Aveia!$E35:INDEX(Aveia!$E35:$Z35,MIN(AS$6-$G$3,22))&lt;&gt;""),Aveia!$E35:INDEX(Aveia!$E35:$Z35,MIN(AS$6-$G$3,22))),0)))))</f>
        <v>0</v>
      </c>
      <c r="AT37" s="27" t="n">
        <f aca="false">IF(COUNT(Aveia!$E35:$Z35)=0,0,MAX(0,IF((AT$6-$E$3)&lt;1,0,IFERROR(LOOKUP(2,1/(Aveia!$E35:INDEX(Aveia!$E35:$Z35,MIN(AT$6-$E$3,22))&lt;&gt;""),Aveia!$E35:INDEX(Aveia!$E35:$Z35,MIN(AT$6-$E$3,22))),0))-IF($G$2,0,IF((AT$6-$G$3)&lt;1,0,IFERROR(LOOKUP(2,1/(Aveia!$E35:INDEX(Aveia!$E35:$Z35,MIN(AT$6-$G$3,22))&lt;&gt;""),Aveia!$E35:INDEX(Aveia!$E35:$Z35,MIN(AT$6-$G$3,22))),0)))))</f>
        <v>0</v>
      </c>
      <c r="AU37" s="27" t="n">
        <f aca="false">IF(COUNT(Aveia!$E35:$Z35)=0,0,MAX(0,IF((AU$6-$E$3)&lt;1,0,IFERROR(LOOKUP(2,1/(Aveia!$E35:INDEX(Aveia!$E35:$Z35,MIN(AU$6-$E$3,22))&lt;&gt;""),Aveia!$E35:INDEX(Aveia!$E35:$Z35,MIN(AU$6-$E$3,22))),0))-IF($G$2,0,IF((AU$6-$G$3)&lt;1,0,IFERROR(LOOKUP(2,1/(Aveia!$E35:INDEX(Aveia!$E35:$Z35,MIN(AU$6-$G$3,22))&lt;&gt;""),Aveia!$E35:INDEX(Aveia!$E35:$Z35,MIN(AU$6-$G$3,22))),0)))))</f>
        <v>0</v>
      </c>
      <c r="AV37" s="27" t="n">
        <f aca="false">IF(COUNT(Aveia!$E35:$Z35)=0,0,MAX(0,IF((AV$6-$E$3)&lt;1,0,IFERROR(LOOKUP(2,1/(Aveia!$E35:INDEX(Aveia!$E35:$Z35,MIN(AV$6-$E$3,22))&lt;&gt;""),Aveia!$E35:INDEX(Aveia!$E35:$Z35,MIN(AV$6-$E$3,22))),0))-IF($G$2,0,IF((AV$6-$G$3)&lt;1,0,IFERROR(LOOKUP(2,1/(Aveia!$E35:INDEX(Aveia!$E35:$Z35,MIN(AV$6-$G$3,22))&lt;&gt;""),Aveia!$E35:INDEX(Aveia!$E35:$Z35,MIN(AV$6-$G$3,22))),0)))))</f>
        <v>0</v>
      </c>
      <c r="AW37" s="27" t="n">
        <f aca="false">IF(COUNT(Aveia!$E35:$Z35)=0,0,MAX(0,IF((AW$6-$E$3)&lt;1,0,IFERROR(LOOKUP(2,1/(Aveia!$E35:INDEX(Aveia!$E35:$Z35,MIN(AW$6-$E$3,22))&lt;&gt;""),Aveia!$E35:INDEX(Aveia!$E35:$Z35,MIN(AW$6-$E$3,22))),0))-IF($G$2,0,IF((AW$6-$G$3)&lt;1,0,IFERROR(LOOKUP(2,1/(Aveia!$E35:INDEX(Aveia!$E35:$Z35,MIN(AW$6-$G$3,22))&lt;&gt;""),Aveia!$E35:INDEX(Aveia!$E35:$Z35,MIN(AW$6-$G$3,22))),0)))))</f>
        <v>0</v>
      </c>
      <c r="AX37" s="27" t="n">
        <f aca="false">IF(COUNT(Aveia!$E35:$Z35)=0,0,MAX(0,IF((AX$6-$E$3)&lt;1,0,IFERROR(LOOKUP(2,1/(Aveia!$E35:INDEX(Aveia!$E35:$Z35,MIN(AX$6-$E$3,22))&lt;&gt;""),Aveia!$E35:INDEX(Aveia!$E35:$Z35,MIN(AX$6-$E$3,22))),0))-IF($G$2,0,IF((AX$6-$G$3)&lt;1,0,IFERROR(LOOKUP(2,1/(Aveia!$E35:INDEX(Aveia!$E35:$Z35,MIN(AX$6-$G$3,22))&lt;&gt;""),Aveia!$E35:INDEX(Aveia!$E35:$Z35,MIN(AX$6-$G$3,22))),0)))))</f>
        <v>0</v>
      </c>
      <c r="AY37" s="27" t="n">
        <f aca="false">IF(COUNT(Aveia!$E35:$Z35)=0,0,MAX(0,IF((AY$6-$E$3)&lt;1,0,IFERROR(LOOKUP(2,1/(Aveia!$E35:INDEX(Aveia!$E35:$Z35,MIN(AY$6-$E$3,22))&lt;&gt;""),Aveia!$E35:INDEX(Aveia!$E35:$Z35,MIN(AY$6-$E$3,22))),0))-IF($G$2,0,IF((AY$6-$G$3)&lt;1,0,IFERROR(LOOKUP(2,1/(Aveia!$E35:INDEX(Aveia!$E35:$Z35,MIN(AY$6-$G$3,22))&lt;&gt;""),Aveia!$E35:INDEX(Aveia!$E35:$Z35,MIN(AY$6-$G$3,22))),0)))))</f>
        <v>0</v>
      </c>
      <c r="AZ37" s="27" t="n">
        <f aca="false">IF(COUNT(Aveia!$E35:$Z35)=0,0,MAX(0,IF((AZ$6-$E$3)&lt;1,0,IFERROR(LOOKUP(2,1/(Aveia!$E35:INDEX(Aveia!$E35:$Z35,MIN(AZ$6-$E$3,22))&lt;&gt;""),Aveia!$E35:INDEX(Aveia!$E35:$Z35,MIN(AZ$6-$E$3,22))),0))-IF($G$2,0,IF((AZ$6-$G$3)&lt;1,0,IFERROR(LOOKUP(2,1/(Aveia!$E35:INDEX(Aveia!$E35:$Z35,MIN(AZ$6-$G$3,22))&lt;&gt;""),Aveia!$E35:INDEX(Aveia!$E35:$Z35,MIN(AZ$6-$G$3,22))),0)))))</f>
        <v>0</v>
      </c>
    </row>
    <row r="38" customFormat="false" ht="15" hidden="false" customHeight="false" outlineLevel="0" collapsed="false">
      <c r="A38" s="3" t="s">
        <v>197</v>
      </c>
      <c r="B38" s="3" t="s">
        <v>172</v>
      </c>
      <c r="C38" s="10" t="s">
        <v>172</v>
      </c>
      <c r="D38" s="26" t="n">
        <f aca="false">IF(COUNT(Aveia!$E36:$Z36)&gt;0,N(Aveia!$D36),0)</f>
        <v>0</v>
      </c>
      <c r="E38" s="27" t="n">
        <f aca="false">IF(COUNT(Aveia!$E36:$Z36)=0,0,MAX(0,IF((E$6-$E$3)&lt;1,0,IFERROR(LOOKUP(2,1/(Aveia!$E36:INDEX(Aveia!$E36:$Z36,MIN(E$6-$E$3,22))&lt;&gt;""),Aveia!$E36:INDEX(Aveia!$E36:$Z36,MIN(E$6-$E$3,22))),0))-IF($G$2,0,IF((E$6-$G$3)&lt;1,0,IFERROR(LOOKUP(2,1/(Aveia!$E36:INDEX(Aveia!$E36:$Z36,MIN(E$6-$G$3,22))&lt;&gt;""),Aveia!$E36:INDEX(Aveia!$E36:$Z36,MIN(E$6-$G$3,22))),0)))))</f>
        <v>0</v>
      </c>
      <c r="F38" s="27" t="n">
        <f aca="false">IF(COUNT(Aveia!$E36:$Z36)=0,0,MAX(0,IF((F$6-$E$3)&lt;1,0,IFERROR(LOOKUP(2,1/(Aveia!$E36:INDEX(Aveia!$E36:$Z36,MIN(F$6-$E$3,22))&lt;&gt;""),Aveia!$E36:INDEX(Aveia!$E36:$Z36,MIN(F$6-$E$3,22))),0))-IF($G$2,0,IF((F$6-$G$3)&lt;1,0,IFERROR(LOOKUP(2,1/(Aveia!$E36:INDEX(Aveia!$E36:$Z36,MIN(F$6-$G$3,22))&lt;&gt;""),Aveia!$E36:INDEX(Aveia!$E36:$Z36,MIN(F$6-$G$3,22))),0)))))</f>
        <v>0</v>
      </c>
      <c r="G38" s="27" t="n">
        <f aca="false">IF(COUNT(Aveia!$E36:$Z36)=0,0,MAX(0,IF((G$6-$E$3)&lt;1,0,IFERROR(LOOKUP(2,1/(Aveia!$E36:INDEX(Aveia!$E36:$Z36,MIN(G$6-$E$3,22))&lt;&gt;""),Aveia!$E36:INDEX(Aveia!$E36:$Z36,MIN(G$6-$E$3,22))),0))-IF($G$2,0,IF((G$6-$G$3)&lt;1,0,IFERROR(LOOKUP(2,1/(Aveia!$E36:INDEX(Aveia!$E36:$Z36,MIN(G$6-$G$3,22))&lt;&gt;""),Aveia!$E36:INDEX(Aveia!$E36:$Z36,MIN(G$6-$G$3,22))),0)))))</f>
        <v>0</v>
      </c>
      <c r="H38" s="27" t="n">
        <f aca="false">IF(COUNT(Aveia!$E36:$Z36)=0,0,MAX(0,IF((H$6-$E$3)&lt;1,0,IFERROR(LOOKUP(2,1/(Aveia!$E36:INDEX(Aveia!$E36:$Z36,MIN(H$6-$E$3,22))&lt;&gt;""),Aveia!$E36:INDEX(Aveia!$E36:$Z36,MIN(H$6-$E$3,22))),0))-IF($G$2,0,IF((H$6-$G$3)&lt;1,0,IFERROR(LOOKUP(2,1/(Aveia!$E36:INDEX(Aveia!$E36:$Z36,MIN(H$6-$G$3,22))&lt;&gt;""),Aveia!$E36:INDEX(Aveia!$E36:$Z36,MIN(H$6-$G$3,22))),0)))))</f>
        <v>0</v>
      </c>
      <c r="I38" s="27" t="n">
        <f aca="false">IF(COUNT(Aveia!$E36:$Z36)=0,0,MAX(0,IF((I$6-$E$3)&lt;1,0,IFERROR(LOOKUP(2,1/(Aveia!$E36:INDEX(Aveia!$E36:$Z36,MIN(I$6-$E$3,22))&lt;&gt;""),Aveia!$E36:INDEX(Aveia!$E36:$Z36,MIN(I$6-$E$3,22))),0))-IF($G$2,0,IF((I$6-$G$3)&lt;1,0,IFERROR(LOOKUP(2,1/(Aveia!$E36:INDEX(Aveia!$E36:$Z36,MIN(I$6-$G$3,22))&lt;&gt;""),Aveia!$E36:INDEX(Aveia!$E36:$Z36,MIN(I$6-$G$3,22))),0)))))</f>
        <v>0</v>
      </c>
      <c r="J38" s="27" t="n">
        <f aca="false">IF(COUNT(Aveia!$E36:$Z36)=0,0,MAX(0,IF((J$6-$E$3)&lt;1,0,IFERROR(LOOKUP(2,1/(Aveia!$E36:INDEX(Aveia!$E36:$Z36,MIN(J$6-$E$3,22))&lt;&gt;""),Aveia!$E36:INDEX(Aveia!$E36:$Z36,MIN(J$6-$E$3,22))),0))-IF($G$2,0,IF((J$6-$G$3)&lt;1,0,IFERROR(LOOKUP(2,1/(Aveia!$E36:INDEX(Aveia!$E36:$Z36,MIN(J$6-$G$3,22))&lt;&gt;""),Aveia!$E36:INDEX(Aveia!$E36:$Z36,MIN(J$6-$G$3,22))),0)))))</f>
        <v>0</v>
      </c>
      <c r="K38" s="27" t="n">
        <f aca="false">IF(COUNT(Aveia!$E36:$Z36)=0,0,MAX(0,IF((K$6-$E$3)&lt;1,0,IFERROR(LOOKUP(2,1/(Aveia!$E36:INDEX(Aveia!$E36:$Z36,MIN(K$6-$E$3,22))&lt;&gt;""),Aveia!$E36:INDEX(Aveia!$E36:$Z36,MIN(K$6-$E$3,22))),0))-IF($G$2,0,IF((K$6-$G$3)&lt;1,0,IFERROR(LOOKUP(2,1/(Aveia!$E36:INDEX(Aveia!$E36:$Z36,MIN(K$6-$G$3,22))&lt;&gt;""),Aveia!$E36:INDEX(Aveia!$E36:$Z36,MIN(K$6-$G$3,22))),0)))))</f>
        <v>0</v>
      </c>
      <c r="L38" s="27" t="n">
        <f aca="false">IF(COUNT(Aveia!$E36:$Z36)=0,0,MAX(0,IF((L$6-$E$3)&lt;1,0,IFERROR(LOOKUP(2,1/(Aveia!$E36:INDEX(Aveia!$E36:$Z36,MIN(L$6-$E$3,22))&lt;&gt;""),Aveia!$E36:INDEX(Aveia!$E36:$Z36,MIN(L$6-$E$3,22))),0))-IF($G$2,0,IF((L$6-$G$3)&lt;1,0,IFERROR(LOOKUP(2,1/(Aveia!$E36:INDEX(Aveia!$E36:$Z36,MIN(L$6-$G$3,22))&lt;&gt;""),Aveia!$E36:INDEX(Aveia!$E36:$Z36,MIN(L$6-$G$3,22))),0)))))</f>
        <v>0</v>
      </c>
      <c r="M38" s="27" t="n">
        <f aca="false">IF(COUNT(Aveia!$E36:$Z36)=0,0,MAX(0,IF((M$6-$E$3)&lt;1,0,IFERROR(LOOKUP(2,1/(Aveia!$E36:INDEX(Aveia!$E36:$Z36,MIN(M$6-$E$3,22))&lt;&gt;""),Aveia!$E36:INDEX(Aveia!$E36:$Z36,MIN(M$6-$E$3,22))),0))-IF($G$2,0,IF((M$6-$G$3)&lt;1,0,IFERROR(LOOKUP(2,1/(Aveia!$E36:INDEX(Aveia!$E36:$Z36,MIN(M$6-$G$3,22))&lt;&gt;""),Aveia!$E36:INDEX(Aveia!$E36:$Z36,MIN(M$6-$G$3,22))),0)))))</f>
        <v>0</v>
      </c>
      <c r="N38" s="27" t="n">
        <f aca="false">IF(COUNT(Aveia!$E36:$Z36)=0,0,MAX(0,IF((N$6-$E$3)&lt;1,0,IFERROR(LOOKUP(2,1/(Aveia!$E36:INDEX(Aveia!$E36:$Z36,MIN(N$6-$E$3,22))&lt;&gt;""),Aveia!$E36:INDEX(Aveia!$E36:$Z36,MIN(N$6-$E$3,22))),0))-IF($G$2,0,IF((N$6-$G$3)&lt;1,0,IFERROR(LOOKUP(2,1/(Aveia!$E36:INDEX(Aveia!$E36:$Z36,MIN(N$6-$G$3,22))&lt;&gt;""),Aveia!$E36:INDEX(Aveia!$E36:$Z36,MIN(N$6-$G$3,22))),0)))))</f>
        <v>0</v>
      </c>
      <c r="O38" s="27" t="n">
        <f aca="false">IF(COUNT(Aveia!$E36:$Z36)=0,0,MAX(0,IF((O$6-$E$3)&lt;1,0,IFERROR(LOOKUP(2,1/(Aveia!$E36:INDEX(Aveia!$E36:$Z36,MIN(O$6-$E$3,22))&lt;&gt;""),Aveia!$E36:INDEX(Aveia!$E36:$Z36,MIN(O$6-$E$3,22))),0))-IF($G$2,0,IF((O$6-$G$3)&lt;1,0,IFERROR(LOOKUP(2,1/(Aveia!$E36:INDEX(Aveia!$E36:$Z36,MIN(O$6-$G$3,22))&lt;&gt;""),Aveia!$E36:INDEX(Aveia!$E36:$Z36,MIN(O$6-$G$3,22))),0)))))</f>
        <v>0</v>
      </c>
      <c r="P38" s="27" t="n">
        <f aca="false">IF(COUNT(Aveia!$E36:$Z36)=0,0,MAX(0,IF((P$6-$E$3)&lt;1,0,IFERROR(LOOKUP(2,1/(Aveia!$E36:INDEX(Aveia!$E36:$Z36,MIN(P$6-$E$3,22))&lt;&gt;""),Aveia!$E36:INDEX(Aveia!$E36:$Z36,MIN(P$6-$E$3,22))),0))-IF($G$2,0,IF((P$6-$G$3)&lt;1,0,IFERROR(LOOKUP(2,1/(Aveia!$E36:INDEX(Aveia!$E36:$Z36,MIN(P$6-$G$3,22))&lt;&gt;""),Aveia!$E36:INDEX(Aveia!$E36:$Z36,MIN(P$6-$G$3,22))),0)))))</f>
        <v>0</v>
      </c>
      <c r="Q38" s="27" t="n">
        <f aca="false">IF(COUNT(Aveia!$E36:$Z36)=0,0,MAX(0,IF((Q$6-$E$3)&lt;1,0,IFERROR(LOOKUP(2,1/(Aveia!$E36:INDEX(Aveia!$E36:$Z36,MIN(Q$6-$E$3,22))&lt;&gt;""),Aveia!$E36:INDEX(Aveia!$E36:$Z36,MIN(Q$6-$E$3,22))),0))-IF($G$2,0,IF((Q$6-$G$3)&lt;1,0,IFERROR(LOOKUP(2,1/(Aveia!$E36:INDEX(Aveia!$E36:$Z36,MIN(Q$6-$G$3,22))&lt;&gt;""),Aveia!$E36:INDEX(Aveia!$E36:$Z36,MIN(Q$6-$G$3,22))),0)))))</f>
        <v>0</v>
      </c>
      <c r="R38" s="27" t="n">
        <f aca="false">IF(COUNT(Aveia!$E36:$Z36)=0,0,MAX(0,IF((R$6-$E$3)&lt;1,0,IFERROR(LOOKUP(2,1/(Aveia!$E36:INDEX(Aveia!$E36:$Z36,MIN(R$6-$E$3,22))&lt;&gt;""),Aveia!$E36:INDEX(Aveia!$E36:$Z36,MIN(R$6-$E$3,22))),0))-IF($G$2,0,IF((R$6-$G$3)&lt;1,0,IFERROR(LOOKUP(2,1/(Aveia!$E36:INDEX(Aveia!$E36:$Z36,MIN(R$6-$G$3,22))&lt;&gt;""),Aveia!$E36:INDEX(Aveia!$E36:$Z36,MIN(R$6-$G$3,22))),0)))))</f>
        <v>0</v>
      </c>
      <c r="S38" s="27" t="n">
        <f aca="false">IF(COUNT(Aveia!$E36:$Z36)=0,0,MAX(0,IF((S$6-$E$3)&lt;1,0,IFERROR(LOOKUP(2,1/(Aveia!$E36:INDEX(Aveia!$E36:$Z36,MIN(S$6-$E$3,22))&lt;&gt;""),Aveia!$E36:INDEX(Aveia!$E36:$Z36,MIN(S$6-$E$3,22))),0))-IF($G$2,0,IF((S$6-$G$3)&lt;1,0,IFERROR(LOOKUP(2,1/(Aveia!$E36:INDEX(Aveia!$E36:$Z36,MIN(S$6-$G$3,22))&lt;&gt;""),Aveia!$E36:INDEX(Aveia!$E36:$Z36,MIN(S$6-$G$3,22))),0)))))</f>
        <v>0</v>
      </c>
      <c r="T38" s="27" t="n">
        <f aca="false">IF(COUNT(Aveia!$E36:$Z36)=0,0,MAX(0,IF((T$6-$E$3)&lt;1,0,IFERROR(LOOKUP(2,1/(Aveia!$E36:INDEX(Aveia!$E36:$Z36,MIN(T$6-$E$3,22))&lt;&gt;""),Aveia!$E36:INDEX(Aveia!$E36:$Z36,MIN(T$6-$E$3,22))),0))-IF($G$2,0,IF((T$6-$G$3)&lt;1,0,IFERROR(LOOKUP(2,1/(Aveia!$E36:INDEX(Aveia!$E36:$Z36,MIN(T$6-$G$3,22))&lt;&gt;""),Aveia!$E36:INDEX(Aveia!$E36:$Z36,MIN(T$6-$G$3,22))),0)))))</f>
        <v>0</v>
      </c>
      <c r="U38" s="27" t="n">
        <f aca="false">IF(COUNT(Aveia!$E36:$Z36)=0,0,MAX(0,IF((U$6-$E$3)&lt;1,0,IFERROR(LOOKUP(2,1/(Aveia!$E36:INDEX(Aveia!$E36:$Z36,MIN(U$6-$E$3,22))&lt;&gt;""),Aveia!$E36:INDEX(Aveia!$E36:$Z36,MIN(U$6-$E$3,22))),0))-IF($G$2,0,IF((U$6-$G$3)&lt;1,0,IFERROR(LOOKUP(2,1/(Aveia!$E36:INDEX(Aveia!$E36:$Z36,MIN(U$6-$G$3,22))&lt;&gt;""),Aveia!$E36:INDEX(Aveia!$E36:$Z36,MIN(U$6-$G$3,22))),0)))))</f>
        <v>0</v>
      </c>
      <c r="V38" s="27" t="n">
        <f aca="false">IF(COUNT(Aveia!$E36:$Z36)=0,0,MAX(0,IF((V$6-$E$3)&lt;1,0,IFERROR(LOOKUP(2,1/(Aveia!$E36:INDEX(Aveia!$E36:$Z36,MIN(V$6-$E$3,22))&lt;&gt;""),Aveia!$E36:INDEX(Aveia!$E36:$Z36,MIN(V$6-$E$3,22))),0))-IF($G$2,0,IF((V$6-$G$3)&lt;1,0,IFERROR(LOOKUP(2,1/(Aveia!$E36:INDEX(Aveia!$E36:$Z36,MIN(V$6-$G$3,22))&lt;&gt;""),Aveia!$E36:INDEX(Aveia!$E36:$Z36,MIN(V$6-$G$3,22))),0)))))</f>
        <v>0</v>
      </c>
      <c r="W38" s="27" t="n">
        <f aca="false">IF(COUNT(Aveia!$E36:$Z36)=0,0,MAX(0,IF((W$6-$E$3)&lt;1,0,IFERROR(LOOKUP(2,1/(Aveia!$E36:INDEX(Aveia!$E36:$Z36,MIN(W$6-$E$3,22))&lt;&gt;""),Aveia!$E36:INDEX(Aveia!$E36:$Z36,MIN(W$6-$E$3,22))),0))-IF($G$2,0,IF((W$6-$G$3)&lt;1,0,IFERROR(LOOKUP(2,1/(Aveia!$E36:INDEX(Aveia!$E36:$Z36,MIN(W$6-$G$3,22))&lt;&gt;""),Aveia!$E36:INDEX(Aveia!$E36:$Z36,MIN(W$6-$G$3,22))),0)))))</f>
        <v>0</v>
      </c>
      <c r="X38" s="27" t="n">
        <f aca="false">IF(COUNT(Aveia!$E36:$Z36)=0,0,MAX(0,IF((X$6-$E$3)&lt;1,0,IFERROR(LOOKUP(2,1/(Aveia!$E36:INDEX(Aveia!$E36:$Z36,MIN(X$6-$E$3,22))&lt;&gt;""),Aveia!$E36:INDEX(Aveia!$E36:$Z36,MIN(X$6-$E$3,22))),0))-IF($G$2,0,IF((X$6-$G$3)&lt;1,0,IFERROR(LOOKUP(2,1/(Aveia!$E36:INDEX(Aveia!$E36:$Z36,MIN(X$6-$G$3,22))&lt;&gt;""),Aveia!$E36:INDEX(Aveia!$E36:$Z36,MIN(X$6-$G$3,22))),0)))))</f>
        <v>0</v>
      </c>
      <c r="Y38" s="27" t="n">
        <f aca="false">IF(COUNT(Aveia!$E36:$Z36)=0,0,MAX(0,IF((Y$6-$E$3)&lt;1,0,IFERROR(LOOKUP(2,1/(Aveia!$E36:INDEX(Aveia!$E36:$Z36,MIN(Y$6-$E$3,22))&lt;&gt;""),Aveia!$E36:INDEX(Aveia!$E36:$Z36,MIN(Y$6-$E$3,22))),0))-IF($G$2,0,IF((Y$6-$G$3)&lt;1,0,IFERROR(LOOKUP(2,1/(Aveia!$E36:INDEX(Aveia!$E36:$Z36,MIN(Y$6-$G$3,22))&lt;&gt;""),Aveia!$E36:INDEX(Aveia!$E36:$Z36,MIN(Y$6-$G$3,22))),0)))))</f>
        <v>0</v>
      </c>
      <c r="Z38" s="27" t="n">
        <f aca="false">IF(COUNT(Aveia!$E36:$Z36)=0,0,MAX(0,IF((Z$6-$E$3)&lt;1,0,IFERROR(LOOKUP(2,1/(Aveia!$E36:INDEX(Aveia!$E36:$Z36,MIN(Z$6-$E$3,22))&lt;&gt;""),Aveia!$E36:INDEX(Aveia!$E36:$Z36,MIN(Z$6-$E$3,22))),0))-IF($G$2,0,IF((Z$6-$G$3)&lt;1,0,IFERROR(LOOKUP(2,1/(Aveia!$E36:INDEX(Aveia!$E36:$Z36,MIN(Z$6-$G$3,22))&lt;&gt;""),Aveia!$E36:INDEX(Aveia!$E36:$Z36,MIN(Z$6-$G$3,22))),0)))))</f>
        <v>0</v>
      </c>
      <c r="AA38" s="27" t="n">
        <f aca="false">IF(COUNT(Aveia!$E36:$Z36)=0,0,MAX(0,IF((AA$6-$E$3)&lt;1,0,IFERROR(LOOKUP(2,1/(Aveia!$E36:INDEX(Aveia!$E36:$Z36,MIN(AA$6-$E$3,22))&lt;&gt;""),Aveia!$E36:INDEX(Aveia!$E36:$Z36,MIN(AA$6-$E$3,22))),0))-IF($G$2,0,IF((AA$6-$G$3)&lt;1,0,IFERROR(LOOKUP(2,1/(Aveia!$E36:INDEX(Aveia!$E36:$Z36,MIN(AA$6-$G$3,22))&lt;&gt;""),Aveia!$E36:INDEX(Aveia!$E36:$Z36,MIN(AA$6-$G$3,22))),0)))))</f>
        <v>0</v>
      </c>
      <c r="AB38" s="27" t="n">
        <f aca="false">IF(COUNT(Aveia!$E36:$Z36)=0,0,MAX(0,IF((AB$6-$E$3)&lt;1,0,IFERROR(LOOKUP(2,1/(Aveia!$E36:INDEX(Aveia!$E36:$Z36,MIN(AB$6-$E$3,22))&lt;&gt;""),Aveia!$E36:INDEX(Aveia!$E36:$Z36,MIN(AB$6-$E$3,22))),0))-IF($G$2,0,IF((AB$6-$G$3)&lt;1,0,IFERROR(LOOKUP(2,1/(Aveia!$E36:INDEX(Aveia!$E36:$Z36,MIN(AB$6-$G$3,22))&lt;&gt;""),Aveia!$E36:INDEX(Aveia!$E36:$Z36,MIN(AB$6-$G$3,22))),0)))))</f>
        <v>0</v>
      </c>
      <c r="AC38" s="27" t="n">
        <f aca="false">IF(COUNT(Aveia!$E36:$Z36)=0,0,MAX(0,IF((AC$6-$E$3)&lt;1,0,IFERROR(LOOKUP(2,1/(Aveia!$E36:INDEX(Aveia!$E36:$Z36,MIN(AC$6-$E$3,22))&lt;&gt;""),Aveia!$E36:INDEX(Aveia!$E36:$Z36,MIN(AC$6-$E$3,22))),0))-IF($G$2,0,IF((AC$6-$G$3)&lt;1,0,IFERROR(LOOKUP(2,1/(Aveia!$E36:INDEX(Aveia!$E36:$Z36,MIN(AC$6-$G$3,22))&lt;&gt;""),Aveia!$E36:INDEX(Aveia!$E36:$Z36,MIN(AC$6-$G$3,22))),0)))))</f>
        <v>0</v>
      </c>
      <c r="AD38" s="27" t="n">
        <f aca="false">IF(COUNT(Aveia!$E36:$Z36)=0,0,MAX(0,IF((AD$6-$E$3)&lt;1,0,IFERROR(LOOKUP(2,1/(Aveia!$E36:INDEX(Aveia!$E36:$Z36,MIN(AD$6-$E$3,22))&lt;&gt;""),Aveia!$E36:INDEX(Aveia!$E36:$Z36,MIN(AD$6-$E$3,22))),0))-IF($G$2,0,IF((AD$6-$G$3)&lt;1,0,IFERROR(LOOKUP(2,1/(Aveia!$E36:INDEX(Aveia!$E36:$Z36,MIN(AD$6-$G$3,22))&lt;&gt;""),Aveia!$E36:INDEX(Aveia!$E36:$Z36,MIN(AD$6-$G$3,22))),0)))))</f>
        <v>0</v>
      </c>
      <c r="AE38" s="27" t="n">
        <f aca="false">IF(COUNT(Aveia!$E36:$Z36)=0,0,MAX(0,IF((AE$6-$E$3)&lt;1,0,IFERROR(LOOKUP(2,1/(Aveia!$E36:INDEX(Aveia!$E36:$Z36,MIN(AE$6-$E$3,22))&lt;&gt;""),Aveia!$E36:INDEX(Aveia!$E36:$Z36,MIN(AE$6-$E$3,22))),0))-IF($G$2,0,IF((AE$6-$G$3)&lt;1,0,IFERROR(LOOKUP(2,1/(Aveia!$E36:INDEX(Aveia!$E36:$Z36,MIN(AE$6-$G$3,22))&lt;&gt;""),Aveia!$E36:INDEX(Aveia!$E36:$Z36,MIN(AE$6-$G$3,22))),0)))))</f>
        <v>0</v>
      </c>
      <c r="AF38" s="27" t="n">
        <f aca="false">IF(COUNT(Aveia!$E36:$Z36)=0,0,MAX(0,IF((AF$6-$E$3)&lt;1,0,IFERROR(LOOKUP(2,1/(Aveia!$E36:INDEX(Aveia!$E36:$Z36,MIN(AF$6-$E$3,22))&lt;&gt;""),Aveia!$E36:INDEX(Aveia!$E36:$Z36,MIN(AF$6-$E$3,22))),0))-IF($G$2,0,IF((AF$6-$G$3)&lt;1,0,IFERROR(LOOKUP(2,1/(Aveia!$E36:INDEX(Aveia!$E36:$Z36,MIN(AF$6-$G$3,22))&lt;&gt;""),Aveia!$E36:INDEX(Aveia!$E36:$Z36,MIN(AF$6-$G$3,22))),0)))))</f>
        <v>0</v>
      </c>
      <c r="AG38" s="27" t="n">
        <f aca="false">IF(COUNT(Aveia!$E36:$Z36)=0,0,MAX(0,IF((AG$6-$E$3)&lt;1,0,IFERROR(LOOKUP(2,1/(Aveia!$E36:INDEX(Aveia!$E36:$Z36,MIN(AG$6-$E$3,22))&lt;&gt;""),Aveia!$E36:INDEX(Aveia!$E36:$Z36,MIN(AG$6-$E$3,22))),0))-IF($G$2,0,IF((AG$6-$G$3)&lt;1,0,IFERROR(LOOKUP(2,1/(Aveia!$E36:INDEX(Aveia!$E36:$Z36,MIN(AG$6-$G$3,22))&lt;&gt;""),Aveia!$E36:INDEX(Aveia!$E36:$Z36,MIN(AG$6-$G$3,22))),0)))))</f>
        <v>0</v>
      </c>
      <c r="AH38" s="27" t="n">
        <f aca="false">IF(COUNT(Aveia!$E36:$Z36)=0,0,MAX(0,IF((AH$6-$E$3)&lt;1,0,IFERROR(LOOKUP(2,1/(Aveia!$E36:INDEX(Aveia!$E36:$Z36,MIN(AH$6-$E$3,22))&lt;&gt;""),Aveia!$E36:INDEX(Aveia!$E36:$Z36,MIN(AH$6-$E$3,22))),0))-IF($G$2,0,IF((AH$6-$G$3)&lt;1,0,IFERROR(LOOKUP(2,1/(Aveia!$E36:INDEX(Aveia!$E36:$Z36,MIN(AH$6-$G$3,22))&lt;&gt;""),Aveia!$E36:INDEX(Aveia!$E36:$Z36,MIN(AH$6-$G$3,22))),0)))))</f>
        <v>0</v>
      </c>
      <c r="AI38" s="27" t="n">
        <f aca="false">IF(COUNT(Aveia!$E36:$Z36)=0,0,MAX(0,IF((AI$6-$E$3)&lt;1,0,IFERROR(LOOKUP(2,1/(Aveia!$E36:INDEX(Aveia!$E36:$Z36,MIN(AI$6-$E$3,22))&lt;&gt;""),Aveia!$E36:INDEX(Aveia!$E36:$Z36,MIN(AI$6-$E$3,22))),0))-IF($G$2,0,IF((AI$6-$G$3)&lt;1,0,IFERROR(LOOKUP(2,1/(Aveia!$E36:INDEX(Aveia!$E36:$Z36,MIN(AI$6-$G$3,22))&lt;&gt;""),Aveia!$E36:INDEX(Aveia!$E36:$Z36,MIN(AI$6-$G$3,22))),0)))))</f>
        <v>0</v>
      </c>
      <c r="AJ38" s="27" t="n">
        <f aca="false">IF(COUNT(Aveia!$E36:$Z36)=0,0,MAX(0,IF((AJ$6-$E$3)&lt;1,0,IFERROR(LOOKUP(2,1/(Aveia!$E36:INDEX(Aveia!$E36:$Z36,MIN(AJ$6-$E$3,22))&lt;&gt;""),Aveia!$E36:INDEX(Aveia!$E36:$Z36,MIN(AJ$6-$E$3,22))),0))-IF($G$2,0,IF((AJ$6-$G$3)&lt;1,0,IFERROR(LOOKUP(2,1/(Aveia!$E36:INDEX(Aveia!$E36:$Z36,MIN(AJ$6-$G$3,22))&lt;&gt;""),Aveia!$E36:INDEX(Aveia!$E36:$Z36,MIN(AJ$6-$G$3,22))),0)))))</f>
        <v>0</v>
      </c>
      <c r="AK38" s="27" t="n">
        <f aca="false">IF(COUNT(Aveia!$E36:$Z36)=0,0,MAX(0,IF((AK$6-$E$3)&lt;1,0,IFERROR(LOOKUP(2,1/(Aveia!$E36:INDEX(Aveia!$E36:$Z36,MIN(AK$6-$E$3,22))&lt;&gt;""),Aveia!$E36:INDEX(Aveia!$E36:$Z36,MIN(AK$6-$E$3,22))),0))-IF($G$2,0,IF((AK$6-$G$3)&lt;1,0,IFERROR(LOOKUP(2,1/(Aveia!$E36:INDEX(Aveia!$E36:$Z36,MIN(AK$6-$G$3,22))&lt;&gt;""),Aveia!$E36:INDEX(Aveia!$E36:$Z36,MIN(AK$6-$G$3,22))),0)))))</f>
        <v>0</v>
      </c>
      <c r="AL38" s="27" t="n">
        <f aca="false">IF(COUNT(Aveia!$E36:$Z36)=0,0,MAX(0,IF((AL$6-$E$3)&lt;1,0,IFERROR(LOOKUP(2,1/(Aveia!$E36:INDEX(Aveia!$E36:$Z36,MIN(AL$6-$E$3,22))&lt;&gt;""),Aveia!$E36:INDEX(Aveia!$E36:$Z36,MIN(AL$6-$E$3,22))),0))-IF($G$2,0,IF((AL$6-$G$3)&lt;1,0,IFERROR(LOOKUP(2,1/(Aveia!$E36:INDEX(Aveia!$E36:$Z36,MIN(AL$6-$G$3,22))&lt;&gt;""),Aveia!$E36:INDEX(Aveia!$E36:$Z36,MIN(AL$6-$G$3,22))),0)))))</f>
        <v>0</v>
      </c>
      <c r="AM38" s="27" t="n">
        <f aca="false">IF(COUNT(Aveia!$E36:$Z36)=0,0,MAX(0,IF((AM$6-$E$3)&lt;1,0,IFERROR(LOOKUP(2,1/(Aveia!$E36:INDEX(Aveia!$E36:$Z36,MIN(AM$6-$E$3,22))&lt;&gt;""),Aveia!$E36:INDEX(Aveia!$E36:$Z36,MIN(AM$6-$E$3,22))),0))-IF($G$2,0,IF((AM$6-$G$3)&lt;1,0,IFERROR(LOOKUP(2,1/(Aveia!$E36:INDEX(Aveia!$E36:$Z36,MIN(AM$6-$G$3,22))&lt;&gt;""),Aveia!$E36:INDEX(Aveia!$E36:$Z36,MIN(AM$6-$G$3,22))),0)))))</f>
        <v>0</v>
      </c>
      <c r="AN38" s="27" t="n">
        <f aca="false">IF(COUNT(Aveia!$E36:$Z36)=0,0,MAX(0,IF((AN$6-$E$3)&lt;1,0,IFERROR(LOOKUP(2,1/(Aveia!$E36:INDEX(Aveia!$E36:$Z36,MIN(AN$6-$E$3,22))&lt;&gt;""),Aveia!$E36:INDEX(Aveia!$E36:$Z36,MIN(AN$6-$E$3,22))),0))-IF($G$2,0,IF((AN$6-$G$3)&lt;1,0,IFERROR(LOOKUP(2,1/(Aveia!$E36:INDEX(Aveia!$E36:$Z36,MIN(AN$6-$G$3,22))&lt;&gt;""),Aveia!$E36:INDEX(Aveia!$E36:$Z36,MIN(AN$6-$G$3,22))),0)))))</f>
        <v>0</v>
      </c>
      <c r="AO38" s="27" t="n">
        <f aca="false">IF(COUNT(Aveia!$E36:$Z36)=0,0,MAX(0,IF((AO$6-$E$3)&lt;1,0,IFERROR(LOOKUP(2,1/(Aveia!$E36:INDEX(Aveia!$E36:$Z36,MIN(AO$6-$E$3,22))&lt;&gt;""),Aveia!$E36:INDEX(Aveia!$E36:$Z36,MIN(AO$6-$E$3,22))),0))-IF($G$2,0,IF((AO$6-$G$3)&lt;1,0,IFERROR(LOOKUP(2,1/(Aveia!$E36:INDEX(Aveia!$E36:$Z36,MIN(AO$6-$G$3,22))&lt;&gt;""),Aveia!$E36:INDEX(Aveia!$E36:$Z36,MIN(AO$6-$G$3,22))),0)))))</f>
        <v>0</v>
      </c>
      <c r="AP38" s="27" t="n">
        <f aca="false">IF(COUNT(Aveia!$E36:$Z36)=0,0,MAX(0,IF((AP$6-$E$3)&lt;1,0,IFERROR(LOOKUP(2,1/(Aveia!$E36:INDEX(Aveia!$E36:$Z36,MIN(AP$6-$E$3,22))&lt;&gt;""),Aveia!$E36:INDEX(Aveia!$E36:$Z36,MIN(AP$6-$E$3,22))),0))-IF($G$2,0,IF((AP$6-$G$3)&lt;1,0,IFERROR(LOOKUP(2,1/(Aveia!$E36:INDEX(Aveia!$E36:$Z36,MIN(AP$6-$G$3,22))&lt;&gt;""),Aveia!$E36:INDEX(Aveia!$E36:$Z36,MIN(AP$6-$G$3,22))),0)))))</f>
        <v>0</v>
      </c>
      <c r="AQ38" s="27" t="n">
        <f aca="false">IF(COUNT(Aveia!$E36:$Z36)=0,0,MAX(0,IF((AQ$6-$E$3)&lt;1,0,IFERROR(LOOKUP(2,1/(Aveia!$E36:INDEX(Aveia!$E36:$Z36,MIN(AQ$6-$E$3,22))&lt;&gt;""),Aveia!$E36:INDEX(Aveia!$E36:$Z36,MIN(AQ$6-$E$3,22))),0))-IF($G$2,0,IF((AQ$6-$G$3)&lt;1,0,IFERROR(LOOKUP(2,1/(Aveia!$E36:INDEX(Aveia!$E36:$Z36,MIN(AQ$6-$G$3,22))&lt;&gt;""),Aveia!$E36:INDEX(Aveia!$E36:$Z36,MIN(AQ$6-$G$3,22))),0)))))</f>
        <v>0</v>
      </c>
      <c r="AR38" s="27" t="n">
        <f aca="false">IF(COUNT(Aveia!$E36:$Z36)=0,0,MAX(0,IF((AR$6-$E$3)&lt;1,0,IFERROR(LOOKUP(2,1/(Aveia!$E36:INDEX(Aveia!$E36:$Z36,MIN(AR$6-$E$3,22))&lt;&gt;""),Aveia!$E36:INDEX(Aveia!$E36:$Z36,MIN(AR$6-$E$3,22))),0))-IF($G$2,0,IF((AR$6-$G$3)&lt;1,0,IFERROR(LOOKUP(2,1/(Aveia!$E36:INDEX(Aveia!$E36:$Z36,MIN(AR$6-$G$3,22))&lt;&gt;""),Aveia!$E36:INDEX(Aveia!$E36:$Z36,MIN(AR$6-$G$3,22))),0)))))</f>
        <v>0</v>
      </c>
      <c r="AS38" s="27" t="n">
        <f aca="false">IF(COUNT(Aveia!$E36:$Z36)=0,0,MAX(0,IF((AS$6-$E$3)&lt;1,0,IFERROR(LOOKUP(2,1/(Aveia!$E36:INDEX(Aveia!$E36:$Z36,MIN(AS$6-$E$3,22))&lt;&gt;""),Aveia!$E36:INDEX(Aveia!$E36:$Z36,MIN(AS$6-$E$3,22))),0))-IF($G$2,0,IF((AS$6-$G$3)&lt;1,0,IFERROR(LOOKUP(2,1/(Aveia!$E36:INDEX(Aveia!$E36:$Z36,MIN(AS$6-$G$3,22))&lt;&gt;""),Aveia!$E36:INDEX(Aveia!$E36:$Z36,MIN(AS$6-$G$3,22))),0)))))</f>
        <v>0</v>
      </c>
      <c r="AT38" s="27" t="n">
        <f aca="false">IF(COUNT(Aveia!$E36:$Z36)=0,0,MAX(0,IF((AT$6-$E$3)&lt;1,0,IFERROR(LOOKUP(2,1/(Aveia!$E36:INDEX(Aveia!$E36:$Z36,MIN(AT$6-$E$3,22))&lt;&gt;""),Aveia!$E36:INDEX(Aveia!$E36:$Z36,MIN(AT$6-$E$3,22))),0))-IF($G$2,0,IF((AT$6-$G$3)&lt;1,0,IFERROR(LOOKUP(2,1/(Aveia!$E36:INDEX(Aveia!$E36:$Z36,MIN(AT$6-$G$3,22))&lt;&gt;""),Aveia!$E36:INDEX(Aveia!$E36:$Z36,MIN(AT$6-$G$3,22))),0)))))</f>
        <v>0</v>
      </c>
      <c r="AU38" s="27" t="n">
        <f aca="false">IF(COUNT(Aveia!$E36:$Z36)=0,0,MAX(0,IF((AU$6-$E$3)&lt;1,0,IFERROR(LOOKUP(2,1/(Aveia!$E36:INDEX(Aveia!$E36:$Z36,MIN(AU$6-$E$3,22))&lt;&gt;""),Aveia!$E36:INDEX(Aveia!$E36:$Z36,MIN(AU$6-$E$3,22))),0))-IF($G$2,0,IF((AU$6-$G$3)&lt;1,0,IFERROR(LOOKUP(2,1/(Aveia!$E36:INDEX(Aveia!$E36:$Z36,MIN(AU$6-$G$3,22))&lt;&gt;""),Aveia!$E36:INDEX(Aveia!$E36:$Z36,MIN(AU$6-$G$3,22))),0)))))</f>
        <v>0</v>
      </c>
      <c r="AV38" s="27" t="n">
        <f aca="false">IF(COUNT(Aveia!$E36:$Z36)=0,0,MAX(0,IF((AV$6-$E$3)&lt;1,0,IFERROR(LOOKUP(2,1/(Aveia!$E36:INDEX(Aveia!$E36:$Z36,MIN(AV$6-$E$3,22))&lt;&gt;""),Aveia!$E36:INDEX(Aveia!$E36:$Z36,MIN(AV$6-$E$3,22))),0))-IF($G$2,0,IF((AV$6-$G$3)&lt;1,0,IFERROR(LOOKUP(2,1/(Aveia!$E36:INDEX(Aveia!$E36:$Z36,MIN(AV$6-$G$3,22))&lt;&gt;""),Aveia!$E36:INDEX(Aveia!$E36:$Z36,MIN(AV$6-$G$3,22))),0)))))</f>
        <v>0</v>
      </c>
      <c r="AW38" s="27" t="n">
        <f aca="false">IF(COUNT(Aveia!$E36:$Z36)=0,0,MAX(0,IF((AW$6-$E$3)&lt;1,0,IFERROR(LOOKUP(2,1/(Aveia!$E36:INDEX(Aveia!$E36:$Z36,MIN(AW$6-$E$3,22))&lt;&gt;""),Aveia!$E36:INDEX(Aveia!$E36:$Z36,MIN(AW$6-$E$3,22))),0))-IF($G$2,0,IF((AW$6-$G$3)&lt;1,0,IFERROR(LOOKUP(2,1/(Aveia!$E36:INDEX(Aveia!$E36:$Z36,MIN(AW$6-$G$3,22))&lt;&gt;""),Aveia!$E36:INDEX(Aveia!$E36:$Z36,MIN(AW$6-$G$3,22))),0)))))</f>
        <v>0</v>
      </c>
      <c r="AX38" s="27" t="n">
        <f aca="false">IF(COUNT(Aveia!$E36:$Z36)=0,0,MAX(0,IF((AX$6-$E$3)&lt;1,0,IFERROR(LOOKUP(2,1/(Aveia!$E36:INDEX(Aveia!$E36:$Z36,MIN(AX$6-$E$3,22))&lt;&gt;""),Aveia!$E36:INDEX(Aveia!$E36:$Z36,MIN(AX$6-$E$3,22))),0))-IF($G$2,0,IF((AX$6-$G$3)&lt;1,0,IFERROR(LOOKUP(2,1/(Aveia!$E36:INDEX(Aveia!$E36:$Z36,MIN(AX$6-$G$3,22))&lt;&gt;""),Aveia!$E36:INDEX(Aveia!$E36:$Z36,MIN(AX$6-$G$3,22))),0)))))</f>
        <v>0</v>
      </c>
      <c r="AY38" s="27" t="n">
        <f aca="false">IF(COUNT(Aveia!$E36:$Z36)=0,0,MAX(0,IF((AY$6-$E$3)&lt;1,0,IFERROR(LOOKUP(2,1/(Aveia!$E36:INDEX(Aveia!$E36:$Z36,MIN(AY$6-$E$3,22))&lt;&gt;""),Aveia!$E36:INDEX(Aveia!$E36:$Z36,MIN(AY$6-$E$3,22))),0))-IF($G$2,0,IF((AY$6-$G$3)&lt;1,0,IFERROR(LOOKUP(2,1/(Aveia!$E36:INDEX(Aveia!$E36:$Z36,MIN(AY$6-$G$3,22))&lt;&gt;""),Aveia!$E36:INDEX(Aveia!$E36:$Z36,MIN(AY$6-$G$3,22))),0)))))</f>
        <v>0</v>
      </c>
      <c r="AZ38" s="27" t="n">
        <f aca="false">IF(COUNT(Aveia!$E36:$Z36)=0,0,MAX(0,IF((AZ$6-$E$3)&lt;1,0,IFERROR(LOOKUP(2,1/(Aveia!$E36:INDEX(Aveia!$E36:$Z36,MIN(AZ$6-$E$3,22))&lt;&gt;""),Aveia!$E36:INDEX(Aveia!$E36:$Z36,MIN(AZ$6-$E$3,22))),0))-IF($G$2,0,IF((AZ$6-$G$3)&lt;1,0,IFERROR(LOOKUP(2,1/(Aveia!$E36:INDEX(Aveia!$E36:$Z36,MIN(AZ$6-$G$3,22))&lt;&gt;""),Aveia!$E36:INDEX(Aveia!$E36:$Z36,MIN(AZ$6-$G$3,22))),0)))))</f>
        <v>0</v>
      </c>
    </row>
    <row r="39" customFormat="false" ht="15" hidden="false" customHeight="false" outlineLevel="0" collapsed="false">
      <c r="A39" s="3" t="s">
        <v>198</v>
      </c>
      <c r="B39" s="3" t="s">
        <v>199</v>
      </c>
      <c r="C39" s="10" t="s">
        <v>200</v>
      </c>
      <c r="D39" s="26" t="n">
        <f aca="false">IF(COUNT(Aveia!$E37:$Z37)&gt;0,N(Aveia!$D37),0)</f>
        <v>0</v>
      </c>
      <c r="E39" s="27" t="n">
        <f aca="false">IF(COUNT(Aveia!$E37:$Z37)=0,0,MAX(0,IF((E$6-$E$3)&lt;1,0,IFERROR(LOOKUP(2,1/(Aveia!$E37:INDEX(Aveia!$E37:$Z37,MIN(E$6-$E$3,22))&lt;&gt;""),Aveia!$E37:INDEX(Aveia!$E37:$Z37,MIN(E$6-$E$3,22))),0))-IF($G$2,0,IF((E$6-$G$3)&lt;1,0,IFERROR(LOOKUP(2,1/(Aveia!$E37:INDEX(Aveia!$E37:$Z37,MIN(E$6-$G$3,22))&lt;&gt;""),Aveia!$E37:INDEX(Aveia!$E37:$Z37,MIN(E$6-$G$3,22))),0)))))</f>
        <v>0</v>
      </c>
      <c r="F39" s="27" t="n">
        <f aca="false">IF(COUNT(Aveia!$E37:$Z37)=0,0,MAX(0,IF((F$6-$E$3)&lt;1,0,IFERROR(LOOKUP(2,1/(Aveia!$E37:INDEX(Aveia!$E37:$Z37,MIN(F$6-$E$3,22))&lt;&gt;""),Aveia!$E37:INDEX(Aveia!$E37:$Z37,MIN(F$6-$E$3,22))),0))-IF($G$2,0,IF((F$6-$G$3)&lt;1,0,IFERROR(LOOKUP(2,1/(Aveia!$E37:INDEX(Aveia!$E37:$Z37,MIN(F$6-$G$3,22))&lt;&gt;""),Aveia!$E37:INDEX(Aveia!$E37:$Z37,MIN(F$6-$G$3,22))),0)))))</f>
        <v>0</v>
      </c>
      <c r="G39" s="27" t="n">
        <f aca="false">IF(COUNT(Aveia!$E37:$Z37)=0,0,MAX(0,IF((G$6-$E$3)&lt;1,0,IFERROR(LOOKUP(2,1/(Aveia!$E37:INDEX(Aveia!$E37:$Z37,MIN(G$6-$E$3,22))&lt;&gt;""),Aveia!$E37:INDEX(Aveia!$E37:$Z37,MIN(G$6-$E$3,22))),0))-IF($G$2,0,IF((G$6-$G$3)&lt;1,0,IFERROR(LOOKUP(2,1/(Aveia!$E37:INDEX(Aveia!$E37:$Z37,MIN(G$6-$G$3,22))&lt;&gt;""),Aveia!$E37:INDEX(Aveia!$E37:$Z37,MIN(G$6-$G$3,22))),0)))))</f>
        <v>0</v>
      </c>
      <c r="H39" s="27" t="n">
        <f aca="false">IF(COUNT(Aveia!$E37:$Z37)=0,0,MAX(0,IF((H$6-$E$3)&lt;1,0,IFERROR(LOOKUP(2,1/(Aveia!$E37:INDEX(Aveia!$E37:$Z37,MIN(H$6-$E$3,22))&lt;&gt;""),Aveia!$E37:INDEX(Aveia!$E37:$Z37,MIN(H$6-$E$3,22))),0))-IF($G$2,0,IF((H$6-$G$3)&lt;1,0,IFERROR(LOOKUP(2,1/(Aveia!$E37:INDEX(Aveia!$E37:$Z37,MIN(H$6-$G$3,22))&lt;&gt;""),Aveia!$E37:INDEX(Aveia!$E37:$Z37,MIN(H$6-$G$3,22))),0)))))</f>
        <v>0</v>
      </c>
      <c r="I39" s="27" t="n">
        <f aca="false">IF(COUNT(Aveia!$E37:$Z37)=0,0,MAX(0,IF((I$6-$E$3)&lt;1,0,IFERROR(LOOKUP(2,1/(Aveia!$E37:INDEX(Aveia!$E37:$Z37,MIN(I$6-$E$3,22))&lt;&gt;""),Aveia!$E37:INDEX(Aveia!$E37:$Z37,MIN(I$6-$E$3,22))),0))-IF($G$2,0,IF((I$6-$G$3)&lt;1,0,IFERROR(LOOKUP(2,1/(Aveia!$E37:INDEX(Aveia!$E37:$Z37,MIN(I$6-$G$3,22))&lt;&gt;""),Aveia!$E37:INDEX(Aveia!$E37:$Z37,MIN(I$6-$G$3,22))),0)))))</f>
        <v>0</v>
      </c>
      <c r="J39" s="27" t="n">
        <f aca="false">IF(COUNT(Aveia!$E37:$Z37)=0,0,MAX(0,IF((J$6-$E$3)&lt;1,0,IFERROR(LOOKUP(2,1/(Aveia!$E37:INDEX(Aveia!$E37:$Z37,MIN(J$6-$E$3,22))&lt;&gt;""),Aveia!$E37:INDEX(Aveia!$E37:$Z37,MIN(J$6-$E$3,22))),0))-IF($G$2,0,IF((J$6-$G$3)&lt;1,0,IFERROR(LOOKUP(2,1/(Aveia!$E37:INDEX(Aveia!$E37:$Z37,MIN(J$6-$G$3,22))&lt;&gt;""),Aveia!$E37:INDEX(Aveia!$E37:$Z37,MIN(J$6-$G$3,22))),0)))))</f>
        <v>0</v>
      </c>
      <c r="K39" s="27" t="n">
        <f aca="false">IF(COUNT(Aveia!$E37:$Z37)=0,0,MAX(0,IF((K$6-$E$3)&lt;1,0,IFERROR(LOOKUP(2,1/(Aveia!$E37:INDEX(Aveia!$E37:$Z37,MIN(K$6-$E$3,22))&lt;&gt;""),Aveia!$E37:INDEX(Aveia!$E37:$Z37,MIN(K$6-$E$3,22))),0))-IF($G$2,0,IF((K$6-$G$3)&lt;1,0,IFERROR(LOOKUP(2,1/(Aveia!$E37:INDEX(Aveia!$E37:$Z37,MIN(K$6-$G$3,22))&lt;&gt;""),Aveia!$E37:INDEX(Aveia!$E37:$Z37,MIN(K$6-$G$3,22))),0)))))</f>
        <v>0</v>
      </c>
      <c r="L39" s="27" t="n">
        <f aca="false">IF(COUNT(Aveia!$E37:$Z37)=0,0,MAX(0,IF((L$6-$E$3)&lt;1,0,IFERROR(LOOKUP(2,1/(Aveia!$E37:INDEX(Aveia!$E37:$Z37,MIN(L$6-$E$3,22))&lt;&gt;""),Aveia!$E37:INDEX(Aveia!$E37:$Z37,MIN(L$6-$E$3,22))),0))-IF($G$2,0,IF((L$6-$G$3)&lt;1,0,IFERROR(LOOKUP(2,1/(Aveia!$E37:INDEX(Aveia!$E37:$Z37,MIN(L$6-$G$3,22))&lt;&gt;""),Aveia!$E37:INDEX(Aveia!$E37:$Z37,MIN(L$6-$G$3,22))),0)))))</f>
        <v>0</v>
      </c>
      <c r="M39" s="27" t="n">
        <f aca="false">IF(COUNT(Aveia!$E37:$Z37)=0,0,MAX(0,IF((M$6-$E$3)&lt;1,0,IFERROR(LOOKUP(2,1/(Aveia!$E37:INDEX(Aveia!$E37:$Z37,MIN(M$6-$E$3,22))&lt;&gt;""),Aveia!$E37:INDEX(Aveia!$E37:$Z37,MIN(M$6-$E$3,22))),0))-IF($G$2,0,IF((M$6-$G$3)&lt;1,0,IFERROR(LOOKUP(2,1/(Aveia!$E37:INDEX(Aveia!$E37:$Z37,MIN(M$6-$G$3,22))&lt;&gt;""),Aveia!$E37:INDEX(Aveia!$E37:$Z37,MIN(M$6-$G$3,22))),0)))))</f>
        <v>0</v>
      </c>
      <c r="N39" s="27" t="n">
        <f aca="false">IF(COUNT(Aveia!$E37:$Z37)=0,0,MAX(0,IF((N$6-$E$3)&lt;1,0,IFERROR(LOOKUP(2,1/(Aveia!$E37:INDEX(Aveia!$E37:$Z37,MIN(N$6-$E$3,22))&lt;&gt;""),Aveia!$E37:INDEX(Aveia!$E37:$Z37,MIN(N$6-$E$3,22))),0))-IF($G$2,0,IF((N$6-$G$3)&lt;1,0,IFERROR(LOOKUP(2,1/(Aveia!$E37:INDEX(Aveia!$E37:$Z37,MIN(N$6-$G$3,22))&lt;&gt;""),Aveia!$E37:INDEX(Aveia!$E37:$Z37,MIN(N$6-$G$3,22))),0)))))</f>
        <v>0</v>
      </c>
      <c r="O39" s="27" t="n">
        <f aca="false">IF(COUNT(Aveia!$E37:$Z37)=0,0,MAX(0,IF((O$6-$E$3)&lt;1,0,IFERROR(LOOKUP(2,1/(Aveia!$E37:INDEX(Aveia!$E37:$Z37,MIN(O$6-$E$3,22))&lt;&gt;""),Aveia!$E37:INDEX(Aveia!$E37:$Z37,MIN(O$6-$E$3,22))),0))-IF($G$2,0,IF((O$6-$G$3)&lt;1,0,IFERROR(LOOKUP(2,1/(Aveia!$E37:INDEX(Aveia!$E37:$Z37,MIN(O$6-$G$3,22))&lt;&gt;""),Aveia!$E37:INDEX(Aveia!$E37:$Z37,MIN(O$6-$G$3,22))),0)))))</f>
        <v>0</v>
      </c>
      <c r="P39" s="27" t="n">
        <f aca="false">IF(COUNT(Aveia!$E37:$Z37)=0,0,MAX(0,IF((P$6-$E$3)&lt;1,0,IFERROR(LOOKUP(2,1/(Aveia!$E37:INDEX(Aveia!$E37:$Z37,MIN(P$6-$E$3,22))&lt;&gt;""),Aveia!$E37:INDEX(Aveia!$E37:$Z37,MIN(P$6-$E$3,22))),0))-IF($G$2,0,IF((P$6-$G$3)&lt;1,0,IFERROR(LOOKUP(2,1/(Aveia!$E37:INDEX(Aveia!$E37:$Z37,MIN(P$6-$G$3,22))&lt;&gt;""),Aveia!$E37:INDEX(Aveia!$E37:$Z37,MIN(P$6-$G$3,22))),0)))))</f>
        <v>0</v>
      </c>
      <c r="Q39" s="27" t="n">
        <f aca="false">IF(COUNT(Aveia!$E37:$Z37)=0,0,MAX(0,IF((Q$6-$E$3)&lt;1,0,IFERROR(LOOKUP(2,1/(Aveia!$E37:INDEX(Aveia!$E37:$Z37,MIN(Q$6-$E$3,22))&lt;&gt;""),Aveia!$E37:INDEX(Aveia!$E37:$Z37,MIN(Q$6-$E$3,22))),0))-IF($G$2,0,IF((Q$6-$G$3)&lt;1,0,IFERROR(LOOKUP(2,1/(Aveia!$E37:INDEX(Aveia!$E37:$Z37,MIN(Q$6-$G$3,22))&lt;&gt;""),Aveia!$E37:INDEX(Aveia!$E37:$Z37,MIN(Q$6-$G$3,22))),0)))))</f>
        <v>0</v>
      </c>
      <c r="R39" s="27" t="n">
        <f aca="false">IF(COUNT(Aveia!$E37:$Z37)=0,0,MAX(0,IF((R$6-$E$3)&lt;1,0,IFERROR(LOOKUP(2,1/(Aveia!$E37:INDEX(Aveia!$E37:$Z37,MIN(R$6-$E$3,22))&lt;&gt;""),Aveia!$E37:INDEX(Aveia!$E37:$Z37,MIN(R$6-$E$3,22))),0))-IF($G$2,0,IF((R$6-$G$3)&lt;1,0,IFERROR(LOOKUP(2,1/(Aveia!$E37:INDEX(Aveia!$E37:$Z37,MIN(R$6-$G$3,22))&lt;&gt;""),Aveia!$E37:INDEX(Aveia!$E37:$Z37,MIN(R$6-$G$3,22))),0)))))</f>
        <v>0</v>
      </c>
      <c r="S39" s="27" t="n">
        <f aca="false">IF(COUNT(Aveia!$E37:$Z37)=0,0,MAX(0,IF((S$6-$E$3)&lt;1,0,IFERROR(LOOKUP(2,1/(Aveia!$E37:INDEX(Aveia!$E37:$Z37,MIN(S$6-$E$3,22))&lt;&gt;""),Aveia!$E37:INDEX(Aveia!$E37:$Z37,MIN(S$6-$E$3,22))),0))-IF($G$2,0,IF((S$6-$G$3)&lt;1,0,IFERROR(LOOKUP(2,1/(Aveia!$E37:INDEX(Aveia!$E37:$Z37,MIN(S$6-$G$3,22))&lt;&gt;""),Aveia!$E37:INDEX(Aveia!$E37:$Z37,MIN(S$6-$G$3,22))),0)))))</f>
        <v>0</v>
      </c>
      <c r="T39" s="27" t="n">
        <f aca="false">IF(COUNT(Aveia!$E37:$Z37)=0,0,MAX(0,IF((T$6-$E$3)&lt;1,0,IFERROR(LOOKUP(2,1/(Aveia!$E37:INDEX(Aveia!$E37:$Z37,MIN(T$6-$E$3,22))&lt;&gt;""),Aveia!$E37:INDEX(Aveia!$E37:$Z37,MIN(T$6-$E$3,22))),0))-IF($G$2,0,IF((T$6-$G$3)&lt;1,0,IFERROR(LOOKUP(2,1/(Aveia!$E37:INDEX(Aveia!$E37:$Z37,MIN(T$6-$G$3,22))&lt;&gt;""),Aveia!$E37:INDEX(Aveia!$E37:$Z37,MIN(T$6-$G$3,22))),0)))))</f>
        <v>0</v>
      </c>
      <c r="U39" s="27" t="n">
        <f aca="false">IF(COUNT(Aveia!$E37:$Z37)=0,0,MAX(0,IF((U$6-$E$3)&lt;1,0,IFERROR(LOOKUP(2,1/(Aveia!$E37:INDEX(Aveia!$E37:$Z37,MIN(U$6-$E$3,22))&lt;&gt;""),Aveia!$E37:INDEX(Aveia!$E37:$Z37,MIN(U$6-$E$3,22))),0))-IF($G$2,0,IF((U$6-$G$3)&lt;1,0,IFERROR(LOOKUP(2,1/(Aveia!$E37:INDEX(Aveia!$E37:$Z37,MIN(U$6-$G$3,22))&lt;&gt;""),Aveia!$E37:INDEX(Aveia!$E37:$Z37,MIN(U$6-$G$3,22))),0)))))</f>
        <v>0</v>
      </c>
      <c r="V39" s="27" t="n">
        <f aca="false">IF(COUNT(Aveia!$E37:$Z37)=0,0,MAX(0,IF((V$6-$E$3)&lt;1,0,IFERROR(LOOKUP(2,1/(Aveia!$E37:INDEX(Aveia!$E37:$Z37,MIN(V$6-$E$3,22))&lt;&gt;""),Aveia!$E37:INDEX(Aveia!$E37:$Z37,MIN(V$6-$E$3,22))),0))-IF($G$2,0,IF((V$6-$G$3)&lt;1,0,IFERROR(LOOKUP(2,1/(Aveia!$E37:INDEX(Aveia!$E37:$Z37,MIN(V$6-$G$3,22))&lt;&gt;""),Aveia!$E37:INDEX(Aveia!$E37:$Z37,MIN(V$6-$G$3,22))),0)))))</f>
        <v>0</v>
      </c>
      <c r="W39" s="27" t="n">
        <f aca="false">IF(COUNT(Aveia!$E37:$Z37)=0,0,MAX(0,IF((W$6-$E$3)&lt;1,0,IFERROR(LOOKUP(2,1/(Aveia!$E37:INDEX(Aveia!$E37:$Z37,MIN(W$6-$E$3,22))&lt;&gt;""),Aveia!$E37:INDEX(Aveia!$E37:$Z37,MIN(W$6-$E$3,22))),0))-IF($G$2,0,IF((W$6-$G$3)&lt;1,0,IFERROR(LOOKUP(2,1/(Aveia!$E37:INDEX(Aveia!$E37:$Z37,MIN(W$6-$G$3,22))&lt;&gt;""),Aveia!$E37:INDEX(Aveia!$E37:$Z37,MIN(W$6-$G$3,22))),0)))))</f>
        <v>0</v>
      </c>
      <c r="X39" s="27" t="n">
        <f aca="false">IF(COUNT(Aveia!$E37:$Z37)=0,0,MAX(0,IF((X$6-$E$3)&lt;1,0,IFERROR(LOOKUP(2,1/(Aveia!$E37:INDEX(Aveia!$E37:$Z37,MIN(X$6-$E$3,22))&lt;&gt;""),Aveia!$E37:INDEX(Aveia!$E37:$Z37,MIN(X$6-$E$3,22))),0))-IF($G$2,0,IF((X$6-$G$3)&lt;1,0,IFERROR(LOOKUP(2,1/(Aveia!$E37:INDEX(Aveia!$E37:$Z37,MIN(X$6-$G$3,22))&lt;&gt;""),Aveia!$E37:INDEX(Aveia!$E37:$Z37,MIN(X$6-$G$3,22))),0)))))</f>
        <v>0</v>
      </c>
      <c r="Y39" s="27" t="n">
        <f aca="false">IF(COUNT(Aveia!$E37:$Z37)=0,0,MAX(0,IF((Y$6-$E$3)&lt;1,0,IFERROR(LOOKUP(2,1/(Aveia!$E37:INDEX(Aveia!$E37:$Z37,MIN(Y$6-$E$3,22))&lt;&gt;""),Aveia!$E37:INDEX(Aveia!$E37:$Z37,MIN(Y$6-$E$3,22))),0))-IF($G$2,0,IF((Y$6-$G$3)&lt;1,0,IFERROR(LOOKUP(2,1/(Aveia!$E37:INDEX(Aveia!$E37:$Z37,MIN(Y$6-$G$3,22))&lt;&gt;""),Aveia!$E37:INDEX(Aveia!$E37:$Z37,MIN(Y$6-$G$3,22))),0)))))</f>
        <v>0</v>
      </c>
      <c r="Z39" s="27" t="n">
        <f aca="false">IF(COUNT(Aveia!$E37:$Z37)=0,0,MAX(0,IF((Z$6-$E$3)&lt;1,0,IFERROR(LOOKUP(2,1/(Aveia!$E37:INDEX(Aveia!$E37:$Z37,MIN(Z$6-$E$3,22))&lt;&gt;""),Aveia!$E37:INDEX(Aveia!$E37:$Z37,MIN(Z$6-$E$3,22))),0))-IF($G$2,0,IF((Z$6-$G$3)&lt;1,0,IFERROR(LOOKUP(2,1/(Aveia!$E37:INDEX(Aveia!$E37:$Z37,MIN(Z$6-$G$3,22))&lt;&gt;""),Aveia!$E37:INDEX(Aveia!$E37:$Z37,MIN(Z$6-$G$3,22))),0)))))</f>
        <v>0</v>
      </c>
      <c r="AA39" s="27" t="n">
        <f aca="false">IF(COUNT(Aveia!$E37:$Z37)=0,0,MAX(0,IF((AA$6-$E$3)&lt;1,0,IFERROR(LOOKUP(2,1/(Aveia!$E37:INDEX(Aveia!$E37:$Z37,MIN(AA$6-$E$3,22))&lt;&gt;""),Aveia!$E37:INDEX(Aveia!$E37:$Z37,MIN(AA$6-$E$3,22))),0))-IF($G$2,0,IF((AA$6-$G$3)&lt;1,0,IFERROR(LOOKUP(2,1/(Aveia!$E37:INDEX(Aveia!$E37:$Z37,MIN(AA$6-$G$3,22))&lt;&gt;""),Aveia!$E37:INDEX(Aveia!$E37:$Z37,MIN(AA$6-$G$3,22))),0)))))</f>
        <v>0</v>
      </c>
      <c r="AB39" s="27" t="n">
        <f aca="false">IF(COUNT(Aveia!$E37:$Z37)=0,0,MAX(0,IF((AB$6-$E$3)&lt;1,0,IFERROR(LOOKUP(2,1/(Aveia!$E37:INDEX(Aveia!$E37:$Z37,MIN(AB$6-$E$3,22))&lt;&gt;""),Aveia!$E37:INDEX(Aveia!$E37:$Z37,MIN(AB$6-$E$3,22))),0))-IF($G$2,0,IF((AB$6-$G$3)&lt;1,0,IFERROR(LOOKUP(2,1/(Aveia!$E37:INDEX(Aveia!$E37:$Z37,MIN(AB$6-$G$3,22))&lt;&gt;""),Aveia!$E37:INDEX(Aveia!$E37:$Z37,MIN(AB$6-$G$3,22))),0)))))</f>
        <v>0</v>
      </c>
      <c r="AC39" s="27" t="n">
        <f aca="false">IF(COUNT(Aveia!$E37:$Z37)=0,0,MAX(0,IF((AC$6-$E$3)&lt;1,0,IFERROR(LOOKUP(2,1/(Aveia!$E37:INDEX(Aveia!$E37:$Z37,MIN(AC$6-$E$3,22))&lt;&gt;""),Aveia!$E37:INDEX(Aveia!$E37:$Z37,MIN(AC$6-$E$3,22))),0))-IF($G$2,0,IF((AC$6-$G$3)&lt;1,0,IFERROR(LOOKUP(2,1/(Aveia!$E37:INDEX(Aveia!$E37:$Z37,MIN(AC$6-$G$3,22))&lt;&gt;""),Aveia!$E37:INDEX(Aveia!$E37:$Z37,MIN(AC$6-$G$3,22))),0)))))</f>
        <v>0</v>
      </c>
      <c r="AD39" s="27" t="n">
        <f aca="false">IF(COUNT(Aveia!$E37:$Z37)=0,0,MAX(0,IF((AD$6-$E$3)&lt;1,0,IFERROR(LOOKUP(2,1/(Aveia!$E37:INDEX(Aveia!$E37:$Z37,MIN(AD$6-$E$3,22))&lt;&gt;""),Aveia!$E37:INDEX(Aveia!$E37:$Z37,MIN(AD$6-$E$3,22))),0))-IF($G$2,0,IF((AD$6-$G$3)&lt;1,0,IFERROR(LOOKUP(2,1/(Aveia!$E37:INDEX(Aveia!$E37:$Z37,MIN(AD$6-$G$3,22))&lt;&gt;""),Aveia!$E37:INDEX(Aveia!$E37:$Z37,MIN(AD$6-$G$3,22))),0)))))</f>
        <v>0</v>
      </c>
      <c r="AE39" s="27" t="n">
        <f aca="false">IF(COUNT(Aveia!$E37:$Z37)=0,0,MAX(0,IF((AE$6-$E$3)&lt;1,0,IFERROR(LOOKUP(2,1/(Aveia!$E37:INDEX(Aveia!$E37:$Z37,MIN(AE$6-$E$3,22))&lt;&gt;""),Aveia!$E37:INDEX(Aveia!$E37:$Z37,MIN(AE$6-$E$3,22))),0))-IF($G$2,0,IF((AE$6-$G$3)&lt;1,0,IFERROR(LOOKUP(2,1/(Aveia!$E37:INDEX(Aveia!$E37:$Z37,MIN(AE$6-$G$3,22))&lt;&gt;""),Aveia!$E37:INDEX(Aveia!$E37:$Z37,MIN(AE$6-$G$3,22))),0)))))</f>
        <v>0</v>
      </c>
      <c r="AF39" s="27" t="n">
        <f aca="false">IF(COUNT(Aveia!$E37:$Z37)=0,0,MAX(0,IF((AF$6-$E$3)&lt;1,0,IFERROR(LOOKUP(2,1/(Aveia!$E37:INDEX(Aveia!$E37:$Z37,MIN(AF$6-$E$3,22))&lt;&gt;""),Aveia!$E37:INDEX(Aveia!$E37:$Z37,MIN(AF$6-$E$3,22))),0))-IF($G$2,0,IF((AF$6-$G$3)&lt;1,0,IFERROR(LOOKUP(2,1/(Aveia!$E37:INDEX(Aveia!$E37:$Z37,MIN(AF$6-$G$3,22))&lt;&gt;""),Aveia!$E37:INDEX(Aveia!$E37:$Z37,MIN(AF$6-$G$3,22))),0)))))</f>
        <v>0</v>
      </c>
      <c r="AG39" s="27" t="n">
        <f aca="false">IF(COUNT(Aveia!$E37:$Z37)=0,0,MAX(0,IF((AG$6-$E$3)&lt;1,0,IFERROR(LOOKUP(2,1/(Aveia!$E37:INDEX(Aveia!$E37:$Z37,MIN(AG$6-$E$3,22))&lt;&gt;""),Aveia!$E37:INDEX(Aveia!$E37:$Z37,MIN(AG$6-$E$3,22))),0))-IF($G$2,0,IF((AG$6-$G$3)&lt;1,0,IFERROR(LOOKUP(2,1/(Aveia!$E37:INDEX(Aveia!$E37:$Z37,MIN(AG$6-$G$3,22))&lt;&gt;""),Aveia!$E37:INDEX(Aveia!$E37:$Z37,MIN(AG$6-$G$3,22))),0)))))</f>
        <v>0</v>
      </c>
      <c r="AH39" s="27" t="n">
        <f aca="false">IF(COUNT(Aveia!$E37:$Z37)=0,0,MAX(0,IF((AH$6-$E$3)&lt;1,0,IFERROR(LOOKUP(2,1/(Aveia!$E37:INDEX(Aveia!$E37:$Z37,MIN(AH$6-$E$3,22))&lt;&gt;""),Aveia!$E37:INDEX(Aveia!$E37:$Z37,MIN(AH$6-$E$3,22))),0))-IF($G$2,0,IF((AH$6-$G$3)&lt;1,0,IFERROR(LOOKUP(2,1/(Aveia!$E37:INDEX(Aveia!$E37:$Z37,MIN(AH$6-$G$3,22))&lt;&gt;""),Aveia!$E37:INDEX(Aveia!$E37:$Z37,MIN(AH$6-$G$3,22))),0)))))</f>
        <v>0</v>
      </c>
      <c r="AI39" s="27" t="n">
        <f aca="false">IF(COUNT(Aveia!$E37:$Z37)=0,0,MAX(0,IF((AI$6-$E$3)&lt;1,0,IFERROR(LOOKUP(2,1/(Aveia!$E37:INDEX(Aveia!$E37:$Z37,MIN(AI$6-$E$3,22))&lt;&gt;""),Aveia!$E37:INDEX(Aveia!$E37:$Z37,MIN(AI$6-$E$3,22))),0))-IF($G$2,0,IF((AI$6-$G$3)&lt;1,0,IFERROR(LOOKUP(2,1/(Aveia!$E37:INDEX(Aveia!$E37:$Z37,MIN(AI$6-$G$3,22))&lt;&gt;""),Aveia!$E37:INDEX(Aveia!$E37:$Z37,MIN(AI$6-$G$3,22))),0)))))</f>
        <v>0</v>
      </c>
      <c r="AJ39" s="27" t="n">
        <f aca="false">IF(COUNT(Aveia!$E37:$Z37)=0,0,MAX(0,IF((AJ$6-$E$3)&lt;1,0,IFERROR(LOOKUP(2,1/(Aveia!$E37:INDEX(Aveia!$E37:$Z37,MIN(AJ$6-$E$3,22))&lt;&gt;""),Aveia!$E37:INDEX(Aveia!$E37:$Z37,MIN(AJ$6-$E$3,22))),0))-IF($G$2,0,IF((AJ$6-$G$3)&lt;1,0,IFERROR(LOOKUP(2,1/(Aveia!$E37:INDEX(Aveia!$E37:$Z37,MIN(AJ$6-$G$3,22))&lt;&gt;""),Aveia!$E37:INDEX(Aveia!$E37:$Z37,MIN(AJ$6-$G$3,22))),0)))))</f>
        <v>0</v>
      </c>
      <c r="AK39" s="27" t="n">
        <f aca="false">IF(COUNT(Aveia!$E37:$Z37)=0,0,MAX(0,IF((AK$6-$E$3)&lt;1,0,IFERROR(LOOKUP(2,1/(Aveia!$E37:INDEX(Aveia!$E37:$Z37,MIN(AK$6-$E$3,22))&lt;&gt;""),Aveia!$E37:INDEX(Aveia!$E37:$Z37,MIN(AK$6-$E$3,22))),0))-IF($G$2,0,IF((AK$6-$G$3)&lt;1,0,IFERROR(LOOKUP(2,1/(Aveia!$E37:INDEX(Aveia!$E37:$Z37,MIN(AK$6-$G$3,22))&lt;&gt;""),Aveia!$E37:INDEX(Aveia!$E37:$Z37,MIN(AK$6-$G$3,22))),0)))))</f>
        <v>0</v>
      </c>
      <c r="AL39" s="27" t="n">
        <f aca="false">IF(COUNT(Aveia!$E37:$Z37)=0,0,MAX(0,IF((AL$6-$E$3)&lt;1,0,IFERROR(LOOKUP(2,1/(Aveia!$E37:INDEX(Aveia!$E37:$Z37,MIN(AL$6-$E$3,22))&lt;&gt;""),Aveia!$E37:INDEX(Aveia!$E37:$Z37,MIN(AL$6-$E$3,22))),0))-IF($G$2,0,IF((AL$6-$G$3)&lt;1,0,IFERROR(LOOKUP(2,1/(Aveia!$E37:INDEX(Aveia!$E37:$Z37,MIN(AL$6-$G$3,22))&lt;&gt;""),Aveia!$E37:INDEX(Aveia!$E37:$Z37,MIN(AL$6-$G$3,22))),0)))))</f>
        <v>0</v>
      </c>
      <c r="AM39" s="27" t="n">
        <f aca="false">IF(COUNT(Aveia!$E37:$Z37)=0,0,MAX(0,IF((AM$6-$E$3)&lt;1,0,IFERROR(LOOKUP(2,1/(Aveia!$E37:INDEX(Aveia!$E37:$Z37,MIN(AM$6-$E$3,22))&lt;&gt;""),Aveia!$E37:INDEX(Aveia!$E37:$Z37,MIN(AM$6-$E$3,22))),0))-IF($G$2,0,IF((AM$6-$G$3)&lt;1,0,IFERROR(LOOKUP(2,1/(Aveia!$E37:INDEX(Aveia!$E37:$Z37,MIN(AM$6-$G$3,22))&lt;&gt;""),Aveia!$E37:INDEX(Aveia!$E37:$Z37,MIN(AM$6-$G$3,22))),0)))))</f>
        <v>0</v>
      </c>
      <c r="AN39" s="27" t="n">
        <f aca="false">IF(COUNT(Aveia!$E37:$Z37)=0,0,MAX(0,IF((AN$6-$E$3)&lt;1,0,IFERROR(LOOKUP(2,1/(Aveia!$E37:INDEX(Aveia!$E37:$Z37,MIN(AN$6-$E$3,22))&lt;&gt;""),Aveia!$E37:INDEX(Aveia!$E37:$Z37,MIN(AN$6-$E$3,22))),0))-IF($G$2,0,IF((AN$6-$G$3)&lt;1,0,IFERROR(LOOKUP(2,1/(Aveia!$E37:INDEX(Aveia!$E37:$Z37,MIN(AN$6-$G$3,22))&lt;&gt;""),Aveia!$E37:INDEX(Aveia!$E37:$Z37,MIN(AN$6-$G$3,22))),0)))))</f>
        <v>0</v>
      </c>
      <c r="AO39" s="27" t="n">
        <f aca="false">IF(COUNT(Aveia!$E37:$Z37)=0,0,MAX(0,IF((AO$6-$E$3)&lt;1,0,IFERROR(LOOKUP(2,1/(Aveia!$E37:INDEX(Aveia!$E37:$Z37,MIN(AO$6-$E$3,22))&lt;&gt;""),Aveia!$E37:INDEX(Aveia!$E37:$Z37,MIN(AO$6-$E$3,22))),0))-IF($G$2,0,IF((AO$6-$G$3)&lt;1,0,IFERROR(LOOKUP(2,1/(Aveia!$E37:INDEX(Aveia!$E37:$Z37,MIN(AO$6-$G$3,22))&lt;&gt;""),Aveia!$E37:INDEX(Aveia!$E37:$Z37,MIN(AO$6-$G$3,22))),0)))))</f>
        <v>0</v>
      </c>
      <c r="AP39" s="27" t="n">
        <f aca="false">IF(COUNT(Aveia!$E37:$Z37)=0,0,MAX(0,IF((AP$6-$E$3)&lt;1,0,IFERROR(LOOKUP(2,1/(Aveia!$E37:INDEX(Aveia!$E37:$Z37,MIN(AP$6-$E$3,22))&lt;&gt;""),Aveia!$E37:INDEX(Aveia!$E37:$Z37,MIN(AP$6-$E$3,22))),0))-IF($G$2,0,IF((AP$6-$G$3)&lt;1,0,IFERROR(LOOKUP(2,1/(Aveia!$E37:INDEX(Aveia!$E37:$Z37,MIN(AP$6-$G$3,22))&lt;&gt;""),Aveia!$E37:INDEX(Aveia!$E37:$Z37,MIN(AP$6-$G$3,22))),0)))))</f>
        <v>0</v>
      </c>
      <c r="AQ39" s="27" t="n">
        <f aca="false">IF(COUNT(Aveia!$E37:$Z37)=0,0,MAX(0,IF((AQ$6-$E$3)&lt;1,0,IFERROR(LOOKUP(2,1/(Aveia!$E37:INDEX(Aveia!$E37:$Z37,MIN(AQ$6-$E$3,22))&lt;&gt;""),Aveia!$E37:INDEX(Aveia!$E37:$Z37,MIN(AQ$6-$E$3,22))),0))-IF($G$2,0,IF((AQ$6-$G$3)&lt;1,0,IFERROR(LOOKUP(2,1/(Aveia!$E37:INDEX(Aveia!$E37:$Z37,MIN(AQ$6-$G$3,22))&lt;&gt;""),Aveia!$E37:INDEX(Aveia!$E37:$Z37,MIN(AQ$6-$G$3,22))),0)))))</f>
        <v>0</v>
      </c>
      <c r="AR39" s="27" t="n">
        <f aca="false">IF(COUNT(Aveia!$E37:$Z37)=0,0,MAX(0,IF((AR$6-$E$3)&lt;1,0,IFERROR(LOOKUP(2,1/(Aveia!$E37:INDEX(Aveia!$E37:$Z37,MIN(AR$6-$E$3,22))&lt;&gt;""),Aveia!$E37:INDEX(Aveia!$E37:$Z37,MIN(AR$6-$E$3,22))),0))-IF($G$2,0,IF((AR$6-$G$3)&lt;1,0,IFERROR(LOOKUP(2,1/(Aveia!$E37:INDEX(Aveia!$E37:$Z37,MIN(AR$6-$G$3,22))&lt;&gt;""),Aveia!$E37:INDEX(Aveia!$E37:$Z37,MIN(AR$6-$G$3,22))),0)))))</f>
        <v>0</v>
      </c>
      <c r="AS39" s="27" t="n">
        <f aca="false">IF(COUNT(Aveia!$E37:$Z37)=0,0,MAX(0,IF((AS$6-$E$3)&lt;1,0,IFERROR(LOOKUP(2,1/(Aveia!$E37:INDEX(Aveia!$E37:$Z37,MIN(AS$6-$E$3,22))&lt;&gt;""),Aveia!$E37:INDEX(Aveia!$E37:$Z37,MIN(AS$6-$E$3,22))),0))-IF($G$2,0,IF((AS$6-$G$3)&lt;1,0,IFERROR(LOOKUP(2,1/(Aveia!$E37:INDEX(Aveia!$E37:$Z37,MIN(AS$6-$G$3,22))&lt;&gt;""),Aveia!$E37:INDEX(Aveia!$E37:$Z37,MIN(AS$6-$G$3,22))),0)))))</f>
        <v>0</v>
      </c>
      <c r="AT39" s="27" t="n">
        <f aca="false">IF(COUNT(Aveia!$E37:$Z37)=0,0,MAX(0,IF((AT$6-$E$3)&lt;1,0,IFERROR(LOOKUP(2,1/(Aveia!$E37:INDEX(Aveia!$E37:$Z37,MIN(AT$6-$E$3,22))&lt;&gt;""),Aveia!$E37:INDEX(Aveia!$E37:$Z37,MIN(AT$6-$E$3,22))),0))-IF($G$2,0,IF((AT$6-$G$3)&lt;1,0,IFERROR(LOOKUP(2,1/(Aveia!$E37:INDEX(Aveia!$E37:$Z37,MIN(AT$6-$G$3,22))&lt;&gt;""),Aveia!$E37:INDEX(Aveia!$E37:$Z37,MIN(AT$6-$G$3,22))),0)))))</f>
        <v>0</v>
      </c>
      <c r="AU39" s="27" t="n">
        <f aca="false">IF(COUNT(Aveia!$E37:$Z37)=0,0,MAX(0,IF((AU$6-$E$3)&lt;1,0,IFERROR(LOOKUP(2,1/(Aveia!$E37:INDEX(Aveia!$E37:$Z37,MIN(AU$6-$E$3,22))&lt;&gt;""),Aveia!$E37:INDEX(Aveia!$E37:$Z37,MIN(AU$6-$E$3,22))),0))-IF($G$2,0,IF((AU$6-$G$3)&lt;1,0,IFERROR(LOOKUP(2,1/(Aveia!$E37:INDEX(Aveia!$E37:$Z37,MIN(AU$6-$G$3,22))&lt;&gt;""),Aveia!$E37:INDEX(Aveia!$E37:$Z37,MIN(AU$6-$G$3,22))),0)))))</f>
        <v>0</v>
      </c>
      <c r="AV39" s="27" t="n">
        <f aca="false">IF(COUNT(Aveia!$E37:$Z37)=0,0,MAX(0,IF((AV$6-$E$3)&lt;1,0,IFERROR(LOOKUP(2,1/(Aveia!$E37:INDEX(Aveia!$E37:$Z37,MIN(AV$6-$E$3,22))&lt;&gt;""),Aveia!$E37:INDEX(Aveia!$E37:$Z37,MIN(AV$6-$E$3,22))),0))-IF($G$2,0,IF((AV$6-$G$3)&lt;1,0,IFERROR(LOOKUP(2,1/(Aveia!$E37:INDEX(Aveia!$E37:$Z37,MIN(AV$6-$G$3,22))&lt;&gt;""),Aveia!$E37:INDEX(Aveia!$E37:$Z37,MIN(AV$6-$G$3,22))),0)))))</f>
        <v>0</v>
      </c>
      <c r="AW39" s="27" t="n">
        <f aca="false">IF(COUNT(Aveia!$E37:$Z37)=0,0,MAX(0,IF((AW$6-$E$3)&lt;1,0,IFERROR(LOOKUP(2,1/(Aveia!$E37:INDEX(Aveia!$E37:$Z37,MIN(AW$6-$E$3,22))&lt;&gt;""),Aveia!$E37:INDEX(Aveia!$E37:$Z37,MIN(AW$6-$E$3,22))),0))-IF($G$2,0,IF((AW$6-$G$3)&lt;1,0,IFERROR(LOOKUP(2,1/(Aveia!$E37:INDEX(Aveia!$E37:$Z37,MIN(AW$6-$G$3,22))&lt;&gt;""),Aveia!$E37:INDEX(Aveia!$E37:$Z37,MIN(AW$6-$G$3,22))),0)))))</f>
        <v>0</v>
      </c>
      <c r="AX39" s="27" t="n">
        <f aca="false">IF(COUNT(Aveia!$E37:$Z37)=0,0,MAX(0,IF((AX$6-$E$3)&lt;1,0,IFERROR(LOOKUP(2,1/(Aveia!$E37:INDEX(Aveia!$E37:$Z37,MIN(AX$6-$E$3,22))&lt;&gt;""),Aveia!$E37:INDEX(Aveia!$E37:$Z37,MIN(AX$6-$E$3,22))),0))-IF($G$2,0,IF((AX$6-$G$3)&lt;1,0,IFERROR(LOOKUP(2,1/(Aveia!$E37:INDEX(Aveia!$E37:$Z37,MIN(AX$6-$G$3,22))&lt;&gt;""),Aveia!$E37:INDEX(Aveia!$E37:$Z37,MIN(AX$6-$G$3,22))),0)))))</f>
        <v>0</v>
      </c>
      <c r="AY39" s="27" t="n">
        <f aca="false">IF(COUNT(Aveia!$E37:$Z37)=0,0,MAX(0,IF((AY$6-$E$3)&lt;1,0,IFERROR(LOOKUP(2,1/(Aveia!$E37:INDEX(Aveia!$E37:$Z37,MIN(AY$6-$E$3,22))&lt;&gt;""),Aveia!$E37:INDEX(Aveia!$E37:$Z37,MIN(AY$6-$E$3,22))),0))-IF($G$2,0,IF((AY$6-$G$3)&lt;1,0,IFERROR(LOOKUP(2,1/(Aveia!$E37:INDEX(Aveia!$E37:$Z37,MIN(AY$6-$G$3,22))&lt;&gt;""),Aveia!$E37:INDEX(Aveia!$E37:$Z37,MIN(AY$6-$G$3,22))),0)))))</f>
        <v>0</v>
      </c>
      <c r="AZ39" s="27" t="n">
        <f aca="false">IF(COUNT(Aveia!$E37:$Z37)=0,0,MAX(0,IF((AZ$6-$E$3)&lt;1,0,IFERROR(LOOKUP(2,1/(Aveia!$E37:INDEX(Aveia!$E37:$Z37,MIN(AZ$6-$E$3,22))&lt;&gt;""),Aveia!$E37:INDEX(Aveia!$E37:$Z37,MIN(AZ$6-$E$3,22))),0))-IF($G$2,0,IF((AZ$6-$G$3)&lt;1,0,IFERROR(LOOKUP(2,1/(Aveia!$E37:INDEX(Aveia!$E37:$Z37,MIN(AZ$6-$G$3,22))&lt;&gt;""),Aveia!$E37:INDEX(Aveia!$E37:$Z37,MIN(AZ$6-$G$3,22))),0)))))</f>
        <v>0</v>
      </c>
    </row>
    <row r="40" customFormat="false" ht="15" hidden="false" customHeight="false" outlineLevel="0" collapsed="false">
      <c r="A40" s="3" t="s">
        <v>201</v>
      </c>
      <c r="B40" s="3" t="s">
        <v>202</v>
      </c>
      <c r="C40" s="10" t="s">
        <v>132</v>
      </c>
      <c r="D40" s="26" t="n">
        <f aca="false">IF(COUNT(Aveia!$E38:$Z38)&gt;0,N(Aveia!$D38),0)</f>
        <v>0</v>
      </c>
      <c r="E40" s="27" t="n">
        <f aca="false">IF(COUNT(Aveia!$E38:$Z38)=0,0,MAX(0,IF((E$6-$E$3)&lt;1,0,IFERROR(LOOKUP(2,1/(Aveia!$E38:INDEX(Aveia!$E38:$Z38,MIN(E$6-$E$3,22))&lt;&gt;""),Aveia!$E38:INDEX(Aveia!$E38:$Z38,MIN(E$6-$E$3,22))),0))-IF($G$2,0,IF((E$6-$G$3)&lt;1,0,IFERROR(LOOKUP(2,1/(Aveia!$E38:INDEX(Aveia!$E38:$Z38,MIN(E$6-$G$3,22))&lt;&gt;""),Aveia!$E38:INDEX(Aveia!$E38:$Z38,MIN(E$6-$G$3,22))),0)))))</f>
        <v>0</v>
      </c>
      <c r="F40" s="27" t="n">
        <f aca="false">IF(COUNT(Aveia!$E38:$Z38)=0,0,MAX(0,IF((F$6-$E$3)&lt;1,0,IFERROR(LOOKUP(2,1/(Aveia!$E38:INDEX(Aveia!$E38:$Z38,MIN(F$6-$E$3,22))&lt;&gt;""),Aveia!$E38:INDEX(Aveia!$E38:$Z38,MIN(F$6-$E$3,22))),0))-IF($G$2,0,IF((F$6-$G$3)&lt;1,0,IFERROR(LOOKUP(2,1/(Aveia!$E38:INDEX(Aveia!$E38:$Z38,MIN(F$6-$G$3,22))&lt;&gt;""),Aveia!$E38:INDEX(Aveia!$E38:$Z38,MIN(F$6-$G$3,22))),0)))))</f>
        <v>0</v>
      </c>
      <c r="G40" s="27" t="n">
        <f aca="false">IF(COUNT(Aveia!$E38:$Z38)=0,0,MAX(0,IF((G$6-$E$3)&lt;1,0,IFERROR(LOOKUP(2,1/(Aveia!$E38:INDEX(Aveia!$E38:$Z38,MIN(G$6-$E$3,22))&lt;&gt;""),Aveia!$E38:INDEX(Aveia!$E38:$Z38,MIN(G$6-$E$3,22))),0))-IF($G$2,0,IF((G$6-$G$3)&lt;1,0,IFERROR(LOOKUP(2,1/(Aveia!$E38:INDEX(Aveia!$E38:$Z38,MIN(G$6-$G$3,22))&lt;&gt;""),Aveia!$E38:INDEX(Aveia!$E38:$Z38,MIN(G$6-$G$3,22))),0)))))</f>
        <v>0</v>
      </c>
      <c r="H40" s="27" t="n">
        <f aca="false">IF(COUNT(Aveia!$E38:$Z38)=0,0,MAX(0,IF((H$6-$E$3)&lt;1,0,IFERROR(LOOKUP(2,1/(Aveia!$E38:INDEX(Aveia!$E38:$Z38,MIN(H$6-$E$3,22))&lt;&gt;""),Aveia!$E38:INDEX(Aveia!$E38:$Z38,MIN(H$6-$E$3,22))),0))-IF($G$2,0,IF((H$6-$G$3)&lt;1,0,IFERROR(LOOKUP(2,1/(Aveia!$E38:INDEX(Aveia!$E38:$Z38,MIN(H$6-$G$3,22))&lt;&gt;""),Aveia!$E38:INDEX(Aveia!$E38:$Z38,MIN(H$6-$G$3,22))),0)))))</f>
        <v>0</v>
      </c>
      <c r="I40" s="27" t="n">
        <f aca="false">IF(COUNT(Aveia!$E38:$Z38)=0,0,MAX(0,IF((I$6-$E$3)&lt;1,0,IFERROR(LOOKUP(2,1/(Aveia!$E38:INDEX(Aveia!$E38:$Z38,MIN(I$6-$E$3,22))&lt;&gt;""),Aveia!$E38:INDEX(Aveia!$E38:$Z38,MIN(I$6-$E$3,22))),0))-IF($G$2,0,IF((I$6-$G$3)&lt;1,0,IFERROR(LOOKUP(2,1/(Aveia!$E38:INDEX(Aveia!$E38:$Z38,MIN(I$6-$G$3,22))&lt;&gt;""),Aveia!$E38:INDEX(Aveia!$E38:$Z38,MIN(I$6-$G$3,22))),0)))))</f>
        <v>0</v>
      </c>
      <c r="J40" s="27" t="n">
        <f aca="false">IF(COUNT(Aveia!$E38:$Z38)=0,0,MAX(0,IF((J$6-$E$3)&lt;1,0,IFERROR(LOOKUP(2,1/(Aveia!$E38:INDEX(Aveia!$E38:$Z38,MIN(J$6-$E$3,22))&lt;&gt;""),Aveia!$E38:INDEX(Aveia!$E38:$Z38,MIN(J$6-$E$3,22))),0))-IF($G$2,0,IF((J$6-$G$3)&lt;1,0,IFERROR(LOOKUP(2,1/(Aveia!$E38:INDEX(Aveia!$E38:$Z38,MIN(J$6-$G$3,22))&lt;&gt;""),Aveia!$E38:INDEX(Aveia!$E38:$Z38,MIN(J$6-$G$3,22))),0)))))</f>
        <v>0</v>
      </c>
      <c r="K40" s="27" t="n">
        <f aca="false">IF(COUNT(Aveia!$E38:$Z38)=0,0,MAX(0,IF((K$6-$E$3)&lt;1,0,IFERROR(LOOKUP(2,1/(Aveia!$E38:INDEX(Aveia!$E38:$Z38,MIN(K$6-$E$3,22))&lt;&gt;""),Aveia!$E38:INDEX(Aveia!$E38:$Z38,MIN(K$6-$E$3,22))),0))-IF($G$2,0,IF((K$6-$G$3)&lt;1,0,IFERROR(LOOKUP(2,1/(Aveia!$E38:INDEX(Aveia!$E38:$Z38,MIN(K$6-$G$3,22))&lt;&gt;""),Aveia!$E38:INDEX(Aveia!$E38:$Z38,MIN(K$6-$G$3,22))),0)))))</f>
        <v>0</v>
      </c>
      <c r="L40" s="27" t="n">
        <f aca="false">IF(COUNT(Aveia!$E38:$Z38)=0,0,MAX(0,IF((L$6-$E$3)&lt;1,0,IFERROR(LOOKUP(2,1/(Aveia!$E38:INDEX(Aveia!$E38:$Z38,MIN(L$6-$E$3,22))&lt;&gt;""),Aveia!$E38:INDEX(Aveia!$E38:$Z38,MIN(L$6-$E$3,22))),0))-IF($G$2,0,IF((L$6-$G$3)&lt;1,0,IFERROR(LOOKUP(2,1/(Aveia!$E38:INDEX(Aveia!$E38:$Z38,MIN(L$6-$G$3,22))&lt;&gt;""),Aveia!$E38:INDEX(Aveia!$E38:$Z38,MIN(L$6-$G$3,22))),0)))))</f>
        <v>0</v>
      </c>
      <c r="M40" s="27" t="n">
        <f aca="false">IF(COUNT(Aveia!$E38:$Z38)=0,0,MAX(0,IF((M$6-$E$3)&lt;1,0,IFERROR(LOOKUP(2,1/(Aveia!$E38:INDEX(Aveia!$E38:$Z38,MIN(M$6-$E$3,22))&lt;&gt;""),Aveia!$E38:INDEX(Aveia!$E38:$Z38,MIN(M$6-$E$3,22))),0))-IF($G$2,0,IF((M$6-$G$3)&lt;1,0,IFERROR(LOOKUP(2,1/(Aveia!$E38:INDEX(Aveia!$E38:$Z38,MIN(M$6-$G$3,22))&lt;&gt;""),Aveia!$E38:INDEX(Aveia!$E38:$Z38,MIN(M$6-$G$3,22))),0)))))</f>
        <v>0</v>
      </c>
      <c r="N40" s="27" t="n">
        <f aca="false">IF(COUNT(Aveia!$E38:$Z38)=0,0,MAX(0,IF((N$6-$E$3)&lt;1,0,IFERROR(LOOKUP(2,1/(Aveia!$E38:INDEX(Aveia!$E38:$Z38,MIN(N$6-$E$3,22))&lt;&gt;""),Aveia!$E38:INDEX(Aveia!$E38:$Z38,MIN(N$6-$E$3,22))),0))-IF($G$2,0,IF((N$6-$G$3)&lt;1,0,IFERROR(LOOKUP(2,1/(Aveia!$E38:INDEX(Aveia!$E38:$Z38,MIN(N$6-$G$3,22))&lt;&gt;""),Aveia!$E38:INDEX(Aveia!$E38:$Z38,MIN(N$6-$G$3,22))),0)))))</f>
        <v>0</v>
      </c>
      <c r="O40" s="27" t="n">
        <f aca="false">IF(COUNT(Aveia!$E38:$Z38)=0,0,MAX(0,IF((O$6-$E$3)&lt;1,0,IFERROR(LOOKUP(2,1/(Aveia!$E38:INDEX(Aveia!$E38:$Z38,MIN(O$6-$E$3,22))&lt;&gt;""),Aveia!$E38:INDEX(Aveia!$E38:$Z38,MIN(O$6-$E$3,22))),0))-IF($G$2,0,IF((O$6-$G$3)&lt;1,0,IFERROR(LOOKUP(2,1/(Aveia!$E38:INDEX(Aveia!$E38:$Z38,MIN(O$6-$G$3,22))&lt;&gt;""),Aveia!$E38:INDEX(Aveia!$E38:$Z38,MIN(O$6-$G$3,22))),0)))))</f>
        <v>0</v>
      </c>
      <c r="P40" s="27" t="n">
        <f aca="false">IF(COUNT(Aveia!$E38:$Z38)=0,0,MAX(0,IF((P$6-$E$3)&lt;1,0,IFERROR(LOOKUP(2,1/(Aveia!$E38:INDEX(Aveia!$E38:$Z38,MIN(P$6-$E$3,22))&lt;&gt;""),Aveia!$E38:INDEX(Aveia!$E38:$Z38,MIN(P$6-$E$3,22))),0))-IF($G$2,0,IF((P$6-$G$3)&lt;1,0,IFERROR(LOOKUP(2,1/(Aveia!$E38:INDEX(Aveia!$E38:$Z38,MIN(P$6-$G$3,22))&lt;&gt;""),Aveia!$E38:INDEX(Aveia!$E38:$Z38,MIN(P$6-$G$3,22))),0)))))</f>
        <v>0</v>
      </c>
      <c r="Q40" s="27" t="n">
        <f aca="false">IF(COUNT(Aveia!$E38:$Z38)=0,0,MAX(0,IF((Q$6-$E$3)&lt;1,0,IFERROR(LOOKUP(2,1/(Aveia!$E38:INDEX(Aveia!$E38:$Z38,MIN(Q$6-$E$3,22))&lt;&gt;""),Aveia!$E38:INDEX(Aveia!$E38:$Z38,MIN(Q$6-$E$3,22))),0))-IF($G$2,0,IF((Q$6-$G$3)&lt;1,0,IFERROR(LOOKUP(2,1/(Aveia!$E38:INDEX(Aveia!$E38:$Z38,MIN(Q$6-$G$3,22))&lt;&gt;""),Aveia!$E38:INDEX(Aveia!$E38:$Z38,MIN(Q$6-$G$3,22))),0)))))</f>
        <v>0</v>
      </c>
      <c r="R40" s="27" t="n">
        <f aca="false">IF(COUNT(Aveia!$E38:$Z38)=0,0,MAX(0,IF((R$6-$E$3)&lt;1,0,IFERROR(LOOKUP(2,1/(Aveia!$E38:INDEX(Aveia!$E38:$Z38,MIN(R$6-$E$3,22))&lt;&gt;""),Aveia!$E38:INDEX(Aveia!$E38:$Z38,MIN(R$6-$E$3,22))),0))-IF($G$2,0,IF((R$6-$G$3)&lt;1,0,IFERROR(LOOKUP(2,1/(Aveia!$E38:INDEX(Aveia!$E38:$Z38,MIN(R$6-$G$3,22))&lt;&gt;""),Aveia!$E38:INDEX(Aveia!$E38:$Z38,MIN(R$6-$G$3,22))),0)))))</f>
        <v>0</v>
      </c>
      <c r="S40" s="27" t="n">
        <f aca="false">IF(COUNT(Aveia!$E38:$Z38)=0,0,MAX(0,IF((S$6-$E$3)&lt;1,0,IFERROR(LOOKUP(2,1/(Aveia!$E38:INDEX(Aveia!$E38:$Z38,MIN(S$6-$E$3,22))&lt;&gt;""),Aveia!$E38:INDEX(Aveia!$E38:$Z38,MIN(S$6-$E$3,22))),0))-IF($G$2,0,IF((S$6-$G$3)&lt;1,0,IFERROR(LOOKUP(2,1/(Aveia!$E38:INDEX(Aveia!$E38:$Z38,MIN(S$6-$G$3,22))&lt;&gt;""),Aveia!$E38:INDEX(Aveia!$E38:$Z38,MIN(S$6-$G$3,22))),0)))))</f>
        <v>0</v>
      </c>
      <c r="T40" s="27" t="n">
        <f aca="false">IF(COUNT(Aveia!$E38:$Z38)=0,0,MAX(0,IF((T$6-$E$3)&lt;1,0,IFERROR(LOOKUP(2,1/(Aveia!$E38:INDEX(Aveia!$E38:$Z38,MIN(T$6-$E$3,22))&lt;&gt;""),Aveia!$E38:INDEX(Aveia!$E38:$Z38,MIN(T$6-$E$3,22))),0))-IF($G$2,0,IF((T$6-$G$3)&lt;1,0,IFERROR(LOOKUP(2,1/(Aveia!$E38:INDEX(Aveia!$E38:$Z38,MIN(T$6-$G$3,22))&lt;&gt;""),Aveia!$E38:INDEX(Aveia!$E38:$Z38,MIN(T$6-$G$3,22))),0)))))</f>
        <v>0</v>
      </c>
      <c r="U40" s="27" t="n">
        <f aca="false">IF(COUNT(Aveia!$E38:$Z38)=0,0,MAX(0,IF((U$6-$E$3)&lt;1,0,IFERROR(LOOKUP(2,1/(Aveia!$E38:INDEX(Aveia!$E38:$Z38,MIN(U$6-$E$3,22))&lt;&gt;""),Aveia!$E38:INDEX(Aveia!$E38:$Z38,MIN(U$6-$E$3,22))),0))-IF($G$2,0,IF((U$6-$G$3)&lt;1,0,IFERROR(LOOKUP(2,1/(Aveia!$E38:INDEX(Aveia!$E38:$Z38,MIN(U$6-$G$3,22))&lt;&gt;""),Aveia!$E38:INDEX(Aveia!$E38:$Z38,MIN(U$6-$G$3,22))),0)))))</f>
        <v>0</v>
      </c>
      <c r="V40" s="27" t="n">
        <f aca="false">IF(COUNT(Aveia!$E38:$Z38)=0,0,MAX(0,IF((V$6-$E$3)&lt;1,0,IFERROR(LOOKUP(2,1/(Aveia!$E38:INDEX(Aveia!$E38:$Z38,MIN(V$6-$E$3,22))&lt;&gt;""),Aveia!$E38:INDEX(Aveia!$E38:$Z38,MIN(V$6-$E$3,22))),0))-IF($G$2,0,IF((V$6-$G$3)&lt;1,0,IFERROR(LOOKUP(2,1/(Aveia!$E38:INDEX(Aveia!$E38:$Z38,MIN(V$6-$G$3,22))&lt;&gt;""),Aveia!$E38:INDEX(Aveia!$E38:$Z38,MIN(V$6-$G$3,22))),0)))))</f>
        <v>0</v>
      </c>
      <c r="W40" s="27" t="n">
        <f aca="false">IF(COUNT(Aveia!$E38:$Z38)=0,0,MAX(0,IF((W$6-$E$3)&lt;1,0,IFERROR(LOOKUP(2,1/(Aveia!$E38:INDEX(Aveia!$E38:$Z38,MIN(W$6-$E$3,22))&lt;&gt;""),Aveia!$E38:INDEX(Aveia!$E38:$Z38,MIN(W$6-$E$3,22))),0))-IF($G$2,0,IF((W$6-$G$3)&lt;1,0,IFERROR(LOOKUP(2,1/(Aveia!$E38:INDEX(Aveia!$E38:$Z38,MIN(W$6-$G$3,22))&lt;&gt;""),Aveia!$E38:INDEX(Aveia!$E38:$Z38,MIN(W$6-$G$3,22))),0)))))</f>
        <v>0</v>
      </c>
      <c r="X40" s="27" t="n">
        <f aca="false">IF(COUNT(Aveia!$E38:$Z38)=0,0,MAX(0,IF((X$6-$E$3)&lt;1,0,IFERROR(LOOKUP(2,1/(Aveia!$E38:INDEX(Aveia!$E38:$Z38,MIN(X$6-$E$3,22))&lt;&gt;""),Aveia!$E38:INDEX(Aveia!$E38:$Z38,MIN(X$6-$E$3,22))),0))-IF($G$2,0,IF((X$6-$G$3)&lt;1,0,IFERROR(LOOKUP(2,1/(Aveia!$E38:INDEX(Aveia!$E38:$Z38,MIN(X$6-$G$3,22))&lt;&gt;""),Aveia!$E38:INDEX(Aveia!$E38:$Z38,MIN(X$6-$G$3,22))),0)))))</f>
        <v>0</v>
      </c>
      <c r="Y40" s="27" t="n">
        <f aca="false">IF(COUNT(Aveia!$E38:$Z38)=0,0,MAX(0,IF((Y$6-$E$3)&lt;1,0,IFERROR(LOOKUP(2,1/(Aveia!$E38:INDEX(Aveia!$E38:$Z38,MIN(Y$6-$E$3,22))&lt;&gt;""),Aveia!$E38:INDEX(Aveia!$E38:$Z38,MIN(Y$6-$E$3,22))),0))-IF($G$2,0,IF((Y$6-$G$3)&lt;1,0,IFERROR(LOOKUP(2,1/(Aveia!$E38:INDEX(Aveia!$E38:$Z38,MIN(Y$6-$G$3,22))&lt;&gt;""),Aveia!$E38:INDEX(Aveia!$E38:$Z38,MIN(Y$6-$G$3,22))),0)))))</f>
        <v>0</v>
      </c>
      <c r="Z40" s="27" t="n">
        <f aca="false">IF(COUNT(Aveia!$E38:$Z38)=0,0,MAX(0,IF((Z$6-$E$3)&lt;1,0,IFERROR(LOOKUP(2,1/(Aveia!$E38:INDEX(Aveia!$E38:$Z38,MIN(Z$6-$E$3,22))&lt;&gt;""),Aveia!$E38:INDEX(Aveia!$E38:$Z38,MIN(Z$6-$E$3,22))),0))-IF($G$2,0,IF((Z$6-$G$3)&lt;1,0,IFERROR(LOOKUP(2,1/(Aveia!$E38:INDEX(Aveia!$E38:$Z38,MIN(Z$6-$G$3,22))&lt;&gt;""),Aveia!$E38:INDEX(Aveia!$E38:$Z38,MIN(Z$6-$G$3,22))),0)))))</f>
        <v>0</v>
      </c>
      <c r="AA40" s="27" t="n">
        <f aca="false">IF(COUNT(Aveia!$E38:$Z38)=0,0,MAX(0,IF((AA$6-$E$3)&lt;1,0,IFERROR(LOOKUP(2,1/(Aveia!$E38:INDEX(Aveia!$E38:$Z38,MIN(AA$6-$E$3,22))&lt;&gt;""),Aveia!$E38:INDEX(Aveia!$E38:$Z38,MIN(AA$6-$E$3,22))),0))-IF($G$2,0,IF((AA$6-$G$3)&lt;1,0,IFERROR(LOOKUP(2,1/(Aveia!$E38:INDEX(Aveia!$E38:$Z38,MIN(AA$6-$G$3,22))&lt;&gt;""),Aveia!$E38:INDEX(Aveia!$E38:$Z38,MIN(AA$6-$G$3,22))),0)))))</f>
        <v>0</v>
      </c>
      <c r="AB40" s="27" t="n">
        <f aca="false">IF(COUNT(Aveia!$E38:$Z38)=0,0,MAX(0,IF((AB$6-$E$3)&lt;1,0,IFERROR(LOOKUP(2,1/(Aveia!$E38:INDEX(Aveia!$E38:$Z38,MIN(AB$6-$E$3,22))&lt;&gt;""),Aveia!$E38:INDEX(Aveia!$E38:$Z38,MIN(AB$6-$E$3,22))),0))-IF($G$2,0,IF((AB$6-$G$3)&lt;1,0,IFERROR(LOOKUP(2,1/(Aveia!$E38:INDEX(Aveia!$E38:$Z38,MIN(AB$6-$G$3,22))&lt;&gt;""),Aveia!$E38:INDEX(Aveia!$E38:$Z38,MIN(AB$6-$G$3,22))),0)))))</f>
        <v>0</v>
      </c>
      <c r="AC40" s="27" t="n">
        <f aca="false">IF(COUNT(Aveia!$E38:$Z38)=0,0,MAX(0,IF((AC$6-$E$3)&lt;1,0,IFERROR(LOOKUP(2,1/(Aveia!$E38:INDEX(Aveia!$E38:$Z38,MIN(AC$6-$E$3,22))&lt;&gt;""),Aveia!$E38:INDEX(Aveia!$E38:$Z38,MIN(AC$6-$E$3,22))),0))-IF($G$2,0,IF((AC$6-$G$3)&lt;1,0,IFERROR(LOOKUP(2,1/(Aveia!$E38:INDEX(Aveia!$E38:$Z38,MIN(AC$6-$G$3,22))&lt;&gt;""),Aveia!$E38:INDEX(Aveia!$E38:$Z38,MIN(AC$6-$G$3,22))),0)))))</f>
        <v>0</v>
      </c>
      <c r="AD40" s="27" t="n">
        <f aca="false">IF(COUNT(Aveia!$E38:$Z38)=0,0,MAX(0,IF((AD$6-$E$3)&lt;1,0,IFERROR(LOOKUP(2,1/(Aveia!$E38:INDEX(Aveia!$E38:$Z38,MIN(AD$6-$E$3,22))&lt;&gt;""),Aveia!$E38:INDEX(Aveia!$E38:$Z38,MIN(AD$6-$E$3,22))),0))-IF($G$2,0,IF((AD$6-$G$3)&lt;1,0,IFERROR(LOOKUP(2,1/(Aveia!$E38:INDEX(Aveia!$E38:$Z38,MIN(AD$6-$G$3,22))&lt;&gt;""),Aveia!$E38:INDEX(Aveia!$E38:$Z38,MIN(AD$6-$G$3,22))),0)))))</f>
        <v>0</v>
      </c>
      <c r="AE40" s="27" t="n">
        <f aca="false">IF(COUNT(Aveia!$E38:$Z38)=0,0,MAX(0,IF((AE$6-$E$3)&lt;1,0,IFERROR(LOOKUP(2,1/(Aveia!$E38:INDEX(Aveia!$E38:$Z38,MIN(AE$6-$E$3,22))&lt;&gt;""),Aveia!$E38:INDEX(Aveia!$E38:$Z38,MIN(AE$6-$E$3,22))),0))-IF($G$2,0,IF((AE$6-$G$3)&lt;1,0,IFERROR(LOOKUP(2,1/(Aveia!$E38:INDEX(Aveia!$E38:$Z38,MIN(AE$6-$G$3,22))&lt;&gt;""),Aveia!$E38:INDEX(Aveia!$E38:$Z38,MIN(AE$6-$G$3,22))),0)))))</f>
        <v>0</v>
      </c>
      <c r="AF40" s="27" t="n">
        <f aca="false">IF(COUNT(Aveia!$E38:$Z38)=0,0,MAX(0,IF((AF$6-$E$3)&lt;1,0,IFERROR(LOOKUP(2,1/(Aveia!$E38:INDEX(Aveia!$E38:$Z38,MIN(AF$6-$E$3,22))&lt;&gt;""),Aveia!$E38:INDEX(Aveia!$E38:$Z38,MIN(AF$6-$E$3,22))),0))-IF($G$2,0,IF((AF$6-$G$3)&lt;1,0,IFERROR(LOOKUP(2,1/(Aveia!$E38:INDEX(Aveia!$E38:$Z38,MIN(AF$6-$G$3,22))&lt;&gt;""),Aveia!$E38:INDEX(Aveia!$E38:$Z38,MIN(AF$6-$G$3,22))),0)))))</f>
        <v>0</v>
      </c>
      <c r="AG40" s="27" t="n">
        <f aca="false">IF(COUNT(Aveia!$E38:$Z38)=0,0,MAX(0,IF((AG$6-$E$3)&lt;1,0,IFERROR(LOOKUP(2,1/(Aveia!$E38:INDEX(Aveia!$E38:$Z38,MIN(AG$6-$E$3,22))&lt;&gt;""),Aveia!$E38:INDEX(Aveia!$E38:$Z38,MIN(AG$6-$E$3,22))),0))-IF($G$2,0,IF((AG$6-$G$3)&lt;1,0,IFERROR(LOOKUP(2,1/(Aveia!$E38:INDEX(Aveia!$E38:$Z38,MIN(AG$6-$G$3,22))&lt;&gt;""),Aveia!$E38:INDEX(Aveia!$E38:$Z38,MIN(AG$6-$G$3,22))),0)))))</f>
        <v>0</v>
      </c>
      <c r="AH40" s="27" t="n">
        <f aca="false">IF(COUNT(Aveia!$E38:$Z38)=0,0,MAX(0,IF((AH$6-$E$3)&lt;1,0,IFERROR(LOOKUP(2,1/(Aveia!$E38:INDEX(Aveia!$E38:$Z38,MIN(AH$6-$E$3,22))&lt;&gt;""),Aveia!$E38:INDEX(Aveia!$E38:$Z38,MIN(AH$6-$E$3,22))),0))-IF($G$2,0,IF((AH$6-$G$3)&lt;1,0,IFERROR(LOOKUP(2,1/(Aveia!$E38:INDEX(Aveia!$E38:$Z38,MIN(AH$6-$G$3,22))&lt;&gt;""),Aveia!$E38:INDEX(Aveia!$E38:$Z38,MIN(AH$6-$G$3,22))),0)))))</f>
        <v>0</v>
      </c>
      <c r="AI40" s="27" t="n">
        <f aca="false">IF(COUNT(Aveia!$E38:$Z38)=0,0,MAX(0,IF((AI$6-$E$3)&lt;1,0,IFERROR(LOOKUP(2,1/(Aveia!$E38:INDEX(Aveia!$E38:$Z38,MIN(AI$6-$E$3,22))&lt;&gt;""),Aveia!$E38:INDEX(Aveia!$E38:$Z38,MIN(AI$6-$E$3,22))),0))-IF($G$2,0,IF((AI$6-$G$3)&lt;1,0,IFERROR(LOOKUP(2,1/(Aveia!$E38:INDEX(Aveia!$E38:$Z38,MIN(AI$6-$G$3,22))&lt;&gt;""),Aveia!$E38:INDEX(Aveia!$E38:$Z38,MIN(AI$6-$G$3,22))),0)))))</f>
        <v>0</v>
      </c>
      <c r="AJ40" s="27" t="n">
        <f aca="false">IF(COUNT(Aveia!$E38:$Z38)=0,0,MAX(0,IF((AJ$6-$E$3)&lt;1,0,IFERROR(LOOKUP(2,1/(Aveia!$E38:INDEX(Aveia!$E38:$Z38,MIN(AJ$6-$E$3,22))&lt;&gt;""),Aveia!$E38:INDEX(Aveia!$E38:$Z38,MIN(AJ$6-$E$3,22))),0))-IF($G$2,0,IF((AJ$6-$G$3)&lt;1,0,IFERROR(LOOKUP(2,1/(Aveia!$E38:INDEX(Aveia!$E38:$Z38,MIN(AJ$6-$G$3,22))&lt;&gt;""),Aveia!$E38:INDEX(Aveia!$E38:$Z38,MIN(AJ$6-$G$3,22))),0)))))</f>
        <v>0</v>
      </c>
      <c r="AK40" s="27" t="n">
        <f aca="false">IF(COUNT(Aveia!$E38:$Z38)=0,0,MAX(0,IF((AK$6-$E$3)&lt;1,0,IFERROR(LOOKUP(2,1/(Aveia!$E38:INDEX(Aveia!$E38:$Z38,MIN(AK$6-$E$3,22))&lt;&gt;""),Aveia!$E38:INDEX(Aveia!$E38:$Z38,MIN(AK$6-$E$3,22))),0))-IF($G$2,0,IF((AK$6-$G$3)&lt;1,0,IFERROR(LOOKUP(2,1/(Aveia!$E38:INDEX(Aveia!$E38:$Z38,MIN(AK$6-$G$3,22))&lt;&gt;""),Aveia!$E38:INDEX(Aveia!$E38:$Z38,MIN(AK$6-$G$3,22))),0)))))</f>
        <v>0</v>
      </c>
      <c r="AL40" s="27" t="n">
        <f aca="false">IF(COUNT(Aveia!$E38:$Z38)=0,0,MAX(0,IF((AL$6-$E$3)&lt;1,0,IFERROR(LOOKUP(2,1/(Aveia!$E38:INDEX(Aveia!$E38:$Z38,MIN(AL$6-$E$3,22))&lt;&gt;""),Aveia!$E38:INDEX(Aveia!$E38:$Z38,MIN(AL$6-$E$3,22))),0))-IF($G$2,0,IF((AL$6-$G$3)&lt;1,0,IFERROR(LOOKUP(2,1/(Aveia!$E38:INDEX(Aveia!$E38:$Z38,MIN(AL$6-$G$3,22))&lt;&gt;""),Aveia!$E38:INDEX(Aveia!$E38:$Z38,MIN(AL$6-$G$3,22))),0)))))</f>
        <v>0</v>
      </c>
      <c r="AM40" s="27" t="n">
        <f aca="false">IF(COUNT(Aveia!$E38:$Z38)=0,0,MAX(0,IF((AM$6-$E$3)&lt;1,0,IFERROR(LOOKUP(2,1/(Aveia!$E38:INDEX(Aveia!$E38:$Z38,MIN(AM$6-$E$3,22))&lt;&gt;""),Aveia!$E38:INDEX(Aveia!$E38:$Z38,MIN(AM$6-$E$3,22))),0))-IF($G$2,0,IF((AM$6-$G$3)&lt;1,0,IFERROR(LOOKUP(2,1/(Aveia!$E38:INDEX(Aveia!$E38:$Z38,MIN(AM$6-$G$3,22))&lt;&gt;""),Aveia!$E38:INDEX(Aveia!$E38:$Z38,MIN(AM$6-$G$3,22))),0)))))</f>
        <v>0</v>
      </c>
      <c r="AN40" s="27" t="n">
        <f aca="false">IF(COUNT(Aveia!$E38:$Z38)=0,0,MAX(0,IF((AN$6-$E$3)&lt;1,0,IFERROR(LOOKUP(2,1/(Aveia!$E38:INDEX(Aveia!$E38:$Z38,MIN(AN$6-$E$3,22))&lt;&gt;""),Aveia!$E38:INDEX(Aveia!$E38:$Z38,MIN(AN$6-$E$3,22))),0))-IF($G$2,0,IF((AN$6-$G$3)&lt;1,0,IFERROR(LOOKUP(2,1/(Aveia!$E38:INDEX(Aveia!$E38:$Z38,MIN(AN$6-$G$3,22))&lt;&gt;""),Aveia!$E38:INDEX(Aveia!$E38:$Z38,MIN(AN$6-$G$3,22))),0)))))</f>
        <v>0</v>
      </c>
      <c r="AO40" s="27" t="n">
        <f aca="false">IF(COUNT(Aveia!$E38:$Z38)=0,0,MAX(0,IF((AO$6-$E$3)&lt;1,0,IFERROR(LOOKUP(2,1/(Aveia!$E38:INDEX(Aveia!$E38:$Z38,MIN(AO$6-$E$3,22))&lt;&gt;""),Aveia!$E38:INDEX(Aveia!$E38:$Z38,MIN(AO$6-$E$3,22))),0))-IF($G$2,0,IF((AO$6-$G$3)&lt;1,0,IFERROR(LOOKUP(2,1/(Aveia!$E38:INDEX(Aveia!$E38:$Z38,MIN(AO$6-$G$3,22))&lt;&gt;""),Aveia!$E38:INDEX(Aveia!$E38:$Z38,MIN(AO$6-$G$3,22))),0)))))</f>
        <v>0</v>
      </c>
      <c r="AP40" s="27" t="n">
        <f aca="false">IF(COUNT(Aveia!$E38:$Z38)=0,0,MAX(0,IF((AP$6-$E$3)&lt;1,0,IFERROR(LOOKUP(2,1/(Aveia!$E38:INDEX(Aveia!$E38:$Z38,MIN(AP$6-$E$3,22))&lt;&gt;""),Aveia!$E38:INDEX(Aveia!$E38:$Z38,MIN(AP$6-$E$3,22))),0))-IF($G$2,0,IF((AP$6-$G$3)&lt;1,0,IFERROR(LOOKUP(2,1/(Aveia!$E38:INDEX(Aveia!$E38:$Z38,MIN(AP$6-$G$3,22))&lt;&gt;""),Aveia!$E38:INDEX(Aveia!$E38:$Z38,MIN(AP$6-$G$3,22))),0)))))</f>
        <v>0</v>
      </c>
      <c r="AQ40" s="27" t="n">
        <f aca="false">IF(COUNT(Aveia!$E38:$Z38)=0,0,MAX(0,IF((AQ$6-$E$3)&lt;1,0,IFERROR(LOOKUP(2,1/(Aveia!$E38:INDEX(Aveia!$E38:$Z38,MIN(AQ$6-$E$3,22))&lt;&gt;""),Aveia!$E38:INDEX(Aveia!$E38:$Z38,MIN(AQ$6-$E$3,22))),0))-IF($G$2,0,IF((AQ$6-$G$3)&lt;1,0,IFERROR(LOOKUP(2,1/(Aveia!$E38:INDEX(Aveia!$E38:$Z38,MIN(AQ$6-$G$3,22))&lt;&gt;""),Aveia!$E38:INDEX(Aveia!$E38:$Z38,MIN(AQ$6-$G$3,22))),0)))))</f>
        <v>0</v>
      </c>
      <c r="AR40" s="27" t="n">
        <f aca="false">IF(COUNT(Aveia!$E38:$Z38)=0,0,MAX(0,IF((AR$6-$E$3)&lt;1,0,IFERROR(LOOKUP(2,1/(Aveia!$E38:INDEX(Aveia!$E38:$Z38,MIN(AR$6-$E$3,22))&lt;&gt;""),Aveia!$E38:INDEX(Aveia!$E38:$Z38,MIN(AR$6-$E$3,22))),0))-IF($G$2,0,IF((AR$6-$G$3)&lt;1,0,IFERROR(LOOKUP(2,1/(Aveia!$E38:INDEX(Aveia!$E38:$Z38,MIN(AR$6-$G$3,22))&lt;&gt;""),Aveia!$E38:INDEX(Aveia!$E38:$Z38,MIN(AR$6-$G$3,22))),0)))))</f>
        <v>0</v>
      </c>
      <c r="AS40" s="27" t="n">
        <f aca="false">IF(COUNT(Aveia!$E38:$Z38)=0,0,MAX(0,IF((AS$6-$E$3)&lt;1,0,IFERROR(LOOKUP(2,1/(Aveia!$E38:INDEX(Aveia!$E38:$Z38,MIN(AS$6-$E$3,22))&lt;&gt;""),Aveia!$E38:INDEX(Aveia!$E38:$Z38,MIN(AS$6-$E$3,22))),0))-IF($G$2,0,IF((AS$6-$G$3)&lt;1,0,IFERROR(LOOKUP(2,1/(Aveia!$E38:INDEX(Aveia!$E38:$Z38,MIN(AS$6-$G$3,22))&lt;&gt;""),Aveia!$E38:INDEX(Aveia!$E38:$Z38,MIN(AS$6-$G$3,22))),0)))))</f>
        <v>0</v>
      </c>
      <c r="AT40" s="27" t="n">
        <f aca="false">IF(COUNT(Aveia!$E38:$Z38)=0,0,MAX(0,IF((AT$6-$E$3)&lt;1,0,IFERROR(LOOKUP(2,1/(Aveia!$E38:INDEX(Aveia!$E38:$Z38,MIN(AT$6-$E$3,22))&lt;&gt;""),Aveia!$E38:INDEX(Aveia!$E38:$Z38,MIN(AT$6-$E$3,22))),0))-IF($G$2,0,IF((AT$6-$G$3)&lt;1,0,IFERROR(LOOKUP(2,1/(Aveia!$E38:INDEX(Aveia!$E38:$Z38,MIN(AT$6-$G$3,22))&lt;&gt;""),Aveia!$E38:INDEX(Aveia!$E38:$Z38,MIN(AT$6-$G$3,22))),0)))))</f>
        <v>0</v>
      </c>
      <c r="AU40" s="27" t="n">
        <f aca="false">IF(COUNT(Aveia!$E38:$Z38)=0,0,MAX(0,IF((AU$6-$E$3)&lt;1,0,IFERROR(LOOKUP(2,1/(Aveia!$E38:INDEX(Aveia!$E38:$Z38,MIN(AU$6-$E$3,22))&lt;&gt;""),Aveia!$E38:INDEX(Aveia!$E38:$Z38,MIN(AU$6-$E$3,22))),0))-IF($G$2,0,IF((AU$6-$G$3)&lt;1,0,IFERROR(LOOKUP(2,1/(Aveia!$E38:INDEX(Aveia!$E38:$Z38,MIN(AU$6-$G$3,22))&lt;&gt;""),Aveia!$E38:INDEX(Aveia!$E38:$Z38,MIN(AU$6-$G$3,22))),0)))))</f>
        <v>0</v>
      </c>
      <c r="AV40" s="27" t="n">
        <f aca="false">IF(COUNT(Aveia!$E38:$Z38)=0,0,MAX(0,IF((AV$6-$E$3)&lt;1,0,IFERROR(LOOKUP(2,1/(Aveia!$E38:INDEX(Aveia!$E38:$Z38,MIN(AV$6-$E$3,22))&lt;&gt;""),Aveia!$E38:INDEX(Aveia!$E38:$Z38,MIN(AV$6-$E$3,22))),0))-IF($G$2,0,IF((AV$6-$G$3)&lt;1,0,IFERROR(LOOKUP(2,1/(Aveia!$E38:INDEX(Aveia!$E38:$Z38,MIN(AV$6-$G$3,22))&lt;&gt;""),Aveia!$E38:INDEX(Aveia!$E38:$Z38,MIN(AV$6-$G$3,22))),0)))))</f>
        <v>0</v>
      </c>
      <c r="AW40" s="27" t="n">
        <f aca="false">IF(COUNT(Aveia!$E38:$Z38)=0,0,MAX(0,IF((AW$6-$E$3)&lt;1,0,IFERROR(LOOKUP(2,1/(Aveia!$E38:INDEX(Aveia!$E38:$Z38,MIN(AW$6-$E$3,22))&lt;&gt;""),Aveia!$E38:INDEX(Aveia!$E38:$Z38,MIN(AW$6-$E$3,22))),0))-IF($G$2,0,IF((AW$6-$G$3)&lt;1,0,IFERROR(LOOKUP(2,1/(Aveia!$E38:INDEX(Aveia!$E38:$Z38,MIN(AW$6-$G$3,22))&lt;&gt;""),Aveia!$E38:INDEX(Aveia!$E38:$Z38,MIN(AW$6-$G$3,22))),0)))))</f>
        <v>0</v>
      </c>
      <c r="AX40" s="27" t="n">
        <f aca="false">IF(COUNT(Aveia!$E38:$Z38)=0,0,MAX(0,IF((AX$6-$E$3)&lt;1,0,IFERROR(LOOKUP(2,1/(Aveia!$E38:INDEX(Aveia!$E38:$Z38,MIN(AX$6-$E$3,22))&lt;&gt;""),Aveia!$E38:INDEX(Aveia!$E38:$Z38,MIN(AX$6-$E$3,22))),0))-IF($G$2,0,IF((AX$6-$G$3)&lt;1,0,IFERROR(LOOKUP(2,1/(Aveia!$E38:INDEX(Aveia!$E38:$Z38,MIN(AX$6-$G$3,22))&lt;&gt;""),Aveia!$E38:INDEX(Aveia!$E38:$Z38,MIN(AX$6-$G$3,22))),0)))))</f>
        <v>0</v>
      </c>
      <c r="AY40" s="27" t="n">
        <f aca="false">IF(COUNT(Aveia!$E38:$Z38)=0,0,MAX(0,IF((AY$6-$E$3)&lt;1,0,IFERROR(LOOKUP(2,1/(Aveia!$E38:INDEX(Aveia!$E38:$Z38,MIN(AY$6-$E$3,22))&lt;&gt;""),Aveia!$E38:INDEX(Aveia!$E38:$Z38,MIN(AY$6-$E$3,22))),0))-IF($G$2,0,IF((AY$6-$G$3)&lt;1,0,IFERROR(LOOKUP(2,1/(Aveia!$E38:INDEX(Aveia!$E38:$Z38,MIN(AY$6-$G$3,22))&lt;&gt;""),Aveia!$E38:INDEX(Aveia!$E38:$Z38,MIN(AY$6-$G$3,22))),0)))))</f>
        <v>0</v>
      </c>
      <c r="AZ40" s="27" t="n">
        <f aca="false">IF(COUNT(Aveia!$E38:$Z38)=0,0,MAX(0,IF((AZ$6-$E$3)&lt;1,0,IFERROR(LOOKUP(2,1/(Aveia!$E38:INDEX(Aveia!$E38:$Z38,MIN(AZ$6-$E$3,22))&lt;&gt;""),Aveia!$E38:INDEX(Aveia!$E38:$Z38,MIN(AZ$6-$E$3,22))),0))-IF($G$2,0,IF((AZ$6-$G$3)&lt;1,0,IFERROR(LOOKUP(2,1/(Aveia!$E38:INDEX(Aveia!$E38:$Z38,MIN(AZ$6-$G$3,22))&lt;&gt;""),Aveia!$E38:INDEX(Aveia!$E38:$Z38,MIN(AZ$6-$G$3,22))),0)))))</f>
        <v>0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10" t="s">
        <v>172</v>
      </c>
      <c r="D41" s="26" t="n">
        <f aca="false">IF(COUNT(Aveia!$E39:$Z39)&gt;0,N(Aveia!$D39),0)</f>
        <v>0</v>
      </c>
      <c r="E41" s="27" t="n">
        <f aca="false">IF(COUNT(Aveia!$E39:$Z39)=0,0,MAX(0,IF((E$6-$E$3)&lt;1,0,IFERROR(LOOKUP(2,1/(Aveia!$E39:INDEX(Aveia!$E39:$Z39,MIN(E$6-$E$3,22))&lt;&gt;""),Aveia!$E39:INDEX(Aveia!$E39:$Z39,MIN(E$6-$E$3,22))),0))-IF($G$2,0,IF((E$6-$G$3)&lt;1,0,IFERROR(LOOKUP(2,1/(Aveia!$E39:INDEX(Aveia!$E39:$Z39,MIN(E$6-$G$3,22))&lt;&gt;""),Aveia!$E39:INDEX(Aveia!$E39:$Z39,MIN(E$6-$G$3,22))),0)))))</f>
        <v>0</v>
      </c>
      <c r="F41" s="27" t="n">
        <f aca="false">IF(COUNT(Aveia!$E39:$Z39)=0,0,MAX(0,IF((F$6-$E$3)&lt;1,0,IFERROR(LOOKUP(2,1/(Aveia!$E39:INDEX(Aveia!$E39:$Z39,MIN(F$6-$E$3,22))&lt;&gt;""),Aveia!$E39:INDEX(Aveia!$E39:$Z39,MIN(F$6-$E$3,22))),0))-IF($G$2,0,IF((F$6-$G$3)&lt;1,0,IFERROR(LOOKUP(2,1/(Aveia!$E39:INDEX(Aveia!$E39:$Z39,MIN(F$6-$G$3,22))&lt;&gt;""),Aveia!$E39:INDEX(Aveia!$E39:$Z39,MIN(F$6-$G$3,22))),0)))))</f>
        <v>0</v>
      </c>
      <c r="G41" s="27" t="n">
        <f aca="false">IF(COUNT(Aveia!$E39:$Z39)=0,0,MAX(0,IF((G$6-$E$3)&lt;1,0,IFERROR(LOOKUP(2,1/(Aveia!$E39:INDEX(Aveia!$E39:$Z39,MIN(G$6-$E$3,22))&lt;&gt;""),Aveia!$E39:INDEX(Aveia!$E39:$Z39,MIN(G$6-$E$3,22))),0))-IF($G$2,0,IF((G$6-$G$3)&lt;1,0,IFERROR(LOOKUP(2,1/(Aveia!$E39:INDEX(Aveia!$E39:$Z39,MIN(G$6-$G$3,22))&lt;&gt;""),Aveia!$E39:INDEX(Aveia!$E39:$Z39,MIN(G$6-$G$3,22))),0)))))</f>
        <v>0</v>
      </c>
      <c r="H41" s="27" t="n">
        <f aca="false">IF(COUNT(Aveia!$E39:$Z39)=0,0,MAX(0,IF((H$6-$E$3)&lt;1,0,IFERROR(LOOKUP(2,1/(Aveia!$E39:INDEX(Aveia!$E39:$Z39,MIN(H$6-$E$3,22))&lt;&gt;""),Aveia!$E39:INDEX(Aveia!$E39:$Z39,MIN(H$6-$E$3,22))),0))-IF($G$2,0,IF((H$6-$G$3)&lt;1,0,IFERROR(LOOKUP(2,1/(Aveia!$E39:INDEX(Aveia!$E39:$Z39,MIN(H$6-$G$3,22))&lt;&gt;""),Aveia!$E39:INDEX(Aveia!$E39:$Z39,MIN(H$6-$G$3,22))),0)))))</f>
        <v>0</v>
      </c>
      <c r="I41" s="27" t="n">
        <f aca="false">IF(COUNT(Aveia!$E39:$Z39)=0,0,MAX(0,IF((I$6-$E$3)&lt;1,0,IFERROR(LOOKUP(2,1/(Aveia!$E39:INDEX(Aveia!$E39:$Z39,MIN(I$6-$E$3,22))&lt;&gt;""),Aveia!$E39:INDEX(Aveia!$E39:$Z39,MIN(I$6-$E$3,22))),0))-IF($G$2,0,IF((I$6-$G$3)&lt;1,0,IFERROR(LOOKUP(2,1/(Aveia!$E39:INDEX(Aveia!$E39:$Z39,MIN(I$6-$G$3,22))&lt;&gt;""),Aveia!$E39:INDEX(Aveia!$E39:$Z39,MIN(I$6-$G$3,22))),0)))))</f>
        <v>0</v>
      </c>
      <c r="J41" s="27" t="n">
        <f aca="false">IF(COUNT(Aveia!$E39:$Z39)=0,0,MAX(0,IF((J$6-$E$3)&lt;1,0,IFERROR(LOOKUP(2,1/(Aveia!$E39:INDEX(Aveia!$E39:$Z39,MIN(J$6-$E$3,22))&lt;&gt;""),Aveia!$E39:INDEX(Aveia!$E39:$Z39,MIN(J$6-$E$3,22))),0))-IF($G$2,0,IF((J$6-$G$3)&lt;1,0,IFERROR(LOOKUP(2,1/(Aveia!$E39:INDEX(Aveia!$E39:$Z39,MIN(J$6-$G$3,22))&lt;&gt;""),Aveia!$E39:INDEX(Aveia!$E39:$Z39,MIN(J$6-$G$3,22))),0)))))</f>
        <v>0</v>
      </c>
      <c r="K41" s="27" t="n">
        <f aca="false">IF(COUNT(Aveia!$E39:$Z39)=0,0,MAX(0,IF((K$6-$E$3)&lt;1,0,IFERROR(LOOKUP(2,1/(Aveia!$E39:INDEX(Aveia!$E39:$Z39,MIN(K$6-$E$3,22))&lt;&gt;""),Aveia!$E39:INDEX(Aveia!$E39:$Z39,MIN(K$6-$E$3,22))),0))-IF($G$2,0,IF((K$6-$G$3)&lt;1,0,IFERROR(LOOKUP(2,1/(Aveia!$E39:INDEX(Aveia!$E39:$Z39,MIN(K$6-$G$3,22))&lt;&gt;""),Aveia!$E39:INDEX(Aveia!$E39:$Z39,MIN(K$6-$G$3,22))),0)))))</f>
        <v>0</v>
      </c>
      <c r="L41" s="27" t="n">
        <f aca="false">IF(COUNT(Aveia!$E39:$Z39)=0,0,MAX(0,IF((L$6-$E$3)&lt;1,0,IFERROR(LOOKUP(2,1/(Aveia!$E39:INDEX(Aveia!$E39:$Z39,MIN(L$6-$E$3,22))&lt;&gt;""),Aveia!$E39:INDEX(Aveia!$E39:$Z39,MIN(L$6-$E$3,22))),0))-IF($G$2,0,IF((L$6-$G$3)&lt;1,0,IFERROR(LOOKUP(2,1/(Aveia!$E39:INDEX(Aveia!$E39:$Z39,MIN(L$6-$G$3,22))&lt;&gt;""),Aveia!$E39:INDEX(Aveia!$E39:$Z39,MIN(L$6-$G$3,22))),0)))))</f>
        <v>0</v>
      </c>
      <c r="M41" s="27" t="n">
        <f aca="false">IF(COUNT(Aveia!$E39:$Z39)=0,0,MAX(0,IF((M$6-$E$3)&lt;1,0,IFERROR(LOOKUP(2,1/(Aveia!$E39:INDEX(Aveia!$E39:$Z39,MIN(M$6-$E$3,22))&lt;&gt;""),Aveia!$E39:INDEX(Aveia!$E39:$Z39,MIN(M$6-$E$3,22))),0))-IF($G$2,0,IF((M$6-$G$3)&lt;1,0,IFERROR(LOOKUP(2,1/(Aveia!$E39:INDEX(Aveia!$E39:$Z39,MIN(M$6-$G$3,22))&lt;&gt;""),Aveia!$E39:INDEX(Aveia!$E39:$Z39,MIN(M$6-$G$3,22))),0)))))</f>
        <v>0</v>
      </c>
      <c r="N41" s="27" t="n">
        <f aca="false">IF(COUNT(Aveia!$E39:$Z39)=0,0,MAX(0,IF((N$6-$E$3)&lt;1,0,IFERROR(LOOKUP(2,1/(Aveia!$E39:INDEX(Aveia!$E39:$Z39,MIN(N$6-$E$3,22))&lt;&gt;""),Aveia!$E39:INDEX(Aveia!$E39:$Z39,MIN(N$6-$E$3,22))),0))-IF($G$2,0,IF((N$6-$G$3)&lt;1,0,IFERROR(LOOKUP(2,1/(Aveia!$E39:INDEX(Aveia!$E39:$Z39,MIN(N$6-$G$3,22))&lt;&gt;""),Aveia!$E39:INDEX(Aveia!$E39:$Z39,MIN(N$6-$G$3,22))),0)))))</f>
        <v>0</v>
      </c>
      <c r="O41" s="27" t="n">
        <f aca="false">IF(COUNT(Aveia!$E39:$Z39)=0,0,MAX(0,IF((O$6-$E$3)&lt;1,0,IFERROR(LOOKUP(2,1/(Aveia!$E39:INDEX(Aveia!$E39:$Z39,MIN(O$6-$E$3,22))&lt;&gt;""),Aveia!$E39:INDEX(Aveia!$E39:$Z39,MIN(O$6-$E$3,22))),0))-IF($G$2,0,IF((O$6-$G$3)&lt;1,0,IFERROR(LOOKUP(2,1/(Aveia!$E39:INDEX(Aveia!$E39:$Z39,MIN(O$6-$G$3,22))&lt;&gt;""),Aveia!$E39:INDEX(Aveia!$E39:$Z39,MIN(O$6-$G$3,22))),0)))))</f>
        <v>0</v>
      </c>
      <c r="P41" s="27" t="n">
        <f aca="false">IF(COUNT(Aveia!$E39:$Z39)=0,0,MAX(0,IF((P$6-$E$3)&lt;1,0,IFERROR(LOOKUP(2,1/(Aveia!$E39:INDEX(Aveia!$E39:$Z39,MIN(P$6-$E$3,22))&lt;&gt;""),Aveia!$E39:INDEX(Aveia!$E39:$Z39,MIN(P$6-$E$3,22))),0))-IF($G$2,0,IF((P$6-$G$3)&lt;1,0,IFERROR(LOOKUP(2,1/(Aveia!$E39:INDEX(Aveia!$E39:$Z39,MIN(P$6-$G$3,22))&lt;&gt;""),Aveia!$E39:INDEX(Aveia!$E39:$Z39,MIN(P$6-$G$3,22))),0)))))</f>
        <v>0</v>
      </c>
      <c r="Q41" s="27" t="n">
        <f aca="false">IF(COUNT(Aveia!$E39:$Z39)=0,0,MAX(0,IF((Q$6-$E$3)&lt;1,0,IFERROR(LOOKUP(2,1/(Aveia!$E39:INDEX(Aveia!$E39:$Z39,MIN(Q$6-$E$3,22))&lt;&gt;""),Aveia!$E39:INDEX(Aveia!$E39:$Z39,MIN(Q$6-$E$3,22))),0))-IF($G$2,0,IF((Q$6-$G$3)&lt;1,0,IFERROR(LOOKUP(2,1/(Aveia!$E39:INDEX(Aveia!$E39:$Z39,MIN(Q$6-$G$3,22))&lt;&gt;""),Aveia!$E39:INDEX(Aveia!$E39:$Z39,MIN(Q$6-$G$3,22))),0)))))</f>
        <v>0</v>
      </c>
      <c r="R41" s="27" t="n">
        <f aca="false">IF(COUNT(Aveia!$E39:$Z39)=0,0,MAX(0,IF((R$6-$E$3)&lt;1,0,IFERROR(LOOKUP(2,1/(Aveia!$E39:INDEX(Aveia!$E39:$Z39,MIN(R$6-$E$3,22))&lt;&gt;""),Aveia!$E39:INDEX(Aveia!$E39:$Z39,MIN(R$6-$E$3,22))),0))-IF($G$2,0,IF((R$6-$G$3)&lt;1,0,IFERROR(LOOKUP(2,1/(Aveia!$E39:INDEX(Aveia!$E39:$Z39,MIN(R$6-$G$3,22))&lt;&gt;""),Aveia!$E39:INDEX(Aveia!$E39:$Z39,MIN(R$6-$G$3,22))),0)))))</f>
        <v>0</v>
      </c>
      <c r="S41" s="27" t="n">
        <f aca="false">IF(COUNT(Aveia!$E39:$Z39)=0,0,MAX(0,IF((S$6-$E$3)&lt;1,0,IFERROR(LOOKUP(2,1/(Aveia!$E39:INDEX(Aveia!$E39:$Z39,MIN(S$6-$E$3,22))&lt;&gt;""),Aveia!$E39:INDEX(Aveia!$E39:$Z39,MIN(S$6-$E$3,22))),0))-IF($G$2,0,IF((S$6-$G$3)&lt;1,0,IFERROR(LOOKUP(2,1/(Aveia!$E39:INDEX(Aveia!$E39:$Z39,MIN(S$6-$G$3,22))&lt;&gt;""),Aveia!$E39:INDEX(Aveia!$E39:$Z39,MIN(S$6-$G$3,22))),0)))))</f>
        <v>0</v>
      </c>
      <c r="T41" s="27" t="n">
        <f aca="false">IF(COUNT(Aveia!$E39:$Z39)=0,0,MAX(0,IF((T$6-$E$3)&lt;1,0,IFERROR(LOOKUP(2,1/(Aveia!$E39:INDEX(Aveia!$E39:$Z39,MIN(T$6-$E$3,22))&lt;&gt;""),Aveia!$E39:INDEX(Aveia!$E39:$Z39,MIN(T$6-$E$3,22))),0))-IF($G$2,0,IF((T$6-$G$3)&lt;1,0,IFERROR(LOOKUP(2,1/(Aveia!$E39:INDEX(Aveia!$E39:$Z39,MIN(T$6-$G$3,22))&lt;&gt;""),Aveia!$E39:INDEX(Aveia!$E39:$Z39,MIN(T$6-$G$3,22))),0)))))</f>
        <v>0</v>
      </c>
      <c r="U41" s="27" t="n">
        <f aca="false">IF(COUNT(Aveia!$E39:$Z39)=0,0,MAX(0,IF((U$6-$E$3)&lt;1,0,IFERROR(LOOKUP(2,1/(Aveia!$E39:INDEX(Aveia!$E39:$Z39,MIN(U$6-$E$3,22))&lt;&gt;""),Aveia!$E39:INDEX(Aveia!$E39:$Z39,MIN(U$6-$E$3,22))),0))-IF($G$2,0,IF((U$6-$G$3)&lt;1,0,IFERROR(LOOKUP(2,1/(Aveia!$E39:INDEX(Aveia!$E39:$Z39,MIN(U$6-$G$3,22))&lt;&gt;""),Aveia!$E39:INDEX(Aveia!$E39:$Z39,MIN(U$6-$G$3,22))),0)))))</f>
        <v>0</v>
      </c>
      <c r="V41" s="27" t="n">
        <f aca="false">IF(COUNT(Aveia!$E39:$Z39)=0,0,MAX(0,IF((V$6-$E$3)&lt;1,0,IFERROR(LOOKUP(2,1/(Aveia!$E39:INDEX(Aveia!$E39:$Z39,MIN(V$6-$E$3,22))&lt;&gt;""),Aveia!$E39:INDEX(Aveia!$E39:$Z39,MIN(V$6-$E$3,22))),0))-IF($G$2,0,IF((V$6-$G$3)&lt;1,0,IFERROR(LOOKUP(2,1/(Aveia!$E39:INDEX(Aveia!$E39:$Z39,MIN(V$6-$G$3,22))&lt;&gt;""),Aveia!$E39:INDEX(Aveia!$E39:$Z39,MIN(V$6-$G$3,22))),0)))))</f>
        <v>0</v>
      </c>
      <c r="W41" s="27" t="n">
        <f aca="false">IF(COUNT(Aveia!$E39:$Z39)=0,0,MAX(0,IF((W$6-$E$3)&lt;1,0,IFERROR(LOOKUP(2,1/(Aveia!$E39:INDEX(Aveia!$E39:$Z39,MIN(W$6-$E$3,22))&lt;&gt;""),Aveia!$E39:INDEX(Aveia!$E39:$Z39,MIN(W$6-$E$3,22))),0))-IF($G$2,0,IF((W$6-$G$3)&lt;1,0,IFERROR(LOOKUP(2,1/(Aveia!$E39:INDEX(Aveia!$E39:$Z39,MIN(W$6-$G$3,22))&lt;&gt;""),Aveia!$E39:INDEX(Aveia!$E39:$Z39,MIN(W$6-$G$3,22))),0)))))</f>
        <v>0</v>
      </c>
      <c r="X41" s="27" t="n">
        <f aca="false">IF(COUNT(Aveia!$E39:$Z39)=0,0,MAX(0,IF((X$6-$E$3)&lt;1,0,IFERROR(LOOKUP(2,1/(Aveia!$E39:INDEX(Aveia!$E39:$Z39,MIN(X$6-$E$3,22))&lt;&gt;""),Aveia!$E39:INDEX(Aveia!$E39:$Z39,MIN(X$6-$E$3,22))),0))-IF($G$2,0,IF((X$6-$G$3)&lt;1,0,IFERROR(LOOKUP(2,1/(Aveia!$E39:INDEX(Aveia!$E39:$Z39,MIN(X$6-$G$3,22))&lt;&gt;""),Aveia!$E39:INDEX(Aveia!$E39:$Z39,MIN(X$6-$G$3,22))),0)))))</f>
        <v>0</v>
      </c>
      <c r="Y41" s="27" t="n">
        <f aca="false">IF(COUNT(Aveia!$E39:$Z39)=0,0,MAX(0,IF((Y$6-$E$3)&lt;1,0,IFERROR(LOOKUP(2,1/(Aveia!$E39:INDEX(Aveia!$E39:$Z39,MIN(Y$6-$E$3,22))&lt;&gt;""),Aveia!$E39:INDEX(Aveia!$E39:$Z39,MIN(Y$6-$E$3,22))),0))-IF($G$2,0,IF((Y$6-$G$3)&lt;1,0,IFERROR(LOOKUP(2,1/(Aveia!$E39:INDEX(Aveia!$E39:$Z39,MIN(Y$6-$G$3,22))&lt;&gt;""),Aveia!$E39:INDEX(Aveia!$E39:$Z39,MIN(Y$6-$G$3,22))),0)))))</f>
        <v>0</v>
      </c>
      <c r="Z41" s="27" t="n">
        <f aca="false">IF(COUNT(Aveia!$E39:$Z39)=0,0,MAX(0,IF((Z$6-$E$3)&lt;1,0,IFERROR(LOOKUP(2,1/(Aveia!$E39:INDEX(Aveia!$E39:$Z39,MIN(Z$6-$E$3,22))&lt;&gt;""),Aveia!$E39:INDEX(Aveia!$E39:$Z39,MIN(Z$6-$E$3,22))),0))-IF($G$2,0,IF((Z$6-$G$3)&lt;1,0,IFERROR(LOOKUP(2,1/(Aveia!$E39:INDEX(Aveia!$E39:$Z39,MIN(Z$6-$G$3,22))&lt;&gt;""),Aveia!$E39:INDEX(Aveia!$E39:$Z39,MIN(Z$6-$G$3,22))),0)))))</f>
        <v>0</v>
      </c>
      <c r="AA41" s="27" t="n">
        <f aca="false">IF(COUNT(Aveia!$E39:$Z39)=0,0,MAX(0,IF((AA$6-$E$3)&lt;1,0,IFERROR(LOOKUP(2,1/(Aveia!$E39:INDEX(Aveia!$E39:$Z39,MIN(AA$6-$E$3,22))&lt;&gt;""),Aveia!$E39:INDEX(Aveia!$E39:$Z39,MIN(AA$6-$E$3,22))),0))-IF($G$2,0,IF((AA$6-$G$3)&lt;1,0,IFERROR(LOOKUP(2,1/(Aveia!$E39:INDEX(Aveia!$E39:$Z39,MIN(AA$6-$G$3,22))&lt;&gt;""),Aveia!$E39:INDEX(Aveia!$E39:$Z39,MIN(AA$6-$G$3,22))),0)))))</f>
        <v>0</v>
      </c>
      <c r="AB41" s="27" t="n">
        <f aca="false">IF(COUNT(Aveia!$E39:$Z39)=0,0,MAX(0,IF((AB$6-$E$3)&lt;1,0,IFERROR(LOOKUP(2,1/(Aveia!$E39:INDEX(Aveia!$E39:$Z39,MIN(AB$6-$E$3,22))&lt;&gt;""),Aveia!$E39:INDEX(Aveia!$E39:$Z39,MIN(AB$6-$E$3,22))),0))-IF($G$2,0,IF((AB$6-$G$3)&lt;1,0,IFERROR(LOOKUP(2,1/(Aveia!$E39:INDEX(Aveia!$E39:$Z39,MIN(AB$6-$G$3,22))&lt;&gt;""),Aveia!$E39:INDEX(Aveia!$E39:$Z39,MIN(AB$6-$G$3,22))),0)))))</f>
        <v>0</v>
      </c>
      <c r="AC41" s="27" t="n">
        <f aca="false">IF(COUNT(Aveia!$E39:$Z39)=0,0,MAX(0,IF((AC$6-$E$3)&lt;1,0,IFERROR(LOOKUP(2,1/(Aveia!$E39:INDEX(Aveia!$E39:$Z39,MIN(AC$6-$E$3,22))&lt;&gt;""),Aveia!$E39:INDEX(Aveia!$E39:$Z39,MIN(AC$6-$E$3,22))),0))-IF($G$2,0,IF((AC$6-$G$3)&lt;1,0,IFERROR(LOOKUP(2,1/(Aveia!$E39:INDEX(Aveia!$E39:$Z39,MIN(AC$6-$G$3,22))&lt;&gt;""),Aveia!$E39:INDEX(Aveia!$E39:$Z39,MIN(AC$6-$G$3,22))),0)))))</f>
        <v>0</v>
      </c>
      <c r="AD41" s="27" t="n">
        <f aca="false">IF(COUNT(Aveia!$E39:$Z39)=0,0,MAX(0,IF((AD$6-$E$3)&lt;1,0,IFERROR(LOOKUP(2,1/(Aveia!$E39:INDEX(Aveia!$E39:$Z39,MIN(AD$6-$E$3,22))&lt;&gt;""),Aveia!$E39:INDEX(Aveia!$E39:$Z39,MIN(AD$6-$E$3,22))),0))-IF($G$2,0,IF((AD$6-$G$3)&lt;1,0,IFERROR(LOOKUP(2,1/(Aveia!$E39:INDEX(Aveia!$E39:$Z39,MIN(AD$6-$G$3,22))&lt;&gt;""),Aveia!$E39:INDEX(Aveia!$E39:$Z39,MIN(AD$6-$G$3,22))),0)))))</f>
        <v>0</v>
      </c>
      <c r="AE41" s="27" t="n">
        <f aca="false">IF(COUNT(Aveia!$E39:$Z39)=0,0,MAX(0,IF((AE$6-$E$3)&lt;1,0,IFERROR(LOOKUP(2,1/(Aveia!$E39:INDEX(Aveia!$E39:$Z39,MIN(AE$6-$E$3,22))&lt;&gt;""),Aveia!$E39:INDEX(Aveia!$E39:$Z39,MIN(AE$6-$E$3,22))),0))-IF($G$2,0,IF((AE$6-$G$3)&lt;1,0,IFERROR(LOOKUP(2,1/(Aveia!$E39:INDEX(Aveia!$E39:$Z39,MIN(AE$6-$G$3,22))&lt;&gt;""),Aveia!$E39:INDEX(Aveia!$E39:$Z39,MIN(AE$6-$G$3,22))),0)))))</f>
        <v>0</v>
      </c>
      <c r="AF41" s="27" t="n">
        <f aca="false">IF(COUNT(Aveia!$E39:$Z39)=0,0,MAX(0,IF((AF$6-$E$3)&lt;1,0,IFERROR(LOOKUP(2,1/(Aveia!$E39:INDEX(Aveia!$E39:$Z39,MIN(AF$6-$E$3,22))&lt;&gt;""),Aveia!$E39:INDEX(Aveia!$E39:$Z39,MIN(AF$6-$E$3,22))),0))-IF($G$2,0,IF((AF$6-$G$3)&lt;1,0,IFERROR(LOOKUP(2,1/(Aveia!$E39:INDEX(Aveia!$E39:$Z39,MIN(AF$6-$G$3,22))&lt;&gt;""),Aveia!$E39:INDEX(Aveia!$E39:$Z39,MIN(AF$6-$G$3,22))),0)))))</f>
        <v>0</v>
      </c>
      <c r="AG41" s="27" t="n">
        <f aca="false">IF(COUNT(Aveia!$E39:$Z39)=0,0,MAX(0,IF((AG$6-$E$3)&lt;1,0,IFERROR(LOOKUP(2,1/(Aveia!$E39:INDEX(Aveia!$E39:$Z39,MIN(AG$6-$E$3,22))&lt;&gt;""),Aveia!$E39:INDEX(Aveia!$E39:$Z39,MIN(AG$6-$E$3,22))),0))-IF($G$2,0,IF((AG$6-$G$3)&lt;1,0,IFERROR(LOOKUP(2,1/(Aveia!$E39:INDEX(Aveia!$E39:$Z39,MIN(AG$6-$G$3,22))&lt;&gt;""),Aveia!$E39:INDEX(Aveia!$E39:$Z39,MIN(AG$6-$G$3,22))),0)))))</f>
        <v>0</v>
      </c>
      <c r="AH41" s="27" t="n">
        <f aca="false">IF(COUNT(Aveia!$E39:$Z39)=0,0,MAX(0,IF((AH$6-$E$3)&lt;1,0,IFERROR(LOOKUP(2,1/(Aveia!$E39:INDEX(Aveia!$E39:$Z39,MIN(AH$6-$E$3,22))&lt;&gt;""),Aveia!$E39:INDEX(Aveia!$E39:$Z39,MIN(AH$6-$E$3,22))),0))-IF($G$2,0,IF((AH$6-$G$3)&lt;1,0,IFERROR(LOOKUP(2,1/(Aveia!$E39:INDEX(Aveia!$E39:$Z39,MIN(AH$6-$G$3,22))&lt;&gt;""),Aveia!$E39:INDEX(Aveia!$E39:$Z39,MIN(AH$6-$G$3,22))),0)))))</f>
        <v>0</v>
      </c>
      <c r="AI41" s="27" t="n">
        <f aca="false">IF(COUNT(Aveia!$E39:$Z39)=0,0,MAX(0,IF((AI$6-$E$3)&lt;1,0,IFERROR(LOOKUP(2,1/(Aveia!$E39:INDEX(Aveia!$E39:$Z39,MIN(AI$6-$E$3,22))&lt;&gt;""),Aveia!$E39:INDEX(Aveia!$E39:$Z39,MIN(AI$6-$E$3,22))),0))-IF($G$2,0,IF((AI$6-$G$3)&lt;1,0,IFERROR(LOOKUP(2,1/(Aveia!$E39:INDEX(Aveia!$E39:$Z39,MIN(AI$6-$G$3,22))&lt;&gt;""),Aveia!$E39:INDEX(Aveia!$E39:$Z39,MIN(AI$6-$G$3,22))),0)))))</f>
        <v>0</v>
      </c>
      <c r="AJ41" s="27" t="n">
        <f aca="false">IF(COUNT(Aveia!$E39:$Z39)=0,0,MAX(0,IF((AJ$6-$E$3)&lt;1,0,IFERROR(LOOKUP(2,1/(Aveia!$E39:INDEX(Aveia!$E39:$Z39,MIN(AJ$6-$E$3,22))&lt;&gt;""),Aveia!$E39:INDEX(Aveia!$E39:$Z39,MIN(AJ$6-$E$3,22))),0))-IF($G$2,0,IF((AJ$6-$G$3)&lt;1,0,IFERROR(LOOKUP(2,1/(Aveia!$E39:INDEX(Aveia!$E39:$Z39,MIN(AJ$6-$G$3,22))&lt;&gt;""),Aveia!$E39:INDEX(Aveia!$E39:$Z39,MIN(AJ$6-$G$3,22))),0)))))</f>
        <v>0</v>
      </c>
      <c r="AK41" s="27" t="n">
        <f aca="false">IF(COUNT(Aveia!$E39:$Z39)=0,0,MAX(0,IF((AK$6-$E$3)&lt;1,0,IFERROR(LOOKUP(2,1/(Aveia!$E39:INDEX(Aveia!$E39:$Z39,MIN(AK$6-$E$3,22))&lt;&gt;""),Aveia!$E39:INDEX(Aveia!$E39:$Z39,MIN(AK$6-$E$3,22))),0))-IF($G$2,0,IF((AK$6-$G$3)&lt;1,0,IFERROR(LOOKUP(2,1/(Aveia!$E39:INDEX(Aveia!$E39:$Z39,MIN(AK$6-$G$3,22))&lt;&gt;""),Aveia!$E39:INDEX(Aveia!$E39:$Z39,MIN(AK$6-$G$3,22))),0)))))</f>
        <v>0</v>
      </c>
      <c r="AL41" s="27" t="n">
        <f aca="false">IF(COUNT(Aveia!$E39:$Z39)=0,0,MAX(0,IF((AL$6-$E$3)&lt;1,0,IFERROR(LOOKUP(2,1/(Aveia!$E39:INDEX(Aveia!$E39:$Z39,MIN(AL$6-$E$3,22))&lt;&gt;""),Aveia!$E39:INDEX(Aveia!$E39:$Z39,MIN(AL$6-$E$3,22))),0))-IF($G$2,0,IF((AL$6-$G$3)&lt;1,0,IFERROR(LOOKUP(2,1/(Aveia!$E39:INDEX(Aveia!$E39:$Z39,MIN(AL$6-$G$3,22))&lt;&gt;""),Aveia!$E39:INDEX(Aveia!$E39:$Z39,MIN(AL$6-$G$3,22))),0)))))</f>
        <v>0</v>
      </c>
      <c r="AM41" s="27" t="n">
        <f aca="false">IF(COUNT(Aveia!$E39:$Z39)=0,0,MAX(0,IF((AM$6-$E$3)&lt;1,0,IFERROR(LOOKUP(2,1/(Aveia!$E39:INDEX(Aveia!$E39:$Z39,MIN(AM$6-$E$3,22))&lt;&gt;""),Aveia!$E39:INDEX(Aveia!$E39:$Z39,MIN(AM$6-$E$3,22))),0))-IF($G$2,0,IF((AM$6-$G$3)&lt;1,0,IFERROR(LOOKUP(2,1/(Aveia!$E39:INDEX(Aveia!$E39:$Z39,MIN(AM$6-$G$3,22))&lt;&gt;""),Aveia!$E39:INDEX(Aveia!$E39:$Z39,MIN(AM$6-$G$3,22))),0)))))</f>
        <v>0</v>
      </c>
      <c r="AN41" s="27" t="n">
        <f aca="false">IF(COUNT(Aveia!$E39:$Z39)=0,0,MAX(0,IF((AN$6-$E$3)&lt;1,0,IFERROR(LOOKUP(2,1/(Aveia!$E39:INDEX(Aveia!$E39:$Z39,MIN(AN$6-$E$3,22))&lt;&gt;""),Aveia!$E39:INDEX(Aveia!$E39:$Z39,MIN(AN$6-$E$3,22))),0))-IF($G$2,0,IF((AN$6-$G$3)&lt;1,0,IFERROR(LOOKUP(2,1/(Aveia!$E39:INDEX(Aveia!$E39:$Z39,MIN(AN$6-$G$3,22))&lt;&gt;""),Aveia!$E39:INDEX(Aveia!$E39:$Z39,MIN(AN$6-$G$3,22))),0)))))</f>
        <v>0</v>
      </c>
      <c r="AO41" s="27" t="n">
        <f aca="false">IF(COUNT(Aveia!$E39:$Z39)=0,0,MAX(0,IF((AO$6-$E$3)&lt;1,0,IFERROR(LOOKUP(2,1/(Aveia!$E39:INDEX(Aveia!$E39:$Z39,MIN(AO$6-$E$3,22))&lt;&gt;""),Aveia!$E39:INDEX(Aveia!$E39:$Z39,MIN(AO$6-$E$3,22))),0))-IF($G$2,0,IF((AO$6-$G$3)&lt;1,0,IFERROR(LOOKUP(2,1/(Aveia!$E39:INDEX(Aveia!$E39:$Z39,MIN(AO$6-$G$3,22))&lt;&gt;""),Aveia!$E39:INDEX(Aveia!$E39:$Z39,MIN(AO$6-$G$3,22))),0)))))</f>
        <v>0</v>
      </c>
      <c r="AP41" s="27" t="n">
        <f aca="false">IF(COUNT(Aveia!$E39:$Z39)=0,0,MAX(0,IF((AP$6-$E$3)&lt;1,0,IFERROR(LOOKUP(2,1/(Aveia!$E39:INDEX(Aveia!$E39:$Z39,MIN(AP$6-$E$3,22))&lt;&gt;""),Aveia!$E39:INDEX(Aveia!$E39:$Z39,MIN(AP$6-$E$3,22))),0))-IF($G$2,0,IF((AP$6-$G$3)&lt;1,0,IFERROR(LOOKUP(2,1/(Aveia!$E39:INDEX(Aveia!$E39:$Z39,MIN(AP$6-$G$3,22))&lt;&gt;""),Aveia!$E39:INDEX(Aveia!$E39:$Z39,MIN(AP$6-$G$3,22))),0)))))</f>
        <v>0</v>
      </c>
      <c r="AQ41" s="27" t="n">
        <f aca="false">IF(COUNT(Aveia!$E39:$Z39)=0,0,MAX(0,IF((AQ$6-$E$3)&lt;1,0,IFERROR(LOOKUP(2,1/(Aveia!$E39:INDEX(Aveia!$E39:$Z39,MIN(AQ$6-$E$3,22))&lt;&gt;""),Aveia!$E39:INDEX(Aveia!$E39:$Z39,MIN(AQ$6-$E$3,22))),0))-IF($G$2,0,IF((AQ$6-$G$3)&lt;1,0,IFERROR(LOOKUP(2,1/(Aveia!$E39:INDEX(Aveia!$E39:$Z39,MIN(AQ$6-$G$3,22))&lt;&gt;""),Aveia!$E39:INDEX(Aveia!$E39:$Z39,MIN(AQ$6-$G$3,22))),0)))))</f>
        <v>0</v>
      </c>
      <c r="AR41" s="27" t="n">
        <f aca="false">IF(COUNT(Aveia!$E39:$Z39)=0,0,MAX(0,IF((AR$6-$E$3)&lt;1,0,IFERROR(LOOKUP(2,1/(Aveia!$E39:INDEX(Aveia!$E39:$Z39,MIN(AR$6-$E$3,22))&lt;&gt;""),Aveia!$E39:INDEX(Aveia!$E39:$Z39,MIN(AR$6-$E$3,22))),0))-IF($G$2,0,IF((AR$6-$G$3)&lt;1,0,IFERROR(LOOKUP(2,1/(Aveia!$E39:INDEX(Aveia!$E39:$Z39,MIN(AR$6-$G$3,22))&lt;&gt;""),Aveia!$E39:INDEX(Aveia!$E39:$Z39,MIN(AR$6-$G$3,22))),0)))))</f>
        <v>0</v>
      </c>
      <c r="AS41" s="27" t="n">
        <f aca="false">IF(COUNT(Aveia!$E39:$Z39)=0,0,MAX(0,IF((AS$6-$E$3)&lt;1,0,IFERROR(LOOKUP(2,1/(Aveia!$E39:INDEX(Aveia!$E39:$Z39,MIN(AS$6-$E$3,22))&lt;&gt;""),Aveia!$E39:INDEX(Aveia!$E39:$Z39,MIN(AS$6-$E$3,22))),0))-IF($G$2,0,IF((AS$6-$G$3)&lt;1,0,IFERROR(LOOKUP(2,1/(Aveia!$E39:INDEX(Aveia!$E39:$Z39,MIN(AS$6-$G$3,22))&lt;&gt;""),Aveia!$E39:INDEX(Aveia!$E39:$Z39,MIN(AS$6-$G$3,22))),0)))))</f>
        <v>0</v>
      </c>
      <c r="AT41" s="27" t="n">
        <f aca="false">IF(COUNT(Aveia!$E39:$Z39)=0,0,MAX(0,IF((AT$6-$E$3)&lt;1,0,IFERROR(LOOKUP(2,1/(Aveia!$E39:INDEX(Aveia!$E39:$Z39,MIN(AT$6-$E$3,22))&lt;&gt;""),Aveia!$E39:INDEX(Aveia!$E39:$Z39,MIN(AT$6-$E$3,22))),0))-IF($G$2,0,IF((AT$6-$G$3)&lt;1,0,IFERROR(LOOKUP(2,1/(Aveia!$E39:INDEX(Aveia!$E39:$Z39,MIN(AT$6-$G$3,22))&lt;&gt;""),Aveia!$E39:INDEX(Aveia!$E39:$Z39,MIN(AT$6-$G$3,22))),0)))))</f>
        <v>0</v>
      </c>
      <c r="AU41" s="27" t="n">
        <f aca="false">IF(COUNT(Aveia!$E39:$Z39)=0,0,MAX(0,IF((AU$6-$E$3)&lt;1,0,IFERROR(LOOKUP(2,1/(Aveia!$E39:INDEX(Aveia!$E39:$Z39,MIN(AU$6-$E$3,22))&lt;&gt;""),Aveia!$E39:INDEX(Aveia!$E39:$Z39,MIN(AU$6-$E$3,22))),0))-IF($G$2,0,IF((AU$6-$G$3)&lt;1,0,IFERROR(LOOKUP(2,1/(Aveia!$E39:INDEX(Aveia!$E39:$Z39,MIN(AU$6-$G$3,22))&lt;&gt;""),Aveia!$E39:INDEX(Aveia!$E39:$Z39,MIN(AU$6-$G$3,22))),0)))))</f>
        <v>0</v>
      </c>
      <c r="AV41" s="27" t="n">
        <f aca="false">IF(COUNT(Aveia!$E39:$Z39)=0,0,MAX(0,IF((AV$6-$E$3)&lt;1,0,IFERROR(LOOKUP(2,1/(Aveia!$E39:INDEX(Aveia!$E39:$Z39,MIN(AV$6-$E$3,22))&lt;&gt;""),Aveia!$E39:INDEX(Aveia!$E39:$Z39,MIN(AV$6-$E$3,22))),0))-IF($G$2,0,IF((AV$6-$G$3)&lt;1,0,IFERROR(LOOKUP(2,1/(Aveia!$E39:INDEX(Aveia!$E39:$Z39,MIN(AV$6-$G$3,22))&lt;&gt;""),Aveia!$E39:INDEX(Aveia!$E39:$Z39,MIN(AV$6-$G$3,22))),0)))))</f>
        <v>0</v>
      </c>
      <c r="AW41" s="27" t="n">
        <f aca="false">IF(COUNT(Aveia!$E39:$Z39)=0,0,MAX(0,IF((AW$6-$E$3)&lt;1,0,IFERROR(LOOKUP(2,1/(Aveia!$E39:INDEX(Aveia!$E39:$Z39,MIN(AW$6-$E$3,22))&lt;&gt;""),Aveia!$E39:INDEX(Aveia!$E39:$Z39,MIN(AW$6-$E$3,22))),0))-IF($G$2,0,IF((AW$6-$G$3)&lt;1,0,IFERROR(LOOKUP(2,1/(Aveia!$E39:INDEX(Aveia!$E39:$Z39,MIN(AW$6-$G$3,22))&lt;&gt;""),Aveia!$E39:INDEX(Aveia!$E39:$Z39,MIN(AW$6-$G$3,22))),0)))))</f>
        <v>0</v>
      </c>
      <c r="AX41" s="27" t="n">
        <f aca="false">IF(COUNT(Aveia!$E39:$Z39)=0,0,MAX(0,IF((AX$6-$E$3)&lt;1,0,IFERROR(LOOKUP(2,1/(Aveia!$E39:INDEX(Aveia!$E39:$Z39,MIN(AX$6-$E$3,22))&lt;&gt;""),Aveia!$E39:INDEX(Aveia!$E39:$Z39,MIN(AX$6-$E$3,22))),0))-IF($G$2,0,IF((AX$6-$G$3)&lt;1,0,IFERROR(LOOKUP(2,1/(Aveia!$E39:INDEX(Aveia!$E39:$Z39,MIN(AX$6-$G$3,22))&lt;&gt;""),Aveia!$E39:INDEX(Aveia!$E39:$Z39,MIN(AX$6-$G$3,22))),0)))))</f>
        <v>0</v>
      </c>
      <c r="AY41" s="27" t="n">
        <f aca="false">IF(COUNT(Aveia!$E39:$Z39)=0,0,MAX(0,IF((AY$6-$E$3)&lt;1,0,IFERROR(LOOKUP(2,1/(Aveia!$E39:INDEX(Aveia!$E39:$Z39,MIN(AY$6-$E$3,22))&lt;&gt;""),Aveia!$E39:INDEX(Aveia!$E39:$Z39,MIN(AY$6-$E$3,22))),0))-IF($G$2,0,IF((AY$6-$G$3)&lt;1,0,IFERROR(LOOKUP(2,1/(Aveia!$E39:INDEX(Aveia!$E39:$Z39,MIN(AY$6-$G$3,22))&lt;&gt;""),Aveia!$E39:INDEX(Aveia!$E39:$Z39,MIN(AY$6-$G$3,22))),0)))))</f>
        <v>0</v>
      </c>
      <c r="AZ41" s="27" t="n">
        <f aca="false">IF(COUNT(Aveia!$E39:$Z39)=0,0,MAX(0,IF((AZ$6-$E$3)&lt;1,0,IFERROR(LOOKUP(2,1/(Aveia!$E39:INDEX(Aveia!$E39:$Z39,MIN(AZ$6-$E$3,22))&lt;&gt;""),Aveia!$E39:INDEX(Aveia!$E39:$Z39,MIN(AZ$6-$E$3,22))),0))-IF($G$2,0,IF((AZ$6-$G$3)&lt;1,0,IFERROR(LOOKUP(2,1/(Aveia!$E39:INDEX(Aveia!$E39:$Z39,MIN(AZ$6-$G$3,22))&lt;&gt;""),Aveia!$E39:INDEX(Aveia!$E39:$Z39,MIN(AZ$6-$G$3,22))),0)))))</f>
        <v>0</v>
      </c>
    </row>
    <row r="42" customFormat="false" ht="15" hidden="false" customHeight="false" outlineLevel="0" collapsed="false">
      <c r="A42" s="3" t="s">
        <v>205</v>
      </c>
      <c r="B42" s="3" t="s">
        <v>206</v>
      </c>
      <c r="C42" s="10" t="s">
        <v>172</v>
      </c>
      <c r="D42" s="26" t="n">
        <f aca="false">IF(COUNT(Aveia!$E40:$Z40)&gt;0,N(Aveia!$D40),0)</f>
        <v>0</v>
      </c>
      <c r="E42" s="27" t="n">
        <f aca="false">IF(COUNT(Aveia!$E40:$Z40)=0,0,MAX(0,IF((E$6-$E$3)&lt;1,0,IFERROR(LOOKUP(2,1/(Aveia!$E40:INDEX(Aveia!$E40:$Z40,MIN(E$6-$E$3,22))&lt;&gt;""),Aveia!$E40:INDEX(Aveia!$E40:$Z40,MIN(E$6-$E$3,22))),0))-IF($G$2,0,IF((E$6-$G$3)&lt;1,0,IFERROR(LOOKUP(2,1/(Aveia!$E40:INDEX(Aveia!$E40:$Z40,MIN(E$6-$G$3,22))&lt;&gt;""),Aveia!$E40:INDEX(Aveia!$E40:$Z40,MIN(E$6-$G$3,22))),0)))))</f>
        <v>0</v>
      </c>
      <c r="F42" s="27" t="n">
        <f aca="false">IF(COUNT(Aveia!$E40:$Z40)=0,0,MAX(0,IF((F$6-$E$3)&lt;1,0,IFERROR(LOOKUP(2,1/(Aveia!$E40:INDEX(Aveia!$E40:$Z40,MIN(F$6-$E$3,22))&lt;&gt;""),Aveia!$E40:INDEX(Aveia!$E40:$Z40,MIN(F$6-$E$3,22))),0))-IF($G$2,0,IF((F$6-$G$3)&lt;1,0,IFERROR(LOOKUP(2,1/(Aveia!$E40:INDEX(Aveia!$E40:$Z40,MIN(F$6-$G$3,22))&lt;&gt;""),Aveia!$E40:INDEX(Aveia!$E40:$Z40,MIN(F$6-$G$3,22))),0)))))</f>
        <v>0</v>
      </c>
      <c r="G42" s="27" t="n">
        <f aca="false">IF(COUNT(Aveia!$E40:$Z40)=0,0,MAX(0,IF((G$6-$E$3)&lt;1,0,IFERROR(LOOKUP(2,1/(Aveia!$E40:INDEX(Aveia!$E40:$Z40,MIN(G$6-$E$3,22))&lt;&gt;""),Aveia!$E40:INDEX(Aveia!$E40:$Z40,MIN(G$6-$E$3,22))),0))-IF($G$2,0,IF((G$6-$G$3)&lt;1,0,IFERROR(LOOKUP(2,1/(Aveia!$E40:INDEX(Aveia!$E40:$Z40,MIN(G$6-$G$3,22))&lt;&gt;""),Aveia!$E40:INDEX(Aveia!$E40:$Z40,MIN(G$6-$G$3,22))),0)))))</f>
        <v>0</v>
      </c>
      <c r="H42" s="27" t="n">
        <f aca="false">IF(COUNT(Aveia!$E40:$Z40)=0,0,MAX(0,IF((H$6-$E$3)&lt;1,0,IFERROR(LOOKUP(2,1/(Aveia!$E40:INDEX(Aveia!$E40:$Z40,MIN(H$6-$E$3,22))&lt;&gt;""),Aveia!$E40:INDEX(Aveia!$E40:$Z40,MIN(H$6-$E$3,22))),0))-IF($G$2,0,IF((H$6-$G$3)&lt;1,0,IFERROR(LOOKUP(2,1/(Aveia!$E40:INDEX(Aveia!$E40:$Z40,MIN(H$6-$G$3,22))&lt;&gt;""),Aveia!$E40:INDEX(Aveia!$E40:$Z40,MIN(H$6-$G$3,22))),0)))))</f>
        <v>0</v>
      </c>
      <c r="I42" s="27" t="n">
        <f aca="false">IF(COUNT(Aveia!$E40:$Z40)=0,0,MAX(0,IF((I$6-$E$3)&lt;1,0,IFERROR(LOOKUP(2,1/(Aveia!$E40:INDEX(Aveia!$E40:$Z40,MIN(I$6-$E$3,22))&lt;&gt;""),Aveia!$E40:INDEX(Aveia!$E40:$Z40,MIN(I$6-$E$3,22))),0))-IF($G$2,0,IF((I$6-$G$3)&lt;1,0,IFERROR(LOOKUP(2,1/(Aveia!$E40:INDEX(Aveia!$E40:$Z40,MIN(I$6-$G$3,22))&lt;&gt;""),Aveia!$E40:INDEX(Aveia!$E40:$Z40,MIN(I$6-$G$3,22))),0)))))</f>
        <v>0</v>
      </c>
      <c r="J42" s="27" t="n">
        <f aca="false">IF(COUNT(Aveia!$E40:$Z40)=0,0,MAX(0,IF((J$6-$E$3)&lt;1,0,IFERROR(LOOKUP(2,1/(Aveia!$E40:INDEX(Aveia!$E40:$Z40,MIN(J$6-$E$3,22))&lt;&gt;""),Aveia!$E40:INDEX(Aveia!$E40:$Z40,MIN(J$6-$E$3,22))),0))-IF($G$2,0,IF((J$6-$G$3)&lt;1,0,IFERROR(LOOKUP(2,1/(Aveia!$E40:INDEX(Aveia!$E40:$Z40,MIN(J$6-$G$3,22))&lt;&gt;""),Aveia!$E40:INDEX(Aveia!$E40:$Z40,MIN(J$6-$G$3,22))),0)))))</f>
        <v>0</v>
      </c>
      <c r="K42" s="27" t="n">
        <f aca="false">IF(COUNT(Aveia!$E40:$Z40)=0,0,MAX(0,IF((K$6-$E$3)&lt;1,0,IFERROR(LOOKUP(2,1/(Aveia!$E40:INDEX(Aveia!$E40:$Z40,MIN(K$6-$E$3,22))&lt;&gt;""),Aveia!$E40:INDEX(Aveia!$E40:$Z40,MIN(K$6-$E$3,22))),0))-IF($G$2,0,IF((K$6-$G$3)&lt;1,0,IFERROR(LOOKUP(2,1/(Aveia!$E40:INDEX(Aveia!$E40:$Z40,MIN(K$6-$G$3,22))&lt;&gt;""),Aveia!$E40:INDEX(Aveia!$E40:$Z40,MIN(K$6-$G$3,22))),0)))))</f>
        <v>0</v>
      </c>
      <c r="L42" s="27" t="n">
        <f aca="false">IF(COUNT(Aveia!$E40:$Z40)=0,0,MAX(0,IF((L$6-$E$3)&lt;1,0,IFERROR(LOOKUP(2,1/(Aveia!$E40:INDEX(Aveia!$E40:$Z40,MIN(L$6-$E$3,22))&lt;&gt;""),Aveia!$E40:INDEX(Aveia!$E40:$Z40,MIN(L$6-$E$3,22))),0))-IF($G$2,0,IF((L$6-$G$3)&lt;1,0,IFERROR(LOOKUP(2,1/(Aveia!$E40:INDEX(Aveia!$E40:$Z40,MIN(L$6-$G$3,22))&lt;&gt;""),Aveia!$E40:INDEX(Aveia!$E40:$Z40,MIN(L$6-$G$3,22))),0)))))</f>
        <v>0</v>
      </c>
      <c r="M42" s="27" t="n">
        <f aca="false">IF(COUNT(Aveia!$E40:$Z40)=0,0,MAX(0,IF((M$6-$E$3)&lt;1,0,IFERROR(LOOKUP(2,1/(Aveia!$E40:INDEX(Aveia!$E40:$Z40,MIN(M$6-$E$3,22))&lt;&gt;""),Aveia!$E40:INDEX(Aveia!$E40:$Z40,MIN(M$6-$E$3,22))),0))-IF($G$2,0,IF((M$6-$G$3)&lt;1,0,IFERROR(LOOKUP(2,1/(Aveia!$E40:INDEX(Aveia!$E40:$Z40,MIN(M$6-$G$3,22))&lt;&gt;""),Aveia!$E40:INDEX(Aveia!$E40:$Z40,MIN(M$6-$G$3,22))),0)))))</f>
        <v>0</v>
      </c>
      <c r="N42" s="27" t="n">
        <f aca="false">IF(COUNT(Aveia!$E40:$Z40)=0,0,MAX(0,IF((N$6-$E$3)&lt;1,0,IFERROR(LOOKUP(2,1/(Aveia!$E40:INDEX(Aveia!$E40:$Z40,MIN(N$6-$E$3,22))&lt;&gt;""),Aveia!$E40:INDEX(Aveia!$E40:$Z40,MIN(N$6-$E$3,22))),0))-IF($G$2,0,IF((N$6-$G$3)&lt;1,0,IFERROR(LOOKUP(2,1/(Aveia!$E40:INDEX(Aveia!$E40:$Z40,MIN(N$6-$G$3,22))&lt;&gt;""),Aveia!$E40:INDEX(Aveia!$E40:$Z40,MIN(N$6-$G$3,22))),0)))))</f>
        <v>0</v>
      </c>
      <c r="O42" s="27" t="n">
        <f aca="false">IF(COUNT(Aveia!$E40:$Z40)=0,0,MAX(0,IF((O$6-$E$3)&lt;1,0,IFERROR(LOOKUP(2,1/(Aveia!$E40:INDEX(Aveia!$E40:$Z40,MIN(O$6-$E$3,22))&lt;&gt;""),Aveia!$E40:INDEX(Aveia!$E40:$Z40,MIN(O$6-$E$3,22))),0))-IF($G$2,0,IF((O$6-$G$3)&lt;1,0,IFERROR(LOOKUP(2,1/(Aveia!$E40:INDEX(Aveia!$E40:$Z40,MIN(O$6-$G$3,22))&lt;&gt;""),Aveia!$E40:INDEX(Aveia!$E40:$Z40,MIN(O$6-$G$3,22))),0)))))</f>
        <v>0</v>
      </c>
      <c r="P42" s="27" t="n">
        <f aca="false">IF(COUNT(Aveia!$E40:$Z40)=0,0,MAX(0,IF((P$6-$E$3)&lt;1,0,IFERROR(LOOKUP(2,1/(Aveia!$E40:INDEX(Aveia!$E40:$Z40,MIN(P$6-$E$3,22))&lt;&gt;""),Aveia!$E40:INDEX(Aveia!$E40:$Z40,MIN(P$6-$E$3,22))),0))-IF($G$2,0,IF((P$6-$G$3)&lt;1,0,IFERROR(LOOKUP(2,1/(Aveia!$E40:INDEX(Aveia!$E40:$Z40,MIN(P$6-$G$3,22))&lt;&gt;""),Aveia!$E40:INDEX(Aveia!$E40:$Z40,MIN(P$6-$G$3,22))),0)))))</f>
        <v>0</v>
      </c>
      <c r="Q42" s="27" t="n">
        <f aca="false">IF(COUNT(Aveia!$E40:$Z40)=0,0,MAX(0,IF((Q$6-$E$3)&lt;1,0,IFERROR(LOOKUP(2,1/(Aveia!$E40:INDEX(Aveia!$E40:$Z40,MIN(Q$6-$E$3,22))&lt;&gt;""),Aveia!$E40:INDEX(Aveia!$E40:$Z40,MIN(Q$6-$E$3,22))),0))-IF($G$2,0,IF((Q$6-$G$3)&lt;1,0,IFERROR(LOOKUP(2,1/(Aveia!$E40:INDEX(Aveia!$E40:$Z40,MIN(Q$6-$G$3,22))&lt;&gt;""),Aveia!$E40:INDEX(Aveia!$E40:$Z40,MIN(Q$6-$G$3,22))),0)))))</f>
        <v>0</v>
      </c>
      <c r="R42" s="27" t="n">
        <f aca="false">IF(COUNT(Aveia!$E40:$Z40)=0,0,MAX(0,IF((R$6-$E$3)&lt;1,0,IFERROR(LOOKUP(2,1/(Aveia!$E40:INDEX(Aveia!$E40:$Z40,MIN(R$6-$E$3,22))&lt;&gt;""),Aveia!$E40:INDEX(Aveia!$E40:$Z40,MIN(R$6-$E$3,22))),0))-IF($G$2,0,IF((R$6-$G$3)&lt;1,0,IFERROR(LOOKUP(2,1/(Aveia!$E40:INDEX(Aveia!$E40:$Z40,MIN(R$6-$G$3,22))&lt;&gt;""),Aveia!$E40:INDEX(Aveia!$E40:$Z40,MIN(R$6-$G$3,22))),0)))))</f>
        <v>0</v>
      </c>
      <c r="S42" s="27" t="n">
        <f aca="false">IF(COUNT(Aveia!$E40:$Z40)=0,0,MAX(0,IF((S$6-$E$3)&lt;1,0,IFERROR(LOOKUP(2,1/(Aveia!$E40:INDEX(Aveia!$E40:$Z40,MIN(S$6-$E$3,22))&lt;&gt;""),Aveia!$E40:INDEX(Aveia!$E40:$Z40,MIN(S$6-$E$3,22))),0))-IF($G$2,0,IF((S$6-$G$3)&lt;1,0,IFERROR(LOOKUP(2,1/(Aveia!$E40:INDEX(Aveia!$E40:$Z40,MIN(S$6-$G$3,22))&lt;&gt;""),Aveia!$E40:INDEX(Aveia!$E40:$Z40,MIN(S$6-$G$3,22))),0)))))</f>
        <v>0</v>
      </c>
      <c r="T42" s="27" t="n">
        <f aca="false">IF(COUNT(Aveia!$E40:$Z40)=0,0,MAX(0,IF((T$6-$E$3)&lt;1,0,IFERROR(LOOKUP(2,1/(Aveia!$E40:INDEX(Aveia!$E40:$Z40,MIN(T$6-$E$3,22))&lt;&gt;""),Aveia!$E40:INDEX(Aveia!$E40:$Z40,MIN(T$6-$E$3,22))),0))-IF($G$2,0,IF((T$6-$G$3)&lt;1,0,IFERROR(LOOKUP(2,1/(Aveia!$E40:INDEX(Aveia!$E40:$Z40,MIN(T$6-$G$3,22))&lt;&gt;""),Aveia!$E40:INDEX(Aveia!$E40:$Z40,MIN(T$6-$G$3,22))),0)))))</f>
        <v>0</v>
      </c>
      <c r="U42" s="27" t="n">
        <f aca="false">IF(COUNT(Aveia!$E40:$Z40)=0,0,MAX(0,IF((U$6-$E$3)&lt;1,0,IFERROR(LOOKUP(2,1/(Aveia!$E40:INDEX(Aveia!$E40:$Z40,MIN(U$6-$E$3,22))&lt;&gt;""),Aveia!$E40:INDEX(Aveia!$E40:$Z40,MIN(U$6-$E$3,22))),0))-IF($G$2,0,IF((U$6-$G$3)&lt;1,0,IFERROR(LOOKUP(2,1/(Aveia!$E40:INDEX(Aveia!$E40:$Z40,MIN(U$6-$G$3,22))&lt;&gt;""),Aveia!$E40:INDEX(Aveia!$E40:$Z40,MIN(U$6-$G$3,22))),0)))))</f>
        <v>0</v>
      </c>
      <c r="V42" s="27" t="n">
        <f aca="false">IF(COUNT(Aveia!$E40:$Z40)=0,0,MAX(0,IF((V$6-$E$3)&lt;1,0,IFERROR(LOOKUP(2,1/(Aveia!$E40:INDEX(Aveia!$E40:$Z40,MIN(V$6-$E$3,22))&lt;&gt;""),Aveia!$E40:INDEX(Aveia!$E40:$Z40,MIN(V$6-$E$3,22))),0))-IF($G$2,0,IF((V$6-$G$3)&lt;1,0,IFERROR(LOOKUP(2,1/(Aveia!$E40:INDEX(Aveia!$E40:$Z40,MIN(V$6-$G$3,22))&lt;&gt;""),Aveia!$E40:INDEX(Aveia!$E40:$Z40,MIN(V$6-$G$3,22))),0)))))</f>
        <v>0</v>
      </c>
      <c r="W42" s="27" t="n">
        <f aca="false">IF(COUNT(Aveia!$E40:$Z40)=0,0,MAX(0,IF((W$6-$E$3)&lt;1,0,IFERROR(LOOKUP(2,1/(Aveia!$E40:INDEX(Aveia!$E40:$Z40,MIN(W$6-$E$3,22))&lt;&gt;""),Aveia!$E40:INDEX(Aveia!$E40:$Z40,MIN(W$6-$E$3,22))),0))-IF($G$2,0,IF((W$6-$G$3)&lt;1,0,IFERROR(LOOKUP(2,1/(Aveia!$E40:INDEX(Aveia!$E40:$Z40,MIN(W$6-$G$3,22))&lt;&gt;""),Aveia!$E40:INDEX(Aveia!$E40:$Z40,MIN(W$6-$G$3,22))),0)))))</f>
        <v>0</v>
      </c>
      <c r="X42" s="27" t="n">
        <f aca="false">IF(COUNT(Aveia!$E40:$Z40)=0,0,MAX(0,IF((X$6-$E$3)&lt;1,0,IFERROR(LOOKUP(2,1/(Aveia!$E40:INDEX(Aveia!$E40:$Z40,MIN(X$6-$E$3,22))&lt;&gt;""),Aveia!$E40:INDEX(Aveia!$E40:$Z40,MIN(X$6-$E$3,22))),0))-IF($G$2,0,IF((X$6-$G$3)&lt;1,0,IFERROR(LOOKUP(2,1/(Aveia!$E40:INDEX(Aveia!$E40:$Z40,MIN(X$6-$G$3,22))&lt;&gt;""),Aveia!$E40:INDEX(Aveia!$E40:$Z40,MIN(X$6-$G$3,22))),0)))))</f>
        <v>0</v>
      </c>
      <c r="Y42" s="27" t="n">
        <f aca="false">IF(COUNT(Aveia!$E40:$Z40)=0,0,MAX(0,IF((Y$6-$E$3)&lt;1,0,IFERROR(LOOKUP(2,1/(Aveia!$E40:INDEX(Aveia!$E40:$Z40,MIN(Y$6-$E$3,22))&lt;&gt;""),Aveia!$E40:INDEX(Aveia!$E40:$Z40,MIN(Y$6-$E$3,22))),0))-IF($G$2,0,IF((Y$6-$G$3)&lt;1,0,IFERROR(LOOKUP(2,1/(Aveia!$E40:INDEX(Aveia!$E40:$Z40,MIN(Y$6-$G$3,22))&lt;&gt;""),Aveia!$E40:INDEX(Aveia!$E40:$Z40,MIN(Y$6-$G$3,22))),0)))))</f>
        <v>0</v>
      </c>
      <c r="Z42" s="27" t="n">
        <f aca="false">IF(COUNT(Aveia!$E40:$Z40)=0,0,MAX(0,IF((Z$6-$E$3)&lt;1,0,IFERROR(LOOKUP(2,1/(Aveia!$E40:INDEX(Aveia!$E40:$Z40,MIN(Z$6-$E$3,22))&lt;&gt;""),Aveia!$E40:INDEX(Aveia!$E40:$Z40,MIN(Z$6-$E$3,22))),0))-IF($G$2,0,IF((Z$6-$G$3)&lt;1,0,IFERROR(LOOKUP(2,1/(Aveia!$E40:INDEX(Aveia!$E40:$Z40,MIN(Z$6-$G$3,22))&lt;&gt;""),Aveia!$E40:INDEX(Aveia!$E40:$Z40,MIN(Z$6-$G$3,22))),0)))))</f>
        <v>0</v>
      </c>
      <c r="AA42" s="27" t="n">
        <f aca="false">IF(COUNT(Aveia!$E40:$Z40)=0,0,MAX(0,IF((AA$6-$E$3)&lt;1,0,IFERROR(LOOKUP(2,1/(Aveia!$E40:INDEX(Aveia!$E40:$Z40,MIN(AA$6-$E$3,22))&lt;&gt;""),Aveia!$E40:INDEX(Aveia!$E40:$Z40,MIN(AA$6-$E$3,22))),0))-IF($G$2,0,IF((AA$6-$G$3)&lt;1,0,IFERROR(LOOKUP(2,1/(Aveia!$E40:INDEX(Aveia!$E40:$Z40,MIN(AA$6-$G$3,22))&lt;&gt;""),Aveia!$E40:INDEX(Aveia!$E40:$Z40,MIN(AA$6-$G$3,22))),0)))))</f>
        <v>0</v>
      </c>
      <c r="AB42" s="27" t="n">
        <f aca="false">IF(COUNT(Aveia!$E40:$Z40)=0,0,MAX(0,IF((AB$6-$E$3)&lt;1,0,IFERROR(LOOKUP(2,1/(Aveia!$E40:INDEX(Aveia!$E40:$Z40,MIN(AB$6-$E$3,22))&lt;&gt;""),Aveia!$E40:INDEX(Aveia!$E40:$Z40,MIN(AB$6-$E$3,22))),0))-IF($G$2,0,IF((AB$6-$G$3)&lt;1,0,IFERROR(LOOKUP(2,1/(Aveia!$E40:INDEX(Aveia!$E40:$Z40,MIN(AB$6-$G$3,22))&lt;&gt;""),Aveia!$E40:INDEX(Aveia!$E40:$Z40,MIN(AB$6-$G$3,22))),0)))))</f>
        <v>0</v>
      </c>
      <c r="AC42" s="27" t="n">
        <f aca="false">IF(COUNT(Aveia!$E40:$Z40)=0,0,MAX(0,IF((AC$6-$E$3)&lt;1,0,IFERROR(LOOKUP(2,1/(Aveia!$E40:INDEX(Aveia!$E40:$Z40,MIN(AC$6-$E$3,22))&lt;&gt;""),Aveia!$E40:INDEX(Aveia!$E40:$Z40,MIN(AC$6-$E$3,22))),0))-IF($G$2,0,IF((AC$6-$G$3)&lt;1,0,IFERROR(LOOKUP(2,1/(Aveia!$E40:INDEX(Aveia!$E40:$Z40,MIN(AC$6-$G$3,22))&lt;&gt;""),Aveia!$E40:INDEX(Aveia!$E40:$Z40,MIN(AC$6-$G$3,22))),0)))))</f>
        <v>0</v>
      </c>
      <c r="AD42" s="27" t="n">
        <f aca="false">IF(COUNT(Aveia!$E40:$Z40)=0,0,MAX(0,IF((AD$6-$E$3)&lt;1,0,IFERROR(LOOKUP(2,1/(Aveia!$E40:INDEX(Aveia!$E40:$Z40,MIN(AD$6-$E$3,22))&lt;&gt;""),Aveia!$E40:INDEX(Aveia!$E40:$Z40,MIN(AD$6-$E$3,22))),0))-IF($G$2,0,IF((AD$6-$G$3)&lt;1,0,IFERROR(LOOKUP(2,1/(Aveia!$E40:INDEX(Aveia!$E40:$Z40,MIN(AD$6-$G$3,22))&lt;&gt;""),Aveia!$E40:INDEX(Aveia!$E40:$Z40,MIN(AD$6-$G$3,22))),0)))))</f>
        <v>0</v>
      </c>
      <c r="AE42" s="27" t="n">
        <f aca="false">IF(COUNT(Aveia!$E40:$Z40)=0,0,MAX(0,IF((AE$6-$E$3)&lt;1,0,IFERROR(LOOKUP(2,1/(Aveia!$E40:INDEX(Aveia!$E40:$Z40,MIN(AE$6-$E$3,22))&lt;&gt;""),Aveia!$E40:INDEX(Aveia!$E40:$Z40,MIN(AE$6-$E$3,22))),0))-IF($G$2,0,IF((AE$6-$G$3)&lt;1,0,IFERROR(LOOKUP(2,1/(Aveia!$E40:INDEX(Aveia!$E40:$Z40,MIN(AE$6-$G$3,22))&lt;&gt;""),Aveia!$E40:INDEX(Aveia!$E40:$Z40,MIN(AE$6-$G$3,22))),0)))))</f>
        <v>0</v>
      </c>
      <c r="AF42" s="27" t="n">
        <f aca="false">IF(COUNT(Aveia!$E40:$Z40)=0,0,MAX(0,IF((AF$6-$E$3)&lt;1,0,IFERROR(LOOKUP(2,1/(Aveia!$E40:INDEX(Aveia!$E40:$Z40,MIN(AF$6-$E$3,22))&lt;&gt;""),Aveia!$E40:INDEX(Aveia!$E40:$Z40,MIN(AF$6-$E$3,22))),0))-IF($G$2,0,IF((AF$6-$G$3)&lt;1,0,IFERROR(LOOKUP(2,1/(Aveia!$E40:INDEX(Aveia!$E40:$Z40,MIN(AF$6-$G$3,22))&lt;&gt;""),Aveia!$E40:INDEX(Aveia!$E40:$Z40,MIN(AF$6-$G$3,22))),0)))))</f>
        <v>0</v>
      </c>
      <c r="AG42" s="27" t="n">
        <f aca="false">IF(COUNT(Aveia!$E40:$Z40)=0,0,MAX(0,IF((AG$6-$E$3)&lt;1,0,IFERROR(LOOKUP(2,1/(Aveia!$E40:INDEX(Aveia!$E40:$Z40,MIN(AG$6-$E$3,22))&lt;&gt;""),Aveia!$E40:INDEX(Aveia!$E40:$Z40,MIN(AG$6-$E$3,22))),0))-IF($G$2,0,IF((AG$6-$G$3)&lt;1,0,IFERROR(LOOKUP(2,1/(Aveia!$E40:INDEX(Aveia!$E40:$Z40,MIN(AG$6-$G$3,22))&lt;&gt;""),Aveia!$E40:INDEX(Aveia!$E40:$Z40,MIN(AG$6-$G$3,22))),0)))))</f>
        <v>0</v>
      </c>
      <c r="AH42" s="27" t="n">
        <f aca="false">IF(COUNT(Aveia!$E40:$Z40)=0,0,MAX(0,IF((AH$6-$E$3)&lt;1,0,IFERROR(LOOKUP(2,1/(Aveia!$E40:INDEX(Aveia!$E40:$Z40,MIN(AH$6-$E$3,22))&lt;&gt;""),Aveia!$E40:INDEX(Aveia!$E40:$Z40,MIN(AH$6-$E$3,22))),0))-IF($G$2,0,IF((AH$6-$G$3)&lt;1,0,IFERROR(LOOKUP(2,1/(Aveia!$E40:INDEX(Aveia!$E40:$Z40,MIN(AH$6-$G$3,22))&lt;&gt;""),Aveia!$E40:INDEX(Aveia!$E40:$Z40,MIN(AH$6-$G$3,22))),0)))))</f>
        <v>0</v>
      </c>
      <c r="AI42" s="27" t="n">
        <f aca="false">IF(COUNT(Aveia!$E40:$Z40)=0,0,MAX(0,IF((AI$6-$E$3)&lt;1,0,IFERROR(LOOKUP(2,1/(Aveia!$E40:INDEX(Aveia!$E40:$Z40,MIN(AI$6-$E$3,22))&lt;&gt;""),Aveia!$E40:INDEX(Aveia!$E40:$Z40,MIN(AI$6-$E$3,22))),0))-IF($G$2,0,IF((AI$6-$G$3)&lt;1,0,IFERROR(LOOKUP(2,1/(Aveia!$E40:INDEX(Aveia!$E40:$Z40,MIN(AI$6-$G$3,22))&lt;&gt;""),Aveia!$E40:INDEX(Aveia!$E40:$Z40,MIN(AI$6-$G$3,22))),0)))))</f>
        <v>0</v>
      </c>
      <c r="AJ42" s="27" t="n">
        <f aca="false">IF(COUNT(Aveia!$E40:$Z40)=0,0,MAX(0,IF((AJ$6-$E$3)&lt;1,0,IFERROR(LOOKUP(2,1/(Aveia!$E40:INDEX(Aveia!$E40:$Z40,MIN(AJ$6-$E$3,22))&lt;&gt;""),Aveia!$E40:INDEX(Aveia!$E40:$Z40,MIN(AJ$6-$E$3,22))),0))-IF($G$2,0,IF((AJ$6-$G$3)&lt;1,0,IFERROR(LOOKUP(2,1/(Aveia!$E40:INDEX(Aveia!$E40:$Z40,MIN(AJ$6-$G$3,22))&lt;&gt;""),Aveia!$E40:INDEX(Aveia!$E40:$Z40,MIN(AJ$6-$G$3,22))),0)))))</f>
        <v>0</v>
      </c>
      <c r="AK42" s="27" t="n">
        <f aca="false">IF(COUNT(Aveia!$E40:$Z40)=0,0,MAX(0,IF((AK$6-$E$3)&lt;1,0,IFERROR(LOOKUP(2,1/(Aveia!$E40:INDEX(Aveia!$E40:$Z40,MIN(AK$6-$E$3,22))&lt;&gt;""),Aveia!$E40:INDEX(Aveia!$E40:$Z40,MIN(AK$6-$E$3,22))),0))-IF($G$2,0,IF((AK$6-$G$3)&lt;1,0,IFERROR(LOOKUP(2,1/(Aveia!$E40:INDEX(Aveia!$E40:$Z40,MIN(AK$6-$G$3,22))&lt;&gt;""),Aveia!$E40:INDEX(Aveia!$E40:$Z40,MIN(AK$6-$G$3,22))),0)))))</f>
        <v>0</v>
      </c>
      <c r="AL42" s="27" t="n">
        <f aca="false">IF(COUNT(Aveia!$E40:$Z40)=0,0,MAX(0,IF((AL$6-$E$3)&lt;1,0,IFERROR(LOOKUP(2,1/(Aveia!$E40:INDEX(Aveia!$E40:$Z40,MIN(AL$6-$E$3,22))&lt;&gt;""),Aveia!$E40:INDEX(Aveia!$E40:$Z40,MIN(AL$6-$E$3,22))),0))-IF($G$2,0,IF((AL$6-$G$3)&lt;1,0,IFERROR(LOOKUP(2,1/(Aveia!$E40:INDEX(Aveia!$E40:$Z40,MIN(AL$6-$G$3,22))&lt;&gt;""),Aveia!$E40:INDEX(Aveia!$E40:$Z40,MIN(AL$6-$G$3,22))),0)))))</f>
        <v>0</v>
      </c>
      <c r="AM42" s="27" t="n">
        <f aca="false">IF(COUNT(Aveia!$E40:$Z40)=0,0,MAX(0,IF((AM$6-$E$3)&lt;1,0,IFERROR(LOOKUP(2,1/(Aveia!$E40:INDEX(Aveia!$E40:$Z40,MIN(AM$6-$E$3,22))&lt;&gt;""),Aveia!$E40:INDEX(Aveia!$E40:$Z40,MIN(AM$6-$E$3,22))),0))-IF($G$2,0,IF((AM$6-$G$3)&lt;1,0,IFERROR(LOOKUP(2,1/(Aveia!$E40:INDEX(Aveia!$E40:$Z40,MIN(AM$6-$G$3,22))&lt;&gt;""),Aveia!$E40:INDEX(Aveia!$E40:$Z40,MIN(AM$6-$G$3,22))),0)))))</f>
        <v>0</v>
      </c>
      <c r="AN42" s="27" t="n">
        <f aca="false">IF(COUNT(Aveia!$E40:$Z40)=0,0,MAX(0,IF((AN$6-$E$3)&lt;1,0,IFERROR(LOOKUP(2,1/(Aveia!$E40:INDEX(Aveia!$E40:$Z40,MIN(AN$6-$E$3,22))&lt;&gt;""),Aveia!$E40:INDEX(Aveia!$E40:$Z40,MIN(AN$6-$E$3,22))),0))-IF($G$2,0,IF((AN$6-$G$3)&lt;1,0,IFERROR(LOOKUP(2,1/(Aveia!$E40:INDEX(Aveia!$E40:$Z40,MIN(AN$6-$G$3,22))&lt;&gt;""),Aveia!$E40:INDEX(Aveia!$E40:$Z40,MIN(AN$6-$G$3,22))),0)))))</f>
        <v>0</v>
      </c>
      <c r="AO42" s="27" t="n">
        <f aca="false">IF(COUNT(Aveia!$E40:$Z40)=0,0,MAX(0,IF((AO$6-$E$3)&lt;1,0,IFERROR(LOOKUP(2,1/(Aveia!$E40:INDEX(Aveia!$E40:$Z40,MIN(AO$6-$E$3,22))&lt;&gt;""),Aveia!$E40:INDEX(Aveia!$E40:$Z40,MIN(AO$6-$E$3,22))),0))-IF($G$2,0,IF((AO$6-$G$3)&lt;1,0,IFERROR(LOOKUP(2,1/(Aveia!$E40:INDEX(Aveia!$E40:$Z40,MIN(AO$6-$G$3,22))&lt;&gt;""),Aveia!$E40:INDEX(Aveia!$E40:$Z40,MIN(AO$6-$G$3,22))),0)))))</f>
        <v>0</v>
      </c>
      <c r="AP42" s="27" t="n">
        <f aca="false">IF(COUNT(Aveia!$E40:$Z40)=0,0,MAX(0,IF((AP$6-$E$3)&lt;1,0,IFERROR(LOOKUP(2,1/(Aveia!$E40:INDEX(Aveia!$E40:$Z40,MIN(AP$6-$E$3,22))&lt;&gt;""),Aveia!$E40:INDEX(Aveia!$E40:$Z40,MIN(AP$6-$E$3,22))),0))-IF($G$2,0,IF((AP$6-$G$3)&lt;1,0,IFERROR(LOOKUP(2,1/(Aveia!$E40:INDEX(Aveia!$E40:$Z40,MIN(AP$6-$G$3,22))&lt;&gt;""),Aveia!$E40:INDEX(Aveia!$E40:$Z40,MIN(AP$6-$G$3,22))),0)))))</f>
        <v>0</v>
      </c>
      <c r="AQ42" s="27" t="n">
        <f aca="false">IF(COUNT(Aveia!$E40:$Z40)=0,0,MAX(0,IF((AQ$6-$E$3)&lt;1,0,IFERROR(LOOKUP(2,1/(Aveia!$E40:INDEX(Aveia!$E40:$Z40,MIN(AQ$6-$E$3,22))&lt;&gt;""),Aveia!$E40:INDEX(Aveia!$E40:$Z40,MIN(AQ$6-$E$3,22))),0))-IF($G$2,0,IF((AQ$6-$G$3)&lt;1,0,IFERROR(LOOKUP(2,1/(Aveia!$E40:INDEX(Aveia!$E40:$Z40,MIN(AQ$6-$G$3,22))&lt;&gt;""),Aveia!$E40:INDEX(Aveia!$E40:$Z40,MIN(AQ$6-$G$3,22))),0)))))</f>
        <v>0</v>
      </c>
      <c r="AR42" s="27" t="n">
        <f aca="false">IF(COUNT(Aveia!$E40:$Z40)=0,0,MAX(0,IF((AR$6-$E$3)&lt;1,0,IFERROR(LOOKUP(2,1/(Aveia!$E40:INDEX(Aveia!$E40:$Z40,MIN(AR$6-$E$3,22))&lt;&gt;""),Aveia!$E40:INDEX(Aveia!$E40:$Z40,MIN(AR$6-$E$3,22))),0))-IF($G$2,0,IF((AR$6-$G$3)&lt;1,0,IFERROR(LOOKUP(2,1/(Aveia!$E40:INDEX(Aveia!$E40:$Z40,MIN(AR$6-$G$3,22))&lt;&gt;""),Aveia!$E40:INDEX(Aveia!$E40:$Z40,MIN(AR$6-$G$3,22))),0)))))</f>
        <v>0</v>
      </c>
      <c r="AS42" s="27" t="n">
        <f aca="false">IF(COUNT(Aveia!$E40:$Z40)=0,0,MAX(0,IF((AS$6-$E$3)&lt;1,0,IFERROR(LOOKUP(2,1/(Aveia!$E40:INDEX(Aveia!$E40:$Z40,MIN(AS$6-$E$3,22))&lt;&gt;""),Aveia!$E40:INDEX(Aveia!$E40:$Z40,MIN(AS$6-$E$3,22))),0))-IF($G$2,0,IF((AS$6-$G$3)&lt;1,0,IFERROR(LOOKUP(2,1/(Aveia!$E40:INDEX(Aveia!$E40:$Z40,MIN(AS$6-$G$3,22))&lt;&gt;""),Aveia!$E40:INDEX(Aveia!$E40:$Z40,MIN(AS$6-$G$3,22))),0)))))</f>
        <v>0</v>
      </c>
      <c r="AT42" s="27" t="n">
        <f aca="false">IF(COUNT(Aveia!$E40:$Z40)=0,0,MAX(0,IF((AT$6-$E$3)&lt;1,0,IFERROR(LOOKUP(2,1/(Aveia!$E40:INDEX(Aveia!$E40:$Z40,MIN(AT$6-$E$3,22))&lt;&gt;""),Aveia!$E40:INDEX(Aveia!$E40:$Z40,MIN(AT$6-$E$3,22))),0))-IF($G$2,0,IF((AT$6-$G$3)&lt;1,0,IFERROR(LOOKUP(2,1/(Aveia!$E40:INDEX(Aveia!$E40:$Z40,MIN(AT$6-$G$3,22))&lt;&gt;""),Aveia!$E40:INDEX(Aveia!$E40:$Z40,MIN(AT$6-$G$3,22))),0)))))</f>
        <v>0</v>
      </c>
      <c r="AU42" s="27" t="n">
        <f aca="false">IF(COUNT(Aveia!$E40:$Z40)=0,0,MAX(0,IF((AU$6-$E$3)&lt;1,0,IFERROR(LOOKUP(2,1/(Aveia!$E40:INDEX(Aveia!$E40:$Z40,MIN(AU$6-$E$3,22))&lt;&gt;""),Aveia!$E40:INDEX(Aveia!$E40:$Z40,MIN(AU$6-$E$3,22))),0))-IF($G$2,0,IF((AU$6-$G$3)&lt;1,0,IFERROR(LOOKUP(2,1/(Aveia!$E40:INDEX(Aveia!$E40:$Z40,MIN(AU$6-$G$3,22))&lt;&gt;""),Aveia!$E40:INDEX(Aveia!$E40:$Z40,MIN(AU$6-$G$3,22))),0)))))</f>
        <v>0</v>
      </c>
      <c r="AV42" s="27" t="n">
        <f aca="false">IF(COUNT(Aveia!$E40:$Z40)=0,0,MAX(0,IF((AV$6-$E$3)&lt;1,0,IFERROR(LOOKUP(2,1/(Aveia!$E40:INDEX(Aveia!$E40:$Z40,MIN(AV$6-$E$3,22))&lt;&gt;""),Aveia!$E40:INDEX(Aveia!$E40:$Z40,MIN(AV$6-$E$3,22))),0))-IF($G$2,0,IF((AV$6-$G$3)&lt;1,0,IFERROR(LOOKUP(2,1/(Aveia!$E40:INDEX(Aveia!$E40:$Z40,MIN(AV$6-$G$3,22))&lt;&gt;""),Aveia!$E40:INDEX(Aveia!$E40:$Z40,MIN(AV$6-$G$3,22))),0)))))</f>
        <v>0</v>
      </c>
      <c r="AW42" s="27" t="n">
        <f aca="false">IF(COUNT(Aveia!$E40:$Z40)=0,0,MAX(0,IF((AW$6-$E$3)&lt;1,0,IFERROR(LOOKUP(2,1/(Aveia!$E40:INDEX(Aveia!$E40:$Z40,MIN(AW$6-$E$3,22))&lt;&gt;""),Aveia!$E40:INDEX(Aveia!$E40:$Z40,MIN(AW$6-$E$3,22))),0))-IF($G$2,0,IF((AW$6-$G$3)&lt;1,0,IFERROR(LOOKUP(2,1/(Aveia!$E40:INDEX(Aveia!$E40:$Z40,MIN(AW$6-$G$3,22))&lt;&gt;""),Aveia!$E40:INDEX(Aveia!$E40:$Z40,MIN(AW$6-$G$3,22))),0)))))</f>
        <v>0</v>
      </c>
      <c r="AX42" s="27" t="n">
        <f aca="false">IF(COUNT(Aveia!$E40:$Z40)=0,0,MAX(0,IF((AX$6-$E$3)&lt;1,0,IFERROR(LOOKUP(2,1/(Aveia!$E40:INDEX(Aveia!$E40:$Z40,MIN(AX$6-$E$3,22))&lt;&gt;""),Aveia!$E40:INDEX(Aveia!$E40:$Z40,MIN(AX$6-$E$3,22))),0))-IF($G$2,0,IF((AX$6-$G$3)&lt;1,0,IFERROR(LOOKUP(2,1/(Aveia!$E40:INDEX(Aveia!$E40:$Z40,MIN(AX$6-$G$3,22))&lt;&gt;""),Aveia!$E40:INDEX(Aveia!$E40:$Z40,MIN(AX$6-$G$3,22))),0)))))</f>
        <v>0</v>
      </c>
      <c r="AY42" s="27" t="n">
        <f aca="false">IF(COUNT(Aveia!$E40:$Z40)=0,0,MAX(0,IF((AY$6-$E$3)&lt;1,0,IFERROR(LOOKUP(2,1/(Aveia!$E40:INDEX(Aveia!$E40:$Z40,MIN(AY$6-$E$3,22))&lt;&gt;""),Aveia!$E40:INDEX(Aveia!$E40:$Z40,MIN(AY$6-$E$3,22))),0))-IF($G$2,0,IF((AY$6-$G$3)&lt;1,0,IFERROR(LOOKUP(2,1/(Aveia!$E40:INDEX(Aveia!$E40:$Z40,MIN(AY$6-$G$3,22))&lt;&gt;""),Aveia!$E40:INDEX(Aveia!$E40:$Z40,MIN(AY$6-$G$3,22))),0)))))</f>
        <v>0</v>
      </c>
      <c r="AZ42" s="27" t="n">
        <f aca="false">IF(COUNT(Aveia!$E40:$Z40)=0,0,MAX(0,IF((AZ$6-$E$3)&lt;1,0,IFERROR(LOOKUP(2,1/(Aveia!$E40:INDEX(Aveia!$E40:$Z40,MIN(AZ$6-$E$3,22))&lt;&gt;""),Aveia!$E40:INDEX(Aveia!$E40:$Z40,MIN(AZ$6-$E$3,22))),0))-IF($G$2,0,IF((AZ$6-$G$3)&lt;1,0,IFERROR(LOOKUP(2,1/(Aveia!$E40:INDEX(Aveia!$E40:$Z40,MIN(AZ$6-$G$3,22))&lt;&gt;""),Aveia!$E40:INDEX(Aveia!$E40:$Z40,MIN(AZ$6-$G$3,22))),0)))))</f>
        <v>0</v>
      </c>
    </row>
    <row r="43" customFormat="false" ht="15" hidden="false" customHeight="false" outlineLevel="0" collapsed="false">
      <c r="A43" s="3" t="s">
        <v>207</v>
      </c>
      <c r="B43" s="3" t="s">
        <v>208</v>
      </c>
      <c r="C43" s="10" t="s">
        <v>163</v>
      </c>
      <c r="D43" s="26" t="n">
        <f aca="false">IF(COUNT(Aveia!$E41:$Z41)&gt;0,N(Aveia!$D41),0)</f>
        <v>0</v>
      </c>
      <c r="E43" s="27" t="n">
        <f aca="false">IF(COUNT(Aveia!$E41:$Z41)=0,0,MAX(0,IF((E$6-$E$3)&lt;1,0,IFERROR(LOOKUP(2,1/(Aveia!$E41:INDEX(Aveia!$E41:$Z41,MIN(E$6-$E$3,22))&lt;&gt;""),Aveia!$E41:INDEX(Aveia!$E41:$Z41,MIN(E$6-$E$3,22))),0))-IF($G$2,0,IF((E$6-$G$3)&lt;1,0,IFERROR(LOOKUP(2,1/(Aveia!$E41:INDEX(Aveia!$E41:$Z41,MIN(E$6-$G$3,22))&lt;&gt;""),Aveia!$E41:INDEX(Aveia!$E41:$Z41,MIN(E$6-$G$3,22))),0)))))</f>
        <v>0</v>
      </c>
      <c r="F43" s="27" t="n">
        <f aca="false">IF(COUNT(Aveia!$E41:$Z41)=0,0,MAX(0,IF((F$6-$E$3)&lt;1,0,IFERROR(LOOKUP(2,1/(Aveia!$E41:INDEX(Aveia!$E41:$Z41,MIN(F$6-$E$3,22))&lt;&gt;""),Aveia!$E41:INDEX(Aveia!$E41:$Z41,MIN(F$6-$E$3,22))),0))-IF($G$2,0,IF((F$6-$G$3)&lt;1,0,IFERROR(LOOKUP(2,1/(Aveia!$E41:INDEX(Aveia!$E41:$Z41,MIN(F$6-$G$3,22))&lt;&gt;""),Aveia!$E41:INDEX(Aveia!$E41:$Z41,MIN(F$6-$G$3,22))),0)))))</f>
        <v>0</v>
      </c>
      <c r="G43" s="27" t="n">
        <f aca="false">IF(COUNT(Aveia!$E41:$Z41)=0,0,MAX(0,IF((G$6-$E$3)&lt;1,0,IFERROR(LOOKUP(2,1/(Aveia!$E41:INDEX(Aveia!$E41:$Z41,MIN(G$6-$E$3,22))&lt;&gt;""),Aveia!$E41:INDEX(Aveia!$E41:$Z41,MIN(G$6-$E$3,22))),0))-IF($G$2,0,IF((G$6-$G$3)&lt;1,0,IFERROR(LOOKUP(2,1/(Aveia!$E41:INDEX(Aveia!$E41:$Z41,MIN(G$6-$G$3,22))&lt;&gt;""),Aveia!$E41:INDEX(Aveia!$E41:$Z41,MIN(G$6-$G$3,22))),0)))))</f>
        <v>0</v>
      </c>
      <c r="H43" s="27" t="n">
        <f aca="false">IF(COUNT(Aveia!$E41:$Z41)=0,0,MAX(0,IF((H$6-$E$3)&lt;1,0,IFERROR(LOOKUP(2,1/(Aveia!$E41:INDEX(Aveia!$E41:$Z41,MIN(H$6-$E$3,22))&lt;&gt;""),Aveia!$E41:INDEX(Aveia!$E41:$Z41,MIN(H$6-$E$3,22))),0))-IF($G$2,0,IF((H$6-$G$3)&lt;1,0,IFERROR(LOOKUP(2,1/(Aveia!$E41:INDEX(Aveia!$E41:$Z41,MIN(H$6-$G$3,22))&lt;&gt;""),Aveia!$E41:INDEX(Aveia!$E41:$Z41,MIN(H$6-$G$3,22))),0)))))</f>
        <v>0</v>
      </c>
      <c r="I43" s="27" t="n">
        <f aca="false">IF(COUNT(Aveia!$E41:$Z41)=0,0,MAX(0,IF((I$6-$E$3)&lt;1,0,IFERROR(LOOKUP(2,1/(Aveia!$E41:INDEX(Aveia!$E41:$Z41,MIN(I$6-$E$3,22))&lt;&gt;""),Aveia!$E41:INDEX(Aveia!$E41:$Z41,MIN(I$6-$E$3,22))),0))-IF($G$2,0,IF((I$6-$G$3)&lt;1,0,IFERROR(LOOKUP(2,1/(Aveia!$E41:INDEX(Aveia!$E41:$Z41,MIN(I$6-$G$3,22))&lt;&gt;""),Aveia!$E41:INDEX(Aveia!$E41:$Z41,MIN(I$6-$G$3,22))),0)))))</f>
        <v>0</v>
      </c>
      <c r="J43" s="27" t="n">
        <f aca="false">IF(COUNT(Aveia!$E41:$Z41)=0,0,MAX(0,IF((J$6-$E$3)&lt;1,0,IFERROR(LOOKUP(2,1/(Aveia!$E41:INDEX(Aveia!$E41:$Z41,MIN(J$6-$E$3,22))&lt;&gt;""),Aveia!$E41:INDEX(Aveia!$E41:$Z41,MIN(J$6-$E$3,22))),0))-IF($G$2,0,IF((J$6-$G$3)&lt;1,0,IFERROR(LOOKUP(2,1/(Aveia!$E41:INDEX(Aveia!$E41:$Z41,MIN(J$6-$G$3,22))&lt;&gt;""),Aveia!$E41:INDEX(Aveia!$E41:$Z41,MIN(J$6-$G$3,22))),0)))))</f>
        <v>0</v>
      </c>
      <c r="K43" s="27" t="n">
        <f aca="false">IF(COUNT(Aveia!$E41:$Z41)=0,0,MAX(0,IF((K$6-$E$3)&lt;1,0,IFERROR(LOOKUP(2,1/(Aveia!$E41:INDEX(Aveia!$E41:$Z41,MIN(K$6-$E$3,22))&lt;&gt;""),Aveia!$E41:INDEX(Aveia!$E41:$Z41,MIN(K$6-$E$3,22))),0))-IF($G$2,0,IF((K$6-$G$3)&lt;1,0,IFERROR(LOOKUP(2,1/(Aveia!$E41:INDEX(Aveia!$E41:$Z41,MIN(K$6-$G$3,22))&lt;&gt;""),Aveia!$E41:INDEX(Aveia!$E41:$Z41,MIN(K$6-$G$3,22))),0)))))</f>
        <v>0</v>
      </c>
      <c r="L43" s="27" t="n">
        <f aca="false">IF(COUNT(Aveia!$E41:$Z41)=0,0,MAX(0,IF((L$6-$E$3)&lt;1,0,IFERROR(LOOKUP(2,1/(Aveia!$E41:INDEX(Aveia!$E41:$Z41,MIN(L$6-$E$3,22))&lt;&gt;""),Aveia!$E41:INDEX(Aveia!$E41:$Z41,MIN(L$6-$E$3,22))),0))-IF($G$2,0,IF((L$6-$G$3)&lt;1,0,IFERROR(LOOKUP(2,1/(Aveia!$E41:INDEX(Aveia!$E41:$Z41,MIN(L$6-$G$3,22))&lt;&gt;""),Aveia!$E41:INDEX(Aveia!$E41:$Z41,MIN(L$6-$G$3,22))),0)))))</f>
        <v>0</v>
      </c>
      <c r="M43" s="27" t="n">
        <f aca="false">IF(COUNT(Aveia!$E41:$Z41)=0,0,MAX(0,IF((M$6-$E$3)&lt;1,0,IFERROR(LOOKUP(2,1/(Aveia!$E41:INDEX(Aveia!$E41:$Z41,MIN(M$6-$E$3,22))&lt;&gt;""),Aveia!$E41:INDEX(Aveia!$E41:$Z41,MIN(M$6-$E$3,22))),0))-IF($G$2,0,IF((M$6-$G$3)&lt;1,0,IFERROR(LOOKUP(2,1/(Aveia!$E41:INDEX(Aveia!$E41:$Z41,MIN(M$6-$G$3,22))&lt;&gt;""),Aveia!$E41:INDEX(Aveia!$E41:$Z41,MIN(M$6-$G$3,22))),0)))))</f>
        <v>0</v>
      </c>
      <c r="N43" s="27" t="n">
        <f aca="false">IF(COUNT(Aveia!$E41:$Z41)=0,0,MAX(0,IF((N$6-$E$3)&lt;1,0,IFERROR(LOOKUP(2,1/(Aveia!$E41:INDEX(Aveia!$E41:$Z41,MIN(N$6-$E$3,22))&lt;&gt;""),Aveia!$E41:INDEX(Aveia!$E41:$Z41,MIN(N$6-$E$3,22))),0))-IF($G$2,0,IF((N$6-$G$3)&lt;1,0,IFERROR(LOOKUP(2,1/(Aveia!$E41:INDEX(Aveia!$E41:$Z41,MIN(N$6-$G$3,22))&lt;&gt;""),Aveia!$E41:INDEX(Aveia!$E41:$Z41,MIN(N$6-$G$3,22))),0)))))</f>
        <v>0</v>
      </c>
      <c r="O43" s="27" t="n">
        <f aca="false">IF(COUNT(Aveia!$E41:$Z41)=0,0,MAX(0,IF((O$6-$E$3)&lt;1,0,IFERROR(LOOKUP(2,1/(Aveia!$E41:INDEX(Aveia!$E41:$Z41,MIN(O$6-$E$3,22))&lt;&gt;""),Aveia!$E41:INDEX(Aveia!$E41:$Z41,MIN(O$6-$E$3,22))),0))-IF($G$2,0,IF((O$6-$G$3)&lt;1,0,IFERROR(LOOKUP(2,1/(Aveia!$E41:INDEX(Aveia!$E41:$Z41,MIN(O$6-$G$3,22))&lt;&gt;""),Aveia!$E41:INDEX(Aveia!$E41:$Z41,MIN(O$6-$G$3,22))),0)))))</f>
        <v>0</v>
      </c>
      <c r="P43" s="27" t="n">
        <f aca="false">IF(COUNT(Aveia!$E41:$Z41)=0,0,MAX(0,IF((P$6-$E$3)&lt;1,0,IFERROR(LOOKUP(2,1/(Aveia!$E41:INDEX(Aveia!$E41:$Z41,MIN(P$6-$E$3,22))&lt;&gt;""),Aveia!$E41:INDEX(Aveia!$E41:$Z41,MIN(P$6-$E$3,22))),0))-IF($G$2,0,IF((P$6-$G$3)&lt;1,0,IFERROR(LOOKUP(2,1/(Aveia!$E41:INDEX(Aveia!$E41:$Z41,MIN(P$6-$G$3,22))&lt;&gt;""),Aveia!$E41:INDEX(Aveia!$E41:$Z41,MIN(P$6-$G$3,22))),0)))))</f>
        <v>0</v>
      </c>
      <c r="Q43" s="27" t="n">
        <f aca="false">IF(COUNT(Aveia!$E41:$Z41)=0,0,MAX(0,IF((Q$6-$E$3)&lt;1,0,IFERROR(LOOKUP(2,1/(Aveia!$E41:INDEX(Aveia!$E41:$Z41,MIN(Q$6-$E$3,22))&lt;&gt;""),Aveia!$E41:INDEX(Aveia!$E41:$Z41,MIN(Q$6-$E$3,22))),0))-IF($G$2,0,IF((Q$6-$G$3)&lt;1,0,IFERROR(LOOKUP(2,1/(Aveia!$E41:INDEX(Aveia!$E41:$Z41,MIN(Q$6-$G$3,22))&lt;&gt;""),Aveia!$E41:INDEX(Aveia!$E41:$Z41,MIN(Q$6-$G$3,22))),0)))))</f>
        <v>0</v>
      </c>
      <c r="R43" s="27" t="n">
        <f aca="false">IF(COUNT(Aveia!$E41:$Z41)=0,0,MAX(0,IF((R$6-$E$3)&lt;1,0,IFERROR(LOOKUP(2,1/(Aveia!$E41:INDEX(Aveia!$E41:$Z41,MIN(R$6-$E$3,22))&lt;&gt;""),Aveia!$E41:INDEX(Aveia!$E41:$Z41,MIN(R$6-$E$3,22))),0))-IF($G$2,0,IF((R$6-$G$3)&lt;1,0,IFERROR(LOOKUP(2,1/(Aveia!$E41:INDEX(Aveia!$E41:$Z41,MIN(R$6-$G$3,22))&lt;&gt;""),Aveia!$E41:INDEX(Aveia!$E41:$Z41,MIN(R$6-$G$3,22))),0)))))</f>
        <v>0</v>
      </c>
      <c r="S43" s="27" t="n">
        <f aca="false">IF(COUNT(Aveia!$E41:$Z41)=0,0,MAX(0,IF((S$6-$E$3)&lt;1,0,IFERROR(LOOKUP(2,1/(Aveia!$E41:INDEX(Aveia!$E41:$Z41,MIN(S$6-$E$3,22))&lt;&gt;""),Aveia!$E41:INDEX(Aveia!$E41:$Z41,MIN(S$6-$E$3,22))),0))-IF($G$2,0,IF((S$6-$G$3)&lt;1,0,IFERROR(LOOKUP(2,1/(Aveia!$E41:INDEX(Aveia!$E41:$Z41,MIN(S$6-$G$3,22))&lt;&gt;""),Aveia!$E41:INDEX(Aveia!$E41:$Z41,MIN(S$6-$G$3,22))),0)))))</f>
        <v>0</v>
      </c>
      <c r="T43" s="27" t="n">
        <f aca="false">IF(COUNT(Aveia!$E41:$Z41)=0,0,MAX(0,IF((T$6-$E$3)&lt;1,0,IFERROR(LOOKUP(2,1/(Aveia!$E41:INDEX(Aveia!$E41:$Z41,MIN(T$6-$E$3,22))&lt;&gt;""),Aveia!$E41:INDEX(Aveia!$E41:$Z41,MIN(T$6-$E$3,22))),0))-IF($G$2,0,IF((T$6-$G$3)&lt;1,0,IFERROR(LOOKUP(2,1/(Aveia!$E41:INDEX(Aveia!$E41:$Z41,MIN(T$6-$G$3,22))&lt;&gt;""),Aveia!$E41:INDEX(Aveia!$E41:$Z41,MIN(T$6-$G$3,22))),0)))))</f>
        <v>0</v>
      </c>
      <c r="U43" s="27" t="n">
        <f aca="false">IF(COUNT(Aveia!$E41:$Z41)=0,0,MAX(0,IF((U$6-$E$3)&lt;1,0,IFERROR(LOOKUP(2,1/(Aveia!$E41:INDEX(Aveia!$E41:$Z41,MIN(U$6-$E$3,22))&lt;&gt;""),Aveia!$E41:INDEX(Aveia!$E41:$Z41,MIN(U$6-$E$3,22))),0))-IF($G$2,0,IF((U$6-$G$3)&lt;1,0,IFERROR(LOOKUP(2,1/(Aveia!$E41:INDEX(Aveia!$E41:$Z41,MIN(U$6-$G$3,22))&lt;&gt;""),Aveia!$E41:INDEX(Aveia!$E41:$Z41,MIN(U$6-$G$3,22))),0)))))</f>
        <v>0</v>
      </c>
      <c r="V43" s="27" t="n">
        <f aca="false">IF(COUNT(Aveia!$E41:$Z41)=0,0,MAX(0,IF((V$6-$E$3)&lt;1,0,IFERROR(LOOKUP(2,1/(Aveia!$E41:INDEX(Aveia!$E41:$Z41,MIN(V$6-$E$3,22))&lt;&gt;""),Aveia!$E41:INDEX(Aveia!$E41:$Z41,MIN(V$6-$E$3,22))),0))-IF($G$2,0,IF((V$6-$G$3)&lt;1,0,IFERROR(LOOKUP(2,1/(Aveia!$E41:INDEX(Aveia!$E41:$Z41,MIN(V$6-$G$3,22))&lt;&gt;""),Aveia!$E41:INDEX(Aveia!$E41:$Z41,MIN(V$6-$G$3,22))),0)))))</f>
        <v>0</v>
      </c>
      <c r="W43" s="27" t="n">
        <f aca="false">IF(COUNT(Aveia!$E41:$Z41)=0,0,MAX(0,IF((W$6-$E$3)&lt;1,0,IFERROR(LOOKUP(2,1/(Aveia!$E41:INDEX(Aveia!$E41:$Z41,MIN(W$6-$E$3,22))&lt;&gt;""),Aveia!$E41:INDEX(Aveia!$E41:$Z41,MIN(W$6-$E$3,22))),0))-IF($G$2,0,IF((W$6-$G$3)&lt;1,0,IFERROR(LOOKUP(2,1/(Aveia!$E41:INDEX(Aveia!$E41:$Z41,MIN(W$6-$G$3,22))&lt;&gt;""),Aveia!$E41:INDEX(Aveia!$E41:$Z41,MIN(W$6-$G$3,22))),0)))))</f>
        <v>0</v>
      </c>
      <c r="X43" s="27" t="n">
        <f aca="false">IF(COUNT(Aveia!$E41:$Z41)=0,0,MAX(0,IF((X$6-$E$3)&lt;1,0,IFERROR(LOOKUP(2,1/(Aveia!$E41:INDEX(Aveia!$E41:$Z41,MIN(X$6-$E$3,22))&lt;&gt;""),Aveia!$E41:INDEX(Aveia!$E41:$Z41,MIN(X$6-$E$3,22))),0))-IF($G$2,0,IF((X$6-$G$3)&lt;1,0,IFERROR(LOOKUP(2,1/(Aveia!$E41:INDEX(Aveia!$E41:$Z41,MIN(X$6-$G$3,22))&lt;&gt;""),Aveia!$E41:INDEX(Aveia!$E41:$Z41,MIN(X$6-$G$3,22))),0)))))</f>
        <v>0</v>
      </c>
      <c r="Y43" s="27" t="n">
        <f aca="false">IF(COUNT(Aveia!$E41:$Z41)=0,0,MAX(0,IF((Y$6-$E$3)&lt;1,0,IFERROR(LOOKUP(2,1/(Aveia!$E41:INDEX(Aveia!$E41:$Z41,MIN(Y$6-$E$3,22))&lt;&gt;""),Aveia!$E41:INDEX(Aveia!$E41:$Z41,MIN(Y$6-$E$3,22))),0))-IF($G$2,0,IF((Y$6-$G$3)&lt;1,0,IFERROR(LOOKUP(2,1/(Aveia!$E41:INDEX(Aveia!$E41:$Z41,MIN(Y$6-$G$3,22))&lt;&gt;""),Aveia!$E41:INDEX(Aveia!$E41:$Z41,MIN(Y$6-$G$3,22))),0)))))</f>
        <v>0</v>
      </c>
      <c r="Z43" s="27" t="n">
        <f aca="false">IF(COUNT(Aveia!$E41:$Z41)=0,0,MAX(0,IF((Z$6-$E$3)&lt;1,0,IFERROR(LOOKUP(2,1/(Aveia!$E41:INDEX(Aveia!$E41:$Z41,MIN(Z$6-$E$3,22))&lt;&gt;""),Aveia!$E41:INDEX(Aveia!$E41:$Z41,MIN(Z$6-$E$3,22))),0))-IF($G$2,0,IF((Z$6-$G$3)&lt;1,0,IFERROR(LOOKUP(2,1/(Aveia!$E41:INDEX(Aveia!$E41:$Z41,MIN(Z$6-$G$3,22))&lt;&gt;""),Aveia!$E41:INDEX(Aveia!$E41:$Z41,MIN(Z$6-$G$3,22))),0)))))</f>
        <v>0</v>
      </c>
      <c r="AA43" s="27" t="n">
        <f aca="false">IF(COUNT(Aveia!$E41:$Z41)=0,0,MAX(0,IF((AA$6-$E$3)&lt;1,0,IFERROR(LOOKUP(2,1/(Aveia!$E41:INDEX(Aveia!$E41:$Z41,MIN(AA$6-$E$3,22))&lt;&gt;""),Aveia!$E41:INDEX(Aveia!$E41:$Z41,MIN(AA$6-$E$3,22))),0))-IF($G$2,0,IF((AA$6-$G$3)&lt;1,0,IFERROR(LOOKUP(2,1/(Aveia!$E41:INDEX(Aveia!$E41:$Z41,MIN(AA$6-$G$3,22))&lt;&gt;""),Aveia!$E41:INDEX(Aveia!$E41:$Z41,MIN(AA$6-$G$3,22))),0)))))</f>
        <v>0</v>
      </c>
      <c r="AB43" s="27" t="n">
        <f aca="false">IF(COUNT(Aveia!$E41:$Z41)=0,0,MAX(0,IF((AB$6-$E$3)&lt;1,0,IFERROR(LOOKUP(2,1/(Aveia!$E41:INDEX(Aveia!$E41:$Z41,MIN(AB$6-$E$3,22))&lt;&gt;""),Aveia!$E41:INDEX(Aveia!$E41:$Z41,MIN(AB$6-$E$3,22))),0))-IF($G$2,0,IF((AB$6-$G$3)&lt;1,0,IFERROR(LOOKUP(2,1/(Aveia!$E41:INDEX(Aveia!$E41:$Z41,MIN(AB$6-$G$3,22))&lt;&gt;""),Aveia!$E41:INDEX(Aveia!$E41:$Z41,MIN(AB$6-$G$3,22))),0)))))</f>
        <v>0</v>
      </c>
      <c r="AC43" s="27" t="n">
        <f aca="false">IF(COUNT(Aveia!$E41:$Z41)=0,0,MAX(0,IF((AC$6-$E$3)&lt;1,0,IFERROR(LOOKUP(2,1/(Aveia!$E41:INDEX(Aveia!$E41:$Z41,MIN(AC$6-$E$3,22))&lt;&gt;""),Aveia!$E41:INDEX(Aveia!$E41:$Z41,MIN(AC$6-$E$3,22))),0))-IF($G$2,0,IF((AC$6-$G$3)&lt;1,0,IFERROR(LOOKUP(2,1/(Aveia!$E41:INDEX(Aveia!$E41:$Z41,MIN(AC$6-$G$3,22))&lt;&gt;""),Aveia!$E41:INDEX(Aveia!$E41:$Z41,MIN(AC$6-$G$3,22))),0)))))</f>
        <v>0</v>
      </c>
      <c r="AD43" s="27" t="n">
        <f aca="false">IF(COUNT(Aveia!$E41:$Z41)=0,0,MAX(0,IF((AD$6-$E$3)&lt;1,0,IFERROR(LOOKUP(2,1/(Aveia!$E41:INDEX(Aveia!$E41:$Z41,MIN(AD$6-$E$3,22))&lt;&gt;""),Aveia!$E41:INDEX(Aveia!$E41:$Z41,MIN(AD$6-$E$3,22))),0))-IF($G$2,0,IF((AD$6-$G$3)&lt;1,0,IFERROR(LOOKUP(2,1/(Aveia!$E41:INDEX(Aveia!$E41:$Z41,MIN(AD$6-$G$3,22))&lt;&gt;""),Aveia!$E41:INDEX(Aveia!$E41:$Z41,MIN(AD$6-$G$3,22))),0)))))</f>
        <v>0</v>
      </c>
      <c r="AE43" s="27" t="n">
        <f aca="false">IF(COUNT(Aveia!$E41:$Z41)=0,0,MAX(0,IF((AE$6-$E$3)&lt;1,0,IFERROR(LOOKUP(2,1/(Aveia!$E41:INDEX(Aveia!$E41:$Z41,MIN(AE$6-$E$3,22))&lt;&gt;""),Aveia!$E41:INDEX(Aveia!$E41:$Z41,MIN(AE$6-$E$3,22))),0))-IF($G$2,0,IF((AE$6-$G$3)&lt;1,0,IFERROR(LOOKUP(2,1/(Aveia!$E41:INDEX(Aveia!$E41:$Z41,MIN(AE$6-$G$3,22))&lt;&gt;""),Aveia!$E41:INDEX(Aveia!$E41:$Z41,MIN(AE$6-$G$3,22))),0)))))</f>
        <v>0</v>
      </c>
      <c r="AF43" s="27" t="n">
        <f aca="false">IF(COUNT(Aveia!$E41:$Z41)=0,0,MAX(0,IF((AF$6-$E$3)&lt;1,0,IFERROR(LOOKUP(2,1/(Aveia!$E41:INDEX(Aveia!$E41:$Z41,MIN(AF$6-$E$3,22))&lt;&gt;""),Aveia!$E41:INDEX(Aveia!$E41:$Z41,MIN(AF$6-$E$3,22))),0))-IF($G$2,0,IF((AF$6-$G$3)&lt;1,0,IFERROR(LOOKUP(2,1/(Aveia!$E41:INDEX(Aveia!$E41:$Z41,MIN(AF$6-$G$3,22))&lt;&gt;""),Aveia!$E41:INDEX(Aveia!$E41:$Z41,MIN(AF$6-$G$3,22))),0)))))</f>
        <v>0</v>
      </c>
      <c r="AG43" s="27" t="n">
        <f aca="false">IF(COUNT(Aveia!$E41:$Z41)=0,0,MAX(0,IF((AG$6-$E$3)&lt;1,0,IFERROR(LOOKUP(2,1/(Aveia!$E41:INDEX(Aveia!$E41:$Z41,MIN(AG$6-$E$3,22))&lt;&gt;""),Aveia!$E41:INDEX(Aveia!$E41:$Z41,MIN(AG$6-$E$3,22))),0))-IF($G$2,0,IF((AG$6-$G$3)&lt;1,0,IFERROR(LOOKUP(2,1/(Aveia!$E41:INDEX(Aveia!$E41:$Z41,MIN(AG$6-$G$3,22))&lt;&gt;""),Aveia!$E41:INDEX(Aveia!$E41:$Z41,MIN(AG$6-$G$3,22))),0)))))</f>
        <v>0</v>
      </c>
      <c r="AH43" s="27" t="n">
        <f aca="false">IF(COUNT(Aveia!$E41:$Z41)=0,0,MAX(0,IF((AH$6-$E$3)&lt;1,0,IFERROR(LOOKUP(2,1/(Aveia!$E41:INDEX(Aveia!$E41:$Z41,MIN(AH$6-$E$3,22))&lt;&gt;""),Aveia!$E41:INDEX(Aveia!$E41:$Z41,MIN(AH$6-$E$3,22))),0))-IF($G$2,0,IF((AH$6-$G$3)&lt;1,0,IFERROR(LOOKUP(2,1/(Aveia!$E41:INDEX(Aveia!$E41:$Z41,MIN(AH$6-$G$3,22))&lt;&gt;""),Aveia!$E41:INDEX(Aveia!$E41:$Z41,MIN(AH$6-$G$3,22))),0)))))</f>
        <v>0</v>
      </c>
      <c r="AI43" s="27" t="n">
        <f aca="false">IF(COUNT(Aveia!$E41:$Z41)=0,0,MAX(0,IF((AI$6-$E$3)&lt;1,0,IFERROR(LOOKUP(2,1/(Aveia!$E41:INDEX(Aveia!$E41:$Z41,MIN(AI$6-$E$3,22))&lt;&gt;""),Aveia!$E41:INDEX(Aveia!$E41:$Z41,MIN(AI$6-$E$3,22))),0))-IF($G$2,0,IF((AI$6-$G$3)&lt;1,0,IFERROR(LOOKUP(2,1/(Aveia!$E41:INDEX(Aveia!$E41:$Z41,MIN(AI$6-$G$3,22))&lt;&gt;""),Aveia!$E41:INDEX(Aveia!$E41:$Z41,MIN(AI$6-$G$3,22))),0)))))</f>
        <v>0</v>
      </c>
      <c r="AJ43" s="27" t="n">
        <f aca="false">IF(COUNT(Aveia!$E41:$Z41)=0,0,MAX(0,IF((AJ$6-$E$3)&lt;1,0,IFERROR(LOOKUP(2,1/(Aveia!$E41:INDEX(Aveia!$E41:$Z41,MIN(AJ$6-$E$3,22))&lt;&gt;""),Aveia!$E41:INDEX(Aveia!$E41:$Z41,MIN(AJ$6-$E$3,22))),0))-IF($G$2,0,IF((AJ$6-$G$3)&lt;1,0,IFERROR(LOOKUP(2,1/(Aveia!$E41:INDEX(Aveia!$E41:$Z41,MIN(AJ$6-$G$3,22))&lt;&gt;""),Aveia!$E41:INDEX(Aveia!$E41:$Z41,MIN(AJ$6-$G$3,22))),0)))))</f>
        <v>0</v>
      </c>
      <c r="AK43" s="27" t="n">
        <f aca="false">IF(COUNT(Aveia!$E41:$Z41)=0,0,MAX(0,IF((AK$6-$E$3)&lt;1,0,IFERROR(LOOKUP(2,1/(Aveia!$E41:INDEX(Aveia!$E41:$Z41,MIN(AK$6-$E$3,22))&lt;&gt;""),Aveia!$E41:INDEX(Aveia!$E41:$Z41,MIN(AK$6-$E$3,22))),0))-IF($G$2,0,IF((AK$6-$G$3)&lt;1,0,IFERROR(LOOKUP(2,1/(Aveia!$E41:INDEX(Aveia!$E41:$Z41,MIN(AK$6-$G$3,22))&lt;&gt;""),Aveia!$E41:INDEX(Aveia!$E41:$Z41,MIN(AK$6-$G$3,22))),0)))))</f>
        <v>0</v>
      </c>
      <c r="AL43" s="27" t="n">
        <f aca="false">IF(COUNT(Aveia!$E41:$Z41)=0,0,MAX(0,IF((AL$6-$E$3)&lt;1,0,IFERROR(LOOKUP(2,1/(Aveia!$E41:INDEX(Aveia!$E41:$Z41,MIN(AL$6-$E$3,22))&lt;&gt;""),Aveia!$E41:INDEX(Aveia!$E41:$Z41,MIN(AL$6-$E$3,22))),0))-IF($G$2,0,IF((AL$6-$G$3)&lt;1,0,IFERROR(LOOKUP(2,1/(Aveia!$E41:INDEX(Aveia!$E41:$Z41,MIN(AL$6-$G$3,22))&lt;&gt;""),Aveia!$E41:INDEX(Aveia!$E41:$Z41,MIN(AL$6-$G$3,22))),0)))))</f>
        <v>0</v>
      </c>
      <c r="AM43" s="27" t="n">
        <f aca="false">IF(COUNT(Aveia!$E41:$Z41)=0,0,MAX(0,IF((AM$6-$E$3)&lt;1,0,IFERROR(LOOKUP(2,1/(Aveia!$E41:INDEX(Aveia!$E41:$Z41,MIN(AM$6-$E$3,22))&lt;&gt;""),Aveia!$E41:INDEX(Aveia!$E41:$Z41,MIN(AM$6-$E$3,22))),0))-IF($G$2,0,IF((AM$6-$G$3)&lt;1,0,IFERROR(LOOKUP(2,1/(Aveia!$E41:INDEX(Aveia!$E41:$Z41,MIN(AM$6-$G$3,22))&lt;&gt;""),Aveia!$E41:INDEX(Aveia!$E41:$Z41,MIN(AM$6-$G$3,22))),0)))))</f>
        <v>0</v>
      </c>
      <c r="AN43" s="27" t="n">
        <f aca="false">IF(COUNT(Aveia!$E41:$Z41)=0,0,MAX(0,IF((AN$6-$E$3)&lt;1,0,IFERROR(LOOKUP(2,1/(Aveia!$E41:INDEX(Aveia!$E41:$Z41,MIN(AN$6-$E$3,22))&lt;&gt;""),Aveia!$E41:INDEX(Aveia!$E41:$Z41,MIN(AN$6-$E$3,22))),0))-IF($G$2,0,IF((AN$6-$G$3)&lt;1,0,IFERROR(LOOKUP(2,1/(Aveia!$E41:INDEX(Aveia!$E41:$Z41,MIN(AN$6-$G$3,22))&lt;&gt;""),Aveia!$E41:INDEX(Aveia!$E41:$Z41,MIN(AN$6-$G$3,22))),0)))))</f>
        <v>0</v>
      </c>
      <c r="AO43" s="27" t="n">
        <f aca="false">IF(COUNT(Aveia!$E41:$Z41)=0,0,MAX(0,IF((AO$6-$E$3)&lt;1,0,IFERROR(LOOKUP(2,1/(Aveia!$E41:INDEX(Aveia!$E41:$Z41,MIN(AO$6-$E$3,22))&lt;&gt;""),Aveia!$E41:INDEX(Aveia!$E41:$Z41,MIN(AO$6-$E$3,22))),0))-IF($G$2,0,IF((AO$6-$G$3)&lt;1,0,IFERROR(LOOKUP(2,1/(Aveia!$E41:INDEX(Aveia!$E41:$Z41,MIN(AO$6-$G$3,22))&lt;&gt;""),Aveia!$E41:INDEX(Aveia!$E41:$Z41,MIN(AO$6-$G$3,22))),0)))))</f>
        <v>0</v>
      </c>
      <c r="AP43" s="27" t="n">
        <f aca="false">IF(COUNT(Aveia!$E41:$Z41)=0,0,MAX(0,IF((AP$6-$E$3)&lt;1,0,IFERROR(LOOKUP(2,1/(Aveia!$E41:INDEX(Aveia!$E41:$Z41,MIN(AP$6-$E$3,22))&lt;&gt;""),Aveia!$E41:INDEX(Aveia!$E41:$Z41,MIN(AP$6-$E$3,22))),0))-IF($G$2,0,IF((AP$6-$G$3)&lt;1,0,IFERROR(LOOKUP(2,1/(Aveia!$E41:INDEX(Aveia!$E41:$Z41,MIN(AP$6-$G$3,22))&lt;&gt;""),Aveia!$E41:INDEX(Aveia!$E41:$Z41,MIN(AP$6-$G$3,22))),0)))))</f>
        <v>0</v>
      </c>
      <c r="AQ43" s="27" t="n">
        <f aca="false">IF(COUNT(Aveia!$E41:$Z41)=0,0,MAX(0,IF((AQ$6-$E$3)&lt;1,0,IFERROR(LOOKUP(2,1/(Aveia!$E41:INDEX(Aveia!$E41:$Z41,MIN(AQ$6-$E$3,22))&lt;&gt;""),Aveia!$E41:INDEX(Aveia!$E41:$Z41,MIN(AQ$6-$E$3,22))),0))-IF($G$2,0,IF((AQ$6-$G$3)&lt;1,0,IFERROR(LOOKUP(2,1/(Aveia!$E41:INDEX(Aveia!$E41:$Z41,MIN(AQ$6-$G$3,22))&lt;&gt;""),Aveia!$E41:INDEX(Aveia!$E41:$Z41,MIN(AQ$6-$G$3,22))),0)))))</f>
        <v>0</v>
      </c>
      <c r="AR43" s="27" t="n">
        <f aca="false">IF(COUNT(Aveia!$E41:$Z41)=0,0,MAX(0,IF((AR$6-$E$3)&lt;1,0,IFERROR(LOOKUP(2,1/(Aveia!$E41:INDEX(Aveia!$E41:$Z41,MIN(AR$6-$E$3,22))&lt;&gt;""),Aveia!$E41:INDEX(Aveia!$E41:$Z41,MIN(AR$6-$E$3,22))),0))-IF($G$2,0,IF((AR$6-$G$3)&lt;1,0,IFERROR(LOOKUP(2,1/(Aveia!$E41:INDEX(Aveia!$E41:$Z41,MIN(AR$6-$G$3,22))&lt;&gt;""),Aveia!$E41:INDEX(Aveia!$E41:$Z41,MIN(AR$6-$G$3,22))),0)))))</f>
        <v>0</v>
      </c>
      <c r="AS43" s="27" t="n">
        <f aca="false">IF(COUNT(Aveia!$E41:$Z41)=0,0,MAX(0,IF((AS$6-$E$3)&lt;1,0,IFERROR(LOOKUP(2,1/(Aveia!$E41:INDEX(Aveia!$E41:$Z41,MIN(AS$6-$E$3,22))&lt;&gt;""),Aveia!$E41:INDEX(Aveia!$E41:$Z41,MIN(AS$6-$E$3,22))),0))-IF($G$2,0,IF((AS$6-$G$3)&lt;1,0,IFERROR(LOOKUP(2,1/(Aveia!$E41:INDEX(Aveia!$E41:$Z41,MIN(AS$6-$G$3,22))&lt;&gt;""),Aveia!$E41:INDEX(Aveia!$E41:$Z41,MIN(AS$6-$G$3,22))),0)))))</f>
        <v>0</v>
      </c>
      <c r="AT43" s="27" t="n">
        <f aca="false">IF(COUNT(Aveia!$E41:$Z41)=0,0,MAX(0,IF((AT$6-$E$3)&lt;1,0,IFERROR(LOOKUP(2,1/(Aveia!$E41:INDEX(Aveia!$E41:$Z41,MIN(AT$6-$E$3,22))&lt;&gt;""),Aveia!$E41:INDEX(Aveia!$E41:$Z41,MIN(AT$6-$E$3,22))),0))-IF($G$2,0,IF((AT$6-$G$3)&lt;1,0,IFERROR(LOOKUP(2,1/(Aveia!$E41:INDEX(Aveia!$E41:$Z41,MIN(AT$6-$G$3,22))&lt;&gt;""),Aveia!$E41:INDEX(Aveia!$E41:$Z41,MIN(AT$6-$G$3,22))),0)))))</f>
        <v>0</v>
      </c>
      <c r="AU43" s="27" t="n">
        <f aca="false">IF(COUNT(Aveia!$E41:$Z41)=0,0,MAX(0,IF((AU$6-$E$3)&lt;1,0,IFERROR(LOOKUP(2,1/(Aveia!$E41:INDEX(Aveia!$E41:$Z41,MIN(AU$6-$E$3,22))&lt;&gt;""),Aveia!$E41:INDEX(Aveia!$E41:$Z41,MIN(AU$6-$E$3,22))),0))-IF($G$2,0,IF((AU$6-$G$3)&lt;1,0,IFERROR(LOOKUP(2,1/(Aveia!$E41:INDEX(Aveia!$E41:$Z41,MIN(AU$6-$G$3,22))&lt;&gt;""),Aveia!$E41:INDEX(Aveia!$E41:$Z41,MIN(AU$6-$G$3,22))),0)))))</f>
        <v>0</v>
      </c>
      <c r="AV43" s="27" t="n">
        <f aca="false">IF(COUNT(Aveia!$E41:$Z41)=0,0,MAX(0,IF((AV$6-$E$3)&lt;1,0,IFERROR(LOOKUP(2,1/(Aveia!$E41:INDEX(Aveia!$E41:$Z41,MIN(AV$6-$E$3,22))&lt;&gt;""),Aveia!$E41:INDEX(Aveia!$E41:$Z41,MIN(AV$6-$E$3,22))),0))-IF($G$2,0,IF((AV$6-$G$3)&lt;1,0,IFERROR(LOOKUP(2,1/(Aveia!$E41:INDEX(Aveia!$E41:$Z41,MIN(AV$6-$G$3,22))&lt;&gt;""),Aveia!$E41:INDEX(Aveia!$E41:$Z41,MIN(AV$6-$G$3,22))),0)))))</f>
        <v>0</v>
      </c>
      <c r="AW43" s="27" t="n">
        <f aca="false">IF(COUNT(Aveia!$E41:$Z41)=0,0,MAX(0,IF((AW$6-$E$3)&lt;1,0,IFERROR(LOOKUP(2,1/(Aveia!$E41:INDEX(Aveia!$E41:$Z41,MIN(AW$6-$E$3,22))&lt;&gt;""),Aveia!$E41:INDEX(Aveia!$E41:$Z41,MIN(AW$6-$E$3,22))),0))-IF($G$2,0,IF((AW$6-$G$3)&lt;1,0,IFERROR(LOOKUP(2,1/(Aveia!$E41:INDEX(Aveia!$E41:$Z41,MIN(AW$6-$G$3,22))&lt;&gt;""),Aveia!$E41:INDEX(Aveia!$E41:$Z41,MIN(AW$6-$G$3,22))),0)))))</f>
        <v>0</v>
      </c>
      <c r="AX43" s="27" t="n">
        <f aca="false">IF(COUNT(Aveia!$E41:$Z41)=0,0,MAX(0,IF((AX$6-$E$3)&lt;1,0,IFERROR(LOOKUP(2,1/(Aveia!$E41:INDEX(Aveia!$E41:$Z41,MIN(AX$6-$E$3,22))&lt;&gt;""),Aveia!$E41:INDEX(Aveia!$E41:$Z41,MIN(AX$6-$E$3,22))),0))-IF($G$2,0,IF((AX$6-$G$3)&lt;1,0,IFERROR(LOOKUP(2,1/(Aveia!$E41:INDEX(Aveia!$E41:$Z41,MIN(AX$6-$G$3,22))&lt;&gt;""),Aveia!$E41:INDEX(Aveia!$E41:$Z41,MIN(AX$6-$G$3,22))),0)))))</f>
        <v>0</v>
      </c>
      <c r="AY43" s="27" t="n">
        <f aca="false">IF(COUNT(Aveia!$E41:$Z41)=0,0,MAX(0,IF((AY$6-$E$3)&lt;1,0,IFERROR(LOOKUP(2,1/(Aveia!$E41:INDEX(Aveia!$E41:$Z41,MIN(AY$6-$E$3,22))&lt;&gt;""),Aveia!$E41:INDEX(Aveia!$E41:$Z41,MIN(AY$6-$E$3,22))),0))-IF($G$2,0,IF((AY$6-$G$3)&lt;1,0,IFERROR(LOOKUP(2,1/(Aveia!$E41:INDEX(Aveia!$E41:$Z41,MIN(AY$6-$G$3,22))&lt;&gt;""),Aveia!$E41:INDEX(Aveia!$E41:$Z41,MIN(AY$6-$G$3,22))),0)))))</f>
        <v>0</v>
      </c>
      <c r="AZ43" s="27" t="n">
        <f aca="false">IF(COUNT(Aveia!$E41:$Z41)=0,0,MAX(0,IF((AZ$6-$E$3)&lt;1,0,IFERROR(LOOKUP(2,1/(Aveia!$E41:INDEX(Aveia!$E41:$Z41,MIN(AZ$6-$E$3,22))&lt;&gt;""),Aveia!$E41:INDEX(Aveia!$E41:$Z41,MIN(AZ$6-$E$3,22))),0))-IF($G$2,0,IF((AZ$6-$G$3)&lt;1,0,IFERROR(LOOKUP(2,1/(Aveia!$E41:INDEX(Aveia!$E41:$Z41,MIN(AZ$6-$G$3,22))&lt;&gt;""),Aveia!$E41:INDEX(Aveia!$E41:$Z41,MIN(AZ$6-$G$3,22))),0)))))</f>
        <v>0</v>
      </c>
    </row>
    <row r="44" customFormat="false" ht="15" hidden="false" customHeight="false" outlineLevel="0" collapsed="false">
      <c r="A44" s="3" t="s">
        <v>209</v>
      </c>
      <c r="B44" s="3" t="s">
        <v>210</v>
      </c>
      <c r="C44" s="10" t="s">
        <v>200</v>
      </c>
      <c r="D44" s="26" t="n">
        <f aca="false">IF(COUNT(Aveia!$E42:$Z42)&gt;0,N(Aveia!$D42),0)</f>
        <v>0</v>
      </c>
      <c r="E44" s="27" t="n">
        <f aca="false">IF(COUNT(Aveia!$E42:$Z42)=0,0,MAX(0,IF((E$6-$E$3)&lt;1,0,IFERROR(LOOKUP(2,1/(Aveia!$E42:INDEX(Aveia!$E42:$Z42,MIN(E$6-$E$3,22))&lt;&gt;""),Aveia!$E42:INDEX(Aveia!$E42:$Z42,MIN(E$6-$E$3,22))),0))-IF($G$2,0,IF((E$6-$G$3)&lt;1,0,IFERROR(LOOKUP(2,1/(Aveia!$E42:INDEX(Aveia!$E42:$Z42,MIN(E$6-$G$3,22))&lt;&gt;""),Aveia!$E42:INDEX(Aveia!$E42:$Z42,MIN(E$6-$G$3,22))),0)))))</f>
        <v>0</v>
      </c>
      <c r="F44" s="27" t="n">
        <f aca="false">IF(COUNT(Aveia!$E42:$Z42)=0,0,MAX(0,IF((F$6-$E$3)&lt;1,0,IFERROR(LOOKUP(2,1/(Aveia!$E42:INDEX(Aveia!$E42:$Z42,MIN(F$6-$E$3,22))&lt;&gt;""),Aveia!$E42:INDEX(Aveia!$E42:$Z42,MIN(F$6-$E$3,22))),0))-IF($G$2,0,IF((F$6-$G$3)&lt;1,0,IFERROR(LOOKUP(2,1/(Aveia!$E42:INDEX(Aveia!$E42:$Z42,MIN(F$6-$G$3,22))&lt;&gt;""),Aveia!$E42:INDEX(Aveia!$E42:$Z42,MIN(F$6-$G$3,22))),0)))))</f>
        <v>0</v>
      </c>
      <c r="G44" s="27" t="n">
        <f aca="false">IF(COUNT(Aveia!$E42:$Z42)=0,0,MAX(0,IF((G$6-$E$3)&lt;1,0,IFERROR(LOOKUP(2,1/(Aveia!$E42:INDEX(Aveia!$E42:$Z42,MIN(G$6-$E$3,22))&lt;&gt;""),Aveia!$E42:INDEX(Aveia!$E42:$Z42,MIN(G$6-$E$3,22))),0))-IF($G$2,0,IF((G$6-$G$3)&lt;1,0,IFERROR(LOOKUP(2,1/(Aveia!$E42:INDEX(Aveia!$E42:$Z42,MIN(G$6-$G$3,22))&lt;&gt;""),Aveia!$E42:INDEX(Aveia!$E42:$Z42,MIN(G$6-$G$3,22))),0)))))</f>
        <v>0</v>
      </c>
      <c r="H44" s="27" t="n">
        <f aca="false">IF(COUNT(Aveia!$E42:$Z42)=0,0,MAX(0,IF((H$6-$E$3)&lt;1,0,IFERROR(LOOKUP(2,1/(Aveia!$E42:INDEX(Aveia!$E42:$Z42,MIN(H$6-$E$3,22))&lt;&gt;""),Aveia!$E42:INDEX(Aveia!$E42:$Z42,MIN(H$6-$E$3,22))),0))-IF($G$2,0,IF((H$6-$G$3)&lt;1,0,IFERROR(LOOKUP(2,1/(Aveia!$E42:INDEX(Aveia!$E42:$Z42,MIN(H$6-$G$3,22))&lt;&gt;""),Aveia!$E42:INDEX(Aveia!$E42:$Z42,MIN(H$6-$G$3,22))),0)))))</f>
        <v>0</v>
      </c>
      <c r="I44" s="27" t="n">
        <f aca="false">IF(COUNT(Aveia!$E42:$Z42)=0,0,MAX(0,IF((I$6-$E$3)&lt;1,0,IFERROR(LOOKUP(2,1/(Aveia!$E42:INDEX(Aveia!$E42:$Z42,MIN(I$6-$E$3,22))&lt;&gt;""),Aveia!$E42:INDEX(Aveia!$E42:$Z42,MIN(I$6-$E$3,22))),0))-IF($G$2,0,IF((I$6-$G$3)&lt;1,0,IFERROR(LOOKUP(2,1/(Aveia!$E42:INDEX(Aveia!$E42:$Z42,MIN(I$6-$G$3,22))&lt;&gt;""),Aveia!$E42:INDEX(Aveia!$E42:$Z42,MIN(I$6-$G$3,22))),0)))))</f>
        <v>0</v>
      </c>
      <c r="J44" s="27" t="n">
        <f aca="false">IF(COUNT(Aveia!$E42:$Z42)=0,0,MAX(0,IF((J$6-$E$3)&lt;1,0,IFERROR(LOOKUP(2,1/(Aveia!$E42:INDEX(Aveia!$E42:$Z42,MIN(J$6-$E$3,22))&lt;&gt;""),Aveia!$E42:INDEX(Aveia!$E42:$Z42,MIN(J$6-$E$3,22))),0))-IF($G$2,0,IF((J$6-$G$3)&lt;1,0,IFERROR(LOOKUP(2,1/(Aveia!$E42:INDEX(Aveia!$E42:$Z42,MIN(J$6-$G$3,22))&lt;&gt;""),Aveia!$E42:INDEX(Aveia!$E42:$Z42,MIN(J$6-$G$3,22))),0)))))</f>
        <v>0</v>
      </c>
      <c r="K44" s="27" t="n">
        <f aca="false">IF(COUNT(Aveia!$E42:$Z42)=0,0,MAX(0,IF((K$6-$E$3)&lt;1,0,IFERROR(LOOKUP(2,1/(Aveia!$E42:INDEX(Aveia!$E42:$Z42,MIN(K$6-$E$3,22))&lt;&gt;""),Aveia!$E42:INDEX(Aveia!$E42:$Z42,MIN(K$6-$E$3,22))),0))-IF($G$2,0,IF((K$6-$G$3)&lt;1,0,IFERROR(LOOKUP(2,1/(Aveia!$E42:INDEX(Aveia!$E42:$Z42,MIN(K$6-$G$3,22))&lt;&gt;""),Aveia!$E42:INDEX(Aveia!$E42:$Z42,MIN(K$6-$G$3,22))),0)))))</f>
        <v>0</v>
      </c>
      <c r="L44" s="27" t="n">
        <f aca="false">IF(COUNT(Aveia!$E42:$Z42)=0,0,MAX(0,IF((L$6-$E$3)&lt;1,0,IFERROR(LOOKUP(2,1/(Aveia!$E42:INDEX(Aveia!$E42:$Z42,MIN(L$6-$E$3,22))&lt;&gt;""),Aveia!$E42:INDEX(Aveia!$E42:$Z42,MIN(L$6-$E$3,22))),0))-IF($G$2,0,IF((L$6-$G$3)&lt;1,0,IFERROR(LOOKUP(2,1/(Aveia!$E42:INDEX(Aveia!$E42:$Z42,MIN(L$6-$G$3,22))&lt;&gt;""),Aveia!$E42:INDEX(Aveia!$E42:$Z42,MIN(L$6-$G$3,22))),0)))))</f>
        <v>0</v>
      </c>
      <c r="M44" s="27" t="n">
        <f aca="false">IF(COUNT(Aveia!$E42:$Z42)=0,0,MAX(0,IF((M$6-$E$3)&lt;1,0,IFERROR(LOOKUP(2,1/(Aveia!$E42:INDEX(Aveia!$E42:$Z42,MIN(M$6-$E$3,22))&lt;&gt;""),Aveia!$E42:INDEX(Aveia!$E42:$Z42,MIN(M$6-$E$3,22))),0))-IF($G$2,0,IF((M$6-$G$3)&lt;1,0,IFERROR(LOOKUP(2,1/(Aveia!$E42:INDEX(Aveia!$E42:$Z42,MIN(M$6-$G$3,22))&lt;&gt;""),Aveia!$E42:INDEX(Aveia!$E42:$Z42,MIN(M$6-$G$3,22))),0)))))</f>
        <v>0</v>
      </c>
      <c r="N44" s="27" t="n">
        <f aca="false">IF(COUNT(Aveia!$E42:$Z42)=0,0,MAX(0,IF((N$6-$E$3)&lt;1,0,IFERROR(LOOKUP(2,1/(Aveia!$E42:INDEX(Aveia!$E42:$Z42,MIN(N$6-$E$3,22))&lt;&gt;""),Aveia!$E42:INDEX(Aveia!$E42:$Z42,MIN(N$6-$E$3,22))),0))-IF($G$2,0,IF((N$6-$G$3)&lt;1,0,IFERROR(LOOKUP(2,1/(Aveia!$E42:INDEX(Aveia!$E42:$Z42,MIN(N$6-$G$3,22))&lt;&gt;""),Aveia!$E42:INDEX(Aveia!$E42:$Z42,MIN(N$6-$G$3,22))),0)))))</f>
        <v>0</v>
      </c>
      <c r="O44" s="27" t="n">
        <f aca="false">IF(COUNT(Aveia!$E42:$Z42)=0,0,MAX(0,IF((O$6-$E$3)&lt;1,0,IFERROR(LOOKUP(2,1/(Aveia!$E42:INDEX(Aveia!$E42:$Z42,MIN(O$6-$E$3,22))&lt;&gt;""),Aveia!$E42:INDEX(Aveia!$E42:$Z42,MIN(O$6-$E$3,22))),0))-IF($G$2,0,IF((O$6-$G$3)&lt;1,0,IFERROR(LOOKUP(2,1/(Aveia!$E42:INDEX(Aveia!$E42:$Z42,MIN(O$6-$G$3,22))&lt;&gt;""),Aveia!$E42:INDEX(Aveia!$E42:$Z42,MIN(O$6-$G$3,22))),0)))))</f>
        <v>0</v>
      </c>
      <c r="P44" s="27" t="n">
        <f aca="false">IF(COUNT(Aveia!$E42:$Z42)=0,0,MAX(0,IF((P$6-$E$3)&lt;1,0,IFERROR(LOOKUP(2,1/(Aveia!$E42:INDEX(Aveia!$E42:$Z42,MIN(P$6-$E$3,22))&lt;&gt;""),Aveia!$E42:INDEX(Aveia!$E42:$Z42,MIN(P$6-$E$3,22))),0))-IF($G$2,0,IF((P$6-$G$3)&lt;1,0,IFERROR(LOOKUP(2,1/(Aveia!$E42:INDEX(Aveia!$E42:$Z42,MIN(P$6-$G$3,22))&lt;&gt;""),Aveia!$E42:INDEX(Aveia!$E42:$Z42,MIN(P$6-$G$3,22))),0)))))</f>
        <v>0</v>
      </c>
      <c r="Q44" s="27" t="n">
        <f aca="false">IF(COUNT(Aveia!$E42:$Z42)=0,0,MAX(0,IF((Q$6-$E$3)&lt;1,0,IFERROR(LOOKUP(2,1/(Aveia!$E42:INDEX(Aveia!$E42:$Z42,MIN(Q$6-$E$3,22))&lt;&gt;""),Aveia!$E42:INDEX(Aveia!$E42:$Z42,MIN(Q$6-$E$3,22))),0))-IF($G$2,0,IF((Q$6-$G$3)&lt;1,0,IFERROR(LOOKUP(2,1/(Aveia!$E42:INDEX(Aveia!$E42:$Z42,MIN(Q$6-$G$3,22))&lt;&gt;""),Aveia!$E42:INDEX(Aveia!$E42:$Z42,MIN(Q$6-$G$3,22))),0)))))</f>
        <v>0</v>
      </c>
      <c r="R44" s="27" t="n">
        <f aca="false">IF(COUNT(Aveia!$E42:$Z42)=0,0,MAX(0,IF((R$6-$E$3)&lt;1,0,IFERROR(LOOKUP(2,1/(Aveia!$E42:INDEX(Aveia!$E42:$Z42,MIN(R$6-$E$3,22))&lt;&gt;""),Aveia!$E42:INDEX(Aveia!$E42:$Z42,MIN(R$6-$E$3,22))),0))-IF($G$2,0,IF((R$6-$G$3)&lt;1,0,IFERROR(LOOKUP(2,1/(Aveia!$E42:INDEX(Aveia!$E42:$Z42,MIN(R$6-$G$3,22))&lt;&gt;""),Aveia!$E42:INDEX(Aveia!$E42:$Z42,MIN(R$6-$G$3,22))),0)))))</f>
        <v>0</v>
      </c>
      <c r="S44" s="27" t="n">
        <f aca="false">IF(COUNT(Aveia!$E42:$Z42)=0,0,MAX(0,IF((S$6-$E$3)&lt;1,0,IFERROR(LOOKUP(2,1/(Aveia!$E42:INDEX(Aveia!$E42:$Z42,MIN(S$6-$E$3,22))&lt;&gt;""),Aveia!$E42:INDEX(Aveia!$E42:$Z42,MIN(S$6-$E$3,22))),0))-IF($G$2,0,IF((S$6-$G$3)&lt;1,0,IFERROR(LOOKUP(2,1/(Aveia!$E42:INDEX(Aveia!$E42:$Z42,MIN(S$6-$G$3,22))&lt;&gt;""),Aveia!$E42:INDEX(Aveia!$E42:$Z42,MIN(S$6-$G$3,22))),0)))))</f>
        <v>0</v>
      </c>
      <c r="T44" s="27" t="n">
        <f aca="false">IF(COUNT(Aveia!$E42:$Z42)=0,0,MAX(0,IF((T$6-$E$3)&lt;1,0,IFERROR(LOOKUP(2,1/(Aveia!$E42:INDEX(Aveia!$E42:$Z42,MIN(T$6-$E$3,22))&lt;&gt;""),Aveia!$E42:INDEX(Aveia!$E42:$Z42,MIN(T$6-$E$3,22))),0))-IF($G$2,0,IF((T$6-$G$3)&lt;1,0,IFERROR(LOOKUP(2,1/(Aveia!$E42:INDEX(Aveia!$E42:$Z42,MIN(T$6-$G$3,22))&lt;&gt;""),Aveia!$E42:INDEX(Aveia!$E42:$Z42,MIN(T$6-$G$3,22))),0)))))</f>
        <v>0</v>
      </c>
      <c r="U44" s="27" t="n">
        <f aca="false">IF(COUNT(Aveia!$E42:$Z42)=0,0,MAX(0,IF((U$6-$E$3)&lt;1,0,IFERROR(LOOKUP(2,1/(Aveia!$E42:INDEX(Aveia!$E42:$Z42,MIN(U$6-$E$3,22))&lt;&gt;""),Aveia!$E42:INDEX(Aveia!$E42:$Z42,MIN(U$6-$E$3,22))),0))-IF($G$2,0,IF((U$6-$G$3)&lt;1,0,IFERROR(LOOKUP(2,1/(Aveia!$E42:INDEX(Aveia!$E42:$Z42,MIN(U$6-$G$3,22))&lt;&gt;""),Aveia!$E42:INDEX(Aveia!$E42:$Z42,MIN(U$6-$G$3,22))),0)))))</f>
        <v>0</v>
      </c>
      <c r="V44" s="27" t="n">
        <f aca="false">IF(COUNT(Aveia!$E42:$Z42)=0,0,MAX(0,IF((V$6-$E$3)&lt;1,0,IFERROR(LOOKUP(2,1/(Aveia!$E42:INDEX(Aveia!$E42:$Z42,MIN(V$6-$E$3,22))&lt;&gt;""),Aveia!$E42:INDEX(Aveia!$E42:$Z42,MIN(V$6-$E$3,22))),0))-IF($G$2,0,IF((V$6-$G$3)&lt;1,0,IFERROR(LOOKUP(2,1/(Aveia!$E42:INDEX(Aveia!$E42:$Z42,MIN(V$6-$G$3,22))&lt;&gt;""),Aveia!$E42:INDEX(Aveia!$E42:$Z42,MIN(V$6-$G$3,22))),0)))))</f>
        <v>0</v>
      </c>
      <c r="W44" s="27" t="n">
        <f aca="false">IF(COUNT(Aveia!$E42:$Z42)=0,0,MAX(0,IF((W$6-$E$3)&lt;1,0,IFERROR(LOOKUP(2,1/(Aveia!$E42:INDEX(Aveia!$E42:$Z42,MIN(W$6-$E$3,22))&lt;&gt;""),Aveia!$E42:INDEX(Aveia!$E42:$Z42,MIN(W$6-$E$3,22))),0))-IF($G$2,0,IF((W$6-$G$3)&lt;1,0,IFERROR(LOOKUP(2,1/(Aveia!$E42:INDEX(Aveia!$E42:$Z42,MIN(W$6-$G$3,22))&lt;&gt;""),Aveia!$E42:INDEX(Aveia!$E42:$Z42,MIN(W$6-$G$3,22))),0)))))</f>
        <v>0</v>
      </c>
      <c r="X44" s="27" t="n">
        <f aca="false">IF(COUNT(Aveia!$E42:$Z42)=0,0,MAX(0,IF((X$6-$E$3)&lt;1,0,IFERROR(LOOKUP(2,1/(Aveia!$E42:INDEX(Aveia!$E42:$Z42,MIN(X$6-$E$3,22))&lt;&gt;""),Aveia!$E42:INDEX(Aveia!$E42:$Z42,MIN(X$6-$E$3,22))),0))-IF($G$2,0,IF((X$6-$G$3)&lt;1,0,IFERROR(LOOKUP(2,1/(Aveia!$E42:INDEX(Aveia!$E42:$Z42,MIN(X$6-$G$3,22))&lt;&gt;""),Aveia!$E42:INDEX(Aveia!$E42:$Z42,MIN(X$6-$G$3,22))),0)))))</f>
        <v>0</v>
      </c>
      <c r="Y44" s="27" t="n">
        <f aca="false">IF(COUNT(Aveia!$E42:$Z42)=0,0,MAX(0,IF((Y$6-$E$3)&lt;1,0,IFERROR(LOOKUP(2,1/(Aveia!$E42:INDEX(Aveia!$E42:$Z42,MIN(Y$6-$E$3,22))&lt;&gt;""),Aveia!$E42:INDEX(Aveia!$E42:$Z42,MIN(Y$6-$E$3,22))),0))-IF($G$2,0,IF((Y$6-$G$3)&lt;1,0,IFERROR(LOOKUP(2,1/(Aveia!$E42:INDEX(Aveia!$E42:$Z42,MIN(Y$6-$G$3,22))&lt;&gt;""),Aveia!$E42:INDEX(Aveia!$E42:$Z42,MIN(Y$6-$G$3,22))),0)))))</f>
        <v>0</v>
      </c>
      <c r="Z44" s="27" t="n">
        <f aca="false">IF(COUNT(Aveia!$E42:$Z42)=0,0,MAX(0,IF((Z$6-$E$3)&lt;1,0,IFERROR(LOOKUP(2,1/(Aveia!$E42:INDEX(Aveia!$E42:$Z42,MIN(Z$6-$E$3,22))&lt;&gt;""),Aveia!$E42:INDEX(Aveia!$E42:$Z42,MIN(Z$6-$E$3,22))),0))-IF($G$2,0,IF((Z$6-$G$3)&lt;1,0,IFERROR(LOOKUP(2,1/(Aveia!$E42:INDEX(Aveia!$E42:$Z42,MIN(Z$6-$G$3,22))&lt;&gt;""),Aveia!$E42:INDEX(Aveia!$E42:$Z42,MIN(Z$6-$G$3,22))),0)))))</f>
        <v>0</v>
      </c>
      <c r="AA44" s="27" t="n">
        <f aca="false">IF(COUNT(Aveia!$E42:$Z42)=0,0,MAX(0,IF((AA$6-$E$3)&lt;1,0,IFERROR(LOOKUP(2,1/(Aveia!$E42:INDEX(Aveia!$E42:$Z42,MIN(AA$6-$E$3,22))&lt;&gt;""),Aveia!$E42:INDEX(Aveia!$E42:$Z42,MIN(AA$6-$E$3,22))),0))-IF($G$2,0,IF((AA$6-$G$3)&lt;1,0,IFERROR(LOOKUP(2,1/(Aveia!$E42:INDEX(Aveia!$E42:$Z42,MIN(AA$6-$G$3,22))&lt;&gt;""),Aveia!$E42:INDEX(Aveia!$E42:$Z42,MIN(AA$6-$G$3,22))),0)))))</f>
        <v>0</v>
      </c>
      <c r="AB44" s="27" t="n">
        <f aca="false">IF(COUNT(Aveia!$E42:$Z42)=0,0,MAX(0,IF((AB$6-$E$3)&lt;1,0,IFERROR(LOOKUP(2,1/(Aveia!$E42:INDEX(Aveia!$E42:$Z42,MIN(AB$6-$E$3,22))&lt;&gt;""),Aveia!$E42:INDEX(Aveia!$E42:$Z42,MIN(AB$6-$E$3,22))),0))-IF($G$2,0,IF((AB$6-$G$3)&lt;1,0,IFERROR(LOOKUP(2,1/(Aveia!$E42:INDEX(Aveia!$E42:$Z42,MIN(AB$6-$G$3,22))&lt;&gt;""),Aveia!$E42:INDEX(Aveia!$E42:$Z42,MIN(AB$6-$G$3,22))),0)))))</f>
        <v>0</v>
      </c>
      <c r="AC44" s="27" t="n">
        <f aca="false">IF(COUNT(Aveia!$E42:$Z42)=0,0,MAX(0,IF((AC$6-$E$3)&lt;1,0,IFERROR(LOOKUP(2,1/(Aveia!$E42:INDEX(Aveia!$E42:$Z42,MIN(AC$6-$E$3,22))&lt;&gt;""),Aveia!$E42:INDEX(Aveia!$E42:$Z42,MIN(AC$6-$E$3,22))),0))-IF($G$2,0,IF((AC$6-$G$3)&lt;1,0,IFERROR(LOOKUP(2,1/(Aveia!$E42:INDEX(Aveia!$E42:$Z42,MIN(AC$6-$G$3,22))&lt;&gt;""),Aveia!$E42:INDEX(Aveia!$E42:$Z42,MIN(AC$6-$G$3,22))),0)))))</f>
        <v>0</v>
      </c>
      <c r="AD44" s="27" t="n">
        <f aca="false">IF(COUNT(Aveia!$E42:$Z42)=0,0,MAX(0,IF((AD$6-$E$3)&lt;1,0,IFERROR(LOOKUP(2,1/(Aveia!$E42:INDEX(Aveia!$E42:$Z42,MIN(AD$6-$E$3,22))&lt;&gt;""),Aveia!$E42:INDEX(Aveia!$E42:$Z42,MIN(AD$6-$E$3,22))),0))-IF($G$2,0,IF((AD$6-$G$3)&lt;1,0,IFERROR(LOOKUP(2,1/(Aveia!$E42:INDEX(Aveia!$E42:$Z42,MIN(AD$6-$G$3,22))&lt;&gt;""),Aveia!$E42:INDEX(Aveia!$E42:$Z42,MIN(AD$6-$G$3,22))),0)))))</f>
        <v>0</v>
      </c>
      <c r="AE44" s="27" t="n">
        <f aca="false">IF(COUNT(Aveia!$E42:$Z42)=0,0,MAX(0,IF((AE$6-$E$3)&lt;1,0,IFERROR(LOOKUP(2,1/(Aveia!$E42:INDEX(Aveia!$E42:$Z42,MIN(AE$6-$E$3,22))&lt;&gt;""),Aveia!$E42:INDEX(Aveia!$E42:$Z42,MIN(AE$6-$E$3,22))),0))-IF($G$2,0,IF((AE$6-$G$3)&lt;1,0,IFERROR(LOOKUP(2,1/(Aveia!$E42:INDEX(Aveia!$E42:$Z42,MIN(AE$6-$G$3,22))&lt;&gt;""),Aveia!$E42:INDEX(Aveia!$E42:$Z42,MIN(AE$6-$G$3,22))),0)))))</f>
        <v>0</v>
      </c>
      <c r="AF44" s="27" t="n">
        <f aca="false">IF(COUNT(Aveia!$E42:$Z42)=0,0,MAX(0,IF((AF$6-$E$3)&lt;1,0,IFERROR(LOOKUP(2,1/(Aveia!$E42:INDEX(Aveia!$E42:$Z42,MIN(AF$6-$E$3,22))&lt;&gt;""),Aveia!$E42:INDEX(Aveia!$E42:$Z42,MIN(AF$6-$E$3,22))),0))-IF($G$2,0,IF((AF$6-$G$3)&lt;1,0,IFERROR(LOOKUP(2,1/(Aveia!$E42:INDEX(Aveia!$E42:$Z42,MIN(AF$6-$G$3,22))&lt;&gt;""),Aveia!$E42:INDEX(Aveia!$E42:$Z42,MIN(AF$6-$G$3,22))),0)))))</f>
        <v>0</v>
      </c>
      <c r="AG44" s="27" t="n">
        <f aca="false">IF(COUNT(Aveia!$E42:$Z42)=0,0,MAX(0,IF((AG$6-$E$3)&lt;1,0,IFERROR(LOOKUP(2,1/(Aveia!$E42:INDEX(Aveia!$E42:$Z42,MIN(AG$6-$E$3,22))&lt;&gt;""),Aveia!$E42:INDEX(Aveia!$E42:$Z42,MIN(AG$6-$E$3,22))),0))-IF($G$2,0,IF((AG$6-$G$3)&lt;1,0,IFERROR(LOOKUP(2,1/(Aveia!$E42:INDEX(Aveia!$E42:$Z42,MIN(AG$6-$G$3,22))&lt;&gt;""),Aveia!$E42:INDEX(Aveia!$E42:$Z42,MIN(AG$6-$G$3,22))),0)))))</f>
        <v>0</v>
      </c>
      <c r="AH44" s="27" t="n">
        <f aca="false">IF(COUNT(Aveia!$E42:$Z42)=0,0,MAX(0,IF((AH$6-$E$3)&lt;1,0,IFERROR(LOOKUP(2,1/(Aveia!$E42:INDEX(Aveia!$E42:$Z42,MIN(AH$6-$E$3,22))&lt;&gt;""),Aveia!$E42:INDEX(Aveia!$E42:$Z42,MIN(AH$6-$E$3,22))),0))-IF($G$2,0,IF((AH$6-$G$3)&lt;1,0,IFERROR(LOOKUP(2,1/(Aveia!$E42:INDEX(Aveia!$E42:$Z42,MIN(AH$6-$G$3,22))&lt;&gt;""),Aveia!$E42:INDEX(Aveia!$E42:$Z42,MIN(AH$6-$G$3,22))),0)))))</f>
        <v>0</v>
      </c>
      <c r="AI44" s="27" t="n">
        <f aca="false">IF(COUNT(Aveia!$E42:$Z42)=0,0,MAX(0,IF((AI$6-$E$3)&lt;1,0,IFERROR(LOOKUP(2,1/(Aveia!$E42:INDEX(Aveia!$E42:$Z42,MIN(AI$6-$E$3,22))&lt;&gt;""),Aveia!$E42:INDEX(Aveia!$E42:$Z42,MIN(AI$6-$E$3,22))),0))-IF($G$2,0,IF((AI$6-$G$3)&lt;1,0,IFERROR(LOOKUP(2,1/(Aveia!$E42:INDEX(Aveia!$E42:$Z42,MIN(AI$6-$G$3,22))&lt;&gt;""),Aveia!$E42:INDEX(Aveia!$E42:$Z42,MIN(AI$6-$G$3,22))),0)))))</f>
        <v>0</v>
      </c>
      <c r="AJ44" s="27" t="n">
        <f aca="false">IF(COUNT(Aveia!$E42:$Z42)=0,0,MAX(0,IF((AJ$6-$E$3)&lt;1,0,IFERROR(LOOKUP(2,1/(Aveia!$E42:INDEX(Aveia!$E42:$Z42,MIN(AJ$6-$E$3,22))&lt;&gt;""),Aveia!$E42:INDEX(Aveia!$E42:$Z42,MIN(AJ$6-$E$3,22))),0))-IF($G$2,0,IF((AJ$6-$G$3)&lt;1,0,IFERROR(LOOKUP(2,1/(Aveia!$E42:INDEX(Aveia!$E42:$Z42,MIN(AJ$6-$G$3,22))&lt;&gt;""),Aveia!$E42:INDEX(Aveia!$E42:$Z42,MIN(AJ$6-$G$3,22))),0)))))</f>
        <v>0</v>
      </c>
      <c r="AK44" s="27" t="n">
        <f aca="false">IF(COUNT(Aveia!$E42:$Z42)=0,0,MAX(0,IF((AK$6-$E$3)&lt;1,0,IFERROR(LOOKUP(2,1/(Aveia!$E42:INDEX(Aveia!$E42:$Z42,MIN(AK$6-$E$3,22))&lt;&gt;""),Aveia!$E42:INDEX(Aveia!$E42:$Z42,MIN(AK$6-$E$3,22))),0))-IF($G$2,0,IF((AK$6-$G$3)&lt;1,0,IFERROR(LOOKUP(2,1/(Aveia!$E42:INDEX(Aveia!$E42:$Z42,MIN(AK$6-$G$3,22))&lt;&gt;""),Aveia!$E42:INDEX(Aveia!$E42:$Z42,MIN(AK$6-$G$3,22))),0)))))</f>
        <v>0</v>
      </c>
      <c r="AL44" s="27" t="n">
        <f aca="false">IF(COUNT(Aveia!$E42:$Z42)=0,0,MAX(0,IF((AL$6-$E$3)&lt;1,0,IFERROR(LOOKUP(2,1/(Aveia!$E42:INDEX(Aveia!$E42:$Z42,MIN(AL$6-$E$3,22))&lt;&gt;""),Aveia!$E42:INDEX(Aveia!$E42:$Z42,MIN(AL$6-$E$3,22))),0))-IF($G$2,0,IF((AL$6-$G$3)&lt;1,0,IFERROR(LOOKUP(2,1/(Aveia!$E42:INDEX(Aveia!$E42:$Z42,MIN(AL$6-$G$3,22))&lt;&gt;""),Aveia!$E42:INDEX(Aveia!$E42:$Z42,MIN(AL$6-$G$3,22))),0)))))</f>
        <v>0</v>
      </c>
      <c r="AM44" s="27" t="n">
        <f aca="false">IF(COUNT(Aveia!$E42:$Z42)=0,0,MAX(0,IF((AM$6-$E$3)&lt;1,0,IFERROR(LOOKUP(2,1/(Aveia!$E42:INDEX(Aveia!$E42:$Z42,MIN(AM$6-$E$3,22))&lt;&gt;""),Aveia!$E42:INDEX(Aveia!$E42:$Z42,MIN(AM$6-$E$3,22))),0))-IF($G$2,0,IF((AM$6-$G$3)&lt;1,0,IFERROR(LOOKUP(2,1/(Aveia!$E42:INDEX(Aveia!$E42:$Z42,MIN(AM$6-$G$3,22))&lt;&gt;""),Aveia!$E42:INDEX(Aveia!$E42:$Z42,MIN(AM$6-$G$3,22))),0)))))</f>
        <v>0</v>
      </c>
      <c r="AN44" s="27" t="n">
        <f aca="false">IF(COUNT(Aveia!$E42:$Z42)=0,0,MAX(0,IF((AN$6-$E$3)&lt;1,0,IFERROR(LOOKUP(2,1/(Aveia!$E42:INDEX(Aveia!$E42:$Z42,MIN(AN$6-$E$3,22))&lt;&gt;""),Aveia!$E42:INDEX(Aveia!$E42:$Z42,MIN(AN$6-$E$3,22))),0))-IF($G$2,0,IF((AN$6-$G$3)&lt;1,0,IFERROR(LOOKUP(2,1/(Aveia!$E42:INDEX(Aveia!$E42:$Z42,MIN(AN$6-$G$3,22))&lt;&gt;""),Aveia!$E42:INDEX(Aveia!$E42:$Z42,MIN(AN$6-$G$3,22))),0)))))</f>
        <v>0</v>
      </c>
      <c r="AO44" s="27" t="n">
        <f aca="false">IF(COUNT(Aveia!$E42:$Z42)=0,0,MAX(0,IF((AO$6-$E$3)&lt;1,0,IFERROR(LOOKUP(2,1/(Aveia!$E42:INDEX(Aveia!$E42:$Z42,MIN(AO$6-$E$3,22))&lt;&gt;""),Aveia!$E42:INDEX(Aveia!$E42:$Z42,MIN(AO$6-$E$3,22))),0))-IF($G$2,0,IF((AO$6-$G$3)&lt;1,0,IFERROR(LOOKUP(2,1/(Aveia!$E42:INDEX(Aveia!$E42:$Z42,MIN(AO$6-$G$3,22))&lt;&gt;""),Aveia!$E42:INDEX(Aveia!$E42:$Z42,MIN(AO$6-$G$3,22))),0)))))</f>
        <v>0</v>
      </c>
      <c r="AP44" s="27" t="n">
        <f aca="false">IF(COUNT(Aveia!$E42:$Z42)=0,0,MAX(0,IF((AP$6-$E$3)&lt;1,0,IFERROR(LOOKUP(2,1/(Aveia!$E42:INDEX(Aveia!$E42:$Z42,MIN(AP$6-$E$3,22))&lt;&gt;""),Aveia!$E42:INDEX(Aveia!$E42:$Z42,MIN(AP$6-$E$3,22))),0))-IF($G$2,0,IF((AP$6-$G$3)&lt;1,0,IFERROR(LOOKUP(2,1/(Aveia!$E42:INDEX(Aveia!$E42:$Z42,MIN(AP$6-$G$3,22))&lt;&gt;""),Aveia!$E42:INDEX(Aveia!$E42:$Z42,MIN(AP$6-$G$3,22))),0)))))</f>
        <v>0</v>
      </c>
      <c r="AQ44" s="27" t="n">
        <f aca="false">IF(COUNT(Aveia!$E42:$Z42)=0,0,MAX(0,IF((AQ$6-$E$3)&lt;1,0,IFERROR(LOOKUP(2,1/(Aveia!$E42:INDEX(Aveia!$E42:$Z42,MIN(AQ$6-$E$3,22))&lt;&gt;""),Aveia!$E42:INDEX(Aveia!$E42:$Z42,MIN(AQ$6-$E$3,22))),0))-IF($G$2,0,IF((AQ$6-$G$3)&lt;1,0,IFERROR(LOOKUP(2,1/(Aveia!$E42:INDEX(Aveia!$E42:$Z42,MIN(AQ$6-$G$3,22))&lt;&gt;""),Aveia!$E42:INDEX(Aveia!$E42:$Z42,MIN(AQ$6-$G$3,22))),0)))))</f>
        <v>0</v>
      </c>
      <c r="AR44" s="27" t="n">
        <f aca="false">IF(COUNT(Aveia!$E42:$Z42)=0,0,MAX(0,IF((AR$6-$E$3)&lt;1,0,IFERROR(LOOKUP(2,1/(Aveia!$E42:INDEX(Aveia!$E42:$Z42,MIN(AR$6-$E$3,22))&lt;&gt;""),Aveia!$E42:INDEX(Aveia!$E42:$Z42,MIN(AR$6-$E$3,22))),0))-IF($G$2,0,IF((AR$6-$G$3)&lt;1,0,IFERROR(LOOKUP(2,1/(Aveia!$E42:INDEX(Aveia!$E42:$Z42,MIN(AR$6-$G$3,22))&lt;&gt;""),Aveia!$E42:INDEX(Aveia!$E42:$Z42,MIN(AR$6-$G$3,22))),0)))))</f>
        <v>0</v>
      </c>
      <c r="AS44" s="27" t="n">
        <f aca="false">IF(COUNT(Aveia!$E42:$Z42)=0,0,MAX(0,IF((AS$6-$E$3)&lt;1,0,IFERROR(LOOKUP(2,1/(Aveia!$E42:INDEX(Aveia!$E42:$Z42,MIN(AS$6-$E$3,22))&lt;&gt;""),Aveia!$E42:INDEX(Aveia!$E42:$Z42,MIN(AS$6-$E$3,22))),0))-IF($G$2,0,IF((AS$6-$G$3)&lt;1,0,IFERROR(LOOKUP(2,1/(Aveia!$E42:INDEX(Aveia!$E42:$Z42,MIN(AS$6-$G$3,22))&lt;&gt;""),Aveia!$E42:INDEX(Aveia!$E42:$Z42,MIN(AS$6-$G$3,22))),0)))))</f>
        <v>0</v>
      </c>
      <c r="AT44" s="27" t="n">
        <f aca="false">IF(COUNT(Aveia!$E42:$Z42)=0,0,MAX(0,IF((AT$6-$E$3)&lt;1,0,IFERROR(LOOKUP(2,1/(Aveia!$E42:INDEX(Aveia!$E42:$Z42,MIN(AT$6-$E$3,22))&lt;&gt;""),Aveia!$E42:INDEX(Aveia!$E42:$Z42,MIN(AT$6-$E$3,22))),0))-IF($G$2,0,IF((AT$6-$G$3)&lt;1,0,IFERROR(LOOKUP(2,1/(Aveia!$E42:INDEX(Aveia!$E42:$Z42,MIN(AT$6-$G$3,22))&lt;&gt;""),Aveia!$E42:INDEX(Aveia!$E42:$Z42,MIN(AT$6-$G$3,22))),0)))))</f>
        <v>0</v>
      </c>
      <c r="AU44" s="27" t="n">
        <f aca="false">IF(COUNT(Aveia!$E42:$Z42)=0,0,MAX(0,IF((AU$6-$E$3)&lt;1,0,IFERROR(LOOKUP(2,1/(Aveia!$E42:INDEX(Aveia!$E42:$Z42,MIN(AU$6-$E$3,22))&lt;&gt;""),Aveia!$E42:INDEX(Aveia!$E42:$Z42,MIN(AU$6-$E$3,22))),0))-IF($G$2,0,IF((AU$6-$G$3)&lt;1,0,IFERROR(LOOKUP(2,1/(Aveia!$E42:INDEX(Aveia!$E42:$Z42,MIN(AU$6-$G$3,22))&lt;&gt;""),Aveia!$E42:INDEX(Aveia!$E42:$Z42,MIN(AU$6-$G$3,22))),0)))))</f>
        <v>0</v>
      </c>
      <c r="AV44" s="27" t="n">
        <f aca="false">IF(COUNT(Aveia!$E42:$Z42)=0,0,MAX(0,IF((AV$6-$E$3)&lt;1,0,IFERROR(LOOKUP(2,1/(Aveia!$E42:INDEX(Aveia!$E42:$Z42,MIN(AV$6-$E$3,22))&lt;&gt;""),Aveia!$E42:INDEX(Aveia!$E42:$Z42,MIN(AV$6-$E$3,22))),0))-IF($G$2,0,IF((AV$6-$G$3)&lt;1,0,IFERROR(LOOKUP(2,1/(Aveia!$E42:INDEX(Aveia!$E42:$Z42,MIN(AV$6-$G$3,22))&lt;&gt;""),Aveia!$E42:INDEX(Aveia!$E42:$Z42,MIN(AV$6-$G$3,22))),0)))))</f>
        <v>0</v>
      </c>
      <c r="AW44" s="27" t="n">
        <f aca="false">IF(COUNT(Aveia!$E42:$Z42)=0,0,MAX(0,IF((AW$6-$E$3)&lt;1,0,IFERROR(LOOKUP(2,1/(Aveia!$E42:INDEX(Aveia!$E42:$Z42,MIN(AW$6-$E$3,22))&lt;&gt;""),Aveia!$E42:INDEX(Aveia!$E42:$Z42,MIN(AW$6-$E$3,22))),0))-IF($G$2,0,IF((AW$6-$G$3)&lt;1,0,IFERROR(LOOKUP(2,1/(Aveia!$E42:INDEX(Aveia!$E42:$Z42,MIN(AW$6-$G$3,22))&lt;&gt;""),Aveia!$E42:INDEX(Aveia!$E42:$Z42,MIN(AW$6-$G$3,22))),0)))))</f>
        <v>0</v>
      </c>
      <c r="AX44" s="27" t="n">
        <f aca="false">IF(COUNT(Aveia!$E42:$Z42)=0,0,MAX(0,IF((AX$6-$E$3)&lt;1,0,IFERROR(LOOKUP(2,1/(Aveia!$E42:INDEX(Aveia!$E42:$Z42,MIN(AX$6-$E$3,22))&lt;&gt;""),Aveia!$E42:INDEX(Aveia!$E42:$Z42,MIN(AX$6-$E$3,22))),0))-IF($G$2,0,IF((AX$6-$G$3)&lt;1,0,IFERROR(LOOKUP(2,1/(Aveia!$E42:INDEX(Aveia!$E42:$Z42,MIN(AX$6-$G$3,22))&lt;&gt;""),Aveia!$E42:INDEX(Aveia!$E42:$Z42,MIN(AX$6-$G$3,22))),0)))))</f>
        <v>0</v>
      </c>
      <c r="AY44" s="27" t="n">
        <f aca="false">IF(COUNT(Aveia!$E42:$Z42)=0,0,MAX(0,IF((AY$6-$E$3)&lt;1,0,IFERROR(LOOKUP(2,1/(Aveia!$E42:INDEX(Aveia!$E42:$Z42,MIN(AY$6-$E$3,22))&lt;&gt;""),Aveia!$E42:INDEX(Aveia!$E42:$Z42,MIN(AY$6-$E$3,22))),0))-IF($G$2,0,IF((AY$6-$G$3)&lt;1,0,IFERROR(LOOKUP(2,1/(Aveia!$E42:INDEX(Aveia!$E42:$Z42,MIN(AY$6-$G$3,22))&lt;&gt;""),Aveia!$E42:INDEX(Aveia!$E42:$Z42,MIN(AY$6-$G$3,22))),0)))))</f>
        <v>0</v>
      </c>
      <c r="AZ44" s="27" t="n">
        <f aca="false">IF(COUNT(Aveia!$E42:$Z42)=0,0,MAX(0,IF((AZ$6-$E$3)&lt;1,0,IFERROR(LOOKUP(2,1/(Aveia!$E42:INDEX(Aveia!$E42:$Z42,MIN(AZ$6-$E$3,22))&lt;&gt;""),Aveia!$E42:INDEX(Aveia!$E42:$Z42,MIN(AZ$6-$E$3,22))),0))-IF($G$2,0,IF((AZ$6-$G$3)&lt;1,0,IFERROR(LOOKUP(2,1/(Aveia!$E42:INDEX(Aveia!$E42:$Z42,MIN(AZ$6-$G$3,22))&lt;&gt;""),Aveia!$E42:INDEX(Aveia!$E42:$Z42,MIN(AZ$6-$G$3,22))),0)))))</f>
        <v>0</v>
      </c>
    </row>
    <row r="45" customFormat="false" ht="15" hidden="false" customHeight="false" outlineLevel="0" collapsed="false">
      <c r="A45" s="3" t="s">
        <v>211</v>
      </c>
      <c r="B45" s="3" t="s">
        <v>212</v>
      </c>
      <c r="C45" s="10" t="s">
        <v>148</v>
      </c>
      <c r="D45" s="26" t="n">
        <f aca="false">IF(COUNT(Aveia!$E43:$Z43)&gt;0,N(Aveia!$D43),0)</f>
        <v>0</v>
      </c>
      <c r="E45" s="27" t="n">
        <f aca="false">IF(COUNT(Aveia!$E43:$Z43)=0,0,MAX(0,IF((E$6-$E$3)&lt;1,0,IFERROR(LOOKUP(2,1/(Aveia!$E43:INDEX(Aveia!$E43:$Z43,MIN(E$6-$E$3,22))&lt;&gt;""),Aveia!$E43:INDEX(Aveia!$E43:$Z43,MIN(E$6-$E$3,22))),0))-IF($G$2,0,IF((E$6-$G$3)&lt;1,0,IFERROR(LOOKUP(2,1/(Aveia!$E43:INDEX(Aveia!$E43:$Z43,MIN(E$6-$G$3,22))&lt;&gt;""),Aveia!$E43:INDEX(Aveia!$E43:$Z43,MIN(E$6-$G$3,22))),0)))))</f>
        <v>0</v>
      </c>
      <c r="F45" s="27" t="n">
        <f aca="false">IF(COUNT(Aveia!$E43:$Z43)=0,0,MAX(0,IF((F$6-$E$3)&lt;1,0,IFERROR(LOOKUP(2,1/(Aveia!$E43:INDEX(Aveia!$E43:$Z43,MIN(F$6-$E$3,22))&lt;&gt;""),Aveia!$E43:INDEX(Aveia!$E43:$Z43,MIN(F$6-$E$3,22))),0))-IF($G$2,0,IF((F$6-$G$3)&lt;1,0,IFERROR(LOOKUP(2,1/(Aveia!$E43:INDEX(Aveia!$E43:$Z43,MIN(F$6-$G$3,22))&lt;&gt;""),Aveia!$E43:INDEX(Aveia!$E43:$Z43,MIN(F$6-$G$3,22))),0)))))</f>
        <v>0</v>
      </c>
      <c r="G45" s="27" t="n">
        <f aca="false">IF(COUNT(Aveia!$E43:$Z43)=0,0,MAX(0,IF((G$6-$E$3)&lt;1,0,IFERROR(LOOKUP(2,1/(Aveia!$E43:INDEX(Aveia!$E43:$Z43,MIN(G$6-$E$3,22))&lt;&gt;""),Aveia!$E43:INDEX(Aveia!$E43:$Z43,MIN(G$6-$E$3,22))),0))-IF($G$2,0,IF((G$6-$G$3)&lt;1,0,IFERROR(LOOKUP(2,1/(Aveia!$E43:INDEX(Aveia!$E43:$Z43,MIN(G$6-$G$3,22))&lt;&gt;""),Aveia!$E43:INDEX(Aveia!$E43:$Z43,MIN(G$6-$G$3,22))),0)))))</f>
        <v>0</v>
      </c>
      <c r="H45" s="27" t="n">
        <f aca="false">IF(COUNT(Aveia!$E43:$Z43)=0,0,MAX(0,IF((H$6-$E$3)&lt;1,0,IFERROR(LOOKUP(2,1/(Aveia!$E43:INDEX(Aveia!$E43:$Z43,MIN(H$6-$E$3,22))&lt;&gt;""),Aveia!$E43:INDEX(Aveia!$E43:$Z43,MIN(H$6-$E$3,22))),0))-IF($G$2,0,IF((H$6-$G$3)&lt;1,0,IFERROR(LOOKUP(2,1/(Aveia!$E43:INDEX(Aveia!$E43:$Z43,MIN(H$6-$G$3,22))&lt;&gt;""),Aveia!$E43:INDEX(Aveia!$E43:$Z43,MIN(H$6-$G$3,22))),0)))))</f>
        <v>0</v>
      </c>
      <c r="I45" s="27" t="n">
        <f aca="false">IF(COUNT(Aveia!$E43:$Z43)=0,0,MAX(0,IF((I$6-$E$3)&lt;1,0,IFERROR(LOOKUP(2,1/(Aveia!$E43:INDEX(Aveia!$E43:$Z43,MIN(I$6-$E$3,22))&lt;&gt;""),Aveia!$E43:INDEX(Aveia!$E43:$Z43,MIN(I$6-$E$3,22))),0))-IF($G$2,0,IF((I$6-$G$3)&lt;1,0,IFERROR(LOOKUP(2,1/(Aveia!$E43:INDEX(Aveia!$E43:$Z43,MIN(I$6-$G$3,22))&lt;&gt;""),Aveia!$E43:INDEX(Aveia!$E43:$Z43,MIN(I$6-$G$3,22))),0)))))</f>
        <v>0</v>
      </c>
      <c r="J45" s="27" t="n">
        <f aca="false">IF(COUNT(Aveia!$E43:$Z43)=0,0,MAX(0,IF((J$6-$E$3)&lt;1,0,IFERROR(LOOKUP(2,1/(Aveia!$E43:INDEX(Aveia!$E43:$Z43,MIN(J$6-$E$3,22))&lt;&gt;""),Aveia!$E43:INDEX(Aveia!$E43:$Z43,MIN(J$6-$E$3,22))),0))-IF($G$2,0,IF((J$6-$G$3)&lt;1,0,IFERROR(LOOKUP(2,1/(Aveia!$E43:INDEX(Aveia!$E43:$Z43,MIN(J$6-$G$3,22))&lt;&gt;""),Aveia!$E43:INDEX(Aveia!$E43:$Z43,MIN(J$6-$G$3,22))),0)))))</f>
        <v>0</v>
      </c>
      <c r="K45" s="27" t="n">
        <f aca="false">IF(COUNT(Aveia!$E43:$Z43)=0,0,MAX(0,IF((K$6-$E$3)&lt;1,0,IFERROR(LOOKUP(2,1/(Aveia!$E43:INDEX(Aveia!$E43:$Z43,MIN(K$6-$E$3,22))&lt;&gt;""),Aveia!$E43:INDEX(Aveia!$E43:$Z43,MIN(K$6-$E$3,22))),0))-IF($G$2,0,IF((K$6-$G$3)&lt;1,0,IFERROR(LOOKUP(2,1/(Aveia!$E43:INDEX(Aveia!$E43:$Z43,MIN(K$6-$G$3,22))&lt;&gt;""),Aveia!$E43:INDEX(Aveia!$E43:$Z43,MIN(K$6-$G$3,22))),0)))))</f>
        <v>0</v>
      </c>
      <c r="L45" s="27" t="n">
        <f aca="false">IF(COUNT(Aveia!$E43:$Z43)=0,0,MAX(0,IF((L$6-$E$3)&lt;1,0,IFERROR(LOOKUP(2,1/(Aveia!$E43:INDEX(Aveia!$E43:$Z43,MIN(L$6-$E$3,22))&lt;&gt;""),Aveia!$E43:INDEX(Aveia!$E43:$Z43,MIN(L$6-$E$3,22))),0))-IF($G$2,0,IF((L$6-$G$3)&lt;1,0,IFERROR(LOOKUP(2,1/(Aveia!$E43:INDEX(Aveia!$E43:$Z43,MIN(L$6-$G$3,22))&lt;&gt;""),Aveia!$E43:INDEX(Aveia!$E43:$Z43,MIN(L$6-$G$3,22))),0)))))</f>
        <v>0</v>
      </c>
      <c r="M45" s="27" t="n">
        <f aca="false">IF(COUNT(Aveia!$E43:$Z43)=0,0,MAX(0,IF((M$6-$E$3)&lt;1,0,IFERROR(LOOKUP(2,1/(Aveia!$E43:INDEX(Aveia!$E43:$Z43,MIN(M$6-$E$3,22))&lt;&gt;""),Aveia!$E43:INDEX(Aveia!$E43:$Z43,MIN(M$6-$E$3,22))),0))-IF($G$2,0,IF((M$6-$G$3)&lt;1,0,IFERROR(LOOKUP(2,1/(Aveia!$E43:INDEX(Aveia!$E43:$Z43,MIN(M$6-$G$3,22))&lt;&gt;""),Aveia!$E43:INDEX(Aveia!$E43:$Z43,MIN(M$6-$G$3,22))),0)))))</f>
        <v>0</v>
      </c>
      <c r="N45" s="27" t="n">
        <f aca="false">IF(COUNT(Aveia!$E43:$Z43)=0,0,MAX(0,IF((N$6-$E$3)&lt;1,0,IFERROR(LOOKUP(2,1/(Aveia!$E43:INDEX(Aveia!$E43:$Z43,MIN(N$6-$E$3,22))&lt;&gt;""),Aveia!$E43:INDEX(Aveia!$E43:$Z43,MIN(N$6-$E$3,22))),0))-IF($G$2,0,IF((N$6-$G$3)&lt;1,0,IFERROR(LOOKUP(2,1/(Aveia!$E43:INDEX(Aveia!$E43:$Z43,MIN(N$6-$G$3,22))&lt;&gt;""),Aveia!$E43:INDEX(Aveia!$E43:$Z43,MIN(N$6-$G$3,22))),0)))))</f>
        <v>0</v>
      </c>
      <c r="O45" s="27" t="n">
        <f aca="false">IF(COUNT(Aveia!$E43:$Z43)=0,0,MAX(0,IF((O$6-$E$3)&lt;1,0,IFERROR(LOOKUP(2,1/(Aveia!$E43:INDEX(Aveia!$E43:$Z43,MIN(O$6-$E$3,22))&lt;&gt;""),Aveia!$E43:INDEX(Aveia!$E43:$Z43,MIN(O$6-$E$3,22))),0))-IF($G$2,0,IF((O$6-$G$3)&lt;1,0,IFERROR(LOOKUP(2,1/(Aveia!$E43:INDEX(Aveia!$E43:$Z43,MIN(O$6-$G$3,22))&lt;&gt;""),Aveia!$E43:INDEX(Aveia!$E43:$Z43,MIN(O$6-$G$3,22))),0)))))</f>
        <v>0</v>
      </c>
      <c r="P45" s="27" t="n">
        <f aca="false">IF(COUNT(Aveia!$E43:$Z43)=0,0,MAX(0,IF((P$6-$E$3)&lt;1,0,IFERROR(LOOKUP(2,1/(Aveia!$E43:INDEX(Aveia!$E43:$Z43,MIN(P$6-$E$3,22))&lt;&gt;""),Aveia!$E43:INDEX(Aveia!$E43:$Z43,MIN(P$6-$E$3,22))),0))-IF($G$2,0,IF((P$6-$G$3)&lt;1,0,IFERROR(LOOKUP(2,1/(Aveia!$E43:INDEX(Aveia!$E43:$Z43,MIN(P$6-$G$3,22))&lt;&gt;""),Aveia!$E43:INDEX(Aveia!$E43:$Z43,MIN(P$6-$G$3,22))),0)))))</f>
        <v>0</v>
      </c>
      <c r="Q45" s="27" t="n">
        <f aca="false">IF(COUNT(Aveia!$E43:$Z43)=0,0,MAX(0,IF((Q$6-$E$3)&lt;1,0,IFERROR(LOOKUP(2,1/(Aveia!$E43:INDEX(Aveia!$E43:$Z43,MIN(Q$6-$E$3,22))&lt;&gt;""),Aveia!$E43:INDEX(Aveia!$E43:$Z43,MIN(Q$6-$E$3,22))),0))-IF($G$2,0,IF((Q$6-$G$3)&lt;1,0,IFERROR(LOOKUP(2,1/(Aveia!$E43:INDEX(Aveia!$E43:$Z43,MIN(Q$6-$G$3,22))&lt;&gt;""),Aveia!$E43:INDEX(Aveia!$E43:$Z43,MIN(Q$6-$G$3,22))),0)))))</f>
        <v>0</v>
      </c>
      <c r="R45" s="27" t="n">
        <f aca="false">IF(COUNT(Aveia!$E43:$Z43)=0,0,MAX(0,IF((R$6-$E$3)&lt;1,0,IFERROR(LOOKUP(2,1/(Aveia!$E43:INDEX(Aveia!$E43:$Z43,MIN(R$6-$E$3,22))&lt;&gt;""),Aveia!$E43:INDEX(Aveia!$E43:$Z43,MIN(R$6-$E$3,22))),0))-IF($G$2,0,IF((R$6-$G$3)&lt;1,0,IFERROR(LOOKUP(2,1/(Aveia!$E43:INDEX(Aveia!$E43:$Z43,MIN(R$6-$G$3,22))&lt;&gt;""),Aveia!$E43:INDEX(Aveia!$E43:$Z43,MIN(R$6-$G$3,22))),0)))))</f>
        <v>0</v>
      </c>
      <c r="S45" s="27" t="n">
        <f aca="false">IF(COUNT(Aveia!$E43:$Z43)=0,0,MAX(0,IF((S$6-$E$3)&lt;1,0,IFERROR(LOOKUP(2,1/(Aveia!$E43:INDEX(Aveia!$E43:$Z43,MIN(S$6-$E$3,22))&lt;&gt;""),Aveia!$E43:INDEX(Aveia!$E43:$Z43,MIN(S$6-$E$3,22))),0))-IF($G$2,0,IF((S$6-$G$3)&lt;1,0,IFERROR(LOOKUP(2,1/(Aveia!$E43:INDEX(Aveia!$E43:$Z43,MIN(S$6-$G$3,22))&lt;&gt;""),Aveia!$E43:INDEX(Aveia!$E43:$Z43,MIN(S$6-$G$3,22))),0)))))</f>
        <v>0</v>
      </c>
      <c r="T45" s="27" t="n">
        <f aca="false">IF(COUNT(Aveia!$E43:$Z43)=0,0,MAX(0,IF((T$6-$E$3)&lt;1,0,IFERROR(LOOKUP(2,1/(Aveia!$E43:INDEX(Aveia!$E43:$Z43,MIN(T$6-$E$3,22))&lt;&gt;""),Aveia!$E43:INDEX(Aveia!$E43:$Z43,MIN(T$6-$E$3,22))),0))-IF($G$2,0,IF((T$6-$G$3)&lt;1,0,IFERROR(LOOKUP(2,1/(Aveia!$E43:INDEX(Aveia!$E43:$Z43,MIN(T$6-$G$3,22))&lt;&gt;""),Aveia!$E43:INDEX(Aveia!$E43:$Z43,MIN(T$6-$G$3,22))),0)))))</f>
        <v>0</v>
      </c>
      <c r="U45" s="27" t="n">
        <f aca="false">IF(COUNT(Aveia!$E43:$Z43)=0,0,MAX(0,IF((U$6-$E$3)&lt;1,0,IFERROR(LOOKUP(2,1/(Aveia!$E43:INDEX(Aveia!$E43:$Z43,MIN(U$6-$E$3,22))&lt;&gt;""),Aveia!$E43:INDEX(Aveia!$E43:$Z43,MIN(U$6-$E$3,22))),0))-IF($G$2,0,IF((U$6-$G$3)&lt;1,0,IFERROR(LOOKUP(2,1/(Aveia!$E43:INDEX(Aveia!$E43:$Z43,MIN(U$6-$G$3,22))&lt;&gt;""),Aveia!$E43:INDEX(Aveia!$E43:$Z43,MIN(U$6-$G$3,22))),0)))))</f>
        <v>0</v>
      </c>
      <c r="V45" s="27" t="n">
        <f aca="false">IF(COUNT(Aveia!$E43:$Z43)=0,0,MAX(0,IF((V$6-$E$3)&lt;1,0,IFERROR(LOOKUP(2,1/(Aveia!$E43:INDEX(Aveia!$E43:$Z43,MIN(V$6-$E$3,22))&lt;&gt;""),Aveia!$E43:INDEX(Aveia!$E43:$Z43,MIN(V$6-$E$3,22))),0))-IF($G$2,0,IF((V$6-$G$3)&lt;1,0,IFERROR(LOOKUP(2,1/(Aveia!$E43:INDEX(Aveia!$E43:$Z43,MIN(V$6-$G$3,22))&lt;&gt;""),Aveia!$E43:INDEX(Aveia!$E43:$Z43,MIN(V$6-$G$3,22))),0)))))</f>
        <v>0</v>
      </c>
      <c r="W45" s="27" t="n">
        <f aca="false">IF(COUNT(Aveia!$E43:$Z43)=0,0,MAX(0,IF((W$6-$E$3)&lt;1,0,IFERROR(LOOKUP(2,1/(Aveia!$E43:INDEX(Aveia!$E43:$Z43,MIN(W$6-$E$3,22))&lt;&gt;""),Aveia!$E43:INDEX(Aveia!$E43:$Z43,MIN(W$6-$E$3,22))),0))-IF($G$2,0,IF((W$6-$G$3)&lt;1,0,IFERROR(LOOKUP(2,1/(Aveia!$E43:INDEX(Aveia!$E43:$Z43,MIN(W$6-$G$3,22))&lt;&gt;""),Aveia!$E43:INDEX(Aveia!$E43:$Z43,MIN(W$6-$G$3,22))),0)))))</f>
        <v>0</v>
      </c>
      <c r="X45" s="27" t="n">
        <f aca="false">IF(COUNT(Aveia!$E43:$Z43)=0,0,MAX(0,IF((X$6-$E$3)&lt;1,0,IFERROR(LOOKUP(2,1/(Aveia!$E43:INDEX(Aveia!$E43:$Z43,MIN(X$6-$E$3,22))&lt;&gt;""),Aveia!$E43:INDEX(Aveia!$E43:$Z43,MIN(X$6-$E$3,22))),0))-IF($G$2,0,IF((X$6-$G$3)&lt;1,0,IFERROR(LOOKUP(2,1/(Aveia!$E43:INDEX(Aveia!$E43:$Z43,MIN(X$6-$G$3,22))&lt;&gt;""),Aveia!$E43:INDEX(Aveia!$E43:$Z43,MIN(X$6-$G$3,22))),0)))))</f>
        <v>0</v>
      </c>
      <c r="Y45" s="27" t="n">
        <f aca="false">IF(COUNT(Aveia!$E43:$Z43)=0,0,MAX(0,IF((Y$6-$E$3)&lt;1,0,IFERROR(LOOKUP(2,1/(Aveia!$E43:INDEX(Aveia!$E43:$Z43,MIN(Y$6-$E$3,22))&lt;&gt;""),Aveia!$E43:INDEX(Aveia!$E43:$Z43,MIN(Y$6-$E$3,22))),0))-IF($G$2,0,IF((Y$6-$G$3)&lt;1,0,IFERROR(LOOKUP(2,1/(Aveia!$E43:INDEX(Aveia!$E43:$Z43,MIN(Y$6-$G$3,22))&lt;&gt;""),Aveia!$E43:INDEX(Aveia!$E43:$Z43,MIN(Y$6-$G$3,22))),0)))))</f>
        <v>0</v>
      </c>
      <c r="Z45" s="27" t="n">
        <f aca="false">IF(COUNT(Aveia!$E43:$Z43)=0,0,MAX(0,IF((Z$6-$E$3)&lt;1,0,IFERROR(LOOKUP(2,1/(Aveia!$E43:INDEX(Aveia!$E43:$Z43,MIN(Z$6-$E$3,22))&lt;&gt;""),Aveia!$E43:INDEX(Aveia!$E43:$Z43,MIN(Z$6-$E$3,22))),0))-IF($G$2,0,IF((Z$6-$G$3)&lt;1,0,IFERROR(LOOKUP(2,1/(Aveia!$E43:INDEX(Aveia!$E43:$Z43,MIN(Z$6-$G$3,22))&lt;&gt;""),Aveia!$E43:INDEX(Aveia!$E43:$Z43,MIN(Z$6-$G$3,22))),0)))))</f>
        <v>0</v>
      </c>
      <c r="AA45" s="27" t="n">
        <f aca="false">IF(COUNT(Aveia!$E43:$Z43)=0,0,MAX(0,IF((AA$6-$E$3)&lt;1,0,IFERROR(LOOKUP(2,1/(Aveia!$E43:INDEX(Aveia!$E43:$Z43,MIN(AA$6-$E$3,22))&lt;&gt;""),Aveia!$E43:INDEX(Aveia!$E43:$Z43,MIN(AA$6-$E$3,22))),0))-IF($G$2,0,IF((AA$6-$G$3)&lt;1,0,IFERROR(LOOKUP(2,1/(Aveia!$E43:INDEX(Aveia!$E43:$Z43,MIN(AA$6-$G$3,22))&lt;&gt;""),Aveia!$E43:INDEX(Aveia!$E43:$Z43,MIN(AA$6-$G$3,22))),0)))))</f>
        <v>0</v>
      </c>
      <c r="AB45" s="27" t="n">
        <f aca="false">IF(COUNT(Aveia!$E43:$Z43)=0,0,MAX(0,IF((AB$6-$E$3)&lt;1,0,IFERROR(LOOKUP(2,1/(Aveia!$E43:INDEX(Aveia!$E43:$Z43,MIN(AB$6-$E$3,22))&lt;&gt;""),Aveia!$E43:INDEX(Aveia!$E43:$Z43,MIN(AB$6-$E$3,22))),0))-IF($G$2,0,IF((AB$6-$G$3)&lt;1,0,IFERROR(LOOKUP(2,1/(Aveia!$E43:INDEX(Aveia!$E43:$Z43,MIN(AB$6-$G$3,22))&lt;&gt;""),Aveia!$E43:INDEX(Aveia!$E43:$Z43,MIN(AB$6-$G$3,22))),0)))))</f>
        <v>0</v>
      </c>
      <c r="AC45" s="27" t="n">
        <f aca="false">IF(COUNT(Aveia!$E43:$Z43)=0,0,MAX(0,IF((AC$6-$E$3)&lt;1,0,IFERROR(LOOKUP(2,1/(Aveia!$E43:INDEX(Aveia!$E43:$Z43,MIN(AC$6-$E$3,22))&lt;&gt;""),Aveia!$E43:INDEX(Aveia!$E43:$Z43,MIN(AC$6-$E$3,22))),0))-IF($G$2,0,IF((AC$6-$G$3)&lt;1,0,IFERROR(LOOKUP(2,1/(Aveia!$E43:INDEX(Aveia!$E43:$Z43,MIN(AC$6-$G$3,22))&lt;&gt;""),Aveia!$E43:INDEX(Aveia!$E43:$Z43,MIN(AC$6-$G$3,22))),0)))))</f>
        <v>0</v>
      </c>
      <c r="AD45" s="27" t="n">
        <f aca="false">IF(COUNT(Aveia!$E43:$Z43)=0,0,MAX(0,IF((AD$6-$E$3)&lt;1,0,IFERROR(LOOKUP(2,1/(Aveia!$E43:INDEX(Aveia!$E43:$Z43,MIN(AD$6-$E$3,22))&lt;&gt;""),Aveia!$E43:INDEX(Aveia!$E43:$Z43,MIN(AD$6-$E$3,22))),0))-IF($G$2,0,IF((AD$6-$G$3)&lt;1,0,IFERROR(LOOKUP(2,1/(Aveia!$E43:INDEX(Aveia!$E43:$Z43,MIN(AD$6-$G$3,22))&lt;&gt;""),Aveia!$E43:INDEX(Aveia!$E43:$Z43,MIN(AD$6-$G$3,22))),0)))))</f>
        <v>0</v>
      </c>
      <c r="AE45" s="27" t="n">
        <f aca="false">IF(COUNT(Aveia!$E43:$Z43)=0,0,MAX(0,IF((AE$6-$E$3)&lt;1,0,IFERROR(LOOKUP(2,1/(Aveia!$E43:INDEX(Aveia!$E43:$Z43,MIN(AE$6-$E$3,22))&lt;&gt;""),Aveia!$E43:INDEX(Aveia!$E43:$Z43,MIN(AE$6-$E$3,22))),0))-IF($G$2,0,IF((AE$6-$G$3)&lt;1,0,IFERROR(LOOKUP(2,1/(Aveia!$E43:INDEX(Aveia!$E43:$Z43,MIN(AE$6-$G$3,22))&lt;&gt;""),Aveia!$E43:INDEX(Aveia!$E43:$Z43,MIN(AE$6-$G$3,22))),0)))))</f>
        <v>0</v>
      </c>
      <c r="AF45" s="27" t="n">
        <f aca="false">IF(COUNT(Aveia!$E43:$Z43)=0,0,MAX(0,IF((AF$6-$E$3)&lt;1,0,IFERROR(LOOKUP(2,1/(Aveia!$E43:INDEX(Aveia!$E43:$Z43,MIN(AF$6-$E$3,22))&lt;&gt;""),Aveia!$E43:INDEX(Aveia!$E43:$Z43,MIN(AF$6-$E$3,22))),0))-IF($G$2,0,IF((AF$6-$G$3)&lt;1,0,IFERROR(LOOKUP(2,1/(Aveia!$E43:INDEX(Aveia!$E43:$Z43,MIN(AF$6-$G$3,22))&lt;&gt;""),Aveia!$E43:INDEX(Aveia!$E43:$Z43,MIN(AF$6-$G$3,22))),0)))))</f>
        <v>0</v>
      </c>
      <c r="AG45" s="27" t="n">
        <f aca="false">IF(COUNT(Aveia!$E43:$Z43)=0,0,MAX(0,IF((AG$6-$E$3)&lt;1,0,IFERROR(LOOKUP(2,1/(Aveia!$E43:INDEX(Aveia!$E43:$Z43,MIN(AG$6-$E$3,22))&lt;&gt;""),Aveia!$E43:INDEX(Aveia!$E43:$Z43,MIN(AG$6-$E$3,22))),0))-IF($G$2,0,IF((AG$6-$G$3)&lt;1,0,IFERROR(LOOKUP(2,1/(Aveia!$E43:INDEX(Aveia!$E43:$Z43,MIN(AG$6-$G$3,22))&lt;&gt;""),Aveia!$E43:INDEX(Aveia!$E43:$Z43,MIN(AG$6-$G$3,22))),0)))))</f>
        <v>0</v>
      </c>
      <c r="AH45" s="27" t="n">
        <f aca="false">IF(COUNT(Aveia!$E43:$Z43)=0,0,MAX(0,IF((AH$6-$E$3)&lt;1,0,IFERROR(LOOKUP(2,1/(Aveia!$E43:INDEX(Aveia!$E43:$Z43,MIN(AH$6-$E$3,22))&lt;&gt;""),Aveia!$E43:INDEX(Aveia!$E43:$Z43,MIN(AH$6-$E$3,22))),0))-IF($G$2,0,IF((AH$6-$G$3)&lt;1,0,IFERROR(LOOKUP(2,1/(Aveia!$E43:INDEX(Aveia!$E43:$Z43,MIN(AH$6-$G$3,22))&lt;&gt;""),Aveia!$E43:INDEX(Aveia!$E43:$Z43,MIN(AH$6-$G$3,22))),0)))))</f>
        <v>0</v>
      </c>
      <c r="AI45" s="27" t="n">
        <f aca="false">IF(COUNT(Aveia!$E43:$Z43)=0,0,MAX(0,IF((AI$6-$E$3)&lt;1,0,IFERROR(LOOKUP(2,1/(Aveia!$E43:INDEX(Aveia!$E43:$Z43,MIN(AI$6-$E$3,22))&lt;&gt;""),Aveia!$E43:INDEX(Aveia!$E43:$Z43,MIN(AI$6-$E$3,22))),0))-IF($G$2,0,IF((AI$6-$G$3)&lt;1,0,IFERROR(LOOKUP(2,1/(Aveia!$E43:INDEX(Aveia!$E43:$Z43,MIN(AI$6-$G$3,22))&lt;&gt;""),Aveia!$E43:INDEX(Aveia!$E43:$Z43,MIN(AI$6-$G$3,22))),0)))))</f>
        <v>0</v>
      </c>
      <c r="AJ45" s="27" t="n">
        <f aca="false">IF(COUNT(Aveia!$E43:$Z43)=0,0,MAX(0,IF((AJ$6-$E$3)&lt;1,0,IFERROR(LOOKUP(2,1/(Aveia!$E43:INDEX(Aveia!$E43:$Z43,MIN(AJ$6-$E$3,22))&lt;&gt;""),Aveia!$E43:INDEX(Aveia!$E43:$Z43,MIN(AJ$6-$E$3,22))),0))-IF($G$2,0,IF((AJ$6-$G$3)&lt;1,0,IFERROR(LOOKUP(2,1/(Aveia!$E43:INDEX(Aveia!$E43:$Z43,MIN(AJ$6-$G$3,22))&lt;&gt;""),Aveia!$E43:INDEX(Aveia!$E43:$Z43,MIN(AJ$6-$G$3,22))),0)))))</f>
        <v>0</v>
      </c>
      <c r="AK45" s="27" t="n">
        <f aca="false">IF(COUNT(Aveia!$E43:$Z43)=0,0,MAX(0,IF((AK$6-$E$3)&lt;1,0,IFERROR(LOOKUP(2,1/(Aveia!$E43:INDEX(Aveia!$E43:$Z43,MIN(AK$6-$E$3,22))&lt;&gt;""),Aveia!$E43:INDEX(Aveia!$E43:$Z43,MIN(AK$6-$E$3,22))),0))-IF($G$2,0,IF((AK$6-$G$3)&lt;1,0,IFERROR(LOOKUP(2,1/(Aveia!$E43:INDEX(Aveia!$E43:$Z43,MIN(AK$6-$G$3,22))&lt;&gt;""),Aveia!$E43:INDEX(Aveia!$E43:$Z43,MIN(AK$6-$G$3,22))),0)))))</f>
        <v>0</v>
      </c>
      <c r="AL45" s="27" t="n">
        <f aca="false">IF(COUNT(Aveia!$E43:$Z43)=0,0,MAX(0,IF((AL$6-$E$3)&lt;1,0,IFERROR(LOOKUP(2,1/(Aveia!$E43:INDEX(Aveia!$E43:$Z43,MIN(AL$6-$E$3,22))&lt;&gt;""),Aveia!$E43:INDEX(Aveia!$E43:$Z43,MIN(AL$6-$E$3,22))),0))-IF($G$2,0,IF((AL$6-$G$3)&lt;1,0,IFERROR(LOOKUP(2,1/(Aveia!$E43:INDEX(Aveia!$E43:$Z43,MIN(AL$6-$G$3,22))&lt;&gt;""),Aveia!$E43:INDEX(Aveia!$E43:$Z43,MIN(AL$6-$G$3,22))),0)))))</f>
        <v>0</v>
      </c>
      <c r="AM45" s="27" t="n">
        <f aca="false">IF(COUNT(Aveia!$E43:$Z43)=0,0,MAX(0,IF((AM$6-$E$3)&lt;1,0,IFERROR(LOOKUP(2,1/(Aveia!$E43:INDEX(Aveia!$E43:$Z43,MIN(AM$6-$E$3,22))&lt;&gt;""),Aveia!$E43:INDEX(Aveia!$E43:$Z43,MIN(AM$6-$E$3,22))),0))-IF($G$2,0,IF((AM$6-$G$3)&lt;1,0,IFERROR(LOOKUP(2,1/(Aveia!$E43:INDEX(Aveia!$E43:$Z43,MIN(AM$6-$G$3,22))&lt;&gt;""),Aveia!$E43:INDEX(Aveia!$E43:$Z43,MIN(AM$6-$G$3,22))),0)))))</f>
        <v>0</v>
      </c>
      <c r="AN45" s="27" t="n">
        <f aca="false">IF(COUNT(Aveia!$E43:$Z43)=0,0,MAX(0,IF((AN$6-$E$3)&lt;1,0,IFERROR(LOOKUP(2,1/(Aveia!$E43:INDEX(Aveia!$E43:$Z43,MIN(AN$6-$E$3,22))&lt;&gt;""),Aveia!$E43:INDEX(Aveia!$E43:$Z43,MIN(AN$6-$E$3,22))),0))-IF($G$2,0,IF((AN$6-$G$3)&lt;1,0,IFERROR(LOOKUP(2,1/(Aveia!$E43:INDEX(Aveia!$E43:$Z43,MIN(AN$6-$G$3,22))&lt;&gt;""),Aveia!$E43:INDEX(Aveia!$E43:$Z43,MIN(AN$6-$G$3,22))),0)))))</f>
        <v>0</v>
      </c>
      <c r="AO45" s="27" t="n">
        <f aca="false">IF(COUNT(Aveia!$E43:$Z43)=0,0,MAX(0,IF((AO$6-$E$3)&lt;1,0,IFERROR(LOOKUP(2,1/(Aveia!$E43:INDEX(Aveia!$E43:$Z43,MIN(AO$6-$E$3,22))&lt;&gt;""),Aveia!$E43:INDEX(Aveia!$E43:$Z43,MIN(AO$6-$E$3,22))),0))-IF($G$2,0,IF((AO$6-$G$3)&lt;1,0,IFERROR(LOOKUP(2,1/(Aveia!$E43:INDEX(Aveia!$E43:$Z43,MIN(AO$6-$G$3,22))&lt;&gt;""),Aveia!$E43:INDEX(Aveia!$E43:$Z43,MIN(AO$6-$G$3,22))),0)))))</f>
        <v>0</v>
      </c>
      <c r="AP45" s="27" t="n">
        <f aca="false">IF(COUNT(Aveia!$E43:$Z43)=0,0,MAX(0,IF((AP$6-$E$3)&lt;1,0,IFERROR(LOOKUP(2,1/(Aveia!$E43:INDEX(Aveia!$E43:$Z43,MIN(AP$6-$E$3,22))&lt;&gt;""),Aveia!$E43:INDEX(Aveia!$E43:$Z43,MIN(AP$6-$E$3,22))),0))-IF($G$2,0,IF((AP$6-$G$3)&lt;1,0,IFERROR(LOOKUP(2,1/(Aveia!$E43:INDEX(Aveia!$E43:$Z43,MIN(AP$6-$G$3,22))&lt;&gt;""),Aveia!$E43:INDEX(Aveia!$E43:$Z43,MIN(AP$6-$G$3,22))),0)))))</f>
        <v>0</v>
      </c>
      <c r="AQ45" s="27" t="n">
        <f aca="false">IF(COUNT(Aveia!$E43:$Z43)=0,0,MAX(0,IF((AQ$6-$E$3)&lt;1,0,IFERROR(LOOKUP(2,1/(Aveia!$E43:INDEX(Aveia!$E43:$Z43,MIN(AQ$6-$E$3,22))&lt;&gt;""),Aveia!$E43:INDEX(Aveia!$E43:$Z43,MIN(AQ$6-$E$3,22))),0))-IF($G$2,0,IF((AQ$6-$G$3)&lt;1,0,IFERROR(LOOKUP(2,1/(Aveia!$E43:INDEX(Aveia!$E43:$Z43,MIN(AQ$6-$G$3,22))&lt;&gt;""),Aveia!$E43:INDEX(Aveia!$E43:$Z43,MIN(AQ$6-$G$3,22))),0)))))</f>
        <v>0</v>
      </c>
      <c r="AR45" s="27" t="n">
        <f aca="false">IF(COUNT(Aveia!$E43:$Z43)=0,0,MAX(0,IF((AR$6-$E$3)&lt;1,0,IFERROR(LOOKUP(2,1/(Aveia!$E43:INDEX(Aveia!$E43:$Z43,MIN(AR$6-$E$3,22))&lt;&gt;""),Aveia!$E43:INDEX(Aveia!$E43:$Z43,MIN(AR$6-$E$3,22))),0))-IF($G$2,0,IF((AR$6-$G$3)&lt;1,0,IFERROR(LOOKUP(2,1/(Aveia!$E43:INDEX(Aveia!$E43:$Z43,MIN(AR$6-$G$3,22))&lt;&gt;""),Aveia!$E43:INDEX(Aveia!$E43:$Z43,MIN(AR$6-$G$3,22))),0)))))</f>
        <v>0</v>
      </c>
      <c r="AS45" s="27" t="n">
        <f aca="false">IF(COUNT(Aveia!$E43:$Z43)=0,0,MAX(0,IF((AS$6-$E$3)&lt;1,0,IFERROR(LOOKUP(2,1/(Aveia!$E43:INDEX(Aveia!$E43:$Z43,MIN(AS$6-$E$3,22))&lt;&gt;""),Aveia!$E43:INDEX(Aveia!$E43:$Z43,MIN(AS$6-$E$3,22))),0))-IF($G$2,0,IF((AS$6-$G$3)&lt;1,0,IFERROR(LOOKUP(2,1/(Aveia!$E43:INDEX(Aveia!$E43:$Z43,MIN(AS$6-$G$3,22))&lt;&gt;""),Aveia!$E43:INDEX(Aveia!$E43:$Z43,MIN(AS$6-$G$3,22))),0)))))</f>
        <v>0</v>
      </c>
      <c r="AT45" s="27" t="n">
        <f aca="false">IF(COUNT(Aveia!$E43:$Z43)=0,0,MAX(0,IF((AT$6-$E$3)&lt;1,0,IFERROR(LOOKUP(2,1/(Aveia!$E43:INDEX(Aveia!$E43:$Z43,MIN(AT$6-$E$3,22))&lt;&gt;""),Aveia!$E43:INDEX(Aveia!$E43:$Z43,MIN(AT$6-$E$3,22))),0))-IF($G$2,0,IF((AT$6-$G$3)&lt;1,0,IFERROR(LOOKUP(2,1/(Aveia!$E43:INDEX(Aveia!$E43:$Z43,MIN(AT$6-$G$3,22))&lt;&gt;""),Aveia!$E43:INDEX(Aveia!$E43:$Z43,MIN(AT$6-$G$3,22))),0)))))</f>
        <v>0</v>
      </c>
      <c r="AU45" s="27" t="n">
        <f aca="false">IF(COUNT(Aveia!$E43:$Z43)=0,0,MAX(0,IF((AU$6-$E$3)&lt;1,0,IFERROR(LOOKUP(2,1/(Aveia!$E43:INDEX(Aveia!$E43:$Z43,MIN(AU$6-$E$3,22))&lt;&gt;""),Aveia!$E43:INDEX(Aveia!$E43:$Z43,MIN(AU$6-$E$3,22))),0))-IF($G$2,0,IF((AU$6-$G$3)&lt;1,0,IFERROR(LOOKUP(2,1/(Aveia!$E43:INDEX(Aveia!$E43:$Z43,MIN(AU$6-$G$3,22))&lt;&gt;""),Aveia!$E43:INDEX(Aveia!$E43:$Z43,MIN(AU$6-$G$3,22))),0)))))</f>
        <v>0</v>
      </c>
      <c r="AV45" s="27" t="n">
        <f aca="false">IF(COUNT(Aveia!$E43:$Z43)=0,0,MAX(0,IF((AV$6-$E$3)&lt;1,0,IFERROR(LOOKUP(2,1/(Aveia!$E43:INDEX(Aveia!$E43:$Z43,MIN(AV$6-$E$3,22))&lt;&gt;""),Aveia!$E43:INDEX(Aveia!$E43:$Z43,MIN(AV$6-$E$3,22))),0))-IF($G$2,0,IF((AV$6-$G$3)&lt;1,0,IFERROR(LOOKUP(2,1/(Aveia!$E43:INDEX(Aveia!$E43:$Z43,MIN(AV$6-$G$3,22))&lt;&gt;""),Aveia!$E43:INDEX(Aveia!$E43:$Z43,MIN(AV$6-$G$3,22))),0)))))</f>
        <v>0</v>
      </c>
      <c r="AW45" s="27" t="n">
        <f aca="false">IF(COUNT(Aveia!$E43:$Z43)=0,0,MAX(0,IF((AW$6-$E$3)&lt;1,0,IFERROR(LOOKUP(2,1/(Aveia!$E43:INDEX(Aveia!$E43:$Z43,MIN(AW$6-$E$3,22))&lt;&gt;""),Aveia!$E43:INDEX(Aveia!$E43:$Z43,MIN(AW$6-$E$3,22))),0))-IF($G$2,0,IF((AW$6-$G$3)&lt;1,0,IFERROR(LOOKUP(2,1/(Aveia!$E43:INDEX(Aveia!$E43:$Z43,MIN(AW$6-$G$3,22))&lt;&gt;""),Aveia!$E43:INDEX(Aveia!$E43:$Z43,MIN(AW$6-$G$3,22))),0)))))</f>
        <v>0</v>
      </c>
      <c r="AX45" s="27" t="n">
        <f aca="false">IF(COUNT(Aveia!$E43:$Z43)=0,0,MAX(0,IF((AX$6-$E$3)&lt;1,0,IFERROR(LOOKUP(2,1/(Aveia!$E43:INDEX(Aveia!$E43:$Z43,MIN(AX$6-$E$3,22))&lt;&gt;""),Aveia!$E43:INDEX(Aveia!$E43:$Z43,MIN(AX$6-$E$3,22))),0))-IF($G$2,0,IF((AX$6-$G$3)&lt;1,0,IFERROR(LOOKUP(2,1/(Aveia!$E43:INDEX(Aveia!$E43:$Z43,MIN(AX$6-$G$3,22))&lt;&gt;""),Aveia!$E43:INDEX(Aveia!$E43:$Z43,MIN(AX$6-$G$3,22))),0)))))</f>
        <v>0</v>
      </c>
      <c r="AY45" s="27" t="n">
        <f aca="false">IF(COUNT(Aveia!$E43:$Z43)=0,0,MAX(0,IF((AY$6-$E$3)&lt;1,0,IFERROR(LOOKUP(2,1/(Aveia!$E43:INDEX(Aveia!$E43:$Z43,MIN(AY$6-$E$3,22))&lt;&gt;""),Aveia!$E43:INDEX(Aveia!$E43:$Z43,MIN(AY$6-$E$3,22))),0))-IF($G$2,0,IF((AY$6-$G$3)&lt;1,0,IFERROR(LOOKUP(2,1/(Aveia!$E43:INDEX(Aveia!$E43:$Z43,MIN(AY$6-$G$3,22))&lt;&gt;""),Aveia!$E43:INDEX(Aveia!$E43:$Z43,MIN(AY$6-$G$3,22))),0)))))</f>
        <v>0</v>
      </c>
      <c r="AZ45" s="27" t="n">
        <f aca="false">IF(COUNT(Aveia!$E43:$Z43)=0,0,MAX(0,IF((AZ$6-$E$3)&lt;1,0,IFERROR(LOOKUP(2,1/(Aveia!$E43:INDEX(Aveia!$E43:$Z43,MIN(AZ$6-$E$3,22))&lt;&gt;""),Aveia!$E43:INDEX(Aveia!$E43:$Z43,MIN(AZ$6-$E$3,22))),0))-IF($G$2,0,IF((AZ$6-$G$3)&lt;1,0,IFERROR(LOOKUP(2,1/(Aveia!$E43:INDEX(Aveia!$E43:$Z43,MIN(AZ$6-$G$3,22))&lt;&gt;""),Aveia!$E43:INDEX(Aveia!$E43:$Z43,MIN(AZ$6-$G$3,22))),0)))))</f>
        <v>0</v>
      </c>
    </row>
    <row r="46" customFormat="false" ht="15" hidden="false" customHeight="false" outlineLevel="0" collapsed="false">
      <c r="A46" s="3" t="s">
        <v>213</v>
      </c>
      <c r="B46" s="3" t="s">
        <v>214</v>
      </c>
      <c r="C46" s="10" t="s">
        <v>172</v>
      </c>
      <c r="D46" s="26" t="n">
        <f aca="false">IF(COUNT(Aveia!$E44:$Z44)&gt;0,N(Aveia!$D44),0)</f>
        <v>0</v>
      </c>
      <c r="E46" s="27" t="n">
        <f aca="false">IF(COUNT(Aveia!$E44:$Z44)=0,0,MAX(0,IF((E$6-$E$3)&lt;1,0,IFERROR(LOOKUP(2,1/(Aveia!$E44:INDEX(Aveia!$E44:$Z44,MIN(E$6-$E$3,22))&lt;&gt;""),Aveia!$E44:INDEX(Aveia!$E44:$Z44,MIN(E$6-$E$3,22))),0))-IF($G$2,0,IF((E$6-$G$3)&lt;1,0,IFERROR(LOOKUP(2,1/(Aveia!$E44:INDEX(Aveia!$E44:$Z44,MIN(E$6-$G$3,22))&lt;&gt;""),Aveia!$E44:INDEX(Aveia!$E44:$Z44,MIN(E$6-$G$3,22))),0)))))</f>
        <v>0</v>
      </c>
      <c r="F46" s="27" t="n">
        <f aca="false">IF(COUNT(Aveia!$E44:$Z44)=0,0,MAX(0,IF((F$6-$E$3)&lt;1,0,IFERROR(LOOKUP(2,1/(Aveia!$E44:INDEX(Aveia!$E44:$Z44,MIN(F$6-$E$3,22))&lt;&gt;""),Aveia!$E44:INDEX(Aveia!$E44:$Z44,MIN(F$6-$E$3,22))),0))-IF($G$2,0,IF((F$6-$G$3)&lt;1,0,IFERROR(LOOKUP(2,1/(Aveia!$E44:INDEX(Aveia!$E44:$Z44,MIN(F$6-$G$3,22))&lt;&gt;""),Aveia!$E44:INDEX(Aveia!$E44:$Z44,MIN(F$6-$G$3,22))),0)))))</f>
        <v>0</v>
      </c>
      <c r="G46" s="27" t="n">
        <f aca="false">IF(COUNT(Aveia!$E44:$Z44)=0,0,MAX(0,IF((G$6-$E$3)&lt;1,0,IFERROR(LOOKUP(2,1/(Aveia!$E44:INDEX(Aveia!$E44:$Z44,MIN(G$6-$E$3,22))&lt;&gt;""),Aveia!$E44:INDEX(Aveia!$E44:$Z44,MIN(G$6-$E$3,22))),0))-IF($G$2,0,IF((G$6-$G$3)&lt;1,0,IFERROR(LOOKUP(2,1/(Aveia!$E44:INDEX(Aveia!$E44:$Z44,MIN(G$6-$G$3,22))&lt;&gt;""),Aveia!$E44:INDEX(Aveia!$E44:$Z44,MIN(G$6-$G$3,22))),0)))))</f>
        <v>0</v>
      </c>
      <c r="H46" s="27" t="n">
        <f aca="false">IF(COUNT(Aveia!$E44:$Z44)=0,0,MAX(0,IF((H$6-$E$3)&lt;1,0,IFERROR(LOOKUP(2,1/(Aveia!$E44:INDEX(Aveia!$E44:$Z44,MIN(H$6-$E$3,22))&lt;&gt;""),Aveia!$E44:INDEX(Aveia!$E44:$Z44,MIN(H$6-$E$3,22))),0))-IF($G$2,0,IF((H$6-$G$3)&lt;1,0,IFERROR(LOOKUP(2,1/(Aveia!$E44:INDEX(Aveia!$E44:$Z44,MIN(H$6-$G$3,22))&lt;&gt;""),Aveia!$E44:INDEX(Aveia!$E44:$Z44,MIN(H$6-$G$3,22))),0)))))</f>
        <v>0</v>
      </c>
      <c r="I46" s="27" t="n">
        <f aca="false">IF(COUNT(Aveia!$E44:$Z44)=0,0,MAX(0,IF((I$6-$E$3)&lt;1,0,IFERROR(LOOKUP(2,1/(Aveia!$E44:INDEX(Aveia!$E44:$Z44,MIN(I$6-$E$3,22))&lt;&gt;""),Aveia!$E44:INDEX(Aveia!$E44:$Z44,MIN(I$6-$E$3,22))),0))-IF($G$2,0,IF((I$6-$G$3)&lt;1,0,IFERROR(LOOKUP(2,1/(Aveia!$E44:INDEX(Aveia!$E44:$Z44,MIN(I$6-$G$3,22))&lt;&gt;""),Aveia!$E44:INDEX(Aveia!$E44:$Z44,MIN(I$6-$G$3,22))),0)))))</f>
        <v>0</v>
      </c>
      <c r="J46" s="27" t="n">
        <f aca="false">IF(COUNT(Aveia!$E44:$Z44)=0,0,MAX(0,IF((J$6-$E$3)&lt;1,0,IFERROR(LOOKUP(2,1/(Aveia!$E44:INDEX(Aveia!$E44:$Z44,MIN(J$6-$E$3,22))&lt;&gt;""),Aveia!$E44:INDEX(Aveia!$E44:$Z44,MIN(J$6-$E$3,22))),0))-IF($G$2,0,IF((J$6-$G$3)&lt;1,0,IFERROR(LOOKUP(2,1/(Aveia!$E44:INDEX(Aveia!$E44:$Z44,MIN(J$6-$G$3,22))&lt;&gt;""),Aveia!$E44:INDEX(Aveia!$E44:$Z44,MIN(J$6-$G$3,22))),0)))))</f>
        <v>0</v>
      </c>
      <c r="K46" s="27" t="n">
        <f aca="false">IF(COUNT(Aveia!$E44:$Z44)=0,0,MAX(0,IF((K$6-$E$3)&lt;1,0,IFERROR(LOOKUP(2,1/(Aveia!$E44:INDEX(Aveia!$E44:$Z44,MIN(K$6-$E$3,22))&lt;&gt;""),Aveia!$E44:INDEX(Aveia!$E44:$Z44,MIN(K$6-$E$3,22))),0))-IF($G$2,0,IF((K$6-$G$3)&lt;1,0,IFERROR(LOOKUP(2,1/(Aveia!$E44:INDEX(Aveia!$E44:$Z44,MIN(K$6-$G$3,22))&lt;&gt;""),Aveia!$E44:INDEX(Aveia!$E44:$Z44,MIN(K$6-$G$3,22))),0)))))</f>
        <v>0</v>
      </c>
      <c r="L46" s="27" t="n">
        <f aca="false">IF(COUNT(Aveia!$E44:$Z44)=0,0,MAX(0,IF((L$6-$E$3)&lt;1,0,IFERROR(LOOKUP(2,1/(Aveia!$E44:INDEX(Aveia!$E44:$Z44,MIN(L$6-$E$3,22))&lt;&gt;""),Aveia!$E44:INDEX(Aveia!$E44:$Z44,MIN(L$6-$E$3,22))),0))-IF($G$2,0,IF((L$6-$G$3)&lt;1,0,IFERROR(LOOKUP(2,1/(Aveia!$E44:INDEX(Aveia!$E44:$Z44,MIN(L$6-$G$3,22))&lt;&gt;""),Aveia!$E44:INDEX(Aveia!$E44:$Z44,MIN(L$6-$G$3,22))),0)))))</f>
        <v>0</v>
      </c>
      <c r="M46" s="27" t="n">
        <f aca="false">IF(COUNT(Aveia!$E44:$Z44)=0,0,MAX(0,IF((M$6-$E$3)&lt;1,0,IFERROR(LOOKUP(2,1/(Aveia!$E44:INDEX(Aveia!$E44:$Z44,MIN(M$6-$E$3,22))&lt;&gt;""),Aveia!$E44:INDEX(Aveia!$E44:$Z44,MIN(M$6-$E$3,22))),0))-IF($G$2,0,IF((M$6-$G$3)&lt;1,0,IFERROR(LOOKUP(2,1/(Aveia!$E44:INDEX(Aveia!$E44:$Z44,MIN(M$6-$G$3,22))&lt;&gt;""),Aveia!$E44:INDEX(Aveia!$E44:$Z44,MIN(M$6-$G$3,22))),0)))))</f>
        <v>0</v>
      </c>
      <c r="N46" s="27" t="n">
        <f aca="false">IF(COUNT(Aveia!$E44:$Z44)=0,0,MAX(0,IF((N$6-$E$3)&lt;1,0,IFERROR(LOOKUP(2,1/(Aveia!$E44:INDEX(Aveia!$E44:$Z44,MIN(N$6-$E$3,22))&lt;&gt;""),Aveia!$E44:INDEX(Aveia!$E44:$Z44,MIN(N$6-$E$3,22))),0))-IF($G$2,0,IF((N$6-$G$3)&lt;1,0,IFERROR(LOOKUP(2,1/(Aveia!$E44:INDEX(Aveia!$E44:$Z44,MIN(N$6-$G$3,22))&lt;&gt;""),Aveia!$E44:INDEX(Aveia!$E44:$Z44,MIN(N$6-$G$3,22))),0)))))</f>
        <v>0</v>
      </c>
      <c r="O46" s="27" t="n">
        <f aca="false">IF(COUNT(Aveia!$E44:$Z44)=0,0,MAX(0,IF((O$6-$E$3)&lt;1,0,IFERROR(LOOKUP(2,1/(Aveia!$E44:INDEX(Aveia!$E44:$Z44,MIN(O$6-$E$3,22))&lt;&gt;""),Aveia!$E44:INDEX(Aveia!$E44:$Z44,MIN(O$6-$E$3,22))),0))-IF($G$2,0,IF((O$6-$G$3)&lt;1,0,IFERROR(LOOKUP(2,1/(Aveia!$E44:INDEX(Aveia!$E44:$Z44,MIN(O$6-$G$3,22))&lt;&gt;""),Aveia!$E44:INDEX(Aveia!$E44:$Z44,MIN(O$6-$G$3,22))),0)))))</f>
        <v>0</v>
      </c>
      <c r="P46" s="27" t="n">
        <f aca="false">IF(COUNT(Aveia!$E44:$Z44)=0,0,MAX(0,IF((P$6-$E$3)&lt;1,0,IFERROR(LOOKUP(2,1/(Aveia!$E44:INDEX(Aveia!$E44:$Z44,MIN(P$6-$E$3,22))&lt;&gt;""),Aveia!$E44:INDEX(Aveia!$E44:$Z44,MIN(P$6-$E$3,22))),0))-IF($G$2,0,IF((P$6-$G$3)&lt;1,0,IFERROR(LOOKUP(2,1/(Aveia!$E44:INDEX(Aveia!$E44:$Z44,MIN(P$6-$G$3,22))&lt;&gt;""),Aveia!$E44:INDEX(Aveia!$E44:$Z44,MIN(P$6-$G$3,22))),0)))))</f>
        <v>0</v>
      </c>
      <c r="Q46" s="27" t="n">
        <f aca="false">IF(COUNT(Aveia!$E44:$Z44)=0,0,MAX(0,IF((Q$6-$E$3)&lt;1,0,IFERROR(LOOKUP(2,1/(Aveia!$E44:INDEX(Aveia!$E44:$Z44,MIN(Q$6-$E$3,22))&lt;&gt;""),Aveia!$E44:INDEX(Aveia!$E44:$Z44,MIN(Q$6-$E$3,22))),0))-IF($G$2,0,IF((Q$6-$G$3)&lt;1,0,IFERROR(LOOKUP(2,1/(Aveia!$E44:INDEX(Aveia!$E44:$Z44,MIN(Q$6-$G$3,22))&lt;&gt;""),Aveia!$E44:INDEX(Aveia!$E44:$Z44,MIN(Q$6-$G$3,22))),0)))))</f>
        <v>0</v>
      </c>
      <c r="R46" s="27" t="n">
        <f aca="false">IF(COUNT(Aveia!$E44:$Z44)=0,0,MAX(0,IF((R$6-$E$3)&lt;1,0,IFERROR(LOOKUP(2,1/(Aveia!$E44:INDEX(Aveia!$E44:$Z44,MIN(R$6-$E$3,22))&lt;&gt;""),Aveia!$E44:INDEX(Aveia!$E44:$Z44,MIN(R$6-$E$3,22))),0))-IF($G$2,0,IF((R$6-$G$3)&lt;1,0,IFERROR(LOOKUP(2,1/(Aveia!$E44:INDEX(Aveia!$E44:$Z44,MIN(R$6-$G$3,22))&lt;&gt;""),Aveia!$E44:INDEX(Aveia!$E44:$Z44,MIN(R$6-$G$3,22))),0)))))</f>
        <v>0</v>
      </c>
      <c r="S46" s="27" t="n">
        <f aca="false">IF(COUNT(Aveia!$E44:$Z44)=0,0,MAX(0,IF((S$6-$E$3)&lt;1,0,IFERROR(LOOKUP(2,1/(Aveia!$E44:INDEX(Aveia!$E44:$Z44,MIN(S$6-$E$3,22))&lt;&gt;""),Aveia!$E44:INDEX(Aveia!$E44:$Z44,MIN(S$6-$E$3,22))),0))-IF($G$2,0,IF((S$6-$G$3)&lt;1,0,IFERROR(LOOKUP(2,1/(Aveia!$E44:INDEX(Aveia!$E44:$Z44,MIN(S$6-$G$3,22))&lt;&gt;""),Aveia!$E44:INDEX(Aveia!$E44:$Z44,MIN(S$6-$G$3,22))),0)))))</f>
        <v>0</v>
      </c>
      <c r="T46" s="27" t="n">
        <f aca="false">IF(COUNT(Aveia!$E44:$Z44)=0,0,MAX(0,IF((T$6-$E$3)&lt;1,0,IFERROR(LOOKUP(2,1/(Aveia!$E44:INDEX(Aveia!$E44:$Z44,MIN(T$6-$E$3,22))&lt;&gt;""),Aveia!$E44:INDEX(Aveia!$E44:$Z44,MIN(T$6-$E$3,22))),0))-IF($G$2,0,IF((T$6-$G$3)&lt;1,0,IFERROR(LOOKUP(2,1/(Aveia!$E44:INDEX(Aveia!$E44:$Z44,MIN(T$6-$G$3,22))&lt;&gt;""),Aveia!$E44:INDEX(Aveia!$E44:$Z44,MIN(T$6-$G$3,22))),0)))))</f>
        <v>0</v>
      </c>
      <c r="U46" s="27" t="n">
        <f aca="false">IF(COUNT(Aveia!$E44:$Z44)=0,0,MAX(0,IF((U$6-$E$3)&lt;1,0,IFERROR(LOOKUP(2,1/(Aveia!$E44:INDEX(Aveia!$E44:$Z44,MIN(U$6-$E$3,22))&lt;&gt;""),Aveia!$E44:INDEX(Aveia!$E44:$Z44,MIN(U$6-$E$3,22))),0))-IF($G$2,0,IF((U$6-$G$3)&lt;1,0,IFERROR(LOOKUP(2,1/(Aveia!$E44:INDEX(Aveia!$E44:$Z44,MIN(U$6-$G$3,22))&lt;&gt;""),Aveia!$E44:INDEX(Aveia!$E44:$Z44,MIN(U$6-$G$3,22))),0)))))</f>
        <v>0</v>
      </c>
      <c r="V46" s="27" t="n">
        <f aca="false">IF(COUNT(Aveia!$E44:$Z44)=0,0,MAX(0,IF((V$6-$E$3)&lt;1,0,IFERROR(LOOKUP(2,1/(Aveia!$E44:INDEX(Aveia!$E44:$Z44,MIN(V$6-$E$3,22))&lt;&gt;""),Aveia!$E44:INDEX(Aveia!$E44:$Z44,MIN(V$6-$E$3,22))),0))-IF($G$2,0,IF((V$6-$G$3)&lt;1,0,IFERROR(LOOKUP(2,1/(Aveia!$E44:INDEX(Aveia!$E44:$Z44,MIN(V$6-$G$3,22))&lt;&gt;""),Aveia!$E44:INDEX(Aveia!$E44:$Z44,MIN(V$6-$G$3,22))),0)))))</f>
        <v>0</v>
      </c>
      <c r="W46" s="27" t="n">
        <f aca="false">IF(COUNT(Aveia!$E44:$Z44)=0,0,MAX(0,IF((W$6-$E$3)&lt;1,0,IFERROR(LOOKUP(2,1/(Aveia!$E44:INDEX(Aveia!$E44:$Z44,MIN(W$6-$E$3,22))&lt;&gt;""),Aveia!$E44:INDEX(Aveia!$E44:$Z44,MIN(W$6-$E$3,22))),0))-IF($G$2,0,IF((W$6-$G$3)&lt;1,0,IFERROR(LOOKUP(2,1/(Aveia!$E44:INDEX(Aveia!$E44:$Z44,MIN(W$6-$G$3,22))&lt;&gt;""),Aveia!$E44:INDEX(Aveia!$E44:$Z44,MIN(W$6-$G$3,22))),0)))))</f>
        <v>0</v>
      </c>
      <c r="X46" s="27" t="n">
        <f aca="false">IF(COUNT(Aveia!$E44:$Z44)=0,0,MAX(0,IF((X$6-$E$3)&lt;1,0,IFERROR(LOOKUP(2,1/(Aveia!$E44:INDEX(Aveia!$E44:$Z44,MIN(X$6-$E$3,22))&lt;&gt;""),Aveia!$E44:INDEX(Aveia!$E44:$Z44,MIN(X$6-$E$3,22))),0))-IF($G$2,0,IF((X$6-$G$3)&lt;1,0,IFERROR(LOOKUP(2,1/(Aveia!$E44:INDEX(Aveia!$E44:$Z44,MIN(X$6-$G$3,22))&lt;&gt;""),Aveia!$E44:INDEX(Aveia!$E44:$Z44,MIN(X$6-$G$3,22))),0)))))</f>
        <v>0</v>
      </c>
      <c r="Y46" s="27" t="n">
        <f aca="false">IF(COUNT(Aveia!$E44:$Z44)=0,0,MAX(0,IF((Y$6-$E$3)&lt;1,0,IFERROR(LOOKUP(2,1/(Aveia!$E44:INDEX(Aveia!$E44:$Z44,MIN(Y$6-$E$3,22))&lt;&gt;""),Aveia!$E44:INDEX(Aveia!$E44:$Z44,MIN(Y$6-$E$3,22))),0))-IF($G$2,0,IF((Y$6-$G$3)&lt;1,0,IFERROR(LOOKUP(2,1/(Aveia!$E44:INDEX(Aveia!$E44:$Z44,MIN(Y$6-$G$3,22))&lt;&gt;""),Aveia!$E44:INDEX(Aveia!$E44:$Z44,MIN(Y$6-$G$3,22))),0)))))</f>
        <v>0</v>
      </c>
      <c r="Z46" s="27" t="n">
        <f aca="false">IF(COUNT(Aveia!$E44:$Z44)=0,0,MAX(0,IF((Z$6-$E$3)&lt;1,0,IFERROR(LOOKUP(2,1/(Aveia!$E44:INDEX(Aveia!$E44:$Z44,MIN(Z$6-$E$3,22))&lt;&gt;""),Aveia!$E44:INDEX(Aveia!$E44:$Z44,MIN(Z$6-$E$3,22))),0))-IF($G$2,0,IF((Z$6-$G$3)&lt;1,0,IFERROR(LOOKUP(2,1/(Aveia!$E44:INDEX(Aveia!$E44:$Z44,MIN(Z$6-$G$3,22))&lt;&gt;""),Aveia!$E44:INDEX(Aveia!$E44:$Z44,MIN(Z$6-$G$3,22))),0)))))</f>
        <v>0</v>
      </c>
      <c r="AA46" s="27" t="n">
        <f aca="false">IF(COUNT(Aveia!$E44:$Z44)=0,0,MAX(0,IF((AA$6-$E$3)&lt;1,0,IFERROR(LOOKUP(2,1/(Aveia!$E44:INDEX(Aveia!$E44:$Z44,MIN(AA$6-$E$3,22))&lt;&gt;""),Aveia!$E44:INDEX(Aveia!$E44:$Z44,MIN(AA$6-$E$3,22))),0))-IF($G$2,0,IF((AA$6-$G$3)&lt;1,0,IFERROR(LOOKUP(2,1/(Aveia!$E44:INDEX(Aveia!$E44:$Z44,MIN(AA$6-$G$3,22))&lt;&gt;""),Aveia!$E44:INDEX(Aveia!$E44:$Z44,MIN(AA$6-$G$3,22))),0)))))</f>
        <v>0</v>
      </c>
      <c r="AB46" s="27" t="n">
        <f aca="false">IF(COUNT(Aveia!$E44:$Z44)=0,0,MAX(0,IF((AB$6-$E$3)&lt;1,0,IFERROR(LOOKUP(2,1/(Aveia!$E44:INDEX(Aveia!$E44:$Z44,MIN(AB$6-$E$3,22))&lt;&gt;""),Aveia!$E44:INDEX(Aveia!$E44:$Z44,MIN(AB$6-$E$3,22))),0))-IF($G$2,0,IF((AB$6-$G$3)&lt;1,0,IFERROR(LOOKUP(2,1/(Aveia!$E44:INDEX(Aveia!$E44:$Z44,MIN(AB$6-$G$3,22))&lt;&gt;""),Aveia!$E44:INDEX(Aveia!$E44:$Z44,MIN(AB$6-$G$3,22))),0)))))</f>
        <v>0</v>
      </c>
      <c r="AC46" s="27" t="n">
        <f aca="false">IF(COUNT(Aveia!$E44:$Z44)=0,0,MAX(0,IF((AC$6-$E$3)&lt;1,0,IFERROR(LOOKUP(2,1/(Aveia!$E44:INDEX(Aveia!$E44:$Z44,MIN(AC$6-$E$3,22))&lt;&gt;""),Aveia!$E44:INDEX(Aveia!$E44:$Z44,MIN(AC$6-$E$3,22))),0))-IF($G$2,0,IF((AC$6-$G$3)&lt;1,0,IFERROR(LOOKUP(2,1/(Aveia!$E44:INDEX(Aveia!$E44:$Z44,MIN(AC$6-$G$3,22))&lt;&gt;""),Aveia!$E44:INDEX(Aveia!$E44:$Z44,MIN(AC$6-$G$3,22))),0)))))</f>
        <v>0</v>
      </c>
      <c r="AD46" s="27" t="n">
        <f aca="false">IF(COUNT(Aveia!$E44:$Z44)=0,0,MAX(0,IF((AD$6-$E$3)&lt;1,0,IFERROR(LOOKUP(2,1/(Aveia!$E44:INDEX(Aveia!$E44:$Z44,MIN(AD$6-$E$3,22))&lt;&gt;""),Aveia!$E44:INDEX(Aveia!$E44:$Z44,MIN(AD$6-$E$3,22))),0))-IF($G$2,0,IF((AD$6-$G$3)&lt;1,0,IFERROR(LOOKUP(2,1/(Aveia!$E44:INDEX(Aveia!$E44:$Z44,MIN(AD$6-$G$3,22))&lt;&gt;""),Aveia!$E44:INDEX(Aveia!$E44:$Z44,MIN(AD$6-$G$3,22))),0)))))</f>
        <v>0</v>
      </c>
      <c r="AE46" s="27" t="n">
        <f aca="false">IF(COUNT(Aveia!$E44:$Z44)=0,0,MAX(0,IF((AE$6-$E$3)&lt;1,0,IFERROR(LOOKUP(2,1/(Aveia!$E44:INDEX(Aveia!$E44:$Z44,MIN(AE$6-$E$3,22))&lt;&gt;""),Aveia!$E44:INDEX(Aveia!$E44:$Z44,MIN(AE$6-$E$3,22))),0))-IF($G$2,0,IF((AE$6-$G$3)&lt;1,0,IFERROR(LOOKUP(2,1/(Aveia!$E44:INDEX(Aveia!$E44:$Z44,MIN(AE$6-$G$3,22))&lt;&gt;""),Aveia!$E44:INDEX(Aveia!$E44:$Z44,MIN(AE$6-$G$3,22))),0)))))</f>
        <v>0</v>
      </c>
      <c r="AF46" s="27" t="n">
        <f aca="false">IF(COUNT(Aveia!$E44:$Z44)=0,0,MAX(0,IF((AF$6-$E$3)&lt;1,0,IFERROR(LOOKUP(2,1/(Aveia!$E44:INDEX(Aveia!$E44:$Z44,MIN(AF$6-$E$3,22))&lt;&gt;""),Aveia!$E44:INDEX(Aveia!$E44:$Z44,MIN(AF$6-$E$3,22))),0))-IF($G$2,0,IF((AF$6-$G$3)&lt;1,0,IFERROR(LOOKUP(2,1/(Aveia!$E44:INDEX(Aveia!$E44:$Z44,MIN(AF$6-$G$3,22))&lt;&gt;""),Aveia!$E44:INDEX(Aveia!$E44:$Z44,MIN(AF$6-$G$3,22))),0)))))</f>
        <v>0</v>
      </c>
      <c r="AG46" s="27" t="n">
        <f aca="false">IF(COUNT(Aveia!$E44:$Z44)=0,0,MAX(0,IF((AG$6-$E$3)&lt;1,0,IFERROR(LOOKUP(2,1/(Aveia!$E44:INDEX(Aveia!$E44:$Z44,MIN(AG$6-$E$3,22))&lt;&gt;""),Aveia!$E44:INDEX(Aveia!$E44:$Z44,MIN(AG$6-$E$3,22))),0))-IF($G$2,0,IF((AG$6-$G$3)&lt;1,0,IFERROR(LOOKUP(2,1/(Aveia!$E44:INDEX(Aveia!$E44:$Z44,MIN(AG$6-$G$3,22))&lt;&gt;""),Aveia!$E44:INDEX(Aveia!$E44:$Z44,MIN(AG$6-$G$3,22))),0)))))</f>
        <v>0</v>
      </c>
      <c r="AH46" s="27" t="n">
        <f aca="false">IF(COUNT(Aveia!$E44:$Z44)=0,0,MAX(0,IF((AH$6-$E$3)&lt;1,0,IFERROR(LOOKUP(2,1/(Aveia!$E44:INDEX(Aveia!$E44:$Z44,MIN(AH$6-$E$3,22))&lt;&gt;""),Aveia!$E44:INDEX(Aveia!$E44:$Z44,MIN(AH$6-$E$3,22))),0))-IF($G$2,0,IF((AH$6-$G$3)&lt;1,0,IFERROR(LOOKUP(2,1/(Aveia!$E44:INDEX(Aveia!$E44:$Z44,MIN(AH$6-$G$3,22))&lt;&gt;""),Aveia!$E44:INDEX(Aveia!$E44:$Z44,MIN(AH$6-$G$3,22))),0)))))</f>
        <v>0</v>
      </c>
      <c r="AI46" s="27" t="n">
        <f aca="false">IF(COUNT(Aveia!$E44:$Z44)=0,0,MAX(0,IF((AI$6-$E$3)&lt;1,0,IFERROR(LOOKUP(2,1/(Aveia!$E44:INDEX(Aveia!$E44:$Z44,MIN(AI$6-$E$3,22))&lt;&gt;""),Aveia!$E44:INDEX(Aveia!$E44:$Z44,MIN(AI$6-$E$3,22))),0))-IF($G$2,0,IF((AI$6-$G$3)&lt;1,0,IFERROR(LOOKUP(2,1/(Aveia!$E44:INDEX(Aveia!$E44:$Z44,MIN(AI$6-$G$3,22))&lt;&gt;""),Aveia!$E44:INDEX(Aveia!$E44:$Z44,MIN(AI$6-$G$3,22))),0)))))</f>
        <v>0</v>
      </c>
      <c r="AJ46" s="27" t="n">
        <f aca="false">IF(COUNT(Aveia!$E44:$Z44)=0,0,MAX(0,IF((AJ$6-$E$3)&lt;1,0,IFERROR(LOOKUP(2,1/(Aveia!$E44:INDEX(Aveia!$E44:$Z44,MIN(AJ$6-$E$3,22))&lt;&gt;""),Aveia!$E44:INDEX(Aveia!$E44:$Z44,MIN(AJ$6-$E$3,22))),0))-IF($G$2,0,IF((AJ$6-$G$3)&lt;1,0,IFERROR(LOOKUP(2,1/(Aveia!$E44:INDEX(Aveia!$E44:$Z44,MIN(AJ$6-$G$3,22))&lt;&gt;""),Aveia!$E44:INDEX(Aveia!$E44:$Z44,MIN(AJ$6-$G$3,22))),0)))))</f>
        <v>0</v>
      </c>
      <c r="AK46" s="27" t="n">
        <f aca="false">IF(COUNT(Aveia!$E44:$Z44)=0,0,MAX(0,IF((AK$6-$E$3)&lt;1,0,IFERROR(LOOKUP(2,1/(Aveia!$E44:INDEX(Aveia!$E44:$Z44,MIN(AK$6-$E$3,22))&lt;&gt;""),Aveia!$E44:INDEX(Aveia!$E44:$Z44,MIN(AK$6-$E$3,22))),0))-IF($G$2,0,IF((AK$6-$G$3)&lt;1,0,IFERROR(LOOKUP(2,1/(Aveia!$E44:INDEX(Aveia!$E44:$Z44,MIN(AK$6-$G$3,22))&lt;&gt;""),Aveia!$E44:INDEX(Aveia!$E44:$Z44,MIN(AK$6-$G$3,22))),0)))))</f>
        <v>0</v>
      </c>
      <c r="AL46" s="27" t="n">
        <f aca="false">IF(COUNT(Aveia!$E44:$Z44)=0,0,MAX(0,IF((AL$6-$E$3)&lt;1,0,IFERROR(LOOKUP(2,1/(Aveia!$E44:INDEX(Aveia!$E44:$Z44,MIN(AL$6-$E$3,22))&lt;&gt;""),Aveia!$E44:INDEX(Aveia!$E44:$Z44,MIN(AL$6-$E$3,22))),0))-IF($G$2,0,IF((AL$6-$G$3)&lt;1,0,IFERROR(LOOKUP(2,1/(Aveia!$E44:INDEX(Aveia!$E44:$Z44,MIN(AL$6-$G$3,22))&lt;&gt;""),Aveia!$E44:INDEX(Aveia!$E44:$Z44,MIN(AL$6-$G$3,22))),0)))))</f>
        <v>0</v>
      </c>
      <c r="AM46" s="27" t="n">
        <f aca="false">IF(COUNT(Aveia!$E44:$Z44)=0,0,MAX(0,IF((AM$6-$E$3)&lt;1,0,IFERROR(LOOKUP(2,1/(Aveia!$E44:INDEX(Aveia!$E44:$Z44,MIN(AM$6-$E$3,22))&lt;&gt;""),Aveia!$E44:INDEX(Aveia!$E44:$Z44,MIN(AM$6-$E$3,22))),0))-IF($G$2,0,IF((AM$6-$G$3)&lt;1,0,IFERROR(LOOKUP(2,1/(Aveia!$E44:INDEX(Aveia!$E44:$Z44,MIN(AM$6-$G$3,22))&lt;&gt;""),Aveia!$E44:INDEX(Aveia!$E44:$Z44,MIN(AM$6-$G$3,22))),0)))))</f>
        <v>0</v>
      </c>
      <c r="AN46" s="27" t="n">
        <f aca="false">IF(COUNT(Aveia!$E44:$Z44)=0,0,MAX(0,IF((AN$6-$E$3)&lt;1,0,IFERROR(LOOKUP(2,1/(Aveia!$E44:INDEX(Aveia!$E44:$Z44,MIN(AN$6-$E$3,22))&lt;&gt;""),Aveia!$E44:INDEX(Aveia!$E44:$Z44,MIN(AN$6-$E$3,22))),0))-IF($G$2,0,IF((AN$6-$G$3)&lt;1,0,IFERROR(LOOKUP(2,1/(Aveia!$E44:INDEX(Aveia!$E44:$Z44,MIN(AN$6-$G$3,22))&lt;&gt;""),Aveia!$E44:INDEX(Aveia!$E44:$Z44,MIN(AN$6-$G$3,22))),0)))))</f>
        <v>0</v>
      </c>
      <c r="AO46" s="27" t="n">
        <f aca="false">IF(COUNT(Aveia!$E44:$Z44)=0,0,MAX(0,IF((AO$6-$E$3)&lt;1,0,IFERROR(LOOKUP(2,1/(Aveia!$E44:INDEX(Aveia!$E44:$Z44,MIN(AO$6-$E$3,22))&lt;&gt;""),Aveia!$E44:INDEX(Aveia!$E44:$Z44,MIN(AO$6-$E$3,22))),0))-IF($G$2,0,IF((AO$6-$G$3)&lt;1,0,IFERROR(LOOKUP(2,1/(Aveia!$E44:INDEX(Aveia!$E44:$Z44,MIN(AO$6-$G$3,22))&lt;&gt;""),Aveia!$E44:INDEX(Aveia!$E44:$Z44,MIN(AO$6-$G$3,22))),0)))))</f>
        <v>0</v>
      </c>
      <c r="AP46" s="27" t="n">
        <f aca="false">IF(COUNT(Aveia!$E44:$Z44)=0,0,MAX(0,IF((AP$6-$E$3)&lt;1,0,IFERROR(LOOKUP(2,1/(Aveia!$E44:INDEX(Aveia!$E44:$Z44,MIN(AP$6-$E$3,22))&lt;&gt;""),Aveia!$E44:INDEX(Aveia!$E44:$Z44,MIN(AP$6-$E$3,22))),0))-IF($G$2,0,IF((AP$6-$G$3)&lt;1,0,IFERROR(LOOKUP(2,1/(Aveia!$E44:INDEX(Aveia!$E44:$Z44,MIN(AP$6-$G$3,22))&lt;&gt;""),Aveia!$E44:INDEX(Aveia!$E44:$Z44,MIN(AP$6-$G$3,22))),0)))))</f>
        <v>0</v>
      </c>
      <c r="AQ46" s="27" t="n">
        <f aca="false">IF(COUNT(Aveia!$E44:$Z44)=0,0,MAX(0,IF((AQ$6-$E$3)&lt;1,0,IFERROR(LOOKUP(2,1/(Aveia!$E44:INDEX(Aveia!$E44:$Z44,MIN(AQ$6-$E$3,22))&lt;&gt;""),Aveia!$E44:INDEX(Aveia!$E44:$Z44,MIN(AQ$6-$E$3,22))),0))-IF($G$2,0,IF((AQ$6-$G$3)&lt;1,0,IFERROR(LOOKUP(2,1/(Aveia!$E44:INDEX(Aveia!$E44:$Z44,MIN(AQ$6-$G$3,22))&lt;&gt;""),Aveia!$E44:INDEX(Aveia!$E44:$Z44,MIN(AQ$6-$G$3,22))),0)))))</f>
        <v>0</v>
      </c>
      <c r="AR46" s="27" t="n">
        <f aca="false">IF(COUNT(Aveia!$E44:$Z44)=0,0,MAX(0,IF((AR$6-$E$3)&lt;1,0,IFERROR(LOOKUP(2,1/(Aveia!$E44:INDEX(Aveia!$E44:$Z44,MIN(AR$6-$E$3,22))&lt;&gt;""),Aveia!$E44:INDEX(Aveia!$E44:$Z44,MIN(AR$6-$E$3,22))),0))-IF($G$2,0,IF((AR$6-$G$3)&lt;1,0,IFERROR(LOOKUP(2,1/(Aveia!$E44:INDEX(Aveia!$E44:$Z44,MIN(AR$6-$G$3,22))&lt;&gt;""),Aveia!$E44:INDEX(Aveia!$E44:$Z44,MIN(AR$6-$G$3,22))),0)))))</f>
        <v>0</v>
      </c>
      <c r="AS46" s="27" t="n">
        <f aca="false">IF(COUNT(Aveia!$E44:$Z44)=0,0,MAX(0,IF((AS$6-$E$3)&lt;1,0,IFERROR(LOOKUP(2,1/(Aveia!$E44:INDEX(Aveia!$E44:$Z44,MIN(AS$6-$E$3,22))&lt;&gt;""),Aveia!$E44:INDEX(Aveia!$E44:$Z44,MIN(AS$6-$E$3,22))),0))-IF($G$2,0,IF((AS$6-$G$3)&lt;1,0,IFERROR(LOOKUP(2,1/(Aveia!$E44:INDEX(Aveia!$E44:$Z44,MIN(AS$6-$G$3,22))&lt;&gt;""),Aveia!$E44:INDEX(Aveia!$E44:$Z44,MIN(AS$6-$G$3,22))),0)))))</f>
        <v>0</v>
      </c>
      <c r="AT46" s="27" t="n">
        <f aca="false">IF(COUNT(Aveia!$E44:$Z44)=0,0,MAX(0,IF((AT$6-$E$3)&lt;1,0,IFERROR(LOOKUP(2,1/(Aveia!$E44:INDEX(Aveia!$E44:$Z44,MIN(AT$6-$E$3,22))&lt;&gt;""),Aveia!$E44:INDEX(Aveia!$E44:$Z44,MIN(AT$6-$E$3,22))),0))-IF($G$2,0,IF((AT$6-$G$3)&lt;1,0,IFERROR(LOOKUP(2,1/(Aveia!$E44:INDEX(Aveia!$E44:$Z44,MIN(AT$6-$G$3,22))&lt;&gt;""),Aveia!$E44:INDEX(Aveia!$E44:$Z44,MIN(AT$6-$G$3,22))),0)))))</f>
        <v>0</v>
      </c>
      <c r="AU46" s="27" t="n">
        <f aca="false">IF(COUNT(Aveia!$E44:$Z44)=0,0,MAX(0,IF((AU$6-$E$3)&lt;1,0,IFERROR(LOOKUP(2,1/(Aveia!$E44:INDEX(Aveia!$E44:$Z44,MIN(AU$6-$E$3,22))&lt;&gt;""),Aveia!$E44:INDEX(Aveia!$E44:$Z44,MIN(AU$6-$E$3,22))),0))-IF($G$2,0,IF((AU$6-$G$3)&lt;1,0,IFERROR(LOOKUP(2,1/(Aveia!$E44:INDEX(Aveia!$E44:$Z44,MIN(AU$6-$G$3,22))&lt;&gt;""),Aveia!$E44:INDEX(Aveia!$E44:$Z44,MIN(AU$6-$G$3,22))),0)))))</f>
        <v>0</v>
      </c>
      <c r="AV46" s="27" t="n">
        <f aca="false">IF(COUNT(Aveia!$E44:$Z44)=0,0,MAX(0,IF((AV$6-$E$3)&lt;1,0,IFERROR(LOOKUP(2,1/(Aveia!$E44:INDEX(Aveia!$E44:$Z44,MIN(AV$6-$E$3,22))&lt;&gt;""),Aveia!$E44:INDEX(Aveia!$E44:$Z44,MIN(AV$6-$E$3,22))),0))-IF($G$2,0,IF((AV$6-$G$3)&lt;1,0,IFERROR(LOOKUP(2,1/(Aveia!$E44:INDEX(Aveia!$E44:$Z44,MIN(AV$6-$G$3,22))&lt;&gt;""),Aveia!$E44:INDEX(Aveia!$E44:$Z44,MIN(AV$6-$G$3,22))),0)))))</f>
        <v>0</v>
      </c>
      <c r="AW46" s="27" t="n">
        <f aca="false">IF(COUNT(Aveia!$E44:$Z44)=0,0,MAX(0,IF((AW$6-$E$3)&lt;1,0,IFERROR(LOOKUP(2,1/(Aveia!$E44:INDEX(Aveia!$E44:$Z44,MIN(AW$6-$E$3,22))&lt;&gt;""),Aveia!$E44:INDEX(Aveia!$E44:$Z44,MIN(AW$6-$E$3,22))),0))-IF($G$2,0,IF((AW$6-$G$3)&lt;1,0,IFERROR(LOOKUP(2,1/(Aveia!$E44:INDEX(Aveia!$E44:$Z44,MIN(AW$6-$G$3,22))&lt;&gt;""),Aveia!$E44:INDEX(Aveia!$E44:$Z44,MIN(AW$6-$G$3,22))),0)))))</f>
        <v>0</v>
      </c>
      <c r="AX46" s="27" t="n">
        <f aca="false">IF(COUNT(Aveia!$E44:$Z44)=0,0,MAX(0,IF((AX$6-$E$3)&lt;1,0,IFERROR(LOOKUP(2,1/(Aveia!$E44:INDEX(Aveia!$E44:$Z44,MIN(AX$6-$E$3,22))&lt;&gt;""),Aveia!$E44:INDEX(Aveia!$E44:$Z44,MIN(AX$6-$E$3,22))),0))-IF($G$2,0,IF((AX$6-$G$3)&lt;1,0,IFERROR(LOOKUP(2,1/(Aveia!$E44:INDEX(Aveia!$E44:$Z44,MIN(AX$6-$G$3,22))&lt;&gt;""),Aveia!$E44:INDEX(Aveia!$E44:$Z44,MIN(AX$6-$G$3,22))),0)))))</f>
        <v>0</v>
      </c>
      <c r="AY46" s="27" t="n">
        <f aca="false">IF(COUNT(Aveia!$E44:$Z44)=0,0,MAX(0,IF((AY$6-$E$3)&lt;1,0,IFERROR(LOOKUP(2,1/(Aveia!$E44:INDEX(Aveia!$E44:$Z44,MIN(AY$6-$E$3,22))&lt;&gt;""),Aveia!$E44:INDEX(Aveia!$E44:$Z44,MIN(AY$6-$E$3,22))),0))-IF($G$2,0,IF((AY$6-$G$3)&lt;1,0,IFERROR(LOOKUP(2,1/(Aveia!$E44:INDEX(Aveia!$E44:$Z44,MIN(AY$6-$G$3,22))&lt;&gt;""),Aveia!$E44:INDEX(Aveia!$E44:$Z44,MIN(AY$6-$G$3,22))),0)))))</f>
        <v>0</v>
      </c>
      <c r="AZ46" s="27" t="n">
        <f aca="false">IF(COUNT(Aveia!$E44:$Z44)=0,0,MAX(0,IF((AZ$6-$E$3)&lt;1,0,IFERROR(LOOKUP(2,1/(Aveia!$E44:INDEX(Aveia!$E44:$Z44,MIN(AZ$6-$E$3,22))&lt;&gt;""),Aveia!$E44:INDEX(Aveia!$E44:$Z44,MIN(AZ$6-$E$3,22))),0))-IF($G$2,0,IF((AZ$6-$G$3)&lt;1,0,IFERROR(LOOKUP(2,1/(Aveia!$E44:INDEX(Aveia!$E44:$Z44,MIN(AZ$6-$G$3,22))&lt;&gt;""),Aveia!$E44:INDEX(Aveia!$E44:$Z44,MIN(AZ$6-$G$3,22))),0)))))</f>
        <v>0</v>
      </c>
    </row>
    <row r="47" customFormat="false" ht="15" hidden="false" customHeight="false" outlineLevel="0" collapsed="false">
      <c r="A47" s="3" t="s">
        <v>215</v>
      </c>
      <c r="B47" s="3" t="s">
        <v>216</v>
      </c>
      <c r="C47" s="10" t="s">
        <v>200</v>
      </c>
      <c r="D47" s="26" t="n">
        <f aca="false">IF(COUNT(Aveia!$E45:$Z45)&gt;0,N(Aveia!$D45),0)</f>
        <v>0</v>
      </c>
      <c r="E47" s="27" t="n">
        <f aca="false">IF(COUNT(Aveia!$E45:$Z45)=0,0,MAX(0,IF((E$6-$E$3)&lt;1,0,IFERROR(LOOKUP(2,1/(Aveia!$E45:INDEX(Aveia!$E45:$Z45,MIN(E$6-$E$3,22))&lt;&gt;""),Aveia!$E45:INDEX(Aveia!$E45:$Z45,MIN(E$6-$E$3,22))),0))-IF($G$2,0,IF((E$6-$G$3)&lt;1,0,IFERROR(LOOKUP(2,1/(Aveia!$E45:INDEX(Aveia!$E45:$Z45,MIN(E$6-$G$3,22))&lt;&gt;""),Aveia!$E45:INDEX(Aveia!$E45:$Z45,MIN(E$6-$G$3,22))),0)))))</f>
        <v>0</v>
      </c>
      <c r="F47" s="27" t="n">
        <f aca="false">IF(COUNT(Aveia!$E45:$Z45)=0,0,MAX(0,IF((F$6-$E$3)&lt;1,0,IFERROR(LOOKUP(2,1/(Aveia!$E45:INDEX(Aveia!$E45:$Z45,MIN(F$6-$E$3,22))&lt;&gt;""),Aveia!$E45:INDEX(Aveia!$E45:$Z45,MIN(F$6-$E$3,22))),0))-IF($G$2,0,IF((F$6-$G$3)&lt;1,0,IFERROR(LOOKUP(2,1/(Aveia!$E45:INDEX(Aveia!$E45:$Z45,MIN(F$6-$G$3,22))&lt;&gt;""),Aveia!$E45:INDEX(Aveia!$E45:$Z45,MIN(F$6-$G$3,22))),0)))))</f>
        <v>0</v>
      </c>
      <c r="G47" s="27" t="n">
        <f aca="false">IF(COUNT(Aveia!$E45:$Z45)=0,0,MAX(0,IF((G$6-$E$3)&lt;1,0,IFERROR(LOOKUP(2,1/(Aveia!$E45:INDEX(Aveia!$E45:$Z45,MIN(G$6-$E$3,22))&lt;&gt;""),Aveia!$E45:INDEX(Aveia!$E45:$Z45,MIN(G$6-$E$3,22))),0))-IF($G$2,0,IF((G$6-$G$3)&lt;1,0,IFERROR(LOOKUP(2,1/(Aveia!$E45:INDEX(Aveia!$E45:$Z45,MIN(G$6-$G$3,22))&lt;&gt;""),Aveia!$E45:INDEX(Aveia!$E45:$Z45,MIN(G$6-$G$3,22))),0)))))</f>
        <v>0</v>
      </c>
      <c r="H47" s="27" t="n">
        <f aca="false">IF(COUNT(Aveia!$E45:$Z45)=0,0,MAX(0,IF((H$6-$E$3)&lt;1,0,IFERROR(LOOKUP(2,1/(Aveia!$E45:INDEX(Aveia!$E45:$Z45,MIN(H$6-$E$3,22))&lt;&gt;""),Aveia!$E45:INDEX(Aveia!$E45:$Z45,MIN(H$6-$E$3,22))),0))-IF($G$2,0,IF((H$6-$G$3)&lt;1,0,IFERROR(LOOKUP(2,1/(Aveia!$E45:INDEX(Aveia!$E45:$Z45,MIN(H$6-$G$3,22))&lt;&gt;""),Aveia!$E45:INDEX(Aveia!$E45:$Z45,MIN(H$6-$G$3,22))),0)))))</f>
        <v>0</v>
      </c>
      <c r="I47" s="27" t="n">
        <f aca="false">IF(COUNT(Aveia!$E45:$Z45)=0,0,MAX(0,IF((I$6-$E$3)&lt;1,0,IFERROR(LOOKUP(2,1/(Aveia!$E45:INDEX(Aveia!$E45:$Z45,MIN(I$6-$E$3,22))&lt;&gt;""),Aveia!$E45:INDEX(Aveia!$E45:$Z45,MIN(I$6-$E$3,22))),0))-IF($G$2,0,IF((I$6-$G$3)&lt;1,0,IFERROR(LOOKUP(2,1/(Aveia!$E45:INDEX(Aveia!$E45:$Z45,MIN(I$6-$G$3,22))&lt;&gt;""),Aveia!$E45:INDEX(Aveia!$E45:$Z45,MIN(I$6-$G$3,22))),0)))))</f>
        <v>0</v>
      </c>
      <c r="J47" s="27" t="n">
        <f aca="false">IF(COUNT(Aveia!$E45:$Z45)=0,0,MAX(0,IF((J$6-$E$3)&lt;1,0,IFERROR(LOOKUP(2,1/(Aveia!$E45:INDEX(Aveia!$E45:$Z45,MIN(J$6-$E$3,22))&lt;&gt;""),Aveia!$E45:INDEX(Aveia!$E45:$Z45,MIN(J$6-$E$3,22))),0))-IF($G$2,0,IF((J$6-$G$3)&lt;1,0,IFERROR(LOOKUP(2,1/(Aveia!$E45:INDEX(Aveia!$E45:$Z45,MIN(J$6-$G$3,22))&lt;&gt;""),Aveia!$E45:INDEX(Aveia!$E45:$Z45,MIN(J$6-$G$3,22))),0)))))</f>
        <v>0</v>
      </c>
      <c r="K47" s="27" t="n">
        <f aca="false">IF(COUNT(Aveia!$E45:$Z45)=0,0,MAX(0,IF((K$6-$E$3)&lt;1,0,IFERROR(LOOKUP(2,1/(Aveia!$E45:INDEX(Aveia!$E45:$Z45,MIN(K$6-$E$3,22))&lt;&gt;""),Aveia!$E45:INDEX(Aveia!$E45:$Z45,MIN(K$6-$E$3,22))),0))-IF($G$2,0,IF((K$6-$G$3)&lt;1,0,IFERROR(LOOKUP(2,1/(Aveia!$E45:INDEX(Aveia!$E45:$Z45,MIN(K$6-$G$3,22))&lt;&gt;""),Aveia!$E45:INDEX(Aveia!$E45:$Z45,MIN(K$6-$G$3,22))),0)))))</f>
        <v>0</v>
      </c>
      <c r="L47" s="27" t="n">
        <f aca="false">IF(COUNT(Aveia!$E45:$Z45)=0,0,MAX(0,IF((L$6-$E$3)&lt;1,0,IFERROR(LOOKUP(2,1/(Aveia!$E45:INDEX(Aveia!$E45:$Z45,MIN(L$6-$E$3,22))&lt;&gt;""),Aveia!$E45:INDEX(Aveia!$E45:$Z45,MIN(L$6-$E$3,22))),0))-IF($G$2,0,IF((L$6-$G$3)&lt;1,0,IFERROR(LOOKUP(2,1/(Aveia!$E45:INDEX(Aveia!$E45:$Z45,MIN(L$6-$G$3,22))&lt;&gt;""),Aveia!$E45:INDEX(Aveia!$E45:$Z45,MIN(L$6-$G$3,22))),0)))))</f>
        <v>0</v>
      </c>
      <c r="M47" s="27" t="n">
        <f aca="false">IF(COUNT(Aveia!$E45:$Z45)=0,0,MAX(0,IF((M$6-$E$3)&lt;1,0,IFERROR(LOOKUP(2,1/(Aveia!$E45:INDEX(Aveia!$E45:$Z45,MIN(M$6-$E$3,22))&lt;&gt;""),Aveia!$E45:INDEX(Aveia!$E45:$Z45,MIN(M$6-$E$3,22))),0))-IF($G$2,0,IF((M$6-$G$3)&lt;1,0,IFERROR(LOOKUP(2,1/(Aveia!$E45:INDEX(Aveia!$E45:$Z45,MIN(M$6-$G$3,22))&lt;&gt;""),Aveia!$E45:INDEX(Aveia!$E45:$Z45,MIN(M$6-$G$3,22))),0)))))</f>
        <v>0</v>
      </c>
      <c r="N47" s="27" t="n">
        <f aca="false">IF(COUNT(Aveia!$E45:$Z45)=0,0,MAX(0,IF((N$6-$E$3)&lt;1,0,IFERROR(LOOKUP(2,1/(Aveia!$E45:INDEX(Aveia!$E45:$Z45,MIN(N$6-$E$3,22))&lt;&gt;""),Aveia!$E45:INDEX(Aveia!$E45:$Z45,MIN(N$6-$E$3,22))),0))-IF($G$2,0,IF((N$6-$G$3)&lt;1,0,IFERROR(LOOKUP(2,1/(Aveia!$E45:INDEX(Aveia!$E45:$Z45,MIN(N$6-$G$3,22))&lt;&gt;""),Aveia!$E45:INDEX(Aveia!$E45:$Z45,MIN(N$6-$G$3,22))),0)))))</f>
        <v>0</v>
      </c>
      <c r="O47" s="27" t="n">
        <f aca="false">IF(COUNT(Aveia!$E45:$Z45)=0,0,MAX(0,IF((O$6-$E$3)&lt;1,0,IFERROR(LOOKUP(2,1/(Aveia!$E45:INDEX(Aveia!$E45:$Z45,MIN(O$6-$E$3,22))&lt;&gt;""),Aveia!$E45:INDEX(Aveia!$E45:$Z45,MIN(O$6-$E$3,22))),0))-IF($G$2,0,IF((O$6-$G$3)&lt;1,0,IFERROR(LOOKUP(2,1/(Aveia!$E45:INDEX(Aveia!$E45:$Z45,MIN(O$6-$G$3,22))&lt;&gt;""),Aveia!$E45:INDEX(Aveia!$E45:$Z45,MIN(O$6-$G$3,22))),0)))))</f>
        <v>0</v>
      </c>
      <c r="P47" s="27" t="n">
        <f aca="false">IF(COUNT(Aveia!$E45:$Z45)=0,0,MAX(0,IF((P$6-$E$3)&lt;1,0,IFERROR(LOOKUP(2,1/(Aveia!$E45:INDEX(Aveia!$E45:$Z45,MIN(P$6-$E$3,22))&lt;&gt;""),Aveia!$E45:INDEX(Aveia!$E45:$Z45,MIN(P$6-$E$3,22))),0))-IF($G$2,0,IF((P$6-$G$3)&lt;1,0,IFERROR(LOOKUP(2,1/(Aveia!$E45:INDEX(Aveia!$E45:$Z45,MIN(P$6-$G$3,22))&lt;&gt;""),Aveia!$E45:INDEX(Aveia!$E45:$Z45,MIN(P$6-$G$3,22))),0)))))</f>
        <v>0</v>
      </c>
      <c r="Q47" s="27" t="n">
        <f aca="false">IF(COUNT(Aveia!$E45:$Z45)=0,0,MAX(0,IF((Q$6-$E$3)&lt;1,0,IFERROR(LOOKUP(2,1/(Aveia!$E45:INDEX(Aveia!$E45:$Z45,MIN(Q$6-$E$3,22))&lt;&gt;""),Aveia!$E45:INDEX(Aveia!$E45:$Z45,MIN(Q$6-$E$3,22))),0))-IF($G$2,0,IF((Q$6-$G$3)&lt;1,0,IFERROR(LOOKUP(2,1/(Aveia!$E45:INDEX(Aveia!$E45:$Z45,MIN(Q$6-$G$3,22))&lt;&gt;""),Aveia!$E45:INDEX(Aveia!$E45:$Z45,MIN(Q$6-$G$3,22))),0)))))</f>
        <v>0</v>
      </c>
      <c r="R47" s="27" t="n">
        <f aca="false">IF(COUNT(Aveia!$E45:$Z45)=0,0,MAX(0,IF((R$6-$E$3)&lt;1,0,IFERROR(LOOKUP(2,1/(Aveia!$E45:INDEX(Aveia!$E45:$Z45,MIN(R$6-$E$3,22))&lt;&gt;""),Aveia!$E45:INDEX(Aveia!$E45:$Z45,MIN(R$6-$E$3,22))),0))-IF($G$2,0,IF((R$6-$G$3)&lt;1,0,IFERROR(LOOKUP(2,1/(Aveia!$E45:INDEX(Aveia!$E45:$Z45,MIN(R$6-$G$3,22))&lt;&gt;""),Aveia!$E45:INDEX(Aveia!$E45:$Z45,MIN(R$6-$G$3,22))),0)))))</f>
        <v>0</v>
      </c>
      <c r="S47" s="27" t="n">
        <f aca="false">IF(COUNT(Aveia!$E45:$Z45)=0,0,MAX(0,IF((S$6-$E$3)&lt;1,0,IFERROR(LOOKUP(2,1/(Aveia!$E45:INDEX(Aveia!$E45:$Z45,MIN(S$6-$E$3,22))&lt;&gt;""),Aveia!$E45:INDEX(Aveia!$E45:$Z45,MIN(S$6-$E$3,22))),0))-IF($G$2,0,IF((S$6-$G$3)&lt;1,0,IFERROR(LOOKUP(2,1/(Aveia!$E45:INDEX(Aveia!$E45:$Z45,MIN(S$6-$G$3,22))&lt;&gt;""),Aveia!$E45:INDEX(Aveia!$E45:$Z45,MIN(S$6-$G$3,22))),0)))))</f>
        <v>0</v>
      </c>
      <c r="T47" s="27" t="n">
        <f aca="false">IF(COUNT(Aveia!$E45:$Z45)=0,0,MAX(0,IF((T$6-$E$3)&lt;1,0,IFERROR(LOOKUP(2,1/(Aveia!$E45:INDEX(Aveia!$E45:$Z45,MIN(T$6-$E$3,22))&lt;&gt;""),Aveia!$E45:INDEX(Aveia!$E45:$Z45,MIN(T$6-$E$3,22))),0))-IF($G$2,0,IF((T$6-$G$3)&lt;1,0,IFERROR(LOOKUP(2,1/(Aveia!$E45:INDEX(Aveia!$E45:$Z45,MIN(T$6-$G$3,22))&lt;&gt;""),Aveia!$E45:INDEX(Aveia!$E45:$Z45,MIN(T$6-$G$3,22))),0)))))</f>
        <v>0</v>
      </c>
      <c r="U47" s="27" t="n">
        <f aca="false">IF(COUNT(Aveia!$E45:$Z45)=0,0,MAX(0,IF((U$6-$E$3)&lt;1,0,IFERROR(LOOKUP(2,1/(Aveia!$E45:INDEX(Aveia!$E45:$Z45,MIN(U$6-$E$3,22))&lt;&gt;""),Aveia!$E45:INDEX(Aveia!$E45:$Z45,MIN(U$6-$E$3,22))),0))-IF($G$2,0,IF((U$6-$G$3)&lt;1,0,IFERROR(LOOKUP(2,1/(Aveia!$E45:INDEX(Aveia!$E45:$Z45,MIN(U$6-$G$3,22))&lt;&gt;""),Aveia!$E45:INDEX(Aveia!$E45:$Z45,MIN(U$6-$G$3,22))),0)))))</f>
        <v>0</v>
      </c>
      <c r="V47" s="27" t="n">
        <f aca="false">IF(COUNT(Aveia!$E45:$Z45)=0,0,MAX(0,IF((V$6-$E$3)&lt;1,0,IFERROR(LOOKUP(2,1/(Aveia!$E45:INDEX(Aveia!$E45:$Z45,MIN(V$6-$E$3,22))&lt;&gt;""),Aveia!$E45:INDEX(Aveia!$E45:$Z45,MIN(V$6-$E$3,22))),0))-IF($G$2,0,IF((V$6-$G$3)&lt;1,0,IFERROR(LOOKUP(2,1/(Aveia!$E45:INDEX(Aveia!$E45:$Z45,MIN(V$6-$G$3,22))&lt;&gt;""),Aveia!$E45:INDEX(Aveia!$E45:$Z45,MIN(V$6-$G$3,22))),0)))))</f>
        <v>0</v>
      </c>
      <c r="W47" s="27" t="n">
        <f aca="false">IF(COUNT(Aveia!$E45:$Z45)=0,0,MAX(0,IF((W$6-$E$3)&lt;1,0,IFERROR(LOOKUP(2,1/(Aveia!$E45:INDEX(Aveia!$E45:$Z45,MIN(W$6-$E$3,22))&lt;&gt;""),Aveia!$E45:INDEX(Aveia!$E45:$Z45,MIN(W$6-$E$3,22))),0))-IF($G$2,0,IF((W$6-$G$3)&lt;1,0,IFERROR(LOOKUP(2,1/(Aveia!$E45:INDEX(Aveia!$E45:$Z45,MIN(W$6-$G$3,22))&lt;&gt;""),Aveia!$E45:INDEX(Aveia!$E45:$Z45,MIN(W$6-$G$3,22))),0)))))</f>
        <v>0</v>
      </c>
      <c r="X47" s="27" t="n">
        <f aca="false">IF(COUNT(Aveia!$E45:$Z45)=0,0,MAX(0,IF((X$6-$E$3)&lt;1,0,IFERROR(LOOKUP(2,1/(Aveia!$E45:INDEX(Aveia!$E45:$Z45,MIN(X$6-$E$3,22))&lt;&gt;""),Aveia!$E45:INDEX(Aveia!$E45:$Z45,MIN(X$6-$E$3,22))),0))-IF($G$2,0,IF((X$6-$G$3)&lt;1,0,IFERROR(LOOKUP(2,1/(Aveia!$E45:INDEX(Aveia!$E45:$Z45,MIN(X$6-$G$3,22))&lt;&gt;""),Aveia!$E45:INDEX(Aveia!$E45:$Z45,MIN(X$6-$G$3,22))),0)))))</f>
        <v>0</v>
      </c>
      <c r="Y47" s="27" t="n">
        <f aca="false">IF(COUNT(Aveia!$E45:$Z45)=0,0,MAX(0,IF((Y$6-$E$3)&lt;1,0,IFERROR(LOOKUP(2,1/(Aveia!$E45:INDEX(Aveia!$E45:$Z45,MIN(Y$6-$E$3,22))&lt;&gt;""),Aveia!$E45:INDEX(Aveia!$E45:$Z45,MIN(Y$6-$E$3,22))),0))-IF($G$2,0,IF((Y$6-$G$3)&lt;1,0,IFERROR(LOOKUP(2,1/(Aveia!$E45:INDEX(Aveia!$E45:$Z45,MIN(Y$6-$G$3,22))&lt;&gt;""),Aveia!$E45:INDEX(Aveia!$E45:$Z45,MIN(Y$6-$G$3,22))),0)))))</f>
        <v>0</v>
      </c>
      <c r="Z47" s="27" t="n">
        <f aca="false">IF(COUNT(Aveia!$E45:$Z45)=0,0,MAX(0,IF((Z$6-$E$3)&lt;1,0,IFERROR(LOOKUP(2,1/(Aveia!$E45:INDEX(Aveia!$E45:$Z45,MIN(Z$6-$E$3,22))&lt;&gt;""),Aveia!$E45:INDEX(Aveia!$E45:$Z45,MIN(Z$6-$E$3,22))),0))-IF($G$2,0,IF((Z$6-$G$3)&lt;1,0,IFERROR(LOOKUP(2,1/(Aveia!$E45:INDEX(Aveia!$E45:$Z45,MIN(Z$6-$G$3,22))&lt;&gt;""),Aveia!$E45:INDEX(Aveia!$E45:$Z45,MIN(Z$6-$G$3,22))),0)))))</f>
        <v>0</v>
      </c>
      <c r="AA47" s="27" t="n">
        <f aca="false">IF(COUNT(Aveia!$E45:$Z45)=0,0,MAX(0,IF((AA$6-$E$3)&lt;1,0,IFERROR(LOOKUP(2,1/(Aveia!$E45:INDEX(Aveia!$E45:$Z45,MIN(AA$6-$E$3,22))&lt;&gt;""),Aveia!$E45:INDEX(Aveia!$E45:$Z45,MIN(AA$6-$E$3,22))),0))-IF($G$2,0,IF((AA$6-$G$3)&lt;1,0,IFERROR(LOOKUP(2,1/(Aveia!$E45:INDEX(Aveia!$E45:$Z45,MIN(AA$6-$G$3,22))&lt;&gt;""),Aveia!$E45:INDEX(Aveia!$E45:$Z45,MIN(AA$6-$G$3,22))),0)))))</f>
        <v>0</v>
      </c>
      <c r="AB47" s="27" t="n">
        <f aca="false">IF(COUNT(Aveia!$E45:$Z45)=0,0,MAX(0,IF((AB$6-$E$3)&lt;1,0,IFERROR(LOOKUP(2,1/(Aveia!$E45:INDEX(Aveia!$E45:$Z45,MIN(AB$6-$E$3,22))&lt;&gt;""),Aveia!$E45:INDEX(Aveia!$E45:$Z45,MIN(AB$6-$E$3,22))),0))-IF($G$2,0,IF((AB$6-$G$3)&lt;1,0,IFERROR(LOOKUP(2,1/(Aveia!$E45:INDEX(Aveia!$E45:$Z45,MIN(AB$6-$G$3,22))&lt;&gt;""),Aveia!$E45:INDEX(Aveia!$E45:$Z45,MIN(AB$6-$G$3,22))),0)))))</f>
        <v>0</v>
      </c>
      <c r="AC47" s="27" t="n">
        <f aca="false">IF(COUNT(Aveia!$E45:$Z45)=0,0,MAX(0,IF((AC$6-$E$3)&lt;1,0,IFERROR(LOOKUP(2,1/(Aveia!$E45:INDEX(Aveia!$E45:$Z45,MIN(AC$6-$E$3,22))&lt;&gt;""),Aveia!$E45:INDEX(Aveia!$E45:$Z45,MIN(AC$6-$E$3,22))),0))-IF($G$2,0,IF((AC$6-$G$3)&lt;1,0,IFERROR(LOOKUP(2,1/(Aveia!$E45:INDEX(Aveia!$E45:$Z45,MIN(AC$6-$G$3,22))&lt;&gt;""),Aveia!$E45:INDEX(Aveia!$E45:$Z45,MIN(AC$6-$G$3,22))),0)))))</f>
        <v>0</v>
      </c>
      <c r="AD47" s="27" t="n">
        <f aca="false">IF(COUNT(Aveia!$E45:$Z45)=0,0,MAX(0,IF((AD$6-$E$3)&lt;1,0,IFERROR(LOOKUP(2,1/(Aveia!$E45:INDEX(Aveia!$E45:$Z45,MIN(AD$6-$E$3,22))&lt;&gt;""),Aveia!$E45:INDEX(Aveia!$E45:$Z45,MIN(AD$6-$E$3,22))),0))-IF($G$2,0,IF((AD$6-$G$3)&lt;1,0,IFERROR(LOOKUP(2,1/(Aveia!$E45:INDEX(Aveia!$E45:$Z45,MIN(AD$6-$G$3,22))&lt;&gt;""),Aveia!$E45:INDEX(Aveia!$E45:$Z45,MIN(AD$6-$G$3,22))),0)))))</f>
        <v>0</v>
      </c>
      <c r="AE47" s="27" t="n">
        <f aca="false">IF(COUNT(Aveia!$E45:$Z45)=0,0,MAX(0,IF((AE$6-$E$3)&lt;1,0,IFERROR(LOOKUP(2,1/(Aveia!$E45:INDEX(Aveia!$E45:$Z45,MIN(AE$6-$E$3,22))&lt;&gt;""),Aveia!$E45:INDEX(Aveia!$E45:$Z45,MIN(AE$6-$E$3,22))),0))-IF($G$2,0,IF((AE$6-$G$3)&lt;1,0,IFERROR(LOOKUP(2,1/(Aveia!$E45:INDEX(Aveia!$E45:$Z45,MIN(AE$6-$G$3,22))&lt;&gt;""),Aveia!$E45:INDEX(Aveia!$E45:$Z45,MIN(AE$6-$G$3,22))),0)))))</f>
        <v>0</v>
      </c>
      <c r="AF47" s="27" t="n">
        <f aca="false">IF(COUNT(Aveia!$E45:$Z45)=0,0,MAX(0,IF((AF$6-$E$3)&lt;1,0,IFERROR(LOOKUP(2,1/(Aveia!$E45:INDEX(Aveia!$E45:$Z45,MIN(AF$6-$E$3,22))&lt;&gt;""),Aveia!$E45:INDEX(Aveia!$E45:$Z45,MIN(AF$6-$E$3,22))),0))-IF($G$2,0,IF((AF$6-$G$3)&lt;1,0,IFERROR(LOOKUP(2,1/(Aveia!$E45:INDEX(Aveia!$E45:$Z45,MIN(AF$6-$G$3,22))&lt;&gt;""),Aveia!$E45:INDEX(Aveia!$E45:$Z45,MIN(AF$6-$G$3,22))),0)))))</f>
        <v>0</v>
      </c>
      <c r="AG47" s="27" t="n">
        <f aca="false">IF(COUNT(Aveia!$E45:$Z45)=0,0,MAX(0,IF((AG$6-$E$3)&lt;1,0,IFERROR(LOOKUP(2,1/(Aveia!$E45:INDEX(Aveia!$E45:$Z45,MIN(AG$6-$E$3,22))&lt;&gt;""),Aveia!$E45:INDEX(Aveia!$E45:$Z45,MIN(AG$6-$E$3,22))),0))-IF($G$2,0,IF((AG$6-$G$3)&lt;1,0,IFERROR(LOOKUP(2,1/(Aveia!$E45:INDEX(Aveia!$E45:$Z45,MIN(AG$6-$G$3,22))&lt;&gt;""),Aveia!$E45:INDEX(Aveia!$E45:$Z45,MIN(AG$6-$G$3,22))),0)))))</f>
        <v>0</v>
      </c>
      <c r="AH47" s="27" t="n">
        <f aca="false">IF(COUNT(Aveia!$E45:$Z45)=0,0,MAX(0,IF((AH$6-$E$3)&lt;1,0,IFERROR(LOOKUP(2,1/(Aveia!$E45:INDEX(Aveia!$E45:$Z45,MIN(AH$6-$E$3,22))&lt;&gt;""),Aveia!$E45:INDEX(Aveia!$E45:$Z45,MIN(AH$6-$E$3,22))),0))-IF($G$2,0,IF((AH$6-$G$3)&lt;1,0,IFERROR(LOOKUP(2,1/(Aveia!$E45:INDEX(Aveia!$E45:$Z45,MIN(AH$6-$G$3,22))&lt;&gt;""),Aveia!$E45:INDEX(Aveia!$E45:$Z45,MIN(AH$6-$G$3,22))),0)))))</f>
        <v>0</v>
      </c>
      <c r="AI47" s="27" t="n">
        <f aca="false">IF(COUNT(Aveia!$E45:$Z45)=0,0,MAX(0,IF((AI$6-$E$3)&lt;1,0,IFERROR(LOOKUP(2,1/(Aveia!$E45:INDEX(Aveia!$E45:$Z45,MIN(AI$6-$E$3,22))&lt;&gt;""),Aveia!$E45:INDEX(Aveia!$E45:$Z45,MIN(AI$6-$E$3,22))),0))-IF($G$2,0,IF((AI$6-$G$3)&lt;1,0,IFERROR(LOOKUP(2,1/(Aveia!$E45:INDEX(Aveia!$E45:$Z45,MIN(AI$6-$G$3,22))&lt;&gt;""),Aveia!$E45:INDEX(Aveia!$E45:$Z45,MIN(AI$6-$G$3,22))),0)))))</f>
        <v>0</v>
      </c>
      <c r="AJ47" s="27" t="n">
        <f aca="false">IF(COUNT(Aveia!$E45:$Z45)=0,0,MAX(0,IF((AJ$6-$E$3)&lt;1,0,IFERROR(LOOKUP(2,1/(Aveia!$E45:INDEX(Aveia!$E45:$Z45,MIN(AJ$6-$E$3,22))&lt;&gt;""),Aveia!$E45:INDEX(Aveia!$E45:$Z45,MIN(AJ$6-$E$3,22))),0))-IF($G$2,0,IF((AJ$6-$G$3)&lt;1,0,IFERROR(LOOKUP(2,1/(Aveia!$E45:INDEX(Aveia!$E45:$Z45,MIN(AJ$6-$G$3,22))&lt;&gt;""),Aveia!$E45:INDEX(Aveia!$E45:$Z45,MIN(AJ$6-$G$3,22))),0)))))</f>
        <v>0</v>
      </c>
      <c r="AK47" s="27" t="n">
        <f aca="false">IF(COUNT(Aveia!$E45:$Z45)=0,0,MAX(0,IF((AK$6-$E$3)&lt;1,0,IFERROR(LOOKUP(2,1/(Aveia!$E45:INDEX(Aveia!$E45:$Z45,MIN(AK$6-$E$3,22))&lt;&gt;""),Aveia!$E45:INDEX(Aveia!$E45:$Z45,MIN(AK$6-$E$3,22))),0))-IF($G$2,0,IF((AK$6-$G$3)&lt;1,0,IFERROR(LOOKUP(2,1/(Aveia!$E45:INDEX(Aveia!$E45:$Z45,MIN(AK$6-$G$3,22))&lt;&gt;""),Aveia!$E45:INDEX(Aveia!$E45:$Z45,MIN(AK$6-$G$3,22))),0)))))</f>
        <v>0</v>
      </c>
      <c r="AL47" s="27" t="n">
        <f aca="false">IF(COUNT(Aveia!$E45:$Z45)=0,0,MAX(0,IF((AL$6-$E$3)&lt;1,0,IFERROR(LOOKUP(2,1/(Aveia!$E45:INDEX(Aveia!$E45:$Z45,MIN(AL$6-$E$3,22))&lt;&gt;""),Aveia!$E45:INDEX(Aveia!$E45:$Z45,MIN(AL$6-$E$3,22))),0))-IF($G$2,0,IF((AL$6-$G$3)&lt;1,0,IFERROR(LOOKUP(2,1/(Aveia!$E45:INDEX(Aveia!$E45:$Z45,MIN(AL$6-$G$3,22))&lt;&gt;""),Aveia!$E45:INDEX(Aveia!$E45:$Z45,MIN(AL$6-$G$3,22))),0)))))</f>
        <v>0</v>
      </c>
      <c r="AM47" s="27" t="n">
        <f aca="false">IF(COUNT(Aveia!$E45:$Z45)=0,0,MAX(0,IF((AM$6-$E$3)&lt;1,0,IFERROR(LOOKUP(2,1/(Aveia!$E45:INDEX(Aveia!$E45:$Z45,MIN(AM$6-$E$3,22))&lt;&gt;""),Aveia!$E45:INDEX(Aveia!$E45:$Z45,MIN(AM$6-$E$3,22))),0))-IF($G$2,0,IF((AM$6-$G$3)&lt;1,0,IFERROR(LOOKUP(2,1/(Aveia!$E45:INDEX(Aveia!$E45:$Z45,MIN(AM$6-$G$3,22))&lt;&gt;""),Aveia!$E45:INDEX(Aveia!$E45:$Z45,MIN(AM$6-$G$3,22))),0)))))</f>
        <v>0</v>
      </c>
      <c r="AN47" s="27" t="n">
        <f aca="false">IF(COUNT(Aveia!$E45:$Z45)=0,0,MAX(0,IF((AN$6-$E$3)&lt;1,0,IFERROR(LOOKUP(2,1/(Aveia!$E45:INDEX(Aveia!$E45:$Z45,MIN(AN$6-$E$3,22))&lt;&gt;""),Aveia!$E45:INDEX(Aveia!$E45:$Z45,MIN(AN$6-$E$3,22))),0))-IF($G$2,0,IF((AN$6-$G$3)&lt;1,0,IFERROR(LOOKUP(2,1/(Aveia!$E45:INDEX(Aveia!$E45:$Z45,MIN(AN$6-$G$3,22))&lt;&gt;""),Aveia!$E45:INDEX(Aveia!$E45:$Z45,MIN(AN$6-$G$3,22))),0)))))</f>
        <v>0</v>
      </c>
      <c r="AO47" s="27" t="n">
        <f aca="false">IF(COUNT(Aveia!$E45:$Z45)=0,0,MAX(0,IF((AO$6-$E$3)&lt;1,0,IFERROR(LOOKUP(2,1/(Aveia!$E45:INDEX(Aveia!$E45:$Z45,MIN(AO$6-$E$3,22))&lt;&gt;""),Aveia!$E45:INDEX(Aveia!$E45:$Z45,MIN(AO$6-$E$3,22))),0))-IF($G$2,0,IF((AO$6-$G$3)&lt;1,0,IFERROR(LOOKUP(2,1/(Aveia!$E45:INDEX(Aveia!$E45:$Z45,MIN(AO$6-$G$3,22))&lt;&gt;""),Aveia!$E45:INDEX(Aveia!$E45:$Z45,MIN(AO$6-$G$3,22))),0)))))</f>
        <v>0</v>
      </c>
      <c r="AP47" s="27" t="n">
        <f aca="false">IF(COUNT(Aveia!$E45:$Z45)=0,0,MAX(0,IF((AP$6-$E$3)&lt;1,0,IFERROR(LOOKUP(2,1/(Aveia!$E45:INDEX(Aveia!$E45:$Z45,MIN(AP$6-$E$3,22))&lt;&gt;""),Aveia!$E45:INDEX(Aveia!$E45:$Z45,MIN(AP$6-$E$3,22))),0))-IF($G$2,0,IF((AP$6-$G$3)&lt;1,0,IFERROR(LOOKUP(2,1/(Aveia!$E45:INDEX(Aveia!$E45:$Z45,MIN(AP$6-$G$3,22))&lt;&gt;""),Aveia!$E45:INDEX(Aveia!$E45:$Z45,MIN(AP$6-$G$3,22))),0)))))</f>
        <v>0</v>
      </c>
      <c r="AQ47" s="27" t="n">
        <f aca="false">IF(COUNT(Aveia!$E45:$Z45)=0,0,MAX(0,IF((AQ$6-$E$3)&lt;1,0,IFERROR(LOOKUP(2,1/(Aveia!$E45:INDEX(Aveia!$E45:$Z45,MIN(AQ$6-$E$3,22))&lt;&gt;""),Aveia!$E45:INDEX(Aveia!$E45:$Z45,MIN(AQ$6-$E$3,22))),0))-IF($G$2,0,IF((AQ$6-$G$3)&lt;1,0,IFERROR(LOOKUP(2,1/(Aveia!$E45:INDEX(Aveia!$E45:$Z45,MIN(AQ$6-$G$3,22))&lt;&gt;""),Aveia!$E45:INDEX(Aveia!$E45:$Z45,MIN(AQ$6-$G$3,22))),0)))))</f>
        <v>0</v>
      </c>
      <c r="AR47" s="27" t="n">
        <f aca="false">IF(COUNT(Aveia!$E45:$Z45)=0,0,MAX(0,IF((AR$6-$E$3)&lt;1,0,IFERROR(LOOKUP(2,1/(Aveia!$E45:INDEX(Aveia!$E45:$Z45,MIN(AR$6-$E$3,22))&lt;&gt;""),Aveia!$E45:INDEX(Aveia!$E45:$Z45,MIN(AR$6-$E$3,22))),0))-IF($G$2,0,IF((AR$6-$G$3)&lt;1,0,IFERROR(LOOKUP(2,1/(Aveia!$E45:INDEX(Aveia!$E45:$Z45,MIN(AR$6-$G$3,22))&lt;&gt;""),Aveia!$E45:INDEX(Aveia!$E45:$Z45,MIN(AR$6-$G$3,22))),0)))))</f>
        <v>0</v>
      </c>
      <c r="AS47" s="27" t="n">
        <f aca="false">IF(COUNT(Aveia!$E45:$Z45)=0,0,MAX(0,IF((AS$6-$E$3)&lt;1,0,IFERROR(LOOKUP(2,1/(Aveia!$E45:INDEX(Aveia!$E45:$Z45,MIN(AS$6-$E$3,22))&lt;&gt;""),Aveia!$E45:INDEX(Aveia!$E45:$Z45,MIN(AS$6-$E$3,22))),0))-IF($G$2,0,IF((AS$6-$G$3)&lt;1,0,IFERROR(LOOKUP(2,1/(Aveia!$E45:INDEX(Aveia!$E45:$Z45,MIN(AS$6-$G$3,22))&lt;&gt;""),Aveia!$E45:INDEX(Aveia!$E45:$Z45,MIN(AS$6-$G$3,22))),0)))))</f>
        <v>0</v>
      </c>
      <c r="AT47" s="27" t="n">
        <f aca="false">IF(COUNT(Aveia!$E45:$Z45)=0,0,MAX(0,IF((AT$6-$E$3)&lt;1,0,IFERROR(LOOKUP(2,1/(Aveia!$E45:INDEX(Aveia!$E45:$Z45,MIN(AT$6-$E$3,22))&lt;&gt;""),Aveia!$E45:INDEX(Aveia!$E45:$Z45,MIN(AT$6-$E$3,22))),0))-IF($G$2,0,IF((AT$6-$G$3)&lt;1,0,IFERROR(LOOKUP(2,1/(Aveia!$E45:INDEX(Aveia!$E45:$Z45,MIN(AT$6-$G$3,22))&lt;&gt;""),Aveia!$E45:INDEX(Aveia!$E45:$Z45,MIN(AT$6-$G$3,22))),0)))))</f>
        <v>0</v>
      </c>
      <c r="AU47" s="27" t="n">
        <f aca="false">IF(COUNT(Aveia!$E45:$Z45)=0,0,MAX(0,IF((AU$6-$E$3)&lt;1,0,IFERROR(LOOKUP(2,1/(Aveia!$E45:INDEX(Aveia!$E45:$Z45,MIN(AU$6-$E$3,22))&lt;&gt;""),Aveia!$E45:INDEX(Aveia!$E45:$Z45,MIN(AU$6-$E$3,22))),0))-IF($G$2,0,IF((AU$6-$G$3)&lt;1,0,IFERROR(LOOKUP(2,1/(Aveia!$E45:INDEX(Aveia!$E45:$Z45,MIN(AU$6-$G$3,22))&lt;&gt;""),Aveia!$E45:INDEX(Aveia!$E45:$Z45,MIN(AU$6-$G$3,22))),0)))))</f>
        <v>0</v>
      </c>
      <c r="AV47" s="27" t="n">
        <f aca="false">IF(COUNT(Aveia!$E45:$Z45)=0,0,MAX(0,IF((AV$6-$E$3)&lt;1,0,IFERROR(LOOKUP(2,1/(Aveia!$E45:INDEX(Aveia!$E45:$Z45,MIN(AV$6-$E$3,22))&lt;&gt;""),Aveia!$E45:INDEX(Aveia!$E45:$Z45,MIN(AV$6-$E$3,22))),0))-IF($G$2,0,IF((AV$6-$G$3)&lt;1,0,IFERROR(LOOKUP(2,1/(Aveia!$E45:INDEX(Aveia!$E45:$Z45,MIN(AV$6-$G$3,22))&lt;&gt;""),Aveia!$E45:INDEX(Aveia!$E45:$Z45,MIN(AV$6-$G$3,22))),0)))))</f>
        <v>0</v>
      </c>
      <c r="AW47" s="27" t="n">
        <f aca="false">IF(COUNT(Aveia!$E45:$Z45)=0,0,MAX(0,IF((AW$6-$E$3)&lt;1,0,IFERROR(LOOKUP(2,1/(Aveia!$E45:INDEX(Aveia!$E45:$Z45,MIN(AW$6-$E$3,22))&lt;&gt;""),Aveia!$E45:INDEX(Aveia!$E45:$Z45,MIN(AW$6-$E$3,22))),0))-IF($G$2,0,IF((AW$6-$G$3)&lt;1,0,IFERROR(LOOKUP(2,1/(Aveia!$E45:INDEX(Aveia!$E45:$Z45,MIN(AW$6-$G$3,22))&lt;&gt;""),Aveia!$E45:INDEX(Aveia!$E45:$Z45,MIN(AW$6-$G$3,22))),0)))))</f>
        <v>0</v>
      </c>
      <c r="AX47" s="27" t="n">
        <f aca="false">IF(COUNT(Aveia!$E45:$Z45)=0,0,MAX(0,IF((AX$6-$E$3)&lt;1,0,IFERROR(LOOKUP(2,1/(Aveia!$E45:INDEX(Aveia!$E45:$Z45,MIN(AX$6-$E$3,22))&lt;&gt;""),Aveia!$E45:INDEX(Aveia!$E45:$Z45,MIN(AX$6-$E$3,22))),0))-IF($G$2,0,IF((AX$6-$G$3)&lt;1,0,IFERROR(LOOKUP(2,1/(Aveia!$E45:INDEX(Aveia!$E45:$Z45,MIN(AX$6-$G$3,22))&lt;&gt;""),Aveia!$E45:INDEX(Aveia!$E45:$Z45,MIN(AX$6-$G$3,22))),0)))))</f>
        <v>0</v>
      </c>
      <c r="AY47" s="27" t="n">
        <f aca="false">IF(COUNT(Aveia!$E45:$Z45)=0,0,MAX(0,IF((AY$6-$E$3)&lt;1,0,IFERROR(LOOKUP(2,1/(Aveia!$E45:INDEX(Aveia!$E45:$Z45,MIN(AY$6-$E$3,22))&lt;&gt;""),Aveia!$E45:INDEX(Aveia!$E45:$Z45,MIN(AY$6-$E$3,22))),0))-IF($G$2,0,IF((AY$6-$G$3)&lt;1,0,IFERROR(LOOKUP(2,1/(Aveia!$E45:INDEX(Aveia!$E45:$Z45,MIN(AY$6-$G$3,22))&lt;&gt;""),Aveia!$E45:INDEX(Aveia!$E45:$Z45,MIN(AY$6-$G$3,22))),0)))))</f>
        <v>0</v>
      </c>
      <c r="AZ47" s="27" t="n">
        <f aca="false">IF(COUNT(Aveia!$E45:$Z45)=0,0,MAX(0,IF((AZ$6-$E$3)&lt;1,0,IFERROR(LOOKUP(2,1/(Aveia!$E45:INDEX(Aveia!$E45:$Z45,MIN(AZ$6-$E$3,22))&lt;&gt;""),Aveia!$E45:INDEX(Aveia!$E45:$Z45,MIN(AZ$6-$E$3,22))),0))-IF($G$2,0,IF((AZ$6-$G$3)&lt;1,0,IFERROR(LOOKUP(2,1/(Aveia!$E45:INDEX(Aveia!$E45:$Z45,MIN(AZ$6-$G$3,22))&lt;&gt;""),Aveia!$E45:INDEX(Aveia!$E45:$Z45,MIN(AZ$6-$G$3,22))),0)))))</f>
        <v>0</v>
      </c>
    </row>
    <row r="48" customFormat="false" ht="15" hidden="false" customHeight="false" outlineLevel="0" collapsed="false">
      <c r="A48" s="3" t="s">
        <v>217</v>
      </c>
      <c r="B48" s="3" t="s">
        <v>218</v>
      </c>
      <c r="C48" s="10" t="s">
        <v>140</v>
      </c>
      <c r="D48" s="26" t="n">
        <f aca="false">IF(COUNT(Aveia!$E46:$Z46)&gt;0,N(Aveia!$D46),0)</f>
        <v>0</v>
      </c>
      <c r="E48" s="27" t="n">
        <f aca="false">IF(COUNT(Aveia!$E46:$Z46)=0,0,MAX(0,IF((E$6-$E$3)&lt;1,0,IFERROR(LOOKUP(2,1/(Aveia!$E46:INDEX(Aveia!$E46:$Z46,MIN(E$6-$E$3,22))&lt;&gt;""),Aveia!$E46:INDEX(Aveia!$E46:$Z46,MIN(E$6-$E$3,22))),0))-IF($G$2,0,IF((E$6-$G$3)&lt;1,0,IFERROR(LOOKUP(2,1/(Aveia!$E46:INDEX(Aveia!$E46:$Z46,MIN(E$6-$G$3,22))&lt;&gt;""),Aveia!$E46:INDEX(Aveia!$E46:$Z46,MIN(E$6-$G$3,22))),0)))))</f>
        <v>0</v>
      </c>
      <c r="F48" s="27" t="n">
        <f aca="false">IF(COUNT(Aveia!$E46:$Z46)=0,0,MAX(0,IF((F$6-$E$3)&lt;1,0,IFERROR(LOOKUP(2,1/(Aveia!$E46:INDEX(Aveia!$E46:$Z46,MIN(F$6-$E$3,22))&lt;&gt;""),Aveia!$E46:INDEX(Aveia!$E46:$Z46,MIN(F$6-$E$3,22))),0))-IF($G$2,0,IF((F$6-$G$3)&lt;1,0,IFERROR(LOOKUP(2,1/(Aveia!$E46:INDEX(Aveia!$E46:$Z46,MIN(F$6-$G$3,22))&lt;&gt;""),Aveia!$E46:INDEX(Aveia!$E46:$Z46,MIN(F$6-$G$3,22))),0)))))</f>
        <v>0</v>
      </c>
      <c r="G48" s="27" t="n">
        <f aca="false">IF(COUNT(Aveia!$E46:$Z46)=0,0,MAX(0,IF((G$6-$E$3)&lt;1,0,IFERROR(LOOKUP(2,1/(Aveia!$E46:INDEX(Aveia!$E46:$Z46,MIN(G$6-$E$3,22))&lt;&gt;""),Aveia!$E46:INDEX(Aveia!$E46:$Z46,MIN(G$6-$E$3,22))),0))-IF($G$2,0,IF((G$6-$G$3)&lt;1,0,IFERROR(LOOKUP(2,1/(Aveia!$E46:INDEX(Aveia!$E46:$Z46,MIN(G$6-$G$3,22))&lt;&gt;""),Aveia!$E46:INDEX(Aveia!$E46:$Z46,MIN(G$6-$G$3,22))),0)))))</f>
        <v>0</v>
      </c>
      <c r="H48" s="27" t="n">
        <f aca="false">IF(COUNT(Aveia!$E46:$Z46)=0,0,MAX(0,IF((H$6-$E$3)&lt;1,0,IFERROR(LOOKUP(2,1/(Aveia!$E46:INDEX(Aveia!$E46:$Z46,MIN(H$6-$E$3,22))&lt;&gt;""),Aveia!$E46:INDEX(Aveia!$E46:$Z46,MIN(H$6-$E$3,22))),0))-IF($G$2,0,IF((H$6-$G$3)&lt;1,0,IFERROR(LOOKUP(2,1/(Aveia!$E46:INDEX(Aveia!$E46:$Z46,MIN(H$6-$G$3,22))&lt;&gt;""),Aveia!$E46:INDEX(Aveia!$E46:$Z46,MIN(H$6-$G$3,22))),0)))))</f>
        <v>0</v>
      </c>
      <c r="I48" s="27" t="n">
        <f aca="false">IF(COUNT(Aveia!$E46:$Z46)=0,0,MAX(0,IF((I$6-$E$3)&lt;1,0,IFERROR(LOOKUP(2,1/(Aveia!$E46:INDEX(Aveia!$E46:$Z46,MIN(I$6-$E$3,22))&lt;&gt;""),Aveia!$E46:INDEX(Aveia!$E46:$Z46,MIN(I$6-$E$3,22))),0))-IF($G$2,0,IF((I$6-$G$3)&lt;1,0,IFERROR(LOOKUP(2,1/(Aveia!$E46:INDEX(Aveia!$E46:$Z46,MIN(I$6-$G$3,22))&lt;&gt;""),Aveia!$E46:INDEX(Aveia!$E46:$Z46,MIN(I$6-$G$3,22))),0)))))</f>
        <v>0</v>
      </c>
      <c r="J48" s="27" t="n">
        <f aca="false">IF(COUNT(Aveia!$E46:$Z46)=0,0,MAX(0,IF((J$6-$E$3)&lt;1,0,IFERROR(LOOKUP(2,1/(Aveia!$E46:INDEX(Aveia!$E46:$Z46,MIN(J$6-$E$3,22))&lt;&gt;""),Aveia!$E46:INDEX(Aveia!$E46:$Z46,MIN(J$6-$E$3,22))),0))-IF($G$2,0,IF((J$6-$G$3)&lt;1,0,IFERROR(LOOKUP(2,1/(Aveia!$E46:INDEX(Aveia!$E46:$Z46,MIN(J$6-$G$3,22))&lt;&gt;""),Aveia!$E46:INDEX(Aveia!$E46:$Z46,MIN(J$6-$G$3,22))),0)))))</f>
        <v>0</v>
      </c>
      <c r="K48" s="27" t="n">
        <f aca="false">IF(COUNT(Aveia!$E46:$Z46)=0,0,MAX(0,IF((K$6-$E$3)&lt;1,0,IFERROR(LOOKUP(2,1/(Aveia!$E46:INDEX(Aveia!$E46:$Z46,MIN(K$6-$E$3,22))&lt;&gt;""),Aveia!$E46:INDEX(Aveia!$E46:$Z46,MIN(K$6-$E$3,22))),0))-IF($G$2,0,IF((K$6-$G$3)&lt;1,0,IFERROR(LOOKUP(2,1/(Aveia!$E46:INDEX(Aveia!$E46:$Z46,MIN(K$6-$G$3,22))&lt;&gt;""),Aveia!$E46:INDEX(Aveia!$E46:$Z46,MIN(K$6-$G$3,22))),0)))))</f>
        <v>0</v>
      </c>
      <c r="L48" s="27" t="n">
        <f aca="false">IF(COUNT(Aveia!$E46:$Z46)=0,0,MAX(0,IF((L$6-$E$3)&lt;1,0,IFERROR(LOOKUP(2,1/(Aveia!$E46:INDEX(Aveia!$E46:$Z46,MIN(L$6-$E$3,22))&lt;&gt;""),Aveia!$E46:INDEX(Aveia!$E46:$Z46,MIN(L$6-$E$3,22))),0))-IF($G$2,0,IF((L$6-$G$3)&lt;1,0,IFERROR(LOOKUP(2,1/(Aveia!$E46:INDEX(Aveia!$E46:$Z46,MIN(L$6-$G$3,22))&lt;&gt;""),Aveia!$E46:INDEX(Aveia!$E46:$Z46,MIN(L$6-$G$3,22))),0)))))</f>
        <v>0</v>
      </c>
      <c r="M48" s="27" t="n">
        <f aca="false">IF(COUNT(Aveia!$E46:$Z46)=0,0,MAX(0,IF((M$6-$E$3)&lt;1,0,IFERROR(LOOKUP(2,1/(Aveia!$E46:INDEX(Aveia!$E46:$Z46,MIN(M$6-$E$3,22))&lt;&gt;""),Aveia!$E46:INDEX(Aveia!$E46:$Z46,MIN(M$6-$E$3,22))),0))-IF($G$2,0,IF((M$6-$G$3)&lt;1,0,IFERROR(LOOKUP(2,1/(Aveia!$E46:INDEX(Aveia!$E46:$Z46,MIN(M$6-$G$3,22))&lt;&gt;""),Aveia!$E46:INDEX(Aveia!$E46:$Z46,MIN(M$6-$G$3,22))),0)))))</f>
        <v>0</v>
      </c>
      <c r="N48" s="27" t="n">
        <f aca="false">IF(COUNT(Aveia!$E46:$Z46)=0,0,MAX(0,IF((N$6-$E$3)&lt;1,0,IFERROR(LOOKUP(2,1/(Aveia!$E46:INDEX(Aveia!$E46:$Z46,MIN(N$6-$E$3,22))&lt;&gt;""),Aveia!$E46:INDEX(Aveia!$E46:$Z46,MIN(N$6-$E$3,22))),0))-IF($G$2,0,IF((N$6-$G$3)&lt;1,0,IFERROR(LOOKUP(2,1/(Aveia!$E46:INDEX(Aveia!$E46:$Z46,MIN(N$6-$G$3,22))&lt;&gt;""),Aveia!$E46:INDEX(Aveia!$E46:$Z46,MIN(N$6-$G$3,22))),0)))))</f>
        <v>0</v>
      </c>
      <c r="O48" s="27" t="n">
        <f aca="false">IF(COUNT(Aveia!$E46:$Z46)=0,0,MAX(0,IF((O$6-$E$3)&lt;1,0,IFERROR(LOOKUP(2,1/(Aveia!$E46:INDEX(Aveia!$E46:$Z46,MIN(O$6-$E$3,22))&lt;&gt;""),Aveia!$E46:INDEX(Aveia!$E46:$Z46,MIN(O$6-$E$3,22))),0))-IF($G$2,0,IF((O$6-$G$3)&lt;1,0,IFERROR(LOOKUP(2,1/(Aveia!$E46:INDEX(Aveia!$E46:$Z46,MIN(O$6-$G$3,22))&lt;&gt;""),Aveia!$E46:INDEX(Aveia!$E46:$Z46,MIN(O$6-$G$3,22))),0)))))</f>
        <v>0</v>
      </c>
      <c r="P48" s="27" t="n">
        <f aca="false">IF(COUNT(Aveia!$E46:$Z46)=0,0,MAX(0,IF((P$6-$E$3)&lt;1,0,IFERROR(LOOKUP(2,1/(Aveia!$E46:INDEX(Aveia!$E46:$Z46,MIN(P$6-$E$3,22))&lt;&gt;""),Aveia!$E46:INDEX(Aveia!$E46:$Z46,MIN(P$6-$E$3,22))),0))-IF($G$2,0,IF((P$6-$G$3)&lt;1,0,IFERROR(LOOKUP(2,1/(Aveia!$E46:INDEX(Aveia!$E46:$Z46,MIN(P$6-$G$3,22))&lt;&gt;""),Aveia!$E46:INDEX(Aveia!$E46:$Z46,MIN(P$6-$G$3,22))),0)))))</f>
        <v>0</v>
      </c>
      <c r="Q48" s="27" t="n">
        <f aca="false">IF(COUNT(Aveia!$E46:$Z46)=0,0,MAX(0,IF((Q$6-$E$3)&lt;1,0,IFERROR(LOOKUP(2,1/(Aveia!$E46:INDEX(Aveia!$E46:$Z46,MIN(Q$6-$E$3,22))&lt;&gt;""),Aveia!$E46:INDEX(Aveia!$E46:$Z46,MIN(Q$6-$E$3,22))),0))-IF($G$2,0,IF((Q$6-$G$3)&lt;1,0,IFERROR(LOOKUP(2,1/(Aveia!$E46:INDEX(Aveia!$E46:$Z46,MIN(Q$6-$G$3,22))&lt;&gt;""),Aveia!$E46:INDEX(Aveia!$E46:$Z46,MIN(Q$6-$G$3,22))),0)))))</f>
        <v>0</v>
      </c>
      <c r="R48" s="27" t="n">
        <f aca="false">IF(COUNT(Aveia!$E46:$Z46)=0,0,MAX(0,IF((R$6-$E$3)&lt;1,0,IFERROR(LOOKUP(2,1/(Aveia!$E46:INDEX(Aveia!$E46:$Z46,MIN(R$6-$E$3,22))&lt;&gt;""),Aveia!$E46:INDEX(Aveia!$E46:$Z46,MIN(R$6-$E$3,22))),0))-IF($G$2,0,IF((R$6-$G$3)&lt;1,0,IFERROR(LOOKUP(2,1/(Aveia!$E46:INDEX(Aveia!$E46:$Z46,MIN(R$6-$G$3,22))&lt;&gt;""),Aveia!$E46:INDEX(Aveia!$E46:$Z46,MIN(R$6-$G$3,22))),0)))))</f>
        <v>0</v>
      </c>
      <c r="S48" s="27" t="n">
        <f aca="false">IF(COUNT(Aveia!$E46:$Z46)=0,0,MAX(0,IF((S$6-$E$3)&lt;1,0,IFERROR(LOOKUP(2,1/(Aveia!$E46:INDEX(Aveia!$E46:$Z46,MIN(S$6-$E$3,22))&lt;&gt;""),Aveia!$E46:INDEX(Aveia!$E46:$Z46,MIN(S$6-$E$3,22))),0))-IF($G$2,0,IF((S$6-$G$3)&lt;1,0,IFERROR(LOOKUP(2,1/(Aveia!$E46:INDEX(Aveia!$E46:$Z46,MIN(S$6-$G$3,22))&lt;&gt;""),Aveia!$E46:INDEX(Aveia!$E46:$Z46,MIN(S$6-$G$3,22))),0)))))</f>
        <v>0</v>
      </c>
      <c r="T48" s="27" t="n">
        <f aca="false">IF(COUNT(Aveia!$E46:$Z46)=0,0,MAX(0,IF((T$6-$E$3)&lt;1,0,IFERROR(LOOKUP(2,1/(Aveia!$E46:INDEX(Aveia!$E46:$Z46,MIN(T$6-$E$3,22))&lt;&gt;""),Aveia!$E46:INDEX(Aveia!$E46:$Z46,MIN(T$6-$E$3,22))),0))-IF($G$2,0,IF((T$6-$G$3)&lt;1,0,IFERROR(LOOKUP(2,1/(Aveia!$E46:INDEX(Aveia!$E46:$Z46,MIN(T$6-$G$3,22))&lt;&gt;""),Aveia!$E46:INDEX(Aveia!$E46:$Z46,MIN(T$6-$G$3,22))),0)))))</f>
        <v>0</v>
      </c>
      <c r="U48" s="27" t="n">
        <f aca="false">IF(COUNT(Aveia!$E46:$Z46)=0,0,MAX(0,IF((U$6-$E$3)&lt;1,0,IFERROR(LOOKUP(2,1/(Aveia!$E46:INDEX(Aveia!$E46:$Z46,MIN(U$6-$E$3,22))&lt;&gt;""),Aveia!$E46:INDEX(Aveia!$E46:$Z46,MIN(U$6-$E$3,22))),0))-IF($G$2,0,IF((U$6-$G$3)&lt;1,0,IFERROR(LOOKUP(2,1/(Aveia!$E46:INDEX(Aveia!$E46:$Z46,MIN(U$6-$G$3,22))&lt;&gt;""),Aveia!$E46:INDEX(Aveia!$E46:$Z46,MIN(U$6-$G$3,22))),0)))))</f>
        <v>0</v>
      </c>
      <c r="V48" s="27" t="n">
        <f aca="false">IF(COUNT(Aveia!$E46:$Z46)=0,0,MAX(0,IF((V$6-$E$3)&lt;1,0,IFERROR(LOOKUP(2,1/(Aveia!$E46:INDEX(Aveia!$E46:$Z46,MIN(V$6-$E$3,22))&lt;&gt;""),Aveia!$E46:INDEX(Aveia!$E46:$Z46,MIN(V$6-$E$3,22))),0))-IF($G$2,0,IF((V$6-$G$3)&lt;1,0,IFERROR(LOOKUP(2,1/(Aveia!$E46:INDEX(Aveia!$E46:$Z46,MIN(V$6-$G$3,22))&lt;&gt;""),Aveia!$E46:INDEX(Aveia!$E46:$Z46,MIN(V$6-$G$3,22))),0)))))</f>
        <v>0</v>
      </c>
      <c r="W48" s="27" t="n">
        <f aca="false">IF(COUNT(Aveia!$E46:$Z46)=0,0,MAX(0,IF((W$6-$E$3)&lt;1,0,IFERROR(LOOKUP(2,1/(Aveia!$E46:INDEX(Aveia!$E46:$Z46,MIN(W$6-$E$3,22))&lt;&gt;""),Aveia!$E46:INDEX(Aveia!$E46:$Z46,MIN(W$6-$E$3,22))),0))-IF($G$2,0,IF((W$6-$G$3)&lt;1,0,IFERROR(LOOKUP(2,1/(Aveia!$E46:INDEX(Aveia!$E46:$Z46,MIN(W$6-$G$3,22))&lt;&gt;""),Aveia!$E46:INDEX(Aveia!$E46:$Z46,MIN(W$6-$G$3,22))),0)))))</f>
        <v>0</v>
      </c>
      <c r="X48" s="27" t="n">
        <f aca="false">IF(COUNT(Aveia!$E46:$Z46)=0,0,MAX(0,IF((X$6-$E$3)&lt;1,0,IFERROR(LOOKUP(2,1/(Aveia!$E46:INDEX(Aveia!$E46:$Z46,MIN(X$6-$E$3,22))&lt;&gt;""),Aveia!$E46:INDEX(Aveia!$E46:$Z46,MIN(X$6-$E$3,22))),0))-IF($G$2,0,IF((X$6-$G$3)&lt;1,0,IFERROR(LOOKUP(2,1/(Aveia!$E46:INDEX(Aveia!$E46:$Z46,MIN(X$6-$G$3,22))&lt;&gt;""),Aveia!$E46:INDEX(Aveia!$E46:$Z46,MIN(X$6-$G$3,22))),0)))))</f>
        <v>0</v>
      </c>
      <c r="Y48" s="27" t="n">
        <f aca="false">IF(COUNT(Aveia!$E46:$Z46)=0,0,MAX(0,IF((Y$6-$E$3)&lt;1,0,IFERROR(LOOKUP(2,1/(Aveia!$E46:INDEX(Aveia!$E46:$Z46,MIN(Y$6-$E$3,22))&lt;&gt;""),Aveia!$E46:INDEX(Aveia!$E46:$Z46,MIN(Y$6-$E$3,22))),0))-IF($G$2,0,IF((Y$6-$G$3)&lt;1,0,IFERROR(LOOKUP(2,1/(Aveia!$E46:INDEX(Aveia!$E46:$Z46,MIN(Y$6-$G$3,22))&lt;&gt;""),Aveia!$E46:INDEX(Aveia!$E46:$Z46,MIN(Y$6-$G$3,22))),0)))))</f>
        <v>0</v>
      </c>
      <c r="Z48" s="27" t="n">
        <f aca="false">IF(COUNT(Aveia!$E46:$Z46)=0,0,MAX(0,IF((Z$6-$E$3)&lt;1,0,IFERROR(LOOKUP(2,1/(Aveia!$E46:INDEX(Aveia!$E46:$Z46,MIN(Z$6-$E$3,22))&lt;&gt;""),Aveia!$E46:INDEX(Aveia!$E46:$Z46,MIN(Z$6-$E$3,22))),0))-IF($G$2,0,IF((Z$6-$G$3)&lt;1,0,IFERROR(LOOKUP(2,1/(Aveia!$E46:INDEX(Aveia!$E46:$Z46,MIN(Z$6-$G$3,22))&lt;&gt;""),Aveia!$E46:INDEX(Aveia!$E46:$Z46,MIN(Z$6-$G$3,22))),0)))))</f>
        <v>0</v>
      </c>
      <c r="AA48" s="27" t="n">
        <f aca="false">IF(COUNT(Aveia!$E46:$Z46)=0,0,MAX(0,IF((AA$6-$E$3)&lt;1,0,IFERROR(LOOKUP(2,1/(Aveia!$E46:INDEX(Aveia!$E46:$Z46,MIN(AA$6-$E$3,22))&lt;&gt;""),Aveia!$E46:INDEX(Aveia!$E46:$Z46,MIN(AA$6-$E$3,22))),0))-IF($G$2,0,IF((AA$6-$G$3)&lt;1,0,IFERROR(LOOKUP(2,1/(Aveia!$E46:INDEX(Aveia!$E46:$Z46,MIN(AA$6-$G$3,22))&lt;&gt;""),Aveia!$E46:INDEX(Aveia!$E46:$Z46,MIN(AA$6-$G$3,22))),0)))))</f>
        <v>0</v>
      </c>
      <c r="AB48" s="27" t="n">
        <f aca="false">IF(COUNT(Aveia!$E46:$Z46)=0,0,MAX(0,IF((AB$6-$E$3)&lt;1,0,IFERROR(LOOKUP(2,1/(Aveia!$E46:INDEX(Aveia!$E46:$Z46,MIN(AB$6-$E$3,22))&lt;&gt;""),Aveia!$E46:INDEX(Aveia!$E46:$Z46,MIN(AB$6-$E$3,22))),0))-IF($G$2,0,IF((AB$6-$G$3)&lt;1,0,IFERROR(LOOKUP(2,1/(Aveia!$E46:INDEX(Aveia!$E46:$Z46,MIN(AB$6-$G$3,22))&lt;&gt;""),Aveia!$E46:INDEX(Aveia!$E46:$Z46,MIN(AB$6-$G$3,22))),0)))))</f>
        <v>0</v>
      </c>
      <c r="AC48" s="27" t="n">
        <f aca="false">IF(COUNT(Aveia!$E46:$Z46)=0,0,MAX(0,IF((AC$6-$E$3)&lt;1,0,IFERROR(LOOKUP(2,1/(Aveia!$E46:INDEX(Aveia!$E46:$Z46,MIN(AC$6-$E$3,22))&lt;&gt;""),Aveia!$E46:INDEX(Aveia!$E46:$Z46,MIN(AC$6-$E$3,22))),0))-IF($G$2,0,IF((AC$6-$G$3)&lt;1,0,IFERROR(LOOKUP(2,1/(Aveia!$E46:INDEX(Aveia!$E46:$Z46,MIN(AC$6-$G$3,22))&lt;&gt;""),Aveia!$E46:INDEX(Aveia!$E46:$Z46,MIN(AC$6-$G$3,22))),0)))))</f>
        <v>0</v>
      </c>
      <c r="AD48" s="27" t="n">
        <f aca="false">IF(COUNT(Aveia!$E46:$Z46)=0,0,MAX(0,IF((AD$6-$E$3)&lt;1,0,IFERROR(LOOKUP(2,1/(Aveia!$E46:INDEX(Aveia!$E46:$Z46,MIN(AD$6-$E$3,22))&lt;&gt;""),Aveia!$E46:INDEX(Aveia!$E46:$Z46,MIN(AD$6-$E$3,22))),0))-IF($G$2,0,IF((AD$6-$G$3)&lt;1,0,IFERROR(LOOKUP(2,1/(Aveia!$E46:INDEX(Aveia!$E46:$Z46,MIN(AD$6-$G$3,22))&lt;&gt;""),Aveia!$E46:INDEX(Aveia!$E46:$Z46,MIN(AD$6-$G$3,22))),0)))))</f>
        <v>0</v>
      </c>
      <c r="AE48" s="27" t="n">
        <f aca="false">IF(COUNT(Aveia!$E46:$Z46)=0,0,MAX(0,IF((AE$6-$E$3)&lt;1,0,IFERROR(LOOKUP(2,1/(Aveia!$E46:INDEX(Aveia!$E46:$Z46,MIN(AE$6-$E$3,22))&lt;&gt;""),Aveia!$E46:INDEX(Aveia!$E46:$Z46,MIN(AE$6-$E$3,22))),0))-IF($G$2,0,IF((AE$6-$G$3)&lt;1,0,IFERROR(LOOKUP(2,1/(Aveia!$E46:INDEX(Aveia!$E46:$Z46,MIN(AE$6-$G$3,22))&lt;&gt;""),Aveia!$E46:INDEX(Aveia!$E46:$Z46,MIN(AE$6-$G$3,22))),0)))))</f>
        <v>0</v>
      </c>
      <c r="AF48" s="27" t="n">
        <f aca="false">IF(COUNT(Aveia!$E46:$Z46)=0,0,MAX(0,IF((AF$6-$E$3)&lt;1,0,IFERROR(LOOKUP(2,1/(Aveia!$E46:INDEX(Aveia!$E46:$Z46,MIN(AF$6-$E$3,22))&lt;&gt;""),Aveia!$E46:INDEX(Aveia!$E46:$Z46,MIN(AF$6-$E$3,22))),0))-IF($G$2,0,IF((AF$6-$G$3)&lt;1,0,IFERROR(LOOKUP(2,1/(Aveia!$E46:INDEX(Aveia!$E46:$Z46,MIN(AF$6-$G$3,22))&lt;&gt;""),Aveia!$E46:INDEX(Aveia!$E46:$Z46,MIN(AF$6-$G$3,22))),0)))))</f>
        <v>0</v>
      </c>
      <c r="AG48" s="27" t="n">
        <f aca="false">IF(COUNT(Aveia!$E46:$Z46)=0,0,MAX(0,IF((AG$6-$E$3)&lt;1,0,IFERROR(LOOKUP(2,1/(Aveia!$E46:INDEX(Aveia!$E46:$Z46,MIN(AG$6-$E$3,22))&lt;&gt;""),Aveia!$E46:INDEX(Aveia!$E46:$Z46,MIN(AG$6-$E$3,22))),0))-IF($G$2,0,IF((AG$6-$G$3)&lt;1,0,IFERROR(LOOKUP(2,1/(Aveia!$E46:INDEX(Aveia!$E46:$Z46,MIN(AG$6-$G$3,22))&lt;&gt;""),Aveia!$E46:INDEX(Aveia!$E46:$Z46,MIN(AG$6-$G$3,22))),0)))))</f>
        <v>0</v>
      </c>
      <c r="AH48" s="27" t="n">
        <f aca="false">IF(COUNT(Aveia!$E46:$Z46)=0,0,MAX(0,IF((AH$6-$E$3)&lt;1,0,IFERROR(LOOKUP(2,1/(Aveia!$E46:INDEX(Aveia!$E46:$Z46,MIN(AH$6-$E$3,22))&lt;&gt;""),Aveia!$E46:INDEX(Aveia!$E46:$Z46,MIN(AH$6-$E$3,22))),0))-IF($G$2,0,IF((AH$6-$G$3)&lt;1,0,IFERROR(LOOKUP(2,1/(Aveia!$E46:INDEX(Aveia!$E46:$Z46,MIN(AH$6-$G$3,22))&lt;&gt;""),Aveia!$E46:INDEX(Aveia!$E46:$Z46,MIN(AH$6-$G$3,22))),0)))))</f>
        <v>0</v>
      </c>
      <c r="AI48" s="27" t="n">
        <f aca="false">IF(COUNT(Aveia!$E46:$Z46)=0,0,MAX(0,IF((AI$6-$E$3)&lt;1,0,IFERROR(LOOKUP(2,1/(Aveia!$E46:INDEX(Aveia!$E46:$Z46,MIN(AI$6-$E$3,22))&lt;&gt;""),Aveia!$E46:INDEX(Aveia!$E46:$Z46,MIN(AI$6-$E$3,22))),0))-IF($G$2,0,IF((AI$6-$G$3)&lt;1,0,IFERROR(LOOKUP(2,1/(Aveia!$E46:INDEX(Aveia!$E46:$Z46,MIN(AI$6-$G$3,22))&lt;&gt;""),Aveia!$E46:INDEX(Aveia!$E46:$Z46,MIN(AI$6-$G$3,22))),0)))))</f>
        <v>0</v>
      </c>
      <c r="AJ48" s="27" t="n">
        <f aca="false">IF(COUNT(Aveia!$E46:$Z46)=0,0,MAX(0,IF((AJ$6-$E$3)&lt;1,0,IFERROR(LOOKUP(2,1/(Aveia!$E46:INDEX(Aveia!$E46:$Z46,MIN(AJ$6-$E$3,22))&lt;&gt;""),Aveia!$E46:INDEX(Aveia!$E46:$Z46,MIN(AJ$6-$E$3,22))),0))-IF($G$2,0,IF((AJ$6-$G$3)&lt;1,0,IFERROR(LOOKUP(2,1/(Aveia!$E46:INDEX(Aveia!$E46:$Z46,MIN(AJ$6-$G$3,22))&lt;&gt;""),Aveia!$E46:INDEX(Aveia!$E46:$Z46,MIN(AJ$6-$G$3,22))),0)))))</f>
        <v>0</v>
      </c>
      <c r="AK48" s="27" t="n">
        <f aca="false">IF(COUNT(Aveia!$E46:$Z46)=0,0,MAX(0,IF((AK$6-$E$3)&lt;1,0,IFERROR(LOOKUP(2,1/(Aveia!$E46:INDEX(Aveia!$E46:$Z46,MIN(AK$6-$E$3,22))&lt;&gt;""),Aveia!$E46:INDEX(Aveia!$E46:$Z46,MIN(AK$6-$E$3,22))),0))-IF($G$2,0,IF((AK$6-$G$3)&lt;1,0,IFERROR(LOOKUP(2,1/(Aveia!$E46:INDEX(Aveia!$E46:$Z46,MIN(AK$6-$G$3,22))&lt;&gt;""),Aveia!$E46:INDEX(Aveia!$E46:$Z46,MIN(AK$6-$G$3,22))),0)))))</f>
        <v>0</v>
      </c>
      <c r="AL48" s="27" t="n">
        <f aca="false">IF(COUNT(Aveia!$E46:$Z46)=0,0,MAX(0,IF((AL$6-$E$3)&lt;1,0,IFERROR(LOOKUP(2,1/(Aveia!$E46:INDEX(Aveia!$E46:$Z46,MIN(AL$6-$E$3,22))&lt;&gt;""),Aveia!$E46:INDEX(Aveia!$E46:$Z46,MIN(AL$6-$E$3,22))),0))-IF($G$2,0,IF((AL$6-$G$3)&lt;1,0,IFERROR(LOOKUP(2,1/(Aveia!$E46:INDEX(Aveia!$E46:$Z46,MIN(AL$6-$G$3,22))&lt;&gt;""),Aveia!$E46:INDEX(Aveia!$E46:$Z46,MIN(AL$6-$G$3,22))),0)))))</f>
        <v>0</v>
      </c>
      <c r="AM48" s="27" t="n">
        <f aca="false">IF(COUNT(Aveia!$E46:$Z46)=0,0,MAX(0,IF((AM$6-$E$3)&lt;1,0,IFERROR(LOOKUP(2,1/(Aveia!$E46:INDEX(Aveia!$E46:$Z46,MIN(AM$6-$E$3,22))&lt;&gt;""),Aveia!$E46:INDEX(Aveia!$E46:$Z46,MIN(AM$6-$E$3,22))),0))-IF($G$2,0,IF((AM$6-$G$3)&lt;1,0,IFERROR(LOOKUP(2,1/(Aveia!$E46:INDEX(Aveia!$E46:$Z46,MIN(AM$6-$G$3,22))&lt;&gt;""),Aveia!$E46:INDEX(Aveia!$E46:$Z46,MIN(AM$6-$G$3,22))),0)))))</f>
        <v>0</v>
      </c>
      <c r="AN48" s="27" t="n">
        <f aca="false">IF(COUNT(Aveia!$E46:$Z46)=0,0,MAX(0,IF((AN$6-$E$3)&lt;1,0,IFERROR(LOOKUP(2,1/(Aveia!$E46:INDEX(Aveia!$E46:$Z46,MIN(AN$6-$E$3,22))&lt;&gt;""),Aveia!$E46:INDEX(Aveia!$E46:$Z46,MIN(AN$6-$E$3,22))),0))-IF($G$2,0,IF((AN$6-$G$3)&lt;1,0,IFERROR(LOOKUP(2,1/(Aveia!$E46:INDEX(Aveia!$E46:$Z46,MIN(AN$6-$G$3,22))&lt;&gt;""),Aveia!$E46:INDEX(Aveia!$E46:$Z46,MIN(AN$6-$G$3,22))),0)))))</f>
        <v>0</v>
      </c>
      <c r="AO48" s="27" t="n">
        <f aca="false">IF(COUNT(Aveia!$E46:$Z46)=0,0,MAX(0,IF((AO$6-$E$3)&lt;1,0,IFERROR(LOOKUP(2,1/(Aveia!$E46:INDEX(Aveia!$E46:$Z46,MIN(AO$6-$E$3,22))&lt;&gt;""),Aveia!$E46:INDEX(Aveia!$E46:$Z46,MIN(AO$6-$E$3,22))),0))-IF($G$2,0,IF((AO$6-$G$3)&lt;1,0,IFERROR(LOOKUP(2,1/(Aveia!$E46:INDEX(Aveia!$E46:$Z46,MIN(AO$6-$G$3,22))&lt;&gt;""),Aveia!$E46:INDEX(Aveia!$E46:$Z46,MIN(AO$6-$G$3,22))),0)))))</f>
        <v>0</v>
      </c>
      <c r="AP48" s="27" t="n">
        <f aca="false">IF(COUNT(Aveia!$E46:$Z46)=0,0,MAX(0,IF((AP$6-$E$3)&lt;1,0,IFERROR(LOOKUP(2,1/(Aveia!$E46:INDEX(Aveia!$E46:$Z46,MIN(AP$6-$E$3,22))&lt;&gt;""),Aveia!$E46:INDEX(Aveia!$E46:$Z46,MIN(AP$6-$E$3,22))),0))-IF($G$2,0,IF((AP$6-$G$3)&lt;1,0,IFERROR(LOOKUP(2,1/(Aveia!$E46:INDEX(Aveia!$E46:$Z46,MIN(AP$6-$G$3,22))&lt;&gt;""),Aveia!$E46:INDEX(Aveia!$E46:$Z46,MIN(AP$6-$G$3,22))),0)))))</f>
        <v>0</v>
      </c>
      <c r="AQ48" s="27" t="n">
        <f aca="false">IF(COUNT(Aveia!$E46:$Z46)=0,0,MAX(0,IF((AQ$6-$E$3)&lt;1,0,IFERROR(LOOKUP(2,1/(Aveia!$E46:INDEX(Aveia!$E46:$Z46,MIN(AQ$6-$E$3,22))&lt;&gt;""),Aveia!$E46:INDEX(Aveia!$E46:$Z46,MIN(AQ$6-$E$3,22))),0))-IF($G$2,0,IF((AQ$6-$G$3)&lt;1,0,IFERROR(LOOKUP(2,1/(Aveia!$E46:INDEX(Aveia!$E46:$Z46,MIN(AQ$6-$G$3,22))&lt;&gt;""),Aveia!$E46:INDEX(Aveia!$E46:$Z46,MIN(AQ$6-$G$3,22))),0)))))</f>
        <v>0</v>
      </c>
      <c r="AR48" s="27" t="n">
        <f aca="false">IF(COUNT(Aveia!$E46:$Z46)=0,0,MAX(0,IF((AR$6-$E$3)&lt;1,0,IFERROR(LOOKUP(2,1/(Aveia!$E46:INDEX(Aveia!$E46:$Z46,MIN(AR$6-$E$3,22))&lt;&gt;""),Aveia!$E46:INDEX(Aveia!$E46:$Z46,MIN(AR$6-$E$3,22))),0))-IF($G$2,0,IF((AR$6-$G$3)&lt;1,0,IFERROR(LOOKUP(2,1/(Aveia!$E46:INDEX(Aveia!$E46:$Z46,MIN(AR$6-$G$3,22))&lt;&gt;""),Aveia!$E46:INDEX(Aveia!$E46:$Z46,MIN(AR$6-$G$3,22))),0)))))</f>
        <v>0</v>
      </c>
      <c r="AS48" s="27" t="n">
        <f aca="false">IF(COUNT(Aveia!$E46:$Z46)=0,0,MAX(0,IF((AS$6-$E$3)&lt;1,0,IFERROR(LOOKUP(2,1/(Aveia!$E46:INDEX(Aveia!$E46:$Z46,MIN(AS$6-$E$3,22))&lt;&gt;""),Aveia!$E46:INDEX(Aveia!$E46:$Z46,MIN(AS$6-$E$3,22))),0))-IF($G$2,0,IF((AS$6-$G$3)&lt;1,0,IFERROR(LOOKUP(2,1/(Aveia!$E46:INDEX(Aveia!$E46:$Z46,MIN(AS$6-$G$3,22))&lt;&gt;""),Aveia!$E46:INDEX(Aveia!$E46:$Z46,MIN(AS$6-$G$3,22))),0)))))</f>
        <v>0</v>
      </c>
      <c r="AT48" s="27" t="n">
        <f aca="false">IF(COUNT(Aveia!$E46:$Z46)=0,0,MAX(0,IF((AT$6-$E$3)&lt;1,0,IFERROR(LOOKUP(2,1/(Aveia!$E46:INDEX(Aveia!$E46:$Z46,MIN(AT$6-$E$3,22))&lt;&gt;""),Aveia!$E46:INDEX(Aveia!$E46:$Z46,MIN(AT$6-$E$3,22))),0))-IF($G$2,0,IF((AT$6-$G$3)&lt;1,0,IFERROR(LOOKUP(2,1/(Aveia!$E46:INDEX(Aveia!$E46:$Z46,MIN(AT$6-$G$3,22))&lt;&gt;""),Aveia!$E46:INDEX(Aveia!$E46:$Z46,MIN(AT$6-$G$3,22))),0)))))</f>
        <v>0</v>
      </c>
      <c r="AU48" s="27" t="n">
        <f aca="false">IF(COUNT(Aveia!$E46:$Z46)=0,0,MAX(0,IF((AU$6-$E$3)&lt;1,0,IFERROR(LOOKUP(2,1/(Aveia!$E46:INDEX(Aveia!$E46:$Z46,MIN(AU$6-$E$3,22))&lt;&gt;""),Aveia!$E46:INDEX(Aveia!$E46:$Z46,MIN(AU$6-$E$3,22))),0))-IF($G$2,0,IF((AU$6-$G$3)&lt;1,0,IFERROR(LOOKUP(2,1/(Aveia!$E46:INDEX(Aveia!$E46:$Z46,MIN(AU$6-$G$3,22))&lt;&gt;""),Aveia!$E46:INDEX(Aveia!$E46:$Z46,MIN(AU$6-$G$3,22))),0)))))</f>
        <v>0</v>
      </c>
      <c r="AV48" s="27" t="n">
        <f aca="false">IF(COUNT(Aveia!$E46:$Z46)=0,0,MAX(0,IF((AV$6-$E$3)&lt;1,0,IFERROR(LOOKUP(2,1/(Aveia!$E46:INDEX(Aveia!$E46:$Z46,MIN(AV$6-$E$3,22))&lt;&gt;""),Aveia!$E46:INDEX(Aveia!$E46:$Z46,MIN(AV$6-$E$3,22))),0))-IF($G$2,0,IF((AV$6-$G$3)&lt;1,0,IFERROR(LOOKUP(2,1/(Aveia!$E46:INDEX(Aveia!$E46:$Z46,MIN(AV$6-$G$3,22))&lt;&gt;""),Aveia!$E46:INDEX(Aveia!$E46:$Z46,MIN(AV$6-$G$3,22))),0)))))</f>
        <v>0</v>
      </c>
      <c r="AW48" s="27" t="n">
        <f aca="false">IF(COUNT(Aveia!$E46:$Z46)=0,0,MAX(0,IF((AW$6-$E$3)&lt;1,0,IFERROR(LOOKUP(2,1/(Aveia!$E46:INDEX(Aveia!$E46:$Z46,MIN(AW$6-$E$3,22))&lt;&gt;""),Aveia!$E46:INDEX(Aveia!$E46:$Z46,MIN(AW$6-$E$3,22))),0))-IF($G$2,0,IF((AW$6-$G$3)&lt;1,0,IFERROR(LOOKUP(2,1/(Aveia!$E46:INDEX(Aveia!$E46:$Z46,MIN(AW$6-$G$3,22))&lt;&gt;""),Aveia!$E46:INDEX(Aveia!$E46:$Z46,MIN(AW$6-$G$3,22))),0)))))</f>
        <v>0</v>
      </c>
      <c r="AX48" s="27" t="n">
        <f aca="false">IF(COUNT(Aveia!$E46:$Z46)=0,0,MAX(0,IF((AX$6-$E$3)&lt;1,0,IFERROR(LOOKUP(2,1/(Aveia!$E46:INDEX(Aveia!$E46:$Z46,MIN(AX$6-$E$3,22))&lt;&gt;""),Aveia!$E46:INDEX(Aveia!$E46:$Z46,MIN(AX$6-$E$3,22))),0))-IF($G$2,0,IF((AX$6-$G$3)&lt;1,0,IFERROR(LOOKUP(2,1/(Aveia!$E46:INDEX(Aveia!$E46:$Z46,MIN(AX$6-$G$3,22))&lt;&gt;""),Aveia!$E46:INDEX(Aveia!$E46:$Z46,MIN(AX$6-$G$3,22))),0)))))</f>
        <v>0</v>
      </c>
      <c r="AY48" s="27" t="n">
        <f aca="false">IF(COUNT(Aveia!$E46:$Z46)=0,0,MAX(0,IF((AY$6-$E$3)&lt;1,0,IFERROR(LOOKUP(2,1/(Aveia!$E46:INDEX(Aveia!$E46:$Z46,MIN(AY$6-$E$3,22))&lt;&gt;""),Aveia!$E46:INDEX(Aveia!$E46:$Z46,MIN(AY$6-$E$3,22))),0))-IF($G$2,0,IF((AY$6-$G$3)&lt;1,0,IFERROR(LOOKUP(2,1/(Aveia!$E46:INDEX(Aveia!$E46:$Z46,MIN(AY$6-$G$3,22))&lt;&gt;""),Aveia!$E46:INDEX(Aveia!$E46:$Z46,MIN(AY$6-$G$3,22))),0)))))</f>
        <v>0</v>
      </c>
      <c r="AZ48" s="27" t="n">
        <f aca="false">IF(COUNT(Aveia!$E46:$Z46)=0,0,MAX(0,IF((AZ$6-$E$3)&lt;1,0,IFERROR(LOOKUP(2,1/(Aveia!$E46:INDEX(Aveia!$E46:$Z46,MIN(AZ$6-$E$3,22))&lt;&gt;""),Aveia!$E46:INDEX(Aveia!$E46:$Z46,MIN(AZ$6-$E$3,22))),0))-IF($G$2,0,IF((AZ$6-$G$3)&lt;1,0,IFERROR(LOOKUP(2,1/(Aveia!$E46:INDEX(Aveia!$E46:$Z46,MIN(AZ$6-$G$3,22))&lt;&gt;""),Aveia!$E46:INDEX(Aveia!$E46:$Z46,MIN(AZ$6-$G$3,22))),0)))))</f>
        <v>0</v>
      </c>
    </row>
    <row r="49" customFormat="false" ht="15" hidden="false" customHeight="false" outlineLevel="0" collapsed="false">
      <c r="A49" s="3" t="s">
        <v>219</v>
      </c>
      <c r="B49" s="3" t="s">
        <v>220</v>
      </c>
      <c r="C49" s="10" t="s">
        <v>200</v>
      </c>
      <c r="D49" s="26" t="n">
        <f aca="false">IF(COUNT(Aveia!$E47:$Z47)&gt;0,N(Aveia!$D47),0)</f>
        <v>0</v>
      </c>
      <c r="E49" s="27" t="n">
        <f aca="false">IF(COUNT(Aveia!$E47:$Z47)=0,0,MAX(0,IF((E$6-$E$3)&lt;1,0,IFERROR(LOOKUP(2,1/(Aveia!$E47:INDEX(Aveia!$E47:$Z47,MIN(E$6-$E$3,22))&lt;&gt;""),Aveia!$E47:INDEX(Aveia!$E47:$Z47,MIN(E$6-$E$3,22))),0))-IF($G$2,0,IF((E$6-$G$3)&lt;1,0,IFERROR(LOOKUP(2,1/(Aveia!$E47:INDEX(Aveia!$E47:$Z47,MIN(E$6-$G$3,22))&lt;&gt;""),Aveia!$E47:INDEX(Aveia!$E47:$Z47,MIN(E$6-$G$3,22))),0)))))</f>
        <v>0</v>
      </c>
      <c r="F49" s="27" t="n">
        <f aca="false">IF(COUNT(Aveia!$E47:$Z47)=0,0,MAX(0,IF((F$6-$E$3)&lt;1,0,IFERROR(LOOKUP(2,1/(Aveia!$E47:INDEX(Aveia!$E47:$Z47,MIN(F$6-$E$3,22))&lt;&gt;""),Aveia!$E47:INDEX(Aveia!$E47:$Z47,MIN(F$6-$E$3,22))),0))-IF($G$2,0,IF((F$6-$G$3)&lt;1,0,IFERROR(LOOKUP(2,1/(Aveia!$E47:INDEX(Aveia!$E47:$Z47,MIN(F$6-$G$3,22))&lt;&gt;""),Aveia!$E47:INDEX(Aveia!$E47:$Z47,MIN(F$6-$G$3,22))),0)))))</f>
        <v>0</v>
      </c>
      <c r="G49" s="27" t="n">
        <f aca="false">IF(COUNT(Aveia!$E47:$Z47)=0,0,MAX(0,IF((G$6-$E$3)&lt;1,0,IFERROR(LOOKUP(2,1/(Aveia!$E47:INDEX(Aveia!$E47:$Z47,MIN(G$6-$E$3,22))&lt;&gt;""),Aveia!$E47:INDEX(Aveia!$E47:$Z47,MIN(G$6-$E$3,22))),0))-IF($G$2,0,IF((G$6-$G$3)&lt;1,0,IFERROR(LOOKUP(2,1/(Aveia!$E47:INDEX(Aveia!$E47:$Z47,MIN(G$6-$G$3,22))&lt;&gt;""),Aveia!$E47:INDEX(Aveia!$E47:$Z47,MIN(G$6-$G$3,22))),0)))))</f>
        <v>0</v>
      </c>
      <c r="H49" s="27" t="n">
        <f aca="false">IF(COUNT(Aveia!$E47:$Z47)=0,0,MAX(0,IF((H$6-$E$3)&lt;1,0,IFERROR(LOOKUP(2,1/(Aveia!$E47:INDEX(Aveia!$E47:$Z47,MIN(H$6-$E$3,22))&lt;&gt;""),Aveia!$E47:INDEX(Aveia!$E47:$Z47,MIN(H$6-$E$3,22))),0))-IF($G$2,0,IF((H$6-$G$3)&lt;1,0,IFERROR(LOOKUP(2,1/(Aveia!$E47:INDEX(Aveia!$E47:$Z47,MIN(H$6-$G$3,22))&lt;&gt;""),Aveia!$E47:INDEX(Aveia!$E47:$Z47,MIN(H$6-$G$3,22))),0)))))</f>
        <v>0</v>
      </c>
      <c r="I49" s="27" t="n">
        <f aca="false">IF(COUNT(Aveia!$E47:$Z47)=0,0,MAX(0,IF((I$6-$E$3)&lt;1,0,IFERROR(LOOKUP(2,1/(Aveia!$E47:INDEX(Aveia!$E47:$Z47,MIN(I$6-$E$3,22))&lt;&gt;""),Aveia!$E47:INDEX(Aveia!$E47:$Z47,MIN(I$6-$E$3,22))),0))-IF($G$2,0,IF((I$6-$G$3)&lt;1,0,IFERROR(LOOKUP(2,1/(Aveia!$E47:INDEX(Aveia!$E47:$Z47,MIN(I$6-$G$3,22))&lt;&gt;""),Aveia!$E47:INDEX(Aveia!$E47:$Z47,MIN(I$6-$G$3,22))),0)))))</f>
        <v>0</v>
      </c>
      <c r="J49" s="27" t="n">
        <f aca="false">IF(COUNT(Aveia!$E47:$Z47)=0,0,MAX(0,IF((J$6-$E$3)&lt;1,0,IFERROR(LOOKUP(2,1/(Aveia!$E47:INDEX(Aveia!$E47:$Z47,MIN(J$6-$E$3,22))&lt;&gt;""),Aveia!$E47:INDEX(Aveia!$E47:$Z47,MIN(J$6-$E$3,22))),0))-IF($G$2,0,IF((J$6-$G$3)&lt;1,0,IFERROR(LOOKUP(2,1/(Aveia!$E47:INDEX(Aveia!$E47:$Z47,MIN(J$6-$G$3,22))&lt;&gt;""),Aveia!$E47:INDEX(Aveia!$E47:$Z47,MIN(J$6-$G$3,22))),0)))))</f>
        <v>0</v>
      </c>
      <c r="K49" s="27" t="n">
        <f aca="false">IF(COUNT(Aveia!$E47:$Z47)=0,0,MAX(0,IF((K$6-$E$3)&lt;1,0,IFERROR(LOOKUP(2,1/(Aveia!$E47:INDEX(Aveia!$E47:$Z47,MIN(K$6-$E$3,22))&lt;&gt;""),Aveia!$E47:INDEX(Aveia!$E47:$Z47,MIN(K$6-$E$3,22))),0))-IF($G$2,0,IF((K$6-$G$3)&lt;1,0,IFERROR(LOOKUP(2,1/(Aveia!$E47:INDEX(Aveia!$E47:$Z47,MIN(K$6-$G$3,22))&lt;&gt;""),Aveia!$E47:INDEX(Aveia!$E47:$Z47,MIN(K$6-$G$3,22))),0)))))</f>
        <v>0</v>
      </c>
      <c r="L49" s="27" t="n">
        <f aca="false">IF(COUNT(Aveia!$E47:$Z47)=0,0,MAX(0,IF((L$6-$E$3)&lt;1,0,IFERROR(LOOKUP(2,1/(Aveia!$E47:INDEX(Aveia!$E47:$Z47,MIN(L$6-$E$3,22))&lt;&gt;""),Aveia!$E47:INDEX(Aveia!$E47:$Z47,MIN(L$6-$E$3,22))),0))-IF($G$2,0,IF((L$6-$G$3)&lt;1,0,IFERROR(LOOKUP(2,1/(Aveia!$E47:INDEX(Aveia!$E47:$Z47,MIN(L$6-$G$3,22))&lt;&gt;""),Aveia!$E47:INDEX(Aveia!$E47:$Z47,MIN(L$6-$G$3,22))),0)))))</f>
        <v>0</v>
      </c>
      <c r="M49" s="27" t="n">
        <f aca="false">IF(COUNT(Aveia!$E47:$Z47)=0,0,MAX(0,IF((M$6-$E$3)&lt;1,0,IFERROR(LOOKUP(2,1/(Aveia!$E47:INDEX(Aveia!$E47:$Z47,MIN(M$6-$E$3,22))&lt;&gt;""),Aveia!$E47:INDEX(Aveia!$E47:$Z47,MIN(M$6-$E$3,22))),0))-IF($G$2,0,IF((M$6-$G$3)&lt;1,0,IFERROR(LOOKUP(2,1/(Aveia!$E47:INDEX(Aveia!$E47:$Z47,MIN(M$6-$G$3,22))&lt;&gt;""),Aveia!$E47:INDEX(Aveia!$E47:$Z47,MIN(M$6-$G$3,22))),0)))))</f>
        <v>0</v>
      </c>
      <c r="N49" s="27" t="n">
        <f aca="false">IF(COUNT(Aveia!$E47:$Z47)=0,0,MAX(0,IF((N$6-$E$3)&lt;1,0,IFERROR(LOOKUP(2,1/(Aveia!$E47:INDEX(Aveia!$E47:$Z47,MIN(N$6-$E$3,22))&lt;&gt;""),Aveia!$E47:INDEX(Aveia!$E47:$Z47,MIN(N$6-$E$3,22))),0))-IF($G$2,0,IF((N$6-$G$3)&lt;1,0,IFERROR(LOOKUP(2,1/(Aveia!$E47:INDEX(Aveia!$E47:$Z47,MIN(N$6-$G$3,22))&lt;&gt;""),Aveia!$E47:INDEX(Aveia!$E47:$Z47,MIN(N$6-$G$3,22))),0)))))</f>
        <v>0</v>
      </c>
      <c r="O49" s="27" t="n">
        <f aca="false">IF(COUNT(Aveia!$E47:$Z47)=0,0,MAX(0,IF((O$6-$E$3)&lt;1,0,IFERROR(LOOKUP(2,1/(Aveia!$E47:INDEX(Aveia!$E47:$Z47,MIN(O$6-$E$3,22))&lt;&gt;""),Aveia!$E47:INDEX(Aveia!$E47:$Z47,MIN(O$6-$E$3,22))),0))-IF($G$2,0,IF((O$6-$G$3)&lt;1,0,IFERROR(LOOKUP(2,1/(Aveia!$E47:INDEX(Aveia!$E47:$Z47,MIN(O$6-$G$3,22))&lt;&gt;""),Aveia!$E47:INDEX(Aveia!$E47:$Z47,MIN(O$6-$G$3,22))),0)))))</f>
        <v>0</v>
      </c>
      <c r="P49" s="27" t="n">
        <f aca="false">IF(COUNT(Aveia!$E47:$Z47)=0,0,MAX(0,IF((P$6-$E$3)&lt;1,0,IFERROR(LOOKUP(2,1/(Aveia!$E47:INDEX(Aveia!$E47:$Z47,MIN(P$6-$E$3,22))&lt;&gt;""),Aveia!$E47:INDEX(Aveia!$E47:$Z47,MIN(P$6-$E$3,22))),0))-IF($G$2,0,IF((P$6-$G$3)&lt;1,0,IFERROR(LOOKUP(2,1/(Aveia!$E47:INDEX(Aveia!$E47:$Z47,MIN(P$6-$G$3,22))&lt;&gt;""),Aveia!$E47:INDEX(Aveia!$E47:$Z47,MIN(P$6-$G$3,22))),0)))))</f>
        <v>0</v>
      </c>
      <c r="Q49" s="27" t="n">
        <f aca="false">IF(COUNT(Aveia!$E47:$Z47)=0,0,MAX(0,IF((Q$6-$E$3)&lt;1,0,IFERROR(LOOKUP(2,1/(Aveia!$E47:INDEX(Aveia!$E47:$Z47,MIN(Q$6-$E$3,22))&lt;&gt;""),Aveia!$E47:INDEX(Aveia!$E47:$Z47,MIN(Q$6-$E$3,22))),0))-IF($G$2,0,IF((Q$6-$G$3)&lt;1,0,IFERROR(LOOKUP(2,1/(Aveia!$E47:INDEX(Aveia!$E47:$Z47,MIN(Q$6-$G$3,22))&lt;&gt;""),Aveia!$E47:INDEX(Aveia!$E47:$Z47,MIN(Q$6-$G$3,22))),0)))))</f>
        <v>0</v>
      </c>
      <c r="R49" s="27" t="n">
        <f aca="false">IF(COUNT(Aveia!$E47:$Z47)=0,0,MAX(0,IF((R$6-$E$3)&lt;1,0,IFERROR(LOOKUP(2,1/(Aveia!$E47:INDEX(Aveia!$E47:$Z47,MIN(R$6-$E$3,22))&lt;&gt;""),Aveia!$E47:INDEX(Aveia!$E47:$Z47,MIN(R$6-$E$3,22))),0))-IF($G$2,0,IF((R$6-$G$3)&lt;1,0,IFERROR(LOOKUP(2,1/(Aveia!$E47:INDEX(Aveia!$E47:$Z47,MIN(R$6-$G$3,22))&lt;&gt;""),Aveia!$E47:INDEX(Aveia!$E47:$Z47,MIN(R$6-$G$3,22))),0)))))</f>
        <v>0</v>
      </c>
      <c r="S49" s="27" t="n">
        <f aca="false">IF(COUNT(Aveia!$E47:$Z47)=0,0,MAX(0,IF((S$6-$E$3)&lt;1,0,IFERROR(LOOKUP(2,1/(Aveia!$E47:INDEX(Aveia!$E47:$Z47,MIN(S$6-$E$3,22))&lt;&gt;""),Aveia!$E47:INDEX(Aveia!$E47:$Z47,MIN(S$6-$E$3,22))),0))-IF($G$2,0,IF((S$6-$G$3)&lt;1,0,IFERROR(LOOKUP(2,1/(Aveia!$E47:INDEX(Aveia!$E47:$Z47,MIN(S$6-$G$3,22))&lt;&gt;""),Aveia!$E47:INDEX(Aveia!$E47:$Z47,MIN(S$6-$G$3,22))),0)))))</f>
        <v>0</v>
      </c>
      <c r="T49" s="27" t="n">
        <f aca="false">IF(COUNT(Aveia!$E47:$Z47)=0,0,MAX(0,IF((T$6-$E$3)&lt;1,0,IFERROR(LOOKUP(2,1/(Aveia!$E47:INDEX(Aveia!$E47:$Z47,MIN(T$6-$E$3,22))&lt;&gt;""),Aveia!$E47:INDEX(Aveia!$E47:$Z47,MIN(T$6-$E$3,22))),0))-IF($G$2,0,IF((T$6-$G$3)&lt;1,0,IFERROR(LOOKUP(2,1/(Aveia!$E47:INDEX(Aveia!$E47:$Z47,MIN(T$6-$G$3,22))&lt;&gt;""),Aveia!$E47:INDEX(Aveia!$E47:$Z47,MIN(T$6-$G$3,22))),0)))))</f>
        <v>0</v>
      </c>
      <c r="U49" s="27" t="n">
        <f aca="false">IF(COUNT(Aveia!$E47:$Z47)=0,0,MAX(0,IF((U$6-$E$3)&lt;1,0,IFERROR(LOOKUP(2,1/(Aveia!$E47:INDEX(Aveia!$E47:$Z47,MIN(U$6-$E$3,22))&lt;&gt;""),Aveia!$E47:INDEX(Aveia!$E47:$Z47,MIN(U$6-$E$3,22))),0))-IF($G$2,0,IF((U$6-$G$3)&lt;1,0,IFERROR(LOOKUP(2,1/(Aveia!$E47:INDEX(Aveia!$E47:$Z47,MIN(U$6-$G$3,22))&lt;&gt;""),Aveia!$E47:INDEX(Aveia!$E47:$Z47,MIN(U$6-$G$3,22))),0)))))</f>
        <v>0</v>
      </c>
      <c r="V49" s="27" t="n">
        <f aca="false">IF(COUNT(Aveia!$E47:$Z47)=0,0,MAX(0,IF((V$6-$E$3)&lt;1,0,IFERROR(LOOKUP(2,1/(Aveia!$E47:INDEX(Aveia!$E47:$Z47,MIN(V$6-$E$3,22))&lt;&gt;""),Aveia!$E47:INDEX(Aveia!$E47:$Z47,MIN(V$6-$E$3,22))),0))-IF($G$2,0,IF((V$6-$G$3)&lt;1,0,IFERROR(LOOKUP(2,1/(Aveia!$E47:INDEX(Aveia!$E47:$Z47,MIN(V$6-$G$3,22))&lt;&gt;""),Aveia!$E47:INDEX(Aveia!$E47:$Z47,MIN(V$6-$G$3,22))),0)))))</f>
        <v>0</v>
      </c>
      <c r="W49" s="27" t="n">
        <f aca="false">IF(COUNT(Aveia!$E47:$Z47)=0,0,MAX(0,IF((W$6-$E$3)&lt;1,0,IFERROR(LOOKUP(2,1/(Aveia!$E47:INDEX(Aveia!$E47:$Z47,MIN(W$6-$E$3,22))&lt;&gt;""),Aveia!$E47:INDEX(Aveia!$E47:$Z47,MIN(W$6-$E$3,22))),0))-IF($G$2,0,IF((W$6-$G$3)&lt;1,0,IFERROR(LOOKUP(2,1/(Aveia!$E47:INDEX(Aveia!$E47:$Z47,MIN(W$6-$G$3,22))&lt;&gt;""),Aveia!$E47:INDEX(Aveia!$E47:$Z47,MIN(W$6-$G$3,22))),0)))))</f>
        <v>0</v>
      </c>
      <c r="X49" s="27" t="n">
        <f aca="false">IF(COUNT(Aveia!$E47:$Z47)=0,0,MAX(0,IF((X$6-$E$3)&lt;1,0,IFERROR(LOOKUP(2,1/(Aveia!$E47:INDEX(Aveia!$E47:$Z47,MIN(X$6-$E$3,22))&lt;&gt;""),Aveia!$E47:INDEX(Aveia!$E47:$Z47,MIN(X$6-$E$3,22))),0))-IF($G$2,0,IF((X$6-$G$3)&lt;1,0,IFERROR(LOOKUP(2,1/(Aveia!$E47:INDEX(Aveia!$E47:$Z47,MIN(X$6-$G$3,22))&lt;&gt;""),Aveia!$E47:INDEX(Aveia!$E47:$Z47,MIN(X$6-$G$3,22))),0)))))</f>
        <v>0</v>
      </c>
      <c r="Y49" s="27" t="n">
        <f aca="false">IF(COUNT(Aveia!$E47:$Z47)=0,0,MAX(0,IF((Y$6-$E$3)&lt;1,0,IFERROR(LOOKUP(2,1/(Aveia!$E47:INDEX(Aveia!$E47:$Z47,MIN(Y$6-$E$3,22))&lt;&gt;""),Aveia!$E47:INDEX(Aveia!$E47:$Z47,MIN(Y$6-$E$3,22))),0))-IF($G$2,0,IF((Y$6-$G$3)&lt;1,0,IFERROR(LOOKUP(2,1/(Aveia!$E47:INDEX(Aveia!$E47:$Z47,MIN(Y$6-$G$3,22))&lt;&gt;""),Aveia!$E47:INDEX(Aveia!$E47:$Z47,MIN(Y$6-$G$3,22))),0)))))</f>
        <v>0</v>
      </c>
      <c r="Z49" s="27" t="n">
        <f aca="false">IF(COUNT(Aveia!$E47:$Z47)=0,0,MAX(0,IF((Z$6-$E$3)&lt;1,0,IFERROR(LOOKUP(2,1/(Aveia!$E47:INDEX(Aveia!$E47:$Z47,MIN(Z$6-$E$3,22))&lt;&gt;""),Aveia!$E47:INDEX(Aveia!$E47:$Z47,MIN(Z$6-$E$3,22))),0))-IF($G$2,0,IF((Z$6-$G$3)&lt;1,0,IFERROR(LOOKUP(2,1/(Aveia!$E47:INDEX(Aveia!$E47:$Z47,MIN(Z$6-$G$3,22))&lt;&gt;""),Aveia!$E47:INDEX(Aveia!$E47:$Z47,MIN(Z$6-$G$3,22))),0)))))</f>
        <v>0</v>
      </c>
      <c r="AA49" s="27" t="n">
        <f aca="false">IF(COUNT(Aveia!$E47:$Z47)=0,0,MAX(0,IF((AA$6-$E$3)&lt;1,0,IFERROR(LOOKUP(2,1/(Aveia!$E47:INDEX(Aveia!$E47:$Z47,MIN(AA$6-$E$3,22))&lt;&gt;""),Aveia!$E47:INDEX(Aveia!$E47:$Z47,MIN(AA$6-$E$3,22))),0))-IF($G$2,0,IF((AA$6-$G$3)&lt;1,0,IFERROR(LOOKUP(2,1/(Aveia!$E47:INDEX(Aveia!$E47:$Z47,MIN(AA$6-$G$3,22))&lt;&gt;""),Aveia!$E47:INDEX(Aveia!$E47:$Z47,MIN(AA$6-$G$3,22))),0)))))</f>
        <v>0</v>
      </c>
      <c r="AB49" s="27" t="n">
        <f aca="false">IF(COUNT(Aveia!$E47:$Z47)=0,0,MAX(0,IF((AB$6-$E$3)&lt;1,0,IFERROR(LOOKUP(2,1/(Aveia!$E47:INDEX(Aveia!$E47:$Z47,MIN(AB$6-$E$3,22))&lt;&gt;""),Aveia!$E47:INDEX(Aveia!$E47:$Z47,MIN(AB$6-$E$3,22))),0))-IF($G$2,0,IF((AB$6-$G$3)&lt;1,0,IFERROR(LOOKUP(2,1/(Aveia!$E47:INDEX(Aveia!$E47:$Z47,MIN(AB$6-$G$3,22))&lt;&gt;""),Aveia!$E47:INDEX(Aveia!$E47:$Z47,MIN(AB$6-$G$3,22))),0)))))</f>
        <v>0</v>
      </c>
      <c r="AC49" s="27" t="n">
        <f aca="false">IF(COUNT(Aveia!$E47:$Z47)=0,0,MAX(0,IF((AC$6-$E$3)&lt;1,0,IFERROR(LOOKUP(2,1/(Aveia!$E47:INDEX(Aveia!$E47:$Z47,MIN(AC$6-$E$3,22))&lt;&gt;""),Aveia!$E47:INDEX(Aveia!$E47:$Z47,MIN(AC$6-$E$3,22))),0))-IF($G$2,0,IF((AC$6-$G$3)&lt;1,0,IFERROR(LOOKUP(2,1/(Aveia!$E47:INDEX(Aveia!$E47:$Z47,MIN(AC$6-$G$3,22))&lt;&gt;""),Aveia!$E47:INDEX(Aveia!$E47:$Z47,MIN(AC$6-$G$3,22))),0)))))</f>
        <v>0</v>
      </c>
      <c r="AD49" s="27" t="n">
        <f aca="false">IF(COUNT(Aveia!$E47:$Z47)=0,0,MAX(0,IF((AD$6-$E$3)&lt;1,0,IFERROR(LOOKUP(2,1/(Aveia!$E47:INDEX(Aveia!$E47:$Z47,MIN(AD$6-$E$3,22))&lt;&gt;""),Aveia!$E47:INDEX(Aveia!$E47:$Z47,MIN(AD$6-$E$3,22))),0))-IF($G$2,0,IF((AD$6-$G$3)&lt;1,0,IFERROR(LOOKUP(2,1/(Aveia!$E47:INDEX(Aveia!$E47:$Z47,MIN(AD$6-$G$3,22))&lt;&gt;""),Aveia!$E47:INDEX(Aveia!$E47:$Z47,MIN(AD$6-$G$3,22))),0)))))</f>
        <v>0</v>
      </c>
      <c r="AE49" s="27" t="n">
        <f aca="false">IF(COUNT(Aveia!$E47:$Z47)=0,0,MAX(0,IF((AE$6-$E$3)&lt;1,0,IFERROR(LOOKUP(2,1/(Aveia!$E47:INDEX(Aveia!$E47:$Z47,MIN(AE$6-$E$3,22))&lt;&gt;""),Aveia!$E47:INDEX(Aveia!$E47:$Z47,MIN(AE$6-$E$3,22))),0))-IF($G$2,0,IF((AE$6-$G$3)&lt;1,0,IFERROR(LOOKUP(2,1/(Aveia!$E47:INDEX(Aveia!$E47:$Z47,MIN(AE$6-$G$3,22))&lt;&gt;""),Aveia!$E47:INDEX(Aveia!$E47:$Z47,MIN(AE$6-$G$3,22))),0)))))</f>
        <v>0</v>
      </c>
      <c r="AF49" s="27" t="n">
        <f aca="false">IF(COUNT(Aveia!$E47:$Z47)=0,0,MAX(0,IF((AF$6-$E$3)&lt;1,0,IFERROR(LOOKUP(2,1/(Aveia!$E47:INDEX(Aveia!$E47:$Z47,MIN(AF$6-$E$3,22))&lt;&gt;""),Aveia!$E47:INDEX(Aveia!$E47:$Z47,MIN(AF$6-$E$3,22))),0))-IF($G$2,0,IF((AF$6-$G$3)&lt;1,0,IFERROR(LOOKUP(2,1/(Aveia!$E47:INDEX(Aveia!$E47:$Z47,MIN(AF$6-$G$3,22))&lt;&gt;""),Aveia!$E47:INDEX(Aveia!$E47:$Z47,MIN(AF$6-$G$3,22))),0)))))</f>
        <v>0</v>
      </c>
      <c r="AG49" s="27" t="n">
        <f aca="false">IF(COUNT(Aveia!$E47:$Z47)=0,0,MAX(0,IF((AG$6-$E$3)&lt;1,0,IFERROR(LOOKUP(2,1/(Aveia!$E47:INDEX(Aveia!$E47:$Z47,MIN(AG$6-$E$3,22))&lt;&gt;""),Aveia!$E47:INDEX(Aveia!$E47:$Z47,MIN(AG$6-$E$3,22))),0))-IF($G$2,0,IF((AG$6-$G$3)&lt;1,0,IFERROR(LOOKUP(2,1/(Aveia!$E47:INDEX(Aveia!$E47:$Z47,MIN(AG$6-$G$3,22))&lt;&gt;""),Aveia!$E47:INDEX(Aveia!$E47:$Z47,MIN(AG$6-$G$3,22))),0)))))</f>
        <v>0</v>
      </c>
      <c r="AH49" s="27" t="n">
        <f aca="false">IF(COUNT(Aveia!$E47:$Z47)=0,0,MAX(0,IF((AH$6-$E$3)&lt;1,0,IFERROR(LOOKUP(2,1/(Aveia!$E47:INDEX(Aveia!$E47:$Z47,MIN(AH$6-$E$3,22))&lt;&gt;""),Aveia!$E47:INDEX(Aveia!$E47:$Z47,MIN(AH$6-$E$3,22))),0))-IF($G$2,0,IF((AH$6-$G$3)&lt;1,0,IFERROR(LOOKUP(2,1/(Aveia!$E47:INDEX(Aveia!$E47:$Z47,MIN(AH$6-$G$3,22))&lt;&gt;""),Aveia!$E47:INDEX(Aveia!$E47:$Z47,MIN(AH$6-$G$3,22))),0)))))</f>
        <v>0</v>
      </c>
      <c r="AI49" s="27" t="n">
        <f aca="false">IF(COUNT(Aveia!$E47:$Z47)=0,0,MAX(0,IF((AI$6-$E$3)&lt;1,0,IFERROR(LOOKUP(2,1/(Aveia!$E47:INDEX(Aveia!$E47:$Z47,MIN(AI$6-$E$3,22))&lt;&gt;""),Aveia!$E47:INDEX(Aveia!$E47:$Z47,MIN(AI$6-$E$3,22))),0))-IF($G$2,0,IF((AI$6-$G$3)&lt;1,0,IFERROR(LOOKUP(2,1/(Aveia!$E47:INDEX(Aveia!$E47:$Z47,MIN(AI$6-$G$3,22))&lt;&gt;""),Aveia!$E47:INDEX(Aveia!$E47:$Z47,MIN(AI$6-$G$3,22))),0)))))</f>
        <v>0</v>
      </c>
      <c r="AJ49" s="27" t="n">
        <f aca="false">IF(COUNT(Aveia!$E47:$Z47)=0,0,MAX(0,IF((AJ$6-$E$3)&lt;1,0,IFERROR(LOOKUP(2,1/(Aveia!$E47:INDEX(Aveia!$E47:$Z47,MIN(AJ$6-$E$3,22))&lt;&gt;""),Aveia!$E47:INDEX(Aveia!$E47:$Z47,MIN(AJ$6-$E$3,22))),0))-IF($G$2,0,IF((AJ$6-$G$3)&lt;1,0,IFERROR(LOOKUP(2,1/(Aveia!$E47:INDEX(Aveia!$E47:$Z47,MIN(AJ$6-$G$3,22))&lt;&gt;""),Aveia!$E47:INDEX(Aveia!$E47:$Z47,MIN(AJ$6-$G$3,22))),0)))))</f>
        <v>0</v>
      </c>
      <c r="AK49" s="27" t="n">
        <f aca="false">IF(COUNT(Aveia!$E47:$Z47)=0,0,MAX(0,IF((AK$6-$E$3)&lt;1,0,IFERROR(LOOKUP(2,1/(Aveia!$E47:INDEX(Aveia!$E47:$Z47,MIN(AK$6-$E$3,22))&lt;&gt;""),Aveia!$E47:INDEX(Aveia!$E47:$Z47,MIN(AK$6-$E$3,22))),0))-IF($G$2,0,IF((AK$6-$G$3)&lt;1,0,IFERROR(LOOKUP(2,1/(Aveia!$E47:INDEX(Aveia!$E47:$Z47,MIN(AK$6-$G$3,22))&lt;&gt;""),Aveia!$E47:INDEX(Aveia!$E47:$Z47,MIN(AK$6-$G$3,22))),0)))))</f>
        <v>0</v>
      </c>
      <c r="AL49" s="27" t="n">
        <f aca="false">IF(COUNT(Aveia!$E47:$Z47)=0,0,MAX(0,IF((AL$6-$E$3)&lt;1,0,IFERROR(LOOKUP(2,1/(Aveia!$E47:INDEX(Aveia!$E47:$Z47,MIN(AL$6-$E$3,22))&lt;&gt;""),Aveia!$E47:INDEX(Aveia!$E47:$Z47,MIN(AL$6-$E$3,22))),0))-IF($G$2,0,IF((AL$6-$G$3)&lt;1,0,IFERROR(LOOKUP(2,1/(Aveia!$E47:INDEX(Aveia!$E47:$Z47,MIN(AL$6-$G$3,22))&lt;&gt;""),Aveia!$E47:INDEX(Aveia!$E47:$Z47,MIN(AL$6-$G$3,22))),0)))))</f>
        <v>0</v>
      </c>
      <c r="AM49" s="27" t="n">
        <f aca="false">IF(COUNT(Aveia!$E47:$Z47)=0,0,MAX(0,IF((AM$6-$E$3)&lt;1,0,IFERROR(LOOKUP(2,1/(Aveia!$E47:INDEX(Aveia!$E47:$Z47,MIN(AM$6-$E$3,22))&lt;&gt;""),Aveia!$E47:INDEX(Aveia!$E47:$Z47,MIN(AM$6-$E$3,22))),0))-IF($G$2,0,IF((AM$6-$G$3)&lt;1,0,IFERROR(LOOKUP(2,1/(Aveia!$E47:INDEX(Aveia!$E47:$Z47,MIN(AM$6-$G$3,22))&lt;&gt;""),Aveia!$E47:INDEX(Aveia!$E47:$Z47,MIN(AM$6-$G$3,22))),0)))))</f>
        <v>0</v>
      </c>
      <c r="AN49" s="27" t="n">
        <f aca="false">IF(COUNT(Aveia!$E47:$Z47)=0,0,MAX(0,IF((AN$6-$E$3)&lt;1,0,IFERROR(LOOKUP(2,1/(Aveia!$E47:INDEX(Aveia!$E47:$Z47,MIN(AN$6-$E$3,22))&lt;&gt;""),Aveia!$E47:INDEX(Aveia!$E47:$Z47,MIN(AN$6-$E$3,22))),0))-IF($G$2,0,IF((AN$6-$G$3)&lt;1,0,IFERROR(LOOKUP(2,1/(Aveia!$E47:INDEX(Aveia!$E47:$Z47,MIN(AN$6-$G$3,22))&lt;&gt;""),Aveia!$E47:INDEX(Aveia!$E47:$Z47,MIN(AN$6-$G$3,22))),0)))))</f>
        <v>0</v>
      </c>
      <c r="AO49" s="27" t="n">
        <f aca="false">IF(COUNT(Aveia!$E47:$Z47)=0,0,MAX(0,IF((AO$6-$E$3)&lt;1,0,IFERROR(LOOKUP(2,1/(Aveia!$E47:INDEX(Aveia!$E47:$Z47,MIN(AO$6-$E$3,22))&lt;&gt;""),Aveia!$E47:INDEX(Aveia!$E47:$Z47,MIN(AO$6-$E$3,22))),0))-IF($G$2,0,IF((AO$6-$G$3)&lt;1,0,IFERROR(LOOKUP(2,1/(Aveia!$E47:INDEX(Aveia!$E47:$Z47,MIN(AO$6-$G$3,22))&lt;&gt;""),Aveia!$E47:INDEX(Aveia!$E47:$Z47,MIN(AO$6-$G$3,22))),0)))))</f>
        <v>0</v>
      </c>
      <c r="AP49" s="27" t="n">
        <f aca="false">IF(COUNT(Aveia!$E47:$Z47)=0,0,MAX(0,IF((AP$6-$E$3)&lt;1,0,IFERROR(LOOKUP(2,1/(Aveia!$E47:INDEX(Aveia!$E47:$Z47,MIN(AP$6-$E$3,22))&lt;&gt;""),Aveia!$E47:INDEX(Aveia!$E47:$Z47,MIN(AP$6-$E$3,22))),0))-IF($G$2,0,IF((AP$6-$G$3)&lt;1,0,IFERROR(LOOKUP(2,1/(Aveia!$E47:INDEX(Aveia!$E47:$Z47,MIN(AP$6-$G$3,22))&lt;&gt;""),Aveia!$E47:INDEX(Aveia!$E47:$Z47,MIN(AP$6-$G$3,22))),0)))))</f>
        <v>0</v>
      </c>
      <c r="AQ49" s="27" t="n">
        <f aca="false">IF(COUNT(Aveia!$E47:$Z47)=0,0,MAX(0,IF((AQ$6-$E$3)&lt;1,0,IFERROR(LOOKUP(2,1/(Aveia!$E47:INDEX(Aveia!$E47:$Z47,MIN(AQ$6-$E$3,22))&lt;&gt;""),Aveia!$E47:INDEX(Aveia!$E47:$Z47,MIN(AQ$6-$E$3,22))),0))-IF($G$2,0,IF((AQ$6-$G$3)&lt;1,0,IFERROR(LOOKUP(2,1/(Aveia!$E47:INDEX(Aveia!$E47:$Z47,MIN(AQ$6-$G$3,22))&lt;&gt;""),Aveia!$E47:INDEX(Aveia!$E47:$Z47,MIN(AQ$6-$G$3,22))),0)))))</f>
        <v>0</v>
      </c>
      <c r="AR49" s="27" t="n">
        <f aca="false">IF(COUNT(Aveia!$E47:$Z47)=0,0,MAX(0,IF((AR$6-$E$3)&lt;1,0,IFERROR(LOOKUP(2,1/(Aveia!$E47:INDEX(Aveia!$E47:$Z47,MIN(AR$6-$E$3,22))&lt;&gt;""),Aveia!$E47:INDEX(Aveia!$E47:$Z47,MIN(AR$6-$E$3,22))),0))-IF($G$2,0,IF((AR$6-$G$3)&lt;1,0,IFERROR(LOOKUP(2,1/(Aveia!$E47:INDEX(Aveia!$E47:$Z47,MIN(AR$6-$G$3,22))&lt;&gt;""),Aveia!$E47:INDEX(Aveia!$E47:$Z47,MIN(AR$6-$G$3,22))),0)))))</f>
        <v>0</v>
      </c>
      <c r="AS49" s="27" t="n">
        <f aca="false">IF(COUNT(Aveia!$E47:$Z47)=0,0,MAX(0,IF((AS$6-$E$3)&lt;1,0,IFERROR(LOOKUP(2,1/(Aveia!$E47:INDEX(Aveia!$E47:$Z47,MIN(AS$6-$E$3,22))&lt;&gt;""),Aveia!$E47:INDEX(Aveia!$E47:$Z47,MIN(AS$6-$E$3,22))),0))-IF($G$2,0,IF((AS$6-$G$3)&lt;1,0,IFERROR(LOOKUP(2,1/(Aveia!$E47:INDEX(Aveia!$E47:$Z47,MIN(AS$6-$G$3,22))&lt;&gt;""),Aveia!$E47:INDEX(Aveia!$E47:$Z47,MIN(AS$6-$G$3,22))),0)))))</f>
        <v>0</v>
      </c>
      <c r="AT49" s="27" t="n">
        <f aca="false">IF(COUNT(Aveia!$E47:$Z47)=0,0,MAX(0,IF((AT$6-$E$3)&lt;1,0,IFERROR(LOOKUP(2,1/(Aveia!$E47:INDEX(Aveia!$E47:$Z47,MIN(AT$6-$E$3,22))&lt;&gt;""),Aveia!$E47:INDEX(Aveia!$E47:$Z47,MIN(AT$6-$E$3,22))),0))-IF($G$2,0,IF((AT$6-$G$3)&lt;1,0,IFERROR(LOOKUP(2,1/(Aveia!$E47:INDEX(Aveia!$E47:$Z47,MIN(AT$6-$G$3,22))&lt;&gt;""),Aveia!$E47:INDEX(Aveia!$E47:$Z47,MIN(AT$6-$G$3,22))),0)))))</f>
        <v>0</v>
      </c>
      <c r="AU49" s="27" t="n">
        <f aca="false">IF(COUNT(Aveia!$E47:$Z47)=0,0,MAX(0,IF((AU$6-$E$3)&lt;1,0,IFERROR(LOOKUP(2,1/(Aveia!$E47:INDEX(Aveia!$E47:$Z47,MIN(AU$6-$E$3,22))&lt;&gt;""),Aveia!$E47:INDEX(Aveia!$E47:$Z47,MIN(AU$6-$E$3,22))),0))-IF($G$2,0,IF((AU$6-$G$3)&lt;1,0,IFERROR(LOOKUP(2,1/(Aveia!$E47:INDEX(Aveia!$E47:$Z47,MIN(AU$6-$G$3,22))&lt;&gt;""),Aveia!$E47:INDEX(Aveia!$E47:$Z47,MIN(AU$6-$G$3,22))),0)))))</f>
        <v>0</v>
      </c>
      <c r="AV49" s="27" t="n">
        <f aca="false">IF(COUNT(Aveia!$E47:$Z47)=0,0,MAX(0,IF((AV$6-$E$3)&lt;1,0,IFERROR(LOOKUP(2,1/(Aveia!$E47:INDEX(Aveia!$E47:$Z47,MIN(AV$6-$E$3,22))&lt;&gt;""),Aveia!$E47:INDEX(Aveia!$E47:$Z47,MIN(AV$6-$E$3,22))),0))-IF($G$2,0,IF((AV$6-$G$3)&lt;1,0,IFERROR(LOOKUP(2,1/(Aveia!$E47:INDEX(Aveia!$E47:$Z47,MIN(AV$6-$G$3,22))&lt;&gt;""),Aveia!$E47:INDEX(Aveia!$E47:$Z47,MIN(AV$6-$G$3,22))),0)))))</f>
        <v>0</v>
      </c>
      <c r="AW49" s="27" t="n">
        <f aca="false">IF(COUNT(Aveia!$E47:$Z47)=0,0,MAX(0,IF((AW$6-$E$3)&lt;1,0,IFERROR(LOOKUP(2,1/(Aveia!$E47:INDEX(Aveia!$E47:$Z47,MIN(AW$6-$E$3,22))&lt;&gt;""),Aveia!$E47:INDEX(Aveia!$E47:$Z47,MIN(AW$6-$E$3,22))),0))-IF($G$2,0,IF((AW$6-$G$3)&lt;1,0,IFERROR(LOOKUP(2,1/(Aveia!$E47:INDEX(Aveia!$E47:$Z47,MIN(AW$6-$G$3,22))&lt;&gt;""),Aveia!$E47:INDEX(Aveia!$E47:$Z47,MIN(AW$6-$G$3,22))),0)))))</f>
        <v>0</v>
      </c>
      <c r="AX49" s="27" t="n">
        <f aca="false">IF(COUNT(Aveia!$E47:$Z47)=0,0,MAX(0,IF((AX$6-$E$3)&lt;1,0,IFERROR(LOOKUP(2,1/(Aveia!$E47:INDEX(Aveia!$E47:$Z47,MIN(AX$6-$E$3,22))&lt;&gt;""),Aveia!$E47:INDEX(Aveia!$E47:$Z47,MIN(AX$6-$E$3,22))),0))-IF($G$2,0,IF((AX$6-$G$3)&lt;1,0,IFERROR(LOOKUP(2,1/(Aveia!$E47:INDEX(Aveia!$E47:$Z47,MIN(AX$6-$G$3,22))&lt;&gt;""),Aveia!$E47:INDEX(Aveia!$E47:$Z47,MIN(AX$6-$G$3,22))),0)))))</f>
        <v>0</v>
      </c>
      <c r="AY49" s="27" t="n">
        <f aca="false">IF(COUNT(Aveia!$E47:$Z47)=0,0,MAX(0,IF((AY$6-$E$3)&lt;1,0,IFERROR(LOOKUP(2,1/(Aveia!$E47:INDEX(Aveia!$E47:$Z47,MIN(AY$6-$E$3,22))&lt;&gt;""),Aveia!$E47:INDEX(Aveia!$E47:$Z47,MIN(AY$6-$E$3,22))),0))-IF($G$2,0,IF((AY$6-$G$3)&lt;1,0,IFERROR(LOOKUP(2,1/(Aveia!$E47:INDEX(Aveia!$E47:$Z47,MIN(AY$6-$G$3,22))&lt;&gt;""),Aveia!$E47:INDEX(Aveia!$E47:$Z47,MIN(AY$6-$G$3,22))),0)))))</f>
        <v>0</v>
      </c>
      <c r="AZ49" s="27" t="n">
        <f aca="false">IF(COUNT(Aveia!$E47:$Z47)=0,0,MAX(0,IF((AZ$6-$E$3)&lt;1,0,IFERROR(LOOKUP(2,1/(Aveia!$E47:INDEX(Aveia!$E47:$Z47,MIN(AZ$6-$E$3,22))&lt;&gt;""),Aveia!$E47:INDEX(Aveia!$E47:$Z47,MIN(AZ$6-$E$3,22))),0))-IF($G$2,0,IF((AZ$6-$G$3)&lt;1,0,IFERROR(LOOKUP(2,1/(Aveia!$E47:INDEX(Aveia!$E47:$Z47,MIN(AZ$6-$G$3,22))&lt;&gt;""),Aveia!$E47:INDEX(Aveia!$E47:$Z47,MIN(AZ$6-$G$3,22))),0)))))</f>
        <v>0</v>
      </c>
    </row>
    <row r="50" customFormat="false" ht="15" hidden="false" customHeight="false" outlineLevel="0" collapsed="false">
      <c r="A50" s="3" t="s">
        <v>221</v>
      </c>
      <c r="B50" s="3" t="s">
        <v>222</v>
      </c>
      <c r="C50" s="10" t="s">
        <v>155</v>
      </c>
      <c r="D50" s="26" t="n">
        <f aca="false">IF(COUNT(Aveia!$E48:$Z48)&gt;0,N(Aveia!$D48),0)</f>
        <v>0</v>
      </c>
      <c r="E50" s="27" t="n">
        <f aca="false">IF(COUNT(Aveia!$E48:$Z48)=0,0,MAX(0,IF((E$6-$E$3)&lt;1,0,IFERROR(LOOKUP(2,1/(Aveia!$E48:INDEX(Aveia!$E48:$Z48,MIN(E$6-$E$3,22))&lt;&gt;""),Aveia!$E48:INDEX(Aveia!$E48:$Z48,MIN(E$6-$E$3,22))),0))-IF($G$2,0,IF((E$6-$G$3)&lt;1,0,IFERROR(LOOKUP(2,1/(Aveia!$E48:INDEX(Aveia!$E48:$Z48,MIN(E$6-$G$3,22))&lt;&gt;""),Aveia!$E48:INDEX(Aveia!$E48:$Z48,MIN(E$6-$G$3,22))),0)))))</f>
        <v>0</v>
      </c>
      <c r="F50" s="27" t="n">
        <f aca="false">IF(COUNT(Aveia!$E48:$Z48)=0,0,MAX(0,IF((F$6-$E$3)&lt;1,0,IFERROR(LOOKUP(2,1/(Aveia!$E48:INDEX(Aveia!$E48:$Z48,MIN(F$6-$E$3,22))&lt;&gt;""),Aveia!$E48:INDEX(Aveia!$E48:$Z48,MIN(F$6-$E$3,22))),0))-IF($G$2,0,IF((F$6-$G$3)&lt;1,0,IFERROR(LOOKUP(2,1/(Aveia!$E48:INDEX(Aveia!$E48:$Z48,MIN(F$6-$G$3,22))&lt;&gt;""),Aveia!$E48:INDEX(Aveia!$E48:$Z48,MIN(F$6-$G$3,22))),0)))))</f>
        <v>0</v>
      </c>
      <c r="G50" s="27" t="n">
        <f aca="false">IF(COUNT(Aveia!$E48:$Z48)=0,0,MAX(0,IF((G$6-$E$3)&lt;1,0,IFERROR(LOOKUP(2,1/(Aveia!$E48:INDEX(Aveia!$E48:$Z48,MIN(G$6-$E$3,22))&lt;&gt;""),Aveia!$E48:INDEX(Aveia!$E48:$Z48,MIN(G$6-$E$3,22))),0))-IF($G$2,0,IF((G$6-$G$3)&lt;1,0,IFERROR(LOOKUP(2,1/(Aveia!$E48:INDEX(Aveia!$E48:$Z48,MIN(G$6-$G$3,22))&lt;&gt;""),Aveia!$E48:INDEX(Aveia!$E48:$Z48,MIN(G$6-$G$3,22))),0)))))</f>
        <v>0</v>
      </c>
      <c r="H50" s="27" t="n">
        <f aca="false">IF(COUNT(Aveia!$E48:$Z48)=0,0,MAX(0,IF((H$6-$E$3)&lt;1,0,IFERROR(LOOKUP(2,1/(Aveia!$E48:INDEX(Aveia!$E48:$Z48,MIN(H$6-$E$3,22))&lt;&gt;""),Aveia!$E48:INDEX(Aveia!$E48:$Z48,MIN(H$6-$E$3,22))),0))-IF($G$2,0,IF((H$6-$G$3)&lt;1,0,IFERROR(LOOKUP(2,1/(Aveia!$E48:INDEX(Aveia!$E48:$Z48,MIN(H$6-$G$3,22))&lt;&gt;""),Aveia!$E48:INDEX(Aveia!$E48:$Z48,MIN(H$6-$G$3,22))),0)))))</f>
        <v>0</v>
      </c>
      <c r="I50" s="27" t="n">
        <f aca="false">IF(COUNT(Aveia!$E48:$Z48)=0,0,MAX(0,IF((I$6-$E$3)&lt;1,0,IFERROR(LOOKUP(2,1/(Aveia!$E48:INDEX(Aveia!$E48:$Z48,MIN(I$6-$E$3,22))&lt;&gt;""),Aveia!$E48:INDEX(Aveia!$E48:$Z48,MIN(I$6-$E$3,22))),0))-IF($G$2,0,IF((I$6-$G$3)&lt;1,0,IFERROR(LOOKUP(2,1/(Aveia!$E48:INDEX(Aveia!$E48:$Z48,MIN(I$6-$G$3,22))&lt;&gt;""),Aveia!$E48:INDEX(Aveia!$E48:$Z48,MIN(I$6-$G$3,22))),0)))))</f>
        <v>0</v>
      </c>
      <c r="J50" s="27" t="n">
        <f aca="false">IF(COUNT(Aveia!$E48:$Z48)=0,0,MAX(0,IF((J$6-$E$3)&lt;1,0,IFERROR(LOOKUP(2,1/(Aveia!$E48:INDEX(Aveia!$E48:$Z48,MIN(J$6-$E$3,22))&lt;&gt;""),Aveia!$E48:INDEX(Aveia!$E48:$Z48,MIN(J$6-$E$3,22))),0))-IF($G$2,0,IF((J$6-$G$3)&lt;1,0,IFERROR(LOOKUP(2,1/(Aveia!$E48:INDEX(Aveia!$E48:$Z48,MIN(J$6-$G$3,22))&lt;&gt;""),Aveia!$E48:INDEX(Aveia!$E48:$Z48,MIN(J$6-$G$3,22))),0)))))</f>
        <v>0</v>
      </c>
      <c r="K50" s="27" t="n">
        <f aca="false">IF(COUNT(Aveia!$E48:$Z48)=0,0,MAX(0,IF((K$6-$E$3)&lt;1,0,IFERROR(LOOKUP(2,1/(Aveia!$E48:INDEX(Aveia!$E48:$Z48,MIN(K$6-$E$3,22))&lt;&gt;""),Aveia!$E48:INDEX(Aveia!$E48:$Z48,MIN(K$6-$E$3,22))),0))-IF($G$2,0,IF((K$6-$G$3)&lt;1,0,IFERROR(LOOKUP(2,1/(Aveia!$E48:INDEX(Aveia!$E48:$Z48,MIN(K$6-$G$3,22))&lt;&gt;""),Aveia!$E48:INDEX(Aveia!$E48:$Z48,MIN(K$6-$G$3,22))),0)))))</f>
        <v>0</v>
      </c>
      <c r="L50" s="27" t="n">
        <f aca="false">IF(COUNT(Aveia!$E48:$Z48)=0,0,MAX(0,IF((L$6-$E$3)&lt;1,0,IFERROR(LOOKUP(2,1/(Aveia!$E48:INDEX(Aveia!$E48:$Z48,MIN(L$6-$E$3,22))&lt;&gt;""),Aveia!$E48:INDEX(Aveia!$E48:$Z48,MIN(L$6-$E$3,22))),0))-IF($G$2,0,IF((L$6-$G$3)&lt;1,0,IFERROR(LOOKUP(2,1/(Aveia!$E48:INDEX(Aveia!$E48:$Z48,MIN(L$6-$G$3,22))&lt;&gt;""),Aveia!$E48:INDEX(Aveia!$E48:$Z48,MIN(L$6-$G$3,22))),0)))))</f>
        <v>0</v>
      </c>
      <c r="M50" s="27" t="n">
        <f aca="false">IF(COUNT(Aveia!$E48:$Z48)=0,0,MAX(0,IF((M$6-$E$3)&lt;1,0,IFERROR(LOOKUP(2,1/(Aveia!$E48:INDEX(Aveia!$E48:$Z48,MIN(M$6-$E$3,22))&lt;&gt;""),Aveia!$E48:INDEX(Aveia!$E48:$Z48,MIN(M$6-$E$3,22))),0))-IF($G$2,0,IF((M$6-$G$3)&lt;1,0,IFERROR(LOOKUP(2,1/(Aveia!$E48:INDEX(Aveia!$E48:$Z48,MIN(M$6-$G$3,22))&lt;&gt;""),Aveia!$E48:INDEX(Aveia!$E48:$Z48,MIN(M$6-$G$3,22))),0)))))</f>
        <v>0</v>
      </c>
      <c r="N50" s="27" t="n">
        <f aca="false">IF(COUNT(Aveia!$E48:$Z48)=0,0,MAX(0,IF((N$6-$E$3)&lt;1,0,IFERROR(LOOKUP(2,1/(Aveia!$E48:INDEX(Aveia!$E48:$Z48,MIN(N$6-$E$3,22))&lt;&gt;""),Aveia!$E48:INDEX(Aveia!$E48:$Z48,MIN(N$6-$E$3,22))),0))-IF($G$2,0,IF((N$6-$G$3)&lt;1,0,IFERROR(LOOKUP(2,1/(Aveia!$E48:INDEX(Aveia!$E48:$Z48,MIN(N$6-$G$3,22))&lt;&gt;""),Aveia!$E48:INDEX(Aveia!$E48:$Z48,MIN(N$6-$G$3,22))),0)))))</f>
        <v>0</v>
      </c>
      <c r="O50" s="27" t="n">
        <f aca="false">IF(COUNT(Aveia!$E48:$Z48)=0,0,MAX(0,IF((O$6-$E$3)&lt;1,0,IFERROR(LOOKUP(2,1/(Aveia!$E48:INDEX(Aveia!$E48:$Z48,MIN(O$6-$E$3,22))&lt;&gt;""),Aveia!$E48:INDEX(Aveia!$E48:$Z48,MIN(O$6-$E$3,22))),0))-IF($G$2,0,IF((O$6-$G$3)&lt;1,0,IFERROR(LOOKUP(2,1/(Aveia!$E48:INDEX(Aveia!$E48:$Z48,MIN(O$6-$G$3,22))&lt;&gt;""),Aveia!$E48:INDEX(Aveia!$E48:$Z48,MIN(O$6-$G$3,22))),0)))))</f>
        <v>0</v>
      </c>
      <c r="P50" s="27" t="n">
        <f aca="false">IF(COUNT(Aveia!$E48:$Z48)=0,0,MAX(0,IF((P$6-$E$3)&lt;1,0,IFERROR(LOOKUP(2,1/(Aveia!$E48:INDEX(Aveia!$E48:$Z48,MIN(P$6-$E$3,22))&lt;&gt;""),Aveia!$E48:INDEX(Aveia!$E48:$Z48,MIN(P$6-$E$3,22))),0))-IF($G$2,0,IF((P$6-$G$3)&lt;1,0,IFERROR(LOOKUP(2,1/(Aveia!$E48:INDEX(Aveia!$E48:$Z48,MIN(P$6-$G$3,22))&lt;&gt;""),Aveia!$E48:INDEX(Aveia!$E48:$Z48,MIN(P$6-$G$3,22))),0)))))</f>
        <v>0</v>
      </c>
      <c r="Q50" s="27" t="n">
        <f aca="false">IF(COUNT(Aveia!$E48:$Z48)=0,0,MAX(0,IF((Q$6-$E$3)&lt;1,0,IFERROR(LOOKUP(2,1/(Aveia!$E48:INDEX(Aveia!$E48:$Z48,MIN(Q$6-$E$3,22))&lt;&gt;""),Aveia!$E48:INDEX(Aveia!$E48:$Z48,MIN(Q$6-$E$3,22))),0))-IF($G$2,0,IF((Q$6-$G$3)&lt;1,0,IFERROR(LOOKUP(2,1/(Aveia!$E48:INDEX(Aveia!$E48:$Z48,MIN(Q$6-$G$3,22))&lt;&gt;""),Aveia!$E48:INDEX(Aveia!$E48:$Z48,MIN(Q$6-$G$3,22))),0)))))</f>
        <v>0</v>
      </c>
      <c r="R50" s="27" t="n">
        <f aca="false">IF(COUNT(Aveia!$E48:$Z48)=0,0,MAX(0,IF((R$6-$E$3)&lt;1,0,IFERROR(LOOKUP(2,1/(Aveia!$E48:INDEX(Aveia!$E48:$Z48,MIN(R$6-$E$3,22))&lt;&gt;""),Aveia!$E48:INDEX(Aveia!$E48:$Z48,MIN(R$6-$E$3,22))),0))-IF($G$2,0,IF((R$6-$G$3)&lt;1,0,IFERROR(LOOKUP(2,1/(Aveia!$E48:INDEX(Aveia!$E48:$Z48,MIN(R$6-$G$3,22))&lt;&gt;""),Aveia!$E48:INDEX(Aveia!$E48:$Z48,MIN(R$6-$G$3,22))),0)))))</f>
        <v>0</v>
      </c>
      <c r="S50" s="27" t="n">
        <f aca="false">IF(COUNT(Aveia!$E48:$Z48)=0,0,MAX(0,IF((S$6-$E$3)&lt;1,0,IFERROR(LOOKUP(2,1/(Aveia!$E48:INDEX(Aveia!$E48:$Z48,MIN(S$6-$E$3,22))&lt;&gt;""),Aveia!$E48:INDEX(Aveia!$E48:$Z48,MIN(S$6-$E$3,22))),0))-IF($G$2,0,IF((S$6-$G$3)&lt;1,0,IFERROR(LOOKUP(2,1/(Aveia!$E48:INDEX(Aveia!$E48:$Z48,MIN(S$6-$G$3,22))&lt;&gt;""),Aveia!$E48:INDEX(Aveia!$E48:$Z48,MIN(S$6-$G$3,22))),0)))))</f>
        <v>0</v>
      </c>
      <c r="T50" s="27" t="n">
        <f aca="false">IF(COUNT(Aveia!$E48:$Z48)=0,0,MAX(0,IF((T$6-$E$3)&lt;1,0,IFERROR(LOOKUP(2,1/(Aveia!$E48:INDEX(Aveia!$E48:$Z48,MIN(T$6-$E$3,22))&lt;&gt;""),Aveia!$E48:INDEX(Aveia!$E48:$Z48,MIN(T$6-$E$3,22))),0))-IF($G$2,0,IF((T$6-$G$3)&lt;1,0,IFERROR(LOOKUP(2,1/(Aveia!$E48:INDEX(Aveia!$E48:$Z48,MIN(T$6-$G$3,22))&lt;&gt;""),Aveia!$E48:INDEX(Aveia!$E48:$Z48,MIN(T$6-$G$3,22))),0)))))</f>
        <v>0</v>
      </c>
      <c r="U50" s="27" t="n">
        <f aca="false">IF(COUNT(Aveia!$E48:$Z48)=0,0,MAX(0,IF((U$6-$E$3)&lt;1,0,IFERROR(LOOKUP(2,1/(Aveia!$E48:INDEX(Aveia!$E48:$Z48,MIN(U$6-$E$3,22))&lt;&gt;""),Aveia!$E48:INDEX(Aveia!$E48:$Z48,MIN(U$6-$E$3,22))),0))-IF($G$2,0,IF((U$6-$G$3)&lt;1,0,IFERROR(LOOKUP(2,1/(Aveia!$E48:INDEX(Aveia!$E48:$Z48,MIN(U$6-$G$3,22))&lt;&gt;""),Aveia!$E48:INDEX(Aveia!$E48:$Z48,MIN(U$6-$G$3,22))),0)))))</f>
        <v>0</v>
      </c>
      <c r="V50" s="27" t="n">
        <f aca="false">IF(COUNT(Aveia!$E48:$Z48)=0,0,MAX(0,IF((V$6-$E$3)&lt;1,0,IFERROR(LOOKUP(2,1/(Aveia!$E48:INDEX(Aveia!$E48:$Z48,MIN(V$6-$E$3,22))&lt;&gt;""),Aveia!$E48:INDEX(Aveia!$E48:$Z48,MIN(V$6-$E$3,22))),0))-IF($G$2,0,IF((V$6-$G$3)&lt;1,0,IFERROR(LOOKUP(2,1/(Aveia!$E48:INDEX(Aveia!$E48:$Z48,MIN(V$6-$G$3,22))&lt;&gt;""),Aveia!$E48:INDEX(Aveia!$E48:$Z48,MIN(V$6-$G$3,22))),0)))))</f>
        <v>0</v>
      </c>
      <c r="W50" s="27" t="n">
        <f aca="false">IF(COUNT(Aveia!$E48:$Z48)=0,0,MAX(0,IF((W$6-$E$3)&lt;1,0,IFERROR(LOOKUP(2,1/(Aveia!$E48:INDEX(Aveia!$E48:$Z48,MIN(W$6-$E$3,22))&lt;&gt;""),Aveia!$E48:INDEX(Aveia!$E48:$Z48,MIN(W$6-$E$3,22))),0))-IF($G$2,0,IF((W$6-$G$3)&lt;1,0,IFERROR(LOOKUP(2,1/(Aveia!$E48:INDEX(Aveia!$E48:$Z48,MIN(W$6-$G$3,22))&lt;&gt;""),Aveia!$E48:INDEX(Aveia!$E48:$Z48,MIN(W$6-$G$3,22))),0)))))</f>
        <v>0</v>
      </c>
      <c r="X50" s="27" t="n">
        <f aca="false">IF(COUNT(Aveia!$E48:$Z48)=0,0,MAX(0,IF((X$6-$E$3)&lt;1,0,IFERROR(LOOKUP(2,1/(Aveia!$E48:INDEX(Aveia!$E48:$Z48,MIN(X$6-$E$3,22))&lt;&gt;""),Aveia!$E48:INDEX(Aveia!$E48:$Z48,MIN(X$6-$E$3,22))),0))-IF($G$2,0,IF((X$6-$G$3)&lt;1,0,IFERROR(LOOKUP(2,1/(Aveia!$E48:INDEX(Aveia!$E48:$Z48,MIN(X$6-$G$3,22))&lt;&gt;""),Aveia!$E48:INDEX(Aveia!$E48:$Z48,MIN(X$6-$G$3,22))),0)))))</f>
        <v>0</v>
      </c>
      <c r="Y50" s="27" t="n">
        <f aca="false">IF(COUNT(Aveia!$E48:$Z48)=0,0,MAX(0,IF((Y$6-$E$3)&lt;1,0,IFERROR(LOOKUP(2,1/(Aveia!$E48:INDEX(Aveia!$E48:$Z48,MIN(Y$6-$E$3,22))&lt;&gt;""),Aveia!$E48:INDEX(Aveia!$E48:$Z48,MIN(Y$6-$E$3,22))),0))-IF($G$2,0,IF((Y$6-$G$3)&lt;1,0,IFERROR(LOOKUP(2,1/(Aveia!$E48:INDEX(Aveia!$E48:$Z48,MIN(Y$6-$G$3,22))&lt;&gt;""),Aveia!$E48:INDEX(Aveia!$E48:$Z48,MIN(Y$6-$G$3,22))),0)))))</f>
        <v>0</v>
      </c>
      <c r="Z50" s="27" t="n">
        <f aca="false">IF(COUNT(Aveia!$E48:$Z48)=0,0,MAX(0,IF((Z$6-$E$3)&lt;1,0,IFERROR(LOOKUP(2,1/(Aveia!$E48:INDEX(Aveia!$E48:$Z48,MIN(Z$6-$E$3,22))&lt;&gt;""),Aveia!$E48:INDEX(Aveia!$E48:$Z48,MIN(Z$6-$E$3,22))),0))-IF($G$2,0,IF((Z$6-$G$3)&lt;1,0,IFERROR(LOOKUP(2,1/(Aveia!$E48:INDEX(Aveia!$E48:$Z48,MIN(Z$6-$G$3,22))&lt;&gt;""),Aveia!$E48:INDEX(Aveia!$E48:$Z48,MIN(Z$6-$G$3,22))),0)))))</f>
        <v>0</v>
      </c>
      <c r="AA50" s="27" t="n">
        <f aca="false">IF(COUNT(Aveia!$E48:$Z48)=0,0,MAX(0,IF((AA$6-$E$3)&lt;1,0,IFERROR(LOOKUP(2,1/(Aveia!$E48:INDEX(Aveia!$E48:$Z48,MIN(AA$6-$E$3,22))&lt;&gt;""),Aveia!$E48:INDEX(Aveia!$E48:$Z48,MIN(AA$6-$E$3,22))),0))-IF($G$2,0,IF((AA$6-$G$3)&lt;1,0,IFERROR(LOOKUP(2,1/(Aveia!$E48:INDEX(Aveia!$E48:$Z48,MIN(AA$6-$G$3,22))&lt;&gt;""),Aveia!$E48:INDEX(Aveia!$E48:$Z48,MIN(AA$6-$G$3,22))),0)))))</f>
        <v>0</v>
      </c>
      <c r="AB50" s="27" t="n">
        <f aca="false">IF(COUNT(Aveia!$E48:$Z48)=0,0,MAX(0,IF((AB$6-$E$3)&lt;1,0,IFERROR(LOOKUP(2,1/(Aveia!$E48:INDEX(Aveia!$E48:$Z48,MIN(AB$6-$E$3,22))&lt;&gt;""),Aveia!$E48:INDEX(Aveia!$E48:$Z48,MIN(AB$6-$E$3,22))),0))-IF($G$2,0,IF((AB$6-$G$3)&lt;1,0,IFERROR(LOOKUP(2,1/(Aveia!$E48:INDEX(Aveia!$E48:$Z48,MIN(AB$6-$G$3,22))&lt;&gt;""),Aveia!$E48:INDEX(Aveia!$E48:$Z48,MIN(AB$6-$G$3,22))),0)))))</f>
        <v>0</v>
      </c>
      <c r="AC50" s="27" t="n">
        <f aca="false">IF(COUNT(Aveia!$E48:$Z48)=0,0,MAX(0,IF((AC$6-$E$3)&lt;1,0,IFERROR(LOOKUP(2,1/(Aveia!$E48:INDEX(Aveia!$E48:$Z48,MIN(AC$6-$E$3,22))&lt;&gt;""),Aveia!$E48:INDEX(Aveia!$E48:$Z48,MIN(AC$6-$E$3,22))),0))-IF($G$2,0,IF((AC$6-$G$3)&lt;1,0,IFERROR(LOOKUP(2,1/(Aveia!$E48:INDEX(Aveia!$E48:$Z48,MIN(AC$6-$G$3,22))&lt;&gt;""),Aveia!$E48:INDEX(Aveia!$E48:$Z48,MIN(AC$6-$G$3,22))),0)))))</f>
        <v>0</v>
      </c>
      <c r="AD50" s="27" t="n">
        <f aca="false">IF(COUNT(Aveia!$E48:$Z48)=0,0,MAX(0,IF((AD$6-$E$3)&lt;1,0,IFERROR(LOOKUP(2,1/(Aveia!$E48:INDEX(Aveia!$E48:$Z48,MIN(AD$6-$E$3,22))&lt;&gt;""),Aveia!$E48:INDEX(Aveia!$E48:$Z48,MIN(AD$6-$E$3,22))),0))-IF($G$2,0,IF((AD$6-$G$3)&lt;1,0,IFERROR(LOOKUP(2,1/(Aveia!$E48:INDEX(Aveia!$E48:$Z48,MIN(AD$6-$G$3,22))&lt;&gt;""),Aveia!$E48:INDEX(Aveia!$E48:$Z48,MIN(AD$6-$G$3,22))),0)))))</f>
        <v>0</v>
      </c>
      <c r="AE50" s="27" t="n">
        <f aca="false">IF(COUNT(Aveia!$E48:$Z48)=0,0,MAX(0,IF((AE$6-$E$3)&lt;1,0,IFERROR(LOOKUP(2,1/(Aveia!$E48:INDEX(Aveia!$E48:$Z48,MIN(AE$6-$E$3,22))&lt;&gt;""),Aveia!$E48:INDEX(Aveia!$E48:$Z48,MIN(AE$6-$E$3,22))),0))-IF($G$2,0,IF((AE$6-$G$3)&lt;1,0,IFERROR(LOOKUP(2,1/(Aveia!$E48:INDEX(Aveia!$E48:$Z48,MIN(AE$6-$G$3,22))&lt;&gt;""),Aveia!$E48:INDEX(Aveia!$E48:$Z48,MIN(AE$6-$G$3,22))),0)))))</f>
        <v>0</v>
      </c>
      <c r="AF50" s="27" t="n">
        <f aca="false">IF(COUNT(Aveia!$E48:$Z48)=0,0,MAX(0,IF((AF$6-$E$3)&lt;1,0,IFERROR(LOOKUP(2,1/(Aveia!$E48:INDEX(Aveia!$E48:$Z48,MIN(AF$6-$E$3,22))&lt;&gt;""),Aveia!$E48:INDEX(Aveia!$E48:$Z48,MIN(AF$6-$E$3,22))),0))-IF($G$2,0,IF((AF$6-$G$3)&lt;1,0,IFERROR(LOOKUP(2,1/(Aveia!$E48:INDEX(Aveia!$E48:$Z48,MIN(AF$6-$G$3,22))&lt;&gt;""),Aveia!$E48:INDEX(Aveia!$E48:$Z48,MIN(AF$6-$G$3,22))),0)))))</f>
        <v>0</v>
      </c>
      <c r="AG50" s="27" t="n">
        <f aca="false">IF(COUNT(Aveia!$E48:$Z48)=0,0,MAX(0,IF((AG$6-$E$3)&lt;1,0,IFERROR(LOOKUP(2,1/(Aveia!$E48:INDEX(Aveia!$E48:$Z48,MIN(AG$6-$E$3,22))&lt;&gt;""),Aveia!$E48:INDEX(Aveia!$E48:$Z48,MIN(AG$6-$E$3,22))),0))-IF($G$2,0,IF((AG$6-$G$3)&lt;1,0,IFERROR(LOOKUP(2,1/(Aveia!$E48:INDEX(Aveia!$E48:$Z48,MIN(AG$6-$G$3,22))&lt;&gt;""),Aveia!$E48:INDEX(Aveia!$E48:$Z48,MIN(AG$6-$G$3,22))),0)))))</f>
        <v>0</v>
      </c>
      <c r="AH50" s="27" t="n">
        <f aca="false">IF(COUNT(Aveia!$E48:$Z48)=0,0,MAX(0,IF((AH$6-$E$3)&lt;1,0,IFERROR(LOOKUP(2,1/(Aveia!$E48:INDEX(Aveia!$E48:$Z48,MIN(AH$6-$E$3,22))&lt;&gt;""),Aveia!$E48:INDEX(Aveia!$E48:$Z48,MIN(AH$6-$E$3,22))),0))-IF($G$2,0,IF((AH$6-$G$3)&lt;1,0,IFERROR(LOOKUP(2,1/(Aveia!$E48:INDEX(Aveia!$E48:$Z48,MIN(AH$6-$G$3,22))&lt;&gt;""),Aveia!$E48:INDEX(Aveia!$E48:$Z48,MIN(AH$6-$G$3,22))),0)))))</f>
        <v>0</v>
      </c>
      <c r="AI50" s="27" t="n">
        <f aca="false">IF(COUNT(Aveia!$E48:$Z48)=0,0,MAX(0,IF((AI$6-$E$3)&lt;1,0,IFERROR(LOOKUP(2,1/(Aveia!$E48:INDEX(Aveia!$E48:$Z48,MIN(AI$6-$E$3,22))&lt;&gt;""),Aveia!$E48:INDEX(Aveia!$E48:$Z48,MIN(AI$6-$E$3,22))),0))-IF($G$2,0,IF((AI$6-$G$3)&lt;1,0,IFERROR(LOOKUP(2,1/(Aveia!$E48:INDEX(Aveia!$E48:$Z48,MIN(AI$6-$G$3,22))&lt;&gt;""),Aveia!$E48:INDEX(Aveia!$E48:$Z48,MIN(AI$6-$G$3,22))),0)))))</f>
        <v>0</v>
      </c>
      <c r="AJ50" s="27" t="n">
        <f aca="false">IF(COUNT(Aveia!$E48:$Z48)=0,0,MAX(0,IF((AJ$6-$E$3)&lt;1,0,IFERROR(LOOKUP(2,1/(Aveia!$E48:INDEX(Aveia!$E48:$Z48,MIN(AJ$6-$E$3,22))&lt;&gt;""),Aveia!$E48:INDEX(Aveia!$E48:$Z48,MIN(AJ$6-$E$3,22))),0))-IF($G$2,0,IF((AJ$6-$G$3)&lt;1,0,IFERROR(LOOKUP(2,1/(Aveia!$E48:INDEX(Aveia!$E48:$Z48,MIN(AJ$6-$G$3,22))&lt;&gt;""),Aveia!$E48:INDEX(Aveia!$E48:$Z48,MIN(AJ$6-$G$3,22))),0)))))</f>
        <v>0</v>
      </c>
      <c r="AK50" s="27" t="n">
        <f aca="false">IF(COUNT(Aveia!$E48:$Z48)=0,0,MAX(0,IF((AK$6-$E$3)&lt;1,0,IFERROR(LOOKUP(2,1/(Aveia!$E48:INDEX(Aveia!$E48:$Z48,MIN(AK$6-$E$3,22))&lt;&gt;""),Aveia!$E48:INDEX(Aveia!$E48:$Z48,MIN(AK$6-$E$3,22))),0))-IF($G$2,0,IF((AK$6-$G$3)&lt;1,0,IFERROR(LOOKUP(2,1/(Aveia!$E48:INDEX(Aveia!$E48:$Z48,MIN(AK$6-$G$3,22))&lt;&gt;""),Aveia!$E48:INDEX(Aveia!$E48:$Z48,MIN(AK$6-$G$3,22))),0)))))</f>
        <v>0</v>
      </c>
      <c r="AL50" s="27" t="n">
        <f aca="false">IF(COUNT(Aveia!$E48:$Z48)=0,0,MAX(0,IF((AL$6-$E$3)&lt;1,0,IFERROR(LOOKUP(2,1/(Aveia!$E48:INDEX(Aveia!$E48:$Z48,MIN(AL$6-$E$3,22))&lt;&gt;""),Aveia!$E48:INDEX(Aveia!$E48:$Z48,MIN(AL$6-$E$3,22))),0))-IF($G$2,0,IF((AL$6-$G$3)&lt;1,0,IFERROR(LOOKUP(2,1/(Aveia!$E48:INDEX(Aveia!$E48:$Z48,MIN(AL$6-$G$3,22))&lt;&gt;""),Aveia!$E48:INDEX(Aveia!$E48:$Z48,MIN(AL$6-$G$3,22))),0)))))</f>
        <v>0</v>
      </c>
      <c r="AM50" s="27" t="n">
        <f aca="false">IF(COUNT(Aveia!$E48:$Z48)=0,0,MAX(0,IF((AM$6-$E$3)&lt;1,0,IFERROR(LOOKUP(2,1/(Aveia!$E48:INDEX(Aveia!$E48:$Z48,MIN(AM$6-$E$3,22))&lt;&gt;""),Aveia!$E48:INDEX(Aveia!$E48:$Z48,MIN(AM$6-$E$3,22))),0))-IF($G$2,0,IF((AM$6-$G$3)&lt;1,0,IFERROR(LOOKUP(2,1/(Aveia!$E48:INDEX(Aveia!$E48:$Z48,MIN(AM$6-$G$3,22))&lt;&gt;""),Aveia!$E48:INDEX(Aveia!$E48:$Z48,MIN(AM$6-$G$3,22))),0)))))</f>
        <v>0</v>
      </c>
      <c r="AN50" s="27" t="n">
        <f aca="false">IF(COUNT(Aveia!$E48:$Z48)=0,0,MAX(0,IF((AN$6-$E$3)&lt;1,0,IFERROR(LOOKUP(2,1/(Aveia!$E48:INDEX(Aveia!$E48:$Z48,MIN(AN$6-$E$3,22))&lt;&gt;""),Aveia!$E48:INDEX(Aveia!$E48:$Z48,MIN(AN$6-$E$3,22))),0))-IF($G$2,0,IF((AN$6-$G$3)&lt;1,0,IFERROR(LOOKUP(2,1/(Aveia!$E48:INDEX(Aveia!$E48:$Z48,MIN(AN$6-$G$3,22))&lt;&gt;""),Aveia!$E48:INDEX(Aveia!$E48:$Z48,MIN(AN$6-$G$3,22))),0)))))</f>
        <v>0</v>
      </c>
      <c r="AO50" s="27" t="n">
        <f aca="false">IF(COUNT(Aveia!$E48:$Z48)=0,0,MAX(0,IF((AO$6-$E$3)&lt;1,0,IFERROR(LOOKUP(2,1/(Aveia!$E48:INDEX(Aveia!$E48:$Z48,MIN(AO$6-$E$3,22))&lt;&gt;""),Aveia!$E48:INDEX(Aveia!$E48:$Z48,MIN(AO$6-$E$3,22))),0))-IF($G$2,0,IF((AO$6-$G$3)&lt;1,0,IFERROR(LOOKUP(2,1/(Aveia!$E48:INDEX(Aveia!$E48:$Z48,MIN(AO$6-$G$3,22))&lt;&gt;""),Aveia!$E48:INDEX(Aveia!$E48:$Z48,MIN(AO$6-$G$3,22))),0)))))</f>
        <v>0</v>
      </c>
      <c r="AP50" s="27" t="n">
        <f aca="false">IF(COUNT(Aveia!$E48:$Z48)=0,0,MAX(0,IF((AP$6-$E$3)&lt;1,0,IFERROR(LOOKUP(2,1/(Aveia!$E48:INDEX(Aveia!$E48:$Z48,MIN(AP$6-$E$3,22))&lt;&gt;""),Aveia!$E48:INDEX(Aveia!$E48:$Z48,MIN(AP$6-$E$3,22))),0))-IF($G$2,0,IF((AP$6-$G$3)&lt;1,0,IFERROR(LOOKUP(2,1/(Aveia!$E48:INDEX(Aveia!$E48:$Z48,MIN(AP$6-$G$3,22))&lt;&gt;""),Aveia!$E48:INDEX(Aveia!$E48:$Z48,MIN(AP$6-$G$3,22))),0)))))</f>
        <v>0</v>
      </c>
      <c r="AQ50" s="27" t="n">
        <f aca="false">IF(COUNT(Aveia!$E48:$Z48)=0,0,MAX(0,IF((AQ$6-$E$3)&lt;1,0,IFERROR(LOOKUP(2,1/(Aveia!$E48:INDEX(Aveia!$E48:$Z48,MIN(AQ$6-$E$3,22))&lt;&gt;""),Aveia!$E48:INDEX(Aveia!$E48:$Z48,MIN(AQ$6-$E$3,22))),0))-IF($G$2,0,IF((AQ$6-$G$3)&lt;1,0,IFERROR(LOOKUP(2,1/(Aveia!$E48:INDEX(Aveia!$E48:$Z48,MIN(AQ$6-$G$3,22))&lt;&gt;""),Aveia!$E48:INDEX(Aveia!$E48:$Z48,MIN(AQ$6-$G$3,22))),0)))))</f>
        <v>0</v>
      </c>
      <c r="AR50" s="27" t="n">
        <f aca="false">IF(COUNT(Aveia!$E48:$Z48)=0,0,MAX(0,IF((AR$6-$E$3)&lt;1,0,IFERROR(LOOKUP(2,1/(Aveia!$E48:INDEX(Aveia!$E48:$Z48,MIN(AR$6-$E$3,22))&lt;&gt;""),Aveia!$E48:INDEX(Aveia!$E48:$Z48,MIN(AR$6-$E$3,22))),0))-IF($G$2,0,IF((AR$6-$G$3)&lt;1,0,IFERROR(LOOKUP(2,1/(Aveia!$E48:INDEX(Aveia!$E48:$Z48,MIN(AR$6-$G$3,22))&lt;&gt;""),Aveia!$E48:INDEX(Aveia!$E48:$Z48,MIN(AR$6-$G$3,22))),0)))))</f>
        <v>0</v>
      </c>
      <c r="AS50" s="27" t="n">
        <f aca="false">IF(COUNT(Aveia!$E48:$Z48)=0,0,MAX(0,IF((AS$6-$E$3)&lt;1,0,IFERROR(LOOKUP(2,1/(Aveia!$E48:INDEX(Aveia!$E48:$Z48,MIN(AS$6-$E$3,22))&lt;&gt;""),Aveia!$E48:INDEX(Aveia!$E48:$Z48,MIN(AS$6-$E$3,22))),0))-IF($G$2,0,IF((AS$6-$G$3)&lt;1,0,IFERROR(LOOKUP(2,1/(Aveia!$E48:INDEX(Aveia!$E48:$Z48,MIN(AS$6-$G$3,22))&lt;&gt;""),Aveia!$E48:INDEX(Aveia!$E48:$Z48,MIN(AS$6-$G$3,22))),0)))))</f>
        <v>0</v>
      </c>
      <c r="AT50" s="27" t="n">
        <f aca="false">IF(COUNT(Aveia!$E48:$Z48)=0,0,MAX(0,IF((AT$6-$E$3)&lt;1,0,IFERROR(LOOKUP(2,1/(Aveia!$E48:INDEX(Aveia!$E48:$Z48,MIN(AT$6-$E$3,22))&lt;&gt;""),Aveia!$E48:INDEX(Aveia!$E48:$Z48,MIN(AT$6-$E$3,22))),0))-IF($G$2,0,IF((AT$6-$G$3)&lt;1,0,IFERROR(LOOKUP(2,1/(Aveia!$E48:INDEX(Aveia!$E48:$Z48,MIN(AT$6-$G$3,22))&lt;&gt;""),Aveia!$E48:INDEX(Aveia!$E48:$Z48,MIN(AT$6-$G$3,22))),0)))))</f>
        <v>0</v>
      </c>
      <c r="AU50" s="27" t="n">
        <f aca="false">IF(COUNT(Aveia!$E48:$Z48)=0,0,MAX(0,IF((AU$6-$E$3)&lt;1,0,IFERROR(LOOKUP(2,1/(Aveia!$E48:INDEX(Aveia!$E48:$Z48,MIN(AU$6-$E$3,22))&lt;&gt;""),Aveia!$E48:INDEX(Aveia!$E48:$Z48,MIN(AU$6-$E$3,22))),0))-IF($G$2,0,IF((AU$6-$G$3)&lt;1,0,IFERROR(LOOKUP(2,1/(Aveia!$E48:INDEX(Aveia!$E48:$Z48,MIN(AU$6-$G$3,22))&lt;&gt;""),Aveia!$E48:INDEX(Aveia!$E48:$Z48,MIN(AU$6-$G$3,22))),0)))))</f>
        <v>0</v>
      </c>
      <c r="AV50" s="27" t="n">
        <f aca="false">IF(COUNT(Aveia!$E48:$Z48)=0,0,MAX(0,IF((AV$6-$E$3)&lt;1,0,IFERROR(LOOKUP(2,1/(Aveia!$E48:INDEX(Aveia!$E48:$Z48,MIN(AV$6-$E$3,22))&lt;&gt;""),Aveia!$E48:INDEX(Aveia!$E48:$Z48,MIN(AV$6-$E$3,22))),0))-IF($G$2,0,IF((AV$6-$G$3)&lt;1,0,IFERROR(LOOKUP(2,1/(Aveia!$E48:INDEX(Aveia!$E48:$Z48,MIN(AV$6-$G$3,22))&lt;&gt;""),Aveia!$E48:INDEX(Aveia!$E48:$Z48,MIN(AV$6-$G$3,22))),0)))))</f>
        <v>0</v>
      </c>
      <c r="AW50" s="27" t="n">
        <f aca="false">IF(COUNT(Aveia!$E48:$Z48)=0,0,MAX(0,IF((AW$6-$E$3)&lt;1,0,IFERROR(LOOKUP(2,1/(Aveia!$E48:INDEX(Aveia!$E48:$Z48,MIN(AW$6-$E$3,22))&lt;&gt;""),Aveia!$E48:INDEX(Aveia!$E48:$Z48,MIN(AW$6-$E$3,22))),0))-IF($G$2,0,IF((AW$6-$G$3)&lt;1,0,IFERROR(LOOKUP(2,1/(Aveia!$E48:INDEX(Aveia!$E48:$Z48,MIN(AW$6-$G$3,22))&lt;&gt;""),Aveia!$E48:INDEX(Aveia!$E48:$Z48,MIN(AW$6-$G$3,22))),0)))))</f>
        <v>0</v>
      </c>
      <c r="AX50" s="27" t="n">
        <f aca="false">IF(COUNT(Aveia!$E48:$Z48)=0,0,MAX(0,IF((AX$6-$E$3)&lt;1,0,IFERROR(LOOKUP(2,1/(Aveia!$E48:INDEX(Aveia!$E48:$Z48,MIN(AX$6-$E$3,22))&lt;&gt;""),Aveia!$E48:INDEX(Aveia!$E48:$Z48,MIN(AX$6-$E$3,22))),0))-IF($G$2,0,IF((AX$6-$G$3)&lt;1,0,IFERROR(LOOKUP(2,1/(Aveia!$E48:INDEX(Aveia!$E48:$Z48,MIN(AX$6-$G$3,22))&lt;&gt;""),Aveia!$E48:INDEX(Aveia!$E48:$Z48,MIN(AX$6-$G$3,22))),0)))))</f>
        <v>0</v>
      </c>
      <c r="AY50" s="27" t="n">
        <f aca="false">IF(COUNT(Aveia!$E48:$Z48)=0,0,MAX(0,IF((AY$6-$E$3)&lt;1,0,IFERROR(LOOKUP(2,1/(Aveia!$E48:INDEX(Aveia!$E48:$Z48,MIN(AY$6-$E$3,22))&lt;&gt;""),Aveia!$E48:INDEX(Aveia!$E48:$Z48,MIN(AY$6-$E$3,22))),0))-IF($G$2,0,IF((AY$6-$G$3)&lt;1,0,IFERROR(LOOKUP(2,1/(Aveia!$E48:INDEX(Aveia!$E48:$Z48,MIN(AY$6-$G$3,22))&lt;&gt;""),Aveia!$E48:INDEX(Aveia!$E48:$Z48,MIN(AY$6-$G$3,22))),0)))))</f>
        <v>0</v>
      </c>
      <c r="AZ50" s="27" t="n">
        <f aca="false">IF(COUNT(Aveia!$E48:$Z48)=0,0,MAX(0,IF((AZ$6-$E$3)&lt;1,0,IFERROR(LOOKUP(2,1/(Aveia!$E48:INDEX(Aveia!$E48:$Z48,MIN(AZ$6-$E$3,22))&lt;&gt;""),Aveia!$E48:INDEX(Aveia!$E48:$Z48,MIN(AZ$6-$E$3,22))),0))-IF($G$2,0,IF((AZ$6-$G$3)&lt;1,0,IFERROR(LOOKUP(2,1/(Aveia!$E48:INDEX(Aveia!$E48:$Z48,MIN(AZ$6-$G$3,22))&lt;&gt;""),Aveia!$E48:INDEX(Aveia!$E48:$Z48,MIN(AZ$6-$G$3,22))),0)))))</f>
        <v>0</v>
      </c>
    </row>
    <row r="51" customFormat="false" ht="15" hidden="false" customHeight="false" outlineLevel="0" collapsed="false">
      <c r="A51" s="3" t="s">
        <v>223</v>
      </c>
      <c r="B51" s="3" t="s">
        <v>163</v>
      </c>
      <c r="C51" s="10" t="s">
        <v>163</v>
      </c>
      <c r="D51" s="26" t="n">
        <f aca="false">IF(COUNT(Aveia!$E49:$Z49)&gt;0,N(Aveia!$D49),0)</f>
        <v>0</v>
      </c>
      <c r="E51" s="27" t="n">
        <f aca="false">IF(COUNT(Aveia!$E49:$Z49)=0,0,MAX(0,IF((E$6-$E$3)&lt;1,0,IFERROR(LOOKUP(2,1/(Aveia!$E49:INDEX(Aveia!$E49:$Z49,MIN(E$6-$E$3,22))&lt;&gt;""),Aveia!$E49:INDEX(Aveia!$E49:$Z49,MIN(E$6-$E$3,22))),0))-IF($G$2,0,IF((E$6-$G$3)&lt;1,0,IFERROR(LOOKUP(2,1/(Aveia!$E49:INDEX(Aveia!$E49:$Z49,MIN(E$6-$G$3,22))&lt;&gt;""),Aveia!$E49:INDEX(Aveia!$E49:$Z49,MIN(E$6-$G$3,22))),0)))))</f>
        <v>0</v>
      </c>
      <c r="F51" s="27" t="n">
        <f aca="false">IF(COUNT(Aveia!$E49:$Z49)=0,0,MAX(0,IF((F$6-$E$3)&lt;1,0,IFERROR(LOOKUP(2,1/(Aveia!$E49:INDEX(Aveia!$E49:$Z49,MIN(F$6-$E$3,22))&lt;&gt;""),Aveia!$E49:INDEX(Aveia!$E49:$Z49,MIN(F$6-$E$3,22))),0))-IF($G$2,0,IF((F$6-$G$3)&lt;1,0,IFERROR(LOOKUP(2,1/(Aveia!$E49:INDEX(Aveia!$E49:$Z49,MIN(F$6-$G$3,22))&lt;&gt;""),Aveia!$E49:INDEX(Aveia!$E49:$Z49,MIN(F$6-$G$3,22))),0)))))</f>
        <v>0</v>
      </c>
      <c r="G51" s="27" t="n">
        <f aca="false">IF(COUNT(Aveia!$E49:$Z49)=0,0,MAX(0,IF((G$6-$E$3)&lt;1,0,IFERROR(LOOKUP(2,1/(Aveia!$E49:INDEX(Aveia!$E49:$Z49,MIN(G$6-$E$3,22))&lt;&gt;""),Aveia!$E49:INDEX(Aveia!$E49:$Z49,MIN(G$6-$E$3,22))),0))-IF($G$2,0,IF((G$6-$G$3)&lt;1,0,IFERROR(LOOKUP(2,1/(Aveia!$E49:INDEX(Aveia!$E49:$Z49,MIN(G$6-$G$3,22))&lt;&gt;""),Aveia!$E49:INDEX(Aveia!$E49:$Z49,MIN(G$6-$G$3,22))),0)))))</f>
        <v>0</v>
      </c>
      <c r="H51" s="27" t="n">
        <f aca="false">IF(COUNT(Aveia!$E49:$Z49)=0,0,MAX(0,IF((H$6-$E$3)&lt;1,0,IFERROR(LOOKUP(2,1/(Aveia!$E49:INDEX(Aveia!$E49:$Z49,MIN(H$6-$E$3,22))&lt;&gt;""),Aveia!$E49:INDEX(Aveia!$E49:$Z49,MIN(H$6-$E$3,22))),0))-IF($G$2,0,IF((H$6-$G$3)&lt;1,0,IFERROR(LOOKUP(2,1/(Aveia!$E49:INDEX(Aveia!$E49:$Z49,MIN(H$6-$G$3,22))&lt;&gt;""),Aveia!$E49:INDEX(Aveia!$E49:$Z49,MIN(H$6-$G$3,22))),0)))))</f>
        <v>0</v>
      </c>
      <c r="I51" s="27" t="n">
        <f aca="false">IF(COUNT(Aveia!$E49:$Z49)=0,0,MAX(0,IF((I$6-$E$3)&lt;1,0,IFERROR(LOOKUP(2,1/(Aveia!$E49:INDEX(Aveia!$E49:$Z49,MIN(I$6-$E$3,22))&lt;&gt;""),Aveia!$E49:INDEX(Aveia!$E49:$Z49,MIN(I$6-$E$3,22))),0))-IF($G$2,0,IF((I$6-$G$3)&lt;1,0,IFERROR(LOOKUP(2,1/(Aveia!$E49:INDEX(Aveia!$E49:$Z49,MIN(I$6-$G$3,22))&lt;&gt;""),Aveia!$E49:INDEX(Aveia!$E49:$Z49,MIN(I$6-$G$3,22))),0)))))</f>
        <v>0</v>
      </c>
      <c r="J51" s="27" t="n">
        <f aca="false">IF(COUNT(Aveia!$E49:$Z49)=0,0,MAX(0,IF((J$6-$E$3)&lt;1,0,IFERROR(LOOKUP(2,1/(Aveia!$E49:INDEX(Aveia!$E49:$Z49,MIN(J$6-$E$3,22))&lt;&gt;""),Aveia!$E49:INDEX(Aveia!$E49:$Z49,MIN(J$6-$E$3,22))),0))-IF($G$2,0,IF((J$6-$G$3)&lt;1,0,IFERROR(LOOKUP(2,1/(Aveia!$E49:INDEX(Aveia!$E49:$Z49,MIN(J$6-$G$3,22))&lt;&gt;""),Aveia!$E49:INDEX(Aveia!$E49:$Z49,MIN(J$6-$G$3,22))),0)))))</f>
        <v>0</v>
      </c>
      <c r="K51" s="27" t="n">
        <f aca="false">IF(COUNT(Aveia!$E49:$Z49)=0,0,MAX(0,IF((K$6-$E$3)&lt;1,0,IFERROR(LOOKUP(2,1/(Aveia!$E49:INDEX(Aveia!$E49:$Z49,MIN(K$6-$E$3,22))&lt;&gt;""),Aveia!$E49:INDEX(Aveia!$E49:$Z49,MIN(K$6-$E$3,22))),0))-IF($G$2,0,IF((K$6-$G$3)&lt;1,0,IFERROR(LOOKUP(2,1/(Aveia!$E49:INDEX(Aveia!$E49:$Z49,MIN(K$6-$G$3,22))&lt;&gt;""),Aveia!$E49:INDEX(Aveia!$E49:$Z49,MIN(K$6-$G$3,22))),0)))))</f>
        <v>0</v>
      </c>
      <c r="L51" s="27" t="n">
        <f aca="false">IF(COUNT(Aveia!$E49:$Z49)=0,0,MAX(0,IF((L$6-$E$3)&lt;1,0,IFERROR(LOOKUP(2,1/(Aveia!$E49:INDEX(Aveia!$E49:$Z49,MIN(L$6-$E$3,22))&lt;&gt;""),Aveia!$E49:INDEX(Aveia!$E49:$Z49,MIN(L$6-$E$3,22))),0))-IF($G$2,0,IF((L$6-$G$3)&lt;1,0,IFERROR(LOOKUP(2,1/(Aveia!$E49:INDEX(Aveia!$E49:$Z49,MIN(L$6-$G$3,22))&lt;&gt;""),Aveia!$E49:INDEX(Aveia!$E49:$Z49,MIN(L$6-$G$3,22))),0)))))</f>
        <v>0</v>
      </c>
      <c r="M51" s="27" t="n">
        <f aca="false">IF(COUNT(Aveia!$E49:$Z49)=0,0,MAX(0,IF((M$6-$E$3)&lt;1,0,IFERROR(LOOKUP(2,1/(Aveia!$E49:INDEX(Aveia!$E49:$Z49,MIN(M$6-$E$3,22))&lt;&gt;""),Aveia!$E49:INDEX(Aveia!$E49:$Z49,MIN(M$6-$E$3,22))),0))-IF($G$2,0,IF((M$6-$G$3)&lt;1,0,IFERROR(LOOKUP(2,1/(Aveia!$E49:INDEX(Aveia!$E49:$Z49,MIN(M$6-$G$3,22))&lt;&gt;""),Aveia!$E49:INDEX(Aveia!$E49:$Z49,MIN(M$6-$G$3,22))),0)))))</f>
        <v>0</v>
      </c>
      <c r="N51" s="27" t="n">
        <f aca="false">IF(COUNT(Aveia!$E49:$Z49)=0,0,MAX(0,IF((N$6-$E$3)&lt;1,0,IFERROR(LOOKUP(2,1/(Aveia!$E49:INDEX(Aveia!$E49:$Z49,MIN(N$6-$E$3,22))&lt;&gt;""),Aveia!$E49:INDEX(Aveia!$E49:$Z49,MIN(N$6-$E$3,22))),0))-IF($G$2,0,IF((N$6-$G$3)&lt;1,0,IFERROR(LOOKUP(2,1/(Aveia!$E49:INDEX(Aveia!$E49:$Z49,MIN(N$6-$G$3,22))&lt;&gt;""),Aveia!$E49:INDEX(Aveia!$E49:$Z49,MIN(N$6-$G$3,22))),0)))))</f>
        <v>0</v>
      </c>
      <c r="O51" s="27" t="n">
        <f aca="false">IF(COUNT(Aveia!$E49:$Z49)=0,0,MAX(0,IF((O$6-$E$3)&lt;1,0,IFERROR(LOOKUP(2,1/(Aveia!$E49:INDEX(Aveia!$E49:$Z49,MIN(O$6-$E$3,22))&lt;&gt;""),Aveia!$E49:INDEX(Aveia!$E49:$Z49,MIN(O$6-$E$3,22))),0))-IF($G$2,0,IF((O$6-$G$3)&lt;1,0,IFERROR(LOOKUP(2,1/(Aveia!$E49:INDEX(Aveia!$E49:$Z49,MIN(O$6-$G$3,22))&lt;&gt;""),Aveia!$E49:INDEX(Aveia!$E49:$Z49,MIN(O$6-$G$3,22))),0)))))</f>
        <v>0</v>
      </c>
      <c r="P51" s="27" t="n">
        <f aca="false">IF(COUNT(Aveia!$E49:$Z49)=0,0,MAX(0,IF((P$6-$E$3)&lt;1,0,IFERROR(LOOKUP(2,1/(Aveia!$E49:INDEX(Aveia!$E49:$Z49,MIN(P$6-$E$3,22))&lt;&gt;""),Aveia!$E49:INDEX(Aveia!$E49:$Z49,MIN(P$6-$E$3,22))),0))-IF($G$2,0,IF((P$6-$G$3)&lt;1,0,IFERROR(LOOKUP(2,1/(Aveia!$E49:INDEX(Aveia!$E49:$Z49,MIN(P$6-$G$3,22))&lt;&gt;""),Aveia!$E49:INDEX(Aveia!$E49:$Z49,MIN(P$6-$G$3,22))),0)))))</f>
        <v>0</v>
      </c>
      <c r="Q51" s="27" t="n">
        <f aca="false">IF(COUNT(Aveia!$E49:$Z49)=0,0,MAX(0,IF((Q$6-$E$3)&lt;1,0,IFERROR(LOOKUP(2,1/(Aveia!$E49:INDEX(Aveia!$E49:$Z49,MIN(Q$6-$E$3,22))&lt;&gt;""),Aveia!$E49:INDEX(Aveia!$E49:$Z49,MIN(Q$6-$E$3,22))),0))-IF($G$2,0,IF((Q$6-$G$3)&lt;1,0,IFERROR(LOOKUP(2,1/(Aveia!$E49:INDEX(Aveia!$E49:$Z49,MIN(Q$6-$G$3,22))&lt;&gt;""),Aveia!$E49:INDEX(Aveia!$E49:$Z49,MIN(Q$6-$G$3,22))),0)))))</f>
        <v>0</v>
      </c>
      <c r="R51" s="27" t="n">
        <f aca="false">IF(COUNT(Aveia!$E49:$Z49)=0,0,MAX(0,IF((R$6-$E$3)&lt;1,0,IFERROR(LOOKUP(2,1/(Aveia!$E49:INDEX(Aveia!$E49:$Z49,MIN(R$6-$E$3,22))&lt;&gt;""),Aveia!$E49:INDEX(Aveia!$E49:$Z49,MIN(R$6-$E$3,22))),0))-IF($G$2,0,IF((R$6-$G$3)&lt;1,0,IFERROR(LOOKUP(2,1/(Aveia!$E49:INDEX(Aveia!$E49:$Z49,MIN(R$6-$G$3,22))&lt;&gt;""),Aveia!$E49:INDEX(Aveia!$E49:$Z49,MIN(R$6-$G$3,22))),0)))))</f>
        <v>0</v>
      </c>
      <c r="S51" s="27" t="n">
        <f aca="false">IF(COUNT(Aveia!$E49:$Z49)=0,0,MAX(0,IF((S$6-$E$3)&lt;1,0,IFERROR(LOOKUP(2,1/(Aveia!$E49:INDEX(Aveia!$E49:$Z49,MIN(S$6-$E$3,22))&lt;&gt;""),Aveia!$E49:INDEX(Aveia!$E49:$Z49,MIN(S$6-$E$3,22))),0))-IF($G$2,0,IF((S$6-$G$3)&lt;1,0,IFERROR(LOOKUP(2,1/(Aveia!$E49:INDEX(Aveia!$E49:$Z49,MIN(S$6-$G$3,22))&lt;&gt;""),Aveia!$E49:INDEX(Aveia!$E49:$Z49,MIN(S$6-$G$3,22))),0)))))</f>
        <v>0</v>
      </c>
      <c r="T51" s="27" t="n">
        <f aca="false">IF(COUNT(Aveia!$E49:$Z49)=0,0,MAX(0,IF((T$6-$E$3)&lt;1,0,IFERROR(LOOKUP(2,1/(Aveia!$E49:INDEX(Aveia!$E49:$Z49,MIN(T$6-$E$3,22))&lt;&gt;""),Aveia!$E49:INDEX(Aveia!$E49:$Z49,MIN(T$6-$E$3,22))),0))-IF($G$2,0,IF((T$6-$G$3)&lt;1,0,IFERROR(LOOKUP(2,1/(Aveia!$E49:INDEX(Aveia!$E49:$Z49,MIN(T$6-$G$3,22))&lt;&gt;""),Aveia!$E49:INDEX(Aveia!$E49:$Z49,MIN(T$6-$G$3,22))),0)))))</f>
        <v>0</v>
      </c>
      <c r="U51" s="27" t="n">
        <f aca="false">IF(COUNT(Aveia!$E49:$Z49)=0,0,MAX(0,IF((U$6-$E$3)&lt;1,0,IFERROR(LOOKUP(2,1/(Aveia!$E49:INDEX(Aveia!$E49:$Z49,MIN(U$6-$E$3,22))&lt;&gt;""),Aveia!$E49:INDEX(Aveia!$E49:$Z49,MIN(U$6-$E$3,22))),0))-IF($G$2,0,IF((U$6-$G$3)&lt;1,0,IFERROR(LOOKUP(2,1/(Aveia!$E49:INDEX(Aveia!$E49:$Z49,MIN(U$6-$G$3,22))&lt;&gt;""),Aveia!$E49:INDEX(Aveia!$E49:$Z49,MIN(U$6-$G$3,22))),0)))))</f>
        <v>0</v>
      </c>
      <c r="V51" s="27" t="n">
        <f aca="false">IF(COUNT(Aveia!$E49:$Z49)=0,0,MAX(0,IF((V$6-$E$3)&lt;1,0,IFERROR(LOOKUP(2,1/(Aveia!$E49:INDEX(Aveia!$E49:$Z49,MIN(V$6-$E$3,22))&lt;&gt;""),Aveia!$E49:INDEX(Aveia!$E49:$Z49,MIN(V$6-$E$3,22))),0))-IF($G$2,0,IF((V$6-$G$3)&lt;1,0,IFERROR(LOOKUP(2,1/(Aveia!$E49:INDEX(Aveia!$E49:$Z49,MIN(V$6-$G$3,22))&lt;&gt;""),Aveia!$E49:INDEX(Aveia!$E49:$Z49,MIN(V$6-$G$3,22))),0)))))</f>
        <v>0</v>
      </c>
      <c r="W51" s="27" t="n">
        <f aca="false">IF(COUNT(Aveia!$E49:$Z49)=0,0,MAX(0,IF((W$6-$E$3)&lt;1,0,IFERROR(LOOKUP(2,1/(Aveia!$E49:INDEX(Aveia!$E49:$Z49,MIN(W$6-$E$3,22))&lt;&gt;""),Aveia!$E49:INDEX(Aveia!$E49:$Z49,MIN(W$6-$E$3,22))),0))-IF($G$2,0,IF((W$6-$G$3)&lt;1,0,IFERROR(LOOKUP(2,1/(Aveia!$E49:INDEX(Aveia!$E49:$Z49,MIN(W$6-$G$3,22))&lt;&gt;""),Aveia!$E49:INDEX(Aveia!$E49:$Z49,MIN(W$6-$G$3,22))),0)))))</f>
        <v>0</v>
      </c>
      <c r="X51" s="27" t="n">
        <f aca="false">IF(COUNT(Aveia!$E49:$Z49)=0,0,MAX(0,IF((X$6-$E$3)&lt;1,0,IFERROR(LOOKUP(2,1/(Aveia!$E49:INDEX(Aveia!$E49:$Z49,MIN(X$6-$E$3,22))&lt;&gt;""),Aveia!$E49:INDEX(Aveia!$E49:$Z49,MIN(X$6-$E$3,22))),0))-IF($G$2,0,IF((X$6-$G$3)&lt;1,0,IFERROR(LOOKUP(2,1/(Aveia!$E49:INDEX(Aveia!$E49:$Z49,MIN(X$6-$G$3,22))&lt;&gt;""),Aveia!$E49:INDEX(Aveia!$E49:$Z49,MIN(X$6-$G$3,22))),0)))))</f>
        <v>0</v>
      </c>
      <c r="Y51" s="27" t="n">
        <f aca="false">IF(COUNT(Aveia!$E49:$Z49)=0,0,MAX(0,IF((Y$6-$E$3)&lt;1,0,IFERROR(LOOKUP(2,1/(Aveia!$E49:INDEX(Aveia!$E49:$Z49,MIN(Y$6-$E$3,22))&lt;&gt;""),Aveia!$E49:INDEX(Aveia!$E49:$Z49,MIN(Y$6-$E$3,22))),0))-IF($G$2,0,IF((Y$6-$G$3)&lt;1,0,IFERROR(LOOKUP(2,1/(Aveia!$E49:INDEX(Aveia!$E49:$Z49,MIN(Y$6-$G$3,22))&lt;&gt;""),Aveia!$E49:INDEX(Aveia!$E49:$Z49,MIN(Y$6-$G$3,22))),0)))))</f>
        <v>0</v>
      </c>
      <c r="Z51" s="27" t="n">
        <f aca="false">IF(COUNT(Aveia!$E49:$Z49)=0,0,MAX(0,IF((Z$6-$E$3)&lt;1,0,IFERROR(LOOKUP(2,1/(Aveia!$E49:INDEX(Aveia!$E49:$Z49,MIN(Z$6-$E$3,22))&lt;&gt;""),Aveia!$E49:INDEX(Aveia!$E49:$Z49,MIN(Z$6-$E$3,22))),0))-IF($G$2,0,IF((Z$6-$G$3)&lt;1,0,IFERROR(LOOKUP(2,1/(Aveia!$E49:INDEX(Aveia!$E49:$Z49,MIN(Z$6-$G$3,22))&lt;&gt;""),Aveia!$E49:INDEX(Aveia!$E49:$Z49,MIN(Z$6-$G$3,22))),0)))))</f>
        <v>0</v>
      </c>
      <c r="AA51" s="27" t="n">
        <f aca="false">IF(COUNT(Aveia!$E49:$Z49)=0,0,MAX(0,IF((AA$6-$E$3)&lt;1,0,IFERROR(LOOKUP(2,1/(Aveia!$E49:INDEX(Aveia!$E49:$Z49,MIN(AA$6-$E$3,22))&lt;&gt;""),Aveia!$E49:INDEX(Aveia!$E49:$Z49,MIN(AA$6-$E$3,22))),0))-IF($G$2,0,IF((AA$6-$G$3)&lt;1,0,IFERROR(LOOKUP(2,1/(Aveia!$E49:INDEX(Aveia!$E49:$Z49,MIN(AA$6-$G$3,22))&lt;&gt;""),Aveia!$E49:INDEX(Aveia!$E49:$Z49,MIN(AA$6-$G$3,22))),0)))))</f>
        <v>0</v>
      </c>
      <c r="AB51" s="27" t="n">
        <f aca="false">IF(COUNT(Aveia!$E49:$Z49)=0,0,MAX(0,IF((AB$6-$E$3)&lt;1,0,IFERROR(LOOKUP(2,1/(Aveia!$E49:INDEX(Aveia!$E49:$Z49,MIN(AB$6-$E$3,22))&lt;&gt;""),Aveia!$E49:INDEX(Aveia!$E49:$Z49,MIN(AB$6-$E$3,22))),0))-IF($G$2,0,IF((AB$6-$G$3)&lt;1,0,IFERROR(LOOKUP(2,1/(Aveia!$E49:INDEX(Aveia!$E49:$Z49,MIN(AB$6-$G$3,22))&lt;&gt;""),Aveia!$E49:INDEX(Aveia!$E49:$Z49,MIN(AB$6-$G$3,22))),0)))))</f>
        <v>0</v>
      </c>
      <c r="AC51" s="27" t="n">
        <f aca="false">IF(COUNT(Aveia!$E49:$Z49)=0,0,MAX(0,IF((AC$6-$E$3)&lt;1,0,IFERROR(LOOKUP(2,1/(Aveia!$E49:INDEX(Aveia!$E49:$Z49,MIN(AC$6-$E$3,22))&lt;&gt;""),Aveia!$E49:INDEX(Aveia!$E49:$Z49,MIN(AC$6-$E$3,22))),0))-IF($G$2,0,IF((AC$6-$G$3)&lt;1,0,IFERROR(LOOKUP(2,1/(Aveia!$E49:INDEX(Aveia!$E49:$Z49,MIN(AC$6-$G$3,22))&lt;&gt;""),Aveia!$E49:INDEX(Aveia!$E49:$Z49,MIN(AC$6-$G$3,22))),0)))))</f>
        <v>0</v>
      </c>
      <c r="AD51" s="27" t="n">
        <f aca="false">IF(COUNT(Aveia!$E49:$Z49)=0,0,MAX(0,IF((AD$6-$E$3)&lt;1,0,IFERROR(LOOKUP(2,1/(Aveia!$E49:INDEX(Aveia!$E49:$Z49,MIN(AD$6-$E$3,22))&lt;&gt;""),Aveia!$E49:INDEX(Aveia!$E49:$Z49,MIN(AD$6-$E$3,22))),0))-IF($G$2,0,IF((AD$6-$G$3)&lt;1,0,IFERROR(LOOKUP(2,1/(Aveia!$E49:INDEX(Aveia!$E49:$Z49,MIN(AD$6-$G$3,22))&lt;&gt;""),Aveia!$E49:INDEX(Aveia!$E49:$Z49,MIN(AD$6-$G$3,22))),0)))))</f>
        <v>0</v>
      </c>
      <c r="AE51" s="27" t="n">
        <f aca="false">IF(COUNT(Aveia!$E49:$Z49)=0,0,MAX(0,IF((AE$6-$E$3)&lt;1,0,IFERROR(LOOKUP(2,1/(Aveia!$E49:INDEX(Aveia!$E49:$Z49,MIN(AE$6-$E$3,22))&lt;&gt;""),Aveia!$E49:INDEX(Aveia!$E49:$Z49,MIN(AE$6-$E$3,22))),0))-IF($G$2,0,IF((AE$6-$G$3)&lt;1,0,IFERROR(LOOKUP(2,1/(Aveia!$E49:INDEX(Aveia!$E49:$Z49,MIN(AE$6-$G$3,22))&lt;&gt;""),Aveia!$E49:INDEX(Aveia!$E49:$Z49,MIN(AE$6-$G$3,22))),0)))))</f>
        <v>0</v>
      </c>
      <c r="AF51" s="27" t="n">
        <f aca="false">IF(COUNT(Aveia!$E49:$Z49)=0,0,MAX(0,IF((AF$6-$E$3)&lt;1,0,IFERROR(LOOKUP(2,1/(Aveia!$E49:INDEX(Aveia!$E49:$Z49,MIN(AF$6-$E$3,22))&lt;&gt;""),Aveia!$E49:INDEX(Aveia!$E49:$Z49,MIN(AF$6-$E$3,22))),0))-IF($G$2,0,IF((AF$6-$G$3)&lt;1,0,IFERROR(LOOKUP(2,1/(Aveia!$E49:INDEX(Aveia!$E49:$Z49,MIN(AF$6-$G$3,22))&lt;&gt;""),Aveia!$E49:INDEX(Aveia!$E49:$Z49,MIN(AF$6-$G$3,22))),0)))))</f>
        <v>0</v>
      </c>
      <c r="AG51" s="27" t="n">
        <f aca="false">IF(COUNT(Aveia!$E49:$Z49)=0,0,MAX(0,IF((AG$6-$E$3)&lt;1,0,IFERROR(LOOKUP(2,1/(Aveia!$E49:INDEX(Aveia!$E49:$Z49,MIN(AG$6-$E$3,22))&lt;&gt;""),Aveia!$E49:INDEX(Aveia!$E49:$Z49,MIN(AG$6-$E$3,22))),0))-IF($G$2,0,IF((AG$6-$G$3)&lt;1,0,IFERROR(LOOKUP(2,1/(Aveia!$E49:INDEX(Aveia!$E49:$Z49,MIN(AG$6-$G$3,22))&lt;&gt;""),Aveia!$E49:INDEX(Aveia!$E49:$Z49,MIN(AG$6-$G$3,22))),0)))))</f>
        <v>0</v>
      </c>
      <c r="AH51" s="27" t="n">
        <f aca="false">IF(COUNT(Aveia!$E49:$Z49)=0,0,MAX(0,IF((AH$6-$E$3)&lt;1,0,IFERROR(LOOKUP(2,1/(Aveia!$E49:INDEX(Aveia!$E49:$Z49,MIN(AH$6-$E$3,22))&lt;&gt;""),Aveia!$E49:INDEX(Aveia!$E49:$Z49,MIN(AH$6-$E$3,22))),0))-IF($G$2,0,IF((AH$6-$G$3)&lt;1,0,IFERROR(LOOKUP(2,1/(Aveia!$E49:INDEX(Aveia!$E49:$Z49,MIN(AH$6-$G$3,22))&lt;&gt;""),Aveia!$E49:INDEX(Aveia!$E49:$Z49,MIN(AH$6-$G$3,22))),0)))))</f>
        <v>0</v>
      </c>
      <c r="AI51" s="27" t="n">
        <f aca="false">IF(COUNT(Aveia!$E49:$Z49)=0,0,MAX(0,IF((AI$6-$E$3)&lt;1,0,IFERROR(LOOKUP(2,1/(Aveia!$E49:INDEX(Aveia!$E49:$Z49,MIN(AI$6-$E$3,22))&lt;&gt;""),Aveia!$E49:INDEX(Aveia!$E49:$Z49,MIN(AI$6-$E$3,22))),0))-IF($G$2,0,IF((AI$6-$G$3)&lt;1,0,IFERROR(LOOKUP(2,1/(Aveia!$E49:INDEX(Aveia!$E49:$Z49,MIN(AI$6-$G$3,22))&lt;&gt;""),Aveia!$E49:INDEX(Aveia!$E49:$Z49,MIN(AI$6-$G$3,22))),0)))))</f>
        <v>0</v>
      </c>
      <c r="AJ51" s="27" t="n">
        <f aca="false">IF(COUNT(Aveia!$E49:$Z49)=0,0,MAX(0,IF((AJ$6-$E$3)&lt;1,0,IFERROR(LOOKUP(2,1/(Aveia!$E49:INDEX(Aveia!$E49:$Z49,MIN(AJ$6-$E$3,22))&lt;&gt;""),Aveia!$E49:INDEX(Aveia!$E49:$Z49,MIN(AJ$6-$E$3,22))),0))-IF($G$2,0,IF((AJ$6-$G$3)&lt;1,0,IFERROR(LOOKUP(2,1/(Aveia!$E49:INDEX(Aveia!$E49:$Z49,MIN(AJ$6-$G$3,22))&lt;&gt;""),Aveia!$E49:INDEX(Aveia!$E49:$Z49,MIN(AJ$6-$G$3,22))),0)))))</f>
        <v>0</v>
      </c>
      <c r="AK51" s="27" t="n">
        <f aca="false">IF(COUNT(Aveia!$E49:$Z49)=0,0,MAX(0,IF((AK$6-$E$3)&lt;1,0,IFERROR(LOOKUP(2,1/(Aveia!$E49:INDEX(Aveia!$E49:$Z49,MIN(AK$6-$E$3,22))&lt;&gt;""),Aveia!$E49:INDEX(Aveia!$E49:$Z49,MIN(AK$6-$E$3,22))),0))-IF($G$2,0,IF((AK$6-$G$3)&lt;1,0,IFERROR(LOOKUP(2,1/(Aveia!$E49:INDEX(Aveia!$E49:$Z49,MIN(AK$6-$G$3,22))&lt;&gt;""),Aveia!$E49:INDEX(Aveia!$E49:$Z49,MIN(AK$6-$G$3,22))),0)))))</f>
        <v>0</v>
      </c>
      <c r="AL51" s="27" t="n">
        <f aca="false">IF(COUNT(Aveia!$E49:$Z49)=0,0,MAX(0,IF((AL$6-$E$3)&lt;1,0,IFERROR(LOOKUP(2,1/(Aveia!$E49:INDEX(Aveia!$E49:$Z49,MIN(AL$6-$E$3,22))&lt;&gt;""),Aveia!$E49:INDEX(Aveia!$E49:$Z49,MIN(AL$6-$E$3,22))),0))-IF($G$2,0,IF((AL$6-$G$3)&lt;1,0,IFERROR(LOOKUP(2,1/(Aveia!$E49:INDEX(Aveia!$E49:$Z49,MIN(AL$6-$G$3,22))&lt;&gt;""),Aveia!$E49:INDEX(Aveia!$E49:$Z49,MIN(AL$6-$G$3,22))),0)))))</f>
        <v>0</v>
      </c>
      <c r="AM51" s="27" t="n">
        <f aca="false">IF(COUNT(Aveia!$E49:$Z49)=0,0,MAX(0,IF((AM$6-$E$3)&lt;1,0,IFERROR(LOOKUP(2,1/(Aveia!$E49:INDEX(Aveia!$E49:$Z49,MIN(AM$6-$E$3,22))&lt;&gt;""),Aveia!$E49:INDEX(Aveia!$E49:$Z49,MIN(AM$6-$E$3,22))),0))-IF($G$2,0,IF((AM$6-$G$3)&lt;1,0,IFERROR(LOOKUP(2,1/(Aveia!$E49:INDEX(Aveia!$E49:$Z49,MIN(AM$6-$G$3,22))&lt;&gt;""),Aveia!$E49:INDEX(Aveia!$E49:$Z49,MIN(AM$6-$G$3,22))),0)))))</f>
        <v>0</v>
      </c>
      <c r="AN51" s="27" t="n">
        <f aca="false">IF(COUNT(Aveia!$E49:$Z49)=0,0,MAX(0,IF((AN$6-$E$3)&lt;1,0,IFERROR(LOOKUP(2,1/(Aveia!$E49:INDEX(Aveia!$E49:$Z49,MIN(AN$6-$E$3,22))&lt;&gt;""),Aveia!$E49:INDEX(Aveia!$E49:$Z49,MIN(AN$6-$E$3,22))),0))-IF($G$2,0,IF((AN$6-$G$3)&lt;1,0,IFERROR(LOOKUP(2,1/(Aveia!$E49:INDEX(Aveia!$E49:$Z49,MIN(AN$6-$G$3,22))&lt;&gt;""),Aveia!$E49:INDEX(Aveia!$E49:$Z49,MIN(AN$6-$G$3,22))),0)))))</f>
        <v>0</v>
      </c>
      <c r="AO51" s="27" t="n">
        <f aca="false">IF(COUNT(Aveia!$E49:$Z49)=0,0,MAX(0,IF((AO$6-$E$3)&lt;1,0,IFERROR(LOOKUP(2,1/(Aveia!$E49:INDEX(Aveia!$E49:$Z49,MIN(AO$6-$E$3,22))&lt;&gt;""),Aveia!$E49:INDEX(Aveia!$E49:$Z49,MIN(AO$6-$E$3,22))),0))-IF($G$2,0,IF((AO$6-$G$3)&lt;1,0,IFERROR(LOOKUP(2,1/(Aveia!$E49:INDEX(Aveia!$E49:$Z49,MIN(AO$6-$G$3,22))&lt;&gt;""),Aveia!$E49:INDEX(Aveia!$E49:$Z49,MIN(AO$6-$G$3,22))),0)))))</f>
        <v>0</v>
      </c>
      <c r="AP51" s="27" t="n">
        <f aca="false">IF(COUNT(Aveia!$E49:$Z49)=0,0,MAX(0,IF((AP$6-$E$3)&lt;1,0,IFERROR(LOOKUP(2,1/(Aveia!$E49:INDEX(Aveia!$E49:$Z49,MIN(AP$6-$E$3,22))&lt;&gt;""),Aveia!$E49:INDEX(Aveia!$E49:$Z49,MIN(AP$6-$E$3,22))),0))-IF($G$2,0,IF((AP$6-$G$3)&lt;1,0,IFERROR(LOOKUP(2,1/(Aveia!$E49:INDEX(Aveia!$E49:$Z49,MIN(AP$6-$G$3,22))&lt;&gt;""),Aveia!$E49:INDEX(Aveia!$E49:$Z49,MIN(AP$6-$G$3,22))),0)))))</f>
        <v>0</v>
      </c>
      <c r="AQ51" s="27" t="n">
        <f aca="false">IF(COUNT(Aveia!$E49:$Z49)=0,0,MAX(0,IF((AQ$6-$E$3)&lt;1,0,IFERROR(LOOKUP(2,1/(Aveia!$E49:INDEX(Aveia!$E49:$Z49,MIN(AQ$6-$E$3,22))&lt;&gt;""),Aveia!$E49:INDEX(Aveia!$E49:$Z49,MIN(AQ$6-$E$3,22))),0))-IF($G$2,0,IF((AQ$6-$G$3)&lt;1,0,IFERROR(LOOKUP(2,1/(Aveia!$E49:INDEX(Aveia!$E49:$Z49,MIN(AQ$6-$G$3,22))&lt;&gt;""),Aveia!$E49:INDEX(Aveia!$E49:$Z49,MIN(AQ$6-$G$3,22))),0)))))</f>
        <v>0</v>
      </c>
      <c r="AR51" s="27" t="n">
        <f aca="false">IF(COUNT(Aveia!$E49:$Z49)=0,0,MAX(0,IF((AR$6-$E$3)&lt;1,0,IFERROR(LOOKUP(2,1/(Aveia!$E49:INDEX(Aveia!$E49:$Z49,MIN(AR$6-$E$3,22))&lt;&gt;""),Aveia!$E49:INDEX(Aveia!$E49:$Z49,MIN(AR$6-$E$3,22))),0))-IF($G$2,0,IF((AR$6-$G$3)&lt;1,0,IFERROR(LOOKUP(2,1/(Aveia!$E49:INDEX(Aveia!$E49:$Z49,MIN(AR$6-$G$3,22))&lt;&gt;""),Aveia!$E49:INDEX(Aveia!$E49:$Z49,MIN(AR$6-$G$3,22))),0)))))</f>
        <v>0</v>
      </c>
      <c r="AS51" s="27" t="n">
        <f aca="false">IF(COUNT(Aveia!$E49:$Z49)=0,0,MAX(0,IF((AS$6-$E$3)&lt;1,0,IFERROR(LOOKUP(2,1/(Aveia!$E49:INDEX(Aveia!$E49:$Z49,MIN(AS$6-$E$3,22))&lt;&gt;""),Aveia!$E49:INDEX(Aveia!$E49:$Z49,MIN(AS$6-$E$3,22))),0))-IF($G$2,0,IF((AS$6-$G$3)&lt;1,0,IFERROR(LOOKUP(2,1/(Aveia!$E49:INDEX(Aveia!$E49:$Z49,MIN(AS$6-$G$3,22))&lt;&gt;""),Aveia!$E49:INDEX(Aveia!$E49:$Z49,MIN(AS$6-$G$3,22))),0)))))</f>
        <v>0</v>
      </c>
      <c r="AT51" s="27" t="n">
        <f aca="false">IF(COUNT(Aveia!$E49:$Z49)=0,0,MAX(0,IF((AT$6-$E$3)&lt;1,0,IFERROR(LOOKUP(2,1/(Aveia!$E49:INDEX(Aveia!$E49:$Z49,MIN(AT$6-$E$3,22))&lt;&gt;""),Aveia!$E49:INDEX(Aveia!$E49:$Z49,MIN(AT$6-$E$3,22))),0))-IF($G$2,0,IF((AT$6-$G$3)&lt;1,0,IFERROR(LOOKUP(2,1/(Aveia!$E49:INDEX(Aveia!$E49:$Z49,MIN(AT$6-$G$3,22))&lt;&gt;""),Aveia!$E49:INDEX(Aveia!$E49:$Z49,MIN(AT$6-$G$3,22))),0)))))</f>
        <v>0</v>
      </c>
      <c r="AU51" s="27" t="n">
        <f aca="false">IF(COUNT(Aveia!$E49:$Z49)=0,0,MAX(0,IF((AU$6-$E$3)&lt;1,0,IFERROR(LOOKUP(2,1/(Aveia!$E49:INDEX(Aveia!$E49:$Z49,MIN(AU$6-$E$3,22))&lt;&gt;""),Aveia!$E49:INDEX(Aveia!$E49:$Z49,MIN(AU$6-$E$3,22))),0))-IF($G$2,0,IF((AU$6-$G$3)&lt;1,0,IFERROR(LOOKUP(2,1/(Aveia!$E49:INDEX(Aveia!$E49:$Z49,MIN(AU$6-$G$3,22))&lt;&gt;""),Aveia!$E49:INDEX(Aveia!$E49:$Z49,MIN(AU$6-$G$3,22))),0)))))</f>
        <v>0</v>
      </c>
      <c r="AV51" s="27" t="n">
        <f aca="false">IF(COUNT(Aveia!$E49:$Z49)=0,0,MAX(0,IF((AV$6-$E$3)&lt;1,0,IFERROR(LOOKUP(2,1/(Aveia!$E49:INDEX(Aveia!$E49:$Z49,MIN(AV$6-$E$3,22))&lt;&gt;""),Aveia!$E49:INDEX(Aveia!$E49:$Z49,MIN(AV$6-$E$3,22))),0))-IF($G$2,0,IF((AV$6-$G$3)&lt;1,0,IFERROR(LOOKUP(2,1/(Aveia!$E49:INDEX(Aveia!$E49:$Z49,MIN(AV$6-$G$3,22))&lt;&gt;""),Aveia!$E49:INDEX(Aveia!$E49:$Z49,MIN(AV$6-$G$3,22))),0)))))</f>
        <v>0</v>
      </c>
      <c r="AW51" s="27" t="n">
        <f aca="false">IF(COUNT(Aveia!$E49:$Z49)=0,0,MAX(0,IF((AW$6-$E$3)&lt;1,0,IFERROR(LOOKUP(2,1/(Aveia!$E49:INDEX(Aveia!$E49:$Z49,MIN(AW$6-$E$3,22))&lt;&gt;""),Aveia!$E49:INDEX(Aveia!$E49:$Z49,MIN(AW$6-$E$3,22))),0))-IF($G$2,0,IF((AW$6-$G$3)&lt;1,0,IFERROR(LOOKUP(2,1/(Aveia!$E49:INDEX(Aveia!$E49:$Z49,MIN(AW$6-$G$3,22))&lt;&gt;""),Aveia!$E49:INDEX(Aveia!$E49:$Z49,MIN(AW$6-$G$3,22))),0)))))</f>
        <v>0</v>
      </c>
      <c r="AX51" s="27" t="n">
        <f aca="false">IF(COUNT(Aveia!$E49:$Z49)=0,0,MAX(0,IF((AX$6-$E$3)&lt;1,0,IFERROR(LOOKUP(2,1/(Aveia!$E49:INDEX(Aveia!$E49:$Z49,MIN(AX$6-$E$3,22))&lt;&gt;""),Aveia!$E49:INDEX(Aveia!$E49:$Z49,MIN(AX$6-$E$3,22))),0))-IF($G$2,0,IF((AX$6-$G$3)&lt;1,0,IFERROR(LOOKUP(2,1/(Aveia!$E49:INDEX(Aveia!$E49:$Z49,MIN(AX$6-$G$3,22))&lt;&gt;""),Aveia!$E49:INDEX(Aveia!$E49:$Z49,MIN(AX$6-$G$3,22))),0)))))</f>
        <v>0</v>
      </c>
      <c r="AY51" s="27" t="n">
        <f aca="false">IF(COUNT(Aveia!$E49:$Z49)=0,0,MAX(0,IF((AY$6-$E$3)&lt;1,0,IFERROR(LOOKUP(2,1/(Aveia!$E49:INDEX(Aveia!$E49:$Z49,MIN(AY$6-$E$3,22))&lt;&gt;""),Aveia!$E49:INDEX(Aveia!$E49:$Z49,MIN(AY$6-$E$3,22))),0))-IF($G$2,0,IF((AY$6-$G$3)&lt;1,0,IFERROR(LOOKUP(2,1/(Aveia!$E49:INDEX(Aveia!$E49:$Z49,MIN(AY$6-$G$3,22))&lt;&gt;""),Aveia!$E49:INDEX(Aveia!$E49:$Z49,MIN(AY$6-$G$3,22))),0)))))</f>
        <v>0</v>
      </c>
      <c r="AZ51" s="27" t="n">
        <f aca="false">IF(COUNT(Aveia!$E49:$Z49)=0,0,MAX(0,IF((AZ$6-$E$3)&lt;1,0,IFERROR(LOOKUP(2,1/(Aveia!$E49:INDEX(Aveia!$E49:$Z49,MIN(AZ$6-$E$3,22))&lt;&gt;""),Aveia!$E49:INDEX(Aveia!$E49:$Z49,MIN(AZ$6-$E$3,22))),0))-IF($G$2,0,IF((AZ$6-$G$3)&lt;1,0,IFERROR(LOOKUP(2,1/(Aveia!$E49:INDEX(Aveia!$E49:$Z49,MIN(AZ$6-$G$3,22))&lt;&gt;""),Aveia!$E49:INDEX(Aveia!$E49:$Z49,MIN(AZ$6-$G$3,22))),0)))))</f>
        <v>0</v>
      </c>
    </row>
    <row r="52" customFormat="false" ht="15" hidden="false" customHeight="false" outlineLevel="0" collapsed="false">
      <c r="A52" s="3" t="s">
        <v>224</v>
      </c>
      <c r="B52" s="3" t="s">
        <v>225</v>
      </c>
      <c r="C52" s="10" t="s">
        <v>172</v>
      </c>
      <c r="D52" s="26" t="n">
        <f aca="false">IF(COUNT(Aveia!$E50:$Z50)&gt;0,N(Aveia!$D50),0)</f>
        <v>0</v>
      </c>
      <c r="E52" s="27" t="n">
        <f aca="false">IF(COUNT(Aveia!$E50:$Z50)=0,0,MAX(0,IF((E$6-$E$3)&lt;1,0,IFERROR(LOOKUP(2,1/(Aveia!$E50:INDEX(Aveia!$E50:$Z50,MIN(E$6-$E$3,22))&lt;&gt;""),Aveia!$E50:INDEX(Aveia!$E50:$Z50,MIN(E$6-$E$3,22))),0))-IF($G$2,0,IF((E$6-$G$3)&lt;1,0,IFERROR(LOOKUP(2,1/(Aveia!$E50:INDEX(Aveia!$E50:$Z50,MIN(E$6-$G$3,22))&lt;&gt;""),Aveia!$E50:INDEX(Aveia!$E50:$Z50,MIN(E$6-$G$3,22))),0)))))</f>
        <v>0</v>
      </c>
      <c r="F52" s="27" t="n">
        <f aca="false">IF(COUNT(Aveia!$E50:$Z50)=0,0,MAX(0,IF((F$6-$E$3)&lt;1,0,IFERROR(LOOKUP(2,1/(Aveia!$E50:INDEX(Aveia!$E50:$Z50,MIN(F$6-$E$3,22))&lt;&gt;""),Aveia!$E50:INDEX(Aveia!$E50:$Z50,MIN(F$6-$E$3,22))),0))-IF($G$2,0,IF((F$6-$G$3)&lt;1,0,IFERROR(LOOKUP(2,1/(Aveia!$E50:INDEX(Aveia!$E50:$Z50,MIN(F$6-$G$3,22))&lt;&gt;""),Aveia!$E50:INDEX(Aveia!$E50:$Z50,MIN(F$6-$G$3,22))),0)))))</f>
        <v>0</v>
      </c>
      <c r="G52" s="27" t="n">
        <f aca="false">IF(COUNT(Aveia!$E50:$Z50)=0,0,MAX(0,IF((G$6-$E$3)&lt;1,0,IFERROR(LOOKUP(2,1/(Aveia!$E50:INDEX(Aveia!$E50:$Z50,MIN(G$6-$E$3,22))&lt;&gt;""),Aveia!$E50:INDEX(Aveia!$E50:$Z50,MIN(G$6-$E$3,22))),0))-IF($G$2,0,IF((G$6-$G$3)&lt;1,0,IFERROR(LOOKUP(2,1/(Aveia!$E50:INDEX(Aveia!$E50:$Z50,MIN(G$6-$G$3,22))&lt;&gt;""),Aveia!$E50:INDEX(Aveia!$E50:$Z50,MIN(G$6-$G$3,22))),0)))))</f>
        <v>0</v>
      </c>
      <c r="H52" s="27" t="n">
        <f aca="false">IF(COUNT(Aveia!$E50:$Z50)=0,0,MAX(0,IF((H$6-$E$3)&lt;1,0,IFERROR(LOOKUP(2,1/(Aveia!$E50:INDEX(Aveia!$E50:$Z50,MIN(H$6-$E$3,22))&lt;&gt;""),Aveia!$E50:INDEX(Aveia!$E50:$Z50,MIN(H$6-$E$3,22))),0))-IF($G$2,0,IF((H$6-$G$3)&lt;1,0,IFERROR(LOOKUP(2,1/(Aveia!$E50:INDEX(Aveia!$E50:$Z50,MIN(H$6-$G$3,22))&lt;&gt;""),Aveia!$E50:INDEX(Aveia!$E50:$Z50,MIN(H$6-$G$3,22))),0)))))</f>
        <v>0</v>
      </c>
      <c r="I52" s="27" t="n">
        <f aca="false">IF(COUNT(Aveia!$E50:$Z50)=0,0,MAX(0,IF((I$6-$E$3)&lt;1,0,IFERROR(LOOKUP(2,1/(Aveia!$E50:INDEX(Aveia!$E50:$Z50,MIN(I$6-$E$3,22))&lt;&gt;""),Aveia!$E50:INDEX(Aveia!$E50:$Z50,MIN(I$6-$E$3,22))),0))-IF($G$2,0,IF((I$6-$G$3)&lt;1,0,IFERROR(LOOKUP(2,1/(Aveia!$E50:INDEX(Aveia!$E50:$Z50,MIN(I$6-$G$3,22))&lt;&gt;""),Aveia!$E50:INDEX(Aveia!$E50:$Z50,MIN(I$6-$G$3,22))),0)))))</f>
        <v>0</v>
      </c>
      <c r="J52" s="27" t="n">
        <f aca="false">IF(COUNT(Aveia!$E50:$Z50)=0,0,MAX(0,IF((J$6-$E$3)&lt;1,0,IFERROR(LOOKUP(2,1/(Aveia!$E50:INDEX(Aveia!$E50:$Z50,MIN(J$6-$E$3,22))&lt;&gt;""),Aveia!$E50:INDEX(Aveia!$E50:$Z50,MIN(J$6-$E$3,22))),0))-IF($G$2,0,IF((J$6-$G$3)&lt;1,0,IFERROR(LOOKUP(2,1/(Aveia!$E50:INDEX(Aveia!$E50:$Z50,MIN(J$6-$G$3,22))&lt;&gt;""),Aveia!$E50:INDEX(Aveia!$E50:$Z50,MIN(J$6-$G$3,22))),0)))))</f>
        <v>0</v>
      </c>
      <c r="K52" s="27" t="n">
        <f aca="false">IF(COUNT(Aveia!$E50:$Z50)=0,0,MAX(0,IF((K$6-$E$3)&lt;1,0,IFERROR(LOOKUP(2,1/(Aveia!$E50:INDEX(Aveia!$E50:$Z50,MIN(K$6-$E$3,22))&lt;&gt;""),Aveia!$E50:INDEX(Aveia!$E50:$Z50,MIN(K$6-$E$3,22))),0))-IF($G$2,0,IF((K$6-$G$3)&lt;1,0,IFERROR(LOOKUP(2,1/(Aveia!$E50:INDEX(Aveia!$E50:$Z50,MIN(K$6-$G$3,22))&lt;&gt;""),Aveia!$E50:INDEX(Aveia!$E50:$Z50,MIN(K$6-$G$3,22))),0)))))</f>
        <v>0</v>
      </c>
      <c r="L52" s="27" t="n">
        <f aca="false">IF(COUNT(Aveia!$E50:$Z50)=0,0,MAX(0,IF((L$6-$E$3)&lt;1,0,IFERROR(LOOKUP(2,1/(Aveia!$E50:INDEX(Aveia!$E50:$Z50,MIN(L$6-$E$3,22))&lt;&gt;""),Aveia!$E50:INDEX(Aveia!$E50:$Z50,MIN(L$6-$E$3,22))),0))-IF($G$2,0,IF((L$6-$G$3)&lt;1,0,IFERROR(LOOKUP(2,1/(Aveia!$E50:INDEX(Aveia!$E50:$Z50,MIN(L$6-$G$3,22))&lt;&gt;""),Aveia!$E50:INDEX(Aveia!$E50:$Z50,MIN(L$6-$G$3,22))),0)))))</f>
        <v>0</v>
      </c>
      <c r="M52" s="27" t="n">
        <f aca="false">IF(COUNT(Aveia!$E50:$Z50)=0,0,MAX(0,IF((M$6-$E$3)&lt;1,0,IFERROR(LOOKUP(2,1/(Aveia!$E50:INDEX(Aveia!$E50:$Z50,MIN(M$6-$E$3,22))&lt;&gt;""),Aveia!$E50:INDEX(Aveia!$E50:$Z50,MIN(M$6-$E$3,22))),0))-IF($G$2,0,IF((M$6-$G$3)&lt;1,0,IFERROR(LOOKUP(2,1/(Aveia!$E50:INDEX(Aveia!$E50:$Z50,MIN(M$6-$G$3,22))&lt;&gt;""),Aveia!$E50:INDEX(Aveia!$E50:$Z50,MIN(M$6-$G$3,22))),0)))))</f>
        <v>0</v>
      </c>
      <c r="N52" s="27" t="n">
        <f aca="false">IF(COUNT(Aveia!$E50:$Z50)=0,0,MAX(0,IF((N$6-$E$3)&lt;1,0,IFERROR(LOOKUP(2,1/(Aveia!$E50:INDEX(Aveia!$E50:$Z50,MIN(N$6-$E$3,22))&lt;&gt;""),Aveia!$E50:INDEX(Aveia!$E50:$Z50,MIN(N$6-$E$3,22))),0))-IF($G$2,0,IF((N$6-$G$3)&lt;1,0,IFERROR(LOOKUP(2,1/(Aveia!$E50:INDEX(Aveia!$E50:$Z50,MIN(N$6-$G$3,22))&lt;&gt;""),Aveia!$E50:INDEX(Aveia!$E50:$Z50,MIN(N$6-$G$3,22))),0)))))</f>
        <v>0</v>
      </c>
      <c r="O52" s="27" t="n">
        <f aca="false">IF(COUNT(Aveia!$E50:$Z50)=0,0,MAX(0,IF((O$6-$E$3)&lt;1,0,IFERROR(LOOKUP(2,1/(Aveia!$E50:INDEX(Aveia!$E50:$Z50,MIN(O$6-$E$3,22))&lt;&gt;""),Aveia!$E50:INDEX(Aveia!$E50:$Z50,MIN(O$6-$E$3,22))),0))-IF($G$2,0,IF((O$6-$G$3)&lt;1,0,IFERROR(LOOKUP(2,1/(Aveia!$E50:INDEX(Aveia!$E50:$Z50,MIN(O$6-$G$3,22))&lt;&gt;""),Aveia!$E50:INDEX(Aveia!$E50:$Z50,MIN(O$6-$G$3,22))),0)))))</f>
        <v>0</v>
      </c>
      <c r="P52" s="27" t="n">
        <f aca="false">IF(COUNT(Aveia!$E50:$Z50)=0,0,MAX(0,IF((P$6-$E$3)&lt;1,0,IFERROR(LOOKUP(2,1/(Aveia!$E50:INDEX(Aveia!$E50:$Z50,MIN(P$6-$E$3,22))&lt;&gt;""),Aveia!$E50:INDEX(Aveia!$E50:$Z50,MIN(P$6-$E$3,22))),0))-IF($G$2,0,IF((P$6-$G$3)&lt;1,0,IFERROR(LOOKUP(2,1/(Aveia!$E50:INDEX(Aveia!$E50:$Z50,MIN(P$6-$G$3,22))&lt;&gt;""),Aveia!$E50:INDEX(Aveia!$E50:$Z50,MIN(P$6-$G$3,22))),0)))))</f>
        <v>0</v>
      </c>
      <c r="Q52" s="27" t="n">
        <f aca="false">IF(COUNT(Aveia!$E50:$Z50)=0,0,MAX(0,IF((Q$6-$E$3)&lt;1,0,IFERROR(LOOKUP(2,1/(Aveia!$E50:INDEX(Aveia!$E50:$Z50,MIN(Q$6-$E$3,22))&lt;&gt;""),Aveia!$E50:INDEX(Aveia!$E50:$Z50,MIN(Q$6-$E$3,22))),0))-IF($G$2,0,IF((Q$6-$G$3)&lt;1,0,IFERROR(LOOKUP(2,1/(Aveia!$E50:INDEX(Aveia!$E50:$Z50,MIN(Q$6-$G$3,22))&lt;&gt;""),Aveia!$E50:INDEX(Aveia!$E50:$Z50,MIN(Q$6-$G$3,22))),0)))))</f>
        <v>0</v>
      </c>
      <c r="R52" s="27" t="n">
        <f aca="false">IF(COUNT(Aveia!$E50:$Z50)=0,0,MAX(0,IF((R$6-$E$3)&lt;1,0,IFERROR(LOOKUP(2,1/(Aveia!$E50:INDEX(Aveia!$E50:$Z50,MIN(R$6-$E$3,22))&lt;&gt;""),Aveia!$E50:INDEX(Aveia!$E50:$Z50,MIN(R$6-$E$3,22))),0))-IF($G$2,0,IF((R$6-$G$3)&lt;1,0,IFERROR(LOOKUP(2,1/(Aveia!$E50:INDEX(Aveia!$E50:$Z50,MIN(R$6-$G$3,22))&lt;&gt;""),Aveia!$E50:INDEX(Aveia!$E50:$Z50,MIN(R$6-$G$3,22))),0)))))</f>
        <v>0</v>
      </c>
      <c r="S52" s="27" t="n">
        <f aca="false">IF(COUNT(Aveia!$E50:$Z50)=0,0,MAX(0,IF((S$6-$E$3)&lt;1,0,IFERROR(LOOKUP(2,1/(Aveia!$E50:INDEX(Aveia!$E50:$Z50,MIN(S$6-$E$3,22))&lt;&gt;""),Aveia!$E50:INDEX(Aveia!$E50:$Z50,MIN(S$6-$E$3,22))),0))-IF($G$2,0,IF((S$6-$G$3)&lt;1,0,IFERROR(LOOKUP(2,1/(Aveia!$E50:INDEX(Aveia!$E50:$Z50,MIN(S$6-$G$3,22))&lt;&gt;""),Aveia!$E50:INDEX(Aveia!$E50:$Z50,MIN(S$6-$G$3,22))),0)))))</f>
        <v>0</v>
      </c>
      <c r="T52" s="27" t="n">
        <f aca="false">IF(COUNT(Aveia!$E50:$Z50)=0,0,MAX(0,IF((T$6-$E$3)&lt;1,0,IFERROR(LOOKUP(2,1/(Aveia!$E50:INDEX(Aveia!$E50:$Z50,MIN(T$6-$E$3,22))&lt;&gt;""),Aveia!$E50:INDEX(Aveia!$E50:$Z50,MIN(T$6-$E$3,22))),0))-IF($G$2,0,IF((T$6-$G$3)&lt;1,0,IFERROR(LOOKUP(2,1/(Aveia!$E50:INDEX(Aveia!$E50:$Z50,MIN(T$6-$G$3,22))&lt;&gt;""),Aveia!$E50:INDEX(Aveia!$E50:$Z50,MIN(T$6-$G$3,22))),0)))))</f>
        <v>0</v>
      </c>
      <c r="U52" s="27" t="n">
        <f aca="false">IF(COUNT(Aveia!$E50:$Z50)=0,0,MAX(0,IF((U$6-$E$3)&lt;1,0,IFERROR(LOOKUP(2,1/(Aveia!$E50:INDEX(Aveia!$E50:$Z50,MIN(U$6-$E$3,22))&lt;&gt;""),Aveia!$E50:INDEX(Aveia!$E50:$Z50,MIN(U$6-$E$3,22))),0))-IF($G$2,0,IF((U$6-$G$3)&lt;1,0,IFERROR(LOOKUP(2,1/(Aveia!$E50:INDEX(Aveia!$E50:$Z50,MIN(U$6-$G$3,22))&lt;&gt;""),Aveia!$E50:INDEX(Aveia!$E50:$Z50,MIN(U$6-$G$3,22))),0)))))</f>
        <v>0</v>
      </c>
      <c r="V52" s="27" t="n">
        <f aca="false">IF(COUNT(Aveia!$E50:$Z50)=0,0,MAX(0,IF((V$6-$E$3)&lt;1,0,IFERROR(LOOKUP(2,1/(Aveia!$E50:INDEX(Aveia!$E50:$Z50,MIN(V$6-$E$3,22))&lt;&gt;""),Aveia!$E50:INDEX(Aveia!$E50:$Z50,MIN(V$6-$E$3,22))),0))-IF($G$2,0,IF((V$6-$G$3)&lt;1,0,IFERROR(LOOKUP(2,1/(Aveia!$E50:INDEX(Aveia!$E50:$Z50,MIN(V$6-$G$3,22))&lt;&gt;""),Aveia!$E50:INDEX(Aveia!$E50:$Z50,MIN(V$6-$G$3,22))),0)))))</f>
        <v>0</v>
      </c>
      <c r="W52" s="27" t="n">
        <f aca="false">IF(COUNT(Aveia!$E50:$Z50)=0,0,MAX(0,IF((W$6-$E$3)&lt;1,0,IFERROR(LOOKUP(2,1/(Aveia!$E50:INDEX(Aveia!$E50:$Z50,MIN(W$6-$E$3,22))&lt;&gt;""),Aveia!$E50:INDEX(Aveia!$E50:$Z50,MIN(W$6-$E$3,22))),0))-IF($G$2,0,IF((W$6-$G$3)&lt;1,0,IFERROR(LOOKUP(2,1/(Aveia!$E50:INDEX(Aveia!$E50:$Z50,MIN(W$6-$G$3,22))&lt;&gt;""),Aveia!$E50:INDEX(Aveia!$E50:$Z50,MIN(W$6-$G$3,22))),0)))))</f>
        <v>0</v>
      </c>
      <c r="X52" s="27" t="n">
        <f aca="false">IF(COUNT(Aveia!$E50:$Z50)=0,0,MAX(0,IF((X$6-$E$3)&lt;1,0,IFERROR(LOOKUP(2,1/(Aveia!$E50:INDEX(Aveia!$E50:$Z50,MIN(X$6-$E$3,22))&lt;&gt;""),Aveia!$E50:INDEX(Aveia!$E50:$Z50,MIN(X$6-$E$3,22))),0))-IF($G$2,0,IF((X$6-$G$3)&lt;1,0,IFERROR(LOOKUP(2,1/(Aveia!$E50:INDEX(Aveia!$E50:$Z50,MIN(X$6-$G$3,22))&lt;&gt;""),Aveia!$E50:INDEX(Aveia!$E50:$Z50,MIN(X$6-$G$3,22))),0)))))</f>
        <v>0</v>
      </c>
      <c r="Y52" s="27" t="n">
        <f aca="false">IF(COUNT(Aveia!$E50:$Z50)=0,0,MAX(0,IF((Y$6-$E$3)&lt;1,0,IFERROR(LOOKUP(2,1/(Aveia!$E50:INDEX(Aveia!$E50:$Z50,MIN(Y$6-$E$3,22))&lt;&gt;""),Aveia!$E50:INDEX(Aveia!$E50:$Z50,MIN(Y$6-$E$3,22))),0))-IF($G$2,0,IF((Y$6-$G$3)&lt;1,0,IFERROR(LOOKUP(2,1/(Aveia!$E50:INDEX(Aveia!$E50:$Z50,MIN(Y$6-$G$3,22))&lt;&gt;""),Aveia!$E50:INDEX(Aveia!$E50:$Z50,MIN(Y$6-$G$3,22))),0)))))</f>
        <v>0</v>
      </c>
      <c r="Z52" s="27" t="n">
        <f aca="false">IF(COUNT(Aveia!$E50:$Z50)=0,0,MAX(0,IF((Z$6-$E$3)&lt;1,0,IFERROR(LOOKUP(2,1/(Aveia!$E50:INDEX(Aveia!$E50:$Z50,MIN(Z$6-$E$3,22))&lt;&gt;""),Aveia!$E50:INDEX(Aveia!$E50:$Z50,MIN(Z$6-$E$3,22))),0))-IF($G$2,0,IF((Z$6-$G$3)&lt;1,0,IFERROR(LOOKUP(2,1/(Aveia!$E50:INDEX(Aveia!$E50:$Z50,MIN(Z$6-$G$3,22))&lt;&gt;""),Aveia!$E50:INDEX(Aveia!$E50:$Z50,MIN(Z$6-$G$3,22))),0)))))</f>
        <v>0</v>
      </c>
      <c r="AA52" s="27" t="n">
        <f aca="false">IF(COUNT(Aveia!$E50:$Z50)=0,0,MAX(0,IF((AA$6-$E$3)&lt;1,0,IFERROR(LOOKUP(2,1/(Aveia!$E50:INDEX(Aveia!$E50:$Z50,MIN(AA$6-$E$3,22))&lt;&gt;""),Aveia!$E50:INDEX(Aveia!$E50:$Z50,MIN(AA$6-$E$3,22))),0))-IF($G$2,0,IF((AA$6-$G$3)&lt;1,0,IFERROR(LOOKUP(2,1/(Aveia!$E50:INDEX(Aveia!$E50:$Z50,MIN(AA$6-$G$3,22))&lt;&gt;""),Aveia!$E50:INDEX(Aveia!$E50:$Z50,MIN(AA$6-$G$3,22))),0)))))</f>
        <v>0</v>
      </c>
      <c r="AB52" s="27" t="n">
        <f aca="false">IF(COUNT(Aveia!$E50:$Z50)=0,0,MAX(0,IF((AB$6-$E$3)&lt;1,0,IFERROR(LOOKUP(2,1/(Aveia!$E50:INDEX(Aveia!$E50:$Z50,MIN(AB$6-$E$3,22))&lt;&gt;""),Aveia!$E50:INDEX(Aveia!$E50:$Z50,MIN(AB$6-$E$3,22))),0))-IF($G$2,0,IF((AB$6-$G$3)&lt;1,0,IFERROR(LOOKUP(2,1/(Aveia!$E50:INDEX(Aveia!$E50:$Z50,MIN(AB$6-$G$3,22))&lt;&gt;""),Aveia!$E50:INDEX(Aveia!$E50:$Z50,MIN(AB$6-$G$3,22))),0)))))</f>
        <v>0</v>
      </c>
      <c r="AC52" s="27" t="n">
        <f aca="false">IF(COUNT(Aveia!$E50:$Z50)=0,0,MAX(0,IF((AC$6-$E$3)&lt;1,0,IFERROR(LOOKUP(2,1/(Aveia!$E50:INDEX(Aveia!$E50:$Z50,MIN(AC$6-$E$3,22))&lt;&gt;""),Aveia!$E50:INDEX(Aveia!$E50:$Z50,MIN(AC$6-$E$3,22))),0))-IF($G$2,0,IF((AC$6-$G$3)&lt;1,0,IFERROR(LOOKUP(2,1/(Aveia!$E50:INDEX(Aveia!$E50:$Z50,MIN(AC$6-$G$3,22))&lt;&gt;""),Aveia!$E50:INDEX(Aveia!$E50:$Z50,MIN(AC$6-$G$3,22))),0)))))</f>
        <v>0</v>
      </c>
      <c r="AD52" s="27" t="n">
        <f aca="false">IF(COUNT(Aveia!$E50:$Z50)=0,0,MAX(0,IF((AD$6-$E$3)&lt;1,0,IFERROR(LOOKUP(2,1/(Aveia!$E50:INDEX(Aveia!$E50:$Z50,MIN(AD$6-$E$3,22))&lt;&gt;""),Aveia!$E50:INDEX(Aveia!$E50:$Z50,MIN(AD$6-$E$3,22))),0))-IF($G$2,0,IF((AD$6-$G$3)&lt;1,0,IFERROR(LOOKUP(2,1/(Aveia!$E50:INDEX(Aveia!$E50:$Z50,MIN(AD$6-$G$3,22))&lt;&gt;""),Aveia!$E50:INDEX(Aveia!$E50:$Z50,MIN(AD$6-$G$3,22))),0)))))</f>
        <v>0</v>
      </c>
      <c r="AE52" s="27" t="n">
        <f aca="false">IF(COUNT(Aveia!$E50:$Z50)=0,0,MAX(0,IF((AE$6-$E$3)&lt;1,0,IFERROR(LOOKUP(2,1/(Aveia!$E50:INDEX(Aveia!$E50:$Z50,MIN(AE$6-$E$3,22))&lt;&gt;""),Aveia!$E50:INDEX(Aveia!$E50:$Z50,MIN(AE$6-$E$3,22))),0))-IF($G$2,0,IF((AE$6-$G$3)&lt;1,0,IFERROR(LOOKUP(2,1/(Aveia!$E50:INDEX(Aveia!$E50:$Z50,MIN(AE$6-$G$3,22))&lt;&gt;""),Aveia!$E50:INDEX(Aveia!$E50:$Z50,MIN(AE$6-$G$3,22))),0)))))</f>
        <v>0</v>
      </c>
      <c r="AF52" s="27" t="n">
        <f aca="false">IF(COUNT(Aveia!$E50:$Z50)=0,0,MAX(0,IF((AF$6-$E$3)&lt;1,0,IFERROR(LOOKUP(2,1/(Aveia!$E50:INDEX(Aveia!$E50:$Z50,MIN(AF$6-$E$3,22))&lt;&gt;""),Aveia!$E50:INDEX(Aveia!$E50:$Z50,MIN(AF$6-$E$3,22))),0))-IF($G$2,0,IF((AF$6-$G$3)&lt;1,0,IFERROR(LOOKUP(2,1/(Aveia!$E50:INDEX(Aveia!$E50:$Z50,MIN(AF$6-$G$3,22))&lt;&gt;""),Aveia!$E50:INDEX(Aveia!$E50:$Z50,MIN(AF$6-$G$3,22))),0)))))</f>
        <v>0</v>
      </c>
      <c r="AG52" s="27" t="n">
        <f aca="false">IF(COUNT(Aveia!$E50:$Z50)=0,0,MAX(0,IF((AG$6-$E$3)&lt;1,0,IFERROR(LOOKUP(2,1/(Aveia!$E50:INDEX(Aveia!$E50:$Z50,MIN(AG$6-$E$3,22))&lt;&gt;""),Aveia!$E50:INDEX(Aveia!$E50:$Z50,MIN(AG$6-$E$3,22))),0))-IF($G$2,0,IF((AG$6-$G$3)&lt;1,0,IFERROR(LOOKUP(2,1/(Aveia!$E50:INDEX(Aveia!$E50:$Z50,MIN(AG$6-$G$3,22))&lt;&gt;""),Aveia!$E50:INDEX(Aveia!$E50:$Z50,MIN(AG$6-$G$3,22))),0)))))</f>
        <v>0</v>
      </c>
      <c r="AH52" s="27" t="n">
        <f aca="false">IF(COUNT(Aveia!$E50:$Z50)=0,0,MAX(0,IF((AH$6-$E$3)&lt;1,0,IFERROR(LOOKUP(2,1/(Aveia!$E50:INDEX(Aveia!$E50:$Z50,MIN(AH$6-$E$3,22))&lt;&gt;""),Aveia!$E50:INDEX(Aveia!$E50:$Z50,MIN(AH$6-$E$3,22))),0))-IF($G$2,0,IF((AH$6-$G$3)&lt;1,0,IFERROR(LOOKUP(2,1/(Aveia!$E50:INDEX(Aveia!$E50:$Z50,MIN(AH$6-$G$3,22))&lt;&gt;""),Aveia!$E50:INDEX(Aveia!$E50:$Z50,MIN(AH$6-$G$3,22))),0)))))</f>
        <v>0</v>
      </c>
      <c r="AI52" s="27" t="n">
        <f aca="false">IF(COUNT(Aveia!$E50:$Z50)=0,0,MAX(0,IF((AI$6-$E$3)&lt;1,0,IFERROR(LOOKUP(2,1/(Aveia!$E50:INDEX(Aveia!$E50:$Z50,MIN(AI$6-$E$3,22))&lt;&gt;""),Aveia!$E50:INDEX(Aveia!$E50:$Z50,MIN(AI$6-$E$3,22))),0))-IF($G$2,0,IF((AI$6-$G$3)&lt;1,0,IFERROR(LOOKUP(2,1/(Aveia!$E50:INDEX(Aveia!$E50:$Z50,MIN(AI$6-$G$3,22))&lt;&gt;""),Aveia!$E50:INDEX(Aveia!$E50:$Z50,MIN(AI$6-$G$3,22))),0)))))</f>
        <v>0</v>
      </c>
      <c r="AJ52" s="27" t="n">
        <f aca="false">IF(COUNT(Aveia!$E50:$Z50)=0,0,MAX(0,IF((AJ$6-$E$3)&lt;1,0,IFERROR(LOOKUP(2,1/(Aveia!$E50:INDEX(Aveia!$E50:$Z50,MIN(AJ$6-$E$3,22))&lt;&gt;""),Aveia!$E50:INDEX(Aveia!$E50:$Z50,MIN(AJ$6-$E$3,22))),0))-IF($G$2,0,IF((AJ$6-$G$3)&lt;1,0,IFERROR(LOOKUP(2,1/(Aveia!$E50:INDEX(Aveia!$E50:$Z50,MIN(AJ$6-$G$3,22))&lt;&gt;""),Aveia!$E50:INDEX(Aveia!$E50:$Z50,MIN(AJ$6-$G$3,22))),0)))))</f>
        <v>0</v>
      </c>
      <c r="AK52" s="27" t="n">
        <f aca="false">IF(COUNT(Aveia!$E50:$Z50)=0,0,MAX(0,IF((AK$6-$E$3)&lt;1,0,IFERROR(LOOKUP(2,1/(Aveia!$E50:INDEX(Aveia!$E50:$Z50,MIN(AK$6-$E$3,22))&lt;&gt;""),Aveia!$E50:INDEX(Aveia!$E50:$Z50,MIN(AK$6-$E$3,22))),0))-IF($G$2,0,IF((AK$6-$G$3)&lt;1,0,IFERROR(LOOKUP(2,1/(Aveia!$E50:INDEX(Aveia!$E50:$Z50,MIN(AK$6-$G$3,22))&lt;&gt;""),Aveia!$E50:INDEX(Aveia!$E50:$Z50,MIN(AK$6-$G$3,22))),0)))))</f>
        <v>0</v>
      </c>
      <c r="AL52" s="27" t="n">
        <f aca="false">IF(COUNT(Aveia!$E50:$Z50)=0,0,MAX(0,IF((AL$6-$E$3)&lt;1,0,IFERROR(LOOKUP(2,1/(Aveia!$E50:INDEX(Aveia!$E50:$Z50,MIN(AL$6-$E$3,22))&lt;&gt;""),Aveia!$E50:INDEX(Aveia!$E50:$Z50,MIN(AL$6-$E$3,22))),0))-IF($G$2,0,IF((AL$6-$G$3)&lt;1,0,IFERROR(LOOKUP(2,1/(Aveia!$E50:INDEX(Aveia!$E50:$Z50,MIN(AL$6-$G$3,22))&lt;&gt;""),Aveia!$E50:INDEX(Aveia!$E50:$Z50,MIN(AL$6-$G$3,22))),0)))))</f>
        <v>0</v>
      </c>
      <c r="AM52" s="27" t="n">
        <f aca="false">IF(COUNT(Aveia!$E50:$Z50)=0,0,MAX(0,IF((AM$6-$E$3)&lt;1,0,IFERROR(LOOKUP(2,1/(Aveia!$E50:INDEX(Aveia!$E50:$Z50,MIN(AM$6-$E$3,22))&lt;&gt;""),Aveia!$E50:INDEX(Aveia!$E50:$Z50,MIN(AM$6-$E$3,22))),0))-IF($G$2,0,IF((AM$6-$G$3)&lt;1,0,IFERROR(LOOKUP(2,1/(Aveia!$E50:INDEX(Aveia!$E50:$Z50,MIN(AM$6-$G$3,22))&lt;&gt;""),Aveia!$E50:INDEX(Aveia!$E50:$Z50,MIN(AM$6-$G$3,22))),0)))))</f>
        <v>0</v>
      </c>
      <c r="AN52" s="27" t="n">
        <f aca="false">IF(COUNT(Aveia!$E50:$Z50)=0,0,MAX(0,IF((AN$6-$E$3)&lt;1,0,IFERROR(LOOKUP(2,1/(Aveia!$E50:INDEX(Aveia!$E50:$Z50,MIN(AN$6-$E$3,22))&lt;&gt;""),Aveia!$E50:INDEX(Aveia!$E50:$Z50,MIN(AN$6-$E$3,22))),0))-IF($G$2,0,IF((AN$6-$G$3)&lt;1,0,IFERROR(LOOKUP(2,1/(Aveia!$E50:INDEX(Aveia!$E50:$Z50,MIN(AN$6-$G$3,22))&lt;&gt;""),Aveia!$E50:INDEX(Aveia!$E50:$Z50,MIN(AN$6-$G$3,22))),0)))))</f>
        <v>0</v>
      </c>
      <c r="AO52" s="27" t="n">
        <f aca="false">IF(COUNT(Aveia!$E50:$Z50)=0,0,MAX(0,IF((AO$6-$E$3)&lt;1,0,IFERROR(LOOKUP(2,1/(Aveia!$E50:INDEX(Aveia!$E50:$Z50,MIN(AO$6-$E$3,22))&lt;&gt;""),Aveia!$E50:INDEX(Aveia!$E50:$Z50,MIN(AO$6-$E$3,22))),0))-IF($G$2,0,IF((AO$6-$G$3)&lt;1,0,IFERROR(LOOKUP(2,1/(Aveia!$E50:INDEX(Aveia!$E50:$Z50,MIN(AO$6-$G$3,22))&lt;&gt;""),Aveia!$E50:INDEX(Aveia!$E50:$Z50,MIN(AO$6-$G$3,22))),0)))))</f>
        <v>0</v>
      </c>
      <c r="AP52" s="27" t="n">
        <f aca="false">IF(COUNT(Aveia!$E50:$Z50)=0,0,MAX(0,IF((AP$6-$E$3)&lt;1,0,IFERROR(LOOKUP(2,1/(Aveia!$E50:INDEX(Aveia!$E50:$Z50,MIN(AP$6-$E$3,22))&lt;&gt;""),Aveia!$E50:INDEX(Aveia!$E50:$Z50,MIN(AP$6-$E$3,22))),0))-IF($G$2,0,IF((AP$6-$G$3)&lt;1,0,IFERROR(LOOKUP(2,1/(Aveia!$E50:INDEX(Aveia!$E50:$Z50,MIN(AP$6-$G$3,22))&lt;&gt;""),Aveia!$E50:INDEX(Aveia!$E50:$Z50,MIN(AP$6-$G$3,22))),0)))))</f>
        <v>0</v>
      </c>
      <c r="AQ52" s="27" t="n">
        <f aca="false">IF(COUNT(Aveia!$E50:$Z50)=0,0,MAX(0,IF((AQ$6-$E$3)&lt;1,0,IFERROR(LOOKUP(2,1/(Aveia!$E50:INDEX(Aveia!$E50:$Z50,MIN(AQ$6-$E$3,22))&lt;&gt;""),Aveia!$E50:INDEX(Aveia!$E50:$Z50,MIN(AQ$6-$E$3,22))),0))-IF($G$2,0,IF((AQ$6-$G$3)&lt;1,0,IFERROR(LOOKUP(2,1/(Aveia!$E50:INDEX(Aveia!$E50:$Z50,MIN(AQ$6-$G$3,22))&lt;&gt;""),Aveia!$E50:INDEX(Aveia!$E50:$Z50,MIN(AQ$6-$G$3,22))),0)))))</f>
        <v>0</v>
      </c>
      <c r="AR52" s="27" t="n">
        <f aca="false">IF(COUNT(Aveia!$E50:$Z50)=0,0,MAX(0,IF((AR$6-$E$3)&lt;1,0,IFERROR(LOOKUP(2,1/(Aveia!$E50:INDEX(Aveia!$E50:$Z50,MIN(AR$6-$E$3,22))&lt;&gt;""),Aveia!$E50:INDEX(Aveia!$E50:$Z50,MIN(AR$6-$E$3,22))),0))-IF($G$2,0,IF((AR$6-$G$3)&lt;1,0,IFERROR(LOOKUP(2,1/(Aveia!$E50:INDEX(Aveia!$E50:$Z50,MIN(AR$6-$G$3,22))&lt;&gt;""),Aveia!$E50:INDEX(Aveia!$E50:$Z50,MIN(AR$6-$G$3,22))),0)))))</f>
        <v>0</v>
      </c>
      <c r="AS52" s="27" t="n">
        <f aca="false">IF(COUNT(Aveia!$E50:$Z50)=0,0,MAX(0,IF((AS$6-$E$3)&lt;1,0,IFERROR(LOOKUP(2,1/(Aveia!$E50:INDEX(Aveia!$E50:$Z50,MIN(AS$6-$E$3,22))&lt;&gt;""),Aveia!$E50:INDEX(Aveia!$E50:$Z50,MIN(AS$6-$E$3,22))),0))-IF($G$2,0,IF((AS$6-$G$3)&lt;1,0,IFERROR(LOOKUP(2,1/(Aveia!$E50:INDEX(Aveia!$E50:$Z50,MIN(AS$6-$G$3,22))&lt;&gt;""),Aveia!$E50:INDEX(Aveia!$E50:$Z50,MIN(AS$6-$G$3,22))),0)))))</f>
        <v>0</v>
      </c>
      <c r="AT52" s="27" t="n">
        <f aca="false">IF(COUNT(Aveia!$E50:$Z50)=0,0,MAX(0,IF((AT$6-$E$3)&lt;1,0,IFERROR(LOOKUP(2,1/(Aveia!$E50:INDEX(Aveia!$E50:$Z50,MIN(AT$6-$E$3,22))&lt;&gt;""),Aveia!$E50:INDEX(Aveia!$E50:$Z50,MIN(AT$6-$E$3,22))),0))-IF($G$2,0,IF((AT$6-$G$3)&lt;1,0,IFERROR(LOOKUP(2,1/(Aveia!$E50:INDEX(Aveia!$E50:$Z50,MIN(AT$6-$G$3,22))&lt;&gt;""),Aveia!$E50:INDEX(Aveia!$E50:$Z50,MIN(AT$6-$G$3,22))),0)))))</f>
        <v>0</v>
      </c>
      <c r="AU52" s="27" t="n">
        <f aca="false">IF(COUNT(Aveia!$E50:$Z50)=0,0,MAX(0,IF((AU$6-$E$3)&lt;1,0,IFERROR(LOOKUP(2,1/(Aveia!$E50:INDEX(Aveia!$E50:$Z50,MIN(AU$6-$E$3,22))&lt;&gt;""),Aveia!$E50:INDEX(Aveia!$E50:$Z50,MIN(AU$6-$E$3,22))),0))-IF($G$2,0,IF((AU$6-$G$3)&lt;1,0,IFERROR(LOOKUP(2,1/(Aveia!$E50:INDEX(Aveia!$E50:$Z50,MIN(AU$6-$G$3,22))&lt;&gt;""),Aveia!$E50:INDEX(Aveia!$E50:$Z50,MIN(AU$6-$G$3,22))),0)))))</f>
        <v>0</v>
      </c>
      <c r="AV52" s="27" t="n">
        <f aca="false">IF(COUNT(Aveia!$E50:$Z50)=0,0,MAX(0,IF((AV$6-$E$3)&lt;1,0,IFERROR(LOOKUP(2,1/(Aveia!$E50:INDEX(Aveia!$E50:$Z50,MIN(AV$6-$E$3,22))&lt;&gt;""),Aveia!$E50:INDEX(Aveia!$E50:$Z50,MIN(AV$6-$E$3,22))),0))-IF($G$2,0,IF((AV$6-$G$3)&lt;1,0,IFERROR(LOOKUP(2,1/(Aveia!$E50:INDEX(Aveia!$E50:$Z50,MIN(AV$6-$G$3,22))&lt;&gt;""),Aveia!$E50:INDEX(Aveia!$E50:$Z50,MIN(AV$6-$G$3,22))),0)))))</f>
        <v>0</v>
      </c>
      <c r="AW52" s="27" t="n">
        <f aca="false">IF(COUNT(Aveia!$E50:$Z50)=0,0,MAX(0,IF((AW$6-$E$3)&lt;1,0,IFERROR(LOOKUP(2,1/(Aveia!$E50:INDEX(Aveia!$E50:$Z50,MIN(AW$6-$E$3,22))&lt;&gt;""),Aveia!$E50:INDEX(Aveia!$E50:$Z50,MIN(AW$6-$E$3,22))),0))-IF($G$2,0,IF((AW$6-$G$3)&lt;1,0,IFERROR(LOOKUP(2,1/(Aveia!$E50:INDEX(Aveia!$E50:$Z50,MIN(AW$6-$G$3,22))&lt;&gt;""),Aveia!$E50:INDEX(Aveia!$E50:$Z50,MIN(AW$6-$G$3,22))),0)))))</f>
        <v>0</v>
      </c>
      <c r="AX52" s="27" t="n">
        <f aca="false">IF(COUNT(Aveia!$E50:$Z50)=0,0,MAX(0,IF((AX$6-$E$3)&lt;1,0,IFERROR(LOOKUP(2,1/(Aveia!$E50:INDEX(Aveia!$E50:$Z50,MIN(AX$6-$E$3,22))&lt;&gt;""),Aveia!$E50:INDEX(Aveia!$E50:$Z50,MIN(AX$6-$E$3,22))),0))-IF($G$2,0,IF((AX$6-$G$3)&lt;1,0,IFERROR(LOOKUP(2,1/(Aveia!$E50:INDEX(Aveia!$E50:$Z50,MIN(AX$6-$G$3,22))&lt;&gt;""),Aveia!$E50:INDEX(Aveia!$E50:$Z50,MIN(AX$6-$G$3,22))),0)))))</f>
        <v>0</v>
      </c>
      <c r="AY52" s="27" t="n">
        <f aca="false">IF(COUNT(Aveia!$E50:$Z50)=0,0,MAX(0,IF((AY$6-$E$3)&lt;1,0,IFERROR(LOOKUP(2,1/(Aveia!$E50:INDEX(Aveia!$E50:$Z50,MIN(AY$6-$E$3,22))&lt;&gt;""),Aveia!$E50:INDEX(Aveia!$E50:$Z50,MIN(AY$6-$E$3,22))),0))-IF($G$2,0,IF((AY$6-$G$3)&lt;1,0,IFERROR(LOOKUP(2,1/(Aveia!$E50:INDEX(Aveia!$E50:$Z50,MIN(AY$6-$G$3,22))&lt;&gt;""),Aveia!$E50:INDEX(Aveia!$E50:$Z50,MIN(AY$6-$G$3,22))),0)))))</f>
        <v>0</v>
      </c>
      <c r="AZ52" s="27" t="n">
        <f aca="false">IF(COUNT(Aveia!$E50:$Z50)=0,0,MAX(0,IF((AZ$6-$E$3)&lt;1,0,IFERROR(LOOKUP(2,1/(Aveia!$E50:INDEX(Aveia!$E50:$Z50,MIN(AZ$6-$E$3,22))&lt;&gt;""),Aveia!$E50:INDEX(Aveia!$E50:$Z50,MIN(AZ$6-$E$3,22))),0))-IF($G$2,0,IF((AZ$6-$G$3)&lt;1,0,IFERROR(LOOKUP(2,1/(Aveia!$E50:INDEX(Aveia!$E50:$Z50,MIN(AZ$6-$G$3,22))&lt;&gt;""),Aveia!$E50:INDEX(Aveia!$E50:$Z50,MIN(AZ$6-$G$3,22))),0)))))</f>
        <v>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10" t="s">
        <v>172</v>
      </c>
      <c r="D53" s="26" t="n">
        <f aca="false">IF(COUNT(Aveia!$E51:$Z51)&gt;0,N(Aveia!$D51),0)</f>
        <v>0</v>
      </c>
      <c r="E53" s="27" t="n">
        <f aca="false">IF(COUNT(Aveia!$E51:$Z51)=0,0,MAX(0,IF((E$6-$E$3)&lt;1,0,IFERROR(LOOKUP(2,1/(Aveia!$E51:INDEX(Aveia!$E51:$Z51,MIN(E$6-$E$3,22))&lt;&gt;""),Aveia!$E51:INDEX(Aveia!$E51:$Z51,MIN(E$6-$E$3,22))),0))-IF($G$2,0,IF((E$6-$G$3)&lt;1,0,IFERROR(LOOKUP(2,1/(Aveia!$E51:INDEX(Aveia!$E51:$Z51,MIN(E$6-$G$3,22))&lt;&gt;""),Aveia!$E51:INDEX(Aveia!$E51:$Z51,MIN(E$6-$G$3,22))),0)))))</f>
        <v>0</v>
      </c>
      <c r="F53" s="27" t="n">
        <f aca="false">IF(COUNT(Aveia!$E51:$Z51)=0,0,MAX(0,IF((F$6-$E$3)&lt;1,0,IFERROR(LOOKUP(2,1/(Aveia!$E51:INDEX(Aveia!$E51:$Z51,MIN(F$6-$E$3,22))&lt;&gt;""),Aveia!$E51:INDEX(Aveia!$E51:$Z51,MIN(F$6-$E$3,22))),0))-IF($G$2,0,IF((F$6-$G$3)&lt;1,0,IFERROR(LOOKUP(2,1/(Aveia!$E51:INDEX(Aveia!$E51:$Z51,MIN(F$6-$G$3,22))&lt;&gt;""),Aveia!$E51:INDEX(Aveia!$E51:$Z51,MIN(F$6-$G$3,22))),0)))))</f>
        <v>0</v>
      </c>
      <c r="G53" s="27" t="n">
        <f aca="false">IF(COUNT(Aveia!$E51:$Z51)=0,0,MAX(0,IF((G$6-$E$3)&lt;1,0,IFERROR(LOOKUP(2,1/(Aveia!$E51:INDEX(Aveia!$E51:$Z51,MIN(G$6-$E$3,22))&lt;&gt;""),Aveia!$E51:INDEX(Aveia!$E51:$Z51,MIN(G$6-$E$3,22))),0))-IF($G$2,0,IF((G$6-$G$3)&lt;1,0,IFERROR(LOOKUP(2,1/(Aveia!$E51:INDEX(Aveia!$E51:$Z51,MIN(G$6-$G$3,22))&lt;&gt;""),Aveia!$E51:INDEX(Aveia!$E51:$Z51,MIN(G$6-$G$3,22))),0)))))</f>
        <v>0</v>
      </c>
      <c r="H53" s="27" t="n">
        <f aca="false">IF(COUNT(Aveia!$E51:$Z51)=0,0,MAX(0,IF((H$6-$E$3)&lt;1,0,IFERROR(LOOKUP(2,1/(Aveia!$E51:INDEX(Aveia!$E51:$Z51,MIN(H$6-$E$3,22))&lt;&gt;""),Aveia!$E51:INDEX(Aveia!$E51:$Z51,MIN(H$6-$E$3,22))),0))-IF($G$2,0,IF((H$6-$G$3)&lt;1,0,IFERROR(LOOKUP(2,1/(Aveia!$E51:INDEX(Aveia!$E51:$Z51,MIN(H$6-$G$3,22))&lt;&gt;""),Aveia!$E51:INDEX(Aveia!$E51:$Z51,MIN(H$6-$G$3,22))),0)))))</f>
        <v>0</v>
      </c>
      <c r="I53" s="27" t="n">
        <f aca="false">IF(COUNT(Aveia!$E51:$Z51)=0,0,MAX(0,IF((I$6-$E$3)&lt;1,0,IFERROR(LOOKUP(2,1/(Aveia!$E51:INDEX(Aveia!$E51:$Z51,MIN(I$6-$E$3,22))&lt;&gt;""),Aveia!$E51:INDEX(Aveia!$E51:$Z51,MIN(I$6-$E$3,22))),0))-IF($G$2,0,IF((I$6-$G$3)&lt;1,0,IFERROR(LOOKUP(2,1/(Aveia!$E51:INDEX(Aveia!$E51:$Z51,MIN(I$6-$G$3,22))&lt;&gt;""),Aveia!$E51:INDEX(Aveia!$E51:$Z51,MIN(I$6-$G$3,22))),0)))))</f>
        <v>0</v>
      </c>
      <c r="J53" s="27" t="n">
        <f aca="false">IF(COUNT(Aveia!$E51:$Z51)=0,0,MAX(0,IF((J$6-$E$3)&lt;1,0,IFERROR(LOOKUP(2,1/(Aveia!$E51:INDEX(Aveia!$E51:$Z51,MIN(J$6-$E$3,22))&lt;&gt;""),Aveia!$E51:INDEX(Aveia!$E51:$Z51,MIN(J$6-$E$3,22))),0))-IF($G$2,0,IF((J$6-$G$3)&lt;1,0,IFERROR(LOOKUP(2,1/(Aveia!$E51:INDEX(Aveia!$E51:$Z51,MIN(J$6-$G$3,22))&lt;&gt;""),Aveia!$E51:INDEX(Aveia!$E51:$Z51,MIN(J$6-$G$3,22))),0)))))</f>
        <v>0</v>
      </c>
      <c r="K53" s="27" t="n">
        <f aca="false">IF(COUNT(Aveia!$E51:$Z51)=0,0,MAX(0,IF((K$6-$E$3)&lt;1,0,IFERROR(LOOKUP(2,1/(Aveia!$E51:INDEX(Aveia!$E51:$Z51,MIN(K$6-$E$3,22))&lt;&gt;""),Aveia!$E51:INDEX(Aveia!$E51:$Z51,MIN(K$6-$E$3,22))),0))-IF($G$2,0,IF((K$6-$G$3)&lt;1,0,IFERROR(LOOKUP(2,1/(Aveia!$E51:INDEX(Aveia!$E51:$Z51,MIN(K$6-$G$3,22))&lt;&gt;""),Aveia!$E51:INDEX(Aveia!$E51:$Z51,MIN(K$6-$G$3,22))),0)))))</f>
        <v>0</v>
      </c>
      <c r="L53" s="27" t="n">
        <f aca="false">IF(COUNT(Aveia!$E51:$Z51)=0,0,MAX(0,IF((L$6-$E$3)&lt;1,0,IFERROR(LOOKUP(2,1/(Aveia!$E51:INDEX(Aveia!$E51:$Z51,MIN(L$6-$E$3,22))&lt;&gt;""),Aveia!$E51:INDEX(Aveia!$E51:$Z51,MIN(L$6-$E$3,22))),0))-IF($G$2,0,IF((L$6-$G$3)&lt;1,0,IFERROR(LOOKUP(2,1/(Aveia!$E51:INDEX(Aveia!$E51:$Z51,MIN(L$6-$G$3,22))&lt;&gt;""),Aveia!$E51:INDEX(Aveia!$E51:$Z51,MIN(L$6-$G$3,22))),0)))))</f>
        <v>0</v>
      </c>
      <c r="M53" s="27" t="n">
        <f aca="false">IF(COUNT(Aveia!$E51:$Z51)=0,0,MAX(0,IF((M$6-$E$3)&lt;1,0,IFERROR(LOOKUP(2,1/(Aveia!$E51:INDEX(Aveia!$E51:$Z51,MIN(M$6-$E$3,22))&lt;&gt;""),Aveia!$E51:INDEX(Aveia!$E51:$Z51,MIN(M$6-$E$3,22))),0))-IF($G$2,0,IF((M$6-$G$3)&lt;1,0,IFERROR(LOOKUP(2,1/(Aveia!$E51:INDEX(Aveia!$E51:$Z51,MIN(M$6-$G$3,22))&lt;&gt;""),Aveia!$E51:INDEX(Aveia!$E51:$Z51,MIN(M$6-$G$3,22))),0)))))</f>
        <v>0</v>
      </c>
      <c r="N53" s="27" t="n">
        <f aca="false">IF(COUNT(Aveia!$E51:$Z51)=0,0,MAX(0,IF((N$6-$E$3)&lt;1,0,IFERROR(LOOKUP(2,1/(Aveia!$E51:INDEX(Aveia!$E51:$Z51,MIN(N$6-$E$3,22))&lt;&gt;""),Aveia!$E51:INDEX(Aveia!$E51:$Z51,MIN(N$6-$E$3,22))),0))-IF($G$2,0,IF((N$6-$G$3)&lt;1,0,IFERROR(LOOKUP(2,1/(Aveia!$E51:INDEX(Aveia!$E51:$Z51,MIN(N$6-$G$3,22))&lt;&gt;""),Aveia!$E51:INDEX(Aveia!$E51:$Z51,MIN(N$6-$G$3,22))),0)))))</f>
        <v>0</v>
      </c>
      <c r="O53" s="27" t="n">
        <f aca="false">IF(COUNT(Aveia!$E51:$Z51)=0,0,MAX(0,IF((O$6-$E$3)&lt;1,0,IFERROR(LOOKUP(2,1/(Aveia!$E51:INDEX(Aveia!$E51:$Z51,MIN(O$6-$E$3,22))&lt;&gt;""),Aveia!$E51:INDEX(Aveia!$E51:$Z51,MIN(O$6-$E$3,22))),0))-IF($G$2,0,IF((O$6-$G$3)&lt;1,0,IFERROR(LOOKUP(2,1/(Aveia!$E51:INDEX(Aveia!$E51:$Z51,MIN(O$6-$G$3,22))&lt;&gt;""),Aveia!$E51:INDEX(Aveia!$E51:$Z51,MIN(O$6-$G$3,22))),0)))))</f>
        <v>0</v>
      </c>
      <c r="P53" s="27" t="n">
        <f aca="false">IF(COUNT(Aveia!$E51:$Z51)=0,0,MAX(0,IF((P$6-$E$3)&lt;1,0,IFERROR(LOOKUP(2,1/(Aveia!$E51:INDEX(Aveia!$E51:$Z51,MIN(P$6-$E$3,22))&lt;&gt;""),Aveia!$E51:INDEX(Aveia!$E51:$Z51,MIN(P$6-$E$3,22))),0))-IF($G$2,0,IF((P$6-$G$3)&lt;1,0,IFERROR(LOOKUP(2,1/(Aveia!$E51:INDEX(Aveia!$E51:$Z51,MIN(P$6-$G$3,22))&lt;&gt;""),Aveia!$E51:INDEX(Aveia!$E51:$Z51,MIN(P$6-$G$3,22))),0)))))</f>
        <v>0</v>
      </c>
      <c r="Q53" s="27" t="n">
        <f aca="false">IF(COUNT(Aveia!$E51:$Z51)=0,0,MAX(0,IF((Q$6-$E$3)&lt;1,0,IFERROR(LOOKUP(2,1/(Aveia!$E51:INDEX(Aveia!$E51:$Z51,MIN(Q$6-$E$3,22))&lt;&gt;""),Aveia!$E51:INDEX(Aveia!$E51:$Z51,MIN(Q$6-$E$3,22))),0))-IF($G$2,0,IF((Q$6-$G$3)&lt;1,0,IFERROR(LOOKUP(2,1/(Aveia!$E51:INDEX(Aveia!$E51:$Z51,MIN(Q$6-$G$3,22))&lt;&gt;""),Aveia!$E51:INDEX(Aveia!$E51:$Z51,MIN(Q$6-$G$3,22))),0)))))</f>
        <v>0</v>
      </c>
      <c r="R53" s="27" t="n">
        <f aca="false">IF(COUNT(Aveia!$E51:$Z51)=0,0,MAX(0,IF((R$6-$E$3)&lt;1,0,IFERROR(LOOKUP(2,1/(Aveia!$E51:INDEX(Aveia!$E51:$Z51,MIN(R$6-$E$3,22))&lt;&gt;""),Aveia!$E51:INDEX(Aveia!$E51:$Z51,MIN(R$6-$E$3,22))),0))-IF($G$2,0,IF((R$6-$G$3)&lt;1,0,IFERROR(LOOKUP(2,1/(Aveia!$E51:INDEX(Aveia!$E51:$Z51,MIN(R$6-$G$3,22))&lt;&gt;""),Aveia!$E51:INDEX(Aveia!$E51:$Z51,MIN(R$6-$G$3,22))),0)))))</f>
        <v>0</v>
      </c>
      <c r="S53" s="27" t="n">
        <f aca="false">IF(COUNT(Aveia!$E51:$Z51)=0,0,MAX(0,IF((S$6-$E$3)&lt;1,0,IFERROR(LOOKUP(2,1/(Aveia!$E51:INDEX(Aveia!$E51:$Z51,MIN(S$6-$E$3,22))&lt;&gt;""),Aveia!$E51:INDEX(Aveia!$E51:$Z51,MIN(S$6-$E$3,22))),0))-IF($G$2,0,IF((S$6-$G$3)&lt;1,0,IFERROR(LOOKUP(2,1/(Aveia!$E51:INDEX(Aveia!$E51:$Z51,MIN(S$6-$G$3,22))&lt;&gt;""),Aveia!$E51:INDEX(Aveia!$E51:$Z51,MIN(S$6-$G$3,22))),0)))))</f>
        <v>0</v>
      </c>
      <c r="T53" s="27" t="n">
        <f aca="false">IF(COUNT(Aveia!$E51:$Z51)=0,0,MAX(0,IF((T$6-$E$3)&lt;1,0,IFERROR(LOOKUP(2,1/(Aveia!$E51:INDEX(Aveia!$E51:$Z51,MIN(T$6-$E$3,22))&lt;&gt;""),Aveia!$E51:INDEX(Aveia!$E51:$Z51,MIN(T$6-$E$3,22))),0))-IF($G$2,0,IF((T$6-$G$3)&lt;1,0,IFERROR(LOOKUP(2,1/(Aveia!$E51:INDEX(Aveia!$E51:$Z51,MIN(T$6-$G$3,22))&lt;&gt;""),Aveia!$E51:INDEX(Aveia!$E51:$Z51,MIN(T$6-$G$3,22))),0)))))</f>
        <v>0</v>
      </c>
      <c r="U53" s="27" t="n">
        <f aca="false">IF(COUNT(Aveia!$E51:$Z51)=0,0,MAX(0,IF((U$6-$E$3)&lt;1,0,IFERROR(LOOKUP(2,1/(Aveia!$E51:INDEX(Aveia!$E51:$Z51,MIN(U$6-$E$3,22))&lt;&gt;""),Aveia!$E51:INDEX(Aveia!$E51:$Z51,MIN(U$6-$E$3,22))),0))-IF($G$2,0,IF((U$6-$G$3)&lt;1,0,IFERROR(LOOKUP(2,1/(Aveia!$E51:INDEX(Aveia!$E51:$Z51,MIN(U$6-$G$3,22))&lt;&gt;""),Aveia!$E51:INDEX(Aveia!$E51:$Z51,MIN(U$6-$G$3,22))),0)))))</f>
        <v>0</v>
      </c>
      <c r="V53" s="27" t="n">
        <f aca="false">IF(COUNT(Aveia!$E51:$Z51)=0,0,MAX(0,IF((V$6-$E$3)&lt;1,0,IFERROR(LOOKUP(2,1/(Aveia!$E51:INDEX(Aveia!$E51:$Z51,MIN(V$6-$E$3,22))&lt;&gt;""),Aveia!$E51:INDEX(Aveia!$E51:$Z51,MIN(V$6-$E$3,22))),0))-IF($G$2,0,IF((V$6-$G$3)&lt;1,0,IFERROR(LOOKUP(2,1/(Aveia!$E51:INDEX(Aveia!$E51:$Z51,MIN(V$6-$G$3,22))&lt;&gt;""),Aveia!$E51:INDEX(Aveia!$E51:$Z51,MIN(V$6-$G$3,22))),0)))))</f>
        <v>0</v>
      </c>
      <c r="W53" s="27" t="n">
        <f aca="false">IF(COUNT(Aveia!$E51:$Z51)=0,0,MAX(0,IF((W$6-$E$3)&lt;1,0,IFERROR(LOOKUP(2,1/(Aveia!$E51:INDEX(Aveia!$E51:$Z51,MIN(W$6-$E$3,22))&lt;&gt;""),Aveia!$E51:INDEX(Aveia!$E51:$Z51,MIN(W$6-$E$3,22))),0))-IF($G$2,0,IF((W$6-$G$3)&lt;1,0,IFERROR(LOOKUP(2,1/(Aveia!$E51:INDEX(Aveia!$E51:$Z51,MIN(W$6-$G$3,22))&lt;&gt;""),Aveia!$E51:INDEX(Aveia!$E51:$Z51,MIN(W$6-$G$3,22))),0)))))</f>
        <v>0</v>
      </c>
      <c r="X53" s="27" t="n">
        <f aca="false">IF(COUNT(Aveia!$E51:$Z51)=0,0,MAX(0,IF((X$6-$E$3)&lt;1,0,IFERROR(LOOKUP(2,1/(Aveia!$E51:INDEX(Aveia!$E51:$Z51,MIN(X$6-$E$3,22))&lt;&gt;""),Aveia!$E51:INDEX(Aveia!$E51:$Z51,MIN(X$6-$E$3,22))),0))-IF($G$2,0,IF((X$6-$G$3)&lt;1,0,IFERROR(LOOKUP(2,1/(Aveia!$E51:INDEX(Aveia!$E51:$Z51,MIN(X$6-$G$3,22))&lt;&gt;""),Aveia!$E51:INDEX(Aveia!$E51:$Z51,MIN(X$6-$G$3,22))),0)))))</f>
        <v>0</v>
      </c>
      <c r="Y53" s="27" t="n">
        <f aca="false">IF(COUNT(Aveia!$E51:$Z51)=0,0,MAX(0,IF((Y$6-$E$3)&lt;1,0,IFERROR(LOOKUP(2,1/(Aveia!$E51:INDEX(Aveia!$E51:$Z51,MIN(Y$6-$E$3,22))&lt;&gt;""),Aveia!$E51:INDEX(Aveia!$E51:$Z51,MIN(Y$6-$E$3,22))),0))-IF($G$2,0,IF((Y$6-$G$3)&lt;1,0,IFERROR(LOOKUP(2,1/(Aveia!$E51:INDEX(Aveia!$E51:$Z51,MIN(Y$6-$G$3,22))&lt;&gt;""),Aveia!$E51:INDEX(Aveia!$E51:$Z51,MIN(Y$6-$G$3,22))),0)))))</f>
        <v>0</v>
      </c>
      <c r="Z53" s="27" t="n">
        <f aca="false">IF(COUNT(Aveia!$E51:$Z51)=0,0,MAX(0,IF((Z$6-$E$3)&lt;1,0,IFERROR(LOOKUP(2,1/(Aveia!$E51:INDEX(Aveia!$E51:$Z51,MIN(Z$6-$E$3,22))&lt;&gt;""),Aveia!$E51:INDEX(Aveia!$E51:$Z51,MIN(Z$6-$E$3,22))),0))-IF($G$2,0,IF((Z$6-$G$3)&lt;1,0,IFERROR(LOOKUP(2,1/(Aveia!$E51:INDEX(Aveia!$E51:$Z51,MIN(Z$6-$G$3,22))&lt;&gt;""),Aveia!$E51:INDEX(Aveia!$E51:$Z51,MIN(Z$6-$G$3,22))),0)))))</f>
        <v>0</v>
      </c>
      <c r="AA53" s="27" t="n">
        <f aca="false">IF(COUNT(Aveia!$E51:$Z51)=0,0,MAX(0,IF((AA$6-$E$3)&lt;1,0,IFERROR(LOOKUP(2,1/(Aveia!$E51:INDEX(Aveia!$E51:$Z51,MIN(AA$6-$E$3,22))&lt;&gt;""),Aveia!$E51:INDEX(Aveia!$E51:$Z51,MIN(AA$6-$E$3,22))),0))-IF($G$2,0,IF((AA$6-$G$3)&lt;1,0,IFERROR(LOOKUP(2,1/(Aveia!$E51:INDEX(Aveia!$E51:$Z51,MIN(AA$6-$G$3,22))&lt;&gt;""),Aveia!$E51:INDEX(Aveia!$E51:$Z51,MIN(AA$6-$G$3,22))),0)))))</f>
        <v>0</v>
      </c>
      <c r="AB53" s="27" t="n">
        <f aca="false">IF(COUNT(Aveia!$E51:$Z51)=0,0,MAX(0,IF((AB$6-$E$3)&lt;1,0,IFERROR(LOOKUP(2,1/(Aveia!$E51:INDEX(Aveia!$E51:$Z51,MIN(AB$6-$E$3,22))&lt;&gt;""),Aveia!$E51:INDEX(Aveia!$E51:$Z51,MIN(AB$6-$E$3,22))),0))-IF($G$2,0,IF((AB$6-$G$3)&lt;1,0,IFERROR(LOOKUP(2,1/(Aveia!$E51:INDEX(Aveia!$E51:$Z51,MIN(AB$6-$G$3,22))&lt;&gt;""),Aveia!$E51:INDEX(Aveia!$E51:$Z51,MIN(AB$6-$G$3,22))),0)))))</f>
        <v>0</v>
      </c>
      <c r="AC53" s="27" t="n">
        <f aca="false">IF(COUNT(Aveia!$E51:$Z51)=0,0,MAX(0,IF((AC$6-$E$3)&lt;1,0,IFERROR(LOOKUP(2,1/(Aveia!$E51:INDEX(Aveia!$E51:$Z51,MIN(AC$6-$E$3,22))&lt;&gt;""),Aveia!$E51:INDEX(Aveia!$E51:$Z51,MIN(AC$6-$E$3,22))),0))-IF($G$2,0,IF((AC$6-$G$3)&lt;1,0,IFERROR(LOOKUP(2,1/(Aveia!$E51:INDEX(Aveia!$E51:$Z51,MIN(AC$6-$G$3,22))&lt;&gt;""),Aveia!$E51:INDEX(Aveia!$E51:$Z51,MIN(AC$6-$G$3,22))),0)))))</f>
        <v>0</v>
      </c>
      <c r="AD53" s="27" t="n">
        <f aca="false">IF(COUNT(Aveia!$E51:$Z51)=0,0,MAX(0,IF((AD$6-$E$3)&lt;1,0,IFERROR(LOOKUP(2,1/(Aveia!$E51:INDEX(Aveia!$E51:$Z51,MIN(AD$6-$E$3,22))&lt;&gt;""),Aveia!$E51:INDEX(Aveia!$E51:$Z51,MIN(AD$6-$E$3,22))),0))-IF($G$2,0,IF((AD$6-$G$3)&lt;1,0,IFERROR(LOOKUP(2,1/(Aveia!$E51:INDEX(Aveia!$E51:$Z51,MIN(AD$6-$G$3,22))&lt;&gt;""),Aveia!$E51:INDEX(Aveia!$E51:$Z51,MIN(AD$6-$G$3,22))),0)))))</f>
        <v>0</v>
      </c>
      <c r="AE53" s="27" t="n">
        <f aca="false">IF(COUNT(Aveia!$E51:$Z51)=0,0,MAX(0,IF((AE$6-$E$3)&lt;1,0,IFERROR(LOOKUP(2,1/(Aveia!$E51:INDEX(Aveia!$E51:$Z51,MIN(AE$6-$E$3,22))&lt;&gt;""),Aveia!$E51:INDEX(Aveia!$E51:$Z51,MIN(AE$6-$E$3,22))),0))-IF($G$2,0,IF((AE$6-$G$3)&lt;1,0,IFERROR(LOOKUP(2,1/(Aveia!$E51:INDEX(Aveia!$E51:$Z51,MIN(AE$6-$G$3,22))&lt;&gt;""),Aveia!$E51:INDEX(Aveia!$E51:$Z51,MIN(AE$6-$G$3,22))),0)))))</f>
        <v>0</v>
      </c>
      <c r="AF53" s="27" t="n">
        <f aca="false">IF(COUNT(Aveia!$E51:$Z51)=0,0,MAX(0,IF((AF$6-$E$3)&lt;1,0,IFERROR(LOOKUP(2,1/(Aveia!$E51:INDEX(Aveia!$E51:$Z51,MIN(AF$6-$E$3,22))&lt;&gt;""),Aveia!$E51:INDEX(Aveia!$E51:$Z51,MIN(AF$6-$E$3,22))),0))-IF($G$2,0,IF((AF$6-$G$3)&lt;1,0,IFERROR(LOOKUP(2,1/(Aveia!$E51:INDEX(Aveia!$E51:$Z51,MIN(AF$6-$G$3,22))&lt;&gt;""),Aveia!$E51:INDEX(Aveia!$E51:$Z51,MIN(AF$6-$G$3,22))),0)))))</f>
        <v>0</v>
      </c>
      <c r="AG53" s="27" t="n">
        <f aca="false">IF(COUNT(Aveia!$E51:$Z51)=0,0,MAX(0,IF((AG$6-$E$3)&lt;1,0,IFERROR(LOOKUP(2,1/(Aveia!$E51:INDEX(Aveia!$E51:$Z51,MIN(AG$6-$E$3,22))&lt;&gt;""),Aveia!$E51:INDEX(Aveia!$E51:$Z51,MIN(AG$6-$E$3,22))),0))-IF($G$2,0,IF((AG$6-$G$3)&lt;1,0,IFERROR(LOOKUP(2,1/(Aveia!$E51:INDEX(Aveia!$E51:$Z51,MIN(AG$6-$G$3,22))&lt;&gt;""),Aveia!$E51:INDEX(Aveia!$E51:$Z51,MIN(AG$6-$G$3,22))),0)))))</f>
        <v>0</v>
      </c>
      <c r="AH53" s="27" t="n">
        <f aca="false">IF(COUNT(Aveia!$E51:$Z51)=0,0,MAX(0,IF((AH$6-$E$3)&lt;1,0,IFERROR(LOOKUP(2,1/(Aveia!$E51:INDEX(Aveia!$E51:$Z51,MIN(AH$6-$E$3,22))&lt;&gt;""),Aveia!$E51:INDEX(Aveia!$E51:$Z51,MIN(AH$6-$E$3,22))),0))-IF($G$2,0,IF((AH$6-$G$3)&lt;1,0,IFERROR(LOOKUP(2,1/(Aveia!$E51:INDEX(Aveia!$E51:$Z51,MIN(AH$6-$G$3,22))&lt;&gt;""),Aveia!$E51:INDEX(Aveia!$E51:$Z51,MIN(AH$6-$G$3,22))),0)))))</f>
        <v>0</v>
      </c>
      <c r="AI53" s="27" t="n">
        <f aca="false">IF(COUNT(Aveia!$E51:$Z51)=0,0,MAX(0,IF((AI$6-$E$3)&lt;1,0,IFERROR(LOOKUP(2,1/(Aveia!$E51:INDEX(Aveia!$E51:$Z51,MIN(AI$6-$E$3,22))&lt;&gt;""),Aveia!$E51:INDEX(Aveia!$E51:$Z51,MIN(AI$6-$E$3,22))),0))-IF($G$2,0,IF((AI$6-$G$3)&lt;1,0,IFERROR(LOOKUP(2,1/(Aveia!$E51:INDEX(Aveia!$E51:$Z51,MIN(AI$6-$G$3,22))&lt;&gt;""),Aveia!$E51:INDEX(Aveia!$E51:$Z51,MIN(AI$6-$G$3,22))),0)))))</f>
        <v>0</v>
      </c>
      <c r="AJ53" s="27" t="n">
        <f aca="false">IF(COUNT(Aveia!$E51:$Z51)=0,0,MAX(0,IF((AJ$6-$E$3)&lt;1,0,IFERROR(LOOKUP(2,1/(Aveia!$E51:INDEX(Aveia!$E51:$Z51,MIN(AJ$6-$E$3,22))&lt;&gt;""),Aveia!$E51:INDEX(Aveia!$E51:$Z51,MIN(AJ$6-$E$3,22))),0))-IF($G$2,0,IF((AJ$6-$G$3)&lt;1,0,IFERROR(LOOKUP(2,1/(Aveia!$E51:INDEX(Aveia!$E51:$Z51,MIN(AJ$6-$G$3,22))&lt;&gt;""),Aveia!$E51:INDEX(Aveia!$E51:$Z51,MIN(AJ$6-$G$3,22))),0)))))</f>
        <v>0</v>
      </c>
      <c r="AK53" s="27" t="n">
        <f aca="false">IF(COUNT(Aveia!$E51:$Z51)=0,0,MAX(0,IF((AK$6-$E$3)&lt;1,0,IFERROR(LOOKUP(2,1/(Aveia!$E51:INDEX(Aveia!$E51:$Z51,MIN(AK$6-$E$3,22))&lt;&gt;""),Aveia!$E51:INDEX(Aveia!$E51:$Z51,MIN(AK$6-$E$3,22))),0))-IF($G$2,0,IF((AK$6-$G$3)&lt;1,0,IFERROR(LOOKUP(2,1/(Aveia!$E51:INDEX(Aveia!$E51:$Z51,MIN(AK$6-$G$3,22))&lt;&gt;""),Aveia!$E51:INDEX(Aveia!$E51:$Z51,MIN(AK$6-$G$3,22))),0)))))</f>
        <v>0</v>
      </c>
      <c r="AL53" s="27" t="n">
        <f aca="false">IF(COUNT(Aveia!$E51:$Z51)=0,0,MAX(0,IF((AL$6-$E$3)&lt;1,0,IFERROR(LOOKUP(2,1/(Aveia!$E51:INDEX(Aveia!$E51:$Z51,MIN(AL$6-$E$3,22))&lt;&gt;""),Aveia!$E51:INDEX(Aveia!$E51:$Z51,MIN(AL$6-$E$3,22))),0))-IF($G$2,0,IF((AL$6-$G$3)&lt;1,0,IFERROR(LOOKUP(2,1/(Aveia!$E51:INDEX(Aveia!$E51:$Z51,MIN(AL$6-$G$3,22))&lt;&gt;""),Aveia!$E51:INDEX(Aveia!$E51:$Z51,MIN(AL$6-$G$3,22))),0)))))</f>
        <v>0</v>
      </c>
      <c r="AM53" s="27" t="n">
        <f aca="false">IF(COUNT(Aveia!$E51:$Z51)=0,0,MAX(0,IF((AM$6-$E$3)&lt;1,0,IFERROR(LOOKUP(2,1/(Aveia!$E51:INDEX(Aveia!$E51:$Z51,MIN(AM$6-$E$3,22))&lt;&gt;""),Aveia!$E51:INDEX(Aveia!$E51:$Z51,MIN(AM$6-$E$3,22))),0))-IF($G$2,0,IF((AM$6-$G$3)&lt;1,0,IFERROR(LOOKUP(2,1/(Aveia!$E51:INDEX(Aveia!$E51:$Z51,MIN(AM$6-$G$3,22))&lt;&gt;""),Aveia!$E51:INDEX(Aveia!$E51:$Z51,MIN(AM$6-$G$3,22))),0)))))</f>
        <v>0</v>
      </c>
      <c r="AN53" s="27" t="n">
        <f aca="false">IF(COUNT(Aveia!$E51:$Z51)=0,0,MAX(0,IF((AN$6-$E$3)&lt;1,0,IFERROR(LOOKUP(2,1/(Aveia!$E51:INDEX(Aveia!$E51:$Z51,MIN(AN$6-$E$3,22))&lt;&gt;""),Aveia!$E51:INDEX(Aveia!$E51:$Z51,MIN(AN$6-$E$3,22))),0))-IF($G$2,0,IF((AN$6-$G$3)&lt;1,0,IFERROR(LOOKUP(2,1/(Aveia!$E51:INDEX(Aveia!$E51:$Z51,MIN(AN$6-$G$3,22))&lt;&gt;""),Aveia!$E51:INDEX(Aveia!$E51:$Z51,MIN(AN$6-$G$3,22))),0)))))</f>
        <v>0</v>
      </c>
      <c r="AO53" s="27" t="n">
        <f aca="false">IF(COUNT(Aveia!$E51:$Z51)=0,0,MAX(0,IF((AO$6-$E$3)&lt;1,0,IFERROR(LOOKUP(2,1/(Aveia!$E51:INDEX(Aveia!$E51:$Z51,MIN(AO$6-$E$3,22))&lt;&gt;""),Aveia!$E51:INDEX(Aveia!$E51:$Z51,MIN(AO$6-$E$3,22))),0))-IF($G$2,0,IF((AO$6-$G$3)&lt;1,0,IFERROR(LOOKUP(2,1/(Aveia!$E51:INDEX(Aveia!$E51:$Z51,MIN(AO$6-$G$3,22))&lt;&gt;""),Aveia!$E51:INDEX(Aveia!$E51:$Z51,MIN(AO$6-$G$3,22))),0)))))</f>
        <v>0</v>
      </c>
      <c r="AP53" s="27" t="n">
        <f aca="false">IF(COUNT(Aveia!$E51:$Z51)=0,0,MAX(0,IF((AP$6-$E$3)&lt;1,0,IFERROR(LOOKUP(2,1/(Aveia!$E51:INDEX(Aveia!$E51:$Z51,MIN(AP$6-$E$3,22))&lt;&gt;""),Aveia!$E51:INDEX(Aveia!$E51:$Z51,MIN(AP$6-$E$3,22))),0))-IF($G$2,0,IF((AP$6-$G$3)&lt;1,0,IFERROR(LOOKUP(2,1/(Aveia!$E51:INDEX(Aveia!$E51:$Z51,MIN(AP$6-$G$3,22))&lt;&gt;""),Aveia!$E51:INDEX(Aveia!$E51:$Z51,MIN(AP$6-$G$3,22))),0)))))</f>
        <v>0</v>
      </c>
      <c r="AQ53" s="27" t="n">
        <f aca="false">IF(COUNT(Aveia!$E51:$Z51)=0,0,MAX(0,IF((AQ$6-$E$3)&lt;1,0,IFERROR(LOOKUP(2,1/(Aveia!$E51:INDEX(Aveia!$E51:$Z51,MIN(AQ$6-$E$3,22))&lt;&gt;""),Aveia!$E51:INDEX(Aveia!$E51:$Z51,MIN(AQ$6-$E$3,22))),0))-IF($G$2,0,IF((AQ$6-$G$3)&lt;1,0,IFERROR(LOOKUP(2,1/(Aveia!$E51:INDEX(Aveia!$E51:$Z51,MIN(AQ$6-$G$3,22))&lt;&gt;""),Aveia!$E51:INDEX(Aveia!$E51:$Z51,MIN(AQ$6-$G$3,22))),0)))))</f>
        <v>0</v>
      </c>
      <c r="AR53" s="27" t="n">
        <f aca="false">IF(COUNT(Aveia!$E51:$Z51)=0,0,MAX(0,IF((AR$6-$E$3)&lt;1,0,IFERROR(LOOKUP(2,1/(Aveia!$E51:INDEX(Aveia!$E51:$Z51,MIN(AR$6-$E$3,22))&lt;&gt;""),Aveia!$E51:INDEX(Aveia!$E51:$Z51,MIN(AR$6-$E$3,22))),0))-IF($G$2,0,IF((AR$6-$G$3)&lt;1,0,IFERROR(LOOKUP(2,1/(Aveia!$E51:INDEX(Aveia!$E51:$Z51,MIN(AR$6-$G$3,22))&lt;&gt;""),Aveia!$E51:INDEX(Aveia!$E51:$Z51,MIN(AR$6-$G$3,22))),0)))))</f>
        <v>0</v>
      </c>
      <c r="AS53" s="27" t="n">
        <f aca="false">IF(COUNT(Aveia!$E51:$Z51)=0,0,MAX(0,IF((AS$6-$E$3)&lt;1,0,IFERROR(LOOKUP(2,1/(Aveia!$E51:INDEX(Aveia!$E51:$Z51,MIN(AS$6-$E$3,22))&lt;&gt;""),Aveia!$E51:INDEX(Aveia!$E51:$Z51,MIN(AS$6-$E$3,22))),0))-IF($G$2,0,IF((AS$6-$G$3)&lt;1,0,IFERROR(LOOKUP(2,1/(Aveia!$E51:INDEX(Aveia!$E51:$Z51,MIN(AS$6-$G$3,22))&lt;&gt;""),Aveia!$E51:INDEX(Aveia!$E51:$Z51,MIN(AS$6-$G$3,22))),0)))))</f>
        <v>0</v>
      </c>
      <c r="AT53" s="27" t="n">
        <f aca="false">IF(COUNT(Aveia!$E51:$Z51)=0,0,MAX(0,IF((AT$6-$E$3)&lt;1,0,IFERROR(LOOKUP(2,1/(Aveia!$E51:INDEX(Aveia!$E51:$Z51,MIN(AT$6-$E$3,22))&lt;&gt;""),Aveia!$E51:INDEX(Aveia!$E51:$Z51,MIN(AT$6-$E$3,22))),0))-IF($G$2,0,IF((AT$6-$G$3)&lt;1,0,IFERROR(LOOKUP(2,1/(Aveia!$E51:INDEX(Aveia!$E51:$Z51,MIN(AT$6-$G$3,22))&lt;&gt;""),Aveia!$E51:INDEX(Aveia!$E51:$Z51,MIN(AT$6-$G$3,22))),0)))))</f>
        <v>0</v>
      </c>
      <c r="AU53" s="27" t="n">
        <f aca="false">IF(COUNT(Aveia!$E51:$Z51)=0,0,MAX(0,IF((AU$6-$E$3)&lt;1,0,IFERROR(LOOKUP(2,1/(Aveia!$E51:INDEX(Aveia!$E51:$Z51,MIN(AU$6-$E$3,22))&lt;&gt;""),Aveia!$E51:INDEX(Aveia!$E51:$Z51,MIN(AU$6-$E$3,22))),0))-IF($G$2,0,IF((AU$6-$G$3)&lt;1,0,IFERROR(LOOKUP(2,1/(Aveia!$E51:INDEX(Aveia!$E51:$Z51,MIN(AU$6-$G$3,22))&lt;&gt;""),Aveia!$E51:INDEX(Aveia!$E51:$Z51,MIN(AU$6-$G$3,22))),0)))))</f>
        <v>0</v>
      </c>
      <c r="AV53" s="27" t="n">
        <f aca="false">IF(COUNT(Aveia!$E51:$Z51)=0,0,MAX(0,IF((AV$6-$E$3)&lt;1,0,IFERROR(LOOKUP(2,1/(Aveia!$E51:INDEX(Aveia!$E51:$Z51,MIN(AV$6-$E$3,22))&lt;&gt;""),Aveia!$E51:INDEX(Aveia!$E51:$Z51,MIN(AV$6-$E$3,22))),0))-IF($G$2,0,IF((AV$6-$G$3)&lt;1,0,IFERROR(LOOKUP(2,1/(Aveia!$E51:INDEX(Aveia!$E51:$Z51,MIN(AV$6-$G$3,22))&lt;&gt;""),Aveia!$E51:INDEX(Aveia!$E51:$Z51,MIN(AV$6-$G$3,22))),0)))))</f>
        <v>0</v>
      </c>
      <c r="AW53" s="27" t="n">
        <f aca="false">IF(COUNT(Aveia!$E51:$Z51)=0,0,MAX(0,IF((AW$6-$E$3)&lt;1,0,IFERROR(LOOKUP(2,1/(Aveia!$E51:INDEX(Aveia!$E51:$Z51,MIN(AW$6-$E$3,22))&lt;&gt;""),Aveia!$E51:INDEX(Aveia!$E51:$Z51,MIN(AW$6-$E$3,22))),0))-IF($G$2,0,IF((AW$6-$G$3)&lt;1,0,IFERROR(LOOKUP(2,1/(Aveia!$E51:INDEX(Aveia!$E51:$Z51,MIN(AW$6-$G$3,22))&lt;&gt;""),Aveia!$E51:INDEX(Aveia!$E51:$Z51,MIN(AW$6-$G$3,22))),0)))))</f>
        <v>0</v>
      </c>
      <c r="AX53" s="27" t="n">
        <f aca="false">IF(COUNT(Aveia!$E51:$Z51)=0,0,MAX(0,IF((AX$6-$E$3)&lt;1,0,IFERROR(LOOKUP(2,1/(Aveia!$E51:INDEX(Aveia!$E51:$Z51,MIN(AX$6-$E$3,22))&lt;&gt;""),Aveia!$E51:INDEX(Aveia!$E51:$Z51,MIN(AX$6-$E$3,22))),0))-IF($G$2,0,IF((AX$6-$G$3)&lt;1,0,IFERROR(LOOKUP(2,1/(Aveia!$E51:INDEX(Aveia!$E51:$Z51,MIN(AX$6-$G$3,22))&lt;&gt;""),Aveia!$E51:INDEX(Aveia!$E51:$Z51,MIN(AX$6-$G$3,22))),0)))))</f>
        <v>0</v>
      </c>
      <c r="AY53" s="27" t="n">
        <f aca="false">IF(COUNT(Aveia!$E51:$Z51)=0,0,MAX(0,IF((AY$6-$E$3)&lt;1,0,IFERROR(LOOKUP(2,1/(Aveia!$E51:INDEX(Aveia!$E51:$Z51,MIN(AY$6-$E$3,22))&lt;&gt;""),Aveia!$E51:INDEX(Aveia!$E51:$Z51,MIN(AY$6-$E$3,22))),0))-IF($G$2,0,IF((AY$6-$G$3)&lt;1,0,IFERROR(LOOKUP(2,1/(Aveia!$E51:INDEX(Aveia!$E51:$Z51,MIN(AY$6-$G$3,22))&lt;&gt;""),Aveia!$E51:INDEX(Aveia!$E51:$Z51,MIN(AY$6-$G$3,22))),0)))))</f>
        <v>0</v>
      </c>
      <c r="AZ53" s="27" t="n">
        <f aca="false">IF(COUNT(Aveia!$E51:$Z51)=0,0,MAX(0,IF((AZ$6-$E$3)&lt;1,0,IFERROR(LOOKUP(2,1/(Aveia!$E51:INDEX(Aveia!$E51:$Z51,MIN(AZ$6-$E$3,22))&lt;&gt;""),Aveia!$E51:INDEX(Aveia!$E51:$Z51,MIN(AZ$6-$E$3,22))),0))-IF($G$2,0,IF((AZ$6-$G$3)&lt;1,0,IFERROR(LOOKUP(2,1/(Aveia!$E51:INDEX(Aveia!$E51:$Z51,MIN(AZ$6-$G$3,22))&lt;&gt;""),Aveia!$E51:INDEX(Aveia!$E51:$Z51,MIN(AZ$6-$G$3,22))),0)))))</f>
        <v>0</v>
      </c>
    </row>
    <row r="54" customFormat="false" ht="15" hidden="false" customHeight="false" outlineLevel="0" collapsed="false">
      <c r="A54" s="3" t="s">
        <v>228</v>
      </c>
      <c r="B54" s="3" t="s">
        <v>229</v>
      </c>
      <c r="C54" s="10" t="s">
        <v>187</v>
      </c>
      <c r="D54" s="26" t="n">
        <f aca="false">IF(COUNT(Aveia!$E52:$Z52)&gt;0,N(Aveia!$D52),0)</f>
        <v>0</v>
      </c>
      <c r="E54" s="27" t="n">
        <f aca="false">IF(COUNT(Aveia!$E52:$Z52)=0,0,MAX(0,IF((E$6-$E$3)&lt;1,0,IFERROR(LOOKUP(2,1/(Aveia!$E52:INDEX(Aveia!$E52:$Z52,MIN(E$6-$E$3,22))&lt;&gt;""),Aveia!$E52:INDEX(Aveia!$E52:$Z52,MIN(E$6-$E$3,22))),0))-IF($G$2,0,IF((E$6-$G$3)&lt;1,0,IFERROR(LOOKUP(2,1/(Aveia!$E52:INDEX(Aveia!$E52:$Z52,MIN(E$6-$G$3,22))&lt;&gt;""),Aveia!$E52:INDEX(Aveia!$E52:$Z52,MIN(E$6-$G$3,22))),0)))))</f>
        <v>0</v>
      </c>
      <c r="F54" s="27" t="n">
        <f aca="false">IF(COUNT(Aveia!$E52:$Z52)=0,0,MAX(0,IF((F$6-$E$3)&lt;1,0,IFERROR(LOOKUP(2,1/(Aveia!$E52:INDEX(Aveia!$E52:$Z52,MIN(F$6-$E$3,22))&lt;&gt;""),Aveia!$E52:INDEX(Aveia!$E52:$Z52,MIN(F$6-$E$3,22))),0))-IF($G$2,0,IF((F$6-$G$3)&lt;1,0,IFERROR(LOOKUP(2,1/(Aveia!$E52:INDEX(Aveia!$E52:$Z52,MIN(F$6-$G$3,22))&lt;&gt;""),Aveia!$E52:INDEX(Aveia!$E52:$Z52,MIN(F$6-$G$3,22))),0)))))</f>
        <v>0</v>
      </c>
      <c r="G54" s="27" t="n">
        <f aca="false">IF(COUNT(Aveia!$E52:$Z52)=0,0,MAX(0,IF((G$6-$E$3)&lt;1,0,IFERROR(LOOKUP(2,1/(Aveia!$E52:INDEX(Aveia!$E52:$Z52,MIN(G$6-$E$3,22))&lt;&gt;""),Aveia!$E52:INDEX(Aveia!$E52:$Z52,MIN(G$6-$E$3,22))),0))-IF($G$2,0,IF((G$6-$G$3)&lt;1,0,IFERROR(LOOKUP(2,1/(Aveia!$E52:INDEX(Aveia!$E52:$Z52,MIN(G$6-$G$3,22))&lt;&gt;""),Aveia!$E52:INDEX(Aveia!$E52:$Z52,MIN(G$6-$G$3,22))),0)))))</f>
        <v>0</v>
      </c>
      <c r="H54" s="27" t="n">
        <f aca="false">IF(COUNT(Aveia!$E52:$Z52)=0,0,MAX(0,IF((H$6-$E$3)&lt;1,0,IFERROR(LOOKUP(2,1/(Aveia!$E52:INDEX(Aveia!$E52:$Z52,MIN(H$6-$E$3,22))&lt;&gt;""),Aveia!$E52:INDEX(Aveia!$E52:$Z52,MIN(H$6-$E$3,22))),0))-IF($G$2,0,IF((H$6-$G$3)&lt;1,0,IFERROR(LOOKUP(2,1/(Aveia!$E52:INDEX(Aveia!$E52:$Z52,MIN(H$6-$G$3,22))&lt;&gt;""),Aveia!$E52:INDEX(Aveia!$E52:$Z52,MIN(H$6-$G$3,22))),0)))))</f>
        <v>0</v>
      </c>
      <c r="I54" s="27" t="n">
        <f aca="false">IF(COUNT(Aveia!$E52:$Z52)=0,0,MAX(0,IF((I$6-$E$3)&lt;1,0,IFERROR(LOOKUP(2,1/(Aveia!$E52:INDEX(Aveia!$E52:$Z52,MIN(I$6-$E$3,22))&lt;&gt;""),Aveia!$E52:INDEX(Aveia!$E52:$Z52,MIN(I$6-$E$3,22))),0))-IF($G$2,0,IF((I$6-$G$3)&lt;1,0,IFERROR(LOOKUP(2,1/(Aveia!$E52:INDEX(Aveia!$E52:$Z52,MIN(I$6-$G$3,22))&lt;&gt;""),Aveia!$E52:INDEX(Aveia!$E52:$Z52,MIN(I$6-$G$3,22))),0)))))</f>
        <v>0</v>
      </c>
      <c r="J54" s="27" t="n">
        <f aca="false">IF(COUNT(Aveia!$E52:$Z52)=0,0,MAX(0,IF((J$6-$E$3)&lt;1,0,IFERROR(LOOKUP(2,1/(Aveia!$E52:INDEX(Aveia!$E52:$Z52,MIN(J$6-$E$3,22))&lt;&gt;""),Aveia!$E52:INDEX(Aveia!$E52:$Z52,MIN(J$6-$E$3,22))),0))-IF($G$2,0,IF((J$6-$G$3)&lt;1,0,IFERROR(LOOKUP(2,1/(Aveia!$E52:INDEX(Aveia!$E52:$Z52,MIN(J$6-$G$3,22))&lt;&gt;""),Aveia!$E52:INDEX(Aveia!$E52:$Z52,MIN(J$6-$G$3,22))),0)))))</f>
        <v>0</v>
      </c>
      <c r="K54" s="27" t="n">
        <f aca="false">IF(COUNT(Aveia!$E52:$Z52)=0,0,MAX(0,IF((K$6-$E$3)&lt;1,0,IFERROR(LOOKUP(2,1/(Aveia!$E52:INDEX(Aveia!$E52:$Z52,MIN(K$6-$E$3,22))&lt;&gt;""),Aveia!$E52:INDEX(Aveia!$E52:$Z52,MIN(K$6-$E$3,22))),0))-IF($G$2,0,IF((K$6-$G$3)&lt;1,0,IFERROR(LOOKUP(2,1/(Aveia!$E52:INDEX(Aveia!$E52:$Z52,MIN(K$6-$G$3,22))&lt;&gt;""),Aveia!$E52:INDEX(Aveia!$E52:$Z52,MIN(K$6-$G$3,22))),0)))))</f>
        <v>0</v>
      </c>
      <c r="L54" s="27" t="n">
        <f aca="false">IF(COUNT(Aveia!$E52:$Z52)=0,0,MAX(0,IF((L$6-$E$3)&lt;1,0,IFERROR(LOOKUP(2,1/(Aveia!$E52:INDEX(Aveia!$E52:$Z52,MIN(L$6-$E$3,22))&lt;&gt;""),Aveia!$E52:INDEX(Aveia!$E52:$Z52,MIN(L$6-$E$3,22))),0))-IF($G$2,0,IF((L$6-$G$3)&lt;1,0,IFERROR(LOOKUP(2,1/(Aveia!$E52:INDEX(Aveia!$E52:$Z52,MIN(L$6-$G$3,22))&lt;&gt;""),Aveia!$E52:INDEX(Aveia!$E52:$Z52,MIN(L$6-$G$3,22))),0)))))</f>
        <v>0</v>
      </c>
      <c r="M54" s="27" t="n">
        <f aca="false">IF(COUNT(Aveia!$E52:$Z52)=0,0,MAX(0,IF((M$6-$E$3)&lt;1,0,IFERROR(LOOKUP(2,1/(Aveia!$E52:INDEX(Aveia!$E52:$Z52,MIN(M$6-$E$3,22))&lt;&gt;""),Aveia!$E52:INDEX(Aveia!$E52:$Z52,MIN(M$6-$E$3,22))),0))-IF($G$2,0,IF((M$6-$G$3)&lt;1,0,IFERROR(LOOKUP(2,1/(Aveia!$E52:INDEX(Aveia!$E52:$Z52,MIN(M$6-$G$3,22))&lt;&gt;""),Aveia!$E52:INDEX(Aveia!$E52:$Z52,MIN(M$6-$G$3,22))),0)))))</f>
        <v>0</v>
      </c>
      <c r="N54" s="27" t="n">
        <f aca="false">IF(COUNT(Aveia!$E52:$Z52)=0,0,MAX(0,IF((N$6-$E$3)&lt;1,0,IFERROR(LOOKUP(2,1/(Aveia!$E52:INDEX(Aveia!$E52:$Z52,MIN(N$6-$E$3,22))&lt;&gt;""),Aveia!$E52:INDEX(Aveia!$E52:$Z52,MIN(N$6-$E$3,22))),0))-IF($G$2,0,IF((N$6-$G$3)&lt;1,0,IFERROR(LOOKUP(2,1/(Aveia!$E52:INDEX(Aveia!$E52:$Z52,MIN(N$6-$G$3,22))&lt;&gt;""),Aveia!$E52:INDEX(Aveia!$E52:$Z52,MIN(N$6-$G$3,22))),0)))))</f>
        <v>0</v>
      </c>
      <c r="O54" s="27" t="n">
        <f aca="false">IF(COUNT(Aveia!$E52:$Z52)=0,0,MAX(0,IF((O$6-$E$3)&lt;1,0,IFERROR(LOOKUP(2,1/(Aveia!$E52:INDEX(Aveia!$E52:$Z52,MIN(O$6-$E$3,22))&lt;&gt;""),Aveia!$E52:INDEX(Aveia!$E52:$Z52,MIN(O$6-$E$3,22))),0))-IF($G$2,0,IF((O$6-$G$3)&lt;1,0,IFERROR(LOOKUP(2,1/(Aveia!$E52:INDEX(Aveia!$E52:$Z52,MIN(O$6-$G$3,22))&lt;&gt;""),Aveia!$E52:INDEX(Aveia!$E52:$Z52,MIN(O$6-$G$3,22))),0)))))</f>
        <v>0</v>
      </c>
      <c r="P54" s="27" t="n">
        <f aca="false">IF(COUNT(Aveia!$E52:$Z52)=0,0,MAX(0,IF((P$6-$E$3)&lt;1,0,IFERROR(LOOKUP(2,1/(Aveia!$E52:INDEX(Aveia!$E52:$Z52,MIN(P$6-$E$3,22))&lt;&gt;""),Aveia!$E52:INDEX(Aveia!$E52:$Z52,MIN(P$6-$E$3,22))),0))-IF($G$2,0,IF((P$6-$G$3)&lt;1,0,IFERROR(LOOKUP(2,1/(Aveia!$E52:INDEX(Aveia!$E52:$Z52,MIN(P$6-$G$3,22))&lt;&gt;""),Aveia!$E52:INDEX(Aveia!$E52:$Z52,MIN(P$6-$G$3,22))),0)))))</f>
        <v>0</v>
      </c>
      <c r="Q54" s="27" t="n">
        <f aca="false">IF(COUNT(Aveia!$E52:$Z52)=0,0,MAX(0,IF((Q$6-$E$3)&lt;1,0,IFERROR(LOOKUP(2,1/(Aveia!$E52:INDEX(Aveia!$E52:$Z52,MIN(Q$6-$E$3,22))&lt;&gt;""),Aveia!$E52:INDEX(Aveia!$E52:$Z52,MIN(Q$6-$E$3,22))),0))-IF($G$2,0,IF((Q$6-$G$3)&lt;1,0,IFERROR(LOOKUP(2,1/(Aveia!$E52:INDEX(Aveia!$E52:$Z52,MIN(Q$6-$G$3,22))&lt;&gt;""),Aveia!$E52:INDEX(Aveia!$E52:$Z52,MIN(Q$6-$G$3,22))),0)))))</f>
        <v>0</v>
      </c>
      <c r="R54" s="27" t="n">
        <f aca="false">IF(COUNT(Aveia!$E52:$Z52)=0,0,MAX(0,IF((R$6-$E$3)&lt;1,0,IFERROR(LOOKUP(2,1/(Aveia!$E52:INDEX(Aveia!$E52:$Z52,MIN(R$6-$E$3,22))&lt;&gt;""),Aveia!$E52:INDEX(Aveia!$E52:$Z52,MIN(R$6-$E$3,22))),0))-IF($G$2,0,IF((R$6-$G$3)&lt;1,0,IFERROR(LOOKUP(2,1/(Aveia!$E52:INDEX(Aveia!$E52:$Z52,MIN(R$6-$G$3,22))&lt;&gt;""),Aveia!$E52:INDEX(Aveia!$E52:$Z52,MIN(R$6-$G$3,22))),0)))))</f>
        <v>0</v>
      </c>
      <c r="S54" s="27" t="n">
        <f aca="false">IF(COUNT(Aveia!$E52:$Z52)=0,0,MAX(0,IF((S$6-$E$3)&lt;1,0,IFERROR(LOOKUP(2,1/(Aveia!$E52:INDEX(Aveia!$E52:$Z52,MIN(S$6-$E$3,22))&lt;&gt;""),Aveia!$E52:INDEX(Aveia!$E52:$Z52,MIN(S$6-$E$3,22))),0))-IF($G$2,0,IF((S$6-$G$3)&lt;1,0,IFERROR(LOOKUP(2,1/(Aveia!$E52:INDEX(Aveia!$E52:$Z52,MIN(S$6-$G$3,22))&lt;&gt;""),Aveia!$E52:INDEX(Aveia!$E52:$Z52,MIN(S$6-$G$3,22))),0)))))</f>
        <v>0</v>
      </c>
      <c r="T54" s="27" t="n">
        <f aca="false">IF(COUNT(Aveia!$E52:$Z52)=0,0,MAX(0,IF((T$6-$E$3)&lt;1,0,IFERROR(LOOKUP(2,1/(Aveia!$E52:INDEX(Aveia!$E52:$Z52,MIN(T$6-$E$3,22))&lt;&gt;""),Aveia!$E52:INDEX(Aveia!$E52:$Z52,MIN(T$6-$E$3,22))),0))-IF($G$2,0,IF((T$6-$G$3)&lt;1,0,IFERROR(LOOKUP(2,1/(Aveia!$E52:INDEX(Aveia!$E52:$Z52,MIN(T$6-$G$3,22))&lt;&gt;""),Aveia!$E52:INDEX(Aveia!$E52:$Z52,MIN(T$6-$G$3,22))),0)))))</f>
        <v>0</v>
      </c>
      <c r="U54" s="27" t="n">
        <f aca="false">IF(COUNT(Aveia!$E52:$Z52)=0,0,MAX(0,IF((U$6-$E$3)&lt;1,0,IFERROR(LOOKUP(2,1/(Aveia!$E52:INDEX(Aveia!$E52:$Z52,MIN(U$6-$E$3,22))&lt;&gt;""),Aveia!$E52:INDEX(Aveia!$E52:$Z52,MIN(U$6-$E$3,22))),0))-IF($G$2,0,IF((U$6-$G$3)&lt;1,0,IFERROR(LOOKUP(2,1/(Aveia!$E52:INDEX(Aveia!$E52:$Z52,MIN(U$6-$G$3,22))&lt;&gt;""),Aveia!$E52:INDEX(Aveia!$E52:$Z52,MIN(U$6-$G$3,22))),0)))))</f>
        <v>0</v>
      </c>
      <c r="V54" s="27" t="n">
        <f aca="false">IF(COUNT(Aveia!$E52:$Z52)=0,0,MAX(0,IF((V$6-$E$3)&lt;1,0,IFERROR(LOOKUP(2,1/(Aveia!$E52:INDEX(Aveia!$E52:$Z52,MIN(V$6-$E$3,22))&lt;&gt;""),Aveia!$E52:INDEX(Aveia!$E52:$Z52,MIN(V$6-$E$3,22))),0))-IF($G$2,0,IF((V$6-$G$3)&lt;1,0,IFERROR(LOOKUP(2,1/(Aveia!$E52:INDEX(Aveia!$E52:$Z52,MIN(V$6-$G$3,22))&lt;&gt;""),Aveia!$E52:INDEX(Aveia!$E52:$Z52,MIN(V$6-$G$3,22))),0)))))</f>
        <v>0</v>
      </c>
      <c r="W54" s="27" t="n">
        <f aca="false">IF(COUNT(Aveia!$E52:$Z52)=0,0,MAX(0,IF((W$6-$E$3)&lt;1,0,IFERROR(LOOKUP(2,1/(Aveia!$E52:INDEX(Aveia!$E52:$Z52,MIN(W$6-$E$3,22))&lt;&gt;""),Aveia!$E52:INDEX(Aveia!$E52:$Z52,MIN(W$6-$E$3,22))),0))-IF($G$2,0,IF((W$6-$G$3)&lt;1,0,IFERROR(LOOKUP(2,1/(Aveia!$E52:INDEX(Aveia!$E52:$Z52,MIN(W$6-$G$3,22))&lt;&gt;""),Aveia!$E52:INDEX(Aveia!$E52:$Z52,MIN(W$6-$G$3,22))),0)))))</f>
        <v>0</v>
      </c>
      <c r="X54" s="27" t="n">
        <f aca="false">IF(COUNT(Aveia!$E52:$Z52)=0,0,MAX(0,IF((X$6-$E$3)&lt;1,0,IFERROR(LOOKUP(2,1/(Aveia!$E52:INDEX(Aveia!$E52:$Z52,MIN(X$6-$E$3,22))&lt;&gt;""),Aveia!$E52:INDEX(Aveia!$E52:$Z52,MIN(X$6-$E$3,22))),0))-IF($G$2,0,IF((X$6-$G$3)&lt;1,0,IFERROR(LOOKUP(2,1/(Aveia!$E52:INDEX(Aveia!$E52:$Z52,MIN(X$6-$G$3,22))&lt;&gt;""),Aveia!$E52:INDEX(Aveia!$E52:$Z52,MIN(X$6-$G$3,22))),0)))))</f>
        <v>0</v>
      </c>
      <c r="Y54" s="27" t="n">
        <f aca="false">IF(COUNT(Aveia!$E52:$Z52)=0,0,MAX(0,IF((Y$6-$E$3)&lt;1,0,IFERROR(LOOKUP(2,1/(Aveia!$E52:INDEX(Aveia!$E52:$Z52,MIN(Y$6-$E$3,22))&lt;&gt;""),Aveia!$E52:INDEX(Aveia!$E52:$Z52,MIN(Y$6-$E$3,22))),0))-IF($G$2,0,IF((Y$6-$G$3)&lt;1,0,IFERROR(LOOKUP(2,1/(Aveia!$E52:INDEX(Aveia!$E52:$Z52,MIN(Y$6-$G$3,22))&lt;&gt;""),Aveia!$E52:INDEX(Aveia!$E52:$Z52,MIN(Y$6-$G$3,22))),0)))))</f>
        <v>0</v>
      </c>
      <c r="Z54" s="27" t="n">
        <f aca="false">IF(COUNT(Aveia!$E52:$Z52)=0,0,MAX(0,IF((Z$6-$E$3)&lt;1,0,IFERROR(LOOKUP(2,1/(Aveia!$E52:INDEX(Aveia!$E52:$Z52,MIN(Z$6-$E$3,22))&lt;&gt;""),Aveia!$E52:INDEX(Aveia!$E52:$Z52,MIN(Z$6-$E$3,22))),0))-IF($G$2,0,IF((Z$6-$G$3)&lt;1,0,IFERROR(LOOKUP(2,1/(Aveia!$E52:INDEX(Aveia!$E52:$Z52,MIN(Z$6-$G$3,22))&lt;&gt;""),Aveia!$E52:INDEX(Aveia!$E52:$Z52,MIN(Z$6-$G$3,22))),0)))))</f>
        <v>0</v>
      </c>
      <c r="AA54" s="27" t="n">
        <f aca="false">IF(COUNT(Aveia!$E52:$Z52)=0,0,MAX(0,IF((AA$6-$E$3)&lt;1,0,IFERROR(LOOKUP(2,1/(Aveia!$E52:INDEX(Aveia!$E52:$Z52,MIN(AA$6-$E$3,22))&lt;&gt;""),Aveia!$E52:INDEX(Aveia!$E52:$Z52,MIN(AA$6-$E$3,22))),0))-IF($G$2,0,IF((AA$6-$G$3)&lt;1,0,IFERROR(LOOKUP(2,1/(Aveia!$E52:INDEX(Aveia!$E52:$Z52,MIN(AA$6-$G$3,22))&lt;&gt;""),Aveia!$E52:INDEX(Aveia!$E52:$Z52,MIN(AA$6-$G$3,22))),0)))))</f>
        <v>0</v>
      </c>
      <c r="AB54" s="27" t="n">
        <f aca="false">IF(COUNT(Aveia!$E52:$Z52)=0,0,MAX(0,IF((AB$6-$E$3)&lt;1,0,IFERROR(LOOKUP(2,1/(Aveia!$E52:INDEX(Aveia!$E52:$Z52,MIN(AB$6-$E$3,22))&lt;&gt;""),Aveia!$E52:INDEX(Aveia!$E52:$Z52,MIN(AB$6-$E$3,22))),0))-IF($G$2,0,IF((AB$6-$G$3)&lt;1,0,IFERROR(LOOKUP(2,1/(Aveia!$E52:INDEX(Aveia!$E52:$Z52,MIN(AB$6-$G$3,22))&lt;&gt;""),Aveia!$E52:INDEX(Aveia!$E52:$Z52,MIN(AB$6-$G$3,22))),0)))))</f>
        <v>0</v>
      </c>
      <c r="AC54" s="27" t="n">
        <f aca="false">IF(COUNT(Aveia!$E52:$Z52)=0,0,MAX(0,IF((AC$6-$E$3)&lt;1,0,IFERROR(LOOKUP(2,1/(Aveia!$E52:INDEX(Aveia!$E52:$Z52,MIN(AC$6-$E$3,22))&lt;&gt;""),Aveia!$E52:INDEX(Aveia!$E52:$Z52,MIN(AC$6-$E$3,22))),0))-IF($G$2,0,IF((AC$6-$G$3)&lt;1,0,IFERROR(LOOKUP(2,1/(Aveia!$E52:INDEX(Aveia!$E52:$Z52,MIN(AC$6-$G$3,22))&lt;&gt;""),Aveia!$E52:INDEX(Aveia!$E52:$Z52,MIN(AC$6-$G$3,22))),0)))))</f>
        <v>0</v>
      </c>
      <c r="AD54" s="27" t="n">
        <f aca="false">IF(COUNT(Aveia!$E52:$Z52)=0,0,MAX(0,IF((AD$6-$E$3)&lt;1,0,IFERROR(LOOKUP(2,1/(Aveia!$E52:INDEX(Aveia!$E52:$Z52,MIN(AD$6-$E$3,22))&lt;&gt;""),Aveia!$E52:INDEX(Aveia!$E52:$Z52,MIN(AD$6-$E$3,22))),0))-IF($G$2,0,IF((AD$6-$G$3)&lt;1,0,IFERROR(LOOKUP(2,1/(Aveia!$E52:INDEX(Aveia!$E52:$Z52,MIN(AD$6-$G$3,22))&lt;&gt;""),Aveia!$E52:INDEX(Aveia!$E52:$Z52,MIN(AD$6-$G$3,22))),0)))))</f>
        <v>0</v>
      </c>
      <c r="AE54" s="27" t="n">
        <f aca="false">IF(COUNT(Aveia!$E52:$Z52)=0,0,MAX(0,IF((AE$6-$E$3)&lt;1,0,IFERROR(LOOKUP(2,1/(Aveia!$E52:INDEX(Aveia!$E52:$Z52,MIN(AE$6-$E$3,22))&lt;&gt;""),Aveia!$E52:INDEX(Aveia!$E52:$Z52,MIN(AE$6-$E$3,22))),0))-IF($G$2,0,IF((AE$6-$G$3)&lt;1,0,IFERROR(LOOKUP(2,1/(Aveia!$E52:INDEX(Aveia!$E52:$Z52,MIN(AE$6-$G$3,22))&lt;&gt;""),Aveia!$E52:INDEX(Aveia!$E52:$Z52,MIN(AE$6-$G$3,22))),0)))))</f>
        <v>0</v>
      </c>
      <c r="AF54" s="27" t="n">
        <f aca="false">IF(COUNT(Aveia!$E52:$Z52)=0,0,MAX(0,IF((AF$6-$E$3)&lt;1,0,IFERROR(LOOKUP(2,1/(Aveia!$E52:INDEX(Aveia!$E52:$Z52,MIN(AF$6-$E$3,22))&lt;&gt;""),Aveia!$E52:INDEX(Aveia!$E52:$Z52,MIN(AF$6-$E$3,22))),0))-IF($G$2,0,IF((AF$6-$G$3)&lt;1,0,IFERROR(LOOKUP(2,1/(Aveia!$E52:INDEX(Aveia!$E52:$Z52,MIN(AF$6-$G$3,22))&lt;&gt;""),Aveia!$E52:INDEX(Aveia!$E52:$Z52,MIN(AF$6-$G$3,22))),0)))))</f>
        <v>0</v>
      </c>
      <c r="AG54" s="27" t="n">
        <f aca="false">IF(COUNT(Aveia!$E52:$Z52)=0,0,MAX(0,IF((AG$6-$E$3)&lt;1,0,IFERROR(LOOKUP(2,1/(Aveia!$E52:INDEX(Aveia!$E52:$Z52,MIN(AG$6-$E$3,22))&lt;&gt;""),Aveia!$E52:INDEX(Aveia!$E52:$Z52,MIN(AG$6-$E$3,22))),0))-IF($G$2,0,IF((AG$6-$G$3)&lt;1,0,IFERROR(LOOKUP(2,1/(Aveia!$E52:INDEX(Aveia!$E52:$Z52,MIN(AG$6-$G$3,22))&lt;&gt;""),Aveia!$E52:INDEX(Aveia!$E52:$Z52,MIN(AG$6-$G$3,22))),0)))))</f>
        <v>0</v>
      </c>
      <c r="AH54" s="27" t="n">
        <f aca="false">IF(COUNT(Aveia!$E52:$Z52)=0,0,MAX(0,IF((AH$6-$E$3)&lt;1,0,IFERROR(LOOKUP(2,1/(Aveia!$E52:INDEX(Aveia!$E52:$Z52,MIN(AH$6-$E$3,22))&lt;&gt;""),Aveia!$E52:INDEX(Aveia!$E52:$Z52,MIN(AH$6-$E$3,22))),0))-IF($G$2,0,IF((AH$6-$G$3)&lt;1,0,IFERROR(LOOKUP(2,1/(Aveia!$E52:INDEX(Aveia!$E52:$Z52,MIN(AH$6-$G$3,22))&lt;&gt;""),Aveia!$E52:INDEX(Aveia!$E52:$Z52,MIN(AH$6-$G$3,22))),0)))))</f>
        <v>0</v>
      </c>
      <c r="AI54" s="27" t="n">
        <f aca="false">IF(COUNT(Aveia!$E52:$Z52)=0,0,MAX(0,IF((AI$6-$E$3)&lt;1,0,IFERROR(LOOKUP(2,1/(Aveia!$E52:INDEX(Aveia!$E52:$Z52,MIN(AI$6-$E$3,22))&lt;&gt;""),Aveia!$E52:INDEX(Aveia!$E52:$Z52,MIN(AI$6-$E$3,22))),0))-IF($G$2,0,IF((AI$6-$G$3)&lt;1,0,IFERROR(LOOKUP(2,1/(Aveia!$E52:INDEX(Aveia!$E52:$Z52,MIN(AI$6-$G$3,22))&lt;&gt;""),Aveia!$E52:INDEX(Aveia!$E52:$Z52,MIN(AI$6-$G$3,22))),0)))))</f>
        <v>0</v>
      </c>
      <c r="AJ54" s="27" t="n">
        <f aca="false">IF(COUNT(Aveia!$E52:$Z52)=0,0,MAX(0,IF((AJ$6-$E$3)&lt;1,0,IFERROR(LOOKUP(2,1/(Aveia!$E52:INDEX(Aveia!$E52:$Z52,MIN(AJ$6-$E$3,22))&lt;&gt;""),Aveia!$E52:INDEX(Aveia!$E52:$Z52,MIN(AJ$6-$E$3,22))),0))-IF($G$2,0,IF((AJ$6-$G$3)&lt;1,0,IFERROR(LOOKUP(2,1/(Aveia!$E52:INDEX(Aveia!$E52:$Z52,MIN(AJ$6-$G$3,22))&lt;&gt;""),Aveia!$E52:INDEX(Aveia!$E52:$Z52,MIN(AJ$6-$G$3,22))),0)))))</f>
        <v>0</v>
      </c>
      <c r="AK54" s="27" t="n">
        <f aca="false">IF(COUNT(Aveia!$E52:$Z52)=0,0,MAX(0,IF((AK$6-$E$3)&lt;1,0,IFERROR(LOOKUP(2,1/(Aveia!$E52:INDEX(Aveia!$E52:$Z52,MIN(AK$6-$E$3,22))&lt;&gt;""),Aveia!$E52:INDEX(Aveia!$E52:$Z52,MIN(AK$6-$E$3,22))),0))-IF($G$2,0,IF((AK$6-$G$3)&lt;1,0,IFERROR(LOOKUP(2,1/(Aveia!$E52:INDEX(Aveia!$E52:$Z52,MIN(AK$6-$G$3,22))&lt;&gt;""),Aveia!$E52:INDEX(Aveia!$E52:$Z52,MIN(AK$6-$G$3,22))),0)))))</f>
        <v>0</v>
      </c>
      <c r="AL54" s="27" t="n">
        <f aca="false">IF(COUNT(Aveia!$E52:$Z52)=0,0,MAX(0,IF((AL$6-$E$3)&lt;1,0,IFERROR(LOOKUP(2,1/(Aveia!$E52:INDEX(Aveia!$E52:$Z52,MIN(AL$6-$E$3,22))&lt;&gt;""),Aveia!$E52:INDEX(Aveia!$E52:$Z52,MIN(AL$6-$E$3,22))),0))-IF($G$2,0,IF((AL$6-$G$3)&lt;1,0,IFERROR(LOOKUP(2,1/(Aveia!$E52:INDEX(Aveia!$E52:$Z52,MIN(AL$6-$G$3,22))&lt;&gt;""),Aveia!$E52:INDEX(Aveia!$E52:$Z52,MIN(AL$6-$G$3,22))),0)))))</f>
        <v>0</v>
      </c>
      <c r="AM54" s="27" t="n">
        <f aca="false">IF(COUNT(Aveia!$E52:$Z52)=0,0,MAX(0,IF((AM$6-$E$3)&lt;1,0,IFERROR(LOOKUP(2,1/(Aveia!$E52:INDEX(Aveia!$E52:$Z52,MIN(AM$6-$E$3,22))&lt;&gt;""),Aveia!$E52:INDEX(Aveia!$E52:$Z52,MIN(AM$6-$E$3,22))),0))-IF($G$2,0,IF((AM$6-$G$3)&lt;1,0,IFERROR(LOOKUP(2,1/(Aveia!$E52:INDEX(Aveia!$E52:$Z52,MIN(AM$6-$G$3,22))&lt;&gt;""),Aveia!$E52:INDEX(Aveia!$E52:$Z52,MIN(AM$6-$G$3,22))),0)))))</f>
        <v>0</v>
      </c>
      <c r="AN54" s="27" t="n">
        <f aca="false">IF(COUNT(Aveia!$E52:$Z52)=0,0,MAX(0,IF((AN$6-$E$3)&lt;1,0,IFERROR(LOOKUP(2,1/(Aveia!$E52:INDEX(Aveia!$E52:$Z52,MIN(AN$6-$E$3,22))&lt;&gt;""),Aveia!$E52:INDEX(Aveia!$E52:$Z52,MIN(AN$6-$E$3,22))),0))-IF($G$2,0,IF((AN$6-$G$3)&lt;1,0,IFERROR(LOOKUP(2,1/(Aveia!$E52:INDEX(Aveia!$E52:$Z52,MIN(AN$6-$G$3,22))&lt;&gt;""),Aveia!$E52:INDEX(Aveia!$E52:$Z52,MIN(AN$6-$G$3,22))),0)))))</f>
        <v>0</v>
      </c>
      <c r="AO54" s="27" t="n">
        <f aca="false">IF(COUNT(Aveia!$E52:$Z52)=0,0,MAX(0,IF((AO$6-$E$3)&lt;1,0,IFERROR(LOOKUP(2,1/(Aveia!$E52:INDEX(Aveia!$E52:$Z52,MIN(AO$6-$E$3,22))&lt;&gt;""),Aveia!$E52:INDEX(Aveia!$E52:$Z52,MIN(AO$6-$E$3,22))),0))-IF($G$2,0,IF((AO$6-$G$3)&lt;1,0,IFERROR(LOOKUP(2,1/(Aveia!$E52:INDEX(Aveia!$E52:$Z52,MIN(AO$6-$G$3,22))&lt;&gt;""),Aveia!$E52:INDEX(Aveia!$E52:$Z52,MIN(AO$6-$G$3,22))),0)))))</f>
        <v>0</v>
      </c>
      <c r="AP54" s="27" t="n">
        <f aca="false">IF(COUNT(Aveia!$E52:$Z52)=0,0,MAX(0,IF((AP$6-$E$3)&lt;1,0,IFERROR(LOOKUP(2,1/(Aveia!$E52:INDEX(Aveia!$E52:$Z52,MIN(AP$6-$E$3,22))&lt;&gt;""),Aveia!$E52:INDEX(Aveia!$E52:$Z52,MIN(AP$6-$E$3,22))),0))-IF($G$2,0,IF((AP$6-$G$3)&lt;1,0,IFERROR(LOOKUP(2,1/(Aveia!$E52:INDEX(Aveia!$E52:$Z52,MIN(AP$6-$G$3,22))&lt;&gt;""),Aveia!$E52:INDEX(Aveia!$E52:$Z52,MIN(AP$6-$G$3,22))),0)))))</f>
        <v>0</v>
      </c>
      <c r="AQ54" s="27" t="n">
        <f aca="false">IF(COUNT(Aveia!$E52:$Z52)=0,0,MAX(0,IF((AQ$6-$E$3)&lt;1,0,IFERROR(LOOKUP(2,1/(Aveia!$E52:INDEX(Aveia!$E52:$Z52,MIN(AQ$6-$E$3,22))&lt;&gt;""),Aveia!$E52:INDEX(Aveia!$E52:$Z52,MIN(AQ$6-$E$3,22))),0))-IF($G$2,0,IF((AQ$6-$G$3)&lt;1,0,IFERROR(LOOKUP(2,1/(Aveia!$E52:INDEX(Aveia!$E52:$Z52,MIN(AQ$6-$G$3,22))&lt;&gt;""),Aveia!$E52:INDEX(Aveia!$E52:$Z52,MIN(AQ$6-$G$3,22))),0)))))</f>
        <v>0</v>
      </c>
      <c r="AR54" s="27" t="n">
        <f aca="false">IF(COUNT(Aveia!$E52:$Z52)=0,0,MAX(0,IF((AR$6-$E$3)&lt;1,0,IFERROR(LOOKUP(2,1/(Aveia!$E52:INDEX(Aveia!$E52:$Z52,MIN(AR$6-$E$3,22))&lt;&gt;""),Aveia!$E52:INDEX(Aveia!$E52:$Z52,MIN(AR$6-$E$3,22))),0))-IF($G$2,0,IF((AR$6-$G$3)&lt;1,0,IFERROR(LOOKUP(2,1/(Aveia!$E52:INDEX(Aveia!$E52:$Z52,MIN(AR$6-$G$3,22))&lt;&gt;""),Aveia!$E52:INDEX(Aveia!$E52:$Z52,MIN(AR$6-$G$3,22))),0)))))</f>
        <v>0</v>
      </c>
      <c r="AS54" s="27" t="n">
        <f aca="false">IF(COUNT(Aveia!$E52:$Z52)=0,0,MAX(0,IF((AS$6-$E$3)&lt;1,0,IFERROR(LOOKUP(2,1/(Aveia!$E52:INDEX(Aveia!$E52:$Z52,MIN(AS$6-$E$3,22))&lt;&gt;""),Aveia!$E52:INDEX(Aveia!$E52:$Z52,MIN(AS$6-$E$3,22))),0))-IF($G$2,0,IF((AS$6-$G$3)&lt;1,0,IFERROR(LOOKUP(2,1/(Aveia!$E52:INDEX(Aveia!$E52:$Z52,MIN(AS$6-$G$3,22))&lt;&gt;""),Aveia!$E52:INDEX(Aveia!$E52:$Z52,MIN(AS$6-$G$3,22))),0)))))</f>
        <v>0</v>
      </c>
      <c r="AT54" s="27" t="n">
        <f aca="false">IF(COUNT(Aveia!$E52:$Z52)=0,0,MAX(0,IF((AT$6-$E$3)&lt;1,0,IFERROR(LOOKUP(2,1/(Aveia!$E52:INDEX(Aveia!$E52:$Z52,MIN(AT$6-$E$3,22))&lt;&gt;""),Aveia!$E52:INDEX(Aveia!$E52:$Z52,MIN(AT$6-$E$3,22))),0))-IF($G$2,0,IF((AT$6-$G$3)&lt;1,0,IFERROR(LOOKUP(2,1/(Aveia!$E52:INDEX(Aveia!$E52:$Z52,MIN(AT$6-$G$3,22))&lt;&gt;""),Aveia!$E52:INDEX(Aveia!$E52:$Z52,MIN(AT$6-$G$3,22))),0)))))</f>
        <v>0</v>
      </c>
      <c r="AU54" s="27" t="n">
        <f aca="false">IF(COUNT(Aveia!$E52:$Z52)=0,0,MAX(0,IF((AU$6-$E$3)&lt;1,0,IFERROR(LOOKUP(2,1/(Aveia!$E52:INDEX(Aveia!$E52:$Z52,MIN(AU$6-$E$3,22))&lt;&gt;""),Aveia!$E52:INDEX(Aveia!$E52:$Z52,MIN(AU$6-$E$3,22))),0))-IF($G$2,0,IF((AU$6-$G$3)&lt;1,0,IFERROR(LOOKUP(2,1/(Aveia!$E52:INDEX(Aveia!$E52:$Z52,MIN(AU$6-$G$3,22))&lt;&gt;""),Aveia!$E52:INDEX(Aveia!$E52:$Z52,MIN(AU$6-$G$3,22))),0)))))</f>
        <v>0</v>
      </c>
      <c r="AV54" s="27" t="n">
        <f aca="false">IF(COUNT(Aveia!$E52:$Z52)=0,0,MAX(0,IF((AV$6-$E$3)&lt;1,0,IFERROR(LOOKUP(2,1/(Aveia!$E52:INDEX(Aveia!$E52:$Z52,MIN(AV$6-$E$3,22))&lt;&gt;""),Aveia!$E52:INDEX(Aveia!$E52:$Z52,MIN(AV$6-$E$3,22))),0))-IF($G$2,0,IF((AV$6-$G$3)&lt;1,0,IFERROR(LOOKUP(2,1/(Aveia!$E52:INDEX(Aveia!$E52:$Z52,MIN(AV$6-$G$3,22))&lt;&gt;""),Aveia!$E52:INDEX(Aveia!$E52:$Z52,MIN(AV$6-$G$3,22))),0)))))</f>
        <v>0</v>
      </c>
      <c r="AW54" s="27" t="n">
        <f aca="false">IF(COUNT(Aveia!$E52:$Z52)=0,0,MAX(0,IF((AW$6-$E$3)&lt;1,0,IFERROR(LOOKUP(2,1/(Aveia!$E52:INDEX(Aveia!$E52:$Z52,MIN(AW$6-$E$3,22))&lt;&gt;""),Aveia!$E52:INDEX(Aveia!$E52:$Z52,MIN(AW$6-$E$3,22))),0))-IF($G$2,0,IF((AW$6-$G$3)&lt;1,0,IFERROR(LOOKUP(2,1/(Aveia!$E52:INDEX(Aveia!$E52:$Z52,MIN(AW$6-$G$3,22))&lt;&gt;""),Aveia!$E52:INDEX(Aveia!$E52:$Z52,MIN(AW$6-$G$3,22))),0)))))</f>
        <v>0</v>
      </c>
      <c r="AX54" s="27" t="n">
        <f aca="false">IF(COUNT(Aveia!$E52:$Z52)=0,0,MAX(0,IF((AX$6-$E$3)&lt;1,0,IFERROR(LOOKUP(2,1/(Aveia!$E52:INDEX(Aveia!$E52:$Z52,MIN(AX$6-$E$3,22))&lt;&gt;""),Aveia!$E52:INDEX(Aveia!$E52:$Z52,MIN(AX$6-$E$3,22))),0))-IF($G$2,0,IF((AX$6-$G$3)&lt;1,0,IFERROR(LOOKUP(2,1/(Aveia!$E52:INDEX(Aveia!$E52:$Z52,MIN(AX$6-$G$3,22))&lt;&gt;""),Aveia!$E52:INDEX(Aveia!$E52:$Z52,MIN(AX$6-$G$3,22))),0)))))</f>
        <v>0</v>
      </c>
      <c r="AY54" s="27" t="n">
        <f aca="false">IF(COUNT(Aveia!$E52:$Z52)=0,0,MAX(0,IF((AY$6-$E$3)&lt;1,0,IFERROR(LOOKUP(2,1/(Aveia!$E52:INDEX(Aveia!$E52:$Z52,MIN(AY$6-$E$3,22))&lt;&gt;""),Aveia!$E52:INDEX(Aveia!$E52:$Z52,MIN(AY$6-$E$3,22))),0))-IF($G$2,0,IF((AY$6-$G$3)&lt;1,0,IFERROR(LOOKUP(2,1/(Aveia!$E52:INDEX(Aveia!$E52:$Z52,MIN(AY$6-$G$3,22))&lt;&gt;""),Aveia!$E52:INDEX(Aveia!$E52:$Z52,MIN(AY$6-$G$3,22))),0)))))</f>
        <v>0</v>
      </c>
      <c r="AZ54" s="27" t="n">
        <f aca="false">IF(COUNT(Aveia!$E52:$Z52)=0,0,MAX(0,IF((AZ$6-$E$3)&lt;1,0,IFERROR(LOOKUP(2,1/(Aveia!$E52:INDEX(Aveia!$E52:$Z52,MIN(AZ$6-$E$3,22))&lt;&gt;""),Aveia!$E52:INDEX(Aveia!$E52:$Z52,MIN(AZ$6-$E$3,22))),0))-IF($G$2,0,IF((AZ$6-$G$3)&lt;1,0,IFERROR(LOOKUP(2,1/(Aveia!$E52:INDEX(Aveia!$E52:$Z52,MIN(AZ$6-$G$3,22))&lt;&gt;""),Aveia!$E52:INDEX(Aveia!$E52:$Z52,MIN(AZ$6-$G$3,22))),0)))))</f>
        <v>0</v>
      </c>
    </row>
    <row r="55" customFormat="false" ht="15" hidden="false" customHeight="false" outlineLevel="0" collapsed="false">
      <c r="A55" s="3" t="s">
        <v>230</v>
      </c>
      <c r="B55" s="3" t="s">
        <v>231</v>
      </c>
      <c r="C55" s="10" t="s">
        <v>172</v>
      </c>
      <c r="D55" s="26" t="n">
        <f aca="false">IF(COUNT(Aveia!$E53:$Z53)&gt;0,N(Aveia!$D53),0)</f>
        <v>0</v>
      </c>
      <c r="E55" s="27" t="n">
        <f aca="false">IF(COUNT(Aveia!$E53:$Z53)=0,0,MAX(0,IF((E$6-$E$3)&lt;1,0,IFERROR(LOOKUP(2,1/(Aveia!$E53:INDEX(Aveia!$E53:$Z53,MIN(E$6-$E$3,22))&lt;&gt;""),Aveia!$E53:INDEX(Aveia!$E53:$Z53,MIN(E$6-$E$3,22))),0))-IF($G$2,0,IF((E$6-$G$3)&lt;1,0,IFERROR(LOOKUP(2,1/(Aveia!$E53:INDEX(Aveia!$E53:$Z53,MIN(E$6-$G$3,22))&lt;&gt;""),Aveia!$E53:INDEX(Aveia!$E53:$Z53,MIN(E$6-$G$3,22))),0)))))</f>
        <v>0</v>
      </c>
      <c r="F55" s="27" t="n">
        <f aca="false">IF(COUNT(Aveia!$E53:$Z53)=0,0,MAX(0,IF((F$6-$E$3)&lt;1,0,IFERROR(LOOKUP(2,1/(Aveia!$E53:INDEX(Aveia!$E53:$Z53,MIN(F$6-$E$3,22))&lt;&gt;""),Aveia!$E53:INDEX(Aveia!$E53:$Z53,MIN(F$6-$E$3,22))),0))-IF($G$2,0,IF((F$6-$G$3)&lt;1,0,IFERROR(LOOKUP(2,1/(Aveia!$E53:INDEX(Aveia!$E53:$Z53,MIN(F$6-$G$3,22))&lt;&gt;""),Aveia!$E53:INDEX(Aveia!$E53:$Z53,MIN(F$6-$G$3,22))),0)))))</f>
        <v>0</v>
      </c>
      <c r="G55" s="27" t="n">
        <f aca="false">IF(COUNT(Aveia!$E53:$Z53)=0,0,MAX(0,IF((G$6-$E$3)&lt;1,0,IFERROR(LOOKUP(2,1/(Aveia!$E53:INDEX(Aveia!$E53:$Z53,MIN(G$6-$E$3,22))&lt;&gt;""),Aveia!$E53:INDEX(Aveia!$E53:$Z53,MIN(G$6-$E$3,22))),0))-IF($G$2,0,IF((G$6-$G$3)&lt;1,0,IFERROR(LOOKUP(2,1/(Aveia!$E53:INDEX(Aveia!$E53:$Z53,MIN(G$6-$G$3,22))&lt;&gt;""),Aveia!$E53:INDEX(Aveia!$E53:$Z53,MIN(G$6-$G$3,22))),0)))))</f>
        <v>0</v>
      </c>
      <c r="H55" s="27" t="n">
        <f aca="false">IF(COUNT(Aveia!$E53:$Z53)=0,0,MAX(0,IF((H$6-$E$3)&lt;1,0,IFERROR(LOOKUP(2,1/(Aveia!$E53:INDEX(Aveia!$E53:$Z53,MIN(H$6-$E$3,22))&lt;&gt;""),Aveia!$E53:INDEX(Aveia!$E53:$Z53,MIN(H$6-$E$3,22))),0))-IF($G$2,0,IF((H$6-$G$3)&lt;1,0,IFERROR(LOOKUP(2,1/(Aveia!$E53:INDEX(Aveia!$E53:$Z53,MIN(H$6-$G$3,22))&lt;&gt;""),Aveia!$E53:INDEX(Aveia!$E53:$Z53,MIN(H$6-$G$3,22))),0)))))</f>
        <v>0</v>
      </c>
      <c r="I55" s="27" t="n">
        <f aca="false">IF(COUNT(Aveia!$E53:$Z53)=0,0,MAX(0,IF((I$6-$E$3)&lt;1,0,IFERROR(LOOKUP(2,1/(Aveia!$E53:INDEX(Aveia!$E53:$Z53,MIN(I$6-$E$3,22))&lt;&gt;""),Aveia!$E53:INDEX(Aveia!$E53:$Z53,MIN(I$6-$E$3,22))),0))-IF($G$2,0,IF((I$6-$G$3)&lt;1,0,IFERROR(LOOKUP(2,1/(Aveia!$E53:INDEX(Aveia!$E53:$Z53,MIN(I$6-$G$3,22))&lt;&gt;""),Aveia!$E53:INDEX(Aveia!$E53:$Z53,MIN(I$6-$G$3,22))),0)))))</f>
        <v>0</v>
      </c>
      <c r="J55" s="27" t="n">
        <f aca="false">IF(COUNT(Aveia!$E53:$Z53)=0,0,MAX(0,IF((J$6-$E$3)&lt;1,0,IFERROR(LOOKUP(2,1/(Aveia!$E53:INDEX(Aveia!$E53:$Z53,MIN(J$6-$E$3,22))&lt;&gt;""),Aveia!$E53:INDEX(Aveia!$E53:$Z53,MIN(J$6-$E$3,22))),0))-IF($G$2,0,IF((J$6-$G$3)&lt;1,0,IFERROR(LOOKUP(2,1/(Aveia!$E53:INDEX(Aveia!$E53:$Z53,MIN(J$6-$G$3,22))&lt;&gt;""),Aveia!$E53:INDEX(Aveia!$E53:$Z53,MIN(J$6-$G$3,22))),0)))))</f>
        <v>0</v>
      </c>
      <c r="K55" s="27" t="n">
        <f aca="false">IF(COUNT(Aveia!$E53:$Z53)=0,0,MAX(0,IF((K$6-$E$3)&lt;1,0,IFERROR(LOOKUP(2,1/(Aveia!$E53:INDEX(Aveia!$E53:$Z53,MIN(K$6-$E$3,22))&lt;&gt;""),Aveia!$E53:INDEX(Aveia!$E53:$Z53,MIN(K$6-$E$3,22))),0))-IF($G$2,0,IF((K$6-$G$3)&lt;1,0,IFERROR(LOOKUP(2,1/(Aveia!$E53:INDEX(Aveia!$E53:$Z53,MIN(K$6-$G$3,22))&lt;&gt;""),Aveia!$E53:INDEX(Aveia!$E53:$Z53,MIN(K$6-$G$3,22))),0)))))</f>
        <v>0</v>
      </c>
      <c r="L55" s="27" t="n">
        <f aca="false">IF(COUNT(Aveia!$E53:$Z53)=0,0,MAX(0,IF((L$6-$E$3)&lt;1,0,IFERROR(LOOKUP(2,1/(Aveia!$E53:INDEX(Aveia!$E53:$Z53,MIN(L$6-$E$3,22))&lt;&gt;""),Aveia!$E53:INDEX(Aveia!$E53:$Z53,MIN(L$6-$E$3,22))),0))-IF($G$2,0,IF((L$6-$G$3)&lt;1,0,IFERROR(LOOKUP(2,1/(Aveia!$E53:INDEX(Aveia!$E53:$Z53,MIN(L$6-$G$3,22))&lt;&gt;""),Aveia!$E53:INDEX(Aveia!$E53:$Z53,MIN(L$6-$G$3,22))),0)))))</f>
        <v>0</v>
      </c>
      <c r="M55" s="27" t="n">
        <f aca="false">IF(COUNT(Aveia!$E53:$Z53)=0,0,MAX(0,IF((M$6-$E$3)&lt;1,0,IFERROR(LOOKUP(2,1/(Aveia!$E53:INDEX(Aveia!$E53:$Z53,MIN(M$6-$E$3,22))&lt;&gt;""),Aveia!$E53:INDEX(Aveia!$E53:$Z53,MIN(M$6-$E$3,22))),0))-IF($G$2,0,IF((M$6-$G$3)&lt;1,0,IFERROR(LOOKUP(2,1/(Aveia!$E53:INDEX(Aveia!$E53:$Z53,MIN(M$6-$G$3,22))&lt;&gt;""),Aveia!$E53:INDEX(Aveia!$E53:$Z53,MIN(M$6-$G$3,22))),0)))))</f>
        <v>0</v>
      </c>
      <c r="N55" s="27" t="n">
        <f aca="false">IF(COUNT(Aveia!$E53:$Z53)=0,0,MAX(0,IF((N$6-$E$3)&lt;1,0,IFERROR(LOOKUP(2,1/(Aveia!$E53:INDEX(Aveia!$E53:$Z53,MIN(N$6-$E$3,22))&lt;&gt;""),Aveia!$E53:INDEX(Aveia!$E53:$Z53,MIN(N$6-$E$3,22))),0))-IF($G$2,0,IF((N$6-$G$3)&lt;1,0,IFERROR(LOOKUP(2,1/(Aveia!$E53:INDEX(Aveia!$E53:$Z53,MIN(N$6-$G$3,22))&lt;&gt;""),Aveia!$E53:INDEX(Aveia!$E53:$Z53,MIN(N$6-$G$3,22))),0)))))</f>
        <v>0</v>
      </c>
      <c r="O55" s="27" t="n">
        <f aca="false">IF(COUNT(Aveia!$E53:$Z53)=0,0,MAX(0,IF((O$6-$E$3)&lt;1,0,IFERROR(LOOKUP(2,1/(Aveia!$E53:INDEX(Aveia!$E53:$Z53,MIN(O$6-$E$3,22))&lt;&gt;""),Aveia!$E53:INDEX(Aveia!$E53:$Z53,MIN(O$6-$E$3,22))),0))-IF($G$2,0,IF((O$6-$G$3)&lt;1,0,IFERROR(LOOKUP(2,1/(Aveia!$E53:INDEX(Aveia!$E53:$Z53,MIN(O$6-$G$3,22))&lt;&gt;""),Aveia!$E53:INDEX(Aveia!$E53:$Z53,MIN(O$6-$G$3,22))),0)))))</f>
        <v>0</v>
      </c>
      <c r="P55" s="27" t="n">
        <f aca="false">IF(COUNT(Aveia!$E53:$Z53)=0,0,MAX(0,IF((P$6-$E$3)&lt;1,0,IFERROR(LOOKUP(2,1/(Aveia!$E53:INDEX(Aveia!$E53:$Z53,MIN(P$6-$E$3,22))&lt;&gt;""),Aveia!$E53:INDEX(Aveia!$E53:$Z53,MIN(P$6-$E$3,22))),0))-IF($G$2,0,IF((P$6-$G$3)&lt;1,0,IFERROR(LOOKUP(2,1/(Aveia!$E53:INDEX(Aveia!$E53:$Z53,MIN(P$6-$G$3,22))&lt;&gt;""),Aveia!$E53:INDEX(Aveia!$E53:$Z53,MIN(P$6-$G$3,22))),0)))))</f>
        <v>0</v>
      </c>
      <c r="Q55" s="27" t="n">
        <f aca="false">IF(COUNT(Aveia!$E53:$Z53)=0,0,MAX(0,IF((Q$6-$E$3)&lt;1,0,IFERROR(LOOKUP(2,1/(Aveia!$E53:INDEX(Aveia!$E53:$Z53,MIN(Q$6-$E$3,22))&lt;&gt;""),Aveia!$E53:INDEX(Aveia!$E53:$Z53,MIN(Q$6-$E$3,22))),0))-IF($G$2,0,IF((Q$6-$G$3)&lt;1,0,IFERROR(LOOKUP(2,1/(Aveia!$E53:INDEX(Aveia!$E53:$Z53,MIN(Q$6-$G$3,22))&lt;&gt;""),Aveia!$E53:INDEX(Aveia!$E53:$Z53,MIN(Q$6-$G$3,22))),0)))))</f>
        <v>0</v>
      </c>
      <c r="R55" s="27" t="n">
        <f aca="false">IF(COUNT(Aveia!$E53:$Z53)=0,0,MAX(0,IF((R$6-$E$3)&lt;1,0,IFERROR(LOOKUP(2,1/(Aveia!$E53:INDEX(Aveia!$E53:$Z53,MIN(R$6-$E$3,22))&lt;&gt;""),Aveia!$E53:INDEX(Aveia!$E53:$Z53,MIN(R$6-$E$3,22))),0))-IF($G$2,0,IF((R$6-$G$3)&lt;1,0,IFERROR(LOOKUP(2,1/(Aveia!$E53:INDEX(Aveia!$E53:$Z53,MIN(R$6-$G$3,22))&lt;&gt;""),Aveia!$E53:INDEX(Aveia!$E53:$Z53,MIN(R$6-$G$3,22))),0)))))</f>
        <v>0</v>
      </c>
      <c r="S55" s="27" t="n">
        <f aca="false">IF(COUNT(Aveia!$E53:$Z53)=0,0,MAX(0,IF((S$6-$E$3)&lt;1,0,IFERROR(LOOKUP(2,1/(Aveia!$E53:INDEX(Aveia!$E53:$Z53,MIN(S$6-$E$3,22))&lt;&gt;""),Aveia!$E53:INDEX(Aveia!$E53:$Z53,MIN(S$6-$E$3,22))),0))-IF($G$2,0,IF((S$6-$G$3)&lt;1,0,IFERROR(LOOKUP(2,1/(Aveia!$E53:INDEX(Aveia!$E53:$Z53,MIN(S$6-$G$3,22))&lt;&gt;""),Aveia!$E53:INDEX(Aveia!$E53:$Z53,MIN(S$6-$G$3,22))),0)))))</f>
        <v>0</v>
      </c>
      <c r="T55" s="27" t="n">
        <f aca="false">IF(COUNT(Aveia!$E53:$Z53)=0,0,MAX(0,IF((T$6-$E$3)&lt;1,0,IFERROR(LOOKUP(2,1/(Aveia!$E53:INDEX(Aveia!$E53:$Z53,MIN(T$6-$E$3,22))&lt;&gt;""),Aveia!$E53:INDEX(Aveia!$E53:$Z53,MIN(T$6-$E$3,22))),0))-IF($G$2,0,IF((T$6-$G$3)&lt;1,0,IFERROR(LOOKUP(2,1/(Aveia!$E53:INDEX(Aveia!$E53:$Z53,MIN(T$6-$G$3,22))&lt;&gt;""),Aveia!$E53:INDEX(Aveia!$E53:$Z53,MIN(T$6-$G$3,22))),0)))))</f>
        <v>0</v>
      </c>
      <c r="U55" s="27" t="n">
        <f aca="false">IF(COUNT(Aveia!$E53:$Z53)=0,0,MAX(0,IF((U$6-$E$3)&lt;1,0,IFERROR(LOOKUP(2,1/(Aveia!$E53:INDEX(Aveia!$E53:$Z53,MIN(U$6-$E$3,22))&lt;&gt;""),Aveia!$E53:INDEX(Aveia!$E53:$Z53,MIN(U$6-$E$3,22))),0))-IF($G$2,0,IF((U$6-$G$3)&lt;1,0,IFERROR(LOOKUP(2,1/(Aveia!$E53:INDEX(Aveia!$E53:$Z53,MIN(U$6-$G$3,22))&lt;&gt;""),Aveia!$E53:INDEX(Aveia!$E53:$Z53,MIN(U$6-$G$3,22))),0)))))</f>
        <v>0</v>
      </c>
      <c r="V55" s="27" t="n">
        <f aca="false">IF(COUNT(Aveia!$E53:$Z53)=0,0,MAX(0,IF((V$6-$E$3)&lt;1,0,IFERROR(LOOKUP(2,1/(Aveia!$E53:INDEX(Aveia!$E53:$Z53,MIN(V$6-$E$3,22))&lt;&gt;""),Aveia!$E53:INDEX(Aveia!$E53:$Z53,MIN(V$6-$E$3,22))),0))-IF($G$2,0,IF((V$6-$G$3)&lt;1,0,IFERROR(LOOKUP(2,1/(Aveia!$E53:INDEX(Aveia!$E53:$Z53,MIN(V$6-$G$3,22))&lt;&gt;""),Aveia!$E53:INDEX(Aveia!$E53:$Z53,MIN(V$6-$G$3,22))),0)))))</f>
        <v>0</v>
      </c>
      <c r="W55" s="27" t="n">
        <f aca="false">IF(COUNT(Aveia!$E53:$Z53)=0,0,MAX(0,IF((W$6-$E$3)&lt;1,0,IFERROR(LOOKUP(2,1/(Aveia!$E53:INDEX(Aveia!$E53:$Z53,MIN(W$6-$E$3,22))&lt;&gt;""),Aveia!$E53:INDEX(Aveia!$E53:$Z53,MIN(W$6-$E$3,22))),0))-IF($G$2,0,IF((W$6-$G$3)&lt;1,0,IFERROR(LOOKUP(2,1/(Aveia!$E53:INDEX(Aveia!$E53:$Z53,MIN(W$6-$G$3,22))&lt;&gt;""),Aveia!$E53:INDEX(Aveia!$E53:$Z53,MIN(W$6-$G$3,22))),0)))))</f>
        <v>0</v>
      </c>
      <c r="X55" s="27" t="n">
        <f aca="false">IF(COUNT(Aveia!$E53:$Z53)=0,0,MAX(0,IF((X$6-$E$3)&lt;1,0,IFERROR(LOOKUP(2,1/(Aveia!$E53:INDEX(Aveia!$E53:$Z53,MIN(X$6-$E$3,22))&lt;&gt;""),Aveia!$E53:INDEX(Aveia!$E53:$Z53,MIN(X$6-$E$3,22))),0))-IF($G$2,0,IF((X$6-$G$3)&lt;1,0,IFERROR(LOOKUP(2,1/(Aveia!$E53:INDEX(Aveia!$E53:$Z53,MIN(X$6-$G$3,22))&lt;&gt;""),Aveia!$E53:INDEX(Aveia!$E53:$Z53,MIN(X$6-$G$3,22))),0)))))</f>
        <v>0</v>
      </c>
      <c r="Y55" s="27" t="n">
        <f aca="false">IF(COUNT(Aveia!$E53:$Z53)=0,0,MAX(0,IF((Y$6-$E$3)&lt;1,0,IFERROR(LOOKUP(2,1/(Aveia!$E53:INDEX(Aveia!$E53:$Z53,MIN(Y$6-$E$3,22))&lt;&gt;""),Aveia!$E53:INDEX(Aveia!$E53:$Z53,MIN(Y$6-$E$3,22))),0))-IF($G$2,0,IF((Y$6-$G$3)&lt;1,0,IFERROR(LOOKUP(2,1/(Aveia!$E53:INDEX(Aveia!$E53:$Z53,MIN(Y$6-$G$3,22))&lt;&gt;""),Aveia!$E53:INDEX(Aveia!$E53:$Z53,MIN(Y$6-$G$3,22))),0)))))</f>
        <v>0</v>
      </c>
      <c r="Z55" s="27" t="n">
        <f aca="false">IF(COUNT(Aveia!$E53:$Z53)=0,0,MAX(0,IF((Z$6-$E$3)&lt;1,0,IFERROR(LOOKUP(2,1/(Aveia!$E53:INDEX(Aveia!$E53:$Z53,MIN(Z$6-$E$3,22))&lt;&gt;""),Aveia!$E53:INDEX(Aveia!$E53:$Z53,MIN(Z$6-$E$3,22))),0))-IF($G$2,0,IF((Z$6-$G$3)&lt;1,0,IFERROR(LOOKUP(2,1/(Aveia!$E53:INDEX(Aveia!$E53:$Z53,MIN(Z$6-$G$3,22))&lt;&gt;""),Aveia!$E53:INDEX(Aveia!$E53:$Z53,MIN(Z$6-$G$3,22))),0)))))</f>
        <v>0</v>
      </c>
      <c r="AA55" s="27" t="n">
        <f aca="false">IF(COUNT(Aveia!$E53:$Z53)=0,0,MAX(0,IF((AA$6-$E$3)&lt;1,0,IFERROR(LOOKUP(2,1/(Aveia!$E53:INDEX(Aveia!$E53:$Z53,MIN(AA$6-$E$3,22))&lt;&gt;""),Aveia!$E53:INDEX(Aveia!$E53:$Z53,MIN(AA$6-$E$3,22))),0))-IF($G$2,0,IF((AA$6-$G$3)&lt;1,0,IFERROR(LOOKUP(2,1/(Aveia!$E53:INDEX(Aveia!$E53:$Z53,MIN(AA$6-$G$3,22))&lt;&gt;""),Aveia!$E53:INDEX(Aveia!$E53:$Z53,MIN(AA$6-$G$3,22))),0)))))</f>
        <v>0</v>
      </c>
      <c r="AB55" s="27" t="n">
        <f aca="false">IF(COUNT(Aveia!$E53:$Z53)=0,0,MAX(0,IF((AB$6-$E$3)&lt;1,0,IFERROR(LOOKUP(2,1/(Aveia!$E53:INDEX(Aveia!$E53:$Z53,MIN(AB$6-$E$3,22))&lt;&gt;""),Aveia!$E53:INDEX(Aveia!$E53:$Z53,MIN(AB$6-$E$3,22))),0))-IF($G$2,0,IF((AB$6-$G$3)&lt;1,0,IFERROR(LOOKUP(2,1/(Aveia!$E53:INDEX(Aveia!$E53:$Z53,MIN(AB$6-$G$3,22))&lt;&gt;""),Aveia!$E53:INDEX(Aveia!$E53:$Z53,MIN(AB$6-$G$3,22))),0)))))</f>
        <v>0</v>
      </c>
      <c r="AC55" s="27" t="n">
        <f aca="false">IF(COUNT(Aveia!$E53:$Z53)=0,0,MAX(0,IF((AC$6-$E$3)&lt;1,0,IFERROR(LOOKUP(2,1/(Aveia!$E53:INDEX(Aveia!$E53:$Z53,MIN(AC$6-$E$3,22))&lt;&gt;""),Aveia!$E53:INDEX(Aveia!$E53:$Z53,MIN(AC$6-$E$3,22))),0))-IF($G$2,0,IF((AC$6-$G$3)&lt;1,0,IFERROR(LOOKUP(2,1/(Aveia!$E53:INDEX(Aveia!$E53:$Z53,MIN(AC$6-$G$3,22))&lt;&gt;""),Aveia!$E53:INDEX(Aveia!$E53:$Z53,MIN(AC$6-$G$3,22))),0)))))</f>
        <v>0</v>
      </c>
      <c r="AD55" s="27" t="n">
        <f aca="false">IF(COUNT(Aveia!$E53:$Z53)=0,0,MAX(0,IF((AD$6-$E$3)&lt;1,0,IFERROR(LOOKUP(2,1/(Aveia!$E53:INDEX(Aveia!$E53:$Z53,MIN(AD$6-$E$3,22))&lt;&gt;""),Aveia!$E53:INDEX(Aveia!$E53:$Z53,MIN(AD$6-$E$3,22))),0))-IF($G$2,0,IF((AD$6-$G$3)&lt;1,0,IFERROR(LOOKUP(2,1/(Aveia!$E53:INDEX(Aveia!$E53:$Z53,MIN(AD$6-$G$3,22))&lt;&gt;""),Aveia!$E53:INDEX(Aveia!$E53:$Z53,MIN(AD$6-$G$3,22))),0)))))</f>
        <v>0</v>
      </c>
      <c r="AE55" s="27" t="n">
        <f aca="false">IF(COUNT(Aveia!$E53:$Z53)=0,0,MAX(0,IF((AE$6-$E$3)&lt;1,0,IFERROR(LOOKUP(2,1/(Aveia!$E53:INDEX(Aveia!$E53:$Z53,MIN(AE$6-$E$3,22))&lt;&gt;""),Aveia!$E53:INDEX(Aveia!$E53:$Z53,MIN(AE$6-$E$3,22))),0))-IF($G$2,0,IF((AE$6-$G$3)&lt;1,0,IFERROR(LOOKUP(2,1/(Aveia!$E53:INDEX(Aveia!$E53:$Z53,MIN(AE$6-$G$3,22))&lt;&gt;""),Aveia!$E53:INDEX(Aveia!$E53:$Z53,MIN(AE$6-$G$3,22))),0)))))</f>
        <v>0</v>
      </c>
      <c r="AF55" s="27" t="n">
        <f aca="false">IF(COUNT(Aveia!$E53:$Z53)=0,0,MAX(0,IF((AF$6-$E$3)&lt;1,0,IFERROR(LOOKUP(2,1/(Aveia!$E53:INDEX(Aveia!$E53:$Z53,MIN(AF$6-$E$3,22))&lt;&gt;""),Aveia!$E53:INDEX(Aveia!$E53:$Z53,MIN(AF$6-$E$3,22))),0))-IF($G$2,0,IF((AF$6-$G$3)&lt;1,0,IFERROR(LOOKUP(2,1/(Aveia!$E53:INDEX(Aveia!$E53:$Z53,MIN(AF$6-$G$3,22))&lt;&gt;""),Aveia!$E53:INDEX(Aveia!$E53:$Z53,MIN(AF$6-$G$3,22))),0)))))</f>
        <v>0</v>
      </c>
      <c r="AG55" s="27" t="n">
        <f aca="false">IF(COUNT(Aveia!$E53:$Z53)=0,0,MAX(0,IF((AG$6-$E$3)&lt;1,0,IFERROR(LOOKUP(2,1/(Aveia!$E53:INDEX(Aveia!$E53:$Z53,MIN(AG$6-$E$3,22))&lt;&gt;""),Aveia!$E53:INDEX(Aveia!$E53:$Z53,MIN(AG$6-$E$3,22))),0))-IF($G$2,0,IF((AG$6-$G$3)&lt;1,0,IFERROR(LOOKUP(2,1/(Aveia!$E53:INDEX(Aveia!$E53:$Z53,MIN(AG$6-$G$3,22))&lt;&gt;""),Aveia!$E53:INDEX(Aveia!$E53:$Z53,MIN(AG$6-$G$3,22))),0)))))</f>
        <v>0</v>
      </c>
      <c r="AH55" s="27" t="n">
        <f aca="false">IF(COUNT(Aveia!$E53:$Z53)=0,0,MAX(0,IF((AH$6-$E$3)&lt;1,0,IFERROR(LOOKUP(2,1/(Aveia!$E53:INDEX(Aveia!$E53:$Z53,MIN(AH$6-$E$3,22))&lt;&gt;""),Aveia!$E53:INDEX(Aveia!$E53:$Z53,MIN(AH$6-$E$3,22))),0))-IF($G$2,0,IF((AH$6-$G$3)&lt;1,0,IFERROR(LOOKUP(2,1/(Aveia!$E53:INDEX(Aveia!$E53:$Z53,MIN(AH$6-$G$3,22))&lt;&gt;""),Aveia!$E53:INDEX(Aveia!$E53:$Z53,MIN(AH$6-$G$3,22))),0)))))</f>
        <v>0</v>
      </c>
      <c r="AI55" s="27" t="n">
        <f aca="false">IF(COUNT(Aveia!$E53:$Z53)=0,0,MAX(0,IF((AI$6-$E$3)&lt;1,0,IFERROR(LOOKUP(2,1/(Aveia!$E53:INDEX(Aveia!$E53:$Z53,MIN(AI$6-$E$3,22))&lt;&gt;""),Aveia!$E53:INDEX(Aveia!$E53:$Z53,MIN(AI$6-$E$3,22))),0))-IF($G$2,0,IF((AI$6-$G$3)&lt;1,0,IFERROR(LOOKUP(2,1/(Aveia!$E53:INDEX(Aveia!$E53:$Z53,MIN(AI$6-$G$3,22))&lt;&gt;""),Aveia!$E53:INDEX(Aveia!$E53:$Z53,MIN(AI$6-$G$3,22))),0)))))</f>
        <v>0</v>
      </c>
      <c r="AJ55" s="27" t="n">
        <f aca="false">IF(COUNT(Aveia!$E53:$Z53)=0,0,MAX(0,IF((AJ$6-$E$3)&lt;1,0,IFERROR(LOOKUP(2,1/(Aveia!$E53:INDEX(Aveia!$E53:$Z53,MIN(AJ$6-$E$3,22))&lt;&gt;""),Aveia!$E53:INDEX(Aveia!$E53:$Z53,MIN(AJ$6-$E$3,22))),0))-IF($G$2,0,IF((AJ$6-$G$3)&lt;1,0,IFERROR(LOOKUP(2,1/(Aveia!$E53:INDEX(Aveia!$E53:$Z53,MIN(AJ$6-$G$3,22))&lt;&gt;""),Aveia!$E53:INDEX(Aveia!$E53:$Z53,MIN(AJ$6-$G$3,22))),0)))))</f>
        <v>0</v>
      </c>
      <c r="AK55" s="27" t="n">
        <f aca="false">IF(COUNT(Aveia!$E53:$Z53)=0,0,MAX(0,IF((AK$6-$E$3)&lt;1,0,IFERROR(LOOKUP(2,1/(Aveia!$E53:INDEX(Aveia!$E53:$Z53,MIN(AK$6-$E$3,22))&lt;&gt;""),Aveia!$E53:INDEX(Aveia!$E53:$Z53,MIN(AK$6-$E$3,22))),0))-IF($G$2,0,IF((AK$6-$G$3)&lt;1,0,IFERROR(LOOKUP(2,1/(Aveia!$E53:INDEX(Aveia!$E53:$Z53,MIN(AK$6-$G$3,22))&lt;&gt;""),Aveia!$E53:INDEX(Aveia!$E53:$Z53,MIN(AK$6-$G$3,22))),0)))))</f>
        <v>0</v>
      </c>
      <c r="AL55" s="27" t="n">
        <f aca="false">IF(COUNT(Aveia!$E53:$Z53)=0,0,MAX(0,IF((AL$6-$E$3)&lt;1,0,IFERROR(LOOKUP(2,1/(Aveia!$E53:INDEX(Aveia!$E53:$Z53,MIN(AL$6-$E$3,22))&lt;&gt;""),Aveia!$E53:INDEX(Aveia!$E53:$Z53,MIN(AL$6-$E$3,22))),0))-IF($G$2,0,IF((AL$6-$G$3)&lt;1,0,IFERROR(LOOKUP(2,1/(Aveia!$E53:INDEX(Aveia!$E53:$Z53,MIN(AL$6-$G$3,22))&lt;&gt;""),Aveia!$E53:INDEX(Aveia!$E53:$Z53,MIN(AL$6-$G$3,22))),0)))))</f>
        <v>0</v>
      </c>
      <c r="AM55" s="27" t="n">
        <f aca="false">IF(COUNT(Aveia!$E53:$Z53)=0,0,MAX(0,IF((AM$6-$E$3)&lt;1,0,IFERROR(LOOKUP(2,1/(Aveia!$E53:INDEX(Aveia!$E53:$Z53,MIN(AM$6-$E$3,22))&lt;&gt;""),Aveia!$E53:INDEX(Aveia!$E53:$Z53,MIN(AM$6-$E$3,22))),0))-IF($G$2,0,IF((AM$6-$G$3)&lt;1,0,IFERROR(LOOKUP(2,1/(Aveia!$E53:INDEX(Aveia!$E53:$Z53,MIN(AM$6-$G$3,22))&lt;&gt;""),Aveia!$E53:INDEX(Aveia!$E53:$Z53,MIN(AM$6-$G$3,22))),0)))))</f>
        <v>0</v>
      </c>
      <c r="AN55" s="27" t="n">
        <f aca="false">IF(COUNT(Aveia!$E53:$Z53)=0,0,MAX(0,IF((AN$6-$E$3)&lt;1,0,IFERROR(LOOKUP(2,1/(Aveia!$E53:INDEX(Aveia!$E53:$Z53,MIN(AN$6-$E$3,22))&lt;&gt;""),Aveia!$E53:INDEX(Aveia!$E53:$Z53,MIN(AN$6-$E$3,22))),0))-IF($G$2,0,IF((AN$6-$G$3)&lt;1,0,IFERROR(LOOKUP(2,1/(Aveia!$E53:INDEX(Aveia!$E53:$Z53,MIN(AN$6-$G$3,22))&lt;&gt;""),Aveia!$E53:INDEX(Aveia!$E53:$Z53,MIN(AN$6-$G$3,22))),0)))))</f>
        <v>0</v>
      </c>
      <c r="AO55" s="27" t="n">
        <f aca="false">IF(COUNT(Aveia!$E53:$Z53)=0,0,MAX(0,IF((AO$6-$E$3)&lt;1,0,IFERROR(LOOKUP(2,1/(Aveia!$E53:INDEX(Aveia!$E53:$Z53,MIN(AO$6-$E$3,22))&lt;&gt;""),Aveia!$E53:INDEX(Aveia!$E53:$Z53,MIN(AO$6-$E$3,22))),0))-IF($G$2,0,IF((AO$6-$G$3)&lt;1,0,IFERROR(LOOKUP(2,1/(Aveia!$E53:INDEX(Aveia!$E53:$Z53,MIN(AO$6-$G$3,22))&lt;&gt;""),Aveia!$E53:INDEX(Aveia!$E53:$Z53,MIN(AO$6-$G$3,22))),0)))))</f>
        <v>0</v>
      </c>
      <c r="AP55" s="27" t="n">
        <f aca="false">IF(COUNT(Aveia!$E53:$Z53)=0,0,MAX(0,IF((AP$6-$E$3)&lt;1,0,IFERROR(LOOKUP(2,1/(Aveia!$E53:INDEX(Aveia!$E53:$Z53,MIN(AP$6-$E$3,22))&lt;&gt;""),Aveia!$E53:INDEX(Aveia!$E53:$Z53,MIN(AP$6-$E$3,22))),0))-IF($G$2,0,IF((AP$6-$G$3)&lt;1,0,IFERROR(LOOKUP(2,1/(Aveia!$E53:INDEX(Aveia!$E53:$Z53,MIN(AP$6-$G$3,22))&lt;&gt;""),Aveia!$E53:INDEX(Aveia!$E53:$Z53,MIN(AP$6-$G$3,22))),0)))))</f>
        <v>0</v>
      </c>
      <c r="AQ55" s="27" t="n">
        <f aca="false">IF(COUNT(Aveia!$E53:$Z53)=0,0,MAX(0,IF((AQ$6-$E$3)&lt;1,0,IFERROR(LOOKUP(2,1/(Aveia!$E53:INDEX(Aveia!$E53:$Z53,MIN(AQ$6-$E$3,22))&lt;&gt;""),Aveia!$E53:INDEX(Aveia!$E53:$Z53,MIN(AQ$6-$E$3,22))),0))-IF($G$2,0,IF((AQ$6-$G$3)&lt;1,0,IFERROR(LOOKUP(2,1/(Aveia!$E53:INDEX(Aveia!$E53:$Z53,MIN(AQ$6-$G$3,22))&lt;&gt;""),Aveia!$E53:INDEX(Aveia!$E53:$Z53,MIN(AQ$6-$G$3,22))),0)))))</f>
        <v>0</v>
      </c>
      <c r="AR55" s="27" t="n">
        <f aca="false">IF(COUNT(Aveia!$E53:$Z53)=0,0,MAX(0,IF((AR$6-$E$3)&lt;1,0,IFERROR(LOOKUP(2,1/(Aveia!$E53:INDEX(Aveia!$E53:$Z53,MIN(AR$6-$E$3,22))&lt;&gt;""),Aveia!$E53:INDEX(Aveia!$E53:$Z53,MIN(AR$6-$E$3,22))),0))-IF($G$2,0,IF((AR$6-$G$3)&lt;1,0,IFERROR(LOOKUP(2,1/(Aveia!$E53:INDEX(Aveia!$E53:$Z53,MIN(AR$6-$G$3,22))&lt;&gt;""),Aveia!$E53:INDEX(Aveia!$E53:$Z53,MIN(AR$6-$G$3,22))),0)))))</f>
        <v>0</v>
      </c>
      <c r="AS55" s="27" t="n">
        <f aca="false">IF(COUNT(Aveia!$E53:$Z53)=0,0,MAX(0,IF((AS$6-$E$3)&lt;1,0,IFERROR(LOOKUP(2,1/(Aveia!$E53:INDEX(Aveia!$E53:$Z53,MIN(AS$6-$E$3,22))&lt;&gt;""),Aveia!$E53:INDEX(Aveia!$E53:$Z53,MIN(AS$6-$E$3,22))),0))-IF($G$2,0,IF((AS$6-$G$3)&lt;1,0,IFERROR(LOOKUP(2,1/(Aveia!$E53:INDEX(Aveia!$E53:$Z53,MIN(AS$6-$G$3,22))&lt;&gt;""),Aveia!$E53:INDEX(Aveia!$E53:$Z53,MIN(AS$6-$G$3,22))),0)))))</f>
        <v>0</v>
      </c>
      <c r="AT55" s="27" t="n">
        <f aca="false">IF(COUNT(Aveia!$E53:$Z53)=0,0,MAX(0,IF((AT$6-$E$3)&lt;1,0,IFERROR(LOOKUP(2,1/(Aveia!$E53:INDEX(Aveia!$E53:$Z53,MIN(AT$6-$E$3,22))&lt;&gt;""),Aveia!$E53:INDEX(Aveia!$E53:$Z53,MIN(AT$6-$E$3,22))),0))-IF($G$2,0,IF((AT$6-$G$3)&lt;1,0,IFERROR(LOOKUP(2,1/(Aveia!$E53:INDEX(Aveia!$E53:$Z53,MIN(AT$6-$G$3,22))&lt;&gt;""),Aveia!$E53:INDEX(Aveia!$E53:$Z53,MIN(AT$6-$G$3,22))),0)))))</f>
        <v>0</v>
      </c>
      <c r="AU55" s="27" t="n">
        <f aca="false">IF(COUNT(Aveia!$E53:$Z53)=0,0,MAX(0,IF((AU$6-$E$3)&lt;1,0,IFERROR(LOOKUP(2,1/(Aveia!$E53:INDEX(Aveia!$E53:$Z53,MIN(AU$6-$E$3,22))&lt;&gt;""),Aveia!$E53:INDEX(Aveia!$E53:$Z53,MIN(AU$6-$E$3,22))),0))-IF($G$2,0,IF((AU$6-$G$3)&lt;1,0,IFERROR(LOOKUP(2,1/(Aveia!$E53:INDEX(Aveia!$E53:$Z53,MIN(AU$6-$G$3,22))&lt;&gt;""),Aveia!$E53:INDEX(Aveia!$E53:$Z53,MIN(AU$6-$G$3,22))),0)))))</f>
        <v>0</v>
      </c>
      <c r="AV55" s="27" t="n">
        <f aca="false">IF(COUNT(Aveia!$E53:$Z53)=0,0,MAX(0,IF((AV$6-$E$3)&lt;1,0,IFERROR(LOOKUP(2,1/(Aveia!$E53:INDEX(Aveia!$E53:$Z53,MIN(AV$6-$E$3,22))&lt;&gt;""),Aveia!$E53:INDEX(Aveia!$E53:$Z53,MIN(AV$6-$E$3,22))),0))-IF($G$2,0,IF((AV$6-$G$3)&lt;1,0,IFERROR(LOOKUP(2,1/(Aveia!$E53:INDEX(Aveia!$E53:$Z53,MIN(AV$6-$G$3,22))&lt;&gt;""),Aveia!$E53:INDEX(Aveia!$E53:$Z53,MIN(AV$6-$G$3,22))),0)))))</f>
        <v>0</v>
      </c>
      <c r="AW55" s="27" t="n">
        <f aca="false">IF(COUNT(Aveia!$E53:$Z53)=0,0,MAX(0,IF((AW$6-$E$3)&lt;1,0,IFERROR(LOOKUP(2,1/(Aveia!$E53:INDEX(Aveia!$E53:$Z53,MIN(AW$6-$E$3,22))&lt;&gt;""),Aveia!$E53:INDEX(Aveia!$E53:$Z53,MIN(AW$6-$E$3,22))),0))-IF($G$2,0,IF((AW$6-$G$3)&lt;1,0,IFERROR(LOOKUP(2,1/(Aveia!$E53:INDEX(Aveia!$E53:$Z53,MIN(AW$6-$G$3,22))&lt;&gt;""),Aveia!$E53:INDEX(Aveia!$E53:$Z53,MIN(AW$6-$G$3,22))),0)))))</f>
        <v>0</v>
      </c>
      <c r="AX55" s="27" t="n">
        <f aca="false">IF(COUNT(Aveia!$E53:$Z53)=0,0,MAX(0,IF((AX$6-$E$3)&lt;1,0,IFERROR(LOOKUP(2,1/(Aveia!$E53:INDEX(Aveia!$E53:$Z53,MIN(AX$6-$E$3,22))&lt;&gt;""),Aveia!$E53:INDEX(Aveia!$E53:$Z53,MIN(AX$6-$E$3,22))),0))-IF($G$2,0,IF((AX$6-$G$3)&lt;1,0,IFERROR(LOOKUP(2,1/(Aveia!$E53:INDEX(Aveia!$E53:$Z53,MIN(AX$6-$G$3,22))&lt;&gt;""),Aveia!$E53:INDEX(Aveia!$E53:$Z53,MIN(AX$6-$G$3,22))),0)))))</f>
        <v>0</v>
      </c>
      <c r="AY55" s="27" t="n">
        <f aca="false">IF(COUNT(Aveia!$E53:$Z53)=0,0,MAX(0,IF((AY$6-$E$3)&lt;1,0,IFERROR(LOOKUP(2,1/(Aveia!$E53:INDEX(Aveia!$E53:$Z53,MIN(AY$6-$E$3,22))&lt;&gt;""),Aveia!$E53:INDEX(Aveia!$E53:$Z53,MIN(AY$6-$E$3,22))),0))-IF($G$2,0,IF((AY$6-$G$3)&lt;1,0,IFERROR(LOOKUP(2,1/(Aveia!$E53:INDEX(Aveia!$E53:$Z53,MIN(AY$6-$G$3,22))&lt;&gt;""),Aveia!$E53:INDEX(Aveia!$E53:$Z53,MIN(AY$6-$G$3,22))),0)))))</f>
        <v>0</v>
      </c>
      <c r="AZ55" s="27" t="n">
        <f aca="false">IF(COUNT(Aveia!$E53:$Z53)=0,0,MAX(0,IF((AZ$6-$E$3)&lt;1,0,IFERROR(LOOKUP(2,1/(Aveia!$E53:INDEX(Aveia!$E53:$Z53,MIN(AZ$6-$E$3,22))&lt;&gt;""),Aveia!$E53:INDEX(Aveia!$E53:$Z53,MIN(AZ$6-$E$3,22))),0))-IF($G$2,0,IF((AZ$6-$G$3)&lt;1,0,IFERROR(LOOKUP(2,1/(Aveia!$E53:INDEX(Aveia!$E53:$Z53,MIN(AZ$6-$G$3,22))&lt;&gt;""),Aveia!$E53:INDEX(Aveia!$E53:$Z53,MIN(AZ$6-$G$3,22))),0)))))</f>
        <v>0</v>
      </c>
    </row>
    <row r="56" customFormat="false" ht="15" hidden="false" customHeight="false" outlineLevel="0" collapsed="false">
      <c r="A56" s="3" t="s">
        <v>232</v>
      </c>
      <c r="B56" s="3" t="s">
        <v>233</v>
      </c>
      <c r="C56" s="10" t="s">
        <v>172</v>
      </c>
      <c r="D56" s="26" t="n">
        <f aca="false">IF(COUNT(Aveia!$E54:$Z54)&gt;0,N(Aveia!$D54),0)</f>
        <v>0</v>
      </c>
      <c r="E56" s="27" t="n">
        <f aca="false">IF(COUNT(Aveia!$E54:$Z54)=0,0,MAX(0,IF((E$6-$E$3)&lt;1,0,IFERROR(LOOKUP(2,1/(Aveia!$E54:INDEX(Aveia!$E54:$Z54,MIN(E$6-$E$3,22))&lt;&gt;""),Aveia!$E54:INDEX(Aveia!$E54:$Z54,MIN(E$6-$E$3,22))),0))-IF($G$2,0,IF((E$6-$G$3)&lt;1,0,IFERROR(LOOKUP(2,1/(Aveia!$E54:INDEX(Aveia!$E54:$Z54,MIN(E$6-$G$3,22))&lt;&gt;""),Aveia!$E54:INDEX(Aveia!$E54:$Z54,MIN(E$6-$G$3,22))),0)))))</f>
        <v>0</v>
      </c>
      <c r="F56" s="27" t="n">
        <f aca="false">IF(COUNT(Aveia!$E54:$Z54)=0,0,MAX(0,IF((F$6-$E$3)&lt;1,0,IFERROR(LOOKUP(2,1/(Aveia!$E54:INDEX(Aveia!$E54:$Z54,MIN(F$6-$E$3,22))&lt;&gt;""),Aveia!$E54:INDEX(Aveia!$E54:$Z54,MIN(F$6-$E$3,22))),0))-IF($G$2,0,IF((F$6-$G$3)&lt;1,0,IFERROR(LOOKUP(2,1/(Aveia!$E54:INDEX(Aveia!$E54:$Z54,MIN(F$6-$G$3,22))&lt;&gt;""),Aveia!$E54:INDEX(Aveia!$E54:$Z54,MIN(F$6-$G$3,22))),0)))))</f>
        <v>0</v>
      </c>
      <c r="G56" s="27" t="n">
        <f aca="false">IF(COUNT(Aveia!$E54:$Z54)=0,0,MAX(0,IF((G$6-$E$3)&lt;1,0,IFERROR(LOOKUP(2,1/(Aveia!$E54:INDEX(Aveia!$E54:$Z54,MIN(G$6-$E$3,22))&lt;&gt;""),Aveia!$E54:INDEX(Aveia!$E54:$Z54,MIN(G$6-$E$3,22))),0))-IF($G$2,0,IF((G$6-$G$3)&lt;1,0,IFERROR(LOOKUP(2,1/(Aveia!$E54:INDEX(Aveia!$E54:$Z54,MIN(G$6-$G$3,22))&lt;&gt;""),Aveia!$E54:INDEX(Aveia!$E54:$Z54,MIN(G$6-$G$3,22))),0)))))</f>
        <v>0</v>
      </c>
      <c r="H56" s="27" t="n">
        <f aca="false">IF(COUNT(Aveia!$E54:$Z54)=0,0,MAX(0,IF((H$6-$E$3)&lt;1,0,IFERROR(LOOKUP(2,1/(Aveia!$E54:INDEX(Aveia!$E54:$Z54,MIN(H$6-$E$3,22))&lt;&gt;""),Aveia!$E54:INDEX(Aveia!$E54:$Z54,MIN(H$6-$E$3,22))),0))-IF($G$2,0,IF((H$6-$G$3)&lt;1,0,IFERROR(LOOKUP(2,1/(Aveia!$E54:INDEX(Aveia!$E54:$Z54,MIN(H$6-$G$3,22))&lt;&gt;""),Aveia!$E54:INDEX(Aveia!$E54:$Z54,MIN(H$6-$G$3,22))),0)))))</f>
        <v>0</v>
      </c>
      <c r="I56" s="27" t="n">
        <f aca="false">IF(COUNT(Aveia!$E54:$Z54)=0,0,MAX(0,IF((I$6-$E$3)&lt;1,0,IFERROR(LOOKUP(2,1/(Aveia!$E54:INDEX(Aveia!$E54:$Z54,MIN(I$6-$E$3,22))&lt;&gt;""),Aveia!$E54:INDEX(Aveia!$E54:$Z54,MIN(I$6-$E$3,22))),0))-IF($G$2,0,IF((I$6-$G$3)&lt;1,0,IFERROR(LOOKUP(2,1/(Aveia!$E54:INDEX(Aveia!$E54:$Z54,MIN(I$6-$G$3,22))&lt;&gt;""),Aveia!$E54:INDEX(Aveia!$E54:$Z54,MIN(I$6-$G$3,22))),0)))))</f>
        <v>0</v>
      </c>
      <c r="J56" s="27" t="n">
        <f aca="false">IF(COUNT(Aveia!$E54:$Z54)=0,0,MAX(0,IF((J$6-$E$3)&lt;1,0,IFERROR(LOOKUP(2,1/(Aveia!$E54:INDEX(Aveia!$E54:$Z54,MIN(J$6-$E$3,22))&lt;&gt;""),Aveia!$E54:INDEX(Aveia!$E54:$Z54,MIN(J$6-$E$3,22))),0))-IF($G$2,0,IF((J$6-$G$3)&lt;1,0,IFERROR(LOOKUP(2,1/(Aveia!$E54:INDEX(Aveia!$E54:$Z54,MIN(J$6-$G$3,22))&lt;&gt;""),Aveia!$E54:INDEX(Aveia!$E54:$Z54,MIN(J$6-$G$3,22))),0)))))</f>
        <v>0</v>
      </c>
      <c r="K56" s="27" t="n">
        <f aca="false">IF(COUNT(Aveia!$E54:$Z54)=0,0,MAX(0,IF((K$6-$E$3)&lt;1,0,IFERROR(LOOKUP(2,1/(Aveia!$E54:INDEX(Aveia!$E54:$Z54,MIN(K$6-$E$3,22))&lt;&gt;""),Aveia!$E54:INDEX(Aveia!$E54:$Z54,MIN(K$6-$E$3,22))),0))-IF($G$2,0,IF((K$6-$G$3)&lt;1,0,IFERROR(LOOKUP(2,1/(Aveia!$E54:INDEX(Aveia!$E54:$Z54,MIN(K$6-$G$3,22))&lt;&gt;""),Aveia!$E54:INDEX(Aveia!$E54:$Z54,MIN(K$6-$G$3,22))),0)))))</f>
        <v>0</v>
      </c>
      <c r="L56" s="27" t="n">
        <f aca="false">IF(COUNT(Aveia!$E54:$Z54)=0,0,MAX(0,IF((L$6-$E$3)&lt;1,0,IFERROR(LOOKUP(2,1/(Aveia!$E54:INDEX(Aveia!$E54:$Z54,MIN(L$6-$E$3,22))&lt;&gt;""),Aveia!$E54:INDEX(Aveia!$E54:$Z54,MIN(L$6-$E$3,22))),0))-IF($G$2,0,IF((L$6-$G$3)&lt;1,0,IFERROR(LOOKUP(2,1/(Aveia!$E54:INDEX(Aveia!$E54:$Z54,MIN(L$6-$G$3,22))&lt;&gt;""),Aveia!$E54:INDEX(Aveia!$E54:$Z54,MIN(L$6-$G$3,22))),0)))))</f>
        <v>0</v>
      </c>
      <c r="M56" s="27" t="n">
        <f aca="false">IF(COUNT(Aveia!$E54:$Z54)=0,0,MAX(0,IF((M$6-$E$3)&lt;1,0,IFERROR(LOOKUP(2,1/(Aveia!$E54:INDEX(Aveia!$E54:$Z54,MIN(M$6-$E$3,22))&lt;&gt;""),Aveia!$E54:INDEX(Aveia!$E54:$Z54,MIN(M$6-$E$3,22))),0))-IF($G$2,0,IF((M$6-$G$3)&lt;1,0,IFERROR(LOOKUP(2,1/(Aveia!$E54:INDEX(Aveia!$E54:$Z54,MIN(M$6-$G$3,22))&lt;&gt;""),Aveia!$E54:INDEX(Aveia!$E54:$Z54,MIN(M$6-$G$3,22))),0)))))</f>
        <v>0</v>
      </c>
      <c r="N56" s="27" t="n">
        <f aca="false">IF(COUNT(Aveia!$E54:$Z54)=0,0,MAX(0,IF((N$6-$E$3)&lt;1,0,IFERROR(LOOKUP(2,1/(Aveia!$E54:INDEX(Aveia!$E54:$Z54,MIN(N$6-$E$3,22))&lt;&gt;""),Aveia!$E54:INDEX(Aveia!$E54:$Z54,MIN(N$6-$E$3,22))),0))-IF($G$2,0,IF((N$6-$G$3)&lt;1,0,IFERROR(LOOKUP(2,1/(Aveia!$E54:INDEX(Aveia!$E54:$Z54,MIN(N$6-$G$3,22))&lt;&gt;""),Aveia!$E54:INDEX(Aveia!$E54:$Z54,MIN(N$6-$G$3,22))),0)))))</f>
        <v>0</v>
      </c>
      <c r="O56" s="27" t="n">
        <f aca="false">IF(COUNT(Aveia!$E54:$Z54)=0,0,MAX(0,IF((O$6-$E$3)&lt;1,0,IFERROR(LOOKUP(2,1/(Aveia!$E54:INDEX(Aveia!$E54:$Z54,MIN(O$6-$E$3,22))&lt;&gt;""),Aveia!$E54:INDEX(Aveia!$E54:$Z54,MIN(O$6-$E$3,22))),0))-IF($G$2,0,IF((O$6-$G$3)&lt;1,0,IFERROR(LOOKUP(2,1/(Aveia!$E54:INDEX(Aveia!$E54:$Z54,MIN(O$6-$G$3,22))&lt;&gt;""),Aveia!$E54:INDEX(Aveia!$E54:$Z54,MIN(O$6-$G$3,22))),0)))))</f>
        <v>0</v>
      </c>
      <c r="P56" s="27" t="n">
        <f aca="false">IF(COUNT(Aveia!$E54:$Z54)=0,0,MAX(0,IF((P$6-$E$3)&lt;1,0,IFERROR(LOOKUP(2,1/(Aveia!$E54:INDEX(Aveia!$E54:$Z54,MIN(P$6-$E$3,22))&lt;&gt;""),Aveia!$E54:INDEX(Aveia!$E54:$Z54,MIN(P$6-$E$3,22))),0))-IF($G$2,0,IF((P$6-$G$3)&lt;1,0,IFERROR(LOOKUP(2,1/(Aveia!$E54:INDEX(Aveia!$E54:$Z54,MIN(P$6-$G$3,22))&lt;&gt;""),Aveia!$E54:INDEX(Aveia!$E54:$Z54,MIN(P$6-$G$3,22))),0)))))</f>
        <v>0</v>
      </c>
      <c r="Q56" s="27" t="n">
        <f aca="false">IF(COUNT(Aveia!$E54:$Z54)=0,0,MAX(0,IF((Q$6-$E$3)&lt;1,0,IFERROR(LOOKUP(2,1/(Aveia!$E54:INDEX(Aveia!$E54:$Z54,MIN(Q$6-$E$3,22))&lt;&gt;""),Aveia!$E54:INDEX(Aveia!$E54:$Z54,MIN(Q$6-$E$3,22))),0))-IF($G$2,0,IF((Q$6-$G$3)&lt;1,0,IFERROR(LOOKUP(2,1/(Aveia!$E54:INDEX(Aveia!$E54:$Z54,MIN(Q$6-$G$3,22))&lt;&gt;""),Aveia!$E54:INDEX(Aveia!$E54:$Z54,MIN(Q$6-$G$3,22))),0)))))</f>
        <v>0</v>
      </c>
      <c r="R56" s="27" t="n">
        <f aca="false">IF(COUNT(Aveia!$E54:$Z54)=0,0,MAX(0,IF((R$6-$E$3)&lt;1,0,IFERROR(LOOKUP(2,1/(Aveia!$E54:INDEX(Aveia!$E54:$Z54,MIN(R$6-$E$3,22))&lt;&gt;""),Aveia!$E54:INDEX(Aveia!$E54:$Z54,MIN(R$6-$E$3,22))),0))-IF($G$2,0,IF((R$6-$G$3)&lt;1,0,IFERROR(LOOKUP(2,1/(Aveia!$E54:INDEX(Aveia!$E54:$Z54,MIN(R$6-$G$3,22))&lt;&gt;""),Aveia!$E54:INDEX(Aveia!$E54:$Z54,MIN(R$6-$G$3,22))),0)))))</f>
        <v>0</v>
      </c>
      <c r="S56" s="27" t="n">
        <f aca="false">IF(COUNT(Aveia!$E54:$Z54)=0,0,MAX(0,IF((S$6-$E$3)&lt;1,0,IFERROR(LOOKUP(2,1/(Aveia!$E54:INDEX(Aveia!$E54:$Z54,MIN(S$6-$E$3,22))&lt;&gt;""),Aveia!$E54:INDEX(Aveia!$E54:$Z54,MIN(S$6-$E$3,22))),0))-IF($G$2,0,IF((S$6-$G$3)&lt;1,0,IFERROR(LOOKUP(2,1/(Aveia!$E54:INDEX(Aveia!$E54:$Z54,MIN(S$6-$G$3,22))&lt;&gt;""),Aveia!$E54:INDEX(Aveia!$E54:$Z54,MIN(S$6-$G$3,22))),0)))))</f>
        <v>0</v>
      </c>
      <c r="T56" s="27" t="n">
        <f aca="false">IF(COUNT(Aveia!$E54:$Z54)=0,0,MAX(0,IF((T$6-$E$3)&lt;1,0,IFERROR(LOOKUP(2,1/(Aveia!$E54:INDEX(Aveia!$E54:$Z54,MIN(T$6-$E$3,22))&lt;&gt;""),Aveia!$E54:INDEX(Aveia!$E54:$Z54,MIN(T$6-$E$3,22))),0))-IF($G$2,0,IF((T$6-$G$3)&lt;1,0,IFERROR(LOOKUP(2,1/(Aveia!$E54:INDEX(Aveia!$E54:$Z54,MIN(T$6-$G$3,22))&lt;&gt;""),Aveia!$E54:INDEX(Aveia!$E54:$Z54,MIN(T$6-$G$3,22))),0)))))</f>
        <v>0</v>
      </c>
      <c r="U56" s="27" t="n">
        <f aca="false">IF(COUNT(Aveia!$E54:$Z54)=0,0,MAX(0,IF((U$6-$E$3)&lt;1,0,IFERROR(LOOKUP(2,1/(Aveia!$E54:INDEX(Aveia!$E54:$Z54,MIN(U$6-$E$3,22))&lt;&gt;""),Aveia!$E54:INDEX(Aveia!$E54:$Z54,MIN(U$6-$E$3,22))),0))-IF($G$2,0,IF((U$6-$G$3)&lt;1,0,IFERROR(LOOKUP(2,1/(Aveia!$E54:INDEX(Aveia!$E54:$Z54,MIN(U$6-$G$3,22))&lt;&gt;""),Aveia!$E54:INDEX(Aveia!$E54:$Z54,MIN(U$6-$G$3,22))),0)))))</f>
        <v>0</v>
      </c>
      <c r="V56" s="27" t="n">
        <f aca="false">IF(COUNT(Aveia!$E54:$Z54)=0,0,MAX(0,IF((V$6-$E$3)&lt;1,0,IFERROR(LOOKUP(2,1/(Aveia!$E54:INDEX(Aveia!$E54:$Z54,MIN(V$6-$E$3,22))&lt;&gt;""),Aveia!$E54:INDEX(Aveia!$E54:$Z54,MIN(V$6-$E$3,22))),0))-IF($G$2,0,IF((V$6-$G$3)&lt;1,0,IFERROR(LOOKUP(2,1/(Aveia!$E54:INDEX(Aveia!$E54:$Z54,MIN(V$6-$G$3,22))&lt;&gt;""),Aveia!$E54:INDEX(Aveia!$E54:$Z54,MIN(V$6-$G$3,22))),0)))))</f>
        <v>0</v>
      </c>
      <c r="W56" s="27" t="n">
        <f aca="false">IF(COUNT(Aveia!$E54:$Z54)=0,0,MAX(0,IF((W$6-$E$3)&lt;1,0,IFERROR(LOOKUP(2,1/(Aveia!$E54:INDEX(Aveia!$E54:$Z54,MIN(W$6-$E$3,22))&lt;&gt;""),Aveia!$E54:INDEX(Aveia!$E54:$Z54,MIN(W$6-$E$3,22))),0))-IF($G$2,0,IF((W$6-$G$3)&lt;1,0,IFERROR(LOOKUP(2,1/(Aveia!$E54:INDEX(Aveia!$E54:$Z54,MIN(W$6-$G$3,22))&lt;&gt;""),Aveia!$E54:INDEX(Aveia!$E54:$Z54,MIN(W$6-$G$3,22))),0)))))</f>
        <v>0</v>
      </c>
      <c r="X56" s="27" t="n">
        <f aca="false">IF(COUNT(Aveia!$E54:$Z54)=0,0,MAX(0,IF((X$6-$E$3)&lt;1,0,IFERROR(LOOKUP(2,1/(Aveia!$E54:INDEX(Aveia!$E54:$Z54,MIN(X$6-$E$3,22))&lt;&gt;""),Aveia!$E54:INDEX(Aveia!$E54:$Z54,MIN(X$6-$E$3,22))),0))-IF($G$2,0,IF((X$6-$G$3)&lt;1,0,IFERROR(LOOKUP(2,1/(Aveia!$E54:INDEX(Aveia!$E54:$Z54,MIN(X$6-$G$3,22))&lt;&gt;""),Aveia!$E54:INDEX(Aveia!$E54:$Z54,MIN(X$6-$G$3,22))),0)))))</f>
        <v>0</v>
      </c>
      <c r="Y56" s="27" t="n">
        <f aca="false">IF(COUNT(Aveia!$E54:$Z54)=0,0,MAX(0,IF((Y$6-$E$3)&lt;1,0,IFERROR(LOOKUP(2,1/(Aveia!$E54:INDEX(Aveia!$E54:$Z54,MIN(Y$6-$E$3,22))&lt;&gt;""),Aveia!$E54:INDEX(Aveia!$E54:$Z54,MIN(Y$6-$E$3,22))),0))-IF($G$2,0,IF((Y$6-$G$3)&lt;1,0,IFERROR(LOOKUP(2,1/(Aveia!$E54:INDEX(Aveia!$E54:$Z54,MIN(Y$6-$G$3,22))&lt;&gt;""),Aveia!$E54:INDEX(Aveia!$E54:$Z54,MIN(Y$6-$G$3,22))),0)))))</f>
        <v>0</v>
      </c>
      <c r="Z56" s="27" t="n">
        <f aca="false">IF(COUNT(Aveia!$E54:$Z54)=0,0,MAX(0,IF((Z$6-$E$3)&lt;1,0,IFERROR(LOOKUP(2,1/(Aveia!$E54:INDEX(Aveia!$E54:$Z54,MIN(Z$6-$E$3,22))&lt;&gt;""),Aveia!$E54:INDEX(Aveia!$E54:$Z54,MIN(Z$6-$E$3,22))),0))-IF($G$2,0,IF((Z$6-$G$3)&lt;1,0,IFERROR(LOOKUP(2,1/(Aveia!$E54:INDEX(Aveia!$E54:$Z54,MIN(Z$6-$G$3,22))&lt;&gt;""),Aveia!$E54:INDEX(Aveia!$E54:$Z54,MIN(Z$6-$G$3,22))),0)))))</f>
        <v>0</v>
      </c>
      <c r="AA56" s="27" t="n">
        <f aca="false">IF(COUNT(Aveia!$E54:$Z54)=0,0,MAX(0,IF((AA$6-$E$3)&lt;1,0,IFERROR(LOOKUP(2,1/(Aveia!$E54:INDEX(Aveia!$E54:$Z54,MIN(AA$6-$E$3,22))&lt;&gt;""),Aveia!$E54:INDEX(Aveia!$E54:$Z54,MIN(AA$6-$E$3,22))),0))-IF($G$2,0,IF((AA$6-$G$3)&lt;1,0,IFERROR(LOOKUP(2,1/(Aveia!$E54:INDEX(Aveia!$E54:$Z54,MIN(AA$6-$G$3,22))&lt;&gt;""),Aveia!$E54:INDEX(Aveia!$E54:$Z54,MIN(AA$6-$G$3,22))),0)))))</f>
        <v>0</v>
      </c>
      <c r="AB56" s="27" t="n">
        <f aca="false">IF(COUNT(Aveia!$E54:$Z54)=0,0,MAX(0,IF((AB$6-$E$3)&lt;1,0,IFERROR(LOOKUP(2,1/(Aveia!$E54:INDEX(Aveia!$E54:$Z54,MIN(AB$6-$E$3,22))&lt;&gt;""),Aveia!$E54:INDEX(Aveia!$E54:$Z54,MIN(AB$6-$E$3,22))),0))-IF($G$2,0,IF((AB$6-$G$3)&lt;1,0,IFERROR(LOOKUP(2,1/(Aveia!$E54:INDEX(Aveia!$E54:$Z54,MIN(AB$6-$G$3,22))&lt;&gt;""),Aveia!$E54:INDEX(Aveia!$E54:$Z54,MIN(AB$6-$G$3,22))),0)))))</f>
        <v>0</v>
      </c>
      <c r="AC56" s="27" t="n">
        <f aca="false">IF(COUNT(Aveia!$E54:$Z54)=0,0,MAX(0,IF((AC$6-$E$3)&lt;1,0,IFERROR(LOOKUP(2,1/(Aveia!$E54:INDEX(Aveia!$E54:$Z54,MIN(AC$6-$E$3,22))&lt;&gt;""),Aveia!$E54:INDEX(Aveia!$E54:$Z54,MIN(AC$6-$E$3,22))),0))-IF($G$2,0,IF((AC$6-$G$3)&lt;1,0,IFERROR(LOOKUP(2,1/(Aveia!$E54:INDEX(Aveia!$E54:$Z54,MIN(AC$6-$G$3,22))&lt;&gt;""),Aveia!$E54:INDEX(Aveia!$E54:$Z54,MIN(AC$6-$G$3,22))),0)))))</f>
        <v>0</v>
      </c>
      <c r="AD56" s="27" t="n">
        <f aca="false">IF(COUNT(Aveia!$E54:$Z54)=0,0,MAX(0,IF((AD$6-$E$3)&lt;1,0,IFERROR(LOOKUP(2,1/(Aveia!$E54:INDEX(Aveia!$E54:$Z54,MIN(AD$6-$E$3,22))&lt;&gt;""),Aveia!$E54:INDEX(Aveia!$E54:$Z54,MIN(AD$6-$E$3,22))),0))-IF($G$2,0,IF((AD$6-$G$3)&lt;1,0,IFERROR(LOOKUP(2,1/(Aveia!$E54:INDEX(Aveia!$E54:$Z54,MIN(AD$6-$G$3,22))&lt;&gt;""),Aveia!$E54:INDEX(Aveia!$E54:$Z54,MIN(AD$6-$G$3,22))),0)))))</f>
        <v>0</v>
      </c>
      <c r="AE56" s="27" t="n">
        <f aca="false">IF(COUNT(Aveia!$E54:$Z54)=0,0,MAX(0,IF((AE$6-$E$3)&lt;1,0,IFERROR(LOOKUP(2,1/(Aveia!$E54:INDEX(Aveia!$E54:$Z54,MIN(AE$6-$E$3,22))&lt;&gt;""),Aveia!$E54:INDEX(Aveia!$E54:$Z54,MIN(AE$6-$E$3,22))),0))-IF($G$2,0,IF((AE$6-$G$3)&lt;1,0,IFERROR(LOOKUP(2,1/(Aveia!$E54:INDEX(Aveia!$E54:$Z54,MIN(AE$6-$G$3,22))&lt;&gt;""),Aveia!$E54:INDEX(Aveia!$E54:$Z54,MIN(AE$6-$G$3,22))),0)))))</f>
        <v>0</v>
      </c>
      <c r="AF56" s="27" t="n">
        <f aca="false">IF(COUNT(Aveia!$E54:$Z54)=0,0,MAX(0,IF((AF$6-$E$3)&lt;1,0,IFERROR(LOOKUP(2,1/(Aveia!$E54:INDEX(Aveia!$E54:$Z54,MIN(AF$6-$E$3,22))&lt;&gt;""),Aveia!$E54:INDEX(Aveia!$E54:$Z54,MIN(AF$6-$E$3,22))),0))-IF($G$2,0,IF((AF$6-$G$3)&lt;1,0,IFERROR(LOOKUP(2,1/(Aveia!$E54:INDEX(Aveia!$E54:$Z54,MIN(AF$6-$G$3,22))&lt;&gt;""),Aveia!$E54:INDEX(Aveia!$E54:$Z54,MIN(AF$6-$G$3,22))),0)))))</f>
        <v>0</v>
      </c>
      <c r="AG56" s="27" t="n">
        <f aca="false">IF(COUNT(Aveia!$E54:$Z54)=0,0,MAX(0,IF((AG$6-$E$3)&lt;1,0,IFERROR(LOOKUP(2,1/(Aveia!$E54:INDEX(Aveia!$E54:$Z54,MIN(AG$6-$E$3,22))&lt;&gt;""),Aveia!$E54:INDEX(Aveia!$E54:$Z54,MIN(AG$6-$E$3,22))),0))-IF($G$2,0,IF((AG$6-$G$3)&lt;1,0,IFERROR(LOOKUP(2,1/(Aveia!$E54:INDEX(Aveia!$E54:$Z54,MIN(AG$6-$G$3,22))&lt;&gt;""),Aveia!$E54:INDEX(Aveia!$E54:$Z54,MIN(AG$6-$G$3,22))),0)))))</f>
        <v>0</v>
      </c>
      <c r="AH56" s="27" t="n">
        <f aca="false">IF(COUNT(Aveia!$E54:$Z54)=0,0,MAX(0,IF((AH$6-$E$3)&lt;1,0,IFERROR(LOOKUP(2,1/(Aveia!$E54:INDEX(Aveia!$E54:$Z54,MIN(AH$6-$E$3,22))&lt;&gt;""),Aveia!$E54:INDEX(Aveia!$E54:$Z54,MIN(AH$6-$E$3,22))),0))-IF($G$2,0,IF((AH$6-$G$3)&lt;1,0,IFERROR(LOOKUP(2,1/(Aveia!$E54:INDEX(Aveia!$E54:$Z54,MIN(AH$6-$G$3,22))&lt;&gt;""),Aveia!$E54:INDEX(Aveia!$E54:$Z54,MIN(AH$6-$G$3,22))),0)))))</f>
        <v>0</v>
      </c>
      <c r="AI56" s="27" t="n">
        <f aca="false">IF(COUNT(Aveia!$E54:$Z54)=0,0,MAX(0,IF((AI$6-$E$3)&lt;1,0,IFERROR(LOOKUP(2,1/(Aveia!$E54:INDEX(Aveia!$E54:$Z54,MIN(AI$6-$E$3,22))&lt;&gt;""),Aveia!$E54:INDEX(Aveia!$E54:$Z54,MIN(AI$6-$E$3,22))),0))-IF($G$2,0,IF((AI$6-$G$3)&lt;1,0,IFERROR(LOOKUP(2,1/(Aveia!$E54:INDEX(Aveia!$E54:$Z54,MIN(AI$6-$G$3,22))&lt;&gt;""),Aveia!$E54:INDEX(Aveia!$E54:$Z54,MIN(AI$6-$G$3,22))),0)))))</f>
        <v>0</v>
      </c>
      <c r="AJ56" s="27" t="n">
        <f aca="false">IF(COUNT(Aveia!$E54:$Z54)=0,0,MAX(0,IF((AJ$6-$E$3)&lt;1,0,IFERROR(LOOKUP(2,1/(Aveia!$E54:INDEX(Aveia!$E54:$Z54,MIN(AJ$6-$E$3,22))&lt;&gt;""),Aveia!$E54:INDEX(Aveia!$E54:$Z54,MIN(AJ$6-$E$3,22))),0))-IF($G$2,0,IF((AJ$6-$G$3)&lt;1,0,IFERROR(LOOKUP(2,1/(Aveia!$E54:INDEX(Aveia!$E54:$Z54,MIN(AJ$6-$G$3,22))&lt;&gt;""),Aveia!$E54:INDEX(Aveia!$E54:$Z54,MIN(AJ$6-$G$3,22))),0)))))</f>
        <v>0</v>
      </c>
      <c r="AK56" s="27" t="n">
        <f aca="false">IF(COUNT(Aveia!$E54:$Z54)=0,0,MAX(0,IF((AK$6-$E$3)&lt;1,0,IFERROR(LOOKUP(2,1/(Aveia!$E54:INDEX(Aveia!$E54:$Z54,MIN(AK$6-$E$3,22))&lt;&gt;""),Aveia!$E54:INDEX(Aveia!$E54:$Z54,MIN(AK$6-$E$3,22))),0))-IF($G$2,0,IF((AK$6-$G$3)&lt;1,0,IFERROR(LOOKUP(2,1/(Aveia!$E54:INDEX(Aveia!$E54:$Z54,MIN(AK$6-$G$3,22))&lt;&gt;""),Aveia!$E54:INDEX(Aveia!$E54:$Z54,MIN(AK$6-$G$3,22))),0)))))</f>
        <v>0</v>
      </c>
      <c r="AL56" s="27" t="n">
        <f aca="false">IF(COUNT(Aveia!$E54:$Z54)=0,0,MAX(0,IF((AL$6-$E$3)&lt;1,0,IFERROR(LOOKUP(2,1/(Aveia!$E54:INDEX(Aveia!$E54:$Z54,MIN(AL$6-$E$3,22))&lt;&gt;""),Aveia!$E54:INDEX(Aveia!$E54:$Z54,MIN(AL$6-$E$3,22))),0))-IF($G$2,0,IF((AL$6-$G$3)&lt;1,0,IFERROR(LOOKUP(2,1/(Aveia!$E54:INDEX(Aveia!$E54:$Z54,MIN(AL$6-$G$3,22))&lt;&gt;""),Aveia!$E54:INDEX(Aveia!$E54:$Z54,MIN(AL$6-$G$3,22))),0)))))</f>
        <v>0</v>
      </c>
      <c r="AM56" s="27" t="n">
        <f aca="false">IF(COUNT(Aveia!$E54:$Z54)=0,0,MAX(0,IF((AM$6-$E$3)&lt;1,0,IFERROR(LOOKUP(2,1/(Aveia!$E54:INDEX(Aveia!$E54:$Z54,MIN(AM$6-$E$3,22))&lt;&gt;""),Aveia!$E54:INDEX(Aveia!$E54:$Z54,MIN(AM$6-$E$3,22))),0))-IF($G$2,0,IF((AM$6-$G$3)&lt;1,0,IFERROR(LOOKUP(2,1/(Aveia!$E54:INDEX(Aveia!$E54:$Z54,MIN(AM$6-$G$3,22))&lt;&gt;""),Aveia!$E54:INDEX(Aveia!$E54:$Z54,MIN(AM$6-$G$3,22))),0)))))</f>
        <v>0</v>
      </c>
      <c r="AN56" s="27" t="n">
        <f aca="false">IF(COUNT(Aveia!$E54:$Z54)=0,0,MAX(0,IF((AN$6-$E$3)&lt;1,0,IFERROR(LOOKUP(2,1/(Aveia!$E54:INDEX(Aveia!$E54:$Z54,MIN(AN$6-$E$3,22))&lt;&gt;""),Aveia!$E54:INDEX(Aveia!$E54:$Z54,MIN(AN$6-$E$3,22))),0))-IF($G$2,0,IF((AN$6-$G$3)&lt;1,0,IFERROR(LOOKUP(2,1/(Aveia!$E54:INDEX(Aveia!$E54:$Z54,MIN(AN$6-$G$3,22))&lt;&gt;""),Aveia!$E54:INDEX(Aveia!$E54:$Z54,MIN(AN$6-$G$3,22))),0)))))</f>
        <v>0</v>
      </c>
      <c r="AO56" s="27" t="n">
        <f aca="false">IF(COUNT(Aveia!$E54:$Z54)=0,0,MAX(0,IF((AO$6-$E$3)&lt;1,0,IFERROR(LOOKUP(2,1/(Aveia!$E54:INDEX(Aveia!$E54:$Z54,MIN(AO$6-$E$3,22))&lt;&gt;""),Aveia!$E54:INDEX(Aveia!$E54:$Z54,MIN(AO$6-$E$3,22))),0))-IF($G$2,0,IF((AO$6-$G$3)&lt;1,0,IFERROR(LOOKUP(2,1/(Aveia!$E54:INDEX(Aveia!$E54:$Z54,MIN(AO$6-$G$3,22))&lt;&gt;""),Aveia!$E54:INDEX(Aveia!$E54:$Z54,MIN(AO$6-$G$3,22))),0)))))</f>
        <v>0</v>
      </c>
      <c r="AP56" s="27" t="n">
        <f aca="false">IF(COUNT(Aveia!$E54:$Z54)=0,0,MAX(0,IF((AP$6-$E$3)&lt;1,0,IFERROR(LOOKUP(2,1/(Aveia!$E54:INDEX(Aveia!$E54:$Z54,MIN(AP$6-$E$3,22))&lt;&gt;""),Aveia!$E54:INDEX(Aveia!$E54:$Z54,MIN(AP$6-$E$3,22))),0))-IF($G$2,0,IF((AP$6-$G$3)&lt;1,0,IFERROR(LOOKUP(2,1/(Aveia!$E54:INDEX(Aveia!$E54:$Z54,MIN(AP$6-$G$3,22))&lt;&gt;""),Aveia!$E54:INDEX(Aveia!$E54:$Z54,MIN(AP$6-$G$3,22))),0)))))</f>
        <v>0</v>
      </c>
      <c r="AQ56" s="27" t="n">
        <f aca="false">IF(COUNT(Aveia!$E54:$Z54)=0,0,MAX(0,IF((AQ$6-$E$3)&lt;1,0,IFERROR(LOOKUP(2,1/(Aveia!$E54:INDEX(Aveia!$E54:$Z54,MIN(AQ$6-$E$3,22))&lt;&gt;""),Aveia!$E54:INDEX(Aveia!$E54:$Z54,MIN(AQ$6-$E$3,22))),0))-IF($G$2,0,IF((AQ$6-$G$3)&lt;1,0,IFERROR(LOOKUP(2,1/(Aveia!$E54:INDEX(Aveia!$E54:$Z54,MIN(AQ$6-$G$3,22))&lt;&gt;""),Aveia!$E54:INDEX(Aveia!$E54:$Z54,MIN(AQ$6-$G$3,22))),0)))))</f>
        <v>0</v>
      </c>
      <c r="AR56" s="27" t="n">
        <f aca="false">IF(COUNT(Aveia!$E54:$Z54)=0,0,MAX(0,IF((AR$6-$E$3)&lt;1,0,IFERROR(LOOKUP(2,1/(Aveia!$E54:INDEX(Aveia!$E54:$Z54,MIN(AR$6-$E$3,22))&lt;&gt;""),Aveia!$E54:INDEX(Aveia!$E54:$Z54,MIN(AR$6-$E$3,22))),0))-IF($G$2,0,IF((AR$6-$G$3)&lt;1,0,IFERROR(LOOKUP(2,1/(Aveia!$E54:INDEX(Aveia!$E54:$Z54,MIN(AR$6-$G$3,22))&lt;&gt;""),Aveia!$E54:INDEX(Aveia!$E54:$Z54,MIN(AR$6-$G$3,22))),0)))))</f>
        <v>0</v>
      </c>
      <c r="AS56" s="27" t="n">
        <f aca="false">IF(COUNT(Aveia!$E54:$Z54)=0,0,MAX(0,IF((AS$6-$E$3)&lt;1,0,IFERROR(LOOKUP(2,1/(Aveia!$E54:INDEX(Aveia!$E54:$Z54,MIN(AS$6-$E$3,22))&lt;&gt;""),Aveia!$E54:INDEX(Aveia!$E54:$Z54,MIN(AS$6-$E$3,22))),0))-IF($G$2,0,IF((AS$6-$G$3)&lt;1,0,IFERROR(LOOKUP(2,1/(Aveia!$E54:INDEX(Aveia!$E54:$Z54,MIN(AS$6-$G$3,22))&lt;&gt;""),Aveia!$E54:INDEX(Aveia!$E54:$Z54,MIN(AS$6-$G$3,22))),0)))))</f>
        <v>0</v>
      </c>
      <c r="AT56" s="27" t="n">
        <f aca="false">IF(COUNT(Aveia!$E54:$Z54)=0,0,MAX(0,IF((AT$6-$E$3)&lt;1,0,IFERROR(LOOKUP(2,1/(Aveia!$E54:INDEX(Aveia!$E54:$Z54,MIN(AT$6-$E$3,22))&lt;&gt;""),Aveia!$E54:INDEX(Aveia!$E54:$Z54,MIN(AT$6-$E$3,22))),0))-IF($G$2,0,IF((AT$6-$G$3)&lt;1,0,IFERROR(LOOKUP(2,1/(Aveia!$E54:INDEX(Aveia!$E54:$Z54,MIN(AT$6-$G$3,22))&lt;&gt;""),Aveia!$E54:INDEX(Aveia!$E54:$Z54,MIN(AT$6-$G$3,22))),0)))))</f>
        <v>0</v>
      </c>
      <c r="AU56" s="27" t="n">
        <f aca="false">IF(COUNT(Aveia!$E54:$Z54)=0,0,MAX(0,IF((AU$6-$E$3)&lt;1,0,IFERROR(LOOKUP(2,1/(Aveia!$E54:INDEX(Aveia!$E54:$Z54,MIN(AU$6-$E$3,22))&lt;&gt;""),Aveia!$E54:INDEX(Aveia!$E54:$Z54,MIN(AU$6-$E$3,22))),0))-IF($G$2,0,IF((AU$6-$G$3)&lt;1,0,IFERROR(LOOKUP(2,1/(Aveia!$E54:INDEX(Aveia!$E54:$Z54,MIN(AU$6-$G$3,22))&lt;&gt;""),Aveia!$E54:INDEX(Aveia!$E54:$Z54,MIN(AU$6-$G$3,22))),0)))))</f>
        <v>0</v>
      </c>
      <c r="AV56" s="27" t="n">
        <f aca="false">IF(COUNT(Aveia!$E54:$Z54)=0,0,MAX(0,IF((AV$6-$E$3)&lt;1,0,IFERROR(LOOKUP(2,1/(Aveia!$E54:INDEX(Aveia!$E54:$Z54,MIN(AV$6-$E$3,22))&lt;&gt;""),Aveia!$E54:INDEX(Aveia!$E54:$Z54,MIN(AV$6-$E$3,22))),0))-IF($G$2,0,IF((AV$6-$G$3)&lt;1,0,IFERROR(LOOKUP(2,1/(Aveia!$E54:INDEX(Aveia!$E54:$Z54,MIN(AV$6-$G$3,22))&lt;&gt;""),Aveia!$E54:INDEX(Aveia!$E54:$Z54,MIN(AV$6-$G$3,22))),0)))))</f>
        <v>0</v>
      </c>
      <c r="AW56" s="27" t="n">
        <f aca="false">IF(COUNT(Aveia!$E54:$Z54)=0,0,MAX(0,IF((AW$6-$E$3)&lt;1,0,IFERROR(LOOKUP(2,1/(Aveia!$E54:INDEX(Aveia!$E54:$Z54,MIN(AW$6-$E$3,22))&lt;&gt;""),Aveia!$E54:INDEX(Aveia!$E54:$Z54,MIN(AW$6-$E$3,22))),0))-IF($G$2,0,IF((AW$6-$G$3)&lt;1,0,IFERROR(LOOKUP(2,1/(Aveia!$E54:INDEX(Aveia!$E54:$Z54,MIN(AW$6-$G$3,22))&lt;&gt;""),Aveia!$E54:INDEX(Aveia!$E54:$Z54,MIN(AW$6-$G$3,22))),0)))))</f>
        <v>0</v>
      </c>
      <c r="AX56" s="27" t="n">
        <f aca="false">IF(COUNT(Aveia!$E54:$Z54)=0,0,MAX(0,IF((AX$6-$E$3)&lt;1,0,IFERROR(LOOKUP(2,1/(Aveia!$E54:INDEX(Aveia!$E54:$Z54,MIN(AX$6-$E$3,22))&lt;&gt;""),Aveia!$E54:INDEX(Aveia!$E54:$Z54,MIN(AX$6-$E$3,22))),0))-IF($G$2,0,IF((AX$6-$G$3)&lt;1,0,IFERROR(LOOKUP(2,1/(Aveia!$E54:INDEX(Aveia!$E54:$Z54,MIN(AX$6-$G$3,22))&lt;&gt;""),Aveia!$E54:INDEX(Aveia!$E54:$Z54,MIN(AX$6-$G$3,22))),0)))))</f>
        <v>0</v>
      </c>
      <c r="AY56" s="27" t="n">
        <f aca="false">IF(COUNT(Aveia!$E54:$Z54)=0,0,MAX(0,IF((AY$6-$E$3)&lt;1,0,IFERROR(LOOKUP(2,1/(Aveia!$E54:INDEX(Aveia!$E54:$Z54,MIN(AY$6-$E$3,22))&lt;&gt;""),Aveia!$E54:INDEX(Aveia!$E54:$Z54,MIN(AY$6-$E$3,22))),0))-IF($G$2,0,IF((AY$6-$G$3)&lt;1,0,IFERROR(LOOKUP(2,1/(Aveia!$E54:INDEX(Aveia!$E54:$Z54,MIN(AY$6-$G$3,22))&lt;&gt;""),Aveia!$E54:INDEX(Aveia!$E54:$Z54,MIN(AY$6-$G$3,22))),0)))))</f>
        <v>0</v>
      </c>
      <c r="AZ56" s="27" t="n">
        <f aca="false">IF(COUNT(Aveia!$E54:$Z54)=0,0,MAX(0,IF((AZ$6-$E$3)&lt;1,0,IFERROR(LOOKUP(2,1/(Aveia!$E54:INDEX(Aveia!$E54:$Z54,MIN(AZ$6-$E$3,22))&lt;&gt;""),Aveia!$E54:INDEX(Aveia!$E54:$Z54,MIN(AZ$6-$E$3,22))),0))-IF($G$2,0,IF((AZ$6-$G$3)&lt;1,0,IFERROR(LOOKUP(2,1/(Aveia!$E54:INDEX(Aveia!$E54:$Z54,MIN(AZ$6-$G$3,22))&lt;&gt;""),Aveia!$E54:INDEX(Aveia!$E54:$Z54,MIN(AZ$6-$G$3,22))),0)))))</f>
        <v>0</v>
      </c>
    </row>
    <row r="57" customFormat="false" ht="15" hidden="false" customHeight="false" outlineLevel="0" collapsed="false">
      <c r="A57" s="3" t="s">
        <v>234</v>
      </c>
      <c r="B57" s="3" t="s">
        <v>235</v>
      </c>
      <c r="C57" s="10" t="s">
        <v>137</v>
      </c>
      <c r="D57" s="26" t="n">
        <f aca="false">IF(COUNT(Aveia!$E55:$Z55)&gt;0,N(Aveia!$D55),0)</f>
        <v>0</v>
      </c>
      <c r="E57" s="27" t="n">
        <f aca="false">IF(COUNT(Aveia!$E55:$Z55)=0,0,MAX(0,IF((E$6-$E$3)&lt;1,0,IFERROR(LOOKUP(2,1/(Aveia!$E55:INDEX(Aveia!$E55:$Z55,MIN(E$6-$E$3,22))&lt;&gt;""),Aveia!$E55:INDEX(Aveia!$E55:$Z55,MIN(E$6-$E$3,22))),0))-IF($G$2,0,IF((E$6-$G$3)&lt;1,0,IFERROR(LOOKUP(2,1/(Aveia!$E55:INDEX(Aveia!$E55:$Z55,MIN(E$6-$G$3,22))&lt;&gt;""),Aveia!$E55:INDEX(Aveia!$E55:$Z55,MIN(E$6-$G$3,22))),0)))))</f>
        <v>0</v>
      </c>
      <c r="F57" s="27" t="n">
        <f aca="false">IF(COUNT(Aveia!$E55:$Z55)=0,0,MAX(0,IF((F$6-$E$3)&lt;1,0,IFERROR(LOOKUP(2,1/(Aveia!$E55:INDEX(Aveia!$E55:$Z55,MIN(F$6-$E$3,22))&lt;&gt;""),Aveia!$E55:INDEX(Aveia!$E55:$Z55,MIN(F$6-$E$3,22))),0))-IF($G$2,0,IF((F$6-$G$3)&lt;1,0,IFERROR(LOOKUP(2,1/(Aveia!$E55:INDEX(Aveia!$E55:$Z55,MIN(F$6-$G$3,22))&lt;&gt;""),Aveia!$E55:INDEX(Aveia!$E55:$Z55,MIN(F$6-$G$3,22))),0)))))</f>
        <v>0</v>
      </c>
      <c r="G57" s="27" t="n">
        <f aca="false">IF(COUNT(Aveia!$E55:$Z55)=0,0,MAX(0,IF((G$6-$E$3)&lt;1,0,IFERROR(LOOKUP(2,1/(Aveia!$E55:INDEX(Aveia!$E55:$Z55,MIN(G$6-$E$3,22))&lt;&gt;""),Aveia!$E55:INDEX(Aveia!$E55:$Z55,MIN(G$6-$E$3,22))),0))-IF($G$2,0,IF((G$6-$G$3)&lt;1,0,IFERROR(LOOKUP(2,1/(Aveia!$E55:INDEX(Aveia!$E55:$Z55,MIN(G$6-$G$3,22))&lt;&gt;""),Aveia!$E55:INDEX(Aveia!$E55:$Z55,MIN(G$6-$G$3,22))),0)))))</f>
        <v>0</v>
      </c>
      <c r="H57" s="27" t="n">
        <f aca="false">IF(COUNT(Aveia!$E55:$Z55)=0,0,MAX(0,IF((H$6-$E$3)&lt;1,0,IFERROR(LOOKUP(2,1/(Aveia!$E55:INDEX(Aveia!$E55:$Z55,MIN(H$6-$E$3,22))&lt;&gt;""),Aveia!$E55:INDEX(Aveia!$E55:$Z55,MIN(H$6-$E$3,22))),0))-IF($G$2,0,IF((H$6-$G$3)&lt;1,0,IFERROR(LOOKUP(2,1/(Aveia!$E55:INDEX(Aveia!$E55:$Z55,MIN(H$6-$G$3,22))&lt;&gt;""),Aveia!$E55:INDEX(Aveia!$E55:$Z55,MIN(H$6-$G$3,22))),0)))))</f>
        <v>0</v>
      </c>
      <c r="I57" s="27" t="n">
        <f aca="false">IF(COUNT(Aveia!$E55:$Z55)=0,0,MAX(0,IF((I$6-$E$3)&lt;1,0,IFERROR(LOOKUP(2,1/(Aveia!$E55:INDEX(Aveia!$E55:$Z55,MIN(I$6-$E$3,22))&lt;&gt;""),Aveia!$E55:INDEX(Aveia!$E55:$Z55,MIN(I$6-$E$3,22))),0))-IF($G$2,0,IF((I$6-$G$3)&lt;1,0,IFERROR(LOOKUP(2,1/(Aveia!$E55:INDEX(Aveia!$E55:$Z55,MIN(I$6-$G$3,22))&lt;&gt;""),Aveia!$E55:INDEX(Aveia!$E55:$Z55,MIN(I$6-$G$3,22))),0)))))</f>
        <v>0</v>
      </c>
      <c r="J57" s="27" t="n">
        <f aca="false">IF(COUNT(Aveia!$E55:$Z55)=0,0,MAX(0,IF((J$6-$E$3)&lt;1,0,IFERROR(LOOKUP(2,1/(Aveia!$E55:INDEX(Aveia!$E55:$Z55,MIN(J$6-$E$3,22))&lt;&gt;""),Aveia!$E55:INDEX(Aveia!$E55:$Z55,MIN(J$6-$E$3,22))),0))-IF($G$2,0,IF((J$6-$G$3)&lt;1,0,IFERROR(LOOKUP(2,1/(Aveia!$E55:INDEX(Aveia!$E55:$Z55,MIN(J$6-$G$3,22))&lt;&gt;""),Aveia!$E55:INDEX(Aveia!$E55:$Z55,MIN(J$6-$G$3,22))),0)))))</f>
        <v>0</v>
      </c>
      <c r="K57" s="27" t="n">
        <f aca="false">IF(COUNT(Aveia!$E55:$Z55)=0,0,MAX(0,IF((K$6-$E$3)&lt;1,0,IFERROR(LOOKUP(2,1/(Aveia!$E55:INDEX(Aveia!$E55:$Z55,MIN(K$6-$E$3,22))&lt;&gt;""),Aveia!$E55:INDEX(Aveia!$E55:$Z55,MIN(K$6-$E$3,22))),0))-IF($G$2,0,IF((K$6-$G$3)&lt;1,0,IFERROR(LOOKUP(2,1/(Aveia!$E55:INDEX(Aveia!$E55:$Z55,MIN(K$6-$G$3,22))&lt;&gt;""),Aveia!$E55:INDEX(Aveia!$E55:$Z55,MIN(K$6-$G$3,22))),0)))))</f>
        <v>0</v>
      </c>
      <c r="L57" s="27" t="n">
        <f aca="false">IF(COUNT(Aveia!$E55:$Z55)=0,0,MAX(0,IF((L$6-$E$3)&lt;1,0,IFERROR(LOOKUP(2,1/(Aveia!$E55:INDEX(Aveia!$E55:$Z55,MIN(L$6-$E$3,22))&lt;&gt;""),Aveia!$E55:INDEX(Aveia!$E55:$Z55,MIN(L$6-$E$3,22))),0))-IF($G$2,0,IF((L$6-$G$3)&lt;1,0,IFERROR(LOOKUP(2,1/(Aveia!$E55:INDEX(Aveia!$E55:$Z55,MIN(L$6-$G$3,22))&lt;&gt;""),Aveia!$E55:INDEX(Aveia!$E55:$Z55,MIN(L$6-$G$3,22))),0)))))</f>
        <v>0</v>
      </c>
      <c r="M57" s="27" t="n">
        <f aca="false">IF(COUNT(Aveia!$E55:$Z55)=0,0,MAX(0,IF((M$6-$E$3)&lt;1,0,IFERROR(LOOKUP(2,1/(Aveia!$E55:INDEX(Aveia!$E55:$Z55,MIN(M$6-$E$3,22))&lt;&gt;""),Aveia!$E55:INDEX(Aveia!$E55:$Z55,MIN(M$6-$E$3,22))),0))-IF($G$2,0,IF((M$6-$G$3)&lt;1,0,IFERROR(LOOKUP(2,1/(Aveia!$E55:INDEX(Aveia!$E55:$Z55,MIN(M$6-$G$3,22))&lt;&gt;""),Aveia!$E55:INDEX(Aveia!$E55:$Z55,MIN(M$6-$G$3,22))),0)))))</f>
        <v>0</v>
      </c>
      <c r="N57" s="27" t="n">
        <f aca="false">IF(COUNT(Aveia!$E55:$Z55)=0,0,MAX(0,IF((N$6-$E$3)&lt;1,0,IFERROR(LOOKUP(2,1/(Aveia!$E55:INDEX(Aveia!$E55:$Z55,MIN(N$6-$E$3,22))&lt;&gt;""),Aveia!$E55:INDEX(Aveia!$E55:$Z55,MIN(N$6-$E$3,22))),0))-IF($G$2,0,IF((N$6-$G$3)&lt;1,0,IFERROR(LOOKUP(2,1/(Aveia!$E55:INDEX(Aveia!$E55:$Z55,MIN(N$6-$G$3,22))&lt;&gt;""),Aveia!$E55:INDEX(Aveia!$E55:$Z55,MIN(N$6-$G$3,22))),0)))))</f>
        <v>0</v>
      </c>
      <c r="O57" s="27" t="n">
        <f aca="false">IF(COUNT(Aveia!$E55:$Z55)=0,0,MAX(0,IF((O$6-$E$3)&lt;1,0,IFERROR(LOOKUP(2,1/(Aveia!$E55:INDEX(Aveia!$E55:$Z55,MIN(O$6-$E$3,22))&lt;&gt;""),Aveia!$E55:INDEX(Aveia!$E55:$Z55,MIN(O$6-$E$3,22))),0))-IF($G$2,0,IF((O$6-$G$3)&lt;1,0,IFERROR(LOOKUP(2,1/(Aveia!$E55:INDEX(Aveia!$E55:$Z55,MIN(O$6-$G$3,22))&lt;&gt;""),Aveia!$E55:INDEX(Aveia!$E55:$Z55,MIN(O$6-$G$3,22))),0)))))</f>
        <v>0</v>
      </c>
      <c r="P57" s="27" t="n">
        <f aca="false">IF(COUNT(Aveia!$E55:$Z55)=0,0,MAX(0,IF((P$6-$E$3)&lt;1,0,IFERROR(LOOKUP(2,1/(Aveia!$E55:INDEX(Aveia!$E55:$Z55,MIN(P$6-$E$3,22))&lt;&gt;""),Aveia!$E55:INDEX(Aveia!$E55:$Z55,MIN(P$6-$E$3,22))),0))-IF($G$2,0,IF((P$6-$G$3)&lt;1,0,IFERROR(LOOKUP(2,1/(Aveia!$E55:INDEX(Aveia!$E55:$Z55,MIN(P$6-$G$3,22))&lt;&gt;""),Aveia!$E55:INDEX(Aveia!$E55:$Z55,MIN(P$6-$G$3,22))),0)))))</f>
        <v>0</v>
      </c>
      <c r="Q57" s="27" t="n">
        <f aca="false">IF(COUNT(Aveia!$E55:$Z55)=0,0,MAX(0,IF((Q$6-$E$3)&lt;1,0,IFERROR(LOOKUP(2,1/(Aveia!$E55:INDEX(Aveia!$E55:$Z55,MIN(Q$6-$E$3,22))&lt;&gt;""),Aveia!$E55:INDEX(Aveia!$E55:$Z55,MIN(Q$6-$E$3,22))),0))-IF($G$2,0,IF((Q$6-$G$3)&lt;1,0,IFERROR(LOOKUP(2,1/(Aveia!$E55:INDEX(Aveia!$E55:$Z55,MIN(Q$6-$G$3,22))&lt;&gt;""),Aveia!$E55:INDEX(Aveia!$E55:$Z55,MIN(Q$6-$G$3,22))),0)))))</f>
        <v>0</v>
      </c>
      <c r="R57" s="27" t="n">
        <f aca="false">IF(COUNT(Aveia!$E55:$Z55)=0,0,MAX(0,IF((R$6-$E$3)&lt;1,0,IFERROR(LOOKUP(2,1/(Aveia!$E55:INDEX(Aveia!$E55:$Z55,MIN(R$6-$E$3,22))&lt;&gt;""),Aveia!$E55:INDEX(Aveia!$E55:$Z55,MIN(R$6-$E$3,22))),0))-IF($G$2,0,IF((R$6-$G$3)&lt;1,0,IFERROR(LOOKUP(2,1/(Aveia!$E55:INDEX(Aveia!$E55:$Z55,MIN(R$6-$G$3,22))&lt;&gt;""),Aveia!$E55:INDEX(Aveia!$E55:$Z55,MIN(R$6-$G$3,22))),0)))))</f>
        <v>0</v>
      </c>
      <c r="S57" s="27" t="n">
        <f aca="false">IF(COUNT(Aveia!$E55:$Z55)=0,0,MAX(0,IF((S$6-$E$3)&lt;1,0,IFERROR(LOOKUP(2,1/(Aveia!$E55:INDEX(Aveia!$E55:$Z55,MIN(S$6-$E$3,22))&lt;&gt;""),Aveia!$E55:INDEX(Aveia!$E55:$Z55,MIN(S$6-$E$3,22))),0))-IF($G$2,0,IF((S$6-$G$3)&lt;1,0,IFERROR(LOOKUP(2,1/(Aveia!$E55:INDEX(Aveia!$E55:$Z55,MIN(S$6-$G$3,22))&lt;&gt;""),Aveia!$E55:INDEX(Aveia!$E55:$Z55,MIN(S$6-$G$3,22))),0)))))</f>
        <v>0</v>
      </c>
      <c r="T57" s="27" t="n">
        <f aca="false">IF(COUNT(Aveia!$E55:$Z55)=0,0,MAX(0,IF((T$6-$E$3)&lt;1,0,IFERROR(LOOKUP(2,1/(Aveia!$E55:INDEX(Aveia!$E55:$Z55,MIN(T$6-$E$3,22))&lt;&gt;""),Aveia!$E55:INDEX(Aveia!$E55:$Z55,MIN(T$6-$E$3,22))),0))-IF($G$2,0,IF((T$6-$G$3)&lt;1,0,IFERROR(LOOKUP(2,1/(Aveia!$E55:INDEX(Aveia!$E55:$Z55,MIN(T$6-$G$3,22))&lt;&gt;""),Aveia!$E55:INDEX(Aveia!$E55:$Z55,MIN(T$6-$G$3,22))),0)))))</f>
        <v>0</v>
      </c>
      <c r="U57" s="27" t="n">
        <f aca="false">IF(COUNT(Aveia!$E55:$Z55)=0,0,MAX(0,IF((U$6-$E$3)&lt;1,0,IFERROR(LOOKUP(2,1/(Aveia!$E55:INDEX(Aveia!$E55:$Z55,MIN(U$6-$E$3,22))&lt;&gt;""),Aveia!$E55:INDEX(Aveia!$E55:$Z55,MIN(U$6-$E$3,22))),0))-IF($G$2,0,IF((U$6-$G$3)&lt;1,0,IFERROR(LOOKUP(2,1/(Aveia!$E55:INDEX(Aveia!$E55:$Z55,MIN(U$6-$G$3,22))&lt;&gt;""),Aveia!$E55:INDEX(Aveia!$E55:$Z55,MIN(U$6-$G$3,22))),0)))))</f>
        <v>0</v>
      </c>
      <c r="V57" s="27" t="n">
        <f aca="false">IF(COUNT(Aveia!$E55:$Z55)=0,0,MAX(0,IF((V$6-$E$3)&lt;1,0,IFERROR(LOOKUP(2,1/(Aveia!$E55:INDEX(Aveia!$E55:$Z55,MIN(V$6-$E$3,22))&lt;&gt;""),Aveia!$E55:INDEX(Aveia!$E55:$Z55,MIN(V$6-$E$3,22))),0))-IF($G$2,0,IF((V$6-$G$3)&lt;1,0,IFERROR(LOOKUP(2,1/(Aveia!$E55:INDEX(Aveia!$E55:$Z55,MIN(V$6-$G$3,22))&lt;&gt;""),Aveia!$E55:INDEX(Aveia!$E55:$Z55,MIN(V$6-$G$3,22))),0)))))</f>
        <v>0</v>
      </c>
      <c r="W57" s="27" t="n">
        <f aca="false">IF(COUNT(Aveia!$E55:$Z55)=0,0,MAX(0,IF((W$6-$E$3)&lt;1,0,IFERROR(LOOKUP(2,1/(Aveia!$E55:INDEX(Aveia!$E55:$Z55,MIN(W$6-$E$3,22))&lt;&gt;""),Aveia!$E55:INDEX(Aveia!$E55:$Z55,MIN(W$6-$E$3,22))),0))-IF($G$2,0,IF((W$6-$G$3)&lt;1,0,IFERROR(LOOKUP(2,1/(Aveia!$E55:INDEX(Aveia!$E55:$Z55,MIN(W$6-$G$3,22))&lt;&gt;""),Aveia!$E55:INDEX(Aveia!$E55:$Z55,MIN(W$6-$G$3,22))),0)))))</f>
        <v>0</v>
      </c>
      <c r="X57" s="27" t="n">
        <f aca="false">IF(COUNT(Aveia!$E55:$Z55)=0,0,MAX(0,IF((X$6-$E$3)&lt;1,0,IFERROR(LOOKUP(2,1/(Aveia!$E55:INDEX(Aveia!$E55:$Z55,MIN(X$6-$E$3,22))&lt;&gt;""),Aveia!$E55:INDEX(Aveia!$E55:$Z55,MIN(X$6-$E$3,22))),0))-IF($G$2,0,IF((X$6-$G$3)&lt;1,0,IFERROR(LOOKUP(2,1/(Aveia!$E55:INDEX(Aveia!$E55:$Z55,MIN(X$6-$G$3,22))&lt;&gt;""),Aveia!$E55:INDEX(Aveia!$E55:$Z55,MIN(X$6-$G$3,22))),0)))))</f>
        <v>0</v>
      </c>
      <c r="Y57" s="27" t="n">
        <f aca="false">IF(COUNT(Aveia!$E55:$Z55)=0,0,MAX(0,IF((Y$6-$E$3)&lt;1,0,IFERROR(LOOKUP(2,1/(Aveia!$E55:INDEX(Aveia!$E55:$Z55,MIN(Y$6-$E$3,22))&lt;&gt;""),Aveia!$E55:INDEX(Aveia!$E55:$Z55,MIN(Y$6-$E$3,22))),0))-IF($G$2,0,IF((Y$6-$G$3)&lt;1,0,IFERROR(LOOKUP(2,1/(Aveia!$E55:INDEX(Aveia!$E55:$Z55,MIN(Y$6-$G$3,22))&lt;&gt;""),Aveia!$E55:INDEX(Aveia!$E55:$Z55,MIN(Y$6-$G$3,22))),0)))))</f>
        <v>0</v>
      </c>
      <c r="Z57" s="27" t="n">
        <f aca="false">IF(COUNT(Aveia!$E55:$Z55)=0,0,MAX(0,IF((Z$6-$E$3)&lt;1,0,IFERROR(LOOKUP(2,1/(Aveia!$E55:INDEX(Aveia!$E55:$Z55,MIN(Z$6-$E$3,22))&lt;&gt;""),Aveia!$E55:INDEX(Aveia!$E55:$Z55,MIN(Z$6-$E$3,22))),0))-IF($G$2,0,IF((Z$6-$G$3)&lt;1,0,IFERROR(LOOKUP(2,1/(Aveia!$E55:INDEX(Aveia!$E55:$Z55,MIN(Z$6-$G$3,22))&lt;&gt;""),Aveia!$E55:INDEX(Aveia!$E55:$Z55,MIN(Z$6-$G$3,22))),0)))))</f>
        <v>0</v>
      </c>
      <c r="AA57" s="27" t="n">
        <f aca="false">IF(COUNT(Aveia!$E55:$Z55)=0,0,MAX(0,IF((AA$6-$E$3)&lt;1,0,IFERROR(LOOKUP(2,1/(Aveia!$E55:INDEX(Aveia!$E55:$Z55,MIN(AA$6-$E$3,22))&lt;&gt;""),Aveia!$E55:INDEX(Aveia!$E55:$Z55,MIN(AA$6-$E$3,22))),0))-IF($G$2,0,IF((AA$6-$G$3)&lt;1,0,IFERROR(LOOKUP(2,1/(Aveia!$E55:INDEX(Aveia!$E55:$Z55,MIN(AA$6-$G$3,22))&lt;&gt;""),Aveia!$E55:INDEX(Aveia!$E55:$Z55,MIN(AA$6-$G$3,22))),0)))))</f>
        <v>0</v>
      </c>
      <c r="AB57" s="27" t="n">
        <f aca="false">IF(COUNT(Aveia!$E55:$Z55)=0,0,MAX(0,IF((AB$6-$E$3)&lt;1,0,IFERROR(LOOKUP(2,1/(Aveia!$E55:INDEX(Aveia!$E55:$Z55,MIN(AB$6-$E$3,22))&lt;&gt;""),Aveia!$E55:INDEX(Aveia!$E55:$Z55,MIN(AB$6-$E$3,22))),0))-IF($G$2,0,IF((AB$6-$G$3)&lt;1,0,IFERROR(LOOKUP(2,1/(Aveia!$E55:INDEX(Aveia!$E55:$Z55,MIN(AB$6-$G$3,22))&lt;&gt;""),Aveia!$E55:INDEX(Aveia!$E55:$Z55,MIN(AB$6-$G$3,22))),0)))))</f>
        <v>0</v>
      </c>
      <c r="AC57" s="27" t="n">
        <f aca="false">IF(COUNT(Aveia!$E55:$Z55)=0,0,MAX(0,IF((AC$6-$E$3)&lt;1,0,IFERROR(LOOKUP(2,1/(Aveia!$E55:INDEX(Aveia!$E55:$Z55,MIN(AC$6-$E$3,22))&lt;&gt;""),Aveia!$E55:INDEX(Aveia!$E55:$Z55,MIN(AC$6-$E$3,22))),0))-IF($G$2,0,IF((AC$6-$G$3)&lt;1,0,IFERROR(LOOKUP(2,1/(Aveia!$E55:INDEX(Aveia!$E55:$Z55,MIN(AC$6-$G$3,22))&lt;&gt;""),Aveia!$E55:INDEX(Aveia!$E55:$Z55,MIN(AC$6-$G$3,22))),0)))))</f>
        <v>0</v>
      </c>
      <c r="AD57" s="27" t="n">
        <f aca="false">IF(COUNT(Aveia!$E55:$Z55)=0,0,MAX(0,IF((AD$6-$E$3)&lt;1,0,IFERROR(LOOKUP(2,1/(Aveia!$E55:INDEX(Aveia!$E55:$Z55,MIN(AD$6-$E$3,22))&lt;&gt;""),Aveia!$E55:INDEX(Aveia!$E55:$Z55,MIN(AD$6-$E$3,22))),0))-IF($G$2,0,IF((AD$6-$G$3)&lt;1,0,IFERROR(LOOKUP(2,1/(Aveia!$E55:INDEX(Aveia!$E55:$Z55,MIN(AD$6-$G$3,22))&lt;&gt;""),Aveia!$E55:INDEX(Aveia!$E55:$Z55,MIN(AD$6-$G$3,22))),0)))))</f>
        <v>0</v>
      </c>
      <c r="AE57" s="27" t="n">
        <f aca="false">IF(COUNT(Aveia!$E55:$Z55)=0,0,MAX(0,IF((AE$6-$E$3)&lt;1,0,IFERROR(LOOKUP(2,1/(Aveia!$E55:INDEX(Aveia!$E55:$Z55,MIN(AE$6-$E$3,22))&lt;&gt;""),Aveia!$E55:INDEX(Aveia!$E55:$Z55,MIN(AE$6-$E$3,22))),0))-IF($G$2,0,IF((AE$6-$G$3)&lt;1,0,IFERROR(LOOKUP(2,1/(Aveia!$E55:INDEX(Aveia!$E55:$Z55,MIN(AE$6-$G$3,22))&lt;&gt;""),Aveia!$E55:INDEX(Aveia!$E55:$Z55,MIN(AE$6-$G$3,22))),0)))))</f>
        <v>0</v>
      </c>
      <c r="AF57" s="27" t="n">
        <f aca="false">IF(COUNT(Aveia!$E55:$Z55)=0,0,MAX(0,IF((AF$6-$E$3)&lt;1,0,IFERROR(LOOKUP(2,1/(Aveia!$E55:INDEX(Aveia!$E55:$Z55,MIN(AF$6-$E$3,22))&lt;&gt;""),Aveia!$E55:INDEX(Aveia!$E55:$Z55,MIN(AF$6-$E$3,22))),0))-IF($G$2,0,IF((AF$6-$G$3)&lt;1,0,IFERROR(LOOKUP(2,1/(Aveia!$E55:INDEX(Aveia!$E55:$Z55,MIN(AF$6-$G$3,22))&lt;&gt;""),Aveia!$E55:INDEX(Aveia!$E55:$Z55,MIN(AF$6-$G$3,22))),0)))))</f>
        <v>0</v>
      </c>
      <c r="AG57" s="27" t="n">
        <f aca="false">IF(COUNT(Aveia!$E55:$Z55)=0,0,MAX(0,IF((AG$6-$E$3)&lt;1,0,IFERROR(LOOKUP(2,1/(Aveia!$E55:INDEX(Aveia!$E55:$Z55,MIN(AG$6-$E$3,22))&lt;&gt;""),Aveia!$E55:INDEX(Aveia!$E55:$Z55,MIN(AG$6-$E$3,22))),0))-IF($G$2,0,IF((AG$6-$G$3)&lt;1,0,IFERROR(LOOKUP(2,1/(Aveia!$E55:INDEX(Aveia!$E55:$Z55,MIN(AG$6-$G$3,22))&lt;&gt;""),Aveia!$E55:INDEX(Aveia!$E55:$Z55,MIN(AG$6-$G$3,22))),0)))))</f>
        <v>0</v>
      </c>
      <c r="AH57" s="27" t="n">
        <f aca="false">IF(COUNT(Aveia!$E55:$Z55)=0,0,MAX(0,IF((AH$6-$E$3)&lt;1,0,IFERROR(LOOKUP(2,1/(Aveia!$E55:INDEX(Aveia!$E55:$Z55,MIN(AH$6-$E$3,22))&lt;&gt;""),Aveia!$E55:INDEX(Aveia!$E55:$Z55,MIN(AH$6-$E$3,22))),0))-IF($G$2,0,IF((AH$6-$G$3)&lt;1,0,IFERROR(LOOKUP(2,1/(Aveia!$E55:INDEX(Aveia!$E55:$Z55,MIN(AH$6-$G$3,22))&lt;&gt;""),Aveia!$E55:INDEX(Aveia!$E55:$Z55,MIN(AH$6-$G$3,22))),0)))))</f>
        <v>0</v>
      </c>
      <c r="AI57" s="27" t="n">
        <f aca="false">IF(COUNT(Aveia!$E55:$Z55)=0,0,MAX(0,IF((AI$6-$E$3)&lt;1,0,IFERROR(LOOKUP(2,1/(Aveia!$E55:INDEX(Aveia!$E55:$Z55,MIN(AI$6-$E$3,22))&lt;&gt;""),Aveia!$E55:INDEX(Aveia!$E55:$Z55,MIN(AI$6-$E$3,22))),0))-IF($G$2,0,IF((AI$6-$G$3)&lt;1,0,IFERROR(LOOKUP(2,1/(Aveia!$E55:INDEX(Aveia!$E55:$Z55,MIN(AI$6-$G$3,22))&lt;&gt;""),Aveia!$E55:INDEX(Aveia!$E55:$Z55,MIN(AI$6-$G$3,22))),0)))))</f>
        <v>0</v>
      </c>
      <c r="AJ57" s="27" t="n">
        <f aca="false">IF(COUNT(Aveia!$E55:$Z55)=0,0,MAX(0,IF((AJ$6-$E$3)&lt;1,0,IFERROR(LOOKUP(2,1/(Aveia!$E55:INDEX(Aveia!$E55:$Z55,MIN(AJ$6-$E$3,22))&lt;&gt;""),Aveia!$E55:INDEX(Aveia!$E55:$Z55,MIN(AJ$6-$E$3,22))),0))-IF($G$2,0,IF((AJ$6-$G$3)&lt;1,0,IFERROR(LOOKUP(2,1/(Aveia!$E55:INDEX(Aveia!$E55:$Z55,MIN(AJ$6-$G$3,22))&lt;&gt;""),Aveia!$E55:INDEX(Aveia!$E55:$Z55,MIN(AJ$6-$G$3,22))),0)))))</f>
        <v>0</v>
      </c>
      <c r="AK57" s="27" t="n">
        <f aca="false">IF(COUNT(Aveia!$E55:$Z55)=0,0,MAX(0,IF((AK$6-$E$3)&lt;1,0,IFERROR(LOOKUP(2,1/(Aveia!$E55:INDEX(Aveia!$E55:$Z55,MIN(AK$6-$E$3,22))&lt;&gt;""),Aveia!$E55:INDEX(Aveia!$E55:$Z55,MIN(AK$6-$E$3,22))),0))-IF($G$2,0,IF((AK$6-$G$3)&lt;1,0,IFERROR(LOOKUP(2,1/(Aveia!$E55:INDEX(Aveia!$E55:$Z55,MIN(AK$6-$G$3,22))&lt;&gt;""),Aveia!$E55:INDEX(Aveia!$E55:$Z55,MIN(AK$6-$G$3,22))),0)))))</f>
        <v>0</v>
      </c>
      <c r="AL57" s="27" t="n">
        <f aca="false">IF(COUNT(Aveia!$E55:$Z55)=0,0,MAX(0,IF((AL$6-$E$3)&lt;1,0,IFERROR(LOOKUP(2,1/(Aveia!$E55:INDEX(Aveia!$E55:$Z55,MIN(AL$6-$E$3,22))&lt;&gt;""),Aveia!$E55:INDEX(Aveia!$E55:$Z55,MIN(AL$6-$E$3,22))),0))-IF($G$2,0,IF((AL$6-$G$3)&lt;1,0,IFERROR(LOOKUP(2,1/(Aveia!$E55:INDEX(Aveia!$E55:$Z55,MIN(AL$6-$G$3,22))&lt;&gt;""),Aveia!$E55:INDEX(Aveia!$E55:$Z55,MIN(AL$6-$G$3,22))),0)))))</f>
        <v>0</v>
      </c>
      <c r="AM57" s="27" t="n">
        <f aca="false">IF(COUNT(Aveia!$E55:$Z55)=0,0,MAX(0,IF((AM$6-$E$3)&lt;1,0,IFERROR(LOOKUP(2,1/(Aveia!$E55:INDEX(Aveia!$E55:$Z55,MIN(AM$6-$E$3,22))&lt;&gt;""),Aveia!$E55:INDEX(Aveia!$E55:$Z55,MIN(AM$6-$E$3,22))),0))-IF($G$2,0,IF((AM$6-$G$3)&lt;1,0,IFERROR(LOOKUP(2,1/(Aveia!$E55:INDEX(Aveia!$E55:$Z55,MIN(AM$6-$G$3,22))&lt;&gt;""),Aveia!$E55:INDEX(Aveia!$E55:$Z55,MIN(AM$6-$G$3,22))),0)))))</f>
        <v>0</v>
      </c>
      <c r="AN57" s="27" t="n">
        <f aca="false">IF(COUNT(Aveia!$E55:$Z55)=0,0,MAX(0,IF((AN$6-$E$3)&lt;1,0,IFERROR(LOOKUP(2,1/(Aveia!$E55:INDEX(Aveia!$E55:$Z55,MIN(AN$6-$E$3,22))&lt;&gt;""),Aveia!$E55:INDEX(Aveia!$E55:$Z55,MIN(AN$6-$E$3,22))),0))-IF($G$2,0,IF((AN$6-$G$3)&lt;1,0,IFERROR(LOOKUP(2,1/(Aveia!$E55:INDEX(Aveia!$E55:$Z55,MIN(AN$6-$G$3,22))&lt;&gt;""),Aveia!$E55:INDEX(Aveia!$E55:$Z55,MIN(AN$6-$G$3,22))),0)))))</f>
        <v>0</v>
      </c>
      <c r="AO57" s="27" t="n">
        <f aca="false">IF(COUNT(Aveia!$E55:$Z55)=0,0,MAX(0,IF((AO$6-$E$3)&lt;1,0,IFERROR(LOOKUP(2,1/(Aveia!$E55:INDEX(Aveia!$E55:$Z55,MIN(AO$6-$E$3,22))&lt;&gt;""),Aveia!$E55:INDEX(Aveia!$E55:$Z55,MIN(AO$6-$E$3,22))),0))-IF($G$2,0,IF((AO$6-$G$3)&lt;1,0,IFERROR(LOOKUP(2,1/(Aveia!$E55:INDEX(Aveia!$E55:$Z55,MIN(AO$6-$G$3,22))&lt;&gt;""),Aveia!$E55:INDEX(Aveia!$E55:$Z55,MIN(AO$6-$G$3,22))),0)))))</f>
        <v>0</v>
      </c>
      <c r="AP57" s="27" t="n">
        <f aca="false">IF(COUNT(Aveia!$E55:$Z55)=0,0,MAX(0,IF((AP$6-$E$3)&lt;1,0,IFERROR(LOOKUP(2,1/(Aveia!$E55:INDEX(Aveia!$E55:$Z55,MIN(AP$6-$E$3,22))&lt;&gt;""),Aveia!$E55:INDEX(Aveia!$E55:$Z55,MIN(AP$6-$E$3,22))),0))-IF($G$2,0,IF((AP$6-$G$3)&lt;1,0,IFERROR(LOOKUP(2,1/(Aveia!$E55:INDEX(Aveia!$E55:$Z55,MIN(AP$6-$G$3,22))&lt;&gt;""),Aveia!$E55:INDEX(Aveia!$E55:$Z55,MIN(AP$6-$G$3,22))),0)))))</f>
        <v>0</v>
      </c>
      <c r="AQ57" s="27" t="n">
        <f aca="false">IF(COUNT(Aveia!$E55:$Z55)=0,0,MAX(0,IF((AQ$6-$E$3)&lt;1,0,IFERROR(LOOKUP(2,1/(Aveia!$E55:INDEX(Aveia!$E55:$Z55,MIN(AQ$6-$E$3,22))&lt;&gt;""),Aveia!$E55:INDEX(Aveia!$E55:$Z55,MIN(AQ$6-$E$3,22))),0))-IF($G$2,0,IF((AQ$6-$G$3)&lt;1,0,IFERROR(LOOKUP(2,1/(Aveia!$E55:INDEX(Aveia!$E55:$Z55,MIN(AQ$6-$G$3,22))&lt;&gt;""),Aveia!$E55:INDEX(Aveia!$E55:$Z55,MIN(AQ$6-$G$3,22))),0)))))</f>
        <v>0</v>
      </c>
      <c r="AR57" s="27" t="n">
        <f aca="false">IF(COUNT(Aveia!$E55:$Z55)=0,0,MAX(0,IF((AR$6-$E$3)&lt;1,0,IFERROR(LOOKUP(2,1/(Aveia!$E55:INDEX(Aveia!$E55:$Z55,MIN(AR$6-$E$3,22))&lt;&gt;""),Aveia!$E55:INDEX(Aveia!$E55:$Z55,MIN(AR$6-$E$3,22))),0))-IF($G$2,0,IF((AR$6-$G$3)&lt;1,0,IFERROR(LOOKUP(2,1/(Aveia!$E55:INDEX(Aveia!$E55:$Z55,MIN(AR$6-$G$3,22))&lt;&gt;""),Aveia!$E55:INDEX(Aveia!$E55:$Z55,MIN(AR$6-$G$3,22))),0)))))</f>
        <v>0</v>
      </c>
      <c r="AS57" s="27" t="n">
        <f aca="false">IF(COUNT(Aveia!$E55:$Z55)=0,0,MAX(0,IF((AS$6-$E$3)&lt;1,0,IFERROR(LOOKUP(2,1/(Aveia!$E55:INDEX(Aveia!$E55:$Z55,MIN(AS$6-$E$3,22))&lt;&gt;""),Aveia!$E55:INDEX(Aveia!$E55:$Z55,MIN(AS$6-$E$3,22))),0))-IF($G$2,0,IF((AS$6-$G$3)&lt;1,0,IFERROR(LOOKUP(2,1/(Aveia!$E55:INDEX(Aveia!$E55:$Z55,MIN(AS$6-$G$3,22))&lt;&gt;""),Aveia!$E55:INDEX(Aveia!$E55:$Z55,MIN(AS$6-$G$3,22))),0)))))</f>
        <v>0</v>
      </c>
      <c r="AT57" s="27" t="n">
        <f aca="false">IF(COUNT(Aveia!$E55:$Z55)=0,0,MAX(0,IF((AT$6-$E$3)&lt;1,0,IFERROR(LOOKUP(2,1/(Aveia!$E55:INDEX(Aveia!$E55:$Z55,MIN(AT$6-$E$3,22))&lt;&gt;""),Aveia!$E55:INDEX(Aveia!$E55:$Z55,MIN(AT$6-$E$3,22))),0))-IF($G$2,0,IF((AT$6-$G$3)&lt;1,0,IFERROR(LOOKUP(2,1/(Aveia!$E55:INDEX(Aveia!$E55:$Z55,MIN(AT$6-$G$3,22))&lt;&gt;""),Aveia!$E55:INDEX(Aveia!$E55:$Z55,MIN(AT$6-$G$3,22))),0)))))</f>
        <v>0</v>
      </c>
      <c r="AU57" s="27" t="n">
        <f aca="false">IF(COUNT(Aveia!$E55:$Z55)=0,0,MAX(0,IF((AU$6-$E$3)&lt;1,0,IFERROR(LOOKUP(2,1/(Aveia!$E55:INDEX(Aveia!$E55:$Z55,MIN(AU$6-$E$3,22))&lt;&gt;""),Aveia!$E55:INDEX(Aveia!$E55:$Z55,MIN(AU$6-$E$3,22))),0))-IF($G$2,0,IF((AU$6-$G$3)&lt;1,0,IFERROR(LOOKUP(2,1/(Aveia!$E55:INDEX(Aveia!$E55:$Z55,MIN(AU$6-$G$3,22))&lt;&gt;""),Aveia!$E55:INDEX(Aveia!$E55:$Z55,MIN(AU$6-$G$3,22))),0)))))</f>
        <v>0</v>
      </c>
      <c r="AV57" s="27" t="n">
        <f aca="false">IF(COUNT(Aveia!$E55:$Z55)=0,0,MAX(0,IF((AV$6-$E$3)&lt;1,0,IFERROR(LOOKUP(2,1/(Aveia!$E55:INDEX(Aveia!$E55:$Z55,MIN(AV$6-$E$3,22))&lt;&gt;""),Aveia!$E55:INDEX(Aveia!$E55:$Z55,MIN(AV$6-$E$3,22))),0))-IF($G$2,0,IF((AV$6-$G$3)&lt;1,0,IFERROR(LOOKUP(2,1/(Aveia!$E55:INDEX(Aveia!$E55:$Z55,MIN(AV$6-$G$3,22))&lt;&gt;""),Aveia!$E55:INDEX(Aveia!$E55:$Z55,MIN(AV$6-$G$3,22))),0)))))</f>
        <v>0</v>
      </c>
      <c r="AW57" s="27" t="n">
        <f aca="false">IF(COUNT(Aveia!$E55:$Z55)=0,0,MAX(0,IF((AW$6-$E$3)&lt;1,0,IFERROR(LOOKUP(2,1/(Aveia!$E55:INDEX(Aveia!$E55:$Z55,MIN(AW$6-$E$3,22))&lt;&gt;""),Aveia!$E55:INDEX(Aveia!$E55:$Z55,MIN(AW$6-$E$3,22))),0))-IF($G$2,0,IF((AW$6-$G$3)&lt;1,0,IFERROR(LOOKUP(2,1/(Aveia!$E55:INDEX(Aveia!$E55:$Z55,MIN(AW$6-$G$3,22))&lt;&gt;""),Aveia!$E55:INDEX(Aveia!$E55:$Z55,MIN(AW$6-$G$3,22))),0)))))</f>
        <v>0</v>
      </c>
      <c r="AX57" s="27" t="n">
        <f aca="false">IF(COUNT(Aveia!$E55:$Z55)=0,0,MAX(0,IF((AX$6-$E$3)&lt;1,0,IFERROR(LOOKUP(2,1/(Aveia!$E55:INDEX(Aveia!$E55:$Z55,MIN(AX$6-$E$3,22))&lt;&gt;""),Aveia!$E55:INDEX(Aveia!$E55:$Z55,MIN(AX$6-$E$3,22))),0))-IF($G$2,0,IF((AX$6-$G$3)&lt;1,0,IFERROR(LOOKUP(2,1/(Aveia!$E55:INDEX(Aveia!$E55:$Z55,MIN(AX$6-$G$3,22))&lt;&gt;""),Aveia!$E55:INDEX(Aveia!$E55:$Z55,MIN(AX$6-$G$3,22))),0)))))</f>
        <v>0</v>
      </c>
      <c r="AY57" s="27" t="n">
        <f aca="false">IF(COUNT(Aveia!$E55:$Z55)=0,0,MAX(0,IF((AY$6-$E$3)&lt;1,0,IFERROR(LOOKUP(2,1/(Aveia!$E55:INDEX(Aveia!$E55:$Z55,MIN(AY$6-$E$3,22))&lt;&gt;""),Aveia!$E55:INDEX(Aveia!$E55:$Z55,MIN(AY$6-$E$3,22))),0))-IF($G$2,0,IF((AY$6-$G$3)&lt;1,0,IFERROR(LOOKUP(2,1/(Aveia!$E55:INDEX(Aveia!$E55:$Z55,MIN(AY$6-$G$3,22))&lt;&gt;""),Aveia!$E55:INDEX(Aveia!$E55:$Z55,MIN(AY$6-$G$3,22))),0)))))</f>
        <v>0</v>
      </c>
      <c r="AZ57" s="27" t="n">
        <f aca="false">IF(COUNT(Aveia!$E55:$Z55)=0,0,MAX(0,IF((AZ$6-$E$3)&lt;1,0,IFERROR(LOOKUP(2,1/(Aveia!$E55:INDEX(Aveia!$E55:$Z55,MIN(AZ$6-$E$3,22))&lt;&gt;""),Aveia!$E55:INDEX(Aveia!$E55:$Z55,MIN(AZ$6-$E$3,22))),0))-IF($G$2,0,IF((AZ$6-$G$3)&lt;1,0,IFERROR(LOOKUP(2,1/(Aveia!$E55:INDEX(Aveia!$E55:$Z55,MIN(AZ$6-$G$3,22))&lt;&gt;""),Aveia!$E55:INDEX(Aveia!$E55:$Z55,MIN(AZ$6-$G$3,22))),0)))))</f>
        <v>0</v>
      </c>
    </row>
    <row r="58" customFormat="false" ht="15" hidden="false" customHeight="false" outlineLevel="0" collapsed="false">
      <c r="A58" s="3" t="s">
        <v>236</v>
      </c>
      <c r="B58" s="3" t="s">
        <v>237</v>
      </c>
      <c r="C58" s="10" t="s">
        <v>200</v>
      </c>
      <c r="D58" s="26" t="n">
        <f aca="false">IF(COUNT(Aveia!$E56:$Z56)&gt;0,N(Aveia!$D56),0)</f>
        <v>0</v>
      </c>
      <c r="E58" s="27" t="n">
        <f aca="false">IF(COUNT(Aveia!$E56:$Z56)=0,0,MAX(0,IF((E$6-$E$3)&lt;1,0,IFERROR(LOOKUP(2,1/(Aveia!$E56:INDEX(Aveia!$E56:$Z56,MIN(E$6-$E$3,22))&lt;&gt;""),Aveia!$E56:INDEX(Aveia!$E56:$Z56,MIN(E$6-$E$3,22))),0))-IF($G$2,0,IF((E$6-$G$3)&lt;1,0,IFERROR(LOOKUP(2,1/(Aveia!$E56:INDEX(Aveia!$E56:$Z56,MIN(E$6-$G$3,22))&lt;&gt;""),Aveia!$E56:INDEX(Aveia!$E56:$Z56,MIN(E$6-$G$3,22))),0)))))</f>
        <v>0</v>
      </c>
      <c r="F58" s="27" t="n">
        <f aca="false">IF(COUNT(Aveia!$E56:$Z56)=0,0,MAX(0,IF((F$6-$E$3)&lt;1,0,IFERROR(LOOKUP(2,1/(Aveia!$E56:INDEX(Aveia!$E56:$Z56,MIN(F$6-$E$3,22))&lt;&gt;""),Aveia!$E56:INDEX(Aveia!$E56:$Z56,MIN(F$6-$E$3,22))),0))-IF($G$2,0,IF((F$6-$G$3)&lt;1,0,IFERROR(LOOKUP(2,1/(Aveia!$E56:INDEX(Aveia!$E56:$Z56,MIN(F$6-$G$3,22))&lt;&gt;""),Aveia!$E56:INDEX(Aveia!$E56:$Z56,MIN(F$6-$G$3,22))),0)))))</f>
        <v>0</v>
      </c>
      <c r="G58" s="27" t="n">
        <f aca="false">IF(COUNT(Aveia!$E56:$Z56)=0,0,MAX(0,IF((G$6-$E$3)&lt;1,0,IFERROR(LOOKUP(2,1/(Aveia!$E56:INDEX(Aveia!$E56:$Z56,MIN(G$6-$E$3,22))&lt;&gt;""),Aveia!$E56:INDEX(Aveia!$E56:$Z56,MIN(G$6-$E$3,22))),0))-IF($G$2,0,IF((G$6-$G$3)&lt;1,0,IFERROR(LOOKUP(2,1/(Aveia!$E56:INDEX(Aveia!$E56:$Z56,MIN(G$6-$G$3,22))&lt;&gt;""),Aveia!$E56:INDEX(Aveia!$E56:$Z56,MIN(G$6-$G$3,22))),0)))))</f>
        <v>0</v>
      </c>
      <c r="H58" s="27" t="n">
        <f aca="false">IF(COUNT(Aveia!$E56:$Z56)=0,0,MAX(0,IF((H$6-$E$3)&lt;1,0,IFERROR(LOOKUP(2,1/(Aveia!$E56:INDEX(Aveia!$E56:$Z56,MIN(H$6-$E$3,22))&lt;&gt;""),Aveia!$E56:INDEX(Aveia!$E56:$Z56,MIN(H$6-$E$3,22))),0))-IF($G$2,0,IF((H$6-$G$3)&lt;1,0,IFERROR(LOOKUP(2,1/(Aveia!$E56:INDEX(Aveia!$E56:$Z56,MIN(H$6-$G$3,22))&lt;&gt;""),Aveia!$E56:INDEX(Aveia!$E56:$Z56,MIN(H$6-$G$3,22))),0)))))</f>
        <v>0</v>
      </c>
      <c r="I58" s="27" t="n">
        <f aca="false">IF(COUNT(Aveia!$E56:$Z56)=0,0,MAX(0,IF((I$6-$E$3)&lt;1,0,IFERROR(LOOKUP(2,1/(Aveia!$E56:INDEX(Aveia!$E56:$Z56,MIN(I$6-$E$3,22))&lt;&gt;""),Aveia!$E56:INDEX(Aveia!$E56:$Z56,MIN(I$6-$E$3,22))),0))-IF($G$2,0,IF((I$6-$G$3)&lt;1,0,IFERROR(LOOKUP(2,1/(Aveia!$E56:INDEX(Aveia!$E56:$Z56,MIN(I$6-$G$3,22))&lt;&gt;""),Aveia!$E56:INDEX(Aveia!$E56:$Z56,MIN(I$6-$G$3,22))),0)))))</f>
        <v>0</v>
      </c>
      <c r="J58" s="27" t="n">
        <f aca="false">IF(COUNT(Aveia!$E56:$Z56)=0,0,MAX(0,IF((J$6-$E$3)&lt;1,0,IFERROR(LOOKUP(2,1/(Aveia!$E56:INDEX(Aveia!$E56:$Z56,MIN(J$6-$E$3,22))&lt;&gt;""),Aveia!$E56:INDEX(Aveia!$E56:$Z56,MIN(J$6-$E$3,22))),0))-IF($G$2,0,IF((J$6-$G$3)&lt;1,0,IFERROR(LOOKUP(2,1/(Aveia!$E56:INDEX(Aveia!$E56:$Z56,MIN(J$6-$G$3,22))&lt;&gt;""),Aveia!$E56:INDEX(Aveia!$E56:$Z56,MIN(J$6-$G$3,22))),0)))))</f>
        <v>0</v>
      </c>
      <c r="K58" s="27" t="n">
        <f aca="false">IF(COUNT(Aveia!$E56:$Z56)=0,0,MAX(0,IF((K$6-$E$3)&lt;1,0,IFERROR(LOOKUP(2,1/(Aveia!$E56:INDEX(Aveia!$E56:$Z56,MIN(K$6-$E$3,22))&lt;&gt;""),Aveia!$E56:INDEX(Aveia!$E56:$Z56,MIN(K$6-$E$3,22))),0))-IF($G$2,0,IF((K$6-$G$3)&lt;1,0,IFERROR(LOOKUP(2,1/(Aveia!$E56:INDEX(Aveia!$E56:$Z56,MIN(K$6-$G$3,22))&lt;&gt;""),Aveia!$E56:INDEX(Aveia!$E56:$Z56,MIN(K$6-$G$3,22))),0)))))</f>
        <v>0</v>
      </c>
      <c r="L58" s="27" t="n">
        <f aca="false">IF(COUNT(Aveia!$E56:$Z56)=0,0,MAX(0,IF((L$6-$E$3)&lt;1,0,IFERROR(LOOKUP(2,1/(Aveia!$E56:INDEX(Aveia!$E56:$Z56,MIN(L$6-$E$3,22))&lt;&gt;""),Aveia!$E56:INDEX(Aveia!$E56:$Z56,MIN(L$6-$E$3,22))),0))-IF($G$2,0,IF((L$6-$G$3)&lt;1,0,IFERROR(LOOKUP(2,1/(Aveia!$E56:INDEX(Aveia!$E56:$Z56,MIN(L$6-$G$3,22))&lt;&gt;""),Aveia!$E56:INDEX(Aveia!$E56:$Z56,MIN(L$6-$G$3,22))),0)))))</f>
        <v>0</v>
      </c>
      <c r="M58" s="27" t="n">
        <f aca="false">IF(COUNT(Aveia!$E56:$Z56)=0,0,MAX(0,IF((M$6-$E$3)&lt;1,0,IFERROR(LOOKUP(2,1/(Aveia!$E56:INDEX(Aveia!$E56:$Z56,MIN(M$6-$E$3,22))&lt;&gt;""),Aveia!$E56:INDEX(Aveia!$E56:$Z56,MIN(M$6-$E$3,22))),0))-IF($G$2,0,IF((M$6-$G$3)&lt;1,0,IFERROR(LOOKUP(2,1/(Aveia!$E56:INDEX(Aveia!$E56:$Z56,MIN(M$6-$G$3,22))&lt;&gt;""),Aveia!$E56:INDEX(Aveia!$E56:$Z56,MIN(M$6-$G$3,22))),0)))))</f>
        <v>0</v>
      </c>
      <c r="N58" s="27" t="n">
        <f aca="false">IF(COUNT(Aveia!$E56:$Z56)=0,0,MAX(0,IF((N$6-$E$3)&lt;1,0,IFERROR(LOOKUP(2,1/(Aveia!$E56:INDEX(Aveia!$E56:$Z56,MIN(N$6-$E$3,22))&lt;&gt;""),Aveia!$E56:INDEX(Aveia!$E56:$Z56,MIN(N$6-$E$3,22))),0))-IF($G$2,0,IF((N$6-$G$3)&lt;1,0,IFERROR(LOOKUP(2,1/(Aveia!$E56:INDEX(Aveia!$E56:$Z56,MIN(N$6-$G$3,22))&lt;&gt;""),Aveia!$E56:INDEX(Aveia!$E56:$Z56,MIN(N$6-$G$3,22))),0)))))</f>
        <v>0</v>
      </c>
      <c r="O58" s="27" t="n">
        <f aca="false">IF(COUNT(Aveia!$E56:$Z56)=0,0,MAX(0,IF((O$6-$E$3)&lt;1,0,IFERROR(LOOKUP(2,1/(Aveia!$E56:INDEX(Aveia!$E56:$Z56,MIN(O$6-$E$3,22))&lt;&gt;""),Aveia!$E56:INDEX(Aveia!$E56:$Z56,MIN(O$6-$E$3,22))),0))-IF($G$2,0,IF((O$6-$G$3)&lt;1,0,IFERROR(LOOKUP(2,1/(Aveia!$E56:INDEX(Aveia!$E56:$Z56,MIN(O$6-$G$3,22))&lt;&gt;""),Aveia!$E56:INDEX(Aveia!$E56:$Z56,MIN(O$6-$G$3,22))),0)))))</f>
        <v>0</v>
      </c>
      <c r="P58" s="27" t="n">
        <f aca="false">IF(COUNT(Aveia!$E56:$Z56)=0,0,MAX(0,IF((P$6-$E$3)&lt;1,0,IFERROR(LOOKUP(2,1/(Aveia!$E56:INDEX(Aveia!$E56:$Z56,MIN(P$6-$E$3,22))&lt;&gt;""),Aveia!$E56:INDEX(Aveia!$E56:$Z56,MIN(P$6-$E$3,22))),0))-IF($G$2,0,IF((P$6-$G$3)&lt;1,0,IFERROR(LOOKUP(2,1/(Aveia!$E56:INDEX(Aveia!$E56:$Z56,MIN(P$6-$G$3,22))&lt;&gt;""),Aveia!$E56:INDEX(Aveia!$E56:$Z56,MIN(P$6-$G$3,22))),0)))))</f>
        <v>0</v>
      </c>
      <c r="Q58" s="27" t="n">
        <f aca="false">IF(COUNT(Aveia!$E56:$Z56)=0,0,MAX(0,IF((Q$6-$E$3)&lt;1,0,IFERROR(LOOKUP(2,1/(Aveia!$E56:INDEX(Aveia!$E56:$Z56,MIN(Q$6-$E$3,22))&lt;&gt;""),Aveia!$E56:INDEX(Aveia!$E56:$Z56,MIN(Q$6-$E$3,22))),0))-IF($G$2,0,IF((Q$6-$G$3)&lt;1,0,IFERROR(LOOKUP(2,1/(Aveia!$E56:INDEX(Aveia!$E56:$Z56,MIN(Q$6-$G$3,22))&lt;&gt;""),Aveia!$E56:INDEX(Aveia!$E56:$Z56,MIN(Q$6-$G$3,22))),0)))))</f>
        <v>0</v>
      </c>
      <c r="R58" s="27" t="n">
        <f aca="false">IF(COUNT(Aveia!$E56:$Z56)=0,0,MAX(0,IF((R$6-$E$3)&lt;1,0,IFERROR(LOOKUP(2,1/(Aveia!$E56:INDEX(Aveia!$E56:$Z56,MIN(R$6-$E$3,22))&lt;&gt;""),Aveia!$E56:INDEX(Aveia!$E56:$Z56,MIN(R$6-$E$3,22))),0))-IF($G$2,0,IF((R$6-$G$3)&lt;1,0,IFERROR(LOOKUP(2,1/(Aveia!$E56:INDEX(Aveia!$E56:$Z56,MIN(R$6-$G$3,22))&lt;&gt;""),Aveia!$E56:INDEX(Aveia!$E56:$Z56,MIN(R$6-$G$3,22))),0)))))</f>
        <v>0</v>
      </c>
      <c r="S58" s="27" t="n">
        <f aca="false">IF(COUNT(Aveia!$E56:$Z56)=0,0,MAX(0,IF((S$6-$E$3)&lt;1,0,IFERROR(LOOKUP(2,1/(Aveia!$E56:INDEX(Aveia!$E56:$Z56,MIN(S$6-$E$3,22))&lt;&gt;""),Aveia!$E56:INDEX(Aveia!$E56:$Z56,MIN(S$6-$E$3,22))),0))-IF($G$2,0,IF((S$6-$G$3)&lt;1,0,IFERROR(LOOKUP(2,1/(Aveia!$E56:INDEX(Aveia!$E56:$Z56,MIN(S$6-$G$3,22))&lt;&gt;""),Aveia!$E56:INDEX(Aveia!$E56:$Z56,MIN(S$6-$G$3,22))),0)))))</f>
        <v>0</v>
      </c>
      <c r="T58" s="27" t="n">
        <f aca="false">IF(COUNT(Aveia!$E56:$Z56)=0,0,MAX(0,IF((T$6-$E$3)&lt;1,0,IFERROR(LOOKUP(2,1/(Aveia!$E56:INDEX(Aveia!$E56:$Z56,MIN(T$6-$E$3,22))&lt;&gt;""),Aveia!$E56:INDEX(Aveia!$E56:$Z56,MIN(T$6-$E$3,22))),0))-IF($G$2,0,IF((T$6-$G$3)&lt;1,0,IFERROR(LOOKUP(2,1/(Aveia!$E56:INDEX(Aveia!$E56:$Z56,MIN(T$6-$G$3,22))&lt;&gt;""),Aveia!$E56:INDEX(Aveia!$E56:$Z56,MIN(T$6-$G$3,22))),0)))))</f>
        <v>0</v>
      </c>
      <c r="U58" s="27" t="n">
        <f aca="false">IF(COUNT(Aveia!$E56:$Z56)=0,0,MAX(0,IF((U$6-$E$3)&lt;1,0,IFERROR(LOOKUP(2,1/(Aveia!$E56:INDEX(Aveia!$E56:$Z56,MIN(U$6-$E$3,22))&lt;&gt;""),Aveia!$E56:INDEX(Aveia!$E56:$Z56,MIN(U$6-$E$3,22))),0))-IF($G$2,0,IF((U$6-$G$3)&lt;1,0,IFERROR(LOOKUP(2,1/(Aveia!$E56:INDEX(Aveia!$E56:$Z56,MIN(U$6-$G$3,22))&lt;&gt;""),Aveia!$E56:INDEX(Aveia!$E56:$Z56,MIN(U$6-$G$3,22))),0)))))</f>
        <v>0</v>
      </c>
      <c r="V58" s="27" t="n">
        <f aca="false">IF(COUNT(Aveia!$E56:$Z56)=0,0,MAX(0,IF((V$6-$E$3)&lt;1,0,IFERROR(LOOKUP(2,1/(Aveia!$E56:INDEX(Aveia!$E56:$Z56,MIN(V$6-$E$3,22))&lt;&gt;""),Aveia!$E56:INDEX(Aveia!$E56:$Z56,MIN(V$6-$E$3,22))),0))-IF($G$2,0,IF((V$6-$G$3)&lt;1,0,IFERROR(LOOKUP(2,1/(Aveia!$E56:INDEX(Aveia!$E56:$Z56,MIN(V$6-$G$3,22))&lt;&gt;""),Aveia!$E56:INDEX(Aveia!$E56:$Z56,MIN(V$6-$G$3,22))),0)))))</f>
        <v>0</v>
      </c>
      <c r="W58" s="27" t="n">
        <f aca="false">IF(COUNT(Aveia!$E56:$Z56)=0,0,MAX(0,IF((W$6-$E$3)&lt;1,0,IFERROR(LOOKUP(2,1/(Aveia!$E56:INDEX(Aveia!$E56:$Z56,MIN(W$6-$E$3,22))&lt;&gt;""),Aveia!$E56:INDEX(Aveia!$E56:$Z56,MIN(W$6-$E$3,22))),0))-IF($G$2,0,IF((W$6-$G$3)&lt;1,0,IFERROR(LOOKUP(2,1/(Aveia!$E56:INDEX(Aveia!$E56:$Z56,MIN(W$6-$G$3,22))&lt;&gt;""),Aveia!$E56:INDEX(Aveia!$E56:$Z56,MIN(W$6-$G$3,22))),0)))))</f>
        <v>0</v>
      </c>
      <c r="X58" s="27" t="n">
        <f aca="false">IF(COUNT(Aveia!$E56:$Z56)=0,0,MAX(0,IF((X$6-$E$3)&lt;1,0,IFERROR(LOOKUP(2,1/(Aveia!$E56:INDEX(Aveia!$E56:$Z56,MIN(X$6-$E$3,22))&lt;&gt;""),Aveia!$E56:INDEX(Aveia!$E56:$Z56,MIN(X$6-$E$3,22))),0))-IF($G$2,0,IF((X$6-$G$3)&lt;1,0,IFERROR(LOOKUP(2,1/(Aveia!$E56:INDEX(Aveia!$E56:$Z56,MIN(X$6-$G$3,22))&lt;&gt;""),Aveia!$E56:INDEX(Aveia!$E56:$Z56,MIN(X$6-$G$3,22))),0)))))</f>
        <v>0</v>
      </c>
      <c r="Y58" s="27" t="n">
        <f aca="false">IF(COUNT(Aveia!$E56:$Z56)=0,0,MAX(0,IF((Y$6-$E$3)&lt;1,0,IFERROR(LOOKUP(2,1/(Aveia!$E56:INDEX(Aveia!$E56:$Z56,MIN(Y$6-$E$3,22))&lt;&gt;""),Aveia!$E56:INDEX(Aveia!$E56:$Z56,MIN(Y$6-$E$3,22))),0))-IF($G$2,0,IF((Y$6-$G$3)&lt;1,0,IFERROR(LOOKUP(2,1/(Aveia!$E56:INDEX(Aveia!$E56:$Z56,MIN(Y$6-$G$3,22))&lt;&gt;""),Aveia!$E56:INDEX(Aveia!$E56:$Z56,MIN(Y$6-$G$3,22))),0)))))</f>
        <v>0</v>
      </c>
      <c r="Z58" s="27" t="n">
        <f aca="false">IF(COUNT(Aveia!$E56:$Z56)=0,0,MAX(0,IF((Z$6-$E$3)&lt;1,0,IFERROR(LOOKUP(2,1/(Aveia!$E56:INDEX(Aveia!$E56:$Z56,MIN(Z$6-$E$3,22))&lt;&gt;""),Aveia!$E56:INDEX(Aveia!$E56:$Z56,MIN(Z$6-$E$3,22))),0))-IF($G$2,0,IF((Z$6-$G$3)&lt;1,0,IFERROR(LOOKUP(2,1/(Aveia!$E56:INDEX(Aveia!$E56:$Z56,MIN(Z$6-$G$3,22))&lt;&gt;""),Aveia!$E56:INDEX(Aveia!$E56:$Z56,MIN(Z$6-$G$3,22))),0)))))</f>
        <v>0</v>
      </c>
      <c r="AA58" s="27" t="n">
        <f aca="false">IF(COUNT(Aveia!$E56:$Z56)=0,0,MAX(0,IF((AA$6-$E$3)&lt;1,0,IFERROR(LOOKUP(2,1/(Aveia!$E56:INDEX(Aveia!$E56:$Z56,MIN(AA$6-$E$3,22))&lt;&gt;""),Aveia!$E56:INDEX(Aveia!$E56:$Z56,MIN(AA$6-$E$3,22))),0))-IF($G$2,0,IF((AA$6-$G$3)&lt;1,0,IFERROR(LOOKUP(2,1/(Aveia!$E56:INDEX(Aveia!$E56:$Z56,MIN(AA$6-$G$3,22))&lt;&gt;""),Aveia!$E56:INDEX(Aveia!$E56:$Z56,MIN(AA$6-$G$3,22))),0)))))</f>
        <v>0</v>
      </c>
      <c r="AB58" s="27" t="n">
        <f aca="false">IF(COUNT(Aveia!$E56:$Z56)=0,0,MAX(0,IF((AB$6-$E$3)&lt;1,0,IFERROR(LOOKUP(2,1/(Aveia!$E56:INDEX(Aveia!$E56:$Z56,MIN(AB$6-$E$3,22))&lt;&gt;""),Aveia!$E56:INDEX(Aveia!$E56:$Z56,MIN(AB$6-$E$3,22))),0))-IF($G$2,0,IF((AB$6-$G$3)&lt;1,0,IFERROR(LOOKUP(2,1/(Aveia!$E56:INDEX(Aveia!$E56:$Z56,MIN(AB$6-$G$3,22))&lt;&gt;""),Aveia!$E56:INDEX(Aveia!$E56:$Z56,MIN(AB$6-$G$3,22))),0)))))</f>
        <v>0</v>
      </c>
      <c r="AC58" s="27" t="n">
        <f aca="false">IF(COUNT(Aveia!$E56:$Z56)=0,0,MAX(0,IF((AC$6-$E$3)&lt;1,0,IFERROR(LOOKUP(2,1/(Aveia!$E56:INDEX(Aveia!$E56:$Z56,MIN(AC$6-$E$3,22))&lt;&gt;""),Aveia!$E56:INDEX(Aveia!$E56:$Z56,MIN(AC$6-$E$3,22))),0))-IF($G$2,0,IF((AC$6-$G$3)&lt;1,0,IFERROR(LOOKUP(2,1/(Aveia!$E56:INDEX(Aveia!$E56:$Z56,MIN(AC$6-$G$3,22))&lt;&gt;""),Aveia!$E56:INDEX(Aveia!$E56:$Z56,MIN(AC$6-$G$3,22))),0)))))</f>
        <v>0</v>
      </c>
      <c r="AD58" s="27" t="n">
        <f aca="false">IF(COUNT(Aveia!$E56:$Z56)=0,0,MAX(0,IF((AD$6-$E$3)&lt;1,0,IFERROR(LOOKUP(2,1/(Aveia!$E56:INDEX(Aveia!$E56:$Z56,MIN(AD$6-$E$3,22))&lt;&gt;""),Aveia!$E56:INDEX(Aveia!$E56:$Z56,MIN(AD$6-$E$3,22))),0))-IF($G$2,0,IF((AD$6-$G$3)&lt;1,0,IFERROR(LOOKUP(2,1/(Aveia!$E56:INDEX(Aveia!$E56:$Z56,MIN(AD$6-$G$3,22))&lt;&gt;""),Aveia!$E56:INDEX(Aveia!$E56:$Z56,MIN(AD$6-$G$3,22))),0)))))</f>
        <v>0</v>
      </c>
      <c r="AE58" s="27" t="n">
        <f aca="false">IF(COUNT(Aveia!$E56:$Z56)=0,0,MAX(0,IF((AE$6-$E$3)&lt;1,0,IFERROR(LOOKUP(2,1/(Aveia!$E56:INDEX(Aveia!$E56:$Z56,MIN(AE$6-$E$3,22))&lt;&gt;""),Aveia!$E56:INDEX(Aveia!$E56:$Z56,MIN(AE$6-$E$3,22))),0))-IF($G$2,0,IF((AE$6-$G$3)&lt;1,0,IFERROR(LOOKUP(2,1/(Aveia!$E56:INDEX(Aveia!$E56:$Z56,MIN(AE$6-$G$3,22))&lt;&gt;""),Aveia!$E56:INDEX(Aveia!$E56:$Z56,MIN(AE$6-$G$3,22))),0)))))</f>
        <v>0</v>
      </c>
      <c r="AF58" s="27" t="n">
        <f aca="false">IF(COUNT(Aveia!$E56:$Z56)=0,0,MAX(0,IF((AF$6-$E$3)&lt;1,0,IFERROR(LOOKUP(2,1/(Aveia!$E56:INDEX(Aveia!$E56:$Z56,MIN(AF$6-$E$3,22))&lt;&gt;""),Aveia!$E56:INDEX(Aveia!$E56:$Z56,MIN(AF$6-$E$3,22))),0))-IF($G$2,0,IF((AF$6-$G$3)&lt;1,0,IFERROR(LOOKUP(2,1/(Aveia!$E56:INDEX(Aveia!$E56:$Z56,MIN(AF$6-$G$3,22))&lt;&gt;""),Aveia!$E56:INDEX(Aveia!$E56:$Z56,MIN(AF$6-$G$3,22))),0)))))</f>
        <v>0</v>
      </c>
      <c r="AG58" s="27" t="n">
        <f aca="false">IF(COUNT(Aveia!$E56:$Z56)=0,0,MAX(0,IF((AG$6-$E$3)&lt;1,0,IFERROR(LOOKUP(2,1/(Aveia!$E56:INDEX(Aveia!$E56:$Z56,MIN(AG$6-$E$3,22))&lt;&gt;""),Aveia!$E56:INDEX(Aveia!$E56:$Z56,MIN(AG$6-$E$3,22))),0))-IF($G$2,0,IF((AG$6-$G$3)&lt;1,0,IFERROR(LOOKUP(2,1/(Aveia!$E56:INDEX(Aveia!$E56:$Z56,MIN(AG$6-$G$3,22))&lt;&gt;""),Aveia!$E56:INDEX(Aveia!$E56:$Z56,MIN(AG$6-$G$3,22))),0)))))</f>
        <v>0</v>
      </c>
      <c r="AH58" s="27" t="n">
        <f aca="false">IF(COUNT(Aveia!$E56:$Z56)=0,0,MAX(0,IF((AH$6-$E$3)&lt;1,0,IFERROR(LOOKUP(2,1/(Aveia!$E56:INDEX(Aveia!$E56:$Z56,MIN(AH$6-$E$3,22))&lt;&gt;""),Aveia!$E56:INDEX(Aveia!$E56:$Z56,MIN(AH$6-$E$3,22))),0))-IF($G$2,0,IF((AH$6-$G$3)&lt;1,0,IFERROR(LOOKUP(2,1/(Aveia!$E56:INDEX(Aveia!$E56:$Z56,MIN(AH$6-$G$3,22))&lt;&gt;""),Aveia!$E56:INDEX(Aveia!$E56:$Z56,MIN(AH$6-$G$3,22))),0)))))</f>
        <v>0</v>
      </c>
      <c r="AI58" s="27" t="n">
        <f aca="false">IF(COUNT(Aveia!$E56:$Z56)=0,0,MAX(0,IF((AI$6-$E$3)&lt;1,0,IFERROR(LOOKUP(2,1/(Aveia!$E56:INDEX(Aveia!$E56:$Z56,MIN(AI$6-$E$3,22))&lt;&gt;""),Aveia!$E56:INDEX(Aveia!$E56:$Z56,MIN(AI$6-$E$3,22))),0))-IF($G$2,0,IF((AI$6-$G$3)&lt;1,0,IFERROR(LOOKUP(2,1/(Aveia!$E56:INDEX(Aveia!$E56:$Z56,MIN(AI$6-$G$3,22))&lt;&gt;""),Aveia!$E56:INDEX(Aveia!$E56:$Z56,MIN(AI$6-$G$3,22))),0)))))</f>
        <v>0</v>
      </c>
      <c r="AJ58" s="27" t="n">
        <f aca="false">IF(COUNT(Aveia!$E56:$Z56)=0,0,MAX(0,IF((AJ$6-$E$3)&lt;1,0,IFERROR(LOOKUP(2,1/(Aveia!$E56:INDEX(Aveia!$E56:$Z56,MIN(AJ$6-$E$3,22))&lt;&gt;""),Aveia!$E56:INDEX(Aveia!$E56:$Z56,MIN(AJ$6-$E$3,22))),0))-IF($G$2,0,IF((AJ$6-$G$3)&lt;1,0,IFERROR(LOOKUP(2,1/(Aveia!$E56:INDEX(Aveia!$E56:$Z56,MIN(AJ$6-$G$3,22))&lt;&gt;""),Aveia!$E56:INDEX(Aveia!$E56:$Z56,MIN(AJ$6-$G$3,22))),0)))))</f>
        <v>0</v>
      </c>
      <c r="AK58" s="27" t="n">
        <f aca="false">IF(COUNT(Aveia!$E56:$Z56)=0,0,MAX(0,IF((AK$6-$E$3)&lt;1,0,IFERROR(LOOKUP(2,1/(Aveia!$E56:INDEX(Aveia!$E56:$Z56,MIN(AK$6-$E$3,22))&lt;&gt;""),Aveia!$E56:INDEX(Aveia!$E56:$Z56,MIN(AK$6-$E$3,22))),0))-IF($G$2,0,IF((AK$6-$G$3)&lt;1,0,IFERROR(LOOKUP(2,1/(Aveia!$E56:INDEX(Aveia!$E56:$Z56,MIN(AK$6-$G$3,22))&lt;&gt;""),Aveia!$E56:INDEX(Aveia!$E56:$Z56,MIN(AK$6-$G$3,22))),0)))))</f>
        <v>0</v>
      </c>
      <c r="AL58" s="27" t="n">
        <f aca="false">IF(COUNT(Aveia!$E56:$Z56)=0,0,MAX(0,IF((AL$6-$E$3)&lt;1,0,IFERROR(LOOKUP(2,1/(Aveia!$E56:INDEX(Aveia!$E56:$Z56,MIN(AL$6-$E$3,22))&lt;&gt;""),Aveia!$E56:INDEX(Aveia!$E56:$Z56,MIN(AL$6-$E$3,22))),0))-IF($G$2,0,IF((AL$6-$G$3)&lt;1,0,IFERROR(LOOKUP(2,1/(Aveia!$E56:INDEX(Aveia!$E56:$Z56,MIN(AL$6-$G$3,22))&lt;&gt;""),Aveia!$E56:INDEX(Aveia!$E56:$Z56,MIN(AL$6-$G$3,22))),0)))))</f>
        <v>0</v>
      </c>
      <c r="AM58" s="27" t="n">
        <f aca="false">IF(COUNT(Aveia!$E56:$Z56)=0,0,MAX(0,IF((AM$6-$E$3)&lt;1,0,IFERROR(LOOKUP(2,1/(Aveia!$E56:INDEX(Aveia!$E56:$Z56,MIN(AM$6-$E$3,22))&lt;&gt;""),Aveia!$E56:INDEX(Aveia!$E56:$Z56,MIN(AM$6-$E$3,22))),0))-IF($G$2,0,IF((AM$6-$G$3)&lt;1,0,IFERROR(LOOKUP(2,1/(Aveia!$E56:INDEX(Aveia!$E56:$Z56,MIN(AM$6-$G$3,22))&lt;&gt;""),Aveia!$E56:INDEX(Aveia!$E56:$Z56,MIN(AM$6-$G$3,22))),0)))))</f>
        <v>0</v>
      </c>
      <c r="AN58" s="27" t="n">
        <f aca="false">IF(COUNT(Aveia!$E56:$Z56)=0,0,MAX(0,IF((AN$6-$E$3)&lt;1,0,IFERROR(LOOKUP(2,1/(Aveia!$E56:INDEX(Aveia!$E56:$Z56,MIN(AN$6-$E$3,22))&lt;&gt;""),Aveia!$E56:INDEX(Aveia!$E56:$Z56,MIN(AN$6-$E$3,22))),0))-IF($G$2,0,IF((AN$6-$G$3)&lt;1,0,IFERROR(LOOKUP(2,1/(Aveia!$E56:INDEX(Aveia!$E56:$Z56,MIN(AN$6-$G$3,22))&lt;&gt;""),Aveia!$E56:INDEX(Aveia!$E56:$Z56,MIN(AN$6-$G$3,22))),0)))))</f>
        <v>0</v>
      </c>
      <c r="AO58" s="27" t="n">
        <f aca="false">IF(COUNT(Aveia!$E56:$Z56)=0,0,MAX(0,IF((AO$6-$E$3)&lt;1,0,IFERROR(LOOKUP(2,1/(Aveia!$E56:INDEX(Aveia!$E56:$Z56,MIN(AO$6-$E$3,22))&lt;&gt;""),Aveia!$E56:INDEX(Aveia!$E56:$Z56,MIN(AO$6-$E$3,22))),0))-IF($G$2,0,IF((AO$6-$G$3)&lt;1,0,IFERROR(LOOKUP(2,1/(Aveia!$E56:INDEX(Aveia!$E56:$Z56,MIN(AO$6-$G$3,22))&lt;&gt;""),Aveia!$E56:INDEX(Aveia!$E56:$Z56,MIN(AO$6-$G$3,22))),0)))))</f>
        <v>0</v>
      </c>
      <c r="AP58" s="27" t="n">
        <f aca="false">IF(COUNT(Aveia!$E56:$Z56)=0,0,MAX(0,IF((AP$6-$E$3)&lt;1,0,IFERROR(LOOKUP(2,1/(Aveia!$E56:INDEX(Aveia!$E56:$Z56,MIN(AP$6-$E$3,22))&lt;&gt;""),Aveia!$E56:INDEX(Aveia!$E56:$Z56,MIN(AP$6-$E$3,22))),0))-IF($G$2,0,IF((AP$6-$G$3)&lt;1,0,IFERROR(LOOKUP(2,1/(Aveia!$E56:INDEX(Aveia!$E56:$Z56,MIN(AP$6-$G$3,22))&lt;&gt;""),Aveia!$E56:INDEX(Aveia!$E56:$Z56,MIN(AP$6-$G$3,22))),0)))))</f>
        <v>0</v>
      </c>
      <c r="AQ58" s="27" t="n">
        <f aca="false">IF(COUNT(Aveia!$E56:$Z56)=0,0,MAX(0,IF((AQ$6-$E$3)&lt;1,0,IFERROR(LOOKUP(2,1/(Aveia!$E56:INDEX(Aveia!$E56:$Z56,MIN(AQ$6-$E$3,22))&lt;&gt;""),Aveia!$E56:INDEX(Aveia!$E56:$Z56,MIN(AQ$6-$E$3,22))),0))-IF($G$2,0,IF((AQ$6-$G$3)&lt;1,0,IFERROR(LOOKUP(2,1/(Aveia!$E56:INDEX(Aveia!$E56:$Z56,MIN(AQ$6-$G$3,22))&lt;&gt;""),Aveia!$E56:INDEX(Aveia!$E56:$Z56,MIN(AQ$6-$G$3,22))),0)))))</f>
        <v>0</v>
      </c>
      <c r="AR58" s="27" t="n">
        <f aca="false">IF(COUNT(Aveia!$E56:$Z56)=0,0,MAX(0,IF((AR$6-$E$3)&lt;1,0,IFERROR(LOOKUP(2,1/(Aveia!$E56:INDEX(Aveia!$E56:$Z56,MIN(AR$6-$E$3,22))&lt;&gt;""),Aveia!$E56:INDEX(Aveia!$E56:$Z56,MIN(AR$6-$E$3,22))),0))-IF($G$2,0,IF((AR$6-$G$3)&lt;1,0,IFERROR(LOOKUP(2,1/(Aveia!$E56:INDEX(Aveia!$E56:$Z56,MIN(AR$6-$G$3,22))&lt;&gt;""),Aveia!$E56:INDEX(Aveia!$E56:$Z56,MIN(AR$6-$G$3,22))),0)))))</f>
        <v>0</v>
      </c>
      <c r="AS58" s="27" t="n">
        <f aca="false">IF(COUNT(Aveia!$E56:$Z56)=0,0,MAX(0,IF((AS$6-$E$3)&lt;1,0,IFERROR(LOOKUP(2,1/(Aveia!$E56:INDEX(Aveia!$E56:$Z56,MIN(AS$6-$E$3,22))&lt;&gt;""),Aveia!$E56:INDEX(Aveia!$E56:$Z56,MIN(AS$6-$E$3,22))),0))-IF($G$2,0,IF((AS$6-$G$3)&lt;1,0,IFERROR(LOOKUP(2,1/(Aveia!$E56:INDEX(Aveia!$E56:$Z56,MIN(AS$6-$G$3,22))&lt;&gt;""),Aveia!$E56:INDEX(Aveia!$E56:$Z56,MIN(AS$6-$G$3,22))),0)))))</f>
        <v>0</v>
      </c>
      <c r="AT58" s="27" t="n">
        <f aca="false">IF(COUNT(Aveia!$E56:$Z56)=0,0,MAX(0,IF((AT$6-$E$3)&lt;1,0,IFERROR(LOOKUP(2,1/(Aveia!$E56:INDEX(Aveia!$E56:$Z56,MIN(AT$6-$E$3,22))&lt;&gt;""),Aveia!$E56:INDEX(Aveia!$E56:$Z56,MIN(AT$6-$E$3,22))),0))-IF($G$2,0,IF((AT$6-$G$3)&lt;1,0,IFERROR(LOOKUP(2,1/(Aveia!$E56:INDEX(Aveia!$E56:$Z56,MIN(AT$6-$G$3,22))&lt;&gt;""),Aveia!$E56:INDEX(Aveia!$E56:$Z56,MIN(AT$6-$G$3,22))),0)))))</f>
        <v>0</v>
      </c>
      <c r="AU58" s="27" t="n">
        <f aca="false">IF(COUNT(Aveia!$E56:$Z56)=0,0,MAX(0,IF((AU$6-$E$3)&lt;1,0,IFERROR(LOOKUP(2,1/(Aveia!$E56:INDEX(Aveia!$E56:$Z56,MIN(AU$6-$E$3,22))&lt;&gt;""),Aveia!$E56:INDEX(Aveia!$E56:$Z56,MIN(AU$6-$E$3,22))),0))-IF($G$2,0,IF((AU$6-$G$3)&lt;1,0,IFERROR(LOOKUP(2,1/(Aveia!$E56:INDEX(Aveia!$E56:$Z56,MIN(AU$6-$G$3,22))&lt;&gt;""),Aveia!$E56:INDEX(Aveia!$E56:$Z56,MIN(AU$6-$G$3,22))),0)))))</f>
        <v>0</v>
      </c>
      <c r="AV58" s="27" t="n">
        <f aca="false">IF(COUNT(Aveia!$E56:$Z56)=0,0,MAX(0,IF((AV$6-$E$3)&lt;1,0,IFERROR(LOOKUP(2,1/(Aveia!$E56:INDEX(Aveia!$E56:$Z56,MIN(AV$6-$E$3,22))&lt;&gt;""),Aveia!$E56:INDEX(Aveia!$E56:$Z56,MIN(AV$6-$E$3,22))),0))-IF($G$2,0,IF((AV$6-$G$3)&lt;1,0,IFERROR(LOOKUP(2,1/(Aveia!$E56:INDEX(Aveia!$E56:$Z56,MIN(AV$6-$G$3,22))&lt;&gt;""),Aveia!$E56:INDEX(Aveia!$E56:$Z56,MIN(AV$6-$G$3,22))),0)))))</f>
        <v>0</v>
      </c>
      <c r="AW58" s="27" t="n">
        <f aca="false">IF(COUNT(Aveia!$E56:$Z56)=0,0,MAX(0,IF((AW$6-$E$3)&lt;1,0,IFERROR(LOOKUP(2,1/(Aveia!$E56:INDEX(Aveia!$E56:$Z56,MIN(AW$6-$E$3,22))&lt;&gt;""),Aveia!$E56:INDEX(Aveia!$E56:$Z56,MIN(AW$6-$E$3,22))),0))-IF($G$2,0,IF((AW$6-$G$3)&lt;1,0,IFERROR(LOOKUP(2,1/(Aveia!$E56:INDEX(Aveia!$E56:$Z56,MIN(AW$6-$G$3,22))&lt;&gt;""),Aveia!$E56:INDEX(Aveia!$E56:$Z56,MIN(AW$6-$G$3,22))),0)))))</f>
        <v>0</v>
      </c>
      <c r="AX58" s="27" t="n">
        <f aca="false">IF(COUNT(Aveia!$E56:$Z56)=0,0,MAX(0,IF((AX$6-$E$3)&lt;1,0,IFERROR(LOOKUP(2,1/(Aveia!$E56:INDEX(Aveia!$E56:$Z56,MIN(AX$6-$E$3,22))&lt;&gt;""),Aveia!$E56:INDEX(Aveia!$E56:$Z56,MIN(AX$6-$E$3,22))),0))-IF($G$2,0,IF((AX$6-$G$3)&lt;1,0,IFERROR(LOOKUP(2,1/(Aveia!$E56:INDEX(Aveia!$E56:$Z56,MIN(AX$6-$G$3,22))&lt;&gt;""),Aveia!$E56:INDEX(Aveia!$E56:$Z56,MIN(AX$6-$G$3,22))),0)))))</f>
        <v>0</v>
      </c>
      <c r="AY58" s="27" t="n">
        <f aca="false">IF(COUNT(Aveia!$E56:$Z56)=0,0,MAX(0,IF((AY$6-$E$3)&lt;1,0,IFERROR(LOOKUP(2,1/(Aveia!$E56:INDEX(Aveia!$E56:$Z56,MIN(AY$6-$E$3,22))&lt;&gt;""),Aveia!$E56:INDEX(Aveia!$E56:$Z56,MIN(AY$6-$E$3,22))),0))-IF($G$2,0,IF((AY$6-$G$3)&lt;1,0,IFERROR(LOOKUP(2,1/(Aveia!$E56:INDEX(Aveia!$E56:$Z56,MIN(AY$6-$G$3,22))&lt;&gt;""),Aveia!$E56:INDEX(Aveia!$E56:$Z56,MIN(AY$6-$G$3,22))),0)))))</f>
        <v>0</v>
      </c>
      <c r="AZ58" s="27" t="n">
        <f aca="false">IF(COUNT(Aveia!$E56:$Z56)=0,0,MAX(0,IF((AZ$6-$E$3)&lt;1,0,IFERROR(LOOKUP(2,1/(Aveia!$E56:INDEX(Aveia!$E56:$Z56,MIN(AZ$6-$E$3,22))&lt;&gt;""),Aveia!$E56:INDEX(Aveia!$E56:$Z56,MIN(AZ$6-$E$3,22))),0))-IF($G$2,0,IF((AZ$6-$G$3)&lt;1,0,IFERROR(LOOKUP(2,1/(Aveia!$E56:INDEX(Aveia!$E56:$Z56,MIN(AZ$6-$G$3,22))&lt;&gt;""),Aveia!$E56:INDEX(Aveia!$E56:$Z56,MIN(AZ$6-$G$3,22))),0)))))</f>
        <v>0</v>
      </c>
    </row>
    <row r="59" customFormat="false" ht="15" hidden="false" customHeight="false" outlineLevel="0" collapsed="false">
      <c r="A59" s="3" t="s">
        <v>238</v>
      </c>
      <c r="B59" s="3" t="s">
        <v>239</v>
      </c>
      <c r="C59" s="10" t="s">
        <v>200</v>
      </c>
      <c r="D59" s="26" t="n">
        <f aca="false">IF(COUNT(Aveia!$E57:$Z57)&gt;0,N(Aveia!$D57),0)</f>
        <v>0</v>
      </c>
      <c r="E59" s="27" t="n">
        <f aca="false">IF(COUNT(Aveia!$E57:$Z57)=0,0,MAX(0,IF((E$6-$E$3)&lt;1,0,IFERROR(LOOKUP(2,1/(Aveia!$E57:INDEX(Aveia!$E57:$Z57,MIN(E$6-$E$3,22))&lt;&gt;""),Aveia!$E57:INDEX(Aveia!$E57:$Z57,MIN(E$6-$E$3,22))),0))-IF($G$2,0,IF((E$6-$G$3)&lt;1,0,IFERROR(LOOKUP(2,1/(Aveia!$E57:INDEX(Aveia!$E57:$Z57,MIN(E$6-$G$3,22))&lt;&gt;""),Aveia!$E57:INDEX(Aveia!$E57:$Z57,MIN(E$6-$G$3,22))),0)))))</f>
        <v>0</v>
      </c>
      <c r="F59" s="27" t="n">
        <f aca="false">IF(COUNT(Aveia!$E57:$Z57)=0,0,MAX(0,IF((F$6-$E$3)&lt;1,0,IFERROR(LOOKUP(2,1/(Aveia!$E57:INDEX(Aveia!$E57:$Z57,MIN(F$6-$E$3,22))&lt;&gt;""),Aveia!$E57:INDEX(Aveia!$E57:$Z57,MIN(F$6-$E$3,22))),0))-IF($G$2,0,IF((F$6-$G$3)&lt;1,0,IFERROR(LOOKUP(2,1/(Aveia!$E57:INDEX(Aveia!$E57:$Z57,MIN(F$6-$G$3,22))&lt;&gt;""),Aveia!$E57:INDEX(Aveia!$E57:$Z57,MIN(F$6-$G$3,22))),0)))))</f>
        <v>0</v>
      </c>
      <c r="G59" s="27" t="n">
        <f aca="false">IF(COUNT(Aveia!$E57:$Z57)=0,0,MAX(0,IF((G$6-$E$3)&lt;1,0,IFERROR(LOOKUP(2,1/(Aveia!$E57:INDEX(Aveia!$E57:$Z57,MIN(G$6-$E$3,22))&lt;&gt;""),Aveia!$E57:INDEX(Aveia!$E57:$Z57,MIN(G$6-$E$3,22))),0))-IF($G$2,0,IF((G$6-$G$3)&lt;1,0,IFERROR(LOOKUP(2,1/(Aveia!$E57:INDEX(Aveia!$E57:$Z57,MIN(G$6-$G$3,22))&lt;&gt;""),Aveia!$E57:INDEX(Aveia!$E57:$Z57,MIN(G$6-$G$3,22))),0)))))</f>
        <v>0</v>
      </c>
      <c r="H59" s="27" t="n">
        <f aca="false">IF(COUNT(Aveia!$E57:$Z57)=0,0,MAX(0,IF((H$6-$E$3)&lt;1,0,IFERROR(LOOKUP(2,1/(Aveia!$E57:INDEX(Aveia!$E57:$Z57,MIN(H$6-$E$3,22))&lt;&gt;""),Aveia!$E57:INDEX(Aveia!$E57:$Z57,MIN(H$6-$E$3,22))),0))-IF($G$2,0,IF((H$6-$G$3)&lt;1,0,IFERROR(LOOKUP(2,1/(Aveia!$E57:INDEX(Aveia!$E57:$Z57,MIN(H$6-$G$3,22))&lt;&gt;""),Aveia!$E57:INDEX(Aveia!$E57:$Z57,MIN(H$6-$G$3,22))),0)))))</f>
        <v>0</v>
      </c>
      <c r="I59" s="27" t="n">
        <f aca="false">IF(COUNT(Aveia!$E57:$Z57)=0,0,MAX(0,IF((I$6-$E$3)&lt;1,0,IFERROR(LOOKUP(2,1/(Aveia!$E57:INDEX(Aveia!$E57:$Z57,MIN(I$6-$E$3,22))&lt;&gt;""),Aveia!$E57:INDEX(Aveia!$E57:$Z57,MIN(I$6-$E$3,22))),0))-IF($G$2,0,IF((I$6-$G$3)&lt;1,0,IFERROR(LOOKUP(2,1/(Aveia!$E57:INDEX(Aveia!$E57:$Z57,MIN(I$6-$G$3,22))&lt;&gt;""),Aveia!$E57:INDEX(Aveia!$E57:$Z57,MIN(I$6-$G$3,22))),0)))))</f>
        <v>0</v>
      </c>
      <c r="J59" s="27" t="n">
        <f aca="false">IF(COUNT(Aveia!$E57:$Z57)=0,0,MAX(0,IF((J$6-$E$3)&lt;1,0,IFERROR(LOOKUP(2,1/(Aveia!$E57:INDEX(Aveia!$E57:$Z57,MIN(J$6-$E$3,22))&lt;&gt;""),Aveia!$E57:INDEX(Aveia!$E57:$Z57,MIN(J$6-$E$3,22))),0))-IF($G$2,0,IF((J$6-$G$3)&lt;1,0,IFERROR(LOOKUP(2,1/(Aveia!$E57:INDEX(Aveia!$E57:$Z57,MIN(J$6-$G$3,22))&lt;&gt;""),Aveia!$E57:INDEX(Aveia!$E57:$Z57,MIN(J$6-$G$3,22))),0)))))</f>
        <v>0</v>
      </c>
      <c r="K59" s="27" t="n">
        <f aca="false">IF(COUNT(Aveia!$E57:$Z57)=0,0,MAX(0,IF((K$6-$E$3)&lt;1,0,IFERROR(LOOKUP(2,1/(Aveia!$E57:INDEX(Aveia!$E57:$Z57,MIN(K$6-$E$3,22))&lt;&gt;""),Aveia!$E57:INDEX(Aveia!$E57:$Z57,MIN(K$6-$E$3,22))),0))-IF($G$2,0,IF((K$6-$G$3)&lt;1,0,IFERROR(LOOKUP(2,1/(Aveia!$E57:INDEX(Aveia!$E57:$Z57,MIN(K$6-$G$3,22))&lt;&gt;""),Aveia!$E57:INDEX(Aveia!$E57:$Z57,MIN(K$6-$G$3,22))),0)))))</f>
        <v>0</v>
      </c>
      <c r="L59" s="27" t="n">
        <f aca="false">IF(COUNT(Aveia!$E57:$Z57)=0,0,MAX(0,IF((L$6-$E$3)&lt;1,0,IFERROR(LOOKUP(2,1/(Aveia!$E57:INDEX(Aveia!$E57:$Z57,MIN(L$6-$E$3,22))&lt;&gt;""),Aveia!$E57:INDEX(Aveia!$E57:$Z57,MIN(L$6-$E$3,22))),0))-IF($G$2,0,IF((L$6-$G$3)&lt;1,0,IFERROR(LOOKUP(2,1/(Aveia!$E57:INDEX(Aveia!$E57:$Z57,MIN(L$6-$G$3,22))&lt;&gt;""),Aveia!$E57:INDEX(Aveia!$E57:$Z57,MIN(L$6-$G$3,22))),0)))))</f>
        <v>0</v>
      </c>
      <c r="M59" s="27" t="n">
        <f aca="false">IF(COUNT(Aveia!$E57:$Z57)=0,0,MAX(0,IF((M$6-$E$3)&lt;1,0,IFERROR(LOOKUP(2,1/(Aveia!$E57:INDEX(Aveia!$E57:$Z57,MIN(M$6-$E$3,22))&lt;&gt;""),Aveia!$E57:INDEX(Aveia!$E57:$Z57,MIN(M$6-$E$3,22))),0))-IF($G$2,0,IF((M$6-$G$3)&lt;1,0,IFERROR(LOOKUP(2,1/(Aveia!$E57:INDEX(Aveia!$E57:$Z57,MIN(M$6-$G$3,22))&lt;&gt;""),Aveia!$E57:INDEX(Aveia!$E57:$Z57,MIN(M$6-$G$3,22))),0)))))</f>
        <v>0</v>
      </c>
      <c r="N59" s="27" t="n">
        <f aca="false">IF(COUNT(Aveia!$E57:$Z57)=0,0,MAX(0,IF((N$6-$E$3)&lt;1,0,IFERROR(LOOKUP(2,1/(Aveia!$E57:INDEX(Aveia!$E57:$Z57,MIN(N$6-$E$3,22))&lt;&gt;""),Aveia!$E57:INDEX(Aveia!$E57:$Z57,MIN(N$6-$E$3,22))),0))-IF($G$2,0,IF((N$6-$G$3)&lt;1,0,IFERROR(LOOKUP(2,1/(Aveia!$E57:INDEX(Aveia!$E57:$Z57,MIN(N$6-$G$3,22))&lt;&gt;""),Aveia!$E57:INDEX(Aveia!$E57:$Z57,MIN(N$6-$G$3,22))),0)))))</f>
        <v>0</v>
      </c>
      <c r="O59" s="27" t="n">
        <f aca="false">IF(COUNT(Aveia!$E57:$Z57)=0,0,MAX(0,IF((O$6-$E$3)&lt;1,0,IFERROR(LOOKUP(2,1/(Aveia!$E57:INDEX(Aveia!$E57:$Z57,MIN(O$6-$E$3,22))&lt;&gt;""),Aveia!$E57:INDEX(Aveia!$E57:$Z57,MIN(O$6-$E$3,22))),0))-IF($G$2,0,IF((O$6-$G$3)&lt;1,0,IFERROR(LOOKUP(2,1/(Aveia!$E57:INDEX(Aveia!$E57:$Z57,MIN(O$6-$G$3,22))&lt;&gt;""),Aveia!$E57:INDEX(Aveia!$E57:$Z57,MIN(O$6-$G$3,22))),0)))))</f>
        <v>0</v>
      </c>
      <c r="P59" s="27" t="n">
        <f aca="false">IF(COUNT(Aveia!$E57:$Z57)=0,0,MAX(0,IF((P$6-$E$3)&lt;1,0,IFERROR(LOOKUP(2,1/(Aveia!$E57:INDEX(Aveia!$E57:$Z57,MIN(P$6-$E$3,22))&lt;&gt;""),Aveia!$E57:INDEX(Aveia!$E57:$Z57,MIN(P$6-$E$3,22))),0))-IF($G$2,0,IF((P$6-$G$3)&lt;1,0,IFERROR(LOOKUP(2,1/(Aveia!$E57:INDEX(Aveia!$E57:$Z57,MIN(P$6-$G$3,22))&lt;&gt;""),Aveia!$E57:INDEX(Aveia!$E57:$Z57,MIN(P$6-$G$3,22))),0)))))</f>
        <v>0</v>
      </c>
      <c r="Q59" s="27" t="n">
        <f aca="false">IF(COUNT(Aveia!$E57:$Z57)=0,0,MAX(0,IF((Q$6-$E$3)&lt;1,0,IFERROR(LOOKUP(2,1/(Aveia!$E57:INDEX(Aveia!$E57:$Z57,MIN(Q$6-$E$3,22))&lt;&gt;""),Aveia!$E57:INDEX(Aveia!$E57:$Z57,MIN(Q$6-$E$3,22))),0))-IF($G$2,0,IF((Q$6-$G$3)&lt;1,0,IFERROR(LOOKUP(2,1/(Aveia!$E57:INDEX(Aveia!$E57:$Z57,MIN(Q$6-$G$3,22))&lt;&gt;""),Aveia!$E57:INDEX(Aveia!$E57:$Z57,MIN(Q$6-$G$3,22))),0)))))</f>
        <v>0</v>
      </c>
      <c r="R59" s="27" t="n">
        <f aca="false">IF(COUNT(Aveia!$E57:$Z57)=0,0,MAX(0,IF((R$6-$E$3)&lt;1,0,IFERROR(LOOKUP(2,1/(Aveia!$E57:INDEX(Aveia!$E57:$Z57,MIN(R$6-$E$3,22))&lt;&gt;""),Aveia!$E57:INDEX(Aveia!$E57:$Z57,MIN(R$6-$E$3,22))),0))-IF($G$2,0,IF((R$6-$G$3)&lt;1,0,IFERROR(LOOKUP(2,1/(Aveia!$E57:INDEX(Aveia!$E57:$Z57,MIN(R$6-$G$3,22))&lt;&gt;""),Aveia!$E57:INDEX(Aveia!$E57:$Z57,MIN(R$6-$G$3,22))),0)))))</f>
        <v>0</v>
      </c>
      <c r="S59" s="27" t="n">
        <f aca="false">IF(COUNT(Aveia!$E57:$Z57)=0,0,MAX(0,IF((S$6-$E$3)&lt;1,0,IFERROR(LOOKUP(2,1/(Aveia!$E57:INDEX(Aveia!$E57:$Z57,MIN(S$6-$E$3,22))&lt;&gt;""),Aveia!$E57:INDEX(Aveia!$E57:$Z57,MIN(S$6-$E$3,22))),0))-IF($G$2,0,IF((S$6-$G$3)&lt;1,0,IFERROR(LOOKUP(2,1/(Aveia!$E57:INDEX(Aveia!$E57:$Z57,MIN(S$6-$G$3,22))&lt;&gt;""),Aveia!$E57:INDEX(Aveia!$E57:$Z57,MIN(S$6-$G$3,22))),0)))))</f>
        <v>0</v>
      </c>
      <c r="T59" s="27" t="n">
        <f aca="false">IF(COUNT(Aveia!$E57:$Z57)=0,0,MAX(0,IF((T$6-$E$3)&lt;1,0,IFERROR(LOOKUP(2,1/(Aveia!$E57:INDEX(Aveia!$E57:$Z57,MIN(T$6-$E$3,22))&lt;&gt;""),Aveia!$E57:INDEX(Aveia!$E57:$Z57,MIN(T$6-$E$3,22))),0))-IF($G$2,0,IF((T$6-$G$3)&lt;1,0,IFERROR(LOOKUP(2,1/(Aveia!$E57:INDEX(Aveia!$E57:$Z57,MIN(T$6-$G$3,22))&lt;&gt;""),Aveia!$E57:INDEX(Aveia!$E57:$Z57,MIN(T$6-$G$3,22))),0)))))</f>
        <v>0</v>
      </c>
      <c r="U59" s="27" t="n">
        <f aca="false">IF(COUNT(Aveia!$E57:$Z57)=0,0,MAX(0,IF((U$6-$E$3)&lt;1,0,IFERROR(LOOKUP(2,1/(Aveia!$E57:INDEX(Aveia!$E57:$Z57,MIN(U$6-$E$3,22))&lt;&gt;""),Aveia!$E57:INDEX(Aveia!$E57:$Z57,MIN(U$6-$E$3,22))),0))-IF($G$2,0,IF((U$6-$G$3)&lt;1,0,IFERROR(LOOKUP(2,1/(Aveia!$E57:INDEX(Aveia!$E57:$Z57,MIN(U$6-$G$3,22))&lt;&gt;""),Aveia!$E57:INDEX(Aveia!$E57:$Z57,MIN(U$6-$G$3,22))),0)))))</f>
        <v>0</v>
      </c>
      <c r="V59" s="27" t="n">
        <f aca="false">IF(COUNT(Aveia!$E57:$Z57)=0,0,MAX(0,IF((V$6-$E$3)&lt;1,0,IFERROR(LOOKUP(2,1/(Aveia!$E57:INDEX(Aveia!$E57:$Z57,MIN(V$6-$E$3,22))&lt;&gt;""),Aveia!$E57:INDEX(Aveia!$E57:$Z57,MIN(V$6-$E$3,22))),0))-IF($G$2,0,IF((V$6-$G$3)&lt;1,0,IFERROR(LOOKUP(2,1/(Aveia!$E57:INDEX(Aveia!$E57:$Z57,MIN(V$6-$G$3,22))&lt;&gt;""),Aveia!$E57:INDEX(Aveia!$E57:$Z57,MIN(V$6-$G$3,22))),0)))))</f>
        <v>0</v>
      </c>
      <c r="W59" s="27" t="n">
        <f aca="false">IF(COUNT(Aveia!$E57:$Z57)=0,0,MAX(0,IF((W$6-$E$3)&lt;1,0,IFERROR(LOOKUP(2,1/(Aveia!$E57:INDEX(Aveia!$E57:$Z57,MIN(W$6-$E$3,22))&lt;&gt;""),Aveia!$E57:INDEX(Aveia!$E57:$Z57,MIN(W$6-$E$3,22))),0))-IF($G$2,0,IF((W$6-$G$3)&lt;1,0,IFERROR(LOOKUP(2,1/(Aveia!$E57:INDEX(Aveia!$E57:$Z57,MIN(W$6-$G$3,22))&lt;&gt;""),Aveia!$E57:INDEX(Aveia!$E57:$Z57,MIN(W$6-$G$3,22))),0)))))</f>
        <v>0</v>
      </c>
      <c r="X59" s="27" t="n">
        <f aca="false">IF(COUNT(Aveia!$E57:$Z57)=0,0,MAX(0,IF((X$6-$E$3)&lt;1,0,IFERROR(LOOKUP(2,1/(Aveia!$E57:INDEX(Aveia!$E57:$Z57,MIN(X$6-$E$3,22))&lt;&gt;""),Aveia!$E57:INDEX(Aveia!$E57:$Z57,MIN(X$6-$E$3,22))),0))-IF($G$2,0,IF((X$6-$G$3)&lt;1,0,IFERROR(LOOKUP(2,1/(Aveia!$E57:INDEX(Aveia!$E57:$Z57,MIN(X$6-$G$3,22))&lt;&gt;""),Aveia!$E57:INDEX(Aveia!$E57:$Z57,MIN(X$6-$G$3,22))),0)))))</f>
        <v>0</v>
      </c>
      <c r="Y59" s="27" t="n">
        <f aca="false">IF(COUNT(Aveia!$E57:$Z57)=0,0,MAX(0,IF((Y$6-$E$3)&lt;1,0,IFERROR(LOOKUP(2,1/(Aveia!$E57:INDEX(Aveia!$E57:$Z57,MIN(Y$6-$E$3,22))&lt;&gt;""),Aveia!$E57:INDEX(Aveia!$E57:$Z57,MIN(Y$6-$E$3,22))),0))-IF($G$2,0,IF((Y$6-$G$3)&lt;1,0,IFERROR(LOOKUP(2,1/(Aveia!$E57:INDEX(Aveia!$E57:$Z57,MIN(Y$6-$G$3,22))&lt;&gt;""),Aveia!$E57:INDEX(Aveia!$E57:$Z57,MIN(Y$6-$G$3,22))),0)))))</f>
        <v>0</v>
      </c>
      <c r="Z59" s="27" t="n">
        <f aca="false">IF(COUNT(Aveia!$E57:$Z57)=0,0,MAX(0,IF((Z$6-$E$3)&lt;1,0,IFERROR(LOOKUP(2,1/(Aveia!$E57:INDEX(Aveia!$E57:$Z57,MIN(Z$6-$E$3,22))&lt;&gt;""),Aveia!$E57:INDEX(Aveia!$E57:$Z57,MIN(Z$6-$E$3,22))),0))-IF($G$2,0,IF((Z$6-$G$3)&lt;1,0,IFERROR(LOOKUP(2,1/(Aveia!$E57:INDEX(Aveia!$E57:$Z57,MIN(Z$6-$G$3,22))&lt;&gt;""),Aveia!$E57:INDEX(Aveia!$E57:$Z57,MIN(Z$6-$G$3,22))),0)))))</f>
        <v>0</v>
      </c>
      <c r="AA59" s="27" t="n">
        <f aca="false">IF(COUNT(Aveia!$E57:$Z57)=0,0,MAX(0,IF((AA$6-$E$3)&lt;1,0,IFERROR(LOOKUP(2,1/(Aveia!$E57:INDEX(Aveia!$E57:$Z57,MIN(AA$6-$E$3,22))&lt;&gt;""),Aveia!$E57:INDEX(Aveia!$E57:$Z57,MIN(AA$6-$E$3,22))),0))-IF($G$2,0,IF((AA$6-$G$3)&lt;1,0,IFERROR(LOOKUP(2,1/(Aveia!$E57:INDEX(Aveia!$E57:$Z57,MIN(AA$6-$G$3,22))&lt;&gt;""),Aveia!$E57:INDEX(Aveia!$E57:$Z57,MIN(AA$6-$G$3,22))),0)))))</f>
        <v>0</v>
      </c>
      <c r="AB59" s="27" t="n">
        <f aca="false">IF(COUNT(Aveia!$E57:$Z57)=0,0,MAX(0,IF((AB$6-$E$3)&lt;1,0,IFERROR(LOOKUP(2,1/(Aveia!$E57:INDEX(Aveia!$E57:$Z57,MIN(AB$6-$E$3,22))&lt;&gt;""),Aveia!$E57:INDEX(Aveia!$E57:$Z57,MIN(AB$6-$E$3,22))),0))-IF($G$2,0,IF((AB$6-$G$3)&lt;1,0,IFERROR(LOOKUP(2,1/(Aveia!$E57:INDEX(Aveia!$E57:$Z57,MIN(AB$6-$G$3,22))&lt;&gt;""),Aveia!$E57:INDEX(Aveia!$E57:$Z57,MIN(AB$6-$G$3,22))),0)))))</f>
        <v>0</v>
      </c>
      <c r="AC59" s="27" t="n">
        <f aca="false">IF(COUNT(Aveia!$E57:$Z57)=0,0,MAX(0,IF((AC$6-$E$3)&lt;1,0,IFERROR(LOOKUP(2,1/(Aveia!$E57:INDEX(Aveia!$E57:$Z57,MIN(AC$6-$E$3,22))&lt;&gt;""),Aveia!$E57:INDEX(Aveia!$E57:$Z57,MIN(AC$6-$E$3,22))),0))-IF($G$2,0,IF((AC$6-$G$3)&lt;1,0,IFERROR(LOOKUP(2,1/(Aveia!$E57:INDEX(Aveia!$E57:$Z57,MIN(AC$6-$G$3,22))&lt;&gt;""),Aveia!$E57:INDEX(Aveia!$E57:$Z57,MIN(AC$6-$G$3,22))),0)))))</f>
        <v>0</v>
      </c>
      <c r="AD59" s="27" t="n">
        <f aca="false">IF(COUNT(Aveia!$E57:$Z57)=0,0,MAX(0,IF((AD$6-$E$3)&lt;1,0,IFERROR(LOOKUP(2,1/(Aveia!$E57:INDEX(Aveia!$E57:$Z57,MIN(AD$6-$E$3,22))&lt;&gt;""),Aveia!$E57:INDEX(Aveia!$E57:$Z57,MIN(AD$6-$E$3,22))),0))-IF($G$2,0,IF((AD$6-$G$3)&lt;1,0,IFERROR(LOOKUP(2,1/(Aveia!$E57:INDEX(Aveia!$E57:$Z57,MIN(AD$6-$G$3,22))&lt;&gt;""),Aveia!$E57:INDEX(Aveia!$E57:$Z57,MIN(AD$6-$G$3,22))),0)))))</f>
        <v>0</v>
      </c>
      <c r="AE59" s="27" t="n">
        <f aca="false">IF(COUNT(Aveia!$E57:$Z57)=0,0,MAX(0,IF((AE$6-$E$3)&lt;1,0,IFERROR(LOOKUP(2,1/(Aveia!$E57:INDEX(Aveia!$E57:$Z57,MIN(AE$6-$E$3,22))&lt;&gt;""),Aveia!$E57:INDEX(Aveia!$E57:$Z57,MIN(AE$6-$E$3,22))),0))-IF($G$2,0,IF((AE$6-$G$3)&lt;1,0,IFERROR(LOOKUP(2,1/(Aveia!$E57:INDEX(Aveia!$E57:$Z57,MIN(AE$6-$G$3,22))&lt;&gt;""),Aveia!$E57:INDEX(Aveia!$E57:$Z57,MIN(AE$6-$G$3,22))),0)))))</f>
        <v>0</v>
      </c>
      <c r="AF59" s="27" t="n">
        <f aca="false">IF(COUNT(Aveia!$E57:$Z57)=0,0,MAX(0,IF((AF$6-$E$3)&lt;1,0,IFERROR(LOOKUP(2,1/(Aveia!$E57:INDEX(Aveia!$E57:$Z57,MIN(AF$6-$E$3,22))&lt;&gt;""),Aveia!$E57:INDEX(Aveia!$E57:$Z57,MIN(AF$6-$E$3,22))),0))-IF($G$2,0,IF((AF$6-$G$3)&lt;1,0,IFERROR(LOOKUP(2,1/(Aveia!$E57:INDEX(Aveia!$E57:$Z57,MIN(AF$6-$G$3,22))&lt;&gt;""),Aveia!$E57:INDEX(Aveia!$E57:$Z57,MIN(AF$6-$G$3,22))),0)))))</f>
        <v>0</v>
      </c>
      <c r="AG59" s="27" t="n">
        <f aca="false">IF(COUNT(Aveia!$E57:$Z57)=0,0,MAX(0,IF((AG$6-$E$3)&lt;1,0,IFERROR(LOOKUP(2,1/(Aveia!$E57:INDEX(Aveia!$E57:$Z57,MIN(AG$6-$E$3,22))&lt;&gt;""),Aveia!$E57:INDEX(Aveia!$E57:$Z57,MIN(AG$6-$E$3,22))),0))-IF($G$2,0,IF((AG$6-$G$3)&lt;1,0,IFERROR(LOOKUP(2,1/(Aveia!$E57:INDEX(Aveia!$E57:$Z57,MIN(AG$6-$G$3,22))&lt;&gt;""),Aveia!$E57:INDEX(Aveia!$E57:$Z57,MIN(AG$6-$G$3,22))),0)))))</f>
        <v>0</v>
      </c>
      <c r="AH59" s="27" t="n">
        <f aca="false">IF(COUNT(Aveia!$E57:$Z57)=0,0,MAX(0,IF((AH$6-$E$3)&lt;1,0,IFERROR(LOOKUP(2,1/(Aveia!$E57:INDEX(Aveia!$E57:$Z57,MIN(AH$6-$E$3,22))&lt;&gt;""),Aveia!$E57:INDEX(Aveia!$E57:$Z57,MIN(AH$6-$E$3,22))),0))-IF($G$2,0,IF((AH$6-$G$3)&lt;1,0,IFERROR(LOOKUP(2,1/(Aveia!$E57:INDEX(Aveia!$E57:$Z57,MIN(AH$6-$G$3,22))&lt;&gt;""),Aveia!$E57:INDEX(Aveia!$E57:$Z57,MIN(AH$6-$G$3,22))),0)))))</f>
        <v>0</v>
      </c>
      <c r="AI59" s="27" t="n">
        <f aca="false">IF(COUNT(Aveia!$E57:$Z57)=0,0,MAX(0,IF((AI$6-$E$3)&lt;1,0,IFERROR(LOOKUP(2,1/(Aveia!$E57:INDEX(Aveia!$E57:$Z57,MIN(AI$6-$E$3,22))&lt;&gt;""),Aveia!$E57:INDEX(Aveia!$E57:$Z57,MIN(AI$6-$E$3,22))),0))-IF($G$2,0,IF((AI$6-$G$3)&lt;1,0,IFERROR(LOOKUP(2,1/(Aveia!$E57:INDEX(Aveia!$E57:$Z57,MIN(AI$6-$G$3,22))&lt;&gt;""),Aveia!$E57:INDEX(Aveia!$E57:$Z57,MIN(AI$6-$G$3,22))),0)))))</f>
        <v>0</v>
      </c>
      <c r="AJ59" s="27" t="n">
        <f aca="false">IF(COUNT(Aveia!$E57:$Z57)=0,0,MAX(0,IF((AJ$6-$E$3)&lt;1,0,IFERROR(LOOKUP(2,1/(Aveia!$E57:INDEX(Aveia!$E57:$Z57,MIN(AJ$6-$E$3,22))&lt;&gt;""),Aveia!$E57:INDEX(Aveia!$E57:$Z57,MIN(AJ$6-$E$3,22))),0))-IF($G$2,0,IF((AJ$6-$G$3)&lt;1,0,IFERROR(LOOKUP(2,1/(Aveia!$E57:INDEX(Aveia!$E57:$Z57,MIN(AJ$6-$G$3,22))&lt;&gt;""),Aveia!$E57:INDEX(Aveia!$E57:$Z57,MIN(AJ$6-$G$3,22))),0)))))</f>
        <v>0</v>
      </c>
      <c r="AK59" s="27" t="n">
        <f aca="false">IF(COUNT(Aveia!$E57:$Z57)=0,0,MAX(0,IF((AK$6-$E$3)&lt;1,0,IFERROR(LOOKUP(2,1/(Aveia!$E57:INDEX(Aveia!$E57:$Z57,MIN(AK$6-$E$3,22))&lt;&gt;""),Aveia!$E57:INDEX(Aveia!$E57:$Z57,MIN(AK$6-$E$3,22))),0))-IF($G$2,0,IF((AK$6-$G$3)&lt;1,0,IFERROR(LOOKUP(2,1/(Aveia!$E57:INDEX(Aveia!$E57:$Z57,MIN(AK$6-$G$3,22))&lt;&gt;""),Aveia!$E57:INDEX(Aveia!$E57:$Z57,MIN(AK$6-$G$3,22))),0)))))</f>
        <v>0</v>
      </c>
      <c r="AL59" s="27" t="n">
        <f aca="false">IF(COUNT(Aveia!$E57:$Z57)=0,0,MAX(0,IF((AL$6-$E$3)&lt;1,0,IFERROR(LOOKUP(2,1/(Aveia!$E57:INDEX(Aveia!$E57:$Z57,MIN(AL$6-$E$3,22))&lt;&gt;""),Aveia!$E57:INDEX(Aveia!$E57:$Z57,MIN(AL$6-$E$3,22))),0))-IF($G$2,0,IF((AL$6-$G$3)&lt;1,0,IFERROR(LOOKUP(2,1/(Aveia!$E57:INDEX(Aveia!$E57:$Z57,MIN(AL$6-$G$3,22))&lt;&gt;""),Aveia!$E57:INDEX(Aveia!$E57:$Z57,MIN(AL$6-$G$3,22))),0)))))</f>
        <v>0</v>
      </c>
      <c r="AM59" s="27" t="n">
        <f aca="false">IF(COUNT(Aveia!$E57:$Z57)=0,0,MAX(0,IF((AM$6-$E$3)&lt;1,0,IFERROR(LOOKUP(2,1/(Aveia!$E57:INDEX(Aveia!$E57:$Z57,MIN(AM$6-$E$3,22))&lt;&gt;""),Aveia!$E57:INDEX(Aveia!$E57:$Z57,MIN(AM$6-$E$3,22))),0))-IF($G$2,0,IF((AM$6-$G$3)&lt;1,0,IFERROR(LOOKUP(2,1/(Aveia!$E57:INDEX(Aveia!$E57:$Z57,MIN(AM$6-$G$3,22))&lt;&gt;""),Aveia!$E57:INDEX(Aveia!$E57:$Z57,MIN(AM$6-$G$3,22))),0)))))</f>
        <v>0</v>
      </c>
      <c r="AN59" s="27" t="n">
        <f aca="false">IF(COUNT(Aveia!$E57:$Z57)=0,0,MAX(0,IF((AN$6-$E$3)&lt;1,0,IFERROR(LOOKUP(2,1/(Aveia!$E57:INDEX(Aveia!$E57:$Z57,MIN(AN$6-$E$3,22))&lt;&gt;""),Aveia!$E57:INDEX(Aveia!$E57:$Z57,MIN(AN$6-$E$3,22))),0))-IF($G$2,0,IF((AN$6-$G$3)&lt;1,0,IFERROR(LOOKUP(2,1/(Aveia!$E57:INDEX(Aveia!$E57:$Z57,MIN(AN$6-$G$3,22))&lt;&gt;""),Aveia!$E57:INDEX(Aveia!$E57:$Z57,MIN(AN$6-$G$3,22))),0)))))</f>
        <v>0</v>
      </c>
      <c r="AO59" s="27" t="n">
        <f aca="false">IF(COUNT(Aveia!$E57:$Z57)=0,0,MAX(0,IF((AO$6-$E$3)&lt;1,0,IFERROR(LOOKUP(2,1/(Aveia!$E57:INDEX(Aveia!$E57:$Z57,MIN(AO$6-$E$3,22))&lt;&gt;""),Aveia!$E57:INDEX(Aveia!$E57:$Z57,MIN(AO$6-$E$3,22))),0))-IF($G$2,0,IF((AO$6-$G$3)&lt;1,0,IFERROR(LOOKUP(2,1/(Aveia!$E57:INDEX(Aveia!$E57:$Z57,MIN(AO$6-$G$3,22))&lt;&gt;""),Aveia!$E57:INDEX(Aveia!$E57:$Z57,MIN(AO$6-$G$3,22))),0)))))</f>
        <v>0</v>
      </c>
      <c r="AP59" s="27" t="n">
        <f aca="false">IF(COUNT(Aveia!$E57:$Z57)=0,0,MAX(0,IF((AP$6-$E$3)&lt;1,0,IFERROR(LOOKUP(2,1/(Aveia!$E57:INDEX(Aveia!$E57:$Z57,MIN(AP$6-$E$3,22))&lt;&gt;""),Aveia!$E57:INDEX(Aveia!$E57:$Z57,MIN(AP$6-$E$3,22))),0))-IF($G$2,0,IF((AP$6-$G$3)&lt;1,0,IFERROR(LOOKUP(2,1/(Aveia!$E57:INDEX(Aveia!$E57:$Z57,MIN(AP$6-$G$3,22))&lt;&gt;""),Aveia!$E57:INDEX(Aveia!$E57:$Z57,MIN(AP$6-$G$3,22))),0)))))</f>
        <v>0</v>
      </c>
      <c r="AQ59" s="27" t="n">
        <f aca="false">IF(COUNT(Aveia!$E57:$Z57)=0,0,MAX(0,IF((AQ$6-$E$3)&lt;1,0,IFERROR(LOOKUP(2,1/(Aveia!$E57:INDEX(Aveia!$E57:$Z57,MIN(AQ$6-$E$3,22))&lt;&gt;""),Aveia!$E57:INDEX(Aveia!$E57:$Z57,MIN(AQ$6-$E$3,22))),0))-IF($G$2,0,IF((AQ$6-$G$3)&lt;1,0,IFERROR(LOOKUP(2,1/(Aveia!$E57:INDEX(Aveia!$E57:$Z57,MIN(AQ$6-$G$3,22))&lt;&gt;""),Aveia!$E57:INDEX(Aveia!$E57:$Z57,MIN(AQ$6-$G$3,22))),0)))))</f>
        <v>0</v>
      </c>
      <c r="AR59" s="27" t="n">
        <f aca="false">IF(COUNT(Aveia!$E57:$Z57)=0,0,MAX(0,IF((AR$6-$E$3)&lt;1,0,IFERROR(LOOKUP(2,1/(Aveia!$E57:INDEX(Aveia!$E57:$Z57,MIN(AR$6-$E$3,22))&lt;&gt;""),Aveia!$E57:INDEX(Aveia!$E57:$Z57,MIN(AR$6-$E$3,22))),0))-IF($G$2,0,IF((AR$6-$G$3)&lt;1,0,IFERROR(LOOKUP(2,1/(Aveia!$E57:INDEX(Aveia!$E57:$Z57,MIN(AR$6-$G$3,22))&lt;&gt;""),Aveia!$E57:INDEX(Aveia!$E57:$Z57,MIN(AR$6-$G$3,22))),0)))))</f>
        <v>0</v>
      </c>
      <c r="AS59" s="27" t="n">
        <f aca="false">IF(COUNT(Aveia!$E57:$Z57)=0,0,MAX(0,IF((AS$6-$E$3)&lt;1,0,IFERROR(LOOKUP(2,1/(Aveia!$E57:INDEX(Aveia!$E57:$Z57,MIN(AS$6-$E$3,22))&lt;&gt;""),Aveia!$E57:INDEX(Aveia!$E57:$Z57,MIN(AS$6-$E$3,22))),0))-IF($G$2,0,IF((AS$6-$G$3)&lt;1,0,IFERROR(LOOKUP(2,1/(Aveia!$E57:INDEX(Aveia!$E57:$Z57,MIN(AS$6-$G$3,22))&lt;&gt;""),Aveia!$E57:INDEX(Aveia!$E57:$Z57,MIN(AS$6-$G$3,22))),0)))))</f>
        <v>0</v>
      </c>
      <c r="AT59" s="27" t="n">
        <f aca="false">IF(COUNT(Aveia!$E57:$Z57)=0,0,MAX(0,IF((AT$6-$E$3)&lt;1,0,IFERROR(LOOKUP(2,1/(Aveia!$E57:INDEX(Aveia!$E57:$Z57,MIN(AT$6-$E$3,22))&lt;&gt;""),Aveia!$E57:INDEX(Aveia!$E57:$Z57,MIN(AT$6-$E$3,22))),0))-IF($G$2,0,IF((AT$6-$G$3)&lt;1,0,IFERROR(LOOKUP(2,1/(Aveia!$E57:INDEX(Aveia!$E57:$Z57,MIN(AT$6-$G$3,22))&lt;&gt;""),Aveia!$E57:INDEX(Aveia!$E57:$Z57,MIN(AT$6-$G$3,22))),0)))))</f>
        <v>0</v>
      </c>
      <c r="AU59" s="27" t="n">
        <f aca="false">IF(COUNT(Aveia!$E57:$Z57)=0,0,MAX(0,IF((AU$6-$E$3)&lt;1,0,IFERROR(LOOKUP(2,1/(Aveia!$E57:INDEX(Aveia!$E57:$Z57,MIN(AU$6-$E$3,22))&lt;&gt;""),Aveia!$E57:INDEX(Aveia!$E57:$Z57,MIN(AU$6-$E$3,22))),0))-IF($G$2,0,IF((AU$6-$G$3)&lt;1,0,IFERROR(LOOKUP(2,1/(Aveia!$E57:INDEX(Aveia!$E57:$Z57,MIN(AU$6-$G$3,22))&lt;&gt;""),Aveia!$E57:INDEX(Aveia!$E57:$Z57,MIN(AU$6-$G$3,22))),0)))))</f>
        <v>0</v>
      </c>
      <c r="AV59" s="27" t="n">
        <f aca="false">IF(COUNT(Aveia!$E57:$Z57)=0,0,MAX(0,IF((AV$6-$E$3)&lt;1,0,IFERROR(LOOKUP(2,1/(Aveia!$E57:INDEX(Aveia!$E57:$Z57,MIN(AV$6-$E$3,22))&lt;&gt;""),Aveia!$E57:INDEX(Aveia!$E57:$Z57,MIN(AV$6-$E$3,22))),0))-IF($G$2,0,IF((AV$6-$G$3)&lt;1,0,IFERROR(LOOKUP(2,1/(Aveia!$E57:INDEX(Aveia!$E57:$Z57,MIN(AV$6-$G$3,22))&lt;&gt;""),Aveia!$E57:INDEX(Aveia!$E57:$Z57,MIN(AV$6-$G$3,22))),0)))))</f>
        <v>0</v>
      </c>
      <c r="AW59" s="27" t="n">
        <f aca="false">IF(COUNT(Aveia!$E57:$Z57)=0,0,MAX(0,IF((AW$6-$E$3)&lt;1,0,IFERROR(LOOKUP(2,1/(Aveia!$E57:INDEX(Aveia!$E57:$Z57,MIN(AW$6-$E$3,22))&lt;&gt;""),Aveia!$E57:INDEX(Aveia!$E57:$Z57,MIN(AW$6-$E$3,22))),0))-IF($G$2,0,IF((AW$6-$G$3)&lt;1,0,IFERROR(LOOKUP(2,1/(Aveia!$E57:INDEX(Aveia!$E57:$Z57,MIN(AW$6-$G$3,22))&lt;&gt;""),Aveia!$E57:INDEX(Aveia!$E57:$Z57,MIN(AW$6-$G$3,22))),0)))))</f>
        <v>0</v>
      </c>
      <c r="AX59" s="27" t="n">
        <f aca="false">IF(COUNT(Aveia!$E57:$Z57)=0,0,MAX(0,IF((AX$6-$E$3)&lt;1,0,IFERROR(LOOKUP(2,1/(Aveia!$E57:INDEX(Aveia!$E57:$Z57,MIN(AX$6-$E$3,22))&lt;&gt;""),Aveia!$E57:INDEX(Aveia!$E57:$Z57,MIN(AX$6-$E$3,22))),0))-IF($G$2,0,IF((AX$6-$G$3)&lt;1,0,IFERROR(LOOKUP(2,1/(Aveia!$E57:INDEX(Aveia!$E57:$Z57,MIN(AX$6-$G$3,22))&lt;&gt;""),Aveia!$E57:INDEX(Aveia!$E57:$Z57,MIN(AX$6-$G$3,22))),0)))))</f>
        <v>0</v>
      </c>
      <c r="AY59" s="27" t="n">
        <f aca="false">IF(COUNT(Aveia!$E57:$Z57)=0,0,MAX(0,IF((AY$6-$E$3)&lt;1,0,IFERROR(LOOKUP(2,1/(Aveia!$E57:INDEX(Aveia!$E57:$Z57,MIN(AY$6-$E$3,22))&lt;&gt;""),Aveia!$E57:INDEX(Aveia!$E57:$Z57,MIN(AY$6-$E$3,22))),0))-IF($G$2,0,IF((AY$6-$G$3)&lt;1,0,IFERROR(LOOKUP(2,1/(Aveia!$E57:INDEX(Aveia!$E57:$Z57,MIN(AY$6-$G$3,22))&lt;&gt;""),Aveia!$E57:INDEX(Aveia!$E57:$Z57,MIN(AY$6-$G$3,22))),0)))))</f>
        <v>0</v>
      </c>
      <c r="AZ59" s="27" t="n">
        <f aca="false">IF(COUNT(Aveia!$E57:$Z57)=0,0,MAX(0,IF((AZ$6-$E$3)&lt;1,0,IFERROR(LOOKUP(2,1/(Aveia!$E57:INDEX(Aveia!$E57:$Z57,MIN(AZ$6-$E$3,22))&lt;&gt;""),Aveia!$E57:INDEX(Aveia!$E57:$Z57,MIN(AZ$6-$E$3,22))),0))-IF($G$2,0,IF((AZ$6-$G$3)&lt;1,0,IFERROR(LOOKUP(2,1/(Aveia!$E57:INDEX(Aveia!$E57:$Z57,MIN(AZ$6-$G$3,22))&lt;&gt;""),Aveia!$E57:INDEX(Aveia!$E57:$Z57,MIN(AZ$6-$G$3,22))),0)))))</f>
        <v>0</v>
      </c>
    </row>
    <row r="60" customFormat="false" ht="15" hidden="false" customHeight="false" outlineLevel="0" collapsed="false">
      <c r="A60" s="3" t="s">
        <v>240</v>
      </c>
      <c r="B60" s="3" t="s">
        <v>241</v>
      </c>
      <c r="C60" s="10" t="s">
        <v>163</v>
      </c>
      <c r="D60" s="26" t="n">
        <f aca="false">IF(COUNT(Aveia!$E58:$Z58)&gt;0,N(Aveia!$D58),0)</f>
        <v>0</v>
      </c>
      <c r="E60" s="27" t="n">
        <f aca="false">IF(COUNT(Aveia!$E58:$Z58)=0,0,MAX(0,IF((E$6-$E$3)&lt;1,0,IFERROR(LOOKUP(2,1/(Aveia!$E58:INDEX(Aveia!$E58:$Z58,MIN(E$6-$E$3,22))&lt;&gt;""),Aveia!$E58:INDEX(Aveia!$E58:$Z58,MIN(E$6-$E$3,22))),0))-IF($G$2,0,IF((E$6-$G$3)&lt;1,0,IFERROR(LOOKUP(2,1/(Aveia!$E58:INDEX(Aveia!$E58:$Z58,MIN(E$6-$G$3,22))&lt;&gt;""),Aveia!$E58:INDEX(Aveia!$E58:$Z58,MIN(E$6-$G$3,22))),0)))))</f>
        <v>0</v>
      </c>
      <c r="F60" s="27" t="n">
        <f aca="false">IF(COUNT(Aveia!$E58:$Z58)=0,0,MAX(0,IF((F$6-$E$3)&lt;1,0,IFERROR(LOOKUP(2,1/(Aveia!$E58:INDEX(Aveia!$E58:$Z58,MIN(F$6-$E$3,22))&lt;&gt;""),Aveia!$E58:INDEX(Aveia!$E58:$Z58,MIN(F$6-$E$3,22))),0))-IF($G$2,0,IF((F$6-$G$3)&lt;1,0,IFERROR(LOOKUP(2,1/(Aveia!$E58:INDEX(Aveia!$E58:$Z58,MIN(F$6-$G$3,22))&lt;&gt;""),Aveia!$E58:INDEX(Aveia!$E58:$Z58,MIN(F$6-$G$3,22))),0)))))</f>
        <v>0</v>
      </c>
      <c r="G60" s="27" t="n">
        <f aca="false">IF(COUNT(Aveia!$E58:$Z58)=0,0,MAX(0,IF((G$6-$E$3)&lt;1,0,IFERROR(LOOKUP(2,1/(Aveia!$E58:INDEX(Aveia!$E58:$Z58,MIN(G$6-$E$3,22))&lt;&gt;""),Aveia!$E58:INDEX(Aveia!$E58:$Z58,MIN(G$6-$E$3,22))),0))-IF($G$2,0,IF((G$6-$G$3)&lt;1,0,IFERROR(LOOKUP(2,1/(Aveia!$E58:INDEX(Aveia!$E58:$Z58,MIN(G$6-$G$3,22))&lt;&gt;""),Aveia!$E58:INDEX(Aveia!$E58:$Z58,MIN(G$6-$G$3,22))),0)))))</f>
        <v>0</v>
      </c>
      <c r="H60" s="27" t="n">
        <f aca="false">IF(COUNT(Aveia!$E58:$Z58)=0,0,MAX(0,IF((H$6-$E$3)&lt;1,0,IFERROR(LOOKUP(2,1/(Aveia!$E58:INDEX(Aveia!$E58:$Z58,MIN(H$6-$E$3,22))&lt;&gt;""),Aveia!$E58:INDEX(Aveia!$E58:$Z58,MIN(H$6-$E$3,22))),0))-IF($G$2,0,IF((H$6-$G$3)&lt;1,0,IFERROR(LOOKUP(2,1/(Aveia!$E58:INDEX(Aveia!$E58:$Z58,MIN(H$6-$G$3,22))&lt;&gt;""),Aveia!$E58:INDEX(Aveia!$E58:$Z58,MIN(H$6-$G$3,22))),0)))))</f>
        <v>0</v>
      </c>
      <c r="I60" s="27" t="n">
        <f aca="false">IF(COUNT(Aveia!$E58:$Z58)=0,0,MAX(0,IF((I$6-$E$3)&lt;1,0,IFERROR(LOOKUP(2,1/(Aveia!$E58:INDEX(Aveia!$E58:$Z58,MIN(I$6-$E$3,22))&lt;&gt;""),Aveia!$E58:INDEX(Aveia!$E58:$Z58,MIN(I$6-$E$3,22))),0))-IF($G$2,0,IF((I$6-$G$3)&lt;1,0,IFERROR(LOOKUP(2,1/(Aveia!$E58:INDEX(Aveia!$E58:$Z58,MIN(I$6-$G$3,22))&lt;&gt;""),Aveia!$E58:INDEX(Aveia!$E58:$Z58,MIN(I$6-$G$3,22))),0)))))</f>
        <v>0</v>
      </c>
      <c r="J60" s="27" t="n">
        <f aca="false">IF(COUNT(Aveia!$E58:$Z58)=0,0,MAX(0,IF((J$6-$E$3)&lt;1,0,IFERROR(LOOKUP(2,1/(Aveia!$E58:INDEX(Aveia!$E58:$Z58,MIN(J$6-$E$3,22))&lt;&gt;""),Aveia!$E58:INDEX(Aveia!$E58:$Z58,MIN(J$6-$E$3,22))),0))-IF($G$2,0,IF((J$6-$G$3)&lt;1,0,IFERROR(LOOKUP(2,1/(Aveia!$E58:INDEX(Aveia!$E58:$Z58,MIN(J$6-$G$3,22))&lt;&gt;""),Aveia!$E58:INDEX(Aveia!$E58:$Z58,MIN(J$6-$G$3,22))),0)))))</f>
        <v>0</v>
      </c>
      <c r="K60" s="27" t="n">
        <f aca="false">IF(COUNT(Aveia!$E58:$Z58)=0,0,MAX(0,IF((K$6-$E$3)&lt;1,0,IFERROR(LOOKUP(2,1/(Aveia!$E58:INDEX(Aveia!$E58:$Z58,MIN(K$6-$E$3,22))&lt;&gt;""),Aveia!$E58:INDEX(Aveia!$E58:$Z58,MIN(K$6-$E$3,22))),0))-IF($G$2,0,IF((K$6-$G$3)&lt;1,0,IFERROR(LOOKUP(2,1/(Aveia!$E58:INDEX(Aveia!$E58:$Z58,MIN(K$6-$G$3,22))&lt;&gt;""),Aveia!$E58:INDEX(Aveia!$E58:$Z58,MIN(K$6-$G$3,22))),0)))))</f>
        <v>0</v>
      </c>
      <c r="L60" s="27" t="n">
        <f aca="false">IF(COUNT(Aveia!$E58:$Z58)=0,0,MAX(0,IF((L$6-$E$3)&lt;1,0,IFERROR(LOOKUP(2,1/(Aveia!$E58:INDEX(Aveia!$E58:$Z58,MIN(L$6-$E$3,22))&lt;&gt;""),Aveia!$E58:INDEX(Aveia!$E58:$Z58,MIN(L$6-$E$3,22))),0))-IF($G$2,0,IF((L$6-$G$3)&lt;1,0,IFERROR(LOOKUP(2,1/(Aveia!$E58:INDEX(Aveia!$E58:$Z58,MIN(L$6-$G$3,22))&lt;&gt;""),Aveia!$E58:INDEX(Aveia!$E58:$Z58,MIN(L$6-$G$3,22))),0)))))</f>
        <v>0</v>
      </c>
      <c r="M60" s="27" t="n">
        <f aca="false">IF(COUNT(Aveia!$E58:$Z58)=0,0,MAX(0,IF((M$6-$E$3)&lt;1,0,IFERROR(LOOKUP(2,1/(Aveia!$E58:INDEX(Aveia!$E58:$Z58,MIN(M$6-$E$3,22))&lt;&gt;""),Aveia!$E58:INDEX(Aveia!$E58:$Z58,MIN(M$6-$E$3,22))),0))-IF($G$2,0,IF((M$6-$G$3)&lt;1,0,IFERROR(LOOKUP(2,1/(Aveia!$E58:INDEX(Aveia!$E58:$Z58,MIN(M$6-$G$3,22))&lt;&gt;""),Aveia!$E58:INDEX(Aveia!$E58:$Z58,MIN(M$6-$G$3,22))),0)))))</f>
        <v>0</v>
      </c>
      <c r="N60" s="27" t="n">
        <f aca="false">IF(COUNT(Aveia!$E58:$Z58)=0,0,MAX(0,IF((N$6-$E$3)&lt;1,0,IFERROR(LOOKUP(2,1/(Aveia!$E58:INDEX(Aveia!$E58:$Z58,MIN(N$6-$E$3,22))&lt;&gt;""),Aveia!$E58:INDEX(Aveia!$E58:$Z58,MIN(N$6-$E$3,22))),0))-IF($G$2,0,IF((N$6-$G$3)&lt;1,0,IFERROR(LOOKUP(2,1/(Aveia!$E58:INDEX(Aveia!$E58:$Z58,MIN(N$6-$G$3,22))&lt;&gt;""),Aveia!$E58:INDEX(Aveia!$E58:$Z58,MIN(N$6-$G$3,22))),0)))))</f>
        <v>0</v>
      </c>
      <c r="O60" s="27" t="n">
        <f aca="false">IF(COUNT(Aveia!$E58:$Z58)=0,0,MAX(0,IF((O$6-$E$3)&lt;1,0,IFERROR(LOOKUP(2,1/(Aveia!$E58:INDEX(Aveia!$E58:$Z58,MIN(O$6-$E$3,22))&lt;&gt;""),Aveia!$E58:INDEX(Aveia!$E58:$Z58,MIN(O$6-$E$3,22))),0))-IF($G$2,0,IF((O$6-$G$3)&lt;1,0,IFERROR(LOOKUP(2,1/(Aveia!$E58:INDEX(Aveia!$E58:$Z58,MIN(O$6-$G$3,22))&lt;&gt;""),Aveia!$E58:INDEX(Aveia!$E58:$Z58,MIN(O$6-$G$3,22))),0)))))</f>
        <v>0</v>
      </c>
      <c r="P60" s="27" t="n">
        <f aca="false">IF(COUNT(Aveia!$E58:$Z58)=0,0,MAX(0,IF((P$6-$E$3)&lt;1,0,IFERROR(LOOKUP(2,1/(Aveia!$E58:INDEX(Aveia!$E58:$Z58,MIN(P$6-$E$3,22))&lt;&gt;""),Aveia!$E58:INDEX(Aveia!$E58:$Z58,MIN(P$6-$E$3,22))),0))-IF($G$2,0,IF((P$6-$G$3)&lt;1,0,IFERROR(LOOKUP(2,1/(Aveia!$E58:INDEX(Aveia!$E58:$Z58,MIN(P$6-$G$3,22))&lt;&gt;""),Aveia!$E58:INDEX(Aveia!$E58:$Z58,MIN(P$6-$G$3,22))),0)))))</f>
        <v>0</v>
      </c>
      <c r="Q60" s="27" t="n">
        <f aca="false">IF(COUNT(Aveia!$E58:$Z58)=0,0,MAX(0,IF((Q$6-$E$3)&lt;1,0,IFERROR(LOOKUP(2,1/(Aveia!$E58:INDEX(Aveia!$E58:$Z58,MIN(Q$6-$E$3,22))&lt;&gt;""),Aveia!$E58:INDEX(Aveia!$E58:$Z58,MIN(Q$6-$E$3,22))),0))-IF($G$2,0,IF((Q$6-$G$3)&lt;1,0,IFERROR(LOOKUP(2,1/(Aveia!$E58:INDEX(Aveia!$E58:$Z58,MIN(Q$6-$G$3,22))&lt;&gt;""),Aveia!$E58:INDEX(Aveia!$E58:$Z58,MIN(Q$6-$G$3,22))),0)))))</f>
        <v>0</v>
      </c>
      <c r="R60" s="27" t="n">
        <f aca="false">IF(COUNT(Aveia!$E58:$Z58)=0,0,MAX(0,IF((R$6-$E$3)&lt;1,0,IFERROR(LOOKUP(2,1/(Aveia!$E58:INDEX(Aveia!$E58:$Z58,MIN(R$6-$E$3,22))&lt;&gt;""),Aveia!$E58:INDEX(Aveia!$E58:$Z58,MIN(R$6-$E$3,22))),0))-IF($G$2,0,IF((R$6-$G$3)&lt;1,0,IFERROR(LOOKUP(2,1/(Aveia!$E58:INDEX(Aveia!$E58:$Z58,MIN(R$6-$G$3,22))&lt;&gt;""),Aveia!$E58:INDEX(Aveia!$E58:$Z58,MIN(R$6-$G$3,22))),0)))))</f>
        <v>0</v>
      </c>
      <c r="S60" s="27" t="n">
        <f aca="false">IF(COUNT(Aveia!$E58:$Z58)=0,0,MAX(0,IF((S$6-$E$3)&lt;1,0,IFERROR(LOOKUP(2,1/(Aveia!$E58:INDEX(Aveia!$E58:$Z58,MIN(S$6-$E$3,22))&lt;&gt;""),Aveia!$E58:INDEX(Aveia!$E58:$Z58,MIN(S$6-$E$3,22))),0))-IF($G$2,0,IF((S$6-$G$3)&lt;1,0,IFERROR(LOOKUP(2,1/(Aveia!$E58:INDEX(Aveia!$E58:$Z58,MIN(S$6-$G$3,22))&lt;&gt;""),Aveia!$E58:INDEX(Aveia!$E58:$Z58,MIN(S$6-$G$3,22))),0)))))</f>
        <v>0</v>
      </c>
      <c r="T60" s="27" t="n">
        <f aca="false">IF(COUNT(Aveia!$E58:$Z58)=0,0,MAX(0,IF((T$6-$E$3)&lt;1,0,IFERROR(LOOKUP(2,1/(Aveia!$E58:INDEX(Aveia!$E58:$Z58,MIN(T$6-$E$3,22))&lt;&gt;""),Aveia!$E58:INDEX(Aveia!$E58:$Z58,MIN(T$6-$E$3,22))),0))-IF($G$2,0,IF((T$6-$G$3)&lt;1,0,IFERROR(LOOKUP(2,1/(Aveia!$E58:INDEX(Aveia!$E58:$Z58,MIN(T$6-$G$3,22))&lt;&gt;""),Aveia!$E58:INDEX(Aveia!$E58:$Z58,MIN(T$6-$G$3,22))),0)))))</f>
        <v>0</v>
      </c>
      <c r="U60" s="27" t="n">
        <f aca="false">IF(COUNT(Aveia!$E58:$Z58)=0,0,MAX(0,IF((U$6-$E$3)&lt;1,0,IFERROR(LOOKUP(2,1/(Aveia!$E58:INDEX(Aveia!$E58:$Z58,MIN(U$6-$E$3,22))&lt;&gt;""),Aveia!$E58:INDEX(Aveia!$E58:$Z58,MIN(U$6-$E$3,22))),0))-IF($G$2,0,IF((U$6-$G$3)&lt;1,0,IFERROR(LOOKUP(2,1/(Aveia!$E58:INDEX(Aveia!$E58:$Z58,MIN(U$6-$G$3,22))&lt;&gt;""),Aveia!$E58:INDEX(Aveia!$E58:$Z58,MIN(U$6-$G$3,22))),0)))))</f>
        <v>0</v>
      </c>
      <c r="V60" s="27" t="n">
        <f aca="false">IF(COUNT(Aveia!$E58:$Z58)=0,0,MAX(0,IF((V$6-$E$3)&lt;1,0,IFERROR(LOOKUP(2,1/(Aveia!$E58:INDEX(Aveia!$E58:$Z58,MIN(V$6-$E$3,22))&lt;&gt;""),Aveia!$E58:INDEX(Aveia!$E58:$Z58,MIN(V$6-$E$3,22))),0))-IF($G$2,0,IF((V$6-$G$3)&lt;1,0,IFERROR(LOOKUP(2,1/(Aveia!$E58:INDEX(Aveia!$E58:$Z58,MIN(V$6-$G$3,22))&lt;&gt;""),Aveia!$E58:INDEX(Aveia!$E58:$Z58,MIN(V$6-$G$3,22))),0)))))</f>
        <v>0</v>
      </c>
      <c r="W60" s="27" t="n">
        <f aca="false">IF(COUNT(Aveia!$E58:$Z58)=0,0,MAX(0,IF((W$6-$E$3)&lt;1,0,IFERROR(LOOKUP(2,1/(Aveia!$E58:INDEX(Aveia!$E58:$Z58,MIN(W$6-$E$3,22))&lt;&gt;""),Aveia!$E58:INDEX(Aveia!$E58:$Z58,MIN(W$6-$E$3,22))),0))-IF($G$2,0,IF((W$6-$G$3)&lt;1,0,IFERROR(LOOKUP(2,1/(Aveia!$E58:INDEX(Aveia!$E58:$Z58,MIN(W$6-$G$3,22))&lt;&gt;""),Aveia!$E58:INDEX(Aveia!$E58:$Z58,MIN(W$6-$G$3,22))),0)))))</f>
        <v>0</v>
      </c>
      <c r="X60" s="27" t="n">
        <f aca="false">IF(COUNT(Aveia!$E58:$Z58)=0,0,MAX(0,IF((X$6-$E$3)&lt;1,0,IFERROR(LOOKUP(2,1/(Aveia!$E58:INDEX(Aveia!$E58:$Z58,MIN(X$6-$E$3,22))&lt;&gt;""),Aveia!$E58:INDEX(Aveia!$E58:$Z58,MIN(X$6-$E$3,22))),0))-IF($G$2,0,IF((X$6-$G$3)&lt;1,0,IFERROR(LOOKUP(2,1/(Aveia!$E58:INDEX(Aveia!$E58:$Z58,MIN(X$6-$G$3,22))&lt;&gt;""),Aveia!$E58:INDEX(Aveia!$E58:$Z58,MIN(X$6-$G$3,22))),0)))))</f>
        <v>0</v>
      </c>
      <c r="Y60" s="27" t="n">
        <f aca="false">IF(COUNT(Aveia!$E58:$Z58)=0,0,MAX(0,IF((Y$6-$E$3)&lt;1,0,IFERROR(LOOKUP(2,1/(Aveia!$E58:INDEX(Aveia!$E58:$Z58,MIN(Y$6-$E$3,22))&lt;&gt;""),Aveia!$E58:INDEX(Aveia!$E58:$Z58,MIN(Y$6-$E$3,22))),0))-IF($G$2,0,IF((Y$6-$G$3)&lt;1,0,IFERROR(LOOKUP(2,1/(Aveia!$E58:INDEX(Aveia!$E58:$Z58,MIN(Y$6-$G$3,22))&lt;&gt;""),Aveia!$E58:INDEX(Aveia!$E58:$Z58,MIN(Y$6-$G$3,22))),0)))))</f>
        <v>0</v>
      </c>
      <c r="Z60" s="27" t="n">
        <f aca="false">IF(COUNT(Aveia!$E58:$Z58)=0,0,MAX(0,IF((Z$6-$E$3)&lt;1,0,IFERROR(LOOKUP(2,1/(Aveia!$E58:INDEX(Aveia!$E58:$Z58,MIN(Z$6-$E$3,22))&lt;&gt;""),Aveia!$E58:INDEX(Aveia!$E58:$Z58,MIN(Z$6-$E$3,22))),0))-IF($G$2,0,IF((Z$6-$G$3)&lt;1,0,IFERROR(LOOKUP(2,1/(Aveia!$E58:INDEX(Aveia!$E58:$Z58,MIN(Z$6-$G$3,22))&lt;&gt;""),Aveia!$E58:INDEX(Aveia!$E58:$Z58,MIN(Z$6-$G$3,22))),0)))))</f>
        <v>0</v>
      </c>
      <c r="AA60" s="27" t="n">
        <f aca="false">IF(COUNT(Aveia!$E58:$Z58)=0,0,MAX(0,IF((AA$6-$E$3)&lt;1,0,IFERROR(LOOKUP(2,1/(Aveia!$E58:INDEX(Aveia!$E58:$Z58,MIN(AA$6-$E$3,22))&lt;&gt;""),Aveia!$E58:INDEX(Aveia!$E58:$Z58,MIN(AA$6-$E$3,22))),0))-IF($G$2,0,IF((AA$6-$G$3)&lt;1,0,IFERROR(LOOKUP(2,1/(Aveia!$E58:INDEX(Aveia!$E58:$Z58,MIN(AA$6-$G$3,22))&lt;&gt;""),Aveia!$E58:INDEX(Aveia!$E58:$Z58,MIN(AA$6-$G$3,22))),0)))))</f>
        <v>0</v>
      </c>
      <c r="AB60" s="27" t="n">
        <f aca="false">IF(COUNT(Aveia!$E58:$Z58)=0,0,MAX(0,IF((AB$6-$E$3)&lt;1,0,IFERROR(LOOKUP(2,1/(Aveia!$E58:INDEX(Aveia!$E58:$Z58,MIN(AB$6-$E$3,22))&lt;&gt;""),Aveia!$E58:INDEX(Aveia!$E58:$Z58,MIN(AB$6-$E$3,22))),0))-IF($G$2,0,IF((AB$6-$G$3)&lt;1,0,IFERROR(LOOKUP(2,1/(Aveia!$E58:INDEX(Aveia!$E58:$Z58,MIN(AB$6-$G$3,22))&lt;&gt;""),Aveia!$E58:INDEX(Aveia!$E58:$Z58,MIN(AB$6-$G$3,22))),0)))))</f>
        <v>0</v>
      </c>
      <c r="AC60" s="27" t="n">
        <f aca="false">IF(COUNT(Aveia!$E58:$Z58)=0,0,MAX(0,IF((AC$6-$E$3)&lt;1,0,IFERROR(LOOKUP(2,1/(Aveia!$E58:INDEX(Aveia!$E58:$Z58,MIN(AC$6-$E$3,22))&lt;&gt;""),Aveia!$E58:INDEX(Aveia!$E58:$Z58,MIN(AC$6-$E$3,22))),0))-IF($G$2,0,IF((AC$6-$G$3)&lt;1,0,IFERROR(LOOKUP(2,1/(Aveia!$E58:INDEX(Aveia!$E58:$Z58,MIN(AC$6-$G$3,22))&lt;&gt;""),Aveia!$E58:INDEX(Aveia!$E58:$Z58,MIN(AC$6-$G$3,22))),0)))))</f>
        <v>0</v>
      </c>
      <c r="AD60" s="27" t="n">
        <f aca="false">IF(COUNT(Aveia!$E58:$Z58)=0,0,MAX(0,IF((AD$6-$E$3)&lt;1,0,IFERROR(LOOKUP(2,1/(Aveia!$E58:INDEX(Aveia!$E58:$Z58,MIN(AD$6-$E$3,22))&lt;&gt;""),Aveia!$E58:INDEX(Aveia!$E58:$Z58,MIN(AD$6-$E$3,22))),0))-IF($G$2,0,IF((AD$6-$G$3)&lt;1,0,IFERROR(LOOKUP(2,1/(Aveia!$E58:INDEX(Aveia!$E58:$Z58,MIN(AD$6-$G$3,22))&lt;&gt;""),Aveia!$E58:INDEX(Aveia!$E58:$Z58,MIN(AD$6-$G$3,22))),0)))))</f>
        <v>0</v>
      </c>
      <c r="AE60" s="27" t="n">
        <f aca="false">IF(COUNT(Aveia!$E58:$Z58)=0,0,MAX(0,IF((AE$6-$E$3)&lt;1,0,IFERROR(LOOKUP(2,1/(Aveia!$E58:INDEX(Aveia!$E58:$Z58,MIN(AE$6-$E$3,22))&lt;&gt;""),Aveia!$E58:INDEX(Aveia!$E58:$Z58,MIN(AE$6-$E$3,22))),0))-IF($G$2,0,IF((AE$6-$G$3)&lt;1,0,IFERROR(LOOKUP(2,1/(Aveia!$E58:INDEX(Aveia!$E58:$Z58,MIN(AE$6-$G$3,22))&lt;&gt;""),Aveia!$E58:INDEX(Aveia!$E58:$Z58,MIN(AE$6-$G$3,22))),0)))))</f>
        <v>0</v>
      </c>
      <c r="AF60" s="27" t="n">
        <f aca="false">IF(COUNT(Aveia!$E58:$Z58)=0,0,MAX(0,IF((AF$6-$E$3)&lt;1,0,IFERROR(LOOKUP(2,1/(Aveia!$E58:INDEX(Aveia!$E58:$Z58,MIN(AF$6-$E$3,22))&lt;&gt;""),Aveia!$E58:INDEX(Aveia!$E58:$Z58,MIN(AF$6-$E$3,22))),0))-IF($G$2,0,IF((AF$6-$G$3)&lt;1,0,IFERROR(LOOKUP(2,1/(Aveia!$E58:INDEX(Aveia!$E58:$Z58,MIN(AF$6-$G$3,22))&lt;&gt;""),Aveia!$E58:INDEX(Aveia!$E58:$Z58,MIN(AF$6-$G$3,22))),0)))))</f>
        <v>0</v>
      </c>
      <c r="AG60" s="27" t="n">
        <f aca="false">IF(COUNT(Aveia!$E58:$Z58)=0,0,MAX(0,IF((AG$6-$E$3)&lt;1,0,IFERROR(LOOKUP(2,1/(Aveia!$E58:INDEX(Aveia!$E58:$Z58,MIN(AG$6-$E$3,22))&lt;&gt;""),Aveia!$E58:INDEX(Aveia!$E58:$Z58,MIN(AG$6-$E$3,22))),0))-IF($G$2,0,IF((AG$6-$G$3)&lt;1,0,IFERROR(LOOKUP(2,1/(Aveia!$E58:INDEX(Aveia!$E58:$Z58,MIN(AG$6-$G$3,22))&lt;&gt;""),Aveia!$E58:INDEX(Aveia!$E58:$Z58,MIN(AG$6-$G$3,22))),0)))))</f>
        <v>0</v>
      </c>
      <c r="AH60" s="27" t="n">
        <f aca="false">IF(COUNT(Aveia!$E58:$Z58)=0,0,MAX(0,IF((AH$6-$E$3)&lt;1,0,IFERROR(LOOKUP(2,1/(Aveia!$E58:INDEX(Aveia!$E58:$Z58,MIN(AH$6-$E$3,22))&lt;&gt;""),Aveia!$E58:INDEX(Aveia!$E58:$Z58,MIN(AH$6-$E$3,22))),0))-IF($G$2,0,IF((AH$6-$G$3)&lt;1,0,IFERROR(LOOKUP(2,1/(Aveia!$E58:INDEX(Aveia!$E58:$Z58,MIN(AH$6-$G$3,22))&lt;&gt;""),Aveia!$E58:INDEX(Aveia!$E58:$Z58,MIN(AH$6-$G$3,22))),0)))))</f>
        <v>0</v>
      </c>
      <c r="AI60" s="27" t="n">
        <f aca="false">IF(COUNT(Aveia!$E58:$Z58)=0,0,MAX(0,IF((AI$6-$E$3)&lt;1,0,IFERROR(LOOKUP(2,1/(Aveia!$E58:INDEX(Aveia!$E58:$Z58,MIN(AI$6-$E$3,22))&lt;&gt;""),Aveia!$E58:INDEX(Aveia!$E58:$Z58,MIN(AI$6-$E$3,22))),0))-IF($G$2,0,IF((AI$6-$G$3)&lt;1,0,IFERROR(LOOKUP(2,1/(Aveia!$E58:INDEX(Aveia!$E58:$Z58,MIN(AI$6-$G$3,22))&lt;&gt;""),Aveia!$E58:INDEX(Aveia!$E58:$Z58,MIN(AI$6-$G$3,22))),0)))))</f>
        <v>0</v>
      </c>
      <c r="AJ60" s="27" t="n">
        <f aca="false">IF(COUNT(Aveia!$E58:$Z58)=0,0,MAX(0,IF((AJ$6-$E$3)&lt;1,0,IFERROR(LOOKUP(2,1/(Aveia!$E58:INDEX(Aveia!$E58:$Z58,MIN(AJ$6-$E$3,22))&lt;&gt;""),Aveia!$E58:INDEX(Aveia!$E58:$Z58,MIN(AJ$6-$E$3,22))),0))-IF($G$2,0,IF((AJ$6-$G$3)&lt;1,0,IFERROR(LOOKUP(2,1/(Aveia!$E58:INDEX(Aveia!$E58:$Z58,MIN(AJ$6-$G$3,22))&lt;&gt;""),Aveia!$E58:INDEX(Aveia!$E58:$Z58,MIN(AJ$6-$G$3,22))),0)))))</f>
        <v>0</v>
      </c>
      <c r="AK60" s="27" t="n">
        <f aca="false">IF(COUNT(Aveia!$E58:$Z58)=0,0,MAX(0,IF((AK$6-$E$3)&lt;1,0,IFERROR(LOOKUP(2,1/(Aveia!$E58:INDEX(Aveia!$E58:$Z58,MIN(AK$6-$E$3,22))&lt;&gt;""),Aveia!$E58:INDEX(Aveia!$E58:$Z58,MIN(AK$6-$E$3,22))),0))-IF($G$2,0,IF((AK$6-$G$3)&lt;1,0,IFERROR(LOOKUP(2,1/(Aveia!$E58:INDEX(Aveia!$E58:$Z58,MIN(AK$6-$G$3,22))&lt;&gt;""),Aveia!$E58:INDEX(Aveia!$E58:$Z58,MIN(AK$6-$G$3,22))),0)))))</f>
        <v>0</v>
      </c>
      <c r="AL60" s="27" t="n">
        <f aca="false">IF(COUNT(Aveia!$E58:$Z58)=0,0,MAX(0,IF((AL$6-$E$3)&lt;1,0,IFERROR(LOOKUP(2,1/(Aveia!$E58:INDEX(Aveia!$E58:$Z58,MIN(AL$6-$E$3,22))&lt;&gt;""),Aveia!$E58:INDEX(Aveia!$E58:$Z58,MIN(AL$6-$E$3,22))),0))-IF($G$2,0,IF((AL$6-$G$3)&lt;1,0,IFERROR(LOOKUP(2,1/(Aveia!$E58:INDEX(Aveia!$E58:$Z58,MIN(AL$6-$G$3,22))&lt;&gt;""),Aveia!$E58:INDEX(Aveia!$E58:$Z58,MIN(AL$6-$G$3,22))),0)))))</f>
        <v>0</v>
      </c>
      <c r="AM60" s="27" t="n">
        <f aca="false">IF(COUNT(Aveia!$E58:$Z58)=0,0,MAX(0,IF((AM$6-$E$3)&lt;1,0,IFERROR(LOOKUP(2,1/(Aveia!$E58:INDEX(Aveia!$E58:$Z58,MIN(AM$6-$E$3,22))&lt;&gt;""),Aveia!$E58:INDEX(Aveia!$E58:$Z58,MIN(AM$6-$E$3,22))),0))-IF($G$2,0,IF((AM$6-$G$3)&lt;1,0,IFERROR(LOOKUP(2,1/(Aveia!$E58:INDEX(Aveia!$E58:$Z58,MIN(AM$6-$G$3,22))&lt;&gt;""),Aveia!$E58:INDEX(Aveia!$E58:$Z58,MIN(AM$6-$G$3,22))),0)))))</f>
        <v>0</v>
      </c>
      <c r="AN60" s="27" t="n">
        <f aca="false">IF(COUNT(Aveia!$E58:$Z58)=0,0,MAX(0,IF((AN$6-$E$3)&lt;1,0,IFERROR(LOOKUP(2,1/(Aveia!$E58:INDEX(Aveia!$E58:$Z58,MIN(AN$6-$E$3,22))&lt;&gt;""),Aveia!$E58:INDEX(Aveia!$E58:$Z58,MIN(AN$6-$E$3,22))),0))-IF($G$2,0,IF((AN$6-$G$3)&lt;1,0,IFERROR(LOOKUP(2,1/(Aveia!$E58:INDEX(Aveia!$E58:$Z58,MIN(AN$6-$G$3,22))&lt;&gt;""),Aveia!$E58:INDEX(Aveia!$E58:$Z58,MIN(AN$6-$G$3,22))),0)))))</f>
        <v>0</v>
      </c>
      <c r="AO60" s="27" t="n">
        <f aca="false">IF(COUNT(Aveia!$E58:$Z58)=0,0,MAX(0,IF((AO$6-$E$3)&lt;1,0,IFERROR(LOOKUP(2,1/(Aveia!$E58:INDEX(Aveia!$E58:$Z58,MIN(AO$6-$E$3,22))&lt;&gt;""),Aveia!$E58:INDEX(Aveia!$E58:$Z58,MIN(AO$6-$E$3,22))),0))-IF($G$2,0,IF((AO$6-$G$3)&lt;1,0,IFERROR(LOOKUP(2,1/(Aveia!$E58:INDEX(Aveia!$E58:$Z58,MIN(AO$6-$G$3,22))&lt;&gt;""),Aveia!$E58:INDEX(Aveia!$E58:$Z58,MIN(AO$6-$G$3,22))),0)))))</f>
        <v>0</v>
      </c>
      <c r="AP60" s="27" t="n">
        <f aca="false">IF(COUNT(Aveia!$E58:$Z58)=0,0,MAX(0,IF((AP$6-$E$3)&lt;1,0,IFERROR(LOOKUP(2,1/(Aveia!$E58:INDEX(Aveia!$E58:$Z58,MIN(AP$6-$E$3,22))&lt;&gt;""),Aveia!$E58:INDEX(Aveia!$E58:$Z58,MIN(AP$6-$E$3,22))),0))-IF($G$2,0,IF((AP$6-$G$3)&lt;1,0,IFERROR(LOOKUP(2,1/(Aveia!$E58:INDEX(Aveia!$E58:$Z58,MIN(AP$6-$G$3,22))&lt;&gt;""),Aveia!$E58:INDEX(Aveia!$E58:$Z58,MIN(AP$6-$G$3,22))),0)))))</f>
        <v>0</v>
      </c>
      <c r="AQ60" s="27" t="n">
        <f aca="false">IF(COUNT(Aveia!$E58:$Z58)=0,0,MAX(0,IF((AQ$6-$E$3)&lt;1,0,IFERROR(LOOKUP(2,1/(Aveia!$E58:INDEX(Aveia!$E58:$Z58,MIN(AQ$6-$E$3,22))&lt;&gt;""),Aveia!$E58:INDEX(Aveia!$E58:$Z58,MIN(AQ$6-$E$3,22))),0))-IF($G$2,0,IF((AQ$6-$G$3)&lt;1,0,IFERROR(LOOKUP(2,1/(Aveia!$E58:INDEX(Aveia!$E58:$Z58,MIN(AQ$6-$G$3,22))&lt;&gt;""),Aveia!$E58:INDEX(Aveia!$E58:$Z58,MIN(AQ$6-$G$3,22))),0)))))</f>
        <v>0</v>
      </c>
      <c r="AR60" s="27" t="n">
        <f aca="false">IF(COUNT(Aveia!$E58:$Z58)=0,0,MAX(0,IF((AR$6-$E$3)&lt;1,0,IFERROR(LOOKUP(2,1/(Aveia!$E58:INDEX(Aveia!$E58:$Z58,MIN(AR$6-$E$3,22))&lt;&gt;""),Aveia!$E58:INDEX(Aveia!$E58:$Z58,MIN(AR$6-$E$3,22))),0))-IF($G$2,0,IF((AR$6-$G$3)&lt;1,0,IFERROR(LOOKUP(2,1/(Aveia!$E58:INDEX(Aveia!$E58:$Z58,MIN(AR$6-$G$3,22))&lt;&gt;""),Aveia!$E58:INDEX(Aveia!$E58:$Z58,MIN(AR$6-$G$3,22))),0)))))</f>
        <v>0</v>
      </c>
      <c r="AS60" s="27" t="n">
        <f aca="false">IF(COUNT(Aveia!$E58:$Z58)=0,0,MAX(0,IF((AS$6-$E$3)&lt;1,0,IFERROR(LOOKUP(2,1/(Aveia!$E58:INDEX(Aveia!$E58:$Z58,MIN(AS$6-$E$3,22))&lt;&gt;""),Aveia!$E58:INDEX(Aveia!$E58:$Z58,MIN(AS$6-$E$3,22))),0))-IF($G$2,0,IF((AS$6-$G$3)&lt;1,0,IFERROR(LOOKUP(2,1/(Aveia!$E58:INDEX(Aveia!$E58:$Z58,MIN(AS$6-$G$3,22))&lt;&gt;""),Aveia!$E58:INDEX(Aveia!$E58:$Z58,MIN(AS$6-$G$3,22))),0)))))</f>
        <v>0</v>
      </c>
      <c r="AT60" s="27" t="n">
        <f aca="false">IF(COUNT(Aveia!$E58:$Z58)=0,0,MAX(0,IF((AT$6-$E$3)&lt;1,0,IFERROR(LOOKUP(2,1/(Aveia!$E58:INDEX(Aveia!$E58:$Z58,MIN(AT$6-$E$3,22))&lt;&gt;""),Aveia!$E58:INDEX(Aveia!$E58:$Z58,MIN(AT$6-$E$3,22))),0))-IF($G$2,0,IF((AT$6-$G$3)&lt;1,0,IFERROR(LOOKUP(2,1/(Aveia!$E58:INDEX(Aveia!$E58:$Z58,MIN(AT$6-$G$3,22))&lt;&gt;""),Aveia!$E58:INDEX(Aveia!$E58:$Z58,MIN(AT$6-$G$3,22))),0)))))</f>
        <v>0</v>
      </c>
      <c r="AU60" s="27" t="n">
        <f aca="false">IF(COUNT(Aveia!$E58:$Z58)=0,0,MAX(0,IF((AU$6-$E$3)&lt;1,0,IFERROR(LOOKUP(2,1/(Aveia!$E58:INDEX(Aveia!$E58:$Z58,MIN(AU$6-$E$3,22))&lt;&gt;""),Aveia!$E58:INDEX(Aveia!$E58:$Z58,MIN(AU$6-$E$3,22))),0))-IF($G$2,0,IF((AU$6-$G$3)&lt;1,0,IFERROR(LOOKUP(2,1/(Aveia!$E58:INDEX(Aveia!$E58:$Z58,MIN(AU$6-$G$3,22))&lt;&gt;""),Aveia!$E58:INDEX(Aveia!$E58:$Z58,MIN(AU$6-$G$3,22))),0)))))</f>
        <v>0</v>
      </c>
      <c r="AV60" s="27" t="n">
        <f aca="false">IF(COUNT(Aveia!$E58:$Z58)=0,0,MAX(0,IF((AV$6-$E$3)&lt;1,0,IFERROR(LOOKUP(2,1/(Aveia!$E58:INDEX(Aveia!$E58:$Z58,MIN(AV$6-$E$3,22))&lt;&gt;""),Aveia!$E58:INDEX(Aveia!$E58:$Z58,MIN(AV$6-$E$3,22))),0))-IF($G$2,0,IF((AV$6-$G$3)&lt;1,0,IFERROR(LOOKUP(2,1/(Aveia!$E58:INDEX(Aveia!$E58:$Z58,MIN(AV$6-$G$3,22))&lt;&gt;""),Aveia!$E58:INDEX(Aveia!$E58:$Z58,MIN(AV$6-$G$3,22))),0)))))</f>
        <v>0</v>
      </c>
      <c r="AW60" s="27" t="n">
        <f aca="false">IF(COUNT(Aveia!$E58:$Z58)=0,0,MAX(0,IF((AW$6-$E$3)&lt;1,0,IFERROR(LOOKUP(2,1/(Aveia!$E58:INDEX(Aveia!$E58:$Z58,MIN(AW$6-$E$3,22))&lt;&gt;""),Aveia!$E58:INDEX(Aveia!$E58:$Z58,MIN(AW$6-$E$3,22))),0))-IF($G$2,0,IF((AW$6-$G$3)&lt;1,0,IFERROR(LOOKUP(2,1/(Aveia!$E58:INDEX(Aveia!$E58:$Z58,MIN(AW$6-$G$3,22))&lt;&gt;""),Aveia!$E58:INDEX(Aveia!$E58:$Z58,MIN(AW$6-$G$3,22))),0)))))</f>
        <v>0</v>
      </c>
      <c r="AX60" s="27" t="n">
        <f aca="false">IF(COUNT(Aveia!$E58:$Z58)=0,0,MAX(0,IF((AX$6-$E$3)&lt;1,0,IFERROR(LOOKUP(2,1/(Aveia!$E58:INDEX(Aveia!$E58:$Z58,MIN(AX$6-$E$3,22))&lt;&gt;""),Aveia!$E58:INDEX(Aveia!$E58:$Z58,MIN(AX$6-$E$3,22))),0))-IF($G$2,0,IF((AX$6-$G$3)&lt;1,0,IFERROR(LOOKUP(2,1/(Aveia!$E58:INDEX(Aveia!$E58:$Z58,MIN(AX$6-$G$3,22))&lt;&gt;""),Aveia!$E58:INDEX(Aveia!$E58:$Z58,MIN(AX$6-$G$3,22))),0)))))</f>
        <v>0</v>
      </c>
      <c r="AY60" s="27" t="n">
        <f aca="false">IF(COUNT(Aveia!$E58:$Z58)=0,0,MAX(0,IF((AY$6-$E$3)&lt;1,0,IFERROR(LOOKUP(2,1/(Aveia!$E58:INDEX(Aveia!$E58:$Z58,MIN(AY$6-$E$3,22))&lt;&gt;""),Aveia!$E58:INDEX(Aveia!$E58:$Z58,MIN(AY$6-$E$3,22))),0))-IF($G$2,0,IF((AY$6-$G$3)&lt;1,0,IFERROR(LOOKUP(2,1/(Aveia!$E58:INDEX(Aveia!$E58:$Z58,MIN(AY$6-$G$3,22))&lt;&gt;""),Aveia!$E58:INDEX(Aveia!$E58:$Z58,MIN(AY$6-$G$3,22))),0)))))</f>
        <v>0</v>
      </c>
      <c r="AZ60" s="27" t="n">
        <f aca="false">IF(COUNT(Aveia!$E58:$Z58)=0,0,MAX(0,IF((AZ$6-$E$3)&lt;1,0,IFERROR(LOOKUP(2,1/(Aveia!$E58:INDEX(Aveia!$E58:$Z58,MIN(AZ$6-$E$3,22))&lt;&gt;""),Aveia!$E58:INDEX(Aveia!$E58:$Z58,MIN(AZ$6-$E$3,22))),0))-IF($G$2,0,IF((AZ$6-$G$3)&lt;1,0,IFERROR(LOOKUP(2,1/(Aveia!$E58:INDEX(Aveia!$E58:$Z58,MIN(AZ$6-$G$3,22))&lt;&gt;""),Aveia!$E58:INDEX(Aveia!$E58:$Z58,MIN(AZ$6-$G$3,22))),0)))))</f>
        <v>0</v>
      </c>
    </row>
    <row r="61" customFormat="false" ht="15" hidden="false" customHeight="false" outlineLevel="0" collapsed="false">
      <c r="A61" s="3" t="s">
        <v>242</v>
      </c>
      <c r="B61" s="3" t="s">
        <v>243</v>
      </c>
      <c r="C61" s="10" t="s">
        <v>155</v>
      </c>
      <c r="D61" s="26" t="n">
        <f aca="false">IF(COUNT(Aveia!$E59:$Z59)&gt;0,N(Aveia!$D59),0)</f>
        <v>0</v>
      </c>
      <c r="E61" s="27" t="n">
        <f aca="false">IF(COUNT(Aveia!$E59:$Z59)=0,0,MAX(0,IF((E$6-$E$3)&lt;1,0,IFERROR(LOOKUP(2,1/(Aveia!$E59:INDEX(Aveia!$E59:$Z59,MIN(E$6-$E$3,22))&lt;&gt;""),Aveia!$E59:INDEX(Aveia!$E59:$Z59,MIN(E$6-$E$3,22))),0))-IF($G$2,0,IF((E$6-$G$3)&lt;1,0,IFERROR(LOOKUP(2,1/(Aveia!$E59:INDEX(Aveia!$E59:$Z59,MIN(E$6-$G$3,22))&lt;&gt;""),Aveia!$E59:INDEX(Aveia!$E59:$Z59,MIN(E$6-$G$3,22))),0)))))</f>
        <v>0</v>
      </c>
      <c r="F61" s="27" t="n">
        <f aca="false">IF(COUNT(Aveia!$E59:$Z59)=0,0,MAX(0,IF((F$6-$E$3)&lt;1,0,IFERROR(LOOKUP(2,1/(Aveia!$E59:INDEX(Aveia!$E59:$Z59,MIN(F$6-$E$3,22))&lt;&gt;""),Aveia!$E59:INDEX(Aveia!$E59:$Z59,MIN(F$6-$E$3,22))),0))-IF($G$2,0,IF((F$6-$G$3)&lt;1,0,IFERROR(LOOKUP(2,1/(Aveia!$E59:INDEX(Aveia!$E59:$Z59,MIN(F$6-$G$3,22))&lt;&gt;""),Aveia!$E59:INDEX(Aveia!$E59:$Z59,MIN(F$6-$G$3,22))),0)))))</f>
        <v>0</v>
      </c>
      <c r="G61" s="27" t="n">
        <f aca="false">IF(COUNT(Aveia!$E59:$Z59)=0,0,MAX(0,IF((G$6-$E$3)&lt;1,0,IFERROR(LOOKUP(2,1/(Aveia!$E59:INDEX(Aveia!$E59:$Z59,MIN(G$6-$E$3,22))&lt;&gt;""),Aveia!$E59:INDEX(Aveia!$E59:$Z59,MIN(G$6-$E$3,22))),0))-IF($G$2,0,IF((G$6-$G$3)&lt;1,0,IFERROR(LOOKUP(2,1/(Aveia!$E59:INDEX(Aveia!$E59:$Z59,MIN(G$6-$G$3,22))&lt;&gt;""),Aveia!$E59:INDEX(Aveia!$E59:$Z59,MIN(G$6-$G$3,22))),0)))))</f>
        <v>0</v>
      </c>
      <c r="H61" s="27" t="n">
        <f aca="false">IF(COUNT(Aveia!$E59:$Z59)=0,0,MAX(0,IF((H$6-$E$3)&lt;1,0,IFERROR(LOOKUP(2,1/(Aveia!$E59:INDEX(Aveia!$E59:$Z59,MIN(H$6-$E$3,22))&lt;&gt;""),Aveia!$E59:INDEX(Aveia!$E59:$Z59,MIN(H$6-$E$3,22))),0))-IF($G$2,0,IF((H$6-$G$3)&lt;1,0,IFERROR(LOOKUP(2,1/(Aveia!$E59:INDEX(Aveia!$E59:$Z59,MIN(H$6-$G$3,22))&lt;&gt;""),Aveia!$E59:INDEX(Aveia!$E59:$Z59,MIN(H$6-$G$3,22))),0)))))</f>
        <v>0</v>
      </c>
      <c r="I61" s="27" t="n">
        <f aca="false">IF(COUNT(Aveia!$E59:$Z59)=0,0,MAX(0,IF((I$6-$E$3)&lt;1,0,IFERROR(LOOKUP(2,1/(Aveia!$E59:INDEX(Aveia!$E59:$Z59,MIN(I$6-$E$3,22))&lt;&gt;""),Aveia!$E59:INDEX(Aveia!$E59:$Z59,MIN(I$6-$E$3,22))),0))-IF($G$2,0,IF((I$6-$G$3)&lt;1,0,IFERROR(LOOKUP(2,1/(Aveia!$E59:INDEX(Aveia!$E59:$Z59,MIN(I$6-$G$3,22))&lt;&gt;""),Aveia!$E59:INDEX(Aveia!$E59:$Z59,MIN(I$6-$G$3,22))),0)))))</f>
        <v>0</v>
      </c>
      <c r="J61" s="27" t="n">
        <f aca="false">IF(COUNT(Aveia!$E59:$Z59)=0,0,MAX(0,IF((J$6-$E$3)&lt;1,0,IFERROR(LOOKUP(2,1/(Aveia!$E59:INDEX(Aveia!$E59:$Z59,MIN(J$6-$E$3,22))&lt;&gt;""),Aveia!$E59:INDEX(Aveia!$E59:$Z59,MIN(J$6-$E$3,22))),0))-IF($G$2,0,IF((J$6-$G$3)&lt;1,0,IFERROR(LOOKUP(2,1/(Aveia!$E59:INDEX(Aveia!$E59:$Z59,MIN(J$6-$G$3,22))&lt;&gt;""),Aveia!$E59:INDEX(Aveia!$E59:$Z59,MIN(J$6-$G$3,22))),0)))))</f>
        <v>0</v>
      </c>
      <c r="K61" s="27" t="n">
        <f aca="false">IF(COUNT(Aveia!$E59:$Z59)=0,0,MAX(0,IF((K$6-$E$3)&lt;1,0,IFERROR(LOOKUP(2,1/(Aveia!$E59:INDEX(Aveia!$E59:$Z59,MIN(K$6-$E$3,22))&lt;&gt;""),Aveia!$E59:INDEX(Aveia!$E59:$Z59,MIN(K$6-$E$3,22))),0))-IF($G$2,0,IF((K$6-$G$3)&lt;1,0,IFERROR(LOOKUP(2,1/(Aveia!$E59:INDEX(Aveia!$E59:$Z59,MIN(K$6-$G$3,22))&lt;&gt;""),Aveia!$E59:INDEX(Aveia!$E59:$Z59,MIN(K$6-$G$3,22))),0)))))</f>
        <v>0</v>
      </c>
      <c r="L61" s="27" t="n">
        <f aca="false">IF(COUNT(Aveia!$E59:$Z59)=0,0,MAX(0,IF((L$6-$E$3)&lt;1,0,IFERROR(LOOKUP(2,1/(Aveia!$E59:INDEX(Aveia!$E59:$Z59,MIN(L$6-$E$3,22))&lt;&gt;""),Aveia!$E59:INDEX(Aveia!$E59:$Z59,MIN(L$6-$E$3,22))),0))-IF($G$2,0,IF((L$6-$G$3)&lt;1,0,IFERROR(LOOKUP(2,1/(Aveia!$E59:INDEX(Aveia!$E59:$Z59,MIN(L$6-$G$3,22))&lt;&gt;""),Aveia!$E59:INDEX(Aveia!$E59:$Z59,MIN(L$6-$G$3,22))),0)))))</f>
        <v>0</v>
      </c>
      <c r="M61" s="27" t="n">
        <f aca="false">IF(COUNT(Aveia!$E59:$Z59)=0,0,MAX(0,IF((M$6-$E$3)&lt;1,0,IFERROR(LOOKUP(2,1/(Aveia!$E59:INDEX(Aveia!$E59:$Z59,MIN(M$6-$E$3,22))&lt;&gt;""),Aveia!$E59:INDEX(Aveia!$E59:$Z59,MIN(M$6-$E$3,22))),0))-IF($G$2,0,IF((M$6-$G$3)&lt;1,0,IFERROR(LOOKUP(2,1/(Aveia!$E59:INDEX(Aveia!$E59:$Z59,MIN(M$6-$G$3,22))&lt;&gt;""),Aveia!$E59:INDEX(Aveia!$E59:$Z59,MIN(M$6-$G$3,22))),0)))))</f>
        <v>0</v>
      </c>
      <c r="N61" s="27" t="n">
        <f aca="false">IF(COUNT(Aveia!$E59:$Z59)=0,0,MAX(0,IF((N$6-$E$3)&lt;1,0,IFERROR(LOOKUP(2,1/(Aveia!$E59:INDEX(Aveia!$E59:$Z59,MIN(N$6-$E$3,22))&lt;&gt;""),Aveia!$E59:INDEX(Aveia!$E59:$Z59,MIN(N$6-$E$3,22))),0))-IF($G$2,0,IF((N$6-$G$3)&lt;1,0,IFERROR(LOOKUP(2,1/(Aveia!$E59:INDEX(Aveia!$E59:$Z59,MIN(N$6-$G$3,22))&lt;&gt;""),Aveia!$E59:INDEX(Aveia!$E59:$Z59,MIN(N$6-$G$3,22))),0)))))</f>
        <v>0</v>
      </c>
      <c r="O61" s="27" t="n">
        <f aca="false">IF(COUNT(Aveia!$E59:$Z59)=0,0,MAX(0,IF((O$6-$E$3)&lt;1,0,IFERROR(LOOKUP(2,1/(Aveia!$E59:INDEX(Aveia!$E59:$Z59,MIN(O$6-$E$3,22))&lt;&gt;""),Aveia!$E59:INDEX(Aveia!$E59:$Z59,MIN(O$6-$E$3,22))),0))-IF($G$2,0,IF((O$6-$G$3)&lt;1,0,IFERROR(LOOKUP(2,1/(Aveia!$E59:INDEX(Aveia!$E59:$Z59,MIN(O$6-$G$3,22))&lt;&gt;""),Aveia!$E59:INDEX(Aveia!$E59:$Z59,MIN(O$6-$G$3,22))),0)))))</f>
        <v>0</v>
      </c>
      <c r="P61" s="27" t="n">
        <f aca="false">IF(COUNT(Aveia!$E59:$Z59)=0,0,MAX(0,IF((P$6-$E$3)&lt;1,0,IFERROR(LOOKUP(2,1/(Aveia!$E59:INDEX(Aveia!$E59:$Z59,MIN(P$6-$E$3,22))&lt;&gt;""),Aveia!$E59:INDEX(Aveia!$E59:$Z59,MIN(P$6-$E$3,22))),0))-IF($G$2,0,IF((P$6-$G$3)&lt;1,0,IFERROR(LOOKUP(2,1/(Aveia!$E59:INDEX(Aveia!$E59:$Z59,MIN(P$6-$G$3,22))&lt;&gt;""),Aveia!$E59:INDEX(Aveia!$E59:$Z59,MIN(P$6-$G$3,22))),0)))))</f>
        <v>0</v>
      </c>
      <c r="Q61" s="27" t="n">
        <f aca="false">IF(COUNT(Aveia!$E59:$Z59)=0,0,MAX(0,IF((Q$6-$E$3)&lt;1,0,IFERROR(LOOKUP(2,1/(Aveia!$E59:INDEX(Aveia!$E59:$Z59,MIN(Q$6-$E$3,22))&lt;&gt;""),Aveia!$E59:INDEX(Aveia!$E59:$Z59,MIN(Q$6-$E$3,22))),0))-IF($G$2,0,IF((Q$6-$G$3)&lt;1,0,IFERROR(LOOKUP(2,1/(Aveia!$E59:INDEX(Aveia!$E59:$Z59,MIN(Q$6-$G$3,22))&lt;&gt;""),Aveia!$E59:INDEX(Aveia!$E59:$Z59,MIN(Q$6-$G$3,22))),0)))))</f>
        <v>0</v>
      </c>
      <c r="R61" s="27" t="n">
        <f aca="false">IF(COUNT(Aveia!$E59:$Z59)=0,0,MAX(0,IF((R$6-$E$3)&lt;1,0,IFERROR(LOOKUP(2,1/(Aveia!$E59:INDEX(Aveia!$E59:$Z59,MIN(R$6-$E$3,22))&lt;&gt;""),Aveia!$E59:INDEX(Aveia!$E59:$Z59,MIN(R$6-$E$3,22))),0))-IF($G$2,0,IF((R$6-$G$3)&lt;1,0,IFERROR(LOOKUP(2,1/(Aveia!$E59:INDEX(Aveia!$E59:$Z59,MIN(R$6-$G$3,22))&lt;&gt;""),Aveia!$E59:INDEX(Aveia!$E59:$Z59,MIN(R$6-$G$3,22))),0)))))</f>
        <v>0</v>
      </c>
      <c r="S61" s="27" t="n">
        <f aca="false">IF(COUNT(Aveia!$E59:$Z59)=0,0,MAX(0,IF((S$6-$E$3)&lt;1,0,IFERROR(LOOKUP(2,1/(Aveia!$E59:INDEX(Aveia!$E59:$Z59,MIN(S$6-$E$3,22))&lt;&gt;""),Aveia!$E59:INDEX(Aveia!$E59:$Z59,MIN(S$6-$E$3,22))),0))-IF($G$2,0,IF((S$6-$G$3)&lt;1,0,IFERROR(LOOKUP(2,1/(Aveia!$E59:INDEX(Aveia!$E59:$Z59,MIN(S$6-$G$3,22))&lt;&gt;""),Aveia!$E59:INDEX(Aveia!$E59:$Z59,MIN(S$6-$G$3,22))),0)))))</f>
        <v>0</v>
      </c>
      <c r="T61" s="27" t="n">
        <f aca="false">IF(COUNT(Aveia!$E59:$Z59)=0,0,MAX(0,IF((T$6-$E$3)&lt;1,0,IFERROR(LOOKUP(2,1/(Aveia!$E59:INDEX(Aveia!$E59:$Z59,MIN(T$6-$E$3,22))&lt;&gt;""),Aveia!$E59:INDEX(Aveia!$E59:$Z59,MIN(T$6-$E$3,22))),0))-IF($G$2,0,IF((T$6-$G$3)&lt;1,0,IFERROR(LOOKUP(2,1/(Aveia!$E59:INDEX(Aveia!$E59:$Z59,MIN(T$6-$G$3,22))&lt;&gt;""),Aveia!$E59:INDEX(Aveia!$E59:$Z59,MIN(T$6-$G$3,22))),0)))))</f>
        <v>0</v>
      </c>
      <c r="U61" s="27" t="n">
        <f aca="false">IF(COUNT(Aveia!$E59:$Z59)=0,0,MAX(0,IF((U$6-$E$3)&lt;1,0,IFERROR(LOOKUP(2,1/(Aveia!$E59:INDEX(Aveia!$E59:$Z59,MIN(U$6-$E$3,22))&lt;&gt;""),Aveia!$E59:INDEX(Aveia!$E59:$Z59,MIN(U$6-$E$3,22))),0))-IF($G$2,0,IF((U$6-$G$3)&lt;1,0,IFERROR(LOOKUP(2,1/(Aveia!$E59:INDEX(Aveia!$E59:$Z59,MIN(U$6-$G$3,22))&lt;&gt;""),Aveia!$E59:INDEX(Aveia!$E59:$Z59,MIN(U$6-$G$3,22))),0)))))</f>
        <v>0</v>
      </c>
      <c r="V61" s="27" t="n">
        <f aca="false">IF(COUNT(Aveia!$E59:$Z59)=0,0,MAX(0,IF((V$6-$E$3)&lt;1,0,IFERROR(LOOKUP(2,1/(Aveia!$E59:INDEX(Aveia!$E59:$Z59,MIN(V$6-$E$3,22))&lt;&gt;""),Aveia!$E59:INDEX(Aveia!$E59:$Z59,MIN(V$6-$E$3,22))),0))-IF($G$2,0,IF((V$6-$G$3)&lt;1,0,IFERROR(LOOKUP(2,1/(Aveia!$E59:INDEX(Aveia!$E59:$Z59,MIN(V$6-$G$3,22))&lt;&gt;""),Aveia!$E59:INDEX(Aveia!$E59:$Z59,MIN(V$6-$G$3,22))),0)))))</f>
        <v>0</v>
      </c>
      <c r="W61" s="27" t="n">
        <f aca="false">IF(COUNT(Aveia!$E59:$Z59)=0,0,MAX(0,IF((W$6-$E$3)&lt;1,0,IFERROR(LOOKUP(2,1/(Aveia!$E59:INDEX(Aveia!$E59:$Z59,MIN(W$6-$E$3,22))&lt;&gt;""),Aveia!$E59:INDEX(Aveia!$E59:$Z59,MIN(W$6-$E$3,22))),0))-IF($G$2,0,IF((W$6-$G$3)&lt;1,0,IFERROR(LOOKUP(2,1/(Aveia!$E59:INDEX(Aveia!$E59:$Z59,MIN(W$6-$G$3,22))&lt;&gt;""),Aveia!$E59:INDEX(Aveia!$E59:$Z59,MIN(W$6-$G$3,22))),0)))))</f>
        <v>0</v>
      </c>
      <c r="X61" s="27" t="n">
        <f aca="false">IF(COUNT(Aveia!$E59:$Z59)=0,0,MAX(0,IF((X$6-$E$3)&lt;1,0,IFERROR(LOOKUP(2,1/(Aveia!$E59:INDEX(Aveia!$E59:$Z59,MIN(X$6-$E$3,22))&lt;&gt;""),Aveia!$E59:INDEX(Aveia!$E59:$Z59,MIN(X$6-$E$3,22))),0))-IF($G$2,0,IF((X$6-$G$3)&lt;1,0,IFERROR(LOOKUP(2,1/(Aveia!$E59:INDEX(Aveia!$E59:$Z59,MIN(X$6-$G$3,22))&lt;&gt;""),Aveia!$E59:INDEX(Aveia!$E59:$Z59,MIN(X$6-$G$3,22))),0)))))</f>
        <v>0</v>
      </c>
      <c r="Y61" s="27" t="n">
        <f aca="false">IF(COUNT(Aveia!$E59:$Z59)=0,0,MAX(0,IF((Y$6-$E$3)&lt;1,0,IFERROR(LOOKUP(2,1/(Aveia!$E59:INDEX(Aveia!$E59:$Z59,MIN(Y$6-$E$3,22))&lt;&gt;""),Aveia!$E59:INDEX(Aveia!$E59:$Z59,MIN(Y$6-$E$3,22))),0))-IF($G$2,0,IF((Y$6-$G$3)&lt;1,0,IFERROR(LOOKUP(2,1/(Aveia!$E59:INDEX(Aveia!$E59:$Z59,MIN(Y$6-$G$3,22))&lt;&gt;""),Aveia!$E59:INDEX(Aveia!$E59:$Z59,MIN(Y$6-$G$3,22))),0)))))</f>
        <v>0</v>
      </c>
      <c r="Z61" s="27" t="n">
        <f aca="false">IF(COUNT(Aveia!$E59:$Z59)=0,0,MAX(0,IF((Z$6-$E$3)&lt;1,0,IFERROR(LOOKUP(2,1/(Aveia!$E59:INDEX(Aveia!$E59:$Z59,MIN(Z$6-$E$3,22))&lt;&gt;""),Aveia!$E59:INDEX(Aveia!$E59:$Z59,MIN(Z$6-$E$3,22))),0))-IF($G$2,0,IF((Z$6-$G$3)&lt;1,0,IFERROR(LOOKUP(2,1/(Aveia!$E59:INDEX(Aveia!$E59:$Z59,MIN(Z$6-$G$3,22))&lt;&gt;""),Aveia!$E59:INDEX(Aveia!$E59:$Z59,MIN(Z$6-$G$3,22))),0)))))</f>
        <v>0</v>
      </c>
      <c r="AA61" s="27" t="n">
        <f aca="false">IF(COUNT(Aveia!$E59:$Z59)=0,0,MAX(0,IF((AA$6-$E$3)&lt;1,0,IFERROR(LOOKUP(2,1/(Aveia!$E59:INDEX(Aveia!$E59:$Z59,MIN(AA$6-$E$3,22))&lt;&gt;""),Aveia!$E59:INDEX(Aveia!$E59:$Z59,MIN(AA$6-$E$3,22))),0))-IF($G$2,0,IF((AA$6-$G$3)&lt;1,0,IFERROR(LOOKUP(2,1/(Aveia!$E59:INDEX(Aveia!$E59:$Z59,MIN(AA$6-$G$3,22))&lt;&gt;""),Aveia!$E59:INDEX(Aveia!$E59:$Z59,MIN(AA$6-$G$3,22))),0)))))</f>
        <v>0</v>
      </c>
      <c r="AB61" s="27" t="n">
        <f aca="false">IF(COUNT(Aveia!$E59:$Z59)=0,0,MAX(0,IF((AB$6-$E$3)&lt;1,0,IFERROR(LOOKUP(2,1/(Aveia!$E59:INDEX(Aveia!$E59:$Z59,MIN(AB$6-$E$3,22))&lt;&gt;""),Aveia!$E59:INDEX(Aveia!$E59:$Z59,MIN(AB$6-$E$3,22))),0))-IF($G$2,0,IF((AB$6-$G$3)&lt;1,0,IFERROR(LOOKUP(2,1/(Aveia!$E59:INDEX(Aveia!$E59:$Z59,MIN(AB$6-$G$3,22))&lt;&gt;""),Aveia!$E59:INDEX(Aveia!$E59:$Z59,MIN(AB$6-$G$3,22))),0)))))</f>
        <v>0</v>
      </c>
      <c r="AC61" s="27" t="n">
        <f aca="false">IF(COUNT(Aveia!$E59:$Z59)=0,0,MAX(0,IF((AC$6-$E$3)&lt;1,0,IFERROR(LOOKUP(2,1/(Aveia!$E59:INDEX(Aveia!$E59:$Z59,MIN(AC$6-$E$3,22))&lt;&gt;""),Aveia!$E59:INDEX(Aveia!$E59:$Z59,MIN(AC$6-$E$3,22))),0))-IF($G$2,0,IF((AC$6-$G$3)&lt;1,0,IFERROR(LOOKUP(2,1/(Aveia!$E59:INDEX(Aveia!$E59:$Z59,MIN(AC$6-$G$3,22))&lt;&gt;""),Aveia!$E59:INDEX(Aveia!$E59:$Z59,MIN(AC$6-$G$3,22))),0)))))</f>
        <v>0</v>
      </c>
      <c r="AD61" s="27" t="n">
        <f aca="false">IF(COUNT(Aveia!$E59:$Z59)=0,0,MAX(0,IF((AD$6-$E$3)&lt;1,0,IFERROR(LOOKUP(2,1/(Aveia!$E59:INDEX(Aveia!$E59:$Z59,MIN(AD$6-$E$3,22))&lt;&gt;""),Aveia!$E59:INDEX(Aveia!$E59:$Z59,MIN(AD$6-$E$3,22))),0))-IF($G$2,0,IF((AD$6-$G$3)&lt;1,0,IFERROR(LOOKUP(2,1/(Aveia!$E59:INDEX(Aveia!$E59:$Z59,MIN(AD$6-$G$3,22))&lt;&gt;""),Aveia!$E59:INDEX(Aveia!$E59:$Z59,MIN(AD$6-$G$3,22))),0)))))</f>
        <v>0</v>
      </c>
      <c r="AE61" s="27" t="n">
        <f aca="false">IF(COUNT(Aveia!$E59:$Z59)=0,0,MAX(0,IF((AE$6-$E$3)&lt;1,0,IFERROR(LOOKUP(2,1/(Aveia!$E59:INDEX(Aveia!$E59:$Z59,MIN(AE$6-$E$3,22))&lt;&gt;""),Aveia!$E59:INDEX(Aveia!$E59:$Z59,MIN(AE$6-$E$3,22))),0))-IF($G$2,0,IF((AE$6-$G$3)&lt;1,0,IFERROR(LOOKUP(2,1/(Aveia!$E59:INDEX(Aveia!$E59:$Z59,MIN(AE$6-$G$3,22))&lt;&gt;""),Aveia!$E59:INDEX(Aveia!$E59:$Z59,MIN(AE$6-$G$3,22))),0)))))</f>
        <v>0</v>
      </c>
      <c r="AF61" s="27" t="n">
        <f aca="false">IF(COUNT(Aveia!$E59:$Z59)=0,0,MAX(0,IF((AF$6-$E$3)&lt;1,0,IFERROR(LOOKUP(2,1/(Aveia!$E59:INDEX(Aveia!$E59:$Z59,MIN(AF$6-$E$3,22))&lt;&gt;""),Aveia!$E59:INDEX(Aveia!$E59:$Z59,MIN(AF$6-$E$3,22))),0))-IF($G$2,0,IF((AF$6-$G$3)&lt;1,0,IFERROR(LOOKUP(2,1/(Aveia!$E59:INDEX(Aveia!$E59:$Z59,MIN(AF$6-$G$3,22))&lt;&gt;""),Aveia!$E59:INDEX(Aveia!$E59:$Z59,MIN(AF$6-$G$3,22))),0)))))</f>
        <v>0</v>
      </c>
      <c r="AG61" s="27" t="n">
        <f aca="false">IF(COUNT(Aveia!$E59:$Z59)=0,0,MAX(0,IF((AG$6-$E$3)&lt;1,0,IFERROR(LOOKUP(2,1/(Aveia!$E59:INDEX(Aveia!$E59:$Z59,MIN(AG$6-$E$3,22))&lt;&gt;""),Aveia!$E59:INDEX(Aveia!$E59:$Z59,MIN(AG$6-$E$3,22))),0))-IF($G$2,0,IF((AG$6-$G$3)&lt;1,0,IFERROR(LOOKUP(2,1/(Aveia!$E59:INDEX(Aveia!$E59:$Z59,MIN(AG$6-$G$3,22))&lt;&gt;""),Aveia!$E59:INDEX(Aveia!$E59:$Z59,MIN(AG$6-$G$3,22))),0)))))</f>
        <v>0</v>
      </c>
      <c r="AH61" s="27" t="n">
        <f aca="false">IF(COUNT(Aveia!$E59:$Z59)=0,0,MAX(0,IF((AH$6-$E$3)&lt;1,0,IFERROR(LOOKUP(2,1/(Aveia!$E59:INDEX(Aveia!$E59:$Z59,MIN(AH$6-$E$3,22))&lt;&gt;""),Aveia!$E59:INDEX(Aveia!$E59:$Z59,MIN(AH$6-$E$3,22))),0))-IF($G$2,0,IF((AH$6-$G$3)&lt;1,0,IFERROR(LOOKUP(2,1/(Aveia!$E59:INDEX(Aveia!$E59:$Z59,MIN(AH$6-$G$3,22))&lt;&gt;""),Aveia!$E59:INDEX(Aveia!$E59:$Z59,MIN(AH$6-$G$3,22))),0)))))</f>
        <v>0</v>
      </c>
      <c r="AI61" s="27" t="n">
        <f aca="false">IF(COUNT(Aveia!$E59:$Z59)=0,0,MAX(0,IF((AI$6-$E$3)&lt;1,0,IFERROR(LOOKUP(2,1/(Aveia!$E59:INDEX(Aveia!$E59:$Z59,MIN(AI$6-$E$3,22))&lt;&gt;""),Aveia!$E59:INDEX(Aveia!$E59:$Z59,MIN(AI$6-$E$3,22))),0))-IF($G$2,0,IF((AI$6-$G$3)&lt;1,0,IFERROR(LOOKUP(2,1/(Aveia!$E59:INDEX(Aveia!$E59:$Z59,MIN(AI$6-$G$3,22))&lt;&gt;""),Aveia!$E59:INDEX(Aveia!$E59:$Z59,MIN(AI$6-$G$3,22))),0)))))</f>
        <v>0</v>
      </c>
      <c r="AJ61" s="27" t="n">
        <f aca="false">IF(COUNT(Aveia!$E59:$Z59)=0,0,MAX(0,IF((AJ$6-$E$3)&lt;1,0,IFERROR(LOOKUP(2,1/(Aveia!$E59:INDEX(Aveia!$E59:$Z59,MIN(AJ$6-$E$3,22))&lt;&gt;""),Aveia!$E59:INDEX(Aveia!$E59:$Z59,MIN(AJ$6-$E$3,22))),0))-IF($G$2,0,IF((AJ$6-$G$3)&lt;1,0,IFERROR(LOOKUP(2,1/(Aveia!$E59:INDEX(Aveia!$E59:$Z59,MIN(AJ$6-$G$3,22))&lt;&gt;""),Aveia!$E59:INDEX(Aveia!$E59:$Z59,MIN(AJ$6-$G$3,22))),0)))))</f>
        <v>0</v>
      </c>
      <c r="AK61" s="27" t="n">
        <f aca="false">IF(COUNT(Aveia!$E59:$Z59)=0,0,MAX(0,IF((AK$6-$E$3)&lt;1,0,IFERROR(LOOKUP(2,1/(Aveia!$E59:INDEX(Aveia!$E59:$Z59,MIN(AK$6-$E$3,22))&lt;&gt;""),Aveia!$E59:INDEX(Aveia!$E59:$Z59,MIN(AK$6-$E$3,22))),0))-IF($G$2,0,IF((AK$6-$G$3)&lt;1,0,IFERROR(LOOKUP(2,1/(Aveia!$E59:INDEX(Aveia!$E59:$Z59,MIN(AK$6-$G$3,22))&lt;&gt;""),Aveia!$E59:INDEX(Aveia!$E59:$Z59,MIN(AK$6-$G$3,22))),0)))))</f>
        <v>0</v>
      </c>
      <c r="AL61" s="27" t="n">
        <f aca="false">IF(COUNT(Aveia!$E59:$Z59)=0,0,MAX(0,IF((AL$6-$E$3)&lt;1,0,IFERROR(LOOKUP(2,1/(Aveia!$E59:INDEX(Aveia!$E59:$Z59,MIN(AL$6-$E$3,22))&lt;&gt;""),Aveia!$E59:INDEX(Aveia!$E59:$Z59,MIN(AL$6-$E$3,22))),0))-IF($G$2,0,IF((AL$6-$G$3)&lt;1,0,IFERROR(LOOKUP(2,1/(Aveia!$E59:INDEX(Aveia!$E59:$Z59,MIN(AL$6-$G$3,22))&lt;&gt;""),Aveia!$E59:INDEX(Aveia!$E59:$Z59,MIN(AL$6-$G$3,22))),0)))))</f>
        <v>0</v>
      </c>
      <c r="AM61" s="27" t="n">
        <f aca="false">IF(COUNT(Aveia!$E59:$Z59)=0,0,MAX(0,IF((AM$6-$E$3)&lt;1,0,IFERROR(LOOKUP(2,1/(Aveia!$E59:INDEX(Aveia!$E59:$Z59,MIN(AM$6-$E$3,22))&lt;&gt;""),Aveia!$E59:INDEX(Aveia!$E59:$Z59,MIN(AM$6-$E$3,22))),0))-IF($G$2,0,IF((AM$6-$G$3)&lt;1,0,IFERROR(LOOKUP(2,1/(Aveia!$E59:INDEX(Aveia!$E59:$Z59,MIN(AM$6-$G$3,22))&lt;&gt;""),Aveia!$E59:INDEX(Aveia!$E59:$Z59,MIN(AM$6-$G$3,22))),0)))))</f>
        <v>0</v>
      </c>
      <c r="AN61" s="27" t="n">
        <f aca="false">IF(COUNT(Aveia!$E59:$Z59)=0,0,MAX(0,IF((AN$6-$E$3)&lt;1,0,IFERROR(LOOKUP(2,1/(Aveia!$E59:INDEX(Aveia!$E59:$Z59,MIN(AN$6-$E$3,22))&lt;&gt;""),Aveia!$E59:INDEX(Aveia!$E59:$Z59,MIN(AN$6-$E$3,22))),0))-IF($G$2,0,IF((AN$6-$G$3)&lt;1,0,IFERROR(LOOKUP(2,1/(Aveia!$E59:INDEX(Aveia!$E59:$Z59,MIN(AN$6-$G$3,22))&lt;&gt;""),Aveia!$E59:INDEX(Aveia!$E59:$Z59,MIN(AN$6-$G$3,22))),0)))))</f>
        <v>0</v>
      </c>
      <c r="AO61" s="27" t="n">
        <f aca="false">IF(COUNT(Aveia!$E59:$Z59)=0,0,MAX(0,IF((AO$6-$E$3)&lt;1,0,IFERROR(LOOKUP(2,1/(Aveia!$E59:INDEX(Aveia!$E59:$Z59,MIN(AO$6-$E$3,22))&lt;&gt;""),Aveia!$E59:INDEX(Aveia!$E59:$Z59,MIN(AO$6-$E$3,22))),0))-IF($G$2,0,IF((AO$6-$G$3)&lt;1,0,IFERROR(LOOKUP(2,1/(Aveia!$E59:INDEX(Aveia!$E59:$Z59,MIN(AO$6-$G$3,22))&lt;&gt;""),Aveia!$E59:INDEX(Aveia!$E59:$Z59,MIN(AO$6-$G$3,22))),0)))))</f>
        <v>0</v>
      </c>
      <c r="AP61" s="27" t="n">
        <f aca="false">IF(COUNT(Aveia!$E59:$Z59)=0,0,MAX(0,IF((AP$6-$E$3)&lt;1,0,IFERROR(LOOKUP(2,1/(Aveia!$E59:INDEX(Aveia!$E59:$Z59,MIN(AP$6-$E$3,22))&lt;&gt;""),Aveia!$E59:INDEX(Aveia!$E59:$Z59,MIN(AP$6-$E$3,22))),0))-IF($G$2,0,IF((AP$6-$G$3)&lt;1,0,IFERROR(LOOKUP(2,1/(Aveia!$E59:INDEX(Aveia!$E59:$Z59,MIN(AP$6-$G$3,22))&lt;&gt;""),Aveia!$E59:INDEX(Aveia!$E59:$Z59,MIN(AP$6-$G$3,22))),0)))))</f>
        <v>0</v>
      </c>
      <c r="AQ61" s="27" t="n">
        <f aca="false">IF(COUNT(Aveia!$E59:$Z59)=0,0,MAX(0,IF((AQ$6-$E$3)&lt;1,0,IFERROR(LOOKUP(2,1/(Aveia!$E59:INDEX(Aveia!$E59:$Z59,MIN(AQ$6-$E$3,22))&lt;&gt;""),Aveia!$E59:INDEX(Aveia!$E59:$Z59,MIN(AQ$6-$E$3,22))),0))-IF($G$2,0,IF((AQ$6-$G$3)&lt;1,0,IFERROR(LOOKUP(2,1/(Aveia!$E59:INDEX(Aveia!$E59:$Z59,MIN(AQ$6-$G$3,22))&lt;&gt;""),Aveia!$E59:INDEX(Aveia!$E59:$Z59,MIN(AQ$6-$G$3,22))),0)))))</f>
        <v>0</v>
      </c>
      <c r="AR61" s="27" t="n">
        <f aca="false">IF(COUNT(Aveia!$E59:$Z59)=0,0,MAX(0,IF((AR$6-$E$3)&lt;1,0,IFERROR(LOOKUP(2,1/(Aveia!$E59:INDEX(Aveia!$E59:$Z59,MIN(AR$6-$E$3,22))&lt;&gt;""),Aveia!$E59:INDEX(Aveia!$E59:$Z59,MIN(AR$6-$E$3,22))),0))-IF($G$2,0,IF((AR$6-$G$3)&lt;1,0,IFERROR(LOOKUP(2,1/(Aveia!$E59:INDEX(Aveia!$E59:$Z59,MIN(AR$6-$G$3,22))&lt;&gt;""),Aveia!$E59:INDEX(Aveia!$E59:$Z59,MIN(AR$6-$G$3,22))),0)))))</f>
        <v>0</v>
      </c>
      <c r="AS61" s="27" t="n">
        <f aca="false">IF(COUNT(Aveia!$E59:$Z59)=0,0,MAX(0,IF((AS$6-$E$3)&lt;1,0,IFERROR(LOOKUP(2,1/(Aveia!$E59:INDEX(Aveia!$E59:$Z59,MIN(AS$6-$E$3,22))&lt;&gt;""),Aveia!$E59:INDEX(Aveia!$E59:$Z59,MIN(AS$6-$E$3,22))),0))-IF($G$2,0,IF((AS$6-$G$3)&lt;1,0,IFERROR(LOOKUP(2,1/(Aveia!$E59:INDEX(Aveia!$E59:$Z59,MIN(AS$6-$G$3,22))&lt;&gt;""),Aveia!$E59:INDEX(Aveia!$E59:$Z59,MIN(AS$6-$G$3,22))),0)))))</f>
        <v>0</v>
      </c>
      <c r="AT61" s="27" t="n">
        <f aca="false">IF(COUNT(Aveia!$E59:$Z59)=0,0,MAX(0,IF((AT$6-$E$3)&lt;1,0,IFERROR(LOOKUP(2,1/(Aveia!$E59:INDEX(Aveia!$E59:$Z59,MIN(AT$6-$E$3,22))&lt;&gt;""),Aveia!$E59:INDEX(Aveia!$E59:$Z59,MIN(AT$6-$E$3,22))),0))-IF($G$2,0,IF((AT$6-$G$3)&lt;1,0,IFERROR(LOOKUP(2,1/(Aveia!$E59:INDEX(Aveia!$E59:$Z59,MIN(AT$6-$G$3,22))&lt;&gt;""),Aveia!$E59:INDEX(Aveia!$E59:$Z59,MIN(AT$6-$G$3,22))),0)))))</f>
        <v>0</v>
      </c>
      <c r="AU61" s="27" t="n">
        <f aca="false">IF(COUNT(Aveia!$E59:$Z59)=0,0,MAX(0,IF((AU$6-$E$3)&lt;1,0,IFERROR(LOOKUP(2,1/(Aveia!$E59:INDEX(Aveia!$E59:$Z59,MIN(AU$6-$E$3,22))&lt;&gt;""),Aveia!$E59:INDEX(Aveia!$E59:$Z59,MIN(AU$6-$E$3,22))),0))-IF($G$2,0,IF((AU$6-$G$3)&lt;1,0,IFERROR(LOOKUP(2,1/(Aveia!$E59:INDEX(Aveia!$E59:$Z59,MIN(AU$6-$G$3,22))&lt;&gt;""),Aveia!$E59:INDEX(Aveia!$E59:$Z59,MIN(AU$6-$G$3,22))),0)))))</f>
        <v>0</v>
      </c>
      <c r="AV61" s="27" t="n">
        <f aca="false">IF(COUNT(Aveia!$E59:$Z59)=0,0,MAX(0,IF((AV$6-$E$3)&lt;1,0,IFERROR(LOOKUP(2,1/(Aveia!$E59:INDEX(Aveia!$E59:$Z59,MIN(AV$6-$E$3,22))&lt;&gt;""),Aveia!$E59:INDEX(Aveia!$E59:$Z59,MIN(AV$6-$E$3,22))),0))-IF($G$2,0,IF((AV$6-$G$3)&lt;1,0,IFERROR(LOOKUP(2,1/(Aveia!$E59:INDEX(Aveia!$E59:$Z59,MIN(AV$6-$G$3,22))&lt;&gt;""),Aveia!$E59:INDEX(Aveia!$E59:$Z59,MIN(AV$6-$G$3,22))),0)))))</f>
        <v>0</v>
      </c>
      <c r="AW61" s="27" t="n">
        <f aca="false">IF(COUNT(Aveia!$E59:$Z59)=0,0,MAX(0,IF((AW$6-$E$3)&lt;1,0,IFERROR(LOOKUP(2,1/(Aveia!$E59:INDEX(Aveia!$E59:$Z59,MIN(AW$6-$E$3,22))&lt;&gt;""),Aveia!$E59:INDEX(Aveia!$E59:$Z59,MIN(AW$6-$E$3,22))),0))-IF($G$2,0,IF((AW$6-$G$3)&lt;1,0,IFERROR(LOOKUP(2,1/(Aveia!$E59:INDEX(Aveia!$E59:$Z59,MIN(AW$6-$G$3,22))&lt;&gt;""),Aveia!$E59:INDEX(Aveia!$E59:$Z59,MIN(AW$6-$G$3,22))),0)))))</f>
        <v>0</v>
      </c>
      <c r="AX61" s="27" t="n">
        <f aca="false">IF(COUNT(Aveia!$E59:$Z59)=0,0,MAX(0,IF((AX$6-$E$3)&lt;1,0,IFERROR(LOOKUP(2,1/(Aveia!$E59:INDEX(Aveia!$E59:$Z59,MIN(AX$6-$E$3,22))&lt;&gt;""),Aveia!$E59:INDEX(Aveia!$E59:$Z59,MIN(AX$6-$E$3,22))),0))-IF($G$2,0,IF((AX$6-$G$3)&lt;1,0,IFERROR(LOOKUP(2,1/(Aveia!$E59:INDEX(Aveia!$E59:$Z59,MIN(AX$6-$G$3,22))&lt;&gt;""),Aveia!$E59:INDEX(Aveia!$E59:$Z59,MIN(AX$6-$G$3,22))),0)))))</f>
        <v>0</v>
      </c>
      <c r="AY61" s="27" t="n">
        <f aca="false">IF(COUNT(Aveia!$E59:$Z59)=0,0,MAX(0,IF((AY$6-$E$3)&lt;1,0,IFERROR(LOOKUP(2,1/(Aveia!$E59:INDEX(Aveia!$E59:$Z59,MIN(AY$6-$E$3,22))&lt;&gt;""),Aveia!$E59:INDEX(Aveia!$E59:$Z59,MIN(AY$6-$E$3,22))),0))-IF($G$2,0,IF((AY$6-$G$3)&lt;1,0,IFERROR(LOOKUP(2,1/(Aveia!$E59:INDEX(Aveia!$E59:$Z59,MIN(AY$6-$G$3,22))&lt;&gt;""),Aveia!$E59:INDEX(Aveia!$E59:$Z59,MIN(AY$6-$G$3,22))),0)))))</f>
        <v>0</v>
      </c>
      <c r="AZ61" s="27" t="n">
        <f aca="false">IF(COUNT(Aveia!$E59:$Z59)=0,0,MAX(0,IF((AZ$6-$E$3)&lt;1,0,IFERROR(LOOKUP(2,1/(Aveia!$E59:INDEX(Aveia!$E59:$Z59,MIN(AZ$6-$E$3,22))&lt;&gt;""),Aveia!$E59:INDEX(Aveia!$E59:$Z59,MIN(AZ$6-$E$3,22))),0))-IF($G$2,0,IF((AZ$6-$G$3)&lt;1,0,IFERROR(LOOKUP(2,1/(Aveia!$E59:INDEX(Aveia!$E59:$Z59,MIN(AZ$6-$G$3,22))&lt;&gt;""),Aveia!$E59:INDEX(Aveia!$E59:$Z59,MIN(AZ$6-$G$3,22))),0)))))</f>
        <v>0</v>
      </c>
    </row>
    <row r="62" customFormat="false" ht="15" hidden="false" customHeight="false" outlineLevel="0" collapsed="false">
      <c r="A62" s="3" t="s">
        <v>244</v>
      </c>
      <c r="B62" s="3" t="s">
        <v>140</v>
      </c>
      <c r="C62" s="10" t="s">
        <v>140</v>
      </c>
      <c r="D62" s="26" t="n">
        <f aca="false">IF(COUNT(Aveia!$E60:$Z60)&gt;0,N(Aveia!$D60),0)</f>
        <v>0</v>
      </c>
      <c r="E62" s="27" t="n">
        <f aca="false">IF(COUNT(Aveia!$E60:$Z60)=0,0,MAX(0,IF((E$6-$E$3)&lt;1,0,IFERROR(LOOKUP(2,1/(Aveia!$E60:INDEX(Aveia!$E60:$Z60,MIN(E$6-$E$3,22))&lt;&gt;""),Aveia!$E60:INDEX(Aveia!$E60:$Z60,MIN(E$6-$E$3,22))),0))-IF($G$2,0,IF((E$6-$G$3)&lt;1,0,IFERROR(LOOKUP(2,1/(Aveia!$E60:INDEX(Aveia!$E60:$Z60,MIN(E$6-$G$3,22))&lt;&gt;""),Aveia!$E60:INDEX(Aveia!$E60:$Z60,MIN(E$6-$G$3,22))),0)))))</f>
        <v>0</v>
      </c>
      <c r="F62" s="27" t="n">
        <f aca="false">IF(COUNT(Aveia!$E60:$Z60)=0,0,MAX(0,IF((F$6-$E$3)&lt;1,0,IFERROR(LOOKUP(2,1/(Aveia!$E60:INDEX(Aveia!$E60:$Z60,MIN(F$6-$E$3,22))&lt;&gt;""),Aveia!$E60:INDEX(Aveia!$E60:$Z60,MIN(F$6-$E$3,22))),0))-IF($G$2,0,IF((F$6-$G$3)&lt;1,0,IFERROR(LOOKUP(2,1/(Aveia!$E60:INDEX(Aveia!$E60:$Z60,MIN(F$6-$G$3,22))&lt;&gt;""),Aveia!$E60:INDEX(Aveia!$E60:$Z60,MIN(F$6-$G$3,22))),0)))))</f>
        <v>0</v>
      </c>
      <c r="G62" s="27" t="n">
        <f aca="false">IF(COUNT(Aveia!$E60:$Z60)=0,0,MAX(0,IF((G$6-$E$3)&lt;1,0,IFERROR(LOOKUP(2,1/(Aveia!$E60:INDEX(Aveia!$E60:$Z60,MIN(G$6-$E$3,22))&lt;&gt;""),Aveia!$E60:INDEX(Aveia!$E60:$Z60,MIN(G$6-$E$3,22))),0))-IF($G$2,0,IF((G$6-$G$3)&lt;1,0,IFERROR(LOOKUP(2,1/(Aveia!$E60:INDEX(Aveia!$E60:$Z60,MIN(G$6-$G$3,22))&lt;&gt;""),Aveia!$E60:INDEX(Aveia!$E60:$Z60,MIN(G$6-$G$3,22))),0)))))</f>
        <v>0</v>
      </c>
      <c r="H62" s="27" t="n">
        <f aca="false">IF(COUNT(Aveia!$E60:$Z60)=0,0,MAX(0,IF((H$6-$E$3)&lt;1,0,IFERROR(LOOKUP(2,1/(Aveia!$E60:INDEX(Aveia!$E60:$Z60,MIN(H$6-$E$3,22))&lt;&gt;""),Aveia!$E60:INDEX(Aveia!$E60:$Z60,MIN(H$6-$E$3,22))),0))-IF($G$2,0,IF((H$6-$G$3)&lt;1,0,IFERROR(LOOKUP(2,1/(Aveia!$E60:INDEX(Aveia!$E60:$Z60,MIN(H$6-$G$3,22))&lt;&gt;""),Aveia!$E60:INDEX(Aveia!$E60:$Z60,MIN(H$6-$G$3,22))),0)))))</f>
        <v>0</v>
      </c>
      <c r="I62" s="27" t="n">
        <f aca="false">IF(COUNT(Aveia!$E60:$Z60)=0,0,MAX(0,IF((I$6-$E$3)&lt;1,0,IFERROR(LOOKUP(2,1/(Aveia!$E60:INDEX(Aveia!$E60:$Z60,MIN(I$6-$E$3,22))&lt;&gt;""),Aveia!$E60:INDEX(Aveia!$E60:$Z60,MIN(I$6-$E$3,22))),0))-IF($G$2,0,IF((I$6-$G$3)&lt;1,0,IFERROR(LOOKUP(2,1/(Aveia!$E60:INDEX(Aveia!$E60:$Z60,MIN(I$6-$G$3,22))&lt;&gt;""),Aveia!$E60:INDEX(Aveia!$E60:$Z60,MIN(I$6-$G$3,22))),0)))))</f>
        <v>0</v>
      </c>
      <c r="J62" s="27" t="n">
        <f aca="false">IF(COUNT(Aveia!$E60:$Z60)=0,0,MAX(0,IF((J$6-$E$3)&lt;1,0,IFERROR(LOOKUP(2,1/(Aveia!$E60:INDEX(Aveia!$E60:$Z60,MIN(J$6-$E$3,22))&lt;&gt;""),Aveia!$E60:INDEX(Aveia!$E60:$Z60,MIN(J$6-$E$3,22))),0))-IF($G$2,0,IF((J$6-$G$3)&lt;1,0,IFERROR(LOOKUP(2,1/(Aveia!$E60:INDEX(Aveia!$E60:$Z60,MIN(J$6-$G$3,22))&lt;&gt;""),Aveia!$E60:INDEX(Aveia!$E60:$Z60,MIN(J$6-$G$3,22))),0)))))</f>
        <v>0</v>
      </c>
      <c r="K62" s="27" t="n">
        <f aca="false">IF(COUNT(Aveia!$E60:$Z60)=0,0,MAX(0,IF((K$6-$E$3)&lt;1,0,IFERROR(LOOKUP(2,1/(Aveia!$E60:INDEX(Aveia!$E60:$Z60,MIN(K$6-$E$3,22))&lt;&gt;""),Aveia!$E60:INDEX(Aveia!$E60:$Z60,MIN(K$6-$E$3,22))),0))-IF($G$2,0,IF((K$6-$G$3)&lt;1,0,IFERROR(LOOKUP(2,1/(Aveia!$E60:INDEX(Aveia!$E60:$Z60,MIN(K$6-$G$3,22))&lt;&gt;""),Aveia!$E60:INDEX(Aveia!$E60:$Z60,MIN(K$6-$G$3,22))),0)))))</f>
        <v>0</v>
      </c>
      <c r="L62" s="27" t="n">
        <f aca="false">IF(COUNT(Aveia!$E60:$Z60)=0,0,MAX(0,IF((L$6-$E$3)&lt;1,0,IFERROR(LOOKUP(2,1/(Aveia!$E60:INDEX(Aveia!$E60:$Z60,MIN(L$6-$E$3,22))&lt;&gt;""),Aveia!$E60:INDEX(Aveia!$E60:$Z60,MIN(L$6-$E$3,22))),0))-IF($G$2,0,IF((L$6-$G$3)&lt;1,0,IFERROR(LOOKUP(2,1/(Aveia!$E60:INDEX(Aveia!$E60:$Z60,MIN(L$6-$G$3,22))&lt;&gt;""),Aveia!$E60:INDEX(Aveia!$E60:$Z60,MIN(L$6-$G$3,22))),0)))))</f>
        <v>0</v>
      </c>
      <c r="M62" s="27" t="n">
        <f aca="false">IF(COUNT(Aveia!$E60:$Z60)=0,0,MAX(0,IF((M$6-$E$3)&lt;1,0,IFERROR(LOOKUP(2,1/(Aveia!$E60:INDEX(Aveia!$E60:$Z60,MIN(M$6-$E$3,22))&lt;&gt;""),Aveia!$E60:INDEX(Aveia!$E60:$Z60,MIN(M$6-$E$3,22))),0))-IF($G$2,0,IF((M$6-$G$3)&lt;1,0,IFERROR(LOOKUP(2,1/(Aveia!$E60:INDEX(Aveia!$E60:$Z60,MIN(M$6-$G$3,22))&lt;&gt;""),Aveia!$E60:INDEX(Aveia!$E60:$Z60,MIN(M$6-$G$3,22))),0)))))</f>
        <v>0</v>
      </c>
      <c r="N62" s="27" t="n">
        <f aca="false">IF(COUNT(Aveia!$E60:$Z60)=0,0,MAX(0,IF((N$6-$E$3)&lt;1,0,IFERROR(LOOKUP(2,1/(Aveia!$E60:INDEX(Aveia!$E60:$Z60,MIN(N$6-$E$3,22))&lt;&gt;""),Aveia!$E60:INDEX(Aveia!$E60:$Z60,MIN(N$6-$E$3,22))),0))-IF($G$2,0,IF((N$6-$G$3)&lt;1,0,IFERROR(LOOKUP(2,1/(Aveia!$E60:INDEX(Aveia!$E60:$Z60,MIN(N$6-$G$3,22))&lt;&gt;""),Aveia!$E60:INDEX(Aveia!$E60:$Z60,MIN(N$6-$G$3,22))),0)))))</f>
        <v>0</v>
      </c>
      <c r="O62" s="27" t="n">
        <f aca="false">IF(COUNT(Aveia!$E60:$Z60)=0,0,MAX(0,IF((O$6-$E$3)&lt;1,0,IFERROR(LOOKUP(2,1/(Aveia!$E60:INDEX(Aveia!$E60:$Z60,MIN(O$6-$E$3,22))&lt;&gt;""),Aveia!$E60:INDEX(Aveia!$E60:$Z60,MIN(O$6-$E$3,22))),0))-IF($G$2,0,IF((O$6-$G$3)&lt;1,0,IFERROR(LOOKUP(2,1/(Aveia!$E60:INDEX(Aveia!$E60:$Z60,MIN(O$6-$G$3,22))&lt;&gt;""),Aveia!$E60:INDEX(Aveia!$E60:$Z60,MIN(O$6-$G$3,22))),0)))))</f>
        <v>0</v>
      </c>
      <c r="P62" s="27" t="n">
        <f aca="false">IF(COUNT(Aveia!$E60:$Z60)=0,0,MAX(0,IF((P$6-$E$3)&lt;1,0,IFERROR(LOOKUP(2,1/(Aveia!$E60:INDEX(Aveia!$E60:$Z60,MIN(P$6-$E$3,22))&lt;&gt;""),Aveia!$E60:INDEX(Aveia!$E60:$Z60,MIN(P$6-$E$3,22))),0))-IF($G$2,0,IF((P$6-$G$3)&lt;1,0,IFERROR(LOOKUP(2,1/(Aveia!$E60:INDEX(Aveia!$E60:$Z60,MIN(P$6-$G$3,22))&lt;&gt;""),Aveia!$E60:INDEX(Aveia!$E60:$Z60,MIN(P$6-$G$3,22))),0)))))</f>
        <v>0</v>
      </c>
      <c r="Q62" s="27" t="n">
        <f aca="false">IF(COUNT(Aveia!$E60:$Z60)=0,0,MAX(0,IF((Q$6-$E$3)&lt;1,0,IFERROR(LOOKUP(2,1/(Aveia!$E60:INDEX(Aveia!$E60:$Z60,MIN(Q$6-$E$3,22))&lt;&gt;""),Aveia!$E60:INDEX(Aveia!$E60:$Z60,MIN(Q$6-$E$3,22))),0))-IF($G$2,0,IF((Q$6-$G$3)&lt;1,0,IFERROR(LOOKUP(2,1/(Aveia!$E60:INDEX(Aveia!$E60:$Z60,MIN(Q$6-$G$3,22))&lt;&gt;""),Aveia!$E60:INDEX(Aveia!$E60:$Z60,MIN(Q$6-$G$3,22))),0)))))</f>
        <v>0</v>
      </c>
      <c r="R62" s="27" t="n">
        <f aca="false">IF(COUNT(Aveia!$E60:$Z60)=0,0,MAX(0,IF((R$6-$E$3)&lt;1,0,IFERROR(LOOKUP(2,1/(Aveia!$E60:INDEX(Aveia!$E60:$Z60,MIN(R$6-$E$3,22))&lt;&gt;""),Aveia!$E60:INDEX(Aveia!$E60:$Z60,MIN(R$6-$E$3,22))),0))-IF($G$2,0,IF((R$6-$G$3)&lt;1,0,IFERROR(LOOKUP(2,1/(Aveia!$E60:INDEX(Aveia!$E60:$Z60,MIN(R$6-$G$3,22))&lt;&gt;""),Aveia!$E60:INDEX(Aveia!$E60:$Z60,MIN(R$6-$G$3,22))),0)))))</f>
        <v>0</v>
      </c>
      <c r="S62" s="27" t="n">
        <f aca="false">IF(COUNT(Aveia!$E60:$Z60)=0,0,MAX(0,IF((S$6-$E$3)&lt;1,0,IFERROR(LOOKUP(2,1/(Aveia!$E60:INDEX(Aveia!$E60:$Z60,MIN(S$6-$E$3,22))&lt;&gt;""),Aveia!$E60:INDEX(Aveia!$E60:$Z60,MIN(S$6-$E$3,22))),0))-IF($G$2,0,IF((S$6-$G$3)&lt;1,0,IFERROR(LOOKUP(2,1/(Aveia!$E60:INDEX(Aveia!$E60:$Z60,MIN(S$6-$G$3,22))&lt;&gt;""),Aveia!$E60:INDEX(Aveia!$E60:$Z60,MIN(S$6-$G$3,22))),0)))))</f>
        <v>0</v>
      </c>
      <c r="T62" s="27" t="n">
        <f aca="false">IF(COUNT(Aveia!$E60:$Z60)=0,0,MAX(0,IF((T$6-$E$3)&lt;1,0,IFERROR(LOOKUP(2,1/(Aveia!$E60:INDEX(Aveia!$E60:$Z60,MIN(T$6-$E$3,22))&lt;&gt;""),Aveia!$E60:INDEX(Aveia!$E60:$Z60,MIN(T$6-$E$3,22))),0))-IF($G$2,0,IF((T$6-$G$3)&lt;1,0,IFERROR(LOOKUP(2,1/(Aveia!$E60:INDEX(Aveia!$E60:$Z60,MIN(T$6-$G$3,22))&lt;&gt;""),Aveia!$E60:INDEX(Aveia!$E60:$Z60,MIN(T$6-$G$3,22))),0)))))</f>
        <v>0</v>
      </c>
      <c r="U62" s="27" t="n">
        <f aca="false">IF(COUNT(Aveia!$E60:$Z60)=0,0,MAX(0,IF((U$6-$E$3)&lt;1,0,IFERROR(LOOKUP(2,1/(Aveia!$E60:INDEX(Aveia!$E60:$Z60,MIN(U$6-$E$3,22))&lt;&gt;""),Aveia!$E60:INDEX(Aveia!$E60:$Z60,MIN(U$6-$E$3,22))),0))-IF($G$2,0,IF((U$6-$G$3)&lt;1,0,IFERROR(LOOKUP(2,1/(Aveia!$E60:INDEX(Aveia!$E60:$Z60,MIN(U$6-$G$3,22))&lt;&gt;""),Aveia!$E60:INDEX(Aveia!$E60:$Z60,MIN(U$6-$G$3,22))),0)))))</f>
        <v>0</v>
      </c>
      <c r="V62" s="27" t="n">
        <f aca="false">IF(COUNT(Aveia!$E60:$Z60)=0,0,MAX(0,IF((V$6-$E$3)&lt;1,0,IFERROR(LOOKUP(2,1/(Aveia!$E60:INDEX(Aveia!$E60:$Z60,MIN(V$6-$E$3,22))&lt;&gt;""),Aveia!$E60:INDEX(Aveia!$E60:$Z60,MIN(V$6-$E$3,22))),0))-IF($G$2,0,IF((V$6-$G$3)&lt;1,0,IFERROR(LOOKUP(2,1/(Aveia!$E60:INDEX(Aveia!$E60:$Z60,MIN(V$6-$G$3,22))&lt;&gt;""),Aveia!$E60:INDEX(Aveia!$E60:$Z60,MIN(V$6-$G$3,22))),0)))))</f>
        <v>0</v>
      </c>
      <c r="W62" s="27" t="n">
        <f aca="false">IF(COUNT(Aveia!$E60:$Z60)=0,0,MAX(0,IF((W$6-$E$3)&lt;1,0,IFERROR(LOOKUP(2,1/(Aveia!$E60:INDEX(Aveia!$E60:$Z60,MIN(W$6-$E$3,22))&lt;&gt;""),Aveia!$E60:INDEX(Aveia!$E60:$Z60,MIN(W$6-$E$3,22))),0))-IF($G$2,0,IF((W$6-$G$3)&lt;1,0,IFERROR(LOOKUP(2,1/(Aveia!$E60:INDEX(Aveia!$E60:$Z60,MIN(W$6-$G$3,22))&lt;&gt;""),Aveia!$E60:INDEX(Aveia!$E60:$Z60,MIN(W$6-$G$3,22))),0)))))</f>
        <v>0</v>
      </c>
      <c r="X62" s="27" t="n">
        <f aca="false">IF(COUNT(Aveia!$E60:$Z60)=0,0,MAX(0,IF((X$6-$E$3)&lt;1,0,IFERROR(LOOKUP(2,1/(Aveia!$E60:INDEX(Aveia!$E60:$Z60,MIN(X$6-$E$3,22))&lt;&gt;""),Aveia!$E60:INDEX(Aveia!$E60:$Z60,MIN(X$6-$E$3,22))),0))-IF($G$2,0,IF((X$6-$G$3)&lt;1,0,IFERROR(LOOKUP(2,1/(Aveia!$E60:INDEX(Aveia!$E60:$Z60,MIN(X$6-$G$3,22))&lt;&gt;""),Aveia!$E60:INDEX(Aveia!$E60:$Z60,MIN(X$6-$G$3,22))),0)))))</f>
        <v>0</v>
      </c>
      <c r="Y62" s="27" t="n">
        <f aca="false">IF(COUNT(Aveia!$E60:$Z60)=0,0,MAX(0,IF((Y$6-$E$3)&lt;1,0,IFERROR(LOOKUP(2,1/(Aveia!$E60:INDEX(Aveia!$E60:$Z60,MIN(Y$6-$E$3,22))&lt;&gt;""),Aveia!$E60:INDEX(Aveia!$E60:$Z60,MIN(Y$6-$E$3,22))),0))-IF($G$2,0,IF((Y$6-$G$3)&lt;1,0,IFERROR(LOOKUP(2,1/(Aveia!$E60:INDEX(Aveia!$E60:$Z60,MIN(Y$6-$G$3,22))&lt;&gt;""),Aveia!$E60:INDEX(Aveia!$E60:$Z60,MIN(Y$6-$G$3,22))),0)))))</f>
        <v>0</v>
      </c>
      <c r="Z62" s="27" t="n">
        <f aca="false">IF(COUNT(Aveia!$E60:$Z60)=0,0,MAX(0,IF((Z$6-$E$3)&lt;1,0,IFERROR(LOOKUP(2,1/(Aveia!$E60:INDEX(Aveia!$E60:$Z60,MIN(Z$6-$E$3,22))&lt;&gt;""),Aveia!$E60:INDEX(Aveia!$E60:$Z60,MIN(Z$6-$E$3,22))),0))-IF($G$2,0,IF((Z$6-$G$3)&lt;1,0,IFERROR(LOOKUP(2,1/(Aveia!$E60:INDEX(Aveia!$E60:$Z60,MIN(Z$6-$G$3,22))&lt;&gt;""),Aveia!$E60:INDEX(Aveia!$E60:$Z60,MIN(Z$6-$G$3,22))),0)))))</f>
        <v>0</v>
      </c>
      <c r="AA62" s="27" t="n">
        <f aca="false">IF(COUNT(Aveia!$E60:$Z60)=0,0,MAX(0,IF((AA$6-$E$3)&lt;1,0,IFERROR(LOOKUP(2,1/(Aveia!$E60:INDEX(Aveia!$E60:$Z60,MIN(AA$6-$E$3,22))&lt;&gt;""),Aveia!$E60:INDEX(Aveia!$E60:$Z60,MIN(AA$6-$E$3,22))),0))-IF($G$2,0,IF((AA$6-$G$3)&lt;1,0,IFERROR(LOOKUP(2,1/(Aveia!$E60:INDEX(Aveia!$E60:$Z60,MIN(AA$6-$G$3,22))&lt;&gt;""),Aveia!$E60:INDEX(Aveia!$E60:$Z60,MIN(AA$6-$G$3,22))),0)))))</f>
        <v>0</v>
      </c>
      <c r="AB62" s="27" t="n">
        <f aca="false">IF(COUNT(Aveia!$E60:$Z60)=0,0,MAX(0,IF((AB$6-$E$3)&lt;1,0,IFERROR(LOOKUP(2,1/(Aveia!$E60:INDEX(Aveia!$E60:$Z60,MIN(AB$6-$E$3,22))&lt;&gt;""),Aveia!$E60:INDEX(Aveia!$E60:$Z60,MIN(AB$6-$E$3,22))),0))-IF($G$2,0,IF((AB$6-$G$3)&lt;1,0,IFERROR(LOOKUP(2,1/(Aveia!$E60:INDEX(Aveia!$E60:$Z60,MIN(AB$6-$G$3,22))&lt;&gt;""),Aveia!$E60:INDEX(Aveia!$E60:$Z60,MIN(AB$6-$G$3,22))),0)))))</f>
        <v>0</v>
      </c>
      <c r="AC62" s="27" t="n">
        <f aca="false">IF(COUNT(Aveia!$E60:$Z60)=0,0,MAX(0,IF((AC$6-$E$3)&lt;1,0,IFERROR(LOOKUP(2,1/(Aveia!$E60:INDEX(Aveia!$E60:$Z60,MIN(AC$6-$E$3,22))&lt;&gt;""),Aveia!$E60:INDEX(Aveia!$E60:$Z60,MIN(AC$6-$E$3,22))),0))-IF($G$2,0,IF((AC$6-$G$3)&lt;1,0,IFERROR(LOOKUP(2,1/(Aveia!$E60:INDEX(Aveia!$E60:$Z60,MIN(AC$6-$G$3,22))&lt;&gt;""),Aveia!$E60:INDEX(Aveia!$E60:$Z60,MIN(AC$6-$G$3,22))),0)))))</f>
        <v>0</v>
      </c>
      <c r="AD62" s="27" t="n">
        <f aca="false">IF(COUNT(Aveia!$E60:$Z60)=0,0,MAX(0,IF((AD$6-$E$3)&lt;1,0,IFERROR(LOOKUP(2,1/(Aveia!$E60:INDEX(Aveia!$E60:$Z60,MIN(AD$6-$E$3,22))&lt;&gt;""),Aveia!$E60:INDEX(Aveia!$E60:$Z60,MIN(AD$6-$E$3,22))),0))-IF($G$2,0,IF((AD$6-$G$3)&lt;1,0,IFERROR(LOOKUP(2,1/(Aveia!$E60:INDEX(Aveia!$E60:$Z60,MIN(AD$6-$G$3,22))&lt;&gt;""),Aveia!$E60:INDEX(Aveia!$E60:$Z60,MIN(AD$6-$G$3,22))),0)))))</f>
        <v>0</v>
      </c>
      <c r="AE62" s="27" t="n">
        <f aca="false">IF(COUNT(Aveia!$E60:$Z60)=0,0,MAX(0,IF((AE$6-$E$3)&lt;1,0,IFERROR(LOOKUP(2,1/(Aveia!$E60:INDEX(Aveia!$E60:$Z60,MIN(AE$6-$E$3,22))&lt;&gt;""),Aveia!$E60:INDEX(Aveia!$E60:$Z60,MIN(AE$6-$E$3,22))),0))-IF($G$2,0,IF((AE$6-$G$3)&lt;1,0,IFERROR(LOOKUP(2,1/(Aveia!$E60:INDEX(Aveia!$E60:$Z60,MIN(AE$6-$G$3,22))&lt;&gt;""),Aveia!$E60:INDEX(Aveia!$E60:$Z60,MIN(AE$6-$G$3,22))),0)))))</f>
        <v>0</v>
      </c>
      <c r="AF62" s="27" t="n">
        <f aca="false">IF(COUNT(Aveia!$E60:$Z60)=0,0,MAX(0,IF((AF$6-$E$3)&lt;1,0,IFERROR(LOOKUP(2,1/(Aveia!$E60:INDEX(Aveia!$E60:$Z60,MIN(AF$6-$E$3,22))&lt;&gt;""),Aveia!$E60:INDEX(Aveia!$E60:$Z60,MIN(AF$6-$E$3,22))),0))-IF($G$2,0,IF((AF$6-$G$3)&lt;1,0,IFERROR(LOOKUP(2,1/(Aveia!$E60:INDEX(Aveia!$E60:$Z60,MIN(AF$6-$G$3,22))&lt;&gt;""),Aveia!$E60:INDEX(Aveia!$E60:$Z60,MIN(AF$6-$G$3,22))),0)))))</f>
        <v>0</v>
      </c>
      <c r="AG62" s="27" t="n">
        <f aca="false">IF(COUNT(Aveia!$E60:$Z60)=0,0,MAX(0,IF((AG$6-$E$3)&lt;1,0,IFERROR(LOOKUP(2,1/(Aveia!$E60:INDEX(Aveia!$E60:$Z60,MIN(AG$6-$E$3,22))&lt;&gt;""),Aveia!$E60:INDEX(Aveia!$E60:$Z60,MIN(AG$6-$E$3,22))),0))-IF($G$2,0,IF((AG$6-$G$3)&lt;1,0,IFERROR(LOOKUP(2,1/(Aveia!$E60:INDEX(Aveia!$E60:$Z60,MIN(AG$6-$G$3,22))&lt;&gt;""),Aveia!$E60:INDEX(Aveia!$E60:$Z60,MIN(AG$6-$G$3,22))),0)))))</f>
        <v>0</v>
      </c>
      <c r="AH62" s="27" t="n">
        <f aca="false">IF(COUNT(Aveia!$E60:$Z60)=0,0,MAX(0,IF((AH$6-$E$3)&lt;1,0,IFERROR(LOOKUP(2,1/(Aveia!$E60:INDEX(Aveia!$E60:$Z60,MIN(AH$6-$E$3,22))&lt;&gt;""),Aveia!$E60:INDEX(Aveia!$E60:$Z60,MIN(AH$6-$E$3,22))),0))-IF($G$2,0,IF((AH$6-$G$3)&lt;1,0,IFERROR(LOOKUP(2,1/(Aveia!$E60:INDEX(Aveia!$E60:$Z60,MIN(AH$6-$G$3,22))&lt;&gt;""),Aveia!$E60:INDEX(Aveia!$E60:$Z60,MIN(AH$6-$G$3,22))),0)))))</f>
        <v>0</v>
      </c>
      <c r="AI62" s="27" t="n">
        <f aca="false">IF(COUNT(Aveia!$E60:$Z60)=0,0,MAX(0,IF((AI$6-$E$3)&lt;1,0,IFERROR(LOOKUP(2,1/(Aveia!$E60:INDEX(Aveia!$E60:$Z60,MIN(AI$6-$E$3,22))&lt;&gt;""),Aveia!$E60:INDEX(Aveia!$E60:$Z60,MIN(AI$6-$E$3,22))),0))-IF($G$2,0,IF((AI$6-$G$3)&lt;1,0,IFERROR(LOOKUP(2,1/(Aveia!$E60:INDEX(Aveia!$E60:$Z60,MIN(AI$6-$G$3,22))&lt;&gt;""),Aveia!$E60:INDEX(Aveia!$E60:$Z60,MIN(AI$6-$G$3,22))),0)))))</f>
        <v>0</v>
      </c>
      <c r="AJ62" s="27" t="n">
        <f aca="false">IF(COUNT(Aveia!$E60:$Z60)=0,0,MAX(0,IF((AJ$6-$E$3)&lt;1,0,IFERROR(LOOKUP(2,1/(Aveia!$E60:INDEX(Aveia!$E60:$Z60,MIN(AJ$6-$E$3,22))&lt;&gt;""),Aveia!$E60:INDEX(Aveia!$E60:$Z60,MIN(AJ$6-$E$3,22))),0))-IF($G$2,0,IF((AJ$6-$G$3)&lt;1,0,IFERROR(LOOKUP(2,1/(Aveia!$E60:INDEX(Aveia!$E60:$Z60,MIN(AJ$6-$G$3,22))&lt;&gt;""),Aveia!$E60:INDEX(Aveia!$E60:$Z60,MIN(AJ$6-$G$3,22))),0)))))</f>
        <v>0</v>
      </c>
      <c r="AK62" s="27" t="n">
        <f aca="false">IF(COUNT(Aveia!$E60:$Z60)=0,0,MAX(0,IF((AK$6-$E$3)&lt;1,0,IFERROR(LOOKUP(2,1/(Aveia!$E60:INDEX(Aveia!$E60:$Z60,MIN(AK$6-$E$3,22))&lt;&gt;""),Aveia!$E60:INDEX(Aveia!$E60:$Z60,MIN(AK$6-$E$3,22))),0))-IF($G$2,0,IF((AK$6-$G$3)&lt;1,0,IFERROR(LOOKUP(2,1/(Aveia!$E60:INDEX(Aveia!$E60:$Z60,MIN(AK$6-$G$3,22))&lt;&gt;""),Aveia!$E60:INDEX(Aveia!$E60:$Z60,MIN(AK$6-$G$3,22))),0)))))</f>
        <v>0</v>
      </c>
      <c r="AL62" s="27" t="n">
        <f aca="false">IF(COUNT(Aveia!$E60:$Z60)=0,0,MAX(0,IF((AL$6-$E$3)&lt;1,0,IFERROR(LOOKUP(2,1/(Aveia!$E60:INDEX(Aveia!$E60:$Z60,MIN(AL$6-$E$3,22))&lt;&gt;""),Aveia!$E60:INDEX(Aveia!$E60:$Z60,MIN(AL$6-$E$3,22))),0))-IF($G$2,0,IF((AL$6-$G$3)&lt;1,0,IFERROR(LOOKUP(2,1/(Aveia!$E60:INDEX(Aveia!$E60:$Z60,MIN(AL$6-$G$3,22))&lt;&gt;""),Aveia!$E60:INDEX(Aveia!$E60:$Z60,MIN(AL$6-$G$3,22))),0)))))</f>
        <v>0</v>
      </c>
      <c r="AM62" s="27" t="n">
        <f aca="false">IF(COUNT(Aveia!$E60:$Z60)=0,0,MAX(0,IF((AM$6-$E$3)&lt;1,0,IFERROR(LOOKUP(2,1/(Aveia!$E60:INDEX(Aveia!$E60:$Z60,MIN(AM$6-$E$3,22))&lt;&gt;""),Aveia!$E60:INDEX(Aveia!$E60:$Z60,MIN(AM$6-$E$3,22))),0))-IF($G$2,0,IF((AM$6-$G$3)&lt;1,0,IFERROR(LOOKUP(2,1/(Aveia!$E60:INDEX(Aveia!$E60:$Z60,MIN(AM$6-$G$3,22))&lt;&gt;""),Aveia!$E60:INDEX(Aveia!$E60:$Z60,MIN(AM$6-$G$3,22))),0)))))</f>
        <v>0</v>
      </c>
      <c r="AN62" s="27" t="n">
        <f aca="false">IF(COUNT(Aveia!$E60:$Z60)=0,0,MAX(0,IF((AN$6-$E$3)&lt;1,0,IFERROR(LOOKUP(2,1/(Aveia!$E60:INDEX(Aveia!$E60:$Z60,MIN(AN$6-$E$3,22))&lt;&gt;""),Aveia!$E60:INDEX(Aveia!$E60:$Z60,MIN(AN$6-$E$3,22))),0))-IF($G$2,0,IF((AN$6-$G$3)&lt;1,0,IFERROR(LOOKUP(2,1/(Aveia!$E60:INDEX(Aveia!$E60:$Z60,MIN(AN$6-$G$3,22))&lt;&gt;""),Aveia!$E60:INDEX(Aveia!$E60:$Z60,MIN(AN$6-$G$3,22))),0)))))</f>
        <v>0</v>
      </c>
      <c r="AO62" s="27" t="n">
        <f aca="false">IF(COUNT(Aveia!$E60:$Z60)=0,0,MAX(0,IF((AO$6-$E$3)&lt;1,0,IFERROR(LOOKUP(2,1/(Aveia!$E60:INDEX(Aveia!$E60:$Z60,MIN(AO$6-$E$3,22))&lt;&gt;""),Aveia!$E60:INDEX(Aveia!$E60:$Z60,MIN(AO$6-$E$3,22))),0))-IF($G$2,0,IF((AO$6-$G$3)&lt;1,0,IFERROR(LOOKUP(2,1/(Aveia!$E60:INDEX(Aveia!$E60:$Z60,MIN(AO$6-$G$3,22))&lt;&gt;""),Aveia!$E60:INDEX(Aveia!$E60:$Z60,MIN(AO$6-$G$3,22))),0)))))</f>
        <v>0</v>
      </c>
      <c r="AP62" s="27" t="n">
        <f aca="false">IF(COUNT(Aveia!$E60:$Z60)=0,0,MAX(0,IF((AP$6-$E$3)&lt;1,0,IFERROR(LOOKUP(2,1/(Aveia!$E60:INDEX(Aveia!$E60:$Z60,MIN(AP$6-$E$3,22))&lt;&gt;""),Aveia!$E60:INDEX(Aveia!$E60:$Z60,MIN(AP$6-$E$3,22))),0))-IF($G$2,0,IF((AP$6-$G$3)&lt;1,0,IFERROR(LOOKUP(2,1/(Aveia!$E60:INDEX(Aveia!$E60:$Z60,MIN(AP$6-$G$3,22))&lt;&gt;""),Aveia!$E60:INDEX(Aveia!$E60:$Z60,MIN(AP$6-$G$3,22))),0)))))</f>
        <v>0</v>
      </c>
      <c r="AQ62" s="27" t="n">
        <f aca="false">IF(COUNT(Aveia!$E60:$Z60)=0,0,MAX(0,IF((AQ$6-$E$3)&lt;1,0,IFERROR(LOOKUP(2,1/(Aveia!$E60:INDEX(Aveia!$E60:$Z60,MIN(AQ$6-$E$3,22))&lt;&gt;""),Aveia!$E60:INDEX(Aveia!$E60:$Z60,MIN(AQ$6-$E$3,22))),0))-IF($G$2,0,IF((AQ$6-$G$3)&lt;1,0,IFERROR(LOOKUP(2,1/(Aveia!$E60:INDEX(Aveia!$E60:$Z60,MIN(AQ$6-$G$3,22))&lt;&gt;""),Aveia!$E60:INDEX(Aveia!$E60:$Z60,MIN(AQ$6-$G$3,22))),0)))))</f>
        <v>0</v>
      </c>
      <c r="AR62" s="27" t="n">
        <f aca="false">IF(COUNT(Aveia!$E60:$Z60)=0,0,MAX(0,IF((AR$6-$E$3)&lt;1,0,IFERROR(LOOKUP(2,1/(Aveia!$E60:INDEX(Aveia!$E60:$Z60,MIN(AR$6-$E$3,22))&lt;&gt;""),Aveia!$E60:INDEX(Aveia!$E60:$Z60,MIN(AR$6-$E$3,22))),0))-IF($G$2,0,IF((AR$6-$G$3)&lt;1,0,IFERROR(LOOKUP(2,1/(Aveia!$E60:INDEX(Aveia!$E60:$Z60,MIN(AR$6-$G$3,22))&lt;&gt;""),Aveia!$E60:INDEX(Aveia!$E60:$Z60,MIN(AR$6-$G$3,22))),0)))))</f>
        <v>0</v>
      </c>
      <c r="AS62" s="27" t="n">
        <f aca="false">IF(COUNT(Aveia!$E60:$Z60)=0,0,MAX(0,IF((AS$6-$E$3)&lt;1,0,IFERROR(LOOKUP(2,1/(Aveia!$E60:INDEX(Aveia!$E60:$Z60,MIN(AS$6-$E$3,22))&lt;&gt;""),Aveia!$E60:INDEX(Aveia!$E60:$Z60,MIN(AS$6-$E$3,22))),0))-IF($G$2,0,IF((AS$6-$G$3)&lt;1,0,IFERROR(LOOKUP(2,1/(Aveia!$E60:INDEX(Aveia!$E60:$Z60,MIN(AS$6-$G$3,22))&lt;&gt;""),Aveia!$E60:INDEX(Aveia!$E60:$Z60,MIN(AS$6-$G$3,22))),0)))))</f>
        <v>0</v>
      </c>
      <c r="AT62" s="27" t="n">
        <f aca="false">IF(COUNT(Aveia!$E60:$Z60)=0,0,MAX(0,IF((AT$6-$E$3)&lt;1,0,IFERROR(LOOKUP(2,1/(Aveia!$E60:INDEX(Aveia!$E60:$Z60,MIN(AT$6-$E$3,22))&lt;&gt;""),Aveia!$E60:INDEX(Aveia!$E60:$Z60,MIN(AT$6-$E$3,22))),0))-IF($G$2,0,IF((AT$6-$G$3)&lt;1,0,IFERROR(LOOKUP(2,1/(Aveia!$E60:INDEX(Aveia!$E60:$Z60,MIN(AT$6-$G$3,22))&lt;&gt;""),Aveia!$E60:INDEX(Aveia!$E60:$Z60,MIN(AT$6-$G$3,22))),0)))))</f>
        <v>0</v>
      </c>
      <c r="AU62" s="27" t="n">
        <f aca="false">IF(COUNT(Aveia!$E60:$Z60)=0,0,MAX(0,IF((AU$6-$E$3)&lt;1,0,IFERROR(LOOKUP(2,1/(Aveia!$E60:INDEX(Aveia!$E60:$Z60,MIN(AU$6-$E$3,22))&lt;&gt;""),Aveia!$E60:INDEX(Aveia!$E60:$Z60,MIN(AU$6-$E$3,22))),0))-IF($G$2,0,IF((AU$6-$G$3)&lt;1,0,IFERROR(LOOKUP(2,1/(Aveia!$E60:INDEX(Aveia!$E60:$Z60,MIN(AU$6-$G$3,22))&lt;&gt;""),Aveia!$E60:INDEX(Aveia!$E60:$Z60,MIN(AU$6-$G$3,22))),0)))))</f>
        <v>0</v>
      </c>
      <c r="AV62" s="27" t="n">
        <f aca="false">IF(COUNT(Aveia!$E60:$Z60)=0,0,MAX(0,IF((AV$6-$E$3)&lt;1,0,IFERROR(LOOKUP(2,1/(Aveia!$E60:INDEX(Aveia!$E60:$Z60,MIN(AV$6-$E$3,22))&lt;&gt;""),Aveia!$E60:INDEX(Aveia!$E60:$Z60,MIN(AV$6-$E$3,22))),0))-IF($G$2,0,IF((AV$6-$G$3)&lt;1,0,IFERROR(LOOKUP(2,1/(Aveia!$E60:INDEX(Aveia!$E60:$Z60,MIN(AV$6-$G$3,22))&lt;&gt;""),Aveia!$E60:INDEX(Aveia!$E60:$Z60,MIN(AV$6-$G$3,22))),0)))))</f>
        <v>0</v>
      </c>
      <c r="AW62" s="27" t="n">
        <f aca="false">IF(COUNT(Aveia!$E60:$Z60)=0,0,MAX(0,IF((AW$6-$E$3)&lt;1,0,IFERROR(LOOKUP(2,1/(Aveia!$E60:INDEX(Aveia!$E60:$Z60,MIN(AW$6-$E$3,22))&lt;&gt;""),Aveia!$E60:INDEX(Aveia!$E60:$Z60,MIN(AW$6-$E$3,22))),0))-IF($G$2,0,IF((AW$6-$G$3)&lt;1,0,IFERROR(LOOKUP(2,1/(Aveia!$E60:INDEX(Aveia!$E60:$Z60,MIN(AW$6-$G$3,22))&lt;&gt;""),Aveia!$E60:INDEX(Aveia!$E60:$Z60,MIN(AW$6-$G$3,22))),0)))))</f>
        <v>0</v>
      </c>
      <c r="AX62" s="27" t="n">
        <f aca="false">IF(COUNT(Aveia!$E60:$Z60)=0,0,MAX(0,IF((AX$6-$E$3)&lt;1,0,IFERROR(LOOKUP(2,1/(Aveia!$E60:INDEX(Aveia!$E60:$Z60,MIN(AX$6-$E$3,22))&lt;&gt;""),Aveia!$E60:INDEX(Aveia!$E60:$Z60,MIN(AX$6-$E$3,22))),0))-IF($G$2,0,IF((AX$6-$G$3)&lt;1,0,IFERROR(LOOKUP(2,1/(Aveia!$E60:INDEX(Aveia!$E60:$Z60,MIN(AX$6-$G$3,22))&lt;&gt;""),Aveia!$E60:INDEX(Aveia!$E60:$Z60,MIN(AX$6-$G$3,22))),0)))))</f>
        <v>0</v>
      </c>
      <c r="AY62" s="27" t="n">
        <f aca="false">IF(COUNT(Aveia!$E60:$Z60)=0,0,MAX(0,IF((AY$6-$E$3)&lt;1,0,IFERROR(LOOKUP(2,1/(Aveia!$E60:INDEX(Aveia!$E60:$Z60,MIN(AY$6-$E$3,22))&lt;&gt;""),Aveia!$E60:INDEX(Aveia!$E60:$Z60,MIN(AY$6-$E$3,22))),0))-IF($G$2,0,IF((AY$6-$G$3)&lt;1,0,IFERROR(LOOKUP(2,1/(Aveia!$E60:INDEX(Aveia!$E60:$Z60,MIN(AY$6-$G$3,22))&lt;&gt;""),Aveia!$E60:INDEX(Aveia!$E60:$Z60,MIN(AY$6-$G$3,22))),0)))))</f>
        <v>0</v>
      </c>
      <c r="AZ62" s="27" t="n">
        <f aca="false">IF(COUNT(Aveia!$E60:$Z60)=0,0,MAX(0,IF((AZ$6-$E$3)&lt;1,0,IFERROR(LOOKUP(2,1/(Aveia!$E60:INDEX(Aveia!$E60:$Z60,MIN(AZ$6-$E$3,22))&lt;&gt;""),Aveia!$E60:INDEX(Aveia!$E60:$Z60,MIN(AZ$6-$E$3,22))),0))-IF($G$2,0,IF((AZ$6-$G$3)&lt;1,0,IFERROR(LOOKUP(2,1/(Aveia!$E60:INDEX(Aveia!$E60:$Z60,MIN(AZ$6-$G$3,22))&lt;&gt;""),Aveia!$E60:INDEX(Aveia!$E60:$Z60,MIN(AZ$6-$G$3,22))),0)))))</f>
        <v>0</v>
      </c>
    </row>
    <row r="63" customFormat="false" ht="15" hidden="false" customHeight="false" outlineLevel="0" collapsed="false">
      <c r="A63" s="3" t="s">
        <v>245</v>
      </c>
      <c r="B63" s="3" t="s">
        <v>246</v>
      </c>
      <c r="C63" s="10" t="s">
        <v>140</v>
      </c>
      <c r="D63" s="26" t="n">
        <f aca="false">IF(COUNT(Aveia!$E61:$Z61)&gt;0,N(Aveia!$D61),0)</f>
        <v>0</v>
      </c>
      <c r="E63" s="27" t="n">
        <f aca="false">IF(COUNT(Aveia!$E61:$Z61)=0,0,MAX(0,IF((E$6-$E$3)&lt;1,0,IFERROR(LOOKUP(2,1/(Aveia!$E61:INDEX(Aveia!$E61:$Z61,MIN(E$6-$E$3,22))&lt;&gt;""),Aveia!$E61:INDEX(Aveia!$E61:$Z61,MIN(E$6-$E$3,22))),0))-IF($G$2,0,IF((E$6-$G$3)&lt;1,0,IFERROR(LOOKUP(2,1/(Aveia!$E61:INDEX(Aveia!$E61:$Z61,MIN(E$6-$G$3,22))&lt;&gt;""),Aveia!$E61:INDEX(Aveia!$E61:$Z61,MIN(E$6-$G$3,22))),0)))))</f>
        <v>0</v>
      </c>
      <c r="F63" s="27" t="n">
        <f aca="false">IF(COUNT(Aveia!$E61:$Z61)=0,0,MAX(0,IF((F$6-$E$3)&lt;1,0,IFERROR(LOOKUP(2,1/(Aveia!$E61:INDEX(Aveia!$E61:$Z61,MIN(F$6-$E$3,22))&lt;&gt;""),Aveia!$E61:INDEX(Aveia!$E61:$Z61,MIN(F$6-$E$3,22))),0))-IF($G$2,0,IF((F$6-$G$3)&lt;1,0,IFERROR(LOOKUP(2,1/(Aveia!$E61:INDEX(Aveia!$E61:$Z61,MIN(F$6-$G$3,22))&lt;&gt;""),Aveia!$E61:INDEX(Aveia!$E61:$Z61,MIN(F$6-$G$3,22))),0)))))</f>
        <v>0</v>
      </c>
      <c r="G63" s="27" t="n">
        <f aca="false">IF(COUNT(Aveia!$E61:$Z61)=0,0,MAX(0,IF((G$6-$E$3)&lt;1,0,IFERROR(LOOKUP(2,1/(Aveia!$E61:INDEX(Aveia!$E61:$Z61,MIN(G$6-$E$3,22))&lt;&gt;""),Aveia!$E61:INDEX(Aveia!$E61:$Z61,MIN(G$6-$E$3,22))),0))-IF($G$2,0,IF((G$6-$G$3)&lt;1,0,IFERROR(LOOKUP(2,1/(Aveia!$E61:INDEX(Aveia!$E61:$Z61,MIN(G$6-$G$3,22))&lt;&gt;""),Aveia!$E61:INDEX(Aveia!$E61:$Z61,MIN(G$6-$G$3,22))),0)))))</f>
        <v>0</v>
      </c>
      <c r="H63" s="27" t="n">
        <f aca="false">IF(COUNT(Aveia!$E61:$Z61)=0,0,MAX(0,IF((H$6-$E$3)&lt;1,0,IFERROR(LOOKUP(2,1/(Aveia!$E61:INDEX(Aveia!$E61:$Z61,MIN(H$6-$E$3,22))&lt;&gt;""),Aveia!$E61:INDEX(Aveia!$E61:$Z61,MIN(H$6-$E$3,22))),0))-IF($G$2,0,IF((H$6-$G$3)&lt;1,0,IFERROR(LOOKUP(2,1/(Aveia!$E61:INDEX(Aveia!$E61:$Z61,MIN(H$6-$G$3,22))&lt;&gt;""),Aveia!$E61:INDEX(Aveia!$E61:$Z61,MIN(H$6-$G$3,22))),0)))))</f>
        <v>0</v>
      </c>
      <c r="I63" s="27" t="n">
        <f aca="false">IF(COUNT(Aveia!$E61:$Z61)=0,0,MAX(0,IF((I$6-$E$3)&lt;1,0,IFERROR(LOOKUP(2,1/(Aveia!$E61:INDEX(Aveia!$E61:$Z61,MIN(I$6-$E$3,22))&lt;&gt;""),Aveia!$E61:INDEX(Aveia!$E61:$Z61,MIN(I$6-$E$3,22))),0))-IF($G$2,0,IF((I$6-$G$3)&lt;1,0,IFERROR(LOOKUP(2,1/(Aveia!$E61:INDEX(Aveia!$E61:$Z61,MIN(I$6-$G$3,22))&lt;&gt;""),Aveia!$E61:INDEX(Aveia!$E61:$Z61,MIN(I$6-$G$3,22))),0)))))</f>
        <v>0</v>
      </c>
      <c r="J63" s="27" t="n">
        <f aca="false">IF(COUNT(Aveia!$E61:$Z61)=0,0,MAX(0,IF((J$6-$E$3)&lt;1,0,IFERROR(LOOKUP(2,1/(Aveia!$E61:INDEX(Aveia!$E61:$Z61,MIN(J$6-$E$3,22))&lt;&gt;""),Aveia!$E61:INDEX(Aveia!$E61:$Z61,MIN(J$6-$E$3,22))),0))-IF($G$2,0,IF((J$6-$G$3)&lt;1,0,IFERROR(LOOKUP(2,1/(Aveia!$E61:INDEX(Aveia!$E61:$Z61,MIN(J$6-$G$3,22))&lt;&gt;""),Aveia!$E61:INDEX(Aveia!$E61:$Z61,MIN(J$6-$G$3,22))),0)))))</f>
        <v>0</v>
      </c>
      <c r="K63" s="27" t="n">
        <f aca="false">IF(COUNT(Aveia!$E61:$Z61)=0,0,MAX(0,IF((K$6-$E$3)&lt;1,0,IFERROR(LOOKUP(2,1/(Aveia!$E61:INDEX(Aveia!$E61:$Z61,MIN(K$6-$E$3,22))&lt;&gt;""),Aveia!$E61:INDEX(Aveia!$E61:$Z61,MIN(K$6-$E$3,22))),0))-IF($G$2,0,IF((K$6-$G$3)&lt;1,0,IFERROR(LOOKUP(2,1/(Aveia!$E61:INDEX(Aveia!$E61:$Z61,MIN(K$6-$G$3,22))&lt;&gt;""),Aveia!$E61:INDEX(Aveia!$E61:$Z61,MIN(K$6-$G$3,22))),0)))))</f>
        <v>0</v>
      </c>
      <c r="L63" s="27" t="n">
        <f aca="false">IF(COUNT(Aveia!$E61:$Z61)=0,0,MAX(0,IF((L$6-$E$3)&lt;1,0,IFERROR(LOOKUP(2,1/(Aveia!$E61:INDEX(Aveia!$E61:$Z61,MIN(L$6-$E$3,22))&lt;&gt;""),Aveia!$E61:INDEX(Aveia!$E61:$Z61,MIN(L$6-$E$3,22))),0))-IF($G$2,0,IF((L$6-$G$3)&lt;1,0,IFERROR(LOOKUP(2,1/(Aveia!$E61:INDEX(Aveia!$E61:$Z61,MIN(L$6-$G$3,22))&lt;&gt;""),Aveia!$E61:INDEX(Aveia!$E61:$Z61,MIN(L$6-$G$3,22))),0)))))</f>
        <v>0</v>
      </c>
      <c r="M63" s="27" t="n">
        <f aca="false">IF(COUNT(Aveia!$E61:$Z61)=0,0,MAX(0,IF((M$6-$E$3)&lt;1,0,IFERROR(LOOKUP(2,1/(Aveia!$E61:INDEX(Aveia!$E61:$Z61,MIN(M$6-$E$3,22))&lt;&gt;""),Aveia!$E61:INDEX(Aveia!$E61:$Z61,MIN(M$6-$E$3,22))),0))-IF($G$2,0,IF((M$6-$G$3)&lt;1,0,IFERROR(LOOKUP(2,1/(Aveia!$E61:INDEX(Aveia!$E61:$Z61,MIN(M$6-$G$3,22))&lt;&gt;""),Aveia!$E61:INDEX(Aveia!$E61:$Z61,MIN(M$6-$G$3,22))),0)))))</f>
        <v>0</v>
      </c>
      <c r="N63" s="27" t="n">
        <f aca="false">IF(COUNT(Aveia!$E61:$Z61)=0,0,MAX(0,IF((N$6-$E$3)&lt;1,0,IFERROR(LOOKUP(2,1/(Aveia!$E61:INDEX(Aveia!$E61:$Z61,MIN(N$6-$E$3,22))&lt;&gt;""),Aveia!$E61:INDEX(Aveia!$E61:$Z61,MIN(N$6-$E$3,22))),0))-IF($G$2,0,IF((N$6-$G$3)&lt;1,0,IFERROR(LOOKUP(2,1/(Aveia!$E61:INDEX(Aveia!$E61:$Z61,MIN(N$6-$G$3,22))&lt;&gt;""),Aveia!$E61:INDEX(Aveia!$E61:$Z61,MIN(N$6-$G$3,22))),0)))))</f>
        <v>0</v>
      </c>
      <c r="O63" s="27" t="n">
        <f aca="false">IF(COUNT(Aveia!$E61:$Z61)=0,0,MAX(0,IF((O$6-$E$3)&lt;1,0,IFERROR(LOOKUP(2,1/(Aveia!$E61:INDEX(Aveia!$E61:$Z61,MIN(O$6-$E$3,22))&lt;&gt;""),Aveia!$E61:INDEX(Aveia!$E61:$Z61,MIN(O$6-$E$3,22))),0))-IF($G$2,0,IF((O$6-$G$3)&lt;1,0,IFERROR(LOOKUP(2,1/(Aveia!$E61:INDEX(Aveia!$E61:$Z61,MIN(O$6-$G$3,22))&lt;&gt;""),Aveia!$E61:INDEX(Aveia!$E61:$Z61,MIN(O$6-$G$3,22))),0)))))</f>
        <v>0</v>
      </c>
      <c r="P63" s="27" t="n">
        <f aca="false">IF(COUNT(Aveia!$E61:$Z61)=0,0,MAX(0,IF((P$6-$E$3)&lt;1,0,IFERROR(LOOKUP(2,1/(Aveia!$E61:INDEX(Aveia!$E61:$Z61,MIN(P$6-$E$3,22))&lt;&gt;""),Aveia!$E61:INDEX(Aveia!$E61:$Z61,MIN(P$6-$E$3,22))),0))-IF($G$2,0,IF((P$6-$G$3)&lt;1,0,IFERROR(LOOKUP(2,1/(Aveia!$E61:INDEX(Aveia!$E61:$Z61,MIN(P$6-$G$3,22))&lt;&gt;""),Aveia!$E61:INDEX(Aveia!$E61:$Z61,MIN(P$6-$G$3,22))),0)))))</f>
        <v>0</v>
      </c>
      <c r="Q63" s="27" t="n">
        <f aca="false">IF(COUNT(Aveia!$E61:$Z61)=0,0,MAX(0,IF((Q$6-$E$3)&lt;1,0,IFERROR(LOOKUP(2,1/(Aveia!$E61:INDEX(Aveia!$E61:$Z61,MIN(Q$6-$E$3,22))&lt;&gt;""),Aveia!$E61:INDEX(Aveia!$E61:$Z61,MIN(Q$6-$E$3,22))),0))-IF($G$2,0,IF((Q$6-$G$3)&lt;1,0,IFERROR(LOOKUP(2,1/(Aveia!$E61:INDEX(Aveia!$E61:$Z61,MIN(Q$6-$G$3,22))&lt;&gt;""),Aveia!$E61:INDEX(Aveia!$E61:$Z61,MIN(Q$6-$G$3,22))),0)))))</f>
        <v>0</v>
      </c>
      <c r="R63" s="27" t="n">
        <f aca="false">IF(COUNT(Aveia!$E61:$Z61)=0,0,MAX(0,IF((R$6-$E$3)&lt;1,0,IFERROR(LOOKUP(2,1/(Aveia!$E61:INDEX(Aveia!$E61:$Z61,MIN(R$6-$E$3,22))&lt;&gt;""),Aveia!$E61:INDEX(Aveia!$E61:$Z61,MIN(R$6-$E$3,22))),0))-IF($G$2,0,IF((R$6-$G$3)&lt;1,0,IFERROR(LOOKUP(2,1/(Aveia!$E61:INDEX(Aveia!$E61:$Z61,MIN(R$6-$G$3,22))&lt;&gt;""),Aveia!$E61:INDEX(Aveia!$E61:$Z61,MIN(R$6-$G$3,22))),0)))))</f>
        <v>0</v>
      </c>
      <c r="S63" s="27" t="n">
        <f aca="false">IF(COUNT(Aveia!$E61:$Z61)=0,0,MAX(0,IF((S$6-$E$3)&lt;1,0,IFERROR(LOOKUP(2,1/(Aveia!$E61:INDEX(Aveia!$E61:$Z61,MIN(S$6-$E$3,22))&lt;&gt;""),Aveia!$E61:INDEX(Aveia!$E61:$Z61,MIN(S$6-$E$3,22))),0))-IF($G$2,0,IF((S$6-$G$3)&lt;1,0,IFERROR(LOOKUP(2,1/(Aveia!$E61:INDEX(Aveia!$E61:$Z61,MIN(S$6-$G$3,22))&lt;&gt;""),Aveia!$E61:INDEX(Aveia!$E61:$Z61,MIN(S$6-$G$3,22))),0)))))</f>
        <v>0</v>
      </c>
      <c r="T63" s="27" t="n">
        <f aca="false">IF(COUNT(Aveia!$E61:$Z61)=0,0,MAX(0,IF((T$6-$E$3)&lt;1,0,IFERROR(LOOKUP(2,1/(Aveia!$E61:INDEX(Aveia!$E61:$Z61,MIN(T$6-$E$3,22))&lt;&gt;""),Aveia!$E61:INDEX(Aveia!$E61:$Z61,MIN(T$6-$E$3,22))),0))-IF($G$2,0,IF((T$6-$G$3)&lt;1,0,IFERROR(LOOKUP(2,1/(Aveia!$E61:INDEX(Aveia!$E61:$Z61,MIN(T$6-$G$3,22))&lt;&gt;""),Aveia!$E61:INDEX(Aveia!$E61:$Z61,MIN(T$6-$G$3,22))),0)))))</f>
        <v>0</v>
      </c>
      <c r="U63" s="27" t="n">
        <f aca="false">IF(COUNT(Aveia!$E61:$Z61)=0,0,MAX(0,IF((U$6-$E$3)&lt;1,0,IFERROR(LOOKUP(2,1/(Aveia!$E61:INDEX(Aveia!$E61:$Z61,MIN(U$6-$E$3,22))&lt;&gt;""),Aveia!$E61:INDEX(Aveia!$E61:$Z61,MIN(U$6-$E$3,22))),0))-IF($G$2,0,IF((U$6-$G$3)&lt;1,0,IFERROR(LOOKUP(2,1/(Aveia!$E61:INDEX(Aveia!$E61:$Z61,MIN(U$6-$G$3,22))&lt;&gt;""),Aveia!$E61:INDEX(Aveia!$E61:$Z61,MIN(U$6-$G$3,22))),0)))))</f>
        <v>0</v>
      </c>
      <c r="V63" s="27" t="n">
        <f aca="false">IF(COUNT(Aveia!$E61:$Z61)=0,0,MAX(0,IF((V$6-$E$3)&lt;1,0,IFERROR(LOOKUP(2,1/(Aveia!$E61:INDEX(Aveia!$E61:$Z61,MIN(V$6-$E$3,22))&lt;&gt;""),Aveia!$E61:INDEX(Aveia!$E61:$Z61,MIN(V$6-$E$3,22))),0))-IF($G$2,0,IF((V$6-$G$3)&lt;1,0,IFERROR(LOOKUP(2,1/(Aveia!$E61:INDEX(Aveia!$E61:$Z61,MIN(V$6-$G$3,22))&lt;&gt;""),Aveia!$E61:INDEX(Aveia!$E61:$Z61,MIN(V$6-$G$3,22))),0)))))</f>
        <v>0</v>
      </c>
      <c r="W63" s="27" t="n">
        <f aca="false">IF(COUNT(Aveia!$E61:$Z61)=0,0,MAX(0,IF((W$6-$E$3)&lt;1,0,IFERROR(LOOKUP(2,1/(Aveia!$E61:INDEX(Aveia!$E61:$Z61,MIN(W$6-$E$3,22))&lt;&gt;""),Aveia!$E61:INDEX(Aveia!$E61:$Z61,MIN(W$6-$E$3,22))),0))-IF($G$2,0,IF((W$6-$G$3)&lt;1,0,IFERROR(LOOKUP(2,1/(Aveia!$E61:INDEX(Aveia!$E61:$Z61,MIN(W$6-$G$3,22))&lt;&gt;""),Aveia!$E61:INDEX(Aveia!$E61:$Z61,MIN(W$6-$G$3,22))),0)))))</f>
        <v>0</v>
      </c>
      <c r="X63" s="27" t="n">
        <f aca="false">IF(COUNT(Aveia!$E61:$Z61)=0,0,MAX(0,IF((X$6-$E$3)&lt;1,0,IFERROR(LOOKUP(2,1/(Aveia!$E61:INDEX(Aveia!$E61:$Z61,MIN(X$6-$E$3,22))&lt;&gt;""),Aveia!$E61:INDEX(Aveia!$E61:$Z61,MIN(X$6-$E$3,22))),0))-IF($G$2,0,IF((X$6-$G$3)&lt;1,0,IFERROR(LOOKUP(2,1/(Aveia!$E61:INDEX(Aveia!$E61:$Z61,MIN(X$6-$G$3,22))&lt;&gt;""),Aveia!$E61:INDEX(Aveia!$E61:$Z61,MIN(X$6-$G$3,22))),0)))))</f>
        <v>0</v>
      </c>
      <c r="Y63" s="27" t="n">
        <f aca="false">IF(COUNT(Aveia!$E61:$Z61)=0,0,MAX(0,IF((Y$6-$E$3)&lt;1,0,IFERROR(LOOKUP(2,1/(Aveia!$E61:INDEX(Aveia!$E61:$Z61,MIN(Y$6-$E$3,22))&lt;&gt;""),Aveia!$E61:INDEX(Aveia!$E61:$Z61,MIN(Y$6-$E$3,22))),0))-IF($G$2,0,IF((Y$6-$G$3)&lt;1,0,IFERROR(LOOKUP(2,1/(Aveia!$E61:INDEX(Aveia!$E61:$Z61,MIN(Y$6-$G$3,22))&lt;&gt;""),Aveia!$E61:INDEX(Aveia!$E61:$Z61,MIN(Y$6-$G$3,22))),0)))))</f>
        <v>0</v>
      </c>
      <c r="Z63" s="27" t="n">
        <f aca="false">IF(COUNT(Aveia!$E61:$Z61)=0,0,MAX(0,IF((Z$6-$E$3)&lt;1,0,IFERROR(LOOKUP(2,1/(Aveia!$E61:INDEX(Aveia!$E61:$Z61,MIN(Z$6-$E$3,22))&lt;&gt;""),Aveia!$E61:INDEX(Aveia!$E61:$Z61,MIN(Z$6-$E$3,22))),0))-IF($G$2,0,IF((Z$6-$G$3)&lt;1,0,IFERROR(LOOKUP(2,1/(Aveia!$E61:INDEX(Aveia!$E61:$Z61,MIN(Z$6-$G$3,22))&lt;&gt;""),Aveia!$E61:INDEX(Aveia!$E61:$Z61,MIN(Z$6-$G$3,22))),0)))))</f>
        <v>0</v>
      </c>
      <c r="AA63" s="27" t="n">
        <f aca="false">IF(COUNT(Aveia!$E61:$Z61)=0,0,MAX(0,IF((AA$6-$E$3)&lt;1,0,IFERROR(LOOKUP(2,1/(Aveia!$E61:INDEX(Aveia!$E61:$Z61,MIN(AA$6-$E$3,22))&lt;&gt;""),Aveia!$E61:INDEX(Aveia!$E61:$Z61,MIN(AA$6-$E$3,22))),0))-IF($G$2,0,IF((AA$6-$G$3)&lt;1,0,IFERROR(LOOKUP(2,1/(Aveia!$E61:INDEX(Aveia!$E61:$Z61,MIN(AA$6-$G$3,22))&lt;&gt;""),Aveia!$E61:INDEX(Aveia!$E61:$Z61,MIN(AA$6-$G$3,22))),0)))))</f>
        <v>0</v>
      </c>
      <c r="AB63" s="27" t="n">
        <f aca="false">IF(COUNT(Aveia!$E61:$Z61)=0,0,MAX(0,IF((AB$6-$E$3)&lt;1,0,IFERROR(LOOKUP(2,1/(Aveia!$E61:INDEX(Aveia!$E61:$Z61,MIN(AB$6-$E$3,22))&lt;&gt;""),Aveia!$E61:INDEX(Aveia!$E61:$Z61,MIN(AB$6-$E$3,22))),0))-IF($G$2,0,IF((AB$6-$G$3)&lt;1,0,IFERROR(LOOKUP(2,1/(Aveia!$E61:INDEX(Aveia!$E61:$Z61,MIN(AB$6-$G$3,22))&lt;&gt;""),Aveia!$E61:INDEX(Aveia!$E61:$Z61,MIN(AB$6-$G$3,22))),0)))))</f>
        <v>0</v>
      </c>
      <c r="AC63" s="27" t="n">
        <f aca="false">IF(COUNT(Aveia!$E61:$Z61)=0,0,MAX(0,IF((AC$6-$E$3)&lt;1,0,IFERROR(LOOKUP(2,1/(Aveia!$E61:INDEX(Aveia!$E61:$Z61,MIN(AC$6-$E$3,22))&lt;&gt;""),Aveia!$E61:INDEX(Aveia!$E61:$Z61,MIN(AC$6-$E$3,22))),0))-IF($G$2,0,IF((AC$6-$G$3)&lt;1,0,IFERROR(LOOKUP(2,1/(Aveia!$E61:INDEX(Aveia!$E61:$Z61,MIN(AC$6-$G$3,22))&lt;&gt;""),Aveia!$E61:INDEX(Aveia!$E61:$Z61,MIN(AC$6-$G$3,22))),0)))))</f>
        <v>0</v>
      </c>
      <c r="AD63" s="27" t="n">
        <f aca="false">IF(COUNT(Aveia!$E61:$Z61)=0,0,MAX(0,IF((AD$6-$E$3)&lt;1,0,IFERROR(LOOKUP(2,1/(Aveia!$E61:INDEX(Aveia!$E61:$Z61,MIN(AD$6-$E$3,22))&lt;&gt;""),Aveia!$E61:INDEX(Aveia!$E61:$Z61,MIN(AD$6-$E$3,22))),0))-IF($G$2,0,IF((AD$6-$G$3)&lt;1,0,IFERROR(LOOKUP(2,1/(Aveia!$E61:INDEX(Aveia!$E61:$Z61,MIN(AD$6-$G$3,22))&lt;&gt;""),Aveia!$E61:INDEX(Aveia!$E61:$Z61,MIN(AD$6-$G$3,22))),0)))))</f>
        <v>0</v>
      </c>
      <c r="AE63" s="27" t="n">
        <f aca="false">IF(COUNT(Aveia!$E61:$Z61)=0,0,MAX(0,IF((AE$6-$E$3)&lt;1,0,IFERROR(LOOKUP(2,1/(Aveia!$E61:INDEX(Aveia!$E61:$Z61,MIN(AE$6-$E$3,22))&lt;&gt;""),Aveia!$E61:INDEX(Aveia!$E61:$Z61,MIN(AE$6-$E$3,22))),0))-IF($G$2,0,IF((AE$6-$G$3)&lt;1,0,IFERROR(LOOKUP(2,1/(Aveia!$E61:INDEX(Aveia!$E61:$Z61,MIN(AE$6-$G$3,22))&lt;&gt;""),Aveia!$E61:INDEX(Aveia!$E61:$Z61,MIN(AE$6-$G$3,22))),0)))))</f>
        <v>0</v>
      </c>
      <c r="AF63" s="27" t="n">
        <f aca="false">IF(COUNT(Aveia!$E61:$Z61)=0,0,MAX(0,IF((AF$6-$E$3)&lt;1,0,IFERROR(LOOKUP(2,1/(Aveia!$E61:INDEX(Aveia!$E61:$Z61,MIN(AF$6-$E$3,22))&lt;&gt;""),Aveia!$E61:INDEX(Aveia!$E61:$Z61,MIN(AF$6-$E$3,22))),0))-IF($G$2,0,IF((AF$6-$G$3)&lt;1,0,IFERROR(LOOKUP(2,1/(Aveia!$E61:INDEX(Aveia!$E61:$Z61,MIN(AF$6-$G$3,22))&lt;&gt;""),Aveia!$E61:INDEX(Aveia!$E61:$Z61,MIN(AF$6-$G$3,22))),0)))))</f>
        <v>0</v>
      </c>
      <c r="AG63" s="27" t="n">
        <f aca="false">IF(COUNT(Aveia!$E61:$Z61)=0,0,MAX(0,IF((AG$6-$E$3)&lt;1,0,IFERROR(LOOKUP(2,1/(Aveia!$E61:INDEX(Aveia!$E61:$Z61,MIN(AG$6-$E$3,22))&lt;&gt;""),Aveia!$E61:INDEX(Aveia!$E61:$Z61,MIN(AG$6-$E$3,22))),0))-IF($G$2,0,IF((AG$6-$G$3)&lt;1,0,IFERROR(LOOKUP(2,1/(Aveia!$E61:INDEX(Aveia!$E61:$Z61,MIN(AG$6-$G$3,22))&lt;&gt;""),Aveia!$E61:INDEX(Aveia!$E61:$Z61,MIN(AG$6-$G$3,22))),0)))))</f>
        <v>0</v>
      </c>
      <c r="AH63" s="27" t="n">
        <f aca="false">IF(COUNT(Aveia!$E61:$Z61)=0,0,MAX(0,IF((AH$6-$E$3)&lt;1,0,IFERROR(LOOKUP(2,1/(Aveia!$E61:INDEX(Aveia!$E61:$Z61,MIN(AH$6-$E$3,22))&lt;&gt;""),Aveia!$E61:INDEX(Aveia!$E61:$Z61,MIN(AH$6-$E$3,22))),0))-IF($G$2,0,IF((AH$6-$G$3)&lt;1,0,IFERROR(LOOKUP(2,1/(Aveia!$E61:INDEX(Aveia!$E61:$Z61,MIN(AH$6-$G$3,22))&lt;&gt;""),Aveia!$E61:INDEX(Aveia!$E61:$Z61,MIN(AH$6-$G$3,22))),0)))))</f>
        <v>0</v>
      </c>
      <c r="AI63" s="27" t="n">
        <f aca="false">IF(COUNT(Aveia!$E61:$Z61)=0,0,MAX(0,IF((AI$6-$E$3)&lt;1,0,IFERROR(LOOKUP(2,1/(Aveia!$E61:INDEX(Aveia!$E61:$Z61,MIN(AI$6-$E$3,22))&lt;&gt;""),Aveia!$E61:INDEX(Aveia!$E61:$Z61,MIN(AI$6-$E$3,22))),0))-IF($G$2,0,IF((AI$6-$G$3)&lt;1,0,IFERROR(LOOKUP(2,1/(Aveia!$E61:INDEX(Aveia!$E61:$Z61,MIN(AI$6-$G$3,22))&lt;&gt;""),Aveia!$E61:INDEX(Aveia!$E61:$Z61,MIN(AI$6-$G$3,22))),0)))))</f>
        <v>0</v>
      </c>
      <c r="AJ63" s="27" t="n">
        <f aca="false">IF(COUNT(Aveia!$E61:$Z61)=0,0,MAX(0,IF((AJ$6-$E$3)&lt;1,0,IFERROR(LOOKUP(2,1/(Aveia!$E61:INDEX(Aveia!$E61:$Z61,MIN(AJ$6-$E$3,22))&lt;&gt;""),Aveia!$E61:INDEX(Aveia!$E61:$Z61,MIN(AJ$6-$E$3,22))),0))-IF($G$2,0,IF((AJ$6-$G$3)&lt;1,0,IFERROR(LOOKUP(2,1/(Aveia!$E61:INDEX(Aveia!$E61:$Z61,MIN(AJ$6-$G$3,22))&lt;&gt;""),Aveia!$E61:INDEX(Aveia!$E61:$Z61,MIN(AJ$6-$G$3,22))),0)))))</f>
        <v>0</v>
      </c>
      <c r="AK63" s="27" t="n">
        <f aca="false">IF(COUNT(Aveia!$E61:$Z61)=0,0,MAX(0,IF((AK$6-$E$3)&lt;1,0,IFERROR(LOOKUP(2,1/(Aveia!$E61:INDEX(Aveia!$E61:$Z61,MIN(AK$6-$E$3,22))&lt;&gt;""),Aveia!$E61:INDEX(Aveia!$E61:$Z61,MIN(AK$6-$E$3,22))),0))-IF($G$2,0,IF((AK$6-$G$3)&lt;1,0,IFERROR(LOOKUP(2,1/(Aveia!$E61:INDEX(Aveia!$E61:$Z61,MIN(AK$6-$G$3,22))&lt;&gt;""),Aveia!$E61:INDEX(Aveia!$E61:$Z61,MIN(AK$6-$G$3,22))),0)))))</f>
        <v>0</v>
      </c>
      <c r="AL63" s="27" t="n">
        <f aca="false">IF(COUNT(Aveia!$E61:$Z61)=0,0,MAX(0,IF((AL$6-$E$3)&lt;1,0,IFERROR(LOOKUP(2,1/(Aveia!$E61:INDEX(Aveia!$E61:$Z61,MIN(AL$6-$E$3,22))&lt;&gt;""),Aveia!$E61:INDEX(Aveia!$E61:$Z61,MIN(AL$6-$E$3,22))),0))-IF($G$2,0,IF((AL$6-$G$3)&lt;1,0,IFERROR(LOOKUP(2,1/(Aveia!$E61:INDEX(Aveia!$E61:$Z61,MIN(AL$6-$G$3,22))&lt;&gt;""),Aveia!$E61:INDEX(Aveia!$E61:$Z61,MIN(AL$6-$G$3,22))),0)))))</f>
        <v>0</v>
      </c>
      <c r="AM63" s="27" t="n">
        <f aca="false">IF(COUNT(Aveia!$E61:$Z61)=0,0,MAX(0,IF((AM$6-$E$3)&lt;1,0,IFERROR(LOOKUP(2,1/(Aveia!$E61:INDEX(Aveia!$E61:$Z61,MIN(AM$6-$E$3,22))&lt;&gt;""),Aveia!$E61:INDEX(Aveia!$E61:$Z61,MIN(AM$6-$E$3,22))),0))-IF($G$2,0,IF((AM$6-$G$3)&lt;1,0,IFERROR(LOOKUP(2,1/(Aveia!$E61:INDEX(Aveia!$E61:$Z61,MIN(AM$6-$G$3,22))&lt;&gt;""),Aveia!$E61:INDEX(Aveia!$E61:$Z61,MIN(AM$6-$G$3,22))),0)))))</f>
        <v>0</v>
      </c>
      <c r="AN63" s="27" t="n">
        <f aca="false">IF(COUNT(Aveia!$E61:$Z61)=0,0,MAX(0,IF((AN$6-$E$3)&lt;1,0,IFERROR(LOOKUP(2,1/(Aveia!$E61:INDEX(Aveia!$E61:$Z61,MIN(AN$6-$E$3,22))&lt;&gt;""),Aveia!$E61:INDEX(Aveia!$E61:$Z61,MIN(AN$6-$E$3,22))),0))-IF($G$2,0,IF((AN$6-$G$3)&lt;1,0,IFERROR(LOOKUP(2,1/(Aveia!$E61:INDEX(Aveia!$E61:$Z61,MIN(AN$6-$G$3,22))&lt;&gt;""),Aveia!$E61:INDEX(Aveia!$E61:$Z61,MIN(AN$6-$G$3,22))),0)))))</f>
        <v>0</v>
      </c>
      <c r="AO63" s="27" t="n">
        <f aca="false">IF(COUNT(Aveia!$E61:$Z61)=0,0,MAX(0,IF((AO$6-$E$3)&lt;1,0,IFERROR(LOOKUP(2,1/(Aveia!$E61:INDEX(Aveia!$E61:$Z61,MIN(AO$6-$E$3,22))&lt;&gt;""),Aveia!$E61:INDEX(Aveia!$E61:$Z61,MIN(AO$6-$E$3,22))),0))-IF($G$2,0,IF((AO$6-$G$3)&lt;1,0,IFERROR(LOOKUP(2,1/(Aveia!$E61:INDEX(Aveia!$E61:$Z61,MIN(AO$6-$G$3,22))&lt;&gt;""),Aveia!$E61:INDEX(Aveia!$E61:$Z61,MIN(AO$6-$G$3,22))),0)))))</f>
        <v>0</v>
      </c>
      <c r="AP63" s="27" t="n">
        <f aca="false">IF(COUNT(Aveia!$E61:$Z61)=0,0,MAX(0,IF((AP$6-$E$3)&lt;1,0,IFERROR(LOOKUP(2,1/(Aveia!$E61:INDEX(Aveia!$E61:$Z61,MIN(AP$6-$E$3,22))&lt;&gt;""),Aveia!$E61:INDEX(Aveia!$E61:$Z61,MIN(AP$6-$E$3,22))),0))-IF($G$2,0,IF((AP$6-$G$3)&lt;1,0,IFERROR(LOOKUP(2,1/(Aveia!$E61:INDEX(Aveia!$E61:$Z61,MIN(AP$6-$G$3,22))&lt;&gt;""),Aveia!$E61:INDEX(Aveia!$E61:$Z61,MIN(AP$6-$G$3,22))),0)))))</f>
        <v>0</v>
      </c>
      <c r="AQ63" s="27" t="n">
        <f aca="false">IF(COUNT(Aveia!$E61:$Z61)=0,0,MAX(0,IF((AQ$6-$E$3)&lt;1,0,IFERROR(LOOKUP(2,1/(Aveia!$E61:INDEX(Aveia!$E61:$Z61,MIN(AQ$6-$E$3,22))&lt;&gt;""),Aveia!$E61:INDEX(Aveia!$E61:$Z61,MIN(AQ$6-$E$3,22))),0))-IF($G$2,0,IF((AQ$6-$G$3)&lt;1,0,IFERROR(LOOKUP(2,1/(Aveia!$E61:INDEX(Aveia!$E61:$Z61,MIN(AQ$6-$G$3,22))&lt;&gt;""),Aveia!$E61:INDEX(Aveia!$E61:$Z61,MIN(AQ$6-$G$3,22))),0)))))</f>
        <v>0</v>
      </c>
      <c r="AR63" s="27" t="n">
        <f aca="false">IF(COUNT(Aveia!$E61:$Z61)=0,0,MAX(0,IF((AR$6-$E$3)&lt;1,0,IFERROR(LOOKUP(2,1/(Aveia!$E61:INDEX(Aveia!$E61:$Z61,MIN(AR$6-$E$3,22))&lt;&gt;""),Aveia!$E61:INDEX(Aveia!$E61:$Z61,MIN(AR$6-$E$3,22))),0))-IF($G$2,0,IF((AR$6-$G$3)&lt;1,0,IFERROR(LOOKUP(2,1/(Aveia!$E61:INDEX(Aveia!$E61:$Z61,MIN(AR$6-$G$3,22))&lt;&gt;""),Aveia!$E61:INDEX(Aveia!$E61:$Z61,MIN(AR$6-$G$3,22))),0)))))</f>
        <v>0</v>
      </c>
      <c r="AS63" s="27" t="n">
        <f aca="false">IF(COUNT(Aveia!$E61:$Z61)=0,0,MAX(0,IF((AS$6-$E$3)&lt;1,0,IFERROR(LOOKUP(2,1/(Aveia!$E61:INDEX(Aveia!$E61:$Z61,MIN(AS$6-$E$3,22))&lt;&gt;""),Aveia!$E61:INDEX(Aveia!$E61:$Z61,MIN(AS$6-$E$3,22))),0))-IF($G$2,0,IF((AS$6-$G$3)&lt;1,0,IFERROR(LOOKUP(2,1/(Aveia!$E61:INDEX(Aveia!$E61:$Z61,MIN(AS$6-$G$3,22))&lt;&gt;""),Aveia!$E61:INDEX(Aveia!$E61:$Z61,MIN(AS$6-$G$3,22))),0)))))</f>
        <v>0</v>
      </c>
      <c r="AT63" s="27" t="n">
        <f aca="false">IF(COUNT(Aveia!$E61:$Z61)=0,0,MAX(0,IF((AT$6-$E$3)&lt;1,0,IFERROR(LOOKUP(2,1/(Aveia!$E61:INDEX(Aveia!$E61:$Z61,MIN(AT$6-$E$3,22))&lt;&gt;""),Aveia!$E61:INDEX(Aveia!$E61:$Z61,MIN(AT$6-$E$3,22))),0))-IF($G$2,0,IF((AT$6-$G$3)&lt;1,0,IFERROR(LOOKUP(2,1/(Aveia!$E61:INDEX(Aveia!$E61:$Z61,MIN(AT$6-$G$3,22))&lt;&gt;""),Aveia!$E61:INDEX(Aveia!$E61:$Z61,MIN(AT$6-$G$3,22))),0)))))</f>
        <v>0</v>
      </c>
      <c r="AU63" s="27" t="n">
        <f aca="false">IF(COUNT(Aveia!$E61:$Z61)=0,0,MAX(0,IF((AU$6-$E$3)&lt;1,0,IFERROR(LOOKUP(2,1/(Aveia!$E61:INDEX(Aveia!$E61:$Z61,MIN(AU$6-$E$3,22))&lt;&gt;""),Aveia!$E61:INDEX(Aveia!$E61:$Z61,MIN(AU$6-$E$3,22))),0))-IF($G$2,0,IF((AU$6-$G$3)&lt;1,0,IFERROR(LOOKUP(2,1/(Aveia!$E61:INDEX(Aveia!$E61:$Z61,MIN(AU$6-$G$3,22))&lt;&gt;""),Aveia!$E61:INDEX(Aveia!$E61:$Z61,MIN(AU$6-$G$3,22))),0)))))</f>
        <v>0</v>
      </c>
      <c r="AV63" s="27" t="n">
        <f aca="false">IF(COUNT(Aveia!$E61:$Z61)=0,0,MAX(0,IF((AV$6-$E$3)&lt;1,0,IFERROR(LOOKUP(2,1/(Aveia!$E61:INDEX(Aveia!$E61:$Z61,MIN(AV$6-$E$3,22))&lt;&gt;""),Aveia!$E61:INDEX(Aveia!$E61:$Z61,MIN(AV$6-$E$3,22))),0))-IF($G$2,0,IF((AV$6-$G$3)&lt;1,0,IFERROR(LOOKUP(2,1/(Aveia!$E61:INDEX(Aveia!$E61:$Z61,MIN(AV$6-$G$3,22))&lt;&gt;""),Aveia!$E61:INDEX(Aveia!$E61:$Z61,MIN(AV$6-$G$3,22))),0)))))</f>
        <v>0</v>
      </c>
      <c r="AW63" s="27" t="n">
        <f aca="false">IF(COUNT(Aveia!$E61:$Z61)=0,0,MAX(0,IF((AW$6-$E$3)&lt;1,0,IFERROR(LOOKUP(2,1/(Aveia!$E61:INDEX(Aveia!$E61:$Z61,MIN(AW$6-$E$3,22))&lt;&gt;""),Aveia!$E61:INDEX(Aveia!$E61:$Z61,MIN(AW$6-$E$3,22))),0))-IF($G$2,0,IF((AW$6-$G$3)&lt;1,0,IFERROR(LOOKUP(2,1/(Aveia!$E61:INDEX(Aveia!$E61:$Z61,MIN(AW$6-$G$3,22))&lt;&gt;""),Aveia!$E61:INDEX(Aveia!$E61:$Z61,MIN(AW$6-$G$3,22))),0)))))</f>
        <v>0</v>
      </c>
      <c r="AX63" s="27" t="n">
        <f aca="false">IF(COUNT(Aveia!$E61:$Z61)=0,0,MAX(0,IF((AX$6-$E$3)&lt;1,0,IFERROR(LOOKUP(2,1/(Aveia!$E61:INDEX(Aveia!$E61:$Z61,MIN(AX$6-$E$3,22))&lt;&gt;""),Aveia!$E61:INDEX(Aveia!$E61:$Z61,MIN(AX$6-$E$3,22))),0))-IF($G$2,0,IF((AX$6-$G$3)&lt;1,0,IFERROR(LOOKUP(2,1/(Aveia!$E61:INDEX(Aveia!$E61:$Z61,MIN(AX$6-$G$3,22))&lt;&gt;""),Aveia!$E61:INDEX(Aveia!$E61:$Z61,MIN(AX$6-$G$3,22))),0)))))</f>
        <v>0</v>
      </c>
      <c r="AY63" s="27" t="n">
        <f aca="false">IF(COUNT(Aveia!$E61:$Z61)=0,0,MAX(0,IF((AY$6-$E$3)&lt;1,0,IFERROR(LOOKUP(2,1/(Aveia!$E61:INDEX(Aveia!$E61:$Z61,MIN(AY$6-$E$3,22))&lt;&gt;""),Aveia!$E61:INDEX(Aveia!$E61:$Z61,MIN(AY$6-$E$3,22))),0))-IF($G$2,0,IF((AY$6-$G$3)&lt;1,0,IFERROR(LOOKUP(2,1/(Aveia!$E61:INDEX(Aveia!$E61:$Z61,MIN(AY$6-$G$3,22))&lt;&gt;""),Aveia!$E61:INDEX(Aveia!$E61:$Z61,MIN(AY$6-$G$3,22))),0)))))</f>
        <v>0</v>
      </c>
      <c r="AZ63" s="27" t="n">
        <f aca="false">IF(COUNT(Aveia!$E61:$Z61)=0,0,MAX(0,IF((AZ$6-$E$3)&lt;1,0,IFERROR(LOOKUP(2,1/(Aveia!$E61:INDEX(Aveia!$E61:$Z61,MIN(AZ$6-$E$3,22))&lt;&gt;""),Aveia!$E61:INDEX(Aveia!$E61:$Z61,MIN(AZ$6-$E$3,22))),0))-IF($G$2,0,IF((AZ$6-$G$3)&lt;1,0,IFERROR(LOOKUP(2,1/(Aveia!$E61:INDEX(Aveia!$E61:$Z61,MIN(AZ$6-$G$3,22))&lt;&gt;""),Aveia!$E61:INDEX(Aveia!$E61:$Z61,MIN(AZ$6-$G$3,22))),0)))))</f>
        <v>0</v>
      </c>
    </row>
    <row r="64" customFormat="false" ht="15" hidden="false" customHeight="false" outlineLevel="0" collapsed="false">
      <c r="A64" s="3" t="s">
        <v>247</v>
      </c>
      <c r="B64" s="3" t="s">
        <v>248</v>
      </c>
      <c r="C64" s="10" t="s">
        <v>148</v>
      </c>
      <c r="D64" s="26" t="n">
        <f aca="false">IF(COUNT(Aveia!$E62:$Z62)&gt;0,N(Aveia!$D62),0)</f>
        <v>0</v>
      </c>
      <c r="E64" s="27" t="n">
        <f aca="false">IF(COUNT(Aveia!$E62:$Z62)=0,0,MAX(0,IF((E$6-$E$3)&lt;1,0,IFERROR(LOOKUP(2,1/(Aveia!$E62:INDEX(Aveia!$E62:$Z62,MIN(E$6-$E$3,22))&lt;&gt;""),Aveia!$E62:INDEX(Aveia!$E62:$Z62,MIN(E$6-$E$3,22))),0))-IF($G$2,0,IF((E$6-$G$3)&lt;1,0,IFERROR(LOOKUP(2,1/(Aveia!$E62:INDEX(Aveia!$E62:$Z62,MIN(E$6-$G$3,22))&lt;&gt;""),Aveia!$E62:INDEX(Aveia!$E62:$Z62,MIN(E$6-$G$3,22))),0)))))</f>
        <v>0</v>
      </c>
      <c r="F64" s="27" t="n">
        <f aca="false">IF(COUNT(Aveia!$E62:$Z62)=0,0,MAX(0,IF((F$6-$E$3)&lt;1,0,IFERROR(LOOKUP(2,1/(Aveia!$E62:INDEX(Aveia!$E62:$Z62,MIN(F$6-$E$3,22))&lt;&gt;""),Aveia!$E62:INDEX(Aveia!$E62:$Z62,MIN(F$6-$E$3,22))),0))-IF($G$2,0,IF((F$6-$G$3)&lt;1,0,IFERROR(LOOKUP(2,1/(Aveia!$E62:INDEX(Aveia!$E62:$Z62,MIN(F$6-$G$3,22))&lt;&gt;""),Aveia!$E62:INDEX(Aveia!$E62:$Z62,MIN(F$6-$G$3,22))),0)))))</f>
        <v>0</v>
      </c>
      <c r="G64" s="27" t="n">
        <f aca="false">IF(COUNT(Aveia!$E62:$Z62)=0,0,MAX(0,IF((G$6-$E$3)&lt;1,0,IFERROR(LOOKUP(2,1/(Aveia!$E62:INDEX(Aveia!$E62:$Z62,MIN(G$6-$E$3,22))&lt;&gt;""),Aveia!$E62:INDEX(Aveia!$E62:$Z62,MIN(G$6-$E$3,22))),0))-IF($G$2,0,IF((G$6-$G$3)&lt;1,0,IFERROR(LOOKUP(2,1/(Aveia!$E62:INDEX(Aveia!$E62:$Z62,MIN(G$6-$G$3,22))&lt;&gt;""),Aveia!$E62:INDEX(Aveia!$E62:$Z62,MIN(G$6-$G$3,22))),0)))))</f>
        <v>0</v>
      </c>
      <c r="H64" s="27" t="n">
        <f aca="false">IF(COUNT(Aveia!$E62:$Z62)=0,0,MAX(0,IF((H$6-$E$3)&lt;1,0,IFERROR(LOOKUP(2,1/(Aveia!$E62:INDEX(Aveia!$E62:$Z62,MIN(H$6-$E$3,22))&lt;&gt;""),Aveia!$E62:INDEX(Aveia!$E62:$Z62,MIN(H$6-$E$3,22))),0))-IF($G$2,0,IF((H$6-$G$3)&lt;1,0,IFERROR(LOOKUP(2,1/(Aveia!$E62:INDEX(Aveia!$E62:$Z62,MIN(H$6-$G$3,22))&lt;&gt;""),Aveia!$E62:INDEX(Aveia!$E62:$Z62,MIN(H$6-$G$3,22))),0)))))</f>
        <v>0</v>
      </c>
      <c r="I64" s="27" t="n">
        <f aca="false">IF(COUNT(Aveia!$E62:$Z62)=0,0,MAX(0,IF((I$6-$E$3)&lt;1,0,IFERROR(LOOKUP(2,1/(Aveia!$E62:INDEX(Aveia!$E62:$Z62,MIN(I$6-$E$3,22))&lt;&gt;""),Aveia!$E62:INDEX(Aveia!$E62:$Z62,MIN(I$6-$E$3,22))),0))-IF($G$2,0,IF((I$6-$G$3)&lt;1,0,IFERROR(LOOKUP(2,1/(Aveia!$E62:INDEX(Aveia!$E62:$Z62,MIN(I$6-$G$3,22))&lt;&gt;""),Aveia!$E62:INDEX(Aveia!$E62:$Z62,MIN(I$6-$G$3,22))),0)))))</f>
        <v>0</v>
      </c>
      <c r="J64" s="27" t="n">
        <f aca="false">IF(COUNT(Aveia!$E62:$Z62)=0,0,MAX(0,IF((J$6-$E$3)&lt;1,0,IFERROR(LOOKUP(2,1/(Aveia!$E62:INDEX(Aveia!$E62:$Z62,MIN(J$6-$E$3,22))&lt;&gt;""),Aveia!$E62:INDEX(Aveia!$E62:$Z62,MIN(J$6-$E$3,22))),0))-IF($G$2,0,IF((J$6-$G$3)&lt;1,0,IFERROR(LOOKUP(2,1/(Aveia!$E62:INDEX(Aveia!$E62:$Z62,MIN(J$6-$G$3,22))&lt;&gt;""),Aveia!$E62:INDEX(Aveia!$E62:$Z62,MIN(J$6-$G$3,22))),0)))))</f>
        <v>0</v>
      </c>
      <c r="K64" s="27" t="n">
        <f aca="false">IF(COUNT(Aveia!$E62:$Z62)=0,0,MAX(0,IF((K$6-$E$3)&lt;1,0,IFERROR(LOOKUP(2,1/(Aveia!$E62:INDEX(Aveia!$E62:$Z62,MIN(K$6-$E$3,22))&lt;&gt;""),Aveia!$E62:INDEX(Aveia!$E62:$Z62,MIN(K$6-$E$3,22))),0))-IF($G$2,0,IF((K$6-$G$3)&lt;1,0,IFERROR(LOOKUP(2,1/(Aveia!$E62:INDEX(Aveia!$E62:$Z62,MIN(K$6-$G$3,22))&lt;&gt;""),Aveia!$E62:INDEX(Aveia!$E62:$Z62,MIN(K$6-$G$3,22))),0)))))</f>
        <v>0</v>
      </c>
      <c r="L64" s="27" t="n">
        <f aca="false">IF(COUNT(Aveia!$E62:$Z62)=0,0,MAX(0,IF((L$6-$E$3)&lt;1,0,IFERROR(LOOKUP(2,1/(Aveia!$E62:INDEX(Aveia!$E62:$Z62,MIN(L$6-$E$3,22))&lt;&gt;""),Aveia!$E62:INDEX(Aveia!$E62:$Z62,MIN(L$6-$E$3,22))),0))-IF($G$2,0,IF((L$6-$G$3)&lt;1,0,IFERROR(LOOKUP(2,1/(Aveia!$E62:INDEX(Aveia!$E62:$Z62,MIN(L$6-$G$3,22))&lt;&gt;""),Aveia!$E62:INDEX(Aveia!$E62:$Z62,MIN(L$6-$G$3,22))),0)))))</f>
        <v>0</v>
      </c>
      <c r="M64" s="27" t="n">
        <f aca="false">IF(COUNT(Aveia!$E62:$Z62)=0,0,MAX(0,IF((M$6-$E$3)&lt;1,0,IFERROR(LOOKUP(2,1/(Aveia!$E62:INDEX(Aveia!$E62:$Z62,MIN(M$6-$E$3,22))&lt;&gt;""),Aveia!$E62:INDEX(Aveia!$E62:$Z62,MIN(M$6-$E$3,22))),0))-IF($G$2,0,IF((M$6-$G$3)&lt;1,0,IFERROR(LOOKUP(2,1/(Aveia!$E62:INDEX(Aveia!$E62:$Z62,MIN(M$6-$G$3,22))&lt;&gt;""),Aveia!$E62:INDEX(Aveia!$E62:$Z62,MIN(M$6-$G$3,22))),0)))))</f>
        <v>0</v>
      </c>
      <c r="N64" s="27" t="n">
        <f aca="false">IF(COUNT(Aveia!$E62:$Z62)=0,0,MAX(0,IF((N$6-$E$3)&lt;1,0,IFERROR(LOOKUP(2,1/(Aveia!$E62:INDEX(Aveia!$E62:$Z62,MIN(N$6-$E$3,22))&lt;&gt;""),Aveia!$E62:INDEX(Aveia!$E62:$Z62,MIN(N$6-$E$3,22))),0))-IF($G$2,0,IF((N$6-$G$3)&lt;1,0,IFERROR(LOOKUP(2,1/(Aveia!$E62:INDEX(Aveia!$E62:$Z62,MIN(N$6-$G$3,22))&lt;&gt;""),Aveia!$E62:INDEX(Aveia!$E62:$Z62,MIN(N$6-$G$3,22))),0)))))</f>
        <v>0</v>
      </c>
      <c r="O64" s="27" t="n">
        <f aca="false">IF(COUNT(Aveia!$E62:$Z62)=0,0,MAX(0,IF((O$6-$E$3)&lt;1,0,IFERROR(LOOKUP(2,1/(Aveia!$E62:INDEX(Aveia!$E62:$Z62,MIN(O$6-$E$3,22))&lt;&gt;""),Aveia!$E62:INDEX(Aveia!$E62:$Z62,MIN(O$6-$E$3,22))),0))-IF($G$2,0,IF((O$6-$G$3)&lt;1,0,IFERROR(LOOKUP(2,1/(Aveia!$E62:INDEX(Aveia!$E62:$Z62,MIN(O$6-$G$3,22))&lt;&gt;""),Aveia!$E62:INDEX(Aveia!$E62:$Z62,MIN(O$6-$G$3,22))),0)))))</f>
        <v>0</v>
      </c>
      <c r="P64" s="27" t="n">
        <f aca="false">IF(COUNT(Aveia!$E62:$Z62)=0,0,MAX(0,IF((P$6-$E$3)&lt;1,0,IFERROR(LOOKUP(2,1/(Aveia!$E62:INDEX(Aveia!$E62:$Z62,MIN(P$6-$E$3,22))&lt;&gt;""),Aveia!$E62:INDEX(Aveia!$E62:$Z62,MIN(P$6-$E$3,22))),0))-IF($G$2,0,IF((P$6-$G$3)&lt;1,0,IFERROR(LOOKUP(2,1/(Aveia!$E62:INDEX(Aveia!$E62:$Z62,MIN(P$6-$G$3,22))&lt;&gt;""),Aveia!$E62:INDEX(Aveia!$E62:$Z62,MIN(P$6-$G$3,22))),0)))))</f>
        <v>0</v>
      </c>
      <c r="Q64" s="27" t="n">
        <f aca="false">IF(COUNT(Aveia!$E62:$Z62)=0,0,MAX(0,IF((Q$6-$E$3)&lt;1,0,IFERROR(LOOKUP(2,1/(Aveia!$E62:INDEX(Aveia!$E62:$Z62,MIN(Q$6-$E$3,22))&lt;&gt;""),Aveia!$E62:INDEX(Aveia!$E62:$Z62,MIN(Q$6-$E$3,22))),0))-IF($G$2,0,IF((Q$6-$G$3)&lt;1,0,IFERROR(LOOKUP(2,1/(Aveia!$E62:INDEX(Aveia!$E62:$Z62,MIN(Q$6-$G$3,22))&lt;&gt;""),Aveia!$E62:INDEX(Aveia!$E62:$Z62,MIN(Q$6-$G$3,22))),0)))))</f>
        <v>0</v>
      </c>
      <c r="R64" s="27" t="n">
        <f aca="false">IF(COUNT(Aveia!$E62:$Z62)=0,0,MAX(0,IF((R$6-$E$3)&lt;1,0,IFERROR(LOOKUP(2,1/(Aveia!$E62:INDEX(Aveia!$E62:$Z62,MIN(R$6-$E$3,22))&lt;&gt;""),Aveia!$E62:INDEX(Aveia!$E62:$Z62,MIN(R$6-$E$3,22))),0))-IF($G$2,0,IF((R$6-$G$3)&lt;1,0,IFERROR(LOOKUP(2,1/(Aveia!$E62:INDEX(Aveia!$E62:$Z62,MIN(R$6-$G$3,22))&lt;&gt;""),Aveia!$E62:INDEX(Aveia!$E62:$Z62,MIN(R$6-$G$3,22))),0)))))</f>
        <v>0</v>
      </c>
      <c r="S64" s="27" t="n">
        <f aca="false">IF(COUNT(Aveia!$E62:$Z62)=0,0,MAX(0,IF((S$6-$E$3)&lt;1,0,IFERROR(LOOKUP(2,1/(Aveia!$E62:INDEX(Aveia!$E62:$Z62,MIN(S$6-$E$3,22))&lt;&gt;""),Aveia!$E62:INDEX(Aveia!$E62:$Z62,MIN(S$6-$E$3,22))),0))-IF($G$2,0,IF((S$6-$G$3)&lt;1,0,IFERROR(LOOKUP(2,1/(Aveia!$E62:INDEX(Aveia!$E62:$Z62,MIN(S$6-$G$3,22))&lt;&gt;""),Aveia!$E62:INDEX(Aveia!$E62:$Z62,MIN(S$6-$G$3,22))),0)))))</f>
        <v>0</v>
      </c>
      <c r="T64" s="27" t="n">
        <f aca="false">IF(COUNT(Aveia!$E62:$Z62)=0,0,MAX(0,IF((T$6-$E$3)&lt;1,0,IFERROR(LOOKUP(2,1/(Aveia!$E62:INDEX(Aveia!$E62:$Z62,MIN(T$6-$E$3,22))&lt;&gt;""),Aveia!$E62:INDEX(Aveia!$E62:$Z62,MIN(T$6-$E$3,22))),0))-IF($G$2,0,IF((T$6-$G$3)&lt;1,0,IFERROR(LOOKUP(2,1/(Aveia!$E62:INDEX(Aveia!$E62:$Z62,MIN(T$6-$G$3,22))&lt;&gt;""),Aveia!$E62:INDEX(Aveia!$E62:$Z62,MIN(T$6-$G$3,22))),0)))))</f>
        <v>0</v>
      </c>
      <c r="U64" s="27" t="n">
        <f aca="false">IF(COUNT(Aveia!$E62:$Z62)=0,0,MAX(0,IF((U$6-$E$3)&lt;1,0,IFERROR(LOOKUP(2,1/(Aveia!$E62:INDEX(Aveia!$E62:$Z62,MIN(U$6-$E$3,22))&lt;&gt;""),Aveia!$E62:INDEX(Aveia!$E62:$Z62,MIN(U$6-$E$3,22))),0))-IF($G$2,0,IF((U$6-$G$3)&lt;1,0,IFERROR(LOOKUP(2,1/(Aveia!$E62:INDEX(Aveia!$E62:$Z62,MIN(U$6-$G$3,22))&lt;&gt;""),Aveia!$E62:INDEX(Aveia!$E62:$Z62,MIN(U$6-$G$3,22))),0)))))</f>
        <v>0</v>
      </c>
      <c r="V64" s="27" t="n">
        <f aca="false">IF(COUNT(Aveia!$E62:$Z62)=0,0,MAX(0,IF((V$6-$E$3)&lt;1,0,IFERROR(LOOKUP(2,1/(Aveia!$E62:INDEX(Aveia!$E62:$Z62,MIN(V$6-$E$3,22))&lt;&gt;""),Aveia!$E62:INDEX(Aveia!$E62:$Z62,MIN(V$6-$E$3,22))),0))-IF($G$2,0,IF((V$6-$G$3)&lt;1,0,IFERROR(LOOKUP(2,1/(Aveia!$E62:INDEX(Aveia!$E62:$Z62,MIN(V$6-$G$3,22))&lt;&gt;""),Aveia!$E62:INDEX(Aveia!$E62:$Z62,MIN(V$6-$G$3,22))),0)))))</f>
        <v>0</v>
      </c>
      <c r="W64" s="27" t="n">
        <f aca="false">IF(COUNT(Aveia!$E62:$Z62)=0,0,MAX(0,IF((W$6-$E$3)&lt;1,0,IFERROR(LOOKUP(2,1/(Aveia!$E62:INDEX(Aveia!$E62:$Z62,MIN(W$6-$E$3,22))&lt;&gt;""),Aveia!$E62:INDEX(Aveia!$E62:$Z62,MIN(W$6-$E$3,22))),0))-IF($G$2,0,IF((W$6-$G$3)&lt;1,0,IFERROR(LOOKUP(2,1/(Aveia!$E62:INDEX(Aveia!$E62:$Z62,MIN(W$6-$G$3,22))&lt;&gt;""),Aveia!$E62:INDEX(Aveia!$E62:$Z62,MIN(W$6-$G$3,22))),0)))))</f>
        <v>0</v>
      </c>
      <c r="X64" s="27" t="n">
        <f aca="false">IF(COUNT(Aveia!$E62:$Z62)=0,0,MAX(0,IF((X$6-$E$3)&lt;1,0,IFERROR(LOOKUP(2,1/(Aveia!$E62:INDEX(Aveia!$E62:$Z62,MIN(X$6-$E$3,22))&lt;&gt;""),Aveia!$E62:INDEX(Aveia!$E62:$Z62,MIN(X$6-$E$3,22))),0))-IF($G$2,0,IF((X$6-$G$3)&lt;1,0,IFERROR(LOOKUP(2,1/(Aveia!$E62:INDEX(Aveia!$E62:$Z62,MIN(X$6-$G$3,22))&lt;&gt;""),Aveia!$E62:INDEX(Aveia!$E62:$Z62,MIN(X$6-$G$3,22))),0)))))</f>
        <v>0</v>
      </c>
      <c r="Y64" s="27" t="n">
        <f aca="false">IF(COUNT(Aveia!$E62:$Z62)=0,0,MAX(0,IF((Y$6-$E$3)&lt;1,0,IFERROR(LOOKUP(2,1/(Aveia!$E62:INDEX(Aveia!$E62:$Z62,MIN(Y$6-$E$3,22))&lt;&gt;""),Aveia!$E62:INDEX(Aveia!$E62:$Z62,MIN(Y$6-$E$3,22))),0))-IF($G$2,0,IF((Y$6-$G$3)&lt;1,0,IFERROR(LOOKUP(2,1/(Aveia!$E62:INDEX(Aveia!$E62:$Z62,MIN(Y$6-$G$3,22))&lt;&gt;""),Aveia!$E62:INDEX(Aveia!$E62:$Z62,MIN(Y$6-$G$3,22))),0)))))</f>
        <v>0</v>
      </c>
      <c r="Z64" s="27" t="n">
        <f aca="false">IF(COUNT(Aveia!$E62:$Z62)=0,0,MAX(0,IF((Z$6-$E$3)&lt;1,0,IFERROR(LOOKUP(2,1/(Aveia!$E62:INDEX(Aveia!$E62:$Z62,MIN(Z$6-$E$3,22))&lt;&gt;""),Aveia!$E62:INDEX(Aveia!$E62:$Z62,MIN(Z$6-$E$3,22))),0))-IF($G$2,0,IF((Z$6-$G$3)&lt;1,0,IFERROR(LOOKUP(2,1/(Aveia!$E62:INDEX(Aveia!$E62:$Z62,MIN(Z$6-$G$3,22))&lt;&gt;""),Aveia!$E62:INDEX(Aveia!$E62:$Z62,MIN(Z$6-$G$3,22))),0)))))</f>
        <v>0</v>
      </c>
      <c r="AA64" s="27" t="n">
        <f aca="false">IF(COUNT(Aveia!$E62:$Z62)=0,0,MAX(0,IF((AA$6-$E$3)&lt;1,0,IFERROR(LOOKUP(2,1/(Aveia!$E62:INDEX(Aveia!$E62:$Z62,MIN(AA$6-$E$3,22))&lt;&gt;""),Aveia!$E62:INDEX(Aveia!$E62:$Z62,MIN(AA$6-$E$3,22))),0))-IF($G$2,0,IF((AA$6-$G$3)&lt;1,0,IFERROR(LOOKUP(2,1/(Aveia!$E62:INDEX(Aveia!$E62:$Z62,MIN(AA$6-$G$3,22))&lt;&gt;""),Aveia!$E62:INDEX(Aveia!$E62:$Z62,MIN(AA$6-$G$3,22))),0)))))</f>
        <v>0</v>
      </c>
      <c r="AB64" s="27" t="n">
        <f aca="false">IF(COUNT(Aveia!$E62:$Z62)=0,0,MAX(0,IF((AB$6-$E$3)&lt;1,0,IFERROR(LOOKUP(2,1/(Aveia!$E62:INDEX(Aveia!$E62:$Z62,MIN(AB$6-$E$3,22))&lt;&gt;""),Aveia!$E62:INDEX(Aveia!$E62:$Z62,MIN(AB$6-$E$3,22))),0))-IF($G$2,0,IF((AB$6-$G$3)&lt;1,0,IFERROR(LOOKUP(2,1/(Aveia!$E62:INDEX(Aveia!$E62:$Z62,MIN(AB$6-$G$3,22))&lt;&gt;""),Aveia!$E62:INDEX(Aveia!$E62:$Z62,MIN(AB$6-$G$3,22))),0)))))</f>
        <v>0</v>
      </c>
      <c r="AC64" s="27" t="n">
        <f aca="false">IF(COUNT(Aveia!$E62:$Z62)=0,0,MAX(0,IF((AC$6-$E$3)&lt;1,0,IFERROR(LOOKUP(2,1/(Aveia!$E62:INDEX(Aveia!$E62:$Z62,MIN(AC$6-$E$3,22))&lt;&gt;""),Aveia!$E62:INDEX(Aveia!$E62:$Z62,MIN(AC$6-$E$3,22))),0))-IF($G$2,0,IF((AC$6-$G$3)&lt;1,0,IFERROR(LOOKUP(2,1/(Aveia!$E62:INDEX(Aveia!$E62:$Z62,MIN(AC$6-$G$3,22))&lt;&gt;""),Aveia!$E62:INDEX(Aveia!$E62:$Z62,MIN(AC$6-$G$3,22))),0)))))</f>
        <v>0</v>
      </c>
      <c r="AD64" s="27" t="n">
        <f aca="false">IF(COUNT(Aveia!$E62:$Z62)=0,0,MAX(0,IF((AD$6-$E$3)&lt;1,0,IFERROR(LOOKUP(2,1/(Aveia!$E62:INDEX(Aveia!$E62:$Z62,MIN(AD$6-$E$3,22))&lt;&gt;""),Aveia!$E62:INDEX(Aveia!$E62:$Z62,MIN(AD$6-$E$3,22))),0))-IF($G$2,0,IF((AD$6-$G$3)&lt;1,0,IFERROR(LOOKUP(2,1/(Aveia!$E62:INDEX(Aveia!$E62:$Z62,MIN(AD$6-$G$3,22))&lt;&gt;""),Aveia!$E62:INDEX(Aveia!$E62:$Z62,MIN(AD$6-$G$3,22))),0)))))</f>
        <v>0</v>
      </c>
      <c r="AE64" s="27" t="n">
        <f aca="false">IF(COUNT(Aveia!$E62:$Z62)=0,0,MAX(0,IF((AE$6-$E$3)&lt;1,0,IFERROR(LOOKUP(2,1/(Aveia!$E62:INDEX(Aveia!$E62:$Z62,MIN(AE$6-$E$3,22))&lt;&gt;""),Aveia!$E62:INDEX(Aveia!$E62:$Z62,MIN(AE$6-$E$3,22))),0))-IF($G$2,0,IF((AE$6-$G$3)&lt;1,0,IFERROR(LOOKUP(2,1/(Aveia!$E62:INDEX(Aveia!$E62:$Z62,MIN(AE$6-$G$3,22))&lt;&gt;""),Aveia!$E62:INDEX(Aveia!$E62:$Z62,MIN(AE$6-$G$3,22))),0)))))</f>
        <v>0</v>
      </c>
      <c r="AF64" s="27" t="n">
        <f aca="false">IF(COUNT(Aveia!$E62:$Z62)=0,0,MAX(0,IF((AF$6-$E$3)&lt;1,0,IFERROR(LOOKUP(2,1/(Aveia!$E62:INDEX(Aveia!$E62:$Z62,MIN(AF$6-$E$3,22))&lt;&gt;""),Aveia!$E62:INDEX(Aveia!$E62:$Z62,MIN(AF$6-$E$3,22))),0))-IF($G$2,0,IF((AF$6-$G$3)&lt;1,0,IFERROR(LOOKUP(2,1/(Aveia!$E62:INDEX(Aveia!$E62:$Z62,MIN(AF$6-$G$3,22))&lt;&gt;""),Aveia!$E62:INDEX(Aveia!$E62:$Z62,MIN(AF$6-$G$3,22))),0)))))</f>
        <v>0</v>
      </c>
      <c r="AG64" s="27" t="n">
        <f aca="false">IF(COUNT(Aveia!$E62:$Z62)=0,0,MAX(0,IF((AG$6-$E$3)&lt;1,0,IFERROR(LOOKUP(2,1/(Aveia!$E62:INDEX(Aveia!$E62:$Z62,MIN(AG$6-$E$3,22))&lt;&gt;""),Aveia!$E62:INDEX(Aveia!$E62:$Z62,MIN(AG$6-$E$3,22))),0))-IF($G$2,0,IF((AG$6-$G$3)&lt;1,0,IFERROR(LOOKUP(2,1/(Aveia!$E62:INDEX(Aveia!$E62:$Z62,MIN(AG$6-$G$3,22))&lt;&gt;""),Aveia!$E62:INDEX(Aveia!$E62:$Z62,MIN(AG$6-$G$3,22))),0)))))</f>
        <v>0</v>
      </c>
      <c r="AH64" s="27" t="n">
        <f aca="false">IF(COUNT(Aveia!$E62:$Z62)=0,0,MAX(0,IF((AH$6-$E$3)&lt;1,0,IFERROR(LOOKUP(2,1/(Aveia!$E62:INDEX(Aveia!$E62:$Z62,MIN(AH$6-$E$3,22))&lt;&gt;""),Aveia!$E62:INDEX(Aveia!$E62:$Z62,MIN(AH$6-$E$3,22))),0))-IF($G$2,0,IF((AH$6-$G$3)&lt;1,0,IFERROR(LOOKUP(2,1/(Aveia!$E62:INDEX(Aveia!$E62:$Z62,MIN(AH$6-$G$3,22))&lt;&gt;""),Aveia!$E62:INDEX(Aveia!$E62:$Z62,MIN(AH$6-$G$3,22))),0)))))</f>
        <v>0</v>
      </c>
      <c r="AI64" s="27" t="n">
        <f aca="false">IF(COUNT(Aveia!$E62:$Z62)=0,0,MAX(0,IF((AI$6-$E$3)&lt;1,0,IFERROR(LOOKUP(2,1/(Aveia!$E62:INDEX(Aveia!$E62:$Z62,MIN(AI$6-$E$3,22))&lt;&gt;""),Aveia!$E62:INDEX(Aveia!$E62:$Z62,MIN(AI$6-$E$3,22))),0))-IF($G$2,0,IF((AI$6-$G$3)&lt;1,0,IFERROR(LOOKUP(2,1/(Aveia!$E62:INDEX(Aveia!$E62:$Z62,MIN(AI$6-$G$3,22))&lt;&gt;""),Aveia!$E62:INDEX(Aveia!$E62:$Z62,MIN(AI$6-$G$3,22))),0)))))</f>
        <v>0</v>
      </c>
      <c r="AJ64" s="27" t="n">
        <f aca="false">IF(COUNT(Aveia!$E62:$Z62)=0,0,MAX(0,IF((AJ$6-$E$3)&lt;1,0,IFERROR(LOOKUP(2,1/(Aveia!$E62:INDEX(Aveia!$E62:$Z62,MIN(AJ$6-$E$3,22))&lt;&gt;""),Aveia!$E62:INDEX(Aveia!$E62:$Z62,MIN(AJ$6-$E$3,22))),0))-IF($G$2,0,IF((AJ$6-$G$3)&lt;1,0,IFERROR(LOOKUP(2,1/(Aveia!$E62:INDEX(Aveia!$E62:$Z62,MIN(AJ$6-$G$3,22))&lt;&gt;""),Aveia!$E62:INDEX(Aveia!$E62:$Z62,MIN(AJ$6-$G$3,22))),0)))))</f>
        <v>0</v>
      </c>
      <c r="AK64" s="27" t="n">
        <f aca="false">IF(COUNT(Aveia!$E62:$Z62)=0,0,MAX(0,IF((AK$6-$E$3)&lt;1,0,IFERROR(LOOKUP(2,1/(Aveia!$E62:INDEX(Aveia!$E62:$Z62,MIN(AK$6-$E$3,22))&lt;&gt;""),Aveia!$E62:INDEX(Aveia!$E62:$Z62,MIN(AK$6-$E$3,22))),0))-IF($G$2,0,IF((AK$6-$G$3)&lt;1,0,IFERROR(LOOKUP(2,1/(Aveia!$E62:INDEX(Aveia!$E62:$Z62,MIN(AK$6-$G$3,22))&lt;&gt;""),Aveia!$E62:INDEX(Aveia!$E62:$Z62,MIN(AK$6-$G$3,22))),0)))))</f>
        <v>0</v>
      </c>
      <c r="AL64" s="27" t="n">
        <f aca="false">IF(COUNT(Aveia!$E62:$Z62)=0,0,MAX(0,IF((AL$6-$E$3)&lt;1,0,IFERROR(LOOKUP(2,1/(Aveia!$E62:INDEX(Aveia!$E62:$Z62,MIN(AL$6-$E$3,22))&lt;&gt;""),Aveia!$E62:INDEX(Aveia!$E62:$Z62,MIN(AL$6-$E$3,22))),0))-IF($G$2,0,IF((AL$6-$G$3)&lt;1,0,IFERROR(LOOKUP(2,1/(Aveia!$E62:INDEX(Aveia!$E62:$Z62,MIN(AL$6-$G$3,22))&lt;&gt;""),Aveia!$E62:INDEX(Aveia!$E62:$Z62,MIN(AL$6-$G$3,22))),0)))))</f>
        <v>0</v>
      </c>
      <c r="AM64" s="27" t="n">
        <f aca="false">IF(COUNT(Aveia!$E62:$Z62)=0,0,MAX(0,IF((AM$6-$E$3)&lt;1,0,IFERROR(LOOKUP(2,1/(Aveia!$E62:INDEX(Aveia!$E62:$Z62,MIN(AM$6-$E$3,22))&lt;&gt;""),Aveia!$E62:INDEX(Aveia!$E62:$Z62,MIN(AM$6-$E$3,22))),0))-IF($G$2,0,IF((AM$6-$G$3)&lt;1,0,IFERROR(LOOKUP(2,1/(Aveia!$E62:INDEX(Aveia!$E62:$Z62,MIN(AM$6-$G$3,22))&lt;&gt;""),Aveia!$E62:INDEX(Aveia!$E62:$Z62,MIN(AM$6-$G$3,22))),0)))))</f>
        <v>0</v>
      </c>
      <c r="AN64" s="27" t="n">
        <f aca="false">IF(COUNT(Aveia!$E62:$Z62)=0,0,MAX(0,IF((AN$6-$E$3)&lt;1,0,IFERROR(LOOKUP(2,1/(Aveia!$E62:INDEX(Aveia!$E62:$Z62,MIN(AN$6-$E$3,22))&lt;&gt;""),Aveia!$E62:INDEX(Aveia!$E62:$Z62,MIN(AN$6-$E$3,22))),0))-IF($G$2,0,IF((AN$6-$G$3)&lt;1,0,IFERROR(LOOKUP(2,1/(Aveia!$E62:INDEX(Aveia!$E62:$Z62,MIN(AN$6-$G$3,22))&lt;&gt;""),Aveia!$E62:INDEX(Aveia!$E62:$Z62,MIN(AN$6-$G$3,22))),0)))))</f>
        <v>0</v>
      </c>
      <c r="AO64" s="27" t="n">
        <f aca="false">IF(COUNT(Aveia!$E62:$Z62)=0,0,MAX(0,IF((AO$6-$E$3)&lt;1,0,IFERROR(LOOKUP(2,1/(Aveia!$E62:INDEX(Aveia!$E62:$Z62,MIN(AO$6-$E$3,22))&lt;&gt;""),Aveia!$E62:INDEX(Aveia!$E62:$Z62,MIN(AO$6-$E$3,22))),0))-IF($G$2,0,IF((AO$6-$G$3)&lt;1,0,IFERROR(LOOKUP(2,1/(Aveia!$E62:INDEX(Aveia!$E62:$Z62,MIN(AO$6-$G$3,22))&lt;&gt;""),Aveia!$E62:INDEX(Aveia!$E62:$Z62,MIN(AO$6-$G$3,22))),0)))))</f>
        <v>0</v>
      </c>
      <c r="AP64" s="27" t="n">
        <f aca="false">IF(COUNT(Aveia!$E62:$Z62)=0,0,MAX(0,IF((AP$6-$E$3)&lt;1,0,IFERROR(LOOKUP(2,1/(Aveia!$E62:INDEX(Aveia!$E62:$Z62,MIN(AP$6-$E$3,22))&lt;&gt;""),Aveia!$E62:INDEX(Aveia!$E62:$Z62,MIN(AP$6-$E$3,22))),0))-IF($G$2,0,IF((AP$6-$G$3)&lt;1,0,IFERROR(LOOKUP(2,1/(Aveia!$E62:INDEX(Aveia!$E62:$Z62,MIN(AP$6-$G$3,22))&lt;&gt;""),Aveia!$E62:INDEX(Aveia!$E62:$Z62,MIN(AP$6-$G$3,22))),0)))))</f>
        <v>0</v>
      </c>
      <c r="AQ64" s="27" t="n">
        <f aca="false">IF(COUNT(Aveia!$E62:$Z62)=0,0,MAX(0,IF((AQ$6-$E$3)&lt;1,0,IFERROR(LOOKUP(2,1/(Aveia!$E62:INDEX(Aveia!$E62:$Z62,MIN(AQ$6-$E$3,22))&lt;&gt;""),Aveia!$E62:INDEX(Aveia!$E62:$Z62,MIN(AQ$6-$E$3,22))),0))-IF($G$2,0,IF((AQ$6-$G$3)&lt;1,0,IFERROR(LOOKUP(2,1/(Aveia!$E62:INDEX(Aveia!$E62:$Z62,MIN(AQ$6-$G$3,22))&lt;&gt;""),Aveia!$E62:INDEX(Aveia!$E62:$Z62,MIN(AQ$6-$G$3,22))),0)))))</f>
        <v>0</v>
      </c>
      <c r="AR64" s="27" t="n">
        <f aca="false">IF(COUNT(Aveia!$E62:$Z62)=0,0,MAX(0,IF((AR$6-$E$3)&lt;1,0,IFERROR(LOOKUP(2,1/(Aveia!$E62:INDEX(Aveia!$E62:$Z62,MIN(AR$6-$E$3,22))&lt;&gt;""),Aveia!$E62:INDEX(Aveia!$E62:$Z62,MIN(AR$6-$E$3,22))),0))-IF($G$2,0,IF((AR$6-$G$3)&lt;1,0,IFERROR(LOOKUP(2,1/(Aveia!$E62:INDEX(Aveia!$E62:$Z62,MIN(AR$6-$G$3,22))&lt;&gt;""),Aveia!$E62:INDEX(Aveia!$E62:$Z62,MIN(AR$6-$G$3,22))),0)))))</f>
        <v>0</v>
      </c>
      <c r="AS64" s="27" t="n">
        <f aca="false">IF(COUNT(Aveia!$E62:$Z62)=0,0,MAX(0,IF((AS$6-$E$3)&lt;1,0,IFERROR(LOOKUP(2,1/(Aveia!$E62:INDEX(Aveia!$E62:$Z62,MIN(AS$6-$E$3,22))&lt;&gt;""),Aveia!$E62:INDEX(Aveia!$E62:$Z62,MIN(AS$6-$E$3,22))),0))-IF($G$2,0,IF((AS$6-$G$3)&lt;1,0,IFERROR(LOOKUP(2,1/(Aveia!$E62:INDEX(Aveia!$E62:$Z62,MIN(AS$6-$G$3,22))&lt;&gt;""),Aveia!$E62:INDEX(Aveia!$E62:$Z62,MIN(AS$6-$G$3,22))),0)))))</f>
        <v>0</v>
      </c>
      <c r="AT64" s="27" t="n">
        <f aca="false">IF(COUNT(Aveia!$E62:$Z62)=0,0,MAX(0,IF((AT$6-$E$3)&lt;1,0,IFERROR(LOOKUP(2,1/(Aveia!$E62:INDEX(Aveia!$E62:$Z62,MIN(AT$6-$E$3,22))&lt;&gt;""),Aveia!$E62:INDEX(Aveia!$E62:$Z62,MIN(AT$6-$E$3,22))),0))-IF($G$2,0,IF((AT$6-$G$3)&lt;1,0,IFERROR(LOOKUP(2,1/(Aveia!$E62:INDEX(Aveia!$E62:$Z62,MIN(AT$6-$G$3,22))&lt;&gt;""),Aveia!$E62:INDEX(Aveia!$E62:$Z62,MIN(AT$6-$G$3,22))),0)))))</f>
        <v>0</v>
      </c>
      <c r="AU64" s="27" t="n">
        <f aca="false">IF(COUNT(Aveia!$E62:$Z62)=0,0,MAX(0,IF((AU$6-$E$3)&lt;1,0,IFERROR(LOOKUP(2,1/(Aveia!$E62:INDEX(Aveia!$E62:$Z62,MIN(AU$6-$E$3,22))&lt;&gt;""),Aveia!$E62:INDEX(Aveia!$E62:$Z62,MIN(AU$6-$E$3,22))),0))-IF($G$2,0,IF((AU$6-$G$3)&lt;1,0,IFERROR(LOOKUP(2,1/(Aveia!$E62:INDEX(Aveia!$E62:$Z62,MIN(AU$6-$G$3,22))&lt;&gt;""),Aveia!$E62:INDEX(Aveia!$E62:$Z62,MIN(AU$6-$G$3,22))),0)))))</f>
        <v>0</v>
      </c>
      <c r="AV64" s="27" t="n">
        <f aca="false">IF(COUNT(Aveia!$E62:$Z62)=0,0,MAX(0,IF((AV$6-$E$3)&lt;1,0,IFERROR(LOOKUP(2,1/(Aveia!$E62:INDEX(Aveia!$E62:$Z62,MIN(AV$6-$E$3,22))&lt;&gt;""),Aveia!$E62:INDEX(Aveia!$E62:$Z62,MIN(AV$6-$E$3,22))),0))-IF($G$2,0,IF((AV$6-$G$3)&lt;1,0,IFERROR(LOOKUP(2,1/(Aveia!$E62:INDEX(Aveia!$E62:$Z62,MIN(AV$6-$G$3,22))&lt;&gt;""),Aveia!$E62:INDEX(Aveia!$E62:$Z62,MIN(AV$6-$G$3,22))),0)))))</f>
        <v>0</v>
      </c>
      <c r="AW64" s="27" t="n">
        <f aca="false">IF(COUNT(Aveia!$E62:$Z62)=0,0,MAX(0,IF((AW$6-$E$3)&lt;1,0,IFERROR(LOOKUP(2,1/(Aveia!$E62:INDEX(Aveia!$E62:$Z62,MIN(AW$6-$E$3,22))&lt;&gt;""),Aveia!$E62:INDEX(Aveia!$E62:$Z62,MIN(AW$6-$E$3,22))),0))-IF($G$2,0,IF((AW$6-$G$3)&lt;1,0,IFERROR(LOOKUP(2,1/(Aveia!$E62:INDEX(Aveia!$E62:$Z62,MIN(AW$6-$G$3,22))&lt;&gt;""),Aveia!$E62:INDEX(Aveia!$E62:$Z62,MIN(AW$6-$G$3,22))),0)))))</f>
        <v>0</v>
      </c>
      <c r="AX64" s="27" t="n">
        <f aca="false">IF(COUNT(Aveia!$E62:$Z62)=0,0,MAX(0,IF((AX$6-$E$3)&lt;1,0,IFERROR(LOOKUP(2,1/(Aveia!$E62:INDEX(Aveia!$E62:$Z62,MIN(AX$6-$E$3,22))&lt;&gt;""),Aveia!$E62:INDEX(Aveia!$E62:$Z62,MIN(AX$6-$E$3,22))),0))-IF($G$2,0,IF((AX$6-$G$3)&lt;1,0,IFERROR(LOOKUP(2,1/(Aveia!$E62:INDEX(Aveia!$E62:$Z62,MIN(AX$6-$G$3,22))&lt;&gt;""),Aveia!$E62:INDEX(Aveia!$E62:$Z62,MIN(AX$6-$G$3,22))),0)))))</f>
        <v>0</v>
      </c>
      <c r="AY64" s="27" t="n">
        <f aca="false">IF(COUNT(Aveia!$E62:$Z62)=0,0,MAX(0,IF((AY$6-$E$3)&lt;1,0,IFERROR(LOOKUP(2,1/(Aveia!$E62:INDEX(Aveia!$E62:$Z62,MIN(AY$6-$E$3,22))&lt;&gt;""),Aveia!$E62:INDEX(Aveia!$E62:$Z62,MIN(AY$6-$E$3,22))),0))-IF($G$2,0,IF((AY$6-$G$3)&lt;1,0,IFERROR(LOOKUP(2,1/(Aveia!$E62:INDEX(Aveia!$E62:$Z62,MIN(AY$6-$G$3,22))&lt;&gt;""),Aveia!$E62:INDEX(Aveia!$E62:$Z62,MIN(AY$6-$G$3,22))),0)))))</f>
        <v>0</v>
      </c>
      <c r="AZ64" s="27" t="n">
        <f aca="false">IF(COUNT(Aveia!$E62:$Z62)=0,0,MAX(0,IF((AZ$6-$E$3)&lt;1,0,IFERROR(LOOKUP(2,1/(Aveia!$E62:INDEX(Aveia!$E62:$Z62,MIN(AZ$6-$E$3,22))&lt;&gt;""),Aveia!$E62:INDEX(Aveia!$E62:$Z62,MIN(AZ$6-$E$3,22))),0))-IF($G$2,0,IF((AZ$6-$G$3)&lt;1,0,IFERROR(LOOKUP(2,1/(Aveia!$E62:INDEX(Aveia!$E62:$Z62,MIN(AZ$6-$G$3,22))&lt;&gt;""),Aveia!$E62:INDEX(Aveia!$E62:$Z62,MIN(AZ$6-$G$3,22))),0)))))</f>
        <v>0</v>
      </c>
    </row>
    <row r="65" customFormat="false" ht="15" hidden="false" customHeight="false" outlineLevel="0" collapsed="false">
      <c r="A65" s="3" t="s">
        <v>249</v>
      </c>
      <c r="B65" s="3" t="s">
        <v>250</v>
      </c>
      <c r="C65" s="10" t="s">
        <v>134</v>
      </c>
      <c r="D65" s="26" t="n">
        <f aca="false">IF(COUNT(Aveia!$E63:$Z63)&gt;0,N(Aveia!$D63),0)</f>
        <v>0</v>
      </c>
      <c r="E65" s="27" t="n">
        <f aca="false">IF(COUNT(Aveia!$E63:$Z63)=0,0,MAX(0,IF((E$6-$E$3)&lt;1,0,IFERROR(LOOKUP(2,1/(Aveia!$E63:INDEX(Aveia!$E63:$Z63,MIN(E$6-$E$3,22))&lt;&gt;""),Aveia!$E63:INDEX(Aveia!$E63:$Z63,MIN(E$6-$E$3,22))),0))-IF($G$2,0,IF((E$6-$G$3)&lt;1,0,IFERROR(LOOKUP(2,1/(Aveia!$E63:INDEX(Aveia!$E63:$Z63,MIN(E$6-$G$3,22))&lt;&gt;""),Aveia!$E63:INDEX(Aveia!$E63:$Z63,MIN(E$6-$G$3,22))),0)))))</f>
        <v>0</v>
      </c>
      <c r="F65" s="27" t="n">
        <f aca="false">IF(COUNT(Aveia!$E63:$Z63)=0,0,MAX(0,IF((F$6-$E$3)&lt;1,0,IFERROR(LOOKUP(2,1/(Aveia!$E63:INDEX(Aveia!$E63:$Z63,MIN(F$6-$E$3,22))&lt;&gt;""),Aveia!$E63:INDEX(Aveia!$E63:$Z63,MIN(F$6-$E$3,22))),0))-IF($G$2,0,IF((F$6-$G$3)&lt;1,0,IFERROR(LOOKUP(2,1/(Aveia!$E63:INDEX(Aveia!$E63:$Z63,MIN(F$6-$G$3,22))&lt;&gt;""),Aveia!$E63:INDEX(Aveia!$E63:$Z63,MIN(F$6-$G$3,22))),0)))))</f>
        <v>0</v>
      </c>
      <c r="G65" s="27" t="n">
        <f aca="false">IF(COUNT(Aveia!$E63:$Z63)=0,0,MAX(0,IF((G$6-$E$3)&lt;1,0,IFERROR(LOOKUP(2,1/(Aveia!$E63:INDEX(Aveia!$E63:$Z63,MIN(G$6-$E$3,22))&lt;&gt;""),Aveia!$E63:INDEX(Aveia!$E63:$Z63,MIN(G$6-$E$3,22))),0))-IF($G$2,0,IF((G$6-$G$3)&lt;1,0,IFERROR(LOOKUP(2,1/(Aveia!$E63:INDEX(Aveia!$E63:$Z63,MIN(G$6-$G$3,22))&lt;&gt;""),Aveia!$E63:INDEX(Aveia!$E63:$Z63,MIN(G$6-$G$3,22))),0)))))</f>
        <v>0</v>
      </c>
      <c r="H65" s="27" t="n">
        <f aca="false">IF(COUNT(Aveia!$E63:$Z63)=0,0,MAX(0,IF((H$6-$E$3)&lt;1,0,IFERROR(LOOKUP(2,1/(Aveia!$E63:INDEX(Aveia!$E63:$Z63,MIN(H$6-$E$3,22))&lt;&gt;""),Aveia!$E63:INDEX(Aveia!$E63:$Z63,MIN(H$6-$E$3,22))),0))-IF($G$2,0,IF((H$6-$G$3)&lt;1,0,IFERROR(LOOKUP(2,1/(Aveia!$E63:INDEX(Aveia!$E63:$Z63,MIN(H$6-$G$3,22))&lt;&gt;""),Aveia!$E63:INDEX(Aveia!$E63:$Z63,MIN(H$6-$G$3,22))),0)))))</f>
        <v>0</v>
      </c>
      <c r="I65" s="27" t="n">
        <f aca="false">IF(COUNT(Aveia!$E63:$Z63)=0,0,MAX(0,IF((I$6-$E$3)&lt;1,0,IFERROR(LOOKUP(2,1/(Aveia!$E63:INDEX(Aveia!$E63:$Z63,MIN(I$6-$E$3,22))&lt;&gt;""),Aveia!$E63:INDEX(Aveia!$E63:$Z63,MIN(I$6-$E$3,22))),0))-IF($G$2,0,IF((I$6-$G$3)&lt;1,0,IFERROR(LOOKUP(2,1/(Aveia!$E63:INDEX(Aveia!$E63:$Z63,MIN(I$6-$G$3,22))&lt;&gt;""),Aveia!$E63:INDEX(Aveia!$E63:$Z63,MIN(I$6-$G$3,22))),0)))))</f>
        <v>0</v>
      </c>
      <c r="J65" s="27" t="n">
        <f aca="false">IF(COUNT(Aveia!$E63:$Z63)=0,0,MAX(0,IF((J$6-$E$3)&lt;1,0,IFERROR(LOOKUP(2,1/(Aveia!$E63:INDEX(Aveia!$E63:$Z63,MIN(J$6-$E$3,22))&lt;&gt;""),Aveia!$E63:INDEX(Aveia!$E63:$Z63,MIN(J$6-$E$3,22))),0))-IF($G$2,0,IF((J$6-$G$3)&lt;1,0,IFERROR(LOOKUP(2,1/(Aveia!$E63:INDEX(Aveia!$E63:$Z63,MIN(J$6-$G$3,22))&lt;&gt;""),Aveia!$E63:INDEX(Aveia!$E63:$Z63,MIN(J$6-$G$3,22))),0)))))</f>
        <v>0</v>
      </c>
      <c r="K65" s="27" t="n">
        <f aca="false">IF(COUNT(Aveia!$E63:$Z63)=0,0,MAX(0,IF((K$6-$E$3)&lt;1,0,IFERROR(LOOKUP(2,1/(Aveia!$E63:INDEX(Aveia!$E63:$Z63,MIN(K$6-$E$3,22))&lt;&gt;""),Aveia!$E63:INDEX(Aveia!$E63:$Z63,MIN(K$6-$E$3,22))),0))-IF($G$2,0,IF((K$6-$G$3)&lt;1,0,IFERROR(LOOKUP(2,1/(Aveia!$E63:INDEX(Aveia!$E63:$Z63,MIN(K$6-$G$3,22))&lt;&gt;""),Aveia!$E63:INDEX(Aveia!$E63:$Z63,MIN(K$6-$G$3,22))),0)))))</f>
        <v>0</v>
      </c>
      <c r="L65" s="27" t="n">
        <f aca="false">IF(COUNT(Aveia!$E63:$Z63)=0,0,MAX(0,IF((L$6-$E$3)&lt;1,0,IFERROR(LOOKUP(2,1/(Aveia!$E63:INDEX(Aveia!$E63:$Z63,MIN(L$6-$E$3,22))&lt;&gt;""),Aveia!$E63:INDEX(Aveia!$E63:$Z63,MIN(L$6-$E$3,22))),0))-IF($G$2,0,IF((L$6-$G$3)&lt;1,0,IFERROR(LOOKUP(2,1/(Aveia!$E63:INDEX(Aveia!$E63:$Z63,MIN(L$6-$G$3,22))&lt;&gt;""),Aveia!$E63:INDEX(Aveia!$E63:$Z63,MIN(L$6-$G$3,22))),0)))))</f>
        <v>0</v>
      </c>
      <c r="M65" s="27" t="n">
        <f aca="false">IF(COUNT(Aveia!$E63:$Z63)=0,0,MAX(0,IF((M$6-$E$3)&lt;1,0,IFERROR(LOOKUP(2,1/(Aveia!$E63:INDEX(Aveia!$E63:$Z63,MIN(M$6-$E$3,22))&lt;&gt;""),Aveia!$E63:INDEX(Aveia!$E63:$Z63,MIN(M$6-$E$3,22))),0))-IF($G$2,0,IF((M$6-$G$3)&lt;1,0,IFERROR(LOOKUP(2,1/(Aveia!$E63:INDEX(Aveia!$E63:$Z63,MIN(M$6-$G$3,22))&lt;&gt;""),Aveia!$E63:INDEX(Aveia!$E63:$Z63,MIN(M$6-$G$3,22))),0)))))</f>
        <v>0</v>
      </c>
      <c r="N65" s="27" t="n">
        <f aca="false">IF(COUNT(Aveia!$E63:$Z63)=0,0,MAX(0,IF((N$6-$E$3)&lt;1,0,IFERROR(LOOKUP(2,1/(Aveia!$E63:INDEX(Aveia!$E63:$Z63,MIN(N$6-$E$3,22))&lt;&gt;""),Aveia!$E63:INDEX(Aveia!$E63:$Z63,MIN(N$6-$E$3,22))),0))-IF($G$2,0,IF((N$6-$G$3)&lt;1,0,IFERROR(LOOKUP(2,1/(Aveia!$E63:INDEX(Aveia!$E63:$Z63,MIN(N$6-$G$3,22))&lt;&gt;""),Aveia!$E63:INDEX(Aveia!$E63:$Z63,MIN(N$6-$G$3,22))),0)))))</f>
        <v>0</v>
      </c>
      <c r="O65" s="27" t="n">
        <f aca="false">IF(COUNT(Aveia!$E63:$Z63)=0,0,MAX(0,IF((O$6-$E$3)&lt;1,0,IFERROR(LOOKUP(2,1/(Aveia!$E63:INDEX(Aveia!$E63:$Z63,MIN(O$6-$E$3,22))&lt;&gt;""),Aveia!$E63:INDEX(Aveia!$E63:$Z63,MIN(O$6-$E$3,22))),0))-IF($G$2,0,IF((O$6-$G$3)&lt;1,0,IFERROR(LOOKUP(2,1/(Aveia!$E63:INDEX(Aveia!$E63:$Z63,MIN(O$6-$G$3,22))&lt;&gt;""),Aveia!$E63:INDEX(Aveia!$E63:$Z63,MIN(O$6-$G$3,22))),0)))))</f>
        <v>0</v>
      </c>
      <c r="P65" s="27" t="n">
        <f aca="false">IF(COUNT(Aveia!$E63:$Z63)=0,0,MAX(0,IF((P$6-$E$3)&lt;1,0,IFERROR(LOOKUP(2,1/(Aveia!$E63:INDEX(Aveia!$E63:$Z63,MIN(P$6-$E$3,22))&lt;&gt;""),Aveia!$E63:INDEX(Aveia!$E63:$Z63,MIN(P$6-$E$3,22))),0))-IF($G$2,0,IF((P$6-$G$3)&lt;1,0,IFERROR(LOOKUP(2,1/(Aveia!$E63:INDEX(Aveia!$E63:$Z63,MIN(P$6-$G$3,22))&lt;&gt;""),Aveia!$E63:INDEX(Aveia!$E63:$Z63,MIN(P$6-$G$3,22))),0)))))</f>
        <v>0</v>
      </c>
      <c r="Q65" s="27" t="n">
        <f aca="false">IF(COUNT(Aveia!$E63:$Z63)=0,0,MAX(0,IF((Q$6-$E$3)&lt;1,0,IFERROR(LOOKUP(2,1/(Aveia!$E63:INDEX(Aveia!$E63:$Z63,MIN(Q$6-$E$3,22))&lt;&gt;""),Aveia!$E63:INDEX(Aveia!$E63:$Z63,MIN(Q$6-$E$3,22))),0))-IF($G$2,0,IF((Q$6-$G$3)&lt;1,0,IFERROR(LOOKUP(2,1/(Aveia!$E63:INDEX(Aveia!$E63:$Z63,MIN(Q$6-$G$3,22))&lt;&gt;""),Aveia!$E63:INDEX(Aveia!$E63:$Z63,MIN(Q$6-$G$3,22))),0)))))</f>
        <v>0</v>
      </c>
      <c r="R65" s="27" t="n">
        <f aca="false">IF(COUNT(Aveia!$E63:$Z63)=0,0,MAX(0,IF((R$6-$E$3)&lt;1,0,IFERROR(LOOKUP(2,1/(Aveia!$E63:INDEX(Aveia!$E63:$Z63,MIN(R$6-$E$3,22))&lt;&gt;""),Aveia!$E63:INDEX(Aveia!$E63:$Z63,MIN(R$6-$E$3,22))),0))-IF($G$2,0,IF((R$6-$G$3)&lt;1,0,IFERROR(LOOKUP(2,1/(Aveia!$E63:INDEX(Aveia!$E63:$Z63,MIN(R$6-$G$3,22))&lt;&gt;""),Aveia!$E63:INDEX(Aveia!$E63:$Z63,MIN(R$6-$G$3,22))),0)))))</f>
        <v>0</v>
      </c>
      <c r="S65" s="27" t="n">
        <f aca="false">IF(COUNT(Aveia!$E63:$Z63)=0,0,MAX(0,IF((S$6-$E$3)&lt;1,0,IFERROR(LOOKUP(2,1/(Aveia!$E63:INDEX(Aveia!$E63:$Z63,MIN(S$6-$E$3,22))&lt;&gt;""),Aveia!$E63:INDEX(Aveia!$E63:$Z63,MIN(S$6-$E$3,22))),0))-IF($G$2,0,IF((S$6-$G$3)&lt;1,0,IFERROR(LOOKUP(2,1/(Aveia!$E63:INDEX(Aveia!$E63:$Z63,MIN(S$6-$G$3,22))&lt;&gt;""),Aveia!$E63:INDEX(Aveia!$E63:$Z63,MIN(S$6-$G$3,22))),0)))))</f>
        <v>0</v>
      </c>
      <c r="T65" s="27" t="n">
        <f aca="false">IF(COUNT(Aveia!$E63:$Z63)=0,0,MAX(0,IF((T$6-$E$3)&lt;1,0,IFERROR(LOOKUP(2,1/(Aveia!$E63:INDEX(Aveia!$E63:$Z63,MIN(T$6-$E$3,22))&lt;&gt;""),Aveia!$E63:INDEX(Aveia!$E63:$Z63,MIN(T$6-$E$3,22))),0))-IF($G$2,0,IF((T$6-$G$3)&lt;1,0,IFERROR(LOOKUP(2,1/(Aveia!$E63:INDEX(Aveia!$E63:$Z63,MIN(T$6-$G$3,22))&lt;&gt;""),Aveia!$E63:INDEX(Aveia!$E63:$Z63,MIN(T$6-$G$3,22))),0)))))</f>
        <v>0</v>
      </c>
      <c r="U65" s="27" t="n">
        <f aca="false">IF(COUNT(Aveia!$E63:$Z63)=0,0,MAX(0,IF((U$6-$E$3)&lt;1,0,IFERROR(LOOKUP(2,1/(Aveia!$E63:INDEX(Aveia!$E63:$Z63,MIN(U$6-$E$3,22))&lt;&gt;""),Aveia!$E63:INDEX(Aveia!$E63:$Z63,MIN(U$6-$E$3,22))),0))-IF($G$2,0,IF((U$6-$G$3)&lt;1,0,IFERROR(LOOKUP(2,1/(Aveia!$E63:INDEX(Aveia!$E63:$Z63,MIN(U$6-$G$3,22))&lt;&gt;""),Aveia!$E63:INDEX(Aveia!$E63:$Z63,MIN(U$6-$G$3,22))),0)))))</f>
        <v>0</v>
      </c>
      <c r="V65" s="27" t="n">
        <f aca="false">IF(COUNT(Aveia!$E63:$Z63)=0,0,MAX(0,IF((V$6-$E$3)&lt;1,0,IFERROR(LOOKUP(2,1/(Aveia!$E63:INDEX(Aveia!$E63:$Z63,MIN(V$6-$E$3,22))&lt;&gt;""),Aveia!$E63:INDEX(Aveia!$E63:$Z63,MIN(V$6-$E$3,22))),0))-IF($G$2,0,IF((V$6-$G$3)&lt;1,0,IFERROR(LOOKUP(2,1/(Aveia!$E63:INDEX(Aveia!$E63:$Z63,MIN(V$6-$G$3,22))&lt;&gt;""),Aveia!$E63:INDEX(Aveia!$E63:$Z63,MIN(V$6-$G$3,22))),0)))))</f>
        <v>0</v>
      </c>
      <c r="W65" s="27" t="n">
        <f aca="false">IF(COUNT(Aveia!$E63:$Z63)=0,0,MAX(0,IF((W$6-$E$3)&lt;1,0,IFERROR(LOOKUP(2,1/(Aveia!$E63:INDEX(Aveia!$E63:$Z63,MIN(W$6-$E$3,22))&lt;&gt;""),Aveia!$E63:INDEX(Aveia!$E63:$Z63,MIN(W$6-$E$3,22))),0))-IF($G$2,0,IF((W$6-$G$3)&lt;1,0,IFERROR(LOOKUP(2,1/(Aveia!$E63:INDEX(Aveia!$E63:$Z63,MIN(W$6-$G$3,22))&lt;&gt;""),Aveia!$E63:INDEX(Aveia!$E63:$Z63,MIN(W$6-$G$3,22))),0)))))</f>
        <v>0</v>
      </c>
      <c r="X65" s="27" t="n">
        <f aca="false">IF(COUNT(Aveia!$E63:$Z63)=0,0,MAX(0,IF((X$6-$E$3)&lt;1,0,IFERROR(LOOKUP(2,1/(Aveia!$E63:INDEX(Aveia!$E63:$Z63,MIN(X$6-$E$3,22))&lt;&gt;""),Aveia!$E63:INDEX(Aveia!$E63:$Z63,MIN(X$6-$E$3,22))),0))-IF($G$2,0,IF((X$6-$G$3)&lt;1,0,IFERROR(LOOKUP(2,1/(Aveia!$E63:INDEX(Aveia!$E63:$Z63,MIN(X$6-$G$3,22))&lt;&gt;""),Aveia!$E63:INDEX(Aveia!$E63:$Z63,MIN(X$6-$G$3,22))),0)))))</f>
        <v>0</v>
      </c>
      <c r="Y65" s="27" t="n">
        <f aca="false">IF(COUNT(Aveia!$E63:$Z63)=0,0,MAX(0,IF((Y$6-$E$3)&lt;1,0,IFERROR(LOOKUP(2,1/(Aveia!$E63:INDEX(Aveia!$E63:$Z63,MIN(Y$6-$E$3,22))&lt;&gt;""),Aveia!$E63:INDEX(Aveia!$E63:$Z63,MIN(Y$6-$E$3,22))),0))-IF($G$2,0,IF((Y$6-$G$3)&lt;1,0,IFERROR(LOOKUP(2,1/(Aveia!$E63:INDEX(Aveia!$E63:$Z63,MIN(Y$6-$G$3,22))&lt;&gt;""),Aveia!$E63:INDEX(Aveia!$E63:$Z63,MIN(Y$6-$G$3,22))),0)))))</f>
        <v>0</v>
      </c>
      <c r="Z65" s="27" t="n">
        <f aca="false">IF(COUNT(Aveia!$E63:$Z63)=0,0,MAX(0,IF((Z$6-$E$3)&lt;1,0,IFERROR(LOOKUP(2,1/(Aveia!$E63:INDEX(Aveia!$E63:$Z63,MIN(Z$6-$E$3,22))&lt;&gt;""),Aveia!$E63:INDEX(Aveia!$E63:$Z63,MIN(Z$6-$E$3,22))),0))-IF($G$2,0,IF((Z$6-$G$3)&lt;1,0,IFERROR(LOOKUP(2,1/(Aveia!$E63:INDEX(Aveia!$E63:$Z63,MIN(Z$6-$G$3,22))&lt;&gt;""),Aveia!$E63:INDEX(Aveia!$E63:$Z63,MIN(Z$6-$G$3,22))),0)))))</f>
        <v>0</v>
      </c>
      <c r="AA65" s="27" t="n">
        <f aca="false">IF(COUNT(Aveia!$E63:$Z63)=0,0,MAX(0,IF((AA$6-$E$3)&lt;1,0,IFERROR(LOOKUP(2,1/(Aveia!$E63:INDEX(Aveia!$E63:$Z63,MIN(AA$6-$E$3,22))&lt;&gt;""),Aveia!$E63:INDEX(Aveia!$E63:$Z63,MIN(AA$6-$E$3,22))),0))-IF($G$2,0,IF((AA$6-$G$3)&lt;1,0,IFERROR(LOOKUP(2,1/(Aveia!$E63:INDEX(Aveia!$E63:$Z63,MIN(AA$6-$G$3,22))&lt;&gt;""),Aveia!$E63:INDEX(Aveia!$E63:$Z63,MIN(AA$6-$G$3,22))),0)))))</f>
        <v>0</v>
      </c>
      <c r="AB65" s="27" t="n">
        <f aca="false">IF(COUNT(Aveia!$E63:$Z63)=0,0,MAX(0,IF((AB$6-$E$3)&lt;1,0,IFERROR(LOOKUP(2,1/(Aveia!$E63:INDEX(Aveia!$E63:$Z63,MIN(AB$6-$E$3,22))&lt;&gt;""),Aveia!$E63:INDEX(Aveia!$E63:$Z63,MIN(AB$6-$E$3,22))),0))-IF($G$2,0,IF((AB$6-$G$3)&lt;1,0,IFERROR(LOOKUP(2,1/(Aveia!$E63:INDEX(Aveia!$E63:$Z63,MIN(AB$6-$G$3,22))&lt;&gt;""),Aveia!$E63:INDEX(Aveia!$E63:$Z63,MIN(AB$6-$G$3,22))),0)))))</f>
        <v>0</v>
      </c>
      <c r="AC65" s="27" t="n">
        <f aca="false">IF(COUNT(Aveia!$E63:$Z63)=0,0,MAX(0,IF((AC$6-$E$3)&lt;1,0,IFERROR(LOOKUP(2,1/(Aveia!$E63:INDEX(Aveia!$E63:$Z63,MIN(AC$6-$E$3,22))&lt;&gt;""),Aveia!$E63:INDEX(Aveia!$E63:$Z63,MIN(AC$6-$E$3,22))),0))-IF($G$2,0,IF((AC$6-$G$3)&lt;1,0,IFERROR(LOOKUP(2,1/(Aveia!$E63:INDEX(Aveia!$E63:$Z63,MIN(AC$6-$G$3,22))&lt;&gt;""),Aveia!$E63:INDEX(Aveia!$E63:$Z63,MIN(AC$6-$G$3,22))),0)))))</f>
        <v>0</v>
      </c>
      <c r="AD65" s="27" t="n">
        <f aca="false">IF(COUNT(Aveia!$E63:$Z63)=0,0,MAX(0,IF((AD$6-$E$3)&lt;1,0,IFERROR(LOOKUP(2,1/(Aveia!$E63:INDEX(Aveia!$E63:$Z63,MIN(AD$6-$E$3,22))&lt;&gt;""),Aveia!$E63:INDEX(Aveia!$E63:$Z63,MIN(AD$6-$E$3,22))),0))-IF($G$2,0,IF((AD$6-$G$3)&lt;1,0,IFERROR(LOOKUP(2,1/(Aveia!$E63:INDEX(Aveia!$E63:$Z63,MIN(AD$6-$G$3,22))&lt;&gt;""),Aveia!$E63:INDEX(Aveia!$E63:$Z63,MIN(AD$6-$G$3,22))),0)))))</f>
        <v>0</v>
      </c>
      <c r="AE65" s="27" t="n">
        <f aca="false">IF(COUNT(Aveia!$E63:$Z63)=0,0,MAX(0,IF((AE$6-$E$3)&lt;1,0,IFERROR(LOOKUP(2,1/(Aveia!$E63:INDEX(Aveia!$E63:$Z63,MIN(AE$6-$E$3,22))&lt;&gt;""),Aveia!$E63:INDEX(Aveia!$E63:$Z63,MIN(AE$6-$E$3,22))),0))-IF($G$2,0,IF((AE$6-$G$3)&lt;1,0,IFERROR(LOOKUP(2,1/(Aveia!$E63:INDEX(Aveia!$E63:$Z63,MIN(AE$6-$G$3,22))&lt;&gt;""),Aveia!$E63:INDEX(Aveia!$E63:$Z63,MIN(AE$6-$G$3,22))),0)))))</f>
        <v>0</v>
      </c>
      <c r="AF65" s="27" t="n">
        <f aca="false">IF(COUNT(Aveia!$E63:$Z63)=0,0,MAX(0,IF((AF$6-$E$3)&lt;1,0,IFERROR(LOOKUP(2,1/(Aveia!$E63:INDEX(Aveia!$E63:$Z63,MIN(AF$6-$E$3,22))&lt;&gt;""),Aveia!$E63:INDEX(Aveia!$E63:$Z63,MIN(AF$6-$E$3,22))),0))-IF($G$2,0,IF((AF$6-$G$3)&lt;1,0,IFERROR(LOOKUP(2,1/(Aveia!$E63:INDEX(Aveia!$E63:$Z63,MIN(AF$6-$G$3,22))&lt;&gt;""),Aveia!$E63:INDEX(Aveia!$E63:$Z63,MIN(AF$6-$G$3,22))),0)))))</f>
        <v>0</v>
      </c>
      <c r="AG65" s="27" t="n">
        <f aca="false">IF(COUNT(Aveia!$E63:$Z63)=0,0,MAX(0,IF((AG$6-$E$3)&lt;1,0,IFERROR(LOOKUP(2,1/(Aveia!$E63:INDEX(Aveia!$E63:$Z63,MIN(AG$6-$E$3,22))&lt;&gt;""),Aveia!$E63:INDEX(Aveia!$E63:$Z63,MIN(AG$6-$E$3,22))),0))-IF($G$2,0,IF((AG$6-$G$3)&lt;1,0,IFERROR(LOOKUP(2,1/(Aveia!$E63:INDEX(Aveia!$E63:$Z63,MIN(AG$6-$G$3,22))&lt;&gt;""),Aveia!$E63:INDEX(Aveia!$E63:$Z63,MIN(AG$6-$G$3,22))),0)))))</f>
        <v>0</v>
      </c>
      <c r="AH65" s="27" t="n">
        <f aca="false">IF(COUNT(Aveia!$E63:$Z63)=0,0,MAX(0,IF((AH$6-$E$3)&lt;1,0,IFERROR(LOOKUP(2,1/(Aveia!$E63:INDEX(Aveia!$E63:$Z63,MIN(AH$6-$E$3,22))&lt;&gt;""),Aveia!$E63:INDEX(Aveia!$E63:$Z63,MIN(AH$6-$E$3,22))),0))-IF($G$2,0,IF((AH$6-$G$3)&lt;1,0,IFERROR(LOOKUP(2,1/(Aveia!$E63:INDEX(Aveia!$E63:$Z63,MIN(AH$6-$G$3,22))&lt;&gt;""),Aveia!$E63:INDEX(Aveia!$E63:$Z63,MIN(AH$6-$G$3,22))),0)))))</f>
        <v>0</v>
      </c>
      <c r="AI65" s="27" t="n">
        <f aca="false">IF(COUNT(Aveia!$E63:$Z63)=0,0,MAX(0,IF((AI$6-$E$3)&lt;1,0,IFERROR(LOOKUP(2,1/(Aveia!$E63:INDEX(Aveia!$E63:$Z63,MIN(AI$6-$E$3,22))&lt;&gt;""),Aveia!$E63:INDEX(Aveia!$E63:$Z63,MIN(AI$6-$E$3,22))),0))-IF($G$2,0,IF((AI$6-$G$3)&lt;1,0,IFERROR(LOOKUP(2,1/(Aveia!$E63:INDEX(Aveia!$E63:$Z63,MIN(AI$6-$G$3,22))&lt;&gt;""),Aveia!$E63:INDEX(Aveia!$E63:$Z63,MIN(AI$6-$G$3,22))),0)))))</f>
        <v>0</v>
      </c>
      <c r="AJ65" s="27" t="n">
        <f aca="false">IF(COUNT(Aveia!$E63:$Z63)=0,0,MAX(0,IF((AJ$6-$E$3)&lt;1,0,IFERROR(LOOKUP(2,1/(Aveia!$E63:INDEX(Aveia!$E63:$Z63,MIN(AJ$6-$E$3,22))&lt;&gt;""),Aveia!$E63:INDEX(Aveia!$E63:$Z63,MIN(AJ$6-$E$3,22))),0))-IF($G$2,0,IF((AJ$6-$G$3)&lt;1,0,IFERROR(LOOKUP(2,1/(Aveia!$E63:INDEX(Aveia!$E63:$Z63,MIN(AJ$6-$G$3,22))&lt;&gt;""),Aveia!$E63:INDEX(Aveia!$E63:$Z63,MIN(AJ$6-$G$3,22))),0)))))</f>
        <v>0</v>
      </c>
      <c r="AK65" s="27" t="n">
        <f aca="false">IF(COUNT(Aveia!$E63:$Z63)=0,0,MAX(0,IF((AK$6-$E$3)&lt;1,0,IFERROR(LOOKUP(2,1/(Aveia!$E63:INDEX(Aveia!$E63:$Z63,MIN(AK$6-$E$3,22))&lt;&gt;""),Aveia!$E63:INDEX(Aveia!$E63:$Z63,MIN(AK$6-$E$3,22))),0))-IF($G$2,0,IF((AK$6-$G$3)&lt;1,0,IFERROR(LOOKUP(2,1/(Aveia!$E63:INDEX(Aveia!$E63:$Z63,MIN(AK$6-$G$3,22))&lt;&gt;""),Aveia!$E63:INDEX(Aveia!$E63:$Z63,MIN(AK$6-$G$3,22))),0)))))</f>
        <v>0</v>
      </c>
      <c r="AL65" s="27" t="n">
        <f aca="false">IF(COUNT(Aveia!$E63:$Z63)=0,0,MAX(0,IF((AL$6-$E$3)&lt;1,0,IFERROR(LOOKUP(2,1/(Aveia!$E63:INDEX(Aveia!$E63:$Z63,MIN(AL$6-$E$3,22))&lt;&gt;""),Aveia!$E63:INDEX(Aveia!$E63:$Z63,MIN(AL$6-$E$3,22))),0))-IF($G$2,0,IF((AL$6-$G$3)&lt;1,0,IFERROR(LOOKUP(2,1/(Aveia!$E63:INDEX(Aveia!$E63:$Z63,MIN(AL$6-$G$3,22))&lt;&gt;""),Aveia!$E63:INDEX(Aveia!$E63:$Z63,MIN(AL$6-$G$3,22))),0)))))</f>
        <v>0</v>
      </c>
      <c r="AM65" s="27" t="n">
        <f aca="false">IF(COUNT(Aveia!$E63:$Z63)=0,0,MAX(0,IF((AM$6-$E$3)&lt;1,0,IFERROR(LOOKUP(2,1/(Aveia!$E63:INDEX(Aveia!$E63:$Z63,MIN(AM$6-$E$3,22))&lt;&gt;""),Aveia!$E63:INDEX(Aveia!$E63:$Z63,MIN(AM$6-$E$3,22))),0))-IF($G$2,0,IF((AM$6-$G$3)&lt;1,0,IFERROR(LOOKUP(2,1/(Aveia!$E63:INDEX(Aveia!$E63:$Z63,MIN(AM$6-$G$3,22))&lt;&gt;""),Aveia!$E63:INDEX(Aveia!$E63:$Z63,MIN(AM$6-$G$3,22))),0)))))</f>
        <v>0</v>
      </c>
      <c r="AN65" s="27" t="n">
        <f aca="false">IF(COUNT(Aveia!$E63:$Z63)=0,0,MAX(0,IF((AN$6-$E$3)&lt;1,0,IFERROR(LOOKUP(2,1/(Aveia!$E63:INDEX(Aveia!$E63:$Z63,MIN(AN$6-$E$3,22))&lt;&gt;""),Aveia!$E63:INDEX(Aveia!$E63:$Z63,MIN(AN$6-$E$3,22))),0))-IF($G$2,0,IF((AN$6-$G$3)&lt;1,0,IFERROR(LOOKUP(2,1/(Aveia!$E63:INDEX(Aveia!$E63:$Z63,MIN(AN$6-$G$3,22))&lt;&gt;""),Aveia!$E63:INDEX(Aveia!$E63:$Z63,MIN(AN$6-$G$3,22))),0)))))</f>
        <v>0</v>
      </c>
      <c r="AO65" s="27" t="n">
        <f aca="false">IF(COUNT(Aveia!$E63:$Z63)=0,0,MAX(0,IF((AO$6-$E$3)&lt;1,0,IFERROR(LOOKUP(2,1/(Aveia!$E63:INDEX(Aveia!$E63:$Z63,MIN(AO$6-$E$3,22))&lt;&gt;""),Aveia!$E63:INDEX(Aveia!$E63:$Z63,MIN(AO$6-$E$3,22))),0))-IF($G$2,0,IF((AO$6-$G$3)&lt;1,0,IFERROR(LOOKUP(2,1/(Aveia!$E63:INDEX(Aveia!$E63:$Z63,MIN(AO$6-$G$3,22))&lt;&gt;""),Aveia!$E63:INDEX(Aveia!$E63:$Z63,MIN(AO$6-$G$3,22))),0)))))</f>
        <v>0</v>
      </c>
      <c r="AP65" s="27" t="n">
        <f aca="false">IF(COUNT(Aveia!$E63:$Z63)=0,0,MAX(0,IF((AP$6-$E$3)&lt;1,0,IFERROR(LOOKUP(2,1/(Aveia!$E63:INDEX(Aveia!$E63:$Z63,MIN(AP$6-$E$3,22))&lt;&gt;""),Aveia!$E63:INDEX(Aveia!$E63:$Z63,MIN(AP$6-$E$3,22))),0))-IF($G$2,0,IF((AP$6-$G$3)&lt;1,0,IFERROR(LOOKUP(2,1/(Aveia!$E63:INDEX(Aveia!$E63:$Z63,MIN(AP$6-$G$3,22))&lt;&gt;""),Aveia!$E63:INDEX(Aveia!$E63:$Z63,MIN(AP$6-$G$3,22))),0)))))</f>
        <v>0</v>
      </c>
      <c r="AQ65" s="27" t="n">
        <f aca="false">IF(COUNT(Aveia!$E63:$Z63)=0,0,MAX(0,IF((AQ$6-$E$3)&lt;1,0,IFERROR(LOOKUP(2,1/(Aveia!$E63:INDEX(Aveia!$E63:$Z63,MIN(AQ$6-$E$3,22))&lt;&gt;""),Aveia!$E63:INDEX(Aveia!$E63:$Z63,MIN(AQ$6-$E$3,22))),0))-IF($G$2,0,IF((AQ$6-$G$3)&lt;1,0,IFERROR(LOOKUP(2,1/(Aveia!$E63:INDEX(Aveia!$E63:$Z63,MIN(AQ$6-$G$3,22))&lt;&gt;""),Aveia!$E63:INDEX(Aveia!$E63:$Z63,MIN(AQ$6-$G$3,22))),0)))))</f>
        <v>0</v>
      </c>
      <c r="AR65" s="27" t="n">
        <f aca="false">IF(COUNT(Aveia!$E63:$Z63)=0,0,MAX(0,IF((AR$6-$E$3)&lt;1,0,IFERROR(LOOKUP(2,1/(Aveia!$E63:INDEX(Aveia!$E63:$Z63,MIN(AR$6-$E$3,22))&lt;&gt;""),Aveia!$E63:INDEX(Aveia!$E63:$Z63,MIN(AR$6-$E$3,22))),0))-IF($G$2,0,IF((AR$6-$G$3)&lt;1,0,IFERROR(LOOKUP(2,1/(Aveia!$E63:INDEX(Aveia!$E63:$Z63,MIN(AR$6-$G$3,22))&lt;&gt;""),Aveia!$E63:INDEX(Aveia!$E63:$Z63,MIN(AR$6-$G$3,22))),0)))))</f>
        <v>0</v>
      </c>
      <c r="AS65" s="27" t="n">
        <f aca="false">IF(COUNT(Aveia!$E63:$Z63)=0,0,MAX(0,IF((AS$6-$E$3)&lt;1,0,IFERROR(LOOKUP(2,1/(Aveia!$E63:INDEX(Aveia!$E63:$Z63,MIN(AS$6-$E$3,22))&lt;&gt;""),Aveia!$E63:INDEX(Aveia!$E63:$Z63,MIN(AS$6-$E$3,22))),0))-IF($G$2,0,IF((AS$6-$G$3)&lt;1,0,IFERROR(LOOKUP(2,1/(Aveia!$E63:INDEX(Aveia!$E63:$Z63,MIN(AS$6-$G$3,22))&lt;&gt;""),Aveia!$E63:INDEX(Aveia!$E63:$Z63,MIN(AS$6-$G$3,22))),0)))))</f>
        <v>0</v>
      </c>
      <c r="AT65" s="27" t="n">
        <f aca="false">IF(COUNT(Aveia!$E63:$Z63)=0,0,MAX(0,IF((AT$6-$E$3)&lt;1,0,IFERROR(LOOKUP(2,1/(Aveia!$E63:INDEX(Aveia!$E63:$Z63,MIN(AT$6-$E$3,22))&lt;&gt;""),Aveia!$E63:INDEX(Aveia!$E63:$Z63,MIN(AT$6-$E$3,22))),0))-IF($G$2,0,IF((AT$6-$G$3)&lt;1,0,IFERROR(LOOKUP(2,1/(Aveia!$E63:INDEX(Aveia!$E63:$Z63,MIN(AT$6-$G$3,22))&lt;&gt;""),Aveia!$E63:INDEX(Aveia!$E63:$Z63,MIN(AT$6-$G$3,22))),0)))))</f>
        <v>0</v>
      </c>
      <c r="AU65" s="27" t="n">
        <f aca="false">IF(COUNT(Aveia!$E63:$Z63)=0,0,MAX(0,IF((AU$6-$E$3)&lt;1,0,IFERROR(LOOKUP(2,1/(Aveia!$E63:INDEX(Aveia!$E63:$Z63,MIN(AU$6-$E$3,22))&lt;&gt;""),Aveia!$E63:INDEX(Aveia!$E63:$Z63,MIN(AU$6-$E$3,22))),0))-IF($G$2,0,IF((AU$6-$G$3)&lt;1,0,IFERROR(LOOKUP(2,1/(Aveia!$E63:INDEX(Aveia!$E63:$Z63,MIN(AU$6-$G$3,22))&lt;&gt;""),Aveia!$E63:INDEX(Aveia!$E63:$Z63,MIN(AU$6-$G$3,22))),0)))))</f>
        <v>0</v>
      </c>
      <c r="AV65" s="27" t="n">
        <f aca="false">IF(COUNT(Aveia!$E63:$Z63)=0,0,MAX(0,IF((AV$6-$E$3)&lt;1,0,IFERROR(LOOKUP(2,1/(Aveia!$E63:INDEX(Aveia!$E63:$Z63,MIN(AV$6-$E$3,22))&lt;&gt;""),Aveia!$E63:INDEX(Aveia!$E63:$Z63,MIN(AV$6-$E$3,22))),0))-IF($G$2,0,IF((AV$6-$G$3)&lt;1,0,IFERROR(LOOKUP(2,1/(Aveia!$E63:INDEX(Aveia!$E63:$Z63,MIN(AV$6-$G$3,22))&lt;&gt;""),Aveia!$E63:INDEX(Aveia!$E63:$Z63,MIN(AV$6-$G$3,22))),0)))))</f>
        <v>0</v>
      </c>
      <c r="AW65" s="27" t="n">
        <f aca="false">IF(COUNT(Aveia!$E63:$Z63)=0,0,MAX(0,IF((AW$6-$E$3)&lt;1,0,IFERROR(LOOKUP(2,1/(Aveia!$E63:INDEX(Aveia!$E63:$Z63,MIN(AW$6-$E$3,22))&lt;&gt;""),Aveia!$E63:INDEX(Aveia!$E63:$Z63,MIN(AW$6-$E$3,22))),0))-IF($G$2,0,IF((AW$6-$G$3)&lt;1,0,IFERROR(LOOKUP(2,1/(Aveia!$E63:INDEX(Aveia!$E63:$Z63,MIN(AW$6-$G$3,22))&lt;&gt;""),Aveia!$E63:INDEX(Aveia!$E63:$Z63,MIN(AW$6-$G$3,22))),0)))))</f>
        <v>0</v>
      </c>
      <c r="AX65" s="27" t="n">
        <f aca="false">IF(COUNT(Aveia!$E63:$Z63)=0,0,MAX(0,IF((AX$6-$E$3)&lt;1,0,IFERROR(LOOKUP(2,1/(Aveia!$E63:INDEX(Aveia!$E63:$Z63,MIN(AX$6-$E$3,22))&lt;&gt;""),Aveia!$E63:INDEX(Aveia!$E63:$Z63,MIN(AX$6-$E$3,22))),0))-IF($G$2,0,IF((AX$6-$G$3)&lt;1,0,IFERROR(LOOKUP(2,1/(Aveia!$E63:INDEX(Aveia!$E63:$Z63,MIN(AX$6-$G$3,22))&lt;&gt;""),Aveia!$E63:INDEX(Aveia!$E63:$Z63,MIN(AX$6-$G$3,22))),0)))))</f>
        <v>0</v>
      </c>
      <c r="AY65" s="27" t="n">
        <f aca="false">IF(COUNT(Aveia!$E63:$Z63)=0,0,MAX(0,IF((AY$6-$E$3)&lt;1,0,IFERROR(LOOKUP(2,1/(Aveia!$E63:INDEX(Aveia!$E63:$Z63,MIN(AY$6-$E$3,22))&lt;&gt;""),Aveia!$E63:INDEX(Aveia!$E63:$Z63,MIN(AY$6-$E$3,22))),0))-IF($G$2,0,IF((AY$6-$G$3)&lt;1,0,IFERROR(LOOKUP(2,1/(Aveia!$E63:INDEX(Aveia!$E63:$Z63,MIN(AY$6-$G$3,22))&lt;&gt;""),Aveia!$E63:INDEX(Aveia!$E63:$Z63,MIN(AY$6-$G$3,22))),0)))))</f>
        <v>0</v>
      </c>
      <c r="AZ65" s="27" t="n">
        <f aca="false">IF(COUNT(Aveia!$E63:$Z63)=0,0,MAX(0,IF((AZ$6-$E$3)&lt;1,0,IFERROR(LOOKUP(2,1/(Aveia!$E63:INDEX(Aveia!$E63:$Z63,MIN(AZ$6-$E$3,22))&lt;&gt;""),Aveia!$E63:INDEX(Aveia!$E63:$Z63,MIN(AZ$6-$E$3,22))),0))-IF($G$2,0,IF((AZ$6-$G$3)&lt;1,0,IFERROR(LOOKUP(2,1/(Aveia!$E63:INDEX(Aveia!$E63:$Z63,MIN(AZ$6-$G$3,22))&lt;&gt;""),Aveia!$E63:INDEX(Aveia!$E63:$Z63,MIN(AZ$6-$G$3,22))),0)))))</f>
        <v>0</v>
      </c>
    </row>
    <row r="66" customFormat="false" ht="15" hidden="false" customHeight="false" outlineLevel="0" collapsed="false">
      <c r="A66" s="3" t="s">
        <v>251</v>
      </c>
      <c r="B66" s="3" t="s">
        <v>252</v>
      </c>
      <c r="C66" s="10" t="s">
        <v>148</v>
      </c>
      <c r="D66" s="26" t="n">
        <f aca="false">IF(COUNT(Aveia!$E64:$Z64)&gt;0,N(Aveia!$D64),0)</f>
        <v>0</v>
      </c>
      <c r="E66" s="27" t="n">
        <f aca="false">IF(COUNT(Aveia!$E64:$Z64)=0,0,MAX(0,IF((E$6-$E$3)&lt;1,0,IFERROR(LOOKUP(2,1/(Aveia!$E64:INDEX(Aveia!$E64:$Z64,MIN(E$6-$E$3,22))&lt;&gt;""),Aveia!$E64:INDEX(Aveia!$E64:$Z64,MIN(E$6-$E$3,22))),0))-IF($G$2,0,IF((E$6-$G$3)&lt;1,0,IFERROR(LOOKUP(2,1/(Aveia!$E64:INDEX(Aveia!$E64:$Z64,MIN(E$6-$G$3,22))&lt;&gt;""),Aveia!$E64:INDEX(Aveia!$E64:$Z64,MIN(E$6-$G$3,22))),0)))))</f>
        <v>0</v>
      </c>
      <c r="F66" s="27" t="n">
        <f aca="false">IF(COUNT(Aveia!$E64:$Z64)=0,0,MAX(0,IF((F$6-$E$3)&lt;1,0,IFERROR(LOOKUP(2,1/(Aveia!$E64:INDEX(Aveia!$E64:$Z64,MIN(F$6-$E$3,22))&lt;&gt;""),Aveia!$E64:INDEX(Aveia!$E64:$Z64,MIN(F$6-$E$3,22))),0))-IF($G$2,0,IF((F$6-$G$3)&lt;1,0,IFERROR(LOOKUP(2,1/(Aveia!$E64:INDEX(Aveia!$E64:$Z64,MIN(F$6-$G$3,22))&lt;&gt;""),Aveia!$E64:INDEX(Aveia!$E64:$Z64,MIN(F$6-$G$3,22))),0)))))</f>
        <v>0</v>
      </c>
      <c r="G66" s="27" t="n">
        <f aca="false">IF(COUNT(Aveia!$E64:$Z64)=0,0,MAX(0,IF((G$6-$E$3)&lt;1,0,IFERROR(LOOKUP(2,1/(Aveia!$E64:INDEX(Aveia!$E64:$Z64,MIN(G$6-$E$3,22))&lt;&gt;""),Aveia!$E64:INDEX(Aveia!$E64:$Z64,MIN(G$6-$E$3,22))),0))-IF($G$2,0,IF((G$6-$G$3)&lt;1,0,IFERROR(LOOKUP(2,1/(Aveia!$E64:INDEX(Aveia!$E64:$Z64,MIN(G$6-$G$3,22))&lt;&gt;""),Aveia!$E64:INDEX(Aveia!$E64:$Z64,MIN(G$6-$G$3,22))),0)))))</f>
        <v>0</v>
      </c>
      <c r="H66" s="27" t="n">
        <f aca="false">IF(COUNT(Aveia!$E64:$Z64)=0,0,MAX(0,IF((H$6-$E$3)&lt;1,0,IFERROR(LOOKUP(2,1/(Aveia!$E64:INDEX(Aveia!$E64:$Z64,MIN(H$6-$E$3,22))&lt;&gt;""),Aveia!$E64:INDEX(Aveia!$E64:$Z64,MIN(H$6-$E$3,22))),0))-IF($G$2,0,IF((H$6-$G$3)&lt;1,0,IFERROR(LOOKUP(2,1/(Aveia!$E64:INDEX(Aveia!$E64:$Z64,MIN(H$6-$G$3,22))&lt;&gt;""),Aveia!$E64:INDEX(Aveia!$E64:$Z64,MIN(H$6-$G$3,22))),0)))))</f>
        <v>0</v>
      </c>
      <c r="I66" s="27" t="n">
        <f aca="false">IF(COUNT(Aveia!$E64:$Z64)=0,0,MAX(0,IF((I$6-$E$3)&lt;1,0,IFERROR(LOOKUP(2,1/(Aveia!$E64:INDEX(Aveia!$E64:$Z64,MIN(I$6-$E$3,22))&lt;&gt;""),Aveia!$E64:INDEX(Aveia!$E64:$Z64,MIN(I$6-$E$3,22))),0))-IF($G$2,0,IF((I$6-$G$3)&lt;1,0,IFERROR(LOOKUP(2,1/(Aveia!$E64:INDEX(Aveia!$E64:$Z64,MIN(I$6-$G$3,22))&lt;&gt;""),Aveia!$E64:INDEX(Aveia!$E64:$Z64,MIN(I$6-$G$3,22))),0)))))</f>
        <v>0</v>
      </c>
      <c r="J66" s="27" t="n">
        <f aca="false">IF(COUNT(Aveia!$E64:$Z64)=0,0,MAX(0,IF((J$6-$E$3)&lt;1,0,IFERROR(LOOKUP(2,1/(Aveia!$E64:INDEX(Aveia!$E64:$Z64,MIN(J$6-$E$3,22))&lt;&gt;""),Aveia!$E64:INDEX(Aveia!$E64:$Z64,MIN(J$6-$E$3,22))),0))-IF($G$2,0,IF((J$6-$G$3)&lt;1,0,IFERROR(LOOKUP(2,1/(Aveia!$E64:INDEX(Aveia!$E64:$Z64,MIN(J$6-$G$3,22))&lt;&gt;""),Aveia!$E64:INDEX(Aveia!$E64:$Z64,MIN(J$6-$G$3,22))),0)))))</f>
        <v>0</v>
      </c>
      <c r="K66" s="27" t="n">
        <f aca="false">IF(COUNT(Aveia!$E64:$Z64)=0,0,MAX(0,IF((K$6-$E$3)&lt;1,0,IFERROR(LOOKUP(2,1/(Aveia!$E64:INDEX(Aveia!$E64:$Z64,MIN(K$6-$E$3,22))&lt;&gt;""),Aveia!$E64:INDEX(Aveia!$E64:$Z64,MIN(K$6-$E$3,22))),0))-IF($G$2,0,IF((K$6-$G$3)&lt;1,0,IFERROR(LOOKUP(2,1/(Aveia!$E64:INDEX(Aveia!$E64:$Z64,MIN(K$6-$G$3,22))&lt;&gt;""),Aveia!$E64:INDEX(Aveia!$E64:$Z64,MIN(K$6-$G$3,22))),0)))))</f>
        <v>0</v>
      </c>
      <c r="L66" s="27" t="n">
        <f aca="false">IF(COUNT(Aveia!$E64:$Z64)=0,0,MAX(0,IF((L$6-$E$3)&lt;1,0,IFERROR(LOOKUP(2,1/(Aveia!$E64:INDEX(Aveia!$E64:$Z64,MIN(L$6-$E$3,22))&lt;&gt;""),Aveia!$E64:INDEX(Aveia!$E64:$Z64,MIN(L$6-$E$3,22))),0))-IF($G$2,0,IF((L$6-$G$3)&lt;1,0,IFERROR(LOOKUP(2,1/(Aveia!$E64:INDEX(Aveia!$E64:$Z64,MIN(L$6-$G$3,22))&lt;&gt;""),Aveia!$E64:INDEX(Aveia!$E64:$Z64,MIN(L$6-$G$3,22))),0)))))</f>
        <v>0</v>
      </c>
      <c r="M66" s="27" t="n">
        <f aca="false">IF(COUNT(Aveia!$E64:$Z64)=0,0,MAX(0,IF((M$6-$E$3)&lt;1,0,IFERROR(LOOKUP(2,1/(Aveia!$E64:INDEX(Aveia!$E64:$Z64,MIN(M$6-$E$3,22))&lt;&gt;""),Aveia!$E64:INDEX(Aveia!$E64:$Z64,MIN(M$6-$E$3,22))),0))-IF($G$2,0,IF((M$6-$G$3)&lt;1,0,IFERROR(LOOKUP(2,1/(Aveia!$E64:INDEX(Aveia!$E64:$Z64,MIN(M$6-$G$3,22))&lt;&gt;""),Aveia!$E64:INDEX(Aveia!$E64:$Z64,MIN(M$6-$G$3,22))),0)))))</f>
        <v>0</v>
      </c>
      <c r="N66" s="27" t="n">
        <f aca="false">IF(COUNT(Aveia!$E64:$Z64)=0,0,MAX(0,IF((N$6-$E$3)&lt;1,0,IFERROR(LOOKUP(2,1/(Aveia!$E64:INDEX(Aveia!$E64:$Z64,MIN(N$6-$E$3,22))&lt;&gt;""),Aveia!$E64:INDEX(Aveia!$E64:$Z64,MIN(N$6-$E$3,22))),0))-IF($G$2,0,IF((N$6-$G$3)&lt;1,0,IFERROR(LOOKUP(2,1/(Aveia!$E64:INDEX(Aveia!$E64:$Z64,MIN(N$6-$G$3,22))&lt;&gt;""),Aveia!$E64:INDEX(Aveia!$E64:$Z64,MIN(N$6-$G$3,22))),0)))))</f>
        <v>0</v>
      </c>
      <c r="O66" s="27" t="n">
        <f aca="false">IF(COUNT(Aveia!$E64:$Z64)=0,0,MAX(0,IF((O$6-$E$3)&lt;1,0,IFERROR(LOOKUP(2,1/(Aveia!$E64:INDEX(Aveia!$E64:$Z64,MIN(O$6-$E$3,22))&lt;&gt;""),Aveia!$E64:INDEX(Aveia!$E64:$Z64,MIN(O$6-$E$3,22))),0))-IF($G$2,0,IF((O$6-$G$3)&lt;1,0,IFERROR(LOOKUP(2,1/(Aveia!$E64:INDEX(Aveia!$E64:$Z64,MIN(O$6-$G$3,22))&lt;&gt;""),Aveia!$E64:INDEX(Aveia!$E64:$Z64,MIN(O$6-$G$3,22))),0)))))</f>
        <v>0</v>
      </c>
      <c r="P66" s="27" t="n">
        <f aca="false">IF(COUNT(Aveia!$E64:$Z64)=0,0,MAX(0,IF((P$6-$E$3)&lt;1,0,IFERROR(LOOKUP(2,1/(Aveia!$E64:INDEX(Aveia!$E64:$Z64,MIN(P$6-$E$3,22))&lt;&gt;""),Aveia!$E64:INDEX(Aveia!$E64:$Z64,MIN(P$6-$E$3,22))),0))-IF($G$2,0,IF((P$6-$G$3)&lt;1,0,IFERROR(LOOKUP(2,1/(Aveia!$E64:INDEX(Aveia!$E64:$Z64,MIN(P$6-$G$3,22))&lt;&gt;""),Aveia!$E64:INDEX(Aveia!$E64:$Z64,MIN(P$6-$G$3,22))),0)))))</f>
        <v>0</v>
      </c>
      <c r="Q66" s="27" t="n">
        <f aca="false">IF(COUNT(Aveia!$E64:$Z64)=0,0,MAX(0,IF((Q$6-$E$3)&lt;1,0,IFERROR(LOOKUP(2,1/(Aveia!$E64:INDEX(Aveia!$E64:$Z64,MIN(Q$6-$E$3,22))&lt;&gt;""),Aveia!$E64:INDEX(Aveia!$E64:$Z64,MIN(Q$6-$E$3,22))),0))-IF($G$2,0,IF((Q$6-$G$3)&lt;1,0,IFERROR(LOOKUP(2,1/(Aveia!$E64:INDEX(Aveia!$E64:$Z64,MIN(Q$6-$G$3,22))&lt;&gt;""),Aveia!$E64:INDEX(Aveia!$E64:$Z64,MIN(Q$6-$G$3,22))),0)))))</f>
        <v>0</v>
      </c>
      <c r="R66" s="27" t="n">
        <f aca="false">IF(COUNT(Aveia!$E64:$Z64)=0,0,MAX(0,IF((R$6-$E$3)&lt;1,0,IFERROR(LOOKUP(2,1/(Aveia!$E64:INDEX(Aveia!$E64:$Z64,MIN(R$6-$E$3,22))&lt;&gt;""),Aveia!$E64:INDEX(Aveia!$E64:$Z64,MIN(R$6-$E$3,22))),0))-IF($G$2,0,IF((R$6-$G$3)&lt;1,0,IFERROR(LOOKUP(2,1/(Aveia!$E64:INDEX(Aveia!$E64:$Z64,MIN(R$6-$G$3,22))&lt;&gt;""),Aveia!$E64:INDEX(Aveia!$E64:$Z64,MIN(R$6-$G$3,22))),0)))))</f>
        <v>0</v>
      </c>
      <c r="S66" s="27" t="n">
        <f aca="false">IF(COUNT(Aveia!$E64:$Z64)=0,0,MAX(0,IF((S$6-$E$3)&lt;1,0,IFERROR(LOOKUP(2,1/(Aveia!$E64:INDEX(Aveia!$E64:$Z64,MIN(S$6-$E$3,22))&lt;&gt;""),Aveia!$E64:INDEX(Aveia!$E64:$Z64,MIN(S$6-$E$3,22))),0))-IF($G$2,0,IF((S$6-$G$3)&lt;1,0,IFERROR(LOOKUP(2,1/(Aveia!$E64:INDEX(Aveia!$E64:$Z64,MIN(S$6-$G$3,22))&lt;&gt;""),Aveia!$E64:INDEX(Aveia!$E64:$Z64,MIN(S$6-$G$3,22))),0)))))</f>
        <v>0</v>
      </c>
      <c r="T66" s="27" t="n">
        <f aca="false">IF(COUNT(Aveia!$E64:$Z64)=0,0,MAX(0,IF((T$6-$E$3)&lt;1,0,IFERROR(LOOKUP(2,1/(Aveia!$E64:INDEX(Aveia!$E64:$Z64,MIN(T$6-$E$3,22))&lt;&gt;""),Aveia!$E64:INDEX(Aveia!$E64:$Z64,MIN(T$6-$E$3,22))),0))-IF($G$2,0,IF((T$6-$G$3)&lt;1,0,IFERROR(LOOKUP(2,1/(Aveia!$E64:INDEX(Aveia!$E64:$Z64,MIN(T$6-$G$3,22))&lt;&gt;""),Aveia!$E64:INDEX(Aveia!$E64:$Z64,MIN(T$6-$G$3,22))),0)))))</f>
        <v>0</v>
      </c>
      <c r="U66" s="27" t="n">
        <f aca="false">IF(COUNT(Aveia!$E64:$Z64)=0,0,MAX(0,IF((U$6-$E$3)&lt;1,0,IFERROR(LOOKUP(2,1/(Aveia!$E64:INDEX(Aveia!$E64:$Z64,MIN(U$6-$E$3,22))&lt;&gt;""),Aveia!$E64:INDEX(Aveia!$E64:$Z64,MIN(U$6-$E$3,22))),0))-IF($G$2,0,IF((U$6-$G$3)&lt;1,0,IFERROR(LOOKUP(2,1/(Aveia!$E64:INDEX(Aveia!$E64:$Z64,MIN(U$6-$G$3,22))&lt;&gt;""),Aveia!$E64:INDEX(Aveia!$E64:$Z64,MIN(U$6-$G$3,22))),0)))))</f>
        <v>0</v>
      </c>
      <c r="V66" s="27" t="n">
        <f aca="false">IF(COUNT(Aveia!$E64:$Z64)=0,0,MAX(0,IF((V$6-$E$3)&lt;1,0,IFERROR(LOOKUP(2,1/(Aveia!$E64:INDEX(Aveia!$E64:$Z64,MIN(V$6-$E$3,22))&lt;&gt;""),Aveia!$E64:INDEX(Aveia!$E64:$Z64,MIN(V$6-$E$3,22))),0))-IF($G$2,0,IF((V$6-$G$3)&lt;1,0,IFERROR(LOOKUP(2,1/(Aveia!$E64:INDEX(Aveia!$E64:$Z64,MIN(V$6-$G$3,22))&lt;&gt;""),Aveia!$E64:INDEX(Aveia!$E64:$Z64,MIN(V$6-$G$3,22))),0)))))</f>
        <v>0</v>
      </c>
      <c r="W66" s="27" t="n">
        <f aca="false">IF(COUNT(Aveia!$E64:$Z64)=0,0,MAX(0,IF((W$6-$E$3)&lt;1,0,IFERROR(LOOKUP(2,1/(Aveia!$E64:INDEX(Aveia!$E64:$Z64,MIN(W$6-$E$3,22))&lt;&gt;""),Aveia!$E64:INDEX(Aveia!$E64:$Z64,MIN(W$6-$E$3,22))),0))-IF($G$2,0,IF((W$6-$G$3)&lt;1,0,IFERROR(LOOKUP(2,1/(Aveia!$E64:INDEX(Aveia!$E64:$Z64,MIN(W$6-$G$3,22))&lt;&gt;""),Aveia!$E64:INDEX(Aveia!$E64:$Z64,MIN(W$6-$G$3,22))),0)))))</f>
        <v>0</v>
      </c>
      <c r="X66" s="27" t="n">
        <f aca="false">IF(COUNT(Aveia!$E64:$Z64)=0,0,MAX(0,IF((X$6-$E$3)&lt;1,0,IFERROR(LOOKUP(2,1/(Aveia!$E64:INDEX(Aveia!$E64:$Z64,MIN(X$6-$E$3,22))&lt;&gt;""),Aveia!$E64:INDEX(Aveia!$E64:$Z64,MIN(X$6-$E$3,22))),0))-IF($G$2,0,IF((X$6-$G$3)&lt;1,0,IFERROR(LOOKUP(2,1/(Aveia!$E64:INDEX(Aveia!$E64:$Z64,MIN(X$6-$G$3,22))&lt;&gt;""),Aveia!$E64:INDEX(Aveia!$E64:$Z64,MIN(X$6-$G$3,22))),0)))))</f>
        <v>0</v>
      </c>
      <c r="Y66" s="27" t="n">
        <f aca="false">IF(COUNT(Aveia!$E64:$Z64)=0,0,MAX(0,IF((Y$6-$E$3)&lt;1,0,IFERROR(LOOKUP(2,1/(Aveia!$E64:INDEX(Aveia!$E64:$Z64,MIN(Y$6-$E$3,22))&lt;&gt;""),Aveia!$E64:INDEX(Aveia!$E64:$Z64,MIN(Y$6-$E$3,22))),0))-IF($G$2,0,IF((Y$6-$G$3)&lt;1,0,IFERROR(LOOKUP(2,1/(Aveia!$E64:INDEX(Aveia!$E64:$Z64,MIN(Y$6-$G$3,22))&lt;&gt;""),Aveia!$E64:INDEX(Aveia!$E64:$Z64,MIN(Y$6-$G$3,22))),0)))))</f>
        <v>0</v>
      </c>
      <c r="Z66" s="27" t="n">
        <f aca="false">IF(COUNT(Aveia!$E64:$Z64)=0,0,MAX(0,IF((Z$6-$E$3)&lt;1,0,IFERROR(LOOKUP(2,1/(Aveia!$E64:INDEX(Aveia!$E64:$Z64,MIN(Z$6-$E$3,22))&lt;&gt;""),Aveia!$E64:INDEX(Aveia!$E64:$Z64,MIN(Z$6-$E$3,22))),0))-IF($G$2,0,IF((Z$6-$G$3)&lt;1,0,IFERROR(LOOKUP(2,1/(Aveia!$E64:INDEX(Aveia!$E64:$Z64,MIN(Z$6-$G$3,22))&lt;&gt;""),Aveia!$E64:INDEX(Aveia!$E64:$Z64,MIN(Z$6-$G$3,22))),0)))))</f>
        <v>0</v>
      </c>
      <c r="AA66" s="27" t="n">
        <f aca="false">IF(COUNT(Aveia!$E64:$Z64)=0,0,MAX(0,IF((AA$6-$E$3)&lt;1,0,IFERROR(LOOKUP(2,1/(Aveia!$E64:INDEX(Aveia!$E64:$Z64,MIN(AA$6-$E$3,22))&lt;&gt;""),Aveia!$E64:INDEX(Aveia!$E64:$Z64,MIN(AA$6-$E$3,22))),0))-IF($G$2,0,IF((AA$6-$G$3)&lt;1,0,IFERROR(LOOKUP(2,1/(Aveia!$E64:INDEX(Aveia!$E64:$Z64,MIN(AA$6-$G$3,22))&lt;&gt;""),Aveia!$E64:INDEX(Aveia!$E64:$Z64,MIN(AA$6-$G$3,22))),0)))))</f>
        <v>0</v>
      </c>
      <c r="AB66" s="27" t="n">
        <f aca="false">IF(COUNT(Aveia!$E64:$Z64)=0,0,MAX(0,IF((AB$6-$E$3)&lt;1,0,IFERROR(LOOKUP(2,1/(Aveia!$E64:INDEX(Aveia!$E64:$Z64,MIN(AB$6-$E$3,22))&lt;&gt;""),Aveia!$E64:INDEX(Aveia!$E64:$Z64,MIN(AB$6-$E$3,22))),0))-IF($G$2,0,IF((AB$6-$G$3)&lt;1,0,IFERROR(LOOKUP(2,1/(Aveia!$E64:INDEX(Aveia!$E64:$Z64,MIN(AB$6-$G$3,22))&lt;&gt;""),Aveia!$E64:INDEX(Aveia!$E64:$Z64,MIN(AB$6-$G$3,22))),0)))))</f>
        <v>0</v>
      </c>
      <c r="AC66" s="27" t="n">
        <f aca="false">IF(COUNT(Aveia!$E64:$Z64)=0,0,MAX(0,IF((AC$6-$E$3)&lt;1,0,IFERROR(LOOKUP(2,1/(Aveia!$E64:INDEX(Aveia!$E64:$Z64,MIN(AC$6-$E$3,22))&lt;&gt;""),Aveia!$E64:INDEX(Aveia!$E64:$Z64,MIN(AC$6-$E$3,22))),0))-IF($G$2,0,IF((AC$6-$G$3)&lt;1,0,IFERROR(LOOKUP(2,1/(Aveia!$E64:INDEX(Aveia!$E64:$Z64,MIN(AC$6-$G$3,22))&lt;&gt;""),Aveia!$E64:INDEX(Aveia!$E64:$Z64,MIN(AC$6-$G$3,22))),0)))))</f>
        <v>0</v>
      </c>
      <c r="AD66" s="27" t="n">
        <f aca="false">IF(COUNT(Aveia!$E64:$Z64)=0,0,MAX(0,IF((AD$6-$E$3)&lt;1,0,IFERROR(LOOKUP(2,1/(Aveia!$E64:INDEX(Aveia!$E64:$Z64,MIN(AD$6-$E$3,22))&lt;&gt;""),Aveia!$E64:INDEX(Aveia!$E64:$Z64,MIN(AD$6-$E$3,22))),0))-IF($G$2,0,IF((AD$6-$G$3)&lt;1,0,IFERROR(LOOKUP(2,1/(Aveia!$E64:INDEX(Aveia!$E64:$Z64,MIN(AD$6-$G$3,22))&lt;&gt;""),Aveia!$E64:INDEX(Aveia!$E64:$Z64,MIN(AD$6-$G$3,22))),0)))))</f>
        <v>0</v>
      </c>
      <c r="AE66" s="27" t="n">
        <f aca="false">IF(COUNT(Aveia!$E64:$Z64)=0,0,MAX(0,IF((AE$6-$E$3)&lt;1,0,IFERROR(LOOKUP(2,1/(Aveia!$E64:INDEX(Aveia!$E64:$Z64,MIN(AE$6-$E$3,22))&lt;&gt;""),Aveia!$E64:INDEX(Aveia!$E64:$Z64,MIN(AE$6-$E$3,22))),0))-IF($G$2,0,IF((AE$6-$G$3)&lt;1,0,IFERROR(LOOKUP(2,1/(Aveia!$E64:INDEX(Aveia!$E64:$Z64,MIN(AE$6-$G$3,22))&lt;&gt;""),Aveia!$E64:INDEX(Aveia!$E64:$Z64,MIN(AE$6-$G$3,22))),0)))))</f>
        <v>0</v>
      </c>
      <c r="AF66" s="27" t="n">
        <f aca="false">IF(COUNT(Aveia!$E64:$Z64)=0,0,MAX(0,IF((AF$6-$E$3)&lt;1,0,IFERROR(LOOKUP(2,1/(Aveia!$E64:INDEX(Aveia!$E64:$Z64,MIN(AF$6-$E$3,22))&lt;&gt;""),Aveia!$E64:INDEX(Aveia!$E64:$Z64,MIN(AF$6-$E$3,22))),0))-IF($G$2,0,IF((AF$6-$G$3)&lt;1,0,IFERROR(LOOKUP(2,1/(Aveia!$E64:INDEX(Aveia!$E64:$Z64,MIN(AF$6-$G$3,22))&lt;&gt;""),Aveia!$E64:INDEX(Aveia!$E64:$Z64,MIN(AF$6-$G$3,22))),0)))))</f>
        <v>0</v>
      </c>
      <c r="AG66" s="27" t="n">
        <f aca="false">IF(COUNT(Aveia!$E64:$Z64)=0,0,MAX(0,IF((AG$6-$E$3)&lt;1,0,IFERROR(LOOKUP(2,1/(Aveia!$E64:INDEX(Aveia!$E64:$Z64,MIN(AG$6-$E$3,22))&lt;&gt;""),Aveia!$E64:INDEX(Aveia!$E64:$Z64,MIN(AG$6-$E$3,22))),0))-IF($G$2,0,IF((AG$6-$G$3)&lt;1,0,IFERROR(LOOKUP(2,1/(Aveia!$E64:INDEX(Aveia!$E64:$Z64,MIN(AG$6-$G$3,22))&lt;&gt;""),Aveia!$E64:INDEX(Aveia!$E64:$Z64,MIN(AG$6-$G$3,22))),0)))))</f>
        <v>0</v>
      </c>
      <c r="AH66" s="27" t="n">
        <f aca="false">IF(COUNT(Aveia!$E64:$Z64)=0,0,MAX(0,IF((AH$6-$E$3)&lt;1,0,IFERROR(LOOKUP(2,1/(Aveia!$E64:INDEX(Aveia!$E64:$Z64,MIN(AH$6-$E$3,22))&lt;&gt;""),Aveia!$E64:INDEX(Aveia!$E64:$Z64,MIN(AH$6-$E$3,22))),0))-IF($G$2,0,IF((AH$6-$G$3)&lt;1,0,IFERROR(LOOKUP(2,1/(Aveia!$E64:INDEX(Aveia!$E64:$Z64,MIN(AH$6-$G$3,22))&lt;&gt;""),Aveia!$E64:INDEX(Aveia!$E64:$Z64,MIN(AH$6-$G$3,22))),0)))))</f>
        <v>0</v>
      </c>
      <c r="AI66" s="27" t="n">
        <f aca="false">IF(COUNT(Aveia!$E64:$Z64)=0,0,MAX(0,IF((AI$6-$E$3)&lt;1,0,IFERROR(LOOKUP(2,1/(Aveia!$E64:INDEX(Aveia!$E64:$Z64,MIN(AI$6-$E$3,22))&lt;&gt;""),Aveia!$E64:INDEX(Aveia!$E64:$Z64,MIN(AI$6-$E$3,22))),0))-IF($G$2,0,IF((AI$6-$G$3)&lt;1,0,IFERROR(LOOKUP(2,1/(Aveia!$E64:INDEX(Aveia!$E64:$Z64,MIN(AI$6-$G$3,22))&lt;&gt;""),Aveia!$E64:INDEX(Aveia!$E64:$Z64,MIN(AI$6-$G$3,22))),0)))))</f>
        <v>0</v>
      </c>
      <c r="AJ66" s="27" t="n">
        <f aca="false">IF(COUNT(Aveia!$E64:$Z64)=0,0,MAX(0,IF((AJ$6-$E$3)&lt;1,0,IFERROR(LOOKUP(2,1/(Aveia!$E64:INDEX(Aveia!$E64:$Z64,MIN(AJ$6-$E$3,22))&lt;&gt;""),Aveia!$E64:INDEX(Aveia!$E64:$Z64,MIN(AJ$6-$E$3,22))),0))-IF($G$2,0,IF((AJ$6-$G$3)&lt;1,0,IFERROR(LOOKUP(2,1/(Aveia!$E64:INDEX(Aveia!$E64:$Z64,MIN(AJ$6-$G$3,22))&lt;&gt;""),Aveia!$E64:INDEX(Aveia!$E64:$Z64,MIN(AJ$6-$G$3,22))),0)))))</f>
        <v>0</v>
      </c>
      <c r="AK66" s="27" t="n">
        <f aca="false">IF(COUNT(Aveia!$E64:$Z64)=0,0,MAX(0,IF((AK$6-$E$3)&lt;1,0,IFERROR(LOOKUP(2,1/(Aveia!$E64:INDEX(Aveia!$E64:$Z64,MIN(AK$6-$E$3,22))&lt;&gt;""),Aveia!$E64:INDEX(Aveia!$E64:$Z64,MIN(AK$6-$E$3,22))),0))-IF($G$2,0,IF((AK$6-$G$3)&lt;1,0,IFERROR(LOOKUP(2,1/(Aveia!$E64:INDEX(Aveia!$E64:$Z64,MIN(AK$6-$G$3,22))&lt;&gt;""),Aveia!$E64:INDEX(Aveia!$E64:$Z64,MIN(AK$6-$G$3,22))),0)))))</f>
        <v>0</v>
      </c>
      <c r="AL66" s="27" t="n">
        <f aca="false">IF(COUNT(Aveia!$E64:$Z64)=0,0,MAX(0,IF((AL$6-$E$3)&lt;1,0,IFERROR(LOOKUP(2,1/(Aveia!$E64:INDEX(Aveia!$E64:$Z64,MIN(AL$6-$E$3,22))&lt;&gt;""),Aveia!$E64:INDEX(Aveia!$E64:$Z64,MIN(AL$6-$E$3,22))),0))-IF($G$2,0,IF((AL$6-$G$3)&lt;1,0,IFERROR(LOOKUP(2,1/(Aveia!$E64:INDEX(Aveia!$E64:$Z64,MIN(AL$6-$G$3,22))&lt;&gt;""),Aveia!$E64:INDEX(Aveia!$E64:$Z64,MIN(AL$6-$G$3,22))),0)))))</f>
        <v>0</v>
      </c>
      <c r="AM66" s="27" t="n">
        <f aca="false">IF(COUNT(Aveia!$E64:$Z64)=0,0,MAX(0,IF((AM$6-$E$3)&lt;1,0,IFERROR(LOOKUP(2,1/(Aveia!$E64:INDEX(Aveia!$E64:$Z64,MIN(AM$6-$E$3,22))&lt;&gt;""),Aveia!$E64:INDEX(Aveia!$E64:$Z64,MIN(AM$6-$E$3,22))),0))-IF($G$2,0,IF((AM$6-$G$3)&lt;1,0,IFERROR(LOOKUP(2,1/(Aveia!$E64:INDEX(Aveia!$E64:$Z64,MIN(AM$6-$G$3,22))&lt;&gt;""),Aveia!$E64:INDEX(Aveia!$E64:$Z64,MIN(AM$6-$G$3,22))),0)))))</f>
        <v>0</v>
      </c>
      <c r="AN66" s="27" t="n">
        <f aca="false">IF(COUNT(Aveia!$E64:$Z64)=0,0,MAX(0,IF((AN$6-$E$3)&lt;1,0,IFERROR(LOOKUP(2,1/(Aveia!$E64:INDEX(Aveia!$E64:$Z64,MIN(AN$6-$E$3,22))&lt;&gt;""),Aveia!$E64:INDEX(Aveia!$E64:$Z64,MIN(AN$6-$E$3,22))),0))-IF($G$2,0,IF((AN$6-$G$3)&lt;1,0,IFERROR(LOOKUP(2,1/(Aveia!$E64:INDEX(Aveia!$E64:$Z64,MIN(AN$6-$G$3,22))&lt;&gt;""),Aveia!$E64:INDEX(Aveia!$E64:$Z64,MIN(AN$6-$G$3,22))),0)))))</f>
        <v>0</v>
      </c>
      <c r="AO66" s="27" t="n">
        <f aca="false">IF(COUNT(Aveia!$E64:$Z64)=0,0,MAX(0,IF((AO$6-$E$3)&lt;1,0,IFERROR(LOOKUP(2,1/(Aveia!$E64:INDEX(Aveia!$E64:$Z64,MIN(AO$6-$E$3,22))&lt;&gt;""),Aveia!$E64:INDEX(Aveia!$E64:$Z64,MIN(AO$6-$E$3,22))),0))-IF($G$2,0,IF((AO$6-$G$3)&lt;1,0,IFERROR(LOOKUP(2,1/(Aveia!$E64:INDEX(Aveia!$E64:$Z64,MIN(AO$6-$G$3,22))&lt;&gt;""),Aveia!$E64:INDEX(Aveia!$E64:$Z64,MIN(AO$6-$G$3,22))),0)))))</f>
        <v>0</v>
      </c>
      <c r="AP66" s="27" t="n">
        <f aca="false">IF(COUNT(Aveia!$E64:$Z64)=0,0,MAX(0,IF((AP$6-$E$3)&lt;1,0,IFERROR(LOOKUP(2,1/(Aveia!$E64:INDEX(Aveia!$E64:$Z64,MIN(AP$6-$E$3,22))&lt;&gt;""),Aveia!$E64:INDEX(Aveia!$E64:$Z64,MIN(AP$6-$E$3,22))),0))-IF($G$2,0,IF((AP$6-$G$3)&lt;1,0,IFERROR(LOOKUP(2,1/(Aveia!$E64:INDEX(Aveia!$E64:$Z64,MIN(AP$6-$G$3,22))&lt;&gt;""),Aveia!$E64:INDEX(Aveia!$E64:$Z64,MIN(AP$6-$G$3,22))),0)))))</f>
        <v>0</v>
      </c>
      <c r="AQ66" s="27" t="n">
        <f aca="false">IF(COUNT(Aveia!$E64:$Z64)=0,0,MAX(0,IF((AQ$6-$E$3)&lt;1,0,IFERROR(LOOKUP(2,1/(Aveia!$E64:INDEX(Aveia!$E64:$Z64,MIN(AQ$6-$E$3,22))&lt;&gt;""),Aveia!$E64:INDEX(Aveia!$E64:$Z64,MIN(AQ$6-$E$3,22))),0))-IF($G$2,0,IF((AQ$6-$G$3)&lt;1,0,IFERROR(LOOKUP(2,1/(Aveia!$E64:INDEX(Aveia!$E64:$Z64,MIN(AQ$6-$G$3,22))&lt;&gt;""),Aveia!$E64:INDEX(Aveia!$E64:$Z64,MIN(AQ$6-$G$3,22))),0)))))</f>
        <v>0</v>
      </c>
      <c r="AR66" s="27" t="n">
        <f aca="false">IF(COUNT(Aveia!$E64:$Z64)=0,0,MAX(0,IF((AR$6-$E$3)&lt;1,0,IFERROR(LOOKUP(2,1/(Aveia!$E64:INDEX(Aveia!$E64:$Z64,MIN(AR$6-$E$3,22))&lt;&gt;""),Aveia!$E64:INDEX(Aveia!$E64:$Z64,MIN(AR$6-$E$3,22))),0))-IF($G$2,0,IF((AR$6-$G$3)&lt;1,0,IFERROR(LOOKUP(2,1/(Aveia!$E64:INDEX(Aveia!$E64:$Z64,MIN(AR$6-$G$3,22))&lt;&gt;""),Aveia!$E64:INDEX(Aveia!$E64:$Z64,MIN(AR$6-$G$3,22))),0)))))</f>
        <v>0</v>
      </c>
      <c r="AS66" s="27" t="n">
        <f aca="false">IF(COUNT(Aveia!$E64:$Z64)=0,0,MAX(0,IF((AS$6-$E$3)&lt;1,0,IFERROR(LOOKUP(2,1/(Aveia!$E64:INDEX(Aveia!$E64:$Z64,MIN(AS$6-$E$3,22))&lt;&gt;""),Aveia!$E64:INDEX(Aveia!$E64:$Z64,MIN(AS$6-$E$3,22))),0))-IF($G$2,0,IF((AS$6-$G$3)&lt;1,0,IFERROR(LOOKUP(2,1/(Aveia!$E64:INDEX(Aveia!$E64:$Z64,MIN(AS$6-$G$3,22))&lt;&gt;""),Aveia!$E64:INDEX(Aveia!$E64:$Z64,MIN(AS$6-$G$3,22))),0)))))</f>
        <v>0</v>
      </c>
      <c r="AT66" s="27" t="n">
        <f aca="false">IF(COUNT(Aveia!$E64:$Z64)=0,0,MAX(0,IF((AT$6-$E$3)&lt;1,0,IFERROR(LOOKUP(2,1/(Aveia!$E64:INDEX(Aveia!$E64:$Z64,MIN(AT$6-$E$3,22))&lt;&gt;""),Aveia!$E64:INDEX(Aveia!$E64:$Z64,MIN(AT$6-$E$3,22))),0))-IF($G$2,0,IF((AT$6-$G$3)&lt;1,0,IFERROR(LOOKUP(2,1/(Aveia!$E64:INDEX(Aveia!$E64:$Z64,MIN(AT$6-$G$3,22))&lt;&gt;""),Aveia!$E64:INDEX(Aveia!$E64:$Z64,MIN(AT$6-$G$3,22))),0)))))</f>
        <v>0</v>
      </c>
      <c r="AU66" s="27" t="n">
        <f aca="false">IF(COUNT(Aveia!$E64:$Z64)=0,0,MAX(0,IF((AU$6-$E$3)&lt;1,0,IFERROR(LOOKUP(2,1/(Aveia!$E64:INDEX(Aveia!$E64:$Z64,MIN(AU$6-$E$3,22))&lt;&gt;""),Aveia!$E64:INDEX(Aveia!$E64:$Z64,MIN(AU$6-$E$3,22))),0))-IF($G$2,0,IF((AU$6-$G$3)&lt;1,0,IFERROR(LOOKUP(2,1/(Aveia!$E64:INDEX(Aveia!$E64:$Z64,MIN(AU$6-$G$3,22))&lt;&gt;""),Aveia!$E64:INDEX(Aveia!$E64:$Z64,MIN(AU$6-$G$3,22))),0)))))</f>
        <v>0</v>
      </c>
      <c r="AV66" s="27" t="n">
        <f aca="false">IF(COUNT(Aveia!$E64:$Z64)=0,0,MAX(0,IF((AV$6-$E$3)&lt;1,0,IFERROR(LOOKUP(2,1/(Aveia!$E64:INDEX(Aveia!$E64:$Z64,MIN(AV$6-$E$3,22))&lt;&gt;""),Aveia!$E64:INDEX(Aveia!$E64:$Z64,MIN(AV$6-$E$3,22))),0))-IF($G$2,0,IF((AV$6-$G$3)&lt;1,0,IFERROR(LOOKUP(2,1/(Aveia!$E64:INDEX(Aveia!$E64:$Z64,MIN(AV$6-$G$3,22))&lt;&gt;""),Aveia!$E64:INDEX(Aveia!$E64:$Z64,MIN(AV$6-$G$3,22))),0)))))</f>
        <v>0</v>
      </c>
      <c r="AW66" s="27" t="n">
        <f aca="false">IF(COUNT(Aveia!$E64:$Z64)=0,0,MAX(0,IF((AW$6-$E$3)&lt;1,0,IFERROR(LOOKUP(2,1/(Aveia!$E64:INDEX(Aveia!$E64:$Z64,MIN(AW$6-$E$3,22))&lt;&gt;""),Aveia!$E64:INDEX(Aveia!$E64:$Z64,MIN(AW$6-$E$3,22))),0))-IF($G$2,0,IF((AW$6-$G$3)&lt;1,0,IFERROR(LOOKUP(2,1/(Aveia!$E64:INDEX(Aveia!$E64:$Z64,MIN(AW$6-$G$3,22))&lt;&gt;""),Aveia!$E64:INDEX(Aveia!$E64:$Z64,MIN(AW$6-$G$3,22))),0)))))</f>
        <v>0</v>
      </c>
      <c r="AX66" s="27" t="n">
        <f aca="false">IF(COUNT(Aveia!$E64:$Z64)=0,0,MAX(0,IF((AX$6-$E$3)&lt;1,0,IFERROR(LOOKUP(2,1/(Aveia!$E64:INDEX(Aveia!$E64:$Z64,MIN(AX$6-$E$3,22))&lt;&gt;""),Aveia!$E64:INDEX(Aveia!$E64:$Z64,MIN(AX$6-$E$3,22))),0))-IF($G$2,0,IF((AX$6-$G$3)&lt;1,0,IFERROR(LOOKUP(2,1/(Aveia!$E64:INDEX(Aveia!$E64:$Z64,MIN(AX$6-$G$3,22))&lt;&gt;""),Aveia!$E64:INDEX(Aveia!$E64:$Z64,MIN(AX$6-$G$3,22))),0)))))</f>
        <v>0</v>
      </c>
      <c r="AY66" s="27" t="n">
        <f aca="false">IF(COUNT(Aveia!$E64:$Z64)=0,0,MAX(0,IF((AY$6-$E$3)&lt;1,0,IFERROR(LOOKUP(2,1/(Aveia!$E64:INDEX(Aveia!$E64:$Z64,MIN(AY$6-$E$3,22))&lt;&gt;""),Aveia!$E64:INDEX(Aveia!$E64:$Z64,MIN(AY$6-$E$3,22))),0))-IF($G$2,0,IF((AY$6-$G$3)&lt;1,0,IFERROR(LOOKUP(2,1/(Aveia!$E64:INDEX(Aveia!$E64:$Z64,MIN(AY$6-$G$3,22))&lt;&gt;""),Aveia!$E64:INDEX(Aveia!$E64:$Z64,MIN(AY$6-$G$3,22))),0)))))</f>
        <v>0</v>
      </c>
      <c r="AZ66" s="27" t="n">
        <f aca="false">IF(COUNT(Aveia!$E64:$Z64)=0,0,MAX(0,IF((AZ$6-$E$3)&lt;1,0,IFERROR(LOOKUP(2,1/(Aveia!$E64:INDEX(Aveia!$E64:$Z64,MIN(AZ$6-$E$3,22))&lt;&gt;""),Aveia!$E64:INDEX(Aveia!$E64:$Z64,MIN(AZ$6-$E$3,22))),0))-IF($G$2,0,IF((AZ$6-$G$3)&lt;1,0,IFERROR(LOOKUP(2,1/(Aveia!$E64:INDEX(Aveia!$E64:$Z64,MIN(AZ$6-$G$3,22))&lt;&gt;""),Aveia!$E64:INDEX(Aveia!$E64:$Z64,MIN(AZ$6-$G$3,22))),0)))))</f>
        <v>0</v>
      </c>
    </row>
    <row r="67" customFormat="false" ht="15" hidden="false" customHeight="false" outlineLevel="0" collapsed="false">
      <c r="A67" s="3" t="s">
        <v>253</v>
      </c>
      <c r="B67" s="3" t="s">
        <v>254</v>
      </c>
      <c r="C67" s="10" t="s">
        <v>132</v>
      </c>
      <c r="D67" s="26" t="n">
        <f aca="false">IF(COUNT(Aveia!$E65:$Z65)&gt;0,N(Aveia!$D65),0)</f>
        <v>0</v>
      </c>
      <c r="E67" s="27" t="n">
        <f aca="false">IF(COUNT(Aveia!$E65:$Z65)=0,0,MAX(0,IF((E$6-$E$3)&lt;1,0,IFERROR(LOOKUP(2,1/(Aveia!$E65:INDEX(Aveia!$E65:$Z65,MIN(E$6-$E$3,22))&lt;&gt;""),Aveia!$E65:INDEX(Aveia!$E65:$Z65,MIN(E$6-$E$3,22))),0))-IF($G$2,0,IF((E$6-$G$3)&lt;1,0,IFERROR(LOOKUP(2,1/(Aveia!$E65:INDEX(Aveia!$E65:$Z65,MIN(E$6-$G$3,22))&lt;&gt;""),Aveia!$E65:INDEX(Aveia!$E65:$Z65,MIN(E$6-$G$3,22))),0)))))</f>
        <v>0</v>
      </c>
      <c r="F67" s="27" t="n">
        <f aca="false">IF(COUNT(Aveia!$E65:$Z65)=0,0,MAX(0,IF((F$6-$E$3)&lt;1,0,IFERROR(LOOKUP(2,1/(Aveia!$E65:INDEX(Aveia!$E65:$Z65,MIN(F$6-$E$3,22))&lt;&gt;""),Aveia!$E65:INDEX(Aveia!$E65:$Z65,MIN(F$6-$E$3,22))),0))-IF($G$2,0,IF((F$6-$G$3)&lt;1,0,IFERROR(LOOKUP(2,1/(Aveia!$E65:INDEX(Aveia!$E65:$Z65,MIN(F$6-$G$3,22))&lt;&gt;""),Aveia!$E65:INDEX(Aveia!$E65:$Z65,MIN(F$6-$G$3,22))),0)))))</f>
        <v>0</v>
      </c>
      <c r="G67" s="27" t="n">
        <f aca="false">IF(COUNT(Aveia!$E65:$Z65)=0,0,MAX(0,IF((G$6-$E$3)&lt;1,0,IFERROR(LOOKUP(2,1/(Aveia!$E65:INDEX(Aveia!$E65:$Z65,MIN(G$6-$E$3,22))&lt;&gt;""),Aveia!$E65:INDEX(Aveia!$E65:$Z65,MIN(G$6-$E$3,22))),0))-IF($G$2,0,IF((G$6-$G$3)&lt;1,0,IFERROR(LOOKUP(2,1/(Aveia!$E65:INDEX(Aveia!$E65:$Z65,MIN(G$6-$G$3,22))&lt;&gt;""),Aveia!$E65:INDEX(Aveia!$E65:$Z65,MIN(G$6-$G$3,22))),0)))))</f>
        <v>0</v>
      </c>
      <c r="H67" s="27" t="n">
        <f aca="false">IF(COUNT(Aveia!$E65:$Z65)=0,0,MAX(0,IF((H$6-$E$3)&lt;1,0,IFERROR(LOOKUP(2,1/(Aveia!$E65:INDEX(Aveia!$E65:$Z65,MIN(H$6-$E$3,22))&lt;&gt;""),Aveia!$E65:INDEX(Aveia!$E65:$Z65,MIN(H$6-$E$3,22))),0))-IF($G$2,0,IF((H$6-$G$3)&lt;1,0,IFERROR(LOOKUP(2,1/(Aveia!$E65:INDEX(Aveia!$E65:$Z65,MIN(H$6-$G$3,22))&lt;&gt;""),Aveia!$E65:INDEX(Aveia!$E65:$Z65,MIN(H$6-$G$3,22))),0)))))</f>
        <v>0</v>
      </c>
      <c r="I67" s="27" t="n">
        <f aca="false">IF(COUNT(Aveia!$E65:$Z65)=0,0,MAX(0,IF((I$6-$E$3)&lt;1,0,IFERROR(LOOKUP(2,1/(Aveia!$E65:INDEX(Aveia!$E65:$Z65,MIN(I$6-$E$3,22))&lt;&gt;""),Aveia!$E65:INDEX(Aveia!$E65:$Z65,MIN(I$6-$E$3,22))),0))-IF($G$2,0,IF((I$6-$G$3)&lt;1,0,IFERROR(LOOKUP(2,1/(Aveia!$E65:INDEX(Aveia!$E65:$Z65,MIN(I$6-$G$3,22))&lt;&gt;""),Aveia!$E65:INDEX(Aveia!$E65:$Z65,MIN(I$6-$G$3,22))),0)))))</f>
        <v>0</v>
      </c>
      <c r="J67" s="27" t="n">
        <f aca="false">IF(COUNT(Aveia!$E65:$Z65)=0,0,MAX(0,IF((J$6-$E$3)&lt;1,0,IFERROR(LOOKUP(2,1/(Aveia!$E65:INDEX(Aveia!$E65:$Z65,MIN(J$6-$E$3,22))&lt;&gt;""),Aveia!$E65:INDEX(Aveia!$E65:$Z65,MIN(J$6-$E$3,22))),0))-IF($G$2,0,IF((J$6-$G$3)&lt;1,0,IFERROR(LOOKUP(2,1/(Aveia!$E65:INDEX(Aveia!$E65:$Z65,MIN(J$6-$G$3,22))&lt;&gt;""),Aveia!$E65:INDEX(Aveia!$E65:$Z65,MIN(J$6-$G$3,22))),0)))))</f>
        <v>0</v>
      </c>
      <c r="K67" s="27" t="n">
        <f aca="false">IF(COUNT(Aveia!$E65:$Z65)=0,0,MAX(0,IF((K$6-$E$3)&lt;1,0,IFERROR(LOOKUP(2,1/(Aveia!$E65:INDEX(Aveia!$E65:$Z65,MIN(K$6-$E$3,22))&lt;&gt;""),Aveia!$E65:INDEX(Aveia!$E65:$Z65,MIN(K$6-$E$3,22))),0))-IF($G$2,0,IF((K$6-$G$3)&lt;1,0,IFERROR(LOOKUP(2,1/(Aveia!$E65:INDEX(Aveia!$E65:$Z65,MIN(K$6-$G$3,22))&lt;&gt;""),Aveia!$E65:INDEX(Aveia!$E65:$Z65,MIN(K$6-$G$3,22))),0)))))</f>
        <v>0</v>
      </c>
      <c r="L67" s="27" t="n">
        <f aca="false">IF(COUNT(Aveia!$E65:$Z65)=0,0,MAX(0,IF((L$6-$E$3)&lt;1,0,IFERROR(LOOKUP(2,1/(Aveia!$E65:INDEX(Aveia!$E65:$Z65,MIN(L$6-$E$3,22))&lt;&gt;""),Aveia!$E65:INDEX(Aveia!$E65:$Z65,MIN(L$6-$E$3,22))),0))-IF($G$2,0,IF((L$6-$G$3)&lt;1,0,IFERROR(LOOKUP(2,1/(Aveia!$E65:INDEX(Aveia!$E65:$Z65,MIN(L$6-$G$3,22))&lt;&gt;""),Aveia!$E65:INDEX(Aveia!$E65:$Z65,MIN(L$6-$G$3,22))),0)))))</f>
        <v>0</v>
      </c>
      <c r="M67" s="27" t="n">
        <f aca="false">IF(COUNT(Aveia!$E65:$Z65)=0,0,MAX(0,IF((M$6-$E$3)&lt;1,0,IFERROR(LOOKUP(2,1/(Aveia!$E65:INDEX(Aveia!$E65:$Z65,MIN(M$6-$E$3,22))&lt;&gt;""),Aveia!$E65:INDEX(Aveia!$E65:$Z65,MIN(M$6-$E$3,22))),0))-IF($G$2,0,IF((M$6-$G$3)&lt;1,0,IFERROR(LOOKUP(2,1/(Aveia!$E65:INDEX(Aveia!$E65:$Z65,MIN(M$6-$G$3,22))&lt;&gt;""),Aveia!$E65:INDEX(Aveia!$E65:$Z65,MIN(M$6-$G$3,22))),0)))))</f>
        <v>0</v>
      </c>
      <c r="N67" s="27" t="n">
        <f aca="false">IF(COUNT(Aveia!$E65:$Z65)=0,0,MAX(0,IF((N$6-$E$3)&lt;1,0,IFERROR(LOOKUP(2,1/(Aveia!$E65:INDEX(Aveia!$E65:$Z65,MIN(N$6-$E$3,22))&lt;&gt;""),Aveia!$E65:INDEX(Aveia!$E65:$Z65,MIN(N$6-$E$3,22))),0))-IF($G$2,0,IF((N$6-$G$3)&lt;1,0,IFERROR(LOOKUP(2,1/(Aveia!$E65:INDEX(Aveia!$E65:$Z65,MIN(N$6-$G$3,22))&lt;&gt;""),Aveia!$E65:INDEX(Aveia!$E65:$Z65,MIN(N$6-$G$3,22))),0)))))</f>
        <v>0</v>
      </c>
      <c r="O67" s="27" t="n">
        <f aca="false">IF(COUNT(Aveia!$E65:$Z65)=0,0,MAX(0,IF((O$6-$E$3)&lt;1,0,IFERROR(LOOKUP(2,1/(Aveia!$E65:INDEX(Aveia!$E65:$Z65,MIN(O$6-$E$3,22))&lt;&gt;""),Aveia!$E65:INDEX(Aveia!$E65:$Z65,MIN(O$6-$E$3,22))),0))-IF($G$2,0,IF((O$6-$G$3)&lt;1,0,IFERROR(LOOKUP(2,1/(Aveia!$E65:INDEX(Aveia!$E65:$Z65,MIN(O$6-$G$3,22))&lt;&gt;""),Aveia!$E65:INDEX(Aveia!$E65:$Z65,MIN(O$6-$G$3,22))),0)))))</f>
        <v>0</v>
      </c>
      <c r="P67" s="27" t="n">
        <f aca="false">IF(COUNT(Aveia!$E65:$Z65)=0,0,MAX(0,IF((P$6-$E$3)&lt;1,0,IFERROR(LOOKUP(2,1/(Aveia!$E65:INDEX(Aveia!$E65:$Z65,MIN(P$6-$E$3,22))&lt;&gt;""),Aveia!$E65:INDEX(Aveia!$E65:$Z65,MIN(P$6-$E$3,22))),0))-IF($G$2,0,IF((P$6-$G$3)&lt;1,0,IFERROR(LOOKUP(2,1/(Aveia!$E65:INDEX(Aveia!$E65:$Z65,MIN(P$6-$G$3,22))&lt;&gt;""),Aveia!$E65:INDEX(Aveia!$E65:$Z65,MIN(P$6-$G$3,22))),0)))))</f>
        <v>0</v>
      </c>
      <c r="Q67" s="27" t="n">
        <f aca="false">IF(COUNT(Aveia!$E65:$Z65)=0,0,MAX(0,IF((Q$6-$E$3)&lt;1,0,IFERROR(LOOKUP(2,1/(Aveia!$E65:INDEX(Aveia!$E65:$Z65,MIN(Q$6-$E$3,22))&lt;&gt;""),Aveia!$E65:INDEX(Aveia!$E65:$Z65,MIN(Q$6-$E$3,22))),0))-IF($G$2,0,IF((Q$6-$G$3)&lt;1,0,IFERROR(LOOKUP(2,1/(Aveia!$E65:INDEX(Aveia!$E65:$Z65,MIN(Q$6-$G$3,22))&lt;&gt;""),Aveia!$E65:INDEX(Aveia!$E65:$Z65,MIN(Q$6-$G$3,22))),0)))))</f>
        <v>0</v>
      </c>
      <c r="R67" s="27" t="n">
        <f aca="false">IF(COUNT(Aveia!$E65:$Z65)=0,0,MAX(0,IF((R$6-$E$3)&lt;1,0,IFERROR(LOOKUP(2,1/(Aveia!$E65:INDEX(Aveia!$E65:$Z65,MIN(R$6-$E$3,22))&lt;&gt;""),Aveia!$E65:INDEX(Aveia!$E65:$Z65,MIN(R$6-$E$3,22))),0))-IF($G$2,0,IF((R$6-$G$3)&lt;1,0,IFERROR(LOOKUP(2,1/(Aveia!$E65:INDEX(Aveia!$E65:$Z65,MIN(R$6-$G$3,22))&lt;&gt;""),Aveia!$E65:INDEX(Aveia!$E65:$Z65,MIN(R$6-$G$3,22))),0)))))</f>
        <v>0</v>
      </c>
      <c r="S67" s="27" t="n">
        <f aca="false">IF(COUNT(Aveia!$E65:$Z65)=0,0,MAX(0,IF((S$6-$E$3)&lt;1,0,IFERROR(LOOKUP(2,1/(Aveia!$E65:INDEX(Aveia!$E65:$Z65,MIN(S$6-$E$3,22))&lt;&gt;""),Aveia!$E65:INDEX(Aveia!$E65:$Z65,MIN(S$6-$E$3,22))),0))-IF($G$2,0,IF((S$6-$G$3)&lt;1,0,IFERROR(LOOKUP(2,1/(Aveia!$E65:INDEX(Aveia!$E65:$Z65,MIN(S$6-$G$3,22))&lt;&gt;""),Aveia!$E65:INDEX(Aveia!$E65:$Z65,MIN(S$6-$G$3,22))),0)))))</f>
        <v>0</v>
      </c>
      <c r="T67" s="27" t="n">
        <f aca="false">IF(COUNT(Aveia!$E65:$Z65)=0,0,MAX(0,IF((T$6-$E$3)&lt;1,0,IFERROR(LOOKUP(2,1/(Aveia!$E65:INDEX(Aveia!$E65:$Z65,MIN(T$6-$E$3,22))&lt;&gt;""),Aveia!$E65:INDEX(Aveia!$E65:$Z65,MIN(T$6-$E$3,22))),0))-IF($G$2,0,IF((T$6-$G$3)&lt;1,0,IFERROR(LOOKUP(2,1/(Aveia!$E65:INDEX(Aveia!$E65:$Z65,MIN(T$6-$G$3,22))&lt;&gt;""),Aveia!$E65:INDEX(Aveia!$E65:$Z65,MIN(T$6-$G$3,22))),0)))))</f>
        <v>0</v>
      </c>
      <c r="U67" s="27" t="n">
        <f aca="false">IF(COUNT(Aveia!$E65:$Z65)=0,0,MAX(0,IF((U$6-$E$3)&lt;1,0,IFERROR(LOOKUP(2,1/(Aveia!$E65:INDEX(Aveia!$E65:$Z65,MIN(U$6-$E$3,22))&lt;&gt;""),Aveia!$E65:INDEX(Aveia!$E65:$Z65,MIN(U$6-$E$3,22))),0))-IF($G$2,0,IF((U$6-$G$3)&lt;1,0,IFERROR(LOOKUP(2,1/(Aveia!$E65:INDEX(Aveia!$E65:$Z65,MIN(U$6-$G$3,22))&lt;&gt;""),Aveia!$E65:INDEX(Aveia!$E65:$Z65,MIN(U$6-$G$3,22))),0)))))</f>
        <v>0</v>
      </c>
      <c r="V67" s="27" t="n">
        <f aca="false">IF(COUNT(Aveia!$E65:$Z65)=0,0,MAX(0,IF((V$6-$E$3)&lt;1,0,IFERROR(LOOKUP(2,1/(Aveia!$E65:INDEX(Aveia!$E65:$Z65,MIN(V$6-$E$3,22))&lt;&gt;""),Aveia!$E65:INDEX(Aveia!$E65:$Z65,MIN(V$6-$E$3,22))),0))-IF($G$2,0,IF((V$6-$G$3)&lt;1,0,IFERROR(LOOKUP(2,1/(Aveia!$E65:INDEX(Aveia!$E65:$Z65,MIN(V$6-$G$3,22))&lt;&gt;""),Aveia!$E65:INDEX(Aveia!$E65:$Z65,MIN(V$6-$G$3,22))),0)))))</f>
        <v>0</v>
      </c>
      <c r="W67" s="27" t="n">
        <f aca="false">IF(COUNT(Aveia!$E65:$Z65)=0,0,MAX(0,IF((W$6-$E$3)&lt;1,0,IFERROR(LOOKUP(2,1/(Aveia!$E65:INDEX(Aveia!$E65:$Z65,MIN(W$6-$E$3,22))&lt;&gt;""),Aveia!$E65:INDEX(Aveia!$E65:$Z65,MIN(W$6-$E$3,22))),0))-IF($G$2,0,IF((W$6-$G$3)&lt;1,0,IFERROR(LOOKUP(2,1/(Aveia!$E65:INDEX(Aveia!$E65:$Z65,MIN(W$6-$G$3,22))&lt;&gt;""),Aveia!$E65:INDEX(Aveia!$E65:$Z65,MIN(W$6-$G$3,22))),0)))))</f>
        <v>0</v>
      </c>
      <c r="X67" s="27" t="n">
        <f aca="false">IF(COUNT(Aveia!$E65:$Z65)=0,0,MAX(0,IF((X$6-$E$3)&lt;1,0,IFERROR(LOOKUP(2,1/(Aveia!$E65:INDEX(Aveia!$E65:$Z65,MIN(X$6-$E$3,22))&lt;&gt;""),Aveia!$E65:INDEX(Aveia!$E65:$Z65,MIN(X$6-$E$3,22))),0))-IF($G$2,0,IF((X$6-$G$3)&lt;1,0,IFERROR(LOOKUP(2,1/(Aveia!$E65:INDEX(Aveia!$E65:$Z65,MIN(X$6-$G$3,22))&lt;&gt;""),Aveia!$E65:INDEX(Aveia!$E65:$Z65,MIN(X$6-$G$3,22))),0)))))</f>
        <v>0</v>
      </c>
      <c r="Y67" s="27" t="n">
        <f aca="false">IF(COUNT(Aveia!$E65:$Z65)=0,0,MAX(0,IF((Y$6-$E$3)&lt;1,0,IFERROR(LOOKUP(2,1/(Aveia!$E65:INDEX(Aveia!$E65:$Z65,MIN(Y$6-$E$3,22))&lt;&gt;""),Aveia!$E65:INDEX(Aveia!$E65:$Z65,MIN(Y$6-$E$3,22))),0))-IF($G$2,0,IF((Y$6-$G$3)&lt;1,0,IFERROR(LOOKUP(2,1/(Aveia!$E65:INDEX(Aveia!$E65:$Z65,MIN(Y$6-$G$3,22))&lt;&gt;""),Aveia!$E65:INDEX(Aveia!$E65:$Z65,MIN(Y$6-$G$3,22))),0)))))</f>
        <v>0</v>
      </c>
      <c r="Z67" s="27" t="n">
        <f aca="false">IF(COUNT(Aveia!$E65:$Z65)=0,0,MAX(0,IF((Z$6-$E$3)&lt;1,0,IFERROR(LOOKUP(2,1/(Aveia!$E65:INDEX(Aveia!$E65:$Z65,MIN(Z$6-$E$3,22))&lt;&gt;""),Aveia!$E65:INDEX(Aveia!$E65:$Z65,MIN(Z$6-$E$3,22))),0))-IF($G$2,0,IF((Z$6-$G$3)&lt;1,0,IFERROR(LOOKUP(2,1/(Aveia!$E65:INDEX(Aveia!$E65:$Z65,MIN(Z$6-$G$3,22))&lt;&gt;""),Aveia!$E65:INDEX(Aveia!$E65:$Z65,MIN(Z$6-$G$3,22))),0)))))</f>
        <v>0</v>
      </c>
      <c r="AA67" s="27" t="n">
        <f aca="false">IF(COUNT(Aveia!$E65:$Z65)=0,0,MAX(0,IF((AA$6-$E$3)&lt;1,0,IFERROR(LOOKUP(2,1/(Aveia!$E65:INDEX(Aveia!$E65:$Z65,MIN(AA$6-$E$3,22))&lt;&gt;""),Aveia!$E65:INDEX(Aveia!$E65:$Z65,MIN(AA$6-$E$3,22))),0))-IF($G$2,0,IF((AA$6-$G$3)&lt;1,0,IFERROR(LOOKUP(2,1/(Aveia!$E65:INDEX(Aveia!$E65:$Z65,MIN(AA$6-$G$3,22))&lt;&gt;""),Aveia!$E65:INDEX(Aveia!$E65:$Z65,MIN(AA$6-$G$3,22))),0)))))</f>
        <v>0</v>
      </c>
      <c r="AB67" s="27" t="n">
        <f aca="false">IF(COUNT(Aveia!$E65:$Z65)=0,0,MAX(0,IF((AB$6-$E$3)&lt;1,0,IFERROR(LOOKUP(2,1/(Aveia!$E65:INDEX(Aveia!$E65:$Z65,MIN(AB$6-$E$3,22))&lt;&gt;""),Aveia!$E65:INDEX(Aveia!$E65:$Z65,MIN(AB$6-$E$3,22))),0))-IF($G$2,0,IF((AB$6-$G$3)&lt;1,0,IFERROR(LOOKUP(2,1/(Aveia!$E65:INDEX(Aveia!$E65:$Z65,MIN(AB$6-$G$3,22))&lt;&gt;""),Aveia!$E65:INDEX(Aveia!$E65:$Z65,MIN(AB$6-$G$3,22))),0)))))</f>
        <v>0</v>
      </c>
      <c r="AC67" s="27" t="n">
        <f aca="false">IF(COUNT(Aveia!$E65:$Z65)=0,0,MAX(0,IF((AC$6-$E$3)&lt;1,0,IFERROR(LOOKUP(2,1/(Aveia!$E65:INDEX(Aveia!$E65:$Z65,MIN(AC$6-$E$3,22))&lt;&gt;""),Aveia!$E65:INDEX(Aveia!$E65:$Z65,MIN(AC$6-$E$3,22))),0))-IF($G$2,0,IF((AC$6-$G$3)&lt;1,0,IFERROR(LOOKUP(2,1/(Aveia!$E65:INDEX(Aveia!$E65:$Z65,MIN(AC$6-$G$3,22))&lt;&gt;""),Aveia!$E65:INDEX(Aveia!$E65:$Z65,MIN(AC$6-$G$3,22))),0)))))</f>
        <v>0</v>
      </c>
      <c r="AD67" s="27" t="n">
        <f aca="false">IF(COUNT(Aveia!$E65:$Z65)=0,0,MAX(0,IF((AD$6-$E$3)&lt;1,0,IFERROR(LOOKUP(2,1/(Aveia!$E65:INDEX(Aveia!$E65:$Z65,MIN(AD$6-$E$3,22))&lt;&gt;""),Aveia!$E65:INDEX(Aveia!$E65:$Z65,MIN(AD$6-$E$3,22))),0))-IF($G$2,0,IF((AD$6-$G$3)&lt;1,0,IFERROR(LOOKUP(2,1/(Aveia!$E65:INDEX(Aveia!$E65:$Z65,MIN(AD$6-$G$3,22))&lt;&gt;""),Aveia!$E65:INDEX(Aveia!$E65:$Z65,MIN(AD$6-$G$3,22))),0)))))</f>
        <v>0</v>
      </c>
      <c r="AE67" s="27" t="n">
        <f aca="false">IF(COUNT(Aveia!$E65:$Z65)=0,0,MAX(0,IF((AE$6-$E$3)&lt;1,0,IFERROR(LOOKUP(2,1/(Aveia!$E65:INDEX(Aveia!$E65:$Z65,MIN(AE$6-$E$3,22))&lt;&gt;""),Aveia!$E65:INDEX(Aveia!$E65:$Z65,MIN(AE$6-$E$3,22))),0))-IF($G$2,0,IF((AE$6-$G$3)&lt;1,0,IFERROR(LOOKUP(2,1/(Aveia!$E65:INDEX(Aveia!$E65:$Z65,MIN(AE$6-$G$3,22))&lt;&gt;""),Aveia!$E65:INDEX(Aveia!$E65:$Z65,MIN(AE$6-$G$3,22))),0)))))</f>
        <v>0</v>
      </c>
      <c r="AF67" s="27" t="n">
        <f aca="false">IF(COUNT(Aveia!$E65:$Z65)=0,0,MAX(0,IF((AF$6-$E$3)&lt;1,0,IFERROR(LOOKUP(2,1/(Aveia!$E65:INDEX(Aveia!$E65:$Z65,MIN(AF$6-$E$3,22))&lt;&gt;""),Aveia!$E65:INDEX(Aveia!$E65:$Z65,MIN(AF$6-$E$3,22))),0))-IF($G$2,0,IF((AF$6-$G$3)&lt;1,0,IFERROR(LOOKUP(2,1/(Aveia!$E65:INDEX(Aveia!$E65:$Z65,MIN(AF$6-$G$3,22))&lt;&gt;""),Aveia!$E65:INDEX(Aveia!$E65:$Z65,MIN(AF$6-$G$3,22))),0)))))</f>
        <v>0</v>
      </c>
      <c r="AG67" s="27" t="n">
        <f aca="false">IF(COUNT(Aveia!$E65:$Z65)=0,0,MAX(0,IF((AG$6-$E$3)&lt;1,0,IFERROR(LOOKUP(2,1/(Aveia!$E65:INDEX(Aveia!$E65:$Z65,MIN(AG$6-$E$3,22))&lt;&gt;""),Aveia!$E65:INDEX(Aveia!$E65:$Z65,MIN(AG$6-$E$3,22))),0))-IF($G$2,0,IF((AG$6-$G$3)&lt;1,0,IFERROR(LOOKUP(2,1/(Aveia!$E65:INDEX(Aveia!$E65:$Z65,MIN(AG$6-$G$3,22))&lt;&gt;""),Aveia!$E65:INDEX(Aveia!$E65:$Z65,MIN(AG$6-$G$3,22))),0)))))</f>
        <v>0</v>
      </c>
      <c r="AH67" s="27" t="n">
        <f aca="false">IF(COUNT(Aveia!$E65:$Z65)=0,0,MAX(0,IF((AH$6-$E$3)&lt;1,0,IFERROR(LOOKUP(2,1/(Aveia!$E65:INDEX(Aveia!$E65:$Z65,MIN(AH$6-$E$3,22))&lt;&gt;""),Aveia!$E65:INDEX(Aveia!$E65:$Z65,MIN(AH$6-$E$3,22))),0))-IF($G$2,0,IF((AH$6-$G$3)&lt;1,0,IFERROR(LOOKUP(2,1/(Aveia!$E65:INDEX(Aveia!$E65:$Z65,MIN(AH$6-$G$3,22))&lt;&gt;""),Aveia!$E65:INDEX(Aveia!$E65:$Z65,MIN(AH$6-$G$3,22))),0)))))</f>
        <v>0</v>
      </c>
      <c r="AI67" s="27" t="n">
        <f aca="false">IF(COUNT(Aveia!$E65:$Z65)=0,0,MAX(0,IF((AI$6-$E$3)&lt;1,0,IFERROR(LOOKUP(2,1/(Aveia!$E65:INDEX(Aveia!$E65:$Z65,MIN(AI$6-$E$3,22))&lt;&gt;""),Aveia!$E65:INDEX(Aveia!$E65:$Z65,MIN(AI$6-$E$3,22))),0))-IF($G$2,0,IF((AI$6-$G$3)&lt;1,0,IFERROR(LOOKUP(2,1/(Aveia!$E65:INDEX(Aveia!$E65:$Z65,MIN(AI$6-$G$3,22))&lt;&gt;""),Aveia!$E65:INDEX(Aveia!$E65:$Z65,MIN(AI$6-$G$3,22))),0)))))</f>
        <v>0</v>
      </c>
      <c r="AJ67" s="27" t="n">
        <f aca="false">IF(COUNT(Aveia!$E65:$Z65)=0,0,MAX(0,IF((AJ$6-$E$3)&lt;1,0,IFERROR(LOOKUP(2,1/(Aveia!$E65:INDEX(Aveia!$E65:$Z65,MIN(AJ$6-$E$3,22))&lt;&gt;""),Aveia!$E65:INDEX(Aveia!$E65:$Z65,MIN(AJ$6-$E$3,22))),0))-IF($G$2,0,IF((AJ$6-$G$3)&lt;1,0,IFERROR(LOOKUP(2,1/(Aveia!$E65:INDEX(Aveia!$E65:$Z65,MIN(AJ$6-$G$3,22))&lt;&gt;""),Aveia!$E65:INDEX(Aveia!$E65:$Z65,MIN(AJ$6-$G$3,22))),0)))))</f>
        <v>0</v>
      </c>
      <c r="AK67" s="27" t="n">
        <f aca="false">IF(COUNT(Aveia!$E65:$Z65)=0,0,MAX(0,IF((AK$6-$E$3)&lt;1,0,IFERROR(LOOKUP(2,1/(Aveia!$E65:INDEX(Aveia!$E65:$Z65,MIN(AK$6-$E$3,22))&lt;&gt;""),Aveia!$E65:INDEX(Aveia!$E65:$Z65,MIN(AK$6-$E$3,22))),0))-IF($G$2,0,IF((AK$6-$G$3)&lt;1,0,IFERROR(LOOKUP(2,1/(Aveia!$E65:INDEX(Aveia!$E65:$Z65,MIN(AK$6-$G$3,22))&lt;&gt;""),Aveia!$E65:INDEX(Aveia!$E65:$Z65,MIN(AK$6-$G$3,22))),0)))))</f>
        <v>0</v>
      </c>
      <c r="AL67" s="27" t="n">
        <f aca="false">IF(COUNT(Aveia!$E65:$Z65)=0,0,MAX(0,IF((AL$6-$E$3)&lt;1,0,IFERROR(LOOKUP(2,1/(Aveia!$E65:INDEX(Aveia!$E65:$Z65,MIN(AL$6-$E$3,22))&lt;&gt;""),Aveia!$E65:INDEX(Aveia!$E65:$Z65,MIN(AL$6-$E$3,22))),0))-IF($G$2,0,IF((AL$6-$G$3)&lt;1,0,IFERROR(LOOKUP(2,1/(Aveia!$E65:INDEX(Aveia!$E65:$Z65,MIN(AL$6-$G$3,22))&lt;&gt;""),Aveia!$E65:INDEX(Aveia!$E65:$Z65,MIN(AL$6-$G$3,22))),0)))))</f>
        <v>0</v>
      </c>
      <c r="AM67" s="27" t="n">
        <f aca="false">IF(COUNT(Aveia!$E65:$Z65)=0,0,MAX(0,IF((AM$6-$E$3)&lt;1,0,IFERROR(LOOKUP(2,1/(Aveia!$E65:INDEX(Aveia!$E65:$Z65,MIN(AM$6-$E$3,22))&lt;&gt;""),Aveia!$E65:INDEX(Aveia!$E65:$Z65,MIN(AM$6-$E$3,22))),0))-IF($G$2,0,IF((AM$6-$G$3)&lt;1,0,IFERROR(LOOKUP(2,1/(Aveia!$E65:INDEX(Aveia!$E65:$Z65,MIN(AM$6-$G$3,22))&lt;&gt;""),Aveia!$E65:INDEX(Aveia!$E65:$Z65,MIN(AM$6-$G$3,22))),0)))))</f>
        <v>0</v>
      </c>
      <c r="AN67" s="27" t="n">
        <f aca="false">IF(COUNT(Aveia!$E65:$Z65)=0,0,MAX(0,IF((AN$6-$E$3)&lt;1,0,IFERROR(LOOKUP(2,1/(Aveia!$E65:INDEX(Aveia!$E65:$Z65,MIN(AN$6-$E$3,22))&lt;&gt;""),Aveia!$E65:INDEX(Aveia!$E65:$Z65,MIN(AN$6-$E$3,22))),0))-IF($G$2,0,IF((AN$6-$G$3)&lt;1,0,IFERROR(LOOKUP(2,1/(Aveia!$E65:INDEX(Aveia!$E65:$Z65,MIN(AN$6-$G$3,22))&lt;&gt;""),Aveia!$E65:INDEX(Aveia!$E65:$Z65,MIN(AN$6-$G$3,22))),0)))))</f>
        <v>0</v>
      </c>
      <c r="AO67" s="27" t="n">
        <f aca="false">IF(COUNT(Aveia!$E65:$Z65)=0,0,MAX(0,IF((AO$6-$E$3)&lt;1,0,IFERROR(LOOKUP(2,1/(Aveia!$E65:INDEX(Aveia!$E65:$Z65,MIN(AO$6-$E$3,22))&lt;&gt;""),Aveia!$E65:INDEX(Aveia!$E65:$Z65,MIN(AO$6-$E$3,22))),0))-IF($G$2,0,IF((AO$6-$G$3)&lt;1,0,IFERROR(LOOKUP(2,1/(Aveia!$E65:INDEX(Aveia!$E65:$Z65,MIN(AO$6-$G$3,22))&lt;&gt;""),Aveia!$E65:INDEX(Aveia!$E65:$Z65,MIN(AO$6-$G$3,22))),0)))))</f>
        <v>0</v>
      </c>
      <c r="AP67" s="27" t="n">
        <f aca="false">IF(COUNT(Aveia!$E65:$Z65)=0,0,MAX(0,IF((AP$6-$E$3)&lt;1,0,IFERROR(LOOKUP(2,1/(Aveia!$E65:INDEX(Aveia!$E65:$Z65,MIN(AP$6-$E$3,22))&lt;&gt;""),Aveia!$E65:INDEX(Aveia!$E65:$Z65,MIN(AP$6-$E$3,22))),0))-IF($G$2,0,IF((AP$6-$G$3)&lt;1,0,IFERROR(LOOKUP(2,1/(Aveia!$E65:INDEX(Aveia!$E65:$Z65,MIN(AP$6-$G$3,22))&lt;&gt;""),Aveia!$E65:INDEX(Aveia!$E65:$Z65,MIN(AP$6-$G$3,22))),0)))))</f>
        <v>0</v>
      </c>
      <c r="AQ67" s="27" t="n">
        <f aca="false">IF(COUNT(Aveia!$E65:$Z65)=0,0,MAX(0,IF((AQ$6-$E$3)&lt;1,0,IFERROR(LOOKUP(2,1/(Aveia!$E65:INDEX(Aveia!$E65:$Z65,MIN(AQ$6-$E$3,22))&lt;&gt;""),Aveia!$E65:INDEX(Aveia!$E65:$Z65,MIN(AQ$6-$E$3,22))),0))-IF($G$2,0,IF((AQ$6-$G$3)&lt;1,0,IFERROR(LOOKUP(2,1/(Aveia!$E65:INDEX(Aveia!$E65:$Z65,MIN(AQ$6-$G$3,22))&lt;&gt;""),Aveia!$E65:INDEX(Aveia!$E65:$Z65,MIN(AQ$6-$G$3,22))),0)))))</f>
        <v>0</v>
      </c>
      <c r="AR67" s="27" t="n">
        <f aca="false">IF(COUNT(Aveia!$E65:$Z65)=0,0,MAX(0,IF((AR$6-$E$3)&lt;1,0,IFERROR(LOOKUP(2,1/(Aveia!$E65:INDEX(Aveia!$E65:$Z65,MIN(AR$6-$E$3,22))&lt;&gt;""),Aveia!$E65:INDEX(Aveia!$E65:$Z65,MIN(AR$6-$E$3,22))),0))-IF($G$2,0,IF((AR$6-$G$3)&lt;1,0,IFERROR(LOOKUP(2,1/(Aveia!$E65:INDEX(Aveia!$E65:$Z65,MIN(AR$6-$G$3,22))&lt;&gt;""),Aveia!$E65:INDEX(Aveia!$E65:$Z65,MIN(AR$6-$G$3,22))),0)))))</f>
        <v>0</v>
      </c>
      <c r="AS67" s="27" t="n">
        <f aca="false">IF(COUNT(Aveia!$E65:$Z65)=0,0,MAX(0,IF((AS$6-$E$3)&lt;1,0,IFERROR(LOOKUP(2,1/(Aveia!$E65:INDEX(Aveia!$E65:$Z65,MIN(AS$6-$E$3,22))&lt;&gt;""),Aveia!$E65:INDEX(Aveia!$E65:$Z65,MIN(AS$6-$E$3,22))),0))-IF($G$2,0,IF((AS$6-$G$3)&lt;1,0,IFERROR(LOOKUP(2,1/(Aveia!$E65:INDEX(Aveia!$E65:$Z65,MIN(AS$6-$G$3,22))&lt;&gt;""),Aveia!$E65:INDEX(Aveia!$E65:$Z65,MIN(AS$6-$G$3,22))),0)))))</f>
        <v>0</v>
      </c>
      <c r="AT67" s="27" t="n">
        <f aca="false">IF(COUNT(Aveia!$E65:$Z65)=0,0,MAX(0,IF((AT$6-$E$3)&lt;1,0,IFERROR(LOOKUP(2,1/(Aveia!$E65:INDEX(Aveia!$E65:$Z65,MIN(AT$6-$E$3,22))&lt;&gt;""),Aveia!$E65:INDEX(Aveia!$E65:$Z65,MIN(AT$6-$E$3,22))),0))-IF($G$2,0,IF((AT$6-$G$3)&lt;1,0,IFERROR(LOOKUP(2,1/(Aveia!$E65:INDEX(Aveia!$E65:$Z65,MIN(AT$6-$G$3,22))&lt;&gt;""),Aveia!$E65:INDEX(Aveia!$E65:$Z65,MIN(AT$6-$G$3,22))),0)))))</f>
        <v>0</v>
      </c>
      <c r="AU67" s="27" t="n">
        <f aca="false">IF(COUNT(Aveia!$E65:$Z65)=0,0,MAX(0,IF((AU$6-$E$3)&lt;1,0,IFERROR(LOOKUP(2,1/(Aveia!$E65:INDEX(Aveia!$E65:$Z65,MIN(AU$6-$E$3,22))&lt;&gt;""),Aveia!$E65:INDEX(Aveia!$E65:$Z65,MIN(AU$6-$E$3,22))),0))-IF($G$2,0,IF((AU$6-$G$3)&lt;1,0,IFERROR(LOOKUP(2,1/(Aveia!$E65:INDEX(Aveia!$E65:$Z65,MIN(AU$6-$G$3,22))&lt;&gt;""),Aveia!$E65:INDEX(Aveia!$E65:$Z65,MIN(AU$6-$G$3,22))),0)))))</f>
        <v>0</v>
      </c>
      <c r="AV67" s="27" t="n">
        <f aca="false">IF(COUNT(Aveia!$E65:$Z65)=0,0,MAX(0,IF((AV$6-$E$3)&lt;1,0,IFERROR(LOOKUP(2,1/(Aveia!$E65:INDEX(Aveia!$E65:$Z65,MIN(AV$6-$E$3,22))&lt;&gt;""),Aveia!$E65:INDEX(Aveia!$E65:$Z65,MIN(AV$6-$E$3,22))),0))-IF($G$2,0,IF((AV$6-$G$3)&lt;1,0,IFERROR(LOOKUP(2,1/(Aveia!$E65:INDEX(Aveia!$E65:$Z65,MIN(AV$6-$G$3,22))&lt;&gt;""),Aveia!$E65:INDEX(Aveia!$E65:$Z65,MIN(AV$6-$G$3,22))),0)))))</f>
        <v>0</v>
      </c>
      <c r="AW67" s="27" t="n">
        <f aca="false">IF(COUNT(Aveia!$E65:$Z65)=0,0,MAX(0,IF((AW$6-$E$3)&lt;1,0,IFERROR(LOOKUP(2,1/(Aveia!$E65:INDEX(Aveia!$E65:$Z65,MIN(AW$6-$E$3,22))&lt;&gt;""),Aveia!$E65:INDEX(Aveia!$E65:$Z65,MIN(AW$6-$E$3,22))),0))-IF($G$2,0,IF((AW$6-$G$3)&lt;1,0,IFERROR(LOOKUP(2,1/(Aveia!$E65:INDEX(Aveia!$E65:$Z65,MIN(AW$6-$G$3,22))&lt;&gt;""),Aveia!$E65:INDEX(Aveia!$E65:$Z65,MIN(AW$6-$G$3,22))),0)))))</f>
        <v>0</v>
      </c>
      <c r="AX67" s="27" t="n">
        <f aca="false">IF(COUNT(Aveia!$E65:$Z65)=0,0,MAX(0,IF((AX$6-$E$3)&lt;1,0,IFERROR(LOOKUP(2,1/(Aveia!$E65:INDEX(Aveia!$E65:$Z65,MIN(AX$6-$E$3,22))&lt;&gt;""),Aveia!$E65:INDEX(Aveia!$E65:$Z65,MIN(AX$6-$E$3,22))),0))-IF($G$2,0,IF((AX$6-$G$3)&lt;1,0,IFERROR(LOOKUP(2,1/(Aveia!$E65:INDEX(Aveia!$E65:$Z65,MIN(AX$6-$G$3,22))&lt;&gt;""),Aveia!$E65:INDEX(Aveia!$E65:$Z65,MIN(AX$6-$G$3,22))),0)))))</f>
        <v>0</v>
      </c>
      <c r="AY67" s="27" t="n">
        <f aca="false">IF(COUNT(Aveia!$E65:$Z65)=0,0,MAX(0,IF((AY$6-$E$3)&lt;1,0,IFERROR(LOOKUP(2,1/(Aveia!$E65:INDEX(Aveia!$E65:$Z65,MIN(AY$6-$E$3,22))&lt;&gt;""),Aveia!$E65:INDEX(Aveia!$E65:$Z65,MIN(AY$6-$E$3,22))),0))-IF($G$2,0,IF((AY$6-$G$3)&lt;1,0,IFERROR(LOOKUP(2,1/(Aveia!$E65:INDEX(Aveia!$E65:$Z65,MIN(AY$6-$G$3,22))&lt;&gt;""),Aveia!$E65:INDEX(Aveia!$E65:$Z65,MIN(AY$6-$G$3,22))),0)))))</f>
        <v>0</v>
      </c>
      <c r="AZ67" s="27" t="n">
        <f aca="false">IF(COUNT(Aveia!$E65:$Z65)=0,0,MAX(0,IF((AZ$6-$E$3)&lt;1,0,IFERROR(LOOKUP(2,1/(Aveia!$E65:INDEX(Aveia!$E65:$Z65,MIN(AZ$6-$E$3,22))&lt;&gt;""),Aveia!$E65:INDEX(Aveia!$E65:$Z65,MIN(AZ$6-$E$3,22))),0))-IF($G$2,0,IF((AZ$6-$G$3)&lt;1,0,IFERROR(LOOKUP(2,1/(Aveia!$E65:INDEX(Aveia!$E65:$Z65,MIN(AZ$6-$G$3,22))&lt;&gt;""),Aveia!$E65:INDEX(Aveia!$E65:$Z65,MIN(AZ$6-$G$3,22))),0)))))</f>
        <v>0</v>
      </c>
    </row>
    <row r="68" customFormat="false" ht="15" hidden="false" customHeight="false" outlineLevel="0" collapsed="false">
      <c r="A68" s="3" t="s">
        <v>255</v>
      </c>
      <c r="B68" s="3" t="s">
        <v>145</v>
      </c>
      <c r="C68" s="10" t="s">
        <v>145</v>
      </c>
      <c r="D68" s="26" t="n">
        <f aca="false">IF(COUNT(Aveia!$E66:$Z66)&gt;0,N(Aveia!$D66),0)</f>
        <v>0</v>
      </c>
      <c r="E68" s="27" t="n">
        <f aca="false">IF(COUNT(Aveia!$E66:$Z66)=0,0,MAX(0,IF((E$6-$E$3)&lt;1,0,IFERROR(LOOKUP(2,1/(Aveia!$E66:INDEX(Aveia!$E66:$Z66,MIN(E$6-$E$3,22))&lt;&gt;""),Aveia!$E66:INDEX(Aveia!$E66:$Z66,MIN(E$6-$E$3,22))),0))-IF($G$2,0,IF((E$6-$G$3)&lt;1,0,IFERROR(LOOKUP(2,1/(Aveia!$E66:INDEX(Aveia!$E66:$Z66,MIN(E$6-$G$3,22))&lt;&gt;""),Aveia!$E66:INDEX(Aveia!$E66:$Z66,MIN(E$6-$G$3,22))),0)))))</f>
        <v>0</v>
      </c>
      <c r="F68" s="27" t="n">
        <f aca="false">IF(COUNT(Aveia!$E66:$Z66)=0,0,MAX(0,IF((F$6-$E$3)&lt;1,0,IFERROR(LOOKUP(2,1/(Aveia!$E66:INDEX(Aveia!$E66:$Z66,MIN(F$6-$E$3,22))&lt;&gt;""),Aveia!$E66:INDEX(Aveia!$E66:$Z66,MIN(F$6-$E$3,22))),0))-IF($G$2,0,IF((F$6-$G$3)&lt;1,0,IFERROR(LOOKUP(2,1/(Aveia!$E66:INDEX(Aveia!$E66:$Z66,MIN(F$6-$G$3,22))&lt;&gt;""),Aveia!$E66:INDEX(Aveia!$E66:$Z66,MIN(F$6-$G$3,22))),0)))))</f>
        <v>0</v>
      </c>
      <c r="G68" s="27" t="n">
        <f aca="false">IF(COUNT(Aveia!$E66:$Z66)=0,0,MAX(0,IF((G$6-$E$3)&lt;1,0,IFERROR(LOOKUP(2,1/(Aveia!$E66:INDEX(Aveia!$E66:$Z66,MIN(G$6-$E$3,22))&lt;&gt;""),Aveia!$E66:INDEX(Aveia!$E66:$Z66,MIN(G$6-$E$3,22))),0))-IF($G$2,0,IF((G$6-$G$3)&lt;1,0,IFERROR(LOOKUP(2,1/(Aveia!$E66:INDEX(Aveia!$E66:$Z66,MIN(G$6-$G$3,22))&lt;&gt;""),Aveia!$E66:INDEX(Aveia!$E66:$Z66,MIN(G$6-$G$3,22))),0)))))</f>
        <v>0</v>
      </c>
      <c r="H68" s="27" t="n">
        <f aca="false">IF(COUNT(Aveia!$E66:$Z66)=0,0,MAX(0,IF((H$6-$E$3)&lt;1,0,IFERROR(LOOKUP(2,1/(Aveia!$E66:INDEX(Aveia!$E66:$Z66,MIN(H$6-$E$3,22))&lt;&gt;""),Aveia!$E66:INDEX(Aveia!$E66:$Z66,MIN(H$6-$E$3,22))),0))-IF($G$2,0,IF((H$6-$G$3)&lt;1,0,IFERROR(LOOKUP(2,1/(Aveia!$E66:INDEX(Aveia!$E66:$Z66,MIN(H$6-$G$3,22))&lt;&gt;""),Aveia!$E66:INDEX(Aveia!$E66:$Z66,MIN(H$6-$G$3,22))),0)))))</f>
        <v>0</v>
      </c>
      <c r="I68" s="27" t="n">
        <f aca="false">IF(COUNT(Aveia!$E66:$Z66)=0,0,MAX(0,IF((I$6-$E$3)&lt;1,0,IFERROR(LOOKUP(2,1/(Aveia!$E66:INDEX(Aveia!$E66:$Z66,MIN(I$6-$E$3,22))&lt;&gt;""),Aveia!$E66:INDEX(Aveia!$E66:$Z66,MIN(I$6-$E$3,22))),0))-IF($G$2,0,IF((I$6-$G$3)&lt;1,0,IFERROR(LOOKUP(2,1/(Aveia!$E66:INDEX(Aveia!$E66:$Z66,MIN(I$6-$G$3,22))&lt;&gt;""),Aveia!$E66:INDEX(Aveia!$E66:$Z66,MIN(I$6-$G$3,22))),0)))))</f>
        <v>0</v>
      </c>
      <c r="J68" s="27" t="n">
        <f aca="false">IF(COUNT(Aveia!$E66:$Z66)=0,0,MAX(0,IF((J$6-$E$3)&lt;1,0,IFERROR(LOOKUP(2,1/(Aveia!$E66:INDEX(Aveia!$E66:$Z66,MIN(J$6-$E$3,22))&lt;&gt;""),Aveia!$E66:INDEX(Aveia!$E66:$Z66,MIN(J$6-$E$3,22))),0))-IF($G$2,0,IF((J$6-$G$3)&lt;1,0,IFERROR(LOOKUP(2,1/(Aveia!$E66:INDEX(Aveia!$E66:$Z66,MIN(J$6-$G$3,22))&lt;&gt;""),Aveia!$E66:INDEX(Aveia!$E66:$Z66,MIN(J$6-$G$3,22))),0)))))</f>
        <v>0</v>
      </c>
      <c r="K68" s="27" t="n">
        <f aca="false">IF(COUNT(Aveia!$E66:$Z66)=0,0,MAX(0,IF((K$6-$E$3)&lt;1,0,IFERROR(LOOKUP(2,1/(Aveia!$E66:INDEX(Aveia!$E66:$Z66,MIN(K$6-$E$3,22))&lt;&gt;""),Aveia!$E66:INDEX(Aveia!$E66:$Z66,MIN(K$6-$E$3,22))),0))-IF($G$2,0,IF((K$6-$G$3)&lt;1,0,IFERROR(LOOKUP(2,1/(Aveia!$E66:INDEX(Aveia!$E66:$Z66,MIN(K$6-$G$3,22))&lt;&gt;""),Aveia!$E66:INDEX(Aveia!$E66:$Z66,MIN(K$6-$G$3,22))),0)))))</f>
        <v>0</v>
      </c>
      <c r="L68" s="27" t="n">
        <f aca="false">IF(COUNT(Aveia!$E66:$Z66)=0,0,MAX(0,IF((L$6-$E$3)&lt;1,0,IFERROR(LOOKUP(2,1/(Aveia!$E66:INDEX(Aveia!$E66:$Z66,MIN(L$6-$E$3,22))&lt;&gt;""),Aveia!$E66:INDEX(Aveia!$E66:$Z66,MIN(L$6-$E$3,22))),0))-IF($G$2,0,IF((L$6-$G$3)&lt;1,0,IFERROR(LOOKUP(2,1/(Aveia!$E66:INDEX(Aveia!$E66:$Z66,MIN(L$6-$G$3,22))&lt;&gt;""),Aveia!$E66:INDEX(Aveia!$E66:$Z66,MIN(L$6-$G$3,22))),0)))))</f>
        <v>0</v>
      </c>
      <c r="M68" s="27" t="n">
        <f aca="false">IF(COUNT(Aveia!$E66:$Z66)=0,0,MAX(0,IF((M$6-$E$3)&lt;1,0,IFERROR(LOOKUP(2,1/(Aveia!$E66:INDEX(Aveia!$E66:$Z66,MIN(M$6-$E$3,22))&lt;&gt;""),Aveia!$E66:INDEX(Aveia!$E66:$Z66,MIN(M$6-$E$3,22))),0))-IF($G$2,0,IF((M$6-$G$3)&lt;1,0,IFERROR(LOOKUP(2,1/(Aveia!$E66:INDEX(Aveia!$E66:$Z66,MIN(M$6-$G$3,22))&lt;&gt;""),Aveia!$E66:INDEX(Aveia!$E66:$Z66,MIN(M$6-$G$3,22))),0)))))</f>
        <v>0</v>
      </c>
      <c r="N68" s="27" t="n">
        <f aca="false">IF(COUNT(Aveia!$E66:$Z66)=0,0,MAX(0,IF((N$6-$E$3)&lt;1,0,IFERROR(LOOKUP(2,1/(Aveia!$E66:INDEX(Aveia!$E66:$Z66,MIN(N$6-$E$3,22))&lt;&gt;""),Aveia!$E66:INDEX(Aveia!$E66:$Z66,MIN(N$6-$E$3,22))),0))-IF($G$2,0,IF((N$6-$G$3)&lt;1,0,IFERROR(LOOKUP(2,1/(Aveia!$E66:INDEX(Aveia!$E66:$Z66,MIN(N$6-$G$3,22))&lt;&gt;""),Aveia!$E66:INDEX(Aveia!$E66:$Z66,MIN(N$6-$G$3,22))),0)))))</f>
        <v>0</v>
      </c>
      <c r="O68" s="27" t="n">
        <f aca="false">IF(COUNT(Aveia!$E66:$Z66)=0,0,MAX(0,IF((O$6-$E$3)&lt;1,0,IFERROR(LOOKUP(2,1/(Aveia!$E66:INDEX(Aveia!$E66:$Z66,MIN(O$6-$E$3,22))&lt;&gt;""),Aveia!$E66:INDEX(Aveia!$E66:$Z66,MIN(O$6-$E$3,22))),0))-IF($G$2,0,IF((O$6-$G$3)&lt;1,0,IFERROR(LOOKUP(2,1/(Aveia!$E66:INDEX(Aveia!$E66:$Z66,MIN(O$6-$G$3,22))&lt;&gt;""),Aveia!$E66:INDEX(Aveia!$E66:$Z66,MIN(O$6-$G$3,22))),0)))))</f>
        <v>0</v>
      </c>
      <c r="P68" s="27" t="n">
        <f aca="false">IF(COUNT(Aveia!$E66:$Z66)=0,0,MAX(0,IF((P$6-$E$3)&lt;1,0,IFERROR(LOOKUP(2,1/(Aveia!$E66:INDEX(Aveia!$E66:$Z66,MIN(P$6-$E$3,22))&lt;&gt;""),Aveia!$E66:INDEX(Aveia!$E66:$Z66,MIN(P$6-$E$3,22))),0))-IF($G$2,0,IF((P$6-$G$3)&lt;1,0,IFERROR(LOOKUP(2,1/(Aveia!$E66:INDEX(Aveia!$E66:$Z66,MIN(P$6-$G$3,22))&lt;&gt;""),Aveia!$E66:INDEX(Aveia!$E66:$Z66,MIN(P$6-$G$3,22))),0)))))</f>
        <v>0</v>
      </c>
      <c r="Q68" s="27" t="n">
        <f aca="false">IF(COUNT(Aveia!$E66:$Z66)=0,0,MAX(0,IF((Q$6-$E$3)&lt;1,0,IFERROR(LOOKUP(2,1/(Aveia!$E66:INDEX(Aveia!$E66:$Z66,MIN(Q$6-$E$3,22))&lt;&gt;""),Aveia!$E66:INDEX(Aveia!$E66:$Z66,MIN(Q$6-$E$3,22))),0))-IF($G$2,0,IF((Q$6-$G$3)&lt;1,0,IFERROR(LOOKUP(2,1/(Aveia!$E66:INDEX(Aveia!$E66:$Z66,MIN(Q$6-$G$3,22))&lt;&gt;""),Aveia!$E66:INDEX(Aveia!$E66:$Z66,MIN(Q$6-$G$3,22))),0)))))</f>
        <v>0</v>
      </c>
      <c r="R68" s="27" t="n">
        <f aca="false">IF(COUNT(Aveia!$E66:$Z66)=0,0,MAX(0,IF((R$6-$E$3)&lt;1,0,IFERROR(LOOKUP(2,1/(Aveia!$E66:INDEX(Aveia!$E66:$Z66,MIN(R$6-$E$3,22))&lt;&gt;""),Aveia!$E66:INDEX(Aveia!$E66:$Z66,MIN(R$6-$E$3,22))),0))-IF($G$2,0,IF((R$6-$G$3)&lt;1,0,IFERROR(LOOKUP(2,1/(Aveia!$E66:INDEX(Aveia!$E66:$Z66,MIN(R$6-$G$3,22))&lt;&gt;""),Aveia!$E66:INDEX(Aveia!$E66:$Z66,MIN(R$6-$G$3,22))),0)))))</f>
        <v>0</v>
      </c>
      <c r="S68" s="27" t="n">
        <f aca="false">IF(COUNT(Aveia!$E66:$Z66)=0,0,MAX(0,IF((S$6-$E$3)&lt;1,0,IFERROR(LOOKUP(2,1/(Aveia!$E66:INDEX(Aveia!$E66:$Z66,MIN(S$6-$E$3,22))&lt;&gt;""),Aveia!$E66:INDEX(Aveia!$E66:$Z66,MIN(S$6-$E$3,22))),0))-IF($G$2,0,IF((S$6-$G$3)&lt;1,0,IFERROR(LOOKUP(2,1/(Aveia!$E66:INDEX(Aveia!$E66:$Z66,MIN(S$6-$G$3,22))&lt;&gt;""),Aveia!$E66:INDEX(Aveia!$E66:$Z66,MIN(S$6-$G$3,22))),0)))))</f>
        <v>0</v>
      </c>
      <c r="T68" s="27" t="n">
        <f aca="false">IF(COUNT(Aveia!$E66:$Z66)=0,0,MAX(0,IF((T$6-$E$3)&lt;1,0,IFERROR(LOOKUP(2,1/(Aveia!$E66:INDEX(Aveia!$E66:$Z66,MIN(T$6-$E$3,22))&lt;&gt;""),Aveia!$E66:INDEX(Aveia!$E66:$Z66,MIN(T$6-$E$3,22))),0))-IF($G$2,0,IF((T$6-$G$3)&lt;1,0,IFERROR(LOOKUP(2,1/(Aveia!$E66:INDEX(Aveia!$E66:$Z66,MIN(T$6-$G$3,22))&lt;&gt;""),Aveia!$E66:INDEX(Aveia!$E66:$Z66,MIN(T$6-$G$3,22))),0)))))</f>
        <v>0</v>
      </c>
      <c r="U68" s="27" t="n">
        <f aca="false">IF(COUNT(Aveia!$E66:$Z66)=0,0,MAX(0,IF((U$6-$E$3)&lt;1,0,IFERROR(LOOKUP(2,1/(Aveia!$E66:INDEX(Aveia!$E66:$Z66,MIN(U$6-$E$3,22))&lt;&gt;""),Aveia!$E66:INDEX(Aveia!$E66:$Z66,MIN(U$6-$E$3,22))),0))-IF($G$2,0,IF((U$6-$G$3)&lt;1,0,IFERROR(LOOKUP(2,1/(Aveia!$E66:INDEX(Aveia!$E66:$Z66,MIN(U$6-$G$3,22))&lt;&gt;""),Aveia!$E66:INDEX(Aveia!$E66:$Z66,MIN(U$6-$G$3,22))),0)))))</f>
        <v>0</v>
      </c>
      <c r="V68" s="27" t="n">
        <f aca="false">IF(COUNT(Aveia!$E66:$Z66)=0,0,MAX(0,IF((V$6-$E$3)&lt;1,0,IFERROR(LOOKUP(2,1/(Aveia!$E66:INDEX(Aveia!$E66:$Z66,MIN(V$6-$E$3,22))&lt;&gt;""),Aveia!$E66:INDEX(Aveia!$E66:$Z66,MIN(V$6-$E$3,22))),0))-IF($G$2,0,IF((V$6-$G$3)&lt;1,0,IFERROR(LOOKUP(2,1/(Aveia!$E66:INDEX(Aveia!$E66:$Z66,MIN(V$6-$G$3,22))&lt;&gt;""),Aveia!$E66:INDEX(Aveia!$E66:$Z66,MIN(V$6-$G$3,22))),0)))))</f>
        <v>0</v>
      </c>
      <c r="W68" s="27" t="n">
        <f aca="false">IF(COUNT(Aveia!$E66:$Z66)=0,0,MAX(0,IF((W$6-$E$3)&lt;1,0,IFERROR(LOOKUP(2,1/(Aveia!$E66:INDEX(Aveia!$E66:$Z66,MIN(W$6-$E$3,22))&lt;&gt;""),Aveia!$E66:INDEX(Aveia!$E66:$Z66,MIN(W$6-$E$3,22))),0))-IF($G$2,0,IF((W$6-$G$3)&lt;1,0,IFERROR(LOOKUP(2,1/(Aveia!$E66:INDEX(Aveia!$E66:$Z66,MIN(W$6-$G$3,22))&lt;&gt;""),Aveia!$E66:INDEX(Aveia!$E66:$Z66,MIN(W$6-$G$3,22))),0)))))</f>
        <v>0</v>
      </c>
      <c r="X68" s="27" t="n">
        <f aca="false">IF(COUNT(Aveia!$E66:$Z66)=0,0,MAX(0,IF((X$6-$E$3)&lt;1,0,IFERROR(LOOKUP(2,1/(Aveia!$E66:INDEX(Aveia!$E66:$Z66,MIN(X$6-$E$3,22))&lt;&gt;""),Aveia!$E66:INDEX(Aveia!$E66:$Z66,MIN(X$6-$E$3,22))),0))-IF($G$2,0,IF((X$6-$G$3)&lt;1,0,IFERROR(LOOKUP(2,1/(Aveia!$E66:INDEX(Aveia!$E66:$Z66,MIN(X$6-$G$3,22))&lt;&gt;""),Aveia!$E66:INDEX(Aveia!$E66:$Z66,MIN(X$6-$G$3,22))),0)))))</f>
        <v>0</v>
      </c>
      <c r="Y68" s="27" t="n">
        <f aca="false">IF(COUNT(Aveia!$E66:$Z66)=0,0,MAX(0,IF((Y$6-$E$3)&lt;1,0,IFERROR(LOOKUP(2,1/(Aveia!$E66:INDEX(Aveia!$E66:$Z66,MIN(Y$6-$E$3,22))&lt;&gt;""),Aveia!$E66:INDEX(Aveia!$E66:$Z66,MIN(Y$6-$E$3,22))),0))-IF($G$2,0,IF((Y$6-$G$3)&lt;1,0,IFERROR(LOOKUP(2,1/(Aveia!$E66:INDEX(Aveia!$E66:$Z66,MIN(Y$6-$G$3,22))&lt;&gt;""),Aveia!$E66:INDEX(Aveia!$E66:$Z66,MIN(Y$6-$G$3,22))),0)))))</f>
        <v>0</v>
      </c>
      <c r="Z68" s="27" t="n">
        <f aca="false">IF(COUNT(Aveia!$E66:$Z66)=0,0,MAX(0,IF((Z$6-$E$3)&lt;1,0,IFERROR(LOOKUP(2,1/(Aveia!$E66:INDEX(Aveia!$E66:$Z66,MIN(Z$6-$E$3,22))&lt;&gt;""),Aveia!$E66:INDEX(Aveia!$E66:$Z66,MIN(Z$6-$E$3,22))),0))-IF($G$2,0,IF((Z$6-$G$3)&lt;1,0,IFERROR(LOOKUP(2,1/(Aveia!$E66:INDEX(Aveia!$E66:$Z66,MIN(Z$6-$G$3,22))&lt;&gt;""),Aveia!$E66:INDEX(Aveia!$E66:$Z66,MIN(Z$6-$G$3,22))),0)))))</f>
        <v>0</v>
      </c>
      <c r="AA68" s="27" t="n">
        <f aca="false">IF(COUNT(Aveia!$E66:$Z66)=0,0,MAX(0,IF((AA$6-$E$3)&lt;1,0,IFERROR(LOOKUP(2,1/(Aveia!$E66:INDEX(Aveia!$E66:$Z66,MIN(AA$6-$E$3,22))&lt;&gt;""),Aveia!$E66:INDEX(Aveia!$E66:$Z66,MIN(AA$6-$E$3,22))),0))-IF($G$2,0,IF((AA$6-$G$3)&lt;1,0,IFERROR(LOOKUP(2,1/(Aveia!$E66:INDEX(Aveia!$E66:$Z66,MIN(AA$6-$G$3,22))&lt;&gt;""),Aveia!$E66:INDEX(Aveia!$E66:$Z66,MIN(AA$6-$G$3,22))),0)))))</f>
        <v>0</v>
      </c>
      <c r="AB68" s="27" t="n">
        <f aca="false">IF(COUNT(Aveia!$E66:$Z66)=0,0,MAX(0,IF((AB$6-$E$3)&lt;1,0,IFERROR(LOOKUP(2,1/(Aveia!$E66:INDEX(Aveia!$E66:$Z66,MIN(AB$6-$E$3,22))&lt;&gt;""),Aveia!$E66:INDEX(Aveia!$E66:$Z66,MIN(AB$6-$E$3,22))),0))-IF($G$2,0,IF((AB$6-$G$3)&lt;1,0,IFERROR(LOOKUP(2,1/(Aveia!$E66:INDEX(Aveia!$E66:$Z66,MIN(AB$6-$G$3,22))&lt;&gt;""),Aveia!$E66:INDEX(Aveia!$E66:$Z66,MIN(AB$6-$G$3,22))),0)))))</f>
        <v>0</v>
      </c>
      <c r="AC68" s="27" t="n">
        <f aca="false">IF(COUNT(Aveia!$E66:$Z66)=0,0,MAX(0,IF((AC$6-$E$3)&lt;1,0,IFERROR(LOOKUP(2,1/(Aveia!$E66:INDEX(Aveia!$E66:$Z66,MIN(AC$6-$E$3,22))&lt;&gt;""),Aveia!$E66:INDEX(Aveia!$E66:$Z66,MIN(AC$6-$E$3,22))),0))-IF($G$2,0,IF((AC$6-$G$3)&lt;1,0,IFERROR(LOOKUP(2,1/(Aveia!$E66:INDEX(Aveia!$E66:$Z66,MIN(AC$6-$G$3,22))&lt;&gt;""),Aveia!$E66:INDEX(Aveia!$E66:$Z66,MIN(AC$6-$G$3,22))),0)))))</f>
        <v>0</v>
      </c>
      <c r="AD68" s="27" t="n">
        <f aca="false">IF(COUNT(Aveia!$E66:$Z66)=0,0,MAX(0,IF((AD$6-$E$3)&lt;1,0,IFERROR(LOOKUP(2,1/(Aveia!$E66:INDEX(Aveia!$E66:$Z66,MIN(AD$6-$E$3,22))&lt;&gt;""),Aveia!$E66:INDEX(Aveia!$E66:$Z66,MIN(AD$6-$E$3,22))),0))-IF($G$2,0,IF((AD$6-$G$3)&lt;1,0,IFERROR(LOOKUP(2,1/(Aveia!$E66:INDEX(Aveia!$E66:$Z66,MIN(AD$6-$G$3,22))&lt;&gt;""),Aveia!$E66:INDEX(Aveia!$E66:$Z66,MIN(AD$6-$G$3,22))),0)))))</f>
        <v>0</v>
      </c>
      <c r="AE68" s="27" t="n">
        <f aca="false">IF(COUNT(Aveia!$E66:$Z66)=0,0,MAX(0,IF((AE$6-$E$3)&lt;1,0,IFERROR(LOOKUP(2,1/(Aveia!$E66:INDEX(Aveia!$E66:$Z66,MIN(AE$6-$E$3,22))&lt;&gt;""),Aveia!$E66:INDEX(Aveia!$E66:$Z66,MIN(AE$6-$E$3,22))),0))-IF($G$2,0,IF((AE$6-$G$3)&lt;1,0,IFERROR(LOOKUP(2,1/(Aveia!$E66:INDEX(Aveia!$E66:$Z66,MIN(AE$6-$G$3,22))&lt;&gt;""),Aveia!$E66:INDEX(Aveia!$E66:$Z66,MIN(AE$6-$G$3,22))),0)))))</f>
        <v>0</v>
      </c>
      <c r="AF68" s="27" t="n">
        <f aca="false">IF(COUNT(Aveia!$E66:$Z66)=0,0,MAX(0,IF((AF$6-$E$3)&lt;1,0,IFERROR(LOOKUP(2,1/(Aveia!$E66:INDEX(Aveia!$E66:$Z66,MIN(AF$6-$E$3,22))&lt;&gt;""),Aveia!$E66:INDEX(Aveia!$E66:$Z66,MIN(AF$6-$E$3,22))),0))-IF($G$2,0,IF((AF$6-$G$3)&lt;1,0,IFERROR(LOOKUP(2,1/(Aveia!$E66:INDEX(Aveia!$E66:$Z66,MIN(AF$6-$G$3,22))&lt;&gt;""),Aveia!$E66:INDEX(Aveia!$E66:$Z66,MIN(AF$6-$G$3,22))),0)))))</f>
        <v>0</v>
      </c>
      <c r="AG68" s="27" t="n">
        <f aca="false">IF(COUNT(Aveia!$E66:$Z66)=0,0,MAX(0,IF((AG$6-$E$3)&lt;1,0,IFERROR(LOOKUP(2,1/(Aveia!$E66:INDEX(Aveia!$E66:$Z66,MIN(AG$6-$E$3,22))&lt;&gt;""),Aveia!$E66:INDEX(Aveia!$E66:$Z66,MIN(AG$6-$E$3,22))),0))-IF($G$2,0,IF((AG$6-$G$3)&lt;1,0,IFERROR(LOOKUP(2,1/(Aveia!$E66:INDEX(Aveia!$E66:$Z66,MIN(AG$6-$G$3,22))&lt;&gt;""),Aveia!$E66:INDEX(Aveia!$E66:$Z66,MIN(AG$6-$G$3,22))),0)))))</f>
        <v>0</v>
      </c>
      <c r="AH68" s="27" t="n">
        <f aca="false">IF(COUNT(Aveia!$E66:$Z66)=0,0,MAX(0,IF((AH$6-$E$3)&lt;1,0,IFERROR(LOOKUP(2,1/(Aveia!$E66:INDEX(Aveia!$E66:$Z66,MIN(AH$6-$E$3,22))&lt;&gt;""),Aveia!$E66:INDEX(Aveia!$E66:$Z66,MIN(AH$6-$E$3,22))),0))-IF($G$2,0,IF((AH$6-$G$3)&lt;1,0,IFERROR(LOOKUP(2,1/(Aveia!$E66:INDEX(Aveia!$E66:$Z66,MIN(AH$6-$G$3,22))&lt;&gt;""),Aveia!$E66:INDEX(Aveia!$E66:$Z66,MIN(AH$6-$G$3,22))),0)))))</f>
        <v>0</v>
      </c>
      <c r="AI68" s="27" t="n">
        <f aca="false">IF(COUNT(Aveia!$E66:$Z66)=0,0,MAX(0,IF((AI$6-$E$3)&lt;1,0,IFERROR(LOOKUP(2,1/(Aveia!$E66:INDEX(Aveia!$E66:$Z66,MIN(AI$6-$E$3,22))&lt;&gt;""),Aveia!$E66:INDEX(Aveia!$E66:$Z66,MIN(AI$6-$E$3,22))),0))-IF($G$2,0,IF((AI$6-$G$3)&lt;1,0,IFERROR(LOOKUP(2,1/(Aveia!$E66:INDEX(Aveia!$E66:$Z66,MIN(AI$6-$G$3,22))&lt;&gt;""),Aveia!$E66:INDEX(Aveia!$E66:$Z66,MIN(AI$6-$G$3,22))),0)))))</f>
        <v>0</v>
      </c>
      <c r="AJ68" s="27" t="n">
        <f aca="false">IF(COUNT(Aveia!$E66:$Z66)=0,0,MAX(0,IF((AJ$6-$E$3)&lt;1,0,IFERROR(LOOKUP(2,1/(Aveia!$E66:INDEX(Aveia!$E66:$Z66,MIN(AJ$6-$E$3,22))&lt;&gt;""),Aveia!$E66:INDEX(Aveia!$E66:$Z66,MIN(AJ$6-$E$3,22))),0))-IF($G$2,0,IF((AJ$6-$G$3)&lt;1,0,IFERROR(LOOKUP(2,1/(Aveia!$E66:INDEX(Aveia!$E66:$Z66,MIN(AJ$6-$G$3,22))&lt;&gt;""),Aveia!$E66:INDEX(Aveia!$E66:$Z66,MIN(AJ$6-$G$3,22))),0)))))</f>
        <v>0</v>
      </c>
      <c r="AK68" s="27" t="n">
        <f aca="false">IF(COUNT(Aveia!$E66:$Z66)=0,0,MAX(0,IF((AK$6-$E$3)&lt;1,0,IFERROR(LOOKUP(2,1/(Aveia!$E66:INDEX(Aveia!$E66:$Z66,MIN(AK$6-$E$3,22))&lt;&gt;""),Aveia!$E66:INDEX(Aveia!$E66:$Z66,MIN(AK$6-$E$3,22))),0))-IF($G$2,0,IF((AK$6-$G$3)&lt;1,0,IFERROR(LOOKUP(2,1/(Aveia!$E66:INDEX(Aveia!$E66:$Z66,MIN(AK$6-$G$3,22))&lt;&gt;""),Aveia!$E66:INDEX(Aveia!$E66:$Z66,MIN(AK$6-$G$3,22))),0)))))</f>
        <v>0</v>
      </c>
      <c r="AL68" s="27" t="n">
        <f aca="false">IF(COUNT(Aveia!$E66:$Z66)=0,0,MAX(0,IF((AL$6-$E$3)&lt;1,0,IFERROR(LOOKUP(2,1/(Aveia!$E66:INDEX(Aveia!$E66:$Z66,MIN(AL$6-$E$3,22))&lt;&gt;""),Aveia!$E66:INDEX(Aveia!$E66:$Z66,MIN(AL$6-$E$3,22))),0))-IF($G$2,0,IF((AL$6-$G$3)&lt;1,0,IFERROR(LOOKUP(2,1/(Aveia!$E66:INDEX(Aveia!$E66:$Z66,MIN(AL$6-$G$3,22))&lt;&gt;""),Aveia!$E66:INDEX(Aveia!$E66:$Z66,MIN(AL$6-$G$3,22))),0)))))</f>
        <v>0</v>
      </c>
      <c r="AM68" s="27" t="n">
        <f aca="false">IF(COUNT(Aveia!$E66:$Z66)=0,0,MAX(0,IF((AM$6-$E$3)&lt;1,0,IFERROR(LOOKUP(2,1/(Aveia!$E66:INDEX(Aveia!$E66:$Z66,MIN(AM$6-$E$3,22))&lt;&gt;""),Aveia!$E66:INDEX(Aveia!$E66:$Z66,MIN(AM$6-$E$3,22))),0))-IF($G$2,0,IF((AM$6-$G$3)&lt;1,0,IFERROR(LOOKUP(2,1/(Aveia!$E66:INDEX(Aveia!$E66:$Z66,MIN(AM$6-$G$3,22))&lt;&gt;""),Aveia!$E66:INDEX(Aveia!$E66:$Z66,MIN(AM$6-$G$3,22))),0)))))</f>
        <v>0</v>
      </c>
      <c r="AN68" s="27" t="n">
        <f aca="false">IF(COUNT(Aveia!$E66:$Z66)=0,0,MAX(0,IF((AN$6-$E$3)&lt;1,0,IFERROR(LOOKUP(2,1/(Aveia!$E66:INDEX(Aveia!$E66:$Z66,MIN(AN$6-$E$3,22))&lt;&gt;""),Aveia!$E66:INDEX(Aveia!$E66:$Z66,MIN(AN$6-$E$3,22))),0))-IF($G$2,0,IF((AN$6-$G$3)&lt;1,0,IFERROR(LOOKUP(2,1/(Aveia!$E66:INDEX(Aveia!$E66:$Z66,MIN(AN$6-$G$3,22))&lt;&gt;""),Aveia!$E66:INDEX(Aveia!$E66:$Z66,MIN(AN$6-$G$3,22))),0)))))</f>
        <v>0</v>
      </c>
      <c r="AO68" s="27" t="n">
        <f aca="false">IF(COUNT(Aveia!$E66:$Z66)=0,0,MAX(0,IF((AO$6-$E$3)&lt;1,0,IFERROR(LOOKUP(2,1/(Aveia!$E66:INDEX(Aveia!$E66:$Z66,MIN(AO$6-$E$3,22))&lt;&gt;""),Aveia!$E66:INDEX(Aveia!$E66:$Z66,MIN(AO$6-$E$3,22))),0))-IF($G$2,0,IF((AO$6-$G$3)&lt;1,0,IFERROR(LOOKUP(2,1/(Aveia!$E66:INDEX(Aveia!$E66:$Z66,MIN(AO$6-$G$3,22))&lt;&gt;""),Aveia!$E66:INDEX(Aveia!$E66:$Z66,MIN(AO$6-$G$3,22))),0)))))</f>
        <v>0</v>
      </c>
      <c r="AP68" s="27" t="n">
        <f aca="false">IF(COUNT(Aveia!$E66:$Z66)=0,0,MAX(0,IF((AP$6-$E$3)&lt;1,0,IFERROR(LOOKUP(2,1/(Aveia!$E66:INDEX(Aveia!$E66:$Z66,MIN(AP$6-$E$3,22))&lt;&gt;""),Aveia!$E66:INDEX(Aveia!$E66:$Z66,MIN(AP$6-$E$3,22))),0))-IF($G$2,0,IF((AP$6-$G$3)&lt;1,0,IFERROR(LOOKUP(2,1/(Aveia!$E66:INDEX(Aveia!$E66:$Z66,MIN(AP$6-$G$3,22))&lt;&gt;""),Aveia!$E66:INDEX(Aveia!$E66:$Z66,MIN(AP$6-$G$3,22))),0)))))</f>
        <v>0</v>
      </c>
      <c r="AQ68" s="27" t="n">
        <f aca="false">IF(COUNT(Aveia!$E66:$Z66)=0,0,MAX(0,IF((AQ$6-$E$3)&lt;1,0,IFERROR(LOOKUP(2,1/(Aveia!$E66:INDEX(Aveia!$E66:$Z66,MIN(AQ$6-$E$3,22))&lt;&gt;""),Aveia!$E66:INDEX(Aveia!$E66:$Z66,MIN(AQ$6-$E$3,22))),0))-IF($G$2,0,IF((AQ$6-$G$3)&lt;1,0,IFERROR(LOOKUP(2,1/(Aveia!$E66:INDEX(Aveia!$E66:$Z66,MIN(AQ$6-$G$3,22))&lt;&gt;""),Aveia!$E66:INDEX(Aveia!$E66:$Z66,MIN(AQ$6-$G$3,22))),0)))))</f>
        <v>0</v>
      </c>
      <c r="AR68" s="27" t="n">
        <f aca="false">IF(COUNT(Aveia!$E66:$Z66)=0,0,MAX(0,IF((AR$6-$E$3)&lt;1,0,IFERROR(LOOKUP(2,1/(Aveia!$E66:INDEX(Aveia!$E66:$Z66,MIN(AR$6-$E$3,22))&lt;&gt;""),Aveia!$E66:INDEX(Aveia!$E66:$Z66,MIN(AR$6-$E$3,22))),0))-IF($G$2,0,IF((AR$6-$G$3)&lt;1,0,IFERROR(LOOKUP(2,1/(Aveia!$E66:INDEX(Aveia!$E66:$Z66,MIN(AR$6-$G$3,22))&lt;&gt;""),Aveia!$E66:INDEX(Aveia!$E66:$Z66,MIN(AR$6-$G$3,22))),0)))))</f>
        <v>0</v>
      </c>
      <c r="AS68" s="27" t="n">
        <f aca="false">IF(COUNT(Aveia!$E66:$Z66)=0,0,MAX(0,IF((AS$6-$E$3)&lt;1,0,IFERROR(LOOKUP(2,1/(Aveia!$E66:INDEX(Aveia!$E66:$Z66,MIN(AS$6-$E$3,22))&lt;&gt;""),Aveia!$E66:INDEX(Aveia!$E66:$Z66,MIN(AS$6-$E$3,22))),0))-IF($G$2,0,IF((AS$6-$G$3)&lt;1,0,IFERROR(LOOKUP(2,1/(Aveia!$E66:INDEX(Aveia!$E66:$Z66,MIN(AS$6-$G$3,22))&lt;&gt;""),Aveia!$E66:INDEX(Aveia!$E66:$Z66,MIN(AS$6-$G$3,22))),0)))))</f>
        <v>0</v>
      </c>
      <c r="AT68" s="27" t="n">
        <f aca="false">IF(COUNT(Aveia!$E66:$Z66)=0,0,MAX(0,IF((AT$6-$E$3)&lt;1,0,IFERROR(LOOKUP(2,1/(Aveia!$E66:INDEX(Aveia!$E66:$Z66,MIN(AT$6-$E$3,22))&lt;&gt;""),Aveia!$E66:INDEX(Aveia!$E66:$Z66,MIN(AT$6-$E$3,22))),0))-IF($G$2,0,IF((AT$6-$G$3)&lt;1,0,IFERROR(LOOKUP(2,1/(Aveia!$E66:INDEX(Aveia!$E66:$Z66,MIN(AT$6-$G$3,22))&lt;&gt;""),Aveia!$E66:INDEX(Aveia!$E66:$Z66,MIN(AT$6-$G$3,22))),0)))))</f>
        <v>0</v>
      </c>
      <c r="AU68" s="27" t="n">
        <f aca="false">IF(COUNT(Aveia!$E66:$Z66)=0,0,MAX(0,IF((AU$6-$E$3)&lt;1,0,IFERROR(LOOKUP(2,1/(Aveia!$E66:INDEX(Aveia!$E66:$Z66,MIN(AU$6-$E$3,22))&lt;&gt;""),Aveia!$E66:INDEX(Aveia!$E66:$Z66,MIN(AU$6-$E$3,22))),0))-IF($G$2,0,IF((AU$6-$G$3)&lt;1,0,IFERROR(LOOKUP(2,1/(Aveia!$E66:INDEX(Aveia!$E66:$Z66,MIN(AU$6-$G$3,22))&lt;&gt;""),Aveia!$E66:INDEX(Aveia!$E66:$Z66,MIN(AU$6-$G$3,22))),0)))))</f>
        <v>0</v>
      </c>
      <c r="AV68" s="27" t="n">
        <f aca="false">IF(COUNT(Aveia!$E66:$Z66)=0,0,MAX(0,IF((AV$6-$E$3)&lt;1,0,IFERROR(LOOKUP(2,1/(Aveia!$E66:INDEX(Aveia!$E66:$Z66,MIN(AV$6-$E$3,22))&lt;&gt;""),Aveia!$E66:INDEX(Aveia!$E66:$Z66,MIN(AV$6-$E$3,22))),0))-IF($G$2,0,IF((AV$6-$G$3)&lt;1,0,IFERROR(LOOKUP(2,1/(Aveia!$E66:INDEX(Aveia!$E66:$Z66,MIN(AV$6-$G$3,22))&lt;&gt;""),Aveia!$E66:INDEX(Aveia!$E66:$Z66,MIN(AV$6-$G$3,22))),0)))))</f>
        <v>0</v>
      </c>
      <c r="AW68" s="27" t="n">
        <f aca="false">IF(COUNT(Aveia!$E66:$Z66)=0,0,MAX(0,IF((AW$6-$E$3)&lt;1,0,IFERROR(LOOKUP(2,1/(Aveia!$E66:INDEX(Aveia!$E66:$Z66,MIN(AW$6-$E$3,22))&lt;&gt;""),Aveia!$E66:INDEX(Aveia!$E66:$Z66,MIN(AW$6-$E$3,22))),0))-IF($G$2,0,IF((AW$6-$G$3)&lt;1,0,IFERROR(LOOKUP(2,1/(Aveia!$E66:INDEX(Aveia!$E66:$Z66,MIN(AW$6-$G$3,22))&lt;&gt;""),Aveia!$E66:INDEX(Aveia!$E66:$Z66,MIN(AW$6-$G$3,22))),0)))))</f>
        <v>0</v>
      </c>
      <c r="AX68" s="27" t="n">
        <f aca="false">IF(COUNT(Aveia!$E66:$Z66)=0,0,MAX(0,IF((AX$6-$E$3)&lt;1,0,IFERROR(LOOKUP(2,1/(Aveia!$E66:INDEX(Aveia!$E66:$Z66,MIN(AX$6-$E$3,22))&lt;&gt;""),Aveia!$E66:INDEX(Aveia!$E66:$Z66,MIN(AX$6-$E$3,22))),0))-IF($G$2,0,IF((AX$6-$G$3)&lt;1,0,IFERROR(LOOKUP(2,1/(Aveia!$E66:INDEX(Aveia!$E66:$Z66,MIN(AX$6-$G$3,22))&lt;&gt;""),Aveia!$E66:INDEX(Aveia!$E66:$Z66,MIN(AX$6-$G$3,22))),0)))))</f>
        <v>0</v>
      </c>
      <c r="AY68" s="27" t="n">
        <f aca="false">IF(COUNT(Aveia!$E66:$Z66)=0,0,MAX(0,IF((AY$6-$E$3)&lt;1,0,IFERROR(LOOKUP(2,1/(Aveia!$E66:INDEX(Aveia!$E66:$Z66,MIN(AY$6-$E$3,22))&lt;&gt;""),Aveia!$E66:INDEX(Aveia!$E66:$Z66,MIN(AY$6-$E$3,22))),0))-IF($G$2,0,IF((AY$6-$G$3)&lt;1,0,IFERROR(LOOKUP(2,1/(Aveia!$E66:INDEX(Aveia!$E66:$Z66,MIN(AY$6-$G$3,22))&lt;&gt;""),Aveia!$E66:INDEX(Aveia!$E66:$Z66,MIN(AY$6-$G$3,22))),0)))))</f>
        <v>0</v>
      </c>
      <c r="AZ68" s="27" t="n">
        <f aca="false">IF(COUNT(Aveia!$E66:$Z66)=0,0,MAX(0,IF((AZ$6-$E$3)&lt;1,0,IFERROR(LOOKUP(2,1/(Aveia!$E66:INDEX(Aveia!$E66:$Z66,MIN(AZ$6-$E$3,22))&lt;&gt;""),Aveia!$E66:INDEX(Aveia!$E66:$Z66,MIN(AZ$6-$E$3,22))),0))-IF($G$2,0,IF((AZ$6-$G$3)&lt;1,0,IFERROR(LOOKUP(2,1/(Aveia!$E66:INDEX(Aveia!$E66:$Z66,MIN(AZ$6-$G$3,22))&lt;&gt;""),Aveia!$E66:INDEX(Aveia!$E66:$Z66,MIN(AZ$6-$G$3,22))),0)))))</f>
        <v>0</v>
      </c>
    </row>
    <row r="69" customFormat="false" ht="15" hidden="false" customHeight="false" outlineLevel="0" collapsed="false">
      <c r="A69" s="3" t="s">
        <v>256</v>
      </c>
      <c r="B69" s="3" t="s">
        <v>257</v>
      </c>
      <c r="C69" s="10" t="s">
        <v>163</v>
      </c>
      <c r="D69" s="26" t="n">
        <f aca="false">IF(COUNT(Aveia!$E67:$Z67)&gt;0,N(Aveia!$D67),0)</f>
        <v>0</v>
      </c>
      <c r="E69" s="27" t="n">
        <f aca="false">IF(COUNT(Aveia!$E67:$Z67)=0,0,MAX(0,IF((E$6-$E$3)&lt;1,0,IFERROR(LOOKUP(2,1/(Aveia!$E67:INDEX(Aveia!$E67:$Z67,MIN(E$6-$E$3,22))&lt;&gt;""),Aveia!$E67:INDEX(Aveia!$E67:$Z67,MIN(E$6-$E$3,22))),0))-IF($G$2,0,IF((E$6-$G$3)&lt;1,0,IFERROR(LOOKUP(2,1/(Aveia!$E67:INDEX(Aveia!$E67:$Z67,MIN(E$6-$G$3,22))&lt;&gt;""),Aveia!$E67:INDEX(Aveia!$E67:$Z67,MIN(E$6-$G$3,22))),0)))))</f>
        <v>0</v>
      </c>
      <c r="F69" s="27" t="n">
        <f aca="false">IF(COUNT(Aveia!$E67:$Z67)=0,0,MAX(0,IF((F$6-$E$3)&lt;1,0,IFERROR(LOOKUP(2,1/(Aveia!$E67:INDEX(Aveia!$E67:$Z67,MIN(F$6-$E$3,22))&lt;&gt;""),Aveia!$E67:INDEX(Aveia!$E67:$Z67,MIN(F$6-$E$3,22))),0))-IF($G$2,0,IF((F$6-$G$3)&lt;1,0,IFERROR(LOOKUP(2,1/(Aveia!$E67:INDEX(Aveia!$E67:$Z67,MIN(F$6-$G$3,22))&lt;&gt;""),Aveia!$E67:INDEX(Aveia!$E67:$Z67,MIN(F$6-$G$3,22))),0)))))</f>
        <v>0</v>
      </c>
      <c r="G69" s="27" t="n">
        <f aca="false">IF(COUNT(Aveia!$E67:$Z67)=0,0,MAX(0,IF((G$6-$E$3)&lt;1,0,IFERROR(LOOKUP(2,1/(Aveia!$E67:INDEX(Aveia!$E67:$Z67,MIN(G$6-$E$3,22))&lt;&gt;""),Aveia!$E67:INDEX(Aveia!$E67:$Z67,MIN(G$6-$E$3,22))),0))-IF($G$2,0,IF((G$6-$G$3)&lt;1,0,IFERROR(LOOKUP(2,1/(Aveia!$E67:INDEX(Aveia!$E67:$Z67,MIN(G$6-$G$3,22))&lt;&gt;""),Aveia!$E67:INDEX(Aveia!$E67:$Z67,MIN(G$6-$G$3,22))),0)))))</f>
        <v>0</v>
      </c>
      <c r="H69" s="27" t="n">
        <f aca="false">IF(COUNT(Aveia!$E67:$Z67)=0,0,MAX(0,IF((H$6-$E$3)&lt;1,0,IFERROR(LOOKUP(2,1/(Aveia!$E67:INDEX(Aveia!$E67:$Z67,MIN(H$6-$E$3,22))&lt;&gt;""),Aveia!$E67:INDEX(Aveia!$E67:$Z67,MIN(H$6-$E$3,22))),0))-IF($G$2,0,IF((H$6-$G$3)&lt;1,0,IFERROR(LOOKUP(2,1/(Aveia!$E67:INDEX(Aveia!$E67:$Z67,MIN(H$6-$G$3,22))&lt;&gt;""),Aveia!$E67:INDEX(Aveia!$E67:$Z67,MIN(H$6-$G$3,22))),0)))))</f>
        <v>0</v>
      </c>
      <c r="I69" s="27" t="n">
        <f aca="false">IF(COUNT(Aveia!$E67:$Z67)=0,0,MAX(0,IF((I$6-$E$3)&lt;1,0,IFERROR(LOOKUP(2,1/(Aveia!$E67:INDEX(Aveia!$E67:$Z67,MIN(I$6-$E$3,22))&lt;&gt;""),Aveia!$E67:INDEX(Aveia!$E67:$Z67,MIN(I$6-$E$3,22))),0))-IF($G$2,0,IF((I$6-$G$3)&lt;1,0,IFERROR(LOOKUP(2,1/(Aveia!$E67:INDEX(Aveia!$E67:$Z67,MIN(I$6-$G$3,22))&lt;&gt;""),Aveia!$E67:INDEX(Aveia!$E67:$Z67,MIN(I$6-$G$3,22))),0)))))</f>
        <v>0</v>
      </c>
      <c r="J69" s="27" t="n">
        <f aca="false">IF(COUNT(Aveia!$E67:$Z67)=0,0,MAX(0,IF((J$6-$E$3)&lt;1,0,IFERROR(LOOKUP(2,1/(Aveia!$E67:INDEX(Aveia!$E67:$Z67,MIN(J$6-$E$3,22))&lt;&gt;""),Aveia!$E67:INDEX(Aveia!$E67:$Z67,MIN(J$6-$E$3,22))),0))-IF($G$2,0,IF((J$6-$G$3)&lt;1,0,IFERROR(LOOKUP(2,1/(Aveia!$E67:INDEX(Aveia!$E67:$Z67,MIN(J$6-$G$3,22))&lt;&gt;""),Aveia!$E67:INDEX(Aveia!$E67:$Z67,MIN(J$6-$G$3,22))),0)))))</f>
        <v>0</v>
      </c>
      <c r="K69" s="27" t="n">
        <f aca="false">IF(COUNT(Aveia!$E67:$Z67)=0,0,MAX(0,IF((K$6-$E$3)&lt;1,0,IFERROR(LOOKUP(2,1/(Aveia!$E67:INDEX(Aveia!$E67:$Z67,MIN(K$6-$E$3,22))&lt;&gt;""),Aveia!$E67:INDEX(Aveia!$E67:$Z67,MIN(K$6-$E$3,22))),0))-IF($G$2,0,IF((K$6-$G$3)&lt;1,0,IFERROR(LOOKUP(2,1/(Aveia!$E67:INDEX(Aveia!$E67:$Z67,MIN(K$6-$G$3,22))&lt;&gt;""),Aveia!$E67:INDEX(Aveia!$E67:$Z67,MIN(K$6-$G$3,22))),0)))))</f>
        <v>0</v>
      </c>
      <c r="L69" s="27" t="n">
        <f aca="false">IF(COUNT(Aveia!$E67:$Z67)=0,0,MAX(0,IF((L$6-$E$3)&lt;1,0,IFERROR(LOOKUP(2,1/(Aveia!$E67:INDEX(Aveia!$E67:$Z67,MIN(L$6-$E$3,22))&lt;&gt;""),Aveia!$E67:INDEX(Aveia!$E67:$Z67,MIN(L$6-$E$3,22))),0))-IF($G$2,0,IF((L$6-$G$3)&lt;1,0,IFERROR(LOOKUP(2,1/(Aveia!$E67:INDEX(Aveia!$E67:$Z67,MIN(L$6-$G$3,22))&lt;&gt;""),Aveia!$E67:INDEX(Aveia!$E67:$Z67,MIN(L$6-$G$3,22))),0)))))</f>
        <v>0</v>
      </c>
      <c r="M69" s="27" t="n">
        <f aca="false">IF(COUNT(Aveia!$E67:$Z67)=0,0,MAX(0,IF((M$6-$E$3)&lt;1,0,IFERROR(LOOKUP(2,1/(Aveia!$E67:INDEX(Aveia!$E67:$Z67,MIN(M$6-$E$3,22))&lt;&gt;""),Aveia!$E67:INDEX(Aveia!$E67:$Z67,MIN(M$6-$E$3,22))),0))-IF($G$2,0,IF((M$6-$G$3)&lt;1,0,IFERROR(LOOKUP(2,1/(Aveia!$E67:INDEX(Aveia!$E67:$Z67,MIN(M$6-$G$3,22))&lt;&gt;""),Aveia!$E67:INDEX(Aveia!$E67:$Z67,MIN(M$6-$G$3,22))),0)))))</f>
        <v>0</v>
      </c>
      <c r="N69" s="27" t="n">
        <f aca="false">IF(COUNT(Aveia!$E67:$Z67)=0,0,MAX(0,IF((N$6-$E$3)&lt;1,0,IFERROR(LOOKUP(2,1/(Aveia!$E67:INDEX(Aveia!$E67:$Z67,MIN(N$6-$E$3,22))&lt;&gt;""),Aveia!$E67:INDEX(Aveia!$E67:$Z67,MIN(N$6-$E$3,22))),0))-IF($G$2,0,IF((N$6-$G$3)&lt;1,0,IFERROR(LOOKUP(2,1/(Aveia!$E67:INDEX(Aveia!$E67:$Z67,MIN(N$6-$G$3,22))&lt;&gt;""),Aveia!$E67:INDEX(Aveia!$E67:$Z67,MIN(N$6-$G$3,22))),0)))))</f>
        <v>0</v>
      </c>
      <c r="O69" s="27" t="n">
        <f aca="false">IF(COUNT(Aveia!$E67:$Z67)=0,0,MAX(0,IF((O$6-$E$3)&lt;1,0,IFERROR(LOOKUP(2,1/(Aveia!$E67:INDEX(Aveia!$E67:$Z67,MIN(O$6-$E$3,22))&lt;&gt;""),Aveia!$E67:INDEX(Aveia!$E67:$Z67,MIN(O$6-$E$3,22))),0))-IF($G$2,0,IF((O$6-$G$3)&lt;1,0,IFERROR(LOOKUP(2,1/(Aveia!$E67:INDEX(Aveia!$E67:$Z67,MIN(O$6-$G$3,22))&lt;&gt;""),Aveia!$E67:INDEX(Aveia!$E67:$Z67,MIN(O$6-$G$3,22))),0)))))</f>
        <v>0</v>
      </c>
      <c r="P69" s="27" t="n">
        <f aca="false">IF(COUNT(Aveia!$E67:$Z67)=0,0,MAX(0,IF((P$6-$E$3)&lt;1,0,IFERROR(LOOKUP(2,1/(Aveia!$E67:INDEX(Aveia!$E67:$Z67,MIN(P$6-$E$3,22))&lt;&gt;""),Aveia!$E67:INDEX(Aveia!$E67:$Z67,MIN(P$6-$E$3,22))),0))-IF($G$2,0,IF((P$6-$G$3)&lt;1,0,IFERROR(LOOKUP(2,1/(Aveia!$E67:INDEX(Aveia!$E67:$Z67,MIN(P$6-$G$3,22))&lt;&gt;""),Aveia!$E67:INDEX(Aveia!$E67:$Z67,MIN(P$6-$G$3,22))),0)))))</f>
        <v>0</v>
      </c>
      <c r="Q69" s="27" t="n">
        <f aca="false">IF(COUNT(Aveia!$E67:$Z67)=0,0,MAX(0,IF((Q$6-$E$3)&lt;1,0,IFERROR(LOOKUP(2,1/(Aveia!$E67:INDEX(Aveia!$E67:$Z67,MIN(Q$6-$E$3,22))&lt;&gt;""),Aveia!$E67:INDEX(Aveia!$E67:$Z67,MIN(Q$6-$E$3,22))),0))-IF($G$2,0,IF((Q$6-$G$3)&lt;1,0,IFERROR(LOOKUP(2,1/(Aveia!$E67:INDEX(Aveia!$E67:$Z67,MIN(Q$6-$G$3,22))&lt;&gt;""),Aveia!$E67:INDEX(Aveia!$E67:$Z67,MIN(Q$6-$G$3,22))),0)))))</f>
        <v>0</v>
      </c>
      <c r="R69" s="27" t="n">
        <f aca="false">IF(COUNT(Aveia!$E67:$Z67)=0,0,MAX(0,IF((R$6-$E$3)&lt;1,0,IFERROR(LOOKUP(2,1/(Aveia!$E67:INDEX(Aveia!$E67:$Z67,MIN(R$6-$E$3,22))&lt;&gt;""),Aveia!$E67:INDEX(Aveia!$E67:$Z67,MIN(R$6-$E$3,22))),0))-IF($G$2,0,IF((R$6-$G$3)&lt;1,0,IFERROR(LOOKUP(2,1/(Aveia!$E67:INDEX(Aveia!$E67:$Z67,MIN(R$6-$G$3,22))&lt;&gt;""),Aveia!$E67:INDEX(Aveia!$E67:$Z67,MIN(R$6-$G$3,22))),0)))))</f>
        <v>0</v>
      </c>
      <c r="S69" s="27" t="n">
        <f aca="false">IF(COUNT(Aveia!$E67:$Z67)=0,0,MAX(0,IF((S$6-$E$3)&lt;1,0,IFERROR(LOOKUP(2,1/(Aveia!$E67:INDEX(Aveia!$E67:$Z67,MIN(S$6-$E$3,22))&lt;&gt;""),Aveia!$E67:INDEX(Aveia!$E67:$Z67,MIN(S$6-$E$3,22))),0))-IF($G$2,0,IF((S$6-$G$3)&lt;1,0,IFERROR(LOOKUP(2,1/(Aveia!$E67:INDEX(Aveia!$E67:$Z67,MIN(S$6-$G$3,22))&lt;&gt;""),Aveia!$E67:INDEX(Aveia!$E67:$Z67,MIN(S$6-$G$3,22))),0)))))</f>
        <v>0</v>
      </c>
      <c r="T69" s="27" t="n">
        <f aca="false">IF(COUNT(Aveia!$E67:$Z67)=0,0,MAX(0,IF((T$6-$E$3)&lt;1,0,IFERROR(LOOKUP(2,1/(Aveia!$E67:INDEX(Aveia!$E67:$Z67,MIN(T$6-$E$3,22))&lt;&gt;""),Aveia!$E67:INDEX(Aveia!$E67:$Z67,MIN(T$6-$E$3,22))),0))-IF($G$2,0,IF((T$6-$G$3)&lt;1,0,IFERROR(LOOKUP(2,1/(Aveia!$E67:INDEX(Aveia!$E67:$Z67,MIN(T$6-$G$3,22))&lt;&gt;""),Aveia!$E67:INDEX(Aveia!$E67:$Z67,MIN(T$6-$G$3,22))),0)))))</f>
        <v>0</v>
      </c>
      <c r="U69" s="27" t="n">
        <f aca="false">IF(COUNT(Aveia!$E67:$Z67)=0,0,MAX(0,IF((U$6-$E$3)&lt;1,0,IFERROR(LOOKUP(2,1/(Aveia!$E67:INDEX(Aveia!$E67:$Z67,MIN(U$6-$E$3,22))&lt;&gt;""),Aveia!$E67:INDEX(Aveia!$E67:$Z67,MIN(U$6-$E$3,22))),0))-IF($G$2,0,IF((U$6-$G$3)&lt;1,0,IFERROR(LOOKUP(2,1/(Aveia!$E67:INDEX(Aveia!$E67:$Z67,MIN(U$6-$G$3,22))&lt;&gt;""),Aveia!$E67:INDEX(Aveia!$E67:$Z67,MIN(U$6-$G$3,22))),0)))))</f>
        <v>0</v>
      </c>
      <c r="V69" s="27" t="n">
        <f aca="false">IF(COUNT(Aveia!$E67:$Z67)=0,0,MAX(0,IF((V$6-$E$3)&lt;1,0,IFERROR(LOOKUP(2,1/(Aveia!$E67:INDEX(Aveia!$E67:$Z67,MIN(V$6-$E$3,22))&lt;&gt;""),Aveia!$E67:INDEX(Aveia!$E67:$Z67,MIN(V$6-$E$3,22))),0))-IF($G$2,0,IF((V$6-$G$3)&lt;1,0,IFERROR(LOOKUP(2,1/(Aveia!$E67:INDEX(Aveia!$E67:$Z67,MIN(V$6-$G$3,22))&lt;&gt;""),Aveia!$E67:INDEX(Aveia!$E67:$Z67,MIN(V$6-$G$3,22))),0)))))</f>
        <v>0</v>
      </c>
      <c r="W69" s="27" t="n">
        <f aca="false">IF(COUNT(Aveia!$E67:$Z67)=0,0,MAX(0,IF((W$6-$E$3)&lt;1,0,IFERROR(LOOKUP(2,1/(Aveia!$E67:INDEX(Aveia!$E67:$Z67,MIN(W$6-$E$3,22))&lt;&gt;""),Aveia!$E67:INDEX(Aveia!$E67:$Z67,MIN(W$6-$E$3,22))),0))-IF($G$2,0,IF((W$6-$G$3)&lt;1,0,IFERROR(LOOKUP(2,1/(Aveia!$E67:INDEX(Aveia!$E67:$Z67,MIN(W$6-$G$3,22))&lt;&gt;""),Aveia!$E67:INDEX(Aveia!$E67:$Z67,MIN(W$6-$G$3,22))),0)))))</f>
        <v>0</v>
      </c>
      <c r="X69" s="27" t="n">
        <f aca="false">IF(COUNT(Aveia!$E67:$Z67)=0,0,MAX(0,IF((X$6-$E$3)&lt;1,0,IFERROR(LOOKUP(2,1/(Aveia!$E67:INDEX(Aveia!$E67:$Z67,MIN(X$6-$E$3,22))&lt;&gt;""),Aveia!$E67:INDEX(Aveia!$E67:$Z67,MIN(X$6-$E$3,22))),0))-IF($G$2,0,IF((X$6-$G$3)&lt;1,0,IFERROR(LOOKUP(2,1/(Aveia!$E67:INDEX(Aveia!$E67:$Z67,MIN(X$6-$G$3,22))&lt;&gt;""),Aveia!$E67:INDEX(Aveia!$E67:$Z67,MIN(X$6-$G$3,22))),0)))))</f>
        <v>0</v>
      </c>
      <c r="Y69" s="27" t="n">
        <f aca="false">IF(COUNT(Aveia!$E67:$Z67)=0,0,MAX(0,IF((Y$6-$E$3)&lt;1,0,IFERROR(LOOKUP(2,1/(Aveia!$E67:INDEX(Aveia!$E67:$Z67,MIN(Y$6-$E$3,22))&lt;&gt;""),Aveia!$E67:INDEX(Aveia!$E67:$Z67,MIN(Y$6-$E$3,22))),0))-IF($G$2,0,IF((Y$6-$G$3)&lt;1,0,IFERROR(LOOKUP(2,1/(Aveia!$E67:INDEX(Aveia!$E67:$Z67,MIN(Y$6-$G$3,22))&lt;&gt;""),Aveia!$E67:INDEX(Aveia!$E67:$Z67,MIN(Y$6-$G$3,22))),0)))))</f>
        <v>0</v>
      </c>
      <c r="Z69" s="27" t="n">
        <f aca="false">IF(COUNT(Aveia!$E67:$Z67)=0,0,MAX(0,IF((Z$6-$E$3)&lt;1,0,IFERROR(LOOKUP(2,1/(Aveia!$E67:INDEX(Aveia!$E67:$Z67,MIN(Z$6-$E$3,22))&lt;&gt;""),Aveia!$E67:INDEX(Aveia!$E67:$Z67,MIN(Z$6-$E$3,22))),0))-IF($G$2,0,IF((Z$6-$G$3)&lt;1,0,IFERROR(LOOKUP(2,1/(Aveia!$E67:INDEX(Aveia!$E67:$Z67,MIN(Z$6-$G$3,22))&lt;&gt;""),Aveia!$E67:INDEX(Aveia!$E67:$Z67,MIN(Z$6-$G$3,22))),0)))))</f>
        <v>0</v>
      </c>
      <c r="AA69" s="27" t="n">
        <f aca="false">IF(COUNT(Aveia!$E67:$Z67)=0,0,MAX(0,IF((AA$6-$E$3)&lt;1,0,IFERROR(LOOKUP(2,1/(Aveia!$E67:INDEX(Aveia!$E67:$Z67,MIN(AA$6-$E$3,22))&lt;&gt;""),Aveia!$E67:INDEX(Aveia!$E67:$Z67,MIN(AA$6-$E$3,22))),0))-IF($G$2,0,IF((AA$6-$G$3)&lt;1,0,IFERROR(LOOKUP(2,1/(Aveia!$E67:INDEX(Aveia!$E67:$Z67,MIN(AA$6-$G$3,22))&lt;&gt;""),Aveia!$E67:INDEX(Aveia!$E67:$Z67,MIN(AA$6-$G$3,22))),0)))))</f>
        <v>0</v>
      </c>
      <c r="AB69" s="27" t="n">
        <f aca="false">IF(COUNT(Aveia!$E67:$Z67)=0,0,MAX(0,IF((AB$6-$E$3)&lt;1,0,IFERROR(LOOKUP(2,1/(Aveia!$E67:INDEX(Aveia!$E67:$Z67,MIN(AB$6-$E$3,22))&lt;&gt;""),Aveia!$E67:INDEX(Aveia!$E67:$Z67,MIN(AB$6-$E$3,22))),0))-IF($G$2,0,IF((AB$6-$G$3)&lt;1,0,IFERROR(LOOKUP(2,1/(Aveia!$E67:INDEX(Aveia!$E67:$Z67,MIN(AB$6-$G$3,22))&lt;&gt;""),Aveia!$E67:INDEX(Aveia!$E67:$Z67,MIN(AB$6-$G$3,22))),0)))))</f>
        <v>0</v>
      </c>
      <c r="AC69" s="27" t="n">
        <f aca="false">IF(COUNT(Aveia!$E67:$Z67)=0,0,MAX(0,IF((AC$6-$E$3)&lt;1,0,IFERROR(LOOKUP(2,1/(Aveia!$E67:INDEX(Aveia!$E67:$Z67,MIN(AC$6-$E$3,22))&lt;&gt;""),Aveia!$E67:INDEX(Aveia!$E67:$Z67,MIN(AC$6-$E$3,22))),0))-IF($G$2,0,IF((AC$6-$G$3)&lt;1,0,IFERROR(LOOKUP(2,1/(Aveia!$E67:INDEX(Aveia!$E67:$Z67,MIN(AC$6-$G$3,22))&lt;&gt;""),Aveia!$E67:INDEX(Aveia!$E67:$Z67,MIN(AC$6-$G$3,22))),0)))))</f>
        <v>0</v>
      </c>
      <c r="AD69" s="27" t="n">
        <f aca="false">IF(COUNT(Aveia!$E67:$Z67)=0,0,MAX(0,IF((AD$6-$E$3)&lt;1,0,IFERROR(LOOKUP(2,1/(Aveia!$E67:INDEX(Aveia!$E67:$Z67,MIN(AD$6-$E$3,22))&lt;&gt;""),Aveia!$E67:INDEX(Aveia!$E67:$Z67,MIN(AD$6-$E$3,22))),0))-IF($G$2,0,IF((AD$6-$G$3)&lt;1,0,IFERROR(LOOKUP(2,1/(Aveia!$E67:INDEX(Aveia!$E67:$Z67,MIN(AD$6-$G$3,22))&lt;&gt;""),Aveia!$E67:INDEX(Aveia!$E67:$Z67,MIN(AD$6-$G$3,22))),0)))))</f>
        <v>0</v>
      </c>
      <c r="AE69" s="27" t="n">
        <f aca="false">IF(COUNT(Aveia!$E67:$Z67)=0,0,MAX(0,IF((AE$6-$E$3)&lt;1,0,IFERROR(LOOKUP(2,1/(Aveia!$E67:INDEX(Aveia!$E67:$Z67,MIN(AE$6-$E$3,22))&lt;&gt;""),Aveia!$E67:INDEX(Aveia!$E67:$Z67,MIN(AE$6-$E$3,22))),0))-IF($G$2,0,IF((AE$6-$G$3)&lt;1,0,IFERROR(LOOKUP(2,1/(Aveia!$E67:INDEX(Aveia!$E67:$Z67,MIN(AE$6-$G$3,22))&lt;&gt;""),Aveia!$E67:INDEX(Aveia!$E67:$Z67,MIN(AE$6-$G$3,22))),0)))))</f>
        <v>0</v>
      </c>
      <c r="AF69" s="27" t="n">
        <f aca="false">IF(COUNT(Aveia!$E67:$Z67)=0,0,MAX(0,IF((AF$6-$E$3)&lt;1,0,IFERROR(LOOKUP(2,1/(Aveia!$E67:INDEX(Aveia!$E67:$Z67,MIN(AF$6-$E$3,22))&lt;&gt;""),Aveia!$E67:INDEX(Aveia!$E67:$Z67,MIN(AF$6-$E$3,22))),0))-IF($G$2,0,IF((AF$6-$G$3)&lt;1,0,IFERROR(LOOKUP(2,1/(Aveia!$E67:INDEX(Aveia!$E67:$Z67,MIN(AF$6-$G$3,22))&lt;&gt;""),Aveia!$E67:INDEX(Aveia!$E67:$Z67,MIN(AF$6-$G$3,22))),0)))))</f>
        <v>0</v>
      </c>
      <c r="AG69" s="27" t="n">
        <f aca="false">IF(COUNT(Aveia!$E67:$Z67)=0,0,MAX(0,IF((AG$6-$E$3)&lt;1,0,IFERROR(LOOKUP(2,1/(Aveia!$E67:INDEX(Aveia!$E67:$Z67,MIN(AG$6-$E$3,22))&lt;&gt;""),Aveia!$E67:INDEX(Aveia!$E67:$Z67,MIN(AG$6-$E$3,22))),0))-IF($G$2,0,IF((AG$6-$G$3)&lt;1,0,IFERROR(LOOKUP(2,1/(Aveia!$E67:INDEX(Aveia!$E67:$Z67,MIN(AG$6-$G$3,22))&lt;&gt;""),Aveia!$E67:INDEX(Aveia!$E67:$Z67,MIN(AG$6-$G$3,22))),0)))))</f>
        <v>0</v>
      </c>
      <c r="AH69" s="27" t="n">
        <f aca="false">IF(COUNT(Aveia!$E67:$Z67)=0,0,MAX(0,IF((AH$6-$E$3)&lt;1,0,IFERROR(LOOKUP(2,1/(Aveia!$E67:INDEX(Aveia!$E67:$Z67,MIN(AH$6-$E$3,22))&lt;&gt;""),Aveia!$E67:INDEX(Aveia!$E67:$Z67,MIN(AH$6-$E$3,22))),0))-IF($G$2,0,IF((AH$6-$G$3)&lt;1,0,IFERROR(LOOKUP(2,1/(Aveia!$E67:INDEX(Aveia!$E67:$Z67,MIN(AH$6-$G$3,22))&lt;&gt;""),Aveia!$E67:INDEX(Aveia!$E67:$Z67,MIN(AH$6-$G$3,22))),0)))))</f>
        <v>0</v>
      </c>
      <c r="AI69" s="27" t="n">
        <f aca="false">IF(COUNT(Aveia!$E67:$Z67)=0,0,MAX(0,IF((AI$6-$E$3)&lt;1,0,IFERROR(LOOKUP(2,1/(Aveia!$E67:INDEX(Aveia!$E67:$Z67,MIN(AI$6-$E$3,22))&lt;&gt;""),Aveia!$E67:INDEX(Aveia!$E67:$Z67,MIN(AI$6-$E$3,22))),0))-IF($G$2,0,IF((AI$6-$G$3)&lt;1,0,IFERROR(LOOKUP(2,1/(Aveia!$E67:INDEX(Aveia!$E67:$Z67,MIN(AI$6-$G$3,22))&lt;&gt;""),Aveia!$E67:INDEX(Aveia!$E67:$Z67,MIN(AI$6-$G$3,22))),0)))))</f>
        <v>0</v>
      </c>
      <c r="AJ69" s="27" t="n">
        <f aca="false">IF(COUNT(Aveia!$E67:$Z67)=0,0,MAX(0,IF((AJ$6-$E$3)&lt;1,0,IFERROR(LOOKUP(2,1/(Aveia!$E67:INDEX(Aveia!$E67:$Z67,MIN(AJ$6-$E$3,22))&lt;&gt;""),Aveia!$E67:INDEX(Aveia!$E67:$Z67,MIN(AJ$6-$E$3,22))),0))-IF($G$2,0,IF((AJ$6-$G$3)&lt;1,0,IFERROR(LOOKUP(2,1/(Aveia!$E67:INDEX(Aveia!$E67:$Z67,MIN(AJ$6-$G$3,22))&lt;&gt;""),Aveia!$E67:INDEX(Aveia!$E67:$Z67,MIN(AJ$6-$G$3,22))),0)))))</f>
        <v>0</v>
      </c>
      <c r="AK69" s="27" t="n">
        <f aca="false">IF(COUNT(Aveia!$E67:$Z67)=0,0,MAX(0,IF((AK$6-$E$3)&lt;1,0,IFERROR(LOOKUP(2,1/(Aveia!$E67:INDEX(Aveia!$E67:$Z67,MIN(AK$6-$E$3,22))&lt;&gt;""),Aveia!$E67:INDEX(Aveia!$E67:$Z67,MIN(AK$6-$E$3,22))),0))-IF($G$2,0,IF((AK$6-$G$3)&lt;1,0,IFERROR(LOOKUP(2,1/(Aveia!$E67:INDEX(Aveia!$E67:$Z67,MIN(AK$6-$G$3,22))&lt;&gt;""),Aveia!$E67:INDEX(Aveia!$E67:$Z67,MIN(AK$6-$G$3,22))),0)))))</f>
        <v>0</v>
      </c>
      <c r="AL69" s="27" t="n">
        <f aca="false">IF(COUNT(Aveia!$E67:$Z67)=0,0,MAX(0,IF((AL$6-$E$3)&lt;1,0,IFERROR(LOOKUP(2,1/(Aveia!$E67:INDEX(Aveia!$E67:$Z67,MIN(AL$6-$E$3,22))&lt;&gt;""),Aveia!$E67:INDEX(Aveia!$E67:$Z67,MIN(AL$6-$E$3,22))),0))-IF($G$2,0,IF((AL$6-$G$3)&lt;1,0,IFERROR(LOOKUP(2,1/(Aveia!$E67:INDEX(Aveia!$E67:$Z67,MIN(AL$6-$G$3,22))&lt;&gt;""),Aveia!$E67:INDEX(Aveia!$E67:$Z67,MIN(AL$6-$G$3,22))),0)))))</f>
        <v>0</v>
      </c>
      <c r="AM69" s="27" t="n">
        <f aca="false">IF(COUNT(Aveia!$E67:$Z67)=0,0,MAX(0,IF((AM$6-$E$3)&lt;1,0,IFERROR(LOOKUP(2,1/(Aveia!$E67:INDEX(Aveia!$E67:$Z67,MIN(AM$6-$E$3,22))&lt;&gt;""),Aveia!$E67:INDEX(Aveia!$E67:$Z67,MIN(AM$6-$E$3,22))),0))-IF($G$2,0,IF((AM$6-$G$3)&lt;1,0,IFERROR(LOOKUP(2,1/(Aveia!$E67:INDEX(Aveia!$E67:$Z67,MIN(AM$6-$G$3,22))&lt;&gt;""),Aveia!$E67:INDEX(Aveia!$E67:$Z67,MIN(AM$6-$G$3,22))),0)))))</f>
        <v>0</v>
      </c>
      <c r="AN69" s="27" t="n">
        <f aca="false">IF(COUNT(Aveia!$E67:$Z67)=0,0,MAX(0,IF((AN$6-$E$3)&lt;1,0,IFERROR(LOOKUP(2,1/(Aveia!$E67:INDEX(Aveia!$E67:$Z67,MIN(AN$6-$E$3,22))&lt;&gt;""),Aveia!$E67:INDEX(Aveia!$E67:$Z67,MIN(AN$6-$E$3,22))),0))-IF($G$2,0,IF((AN$6-$G$3)&lt;1,0,IFERROR(LOOKUP(2,1/(Aveia!$E67:INDEX(Aveia!$E67:$Z67,MIN(AN$6-$G$3,22))&lt;&gt;""),Aveia!$E67:INDEX(Aveia!$E67:$Z67,MIN(AN$6-$G$3,22))),0)))))</f>
        <v>0</v>
      </c>
      <c r="AO69" s="27" t="n">
        <f aca="false">IF(COUNT(Aveia!$E67:$Z67)=0,0,MAX(0,IF((AO$6-$E$3)&lt;1,0,IFERROR(LOOKUP(2,1/(Aveia!$E67:INDEX(Aveia!$E67:$Z67,MIN(AO$6-$E$3,22))&lt;&gt;""),Aveia!$E67:INDEX(Aveia!$E67:$Z67,MIN(AO$6-$E$3,22))),0))-IF($G$2,0,IF((AO$6-$G$3)&lt;1,0,IFERROR(LOOKUP(2,1/(Aveia!$E67:INDEX(Aveia!$E67:$Z67,MIN(AO$6-$G$3,22))&lt;&gt;""),Aveia!$E67:INDEX(Aveia!$E67:$Z67,MIN(AO$6-$G$3,22))),0)))))</f>
        <v>0</v>
      </c>
      <c r="AP69" s="27" t="n">
        <f aca="false">IF(COUNT(Aveia!$E67:$Z67)=0,0,MAX(0,IF((AP$6-$E$3)&lt;1,0,IFERROR(LOOKUP(2,1/(Aveia!$E67:INDEX(Aveia!$E67:$Z67,MIN(AP$6-$E$3,22))&lt;&gt;""),Aveia!$E67:INDEX(Aveia!$E67:$Z67,MIN(AP$6-$E$3,22))),0))-IF($G$2,0,IF((AP$6-$G$3)&lt;1,0,IFERROR(LOOKUP(2,1/(Aveia!$E67:INDEX(Aveia!$E67:$Z67,MIN(AP$6-$G$3,22))&lt;&gt;""),Aveia!$E67:INDEX(Aveia!$E67:$Z67,MIN(AP$6-$G$3,22))),0)))))</f>
        <v>0</v>
      </c>
      <c r="AQ69" s="27" t="n">
        <f aca="false">IF(COUNT(Aveia!$E67:$Z67)=0,0,MAX(0,IF((AQ$6-$E$3)&lt;1,0,IFERROR(LOOKUP(2,1/(Aveia!$E67:INDEX(Aveia!$E67:$Z67,MIN(AQ$6-$E$3,22))&lt;&gt;""),Aveia!$E67:INDEX(Aveia!$E67:$Z67,MIN(AQ$6-$E$3,22))),0))-IF($G$2,0,IF((AQ$6-$G$3)&lt;1,0,IFERROR(LOOKUP(2,1/(Aveia!$E67:INDEX(Aveia!$E67:$Z67,MIN(AQ$6-$G$3,22))&lt;&gt;""),Aveia!$E67:INDEX(Aveia!$E67:$Z67,MIN(AQ$6-$G$3,22))),0)))))</f>
        <v>0</v>
      </c>
      <c r="AR69" s="27" t="n">
        <f aca="false">IF(COUNT(Aveia!$E67:$Z67)=0,0,MAX(0,IF((AR$6-$E$3)&lt;1,0,IFERROR(LOOKUP(2,1/(Aveia!$E67:INDEX(Aveia!$E67:$Z67,MIN(AR$6-$E$3,22))&lt;&gt;""),Aveia!$E67:INDEX(Aveia!$E67:$Z67,MIN(AR$6-$E$3,22))),0))-IF($G$2,0,IF((AR$6-$G$3)&lt;1,0,IFERROR(LOOKUP(2,1/(Aveia!$E67:INDEX(Aveia!$E67:$Z67,MIN(AR$6-$G$3,22))&lt;&gt;""),Aveia!$E67:INDEX(Aveia!$E67:$Z67,MIN(AR$6-$G$3,22))),0)))))</f>
        <v>0</v>
      </c>
      <c r="AS69" s="27" t="n">
        <f aca="false">IF(COUNT(Aveia!$E67:$Z67)=0,0,MAX(0,IF((AS$6-$E$3)&lt;1,0,IFERROR(LOOKUP(2,1/(Aveia!$E67:INDEX(Aveia!$E67:$Z67,MIN(AS$6-$E$3,22))&lt;&gt;""),Aveia!$E67:INDEX(Aveia!$E67:$Z67,MIN(AS$6-$E$3,22))),0))-IF($G$2,0,IF((AS$6-$G$3)&lt;1,0,IFERROR(LOOKUP(2,1/(Aveia!$E67:INDEX(Aveia!$E67:$Z67,MIN(AS$6-$G$3,22))&lt;&gt;""),Aveia!$E67:INDEX(Aveia!$E67:$Z67,MIN(AS$6-$G$3,22))),0)))))</f>
        <v>0</v>
      </c>
      <c r="AT69" s="27" t="n">
        <f aca="false">IF(COUNT(Aveia!$E67:$Z67)=0,0,MAX(0,IF((AT$6-$E$3)&lt;1,0,IFERROR(LOOKUP(2,1/(Aveia!$E67:INDEX(Aveia!$E67:$Z67,MIN(AT$6-$E$3,22))&lt;&gt;""),Aveia!$E67:INDEX(Aveia!$E67:$Z67,MIN(AT$6-$E$3,22))),0))-IF($G$2,0,IF((AT$6-$G$3)&lt;1,0,IFERROR(LOOKUP(2,1/(Aveia!$E67:INDEX(Aveia!$E67:$Z67,MIN(AT$6-$G$3,22))&lt;&gt;""),Aveia!$E67:INDEX(Aveia!$E67:$Z67,MIN(AT$6-$G$3,22))),0)))))</f>
        <v>0</v>
      </c>
      <c r="AU69" s="27" t="n">
        <f aca="false">IF(COUNT(Aveia!$E67:$Z67)=0,0,MAX(0,IF((AU$6-$E$3)&lt;1,0,IFERROR(LOOKUP(2,1/(Aveia!$E67:INDEX(Aveia!$E67:$Z67,MIN(AU$6-$E$3,22))&lt;&gt;""),Aveia!$E67:INDEX(Aveia!$E67:$Z67,MIN(AU$6-$E$3,22))),0))-IF($G$2,0,IF((AU$6-$G$3)&lt;1,0,IFERROR(LOOKUP(2,1/(Aveia!$E67:INDEX(Aveia!$E67:$Z67,MIN(AU$6-$G$3,22))&lt;&gt;""),Aveia!$E67:INDEX(Aveia!$E67:$Z67,MIN(AU$6-$G$3,22))),0)))))</f>
        <v>0</v>
      </c>
      <c r="AV69" s="27" t="n">
        <f aca="false">IF(COUNT(Aveia!$E67:$Z67)=0,0,MAX(0,IF((AV$6-$E$3)&lt;1,0,IFERROR(LOOKUP(2,1/(Aveia!$E67:INDEX(Aveia!$E67:$Z67,MIN(AV$6-$E$3,22))&lt;&gt;""),Aveia!$E67:INDEX(Aveia!$E67:$Z67,MIN(AV$6-$E$3,22))),0))-IF($G$2,0,IF((AV$6-$G$3)&lt;1,0,IFERROR(LOOKUP(2,1/(Aveia!$E67:INDEX(Aveia!$E67:$Z67,MIN(AV$6-$G$3,22))&lt;&gt;""),Aveia!$E67:INDEX(Aveia!$E67:$Z67,MIN(AV$6-$G$3,22))),0)))))</f>
        <v>0</v>
      </c>
      <c r="AW69" s="27" t="n">
        <f aca="false">IF(COUNT(Aveia!$E67:$Z67)=0,0,MAX(0,IF((AW$6-$E$3)&lt;1,0,IFERROR(LOOKUP(2,1/(Aveia!$E67:INDEX(Aveia!$E67:$Z67,MIN(AW$6-$E$3,22))&lt;&gt;""),Aveia!$E67:INDEX(Aveia!$E67:$Z67,MIN(AW$6-$E$3,22))),0))-IF($G$2,0,IF((AW$6-$G$3)&lt;1,0,IFERROR(LOOKUP(2,1/(Aveia!$E67:INDEX(Aveia!$E67:$Z67,MIN(AW$6-$G$3,22))&lt;&gt;""),Aveia!$E67:INDEX(Aveia!$E67:$Z67,MIN(AW$6-$G$3,22))),0)))))</f>
        <v>0</v>
      </c>
      <c r="AX69" s="27" t="n">
        <f aca="false">IF(COUNT(Aveia!$E67:$Z67)=0,0,MAX(0,IF((AX$6-$E$3)&lt;1,0,IFERROR(LOOKUP(2,1/(Aveia!$E67:INDEX(Aveia!$E67:$Z67,MIN(AX$6-$E$3,22))&lt;&gt;""),Aveia!$E67:INDEX(Aveia!$E67:$Z67,MIN(AX$6-$E$3,22))),0))-IF($G$2,0,IF((AX$6-$G$3)&lt;1,0,IFERROR(LOOKUP(2,1/(Aveia!$E67:INDEX(Aveia!$E67:$Z67,MIN(AX$6-$G$3,22))&lt;&gt;""),Aveia!$E67:INDEX(Aveia!$E67:$Z67,MIN(AX$6-$G$3,22))),0)))))</f>
        <v>0</v>
      </c>
      <c r="AY69" s="27" t="n">
        <f aca="false">IF(COUNT(Aveia!$E67:$Z67)=0,0,MAX(0,IF((AY$6-$E$3)&lt;1,0,IFERROR(LOOKUP(2,1/(Aveia!$E67:INDEX(Aveia!$E67:$Z67,MIN(AY$6-$E$3,22))&lt;&gt;""),Aveia!$E67:INDEX(Aveia!$E67:$Z67,MIN(AY$6-$E$3,22))),0))-IF($G$2,0,IF((AY$6-$G$3)&lt;1,0,IFERROR(LOOKUP(2,1/(Aveia!$E67:INDEX(Aveia!$E67:$Z67,MIN(AY$6-$G$3,22))&lt;&gt;""),Aveia!$E67:INDEX(Aveia!$E67:$Z67,MIN(AY$6-$G$3,22))),0)))))</f>
        <v>0</v>
      </c>
      <c r="AZ69" s="27" t="n">
        <f aca="false">IF(COUNT(Aveia!$E67:$Z67)=0,0,MAX(0,IF((AZ$6-$E$3)&lt;1,0,IFERROR(LOOKUP(2,1/(Aveia!$E67:INDEX(Aveia!$E67:$Z67,MIN(AZ$6-$E$3,22))&lt;&gt;""),Aveia!$E67:INDEX(Aveia!$E67:$Z67,MIN(AZ$6-$E$3,22))),0))-IF($G$2,0,IF((AZ$6-$G$3)&lt;1,0,IFERROR(LOOKUP(2,1/(Aveia!$E67:INDEX(Aveia!$E67:$Z67,MIN(AZ$6-$G$3,22))&lt;&gt;""),Aveia!$E67:INDEX(Aveia!$E67:$Z67,MIN(AZ$6-$G$3,22))),0)))))</f>
        <v>0</v>
      </c>
    </row>
    <row r="70" customFormat="false" ht="15" hidden="false" customHeight="false" outlineLevel="0" collapsed="false">
      <c r="A70" s="3" t="s">
        <v>258</v>
      </c>
      <c r="B70" s="3" t="s">
        <v>259</v>
      </c>
      <c r="C70" s="10" t="s">
        <v>155</v>
      </c>
      <c r="D70" s="26" t="n">
        <f aca="false">IF(COUNT(Aveia!$E68:$Z68)&gt;0,N(Aveia!$D68),0)</f>
        <v>0</v>
      </c>
      <c r="E70" s="27" t="n">
        <f aca="false">IF(COUNT(Aveia!$E68:$Z68)=0,0,MAX(0,IF((E$6-$E$3)&lt;1,0,IFERROR(LOOKUP(2,1/(Aveia!$E68:INDEX(Aveia!$E68:$Z68,MIN(E$6-$E$3,22))&lt;&gt;""),Aveia!$E68:INDEX(Aveia!$E68:$Z68,MIN(E$6-$E$3,22))),0))-IF($G$2,0,IF((E$6-$G$3)&lt;1,0,IFERROR(LOOKUP(2,1/(Aveia!$E68:INDEX(Aveia!$E68:$Z68,MIN(E$6-$G$3,22))&lt;&gt;""),Aveia!$E68:INDEX(Aveia!$E68:$Z68,MIN(E$6-$G$3,22))),0)))))</f>
        <v>0</v>
      </c>
      <c r="F70" s="27" t="n">
        <f aca="false">IF(COUNT(Aveia!$E68:$Z68)=0,0,MAX(0,IF((F$6-$E$3)&lt;1,0,IFERROR(LOOKUP(2,1/(Aveia!$E68:INDEX(Aveia!$E68:$Z68,MIN(F$6-$E$3,22))&lt;&gt;""),Aveia!$E68:INDEX(Aveia!$E68:$Z68,MIN(F$6-$E$3,22))),0))-IF($G$2,0,IF((F$6-$G$3)&lt;1,0,IFERROR(LOOKUP(2,1/(Aveia!$E68:INDEX(Aveia!$E68:$Z68,MIN(F$6-$G$3,22))&lt;&gt;""),Aveia!$E68:INDEX(Aveia!$E68:$Z68,MIN(F$6-$G$3,22))),0)))))</f>
        <v>0</v>
      </c>
      <c r="G70" s="27" t="n">
        <f aca="false">IF(COUNT(Aveia!$E68:$Z68)=0,0,MAX(0,IF((G$6-$E$3)&lt;1,0,IFERROR(LOOKUP(2,1/(Aveia!$E68:INDEX(Aveia!$E68:$Z68,MIN(G$6-$E$3,22))&lt;&gt;""),Aveia!$E68:INDEX(Aveia!$E68:$Z68,MIN(G$6-$E$3,22))),0))-IF($G$2,0,IF((G$6-$G$3)&lt;1,0,IFERROR(LOOKUP(2,1/(Aveia!$E68:INDEX(Aveia!$E68:$Z68,MIN(G$6-$G$3,22))&lt;&gt;""),Aveia!$E68:INDEX(Aveia!$E68:$Z68,MIN(G$6-$G$3,22))),0)))))</f>
        <v>0</v>
      </c>
      <c r="H70" s="27" t="n">
        <f aca="false">IF(COUNT(Aveia!$E68:$Z68)=0,0,MAX(0,IF((H$6-$E$3)&lt;1,0,IFERROR(LOOKUP(2,1/(Aveia!$E68:INDEX(Aveia!$E68:$Z68,MIN(H$6-$E$3,22))&lt;&gt;""),Aveia!$E68:INDEX(Aveia!$E68:$Z68,MIN(H$6-$E$3,22))),0))-IF($G$2,0,IF((H$6-$G$3)&lt;1,0,IFERROR(LOOKUP(2,1/(Aveia!$E68:INDEX(Aveia!$E68:$Z68,MIN(H$6-$G$3,22))&lt;&gt;""),Aveia!$E68:INDEX(Aveia!$E68:$Z68,MIN(H$6-$G$3,22))),0)))))</f>
        <v>0</v>
      </c>
      <c r="I70" s="27" t="n">
        <f aca="false">IF(COUNT(Aveia!$E68:$Z68)=0,0,MAX(0,IF((I$6-$E$3)&lt;1,0,IFERROR(LOOKUP(2,1/(Aveia!$E68:INDEX(Aveia!$E68:$Z68,MIN(I$6-$E$3,22))&lt;&gt;""),Aveia!$E68:INDEX(Aveia!$E68:$Z68,MIN(I$6-$E$3,22))),0))-IF($G$2,0,IF((I$6-$G$3)&lt;1,0,IFERROR(LOOKUP(2,1/(Aveia!$E68:INDEX(Aveia!$E68:$Z68,MIN(I$6-$G$3,22))&lt;&gt;""),Aveia!$E68:INDEX(Aveia!$E68:$Z68,MIN(I$6-$G$3,22))),0)))))</f>
        <v>0</v>
      </c>
      <c r="J70" s="27" t="n">
        <f aca="false">IF(COUNT(Aveia!$E68:$Z68)=0,0,MAX(0,IF((J$6-$E$3)&lt;1,0,IFERROR(LOOKUP(2,1/(Aveia!$E68:INDEX(Aveia!$E68:$Z68,MIN(J$6-$E$3,22))&lt;&gt;""),Aveia!$E68:INDEX(Aveia!$E68:$Z68,MIN(J$6-$E$3,22))),0))-IF($G$2,0,IF((J$6-$G$3)&lt;1,0,IFERROR(LOOKUP(2,1/(Aveia!$E68:INDEX(Aveia!$E68:$Z68,MIN(J$6-$G$3,22))&lt;&gt;""),Aveia!$E68:INDEX(Aveia!$E68:$Z68,MIN(J$6-$G$3,22))),0)))))</f>
        <v>0</v>
      </c>
      <c r="K70" s="27" t="n">
        <f aca="false">IF(COUNT(Aveia!$E68:$Z68)=0,0,MAX(0,IF((K$6-$E$3)&lt;1,0,IFERROR(LOOKUP(2,1/(Aveia!$E68:INDEX(Aveia!$E68:$Z68,MIN(K$6-$E$3,22))&lt;&gt;""),Aveia!$E68:INDEX(Aveia!$E68:$Z68,MIN(K$6-$E$3,22))),0))-IF($G$2,0,IF((K$6-$G$3)&lt;1,0,IFERROR(LOOKUP(2,1/(Aveia!$E68:INDEX(Aveia!$E68:$Z68,MIN(K$6-$G$3,22))&lt;&gt;""),Aveia!$E68:INDEX(Aveia!$E68:$Z68,MIN(K$6-$G$3,22))),0)))))</f>
        <v>0</v>
      </c>
      <c r="L70" s="27" t="n">
        <f aca="false">IF(COUNT(Aveia!$E68:$Z68)=0,0,MAX(0,IF((L$6-$E$3)&lt;1,0,IFERROR(LOOKUP(2,1/(Aveia!$E68:INDEX(Aveia!$E68:$Z68,MIN(L$6-$E$3,22))&lt;&gt;""),Aveia!$E68:INDEX(Aveia!$E68:$Z68,MIN(L$6-$E$3,22))),0))-IF($G$2,0,IF((L$6-$G$3)&lt;1,0,IFERROR(LOOKUP(2,1/(Aveia!$E68:INDEX(Aveia!$E68:$Z68,MIN(L$6-$G$3,22))&lt;&gt;""),Aveia!$E68:INDEX(Aveia!$E68:$Z68,MIN(L$6-$G$3,22))),0)))))</f>
        <v>0</v>
      </c>
      <c r="M70" s="27" t="n">
        <f aca="false">IF(COUNT(Aveia!$E68:$Z68)=0,0,MAX(0,IF((M$6-$E$3)&lt;1,0,IFERROR(LOOKUP(2,1/(Aveia!$E68:INDEX(Aveia!$E68:$Z68,MIN(M$6-$E$3,22))&lt;&gt;""),Aveia!$E68:INDEX(Aveia!$E68:$Z68,MIN(M$6-$E$3,22))),0))-IF($G$2,0,IF((M$6-$G$3)&lt;1,0,IFERROR(LOOKUP(2,1/(Aveia!$E68:INDEX(Aveia!$E68:$Z68,MIN(M$6-$G$3,22))&lt;&gt;""),Aveia!$E68:INDEX(Aveia!$E68:$Z68,MIN(M$6-$G$3,22))),0)))))</f>
        <v>0</v>
      </c>
      <c r="N70" s="27" t="n">
        <f aca="false">IF(COUNT(Aveia!$E68:$Z68)=0,0,MAX(0,IF((N$6-$E$3)&lt;1,0,IFERROR(LOOKUP(2,1/(Aveia!$E68:INDEX(Aveia!$E68:$Z68,MIN(N$6-$E$3,22))&lt;&gt;""),Aveia!$E68:INDEX(Aveia!$E68:$Z68,MIN(N$6-$E$3,22))),0))-IF($G$2,0,IF((N$6-$G$3)&lt;1,0,IFERROR(LOOKUP(2,1/(Aveia!$E68:INDEX(Aveia!$E68:$Z68,MIN(N$6-$G$3,22))&lt;&gt;""),Aveia!$E68:INDEX(Aveia!$E68:$Z68,MIN(N$6-$G$3,22))),0)))))</f>
        <v>0</v>
      </c>
      <c r="O70" s="27" t="n">
        <f aca="false">IF(COUNT(Aveia!$E68:$Z68)=0,0,MAX(0,IF((O$6-$E$3)&lt;1,0,IFERROR(LOOKUP(2,1/(Aveia!$E68:INDEX(Aveia!$E68:$Z68,MIN(O$6-$E$3,22))&lt;&gt;""),Aveia!$E68:INDEX(Aveia!$E68:$Z68,MIN(O$6-$E$3,22))),0))-IF($G$2,0,IF((O$6-$G$3)&lt;1,0,IFERROR(LOOKUP(2,1/(Aveia!$E68:INDEX(Aveia!$E68:$Z68,MIN(O$6-$G$3,22))&lt;&gt;""),Aveia!$E68:INDEX(Aveia!$E68:$Z68,MIN(O$6-$G$3,22))),0)))))</f>
        <v>0</v>
      </c>
      <c r="P70" s="27" t="n">
        <f aca="false">IF(COUNT(Aveia!$E68:$Z68)=0,0,MAX(0,IF((P$6-$E$3)&lt;1,0,IFERROR(LOOKUP(2,1/(Aveia!$E68:INDEX(Aveia!$E68:$Z68,MIN(P$6-$E$3,22))&lt;&gt;""),Aveia!$E68:INDEX(Aveia!$E68:$Z68,MIN(P$6-$E$3,22))),0))-IF($G$2,0,IF((P$6-$G$3)&lt;1,0,IFERROR(LOOKUP(2,1/(Aveia!$E68:INDEX(Aveia!$E68:$Z68,MIN(P$6-$G$3,22))&lt;&gt;""),Aveia!$E68:INDEX(Aveia!$E68:$Z68,MIN(P$6-$G$3,22))),0)))))</f>
        <v>0</v>
      </c>
      <c r="Q70" s="27" t="n">
        <f aca="false">IF(COUNT(Aveia!$E68:$Z68)=0,0,MAX(0,IF((Q$6-$E$3)&lt;1,0,IFERROR(LOOKUP(2,1/(Aveia!$E68:INDEX(Aveia!$E68:$Z68,MIN(Q$6-$E$3,22))&lt;&gt;""),Aveia!$E68:INDEX(Aveia!$E68:$Z68,MIN(Q$6-$E$3,22))),0))-IF($G$2,0,IF((Q$6-$G$3)&lt;1,0,IFERROR(LOOKUP(2,1/(Aveia!$E68:INDEX(Aveia!$E68:$Z68,MIN(Q$6-$G$3,22))&lt;&gt;""),Aveia!$E68:INDEX(Aveia!$E68:$Z68,MIN(Q$6-$G$3,22))),0)))))</f>
        <v>0</v>
      </c>
      <c r="R70" s="27" t="n">
        <f aca="false">IF(COUNT(Aveia!$E68:$Z68)=0,0,MAX(0,IF((R$6-$E$3)&lt;1,0,IFERROR(LOOKUP(2,1/(Aveia!$E68:INDEX(Aveia!$E68:$Z68,MIN(R$6-$E$3,22))&lt;&gt;""),Aveia!$E68:INDEX(Aveia!$E68:$Z68,MIN(R$6-$E$3,22))),0))-IF($G$2,0,IF((R$6-$G$3)&lt;1,0,IFERROR(LOOKUP(2,1/(Aveia!$E68:INDEX(Aveia!$E68:$Z68,MIN(R$6-$G$3,22))&lt;&gt;""),Aveia!$E68:INDEX(Aveia!$E68:$Z68,MIN(R$6-$G$3,22))),0)))))</f>
        <v>0</v>
      </c>
      <c r="S70" s="27" t="n">
        <f aca="false">IF(COUNT(Aveia!$E68:$Z68)=0,0,MAX(0,IF((S$6-$E$3)&lt;1,0,IFERROR(LOOKUP(2,1/(Aveia!$E68:INDEX(Aveia!$E68:$Z68,MIN(S$6-$E$3,22))&lt;&gt;""),Aveia!$E68:INDEX(Aveia!$E68:$Z68,MIN(S$6-$E$3,22))),0))-IF($G$2,0,IF((S$6-$G$3)&lt;1,0,IFERROR(LOOKUP(2,1/(Aveia!$E68:INDEX(Aveia!$E68:$Z68,MIN(S$6-$G$3,22))&lt;&gt;""),Aveia!$E68:INDEX(Aveia!$E68:$Z68,MIN(S$6-$G$3,22))),0)))))</f>
        <v>0</v>
      </c>
      <c r="T70" s="27" t="n">
        <f aca="false">IF(COUNT(Aveia!$E68:$Z68)=0,0,MAX(0,IF((T$6-$E$3)&lt;1,0,IFERROR(LOOKUP(2,1/(Aveia!$E68:INDEX(Aveia!$E68:$Z68,MIN(T$6-$E$3,22))&lt;&gt;""),Aveia!$E68:INDEX(Aveia!$E68:$Z68,MIN(T$6-$E$3,22))),0))-IF($G$2,0,IF((T$6-$G$3)&lt;1,0,IFERROR(LOOKUP(2,1/(Aveia!$E68:INDEX(Aveia!$E68:$Z68,MIN(T$6-$G$3,22))&lt;&gt;""),Aveia!$E68:INDEX(Aveia!$E68:$Z68,MIN(T$6-$G$3,22))),0)))))</f>
        <v>0</v>
      </c>
      <c r="U70" s="27" t="n">
        <f aca="false">IF(COUNT(Aveia!$E68:$Z68)=0,0,MAX(0,IF((U$6-$E$3)&lt;1,0,IFERROR(LOOKUP(2,1/(Aveia!$E68:INDEX(Aveia!$E68:$Z68,MIN(U$6-$E$3,22))&lt;&gt;""),Aveia!$E68:INDEX(Aveia!$E68:$Z68,MIN(U$6-$E$3,22))),0))-IF($G$2,0,IF((U$6-$G$3)&lt;1,0,IFERROR(LOOKUP(2,1/(Aveia!$E68:INDEX(Aveia!$E68:$Z68,MIN(U$6-$G$3,22))&lt;&gt;""),Aveia!$E68:INDEX(Aveia!$E68:$Z68,MIN(U$6-$G$3,22))),0)))))</f>
        <v>0</v>
      </c>
      <c r="V70" s="27" t="n">
        <f aca="false">IF(COUNT(Aveia!$E68:$Z68)=0,0,MAX(0,IF((V$6-$E$3)&lt;1,0,IFERROR(LOOKUP(2,1/(Aveia!$E68:INDEX(Aveia!$E68:$Z68,MIN(V$6-$E$3,22))&lt;&gt;""),Aveia!$E68:INDEX(Aveia!$E68:$Z68,MIN(V$6-$E$3,22))),0))-IF($G$2,0,IF((V$6-$G$3)&lt;1,0,IFERROR(LOOKUP(2,1/(Aveia!$E68:INDEX(Aveia!$E68:$Z68,MIN(V$6-$G$3,22))&lt;&gt;""),Aveia!$E68:INDEX(Aveia!$E68:$Z68,MIN(V$6-$G$3,22))),0)))))</f>
        <v>0</v>
      </c>
      <c r="W70" s="27" t="n">
        <f aca="false">IF(COUNT(Aveia!$E68:$Z68)=0,0,MAX(0,IF((W$6-$E$3)&lt;1,0,IFERROR(LOOKUP(2,1/(Aveia!$E68:INDEX(Aveia!$E68:$Z68,MIN(W$6-$E$3,22))&lt;&gt;""),Aveia!$E68:INDEX(Aveia!$E68:$Z68,MIN(W$6-$E$3,22))),0))-IF($G$2,0,IF((W$6-$G$3)&lt;1,0,IFERROR(LOOKUP(2,1/(Aveia!$E68:INDEX(Aveia!$E68:$Z68,MIN(W$6-$G$3,22))&lt;&gt;""),Aveia!$E68:INDEX(Aveia!$E68:$Z68,MIN(W$6-$G$3,22))),0)))))</f>
        <v>0</v>
      </c>
      <c r="X70" s="27" t="n">
        <f aca="false">IF(COUNT(Aveia!$E68:$Z68)=0,0,MAX(0,IF((X$6-$E$3)&lt;1,0,IFERROR(LOOKUP(2,1/(Aveia!$E68:INDEX(Aveia!$E68:$Z68,MIN(X$6-$E$3,22))&lt;&gt;""),Aveia!$E68:INDEX(Aveia!$E68:$Z68,MIN(X$6-$E$3,22))),0))-IF($G$2,0,IF((X$6-$G$3)&lt;1,0,IFERROR(LOOKUP(2,1/(Aveia!$E68:INDEX(Aveia!$E68:$Z68,MIN(X$6-$G$3,22))&lt;&gt;""),Aveia!$E68:INDEX(Aveia!$E68:$Z68,MIN(X$6-$G$3,22))),0)))))</f>
        <v>0</v>
      </c>
      <c r="Y70" s="27" t="n">
        <f aca="false">IF(COUNT(Aveia!$E68:$Z68)=0,0,MAX(0,IF((Y$6-$E$3)&lt;1,0,IFERROR(LOOKUP(2,1/(Aveia!$E68:INDEX(Aveia!$E68:$Z68,MIN(Y$6-$E$3,22))&lt;&gt;""),Aveia!$E68:INDEX(Aveia!$E68:$Z68,MIN(Y$6-$E$3,22))),0))-IF($G$2,0,IF((Y$6-$G$3)&lt;1,0,IFERROR(LOOKUP(2,1/(Aveia!$E68:INDEX(Aveia!$E68:$Z68,MIN(Y$6-$G$3,22))&lt;&gt;""),Aveia!$E68:INDEX(Aveia!$E68:$Z68,MIN(Y$6-$G$3,22))),0)))))</f>
        <v>0</v>
      </c>
      <c r="Z70" s="27" t="n">
        <f aca="false">IF(COUNT(Aveia!$E68:$Z68)=0,0,MAX(0,IF((Z$6-$E$3)&lt;1,0,IFERROR(LOOKUP(2,1/(Aveia!$E68:INDEX(Aveia!$E68:$Z68,MIN(Z$6-$E$3,22))&lt;&gt;""),Aveia!$E68:INDEX(Aveia!$E68:$Z68,MIN(Z$6-$E$3,22))),0))-IF($G$2,0,IF((Z$6-$G$3)&lt;1,0,IFERROR(LOOKUP(2,1/(Aveia!$E68:INDEX(Aveia!$E68:$Z68,MIN(Z$6-$G$3,22))&lt;&gt;""),Aveia!$E68:INDEX(Aveia!$E68:$Z68,MIN(Z$6-$G$3,22))),0)))))</f>
        <v>0</v>
      </c>
      <c r="AA70" s="27" t="n">
        <f aca="false">IF(COUNT(Aveia!$E68:$Z68)=0,0,MAX(0,IF((AA$6-$E$3)&lt;1,0,IFERROR(LOOKUP(2,1/(Aveia!$E68:INDEX(Aveia!$E68:$Z68,MIN(AA$6-$E$3,22))&lt;&gt;""),Aveia!$E68:INDEX(Aveia!$E68:$Z68,MIN(AA$6-$E$3,22))),0))-IF($G$2,0,IF((AA$6-$G$3)&lt;1,0,IFERROR(LOOKUP(2,1/(Aveia!$E68:INDEX(Aveia!$E68:$Z68,MIN(AA$6-$G$3,22))&lt;&gt;""),Aveia!$E68:INDEX(Aveia!$E68:$Z68,MIN(AA$6-$G$3,22))),0)))))</f>
        <v>0</v>
      </c>
      <c r="AB70" s="27" t="n">
        <f aca="false">IF(COUNT(Aveia!$E68:$Z68)=0,0,MAX(0,IF((AB$6-$E$3)&lt;1,0,IFERROR(LOOKUP(2,1/(Aveia!$E68:INDEX(Aveia!$E68:$Z68,MIN(AB$6-$E$3,22))&lt;&gt;""),Aveia!$E68:INDEX(Aveia!$E68:$Z68,MIN(AB$6-$E$3,22))),0))-IF($G$2,0,IF((AB$6-$G$3)&lt;1,0,IFERROR(LOOKUP(2,1/(Aveia!$E68:INDEX(Aveia!$E68:$Z68,MIN(AB$6-$G$3,22))&lt;&gt;""),Aveia!$E68:INDEX(Aveia!$E68:$Z68,MIN(AB$6-$G$3,22))),0)))))</f>
        <v>0</v>
      </c>
      <c r="AC70" s="27" t="n">
        <f aca="false">IF(COUNT(Aveia!$E68:$Z68)=0,0,MAX(0,IF((AC$6-$E$3)&lt;1,0,IFERROR(LOOKUP(2,1/(Aveia!$E68:INDEX(Aveia!$E68:$Z68,MIN(AC$6-$E$3,22))&lt;&gt;""),Aveia!$E68:INDEX(Aveia!$E68:$Z68,MIN(AC$6-$E$3,22))),0))-IF($G$2,0,IF((AC$6-$G$3)&lt;1,0,IFERROR(LOOKUP(2,1/(Aveia!$E68:INDEX(Aveia!$E68:$Z68,MIN(AC$6-$G$3,22))&lt;&gt;""),Aveia!$E68:INDEX(Aveia!$E68:$Z68,MIN(AC$6-$G$3,22))),0)))))</f>
        <v>0</v>
      </c>
      <c r="AD70" s="27" t="n">
        <f aca="false">IF(COUNT(Aveia!$E68:$Z68)=0,0,MAX(0,IF((AD$6-$E$3)&lt;1,0,IFERROR(LOOKUP(2,1/(Aveia!$E68:INDEX(Aveia!$E68:$Z68,MIN(AD$6-$E$3,22))&lt;&gt;""),Aveia!$E68:INDEX(Aveia!$E68:$Z68,MIN(AD$6-$E$3,22))),0))-IF($G$2,0,IF((AD$6-$G$3)&lt;1,0,IFERROR(LOOKUP(2,1/(Aveia!$E68:INDEX(Aveia!$E68:$Z68,MIN(AD$6-$G$3,22))&lt;&gt;""),Aveia!$E68:INDEX(Aveia!$E68:$Z68,MIN(AD$6-$G$3,22))),0)))))</f>
        <v>0</v>
      </c>
      <c r="AE70" s="27" t="n">
        <f aca="false">IF(COUNT(Aveia!$E68:$Z68)=0,0,MAX(0,IF((AE$6-$E$3)&lt;1,0,IFERROR(LOOKUP(2,1/(Aveia!$E68:INDEX(Aveia!$E68:$Z68,MIN(AE$6-$E$3,22))&lt;&gt;""),Aveia!$E68:INDEX(Aveia!$E68:$Z68,MIN(AE$6-$E$3,22))),0))-IF($G$2,0,IF((AE$6-$G$3)&lt;1,0,IFERROR(LOOKUP(2,1/(Aveia!$E68:INDEX(Aveia!$E68:$Z68,MIN(AE$6-$G$3,22))&lt;&gt;""),Aveia!$E68:INDEX(Aveia!$E68:$Z68,MIN(AE$6-$G$3,22))),0)))))</f>
        <v>0</v>
      </c>
      <c r="AF70" s="27" t="n">
        <f aca="false">IF(COUNT(Aveia!$E68:$Z68)=0,0,MAX(0,IF((AF$6-$E$3)&lt;1,0,IFERROR(LOOKUP(2,1/(Aveia!$E68:INDEX(Aveia!$E68:$Z68,MIN(AF$6-$E$3,22))&lt;&gt;""),Aveia!$E68:INDEX(Aveia!$E68:$Z68,MIN(AF$6-$E$3,22))),0))-IF($G$2,0,IF((AF$6-$G$3)&lt;1,0,IFERROR(LOOKUP(2,1/(Aveia!$E68:INDEX(Aveia!$E68:$Z68,MIN(AF$6-$G$3,22))&lt;&gt;""),Aveia!$E68:INDEX(Aveia!$E68:$Z68,MIN(AF$6-$G$3,22))),0)))))</f>
        <v>0</v>
      </c>
      <c r="AG70" s="27" t="n">
        <f aca="false">IF(COUNT(Aveia!$E68:$Z68)=0,0,MAX(0,IF((AG$6-$E$3)&lt;1,0,IFERROR(LOOKUP(2,1/(Aveia!$E68:INDEX(Aveia!$E68:$Z68,MIN(AG$6-$E$3,22))&lt;&gt;""),Aveia!$E68:INDEX(Aveia!$E68:$Z68,MIN(AG$6-$E$3,22))),0))-IF($G$2,0,IF((AG$6-$G$3)&lt;1,0,IFERROR(LOOKUP(2,1/(Aveia!$E68:INDEX(Aveia!$E68:$Z68,MIN(AG$6-$G$3,22))&lt;&gt;""),Aveia!$E68:INDEX(Aveia!$E68:$Z68,MIN(AG$6-$G$3,22))),0)))))</f>
        <v>0</v>
      </c>
      <c r="AH70" s="27" t="n">
        <f aca="false">IF(COUNT(Aveia!$E68:$Z68)=0,0,MAX(0,IF((AH$6-$E$3)&lt;1,0,IFERROR(LOOKUP(2,1/(Aveia!$E68:INDEX(Aveia!$E68:$Z68,MIN(AH$6-$E$3,22))&lt;&gt;""),Aveia!$E68:INDEX(Aveia!$E68:$Z68,MIN(AH$6-$E$3,22))),0))-IF($G$2,0,IF((AH$6-$G$3)&lt;1,0,IFERROR(LOOKUP(2,1/(Aveia!$E68:INDEX(Aveia!$E68:$Z68,MIN(AH$6-$G$3,22))&lt;&gt;""),Aveia!$E68:INDEX(Aveia!$E68:$Z68,MIN(AH$6-$G$3,22))),0)))))</f>
        <v>0</v>
      </c>
      <c r="AI70" s="27" t="n">
        <f aca="false">IF(COUNT(Aveia!$E68:$Z68)=0,0,MAX(0,IF((AI$6-$E$3)&lt;1,0,IFERROR(LOOKUP(2,1/(Aveia!$E68:INDEX(Aveia!$E68:$Z68,MIN(AI$6-$E$3,22))&lt;&gt;""),Aveia!$E68:INDEX(Aveia!$E68:$Z68,MIN(AI$6-$E$3,22))),0))-IF($G$2,0,IF((AI$6-$G$3)&lt;1,0,IFERROR(LOOKUP(2,1/(Aveia!$E68:INDEX(Aveia!$E68:$Z68,MIN(AI$6-$G$3,22))&lt;&gt;""),Aveia!$E68:INDEX(Aveia!$E68:$Z68,MIN(AI$6-$G$3,22))),0)))))</f>
        <v>0</v>
      </c>
      <c r="AJ70" s="27" t="n">
        <f aca="false">IF(COUNT(Aveia!$E68:$Z68)=0,0,MAX(0,IF((AJ$6-$E$3)&lt;1,0,IFERROR(LOOKUP(2,1/(Aveia!$E68:INDEX(Aveia!$E68:$Z68,MIN(AJ$6-$E$3,22))&lt;&gt;""),Aveia!$E68:INDEX(Aveia!$E68:$Z68,MIN(AJ$6-$E$3,22))),0))-IF($G$2,0,IF((AJ$6-$G$3)&lt;1,0,IFERROR(LOOKUP(2,1/(Aveia!$E68:INDEX(Aveia!$E68:$Z68,MIN(AJ$6-$G$3,22))&lt;&gt;""),Aveia!$E68:INDEX(Aveia!$E68:$Z68,MIN(AJ$6-$G$3,22))),0)))))</f>
        <v>0</v>
      </c>
      <c r="AK70" s="27" t="n">
        <f aca="false">IF(COUNT(Aveia!$E68:$Z68)=0,0,MAX(0,IF((AK$6-$E$3)&lt;1,0,IFERROR(LOOKUP(2,1/(Aveia!$E68:INDEX(Aveia!$E68:$Z68,MIN(AK$6-$E$3,22))&lt;&gt;""),Aveia!$E68:INDEX(Aveia!$E68:$Z68,MIN(AK$6-$E$3,22))),0))-IF($G$2,0,IF((AK$6-$G$3)&lt;1,0,IFERROR(LOOKUP(2,1/(Aveia!$E68:INDEX(Aveia!$E68:$Z68,MIN(AK$6-$G$3,22))&lt;&gt;""),Aveia!$E68:INDEX(Aveia!$E68:$Z68,MIN(AK$6-$G$3,22))),0)))))</f>
        <v>0</v>
      </c>
      <c r="AL70" s="27" t="n">
        <f aca="false">IF(COUNT(Aveia!$E68:$Z68)=0,0,MAX(0,IF((AL$6-$E$3)&lt;1,0,IFERROR(LOOKUP(2,1/(Aveia!$E68:INDEX(Aveia!$E68:$Z68,MIN(AL$6-$E$3,22))&lt;&gt;""),Aveia!$E68:INDEX(Aveia!$E68:$Z68,MIN(AL$6-$E$3,22))),0))-IF($G$2,0,IF((AL$6-$G$3)&lt;1,0,IFERROR(LOOKUP(2,1/(Aveia!$E68:INDEX(Aveia!$E68:$Z68,MIN(AL$6-$G$3,22))&lt;&gt;""),Aveia!$E68:INDEX(Aveia!$E68:$Z68,MIN(AL$6-$G$3,22))),0)))))</f>
        <v>0</v>
      </c>
      <c r="AM70" s="27" t="n">
        <f aca="false">IF(COUNT(Aveia!$E68:$Z68)=0,0,MAX(0,IF((AM$6-$E$3)&lt;1,0,IFERROR(LOOKUP(2,1/(Aveia!$E68:INDEX(Aveia!$E68:$Z68,MIN(AM$6-$E$3,22))&lt;&gt;""),Aveia!$E68:INDEX(Aveia!$E68:$Z68,MIN(AM$6-$E$3,22))),0))-IF($G$2,0,IF((AM$6-$G$3)&lt;1,0,IFERROR(LOOKUP(2,1/(Aveia!$E68:INDEX(Aveia!$E68:$Z68,MIN(AM$6-$G$3,22))&lt;&gt;""),Aveia!$E68:INDEX(Aveia!$E68:$Z68,MIN(AM$6-$G$3,22))),0)))))</f>
        <v>0</v>
      </c>
      <c r="AN70" s="27" t="n">
        <f aca="false">IF(COUNT(Aveia!$E68:$Z68)=0,0,MAX(0,IF((AN$6-$E$3)&lt;1,0,IFERROR(LOOKUP(2,1/(Aveia!$E68:INDEX(Aveia!$E68:$Z68,MIN(AN$6-$E$3,22))&lt;&gt;""),Aveia!$E68:INDEX(Aveia!$E68:$Z68,MIN(AN$6-$E$3,22))),0))-IF($G$2,0,IF((AN$6-$G$3)&lt;1,0,IFERROR(LOOKUP(2,1/(Aveia!$E68:INDEX(Aveia!$E68:$Z68,MIN(AN$6-$G$3,22))&lt;&gt;""),Aveia!$E68:INDEX(Aveia!$E68:$Z68,MIN(AN$6-$G$3,22))),0)))))</f>
        <v>0</v>
      </c>
      <c r="AO70" s="27" t="n">
        <f aca="false">IF(COUNT(Aveia!$E68:$Z68)=0,0,MAX(0,IF((AO$6-$E$3)&lt;1,0,IFERROR(LOOKUP(2,1/(Aveia!$E68:INDEX(Aveia!$E68:$Z68,MIN(AO$6-$E$3,22))&lt;&gt;""),Aveia!$E68:INDEX(Aveia!$E68:$Z68,MIN(AO$6-$E$3,22))),0))-IF($G$2,0,IF((AO$6-$G$3)&lt;1,0,IFERROR(LOOKUP(2,1/(Aveia!$E68:INDEX(Aveia!$E68:$Z68,MIN(AO$6-$G$3,22))&lt;&gt;""),Aveia!$E68:INDEX(Aveia!$E68:$Z68,MIN(AO$6-$G$3,22))),0)))))</f>
        <v>0</v>
      </c>
      <c r="AP70" s="27" t="n">
        <f aca="false">IF(COUNT(Aveia!$E68:$Z68)=0,0,MAX(0,IF((AP$6-$E$3)&lt;1,0,IFERROR(LOOKUP(2,1/(Aveia!$E68:INDEX(Aveia!$E68:$Z68,MIN(AP$6-$E$3,22))&lt;&gt;""),Aveia!$E68:INDEX(Aveia!$E68:$Z68,MIN(AP$6-$E$3,22))),0))-IF($G$2,0,IF((AP$6-$G$3)&lt;1,0,IFERROR(LOOKUP(2,1/(Aveia!$E68:INDEX(Aveia!$E68:$Z68,MIN(AP$6-$G$3,22))&lt;&gt;""),Aveia!$E68:INDEX(Aveia!$E68:$Z68,MIN(AP$6-$G$3,22))),0)))))</f>
        <v>0</v>
      </c>
      <c r="AQ70" s="27" t="n">
        <f aca="false">IF(COUNT(Aveia!$E68:$Z68)=0,0,MAX(0,IF((AQ$6-$E$3)&lt;1,0,IFERROR(LOOKUP(2,1/(Aveia!$E68:INDEX(Aveia!$E68:$Z68,MIN(AQ$6-$E$3,22))&lt;&gt;""),Aveia!$E68:INDEX(Aveia!$E68:$Z68,MIN(AQ$6-$E$3,22))),0))-IF($G$2,0,IF((AQ$6-$G$3)&lt;1,0,IFERROR(LOOKUP(2,1/(Aveia!$E68:INDEX(Aveia!$E68:$Z68,MIN(AQ$6-$G$3,22))&lt;&gt;""),Aveia!$E68:INDEX(Aveia!$E68:$Z68,MIN(AQ$6-$G$3,22))),0)))))</f>
        <v>0</v>
      </c>
      <c r="AR70" s="27" t="n">
        <f aca="false">IF(COUNT(Aveia!$E68:$Z68)=0,0,MAX(0,IF((AR$6-$E$3)&lt;1,0,IFERROR(LOOKUP(2,1/(Aveia!$E68:INDEX(Aveia!$E68:$Z68,MIN(AR$6-$E$3,22))&lt;&gt;""),Aveia!$E68:INDEX(Aveia!$E68:$Z68,MIN(AR$6-$E$3,22))),0))-IF($G$2,0,IF((AR$6-$G$3)&lt;1,0,IFERROR(LOOKUP(2,1/(Aveia!$E68:INDEX(Aveia!$E68:$Z68,MIN(AR$6-$G$3,22))&lt;&gt;""),Aveia!$E68:INDEX(Aveia!$E68:$Z68,MIN(AR$6-$G$3,22))),0)))))</f>
        <v>0</v>
      </c>
      <c r="AS70" s="27" t="n">
        <f aca="false">IF(COUNT(Aveia!$E68:$Z68)=0,0,MAX(0,IF((AS$6-$E$3)&lt;1,0,IFERROR(LOOKUP(2,1/(Aveia!$E68:INDEX(Aveia!$E68:$Z68,MIN(AS$6-$E$3,22))&lt;&gt;""),Aveia!$E68:INDEX(Aveia!$E68:$Z68,MIN(AS$6-$E$3,22))),0))-IF($G$2,0,IF((AS$6-$G$3)&lt;1,0,IFERROR(LOOKUP(2,1/(Aveia!$E68:INDEX(Aveia!$E68:$Z68,MIN(AS$6-$G$3,22))&lt;&gt;""),Aveia!$E68:INDEX(Aveia!$E68:$Z68,MIN(AS$6-$G$3,22))),0)))))</f>
        <v>0</v>
      </c>
      <c r="AT70" s="27" t="n">
        <f aca="false">IF(COUNT(Aveia!$E68:$Z68)=0,0,MAX(0,IF((AT$6-$E$3)&lt;1,0,IFERROR(LOOKUP(2,1/(Aveia!$E68:INDEX(Aveia!$E68:$Z68,MIN(AT$6-$E$3,22))&lt;&gt;""),Aveia!$E68:INDEX(Aveia!$E68:$Z68,MIN(AT$6-$E$3,22))),0))-IF($G$2,0,IF((AT$6-$G$3)&lt;1,0,IFERROR(LOOKUP(2,1/(Aveia!$E68:INDEX(Aveia!$E68:$Z68,MIN(AT$6-$G$3,22))&lt;&gt;""),Aveia!$E68:INDEX(Aveia!$E68:$Z68,MIN(AT$6-$G$3,22))),0)))))</f>
        <v>0</v>
      </c>
      <c r="AU70" s="27" t="n">
        <f aca="false">IF(COUNT(Aveia!$E68:$Z68)=0,0,MAX(0,IF((AU$6-$E$3)&lt;1,0,IFERROR(LOOKUP(2,1/(Aveia!$E68:INDEX(Aveia!$E68:$Z68,MIN(AU$6-$E$3,22))&lt;&gt;""),Aveia!$E68:INDEX(Aveia!$E68:$Z68,MIN(AU$6-$E$3,22))),0))-IF($G$2,0,IF((AU$6-$G$3)&lt;1,0,IFERROR(LOOKUP(2,1/(Aveia!$E68:INDEX(Aveia!$E68:$Z68,MIN(AU$6-$G$3,22))&lt;&gt;""),Aveia!$E68:INDEX(Aveia!$E68:$Z68,MIN(AU$6-$G$3,22))),0)))))</f>
        <v>0</v>
      </c>
      <c r="AV70" s="27" t="n">
        <f aca="false">IF(COUNT(Aveia!$E68:$Z68)=0,0,MAX(0,IF((AV$6-$E$3)&lt;1,0,IFERROR(LOOKUP(2,1/(Aveia!$E68:INDEX(Aveia!$E68:$Z68,MIN(AV$6-$E$3,22))&lt;&gt;""),Aveia!$E68:INDEX(Aveia!$E68:$Z68,MIN(AV$6-$E$3,22))),0))-IF($G$2,0,IF((AV$6-$G$3)&lt;1,0,IFERROR(LOOKUP(2,1/(Aveia!$E68:INDEX(Aveia!$E68:$Z68,MIN(AV$6-$G$3,22))&lt;&gt;""),Aveia!$E68:INDEX(Aveia!$E68:$Z68,MIN(AV$6-$G$3,22))),0)))))</f>
        <v>0</v>
      </c>
      <c r="AW70" s="27" t="n">
        <f aca="false">IF(COUNT(Aveia!$E68:$Z68)=0,0,MAX(0,IF((AW$6-$E$3)&lt;1,0,IFERROR(LOOKUP(2,1/(Aveia!$E68:INDEX(Aveia!$E68:$Z68,MIN(AW$6-$E$3,22))&lt;&gt;""),Aveia!$E68:INDEX(Aveia!$E68:$Z68,MIN(AW$6-$E$3,22))),0))-IF($G$2,0,IF((AW$6-$G$3)&lt;1,0,IFERROR(LOOKUP(2,1/(Aveia!$E68:INDEX(Aveia!$E68:$Z68,MIN(AW$6-$G$3,22))&lt;&gt;""),Aveia!$E68:INDEX(Aveia!$E68:$Z68,MIN(AW$6-$G$3,22))),0)))))</f>
        <v>0</v>
      </c>
      <c r="AX70" s="27" t="n">
        <f aca="false">IF(COUNT(Aveia!$E68:$Z68)=0,0,MAX(0,IF((AX$6-$E$3)&lt;1,0,IFERROR(LOOKUP(2,1/(Aveia!$E68:INDEX(Aveia!$E68:$Z68,MIN(AX$6-$E$3,22))&lt;&gt;""),Aveia!$E68:INDEX(Aveia!$E68:$Z68,MIN(AX$6-$E$3,22))),0))-IF($G$2,0,IF((AX$6-$G$3)&lt;1,0,IFERROR(LOOKUP(2,1/(Aveia!$E68:INDEX(Aveia!$E68:$Z68,MIN(AX$6-$G$3,22))&lt;&gt;""),Aveia!$E68:INDEX(Aveia!$E68:$Z68,MIN(AX$6-$G$3,22))),0)))))</f>
        <v>0</v>
      </c>
      <c r="AY70" s="27" t="n">
        <f aca="false">IF(COUNT(Aveia!$E68:$Z68)=0,0,MAX(0,IF((AY$6-$E$3)&lt;1,0,IFERROR(LOOKUP(2,1/(Aveia!$E68:INDEX(Aveia!$E68:$Z68,MIN(AY$6-$E$3,22))&lt;&gt;""),Aveia!$E68:INDEX(Aveia!$E68:$Z68,MIN(AY$6-$E$3,22))),0))-IF($G$2,0,IF((AY$6-$G$3)&lt;1,0,IFERROR(LOOKUP(2,1/(Aveia!$E68:INDEX(Aveia!$E68:$Z68,MIN(AY$6-$G$3,22))&lt;&gt;""),Aveia!$E68:INDEX(Aveia!$E68:$Z68,MIN(AY$6-$G$3,22))),0)))))</f>
        <v>0</v>
      </c>
      <c r="AZ70" s="27" t="n">
        <f aca="false">IF(COUNT(Aveia!$E68:$Z68)=0,0,MAX(0,IF((AZ$6-$E$3)&lt;1,0,IFERROR(LOOKUP(2,1/(Aveia!$E68:INDEX(Aveia!$E68:$Z68,MIN(AZ$6-$E$3,22))&lt;&gt;""),Aveia!$E68:INDEX(Aveia!$E68:$Z68,MIN(AZ$6-$E$3,22))),0))-IF($G$2,0,IF((AZ$6-$G$3)&lt;1,0,IFERROR(LOOKUP(2,1/(Aveia!$E68:INDEX(Aveia!$E68:$Z68,MIN(AZ$6-$G$3,22))&lt;&gt;""),Aveia!$E68:INDEX(Aveia!$E68:$Z68,MIN(AZ$6-$G$3,22))),0)))))</f>
        <v>0</v>
      </c>
    </row>
    <row r="71" customFormat="false" ht="15" hidden="false" customHeight="false" outlineLevel="0" collapsed="false">
      <c r="A71" s="3" t="s">
        <v>260</v>
      </c>
      <c r="B71" s="3" t="s">
        <v>261</v>
      </c>
      <c r="C71" s="10" t="s">
        <v>172</v>
      </c>
      <c r="D71" s="26" t="n">
        <f aca="false">IF(COUNT(Aveia!$E69:$Z69)&gt;0,N(Aveia!$D69),0)</f>
        <v>0</v>
      </c>
      <c r="E71" s="27" t="n">
        <f aca="false">IF(COUNT(Aveia!$E69:$Z69)=0,0,MAX(0,IF((E$6-$E$3)&lt;1,0,IFERROR(LOOKUP(2,1/(Aveia!$E69:INDEX(Aveia!$E69:$Z69,MIN(E$6-$E$3,22))&lt;&gt;""),Aveia!$E69:INDEX(Aveia!$E69:$Z69,MIN(E$6-$E$3,22))),0))-IF($G$2,0,IF((E$6-$G$3)&lt;1,0,IFERROR(LOOKUP(2,1/(Aveia!$E69:INDEX(Aveia!$E69:$Z69,MIN(E$6-$G$3,22))&lt;&gt;""),Aveia!$E69:INDEX(Aveia!$E69:$Z69,MIN(E$6-$G$3,22))),0)))))</f>
        <v>0</v>
      </c>
      <c r="F71" s="27" t="n">
        <f aca="false">IF(COUNT(Aveia!$E69:$Z69)=0,0,MAX(0,IF((F$6-$E$3)&lt;1,0,IFERROR(LOOKUP(2,1/(Aveia!$E69:INDEX(Aveia!$E69:$Z69,MIN(F$6-$E$3,22))&lt;&gt;""),Aveia!$E69:INDEX(Aveia!$E69:$Z69,MIN(F$6-$E$3,22))),0))-IF($G$2,0,IF((F$6-$G$3)&lt;1,0,IFERROR(LOOKUP(2,1/(Aveia!$E69:INDEX(Aveia!$E69:$Z69,MIN(F$6-$G$3,22))&lt;&gt;""),Aveia!$E69:INDEX(Aveia!$E69:$Z69,MIN(F$6-$G$3,22))),0)))))</f>
        <v>0</v>
      </c>
      <c r="G71" s="27" t="n">
        <f aca="false">IF(COUNT(Aveia!$E69:$Z69)=0,0,MAX(0,IF((G$6-$E$3)&lt;1,0,IFERROR(LOOKUP(2,1/(Aveia!$E69:INDEX(Aveia!$E69:$Z69,MIN(G$6-$E$3,22))&lt;&gt;""),Aveia!$E69:INDEX(Aveia!$E69:$Z69,MIN(G$6-$E$3,22))),0))-IF($G$2,0,IF((G$6-$G$3)&lt;1,0,IFERROR(LOOKUP(2,1/(Aveia!$E69:INDEX(Aveia!$E69:$Z69,MIN(G$6-$G$3,22))&lt;&gt;""),Aveia!$E69:INDEX(Aveia!$E69:$Z69,MIN(G$6-$G$3,22))),0)))))</f>
        <v>0</v>
      </c>
      <c r="H71" s="27" t="n">
        <f aca="false">IF(COUNT(Aveia!$E69:$Z69)=0,0,MAX(0,IF((H$6-$E$3)&lt;1,0,IFERROR(LOOKUP(2,1/(Aveia!$E69:INDEX(Aveia!$E69:$Z69,MIN(H$6-$E$3,22))&lt;&gt;""),Aveia!$E69:INDEX(Aveia!$E69:$Z69,MIN(H$6-$E$3,22))),0))-IF($G$2,0,IF((H$6-$G$3)&lt;1,0,IFERROR(LOOKUP(2,1/(Aveia!$E69:INDEX(Aveia!$E69:$Z69,MIN(H$6-$G$3,22))&lt;&gt;""),Aveia!$E69:INDEX(Aveia!$E69:$Z69,MIN(H$6-$G$3,22))),0)))))</f>
        <v>0</v>
      </c>
      <c r="I71" s="27" t="n">
        <f aca="false">IF(COUNT(Aveia!$E69:$Z69)=0,0,MAX(0,IF((I$6-$E$3)&lt;1,0,IFERROR(LOOKUP(2,1/(Aveia!$E69:INDEX(Aveia!$E69:$Z69,MIN(I$6-$E$3,22))&lt;&gt;""),Aveia!$E69:INDEX(Aveia!$E69:$Z69,MIN(I$6-$E$3,22))),0))-IF($G$2,0,IF((I$6-$G$3)&lt;1,0,IFERROR(LOOKUP(2,1/(Aveia!$E69:INDEX(Aveia!$E69:$Z69,MIN(I$6-$G$3,22))&lt;&gt;""),Aveia!$E69:INDEX(Aveia!$E69:$Z69,MIN(I$6-$G$3,22))),0)))))</f>
        <v>0</v>
      </c>
      <c r="J71" s="27" t="n">
        <f aca="false">IF(COUNT(Aveia!$E69:$Z69)=0,0,MAX(0,IF((J$6-$E$3)&lt;1,0,IFERROR(LOOKUP(2,1/(Aveia!$E69:INDEX(Aveia!$E69:$Z69,MIN(J$6-$E$3,22))&lt;&gt;""),Aveia!$E69:INDEX(Aveia!$E69:$Z69,MIN(J$6-$E$3,22))),0))-IF($G$2,0,IF((J$6-$G$3)&lt;1,0,IFERROR(LOOKUP(2,1/(Aveia!$E69:INDEX(Aveia!$E69:$Z69,MIN(J$6-$G$3,22))&lt;&gt;""),Aveia!$E69:INDEX(Aveia!$E69:$Z69,MIN(J$6-$G$3,22))),0)))))</f>
        <v>0</v>
      </c>
      <c r="K71" s="27" t="n">
        <f aca="false">IF(COUNT(Aveia!$E69:$Z69)=0,0,MAX(0,IF((K$6-$E$3)&lt;1,0,IFERROR(LOOKUP(2,1/(Aveia!$E69:INDEX(Aveia!$E69:$Z69,MIN(K$6-$E$3,22))&lt;&gt;""),Aveia!$E69:INDEX(Aveia!$E69:$Z69,MIN(K$6-$E$3,22))),0))-IF($G$2,0,IF((K$6-$G$3)&lt;1,0,IFERROR(LOOKUP(2,1/(Aveia!$E69:INDEX(Aveia!$E69:$Z69,MIN(K$6-$G$3,22))&lt;&gt;""),Aveia!$E69:INDEX(Aveia!$E69:$Z69,MIN(K$6-$G$3,22))),0)))))</f>
        <v>0</v>
      </c>
      <c r="L71" s="27" t="n">
        <f aca="false">IF(COUNT(Aveia!$E69:$Z69)=0,0,MAX(0,IF((L$6-$E$3)&lt;1,0,IFERROR(LOOKUP(2,1/(Aveia!$E69:INDEX(Aveia!$E69:$Z69,MIN(L$6-$E$3,22))&lt;&gt;""),Aveia!$E69:INDEX(Aveia!$E69:$Z69,MIN(L$6-$E$3,22))),0))-IF($G$2,0,IF((L$6-$G$3)&lt;1,0,IFERROR(LOOKUP(2,1/(Aveia!$E69:INDEX(Aveia!$E69:$Z69,MIN(L$6-$G$3,22))&lt;&gt;""),Aveia!$E69:INDEX(Aveia!$E69:$Z69,MIN(L$6-$G$3,22))),0)))))</f>
        <v>0</v>
      </c>
      <c r="M71" s="27" t="n">
        <f aca="false">IF(COUNT(Aveia!$E69:$Z69)=0,0,MAX(0,IF((M$6-$E$3)&lt;1,0,IFERROR(LOOKUP(2,1/(Aveia!$E69:INDEX(Aveia!$E69:$Z69,MIN(M$6-$E$3,22))&lt;&gt;""),Aveia!$E69:INDEX(Aveia!$E69:$Z69,MIN(M$6-$E$3,22))),0))-IF($G$2,0,IF((M$6-$G$3)&lt;1,0,IFERROR(LOOKUP(2,1/(Aveia!$E69:INDEX(Aveia!$E69:$Z69,MIN(M$6-$G$3,22))&lt;&gt;""),Aveia!$E69:INDEX(Aveia!$E69:$Z69,MIN(M$6-$G$3,22))),0)))))</f>
        <v>0</v>
      </c>
      <c r="N71" s="27" t="n">
        <f aca="false">IF(COUNT(Aveia!$E69:$Z69)=0,0,MAX(0,IF((N$6-$E$3)&lt;1,0,IFERROR(LOOKUP(2,1/(Aveia!$E69:INDEX(Aveia!$E69:$Z69,MIN(N$6-$E$3,22))&lt;&gt;""),Aveia!$E69:INDEX(Aveia!$E69:$Z69,MIN(N$6-$E$3,22))),0))-IF($G$2,0,IF((N$6-$G$3)&lt;1,0,IFERROR(LOOKUP(2,1/(Aveia!$E69:INDEX(Aveia!$E69:$Z69,MIN(N$6-$G$3,22))&lt;&gt;""),Aveia!$E69:INDEX(Aveia!$E69:$Z69,MIN(N$6-$G$3,22))),0)))))</f>
        <v>0</v>
      </c>
      <c r="O71" s="27" t="n">
        <f aca="false">IF(COUNT(Aveia!$E69:$Z69)=0,0,MAX(0,IF((O$6-$E$3)&lt;1,0,IFERROR(LOOKUP(2,1/(Aveia!$E69:INDEX(Aveia!$E69:$Z69,MIN(O$6-$E$3,22))&lt;&gt;""),Aveia!$E69:INDEX(Aveia!$E69:$Z69,MIN(O$6-$E$3,22))),0))-IF($G$2,0,IF((O$6-$G$3)&lt;1,0,IFERROR(LOOKUP(2,1/(Aveia!$E69:INDEX(Aveia!$E69:$Z69,MIN(O$6-$G$3,22))&lt;&gt;""),Aveia!$E69:INDEX(Aveia!$E69:$Z69,MIN(O$6-$G$3,22))),0)))))</f>
        <v>0</v>
      </c>
      <c r="P71" s="27" t="n">
        <f aca="false">IF(COUNT(Aveia!$E69:$Z69)=0,0,MAX(0,IF((P$6-$E$3)&lt;1,0,IFERROR(LOOKUP(2,1/(Aveia!$E69:INDEX(Aveia!$E69:$Z69,MIN(P$6-$E$3,22))&lt;&gt;""),Aveia!$E69:INDEX(Aveia!$E69:$Z69,MIN(P$6-$E$3,22))),0))-IF($G$2,0,IF((P$6-$G$3)&lt;1,0,IFERROR(LOOKUP(2,1/(Aveia!$E69:INDEX(Aveia!$E69:$Z69,MIN(P$6-$G$3,22))&lt;&gt;""),Aveia!$E69:INDEX(Aveia!$E69:$Z69,MIN(P$6-$G$3,22))),0)))))</f>
        <v>0</v>
      </c>
      <c r="Q71" s="27" t="n">
        <f aca="false">IF(COUNT(Aveia!$E69:$Z69)=0,0,MAX(0,IF((Q$6-$E$3)&lt;1,0,IFERROR(LOOKUP(2,1/(Aveia!$E69:INDEX(Aveia!$E69:$Z69,MIN(Q$6-$E$3,22))&lt;&gt;""),Aveia!$E69:INDEX(Aveia!$E69:$Z69,MIN(Q$6-$E$3,22))),0))-IF($G$2,0,IF((Q$6-$G$3)&lt;1,0,IFERROR(LOOKUP(2,1/(Aveia!$E69:INDEX(Aveia!$E69:$Z69,MIN(Q$6-$G$3,22))&lt;&gt;""),Aveia!$E69:INDEX(Aveia!$E69:$Z69,MIN(Q$6-$G$3,22))),0)))))</f>
        <v>0</v>
      </c>
      <c r="R71" s="27" t="n">
        <f aca="false">IF(COUNT(Aveia!$E69:$Z69)=0,0,MAX(0,IF((R$6-$E$3)&lt;1,0,IFERROR(LOOKUP(2,1/(Aveia!$E69:INDEX(Aveia!$E69:$Z69,MIN(R$6-$E$3,22))&lt;&gt;""),Aveia!$E69:INDEX(Aveia!$E69:$Z69,MIN(R$6-$E$3,22))),0))-IF($G$2,0,IF((R$6-$G$3)&lt;1,0,IFERROR(LOOKUP(2,1/(Aveia!$E69:INDEX(Aveia!$E69:$Z69,MIN(R$6-$G$3,22))&lt;&gt;""),Aveia!$E69:INDEX(Aveia!$E69:$Z69,MIN(R$6-$G$3,22))),0)))))</f>
        <v>0</v>
      </c>
      <c r="S71" s="27" t="n">
        <f aca="false">IF(COUNT(Aveia!$E69:$Z69)=0,0,MAX(0,IF((S$6-$E$3)&lt;1,0,IFERROR(LOOKUP(2,1/(Aveia!$E69:INDEX(Aveia!$E69:$Z69,MIN(S$6-$E$3,22))&lt;&gt;""),Aveia!$E69:INDEX(Aveia!$E69:$Z69,MIN(S$6-$E$3,22))),0))-IF($G$2,0,IF((S$6-$G$3)&lt;1,0,IFERROR(LOOKUP(2,1/(Aveia!$E69:INDEX(Aveia!$E69:$Z69,MIN(S$6-$G$3,22))&lt;&gt;""),Aveia!$E69:INDEX(Aveia!$E69:$Z69,MIN(S$6-$G$3,22))),0)))))</f>
        <v>0</v>
      </c>
      <c r="T71" s="27" t="n">
        <f aca="false">IF(COUNT(Aveia!$E69:$Z69)=0,0,MAX(0,IF((T$6-$E$3)&lt;1,0,IFERROR(LOOKUP(2,1/(Aveia!$E69:INDEX(Aveia!$E69:$Z69,MIN(T$6-$E$3,22))&lt;&gt;""),Aveia!$E69:INDEX(Aveia!$E69:$Z69,MIN(T$6-$E$3,22))),0))-IF($G$2,0,IF((T$6-$G$3)&lt;1,0,IFERROR(LOOKUP(2,1/(Aveia!$E69:INDEX(Aveia!$E69:$Z69,MIN(T$6-$G$3,22))&lt;&gt;""),Aveia!$E69:INDEX(Aveia!$E69:$Z69,MIN(T$6-$G$3,22))),0)))))</f>
        <v>0</v>
      </c>
      <c r="U71" s="27" t="n">
        <f aca="false">IF(COUNT(Aveia!$E69:$Z69)=0,0,MAX(0,IF((U$6-$E$3)&lt;1,0,IFERROR(LOOKUP(2,1/(Aveia!$E69:INDEX(Aveia!$E69:$Z69,MIN(U$6-$E$3,22))&lt;&gt;""),Aveia!$E69:INDEX(Aveia!$E69:$Z69,MIN(U$6-$E$3,22))),0))-IF($G$2,0,IF((U$6-$G$3)&lt;1,0,IFERROR(LOOKUP(2,1/(Aveia!$E69:INDEX(Aveia!$E69:$Z69,MIN(U$6-$G$3,22))&lt;&gt;""),Aveia!$E69:INDEX(Aveia!$E69:$Z69,MIN(U$6-$G$3,22))),0)))))</f>
        <v>0</v>
      </c>
      <c r="V71" s="27" t="n">
        <f aca="false">IF(COUNT(Aveia!$E69:$Z69)=0,0,MAX(0,IF((V$6-$E$3)&lt;1,0,IFERROR(LOOKUP(2,1/(Aveia!$E69:INDEX(Aveia!$E69:$Z69,MIN(V$6-$E$3,22))&lt;&gt;""),Aveia!$E69:INDEX(Aveia!$E69:$Z69,MIN(V$6-$E$3,22))),0))-IF($G$2,0,IF((V$6-$G$3)&lt;1,0,IFERROR(LOOKUP(2,1/(Aveia!$E69:INDEX(Aveia!$E69:$Z69,MIN(V$6-$G$3,22))&lt;&gt;""),Aveia!$E69:INDEX(Aveia!$E69:$Z69,MIN(V$6-$G$3,22))),0)))))</f>
        <v>0</v>
      </c>
      <c r="W71" s="27" t="n">
        <f aca="false">IF(COUNT(Aveia!$E69:$Z69)=0,0,MAX(0,IF((W$6-$E$3)&lt;1,0,IFERROR(LOOKUP(2,1/(Aveia!$E69:INDEX(Aveia!$E69:$Z69,MIN(W$6-$E$3,22))&lt;&gt;""),Aveia!$E69:INDEX(Aveia!$E69:$Z69,MIN(W$6-$E$3,22))),0))-IF($G$2,0,IF((W$6-$G$3)&lt;1,0,IFERROR(LOOKUP(2,1/(Aveia!$E69:INDEX(Aveia!$E69:$Z69,MIN(W$6-$G$3,22))&lt;&gt;""),Aveia!$E69:INDEX(Aveia!$E69:$Z69,MIN(W$6-$G$3,22))),0)))))</f>
        <v>0</v>
      </c>
      <c r="X71" s="27" t="n">
        <f aca="false">IF(COUNT(Aveia!$E69:$Z69)=0,0,MAX(0,IF((X$6-$E$3)&lt;1,0,IFERROR(LOOKUP(2,1/(Aveia!$E69:INDEX(Aveia!$E69:$Z69,MIN(X$6-$E$3,22))&lt;&gt;""),Aveia!$E69:INDEX(Aveia!$E69:$Z69,MIN(X$6-$E$3,22))),0))-IF($G$2,0,IF((X$6-$G$3)&lt;1,0,IFERROR(LOOKUP(2,1/(Aveia!$E69:INDEX(Aveia!$E69:$Z69,MIN(X$6-$G$3,22))&lt;&gt;""),Aveia!$E69:INDEX(Aveia!$E69:$Z69,MIN(X$6-$G$3,22))),0)))))</f>
        <v>0</v>
      </c>
      <c r="Y71" s="27" t="n">
        <f aca="false">IF(COUNT(Aveia!$E69:$Z69)=0,0,MAX(0,IF((Y$6-$E$3)&lt;1,0,IFERROR(LOOKUP(2,1/(Aveia!$E69:INDEX(Aveia!$E69:$Z69,MIN(Y$6-$E$3,22))&lt;&gt;""),Aveia!$E69:INDEX(Aveia!$E69:$Z69,MIN(Y$6-$E$3,22))),0))-IF($G$2,0,IF((Y$6-$G$3)&lt;1,0,IFERROR(LOOKUP(2,1/(Aveia!$E69:INDEX(Aveia!$E69:$Z69,MIN(Y$6-$G$3,22))&lt;&gt;""),Aveia!$E69:INDEX(Aveia!$E69:$Z69,MIN(Y$6-$G$3,22))),0)))))</f>
        <v>0</v>
      </c>
      <c r="Z71" s="27" t="n">
        <f aca="false">IF(COUNT(Aveia!$E69:$Z69)=0,0,MAX(0,IF((Z$6-$E$3)&lt;1,0,IFERROR(LOOKUP(2,1/(Aveia!$E69:INDEX(Aveia!$E69:$Z69,MIN(Z$6-$E$3,22))&lt;&gt;""),Aveia!$E69:INDEX(Aveia!$E69:$Z69,MIN(Z$6-$E$3,22))),0))-IF($G$2,0,IF((Z$6-$G$3)&lt;1,0,IFERROR(LOOKUP(2,1/(Aveia!$E69:INDEX(Aveia!$E69:$Z69,MIN(Z$6-$G$3,22))&lt;&gt;""),Aveia!$E69:INDEX(Aveia!$E69:$Z69,MIN(Z$6-$G$3,22))),0)))))</f>
        <v>0</v>
      </c>
      <c r="AA71" s="27" t="n">
        <f aca="false">IF(COUNT(Aveia!$E69:$Z69)=0,0,MAX(0,IF((AA$6-$E$3)&lt;1,0,IFERROR(LOOKUP(2,1/(Aveia!$E69:INDEX(Aveia!$E69:$Z69,MIN(AA$6-$E$3,22))&lt;&gt;""),Aveia!$E69:INDEX(Aveia!$E69:$Z69,MIN(AA$6-$E$3,22))),0))-IF($G$2,0,IF((AA$6-$G$3)&lt;1,0,IFERROR(LOOKUP(2,1/(Aveia!$E69:INDEX(Aveia!$E69:$Z69,MIN(AA$6-$G$3,22))&lt;&gt;""),Aveia!$E69:INDEX(Aveia!$E69:$Z69,MIN(AA$6-$G$3,22))),0)))))</f>
        <v>0</v>
      </c>
      <c r="AB71" s="27" t="n">
        <f aca="false">IF(COUNT(Aveia!$E69:$Z69)=0,0,MAX(0,IF((AB$6-$E$3)&lt;1,0,IFERROR(LOOKUP(2,1/(Aveia!$E69:INDEX(Aveia!$E69:$Z69,MIN(AB$6-$E$3,22))&lt;&gt;""),Aveia!$E69:INDEX(Aveia!$E69:$Z69,MIN(AB$6-$E$3,22))),0))-IF($G$2,0,IF((AB$6-$G$3)&lt;1,0,IFERROR(LOOKUP(2,1/(Aveia!$E69:INDEX(Aveia!$E69:$Z69,MIN(AB$6-$G$3,22))&lt;&gt;""),Aveia!$E69:INDEX(Aveia!$E69:$Z69,MIN(AB$6-$G$3,22))),0)))))</f>
        <v>0</v>
      </c>
      <c r="AC71" s="27" t="n">
        <f aca="false">IF(COUNT(Aveia!$E69:$Z69)=0,0,MAX(0,IF((AC$6-$E$3)&lt;1,0,IFERROR(LOOKUP(2,1/(Aveia!$E69:INDEX(Aveia!$E69:$Z69,MIN(AC$6-$E$3,22))&lt;&gt;""),Aveia!$E69:INDEX(Aveia!$E69:$Z69,MIN(AC$6-$E$3,22))),0))-IF($G$2,0,IF((AC$6-$G$3)&lt;1,0,IFERROR(LOOKUP(2,1/(Aveia!$E69:INDEX(Aveia!$E69:$Z69,MIN(AC$6-$G$3,22))&lt;&gt;""),Aveia!$E69:INDEX(Aveia!$E69:$Z69,MIN(AC$6-$G$3,22))),0)))))</f>
        <v>0</v>
      </c>
      <c r="AD71" s="27" t="n">
        <f aca="false">IF(COUNT(Aveia!$E69:$Z69)=0,0,MAX(0,IF((AD$6-$E$3)&lt;1,0,IFERROR(LOOKUP(2,1/(Aveia!$E69:INDEX(Aveia!$E69:$Z69,MIN(AD$6-$E$3,22))&lt;&gt;""),Aveia!$E69:INDEX(Aveia!$E69:$Z69,MIN(AD$6-$E$3,22))),0))-IF($G$2,0,IF((AD$6-$G$3)&lt;1,0,IFERROR(LOOKUP(2,1/(Aveia!$E69:INDEX(Aveia!$E69:$Z69,MIN(AD$6-$G$3,22))&lt;&gt;""),Aveia!$E69:INDEX(Aveia!$E69:$Z69,MIN(AD$6-$G$3,22))),0)))))</f>
        <v>0</v>
      </c>
      <c r="AE71" s="27" t="n">
        <f aca="false">IF(COUNT(Aveia!$E69:$Z69)=0,0,MAX(0,IF((AE$6-$E$3)&lt;1,0,IFERROR(LOOKUP(2,1/(Aveia!$E69:INDEX(Aveia!$E69:$Z69,MIN(AE$6-$E$3,22))&lt;&gt;""),Aveia!$E69:INDEX(Aveia!$E69:$Z69,MIN(AE$6-$E$3,22))),0))-IF($G$2,0,IF((AE$6-$G$3)&lt;1,0,IFERROR(LOOKUP(2,1/(Aveia!$E69:INDEX(Aveia!$E69:$Z69,MIN(AE$6-$G$3,22))&lt;&gt;""),Aveia!$E69:INDEX(Aveia!$E69:$Z69,MIN(AE$6-$G$3,22))),0)))))</f>
        <v>0</v>
      </c>
      <c r="AF71" s="27" t="n">
        <f aca="false">IF(COUNT(Aveia!$E69:$Z69)=0,0,MAX(0,IF((AF$6-$E$3)&lt;1,0,IFERROR(LOOKUP(2,1/(Aveia!$E69:INDEX(Aveia!$E69:$Z69,MIN(AF$6-$E$3,22))&lt;&gt;""),Aveia!$E69:INDEX(Aveia!$E69:$Z69,MIN(AF$6-$E$3,22))),0))-IF($G$2,0,IF((AF$6-$G$3)&lt;1,0,IFERROR(LOOKUP(2,1/(Aveia!$E69:INDEX(Aveia!$E69:$Z69,MIN(AF$6-$G$3,22))&lt;&gt;""),Aveia!$E69:INDEX(Aveia!$E69:$Z69,MIN(AF$6-$G$3,22))),0)))))</f>
        <v>0</v>
      </c>
      <c r="AG71" s="27" t="n">
        <f aca="false">IF(COUNT(Aveia!$E69:$Z69)=0,0,MAX(0,IF((AG$6-$E$3)&lt;1,0,IFERROR(LOOKUP(2,1/(Aveia!$E69:INDEX(Aveia!$E69:$Z69,MIN(AG$6-$E$3,22))&lt;&gt;""),Aveia!$E69:INDEX(Aveia!$E69:$Z69,MIN(AG$6-$E$3,22))),0))-IF($G$2,0,IF((AG$6-$G$3)&lt;1,0,IFERROR(LOOKUP(2,1/(Aveia!$E69:INDEX(Aveia!$E69:$Z69,MIN(AG$6-$G$3,22))&lt;&gt;""),Aveia!$E69:INDEX(Aveia!$E69:$Z69,MIN(AG$6-$G$3,22))),0)))))</f>
        <v>0</v>
      </c>
      <c r="AH71" s="27" t="n">
        <f aca="false">IF(COUNT(Aveia!$E69:$Z69)=0,0,MAX(0,IF((AH$6-$E$3)&lt;1,0,IFERROR(LOOKUP(2,1/(Aveia!$E69:INDEX(Aveia!$E69:$Z69,MIN(AH$6-$E$3,22))&lt;&gt;""),Aveia!$E69:INDEX(Aveia!$E69:$Z69,MIN(AH$6-$E$3,22))),0))-IF($G$2,0,IF((AH$6-$G$3)&lt;1,0,IFERROR(LOOKUP(2,1/(Aveia!$E69:INDEX(Aveia!$E69:$Z69,MIN(AH$6-$G$3,22))&lt;&gt;""),Aveia!$E69:INDEX(Aveia!$E69:$Z69,MIN(AH$6-$G$3,22))),0)))))</f>
        <v>0</v>
      </c>
      <c r="AI71" s="27" t="n">
        <f aca="false">IF(COUNT(Aveia!$E69:$Z69)=0,0,MAX(0,IF((AI$6-$E$3)&lt;1,0,IFERROR(LOOKUP(2,1/(Aveia!$E69:INDEX(Aveia!$E69:$Z69,MIN(AI$6-$E$3,22))&lt;&gt;""),Aveia!$E69:INDEX(Aveia!$E69:$Z69,MIN(AI$6-$E$3,22))),0))-IF($G$2,0,IF((AI$6-$G$3)&lt;1,0,IFERROR(LOOKUP(2,1/(Aveia!$E69:INDEX(Aveia!$E69:$Z69,MIN(AI$6-$G$3,22))&lt;&gt;""),Aveia!$E69:INDEX(Aveia!$E69:$Z69,MIN(AI$6-$G$3,22))),0)))))</f>
        <v>0</v>
      </c>
      <c r="AJ71" s="27" t="n">
        <f aca="false">IF(COUNT(Aveia!$E69:$Z69)=0,0,MAX(0,IF((AJ$6-$E$3)&lt;1,0,IFERROR(LOOKUP(2,1/(Aveia!$E69:INDEX(Aveia!$E69:$Z69,MIN(AJ$6-$E$3,22))&lt;&gt;""),Aveia!$E69:INDEX(Aveia!$E69:$Z69,MIN(AJ$6-$E$3,22))),0))-IF($G$2,0,IF((AJ$6-$G$3)&lt;1,0,IFERROR(LOOKUP(2,1/(Aveia!$E69:INDEX(Aveia!$E69:$Z69,MIN(AJ$6-$G$3,22))&lt;&gt;""),Aveia!$E69:INDEX(Aveia!$E69:$Z69,MIN(AJ$6-$G$3,22))),0)))))</f>
        <v>0</v>
      </c>
      <c r="AK71" s="27" t="n">
        <f aca="false">IF(COUNT(Aveia!$E69:$Z69)=0,0,MAX(0,IF((AK$6-$E$3)&lt;1,0,IFERROR(LOOKUP(2,1/(Aveia!$E69:INDEX(Aveia!$E69:$Z69,MIN(AK$6-$E$3,22))&lt;&gt;""),Aveia!$E69:INDEX(Aveia!$E69:$Z69,MIN(AK$6-$E$3,22))),0))-IF($G$2,0,IF((AK$6-$G$3)&lt;1,0,IFERROR(LOOKUP(2,1/(Aveia!$E69:INDEX(Aveia!$E69:$Z69,MIN(AK$6-$G$3,22))&lt;&gt;""),Aveia!$E69:INDEX(Aveia!$E69:$Z69,MIN(AK$6-$G$3,22))),0)))))</f>
        <v>0</v>
      </c>
      <c r="AL71" s="27" t="n">
        <f aca="false">IF(COUNT(Aveia!$E69:$Z69)=0,0,MAX(0,IF((AL$6-$E$3)&lt;1,0,IFERROR(LOOKUP(2,1/(Aveia!$E69:INDEX(Aveia!$E69:$Z69,MIN(AL$6-$E$3,22))&lt;&gt;""),Aveia!$E69:INDEX(Aveia!$E69:$Z69,MIN(AL$6-$E$3,22))),0))-IF($G$2,0,IF((AL$6-$G$3)&lt;1,0,IFERROR(LOOKUP(2,1/(Aveia!$E69:INDEX(Aveia!$E69:$Z69,MIN(AL$6-$G$3,22))&lt;&gt;""),Aveia!$E69:INDEX(Aveia!$E69:$Z69,MIN(AL$6-$G$3,22))),0)))))</f>
        <v>0</v>
      </c>
      <c r="AM71" s="27" t="n">
        <f aca="false">IF(COUNT(Aveia!$E69:$Z69)=0,0,MAX(0,IF((AM$6-$E$3)&lt;1,0,IFERROR(LOOKUP(2,1/(Aveia!$E69:INDEX(Aveia!$E69:$Z69,MIN(AM$6-$E$3,22))&lt;&gt;""),Aveia!$E69:INDEX(Aveia!$E69:$Z69,MIN(AM$6-$E$3,22))),0))-IF($G$2,0,IF((AM$6-$G$3)&lt;1,0,IFERROR(LOOKUP(2,1/(Aveia!$E69:INDEX(Aveia!$E69:$Z69,MIN(AM$6-$G$3,22))&lt;&gt;""),Aveia!$E69:INDEX(Aveia!$E69:$Z69,MIN(AM$6-$G$3,22))),0)))))</f>
        <v>0</v>
      </c>
      <c r="AN71" s="27" t="n">
        <f aca="false">IF(COUNT(Aveia!$E69:$Z69)=0,0,MAX(0,IF((AN$6-$E$3)&lt;1,0,IFERROR(LOOKUP(2,1/(Aveia!$E69:INDEX(Aveia!$E69:$Z69,MIN(AN$6-$E$3,22))&lt;&gt;""),Aveia!$E69:INDEX(Aveia!$E69:$Z69,MIN(AN$6-$E$3,22))),0))-IF($G$2,0,IF((AN$6-$G$3)&lt;1,0,IFERROR(LOOKUP(2,1/(Aveia!$E69:INDEX(Aveia!$E69:$Z69,MIN(AN$6-$G$3,22))&lt;&gt;""),Aveia!$E69:INDEX(Aveia!$E69:$Z69,MIN(AN$6-$G$3,22))),0)))))</f>
        <v>0</v>
      </c>
      <c r="AO71" s="27" t="n">
        <f aca="false">IF(COUNT(Aveia!$E69:$Z69)=0,0,MAX(0,IF((AO$6-$E$3)&lt;1,0,IFERROR(LOOKUP(2,1/(Aveia!$E69:INDEX(Aveia!$E69:$Z69,MIN(AO$6-$E$3,22))&lt;&gt;""),Aveia!$E69:INDEX(Aveia!$E69:$Z69,MIN(AO$6-$E$3,22))),0))-IF($G$2,0,IF((AO$6-$G$3)&lt;1,0,IFERROR(LOOKUP(2,1/(Aveia!$E69:INDEX(Aveia!$E69:$Z69,MIN(AO$6-$G$3,22))&lt;&gt;""),Aveia!$E69:INDEX(Aveia!$E69:$Z69,MIN(AO$6-$G$3,22))),0)))))</f>
        <v>0</v>
      </c>
      <c r="AP71" s="27" t="n">
        <f aca="false">IF(COUNT(Aveia!$E69:$Z69)=0,0,MAX(0,IF((AP$6-$E$3)&lt;1,0,IFERROR(LOOKUP(2,1/(Aveia!$E69:INDEX(Aveia!$E69:$Z69,MIN(AP$6-$E$3,22))&lt;&gt;""),Aveia!$E69:INDEX(Aveia!$E69:$Z69,MIN(AP$6-$E$3,22))),0))-IF($G$2,0,IF((AP$6-$G$3)&lt;1,0,IFERROR(LOOKUP(2,1/(Aveia!$E69:INDEX(Aveia!$E69:$Z69,MIN(AP$6-$G$3,22))&lt;&gt;""),Aveia!$E69:INDEX(Aveia!$E69:$Z69,MIN(AP$6-$G$3,22))),0)))))</f>
        <v>0</v>
      </c>
      <c r="AQ71" s="27" t="n">
        <f aca="false">IF(COUNT(Aveia!$E69:$Z69)=0,0,MAX(0,IF((AQ$6-$E$3)&lt;1,0,IFERROR(LOOKUP(2,1/(Aveia!$E69:INDEX(Aveia!$E69:$Z69,MIN(AQ$6-$E$3,22))&lt;&gt;""),Aveia!$E69:INDEX(Aveia!$E69:$Z69,MIN(AQ$6-$E$3,22))),0))-IF($G$2,0,IF((AQ$6-$G$3)&lt;1,0,IFERROR(LOOKUP(2,1/(Aveia!$E69:INDEX(Aveia!$E69:$Z69,MIN(AQ$6-$G$3,22))&lt;&gt;""),Aveia!$E69:INDEX(Aveia!$E69:$Z69,MIN(AQ$6-$G$3,22))),0)))))</f>
        <v>0</v>
      </c>
      <c r="AR71" s="27" t="n">
        <f aca="false">IF(COUNT(Aveia!$E69:$Z69)=0,0,MAX(0,IF((AR$6-$E$3)&lt;1,0,IFERROR(LOOKUP(2,1/(Aveia!$E69:INDEX(Aveia!$E69:$Z69,MIN(AR$6-$E$3,22))&lt;&gt;""),Aveia!$E69:INDEX(Aveia!$E69:$Z69,MIN(AR$6-$E$3,22))),0))-IF($G$2,0,IF((AR$6-$G$3)&lt;1,0,IFERROR(LOOKUP(2,1/(Aveia!$E69:INDEX(Aveia!$E69:$Z69,MIN(AR$6-$G$3,22))&lt;&gt;""),Aveia!$E69:INDEX(Aveia!$E69:$Z69,MIN(AR$6-$G$3,22))),0)))))</f>
        <v>0</v>
      </c>
      <c r="AS71" s="27" t="n">
        <f aca="false">IF(COUNT(Aveia!$E69:$Z69)=0,0,MAX(0,IF((AS$6-$E$3)&lt;1,0,IFERROR(LOOKUP(2,1/(Aveia!$E69:INDEX(Aveia!$E69:$Z69,MIN(AS$6-$E$3,22))&lt;&gt;""),Aveia!$E69:INDEX(Aveia!$E69:$Z69,MIN(AS$6-$E$3,22))),0))-IF($G$2,0,IF((AS$6-$G$3)&lt;1,0,IFERROR(LOOKUP(2,1/(Aveia!$E69:INDEX(Aveia!$E69:$Z69,MIN(AS$6-$G$3,22))&lt;&gt;""),Aveia!$E69:INDEX(Aveia!$E69:$Z69,MIN(AS$6-$G$3,22))),0)))))</f>
        <v>0</v>
      </c>
      <c r="AT71" s="27" t="n">
        <f aca="false">IF(COUNT(Aveia!$E69:$Z69)=0,0,MAX(0,IF((AT$6-$E$3)&lt;1,0,IFERROR(LOOKUP(2,1/(Aveia!$E69:INDEX(Aveia!$E69:$Z69,MIN(AT$6-$E$3,22))&lt;&gt;""),Aveia!$E69:INDEX(Aveia!$E69:$Z69,MIN(AT$6-$E$3,22))),0))-IF($G$2,0,IF((AT$6-$G$3)&lt;1,0,IFERROR(LOOKUP(2,1/(Aveia!$E69:INDEX(Aveia!$E69:$Z69,MIN(AT$6-$G$3,22))&lt;&gt;""),Aveia!$E69:INDEX(Aveia!$E69:$Z69,MIN(AT$6-$G$3,22))),0)))))</f>
        <v>0</v>
      </c>
      <c r="AU71" s="27" t="n">
        <f aca="false">IF(COUNT(Aveia!$E69:$Z69)=0,0,MAX(0,IF((AU$6-$E$3)&lt;1,0,IFERROR(LOOKUP(2,1/(Aveia!$E69:INDEX(Aveia!$E69:$Z69,MIN(AU$6-$E$3,22))&lt;&gt;""),Aveia!$E69:INDEX(Aveia!$E69:$Z69,MIN(AU$6-$E$3,22))),0))-IF($G$2,0,IF((AU$6-$G$3)&lt;1,0,IFERROR(LOOKUP(2,1/(Aveia!$E69:INDEX(Aveia!$E69:$Z69,MIN(AU$6-$G$3,22))&lt;&gt;""),Aveia!$E69:INDEX(Aveia!$E69:$Z69,MIN(AU$6-$G$3,22))),0)))))</f>
        <v>0</v>
      </c>
      <c r="AV71" s="27" t="n">
        <f aca="false">IF(COUNT(Aveia!$E69:$Z69)=0,0,MAX(0,IF((AV$6-$E$3)&lt;1,0,IFERROR(LOOKUP(2,1/(Aveia!$E69:INDEX(Aveia!$E69:$Z69,MIN(AV$6-$E$3,22))&lt;&gt;""),Aveia!$E69:INDEX(Aveia!$E69:$Z69,MIN(AV$6-$E$3,22))),0))-IF($G$2,0,IF((AV$6-$G$3)&lt;1,0,IFERROR(LOOKUP(2,1/(Aveia!$E69:INDEX(Aveia!$E69:$Z69,MIN(AV$6-$G$3,22))&lt;&gt;""),Aveia!$E69:INDEX(Aveia!$E69:$Z69,MIN(AV$6-$G$3,22))),0)))))</f>
        <v>0</v>
      </c>
      <c r="AW71" s="27" t="n">
        <f aca="false">IF(COUNT(Aveia!$E69:$Z69)=0,0,MAX(0,IF((AW$6-$E$3)&lt;1,0,IFERROR(LOOKUP(2,1/(Aveia!$E69:INDEX(Aveia!$E69:$Z69,MIN(AW$6-$E$3,22))&lt;&gt;""),Aveia!$E69:INDEX(Aveia!$E69:$Z69,MIN(AW$6-$E$3,22))),0))-IF($G$2,0,IF((AW$6-$G$3)&lt;1,0,IFERROR(LOOKUP(2,1/(Aveia!$E69:INDEX(Aveia!$E69:$Z69,MIN(AW$6-$G$3,22))&lt;&gt;""),Aveia!$E69:INDEX(Aveia!$E69:$Z69,MIN(AW$6-$G$3,22))),0)))))</f>
        <v>0</v>
      </c>
      <c r="AX71" s="27" t="n">
        <f aca="false">IF(COUNT(Aveia!$E69:$Z69)=0,0,MAX(0,IF((AX$6-$E$3)&lt;1,0,IFERROR(LOOKUP(2,1/(Aveia!$E69:INDEX(Aveia!$E69:$Z69,MIN(AX$6-$E$3,22))&lt;&gt;""),Aveia!$E69:INDEX(Aveia!$E69:$Z69,MIN(AX$6-$E$3,22))),0))-IF($G$2,0,IF((AX$6-$G$3)&lt;1,0,IFERROR(LOOKUP(2,1/(Aveia!$E69:INDEX(Aveia!$E69:$Z69,MIN(AX$6-$G$3,22))&lt;&gt;""),Aveia!$E69:INDEX(Aveia!$E69:$Z69,MIN(AX$6-$G$3,22))),0)))))</f>
        <v>0</v>
      </c>
      <c r="AY71" s="27" t="n">
        <f aca="false">IF(COUNT(Aveia!$E69:$Z69)=0,0,MAX(0,IF((AY$6-$E$3)&lt;1,0,IFERROR(LOOKUP(2,1/(Aveia!$E69:INDEX(Aveia!$E69:$Z69,MIN(AY$6-$E$3,22))&lt;&gt;""),Aveia!$E69:INDEX(Aveia!$E69:$Z69,MIN(AY$6-$E$3,22))),0))-IF($G$2,0,IF((AY$6-$G$3)&lt;1,0,IFERROR(LOOKUP(2,1/(Aveia!$E69:INDEX(Aveia!$E69:$Z69,MIN(AY$6-$G$3,22))&lt;&gt;""),Aveia!$E69:INDEX(Aveia!$E69:$Z69,MIN(AY$6-$G$3,22))),0)))))</f>
        <v>0</v>
      </c>
      <c r="AZ71" s="27" t="n">
        <f aca="false">IF(COUNT(Aveia!$E69:$Z69)=0,0,MAX(0,IF((AZ$6-$E$3)&lt;1,0,IFERROR(LOOKUP(2,1/(Aveia!$E69:INDEX(Aveia!$E69:$Z69,MIN(AZ$6-$E$3,22))&lt;&gt;""),Aveia!$E69:INDEX(Aveia!$E69:$Z69,MIN(AZ$6-$E$3,22))),0))-IF($G$2,0,IF((AZ$6-$G$3)&lt;1,0,IFERROR(LOOKUP(2,1/(Aveia!$E69:INDEX(Aveia!$E69:$Z69,MIN(AZ$6-$G$3,22))&lt;&gt;""),Aveia!$E69:INDEX(Aveia!$E69:$Z69,MIN(AZ$6-$G$3,22))),0)))))</f>
        <v>0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10" t="s">
        <v>155</v>
      </c>
      <c r="D72" s="26" t="n">
        <f aca="false">IF(COUNT(Aveia!$E70:$Z70)&gt;0,N(Aveia!$D70),0)</f>
        <v>0</v>
      </c>
      <c r="E72" s="27" t="n">
        <f aca="false">IF(COUNT(Aveia!$E70:$Z70)=0,0,MAX(0,IF((E$6-$E$3)&lt;1,0,IFERROR(LOOKUP(2,1/(Aveia!$E70:INDEX(Aveia!$E70:$Z70,MIN(E$6-$E$3,22))&lt;&gt;""),Aveia!$E70:INDEX(Aveia!$E70:$Z70,MIN(E$6-$E$3,22))),0))-IF($G$2,0,IF((E$6-$G$3)&lt;1,0,IFERROR(LOOKUP(2,1/(Aveia!$E70:INDEX(Aveia!$E70:$Z70,MIN(E$6-$G$3,22))&lt;&gt;""),Aveia!$E70:INDEX(Aveia!$E70:$Z70,MIN(E$6-$G$3,22))),0)))))</f>
        <v>0</v>
      </c>
      <c r="F72" s="27" t="n">
        <f aca="false">IF(COUNT(Aveia!$E70:$Z70)=0,0,MAX(0,IF((F$6-$E$3)&lt;1,0,IFERROR(LOOKUP(2,1/(Aveia!$E70:INDEX(Aveia!$E70:$Z70,MIN(F$6-$E$3,22))&lt;&gt;""),Aveia!$E70:INDEX(Aveia!$E70:$Z70,MIN(F$6-$E$3,22))),0))-IF($G$2,0,IF((F$6-$G$3)&lt;1,0,IFERROR(LOOKUP(2,1/(Aveia!$E70:INDEX(Aveia!$E70:$Z70,MIN(F$6-$G$3,22))&lt;&gt;""),Aveia!$E70:INDEX(Aveia!$E70:$Z70,MIN(F$6-$G$3,22))),0)))))</f>
        <v>0</v>
      </c>
      <c r="G72" s="27" t="n">
        <f aca="false">IF(COUNT(Aveia!$E70:$Z70)=0,0,MAX(0,IF((G$6-$E$3)&lt;1,0,IFERROR(LOOKUP(2,1/(Aveia!$E70:INDEX(Aveia!$E70:$Z70,MIN(G$6-$E$3,22))&lt;&gt;""),Aveia!$E70:INDEX(Aveia!$E70:$Z70,MIN(G$6-$E$3,22))),0))-IF($G$2,0,IF((G$6-$G$3)&lt;1,0,IFERROR(LOOKUP(2,1/(Aveia!$E70:INDEX(Aveia!$E70:$Z70,MIN(G$6-$G$3,22))&lt;&gt;""),Aveia!$E70:INDEX(Aveia!$E70:$Z70,MIN(G$6-$G$3,22))),0)))))</f>
        <v>0</v>
      </c>
      <c r="H72" s="27" t="n">
        <f aca="false">IF(COUNT(Aveia!$E70:$Z70)=0,0,MAX(0,IF((H$6-$E$3)&lt;1,0,IFERROR(LOOKUP(2,1/(Aveia!$E70:INDEX(Aveia!$E70:$Z70,MIN(H$6-$E$3,22))&lt;&gt;""),Aveia!$E70:INDEX(Aveia!$E70:$Z70,MIN(H$6-$E$3,22))),0))-IF($G$2,0,IF((H$6-$G$3)&lt;1,0,IFERROR(LOOKUP(2,1/(Aveia!$E70:INDEX(Aveia!$E70:$Z70,MIN(H$6-$G$3,22))&lt;&gt;""),Aveia!$E70:INDEX(Aveia!$E70:$Z70,MIN(H$6-$G$3,22))),0)))))</f>
        <v>0</v>
      </c>
      <c r="I72" s="27" t="n">
        <f aca="false">IF(COUNT(Aveia!$E70:$Z70)=0,0,MAX(0,IF((I$6-$E$3)&lt;1,0,IFERROR(LOOKUP(2,1/(Aveia!$E70:INDEX(Aveia!$E70:$Z70,MIN(I$6-$E$3,22))&lt;&gt;""),Aveia!$E70:INDEX(Aveia!$E70:$Z70,MIN(I$6-$E$3,22))),0))-IF($G$2,0,IF((I$6-$G$3)&lt;1,0,IFERROR(LOOKUP(2,1/(Aveia!$E70:INDEX(Aveia!$E70:$Z70,MIN(I$6-$G$3,22))&lt;&gt;""),Aveia!$E70:INDEX(Aveia!$E70:$Z70,MIN(I$6-$G$3,22))),0)))))</f>
        <v>0</v>
      </c>
      <c r="J72" s="27" t="n">
        <f aca="false">IF(COUNT(Aveia!$E70:$Z70)=0,0,MAX(0,IF((J$6-$E$3)&lt;1,0,IFERROR(LOOKUP(2,1/(Aveia!$E70:INDEX(Aveia!$E70:$Z70,MIN(J$6-$E$3,22))&lt;&gt;""),Aveia!$E70:INDEX(Aveia!$E70:$Z70,MIN(J$6-$E$3,22))),0))-IF($G$2,0,IF((J$6-$G$3)&lt;1,0,IFERROR(LOOKUP(2,1/(Aveia!$E70:INDEX(Aveia!$E70:$Z70,MIN(J$6-$G$3,22))&lt;&gt;""),Aveia!$E70:INDEX(Aveia!$E70:$Z70,MIN(J$6-$G$3,22))),0)))))</f>
        <v>0</v>
      </c>
      <c r="K72" s="27" t="n">
        <f aca="false">IF(COUNT(Aveia!$E70:$Z70)=0,0,MAX(0,IF((K$6-$E$3)&lt;1,0,IFERROR(LOOKUP(2,1/(Aveia!$E70:INDEX(Aveia!$E70:$Z70,MIN(K$6-$E$3,22))&lt;&gt;""),Aveia!$E70:INDEX(Aveia!$E70:$Z70,MIN(K$6-$E$3,22))),0))-IF($G$2,0,IF((K$6-$G$3)&lt;1,0,IFERROR(LOOKUP(2,1/(Aveia!$E70:INDEX(Aveia!$E70:$Z70,MIN(K$6-$G$3,22))&lt;&gt;""),Aveia!$E70:INDEX(Aveia!$E70:$Z70,MIN(K$6-$G$3,22))),0)))))</f>
        <v>0</v>
      </c>
      <c r="L72" s="27" t="n">
        <f aca="false">IF(COUNT(Aveia!$E70:$Z70)=0,0,MAX(0,IF((L$6-$E$3)&lt;1,0,IFERROR(LOOKUP(2,1/(Aveia!$E70:INDEX(Aveia!$E70:$Z70,MIN(L$6-$E$3,22))&lt;&gt;""),Aveia!$E70:INDEX(Aveia!$E70:$Z70,MIN(L$6-$E$3,22))),0))-IF($G$2,0,IF((L$6-$G$3)&lt;1,0,IFERROR(LOOKUP(2,1/(Aveia!$E70:INDEX(Aveia!$E70:$Z70,MIN(L$6-$G$3,22))&lt;&gt;""),Aveia!$E70:INDEX(Aveia!$E70:$Z70,MIN(L$6-$G$3,22))),0)))))</f>
        <v>0</v>
      </c>
      <c r="M72" s="27" t="n">
        <f aca="false">IF(COUNT(Aveia!$E70:$Z70)=0,0,MAX(0,IF((M$6-$E$3)&lt;1,0,IFERROR(LOOKUP(2,1/(Aveia!$E70:INDEX(Aveia!$E70:$Z70,MIN(M$6-$E$3,22))&lt;&gt;""),Aveia!$E70:INDEX(Aveia!$E70:$Z70,MIN(M$6-$E$3,22))),0))-IF($G$2,0,IF((M$6-$G$3)&lt;1,0,IFERROR(LOOKUP(2,1/(Aveia!$E70:INDEX(Aveia!$E70:$Z70,MIN(M$6-$G$3,22))&lt;&gt;""),Aveia!$E70:INDEX(Aveia!$E70:$Z70,MIN(M$6-$G$3,22))),0)))))</f>
        <v>0</v>
      </c>
      <c r="N72" s="27" t="n">
        <f aca="false">IF(COUNT(Aveia!$E70:$Z70)=0,0,MAX(0,IF((N$6-$E$3)&lt;1,0,IFERROR(LOOKUP(2,1/(Aveia!$E70:INDEX(Aveia!$E70:$Z70,MIN(N$6-$E$3,22))&lt;&gt;""),Aveia!$E70:INDEX(Aveia!$E70:$Z70,MIN(N$6-$E$3,22))),0))-IF($G$2,0,IF((N$6-$G$3)&lt;1,0,IFERROR(LOOKUP(2,1/(Aveia!$E70:INDEX(Aveia!$E70:$Z70,MIN(N$6-$G$3,22))&lt;&gt;""),Aveia!$E70:INDEX(Aveia!$E70:$Z70,MIN(N$6-$G$3,22))),0)))))</f>
        <v>0</v>
      </c>
      <c r="O72" s="27" t="n">
        <f aca="false">IF(COUNT(Aveia!$E70:$Z70)=0,0,MAX(0,IF((O$6-$E$3)&lt;1,0,IFERROR(LOOKUP(2,1/(Aveia!$E70:INDEX(Aveia!$E70:$Z70,MIN(O$6-$E$3,22))&lt;&gt;""),Aveia!$E70:INDEX(Aveia!$E70:$Z70,MIN(O$6-$E$3,22))),0))-IF($G$2,0,IF((O$6-$G$3)&lt;1,0,IFERROR(LOOKUP(2,1/(Aveia!$E70:INDEX(Aveia!$E70:$Z70,MIN(O$6-$G$3,22))&lt;&gt;""),Aveia!$E70:INDEX(Aveia!$E70:$Z70,MIN(O$6-$G$3,22))),0)))))</f>
        <v>0</v>
      </c>
      <c r="P72" s="27" t="n">
        <f aca="false">IF(COUNT(Aveia!$E70:$Z70)=0,0,MAX(0,IF((P$6-$E$3)&lt;1,0,IFERROR(LOOKUP(2,1/(Aveia!$E70:INDEX(Aveia!$E70:$Z70,MIN(P$6-$E$3,22))&lt;&gt;""),Aveia!$E70:INDEX(Aveia!$E70:$Z70,MIN(P$6-$E$3,22))),0))-IF($G$2,0,IF((P$6-$G$3)&lt;1,0,IFERROR(LOOKUP(2,1/(Aveia!$E70:INDEX(Aveia!$E70:$Z70,MIN(P$6-$G$3,22))&lt;&gt;""),Aveia!$E70:INDEX(Aveia!$E70:$Z70,MIN(P$6-$G$3,22))),0)))))</f>
        <v>0</v>
      </c>
      <c r="Q72" s="27" t="n">
        <f aca="false">IF(COUNT(Aveia!$E70:$Z70)=0,0,MAX(0,IF((Q$6-$E$3)&lt;1,0,IFERROR(LOOKUP(2,1/(Aveia!$E70:INDEX(Aveia!$E70:$Z70,MIN(Q$6-$E$3,22))&lt;&gt;""),Aveia!$E70:INDEX(Aveia!$E70:$Z70,MIN(Q$6-$E$3,22))),0))-IF($G$2,0,IF((Q$6-$G$3)&lt;1,0,IFERROR(LOOKUP(2,1/(Aveia!$E70:INDEX(Aveia!$E70:$Z70,MIN(Q$6-$G$3,22))&lt;&gt;""),Aveia!$E70:INDEX(Aveia!$E70:$Z70,MIN(Q$6-$G$3,22))),0)))))</f>
        <v>0</v>
      </c>
      <c r="R72" s="27" t="n">
        <f aca="false">IF(COUNT(Aveia!$E70:$Z70)=0,0,MAX(0,IF((R$6-$E$3)&lt;1,0,IFERROR(LOOKUP(2,1/(Aveia!$E70:INDEX(Aveia!$E70:$Z70,MIN(R$6-$E$3,22))&lt;&gt;""),Aveia!$E70:INDEX(Aveia!$E70:$Z70,MIN(R$6-$E$3,22))),0))-IF($G$2,0,IF((R$6-$G$3)&lt;1,0,IFERROR(LOOKUP(2,1/(Aveia!$E70:INDEX(Aveia!$E70:$Z70,MIN(R$6-$G$3,22))&lt;&gt;""),Aveia!$E70:INDEX(Aveia!$E70:$Z70,MIN(R$6-$G$3,22))),0)))))</f>
        <v>0</v>
      </c>
      <c r="S72" s="27" t="n">
        <f aca="false">IF(COUNT(Aveia!$E70:$Z70)=0,0,MAX(0,IF((S$6-$E$3)&lt;1,0,IFERROR(LOOKUP(2,1/(Aveia!$E70:INDEX(Aveia!$E70:$Z70,MIN(S$6-$E$3,22))&lt;&gt;""),Aveia!$E70:INDEX(Aveia!$E70:$Z70,MIN(S$6-$E$3,22))),0))-IF($G$2,0,IF((S$6-$G$3)&lt;1,0,IFERROR(LOOKUP(2,1/(Aveia!$E70:INDEX(Aveia!$E70:$Z70,MIN(S$6-$G$3,22))&lt;&gt;""),Aveia!$E70:INDEX(Aveia!$E70:$Z70,MIN(S$6-$G$3,22))),0)))))</f>
        <v>0</v>
      </c>
      <c r="T72" s="27" t="n">
        <f aca="false">IF(COUNT(Aveia!$E70:$Z70)=0,0,MAX(0,IF((T$6-$E$3)&lt;1,0,IFERROR(LOOKUP(2,1/(Aveia!$E70:INDEX(Aveia!$E70:$Z70,MIN(T$6-$E$3,22))&lt;&gt;""),Aveia!$E70:INDEX(Aveia!$E70:$Z70,MIN(T$6-$E$3,22))),0))-IF($G$2,0,IF((T$6-$G$3)&lt;1,0,IFERROR(LOOKUP(2,1/(Aveia!$E70:INDEX(Aveia!$E70:$Z70,MIN(T$6-$G$3,22))&lt;&gt;""),Aveia!$E70:INDEX(Aveia!$E70:$Z70,MIN(T$6-$G$3,22))),0)))))</f>
        <v>0</v>
      </c>
      <c r="U72" s="27" t="n">
        <f aca="false">IF(COUNT(Aveia!$E70:$Z70)=0,0,MAX(0,IF((U$6-$E$3)&lt;1,0,IFERROR(LOOKUP(2,1/(Aveia!$E70:INDEX(Aveia!$E70:$Z70,MIN(U$6-$E$3,22))&lt;&gt;""),Aveia!$E70:INDEX(Aveia!$E70:$Z70,MIN(U$6-$E$3,22))),0))-IF($G$2,0,IF((U$6-$G$3)&lt;1,0,IFERROR(LOOKUP(2,1/(Aveia!$E70:INDEX(Aveia!$E70:$Z70,MIN(U$6-$G$3,22))&lt;&gt;""),Aveia!$E70:INDEX(Aveia!$E70:$Z70,MIN(U$6-$G$3,22))),0)))))</f>
        <v>0</v>
      </c>
      <c r="V72" s="27" t="n">
        <f aca="false">IF(COUNT(Aveia!$E70:$Z70)=0,0,MAX(0,IF((V$6-$E$3)&lt;1,0,IFERROR(LOOKUP(2,1/(Aveia!$E70:INDEX(Aveia!$E70:$Z70,MIN(V$6-$E$3,22))&lt;&gt;""),Aveia!$E70:INDEX(Aveia!$E70:$Z70,MIN(V$6-$E$3,22))),0))-IF($G$2,0,IF((V$6-$G$3)&lt;1,0,IFERROR(LOOKUP(2,1/(Aveia!$E70:INDEX(Aveia!$E70:$Z70,MIN(V$6-$G$3,22))&lt;&gt;""),Aveia!$E70:INDEX(Aveia!$E70:$Z70,MIN(V$6-$G$3,22))),0)))))</f>
        <v>0</v>
      </c>
      <c r="W72" s="27" t="n">
        <f aca="false">IF(COUNT(Aveia!$E70:$Z70)=0,0,MAX(0,IF((W$6-$E$3)&lt;1,0,IFERROR(LOOKUP(2,1/(Aveia!$E70:INDEX(Aveia!$E70:$Z70,MIN(W$6-$E$3,22))&lt;&gt;""),Aveia!$E70:INDEX(Aveia!$E70:$Z70,MIN(W$6-$E$3,22))),0))-IF($G$2,0,IF((W$6-$G$3)&lt;1,0,IFERROR(LOOKUP(2,1/(Aveia!$E70:INDEX(Aveia!$E70:$Z70,MIN(W$6-$G$3,22))&lt;&gt;""),Aveia!$E70:INDEX(Aveia!$E70:$Z70,MIN(W$6-$G$3,22))),0)))))</f>
        <v>0</v>
      </c>
      <c r="X72" s="27" t="n">
        <f aca="false">IF(COUNT(Aveia!$E70:$Z70)=0,0,MAX(0,IF((X$6-$E$3)&lt;1,0,IFERROR(LOOKUP(2,1/(Aveia!$E70:INDEX(Aveia!$E70:$Z70,MIN(X$6-$E$3,22))&lt;&gt;""),Aveia!$E70:INDEX(Aveia!$E70:$Z70,MIN(X$6-$E$3,22))),0))-IF($G$2,0,IF((X$6-$G$3)&lt;1,0,IFERROR(LOOKUP(2,1/(Aveia!$E70:INDEX(Aveia!$E70:$Z70,MIN(X$6-$G$3,22))&lt;&gt;""),Aveia!$E70:INDEX(Aveia!$E70:$Z70,MIN(X$6-$G$3,22))),0)))))</f>
        <v>0</v>
      </c>
      <c r="Y72" s="27" t="n">
        <f aca="false">IF(COUNT(Aveia!$E70:$Z70)=0,0,MAX(0,IF((Y$6-$E$3)&lt;1,0,IFERROR(LOOKUP(2,1/(Aveia!$E70:INDEX(Aveia!$E70:$Z70,MIN(Y$6-$E$3,22))&lt;&gt;""),Aveia!$E70:INDEX(Aveia!$E70:$Z70,MIN(Y$6-$E$3,22))),0))-IF($G$2,0,IF((Y$6-$G$3)&lt;1,0,IFERROR(LOOKUP(2,1/(Aveia!$E70:INDEX(Aveia!$E70:$Z70,MIN(Y$6-$G$3,22))&lt;&gt;""),Aveia!$E70:INDEX(Aveia!$E70:$Z70,MIN(Y$6-$G$3,22))),0)))))</f>
        <v>0</v>
      </c>
      <c r="Z72" s="27" t="n">
        <f aca="false">IF(COUNT(Aveia!$E70:$Z70)=0,0,MAX(0,IF((Z$6-$E$3)&lt;1,0,IFERROR(LOOKUP(2,1/(Aveia!$E70:INDEX(Aveia!$E70:$Z70,MIN(Z$6-$E$3,22))&lt;&gt;""),Aveia!$E70:INDEX(Aveia!$E70:$Z70,MIN(Z$6-$E$3,22))),0))-IF($G$2,0,IF((Z$6-$G$3)&lt;1,0,IFERROR(LOOKUP(2,1/(Aveia!$E70:INDEX(Aveia!$E70:$Z70,MIN(Z$6-$G$3,22))&lt;&gt;""),Aveia!$E70:INDEX(Aveia!$E70:$Z70,MIN(Z$6-$G$3,22))),0)))))</f>
        <v>0</v>
      </c>
      <c r="AA72" s="27" t="n">
        <f aca="false">IF(COUNT(Aveia!$E70:$Z70)=0,0,MAX(0,IF((AA$6-$E$3)&lt;1,0,IFERROR(LOOKUP(2,1/(Aveia!$E70:INDEX(Aveia!$E70:$Z70,MIN(AA$6-$E$3,22))&lt;&gt;""),Aveia!$E70:INDEX(Aveia!$E70:$Z70,MIN(AA$6-$E$3,22))),0))-IF($G$2,0,IF((AA$6-$G$3)&lt;1,0,IFERROR(LOOKUP(2,1/(Aveia!$E70:INDEX(Aveia!$E70:$Z70,MIN(AA$6-$G$3,22))&lt;&gt;""),Aveia!$E70:INDEX(Aveia!$E70:$Z70,MIN(AA$6-$G$3,22))),0)))))</f>
        <v>0</v>
      </c>
      <c r="AB72" s="27" t="n">
        <f aca="false">IF(COUNT(Aveia!$E70:$Z70)=0,0,MAX(0,IF((AB$6-$E$3)&lt;1,0,IFERROR(LOOKUP(2,1/(Aveia!$E70:INDEX(Aveia!$E70:$Z70,MIN(AB$6-$E$3,22))&lt;&gt;""),Aveia!$E70:INDEX(Aveia!$E70:$Z70,MIN(AB$6-$E$3,22))),0))-IF($G$2,0,IF((AB$6-$G$3)&lt;1,0,IFERROR(LOOKUP(2,1/(Aveia!$E70:INDEX(Aveia!$E70:$Z70,MIN(AB$6-$G$3,22))&lt;&gt;""),Aveia!$E70:INDEX(Aveia!$E70:$Z70,MIN(AB$6-$G$3,22))),0)))))</f>
        <v>0</v>
      </c>
      <c r="AC72" s="27" t="n">
        <f aca="false">IF(COUNT(Aveia!$E70:$Z70)=0,0,MAX(0,IF((AC$6-$E$3)&lt;1,0,IFERROR(LOOKUP(2,1/(Aveia!$E70:INDEX(Aveia!$E70:$Z70,MIN(AC$6-$E$3,22))&lt;&gt;""),Aveia!$E70:INDEX(Aveia!$E70:$Z70,MIN(AC$6-$E$3,22))),0))-IF($G$2,0,IF((AC$6-$G$3)&lt;1,0,IFERROR(LOOKUP(2,1/(Aveia!$E70:INDEX(Aveia!$E70:$Z70,MIN(AC$6-$G$3,22))&lt;&gt;""),Aveia!$E70:INDEX(Aveia!$E70:$Z70,MIN(AC$6-$G$3,22))),0)))))</f>
        <v>0</v>
      </c>
      <c r="AD72" s="27" t="n">
        <f aca="false">IF(COUNT(Aveia!$E70:$Z70)=0,0,MAX(0,IF((AD$6-$E$3)&lt;1,0,IFERROR(LOOKUP(2,1/(Aveia!$E70:INDEX(Aveia!$E70:$Z70,MIN(AD$6-$E$3,22))&lt;&gt;""),Aveia!$E70:INDEX(Aveia!$E70:$Z70,MIN(AD$6-$E$3,22))),0))-IF($G$2,0,IF((AD$6-$G$3)&lt;1,0,IFERROR(LOOKUP(2,1/(Aveia!$E70:INDEX(Aveia!$E70:$Z70,MIN(AD$6-$G$3,22))&lt;&gt;""),Aveia!$E70:INDEX(Aveia!$E70:$Z70,MIN(AD$6-$G$3,22))),0)))))</f>
        <v>0</v>
      </c>
      <c r="AE72" s="27" t="n">
        <f aca="false">IF(COUNT(Aveia!$E70:$Z70)=0,0,MAX(0,IF((AE$6-$E$3)&lt;1,0,IFERROR(LOOKUP(2,1/(Aveia!$E70:INDEX(Aveia!$E70:$Z70,MIN(AE$6-$E$3,22))&lt;&gt;""),Aveia!$E70:INDEX(Aveia!$E70:$Z70,MIN(AE$6-$E$3,22))),0))-IF($G$2,0,IF((AE$6-$G$3)&lt;1,0,IFERROR(LOOKUP(2,1/(Aveia!$E70:INDEX(Aveia!$E70:$Z70,MIN(AE$6-$G$3,22))&lt;&gt;""),Aveia!$E70:INDEX(Aveia!$E70:$Z70,MIN(AE$6-$G$3,22))),0)))))</f>
        <v>0</v>
      </c>
      <c r="AF72" s="27" t="n">
        <f aca="false">IF(COUNT(Aveia!$E70:$Z70)=0,0,MAX(0,IF((AF$6-$E$3)&lt;1,0,IFERROR(LOOKUP(2,1/(Aveia!$E70:INDEX(Aveia!$E70:$Z70,MIN(AF$6-$E$3,22))&lt;&gt;""),Aveia!$E70:INDEX(Aveia!$E70:$Z70,MIN(AF$6-$E$3,22))),0))-IF($G$2,0,IF((AF$6-$G$3)&lt;1,0,IFERROR(LOOKUP(2,1/(Aveia!$E70:INDEX(Aveia!$E70:$Z70,MIN(AF$6-$G$3,22))&lt;&gt;""),Aveia!$E70:INDEX(Aveia!$E70:$Z70,MIN(AF$6-$G$3,22))),0)))))</f>
        <v>0</v>
      </c>
      <c r="AG72" s="27" t="n">
        <f aca="false">IF(COUNT(Aveia!$E70:$Z70)=0,0,MAX(0,IF((AG$6-$E$3)&lt;1,0,IFERROR(LOOKUP(2,1/(Aveia!$E70:INDEX(Aveia!$E70:$Z70,MIN(AG$6-$E$3,22))&lt;&gt;""),Aveia!$E70:INDEX(Aveia!$E70:$Z70,MIN(AG$6-$E$3,22))),0))-IF($G$2,0,IF((AG$6-$G$3)&lt;1,0,IFERROR(LOOKUP(2,1/(Aveia!$E70:INDEX(Aveia!$E70:$Z70,MIN(AG$6-$G$3,22))&lt;&gt;""),Aveia!$E70:INDEX(Aveia!$E70:$Z70,MIN(AG$6-$G$3,22))),0)))))</f>
        <v>0</v>
      </c>
      <c r="AH72" s="27" t="n">
        <f aca="false">IF(COUNT(Aveia!$E70:$Z70)=0,0,MAX(0,IF((AH$6-$E$3)&lt;1,0,IFERROR(LOOKUP(2,1/(Aveia!$E70:INDEX(Aveia!$E70:$Z70,MIN(AH$6-$E$3,22))&lt;&gt;""),Aveia!$E70:INDEX(Aveia!$E70:$Z70,MIN(AH$6-$E$3,22))),0))-IF($G$2,0,IF((AH$6-$G$3)&lt;1,0,IFERROR(LOOKUP(2,1/(Aveia!$E70:INDEX(Aveia!$E70:$Z70,MIN(AH$6-$G$3,22))&lt;&gt;""),Aveia!$E70:INDEX(Aveia!$E70:$Z70,MIN(AH$6-$G$3,22))),0)))))</f>
        <v>0</v>
      </c>
      <c r="AI72" s="27" t="n">
        <f aca="false">IF(COUNT(Aveia!$E70:$Z70)=0,0,MAX(0,IF((AI$6-$E$3)&lt;1,0,IFERROR(LOOKUP(2,1/(Aveia!$E70:INDEX(Aveia!$E70:$Z70,MIN(AI$6-$E$3,22))&lt;&gt;""),Aveia!$E70:INDEX(Aveia!$E70:$Z70,MIN(AI$6-$E$3,22))),0))-IF($G$2,0,IF((AI$6-$G$3)&lt;1,0,IFERROR(LOOKUP(2,1/(Aveia!$E70:INDEX(Aveia!$E70:$Z70,MIN(AI$6-$G$3,22))&lt;&gt;""),Aveia!$E70:INDEX(Aveia!$E70:$Z70,MIN(AI$6-$G$3,22))),0)))))</f>
        <v>0</v>
      </c>
      <c r="AJ72" s="27" t="n">
        <f aca="false">IF(COUNT(Aveia!$E70:$Z70)=0,0,MAX(0,IF((AJ$6-$E$3)&lt;1,0,IFERROR(LOOKUP(2,1/(Aveia!$E70:INDEX(Aveia!$E70:$Z70,MIN(AJ$6-$E$3,22))&lt;&gt;""),Aveia!$E70:INDEX(Aveia!$E70:$Z70,MIN(AJ$6-$E$3,22))),0))-IF($G$2,0,IF((AJ$6-$G$3)&lt;1,0,IFERROR(LOOKUP(2,1/(Aveia!$E70:INDEX(Aveia!$E70:$Z70,MIN(AJ$6-$G$3,22))&lt;&gt;""),Aveia!$E70:INDEX(Aveia!$E70:$Z70,MIN(AJ$6-$G$3,22))),0)))))</f>
        <v>0</v>
      </c>
      <c r="AK72" s="27" t="n">
        <f aca="false">IF(COUNT(Aveia!$E70:$Z70)=0,0,MAX(0,IF((AK$6-$E$3)&lt;1,0,IFERROR(LOOKUP(2,1/(Aveia!$E70:INDEX(Aveia!$E70:$Z70,MIN(AK$6-$E$3,22))&lt;&gt;""),Aveia!$E70:INDEX(Aveia!$E70:$Z70,MIN(AK$6-$E$3,22))),0))-IF($G$2,0,IF((AK$6-$G$3)&lt;1,0,IFERROR(LOOKUP(2,1/(Aveia!$E70:INDEX(Aveia!$E70:$Z70,MIN(AK$6-$G$3,22))&lt;&gt;""),Aveia!$E70:INDEX(Aveia!$E70:$Z70,MIN(AK$6-$G$3,22))),0)))))</f>
        <v>0</v>
      </c>
      <c r="AL72" s="27" t="n">
        <f aca="false">IF(COUNT(Aveia!$E70:$Z70)=0,0,MAX(0,IF((AL$6-$E$3)&lt;1,0,IFERROR(LOOKUP(2,1/(Aveia!$E70:INDEX(Aveia!$E70:$Z70,MIN(AL$6-$E$3,22))&lt;&gt;""),Aveia!$E70:INDEX(Aveia!$E70:$Z70,MIN(AL$6-$E$3,22))),0))-IF($G$2,0,IF((AL$6-$G$3)&lt;1,0,IFERROR(LOOKUP(2,1/(Aveia!$E70:INDEX(Aveia!$E70:$Z70,MIN(AL$6-$G$3,22))&lt;&gt;""),Aveia!$E70:INDEX(Aveia!$E70:$Z70,MIN(AL$6-$G$3,22))),0)))))</f>
        <v>0</v>
      </c>
      <c r="AM72" s="27" t="n">
        <f aca="false">IF(COUNT(Aveia!$E70:$Z70)=0,0,MAX(0,IF((AM$6-$E$3)&lt;1,0,IFERROR(LOOKUP(2,1/(Aveia!$E70:INDEX(Aveia!$E70:$Z70,MIN(AM$6-$E$3,22))&lt;&gt;""),Aveia!$E70:INDEX(Aveia!$E70:$Z70,MIN(AM$6-$E$3,22))),0))-IF($G$2,0,IF((AM$6-$G$3)&lt;1,0,IFERROR(LOOKUP(2,1/(Aveia!$E70:INDEX(Aveia!$E70:$Z70,MIN(AM$6-$G$3,22))&lt;&gt;""),Aveia!$E70:INDEX(Aveia!$E70:$Z70,MIN(AM$6-$G$3,22))),0)))))</f>
        <v>0</v>
      </c>
      <c r="AN72" s="27" t="n">
        <f aca="false">IF(COUNT(Aveia!$E70:$Z70)=0,0,MAX(0,IF((AN$6-$E$3)&lt;1,0,IFERROR(LOOKUP(2,1/(Aveia!$E70:INDEX(Aveia!$E70:$Z70,MIN(AN$6-$E$3,22))&lt;&gt;""),Aveia!$E70:INDEX(Aveia!$E70:$Z70,MIN(AN$6-$E$3,22))),0))-IF($G$2,0,IF((AN$6-$G$3)&lt;1,0,IFERROR(LOOKUP(2,1/(Aveia!$E70:INDEX(Aveia!$E70:$Z70,MIN(AN$6-$G$3,22))&lt;&gt;""),Aveia!$E70:INDEX(Aveia!$E70:$Z70,MIN(AN$6-$G$3,22))),0)))))</f>
        <v>0</v>
      </c>
      <c r="AO72" s="27" t="n">
        <f aca="false">IF(COUNT(Aveia!$E70:$Z70)=0,0,MAX(0,IF((AO$6-$E$3)&lt;1,0,IFERROR(LOOKUP(2,1/(Aveia!$E70:INDEX(Aveia!$E70:$Z70,MIN(AO$6-$E$3,22))&lt;&gt;""),Aveia!$E70:INDEX(Aveia!$E70:$Z70,MIN(AO$6-$E$3,22))),0))-IF($G$2,0,IF((AO$6-$G$3)&lt;1,0,IFERROR(LOOKUP(2,1/(Aveia!$E70:INDEX(Aveia!$E70:$Z70,MIN(AO$6-$G$3,22))&lt;&gt;""),Aveia!$E70:INDEX(Aveia!$E70:$Z70,MIN(AO$6-$G$3,22))),0)))))</f>
        <v>0</v>
      </c>
      <c r="AP72" s="27" t="n">
        <f aca="false">IF(COUNT(Aveia!$E70:$Z70)=0,0,MAX(0,IF((AP$6-$E$3)&lt;1,0,IFERROR(LOOKUP(2,1/(Aveia!$E70:INDEX(Aveia!$E70:$Z70,MIN(AP$6-$E$3,22))&lt;&gt;""),Aveia!$E70:INDEX(Aveia!$E70:$Z70,MIN(AP$6-$E$3,22))),0))-IF($G$2,0,IF((AP$6-$G$3)&lt;1,0,IFERROR(LOOKUP(2,1/(Aveia!$E70:INDEX(Aveia!$E70:$Z70,MIN(AP$6-$G$3,22))&lt;&gt;""),Aveia!$E70:INDEX(Aveia!$E70:$Z70,MIN(AP$6-$G$3,22))),0)))))</f>
        <v>0</v>
      </c>
      <c r="AQ72" s="27" t="n">
        <f aca="false">IF(COUNT(Aveia!$E70:$Z70)=0,0,MAX(0,IF((AQ$6-$E$3)&lt;1,0,IFERROR(LOOKUP(2,1/(Aveia!$E70:INDEX(Aveia!$E70:$Z70,MIN(AQ$6-$E$3,22))&lt;&gt;""),Aveia!$E70:INDEX(Aveia!$E70:$Z70,MIN(AQ$6-$E$3,22))),0))-IF($G$2,0,IF((AQ$6-$G$3)&lt;1,0,IFERROR(LOOKUP(2,1/(Aveia!$E70:INDEX(Aveia!$E70:$Z70,MIN(AQ$6-$G$3,22))&lt;&gt;""),Aveia!$E70:INDEX(Aveia!$E70:$Z70,MIN(AQ$6-$G$3,22))),0)))))</f>
        <v>0</v>
      </c>
      <c r="AR72" s="27" t="n">
        <f aca="false">IF(COUNT(Aveia!$E70:$Z70)=0,0,MAX(0,IF((AR$6-$E$3)&lt;1,0,IFERROR(LOOKUP(2,1/(Aveia!$E70:INDEX(Aveia!$E70:$Z70,MIN(AR$6-$E$3,22))&lt;&gt;""),Aveia!$E70:INDEX(Aveia!$E70:$Z70,MIN(AR$6-$E$3,22))),0))-IF($G$2,0,IF((AR$6-$G$3)&lt;1,0,IFERROR(LOOKUP(2,1/(Aveia!$E70:INDEX(Aveia!$E70:$Z70,MIN(AR$6-$G$3,22))&lt;&gt;""),Aveia!$E70:INDEX(Aveia!$E70:$Z70,MIN(AR$6-$G$3,22))),0)))))</f>
        <v>0</v>
      </c>
      <c r="AS72" s="27" t="n">
        <f aca="false">IF(COUNT(Aveia!$E70:$Z70)=0,0,MAX(0,IF((AS$6-$E$3)&lt;1,0,IFERROR(LOOKUP(2,1/(Aveia!$E70:INDEX(Aveia!$E70:$Z70,MIN(AS$6-$E$3,22))&lt;&gt;""),Aveia!$E70:INDEX(Aveia!$E70:$Z70,MIN(AS$6-$E$3,22))),0))-IF($G$2,0,IF((AS$6-$G$3)&lt;1,0,IFERROR(LOOKUP(2,1/(Aveia!$E70:INDEX(Aveia!$E70:$Z70,MIN(AS$6-$G$3,22))&lt;&gt;""),Aveia!$E70:INDEX(Aveia!$E70:$Z70,MIN(AS$6-$G$3,22))),0)))))</f>
        <v>0</v>
      </c>
      <c r="AT72" s="27" t="n">
        <f aca="false">IF(COUNT(Aveia!$E70:$Z70)=0,0,MAX(0,IF((AT$6-$E$3)&lt;1,0,IFERROR(LOOKUP(2,1/(Aveia!$E70:INDEX(Aveia!$E70:$Z70,MIN(AT$6-$E$3,22))&lt;&gt;""),Aveia!$E70:INDEX(Aveia!$E70:$Z70,MIN(AT$6-$E$3,22))),0))-IF($G$2,0,IF((AT$6-$G$3)&lt;1,0,IFERROR(LOOKUP(2,1/(Aveia!$E70:INDEX(Aveia!$E70:$Z70,MIN(AT$6-$G$3,22))&lt;&gt;""),Aveia!$E70:INDEX(Aveia!$E70:$Z70,MIN(AT$6-$G$3,22))),0)))))</f>
        <v>0</v>
      </c>
      <c r="AU72" s="27" t="n">
        <f aca="false">IF(COUNT(Aveia!$E70:$Z70)=0,0,MAX(0,IF((AU$6-$E$3)&lt;1,0,IFERROR(LOOKUP(2,1/(Aveia!$E70:INDEX(Aveia!$E70:$Z70,MIN(AU$6-$E$3,22))&lt;&gt;""),Aveia!$E70:INDEX(Aveia!$E70:$Z70,MIN(AU$6-$E$3,22))),0))-IF($G$2,0,IF((AU$6-$G$3)&lt;1,0,IFERROR(LOOKUP(2,1/(Aveia!$E70:INDEX(Aveia!$E70:$Z70,MIN(AU$6-$G$3,22))&lt;&gt;""),Aveia!$E70:INDEX(Aveia!$E70:$Z70,MIN(AU$6-$G$3,22))),0)))))</f>
        <v>0</v>
      </c>
      <c r="AV72" s="27" t="n">
        <f aca="false">IF(COUNT(Aveia!$E70:$Z70)=0,0,MAX(0,IF((AV$6-$E$3)&lt;1,0,IFERROR(LOOKUP(2,1/(Aveia!$E70:INDEX(Aveia!$E70:$Z70,MIN(AV$6-$E$3,22))&lt;&gt;""),Aveia!$E70:INDEX(Aveia!$E70:$Z70,MIN(AV$6-$E$3,22))),0))-IF($G$2,0,IF((AV$6-$G$3)&lt;1,0,IFERROR(LOOKUP(2,1/(Aveia!$E70:INDEX(Aveia!$E70:$Z70,MIN(AV$6-$G$3,22))&lt;&gt;""),Aveia!$E70:INDEX(Aveia!$E70:$Z70,MIN(AV$6-$G$3,22))),0)))))</f>
        <v>0</v>
      </c>
      <c r="AW72" s="27" t="n">
        <f aca="false">IF(COUNT(Aveia!$E70:$Z70)=0,0,MAX(0,IF((AW$6-$E$3)&lt;1,0,IFERROR(LOOKUP(2,1/(Aveia!$E70:INDEX(Aveia!$E70:$Z70,MIN(AW$6-$E$3,22))&lt;&gt;""),Aveia!$E70:INDEX(Aveia!$E70:$Z70,MIN(AW$6-$E$3,22))),0))-IF($G$2,0,IF((AW$6-$G$3)&lt;1,0,IFERROR(LOOKUP(2,1/(Aveia!$E70:INDEX(Aveia!$E70:$Z70,MIN(AW$6-$G$3,22))&lt;&gt;""),Aveia!$E70:INDEX(Aveia!$E70:$Z70,MIN(AW$6-$G$3,22))),0)))))</f>
        <v>0</v>
      </c>
      <c r="AX72" s="27" t="n">
        <f aca="false">IF(COUNT(Aveia!$E70:$Z70)=0,0,MAX(0,IF((AX$6-$E$3)&lt;1,0,IFERROR(LOOKUP(2,1/(Aveia!$E70:INDEX(Aveia!$E70:$Z70,MIN(AX$6-$E$3,22))&lt;&gt;""),Aveia!$E70:INDEX(Aveia!$E70:$Z70,MIN(AX$6-$E$3,22))),0))-IF($G$2,0,IF((AX$6-$G$3)&lt;1,0,IFERROR(LOOKUP(2,1/(Aveia!$E70:INDEX(Aveia!$E70:$Z70,MIN(AX$6-$G$3,22))&lt;&gt;""),Aveia!$E70:INDEX(Aveia!$E70:$Z70,MIN(AX$6-$G$3,22))),0)))))</f>
        <v>0</v>
      </c>
      <c r="AY72" s="27" t="n">
        <f aca="false">IF(COUNT(Aveia!$E70:$Z70)=0,0,MAX(0,IF((AY$6-$E$3)&lt;1,0,IFERROR(LOOKUP(2,1/(Aveia!$E70:INDEX(Aveia!$E70:$Z70,MIN(AY$6-$E$3,22))&lt;&gt;""),Aveia!$E70:INDEX(Aveia!$E70:$Z70,MIN(AY$6-$E$3,22))),0))-IF($G$2,0,IF((AY$6-$G$3)&lt;1,0,IFERROR(LOOKUP(2,1/(Aveia!$E70:INDEX(Aveia!$E70:$Z70,MIN(AY$6-$G$3,22))&lt;&gt;""),Aveia!$E70:INDEX(Aveia!$E70:$Z70,MIN(AY$6-$G$3,22))),0)))))</f>
        <v>0</v>
      </c>
      <c r="AZ72" s="27" t="n">
        <f aca="false">IF(COUNT(Aveia!$E70:$Z70)=0,0,MAX(0,IF((AZ$6-$E$3)&lt;1,0,IFERROR(LOOKUP(2,1/(Aveia!$E70:INDEX(Aveia!$E70:$Z70,MIN(AZ$6-$E$3,22))&lt;&gt;""),Aveia!$E70:INDEX(Aveia!$E70:$Z70,MIN(AZ$6-$E$3,22))),0))-IF($G$2,0,IF((AZ$6-$G$3)&lt;1,0,IFERROR(LOOKUP(2,1/(Aveia!$E70:INDEX(Aveia!$E70:$Z70,MIN(AZ$6-$G$3,22))&lt;&gt;""),Aveia!$E70:INDEX(Aveia!$E70:$Z70,MIN(AZ$6-$G$3,22))),0)))))</f>
        <v>0</v>
      </c>
    </row>
    <row r="73" customFormat="false" ht="15" hidden="false" customHeight="false" outlineLevel="0" collapsed="false">
      <c r="A73" s="3" t="s">
        <v>264</v>
      </c>
      <c r="B73" s="3" t="s">
        <v>265</v>
      </c>
      <c r="C73" s="10" t="s">
        <v>132</v>
      </c>
      <c r="D73" s="26" t="n">
        <f aca="false">IF(COUNT(Aveia!$E71:$Z71)&gt;0,N(Aveia!$D71),0)</f>
        <v>0</v>
      </c>
      <c r="E73" s="27" t="n">
        <f aca="false">IF(COUNT(Aveia!$E71:$Z71)=0,0,MAX(0,IF((E$6-$E$3)&lt;1,0,IFERROR(LOOKUP(2,1/(Aveia!$E71:INDEX(Aveia!$E71:$Z71,MIN(E$6-$E$3,22))&lt;&gt;""),Aveia!$E71:INDEX(Aveia!$E71:$Z71,MIN(E$6-$E$3,22))),0))-IF($G$2,0,IF((E$6-$G$3)&lt;1,0,IFERROR(LOOKUP(2,1/(Aveia!$E71:INDEX(Aveia!$E71:$Z71,MIN(E$6-$G$3,22))&lt;&gt;""),Aveia!$E71:INDEX(Aveia!$E71:$Z71,MIN(E$6-$G$3,22))),0)))))</f>
        <v>0</v>
      </c>
      <c r="F73" s="27" t="n">
        <f aca="false">IF(COUNT(Aveia!$E71:$Z71)=0,0,MAX(0,IF((F$6-$E$3)&lt;1,0,IFERROR(LOOKUP(2,1/(Aveia!$E71:INDEX(Aveia!$E71:$Z71,MIN(F$6-$E$3,22))&lt;&gt;""),Aveia!$E71:INDEX(Aveia!$E71:$Z71,MIN(F$6-$E$3,22))),0))-IF($G$2,0,IF((F$6-$G$3)&lt;1,0,IFERROR(LOOKUP(2,1/(Aveia!$E71:INDEX(Aveia!$E71:$Z71,MIN(F$6-$G$3,22))&lt;&gt;""),Aveia!$E71:INDEX(Aveia!$E71:$Z71,MIN(F$6-$G$3,22))),0)))))</f>
        <v>0</v>
      </c>
      <c r="G73" s="27" t="n">
        <f aca="false">IF(COUNT(Aveia!$E71:$Z71)=0,0,MAX(0,IF((G$6-$E$3)&lt;1,0,IFERROR(LOOKUP(2,1/(Aveia!$E71:INDEX(Aveia!$E71:$Z71,MIN(G$6-$E$3,22))&lt;&gt;""),Aveia!$E71:INDEX(Aveia!$E71:$Z71,MIN(G$6-$E$3,22))),0))-IF($G$2,0,IF((G$6-$G$3)&lt;1,0,IFERROR(LOOKUP(2,1/(Aveia!$E71:INDEX(Aveia!$E71:$Z71,MIN(G$6-$G$3,22))&lt;&gt;""),Aveia!$E71:INDEX(Aveia!$E71:$Z71,MIN(G$6-$G$3,22))),0)))))</f>
        <v>0</v>
      </c>
      <c r="H73" s="27" t="n">
        <f aca="false">IF(COUNT(Aveia!$E71:$Z71)=0,0,MAX(0,IF((H$6-$E$3)&lt;1,0,IFERROR(LOOKUP(2,1/(Aveia!$E71:INDEX(Aveia!$E71:$Z71,MIN(H$6-$E$3,22))&lt;&gt;""),Aveia!$E71:INDEX(Aveia!$E71:$Z71,MIN(H$6-$E$3,22))),0))-IF($G$2,0,IF((H$6-$G$3)&lt;1,0,IFERROR(LOOKUP(2,1/(Aveia!$E71:INDEX(Aveia!$E71:$Z71,MIN(H$6-$G$3,22))&lt;&gt;""),Aveia!$E71:INDEX(Aveia!$E71:$Z71,MIN(H$6-$G$3,22))),0)))))</f>
        <v>0</v>
      </c>
      <c r="I73" s="27" t="n">
        <f aca="false">IF(COUNT(Aveia!$E71:$Z71)=0,0,MAX(0,IF((I$6-$E$3)&lt;1,0,IFERROR(LOOKUP(2,1/(Aveia!$E71:INDEX(Aveia!$E71:$Z71,MIN(I$6-$E$3,22))&lt;&gt;""),Aveia!$E71:INDEX(Aveia!$E71:$Z71,MIN(I$6-$E$3,22))),0))-IF($G$2,0,IF((I$6-$G$3)&lt;1,0,IFERROR(LOOKUP(2,1/(Aveia!$E71:INDEX(Aveia!$E71:$Z71,MIN(I$6-$G$3,22))&lt;&gt;""),Aveia!$E71:INDEX(Aveia!$E71:$Z71,MIN(I$6-$G$3,22))),0)))))</f>
        <v>0</v>
      </c>
      <c r="J73" s="27" t="n">
        <f aca="false">IF(COUNT(Aveia!$E71:$Z71)=0,0,MAX(0,IF((J$6-$E$3)&lt;1,0,IFERROR(LOOKUP(2,1/(Aveia!$E71:INDEX(Aveia!$E71:$Z71,MIN(J$6-$E$3,22))&lt;&gt;""),Aveia!$E71:INDEX(Aveia!$E71:$Z71,MIN(J$6-$E$3,22))),0))-IF($G$2,0,IF((J$6-$G$3)&lt;1,0,IFERROR(LOOKUP(2,1/(Aveia!$E71:INDEX(Aveia!$E71:$Z71,MIN(J$6-$G$3,22))&lt;&gt;""),Aveia!$E71:INDEX(Aveia!$E71:$Z71,MIN(J$6-$G$3,22))),0)))))</f>
        <v>0</v>
      </c>
      <c r="K73" s="27" t="n">
        <f aca="false">IF(COUNT(Aveia!$E71:$Z71)=0,0,MAX(0,IF((K$6-$E$3)&lt;1,0,IFERROR(LOOKUP(2,1/(Aveia!$E71:INDEX(Aveia!$E71:$Z71,MIN(K$6-$E$3,22))&lt;&gt;""),Aveia!$E71:INDEX(Aveia!$E71:$Z71,MIN(K$6-$E$3,22))),0))-IF($G$2,0,IF((K$6-$G$3)&lt;1,0,IFERROR(LOOKUP(2,1/(Aveia!$E71:INDEX(Aveia!$E71:$Z71,MIN(K$6-$G$3,22))&lt;&gt;""),Aveia!$E71:INDEX(Aveia!$E71:$Z71,MIN(K$6-$G$3,22))),0)))))</f>
        <v>0</v>
      </c>
      <c r="L73" s="27" t="n">
        <f aca="false">IF(COUNT(Aveia!$E71:$Z71)=0,0,MAX(0,IF((L$6-$E$3)&lt;1,0,IFERROR(LOOKUP(2,1/(Aveia!$E71:INDEX(Aveia!$E71:$Z71,MIN(L$6-$E$3,22))&lt;&gt;""),Aveia!$E71:INDEX(Aveia!$E71:$Z71,MIN(L$6-$E$3,22))),0))-IF($G$2,0,IF((L$6-$G$3)&lt;1,0,IFERROR(LOOKUP(2,1/(Aveia!$E71:INDEX(Aveia!$E71:$Z71,MIN(L$6-$G$3,22))&lt;&gt;""),Aveia!$E71:INDEX(Aveia!$E71:$Z71,MIN(L$6-$G$3,22))),0)))))</f>
        <v>0</v>
      </c>
      <c r="M73" s="27" t="n">
        <f aca="false">IF(COUNT(Aveia!$E71:$Z71)=0,0,MAX(0,IF((M$6-$E$3)&lt;1,0,IFERROR(LOOKUP(2,1/(Aveia!$E71:INDEX(Aveia!$E71:$Z71,MIN(M$6-$E$3,22))&lt;&gt;""),Aveia!$E71:INDEX(Aveia!$E71:$Z71,MIN(M$6-$E$3,22))),0))-IF($G$2,0,IF((M$6-$G$3)&lt;1,0,IFERROR(LOOKUP(2,1/(Aveia!$E71:INDEX(Aveia!$E71:$Z71,MIN(M$6-$G$3,22))&lt;&gt;""),Aveia!$E71:INDEX(Aveia!$E71:$Z71,MIN(M$6-$G$3,22))),0)))))</f>
        <v>0</v>
      </c>
      <c r="N73" s="27" t="n">
        <f aca="false">IF(COUNT(Aveia!$E71:$Z71)=0,0,MAX(0,IF((N$6-$E$3)&lt;1,0,IFERROR(LOOKUP(2,1/(Aveia!$E71:INDEX(Aveia!$E71:$Z71,MIN(N$6-$E$3,22))&lt;&gt;""),Aveia!$E71:INDEX(Aveia!$E71:$Z71,MIN(N$6-$E$3,22))),0))-IF($G$2,0,IF((N$6-$G$3)&lt;1,0,IFERROR(LOOKUP(2,1/(Aveia!$E71:INDEX(Aveia!$E71:$Z71,MIN(N$6-$G$3,22))&lt;&gt;""),Aveia!$E71:INDEX(Aveia!$E71:$Z71,MIN(N$6-$G$3,22))),0)))))</f>
        <v>0</v>
      </c>
      <c r="O73" s="27" t="n">
        <f aca="false">IF(COUNT(Aveia!$E71:$Z71)=0,0,MAX(0,IF((O$6-$E$3)&lt;1,0,IFERROR(LOOKUP(2,1/(Aveia!$E71:INDEX(Aveia!$E71:$Z71,MIN(O$6-$E$3,22))&lt;&gt;""),Aveia!$E71:INDEX(Aveia!$E71:$Z71,MIN(O$6-$E$3,22))),0))-IF($G$2,0,IF((O$6-$G$3)&lt;1,0,IFERROR(LOOKUP(2,1/(Aveia!$E71:INDEX(Aveia!$E71:$Z71,MIN(O$6-$G$3,22))&lt;&gt;""),Aveia!$E71:INDEX(Aveia!$E71:$Z71,MIN(O$6-$G$3,22))),0)))))</f>
        <v>0</v>
      </c>
      <c r="P73" s="27" t="n">
        <f aca="false">IF(COUNT(Aveia!$E71:$Z71)=0,0,MAX(0,IF((P$6-$E$3)&lt;1,0,IFERROR(LOOKUP(2,1/(Aveia!$E71:INDEX(Aveia!$E71:$Z71,MIN(P$6-$E$3,22))&lt;&gt;""),Aveia!$E71:INDEX(Aveia!$E71:$Z71,MIN(P$6-$E$3,22))),0))-IF($G$2,0,IF((P$6-$G$3)&lt;1,0,IFERROR(LOOKUP(2,1/(Aveia!$E71:INDEX(Aveia!$E71:$Z71,MIN(P$6-$G$3,22))&lt;&gt;""),Aveia!$E71:INDEX(Aveia!$E71:$Z71,MIN(P$6-$G$3,22))),0)))))</f>
        <v>0</v>
      </c>
      <c r="Q73" s="27" t="n">
        <f aca="false">IF(COUNT(Aveia!$E71:$Z71)=0,0,MAX(0,IF((Q$6-$E$3)&lt;1,0,IFERROR(LOOKUP(2,1/(Aveia!$E71:INDEX(Aveia!$E71:$Z71,MIN(Q$6-$E$3,22))&lt;&gt;""),Aveia!$E71:INDEX(Aveia!$E71:$Z71,MIN(Q$6-$E$3,22))),0))-IF($G$2,0,IF((Q$6-$G$3)&lt;1,0,IFERROR(LOOKUP(2,1/(Aveia!$E71:INDEX(Aveia!$E71:$Z71,MIN(Q$6-$G$3,22))&lt;&gt;""),Aveia!$E71:INDEX(Aveia!$E71:$Z71,MIN(Q$6-$G$3,22))),0)))))</f>
        <v>0</v>
      </c>
      <c r="R73" s="27" t="n">
        <f aca="false">IF(COUNT(Aveia!$E71:$Z71)=0,0,MAX(0,IF((R$6-$E$3)&lt;1,0,IFERROR(LOOKUP(2,1/(Aveia!$E71:INDEX(Aveia!$E71:$Z71,MIN(R$6-$E$3,22))&lt;&gt;""),Aveia!$E71:INDEX(Aveia!$E71:$Z71,MIN(R$6-$E$3,22))),0))-IF($G$2,0,IF((R$6-$G$3)&lt;1,0,IFERROR(LOOKUP(2,1/(Aveia!$E71:INDEX(Aveia!$E71:$Z71,MIN(R$6-$G$3,22))&lt;&gt;""),Aveia!$E71:INDEX(Aveia!$E71:$Z71,MIN(R$6-$G$3,22))),0)))))</f>
        <v>0</v>
      </c>
      <c r="S73" s="27" t="n">
        <f aca="false">IF(COUNT(Aveia!$E71:$Z71)=0,0,MAX(0,IF((S$6-$E$3)&lt;1,0,IFERROR(LOOKUP(2,1/(Aveia!$E71:INDEX(Aveia!$E71:$Z71,MIN(S$6-$E$3,22))&lt;&gt;""),Aveia!$E71:INDEX(Aveia!$E71:$Z71,MIN(S$6-$E$3,22))),0))-IF($G$2,0,IF((S$6-$G$3)&lt;1,0,IFERROR(LOOKUP(2,1/(Aveia!$E71:INDEX(Aveia!$E71:$Z71,MIN(S$6-$G$3,22))&lt;&gt;""),Aveia!$E71:INDEX(Aveia!$E71:$Z71,MIN(S$6-$G$3,22))),0)))))</f>
        <v>0</v>
      </c>
      <c r="T73" s="27" t="n">
        <f aca="false">IF(COUNT(Aveia!$E71:$Z71)=0,0,MAX(0,IF((T$6-$E$3)&lt;1,0,IFERROR(LOOKUP(2,1/(Aveia!$E71:INDEX(Aveia!$E71:$Z71,MIN(T$6-$E$3,22))&lt;&gt;""),Aveia!$E71:INDEX(Aveia!$E71:$Z71,MIN(T$6-$E$3,22))),0))-IF($G$2,0,IF((T$6-$G$3)&lt;1,0,IFERROR(LOOKUP(2,1/(Aveia!$E71:INDEX(Aveia!$E71:$Z71,MIN(T$6-$G$3,22))&lt;&gt;""),Aveia!$E71:INDEX(Aveia!$E71:$Z71,MIN(T$6-$G$3,22))),0)))))</f>
        <v>0</v>
      </c>
      <c r="U73" s="27" t="n">
        <f aca="false">IF(COUNT(Aveia!$E71:$Z71)=0,0,MAX(0,IF((U$6-$E$3)&lt;1,0,IFERROR(LOOKUP(2,1/(Aveia!$E71:INDEX(Aveia!$E71:$Z71,MIN(U$6-$E$3,22))&lt;&gt;""),Aveia!$E71:INDEX(Aveia!$E71:$Z71,MIN(U$6-$E$3,22))),0))-IF($G$2,0,IF((U$6-$G$3)&lt;1,0,IFERROR(LOOKUP(2,1/(Aveia!$E71:INDEX(Aveia!$E71:$Z71,MIN(U$6-$G$3,22))&lt;&gt;""),Aveia!$E71:INDEX(Aveia!$E71:$Z71,MIN(U$6-$G$3,22))),0)))))</f>
        <v>0</v>
      </c>
      <c r="V73" s="27" t="n">
        <f aca="false">IF(COUNT(Aveia!$E71:$Z71)=0,0,MAX(0,IF((V$6-$E$3)&lt;1,0,IFERROR(LOOKUP(2,1/(Aveia!$E71:INDEX(Aveia!$E71:$Z71,MIN(V$6-$E$3,22))&lt;&gt;""),Aveia!$E71:INDEX(Aveia!$E71:$Z71,MIN(V$6-$E$3,22))),0))-IF($G$2,0,IF((V$6-$G$3)&lt;1,0,IFERROR(LOOKUP(2,1/(Aveia!$E71:INDEX(Aveia!$E71:$Z71,MIN(V$6-$G$3,22))&lt;&gt;""),Aveia!$E71:INDEX(Aveia!$E71:$Z71,MIN(V$6-$G$3,22))),0)))))</f>
        <v>0</v>
      </c>
      <c r="W73" s="27" t="n">
        <f aca="false">IF(COUNT(Aveia!$E71:$Z71)=0,0,MAX(0,IF((W$6-$E$3)&lt;1,0,IFERROR(LOOKUP(2,1/(Aveia!$E71:INDEX(Aveia!$E71:$Z71,MIN(W$6-$E$3,22))&lt;&gt;""),Aveia!$E71:INDEX(Aveia!$E71:$Z71,MIN(W$6-$E$3,22))),0))-IF($G$2,0,IF((W$6-$G$3)&lt;1,0,IFERROR(LOOKUP(2,1/(Aveia!$E71:INDEX(Aveia!$E71:$Z71,MIN(W$6-$G$3,22))&lt;&gt;""),Aveia!$E71:INDEX(Aveia!$E71:$Z71,MIN(W$6-$G$3,22))),0)))))</f>
        <v>0</v>
      </c>
      <c r="X73" s="27" t="n">
        <f aca="false">IF(COUNT(Aveia!$E71:$Z71)=0,0,MAX(0,IF((X$6-$E$3)&lt;1,0,IFERROR(LOOKUP(2,1/(Aveia!$E71:INDEX(Aveia!$E71:$Z71,MIN(X$6-$E$3,22))&lt;&gt;""),Aveia!$E71:INDEX(Aveia!$E71:$Z71,MIN(X$6-$E$3,22))),0))-IF($G$2,0,IF((X$6-$G$3)&lt;1,0,IFERROR(LOOKUP(2,1/(Aveia!$E71:INDEX(Aveia!$E71:$Z71,MIN(X$6-$G$3,22))&lt;&gt;""),Aveia!$E71:INDEX(Aveia!$E71:$Z71,MIN(X$6-$G$3,22))),0)))))</f>
        <v>0</v>
      </c>
      <c r="Y73" s="27" t="n">
        <f aca="false">IF(COUNT(Aveia!$E71:$Z71)=0,0,MAX(0,IF((Y$6-$E$3)&lt;1,0,IFERROR(LOOKUP(2,1/(Aveia!$E71:INDEX(Aveia!$E71:$Z71,MIN(Y$6-$E$3,22))&lt;&gt;""),Aveia!$E71:INDEX(Aveia!$E71:$Z71,MIN(Y$6-$E$3,22))),0))-IF($G$2,0,IF((Y$6-$G$3)&lt;1,0,IFERROR(LOOKUP(2,1/(Aveia!$E71:INDEX(Aveia!$E71:$Z71,MIN(Y$6-$G$3,22))&lt;&gt;""),Aveia!$E71:INDEX(Aveia!$E71:$Z71,MIN(Y$6-$G$3,22))),0)))))</f>
        <v>0</v>
      </c>
      <c r="Z73" s="27" t="n">
        <f aca="false">IF(COUNT(Aveia!$E71:$Z71)=0,0,MAX(0,IF((Z$6-$E$3)&lt;1,0,IFERROR(LOOKUP(2,1/(Aveia!$E71:INDEX(Aveia!$E71:$Z71,MIN(Z$6-$E$3,22))&lt;&gt;""),Aveia!$E71:INDEX(Aveia!$E71:$Z71,MIN(Z$6-$E$3,22))),0))-IF($G$2,0,IF((Z$6-$G$3)&lt;1,0,IFERROR(LOOKUP(2,1/(Aveia!$E71:INDEX(Aveia!$E71:$Z71,MIN(Z$6-$G$3,22))&lt;&gt;""),Aveia!$E71:INDEX(Aveia!$E71:$Z71,MIN(Z$6-$G$3,22))),0)))))</f>
        <v>0</v>
      </c>
      <c r="AA73" s="27" t="n">
        <f aca="false">IF(COUNT(Aveia!$E71:$Z71)=0,0,MAX(0,IF((AA$6-$E$3)&lt;1,0,IFERROR(LOOKUP(2,1/(Aveia!$E71:INDEX(Aveia!$E71:$Z71,MIN(AA$6-$E$3,22))&lt;&gt;""),Aveia!$E71:INDEX(Aveia!$E71:$Z71,MIN(AA$6-$E$3,22))),0))-IF($G$2,0,IF((AA$6-$G$3)&lt;1,0,IFERROR(LOOKUP(2,1/(Aveia!$E71:INDEX(Aveia!$E71:$Z71,MIN(AA$6-$G$3,22))&lt;&gt;""),Aveia!$E71:INDEX(Aveia!$E71:$Z71,MIN(AA$6-$G$3,22))),0)))))</f>
        <v>0</v>
      </c>
      <c r="AB73" s="27" t="n">
        <f aca="false">IF(COUNT(Aveia!$E71:$Z71)=0,0,MAX(0,IF((AB$6-$E$3)&lt;1,0,IFERROR(LOOKUP(2,1/(Aveia!$E71:INDEX(Aveia!$E71:$Z71,MIN(AB$6-$E$3,22))&lt;&gt;""),Aveia!$E71:INDEX(Aveia!$E71:$Z71,MIN(AB$6-$E$3,22))),0))-IF($G$2,0,IF((AB$6-$G$3)&lt;1,0,IFERROR(LOOKUP(2,1/(Aveia!$E71:INDEX(Aveia!$E71:$Z71,MIN(AB$6-$G$3,22))&lt;&gt;""),Aveia!$E71:INDEX(Aveia!$E71:$Z71,MIN(AB$6-$G$3,22))),0)))))</f>
        <v>0</v>
      </c>
      <c r="AC73" s="27" t="n">
        <f aca="false">IF(COUNT(Aveia!$E71:$Z71)=0,0,MAX(0,IF((AC$6-$E$3)&lt;1,0,IFERROR(LOOKUP(2,1/(Aveia!$E71:INDEX(Aveia!$E71:$Z71,MIN(AC$6-$E$3,22))&lt;&gt;""),Aveia!$E71:INDEX(Aveia!$E71:$Z71,MIN(AC$6-$E$3,22))),0))-IF($G$2,0,IF((AC$6-$G$3)&lt;1,0,IFERROR(LOOKUP(2,1/(Aveia!$E71:INDEX(Aveia!$E71:$Z71,MIN(AC$6-$G$3,22))&lt;&gt;""),Aveia!$E71:INDEX(Aveia!$E71:$Z71,MIN(AC$6-$G$3,22))),0)))))</f>
        <v>0</v>
      </c>
      <c r="AD73" s="27" t="n">
        <f aca="false">IF(COUNT(Aveia!$E71:$Z71)=0,0,MAX(0,IF((AD$6-$E$3)&lt;1,0,IFERROR(LOOKUP(2,1/(Aveia!$E71:INDEX(Aveia!$E71:$Z71,MIN(AD$6-$E$3,22))&lt;&gt;""),Aveia!$E71:INDEX(Aveia!$E71:$Z71,MIN(AD$6-$E$3,22))),0))-IF($G$2,0,IF((AD$6-$G$3)&lt;1,0,IFERROR(LOOKUP(2,1/(Aveia!$E71:INDEX(Aveia!$E71:$Z71,MIN(AD$6-$G$3,22))&lt;&gt;""),Aveia!$E71:INDEX(Aveia!$E71:$Z71,MIN(AD$6-$G$3,22))),0)))))</f>
        <v>0</v>
      </c>
      <c r="AE73" s="27" t="n">
        <f aca="false">IF(COUNT(Aveia!$E71:$Z71)=0,0,MAX(0,IF((AE$6-$E$3)&lt;1,0,IFERROR(LOOKUP(2,1/(Aveia!$E71:INDEX(Aveia!$E71:$Z71,MIN(AE$6-$E$3,22))&lt;&gt;""),Aveia!$E71:INDEX(Aveia!$E71:$Z71,MIN(AE$6-$E$3,22))),0))-IF($G$2,0,IF((AE$6-$G$3)&lt;1,0,IFERROR(LOOKUP(2,1/(Aveia!$E71:INDEX(Aveia!$E71:$Z71,MIN(AE$6-$G$3,22))&lt;&gt;""),Aveia!$E71:INDEX(Aveia!$E71:$Z71,MIN(AE$6-$G$3,22))),0)))))</f>
        <v>0</v>
      </c>
      <c r="AF73" s="27" t="n">
        <f aca="false">IF(COUNT(Aveia!$E71:$Z71)=0,0,MAX(0,IF((AF$6-$E$3)&lt;1,0,IFERROR(LOOKUP(2,1/(Aveia!$E71:INDEX(Aveia!$E71:$Z71,MIN(AF$6-$E$3,22))&lt;&gt;""),Aveia!$E71:INDEX(Aveia!$E71:$Z71,MIN(AF$6-$E$3,22))),0))-IF($G$2,0,IF((AF$6-$G$3)&lt;1,0,IFERROR(LOOKUP(2,1/(Aveia!$E71:INDEX(Aveia!$E71:$Z71,MIN(AF$6-$G$3,22))&lt;&gt;""),Aveia!$E71:INDEX(Aveia!$E71:$Z71,MIN(AF$6-$G$3,22))),0)))))</f>
        <v>0</v>
      </c>
      <c r="AG73" s="27" t="n">
        <f aca="false">IF(COUNT(Aveia!$E71:$Z71)=0,0,MAX(0,IF((AG$6-$E$3)&lt;1,0,IFERROR(LOOKUP(2,1/(Aveia!$E71:INDEX(Aveia!$E71:$Z71,MIN(AG$6-$E$3,22))&lt;&gt;""),Aveia!$E71:INDEX(Aveia!$E71:$Z71,MIN(AG$6-$E$3,22))),0))-IF($G$2,0,IF((AG$6-$G$3)&lt;1,0,IFERROR(LOOKUP(2,1/(Aveia!$E71:INDEX(Aveia!$E71:$Z71,MIN(AG$6-$G$3,22))&lt;&gt;""),Aveia!$E71:INDEX(Aveia!$E71:$Z71,MIN(AG$6-$G$3,22))),0)))))</f>
        <v>0</v>
      </c>
      <c r="AH73" s="27" t="n">
        <f aca="false">IF(COUNT(Aveia!$E71:$Z71)=0,0,MAX(0,IF((AH$6-$E$3)&lt;1,0,IFERROR(LOOKUP(2,1/(Aveia!$E71:INDEX(Aveia!$E71:$Z71,MIN(AH$6-$E$3,22))&lt;&gt;""),Aveia!$E71:INDEX(Aveia!$E71:$Z71,MIN(AH$6-$E$3,22))),0))-IF($G$2,0,IF((AH$6-$G$3)&lt;1,0,IFERROR(LOOKUP(2,1/(Aveia!$E71:INDEX(Aveia!$E71:$Z71,MIN(AH$6-$G$3,22))&lt;&gt;""),Aveia!$E71:INDEX(Aveia!$E71:$Z71,MIN(AH$6-$G$3,22))),0)))))</f>
        <v>0</v>
      </c>
      <c r="AI73" s="27" t="n">
        <f aca="false">IF(COUNT(Aveia!$E71:$Z71)=0,0,MAX(0,IF((AI$6-$E$3)&lt;1,0,IFERROR(LOOKUP(2,1/(Aveia!$E71:INDEX(Aveia!$E71:$Z71,MIN(AI$6-$E$3,22))&lt;&gt;""),Aveia!$E71:INDEX(Aveia!$E71:$Z71,MIN(AI$6-$E$3,22))),0))-IF($G$2,0,IF((AI$6-$G$3)&lt;1,0,IFERROR(LOOKUP(2,1/(Aveia!$E71:INDEX(Aveia!$E71:$Z71,MIN(AI$6-$G$3,22))&lt;&gt;""),Aveia!$E71:INDEX(Aveia!$E71:$Z71,MIN(AI$6-$G$3,22))),0)))))</f>
        <v>0</v>
      </c>
      <c r="AJ73" s="27" t="n">
        <f aca="false">IF(COUNT(Aveia!$E71:$Z71)=0,0,MAX(0,IF((AJ$6-$E$3)&lt;1,0,IFERROR(LOOKUP(2,1/(Aveia!$E71:INDEX(Aveia!$E71:$Z71,MIN(AJ$6-$E$3,22))&lt;&gt;""),Aveia!$E71:INDEX(Aveia!$E71:$Z71,MIN(AJ$6-$E$3,22))),0))-IF($G$2,0,IF((AJ$6-$G$3)&lt;1,0,IFERROR(LOOKUP(2,1/(Aveia!$E71:INDEX(Aveia!$E71:$Z71,MIN(AJ$6-$G$3,22))&lt;&gt;""),Aveia!$E71:INDEX(Aveia!$E71:$Z71,MIN(AJ$6-$G$3,22))),0)))))</f>
        <v>0</v>
      </c>
      <c r="AK73" s="27" t="n">
        <f aca="false">IF(COUNT(Aveia!$E71:$Z71)=0,0,MAX(0,IF((AK$6-$E$3)&lt;1,0,IFERROR(LOOKUP(2,1/(Aveia!$E71:INDEX(Aveia!$E71:$Z71,MIN(AK$6-$E$3,22))&lt;&gt;""),Aveia!$E71:INDEX(Aveia!$E71:$Z71,MIN(AK$6-$E$3,22))),0))-IF($G$2,0,IF((AK$6-$G$3)&lt;1,0,IFERROR(LOOKUP(2,1/(Aveia!$E71:INDEX(Aveia!$E71:$Z71,MIN(AK$6-$G$3,22))&lt;&gt;""),Aveia!$E71:INDEX(Aveia!$E71:$Z71,MIN(AK$6-$G$3,22))),0)))))</f>
        <v>0</v>
      </c>
      <c r="AL73" s="27" t="n">
        <f aca="false">IF(COUNT(Aveia!$E71:$Z71)=0,0,MAX(0,IF((AL$6-$E$3)&lt;1,0,IFERROR(LOOKUP(2,1/(Aveia!$E71:INDEX(Aveia!$E71:$Z71,MIN(AL$6-$E$3,22))&lt;&gt;""),Aveia!$E71:INDEX(Aveia!$E71:$Z71,MIN(AL$6-$E$3,22))),0))-IF($G$2,0,IF((AL$6-$G$3)&lt;1,0,IFERROR(LOOKUP(2,1/(Aveia!$E71:INDEX(Aveia!$E71:$Z71,MIN(AL$6-$G$3,22))&lt;&gt;""),Aveia!$E71:INDEX(Aveia!$E71:$Z71,MIN(AL$6-$G$3,22))),0)))))</f>
        <v>0</v>
      </c>
      <c r="AM73" s="27" t="n">
        <f aca="false">IF(COUNT(Aveia!$E71:$Z71)=0,0,MAX(0,IF((AM$6-$E$3)&lt;1,0,IFERROR(LOOKUP(2,1/(Aveia!$E71:INDEX(Aveia!$E71:$Z71,MIN(AM$6-$E$3,22))&lt;&gt;""),Aveia!$E71:INDEX(Aveia!$E71:$Z71,MIN(AM$6-$E$3,22))),0))-IF($G$2,0,IF((AM$6-$G$3)&lt;1,0,IFERROR(LOOKUP(2,1/(Aveia!$E71:INDEX(Aveia!$E71:$Z71,MIN(AM$6-$G$3,22))&lt;&gt;""),Aveia!$E71:INDEX(Aveia!$E71:$Z71,MIN(AM$6-$G$3,22))),0)))))</f>
        <v>0</v>
      </c>
      <c r="AN73" s="27" t="n">
        <f aca="false">IF(COUNT(Aveia!$E71:$Z71)=0,0,MAX(0,IF((AN$6-$E$3)&lt;1,0,IFERROR(LOOKUP(2,1/(Aveia!$E71:INDEX(Aveia!$E71:$Z71,MIN(AN$6-$E$3,22))&lt;&gt;""),Aveia!$E71:INDEX(Aveia!$E71:$Z71,MIN(AN$6-$E$3,22))),0))-IF($G$2,0,IF((AN$6-$G$3)&lt;1,0,IFERROR(LOOKUP(2,1/(Aveia!$E71:INDEX(Aveia!$E71:$Z71,MIN(AN$6-$G$3,22))&lt;&gt;""),Aveia!$E71:INDEX(Aveia!$E71:$Z71,MIN(AN$6-$G$3,22))),0)))))</f>
        <v>0</v>
      </c>
      <c r="AO73" s="27" t="n">
        <f aca="false">IF(COUNT(Aveia!$E71:$Z71)=0,0,MAX(0,IF((AO$6-$E$3)&lt;1,0,IFERROR(LOOKUP(2,1/(Aveia!$E71:INDEX(Aveia!$E71:$Z71,MIN(AO$6-$E$3,22))&lt;&gt;""),Aveia!$E71:INDEX(Aveia!$E71:$Z71,MIN(AO$6-$E$3,22))),0))-IF($G$2,0,IF((AO$6-$G$3)&lt;1,0,IFERROR(LOOKUP(2,1/(Aveia!$E71:INDEX(Aveia!$E71:$Z71,MIN(AO$6-$G$3,22))&lt;&gt;""),Aveia!$E71:INDEX(Aveia!$E71:$Z71,MIN(AO$6-$G$3,22))),0)))))</f>
        <v>0</v>
      </c>
      <c r="AP73" s="27" t="n">
        <f aca="false">IF(COUNT(Aveia!$E71:$Z71)=0,0,MAX(0,IF((AP$6-$E$3)&lt;1,0,IFERROR(LOOKUP(2,1/(Aveia!$E71:INDEX(Aveia!$E71:$Z71,MIN(AP$6-$E$3,22))&lt;&gt;""),Aveia!$E71:INDEX(Aveia!$E71:$Z71,MIN(AP$6-$E$3,22))),0))-IF($G$2,0,IF((AP$6-$G$3)&lt;1,0,IFERROR(LOOKUP(2,1/(Aveia!$E71:INDEX(Aveia!$E71:$Z71,MIN(AP$6-$G$3,22))&lt;&gt;""),Aveia!$E71:INDEX(Aveia!$E71:$Z71,MIN(AP$6-$G$3,22))),0)))))</f>
        <v>0</v>
      </c>
      <c r="AQ73" s="27" t="n">
        <f aca="false">IF(COUNT(Aveia!$E71:$Z71)=0,0,MAX(0,IF((AQ$6-$E$3)&lt;1,0,IFERROR(LOOKUP(2,1/(Aveia!$E71:INDEX(Aveia!$E71:$Z71,MIN(AQ$6-$E$3,22))&lt;&gt;""),Aveia!$E71:INDEX(Aveia!$E71:$Z71,MIN(AQ$6-$E$3,22))),0))-IF($G$2,0,IF((AQ$6-$G$3)&lt;1,0,IFERROR(LOOKUP(2,1/(Aveia!$E71:INDEX(Aveia!$E71:$Z71,MIN(AQ$6-$G$3,22))&lt;&gt;""),Aveia!$E71:INDEX(Aveia!$E71:$Z71,MIN(AQ$6-$G$3,22))),0)))))</f>
        <v>0</v>
      </c>
      <c r="AR73" s="27" t="n">
        <f aca="false">IF(COUNT(Aveia!$E71:$Z71)=0,0,MAX(0,IF((AR$6-$E$3)&lt;1,0,IFERROR(LOOKUP(2,1/(Aveia!$E71:INDEX(Aveia!$E71:$Z71,MIN(AR$6-$E$3,22))&lt;&gt;""),Aveia!$E71:INDEX(Aveia!$E71:$Z71,MIN(AR$6-$E$3,22))),0))-IF($G$2,0,IF((AR$6-$G$3)&lt;1,0,IFERROR(LOOKUP(2,1/(Aveia!$E71:INDEX(Aveia!$E71:$Z71,MIN(AR$6-$G$3,22))&lt;&gt;""),Aveia!$E71:INDEX(Aveia!$E71:$Z71,MIN(AR$6-$G$3,22))),0)))))</f>
        <v>0</v>
      </c>
      <c r="AS73" s="27" t="n">
        <f aca="false">IF(COUNT(Aveia!$E71:$Z71)=0,0,MAX(0,IF((AS$6-$E$3)&lt;1,0,IFERROR(LOOKUP(2,1/(Aveia!$E71:INDEX(Aveia!$E71:$Z71,MIN(AS$6-$E$3,22))&lt;&gt;""),Aveia!$E71:INDEX(Aveia!$E71:$Z71,MIN(AS$6-$E$3,22))),0))-IF($G$2,0,IF((AS$6-$G$3)&lt;1,0,IFERROR(LOOKUP(2,1/(Aveia!$E71:INDEX(Aveia!$E71:$Z71,MIN(AS$6-$G$3,22))&lt;&gt;""),Aveia!$E71:INDEX(Aveia!$E71:$Z71,MIN(AS$6-$G$3,22))),0)))))</f>
        <v>0</v>
      </c>
      <c r="AT73" s="27" t="n">
        <f aca="false">IF(COUNT(Aveia!$E71:$Z71)=0,0,MAX(0,IF((AT$6-$E$3)&lt;1,0,IFERROR(LOOKUP(2,1/(Aveia!$E71:INDEX(Aveia!$E71:$Z71,MIN(AT$6-$E$3,22))&lt;&gt;""),Aveia!$E71:INDEX(Aveia!$E71:$Z71,MIN(AT$6-$E$3,22))),0))-IF($G$2,0,IF((AT$6-$G$3)&lt;1,0,IFERROR(LOOKUP(2,1/(Aveia!$E71:INDEX(Aveia!$E71:$Z71,MIN(AT$6-$G$3,22))&lt;&gt;""),Aveia!$E71:INDEX(Aveia!$E71:$Z71,MIN(AT$6-$G$3,22))),0)))))</f>
        <v>0</v>
      </c>
      <c r="AU73" s="27" t="n">
        <f aca="false">IF(COUNT(Aveia!$E71:$Z71)=0,0,MAX(0,IF((AU$6-$E$3)&lt;1,0,IFERROR(LOOKUP(2,1/(Aveia!$E71:INDEX(Aveia!$E71:$Z71,MIN(AU$6-$E$3,22))&lt;&gt;""),Aveia!$E71:INDEX(Aveia!$E71:$Z71,MIN(AU$6-$E$3,22))),0))-IF($G$2,0,IF((AU$6-$G$3)&lt;1,0,IFERROR(LOOKUP(2,1/(Aveia!$E71:INDEX(Aveia!$E71:$Z71,MIN(AU$6-$G$3,22))&lt;&gt;""),Aveia!$E71:INDEX(Aveia!$E71:$Z71,MIN(AU$6-$G$3,22))),0)))))</f>
        <v>0</v>
      </c>
      <c r="AV73" s="27" t="n">
        <f aca="false">IF(COUNT(Aveia!$E71:$Z71)=0,0,MAX(0,IF((AV$6-$E$3)&lt;1,0,IFERROR(LOOKUP(2,1/(Aveia!$E71:INDEX(Aveia!$E71:$Z71,MIN(AV$6-$E$3,22))&lt;&gt;""),Aveia!$E71:INDEX(Aveia!$E71:$Z71,MIN(AV$6-$E$3,22))),0))-IF($G$2,0,IF((AV$6-$G$3)&lt;1,0,IFERROR(LOOKUP(2,1/(Aveia!$E71:INDEX(Aveia!$E71:$Z71,MIN(AV$6-$G$3,22))&lt;&gt;""),Aveia!$E71:INDEX(Aveia!$E71:$Z71,MIN(AV$6-$G$3,22))),0)))))</f>
        <v>0</v>
      </c>
      <c r="AW73" s="27" t="n">
        <f aca="false">IF(COUNT(Aveia!$E71:$Z71)=0,0,MAX(0,IF((AW$6-$E$3)&lt;1,0,IFERROR(LOOKUP(2,1/(Aveia!$E71:INDEX(Aveia!$E71:$Z71,MIN(AW$6-$E$3,22))&lt;&gt;""),Aveia!$E71:INDEX(Aveia!$E71:$Z71,MIN(AW$6-$E$3,22))),0))-IF($G$2,0,IF((AW$6-$G$3)&lt;1,0,IFERROR(LOOKUP(2,1/(Aveia!$E71:INDEX(Aveia!$E71:$Z71,MIN(AW$6-$G$3,22))&lt;&gt;""),Aveia!$E71:INDEX(Aveia!$E71:$Z71,MIN(AW$6-$G$3,22))),0)))))</f>
        <v>0</v>
      </c>
      <c r="AX73" s="27" t="n">
        <f aca="false">IF(COUNT(Aveia!$E71:$Z71)=0,0,MAX(0,IF((AX$6-$E$3)&lt;1,0,IFERROR(LOOKUP(2,1/(Aveia!$E71:INDEX(Aveia!$E71:$Z71,MIN(AX$6-$E$3,22))&lt;&gt;""),Aveia!$E71:INDEX(Aveia!$E71:$Z71,MIN(AX$6-$E$3,22))),0))-IF($G$2,0,IF((AX$6-$G$3)&lt;1,0,IFERROR(LOOKUP(2,1/(Aveia!$E71:INDEX(Aveia!$E71:$Z71,MIN(AX$6-$G$3,22))&lt;&gt;""),Aveia!$E71:INDEX(Aveia!$E71:$Z71,MIN(AX$6-$G$3,22))),0)))))</f>
        <v>0</v>
      </c>
      <c r="AY73" s="27" t="n">
        <f aca="false">IF(COUNT(Aveia!$E71:$Z71)=0,0,MAX(0,IF((AY$6-$E$3)&lt;1,0,IFERROR(LOOKUP(2,1/(Aveia!$E71:INDEX(Aveia!$E71:$Z71,MIN(AY$6-$E$3,22))&lt;&gt;""),Aveia!$E71:INDEX(Aveia!$E71:$Z71,MIN(AY$6-$E$3,22))),0))-IF($G$2,0,IF((AY$6-$G$3)&lt;1,0,IFERROR(LOOKUP(2,1/(Aveia!$E71:INDEX(Aveia!$E71:$Z71,MIN(AY$6-$G$3,22))&lt;&gt;""),Aveia!$E71:INDEX(Aveia!$E71:$Z71,MIN(AY$6-$G$3,22))),0)))))</f>
        <v>0</v>
      </c>
      <c r="AZ73" s="27" t="n">
        <f aca="false">IF(COUNT(Aveia!$E71:$Z71)=0,0,MAX(0,IF((AZ$6-$E$3)&lt;1,0,IFERROR(LOOKUP(2,1/(Aveia!$E71:INDEX(Aveia!$E71:$Z71,MIN(AZ$6-$E$3,22))&lt;&gt;""),Aveia!$E71:INDEX(Aveia!$E71:$Z71,MIN(AZ$6-$E$3,22))),0))-IF($G$2,0,IF((AZ$6-$G$3)&lt;1,0,IFERROR(LOOKUP(2,1/(Aveia!$E71:INDEX(Aveia!$E71:$Z71,MIN(AZ$6-$G$3,22))&lt;&gt;""),Aveia!$E71:INDEX(Aveia!$E71:$Z71,MIN(AZ$6-$G$3,22))),0)))))</f>
        <v>0</v>
      </c>
    </row>
    <row r="74" customFormat="false" ht="15" hidden="false" customHeight="false" outlineLevel="0" collapsed="false">
      <c r="A74" s="3" t="s">
        <v>266</v>
      </c>
      <c r="B74" s="3" t="s">
        <v>267</v>
      </c>
      <c r="C74" s="10" t="s">
        <v>155</v>
      </c>
      <c r="D74" s="26" t="n">
        <f aca="false">IF(COUNT(Aveia!$E72:$Z72)&gt;0,N(Aveia!$D72),0)</f>
        <v>0</v>
      </c>
      <c r="E74" s="27" t="n">
        <f aca="false">IF(COUNT(Aveia!$E72:$Z72)=0,0,MAX(0,IF((E$6-$E$3)&lt;1,0,IFERROR(LOOKUP(2,1/(Aveia!$E72:INDEX(Aveia!$E72:$Z72,MIN(E$6-$E$3,22))&lt;&gt;""),Aveia!$E72:INDEX(Aveia!$E72:$Z72,MIN(E$6-$E$3,22))),0))-IF($G$2,0,IF((E$6-$G$3)&lt;1,0,IFERROR(LOOKUP(2,1/(Aveia!$E72:INDEX(Aveia!$E72:$Z72,MIN(E$6-$G$3,22))&lt;&gt;""),Aveia!$E72:INDEX(Aveia!$E72:$Z72,MIN(E$6-$G$3,22))),0)))))</f>
        <v>0</v>
      </c>
      <c r="F74" s="27" t="n">
        <f aca="false">IF(COUNT(Aveia!$E72:$Z72)=0,0,MAX(0,IF((F$6-$E$3)&lt;1,0,IFERROR(LOOKUP(2,1/(Aveia!$E72:INDEX(Aveia!$E72:$Z72,MIN(F$6-$E$3,22))&lt;&gt;""),Aveia!$E72:INDEX(Aveia!$E72:$Z72,MIN(F$6-$E$3,22))),0))-IF($G$2,0,IF((F$6-$G$3)&lt;1,0,IFERROR(LOOKUP(2,1/(Aveia!$E72:INDEX(Aveia!$E72:$Z72,MIN(F$6-$G$3,22))&lt;&gt;""),Aveia!$E72:INDEX(Aveia!$E72:$Z72,MIN(F$6-$G$3,22))),0)))))</f>
        <v>0</v>
      </c>
      <c r="G74" s="27" t="n">
        <f aca="false">IF(COUNT(Aveia!$E72:$Z72)=0,0,MAX(0,IF((G$6-$E$3)&lt;1,0,IFERROR(LOOKUP(2,1/(Aveia!$E72:INDEX(Aveia!$E72:$Z72,MIN(G$6-$E$3,22))&lt;&gt;""),Aveia!$E72:INDEX(Aveia!$E72:$Z72,MIN(G$6-$E$3,22))),0))-IF($G$2,0,IF((G$6-$G$3)&lt;1,0,IFERROR(LOOKUP(2,1/(Aveia!$E72:INDEX(Aveia!$E72:$Z72,MIN(G$6-$G$3,22))&lt;&gt;""),Aveia!$E72:INDEX(Aveia!$E72:$Z72,MIN(G$6-$G$3,22))),0)))))</f>
        <v>0</v>
      </c>
      <c r="H74" s="27" t="n">
        <f aca="false">IF(COUNT(Aveia!$E72:$Z72)=0,0,MAX(0,IF((H$6-$E$3)&lt;1,0,IFERROR(LOOKUP(2,1/(Aveia!$E72:INDEX(Aveia!$E72:$Z72,MIN(H$6-$E$3,22))&lt;&gt;""),Aveia!$E72:INDEX(Aveia!$E72:$Z72,MIN(H$6-$E$3,22))),0))-IF($G$2,0,IF((H$6-$G$3)&lt;1,0,IFERROR(LOOKUP(2,1/(Aveia!$E72:INDEX(Aveia!$E72:$Z72,MIN(H$6-$G$3,22))&lt;&gt;""),Aveia!$E72:INDEX(Aveia!$E72:$Z72,MIN(H$6-$G$3,22))),0)))))</f>
        <v>0</v>
      </c>
      <c r="I74" s="27" t="n">
        <f aca="false">IF(COUNT(Aveia!$E72:$Z72)=0,0,MAX(0,IF((I$6-$E$3)&lt;1,0,IFERROR(LOOKUP(2,1/(Aveia!$E72:INDEX(Aveia!$E72:$Z72,MIN(I$6-$E$3,22))&lt;&gt;""),Aveia!$E72:INDEX(Aveia!$E72:$Z72,MIN(I$6-$E$3,22))),0))-IF($G$2,0,IF((I$6-$G$3)&lt;1,0,IFERROR(LOOKUP(2,1/(Aveia!$E72:INDEX(Aveia!$E72:$Z72,MIN(I$6-$G$3,22))&lt;&gt;""),Aveia!$E72:INDEX(Aveia!$E72:$Z72,MIN(I$6-$G$3,22))),0)))))</f>
        <v>0</v>
      </c>
      <c r="J74" s="27" t="n">
        <f aca="false">IF(COUNT(Aveia!$E72:$Z72)=0,0,MAX(0,IF((J$6-$E$3)&lt;1,0,IFERROR(LOOKUP(2,1/(Aveia!$E72:INDEX(Aveia!$E72:$Z72,MIN(J$6-$E$3,22))&lt;&gt;""),Aveia!$E72:INDEX(Aveia!$E72:$Z72,MIN(J$6-$E$3,22))),0))-IF($G$2,0,IF((J$6-$G$3)&lt;1,0,IFERROR(LOOKUP(2,1/(Aveia!$E72:INDEX(Aveia!$E72:$Z72,MIN(J$6-$G$3,22))&lt;&gt;""),Aveia!$E72:INDEX(Aveia!$E72:$Z72,MIN(J$6-$G$3,22))),0)))))</f>
        <v>0</v>
      </c>
      <c r="K74" s="27" t="n">
        <f aca="false">IF(COUNT(Aveia!$E72:$Z72)=0,0,MAX(0,IF((K$6-$E$3)&lt;1,0,IFERROR(LOOKUP(2,1/(Aveia!$E72:INDEX(Aveia!$E72:$Z72,MIN(K$6-$E$3,22))&lt;&gt;""),Aveia!$E72:INDEX(Aveia!$E72:$Z72,MIN(K$6-$E$3,22))),0))-IF($G$2,0,IF((K$6-$G$3)&lt;1,0,IFERROR(LOOKUP(2,1/(Aveia!$E72:INDEX(Aveia!$E72:$Z72,MIN(K$6-$G$3,22))&lt;&gt;""),Aveia!$E72:INDEX(Aveia!$E72:$Z72,MIN(K$6-$G$3,22))),0)))))</f>
        <v>0</v>
      </c>
      <c r="L74" s="27" t="n">
        <f aca="false">IF(COUNT(Aveia!$E72:$Z72)=0,0,MAX(0,IF((L$6-$E$3)&lt;1,0,IFERROR(LOOKUP(2,1/(Aveia!$E72:INDEX(Aveia!$E72:$Z72,MIN(L$6-$E$3,22))&lt;&gt;""),Aveia!$E72:INDEX(Aveia!$E72:$Z72,MIN(L$6-$E$3,22))),0))-IF($G$2,0,IF((L$6-$G$3)&lt;1,0,IFERROR(LOOKUP(2,1/(Aveia!$E72:INDEX(Aveia!$E72:$Z72,MIN(L$6-$G$3,22))&lt;&gt;""),Aveia!$E72:INDEX(Aveia!$E72:$Z72,MIN(L$6-$G$3,22))),0)))))</f>
        <v>0</v>
      </c>
      <c r="M74" s="27" t="n">
        <f aca="false">IF(COUNT(Aveia!$E72:$Z72)=0,0,MAX(0,IF((M$6-$E$3)&lt;1,0,IFERROR(LOOKUP(2,1/(Aveia!$E72:INDEX(Aveia!$E72:$Z72,MIN(M$6-$E$3,22))&lt;&gt;""),Aveia!$E72:INDEX(Aveia!$E72:$Z72,MIN(M$6-$E$3,22))),0))-IF($G$2,0,IF((M$6-$G$3)&lt;1,0,IFERROR(LOOKUP(2,1/(Aveia!$E72:INDEX(Aveia!$E72:$Z72,MIN(M$6-$G$3,22))&lt;&gt;""),Aveia!$E72:INDEX(Aveia!$E72:$Z72,MIN(M$6-$G$3,22))),0)))))</f>
        <v>0</v>
      </c>
      <c r="N74" s="27" t="n">
        <f aca="false">IF(COUNT(Aveia!$E72:$Z72)=0,0,MAX(0,IF((N$6-$E$3)&lt;1,0,IFERROR(LOOKUP(2,1/(Aveia!$E72:INDEX(Aveia!$E72:$Z72,MIN(N$6-$E$3,22))&lt;&gt;""),Aveia!$E72:INDEX(Aveia!$E72:$Z72,MIN(N$6-$E$3,22))),0))-IF($G$2,0,IF((N$6-$G$3)&lt;1,0,IFERROR(LOOKUP(2,1/(Aveia!$E72:INDEX(Aveia!$E72:$Z72,MIN(N$6-$G$3,22))&lt;&gt;""),Aveia!$E72:INDEX(Aveia!$E72:$Z72,MIN(N$6-$G$3,22))),0)))))</f>
        <v>0</v>
      </c>
      <c r="O74" s="27" t="n">
        <f aca="false">IF(COUNT(Aveia!$E72:$Z72)=0,0,MAX(0,IF((O$6-$E$3)&lt;1,0,IFERROR(LOOKUP(2,1/(Aveia!$E72:INDEX(Aveia!$E72:$Z72,MIN(O$6-$E$3,22))&lt;&gt;""),Aveia!$E72:INDEX(Aveia!$E72:$Z72,MIN(O$6-$E$3,22))),0))-IF($G$2,0,IF((O$6-$G$3)&lt;1,0,IFERROR(LOOKUP(2,1/(Aveia!$E72:INDEX(Aveia!$E72:$Z72,MIN(O$6-$G$3,22))&lt;&gt;""),Aveia!$E72:INDEX(Aveia!$E72:$Z72,MIN(O$6-$G$3,22))),0)))))</f>
        <v>0</v>
      </c>
      <c r="P74" s="27" t="n">
        <f aca="false">IF(COUNT(Aveia!$E72:$Z72)=0,0,MAX(0,IF((P$6-$E$3)&lt;1,0,IFERROR(LOOKUP(2,1/(Aveia!$E72:INDEX(Aveia!$E72:$Z72,MIN(P$6-$E$3,22))&lt;&gt;""),Aveia!$E72:INDEX(Aveia!$E72:$Z72,MIN(P$6-$E$3,22))),0))-IF($G$2,0,IF((P$6-$G$3)&lt;1,0,IFERROR(LOOKUP(2,1/(Aveia!$E72:INDEX(Aveia!$E72:$Z72,MIN(P$6-$G$3,22))&lt;&gt;""),Aveia!$E72:INDEX(Aveia!$E72:$Z72,MIN(P$6-$G$3,22))),0)))))</f>
        <v>0</v>
      </c>
      <c r="Q74" s="27" t="n">
        <f aca="false">IF(COUNT(Aveia!$E72:$Z72)=0,0,MAX(0,IF((Q$6-$E$3)&lt;1,0,IFERROR(LOOKUP(2,1/(Aveia!$E72:INDEX(Aveia!$E72:$Z72,MIN(Q$6-$E$3,22))&lt;&gt;""),Aveia!$E72:INDEX(Aveia!$E72:$Z72,MIN(Q$6-$E$3,22))),0))-IF($G$2,0,IF((Q$6-$G$3)&lt;1,0,IFERROR(LOOKUP(2,1/(Aveia!$E72:INDEX(Aveia!$E72:$Z72,MIN(Q$6-$G$3,22))&lt;&gt;""),Aveia!$E72:INDEX(Aveia!$E72:$Z72,MIN(Q$6-$G$3,22))),0)))))</f>
        <v>0</v>
      </c>
      <c r="R74" s="27" t="n">
        <f aca="false">IF(COUNT(Aveia!$E72:$Z72)=0,0,MAX(0,IF((R$6-$E$3)&lt;1,0,IFERROR(LOOKUP(2,1/(Aveia!$E72:INDEX(Aveia!$E72:$Z72,MIN(R$6-$E$3,22))&lt;&gt;""),Aveia!$E72:INDEX(Aveia!$E72:$Z72,MIN(R$6-$E$3,22))),0))-IF($G$2,0,IF((R$6-$G$3)&lt;1,0,IFERROR(LOOKUP(2,1/(Aveia!$E72:INDEX(Aveia!$E72:$Z72,MIN(R$6-$G$3,22))&lt;&gt;""),Aveia!$E72:INDEX(Aveia!$E72:$Z72,MIN(R$6-$G$3,22))),0)))))</f>
        <v>0</v>
      </c>
      <c r="S74" s="27" t="n">
        <f aca="false">IF(COUNT(Aveia!$E72:$Z72)=0,0,MAX(0,IF((S$6-$E$3)&lt;1,0,IFERROR(LOOKUP(2,1/(Aveia!$E72:INDEX(Aveia!$E72:$Z72,MIN(S$6-$E$3,22))&lt;&gt;""),Aveia!$E72:INDEX(Aveia!$E72:$Z72,MIN(S$6-$E$3,22))),0))-IF($G$2,0,IF((S$6-$G$3)&lt;1,0,IFERROR(LOOKUP(2,1/(Aveia!$E72:INDEX(Aveia!$E72:$Z72,MIN(S$6-$G$3,22))&lt;&gt;""),Aveia!$E72:INDEX(Aveia!$E72:$Z72,MIN(S$6-$G$3,22))),0)))))</f>
        <v>0</v>
      </c>
      <c r="T74" s="27" t="n">
        <f aca="false">IF(COUNT(Aveia!$E72:$Z72)=0,0,MAX(0,IF((T$6-$E$3)&lt;1,0,IFERROR(LOOKUP(2,1/(Aveia!$E72:INDEX(Aveia!$E72:$Z72,MIN(T$6-$E$3,22))&lt;&gt;""),Aveia!$E72:INDEX(Aveia!$E72:$Z72,MIN(T$6-$E$3,22))),0))-IF($G$2,0,IF((T$6-$G$3)&lt;1,0,IFERROR(LOOKUP(2,1/(Aveia!$E72:INDEX(Aveia!$E72:$Z72,MIN(T$6-$G$3,22))&lt;&gt;""),Aveia!$E72:INDEX(Aveia!$E72:$Z72,MIN(T$6-$G$3,22))),0)))))</f>
        <v>0</v>
      </c>
      <c r="U74" s="27" t="n">
        <f aca="false">IF(COUNT(Aveia!$E72:$Z72)=0,0,MAX(0,IF((U$6-$E$3)&lt;1,0,IFERROR(LOOKUP(2,1/(Aveia!$E72:INDEX(Aveia!$E72:$Z72,MIN(U$6-$E$3,22))&lt;&gt;""),Aveia!$E72:INDEX(Aveia!$E72:$Z72,MIN(U$6-$E$3,22))),0))-IF($G$2,0,IF((U$6-$G$3)&lt;1,0,IFERROR(LOOKUP(2,1/(Aveia!$E72:INDEX(Aveia!$E72:$Z72,MIN(U$6-$G$3,22))&lt;&gt;""),Aveia!$E72:INDEX(Aveia!$E72:$Z72,MIN(U$6-$G$3,22))),0)))))</f>
        <v>0</v>
      </c>
      <c r="V74" s="27" t="n">
        <f aca="false">IF(COUNT(Aveia!$E72:$Z72)=0,0,MAX(0,IF((V$6-$E$3)&lt;1,0,IFERROR(LOOKUP(2,1/(Aveia!$E72:INDEX(Aveia!$E72:$Z72,MIN(V$6-$E$3,22))&lt;&gt;""),Aveia!$E72:INDEX(Aveia!$E72:$Z72,MIN(V$6-$E$3,22))),0))-IF($G$2,0,IF((V$6-$G$3)&lt;1,0,IFERROR(LOOKUP(2,1/(Aveia!$E72:INDEX(Aveia!$E72:$Z72,MIN(V$6-$G$3,22))&lt;&gt;""),Aveia!$E72:INDEX(Aveia!$E72:$Z72,MIN(V$6-$G$3,22))),0)))))</f>
        <v>0</v>
      </c>
      <c r="W74" s="27" t="n">
        <f aca="false">IF(COUNT(Aveia!$E72:$Z72)=0,0,MAX(0,IF((W$6-$E$3)&lt;1,0,IFERROR(LOOKUP(2,1/(Aveia!$E72:INDEX(Aveia!$E72:$Z72,MIN(W$6-$E$3,22))&lt;&gt;""),Aveia!$E72:INDEX(Aveia!$E72:$Z72,MIN(W$6-$E$3,22))),0))-IF($G$2,0,IF((W$6-$G$3)&lt;1,0,IFERROR(LOOKUP(2,1/(Aveia!$E72:INDEX(Aveia!$E72:$Z72,MIN(W$6-$G$3,22))&lt;&gt;""),Aveia!$E72:INDEX(Aveia!$E72:$Z72,MIN(W$6-$G$3,22))),0)))))</f>
        <v>0</v>
      </c>
      <c r="X74" s="27" t="n">
        <f aca="false">IF(COUNT(Aveia!$E72:$Z72)=0,0,MAX(0,IF((X$6-$E$3)&lt;1,0,IFERROR(LOOKUP(2,1/(Aveia!$E72:INDEX(Aveia!$E72:$Z72,MIN(X$6-$E$3,22))&lt;&gt;""),Aveia!$E72:INDEX(Aveia!$E72:$Z72,MIN(X$6-$E$3,22))),0))-IF($G$2,0,IF((X$6-$G$3)&lt;1,0,IFERROR(LOOKUP(2,1/(Aveia!$E72:INDEX(Aveia!$E72:$Z72,MIN(X$6-$G$3,22))&lt;&gt;""),Aveia!$E72:INDEX(Aveia!$E72:$Z72,MIN(X$6-$G$3,22))),0)))))</f>
        <v>0</v>
      </c>
      <c r="Y74" s="27" t="n">
        <f aca="false">IF(COUNT(Aveia!$E72:$Z72)=0,0,MAX(0,IF((Y$6-$E$3)&lt;1,0,IFERROR(LOOKUP(2,1/(Aveia!$E72:INDEX(Aveia!$E72:$Z72,MIN(Y$6-$E$3,22))&lt;&gt;""),Aveia!$E72:INDEX(Aveia!$E72:$Z72,MIN(Y$6-$E$3,22))),0))-IF($G$2,0,IF((Y$6-$G$3)&lt;1,0,IFERROR(LOOKUP(2,1/(Aveia!$E72:INDEX(Aveia!$E72:$Z72,MIN(Y$6-$G$3,22))&lt;&gt;""),Aveia!$E72:INDEX(Aveia!$E72:$Z72,MIN(Y$6-$G$3,22))),0)))))</f>
        <v>0</v>
      </c>
      <c r="Z74" s="27" t="n">
        <f aca="false">IF(COUNT(Aveia!$E72:$Z72)=0,0,MAX(0,IF((Z$6-$E$3)&lt;1,0,IFERROR(LOOKUP(2,1/(Aveia!$E72:INDEX(Aveia!$E72:$Z72,MIN(Z$6-$E$3,22))&lt;&gt;""),Aveia!$E72:INDEX(Aveia!$E72:$Z72,MIN(Z$6-$E$3,22))),0))-IF($G$2,0,IF((Z$6-$G$3)&lt;1,0,IFERROR(LOOKUP(2,1/(Aveia!$E72:INDEX(Aveia!$E72:$Z72,MIN(Z$6-$G$3,22))&lt;&gt;""),Aveia!$E72:INDEX(Aveia!$E72:$Z72,MIN(Z$6-$G$3,22))),0)))))</f>
        <v>0</v>
      </c>
      <c r="AA74" s="27" t="n">
        <f aca="false">IF(COUNT(Aveia!$E72:$Z72)=0,0,MAX(0,IF((AA$6-$E$3)&lt;1,0,IFERROR(LOOKUP(2,1/(Aveia!$E72:INDEX(Aveia!$E72:$Z72,MIN(AA$6-$E$3,22))&lt;&gt;""),Aveia!$E72:INDEX(Aveia!$E72:$Z72,MIN(AA$6-$E$3,22))),0))-IF($G$2,0,IF((AA$6-$G$3)&lt;1,0,IFERROR(LOOKUP(2,1/(Aveia!$E72:INDEX(Aveia!$E72:$Z72,MIN(AA$6-$G$3,22))&lt;&gt;""),Aveia!$E72:INDEX(Aveia!$E72:$Z72,MIN(AA$6-$G$3,22))),0)))))</f>
        <v>0</v>
      </c>
      <c r="AB74" s="27" t="n">
        <f aca="false">IF(COUNT(Aveia!$E72:$Z72)=0,0,MAX(0,IF((AB$6-$E$3)&lt;1,0,IFERROR(LOOKUP(2,1/(Aveia!$E72:INDEX(Aveia!$E72:$Z72,MIN(AB$6-$E$3,22))&lt;&gt;""),Aveia!$E72:INDEX(Aveia!$E72:$Z72,MIN(AB$6-$E$3,22))),0))-IF($G$2,0,IF((AB$6-$G$3)&lt;1,0,IFERROR(LOOKUP(2,1/(Aveia!$E72:INDEX(Aveia!$E72:$Z72,MIN(AB$6-$G$3,22))&lt;&gt;""),Aveia!$E72:INDEX(Aveia!$E72:$Z72,MIN(AB$6-$G$3,22))),0)))))</f>
        <v>0</v>
      </c>
      <c r="AC74" s="27" t="n">
        <f aca="false">IF(COUNT(Aveia!$E72:$Z72)=0,0,MAX(0,IF((AC$6-$E$3)&lt;1,0,IFERROR(LOOKUP(2,1/(Aveia!$E72:INDEX(Aveia!$E72:$Z72,MIN(AC$6-$E$3,22))&lt;&gt;""),Aveia!$E72:INDEX(Aveia!$E72:$Z72,MIN(AC$6-$E$3,22))),0))-IF($G$2,0,IF((AC$6-$G$3)&lt;1,0,IFERROR(LOOKUP(2,1/(Aveia!$E72:INDEX(Aveia!$E72:$Z72,MIN(AC$6-$G$3,22))&lt;&gt;""),Aveia!$E72:INDEX(Aveia!$E72:$Z72,MIN(AC$6-$G$3,22))),0)))))</f>
        <v>0</v>
      </c>
      <c r="AD74" s="27" t="n">
        <f aca="false">IF(COUNT(Aveia!$E72:$Z72)=0,0,MAX(0,IF((AD$6-$E$3)&lt;1,0,IFERROR(LOOKUP(2,1/(Aveia!$E72:INDEX(Aveia!$E72:$Z72,MIN(AD$6-$E$3,22))&lt;&gt;""),Aveia!$E72:INDEX(Aveia!$E72:$Z72,MIN(AD$6-$E$3,22))),0))-IF($G$2,0,IF((AD$6-$G$3)&lt;1,0,IFERROR(LOOKUP(2,1/(Aveia!$E72:INDEX(Aveia!$E72:$Z72,MIN(AD$6-$G$3,22))&lt;&gt;""),Aveia!$E72:INDEX(Aveia!$E72:$Z72,MIN(AD$6-$G$3,22))),0)))))</f>
        <v>0</v>
      </c>
      <c r="AE74" s="27" t="n">
        <f aca="false">IF(COUNT(Aveia!$E72:$Z72)=0,0,MAX(0,IF((AE$6-$E$3)&lt;1,0,IFERROR(LOOKUP(2,1/(Aveia!$E72:INDEX(Aveia!$E72:$Z72,MIN(AE$6-$E$3,22))&lt;&gt;""),Aveia!$E72:INDEX(Aveia!$E72:$Z72,MIN(AE$6-$E$3,22))),0))-IF($G$2,0,IF((AE$6-$G$3)&lt;1,0,IFERROR(LOOKUP(2,1/(Aveia!$E72:INDEX(Aveia!$E72:$Z72,MIN(AE$6-$G$3,22))&lt;&gt;""),Aveia!$E72:INDEX(Aveia!$E72:$Z72,MIN(AE$6-$G$3,22))),0)))))</f>
        <v>0</v>
      </c>
      <c r="AF74" s="27" t="n">
        <f aca="false">IF(COUNT(Aveia!$E72:$Z72)=0,0,MAX(0,IF((AF$6-$E$3)&lt;1,0,IFERROR(LOOKUP(2,1/(Aveia!$E72:INDEX(Aveia!$E72:$Z72,MIN(AF$6-$E$3,22))&lt;&gt;""),Aveia!$E72:INDEX(Aveia!$E72:$Z72,MIN(AF$6-$E$3,22))),0))-IF($G$2,0,IF((AF$6-$G$3)&lt;1,0,IFERROR(LOOKUP(2,1/(Aveia!$E72:INDEX(Aveia!$E72:$Z72,MIN(AF$6-$G$3,22))&lt;&gt;""),Aveia!$E72:INDEX(Aveia!$E72:$Z72,MIN(AF$6-$G$3,22))),0)))))</f>
        <v>0</v>
      </c>
      <c r="AG74" s="27" t="n">
        <f aca="false">IF(COUNT(Aveia!$E72:$Z72)=0,0,MAX(0,IF((AG$6-$E$3)&lt;1,0,IFERROR(LOOKUP(2,1/(Aveia!$E72:INDEX(Aveia!$E72:$Z72,MIN(AG$6-$E$3,22))&lt;&gt;""),Aveia!$E72:INDEX(Aveia!$E72:$Z72,MIN(AG$6-$E$3,22))),0))-IF($G$2,0,IF((AG$6-$G$3)&lt;1,0,IFERROR(LOOKUP(2,1/(Aveia!$E72:INDEX(Aveia!$E72:$Z72,MIN(AG$6-$G$3,22))&lt;&gt;""),Aveia!$E72:INDEX(Aveia!$E72:$Z72,MIN(AG$6-$G$3,22))),0)))))</f>
        <v>0</v>
      </c>
      <c r="AH74" s="27" t="n">
        <f aca="false">IF(COUNT(Aveia!$E72:$Z72)=0,0,MAX(0,IF((AH$6-$E$3)&lt;1,0,IFERROR(LOOKUP(2,1/(Aveia!$E72:INDEX(Aveia!$E72:$Z72,MIN(AH$6-$E$3,22))&lt;&gt;""),Aveia!$E72:INDEX(Aveia!$E72:$Z72,MIN(AH$6-$E$3,22))),0))-IF($G$2,0,IF((AH$6-$G$3)&lt;1,0,IFERROR(LOOKUP(2,1/(Aveia!$E72:INDEX(Aveia!$E72:$Z72,MIN(AH$6-$G$3,22))&lt;&gt;""),Aveia!$E72:INDEX(Aveia!$E72:$Z72,MIN(AH$6-$G$3,22))),0)))))</f>
        <v>0</v>
      </c>
      <c r="AI74" s="27" t="n">
        <f aca="false">IF(COUNT(Aveia!$E72:$Z72)=0,0,MAX(0,IF((AI$6-$E$3)&lt;1,0,IFERROR(LOOKUP(2,1/(Aveia!$E72:INDEX(Aveia!$E72:$Z72,MIN(AI$6-$E$3,22))&lt;&gt;""),Aveia!$E72:INDEX(Aveia!$E72:$Z72,MIN(AI$6-$E$3,22))),0))-IF($G$2,0,IF((AI$6-$G$3)&lt;1,0,IFERROR(LOOKUP(2,1/(Aveia!$E72:INDEX(Aveia!$E72:$Z72,MIN(AI$6-$G$3,22))&lt;&gt;""),Aveia!$E72:INDEX(Aveia!$E72:$Z72,MIN(AI$6-$G$3,22))),0)))))</f>
        <v>0</v>
      </c>
      <c r="AJ74" s="27" t="n">
        <f aca="false">IF(COUNT(Aveia!$E72:$Z72)=0,0,MAX(0,IF((AJ$6-$E$3)&lt;1,0,IFERROR(LOOKUP(2,1/(Aveia!$E72:INDEX(Aveia!$E72:$Z72,MIN(AJ$6-$E$3,22))&lt;&gt;""),Aveia!$E72:INDEX(Aveia!$E72:$Z72,MIN(AJ$6-$E$3,22))),0))-IF($G$2,0,IF((AJ$6-$G$3)&lt;1,0,IFERROR(LOOKUP(2,1/(Aveia!$E72:INDEX(Aveia!$E72:$Z72,MIN(AJ$6-$G$3,22))&lt;&gt;""),Aveia!$E72:INDEX(Aveia!$E72:$Z72,MIN(AJ$6-$G$3,22))),0)))))</f>
        <v>0</v>
      </c>
      <c r="AK74" s="27" t="n">
        <f aca="false">IF(COUNT(Aveia!$E72:$Z72)=0,0,MAX(0,IF((AK$6-$E$3)&lt;1,0,IFERROR(LOOKUP(2,1/(Aveia!$E72:INDEX(Aveia!$E72:$Z72,MIN(AK$6-$E$3,22))&lt;&gt;""),Aveia!$E72:INDEX(Aveia!$E72:$Z72,MIN(AK$6-$E$3,22))),0))-IF($G$2,0,IF((AK$6-$G$3)&lt;1,0,IFERROR(LOOKUP(2,1/(Aveia!$E72:INDEX(Aveia!$E72:$Z72,MIN(AK$6-$G$3,22))&lt;&gt;""),Aveia!$E72:INDEX(Aveia!$E72:$Z72,MIN(AK$6-$G$3,22))),0)))))</f>
        <v>0</v>
      </c>
      <c r="AL74" s="27" t="n">
        <f aca="false">IF(COUNT(Aveia!$E72:$Z72)=0,0,MAX(0,IF((AL$6-$E$3)&lt;1,0,IFERROR(LOOKUP(2,1/(Aveia!$E72:INDEX(Aveia!$E72:$Z72,MIN(AL$6-$E$3,22))&lt;&gt;""),Aveia!$E72:INDEX(Aveia!$E72:$Z72,MIN(AL$6-$E$3,22))),0))-IF($G$2,0,IF((AL$6-$G$3)&lt;1,0,IFERROR(LOOKUP(2,1/(Aveia!$E72:INDEX(Aveia!$E72:$Z72,MIN(AL$6-$G$3,22))&lt;&gt;""),Aveia!$E72:INDEX(Aveia!$E72:$Z72,MIN(AL$6-$G$3,22))),0)))))</f>
        <v>0</v>
      </c>
      <c r="AM74" s="27" t="n">
        <f aca="false">IF(COUNT(Aveia!$E72:$Z72)=0,0,MAX(0,IF((AM$6-$E$3)&lt;1,0,IFERROR(LOOKUP(2,1/(Aveia!$E72:INDEX(Aveia!$E72:$Z72,MIN(AM$6-$E$3,22))&lt;&gt;""),Aveia!$E72:INDEX(Aveia!$E72:$Z72,MIN(AM$6-$E$3,22))),0))-IF($G$2,0,IF((AM$6-$G$3)&lt;1,0,IFERROR(LOOKUP(2,1/(Aveia!$E72:INDEX(Aveia!$E72:$Z72,MIN(AM$6-$G$3,22))&lt;&gt;""),Aveia!$E72:INDEX(Aveia!$E72:$Z72,MIN(AM$6-$G$3,22))),0)))))</f>
        <v>0</v>
      </c>
      <c r="AN74" s="27" t="n">
        <f aca="false">IF(COUNT(Aveia!$E72:$Z72)=0,0,MAX(0,IF((AN$6-$E$3)&lt;1,0,IFERROR(LOOKUP(2,1/(Aveia!$E72:INDEX(Aveia!$E72:$Z72,MIN(AN$6-$E$3,22))&lt;&gt;""),Aveia!$E72:INDEX(Aveia!$E72:$Z72,MIN(AN$6-$E$3,22))),0))-IF($G$2,0,IF((AN$6-$G$3)&lt;1,0,IFERROR(LOOKUP(2,1/(Aveia!$E72:INDEX(Aveia!$E72:$Z72,MIN(AN$6-$G$3,22))&lt;&gt;""),Aveia!$E72:INDEX(Aveia!$E72:$Z72,MIN(AN$6-$G$3,22))),0)))))</f>
        <v>0</v>
      </c>
      <c r="AO74" s="27" t="n">
        <f aca="false">IF(COUNT(Aveia!$E72:$Z72)=0,0,MAX(0,IF((AO$6-$E$3)&lt;1,0,IFERROR(LOOKUP(2,1/(Aveia!$E72:INDEX(Aveia!$E72:$Z72,MIN(AO$6-$E$3,22))&lt;&gt;""),Aveia!$E72:INDEX(Aveia!$E72:$Z72,MIN(AO$6-$E$3,22))),0))-IF($G$2,0,IF((AO$6-$G$3)&lt;1,0,IFERROR(LOOKUP(2,1/(Aveia!$E72:INDEX(Aveia!$E72:$Z72,MIN(AO$6-$G$3,22))&lt;&gt;""),Aveia!$E72:INDEX(Aveia!$E72:$Z72,MIN(AO$6-$G$3,22))),0)))))</f>
        <v>0</v>
      </c>
      <c r="AP74" s="27" t="n">
        <f aca="false">IF(COUNT(Aveia!$E72:$Z72)=0,0,MAX(0,IF((AP$6-$E$3)&lt;1,0,IFERROR(LOOKUP(2,1/(Aveia!$E72:INDEX(Aveia!$E72:$Z72,MIN(AP$6-$E$3,22))&lt;&gt;""),Aveia!$E72:INDEX(Aveia!$E72:$Z72,MIN(AP$6-$E$3,22))),0))-IF($G$2,0,IF((AP$6-$G$3)&lt;1,0,IFERROR(LOOKUP(2,1/(Aveia!$E72:INDEX(Aveia!$E72:$Z72,MIN(AP$6-$G$3,22))&lt;&gt;""),Aveia!$E72:INDEX(Aveia!$E72:$Z72,MIN(AP$6-$G$3,22))),0)))))</f>
        <v>0</v>
      </c>
      <c r="AQ74" s="27" t="n">
        <f aca="false">IF(COUNT(Aveia!$E72:$Z72)=0,0,MAX(0,IF((AQ$6-$E$3)&lt;1,0,IFERROR(LOOKUP(2,1/(Aveia!$E72:INDEX(Aveia!$E72:$Z72,MIN(AQ$6-$E$3,22))&lt;&gt;""),Aveia!$E72:INDEX(Aveia!$E72:$Z72,MIN(AQ$6-$E$3,22))),0))-IF($G$2,0,IF((AQ$6-$G$3)&lt;1,0,IFERROR(LOOKUP(2,1/(Aveia!$E72:INDEX(Aveia!$E72:$Z72,MIN(AQ$6-$G$3,22))&lt;&gt;""),Aveia!$E72:INDEX(Aveia!$E72:$Z72,MIN(AQ$6-$G$3,22))),0)))))</f>
        <v>0</v>
      </c>
      <c r="AR74" s="27" t="n">
        <f aca="false">IF(COUNT(Aveia!$E72:$Z72)=0,0,MAX(0,IF((AR$6-$E$3)&lt;1,0,IFERROR(LOOKUP(2,1/(Aveia!$E72:INDEX(Aveia!$E72:$Z72,MIN(AR$6-$E$3,22))&lt;&gt;""),Aveia!$E72:INDEX(Aveia!$E72:$Z72,MIN(AR$6-$E$3,22))),0))-IF($G$2,0,IF((AR$6-$G$3)&lt;1,0,IFERROR(LOOKUP(2,1/(Aveia!$E72:INDEX(Aveia!$E72:$Z72,MIN(AR$6-$G$3,22))&lt;&gt;""),Aveia!$E72:INDEX(Aveia!$E72:$Z72,MIN(AR$6-$G$3,22))),0)))))</f>
        <v>0</v>
      </c>
      <c r="AS74" s="27" t="n">
        <f aca="false">IF(COUNT(Aveia!$E72:$Z72)=0,0,MAX(0,IF((AS$6-$E$3)&lt;1,0,IFERROR(LOOKUP(2,1/(Aveia!$E72:INDEX(Aveia!$E72:$Z72,MIN(AS$6-$E$3,22))&lt;&gt;""),Aveia!$E72:INDEX(Aveia!$E72:$Z72,MIN(AS$6-$E$3,22))),0))-IF($G$2,0,IF((AS$6-$G$3)&lt;1,0,IFERROR(LOOKUP(2,1/(Aveia!$E72:INDEX(Aveia!$E72:$Z72,MIN(AS$6-$G$3,22))&lt;&gt;""),Aveia!$E72:INDEX(Aveia!$E72:$Z72,MIN(AS$6-$G$3,22))),0)))))</f>
        <v>0</v>
      </c>
      <c r="AT74" s="27" t="n">
        <f aca="false">IF(COUNT(Aveia!$E72:$Z72)=0,0,MAX(0,IF((AT$6-$E$3)&lt;1,0,IFERROR(LOOKUP(2,1/(Aveia!$E72:INDEX(Aveia!$E72:$Z72,MIN(AT$6-$E$3,22))&lt;&gt;""),Aveia!$E72:INDEX(Aveia!$E72:$Z72,MIN(AT$6-$E$3,22))),0))-IF($G$2,0,IF((AT$6-$G$3)&lt;1,0,IFERROR(LOOKUP(2,1/(Aveia!$E72:INDEX(Aveia!$E72:$Z72,MIN(AT$6-$G$3,22))&lt;&gt;""),Aveia!$E72:INDEX(Aveia!$E72:$Z72,MIN(AT$6-$G$3,22))),0)))))</f>
        <v>0</v>
      </c>
      <c r="AU74" s="27" t="n">
        <f aca="false">IF(COUNT(Aveia!$E72:$Z72)=0,0,MAX(0,IF((AU$6-$E$3)&lt;1,0,IFERROR(LOOKUP(2,1/(Aveia!$E72:INDEX(Aveia!$E72:$Z72,MIN(AU$6-$E$3,22))&lt;&gt;""),Aveia!$E72:INDEX(Aveia!$E72:$Z72,MIN(AU$6-$E$3,22))),0))-IF($G$2,0,IF((AU$6-$G$3)&lt;1,0,IFERROR(LOOKUP(2,1/(Aveia!$E72:INDEX(Aveia!$E72:$Z72,MIN(AU$6-$G$3,22))&lt;&gt;""),Aveia!$E72:INDEX(Aveia!$E72:$Z72,MIN(AU$6-$G$3,22))),0)))))</f>
        <v>0</v>
      </c>
      <c r="AV74" s="27" t="n">
        <f aca="false">IF(COUNT(Aveia!$E72:$Z72)=0,0,MAX(0,IF((AV$6-$E$3)&lt;1,0,IFERROR(LOOKUP(2,1/(Aveia!$E72:INDEX(Aveia!$E72:$Z72,MIN(AV$6-$E$3,22))&lt;&gt;""),Aveia!$E72:INDEX(Aveia!$E72:$Z72,MIN(AV$6-$E$3,22))),0))-IF($G$2,0,IF((AV$6-$G$3)&lt;1,0,IFERROR(LOOKUP(2,1/(Aveia!$E72:INDEX(Aveia!$E72:$Z72,MIN(AV$6-$G$3,22))&lt;&gt;""),Aveia!$E72:INDEX(Aveia!$E72:$Z72,MIN(AV$6-$G$3,22))),0)))))</f>
        <v>0</v>
      </c>
      <c r="AW74" s="27" t="n">
        <f aca="false">IF(COUNT(Aveia!$E72:$Z72)=0,0,MAX(0,IF((AW$6-$E$3)&lt;1,0,IFERROR(LOOKUP(2,1/(Aveia!$E72:INDEX(Aveia!$E72:$Z72,MIN(AW$6-$E$3,22))&lt;&gt;""),Aveia!$E72:INDEX(Aveia!$E72:$Z72,MIN(AW$6-$E$3,22))),0))-IF($G$2,0,IF((AW$6-$G$3)&lt;1,0,IFERROR(LOOKUP(2,1/(Aveia!$E72:INDEX(Aveia!$E72:$Z72,MIN(AW$6-$G$3,22))&lt;&gt;""),Aveia!$E72:INDEX(Aveia!$E72:$Z72,MIN(AW$6-$G$3,22))),0)))))</f>
        <v>0</v>
      </c>
      <c r="AX74" s="27" t="n">
        <f aca="false">IF(COUNT(Aveia!$E72:$Z72)=0,0,MAX(0,IF((AX$6-$E$3)&lt;1,0,IFERROR(LOOKUP(2,1/(Aveia!$E72:INDEX(Aveia!$E72:$Z72,MIN(AX$6-$E$3,22))&lt;&gt;""),Aveia!$E72:INDEX(Aveia!$E72:$Z72,MIN(AX$6-$E$3,22))),0))-IF($G$2,0,IF((AX$6-$G$3)&lt;1,0,IFERROR(LOOKUP(2,1/(Aveia!$E72:INDEX(Aveia!$E72:$Z72,MIN(AX$6-$G$3,22))&lt;&gt;""),Aveia!$E72:INDEX(Aveia!$E72:$Z72,MIN(AX$6-$G$3,22))),0)))))</f>
        <v>0</v>
      </c>
      <c r="AY74" s="27" t="n">
        <f aca="false">IF(COUNT(Aveia!$E72:$Z72)=0,0,MAX(0,IF((AY$6-$E$3)&lt;1,0,IFERROR(LOOKUP(2,1/(Aveia!$E72:INDEX(Aveia!$E72:$Z72,MIN(AY$6-$E$3,22))&lt;&gt;""),Aveia!$E72:INDEX(Aveia!$E72:$Z72,MIN(AY$6-$E$3,22))),0))-IF($G$2,0,IF((AY$6-$G$3)&lt;1,0,IFERROR(LOOKUP(2,1/(Aveia!$E72:INDEX(Aveia!$E72:$Z72,MIN(AY$6-$G$3,22))&lt;&gt;""),Aveia!$E72:INDEX(Aveia!$E72:$Z72,MIN(AY$6-$G$3,22))),0)))))</f>
        <v>0</v>
      </c>
      <c r="AZ74" s="27" t="n">
        <f aca="false">IF(COUNT(Aveia!$E72:$Z72)=0,0,MAX(0,IF((AZ$6-$E$3)&lt;1,0,IFERROR(LOOKUP(2,1/(Aveia!$E72:INDEX(Aveia!$E72:$Z72,MIN(AZ$6-$E$3,22))&lt;&gt;""),Aveia!$E72:INDEX(Aveia!$E72:$Z72,MIN(AZ$6-$E$3,22))),0))-IF($G$2,0,IF((AZ$6-$G$3)&lt;1,0,IFERROR(LOOKUP(2,1/(Aveia!$E72:INDEX(Aveia!$E72:$Z72,MIN(AZ$6-$G$3,22))&lt;&gt;""),Aveia!$E72:INDEX(Aveia!$E72:$Z72,MIN(AZ$6-$G$3,22))),0)))))</f>
        <v>0</v>
      </c>
    </row>
    <row r="75" customFormat="false" ht="15" hidden="false" customHeight="false" outlineLevel="0" collapsed="false">
      <c r="A75" s="3" t="s">
        <v>268</v>
      </c>
      <c r="B75" s="3" t="s">
        <v>269</v>
      </c>
      <c r="C75" s="10" t="s">
        <v>158</v>
      </c>
      <c r="D75" s="26" t="n">
        <f aca="false">IF(COUNT(Aveia!$E73:$Z73)&gt;0,N(Aveia!$D73),0)</f>
        <v>0</v>
      </c>
      <c r="E75" s="27" t="n">
        <f aca="false">IF(COUNT(Aveia!$E73:$Z73)=0,0,MAX(0,IF((E$6-$E$3)&lt;1,0,IFERROR(LOOKUP(2,1/(Aveia!$E73:INDEX(Aveia!$E73:$Z73,MIN(E$6-$E$3,22))&lt;&gt;""),Aveia!$E73:INDEX(Aveia!$E73:$Z73,MIN(E$6-$E$3,22))),0))-IF($G$2,0,IF((E$6-$G$3)&lt;1,0,IFERROR(LOOKUP(2,1/(Aveia!$E73:INDEX(Aveia!$E73:$Z73,MIN(E$6-$G$3,22))&lt;&gt;""),Aveia!$E73:INDEX(Aveia!$E73:$Z73,MIN(E$6-$G$3,22))),0)))))</f>
        <v>0</v>
      </c>
      <c r="F75" s="27" t="n">
        <f aca="false">IF(COUNT(Aveia!$E73:$Z73)=0,0,MAX(0,IF((F$6-$E$3)&lt;1,0,IFERROR(LOOKUP(2,1/(Aveia!$E73:INDEX(Aveia!$E73:$Z73,MIN(F$6-$E$3,22))&lt;&gt;""),Aveia!$E73:INDEX(Aveia!$E73:$Z73,MIN(F$6-$E$3,22))),0))-IF($G$2,0,IF((F$6-$G$3)&lt;1,0,IFERROR(LOOKUP(2,1/(Aveia!$E73:INDEX(Aveia!$E73:$Z73,MIN(F$6-$G$3,22))&lt;&gt;""),Aveia!$E73:INDEX(Aveia!$E73:$Z73,MIN(F$6-$G$3,22))),0)))))</f>
        <v>0</v>
      </c>
      <c r="G75" s="27" t="n">
        <f aca="false">IF(COUNT(Aveia!$E73:$Z73)=0,0,MAX(0,IF((G$6-$E$3)&lt;1,0,IFERROR(LOOKUP(2,1/(Aveia!$E73:INDEX(Aveia!$E73:$Z73,MIN(G$6-$E$3,22))&lt;&gt;""),Aveia!$E73:INDEX(Aveia!$E73:$Z73,MIN(G$6-$E$3,22))),0))-IF($G$2,0,IF((G$6-$G$3)&lt;1,0,IFERROR(LOOKUP(2,1/(Aveia!$E73:INDEX(Aveia!$E73:$Z73,MIN(G$6-$G$3,22))&lt;&gt;""),Aveia!$E73:INDEX(Aveia!$E73:$Z73,MIN(G$6-$G$3,22))),0)))))</f>
        <v>0</v>
      </c>
      <c r="H75" s="27" t="n">
        <f aca="false">IF(COUNT(Aveia!$E73:$Z73)=0,0,MAX(0,IF((H$6-$E$3)&lt;1,0,IFERROR(LOOKUP(2,1/(Aveia!$E73:INDEX(Aveia!$E73:$Z73,MIN(H$6-$E$3,22))&lt;&gt;""),Aveia!$E73:INDEX(Aveia!$E73:$Z73,MIN(H$6-$E$3,22))),0))-IF($G$2,0,IF((H$6-$G$3)&lt;1,0,IFERROR(LOOKUP(2,1/(Aveia!$E73:INDEX(Aveia!$E73:$Z73,MIN(H$6-$G$3,22))&lt;&gt;""),Aveia!$E73:INDEX(Aveia!$E73:$Z73,MIN(H$6-$G$3,22))),0)))))</f>
        <v>0</v>
      </c>
      <c r="I75" s="27" t="n">
        <f aca="false">IF(COUNT(Aveia!$E73:$Z73)=0,0,MAX(0,IF((I$6-$E$3)&lt;1,0,IFERROR(LOOKUP(2,1/(Aveia!$E73:INDEX(Aveia!$E73:$Z73,MIN(I$6-$E$3,22))&lt;&gt;""),Aveia!$E73:INDEX(Aveia!$E73:$Z73,MIN(I$6-$E$3,22))),0))-IF($G$2,0,IF((I$6-$G$3)&lt;1,0,IFERROR(LOOKUP(2,1/(Aveia!$E73:INDEX(Aveia!$E73:$Z73,MIN(I$6-$G$3,22))&lt;&gt;""),Aveia!$E73:INDEX(Aveia!$E73:$Z73,MIN(I$6-$G$3,22))),0)))))</f>
        <v>0</v>
      </c>
      <c r="J75" s="27" t="n">
        <f aca="false">IF(COUNT(Aveia!$E73:$Z73)=0,0,MAX(0,IF((J$6-$E$3)&lt;1,0,IFERROR(LOOKUP(2,1/(Aveia!$E73:INDEX(Aveia!$E73:$Z73,MIN(J$6-$E$3,22))&lt;&gt;""),Aveia!$E73:INDEX(Aveia!$E73:$Z73,MIN(J$6-$E$3,22))),0))-IF($G$2,0,IF((J$6-$G$3)&lt;1,0,IFERROR(LOOKUP(2,1/(Aveia!$E73:INDEX(Aveia!$E73:$Z73,MIN(J$6-$G$3,22))&lt;&gt;""),Aveia!$E73:INDEX(Aveia!$E73:$Z73,MIN(J$6-$G$3,22))),0)))))</f>
        <v>0</v>
      </c>
      <c r="K75" s="27" t="n">
        <f aca="false">IF(COUNT(Aveia!$E73:$Z73)=0,0,MAX(0,IF((K$6-$E$3)&lt;1,0,IFERROR(LOOKUP(2,1/(Aveia!$E73:INDEX(Aveia!$E73:$Z73,MIN(K$6-$E$3,22))&lt;&gt;""),Aveia!$E73:INDEX(Aveia!$E73:$Z73,MIN(K$6-$E$3,22))),0))-IF($G$2,0,IF((K$6-$G$3)&lt;1,0,IFERROR(LOOKUP(2,1/(Aveia!$E73:INDEX(Aveia!$E73:$Z73,MIN(K$6-$G$3,22))&lt;&gt;""),Aveia!$E73:INDEX(Aveia!$E73:$Z73,MIN(K$6-$G$3,22))),0)))))</f>
        <v>0</v>
      </c>
      <c r="L75" s="27" t="n">
        <f aca="false">IF(COUNT(Aveia!$E73:$Z73)=0,0,MAX(0,IF((L$6-$E$3)&lt;1,0,IFERROR(LOOKUP(2,1/(Aveia!$E73:INDEX(Aveia!$E73:$Z73,MIN(L$6-$E$3,22))&lt;&gt;""),Aveia!$E73:INDEX(Aveia!$E73:$Z73,MIN(L$6-$E$3,22))),0))-IF($G$2,0,IF((L$6-$G$3)&lt;1,0,IFERROR(LOOKUP(2,1/(Aveia!$E73:INDEX(Aveia!$E73:$Z73,MIN(L$6-$G$3,22))&lt;&gt;""),Aveia!$E73:INDEX(Aveia!$E73:$Z73,MIN(L$6-$G$3,22))),0)))))</f>
        <v>0</v>
      </c>
      <c r="M75" s="27" t="n">
        <f aca="false">IF(COUNT(Aveia!$E73:$Z73)=0,0,MAX(0,IF((M$6-$E$3)&lt;1,0,IFERROR(LOOKUP(2,1/(Aveia!$E73:INDEX(Aveia!$E73:$Z73,MIN(M$6-$E$3,22))&lt;&gt;""),Aveia!$E73:INDEX(Aveia!$E73:$Z73,MIN(M$6-$E$3,22))),0))-IF($G$2,0,IF((M$6-$G$3)&lt;1,0,IFERROR(LOOKUP(2,1/(Aveia!$E73:INDEX(Aveia!$E73:$Z73,MIN(M$6-$G$3,22))&lt;&gt;""),Aveia!$E73:INDEX(Aveia!$E73:$Z73,MIN(M$6-$G$3,22))),0)))))</f>
        <v>0</v>
      </c>
      <c r="N75" s="27" t="n">
        <f aca="false">IF(COUNT(Aveia!$E73:$Z73)=0,0,MAX(0,IF((N$6-$E$3)&lt;1,0,IFERROR(LOOKUP(2,1/(Aveia!$E73:INDEX(Aveia!$E73:$Z73,MIN(N$6-$E$3,22))&lt;&gt;""),Aveia!$E73:INDEX(Aveia!$E73:$Z73,MIN(N$6-$E$3,22))),0))-IF($G$2,0,IF((N$6-$G$3)&lt;1,0,IFERROR(LOOKUP(2,1/(Aveia!$E73:INDEX(Aveia!$E73:$Z73,MIN(N$6-$G$3,22))&lt;&gt;""),Aveia!$E73:INDEX(Aveia!$E73:$Z73,MIN(N$6-$G$3,22))),0)))))</f>
        <v>0</v>
      </c>
      <c r="O75" s="27" t="n">
        <f aca="false">IF(COUNT(Aveia!$E73:$Z73)=0,0,MAX(0,IF((O$6-$E$3)&lt;1,0,IFERROR(LOOKUP(2,1/(Aveia!$E73:INDEX(Aveia!$E73:$Z73,MIN(O$6-$E$3,22))&lt;&gt;""),Aveia!$E73:INDEX(Aveia!$E73:$Z73,MIN(O$6-$E$3,22))),0))-IF($G$2,0,IF((O$6-$G$3)&lt;1,0,IFERROR(LOOKUP(2,1/(Aveia!$E73:INDEX(Aveia!$E73:$Z73,MIN(O$6-$G$3,22))&lt;&gt;""),Aveia!$E73:INDEX(Aveia!$E73:$Z73,MIN(O$6-$G$3,22))),0)))))</f>
        <v>0</v>
      </c>
      <c r="P75" s="27" t="n">
        <f aca="false">IF(COUNT(Aveia!$E73:$Z73)=0,0,MAX(0,IF((P$6-$E$3)&lt;1,0,IFERROR(LOOKUP(2,1/(Aveia!$E73:INDEX(Aveia!$E73:$Z73,MIN(P$6-$E$3,22))&lt;&gt;""),Aveia!$E73:INDEX(Aveia!$E73:$Z73,MIN(P$6-$E$3,22))),0))-IF($G$2,0,IF((P$6-$G$3)&lt;1,0,IFERROR(LOOKUP(2,1/(Aveia!$E73:INDEX(Aveia!$E73:$Z73,MIN(P$6-$G$3,22))&lt;&gt;""),Aveia!$E73:INDEX(Aveia!$E73:$Z73,MIN(P$6-$G$3,22))),0)))))</f>
        <v>0</v>
      </c>
      <c r="Q75" s="27" t="n">
        <f aca="false">IF(COUNT(Aveia!$E73:$Z73)=0,0,MAX(0,IF((Q$6-$E$3)&lt;1,0,IFERROR(LOOKUP(2,1/(Aveia!$E73:INDEX(Aveia!$E73:$Z73,MIN(Q$6-$E$3,22))&lt;&gt;""),Aveia!$E73:INDEX(Aveia!$E73:$Z73,MIN(Q$6-$E$3,22))),0))-IF($G$2,0,IF((Q$6-$G$3)&lt;1,0,IFERROR(LOOKUP(2,1/(Aveia!$E73:INDEX(Aveia!$E73:$Z73,MIN(Q$6-$G$3,22))&lt;&gt;""),Aveia!$E73:INDEX(Aveia!$E73:$Z73,MIN(Q$6-$G$3,22))),0)))))</f>
        <v>0</v>
      </c>
      <c r="R75" s="27" t="n">
        <f aca="false">IF(COUNT(Aveia!$E73:$Z73)=0,0,MAX(0,IF((R$6-$E$3)&lt;1,0,IFERROR(LOOKUP(2,1/(Aveia!$E73:INDEX(Aveia!$E73:$Z73,MIN(R$6-$E$3,22))&lt;&gt;""),Aveia!$E73:INDEX(Aveia!$E73:$Z73,MIN(R$6-$E$3,22))),0))-IF($G$2,0,IF((R$6-$G$3)&lt;1,0,IFERROR(LOOKUP(2,1/(Aveia!$E73:INDEX(Aveia!$E73:$Z73,MIN(R$6-$G$3,22))&lt;&gt;""),Aveia!$E73:INDEX(Aveia!$E73:$Z73,MIN(R$6-$G$3,22))),0)))))</f>
        <v>0</v>
      </c>
      <c r="S75" s="27" t="n">
        <f aca="false">IF(COUNT(Aveia!$E73:$Z73)=0,0,MAX(0,IF((S$6-$E$3)&lt;1,0,IFERROR(LOOKUP(2,1/(Aveia!$E73:INDEX(Aveia!$E73:$Z73,MIN(S$6-$E$3,22))&lt;&gt;""),Aveia!$E73:INDEX(Aveia!$E73:$Z73,MIN(S$6-$E$3,22))),0))-IF($G$2,0,IF((S$6-$G$3)&lt;1,0,IFERROR(LOOKUP(2,1/(Aveia!$E73:INDEX(Aveia!$E73:$Z73,MIN(S$6-$G$3,22))&lt;&gt;""),Aveia!$E73:INDEX(Aveia!$E73:$Z73,MIN(S$6-$G$3,22))),0)))))</f>
        <v>0</v>
      </c>
      <c r="T75" s="27" t="n">
        <f aca="false">IF(COUNT(Aveia!$E73:$Z73)=0,0,MAX(0,IF((T$6-$E$3)&lt;1,0,IFERROR(LOOKUP(2,1/(Aveia!$E73:INDEX(Aveia!$E73:$Z73,MIN(T$6-$E$3,22))&lt;&gt;""),Aveia!$E73:INDEX(Aveia!$E73:$Z73,MIN(T$6-$E$3,22))),0))-IF($G$2,0,IF((T$6-$G$3)&lt;1,0,IFERROR(LOOKUP(2,1/(Aveia!$E73:INDEX(Aveia!$E73:$Z73,MIN(T$6-$G$3,22))&lt;&gt;""),Aveia!$E73:INDEX(Aveia!$E73:$Z73,MIN(T$6-$G$3,22))),0)))))</f>
        <v>0</v>
      </c>
      <c r="U75" s="27" t="n">
        <f aca="false">IF(COUNT(Aveia!$E73:$Z73)=0,0,MAX(0,IF((U$6-$E$3)&lt;1,0,IFERROR(LOOKUP(2,1/(Aveia!$E73:INDEX(Aveia!$E73:$Z73,MIN(U$6-$E$3,22))&lt;&gt;""),Aveia!$E73:INDEX(Aveia!$E73:$Z73,MIN(U$6-$E$3,22))),0))-IF($G$2,0,IF((U$6-$G$3)&lt;1,0,IFERROR(LOOKUP(2,1/(Aveia!$E73:INDEX(Aveia!$E73:$Z73,MIN(U$6-$G$3,22))&lt;&gt;""),Aveia!$E73:INDEX(Aveia!$E73:$Z73,MIN(U$6-$G$3,22))),0)))))</f>
        <v>0</v>
      </c>
      <c r="V75" s="27" t="n">
        <f aca="false">IF(COUNT(Aveia!$E73:$Z73)=0,0,MAX(0,IF((V$6-$E$3)&lt;1,0,IFERROR(LOOKUP(2,1/(Aveia!$E73:INDEX(Aveia!$E73:$Z73,MIN(V$6-$E$3,22))&lt;&gt;""),Aveia!$E73:INDEX(Aveia!$E73:$Z73,MIN(V$6-$E$3,22))),0))-IF($G$2,0,IF((V$6-$G$3)&lt;1,0,IFERROR(LOOKUP(2,1/(Aveia!$E73:INDEX(Aveia!$E73:$Z73,MIN(V$6-$G$3,22))&lt;&gt;""),Aveia!$E73:INDEX(Aveia!$E73:$Z73,MIN(V$6-$G$3,22))),0)))))</f>
        <v>0</v>
      </c>
      <c r="W75" s="27" t="n">
        <f aca="false">IF(COUNT(Aveia!$E73:$Z73)=0,0,MAX(0,IF((W$6-$E$3)&lt;1,0,IFERROR(LOOKUP(2,1/(Aveia!$E73:INDEX(Aveia!$E73:$Z73,MIN(W$6-$E$3,22))&lt;&gt;""),Aveia!$E73:INDEX(Aveia!$E73:$Z73,MIN(W$6-$E$3,22))),0))-IF($G$2,0,IF((W$6-$G$3)&lt;1,0,IFERROR(LOOKUP(2,1/(Aveia!$E73:INDEX(Aveia!$E73:$Z73,MIN(W$6-$G$3,22))&lt;&gt;""),Aveia!$E73:INDEX(Aveia!$E73:$Z73,MIN(W$6-$G$3,22))),0)))))</f>
        <v>0</v>
      </c>
      <c r="X75" s="27" t="n">
        <f aca="false">IF(COUNT(Aveia!$E73:$Z73)=0,0,MAX(0,IF((X$6-$E$3)&lt;1,0,IFERROR(LOOKUP(2,1/(Aveia!$E73:INDEX(Aveia!$E73:$Z73,MIN(X$6-$E$3,22))&lt;&gt;""),Aveia!$E73:INDEX(Aveia!$E73:$Z73,MIN(X$6-$E$3,22))),0))-IF($G$2,0,IF((X$6-$G$3)&lt;1,0,IFERROR(LOOKUP(2,1/(Aveia!$E73:INDEX(Aveia!$E73:$Z73,MIN(X$6-$G$3,22))&lt;&gt;""),Aveia!$E73:INDEX(Aveia!$E73:$Z73,MIN(X$6-$G$3,22))),0)))))</f>
        <v>0</v>
      </c>
      <c r="Y75" s="27" t="n">
        <f aca="false">IF(COUNT(Aveia!$E73:$Z73)=0,0,MAX(0,IF((Y$6-$E$3)&lt;1,0,IFERROR(LOOKUP(2,1/(Aveia!$E73:INDEX(Aveia!$E73:$Z73,MIN(Y$6-$E$3,22))&lt;&gt;""),Aveia!$E73:INDEX(Aveia!$E73:$Z73,MIN(Y$6-$E$3,22))),0))-IF($G$2,0,IF((Y$6-$G$3)&lt;1,0,IFERROR(LOOKUP(2,1/(Aveia!$E73:INDEX(Aveia!$E73:$Z73,MIN(Y$6-$G$3,22))&lt;&gt;""),Aveia!$E73:INDEX(Aveia!$E73:$Z73,MIN(Y$6-$G$3,22))),0)))))</f>
        <v>0</v>
      </c>
      <c r="Z75" s="27" t="n">
        <f aca="false">IF(COUNT(Aveia!$E73:$Z73)=0,0,MAX(0,IF((Z$6-$E$3)&lt;1,0,IFERROR(LOOKUP(2,1/(Aveia!$E73:INDEX(Aveia!$E73:$Z73,MIN(Z$6-$E$3,22))&lt;&gt;""),Aveia!$E73:INDEX(Aveia!$E73:$Z73,MIN(Z$6-$E$3,22))),0))-IF($G$2,0,IF((Z$6-$G$3)&lt;1,0,IFERROR(LOOKUP(2,1/(Aveia!$E73:INDEX(Aveia!$E73:$Z73,MIN(Z$6-$G$3,22))&lt;&gt;""),Aveia!$E73:INDEX(Aveia!$E73:$Z73,MIN(Z$6-$G$3,22))),0)))))</f>
        <v>0</v>
      </c>
      <c r="AA75" s="27" t="n">
        <f aca="false">IF(COUNT(Aveia!$E73:$Z73)=0,0,MAX(0,IF((AA$6-$E$3)&lt;1,0,IFERROR(LOOKUP(2,1/(Aveia!$E73:INDEX(Aveia!$E73:$Z73,MIN(AA$6-$E$3,22))&lt;&gt;""),Aveia!$E73:INDEX(Aveia!$E73:$Z73,MIN(AA$6-$E$3,22))),0))-IF($G$2,0,IF((AA$6-$G$3)&lt;1,0,IFERROR(LOOKUP(2,1/(Aveia!$E73:INDEX(Aveia!$E73:$Z73,MIN(AA$6-$G$3,22))&lt;&gt;""),Aveia!$E73:INDEX(Aveia!$E73:$Z73,MIN(AA$6-$G$3,22))),0)))))</f>
        <v>0</v>
      </c>
      <c r="AB75" s="27" t="n">
        <f aca="false">IF(COUNT(Aveia!$E73:$Z73)=0,0,MAX(0,IF((AB$6-$E$3)&lt;1,0,IFERROR(LOOKUP(2,1/(Aveia!$E73:INDEX(Aveia!$E73:$Z73,MIN(AB$6-$E$3,22))&lt;&gt;""),Aveia!$E73:INDEX(Aveia!$E73:$Z73,MIN(AB$6-$E$3,22))),0))-IF($G$2,0,IF((AB$6-$G$3)&lt;1,0,IFERROR(LOOKUP(2,1/(Aveia!$E73:INDEX(Aveia!$E73:$Z73,MIN(AB$6-$G$3,22))&lt;&gt;""),Aveia!$E73:INDEX(Aveia!$E73:$Z73,MIN(AB$6-$G$3,22))),0)))))</f>
        <v>0</v>
      </c>
      <c r="AC75" s="27" t="n">
        <f aca="false">IF(COUNT(Aveia!$E73:$Z73)=0,0,MAX(0,IF((AC$6-$E$3)&lt;1,0,IFERROR(LOOKUP(2,1/(Aveia!$E73:INDEX(Aveia!$E73:$Z73,MIN(AC$6-$E$3,22))&lt;&gt;""),Aveia!$E73:INDEX(Aveia!$E73:$Z73,MIN(AC$6-$E$3,22))),0))-IF($G$2,0,IF((AC$6-$G$3)&lt;1,0,IFERROR(LOOKUP(2,1/(Aveia!$E73:INDEX(Aveia!$E73:$Z73,MIN(AC$6-$G$3,22))&lt;&gt;""),Aveia!$E73:INDEX(Aveia!$E73:$Z73,MIN(AC$6-$G$3,22))),0)))))</f>
        <v>0</v>
      </c>
      <c r="AD75" s="27" t="n">
        <f aca="false">IF(COUNT(Aveia!$E73:$Z73)=0,0,MAX(0,IF((AD$6-$E$3)&lt;1,0,IFERROR(LOOKUP(2,1/(Aveia!$E73:INDEX(Aveia!$E73:$Z73,MIN(AD$6-$E$3,22))&lt;&gt;""),Aveia!$E73:INDEX(Aveia!$E73:$Z73,MIN(AD$6-$E$3,22))),0))-IF($G$2,0,IF((AD$6-$G$3)&lt;1,0,IFERROR(LOOKUP(2,1/(Aveia!$E73:INDEX(Aveia!$E73:$Z73,MIN(AD$6-$G$3,22))&lt;&gt;""),Aveia!$E73:INDEX(Aveia!$E73:$Z73,MIN(AD$6-$G$3,22))),0)))))</f>
        <v>0</v>
      </c>
      <c r="AE75" s="27" t="n">
        <f aca="false">IF(COUNT(Aveia!$E73:$Z73)=0,0,MAX(0,IF((AE$6-$E$3)&lt;1,0,IFERROR(LOOKUP(2,1/(Aveia!$E73:INDEX(Aveia!$E73:$Z73,MIN(AE$6-$E$3,22))&lt;&gt;""),Aveia!$E73:INDEX(Aveia!$E73:$Z73,MIN(AE$6-$E$3,22))),0))-IF($G$2,0,IF((AE$6-$G$3)&lt;1,0,IFERROR(LOOKUP(2,1/(Aveia!$E73:INDEX(Aveia!$E73:$Z73,MIN(AE$6-$G$3,22))&lt;&gt;""),Aveia!$E73:INDEX(Aveia!$E73:$Z73,MIN(AE$6-$G$3,22))),0)))))</f>
        <v>0</v>
      </c>
      <c r="AF75" s="27" t="n">
        <f aca="false">IF(COUNT(Aveia!$E73:$Z73)=0,0,MAX(0,IF((AF$6-$E$3)&lt;1,0,IFERROR(LOOKUP(2,1/(Aveia!$E73:INDEX(Aveia!$E73:$Z73,MIN(AF$6-$E$3,22))&lt;&gt;""),Aveia!$E73:INDEX(Aveia!$E73:$Z73,MIN(AF$6-$E$3,22))),0))-IF($G$2,0,IF((AF$6-$G$3)&lt;1,0,IFERROR(LOOKUP(2,1/(Aveia!$E73:INDEX(Aveia!$E73:$Z73,MIN(AF$6-$G$3,22))&lt;&gt;""),Aveia!$E73:INDEX(Aveia!$E73:$Z73,MIN(AF$6-$G$3,22))),0)))))</f>
        <v>0</v>
      </c>
      <c r="AG75" s="27" t="n">
        <f aca="false">IF(COUNT(Aveia!$E73:$Z73)=0,0,MAX(0,IF((AG$6-$E$3)&lt;1,0,IFERROR(LOOKUP(2,1/(Aveia!$E73:INDEX(Aveia!$E73:$Z73,MIN(AG$6-$E$3,22))&lt;&gt;""),Aveia!$E73:INDEX(Aveia!$E73:$Z73,MIN(AG$6-$E$3,22))),0))-IF($G$2,0,IF((AG$6-$G$3)&lt;1,0,IFERROR(LOOKUP(2,1/(Aveia!$E73:INDEX(Aveia!$E73:$Z73,MIN(AG$6-$G$3,22))&lt;&gt;""),Aveia!$E73:INDEX(Aveia!$E73:$Z73,MIN(AG$6-$G$3,22))),0)))))</f>
        <v>0</v>
      </c>
      <c r="AH75" s="27" t="n">
        <f aca="false">IF(COUNT(Aveia!$E73:$Z73)=0,0,MAX(0,IF((AH$6-$E$3)&lt;1,0,IFERROR(LOOKUP(2,1/(Aveia!$E73:INDEX(Aveia!$E73:$Z73,MIN(AH$6-$E$3,22))&lt;&gt;""),Aveia!$E73:INDEX(Aveia!$E73:$Z73,MIN(AH$6-$E$3,22))),0))-IF($G$2,0,IF((AH$6-$G$3)&lt;1,0,IFERROR(LOOKUP(2,1/(Aveia!$E73:INDEX(Aveia!$E73:$Z73,MIN(AH$6-$G$3,22))&lt;&gt;""),Aveia!$E73:INDEX(Aveia!$E73:$Z73,MIN(AH$6-$G$3,22))),0)))))</f>
        <v>0</v>
      </c>
      <c r="AI75" s="27" t="n">
        <f aca="false">IF(COUNT(Aveia!$E73:$Z73)=0,0,MAX(0,IF((AI$6-$E$3)&lt;1,0,IFERROR(LOOKUP(2,1/(Aveia!$E73:INDEX(Aveia!$E73:$Z73,MIN(AI$6-$E$3,22))&lt;&gt;""),Aveia!$E73:INDEX(Aveia!$E73:$Z73,MIN(AI$6-$E$3,22))),0))-IF($G$2,0,IF((AI$6-$G$3)&lt;1,0,IFERROR(LOOKUP(2,1/(Aveia!$E73:INDEX(Aveia!$E73:$Z73,MIN(AI$6-$G$3,22))&lt;&gt;""),Aveia!$E73:INDEX(Aveia!$E73:$Z73,MIN(AI$6-$G$3,22))),0)))))</f>
        <v>0</v>
      </c>
      <c r="AJ75" s="27" t="n">
        <f aca="false">IF(COUNT(Aveia!$E73:$Z73)=0,0,MAX(0,IF((AJ$6-$E$3)&lt;1,0,IFERROR(LOOKUP(2,1/(Aveia!$E73:INDEX(Aveia!$E73:$Z73,MIN(AJ$6-$E$3,22))&lt;&gt;""),Aveia!$E73:INDEX(Aveia!$E73:$Z73,MIN(AJ$6-$E$3,22))),0))-IF($G$2,0,IF((AJ$6-$G$3)&lt;1,0,IFERROR(LOOKUP(2,1/(Aveia!$E73:INDEX(Aveia!$E73:$Z73,MIN(AJ$6-$G$3,22))&lt;&gt;""),Aveia!$E73:INDEX(Aveia!$E73:$Z73,MIN(AJ$6-$G$3,22))),0)))))</f>
        <v>0</v>
      </c>
      <c r="AK75" s="27" t="n">
        <f aca="false">IF(COUNT(Aveia!$E73:$Z73)=0,0,MAX(0,IF((AK$6-$E$3)&lt;1,0,IFERROR(LOOKUP(2,1/(Aveia!$E73:INDEX(Aveia!$E73:$Z73,MIN(AK$6-$E$3,22))&lt;&gt;""),Aveia!$E73:INDEX(Aveia!$E73:$Z73,MIN(AK$6-$E$3,22))),0))-IF($G$2,0,IF((AK$6-$G$3)&lt;1,0,IFERROR(LOOKUP(2,1/(Aveia!$E73:INDEX(Aveia!$E73:$Z73,MIN(AK$6-$G$3,22))&lt;&gt;""),Aveia!$E73:INDEX(Aveia!$E73:$Z73,MIN(AK$6-$G$3,22))),0)))))</f>
        <v>0</v>
      </c>
      <c r="AL75" s="27" t="n">
        <f aca="false">IF(COUNT(Aveia!$E73:$Z73)=0,0,MAX(0,IF((AL$6-$E$3)&lt;1,0,IFERROR(LOOKUP(2,1/(Aveia!$E73:INDEX(Aveia!$E73:$Z73,MIN(AL$6-$E$3,22))&lt;&gt;""),Aveia!$E73:INDEX(Aveia!$E73:$Z73,MIN(AL$6-$E$3,22))),0))-IF($G$2,0,IF((AL$6-$G$3)&lt;1,0,IFERROR(LOOKUP(2,1/(Aveia!$E73:INDEX(Aveia!$E73:$Z73,MIN(AL$6-$G$3,22))&lt;&gt;""),Aveia!$E73:INDEX(Aveia!$E73:$Z73,MIN(AL$6-$G$3,22))),0)))))</f>
        <v>0</v>
      </c>
      <c r="AM75" s="27" t="n">
        <f aca="false">IF(COUNT(Aveia!$E73:$Z73)=0,0,MAX(0,IF((AM$6-$E$3)&lt;1,0,IFERROR(LOOKUP(2,1/(Aveia!$E73:INDEX(Aveia!$E73:$Z73,MIN(AM$6-$E$3,22))&lt;&gt;""),Aveia!$E73:INDEX(Aveia!$E73:$Z73,MIN(AM$6-$E$3,22))),0))-IF($G$2,0,IF((AM$6-$G$3)&lt;1,0,IFERROR(LOOKUP(2,1/(Aveia!$E73:INDEX(Aveia!$E73:$Z73,MIN(AM$6-$G$3,22))&lt;&gt;""),Aveia!$E73:INDEX(Aveia!$E73:$Z73,MIN(AM$6-$G$3,22))),0)))))</f>
        <v>0</v>
      </c>
      <c r="AN75" s="27" t="n">
        <f aca="false">IF(COUNT(Aveia!$E73:$Z73)=0,0,MAX(0,IF((AN$6-$E$3)&lt;1,0,IFERROR(LOOKUP(2,1/(Aveia!$E73:INDEX(Aveia!$E73:$Z73,MIN(AN$6-$E$3,22))&lt;&gt;""),Aveia!$E73:INDEX(Aveia!$E73:$Z73,MIN(AN$6-$E$3,22))),0))-IF($G$2,0,IF((AN$6-$G$3)&lt;1,0,IFERROR(LOOKUP(2,1/(Aveia!$E73:INDEX(Aveia!$E73:$Z73,MIN(AN$6-$G$3,22))&lt;&gt;""),Aveia!$E73:INDEX(Aveia!$E73:$Z73,MIN(AN$6-$G$3,22))),0)))))</f>
        <v>0</v>
      </c>
      <c r="AO75" s="27" t="n">
        <f aca="false">IF(COUNT(Aveia!$E73:$Z73)=0,0,MAX(0,IF((AO$6-$E$3)&lt;1,0,IFERROR(LOOKUP(2,1/(Aveia!$E73:INDEX(Aveia!$E73:$Z73,MIN(AO$6-$E$3,22))&lt;&gt;""),Aveia!$E73:INDEX(Aveia!$E73:$Z73,MIN(AO$6-$E$3,22))),0))-IF($G$2,0,IF((AO$6-$G$3)&lt;1,0,IFERROR(LOOKUP(2,1/(Aveia!$E73:INDEX(Aveia!$E73:$Z73,MIN(AO$6-$G$3,22))&lt;&gt;""),Aveia!$E73:INDEX(Aveia!$E73:$Z73,MIN(AO$6-$G$3,22))),0)))))</f>
        <v>0</v>
      </c>
      <c r="AP75" s="27" t="n">
        <f aca="false">IF(COUNT(Aveia!$E73:$Z73)=0,0,MAX(0,IF((AP$6-$E$3)&lt;1,0,IFERROR(LOOKUP(2,1/(Aveia!$E73:INDEX(Aveia!$E73:$Z73,MIN(AP$6-$E$3,22))&lt;&gt;""),Aveia!$E73:INDEX(Aveia!$E73:$Z73,MIN(AP$6-$E$3,22))),0))-IF($G$2,0,IF((AP$6-$G$3)&lt;1,0,IFERROR(LOOKUP(2,1/(Aveia!$E73:INDEX(Aveia!$E73:$Z73,MIN(AP$6-$G$3,22))&lt;&gt;""),Aveia!$E73:INDEX(Aveia!$E73:$Z73,MIN(AP$6-$G$3,22))),0)))))</f>
        <v>0</v>
      </c>
      <c r="AQ75" s="27" t="n">
        <f aca="false">IF(COUNT(Aveia!$E73:$Z73)=0,0,MAX(0,IF((AQ$6-$E$3)&lt;1,0,IFERROR(LOOKUP(2,1/(Aveia!$E73:INDEX(Aveia!$E73:$Z73,MIN(AQ$6-$E$3,22))&lt;&gt;""),Aveia!$E73:INDEX(Aveia!$E73:$Z73,MIN(AQ$6-$E$3,22))),0))-IF($G$2,0,IF((AQ$6-$G$3)&lt;1,0,IFERROR(LOOKUP(2,1/(Aveia!$E73:INDEX(Aveia!$E73:$Z73,MIN(AQ$6-$G$3,22))&lt;&gt;""),Aveia!$E73:INDEX(Aveia!$E73:$Z73,MIN(AQ$6-$G$3,22))),0)))))</f>
        <v>0</v>
      </c>
      <c r="AR75" s="27" t="n">
        <f aca="false">IF(COUNT(Aveia!$E73:$Z73)=0,0,MAX(0,IF((AR$6-$E$3)&lt;1,0,IFERROR(LOOKUP(2,1/(Aveia!$E73:INDEX(Aveia!$E73:$Z73,MIN(AR$6-$E$3,22))&lt;&gt;""),Aveia!$E73:INDEX(Aveia!$E73:$Z73,MIN(AR$6-$E$3,22))),0))-IF($G$2,0,IF((AR$6-$G$3)&lt;1,0,IFERROR(LOOKUP(2,1/(Aveia!$E73:INDEX(Aveia!$E73:$Z73,MIN(AR$6-$G$3,22))&lt;&gt;""),Aveia!$E73:INDEX(Aveia!$E73:$Z73,MIN(AR$6-$G$3,22))),0)))))</f>
        <v>0</v>
      </c>
      <c r="AS75" s="27" t="n">
        <f aca="false">IF(COUNT(Aveia!$E73:$Z73)=0,0,MAX(0,IF((AS$6-$E$3)&lt;1,0,IFERROR(LOOKUP(2,1/(Aveia!$E73:INDEX(Aveia!$E73:$Z73,MIN(AS$6-$E$3,22))&lt;&gt;""),Aveia!$E73:INDEX(Aveia!$E73:$Z73,MIN(AS$6-$E$3,22))),0))-IF($G$2,0,IF((AS$6-$G$3)&lt;1,0,IFERROR(LOOKUP(2,1/(Aveia!$E73:INDEX(Aveia!$E73:$Z73,MIN(AS$6-$G$3,22))&lt;&gt;""),Aveia!$E73:INDEX(Aveia!$E73:$Z73,MIN(AS$6-$G$3,22))),0)))))</f>
        <v>0</v>
      </c>
      <c r="AT75" s="27" t="n">
        <f aca="false">IF(COUNT(Aveia!$E73:$Z73)=0,0,MAX(0,IF((AT$6-$E$3)&lt;1,0,IFERROR(LOOKUP(2,1/(Aveia!$E73:INDEX(Aveia!$E73:$Z73,MIN(AT$6-$E$3,22))&lt;&gt;""),Aveia!$E73:INDEX(Aveia!$E73:$Z73,MIN(AT$6-$E$3,22))),0))-IF($G$2,0,IF((AT$6-$G$3)&lt;1,0,IFERROR(LOOKUP(2,1/(Aveia!$E73:INDEX(Aveia!$E73:$Z73,MIN(AT$6-$G$3,22))&lt;&gt;""),Aveia!$E73:INDEX(Aveia!$E73:$Z73,MIN(AT$6-$G$3,22))),0)))))</f>
        <v>0</v>
      </c>
      <c r="AU75" s="27" t="n">
        <f aca="false">IF(COUNT(Aveia!$E73:$Z73)=0,0,MAX(0,IF((AU$6-$E$3)&lt;1,0,IFERROR(LOOKUP(2,1/(Aveia!$E73:INDEX(Aveia!$E73:$Z73,MIN(AU$6-$E$3,22))&lt;&gt;""),Aveia!$E73:INDEX(Aveia!$E73:$Z73,MIN(AU$6-$E$3,22))),0))-IF($G$2,0,IF((AU$6-$G$3)&lt;1,0,IFERROR(LOOKUP(2,1/(Aveia!$E73:INDEX(Aveia!$E73:$Z73,MIN(AU$6-$G$3,22))&lt;&gt;""),Aveia!$E73:INDEX(Aveia!$E73:$Z73,MIN(AU$6-$G$3,22))),0)))))</f>
        <v>0</v>
      </c>
      <c r="AV75" s="27" t="n">
        <f aca="false">IF(COUNT(Aveia!$E73:$Z73)=0,0,MAX(0,IF((AV$6-$E$3)&lt;1,0,IFERROR(LOOKUP(2,1/(Aveia!$E73:INDEX(Aveia!$E73:$Z73,MIN(AV$6-$E$3,22))&lt;&gt;""),Aveia!$E73:INDEX(Aveia!$E73:$Z73,MIN(AV$6-$E$3,22))),0))-IF($G$2,0,IF((AV$6-$G$3)&lt;1,0,IFERROR(LOOKUP(2,1/(Aveia!$E73:INDEX(Aveia!$E73:$Z73,MIN(AV$6-$G$3,22))&lt;&gt;""),Aveia!$E73:INDEX(Aveia!$E73:$Z73,MIN(AV$6-$G$3,22))),0)))))</f>
        <v>0</v>
      </c>
      <c r="AW75" s="27" t="n">
        <f aca="false">IF(COUNT(Aveia!$E73:$Z73)=0,0,MAX(0,IF((AW$6-$E$3)&lt;1,0,IFERROR(LOOKUP(2,1/(Aveia!$E73:INDEX(Aveia!$E73:$Z73,MIN(AW$6-$E$3,22))&lt;&gt;""),Aveia!$E73:INDEX(Aveia!$E73:$Z73,MIN(AW$6-$E$3,22))),0))-IF($G$2,0,IF((AW$6-$G$3)&lt;1,0,IFERROR(LOOKUP(2,1/(Aveia!$E73:INDEX(Aveia!$E73:$Z73,MIN(AW$6-$G$3,22))&lt;&gt;""),Aveia!$E73:INDEX(Aveia!$E73:$Z73,MIN(AW$6-$G$3,22))),0)))))</f>
        <v>0</v>
      </c>
      <c r="AX75" s="27" t="n">
        <f aca="false">IF(COUNT(Aveia!$E73:$Z73)=0,0,MAX(0,IF((AX$6-$E$3)&lt;1,0,IFERROR(LOOKUP(2,1/(Aveia!$E73:INDEX(Aveia!$E73:$Z73,MIN(AX$6-$E$3,22))&lt;&gt;""),Aveia!$E73:INDEX(Aveia!$E73:$Z73,MIN(AX$6-$E$3,22))),0))-IF($G$2,0,IF((AX$6-$G$3)&lt;1,0,IFERROR(LOOKUP(2,1/(Aveia!$E73:INDEX(Aveia!$E73:$Z73,MIN(AX$6-$G$3,22))&lt;&gt;""),Aveia!$E73:INDEX(Aveia!$E73:$Z73,MIN(AX$6-$G$3,22))),0)))))</f>
        <v>0</v>
      </c>
      <c r="AY75" s="27" t="n">
        <f aca="false">IF(COUNT(Aveia!$E73:$Z73)=0,0,MAX(0,IF((AY$6-$E$3)&lt;1,0,IFERROR(LOOKUP(2,1/(Aveia!$E73:INDEX(Aveia!$E73:$Z73,MIN(AY$6-$E$3,22))&lt;&gt;""),Aveia!$E73:INDEX(Aveia!$E73:$Z73,MIN(AY$6-$E$3,22))),0))-IF($G$2,0,IF((AY$6-$G$3)&lt;1,0,IFERROR(LOOKUP(2,1/(Aveia!$E73:INDEX(Aveia!$E73:$Z73,MIN(AY$6-$G$3,22))&lt;&gt;""),Aveia!$E73:INDEX(Aveia!$E73:$Z73,MIN(AY$6-$G$3,22))),0)))))</f>
        <v>0</v>
      </c>
      <c r="AZ75" s="27" t="n">
        <f aca="false">IF(COUNT(Aveia!$E73:$Z73)=0,0,MAX(0,IF((AZ$6-$E$3)&lt;1,0,IFERROR(LOOKUP(2,1/(Aveia!$E73:INDEX(Aveia!$E73:$Z73,MIN(AZ$6-$E$3,22))&lt;&gt;""),Aveia!$E73:INDEX(Aveia!$E73:$Z73,MIN(AZ$6-$E$3,22))),0))-IF($G$2,0,IF((AZ$6-$G$3)&lt;1,0,IFERROR(LOOKUP(2,1/(Aveia!$E73:INDEX(Aveia!$E73:$Z73,MIN(AZ$6-$G$3,22))&lt;&gt;""),Aveia!$E73:INDEX(Aveia!$E73:$Z73,MIN(AZ$6-$G$3,22))),0)))))</f>
        <v>0</v>
      </c>
    </row>
    <row r="76" customFormat="false" ht="15" hidden="false" customHeight="false" outlineLevel="0" collapsed="false">
      <c r="A76" s="3" t="s">
        <v>270</v>
      </c>
      <c r="B76" s="3" t="s">
        <v>271</v>
      </c>
      <c r="C76" s="10" t="s">
        <v>158</v>
      </c>
      <c r="D76" s="26" t="n">
        <f aca="false">IF(COUNT(Aveia!$E74:$Z74)&gt;0,N(Aveia!$D74),0)</f>
        <v>0</v>
      </c>
      <c r="E76" s="27" t="n">
        <f aca="false">IF(COUNT(Aveia!$E74:$Z74)=0,0,MAX(0,IF((E$6-$E$3)&lt;1,0,IFERROR(LOOKUP(2,1/(Aveia!$E74:INDEX(Aveia!$E74:$Z74,MIN(E$6-$E$3,22))&lt;&gt;""),Aveia!$E74:INDEX(Aveia!$E74:$Z74,MIN(E$6-$E$3,22))),0))-IF($G$2,0,IF((E$6-$G$3)&lt;1,0,IFERROR(LOOKUP(2,1/(Aveia!$E74:INDEX(Aveia!$E74:$Z74,MIN(E$6-$G$3,22))&lt;&gt;""),Aveia!$E74:INDEX(Aveia!$E74:$Z74,MIN(E$6-$G$3,22))),0)))))</f>
        <v>0</v>
      </c>
      <c r="F76" s="27" t="n">
        <f aca="false">IF(COUNT(Aveia!$E74:$Z74)=0,0,MAX(0,IF((F$6-$E$3)&lt;1,0,IFERROR(LOOKUP(2,1/(Aveia!$E74:INDEX(Aveia!$E74:$Z74,MIN(F$6-$E$3,22))&lt;&gt;""),Aveia!$E74:INDEX(Aveia!$E74:$Z74,MIN(F$6-$E$3,22))),0))-IF($G$2,0,IF((F$6-$G$3)&lt;1,0,IFERROR(LOOKUP(2,1/(Aveia!$E74:INDEX(Aveia!$E74:$Z74,MIN(F$6-$G$3,22))&lt;&gt;""),Aveia!$E74:INDEX(Aveia!$E74:$Z74,MIN(F$6-$G$3,22))),0)))))</f>
        <v>0</v>
      </c>
      <c r="G76" s="27" t="n">
        <f aca="false">IF(COUNT(Aveia!$E74:$Z74)=0,0,MAX(0,IF((G$6-$E$3)&lt;1,0,IFERROR(LOOKUP(2,1/(Aveia!$E74:INDEX(Aveia!$E74:$Z74,MIN(G$6-$E$3,22))&lt;&gt;""),Aveia!$E74:INDEX(Aveia!$E74:$Z74,MIN(G$6-$E$3,22))),0))-IF($G$2,0,IF((G$6-$G$3)&lt;1,0,IFERROR(LOOKUP(2,1/(Aveia!$E74:INDEX(Aveia!$E74:$Z74,MIN(G$6-$G$3,22))&lt;&gt;""),Aveia!$E74:INDEX(Aveia!$E74:$Z74,MIN(G$6-$G$3,22))),0)))))</f>
        <v>0</v>
      </c>
      <c r="H76" s="27" t="n">
        <f aca="false">IF(COUNT(Aveia!$E74:$Z74)=0,0,MAX(0,IF((H$6-$E$3)&lt;1,0,IFERROR(LOOKUP(2,1/(Aveia!$E74:INDEX(Aveia!$E74:$Z74,MIN(H$6-$E$3,22))&lt;&gt;""),Aveia!$E74:INDEX(Aveia!$E74:$Z74,MIN(H$6-$E$3,22))),0))-IF($G$2,0,IF((H$6-$G$3)&lt;1,0,IFERROR(LOOKUP(2,1/(Aveia!$E74:INDEX(Aveia!$E74:$Z74,MIN(H$6-$G$3,22))&lt;&gt;""),Aveia!$E74:INDEX(Aveia!$E74:$Z74,MIN(H$6-$G$3,22))),0)))))</f>
        <v>0</v>
      </c>
      <c r="I76" s="27" t="n">
        <f aca="false">IF(COUNT(Aveia!$E74:$Z74)=0,0,MAX(0,IF((I$6-$E$3)&lt;1,0,IFERROR(LOOKUP(2,1/(Aveia!$E74:INDEX(Aveia!$E74:$Z74,MIN(I$6-$E$3,22))&lt;&gt;""),Aveia!$E74:INDEX(Aveia!$E74:$Z74,MIN(I$6-$E$3,22))),0))-IF($G$2,0,IF((I$6-$G$3)&lt;1,0,IFERROR(LOOKUP(2,1/(Aveia!$E74:INDEX(Aveia!$E74:$Z74,MIN(I$6-$G$3,22))&lt;&gt;""),Aveia!$E74:INDEX(Aveia!$E74:$Z74,MIN(I$6-$G$3,22))),0)))))</f>
        <v>0</v>
      </c>
      <c r="J76" s="27" t="n">
        <f aca="false">IF(COUNT(Aveia!$E74:$Z74)=0,0,MAX(0,IF((J$6-$E$3)&lt;1,0,IFERROR(LOOKUP(2,1/(Aveia!$E74:INDEX(Aveia!$E74:$Z74,MIN(J$6-$E$3,22))&lt;&gt;""),Aveia!$E74:INDEX(Aveia!$E74:$Z74,MIN(J$6-$E$3,22))),0))-IF($G$2,0,IF((J$6-$G$3)&lt;1,0,IFERROR(LOOKUP(2,1/(Aveia!$E74:INDEX(Aveia!$E74:$Z74,MIN(J$6-$G$3,22))&lt;&gt;""),Aveia!$E74:INDEX(Aveia!$E74:$Z74,MIN(J$6-$G$3,22))),0)))))</f>
        <v>0</v>
      </c>
      <c r="K76" s="27" t="n">
        <f aca="false">IF(COUNT(Aveia!$E74:$Z74)=0,0,MAX(0,IF((K$6-$E$3)&lt;1,0,IFERROR(LOOKUP(2,1/(Aveia!$E74:INDEX(Aveia!$E74:$Z74,MIN(K$6-$E$3,22))&lt;&gt;""),Aveia!$E74:INDEX(Aveia!$E74:$Z74,MIN(K$6-$E$3,22))),0))-IF($G$2,0,IF((K$6-$G$3)&lt;1,0,IFERROR(LOOKUP(2,1/(Aveia!$E74:INDEX(Aveia!$E74:$Z74,MIN(K$6-$G$3,22))&lt;&gt;""),Aveia!$E74:INDEX(Aveia!$E74:$Z74,MIN(K$6-$G$3,22))),0)))))</f>
        <v>0</v>
      </c>
      <c r="L76" s="27" t="n">
        <f aca="false">IF(COUNT(Aveia!$E74:$Z74)=0,0,MAX(0,IF((L$6-$E$3)&lt;1,0,IFERROR(LOOKUP(2,1/(Aveia!$E74:INDEX(Aveia!$E74:$Z74,MIN(L$6-$E$3,22))&lt;&gt;""),Aveia!$E74:INDEX(Aveia!$E74:$Z74,MIN(L$6-$E$3,22))),0))-IF($G$2,0,IF((L$6-$G$3)&lt;1,0,IFERROR(LOOKUP(2,1/(Aveia!$E74:INDEX(Aveia!$E74:$Z74,MIN(L$6-$G$3,22))&lt;&gt;""),Aveia!$E74:INDEX(Aveia!$E74:$Z74,MIN(L$6-$G$3,22))),0)))))</f>
        <v>0</v>
      </c>
      <c r="M76" s="27" t="n">
        <f aca="false">IF(COUNT(Aveia!$E74:$Z74)=0,0,MAX(0,IF((M$6-$E$3)&lt;1,0,IFERROR(LOOKUP(2,1/(Aveia!$E74:INDEX(Aveia!$E74:$Z74,MIN(M$6-$E$3,22))&lt;&gt;""),Aveia!$E74:INDEX(Aveia!$E74:$Z74,MIN(M$6-$E$3,22))),0))-IF($G$2,0,IF((M$6-$G$3)&lt;1,0,IFERROR(LOOKUP(2,1/(Aveia!$E74:INDEX(Aveia!$E74:$Z74,MIN(M$6-$G$3,22))&lt;&gt;""),Aveia!$E74:INDEX(Aveia!$E74:$Z74,MIN(M$6-$G$3,22))),0)))))</f>
        <v>0</v>
      </c>
      <c r="N76" s="27" t="n">
        <f aca="false">IF(COUNT(Aveia!$E74:$Z74)=0,0,MAX(0,IF((N$6-$E$3)&lt;1,0,IFERROR(LOOKUP(2,1/(Aveia!$E74:INDEX(Aveia!$E74:$Z74,MIN(N$6-$E$3,22))&lt;&gt;""),Aveia!$E74:INDEX(Aveia!$E74:$Z74,MIN(N$6-$E$3,22))),0))-IF($G$2,0,IF((N$6-$G$3)&lt;1,0,IFERROR(LOOKUP(2,1/(Aveia!$E74:INDEX(Aveia!$E74:$Z74,MIN(N$6-$G$3,22))&lt;&gt;""),Aveia!$E74:INDEX(Aveia!$E74:$Z74,MIN(N$6-$G$3,22))),0)))))</f>
        <v>0</v>
      </c>
      <c r="O76" s="27" t="n">
        <f aca="false">IF(COUNT(Aveia!$E74:$Z74)=0,0,MAX(0,IF((O$6-$E$3)&lt;1,0,IFERROR(LOOKUP(2,1/(Aveia!$E74:INDEX(Aveia!$E74:$Z74,MIN(O$6-$E$3,22))&lt;&gt;""),Aveia!$E74:INDEX(Aveia!$E74:$Z74,MIN(O$6-$E$3,22))),0))-IF($G$2,0,IF((O$6-$G$3)&lt;1,0,IFERROR(LOOKUP(2,1/(Aveia!$E74:INDEX(Aveia!$E74:$Z74,MIN(O$6-$G$3,22))&lt;&gt;""),Aveia!$E74:INDEX(Aveia!$E74:$Z74,MIN(O$6-$G$3,22))),0)))))</f>
        <v>0</v>
      </c>
      <c r="P76" s="27" t="n">
        <f aca="false">IF(COUNT(Aveia!$E74:$Z74)=0,0,MAX(0,IF((P$6-$E$3)&lt;1,0,IFERROR(LOOKUP(2,1/(Aveia!$E74:INDEX(Aveia!$E74:$Z74,MIN(P$6-$E$3,22))&lt;&gt;""),Aveia!$E74:INDEX(Aveia!$E74:$Z74,MIN(P$6-$E$3,22))),0))-IF($G$2,0,IF((P$6-$G$3)&lt;1,0,IFERROR(LOOKUP(2,1/(Aveia!$E74:INDEX(Aveia!$E74:$Z74,MIN(P$6-$G$3,22))&lt;&gt;""),Aveia!$E74:INDEX(Aveia!$E74:$Z74,MIN(P$6-$G$3,22))),0)))))</f>
        <v>0</v>
      </c>
      <c r="Q76" s="27" t="n">
        <f aca="false">IF(COUNT(Aveia!$E74:$Z74)=0,0,MAX(0,IF((Q$6-$E$3)&lt;1,0,IFERROR(LOOKUP(2,1/(Aveia!$E74:INDEX(Aveia!$E74:$Z74,MIN(Q$6-$E$3,22))&lt;&gt;""),Aveia!$E74:INDEX(Aveia!$E74:$Z74,MIN(Q$6-$E$3,22))),0))-IF($G$2,0,IF((Q$6-$G$3)&lt;1,0,IFERROR(LOOKUP(2,1/(Aveia!$E74:INDEX(Aveia!$E74:$Z74,MIN(Q$6-$G$3,22))&lt;&gt;""),Aveia!$E74:INDEX(Aveia!$E74:$Z74,MIN(Q$6-$G$3,22))),0)))))</f>
        <v>0</v>
      </c>
      <c r="R76" s="27" t="n">
        <f aca="false">IF(COUNT(Aveia!$E74:$Z74)=0,0,MAX(0,IF((R$6-$E$3)&lt;1,0,IFERROR(LOOKUP(2,1/(Aveia!$E74:INDEX(Aveia!$E74:$Z74,MIN(R$6-$E$3,22))&lt;&gt;""),Aveia!$E74:INDEX(Aveia!$E74:$Z74,MIN(R$6-$E$3,22))),0))-IF($G$2,0,IF((R$6-$G$3)&lt;1,0,IFERROR(LOOKUP(2,1/(Aveia!$E74:INDEX(Aveia!$E74:$Z74,MIN(R$6-$G$3,22))&lt;&gt;""),Aveia!$E74:INDEX(Aveia!$E74:$Z74,MIN(R$6-$G$3,22))),0)))))</f>
        <v>0</v>
      </c>
      <c r="S76" s="27" t="n">
        <f aca="false">IF(COUNT(Aveia!$E74:$Z74)=0,0,MAX(0,IF((S$6-$E$3)&lt;1,0,IFERROR(LOOKUP(2,1/(Aveia!$E74:INDEX(Aveia!$E74:$Z74,MIN(S$6-$E$3,22))&lt;&gt;""),Aveia!$E74:INDEX(Aveia!$E74:$Z74,MIN(S$6-$E$3,22))),0))-IF($G$2,0,IF((S$6-$G$3)&lt;1,0,IFERROR(LOOKUP(2,1/(Aveia!$E74:INDEX(Aveia!$E74:$Z74,MIN(S$6-$G$3,22))&lt;&gt;""),Aveia!$E74:INDEX(Aveia!$E74:$Z74,MIN(S$6-$G$3,22))),0)))))</f>
        <v>0</v>
      </c>
      <c r="T76" s="27" t="n">
        <f aca="false">IF(COUNT(Aveia!$E74:$Z74)=0,0,MAX(0,IF((T$6-$E$3)&lt;1,0,IFERROR(LOOKUP(2,1/(Aveia!$E74:INDEX(Aveia!$E74:$Z74,MIN(T$6-$E$3,22))&lt;&gt;""),Aveia!$E74:INDEX(Aveia!$E74:$Z74,MIN(T$6-$E$3,22))),0))-IF($G$2,0,IF((T$6-$G$3)&lt;1,0,IFERROR(LOOKUP(2,1/(Aveia!$E74:INDEX(Aveia!$E74:$Z74,MIN(T$6-$G$3,22))&lt;&gt;""),Aveia!$E74:INDEX(Aveia!$E74:$Z74,MIN(T$6-$G$3,22))),0)))))</f>
        <v>0</v>
      </c>
      <c r="U76" s="27" t="n">
        <f aca="false">IF(COUNT(Aveia!$E74:$Z74)=0,0,MAX(0,IF((U$6-$E$3)&lt;1,0,IFERROR(LOOKUP(2,1/(Aveia!$E74:INDEX(Aveia!$E74:$Z74,MIN(U$6-$E$3,22))&lt;&gt;""),Aveia!$E74:INDEX(Aveia!$E74:$Z74,MIN(U$6-$E$3,22))),0))-IF($G$2,0,IF((U$6-$G$3)&lt;1,0,IFERROR(LOOKUP(2,1/(Aveia!$E74:INDEX(Aveia!$E74:$Z74,MIN(U$6-$G$3,22))&lt;&gt;""),Aveia!$E74:INDEX(Aveia!$E74:$Z74,MIN(U$6-$G$3,22))),0)))))</f>
        <v>0</v>
      </c>
      <c r="V76" s="27" t="n">
        <f aca="false">IF(COUNT(Aveia!$E74:$Z74)=0,0,MAX(0,IF((V$6-$E$3)&lt;1,0,IFERROR(LOOKUP(2,1/(Aveia!$E74:INDEX(Aveia!$E74:$Z74,MIN(V$6-$E$3,22))&lt;&gt;""),Aveia!$E74:INDEX(Aveia!$E74:$Z74,MIN(V$6-$E$3,22))),0))-IF($G$2,0,IF((V$6-$G$3)&lt;1,0,IFERROR(LOOKUP(2,1/(Aveia!$E74:INDEX(Aveia!$E74:$Z74,MIN(V$6-$G$3,22))&lt;&gt;""),Aveia!$E74:INDEX(Aveia!$E74:$Z74,MIN(V$6-$G$3,22))),0)))))</f>
        <v>0</v>
      </c>
      <c r="W76" s="27" t="n">
        <f aca="false">IF(COUNT(Aveia!$E74:$Z74)=0,0,MAX(0,IF((W$6-$E$3)&lt;1,0,IFERROR(LOOKUP(2,1/(Aveia!$E74:INDEX(Aveia!$E74:$Z74,MIN(W$6-$E$3,22))&lt;&gt;""),Aveia!$E74:INDEX(Aveia!$E74:$Z74,MIN(W$6-$E$3,22))),0))-IF($G$2,0,IF((W$6-$G$3)&lt;1,0,IFERROR(LOOKUP(2,1/(Aveia!$E74:INDEX(Aveia!$E74:$Z74,MIN(W$6-$G$3,22))&lt;&gt;""),Aveia!$E74:INDEX(Aveia!$E74:$Z74,MIN(W$6-$G$3,22))),0)))))</f>
        <v>0</v>
      </c>
      <c r="X76" s="27" t="n">
        <f aca="false">IF(COUNT(Aveia!$E74:$Z74)=0,0,MAX(0,IF((X$6-$E$3)&lt;1,0,IFERROR(LOOKUP(2,1/(Aveia!$E74:INDEX(Aveia!$E74:$Z74,MIN(X$6-$E$3,22))&lt;&gt;""),Aveia!$E74:INDEX(Aveia!$E74:$Z74,MIN(X$6-$E$3,22))),0))-IF($G$2,0,IF((X$6-$G$3)&lt;1,0,IFERROR(LOOKUP(2,1/(Aveia!$E74:INDEX(Aveia!$E74:$Z74,MIN(X$6-$G$3,22))&lt;&gt;""),Aveia!$E74:INDEX(Aveia!$E74:$Z74,MIN(X$6-$G$3,22))),0)))))</f>
        <v>0</v>
      </c>
      <c r="Y76" s="27" t="n">
        <f aca="false">IF(COUNT(Aveia!$E74:$Z74)=0,0,MAX(0,IF((Y$6-$E$3)&lt;1,0,IFERROR(LOOKUP(2,1/(Aveia!$E74:INDEX(Aveia!$E74:$Z74,MIN(Y$6-$E$3,22))&lt;&gt;""),Aveia!$E74:INDEX(Aveia!$E74:$Z74,MIN(Y$6-$E$3,22))),0))-IF($G$2,0,IF((Y$6-$G$3)&lt;1,0,IFERROR(LOOKUP(2,1/(Aveia!$E74:INDEX(Aveia!$E74:$Z74,MIN(Y$6-$G$3,22))&lt;&gt;""),Aveia!$E74:INDEX(Aveia!$E74:$Z74,MIN(Y$6-$G$3,22))),0)))))</f>
        <v>0</v>
      </c>
      <c r="Z76" s="27" t="n">
        <f aca="false">IF(COUNT(Aveia!$E74:$Z74)=0,0,MAX(0,IF((Z$6-$E$3)&lt;1,0,IFERROR(LOOKUP(2,1/(Aveia!$E74:INDEX(Aveia!$E74:$Z74,MIN(Z$6-$E$3,22))&lt;&gt;""),Aveia!$E74:INDEX(Aveia!$E74:$Z74,MIN(Z$6-$E$3,22))),0))-IF($G$2,0,IF((Z$6-$G$3)&lt;1,0,IFERROR(LOOKUP(2,1/(Aveia!$E74:INDEX(Aveia!$E74:$Z74,MIN(Z$6-$G$3,22))&lt;&gt;""),Aveia!$E74:INDEX(Aveia!$E74:$Z74,MIN(Z$6-$G$3,22))),0)))))</f>
        <v>0</v>
      </c>
      <c r="AA76" s="27" t="n">
        <f aca="false">IF(COUNT(Aveia!$E74:$Z74)=0,0,MAX(0,IF((AA$6-$E$3)&lt;1,0,IFERROR(LOOKUP(2,1/(Aveia!$E74:INDEX(Aveia!$E74:$Z74,MIN(AA$6-$E$3,22))&lt;&gt;""),Aveia!$E74:INDEX(Aveia!$E74:$Z74,MIN(AA$6-$E$3,22))),0))-IF($G$2,0,IF((AA$6-$G$3)&lt;1,0,IFERROR(LOOKUP(2,1/(Aveia!$E74:INDEX(Aveia!$E74:$Z74,MIN(AA$6-$G$3,22))&lt;&gt;""),Aveia!$E74:INDEX(Aveia!$E74:$Z74,MIN(AA$6-$G$3,22))),0)))))</f>
        <v>0</v>
      </c>
      <c r="AB76" s="27" t="n">
        <f aca="false">IF(COUNT(Aveia!$E74:$Z74)=0,0,MAX(0,IF((AB$6-$E$3)&lt;1,0,IFERROR(LOOKUP(2,1/(Aveia!$E74:INDEX(Aveia!$E74:$Z74,MIN(AB$6-$E$3,22))&lt;&gt;""),Aveia!$E74:INDEX(Aveia!$E74:$Z74,MIN(AB$6-$E$3,22))),0))-IF($G$2,0,IF((AB$6-$G$3)&lt;1,0,IFERROR(LOOKUP(2,1/(Aveia!$E74:INDEX(Aveia!$E74:$Z74,MIN(AB$6-$G$3,22))&lt;&gt;""),Aveia!$E74:INDEX(Aveia!$E74:$Z74,MIN(AB$6-$G$3,22))),0)))))</f>
        <v>0</v>
      </c>
      <c r="AC76" s="27" t="n">
        <f aca="false">IF(COUNT(Aveia!$E74:$Z74)=0,0,MAX(0,IF((AC$6-$E$3)&lt;1,0,IFERROR(LOOKUP(2,1/(Aveia!$E74:INDEX(Aveia!$E74:$Z74,MIN(AC$6-$E$3,22))&lt;&gt;""),Aveia!$E74:INDEX(Aveia!$E74:$Z74,MIN(AC$6-$E$3,22))),0))-IF($G$2,0,IF((AC$6-$G$3)&lt;1,0,IFERROR(LOOKUP(2,1/(Aveia!$E74:INDEX(Aveia!$E74:$Z74,MIN(AC$6-$G$3,22))&lt;&gt;""),Aveia!$E74:INDEX(Aveia!$E74:$Z74,MIN(AC$6-$G$3,22))),0)))))</f>
        <v>0</v>
      </c>
      <c r="AD76" s="27" t="n">
        <f aca="false">IF(COUNT(Aveia!$E74:$Z74)=0,0,MAX(0,IF((AD$6-$E$3)&lt;1,0,IFERROR(LOOKUP(2,1/(Aveia!$E74:INDEX(Aveia!$E74:$Z74,MIN(AD$6-$E$3,22))&lt;&gt;""),Aveia!$E74:INDEX(Aveia!$E74:$Z74,MIN(AD$6-$E$3,22))),0))-IF($G$2,0,IF((AD$6-$G$3)&lt;1,0,IFERROR(LOOKUP(2,1/(Aveia!$E74:INDEX(Aveia!$E74:$Z74,MIN(AD$6-$G$3,22))&lt;&gt;""),Aveia!$E74:INDEX(Aveia!$E74:$Z74,MIN(AD$6-$G$3,22))),0)))))</f>
        <v>0</v>
      </c>
      <c r="AE76" s="27" t="n">
        <f aca="false">IF(COUNT(Aveia!$E74:$Z74)=0,0,MAX(0,IF((AE$6-$E$3)&lt;1,0,IFERROR(LOOKUP(2,1/(Aveia!$E74:INDEX(Aveia!$E74:$Z74,MIN(AE$6-$E$3,22))&lt;&gt;""),Aveia!$E74:INDEX(Aveia!$E74:$Z74,MIN(AE$6-$E$3,22))),0))-IF($G$2,0,IF((AE$6-$G$3)&lt;1,0,IFERROR(LOOKUP(2,1/(Aveia!$E74:INDEX(Aveia!$E74:$Z74,MIN(AE$6-$G$3,22))&lt;&gt;""),Aveia!$E74:INDEX(Aveia!$E74:$Z74,MIN(AE$6-$G$3,22))),0)))))</f>
        <v>0</v>
      </c>
      <c r="AF76" s="27" t="n">
        <f aca="false">IF(COUNT(Aveia!$E74:$Z74)=0,0,MAX(0,IF((AF$6-$E$3)&lt;1,0,IFERROR(LOOKUP(2,1/(Aveia!$E74:INDEX(Aveia!$E74:$Z74,MIN(AF$6-$E$3,22))&lt;&gt;""),Aveia!$E74:INDEX(Aveia!$E74:$Z74,MIN(AF$6-$E$3,22))),0))-IF($G$2,0,IF((AF$6-$G$3)&lt;1,0,IFERROR(LOOKUP(2,1/(Aveia!$E74:INDEX(Aveia!$E74:$Z74,MIN(AF$6-$G$3,22))&lt;&gt;""),Aveia!$E74:INDEX(Aveia!$E74:$Z74,MIN(AF$6-$G$3,22))),0)))))</f>
        <v>0</v>
      </c>
      <c r="AG76" s="27" t="n">
        <f aca="false">IF(COUNT(Aveia!$E74:$Z74)=0,0,MAX(0,IF((AG$6-$E$3)&lt;1,0,IFERROR(LOOKUP(2,1/(Aveia!$E74:INDEX(Aveia!$E74:$Z74,MIN(AG$6-$E$3,22))&lt;&gt;""),Aveia!$E74:INDEX(Aveia!$E74:$Z74,MIN(AG$6-$E$3,22))),0))-IF($G$2,0,IF((AG$6-$G$3)&lt;1,0,IFERROR(LOOKUP(2,1/(Aveia!$E74:INDEX(Aveia!$E74:$Z74,MIN(AG$6-$G$3,22))&lt;&gt;""),Aveia!$E74:INDEX(Aveia!$E74:$Z74,MIN(AG$6-$G$3,22))),0)))))</f>
        <v>0</v>
      </c>
      <c r="AH76" s="27" t="n">
        <f aca="false">IF(COUNT(Aveia!$E74:$Z74)=0,0,MAX(0,IF((AH$6-$E$3)&lt;1,0,IFERROR(LOOKUP(2,1/(Aveia!$E74:INDEX(Aveia!$E74:$Z74,MIN(AH$6-$E$3,22))&lt;&gt;""),Aveia!$E74:INDEX(Aveia!$E74:$Z74,MIN(AH$6-$E$3,22))),0))-IF($G$2,0,IF((AH$6-$G$3)&lt;1,0,IFERROR(LOOKUP(2,1/(Aveia!$E74:INDEX(Aveia!$E74:$Z74,MIN(AH$6-$G$3,22))&lt;&gt;""),Aveia!$E74:INDEX(Aveia!$E74:$Z74,MIN(AH$6-$G$3,22))),0)))))</f>
        <v>0</v>
      </c>
      <c r="AI76" s="27" t="n">
        <f aca="false">IF(COUNT(Aveia!$E74:$Z74)=0,0,MAX(0,IF((AI$6-$E$3)&lt;1,0,IFERROR(LOOKUP(2,1/(Aveia!$E74:INDEX(Aveia!$E74:$Z74,MIN(AI$6-$E$3,22))&lt;&gt;""),Aveia!$E74:INDEX(Aveia!$E74:$Z74,MIN(AI$6-$E$3,22))),0))-IF($G$2,0,IF((AI$6-$G$3)&lt;1,0,IFERROR(LOOKUP(2,1/(Aveia!$E74:INDEX(Aveia!$E74:$Z74,MIN(AI$6-$G$3,22))&lt;&gt;""),Aveia!$E74:INDEX(Aveia!$E74:$Z74,MIN(AI$6-$G$3,22))),0)))))</f>
        <v>0</v>
      </c>
      <c r="AJ76" s="27" t="n">
        <f aca="false">IF(COUNT(Aveia!$E74:$Z74)=0,0,MAX(0,IF((AJ$6-$E$3)&lt;1,0,IFERROR(LOOKUP(2,1/(Aveia!$E74:INDEX(Aveia!$E74:$Z74,MIN(AJ$6-$E$3,22))&lt;&gt;""),Aveia!$E74:INDEX(Aveia!$E74:$Z74,MIN(AJ$6-$E$3,22))),0))-IF($G$2,0,IF((AJ$6-$G$3)&lt;1,0,IFERROR(LOOKUP(2,1/(Aveia!$E74:INDEX(Aveia!$E74:$Z74,MIN(AJ$6-$G$3,22))&lt;&gt;""),Aveia!$E74:INDEX(Aveia!$E74:$Z74,MIN(AJ$6-$G$3,22))),0)))))</f>
        <v>0</v>
      </c>
      <c r="AK76" s="27" t="n">
        <f aca="false">IF(COUNT(Aveia!$E74:$Z74)=0,0,MAX(0,IF((AK$6-$E$3)&lt;1,0,IFERROR(LOOKUP(2,1/(Aveia!$E74:INDEX(Aveia!$E74:$Z74,MIN(AK$6-$E$3,22))&lt;&gt;""),Aveia!$E74:INDEX(Aveia!$E74:$Z74,MIN(AK$6-$E$3,22))),0))-IF($G$2,0,IF((AK$6-$G$3)&lt;1,0,IFERROR(LOOKUP(2,1/(Aveia!$E74:INDEX(Aveia!$E74:$Z74,MIN(AK$6-$G$3,22))&lt;&gt;""),Aveia!$E74:INDEX(Aveia!$E74:$Z74,MIN(AK$6-$G$3,22))),0)))))</f>
        <v>0</v>
      </c>
      <c r="AL76" s="27" t="n">
        <f aca="false">IF(COUNT(Aveia!$E74:$Z74)=0,0,MAX(0,IF((AL$6-$E$3)&lt;1,0,IFERROR(LOOKUP(2,1/(Aveia!$E74:INDEX(Aveia!$E74:$Z74,MIN(AL$6-$E$3,22))&lt;&gt;""),Aveia!$E74:INDEX(Aveia!$E74:$Z74,MIN(AL$6-$E$3,22))),0))-IF($G$2,0,IF((AL$6-$G$3)&lt;1,0,IFERROR(LOOKUP(2,1/(Aveia!$E74:INDEX(Aveia!$E74:$Z74,MIN(AL$6-$G$3,22))&lt;&gt;""),Aveia!$E74:INDEX(Aveia!$E74:$Z74,MIN(AL$6-$G$3,22))),0)))))</f>
        <v>0</v>
      </c>
      <c r="AM76" s="27" t="n">
        <f aca="false">IF(COUNT(Aveia!$E74:$Z74)=0,0,MAX(0,IF((AM$6-$E$3)&lt;1,0,IFERROR(LOOKUP(2,1/(Aveia!$E74:INDEX(Aveia!$E74:$Z74,MIN(AM$6-$E$3,22))&lt;&gt;""),Aveia!$E74:INDEX(Aveia!$E74:$Z74,MIN(AM$6-$E$3,22))),0))-IF($G$2,0,IF((AM$6-$G$3)&lt;1,0,IFERROR(LOOKUP(2,1/(Aveia!$E74:INDEX(Aveia!$E74:$Z74,MIN(AM$6-$G$3,22))&lt;&gt;""),Aveia!$E74:INDEX(Aveia!$E74:$Z74,MIN(AM$6-$G$3,22))),0)))))</f>
        <v>0</v>
      </c>
      <c r="AN76" s="27" t="n">
        <f aca="false">IF(COUNT(Aveia!$E74:$Z74)=0,0,MAX(0,IF((AN$6-$E$3)&lt;1,0,IFERROR(LOOKUP(2,1/(Aveia!$E74:INDEX(Aveia!$E74:$Z74,MIN(AN$6-$E$3,22))&lt;&gt;""),Aveia!$E74:INDEX(Aveia!$E74:$Z74,MIN(AN$6-$E$3,22))),0))-IF($G$2,0,IF((AN$6-$G$3)&lt;1,0,IFERROR(LOOKUP(2,1/(Aveia!$E74:INDEX(Aveia!$E74:$Z74,MIN(AN$6-$G$3,22))&lt;&gt;""),Aveia!$E74:INDEX(Aveia!$E74:$Z74,MIN(AN$6-$G$3,22))),0)))))</f>
        <v>0</v>
      </c>
      <c r="AO76" s="27" t="n">
        <f aca="false">IF(COUNT(Aveia!$E74:$Z74)=0,0,MAX(0,IF((AO$6-$E$3)&lt;1,0,IFERROR(LOOKUP(2,1/(Aveia!$E74:INDEX(Aveia!$E74:$Z74,MIN(AO$6-$E$3,22))&lt;&gt;""),Aveia!$E74:INDEX(Aveia!$E74:$Z74,MIN(AO$6-$E$3,22))),0))-IF($G$2,0,IF((AO$6-$G$3)&lt;1,0,IFERROR(LOOKUP(2,1/(Aveia!$E74:INDEX(Aveia!$E74:$Z74,MIN(AO$6-$G$3,22))&lt;&gt;""),Aveia!$E74:INDEX(Aveia!$E74:$Z74,MIN(AO$6-$G$3,22))),0)))))</f>
        <v>0</v>
      </c>
      <c r="AP76" s="27" t="n">
        <f aca="false">IF(COUNT(Aveia!$E74:$Z74)=0,0,MAX(0,IF((AP$6-$E$3)&lt;1,0,IFERROR(LOOKUP(2,1/(Aveia!$E74:INDEX(Aveia!$E74:$Z74,MIN(AP$6-$E$3,22))&lt;&gt;""),Aveia!$E74:INDEX(Aveia!$E74:$Z74,MIN(AP$6-$E$3,22))),0))-IF($G$2,0,IF((AP$6-$G$3)&lt;1,0,IFERROR(LOOKUP(2,1/(Aveia!$E74:INDEX(Aveia!$E74:$Z74,MIN(AP$6-$G$3,22))&lt;&gt;""),Aveia!$E74:INDEX(Aveia!$E74:$Z74,MIN(AP$6-$G$3,22))),0)))))</f>
        <v>0</v>
      </c>
      <c r="AQ76" s="27" t="n">
        <f aca="false">IF(COUNT(Aveia!$E74:$Z74)=0,0,MAX(0,IF((AQ$6-$E$3)&lt;1,0,IFERROR(LOOKUP(2,1/(Aveia!$E74:INDEX(Aveia!$E74:$Z74,MIN(AQ$6-$E$3,22))&lt;&gt;""),Aveia!$E74:INDEX(Aveia!$E74:$Z74,MIN(AQ$6-$E$3,22))),0))-IF($G$2,0,IF((AQ$6-$G$3)&lt;1,0,IFERROR(LOOKUP(2,1/(Aveia!$E74:INDEX(Aveia!$E74:$Z74,MIN(AQ$6-$G$3,22))&lt;&gt;""),Aveia!$E74:INDEX(Aveia!$E74:$Z74,MIN(AQ$6-$G$3,22))),0)))))</f>
        <v>0</v>
      </c>
      <c r="AR76" s="27" t="n">
        <f aca="false">IF(COUNT(Aveia!$E74:$Z74)=0,0,MAX(0,IF((AR$6-$E$3)&lt;1,0,IFERROR(LOOKUP(2,1/(Aveia!$E74:INDEX(Aveia!$E74:$Z74,MIN(AR$6-$E$3,22))&lt;&gt;""),Aveia!$E74:INDEX(Aveia!$E74:$Z74,MIN(AR$6-$E$3,22))),0))-IF($G$2,0,IF((AR$6-$G$3)&lt;1,0,IFERROR(LOOKUP(2,1/(Aveia!$E74:INDEX(Aveia!$E74:$Z74,MIN(AR$6-$G$3,22))&lt;&gt;""),Aveia!$E74:INDEX(Aveia!$E74:$Z74,MIN(AR$6-$G$3,22))),0)))))</f>
        <v>0</v>
      </c>
      <c r="AS76" s="27" t="n">
        <f aca="false">IF(COUNT(Aveia!$E74:$Z74)=0,0,MAX(0,IF((AS$6-$E$3)&lt;1,0,IFERROR(LOOKUP(2,1/(Aveia!$E74:INDEX(Aveia!$E74:$Z74,MIN(AS$6-$E$3,22))&lt;&gt;""),Aveia!$E74:INDEX(Aveia!$E74:$Z74,MIN(AS$6-$E$3,22))),0))-IF($G$2,0,IF((AS$6-$G$3)&lt;1,0,IFERROR(LOOKUP(2,1/(Aveia!$E74:INDEX(Aveia!$E74:$Z74,MIN(AS$6-$G$3,22))&lt;&gt;""),Aveia!$E74:INDEX(Aveia!$E74:$Z74,MIN(AS$6-$G$3,22))),0)))))</f>
        <v>0</v>
      </c>
      <c r="AT76" s="27" t="n">
        <f aca="false">IF(COUNT(Aveia!$E74:$Z74)=0,0,MAX(0,IF((AT$6-$E$3)&lt;1,0,IFERROR(LOOKUP(2,1/(Aveia!$E74:INDEX(Aveia!$E74:$Z74,MIN(AT$6-$E$3,22))&lt;&gt;""),Aveia!$E74:INDEX(Aveia!$E74:$Z74,MIN(AT$6-$E$3,22))),0))-IF($G$2,0,IF((AT$6-$G$3)&lt;1,0,IFERROR(LOOKUP(2,1/(Aveia!$E74:INDEX(Aveia!$E74:$Z74,MIN(AT$6-$G$3,22))&lt;&gt;""),Aveia!$E74:INDEX(Aveia!$E74:$Z74,MIN(AT$6-$G$3,22))),0)))))</f>
        <v>0</v>
      </c>
      <c r="AU76" s="27" t="n">
        <f aca="false">IF(COUNT(Aveia!$E74:$Z74)=0,0,MAX(0,IF((AU$6-$E$3)&lt;1,0,IFERROR(LOOKUP(2,1/(Aveia!$E74:INDEX(Aveia!$E74:$Z74,MIN(AU$6-$E$3,22))&lt;&gt;""),Aveia!$E74:INDEX(Aveia!$E74:$Z74,MIN(AU$6-$E$3,22))),0))-IF($G$2,0,IF((AU$6-$G$3)&lt;1,0,IFERROR(LOOKUP(2,1/(Aveia!$E74:INDEX(Aveia!$E74:$Z74,MIN(AU$6-$G$3,22))&lt;&gt;""),Aveia!$E74:INDEX(Aveia!$E74:$Z74,MIN(AU$6-$G$3,22))),0)))))</f>
        <v>0</v>
      </c>
      <c r="AV76" s="27" t="n">
        <f aca="false">IF(COUNT(Aveia!$E74:$Z74)=0,0,MAX(0,IF((AV$6-$E$3)&lt;1,0,IFERROR(LOOKUP(2,1/(Aveia!$E74:INDEX(Aveia!$E74:$Z74,MIN(AV$6-$E$3,22))&lt;&gt;""),Aveia!$E74:INDEX(Aveia!$E74:$Z74,MIN(AV$6-$E$3,22))),0))-IF($G$2,0,IF((AV$6-$G$3)&lt;1,0,IFERROR(LOOKUP(2,1/(Aveia!$E74:INDEX(Aveia!$E74:$Z74,MIN(AV$6-$G$3,22))&lt;&gt;""),Aveia!$E74:INDEX(Aveia!$E74:$Z74,MIN(AV$6-$G$3,22))),0)))))</f>
        <v>0</v>
      </c>
      <c r="AW76" s="27" t="n">
        <f aca="false">IF(COUNT(Aveia!$E74:$Z74)=0,0,MAX(0,IF((AW$6-$E$3)&lt;1,0,IFERROR(LOOKUP(2,1/(Aveia!$E74:INDEX(Aveia!$E74:$Z74,MIN(AW$6-$E$3,22))&lt;&gt;""),Aveia!$E74:INDEX(Aveia!$E74:$Z74,MIN(AW$6-$E$3,22))),0))-IF($G$2,0,IF((AW$6-$G$3)&lt;1,0,IFERROR(LOOKUP(2,1/(Aveia!$E74:INDEX(Aveia!$E74:$Z74,MIN(AW$6-$G$3,22))&lt;&gt;""),Aveia!$E74:INDEX(Aveia!$E74:$Z74,MIN(AW$6-$G$3,22))),0)))))</f>
        <v>0</v>
      </c>
      <c r="AX76" s="27" t="n">
        <f aca="false">IF(COUNT(Aveia!$E74:$Z74)=0,0,MAX(0,IF((AX$6-$E$3)&lt;1,0,IFERROR(LOOKUP(2,1/(Aveia!$E74:INDEX(Aveia!$E74:$Z74,MIN(AX$6-$E$3,22))&lt;&gt;""),Aveia!$E74:INDEX(Aveia!$E74:$Z74,MIN(AX$6-$E$3,22))),0))-IF($G$2,0,IF((AX$6-$G$3)&lt;1,0,IFERROR(LOOKUP(2,1/(Aveia!$E74:INDEX(Aveia!$E74:$Z74,MIN(AX$6-$G$3,22))&lt;&gt;""),Aveia!$E74:INDEX(Aveia!$E74:$Z74,MIN(AX$6-$G$3,22))),0)))))</f>
        <v>0</v>
      </c>
      <c r="AY76" s="27" t="n">
        <f aca="false">IF(COUNT(Aveia!$E74:$Z74)=0,0,MAX(0,IF((AY$6-$E$3)&lt;1,0,IFERROR(LOOKUP(2,1/(Aveia!$E74:INDEX(Aveia!$E74:$Z74,MIN(AY$6-$E$3,22))&lt;&gt;""),Aveia!$E74:INDEX(Aveia!$E74:$Z74,MIN(AY$6-$E$3,22))),0))-IF($G$2,0,IF((AY$6-$G$3)&lt;1,0,IFERROR(LOOKUP(2,1/(Aveia!$E74:INDEX(Aveia!$E74:$Z74,MIN(AY$6-$G$3,22))&lt;&gt;""),Aveia!$E74:INDEX(Aveia!$E74:$Z74,MIN(AY$6-$G$3,22))),0)))))</f>
        <v>0</v>
      </c>
      <c r="AZ76" s="27" t="n">
        <f aca="false">IF(COUNT(Aveia!$E74:$Z74)=0,0,MAX(0,IF((AZ$6-$E$3)&lt;1,0,IFERROR(LOOKUP(2,1/(Aveia!$E74:INDEX(Aveia!$E74:$Z74,MIN(AZ$6-$E$3,22))&lt;&gt;""),Aveia!$E74:INDEX(Aveia!$E74:$Z74,MIN(AZ$6-$E$3,22))),0))-IF($G$2,0,IF((AZ$6-$G$3)&lt;1,0,IFERROR(LOOKUP(2,1/(Aveia!$E74:INDEX(Aveia!$E74:$Z74,MIN(AZ$6-$G$3,22))&lt;&gt;""),Aveia!$E74:INDEX(Aveia!$E74:$Z74,MIN(AZ$6-$G$3,22))),0)))))</f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10" t="s">
        <v>134</v>
      </c>
      <c r="D77" s="26" t="n">
        <f aca="false">IF(COUNT(Aveia!$E75:$Z75)&gt;0,N(Aveia!$D75),0)</f>
        <v>0</v>
      </c>
      <c r="E77" s="27" t="n">
        <f aca="false">IF(COUNT(Aveia!$E75:$Z75)=0,0,MAX(0,IF((E$6-$E$3)&lt;1,0,IFERROR(LOOKUP(2,1/(Aveia!$E75:INDEX(Aveia!$E75:$Z75,MIN(E$6-$E$3,22))&lt;&gt;""),Aveia!$E75:INDEX(Aveia!$E75:$Z75,MIN(E$6-$E$3,22))),0))-IF($G$2,0,IF((E$6-$G$3)&lt;1,0,IFERROR(LOOKUP(2,1/(Aveia!$E75:INDEX(Aveia!$E75:$Z75,MIN(E$6-$G$3,22))&lt;&gt;""),Aveia!$E75:INDEX(Aveia!$E75:$Z75,MIN(E$6-$G$3,22))),0)))))</f>
        <v>0</v>
      </c>
      <c r="F77" s="27" t="n">
        <f aca="false">IF(COUNT(Aveia!$E75:$Z75)=0,0,MAX(0,IF((F$6-$E$3)&lt;1,0,IFERROR(LOOKUP(2,1/(Aveia!$E75:INDEX(Aveia!$E75:$Z75,MIN(F$6-$E$3,22))&lt;&gt;""),Aveia!$E75:INDEX(Aveia!$E75:$Z75,MIN(F$6-$E$3,22))),0))-IF($G$2,0,IF((F$6-$G$3)&lt;1,0,IFERROR(LOOKUP(2,1/(Aveia!$E75:INDEX(Aveia!$E75:$Z75,MIN(F$6-$G$3,22))&lt;&gt;""),Aveia!$E75:INDEX(Aveia!$E75:$Z75,MIN(F$6-$G$3,22))),0)))))</f>
        <v>0</v>
      </c>
      <c r="G77" s="27" t="n">
        <f aca="false">IF(COUNT(Aveia!$E75:$Z75)=0,0,MAX(0,IF((G$6-$E$3)&lt;1,0,IFERROR(LOOKUP(2,1/(Aveia!$E75:INDEX(Aveia!$E75:$Z75,MIN(G$6-$E$3,22))&lt;&gt;""),Aveia!$E75:INDEX(Aveia!$E75:$Z75,MIN(G$6-$E$3,22))),0))-IF($G$2,0,IF((G$6-$G$3)&lt;1,0,IFERROR(LOOKUP(2,1/(Aveia!$E75:INDEX(Aveia!$E75:$Z75,MIN(G$6-$G$3,22))&lt;&gt;""),Aveia!$E75:INDEX(Aveia!$E75:$Z75,MIN(G$6-$G$3,22))),0)))))</f>
        <v>0</v>
      </c>
      <c r="H77" s="27" t="n">
        <f aca="false">IF(COUNT(Aveia!$E75:$Z75)=0,0,MAX(0,IF((H$6-$E$3)&lt;1,0,IFERROR(LOOKUP(2,1/(Aveia!$E75:INDEX(Aveia!$E75:$Z75,MIN(H$6-$E$3,22))&lt;&gt;""),Aveia!$E75:INDEX(Aveia!$E75:$Z75,MIN(H$6-$E$3,22))),0))-IF($G$2,0,IF((H$6-$G$3)&lt;1,0,IFERROR(LOOKUP(2,1/(Aveia!$E75:INDEX(Aveia!$E75:$Z75,MIN(H$6-$G$3,22))&lt;&gt;""),Aveia!$E75:INDEX(Aveia!$E75:$Z75,MIN(H$6-$G$3,22))),0)))))</f>
        <v>0</v>
      </c>
      <c r="I77" s="27" t="n">
        <f aca="false">IF(COUNT(Aveia!$E75:$Z75)=0,0,MAX(0,IF((I$6-$E$3)&lt;1,0,IFERROR(LOOKUP(2,1/(Aveia!$E75:INDEX(Aveia!$E75:$Z75,MIN(I$6-$E$3,22))&lt;&gt;""),Aveia!$E75:INDEX(Aveia!$E75:$Z75,MIN(I$6-$E$3,22))),0))-IF($G$2,0,IF((I$6-$G$3)&lt;1,0,IFERROR(LOOKUP(2,1/(Aveia!$E75:INDEX(Aveia!$E75:$Z75,MIN(I$6-$G$3,22))&lt;&gt;""),Aveia!$E75:INDEX(Aveia!$E75:$Z75,MIN(I$6-$G$3,22))),0)))))</f>
        <v>0</v>
      </c>
      <c r="J77" s="27" t="n">
        <f aca="false">IF(COUNT(Aveia!$E75:$Z75)=0,0,MAX(0,IF((J$6-$E$3)&lt;1,0,IFERROR(LOOKUP(2,1/(Aveia!$E75:INDEX(Aveia!$E75:$Z75,MIN(J$6-$E$3,22))&lt;&gt;""),Aveia!$E75:INDEX(Aveia!$E75:$Z75,MIN(J$6-$E$3,22))),0))-IF($G$2,0,IF((J$6-$G$3)&lt;1,0,IFERROR(LOOKUP(2,1/(Aveia!$E75:INDEX(Aveia!$E75:$Z75,MIN(J$6-$G$3,22))&lt;&gt;""),Aveia!$E75:INDEX(Aveia!$E75:$Z75,MIN(J$6-$G$3,22))),0)))))</f>
        <v>0</v>
      </c>
      <c r="K77" s="27" t="n">
        <f aca="false">IF(COUNT(Aveia!$E75:$Z75)=0,0,MAX(0,IF((K$6-$E$3)&lt;1,0,IFERROR(LOOKUP(2,1/(Aveia!$E75:INDEX(Aveia!$E75:$Z75,MIN(K$6-$E$3,22))&lt;&gt;""),Aveia!$E75:INDEX(Aveia!$E75:$Z75,MIN(K$6-$E$3,22))),0))-IF($G$2,0,IF((K$6-$G$3)&lt;1,0,IFERROR(LOOKUP(2,1/(Aveia!$E75:INDEX(Aveia!$E75:$Z75,MIN(K$6-$G$3,22))&lt;&gt;""),Aveia!$E75:INDEX(Aveia!$E75:$Z75,MIN(K$6-$G$3,22))),0)))))</f>
        <v>0</v>
      </c>
      <c r="L77" s="27" t="n">
        <f aca="false">IF(COUNT(Aveia!$E75:$Z75)=0,0,MAX(0,IF((L$6-$E$3)&lt;1,0,IFERROR(LOOKUP(2,1/(Aveia!$E75:INDEX(Aveia!$E75:$Z75,MIN(L$6-$E$3,22))&lt;&gt;""),Aveia!$E75:INDEX(Aveia!$E75:$Z75,MIN(L$6-$E$3,22))),0))-IF($G$2,0,IF((L$6-$G$3)&lt;1,0,IFERROR(LOOKUP(2,1/(Aveia!$E75:INDEX(Aveia!$E75:$Z75,MIN(L$6-$G$3,22))&lt;&gt;""),Aveia!$E75:INDEX(Aveia!$E75:$Z75,MIN(L$6-$G$3,22))),0)))))</f>
        <v>0</v>
      </c>
      <c r="M77" s="27" t="n">
        <f aca="false">IF(COUNT(Aveia!$E75:$Z75)=0,0,MAX(0,IF((M$6-$E$3)&lt;1,0,IFERROR(LOOKUP(2,1/(Aveia!$E75:INDEX(Aveia!$E75:$Z75,MIN(M$6-$E$3,22))&lt;&gt;""),Aveia!$E75:INDEX(Aveia!$E75:$Z75,MIN(M$6-$E$3,22))),0))-IF($G$2,0,IF((M$6-$G$3)&lt;1,0,IFERROR(LOOKUP(2,1/(Aveia!$E75:INDEX(Aveia!$E75:$Z75,MIN(M$6-$G$3,22))&lt;&gt;""),Aveia!$E75:INDEX(Aveia!$E75:$Z75,MIN(M$6-$G$3,22))),0)))))</f>
        <v>0</v>
      </c>
      <c r="N77" s="27" t="n">
        <f aca="false">IF(COUNT(Aveia!$E75:$Z75)=0,0,MAX(0,IF((N$6-$E$3)&lt;1,0,IFERROR(LOOKUP(2,1/(Aveia!$E75:INDEX(Aveia!$E75:$Z75,MIN(N$6-$E$3,22))&lt;&gt;""),Aveia!$E75:INDEX(Aveia!$E75:$Z75,MIN(N$6-$E$3,22))),0))-IF($G$2,0,IF((N$6-$G$3)&lt;1,0,IFERROR(LOOKUP(2,1/(Aveia!$E75:INDEX(Aveia!$E75:$Z75,MIN(N$6-$G$3,22))&lt;&gt;""),Aveia!$E75:INDEX(Aveia!$E75:$Z75,MIN(N$6-$G$3,22))),0)))))</f>
        <v>0</v>
      </c>
      <c r="O77" s="27" t="n">
        <f aca="false">IF(COUNT(Aveia!$E75:$Z75)=0,0,MAX(0,IF((O$6-$E$3)&lt;1,0,IFERROR(LOOKUP(2,1/(Aveia!$E75:INDEX(Aveia!$E75:$Z75,MIN(O$6-$E$3,22))&lt;&gt;""),Aveia!$E75:INDEX(Aveia!$E75:$Z75,MIN(O$6-$E$3,22))),0))-IF($G$2,0,IF((O$6-$G$3)&lt;1,0,IFERROR(LOOKUP(2,1/(Aveia!$E75:INDEX(Aveia!$E75:$Z75,MIN(O$6-$G$3,22))&lt;&gt;""),Aveia!$E75:INDEX(Aveia!$E75:$Z75,MIN(O$6-$G$3,22))),0)))))</f>
        <v>0</v>
      </c>
      <c r="P77" s="27" t="n">
        <f aca="false">IF(COUNT(Aveia!$E75:$Z75)=0,0,MAX(0,IF((P$6-$E$3)&lt;1,0,IFERROR(LOOKUP(2,1/(Aveia!$E75:INDEX(Aveia!$E75:$Z75,MIN(P$6-$E$3,22))&lt;&gt;""),Aveia!$E75:INDEX(Aveia!$E75:$Z75,MIN(P$6-$E$3,22))),0))-IF($G$2,0,IF((P$6-$G$3)&lt;1,0,IFERROR(LOOKUP(2,1/(Aveia!$E75:INDEX(Aveia!$E75:$Z75,MIN(P$6-$G$3,22))&lt;&gt;""),Aveia!$E75:INDEX(Aveia!$E75:$Z75,MIN(P$6-$G$3,22))),0)))))</f>
        <v>0</v>
      </c>
      <c r="Q77" s="27" t="n">
        <f aca="false">IF(COUNT(Aveia!$E75:$Z75)=0,0,MAX(0,IF((Q$6-$E$3)&lt;1,0,IFERROR(LOOKUP(2,1/(Aveia!$E75:INDEX(Aveia!$E75:$Z75,MIN(Q$6-$E$3,22))&lt;&gt;""),Aveia!$E75:INDEX(Aveia!$E75:$Z75,MIN(Q$6-$E$3,22))),0))-IF($G$2,0,IF((Q$6-$G$3)&lt;1,0,IFERROR(LOOKUP(2,1/(Aveia!$E75:INDEX(Aveia!$E75:$Z75,MIN(Q$6-$G$3,22))&lt;&gt;""),Aveia!$E75:INDEX(Aveia!$E75:$Z75,MIN(Q$6-$G$3,22))),0)))))</f>
        <v>0</v>
      </c>
      <c r="R77" s="27" t="n">
        <f aca="false">IF(COUNT(Aveia!$E75:$Z75)=0,0,MAX(0,IF((R$6-$E$3)&lt;1,0,IFERROR(LOOKUP(2,1/(Aveia!$E75:INDEX(Aveia!$E75:$Z75,MIN(R$6-$E$3,22))&lt;&gt;""),Aveia!$E75:INDEX(Aveia!$E75:$Z75,MIN(R$6-$E$3,22))),0))-IF($G$2,0,IF((R$6-$G$3)&lt;1,0,IFERROR(LOOKUP(2,1/(Aveia!$E75:INDEX(Aveia!$E75:$Z75,MIN(R$6-$G$3,22))&lt;&gt;""),Aveia!$E75:INDEX(Aveia!$E75:$Z75,MIN(R$6-$G$3,22))),0)))))</f>
        <v>0</v>
      </c>
      <c r="S77" s="27" t="n">
        <f aca="false">IF(COUNT(Aveia!$E75:$Z75)=0,0,MAX(0,IF((S$6-$E$3)&lt;1,0,IFERROR(LOOKUP(2,1/(Aveia!$E75:INDEX(Aveia!$E75:$Z75,MIN(S$6-$E$3,22))&lt;&gt;""),Aveia!$E75:INDEX(Aveia!$E75:$Z75,MIN(S$6-$E$3,22))),0))-IF($G$2,0,IF((S$6-$G$3)&lt;1,0,IFERROR(LOOKUP(2,1/(Aveia!$E75:INDEX(Aveia!$E75:$Z75,MIN(S$6-$G$3,22))&lt;&gt;""),Aveia!$E75:INDEX(Aveia!$E75:$Z75,MIN(S$6-$G$3,22))),0)))))</f>
        <v>0</v>
      </c>
      <c r="T77" s="27" t="n">
        <f aca="false">IF(COUNT(Aveia!$E75:$Z75)=0,0,MAX(0,IF((T$6-$E$3)&lt;1,0,IFERROR(LOOKUP(2,1/(Aveia!$E75:INDEX(Aveia!$E75:$Z75,MIN(T$6-$E$3,22))&lt;&gt;""),Aveia!$E75:INDEX(Aveia!$E75:$Z75,MIN(T$6-$E$3,22))),0))-IF($G$2,0,IF((T$6-$G$3)&lt;1,0,IFERROR(LOOKUP(2,1/(Aveia!$E75:INDEX(Aveia!$E75:$Z75,MIN(T$6-$G$3,22))&lt;&gt;""),Aveia!$E75:INDEX(Aveia!$E75:$Z75,MIN(T$6-$G$3,22))),0)))))</f>
        <v>0</v>
      </c>
      <c r="U77" s="27" t="n">
        <f aca="false">IF(COUNT(Aveia!$E75:$Z75)=0,0,MAX(0,IF((U$6-$E$3)&lt;1,0,IFERROR(LOOKUP(2,1/(Aveia!$E75:INDEX(Aveia!$E75:$Z75,MIN(U$6-$E$3,22))&lt;&gt;""),Aveia!$E75:INDEX(Aveia!$E75:$Z75,MIN(U$6-$E$3,22))),0))-IF($G$2,0,IF((U$6-$G$3)&lt;1,0,IFERROR(LOOKUP(2,1/(Aveia!$E75:INDEX(Aveia!$E75:$Z75,MIN(U$6-$G$3,22))&lt;&gt;""),Aveia!$E75:INDEX(Aveia!$E75:$Z75,MIN(U$6-$G$3,22))),0)))))</f>
        <v>0</v>
      </c>
      <c r="V77" s="27" t="n">
        <f aca="false">IF(COUNT(Aveia!$E75:$Z75)=0,0,MAX(0,IF((V$6-$E$3)&lt;1,0,IFERROR(LOOKUP(2,1/(Aveia!$E75:INDEX(Aveia!$E75:$Z75,MIN(V$6-$E$3,22))&lt;&gt;""),Aveia!$E75:INDEX(Aveia!$E75:$Z75,MIN(V$6-$E$3,22))),0))-IF($G$2,0,IF((V$6-$G$3)&lt;1,0,IFERROR(LOOKUP(2,1/(Aveia!$E75:INDEX(Aveia!$E75:$Z75,MIN(V$6-$G$3,22))&lt;&gt;""),Aveia!$E75:INDEX(Aveia!$E75:$Z75,MIN(V$6-$G$3,22))),0)))))</f>
        <v>0</v>
      </c>
      <c r="W77" s="27" t="n">
        <f aca="false">IF(COUNT(Aveia!$E75:$Z75)=0,0,MAX(0,IF((W$6-$E$3)&lt;1,0,IFERROR(LOOKUP(2,1/(Aveia!$E75:INDEX(Aveia!$E75:$Z75,MIN(W$6-$E$3,22))&lt;&gt;""),Aveia!$E75:INDEX(Aveia!$E75:$Z75,MIN(W$6-$E$3,22))),0))-IF($G$2,0,IF((W$6-$G$3)&lt;1,0,IFERROR(LOOKUP(2,1/(Aveia!$E75:INDEX(Aveia!$E75:$Z75,MIN(W$6-$G$3,22))&lt;&gt;""),Aveia!$E75:INDEX(Aveia!$E75:$Z75,MIN(W$6-$G$3,22))),0)))))</f>
        <v>0</v>
      </c>
      <c r="X77" s="27" t="n">
        <f aca="false">IF(COUNT(Aveia!$E75:$Z75)=0,0,MAX(0,IF((X$6-$E$3)&lt;1,0,IFERROR(LOOKUP(2,1/(Aveia!$E75:INDEX(Aveia!$E75:$Z75,MIN(X$6-$E$3,22))&lt;&gt;""),Aveia!$E75:INDEX(Aveia!$E75:$Z75,MIN(X$6-$E$3,22))),0))-IF($G$2,0,IF((X$6-$G$3)&lt;1,0,IFERROR(LOOKUP(2,1/(Aveia!$E75:INDEX(Aveia!$E75:$Z75,MIN(X$6-$G$3,22))&lt;&gt;""),Aveia!$E75:INDEX(Aveia!$E75:$Z75,MIN(X$6-$G$3,22))),0)))))</f>
        <v>0</v>
      </c>
      <c r="Y77" s="27" t="n">
        <f aca="false">IF(COUNT(Aveia!$E75:$Z75)=0,0,MAX(0,IF((Y$6-$E$3)&lt;1,0,IFERROR(LOOKUP(2,1/(Aveia!$E75:INDEX(Aveia!$E75:$Z75,MIN(Y$6-$E$3,22))&lt;&gt;""),Aveia!$E75:INDEX(Aveia!$E75:$Z75,MIN(Y$6-$E$3,22))),0))-IF($G$2,0,IF((Y$6-$G$3)&lt;1,0,IFERROR(LOOKUP(2,1/(Aveia!$E75:INDEX(Aveia!$E75:$Z75,MIN(Y$6-$G$3,22))&lt;&gt;""),Aveia!$E75:INDEX(Aveia!$E75:$Z75,MIN(Y$6-$G$3,22))),0)))))</f>
        <v>0</v>
      </c>
      <c r="Z77" s="27" t="n">
        <f aca="false">IF(COUNT(Aveia!$E75:$Z75)=0,0,MAX(0,IF((Z$6-$E$3)&lt;1,0,IFERROR(LOOKUP(2,1/(Aveia!$E75:INDEX(Aveia!$E75:$Z75,MIN(Z$6-$E$3,22))&lt;&gt;""),Aveia!$E75:INDEX(Aveia!$E75:$Z75,MIN(Z$6-$E$3,22))),0))-IF($G$2,0,IF((Z$6-$G$3)&lt;1,0,IFERROR(LOOKUP(2,1/(Aveia!$E75:INDEX(Aveia!$E75:$Z75,MIN(Z$6-$G$3,22))&lt;&gt;""),Aveia!$E75:INDEX(Aveia!$E75:$Z75,MIN(Z$6-$G$3,22))),0)))))</f>
        <v>0</v>
      </c>
      <c r="AA77" s="27" t="n">
        <f aca="false">IF(COUNT(Aveia!$E75:$Z75)=0,0,MAX(0,IF((AA$6-$E$3)&lt;1,0,IFERROR(LOOKUP(2,1/(Aveia!$E75:INDEX(Aveia!$E75:$Z75,MIN(AA$6-$E$3,22))&lt;&gt;""),Aveia!$E75:INDEX(Aveia!$E75:$Z75,MIN(AA$6-$E$3,22))),0))-IF($G$2,0,IF((AA$6-$G$3)&lt;1,0,IFERROR(LOOKUP(2,1/(Aveia!$E75:INDEX(Aveia!$E75:$Z75,MIN(AA$6-$G$3,22))&lt;&gt;""),Aveia!$E75:INDEX(Aveia!$E75:$Z75,MIN(AA$6-$G$3,22))),0)))))</f>
        <v>0</v>
      </c>
      <c r="AB77" s="27" t="n">
        <f aca="false">IF(COUNT(Aveia!$E75:$Z75)=0,0,MAX(0,IF((AB$6-$E$3)&lt;1,0,IFERROR(LOOKUP(2,1/(Aveia!$E75:INDEX(Aveia!$E75:$Z75,MIN(AB$6-$E$3,22))&lt;&gt;""),Aveia!$E75:INDEX(Aveia!$E75:$Z75,MIN(AB$6-$E$3,22))),0))-IF($G$2,0,IF((AB$6-$G$3)&lt;1,0,IFERROR(LOOKUP(2,1/(Aveia!$E75:INDEX(Aveia!$E75:$Z75,MIN(AB$6-$G$3,22))&lt;&gt;""),Aveia!$E75:INDEX(Aveia!$E75:$Z75,MIN(AB$6-$G$3,22))),0)))))</f>
        <v>0</v>
      </c>
      <c r="AC77" s="27" t="n">
        <f aca="false">IF(COUNT(Aveia!$E75:$Z75)=0,0,MAX(0,IF((AC$6-$E$3)&lt;1,0,IFERROR(LOOKUP(2,1/(Aveia!$E75:INDEX(Aveia!$E75:$Z75,MIN(AC$6-$E$3,22))&lt;&gt;""),Aveia!$E75:INDEX(Aveia!$E75:$Z75,MIN(AC$6-$E$3,22))),0))-IF($G$2,0,IF((AC$6-$G$3)&lt;1,0,IFERROR(LOOKUP(2,1/(Aveia!$E75:INDEX(Aveia!$E75:$Z75,MIN(AC$6-$G$3,22))&lt;&gt;""),Aveia!$E75:INDEX(Aveia!$E75:$Z75,MIN(AC$6-$G$3,22))),0)))))</f>
        <v>0</v>
      </c>
      <c r="AD77" s="27" t="n">
        <f aca="false">IF(COUNT(Aveia!$E75:$Z75)=0,0,MAX(0,IF((AD$6-$E$3)&lt;1,0,IFERROR(LOOKUP(2,1/(Aveia!$E75:INDEX(Aveia!$E75:$Z75,MIN(AD$6-$E$3,22))&lt;&gt;""),Aveia!$E75:INDEX(Aveia!$E75:$Z75,MIN(AD$6-$E$3,22))),0))-IF($G$2,0,IF((AD$6-$G$3)&lt;1,0,IFERROR(LOOKUP(2,1/(Aveia!$E75:INDEX(Aveia!$E75:$Z75,MIN(AD$6-$G$3,22))&lt;&gt;""),Aveia!$E75:INDEX(Aveia!$E75:$Z75,MIN(AD$6-$G$3,22))),0)))))</f>
        <v>0</v>
      </c>
      <c r="AE77" s="27" t="n">
        <f aca="false">IF(COUNT(Aveia!$E75:$Z75)=0,0,MAX(0,IF((AE$6-$E$3)&lt;1,0,IFERROR(LOOKUP(2,1/(Aveia!$E75:INDEX(Aveia!$E75:$Z75,MIN(AE$6-$E$3,22))&lt;&gt;""),Aveia!$E75:INDEX(Aveia!$E75:$Z75,MIN(AE$6-$E$3,22))),0))-IF($G$2,0,IF((AE$6-$G$3)&lt;1,0,IFERROR(LOOKUP(2,1/(Aveia!$E75:INDEX(Aveia!$E75:$Z75,MIN(AE$6-$G$3,22))&lt;&gt;""),Aveia!$E75:INDEX(Aveia!$E75:$Z75,MIN(AE$6-$G$3,22))),0)))))</f>
        <v>0</v>
      </c>
      <c r="AF77" s="27" t="n">
        <f aca="false">IF(COUNT(Aveia!$E75:$Z75)=0,0,MAX(0,IF((AF$6-$E$3)&lt;1,0,IFERROR(LOOKUP(2,1/(Aveia!$E75:INDEX(Aveia!$E75:$Z75,MIN(AF$6-$E$3,22))&lt;&gt;""),Aveia!$E75:INDEX(Aveia!$E75:$Z75,MIN(AF$6-$E$3,22))),0))-IF($G$2,0,IF((AF$6-$G$3)&lt;1,0,IFERROR(LOOKUP(2,1/(Aveia!$E75:INDEX(Aveia!$E75:$Z75,MIN(AF$6-$G$3,22))&lt;&gt;""),Aveia!$E75:INDEX(Aveia!$E75:$Z75,MIN(AF$6-$G$3,22))),0)))))</f>
        <v>0</v>
      </c>
      <c r="AG77" s="27" t="n">
        <f aca="false">IF(COUNT(Aveia!$E75:$Z75)=0,0,MAX(0,IF((AG$6-$E$3)&lt;1,0,IFERROR(LOOKUP(2,1/(Aveia!$E75:INDEX(Aveia!$E75:$Z75,MIN(AG$6-$E$3,22))&lt;&gt;""),Aveia!$E75:INDEX(Aveia!$E75:$Z75,MIN(AG$6-$E$3,22))),0))-IF($G$2,0,IF((AG$6-$G$3)&lt;1,0,IFERROR(LOOKUP(2,1/(Aveia!$E75:INDEX(Aveia!$E75:$Z75,MIN(AG$6-$G$3,22))&lt;&gt;""),Aveia!$E75:INDEX(Aveia!$E75:$Z75,MIN(AG$6-$G$3,22))),0)))))</f>
        <v>0</v>
      </c>
      <c r="AH77" s="27" t="n">
        <f aca="false">IF(COUNT(Aveia!$E75:$Z75)=0,0,MAX(0,IF((AH$6-$E$3)&lt;1,0,IFERROR(LOOKUP(2,1/(Aveia!$E75:INDEX(Aveia!$E75:$Z75,MIN(AH$6-$E$3,22))&lt;&gt;""),Aveia!$E75:INDEX(Aveia!$E75:$Z75,MIN(AH$6-$E$3,22))),0))-IF($G$2,0,IF((AH$6-$G$3)&lt;1,0,IFERROR(LOOKUP(2,1/(Aveia!$E75:INDEX(Aveia!$E75:$Z75,MIN(AH$6-$G$3,22))&lt;&gt;""),Aveia!$E75:INDEX(Aveia!$E75:$Z75,MIN(AH$6-$G$3,22))),0)))))</f>
        <v>0</v>
      </c>
      <c r="AI77" s="27" t="n">
        <f aca="false">IF(COUNT(Aveia!$E75:$Z75)=0,0,MAX(0,IF((AI$6-$E$3)&lt;1,0,IFERROR(LOOKUP(2,1/(Aveia!$E75:INDEX(Aveia!$E75:$Z75,MIN(AI$6-$E$3,22))&lt;&gt;""),Aveia!$E75:INDEX(Aveia!$E75:$Z75,MIN(AI$6-$E$3,22))),0))-IF($G$2,0,IF((AI$6-$G$3)&lt;1,0,IFERROR(LOOKUP(2,1/(Aveia!$E75:INDEX(Aveia!$E75:$Z75,MIN(AI$6-$G$3,22))&lt;&gt;""),Aveia!$E75:INDEX(Aveia!$E75:$Z75,MIN(AI$6-$G$3,22))),0)))))</f>
        <v>0</v>
      </c>
      <c r="AJ77" s="27" t="n">
        <f aca="false">IF(COUNT(Aveia!$E75:$Z75)=0,0,MAX(0,IF((AJ$6-$E$3)&lt;1,0,IFERROR(LOOKUP(2,1/(Aveia!$E75:INDEX(Aveia!$E75:$Z75,MIN(AJ$6-$E$3,22))&lt;&gt;""),Aveia!$E75:INDEX(Aveia!$E75:$Z75,MIN(AJ$6-$E$3,22))),0))-IF($G$2,0,IF((AJ$6-$G$3)&lt;1,0,IFERROR(LOOKUP(2,1/(Aveia!$E75:INDEX(Aveia!$E75:$Z75,MIN(AJ$6-$G$3,22))&lt;&gt;""),Aveia!$E75:INDEX(Aveia!$E75:$Z75,MIN(AJ$6-$G$3,22))),0)))))</f>
        <v>0</v>
      </c>
      <c r="AK77" s="27" t="n">
        <f aca="false">IF(COUNT(Aveia!$E75:$Z75)=0,0,MAX(0,IF((AK$6-$E$3)&lt;1,0,IFERROR(LOOKUP(2,1/(Aveia!$E75:INDEX(Aveia!$E75:$Z75,MIN(AK$6-$E$3,22))&lt;&gt;""),Aveia!$E75:INDEX(Aveia!$E75:$Z75,MIN(AK$6-$E$3,22))),0))-IF($G$2,0,IF((AK$6-$G$3)&lt;1,0,IFERROR(LOOKUP(2,1/(Aveia!$E75:INDEX(Aveia!$E75:$Z75,MIN(AK$6-$G$3,22))&lt;&gt;""),Aveia!$E75:INDEX(Aveia!$E75:$Z75,MIN(AK$6-$G$3,22))),0)))))</f>
        <v>0</v>
      </c>
      <c r="AL77" s="27" t="n">
        <f aca="false">IF(COUNT(Aveia!$E75:$Z75)=0,0,MAX(0,IF((AL$6-$E$3)&lt;1,0,IFERROR(LOOKUP(2,1/(Aveia!$E75:INDEX(Aveia!$E75:$Z75,MIN(AL$6-$E$3,22))&lt;&gt;""),Aveia!$E75:INDEX(Aveia!$E75:$Z75,MIN(AL$6-$E$3,22))),0))-IF($G$2,0,IF((AL$6-$G$3)&lt;1,0,IFERROR(LOOKUP(2,1/(Aveia!$E75:INDEX(Aveia!$E75:$Z75,MIN(AL$6-$G$3,22))&lt;&gt;""),Aveia!$E75:INDEX(Aveia!$E75:$Z75,MIN(AL$6-$G$3,22))),0)))))</f>
        <v>0</v>
      </c>
      <c r="AM77" s="27" t="n">
        <f aca="false">IF(COUNT(Aveia!$E75:$Z75)=0,0,MAX(0,IF((AM$6-$E$3)&lt;1,0,IFERROR(LOOKUP(2,1/(Aveia!$E75:INDEX(Aveia!$E75:$Z75,MIN(AM$6-$E$3,22))&lt;&gt;""),Aveia!$E75:INDEX(Aveia!$E75:$Z75,MIN(AM$6-$E$3,22))),0))-IF($G$2,0,IF((AM$6-$G$3)&lt;1,0,IFERROR(LOOKUP(2,1/(Aveia!$E75:INDEX(Aveia!$E75:$Z75,MIN(AM$6-$G$3,22))&lt;&gt;""),Aveia!$E75:INDEX(Aveia!$E75:$Z75,MIN(AM$6-$G$3,22))),0)))))</f>
        <v>0</v>
      </c>
      <c r="AN77" s="27" t="n">
        <f aca="false">IF(COUNT(Aveia!$E75:$Z75)=0,0,MAX(0,IF((AN$6-$E$3)&lt;1,0,IFERROR(LOOKUP(2,1/(Aveia!$E75:INDEX(Aveia!$E75:$Z75,MIN(AN$6-$E$3,22))&lt;&gt;""),Aveia!$E75:INDEX(Aveia!$E75:$Z75,MIN(AN$6-$E$3,22))),0))-IF($G$2,0,IF((AN$6-$G$3)&lt;1,0,IFERROR(LOOKUP(2,1/(Aveia!$E75:INDEX(Aveia!$E75:$Z75,MIN(AN$6-$G$3,22))&lt;&gt;""),Aveia!$E75:INDEX(Aveia!$E75:$Z75,MIN(AN$6-$G$3,22))),0)))))</f>
        <v>0</v>
      </c>
      <c r="AO77" s="27" t="n">
        <f aca="false">IF(COUNT(Aveia!$E75:$Z75)=0,0,MAX(0,IF((AO$6-$E$3)&lt;1,0,IFERROR(LOOKUP(2,1/(Aveia!$E75:INDEX(Aveia!$E75:$Z75,MIN(AO$6-$E$3,22))&lt;&gt;""),Aveia!$E75:INDEX(Aveia!$E75:$Z75,MIN(AO$6-$E$3,22))),0))-IF($G$2,0,IF((AO$6-$G$3)&lt;1,0,IFERROR(LOOKUP(2,1/(Aveia!$E75:INDEX(Aveia!$E75:$Z75,MIN(AO$6-$G$3,22))&lt;&gt;""),Aveia!$E75:INDEX(Aveia!$E75:$Z75,MIN(AO$6-$G$3,22))),0)))))</f>
        <v>0</v>
      </c>
      <c r="AP77" s="27" t="n">
        <f aca="false">IF(COUNT(Aveia!$E75:$Z75)=0,0,MAX(0,IF((AP$6-$E$3)&lt;1,0,IFERROR(LOOKUP(2,1/(Aveia!$E75:INDEX(Aveia!$E75:$Z75,MIN(AP$6-$E$3,22))&lt;&gt;""),Aveia!$E75:INDEX(Aveia!$E75:$Z75,MIN(AP$6-$E$3,22))),0))-IF($G$2,0,IF((AP$6-$G$3)&lt;1,0,IFERROR(LOOKUP(2,1/(Aveia!$E75:INDEX(Aveia!$E75:$Z75,MIN(AP$6-$G$3,22))&lt;&gt;""),Aveia!$E75:INDEX(Aveia!$E75:$Z75,MIN(AP$6-$G$3,22))),0)))))</f>
        <v>0</v>
      </c>
      <c r="AQ77" s="27" t="n">
        <f aca="false">IF(COUNT(Aveia!$E75:$Z75)=0,0,MAX(0,IF((AQ$6-$E$3)&lt;1,0,IFERROR(LOOKUP(2,1/(Aveia!$E75:INDEX(Aveia!$E75:$Z75,MIN(AQ$6-$E$3,22))&lt;&gt;""),Aveia!$E75:INDEX(Aveia!$E75:$Z75,MIN(AQ$6-$E$3,22))),0))-IF($G$2,0,IF((AQ$6-$G$3)&lt;1,0,IFERROR(LOOKUP(2,1/(Aveia!$E75:INDEX(Aveia!$E75:$Z75,MIN(AQ$6-$G$3,22))&lt;&gt;""),Aveia!$E75:INDEX(Aveia!$E75:$Z75,MIN(AQ$6-$G$3,22))),0)))))</f>
        <v>0</v>
      </c>
      <c r="AR77" s="27" t="n">
        <f aca="false">IF(COUNT(Aveia!$E75:$Z75)=0,0,MAX(0,IF((AR$6-$E$3)&lt;1,0,IFERROR(LOOKUP(2,1/(Aveia!$E75:INDEX(Aveia!$E75:$Z75,MIN(AR$6-$E$3,22))&lt;&gt;""),Aveia!$E75:INDEX(Aveia!$E75:$Z75,MIN(AR$6-$E$3,22))),0))-IF($G$2,0,IF((AR$6-$G$3)&lt;1,0,IFERROR(LOOKUP(2,1/(Aveia!$E75:INDEX(Aveia!$E75:$Z75,MIN(AR$6-$G$3,22))&lt;&gt;""),Aveia!$E75:INDEX(Aveia!$E75:$Z75,MIN(AR$6-$G$3,22))),0)))))</f>
        <v>0</v>
      </c>
      <c r="AS77" s="27" t="n">
        <f aca="false">IF(COUNT(Aveia!$E75:$Z75)=0,0,MAX(0,IF((AS$6-$E$3)&lt;1,0,IFERROR(LOOKUP(2,1/(Aveia!$E75:INDEX(Aveia!$E75:$Z75,MIN(AS$6-$E$3,22))&lt;&gt;""),Aveia!$E75:INDEX(Aveia!$E75:$Z75,MIN(AS$6-$E$3,22))),0))-IF($G$2,0,IF((AS$6-$G$3)&lt;1,0,IFERROR(LOOKUP(2,1/(Aveia!$E75:INDEX(Aveia!$E75:$Z75,MIN(AS$6-$G$3,22))&lt;&gt;""),Aveia!$E75:INDEX(Aveia!$E75:$Z75,MIN(AS$6-$G$3,22))),0)))))</f>
        <v>0</v>
      </c>
      <c r="AT77" s="27" t="n">
        <f aca="false">IF(COUNT(Aveia!$E75:$Z75)=0,0,MAX(0,IF((AT$6-$E$3)&lt;1,0,IFERROR(LOOKUP(2,1/(Aveia!$E75:INDEX(Aveia!$E75:$Z75,MIN(AT$6-$E$3,22))&lt;&gt;""),Aveia!$E75:INDEX(Aveia!$E75:$Z75,MIN(AT$6-$E$3,22))),0))-IF($G$2,0,IF((AT$6-$G$3)&lt;1,0,IFERROR(LOOKUP(2,1/(Aveia!$E75:INDEX(Aveia!$E75:$Z75,MIN(AT$6-$G$3,22))&lt;&gt;""),Aveia!$E75:INDEX(Aveia!$E75:$Z75,MIN(AT$6-$G$3,22))),0)))))</f>
        <v>0</v>
      </c>
      <c r="AU77" s="27" t="n">
        <f aca="false">IF(COUNT(Aveia!$E75:$Z75)=0,0,MAX(0,IF((AU$6-$E$3)&lt;1,0,IFERROR(LOOKUP(2,1/(Aveia!$E75:INDEX(Aveia!$E75:$Z75,MIN(AU$6-$E$3,22))&lt;&gt;""),Aveia!$E75:INDEX(Aveia!$E75:$Z75,MIN(AU$6-$E$3,22))),0))-IF($G$2,0,IF((AU$6-$G$3)&lt;1,0,IFERROR(LOOKUP(2,1/(Aveia!$E75:INDEX(Aveia!$E75:$Z75,MIN(AU$6-$G$3,22))&lt;&gt;""),Aveia!$E75:INDEX(Aveia!$E75:$Z75,MIN(AU$6-$G$3,22))),0)))))</f>
        <v>0</v>
      </c>
      <c r="AV77" s="27" t="n">
        <f aca="false">IF(COUNT(Aveia!$E75:$Z75)=0,0,MAX(0,IF((AV$6-$E$3)&lt;1,0,IFERROR(LOOKUP(2,1/(Aveia!$E75:INDEX(Aveia!$E75:$Z75,MIN(AV$6-$E$3,22))&lt;&gt;""),Aveia!$E75:INDEX(Aveia!$E75:$Z75,MIN(AV$6-$E$3,22))),0))-IF($G$2,0,IF((AV$6-$G$3)&lt;1,0,IFERROR(LOOKUP(2,1/(Aveia!$E75:INDEX(Aveia!$E75:$Z75,MIN(AV$6-$G$3,22))&lt;&gt;""),Aveia!$E75:INDEX(Aveia!$E75:$Z75,MIN(AV$6-$G$3,22))),0)))))</f>
        <v>0</v>
      </c>
      <c r="AW77" s="27" t="n">
        <f aca="false">IF(COUNT(Aveia!$E75:$Z75)=0,0,MAX(0,IF((AW$6-$E$3)&lt;1,0,IFERROR(LOOKUP(2,1/(Aveia!$E75:INDEX(Aveia!$E75:$Z75,MIN(AW$6-$E$3,22))&lt;&gt;""),Aveia!$E75:INDEX(Aveia!$E75:$Z75,MIN(AW$6-$E$3,22))),0))-IF($G$2,0,IF((AW$6-$G$3)&lt;1,0,IFERROR(LOOKUP(2,1/(Aveia!$E75:INDEX(Aveia!$E75:$Z75,MIN(AW$6-$G$3,22))&lt;&gt;""),Aveia!$E75:INDEX(Aveia!$E75:$Z75,MIN(AW$6-$G$3,22))),0)))))</f>
        <v>0</v>
      </c>
      <c r="AX77" s="27" t="n">
        <f aca="false">IF(COUNT(Aveia!$E75:$Z75)=0,0,MAX(0,IF((AX$6-$E$3)&lt;1,0,IFERROR(LOOKUP(2,1/(Aveia!$E75:INDEX(Aveia!$E75:$Z75,MIN(AX$6-$E$3,22))&lt;&gt;""),Aveia!$E75:INDEX(Aveia!$E75:$Z75,MIN(AX$6-$E$3,22))),0))-IF($G$2,0,IF((AX$6-$G$3)&lt;1,0,IFERROR(LOOKUP(2,1/(Aveia!$E75:INDEX(Aveia!$E75:$Z75,MIN(AX$6-$G$3,22))&lt;&gt;""),Aveia!$E75:INDEX(Aveia!$E75:$Z75,MIN(AX$6-$G$3,22))),0)))))</f>
        <v>0</v>
      </c>
      <c r="AY77" s="27" t="n">
        <f aca="false">IF(COUNT(Aveia!$E75:$Z75)=0,0,MAX(0,IF((AY$6-$E$3)&lt;1,0,IFERROR(LOOKUP(2,1/(Aveia!$E75:INDEX(Aveia!$E75:$Z75,MIN(AY$6-$E$3,22))&lt;&gt;""),Aveia!$E75:INDEX(Aveia!$E75:$Z75,MIN(AY$6-$E$3,22))),0))-IF($G$2,0,IF((AY$6-$G$3)&lt;1,0,IFERROR(LOOKUP(2,1/(Aveia!$E75:INDEX(Aveia!$E75:$Z75,MIN(AY$6-$G$3,22))&lt;&gt;""),Aveia!$E75:INDEX(Aveia!$E75:$Z75,MIN(AY$6-$G$3,22))),0)))))</f>
        <v>0</v>
      </c>
      <c r="AZ77" s="27" t="n">
        <f aca="false">IF(COUNT(Aveia!$E75:$Z75)=0,0,MAX(0,IF((AZ$6-$E$3)&lt;1,0,IFERROR(LOOKUP(2,1/(Aveia!$E75:INDEX(Aveia!$E75:$Z75,MIN(AZ$6-$E$3,22))&lt;&gt;""),Aveia!$E75:INDEX(Aveia!$E75:$Z75,MIN(AZ$6-$E$3,22))),0))-IF($G$2,0,IF((AZ$6-$G$3)&lt;1,0,IFERROR(LOOKUP(2,1/(Aveia!$E75:INDEX(Aveia!$E75:$Z75,MIN(AZ$6-$G$3,22))&lt;&gt;""),Aveia!$E75:INDEX(Aveia!$E75:$Z75,MIN(AZ$6-$G$3,22))),0)))))</f>
        <v>0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10" t="s">
        <v>155</v>
      </c>
      <c r="D78" s="26" t="n">
        <f aca="false">IF(COUNT(Aveia!$E76:$Z76)&gt;0,N(Aveia!$D76),0)</f>
        <v>0</v>
      </c>
      <c r="E78" s="27" t="n">
        <f aca="false">IF(COUNT(Aveia!$E76:$Z76)=0,0,MAX(0,IF((E$6-$E$3)&lt;1,0,IFERROR(LOOKUP(2,1/(Aveia!$E76:INDEX(Aveia!$E76:$Z76,MIN(E$6-$E$3,22))&lt;&gt;""),Aveia!$E76:INDEX(Aveia!$E76:$Z76,MIN(E$6-$E$3,22))),0))-IF($G$2,0,IF((E$6-$G$3)&lt;1,0,IFERROR(LOOKUP(2,1/(Aveia!$E76:INDEX(Aveia!$E76:$Z76,MIN(E$6-$G$3,22))&lt;&gt;""),Aveia!$E76:INDEX(Aveia!$E76:$Z76,MIN(E$6-$G$3,22))),0)))))</f>
        <v>0</v>
      </c>
      <c r="F78" s="27" t="n">
        <f aca="false">IF(COUNT(Aveia!$E76:$Z76)=0,0,MAX(0,IF((F$6-$E$3)&lt;1,0,IFERROR(LOOKUP(2,1/(Aveia!$E76:INDEX(Aveia!$E76:$Z76,MIN(F$6-$E$3,22))&lt;&gt;""),Aveia!$E76:INDEX(Aveia!$E76:$Z76,MIN(F$6-$E$3,22))),0))-IF($G$2,0,IF((F$6-$G$3)&lt;1,0,IFERROR(LOOKUP(2,1/(Aveia!$E76:INDEX(Aveia!$E76:$Z76,MIN(F$6-$G$3,22))&lt;&gt;""),Aveia!$E76:INDEX(Aveia!$E76:$Z76,MIN(F$6-$G$3,22))),0)))))</f>
        <v>0</v>
      </c>
      <c r="G78" s="27" t="n">
        <f aca="false">IF(COUNT(Aveia!$E76:$Z76)=0,0,MAX(0,IF((G$6-$E$3)&lt;1,0,IFERROR(LOOKUP(2,1/(Aveia!$E76:INDEX(Aveia!$E76:$Z76,MIN(G$6-$E$3,22))&lt;&gt;""),Aveia!$E76:INDEX(Aveia!$E76:$Z76,MIN(G$6-$E$3,22))),0))-IF($G$2,0,IF((G$6-$G$3)&lt;1,0,IFERROR(LOOKUP(2,1/(Aveia!$E76:INDEX(Aveia!$E76:$Z76,MIN(G$6-$G$3,22))&lt;&gt;""),Aveia!$E76:INDEX(Aveia!$E76:$Z76,MIN(G$6-$G$3,22))),0)))))</f>
        <v>0</v>
      </c>
      <c r="H78" s="27" t="n">
        <f aca="false">IF(COUNT(Aveia!$E76:$Z76)=0,0,MAX(0,IF((H$6-$E$3)&lt;1,0,IFERROR(LOOKUP(2,1/(Aveia!$E76:INDEX(Aveia!$E76:$Z76,MIN(H$6-$E$3,22))&lt;&gt;""),Aveia!$E76:INDEX(Aveia!$E76:$Z76,MIN(H$6-$E$3,22))),0))-IF($G$2,0,IF((H$6-$G$3)&lt;1,0,IFERROR(LOOKUP(2,1/(Aveia!$E76:INDEX(Aveia!$E76:$Z76,MIN(H$6-$G$3,22))&lt;&gt;""),Aveia!$E76:INDEX(Aveia!$E76:$Z76,MIN(H$6-$G$3,22))),0)))))</f>
        <v>0</v>
      </c>
      <c r="I78" s="27" t="n">
        <f aca="false">IF(COUNT(Aveia!$E76:$Z76)=0,0,MAX(0,IF((I$6-$E$3)&lt;1,0,IFERROR(LOOKUP(2,1/(Aveia!$E76:INDEX(Aveia!$E76:$Z76,MIN(I$6-$E$3,22))&lt;&gt;""),Aveia!$E76:INDEX(Aveia!$E76:$Z76,MIN(I$6-$E$3,22))),0))-IF($G$2,0,IF((I$6-$G$3)&lt;1,0,IFERROR(LOOKUP(2,1/(Aveia!$E76:INDEX(Aveia!$E76:$Z76,MIN(I$6-$G$3,22))&lt;&gt;""),Aveia!$E76:INDEX(Aveia!$E76:$Z76,MIN(I$6-$G$3,22))),0)))))</f>
        <v>0</v>
      </c>
      <c r="J78" s="27" t="n">
        <f aca="false">IF(COUNT(Aveia!$E76:$Z76)=0,0,MAX(0,IF((J$6-$E$3)&lt;1,0,IFERROR(LOOKUP(2,1/(Aveia!$E76:INDEX(Aveia!$E76:$Z76,MIN(J$6-$E$3,22))&lt;&gt;""),Aveia!$E76:INDEX(Aveia!$E76:$Z76,MIN(J$6-$E$3,22))),0))-IF($G$2,0,IF((J$6-$G$3)&lt;1,0,IFERROR(LOOKUP(2,1/(Aveia!$E76:INDEX(Aveia!$E76:$Z76,MIN(J$6-$G$3,22))&lt;&gt;""),Aveia!$E76:INDEX(Aveia!$E76:$Z76,MIN(J$6-$G$3,22))),0)))))</f>
        <v>0</v>
      </c>
      <c r="K78" s="27" t="n">
        <f aca="false">IF(COUNT(Aveia!$E76:$Z76)=0,0,MAX(0,IF((K$6-$E$3)&lt;1,0,IFERROR(LOOKUP(2,1/(Aveia!$E76:INDEX(Aveia!$E76:$Z76,MIN(K$6-$E$3,22))&lt;&gt;""),Aveia!$E76:INDEX(Aveia!$E76:$Z76,MIN(K$6-$E$3,22))),0))-IF($G$2,0,IF((K$6-$G$3)&lt;1,0,IFERROR(LOOKUP(2,1/(Aveia!$E76:INDEX(Aveia!$E76:$Z76,MIN(K$6-$G$3,22))&lt;&gt;""),Aveia!$E76:INDEX(Aveia!$E76:$Z76,MIN(K$6-$G$3,22))),0)))))</f>
        <v>0</v>
      </c>
      <c r="L78" s="27" t="n">
        <f aca="false">IF(COUNT(Aveia!$E76:$Z76)=0,0,MAX(0,IF((L$6-$E$3)&lt;1,0,IFERROR(LOOKUP(2,1/(Aveia!$E76:INDEX(Aveia!$E76:$Z76,MIN(L$6-$E$3,22))&lt;&gt;""),Aveia!$E76:INDEX(Aveia!$E76:$Z76,MIN(L$6-$E$3,22))),0))-IF($G$2,0,IF((L$6-$G$3)&lt;1,0,IFERROR(LOOKUP(2,1/(Aveia!$E76:INDEX(Aveia!$E76:$Z76,MIN(L$6-$G$3,22))&lt;&gt;""),Aveia!$E76:INDEX(Aveia!$E76:$Z76,MIN(L$6-$G$3,22))),0)))))</f>
        <v>0</v>
      </c>
      <c r="M78" s="27" t="n">
        <f aca="false">IF(COUNT(Aveia!$E76:$Z76)=0,0,MAX(0,IF((M$6-$E$3)&lt;1,0,IFERROR(LOOKUP(2,1/(Aveia!$E76:INDEX(Aveia!$E76:$Z76,MIN(M$6-$E$3,22))&lt;&gt;""),Aveia!$E76:INDEX(Aveia!$E76:$Z76,MIN(M$6-$E$3,22))),0))-IF($G$2,0,IF((M$6-$G$3)&lt;1,0,IFERROR(LOOKUP(2,1/(Aveia!$E76:INDEX(Aveia!$E76:$Z76,MIN(M$6-$G$3,22))&lt;&gt;""),Aveia!$E76:INDEX(Aveia!$E76:$Z76,MIN(M$6-$G$3,22))),0)))))</f>
        <v>0</v>
      </c>
      <c r="N78" s="27" t="n">
        <f aca="false">IF(COUNT(Aveia!$E76:$Z76)=0,0,MAX(0,IF((N$6-$E$3)&lt;1,0,IFERROR(LOOKUP(2,1/(Aveia!$E76:INDEX(Aveia!$E76:$Z76,MIN(N$6-$E$3,22))&lt;&gt;""),Aveia!$E76:INDEX(Aveia!$E76:$Z76,MIN(N$6-$E$3,22))),0))-IF($G$2,0,IF((N$6-$G$3)&lt;1,0,IFERROR(LOOKUP(2,1/(Aveia!$E76:INDEX(Aveia!$E76:$Z76,MIN(N$6-$G$3,22))&lt;&gt;""),Aveia!$E76:INDEX(Aveia!$E76:$Z76,MIN(N$6-$G$3,22))),0)))))</f>
        <v>0</v>
      </c>
      <c r="O78" s="27" t="n">
        <f aca="false">IF(COUNT(Aveia!$E76:$Z76)=0,0,MAX(0,IF((O$6-$E$3)&lt;1,0,IFERROR(LOOKUP(2,1/(Aveia!$E76:INDEX(Aveia!$E76:$Z76,MIN(O$6-$E$3,22))&lt;&gt;""),Aveia!$E76:INDEX(Aveia!$E76:$Z76,MIN(O$6-$E$3,22))),0))-IF($G$2,0,IF((O$6-$G$3)&lt;1,0,IFERROR(LOOKUP(2,1/(Aveia!$E76:INDEX(Aveia!$E76:$Z76,MIN(O$6-$G$3,22))&lt;&gt;""),Aveia!$E76:INDEX(Aveia!$E76:$Z76,MIN(O$6-$G$3,22))),0)))))</f>
        <v>0</v>
      </c>
      <c r="P78" s="27" t="n">
        <f aca="false">IF(COUNT(Aveia!$E76:$Z76)=0,0,MAX(0,IF((P$6-$E$3)&lt;1,0,IFERROR(LOOKUP(2,1/(Aveia!$E76:INDEX(Aveia!$E76:$Z76,MIN(P$6-$E$3,22))&lt;&gt;""),Aveia!$E76:INDEX(Aveia!$E76:$Z76,MIN(P$6-$E$3,22))),0))-IF($G$2,0,IF((P$6-$G$3)&lt;1,0,IFERROR(LOOKUP(2,1/(Aveia!$E76:INDEX(Aveia!$E76:$Z76,MIN(P$6-$G$3,22))&lt;&gt;""),Aveia!$E76:INDEX(Aveia!$E76:$Z76,MIN(P$6-$G$3,22))),0)))))</f>
        <v>0</v>
      </c>
      <c r="Q78" s="27" t="n">
        <f aca="false">IF(COUNT(Aveia!$E76:$Z76)=0,0,MAX(0,IF((Q$6-$E$3)&lt;1,0,IFERROR(LOOKUP(2,1/(Aveia!$E76:INDEX(Aveia!$E76:$Z76,MIN(Q$6-$E$3,22))&lt;&gt;""),Aveia!$E76:INDEX(Aveia!$E76:$Z76,MIN(Q$6-$E$3,22))),0))-IF($G$2,0,IF((Q$6-$G$3)&lt;1,0,IFERROR(LOOKUP(2,1/(Aveia!$E76:INDEX(Aveia!$E76:$Z76,MIN(Q$6-$G$3,22))&lt;&gt;""),Aveia!$E76:INDEX(Aveia!$E76:$Z76,MIN(Q$6-$G$3,22))),0)))))</f>
        <v>0</v>
      </c>
      <c r="R78" s="27" t="n">
        <f aca="false">IF(COUNT(Aveia!$E76:$Z76)=0,0,MAX(0,IF((R$6-$E$3)&lt;1,0,IFERROR(LOOKUP(2,1/(Aveia!$E76:INDEX(Aveia!$E76:$Z76,MIN(R$6-$E$3,22))&lt;&gt;""),Aveia!$E76:INDEX(Aveia!$E76:$Z76,MIN(R$6-$E$3,22))),0))-IF($G$2,0,IF((R$6-$G$3)&lt;1,0,IFERROR(LOOKUP(2,1/(Aveia!$E76:INDEX(Aveia!$E76:$Z76,MIN(R$6-$G$3,22))&lt;&gt;""),Aveia!$E76:INDEX(Aveia!$E76:$Z76,MIN(R$6-$G$3,22))),0)))))</f>
        <v>0</v>
      </c>
      <c r="S78" s="27" t="n">
        <f aca="false">IF(COUNT(Aveia!$E76:$Z76)=0,0,MAX(0,IF((S$6-$E$3)&lt;1,0,IFERROR(LOOKUP(2,1/(Aveia!$E76:INDEX(Aveia!$E76:$Z76,MIN(S$6-$E$3,22))&lt;&gt;""),Aveia!$E76:INDEX(Aveia!$E76:$Z76,MIN(S$6-$E$3,22))),0))-IF($G$2,0,IF((S$6-$G$3)&lt;1,0,IFERROR(LOOKUP(2,1/(Aveia!$E76:INDEX(Aveia!$E76:$Z76,MIN(S$6-$G$3,22))&lt;&gt;""),Aveia!$E76:INDEX(Aveia!$E76:$Z76,MIN(S$6-$G$3,22))),0)))))</f>
        <v>0</v>
      </c>
      <c r="T78" s="27" t="n">
        <f aca="false">IF(COUNT(Aveia!$E76:$Z76)=0,0,MAX(0,IF((T$6-$E$3)&lt;1,0,IFERROR(LOOKUP(2,1/(Aveia!$E76:INDEX(Aveia!$E76:$Z76,MIN(T$6-$E$3,22))&lt;&gt;""),Aveia!$E76:INDEX(Aveia!$E76:$Z76,MIN(T$6-$E$3,22))),0))-IF($G$2,0,IF((T$6-$G$3)&lt;1,0,IFERROR(LOOKUP(2,1/(Aveia!$E76:INDEX(Aveia!$E76:$Z76,MIN(T$6-$G$3,22))&lt;&gt;""),Aveia!$E76:INDEX(Aveia!$E76:$Z76,MIN(T$6-$G$3,22))),0)))))</f>
        <v>0</v>
      </c>
      <c r="U78" s="27" t="n">
        <f aca="false">IF(COUNT(Aveia!$E76:$Z76)=0,0,MAX(0,IF((U$6-$E$3)&lt;1,0,IFERROR(LOOKUP(2,1/(Aveia!$E76:INDEX(Aveia!$E76:$Z76,MIN(U$6-$E$3,22))&lt;&gt;""),Aveia!$E76:INDEX(Aveia!$E76:$Z76,MIN(U$6-$E$3,22))),0))-IF($G$2,0,IF((U$6-$G$3)&lt;1,0,IFERROR(LOOKUP(2,1/(Aveia!$E76:INDEX(Aveia!$E76:$Z76,MIN(U$6-$G$3,22))&lt;&gt;""),Aveia!$E76:INDEX(Aveia!$E76:$Z76,MIN(U$6-$G$3,22))),0)))))</f>
        <v>0</v>
      </c>
      <c r="V78" s="27" t="n">
        <f aca="false">IF(COUNT(Aveia!$E76:$Z76)=0,0,MAX(0,IF((V$6-$E$3)&lt;1,0,IFERROR(LOOKUP(2,1/(Aveia!$E76:INDEX(Aveia!$E76:$Z76,MIN(V$6-$E$3,22))&lt;&gt;""),Aveia!$E76:INDEX(Aveia!$E76:$Z76,MIN(V$6-$E$3,22))),0))-IF($G$2,0,IF((V$6-$G$3)&lt;1,0,IFERROR(LOOKUP(2,1/(Aveia!$E76:INDEX(Aveia!$E76:$Z76,MIN(V$6-$G$3,22))&lt;&gt;""),Aveia!$E76:INDEX(Aveia!$E76:$Z76,MIN(V$6-$G$3,22))),0)))))</f>
        <v>0</v>
      </c>
      <c r="W78" s="27" t="n">
        <f aca="false">IF(COUNT(Aveia!$E76:$Z76)=0,0,MAX(0,IF((W$6-$E$3)&lt;1,0,IFERROR(LOOKUP(2,1/(Aveia!$E76:INDEX(Aveia!$E76:$Z76,MIN(W$6-$E$3,22))&lt;&gt;""),Aveia!$E76:INDEX(Aveia!$E76:$Z76,MIN(W$6-$E$3,22))),0))-IF($G$2,0,IF((W$6-$G$3)&lt;1,0,IFERROR(LOOKUP(2,1/(Aveia!$E76:INDEX(Aveia!$E76:$Z76,MIN(W$6-$G$3,22))&lt;&gt;""),Aveia!$E76:INDEX(Aveia!$E76:$Z76,MIN(W$6-$G$3,22))),0)))))</f>
        <v>0</v>
      </c>
      <c r="X78" s="27" t="n">
        <f aca="false">IF(COUNT(Aveia!$E76:$Z76)=0,0,MAX(0,IF((X$6-$E$3)&lt;1,0,IFERROR(LOOKUP(2,1/(Aveia!$E76:INDEX(Aveia!$E76:$Z76,MIN(X$6-$E$3,22))&lt;&gt;""),Aveia!$E76:INDEX(Aveia!$E76:$Z76,MIN(X$6-$E$3,22))),0))-IF($G$2,0,IF((X$6-$G$3)&lt;1,0,IFERROR(LOOKUP(2,1/(Aveia!$E76:INDEX(Aveia!$E76:$Z76,MIN(X$6-$G$3,22))&lt;&gt;""),Aveia!$E76:INDEX(Aveia!$E76:$Z76,MIN(X$6-$G$3,22))),0)))))</f>
        <v>0</v>
      </c>
      <c r="Y78" s="27" t="n">
        <f aca="false">IF(COUNT(Aveia!$E76:$Z76)=0,0,MAX(0,IF((Y$6-$E$3)&lt;1,0,IFERROR(LOOKUP(2,1/(Aveia!$E76:INDEX(Aveia!$E76:$Z76,MIN(Y$6-$E$3,22))&lt;&gt;""),Aveia!$E76:INDEX(Aveia!$E76:$Z76,MIN(Y$6-$E$3,22))),0))-IF($G$2,0,IF((Y$6-$G$3)&lt;1,0,IFERROR(LOOKUP(2,1/(Aveia!$E76:INDEX(Aveia!$E76:$Z76,MIN(Y$6-$G$3,22))&lt;&gt;""),Aveia!$E76:INDEX(Aveia!$E76:$Z76,MIN(Y$6-$G$3,22))),0)))))</f>
        <v>0</v>
      </c>
      <c r="Z78" s="27" t="n">
        <f aca="false">IF(COUNT(Aveia!$E76:$Z76)=0,0,MAX(0,IF((Z$6-$E$3)&lt;1,0,IFERROR(LOOKUP(2,1/(Aveia!$E76:INDEX(Aveia!$E76:$Z76,MIN(Z$6-$E$3,22))&lt;&gt;""),Aveia!$E76:INDEX(Aveia!$E76:$Z76,MIN(Z$6-$E$3,22))),0))-IF($G$2,0,IF((Z$6-$G$3)&lt;1,0,IFERROR(LOOKUP(2,1/(Aveia!$E76:INDEX(Aveia!$E76:$Z76,MIN(Z$6-$G$3,22))&lt;&gt;""),Aveia!$E76:INDEX(Aveia!$E76:$Z76,MIN(Z$6-$G$3,22))),0)))))</f>
        <v>0</v>
      </c>
      <c r="AA78" s="27" t="n">
        <f aca="false">IF(COUNT(Aveia!$E76:$Z76)=0,0,MAX(0,IF((AA$6-$E$3)&lt;1,0,IFERROR(LOOKUP(2,1/(Aveia!$E76:INDEX(Aveia!$E76:$Z76,MIN(AA$6-$E$3,22))&lt;&gt;""),Aveia!$E76:INDEX(Aveia!$E76:$Z76,MIN(AA$6-$E$3,22))),0))-IF($G$2,0,IF((AA$6-$G$3)&lt;1,0,IFERROR(LOOKUP(2,1/(Aveia!$E76:INDEX(Aveia!$E76:$Z76,MIN(AA$6-$G$3,22))&lt;&gt;""),Aveia!$E76:INDEX(Aveia!$E76:$Z76,MIN(AA$6-$G$3,22))),0)))))</f>
        <v>0</v>
      </c>
      <c r="AB78" s="27" t="n">
        <f aca="false">IF(COUNT(Aveia!$E76:$Z76)=0,0,MAX(0,IF((AB$6-$E$3)&lt;1,0,IFERROR(LOOKUP(2,1/(Aveia!$E76:INDEX(Aveia!$E76:$Z76,MIN(AB$6-$E$3,22))&lt;&gt;""),Aveia!$E76:INDEX(Aveia!$E76:$Z76,MIN(AB$6-$E$3,22))),0))-IF($G$2,0,IF((AB$6-$G$3)&lt;1,0,IFERROR(LOOKUP(2,1/(Aveia!$E76:INDEX(Aveia!$E76:$Z76,MIN(AB$6-$G$3,22))&lt;&gt;""),Aveia!$E76:INDEX(Aveia!$E76:$Z76,MIN(AB$6-$G$3,22))),0)))))</f>
        <v>0</v>
      </c>
      <c r="AC78" s="27" t="n">
        <f aca="false">IF(COUNT(Aveia!$E76:$Z76)=0,0,MAX(0,IF((AC$6-$E$3)&lt;1,0,IFERROR(LOOKUP(2,1/(Aveia!$E76:INDEX(Aveia!$E76:$Z76,MIN(AC$6-$E$3,22))&lt;&gt;""),Aveia!$E76:INDEX(Aveia!$E76:$Z76,MIN(AC$6-$E$3,22))),0))-IF($G$2,0,IF((AC$6-$G$3)&lt;1,0,IFERROR(LOOKUP(2,1/(Aveia!$E76:INDEX(Aveia!$E76:$Z76,MIN(AC$6-$G$3,22))&lt;&gt;""),Aveia!$E76:INDEX(Aveia!$E76:$Z76,MIN(AC$6-$G$3,22))),0)))))</f>
        <v>0</v>
      </c>
      <c r="AD78" s="27" t="n">
        <f aca="false">IF(COUNT(Aveia!$E76:$Z76)=0,0,MAX(0,IF((AD$6-$E$3)&lt;1,0,IFERROR(LOOKUP(2,1/(Aveia!$E76:INDEX(Aveia!$E76:$Z76,MIN(AD$6-$E$3,22))&lt;&gt;""),Aveia!$E76:INDEX(Aveia!$E76:$Z76,MIN(AD$6-$E$3,22))),0))-IF($G$2,0,IF((AD$6-$G$3)&lt;1,0,IFERROR(LOOKUP(2,1/(Aveia!$E76:INDEX(Aveia!$E76:$Z76,MIN(AD$6-$G$3,22))&lt;&gt;""),Aveia!$E76:INDEX(Aveia!$E76:$Z76,MIN(AD$6-$G$3,22))),0)))))</f>
        <v>0</v>
      </c>
      <c r="AE78" s="27" t="n">
        <f aca="false">IF(COUNT(Aveia!$E76:$Z76)=0,0,MAX(0,IF((AE$6-$E$3)&lt;1,0,IFERROR(LOOKUP(2,1/(Aveia!$E76:INDEX(Aveia!$E76:$Z76,MIN(AE$6-$E$3,22))&lt;&gt;""),Aveia!$E76:INDEX(Aveia!$E76:$Z76,MIN(AE$6-$E$3,22))),0))-IF($G$2,0,IF((AE$6-$G$3)&lt;1,0,IFERROR(LOOKUP(2,1/(Aveia!$E76:INDEX(Aveia!$E76:$Z76,MIN(AE$6-$G$3,22))&lt;&gt;""),Aveia!$E76:INDEX(Aveia!$E76:$Z76,MIN(AE$6-$G$3,22))),0)))))</f>
        <v>0</v>
      </c>
      <c r="AF78" s="27" t="n">
        <f aca="false">IF(COUNT(Aveia!$E76:$Z76)=0,0,MAX(0,IF((AF$6-$E$3)&lt;1,0,IFERROR(LOOKUP(2,1/(Aveia!$E76:INDEX(Aveia!$E76:$Z76,MIN(AF$6-$E$3,22))&lt;&gt;""),Aveia!$E76:INDEX(Aveia!$E76:$Z76,MIN(AF$6-$E$3,22))),0))-IF($G$2,0,IF((AF$6-$G$3)&lt;1,0,IFERROR(LOOKUP(2,1/(Aveia!$E76:INDEX(Aveia!$E76:$Z76,MIN(AF$6-$G$3,22))&lt;&gt;""),Aveia!$E76:INDEX(Aveia!$E76:$Z76,MIN(AF$6-$G$3,22))),0)))))</f>
        <v>0</v>
      </c>
      <c r="AG78" s="27" t="n">
        <f aca="false">IF(COUNT(Aveia!$E76:$Z76)=0,0,MAX(0,IF((AG$6-$E$3)&lt;1,0,IFERROR(LOOKUP(2,1/(Aveia!$E76:INDEX(Aveia!$E76:$Z76,MIN(AG$6-$E$3,22))&lt;&gt;""),Aveia!$E76:INDEX(Aveia!$E76:$Z76,MIN(AG$6-$E$3,22))),0))-IF($G$2,0,IF((AG$6-$G$3)&lt;1,0,IFERROR(LOOKUP(2,1/(Aveia!$E76:INDEX(Aveia!$E76:$Z76,MIN(AG$6-$G$3,22))&lt;&gt;""),Aveia!$E76:INDEX(Aveia!$E76:$Z76,MIN(AG$6-$G$3,22))),0)))))</f>
        <v>0</v>
      </c>
      <c r="AH78" s="27" t="n">
        <f aca="false">IF(COUNT(Aveia!$E76:$Z76)=0,0,MAX(0,IF((AH$6-$E$3)&lt;1,0,IFERROR(LOOKUP(2,1/(Aveia!$E76:INDEX(Aveia!$E76:$Z76,MIN(AH$6-$E$3,22))&lt;&gt;""),Aveia!$E76:INDEX(Aveia!$E76:$Z76,MIN(AH$6-$E$3,22))),0))-IF($G$2,0,IF((AH$6-$G$3)&lt;1,0,IFERROR(LOOKUP(2,1/(Aveia!$E76:INDEX(Aveia!$E76:$Z76,MIN(AH$6-$G$3,22))&lt;&gt;""),Aveia!$E76:INDEX(Aveia!$E76:$Z76,MIN(AH$6-$G$3,22))),0)))))</f>
        <v>0</v>
      </c>
      <c r="AI78" s="27" t="n">
        <f aca="false">IF(COUNT(Aveia!$E76:$Z76)=0,0,MAX(0,IF((AI$6-$E$3)&lt;1,0,IFERROR(LOOKUP(2,1/(Aveia!$E76:INDEX(Aveia!$E76:$Z76,MIN(AI$6-$E$3,22))&lt;&gt;""),Aveia!$E76:INDEX(Aveia!$E76:$Z76,MIN(AI$6-$E$3,22))),0))-IF($G$2,0,IF((AI$6-$G$3)&lt;1,0,IFERROR(LOOKUP(2,1/(Aveia!$E76:INDEX(Aveia!$E76:$Z76,MIN(AI$6-$G$3,22))&lt;&gt;""),Aveia!$E76:INDEX(Aveia!$E76:$Z76,MIN(AI$6-$G$3,22))),0)))))</f>
        <v>0</v>
      </c>
      <c r="AJ78" s="27" t="n">
        <f aca="false">IF(COUNT(Aveia!$E76:$Z76)=0,0,MAX(0,IF((AJ$6-$E$3)&lt;1,0,IFERROR(LOOKUP(2,1/(Aveia!$E76:INDEX(Aveia!$E76:$Z76,MIN(AJ$6-$E$3,22))&lt;&gt;""),Aveia!$E76:INDEX(Aveia!$E76:$Z76,MIN(AJ$6-$E$3,22))),0))-IF($G$2,0,IF((AJ$6-$G$3)&lt;1,0,IFERROR(LOOKUP(2,1/(Aveia!$E76:INDEX(Aveia!$E76:$Z76,MIN(AJ$6-$G$3,22))&lt;&gt;""),Aveia!$E76:INDEX(Aveia!$E76:$Z76,MIN(AJ$6-$G$3,22))),0)))))</f>
        <v>0</v>
      </c>
      <c r="AK78" s="27" t="n">
        <f aca="false">IF(COUNT(Aveia!$E76:$Z76)=0,0,MAX(0,IF((AK$6-$E$3)&lt;1,0,IFERROR(LOOKUP(2,1/(Aveia!$E76:INDEX(Aveia!$E76:$Z76,MIN(AK$6-$E$3,22))&lt;&gt;""),Aveia!$E76:INDEX(Aveia!$E76:$Z76,MIN(AK$6-$E$3,22))),0))-IF($G$2,0,IF((AK$6-$G$3)&lt;1,0,IFERROR(LOOKUP(2,1/(Aveia!$E76:INDEX(Aveia!$E76:$Z76,MIN(AK$6-$G$3,22))&lt;&gt;""),Aveia!$E76:INDEX(Aveia!$E76:$Z76,MIN(AK$6-$G$3,22))),0)))))</f>
        <v>0</v>
      </c>
      <c r="AL78" s="27" t="n">
        <f aca="false">IF(COUNT(Aveia!$E76:$Z76)=0,0,MAX(0,IF((AL$6-$E$3)&lt;1,0,IFERROR(LOOKUP(2,1/(Aveia!$E76:INDEX(Aveia!$E76:$Z76,MIN(AL$6-$E$3,22))&lt;&gt;""),Aveia!$E76:INDEX(Aveia!$E76:$Z76,MIN(AL$6-$E$3,22))),0))-IF($G$2,0,IF((AL$6-$G$3)&lt;1,0,IFERROR(LOOKUP(2,1/(Aveia!$E76:INDEX(Aveia!$E76:$Z76,MIN(AL$6-$G$3,22))&lt;&gt;""),Aveia!$E76:INDEX(Aveia!$E76:$Z76,MIN(AL$6-$G$3,22))),0)))))</f>
        <v>0</v>
      </c>
      <c r="AM78" s="27" t="n">
        <f aca="false">IF(COUNT(Aveia!$E76:$Z76)=0,0,MAX(0,IF((AM$6-$E$3)&lt;1,0,IFERROR(LOOKUP(2,1/(Aveia!$E76:INDEX(Aveia!$E76:$Z76,MIN(AM$6-$E$3,22))&lt;&gt;""),Aveia!$E76:INDEX(Aveia!$E76:$Z76,MIN(AM$6-$E$3,22))),0))-IF($G$2,0,IF((AM$6-$G$3)&lt;1,0,IFERROR(LOOKUP(2,1/(Aveia!$E76:INDEX(Aveia!$E76:$Z76,MIN(AM$6-$G$3,22))&lt;&gt;""),Aveia!$E76:INDEX(Aveia!$E76:$Z76,MIN(AM$6-$G$3,22))),0)))))</f>
        <v>0</v>
      </c>
      <c r="AN78" s="27" t="n">
        <f aca="false">IF(COUNT(Aveia!$E76:$Z76)=0,0,MAX(0,IF((AN$6-$E$3)&lt;1,0,IFERROR(LOOKUP(2,1/(Aveia!$E76:INDEX(Aveia!$E76:$Z76,MIN(AN$6-$E$3,22))&lt;&gt;""),Aveia!$E76:INDEX(Aveia!$E76:$Z76,MIN(AN$6-$E$3,22))),0))-IF($G$2,0,IF((AN$6-$G$3)&lt;1,0,IFERROR(LOOKUP(2,1/(Aveia!$E76:INDEX(Aveia!$E76:$Z76,MIN(AN$6-$G$3,22))&lt;&gt;""),Aveia!$E76:INDEX(Aveia!$E76:$Z76,MIN(AN$6-$G$3,22))),0)))))</f>
        <v>0</v>
      </c>
      <c r="AO78" s="27" t="n">
        <f aca="false">IF(COUNT(Aveia!$E76:$Z76)=0,0,MAX(0,IF((AO$6-$E$3)&lt;1,0,IFERROR(LOOKUP(2,1/(Aveia!$E76:INDEX(Aveia!$E76:$Z76,MIN(AO$6-$E$3,22))&lt;&gt;""),Aveia!$E76:INDEX(Aveia!$E76:$Z76,MIN(AO$6-$E$3,22))),0))-IF($G$2,0,IF((AO$6-$G$3)&lt;1,0,IFERROR(LOOKUP(2,1/(Aveia!$E76:INDEX(Aveia!$E76:$Z76,MIN(AO$6-$G$3,22))&lt;&gt;""),Aveia!$E76:INDEX(Aveia!$E76:$Z76,MIN(AO$6-$G$3,22))),0)))))</f>
        <v>0</v>
      </c>
      <c r="AP78" s="27" t="n">
        <f aca="false">IF(COUNT(Aveia!$E76:$Z76)=0,0,MAX(0,IF((AP$6-$E$3)&lt;1,0,IFERROR(LOOKUP(2,1/(Aveia!$E76:INDEX(Aveia!$E76:$Z76,MIN(AP$6-$E$3,22))&lt;&gt;""),Aveia!$E76:INDEX(Aveia!$E76:$Z76,MIN(AP$6-$E$3,22))),0))-IF($G$2,0,IF((AP$6-$G$3)&lt;1,0,IFERROR(LOOKUP(2,1/(Aveia!$E76:INDEX(Aveia!$E76:$Z76,MIN(AP$6-$G$3,22))&lt;&gt;""),Aveia!$E76:INDEX(Aveia!$E76:$Z76,MIN(AP$6-$G$3,22))),0)))))</f>
        <v>0</v>
      </c>
      <c r="AQ78" s="27" t="n">
        <f aca="false">IF(COUNT(Aveia!$E76:$Z76)=0,0,MAX(0,IF((AQ$6-$E$3)&lt;1,0,IFERROR(LOOKUP(2,1/(Aveia!$E76:INDEX(Aveia!$E76:$Z76,MIN(AQ$6-$E$3,22))&lt;&gt;""),Aveia!$E76:INDEX(Aveia!$E76:$Z76,MIN(AQ$6-$E$3,22))),0))-IF($G$2,0,IF((AQ$6-$G$3)&lt;1,0,IFERROR(LOOKUP(2,1/(Aveia!$E76:INDEX(Aveia!$E76:$Z76,MIN(AQ$6-$G$3,22))&lt;&gt;""),Aveia!$E76:INDEX(Aveia!$E76:$Z76,MIN(AQ$6-$G$3,22))),0)))))</f>
        <v>0</v>
      </c>
      <c r="AR78" s="27" t="n">
        <f aca="false">IF(COUNT(Aveia!$E76:$Z76)=0,0,MAX(0,IF((AR$6-$E$3)&lt;1,0,IFERROR(LOOKUP(2,1/(Aveia!$E76:INDEX(Aveia!$E76:$Z76,MIN(AR$6-$E$3,22))&lt;&gt;""),Aveia!$E76:INDEX(Aveia!$E76:$Z76,MIN(AR$6-$E$3,22))),0))-IF($G$2,0,IF((AR$6-$G$3)&lt;1,0,IFERROR(LOOKUP(2,1/(Aveia!$E76:INDEX(Aveia!$E76:$Z76,MIN(AR$6-$G$3,22))&lt;&gt;""),Aveia!$E76:INDEX(Aveia!$E76:$Z76,MIN(AR$6-$G$3,22))),0)))))</f>
        <v>0</v>
      </c>
      <c r="AS78" s="27" t="n">
        <f aca="false">IF(COUNT(Aveia!$E76:$Z76)=0,0,MAX(0,IF((AS$6-$E$3)&lt;1,0,IFERROR(LOOKUP(2,1/(Aveia!$E76:INDEX(Aveia!$E76:$Z76,MIN(AS$6-$E$3,22))&lt;&gt;""),Aveia!$E76:INDEX(Aveia!$E76:$Z76,MIN(AS$6-$E$3,22))),0))-IF($G$2,0,IF((AS$6-$G$3)&lt;1,0,IFERROR(LOOKUP(2,1/(Aveia!$E76:INDEX(Aveia!$E76:$Z76,MIN(AS$6-$G$3,22))&lt;&gt;""),Aveia!$E76:INDEX(Aveia!$E76:$Z76,MIN(AS$6-$G$3,22))),0)))))</f>
        <v>0</v>
      </c>
      <c r="AT78" s="27" t="n">
        <f aca="false">IF(COUNT(Aveia!$E76:$Z76)=0,0,MAX(0,IF((AT$6-$E$3)&lt;1,0,IFERROR(LOOKUP(2,1/(Aveia!$E76:INDEX(Aveia!$E76:$Z76,MIN(AT$6-$E$3,22))&lt;&gt;""),Aveia!$E76:INDEX(Aveia!$E76:$Z76,MIN(AT$6-$E$3,22))),0))-IF($G$2,0,IF((AT$6-$G$3)&lt;1,0,IFERROR(LOOKUP(2,1/(Aveia!$E76:INDEX(Aveia!$E76:$Z76,MIN(AT$6-$G$3,22))&lt;&gt;""),Aveia!$E76:INDEX(Aveia!$E76:$Z76,MIN(AT$6-$G$3,22))),0)))))</f>
        <v>0</v>
      </c>
      <c r="AU78" s="27" t="n">
        <f aca="false">IF(COUNT(Aveia!$E76:$Z76)=0,0,MAX(0,IF((AU$6-$E$3)&lt;1,0,IFERROR(LOOKUP(2,1/(Aveia!$E76:INDEX(Aveia!$E76:$Z76,MIN(AU$6-$E$3,22))&lt;&gt;""),Aveia!$E76:INDEX(Aveia!$E76:$Z76,MIN(AU$6-$E$3,22))),0))-IF($G$2,0,IF((AU$6-$G$3)&lt;1,0,IFERROR(LOOKUP(2,1/(Aveia!$E76:INDEX(Aveia!$E76:$Z76,MIN(AU$6-$G$3,22))&lt;&gt;""),Aveia!$E76:INDEX(Aveia!$E76:$Z76,MIN(AU$6-$G$3,22))),0)))))</f>
        <v>0</v>
      </c>
      <c r="AV78" s="27" t="n">
        <f aca="false">IF(COUNT(Aveia!$E76:$Z76)=0,0,MAX(0,IF((AV$6-$E$3)&lt;1,0,IFERROR(LOOKUP(2,1/(Aveia!$E76:INDEX(Aveia!$E76:$Z76,MIN(AV$6-$E$3,22))&lt;&gt;""),Aveia!$E76:INDEX(Aveia!$E76:$Z76,MIN(AV$6-$E$3,22))),0))-IF($G$2,0,IF((AV$6-$G$3)&lt;1,0,IFERROR(LOOKUP(2,1/(Aveia!$E76:INDEX(Aveia!$E76:$Z76,MIN(AV$6-$G$3,22))&lt;&gt;""),Aveia!$E76:INDEX(Aveia!$E76:$Z76,MIN(AV$6-$G$3,22))),0)))))</f>
        <v>0</v>
      </c>
      <c r="AW78" s="27" t="n">
        <f aca="false">IF(COUNT(Aveia!$E76:$Z76)=0,0,MAX(0,IF((AW$6-$E$3)&lt;1,0,IFERROR(LOOKUP(2,1/(Aveia!$E76:INDEX(Aveia!$E76:$Z76,MIN(AW$6-$E$3,22))&lt;&gt;""),Aveia!$E76:INDEX(Aveia!$E76:$Z76,MIN(AW$6-$E$3,22))),0))-IF($G$2,0,IF((AW$6-$G$3)&lt;1,0,IFERROR(LOOKUP(2,1/(Aveia!$E76:INDEX(Aveia!$E76:$Z76,MIN(AW$6-$G$3,22))&lt;&gt;""),Aveia!$E76:INDEX(Aveia!$E76:$Z76,MIN(AW$6-$G$3,22))),0)))))</f>
        <v>0</v>
      </c>
      <c r="AX78" s="27" t="n">
        <f aca="false">IF(COUNT(Aveia!$E76:$Z76)=0,0,MAX(0,IF((AX$6-$E$3)&lt;1,0,IFERROR(LOOKUP(2,1/(Aveia!$E76:INDEX(Aveia!$E76:$Z76,MIN(AX$6-$E$3,22))&lt;&gt;""),Aveia!$E76:INDEX(Aveia!$E76:$Z76,MIN(AX$6-$E$3,22))),0))-IF($G$2,0,IF((AX$6-$G$3)&lt;1,0,IFERROR(LOOKUP(2,1/(Aveia!$E76:INDEX(Aveia!$E76:$Z76,MIN(AX$6-$G$3,22))&lt;&gt;""),Aveia!$E76:INDEX(Aveia!$E76:$Z76,MIN(AX$6-$G$3,22))),0)))))</f>
        <v>0</v>
      </c>
      <c r="AY78" s="27" t="n">
        <f aca="false">IF(COUNT(Aveia!$E76:$Z76)=0,0,MAX(0,IF((AY$6-$E$3)&lt;1,0,IFERROR(LOOKUP(2,1/(Aveia!$E76:INDEX(Aveia!$E76:$Z76,MIN(AY$6-$E$3,22))&lt;&gt;""),Aveia!$E76:INDEX(Aveia!$E76:$Z76,MIN(AY$6-$E$3,22))),0))-IF($G$2,0,IF((AY$6-$G$3)&lt;1,0,IFERROR(LOOKUP(2,1/(Aveia!$E76:INDEX(Aveia!$E76:$Z76,MIN(AY$6-$G$3,22))&lt;&gt;""),Aveia!$E76:INDEX(Aveia!$E76:$Z76,MIN(AY$6-$G$3,22))),0)))))</f>
        <v>0</v>
      </c>
      <c r="AZ78" s="27" t="n">
        <f aca="false">IF(COUNT(Aveia!$E76:$Z76)=0,0,MAX(0,IF((AZ$6-$E$3)&lt;1,0,IFERROR(LOOKUP(2,1/(Aveia!$E76:INDEX(Aveia!$E76:$Z76,MIN(AZ$6-$E$3,22))&lt;&gt;""),Aveia!$E76:INDEX(Aveia!$E76:$Z76,MIN(AZ$6-$E$3,22))),0))-IF($G$2,0,IF((AZ$6-$G$3)&lt;1,0,IFERROR(LOOKUP(2,1/(Aveia!$E76:INDEX(Aveia!$E76:$Z76,MIN(AZ$6-$G$3,22))&lt;&gt;""),Aveia!$E76:INDEX(Aveia!$E76:$Z76,MIN(AZ$6-$G$3,22))),0)))))</f>
        <v>0</v>
      </c>
    </row>
    <row r="79" customFormat="false" ht="15" hidden="false" customHeight="false" outlineLevel="0" collapsed="false">
      <c r="A79" s="3" t="s">
        <v>276</v>
      </c>
      <c r="B79" s="3" t="s">
        <v>277</v>
      </c>
      <c r="C79" s="10" t="s">
        <v>132</v>
      </c>
      <c r="D79" s="26" t="n">
        <f aca="false">IF(COUNT(Aveia!$E77:$Z77)&gt;0,N(Aveia!$D77),0)</f>
        <v>0</v>
      </c>
      <c r="E79" s="27" t="n">
        <f aca="false">IF(COUNT(Aveia!$E77:$Z77)=0,0,MAX(0,IF((E$6-$E$3)&lt;1,0,IFERROR(LOOKUP(2,1/(Aveia!$E77:INDEX(Aveia!$E77:$Z77,MIN(E$6-$E$3,22))&lt;&gt;""),Aveia!$E77:INDEX(Aveia!$E77:$Z77,MIN(E$6-$E$3,22))),0))-IF($G$2,0,IF((E$6-$G$3)&lt;1,0,IFERROR(LOOKUP(2,1/(Aveia!$E77:INDEX(Aveia!$E77:$Z77,MIN(E$6-$G$3,22))&lt;&gt;""),Aveia!$E77:INDEX(Aveia!$E77:$Z77,MIN(E$6-$G$3,22))),0)))))</f>
        <v>0</v>
      </c>
      <c r="F79" s="27" t="n">
        <f aca="false">IF(COUNT(Aveia!$E77:$Z77)=0,0,MAX(0,IF((F$6-$E$3)&lt;1,0,IFERROR(LOOKUP(2,1/(Aveia!$E77:INDEX(Aveia!$E77:$Z77,MIN(F$6-$E$3,22))&lt;&gt;""),Aveia!$E77:INDEX(Aveia!$E77:$Z77,MIN(F$6-$E$3,22))),0))-IF($G$2,0,IF((F$6-$G$3)&lt;1,0,IFERROR(LOOKUP(2,1/(Aveia!$E77:INDEX(Aveia!$E77:$Z77,MIN(F$6-$G$3,22))&lt;&gt;""),Aveia!$E77:INDEX(Aveia!$E77:$Z77,MIN(F$6-$G$3,22))),0)))))</f>
        <v>0</v>
      </c>
      <c r="G79" s="27" t="n">
        <f aca="false">IF(COUNT(Aveia!$E77:$Z77)=0,0,MAX(0,IF((G$6-$E$3)&lt;1,0,IFERROR(LOOKUP(2,1/(Aveia!$E77:INDEX(Aveia!$E77:$Z77,MIN(G$6-$E$3,22))&lt;&gt;""),Aveia!$E77:INDEX(Aveia!$E77:$Z77,MIN(G$6-$E$3,22))),0))-IF($G$2,0,IF((G$6-$G$3)&lt;1,0,IFERROR(LOOKUP(2,1/(Aveia!$E77:INDEX(Aveia!$E77:$Z77,MIN(G$6-$G$3,22))&lt;&gt;""),Aveia!$E77:INDEX(Aveia!$E77:$Z77,MIN(G$6-$G$3,22))),0)))))</f>
        <v>0</v>
      </c>
      <c r="H79" s="27" t="n">
        <f aca="false">IF(COUNT(Aveia!$E77:$Z77)=0,0,MAX(0,IF((H$6-$E$3)&lt;1,0,IFERROR(LOOKUP(2,1/(Aveia!$E77:INDEX(Aveia!$E77:$Z77,MIN(H$6-$E$3,22))&lt;&gt;""),Aveia!$E77:INDEX(Aveia!$E77:$Z77,MIN(H$6-$E$3,22))),0))-IF($G$2,0,IF((H$6-$G$3)&lt;1,0,IFERROR(LOOKUP(2,1/(Aveia!$E77:INDEX(Aveia!$E77:$Z77,MIN(H$6-$G$3,22))&lt;&gt;""),Aveia!$E77:INDEX(Aveia!$E77:$Z77,MIN(H$6-$G$3,22))),0)))))</f>
        <v>0</v>
      </c>
      <c r="I79" s="27" t="n">
        <f aca="false">IF(COUNT(Aveia!$E77:$Z77)=0,0,MAX(0,IF((I$6-$E$3)&lt;1,0,IFERROR(LOOKUP(2,1/(Aveia!$E77:INDEX(Aveia!$E77:$Z77,MIN(I$6-$E$3,22))&lt;&gt;""),Aveia!$E77:INDEX(Aveia!$E77:$Z77,MIN(I$6-$E$3,22))),0))-IF($G$2,0,IF((I$6-$G$3)&lt;1,0,IFERROR(LOOKUP(2,1/(Aveia!$E77:INDEX(Aveia!$E77:$Z77,MIN(I$6-$G$3,22))&lt;&gt;""),Aveia!$E77:INDEX(Aveia!$E77:$Z77,MIN(I$6-$G$3,22))),0)))))</f>
        <v>0</v>
      </c>
      <c r="J79" s="27" t="n">
        <f aca="false">IF(COUNT(Aveia!$E77:$Z77)=0,0,MAX(0,IF((J$6-$E$3)&lt;1,0,IFERROR(LOOKUP(2,1/(Aveia!$E77:INDEX(Aveia!$E77:$Z77,MIN(J$6-$E$3,22))&lt;&gt;""),Aveia!$E77:INDEX(Aveia!$E77:$Z77,MIN(J$6-$E$3,22))),0))-IF($G$2,0,IF((J$6-$G$3)&lt;1,0,IFERROR(LOOKUP(2,1/(Aveia!$E77:INDEX(Aveia!$E77:$Z77,MIN(J$6-$G$3,22))&lt;&gt;""),Aveia!$E77:INDEX(Aveia!$E77:$Z77,MIN(J$6-$G$3,22))),0)))))</f>
        <v>0</v>
      </c>
      <c r="K79" s="27" t="n">
        <f aca="false">IF(COUNT(Aveia!$E77:$Z77)=0,0,MAX(0,IF((K$6-$E$3)&lt;1,0,IFERROR(LOOKUP(2,1/(Aveia!$E77:INDEX(Aveia!$E77:$Z77,MIN(K$6-$E$3,22))&lt;&gt;""),Aveia!$E77:INDEX(Aveia!$E77:$Z77,MIN(K$6-$E$3,22))),0))-IF($G$2,0,IF((K$6-$G$3)&lt;1,0,IFERROR(LOOKUP(2,1/(Aveia!$E77:INDEX(Aveia!$E77:$Z77,MIN(K$6-$G$3,22))&lt;&gt;""),Aveia!$E77:INDEX(Aveia!$E77:$Z77,MIN(K$6-$G$3,22))),0)))))</f>
        <v>0</v>
      </c>
      <c r="L79" s="27" t="n">
        <f aca="false">IF(COUNT(Aveia!$E77:$Z77)=0,0,MAX(0,IF((L$6-$E$3)&lt;1,0,IFERROR(LOOKUP(2,1/(Aveia!$E77:INDEX(Aveia!$E77:$Z77,MIN(L$6-$E$3,22))&lt;&gt;""),Aveia!$E77:INDEX(Aveia!$E77:$Z77,MIN(L$6-$E$3,22))),0))-IF($G$2,0,IF((L$6-$G$3)&lt;1,0,IFERROR(LOOKUP(2,1/(Aveia!$E77:INDEX(Aveia!$E77:$Z77,MIN(L$6-$G$3,22))&lt;&gt;""),Aveia!$E77:INDEX(Aveia!$E77:$Z77,MIN(L$6-$G$3,22))),0)))))</f>
        <v>0</v>
      </c>
      <c r="M79" s="27" t="n">
        <f aca="false">IF(COUNT(Aveia!$E77:$Z77)=0,0,MAX(0,IF((M$6-$E$3)&lt;1,0,IFERROR(LOOKUP(2,1/(Aveia!$E77:INDEX(Aveia!$E77:$Z77,MIN(M$6-$E$3,22))&lt;&gt;""),Aveia!$E77:INDEX(Aveia!$E77:$Z77,MIN(M$6-$E$3,22))),0))-IF($G$2,0,IF((M$6-$G$3)&lt;1,0,IFERROR(LOOKUP(2,1/(Aveia!$E77:INDEX(Aveia!$E77:$Z77,MIN(M$6-$G$3,22))&lt;&gt;""),Aveia!$E77:INDEX(Aveia!$E77:$Z77,MIN(M$6-$G$3,22))),0)))))</f>
        <v>0</v>
      </c>
      <c r="N79" s="27" t="n">
        <f aca="false">IF(COUNT(Aveia!$E77:$Z77)=0,0,MAX(0,IF((N$6-$E$3)&lt;1,0,IFERROR(LOOKUP(2,1/(Aveia!$E77:INDEX(Aveia!$E77:$Z77,MIN(N$6-$E$3,22))&lt;&gt;""),Aveia!$E77:INDEX(Aveia!$E77:$Z77,MIN(N$6-$E$3,22))),0))-IF($G$2,0,IF((N$6-$G$3)&lt;1,0,IFERROR(LOOKUP(2,1/(Aveia!$E77:INDEX(Aveia!$E77:$Z77,MIN(N$6-$G$3,22))&lt;&gt;""),Aveia!$E77:INDEX(Aveia!$E77:$Z77,MIN(N$6-$G$3,22))),0)))))</f>
        <v>0</v>
      </c>
      <c r="O79" s="27" t="n">
        <f aca="false">IF(COUNT(Aveia!$E77:$Z77)=0,0,MAX(0,IF((O$6-$E$3)&lt;1,0,IFERROR(LOOKUP(2,1/(Aveia!$E77:INDEX(Aveia!$E77:$Z77,MIN(O$6-$E$3,22))&lt;&gt;""),Aveia!$E77:INDEX(Aveia!$E77:$Z77,MIN(O$6-$E$3,22))),0))-IF($G$2,0,IF((O$6-$G$3)&lt;1,0,IFERROR(LOOKUP(2,1/(Aveia!$E77:INDEX(Aveia!$E77:$Z77,MIN(O$6-$G$3,22))&lt;&gt;""),Aveia!$E77:INDEX(Aveia!$E77:$Z77,MIN(O$6-$G$3,22))),0)))))</f>
        <v>0</v>
      </c>
      <c r="P79" s="27" t="n">
        <f aca="false">IF(COUNT(Aveia!$E77:$Z77)=0,0,MAX(0,IF((P$6-$E$3)&lt;1,0,IFERROR(LOOKUP(2,1/(Aveia!$E77:INDEX(Aveia!$E77:$Z77,MIN(P$6-$E$3,22))&lt;&gt;""),Aveia!$E77:INDEX(Aveia!$E77:$Z77,MIN(P$6-$E$3,22))),0))-IF($G$2,0,IF((P$6-$G$3)&lt;1,0,IFERROR(LOOKUP(2,1/(Aveia!$E77:INDEX(Aveia!$E77:$Z77,MIN(P$6-$G$3,22))&lt;&gt;""),Aveia!$E77:INDEX(Aveia!$E77:$Z77,MIN(P$6-$G$3,22))),0)))))</f>
        <v>0</v>
      </c>
      <c r="Q79" s="27" t="n">
        <f aca="false">IF(COUNT(Aveia!$E77:$Z77)=0,0,MAX(0,IF((Q$6-$E$3)&lt;1,0,IFERROR(LOOKUP(2,1/(Aveia!$E77:INDEX(Aveia!$E77:$Z77,MIN(Q$6-$E$3,22))&lt;&gt;""),Aveia!$E77:INDEX(Aveia!$E77:$Z77,MIN(Q$6-$E$3,22))),0))-IF($G$2,0,IF((Q$6-$G$3)&lt;1,0,IFERROR(LOOKUP(2,1/(Aveia!$E77:INDEX(Aveia!$E77:$Z77,MIN(Q$6-$G$3,22))&lt;&gt;""),Aveia!$E77:INDEX(Aveia!$E77:$Z77,MIN(Q$6-$G$3,22))),0)))))</f>
        <v>0</v>
      </c>
      <c r="R79" s="27" t="n">
        <f aca="false">IF(COUNT(Aveia!$E77:$Z77)=0,0,MAX(0,IF((R$6-$E$3)&lt;1,0,IFERROR(LOOKUP(2,1/(Aveia!$E77:INDEX(Aveia!$E77:$Z77,MIN(R$6-$E$3,22))&lt;&gt;""),Aveia!$E77:INDEX(Aveia!$E77:$Z77,MIN(R$6-$E$3,22))),0))-IF($G$2,0,IF((R$6-$G$3)&lt;1,0,IFERROR(LOOKUP(2,1/(Aveia!$E77:INDEX(Aveia!$E77:$Z77,MIN(R$6-$G$3,22))&lt;&gt;""),Aveia!$E77:INDEX(Aveia!$E77:$Z77,MIN(R$6-$G$3,22))),0)))))</f>
        <v>0</v>
      </c>
      <c r="S79" s="27" t="n">
        <f aca="false">IF(COUNT(Aveia!$E77:$Z77)=0,0,MAX(0,IF((S$6-$E$3)&lt;1,0,IFERROR(LOOKUP(2,1/(Aveia!$E77:INDEX(Aveia!$E77:$Z77,MIN(S$6-$E$3,22))&lt;&gt;""),Aveia!$E77:INDEX(Aveia!$E77:$Z77,MIN(S$6-$E$3,22))),0))-IF($G$2,0,IF((S$6-$G$3)&lt;1,0,IFERROR(LOOKUP(2,1/(Aveia!$E77:INDEX(Aveia!$E77:$Z77,MIN(S$6-$G$3,22))&lt;&gt;""),Aveia!$E77:INDEX(Aveia!$E77:$Z77,MIN(S$6-$G$3,22))),0)))))</f>
        <v>0</v>
      </c>
      <c r="T79" s="27" t="n">
        <f aca="false">IF(COUNT(Aveia!$E77:$Z77)=0,0,MAX(0,IF((T$6-$E$3)&lt;1,0,IFERROR(LOOKUP(2,1/(Aveia!$E77:INDEX(Aveia!$E77:$Z77,MIN(T$6-$E$3,22))&lt;&gt;""),Aveia!$E77:INDEX(Aveia!$E77:$Z77,MIN(T$6-$E$3,22))),0))-IF($G$2,0,IF((T$6-$G$3)&lt;1,0,IFERROR(LOOKUP(2,1/(Aveia!$E77:INDEX(Aveia!$E77:$Z77,MIN(T$6-$G$3,22))&lt;&gt;""),Aveia!$E77:INDEX(Aveia!$E77:$Z77,MIN(T$6-$G$3,22))),0)))))</f>
        <v>0</v>
      </c>
      <c r="U79" s="27" t="n">
        <f aca="false">IF(COUNT(Aveia!$E77:$Z77)=0,0,MAX(0,IF((U$6-$E$3)&lt;1,0,IFERROR(LOOKUP(2,1/(Aveia!$E77:INDEX(Aveia!$E77:$Z77,MIN(U$6-$E$3,22))&lt;&gt;""),Aveia!$E77:INDEX(Aveia!$E77:$Z77,MIN(U$6-$E$3,22))),0))-IF($G$2,0,IF((U$6-$G$3)&lt;1,0,IFERROR(LOOKUP(2,1/(Aveia!$E77:INDEX(Aveia!$E77:$Z77,MIN(U$6-$G$3,22))&lt;&gt;""),Aveia!$E77:INDEX(Aveia!$E77:$Z77,MIN(U$6-$G$3,22))),0)))))</f>
        <v>0</v>
      </c>
      <c r="V79" s="27" t="n">
        <f aca="false">IF(COUNT(Aveia!$E77:$Z77)=0,0,MAX(0,IF((V$6-$E$3)&lt;1,0,IFERROR(LOOKUP(2,1/(Aveia!$E77:INDEX(Aveia!$E77:$Z77,MIN(V$6-$E$3,22))&lt;&gt;""),Aveia!$E77:INDEX(Aveia!$E77:$Z77,MIN(V$6-$E$3,22))),0))-IF($G$2,0,IF((V$6-$G$3)&lt;1,0,IFERROR(LOOKUP(2,1/(Aveia!$E77:INDEX(Aveia!$E77:$Z77,MIN(V$6-$G$3,22))&lt;&gt;""),Aveia!$E77:INDEX(Aveia!$E77:$Z77,MIN(V$6-$G$3,22))),0)))))</f>
        <v>0</v>
      </c>
      <c r="W79" s="27" t="n">
        <f aca="false">IF(COUNT(Aveia!$E77:$Z77)=0,0,MAX(0,IF((W$6-$E$3)&lt;1,0,IFERROR(LOOKUP(2,1/(Aveia!$E77:INDEX(Aveia!$E77:$Z77,MIN(W$6-$E$3,22))&lt;&gt;""),Aveia!$E77:INDEX(Aveia!$E77:$Z77,MIN(W$6-$E$3,22))),0))-IF($G$2,0,IF((W$6-$G$3)&lt;1,0,IFERROR(LOOKUP(2,1/(Aveia!$E77:INDEX(Aveia!$E77:$Z77,MIN(W$6-$G$3,22))&lt;&gt;""),Aveia!$E77:INDEX(Aveia!$E77:$Z77,MIN(W$6-$G$3,22))),0)))))</f>
        <v>0</v>
      </c>
      <c r="X79" s="27" t="n">
        <f aca="false">IF(COUNT(Aveia!$E77:$Z77)=0,0,MAX(0,IF((X$6-$E$3)&lt;1,0,IFERROR(LOOKUP(2,1/(Aveia!$E77:INDEX(Aveia!$E77:$Z77,MIN(X$6-$E$3,22))&lt;&gt;""),Aveia!$E77:INDEX(Aveia!$E77:$Z77,MIN(X$6-$E$3,22))),0))-IF($G$2,0,IF((X$6-$G$3)&lt;1,0,IFERROR(LOOKUP(2,1/(Aveia!$E77:INDEX(Aveia!$E77:$Z77,MIN(X$6-$G$3,22))&lt;&gt;""),Aveia!$E77:INDEX(Aveia!$E77:$Z77,MIN(X$6-$G$3,22))),0)))))</f>
        <v>0</v>
      </c>
      <c r="Y79" s="27" t="n">
        <f aca="false">IF(COUNT(Aveia!$E77:$Z77)=0,0,MAX(0,IF((Y$6-$E$3)&lt;1,0,IFERROR(LOOKUP(2,1/(Aveia!$E77:INDEX(Aveia!$E77:$Z77,MIN(Y$6-$E$3,22))&lt;&gt;""),Aveia!$E77:INDEX(Aveia!$E77:$Z77,MIN(Y$6-$E$3,22))),0))-IF($G$2,0,IF((Y$6-$G$3)&lt;1,0,IFERROR(LOOKUP(2,1/(Aveia!$E77:INDEX(Aveia!$E77:$Z77,MIN(Y$6-$G$3,22))&lt;&gt;""),Aveia!$E77:INDEX(Aveia!$E77:$Z77,MIN(Y$6-$G$3,22))),0)))))</f>
        <v>0</v>
      </c>
      <c r="Z79" s="27" t="n">
        <f aca="false">IF(COUNT(Aveia!$E77:$Z77)=0,0,MAX(0,IF((Z$6-$E$3)&lt;1,0,IFERROR(LOOKUP(2,1/(Aveia!$E77:INDEX(Aveia!$E77:$Z77,MIN(Z$6-$E$3,22))&lt;&gt;""),Aveia!$E77:INDEX(Aveia!$E77:$Z77,MIN(Z$6-$E$3,22))),0))-IF($G$2,0,IF((Z$6-$G$3)&lt;1,0,IFERROR(LOOKUP(2,1/(Aveia!$E77:INDEX(Aveia!$E77:$Z77,MIN(Z$6-$G$3,22))&lt;&gt;""),Aveia!$E77:INDEX(Aveia!$E77:$Z77,MIN(Z$6-$G$3,22))),0)))))</f>
        <v>0</v>
      </c>
      <c r="AA79" s="27" t="n">
        <f aca="false">IF(COUNT(Aveia!$E77:$Z77)=0,0,MAX(0,IF((AA$6-$E$3)&lt;1,0,IFERROR(LOOKUP(2,1/(Aveia!$E77:INDEX(Aveia!$E77:$Z77,MIN(AA$6-$E$3,22))&lt;&gt;""),Aveia!$E77:INDEX(Aveia!$E77:$Z77,MIN(AA$6-$E$3,22))),0))-IF($G$2,0,IF((AA$6-$G$3)&lt;1,0,IFERROR(LOOKUP(2,1/(Aveia!$E77:INDEX(Aveia!$E77:$Z77,MIN(AA$6-$G$3,22))&lt;&gt;""),Aveia!$E77:INDEX(Aveia!$E77:$Z77,MIN(AA$6-$G$3,22))),0)))))</f>
        <v>0</v>
      </c>
      <c r="AB79" s="27" t="n">
        <f aca="false">IF(COUNT(Aveia!$E77:$Z77)=0,0,MAX(0,IF((AB$6-$E$3)&lt;1,0,IFERROR(LOOKUP(2,1/(Aveia!$E77:INDEX(Aveia!$E77:$Z77,MIN(AB$6-$E$3,22))&lt;&gt;""),Aveia!$E77:INDEX(Aveia!$E77:$Z77,MIN(AB$6-$E$3,22))),0))-IF($G$2,0,IF((AB$6-$G$3)&lt;1,0,IFERROR(LOOKUP(2,1/(Aveia!$E77:INDEX(Aveia!$E77:$Z77,MIN(AB$6-$G$3,22))&lt;&gt;""),Aveia!$E77:INDEX(Aveia!$E77:$Z77,MIN(AB$6-$G$3,22))),0)))))</f>
        <v>0</v>
      </c>
      <c r="AC79" s="27" t="n">
        <f aca="false">IF(COUNT(Aveia!$E77:$Z77)=0,0,MAX(0,IF((AC$6-$E$3)&lt;1,0,IFERROR(LOOKUP(2,1/(Aveia!$E77:INDEX(Aveia!$E77:$Z77,MIN(AC$6-$E$3,22))&lt;&gt;""),Aveia!$E77:INDEX(Aveia!$E77:$Z77,MIN(AC$6-$E$3,22))),0))-IF($G$2,0,IF((AC$6-$G$3)&lt;1,0,IFERROR(LOOKUP(2,1/(Aveia!$E77:INDEX(Aveia!$E77:$Z77,MIN(AC$6-$G$3,22))&lt;&gt;""),Aveia!$E77:INDEX(Aveia!$E77:$Z77,MIN(AC$6-$G$3,22))),0)))))</f>
        <v>0</v>
      </c>
      <c r="AD79" s="27" t="n">
        <f aca="false">IF(COUNT(Aveia!$E77:$Z77)=0,0,MAX(0,IF((AD$6-$E$3)&lt;1,0,IFERROR(LOOKUP(2,1/(Aveia!$E77:INDEX(Aveia!$E77:$Z77,MIN(AD$6-$E$3,22))&lt;&gt;""),Aveia!$E77:INDEX(Aveia!$E77:$Z77,MIN(AD$6-$E$3,22))),0))-IF($G$2,0,IF((AD$6-$G$3)&lt;1,0,IFERROR(LOOKUP(2,1/(Aveia!$E77:INDEX(Aveia!$E77:$Z77,MIN(AD$6-$G$3,22))&lt;&gt;""),Aveia!$E77:INDEX(Aveia!$E77:$Z77,MIN(AD$6-$G$3,22))),0)))))</f>
        <v>0</v>
      </c>
      <c r="AE79" s="27" t="n">
        <f aca="false">IF(COUNT(Aveia!$E77:$Z77)=0,0,MAX(0,IF((AE$6-$E$3)&lt;1,0,IFERROR(LOOKUP(2,1/(Aveia!$E77:INDEX(Aveia!$E77:$Z77,MIN(AE$6-$E$3,22))&lt;&gt;""),Aveia!$E77:INDEX(Aveia!$E77:$Z77,MIN(AE$6-$E$3,22))),0))-IF($G$2,0,IF((AE$6-$G$3)&lt;1,0,IFERROR(LOOKUP(2,1/(Aveia!$E77:INDEX(Aveia!$E77:$Z77,MIN(AE$6-$G$3,22))&lt;&gt;""),Aveia!$E77:INDEX(Aveia!$E77:$Z77,MIN(AE$6-$G$3,22))),0)))))</f>
        <v>0</v>
      </c>
      <c r="AF79" s="27" t="n">
        <f aca="false">IF(COUNT(Aveia!$E77:$Z77)=0,0,MAX(0,IF((AF$6-$E$3)&lt;1,0,IFERROR(LOOKUP(2,1/(Aveia!$E77:INDEX(Aveia!$E77:$Z77,MIN(AF$6-$E$3,22))&lt;&gt;""),Aveia!$E77:INDEX(Aveia!$E77:$Z77,MIN(AF$6-$E$3,22))),0))-IF($G$2,0,IF((AF$6-$G$3)&lt;1,0,IFERROR(LOOKUP(2,1/(Aveia!$E77:INDEX(Aveia!$E77:$Z77,MIN(AF$6-$G$3,22))&lt;&gt;""),Aveia!$E77:INDEX(Aveia!$E77:$Z77,MIN(AF$6-$G$3,22))),0)))))</f>
        <v>0</v>
      </c>
      <c r="AG79" s="27" t="n">
        <f aca="false">IF(COUNT(Aveia!$E77:$Z77)=0,0,MAX(0,IF((AG$6-$E$3)&lt;1,0,IFERROR(LOOKUP(2,1/(Aveia!$E77:INDEX(Aveia!$E77:$Z77,MIN(AG$6-$E$3,22))&lt;&gt;""),Aveia!$E77:INDEX(Aveia!$E77:$Z77,MIN(AG$6-$E$3,22))),0))-IF($G$2,0,IF((AG$6-$G$3)&lt;1,0,IFERROR(LOOKUP(2,1/(Aveia!$E77:INDEX(Aveia!$E77:$Z77,MIN(AG$6-$G$3,22))&lt;&gt;""),Aveia!$E77:INDEX(Aveia!$E77:$Z77,MIN(AG$6-$G$3,22))),0)))))</f>
        <v>0</v>
      </c>
      <c r="AH79" s="27" t="n">
        <f aca="false">IF(COUNT(Aveia!$E77:$Z77)=0,0,MAX(0,IF((AH$6-$E$3)&lt;1,0,IFERROR(LOOKUP(2,1/(Aveia!$E77:INDEX(Aveia!$E77:$Z77,MIN(AH$6-$E$3,22))&lt;&gt;""),Aveia!$E77:INDEX(Aveia!$E77:$Z77,MIN(AH$6-$E$3,22))),0))-IF($G$2,0,IF((AH$6-$G$3)&lt;1,0,IFERROR(LOOKUP(2,1/(Aveia!$E77:INDEX(Aveia!$E77:$Z77,MIN(AH$6-$G$3,22))&lt;&gt;""),Aveia!$E77:INDEX(Aveia!$E77:$Z77,MIN(AH$6-$G$3,22))),0)))))</f>
        <v>0</v>
      </c>
      <c r="AI79" s="27" t="n">
        <f aca="false">IF(COUNT(Aveia!$E77:$Z77)=0,0,MAX(0,IF((AI$6-$E$3)&lt;1,0,IFERROR(LOOKUP(2,1/(Aveia!$E77:INDEX(Aveia!$E77:$Z77,MIN(AI$6-$E$3,22))&lt;&gt;""),Aveia!$E77:INDEX(Aveia!$E77:$Z77,MIN(AI$6-$E$3,22))),0))-IF($G$2,0,IF((AI$6-$G$3)&lt;1,0,IFERROR(LOOKUP(2,1/(Aveia!$E77:INDEX(Aveia!$E77:$Z77,MIN(AI$6-$G$3,22))&lt;&gt;""),Aveia!$E77:INDEX(Aveia!$E77:$Z77,MIN(AI$6-$G$3,22))),0)))))</f>
        <v>0</v>
      </c>
      <c r="AJ79" s="27" t="n">
        <f aca="false">IF(COUNT(Aveia!$E77:$Z77)=0,0,MAX(0,IF((AJ$6-$E$3)&lt;1,0,IFERROR(LOOKUP(2,1/(Aveia!$E77:INDEX(Aveia!$E77:$Z77,MIN(AJ$6-$E$3,22))&lt;&gt;""),Aveia!$E77:INDEX(Aveia!$E77:$Z77,MIN(AJ$6-$E$3,22))),0))-IF($G$2,0,IF((AJ$6-$G$3)&lt;1,0,IFERROR(LOOKUP(2,1/(Aveia!$E77:INDEX(Aveia!$E77:$Z77,MIN(AJ$6-$G$3,22))&lt;&gt;""),Aveia!$E77:INDEX(Aveia!$E77:$Z77,MIN(AJ$6-$G$3,22))),0)))))</f>
        <v>0</v>
      </c>
      <c r="AK79" s="27" t="n">
        <f aca="false">IF(COUNT(Aveia!$E77:$Z77)=0,0,MAX(0,IF((AK$6-$E$3)&lt;1,0,IFERROR(LOOKUP(2,1/(Aveia!$E77:INDEX(Aveia!$E77:$Z77,MIN(AK$6-$E$3,22))&lt;&gt;""),Aveia!$E77:INDEX(Aveia!$E77:$Z77,MIN(AK$6-$E$3,22))),0))-IF($G$2,0,IF((AK$6-$G$3)&lt;1,0,IFERROR(LOOKUP(2,1/(Aveia!$E77:INDEX(Aveia!$E77:$Z77,MIN(AK$6-$G$3,22))&lt;&gt;""),Aveia!$E77:INDEX(Aveia!$E77:$Z77,MIN(AK$6-$G$3,22))),0)))))</f>
        <v>0</v>
      </c>
      <c r="AL79" s="27" t="n">
        <f aca="false">IF(COUNT(Aveia!$E77:$Z77)=0,0,MAX(0,IF((AL$6-$E$3)&lt;1,0,IFERROR(LOOKUP(2,1/(Aveia!$E77:INDEX(Aveia!$E77:$Z77,MIN(AL$6-$E$3,22))&lt;&gt;""),Aveia!$E77:INDEX(Aveia!$E77:$Z77,MIN(AL$6-$E$3,22))),0))-IF($G$2,0,IF((AL$6-$G$3)&lt;1,0,IFERROR(LOOKUP(2,1/(Aveia!$E77:INDEX(Aveia!$E77:$Z77,MIN(AL$6-$G$3,22))&lt;&gt;""),Aveia!$E77:INDEX(Aveia!$E77:$Z77,MIN(AL$6-$G$3,22))),0)))))</f>
        <v>0</v>
      </c>
      <c r="AM79" s="27" t="n">
        <f aca="false">IF(COUNT(Aveia!$E77:$Z77)=0,0,MAX(0,IF((AM$6-$E$3)&lt;1,0,IFERROR(LOOKUP(2,1/(Aveia!$E77:INDEX(Aveia!$E77:$Z77,MIN(AM$6-$E$3,22))&lt;&gt;""),Aveia!$E77:INDEX(Aveia!$E77:$Z77,MIN(AM$6-$E$3,22))),0))-IF($G$2,0,IF((AM$6-$G$3)&lt;1,0,IFERROR(LOOKUP(2,1/(Aveia!$E77:INDEX(Aveia!$E77:$Z77,MIN(AM$6-$G$3,22))&lt;&gt;""),Aveia!$E77:INDEX(Aveia!$E77:$Z77,MIN(AM$6-$G$3,22))),0)))))</f>
        <v>0</v>
      </c>
      <c r="AN79" s="27" t="n">
        <f aca="false">IF(COUNT(Aveia!$E77:$Z77)=0,0,MAX(0,IF((AN$6-$E$3)&lt;1,0,IFERROR(LOOKUP(2,1/(Aveia!$E77:INDEX(Aveia!$E77:$Z77,MIN(AN$6-$E$3,22))&lt;&gt;""),Aveia!$E77:INDEX(Aveia!$E77:$Z77,MIN(AN$6-$E$3,22))),0))-IF($G$2,0,IF((AN$6-$G$3)&lt;1,0,IFERROR(LOOKUP(2,1/(Aveia!$E77:INDEX(Aveia!$E77:$Z77,MIN(AN$6-$G$3,22))&lt;&gt;""),Aveia!$E77:INDEX(Aveia!$E77:$Z77,MIN(AN$6-$G$3,22))),0)))))</f>
        <v>0</v>
      </c>
      <c r="AO79" s="27" t="n">
        <f aca="false">IF(COUNT(Aveia!$E77:$Z77)=0,0,MAX(0,IF((AO$6-$E$3)&lt;1,0,IFERROR(LOOKUP(2,1/(Aveia!$E77:INDEX(Aveia!$E77:$Z77,MIN(AO$6-$E$3,22))&lt;&gt;""),Aveia!$E77:INDEX(Aveia!$E77:$Z77,MIN(AO$6-$E$3,22))),0))-IF($G$2,0,IF((AO$6-$G$3)&lt;1,0,IFERROR(LOOKUP(2,1/(Aveia!$E77:INDEX(Aveia!$E77:$Z77,MIN(AO$6-$G$3,22))&lt;&gt;""),Aveia!$E77:INDEX(Aveia!$E77:$Z77,MIN(AO$6-$G$3,22))),0)))))</f>
        <v>0</v>
      </c>
      <c r="AP79" s="27" t="n">
        <f aca="false">IF(COUNT(Aveia!$E77:$Z77)=0,0,MAX(0,IF((AP$6-$E$3)&lt;1,0,IFERROR(LOOKUP(2,1/(Aveia!$E77:INDEX(Aveia!$E77:$Z77,MIN(AP$6-$E$3,22))&lt;&gt;""),Aveia!$E77:INDEX(Aveia!$E77:$Z77,MIN(AP$6-$E$3,22))),0))-IF($G$2,0,IF((AP$6-$G$3)&lt;1,0,IFERROR(LOOKUP(2,1/(Aveia!$E77:INDEX(Aveia!$E77:$Z77,MIN(AP$6-$G$3,22))&lt;&gt;""),Aveia!$E77:INDEX(Aveia!$E77:$Z77,MIN(AP$6-$G$3,22))),0)))))</f>
        <v>0</v>
      </c>
      <c r="AQ79" s="27" t="n">
        <f aca="false">IF(COUNT(Aveia!$E77:$Z77)=0,0,MAX(0,IF((AQ$6-$E$3)&lt;1,0,IFERROR(LOOKUP(2,1/(Aveia!$E77:INDEX(Aveia!$E77:$Z77,MIN(AQ$6-$E$3,22))&lt;&gt;""),Aveia!$E77:INDEX(Aveia!$E77:$Z77,MIN(AQ$6-$E$3,22))),0))-IF($G$2,0,IF((AQ$6-$G$3)&lt;1,0,IFERROR(LOOKUP(2,1/(Aveia!$E77:INDEX(Aveia!$E77:$Z77,MIN(AQ$6-$G$3,22))&lt;&gt;""),Aveia!$E77:INDEX(Aveia!$E77:$Z77,MIN(AQ$6-$G$3,22))),0)))))</f>
        <v>0</v>
      </c>
      <c r="AR79" s="27" t="n">
        <f aca="false">IF(COUNT(Aveia!$E77:$Z77)=0,0,MAX(0,IF((AR$6-$E$3)&lt;1,0,IFERROR(LOOKUP(2,1/(Aveia!$E77:INDEX(Aveia!$E77:$Z77,MIN(AR$6-$E$3,22))&lt;&gt;""),Aveia!$E77:INDEX(Aveia!$E77:$Z77,MIN(AR$6-$E$3,22))),0))-IF($G$2,0,IF((AR$6-$G$3)&lt;1,0,IFERROR(LOOKUP(2,1/(Aveia!$E77:INDEX(Aveia!$E77:$Z77,MIN(AR$6-$G$3,22))&lt;&gt;""),Aveia!$E77:INDEX(Aveia!$E77:$Z77,MIN(AR$6-$G$3,22))),0)))))</f>
        <v>0</v>
      </c>
      <c r="AS79" s="27" t="n">
        <f aca="false">IF(COUNT(Aveia!$E77:$Z77)=0,0,MAX(0,IF((AS$6-$E$3)&lt;1,0,IFERROR(LOOKUP(2,1/(Aveia!$E77:INDEX(Aveia!$E77:$Z77,MIN(AS$6-$E$3,22))&lt;&gt;""),Aveia!$E77:INDEX(Aveia!$E77:$Z77,MIN(AS$6-$E$3,22))),0))-IF($G$2,0,IF((AS$6-$G$3)&lt;1,0,IFERROR(LOOKUP(2,1/(Aveia!$E77:INDEX(Aveia!$E77:$Z77,MIN(AS$6-$G$3,22))&lt;&gt;""),Aveia!$E77:INDEX(Aveia!$E77:$Z77,MIN(AS$6-$G$3,22))),0)))))</f>
        <v>0</v>
      </c>
      <c r="AT79" s="27" t="n">
        <f aca="false">IF(COUNT(Aveia!$E77:$Z77)=0,0,MAX(0,IF((AT$6-$E$3)&lt;1,0,IFERROR(LOOKUP(2,1/(Aveia!$E77:INDEX(Aveia!$E77:$Z77,MIN(AT$6-$E$3,22))&lt;&gt;""),Aveia!$E77:INDEX(Aveia!$E77:$Z77,MIN(AT$6-$E$3,22))),0))-IF($G$2,0,IF((AT$6-$G$3)&lt;1,0,IFERROR(LOOKUP(2,1/(Aveia!$E77:INDEX(Aveia!$E77:$Z77,MIN(AT$6-$G$3,22))&lt;&gt;""),Aveia!$E77:INDEX(Aveia!$E77:$Z77,MIN(AT$6-$G$3,22))),0)))))</f>
        <v>0</v>
      </c>
      <c r="AU79" s="27" t="n">
        <f aca="false">IF(COUNT(Aveia!$E77:$Z77)=0,0,MAX(0,IF((AU$6-$E$3)&lt;1,0,IFERROR(LOOKUP(2,1/(Aveia!$E77:INDEX(Aveia!$E77:$Z77,MIN(AU$6-$E$3,22))&lt;&gt;""),Aveia!$E77:INDEX(Aveia!$E77:$Z77,MIN(AU$6-$E$3,22))),0))-IF($G$2,0,IF((AU$6-$G$3)&lt;1,0,IFERROR(LOOKUP(2,1/(Aveia!$E77:INDEX(Aveia!$E77:$Z77,MIN(AU$6-$G$3,22))&lt;&gt;""),Aveia!$E77:INDEX(Aveia!$E77:$Z77,MIN(AU$6-$G$3,22))),0)))))</f>
        <v>0</v>
      </c>
      <c r="AV79" s="27" t="n">
        <f aca="false">IF(COUNT(Aveia!$E77:$Z77)=0,0,MAX(0,IF((AV$6-$E$3)&lt;1,0,IFERROR(LOOKUP(2,1/(Aveia!$E77:INDEX(Aveia!$E77:$Z77,MIN(AV$6-$E$3,22))&lt;&gt;""),Aveia!$E77:INDEX(Aveia!$E77:$Z77,MIN(AV$6-$E$3,22))),0))-IF($G$2,0,IF((AV$6-$G$3)&lt;1,0,IFERROR(LOOKUP(2,1/(Aveia!$E77:INDEX(Aveia!$E77:$Z77,MIN(AV$6-$G$3,22))&lt;&gt;""),Aveia!$E77:INDEX(Aveia!$E77:$Z77,MIN(AV$6-$G$3,22))),0)))))</f>
        <v>0</v>
      </c>
      <c r="AW79" s="27" t="n">
        <f aca="false">IF(COUNT(Aveia!$E77:$Z77)=0,0,MAX(0,IF((AW$6-$E$3)&lt;1,0,IFERROR(LOOKUP(2,1/(Aveia!$E77:INDEX(Aveia!$E77:$Z77,MIN(AW$6-$E$3,22))&lt;&gt;""),Aveia!$E77:INDEX(Aveia!$E77:$Z77,MIN(AW$6-$E$3,22))),0))-IF($G$2,0,IF((AW$6-$G$3)&lt;1,0,IFERROR(LOOKUP(2,1/(Aveia!$E77:INDEX(Aveia!$E77:$Z77,MIN(AW$6-$G$3,22))&lt;&gt;""),Aveia!$E77:INDEX(Aveia!$E77:$Z77,MIN(AW$6-$G$3,22))),0)))))</f>
        <v>0</v>
      </c>
      <c r="AX79" s="27" t="n">
        <f aca="false">IF(COUNT(Aveia!$E77:$Z77)=0,0,MAX(0,IF((AX$6-$E$3)&lt;1,0,IFERROR(LOOKUP(2,1/(Aveia!$E77:INDEX(Aveia!$E77:$Z77,MIN(AX$6-$E$3,22))&lt;&gt;""),Aveia!$E77:INDEX(Aveia!$E77:$Z77,MIN(AX$6-$E$3,22))),0))-IF($G$2,0,IF((AX$6-$G$3)&lt;1,0,IFERROR(LOOKUP(2,1/(Aveia!$E77:INDEX(Aveia!$E77:$Z77,MIN(AX$6-$G$3,22))&lt;&gt;""),Aveia!$E77:INDEX(Aveia!$E77:$Z77,MIN(AX$6-$G$3,22))),0)))))</f>
        <v>0</v>
      </c>
      <c r="AY79" s="27" t="n">
        <f aca="false">IF(COUNT(Aveia!$E77:$Z77)=0,0,MAX(0,IF((AY$6-$E$3)&lt;1,0,IFERROR(LOOKUP(2,1/(Aveia!$E77:INDEX(Aveia!$E77:$Z77,MIN(AY$6-$E$3,22))&lt;&gt;""),Aveia!$E77:INDEX(Aveia!$E77:$Z77,MIN(AY$6-$E$3,22))),0))-IF($G$2,0,IF((AY$6-$G$3)&lt;1,0,IFERROR(LOOKUP(2,1/(Aveia!$E77:INDEX(Aveia!$E77:$Z77,MIN(AY$6-$G$3,22))&lt;&gt;""),Aveia!$E77:INDEX(Aveia!$E77:$Z77,MIN(AY$6-$G$3,22))),0)))))</f>
        <v>0</v>
      </c>
      <c r="AZ79" s="27" t="n">
        <f aca="false">IF(COUNT(Aveia!$E77:$Z77)=0,0,MAX(0,IF((AZ$6-$E$3)&lt;1,0,IFERROR(LOOKUP(2,1/(Aveia!$E77:INDEX(Aveia!$E77:$Z77,MIN(AZ$6-$E$3,22))&lt;&gt;""),Aveia!$E77:INDEX(Aveia!$E77:$Z77,MIN(AZ$6-$E$3,22))),0))-IF($G$2,0,IF((AZ$6-$G$3)&lt;1,0,IFERROR(LOOKUP(2,1/(Aveia!$E77:INDEX(Aveia!$E77:$Z77,MIN(AZ$6-$G$3,22))&lt;&gt;""),Aveia!$E77:INDEX(Aveia!$E77:$Z77,MIN(AZ$6-$G$3,22))),0)))))</f>
        <v>0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10" t="s">
        <v>155</v>
      </c>
      <c r="D80" s="26" t="n">
        <f aca="false">IF(COUNT(Aveia!$E78:$Z78)&gt;0,N(Aveia!$D78),0)</f>
        <v>0</v>
      </c>
      <c r="E80" s="27" t="n">
        <f aca="false">IF(COUNT(Aveia!$E78:$Z78)=0,0,MAX(0,IF((E$6-$E$3)&lt;1,0,IFERROR(LOOKUP(2,1/(Aveia!$E78:INDEX(Aveia!$E78:$Z78,MIN(E$6-$E$3,22))&lt;&gt;""),Aveia!$E78:INDEX(Aveia!$E78:$Z78,MIN(E$6-$E$3,22))),0))-IF($G$2,0,IF((E$6-$G$3)&lt;1,0,IFERROR(LOOKUP(2,1/(Aveia!$E78:INDEX(Aveia!$E78:$Z78,MIN(E$6-$G$3,22))&lt;&gt;""),Aveia!$E78:INDEX(Aveia!$E78:$Z78,MIN(E$6-$G$3,22))),0)))))</f>
        <v>0</v>
      </c>
      <c r="F80" s="27" t="n">
        <f aca="false">IF(COUNT(Aveia!$E78:$Z78)=0,0,MAX(0,IF((F$6-$E$3)&lt;1,0,IFERROR(LOOKUP(2,1/(Aveia!$E78:INDEX(Aveia!$E78:$Z78,MIN(F$6-$E$3,22))&lt;&gt;""),Aveia!$E78:INDEX(Aveia!$E78:$Z78,MIN(F$6-$E$3,22))),0))-IF($G$2,0,IF((F$6-$G$3)&lt;1,0,IFERROR(LOOKUP(2,1/(Aveia!$E78:INDEX(Aveia!$E78:$Z78,MIN(F$6-$G$3,22))&lt;&gt;""),Aveia!$E78:INDEX(Aveia!$E78:$Z78,MIN(F$6-$G$3,22))),0)))))</f>
        <v>0</v>
      </c>
      <c r="G80" s="27" t="n">
        <f aca="false">IF(COUNT(Aveia!$E78:$Z78)=0,0,MAX(0,IF((G$6-$E$3)&lt;1,0,IFERROR(LOOKUP(2,1/(Aveia!$E78:INDEX(Aveia!$E78:$Z78,MIN(G$6-$E$3,22))&lt;&gt;""),Aveia!$E78:INDEX(Aveia!$E78:$Z78,MIN(G$6-$E$3,22))),0))-IF($G$2,0,IF((G$6-$G$3)&lt;1,0,IFERROR(LOOKUP(2,1/(Aveia!$E78:INDEX(Aveia!$E78:$Z78,MIN(G$6-$G$3,22))&lt;&gt;""),Aveia!$E78:INDEX(Aveia!$E78:$Z78,MIN(G$6-$G$3,22))),0)))))</f>
        <v>0</v>
      </c>
      <c r="H80" s="27" t="n">
        <f aca="false">IF(COUNT(Aveia!$E78:$Z78)=0,0,MAX(0,IF((H$6-$E$3)&lt;1,0,IFERROR(LOOKUP(2,1/(Aveia!$E78:INDEX(Aveia!$E78:$Z78,MIN(H$6-$E$3,22))&lt;&gt;""),Aveia!$E78:INDEX(Aveia!$E78:$Z78,MIN(H$6-$E$3,22))),0))-IF($G$2,0,IF((H$6-$G$3)&lt;1,0,IFERROR(LOOKUP(2,1/(Aveia!$E78:INDEX(Aveia!$E78:$Z78,MIN(H$6-$G$3,22))&lt;&gt;""),Aveia!$E78:INDEX(Aveia!$E78:$Z78,MIN(H$6-$G$3,22))),0)))))</f>
        <v>0</v>
      </c>
      <c r="I80" s="27" t="n">
        <f aca="false">IF(COUNT(Aveia!$E78:$Z78)=0,0,MAX(0,IF((I$6-$E$3)&lt;1,0,IFERROR(LOOKUP(2,1/(Aveia!$E78:INDEX(Aveia!$E78:$Z78,MIN(I$6-$E$3,22))&lt;&gt;""),Aveia!$E78:INDEX(Aveia!$E78:$Z78,MIN(I$6-$E$3,22))),0))-IF($G$2,0,IF((I$6-$G$3)&lt;1,0,IFERROR(LOOKUP(2,1/(Aveia!$E78:INDEX(Aveia!$E78:$Z78,MIN(I$6-$G$3,22))&lt;&gt;""),Aveia!$E78:INDEX(Aveia!$E78:$Z78,MIN(I$6-$G$3,22))),0)))))</f>
        <v>0</v>
      </c>
      <c r="J80" s="27" t="n">
        <f aca="false">IF(COUNT(Aveia!$E78:$Z78)=0,0,MAX(0,IF((J$6-$E$3)&lt;1,0,IFERROR(LOOKUP(2,1/(Aveia!$E78:INDEX(Aveia!$E78:$Z78,MIN(J$6-$E$3,22))&lt;&gt;""),Aveia!$E78:INDEX(Aveia!$E78:$Z78,MIN(J$6-$E$3,22))),0))-IF($G$2,0,IF((J$6-$G$3)&lt;1,0,IFERROR(LOOKUP(2,1/(Aveia!$E78:INDEX(Aveia!$E78:$Z78,MIN(J$6-$G$3,22))&lt;&gt;""),Aveia!$E78:INDEX(Aveia!$E78:$Z78,MIN(J$6-$G$3,22))),0)))))</f>
        <v>0</v>
      </c>
      <c r="K80" s="27" t="n">
        <f aca="false">IF(COUNT(Aveia!$E78:$Z78)=0,0,MAX(0,IF((K$6-$E$3)&lt;1,0,IFERROR(LOOKUP(2,1/(Aveia!$E78:INDEX(Aveia!$E78:$Z78,MIN(K$6-$E$3,22))&lt;&gt;""),Aveia!$E78:INDEX(Aveia!$E78:$Z78,MIN(K$6-$E$3,22))),0))-IF($G$2,0,IF((K$6-$G$3)&lt;1,0,IFERROR(LOOKUP(2,1/(Aveia!$E78:INDEX(Aveia!$E78:$Z78,MIN(K$6-$G$3,22))&lt;&gt;""),Aveia!$E78:INDEX(Aveia!$E78:$Z78,MIN(K$6-$G$3,22))),0)))))</f>
        <v>0</v>
      </c>
      <c r="L80" s="27" t="n">
        <f aca="false">IF(COUNT(Aveia!$E78:$Z78)=0,0,MAX(0,IF((L$6-$E$3)&lt;1,0,IFERROR(LOOKUP(2,1/(Aveia!$E78:INDEX(Aveia!$E78:$Z78,MIN(L$6-$E$3,22))&lt;&gt;""),Aveia!$E78:INDEX(Aveia!$E78:$Z78,MIN(L$6-$E$3,22))),0))-IF($G$2,0,IF((L$6-$G$3)&lt;1,0,IFERROR(LOOKUP(2,1/(Aveia!$E78:INDEX(Aveia!$E78:$Z78,MIN(L$6-$G$3,22))&lt;&gt;""),Aveia!$E78:INDEX(Aveia!$E78:$Z78,MIN(L$6-$G$3,22))),0)))))</f>
        <v>0</v>
      </c>
      <c r="M80" s="27" t="n">
        <f aca="false">IF(COUNT(Aveia!$E78:$Z78)=0,0,MAX(0,IF((M$6-$E$3)&lt;1,0,IFERROR(LOOKUP(2,1/(Aveia!$E78:INDEX(Aveia!$E78:$Z78,MIN(M$6-$E$3,22))&lt;&gt;""),Aveia!$E78:INDEX(Aveia!$E78:$Z78,MIN(M$6-$E$3,22))),0))-IF($G$2,0,IF((M$6-$G$3)&lt;1,0,IFERROR(LOOKUP(2,1/(Aveia!$E78:INDEX(Aveia!$E78:$Z78,MIN(M$6-$G$3,22))&lt;&gt;""),Aveia!$E78:INDEX(Aveia!$E78:$Z78,MIN(M$6-$G$3,22))),0)))))</f>
        <v>0</v>
      </c>
      <c r="N80" s="27" t="n">
        <f aca="false">IF(COUNT(Aveia!$E78:$Z78)=0,0,MAX(0,IF((N$6-$E$3)&lt;1,0,IFERROR(LOOKUP(2,1/(Aveia!$E78:INDEX(Aveia!$E78:$Z78,MIN(N$6-$E$3,22))&lt;&gt;""),Aveia!$E78:INDEX(Aveia!$E78:$Z78,MIN(N$6-$E$3,22))),0))-IF($G$2,0,IF((N$6-$G$3)&lt;1,0,IFERROR(LOOKUP(2,1/(Aveia!$E78:INDEX(Aveia!$E78:$Z78,MIN(N$6-$G$3,22))&lt;&gt;""),Aveia!$E78:INDEX(Aveia!$E78:$Z78,MIN(N$6-$G$3,22))),0)))))</f>
        <v>0</v>
      </c>
      <c r="O80" s="27" t="n">
        <f aca="false">IF(COUNT(Aveia!$E78:$Z78)=0,0,MAX(0,IF((O$6-$E$3)&lt;1,0,IFERROR(LOOKUP(2,1/(Aveia!$E78:INDEX(Aveia!$E78:$Z78,MIN(O$6-$E$3,22))&lt;&gt;""),Aveia!$E78:INDEX(Aveia!$E78:$Z78,MIN(O$6-$E$3,22))),0))-IF($G$2,0,IF((O$6-$G$3)&lt;1,0,IFERROR(LOOKUP(2,1/(Aveia!$E78:INDEX(Aveia!$E78:$Z78,MIN(O$6-$G$3,22))&lt;&gt;""),Aveia!$E78:INDEX(Aveia!$E78:$Z78,MIN(O$6-$G$3,22))),0)))))</f>
        <v>0</v>
      </c>
      <c r="P80" s="27" t="n">
        <f aca="false">IF(COUNT(Aveia!$E78:$Z78)=0,0,MAX(0,IF((P$6-$E$3)&lt;1,0,IFERROR(LOOKUP(2,1/(Aveia!$E78:INDEX(Aveia!$E78:$Z78,MIN(P$6-$E$3,22))&lt;&gt;""),Aveia!$E78:INDEX(Aveia!$E78:$Z78,MIN(P$6-$E$3,22))),0))-IF($G$2,0,IF((P$6-$G$3)&lt;1,0,IFERROR(LOOKUP(2,1/(Aveia!$E78:INDEX(Aveia!$E78:$Z78,MIN(P$6-$G$3,22))&lt;&gt;""),Aveia!$E78:INDEX(Aveia!$E78:$Z78,MIN(P$6-$G$3,22))),0)))))</f>
        <v>0</v>
      </c>
      <c r="Q80" s="27" t="n">
        <f aca="false">IF(COUNT(Aveia!$E78:$Z78)=0,0,MAX(0,IF((Q$6-$E$3)&lt;1,0,IFERROR(LOOKUP(2,1/(Aveia!$E78:INDEX(Aveia!$E78:$Z78,MIN(Q$6-$E$3,22))&lt;&gt;""),Aveia!$E78:INDEX(Aveia!$E78:$Z78,MIN(Q$6-$E$3,22))),0))-IF($G$2,0,IF((Q$6-$G$3)&lt;1,0,IFERROR(LOOKUP(2,1/(Aveia!$E78:INDEX(Aveia!$E78:$Z78,MIN(Q$6-$G$3,22))&lt;&gt;""),Aveia!$E78:INDEX(Aveia!$E78:$Z78,MIN(Q$6-$G$3,22))),0)))))</f>
        <v>0</v>
      </c>
      <c r="R80" s="27" t="n">
        <f aca="false">IF(COUNT(Aveia!$E78:$Z78)=0,0,MAX(0,IF((R$6-$E$3)&lt;1,0,IFERROR(LOOKUP(2,1/(Aveia!$E78:INDEX(Aveia!$E78:$Z78,MIN(R$6-$E$3,22))&lt;&gt;""),Aveia!$E78:INDEX(Aveia!$E78:$Z78,MIN(R$6-$E$3,22))),0))-IF($G$2,0,IF((R$6-$G$3)&lt;1,0,IFERROR(LOOKUP(2,1/(Aveia!$E78:INDEX(Aveia!$E78:$Z78,MIN(R$6-$G$3,22))&lt;&gt;""),Aveia!$E78:INDEX(Aveia!$E78:$Z78,MIN(R$6-$G$3,22))),0)))))</f>
        <v>0</v>
      </c>
      <c r="S80" s="27" t="n">
        <f aca="false">IF(COUNT(Aveia!$E78:$Z78)=0,0,MAX(0,IF((S$6-$E$3)&lt;1,0,IFERROR(LOOKUP(2,1/(Aveia!$E78:INDEX(Aveia!$E78:$Z78,MIN(S$6-$E$3,22))&lt;&gt;""),Aveia!$E78:INDEX(Aveia!$E78:$Z78,MIN(S$6-$E$3,22))),0))-IF($G$2,0,IF((S$6-$G$3)&lt;1,0,IFERROR(LOOKUP(2,1/(Aveia!$E78:INDEX(Aveia!$E78:$Z78,MIN(S$6-$G$3,22))&lt;&gt;""),Aveia!$E78:INDEX(Aveia!$E78:$Z78,MIN(S$6-$G$3,22))),0)))))</f>
        <v>0</v>
      </c>
      <c r="T80" s="27" t="n">
        <f aca="false">IF(COUNT(Aveia!$E78:$Z78)=0,0,MAX(0,IF((T$6-$E$3)&lt;1,0,IFERROR(LOOKUP(2,1/(Aveia!$E78:INDEX(Aveia!$E78:$Z78,MIN(T$6-$E$3,22))&lt;&gt;""),Aveia!$E78:INDEX(Aveia!$E78:$Z78,MIN(T$6-$E$3,22))),0))-IF($G$2,0,IF((T$6-$G$3)&lt;1,0,IFERROR(LOOKUP(2,1/(Aveia!$E78:INDEX(Aveia!$E78:$Z78,MIN(T$6-$G$3,22))&lt;&gt;""),Aveia!$E78:INDEX(Aveia!$E78:$Z78,MIN(T$6-$G$3,22))),0)))))</f>
        <v>0</v>
      </c>
      <c r="U80" s="27" t="n">
        <f aca="false">IF(COUNT(Aveia!$E78:$Z78)=0,0,MAX(0,IF((U$6-$E$3)&lt;1,0,IFERROR(LOOKUP(2,1/(Aveia!$E78:INDEX(Aveia!$E78:$Z78,MIN(U$6-$E$3,22))&lt;&gt;""),Aveia!$E78:INDEX(Aveia!$E78:$Z78,MIN(U$6-$E$3,22))),0))-IF($G$2,0,IF((U$6-$G$3)&lt;1,0,IFERROR(LOOKUP(2,1/(Aveia!$E78:INDEX(Aveia!$E78:$Z78,MIN(U$6-$G$3,22))&lt;&gt;""),Aveia!$E78:INDEX(Aveia!$E78:$Z78,MIN(U$6-$G$3,22))),0)))))</f>
        <v>0</v>
      </c>
      <c r="V80" s="27" t="n">
        <f aca="false">IF(COUNT(Aveia!$E78:$Z78)=0,0,MAX(0,IF((V$6-$E$3)&lt;1,0,IFERROR(LOOKUP(2,1/(Aveia!$E78:INDEX(Aveia!$E78:$Z78,MIN(V$6-$E$3,22))&lt;&gt;""),Aveia!$E78:INDEX(Aveia!$E78:$Z78,MIN(V$6-$E$3,22))),0))-IF($G$2,0,IF((V$6-$G$3)&lt;1,0,IFERROR(LOOKUP(2,1/(Aveia!$E78:INDEX(Aveia!$E78:$Z78,MIN(V$6-$G$3,22))&lt;&gt;""),Aveia!$E78:INDEX(Aveia!$E78:$Z78,MIN(V$6-$G$3,22))),0)))))</f>
        <v>0</v>
      </c>
      <c r="W80" s="27" t="n">
        <f aca="false">IF(COUNT(Aveia!$E78:$Z78)=0,0,MAX(0,IF((W$6-$E$3)&lt;1,0,IFERROR(LOOKUP(2,1/(Aveia!$E78:INDEX(Aveia!$E78:$Z78,MIN(W$6-$E$3,22))&lt;&gt;""),Aveia!$E78:INDEX(Aveia!$E78:$Z78,MIN(W$6-$E$3,22))),0))-IF($G$2,0,IF((W$6-$G$3)&lt;1,0,IFERROR(LOOKUP(2,1/(Aveia!$E78:INDEX(Aveia!$E78:$Z78,MIN(W$6-$G$3,22))&lt;&gt;""),Aveia!$E78:INDEX(Aveia!$E78:$Z78,MIN(W$6-$G$3,22))),0)))))</f>
        <v>0</v>
      </c>
      <c r="X80" s="27" t="n">
        <f aca="false">IF(COUNT(Aveia!$E78:$Z78)=0,0,MAX(0,IF((X$6-$E$3)&lt;1,0,IFERROR(LOOKUP(2,1/(Aveia!$E78:INDEX(Aveia!$E78:$Z78,MIN(X$6-$E$3,22))&lt;&gt;""),Aveia!$E78:INDEX(Aveia!$E78:$Z78,MIN(X$6-$E$3,22))),0))-IF($G$2,0,IF((X$6-$G$3)&lt;1,0,IFERROR(LOOKUP(2,1/(Aveia!$E78:INDEX(Aveia!$E78:$Z78,MIN(X$6-$G$3,22))&lt;&gt;""),Aveia!$E78:INDEX(Aveia!$E78:$Z78,MIN(X$6-$G$3,22))),0)))))</f>
        <v>0</v>
      </c>
      <c r="Y80" s="27" t="n">
        <f aca="false">IF(COUNT(Aveia!$E78:$Z78)=0,0,MAX(0,IF((Y$6-$E$3)&lt;1,0,IFERROR(LOOKUP(2,1/(Aveia!$E78:INDEX(Aveia!$E78:$Z78,MIN(Y$6-$E$3,22))&lt;&gt;""),Aveia!$E78:INDEX(Aveia!$E78:$Z78,MIN(Y$6-$E$3,22))),0))-IF($G$2,0,IF((Y$6-$G$3)&lt;1,0,IFERROR(LOOKUP(2,1/(Aveia!$E78:INDEX(Aveia!$E78:$Z78,MIN(Y$6-$G$3,22))&lt;&gt;""),Aveia!$E78:INDEX(Aveia!$E78:$Z78,MIN(Y$6-$G$3,22))),0)))))</f>
        <v>0</v>
      </c>
      <c r="Z80" s="27" t="n">
        <f aca="false">IF(COUNT(Aveia!$E78:$Z78)=0,0,MAX(0,IF((Z$6-$E$3)&lt;1,0,IFERROR(LOOKUP(2,1/(Aveia!$E78:INDEX(Aveia!$E78:$Z78,MIN(Z$6-$E$3,22))&lt;&gt;""),Aveia!$E78:INDEX(Aveia!$E78:$Z78,MIN(Z$6-$E$3,22))),0))-IF($G$2,0,IF((Z$6-$G$3)&lt;1,0,IFERROR(LOOKUP(2,1/(Aveia!$E78:INDEX(Aveia!$E78:$Z78,MIN(Z$6-$G$3,22))&lt;&gt;""),Aveia!$E78:INDEX(Aveia!$E78:$Z78,MIN(Z$6-$G$3,22))),0)))))</f>
        <v>0</v>
      </c>
      <c r="AA80" s="27" t="n">
        <f aca="false">IF(COUNT(Aveia!$E78:$Z78)=0,0,MAX(0,IF((AA$6-$E$3)&lt;1,0,IFERROR(LOOKUP(2,1/(Aveia!$E78:INDEX(Aveia!$E78:$Z78,MIN(AA$6-$E$3,22))&lt;&gt;""),Aveia!$E78:INDEX(Aveia!$E78:$Z78,MIN(AA$6-$E$3,22))),0))-IF($G$2,0,IF((AA$6-$G$3)&lt;1,0,IFERROR(LOOKUP(2,1/(Aveia!$E78:INDEX(Aveia!$E78:$Z78,MIN(AA$6-$G$3,22))&lt;&gt;""),Aveia!$E78:INDEX(Aveia!$E78:$Z78,MIN(AA$6-$G$3,22))),0)))))</f>
        <v>0</v>
      </c>
      <c r="AB80" s="27" t="n">
        <f aca="false">IF(COUNT(Aveia!$E78:$Z78)=0,0,MAX(0,IF((AB$6-$E$3)&lt;1,0,IFERROR(LOOKUP(2,1/(Aveia!$E78:INDEX(Aveia!$E78:$Z78,MIN(AB$6-$E$3,22))&lt;&gt;""),Aveia!$E78:INDEX(Aveia!$E78:$Z78,MIN(AB$6-$E$3,22))),0))-IF($G$2,0,IF((AB$6-$G$3)&lt;1,0,IFERROR(LOOKUP(2,1/(Aveia!$E78:INDEX(Aveia!$E78:$Z78,MIN(AB$6-$G$3,22))&lt;&gt;""),Aveia!$E78:INDEX(Aveia!$E78:$Z78,MIN(AB$6-$G$3,22))),0)))))</f>
        <v>0</v>
      </c>
      <c r="AC80" s="27" t="n">
        <f aca="false">IF(COUNT(Aveia!$E78:$Z78)=0,0,MAX(0,IF((AC$6-$E$3)&lt;1,0,IFERROR(LOOKUP(2,1/(Aveia!$E78:INDEX(Aveia!$E78:$Z78,MIN(AC$6-$E$3,22))&lt;&gt;""),Aveia!$E78:INDEX(Aveia!$E78:$Z78,MIN(AC$6-$E$3,22))),0))-IF($G$2,0,IF((AC$6-$G$3)&lt;1,0,IFERROR(LOOKUP(2,1/(Aveia!$E78:INDEX(Aveia!$E78:$Z78,MIN(AC$6-$G$3,22))&lt;&gt;""),Aveia!$E78:INDEX(Aveia!$E78:$Z78,MIN(AC$6-$G$3,22))),0)))))</f>
        <v>0</v>
      </c>
      <c r="AD80" s="27" t="n">
        <f aca="false">IF(COUNT(Aveia!$E78:$Z78)=0,0,MAX(0,IF((AD$6-$E$3)&lt;1,0,IFERROR(LOOKUP(2,1/(Aveia!$E78:INDEX(Aveia!$E78:$Z78,MIN(AD$6-$E$3,22))&lt;&gt;""),Aveia!$E78:INDEX(Aveia!$E78:$Z78,MIN(AD$6-$E$3,22))),0))-IF($G$2,0,IF((AD$6-$G$3)&lt;1,0,IFERROR(LOOKUP(2,1/(Aveia!$E78:INDEX(Aveia!$E78:$Z78,MIN(AD$6-$G$3,22))&lt;&gt;""),Aveia!$E78:INDEX(Aveia!$E78:$Z78,MIN(AD$6-$G$3,22))),0)))))</f>
        <v>0</v>
      </c>
      <c r="AE80" s="27" t="n">
        <f aca="false">IF(COUNT(Aveia!$E78:$Z78)=0,0,MAX(0,IF((AE$6-$E$3)&lt;1,0,IFERROR(LOOKUP(2,1/(Aveia!$E78:INDEX(Aveia!$E78:$Z78,MIN(AE$6-$E$3,22))&lt;&gt;""),Aveia!$E78:INDEX(Aveia!$E78:$Z78,MIN(AE$6-$E$3,22))),0))-IF($G$2,0,IF((AE$6-$G$3)&lt;1,0,IFERROR(LOOKUP(2,1/(Aveia!$E78:INDEX(Aveia!$E78:$Z78,MIN(AE$6-$G$3,22))&lt;&gt;""),Aveia!$E78:INDEX(Aveia!$E78:$Z78,MIN(AE$6-$G$3,22))),0)))))</f>
        <v>0</v>
      </c>
      <c r="AF80" s="27" t="n">
        <f aca="false">IF(COUNT(Aveia!$E78:$Z78)=0,0,MAX(0,IF((AF$6-$E$3)&lt;1,0,IFERROR(LOOKUP(2,1/(Aveia!$E78:INDEX(Aveia!$E78:$Z78,MIN(AF$6-$E$3,22))&lt;&gt;""),Aveia!$E78:INDEX(Aveia!$E78:$Z78,MIN(AF$6-$E$3,22))),0))-IF($G$2,0,IF((AF$6-$G$3)&lt;1,0,IFERROR(LOOKUP(2,1/(Aveia!$E78:INDEX(Aveia!$E78:$Z78,MIN(AF$6-$G$3,22))&lt;&gt;""),Aveia!$E78:INDEX(Aveia!$E78:$Z78,MIN(AF$6-$G$3,22))),0)))))</f>
        <v>0</v>
      </c>
      <c r="AG80" s="27" t="n">
        <f aca="false">IF(COUNT(Aveia!$E78:$Z78)=0,0,MAX(0,IF((AG$6-$E$3)&lt;1,0,IFERROR(LOOKUP(2,1/(Aveia!$E78:INDEX(Aveia!$E78:$Z78,MIN(AG$6-$E$3,22))&lt;&gt;""),Aveia!$E78:INDEX(Aveia!$E78:$Z78,MIN(AG$6-$E$3,22))),0))-IF($G$2,0,IF((AG$6-$G$3)&lt;1,0,IFERROR(LOOKUP(2,1/(Aveia!$E78:INDEX(Aveia!$E78:$Z78,MIN(AG$6-$G$3,22))&lt;&gt;""),Aveia!$E78:INDEX(Aveia!$E78:$Z78,MIN(AG$6-$G$3,22))),0)))))</f>
        <v>0</v>
      </c>
      <c r="AH80" s="27" t="n">
        <f aca="false">IF(COUNT(Aveia!$E78:$Z78)=0,0,MAX(0,IF((AH$6-$E$3)&lt;1,0,IFERROR(LOOKUP(2,1/(Aveia!$E78:INDEX(Aveia!$E78:$Z78,MIN(AH$6-$E$3,22))&lt;&gt;""),Aveia!$E78:INDEX(Aveia!$E78:$Z78,MIN(AH$6-$E$3,22))),0))-IF($G$2,0,IF((AH$6-$G$3)&lt;1,0,IFERROR(LOOKUP(2,1/(Aveia!$E78:INDEX(Aveia!$E78:$Z78,MIN(AH$6-$G$3,22))&lt;&gt;""),Aveia!$E78:INDEX(Aveia!$E78:$Z78,MIN(AH$6-$G$3,22))),0)))))</f>
        <v>0</v>
      </c>
      <c r="AI80" s="27" t="n">
        <f aca="false">IF(COUNT(Aveia!$E78:$Z78)=0,0,MAX(0,IF((AI$6-$E$3)&lt;1,0,IFERROR(LOOKUP(2,1/(Aveia!$E78:INDEX(Aveia!$E78:$Z78,MIN(AI$6-$E$3,22))&lt;&gt;""),Aveia!$E78:INDEX(Aveia!$E78:$Z78,MIN(AI$6-$E$3,22))),0))-IF($G$2,0,IF((AI$6-$G$3)&lt;1,0,IFERROR(LOOKUP(2,1/(Aveia!$E78:INDEX(Aveia!$E78:$Z78,MIN(AI$6-$G$3,22))&lt;&gt;""),Aveia!$E78:INDEX(Aveia!$E78:$Z78,MIN(AI$6-$G$3,22))),0)))))</f>
        <v>0</v>
      </c>
      <c r="AJ80" s="27" t="n">
        <f aca="false">IF(COUNT(Aveia!$E78:$Z78)=0,0,MAX(0,IF((AJ$6-$E$3)&lt;1,0,IFERROR(LOOKUP(2,1/(Aveia!$E78:INDEX(Aveia!$E78:$Z78,MIN(AJ$6-$E$3,22))&lt;&gt;""),Aveia!$E78:INDEX(Aveia!$E78:$Z78,MIN(AJ$6-$E$3,22))),0))-IF($G$2,0,IF((AJ$6-$G$3)&lt;1,0,IFERROR(LOOKUP(2,1/(Aveia!$E78:INDEX(Aveia!$E78:$Z78,MIN(AJ$6-$G$3,22))&lt;&gt;""),Aveia!$E78:INDEX(Aveia!$E78:$Z78,MIN(AJ$6-$G$3,22))),0)))))</f>
        <v>0</v>
      </c>
      <c r="AK80" s="27" t="n">
        <f aca="false">IF(COUNT(Aveia!$E78:$Z78)=0,0,MAX(0,IF((AK$6-$E$3)&lt;1,0,IFERROR(LOOKUP(2,1/(Aveia!$E78:INDEX(Aveia!$E78:$Z78,MIN(AK$6-$E$3,22))&lt;&gt;""),Aveia!$E78:INDEX(Aveia!$E78:$Z78,MIN(AK$6-$E$3,22))),0))-IF($G$2,0,IF((AK$6-$G$3)&lt;1,0,IFERROR(LOOKUP(2,1/(Aveia!$E78:INDEX(Aveia!$E78:$Z78,MIN(AK$6-$G$3,22))&lt;&gt;""),Aveia!$E78:INDEX(Aveia!$E78:$Z78,MIN(AK$6-$G$3,22))),0)))))</f>
        <v>0</v>
      </c>
      <c r="AL80" s="27" t="n">
        <f aca="false">IF(COUNT(Aveia!$E78:$Z78)=0,0,MAX(0,IF((AL$6-$E$3)&lt;1,0,IFERROR(LOOKUP(2,1/(Aveia!$E78:INDEX(Aveia!$E78:$Z78,MIN(AL$6-$E$3,22))&lt;&gt;""),Aveia!$E78:INDEX(Aveia!$E78:$Z78,MIN(AL$6-$E$3,22))),0))-IF($G$2,0,IF((AL$6-$G$3)&lt;1,0,IFERROR(LOOKUP(2,1/(Aveia!$E78:INDEX(Aveia!$E78:$Z78,MIN(AL$6-$G$3,22))&lt;&gt;""),Aveia!$E78:INDEX(Aveia!$E78:$Z78,MIN(AL$6-$G$3,22))),0)))))</f>
        <v>0</v>
      </c>
      <c r="AM80" s="27" t="n">
        <f aca="false">IF(COUNT(Aveia!$E78:$Z78)=0,0,MAX(0,IF((AM$6-$E$3)&lt;1,0,IFERROR(LOOKUP(2,1/(Aveia!$E78:INDEX(Aveia!$E78:$Z78,MIN(AM$6-$E$3,22))&lt;&gt;""),Aveia!$E78:INDEX(Aveia!$E78:$Z78,MIN(AM$6-$E$3,22))),0))-IF($G$2,0,IF((AM$6-$G$3)&lt;1,0,IFERROR(LOOKUP(2,1/(Aveia!$E78:INDEX(Aveia!$E78:$Z78,MIN(AM$6-$G$3,22))&lt;&gt;""),Aveia!$E78:INDEX(Aveia!$E78:$Z78,MIN(AM$6-$G$3,22))),0)))))</f>
        <v>0</v>
      </c>
      <c r="AN80" s="27" t="n">
        <f aca="false">IF(COUNT(Aveia!$E78:$Z78)=0,0,MAX(0,IF((AN$6-$E$3)&lt;1,0,IFERROR(LOOKUP(2,1/(Aveia!$E78:INDEX(Aveia!$E78:$Z78,MIN(AN$6-$E$3,22))&lt;&gt;""),Aveia!$E78:INDEX(Aveia!$E78:$Z78,MIN(AN$6-$E$3,22))),0))-IF($G$2,0,IF((AN$6-$G$3)&lt;1,0,IFERROR(LOOKUP(2,1/(Aveia!$E78:INDEX(Aveia!$E78:$Z78,MIN(AN$6-$G$3,22))&lt;&gt;""),Aveia!$E78:INDEX(Aveia!$E78:$Z78,MIN(AN$6-$G$3,22))),0)))))</f>
        <v>0</v>
      </c>
      <c r="AO80" s="27" t="n">
        <f aca="false">IF(COUNT(Aveia!$E78:$Z78)=0,0,MAX(0,IF((AO$6-$E$3)&lt;1,0,IFERROR(LOOKUP(2,1/(Aveia!$E78:INDEX(Aveia!$E78:$Z78,MIN(AO$6-$E$3,22))&lt;&gt;""),Aveia!$E78:INDEX(Aveia!$E78:$Z78,MIN(AO$6-$E$3,22))),0))-IF($G$2,0,IF((AO$6-$G$3)&lt;1,0,IFERROR(LOOKUP(2,1/(Aveia!$E78:INDEX(Aveia!$E78:$Z78,MIN(AO$6-$G$3,22))&lt;&gt;""),Aveia!$E78:INDEX(Aveia!$E78:$Z78,MIN(AO$6-$G$3,22))),0)))))</f>
        <v>0</v>
      </c>
      <c r="AP80" s="27" t="n">
        <f aca="false">IF(COUNT(Aveia!$E78:$Z78)=0,0,MAX(0,IF((AP$6-$E$3)&lt;1,0,IFERROR(LOOKUP(2,1/(Aveia!$E78:INDEX(Aveia!$E78:$Z78,MIN(AP$6-$E$3,22))&lt;&gt;""),Aveia!$E78:INDEX(Aveia!$E78:$Z78,MIN(AP$6-$E$3,22))),0))-IF($G$2,0,IF((AP$6-$G$3)&lt;1,0,IFERROR(LOOKUP(2,1/(Aveia!$E78:INDEX(Aveia!$E78:$Z78,MIN(AP$6-$G$3,22))&lt;&gt;""),Aveia!$E78:INDEX(Aveia!$E78:$Z78,MIN(AP$6-$G$3,22))),0)))))</f>
        <v>0</v>
      </c>
      <c r="AQ80" s="27" t="n">
        <f aca="false">IF(COUNT(Aveia!$E78:$Z78)=0,0,MAX(0,IF((AQ$6-$E$3)&lt;1,0,IFERROR(LOOKUP(2,1/(Aveia!$E78:INDEX(Aveia!$E78:$Z78,MIN(AQ$6-$E$3,22))&lt;&gt;""),Aveia!$E78:INDEX(Aveia!$E78:$Z78,MIN(AQ$6-$E$3,22))),0))-IF($G$2,0,IF((AQ$6-$G$3)&lt;1,0,IFERROR(LOOKUP(2,1/(Aveia!$E78:INDEX(Aveia!$E78:$Z78,MIN(AQ$6-$G$3,22))&lt;&gt;""),Aveia!$E78:INDEX(Aveia!$E78:$Z78,MIN(AQ$6-$G$3,22))),0)))))</f>
        <v>0</v>
      </c>
      <c r="AR80" s="27" t="n">
        <f aca="false">IF(COUNT(Aveia!$E78:$Z78)=0,0,MAX(0,IF((AR$6-$E$3)&lt;1,0,IFERROR(LOOKUP(2,1/(Aveia!$E78:INDEX(Aveia!$E78:$Z78,MIN(AR$6-$E$3,22))&lt;&gt;""),Aveia!$E78:INDEX(Aveia!$E78:$Z78,MIN(AR$6-$E$3,22))),0))-IF($G$2,0,IF((AR$6-$G$3)&lt;1,0,IFERROR(LOOKUP(2,1/(Aveia!$E78:INDEX(Aveia!$E78:$Z78,MIN(AR$6-$G$3,22))&lt;&gt;""),Aveia!$E78:INDEX(Aveia!$E78:$Z78,MIN(AR$6-$G$3,22))),0)))))</f>
        <v>0</v>
      </c>
      <c r="AS80" s="27" t="n">
        <f aca="false">IF(COUNT(Aveia!$E78:$Z78)=0,0,MAX(0,IF((AS$6-$E$3)&lt;1,0,IFERROR(LOOKUP(2,1/(Aveia!$E78:INDEX(Aveia!$E78:$Z78,MIN(AS$6-$E$3,22))&lt;&gt;""),Aveia!$E78:INDEX(Aveia!$E78:$Z78,MIN(AS$6-$E$3,22))),0))-IF($G$2,0,IF((AS$6-$G$3)&lt;1,0,IFERROR(LOOKUP(2,1/(Aveia!$E78:INDEX(Aveia!$E78:$Z78,MIN(AS$6-$G$3,22))&lt;&gt;""),Aveia!$E78:INDEX(Aveia!$E78:$Z78,MIN(AS$6-$G$3,22))),0)))))</f>
        <v>0</v>
      </c>
      <c r="AT80" s="27" t="n">
        <f aca="false">IF(COUNT(Aveia!$E78:$Z78)=0,0,MAX(0,IF((AT$6-$E$3)&lt;1,0,IFERROR(LOOKUP(2,1/(Aveia!$E78:INDEX(Aveia!$E78:$Z78,MIN(AT$6-$E$3,22))&lt;&gt;""),Aveia!$E78:INDEX(Aveia!$E78:$Z78,MIN(AT$6-$E$3,22))),0))-IF($G$2,0,IF((AT$6-$G$3)&lt;1,0,IFERROR(LOOKUP(2,1/(Aveia!$E78:INDEX(Aveia!$E78:$Z78,MIN(AT$6-$G$3,22))&lt;&gt;""),Aveia!$E78:INDEX(Aveia!$E78:$Z78,MIN(AT$6-$G$3,22))),0)))))</f>
        <v>0</v>
      </c>
      <c r="AU80" s="27" t="n">
        <f aca="false">IF(COUNT(Aveia!$E78:$Z78)=0,0,MAX(0,IF((AU$6-$E$3)&lt;1,0,IFERROR(LOOKUP(2,1/(Aveia!$E78:INDEX(Aveia!$E78:$Z78,MIN(AU$6-$E$3,22))&lt;&gt;""),Aveia!$E78:INDEX(Aveia!$E78:$Z78,MIN(AU$6-$E$3,22))),0))-IF($G$2,0,IF((AU$6-$G$3)&lt;1,0,IFERROR(LOOKUP(2,1/(Aveia!$E78:INDEX(Aveia!$E78:$Z78,MIN(AU$6-$G$3,22))&lt;&gt;""),Aveia!$E78:INDEX(Aveia!$E78:$Z78,MIN(AU$6-$G$3,22))),0)))))</f>
        <v>0</v>
      </c>
      <c r="AV80" s="27" t="n">
        <f aca="false">IF(COUNT(Aveia!$E78:$Z78)=0,0,MAX(0,IF((AV$6-$E$3)&lt;1,0,IFERROR(LOOKUP(2,1/(Aveia!$E78:INDEX(Aveia!$E78:$Z78,MIN(AV$6-$E$3,22))&lt;&gt;""),Aveia!$E78:INDEX(Aveia!$E78:$Z78,MIN(AV$6-$E$3,22))),0))-IF($G$2,0,IF((AV$6-$G$3)&lt;1,0,IFERROR(LOOKUP(2,1/(Aveia!$E78:INDEX(Aveia!$E78:$Z78,MIN(AV$6-$G$3,22))&lt;&gt;""),Aveia!$E78:INDEX(Aveia!$E78:$Z78,MIN(AV$6-$G$3,22))),0)))))</f>
        <v>0</v>
      </c>
      <c r="AW80" s="27" t="n">
        <f aca="false">IF(COUNT(Aveia!$E78:$Z78)=0,0,MAX(0,IF((AW$6-$E$3)&lt;1,0,IFERROR(LOOKUP(2,1/(Aveia!$E78:INDEX(Aveia!$E78:$Z78,MIN(AW$6-$E$3,22))&lt;&gt;""),Aveia!$E78:INDEX(Aveia!$E78:$Z78,MIN(AW$6-$E$3,22))),0))-IF($G$2,0,IF((AW$6-$G$3)&lt;1,0,IFERROR(LOOKUP(2,1/(Aveia!$E78:INDEX(Aveia!$E78:$Z78,MIN(AW$6-$G$3,22))&lt;&gt;""),Aveia!$E78:INDEX(Aveia!$E78:$Z78,MIN(AW$6-$G$3,22))),0)))))</f>
        <v>0</v>
      </c>
      <c r="AX80" s="27" t="n">
        <f aca="false">IF(COUNT(Aveia!$E78:$Z78)=0,0,MAX(0,IF((AX$6-$E$3)&lt;1,0,IFERROR(LOOKUP(2,1/(Aveia!$E78:INDEX(Aveia!$E78:$Z78,MIN(AX$6-$E$3,22))&lt;&gt;""),Aveia!$E78:INDEX(Aveia!$E78:$Z78,MIN(AX$6-$E$3,22))),0))-IF($G$2,0,IF((AX$6-$G$3)&lt;1,0,IFERROR(LOOKUP(2,1/(Aveia!$E78:INDEX(Aveia!$E78:$Z78,MIN(AX$6-$G$3,22))&lt;&gt;""),Aveia!$E78:INDEX(Aveia!$E78:$Z78,MIN(AX$6-$G$3,22))),0)))))</f>
        <v>0</v>
      </c>
      <c r="AY80" s="27" t="n">
        <f aca="false">IF(COUNT(Aveia!$E78:$Z78)=0,0,MAX(0,IF((AY$6-$E$3)&lt;1,0,IFERROR(LOOKUP(2,1/(Aveia!$E78:INDEX(Aveia!$E78:$Z78,MIN(AY$6-$E$3,22))&lt;&gt;""),Aveia!$E78:INDEX(Aveia!$E78:$Z78,MIN(AY$6-$E$3,22))),0))-IF($G$2,0,IF((AY$6-$G$3)&lt;1,0,IFERROR(LOOKUP(2,1/(Aveia!$E78:INDEX(Aveia!$E78:$Z78,MIN(AY$6-$G$3,22))&lt;&gt;""),Aveia!$E78:INDEX(Aveia!$E78:$Z78,MIN(AY$6-$G$3,22))),0)))))</f>
        <v>0</v>
      </c>
      <c r="AZ80" s="27" t="n">
        <f aca="false">IF(COUNT(Aveia!$E78:$Z78)=0,0,MAX(0,IF((AZ$6-$E$3)&lt;1,0,IFERROR(LOOKUP(2,1/(Aveia!$E78:INDEX(Aveia!$E78:$Z78,MIN(AZ$6-$E$3,22))&lt;&gt;""),Aveia!$E78:INDEX(Aveia!$E78:$Z78,MIN(AZ$6-$E$3,22))),0))-IF($G$2,0,IF((AZ$6-$G$3)&lt;1,0,IFERROR(LOOKUP(2,1/(Aveia!$E78:INDEX(Aveia!$E78:$Z78,MIN(AZ$6-$G$3,22))&lt;&gt;""),Aveia!$E78:INDEX(Aveia!$E78:$Z78,MIN(AZ$6-$G$3,22))),0)))))</f>
        <v>0</v>
      </c>
    </row>
    <row r="81" customFormat="false" ht="15" hidden="false" customHeight="false" outlineLevel="0" collapsed="false">
      <c r="A81" s="3" t="s">
        <v>280</v>
      </c>
      <c r="B81" s="3" t="s">
        <v>281</v>
      </c>
      <c r="C81" s="10" t="s">
        <v>134</v>
      </c>
      <c r="D81" s="26" t="n">
        <f aca="false">IF(COUNT(Aveia!$E79:$Z79)&gt;0,N(Aveia!$D79),0)</f>
        <v>0</v>
      </c>
      <c r="E81" s="27" t="n">
        <f aca="false">IF(COUNT(Aveia!$E79:$Z79)=0,0,MAX(0,IF((E$6-$E$3)&lt;1,0,IFERROR(LOOKUP(2,1/(Aveia!$E79:INDEX(Aveia!$E79:$Z79,MIN(E$6-$E$3,22))&lt;&gt;""),Aveia!$E79:INDEX(Aveia!$E79:$Z79,MIN(E$6-$E$3,22))),0))-IF($G$2,0,IF((E$6-$G$3)&lt;1,0,IFERROR(LOOKUP(2,1/(Aveia!$E79:INDEX(Aveia!$E79:$Z79,MIN(E$6-$G$3,22))&lt;&gt;""),Aveia!$E79:INDEX(Aveia!$E79:$Z79,MIN(E$6-$G$3,22))),0)))))</f>
        <v>0</v>
      </c>
      <c r="F81" s="27" t="n">
        <f aca="false">IF(COUNT(Aveia!$E79:$Z79)=0,0,MAX(0,IF((F$6-$E$3)&lt;1,0,IFERROR(LOOKUP(2,1/(Aveia!$E79:INDEX(Aveia!$E79:$Z79,MIN(F$6-$E$3,22))&lt;&gt;""),Aveia!$E79:INDEX(Aveia!$E79:$Z79,MIN(F$6-$E$3,22))),0))-IF($G$2,0,IF((F$6-$G$3)&lt;1,0,IFERROR(LOOKUP(2,1/(Aveia!$E79:INDEX(Aveia!$E79:$Z79,MIN(F$6-$G$3,22))&lt;&gt;""),Aveia!$E79:INDEX(Aveia!$E79:$Z79,MIN(F$6-$G$3,22))),0)))))</f>
        <v>0</v>
      </c>
      <c r="G81" s="27" t="n">
        <f aca="false">IF(COUNT(Aveia!$E79:$Z79)=0,0,MAX(0,IF((G$6-$E$3)&lt;1,0,IFERROR(LOOKUP(2,1/(Aveia!$E79:INDEX(Aveia!$E79:$Z79,MIN(G$6-$E$3,22))&lt;&gt;""),Aveia!$E79:INDEX(Aveia!$E79:$Z79,MIN(G$6-$E$3,22))),0))-IF($G$2,0,IF((G$6-$G$3)&lt;1,0,IFERROR(LOOKUP(2,1/(Aveia!$E79:INDEX(Aveia!$E79:$Z79,MIN(G$6-$G$3,22))&lt;&gt;""),Aveia!$E79:INDEX(Aveia!$E79:$Z79,MIN(G$6-$G$3,22))),0)))))</f>
        <v>0</v>
      </c>
      <c r="H81" s="27" t="n">
        <f aca="false">IF(COUNT(Aveia!$E79:$Z79)=0,0,MAX(0,IF((H$6-$E$3)&lt;1,0,IFERROR(LOOKUP(2,1/(Aveia!$E79:INDEX(Aveia!$E79:$Z79,MIN(H$6-$E$3,22))&lt;&gt;""),Aveia!$E79:INDEX(Aveia!$E79:$Z79,MIN(H$6-$E$3,22))),0))-IF($G$2,0,IF((H$6-$G$3)&lt;1,0,IFERROR(LOOKUP(2,1/(Aveia!$E79:INDEX(Aveia!$E79:$Z79,MIN(H$6-$G$3,22))&lt;&gt;""),Aveia!$E79:INDEX(Aveia!$E79:$Z79,MIN(H$6-$G$3,22))),0)))))</f>
        <v>0</v>
      </c>
      <c r="I81" s="27" t="n">
        <f aca="false">IF(COUNT(Aveia!$E79:$Z79)=0,0,MAX(0,IF((I$6-$E$3)&lt;1,0,IFERROR(LOOKUP(2,1/(Aveia!$E79:INDEX(Aveia!$E79:$Z79,MIN(I$6-$E$3,22))&lt;&gt;""),Aveia!$E79:INDEX(Aveia!$E79:$Z79,MIN(I$6-$E$3,22))),0))-IF($G$2,0,IF((I$6-$G$3)&lt;1,0,IFERROR(LOOKUP(2,1/(Aveia!$E79:INDEX(Aveia!$E79:$Z79,MIN(I$6-$G$3,22))&lt;&gt;""),Aveia!$E79:INDEX(Aveia!$E79:$Z79,MIN(I$6-$G$3,22))),0)))))</f>
        <v>0</v>
      </c>
      <c r="J81" s="27" t="n">
        <f aca="false">IF(COUNT(Aveia!$E79:$Z79)=0,0,MAX(0,IF((J$6-$E$3)&lt;1,0,IFERROR(LOOKUP(2,1/(Aveia!$E79:INDEX(Aveia!$E79:$Z79,MIN(J$6-$E$3,22))&lt;&gt;""),Aveia!$E79:INDEX(Aveia!$E79:$Z79,MIN(J$6-$E$3,22))),0))-IF($G$2,0,IF((J$6-$G$3)&lt;1,0,IFERROR(LOOKUP(2,1/(Aveia!$E79:INDEX(Aveia!$E79:$Z79,MIN(J$6-$G$3,22))&lt;&gt;""),Aveia!$E79:INDEX(Aveia!$E79:$Z79,MIN(J$6-$G$3,22))),0)))))</f>
        <v>0</v>
      </c>
      <c r="K81" s="27" t="n">
        <f aca="false">IF(COUNT(Aveia!$E79:$Z79)=0,0,MAX(0,IF((K$6-$E$3)&lt;1,0,IFERROR(LOOKUP(2,1/(Aveia!$E79:INDEX(Aveia!$E79:$Z79,MIN(K$6-$E$3,22))&lt;&gt;""),Aveia!$E79:INDEX(Aveia!$E79:$Z79,MIN(K$6-$E$3,22))),0))-IF($G$2,0,IF((K$6-$G$3)&lt;1,0,IFERROR(LOOKUP(2,1/(Aveia!$E79:INDEX(Aveia!$E79:$Z79,MIN(K$6-$G$3,22))&lt;&gt;""),Aveia!$E79:INDEX(Aveia!$E79:$Z79,MIN(K$6-$G$3,22))),0)))))</f>
        <v>0</v>
      </c>
      <c r="L81" s="27" t="n">
        <f aca="false">IF(COUNT(Aveia!$E79:$Z79)=0,0,MAX(0,IF((L$6-$E$3)&lt;1,0,IFERROR(LOOKUP(2,1/(Aveia!$E79:INDEX(Aveia!$E79:$Z79,MIN(L$6-$E$3,22))&lt;&gt;""),Aveia!$E79:INDEX(Aveia!$E79:$Z79,MIN(L$6-$E$3,22))),0))-IF($G$2,0,IF((L$6-$G$3)&lt;1,0,IFERROR(LOOKUP(2,1/(Aveia!$E79:INDEX(Aveia!$E79:$Z79,MIN(L$6-$G$3,22))&lt;&gt;""),Aveia!$E79:INDEX(Aveia!$E79:$Z79,MIN(L$6-$G$3,22))),0)))))</f>
        <v>0</v>
      </c>
      <c r="M81" s="27" t="n">
        <f aca="false">IF(COUNT(Aveia!$E79:$Z79)=0,0,MAX(0,IF((M$6-$E$3)&lt;1,0,IFERROR(LOOKUP(2,1/(Aveia!$E79:INDEX(Aveia!$E79:$Z79,MIN(M$6-$E$3,22))&lt;&gt;""),Aveia!$E79:INDEX(Aveia!$E79:$Z79,MIN(M$6-$E$3,22))),0))-IF($G$2,0,IF((M$6-$G$3)&lt;1,0,IFERROR(LOOKUP(2,1/(Aveia!$E79:INDEX(Aveia!$E79:$Z79,MIN(M$6-$G$3,22))&lt;&gt;""),Aveia!$E79:INDEX(Aveia!$E79:$Z79,MIN(M$6-$G$3,22))),0)))))</f>
        <v>0</v>
      </c>
      <c r="N81" s="27" t="n">
        <f aca="false">IF(COUNT(Aveia!$E79:$Z79)=0,0,MAX(0,IF((N$6-$E$3)&lt;1,0,IFERROR(LOOKUP(2,1/(Aveia!$E79:INDEX(Aveia!$E79:$Z79,MIN(N$6-$E$3,22))&lt;&gt;""),Aveia!$E79:INDEX(Aveia!$E79:$Z79,MIN(N$6-$E$3,22))),0))-IF($G$2,0,IF((N$6-$G$3)&lt;1,0,IFERROR(LOOKUP(2,1/(Aveia!$E79:INDEX(Aveia!$E79:$Z79,MIN(N$6-$G$3,22))&lt;&gt;""),Aveia!$E79:INDEX(Aveia!$E79:$Z79,MIN(N$6-$G$3,22))),0)))))</f>
        <v>0</v>
      </c>
      <c r="O81" s="27" t="n">
        <f aca="false">IF(COUNT(Aveia!$E79:$Z79)=0,0,MAX(0,IF((O$6-$E$3)&lt;1,0,IFERROR(LOOKUP(2,1/(Aveia!$E79:INDEX(Aveia!$E79:$Z79,MIN(O$6-$E$3,22))&lt;&gt;""),Aveia!$E79:INDEX(Aveia!$E79:$Z79,MIN(O$6-$E$3,22))),0))-IF($G$2,0,IF((O$6-$G$3)&lt;1,0,IFERROR(LOOKUP(2,1/(Aveia!$E79:INDEX(Aveia!$E79:$Z79,MIN(O$6-$G$3,22))&lt;&gt;""),Aveia!$E79:INDEX(Aveia!$E79:$Z79,MIN(O$6-$G$3,22))),0)))))</f>
        <v>0</v>
      </c>
      <c r="P81" s="27" t="n">
        <f aca="false">IF(COUNT(Aveia!$E79:$Z79)=0,0,MAX(0,IF((P$6-$E$3)&lt;1,0,IFERROR(LOOKUP(2,1/(Aveia!$E79:INDEX(Aveia!$E79:$Z79,MIN(P$6-$E$3,22))&lt;&gt;""),Aveia!$E79:INDEX(Aveia!$E79:$Z79,MIN(P$6-$E$3,22))),0))-IF($G$2,0,IF((P$6-$G$3)&lt;1,0,IFERROR(LOOKUP(2,1/(Aveia!$E79:INDEX(Aveia!$E79:$Z79,MIN(P$6-$G$3,22))&lt;&gt;""),Aveia!$E79:INDEX(Aveia!$E79:$Z79,MIN(P$6-$G$3,22))),0)))))</f>
        <v>0</v>
      </c>
      <c r="Q81" s="27" t="n">
        <f aca="false">IF(COUNT(Aveia!$E79:$Z79)=0,0,MAX(0,IF((Q$6-$E$3)&lt;1,0,IFERROR(LOOKUP(2,1/(Aveia!$E79:INDEX(Aveia!$E79:$Z79,MIN(Q$6-$E$3,22))&lt;&gt;""),Aveia!$E79:INDEX(Aveia!$E79:$Z79,MIN(Q$6-$E$3,22))),0))-IF($G$2,0,IF((Q$6-$G$3)&lt;1,0,IFERROR(LOOKUP(2,1/(Aveia!$E79:INDEX(Aveia!$E79:$Z79,MIN(Q$6-$G$3,22))&lt;&gt;""),Aveia!$E79:INDEX(Aveia!$E79:$Z79,MIN(Q$6-$G$3,22))),0)))))</f>
        <v>0</v>
      </c>
      <c r="R81" s="27" t="n">
        <f aca="false">IF(COUNT(Aveia!$E79:$Z79)=0,0,MAX(0,IF((R$6-$E$3)&lt;1,0,IFERROR(LOOKUP(2,1/(Aveia!$E79:INDEX(Aveia!$E79:$Z79,MIN(R$6-$E$3,22))&lt;&gt;""),Aveia!$E79:INDEX(Aveia!$E79:$Z79,MIN(R$6-$E$3,22))),0))-IF($G$2,0,IF((R$6-$G$3)&lt;1,0,IFERROR(LOOKUP(2,1/(Aveia!$E79:INDEX(Aveia!$E79:$Z79,MIN(R$6-$G$3,22))&lt;&gt;""),Aveia!$E79:INDEX(Aveia!$E79:$Z79,MIN(R$6-$G$3,22))),0)))))</f>
        <v>0</v>
      </c>
      <c r="S81" s="27" t="n">
        <f aca="false">IF(COUNT(Aveia!$E79:$Z79)=0,0,MAX(0,IF((S$6-$E$3)&lt;1,0,IFERROR(LOOKUP(2,1/(Aveia!$E79:INDEX(Aveia!$E79:$Z79,MIN(S$6-$E$3,22))&lt;&gt;""),Aveia!$E79:INDEX(Aveia!$E79:$Z79,MIN(S$6-$E$3,22))),0))-IF($G$2,0,IF((S$6-$G$3)&lt;1,0,IFERROR(LOOKUP(2,1/(Aveia!$E79:INDEX(Aveia!$E79:$Z79,MIN(S$6-$G$3,22))&lt;&gt;""),Aveia!$E79:INDEX(Aveia!$E79:$Z79,MIN(S$6-$G$3,22))),0)))))</f>
        <v>0</v>
      </c>
      <c r="T81" s="27" t="n">
        <f aca="false">IF(COUNT(Aveia!$E79:$Z79)=0,0,MAX(0,IF((T$6-$E$3)&lt;1,0,IFERROR(LOOKUP(2,1/(Aveia!$E79:INDEX(Aveia!$E79:$Z79,MIN(T$6-$E$3,22))&lt;&gt;""),Aveia!$E79:INDEX(Aveia!$E79:$Z79,MIN(T$6-$E$3,22))),0))-IF($G$2,0,IF((T$6-$G$3)&lt;1,0,IFERROR(LOOKUP(2,1/(Aveia!$E79:INDEX(Aveia!$E79:$Z79,MIN(T$6-$G$3,22))&lt;&gt;""),Aveia!$E79:INDEX(Aveia!$E79:$Z79,MIN(T$6-$G$3,22))),0)))))</f>
        <v>0</v>
      </c>
      <c r="U81" s="27" t="n">
        <f aca="false">IF(COUNT(Aveia!$E79:$Z79)=0,0,MAX(0,IF((U$6-$E$3)&lt;1,0,IFERROR(LOOKUP(2,1/(Aveia!$E79:INDEX(Aveia!$E79:$Z79,MIN(U$6-$E$3,22))&lt;&gt;""),Aveia!$E79:INDEX(Aveia!$E79:$Z79,MIN(U$6-$E$3,22))),0))-IF($G$2,0,IF((U$6-$G$3)&lt;1,0,IFERROR(LOOKUP(2,1/(Aveia!$E79:INDEX(Aveia!$E79:$Z79,MIN(U$6-$G$3,22))&lt;&gt;""),Aveia!$E79:INDEX(Aveia!$E79:$Z79,MIN(U$6-$G$3,22))),0)))))</f>
        <v>0</v>
      </c>
      <c r="V81" s="27" t="n">
        <f aca="false">IF(COUNT(Aveia!$E79:$Z79)=0,0,MAX(0,IF((V$6-$E$3)&lt;1,0,IFERROR(LOOKUP(2,1/(Aveia!$E79:INDEX(Aveia!$E79:$Z79,MIN(V$6-$E$3,22))&lt;&gt;""),Aveia!$E79:INDEX(Aveia!$E79:$Z79,MIN(V$6-$E$3,22))),0))-IF($G$2,0,IF((V$6-$G$3)&lt;1,0,IFERROR(LOOKUP(2,1/(Aveia!$E79:INDEX(Aveia!$E79:$Z79,MIN(V$6-$G$3,22))&lt;&gt;""),Aveia!$E79:INDEX(Aveia!$E79:$Z79,MIN(V$6-$G$3,22))),0)))))</f>
        <v>0</v>
      </c>
      <c r="W81" s="27" t="n">
        <f aca="false">IF(COUNT(Aveia!$E79:$Z79)=0,0,MAX(0,IF((W$6-$E$3)&lt;1,0,IFERROR(LOOKUP(2,1/(Aveia!$E79:INDEX(Aveia!$E79:$Z79,MIN(W$6-$E$3,22))&lt;&gt;""),Aveia!$E79:INDEX(Aveia!$E79:$Z79,MIN(W$6-$E$3,22))),0))-IF($G$2,0,IF((W$6-$G$3)&lt;1,0,IFERROR(LOOKUP(2,1/(Aveia!$E79:INDEX(Aveia!$E79:$Z79,MIN(W$6-$G$3,22))&lt;&gt;""),Aveia!$E79:INDEX(Aveia!$E79:$Z79,MIN(W$6-$G$3,22))),0)))))</f>
        <v>0</v>
      </c>
      <c r="X81" s="27" t="n">
        <f aca="false">IF(COUNT(Aveia!$E79:$Z79)=0,0,MAX(0,IF((X$6-$E$3)&lt;1,0,IFERROR(LOOKUP(2,1/(Aveia!$E79:INDEX(Aveia!$E79:$Z79,MIN(X$6-$E$3,22))&lt;&gt;""),Aveia!$E79:INDEX(Aveia!$E79:$Z79,MIN(X$6-$E$3,22))),0))-IF($G$2,0,IF((X$6-$G$3)&lt;1,0,IFERROR(LOOKUP(2,1/(Aveia!$E79:INDEX(Aveia!$E79:$Z79,MIN(X$6-$G$3,22))&lt;&gt;""),Aveia!$E79:INDEX(Aveia!$E79:$Z79,MIN(X$6-$G$3,22))),0)))))</f>
        <v>0</v>
      </c>
      <c r="Y81" s="27" t="n">
        <f aca="false">IF(COUNT(Aveia!$E79:$Z79)=0,0,MAX(0,IF((Y$6-$E$3)&lt;1,0,IFERROR(LOOKUP(2,1/(Aveia!$E79:INDEX(Aveia!$E79:$Z79,MIN(Y$6-$E$3,22))&lt;&gt;""),Aveia!$E79:INDEX(Aveia!$E79:$Z79,MIN(Y$6-$E$3,22))),0))-IF($G$2,0,IF((Y$6-$G$3)&lt;1,0,IFERROR(LOOKUP(2,1/(Aveia!$E79:INDEX(Aveia!$E79:$Z79,MIN(Y$6-$G$3,22))&lt;&gt;""),Aveia!$E79:INDEX(Aveia!$E79:$Z79,MIN(Y$6-$G$3,22))),0)))))</f>
        <v>0</v>
      </c>
      <c r="Z81" s="27" t="n">
        <f aca="false">IF(COUNT(Aveia!$E79:$Z79)=0,0,MAX(0,IF((Z$6-$E$3)&lt;1,0,IFERROR(LOOKUP(2,1/(Aveia!$E79:INDEX(Aveia!$E79:$Z79,MIN(Z$6-$E$3,22))&lt;&gt;""),Aveia!$E79:INDEX(Aveia!$E79:$Z79,MIN(Z$6-$E$3,22))),0))-IF($G$2,0,IF((Z$6-$G$3)&lt;1,0,IFERROR(LOOKUP(2,1/(Aveia!$E79:INDEX(Aveia!$E79:$Z79,MIN(Z$6-$G$3,22))&lt;&gt;""),Aveia!$E79:INDEX(Aveia!$E79:$Z79,MIN(Z$6-$G$3,22))),0)))))</f>
        <v>0</v>
      </c>
      <c r="AA81" s="27" t="n">
        <f aca="false">IF(COUNT(Aveia!$E79:$Z79)=0,0,MAX(0,IF((AA$6-$E$3)&lt;1,0,IFERROR(LOOKUP(2,1/(Aveia!$E79:INDEX(Aveia!$E79:$Z79,MIN(AA$6-$E$3,22))&lt;&gt;""),Aveia!$E79:INDEX(Aveia!$E79:$Z79,MIN(AA$6-$E$3,22))),0))-IF($G$2,0,IF((AA$6-$G$3)&lt;1,0,IFERROR(LOOKUP(2,1/(Aveia!$E79:INDEX(Aveia!$E79:$Z79,MIN(AA$6-$G$3,22))&lt;&gt;""),Aveia!$E79:INDEX(Aveia!$E79:$Z79,MIN(AA$6-$G$3,22))),0)))))</f>
        <v>0</v>
      </c>
      <c r="AB81" s="27" t="n">
        <f aca="false">IF(COUNT(Aveia!$E79:$Z79)=0,0,MAX(0,IF((AB$6-$E$3)&lt;1,0,IFERROR(LOOKUP(2,1/(Aveia!$E79:INDEX(Aveia!$E79:$Z79,MIN(AB$6-$E$3,22))&lt;&gt;""),Aveia!$E79:INDEX(Aveia!$E79:$Z79,MIN(AB$6-$E$3,22))),0))-IF($G$2,0,IF((AB$6-$G$3)&lt;1,0,IFERROR(LOOKUP(2,1/(Aveia!$E79:INDEX(Aveia!$E79:$Z79,MIN(AB$6-$G$3,22))&lt;&gt;""),Aveia!$E79:INDEX(Aveia!$E79:$Z79,MIN(AB$6-$G$3,22))),0)))))</f>
        <v>0</v>
      </c>
      <c r="AC81" s="27" t="n">
        <f aca="false">IF(COUNT(Aveia!$E79:$Z79)=0,0,MAX(0,IF((AC$6-$E$3)&lt;1,0,IFERROR(LOOKUP(2,1/(Aveia!$E79:INDEX(Aveia!$E79:$Z79,MIN(AC$6-$E$3,22))&lt;&gt;""),Aveia!$E79:INDEX(Aveia!$E79:$Z79,MIN(AC$6-$E$3,22))),0))-IF($G$2,0,IF((AC$6-$G$3)&lt;1,0,IFERROR(LOOKUP(2,1/(Aveia!$E79:INDEX(Aveia!$E79:$Z79,MIN(AC$6-$G$3,22))&lt;&gt;""),Aveia!$E79:INDEX(Aveia!$E79:$Z79,MIN(AC$6-$G$3,22))),0)))))</f>
        <v>0</v>
      </c>
      <c r="AD81" s="27" t="n">
        <f aca="false">IF(COUNT(Aveia!$E79:$Z79)=0,0,MAX(0,IF((AD$6-$E$3)&lt;1,0,IFERROR(LOOKUP(2,1/(Aveia!$E79:INDEX(Aveia!$E79:$Z79,MIN(AD$6-$E$3,22))&lt;&gt;""),Aveia!$E79:INDEX(Aveia!$E79:$Z79,MIN(AD$6-$E$3,22))),0))-IF($G$2,0,IF((AD$6-$G$3)&lt;1,0,IFERROR(LOOKUP(2,1/(Aveia!$E79:INDEX(Aveia!$E79:$Z79,MIN(AD$6-$G$3,22))&lt;&gt;""),Aveia!$E79:INDEX(Aveia!$E79:$Z79,MIN(AD$6-$G$3,22))),0)))))</f>
        <v>0</v>
      </c>
      <c r="AE81" s="27" t="n">
        <f aca="false">IF(COUNT(Aveia!$E79:$Z79)=0,0,MAX(0,IF((AE$6-$E$3)&lt;1,0,IFERROR(LOOKUP(2,1/(Aveia!$E79:INDEX(Aveia!$E79:$Z79,MIN(AE$6-$E$3,22))&lt;&gt;""),Aveia!$E79:INDEX(Aveia!$E79:$Z79,MIN(AE$6-$E$3,22))),0))-IF($G$2,0,IF((AE$6-$G$3)&lt;1,0,IFERROR(LOOKUP(2,1/(Aveia!$E79:INDEX(Aveia!$E79:$Z79,MIN(AE$6-$G$3,22))&lt;&gt;""),Aveia!$E79:INDEX(Aveia!$E79:$Z79,MIN(AE$6-$G$3,22))),0)))))</f>
        <v>0</v>
      </c>
      <c r="AF81" s="27" t="n">
        <f aca="false">IF(COUNT(Aveia!$E79:$Z79)=0,0,MAX(0,IF((AF$6-$E$3)&lt;1,0,IFERROR(LOOKUP(2,1/(Aveia!$E79:INDEX(Aveia!$E79:$Z79,MIN(AF$6-$E$3,22))&lt;&gt;""),Aveia!$E79:INDEX(Aveia!$E79:$Z79,MIN(AF$6-$E$3,22))),0))-IF($G$2,0,IF((AF$6-$G$3)&lt;1,0,IFERROR(LOOKUP(2,1/(Aveia!$E79:INDEX(Aveia!$E79:$Z79,MIN(AF$6-$G$3,22))&lt;&gt;""),Aveia!$E79:INDEX(Aveia!$E79:$Z79,MIN(AF$6-$G$3,22))),0)))))</f>
        <v>0</v>
      </c>
      <c r="AG81" s="27" t="n">
        <f aca="false">IF(COUNT(Aveia!$E79:$Z79)=0,0,MAX(0,IF((AG$6-$E$3)&lt;1,0,IFERROR(LOOKUP(2,1/(Aveia!$E79:INDEX(Aveia!$E79:$Z79,MIN(AG$6-$E$3,22))&lt;&gt;""),Aveia!$E79:INDEX(Aveia!$E79:$Z79,MIN(AG$6-$E$3,22))),0))-IF($G$2,0,IF((AG$6-$G$3)&lt;1,0,IFERROR(LOOKUP(2,1/(Aveia!$E79:INDEX(Aveia!$E79:$Z79,MIN(AG$6-$G$3,22))&lt;&gt;""),Aveia!$E79:INDEX(Aveia!$E79:$Z79,MIN(AG$6-$G$3,22))),0)))))</f>
        <v>0</v>
      </c>
      <c r="AH81" s="27" t="n">
        <f aca="false">IF(COUNT(Aveia!$E79:$Z79)=0,0,MAX(0,IF((AH$6-$E$3)&lt;1,0,IFERROR(LOOKUP(2,1/(Aveia!$E79:INDEX(Aveia!$E79:$Z79,MIN(AH$6-$E$3,22))&lt;&gt;""),Aveia!$E79:INDEX(Aveia!$E79:$Z79,MIN(AH$6-$E$3,22))),0))-IF($G$2,0,IF((AH$6-$G$3)&lt;1,0,IFERROR(LOOKUP(2,1/(Aveia!$E79:INDEX(Aveia!$E79:$Z79,MIN(AH$6-$G$3,22))&lt;&gt;""),Aveia!$E79:INDEX(Aveia!$E79:$Z79,MIN(AH$6-$G$3,22))),0)))))</f>
        <v>0</v>
      </c>
      <c r="AI81" s="27" t="n">
        <f aca="false">IF(COUNT(Aveia!$E79:$Z79)=0,0,MAX(0,IF((AI$6-$E$3)&lt;1,0,IFERROR(LOOKUP(2,1/(Aveia!$E79:INDEX(Aveia!$E79:$Z79,MIN(AI$6-$E$3,22))&lt;&gt;""),Aveia!$E79:INDEX(Aveia!$E79:$Z79,MIN(AI$6-$E$3,22))),0))-IF($G$2,0,IF((AI$6-$G$3)&lt;1,0,IFERROR(LOOKUP(2,1/(Aveia!$E79:INDEX(Aveia!$E79:$Z79,MIN(AI$6-$G$3,22))&lt;&gt;""),Aveia!$E79:INDEX(Aveia!$E79:$Z79,MIN(AI$6-$G$3,22))),0)))))</f>
        <v>0</v>
      </c>
      <c r="AJ81" s="27" t="n">
        <f aca="false">IF(COUNT(Aveia!$E79:$Z79)=0,0,MAX(0,IF((AJ$6-$E$3)&lt;1,0,IFERROR(LOOKUP(2,1/(Aveia!$E79:INDEX(Aveia!$E79:$Z79,MIN(AJ$6-$E$3,22))&lt;&gt;""),Aveia!$E79:INDEX(Aveia!$E79:$Z79,MIN(AJ$6-$E$3,22))),0))-IF($G$2,0,IF((AJ$6-$G$3)&lt;1,0,IFERROR(LOOKUP(2,1/(Aveia!$E79:INDEX(Aveia!$E79:$Z79,MIN(AJ$6-$G$3,22))&lt;&gt;""),Aveia!$E79:INDEX(Aveia!$E79:$Z79,MIN(AJ$6-$G$3,22))),0)))))</f>
        <v>0</v>
      </c>
      <c r="AK81" s="27" t="n">
        <f aca="false">IF(COUNT(Aveia!$E79:$Z79)=0,0,MAX(0,IF((AK$6-$E$3)&lt;1,0,IFERROR(LOOKUP(2,1/(Aveia!$E79:INDEX(Aveia!$E79:$Z79,MIN(AK$6-$E$3,22))&lt;&gt;""),Aveia!$E79:INDEX(Aveia!$E79:$Z79,MIN(AK$6-$E$3,22))),0))-IF($G$2,0,IF((AK$6-$G$3)&lt;1,0,IFERROR(LOOKUP(2,1/(Aveia!$E79:INDEX(Aveia!$E79:$Z79,MIN(AK$6-$G$3,22))&lt;&gt;""),Aveia!$E79:INDEX(Aveia!$E79:$Z79,MIN(AK$6-$G$3,22))),0)))))</f>
        <v>0</v>
      </c>
      <c r="AL81" s="27" t="n">
        <f aca="false">IF(COUNT(Aveia!$E79:$Z79)=0,0,MAX(0,IF((AL$6-$E$3)&lt;1,0,IFERROR(LOOKUP(2,1/(Aveia!$E79:INDEX(Aveia!$E79:$Z79,MIN(AL$6-$E$3,22))&lt;&gt;""),Aveia!$E79:INDEX(Aveia!$E79:$Z79,MIN(AL$6-$E$3,22))),0))-IF($G$2,0,IF((AL$6-$G$3)&lt;1,0,IFERROR(LOOKUP(2,1/(Aveia!$E79:INDEX(Aveia!$E79:$Z79,MIN(AL$6-$G$3,22))&lt;&gt;""),Aveia!$E79:INDEX(Aveia!$E79:$Z79,MIN(AL$6-$G$3,22))),0)))))</f>
        <v>0</v>
      </c>
      <c r="AM81" s="27" t="n">
        <f aca="false">IF(COUNT(Aveia!$E79:$Z79)=0,0,MAX(0,IF((AM$6-$E$3)&lt;1,0,IFERROR(LOOKUP(2,1/(Aveia!$E79:INDEX(Aveia!$E79:$Z79,MIN(AM$6-$E$3,22))&lt;&gt;""),Aveia!$E79:INDEX(Aveia!$E79:$Z79,MIN(AM$6-$E$3,22))),0))-IF($G$2,0,IF((AM$6-$G$3)&lt;1,0,IFERROR(LOOKUP(2,1/(Aveia!$E79:INDEX(Aveia!$E79:$Z79,MIN(AM$6-$G$3,22))&lt;&gt;""),Aveia!$E79:INDEX(Aveia!$E79:$Z79,MIN(AM$6-$G$3,22))),0)))))</f>
        <v>0</v>
      </c>
      <c r="AN81" s="27" t="n">
        <f aca="false">IF(COUNT(Aveia!$E79:$Z79)=0,0,MAX(0,IF((AN$6-$E$3)&lt;1,0,IFERROR(LOOKUP(2,1/(Aveia!$E79:INDEX(Aveia!$E79:$Z79,MIN(AN$6-$E$3,22))&lt;&gt;""),Aveia!$E79:INDEX(Aveia!$E79:$Z79,MIN(AN$6-$E$3,22))),0))-IF($G$2,0,IF((AN$6-$G$3)&lt;1,0,IFERROR(LOOKUP(2,1/(Aveia!$E79:INDEX(Aveia!$E79:$Z79,MIN(AN$6-$G$3,22))&lt;&gt;""),Aveia!$E79:INDEX(Aveia!$E79:$Z79,MIN(AN$6-$G$3,22))),0)))))</f>
        <v>0</v>
      </c>
      <c r="AO81" s="27" t="n">
        <f aca="false">IF(COUNT(Aveia!$E79:$Z79)=0,0,MAX(0,IF((AO$6-$E$3)&lt;1,0,IFERROR(LOOKUP(2,1/(Aveia!$E79:INDEX(Aveia!$E79:$Z79,MIN(AO$6-$E$3,22))&lt;&gt;""),Aveia!$E79:INDEX(Aveia!$E79:$Z79,MIN(AO$6-$E$3,22))),0))-IF($G$2,0,IF((AO$6-$G$3)&lt;1,0,IFERROR(LOOKUP(2,1/(Aveia!$E79:INDEX(Aveia!$E79:$Z79,MIN(AO$6-$G$3,22))&lt;&gt;""),Aveia!$E79:INDEX(Aveia!$E79:$Z79,MIN(AO$6-$G$3,22))),0)))))</f>
        <v>0</v>
      </c>
      <c r="AP81" s="27" t="n">
        <f aca="false">IF(COUNT(Aveia!$E79:$Z79)=0,0,MAX(0,IF((AP$6-$E$3)&lt;1,0,IFERROR(LOOKUP(2,1/(Aveia!$E79:INDEX(Aveia!$E79:$Z79,MIN(AP$6-$E$3,22))&lt;&gt;""),Aveia!$E79:INDEX(Aveia!$E79:$Z79,MIN(AP$6-$E$3,22))),0))-IF($G$2,0,IF((AP$6-$G$3)&lt;1,0,IFERROR(LOOKUP(2,1/(Aveia!$E79:INDEX(Aveia!$E79:$Z79,MIN(AP$6-$G$3,22))&lt;&gt;""),Aveia!$E79:INDEX(Aveia!$E79:$Z79,MIN(AP$6-$G$3,22))),0)))))</f>
        <v>0</v>
      </c>
      <c r="AQ81" s="27" t="n">
        <f aca="false">IF(COUNT(Aveia!$E79:$Z79)=0,0,MAX(0,IF((AQ$6-$E$3)&lt;1,0,IFERROR(LOOKUP(2,1/(Aveia!$E79:INDEX(Aveia!$E79:$Z79,MIN(AQ$6-$E$3,22))&lt;&gt;""),Aveia!$E79:INDEX(Aveia!$E79:$Z79,MIN(AQ$6-$E$3,22))),0))-IF($G$2,0,IF((AQ$6-$G$3)&lt;1,0,IFERROR(LOOKUP(2,1/(Aveia!$E79:INDEX(Aveia!$E79:$Z79,MIN(AQ$6-$G$3,22))&lt;&gt;""),Aveia!$E79:INDEX(Aveia!$E79:$Z79,MIN(AQ$6-$G$3,22))),0)))))</f>
        <v>0</v>
      </c>
      <c r="AR81" s="27" t="n">
        <f aca="false">IF(COUNT(Aveia!$E79:$Z79)=0,0,MAX(0,IF((AR$6-$E$3)&lt;1,0,IFERROR(LOOKUP(2,1/(Aveia!$E79:INDEX(Aveia!$E79:$Z79,MIN(AR$6-$E$3,22))&lt;&gt;""),Aveia!$E79:INDEX(Aveia!$E79:$Z79,MIN(AR$6-$E$3,22))),0))-IF($G$2,0,IF((AR$6-$G$3)&lt;1,0,IFERROR(LOOKUP(2,1/(Aveia!$E79:INDEX(Aveia!$E79:$Z79,MIN(AR$6-$G$3,22))&lt;&gt;""),Aveia!$E79:INDEX(Aveia!$E79:$Z79,MIN(AR$6-$G$3,22))),0)))))</f>
        <v>0</v>
      </c>
      <c r="AS81" s="27" t="n">
        <f aca="false">IF(COUNT(Aveia!$E79:$Z79)=0,0,MAX(0,IF((AS$6-$E$3)&lt;1,0,IFERROR(LOOKUP(2,1/(Aveia!$E79:INDEX(Aveia!$E79:$Z79,MIN(AS$6-$E$3,22))&lt;&gt;""),Aveia!$E79:INDEX(Aveia!$E79:$Z79,MIN(AS$6-$E$3,22))),0))-IF($G$2,0,IF((AS$6-$G$3)&lt;1,0,IFERROR(LOOKUP(2,1/(Aveia!$E79:INDEX(Aveia!$E79:$Z79,MIN(AS$6-$G$3,22))&lt;&gt;""),Aveia!$E79:INDEX(Aveia!$E79:$Z79,MIN(AS$6-$G$3,22))),0)))))</f>
        <v>0</v>
      </c>
      <c r="AT81" s="27" t="n">
        <f aca="false">IF(COUNT(Aveia!$E79:$Z79)=0,0,MAX(0,IF((AT$6-$E$3)&lt;1,0,IFERROR(LOOKUP(2,1/(Aveia!$E79:INDEX(Aveia!$E79:$Z79,MIN(AT$6-$E$3,22))&lt;&gt;""),Aveia!$E79:INDEX(Aveia!$E79:$Z79,MIN(AT$6-$E$3,22))),0))-IF($G$2,0,IF((AT$6-$G$3)&lt;1,0,IFERROR(LOOKUP(2,1/(Aveia!$E79:INDEX(Aveia!$E79:$Z79,MIN(AT$6-$G$3,22))&lt;&gt;""),Aveia!$E79:INDEX(Aveia!$E79:$Z79,MIN(AT$6-$G$3,22))),0)))))</f>
        <v>0</v>
      </c>
      <c r="AU81" s="27" t="n">
        <f aca="false">IF(COUNT(Aveia!$E79:$Z79)=0,0,MAX(0,IF((AU$6-$E$3)&lt;1,0,IFERROR(LOOKUP(2,1/(Aveia!$E79:INDEX(Aveia!$E79:$Z79,MIN(AU$6-$E$3,22))&lt;&gt;""),Aveia!$E79:INDEX(Aveia!$E79:$Z79,MIN(AU$6-$E$3,22))),0))-IF($G$2,0,IF((AU$6-$G$3)&lt;1,0,IFERROR(LOOKUP(2,1/(Aveia!$E79:INDEX(Aveia!$E79:$Z79,MIN(AU$6-$G$3,22))&lt;&gt;""),Aveia!$E79:INDEX(Aveia!$E79:$Z79,MIN(AU$6-$G$3,22))),0)))))</f>
        <v>0</v>
      </c>
      <c r="AV81" s="27" t="n">
        <f aca="false">IF(COUNT(Aveia!$E79:$Z79)=0,0,MAX(0,IF((AV$6-$E$3)&lt;1,0,IFERROR(LOOKUP(2,1/(Aveia!$E79:INDEX(Aveia!$E79:$Z79,MIN(AV$6-$E$3,22))&lt;&gt;""),Aveia!$E79:INDEX(Aveia!$E79:$Z79,MIN(AV$6-$E$3,22))),0))-IF($G$2,0,IF((AV$6-$G$3)&lt;1,0,IFERROR(LOOKUP(2,1/(Aveia!$E79:INDEX(Aveia!$E79:$Z79,MIN(AV$6-$G$3,22))&lt;&gt;""),Aveia!$E79:INDEX(Aveia!$E79:$Z79,MIN(AV$6-$G$3,22))),0)))))</f>
        <v>0</v>
      </c>
      <c r="AW81" s="27" t="n">
        <f aca="false">IF(COUNT(Aveia!$E79:$Z79)=0,0,MAX(0,IF((AW$6-$E$3)&lt;1,0,IFERROR(LOOKUP(2,1/(Aveia!$E79:INDEX(Aveia!$E79:$Z79,MIN(AW$6-$E$3,22))&lt;&gt;""),Aveia!$E79:INDEX(Aveia!$E79:$Z79,MIN(AW$6-$E$3,22))),0))-IF($G$2,0,IF((AW$6-$G$3)&lt;1,0,IFERROR(LOOKUP(2,1/(Aveia!$E79:INDEX(Aveia!$E79:$Z79,MIN(AW$6-$G$3,22))&lt;&gt;""),Aveia!$E79:INDEX(Aveia!$E79:$Z79,MIN(AW$6-$G$3,22))),0)))))</f>
        <v>0</v>
      </c>
      <c r="AX81" s="27" t="n">
        <f aca="false">IF(COUNT(Aveia!$E79:$Z79)=0,0,MAX(0,IF((AX$6-$E$3)&lt;1,0,IFERROR(LOOKUP(2,1/(Aveia!$E79:INDEX(Aveia!$E79:$Z79,MIN(AX$6-$E$3,22))&lt;&gt;""),Aveia!$E79:INDEX(Aveia!$E79:$Z79,MIN(AX$6-$E$3,22))),0))-IF($G$2,0,IF((AX$6-$G$3)&lt;1,0,IFERROR(LOOKUP(2,1/(Aveia!$E79:INDEX(Aveia!$E79:$Z79,MIN(AX$6-$G$3,22))&lt;&gt;""),Aveia!$E79:INDEX(Aveia!$E79:$Z79,MIN(AX$6-$G$3,22))),0)))))</f>
        <v>0</v>
      </c>
      <c r="AY81" s="27" t="n">
        <f aca="false">IF(COUNT(Aveia!$E79:$Z79)=0,0,MAX(0,IF((AY$6-$E$3)&lt;1,0,IFERROR(LOOKUP(2,1/(Aveia!$E79:INDEX(Aveia!$E79:$Z79,MIN(AY$6-$E$3,22))&lt;&gt;""),Aveia!$E79:INDEX(Aveia!$E79:$Z79,MIN(AY$6-$E$3,22))),0))-IF($G$2,0,IF((AY$6-$G$3)&lt;1,0,IFERROR(LOOKUP(2,1/(Aveia!$E79:INDEX(Aveia!$E79:$Z79,MIN(AY$6-$G$3,22))&lt;&gt;""),Aveia!$E79:INDEX(Aveia!$E79:$Z79,MIN(AY$6-$G$3,22))),0)))))</f>
        <v>0</v>
      </c>
      <c r="AZ81" s="27" t="n">
        <f aca="false">IF(COUNT(Aveia!$E79:$Z79)=0,0,MAX(0,IF((AZ$6-$E$3)&lt;1,0,IFERROR(LOOKUP(2,1/(Aveia!$E79:INDEX(Aveia!$E79:$Z79,MIN(AZ$6-$E$3,22))&lt;&gt;""),Aveia!$E79:INDEX(Aveia!$E79:$Z79,MIN(AZ$6-$E$3,22))),0))-IF($G$2,0,IF((AZ$6-$G$3)&lt;1,0,IFERROR(LOOKUP(2,1/(Aveia!$E79:INDEX(Aveia!$E79:$Z79,MIN(AZ$6-$G$3,22))&lt;&gt;""),Aveia!$E79:INDEX(Aveia!$E79:$Z79,MIN(AZ$6-$G$3,22))),0)))))</f>
        <v>0</v>
      </c>
    </row>
    <row r="82" customFormat="false" ht="15" hidden="false" customHeight="false" outlineLevel="0" collapsed="false">
      <c r="A82" s="3" t="s">
        <v>282</v>
      </c>
      <c r="B82" s="3" t="s">
        <v>283</v>
      </c>
      <c r="C82" s="10" t="s">
        <v>140</v>
      </c>
      <c r="D82" s="26" t="n">
        <f aca="false">IF(COUNT(Aveia!$E80:$Z80)&gt;0,N(Aveia!$D80),0)</f>
        <v>0</v>
      </c>
      <c r="E82" s="27" t="n">
        <f aca="false">IF(COUNT(Aveia!$E80:$Z80)=0,0,MAX(0,IF((E$6-$E$3)&lt;1,0,IFERROR(LOOKUP(2,1/(Aveia!$E80:INDEX(Aveia!$E80:$Z80,MIN(E$6-$E$3,22))&lt;&gt;""),Aveia!$E80:INDEX(Aveia!$E80:$Z80,MIN(E$6-$E$3,22))),0))-IF($G$2,0,IF((E$6-$G$3)&lt;1,0,IFERROR(LOOKUP(2,1/(Aveia!$E80:INDEX(Aveia!$E80:$Z80,MIN(E$6-$G$3,22))&lt;&gt;""),Aveia!$E80:INDEX(Aveia!$E80:$Z80,MIN(E$6-$G$3,22))),0)))))</f>
        <v>0</v>
      </c>
      <c r="F82" s="27" t="n">
        <f aca="false">IF(COUNT(Aveia!$E80:$Z80)=0,0,MAX(0,IF((F$6-$E$3)&lt;1,0,IFERROR(LOOKUP(2,1/(Aveia!$E80:INDEX(Aveia!$E80:$Z80,MIN(F$6-$E$3,22))&lt;&gt;""),Aveia!$E80:INDEX(Aveia!$E80:$Z80,MIN(F$6-$E$3,22))),0))-IF($G$2,0,IF((F$6-$G$3)&lt;1,0,IFERROR(LOOKUP(2,1/(Aveia!$E80:INDEX(Aveia!$E80:$Z80,MIN(F$6-$G$3,22))&lt;&gt;""),Aveia!$E80:INDEX(Aveia!$E80:$Z80,MIN(F$6-$G$3,22))),0)))))</f>
        <v>0</v>
      </c>
      <c r="G82" s="27" t="n">
        <f aca="false">IF(COUNT(Aveia!$E80:$Z80)=0,0,MAX(0,IF((G$6-$E$3)&lt;1,0,IFERROR(LOOKUP(2,1/(Aveia!$E80:INDEX(Aveia!$E80:$Z80,MIN(G$6-$E$3,22))&lt;&gt;""),Aveia!$E80:INDEX(Aveia!$E80:$Z80,MIN(G$6-$E$3,22))),0))-IF($G$2,0,IF((G$6-$G$3)&lt;1,0,IFERROR(LOOKUP(2,1/(Aveia!$E80:INDEX(Aveia!$E80:$Z80,MIN(G$6-$G$3,22))&lt;&gt;""),Aveia!$E80:INDEX(Aveia!$E80:$Z80,MIN(G$6-$G$3,22))),0)))))</f>
        <v>0</v>
      </c>
      <c r="H82" s="27" t="n">
        <f aca="false">IF(COUNT(Aveia!$E80:$Z80)=0,0,MAX(0,IF((H$6-$E$3)&lt;1,0,IFERROR(LOOKUP(2,1/(Aveia!$E80:INDEX(Aveia!$E80:$Z80,MIN(H$6-$E$3,22))&lt;&gt;""),Aveia!$E80:INDEX(Aveia!$E80:$Z80,MIN(H$6-$E$3,22))),0))-IF($G$2,0,IF((H$6-$G$3)&lt;1,0,IFERROR(LOOKUP(2,1/(Aveia!$E80:INDEX(Aveia!$E80:$Z80,MIN(H$6-$G$3,22))&lt;&gt;""),Aveia!$E80:INDEX(Aveia!$E80:$Z80,MIN(H$6-$G$3,22))),0)))))</f>
        <v>0</v>
      </c>
      <c r="I82" s="27" t="n">
        <f aca="false">IF(COUNT(Aveia!$E80:$Z80)=0,0,MAX(0,IF((I$6-$E$3)&lt;1,0,IFERROR(LOOKUP(2,1/(Aveia!$E80:INDEX(Aveia!$E80:$Z80,MIN(I$6-$E$3,22))&lt;&gt;""),Aveia!$E80:INDEX(Aveia!$E80:$Z80,MIN(I$6-$E$3,22))),0))-IF($G$2,0,IF((I$6-$G$3)&lt;1,0,IFERROR(LOOKUP(2,1/(Aveia!$E80:INDEX(Aveia!$E80:$Z80,MIN(I$6-$G$3,22))&lt;&gt;""),Aveia!$E80:INDEX(Aveia!$E80:$Z80,MIN(I$6-$G$3,22))),0)))))</f>
        <v>0</v>
      </c>
      <c r="J82" s="27" t="n">
        <f aca="false">IF(COUNT(Aveia!$E80:$Z80)=0,0,MAX(0,IF((J$6-$E$3)&lt;1,0,IFERROR(LOOKUP(2,1/(Aveia!$E80:INDEX(Aveia!$E80:$Z80,MIN(J$6-$E$3,22))&lt;&gt;""),Aveia!$E80:INDEX(Aveia!$E80:$Z80,MIN(J$6-$E$3,22))),0))-IF($G$2,0,IF((J$6-$G$3)&lt;1,0,IFERROR(LOOKUP(2,1/(Aveia!$E80:INDEX(Aveia!$E80:$Z80,MIN(J$6-$G$3,22))&lt;&gt;""),Aveia!$E80:INDEX(Aveia!$E80:$Z80,MIN(J$6-$G$3,22))),0)))))</f>
        <v>0</v>
      </c>
      <c r="K82" s="27" t="n">
        <f aca="false">IF(COUNT(Aveia!$E80:$Z80)=0,0,MAX(0,IF((K$6-$E$3)&lt;1,0,IFERROR(LOOKUP(2,1/(Aveia!$E80:INDEX(Aveia!$E80:$Z80,MIN(K$6-$E$3,22))&lt;&gt;""),Aveia!$E80:INDEX(Aveia!$E80:$Z80,MIN(K$6-$E$3,22))),0))-IF($G$2,0,IF((K$6-$G$3)&lt;1,0,IFERROR(LOOKUP(2,1/(Aveia!$E80:INDEX(Aveia!$E80:$Z80,MIN(K$6-$G$3,22))&lt;&gt;""),Aveia!$E80:INDEX(Aveia!$E80:$Z80,MIN(K$6-$G$3,22))),0)))))</f>
        <v>0</v>
      </c>
      <c r="L82" s="27" t="n">
        <f aca="false">IF(COUNT(Aveia!$E80:$Z80)=0,0,MAX(0,IF((L$6-$E$3)&lt;1,0,IFERROR(LOOKUP(2,1/(Aveia!$E80:INDEX(Aveia!$E80:$Z80,MIN(L$6-$E$3,22))&lt;&gt;""),Aveia!$E80:INDEX(Aveia!$E80:$Z80,MIN(L$6-$E$3,22))),0))-IF($G$2,0,IF((L$6-$G$3)&lt;1,0,IFERROR(LOOKUP(2,1/(Aveia!$E80:INDEX(Aveia!$E80:$Z80,MIN(L$6-$G$3,22))&lt;&gt;""),Aveia!$E80:INDEX(Aveia!$E80:$Z80,MIN(L$6-$G$3,22))),0)))))</f>
        <v>0</v>
      </c>
      <c r="M82" s="27" t="n">
        <f aca="false">IF(COUNT(Aveia!$E80:$Z80)=0,0,MAX(0,IF((M$6-$E$3)&lt;1,0,IFERROR(LOOKUP(2,1/(Aveia!$E80:INDEX(Aveia!$E80:$Z80,MIN(M$6-$E$3,22))&lt;&gt;""),Aveia!$E80:INDEX(Aveia!$E80:$Z80,MIN(M$6-$E$3,22))),0))-IF($G$2,0,IF((M$6-$G$3)&lt;1,0,IFERROR(LOOKUP(2,1/(Aveia!$E80:INDEX(Aveia!$E80:$Z80,MIN(M$6-$G$3,22))&lt;&gt;""),Aveia!$E80:INDEX(Aveia!$E80:$Z80,MIN(M$6-$G$3,22))),0)))))</f>
        <v>0</v>
      </c>
      <c r="N82" s="27" t="n">
        <f aca="false">IF(COUNT(Aveia!$E80:$Z80)=0,0,MAX(0,IF((N$6-$E$3)&lt;1,0,IFERROR(LOOKUP(2,1/(Aveia!$E80:INDEX(Aveia!$E80:$Z80,MIN(N$6-$E$3,22))&lt;&gt;""),Aveia!$E80:INDEX(Aveia!$E80:$Z80,MIN(N$6-$E$3,22))),0))-IF($G$2,0,IF((N$6-$G$3)&lt;1,0,IFERROR(LOOKUP(2,1/(Aveia!$E80:INDEX(Aveia!$E80:$Z80,MIN(N$6-$G$3,22))&lt;&gt;""),Aveia!$E80:INDEX(Aveia!$E80:$Z80,MIN(N$6-$G$3,22))),0)))))</f>
        <v>0</v>
      </c>
      <c r="O82" s="27" t="n">
        <f aca="false">IF(COUNT(Aveia!$E80:$Z80)=0,0,MAX(0,IF((O$6-$E$3)&lt;1,0,IFERROR(LOOKUP(2,1/(Aveia!$E80:INDEX(Aveia!$E80:$Z80,MIN(O$6-$E$3,22))&lt;&gt;""),Aveia!$E80:INDEX(Aveia!$E80:$Z80,MIN(O$6-$E$3,22))),0))-IF($G$2,0,IF((O$6-$G$3)&lt;1,0,IFERROR(LOOKUP(2,1/(Aveia!$E80:INDEX(Aveia!$E80:$Z80,MIN(O$6-$G$3,22))&lt;&gt;""),Aveia!$E80:INDEX(Aveia!$E80:$Z80,MIN(O$6-$G$3,22))),0)))))</f>
        <v>0</v>
      </c>
      <c r="P82" s="27" t="n">
        <f aca="false">IF(COUNT(Aveia!$E80:$Z80)=0,0,MAX(0,IF((P$6-$E$3)&lt;1,0,IFERROR(LOOKUP(2,1/(Aveia!$E80:INDEX(Aveia!$E80:$Z80,MIN(P$6-$E$3,22))&lt;&gt;""),Aveia!$E80:INDEX(Aveia!$E80:$Z80,MIN(P$6-$E$3,22))),0))-IF($G$2,0,IF((P$6-$G$3)&lt;1,0,IFERROR(LOOKUP(2,1/(Aveia!$E80:INDEX(Aveia!$E80:$Z80,MIN(P$6-$G$3,22))&lt;&gt;""),Aveia!$E80:INDEX(Aveia!$E80:$Z80,MIN(P$6-$G$3,22))),0)))))</f>
        <v>0</v>
      </c>
      <c r="Q82" s="27" t="n">
        <f aca="false">IF(COUNT(Aveia!$E80:$Z80)=0,0,MAX(0,IF((Q$6-$E$3)&lt;1,0,IFERROR(LOOKUP(2,1/(Aveia!$E80:INDEX(Aveia!$E80:$Z80,MIN(Q$6-$E$3,22))&lt;&gt;""),Aveia!$E80:INDEX(Aveia!$E80:$Z80,MIN(Q$6-$E$3,22))),0))-IF($G$2,0,IF((Q$6-$G$3)&lt;1,0,IFERROR(LOOKUP(2,1/(Aveia!$E80:INDEX(Aveia!$E80:$Z80,MIN(Q$6-$G$3,22))&lt;&gt;""),Aveia!$E80:INDEX(Aveia!$E80:$Z80,MIN(Q$6-$G$3,22))),0)))))</f>
        <v>0</v>
      </c>
      <c r="R82" s="27" t="n">
        <f aca="false">IF(COUNT(Aveia!$E80:$Z80)=0,0,MAX(0,IF((R$6-$E$3)&lt;1,0,IFERROR(LOOKUP(2,1/(Aveia!$E80:INDEX(Aveia!$E80:$Z80,MIN(R$6-$E$3,22))&lt;&gt;""),Aveia!$E80:INDEX(Aveia!$E80:$Z80,MIN(R$6-$E$3,22))),0))-IF($G$2,0,IF((R$6-$G$3)&lt;1,0,IFERROR(LOOKUP(2,1/(Aveia!$E80:INDEX(Aveia!$E80:$Z80,MIN(R$6-$G$3,22))&lt;&gt;""),Aveia!$E80:INDEX(Aveia!$E80:$Z80,MIN(R$6-$G$3,22))),0)))))</f>
        <v>0</v>
      </c>
      <c r="S82" s="27" t="n">
        <f aca="false">IF(COUNT(Aveia!$E80:$Z80)=0,0,MAX(0,IF((S$6-$E$3)&lt;1,0,IFERROR(LOOKUP(2,1/(Aveia!$E80:INDEX(Aveia!$E80:$Z80,MIN(S$6-$E$3,22))&lt;&gt;""),Aveia!$E80:INDEX(Aveia!$E80:$Z80,MIN(S$6-$E$3,22))),0))-IF($G$2,0,IF((S$6-$G$3)&lt;1,0,IFERROR(LOOKUP(2,1/(Aveia!$E80:INDEX(Aveia!$E80:$Z80,MIN(S$6-$G$3,22))&lt;&gt;""),Aveia!$E80:INDEX(Aveia!$E80:$Z80,MIN(S$6-$G$3,22))),0)))))</f>
        <v>0</v>
      </c>
      <c r="T82" s="27" t="n">
        <f aca="false">IF(COUNT(Aveia!$E80:$Z80)=0,0,MAX(0,IF((T$6-$E$3)&lt;1,0,IFERROR(LOOKUP(2,1/(Aveia!$E80:INDEX(Aveia!$E80:$Z80,MIN(T$6-$E$3,22))&lt;&gt;""),Aveia!$E80:INDEX(Aveia!$E80:$Z80,MIN(T$6-$E$3,22))),0))-IF($G$2,0,IF((T$6-$G$3)&lt;1,0,IFERROR(LOOKUP(2,1/(Aveia!$E80:INDEX(Aveia!$E80:$Z80,MIN(T$6-$G$3,22))&lt;&gt;""),Aveia!$E80:INDEX(Aveia!$E80:$Z80,MIN(T$6-$G$3,22))),0)))))</f>
        <v>0</v>
      </c>
      <c r="U82" s="27" t="n">
        <f aca="false">IF(COUNT(Aveia!$E80:$Z80)=0,0,MAX(0,IF((U$6-$E$3)&lt;1,0,IFERROR(LOOKUP(2,1/(Aveia!$E80:INDEX(Aveia!$E80:$Z80,MIN(U$6-$E$3,22))&lt;&gt;""),Aveia!$E80:INDEX(Aveia!$E80:$Z80,MIN(U$6-$E$3,22))),0))-IF($G$2,0,IF((U$6-$G$3)&lt;1,0,IFERROR(LOOKUP(2,1/(Aveia!$E80:INDEX(Aveia!$E80:$Z80,MIN(U$6-$G$3,22))&lt;&gt;""),Aveia!$E80:INDEX(Aveia!$E80:$Z80,MIN(U$6-$G$3,22))),0)))))</f>
        <v>0</v>
      </c>
      <c r="V82" s="27" t="n">
        <f aca="false">IF(COUNT(Aveia!$E80:$Z80)=0,0,MAX(0,IF((V$6-$E$3)&lt;1,0,IFERROR(LOOKUP(2,1/(Aveia!$E80:INDEX(Aveia!$E80:$Z80,MIN(V$6-$E$3,22))&lt;&gt;""),Aveia!$E80:INDEX(Aveia!$E80:$Z80,MIN(V$6-$E$3,22))),0))-IF($G$2,0,IF((V$6-$G$3)&lt;1,0,IFERROR(LOOKUP(2,1/(Aveia!$E80:INDEX(Aveia!$E80:$Z80,MIN(V$6-$G$3,22))&lt;&gt;""),Aveia!$E80:INDEX(Aveia!$E80:$Z80,MIN(V$6-$G$3,22))),0)))))</f>
        <v>0</v>
      </c>
      <c r="W82" s="27" t="n">
        <f aca="false">IF(COUNT(Aveia!$E80:$Z80)=0,0,MAX(0,IF((W$6-$E$3)&lt;1,0,IFERROR(LOOKUP(2,1/(Aveia!$E80:INDEX(Aveia!$E80:$Z80,MIN(W$6-$E$3,22))&lt;&gt;""),Aveia!$E80:INDEX(Aveia!$E80:$Z80,MIN(W$6-$E$3,22))),0))-IF($G$2,0,IF((W$6-$G$3)&lt;1,0,IFERROR(LOOKUP(2,1/(Aveia!$E80:INDEX(Aveia!$E80:$Z80,MIN(W$6-$G$3,22))&lt;&gt;""),Aveia!$E80:INDEX(Aveia!$E80:$Z80,MIN(W$6-$G$3,22))),0)))))</f>
        <v>0</v>
      </c>
      <c r="X82" s="27" t="n">
        <f aca="false">IF(COUNT(Aveia!$E80:$Z80)=0,0,MAX(0,IF((X$6-$E$3)&lt;1,0,IFERROR(LOOKUP(2,1/(Aveia!$E80:INDEX(Aveia!$E80:$Z80,MIN(X$6-$E$3,22))&lt;&gt;""),Aveia!$E80:INDEX(Aveia!$E80:$Z80,MIN(X$6-$E$3,22))),0))-IF($G$2,0,IF((X$6-$G$3)&lt;1,0,IFERROR(LOOKUP(2,1/(Aveia!$E80:INDEX(Aveia!$E80:$Z80,MIN(X$6-$G$3,22))&lt;&gt;""),Aveia!$E80:INDEX(Aveia!$E80:$Z80,MIN(X$6-$G$3,22))),0)))))</f>
        <v>0</v>
      </c>
      <c r="Y82" s="27" t="n">
        <f aca="false">IF(COUNT(Aveia!$E80:$Z80)=0,0,MAX(0,IF((Y$6-$E$3)&lt;1,0,IFERROR(LOOKUP(2,1/(Aveia!$E80:INDEX(Aveia!$E80:$Z80,MIN(Y$6-$E$3,22))&lt;&gt;""),Aveia!$E80:INDEX(Aveia!$E80:$Z80,MIN(Y$6-$E$3,22))),0))-IF($G$2,0,IF((Y$6-$G$3)&lt;1,0,IFERROR(LOOKUP(2,1/(Aveia!$E80:INDEX(Aveia!$E80:$Z80,MIN(Y$6-$G$3,22))&lt;&gt;""),Aveia!$E80:INDEX(Aveia!$E80:$Z80,MIN(Y$6-$G$3,22))),0)))))</f>
        <v>0</v>
      </c>
      <c r="Z82" s="27" t="n">
        <f aca="false">IF(COUNT(Aveia!$E80:$Z80)=0,0,MAX(0,IF((Z$6-$E$3)&lt;1,0,IFERROR(LOOKUP(2,1/(Aveia!$E80:INDEX(Aveia!$E80:$Z80,MIN(Z$6-$E$3,22))&lt;&gt;""),Aveia!$E80:INDEX(Aveia!$E80:$Z80,MIN(Z$6-$E$3,22))),0))-IF($G$2,0,IF((Z$6-$G$3)&lt;1,0,IFERROR(LOOKUP(2,1/(Aveia!$E80:INDEX(Aveia!$E80:$Z80,MIN(Z$6-$G$3,22))&lt;&gt;""),Aveia!$E80:INDEX(Aveia!$E80:$Z80,MIN(Z$6-$G$3,22))),0)))))</f>
        <v>0</v>
      </c>
      <c r="AA82" s="27" t="n">
        <f aca="false">IF(COUNT(Aveia!$E80:$Z80)=0,0,MAX(0,IF((AA$6-$E$3)&lt;1,0,IFERROR(LOOKUP(2,1/(Aveia!$E80:INDEX(Aveia!$E80:$Z80,MIN(AA$6-$E$3,22))&lt;&gt;""),Aveia!$E80:INDEX(Aveia!$E80:$Z80,MIN(AA$6-$E$3,22))),0))-IF($G$2,0,IF((AA$6-$G$3)&lt;1,0,IFERROR(LOOKUP(2,1/(Aveia!$E80:INDEX(Aveia!$E80:$Z80,MIN(AA$6-$G$3,22))&lt;&gt;""),Aveia!$E80:INDEX(Aveia!$E80:$Z80,MIN(AA$6-$G$3,22))),0)))))</f>
        <v>0</v>
      </c>
      <c r="AB82" s="27" t="n">
        <f aca="false">IF(COUNT(Aveia!$E80:$Z80)=0,0,MAX(0,IF((AB$6-$E$3)&lt;1,0,IFERROR(LOOKUP(2,1/(Aveia!$E80:INDEX(Aveia!$E80:$Z80,MIN(AB$6-$E$3,22))&lt;&gt;""),Aveia!$E80:INDEX(Aveia!$E80:$Z80,MIN(AB$6-$E$3,22))),0))-IF($G$2,0,IF((AB$6-$G$3)&lt;1,0,IFERROR(LOOKUP(2,1/(Aveia!$E80:INDEX(Aveia!$E80:$Z80,MIN(AB$6-$G$3,22))&lt;&gt;""),Aveia!$E80:INDEX(Aveia!$E80:$Z80,MIN(AB$6-$G$3,22))),0)))))</f>
        <v>0</v>
      </c>
      <c r="AC82" s="27" t="n">
        <f aca="false">IF(COUNT(Aveia!$E80:$Z80)=0,0,MAX(0,IF((AC$6-$E$3)&lt;1,0,IFERROR(LOOKUP(2,1/(Aveia!$E80:INDEX(Aveia!$E80:$Z80,MIN(AC$6-$E$3,22))&lt;&gt;""),Aveia!$E80:INDEX(Aveia!$E80:$Z80,MIN(AC$6-$E$3,22))),0))-IF($G$2,0,IF((AC$6-$G$3)&lt;1,0,IFERROR(LOOKUP(2,1/(Aveia!$E80:INDEX(Aveia!$E80:$Z80,MIN(AC$6-$G$3,22))&lt;&gt;""),Aveia!$E80:INDEX(Aveia!$E80:$Z80,MIN(AC$6-$G$3,22))),0)))))</f>
        <v>0</v>
      </c>
      <c r="AD82" s="27" t="n">
        <f aca="false">IF(COUNT(Aveia!$E80:$Z80)=0,0,MAX(0,IF((AD$6-$E$3)&lt;1,0,IFERROR(LOOKUP(2,1/(Aveia!$E80:INDEX(Aveia!$E80:$Z80,MIN(AD$6-$E$3,22))&lt;&gt;""),Aveia!$E80:INDEX(Aveia!$E80:$Z80,MIN(AD$6-$E$3,22))),0))-IF($G$2,0,IF((AD$6-$G$3)&lt;1,0,IFERROR(LOOKUP(2,1/(Aveia!$E80:INDEX(Aveia!$E80:$Z80,MIN(AD$6-$G$3,22))&lt;&gt;""),Aveia!$E80:INDEX(Aveia!$E80:$Z80,MIN(AD$6-$G$3,22))),0)))))</f>
        <v>0</v>
      </c>
      <c r="AE82" s="27" t="n">
        <f aca="false">IF(COUNT(Aveia!$E80:$Z80)=0,0,MAX(0,IF((AE$6-$E$3)&lt;1,0,IFERROR(LOOKUP(2,1/(Aveia!$E80:INDEX(Aveia!$E80:$Z80,MIN(AE$6-$E$3,22))&lt;&gt;""),Aveia!$E80:INDEX(Aveia!$E80:$Z80,MIN(AE$6-$E$3,22))),0))-IF($G$2,0,IF((AE$6-$G$3)&lt;1,0,IFERROR(LOOKUP(2,1/(Aveia!$E80:INDEX(Aveia!$E80:$Z80,MIN(AE$6-$G$3,22))&lt;&gt;""),Aveia!$E80:INDEX(Aveia!$E80:$Z80,MIN(AE$6-$G$3,22))),0)))))</f>
        <v>0</v>
      </c>
      <c r="AF82" s="27" t="n">
        <f aca="false">IF(COUNT(Aveia!$E80:$Z80)=0,0,MAX(0,IF((AF$6-$E$3)&lt;1,0,IFERROR(LOOKUP(2,1/(Aveia!$E80:INDEX(Aveia!$E80:$Z80,MIN(AF$6-$E$3,22))&lt;&gt;""),Aveia!$E80:INDEX(Aveia!$E80:$Z80,MIN(AF$6-$E$3,22))),0))-IF($G$2,0,IF((AF$6-$G$3)&lt;1,0,IFERROR(LOOKUP(2,1/(Aveia!$E80:INDEX(Aveia!$E80:$Z80,MIN(AF$6-$G$3,22))&lt;&gt;""),Aveia!$E80:INDEX(Aveia!$E80:$Z80,MIN(AF$6-$G$3,22))),0)))))</f>
        <v>0</v>
      </c>
      <c r="AG82" s="27" t="n">
        <f aca="false">IF(COUNT(Aveia!$E80:$Z80)=0,0,MAX(0,IF((AG$6-$E$3)&lt;1,0,IFERROR(LOOKUP(2,1/(Aveia!$E80:INDEX(Aveia!$E80:$Z80,MIN(AG$6-$E$3,22))&lt;&gt;""),Aveia!$E80:INDEX(Aveia!$E80:$Z80,MIN(AG$6-$E$3,22))),0))-IF($G$2,0,IF((AG$6-$G$3)&lt;1,0,IFERROR(LOOKUP(2,1/(Aveia!$E80:INDEX(Aveia!$E80:$Z80,MIN(AG$6-$G$3,22))&lt;&gt;""),Aveia!$E80:INDEX(Aveia!$E80:$Z80,MIN(AG$6-$G$3,22))),0)))))</f>
        <v>0</v>
      </c>
      <c r="AH82" s="27" t="n">
        <f aca="false">IF(COUNT(Aveia!$E80:$Z80)=0,0,MAX(0,IF((AH$6-$E$3)&lt;1,0,IFERROR(LOOKUP(2,1/(Aveia!$E80:INDEX(Aveia!$E80:$Z80,MIN(AH$6-$E$3,22))&lt;&gt;""),Aveia!$E80:INDEX(Aveia!$E80:$Z80,MIN(AH$6-$E$3,22))),0))-IF($G$2,0,IF((AH$6-$G$3)&lt;1,0,IFERROR(LOOKUP(2,1/(Aveia!$E80:INDEX(Aveia!$E80:$Z80,MIN(AH$6-$G$3,22))&lt;&gt;""),Aveia!$E80:INDEX(Aveia!$E80:$Z80,MIN(AH$6-$G$3,22))),0)))))</f>
        <v>0</v>
      </c>
      <c r="AI82" s="27" t="n">
        <f aca="false">IF(COUNT(Aveia!$E80:$Z80)=0,0,MAX(0,IF((AI$6-$E$3)&lt;1,0,IFERROR(LOOKUP(2,1/(Aveia!$E80:INDEX(Aveia!$E80:$Z80,MIN(AI$6-$E$3,22))&lt;&gt;""),Aveia!$E80:INDEX(Aveia!$E80:$Z80,MIN(AI$6-$E$3,22))),0))-IF($G$2,0,IF((AI$6-$G$3)&lt;1,0,IFERROR(LOOKUP(2,1/(Aveia!$E80:INDEX(Aveia!$E80:$Z80,MIN(AI$6-$G$3,22))&lt;&gt;""),Aveia!$E80:INDEX(Aveia!$E80:$Z80,MIN(AI$6-$G$3,22))),0)))))</f>
        <v>0</v>
      </c>
      <c r="AJ82" s="27" t="n">
        <f aca="false">IF(COUNT(Aveia!$E80:$Z80)=0,0,MAX(0,IF((AJ$6-$E$3)&lt;1,0,IFERROR(LOOKUP(2,1/(Aveia!$E80:INDEX(Aveia!$E80:$Z80,MIN(AJ$6-$E$3,22))&lt;&gt;""),Aveia!$E80:INDEX(Aveia!$E80:$Z80,MIN(AJ$6-$E$3,22))),0))-IF($G$2,0,IF((AJ$6-$G$3)&lt;1,0,IFERROR(LOOKUP(2,1/(Aveia!$E80:INDEX(Aveia!$E80:$Z80,MIN(AJ$6-$G$3,22))&lt;&gt;""),Aveia!$E80:INDEX(Aveia!$E80:$Z80,MIN(AJ$6-$G$3,22))),0)))))</f>
        <v>0</v>
      </c>
      <c r="AK82" s="27" t="n">
        <f aca="false">IF(COUNT(Aveia!$E80:$Z80)=0,0,MAX(0,IF((AK$6-$E$3)&lt;1,0,IFERROR(LOOKUP(2,1/(Aveia!$E80:INDEX(Aveia!$E80:$Z80,MIN(AK$6-$E$3,22))&lt;&gt;""),Aveia!$E80:INDEX(Aveia!$E80:$Z80,MIN(AK$6-$E$3,22))),0))-IF($G$2,0,IF((AK$6-$G$3)&lt;1,0,IFERROR(LOOKUP(2,1/(Aveia!$E80:INDEX(Aveia!$E80:$Z80,MIN(AK$6-$G$3,22))&lt;&gt;""),Aveia!$E80:INDEX(Aveia!$E80:$Z80,MIN(AK$6-$G$3,22))),0)))))</f>
        <v>0</v>
      </c>
      <c r="AL82" s="27" t="n">
        <f aca="false">IF(COUNT(Aveia!$E80:$Z80)=0,0,MAX(0,IF((AL$6-$E$3)&lt;1,0,IFERROR(LOOKUP(2,1/(Aveia!$E80:INDEX(Aveia!$E80:$Z80,MIN(AL$6-$E$3,22))&lt;&gt;""),Aveia!$E80:INDEX(Aveia!$E80:$Z80,MIN(AL$6-$E$3,22))),0))-IF($G$2,0,IF((AL$6-$G$3)&lt;1,0,IFERROR(LOOKUP(2,1/(Aveia!$E80:INDEX(Aveia!$E80:$Z80,MIN(AL$6-$G$3,22))&lt;&gt;""),Aveia!$E80:INDEX(Aveia!$E80:$Z80,MIN(AL$6-$G$3,22))),0)))))</f>
        <v>0</v>
      </c>
      <c r="AM82" s="27" t="n">
        <f aca="false">IF(COUNT(Aveia!$E80:$Z80)=0,0,MAX(0,IF((AM$6-$E$3)&lt;1,0,IFERROR(LOOKUP(2,1/(Aveia!$E80:INDEX(Aveia!$E80:$Z80,MIN(AM$6-$E$3,22))&lt;&gt;""),Aveia!$E80:INDEX(Aveia!$E80:$Z80,MIN(AM$6-$E$3,22))),0))-IF($G$2,0,IF((AM$6-$G$3)&lt;1,0,IFERROR(LOOKUP(2,1/(Aveia!$E80:INDEX(Aveia!$E80:$Z80,MIN(AM$6-$G$3,22))&lt;&gt;""),Aveia!$E80:INDEX(Aveia!$E80:$Z80,MIN(AM$6-$G$3,22))),0)))))</f>
        <v>0</v>
      </c>
      <c r="AN82" s="27" t="n">
        <f aca="false">IF(COUNT(Aveia!$E80:$Z80)=0,0,MAX(0,IF((AN$6-$E$3)&lt;1,0,IFERROR(LOOKUP(2,1/(Aveia!$E80:INDEX(Aveia!$E80:$Z80,MIN(AN$6-$E$3,22))&lt;&gt;""),Aveia!$E80:INDEX(Aveia!$E80:$Z80,MIN(AN$6-$E$3,22))),0))-IF($G$2,0,IF((AN$6-$G$3)&lt;1,0,IFERROR(LOOKUP(2,1/(Aveia!$E80:INDEX(Aveia!$E80:$Z80,MIN(AN$6-$G$3,22))&lt;&gt;""),Aveia!$E80:INDEX(Aveia!$E80:$Z80,MIN(AN$6-$G$3,22))),0)))))</f>
        <v>0</v>
      </c>
      <c r="AO82" s="27" t="n">
        <f aca="false">IF(COUNT(Aveia!$E80:$Z80)=0,0,MAX(0,IF((AO$6-$E$3)&lt;1,0,IFERROR(LOOKUP(2,1/(Aveia!$E80:INDEX(Aveia!$E80:$Z80,MIN(AO$6-$E$3,22))&lt;&gt;""),Aveia!$E80:INDEX(Aveia!$E80:$Z80,MIN(AO$6-$E$3,22))),0))-IF($G$2,0,IF((AO$6-$G$3)&lt;1,0,IFERROR(LOOKUP(2,1/(Aveia!$E80:INDEX(Aveia!$E80:$Z80,MIN(AO$6-$G$3,22))&lt;&gt;""),Aveia!$E80:INDEX(Aveia!$E80:$Z80,MIN(AO$6-$G$3,22))),0)))))</f>
        <v>0</v>
      </c>
      <c r="AP82" s="27" t="n">
        <f aca="false">IF(COUNT(Aveia!$E80:$Z80)=0,0,MAX(0,IF((AP$6-$E$3)&lt;1,0,IFERROR(LOOKUP(2,1/(Aveia!$E80:INDEX(Aveia!$E80:$Z80,MIN(AP$6-$E$3,22))&lt;&gt;""),Aveia!$E80:INDEX(Aveia!$E80:$Z80,MIN(AP$6-$E$3,22))),0))-IF($G$2,0,IF((AP$6-$G$3)&lt;1,0,IFERROR(LOOKUP(2,1/(Aveia!$E80:INDEX(Aveia!$E80:$Z80,MIN(AP$6-$G$3,22))&lt;&gt;""),Aveia!$E80:INDEX(Aveia!$E80:$Z80,MIN(AP$6-$G$3,22))),0)))))</f>
        <v>0</v>
      </c>
      <c r="AQ82" s="27" t="n">
        <f aca="false">IF(COUNT(Aveia!$E80:$Z80)=0,0,MAX(0,IF((AQ$6-$E$3)&lt;1,0,IFERROR(LOOKUP(2,1/(Aveia!$E80:INDEX(Aveia!$E80:$Z80,MIN(AQ$6-$E$3,22))&lt;&gt;""),Aveia!$E80:INDEX(Aveia!$E80:$Z80,MIN(AQ$6-$E$3,22))),0))-IF($G$2,0,IF((AQ$6-$G$3)&lt;1,0,IFERROR(LOOKUP(2,1/(Aveia!$E80:INDEX(Aveia!$E80:$Z80,MIN(AQ$6-$G$3,22))&lt;&gt;""),Aveia!$E80:INDEX(Aveia!$E80:$Z80,MIN(AQ$6-$G$3,22))),0)))))</f>
        <v>0</v>
      </c>
      <c r="AR82" s="27" t="n">
        <f aca="false">IF(COUNT(Aveia!$E80:$Z80)=0,0,MAX(0,IF((AR$6-$E$3)&lt;1,0,IFERROR(LOOKUP(2,1/(Aveia!$E80:INDEX(Aveia!$E80:$Z80,MIN(AR$6-$E$3,22))&lt;&gt;""),Aveia!$E80:INDEX(Aveia!$E80:$Z80,MIN(AR$6-$E$3,22))),0))-IF($G$2,0,IF((AR$6-$G$3)&lt;1,0,IFERROR(LOOKUP(2,1/(Aveia!$E80:INDEX(Aveia!$E80:$Z80,MIN(AR$6-$G$3,22))&lt;&gt;""),Aveia!$E80:INDEX(Aveia!$E80:$Z80,MIN(AR$6-$G$3,22))),0)))))</f>
        <v>0</v>
      </c>
      <c r="AS82" s="27" t="n">
        <f aca="false">IF(COUNT(Aveia!$E80:$Z80)=0,0,MAX(0,IF((AS$6-$E$3)&lt;1,0,IFERROR(LOOKUP(2,1/(Aveia!$E80:INDEX(Aveia!$E80:$Z80,MIN(AS$6-$E$3,22))&lt;&gt;""),Aveia!$E80:INDEX(Aveia!$E80:$Z80,MIN(AS$6-$E$3,22))),0))-IF($G$2,0,IF((AS$6-$G$3)&lt;1,0,IFERROR(LOOKUP(2,1/(Aveia!$E80:INDEX(Aveia!$E80:$Z80,MIN(AS$6-$G$3,22))&lt;&gt;""),Aveia!$E80:INDEX(Aveia!$E80:$Z80,MIN(AS$6-$G$3,22))),0)))))</f>
        <v>0</v>
      </c>
      <c r="AT82" s="27" t="n">
        <f aca="false">IF(COUNT(Aveia!$E80:$Z80)=0,0,MAX(0,IF((AT$6-$E$3)&lt;1,0,IFERROR(LOOKUP(2,1/(Aveia!$E80:INDEX(Aveia!$E80:$Z80,MIN(AT$6-$E$3,22))&lt;&gt;""),Aveia!$E80:INDEX(Aveia!$E80:$Z80,MIN(AT$6-$E$3,22))),0))-IF($G$2,0,IF((AT$6-$G$3)&lt;1,0,IFERROR(LOOKUP(2,1/(Aveia!$E80:INDEX(Aveia!$E80:$Z80,MIN(AT$6-$G$3,22))&lt;&gt;""),Aveia!$E80:INDEX(Aveia!$E80:$Z80,MIN(AT$6-$G$3,22))),0)))))</f>
        <v>0</v>
      </c>
      <c r="AU82" s="27" t="n">
        <f aca="false">IF(COUNT(Aveia!$E80:$Z80)=0,0,MAX(0,IF((AU$6-$E$3)&lt;1,0,IFERROR(LOOKUP(2,1/(Aveia!$E80:INDEX(Aveia!$E80:$Z80,MIN(AU$6-$E$3,22))&lt;&gt;""),Aveia!$E80:INDEX(Aveia!$E80:$Z80,MIN(AU$6-$E$3,22))),0))-IF($G$2,0,IF((AU$6-$G$3)&lt;1,0,IFERROR(LOOKUP(2,1/(Aveia!$E80:INDEX(Aveia!$E80:$Z80,MIN(AU$6-$G$3,22))&lt;&gt;""),Aveia!$E80:INDEX(Aveia!$E80:$Z80,MIN(AU$6-$G$3,22))),0)))))</f>
        <v>0</v>
      </c>
      <c r="AV82" s="27" t="n">
        <f aca="false">IF(COUNT(Aveia!$E80:$Z80)=0,0,MAX(0,IF((AV$6-$E$3)&lt;1,0,IFERROR(LOOKUP(2,1/(Aveia!$E80:INDEX(Aveia!$E80:$Z80,MIN(AV$6-$E$3,22))&lt;&gt;""),Aveia!$E80:INDEX(Aveia!$E80:$Z80,MIN(AV$6-$E$3,22))),0))-IF($G$2,0,IF((AV$6-$G$3)&lt;1,0,IFERROR(LOOKUP(2,1/(Aveia!$E80:INDEX(Aveia!$E80:$Z80,MIN(AV$6-$G$3,22))&lt;&gt;""),Aveia!$E80:INDEX(Aveia!$E80:$Z80,MIN(AV$6-$G$3,22))),0)))))</f>
        <v>0</v>
      </c>
      <c r="AW82" s="27" t="n">
        <f aca="false">IF(COUNT(Aveia!$E80:$Z80)=0,0,MAX(0,IF((AW$6-$E$3)&lt;1,0,IFERROR(LOOKUP(2,1/(Aveia!$E80:INDEX(Aveia!$E80:$Z80,MIN(AW$6-$E$3,22))&lt;&gt;""),Aveia!$E80:INDEX(Aveia!$E80:$Z80,MIN(AW$6-$E$3,22))),0))-IF($G$2,0,IF((AW$6-$G$3)&lt;1,0,IFERROR(LOOKUP(2,1/(Aveia!$E80:INDEX(Aveia!$E80:$Z80,MIN(AW$6-$G$3,22))&lt;&gt;""),Aveia!$E80:INDEX(Aveia!$E80:$Z80,MIN(AW$6-$G$3,22))),0)))))</f>
        <v>0</v>
      </c>
      <c r="AX82" s="27" t="n">
        <f aca="false">IF(COUNT(Aveia!$E80:$Z80)=0,0,MAX(0,IF((AX$6-$E$3)&lt;1,0,IFERROR(LOOKUP(2,1/(Aveia!$E80:INDEX(Aveia!$E80:$Z80,MIN(AX$6-$E$3,22))&lt;&gt;""),Aveia!$E80:INDEX(Aveia!$E80:$Z80,MIN(AX$6-$E$3,22))),0))-IF($G$2,0,IF((AX$6-$G$3)&lt;1,0,IFERROR(LOOKUP(2,1/(Aveia!$E80:INDEX(Aveia!$E80:$Z80,MIN(AX$6-$G$3,22))&lt;&gt;""),Aveia!$E80:INDEX(Aveia!$E80:$Z80,MIN(AX$6-$G$3,22))),0)))))</f>
        <v>0</v>
      </c>
      <c r="AY82" s="27" t="n">
        <f aca="false">IF(COUNT(Aveia!$E80:$Z80)=0,0,MAX(0,IF((AY$6-$E$3)&lt;1,0,IFERROR(LOOKUP(2,1/(Aveia!$E80:INDEX(Aveia!$E80:$Z80,MIN(AY$6-$E$3,22))&lt;&gt;""),Aveia!$E80:INDEX(Aveia!$E80:$Z80,MIN(AY$6-$E$3,22))),0))-IF($G$2,0,IF((AY$6-$G$3)&lt;1,0,IFERROR(LOOKUP(2,1/(Aveia!$E80:INDEX(Aveia!$E80:$Z80,MIN(AY$6-$G$3,22))&lt;&gt;""),Aveia!$E80:INDEX(Aveia!$E80:$Z80,MIN(AY$6-$G$3,22))),0)))))</f>
        <v>0</v>
      </c>
      <c r="AZ82" s="27" t="n">
        <f aca="false">IF(COUNT(Aveia!$E80:$Z80)=0,0,MAX(0,IF((AZ$6-$E$3)&lt;1,0,IFERROR(LOOKUP(2,1/(Aveia!$E80:INDEX(Aveia!$E80:$Z80,MIN(AZ$6-$E$3,22))&lt;&gt;""),Aveia!$E80:INDEX(Aveia!$E80:$Z80,MIN(AZ$6-$E$3,22))),0))-IF($G$2,0,IF((AZ$6-$G$3)&lt;1,0,IFERROR(LOOKUP(2,1/(Aveia!$E80:INDEX(Aveia!$E80:$Z80,MIN(AZ$6-$G$3,22))&lt;&gt;""),Aveia!$E80:INDEX(Aveia!$E80:$Z80,MIN(AZ$6-$G$3,22))),0)))))</f>
        <v>0</v>
      </c>
    </row>
    <row r="83" customFormat="false" ht="15" hidden="false" customHeight="false" outlineLevel="0" collapsed="false">
      <c r="A83" s="3" t="s">
        <v>284</v>
      </c>
      <c r="B83" s="3" t="s">
        <v>285</v>
      </c>
      <c r="C83" s="10" t="s">
        <v>155</v>
      </c>
      <c r="D83" s="26" t="n">
        <f aca="false">IF(COUNT(Aveia!$E81:$Z81)&gt;0,N(Aveia!$D81),0)</f>
        <v>0</v>
      </c>
      <c r="E83" s="27" t="n">
        <f aca="false">IF(COUNT(Aveia!$E81:$Z81)=0,0,MAX(0,IF((E$6-$E$3)&lt;1,0,IFERROR(LOOKUP(2,1/(Aveia!$E81:INDEX(Aveia!$E81:$Z81,MIN(E$6-$E$3,22))&lt;&gt;""),Aveia!$E81:INDEX(Aveia!$E81:$Z81,MIN(E$6-$E$3,22))),0))-IF($G$2,0,IF((E$6-$G$3)&lt;1,0,IFERROR(LOOKUP(2,1/(Aveia!$E81:INDEX(Aveia!$E81:$Z81,MIN(E$6-$G$3,22))&lt;&gt;""),Aveia!$E81:INDEX(Aveia!$E81:$Z81,MIN(E$6-$G$3,22))),0)))))</f>
        <v>0</v>
      </c>
      <c r="F83" s="27" t="n">
        <f aca="false">IF(COUNT(Aveia!$E81:$Z81)=0,0,MAX(0,IF((F$6-$E$3)&lt;1,0,IFERROR(LOOKUP(2,1/(Aveia!$E81:INDEX(Aveia!$E81:$Z81,MIN(F$6-$E$3,22))&lt;&gt;""),Aveia!$E81:INDEX(Aveia!$E81:$Z81,MIN(F$6-$E$3,22))),0))-IF($G$2,0,IF((F$6-$G$3)&lt;1,0,IFERROR(LOOKUP(2,1/(Aveia!$E81:INDEX(Aveia!$E81:$Z81,MIN(F$6-$G$3,22))&lt;&gt;""),Aveia!$E81:INDEX(Aveia!$E81:$Z81,MIN(F$6-$G$3,22))),0)))))</f>
        <v>0</v>
      </c>
      <c r="G83" s="27" t="n">
        <f aca="false">IF(COUNT(Aveia!$E81:$Z81)=0,0,MAX(0,IF((G$6-$E$3)&lt;1,0,IFERROR(LOOKUP(2,1/(Aveia!$E81:INDEX(Aveia!$E81:$Z81,MIN(G$6-$E$3,22))&lt;&gt;""),Aveia!$E81:INDEX(Aveia!$E81:$Z81,MIN(G$6-$E$3,22))),0))-IF($G$2,0,IF((G$6-$G$3)&lt;1,0,IFERROR(LOOKUP(2,1/(Aveia!$E81:INDEX(Aveia!$E81:$Z81,MIN(G$6-$G$3,22))&lt;&gt;""),Aveia!$E81:INDEX(Aveia!$E81:$Z81,MIN(G$6-$G$3,22))),0)))))</f>
        <v>0</v>
      </c>
      <c r="H83" s="27" t="n">
        <f aca="false">IF(COUNT(Aveia!$E81:$Z81)=0,0,MAX(0,IF((H$6-$E$3)&lt;1,0,IFERROR(LOOKUP(2,1/(Aveia!$E81:INDEX(Aveia!$E81:$Z81,MIN(H$6-$E$3,22))&lt;&gt;""),Aveia!$E81:INDEX(Aveia!$E81:$Z81,MIN(H$6-$E$3,22))),0))-IF($G$2,0,IF((H$6-$G$3)&lt;1,0,IFERROR(LOOKUP(2,1/(Aveia!$E81:INDEX(Aveia!$E81:$Z81,MIN(H$6-$G$3,22))&lt;&gt;""),Aveia!$E81:INDEX(Aveia!$E81:$Z81,MIN(H$6-$G$3,22))),0)))))</f>
        <v>0</v>
      </c>
      <c r="I83" s="27" t="n">
        <f aca="false">IF(COUNT(Aveia!$E81:$Z81)=0,0,MAX(0,IF((I$6-$E$3)&lt;1,0,IFERROR(LOOKUP(2,1/(Aveia!$E81:INDEX(Aveia!$E81:$Z81,MIN(I$6-$E$3,22))&lt;&gt;""),Aveia!$E81:INDEX(Aveia!$E81:$Z81,MIN(I$6-$E$3,22))),0))-IF($G$2,0,IF((I$6-$G$3)&lt;1,0,IFERROR(LOOKUP(2,1/(Aveia!$E81:INDEX(Aveia!$E81:$Z81,MIN(I$6-$G$3,22))&lt;&gt;""),Aveia!$E81:INDEX(Aveia!$E81:$Z81,MIN(I$6-$G$3,22))),0)))))</f>
        <v>0</v>
      </c>
      <c r="J83" s="27" t="n">
        <f aca="false">IF(COUNT(Aveia!$E81:$Z81)=0,0,MAX(0,IF((J$6-$E$3)&lt;1,0,IFERROR(LOOKUP(2,1/(Aveia!$E81:INDEX(Aveia!$E81:$Z81,MIN(J$6-$E$3,22))&lt;&gt;""),Aveia!$E81:INDEX(Aveia!$E81:$Z81,MIN(J$6-$E$3,22))),0))-IF($G$2,0,IF((J$6-$G$3)&lt;1,0,IFERROR(LOOKUP(2,1/(Aveia!$E81:INDEX(Aveia!$E81:$Z81,MIN(J$6-$G$3,22))&lt;&gt;""),Aveia!$E81:INDEX(Aveia!$E81:$Z81,MIN(J$6-$G$3,22))),0)))))</f>
        <v>0</v>
      </c>
      <c r="K83" s="27" t="n">
        <f aca="false">IF(COUNT(Aveia!$E81:$Z81)=0,0,MAX(0,IF((K$6-$E$3)&lt;1,0,IFERROR(LOOKUP(2,1/(Aveia!$E81:INDEX(Aveia!$E81:$Z81,MIN(K$6-$E$3,22))&lt;&gt;""),Aveia!$E81:INDEX(Aveia!$E81:$Z81,MIN(K$6-$E$3,22))),0))-IF($G$2,0,IF((K$6-$G$3)&lt;1,0,IFERROR(LOOKUP(2,1/(Aveia!$E81:INDEX(Aveia!$E81:$Z81,MIN(K$6-$G$3,22))&lt;&gt;""),Aveia!$E81:INDEX(Aveia!$E81:$Z81,MIN(K$6-$G$3,22))),0)))))</f>
        <v>0</v>
      </c>
      <c r="L83" s="27" t="n">
        <f aca="false">IF(COUNT(Aveia!$E81:$Z81)=0,0,MAX(0,IF((L$6-$E$3)&lt;1,0,IFERROR(LOOKUP(2,1/(Aveia!$E81:INDEX(Aveia!$E81:$Z81,MIN(L$6-$E$3,22))&lt;&gt;""),Aveia!$E81:INDEX(Aveia!$E81:$Z81,MIN(L$6-$E$3,22))),0))-IF($G$2,0,IF((L$6-$G$3)&lt;1,0,IFERROR(LOOKUP(2,1/(Aveia!$E81:INDEX(Aveia!$E81:$Z81,MIN(L$6-$G$3,22))&lt;&gt;""),Aveia!$E81:INDEX(Aveia!$E81:$Z81,MIN(L$6-$G$3,22))),0)))))</f>
        <v>0</v>
      </c>
      <c r="M83" s="27" t="n">
        <f aca="false">IF(COUNT(Aveia!$E81:$Z81)=0,0,MAX(0,IF((M$6-$E$3)&lt;1,0,IFERROR(LOOKUP(2,1/(Aveia!$E81:INDEX(Aveia!$E81:$Z81,MIN(M$6-$E$3,22))&lt;&gt;""),Aveia!$E81:INDEX(Aveia!$E81:$Z81,MIN(M$6-$E$3,22))),0))-IF($G$2,0,IF((M$6-$G$3)&lt;1,0,IFERROR(LOOKUP(2,1/(Aveia!$E81:INDEX(Aveia!$E81:$Z81,MIN(M$6-$G$3,22))&lt;&gt;""),Aveia!$E81:INDEX(Aveia!$E81:$Z81,MIN(M$6-$G$3,22))),0)))))</f>
        <v>0</v>
      </c>
      <c r="N83" s="27" t="n">
        <f aca="false">IF(COUNT(Aveia!$E81:$Z81)=0,0,MAX(0,IF((N$6-$E$3)&lt;1,0,IFERROR(LOOKUP(2,1/(Aveia!$E81:INDEX(Aveia!$E81:$Z81,MIN(N$6-$E$3,22))&lt;&gt;""),Aveia!$E81:INDEX(Aveia!$E81:$Z81,MIN(N$6-$E$3,22))),0))-IF($G$2,0,IF((N$6-$G$3)&lt;1,0,IFERROR(LOOKUP(2,1/(Aveia!$E81:INDEX(Aveia!$E81:$Z81,MIN(N$6-$G$3,22))&lt;&gt;""),Aveia!$E81:INDEX(Aveia!$E81:$Z81,MIN(N$6-$G$3,22))),0)))))</f>
        <v>0</v>
      </c>
      <c r="O83" s="27" t="n">
        <f aca="false">IF(COUNT(Aveia!$E81:$Z81)=0,0,MAX(0,IF((O$6-$E$3)&lt;1,0,IFERROR(LOOKUP(2,1/(Aveia!$E81:INDEX(Aveia!$E81:$Z81,MIN(O$6-$E$3,22))&lt;&gt;""),Aveia!$E81:INDEX(Aveia!$E81:$Z81,MIN(O$6-$E$3,22))),0))-IF($G$2,0,IF((O$6-$G$3)&lt;1,0,IFERROR(LOOKUP(2,1/(Aveia!$E81:INDEX(Aveia!$E81:$Z81,MIN(O$6-$G$3,22))&lt;&gt;""),Aveia!$E81:INDEX(Aveia!$E81:$Z81,MIN(O$6-$G$3,22))),0)))))</f>
        <v>0</v>
      </c>
      <c r="P83" s="27" t="n">
        <f aca="false">IF(COUNT(Aveia!$E81:$Z81)=0,0,MAX(0,IF((P$6-$E$3)&lt;1,0,IFERROR(LOOKUP(2,1/(Aveia!$E81:INDEX(Aveia!$E81:$Z81,MIN(P$6-$E$3,22))&lt;&gt;""),Aveia!$E81:INDEX(Aveia!$E81:$Z81,MIN(P$6-$E$3,22))),0))-IF($G$2,0,IF((P$6-$G$3)&lt;1,0,IFERROR(LOOKUP(2,1/(Aveia!$E81:INDEX(Aveia!$E81:$Z81,MIN(P$6-$G$3,22))&lt;&gt;""),Aveia!$E81:INDEX(Aveia!$E81:$Z81,MIN(P$6-$G$3,22))),0)))))</f>
        <v>0</v>
      </c>
      <c r="Q83" s="27" t="n">
        <f aca="false">IF(COUNT(Aveia!$E81:$Z81)=0,0,MAX(0,IF((Q$6-$E$3)&lt;1,0,IFERROR(LOOKUP(2,1/(Aveia!$E81:INDEX(Aveia!$E81:$Z81,MIN(Q$6-$E$3,22))&lt;&gt;""),Aveia!$E81:INDEX(Aveia!$E81:$Z81,MIN(Q$6-$E$3,22))),0))-IF($G$2,0,IF((Q$6-$G$3)&lt;1,0,IFERROR(LOOKUP(2,1/(Aveia!$E81:INDEX(Aveia!$E81:$Z81,MIN(Q$6-$G$3,22))&lt;&gt;""),Aveia!$E81:INDEX(Aveia!$E81:$Z81,MIN(Q$6-$G$3,22))),0)))))</f>
        <v>0</v>
      </c>
      <c r="R83" s="27" t="n">
        <f aca="false">IF(COUNT(Aveia!$E81:$Z81)=0,0,MAX(0,IF((R$6-$E$3)&lt;1,0,IFERROR(LOOKUP(2,1/(Aveia!$E81:INDEX(Aveia!$E81:$Z81,MIN(R$6-$E$3,22))&lt;&gt;""),Aveia!$E81:INDEX(Aveia!$E81:$Z81,MIN(R$6-$E$3,22))),0))-IF($G$2,0,IF((R$6-$G$3)&lt;1,0,IFERROR(LOOKUP(2,1/(Aveia!$E81:INDEX(Aveia!$E81:$Z81,MIN(R$6-$G$3,22))&lt;&gt;""),Aveia!$E81:INDEX(Aveia!$E81:$Z81,MIN(R$6-$G$3,22))),0)))))</f>
        <v>0</v>
      </c>
      <c r="S83" s="27" t="n">
        <f aca="false">IF(COUNT(Aveia!$E81:$Z81)=0,0,MAX(0,IF((S$6-$E$3)&lt;1,0,IFERROR(LOOKUP(2,1/(Aveia!$E81:INDEX(Aveia!$E81:$Z81,MIN(S$6-$E$3,22))&lt;&gt;""),Aveia!$E81:INDEX(Aveia!$E81:$Z81,MIN(S$6-$E$3,22))),0))-IF($G$2,0,IF((S$6-$G$3)&lt;1,0,IFERROR(LOOKUP(2,1/(Aveia!$E81:INDEX(Aveia!$E81:$Z81,MIN(S$6-$G$3,22))&lt;&gt;""),Aveia!$E81:INDEX(Aveia!$E81:$Z81,MIN(S$6-$G$3,22))),0)))))</f>
        <v>0</v>
      </c>
      <c r="T83" s="27" t="n">
        <f aca="false">IF(COUNT(Aveia!$E81:$Z81)=0,0,MAX(0,IF((T$6-$E$3)&lt;1,0,IFERROR(LOOKUP(2,1/(Aveia!$E81:INDEX(Aveia!$E81:$Z81,MIN(T$6-$E$3,22))&lt;&gt;""),Aveia!$E81:INDEX(Aveia!$E81:$Z81,MIN(T$6-$E$3,22))),0))-IF($G$2,0,IF((T$6-$G$3)&lt;1,0,IFERROR(LOOKUP(2,1/(Aveia!$E81:INDEX(Aveia!$E81:$Z81,MIN(T$6-$G$3,22))&lt;&gt;""),Aveia!$E81:INDEX(Aveia!$E81:$Z81,MIN(T$6-$G$3,22))),0)))))</f>
        <v>0</v>
      </c>
      <c r="U83" s="27" t="n">
        <f aca="false">IF(COUNT(Aveia!$E81:$Z81)=0,0,MAX(0,IF((U$6-$E$3)&lt;1,0,IFERROR(LOOKUP(2,1/(Aveia!$E81:INDEX(Aveia!$E81:$Z81,MIN(U$6-$E$3,22))&lt;&gt;""),Aveia!$E81:INDEX(Aveia!$E81:$Z81,MIN(U$6-$E$3,22))),0))-IF($G$2,0,IF((U$6-$G$3)&lt;1,0,IFERROR(LOOKUP(2,1/(Aveia!$E81:INDEX(Aveia!$E81:$Z81,MIN(U$6-$G$3,22))&lt;&gt;""),Aveia!$E81:INDEX(Aveia!$E81:$Z81,MIN(U$6-$G$3,22))),0)))))</f>
        <v>0</v>
      </c>
      <c r="V83" s="27" t="n">
        <f aca="false">IF(COUNT(Aveia!$E81:$Z81)=0,0,MAX(0,IF((V$6-$E$3)&lt;1,0,IFERROR(LOOKUP(2,1/(Aveia!$E81:INDEX(Aveia!$E81:$Z81,MIN(V$6-$E$3,22))&lt;&gt;""),Aveia!$E81:INDEX(Aveia!$E81:$Z81,MIN(V$6-$E$3,22))),0))-IF($G$2,0,IF((V$6-$G$3)&lt;1,0,IFERROR(LOOKUP(2,1/(Aveia!$E81:INDEX(Aveia!$E81:$Z81,MIN(V$6-$G$3,22))&lt;&gt;""),Aveia!$E81:INDEX(Aveia!$E81:$Z81,MIN(V$6-$G$3,22))),0)))))</f>
        <v>0</v>
      </c>
      <c r="W83" s="27" t="n">
        <f aca="false">IF(COUNT(Aveia!$E81:$Z81)=0,0,MAX(0,IF((W$6-$E$3)&lt;1,0,IFERROR(LOOKUP(2,1/(Aveia!$E81:INDEX(Aveia!$E81:$Z81,MIN(W$6-$E$3,22))&lt;&gt;""),Aveia!$E81:INDEX(Aveia!$E81:$Z81,MIN(W$6-$E$3,22))),0))-IF($G$2,0,IF((W$6-$G$3)&lt;1,0,IFERROR(LOOKUP(2,1/(Aveia!$E81:INDEX(Aveia!$E81:$Z81,MIN(W$6-$G$3,22))&lt;&gt;""),Aveia!$E81:INDEX(Aveia!$E81:$Z81,MIN(W$6-$G$3,22))),0)))))</f>
        <v>0</v>
      </c>
      <c r="X83" s="27" t="n">
        <f aca="false">IF(COUNT(Aveia!$E81:$Z81)=0,0,MAX(0,IF((X$6-$E$3)&lt;1,0,IFERROR(LOOKUP(2,1/(Aveia!$E81:INDEX(Aveia!$E81:$Z81,MIN(X$6-$E$3,22))&lt;&gt;""),Aveia!$E81:INDEX(Aveia!$E81:$Z81,MIN(X$6-$E$3,22))),0))-IF($G$2,0,IF((X$6-$G$3)&lt;1,0,IFERROR(LOOKUP(2,1/(Aveia!$E81:INDEX(Aveia!$E81:$Z81,MIN(X$6-$G$3,22))&lt;&gt;""),Aveia!$E81:INDEX(Aveia!$E81:$Z81,MIN(X$6-$G$3,22))),0)))))</f>
        <v>0</v>
      </c>
      <c r="Y83" s="27" t="n">
        <f aca="false">IF(COUNT(Aveia!$E81:$Z81)=0,0,MAX(0,IF((Y$6-$E$3)&lt;1,0,IFERROR(LOOKUP(2,1/(Aveia!$E81:INDEX(Aveia!$E81:$Z81,MIN(Y$6-$E$3,22))&lt;&gt;""),Aveia!$E81:INDEX(Aveia!$E81:$Z81,MIN(Y$6-$E$3,22))),0))-IF($G$2,0,IF((Y$6-$G$3)&lt;1,0,IFERROR(LOOKUP(2,1/(Aveia!$E81:INDEX(Aveia!$E81:$Z81,MIN(Y$6-$G$3,22))&lt;&gt;""),Aveia!$E81:INDEX(Aveia!$E81:$Z81,MIN(Y$6-$G$3,22))),0)))))</f>
        <v>0</v>
      </c>
      <c r="Z83" s="27" t="n">
        <f aca="false">IF(COUNT(Aveia!$E81:$Z81)=0,0,MAX(0,IF((Z$6-$E$3)&lt;1,0,IFERROR(LOOKUP(2,1/(Aveia!$E81:INDEX(Aveia!$E81:$Z81,MIN(Z$6-$E$3,22))&lt;&gt;""),Aveia!$E81:INDEX(Aveia!$E81:$Z81,MIN(Z$6-$E$3,22))),0))-IF($G$2,0,IF((Z$6-$G$3)&lt;1,0,IFERROR(LOOKUP(2,1/(Aveia!$E81:INDEX(Aveia!$E81:$Z81,MIN(Z$6-$G$3,22))&lt;&gt;""),Aveia!$E81:INDEX(Aveia!$E81:$Z81,MIN(Z$6-$G$3,22))),0)))))</f>
        <v>0</v>
      </c>
      <c r="AA83" s="27" t="n">
        <f aca="false">IF(COUNT(Aveia!$E81:$Z81)=0,0,MAX(0,IF((AA$6-$E$3)&lt;1,0,IFERROR(LOOKUP(2,1/(Aveia!$E81:INDEX(Aveia!$E81:$Z81,MIN(AA$6-$E$3,22))&lt;&gt;""),Aveia!$E81:INDEX(Aveia!$E81:$Z81,MIN(AA$6-$E$3,22))),0))-IF($G$2,0,IF((AA$6-$G$3)&lt;1,0,IFERROR(LOOKUP(2,1/(Aveia!$E81:INDEX(Aveia!$E81:$Z81,MIN(AA$6-$G$3,22))&lt;&gt;""),Aveia!$E81:INDEX(Aveia!$E81:$Z81,MIN(AA$6-$G$3,22))),0)))))</f>
        <v>0</v>
      </c>
      <c r="AB83" s="27" t="n">
        <f aca="false">IF(COUNT(Aveia!$E81:$Z81)=0,0,MAX(0,IF((AB$6-$E$3)&lt;1,0,IFERROR(LOOKUP(2,1/(Aveia!$E81:INDEX(Aveia!$E81:$Z81,MIN(AB$6-$E$3,22))&lt;&gt;""),Aveia!$E81:INDEX(Aveia!$E81:$Z81,MIN(AB$6-$E$3,22))),0))-IF($G$2,0,IF((AB$6-$G$3)&lt;1,0,IFERROR(LOOKUP(2,1/(Aveia!$E81:INDEX(Aveia!$E81:$Z81,MIN(AB$6-$G$3,22))&lt;&gt;""),Aveia!$E81:INDEX(Aveia!$E81:$Z81,MIN(AB$6-$G$3,22))),0)))))</f>
        <v>0</v>
      </c>
      <c r="AC83" s="27" t="n">
        <f aca="false">IF(COUNT(Aveia!$E81:$Z81)=0,0,MAX(0,IF((AC$6-$E$3)&lt;1,0,IFERROR(LOOKUP(2,1/(Aveia!$E81:INDEX(Aveia!$E81:$Z81,MIN(AC$6-$E$3,22))&lt;&gt;""),Aveia!$E81:INDEX(Aveia!$E81:$Z81,MIN(AC$6-$E$3,22))),0))-IF($G$2,0,IF((AC$6-$G$3)&lt;1,0,IFERROR(LOOKUP(2,1/(Aveia!$E81:INDEX(Aveia!$E81:$Z81,MIN(AC$6-$G$3,22))&lt;&gt;""),Aveia!$E81:INDEX(Aveia!$E81:$Z81,MIN(AC$6-$G$3,22))),0)))))</f>
        <v>0</v>
      </c>
      <c r="AD83" s="27" t="n">
        <f aca="false">IF(COUNT(Aveia!$E81:$Z81)=0,0,MAX(0,IF((AD$6-$E$3)&lt;1,0,IFERROR(LOOKUP(2,1/(Aveia!$E81:INDEX(Aveia!$E81:$Z81,MIN(AD$6-$E$3,22))&lt;&gt;""),Aveia!$E81:INDEX(Aveia!$E81:$Z81,MIN(AD$6-$E$3,22))),0))-IF($G$2,0,IF((AD$6-$G$3)&lt;1,0,IFERROR(LOOKUP(2,1/(Aveia!$E81:INDEX(Aveia!$E81:$Z81,MIN(AD$6-$G$3,22))&lt;&gt;""),Aveia!$E81:INDEX(Aveia!$E81:$Z81,MIN(AD$6-$G$3,22))),0)))))</f>
        <v>0</v>
      </c>
      <c r="AE83" s="27" t="n">
        <f aca="false">IF(COUNT(Aveia!$E81:$Z81)=0,0,MAX(0,IF((AE$6-$E$3)&lt;1,0,IFERROR(LOOKUP(2,1/(Aveia!$E81:INDEX(Aveia!$E81:$Z81,MIN(AE$6-$E$3,22))&lt;&gt;""),Aveia!$E81:INDEX(Aveia!$E81:$Z81,MIN(AE$6-$E$3,22))),0))-IF($G$2,0,IF((AE$6-$G$3)&lt;1,0,IFERROR(LOOKUP(2,1/(Aveia!$E81:INDEX(Aveia!$E81:$Z81,MIN(AE$6-$G$3,22))&lt;&gt;""),Aveia!$E81:INDEX(Aveia!$E81:$Z81,MIN(AE$6-$G$3,22))),0)))))</f>
        <v>0</v>
      </c>
      <c r="AF83" s="27" t="n">
        <f aca="false">IF(COUNT(Aveia!$E81:$Z81)=0,0,MAX(0,IF((AF$6-$E$3)&lt;1,0,IFERROR(LOOKUP(2,1/(Aveia!$E81:INDEX(Aveia!$E81:$Z81,MIN(AF$6-$E$3,22))&lt;&gt;""),Aveia!$E81:INDEX(Aveia!$E81:$Z81,MIN(AF$6-$E$3,22))),0))-IF($G$2,0,IF((AF$6-$G$3)&lt;1,0,IFERROR(LOOKUP(2,1/(Aveia!$E81:INDEX(Aveia!$E81:$Z81,MIN(AF$6-$G$3,22))&lt;&gt;""),Aveia!$E81:INDEX(Aveia!$E81:$Z81,MIN(AF$6-$G$3,22))),0)))))</f>
        <v>0</v>
      </c>
      <c r="AG83" s="27" t="n">
        <f aca="false">IF(COUNT(Aveia!$E81:$Z81)=0,0,MAX(0,IF((AG$6-$E$3)&lt;1,0,IFERROR(LOOKUP(2,1/(Aveia!$E81:INDEX(Aveia!$E81:$Z81,MIN(AG$6-$E$3,22))&lt;&gt;""),Aveia!$E81:INDEX(Aveia!$E81:$Z81,MIN(AG$6-$E$3,22))),0))-IF($G$2,0,IF((AG$6-$G$3)&lt;1,0,IFERROR(LOOKUP(2,1/(Aveia!$E81:INDEX(Aveia!$E81:$Z81,MIN(AG$6-$G$3,22))&lt;&gt;""),Aveia!$E81:INDEX(Aveia!$E81:$Z81,MIN(AG$6-$G$3,22))),0)))))</f>
        <v>0</v>
      </c>
      <c r="AH83" s="27" t="n">
        <f aca="false">IF(COUNT(Aveia!$E81:$Z81)=0,0,MAX(0,IF((AH$6-$E$3)&lt;1,0,IFERROR(LOOKUP(2,1/(Aveia!$E81:INDEX(Aveia!$E81:$Z81,MIN(AH$6-$E$3,22))&lt;&gt;""),Aveia!$E81:INDEX(Aveia!$E81:$Z81,MIN(AH$6-$E$3,22))),0))-IF($G$2,0,IF((AH$6-$G$3)&lt;1,0,IFERROR(LOOKUP(2,1/(Aveia!$E81:INDEX(Aveia!$E81:$Z81,MIN(AH$6-$G$3,22))&lt;&gt;""),Aveia!$E81:INDEX(Aveia!$E81:$Z81,MIN(AH$6-$G$3,22))),0)))))</f>
        <v>0</v>
      </c>
      <c r="AI83" s="27" t="n">
        <f aca="false">IF(COUNT(Aveia!$E81:$Z81)=0,0,MAX(0,IF((AI$6-$E$3)&lt;1,0,IFERROR(LOOKUP(2,1/(Aveia!$E81:INDEX(Aveia!$E81:$Z81,MIN(AI$6-$E$3,22))&lt;&gt;""),Aveia!$E81:INDEX(Aveia!$E81:$Z81,MIN(AI$6-$E$3,22))),0))-IF($G$2,0,IF((AI$6-$G$3)&lt;1,0,IFERROR(LOOKUP(2,1/(Aveia!$E81:INDEX(Aveia!$E81:$Z81,MIN(AI$6-$G$3,22))&lt;&gt;""),Aveia!$E81:INDEX(Aveia!$E81:$Z81,MIN(AI$6-$G$3,22))),0)))))</f>
        <v>0</v>
      </c>
      <c r="AJ83" s="27" t="n">
        <f aca="false">IF(COUNT(Aveia!$E81:$Z81)=0,0,MAX(0,IF((AJ$6-$E$3)&lt;1,0,IFERROR(LOOKUP(2,1/(Aveia!$E81:INDEX(Aveia!$E81:$Z81,MIN(AJ$6-$E$3,22))&lt;&gt;""),Aveia!$E81:INDEX(Aveia!$E81:$Z81,MIN(AJ$6-$E$3,22))),0))-IF($G$2,0,IF((AJ$6-$G$3)&lt;1,0,IFERROR(LOOKUP(2,1/(Aveia!$E81:INDEX(Aveia!$E81:$Z81,MIN(AJ$6-$G$3,22))&lt;&gt;""),Aveia!$E81:INDEX(Aveia!$E81:$Z81,MIN(AJ$6-$G$3,22))),0)))))</f>
        <v>0</v>
      </c>
      <c r="AK83" s="27" t="n">
        <f aca="false">IF(COUNT(Aveia!$E81:$Z81)=0,0,MAX(0,IF((AK$6-$E$3)&lt;1,0,IFERROR(LOOKUP(2,1/(Aveia!$E81:INDEX(Aveia!$E81:$Z81,MIN(AK$6-$E$3,22))&lt;&gt;""),Aveia!$E81:INDEX(Aveia!$E81:$Z81,MIN(AK$6-$E$3,22))),0))-IF($G$2,0,IF((AK$6-$G$3)&lt;1,0,IFERROR(LOOKUP(2,1/(Aveia!$E81:INDEX(Aveia!$E81:$Z81,MIN(AK$6-$G$3,22))&lt;&gt;""),Aveia!$E81:INDEX(Aveia!$E81:$Z81,MIN(AK$6-$G$3,22))),0)))))</f>
        <v>0</v>
      </c>
      <c r="AL83" s="27" t="n">
        <f aca="false">IF(COUNT(Aveia!$E81:$Z81)=0,0,MAX(0,IF((AL$6-$E$3)&lt;1,0,IFERROR(LOOKUP(2,1/(Aveia!$E81:INDEX(Aveia!$E81:$Z81,MIN(AL$6-$E$3,22))&lt;&gt;""),Aveia!$E81:INDEX(Aveia!$E81:$Z81,MIN(AL$6-$E$3,22))),0))-IF($G$2,0,IF((AL$6-$G$3)&lt;1,0,IFERROR(LOOKUP(2,1/(Aveia!$E81:INDEX(Aveia!$E81:$Z81,MIN(AL$6-$G$3,22))&lt;&gt;""),Aveia!$E81:INDEX(Aveia!$E81:$Z81,MIN(AL$6-$G$3,22))),0)))))</f>
        <v>0</v>
      </c>
      <c r="AM83" s="27" t="n">
        <f aca="false">IF(COUNT(Aveia!$E81:$Z81)=0,0,MAX(0,IF((AM$6-$E$3)&lt;1,0,IFERROR(LOOKUP(2,1/(Aveia!$E81:INDEX(Aveia!$E81:$Z81,MIN(AM$6-$E$3,22))&lt;&gt;""),Aveia!$E81:INDEX(Aveia!$E81:$Z81,MIN(AM$6-$E$3,22))),0))-IF($G$2,0,IF((AM$6-$G$3)&lt;1,0,IFERROR(LOOKUP(2,1/(Aveia!$E81:INDEX(Aveia!$E81:$Z81,MIN(AM$6-$G$3,22))&lt;&gt;""),Aveia!$E81:INDEX(Aveia!$E81:$Z81,MIN(AM$6-$G$3,22))),0)))))</f>
        <v>0</v>
      </c>
      <c r="AN83" s="27" t="n">
        <f aca="false">IF(COUNT(Aveia!$E81:$Z81)=0,0,MAX(0,IF((AN$6-$E$3)&lt;1,0,IFERROR(LOOKUP(2,1/(Aveia!$E81:INDEX(Aveia!$E81:$Z81,MIN(AN$6-$E$3,22))&lt;&gt;""),Aveia!$E81:INDEX(Aveia!$E81:$Z81,MIN(AN$6-$E$3,22))),0))-IF($G$2,0,IF((AN$6-$G$3)&lt;1,0,IFERROR(LOOKUP(2,1/(Aveia!$E81:INDEX(Aveia!$E81:$Z81,MIN(AN$6-$G$3,22))&lt;&gt;""),Aveia!$E81:INDEX(Aveia!$E81:$Z81,MIN(AN$6-$G$3,22))),0)))))</f>
        <v>0</v>
      </c>
      <c r="AO83" s="27" t="n">
        <f aca="false">IF(COUNT(Aveia!$E81:$Z81)=0,0,MAX(0,IF((AO$6-$E$3)&lt;1,0,IFERROR(LOOKUP(2,1/(Aveia!$E81:INDEX(Aveia!$E81:$Z81,MIN(AO$6-$E$3,22))&lt;&gt;""),Aveia!$E81:INDEX(Aveia!$E81:$Z81,MIN(AO$6-$E$3,22))),0))-IF($G$2,0,IF((AO$6-$G$3)&lt;1,0,IFERROR(LOOKUP(2,1/(Aveia!$E81:INDEX(Aveia!$E81:$Z81,MIN(AO$6-$G$3,22))&lt;&gt;""),Aveia!$E81:INDEX(Aveia!$E81:$Z81,MIN(AO$6-$G$3,22))),0)))))</f>
        <v>0</v>
      </c>
      <c r="AP83" s="27" t="n">
        <f aca="false">IF(COUNT(Aveia!$E81:$Z81)=0,0,MAX(0,IF((AP$6-$E$3)&lt;1,0,IFERROR(LOOKUP(2,1/(Aveia!$E81:INDEX(Aveia!$E81:$Z81,MIN(AP$6-$E$3,22))&lt;&gt;""),Aveia!$E81:INDEX(Aveia!$E81:$Z81,MIN(AP$6-$E$3,22))),0))-IF($G$2,0,IF((AP$6-$G$3)&lt;1,0,IFERROR(LOOKUP(2,1/(Aveia!$E81:INDEX(Aveia!$E81:$Z81,MIN(AP$6-$G$3,22))&lt;&gt;""),Aveia!$E81:INDEX(Aveia!$E81:$Z81,MIN(AP$6-$G$3,22))),0)))))</f>
        <v>0</v>
      </c>
      <c r="AQ83" s="27" t="n">
        <f aca="false">IF(COUNT(Aveia!$E81:$Z81)=0,0,MAX(0,IF((AQ$6-$E$3)&lt;1,0,IFERROR(LOOKUP(2,1/(Aveia!$E81:INDEX(Aveia!$E81:$Z81,MIN(AQ$6-$E$3,22))&lt;&gt;""),Aveia!$E81:INDEX(Aveia!$E81:$Z81,MIN(AQ$6-$E$3,22))),0))-IF($G$2,0,IF((AQ$6-$G$3)&lt;1,0,IFERROR(LOOKUP(2,1/(Aveia!$E81:INDEX(Aveia!$E81:$Z81,MIN(AQ$6-$G$3,22))&lt;&gt;""),Aveia!$E81:INDEX(Aveia!$E81:$Z81,MIN(AQ$6-$G$3,22))),0)))))</f>
        <v>0</v>
      </c>
      <c r="AR83" s="27" t="n">
        <f aca="false">IF(COUNT(Aveia!$E81:$Z81)=0,0,MAX(0,IF((AR$6-$E$3)&lt;1,0,IFERROR(LOOKUP(2,1/(Aveia!$E81:INDEX(Aveia!$E81:$Z81,MIN(AR$6-$E$3,22))&lt;&gt;""),Aveia!$E81:INDEX(Aveia!$E81:$Z81,MIN(AR$6-$E$3,22))),0))-IF($G$2,0,IF((AR$6-$G$3)&lt;1,0,IFERROR(LOOKUP(2,1/(Aveia!$E81:INDEX(Aveia!$E81:$Z81,MIN(AR$6-$G$3,22))&lt;&gt;""),Aveia!$E81:INDEX(Aveia!$E81:$Z81,MIN(AR$6-$G$3,22))),0)))))</f>
        <v>0</v>
      </c>
      <c r="AS83" s="27" t="n">
        <f aca="false">IF(COUNT(Aveia!$E81:$Z81)=0,0,MAX(0,IF((AS$6-$E$3)&lt;1,0,IFERROR(LOOKUP(2,1/(Aveia!$E81:INDEX(Aveia!$E81:$Z81,MIN(AS$6-$E$3,22))&lt;&gt;""),Aveia!$E81:INDEX(Aveia!$E81:$Z81,MIN(AS$6-$E$3,22))),0))-IF($G$2,0,IF((AS$6-$G$3)&lt;1,0,IFERROR(LOOKUP(2,1/(Aveia!$E81:INDEX(Aveia!$E81:$Z81,MIN(AS$6-$G$3,22))&lt;&gt;""),Aveia!$E81:INDEX(Aveia!$E81:$Z81,MIN(AS$6-$G$3,22))),0)))))</f>
        <v>0</v>
      </c>
      <c r="AT83" s="27" t="n">
        <f aca="false">IF(COUNT(Aveia!$E81:$Z81)=0,0,MAX(0,IF((AT$6-$E$3)&lt;1,0,IFERROR(LOOKUP(2,1/(Aveia!$E81:INDEX(Aveia!$E81:$Z81,MIN(AT$6-$E$3,22))&lt;&gt;""),Aveia!$E81:INDEX(Aveia!$E81:$Z81,MIN(AT$6-$E$3,22))),0))-IF($G$2,0,IF((AT$6-$G$3)&lt;1,0,IFERROR(LOOKUP(2,1/(Aveia!$E81:INDEX(Aveia!$E81:$Z81,MIN(AT$6-$G$3,22))&lt;&gt;""),Aveia!$E81:INDEX(Aveia!$E81:$Z81,MIN(AT$6-$G$3,22))),0)))))</f>
        <v>0</v>
      </c>
      <c r="AU83" s="27" t="n">
        <f aca="false">IF(COUNT(Aveia!$E81:$Z81)=0,0,MAX(0,IF((AU$6-$E$3)&lt;1,0,IFERROR(LOOKUP(2,1/(Aveia!$E81:INDEX(Aveia!$E81:$Z81,MIN(AU$6-$E$3,22))&lt;&gt;""),Aveia!$E81:INDEX(Aveia!$E81:$Z81,MIN(AU$6-$E$3,22))),0))-IF($G$2,0,IF((AU$6-$G$3)&lt;1,0,IFERROR(LOOKUP(2,1/(Aveia!$E81:INDEX(Aveia!$E81:$Z81,MIN(AU$6-$G$3,22))&lt;&gt;""),Aveia!$E81:INDEX(Aveia!$E81:$Z81,MIN(AU$6-$G$3,22))),0)))))</f>
        <v>0</v>
      </c>
      <c r="AV83" s="27" t="n">
        <f aca="false">IF(COUNT(Aveia!$E81:$Z81)=0,0,MAX(0,IF((AV$6-$E$3)&lt;1,0,IFERROR(LOOKUP(2,1/(Aveia!$E81:INDEX(Aveia!$E81:$Z81,MIN(AV$6-$E$3,22))&lt;&gt;""),Aveia!$E81:INDEX(Aveia!$E81:$Z81,MIN(AV$6-$E$3,22))),0))-IF($G$2,0,IF((AV$6-$G$3)&lt;1,0,IFERROR(LOOKUP(2,1/(Aveia!$E81:INDEX(Aveia!$E81:$Z81,MIN(AV$6-$G$3,22))&lt;&gt;""),Aveia!$E81:INDEX(Aveia!$E81:$Z81,MIN(AV$6-$G$3,22))),0)))))</f>
        <v>0</v>
      </c>
      <c r="AW83" s="27" t="n">
        <f aca="false">IF(COUNT(Aveia!$E81:$Z81)=0,0,MAX(0,IF((AW$6-$E$3)&lt;1,0,IFERROR(LOOKUP(2,1/(Aveia!$E81:INDEX(Aveia!$E81:$Z81,MIN(AW$6-$E$3,22))&lt;&gt;""),Aveia!$E81:INDEX(Aveia!$E81:$Z81,MIN(AW$6-$E$3,22))),0))-IF($G$2,0,IF((AW$6-$G$3)&lt;1,0,IFERROR(LOOKUP(2,1/(Aveia!$E81:INDEX(Aveia!$E81:$Z81,MIN(AW$6-$G$3,22))&lt;&gt;""),Aveia!$E81:INDEX(Aveia!$E81:$Z81,MIN(AW$6-$G$3,22))),0)))))</f>
        <v>0</v>
      </c>
      <c r="AX83" s="27" t="n">
        <f aca="false">IF(COUNT(Aveia!$E81:$Z81)=0,0,MAX(0,IF((AX$6-$E$3)&lt;1,0,IFERROR(LOOKUP(2,1/(Aveia!$E81:INDEX(Aveia!$E81:$Z81,MIN(AX$6-$E$3,22))&lt;&gt;""),Aveia!$E81:INDEX(Aveia!$E81:$Z81,MIN(AX$6-$E$3,22))),0))-IF($G$2,0,IF((AX$6-$G$3)&lt;1,0,IFERROR(LOOKUP(2,1/(Aveia!$E81:INDEX(Aveia!$E81:$Z81,MIN(AX$6-$G$3,22))&lt;&gt;""),Aveia!$E81:INDEX(Aveia!$E81:$Z81,MIN(AX$6-$G$3,22))),0)))))</f>
        <v>0</v>
      </c>
      <c r="AY83" s="27" t="n">
        <f aca="false">IF(COUNT(Aveia!$E81:$Z81)=0,0,MAX(0,IF((AY$6-$E$3)&lt;1,0,IFERROR(LOOKUP(2,1/(Aveia!$E81:INDEX(Aveia!$E81:$Z81,MIN(AY$6-$E$3,22))&lt;&gt;""),Aveia!$E81:INDEX(Aveia!$E81:$Z81,MIN(AY$6-$E$3,22))),0))-IF($G$2,0,IF((AY$6-$G$3)&lt;1,0,IFERROR(LOOKUP(2,1/(Aveia!$E81:INDEX(Aveia!$E81:$Z81,MIN(AY$6-$G$3,22))&lt;&gt;""),Aveia!$E81:INDEX(Aveia!$E81:$Z81,MIN(AY$6-$G$3,22))),0)))))</f>
        <v>0</v>
      </c>
      <c r="AZ83" s="27" t="n">
        <f aca="false">IF(COUNT(Aveia!$E81:$Z81)=0,0,MAX(0,IF((AZ$6-$E$3)&lt;1,0,IFERROR(LOOKUP(2,1/(Aveia!$E81:INDEX(Aveia!$E81:$Z81,MIN(AZ$6-$E$3,22))&lt;&gt;""),Aveia!$E81:INDEX(Aveia!$E81:$Z81,MIN(AZ$6-$E$3,22))),0))-IF($G$2,0,IF((AZ$6-$G$3)&lt;1,0,IFERROR(LOOKUP(2,1/(Aveia!$E81:INDEX(Aveia!$E81:$Z81,MIN(AZ$6-$G$3,22))&lt;&gt;""),Aveia!$E81:INDEX(Aveia!$E81:$Z81,MIN(AZ$6-$G$3,22))),0)))))</f>
        <v>0</v>
      </c>
    </row>
    <row r="84" customFormat="false" ht="15" hidden="false" customHeight="false" outlineLevel="0" collapsed="false">
      <c r="A84" s="3" t="s">
        <v>286</v>
      </c>
      <c r="B84" s="3" t="s">
        <v>158</v>
      </c>
      <c r="C84" s="10" t="s">
        <v>158</v>
      </c>
      <c r="D84" s="26" t="n">
        <f aca="false">IF(COUNT(Aveia!$E82:$Z82)&gt;0,N(Aveia!$D82),0)</f>
        <v>0</v>
      </c>
      <c r="E84" s="27" t="n">
        <f aca="false">IF(COUNT(Aveia!$E82:$Z82)=0,0,MAX(0,IF((E$6-$E$3)&lt;1,0,IFERROR(LOOKUP(2,1/(Aveia!$E82:INDEX(Aveia!$E82:$Z82,MIN(E$6-$E$3,22))&lt;&gt;""),Aveia!$E82:INDEX(Aveia!$E82:$Z82,MIN(E$6-$E$3,22))),0))-IF($G$2,0,IF((E$6-$G$3)&lt;1,0,IFERROR(LOOKUP(2,1/(Aveia!$E82:INDEX(Aveia!$E82:$Z82,MIN(E$6-$G$3,22))&lt;&gt;""),Aveia!$E82:INDEX(Aveia!$E82:$Z82,MIN(E$6-$G$3,22))),0)))))</f>
        <v>0</v>
      </c>
      <c r="F84" s="27" t="n">
        <f aca="false">IF(COUNT(Aveia!$E82:$Z82)=0,0,MAX(0,IF((F$6-$E$3)&lt;1,0,IFERROR(LOOKUP(2,1/(Aveia!$E82:INDEX(Aveia!$E82:$Z82,MIN(F$6-$E$3,22))&lt;&gt;""),Aveia!$E82:INDEX(Aveia!$E82:$Z82,MIN(F$6-$E$3,22))),0))-IF($G$2,0,IF((F$6-$G$3)&lt;1,0,IFERROR(LOOKUP(2,1/(Aveia!$E82:INDEX(Aveia!$E82:$Z82,MIN(F$6-$G$3,22))&lt;&gt;""),Aveia!$E82:INDEX(Aveia!$E82:$Z82,MIN(F$6-$G$3,22))),0)))))</f>
        <v>0</v>
      </c>
      <c r="G84" s="27" t="n">
        <f aca="false">IF(COUNT(Aveia!$E82:$Z82)=0,0,MAX(0,IF((G$6-$E$3)&lt;1,0,IFERROR(LOOKUP(2,1/(Aveia!$E82:INDEX(Aveia!$E82:$Z82,MIN(G$6-$E$3,22))&lt;&gt;""),Aveia!$E82:INDEX(Aveia!$E82:$Z82,MIN(G$6-$E$3,22))),0))-IF($G$2,0,IF((G$6-$G$3)&lt;1,0,IFERROR(LOOKUP(2,1/(Aveia!$E82:INDEX(Aveia!$E82:$Z82,MIN(G$6-$G$3,22))&lt;&gt;""),Aveia!$E82:INDEX(Aveia!$E82:$Z82,MIN(G$6-$G$3,22))),0)))))</f>
        <v>0</v>
      </c>
      <c r="H84" s="27" t="n">
        <f aca="false">IF(COUNT(Aveia!$E82:$Z82)=0,0,MAX(0,IF((H$6-$E$3)&lt;1,0,IFERROR(LOOKUP(2,1/(Aveia!$E82:INDEX(Aveia!$E82:$Z82,MIN(H$6-$E$3,22))&lt;&gt;""),Aveia!$E82:INDEX(Aveia!$E82:$Z82,MIN(H$6-$E$3,22))),0))-IF($G$2,0,IF((H$6-$G$3)&lt;1,0,IFERROR(LOOKUP(2,1/(Aveia!$E82:INDEX(Aveia!$E82:$Z82,MIN(H$6-$G$3,22))&lt;&gt;""),Aveia!$E82:INDEX(Aveia!$E82:$Z82,MIN(H$6-$G$3,22))),0)))))</f>
        <v>0</v>
      </c>
      <c r="I84" s="27" t="n">
        <f aca="false">IF(COUNT(Aveia!$E82:$Z82)=0,0,MAX(0,IF((I$6-$E$3)&lt;1,0,IFERROR(LOOKUP(2,1/(Aveia!$E82:INDEX(Aveia!$E82:$Z82,MIN(I$6-$E$3,22))&lt;&gt;""),Aveia!$E82:INDEX(Aveia!$E82:$Z82,MIN(I$6-$E$3,22))),0))-IF($G$2,0,IF((I$6-$G$3)&lt;1,0,IFERROR(LOOKUP(2,1/(Aveia!$E82:INDEX(Aveia!$E82:$Z82,MIN(I$6-$G$3,22))&lt;&gt;""),Aveia!$E82:INDEX(Aveia!$E82:$Z82,MIN(I$6-$G$3,22))),0)))))</f>
        <v>0</v>
      </c>
      <c r="J84" s="27" t="n">
        <f aca="false">IF(COUNT(Aveia!$E82:$Z82)=0,0,MAX(0,IF((J$6-$E$3)&lt;1,0,IFERROR(LOOKUP(2,1/(Aveia!$E82:INDEX(Aveia!$E82:$Z82,MIN(J$6-$E$3,22))&lt;&gt;""),Aveia!$E82:INDEX(Aveia!$E82:$Z82,MIN(J$6-$E$3,22))),0))-IF($G$2,0,IF((J$6-$G$3)&lt;1,0,IFERROR(LOOKUP(2,1/(Aveia!$E82:INDEX(Aveia!$E82:$Z82,MIN(J$6-$G$3,22))&lt;&gt;""),Aveia!$E82:INDEX(Aveia!$E82:$Z82,MIN(J$6-$G$3,22))),0)))))</f>
        <v>0</v>
      </c>
      <c r="K84" s="27" t="n">
        <f aca="false">IF(COUNT(Aveia!$E82:$Z82)=0,0,MAX(0,IF((K$6-$E$3)&lt;1,0,IFERROR(LOOKUP(2,1/(Aveia!$E82:INDEX(Aveia!$E82:$Z82,MIN(K$6-$E$3,22))&lt;&gt;""),Aveia!$E82:INDEX(Aveia!$E82:$Z82,MIN(K$6-$E$3,22))),0))-IF($G$2,0,IF((K$6-$G$3)&lt;1,0,IFERROR(LOOKUP(2,1/(Aveia!$E82:INDEX(Aveia!$E82:$Z82,MIN(K$6-$G$3,22))&lt;&gt;""),Aveia!$E82:INDEX(Aveia!$E82:$Z82,MIN(K$6-$G$3,22))),0)))))</f>
        <v>0</v>
      </c>
      <c r="L84" s="27" t="n">
        <f aca="false">IF(COUNT(Aveia!$E82:$Z82)=0,0,MAX(0,IF((L$6-$E$3)&lt;1,0,IFERROR(LOOKUP(2,1/(Aveia!$E82:INDEX(Aveia!$E82:$Z82,MIN(L$6-$E$3,22))&lt;&gt;""),Aveia!$E82:INDEX(Aveia!$E82:$Z82,MIN(L$6-$E$3,22))),0))-IF($G$2,0,IF((L$6-$G$3)&lt;1,0,IFERROR(LOOKUP(2,1/(Aveia!$E82:INDEX(Aveia!$E82:$Z82,MIN(L$6-$G$3,22))&lt;&gt;""),Aveia!$E82:INDEX(Aveia!$E82:$Z82,MIN(L$6-$G$3,22))),0)))))</f>
        <v>0</v>
      </c>
      <c r="M84" s="27" t="n">
        <f aca="false">IF(COUNT(Aveia!$E82:$Z82)=0,0,MAX(0,IF((M$6-$E$3)&lt;1,0,IFERROR(LOOKUP(2,1/(Aveia!$E82:INDEX(Aveia!$E82:$Z82,MIN(M$6-$E$3,22))&lt;&gt;""),Aveia!$E82:INDEX(Aveia!$E82:$Z82,MIN(M$6-$E$3,22))),0))-IF($G$2,0,IF((M$6-$G$3)&lt;1,0,IFERROR(LOOKUP(2,1/(Aveia!$E82:INDEX(Aveia!$E82:$Z82,MIN(M$6-$G$3,22))&lt;&gt;""),Aveia!$E82:INDEX(Aveia!$E82:$Z82,MIN(M$6-$G$3,22))),0)))))</f>
        <v>0</v>
      </c>
      <c r="N84" s="27" t="n">
        <f aca="false">IF(COUNT(Aveia!$E82:$Z82)=0,0,MAX(0,IF((N$6-$E$3)&lt;1,0,IFERROR(LOOKUP(2,1/(Aveia!$E82:INDEX(Aveia!$E82:$Z82,MIN(N$6-$E$3,22))&lt;&gt;""),Aveia!$E82:INDEX(Aveia!$E82:$Z82,MIN(N$6-$E$3,22))),0))-IF($G$2,0,IF((N$6-$G$3)&lt;1,0,IFERROR(LOOKUP(2,1/(Aveia!$E82:INDEX(Aveia!$E82:$Z82,MIN(N$6-$G$3,22))&lt;&gt;""),Aveia!$E82:INDEX(Aveia!$E82:$Z82,MIN(N$6-$G$3,22))),0)))))</f>
        <v>0</v>
      </c>
      <c r="O84" s="27" t="n">
        <f aca="false">IF(COUNT(Aveia!$E82:$Z82)=0,0,MAX(0,IF((O$6-$E$3)&lt;1,0,IFERROR(LOOKUP(2,1/(Aveia!$E82:INDEX(Aveia!$E82:$Z82,MIN(O$6-$E$3,22))&lt;&gt;""),Aveia!$E82:INDEX(Aveia!$E82:$Z82,MIN(O$6-$E$3,22))),0))-IF($G$2,0,IF((O$6-$G$3)&lt;1,0,IFERROR(LOOKUP(2,1/(Aveia!$E82:INDEX(Aveia!$E82:$Z82,MIN(O$6-$G$3,22))&lt;&gt;""),Aveia!$E82:INDEX(Aveia!$E82:$Z82,MIN(O$6-$G$3,22))),0)))))</f>
        <v>0</v>
      </c>
      <c r="P84" s="27" t="n">
        <f aca="false">IF(COUNT(Aveia!$E82:$Z82)=0,0,MAX(0,IF((P$6-$E$3)&lt;1,0,IFERROR(LOOKUP(2,1/(Aveia!$E82:INDEX(Aveia!$E82:$Z82,MIN(P$6-$E$3,22))&lt;&gt;""),Aveia!$E82:INDEX(Aveia!$E82:$Z82,MIN(P$6-$E$3,22))),0))-IF($G$2,0,IF((P$6-$G$3)&lt;1,0,IFERROR(LOOKUP(2,1/(Aveia!$E82:INDEX(Aveia!$E82:$Z82,MIN(P$6-$G$3,22))&lt;&gt;""),Aveia!$E82:INDEX(Aveia!$E82:$Z82,MIN(P$6-$G$3,22))),0)))))</f>
        <v>0</v>
      </c>
      <c r="Q84" s="27" t="n">
        <f aca="false">IF(COUNT(Aveia!$E82:$Z82)=0,0,MAX(0,IF((Q$6-$E$3)&lt;1,0,IFERROR(LOOKUP(2,1/(Aveia!$E82:INDEX(Aveia!$E82:$Z82,MIN(Q$6-$E$3,22))&lt;&gt;""),Aveia!$E82:INDEX(Aveia!$E82:$Z82,MIN(Q$6-$E$3,22))),0))-IF($G$2,0,IF((Q$6-$G$3)&lt;1,0,IFERROR(LOOKUP(2,1/(Aveia!$E82:INDEX(Aveia!$E82:$Z82,MIN(Q$6-$G$3,22))&lt;&gt;""),Aveia!$E82:INDEX(Aveia!$E82:$Z82,MIN(Q$6-$G$3,22))),0)))))</f>
        <v>0</v>
      </c>
      <c r="R84" s="27" t="n">
        <f aca="false">IF(COUNT(Aveia!$E82:$Z82)=0,0,MAX(0,IF((R$6-$E$3)&lt;1,0,IFERROR(LOOKUP(2,1/(Aveia!$E82:INDEX(Aveia!$E82:$Z82,MIN(R$6-$E$3,22))&lt;&gt;""),Aveia!$E82:INDEX(Aveia!$E82:$Z82,MIN(R$6-$E$3,22))),0))-IF($G$2,0,IF((R$6-$G$3)&lt;1,0,IFERROR(LOOKUP(2,1/(Aveia!$E82:INDEX(Aveia!$E82:$Z82,MIN(R$6-$G$3,22))&lt;&gt;""),Aveia!$E82:INDEX(Aveia!$E82:$Z82,MIN(R$6-$G$3,22))),0)))))</f>
        <v>0</v>
      </c>
      <c r="S84" s="27" t="n">
        <f aca="false">IF(COUNT(Aveia!$E82:$Z82)=0,0,MAX(0,IF((S$6-$E$3)&lt;1,0,IFERROR(LOOKUP(2,1/(Aveia!$E82:INDEX(Aveia!$E82:$Z82,MIN(S$6-$E$3,22))&lt;&gt;""),Aveia!$E82:INDEX(Aveia!$E82:$Z82,MIN(S$6-$E$3,22))),0))-IF($G$2,0,IF((S$6-$G$3)&lt;1,0,IFERROR(LOOKUP(2,1/(Aveia!$E82:INDEX(Aveia!$E82:$Z82,MIN(S$6-$G$3,22))&lt;&gt;""),Aveia!$E82:INDEX(Aveia!$E82:$Z82,MIN(S$6-$G$3,22))),0)))))</f>
        <v>0</v>
      </c>
      <c r="T84" s="27" t="n">
        <f aca="false">IF(COUNT(Aveia!$E82:$Z82)=0,0,MAX(0,IF((T$6-$E$3)&lt;1,0,IFERROR(LOOKUP(2,1/(Aveia!$E82:INDEX(Aveia!$E82:$Z82,MIN(T$6-$E$3,22))&lt;&gt;""),Aveia!$E82:INDEX(Aveia!$E82:$Z82,MIN(T$6-$E$3,22))),0))-IF($G$2,0,IF((T$6-$G$3)&lt;1,0,IFERROR(LOOKUP(2,1/(Aveia!$E82:INDEX(Aveia!$E82:$Z82,MIN(T$6-$G$3,22))&lt;&gt;""),Aveia!$E82:INDEX(Aveia!$E82:$Z82,MIN(T$6-$G$3,22))),0)))))</f>
        <v>0</v>
      </c>
      <c r="U84" s="27" t="n">
        <f aca="false">IF(COUNT(Aveia!$E82:$Z82)=0,0,MAX(0,IF((U$6-$E$3)&lt;1,0,IFERROR(LOOKUP(2,1/(Aveia!$E82:INDEX(Aveia!$E82:$Z82,MIN(U$6-$E$3,22))&lt;&gt;""),Aveia!$E82:INDEX(Aveia!$E82:$Z82,MIN(U$6-$E$3,22))),0))-IF($G$2,0,IF((U$6-$G$3)&lt;1,0,IFERROR(LOOKUP(2,1/(Aveia!$E82:INDEX(Aveia!$E82:$Z82,MIN(U$6-$G$3,22))&lt;&gt;""),Aveia!$E82:INDEX(Aveia!$E82:$Z82,MIN(U$6-$G$3,22))),0)))))</f>
        <v>0</v>
      </c>
      <c r="V84" s="27" t="n">
        <f aca="false">IF(COUNT(Aveia!$E82:$Z82)=0,0,MAX(0,IF((V$6-$E$3)&lt;1,0,IFERROR(LOOKUP(2,1/(Aveia!$E82:INDEX(Aveia!$E82:$Z82,MIN(V$6-$E$3,22))&lt;&gt;""),Aveia!$E82:INDEX(Aveia!$E82:$Z82,MIN(V$6-$E$3,22))),0))-IF($G$2,0,IF((V$6-$G$3)&lt;1,0,IFERROR(LOOKUP(2,1/(Aveia!$E82:INDEX(Aveia!$E82:$Z82,MIN(V$6-$G$3,22))&lt;&gt;""),Aveia!$E82:INDEX(Aveia!$E82:$Z82,MIN(V$6-$G$3,22))),0)))))</f>
        <v>0</v>
      </c>
      <c r="W84" s="27" t="n">
        <f aca="false">IF(COUNT(Aveia!$E82:$Z82)=0,0,MAX(0,IF((W$6-$E$3)&lt;1,0,IFERROR(LOOKUP(2,1/(Aveia!$E82:INDEX(Aveia!$E82:$Z82,MIN(W$6-$E$3,22))&lt;&gt;""),Aveia!$E82:INDEX(Aveia!$E82:$Z82,MIN(W$6-$E$3,22))),0))-IF($G$2,0,IF((W$6-$G$3)&lt;1,0,IFERROR(LOOKUP(2,1/(Aveia!$E82:INDEX(Aveia!$E82:$Z82,MIN(W$6-$G$3,22))&lt;&gt;""),Aveia!$E82:INDEX(Aveia!$E82:$Z82,MIN(W$6-$G$3,22))),0)))))</f>
        <v>0</v>
      </c>
      <c r="X84" s="27" t="n">
        <f aca="false">IF(COUNT(Aveia!$E82:$Z82)=0,0,MAX(0,IF((X$6-$E$3)&lt;1,0,IFERROR(LOOKUP(2,1/(Aveia!$E82:INDEX(Aveia!$E82:$Z82,MIN(X$6-$E$3,22))&lt;&gt;""),Aveia!$E82:INDEX(Aveia!$E82:$Z82,MIN(X$6-$E$3,22))),0))-IF($G$2,0,IF((X$6-$G$3)&lt;1,0,IFERROR(LOOKUP(2,1/(Aveia!$E82:INDEX(Aveia!$E82:$Z82,MIN(X$6-$G$3,22))&lt;&gt;""),Aveia!$E82:INDEX(Aveia!$E82:$Z82,MIN(X$6-$G$3,22))),0)))))</f>
        <v>0</v>
      </c>
      <c r="Y84" s="27" t="n">
        <f aca="false">IF(COUNT(Aveia!$E82:$Z82)=0,0,MAX(0,IF((Y$6-$E$3)&lt;1,0,IFERROR(LOOKUP(2,1/(Aveia!$E82:INDEX(Aveia!$E82:$Z82,MIN(Y$6-$E$3,22))&lt;&gt;""),Aveia!$E82:INDEX(Aveia!$E82:$Z82,MIN(Y$6-$E$3,22))),0))-IF($G$2,0,IF((Y$6-$G$3)&lt;1,0,IFERROR(LOOKUP(2,1/(Aveia!$E82:INDEX(Aveia!$E82:$Z82,MIN(Y$6-$G$3,22))&lt;&gt;""),Aveia!$E82:INDEX(Aveia!$E82:$Z82,MIN(Y$6-$G$3,22))),0)))))</f>
        <v>0</v>
      </c>
      <c r="Z84" s="27" t="n">
        <f aca="false">IF(COUNT(Aveia!$E82:$Z82)=0,0,MAX(0,IF((Z$6-$E$3)&lt;1,0,IFERROR(LOOKUP(2,1/(Aveia!$E82:INDEX(Aveia!$E82:$Z82,MIN(Z$6-$E$3,22))&lt;&gt;""),Aveia!$E82:INDEX(Aveia!$E82:$Z82,MIN(Z$6-$E$3,22))),0))-IF($G$2,0,IF((Z$6-$G$3)&lt;1,0,IFERROR(LOOKUP(2,1/(Aveia!$E82:INDEX(Aveia!$E82:$Z82,MIN(Z$6-$G$3,22))&lt;&gt;""),Aveia!$E82:INDEX(Aveia!$E82:$Z82,MIN(Z$6-$G$3,22))),0)))))</f>
        <v>0</v>
      </c>
      <c r="AA84" s="27" t="n">
        <f aca="false">IF(COUNT(Aveia!$E82:$Z82)=0,0,MAX(0,IF((AA$6-$E$3)&lt;1,0,IFERROR(LOOKUP(2,1/(Aveia!$E82:INDEX(Aveia!$E82:$Z82,MIN(AA$6-$E$3,22))&lt;&gt;""),Aveia!$E82:INDEX(Aveia!$E82:$Z82,MIN(AA$6-$E$3,22))),0))-IF($G$2,0,IF((AA$6-$G$3)&lt;1,0,IFERROR(LOOKUP(2,1/(Aveia!$E82:INDEX(Aveia!$E82:$Z82,MIN(AA$6-$G$3,22))&lt;&gt;""),Aveia!$E82:INDEX(Aveia!$E82:$Z82,MIN(AA$6-$G$3,22))),0)))))</f>
        <v>0</v>
      </c>
      <c r="AB84" s="27" t="n">
        <f aca="false">IF(COUNT(Aveia!$E82:$Z82)=0,0,MAX(0,IF((AB$6-$E$3)&lt;1,0,IFERROR(LOOKUP(2,1/(Aveia!$E82:INDEX(Aveia!$E82:$Z82,MIN(AB$6-$E$3,22))&lt;&gt;""),Aveia!$E82:INDEX(Aveia!$E82:$Z82,MIN(AB$6-$E$3,22))),0))-IF($G$2,0,IF((AB$6-$G$3)&lt;1,0,IFERROR(LOOKUP(2,1/(Aveia!$E82:INDEX(Aveia!$E82:$Z82,MIN(AB$6-$G$3,22))&lt;&gt;""),Aveia!$E82:INDEX(Aveia!$E82:$Z82,MIN(AB$6-$G$3,22))),0)))))</f>
        <v>0</v>
      </c>
      <c r="AC84" s="27" t="n">
        <f aca="false">IF(COUNT(Aveia!$E82:$Z82)=0,0,MAX(0,IF((AC$6-$E$3)&lt;1,0,IFERROR(LOOKUP(2,1/(Aveia!$E82:INDEX(Aveia!$E82:$Z82,MIN(AC$6-$E$3,22))&lt;&gt;""),Aveia!$E82:INDEX(Aveia!$E82:$Z82,MIN(AC$6-$E$3,22))),0))-IF($G$2,0,IF((AC$6-$G$3)&lt;1,0,IFERROR(LOOKUP(2,1/(Aveia!$E82:INDEX(Aveia!$E82:$Z82,MIN(AC$6-$G$3,22))&lt;&gt;""),Aveia!$E82:INDEX(Aveia!$E82:$Z82,MIN(AC$6-$G$3,22))),0)))))</f>
        <v>0</v>
      </c>
      <c r="AD84" s="27" t="n">
        <f aca="false">IF(COUNT(Aveia!$E82:$Z82)=0,0,MAX(0,IF((AD$6-$E$3)&lt;1,0,IFERROR(LOOKUP(2,1/(Aveia!$E82:INDEX(Aveia!$E82:$Z82,MIN(AD$6-$E$3,22))&lt;&gt;""),Aveia!$E82:INDEX(Aveia!$E82:$Z82,MIN(AD$6-$E$3,22))),0))-IF($G$2,0,IF((AD$6-$G$3)&lt;1,0,IFERROR(LOOKUP(2,1/(Aveia!$E82:INDEX(Aveia!$E82:$Z82,MIN(AD$6-$G$3,22))&lt;&gt;""),Aveia!$E82:INDEX(Aveia!$E82:$Z82,MIN(AD$6-$G$3,22))),0)))))</f>
        <v>0</v>
      </c>
      <c r="AE84" s="27" t="n">
        <f aca="false">IF(COUNT(Aveia!$E82:$Z82)=0,0,MAX(0,IF((AE$6-$E$3)&lt;1,0,IFERROR(LOOKUP(2,1/(Aveia!$E82:INDEX(Aveia!$E82:$Z82,MIN(AE$6-$E$3,22))&lt;&gt;""),Aveia!$E82:INDEX(Aveia!$E82:$Z82,MIN(AE$6-$E$3,22))),0))-IF($G$2,0,IF((AE$6-$G$3)&lt;1,0,IFERROR(LOOKUP(2,1/(Aveia!$E82:INDEX(Aveia!$E82:$Z82,MIN(AE$6-$G$3,22))&lt;&gt;""),Aveia!$E82:INDEX(Aveia!$E82:$Z82,MIN(AE$6-$G$3,22))),0)))))</f>
        <v>0</v>
      </c>
      <c r="AF84" s="27" t="n">
        <f aca="false">IF(COUNT(Aveia!$E82:$Z82)=0,0,MAX(0,IF((AF$6-$E$3)&lt;1,0,IFERROR(LOOKUP(2,1/(Aveia!$E82:INDEX(Aveia!$E82:$Z82,MIN(AF$6-$E$3,22))&lt;&gt;""),Aveia!$E82:INDEX(Aveia!$E82:$Z82,MIN(AF$6-$E$3,22))),0))-IF($G$2,0,IF((AF$6-$G$3)&lt;1,0,IFERROR(LOOKUP(2,1/(Aveia!$E82:INDEX(Aveia!$E82:$Z82,MIN(AF$6-$G$3,22))&lt;&gt;""),Aveia!$E82:INDEX(Aveia!$E82:$Z82,MIN(AF$6-$G$3,22))),0)))))</f>
        <v>0</v>
      </c>
      <c r="AG84" s="27" t="n">
        <f aca="false">IF(COUNT(Aveia!$E82:$Z82)=0,0,MAX(0,IF((AG$6-$E$3)&lt;1,0,IFERROR(LOOKUP(2,1/(Aveia!$E82:INDEX(Aveia!$E82:$Z82,MIN(AG$6-$E$3,22))&lt;&gt;""),Aveia!$E82:INDEX(Aveia!$E82:$Z82,MIN(AG$6-$E$3,22))),0))-IF($G$2,0,IF((AG$6-$G$3)&lt;1,0,IFERROR(LOOKUP(2,1/(Aveia!$E82:INDEX(Aveia!$E82:$Z82,MIN(AG$6-$G$3,22))&lt;&gt;""),Aveia!$E82:INDEX(Aveia!$E82:$Z82,MIN(AG$6-$G$3,22))),0)))))</f>
        <v>0</v>
      </c>
      <c r="AH84" s="27" t="n">
        <f aca="false">IF(COUNT(Aveia!$E82:$Z82)=0,0,MAX(0,IF((AH$6-$E$3)&lt;1,0,IFERROR(LOOKUP(2,1/(Aveia!$E82:INDEX(Aveia!$E82:$Z82,MIN(AH$6-$E$3,22))&lt;&gt;""),Aveia!$E82:INDEX(Aveia!$E82:$Z82,MIN(AH$6-$E$3,22))),0))-IF($G$2,0,IF((AH$6-$G$3)&lt;1,0,IFERROR(LOOKUP(2,1/(Aveia!$E82:INDEX(Aveia!$E82:$Z82,MIN(AH$6-$G$3,22))&lt;&gt;""),Aveia!$E82:INDEX(Aveia!$E82:$Z82,MIN(AH$6-$G$3,22))),0)))))</f>
        <v>0</v>
      </c>
      <c r="AI84" s="27" t="n">
        <f aca="false">IF(COUNT(Aveia!$E82:$Z82)=0,0,MAX(0,IF((AI$6-$E$3)&lt;1,0,IFERROR(LOOKUP(2,1/(Aveia!$E82:INDEX(Aveia!$E82:$Z82,MIN(AI$6-$E$3,22))&lt;&gt;""),Aveia!$E82:INDEX(Aveia!$E82:$Z82,MIN(AI$6-$E$3,22))),0))-IF($G$2,0,IF((AI$6-$G$3)&lt;1,0,IFERROR(LOOKUP(2,1/(Aveia!$E82:INDEX(Aveia!$E82:$Z82,MIN(AI$6-$G$3,22))&lt;&gt;""),Aveia!$E82:INDEX(Aveia!$E82:$Z82,MIN(AI$6-$G$3,22))),0)))))</f>
        <v>0</v>
      </c>
      <c r="AJ84" s="27" t="n">
        <f aca="false">IF(COUNT(Aveia!$E82:$Z82)=0,0,MAX(0,IF((AJ$6-$E$3)&lt;1,0,IFERROR(LOOKUP(2,1/(Aveia!$E82:INDEX(Aveia!$E82:$Z82,MIN(AJ$6-$E$3,22))&lt;&gt;""),Aveia!$E82:INDEX(Aveia!$E82:$Z82,MIN(AJ$6-$E$3,22))),0))-IF($G$2,0,IF((AJ$6-$G$3)&lt;1,0,IFERROR(LOOKUP(2,1/(Aveia!$E82:INDEX(Aveia!$E82:$Z82,MIN(AJ$6-$G$3,22))&lt;&gt;""),Aveia!$E82:INDEX(Aveia!$E82:$Z82,MIN(AJ$6-$G$3,22))),0)))))</f>
        <v>0</v>
      </c>
      <c r="AK84" s="27" t="n">
        <f aca="false">IF(COUNT(Aveia!$E82:$Z82)=0,0,MAX(0,IF((AK$6-$E$3)&lt;1,0,IFERROR(LOOKUP(2,1/(Aveia!$E82:INDEX(Aveia!$E82:$Z82,MIN(AK$6-$E$3,22))&lt;&gt;""),Aveia!$E82:INDEX(Aveia!$E82:$Z82,MIN(AK$6-$E$3,22))),0))-IF($G$2,0,IF((AK$6-$G$3)&lt;1,0,IFERROR(LOOKUP(2,1/(Aveia!$E82:INDEX(Aveia!$E82:$Z82,MIN(AK$6-$G$3,22))&lt;&gt;""),Aveia!$E82:INDEX(Aveia!$E82:$Z82,MIN(AK$6-$G$3,22))),0)))))</f>
        <v>0</v>
      </c>
      <c r="AL84" s="27" t="n">
        <f aca="false">IF(COUNT(Aveia!$E82:$Z82)=0,0,MAX(0,IF((AL$6-$E$3)&lt;1,0,IFERROR(LOOKUP(2,1/(Aveia!$E82:INDEX(Aveia!$E82:$Z82,MIN(AL$6-$E$3,22))&lt;&gt;""),Aveia!$E82:INDEX(Aveia!$E82:$Z82,MIN(AL$6-$E$3,22))),0))-IF($G$2,0,IF((AL$6-$G$3)&lt;1,0,IFERROR(LOOKUP(2,1/(Aveia!$E82:INDEX(Aveia!$E82:$Z82,MIN(AL$6-$G$3,22))&lt;&gt;""),Aveia!$E82:INDEX(Aveia!$E82:$Z82,MIN(AL$6-$G$3,22))),0)))))</f>
        <v>0</v>
      </c>
      <c r="AM84" s="27" t="n">
        <f aca="false">IF(COUNT(Aveia!$E82:$Z82)=0,0,MAX(0,IF((AM$6-$E$3)&lt;1,0,IFERROR(LOOKUP(2,1/(Aveia!$E82:INDEX(Aveia!$E82:$Z82,MIN(AM$6-$E$3,22))&lt;&gt;""),Aveia!$E82:INDEX(Aveia!$E82:$Z82,MIN(AM$6-$E$3,22))),0))-IF($G$2,0,IF((AM$6-$G$3)&lt;1,0,IFERROR(LOOKUP(2,1/(Aveia!$E82:INDEX(Aveia!$E82:$Z82,MIN(AM$6-$G$3,22))&lt;&gt;""),Aveia!$E82:INDEX(Aveia!$E82:$Z82,MIN(AM$6-$G$3,22))),0)))))</f>
        <v>0</v>
      </c>
      <c r="AN84" s="27" t="n">
        <f aca="false">IF(COUNT(Aveia!$E82:$Z82)=0,0,MAX(0,IF((AN$6-$E$3)&lt;1,0,IFERROR(LOOKUP(2,1/(Aveia!$E82:INDEX(Aveia!$E82:$Z82,MIN(AN$6-$E$3,22))&lt;&gt;""),Aveia!$E82:INDEX(Aveia!$E82:$Z82,MIN(AN$6-$E$3,22))),0))-IF($G$2,0,IF((AN$6-$G$3)&lt;1,0,IFERROR(LOOKUP(2,1/(Aveia!$E82:INDEX(Aveia!$E82:$Z82,MIN(AN$6-$G$3,22))&lt;&gt;""),Aveia!$E82:INDEX(Aveia!$E82:$Z82,MIN(AN$6-$G$3,22))),0)))))</f>
        <v>0</v>
      </c>
      <c r="AO84" s="27" t="n">
        <f aca="false">IF(COUNT(Aveia!$E82:$Z82)=0,0,MAX(0,IF((AO$6-$E$3)&lt;1,0,IFERROR(LOOKUP(2,1/(Aveia!$E82:INDEX(Aveia!$E82:$Z82,MIN(AO$6-$E$3,22))&lt;&gt;""),Aveia!$E82:INDEX(Aveia!$E82:$Z82,MIN(AO$6-$E$3,22))),0))-IF($G$2,0,IF((AO$6-$G$3)&lt;1,0,IFERROR(LOOKUP(2,1/(Aveia!$E82:INDEX(Aveia!$E82:$Z82,MIN(AO$6-$G$3,22))&lt;&gt;""),Aveia!$E82:INDEX(Aveia!$E82:$Z82,MIN(AO$6-$G$3,22))),0)))))</f>
        <v>0</v>
      </c>
      <c r="AP84" s="27" t="n">
        <f aca="false">IF(COUNT(Aveia!$E82:$Z82)=0,0,MAX(0,IF((AP$6-$E$3)&lt;1,0,IFERROR(LOOKUP(2,1/(Aveia!$E82:INDEX(Aveia!$E82:$Z82,MIN(AP$6-$E$3,22))&lt;&gt;""),Aveia!$E82:INDEX(Aveia!$E82:$Z82,MIN(AP$6-$E$3,22))),0))-IF($G$2,0,IF((AP$6-$G$3)&lt;1,0,IFERROR(LOOKUP(2,1/(Aveia!$E82:INDEX(Aveia!$E82:$Z82,MIN(AP$6-$G$3,22))&lt;&gt;""),Aveia!$E82:INDEX(Aveia!$E82:$Z82,MIN(AP$6-$G$3,22))),0)))))</f>
        <v>0</v>
      </c>
      <c r="AQ84" s="27" t="n">
        <f aca="false">IF(COUNT(Aveia!$E82:$Z82)=0,0,MAX(0,IF((AQ$6-$E$3)&lt;1,0,IFERROR(LOOKUP(2,1/(Aveia!$E82:INDEX(Aveia!$E82:$Z82,MIN(AQ$6-$E$3,22))&lt;&gt;""),Aveia!$E82:INDEX(Aveia!$E82:$Z82,MIN(AQ$6-$E$3,22))),0))-IF($G$2,0,IF((AQ$6-$G$3)&lt;1,0,IFERROR(LOOKUP(2,1/(Aveia!$E82:INDEX(Aveia!$E82:$Z82,MIN(AQ$6-$G$3,22))&lt;&gt;""),Aveia!$E82:INDEX(Aveia!$E82:$Z82,MIN(AQ$6-$G$3,22))),0)))))</f>
        <v>0</v>
      </c>
      <c r="AR84" s="27" t="n">
        <f aca="false">IF(COUNT(Aveia!$E82:$Z82)=0,0,MAX(0,IF((AR$6-$E$3)&lt;1,0,IFERROR(LOOKUP(2,1/(Aveia!$E82:INDEX(Aveia!$E82:$Z82,MIN(AR$6-$E$3,22))&lt;&gt;""),Aveia!$E82:INDEX(Aveia!$E82:$Z82,MIN(AR$6-$E$3,22))),0))-IF($G$2,0,IF((AR$6-$G$3)&lt;1,0,IFERROR(LOOKUP(2,1/(Aveia!$E82:INDEX(Aveia!$E82:$Z82,MIN(AR$6-$G$3,22))&lt;&gt;""),Aveia!$E82:INDEX(Aveia!$E82:$Z82,MIN(AR$6-$G$3,22))),0)))))</f>
        <v>0</v>
      </c>
      <c r="AS84" s="27" t="n">
        <f aca="false">IF(COUNT(Aveia!$E82:$Z82)=0,0,MAX(0,IF((AS$6-$E$3)&lt;1,0,IFERROR(LOOKUP(2,1/(Aveia!$E82:INDEX(Aveia!$E82:$Z82,MIN(AS$6-$E$3,22))&lt;&gt;""),Aveia!$E82:INDEX(Aveia!$E82:$Z82,MIN(AS$6-$E$3,22))),0))-IF($G$2,0,IF((AS$6-$G$3)&lt;1,0,IFERROR(LOOKUP(2,1/(Aveia!$E82:INDEX(Aveia!$E82:$Z82,MIN(AS$6-$G$3,22))&lt;&gt;""),Aveia!$E82:INDEX(Aveia!$E82:$Z82,MIN(AS$6-$G$3,22))),0)))))</f>
        <v>0</v>
      </c>
      <c r="AT84" s="27" t="n">
        <f aca="false">IF(COUNT(Aveia!$E82:$Z82)=0,0,MAX(0,IF((AT$6-$E$3)&lt;1,0,IFERROR(LOOKUP(2,1/(Aveia!$E82:INDEX(Aveia!$E82:$Z82,MIN(AT$6-$E$3,22))&lt;&gt;""),Aveia!$E82:INDEX(Aveia!$E82:$Z82,MIN(AT$6-$E$3,22))),0))-IF($G$2,0,IF((AT$6-$G$3)&lt;1,0,IFERROR(LOOKUP(2,1/(Aveia!$E82:INDEX(Aveia!$E82:$Z82,MIN(AT$6-$G$3,22))&lt;&gt;""),Aveia!$E82:INDEX(Aveia!$E82:$Z82,MIN(AT$6-$G$3,22))),0)))))</f>
        <v>0</v>
      </c>
      <c r="AU84" s="27" t="n">
        <f aca="false">IF(COUNT(Aveia!$E82:$Z82)=0,0,MAX(0,IF((AU$6-$E$3)&lt;1,0,IFERROR(LOOKUP(2,1/(Aveia!$E82:INDEX(Aveia!$E82:$Z82,MIN(AU$6-$E$3,22))&lt;&gt;""),Aveia!$E82:INDEX(Aveia!$E82:$Z82,MIN(AU$6-$E$3,22))),0))-IF($G$2,0,IF((AU$6-$G$3)&lt;1,0,IFERROR(LOOKUP(2,1/(Aveia!$E82:INDEX(Aveia!$E82:$Z82,MIN(AU$6-$G$3,22))&lt;&gt;""),Aveia!$E82:INDEX(Aveia!$E82:$Z82,MIN(AU$6-$G$3,22))),0)))))</f>
        <v>0</v>
      </c>
      <c r="AV84" s="27" t="n">
        <f aca="false">IF(COUNT(Aveia!$E82:$Z82)=0,0,MAX(0,IF((AV$6-$E$3)&lt;1,0,IFERROR(LOOKUP(2,1/(Aveia!$E82:INDEX(Aveia!$E82:$Z82,MIN(AV$6-$E$3,22))&lt;&gt;""),Aveia!$E82:INDEX(Aveia!$E82:$Z82,MIN(AV$6-$E$3,22))),0))-IF($G$2,0,IF((AV$6-$G$3)&lt;1,0,IFERROR(LOOKUP(2,1/(Aveia!$E82:INDEX(Aveia!$E82:$Z82,MIN(AV$6-$G$3,22))&lt;&gt;""),Aveia!$E82:INDEX(Aveia!$E82:$Z82,MIN(AV$6-$G$3,22))),0)))))</f>
        <v>0</v>
      </c>
      <c r="AW84" s="27" t="n">
        <f aca="false">IF(COUNT(Aveia!$E82:$Z82)=0,0,MAX(0,IF((AW$6-$E$3)&lt;1,0,IFERROR(LOOKUP(2,1/(Aveia!$E82:INDEX(Aveia!$E82:$Z82,MIN(AW$6-$E$3,22))&lt;&gt;""),Aveia!$E82:INDEX(Aveia!$E82:$Z82,MIN(AW$6-$E$3,22))),0))-IF($G$2,0,IF((AW$6-$G$3)&lt;1,0,IFERROR(LOOKUP(2,1/(Aveia!$E82:INDEX(Aveia!$E82:$Z82,MIN(AW$6-$G$3,22))&lt;&gt;""),Aveia!$E82:INDEX(Aveia!$E82:$Z82,MIN(AW$6-$G$3,22))),0)))))</f>
        <v>0</v>
      </c>
      <c r="AX84" s="27" t="n">
        <f aca="false">IF(COUNT(Aveia!$E82:$Z82)=0,0,MAX(0,IF((AX$6-$E$3)&lt;1,0,IFERROR(LOOKUP(2,1/(Aveia!$E82:INDEX(Aveia!$E82:$Z82,MIN(AX$6-$E$3,22))&lt;&gt;""),Aveia!$E82:INDEX(Aveia!$E82:$Z82,MIN(AX$6-$E$3,22))),0))-IF($G$2,0,IF((AX$6-$G$3)&lt;1,0,IFERROR(LOOKUP(2,1/(Aveia!$E82:INDEX(Aveia!$E82:$Z82,MIN(AX$6-$G$3,22))&lt;&gt;""),Aveia!$E82:INDEX(Aveia!$E82:$Z82,MIN(AX$6-$G$3,22))),0)))))</f>
        <v>0</v>
      </c>
      <c r="AY84" s="27" t="n">
        <f aca="false">IF(COUNT(Aveia!$E82:$Z82)=0,0,MAX(0,IF((AY$6-$E$3)&lt;1,0,IFERROR(LOOKUP(2,1/(Aveia!$E82:INDEX(Aveia!$E82:$Z82,MIN(AY$6-$E$3,22))&lt;&gt;""),Aveia!$E82:INDEX(Aveia!$E82:$Z82,MIN(AY$6-$E$3,22))),0))-IF($G$2,0,IF((AY$6-$G$3)&lt;1,0,IFERROR(LOOKUP(2,1/(Aveia!$E82:INDEX(Aveia!$E82:$Z82,MIN(AY$6-$G$3,22))&lt;&gt;""),Aveia!$E82:INDEX(Aveia!$E82:$Z82,MIN(AY$6-$G$3,22))),0)))))</f>
        <v>0</v>
      </c>
      <c r="AZ84" s="27" t="n">
        <f aca="false">IF(COUNT(Aveia!$E82:$Z82)=0,0,MAX(0,IF((AZ$6-$E$3)&lt;1,0,IFERROR(LOOKUP(2,1/(Aveia!$E82:INDEX(Aveia!$E82:$Z82,MIN(AZ$6-$E$3,22))&lt;&gt;""),Aveia!$E82:INDEX(Aveia!$E82:$Z82,MIN(AZ$6-$E$3,22))),0))-IF($G$2,0,IF((AZ$6-$G$3)&lt;1,0,IFERROR(LOOKUP(2,1/(Aveia!$E82:INDEX(Aveia!$E82:$Z82,MIN(AZ$6-$G$3,22))&lt;&gt;""),Aveia!$E82:INDEX(Aveia!$E82:$Z82,MIN(AZ$6-$G$3,22))),0)))))</f>
        <v>0</v>
      </c>
    </row>
    <row r="85" customFormat="false" ht="15" hidden="false" customHeight="false" outlineLevel="0" collapsed="false">
      <c r="A85" s="3" t="s">
        <v>287</v>
      </c>
      <c r="B85" s="3" t="s">
        <v>288</v>
      </c>
      <c r="C85" s="10" t="s">
        <v>172</v>
      </c>
      <c r="D85" s="26" t="n">
        <f aca="false">IF(COUNT(Aveia!$E83:$Z83)&gt;0,N(Aveia!$D83),0)</f>
        <v>0</v>
      </c>
      <c r="E85" s="27" t="n">
        <f aca="false">IF(COUNT(Aveia!$E83:$Z83)=0,0,MAX(0,IF((E$6-$E$3)&lt;1,0,IFERROR(LOOKUP(2,1/(Aveia!$E83:INDEX(Aveia!$E83:$Z83,MIN(E$6-$E$3,22))&lt;&gt;""),Aveia!$E83:INDEX(Aveia!$E83:$Z83,MIN(E$6-$E$3,22))),0))-IF($G$2,0,IF((E$6-$G$3)&lt;1,0,IFERROR(LOOKUP(2,1/(Aveia!$E83:INDEX(Aveia!$E83:$Z83,MIN(E$6-$G$3,22))&lt;&gt;""),Aveia!$E83:INDEX(Aveia!$E83:$Z83,MIN(E$6-$G$3,22))),0)))))</f>
        <v>0</v>
      </c>
      <c r="F85" s="27" t="n">
        <f aca="false">IF(COUNT(Aveia!$E83:$Z83)=0,0,MAX(0,IF((F$6-$E$3)&lt;1,0,IFERROR(LOOKUP(2,1/(Aveia!$E83:INDEX(Aveia!$E83:$Z83,MIN(F$6-$E$3,22))&lt;&gt;""),Aveia!$E83:INDEX(Aveia!$E83:$Z83,MIN(F$6-$E$3,22))),0))-IF($G$2,0,IF((F$6-$G$3)&lt;1,0,IFERROR(LOOKUP(2,1/(Aveia!$E83:INDEX(Aveia!$E83:$Z83,MIN(F$6-$G$3,22))&lt;&gt;""),Aveia!$E83:INDEX(Aveia!$E83:$Z83,MIN(F$6-$G$3,22))),0)))))</f>
        <v>0</v>
      </c>
      <c r="G85" s="27" t="n">
        <f aca="false">IF(COUNT(Aveia!$E83:$Z83)=0,0,MAX(0,IF((G$6-$E$3)&lt;1,0,IFERROR(LOOKUP(2,1/(Aveia!$E83:INDEX(Aveia!$E83:$Z83,MIN(G$6-$E$3,22))&lt;&gt;""),Aveia!$E83:INDEX(Aveia!$E83:$Z83,MIN(G$6-$E$3,22))),0))-IF($G$2,0,IF((G$6-$G$3)&lt;1,0,IFERROR(LOOKUP(2,1/(Aveia!$E83:INDEX(Aveia!$E83:$Z83,MIN(G$6-$G$3,22))&lt;&gt;""),Aveia!$E83:INDEX(Aveia!$E83:$Z83,MIN(G$6-$G$3,22))),0)))))</f>
        <v>0</v>
      </c>
      <c r="H85" s="27" t="n">
        <f aca="false">IF(COUNT(Aveia!$E83:$Z83)=0,0,MAX(0,IF((H$6-$E$3)&lt;1,0,IFERROR(LOOKUP(2,1/(Aveia!$E83:INDEX(Aveia!$E83:$Z83,MIN(H$6-$E$3,22))&lt;&gt;""),Aveia!$E83:INDEX(Aveia!$E83:$Z83,MIN(H$6-$E$3,22))),0))-IF($G$2,0,IF((H$6-$G$3)&lt;1,0,IFERROR(LOOKUP(2,1/(Aveia!$E83:INDEX(Aveia!$E83:$Z83,MIN(H$6-$G$3,22))&lt;&gt;""),Aveia!$E83:INDEX(Aveia!$E83:$Z83,MIN(H$6-$G$3,22))),0)))))</f>
        <v>0</v>
      </c>
      <c r="I85" s="27" t="n">
        <f aca="false">IF(COUNT(Aveia!$E83:$Z83)=0,0,MAX(0,IF((I$6-$E$3)&lt;1,0,IFERROR(LOOKUP(2,1/(Aveia!$E83:INDEX(Aveia!$E83:$Z83,MIN(I$6-$E$3,22))&lt;&gt;""),Aveia!$E83:INDEX(Aveia!$E83:$Z83,MIN(I$6-$E$3,22))),0))-IF($G$2,0,IF((I$6-$G$3)&lt;1,0,IFERROR(LOOKUP(2,1/(Aveia!$E83:INDEX(Aveia!$E83:$Z83,MIN(I$6-$G$3,22))&lt;&gt;""),Aveia!$E83:INDEX(Aveia!$E83:$Z83,MIN(I$6-$G$3,22))),0)))))</f>
        <v>0</v>
      </c>
      <c r="J85" s="27" t="n">
        <f aca="false">IF(COUNT(Aveia!$E83:$Z83)=0,0,MAX(0,IF((J$6-$E$3)&lt;1,0,IFERROR(LOOKUP(2,1/(Aveia!$E83:INDEX(Aveia!$E83:$Z83,MIN(J$6-$E$3,22))&lt;&gt;""),Aveia!$E83:INDEX(Aveia!$E83:$Z83,MIN(J$6-$E$3,22))),0))-IF($G$2,0,IF((J$6-$G$3)&lt;1,0,IFERROR(LOOKUP(2,1/(Aveia!$E83:INDEX(Aveia!$E83:$Z83,MIN(J$6-$G$3,22))&lt;&gt;""),Aveia!$E83:INDEX(Aveia!$E83:$Z83,MIN(J$6-$G$3,22))),0)))))</f>
        <v>0</v>
      </c>
      <c r="K85" s="27" t="n">
        <f aca="false">IF(COUNT(Aveia!$E83:$Z83)=0,0,MAX(0,IF((K$6-$E$3)&lt;1,0,IFERROR(LOOKUP(2,1/(Aveia!$E83:INDEX(Aveia!$E83:$Z83,MIN(K$6-$E$3,22))&lt;&gt;""),Aveia!$E83:INDEX(Aveia!$E83:$Z83,MIN(K$6-$E$3,22))),0))-IF($G$2,0,IF((K$6-$G$3)&lt;1,0,IFERROR(LOOKUP(2,1/(Aveia!$E83:INDEX(Aveia!$E83:$Z83,MIN(K$6-$G$3,22))&lt;&gt;""),Aveia!$E83:INDEX(Aveia!$E83:$Z83,MIN(K$6-$G$3,22))),0)))))</f>
        <v>0</v>
      </c>
      <c r="L85" s="27" t="n">
        <f aca="false">IF(COUNT(Aveia!$E83:$Z83)=0,0,MAX(0,IF((L$6-$E$3)&lt;1,0,IFERROR(LOOKUP(2,1/(Aveia!$E83:INDEX(Aveia!$E83:$Z83,MIN(L$6-$E$3,22))&lt;&gt;""),Aveia!$E83:INDEX(Aveia!$E83:$Z83,MIN(L$6-$E$3,22))),0))-IF($G$2,0,IF((L$6-$G$3)&lt;1,0,IFERROR(LOOKUP(2,1/(Aveia!$E83:INDEX(Aveia!$E83:$Z83,MIN(L$6-$G$3,22))&lt;&gt;""),Aveia!$E83:INDEX(Aveia!$E83:$Z83,MIN(L$6-$G$3,22))),0)))))</f>
        <v>0</v>
      </c>
      <c r="M85" s="27" t="n">
        <f aca="false">IF(COUNT(Aveia!$E83:$Z83)=0,0,MAX(0,IF((M$6-$E$3)&lt;1,0,IFERROR(LOOKUP(2,1/(Aveia!$E83:INDEX(Aveia!$E83:$Z83,MIN(M$6-$E$3,22))&lt;&gt;""),Aveia!$E83:INDEX(Aveia!$E83:$Z83,MIN(M$6-$E$3,22))),0))-IF($G$2,0,IF((M$6-$G$3)&lt;1,0,IFERROR(LOOKUP(2,1/(Aveia!$E83:INDEX(Aveia!$E83:$Z83,MIN(M$6-$G$3,22))&lt;&gt;""),Aveia!$E83:INDEX(Aveia!$E83:$Z83,MIN(M$6-$G$3,22))),0)))))</f>
        <v>0</v>
      </c>
      <c r="N85" s="27" t="n">
        <f aca="false">IF(COUNT(Aveia!$E83:$Z83)=0,0,MAX(0,IF((N$6-$E$3)&lt;1,0,IFERROR(LOOKUP(2,1/(Aveia!$E83:INDEX(Aveia!$E83:$Z83,MIN(N$6-$E$3,22))&lt;&gt;""),Aveia!$E83:INDEX(Aveia!$E83:$Z83,MIN(N$6-$E$3,22))),0))-IF($G$2,0,IF((N$6-$G$3)&lt;1,0,IFERROR(LOOKUP(2,1/(Aveia!$E83:INDEX(Aveia!$E83:$Z83,MIN(N$6-$G$3,22))&lt;&gt;""),Aveia!$E83:INDEX(Aveia!$E83:$Z83,MIN(N$6-$G$3,22))),0)))))</f>
        <v>0</v>
      </c>
      <c r="O85" s="27" t="n">
        <f aca="false">IF(COUNT(Aveia!$E83:$Z83)=0,0,MAX(0,IF((O$6-$E$3)&lt;1,0,IFERROR(LOOKUP(2,1/(Aveia!$E83:INDEX(Aveia!$E83:$Z83,MIN(O$6-$E$3,22))&lt;&gt;""),Aveia!$E83:INDEX(Aveia!$E83:$Z83,MIN(O$6-$E$3,22))),0))-IF($G$2,0,IF((O$6-$G$3)&lt;1,0,IFERROR(LOOKUP(2,1/(Aveia!$E83:INDEX(Aveia!$E83:$Z83,MIN(O$6-$G$3,22))&lt;&gt;""),Aveia!$E83:INDEX(Aveia!$E83:$Z83,MIN(O$6-$G$3,22))),0)))))</f>
        <v>0</v>
      </c>
      <c r="P85" s="27" t="n">
        <f aca="false">IF(COUNT(Aveia!$E83:$Z83)=0,0,MAX(0,IF((P$6-$E$3)&lt;1,0,IFERROR(LOOKUP(2,1/(Aveia!$E83:INDEX(Aveia!$E83:$Z83,MIN(P$6-$E$3,22))&lt;&gt;""),Aveia!$E83:INDEX(Aveia!$E83:$Z83,MIN(P$6-$E$3,22))),0))-IF($G$2,0,IF((P$6-$G$3)&lt;1,0,IFERROR(LOOKUP(2,1/(Aveia!$E83:INDEX(Aveia!$E83:$Z83,MIN(P$6-$G$3,22))&lt;&gt;""),Aveia!$E83:INDEX(Aveia!$E83:$Z83,MIN(P$6-$G$3,22))),0)))))</f>
        <v>0</v>
      </c>
      <c r="Q85" s="27" t="n">
        <f aca="false">IF(COUNT(Aveia!$E83:$Z83)=0,0,MAX(0,IF((Q$6-$E$3)&lt;1,0,IFERROR(LOOKUP(2,1/(Aveia!$E83:INDEX(Aveia!$E83:$Z83,MIN(Q$6-$E$3,22))&lt;&gt;""),Aveia!$E83:INDEX(Aveia!$E83:$Z83,MIN(Q$6-$E$3,22))),0))-IF($G$2,0,IF((Q$6-$G$3)&lt;1,0,IFERROR(LOOKUP(2,1/(Aveia!$E83:INDEX(Aveia!$E83:$Z83,MIN(Q$6-$G$3,22))&lt;&gt;""),Aveia!$E83:INDEX(Aveia!$E83:$Z83,MIN(Q$6-$G$3,22))),0)))))</f>
        <v>0</v>
      </c>
      <c r="R85" s="27" t="n">
        <f aca="false">IF(COUNT(Aveia!$E83:$Z83)=0,0,MAX(0,IF((R$6-$E$3)&lt;1,0,IFERROR(LOOKUP(2,1/(Aveia!$E83:INDEX(Aveia!$E83:$Z83,MIN(R$6-$E$3,22))&lt;&gt;""),Aveia!$E83:INDEX(Aveia!$E83:$Z83,MIN(R$6-$E$3,22))),0))-IF($G$2,0,IF((R$6-$G$3)&lt;1,0,IFERROR(LOOKUP(2,1/(Aveia!$E83:INDEX(Aveia!$E83:$Z83,MIN(R$6-$G$3,22))&lt;&gt;""),Aveia!$E83:INDEX(Aveia!$E83:$Z83,MIN(R$6-$G$3,22))),0)))))</f>
        <v>0</v>
      </c>
      <c r="S85" s="27" t="n">
        <f aca="false">IF(COUNT(Aveia!$E83:$Z83)=0,0,MAX(0,IF((S$6-$E$3)&lt;1,0,IFERROR(LOOKUP(2,1/(Aveia!$E83:INDEX(Aveia!$E83:$Z83,MIN(S$6-$E$3,22))&lt;&gt;""),Aveia!$E83:INDEX(Aveia!$E83:$Z83,MIN(S$6-$E$3,22))),0))-IF($G$2,0,IF((S$6-$G$3)&lt;1,0,IFERROR(LOOKUP(2,1/(Aveia!$E83:INDEX(Aveia!$E83:$Z83,MIN(S$6-$G$3,22))&lt;&gt;""),Aveia!$E83:INDEX(Aveia!$E83:$Z83,MIN(S$6-$G$3,22))),0)))))</f>
        <v>0</v>
      </c>
      <c r="T85" s="27" t="n">
        <f aca="false">IF(COUNT(Aveia!$E83:$Z83)=0,0,MAX(0,IF((T$6-$E$3)&lt;1,0,IFERROR(LOOKUP(2,1/(Aveia!$E83:INDEX(Aveia!$E83:$Z83,MIN(T$6-$E$3,22))&lt;&gt;""),Aveia!$E83:INDEX(Aveia!$E83:$Z83,MIN(T$6-$E$3,22))),0))-IF($G$2,0,IF((T$6-$G$3)&lt;1,0,IFERROR(LOOKUP(2,1/(Aveia!$E83:INDEX(Aveia!$E83:$Z83,MIN(T$6-$G$3,22))&lt;&gt;""),Aveia!$E83:INDEX(Aveia!$E83:$Z83,MIN(T$6-$G$3,22))),0)))))</f>
        <v>0</v>
      </c>
      <c r="U85" s="27" t="n">
        <f aca="false">IF(COUNT(Aveia!$E83:$Z83)=0,0,MAX(0,IF((U$6-$E$3)&lt;1,0,IFERROR(LOOKUP(2,1/(Aveia!$E83:INDEX(Aveia!$E83:$Z83,MIN(U$6-$E$3,22))&lt;&gt;""),Aveia!$E83:INDEX(Aveia!$E83:$Z83,MIN(U$6-$E$3,22))),0))-IF($G$2,0,IF((U$6-$G$3)&lt;1,0,IFERROR(LOOKUP(2,1/(Aveia!$E83:INDEX(Aveia!$E83:$Z83,MIN(U$6-$G$3,22))&lt;&gt;""),Aveia!$E83:INDEX(Aveia!$E83:$Z83,MIN(U$6-$G$3,22))),0)))))</f>
        <v>0</v>
      </c>
      <c r="V85" s="27" t="n">
        <f aca="false">IF(COUNT(Aveia!$E83:$Z83)=0,0,MAX(0,IF((V$6-$E$3)&lt;1,0,IFERROR(LOOKUP(2,1/(Aveia!$E83:INDEX(Aveia!$E83:$Z83,MIN(V$6-$E$3,22))&lt;&gt;""),Aveia!$E83:INDEX(Aveia!$E83:$Z83,MIN(V$6-$E$3,22))),0))-IF($G$2,0,IF((V$6-$G$3)&lt;1,0,IFERROR(LOOKUP(2,1/(Aveia!$E83:INDEX(Aveia!$E83:$Z83,MIN(V$6-$G$3,22))&lt;&gt;""),Aveia!$E83:INDEX(Aveia!$E83:$Z83,MIN(V$6-$G$3,22))),0)))))</f>
        <v>0</v>
      </c>
      <c r="W85" s="27" t="n">
        <f aca="false">IF(COUNT(Aveia!$E83:$Z83)=0,0,MAX(0,IF((W$6-$E$3)&lt;1,0,IFERROR(LOOKUP(2,1/(Aveia!$E83:INDEX(Aveia!$E83:$Z83,MIN(W$6-$E$3,22))&lt;&gt;""),Aveia!$E83:INDEX(Aveia!$E83:$Z83,MIN(W$6-$E$3,22))),0))-IF($G$2,0,IF((W$6-$G$3)&lt;1,0,IFERROR(LOOKUP(2,1/(Aveia!$E83:INDEX(Aveia!$E83:$Z83,MIN(W$6-$G$3,22))&lt;&gt;""),Aveia!$E83:INDEX(Aveia!$E83:$Z83,MIN(W$6-$G$3,22))),0)))))</f>
        <v>0</v>
      </c>
      <c r="X85" s="27" t="n">
        <f aca="false">IF(COUNT(Aveia!$E83:$Z83)=0,0,MAX(0,IF((X$6-$E$3)&lt;1,0,IFERROR(LOOKUP(2,1/(Aveia!$E83:INDEX(Aveia!$E83:$Z83,MIN(X$6-$E$3,22))&lt;&gt;""),Aveia!$E83:INDEX(Aveia!$E83:$Z83,MIN(X$6-$E$3,22))),0))-IF($G$2,0,IF((X$6-$G$3)&lt;1,0,IFERROR(LOOKUP(2,1/(Aveia!$E83:INDEX(Aveia!$E83:$Z83,MIN(X$6-$G$3,22))&lt;&gt;""),Aveia!$E83:INDEX(Aveia!$E83:$Z83,MIN(X$6-$G$3,22))),0)))))</f>
        <v>0</v>
      </c>
      <c r="Y85" s="27" t="n">
        <f aca="false">IF(COUNT(Aveia!$E83:$Z83)=0,0,MAX(0,IF((Y$6-$E$3)&lt;1,0,IFERROR(LOOKUP(2,1/(Aveia!$E83:INDEX(Aveia!$E83:$Z83,MIN(Y$6-$E$3,22))&lt;&gt;""),Aveia!$E83:INDEX(Aveia!$E83:$Z83,MIN(Y$6-$E$3,22))),0))-IF($G$2,0,IF((Y$6-$G$3)&lt;1,0,IFERROR(LOOKUP(2,1/(Aveia!$E83:INDEX(Aveia!$E83:$Z83,MIN(Y$6-$G$3,22))&lt;&gt;""),Aveia!$E83:INDEX(Aveia!$E83:$Z83,MIN(Y$6-$G$3,22))),0)))))</f>
        <v>0</v>
      </c>
      <c r="Z85" s="27" t="n">
        <f aca="false">IF(COUNT(Aveia!$E83:$Z83)=0,0,MAX(0,IF((Z$6-$E$3)&lt;1,0,IFERROR(LOOKUP(2,1/(Aveia!$E83:INDEX(Aveia!$E83:$Z83,MIN(Z$6-$E$3,22))&lt;&gt;""),Aveia!$E83:INDEX(Aveia!$E83:$Z83,MIN(Z$6-$E$3,22))),0))-IF($G$2,0,IF((Z$6-$G$3)&lt;1,0,IFERROR(LOOKUP(2,1/(Aveia!$E83:INDEX(Aveia!$E83:$Z83,MIN(Z$6-$G$3,22))&lt;&gt;""),Aveia!$E83:INDEX(Aveia!$E83:$Z83,MIN(Z$6-$G$3,22))),0)))))</f>
        <v>0</v>
      </c>
      <c r="AA85" s="27" t="n">
        <f aca="false">IF(COUNT(Aveia!$E83:$Z83)=0,0,MAX(0,IF((AA$6-$E$3)&lt;1,0,IFERROR(LOOKUP(2,1/(Aveia!$E83:INDEX(Aveia!$E83:$Z83,MIN(AA$6-$E$3,22))&lt;&gt;""),Aveia!$E83:INDEX(Aveia!$E83:$Z83,MIN(AA$6-$E$3,22))),0))-IF($G$2,0,IF((AA$6-$G$3)&lt;1,0,IFERROR(LOOKUP(2,1/(Aveia!$E83:INDEX(Aveia!$E83:$Z83,MIN(AA$6-$G$3,22))&lt;&gt;""),Aveia!$E83:INDEX(Aveia!$E83:$Z83,MIN(AA$6-$G$3,22))),0)))))</f>
        <v>0</v>
      </c>
      <c r="AB85" s="27" t="n">
        <f aca="false">IF(COUNT(Aveia!$E83:$Z83)=0,0,MAX(0,IF((AB$6-$E$3)&lt;1,0,IFERROR(LOOKUP(2,1/(Aveia!$E83:INDEX(Aveia!$E83:$Z83,MIN(AB$6-$E$3,22))&lt;&gt;""),Aveia!$E83:INDEX(Aveia!$E83:$Z83,MIN(AB$6-$E$3,22))),0))-IF($G$2,0,IF((AB$6-$G$3)&lt;1,0,IFERROR(LOOKUP(2,1/(Aveia!$E83:INDEX(Aveia!$E83:$Z83,MIN(AB$6-$G$3,22))&lt;&gt;""),Aveia!$E83:INDEX(Aveia!$E83:$Z83,MIN(AB$6-$G$3,22))),0)))))</f>
        <v>0</v>
      </c>
      <c r="AC85" s="27" t="n">
        <f aca="false">IF(COUNT(Aveia!$E83:$Z83)=0,0,MAX(0,IF((AC$6-$E$3)&lt;1,0,IFERROR(LOOKUP(2,1/(Aveia!$E83:INDEX(Aveia!$E83:$Z83,MIN(AC$6-$E$3,22))&lt;&gt;""),Aveia!$E83:INDEX(Aveia!$E83:$Z83,MIN(AC$6-$E$3,22))),0))-IF($G$2,0,IF((AC$6-$G$3)&lt;1,0,IFERROR(LOOKUP(2,1/(Aveia!$E83:INDEX(Aveia!$E83:$Z83,MIN(AC$6-$G$3,22))&lt;&gt;""),Aveia!$E83:INDEX(Aveia!$E83:$Z83,MIN(AC$6-$G$3,22))),0)))))</f>
        <v>0</v>
      </c>
      <c r="AD85" s="27" t="n">
        <f aca="false">IF(COUNT(Aveia!$E83:$Z83)=0,0,MAX(0,IF((AD$6-$E$3)&lt;1,0,IFERROR(LOOKUP(2,1/(Aveia!$E83:INDEX(Aveia!$E83:$Z83,MIN(AD$6-$E$3,22))&lt;&gt;""),Aveia!$E83:INDEX(Aveia!$E83:$Z83,MIN(AD$6-$E$3,22))),0))-IF($G$2,0,IF((AD$6-$G$3)&lt;1,0,IFERROR(LOOKUP(2,1/(Aveia!$E83:INDEX(Aveia!$E83:$Z83,MIN(AD$6-$G$3,22))&lt;&gt;""),Aveia!$E83:INDEX(Aveia!$E83:$Z83,MIN(AD$6-$G$3,22))),0)))))</f>
        <v>0</v>
      </c>
      <c r="AE85" s="27" t="n">
        <f aca="false">IF(COUNT(Aveia!$E83:$Z83)=0,0,MAX(0,IF((AE$6-$E$3)&lt;1,0,IFERROR(LOOKUP(2,1/(Aveia!$E83:INDEX(Aveia!$E83:$Z83,MIN(AE$6-$E$3,22))&lt;&gt;""),Aveia!$E83:INDEX(Aveia!$E83:$Z83,MIN(AE$6-$E$3,22))),0))-IF($G$2,0,IF((AE$6-$G$3)&lt;1,0,IFERROR(LOOKUP(2,1/(Aveia!$E83:INDEX(Aveia!$E83:$Z83,MIN(AE$6-$G$3,22))&lt;&gt;""),Aveia!$E83:INDEX(Aveia!$E83:$Z83,MIN(AE$6-$G$3,22))),0)))))</f>
        <v>0</v>
      </c>
      <c r="AF85" s="27" t="n">
        <f aca="false">IF(COUNT(Aveia!$E83:$Z83)=0,0,MAX(0,IF((AF$6-$E$3)&lt;1,0,IFERROR(LOOKUP(2,1/(Aveia!$E83:INDEX(Aveia!$E83:$Z83,MIN(AF$6-$E$3,22))&lt;&gt;""),Aveia!$E83:INDEX(Aveia!$E83:$Z83,MIN(AF$6-$E$3,22))),0))-IF($G$2,0,IF((AF$6-$G$3)&lt;1,0,IFERROR(LOOKUP(2,1/(Aveia!$E83:INDEX(Aveia!$E83:$Z83,MIN(AF$6-$G$3,22))&lt;&gt;""),Aveia!$E83:INDEX(Aveia!$E83:$Z83,MIN(AF$6-$G$3,22))),0)))))</f>
        <v>0</v>
      </c>
      <c r="AG85" s="27" t="n">
        <f aca="false">IF(COUNT(Aveia!$E83:$Z83)=0,0,MAX(0,IF((AG$6-$E$3)&lt;1,0,IFERROR(LOOKUP(2,1/(Aveia!$E83:INDEX(Aveia!$E83:$Z83,MIN(AG$6-$E$3,22))&lt;&gt;""),Aveia!$E83:INDEX(Aveia!$E83:$Z83,MIN(AG$6-$E$3,22))),0))-IF($G$2,0,IF((AG$6-$G$3)&lt;1,0,IFERROR(LOOKUP(2,1/(Aveia!$E83:INDEX(Aveia!$E83:$Z83,MIN(AG$6-$G$3,22))&lt;&gt;""),Aveia!$E83:INDEX(Aveia!$E83:$Z83,MIN(AG$6-$G$3,22))),0)))))</f>
        <v>0</v>
      </c>
      <c r="AH85" s="27" t="n">
        <f aca="false">IF(COUNT(Aveia!$E83:$Z83)=0,0,MAX(0,IF((AH$6-$E$3)&lt;1,0,IFERROR(LOOKUP(2,1/(Aveia!$E83:INDEX(Aveia!$E83:$Z83,MIN(AH$6-$E$3,22))&lt;&gt;""),Aveia!$E83:INDEX(Aveia!$E83:$Z83,MIN(AH$6-$E$3,22))),0))-IF($G$2,0,IF((AH$6-$G$3)&lt;1,0,IFERROR(LOOKUP(2,1/(Aveia!$E83:INDEX(Aveia!$E83:$Z83,MIN(AH$6-$G$3,22))&lt;&gt;""),Aveia!$E83:INDEX(Aveia!$E83:$Z83,MIN(AH$6-$G$3,22))),0)))))</f>
        <v>0</v>
      </c>
      <c r="AI85" s="27" t="n">
        <f aca="false">IF(COUNT(Aveia!$E83:$Z83)=0,0,MAX(0,IF((AI$6-$E$3)&lt;1,0,IFERROR(LOOKUP(2,1/(Aveia!$E83:INDEX(Aveia!$E83:$Z83,MIN(AI$6-$E$3,22))&lt;&gt;""),Aveia!$E83:INDEX(Aveia!$E83:$Z83,MIN(AI$6-$E$3,22))),0))-IF($G$2,0,IF((AI$6-$G$3)&lt;1,0,IFERROR(LOOKUP(2,1/(Aveia!$E83:INDEX(Aveia!$E83:$Z83,MIN(AI$6-$G$3,22))&lt;&gt;""),Aveia!$E83:INDEX(Aveia!$E83:$Z83,MIN(AI$6-$G$3,22))),0)))))</f>
        <v>0</v>
      </c>
      <c r="AJ85" s="27" t="n">
        <f aca="false">IF(COUNT(Aveia!$E83:$Z83)=0,0,MAX(0,IF((AJ$6-$E$3)&lt;1,0,IFERROR(LOOKUP(2,1/(Aveia!$E83:INDEX(Aveia!$E83:$Z83,MIN(AJ$6-$E$3,22))&lt;&gt;""),Aveia!$E83:INDEX(Aveia!$E83:$Z83,MIN(AJ$6-$E$3,22))),0))-IF($G$2,0,IF((AJ$6-$G$3)&lt;1,0,IFERROR(LOOKUP(2,1/(Aveia!$E83:INDEX(Aveia!$E83:$Z83,MIN(AJ$6-$G$3,22))&lt;&gt;""),Aveia!$E83:INDEX(Aveia!$E83:$Z83,MIN(AJ$6-$G$3,22))),0)))))</f>
        <v>0</v>
      </c>
      <c r="AK85" s="27" t="n">
        <f aca="false">IF(COUNT(Aveia!$E83:$Z83)=0,0,MAX(0,IF((AK$6-$E$3)&lt;1,0,IFERROR(LOOKUP(2,1/(Aveia!$E83:INDEX(Aveia!$E83:$Z83,MIN(AK$6-$E$3,22))&lt;&gt;""),Aveia!$E83:INDEX(Aveia!$E83:$Z83,MIN(AK$6-$E$3,22))),0))-IF($G$2,0,IF((AK$6-$G$3)&lt;1,0,IFERROR(LOOKUP(2,1/(Aveia!$E83:INDEX(Aveia!$E83:$Z83,MIN(AK$6-$G$3,22))&lt;&gt;""),Aveia!$E83:INDEX(Aveia!$E83:$Z83,MIN(AK$6-$G$3,22))),0)))))</f>
        <v>0</v>
      </c>
      <c r="AL85" s="27" t="n">
        <f aca="false">IF(COUNT(Aveia!$E83:$Z83)=0,0,MAX(0,IF((AL$6-$E$3)&lt;1,0,IFERROR(LOOKUP(2,1/(Aveia!$E83:INDEX(Aveia!$E83:$Z83,MIN(AL$6-$E$3,22))&lt;&gt;""),Aveia!$E83:INDEX(Aveia!$E83:$Z83,MIN(AL$6-$E$3,22))),0))-IF($G$2,0,IF((AL$6-$G$3)&lt;1,0,IFERROR(LOOKUP(2,1/(Aveia!$E83:INDEX(Aveia!$E83:$Z83,MIN(AL$6-$G$3,22))&lt;&gt;""),Aveia!$E83:INDEX(Aveia!$E83:$Z83,MIN(AL$6-$G$3,22))),0)))))</f>
        <v>0</v>
      </c>
      <c r="AM85" s="27" t="n">
        <f aca="false">IF(COUNT(Aveia!$E83:$Z83)=0,0,MAX(0,IF((AM$6-$E$3)&lt;1,0,IFERROR(LOOKUP(2,1/(Aveia!$E83:INDEX(Aveia!$E83:$Z83,MIN(AM$6-$E$3,22))&lt;&gt;""),Aveia!$E83:INDEX(Aveia!$E83:$Z83,MIN(AM$6-$E$3,22))),0))-IF($G$2,0,IF((AM$6-$G$3)&lt;1,0,IFERROR(LOOKUP(2,1/(Aveia!$E83:INDEX(Aveia!$E83:$Z83,MIN(AM$6-$G$3,22))&lt;&gt;""),Aveia!$E83:INDEX(Aveia!$E83:$Z83,MIN(AM$6-$G$3,22))),0)))))</f>
        <v>0</v>
      </c>
      <c r="AN85" s="27" t="n">
        <f aca="false">IF(COUNT(Aveia!$E83:$Z83)=0,0,MAX(0,IF((AN$6-$E$3)&lt;1,0,IFERROR(LOOKUP(2,1/(Aveia!$E83:INDEX(Aveia!$E83:$Z83,MIN(AN$6-$E$3,22))&lt;&gt;""),Aveia!$E83:INDEX(Aveia!$E83:$Z83,MIN(AN$6-$E$3,22))),0))-IF($G$2,0,IF((AN$6-$G$3)&lt;1,0,IFERROR(LOOKUP(2,1/(Aveia!$E83:INDEX(Aveia!$E83:$Z83,MIN(AN$6-$G$3,22))&lt;&gt;""),Aveia!$E83:INDEX(Aveia!$E83:$Z83,MIN(AN$6-$G$3,22))),0)))))</f>
        <v>0</v>
      </c>
      <c r="AO85" s="27" t="n">
        <f aca="false">IF(COUNT(Aveia!$E83:$Z83)=0,0,MAX(0,IF((AO$6-$E$3)&lt;1,0,IFERROR(LOOKUP(2,1/(Aveia!$E83:INDEX(Aveia!$E83:$Z83,MIN(AO$6-$E$3,22))&lt;&gt;""),Aveia!$E83:INDEX(Aveia!$E83:$Z83,MIN(AO$6-$E$3,22))),0))-IF($G$2,0,IF((AO$6-$G$3)&lt;1,0,IFERROR(LOOKUP(2,1/(Aveia!$E83:INDEX(Aveia!$E83:$Z83,MIN(AO$6-$G$3,22))&lt;&gt;""),Aveia!$E83:INDEX(Aveia!$E83:$Z83,MIN(AO$6-$G$3,22))),0)))))</f>
        <v>0</v>
      </c>
      <c r="AP85" s="27" t="n">
        <f aca="false">IF(COUNT(Aveia!$E83:$Z83)=0,0,MAX(0,IF((AP$6-$E$3)&lt;1,0,IFERROR(LOOKUP(2,1/(Aveia!$E83:INDEX(Aveia!$E83:$Z83,MIN(AP$6-$E$3,22))&lt;&gt;""),Aveia!$E83:INDEX(Aveia!$E83:$Z83,MIN(AP$6-$E$3,22))),0))-IF($G$2,0,IF((AP$6-$G$3)&lt;1,0,IFERROR(LOOKUP(2,1/(Aveia!$E83:INDEX(Aveia!$E83:$Z83,MIN(AP$6-$G$3,22))&lt;&gt;""),Aveia!$E83:INDEX(Aveia!$E83:$Z83,MIN(AP$6-$G$3,22))),0)))))</f>
        <v>0</v>
      </c>
      <c r="AQ85" s="27" t="n">
        <f aca="false">IF(COUNT(Aveia!$E83:$Z83)=0,0,MAX(0,IF((AQ$6-$E$3)&lt;1,0,IFERROR(LOOKUP(2,1/(Aveia!$E83:INDEX(Aveia!$E83:$Z83,MIN(AQ$6-$E$3,22))&lt;&gt;""),Aveia!$E83:INDEX(Aveia!$E83:$Z83,MIN(AQ$6-$E$3,22))),0))-IF($G$2,0,IF((AQ$6-$G$3)&lt;1,0,IFERROR(LOOKUP(2,1/(Aveia!$E83:INDEX(Aveia!$E83:$Z83,MIN(AQ$6-$G$3,22))&lt;&gt;""),Aveia!$E83:INDEX(Aveia!$E83:$Z83,MIN(AQ$6-$G$3,22))),0)))))</f>
        <v>0</v>
      </c>
      <c r="AR85" s="27" t="n">
        <f aca="false">IF(COUNT(Aveia!$E83:$Z83)=0,0,MAX(0,IF((AR$6-$E$3)&lt;1,0,IFERROR(LOOKUP(2,1/(Aveia!$E83:INDEX(Aveia!$E83:$Z83,MIN(AR$6-$E$3,22))&lt;&gt;""),Aveia!$E83:INDEX(Aveia!$E83:$Z83,MIN(AR$6-$E$3,22))),0))-IF($G$2,0,IF((AR$6-$G$3)&lt;1,0,IFERROR(LOOKUP(2,1/(Aveia!$E83:INDEX(Aveia!$E83:$Z83,MIN(AR$6-$G$3,22))&lt;&gt;""),Aveia!$E83:INDEX(Aveia!$E83:$Z83,MIN(AR$6-$G$3,22))),0)))))</f>
        <v>0</v>
      </c>
      <c r="AS85" s="27" t="n">
        <f aca="false">IF(COUNT(Aveia!$E83:$Z83)=0,0,MAX(0,IF((AS$6-$E$3)&lt;1,0,IFERROR(LOOKUP(2,1/(Aveia!$E83:INDEX(Aveia!$E83:$Z83,MIN(AS$6-$E$3,22))&lt;&gt;""),Aveia!$E83:INDEX(Aveia!$E83:$Z83,MIN(AS$6-$E$3,22))),0))-IF($G$2,0,IF((AS$6-$G$3)&lt;1,0,IFERROR(LOOKUP(2,1/(Aveia!$E83:INDEX(Aveia!$E83:$Z83,MIN(AS$6-$G$3,22))&lt;&gt;""),Aveia!$E83:INDEX(Aveia!$E83:$Z83,MIN(AS$6-$G$3,22))),0)))))</f>
        <v>0</v>
      </c>
      <c r="AT85" s="27" t="n">
        <f aca="false">IF(COUNT(Aveia!$E83:$Z83)=0,0,MAX(0,IF((AT$6-$E$3)&lt;1,0,IFERROR(LOOKUP(2,1/(Aveia!$E83:INDEX(Aveia!$E83:$Z83,MIN(AT$6-$E$3,22))&lt;&gt;""),Aveia!$E83:INDEX(Aveia!$E83:$Z83,MIN(AT$6-$E$3,22))),0))-IF($G$2,0,IF((AT$6-$G$3)&lt;1,0,IFERROR(LOOKUP(2,1/(Aveia!$E83:INDEX(Aveia!$E83:$Z83,MIN(AT$6-$G$3,22))&lt;&gt;""),Aveia!$E83:INDEX(Aveia!$E83:$Z83,MIN(AT$6-$G$3,22))),0)))))</f>
        <v>0</v>
      </c>
      <c r="AU85" s="27" t="n">
        <f aca="false">IF(COUNT(Aveia!$E83:$Z83)=0,0,MAX(0,IF((AU$6-$E$3)&lt;1,0,IFERROR(LOOKUP(2,1/(Aveia!$E83:INDEX(Aveia!$E83:$Z83,MIN(AU$6-$E$3,22))&lt;&gt;""),Aveia!$E83:INDEX(Aveia!$E83:$Z83,MIN(AU$6-$E$3,22))),0))-IF($G$2,0,IF((AU$6-$G$3)&lt;1,0,IFERROR(LOOKUP(2,1/(Aveia!$E83:INDEX(Aveia!$E83:$Z83,MIN(AU$6-$G$3,22))&lt;&gt;""),Aveia!$E83:INDEX(Aveia!$E83:$Z83,MIN(AU$6-$G$3,22))),0)))))</f>
        <v>0</v>
      </c>
      <c r="AV85" s="27" t="n">
        <f aca="false">IF(COUNT(Aveia!$E83:$Z83)=0,0,MAX(0,IF((AV$6-$E$3)&lt;1,0,IFERROR(LOOKUP(2,1/(Aveia!$E83:INDEX(Aveia!$E83:$Z83,MIN(AV$6-$E$3,22))&lt;&gt;""),Aveia!$E83:INDEX(Aveia!$E83:$Z83,MIN(AV$6-$E$3,22))),0))-IF($G$2,0,IF((AV$6-$G$3)&lt;1,0,IFERROR(LOOKUP(2,1/(Aveia!$E83:INDEX(Aveia!$E83:$Z83,MIN(AV$6-$G$3,22))&lt;&gt;""),Aveia!$E83:INDEX(Aveia!$E83:$Z83,MIN(AV$6-$G$3,22))),0)))))</f>
        <v>0</v>
      </c>
      <c r="AW85" s="27" t="n">
        <f aca="false">IF(COUNT(Aveia!$E83:$Z83)=0,0,MAX(0,IF((AW$6-$E$3)&lt;1,0,IFERROR(LOOKUP(2,1/(Aveia!$E83:INDEX(Aveia!$E83:$Z83,MIN(AW$6-$E$3,22))&lt;&gt;""),Aveia!$E83:INDEX(Aveia!$E83:$Z83,MIN(AW$6-$E$3,22))),0))-IF($G$2,0,IF((AW$6-$G$3)&lt;1,0,IFERROR(LOOKUP(2,1/(Aveia!$E83:INDEX(Aveia!$E83:$Z83,MIN(AW$6-$G$3,22))&lt;&gt;""),Aveia!$E83:INDEX(Aveia!$E83:$Z83,MIN(AW$6-$G$3,22))),0)))))</f>
        <v>0</v>
      </c>
      <c r="AX85" s="27" t="n">
        <f aca="false">IF(COUNT(Aveia!$E83:$Z83)=0,0,MAX(0,IF((AX$6-$E$3)&lt;1,0,IFERROR(LOOKUP(2,1/(Aveia!$E83:INDEX(Aveia!$E83:$Z83,MIN(AX$6-$E$3,22))&lt;&gt;""),Aveia!$E83:INDEX(Aveia!$E83:$Z83,MIN(AX$6-$E$3,22))),0))-IF($G$2,0,IF((AX$6-$G$3)&lt;1,0,IFERROR(LOOKUP(2,1/(Aveia!$E83:INDEX(Aveia!$E83:$Z83,MIN(AX$6-$G$3,22))&lt;&gt;""),Aveia!$E83:INDEX(Aveia!$E83:$Z83,MIN(AX$6-$G$3,22))),0)))))</f>
        <v>0</v>
      </c>
      <c r="AY85" s="27" t="n">
        <f aca="false">IF(COUNT(Aveia!$E83:$Z83)=0,0,MAX(0,IF((AY$6-$E$3)&lt;1,0,IFERROR(LOOKUP(2,1/(Aveia!$E83:INDEX(Aveia!$E83:$Z83,MIN(AY$6-$E$3,22))&lt;&gt;""),Aveia!$E83:INDEX(Aveia!$E83:$Z83,MIN(AY$6-$E$3,22))),0))-IF($G$2,0,IF((AY$6-$G$3)&lt;1,0,IFERROR(LOOKUP(2,1/(Aveia!$E83:INDEX(Aveia!$E83:$Z83,MIN(AY$6-$G$3,22))&lt;&gt;""),Aveia!$E83:INDEX(Aveia!$E83:$Z83,MIN(AY$6-$G$3,22))),0)))))</f>
        <v>0</v>
      </c>
      <c r="AZ85" s="27" t="n">
        <f aca="false">IF(COUNT(Aveia!$E83:$Z83)=0,0,MAX(0,IF((AZ$6-$E$3)&lt;1,0,IFERROR(LOOKUP(2,1/(Aveia!$E83:INDEX(Aveia!$E83:$Z83,MIN(AZ$6-$E$3,22))&lt;&gt;""),Aveia!$E83:INDEX(Aveia!$E83:$Z83,MIN(AZ$6-$E$3,22))),0))-IF($G$2,0,IF((AZ$6-$G$3)&lt;1,0,IFERROR(LOOKUP(2,1/(Aveia!$E83:INDEX(Aveia!$E83:$Z83,MIN(AZ$6-$G$3,22))&lt;&gt;""),Aveia!$E83:INDEX(Aveia!$E83:$Z83,MIN(AZ$6-$G$3,22))),0)))))</f>
        <v>0</v>
      </c>
    </row>
    <row r="86" customFormat="false" ht="15" hidden="false" customHeight="false" outlineLevel="0" collapsed="false">
      <c r="A86" s="3" t="s">
        <v>289</v>
      </c>
      <c r="B86" s="3" t="s">
        <v>290</v>
      </c>
      <c r="C86" s="10" t="s">
        <v>158</v>
      </c>
      <c r="D86" s="26" t="n">
        <f aca="false">IF(COUNT(Aveia!$E84:$Z84)&gt;0,N(Aveia!$D84),0)</f>
        <v>0</v>
      </c>
      <c r="E86" s="27" t="n">
        <f aca="false">IF(COUNT(Aveia!$E84:$Z84)=0,0,MAX(0,IF((E$6-$E$3)&lt;1,0,IFERROR(LOOKUP(2,1/(Aveia!$E84:INDEX(Aveia!$E84:$Z84,MIN(E$6-$E$3,22))&lt;&gt;""),Aveia!$E84:INDEX(Aveia!$E84:$Z84,MIN(E$6-$E$3,22))),0))-IF($G$2,0,IF((E$6-$G$3)&lt;1,0,IFERROR(LOOKUP(2,1/(Aveia!$E84:INDEX(Aveia!$E84:$Z84,MIN(E$6-$G$3,22))&lt;&gt;""),Aveia!$E84:INDEX(Aveia!$E84:$Z84,MIN(E$6-$G$3,22))),0)))))</f>
        <v>0</v>
      </c>
      <c r="F86" s="27" t="n">
        <f aca="false">IF(COUNT(Aveia!$E84:$Z84)=0,0,MAX(0,IF((F$6-$E$3)&lt;1,0,IFERROR(LOOKUP(2,1/(Aveia!$E84:INDEX(Aveia!$E84:$Z84,MIN(F$6-$E$3,22))&lt;&gt;""),Aveia!$E84:INDEX(Aveia!$E84:$Z84,MIN(F$6-$E$3,22))),0))-IF($G$2,0,IF((F$6-$G$3)&lt;1,0,IFERROR(LOOKUP(2,1/(Aveia!$E84:INDEX(Aveia!$E84:$Z84,MIN(F$6-$G$3,22))&lt;&gt;""),Aveia!$E84:INDEX(Aveia!$E84:$Z84,MIN(F$6-$G$3,22))),0)))))</f>
        <v>0</v>
      </c>
      <c r="G86" s="27" t="n">
        <f aca="false">IF(COUNT(Aveia!$E84:$Z84)=0,0,MAX(0,IF((G$6-$E$3)&lt;1,0,IFERROR(LOOKUP(2,1/(Aveia!$E84:INDEX(Aveia!$E84:$Z84,MIN(G$6-$E$3,22))&lt;&gt;""),Aveia!$E84:INDEX(Aveia!$E84:$Z84,MIN(G$6-$E$3,22))),0))-IF($G$2,0,IF((G$6-$G$3)&lt;1,0,IFERROR(LOOKUP(2,1/(Aveia!$E84:INDEX(Aveia!$E84:$Z84,MIN(G$6-$G$3,22))&lt;&gt;""),Aveia!$E84:INDEX(Aveia!$E84:$Z84,MIN(G$6-$G$3,22))),0)))))</f>
        <v>0</v>
      </c>
      <c r="H86" s="27" t="n">
        <f aca="false">IF(COUNT(Aveia!$E84:$Z84)=0,0,MAX(0,IF((H$6-$E$3)&lt;1,0,IFERROR(LOOKUP(2,1/(Aveia!$E84:INDEX(Aveia!$E84:$Z84,MIN(H$6-$E$3,22))&lt;&gt;""),Aveia!$E84:INDEX(Aveia!$E84:$Z84,MIN(H$6-$E$3,22))),0))-IF($G$2,0,IF((H$6-$G$3)&lt;1,0,IFERROR(LOOKUP(2,1/(Aveia!$E84:INDEX(Aveia!$E84:$Z84,MIN(H$6-$G$3,22))&lt;&gt;""),Aveia!$E84:INDEX(Aveia!$E84:$Z84,MIN(H$6-$G$3,22))),0)))))</f>
        <v>0</v>
      </c>
      <c r="I86" s="27" t="n">
        <f aca="false">IF(COUNT(Aveia!$E84:$Z84)=0,0,MAX(0,IF((I$6-$E$3)&lt;1,0,IFERROR(LOOKUP(2,1/(Aveia!$E84:INDEX(Aveia!$E84:$Z84,MIN(I$6-$E$3,22))&lt;&gt;""),Aveia!$E84:INDEX(Aveia!$E84:$Z84,MIN(I$6-$E$3,22))),0))-IF($G$2,0,IF((I$6-$G$3)&lt;1,0,IFERROR(LOOKUP(2,1/(Aveia!$E84:INDEX(Aveia!$E84:$Z84,MIN(I$6-$G$3,22))&lt;&gt;""),Aveia!$E84:INDEX(Aveia!$E84:$Z84,MIN(I$6-$G$3,22))),0)))))</f>
        <v>0</v>
      </c>
      <c r="J86" s="27" t="n">
        <f aca="false">IF(COUNT(Aveia!$E84:$Z84)=0,0,MAX(0,IF((J$6-$E$3)&lt;1,0,IFERROR(LOOKUP(2,1/(Aveia!$E84:INDEX(Aveia!$E84:$Z84,MIN(J$6-$E$3,22))&lt;&gt;""),Aveia!$E84:INDEX(Aveia!$E84:$Z84,MIN(J$6-$E$3,22))),0))-IF($G$2,0,IF((J$6-$G$3)&lt;1,0,IFERROR(LOOKUP(2,1/(Aveia!$E84:INDEX(Aveia!$E84:$Z84,MIN(J$6-$G$3,22))&lt;&gt;""),Aveia!$E84:INDEX(Aveia!$E84:$Z84,MIN(J$6-$G$3,22))),0)))))</f>
        <v>0</v>
      </c>
      <c r="K86" s="27" t="n">
        <f aca="false">IF(COUNT(Aveia!$E84:$Z84)=0,0,MAX(0,IF((K$6-$E$3)&lt;1,0,IFERROR(LOOKUP(2,1/(Aveia!$E84:INDEX(Aveia!$E84:$Z84,MIN(K$6-$E$3,22))&lt;&gt;""),Aveia!$E84:INDEX(Aveia!$E84:$Z84,MIN(K$6-$E$3,22))),0))-IF($G$2,0,IF((K$6-$G$3)&lt;1,0,IFERROR(LOOKUP(2,1/(Aveia!$E84:INDEX(Aveia!$E84:$Z84,MIN(K$6-$G$3,22))&lt;&gt;""),Aveia!$E84:INDEX(Aveia!$E84:$Z84,MIN(K$6-$G$3,22))),0)))))</f>
        <v>0</v>
      </c>
      <c r="L86" s="27" t="n">
        <f aca="false">IF(COUNT(Aveia!$E84:$Z84)=0,0,MAX(0,IF((L$6-$E$3)&lt;1,0,IFERROR(LOOKUP(2,1/(Aveia!$E84:INDEX(Aveia!$E84:$Z84,MIN(L$6-$E$3,22))&lt;&gt;""),Aveia!$E84:INDEX(Aveia!$E84:$Z84,MIN(L$6-$E$3,22))),0))-IF($G$2,0,IF((L$6-$G$3)&lt;1,0,IFERROR(LOOKUP(2,1/(Aveia!$E84:INDEX(Aveia!$E84:$Z84,MIN(L$6-$G$3,22))&lt;&gt;""),Aveia!$E84:INDEX(Aveia!$E84:$Z84,MIN(L$6-$G$3,22))),0)))))</f>
        <v>0</v>
      </c>
      <c r="M86" s="27" t="n">
        <f aca="false">IF(COUNT(Aveia!$E84:$Z84)=0,0,MAX(0,IF((M$6-$E$3)&lt;1,0,IFERROR(LOOKUP(2,1/(Aveia!$E84:INDEX(Aveia!$E84:$Z84,MIN(M$6-$E$3,22))&lt;&gt;""),Aveia!$E84:INDEX(Aveia!$E84:$Z84,MIN(M$6-$E$3,22))),0))-IF($G$2,0,IF((M$6-$G$3)&lt;1,0,IFERROR(LOOKUP(2,1/(Aveia!$E84:INDEX(Aveia!$E84:$Z84,MIN(M$6-$G$3,22))&lt;&gt;""),Aveia!$E84:INDEX(Aveia!$E84:$Z84,MIN(M$6-$G$3,22))),0)))))</f>
        <v>0</v>
      </c>
      <c r="N86" s="27" t="n">
        <f aca="false">IF(COUNT(Aveia!$E84:$Z84)=0,0,MAX(0,IF((N$6-$E$3)&lt;1,0,IFERROR(LOOKUP(2,1/(Aveia!$E84:INDEX(Aveia!$E84:$Z84,MIN(N$6-$E$3,22))&lt;&gt;""),Aveia!$E84:INDEX(Aveia!$E84:$Z84,MIN(N$6-$E$3,22))),0))-IF($G$2,0,IF((N$6-$G$3)&lt;1,0,IFERROR(LOOKUP(2,1/(Aveia!$E84:INDEX(Aveia!$E84:$Z84,MIN(N$6-$G$3,22))&lt;&gt;""),Aveia!$E84:INDEX(Aveia!$E84:$Z84,MIN(N$6-$G$3,22))),0)))))</f>
        <v>0</v>
      </c>
      <c r="O86" s="27" t="n">
        <f aca="false">IF(COUNT(Aveia!$E84:$Z84)=0,0,MAX(0,IF((O$6-$E$3)&lt;1,0,IFERROR(LOOKUP(2,1/(Aveia!$E84:INDEX(Aveia!$E84:$Z84,MIN(O$6-$E$3,22))&lt;&gt;""),Aveia!$E84:INDEX(Aveia!$E84:$Z84,MIN(O$6-$E$3,22))),0))-IF($G$2,0,IF((O$6-$G$3)&lt;1,0,IFERROR(LOOKUP(2,1/(Aveia!$E84:INDEX(Aveia!$E84:$Z84,MIN(O$6-$G$3,22))&lt;&gt;""),Aveia!$E84:INDEX(Aveia!$E84:$Z84,MIN(O$6-$G$3,22))),0)))))</f>
        <v>0</v>
      </c>
      <c r="P86" s="27" t="n">
        <f aca="false">IF(COUNT(Aveia!$E84:$Z84)=0,0,MAX(0,IF((P$6-$E$3)&lt;1,0,IFERROR(LOOKUP(2,1/(Aveia!$E84:INDEX(Aveia!$E84:$Z84,MIN(P$6-$E$3,22))&lt;&gt;""),Aveia!$E84:INDEX(Aveia!$E84:$Z84,MIN(P$6-$E$3,22))),0))-IF($G$2,0,IF((P$6-$G$3)&lt;1,0,IFERROR(LOOKUP(2,1/(Aveia!$E84:INDEX(Aveia!$E84:$Z84,MIN(P$6-$G$3,22))&lt;&gt;""),Aveia!$E84:INDEX(Aveia!$E84:$Z84,MIN(P$6-$G$3,22))),0)))))</f>
        <v>0</v>
      </c>
      <c r="Q86" s="27" t="n">
        <f aca="false">IF(COUNT(Aveia!$E84:$Z84)=0,0,MAX(0,IF((Q$6-$E$3)&lt;1,0,IFERROR(LOOKUP(2,1/(Aveia!$E84:INDEX(Aveia!$E84:$Z84,MIN(Q$6-$E$3,22))&lt;&gt;""),Aveia!$E84:INDEX(Aveia!$E84:$Z84,MIN(Q$6-$E$3,22))),0))-IF($G$2,0,IF((Q$6-$G$3)&lt;1,0,IFERROR(LOOKUP(2,1/(Aveia!$E84:INDEX(Aveia!$E84:$Z84,MIN(Q$6-$G$3,22))&lt;&gt;""),Aveia!$E84:INDEX(Aveia!$E84:$Z84,MIN(Q$6-$G$3,22))),0)))))</f>
        <v>0</v>
      </c>
      <c r="R86" s="27" t="n">
        <f aca="false">IF(COUNT(Aveia!$E84:$Z84)=0,0,MAX(0,IF((R$6-$E$3)&lt;1,0,IFERROR(LOOKUP(2,1/(Aveia!$E84:INDEX(Aveia!$E84:$Z84,MIN(R$6-$E$3,22))&lt;&gt;""),Aveia!$E84:INDEX(Aveia!$E84:$Z84,MIN(R$6-$E$3,22))),0))-IF($G$2,0,IF((R$6-$G$3)&lt;1,0,IFERROR(LOOKUP(2,1/(Aveia!$E84:INDEX(Aveia!$E84:$Z84,MIN(R$6-$G$3,22))&lt;&gt;""),Aveia!$E84:INDEX(Aveia!$E84:$Z84,MIN(R$6-$G$3,22))),0)))))</f>
        <v>0</v>
      </c>
      <c r="S86" s="27" t="n">
        <f aca="false">IF(COUNT(Aveia!$E84:$Z84)=0,0,MAX(0,IF((S$6-$E$3)&lt;1,0,IFERROR(LOOKUP(2,1/(Aveia!$E84:INDEX(Aveia!$E84:$Z84,MIN(S$6-$E$3,22))&lt;&gt;""),Aveia!$E84:INDEX(Aveia!$E84:$Z84,MIN(S$6-$E$3,22))),0))-IF($G$2,0,IF((S$6-$G$3)&lt;1,0,IFERROR(LOOKUP(2,1/(Aveia!$E84:INDEX(Aveia!$E84:$Z84,MIN(S$6-$G$3,22))&lt;&gt;""),Aveia!$E84:INDEX(Aveia!$E84:$Z84,MIN(S$6-$G$3,22))),0)))))</f>
        <v>0</v>
      </c>
      <c r="T86" s="27" t="n">
        <f aca="false">IF(COUNT(Aveia!$E84:$Z84)=0,0,MAX(0,IF((T$6-$E$3)&lt;1,0,IFERROR(LOOKUP(2,1/(Aveia!$E84:INDEX(Aveia!$E84:$Z84,MIN(T$6-$E$3,22))&lt;&gt;""),Aveia!$E84:INDEX(Aveia!$E84:$Z84,MIN(T$6-$E$3,22))),0))-IF($G$2,0,IF((T$6-$G$3)&lt;1,0,IFERROR(LOOKUP(2,1/(Aveia!$E84:INDEX(Aveia!$E84:$Z84,MIN(T$6-$G$3,22))&lt;&gt;""),Aveia!$E84:INDEX(Aveia!$E84:$Z84,MIN(T$6-$G$3,22))),0)))))</f>
        <v>0</v>
      </c>
      <c r="U86" s="27" t="n">
        <f aca="false">IF(COUNT(Aveia!$E84:$Z84)=0,0,MAX(0,IF((U$6-$E$3)&lt;1,0,IFERROR(LOOKUP(2,1/(Aveia!$E84:INDEX(Aveia!$E84:$Z84,MIN(U$6-$E$3,22))&lt;&gt;""),Aveia!$E84:INDEX(Aveia!$E84:$Z84,MIN(U$6-$E$3,22))),0))-IF($G$2,0,IF((U$6-$G$3)&lt;1,0,IFERROR(LOOKUP(2,1/(Aveia!$E84:INDEX(Aveia!$E84:$Z84,MIN(U$6-$G$3,22))&lt;&gt;""),Aveia!$E84:INDEX(Aveia!$E84:$Z84,MIN(U$6-$G$3,22))),0)))))</f>
        <v>0</v>
      </c>
      <c r="V86" s="27" t="n">
        <f aca="false">IF(COUNT(Aveia!$E84:$Z84)=0,0,MAX(0,IF((V$6-$E$3)&lt;1,0,IFERROR(LOOKUP(2,1/(Aveia!$E84:INDEX(Aveia!$E84:$Z84,MIN(V$6-$E$3,22))&lt;&gt;""),Aveia!$E84:INDEX(Aveia!$E84:$Z84,MIN(V$6-$E$3,22))),0))-IF($G$2,0,IF((V$6-$G$3)&lt;1,0,IFERROR(LOOKUP(2,1/(Aveia!$E84:INDEX(Aveia!$E84:$Z84,MIN(V$6-$G$3,22))&lt;&gt;""),Aveia!$E84:INDEX(Aveia!$E84:$Z84,MIN(V$6-$G$3,22))),0)))))</f>
        <v>0</v>
      </c>
      <c r="W86" s="27" t="n">
        <f aca="false">IF(COUNT(Aveia!$E84:$Z84)=0,0,MAX(0,IF((W$6-$E$3)&lt;1,0,IFERROR(LOOKUP(2,1/(Aveia!$E84:INDEX(Aveia!$E84:$Z84,MIN(W$6-$E$3,22))&lt;&gt;""),Aveia!$E84:INDEX(Aveia!$E84:$Z84,MIN(W$6-$E$3,22))),0))-IF($G$2,0,IF((W$6-$G$3)&lt;1,0,IFERROR(LOOKUP(2,1/(Aveia!$E84:INDEX(Aveia!$E84:$Z84,MIN(W$6-$G$3,22))&lt;&gt;""),Aveia!$E84:INDEX(Aveia!$E84:$Z84,MIN(W$6-$G$3,22))),0)))))</f>
        <v>0</v>
      </c>
      <c r="X86" s="27" t="n">
        <f aca="false">IF(COUNT(Aveia!$E84:$Z84)=0,0,MAX(0,IF((X$6-$E$3)&lt;1,0,IFERROR(LOOKUP(2,1/(Aveia!$E84:INDEX(Aveia!$E84:$Z84,MIN(X$6-$E$3,22))&lt;&gt;""),Aveia!$E84:INDEX(Aveia!$E84:$Z84,MIN(X$6-$E$3,22))),0))-IF($G$2,0,IF((X$6-$G$3)&lt;1,0,IFERROR(LOOKUP(2,1/(Aveia!$E84:INDEX(Aveia!$E84:$Z84,MIN(X$6-$G$3,22))&lt;&gt;""),Aveia!$E84:INDEX(Aveia!$E84:$Z84,MIN(X$6-$G$3,22))),0)))))</f>
        <v>0</v>
      </c>
      <c r="Y86" s="27" t="n">
        <f aca="false">IF(COUNT(Aveia!$E84:$Z84)=0,0,MAX(0,IF((Y$6-$E$3)&lt;1,0,IFERROR(LOOKUP(2,1/(Aveia!$E84:INDEX(Aveia!$E84:$Z84,MIN(Y$6-$E$3,22))&lt;&gt;""),Aveia!$E84:INDEX(Aveia!$E84:$Z84,MIN(Y$6-$E$3,22))),0))-IF($G$2,0,IF((Y$6-$G$3)&lt;1,0,IFERROR(LOOKUP(2,1/(Aveia!$E84:INDEX(Aveia!$E84:$Z84,MIN(Y$6-$G$3,22))&lt;&gt;""),Aveia!$E84:INDEX(Aveia!$E84:$Z84,MIN(Y$6-$G$3,22))),0)))))</f>
        <v>0</v>
      </c>
      <c r="Z86" s="27" t="n">
        <f aca="false">IF(COUNT(Aveia!$E84:$Z84)=0,0,MAX(0,IF((Z$6-$E$3)&lt;1,0,IFERROR(LOOKUP(2,1/(Aveia!$E84:INDEX(Aveia!$E84:$Z84,MIN(Z$6-$E$3,22))&lt;&gt;""),Aveia!$E84:INDEX(Aveia!$E84:$Z84,MIN(Z$6-$E$3,22))),0))-IF($G$2,0,IF((Z$6-$G$3)&lt;1,0,IFERROR(LOOKUP(2,1/(Aveia!$E84:INDEX(Aveia!$E84:$Z84,MIN(Z$6-$G$3,22))&lt;&gt;""),Aveia!$E84:INDEX(Aveia!$E84:$Z84,MIN(Z$6-$G$3,22))),0)))))</f>
        <v>0</v>
      </c>
      <c r="AA86" s="27" t="n">
        <f aca="false">IF(COUNT(Aveia!$E84:$Z84)=0,0,MAX(0,IF((AA$6-$E$3)&lt;1,0,IFERROR(LOOKUP(2,1/(Aveia!$E84:INDEX(Aveia!$E84:$Z84,MIN(AA$6-$E$3,22))&lt;&gt;""),Aveia!$E84:INDEX(Aveia!$E84:$Z84,MIN(AA$6-$E$3,22))),0))-IF($G$2,0,IF((AA$6-$G$3)&lt;1,0,IFERROR(LOOKUP(2,1/(Aveia!$E84:INDEX(Aveia!$E84:$Z84,MIN(AA$6-$G$3,22))&lt;&gt;""),Aveia!$E84:INDEX(Aveia!$E84:$Z84,MIN(AA$6-$G$3,22))),0)))))</f>
        <v>0</v>
      </c>
      <c r="AB86" s="27" t="n">
        <f aca="false">IF(COUNT(Aveia!$E84:$Z84)=0,0,MAX(0,IF((AB$6-$E$3)&lt;1,0,IFERROR(LOOKUP(2,1/(Aveia!$E84:INDEX(Aveia!$E84:$Z84,MIN(AB$6-$E$3,22))&lt;&gt;""),Aveia!$E84:INDEX(Aveia!$E84:$Z84,MIN(AB$6-$E$3,22))),0))-IF($G$2,0,IF((AB$6-$G$3)&lt;1,0,IFERROR(LOOKUP(2,1/(Aveia!$E84:INDEX(Aveia!$E84:$Z84,MIN(AB$6-$G$3,22))&lt;&gt;""),Aveia!$E84:INDEX(Aveia!$E84:$Z84,MIN(AB$6-$G$3,22))),0)))))</f>
        <v>0</v>
      </c>
      <c r="AC86" s="27" t="n">
        <f aca="false">IF(COUNT(Aveia!$E84:$Z84)=0,0,MAX(0,IF((AC$6-$E$3)&lt;1,0,IFERROR(LOOKUP(2,1/(Aveia!$E84:INDEX(Aveia!$E84:$Z84,MIN(AC$6-$E$3,22))&lt;&gt;""),Aveia!$E84:INDEX(Aveia!$E84:$Z84,MIN(AC$6-$E$3,22))),0))-IF($G$2,0,IF((AC$6-$G$3)&lt;1,0,IFERROR(LOOKUP(2,1/(Aveia!$E84:INDEX(Aveia!$E84:$Z84,MIN(AC$6-$G$3,22))&lt;&gt;""),Aveia!$E84:INDEX(Aveia!$E84:$Z84,MIN(AC$6-$G$3,22))),0)))))</f>
        <v>0</v>
      </c>
      <c r="AD86" s="27" t="n">
        <f aca="false">IF(COUNT(Aveia!$E84:$Z84)=0,0,MAX(0,IF((AD$6-$E$3)&lt;1,0,IFERROR(LOOKUP(2,1/(Aveia!$E84:INDEX(Aveia!$E84:$Z84,MIN(AD$6-$E$3,22))&lt;&gt;""),Aveia!$E84:INDEX(Aveia!$E84:$Z84,MIN(AD$6-$E$3,22))),0))-IF($G$2,0,IF((AD$6-$G$3)&lt;1,0,IFERROR(LOOKUP(2,1/(Aveia!$E84:INDEX(Aveia!$E84:$Z84,MIN(AD$6-$G$3,22))&lt;&gt;""),Aveia!$E84:INDEX(Aveia!$E84:$Z84,MIN(AD$6-$G$3,22))),0)))))</f>
        <v>0</v>
      </c>
      <c r="AE86" s="27" t="n">
        <f aca="false">IF(COUNT(Aveia!$E84:$Z84)=0,0,MAX(0,IF((AE$6-$E$3)&lt;1,0,IFERROR(LOOKUP(2,1/(Aveia!$E84:INDEX(Aveia!$E84:$Z84,MIN(AE$6-$E$3,22))&lt;&gt;""),Aveia!$E84:INDEX(Aveia!$E84:$Z84,MIN(AE$6-$E$3,22))),0))-IF($G$2,0,IF((AE$6-$G$3)&lt;1,0,IFERROR(LOOKUP(2,1/(Aveia!$E84:INDEX(Aveia!$E84:$Z84,MIN(AE$6-$G$3,22))&lt;&gt;""),Aveia!$E84:INDEX(Aveia!$E84:$Z84,MIN(AE$6-$G$3,22))),0)))))</f>
        <v>0</v>
      </c>
      <c r="AF86" s="27" t="n">
        <f aca="false">IF(COUNT(Aveia!$E84:$Z84)=0,0,MAX(0,IF((AF$6-$E$3)&lt;1,0,IFERROR(LOOKUP(2,1/(Aveia!$E84:INDEX(Aveia!$E84:$Z84,MIN(AF$6-$E$3,22))&lt;&gt;""),Aveia!$E84:INDEX(Aveia!$E84:$Z84,MIN(AF$6-$E$3,22))),0))-IF($G$2,0,IF((AF$6-$G$3)&lt;1,0,IFERROR(LOOKUP(2,1/(Aveia!$E84:INDEX(Aveia!$E84:$Z84,MIN(AF$6-$G$3,22))&lt;&gt;""),Aveia!$E84:INDEX(Aveia!$E84:$Z84,MIN(AF$6-$G$3,22))),0)))))</f>
        <v>0</v>
      </c>
      <c r="AG86" s="27" t="n">
        <f aca="false">IF(COUNT(Aveia!$E84:$Z84)=0,0,MAX(0,IF((AG$6-$E$3)&lt;1,0,IFERROR(LOOKUP(2,1/(Aveia!$E84:INDEX(Aveia!$E84:$Z84,MIN(AG$6-$E$3,22))&lt;&gt;""),Aveia!$E84:INDEX(Aveia!$E84:$Z84,MIN(AG$6-$E$3,22))),0))-IF($G$2,0,IF((AG$6-$G$3)&lt;1,0,IFERROR(LOOKUP(2,1/(Aveia!$E84:INDEX(Aveia!$E84:$Z84,MIN(AG$6-$G$3,22))&lt;&gt;""),Aveia!$E84:INDEX(Aveia!$E84:$Z84,MIN(AG$6-$G$3,22))),0)))))</f>
        <v>0</v>
      </c>
      <c r="AH86" s="27" t="n">
        <f aca="false">IF(COUNT(Aveia!$E84:$Z84)=0,0,MAX(0,IF((AH$6-$E$3)&lt;1,0,IFERROR(LOOKUP(2,1/(Aveia!$E84:INDEX(Aveia!$E84:$Z84,MIN(AH$6-$E$3,22))&lt;&gt;""),Aveia!$E84:INDEX(Aveia!$E84:$Z84,MIN(AH$6-$E$3,22))),0))-IF($G$2,0,IF((AH$6-$G$3)&lt;1,0,IFERROR(LOOKUP(2,1/(Aveia!$E84:INDEX(Aveia!$E84:$Z84,MIN(AH$6-$G$3,22))&lt;&gt;""),Aveia!$E84:INDEX(Aveia!$E84:$Z84,MIN(AH$6-$G$3,22))),0)))))</f>
        <v>0</v>
      </c>
      <c r="AI86" s="27" t="n">
        <f aca="false">IF(COUNT(Aveia!$E84:$Z84)=0,0,MAX(0,IF((AI$6-$E$3)&lt;1,0,IFERROR(LOOKUP(2,1/(Aveia!$E84:INDEX(Aveia!$E84:$Z84,MIN(AI$6-$E$3,22))&lt;&gt;""),Aveia!$E84:INDEX(Aveia!$E84:$Z84,MIN(AI$6-$E$3,22))),0))-IF($G$2,0,IF((AI$6-$G$3)&lt;1,0,IFERROR(LOOKUP(2,1/(Aveia!$E84:INDEX(Aveia!$E84:$Z84,MIN(AI$6-$G$3,22))&lt;&gt;""),Aveia!$E84:INDEX(Aveia!$E84:$Z84,MIN(AI$6-$G$3,22))),0)))))</f>
        <v>0</v>
      </c>
      <c r="AJ86" s="27" t="n">
        <f aca="false">IF(COUNT(Aveia!$E84:$Z84)=0,0,MAX(0,IF((AJ$6-$E$3)&lt;1,0,IFERROR(LOOKUP(2,1/(Aveia!$E84:INDEX(Aveia!$E84:$Z84,MIN(AJ$6-$E$3,22))&lt;&gt;""),Aveia!$E84:INDEX(Aveia!$E84:$Z84,MIN(AJ$6-$E$3,22))),0))-IF($G$2,0,IF((AJ$6-$G$3)&lt;1,0,IFERROR(LOOKUP(2,1/(Aveia!$E84:INDEX(Aveia!$E84:$Z84,MIN(AJ$6-$G$3,22))&lt;&gt;""),Aveia!$E84:INDEX(Aveia!$E84:$Z84,MIN(AJ$6-$G$3,22))),0)))))</f>
        <v>0</v>
      </c>
      <c r="AK86" s="27" t="n">
        <f aca="false">IF(COUNT(Aveia!$E84:$Z84)=0,0,MAX(0,IF((AK$6-$E$3)&lt;1,0,IFERROR(LOOKUP(2,1/(Aveia!$E84:INDEX(Aveia!$E84:$Z84,MIN(AK$6-$E$3,22))&lt;&gt;""),Aveia!$E84:INDEX(Aveia!$E84:$Z84,MIN(AK$6-$E$3,22))),0))-IF($G$2,0,IF((AK$6-$G$3)&lt;1,0,IFERROR(LOOKUP(2,1/(Aveia!$E84:INDEX(Aveia!$E84:$Z84,MIN(AK$6-$G$3,22))&lt;&gt;""),Aveia!$E84:INDEX(Aveia!$E84:$Z84,MIN(AK$6-$G$3,22))),0)))))</f>
        <v>0</v>
      </c>
      <c r="AL86" s="27" t="n">
        <f aca="false">IF(COUNT(Aveia!$E84:$Z84)=0,0,MAX(0,IF((AL$6-$E$3)&lt;1,0,IFERROR(LOOKUP(2,1/(Aveia!$E84:INDEX(Aveia!$E84:$Z84,MIN(AL$6-$E$3,22))&lt;&gt;""),Aveia!$E84:INDEX(Aveia!$E84:$Z84,MIN(AL$6-$E$3,22))),0))-IF($G$2,0,IF((AL$6-$G$3)&lt;1,0,IFERROR(LOOKUP(2,1/(Aveia!$E84:INDEX(Aveia!$E84:$Z84,MIN(AL$6-$G$3,22))&lt;&gt;""),Aveia!$E84:INDEX(Aveia!$E84:$Z84,MIN(AL$6-$G$3,22))),0)))))</f>
        <v>0</v>
      </c>
      <c r="AM86" s="27" t="n">
        <f aca="false">IF(COUNT(Aveia!$E84:$Z84)=0,0,MAX(0,IF((AM$6-$E$3)&lt;1,0,IFERROR(LOOKUP(2,1/(Aveia!$E84:INDEX(Aveia!$E84:$Z84,MIN(AM$6-$E$3,22))&lt;&gt;""),Aveia!$E84:INDEX(Aveia!$E84:$Z84,MIN(AM$6-$E$3,22))),0))-IF($G$2,0,IF((AM$6-$G$3)&lt;1,0,IFERROR(LOOKUP(2,1/(Aveia!$E84:INDEX(Aveia!$E84:$Z84,MIN(AM$6-$G$3,22))&lt;&gt;""),Aveia!$E84:INDEX(Aveia!$E84:$Z84,MIN(AM$6-$G$3,22))),0)))))</f>
        <v>0</v>
      </c>
      <c r="AN86" s="27" t="n">
        <f aca="false">IF(COUNT(Aveia!$E84:$Z84)=0,0,MAX(0,IF((AN$6-$E$3)&lt;1,0,IFERROR(LOOKUP(2,1/(Aveia!$E84:INDEX(Aveia!$E84:$Z84,MIN(AN$6-$E$3,22))&lt;&gt;""),Aveia!$E84:INDEX(Aveia!$E84:$Z84,MIN(AN$6-$E$3,22))),0))-IF($G$2,0,IF((AN$6-$G$3)&lt;1,0,IFERROR(LOOKUP(2,1/(Aveia!$E84:INDEX(Aveia!$E84:$Z84,MIN(AN$6-$G$3,22))&lt;&gt;""),Aveia!$E84:INDEX(Aveia!$E84:$Z84,MIN(AN$6-$G$3,22))),0)))))</f>
        <v>0</v>
      </c>
      <c r="AO86" s="27" t="n">
        <f aca="false">IF(COUNT(Aveia!$E84:$Z84)=0,0,MAX(0,IF((AO$6-$E$3)&lt;1,0,IFERROR(LOOKUP(2,1/(Aveia!$E84:INDEX(Aveia!$E84:$Z84,MIN(AO$6-$E$3,22))&lt;&gt;""),Aveia!$E84:INDEX(Aveia!$E84:$Z84,MIN(AO$6-$E$3,22))),0))-IF($G$2,0,IF((AO$6-$G$3)&lt;1,0,IFERROR(LOOKUP(2,1/(Aveia!$E84:INDEX(Aveia!$E84:$Z84,MIN(AO$6-$G$3,22))&lt;&gt;""),Aveia!$E84:INDEX(Aveia!$E84:$Z84,MIN(AO$6-$G$3,22))),0)))))</f>
        <v>0</v>
      </c>
      <c r="AP86" s="27" t="n">
        <f aca="false">IF(COUNT(Aveia!$E84:$Z84)=0,0,MAX(0,IF((AP$6-$E$3)&lt;1,0,IFERROR(LOOKUP(2,1/(Aveia!$E84:INDEX(Aveia!$E84:$Z84,MIN(AP$6-$E$3,22))&lt;&gt;""),Aveia!$E84:INDEX(Aveia!$E84:$Z84,MIN(AP$6-$E$3,22))),0))-IF($G$2,0,IF((AP$6-$G$3)&lt;1,0,IFERROR(LOOKUP(2,1/(Aveia!$E84:INDEX(Aveia!$E84:$Z84,MIN(AP$6-$G$3,22))&lt;&gt;""),Aveia!$E84:INDEX(Aveia!$E84:$Z84,MIN(AP$6-$G$3,22))),0)))))</f>
        <v>0</v>
      </c>
      <c r="AQ86" s="27" t="n">
        <f aca="false">IF(COUNT(Aveia!$E84:$Z84)=0,0,MAX(0,IF((AQ$6-$E$3)&lt;1,0,IFERROR(LOOKUP(2,1/(Aveia!$E84:INDEX(Aveia!$E84:$Z84,MIN(AQ$6-$E$3,22))&lt;&gt;""),Aveia!$E84:INDEX(Aveia!$E84:$Z84,MIN(AQ$6-$E$3,22))),0))-IF($G$2,0,IF((AQ$6-$G$3)&lt;1,0,IFERROR(LOOKUP(2,1/(Aveia!$E84:INDEX(Aveia!$E84:$Z84,MIN(AQ$6-$G$3,22))&lt;&gt;""),Aveia!$E84:INDEX(Aveia!$E84:$Z84,MIN(AQ$6-$G$3,22))),0)))))</f>
        <v>0</v>
      </c>
      <c r="AR86" s="27" t="n">
        <f aca="false">IF(COUNT(Aveia!$E84:$Z84)=0,0,MAX(0,IF((AR$6-$E$3)&lt;1,0,IFERROR(LOOKUP(2,1/(Aveia!$E84:INDEX(Aveia!$E84:$Z84,MIN(AR$6-$E$3,22))&lt;&gt;""),Aveia!$E84:INDEX(Aveia!$E84:$Z84,MIN(AR$6-$E$3,22))),0))-IF($G$2,0,IF((AR$6-$G$3)&lt;1,0,IFERROR(LOOKUP(2,1/(Aveia!$E84:INDEX(Aveia!$E84:$Z84,MIN(AR$6-$G$3,22))&lt;&gt;""),Aveia!$E84:INDEX(Aveia!$E84:$Z84,MIN(AR$6-$G$3,22))),0)))))</f>
        <v>0</v>
      </c>
      <c r="AS86" s="27" t="n">
        <f aca="false">IF(COUNT(Aveia!$E84:$Z84)=0,0,MAX(0,IF((AS$6-$E$3)&lt;1,0,IFERROR(LOOKUP(2,1/(Aveia!$E84:INDEX(Aveia!$E84:$Z84,MIN(AS$6-$E$3,22))&lt;&gt;""),Aveia!$E84:INDEX(Aveia!$E84:$Z84,MIN(AS$6-$E$3,22))),0))-IF($G$2,0,IF((AS$6-$G$3)&lt;1,0,IFERROR(LOOKUP(2,1/(Aveia!$E84:INDEX(Aveia!$E84:$Z84,MIN(AS$6-$G$3,22))&lt;&gt;""),Aveia!$E84:INDEX(Aveia!$E84:$Z84,MIN(AS$6-$G$3,22))),0)))))</f>
        <v>0</v>
      </c>
      <c r="AT86" s="27" t="n">
        <f aca="false">IF(COUNT(Aveia!$E84:$Z84)=0,0,MAX(0,IF((AT$6-$E$3)&lt;1,0,IFERROR(LOOKUP(2,1/(Aveia!$E84:INDEX(Aveia!$E84:$Z84,MIN(AT$6-$E$3,22))&lt;&gt;""),Aveia!$E84:INDEX(Aveia!$E84:$Z84,MIN(AT$6-$E$3,22))),0))-IF($G$2,0,IF((AT$6-$G$3)&lt;1,0,IFERROR(LOOKUP(2,1/(Aveia!$E84:INDEX(Aveia!$E84:$Z84,MIN(AT$6-$G$3,22))&lt;&gt;""),Aveia!$E84:INDEX(Aveia!$E84:$Z84,MIN(AT$6-$G$3,22))),0)))))</f>
        <v>0</v>
      </c>
      <c r="AU86" s="27" t="n">
        <f aca="false">IF(COUNT(Aveia!$E84:$Z84)=0,0,MAX(0,IF((AU$6-$E$3)&lt;1,0,IFERROR(LOOKUP(2,1/(Aveia!$E84:INDEX(Aveia!$E84:$Z84,MIN(AU$6-$E$3,22))&lt;&gt;""),Aveia!$E84:INDEX(Aveia!$E84:$Z84,MIN(AU$6-$E$3,22))),0))-IF($G$2,0,IF((AU$6-$G$3)&lt;1,0,IFERROR(LOOKUP(2,1/(Aveia!$E84:INDEX(Aveia!$E84:$Z84,MIN(AU$6-$G$3,22))&lt;&gt;""),Aveia!$E84:INDEX(Aveia!$E84:$Z84,MIN(AU$6-$G$3,22))),0)))))</f>
        <v>0</v>
      </c>
      <c r="AV86" s="27" t="n">
        <f aca="false">IF(COUNT(Aveia!$E84:$Z84)=0,0,MAX(0,IF((AV$6-$E$3)&lt;1,0,IFERROR(LOOKUP(2,1/(Aveia!$E84:INDEX(Aveia!$E84:$Z84,MIN(AV$6-$E$3,22))&lt;&gt;""),Aveia!$E84:INDEX(Aveia!$E84:$Z84,MIN(AV$6-$E$3,22))),0))-IF($G$2,0,IF((AV$6-$G$3)&lt;1,0,IFERROR(LOOKUP(2,1/(Aveia!$E84:INDEX(Aveia!$E84:$Z84,MIN(AV$6-$G$3,22))&lt;&gt;""),Aveia!$E84:INDEX(Aveia!$E84:$Z84,MIN(AV$6-$G$3,22))),0)))))</f>
        <v>0</v>
      </c>
      <c r="AW86" s="27" t="n">
        <f aca="false">IF(COUNT(Aveia!$E84:$Z84)=0,0,MAX(0,IF((AW$6-$E$3)&lt;1,0,IFERROR(LOOKUP(2,1/(Aveia!$E84:INDEX(Aveia!$E84:$Z84,MIN(AW$6-$E$3,22))&lt;&gt;""),Aveia!$E84:INDEX(Aveia!$E84:$Z84,MIN(AW$6-$E$3,22))),0))-IF($G$2,0,IF((AW$6-$G$3)&lt;1,0,IFERROR(LOOKUP(2,1/(Aveia!$E84:INDEX(Aveia!$E84:$Z84,MIN(AW$6-$G$3,22))&lt;&gt;""),Aveia!$E84:INDEX(Aveia!$E84:$Z84,MIN(AW$6-$G$3,22))),0)))))</f>
        <v>0</v>
      </c>
      <c r="AX86" s="27" t="n">
        <f aca="false">IF(COUNT(Aveia!$E84:$Z84)=0,0,MAX(0,IF((AX$6-$E$3)&lt;1,0,IFERROR(LOOKUP(2,1/(Aveia!$E84:INDEX(Aveia!$E84:$Z84,MIN(AX$6-$E$3,22))&lt;&gt;""),Aveia!$E84:INDEX(Aveia!$E84:$Z84,MIN(AX$6-$E$3,22))),0))-IF($G$2,0,IF((AX$6-$G$3)&lt;1,0,IFERROR(LOOKUP(2,1/(Aveia!$E84:INDEX(Aveia!$E84:$Z84,MIN(AX$6-$G$3,22))&lt;&gt;""),Aveia!$E84:INDEX(Aveia!$E84:$Z84,MIN(AX$6-$G$3,22))),0)))))</f>
        <v>0</v>
      </c>
      <c r="AY86" s="27" t="n">
        <f aca="false">IF(COUNT(Aveia!$E84:$Z84)=0,0,MAX(0,IF((AY$6-$E$3)&lt;1,0,IFERROR(LOOKUP(2,1/(Aveia!$E84:INDEX(Aveia!$E84:$Z84,MIN(AY$6-$E$3,22))&lt;&gt;""),Aveia!$E84:INDEX(Aveia!$E84:$Z84,MIN(AY$6-$E$3,22))),0))-IF($G$2,0,IF((AY$6-$G$3)&lt;1,0,IFERROR(LOOKUP(2,1/(Aveia!$E84:INDEX(Aveia!$E84:$Z84,MIN(AY$6-$G$3,22))&lt;&gt;""),Aveia!$E84:INDEX(Aveia!$E84:$Z84,MIN(AY$6-$G$3,22))),0)))))</f>
        <v>0</v>
      </c>
      <c r="AZ86" s="27" t="n">
        <f aca="false">IF(COUNT(Aveia!$E84:$Z84)=0,0,MAX(0,IF((AZ$6-$E$3)&lt;1,0,IFERROR(LOOKUP(2,1/(Aveia!$E84:INDEX(Aveia!$E84:$Z84,MIN(AZ$6-$E$3,22))&lt;&gt;""),Aveia!$E84:INDEX(Aveia!$E84:$Z84,MIN(AZ$6-$E$3,22))),0))-IF($G$2,0,IF((AZ$6-$G$3)&lt;1,0,IFERROR(LOOKUP(2,1/(Aveia!$E84:INDEX(Aveia!$E84:$Z84,MIN(AZ$6-$G$3,22))&lt;&gt;""),Aveia!$E84:INDEX(Aveia!$E84:$Z84,MIN(AZ$6-$G$3,22))),0)))))</f>
        <v>0</v>
      </c>
    </row>
    <row r="87" customFormat="false" ht="15" hidden="false" customHeight="false" outlineLevel="0" collapsed="false">
      <c r="B87" s="13" t="s">
        <v>291</v>
      </c>
      <c r="E87" s="28" t="str">
        <f aca="false">IF(SUM($D$8:$D$86)=0,"",SUMPRODUCT($D$8:$D$86,E8:E86)/SUM($D$8:$D$86))</f>
        <v/>
      </c>
      <c r="F87" s="28" t="str">
        <f aca="false">IF(SUM($D$8:$D$86)=0,"",SUMPRODUCT($D$8:$D$86,F8:F86)/SUM($D$8:$D$86))</f>
        <v/>
      </c>
      <c r="G87" s="28" t="str">
        <f aca="false">IF(SUM($D$8:$D$86)=0,"",SUMPRODUCT($D$8:$D$86,G8:G86)/SUM($D$8:$D$86))</f>
        <v/>
      </c>
      <c r="H87" s="28" t="str">
        <f aca="false">IF(SUM($D$8:$D$86)=0,"",SUMPRODUCT($D$8:$D$86,H8:H86)/SUM($D$8:$D$86))</f>
        <v/>
      </c>
      <c r="I87" s="28" t="str">
        <f aca="false">IF(SUM($D$8:$D$86)=0,"",SUMPRODUCT($D$8:$D$86,I8:I86)/SUM($D$8:$D$86))</f>
        <v/>
      </c>
      <c r="J87" s="28" t="str">
        <f aca="false">IF(SUM($D$8:$D$86)=0,"",SUMPRODUCT($D$8:$D$86,J8:J86)/SUM($D$8:$D$86))</f>
        <v/>
      </c>
      <c r="K87" s="28" t="str">
        <f aca="false">IF(SUM($D$8:$D$86)=0,"",SUMPRODUCT($D$8:$D$86,K8:K86)/SUM($D$8:$D$86))</f>
        <v/>
      </c>
      <c r="L87" s="28" t="str">
        <f aca="false">IF(SUM($D$8:$D$86)=0,"",SUMPRODUCT($D$8:$D$86,L8:L86)/SUM($D$8:$D$86))</f>
        <v/>
      </c>
      <c r="M87" s="28" t="str">
        <f aca="false">IF(SUM($D$8:$D$86)=0,"",SUMPRODUCT($D$8:$D$86,M8:M86)/SUM($D$8:$D$86))</f>
        <v/>
      </c>
      <c r="N87" s="28" t="str">
        <f aca="false">IF(SUM($D$8:$D$86)=0,"",SUMPRODUCT($D$8:$D$86,N8:N86)/SUM($D$8:$D$86))</f>
        <v/>
      </c>
      <c r="O87" s="28" t="str">
        <f aca="false">IF(SUM($D$8:$D$86)=0,"",SUMPRODUCT($D$8:$D$86,O8:O86)/SUM($D$8:$D$86))</f>
        <v/>
      </c>
      <c r="P87" s="28" t="str">
        <f aca="false">IF(SUM($D$8:$D$86)=0,"",SUMPRODUCT($D$8:$D$86,P8:P86)/SUM($D$8:$D$86))</f>
        <v/>
      </c>
      <c r="Q87" s="28" t="str">
        <f aca="false">IF(SUM($D$8:$D$86)=0,"",SUMPRODUCT($D$8:$D$86,Q8:Q86)/SUM($D$8:$D$86))</f>
        <v/>
      </c>
      <c r="R87" s="28" t="str">
        <f aca="false">IF(SUM($D$8:$D$86)=0,"",SUMPRODUCT($D$8:$D$86,R8:R86)/SUM($D$8:$D$86))</f>
        <v/>
      </c>
      <c r="S87" s="28" t="str">
        <f aca="false">IF(SUM($D$8:$D$86)=0,"",SUMPRODUCT($D$8:$D$86,S8:S86)/SUM($D$8:$D$86))</f>
        <v/>
      </c>
      <c r="T87" s="28" t="str">
        <f aca="false">IF(SUM($D$8:$D$86)=0,"",SUMPRODUCT($D$8:$D$86,T8:T86)/SUM($D$8:$D$86))</f>
        <v/>
      </c>
      <c r="U87" s="28" t="str">
        <f aca="false">IF(SUM($D$8:$D$86)=0,"",SUMPRODUCT($D$8:$D$86,U8:U86)/SUM($D$8:$D$86))</f>
        <v/>
      </c>
      <c r="V87" s="28" t="str">
        <f aca="false">IF(SUM($D$8:$D$86)=0,"",SUMPRODUCT($D$8:$D$86,V8:V86)/SUM($D$8:$D$86))</f>
        <v/>
      </c>
      <c r="W87" s="28" t="str">
        <f aca="false">IF(SUM($D$8:$D$86)=0,"",SUMPRODUCT($D$8:$D$86,W8:W86)/SUM($D$8:$D$86))</f>
        <v/>
      </c>
      <c r="X87" s="28" t="str">
        <f aca="false">IF(SUM($D$8:$D$86)=0,"",SUMPRODUCT($D$8:$D$86,X8:X86)/SUM($D$8:$D$86))</f>
        <v/>
      </c>
      <c r="Y87" s="28" t="str">
        <f aca="false">IF(SUM($D$8:$D$86)=0,"",SUMPRODUCT($D$8:$D$86,Y8:Y86)/SUM($D$8:$D$86))</f>
        <v/>
      </c>
      <c r="Z87" s="28" t="str">
        <f aca="false">IF(SUM($D$8:$D$86)=0,"",SUMPRODUCT($D$8:$D$86,Z8:Z86)/SUM($D$8:$D$86))</f>
        <v/>
      </c>
      <c r="AA87" s="28" t="str">
        <f aca="false">IF(SUM($D$8:$D$86)=0,"",SUMPRODUCT($D$8:$D$86,AA8:AA86)/SUM($D$8:$D$86))</f>
        <v/>
      </c>
      <c r="AB87" s="28" t="str">
        <f aca="false">IF(SUM($D$8:$D$86)=0,"",SUMPRODUCT($D$8:$D$86,AB8:AB86)/SUM($D$8:$D$86))</f>
        <v/>
      </c>
      <c r="AC87" s="28" t="str">
        <f aca="false">IF(SUM($D$8:$D$86)=0,"",SUMPRODUCT($D$8:$D$86,AC8:AC86)/SUM($D$8:$D$86))</f>
        <v/>
      </c>
      <c r="AD87" s="28" t="str">
        <f aca="false">IF(SUM($D$8:$D$86)=0,"",SUMPRODUCT($D$8:$D$86,AD8:AD86)/SUM($D$8:$D$86))</f>
        <v/>
      </c>
      <c r="AE87" s="28" t="str">
        <f aca="false">IF(SUM($D$8:$D$86)=0,"",SUMPRODUCT($D$8:$D$86,AE8:AE86)/SUM($D$8:$D$86))</f>
        <v/>
      </c>
      <c r="AF87" s="28" t="str">
        <f aca="false">IF(SUM($D$8:$D$86)=0,"",SUMPRODUCT($D$8:$D$86,AF8:AF86)/SUM($D$8:$D$86))</f>
        <v/>
      </c>
      <c r="AG87" s="28" t="str">
        <f aca="false">IF(SUM($D$8:$D$86)=0,"",SUMPRODUCT($D$8:$D$86,AG8:AG86)/SUM($D$8:$D$86))</f>
        <v/>
      </c>
      <c r="AH87" s="28" t="str">
        <f aca="false">IF(SUM($D$8:$D$86)=0,"",SUMPRODUCT($D$8:$D$86,AH8:AH86)/SUM($D$8:$D$86))</f>
        <v/>
      </c>
      <c r="AI87" s="28" t="str">
        <f aca="false">IF(SUM($D$8:$D$86)=0,"",SUMPRODUCT($D$8:$D$86,AI8:AI86)/SUM($D$8:$D$86))</f>
        <v/>
      </c>
      <c r="AJ87" s="28" t="str">
        <f aca="false">IF(SUM($D$8:$D$86)=0,"",SUMPRODUCT($D$8:$D$86,AJ8:AJ86)/SUM($D$8:$D$86))</f>
        <v/>
      </c>
      <c r="AK87" s="28" t="str">
        <f aca="false">IF(SUM($D$8:$D$86)=0,"",SUMPRODUCT($D$8:$D$86,AK8:AK86)/SUM($D$8:$D$86))</f>
        <v/>
      </c>
      <c r="AL87" s="28" t="str">
        <f aca="false">IF(SUM($D$8:$D$86)=0,"",SUMPRODUCT($D$8:$D$86,AL8:AL86)/SUM($D$8:$D$86))</f>
        <v/>
      </c>
      <c r="AM87" s="28" t="str">
        <f aca="false">IF(SUM($D$8:$D$86)=0,"",SUMPRODUCT($D$8:$D$86,AM8:AM86)/SUM($D$8:$D$86))</f>
        <v/>
      </c>
      <c r="AN87" s="28" t="str">
        <f aca="false">IF(SUM($D$8:$D$86)=0,"",SUMPRODUCT($D$8:$D$86,AN8:AN86)/SUM($D$8:$D$86))</f>
        <v/>
      </c>
      <c r="AO87" s="28" t="str">
        <f aca="false">IF(SUM($D$8:$D$86)=0,"",SUMPRODUCT($D$8:$D$86,AO8:AO86)/SUM($D$8:$D$86))</f>
        <v/>
      </c>
      <c r="AP87" s="28" t="str">
        <f aca="false">IF(SUM($D$8:$D$86)=0,"",SUMPRODUCT($D$8:$D$86,AP8:AP86)/SUM($D$8:$D$86))</f>
        <v/>
      </c>
      <c r="AQ87" s="28" t="str">
        <f aca="false">IF(SUM($D$8:$D$86)=0,"",SUMPRODUCT($D$8:$D$86,AQ8:AQ86)/SUM($D$8:$D$86))</f>
        <v/>
      </c>
      <c r="AR87" s="28" t="str">
        <f aca="false">IF(SUM($D$8:$D$86)=0,"",SUMPRODUCT($D$8:$D$86,AR8:AR86)/SUM($D$8:$D$86))</f>
        <v/>
      </c>
      <c r="AS87" s="28" t="str">
        <f aca="false">IF(SUM($D$8:$D$86)=0,"",SUMPRODUCT($D$8:$D$86,AS8:AS86)/SUM($D$8:$D$86))</f>
        <v/>
      </c>
      <c r="AT87" s="28" t="str">
        <f aca="false">IF(SUM($D$8:$D$86)=0,"",SUMPRODUCT($D$8:$D$86,AT8:AT86)/SUM($D$8:$D$86))</f>
        <v/>
      </c>
      <c r="AU87" s="28" t="str">
        <f aca="false">IF(SUM($D$8:$D$86)=0,"",SUMPRODUCT($D$8:$D$86,AU8:AU86)/SUM($D$8:$D$86))</f>
        <v/>
      </c>
      <c r="AV87" s="28" t="str">
        <f aca="false">IF(SUM($D$8:$D$86)=0,"",SUMPRODUCT($D$8:$D$86,AV8:AV86)/SUM($D$8:$D$86))</f>
        <v/>
      </c>
      <c r="AW87" s="28" t="str">
        <f aca="false">IF(SUM($D$8:$D$86)=0,"",SUMPRODUCT($D$8:$D$86,AW8:AW86)/SUM($D$8:$D$86))</f>
        <v/>
      </c>
      <c r="AX87" s="28" t="str">
        <f aca="false">IF(SUM($D$8:$D$86)=0,"",SUMPRODUCT($D$8:$D$86,AX8:AX86)/SUM($D$8:$D$86))</f>
        <v/>
      </c>
      <c r="AY87" s="28" t="str">
        <f aca="false">IF(SUM($D$8:$D$86)=0,"",SUMPRODUCT($D$8:$D$86,AY8:AY86)/SUM($D$8:$D$86))</f>
        <v/>
      </c>
      <c r="AZ87" s="28" t="str">
        <f aca="false">IF(SUM($D$8:$D$86)=0,"",SUMPRODUCT($D$8:$D$86,AZ8:AZ86)/SUM($D$8:$D$86))</f>
        <v/>
      </c>
    </row>
  </sheetData>
  <conditionalFormatting sqref="E8:AZ87">
    <cfRule type="colorScale" priority="2">
      <colorScale>
        <cfvo type="num" val="0"/>
        <cfvo type="num" val="40"/>
        <cfvo type="num" val="100"/>
        <color rgb="FFFFFFFF"/>
        <color rgb="FFF2C46D"/>
        <color rgb="FFB5452F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Parâmetros!$C$76:$C$83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2026-10-14T11:58:21Z</dcterms:created>
  <dc:creator>openpyxl</dc:creator>
  <dc:description/>
  <dc:language>en-US</dc:language>
  <cp:lastModifiedBy/>
  <dcterms:modified xsi:type="dcterms:W3CDTF">2026-10-14T11:58:25Z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